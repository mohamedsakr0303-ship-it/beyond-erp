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5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ettings" sheetId="2" state="visible" r:id="rId2"/>
    <sheet name="Chart of Accounts" sheetId="3" state="visible" r:id="rId3"/>
    <sheet name="Tax Codes" sheetId="4" state="visible" r:id="rId4"/>
    <sheet name="Business Units" sheetId="5" state="visible" r:id="rId5"/>
    <sheet name="Parties" sheetId="6" state="visible" r:id="rId6"/>
    <sheet name="Partners" sheetId="7" state="visible" r:id="rId7"/>
    <sheet name="Partner Shares" sheetId="8" state="visible" r:id="rId8"/>
    <sheet name="Fixed Assets" sheetId="9" state="visible" r:id="rId9"/>
    <sheet name="Warehouses" sheetId="10" state="visible" r:id="rId10"/>
    <sheet name="Stock Items" sheetId="11" state="visible" r:id="rId11"/>
    <sheet name="Price List" sheetId="12" state="visible" r:id="rId12"/>
    <sheet name="BOQ Lines" sheetId="13" state="visible" r:id="rId13"/>
    <sheet name="Direct Costs" sheetId="14" state="visible" r:id="rId14"/>
    <sheet name="Operating Expenses" sheetId="15" state="visible" r:id="rId15"/>
    <sheet name="Payroll" sheetId="16" state="visible" r:id="rId16"/>
    <sheet name="Receipt Vouchers" sheetId="17" state="visible" r:id="rId17"/>
    <sheet name="Sales Invoices" sheetId="18" state="visible" r:id="rId18"/>
    <sheet name="Invoice Lines" sheetId="19" state="visible" r:id="rId19"/>
    <sheet name="Payment Vouchers" sheetId="20" state="visible" r:id="rId20"/>
    <sheet name="Partner Transactions" sheetId="21" state="visible" r:id="rId21"/>
    <sheet name="Stock Moves" sheetId="22" state="visible" r:id="rId22"/>
    <sheet name="Journal Vouchers" sheetId="23" state="visible" r:id="rId23"/>
    <sheet name="Trial Balance" sheetId="24" state="visible" r:id="rId24"/>
    <sheet name="Income Statement" sheetId="25" state="visible" r:id="rId25"/>
    <sheet name="Balance Sheet" sheetId="26" state="visible" r:id="rId26"/>
    <sheet name="Cash Flow" sheetId="27" state="visible" r:id="rId27"/>
    <sheet name="Tax Summary" sheetId="28" state="visible" r:id="rId28"/>
    <sheet name="BU Profitability" sheetId="29" state="visible" r:id="rId29"/>
    <sheet name="Partner Equity" sheetId="30" state="visible" r:id="rId30"/>
    <sheet name="Payables" sheetId="31" state="visible" r:id="rId31"/>
    <sheet name="Quick Estimator" sheetId="32" state="visible" r:id="rId32"/>
    <sheet name="Model Audit" sheetId="33" state="visible" r:id="rId33"/>
    <sheet name="Lists" sheetId="34" state="hidden" r:id="rId34"/>
  </sheets>
  <definedNames>
    <definedName name="ReportFrom">Settings!$B$5</definedName>
    <definedName name="ReportTo">Settings!$B$6</definedName>
    <definedName name="_xlnm._FilterDatabase" localSheetId="1" hidden="1">'Settings'!$A$4:$B$54</definedName>
    <definedName name="_xlnm._FilterDatabase" localSheetId="2" hidden="1">'Chart of Accounts'!$A$4:$H$114</definedName>
    <definedName name="_xlnm._FilterDatabase" localSheetId="3" hidden="1">'Tax Codes'!$A$4:$H$211</definedName>
    <definedName name="_xlnm._FilterDatabase" localSheetId="4" hidden="1">'Business Units'!$A$4:$M$204</definedName>
    <definedName name="_xlnm._FilterDatabase" localSheetId="5" hidden="1">'Parties'!$A$4:$W$204</definedName>
    <definedName name="_xlnm._FilterDatabase" localSheetId="6" hidden="1">'Partners'!$A$4:$H$204</definedName>
    <definedName name="_xlnm._FilterDatabase" localSheetId="7" hidden="1">'Partner Shares'!$A$4:$C$204</definedName>
    <definedName name="_xlnm._FilterDatabase" localSheetId="8" hidden="1">'Fixed Assets'!$A$4:$T$204</definedName>
    <definedName name="_xlnm._FilterDatabase" localSheetId="9" hidden="1">'Warehouses'!$A$4:$C$205</definedName>
    <definedName name="_xlnm._FilterDatabase" localSheetId="10" hidden="1">'Stock Items'!$A$4:$D$204</definedName>
    <definedName name="_xlnm._FilterDatabase" localSheetId="11" hidden="1">'Price List'!$A$4:$J$204</definedName>
    <definedName name="_xlnm._FilterDatabase" localSheetId="12" hidden="1">'BOQ Lines'!$A$4:$O$204</definedName>
    <definedName name="_xlnm._FilterDatabase" localSheetId="13" hidden="1">'Direct Costs'!$A$4:$Z$204</definedName>
    <definedName name="_xlnm._FilterDatabase" localSheetId="14" hidden="1">'Operating Expenses'!$A$4:$U$204</definedName>
    <definedName name="_xlnm._FilterDatabase" localSheetId="15" hidden="1">'Payroll'!$A$4:$S$204</definedName>
    <definedName name="_xlnm._FilterDatabase" localSheetId="16" hidden="1">'Receipt Vouchers'!$A$4:$R$204</definedName>
    <definedName name="_xlnm._FilterDatabase" localSheetId="17" hidden="1">'Sales Invoices'!$A$4:$S$204</definedName>
    <definedName name="_xlnm._FilterDatabase" localSheetId="18" hidden="1">'Invoice Lines'!$A$4:$I$204</definedName>
    <definedName name="_xlnm._FilterDatabase" localSheetId="19" hidden="1">'Payment Vouchers'!$A$4:$K$204</definedName>
    <definedName name="_xlnm._FilterDatabase" localSheetId="20" hidden="1">'Partner Transactions'!$A$4:$M$204</definedName>
    <definedName name="_xlnm._FilterDatabase" localSheetId="21" hidden="1">'Stock Moves'!$A$4:$AF$204</definedName>
    <definedName name="_xlnm._FilterDatabase" localSheetId="22" hidden="1">'Journal Vouchers'!$A$4:$K$204</definedName>
    <definedName name="_xlnm.Print_Area" localSheetId="23">'Trial Balance'!$A$1:$J$155</definedName>
    <definedName name="_xlnm.Print_Area" localSheetId="24">'Income Statement'!$A$1:$C$28</definedName>
    <definedName name="_xlnm.Print_Area" localSheetId="25">'Balance Sheet'!$A$1:$C$43</definedName>
    <definedName name="_xlnm.Print_Area" localSheetId="26">'Cash Flow'!$A$1:$C$39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0;(#,##0.00);&quot;-&quot;"/>
  </numFmts>
  <fonts count="42">
    <font>
      <name val="Calibri"/>
      <family val="2"/>
      <color theme="1"/>
      <sz val="11"/>
      <scheme val="minor"/>
    </font>
    <font>
      <name val="Arial"/>
      <b val="1"/>
      <color rgb="001F2A44"/>
      <sz val="22"/>
    </font>
    <font>
      <name val="Arial"/>
      <color rgb="00555555"/>
      <sz val="12"/>
    </font>
    <font>
      <name val="Arial"/>
      <b val="1"/>
      <sz val="11"/>
    </font>
    <font>
      <name val="Arial"/>
      <color rgb="00777777"/>
      <sz val="9"/>
    </font>
    <font>
      <name val="Arial"/>
      <b val="1"/>
    </font>
    <font>
      <name val="Arial"/>
      <color rgb="00111111"/>
    </font>
    <font>
      <name val="Arial"/>
      <color rgb="000000FF"/>
    </font>
    <font>
      <name val="Arial"/>
      <b val="1"/>
      <color rgb="001F2A44"/>
      <sz val="12"/>
    </font>
    <font>
      <name val="Arial"/>
      <b val="1"/>
      <color rgb="001F2A44"/>
      <sz val="14"/>
    </font>
    <font>
      <name val="Arial"/>
      <color rgb="00555555"/>
      <sz val="9"/>
    </font>
    <font>
      <name val="Arial"/>
      <b val="1"/>
      <color rgb="00FFFFFF"/>
      <sz val="9"/>
    </font>
    <font>
      <name val="Arial"/>
      <i val="1"/>
      <color rgb="00999999"/>
      <sz val="8"/>
    </font>
    <font>
      <name val="Arial"/>
      <color rgb="000000FF"/>
      <sz val="10"/>
    </font>
    <font>
      <name val="Arial"/>
      <color rgb="00111111"/>
      <sz val="9"/>
    </font>
    <font>
      <name val="Arial"/>
      <b val="1"/>
      <color rgb="00FFFFFF"/>
      <sz val="8"/>
    </font>
    <font>
      <name val="Arial"/>
      <sz val="8"/>
    </font>
    <font>
      <name val="Arial"/>
      <sz val="9"/>
    </font>
    <font>
      <name val="Arial"/>
      <b val="1"/>
      <color rgb="00FFFFFF"/>
      <sz val="7"/>
    </font>
    <font>
      <name val="Arial"/>
      <b val="1"/>
      <color rgb="001F2A44"/>
    </font>
    <font>
      <name val="Arial"/>
      <b val="1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</font>
    <font>
      <name val="Arial"/>
      <color rgb="00777777"/>
      <sz val="8"/>
    </font>
    <font>
      <name val="Arial"/>
      <b val="1"/>
      <sz val="9"/>
    </font>
    <font>
      <name val="Arial"/>
      <i val="1"/>
      <color rgb="00777777"/>
      <sz val="8"/>
    </font>
    <font>
      <name val="Arial"/>
      <color rgb="00555555"/>
      <sz val="8"/>
    </font>
    <font>
      <name val="Arial"/>
      <color rgb="001155CC"/>
      <u val="single"/>
    </font>
    <font>
      <name val="Arial"/>
      <b val="1"/>
      <color rgb="00443328"/>
      <sz val="22"/>
    </font>
    <font>
      <name val="Arial"/>
      <color rgb="00666666"/>
      <sz val="10"/>
    </font>
    <font>
      <name val="Arial"/>
      <b val="1"/>
      <color rgb="00443328"/>
      <sz val="11"/>
    </font>
    <font>
      <name val="Arial"/>
      <b val="1"/>
      <color rgb="001F2A44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color rgb="00111111"/>
      <sz val="11"/>
    </font>
    <font>
      <name val="Arial"/>
      <sz val="11"/>
    </font>
    <font>
      <name val="Arial"/>
      <color rgb="00555555"/>
      <sz val="11"/>
    </font>
    <font>
      <name val="Arial"/>
      <color rgb="00777777"/>
      <sz val="11"/>
    </font>
    <font>
      <name val="Arial"/>
      <i val="1"/>
      <color rgb="00777777"/>
      <sz val="11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7F8C8D"/>
      </patternFill>
    </fill>
    <fill>
      <patternFill patternType="solid">
        <fgColor rgb="00EDEDE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443328"/>
      </patternFill>
    </fill>
  </fills>
  <borders count="5">
    <border>
      <left/>
      <right/>
      <top/>
      <bottom/>
      <diagonal/>
    </border>
    <border>
      <top style="thin">
        <color rgb="009CA3AF"/>
      </top>
      <bottom style="double"/>
    </border>
    <border>
      <top style="thin">
        <color rgb="009CA3AF"/>
      </top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7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1" fillId="0" borderId="0" applyAlignment="1" pivotButton="0" quotePrefix="0" xfId="0">
      <alignment horizontal="left" vertical="top" wrapText="1" readingOrder="1"/>
    </xf>
    <xf numFmtId="0" fontId="29" fillId="0" borderId="0" pivotButton="0" quotePrefix="0" xfId="0"/>
    <xf numFmtId="0" fontId="31" fillId="0" borderId="0" applyAlignment="1" pivotButton="0" quotePrefix="0" xfId="0">
      <alignment horizontal="left" readingOrder="1"/>
    </xf>
    <xf numFmtId="0" fontId="33" fillId="0" borderId="0" pivotButton="0" quotePrefix="0" xfId="0"/>
    <xf numFmtId="0" fontId="34" fillId="0" borderId="0" pivotButton="0" quotePrefix="0" xfId="0"/>
    <xf numFmtId="0" fontId="12" fillId="0" borderId="0" pivotButton="0" quotePrefix="0" xfId="0"/>
    <xf numFmtId="0" fontId="35" fillId="2" borderId="0" applyAlignment="1" pivotButton="0" quotePrefix="0" xfId="0">
      <alignment vertical="center" wrapText="1"/>
    </xf>
    <xf numFmtId="0" fontId="36" fillId="0" borderId="0" pivotButton="0" quotePrefix="0" xfId="0"/>
    <xf numFmtId="164" fontId="36" fillId="0" borderId="0" pivotButton="0" quotePrefix="0" xfId="0"/>
    <xf numFmtId="0" fontId="13" fillId="0" borderId="0" pivotButton="0" quotePrefix="0" xfId="0"/>
    <xf numFmtId="0" fontId="35" fillId="3" borderId="0" applyAlignment="1" pivotButton="0" quotePrefix="0" xfId="0">
      <alignment vertical="center" wrapText="1"/>
    </xf>
    <xf numFmtId="0" fontId="37" fillId="4" borderId="0" pivotButton="0" quotePrefix="0" xfId="0"/>
    <xf numFmtId="165" fontId="36" fillId="0" borderId="0" pivotButton="0" quotePrefix="0" xfId="0"/>
    <xf numFmtId="165" fontId="13" fillId="0" borderId="0" pivotButton="0" quotePrefix="0" xfId="0"/>
    <xf numFmtId="164" fontId="13" fillId="0" borderId="0" pivotButton="0" quotePrefix="0" xfId="0"/>
    <xf numFmtId="166" fontId="13" fillId="0" borderId="0" pivotButton="0" quotePrefix="0" xfId="0"/>
    <xf numFmtId="166" fontId="37" fillId="4" borderId="0" pivotButton="0" quotePrefix="0" xfId="0"/>
    <xf numFmtId="0" fontId="35" fillId="3" borderId="0" pivotButton="0" quotePrefix="0" xfId="0"/>
    <xf numFmtId="0" fontId="38" fillId="4" borderId="0" pivotButton="0" quotePrefix="0" xfId="0"/>
    <xf numFmtId="0" fontId="35" fillId="2" borderId="0" applyAlignment="1" pivotButton="0" quotePrefix="0" xfId="0">
      <alignment wrapText="1"/>
    </xf>
    <xf numFmtId="0" fontId="38" fillId="0" borderId="0" pivotButton="0" quotePrefix="0" xfId="0"/>
    <xf numFmtId="166" fontId="38" fillId="0" borderId="0" pivotButton="0" quotePrefix="0" xfId="0"/>
    <xf numFmtId="0" fontId="5" fillId="0" borderId="0" pivotButton="0" quotePrefix="0" xfId="0"/>
    <xf numFmtId="166" fontId="5" fillId="0" borderId="1" pivotButton="0" quotePrefix="0" xfId="0"/>
    <xf numFmtId="0" fontId="20" fillId="0" borderId="0" pivotButton="0" quotePrefix="0" xfId="0"/>
    <xf numFmtId="0" fontId="39" fillId="0" borderId="0" pivotButton="0" quotePrefix="0" xfId="0"/>
    <xf numFmtId="0" fontId="38" fillId="2" borderId="0" pivotButton="0" quotePrefix="0" xfId="0"/>
    <xf numFmtId="0" fontId="21" fillId="2" borderId="0" applyAlignment="1" pivotButton="0" quotePrefix="0" xfId="0">
      <alignment horizontal="right"/>
    </xf>
    <xf numFmtId="0" fontId="35" fillId="2" borderId="0" pivotButton="0" quotePrefix="0" xfId="0"/>
    <xf numFmtId="0" fontId="3" fillId="5" borderId="0" pivotButton="0" quotePrefix="0" xfId="0"/>
    <xf numFmtId="0" fontId="38" fillId="5" borderId="0" pivotButton="0" quotePrefix="0" xfId="0"/>
    <xf numFmtId="0" fontId="38" fillId="0" borderId="0" applyAlignment="1" pivotButton="0" quotePrefix="0" xfId="0">
      <alignment indent="2"/>
    </xf>
    <xf numFmtId="166" fontId="24" fillId="0" borderId="0" pivotButton="0" quotePrefix="0" xfId="0"/>
    <xf numFmtId="0" fontId="3" fillId="0" borderId="2" pivotButton="0" quotePrefix="0" xfId="0"/>
    <xf numFmtId="166" fontId="5" fillId="0" borderId="2" pivotButton="0" quotePrefix="0" xfId="0"/>
    <xf numFmtId="0" fontId="0" fillId="0" borderId="2" pivotButton="0" quotePrefix="0" xfId="0"/>
    <xf numFmtId="165" fontId="40" fillId="0" borderId="0" pivotButton="0" quotePrefix="0" xfId="0"/>
    <xf numFmtId="0" fontId="3" fillId="6" borderId="3" pivotButton="0" quotePrefix="0" xfId="0"/>
    <xf numFmtId="166" fontId="5" fillId="6" borderId="3" pivotButton="0" quotePrefix="0" xfId="0"/>
    <xf numFmtId="165" fontId="40" fillId="6" borderId="3" pivotButton="0" quotePrefix="0" xfId="0"/>
    <xf numFmtId="165" fontId="40" fillId="0" borderId="2" pivotButton="0" quotePrefix="0" xfId="0"/>
    <xf numFmtId="0" fontId="3" fillId="5" borderId="4" pivotButton="0" quotePrefix="0" xfId="0"/>
    <xf numFmtId="166" fontId="5" fillId="5" borderId="4" pivotButton="0" quotePrefix="0" xfId="0"/>
    <xf numFmtId="165" fontId="40" fillId="5" borderId="4" pivotButton="0" quotePrefix="0" xfId="0"/>
    <xf numFmtId="0" fontId="38" fillId="5" borderId="4" pivotButton="0" quotePrefix="0" xfId="0"/>
    <xf numFmtId="0" fontId="38" fillId="6" borderId="3" pivotButton="0" quotePrefix="0" xfId="0"/>
    <xf numFmtId="0" fontId="3" fillId="0" borderId="0" pivotButton="0" quotePrefix="0" xfId="0"/>
    <xf numFmtId="165" fontId="38" fillId="0" borderId="0" pivotButton="0" quotePrefix="0" xfId="0"/>
    <xf numFmtId="0" fontId="41" fillId="0" borderId="0" pivotButton="0" quotePrefix="0" xfId="0"/>
    <xf numFmtId="166" fontId="5" fillId="0" borderId="0" pivotButton="0" quotePrefix="0" xfId="0"/>
    <xf numFmtId="165" fontId="5" fillId="0" borderId="0" pivotButton="0" quotePrefix="0" xfId="0"/>
    <xf numFmtId="0" fontId="7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omments/comment1.xml><?xml version="1.0" encoding="utf-8"?>
<comments xmlns="http://schemas.openxmlformats.org/spreadsheetml/2006/main">
  <authors>
    <author>Beyond ERP</author>
  </authors>
  <commentList>
    <comment ref="C4" authorId="0" shapeId="0">
      <text>
        <t>B = business (tax ID), P = person (national ID), F = foreign</t>
      </text>
    </comment>
    <comment ref="Q4" authorId="0" shapeId="0">
      <text>
        <t>supplier, subcontractor, driver, transport, technician, consultant, customer, employee, other — or your own</t>
      </text>
    </comment>
  </commentList>
</comments>
</file>

<file path=xl/comments/comment2.xml><?xml version="1.0" encoding="utf-8"?>
<comments xmlns="http://schemas.openxmlformats.org/spreadsheetml/2006/main">
  <authors>
    <author>Beyond ERP</author>
  </authors>
  <commentList>
    <comment ref="I4" authorId="0" shapeId="0">
      <text>
        <t>0 = not depreciated (land)</t>
      </text>
    </comment>
    <comment ref="P4" authorId="0" shapeId="0">
      <text>
        <t>blank = the company's depreciation policy</t>
      </text>
    </comment>
    <comment ref="Q4" authorId="0" shapeId="0">
      <text>
        <t>2 = double declining</t>
      </text>
    </comment>
    <comment ref="R4" authorId="0" shapeId="0">
      <text>
        <t>Worked out here for reference — book it with a Journal Voucher (Depreciation) so the statements include it</t>
      </text>
    </comment>
    <comment ref="S4" authorId="0" shapeId="0">
      <text>
        <t>Straight line from the first month depreciated to ReportTo (Settings); never more than cost − residual</t>
      </text>
    </comment>
  </commentList>
</comments>
</file>

<file path=xl/comments/comment3.xml><?xml version="1.0" encoding="utf-8"?>
<comments xmlns="http://schemas.openxmlformats.org/spreadsheetml/2006/main">
  <authors>
    <author>Beyond ERP</author>
  </authors>
  <commentList>
    <comment ref="H4" authorId="0" shapeId="0">
      <text>
        <t>Blank = cost × (1 + markup)</t>
      </text>
    </comment>
    <comment ref="J4" authorId="0" shapeId="0">
      <text>
        <t>EGS code registered on the e-invoice portal</t>
      </text>
    </comment>
  </commentList>
</comments>
</file>

<file path=xl/comments/comment4.xml><?xml version="1.0" encoding="utf-8"?>
<comments xmlns="http://schemas.openxmlformats.org/spreadsheetml/2006/main">
  <authors>
    <author>Beyond ERP</author>
  </authors>
  <commentList>
    <comment ref="K4" authorId="0" shapeId="0">
      <text>
        <t>Only when the receipt is booked straight to revenue: the amount is VAT-inclusive</t>
      </text>
    </comment>
  </commentList>
</comments>
</file>

<file path=xl/comments/comment5.xml><?xml version="1.0" encoding="utf-8"?>
<comments xmlns="http://schemas.openxmlformats.org/spreadsheetml/2006/main">
  <authors>
    <author>Beyond ERP</author>
  </authors>
  <commentList>
    <comment ref="K4" authorId="0" shapeId="0">
      <text>
        <t>Only when a line belongs to someone other than the voucher's party (e.g. each partner in a share transfer)</t>
      </text>
    </comment>
  </commentList>
</comment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beyond_logo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57150</xdr:colOff>
      <xdr:row>0</xdr:row>
      <xdr:rowOff>38100</xdr:rowOff>
    </xdr:from>
    <xdr:ext cx="1076325" cy="857250"/>
    <xdr:pic>
      <xdr:nvPicPr>
        <xdr:cNvPr id="1025" nam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76325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tings'!A1" TargetMode="External" Id="rId1" /><Relationship Type="http://schemas.openxmlformats.org/officeDocument/2006/relationships/hyperlink" Target="#'Chart of Accounts'!A1" TargetMode="External" Id="rId2" /><Relationship Type="http://schemas.openxmlformats.org/officeDocument/2006/relationships/hyperlink" Target="#'Tax Codes'!A1" TargetMode="External" Id="rId3" /><Relationship Type="http://schemas.openxmlformats.org/officeDocument/2006/relationships/hyperlink" Target="#'Business Units'!A1" TargetMode="External" Id="rId4" /><Relationship Type="http://schemas.openxmlformats.org/officeDocument/2006/relationships/hyperlink" Target="#'Parties'!A1" TargetMode="External" Id="rId5" /><Relationship Type="http://schemas.openxmlformats.org/officeDocument/2006/relationships/hyperlink" Target="#'Partners'!A1" TargetMode="External" Id="rId6" /><Relationship Type="http://schemas.openxmlformats.org/officeDocument/2006/relationships/hyperlink" Target="#'Partner Shares'!A1" TargetMode="External" Id="rId7" /><Relationship Type="http://schemas.openxmlformats.org/officeDocument/2006/relationships/hyperlink" Target="#'Fixed Assets'!A1" TargetMode="External" Id="rId8" /><Relationship Type="http://schemas.openxmlformats.org/officeDocument/2006/relationships/hyperlink" Target="#'Warehouses'!A1" TargetMode="External" Id="rId9" /><Relationship Type="http://schemas.openxmlformats.org/officeDocument/2006/relationships/hyperlink" Target="#'Stock Items'!A1" TargetMode="External" Id="rId10" /><Relationship Type="http://schemas.openxmlformats.org/officeDocument/2006/relationships/hyperlink" Target="#'Price List'!A1" TargetMode="External" Id="rId11" /><Relationship Type="http://schemas.openxmlformats.org/officeDocument/2006/relationships/hyperlink" Target="#'BOQ Lines'!A1" TargetMode="External" Id="rId12" /><Relationship Type="http://schemas.openxmlformats.org/officeDocument/2006/relationships/hyperlink" Target="#'Direct Costs'!A1" TargetMode="External" Id="rId13" /><Relationship Type="http://schemas.openxmlformats.org/officeDocument/2006/relationships/hyperlink" Target="#'Operating Expenses'!A1" TargetMode="External" Id="rId14" /><Relationship Type="http://schemas.openxmlformats.org/officeDocument/2006/relationships/hyperlink" Target="#'Payroll'!A1" TargetMode="External" Id="rId15" /><Relationship Type="http://schemas.openxmlformats.org/officeDocument/2006/relationships/hyperlink" Target="#'Receipt Vouchers'!A1" TargetMode="External" Id="rId16" /><Relationship Type="http://schemas.openxmlformats.org/officeDocument/2006/relationships/hyperlink" Target="#'Sales Invoices'!A1" TargetMode="External" Id="rId17" /><Relationship Type="http://schemas.openxmlformats.org/officeDocument/2006/relationships/hyperlink" Target="#'Invoice Lines'!A1" TargetMode="External" Id="rId18" /><Relationship Type="http://schemas.openxmlformats.org/officeDocument/2006/relationships/hyperlink" Target="#'Payment Vouchers'!A1" TargetMode="External" Id="rId19" /><Relationship Type="http://schemas.openxmlformats.org/officeDocument/2006/relationships/hyperlink" Target="#'Partner Transactions'!A1" TargetMode="External" Id="rId20" /><Relationship Type="http://schemas.openxmlformats.org/officeDocument/2006/relationships/hyperlink" Target="#'Stock Moves'!A1" TargetMode="External" Id="rId21" /><Relationship Type="http://schemas.openxmlformats.org/officeDocument/2006/relationships/hyperlink" Target="#'Journal Vouchers'!A1" TargetMode="External" Id="rId22" /><Relationship Type="http://schemas.openxmlformats.org/officeDocument/2006/relationships/hyperlink" Target="#'Trial Balance'!A1" TargetMode="External" Id="rId23" /><Relationship Type="http://schemas.openxmlformats.org/officeDocument/2006/relationships/hyperlink" Target="#'Income Statement'!A1" TargetMode="External" Id="rId24" /><Relationship Type="http://schemas.openxmlformats.org/officeDocument/2006/relationships/hyperlink" Target="#'Balance Sheet'!A1" TargetMode="External" Id="rId25" /><Relationship Type="http://schemas.openxmlformats.org/officeDocument/2006/relationships/hyperlink" Target="#'Cash Flow'!A1" TargetMode="External" Id="rId26" /><Relationship Type="http://schemas.openxmlformats.org/officeDocument/2006/relationships/hyperlink" Target="#'Tax Summary'!A1" TargetMode="External" Id="rId27" /><Relationship Type="http://schemas.openxmlformats.org/officeDocument/2006/relationships/hyperlink" Target="#'BU Profitability'!A1" TargetMode="External" Id="rId28" /><Relationship Type="http://schemas.openxmlformats.org/officeDocument/2006/relationships/hyperlink" Target="#'Partner Equity'!A1" TargetMode="External" Id="rId29" /><Relationship Type="http://schemas.openxmlformats.org/officeDocument/2006/relationships/hyperlink" Target="#'Payables'!A1" TargetMode="External" Id="rId30" /><Relationship Type="http://schemas.openxmlformats.org/officeDocument/2006/relationships/hyperlink" Target="#'Quick Estimator'!A1" TargetMode="External" Id="rId31" /><Relationship Type="http://schemas.openxmlformats.org/officeDocument/2006/relationships/hyperlink" Target="#'Model Audit'!A1" TargetMode="External" Id="rId32" /><Relationship Id="rIdB1" Type="http://schemas.openxmlformats.org/officeDocument/2006/relationships/drawing" Target="../drawings/drawing1.x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443328"/>
    <outlinePr summaryBelow="1" summaryRight="1"/>
    <pageSetUpPr fitToPage="1"/>
  </sheetPr>
  <dimension ref="A1:C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</cols>
  <sheetData>
    <row r="1" ht="8" customHeight="1">
      <c r="B1" s="1" t="n"/>
      <c r="C1" s="1" t="n"/>
    </row>
    <row r="2" ht="30" customHeight="1">
      <c r="B2" s="2" t="inlineStr">
        <is>
          <t>BEYOND DESIGN</t>
        </is>
      </c>
    </row>
    <row r="3">
      <c r="B3" s="3" t="inlineStr">
        <is>
          <t>Interior Design &amp; Finishing</t>
        </is>
      </c>
    </row>
    <row r="4">
      <c r="B4" s="4" t="inlineStr">
        <is>
          <t>ERP workbook — books, statements and import template</t>
        </is>
      </c>
    </row>
    <row r="5">
      <c r="B5" s="3" t="inlineStr">
        <is>
          <t>Generated 2026-10-01 09:25 · all amounts in EGP · EMPTY TEMPLATE</t>
        </is>
      </c>
    </row>
    <row r="6"/>
    <row r="7">
      <c r="B7" s="4" t="inlineStr">
        <is>
          <t>How to use</t>
        </is>
      </c>
      <c r="C7" s="5" t="inlineStr">
        <is>
          <t>Enter data only in the data sheets (blue text). Statements recalculate automatically. Import the whole file back into the app from Import &amp; Export (same sheet and column names).</t>
        </is>
      </c>
    </row>
    <row r="8">
      <c r="B8" s="4" t="inlineStr">
        <is>
          <t>Report period</t>
        </is>
      </c>
      <c r="C8" s="5" t="inlineStr">
        <is>
          <t>Change report_from / report_to on the Settings sheet (rows 5–6).</t>
        </is>
      </c>
    </row>
    <row r="9">
      <c r="B9" s="4" t="inlineStr">
        <is>
          <t>Blue text</t>
        </is>
      </c>
      <c r="C9" s="5" t="inlineStr">
        <is>
          <t>Input cells — safe to edit.</t>
        </is>
      </c>
    </row>
    <row r="10">
      <c r="B10" s="4" t="inlineStr">
        <is>
          <t>Black text</t>
        </is>
      </c>
      <c r="C10" s="5" t="inlineStr">
        <is>
          <t>Formulas — do not overwrite.</t>
        </is>
      </c>
    </row>
    <row r="11">
      <c r="B11" s="4" t="inlineStr">
        <is>
          <t>Grey columns</t>
        </is>
      </c>
      <c r="C11" s="5" t="inlineStr">
        <is>
          <t>Helper formulas (collapsed with [+]); copy them down if you add rows beyond the prepared ones.</t>
        </is>
      </c>
    </row>
    <row r="12">
      <c r="B12" s="4" t="inlineStr">
        <is>
          <t>Row 3 (grey italic)</t>
        </is>
      </c>
      <c r="C12" s="5" t="inlineStr">
        <is>
          <t>An example of the expected format in every data sheet — not imported.</t>
        </is>
      </c>
    </row>
    <row r="13">
      <c r="B13" s="4" t="inlineStr">
        <is>
          <t>Accounts</t>
        </is>
      </c>
      <c r="C13" s="5" t="inlineStr">
        <is>
          <t>Leave account columns blank to use the defaults (by system role), or pick a code.</t>
        </is>
      </c>
    </row>
    <row r="14">
      <c r="B14" s="4" t="inlineStr">
        <is>
          <t>Model Audit</t>
        </is>
      </c>
      <c r="C14" s="5" t="inlineStr">
        <is>
          <t>Must show OK on every line before you rely on the statements.</t>
        </is>
      </c>
    </row>
    <row r="15"/>
    <row r="16">
      <c r="B16" s="4" t="inlineStr">
        <is>
          <t>Sheets</t>
        </is>
      </c>
    </row>
    <row r="17">
      <c r="B17" s="6" t="inlineStr">
        <is>
          <t>Settings</t>
        </is>
      </c>
      <c r="C17" s="7" t="inlineStr">
        <is>
          <t>Company settings &amp; report period</t>
        </is>
      </c>
    </row>
    <row r="18">
      <c r="B18" s="6" t="inlineStr">
        <is>
          <t>Chart of Accounts</t>
        </is>
      </c>
      <c r="C18" s="7" t="inlineStr">
        <is>
          <t>Chart of accounts — edit codes and names freely; Role is the system tag (do not duplicate)</t>
        </is>
      </c>
    </row>
    <row r="19">
      <c r="B19" s="6" t="inlineStr">
        <is>
          <t>Tax Codes</t>
        </is>
      </c>
      <c r="C19" s="7" t="inlineStr">
        <is>
          <t>VAT and withholding-tax codes with their e-invoice (ETA) tax type / sub-type. Rates are editable</t>
        </is>
      </c>
    </row>
    <row r="20">
      <c r="B20" s="6" t="inlineStr">
        <is>
          <t>Business Units</t>
        </is>
      </c>
      <c r="C20" s="7" t="inlineStr">
        <is>
          <t>Business units (cost centres / projects). Overhead % = manual share of shared indirect costs</t>
        </is>
      </c>
    </row>
    <row r="21">
      <c r="B21" s="6" t="inlineStr">
        <is>
          <t>Parties</t>
        </is>
      </c>
      <c r="C21" s="7" t="inlineStr">
        <is>
          <t>Customers &amp; suppliers master — tax registration numbers and addresses are needed for e-invoices</t>
        </is>
      </c>
    </row>
    <row r="22">
      <c r="B22" s="6" t="inlineStr">
        <is>
          <t>Partners</t>
        </is>
      </c>
      <c r="C22" s="7" t="inlineStr">
        <is>
          <t>Partners and their default profit share</t>
        </is>
      </c>
    </row>
    <row r="23">
      <c r="B23" s="6" t="inlineStr">
        <is>
          <t>Partner Shares</t>
        </is>
      </c>
      <c r="C23" s="7" t="inlineStr">
        <is>
          <t>Ownership per business unit (overrides the default share)</t>
        </is>
      </c>
    </row>
    <row r="24">
      <c r="B24" s="6" t="inlineStr">
        <is>
          <t>Fixed Assets</t>
        </is>
      </c>
      <c r="C24" s="7" t="inlineStr">
        <is>
          <t>Fixed asset register (its purchase, depreciation and disposal are journal entries with reference FA:&lt;code&gt;)</t>
        </is>
      </c>
    </row>
    <row r="25">
      <c r="B25" s="6" t="inlineStr">
        <is>
          <t>Warehouses</t>
        </is>
      </c>
      <c r="C25" s="7" t="inlineStr">
        <is>
          <t>Warehouses / stores and their inventory account</t>
        </is>
      </c>
    </row>
    <row r="26">
      <c r="B26" s="6" t="inlineStr">
        <is>
          <t>Stock Items</t>
        </is>
      </c>
      <c r="C26" s="7" t="inlineStr">
        <is>
          <t>Item master</t>
        </is>
      </c>
    </row>
    <row r="27">
      <c r="B27" s="6" t="inlineStr">
        <is>
          <t>Price List</t>
        </is>
      </c>
      <c r="C27" s="7" t="inlineStr">
        <is>
          <t>Unit-rate price list (historical cost × (1 + markup) = client price)</t>
        </is>
      </c>
    </row>
    <row r="28">
      <c r="B28" s="6" t="inlineStr">
        <is>
          <t>BOQ Lines</t>
        </is>
      </c>
      <c r="C28" s="7" t="inlineStr">
        <is>
          <t>Bills of quantities — one row per line; rows with the same BOQ Title + Business Unit form one BOQ</t>
        </is>
      </c>
    </row>
    <row r="29">
      <c r="B29" s="6" t="inlineStr">
        <is>
          <t>Direct Costs</t>
        </is>
      </c>
      <c r="C29" s="7" t="inlineStr">
        <is>
          <t>Direct costs (cost of revenue) per business unit — materials, subcontractors, site work</t>
        </is>
      </c>
    </row>
    <row r="30">
      <c r="B30" s="6" t="inlineStr">
        <is>
          <t>Operating Expenses</t>
        </is>
      </c>
      <c r="C30" s="7" t="inlineStr">
        <is>
          <t>Operating expenses. Leave Business Unit blank for shared overhead (allocated by Overhead %). Paid Now blank = paid in full</t>
        </is>
      </c>
    </row>
    <row r="31">
      <c r="B31" s="6" t="inlineStr">
        <is>
          <t>Payroll</t>
        </is>
      </c>
      <c r="C31" s="7" t="inlineStr">
        <is>
          <t>Payroll accruals — wages earned (and paid now) per worker</t>
        </is>
      </c>
    </row>
    <row r="32">
      <c r="B32" s="6" t="inlineStr">
        <is>
          <t>Receipt Vouchers</t>
        </is>
      </c>
      <c r="C32" s="7" t="inlineStr">
        <is>
          <t>Money received from clients. Credit Account: revenue (cash basis), receivables (against an invoice) or client advances</t>
        </is>
      </c>
    </row>
    <row r="33">
      <c r="B33" s="6" t="inlineStr">
        <is>
          <t>Sales Invoices</t>
        </is>
      </c>
      <c r="C33" s="7" t="inlineStr">
        <is>
          <t>Sales invoices / progress billings. Amount is the sum of the invoice's lines</t>
        </is>
      </c>
    </row>
    <row r="34">
      <c r="B34" s="6" t="inlineStr">
        <is>
          <t>Invoice Lines</t>
        </is>
      </c>
      <c r="C34" s="7" t="inlineStr">
        <is>
          <t>Lines of each sales invoice</t>
        </is>
      </c>
    </row>
    <row r="35">
      <c r="B35" s="6" t="inlineStr">
        <is>
          <t>Payment Vouchers</t>
        </is>
      </c>
      <c r="C35" s="7" t="inlineStr">
        <is>
          <t>Payments settling what we owe suppliers, subcontractors and workers</t>
        </is>
      </c>
    </row>
    <row r="36">
      <c r="B36" s="6" t="inlineStr">
        <is>
          <t>Partner Transactions</t>
        </is>
      </c>
      <c r="C36" s="7" t="inlineStr">
        <is>
          <t>Capital contributions and owner drawings / dividends</t>
        </is>
      </c>
    </row>
    <row r="37">
      <c r="B37" s="6" t="inlineStr">
        <is>
          <t>Stock Moves</t>
        </is>
      </c>
      <c r="C37" s="7" t="inlineStr">
        <is>
          <t>Goods receipts, material issues to business units, transfers and count adjustments (Adjustment Qty = counted − system, may be negative)</t>
        </is>
      </c>
    </row>
    <row r="38">
      <c r="B38" s="6" t="inlineStr">
        <is>
          <t>Journal Vouchers</t>
        </is>
      </c>
      <c r="C38" s="7" t="inlineStr">
        <is>
          <t>Journal vouchers — opening balances, depreciation, amortization, tax, loans, accruals. Rows sharing a Voucher No. form one balanced entry</t>
        </is>
      </c>
    </row>
    <row r="39">
      <c r="B39" s="6" t="inlineStr">
        <is>
          <t>Trial Balance</t>
        </is>
      </c>
      <c r="C39" s="7" t="inlineStr">
        <is>
          <t>opening, period movement, closing per account</t>
        </is>
      </c>
    </row>
    <row r="40">
      <c r="B40" s="6" t="inlineStr">
        <is>
          <t>Income Statement</t>
        </is>
      </c>
      <c r="C40" s="7" t="inlineStr">
        <is>
          <t>Net sales → Gross profit → EBITDA → EBIT → EBT → Net profit</t>
        </is>
      </c>
    </row>
    <row r="41">
      <c r="B41" s="6" t="inlineStr">
        <is>
          <t>Balance Sheet</t>
        </is>
      </c>
      <c r="C41" s="7" t="inlineStr">
        <is>
          <t>as of the report end date</t>
        </is>
      </c>
    </row>
    <row r="42">
      <c r="B42" s="6" t="inlineStr">
        <is>
          <t>Cash Flow</t>
        </is>
      </c>
      <c r="C42" s="7" t="inlineStr">
        <is>
          <t>indirect method, reconciled to cash</t>
        </is>
      </c>
    </row>
    <row r="43">
      <c r="B43" s="6" t="inlineStr">
        <is>
          <t>Tax Summary</t>
        </is>
      </c>
      <c r="C43" s="7" t="inlineStr">
        <is>
          <t>output / input VAT, net VAT due, withholding balances</t>
        </is>
      </c>
    </row>
    <row r="44">
      <c r="B44" s="6" t="inlineStr">
        <is>
          <t>BU Profitability</t>
        </is>
      </c>
      <c r="C44" s="7" t="inlineStr">
        <is>
          <t>incl. allocated shared overhead</t>
        </is>
      </c>
    </row>
    <row r="45">
      <c r="B45" s="6" t="inlineStr">
        <is>
          <t>Partner Equity</t>
        </is>
      </c>
      <c r="C45" s="7" t="inlineStr">
        <is>
          <t>profit share, reserve, drawings, balance</t>
        </is>
      </c>
    </row>
    <row r="46">
      <c r="B46" s="6" t="inlineStr">
        <is>
          <t>Payables</t>
        </is>
      </c>
      <c r="C46" s="7" t="inlineStr">
        <is>
          <t>what is owed to each supplier / worker</t>
        </is>
      </c>
    </row>
    <row r="47">
      <c r="B47" s="6" t="inlineStr">
        <is>
          <t>Quick Estimator</t>
        </is>
      </c>
      <c r="C47" s="7" t="inlineStr">
        <is>
          <t>price a scope from the price list</t>
        </is>
      </c>
    </row>
    <row r="48">
      <c r="B48" s="6" t="inlineStr">
        <is>
          <t>Model Audit</t>
        </is>
      </c>
      <c r="C48" s="7" t="inlineStr">
        <is>
          <t>integrity checks (must all be OK)</t>
        </is>
      </c>
    </row>
    <row r="49"/>
    <row r="50">
      <c r="B50" s="4" t="inlineStr">
        <is>
          <t>Audit status</t>
        </is>
      </c>
      <c r="C50" s="4">
        <f>'Model Audit'!E11</f>
        <v/>
      </c>
    </row>
  </sheetData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  <hyperlink xmlns:r="http://schemas.openxmlformats.org/officeDocument/2006/relationships" ref="B27" r:id="rId11"/>
    <hyperlink xmlns:r="http://schemas.openxmlformats.org/officeDocument/2006/relationships" ref="B28" r:id="rId12"/>
    <hyperlink xmlns:r="http://schemas.openxmlformats.org/officeDocument/2006/relationships" ref="B29" r:id="rId13"/>
    <hyperlink xmlns:r="http://schemas.openxmlformats.org/officeDocument/2006/relationships" ref="B30" r:id="rId14"/>
    <hyperlink xmlns:r="http://schemas.openxmlformats.org/officeDocument/2006/relationships" ref="B31" r:id="rId15"/>
    <hyperlink xmlns:r="http://schemas.openxmlformats.org/officeDocument/2006/relationships" ref="B32" r:id="rId16"/>
    <hyperlink xmlns:r="http://schemas.openxmlformats.org/officeDocument/2006/relationships" ref="B33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38" r:id="rId22"/>
    <hyperlink xmlns:r="http://schemas.openxmlformats.org/officeDocument/2006/relationships" ref="B39" r:id="rId23"/>
    <hyperlink xmlns:r="http://schemas.openxmlformats.org/officeDocument/2006/relationships" ref="B40" r:id="rId24"/>
    <hyperlink xmlns:r="http://schemas.openxmlformats.org/officeDocument/2006/relationships" ref="B41" r:id="rId25"/>
    <hyperlink xmlns:r="http://schemas.openxmlformats.org/officeDocument/2006/relationships" ref="B42" r:id="rId26"/>
    <hyperlink xmlns:r="http://schemas.openxmlformats.org/officeDocument/2006/relationships" ref="B43" r:id="rId27"/>
    <hyperlink xmlns:r="http://schemas.openxmlformats.org/officeDocument/2006/relationships" ref="B44" r:id="rId28"/>
    <hyperlink xmlns:r="http://schemas.openxmlformats.org/officeDocument/2006/relationships" ref="B45" r:id="rId29"/>
    <hyperlink xmlns:r="http://schemas.openxmlformats.org/officeDocument/2006/relationships" ref="B46" r:id="rId30"/>
    <hyperlink xmlns:r="http://schemas.openxmlformats.org/officeDocument/2006/relationships" ref="B47" r:id="rId31"/>
    <hyperlink xmlns:r="http://schemas.openxmlformats.org/officeDocument/2006/relationships" ref="B48" r:id="rId32"/>
  </hyperlinks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  <drawing r:id="rIdB1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B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 ht="24" customHeight="1">
      <c r="A1" s="8" t="inlineStr">
        <is>
          <t>BEYOND DESIGN | SETTINGS</t>
        </is>
      </c>
    </row>
    <row r="2">
      <c r="A2" s="9" t="inlineStr">
        <is>
          <t>Company settings &amp; report period</t>
        </is>
      </c>
    </row>
    <row r="3">
      <c r="A3" s="10" t="inlineStr">
        <is>
          <t>e.g. company_name</t>
        </is>
      </c>
      <c r="B3" s="10" t="inlineStr">
        <is>
          <t>BEYOND DESIGN</t>
        </is>
      </c>
    </row>
    <row r="4" ht="30" customHeight="1">
      <c r="A4" s="11" t="inlineStr">
        <is>
          <t>Key</t>
        </is>
      </c>
      <c r="B4" s="11" t="inlineStr">
        <is>
          <t>Value</t>
        </is>
      </c>
    </row>
    <row r="5">
      <c r="A5" s="12" t="inlineStr">
        <is>
          <t>report_from</t>
        </is>
      </c>
      <c r="B5" s="13" t="n">
        <v>46023</v>
      </c>
    </row>
    <row r="6">
      <c r="A6" s="12" t="inlineStr">
        <is>
          <t>report_to</t>
        </is>
      </c>
      <c r="B6" s="13" t="n">
        <v>46387</v>
      </c>
    </row>
    <row r="7">
      <c r="A7" s="12" t="inlineStr">
        <is>
          <t>appearance</t>
        </is>
      </c>
      <c r="B7" s="12" t="inlineStr">
        <is>
          <t>{}</t>
        </is>
      </c>
    </row>
    <row r="8">
      <c r="A8" s="12" t="inlineStr">
        <is>
          <t>backup_keep</t>
        </is>
      </c>
      <c r="B8" s="12" t="inlineStr">
        <is>
          <t>14</t>
        </is>
      </c>
    </row>
    <row r="9">
      <c r="A9" s="12" t="inlineStr">
        <is>
          <t>bank_account</t>
        </is>
      </c>
      <c r="B9" s="14" t="n"/>
    </row>
    <row r="10">
      <c r="A10" s="12" t="inlineStr">
        <is>
          <t>bank_holder</t>
        </is>
      </c>
      <c r="B10" s="14" t="n"/>
    </row>
    <row r="11">
      <c r="A11" s="12" t="inlineStr">
        <is>
          <t>bank_iban</t>
        </is>
      </c>
      <c r="B11" s="14" t="n"/>
    </row>
    <row r="12">
      <c r="A12" s="12" t="inlineStr">
        <is>
          <t>bank_name</t>
        </is>
      </c>
      <c r="B12" s="14" t="n"/>
    </row>
    <row r="13">
      <c r="A13" s="12" t="inlineStr">
        <is>
          <t>bank_swift</t>
        </is>
      </c>
      <c r="B13" s="14" t="n"/>
    </row>
    <row r="14">
      <c r="A14" s="12" t="inlineStr">
        <is>
          <t>branding</t>
        </is>
      </c>
      <c r="B14" s="12" t="inlineStr">
        <is>
          <t>{}</t>
        </is>
      </c>
    </row>
    <row r="15">
      <c r="A15" s="12" t="inlineStr">
        <is>
          <t>coa_v2</t>
        </is>
      </c>
      <c r="B15" s="12" t="inlineStr">
        <is>
          <t>1</t>
        </is>
      </c>
    </row>
    <row r="16">
      <c r="A16" s="12" t="inlineStr">
        <is>
          <t>company_address</t>
        </is>
      </c>
      <c r="B16" s="14" t="n"/>
    </row>
    <row r="17">
      <c r="A17" s="12" t="inlineStr">
        <is>
          <t>company_city</t>
        </is>
      </c>
      <c r="B17" s="14" t="n"/>
    </row>
    <row r="18">
      <c r="A18" s="12" t="inlineStr">
        <is>
          <t>company_cr_no</t>
        </is>
      </c>
      <c r="B18" s="14" t="n"/>
    </row>
    <row r="19">
      <c r="A19" s="12" t="inlineStr">
        <is>
          <t>company_email</t>
        </is>
      </c>
      <c r="B19" s="14" t="n"/>
    </row>
    <row r="20">
      <c r="A20" s="12" t="inlineStr">
        <is>
          <t>company_legal_name</t>
        </is>
      </c>
      <c r="B20" s="14" t="n"/>
    </row>
    <row r="21">
      <c r="A21" s="12" t="inlineStr">
        <is>
          <t>company_name</t>
        </is>
      </c>
      <c r="B21" s="12" t="inlineStr">
        <is>
          <t>BEYOND DESIGN</t>
        </is>
      </c>
    </row>
    <row r="22">
      <c r="A22" s="12" t="inlineStr">
        <is>
          <t>company_phone</t>
        </is>
      </c>
      <c r="B22" s="14" t="n"/>
    </row>
    <row r="23">
      <c r="A23" s="12" t="inlineStr">
        <is>
          <t>company_tagline</t>
        </is>
      </c>
      <c r="B23" s="12" t="inlineStr">
        <is>
          <t>Interior Design &amp; Finishing</t>
        </is>
      </c>
    </row>
    <row r="24">
      <c r="A24" s="12" t="inlineStr">
        <is>
          <t>company_tax_id</t>
        </is>
      </c>
      <c r="B24" s="14" t="n"/>
    </row>
    <row r="25">
      <c r="A25" s="12" t="inlineStr">
        <is>
          <t>company_website</t>
        </is>
      </c>
      <c r="B25" s="14" t="n"/>
    </row>
    <row r="26">
      <c r="A26" s="12" t="inlineStr">
        <is>
          <t>currency</t>
        </is>
      </c>
      <c r="B26" s="12" t="inlineStr">
        <is>
          <t>EGP</t>
        </is>
      </c>
    </row>
    <row r="27">
      <c r="A27" s="12" t="inlineStr">
        <is>
          <t>entry_types</t>
        </is>
      </c>
      <c r="B27" s="14" t="n"/>
    </row>
    <row r="28">
      <c r="A28" s="12" t="inlineStr">
        <is>
          <t>eta_activity_code</t>
        </is>
      </c>
      <c r="B28" s="14" t="n"/>
    </row>
    <row r="29">
      <c r="A29" s="12" t="inlineStr">
        <is>
          <t>eta_branch_id</t>
        </is>
      </c>
      <c r="B29" s="12" t="inlineStr">
        <is>
          <t>0</t>
        </is>
      </c>
    </row>
    <row r="30">
      <c r="A30" s="12" t="inlineStr">
        <is>
          <t>eta_building</t>
        </is>
      </c>
      <c r="B30" s="14" t="n"/>
    </row>
    <row r="31">
      <c r="A31" s="12" t="inlineStr">
        <is>
          <t>eta_client_id</t>
        </is>
      </c>
      <c r="B31" s="14" t="n"/>
    </row>
    <row r="32">
      <c r="A32" s="12" t="inlineStr">
        <is>
          <t>eta_default_item_code</t>
        </is>
      </c>
      <c r="B32" s="14" t="n"/>
    </row>
    <row r="33">
      <c r="A33" s="12" t="inlineStr">
        <is>
          <t>eta_default_unit</t>
        </is>
      </c>
      <c r="B33" s="12" t="inlineStr">
        <is>
          <t>EA</t>
        </is>
      </c>
    </row>
    <row r="34">
      <c r="A34" s="12" t="inlineStr">
        <is>
          <t>eta_doc_version</t>
        </is>
      </c>
      <c r="B34" s="12" t="inlineStr">
        <is>
          <t>1.0</t>
        </is>
      </c>
    </row>
    <row r="35">
      <c r="A35" s="12" t="inlineStr">
        <is>
          <t>eta_env</t>
        </is>
      </c>
      <c r="B35" s="12" t="inlineStr">
        <is>
          <t>preprod</t>
        </is>
      </c>
    </row>
    <row r="36">
      <c r="A36" s="12" t="inlineStr">
        <is>
          <t>eta_governate</t>
        </is>
      </c>
      <c r="B36" s="14" t="n"/>
    </row>
    <row r="37">
      <c r="A37" s="12" t="inlineStr">
        <is>
          <t>eta_item_prefix</t>
        </is>
      </c>
      <c r="B37" s="12" t="inlineStr">
        <is>
          <t>EG</t>
        </is>
      </c>
    </row>
    <row r="38">
      <c r="A38" s="12" t="inlineStr">
        <is>
          <t>eta_postal_code</t>
        </is>
      </c>
      <c r="B38" s="14" t="n"/>
    </row>
    <row r="39">
      <c r="A39" s="12" t="inlineStr">
        <is>
          <t>eta_region</t>
        </is>
      </c>
      <c r="B39" s="14" t="n"/>
    </row>
    <row r="40">
      <c r="A40" s="12" t="inlineStr">
        <is>
          <t>eta_signer_url</t>
        </is>
      </c>
      <c r="B40" s="14" t="n"/>
    </row>
    <row r="41">
      <c r="A41" s="12" t="inlineStr">
        <is>
          <t>eta_street</t>
        </is>
      </c>
      <c r="B41" s="14" t="n"/>
    </row>
    <row r="42">
      <c r="A42" s="12" t="inlineStr">
        <is>
          <t>fiscal_year_start</t>
        </is>
      </c>
      <c r="B42" s="12" t="inlineStr">
        <is>
          <t>01-01</t>
        </is>
      </c>
    </row>
    <row r="43">
      <c r="A43" s="12" t="inlineStr">
        <is>
          <t>font_family</t>
        </is>
      </c>
      <c r="B43" s="12" t="inlineStr">
        <is>
          <t>system</t>
        </is>
      </c>
    </row>
    <row r="44">
      <c r="A44" s="12" t="inlineStr">
        <is>
          <t>font_size</t>
        </is>
      </c>
      <c r="B44" s="12" t="inlineStr">
        <is>
          <t>15</t>
        </is>
      </c>
    </row>
    <row r="45">
      <c r="A45" s="12" t="inlineStr">
        <is>
          <t>hidden_modules</t>
        </is>
      </c>
      <c r="B45" s="12" t="inlineStr">
        <is>
          <t>[]</t>
        </is>
      </c>
    </row>
    <row r="46">
      <c r="A46" s="12" t="inlineStr">
        <is>
          <t>lock_date</t>
        </is>
      </c>
      <c r="B46" s="14" t="n"/>
    </row>
    <row r="47">
      <c r="A47" s="12" t="inlineStr">
        <is>
          <t>menu_labels</t>
        </is>
      </c>
      <c r="B47" s="12" t="inlineStr">
        <is>
          <t>{}</t>
        </is>
      </c>
    </row>
    <row r="48">
      <c r="A48" s="12" t="inlineStr">
        <is>
          <t>new_menu</t>
        </is>
      </c>
      <c r="B48" s="12" t="inlineStr">
        <is>
          <t>[]</t>
        </is>
      </c>
    </row>
    <row r="49">
      <c r="A49" s="12" t="inlineStr">
        <is>
          <t>offer_digits</t>
        </is>
      </c>
      <c r="B49" s="12" t="inlineStr">
        <is>
          <t>4</t>
        </is>
      </c>
    </row>
    <row r="50">
      <c r="A50" s="12" t="inlineStr">
        <is>
          <t>offer_prefix</t>
        </is>
      </c>
      <c r="B50" s="12" t="inlineStr">
        <is>
          <t>OFR-</t>
        </is>
      </c>
    </row>
    <row r="51">
      <c r="A51" s="12" t="inlineStr">
        <is>
          <t>offer_validity_days</t>
        </is>
      </c>
      <c r="B51" s="12" t="inlineStr">
        <is>
          <t>15</t>
        </is>
      </c>
    </row>
    <row r="52">
      <c r="A52" s="12" t="inlineStr">
        <is>
          <t>regional</t>
        </is>
      </c>
      <c r="B52" s="12" t="inlineStr">
        <is>
          <t>{}</t>
        </is>
      </c>
    </row>
    <row r="53">
      <c r="A53" s="12" t="inlineStr">
        <is>
          <t>reserve_pct</t>
        </is>
      </c>
      <c r="B53" s="12" t="inlineStr">
        <is>
          <t>0.40</t>
        </is>
      </c>
    </row>
    <row r="54">
      <c r="A54" s="12" t="inlineStr">
        <is>
          <t>units</t>
        </is>
      </c>
      <c r="B54" s="12" t="inlineStr">
        <is>
          <t>["Task", "pcs", "m2", "m.t", "ML", "kg", "ton", "L", "Lump Sum", "عدد", "م٢", "م.ط", "مقطوعية"]</t>
        </is>
      </c>
    </row>
  </sheetData>
  <autoFilter ref="A4:B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0"/>
    <pageSetUpPr/>
  </sheetPr>
  <dimension ref="A1:H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24" customWidth="1" min="4" max="4"/>
    <col hidden="1" outlineLevel="1" width="10" customWidth="1" min="5" max="5"/>
    <col width="18" customWidth="1" min="6" max="6"/>
    <col width="34" customWidth="1" min="7" max="7"/>
    <col width="7" customWidth="1" min="8" max="8"/>
  </cols>
  <sheetData>
    <row r="1" ht="24" customHeight="1">
      <c r="A1" s="8" t="inlineStr">
        <is>
          <t>BEYOND DESIGN | CHART OF ACCOUNTS</t>
        </is>
      </c>
    </row>
    <row r="2">
      <c r="A2" s="9" t="inlineStr">
        <is>
          <t>Chart of accounts — edit codes and names freely; Role is the system tag (do not duplicate)</t>
        </is>
      </c>
    </row>
    <row r="3">
      <c r="A3" s="10" t="inlineStr">
        <is>
          <t>e.g. 6095</t>
        </is>
      </c>
      <c r="B3" s="10" t="inlineStr">
        <is>
          <t>Cleaning &amp; Hospitality</t>
        </is>
      </c>
      <c r="C3" s="10" t="inlineStr">
        <is>
          <t>Expense</t>
        </is>
      </c>
      <c r="D3" s="10" t="inlineStr">
        <is>
          <t>general_admin</t>
        </is>
      </c>
      <c r="F3" s="10" t="inlineStr"/>
      <c r="H3" s="10" t="inlineStr">
        <is>
          <t>Yes</t>
        </is>
      </c>
    </row>
    <row r="4" ht="30" customHeight="1">
      <c r="A4" s="11" t="inlineStr">
        <is>
          <t>Code</t>
        </is>
      </c>
      <c r="B4" s="11" t="inlineStr">
        <is>
          <t>Account Name</t>
        </is>
      </c>
      <c r="C4" s="11" t="inlineStr">
        <is>
          <t>Type</t>
        </is>
      </c>
      <c r="D4" s="11" t="inlineStr">
        <is>
          <t>Statement Line</t>
        </is>
      </c>
      <c r="E4" s="15" t="inlineStr">
        <is>
          <t>Normal Balance</t>
        </is>
      </c>
      <c r="F4" s="11" t="inlineStr">
        <is>
          <t>System Role</t>
        </is>
      </c>
      <c r="G4" s="11" t="inlineStr">
        <is>
          <t>Arabic Name</t>
        </is>
      </c>
      <c r="H4" s="11" t="inlineStr">
        <is>
          <t>Active</t>
        </is>
      </c>
    </row>
    <row r="5">
      <c r="A5" s="12" t="inlineStr">
        <is>
          <t>1010</t>
        </is>
      </c>
      <c r="B5" s="12" t="inlineStr">
        <is>
          <t>Cash on Hand</t>
        </is>
      </c>
      <c r="C5" s="12" t="inlineStr">
        <is>
          <t>Asset</t>
        </is>
      </c>
      <c r="D5" s="12" t="inlineStr">
        <is>
          <t>cash</t>
        </is>
      </c>
      <c r="E5" s="16">
        <f>IF(OR(C5="Asset",C5="COGS",C5="Expense"),IF(OR(D5="accumulated_depreciation",D5="accumulated_amortization",D5="allowance_doubtful"),"Credit","Debit"),IF(OR(D5="drawings",D5="sales_discount"),"Debit","Credit"))</f>
        <v/>
      </c>
      <c r="F5" s="12" t="inlineStr">
        <is>
          <t>cash</t>
        </is>
      </c>
      <c r="G5" s="12" t="inlineStr">
        <is>
          <t>النقدية بالصندوق</t>
        </is>
      </c>
      <c r="H5" s="12" t="inlineStr">
        <is>
          <t>Yes</t>
        </is>
      </c>
    </row>
    <row r="6">
      <c r="A6" s="12" t="inlineStr">
        <is>
          <t>1020</t>
        </is>
      </c>
      <c r="B6" s="12" t="inlineStr">
        <is>
          <t>Bank Account</t>
        </is>
      </c>
      <c r="C6" s="12" t="inlineStr">
        <is>
          <t>Asset</t>
        </is>
      </c>
      <c r="D6" s="12" t="inlineStr">
        <is>
          <t>cash</t>
        </is>
      </c>
      <c r="E6" s="16">
        <f>IF(OR(C6="Asset",C6="COGS",C6="Expense"),IF(OR(D6="accumulated_depreciation",D6="accumulated_amortization",D6="allowance_doubtful"),"Credit","Debit"),IF(OR(D6="drawings",D6="sales_discount"),"Debit","Credit"))</f>
        <v/>
      </c>
      <c r="F6" s="12" t="inlineStr">
        <is>
          <t>bank</t>
        </is>
      </c>
      <c r="G6" s="12" t="inlineStr">
        <is>
          <t>الحساب البنكي</t>
        </is>
      </c>
      <c r="H6" s="12" t="inlineStr">
        <is>
          <t>Yes</t>
        </is>
      </c>
    </row>
    <row r="7">
      <c r="A7" s="12" t="inlineStr">
        <is>
          <t>1030</t>
        </is>
      </c>
      <c r="B7" s="12" t="inlineStr">
        <is>
          <t>Petty Cash</t>
        </is>
      </c>
      <c r="C7" s="12" t="inlineStr">
        <is>
          <t>Asset</t>
        </is>
      </c>
      <c r="D7" s="12" t="inlineStr">
        <is>
          <t>cash</t>
        </is>
      </c>
      <c r="E7" s="16">
        <f>IF(OR(C7="Asset",C7="COGS",C7="Expense"),IF(OR(D7="accumulated_depreciation",D7="accumulated_amortization",D7="allowance_doubtful"),"Credit","Debit"),IF(OR(D7="drawings",D7="sales_discount"),"Debit","Credit"))</f>
        <v/>
      </c>
      <c r="F7" s="14" t="n"/>
      <c r="G7" s="12" t="inlineStr">
        <is>
          <t>العهد النقدية</t>
        </is>
      </c>
      <c r="H7" s="12" t="inlineStr">
        <is>
          <t>Yes</t>
        </is>
      </c>
    </row>
    <row r="8">
      <c r="A8" s="12" t="inlineStr">
        <is>
          <t>1035</t>
        </is>
      </c>
      <c r="B8" s="12" t="inlineStr">
        <is>
          <t>Cash Custody with Employees</t>
        </is>
      </c>
      <c r="C8" s="12" t="inlineStr">
        <is>
          <t>Asset</t>
        </is>
      </c>
      <c r="D8" s="12" t="inlineStr">
        <is>
          <t>other_current_asset</t>
        </is>
      </c>
      <c r="E8" s="16">
        <f>IF(OR(C8="Asset",C8="COGS",C8="Expense"),IF(OR(D8="accumulated_depreciation",D8="accumulated_amortization",D8="allowance_doubtful"),"Credit","Debit"),IF(OR(D8="drawings",D8="sales_discount"),"Debit","Credit"))</f>
        <v/>
      </c>
      <c r="F8" s="12" t="inlineStr">
        <is>
          <t>custody</t>
        </is>
      </c>
      <c r="G8" s="12" t="inlineStr">
        <is>
          <t>عهد نقدية لدى العاملين</t>
        </is>
      </c>
      <c r="H8" s="12" t="inlineStr">
        <is>
          <t>Yes</t>
        </is>
      </c>
    </row>
    <row r="9">
      <c r="A9" s="12" t="inlineStr">
        <is>
          <t>1100</t>
        </is>
      </c>
      <c r="B9" s="12" t="inlineStr">
        <is>
          <t>Accounts Receivable — Clients</t>
        </is>
      </c>
      <c r="C9" s="12" t="inlineStr">
        <is>
          <t>Asset</t>
        </is>
      </c>
      <c r="D9" s="12" t="inlineStr">
        <is>
          <t>receivable</t>
        </is>
      </c>
      <c r="E9" s="16">
        <f>IF(OR(C9="Asset",C9="COGS",C9="Expense"),IF(OR(D9="accumulated_depreciation",D9="accumulated_amortization",D9="allowance_doubtful"),"Credit","Debit"),IF(OR(D9="drawings",D9="sales_discount"),"Debit","Credit"))</f>
        <v/>
      </c>
      <c r="F9" s="12" t="inlineStr">
        <is>
          <t>ar</t>
        </is>
      </c>
      <c r="G9" s="12" t="inlineStr">
        <is>
          <t>العملاء (المدينون)</t>
        </is>
      </c>
      <c r="H9" s="12" t="inlineStr">
        <is>
          <t>Yes</t>
        </is>
      </c>
    </row>
    <row r="10">
      <c r="A10" s="12" t="inlineStr">
        <is>
          <t>1120</t>
        </is>
      </c>
      <c r="B10" s="12" t="inlineStr">
        <is>
          <t>Notes Receivable (Cheques Under Collection)</t>
        </is>
      </c>
      <c r="C10" s="12" t="inlineStr">
        <is>
          <t>Asset</t>
        </is>
      </c>
      <c r="D10" s="12" t="inlineStr">
        <is>
          <t>receivable</t>
        </is>
      </c>
      <c r="E10" s="16">
        <f>IF(OR(C10="Asset",C10="COGS",C10="Expense"),IF(OR(D10="accumulated_depreciation",D10="accumulated_amortization",D10="allowance_doubtful"),"Credit","Debit"),IF(OR(D10="drawings",D10="sales_discount"),"Debit","Credit"))</f>
        <v/>
      </c>
      <c r="F10" s="12" t="inlineStr">
        <is>
          <t>notes_receivable</t>
        </is>
      </c>
      <c r="G10" s="12" t="inlineStr">
        <is>
          <t>أوراق القبض (شيكات تحت التحصيل)</t>
        </is>
      </c>
      <c r="H10" s="12" t="inlineStr">
        <is>
          <t>Yes</t>
        </is>
      </c>
    </row>
    <row r="11">
      <c r="A11" s="12" t="inlineStr">
        <is>
          <t>1150</t>
        </is>
      </c>
      <c r="B11" s="12" t="inlineStr">
        <is>
          <t>Retention Receivable</t>
        </is>
      </c>
      <c r="C11" s="12" t="inlineStr">
        <is>
          <t>Asset</t>
        </is>
      </c>
      <c r="D11" s="12" t="inlineStr">
        <is>
          <t>receivable</t>
        </is>
      </c>
      <c r="E11" s="16">
        <f>IF(OR(C11="Asset",C11="COGS",C11="Expense"),IF(OR(D11="accumulated_depreciation",D11="accumulated_amortization",D11="allowance_doubtful"),"Credit","Debit"),IF(OR(D11="drawings",D11="sales_discount"),"Debit","Credit"))</f>
        <v/>
      </c>
      <c r="F11" s="14" t="n"/>
      <c r="G11" s="12" t="inlineStr">
        <is>
          <t>محتجزات لدى العملاء (ضمان أعمال)</t>
        </is>
      </c>
      <c r="H11" s="12" t="inlineStr">
        <is>
          <t>Yes</t>
        </is>
      </c>
    </row>
    <row r="12">
      <c r="A12" s="12" t="inlineStr">
        <is>
          <t>1160</t>
        </is>
      </c>
      <c r="B12" s="12" t="inlineStr">
        <is>
          <t>Employee Advances</t>
        </is>
      </c>
      <c r="C12" s="12" t="inlineStr">
        <is>
          <t>Asset</t>
        </is>
      </c>
      <c r="D12" s="12" t="inlineStr">
        <is>
          <t>other_current_asset</t>
        </is>
      </c>
      <c r="E12" s="16">
        <f>IF(OR(C12="Asset",C12="COGS",C12="Expense"),IF(OR(D12="accumulated_depreciation",D12="accumulated_amortization",D12="allowance_doubtful"),"Credit","Debit"),IF(OR(D12="drawings",D12="sales_discount"),"Debit","Credit"))</f>
        <v/>
      </c>
      <c r="F12" s="14" t="n"/>
      <c r="G12" s="12" t="inlineStr">
        <is>
          <t>سلف العاملين</t>
        </is>
      </c>
      <c r="H12" s="12" t="inlineStr">
        <is>
          <t>Yes</t>
        </is>
      </c>
    </row>
    <row r="13">
      <c r="A13" s="12" t="inlineStr">
        <is>
          <t>1170</t>
        </is>
      </c>
      <c r="B13" s="12" t="inlineStr">
        <is>
          <t>Due from Partners</t>
        </is>
      </c>
      <c r="C13" s="12" t="inlineStr">
        <is>
          <t>Asset</t>
        </is>
      </c>
      <c r="D13" s="12" t="inlineStr">
        <is>
          <t>other_current_asset</t>
        </is>
      </c>
      <c r="E13" s="16">
        <f>IF(OR(C13="Asset",C13="COGS",C13="Expense"),IF(OR(D13="accumulated_depreciation",D13="accumulated_amortization",D13="allowance_doubtful"),"Credit","Debit"),IF(OR(D13="drawings",D13="sales_discount"),"Debit","Credit"))</f>
        <v/>
      </c>
      <c r="F13" s="12" t="inlineStr">
        <is>
          <t>partner_receivable</t>
        </is>
      </c>
      <c r="G13" s="12" t="inlineStr">
        <is>
          <t>مستحق من الشركاء</t>
        </is>
      </c>
      <c r="H13" s="12" t="inlineStr">
        <is>
          <t>Yes</t>
        </is>
      </c>
    </row>
    <row r="14">
      <c r="A14" s="12" t="inlineStr">
        <is>
          <t>1175</t>
        </is>
      </c>
      <c r="B14" s="12" t="inlineStr">
        <is>
          <t>Loans Receivable (Short-term)</t>
        </is>
      </c>
      <c r="C14" s="12" t="inlineStr">
        <is>
          <t>Asset</t>
        </is>
      </c>
      <c r="D14" s="12" t="inlineStr">
        <is>
          <t>other_current_asset</t>
        </is>
      </c>
      <c r="E14" s="16">
        <f>IF(OR(C14="Asset",C14="COGS",C14="Expense"),IF(OR(D14="accumulated_depreciation",D14="accumulated_amortization",D14="allowance_doubtful"),"Credit","Debit"),IF(OR(D14="drawings",D14="sales_discount"),"Debit","Credit"))</f>
        <v/>
      </c>
      <c r="F14" s="12" t="inlineStr">
        <is>
          <t>loans_receivable</t>
        </is>
      </c>
      <c r="G14" s="12" t="inlineStr">
        <is>
          <t>قروض ممنوحة للغير (قصيرة الأجل)</t>
        </is>
      </c>
      <c r="H14" s="12" t="inlineStr">
        <is>
          <t>Yes</t>
        </is>
      </c>
    </row>
    <row r="15">
      <c r="A15" s="12" t="inlineStr">
        <is>
          <t>1180</t>
        </is>
      </c>
      <c r="B15" s="12" t="inlineStr">
        <is>
          <t>Unbilled Revenue (Work Done, Not Yet Invoiced)</t>
        </is>
      </c>
      <c r="C15" s="12" t="inlineStr">
        <is>
          <t>Asset</t>
        </is>
      </c>
      <c r="D15" s="12" t="inlineStr">
        <is>
          <t>other_current_asset</t>
        </is>
      </c>
      <c r="E15" s="16">
        <f>IF(OR(C15="Asset",C15="COGS",C15="Expense"),IF(OR(D15="accumulated_depreciation",D15="accumulated_amortization",D15="allowance_doubtful"),"Credit","Debit"),IF(OR(D15="drawings",D15="sales_discount"),"Debit","Credit"))</f>
        <v/>
      </c>
      <c r="F15" s="14" t="n"/>
      <c r="G15" s="12" t="inlineStr">
        <is>
          <t>إيرادات مستحقة غير مفوترة (أعمال منفذة)</t>
        </is>
      </c>
      <c r="H15" s="12" t="inlineStr">
        <is>
          <t>Yes</t>
        </is>
      </c>
    </row>
    <row r="16">
      <c r="A16" s="12" t="inlineStr">
        <is>
          <t>1185</t>
        </is>
      </c>
      <c r="B16" s="12" t="inlineStr">
        <is>
          <t>Accrued Interest Receivable</t>
        </is>
      </c>
      <c r="C16" s="12" t="inlineStr">
        <is>
          <t>Asset</t>
        </is>
      </c>
      <c r="D16" s="12" t="inlineStr">
        <is>
          <t>other_current_asset</t>
        </is>
      </c>
      <c r="E16" s="16">
        <f>IF(OR(C16="Asset",C16="COGS",C16="Expense"),IF(OR(D16="accumulated_depreciation",D16="accumulated_amortization",D16="allowance_doubtful"),"Credit","Debit"),IF(OR(D16="drawings",D16="sales_discount"),"Debit","Credit"))</f>
        <v/>
      </c>
      <c r="F16" s="12" t="inlineStr">
        <is>
          <t>interest_receivable</t>
        </is>
      </c>
      <c r="G16" s="12" t="inlineStr">
        <is>
          <t>فوائد مستحقة التحصيل</t>
        </is>
      </c>
      <c r="H16" s="12" t="inlineStr">
        <is>
          <t>Yes</t>
        </is>
      </c>
    </row>
    <row r="17">
      <c r="A17" s="12" t="inlineStr">
        <is>
          <t>1190</t>
        </is>
      </c>
      <c r="B17" s="12" t="inlineStr">
        <is>
          <t>Allowance for Doubtful Accounts</t>
        </is>
      </c>
      <c r="C17" s="12" t="inlineStr">
        <is>
          <t>Asset</t>
        </is>
      </c>
      <c r="D17" s="12" t="inlineStr">
        <is>
          <t>allowance_doubtful</t>
        </is>
      </c>
      <c r="E17" s="16">
        <f>IF(OR(C17="Asset",C17="COGS",C17="Expense"),IF(OR(D17="accumulated_depreciation",D17="accumulated_amortization",D17="allowance_doubtful"),"Credit","Debit"),IF(OR(D17="drawings",D17="sales_discount"),"Debit","Credit"))</f>
        <v/>
      </c>
      <c r="F17" s="12" t="inlineStr">
        <is>
          <t>doubtful_allowance</t>
        </is>
      </c>
      <c r="G17" s="12" t="inlineStr">
        <is>
          <t>مخصص الديون المشكوك في تحصيلها</t>
        </is>
      </c>
      <c r="H17" s="12" t="inlineStr">
        <is>
          <t>Yes</t>
        </is>
      </c>
    </row>
    <row r="18">
      <c r="A18" s="12" t="inlineStr">
        <is>
          <t>1200</t>
        </is>
      </c>
      <c r="B18" s="12" t="inlineStr">
        <is>
          <t>Materials Inventory</t>
        </is>
      </c>
      <c r="C18" s="12" t="inlineStr">
        <is>
          <t>Asset</t>
        </is>
      </c>
      <c r="D18" s="12" t="inlineStr">
        <is>
          <t>inventory</t>
        </is>
      </c>
      <c r="E18" s="16">
        <f>IF(OR(C18="Asset",C18="COGS",C18="Expense"),IF(OR(D18="accumulated_depreciation",D18="accumulated_amortization",D18="allowance_doubtful"),"Credit","Debit"),IF(OR(D18="drawings",D18="sales_discount"),"Debit","Credit"))</f>
        <v/>
      </c>
      <c r="F18" s="12" t="inlineStr">
        <is>
          <t>inventory</t>
        </is>
      </c>
      <c r="G18" s="12" t="inlineStr">
        <is>
          <t>مخزون الخامات</t>
        </is>
      </c>
      <c r="H18" s="12" t="inlineStr">
        <is>
          <t>Yes</t>
        </is>
      </c>
    </row>
    <row r="19">
      <c r="A19" s="12" t="inlineStr">
        <is>
          <t>1300</t>
        </is>
      </c>
      <c r="B19" s="12" t="inlineStr">
        <is>
          <t>Prepaid Expenses</t>
        </is>
      </c>
      <c r="C19" s="12" t="inlineStr">
        <is>
          <t>Asset</t>
        </is>
      </c>
      <c r="D19" s="12" t="inlineStr">
        <is>
          <t>prepaid</t>
        </is>
      </c>
      <c r="E19" s="16">
        <f>IF(OR(C19="Asset",C19="COGS",C19="Expense"),IF(OR(D19="accumulated_depreciation",D19="accumulated_amortization",D19="allowance_doubtful"),"Credit","Debit"),IF(OR(D19="drawings",D19="sales_discount"),"Debit","Credit"))</f>
        <v/>
      </c>
      <c r="F19" s="14" t="n"/>
      <c r="G19" s="12" t="inlineStr">
        <is>
          <t>مصروفات مدفوعة مقدماً</t>
        </is>
      </c>
      <c r="H19" s="12" t="inlineStr">
        <is>
          <t>Yes</t>
        </is>
      </c>
    </row>
    <row r="20">
      <c r="A20" s="12" t="inlineStr">
        <is>
          <t>1310</t>
        </is>
      </c>
      <c r="B20" s="12" t="inlineStr">
        <is>
          <t>Supplier Advances</t>
        </is>
      </c>
      <c r="C20" s="12" t="inlineStr">
        <is>
          <t>Asset</t>
        </is>
      </c>
      <c r="D20" s="12" t="inlineStr">
        <is>
          <t>prepaid</t>
        </is>
      </c>
      <c r="E20" s="16">
        <f>IF(OR(C20="Asset",C20="COGS",C20="Expense"),IF(OR(D20="accumulated_depreciation",D20="accumulated_amortization",D20="allowance_doubtful"),"Credit","Debit"),IF(OR(D20="drawings",D20="sales_discount"),"Debit","Credit"))</f>
        <v/>
      </c>
      <c r="F20" s="14" t="n"/>
      <c r="G20" s="12" t="inlineStr">
        <is>
          <t>دفعات مقدمة للموردين</t>
        </is>
      </c>
      <c r="H20" s="12" t="inlineStr">
        <is>
          <t>Yes</t>
        </is>
      </c>
    </row>
    <row r="21">
      <c r="A21" s="12" t="inlineStr">
        <is>
          <t>1320</t>
        </is>
      </c>
      <c r="B21" s="12" t="inlineStr">
        <is>
          <t>VAT Recoverable (Input)</t>
        </is>
      </c>
      <c r="C21" s="12" t="inlineStr">
        <is>
          <t>Asset</t>
        </is>
      </c>
      <c r="D21" s="12" t="inlineStr">
        <is>
          <t>other_current_asset</t>
        </is>
      </c>
      <c r="E21" s="16">
        <f>IF(OR(C21="Asset",C21="COGS",C21="Expense"),IF(OR(D21="accumulated_depreciation",D21="accumulated_amortization",D21="allowance_doubtful"),"Credit","Debit"),IF(OR(D21="drawings",D21="sales_discount"),"Debit","Credit"))</f>
        <v/>
      </c>
      <c r="F21" s="12" t="inlineStr">
        <is>
          <t>vat_input</t>
        </is>
      </c>
      <c r="G21" s="12" t="inlineStr">
        <is>
          <t>ضريبة القيمة المضافة (مدخلات)</t>
        </is>
      </c>
      <c r="H21" s="12" t="inlineStr">
        <is>
          <t>Yes</t>
        </is>
      </c>
    </row>
    <row r="22">
      <c r="A22" s="12" t="inlineStr">
        <is>
          <t>1330</t>
        </is>
      </c>
      <c r="B22" s="12" t="inlineStr">
        <is>
          <t>Withholding Tax Receivable (deducted by clients)</t>
        </is>
      </c>
      <c r="C22" s="12" t="inlineStr">
        <is>
          <t>Asset</t>
        </is>
      </c>
      <c r="D22" s="12" t="inlineStr">
        <is>
          <t>other_current_asset</t>
        </is>
      </c>
      <c r="E22" s="16">
        <f>IF(OR(C22="Asset",C22="COGS",C22="Expense"),IF(OR(D22="accumulated_depreciation",D22="accumulated_amortization",D22="allowance_doubtful"),"Credit","Debit"),IF(OR(D22="drawings",D22="sales_discount"),"Debit","Credit"))</f>
        <v/>
      </c>
      <c r="F22" s="12" t="inlineStr">
        <is>
          <t>wht_receivable</t>
        </is>
      </c>
      <c r="G22" s="12" t="inlineStr">
        <is>
          <t>ضريبة خصم وتحصيل لدى العملاء</t>
        </is>
      </c>
      <c r="H22" s="12" t="inlineStr">
        <is>
          <t>Yes</t>
        </is>
      </c>
    </row>
    <row r="23">
      <c r="A23" s="12" t="inlineStr">
        <is>
          <t>1340</t>
        </is>
      </c>
      <c r="B23" s="12" t="inlineStr">
        <is>
          <t>Letters of Guarantee — Cash Margin</t>
        </is>
      </c>
      <c r="C23" s="12" t="inlineStr">
        <is>
          <t>Asset</t>
        </is>
      </c>
      <c r="D23" s="12" t="inlineStr">
        <is>
          <t>other_current_asset</t>
        </is>
      </c>
      <c r="E23" s="16">
        <f>IF(OR(C23="Asset",C23="COGS",C23="Expense"),IF(OR(D23="accumulated_depreciation",D23="accumulated_amortization",D23="allowance_doubtful"),"Credit","Debit"),IF(OR(D23="drawings",D23="sales_discount"),"Debit","Credit"))</f>
        <v/>
      </c>
      <c r="F23" s="14" t="n"/>
      <c r="G23" s="12" t="inlineStr">
        <is>
          <t>غطاء خطابات الضمان</t>
        </is>
      </c>
      <c r="H23" s="12" t="inlineStr">
        <is>
          <t>Yes</t>
        </is>
      </c>
    </row>
    <row r="24">
      <c r="A24" s="12" t="inlineStr">
        <is>
          <t>1400</t>
        </is>
      </c>
      <c r="B24" s="12" t="inlineStr">
        <is>
          <t>Furniture &amp; Office Equipment</t>
        </is>
      </c>
      <c r="C24" s="12" t="inlineStr">
        <is>
          <t>Asset</t>
        </is>
      </c>
      <c r="D24" s="12" t="inlineStr">
        <is>
          <t>fixed_asset</t>
        </is>
      </c>
      <c r="E24" s="16">
        <f>IF(OR(C24="Asset",C24="COGS",C24="Expense"),IF(OR(D24="accumulated_depreciation",D24="accumulated_amortization",D24="allowance_doubtful"),"Credit","Debit"),IF(OR(D24="drawings",D24="sales_discount"),"Debit","Credit"))</f>
        <v/>
      </c>
      <c r="F24" s="12" t="inlineStr">
        <is>
          <t>fixed_asset</t>
        </is>
      </c>
      <c r="G24" s="12" t="inlineStr">
        <is>
          <t>أثاث ومعدات مكتبية</t>
        </is>
      </c>
      <c r="H24" s="12" t="inlineStr">
        <is>
          <t>Yes</t>
        </is>
      </c>
    </row>
    <row r="25">
      <c r="A25" s="12" t="inlineStr">
        <is>
          <t>1410</t>
        </is>
      </c>
      <c r="B25" s="12" t="inlineStr">
        <is>
          <t>Tools &amp; Site Equipment</t>
        </is>
      </c>
      <c r="C25" s="12" t="inlineStr">
        <is>
          <t>Asset</t>
        </is>
      </c>
      <c r="D25" s="12" t="inlineStr">
        <is>
          <t>fixed_asset</t>
        </is>
      </c>
      <c r="E25" s="16">
        <f>IF(OR(C25="Asset",C25="COGS",C25="Expense"),IF(OR(D25="accumulated_depreciation",D25="accumulated_amortization",D25="allowance_doubtful"),"Credit","Debit"),IF(OR(D25="drawings",D25="sales_discount"),"Debit","Credit"))</f>
        <v/>
      </c>
      <c r="F25" s="14" t="n"/>
      <c r="G25" s="12" t="inlineStr">
        <is>
          <t>عدد ومعدات مواقع</t>
        </is>
      </c>
      <c r="H25" s="12" t="inlineStr">
        <is>
          <t>Yes</t>
        </is>
      </c>
    </row>
    <row r="26">
      <c r="A26" s="12" t="inlineStr">
        <is>
          <t>1415</t>
        </is>
      </c>
      <c r="B26" s="12" t="inlineStr">
        <is>
          <t>Rental Equipment (Scaffolding, Elevators, Cradles)</t>
        </is>
      </c>
      <c r="C26" s="12" t="inlineStr">
        <is>
          <t>Asset</t>
        </is>
      </c>
      <c r="D26" s="12" t="inlineStr">
        <is>
          <t>fixed_asset</t>
        </is>
      </c>
      <c r="E26" s="16">
        <f>IF(OR(C26="Asset",C26="COGS",C26="Expense"),IF(OR(D26="accumulated_depreciation",D26="accumulated_amortization",D26="allowance_doubtful"),"Credit","Debit"),IF(OR(D26="drawings",D26="sales_discount"),"Debit","Credit"))</f>
        <v/>
      </c>
      <c r="F26" s="12" t="inlineStr">
        <is>
          <t>rental_fleet</t>
        </is>
      </c>
      <c r="G26" s="12" t="inlineStr">
        <is>
          <t>معدات التأجير (سقالات، مصاعد، سقالات معلقة)</t>
        </is>
      </c>
      <c r="H26" s="12" t="inlineStr">
        <is>
          <t>Yes</t>
        </is>
      </c>
    </row>
    <row r="27">
      <c r="A27" s="12" t="inlineStr">
        <is>
          <t>1416</t>
        </is>
      </c>
      <c r="B27" s="12" t="inlineStr">
        <is>
          <t>Accumulated Depreciation — Rental Equipment</t>
        </is>
      </c>
      <c r="C27" s="12" t="inlineStr">
        <is>
          <t>Asset</t>
        </is>
      </c>
      <c r="D27" s="12" t="inlineStr">
        <is>
          <t>accumulated_depreciation</t>
        </is>
      </c>
      <c r="E27" s="16">
        <f>IF(OR(C27="Asset",C27="COGS",C27="Expense"),IF(OR(D27="accumulated_depreciation",D27="accumulated_amortization",D27="allowance_doubtful"),"Credit","Debit"),IF(OR(D27="drawings",D27="sales_discount"),"Debit","Credit"))</f>
        <v/>
      </c>
      <c r="F27" s="12" t="inlineStr">
        <is>
          <t>rental_accum</t>
        </is>
      </c>
      <c r="G27" s="12" t="inlineStr">
        <is>
          <t>مجمع إهلاك معدات التأجير</t>
        </is>
      </c>
      <c r="H27" s="12" t="inlineStr">
        <is>
          <t>Yes</t>
        </is>
      </c>
    </row>
    <row r="28">
      <c r="A28" s="12" t="inlineStr">
        <is>
          <t>1420</t>
        </is>
      </c>
      <c r="B28" s="12" t="inlineStr">
        <is>
          <t>Vehicles</t>
        </is>
      </c>
      <c r="C28" s="12" t="inlineStr">
        <is>
          <t>Asset</t>
        </is>
      </c>
      <c r="D28" s="12" t="inlineStr">
        <is>
          <t>fixed_asset</t>
        </is>
      </c>
      <c r="E28" s="16">
        <f>IF(OR(C28="Asset",C28="COGS",C28="Expense"),IF(OR(D28="accumulated_depreciation",D28="accumulated_amortization",D28="allowance_doubtful"),"Credit","Debit"),IF(OR(D28="drawings",D28="sales_discount"),"Debit","Credit"))</f>
        <v/>
      </c>
      <c r="F28" s="14" t="n"/>
      <c r="G28" s="12" t="inlineStr">
        <is>
          <t>سيارات</t>
        </is>
      </c>
      <c r="H28" s="12" t="inlineStr">
        <is>
          <t>Yes</t>
        </is>
      </c>
    </row>
    <row r="29">
      <c r="A29" s="12" t="inlineStr">
        <is>
          <t>1430</t>
        </is>
      </c>
      <c r="B29" s="12" t="inlineStr">
        <is>
          <t>Computers &amp; IT Equipment</t>
        </is>
      </c>
      <c r="C29" s="12" t="inlineStr">
        <is>
          <t>Asset</t>
        </is>
      </c>
      <c r="D29" s="12" t="inlineStr">
        <is>
          <t>fixed_asset</t>
        </is>
      </c>
      <c r="E29" s="16">
        <f>IF(OR(C29="Asset",C29="COGS",C29="Expense"),IF(OR(D29="accumulated_depreciation",D29="accumulated_amortization",D29="allowance_doubtful"),"Credit","Debit"),IF(OR(D29="drawings",D29="sales_discount"),"Debit","Credit"))</f>
        <v/>
      </c>
      <c r="F29" s="14" t="n"/>
      <c r="G29" s="12" t="inlineStr">
        <is>
          <t>أجهزة حاسب ومعدات تقنية</t>
        </is>
      </c>
      <c r="H29" s="12" t="inlineStr">
        <is>
          <t>Yes</t>
        </is>
      </c>
    </row>
    <row r="30">
      <c r="A30" s="12" t="inlineStr">
        <is>
          <t>1440</t>
        </is>
      </c>
      <c r="B30" s="12" t="inlineStr">
        <is>
          <t>Land</t>
        </is>
      </c>
      <c r="C30" s="12" t="inlineStr">
        <is>
          <t>Asset</t>
        </is>
      </c>
      <c r="D30" s="12" t="inlineStr">
        <is>
          <t>fixed_asset</t>
        </is>
      </c>
      <c r="E30" s="16">
        <f>IF(OR(C30="Asset",C30="COGS",C30="Expense"),IF(OR(D30="accumulated_depreciation",D30="accumulated_amortization",D30="allowance_doubtful"),"Credit","Debit"),IF(OR(D30="drawings",D30="sales_discount"),"Debit","Credit"))</f>
        <v/>
      </c>
      <c r="F30" s="14" t="n"/>
      <c r="G30" s="12" t="inlineStr">
        <is>
          <t>أراضي</t>
        </is>
      </c>
      <c r="H30" s="12" t="inlineStr">
        <is>
          <t>Yes</t>
        </is>
      </c>
    </row>
    <row r="31">
      <c r="A31" s="12" t="inlineStr">
        <is>
          <t>1450</t>
        </is>
      </c>
      <c r="B31" s="12" t="inlineStr">
        <is>
          <t>Buildings &amp; Leasehold Improvements</t>
        </is>
      </c>
      <c r="C31" s="12" t="inlineStr">
        <is>
          <t>Asset</t>
        </is>
      </c>
      <c r="D31" s="12" t="inlineStr">
        <is>
          <t>fixed_asset</t>
        </is>
      </c>
      <c r="E31" s="16">
        <f>IF(OR(C31="Asset",C31="COGS",C31="Expense"),IF(OR(D31="accumulated_depreciation",D31="accumulated_amortization",D31="allowance_doubtful"),"Credit","Debit"),IF(OR(D31="drawings",D31="sales_discount"),"Debit","Credit"))</f>
        <v/>
      </c>
      <c r="F31" s="14" t="n"/>
      <c r="G31" s="12" t="inlineStr">
        <is>
          <t>مباني وتحسينات أماكن مستأجرة</t>
        </is>
      </c>
      <c r="H31" s="12" t="inlineStr">
        <is>
          <t>Yes</t>
        </is>
      </c>
    </row>
    <row r="32">
      <c r="A32" s="12" t="inlineStr">
        <is>
          <t>1460</t>
        </is>
      </c>
      <c r="B32" s="12" t="inlineStr">
        <is>
          <t>Assets Under Construction</t>
        </is>
      </c>
      <c r="C32" s="12" t="inlineStr">
        <is>
          <t>Asset</t>
        </is>
      </c>
      <c r="D32" s="12" t="inlineStr">
        <is>
          <t>fixed_asset</t>
        </is>
      </c>
      <c r="E32" s="16">
        <f>IF(OR(C32="Asset",C32="COGS",C32="Expense"),IF(OR(D32="accumulated_depreciation",D32="accumulated_amortization",D32="allowance_doubtful"),"Credit","Debit"),IF(OR(D32="drawings",D32="sales_discount"),"Debit","Credit"))</f>
        <v/>
      </c>
      <c r="F32" s="14" t="n"/>
      <c r="G32" s="12" t="inlineStr">
        <is>
          <t>مشروعات تحت التنفيذ</t>
        </is>
      </c>
      <c r="H32" s="12" t="inlineStr">
        <is>
          <t>Yes</t>
        </is>
      </c>
    </row>
    <row r="33">
      <c r="A33" s="12" t="inlineStr">
        <is>
          <t>1490</t>
        </is>
      </c>
      <c r="B33" s="12" t="inlineStr">
        <is>
          <t>Accumulated Depreciation</t>
        </is>
      </c>
      <c r="C33" s="12" t="inlineStr">
        <is>
          <t>Asset</t>
        </is>
      </c>
      <c r="D33" s="12" t="inlineStr">
        <is>
          <t>accumulated_depreciation</t>
        </is>
      </c>
      <c r="E33" s="16">
        <f>IF(OR(C33="Asset",C33="COGS",C33="Expense"),IF(OR(D33="accumulated_depreciation",D33="accumulated_amortization",D33="allowance_doubtful"),"Credit","Debit"),IF(OR(D33="drawings",D33="sales_discount"),"Debit","Credit"))</f>
        <v/>
      </c>
      <c r="F33" s="12" t="inlineStr">
        <is>
          <t>accum_depreciation</t>
        </is>
      </c>
      <c r="G33" s="12" t="inlineStr">
        <is>
          <t>مجمع الإهلاك</t>
        </is>
      </c>
      <c r="H33" s="12" t="inlineStr">
        <is>
          <t>Yes</t>
        </is>
      </c>
    </row>
    <row r="34">
      <c r="A34" s="12" t="inlineStr">
        <is>
          <t>1500</t>
        </is>
      </c>
      <c r="B34" s="12" t="inlineStr">
        <is>
          <t>Software &amp; Licences</t>
        </is>
      </c>
      <c r="C34" s="12" t="inlineStr">
        <is>
          <t>Asset</t>
        </is>
      </c>
      <c r="D34" s="12" t="inlineStr">
        <is>
          <t>intangible</t>
        </is>
      </c>
      <c r="E34" s="16">
        <f>IF(OR(C34="Asset",C34="COGS",C34="Expense"),IF(OR(D34="accumulated_depreciation",D34="accumulated_amortization",D34="allowance_doubtful"),"Credit","Debit"),IF(OR(D34="drawings",D34="sales_discount"),"Debit","Credit"))</f>
        <v/>
      </c>
      <c r="F34" s="12" t="inlineStr">
        <is>
          <t>intangible</t>
        </is>
      </c>
      <c r="G34" s="12" t="inlineStr">
        <is>
          <t>برامج وتراخيص</t>
        </is>
      </c>
      <c r="H34" s="12" t="inlineStr">
        <is>
          <t>Yes</t>
        </is>
      </c>
    </row>
    <row r="35">
      <c r="A35" s="12" t="inlineStr">
        <is>
          <t>1510</t>
        </is>
      </c>
      <c r="B35" s="12" t="inlineStr">
        <is>
          <t>Brand, Website &amp; Design Library</t>
        </is>
      </c>
      <c r="C35" s="12" t="inlineStr">
        <is>
          <t>Asset</t>
        </is>
      </c>
      <c r="D35" s="12" t="inlineStr">
        <is>
          <t>intangible</t>
        </is>
      </c>
      <c r="E35" s="16">
        <f>IF(OR(C35="Asset",C35="COGS",C35="Expense"),IF(OR(D35="accumulated_depreciation",D35="accumulated_amortization",D35="allowance_doubtful"),"Credit","Debit"),IF(OR(D35="drawings",D35="sales_discount"),"Debit","Credit"))</f>
        <v/>
      </c>
      <c r="F35" s="14" t="n"/>
      <c r="G35" s="12" t="inlineStr">
        <is>
          <t>العلامة التجارية والموقع ومكتبة التصميمات</t>
        </is>
      </c>
      <c r="H35" s="12" t="inlineStr">
        <is>
          <t>Yes</t>
        </is>
      </c>
    </row>
    <row r="36">
      <c r="A36" s="12" t="inlineStr">
        <is>
          <t>1520</t>
        </is>
      </c>
      <c r="B36" s="12" t="inlineStr">
        <is>
          <t>Goodwill</t>
        </is>
      </c>
      <c r="C36" s="12" t="inlineStr">
        <is>
          <t>Asset</t>
        </is>
      </c>
      <c r="D36" s="12" t="inlineStr">
        <is>
          <t>intangible</t>
        </is>
      </c>
      <c r="E36" s="16">
        <f>IF(OR(C36="Asset",C36="COGS",C36="Expense"),IF(OR(D36="accumulated_depreciation",D36="accumulated_amortization",D36="allowance_doubtful"),"Credit","Debit"),IF(OR(D36="drawings",D36="sales_discount"),"Debit","Credit"))</f>
        <v/>
      </c>
      <c r="F36" s="14" t="n"/>
      <c r="G36" s="12" t="inlineStr">
        <is>
          <t>الشهرة</t>
        </is>
      </c>
      <c r="H36" s="12" t="inlineStr">
        <is>
          <t>Yes</t>
        </is>
      </c>
    </row>
    <row r="37">
      <c r="A37" s="12" t="inlineStr">
        <is>
          <t>1590</t>
        </is>
      </c>
      <c r="B37" s="12" t="inlineStr">
        <is>
          <t>Accumulated Amortization</t>
        </is>
      </c>
      <c r="C37" s="12" t="inlineStr">
        <is>
          <t>Asset</t>
        </is>
      </c>
      <c r="D37" s="12" t="inlineStr">
        <is>
          <t>accumulated_amortization</t>
        </is>
      </c>
      <c r="E37" s="16">
        <f>IF(OR(C37="Asset",C37="COGS",C37="Expense"),IF(OR(D37="accumulated_depreciation",D37="accumulated_amortization",D37="allowance_doubtful"),"Credit","Debit"),IF(OR(D37="drawings",D37="sales_discount"),"Debit","Credit"))</f>
        <v/>
      </c>
      <c r="F37" s="12" t="inlineStr">
        <is>
          <t>accum_amortization</t>
        </is>
      </c>
      <c r="G37" s="12" t="inlineStr">
        <is>
          <t>مجمع الاستهلاك</t>
        </is>
      </c>
      <c r="H37" s="12" t="inlineStr">
        <is>
          <t>Yes</t>
        </is>
      </c>
    </row>
    <row r="38">
      <c r="A38" s="12" t="inlineStr">
        <is>
          <t>1600</t>
        </is>
      </c>
      <c r="B38" s="12" t="inlineStr">
        <is>
          <t>Security Deposits</t>
        </is>
      </c>
      <c r="C38" s="12" t="inlineStr">
        <is>
          <t>Asset</t>
        </is>
      </c>
      <c r="D38" s="12" t="inlineStr">
        <is>
          <t>other_noncurrent_asset</t>
        </is>
      </c>
      <c r="E38" s="16">
        <f>IF(OR(C38="Asset",C38="COGS",C38="Expense"),IF(OR(D38="accumulated_depreciation",D38="accumulated_amortization",D38="allowance_doubtful"),"Credit","Debit"),IF(OR(D38="drawings",D38="sales_discount"),"Debit","Credit"))</f>
        <v/>
      </c>
      <c r="F38" s="14" t="n"/>
      <c r="G38" s="12" t="inlineStr">
        <is>
          <t>تأمينات لدى الغير</t>
        </is>
      </c>
      <c r="H38" s="12" t="inlineStr">
        <is>
          <t>Yes</t>
        </is>
      </c>
    </row>
    <row r="39">
      <c r="A39" s="12" t="inlineStr">
        <is>
          <t>1610</t>
        </is>
      </c>
      <c r="B39" s="12" t="inlineStr">
        <is>
          <t>Loans Receivable (Long-term)</t>
        </is>
      </c>
      <c r="C39" s="12" t="inlineStr">
        <is>
          <t>Asset</t>
        </is>
      </c>
      <c r="D39" s="12" t="inlineStr">
        <is>
          <t>other_noncurrent_asset</t>
        </is>
      </c>
      <c r="E39" s="16">
        <f>IF(OR(C39="Asset",C39="COGS",C39="Expense"),IF(OR(D39="accumulated_depreciation",D39="accumulated_amortization",D39="allowance_doubtful"),"Credit","Debit"),IF(OR(D39="drawings",D39="sales_discount"),"Debit","Credit"))</f>
        <v/>
      </c>
      <c r="F39" s="12" t="inlineStr">
        <is>
          <t>loans_receivable_lt</t>
        </is>
      </c>
      <c r="G39" s="12" t="inlineStr">
        <is>
          <t>قروض ممنوحة للغير (طويلة الأجل)</t>
        </is>
      </c>
      <c r="H39" s="12" t="inlineStr">
        <is>
          <t>Yes</t>
        </is>
      </c>
    </row>
    <row r="40">
      <c r="A40" s="12" t="inlineStr">
        <is>
          <t>1700</t>
        </is>
      </c>
      <c r="B40" s="12" t="inlineStr">
        <is>
          <t>Long-term Investments</t>
        </is>
      </c>
      <c r="C40" s="12" t="inlineStr">
        <is>
          <t>Asset</t>
        </is>
      </c>
      <c r="D40" s="12" t="inlineStr">
        <is>
          <t>investment</t>
        </is>
      </c>
      <c r="E40" s="16">
        <f>IF(OR(C40="Asset",C40="COGS",C40="Expense"),IF(OR(D40="accumulated_depreciation",D40="accumulated_amortization",D40="allowance_doubtful"),"Credit","Debit"),IF(OR(D40="drawings",D40="sales_discount"),"Debit","Credit"))</f>
        <v/>
      </c>
      <c r="F40" s="12" t="inlineStr">
        <is>
          <t>investments</t>
        </is>
      </c>
      <c r="G40" s="12" t="inlineStr">
        <is>
          <t>استثمارات طويلة الأجل</t>
        </is>
      </c>
      <c r="H40" s="12" t="inlineStr">
        <is>
          <t>Yes</t>
        </is>
      </c>
    </row>
    <row r="41">
      <c r="A41" s="12" t="inlineStr">
        <is>
          <t>2010</t>
        </is>
      </c>
      <c r="B41" s="12" t="inlineStr">
        <is>
          <t>Accounts Payable — Suppliers</t>
        </is>
      </c>
      <c r="C41" s="12" t="inlineStr">
        <is>
          <t>Liability</t>
        </is>
      </c>
      <c r="D41" s="12" t="inlineStr">
        <is>
          <t>payable</t>
        </is>
      </c>
      <c r="E41" s="16">
        <f>IF(OR(C41="Asset",C41="COGS",C41="Expense"),IF(OR(D41="accumulated_depreciation",D41="accumulated_amortization",D41="allowance_doubtful"),"Credit","Debit"),IF(OR(D41="drawings",D41="sales_discount"),"Debit","Credit"))</f>
        <v/>
      </c>
      <c r="F41" s="12" t="inlineStr">
        <is>
          <t>ap</t>
        </is>
      </c>
      <c r="G41" s="12" t="inlineStr">
        <is>
          <t>الموردون (الدائنون)</t>
        </is>
      </c>
      <c r="H41" s="12" t="inlineStr">
        <is>
          <t>Yes</t>
        </is>
      </c>
    </row>
    <row r="42">
      <c r="A42" s="12" t="inlineStr">
        <is>
          <t>2015</t>
        </is>
      </c>
      <c r="B42" s="12" t="inlineStr">
        <is>
          <t>Subcontractors Payable</t>
        </is>
      </c>
      <c r="C42" s="12" t="inlineStr">
        <is>
          <t>Liability</t>
        </is>
      </c>
      <c r="D42" s="12" t="inlineStr">
        <is>
          <t>payable</t>
        </is>
      </c>
      <c r="E42" s="16">
        <f>IF(OR(C42="Asset",C42="COGS",C42="Expense"),IF(OR(D42="accumulated_depreciation",D42="accumulated_amortization",D42="allowance_doubtful"),"Credit","Debit"),IF(OR(D42="drawings",D42="sales_discount"),"Debit","Credit"))</f>
        <v/>
      </c>
      <c r="F42" s="14" t="n"/>
      <c r="G42" s="12" t="inlineStr">
        <is>
          <t>مقاولو الباطن</t>
        </is>
      </c>
      <c r="H42" s="12" t="inlineStr">
        <is>
          <t>Yes</t>
        </is>
      </c>
    </row>
    <row r="43">
      <c r="A43" s="12" t="inlineStr">
        <is>
          <t>2020</t>
        </is>
      </c>
      <c r="B43" s="12" t="inlineStr">
        <is>
          <t>Accrued Payroll</t>
        </is>
      </c>
      <c r="C43" s="12" t="inlineStr">
        <is>
          <t>Liability</t>
        </is>
      </c>
      <c r="D43" s="12" t="inlineStr">
        <is>
          <t>accrued</t>
        </is>
      </c>
      <c r="E43" s="16">
        <f>IF(OR(C43="Asset",C43="COGS",C43="Expense"),IF(OR(D43="accumulated_depreciation",D43="accumulated_amortization",D43="allowance_doubtful"),"Credit","Debit"),IF(OR(D43="drawings",D43="sales_discount"),"Debit","Credit"))</f>
        <v/>
      </c>
      <c r="F43" s="12" t="inlineStr">
        <is>
          <t>accrued_payroll</t>
        </is>
      </c>
      <c r="G43" s="12" t="inlineStr">
        <is>
          <t>أجور مستحقة</t>
        </is>
      </c>
      <c r="H43" s="12" t="inlineStr">
        <is>
          <t>Yes</t>
        </is>
      </c>
    </row>
    <row r="44">
      <c r="A44" s="12" t="inlineStr">
        <is>
          <t>2030</t>
        </is>
      </c>
      <c r="B44" s="12" t="inlineStr">
        <is>
          <t>Accrued Expenses</t>
        </is>
      </c>
      <c r="C44" s="12" t="inlineStr">
        <is>
          <t>Liability</t>
        </is>
      </c>
      <c r="D44" s="12" t="inlineStr">
        <is>
          <t>accrued</t>
        </is>
      </c>
      <c r="E44" s="16">
        <f>IF(OR(C44="Asset",C44="COGS",C44="Expense"),IF(OR(D44="accumulated_depreciation",D44="accumulated_amortization",D44="allowance_doubtful"),"Credit","Debit"),IF(OR(D44="drawings",D44="sales_discount"),"Debit","Credit"))</f>
        <v/>
      </c>
      <c r="F44" s="14" t="n"/>
      <c r="G44" s="12" t="inlineStr">
        <is>
          <t>مصروفات مستحقة</t>
        </is>
      </c>
      <c r="H44" s="12" t="inlineStr">
        <is>
          <t>Yes</t>
        </is>
      </c>
    </row>
    <row r="45">
      <c r="A45" s="12" t="inlineStr">
        <is>
          <t>2040</t>
        </is>
      </c>
      <c r="B45" s="12" t="inlineStr">
        <is>
          <t>Social Insurance Payable</t>
        </is>
      </c>
      <c r="C45" s="12" t="inlineStr">
        <is>
          <t>Liability</t>
        </is>
      </c>
      <c r="D45" s="12" t="inlineStr">
        <is>
          <t>accrued</t>
        </is>
      </c>
      <c r="E45" s="16">
        <f>IF(OR(C45="Asset",C45="COGS",C45="Expense"),IF(OR(D45="accumulated_depreciation",D45="accumulated_amortization",D45="allowance_doubtful"),"Credit","Debit"),IF(OR(D45="drawings",D45="sales_discount"),"Debit","Credit"))</f>
        <v/>
      </c>
      <c r="F45" s="14" t="n"/>
      <c r="G45" s="12" t="inlineStr">
        <is>
          <t>تأمينات اجتماعية مستحقة</t>
        </is>
      </c>
      <c r="H45" s="12" t="inlineStr">
        <is>
          <t>Yes</t>
        </is>
      </c>
    </row>
    <row r="46">
      <c r="A46" s="12" t="inlineStr">
        <is>
          <t>2050</t>
        </is>
      </c>
      <c r="B46" s="12" t="inlineStr">
        <is>
          <t>Notes Payable (Cheques Issued)</t>
        </is>
      </c>
      <c r="C46" s="12" t="inlineStr">
        <is>
          <t>Liability</t>
        </is>
      </c>
      <c r="D46" s="12" t="inlineStr">
        <is>
          <t>payable</t>
        </is>
      </c>
      <c r="E46" s="16">
        <f>IF(OR(C46="Asset",C46="COGS",C46="Expense"),IF(OR(D46="accumulated_depreciation",D46="accumulated_amortization",D46="allowance_doubtful"),"Credit","Debit"),IF(OR(D46="drawings",D46="sales_discount"),"Debit","Credit"))</f>
        <v/>
      </c>
      <c r="F46" s="14" t="n"/>
      <c r="G46" s="12" t="inlineStr">
        <is>
          <t>أوراق الدفع (شيكات صادرة)</t>
        </is>
      </c>
      <c r="H46" s="12" t="inlineStr">
        <is>
          <t>Yes</t>
        </is>
      </c>
    </row>
    <row r="47">
      <c r="A47" s="12" t="inlineStr">
        <is>
          <t>2060</t>
        </is>
      </c>
      <c r="B47" s="12" t="inlineStr">
        <is>
          <t>Accrued Interest Payable</t>
        </is>
      </c>
      <c r="C47" s="12" t="inlineStr">
        <is>
          <t>Liability</t>
        </is>
      </c>
      <c r="D47" s="12" t="inlineStr">
        <is>
          <t>accrued</t>
        </is>
      </c>
      <c r="E47" s="16">
        <f>IF(OR(C47="Asset",C47="COGS",C47="Expense"),IF(OR(D47="accumulated_depreciation",D47="accumulated_amortization",D47="allowance_doubtful"),"Credit","Debit"),IF(OR(D47="drawings",D47="sales_discount"),"Debit","Credit"))</f>
        <v/>
      </c>
      <c r="F47" s="12" t="inlineStr">
        <is>
          <t>accrued_interest</t>
        </is>
      </c>
      <c r="G47" s="12" t="inlineStr">
        <is>
          <t>فوائد مستحقة</t>
        </is>
      </c>
      <c r="H47" s="12" t="inlineStr">
        <is>
          <t>Yes</t>
        </is>
      </c>
    </row>
    <row r="48">
      <c r="A48" s="12" t="inlineStr">
        <is>
          <t>2100</t>
        </is>
      </c>
      <c r="B48" s="12" t="inlineStr">
        <is>
          <t>Client Advances (Unearned Revenue)</t>
        </is>
      </c>
      <c r="C48" s="12" t="inlineStr">
        <is>
          <t>Liability</t>
        </is>
      </c>
      <c r="D48" s="12" t="inlineStr">
        <is>
          <t>deferred_revenue</t>
        </is>
      </c>
      <c r="E48" s="16">
        <f>IF(OR(C48="Asset",C48="COGS",C48="Expense"),IF(OR(D48="accumulated_depreciation",D48="accumulated_amortization",D48="allowance_doubtful"),"Credit","Debit"),IF(OR(D48="drawings",D48="sales_discount"),"Debit","Credit"))</f>
        <v/>
      </c>
      <c r="F48" s="12" t="inlineStr">
        <is>
          <t>client_advances</t>
        </is>
      </c>
      <c r="G48" s="12" t="inlineStr">
        <is>
          <t>دفعات مقدمة من العملاء (إيرادات مؤجلة)</t>
        </is>
      </c>
      <c r="H48" s="12" t="inlineStr">
        <is>
          <t>Yes</t>
        </is>
      </c>
    </row>
    <row r="49">
      <c r="A49" s="12" t="inlineStr">
        <is>
          <t>2105</t>
        </is>
      </c>
      <c r="B49" s="12" t="inlineStr">
        <is>
          <t>Security Deposits from Clients</t>
        </is>
      </c>
      <c r="C49" s="12" t="inlineStr">
        <is>
          <t>Liability</t>
        </is>
      </c>
      <c r="D49" s="12" t="inlineStr">
        <is>
          <t>other_current_liability</t>
        </is>
      </c>
      <c r="E49" s="16">
        <f>IF(OR(C49="Asset",C49="COGS",C49="Expense"),IF(OR(D49="accumulated_depreciation",D49="accumulated_amortization",D49="allowance_doubtful"),"Credit","Debit"),IF(OR(D49="drawings",D49="sales_discount"),"Debit","Credit"))</f>
        <v/>
      </c>
      <c r="F49" s="12" t="inlineStr">
        <is>
          <t>rental_deposits</t>
        </is>
      </c>
      <c r="G49" s="12" t="inlineStr">
        <is>
          <t>تأمينات العملاء (ودائع ضمان)</t>
        </is>
      </c>
      <c r="H49" s="12" t="inlineStr">
        <is>
          <t>Yes</t>
        </is>
      </c>
    </row>
    <row r="50">
      <c r="A50" s="12" t="inlineStr">
        <is>
          <t>2110</t>
        </is>
      </c>
      <c r="B50" s="12" t="inlineStr">
        <is>
          <t>Retention Payable</t>
        </is>
      </c>
      <c r="C50" s="12" t="inlineStr">
        <is>
          <t>Liability</t>
        </is>
      </c>
      <c r="D50" s="12" t="inlineStr">
        <is>
          <t>other_current_liability</t>
        </is>
      </c>
      <c r="E50" s="16">
        <f>IF(OR(C50="Asset",C50="COGS",C50="Expense"),IF(OR(D50="accumulated_depreciation",D50="accumulated_amortization",D50="allowance_doubtful"),"Credit","Debit"),IF(OR(D50="drawings",D50="sales_discount"),"Debit","Credit"))</f>
        <v/>
      </c>
      <c r="F50" s="14" t="n"/>
      <c r="G50" s="12" t="inlineStr">
        <is>
          <t>محتجزات مقاولي الباطن</t>
        </is>
      </c>
      <c r="H50" s="12" t="inlineStr">
        <is>
          <t>Yes</t>
        </is>
      </c>
    </row>
    <row r="51">
      <c r="A51" s="12" t="inlineStr">
        <is>
          <t>2120</t>
        </is>
      </c>
      <c r="B51" s="12" t="inlineStr">
        <is>
          <t>Profit Distributions Payable to Partners</t>
        </is>
      </c>
      <c r="C51" s="12" t="inlineStr">
        <is>
          <t>Liability</t>
        </is>
      </c>
      <c r="D51" s="12" t="inlineStr">
        <is>
          <t>dividends_payable</t>
        </is>
      </c>
      <c r="E51" s="16">
        <f>IF(OR(C51="Asset",C51="COGS",C51="Expense"),IF(OR(D51="accumulated_depreciation",D51="accumulated_amortization",D51="allowance_doubtful"),"Credit","Debit"),IF(OR(D51="drawings",D51="sales_discount"),"Debit","Credit"))</f>
        <v/>
      </c>
      <c r="F51" s="12" t="inlineStr">
        <is>
          <t>dividends_payable</t>
        </is>
      </c>
      <c r="G51" s="12" t="inlineStr">
        <is>
          <t>توزيعات أرباح مستحقة للشركاء</t>
        </is>
      </c>
      <c r="H51" s="12" t="inlineStr">
        <is>
          <t>Yes</t>
        </is>
      </c>
    </row>
    <row r="52">
      <c r="A52" s="12" t="inlineStr">
        <is>
          <t>2130</t>
        </is>
      </c>
      <c r="B52" s="12" t="inlineStr">
        <is>
          <t>Due to Departing Partners</t>
        </is>
      </c>
      <c r="C52" s="12" t="inlineStr">
        <is>
          <t>Liability</t>
        </is>
      </c>
      <c r="D52" s="12" t="inlineStr">
        <is>
          <t>other_current_liability</t>
        </is>
      </c>
      <c r="E52" s="16">
        <f>IF(OR(C52="Asset",C52="COGS",C52="Expense"),IF(OR(D52="accumulated_depreciation",D52="accumulated_amortization",D52="allowance_doubtful"),"Credit","Debit"),IF(OR(D52="drawings",D52="sales_discount"),"Debit","Credit"))</f>
        <v/>
      </c>
      <c r="F52" s="12" t="inlineStr">
        <is>
          <t>partner_payable</t>
        </is>
      </c>
      <c r="G52" s="12" t="inlineStr">
        <is>
          <t>مستحق للشركاء المنسحبين</t>
        </is>
      </c>
      <c r="H52" s="12" t="inlineStr">
        <is>
          <t>Yes</t>
        </is>
      </c>
    </row>
    <row r="53">
      <c r="A53" s="12" t="inlineStr">
        <is>
          <t>2200</t>
        </is>
      </c>
      <c r="B53" s="12" t="inlineStr">
        <is>
          <t>VAT Payable (Output)</t>
        </is>
      </c>
      <c r="C53" s="12" t="inlineStr">
        <is>
          <t>Liability</t>
        </is>
      </c>
      <c r="D53" s="12" t="inlineStr">
        <is>
          <t>tax_payable</t>
        </is>
      </c>
      <c r="E53" s="16">
        <f>IF(OR(C53="Asset",C53="COGS",C53="Expense"),IF(OR(D53="accumulated_depreciation",D53="accumulated_amortization",D53="allowance_doubtful"),"Credit","Debit"),IF(OR(D53="drawings",D53="sales_discount"),"Debit","Credit"))</f>
        <v/>
      </c>
      <c r="F53" s="12" t="inlineStr">
        <is>
          <t>vat_output</t>
        </is>
      </c>
      <c r="G53" s="12" t="inlineStr">
        <is>
          <t>ضريبة القيمة المضافة (مخرجات)</t>
        </is>
      </c>
      <c r="H53" s="12" t="inlineStr">
        <is>
          <t>Yes</t>
        </is>
      </c>
    </row>
    <row r="54">
      <c r="A54" s="12" t="inlineStr">
        <is>
          <t>2210</t>
        </is>
      </c>
      <c r="B54" s="12" t="inlineStr">
        <is>
          <t>Withholding Tax Payable (deducted from suppliers)</t>
        </is>
      </c>
      <c r="C54" s="12" t="inlineStr">
        <is>
          <t>Liability</t>
        </is>
      </c>
      <c r="D54" s="12" t="inlineStr">
        <is>
          <t>tax_payable</t>
        </is>
      </c>
      <c r="E54" s="16">
        <f>IF(OR(C54="Asset",C54="COGS",C54="Expense"),IF(OR(D54="accumulated_depreciation",D54="accumulated_amortization",D54="allowance_doubtful"),"Credit","Debit"),IF(OR(D54="drawings",D54="sales_discount"),"Debit","Credit"))</f>
        <v/>
      </c>
      <c r="F54" s="12" t="inlineStr">
        <is>
          <t>wht_payable</t>
        </is>
      </c>
      <c r="G54" s="12" t="inlineStr">
        <is>
          <t>ضريبة الخصم والتحصيل المستحقة (من الموردين)</t>
        </is>
      </c>
      <c r="H54" s="12" t="inlineStr">
        <is>
          <t>Yes</t>
        </is>
      </c>
    </row>
    <row r="55">
      <c r="A55" s="12" t="inlineStr">
        <is>
          <t>2220</t>
        </is>
      </c>
      <c r="B55" s="12" t="inlineStr">
        <is>
          <t>Income Tax Payable</t>
        </is>
      </c>
      <c r="C55" s="12" t="inlineStr">
        <is>
          <t>Liability</t>
        </is>
      </c>
      <c r="D55" s="12" t="inlineStr">
        <is>
          <t>tax_payable</t>
        </is>
      </c>
      <c r="E55" s="16">
        <f>IF(OR(C55="Asset",C55="COGS",C55="Expense"),IF(OR(D55="accumulated_depreciation",D55="accumulated_amortization",D55="allowance_doubtful"),"Credit","Debit"),IF(OR(D55="drawings",D55="sales_discount"),"Debit","Credit"))</f>
        <v/>
      </c>
      <c r="F55" s="12" t="inlineStr">
        <is>
          <t>income_tax_payable</t>
        </is>
      </c>
      <c r="G55" s="12" t="inlineStr">
        <is>
          <t>ضريبة الدخل المستحقة</t>
        </is>
      </c>
      <c r="H55" s="12" t="inlineStr">
        <is>
          <t>Yes</t>
        </is>
      </c>
    </row>
    <row r="56">
      <c r="A56" s="12" t="inlineStr">
        <is>
          <t>2300</t>
        </is>
      </c>
      <c r="B56" s="12" t="inlineStr">
        <is>
          <t>Short-term Loans</t>
        </is>
      </c>
      <c r="C56" s="12" t="inlineStr">
        <is>
          <t>Liability</t>
        </is>
      </c>
      <c r="D56" s="12" t="inlineStr">
        <is>
          <t>short_term_debt</t>
        </is>
      </c>
      <c r="E56" s="16">
        <f>IF(OR(C56="Asset",C56="COGS",C56="Expense"),IF(OR(D56="accumulated_depreciation",D56="accumulated_amortization",D56="allowance_doubtful"),"Credit","Debit"),IF(OR(D56="drawings",D56="sales_discount"),"Debit","Credit"))</f>
        <v/>
      </c>
      <c r="F56" s="12" t="inlineStr">
        <is>
          <t>short_term_debt</t>
        </is>
      </c>
      <c r="G56" s="12" t="inlineStr">
        <is>
          <t>قروض قصيرة الأجل</t>
        </is>
      </c>
      <c r="H56" s="12" t="inlineStr">
        <is>
          <t>Yes</t>
        </is>
      </c>
    </row>
    <row r="57">
      <c r="A57" s="12" t="inlineStr">
        <is>
          <t>2310</t>
        </is>
      </c>
      <c r="B57" s="12" t="inlineStr">
        <is>
          <t>Credit Card Payable</t>
        </is>
      </c>
      <c r="C57" s="12" t="inlineStr">
        <is>
          <t>Liability</t>
        </is>
      </c>
      <c r="D57" s="12" t="inlineStr">
        <is>
          <t>short_term_debt</t>
        </is>
      </c>
      <c r="E57" s="16">
        <f>IF(OR(C57="Asset",C57="COGS",C57="Expense"),IF(OR(D57="accumulated_depreciation",D57="accumulated_amortization",D57="allowance_doubtful"),"Credit","Debit"),IF(OR(D57="drawings",D57="sales_discount"),"Debit","Credit"))</f>
        <v/>
      </c>
      <c r="F57" s="14" t="n"/>
      <c r="G57" s="12" t="inlineStr">
        <is>
          <t>بطاقات ائتمان مستحقة</t>
        </is>
      </c>
      <c r="H57" s="12" t="inlineStr">
        <is>
          <t>Yes</t>
        </is>
      </c>
    </row>
    <row r="58">
      <c r="A58" s="12" t="inlineStr">
        <is>
          <t>2400</t>
        </is>
      </c>
      <c r="B58" s="12" t="inlineStr">
        <is>
          <t>Long-term Loans</t>
        </is>
      </c>
      <c r="C58" s="12" t="inlineStr">
        <is>
          <t>Liability</t>
        </is>
      </c>
      <c r="D58" s="12" t="inlineStr">
        <is>
          <t>long_term_debt</t>
        </is>
      </c>
      <c r="E58" s="16">
        <f>IF(OR(C58="Asset",C58="COGS",C58="Expense"),IF(OR(D58="accumulated_depreciation",D58="accumulated_amortization",D58="allowance_doubtful"),"Credit","Debit"),IF(OR(D58="drawings",D58="sales_discount"),"Debit","Credit"))</f>
        <v/>
      </c>
      <c r="F58" s="12" t="inlineStr">
        <is>
          <t>long_term_debt</t>
        </is>
      </c>
      <c r="G58" s="12" t="inlineStr">
        <is>
          <t>قروض طويلة الأجل</t>
        </is>
      </c>
      <c r="H58" s="12" t="inlineStr">
        <is>
          <t>Yes</t>
        </is>
      </c>
    </row>
    <row r="59">
      <c r="A59" s="12" t="inlineStr">
        <is>
          <t>2500</t>
        </is>
      </c>
      <c r="B59" s="12" t="inlineStr">
        <is>
          <t>Partner Loans</t>
        </is>
      </c>
      <c r="C59" s="12" t="inlineStr">
        <is>
          <t>Liability</t>
        </is>
      </c>
      <c r="D59" s="12" t="inlineStr">
        <is>
          <t>long_term_debt</t>
        </is>
      </c>
      <c r="E59" s="16">
        <f>IF(OR(C59="Asset",C59="COGS",C59="Expense"),IF(OR(D59="accumulated_depreciation",D59="accumulated_amortization",D59="allowance_doubtful"),"Credit","Debit"),IF(OR(D59="drawings",D59="sales_discount"),"Debit","Credit"))</f>
        <v/>
      </c>
      <c r="F59" s="12" t="inlineStr">
        <is>
          <t>partner_loans</t>
        </is>
      </c>
      <c r="G59" s="12" t="inlineStr">
        <is>
          <t>قروض الشركاء</t>
        </is>
      </c>
      <c r="H59" s="12" t="inlineStr">
        <is>
          <t>Yes</t>
        </is>
      </c>
    </row>
    <row r="60">
      <c r="A60" s="12" t="inlineStr">
        <is>
          <t>2510</t>
        </is>
      </c>
      <c r="B60" s="12" t="inlineStr">
        <is>
          <t>End-of-Service Provision</t>
        </is>
      </c>
      <c r="C60" s="12" t="inlineStr">
        <is>
          <t>Liability</t>
        </is>
      </c>
      <c r="D60" s="12" t="inlineStr">
        <is>
          <t>other_noncurrent_liability</t>
        </is>
      </c>
      <c r="E60" s="16">
        <f>IF(OR(C60="Asset",C60="COGS",C60="Expense"),IF(OR(D60="accumulated_depreciation",D60="accumulated_amortization",D60="allowance_doubtful"),"Credit","Debit"),IF(OR(D60="drawings",D60="sales_discount"),"Debit","Credit"))</f>
        <v/>
      </c>
      <c r="F60" s="14" t="n"/>
      <c r="G60" s="12" t="inlineStr">
        <is>
          <t>مخصص مكافأة نهاية الخدمة</t>
        </is>
      </c>
      <c r="H60" s="12" t="inlineStr">
        <is>
          <t>Yes</t>
        </is>
      </c>
    </row>
    <row r="61">
      <c r="A61" s="12" t="inlineStr">
        <is>
          <t>3010</t>
        </is>
      </c>
      <c r="B61" s="12" t="inlineStr">
        <is>
          <t>Partner Capital</t>
        </is>
      </c>
      <c r="C61" s="12" t="inlineStr">
        <is>
          <t>Equity</t>
        </is>
      </c>
      <c r="D61" s="12" t="inlineStr">
        <is>
          <t>capital</t>
        </is>
      </c>
      <c r="E61" s="16">
        <f>IF(OR(C61="Asset",C61="COGS",C61="Expense"),IF(OR(D61="accumulated_depreciation",D61="accumulated_amortization",D61="allowance_doubtful"),"Credit","Debit"),IF(OR(D61="drawings",D61="sales_discount"),"Debit","Credit"))</f>
        <v/>
      </c>
      <c r="F61" s="12" t="inlineStr">
        <is>
          <t>capital</t>
        </is>
      </c>
      <c r="G61" s="12" t="inlineStr">
        <is>
          <t>رأس مال الشركاء</t>
        </is>
      </c>
      <c r="H61" s="12" t="inlineStr">
        <is>
          <t>Yes</t>
        </is>
      </c>
    </row>
    <row r="62">
      <c r="A62" s="12" t="inlineStr">
        <is>
          <t>3020</t>
        </is>
      </c>
      <c r="B62" s="12" t="inlineStr">
        <is>
          <t>Partners' Current Accounts</t>
        </is>
      </c>
      <c r="C62" s="12" t="inlineStr">
        <is>
          <t>Equity</t>
        </is>
      </c>
      <c r="D62" s="12" t="inlineStr">
        <is>
          <t>partner_current</t>
        </is>
      </c>
      <c r="E62" s="16">
        <f>IF(OR(C62="Asset",C62="COGS",C62="Expense"),IF(OR(D62="accumulated_depreciation",D62="accumulated_amortization",D62="allowance_doubtful"),"Credit","Debit"),IF(OR(D62="drawings",D62="sales_discount"),"Debit","Credit"))</f>
        <v/>
      </c>
      <c r="F62" s="12" t="inlineStr">
        <is>
          <t>partner_current</t>
        </is>
      </c>
      <c r="G62" s="12" t="inlineStr">
        <is>
          <t>جاري الشركاء</t>
        </is>
      </c>
      <c r="H62" s="12" t="inlineStr">
        <is>
          <t>Yes</t>
        </is>
      </c>
    </row>
    <row r="63">
      <c r="A63" s="12" t="inlineStr">
        <is>
          <t>3030</t>
        </is>
      </c>
      <c r="B63" s="12" t="inlineStr">
        <is>
          <t>Share Premium</t>
        </is>
      </c>
      <c r="C63" s="12" t="inlineStr">
        <is>
          <t>Equity</t>
        </is>
      </c>
      <c r="D63" s="12" t="inlineStr">
        <is>
          <t>other_equity</t>
        </is>
      </c>
      <c r="E63" s="16">
        <f>IF(OR(C63="Asset",C63="COGS",C63="Expense"),IF(OR(D63="accumulated_depreciation",D63="accumulated_amortization",D63="allowance_doubtful"),"Credit","Debit"),IF(OR(D63="drawings",D63="sales_discount"),"Debit","Credit"))</f>
        <v/>
      </c>
      <c r="F63" s="12" t="inlineStr">
        <is>
          <t>share_premium</t>
        </is>
      </c>
      <c r="G63" s="12" t="inlineStr">
        <is>
          <t>علاوة إصدار / علاوة حصص</t>
        </is>
      </c>
      <c r="H63" s="12" t="inlineStr">
        <is>
          <t>Yes</t>
        </is>
      </c>
    </row>
    <row r="64">
      <c r="A64" s="12" t="inlineStr">
        <is>
          <t>3100</t>
        </is>
      </c>
      <c r="B64" s="12" t="inlineStr">
        <is>
          <t>Retained Earnings</t>
        </is>
      </c>
      <c r="C64" s="12" t="inlineStr">
        <is>
          <t>Equity</t>
        </is>
      </c>
      <c r="D64" s="12" t="inlineStr">
        <is>
          <t>retained_earnings</t>
        </is>
      </c>
      <c r="E64" s="16">
        <f>IF(OR(C64="Asset",C64="COGS",C64="Expense"),IF(OR(D64="accumulated_depreciation",D64="accumulated_amortization",D64="allowance_doubtful"),"Credit","Debit"),IF(OR(D64="drawings",D64="sales_discount"),"Debit","Credit"))</f>
        <v/>
      </c>
      <c r="F64" s="12" t="inlineStr">
        <is>
          <t>retained</t>
        </is>
      </c>
      <c r="G64" s="12" t="inlineStr">
        <is>
          <t>الأرباح المحتجزة</t>
        </is>
      </c>
      <c r="H64" s="12" t="inlineStr">
        <is>
          <t>Yes</t>
        </is>
      </c>
    </row>
    <row r="65">
      <c r="A65" s="12" t="inlineStr">
        <is>
          <t>3110</t>
        </is>
      </c>
      <c r="B65" s="12" t="inlineStr">
        <is>
          <t>Legal Reserve</t>
        </is>
      </c>
      <c r="C65" s="12" t="inlineStr">
        <is>
          <t>Equity</t>
        </is>
      </c>
      <c r="D65" s="12" t="inlineStr">
        <is>
          <t>reserves</t>
        </is>
      </c>
      <c r="E65" s="16">
        <f>IF(OR(C65="Asset",C65="COGS",C65="Expense"),IF(OR(D65="accumulated_depreciation",D65="accumulated_amortization",D65="allowance_doubtful"),"Credit","Debit"),IF(OR(D65="drawings",D65="sales_discount"),"Debit","Credit"))</f>
        <v/>
      </c>
      <c r="F65" s="12" t="inlineStr">
        <is>
          <t>legal_reserve</t>
        </is>
      </c>
      <c r="G65" s="12" t="inlineStr">
        <is>
          <t>الاحتياطي القانوني</t>
        </is>
      </c>
      <c r="H65" s="12" t="inlineStr">
        <is>
          <t>Yes</t>
        </is>
      </c>
    </row>
    <row r="66">
      <c r="A66" s="12" t="inlineStr">
        <is>
          <t>3120</t>
        </is>
      </c>
      <c r="B66" s="12" t="inlineStr">
        <is>
          <t>General Reserve</t>
        </is>
      </c>
      <c r="C66" s="12" t="inlineStr">
        <is>
          <t>Equity</t>
        </is>
      </c>
      <c r="D66" s="12" t="inlineStr">
        <is>
          <t>reserves</t>
        </is>
      </c>
      <c r="E66" s="16">
        <f>IF(OR(C66="Asset",C66="COGS",C66="Expense"),IF(OR(D66="accumulated_depreciation",D66="accumulated_amortization",D66="allowance_doubtful"),"Credit","Debit"),IF(OR(D66="drawings",D66="sales_discount"),"Debit","Credit"))</f>
        <v/>
      </c>
      <c r="F66" s="14" t="n"/>
      <c r="G66" s="12" t="inlineStr">
        <is>
          <t>الاحتياطي العام</t>
        </is>
      </c>
      <c r="H66" s="12" t="inlineStr">
        <is>
          <t>Yes</t>
        </is>
      </c>
    </row>
    <row r="67">
      <c r="A67" s="12" t="inlineStr">
        <is>
          <t>3200</t>
        </is>
      </c>
      <c r="B67" s="12" t="inlineStr">
        <is>
          <t>Partner Drawings / Dividends</t>
        </is>
      </c>
      <c r="C67" s="12" t="inlineStr">
        <is>
          <t>Equity</t>
        </is>
      </c>
      <c r="D67" s="12" t="inlineStr">
        <is>
          <t>drawings</t>
        </is>
      </c>
      <c r="E67" s="16">
        <f>IF(OR(C67="Asset",C67="COGS",C67="Expense"),IF(OR(D67="accumulated_depreciation",D67="accumulated_amortization",D67="allowance_doubtful"),"Credit","Debit"),IF(OR(D67="drawings",D67="sales_discount"),"Debit","Credit"))</f>
        <v/>
      </c>
      <c r="F67" s="12" t="inlineStr">
        <is>
          <t>drawings</t>
        </is>
      </c>
      <c r="G67" s="12" t="inlineStr">
        <is>
          <t>مسحوبات الشركاء / توزيعات الأرباح</t>
        </is>
      </c>
      <c r="H67" s="12" t="inlineStr">
        <is>
          <t>Yes</t>
        </is>
      </c>
    </row>
    <row r="68">
      <c r="A68" s="12" t="inlineStr">
        <is>
          <t>4010</t>
        </is>
      </c>
      <c r="B68" s="12" t="inlineStr">
        <is>
          <t>Project Revenue — Execution</t>
        </is>
      </c>
      <c r="C68" s="12" t="inlineStr">
        <is>
          <t>Revenue</t>
        </is>
      </c>
      <c r="D68" s="12" t="inlineStr">
        <is>
          <t>operating_revenue</t>
        </is>
      </c>
      <c r="E68" s="16">
        <f>IF(OR(C68="Asset",C68="COGS",C68="Expense"),IF(OR(D68="accumulated_depreciation",D68="accumulated_amortization",D68="allowance_doubtful"),"Credit","Debit"),IF(OR(D68="drawings",D68="sales_discount"),"Debit","Credit"))</f>
        <v/>
      </c>
      <c r="F68" s="12" t="inlineStr">
        <is>
          <t>revenue</t>
        </is>
      </c>
      <c r="G68" s="12" t="inlineStr">
        <is>
          <t>إيرادات المشروعات — التنفيذ</t>
        </is>
      </c>
      <c r="H68" s="12" t="inlineStr">
        <is>
          <t>Yes</t>
        </is>
      </c>
    </row>
    <row r="69">
      <c r="A69" s="12" t="inlineStr">
        <is>
          <t>4020</t>
        </is>
      </c>
      <c r="B69" s="12" t="inlineStr">
        <is>
          <t>Design Fees</t>
        </is>
      </c>
      <c r="C69" s="12" t="inlineStr">
        <is>
          <t>Revenue</t>
        </is>
      </c>
      <c r="D69" s="12" t="inlineStr">
        <is>
          <t>operating_revenue</t>
        </is>
      </c>
      <c r="E69" s="16">
        <f>IF(OR(C69="Asset",C69="COGS",C69="Expense"),IF(OR(D69="accumulated_depreciation",D69="accumulated_amortization",D69="allowance_doubtful"),"Credit","Debit"),IF(OR(D69="drawings",D69="sales_discount"),"Debit","Credit"))</f>
        <v/>
      </c>
      <c r="F69" s="12" t="inlineStr">
        <is>
          <t>design_revenue</t>
        </is>
      </c>
      <c r="G69" s="12" t="inlineStr">
        <is>
          <t>أتعاب التصميم</t>
        </is>
      </c>
      <c r="H69" s="12" t="inlineStr">
        <is>
          <t>Yes</t>
        </is>
      </c>
    </row>
    <row r="70">
      <c r="A70" s="12" t="inlineStr">
        <is>
          <t>4030</t>
        </is>
      </c>
      <c r="B70" s="12" t="inlineStr">
        <is>
          <t>Supervision / Management Fees</t>
        </is>
      </c>
      <c r="C70" s="12" t="inlineStr">
        <is>
          <t>Revenue</t>
        </is>
      </c>
      <c r="D70" s="12" t="inlineStr">
        <is>
          <t>operating_revenue</t>
        </is>
      </c>
      <c r="E70" s="16">
        <f>IF(OR(C70="Asset",C70="COGS",C70="Expense"),IF(OR(D70="accumulated_depreciation",D70="accumulated_amortization",D70="allowance_doubtful"),"Credit","Debit"),IF(OR(D70="drawings",D70="sales_discount"),"Debit","Credit"))</f>
        <v/>
      </c>
      <c r="F70" s="14" t="n"/>
      <c r="G70" s="12" t="inlineStr">
        <is>
          <t>أتعاب الإشراف والإدارة</t>
        </is>
      </c>
      <c r="H70" s="12" t="inlineStr">
        <is>
          <t>Yes</t>
        </is>
      </c>
    </row>
    <row r="71">
      <c r="A71" s="12" t="inlineStr">
        <is>
          <t>4040</t>
        </is>
      </c>
      <c r="B71" s="12" t="inlineStr">
        <is>
          <t>Furniture &amp; Supply Sales</t>
        </is>
      </c>
      <c r="C71" s="12" t="inlineStr">
        <is>
          <t>Revenue</t>
        </is>
      </c>
      <c r="D71" s="12" t="inlineStr">
        <is>
          <t>operating_revenue</t>
        </is>
      </c>
      <c r="E71" s="16">
        <f>IF(OR(C71="Asset",C71="COGS",C71="Expense"),IF(OR(D71="accumulated_depreciation",D71="accumulated_amortization",D71="allowance_doubtful"),"Credit","Debit"),IF(OR(D71="drawings",D71="sales_discount"),"Debit","Credit"))</f>
        <v/>
      </c>
      <c r="F71" s="14" t="n"/>
      <c r="G71" s="12" t="inlineStr">
        <is>
          <t>مبيعات أثاث وتوريدات</t>
        </is>
      </c>
      <c r="H71" s="12" t="inlineStr">
        <is>
          <t>Yes</t>
        </is>
      </c>
    </row>
    <row r="72">
      <c r="A72" s="12" t="inlineStr">
        <is>
          <t>4045</t>
        </is>
      </c>
      <c r="B72" s="12" t="inlineStr">
        <is>
          <t>Equipment Rental Revenue</t>
        </is>
      </c>
      <c r="C72" s="12" t="inlineStr">
        <is>
          <t>Revenue</t>
        </is>
      </c>
      <c r="D72" s="12" t="inlineStr">
        <is>
          <t>operating_revenue</t>
        </is>
      </c>
      <c r="E72" s="16">
        <f>IF(OR(C72="Asset",C72="COGS",C72="Expense"),IF(OR(D72="accumulated_depreciation",D72="accumulated_amortization",D72="allowance_doubtful"),"Credit","Debit"),IF(OR(D72="drawings",D72="sales_discount"),"Debit","Credit"))</f>
        <v/>
      </c>
      <c r="F72" s="12" t="inlineStr">
        <is>
          <t>rental_revenue</t>
        </is>
      </c>
      <c r="G72" s="12" t="inlineStr">
        <is>
          <t>إيرادات تأجير المعدات</t>
        </is>
      </c>
      <c r="H72" s="12" t="inlineStr">
        <is>
          <t>Yes</t>
        </is>
      </c>
    </row>
    <row r="73">
      <c r="A73" s="12" t="inlineStr">
        <is>
          <t>4046</t>
        </is>
      </c>
      <c r="B73" s="12" t="inlineStr">
        <is>
          <t>Installation, Dismantling &amp; Transport Revenue</t>
        </is>
      </c>
      <c r="C73" s="12" t="inlineStr">
        <is>
          <t>Revenue</t>
        </is>
      </c>
      <c r="D73" s="12" t="inlineStr">
        <is>
          <t>operating_revenue</t>
        </is>
      </c>
      <c r="E73" s="16">
        <f>IF(OR(C73="Asset",C73="COGS",C73="Expense"),IF(OR(D73="accumulated_depreciation",D73="accumulated_amortization",D73="allowance_doubtful"),"Credit","Debit"),IF(OR(D73="drawings",D73="sales_discount"),"Debit","Credit"))</f>
        <v/>
      </c>
      <c r="F73" s="12" t="inlineStr">
        <is>
          <t>rental_services</t>
        </is>
      </c>
      <c r="G73" s="12" t="inlineStr">
        <is>
          <t>إيرادات التركيب والفك والنقل</t>
        </is>
      </c>
      <c r="H73" s="12" t="inlineStr">
        <is>
          <t>Yes</t>
        </is>
      </c>
    </row>
    <row r="74">
      <c r="A74" s="12" t="inlineStr">
        <is>
          <t>4050</t>
        </is>
      </c>
      <c r="B74" s="12" t="inlineStr">
        <is>
          <t>Sales Discounts &amp; Allowances</t>
        </is>
      </c>
      <c r="C74" s="12" t="inlineStr">
        <is>
          <t>Revenue</t>
        </is>
      </c>
      <c r="D74" s="12" t="inlineStr">
        <is>
          <t>sales_discount</t>
        </is>
      </c>
      <c r="E74" s="16">
        <f>IF(OR(C74="Asset",C74="COGS",C74="Expense"),IF(OR(D74="accumulated_depreciation",D74="accumulated_amortization",D74="allowance_doubtful"),"Credit","Debit"),IF(OR(D74="drawings",D74="sales_discount"),"Debit","Credit"))</f>
        <v/>
      </c>
      <c r="F74" s="12" t="inlineStr">
        <is>
          <t>sales_discount</t>
        </is>
      </c>
      <c r="G74" s="12" t="inlineStr">
        <is>
          <t>خصومات ومسموحات المبيعات</t>
        </is>
      </c>
      <c r="H74" s="12" t="inlineStr">
        <is>
          <t>Yes</t>
        </is>
      </c>
    </row>
    <row r="75">
      <c r="A75" s="12" t="inlineStr">
        <is>
          <t>4060</t>
        </is>
      </c>
      <c r="B75" s="12" t="inlineStr">
        <is>
          <t>Gain on Disposal of Fixed Assets</t>
        </is>
      </c>
      <c r="C75" s="12" t="inlineStr">
        <is>
          <t>Revenue</t>
        </is>
      </c>
      <c r="D75" s="12" t="inlineStr">
        <is>
          <t>other_income</t>
        </is>
      </c>
      <c r="E75" s="16">
        <f>IF(OR(C75="Asset",C75="COGS",C75="Expense"),IF(OR(D75="accumulated_depreciation",D75="accumulated_amortization",D75="allowance_doubtful"),"Credit","Debit"),IF(OR(D75="drawings",D75="sales_discount"),"Debit","Credit"))</f>
        <v/>
      </c>
      <c r="F75" s="12" t="inlineStr">
        <is>
          <t>disposal_gain</t>
        </is>
      </c>
      <c r="G75" s="12" t="inlineStr">
        <is>
          <t>أرباح بيع أصول ثابتة</t>
        </is>
      </c>
      <c r="H75" s="12" t="inlineStr">
        <is>
          <t>Yes</t>
        </is>
      </c>
    </row>
    <row r="76">
      <c r="A76" s="12" t="inlineStr">
        <is>
          <t>4070</t>
        </is>
      </c>
      <c r="B76" s="12" t="inlineStr">
        <is>
          <t>Rental Income</t>
        </is>
      </c>
      <c r="C76" s="12" t="inlineStr">
        <is>
          <t>Revenue</t>
        </is>
      </c>
      <c r="D76" s="12" t="inlineStr">
        <is>
          <t>other_income</t>
        </is>
      </c>
      <c r="E76" s="16">
        <f>IF(OR(C76="Asset",C76="COGS",C76="Expense"),IF(OR(D76="accumulated_depreciation",D76="accumulated_amortization",D76="allowance_doubtful"),"Credit","Debit"),IF(OR(D76="drawings",D76="sales_discount"),"Debit","Credit"))</f>
        <v/>
      </c>
      <c r="F76" s="14" t="n"/>
      <c r="G76" s="12" t="inlineStr">
        <is>
          <t>إيرادات إيجار</t>
        </is>
      </c>
      <c r="H76" s="12" t="inlineStr">
        <is>
          <t>Yes</t>
        </is>
      </c>
    </row>
    <row r="77">
      <c r="A77" s="12" t="inlineStr">
        <is>
          <t>4075</t>
        </is>
      </c>
      <c r="B77" s="12" t="inlineStr">
        <is>
          <t>Compensation for Lost / Damaged Equipment</t>
        </is>
      </c>
      <c r="C77" s="12" t="inlineStr">
        <is>
          <t>Revenue</t>
        </is>
      </c>
      <c r="D77" s="12" t="inlineStr">
        <is>
          <t>other_income</t>
        </is>
      </c>
      <c r="E77" s="16">
        <f>IF(OR(C77="Asset",C77="COGS",C77="Expense"),IF(OR(D77="accumulated_depreciation",D77="accumulated_amortization",D77="allowance_doubtful"),"Credit","Debit"),IF(OR(D77="drawings",D77="sales_discount"),"Debit","Credit"))</f>
        <v/>
      </c>
      <c r="F77" s="12" t="inlineStr">
        <is>
          <t>rental_compensation</t>
        </is>
      </c>
      <c r="G77" s="12" t="inlineStr">
        <is>
          <t>تعويضات المعدات المفقودة / التالفة</t>
        </is>
      </c>
      <c r="H77" s="12" t="inlineStr">
        <is>
          <t>Yes</t>
        </is>
      </c>
    </row>
    <row r="78">
      <c r="A78" s="12" t="inlineStr">
        <is>
          <t>4080</t>
        </is>
      </c>
      <c r="B78" s="12" t="inlineStr">
        <is>
          <t>Discounts Received</t>
        </is>
      </c>
      <c r="C78" s="12" t="inlineStr">
        <is>
          <t>Revenue</t>
        </is>
      </c>
      <c r="D78" s="12" t="inlineStr">
        <is>
          <t>other_income</t>
        </is>
      </c>
      <c r="E78" s="16">
        <f>IF(OR(C78="Asset",C78="COGS",C78="Expense"),IF(OR(D78="accumulated_depreciation",D78="accumulated_amortization",D78="allowance_doubtful"),"Credit","Debit"),IF(OR(D78="drawings",D78="sales_discount"),"Debit","Credit"))</f>
        <v/>
      </c>
      <c r="F78" s="14" t="n"/>
      <c r="G78" s="12" t="inlineStr">
        <is>
          <t>خصم مكتسب</t>
        </is>
      </c>
      <c r="H78" s="12" t="inlineStr">
        <is>
          <t>Yes</t>
        </is>
      </c>
    </row>
    <row r="79">
      <c r="A79" s="12" t="inlineStr">
        <is>
          <t>4085</t>
        </is>
      </c>
      <c r="B79" s="12" t="inlineStr">
        <is>
          <t>Negotiation Earnings</t>
        </is>
      </c>
      <c r="C79" s="12" t="inlineStr">
        <is>
          <t>Revenue</t>
        </is>
      </c>
      <c r="D79" s="12" t="inlineStr">
        <is>
          <t>operating_revenue</t>
        </is>
      </c>
      <c r="E79" s="16">
        <f>IF(OR(C79="Asset",C79="COGS",C79="Expense"),IF(OR(D79="accumulated_depreciation",D79="accumulated_amortization",D79="allowance_doubtful"),"Credit","Debit"),IF(OR(D79="drawings",D79="sales_discount"),"Debit","Credit"))</f>
        <v/>
      </c>
      <c r="F79" s="12" t="inlineStr">
        <is>
          <t>negotiation_income</t>
        </is>
      </c>
      <c r="G79" s="12" t="inlineStr">
        <is>
          <t>أرباح التفاوض</t>
        </is>
      </c>
      <c r="H79" s="12" t="inlineStr">
        <is>
          <t>Yes</t>
        </is>
      </c>
    </row>
    <row r="80">
      <c r="A80" s="12" t="inlineStr">
        <is>
          <t>4090</t>
        </is>
      </c>
      <c r="B80" s="12" t="inlineStr">
        <is>
          <t>Other Income</t>
        </is>
      </c>
      <c r="C80" s="12" t="inlineStr">
        <is>
          <t>Revenue</t>
        </is>
      </c>
      <c r="D80" s="12" t="inlineStr">
        <is>
          <t>other_income</t>
        </is>
      </c>
      <c r="E80" s="16">
        <f>IF(OR(C80="Asset",C80="COGS",C80="Expense"),IF(OR(D80="accumulated_depreciation",D80="accumulated_amortization",D80="allowance_doubtful"),"Credit","Debit"),IF(OR(D80="drawings",D80="sales_discount"),"Debit","Credit"))</f>
        <v/>
      </c>
      <c r="F80" s="12" t="inlineStr">
        <is>
          <t>other_income</t>
        </is>
      </c>
      <c r="G80" s="12" t="inlineStr">
        <is>
          <t>إيرادات أخرى</t>
        </is>
      </c>
      <c r="H80" s="12" t="inlineStr">
        <is>
          <t>Yes</t>
        </is>
      </c>
    </row>
    <row r="81">
      <c r="A81" s="12" t="inlineStr">
        <is>
          <t>4095</t>
        </is>
      </c>
      <c r="B81" s="12" t="inlineStr">
        <is>
          <t>Interest Income</t>
        </is>
      </c>
      <c r="C81" s="12" t="inlineStr">
        <is>
          <t>Revenue</t>
        </is>
      </c>
      <c r="D81" s="12" t="inlineStr">
        <is>
          <t>other_income</t>
        </is>
      </c>
      <c r="E81" s="16">
        <f>IF(OR(C81="Asset",C81="COGS",C81="Expense"),IF(OR(D81="accumulated_depreciation",D81="accumulated_amortization",D81="allowance_doubtful"),"Credit","Debit"),IF(OR(D81="drawings",D81="sales_discount"),"Debit","Credit"))</f>
        <v/>
      </c>
      <c r="F81" s="12" t="inlineStr">
        <is>
          <t>interest_income</t>
        </is>
      </c>
      <c r="G81" s="12" t="inlineStr">
        <is>
          <t>إيرادات فوائد</t>
        </is>
      </c>
      <c r="H81" s="12" t="inlineStr">
        <is>
          <t>Yes</t>
        </is>
      </c>
    </row>
    <row r="82">
      <c r="A82" s="12" t="inlineStr">
        <is>
          <t>5010</t>
        </is>
      </c>
      <c r="B82" s="12" t="inlineStr">
        <is>
          <t>Materials</t>
        </is>
      </c>
      <c r="C82" s="12" t="inlineStr">
        <is>
          <t>COGS</t>
        </is>
      </c>
      <c r="D82" s="12" t="inlineStr">
        <is>
          <t>cogs</t>
        </is>
      </c>
      <c r="E82" s="16">
        <f>IF(OR(C82="Asset",C82="COGS",C82="Expense"),IF(OR(D82="accumulated_depreciation",D82="accumulated_amortization",D82="allowance_doubtful"),"Credit","Debit"),IF(OR(D82="drawings",D82="sales_discount"),"Debit","Credit"))</f>
        <v/>
      </c>
      <c r="F82" s="12" t="inlineStr">
        <is>
          <t>materials</t>
        </is>
      </c>
      <c r="G82" s="12" t="inlineStr">
        <is>
          <t>خامات</t>
        </is>
      </c>
      <c r="H82" s="12" t="inlineStr">
        <is>
          <t>Yes</t>
        </is>
      </c>
    </row>
    <row r="83">
      <c r="A83" s="12" t="inlineStr">
        <is>
          <t>5020</t>
        </is>
      </c>
      <c r="B83" s="12" t="inlineStr">
        <is>
          <t>Subcontractor Costs</t>
        </is>
      </c>
      <c r="C83" s="12" t="inlineStr">
        <is>
          <t>COGS</t>
        </is>
      </c>
      <c r="D83" s="12" t="inlineStr">
        <is>
          <t>cogs</t>
        </is>
      </c>
      <c r="E83" s="16">
        <f>IF(OR(C83="Asset",C83="COGS",C83="Expense"),IF(OR(D83="accumulated_depreciation",D83="accumulated_amortization",D83="allowance_doubtful"),"Credit","Debit"),IF(OR(D83="drawings",D83="sales_discount"),"Debit","Credit"))</f>
        <v/>
      </c>
      <c r="F83" s="14" t="n"/>
      <c r="G83" s="12" t="inlineStr">
        <is>
          <t>تكاليف مقاولي الباطن</t>
        </is>
      </c>
      <c r="H83" s="12" t="inlineStr">
        <is>
          <t>Yes</t>
        </is>
      </c>
    </row>
    <row r="84">
      <c r="A84" s="12" t="inlineStr">
        <is>
          <t>5030</t>
        </is>
      </c>
      <c r="B84" s="12" t="inlineStr">
        <is>
          <t>Direct Labour (billable)</t>
        </is>
      </c>
      <c r="C84" s="12" t="inlineStr">
        <is>
          <t>COGS</t>
        </is>
      </c>
      <c r="D84" s="12" t="inlineStr">
        <is>
          <t>cogs</t>
        </is>
      </c>
      <c r="E84" s="16">
        <f>IF(OR(C84="Asset",C84="COGS",C84="Expense"),IF(OR(D84="accumulated_depreciation",D84="accumulated_amortization",D84="allowance_doubtful"),"Credit","Debit"),IF(OR(D84="drawings",D84="sales_discount"),"Debit","Credit"))</f>
        <v/>
      </c>
      <c r="F84" s="12" t="inlineStr">
        <is>
          <t>direct_labour</t>
        </is>
      </c>
      <c r="G84" s="12" t="inlineStr">
        <is>
          <t>عمالة مباشرة</t>
        </is>
      </c>
      <c r="H84" s="12" t="inlineStr">
        <is>
          <t>Yes</t>
        </is>
      </c>
    </row>
    <row r="85">
      <c r="A85" s="12" t="inlineStr">
        <is>
          <t>5040</t>
        </is>
      </c>
      <c r="B85" s="12" t="inlineStr">
        <is>
          <t>Site Preparation</t>
        </is>
      </c>
      <c r="C85" s="12" t="inlineStr">
        <is>
          <t>COGS</t>
        </is>
      </c>
      <c r="D85" s="12" t="inlineStr">
        <is>
          <t>cogs</t>
        </is>
      </c>
      <c r="E85" s="16">
        <f>IF(OR(C85="Asset",C85="COGS",C85="Expense"),IF(OR(D85="accumulated_depreciation",D85="accumulated_amortization",D85="allowance_doubtful"),"Credit","Debit"),IF(OR(D85="drawings",D85="sales_discount"),"Debit","Credit"))</f>
        <v/>
      </c>
      <c r="F85" s="14" t="n"/>
      <c r="G85" s="12" t="inlineStr">
        <is>
          <t>تجهيز الموقع</t>
        </is>
      </c>
      <c r="H85" s="12" t="inlineStr">
        <is>
          <t>Yes</t>
        </is>
      </c>
    </row>
    <row r="86">
      <c r="A86" s="12" t="inlineStr">
        <is>
          <t>5050</t>
        </is>
      </c>
      <c r="B86" s="12" t="inlineStr">
        <is>
          <t>Equipment Rental</t>
        </is>
      </c>
      <c r="C86" s="12" t="inlineStr">
        <is>
          <t>COGS</t>
        </is>
      </c>
      <c r="D86" s="12" t="inlineStr">
        <is>
          <t>cogs</t>
        </is>
      </c>
      <c r="E86" s="16">
        <f>IF(OR(C86="Asset",C86="COGS",C86="Expense"),IF(OR(D86="accumulated_depreciation",D86="accumulated_amortization",D86="allowance_doubtful"),"Credit","Debit"),IF(OR(D86="drawings",D86="sales_discount"),"Debit","Credit"))</f>
        <v/>
      </c>
      <c r="F86" s="14" t="n"/>
      <c r="G86" s="12" t="inlineStr">
        <is>
          <t>إيجار معدات</t>
        </is>
      </c>
      <c r="H86" s="12" t="inlineStr">
        <is>
          <t>Yes</t>
        </is>
      </c>
    </row>
    <row r="87">
      <c r="A87" s="12" t="inlineStr">
        <is>
          <t>5060</t>
        </is>
      </c>
      <c r="B87" s="12" t="inlineStr">
        <is>
          <t>Transport &amp; Hauling</t>
        </is>
      </c>
      <c r="C87" s="12" t="inlineStr">
        <is>
          <t>COGS</t>
        </is>
      </c>
      <c r="D87" s="12" t="inlineStr">
        <is>
          <t>cogs</t>
        </is>
      </c>
      <c r="E87" s="16">
        <f>IF(OR(C87="Asset",C87="COGS",C87="Expense"),IF(OR(D87="accumulated_depreciation",D87="accumulated_amortization",D87="allowance_doubtful"),"Credit","Debit"),IF(OR(D87="drawings",D87="sales_discount"),"Debit","Credit"))</f>
        <v/>
      </c>
      <c r="F87" s="14" t="n"/>
      <c r="G87" s="12" t="inlineStr">
        <is>
          <t>نقل وتشوين</t>
        </is>
      </c>
      <c r="H87" s="12" t="inlineStr">
        <is>
          <t>Yes</t>
        </is>
      </c>
    </row>
    <row r="88">
      <c r="A88" s="12" t="inlineStr">
        <is>
          <t>5070</t>
        </is>
      </c>
      <c r="B88" s="12" t="inlineStr">
        <is>
          <t>Design Outsourcing &amp; Renders</t>
        </is>
      </c>
      <c r="C88" s="12" t="inlineStr">
        <is>
          <t>COGS</t>
        </is>
      </c>
      <c r="D88" s="12" t="inlineStr">
        <is>
          <t>cogs</t>
        </is>
      </c>
      <c r="E88" s="16">
        <f>IF(OR(C88="Asset",C88="COGS",C88="Expense"),IF(OR(D88="accumulated_depreciation",D88="accumulated_amortization",D88="allowance_doubtful"),"Credit","Debit"),IF(OR(D88="drawings",D88="sales_discount"),"Debit","Credit"))</f>
        <v/>
      </c>
      <c r="F88" s="14" t="n"/>
      <c r="G88" s="12" t="inlineStr">
        <is>
          <t>تصميم خارجي ورندرات</t>
        </is>
      </c>
      <c r="H88" s="12" t="inlineStr">
        <is>
          <t>Yes</t>
        </is>
      </c>
    </row>
    <row r="89">
      <c r="A89" s="12" t="inlineStr">
        <is>
          <t>5080</t>
        </is>
      </c>
      <c r="B89" s="12" t="inlineStr">
        <is>
          <t>Inventory Adjustments</t>
        </is>
      </c>
      <c r="C89" s="12" t="inlineStr">
        <is>
          <t>COGS</t>
        </is>
      </c>
      <c r="D89" s="12" t="inlineStr">
        <is>
          <t>cogs</t>
        </is>
      </c>
      <c r="E89" s="16">
        <f>IF(OR(C89="Asset",C89="COGS",C89="Expense"),IF(OR(D89="accumulated_depreciation",D89="accumulated_amortization",D89="allowance_doubtful"),"Credit","Debit"),IF(OR(D89="drawings",D89="sales_discount"),"Debit","Credit"))</f>
        <v/>
      </c>
      <c r="F89" s="12" t="inlineStr">
        <is>
          <t>stock_adjust</t>
        </is>
      </c>
      <c r="G89" s="12" t="inlineStr">
        <is>
          <t>تسويات المخزون</t>
        </is>
      </c>
      <c r="H89" s="12" t="inlineStr">
        <is>
          <t>Yes</t>
        </is>
      </c>
    </row>
    <row r="90">
      <c r="A90" s="12" t="inlineStr">
        <is>
          <t>6010</t>
        </is>
      </c>
      <c r="B90" s="12" t="inlineStr">
        <is>
          <t>Rent</t>
        </is>
      </c>
      <c r="C90" s="12" t="inlineStr">
        <is>
          <t>Expense</t>
        </is>
      </c>
      <c r="D90" s="12" t="inlineStr">
        <is>
          <t>general_admin</t>
        </is>
      </c>
      <c r="E90" s="16">
        <f>IF(OR(C90="Asset",C90="COGS",C90="Expense"),IF(OR(D90="accumulated_depreciation",D90="accumulated_amortization",D90="allowance_doubtful"),"Credit","Debit"),IF(OR(D90="drawings",D90="sales_discount"),"Debit","Credit"))</f>
        <v/>
      </c>
      <c r="F90" s="14" t="n"/>
      <c r="G90" s="12" t="inlineStr">
        <is>
          <t>الإيجار</t>
        </is>
      </c>
      <c r="H90" s="12" t="inlineStr">
        <is>
          <t>Yes</t>
        </is>
      </c>
    </row>
    <row r="91">
      <c r="A91" s="12" t="inlineStr">
        <is>
          <t>6015</t>
        </is>
      </c>
      <c r="B91" s="12" t="inlineStr">
        <is>
          <t>Repairs &amp; Maintenance</t>
        </is>
      </c>
      <c r="C91" s="12" t="inlineStr">
        <is>
          <t>Expense</t>
        </is>
      </c>
      <c r="D91" s="12" t="inlineStr">
        <is>
          <t>general_admin</t>
        </is>
      </c>
      <c r="E91" s="16">
        <f>IF(OR(C91="Asset",C91="COGS",C91="Expense"),IF(OR(D91="accumulated_depreciation",D91="accumulated_amortization",D91="allowance_doubtful"),"Credit","Debit"),IF(OR(D91="drawings",D91="sales_discount"),"Debit","Credit"))</f>
        <v/>
      </c>
      <c r="F91" s="14" t="n"/>
      <c r="G91" s="12" t="inlineStr">
        <is>
          <t>صيانة وإصلاحات</t>
        </is>
      </c>
      <c r="H91" s="12" t="inlineStr">
        <is>
          <t>Yes</t>
        </is>
      </c>
    </row>
    <row r="92">
      <c r="A92" s="12" t="inlineStr">
        <is>
          <t>6020</t>
        </is>
      </c>
      <c r="B92" s="12" t="inlineStr">
        <is>
          <t>Software &amp; Subscriptions</t>
        </is>
      </c>
      <c r="C92" s="12" t="inlineStr">
        <is>
          <t>Expense</t>
        </is>
      </c>
      <c r="D92" s="12" t="inlineStr">
        <is>
          <t>general_admin</t>
        </is>
      </c>
      <c r="E92" s="16">
        <f>IF(OR(C92="Asset",C92="COGS",C92="Expense"),IF(OR(D92="accumulated_depreciation",D92="accumulated_amortization",D92="allowance_doubtful"),"Credit","Debit"),IF(OR(D92="drawings",D92="sales_discount"),"Debit","Credit"))</f>
        <v/>
      </c>
      <c r="F92" s="14" t="n"/>
      <c r="G92" s="12" t="inlineStr">
        <is>
          <t>برامج واشتراكات</t>
        </is>
      </c>
      <c r="H92" s="12" t="inlineStr">
        <is>
          <t>Yes</t>
        </is>
      </c>
    </row>
    <row r="93">
      <c r="A93" s="12" t="inlineStr">
        <is>
          <t>6030</t>
        </is>
      </c>
      <c r="B93" s="12" t="inlineStr">
        <is>
          <t>Marketing &amp; Advertising</t>
        </is>
      </c>
      <c r="C93" s="12" t="inlineStr">
        <is>
          <t>Expense</t>
        </is>
      </c>
      <c r="D93" s="12" t="inlineStr">
        <is>
          <t>marketing</t>
        </is>
      </c>
      <c r="E93" s="16">
        <f>IF(OR(C93="Asset",C93="COGS",C93="Expense"),IF(OR(D93="accumulated_depreciation",D93="accumulated_amortization",D93="allowance_doubtful"),"Credit","Debit"),IF(OR(D93="drawings",D93="sales_discount"),"Debit","Credit"))</f>
        <v/>
      </c>
      <c r="F93" s="14" t="n"/>
      <c r="G93" s="12" t="inlineStr">
        <is>
          <t>دعاية وإعلان</t>
        </is>
      </c>
      <c r="H93" s="12" t="inlineStr">
        <is>
          <t>Yes</t>
        </is>
      </c>
    </row>
    <row r="94">
      <c r="A94" s="12" t="inlineStr">
        <is>
          <t>6040</t>
        </is>
      </c>
      <c r="B94" s="12" t="inlineStr">
        <is>
          <t>Utilities (Electricity &amp; Water)</t>
        </is>
      </c>
      <c r="C94" s="12" t="inlineStr">
        <is>
          <t>Expense</t>
        </is>
      </c>
      <c r="D94" s="12" t="inlineStr">
        <is>
          <t>utilities</t>
        </is>
      </c>
      <c r="E94" s="16">
        <f>IF(OR(C94="Asset",C94="COGS",C94="Expense"),IF(OR(D94="accumulated_depreciation",D94="accumulated_amortization",D94="allowance_doubtful"),"Credit","Debit"),IF(OR(D94="drawings",D94="sales_discount"),"Debit","Credit"))</f>
        <v/>
      </c>
      <c r="F94" s="14" t="n"/>
      <c r="G94" s="12" t="inlineStr">
        <is>
          <t>كهرباء ومياه</t>
        </is>
      </c>
      <c r="H94" s="12" t="inlineStr">
        <is>
          <t>Yes</t>
        </is>
      </c>
    </row>
    <row r="95">
      <c r="A95" s="12" t="inlineStr">
        <is>
          <t>6045</t>
        </is>
      </c>
      <c r="B95" s="12" t="inlineStr">
        <is>
          <t>Telephone &amp; Internet</t>
        </is>
      </c>
      <c r="C95" s="12" t="inlineStr">
        <is>
          <t>Expense</t>
        </is>
      </c>
      <c r="D95" s="12" t="inlineStr">
        <is>
          <t>utilities</t>
        </is>
      </c>
      <c r="E95" s="16">
        <f>IF(OR(C95="Asset",C95="COGS",C95="Expense"),IF(OR(D95="accumulated_depreciation",D95="accumulated_amortization",D95="allowance_doubtful"),"Credit","Debit"),IF(OR(D95="drawings",D95="sales_discount"),"Debit","Credit"))</f>
        <v/>
      </c>
      <c r="F95" s="14" t="n"/>
      <c r="G95" s="12" t="inlineStr">
        <is>
          <t>هاتف وإنترنت</t>
        </is>
      </c>
      <c r="H95" s="12" t="inlineStr">
        <is>
          <t>Yes</t>
        </is>
      </c>
    </row>
    <row r="96">
      <c r="A96" s="12" t="inlineStr">
        <is>
          <t>6050</t>
        </is>
      </c>
      <c r="B96" s="12" t="inlineStr">
        <is>
          <t>Office &amp; Admin Salaries</t>
        </is>
      </c>
      <c r="C96" s="12" t="inlineStr">
        <is>
          <t>Expense</t>
        </is>
      </c>
      <c r="D96" s="12" t="inlineStr">
        <is>
          <t>employee</t>
        </is>
      </c>
      <c r="E96" s="16">
        <f>IF(OR(C96="Asset",C96="COGS",C96="Expense"),IF(OR(D96="accumulated_depreciation",D96="accumulated_amortization",D96="allowance_doubtful"),"Credit","Debit"),IF(OR(D96="drawings",D96="sales_discount"),"Debit","Credit"))</f>
        <v/>
      </c>
      <c r="F96" s="12" t="inlineStr">
        <is>
          <t>admin_salaries</t>
        </is>
      </c>
      <c r="G96" s="12" t="inlineStr">
        <is>
          <t>رواتب إدارية</t>
        </is>
      </c>
      <c r="H96" s="12" t="inlineStr">
        <is>
          <t>Yes</t>
        </is>
      </c>
    </row>
    <row r="97">
      <c r="A97" s="12" t="inlineStr">
        <is>
          <t>6055</t>
        </is>
      </c>
      <c r="B97" s="12" t="inlineStr">
        <is>
          <t>Social Insurance &amp; Benefits</t>
        </is>
      </c>
      <c r="C97" s="12" t="inlineStr">
        <is>
          <t>Expense</t>
        </is>
      </c>
      <c r="D97" s="12" t="inlineStr">
        <is>
          <t>employee</t>
        </is>
      </c>
      <c r="E97" s="16">
        <f>IF(OR(C97="Asset",C97="COGS",C97="Expense"),IF(OR(D97="accumulated_depreciation",D97="accumulated_amortization",D97="allowance_doubtful"),"Credit","Debit"),IF(OR(D97="drawings",D97="sales_discount"),"Debit","Credit"))</f>
        <v/>
      </c>
      <c r="F97" s="14" t="n"/>
      <c r="G97" s="12" t="inlineStr">
        <is>
          <t>تأمينات اجتماعية ومزايا</t>
        </is>
      </c>
      <c r="H97" s="12" t="inlineStr">
        <is>
          <t>Yes</t>
        </is>
      </c>
    </row>
    <row r="98">
      <c r="A98" s="12" t="inlineStr">
        <is>
          <t>6060</t>
        </is>
      </c>
      <c r="B98" s="12" t="inlineStr">
        <is>
          <t>Professional Fees (Legal, Audit)</t>
        </is>
      </c>
      <c r="C98" s="12" t="inlineStr">
        <is>
          <t>Expense</t>
        </is>
      </c>
      <c r="D98" s="12" t="inlineStr">
        <is>
          <t>general_admin</t>
        </is>
      </c>
      <c r="E98" s="16">
        <f>IF(OR(C98="Asset",C98="COGS",C98="Expense"),IF(OR(D98="accumulated_depreciation",D98="accumulated_amortization",D98="allowance_doubtful"),"Credit","Debit"),IF(OR(D98="drawings",D98="sales_discount"),"Debit","Credit"))</f>
        <v/>
      </c>
      <c r="F98" s="14" t="n"/>
      <c r="G98" s="12" t="inlineStr">
        <is>
          <t>أتعاب مهنية (قانونية ومراجعة)</t>
        </is>
      </c>
      <c r="H98" s="12" t="inlineStr">
        <is>
          <t>Yes</t>
        </is>
      </c>
    </row>
    <row r="99">
      <c r="A99" s="12" t="inlineStr">
        <is>
          <t>6065</t>
        </is>
      </c>
      <c r="B99" s="12" t="inlineStr">
        <is>
          <t>Bank Charges</t>
        </is>
      </c>
      <c r="C99" s="12" t="inlineStr">
        <is>
          <t>Expense</t>
        </is>
      </c>
      <c r="D99" s="12" t="inlineStr">
        <is>
          <t>general_admin</t>
        </is>
      </c>
      <c r="E99" s="16">
        <f>IF(OR(C99="Asset",C99="COGS",C99="Expense"),IF(OR(D99="accumulated_depreciation",D99="accumulated_amortization",D99="allowance_doubtful"),"Credit","Debit"),IF(OR(D99="drawings",D99="sales_discount"),"Debit","Credit"))</f>
        <v/>
      </c>
      <c r="F99" s="12" t="inlineStr">
        <is>
          <t>bank_charges</t>
        </is>
      </c>
      <c r="G99" s="12" t="inlineStr">
        <is>
          <t>مصروفات بنكية</t>
        </is>
      </c>
      <c r="H99" s="12" t="inlineStr">
        <is>
          <t>Yes</t>
        </is>
      </c>
    </row>
    <row r="100">
      <c r="A100" s="12" t="inlineStr">
        <is>
          <t>6070</t>
        </is>
      </c>
      <c r="B100" s="12" t="inlineStr">
        <is>
          <t>Project Overhead (non-billable)</t>
        </is>
      </c>
      <c r="C100" s="12" t="inlineStr">
        <is>
          <t>Expense</t>
        </is>
      </c>
      <c r="D100" s="12" t="inlineStr">
        <is>
          <t>other_operating</t>
        </is>
      </c>
      <c r="E100" s="16">
        <f>IF(OR(C100="Asset",C100="COGS",C100="Expense"),IF(OR(D100="accumulated_depreciation",D100="accumulated_amortization",D100="allowance_doubtful"),"Credit","Debit"),IF(OR(D100="drawings",D100="sales_discount"),"Debit","Credit"))</f>
        <v/>
      </c>
      <c r="F100" s="12" t="inlineStr">
        <is>
          <t>project_overhead</t>
        </is>
      </c>
      <c r="G100" s="12" t="inlineStr">
        <is>
          <t>مصروفات المشروعات غير المحملة</t>
        </is>
      </c>
      <c r="H100" s="12" t="inlineStr">
        <is>
          <t>Yes</t>
        </is>
      </c>
    </row>
    <row r="101">
      <c r="A101" s="12" t="inlineStr">
        <is>
          <t>6075</t>
        </is>
      </c>
      <c r="B101" s="12" t="inlineStr">
        <is>
          <t>Travel &amp; Transport</t>
        </is>
      </c>
      <c r="C101" s="12" t="inlineStr">
        <is>
          <t>Expense</t>
        </is>
      </c>
      <c r="D101" s="12" t="inlineStr">
        <is>
          <t>general_admin</t>
        </is>
      </c>
      <c r="E101" s="16">
        <f>IF(OR(C101="Asset",C101="COGS",C101="Expense"),IF(OR(D101="accumulated_depreciation",D101="accumulated_amortization",D101="allowance_doubtful"),"Credit","Debit"),IF(OR(D101="drawings",D101="sales_discount"),"Debit","Credit"))</f>
        <v/>
      </c>
      <c r="F101" s="14" t="n"/>
      <c r="G101" s="12" t="inlineStr">
        <is>
          <t>انتقالات وسفر</t>
        </is>
      </c>
      <c r="H101" s="12" t="inlineStr">
        <is>
          <t>Yes</t>
        </is>
      </c>
    </row>
    <row r="102">
      <c r="A102" s="12" t="inlineStr">
        <is>
          <t>6078</t>
        </is>
      </c>
      <c r="B102" s="12" t="inlineStr">
        <is>
          <t>Fuel &amp; Vehicle Running Costs</t>
        </is>
      </c>
      <c r="C102" s="12" t="inlineStr">
        <is>
          <t>Expense</t>
        </is>
      </c>
      <c r="D102" s="12" t="inlineStr">
        <is>
          <t>general_admin</t>
        </is>
      </c>
      <c r="E102" s="16">
        <f>IF(OR(C102="Asset",C102="COGS",C102="Expense"),IF(OR(D102="accumulated_depreciation",D102="accumulated_amortization",D102="allowance_doubtful"),"Credit","Debit"),IF(OR(D102="drawings",D102="sales_discount"),"Debit","Credit"))</f>
        <v/>
      </c>
      <c r="F102" s="14" t="n"/>
      <c r="G102" s="12" t="inlineStr">
        <is>
          <t>وقود ومصروفات سيارات</t>
        </is>
      </c>
      <c r="H102" s="12" t="inlineStr">
        <is>
          <t>Yes</t>
        </is>
      </c>
    </row>
    <row r="103">
      <c r="A103" s="12" t="inlineStr">
        <is>
          <t>6080</t>
        </is>
      </c>
      <c r="B103" s="12" t="inlineStr">
        <is>
          <t>Office Supplies</t>
        </is>
      </c>
      <c r="C103" s="12" t="inlineStr">
        <is>
          <t>Expense</t>
        </is>
      </c>
      <c r="D103" s="12" t="inlineStr">
        <is>
          <t>general_admin</t>
        </is>
      </c>
      <c r="E103" s="16">
        <f>IF(OR(C103="Asset",C103="COGS",C103="Expense"),IF(OR(D103="accumulated_depreciation",D103="accumulated_amortization",D103="allowance_doubtful"),"Credit","Debit"),IF(OR(D103="drawings",D103="sales_discount"),"Debit","Credit"))</f>
        <v/>
      </c>
      <c r="F103" s="14" t="n"/>
      <c r="G103" s="12" t="inlineStr">
        <is>
          <t>أدوات مكتبية</t>
        </is>
      </c>
      <c r="H103" s="12" t="inlineStr">
        <is>
          <t>Yes</t>
        </is>
      </c>
    </row>
    <row r="104">
      <c r="A104" s="12" t="inlineStr">
        <is>
          <t>6085</t>
        </is>
      </c>
      <c r="B104" s="12" t="inlineStr">
        <is>
          <t>Insurance</t>
        </is>
      </c>
      <c r="C104" s="12" t="inlineStr">
        <is>
          <t>Expense</t>
        </is>
      </c>
      <c r="D104" s="12" t="inlineStr">
        <is>
          <t>general_admin</t>
        </is>
      </c>
      <c r="E104" s="16">
        <f>IF(OR(C104="Asset",C104="COGS",C104="Expense"),IF(OR(D104="accumulated_depreciation",D104="accumulated_amortization",D104="allowance_doubtful"),"Credit","Debit"),IF(OR(D104="drawings",D104="sales_discount"),"Debit","Credit"))</f>
        <v/>
      </c>
      <c r="F104" s="14" t="n"/>
      <c r="G104" s="12" t="inlineStr">
        <is>
          <t>تأمين</t>
        </is>
      </c>
      <c r="H104" s="12" t="inlineStr">
        <is>
          <t>Yes</t>
        </is>
      </c>
    </row>
    <row r="105">
      <c r="A105" s="12" t="inlineStr">
        <is>
          <t>6088</t>
        </is>
      </c>
      <c r="B105" s="12" t="inlineStr">
        <is>
          <t>Bad Debts Expense</t>
        </is>
      </c>
      <c r="C105" s="12" t="inlineStr">
        <is>
          <t>Expense</t>
        </is>
      </c>
      <c r="D105" s="12" t="inlineStr">
        <is>
          <t>general_admin</t>
        </is>
      </c>
      <c r="E105" s="16">
        <f>IF(OR(C105="Asset",C105="COGS",C105="Expense"),IF(OR(D105="accumulated_depreciation",D105="accumulated_amortization",D105="allowance_doubtful"),"Credit","Debit"),IF(OR(D105="drawings",D105="sales_discount"),"Debit","Credit"))</f>
        <v/>
      </c>
      <c r="F105" s="12" t="inlineStr">
        <is>
          <t>bad_debts</t>
        </is>
      </c>
      <c r="G105" s="12" t="inlineStr">
        <is>
          <t>ديون معدومة</t>
        </is>
      </c>
      <c r="H105" s="12" t="inlineStr">
        <is>
          <t>Yes</t>
        </is>
      </c>
    </row>
    <row r="106">
      <c r="A106" s="12" t="inlineStr">
        <is>
          <t>6090</t>
        </is>
      </c>
      <c r="B106" s="12" t="inlineStr">
        <is>
          <t>Other Operating Expenses</t>
        </is>
      </c>
      <c r="C106" s="12" t="inlineStr">
        <is>
          <t>Expense</t>
        </is>
      </c>
      <c r="D106" s="12" t="inlineStr">
        <is>
          <t>other_operating</t>
        </is>
      </c>
      <c r="E106" s="16">
        <f>IF(OR(C106="Asset",C106="COGS",C106="Expense"),IF(OR(D106="accumulated_depreciation",D106="accumulated_amortization",D106="allowance_doubtful"),"Credit","Debit"),IF(OR(D106="drawings",D106="sales_discount"),"Debit","Credit"))</f>
        <v/>
      </c>
      <c r="F106" s="12" t="inlineStr">
        <is>
          <t>other_overhead</t>
        </is>
      </c>
      <c r="G106" s="12" t="inlineStr">
        <is>
          <t>مصروفات تشغيلية أخرى</t>
        </is>
      </c>
      <c r="H106" s="12" t="inlineStr">
        <is>
          <t>Yes</t>
        </is>
      </c>
    </row>
    <row r="107">
      <c r="A107" s="12" t="inlineStr">
        <is>
          <t>7010</t>
        </is>
      </c>
      <c r="B107" s="12" t="inlineStr">
        <is>
          <t>Depreciation Expense</t>
        </is>
      </c>
      <c r="C107" s="12" t="inlineStr">
        <is>
          <t>Expense</t>
        </is>
      </c>
      <c r="D107" s="12" t="inlineStr">
        <is>
          <t>depreciation</t>
        </is>
      </c>
      <c r="E107" s="16">
        <f>IF(OR(C107="Asset",C107="COGS",C107="Expense"),IF(OR(D107="accumulated_depreciation",D107="accumulated_amortization",D107="allowance_doubtful"),"Credit","Debit"),IF(OR(D107="drawings",D107="sales_discount"),"Debit","Credit"))</f>
        <v/>
      </c>
      <c r="F107" s="12" t="inlineStr">
        <is>
          <t>depreciation</t>
        </is>
      </c>
      <c r="G107" s="12" t="inlineStr">
        <is>
          <t>مصروف الإهلاك</t>
        </is>
      </c>
      <c r="H107" s="12" t="inlineStr">
        <is>
          <t>Yes</t>
        </is>
      </c>
    </row>
    <row r="108">
      <c r="A108" s="12" t="inlineStr">
        <is>
          <t>7020</t>
        </is>
      </c>
      <c r="B108" s="12" t="inlineStr">
        <is>
          <t>Amortization Expense</t>
        </is>
      </c>
      <c r="C108" s="12" t="inlineStr">
        <is>
          <t>Expense</t>
        </is>
      </c>
      <c r="D108" s="12" t="inlineStr">
        <is>
          <t>amortization</t>
        </is>
      </c>
      <c r="E108" s="16">
        <f>IF(OR(C108="Asset",C108="COGS",C108="Expense"),IF(OR(D108="accumulated_depreciation",D108="accumulated_amortization",D108="allowance_doubtful"),"Credit","Debit"),IF(OR(D108="drawings",D108="sales_discount"),"Debit","Credit"))</f>
        <v/>
      </c>
      <c r="F108" s="12" t="inlineStr">
        <is>
          <t>amortization</t>
        </is>
      </c>
      <c r="G108" s="12" t="inlineStr">
        <is>
          <t>مصروف الاستهلاك</t>
        </is>
      </c>
      <c r="H108" s="12" t="inlineStr">
        <is>
          <t>Yes</t>
        </is>
      </c>
    </row>
    <row r="109">
      <c r="A109" s="12" t="inlineStr">
        <is>
          <t>7030</t>
        </is>
      </c>
      <c r="B109" s="12" t="inlineStr">
        <is>
          <t>Interest Expense</t>
        </is>
      </c>
      <c r="C109" s="12" t="inlineStr">
        <is>
          <t>Expense</t>
        </is>
      </c>
      <c r="D109" s="12" t="inlineStr">
        <is>
          <t>interest</t>
        </is>
      </c>
      <c r="E109" s="16">
        <f>IF(OR(C109="Asset",C109="COGS",C109="Expense"),IF(OR(D109="accumulated_depreciation",D109="accumulated_amortization",D109="allowance_doubtful"),"Credit","Debit"),IF(OR(D109="drawings",D109="sales_discount"),"Debit","Credit"))</f>
        <v/>
      </c>
      <c r="F109" s="12" t="inlineStr">
        <is>
          <t>interest</t>
        </is>
      </c>
      <c r="G109" s="12" t="inlineStr">
        <is>
          <t>مصروفات الفوائد</t>
        </is>
      </c>
      <c r="H109" s="12" t="inlineStr">
        <is>
          <t>Yes</t>
        </is>
      </c>
    </row>
    <row r="110">
      <c r="A110" s="12" t="inlineStr">
        <is>
          <t>7040</t>
        </is>
      </c>
      <c r="B110" s="12" t="inlineStr">
        <is>
          <t>Foreign Exchange Loss / (Gain)</t>
        </is>
      </c>
      <c r="C110" s="12" t="inlineStr">
        <is>
          <t>Expense</t>
        </is>
      </c>
      <c r="D110" s="12" t="inlineStr">
        <is>
          <t>other_nonoperating</t>
        </is>
      </c>
      <c r="E110" s="16">
        <f>IF(OR(C110="Asset",C110="COGS",C110="Expense"),IF(OR(D110="accumulated_depreciation",D110="accumulated_amortization",D110="allowance_doubtful"),"Credit","Debit"),IF(OR(D110="drawings",D110="sales_discount"),"Debit","Credit"))</f>
        <v/>
      </c>
      <c r="F110" s="14" t="n"/>
      <c r="G110" s="12" t="inlineStr">
        <is>
          <t>خسائر (أرباح) فروق العملة</t>
        </is>
      </c>
      <c r="H110" s="12" t="inlineStr">
        <is>
          <t>Yes</t>
        </is>
      </c>
    </row>
    <row r="111">
      <c r="A111" s="12" t="inlineStr">
        <is>
          <t>7045</t>
        </is>
      </c>
      <c r="B111" s="12" t="inlineStr">
        <is>
          <t>Loss on Disposal of Fixed Assets</t>
        </is>
      </c>
      <c r="C111" s="12" t="inlineStr">
        <is>
          <t>Expense</t>
        </is>
      </c>
      <c r="D111" s="12" t="inlineStr">
        <is>
          <t>other_nonoperating</t>
        </is>
      </c>
      <c r="E111" s="16">
        <f>IF(OR(C111="Asset",C111="COGS",C111="Expense"),IF(OR(D111="accumulated_depreciation",D111="accumulated_amortization",D111="allowance_doubtful"),"Credit","Debit"),IF(OR(D111="drawings",D111="sales_discount"),"Debit","Credit"))</f>
        <v/>
      </c>
      <c r="F111" s="12" t="inlineStr">
        <is>
          <t>disposal_loss</t>
        </is>
      </c>
      <c r="G111" s="12" t="inlineStr">
        <is>
          <t>خسائر بيع أصول ثابتة</t>
        </is>
      </c>
      <c r="H111" s="12" t="inlineStr">
        <is>
          <t>Yes</t>
        </is>
      </c>
    </row>
    <row r="112">
      <c r="A112" s="12" t="inlineStr">
        <is>
          <t>7046</t>
        </is>
      </c>
      <c r="B112" s="12" t="inlineStr">
        <is>
          <t>Loss on Rental Equipment (Lost / Scrapped)</t>
        </is>
      </c>
      <c r="C112" s="12" t="inlineStr">
        <is>
          <t>Expense</t>
        </is>
      </c>
      <c r="D112" s="12" t="inlineStr">
        <is>
          <t>other_nonoperating</t>
        </is>
      </c>
      <c r="E112" s="16">
        <f>IF(OR(C112="Asset",C112="COGS",C112="Expense"),IF(OR(D112="accumulated_depreciation",D112="accumulated_amortization",D112="allowance_doubtful"),"Credit","Debit"),IF(OR(D112="drawings",D112="sales_discount"),"Debit","Credit"))</f>
        <v/>
      </c>
      <c r="F112" s="12" t="inlineStr">
        <is>
          <t>rental_loss</t>
        </is>
      </c>
      <c r="G112" s="12" t="inlineStr">
        <is>
          <t>خسائر معدات التأجير (فقد / تكهين)</t>
        </is>
      </c>
      <c r="H112" s="12" t="inlineStr">
        <is>
          <t>Yes</t>
        </is>
      </c>
    </row>
    <row r="113">
      <c r="A113" s="12" t="inlineStr">
        <is>
          <t>7050</t>
        </is>
      </c>
      <c r="B113" s="12" t="inlineStr">
        <is>
          <t>Income Tax Expense</t>
        </is>
      </c>
      <c r="C113" s="12" t="inlineStr">
        <is>
          <t>Expense</t>
        </is>
      </c>
      <c r="D113" s="12" t="inlineStr">
        <is>
          <t>income_tax</t>
        </is>
      </c>
      <c r="E113" s="16">
        <f>IF(OR(C113="Asset",C113="COGS",C113="Expense"),IF(OR(D113="accumulated_depreciation",D113="accumulated_amortization",D113="allowance_doubtful"),"Credit","Debit"),IF(OR(D113="drawings",D113="sales_discount"),"Debit","Credit"))</f>
        <v/>
      </c>
      <c r="F113" s="12" t="inlineStr">
        <is>
          <t>income_tax</t>
        </is>
      </c>
      <c r="G113" s="12" t="inlineStr">
        <is>
          <t>مصروف ضريبة الدخل</t>
        </is>
      </c>
      <c r="H113" s="12" t="inlineStr">
        <is>
          <t>Yes</t>
        </is>
      </c>
    </row>
    <row r="114">
      <c r="A114" s="12" t="inlineStr">
        <is>
          <t>7060</t>
        </is>
      </c>
      <c r="B114" s="12" t="inlineStr">
        <is>
          <t>Bad Debts &amp; Loan Write-offs</t>
        </is>
      </c>
      <c r="C114" s="12" t="inlineStr">
        <is>
          <t>Expense</t>
        </is>
      </c>
      <c r="D114" s="12" t="inlineStr">
        <is>
          <t>other_nonoperating</t>
        </is>
      </c>
      <c r="E114" s="16">
        <f>IF(OR(C114="Asset",C114="COGS",C114="Expense"),IF(OR(D114="accumulated_depreciation",D114="accumulated_amortization",D114="allowance_doubtful"),"Credit","Debit"),IF(OR(D114="drawings",D114="sales_discount"),"Debit","Credit"))</f>
        <v/>
      </c>
      <c r="F114" s="12" t="inlineStr">
        <is>
          <t>bad_debt</t>
        </is>
      </c>
      <c r="G114" s="12" t="inlineStr">
        <is>
          <t>ديون معدومة وإعدام قروض</t>
        </is>
      </c>
      <c r="H114" s="12" t="inlineStr">
        <is>
          <t>Yes</t>
        </is>
      </c>
    </row>
  </sheetData>
  <autoFilter ref="A4:H114"/>
  <dataValidations count="3">
    <dataValidation sqref="C5:C205" showDropDown="0" showInputMessage="0" showErrorMessage="1" allowBlank="1" type="list">
      <formula1>Lists!$A$1:$A$6</formula1>
    </dataValidation>
    <dataValidation sqref="D5:D205" showDropDown="0" showInputMessage="0" showErrorMessage="1" allowBlank="1" type="list">
      <formula1>Lists!$B$1:$B$41</formula1>
    </dataValidation>
    <dataValidation sqref="H5:H205" showDropDown="0" showInputMessage="0" showErrorMessage="1" allowBlank="1" type="list">
      <formula1>Lists!$C$1:$C$2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0"/>
    <pageSetUpPr/>
  </sheetPr>
  <dimension ref="A1:H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7" customWidth="1" min="4" max="4"/>
    <col width="8" customWidth="1" min="5" max="5"/>
    <col width="10" customWidth="1" min="6" max="6"/>
    <col width="10" customWidth="1" min="7" max="7"/>
    <col width="7" customWidth="1" min="8" max="8"/>
  </cols>
  <sheetData>
    <row r="1" ht="24" customHeight="1">
      <c r="A1" s="8" t="inlineStr">
        <is>
          <t>BEYOND DESIGN | TAX CODES</t>
        </is>
      </c>
    </row>
    <row r="2">
      <c r="A2" s="9" t="inlineStr">
        <is>
          <t>VAT and withholding-tax codes with their e-invoice (ETA) tax type / sub-type. Rates are editable</t>
        </is>
      </c>
    </row>
    <row r="3">
      <c r="A3" s="10" t="inlineStr">
        <is>
          <t>e.g. VAT14</t>
        </is>
      </c>
      <c r="B3" s="10" t="inlineStr">
        <is>
          <t>VAT 14% (standard)</t>
        </is>
      </c>
      <c r="C3" s="10" t="inlineStr">
        <is>
          <t>ضريبة القيمة المضافة 14%</t>
        </is>
      </c>
      <c r="D3" s="10" t="inlineStr">
        <is>
          <t>vat</t>
        </is>
      </c>
      <c r="E3" s="10" t="inlineStr">
        <is>
          <t>14%</t>
        </is>
      </c>
      <c r="F3" s="10" t="inlineStr">
        <is>
          <t>T1</t>
        </is>
      </c>
      <c r="G3" s="10" t="inlineStr">
        <is>
          <t>V009</t>
        </is>
      </c>
      <c r="H3" s="10" t="inlineStr">
        <is>
          <t>Yes</t>
        </is>
      </c>
    </row>
    <row r="4" ht="30" customHeight="1">
      <c r="A4" s="11" t="inlineStr">
        <is>
          <t>Code</t>
        </is>
      </c>
      <c r="B4" s="11" t="inlineStr">
        <is>
          <t>Name</t>
        </is>
      </c>
      <c r="C4" s="11" t="inlineStr">
        <is>
          <t>Arabic Name</t>
        </is>
      </c>
      <c r="D4" s="11" t="inlineStr">
        <is>
          <t>Kind</t>
        </is>
      </c>
      <c r="E4" s="11" t="inlineStr">
        <is>
          <t>Rate</t>
        </is>
      </c>
      <c r="F4" s="11" t="inlineStr">
        <is>
          <t>ETA Tax Type</t>
        </is>
      </c>
      <c r="G4" s="11" t="inlineStr">
        <is>
          <t>ETA Sub-type</t>
        </is>
      </c>
      <c r="H4" s="11" t="inlineStr">
        <is>
          <t>Active</t>
        </is>
      </c>
    </row>
    <row r="5">
      <c r="A5" s="12" t="inlineStr">
        <is>
          <t>VAT-EXEMPT</t>
        </is>
      </c>
      <c r="B5" s="12" t="inlineStr">
        <is>
          <t>VAT exempt</t>
        </is>
      </c>
      <c r="C5" s="12" t="inlineStr">
        <is>
          <t>معفى من ضريبة القيمة المضافة</t>
        </is>
      </c>
      <c r="D5" s="12" t="inlineStr">
        <is>
          <t>vat</t>
        </is>
      </c>
      <c r="E5" s="17" t="n">
        <v>0</v>
      </c>
      <c r="F5" s="12" t="inlineStr">
        <is>
          <t>T1</t>
        </is>
      </c>
      <c r="G5" s="12" t="inlineStr">
        <is>
          <t>V003</t>
        </is>
      </c>
      <c r="H5" s="12" t="inlineStr">
        <is>
          <t>Yes</t>
        </is>
      </c>
    </row>
    <row r="6">
      <c r="A6" s="12" t="inlineStr">
        <is>
          <t>VAT0-EXP</t>
        </is>
      </c>
      <c r="B6" s="12" t="inlineStr">
        <is>
          <t>VAT 0% — exports</t>
        </is>
      </c>
      <c r="C6" s="12" t="inlineStr">
        <is>
          <t>ضريبة القيمة المضافة 0% — صادرات</t>
        </is>
      </c>
      <c r="D6" s="12" t="inlineStr">
        <is>
          <t>vat</t>
        </is>
      </c>
      <c r="E6" s="17" t="n">
        <v>0</v>
      </c>
      <c r="F6" s="12" t="inlineStr">
        <is>
          <t>T1</t>
        </is>
      </c>
      <c r="G6" s="12" t="inlineStr">
        <is>
          <t>V001</t>
        </is>
      </c>
      <c r="H6" s="12" t="inlineStr">
        <is>
          <t>Yes</t>
        </is>
      </c>
    </row>
    <row r="7">
      <c r="A7" s="12" t="inlineStr">
        <is>
          <t>VAT14</t>
        </is>
      </c>
      <c r="B7" s="12" t="inlineStr">
        <is>
          <t>VAT 14% (standard)</t>
        </is>
      </c>
      <c r="C7" s="12" t="inlineStr">
        <is>
          <t>ضريبة القيمة المضافة 14%</t>
        </is>
      </c>
      <c r="D7" s="12" t="inlineStr">
        <is>
          <t>vat</t>
        </is>
      </c>
      <c r="E7" s="17" t="n">
        <v>0.14</v>
      </c>
      <c r="F7" s="12" t="inlineStr">
        <is>
          <t>T1</t>
        </is>
      </c>
      <c r="G7" s="12" t="inlineStr">
        <is>
          <t>V009</t>
        </is>
      </c>
      <c r="H7" s="12" t="inlineStr">
        <is>
          <t>Yes</t>
        </is>
      </c>
    </row>
    <row r="8">
      <c r="A8" s="12" t="inlineStr">
        <is>
          <t>WHT1-C</t>
        </is>
      </c>
      <c r="B8" s="12" t="inlineStr">
        <is>
          <t>WHT 1% — contracting</t>
        </is>
      </c>
      <c r="C8" s="12" t="inlineStr">
        <is>
          <t>خصم وتحصيل 1% — مقاولات</t>
        </is>
      </c>
      <c r="D8" s="12" t="inlineStr">
        <is>
          <t>wht</t>
        </is>
      </c>
      <c r="E8" s="17" t="n">
        <v>0.01</v>
      </c>
      <c r="F8" s="12" t="inlineStr">
        <is>
          <t>T4</t>
        </is>
      </c>
      <c r="G8" s="12" t="inlineStr">
        <is>
          <t>W001</t>
        </is>
      </c>
      <c r="H8" s="12" t="inlineStr">
        <is>
          <t>Yes</t>
        </is>
      </c>
    </row>
    <row r="9">
      <c r="A9" s="12" t="inlineStr">
        <is>
          <t>WHT1-S</t>
        </is>
      </c>
      <c r="B9" s="12" t="inlineStr">
        <is>
          <t>WHT 1% — supplies</t>
        </is>
      </c>
      <c r="C9" s="12" t="inlineStr">
        <is>
          <t>خصم وتحصيل 1% — توريدات</t>
        </is>
      </c>
      <c r="D9" s="12" t="inlineStr">
        <is>
          <t>wht</t>
        </is>
      </c>
      <c r="E9" s="17" t="n">
        <v>0.01</v>
      </c>
      <c r="F9" s="12" t="inlineStr">
        <is>
          <t>T4</t>
        </is>
      </c>
      <c r="G9" s="12" t="inlineStr">
        <is>
          <t>W002</t>
        </is>
      </c>
      <c r="H9" s="12" t="inlineStr">
        <is>
          <t>Yes</t>
        </is>
      </c>
    </row>
    <row r="10">
      <c r="A10" s="12" t="inlineStr">
        <is>
          <t>WHT3</t>
        </is>
      </c>
      <c r="B10" s="12" t="inlineStr">
        <is>
          <t>WHT 3% — services</t>
        </is>
      </c>
      <c r="C10" s="12" t="inlineStr">
        <is>
          <t>خصم وتحصيل 3% — خدمات</t>
        </is>
      </c>
      <c r="D10" s="12" t="inlineStr">
        <is>
          <t>wht</t>
        </is>
      </c>
      <c r="E10" s="17" t="n">
        <v>0.03</v>
      </c>
      <c r="F10" s="12" t="inlineStr">
        <is>
          <t>T4</t>
        </is>
      </c>
      <c r="G10" s="12" t="inlineStr">
        <is>
          <t>W004</t>
        </is>
      </c>
      <c r="H10" s="12" t="inlineStr">
        <is>
          <t>Yes</t>
        </is>
      </c>
    </row>
    <row r="11">
      <c r="A11" s="12" t="inlineStr">
        <is>
          <t>WHT5</t>
        </is>
      </c>
      <c r="B11" s="12" t="inlineStr">
        <is>
          <t>WHT 5% — professional fees</t>
        </is>
      </c>
      <c r="C11" s="12" t="inlineStr">
        <is>
          <t>خصم وتحصيل 5% — أتعاب مهنية</t>
        </is>
      </c>
      <c r="D11" s="12" t="inlineStr">
        <is>
          <t>wht</t>
        </is>
      </c>
      <c r="E11" s="17" t="n">
        <v>0.05</v>
      </c>
      <c r="F11" s="12" t="inlineStr">
        <is>
          <t>T4</t>
        </is>
      </c>
      <c r="G11" s="12" t="inlineStr">
        <is>
          <t>W010</t>
        </is>
      </c>
      <c r="H11" s="12" t="inlineStr">
        <is>
          <t>Yes</t>
        </is>
      </c>
    </row>
    <row r="12">
      <c r="A12" s="14" t="n"/>
      <c r="B12" s="14" t="n"/>
      <c r="C12" s="14" t="n"/>
      <c r="D12" s="14" t="n"/>
      <c r="E12" s="18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8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8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8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8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8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8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8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8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8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8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8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8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8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8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8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8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8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8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8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8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8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8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8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8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8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8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8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8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8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8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8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8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8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8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8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8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8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8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8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8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8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8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8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8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8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8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8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8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8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8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8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8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8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8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8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8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8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8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8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8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8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8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8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8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8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8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8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8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8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8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8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8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8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8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8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8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8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8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8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8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8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8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8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8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8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8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8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8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8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8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8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8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8" t="n"/>
      <c r="F105" s="14" t="n"/>
      <c r="G105" s="14" t="n"/>
      <c r="H105" s="14" t="n"/>
    </row>
    <row r="106">
      <c r="A106" s="14" t="n"/>
      <c r="B106" s="14" t="n"/>
      <c r="C106" s="14" t="n"/>
      <c r="D106" s="14" t="n"/>
      <c r="E106" s="18" t="n"/>
      <c r="F106" s="14" t="n"/>
      <c r="G106" s="14" t="n"/>
      <c r="H106" s="14" t="n"/>
    </row>
    <row r="107">
      <c r="A107" s="14" t="n"/>
      <c r="B107" s="14" t="n"/>
      <c r="C107" s="14" t="n"/>
      <c r="D107" s="14" t="n"/>
      <c r="E107" s="18" t="n"/>
      <c r="F107" s="14" t="n"/>
      <c r="G107" s="14" t="n"/>
      <c r="H107" s="14" t="n"/>
    </row>
    <row r="108">
      <c r="A108" s="14" t="n"/>
      <c r="B108" s="14" t="n"/>
      <c r="C108" s="14" t="n"/>
      <c r="D108" s="14" t="n"/>
      <c r="E108" s="18" t="n"/>
      <c r="F108" s="14" t="n"/>
      <c r="G108" s="14" t="n"/>
      <c r="H108" s="14" t="n"/>
    </row>
    <row r="109">
      <c r="A109" s="14" t="n"/>
      <c r="B109" s="14" t="n"/>
      <c r="C109" s="14" t="n"/>
      <c r="D109" s="14" t="n"/>
      <c r="E109" s="18" t="n"/>
      <c r="F109" s="14" t="n"/>
      <c r="G109" s="14" t="n"/>
      <c r="H109" s="14" t="n"/>
    </row>
    <row r="110">
      <c r="A110" s="14" t="n"/>
      <c r="B110" s="14" t="n"/>
      <c r="C110" s="14" t="n"/>
      <c r="D110" s="14" t="n"/>
      <c r="E110" s="18" t="n"/>
      <c r="F110" s="14" t="n"/>
      <c r="G110" s="14" t="n"/>
      <c r="H110" s="14" t="n"/>
    </row>
    <row r="111">
      <c r="A111" s="14" t="n"/>
      <c r="B111" s="14" t="n"/>
      <c r="C111" s="14" t="n"/>
      <c r="D111" s="14" t="n"/>
      <c r="E111" s="18" t="n"/>
      <c r="F111" s="14" t="n"/>
      <c r="G111" s="14" t="n"/>
      <c r="H111" s="14" t="n"/>
    </row>
    <row r="112">
      <c r="A112" s="14" t="n"/>
      <c r="B112" s="14" t="n"/>
      <c r="C112" s="14" t="n"/>
      <c r="D112" s="14" t="n"/>
      <c r="E112" s="18" t="n"/>
      <c r="F112" s="14" t="n"/>
      <c r="G112" s="14" t="n"/>
      <c r="H112" s="14" t="n"/>
    </row>
    <row r="113">
      <c r="A113" s="14" t="n"/>
      <c r="B113" s="14" t="n"/>
      <c r="C113" s="14" t="n"/>
      <c r="D113" s="14" t="n"/>
      <c r="E113" s="18" t="n"/>
      <c r="F113" s="14" t="n"/>
      <c r="G113" s="14" t="n"/>
      <c r="H113" s="14" t="n"/>
    </row>
    <row r="114">
      <c r="A114" s="14" t="n"/>
      <c r="B114" s="14" t="n"/>
      <c r="C114" s="14" t="n"/>
      <c r="D114" s="14" t="n"/>
      <c r="E114" s="18" t="n"/>
      <c r="F114" s="14" t="n"/>
      <c r="G114" s="14" t="n"/>
      <c r="H114" s="14" t="n"/>
    </row>
    <row r="115">
      <c r="A115" s="14" t="n"/>
      <c r="B115" s="14" t="n"/>
      <c r="C115" s="14" t="n"/>
      <c r="D115" s="14" t="n"/>
      <c r="E115" s="18" t="n"/>
      <c r="F115" s="14" t="n"/>
      <c r="G115" s="14" t="n"/>
      <c r="H115" s="14" t="n"/>
    </row>
    <row r="116">
      <c r="A116" s="14" t="n"/>
      <c r="B116" s="14" t="n"/>
      <c r="C116" s="14" t="n"/>
      <c r="D116" s="14" t="n"/>
      <c r="E116" s="18" t="n"/>
      <c r="F116" s="14" t="n"/>
      <c r="G116" s="14" t="n"/>
      <c r="H116" s="14" t="n"/>
    </row>
    <row r="117">
      <c r="A117" s="14" t="n"/>
      <c r="B117" s="14" t="n"/>
      <c r="C117" s="14" t="n"/>
      <c r="D117" s="14" t="n"/>
      <c r="E117" s="18" t="n"/>
      <c r="F117" s="14" t="n"/>
      <c r="G117" s="14" t="n"/>
      <c r="H117" s="14" t="n"/>
    </row>
    <row r="118">
      <c r="A118" s="14" t="n"/>
      <c r="B118" s="14" t="n"/>
      <c r="C118" s="14" t="n"/>
      <c r="D118" s="14" t="n"/>
      <c r="E118" s="18" t="n"/>
      <c r="F118" s="14" t="n"/>
      <c r="G118" s="14" t="n"/>
      <c r="H118" s="14" t="n"/>
    </row>
    <row r="119">
      <c r="A119" s="14" t="n"/>
      <c r="B119" s="14" t="n"/>
      <c r="C119" s="14" t="n"/>
      <c r="D119" s="14" t="n"/>
      <c r="E119" s="18" t="n"/>
      <c r="F119" s="14" t="n"/>
      <c r="G119" s="14" t="n"/>
      <c r="H119" s="14" t="n"/>
    </row>
    <row r="120">
      <c r="A120" s="14" t="n"/>
      <c r="B120" s="14" t="n"/>
      <c r="C120" s="14" t="n"/>
      <c r="D120" s="14" t="n"/>
      <c r="E120" s="18" t="n"/>
      <c r="F120" s="14" t="n"/>
      <c r="G120" s="14" t="n"/>
      <c r="H120" s="14" t="n"/>
    </row>
    <row r="121">
      <c r="A121" s="14" t="n"/>
      <c r="B121" s="14" t="n"/>
      <c r="C121" s="14" t="n"/>
      <c r="D121" s="14" t="n"/>
      <c r="E121" s="18" t="n"/>
      <c r="F121" s="14" t="n"/>
      <c r="G121" s="14" t="n"/>
      <c r="H121" s="14" t="n"/>
    </row>
    <row r="122">
      <c r="A122" s="14" t="n"/>
      <c r="B122" s="14" t="n"/>
      <c r="C122" s="14" t="n"/>
      <c r="D122" s="14" t="n"/>
      <c r="E122" s="18" t="n"/>
      <c r="F122" s="14" t="n"/>
      <c r="G122" s="14" t="n"/>
      <c r="H122" s="14" t="n"/>
    </row>
    <row r="123">
      <c r="A123" s="14" t="n"/>
      <c r="B123" s="14" t="n"/>
      <c r="C123" s="14" t="n"/>
      <c r="D123" s="14" t="n"/>
      <c r="E123" s="18" t="n"/>
      <c r="F123" s="14" t="n"/>
      <c r="G123" s="14" t="n"/>
      <c r="H123" s="14" t="n"/>
    </row>
    <row r="124">
      <c r="A124" s="14" t="n"/>
      <c r="B124" s="14" t="n"/>
      <c r="C124" s="14" t="n"/>
      <c r="D124" s="14" t="n"/>
      <c r="E124" s="18" t="n"/>
      <c r="F124" s="14" t="n"/>
      <c r="G124" s="14" t="n"/>
      <c r="H124" s="14" t="n"/>
    </row>
    <row r="125">
      <c r="A125" s="14" t="n"/>
      <c r="B125" s="14" t="n"/>
      <c r="C125" s="14" t="n"/>
      <c r="D125" s="14" t="n"/>
      <c r="E125" s="18" t="n"/>
      <c r="F125" s="14" t="n"/>
      <c r="G125" s="14" t="n"/>
      <c r="H125" s="14" t="n"/>
    </row>
    <row r="126">
      <c r="A126" s="14" t="n"/>
      <c r="B126" s="14" t="n"/>
      <c r="C126" s="14" t="n"/>
      <c r="D126" s="14" t="n"/>
      <c r="E126" s="18" t="n"/>
      <c r="F126" s="14" t="n"/>
      <c r="G126" s="14" t="n"/>
      <c r="H126" s="14" t="n"/>
    </row>
    <row r="127">
      <c r="A127" s="14" t="n"/>
      <c r="B127" s="14" t="n"/>
      <c r="C127" s="14" t="n"/>
      <c r="D127" s="14" t="n"/>
      <c r="E127" s="18" t="n"/>
      <c r="F127" s="14" t="n"/>
      <c r="G127" s="14" t="n"/>
      <c r="H127" s="14" t="n"/>
    </row>
    <row r="128">
      <c r="A128" s="14" t="n"/>
      <c r="B128" s="14" t="n"/>
      <c r="C128" s="14" t="n"/>
      <c r="D128" s="14" t="n"/>
      <c r="E128" s="18" t="n"/>
      <c r="F128" s="14" t="n"/>
      <c r="G128" s="14" t="n"/>
      <c r="H128" s="14" t="n"/>
    </row>
    <row r="129">
      <c r="A129" s="14" t="n"/>
      <c r="B129" s="14" t="n"/>
      <c r="C129" s="14" t="n"/>
      <c r="D129" s="14" t="n"/>
      <c r="E129" s="18" t="n"/>
      <c r="F129" s="14" t="n"/>
      <c r="G129" s="14" t="n"/>
      <c r="H129" s="14" t="n"/>
    </row>
    <row r="130">
      <c r="A130" s="14" t="n"/>
      <c r="B130" s="14" t="n"/>
      <c r="C130" s="14" t="n"/>
      <c r="D130" s="14" t="n"/>
      <c r="E130" s="18" t="n"/>
      <c r="F130" s="14" t="n"/>
      <c r="G130" s="14" t="n"/>
      <c r="H130" s="14" t="n"/>
    </row>
    <row r="131">
      <c r="A131" s="14" t="n"/>
      <c r="B131" s="14" t="n"/>
      <c r="C131" s="14" t="n"/>
      <c r="D131" s="14" t="n"/>
      <c r="E131" s="18" t="n"/>
      <c r="F131" s="14" t="n"/>
      <c r="G131" s="14" t="n"/>
      <c r="H131" s="14" t="n"/>
    </row>
    <row r="132">
      <c r="A132" s="14" t="n"/>
      <c r="B132" s="14" t="n"/>
      <c r="C132" s="14" t="n"/>
      <c r="D132" s="14" t="n"/>
      <c r="E132" s="18" t="n"/>
      <c r="F132" s="14" t="n"/>
      <c r="G132" s="14" t="n"/>
      <c r="H132" s="14" t="n"/>
    </row>
    <row r="133">
      <c r="A133" s="14" t="n"/>
      <c r="B133" s="14" t="n"/>
      <c r="C133" s="14" t="n"/>
      <c r="D133" s="14" t="n"/>
      <c r="E133" s="18" t="n"/>
      <c r="F133" s="14" t="n"/>
      <c r="G133" s="14" t="n"/>
      <c r="H133" s="14" t="n"/>
    </row>
    <row r="134">
      <c r="A134" s="14" t="n"/>
      <c r="B134" s="14" t="n"/>
      <c r="C134" s="14" t="n"/>
      <c r="D134" s="14" t="n"/>
      <c r="E134" s="18" t="n"/>
      <c r="F134" s="14" t="n"/>
      <c r="G134" s="14" t="n"/>
      <c r="H134" s="14" t="n"/>
    </row>
    <row r="135">
      <c r="A135" s="14" t="n"/>
      <c r="B135" s="14" t="n"/>
      <c r="C135" s="14" t="n"/>
      <c r="D135" s="14" t="n"/>
      <c r="E135" s="18" t="n"/>
      <c r="F135" s="14" t="n"/>
      <c r="G135" s="14" t="n"/>
      <c r="H135" s="14" t="n"/>
    </row>
    <row r="136">
      <c r="A136" s="14" t="n"/>
      <c r="B136" s="14" t="n"/>
      <c r="C136" s="14" t="n"/>
      <c r="D136" s="14" t="n"/>
      <c r="E136" s="18" t="n"/>
      <c r="F136" s="14" t="n"/>
      <c r="G136" s="14" t="n"/>
      <c r="H136" s="14" t="n"/>
    </row>
    <row r="137">
      <c r="A137" s="14" t="n"/>
      <c r="B137" s="14" t="n"/>
      <c r="C137" s="14" t="n"/>
      <c r="D137" s="14" t="n"/>
      <c r="E137" s="18" t="n"/>
      <c r="F137" s="14" t="n"/>
      <c r="G137" s="14" t="n"/>
      <c r="H137" s="14" t="n"/>
    </row>
    <row r="138">
      <c r="A138" s="14" t="n"/>
      <c r="B138" s="14" t="n"/>
      <c r="C138" s="14" t="n"/>
      <c r="D138" s="14" t="n"/>
      <c r="E138" s="18" t="n"/>
      <c r="F138" s="14" t="n"/>
      <c r="G138" s="14" t="n"/>
      <c r="H138" s="14" t="n"/>
    </row>
    <row r="139">
      <c r="A139" s="14" t="n"/>
      <c r="B139" s="14" t="n"/>
      <c r="C139" s="14" t="n"/>
      <c r="D139" s="14" t="n"/>
      <c r="E139" s="18" t="n"/>
      <c r="F139" s="14" t="n"/>
      <c r="G139" s="14" t="n"/>
      <c r="H139" s="14" t="n"/>
    </row>
    <row r="140">
      <c r="A140" s="14" t="n"/>
      <c r="B140" s="14" t="n"/>
      <c r="C140" s="14" t="n"/>
      <c r="D140" s="14" t="n"/>
      <c r="E140" s="18" t="n"/>
      <c r="F140" s="14" t="n"/>
      <c r="G140" s="14" t="n"/>
      <c r="H140" s="14" t="n"/>
    </row>
    <row r="141">
      <c r="A141" s="14" t="n"/>
      <c r="B141" s="14" t="n"/>
      <c r="C141" s="14" t="n"/>
      <c r="D141" s="14" t="n"/>
      <c r="E141" s="18" t="n"/>
      <c r="F141" s="14" t="n"/>
      <c r="G141" s="14" t="n"/>
      <c r="H141" s="14" t="n"/>
    </row>
    <row r="142">
      <c r="A142" s="14" t="n"/>
      <c r="B142" s="14" t="n"/>
      <c r="C142" s="14" t="n"/>
      <c r="D142" s="14" t="n"/>
      <c r="E142" s="18" t="n"/>
      <c r="F142" s="14" t="n"/>
      <c r="G142" s="14" t="n"/>
      <c r="H142" s="14" t="n"/>
    </row>
    <row r="143">
      <c r="A143" s="14" t="n"/>
      <c r="B143" s="14" t="n"/>
      <c r="C143" s="14" t="n"/>
      <c r="D143" s="14" t="n"/>
      <c r="E143" s="18" t="n"/>
      <c r="F143" s="14" t="n"/>
      <c r="G143" s="14" t="n"/>
      <c r="H143" s="14" t="n"/>
    </row>
    <row r="144">
      <c r="A144" s="14" t="n"/>
      <c r="B144" s="14" t="n"/>
      <c r="C144" s="14" t="n"/>
      <c r="D144" s="14" t="n"/>
      <c r="E144" s="18" t="n"/>
      <c r="F144" s="14" t="n"/>
      <c r="G144" s="14" t="n"/>
      <c r="H144" s="14" t="n"/>
    </row>
    <row r="145">
      <c r="A145" s="14" t="n"/>
      <c r="B145" s="14" t="n"/>
      <c r="C145" s="14" t="n"/>
      <c r="D145" s="14" t="n"/>
      <c r="E145" s="18" t="n"/>
      <c r="F145" s="14" t="n"/>
      <c r="G145" s="14" t="n"/>
      <c r="H145" s="14" t="n"/>
    </row>
    <row r="146">
      <c r="A146" s="14" t="n"/>
      <c r="B146" s="14" t="n"/>
      <c r="C146" s="14" t="n"/>
      <c r="D146" s="14" t="n"/>
      <c r="E146" s="18" t="n"/>
      <c r="F146" s="14" t="n"/>
      <c r="G146" s="14" t="n"/>
      <c r="H146" s="14" t="n"/>
    </row>
    <row r="147">
      <c r="A147" s="14" t="n"/>
      <c r="B147" s="14" t="n"/>
      <c r="C147" s="14" t="n"/>
      <c r="D147" s="14" t="n"/>
      <c r="E147" s="18" t="n"/>
      <c r="F147" s="14" t="n"/>
      <c r="G147" s="14" t="n"/>
      <c r="H147" s="14" t="n"/>
    </row>
    <row r="148">
      <c r="A148" s="14" t="n"/>
      <c r="B148" s="14" t="n"/>
      <c r="C148" s="14" t="n"/>
      <c r="D148" s="14" t="n"/>
      <c r="E148" s="18" t="n"/>
      <c r="F148" s="14" t="n"/>
      <c r="G148" s="14" t="n"/>
      <c r="H148" s="14" t="n"/>
    </row>
    <row r="149">
      <c r="A149" s="14" t="n"/>
      <c r="B149" s="14" t="n"/>
      <c r="C149" s="14" t="n"/>
      <c r="D149" s="14" t="n"/>
      <c r="E149" s="18" t="n"/>
      <c r="F149" s="14" t="n"/>
      <c r="G149" s="14" t="n"/>
      <c r="H149" s="14" t="n"/>
    </row>
    <row r="150">
      <c r="A150" s="14" t="n"/>
      <c r="B150" s="14" t="n"/>
      <c r="C150" s="14" t="n"/>
      <c r="D150" s="14" t="n"/>
      <c r="E150" s="18" t="n"/>
      <c r="F150" s="14" t="n"/>
      <c r="G150" s="14" t="n"/>
      <c r="H150" s="14" t="n"/>
    </row>
    <row r="151">
      <c r="A151" s="14" t="n"/>
      <c r="B151" s="14" t="n"/>
      <c r="C151" s="14" t="n"/>
      <c r="D151" s="14" t="n"/>
      <c r="E151" s="18" t="n"/>
      <c r="F151" s="14" t="n"/>
      <c r="G151" s="14" t="n"/>
      <c r="H151" s="14" t="n"/>
    </row>
    <row r="152">
      <c r="A152" s="14" t="n"/>
      <c r="B152" s="14" t="n"/>
      <c r="C152" s="14" t="n"/>
      <c r="D152" s="14" t="n"/>
      <c r="E152" s="18" t="n"/>
      <c r="F152" s="14" t="n"/>
      <c r="G152" s="14" t="n"/>
      <c r="H152" s="14" t="n"/>
    </row>
    <row r="153">
      <c r="A153" s="14" t="n"/>
      <c r="B153" s="14" t="n"/>
      <c r="C153" s="14" t="n"/>
      <c r="D153" s="14" t="n"/>
      <c r="E153" s="18" t="n"/>
      <c r="F153" s="14" t="n"/>
      <c r="G153" s="14" t="n"/>
      <c r="H153" s="14" t="n"/>
    </row>
    <row r="154">
      <c r="A154" s="14" t="n"/>
      <c r="B154" s="14" t="n"/>
      <c r="C154" s="14" t="n"/>
      <c r="D154" s="14" t="n"/>
      <c r="E154" s="18" t="n"/>
      <c r="F154" s="14" t="n"/>
      <c r="G154" s="14" t="n"/>
      <c r="H154" s="14" t="n"/>
    </row>
    <row r="155">
      <c r="A155" s="14" t="n"/>
      <c r="B155" s="14" t="n"/>
      <c r="C155" s="14" t="n"/>
      <c r="D155" s="14" t="n"/>
      <c r="E155" s="18" t="n"/>
      <c r="F155" s="14" t="n"/>
      <c r="G155" s="14" t="n"/>
      <c r="H155" s="14" t="n"/>
    </row>
    <row r="156">
      <c r="A156" s="14" t="n"/>
      <c r="B156" s="14" t="n"/>
      <c r="C156" s="14" t="n"/>
      <c r="D156" s="14" t="n"/>
      <c r="E156" s="18" t="n"/>
      <c r="F156" s="14" t="n"/>
      <c r="G156" s="14" t="n"/>
      <c r="H156" s="14" t="n"/>
    </row>
    <row r="157">
      <c r="A157" s="14" t="n"/>
      <c r="B157" s="14" t="n"/>
      <c r="C157" s="14" t="n"/>
      <c r="D157" s="14" t="n"/>
      <c r="E157" s="18" t="n"/>
      <c r="F157" s="14" t="n"/>
      <c r="G157" s="14" t="n"/>
      <c r="H157" s="14" t="n"/>
    </row>
    <row r="158">
      <c r="A158" s="14" t="n"/>
      <c r="B158" s="14" t="n"/>
      <c r="C158" s="14" t="n"/>
      <c r="D158" s="14" t="n"/>
      <c r="E158" s="18" t="n"/>
      <c r="F158" s="14" t="n"/>
      <c r="G158" s="14" t="n"/>
      <c r="H158" s="14" t="n"/>
    </row>
    <row r="159">
      <c r="A159" s="14" t="n"/>
      <c r="B159" s="14" t="n"/>
      <c r="C159" s="14" t="n"/>
      <c r="D159" s="14" t="n"/>
      <c r="E159" s="18" t="n"/>
      <c r="F159" s="14" t="n"/>
      <c r="G159" s="14" t="n"/>
      <c r="H159" s="14" t="n"/>
    </row>
    <row r="160">
      <c r="A160" s="14" t="n"/>
      <c r="B160" s="14" t="n"/>
      <c r="C160" s="14" t="n"/>
      <c r="D160" s="14" t="n"/>
      <c r="E160" s="18" t="n"/>
      <c r="F160" s="14" t="n"/>
      <c r="G160" s="14" t="n"/>
      <c r="H160" s="14" t="n"/>
    </row>
    <row r="161">
      <c r="A161" s="14" t="n"/>
      <c r="B161" s="14" t="n"/>
      <c r="C161" s="14" t="n"/>
      <c r="D161" s="14" t="n"/>
      <c r="E161" s="18" t="n"/>
      <c r="F161" s="14" t="n"/>
      <c r="G161" s="14" t="n"/>
      <c r="H161" s="14" t="n"/>
    </row>
    <row r="162">
      <c r="A162" s="14" t="n"/>
      <c r="B162" s="14" t="n"/>
      <c r="C162" s="14" t="n"/>
      <c r="D162" s="14" t="n"/>
      <c r="E162" s="18" t="n"/>
      <c r="F162" s="14" t="n"/>
      <c r="G162" s="14" t="n"/>
      <c r="H162" s="14" t="n"/>
    </row>
    <row r="163">
      <c r="A163" s="14" t="n"/>
      <c r="B163" s="14" t="n"/>
      <c r="C163" s="14" t="n"/>
      <c r="D163" s="14" t="n"/>
      <c r="E163" s="18" t="n"/>
      <c r="F163" s="14" t="n"/>
      <c r="G163" s="14" t="n"/>
      <c r="H163" s="14" t="n"/>
    </row>
    <row r="164">
      <c r="A164" s="14" t="n"/>
      <c r="B164" s="14" t="n"/>
      <c r="C164" s="14" t="n"/>
      <c r="D164" s="14" t="n"/>
      <c r="E164" s="18" t="n"/>
      <c r="F164" s="14" t="n"/>
      <c r="G164" s="14" t="n"/>
      <c r="H164" s="14" t="n"/>
    </row>
    <row r="165">
      <c r="A165" s="14" t="n"/>
      <c r="B165" s="14" t="n"/>
      <c r="C165" s="14" t="n"/>
      <c r="D165" s="14" t="n"/>
      <c r="E165" s="18" t="n"/>
      <c r="F165" s="14" t="n"/>
      <c r="G165" s="14" t="n"/>
      <c r="H165" s="14" t="n"/>
    </row>
    <row r="166">
      <c r="A166" s="14" t="n"/>
      <c r="B166" s="14" t="n"/>
      <c r="C166" s="14" t="n"/>
      <c r="D166" s="14" t="n"/>
      <c r="E166" s="18" t="n"/>
      <c r="F166" s="14" t="n"/>
      <c r="G166" s="14" t="n"/>
      <c r="H166" s="14" t="n"/>
    </row>
    <row r="167">
      <c r="A167" s="14" t="n"/>
      <c r="B167" s="14" t="n"/>
      <c r="C167" s="14" t="n"/>
      <c r="D167" s="14" t="n"/>
      <c r="E167" s="18" t="n"/>
      <c r="F167" s="14" t="n"/>
      <c r="G167" s="14" t="n"/>
      <c r="H167" s="14" t="n"/>
    </row>
    <row r="168">
      <c r="A168" s="14" t="n"/>
      <c r="B168" s="14" t="n"/>
      <c r="C168" s="14" t="n"/>
      <c r="D168" s="14" t="n"/>
      <c r="E168" s="18" t="n"/>
      <c r="F168" s="14" t="n"/>
      <c r="G168" s="14" t="n"/>
      <c r="H168" s="14" t="n"/>
    </row>
    <row r="169">
      <c r="A169" s="14" t="n"/>
      <c r="B169" s="14" t="n"/>
      <c r="C169" s="14" t="n"/>
      <c r="D169" s="14" t="n"/>
      <c r="E169" s="18" t="n"/>
      <c r="F169" s="14" t="n"/>
      <c r="G169" s="14" t="n"/>
      <c r="H169" s="14" t="n"/>
    </row>
    <row r="170">
      <c r="A170" s="14" t="n"/>
      <c r="B170" s="14" t="n"/>
      <c r="C170" s="14" t="n"/>
      <c r="D170" s="14" t="n"/>
      <c r="E170" s="18" t="n"/>
      <c r="F170" s="14" t="n"/>
      <c r="G170" s="14" t="n"/>
      <c r="H170" s="14" t="n"/>
    </row>
    <row r="171">
      <c r="A171" s="14" t="n"/>
      <c r="B171" s="14" t="n"/>
      <c r="C171" s="14" t="n"/>
      <c r="D171" s="14" t="n"/>
      <c r="E171" s="18" t="n"/>
      <c r="F171" s="14" t="n"/>
      <c r="G171" s="14" t="n"/>
      <c r="H171" s="14" t="n"/>
    </row>
    <row r="172">
      <c r="A172" s="14" t="n"/>
      <c r="B172" s="14" t="n"/>
      <c r="C172" s="14" t="n"/>
      <c r="D172" s="14" t="n"/>
      <c r="E172" s="18" t="n"/>
      <c r="F172" s="14" t="n"/>
      <c r="G172" s="14" t="n"/>
      <c r="H172" s="14" t="n"/>
    </row>
    <row r="173">
      <c r="A173" s="14" t="n"/>
      <c r="B173" s="14" t="n"/>
      <c r="C173" s="14" t="n"/>
      <c r="D173" s="14" t="n"/>
      <c r="E173" s="18" t="n"/>
      <c r="F173" s="14" t="n"/>
      <c r="G173" s="14" t="n"/>
      <c r="H173" s="14" t="n"/>
    </row>
    <row r="174">
      <c r="A174" s="14" t="n"/>
      <c r="B174" s="14" t="n"/>
      <c r="C174" s="14" t="n"/>
      <c r="D174" s="14" t="n"/>
      <c r="E174" s="18" t="n"/>
      <c r="F174" s="14" t="n"/>
      <c r="G174" s="14" t="n"/>
      <c r="H174" s="14" t="n"/>
    </row>
    <row r="175">
      <c r="A175" s="14" t="n"/>
      <c r="B175" s="14" t="n"/>
      <c r="C175" s="14" t="n"/>
      <c r="D175" s="14" t="n"/>
      <c r="E175" s="18" t="n"/>
      <c r="F175" s="14" t="n"/>
      <c r="G175" s="14" t="n"/>
      <c r="H175" s="14" t="n"/>
    </row>
    <row r="176">
      <c r="A176" s="14" t="n"/>
      <c r="B176" s="14" t="n"/>
      <c r="C176" s="14" t="n"/>
      <c r="D176" s="14" t="n"/>
      <c r="E176" s="18" t="n"/>
      <c r="F176" s="14" t="n"/>
      <c r="G176" s="14" t="n"/>
      <c r="H176" s="14" t="n"/>
    </row>
    <row r="177">
      <c r="A177" s="14" t="n"/>
      <c r="B177" s="14" t="n"/>
      <c r="C177" s="14" t="n"/>
      <c r="D177" s="14" t="n"/>
      <c r="E177" s="18" t="n"/>
      <c r="F177" s="14" t="n"/>
      <c r="G177" s="14" t="n"/>
      <c r="H177" s="14" t="n"/>
    </row>
    <row r="178">
      <c r="A178" s="14" t="n"/>
      <c r="B178" s="14" t="n"/>
      <c r="C178" s="14" t="n"/>
      <c r="D178" s="14" t="n"/>
      <c r="E178" s="18" t="n"/>
      <c r="F178" s="14" t="n"/>
      <c r="G178" s="14" t="n"/>
      <c r="H178" s="14" t="n"/>
    </row>
    <row r="179">
      <c r="A179" s="14" t="n"/>
      <c r="B179" s="14" t="n"/>
      <c r="C179" s="14" t="n"/>
      <c r="D179" s="14" t="n"/>
      <c r="E179" s="18" t="n"/>
      <c r="F179" s="14" t="n"/>
      <c r="G179" s="14" t="n"/>
      <c r="H179" s="14" t="n"/>
    </row>
    <row r="180">
      <c r="A180" s="14" t="n"/>
      <c r="B180" s="14" t="n"/>
      <c r="C180" s="14" t="n"/>
      <c r="D180" s="14" t="n"/>
      <c r="E180" s="18" t="n"/>
      <c r="F180" s="14" t="n"/>
      <c r="G180" s="14" t="n"/>
      <c r="H180" s="14" t="n"/>
    </row>
    <row r="181">
      <c r="A181" s="14" t="n"/>
      <c r="B181" s="14" t="n"/>
      <c r="C181" s="14" t="n"/>
      <c r="D181" s="14" t="n"/>
      <c r="E181" s="18" t="n"/>
      <c r="F181" s="14" t="n"/>
      <c r="G181" s="14" t="n"/>
      <c r="H181" s="14" t="n"/>
    </row>
    <row r="182">
      <c r="A182" s="14" t="n"/>
      <c r="B182" s="14" t="n"/>
      <c r="C182" s="14" t="n"/>
      <c r="D182" s="14" t="n"/>
      <c r="E182" s="18" t="n"/>
      <c r="F182" s="14" t="n"/>
      <c r="G182" s="14" t="n"/>
      <c r="H182" s="14" t="n"/>
    </row>
    <row r="183">
      <c r="A183" s="14" t="n"/>
      <c r="B183" s="14" t="n"/>
      <c r="C183" s="14" t="n"/>
      <c r="D183" s="14" t="n"/>
      <c r="E183" s="18" t="n"/>
      <c r="F183" s="14" t="n"/>
      <c r="G183" s="14" t="n"/>
      <c r="H183" s="14" t="n"/>
    </row>
    <row r="184">
      <c r="A184" s="14" t="n"/>
      <c r="B184" s="14" t="n"/>
      <c r="C184" s="14" t="n"/>
      <c r="D184" s="14" t="n"/>
      <c r="E184" s="18" t="n"/>
      <c r="F184" s="14" t="n"/>
      <c r="G184" s="14" t="n"/>
      <c r="H184" s="14" t="n"/>
    </row>
    <row r="185">
      <c r="A185" s="14" t="n"/>
      <c r="B185" s="14" t="n"/>
      <c r="C185" s="14" t="n"/>
      <c r="D185" s="14" t="n"/>
      <c r="E185" s="18" t="n"/>
      <c r="F185" s="14" t="n"/>
      <c r="G185" s="14" t="n"/>
      <c r="H185" s="14" t="n"/>
    </row>
    <row r="186">
      <c r="A186" s="14" t="n"/>
      <c r="B186" s="14" t="n"/>
      <c r="C186" s="14" t="n"/>
      <c r="D186" s="14" t="n"/>
      <c r="E186" s="18" t="n"/>
      <c r="F186" s="14" t="n"/>
      <c r="G186" s="14" t="n"/>
      <c r="H186" s="14" t="n"/>
    </row>
    <row r="187">
      <c r="A187" s="14" t="n"/>
      <c r="B187" s="14" t="n"/>
      <c r="C187" s="14" t="n"/>
      <c r="D187" s="14" t="n"/>
      <c r="E187" s="18" t="n"/>
      <c r="F187" s="14" t="n"/>
      <c r="G187" s="14" t="n"/>
      <c r="H187" s="14" t="n"/>
    </row>
    <row r="188">
      <c r="A188" s="14" t="n"/>
      <c r="B188" s="14" t="n"/>
      <c r="C188" s="14" t="n"/>
      <c r="D188" s="14" t="n"/>
      <c r="E188" s="18" t="n"/>
      <c r="F188" s="14" t="n"/>
      <c r="G188" s="14" t="n"/>
      <c r="H188" s="14" t="n"/>
    </row>
    <row r="189">
      <c r="A189" s="14" t="n"/>
      <c r="B189" s="14" t="n"/>
      <c r="C189" s="14" t="n"/>
      <c r="D189" s="14" t="n"/>
      <c r="E189" s="18" t="n"/>
      <c r="F189" s="14" t="n"/>
      <c r="G189" s="14" t="n"/>
      <c r="H189" s="14" t="n"/>
    </row>
    <row r="190">
      <c r="A190" s="14" t="n"/>
      <c r="B190" s="14" t="n"/>
      <c r="C190" s="14" t="n"/>
      <c r="D190" s="14" t="n"/>
      <c r="E190" s="18" t="n"/>
      <c r="F190" s="14" t="n"/>
      <c r="G190" s="14" t="n"/>
      <c r="H190" s="14" t="n"/>
    </row>
    <row r="191">
      <c r="A191" s="14" t="n"/>
      <c r="B191" s="14" t="n"/>
      <c r="C191" s="14" t="n"/>
      <c r="D191" s="14" t="n"/>
      <c r="E191" s="18" t="n"/>
      <c r="F191" s="14" t="n"/>
      <c r="G191" s="14" t="n"/>
      <c r="H191" s="14" t="n"/>
    </row>
    <row r="192">
      <c r="A192" s="14" t="n"/>
      <c r="B192" s="14" t="n"/>
      <c r="C192" s="14" t="n"/>
      <c r="D192" s="14" t="n"/>
      <c r="E192" s="18" t="n"/>
      <c r="F192" s="14" t="n"/>
      <c r="G192" s="14" t="n"/>
      <c r="H192" s="14" t="n"/>
    </row>
    <row r="193">
      <c r="A193" s="14" t="n"/>
      <c r="B193" s="14" t="n"/>
      <c r="C193" s="14" t="n"/>
      <c r="D193" s="14" t="n"/>
      <c r="E193" s="18" t="n"/>
      <c r="F193" s="14" t="n"/>
      <c r="G193" s="14" t="n"/>
      <c r="H193" s="14" t="n"/>
    </row>
    <row r="194">
      <c r="A194" s="14" t="n"/>
      <c r="B194" s="14" t="n"/>
      <c r="C194" s="14" t="n"/>
      <c r="D194" s="14" t="n"/>
      <c r="E194" s="18" t="n"/>
      <c r="F194" s="14" t="n"/>
      <c r="G194" s="14" t="n"/>
      <c r="H194" s="14" t="n"/>
    </row>
    <row r="195">
      <c r="A195" s="14" t="n"/>
      <c r="B195" s="14" t="n"/>
      <c r="C195" s="14" t="n"/>
      <c r="D195" s="14" t="n"/>
      <c r="E195" s="18" t="n"/>
      <c r="F195" s="14" t="n"/>
      <c r="G195" s="14" t="n"/>
      <c r="H195" s="14" t="n"/>
    </row>
    <row r="196">
      <c r="A196" s="14" t="n"/>
      <c r="B196" s="14" t="n"/>
      <c r="C196" s="14" t="n"/>
      <c r="D196" s="14" t="n"/>
      <c r="E196" s="18" t="n"/>
      <c r="F196" s="14" t="n"/>
      <c r="G196" s="14" t="n"/>
      <c r="H196" s="14" t="n"/>
    </row>
    <row r="197">
      <c r="A197" s="14" t="n"/>
      <c r="B197" s="14" t="n"/>
      <c r="C197" s="14" t="n"/>
      <c r="D197" s="14" t="n"/>
      <c r="E197" s="18" t="n"/>
      <c r="F197" s="14" t="n"/>
      <c r="G197" s="14" t="n"/>
      <c r="H197" s="14" t="n"/>
    </row>
    <row r="198">
      <c r="A198" s="14" t="n"/>
      <c r="B198" s="14" t="n"/>
      <c r="C198" s="14" t="n"/>
      <c r="D198" s="14" t="n"/>
      <c r="E198" s="18" t="n"/>
      <c r="F198" s="14" t="n"/>
      <c r="G198" s="14" t="n"/>
      <c r="H198" s="14" t="n"/>
    </row>
    <row r="199">
      <c r="A199" s="14" t="n"/>
      <c r="B199" s="14" t="n"/>
      <c r="C199" s="14" t="n"/>
      <c r="D199" s="14" t="n"/>
      <c r="E199" s="18" t="n"/>
      <c r="F199" s="14" t="n"/>
      <c r="G199" s="14" t="n"/>
      <c r="H199" s="14" t="n"/>
    </row>
    <row r="200">
      <c r="A200" s="14" t="n"/>
      <c r="B200" s="14" t="n"/>
      <c r="C200" s="14" t="n"/>
      <c r="D200" s="14" t="n"/>
      <c r="E200" s="18" t="n"/>
      <c r="F200" s="14" t="n"/>
      <c r="G200" s="14" t="n"/>
      <c r="H200" s="14" t="n"/>
    </row>
    <row r="201">
      <c r="A201" s="14" t="n"/>
      <c r="B201" s="14" t="n"/>
      <c r="C201" s="14" t="n"/>
      <c r="D201" s="14" t="n"/>
      <c r="E201" s="18" t="n"/>
      <c r="F201" s="14" t="n"/>
      <c r="G201" s="14" t="n"/>
      <c r="H201" s="14" t="n"/>
    </row>
    <row r="202">
      <c r="A202" s="14" t="n"/>
      <c r="B202" s="14" t="n"/>
      <c r="C202" s="14" t="n"/>
      <c r="D202" s="14" t="n"/>
      <c r="E202" s="18" t="n"/>
      <c r="F202" s="14" t="n"/>
      <c r="G202" s="14" t="n"/>
      <c r="H202" s="14" t="n"/>
    </row>
    <row r="203">
      <c r="A203" s="14" t="n"/>
      <c r="B203" s="14" t="n"/>
      <c r="C203" s="14" t="n"/>
      <c r="D203" s="14" t="n"/>
      <c r="E203" s="18" t="n"/>
      <c r="F203" s="14" t="n"/>
      <c r="G203" s="14" t="n"/>
      <c r="H203" s="14" t="n"/>
    </row>
    <row r="204">
      <c r="A204" s="14" t="n"/>
      <c r="B204" s="14" t="n"/>
      <c r="C204" s="14" t="n"/>
      <c r="D204" s="14" t="n"/>
      <c r="E204" s="18" t="n"/>
      <c r="F204" s="14" t="n"/>
      <c r="G204" s="14" t="n"/>
      <c r="H204" s="14" t="n"/>
    </row>
    <row r="205">
      <c r="A205" s="14" t="n"/>
      <c r="B205" s="14" t="n"/>
      <c r="C205" s="14" t="n"/>
      <c r="D205" s="14" t="n"/>
      <c r="E205" s="18" t="n"/>
      <c r="F205" s="14" t="n"/>
      <c r="G205" s="14" t="n"/>
      <c r="H205" s="14" t="n"/>
    </row>
    <row r="206">
      <c r="A206" s="14" t="n"/>
      <c r="B206" s="14" t="n"/>
      <c r="C206" s="14" t="n"/>
      <c r="D206" s="14" t="n"/>
      <c r="E206" s="18" t="n"/>
      <c r="F206" s="14" t="n"/>
      <c r="G206" s="14" t="n"/>
      <c r="H206" s="14" t="n"/>
    </row>
    <row r="207">
      <c r="A207" s="14" t="n"/>
      <c r="B207" s="14" t="n"/>
      <c r="C207" s="14" t="n"/>
      <c r="D207" s="14" t="n"/>
      <c r="E207" s="18" t="n"/>
      <c r="F207" s="14" t="n"/>
      <c r="G207" s="14" t="n"/>
      <c r="H207" s="14" t="n"/>
    </row>
    <row r="208">
      <c r="A208" s="14" t="n"/>
      <c r="B208" s="14" t="n"/>
      <c r="C208" s="14" t="n"/>
      <c r="D208" s="14" t="n"/>
      <c r="E208" s="18" t="n"/>
      <c r="F208" s="14" t="n"/>
      <c r="G208" s="14" t="n"/>
      <c r="H208" s="14" t="n"/>
    </row>
    <row r="209">
      <c r="A209" s="14" t="n"/>
      <c r="B209" s="14" t="n"/>
      <c r="C209" s="14" t="n"/>
      <c r="D209" s="14" t="n"/>
      <c r="E209" s="18" t="n"/>
      <c r="F209" s="14" t="n"/>
      <c r="G209" s="14" t="n"/>
      <c r="H209" s="14" t="n"/>
    </row>
    <row r="210">
      <c r="A210" s="14" t="n"/>
      <c r="B210" s="14" t="n"/>
      <c r="C210" s="14" t="n"/>
      <c r="D210" s="14" t="n"/>
      <c r="E210" s="18" t="n"/>
      <c r="F210" s="14" t="n"/>
      <c r="G210" s="14" t="n"/>
      <c r="H210" s="14" t="n"/>
    </row>
    <row r="211">
      <c r="A211" s="14" t="n"/>
      <c r="B211" s="14" t="n"/>
      <c r="C211" s="14" t="n"/>
      <c r="D211" s="14" t="n"/>
      <c r="E211" s="18" t="n"/>
      <c r="F211" s="14" t="n"/>
      <c r="G211" s="14" t="n"/>
      <c r="H211" s="14" t="n"/>
    </row>
  </sheetData>
  <autoFilter ref="A4:H211"/>
  <dataValidations count="2">
    <dataValidation sqref="D5:D211" showDropDown="0" showInputMessage="0" showErrorMessage="1" allowBlank="1" type="list">
      <formula1>Lists!$D$1:$D$2</formula1>
    </dataValidation>
    <dataValidation sqref="H5:H211" showDropDown="0" showInputMessage="0" showErrorMessage="1" allowBlank="1" type="list">
      <formula1>Lists!$E$1:$E$2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6" customWidth="1" min="4" max="4"/>
    <col width="9" customWidth="1" min="5" max="5"/>
    <col width="14" customWidth="1" min="6" max="6"/>
    <col width="12" customWidth="1" min="7" max="7"/>
    <col width="18" customWidth="1" min="8" max="8"/>
    <col width="8" customWidth="1" min="9" max="9"/>
    <col width="14" customWidth="1" min="10" max="10"/>
    <col width="10" customWidth="1" min="11" max="11"/>
    <col width="24" customWidth="1" min="12" max="12"/>
    <col width="24" customWidth="1" min="13" max="13"/>
  </cols>
  <sheetData>
    <row r="1" ht="24" customHeight="1">
      <c r="A1" s="8" t="inlineStr">
        <is>
          <t>BEYOND DESIGN | BUSINESS UNITS</t>
        </is>
      </c>
    </row>
    <row r="2">
      <c r="A2" s="9" t="inlineStr">
        <is>
          <t>Business units (cost centres / projects). Overhead % = manual share of shared indirect costs</t>
        </is>
      </c>
    </row>
    <row r="3">
      <c r="A3" s="10" t="inlineStr">
        <is>
          <t>e.g. PRJ-2026-004</t>
        </is>
      </c>
      <c r="B3" s="10" t="inlineStr">
        <is>
          <t>Villa 12 — Mr. Aly</t>
        </is>
      </c>
      <c r="C3" s="10" t="inlineStr">
        <is>
          <t>Villa</t>
        </is>
      </c>
      <c r="D3" s="10" t="inlineStr">
        <is>
          <t>New Cairo</t>
        </is>
      </c>
      <c r="E3" s="10" t="n">
        <v>420</v>
      </c>
      <c r="F3" s="10" t="inlineStr">
        <is>
          <t>2026-10-01</t>
        </is>
      </c>
      <c r="G3" s="10" t="inlineStr">
        <is>
          <t>In Progress</t>
        </is>
      </c>
      <c r="H3" s="10" t="inlineStr">
        <is>
          <t>Cost-Plus %</t>
        </is>
      </c>
      <c r="I3" s="10" t="inlineStr">
        <is>
          <t>25%</t>
        </is>
      </c>
      <c r="J3" s="10" t="inlineStr"/>
      <c r="K3" s="10" t="inlineStr">
        <is>
          <t>30%</t>
        </is>
      </c>
    </row>
    <row r="4" ht="30" customHeight="1">
      <c r="A4" s="11" t="inlineStr">
        <is>
          <t>Code</t>
        </is>
      </c>
      <c r="B4" s="11" t="inlineStr">
        <is>
          <t>Name / Client</t>
        </is>
      </c>
      <c r="C4" s="11" t="inlineStr">
        <is>
          <t>Type</t>
        </is>
      </c>
      <c r="D4" s="11" t="inlineStr">
        <is>
          <t>Location</t>
        </is>
      </c>
      <c r="E4" s="11" t="inlineStr">
        <is>
          <t>Area (m²)</t>
        </is>
      </c>
      <c r="F4" s="11" t="inlineStr">
        <is>
          <t>Start Date</t>
        </is>
      </c>
      <c r="G4" s="11" t="inlineStr">
        <is>
          <t>Status</t>
        </is>
      </c>
      <c r="H4" s="11" t="inlineStr">
        <is>
          <t>Billing Basis</t>
        </is>
      </c>
      <c r="I4" s="11" t="inlineStr">
        <is>
          <t>Fee %</t>
        </is>
      </c>
      <c r="J4" s="11" t="inlineStr">
        <is>
          <t>Contract Value</t>
        </is>
      </c>
      <c r="K4" s="11" t="inlineStr">
        <is>
          <t>Overhead Allocation %</t>
        </is>
      </c>
      <c r="L4" s="11" t="inlineStr">
        <is>
          <t>Customer</t>
        </is>
      </c>
      <c r="M4" s="11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9" t="n"/>
      <c r="G5" s="14" t="n"/>
      <c r="H5" s="14" t="n"/>
      <c r="I5" s="18" t="n"/>
      <c r="J5" s="20" t="n"/>
      <c r="K5" s="18" t="n"/>
      <c r="L5" s="14" t="n"/>
      <c r="M5" s="14" t="n"/>
    </row>
    <row r="6">
      <c r="A6" s="14" t="n"/>
      <c r="B6" s="14" t="n"/>
      <c r="C6" s="14" t="n"/>
      <c r="D6" s="14" t="n"/>
      <c r="E6" s="14" t="n"/>
      <c r="F6" s="19" t="n"/>
      <c r="G6" s="14" t="n"/>
      <c r="H6" s="14" t="n"/>
      <c r="I6" s="18" t="n"/>
      <c r="J6" s="20" t="n"/>
      <c r="K6" s="18" t="n"/>
      <c r="L6" s="14" t="n"/>
      <c r="M6" s="14" t="n"/>
    </row>
    <row r="7">
      <c r="A7" s="14" t="n"/>
      <c r="B7" s="14" t="n"/>
      <c r="C7" s="14" t="n"/>
      <c r="D7" s="14" t="n"/>
      <c r="E7" s="14" t="n"/>
      <c r="F7" s="19" t="n"/>
      <c r="G7" s="14" t="n"/>
      <c r="H7" s="14" t="n"/>
      <c r="I7" s="18" t="n"/>
      <c r="J7" s="20" t="n"/>
      <c r="K7" s="18" t="n"/>
      <c r="L7" s="14" t="n"/>
      <c r="M7" s="14" t="n"/>
    </row>
    <row r="8">
      <c r="A8" s="14" t="n"/>
      <c r="B8" s="14" t="n"/>
      <c r="C8" s="14" t="n"/>
      <c r="D8" s="14" t="n"/>
      <c r="E8" s="14" t="n"/>
      <c r="F8" s="19" t="n"/>
      <c r="G8" s="14" t="n"/>
      <c r="H8" s="14" t="n"/>
      <c r="I8" s="18" t="n"/>
      <c r="J8" s="20" t="n"/>
      <c r="K8" s="18" t="n"/>
      <c r="L8" s="14" t="n"/>
      <c r="M8" s="14" t="n"/>
    </row>
    <row r="9">
      <c r="A9" s="14" t="n"/>
      <c r="B9" s="14" t="n"/>
      <c r="C9" s="14" t="n"/>
      <c r="D9" s="14" t="n"/>
      <c r="E9" s="14" t="n"/>
      <c r="F9" s="19" t="n"/>
      <c r="G9" s="14" t="n"/>
      <c r="H9" s="14" t="n"/>
      <c r="I9" s="18" t="n"/>
      <c r="J9" s="20" t="n"/>
      <c r="K9" s="18" t="n"/>
      <c r="L9" s="14" t="n"/>
      <c r="M9" s="14" t="n"/>
    </row>
    <row r="10">
      <c r="A10" s="14" t="n"/>
      <c r="B10" s="14" t="n"/>
      <c r="C10" s="14" t="n"/>
      <c r="D10" s="14" t="n"/>
      <c r="E10" s="14" t="n"/>
      <c r="F10" s="19" t="n"/>
      <c r="G10" s="14" t="n"/>
      <c r="H10" s="14" t="n"/>
      <c r="I10" s="18" t="n"/>
      <c r="J10" s="20" t="n"/>
      <c r="K10" s="18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9" t="n"/>
      <c r="G11" s="14" t="n"/>
      <c r="H11" s="14" t="n"/>
      <c r="I11" s="18" t="n"/>
      <c r="J11" s="20" t="n"/>
      <c r="K11" s="18" t="n"/>
      <c r="L11" s="14" t="n"/>
      <c r="M11" s="14" t="n"/>
    </row>
    <row r="12">
      <c r="A12" s="14" t="n"/>
      <c r="B12" s="14" t="n"/>
      <c r="C12" s="14" t="n"/>
      <c r="D12" s="14" t="n"/>
      <c r="E12" s="14" t="n"/>
      <c r="F12" s="19" t="n"/>
      <c r="G12" s="14" t="n"/>
      <c r="H12" s="14" t="n"/>
      <c r="I12" s="18" t="n"/>
      <c r="J12" s="20" t="n"/>
      <c r="K12" s="18" t="n"/>
      <c r="L12" s="14" t="n"/>
      <c r="M12" s="14" t="n"/>
    </row>
    <row r="13">
      <c r="A13" s="14" t="n"/>
      <c r="B13" s="14" t="n"/>
      <c r="C13" s="14" t="n"/>
      <c r="D13" s="14" t="n"/>
      <c r="E13" s="14" t="n"/>
      <c r="F13" s="19" t="n"/>
      <c r="G13" s="14" t="n"/>
      <c r="H13" s="14" t="n"/>
      <c r="I13" s="18" t="n"/>
      <c r="J13" s="20" t="n"/>
      <c r="K13" s="18" t="n"/>
      <c r="L13" s="14" t="n"/>
      <c r="M13" s="14" t="n"/>
    </row>
    <row r="14">
      <c r="A14" s="14" t="n"/>
      <c r="B14" s="14" t="n"/>
      <c r="C14" s="14" t="n"/>
      <c r="D14" s="14" t="n"/>
      <c r="E14" s="14" t="n"/>
      <c r="F14" s="19" t="n"/>
      <c r="G14" s="14" t="n"/>
      <c r="H14" s="14" t="n"/>
      <c r="I14" s="18" t="n"/>
      <c r="J14" s="20" t="n"/>
      <c r="K14" s="18" t="n"/>
      <c r="L14" s="14" t="n"/>
      <c r="M14" s="14" t="n"/>
    </row>
    <row r="15">
      <c r="A15" s="14" t="n"/>
      <c r="B15" s="14" t="n"/>
      <c r="C15" s="14" t="n"/>
      <c r="D15" s="14" t="n"/>
      <c r="E15" s="14" t="n"/>
      <c r="F15" s="19" t="n"/>
      <c r="G15" s="14" t="n"/>
      <c r="H15" s="14" t="n"/>
      <c r="I15" s="18" t="n"/>
      <c r="J15" s="20" t="n"/>
      <c r="K15" s="18" t="n"/>
      <c r="L15" s="14" t="n"/>
      <c r="M15" s="14" t="n"/>
    </row>
    <row r="16">
      <c r="A16" s="14" t="n"/>
      <c r="B16" s="14" t="n"/>
      <c r="C16" s="14" t="n"/>
      <c r="D16" s="14" t="n"/>
      <c r="E16" s="14" t="n"/>
      <c r="F16" s="19" t="n"/>
      <c r="G16" s="14" t="n"/>
      <c r="H16" s="14" t="n"/>
      <c r="I16" s="18" t="n"/>
      <c r="J16" s="20" t="n"/>
      <c r="K16" s="18" t="n"/>
      <c r="L16" s="14" t="n"/>
      <c r="M16" s="14" t="n"/>
    </row>
    <row r="17">
      <c r="A17" s="14" t="n"/>
      <c r="B17" s="14" t="n"/>
      <c r="C17" s="14" t="n"/>
      <c r="D17" s="14" t="n"/>
      <c r="E17" s="14" t="n"/>
      <c r="F17" s="19" t="n"/>
      <c r="G17" s="14" t="n"/>
      <c r="H17" s="14" t="n"/>
      <c r="I17" s="18" t="n"/>
      <c r="J17" s="20" t="n"/>
      <c r="K17" s="18" t="n"/>
      <c r="L17" s="14" t="n"/>
      <c r="M17" s="14" t="n"/>
    </row>
    <row r="18">
      <c r="A18" s="14" t="n"/>
      <c r="B18" s="14" t="n"/>
      <c r="C18" s="14" t="n"/>
      <c r="D18" s="14" t="n"/>
      <c r="E18" s="14" t="n"/>
      <c r="F18" s="19" t="n"/>
      <c r="G18" s="14" t="n"/>
      <c r="H18" s="14" t="n"/>
      <c r="I18" s="18" t="n"/>
      <c r="J18" s="20" t="n"/>
      <c r="K18" s="18" t="n"/>
      <c r="L18" s="14" t="n"/>
      <c r="M18" s="14" t="n"/>
    </row>
    <row r="19">
      <c r="A19" s="14" t="n"/>
      <c r="B19" s="14" t="n"/>
      <c r="C19" s="14" t="n"/>
      <c r="D19" s="14" t="n"/>
      <c r="E19" s="14" t="n"/>
      <c r="F19" s="19" t="n"/>
      <c r="G19" s="14" t="n"/>
      <c r="H19" s="14" t="n"/>
      <c r="I19" s="18" t="n"/>
      <c r="J19" s="20" t="n"/>
      <c r="K19" s="18" t="n"/>
      <c r="L19" s="14" t="n"/>
      <c r="M19" s="14" t="n"/>
    </row>
    <row r="20">
      <c r="A20" s="14" t="n"/>
      <c r="B20" s="14" t="n"/>
      <c r="C20" s="14" t="n"/>
      <c r="D20" s="14" t="n"/>
      <c r="E20" s="14" t="n"/>
      <c r="F20" s="19" t="n"/>
      <c r="G20" s="14" t="n"/>
      <c r="H20" s="14" t="n"/>
      <c r="I20" s="18" t="n"/>
      <c r="J20" s="20" t="n"/>
      <c r="K20" s="18" t="n"/>
      <c r="L20" s="14" t="n"/>
      <c r="M20" s="14" t="n"/>
    </row>
    <row r="21">
      <c r="A21" s="14" t="n"/>
      <c r="B21" s="14" t="n"/>
      <c r="C21" s="14" t="n"/>
      <c r="D21" s="14" t="n"/>
      <c r="E21" s="14" t="n"/>
      <c r="F21" s="19" t="n"/>
      <c r="G21" s="14" t="n"/>
      <c r="H21" s="14" t="n"/>
      <c r="I21" s="18" t="n"/>
      <c r="J21" s="20" t="n"/>
      <c r="K21" s="18" t="n"/>
      <c r="L21" s="14" t="n"/>
      <c r="M21" s="14" t="n"/>
    </row>
    <row r="22">
      <c r="A22" s="14" t="n"/>
      <c r="B22" s="14" t="n"/>
      <c r="C22" s="14" t="n"/>
      <c r="D22" s="14" t="n"/>
      <c r="E22" s="14" t="n"/>
      <c r="F22" s="19" t="n"/>
      <c r="G22" s="14" t="n"/>
      <c r="H22" s="14" t="n"/>
      <c r="I22" s="18" t="n"/>
      <c r="J22" s="20" t="n"/>
      <c r="K22" s="18" t="n"/>
      <c r="L22" s="14" t="n"/>
      <c r="M22" s="14" t="n"/>
    </row>
    <row r="23">
      <c r="A23" s="14" t="n"/>
      <c r="B23" s="14" t="n"/>
      <c r="C23" s="14" t="n"/>
      <c r="D23" s="14" t="n"/>
      <c r="E23" s="14" t="n"/>
      <c r="F23" s="19" t="n"/>
      <c r="G23" s="14" t="n"/>
      <c r="H23" s="14" t="n"/>
      <c r="I23" s="18" t="n"/>
      <c r="J23" s="20" t="n"/>
      <c r="K23" s="18" t="n"/>
      <c r="L23" s="14" t="n"/>
      <c r="M23" s="14" t="n"/>
    </row>
    <row r="24">
      <c r="A24" s="14" t="n"/>
      <c r="B24" s="14" t="n"/>
      <c r="C24" s="14" t="n"/>
      <c r="D24" s="14" t="n"/>
      <c r="E24" s="14" t="n"/>
      <c r="F24" s="19" t="n"/>
      <c r="G24" s="14" t="n"/>
      <c r="H24" s="14" t="n"/>
      <c r="I24" s="18" t="n"/>
      <c r="J24" s="20" t="n"/>
      <c r="K24" s="18" t="n"/>
      <c r="L24" s="14" t="n"/>
      <c r="M24" s="14" t="n"/>
    </row>
    <row r="25">
      <c r="A25" s="14" t="n"/>
      <c r="B25" s="14" t="n"/>
      <c r="C25" s="14" t="n"/>
      <c r="D25" s="14" t="n"/>
      <c r="E25" s="14" t="n"/>
      <c r="F25" s="19" t="n"/>
      <c r="G25" s="14" t="n"/>
      <c r="H25" s="14" t="n"/>
      <c r="I25" s="18" t="n"/>
      <c r="J25" s="20" t="n"/>
      <c r="K25" s="18" t="n"/>
      <c r="L25" s="14" t="n"/>
      <c r="M25" s="14" t="n"/>
    </row>
    <row r="26">
      <c r="A26" s="14" t="n"/>
      <c r="B26" s="14" t="n"/>
      <c r="C26" s="14" t="n"/>
      <c r="D26" s="14" t="n"/>
      <c r="E26" s="14" t="n"/>
      <c r="F26" s="19" t="n"/>
      <c r="G26" s="14" t="n"/>
      <c r="H26" s="14" t="n"/>
      <c r="I26" s="18" t="n"/>
      <c r="J26" s="20" t="n"/>
      <c r="K26" s="18" t="n"/>
      <c r="L26" s="14" t="n"/>
      <c r="M26" s="14" t="n"/>
    </row>
    <row r="27">
      <c r="A27" s="14" t="n"/>
      <c r="B27" s="14" t="n"/>
      <c r="C27" s="14" t="n"/>
      <c r="D27" s="14" t="n"/>
      <c r="E27" s="14" t="n"/>
      <c r="F27" s="19" t="n"/>
      <c r="G27" s="14" t="n"/>
      <c r="H27" s="14" t="n"/>
      <c r="I27" s="18" t="n"/>
      <c r="J27" s="20" t="n"/>
      <c r="K27" s="18" t="n"/>
      <c r="L27" s="14" t="n"/>
      <c r="M27" s="14" t="n"/>
    </row>
    <row r="28">
      <c r="A28" s="14" t="n"/>
      <c r="B28" s="14" t="n"/>
      <c r="C28" s="14" t="n"/>
      <c r="D28" s="14" t="n"/>
      <c r="E28" s="14" t="n"/>
      <c r="F28" s="19" t="n"/>
      <c r="G28" s="14" t="n"/>
      <c r="H28" s="14" t="n"/>
      <c r="I28" s="18" t="n"/>
      <c r="J28" s="20" t="n"/>
      <c r="K28" s="18" t="n"/>
      <c r="L28" s="14" t="n"/>
      <c r="M28" s="14" t="n"/>
    </row>
    <row r="29">
      <c r="A29" s="14" t="n"/>
      <c r="B29" s="14" t="n"/>
      <c r="C29" s="14" t="n"/>
      <c r="D29" s="14" t="n"/>
      <c r="E29" s="14" t="n"/>
      <c r="F29" s="19" t="n"/>
      <c r="G29" s="14" t="n"/>
      <c r="H29" s="14" t="n"/>
      <c r="I29" s="18" t="n"/>
      <c r="J29" s="20" t="n"/>
      <c r="K29" s="18" t="n"/>
      <c r="L29" s="14" t="n"/>
      <c r="M29" s="14" t="n"/>
    </row>
    <row r="30">
      <c r="A30" s="14" t="n"/>
      <c r="B30" s="14" t="n"/>
      <c r="C30" s="14" t="n"/>
      <c r="D30" s="14" t="n"/>
      <c r="E30" s="14" t="n"/>
      <c r="F30" s="19" t="n"/>
      <c r="G30" s="14" t="n"/>
      <c r="H30" s="14" t="n"/>
      <c r="I30" s="18" t="n"/>
      <c r="J30" s="20" t="n"/>
      <c r="K30" s="18" t="n"/>
      <c r="L30" s="14" t="n"/>
      <c r="M30" s="14" t="n"/>
    </row>
    <row r="31">
      <c r="A31" s="14" t="n"/>
      <c r="B31" s="14" t="n"/>
      <c r="C31" s="14" t="n"/>
      <c r="D31" s="14" t="n"/>
      <c r="E31" s="14" t="n"/>
      <c r="F31" s="19" t="n"/>
      <c r="G31" s="14" t="n"/>
      <c r="H31" s="14" t="n"/>
      <c r="I31" s="18" t="n"/>
      <c r="J31" s="20" t="n"/>
      <c r="K31" s="18" t="n"/>
      <c r="L31" s="14" t="n"/>
      <c r="M31" s="14" t="n"/>
    </row>
    <row r="32">
      <c r="A32" s="14" t="n"/>
      <c r="B32" s="14" t="n"/>
      <c r="C32" s="14" t="n"/>
      <c r="D32" s="14" t="n"/>
      <c r="E32" s="14" t="n"/>
      <c r="F32" s="19" t="n"/>
      <c r="G32" s="14" t="n"/>
      <c r="H32" s="14" t="n"/>
      <c r="I32" s="18" t="n"/>
      <c r="J32" s="20" t="n"/>
      <c r="K32" s="18" t="n"/>
      <c r="L32" s="14" t="n"/>
      <c r="M32" s="14" t="n"/>
    </row>
    <row r="33">
      <c r="A33" s="14" t="n"/>
      <c r="B33" s="14" t="n"/>
      <c r="C33" s="14" t="n"/>
      <c r="D33" s="14" t="n"/>
      <c r="E33" s="14" t="n"/>
      <c r="F33" s="19" t="n"/>
      <c r="G33" s="14" t="n"/>
      <c r="H33" s="14" t="n"/>
      <c r="I33" s="18" t="n"/>
      <c r="J33" s="20" t="n"/>
      <c r="K33" s="18" t="n"/>
      <c r="L33" s="14" t="n"/>
      <c r="M33" s="14" t="n"/>
    </row>
    <row r="34">
      <c r="A34" s="14" t="n"/>
      <c r="B34" s="14" t="n"/>
      <c r="C34" s="14" t="n"/>
      <c r="D34" s="14" t="n"/>
      <c r="E34" s="14" t="n"/>
      <c r="F34" s="19" t="n"/>
      <c r="G34" s="14" t="n"/>
      <c r="H34" s="14" t="n"/>
      <c r="I34" s="18" t="n"/>
      <c r="J34" s="20" t="n"/>
      <c r="K34" s="18" t="n"/>
      <c r="L34" s="14" t="n"/>
      <c r="M34" s="14" t="n"/>
    </row>
    <row r="35">
      <c r="A35" s="14" t="n"/>
      <c r="B35" s="14" t="n"/>
      <c r="C35" s="14" t="n"/>
      <c r="D35" s="14" t="n"/>
      <c r="E35" s="14" t="n"/>
      <c r="F35" s="19" t="n"/>
      <c r="G35" s="14" t="n"/>
      <c r="H35" s="14" t="n"/>
      <c r="I35" s="18" t="n"/>
      <c r="J35" s="20" t="n"/>
      <c r="K35" s="18" t="n"/>
      <c r="L35" s="14" t="n"/>
      <c r="M35" s="14" t="n"/>
    </row>
    <row r="36">
      <c r="A36" s="14" t="n"/>
      <c r="B36" s="14" t="n"/>
      <c r="C36" s="14" t="n"/>
      <c r="D36" s="14" t="n"/>
      <c r="E36" s="14" t="n"/>
      <c r="F36" s="19" t="n"/>
      <c r="G36" s="14" t="n"/>
      <c r="H36" s="14" t="n"/>
      <c r="I36" s="18" t="n"/>
      <c r="J36" s="20" t="n"/>
      <c r="K36" s="18" t="n"/>
      <c r="L36" s="14" t="n"/>
      <c r="M36" s="14" t="n"/>
    </row>
    <row r="37">
      <c r="A37" s="14" t="n"/>
      <c r="B37" s="14" t="n"/>
      <c r="C37" s="14" t="n"/>
      <c r="D37" s="14" t="n"/>
      <c r="E37" s="14" t="n"/>
      <c r="F37" s="19" t="n"/>
      <c r="G37" s="14" t="n"/>
      <c r="H37" s="14" t="n"/>
      <c r="I37" s="18" t="n"/>
      <c r="J37" s="20" t="n"/>
      <c r="K37" s="18" t="n"/>
      <c r="L37" s="14" t="n"/>
      <c r="M37" s="14" t="n"/>
    </row>
    <row r="38">
      <c r="A38" s="14" t="n"/>
      <c r="B38" s="14" t="n"/>
      <c r="C38" s="14" t="n"/>
      <c r="D38" s="14" t="n"/>
      <c r="E38" s="14" t="n"/>
      <c r="F38" s="19" t="n"/>
      <c r="G38" s="14" t="n"/>
      <c r="H38" s="14" t="n"/>
      <c r="I38" s="18" t="n"/>
      <c r="J38" s="20" t="n"/>
      <c r="K38" s="18" t="n"/>
      <c r="L38" s="14" t="n"/>
      <c r="M38" s="14" t="n"/>
    </row>
    <row r="39">
      <c r="A39" s="14" t="n"/>
      <c r="B39" s="14" t="n"/>
      <c r="C39" s="14" t="n"/>
      <c r="D39" s="14" t="n"/>
      <c r="E39" s="14" t="n"/>
      <c r="F39" s="19" t="n"/>
      <c r="G39" s="14" t="n"/>
      <c r="H39" s="14" t="n"/>
      <c r="I39" s="18" t="n"/>
      <c r="J39" s="20" t="n"/>
      <c r="K39" s="18" t="n"/>
      <c r="L39" s="14" t="n"/>
      <c r="M39" s="14" t="n"/>
    </row>
    <row r="40">
      <c r="A40" s="14" t="n"/>
      <c r="B40" s="14" t="n"/>
      <c r="C40" s="14" t="n"/>
      <c r="D40" s="14" t="n"/>
      <c r="E40" s="14" t="n"/>
      <c r="F40" s="19" t="n"/>
      <c r="G40" s="14" t="n"/>
      <c r="H40" s="14" t="n"/>
      <c r="I40" s="18" t="n"/>
      <c r="J40" s="20" t="n"/>
      <c r="K40" s="18" t="n"/>
      <c r="L40" s="14" t="n"/>
      <c r="M40" s="14" t="n"/>
    </row>
    <row r="41">
      <c r="A41" s="14" t="n"/>
      <c r="B41" s="14" t="n"/>
      <c r="C41" s="14" t="n"/>
      <c r="D41" s="14" t="n"/>
      <c r="E41" s="14" t="n"/>
      <c r="F41" s="19" t="n"/>
      <c r="G41" s="14" t="n"/>
      <c r="H41" s="14" t="n"/>
      <c r="I41" s="18" t="n"/>
      <c r="J41" s="20" t="n"/>
      <c r="K41" s="18" t="n"/>
      <c r="L41" s="14" t="n"/>
      <c r="M41" s="14" t="n"/>
    </row>
    <row r="42">
      <c r="A42" s="14" t="n"/>
      <c r="B42" s="14" t="n"/>
      <c r="C42" s="14" t="n"/>
      <c r="D42" s="14" t="n"/>
      <c r="E42" s="14" t="n"/>
      <c r="F42" s="19" t="n"/>
      <c r="G42" s="14" t="n"/>
      <c r="H42" s="14" t="n"/>
      <c r="I42" s="18" t="n"/>
      <c r="J42" s="20" t="n"/>
      <c r="K42" s="18" t="n"/>
      <c r="L42" s="14" t="n"/>
      <c r="M42" s="14" t="n"/>
    </row>
    <row r="43">
      <c r="A43" s="14" t="n"/>
      <c r="B43" s="14" t="n"/>
      <c r="C43" s="14" t="n"/>
      <c r="D43" s="14" t="n"/>
      <c r="E43" s="14" t="n"/>
      <c r="F43" s="19" t="n"/>
      <c r="G43" s="14" t="n"/>
      <c r="H43" s="14" t="n"/>
      <c r="I43" s="18" t="n"/>
      <c r="J43" s="20" t="n"/>
      <c r="K43" s="18" t="n"/>
      <c r="L43" s="14" t="n"/>
      <c r="M43" s="14" t="n"/>
    </row>
    <row r="44">
      <c r="A44" s="14" t="n"/>
      <c r="B44" s="14" t="n"/>
      <c r="C44" s="14" t="n"/>
      <c r="D44" s="14" t="n"/>
      <c r="E44" s="14" t="n"/>
      <c r="F44" s="19" t="n"/>
      <c r="G44" s="14" t="n"/>
      <c r="H44" s="14" t="n"/>
      <c r="I44" s="18" t="n"/>
      <c r="J44" s="20" t="n"/>
      <c r="K44" s="18" t="n"/>
      <c r="L44" s="14" t="n"/>
      <c r="M44" s="14" t="n"/>
    </row>
    <row r="45">
      <c r="A45" s="14" t="n"/>
      <c r="B45" s="14" t="n"/>
      <c r="C45" s="14" t="n"/>
      <c r="D45" s="14" t="n"/>
      <c r="E45" s="14" t="n"/>
      <c r="F45" s="19" t="n"/>
      <c r="G45" s="14" t="n"/>
      <c r="H45" s="14" t="n"/>
      <c r="I45" s="18" t="n"/>
      <c r="J45" s="20" t="n"/>
      <c r="K45" s="18" t="n"/>
      <c r="L45" s="14" t="n"/>
      <c r="M45" s="14" t="n"/>
    </row>
    <row r="46">
      <c r="A46" s="14" t="n"/>
      <c r="B46" s="14" t="n"/>
      <c r="C46" s="14" t="n"/>
      <c r="D46" s="14" t="n"/>
      <c r="E46" s="14" t="n"/>
      <c r="F46" s="19" t="n"/>
      <c r="G46" s="14" t="n"/>
      <c r="H46" s="14" t="n"/>
      <c r="I46" s="18" t="n"/>
      <c r="J46" s="20" t="n"/>
      <c r="K46" s="18" t="n"/>
      <c r="L46" s="14" t="n"/>
      <c r="M46" s="14" t="n"/>
    </row>
    <row r="47">
      <c r="A47" s="14" t="n"/>
      <c r="B47" s="14" t="n"/>
      <c r="C47" s="14" t="n"/>
      <c r="D47" s="14" t="n"/>
      <c r="E47" s="14" t="n"/>
      <c r="F47" s="19" t="n"/>
      <c r="G47" s="14" t="n"/>
      <c r="H47" s="14" t="n"/>
      <c r="I47" s="18" t="n"/>
      <c r="J47" s="20" t="n"/>
      <c r="K47" s="18" t="n"/>
      <c r="L47" s="14" t="n"/>
      <c r="M47" s="14" t="n"/>
    </row>
    <row r="48">
      <c r="A48" s="14" t="n"/>
      <c r="B48" s="14" t="n"/>
      <c r="C48" s="14" t="n"/>
      <c r="D48" s="14" t="n"/>
      <c r="E48" s="14" t="n"/>
      <c r="F48" s="19" t="n"/>
      <c r="G48" s="14" t="n"/>
      <c r="H48" s="14" t="n"/>
      <c r="I48" s="18" t="n"/>
      <c r="J48" s="20" t="n"/>
      <c r="K48" s="18" t="n"/>
      <c r="L48" s="14" t="n"/>
      <c r="M48" s="14" t="n"/>
    </row>
    <row r="49">
      <c r="A49" s="14" t="n"/>
      <c r="B49" s="14" t="n"/>
      <c r="C49" s="14" t="n"/>
      <c r="D49" s="14" t="n"/>
      <c r="E49" s="14" t="n"/>
      <c r="F49" s="19" t="n"/>
      <c r="G49" s="14" t="n"/>
      <c r="H49" s="14" t="n"/>
      <c r="I49" s="18" t="n"/>
      <c r="J49" s="20" t="n"/>
      <c r="K49" s="18" t="n"/>
      <c r="L49" s="14" t="n"/>
      <c r="M49" s="14" t="n"/>
    </row>
    <row r="50">
      <c r="A50" s="14" t="n"/>
      <c r="B50" s="14" t="n"/>
      <c r="C50" s="14" t="n"/>
      <c r="D50" s="14" t="n"/>
      <c r="E50" s="14" t="n"/>
      <c r="F50" s="19" t="n"/>
      <c r="G50" s="14" t="n"/>
      <c r="H50" s="14" t="n"/>
      <c r="I50" s="18" t="n"/>
      <c r="J50" s="20" t="n"/>
      <c r="K50" s="18" t="n"/>
      <c r="L50" s="14" t="n"/>
      <c r="M50" s="14" t="n"/>
    </row>
    <row r="51">
      <c r="A51" s="14" t="n"/>
      <c r="B51" s="14" t="n"/>
      <c r="C51" s="14" t="n"/>
      <c r="D51" s="14" t="n"/>
      <c r="E51" s="14" t="n"/>
      <c r="F51" s="19" t="n"/>
      <c r="G51" s="14" t="n"/>
      <c r="H51" s="14" t="n"/>
      <c r="I51" s="18" t="n"/>
      <c r="J51" s="20" t="n"/>
      <c r="K51" s="18" t="n"/>
      <c r="L51" s="14" t="n"/>
      <c r="M51" s="14" t="n"/>
    </row>
    <row r="52">
      <c r="A52" s="14" t="n"/>
      <c r="B52" s="14" t="n"/>
      <c r="C52" s="14" t="n"/>
      <c r="D52" s="14" t="n"/>
      <c r="E52" s="14" t="n"/>
      <c r="F52" s="19" t="n"/>
      <c r="G52" s="14" t="n"/>
      <c r="H52" s="14" t="n"/>
      <c r="I52" s="18" t="n"/>
      <c r="J52" s="20" t="n"/>
      <c r="K52" s="18" t="n"/>
      <c r="L52" s="14" t="n"/>
      <c r="M52" s="14" t="n"/>
    </row>
    <row r="53">
      <c r="A53" s="14" t="n"/>
      <c r="B53" s="14" t="n"/>
      <c r="C53" s="14" t="n"/>
      <c r="D53" s="14" t="n"/>
      <c r="E53" s="14" t="n"/>
      <c r="F53" s="19" t="n"/>
      <c r="G53" s="14" t="n"/>
      <c r="H53" s="14" t="n"/>
      <c r="I53" s="18" t="n"/>
      <c r="J53" s="20" t="n"/>
      <c r="K53" s="18" t="n"/>
      <c r="L53" s="14" t="n"/>
      <c r="M53" s="14" t="n"/>
    </row>
    <row r="54">
      <c r="A54" s="14" t="n"/>
      <c r="B54" s="14" t="n"/>
      <c r="C54" s="14" t="n"/>
      <c r="D54" s="14" t="n"/>
      <c r="E54" s="14" t="n"/>
      <c r="F54" s="19" t="n"/>
      <c r="G54" s="14" t="n"/>
      <c r="H54" s="14" t="n"/>
      <c r="I54" s="18" t="n"/>
      <c r="J54" s="20" t="n"/>
      <c r="K54" s="18" t="n"/>
      <c r="L54" s="14" t="n"/>
      <c r="M54" s="14" t="n"/>
    </row>
    <row r="55">
      <c r="A55" s="14" t="n"/>
      <c r="B55" s="14" t="n"/>
      <c r="C55" s="14" t="n"/>
      <c r="D55" s="14" t="n"/>
      <c r="E55" s="14" t="n"/>
      <c r="F55" s="19" t="n"/>
      <c r="G55" s="14" t="n"/>
      <c r="H55" s="14" t="n"/>
      <c r="I55" s="18" t="n"/>
      <c r="J55" s="20" t="n"/>
      <c r="K55" s="18" t="n"/>
      <c r="L55" s="14" t="n"/>
      <c r="M55" s="14" t="n"/>
    </row>
    <row r="56">
      <c r="A56" s="14" t="n"/>
      <c r="B56" s="14" t="n"/>
      <c r="C56" s="14" t="n"/>
      <c r="D56" s="14" t="n"/>
      <c r="E56" s="14" t="n"/>
      <c r="F56" s="19" t="n"/>
      <c r="G56" s="14" t="n"/>
      <c r="H56" s="14" t="n"/>
      <c r="I56" s="18" t="n"/>
      <c r="J56" s="20" t="n"/>
      <c r="K56" s="18" t="n"/>
      <c r="L56" s="14" t="n"/>
      <c r="M56" s="14" t="n"/>
    </row>
    <row r="57">
      <c r="A57" s="14" t="n"/>
      <c r="B57" s="14" t="n"/>
      <c r="C57" s="14" t="n"/>
      <c r="D57" s="14" t="n"/>
      <c r="E57" s="14" t="n"/>
      <c r="F57" s="19" t="n"/>
      <c r="G57" s="14" t="n"/>
      <c r="H57" s="14" t="n"/>
      <c r="I57" s="18" t="n"/>
      <c r="J57" s="20" t="n"/>
      <c r="K57" s="18" t="n"/>
      <c r="L57" s="14" t="n"/>
      <c r="M57" s="14" t="n"/>
    </row>
    <row r="58">
      <c r="A58" s="14" t="n"/>
      <c r="B58" s="14" t="n"/>
      <c r="C58" s="14" t="n"/>
      <c r="D58" s="14" t="n"/>
      <c r="E58" s="14" t="n"/>
      <c r="F58" s="19" t="n"/>
      <c r="G58" s="14" t="n"/>
      <c r="H58" s="14" t="n"/>
      <c r="I58" s="18" t="n"/>
      <c r="J58" s="20" t="n"/>
      <c r="K58" s="18" t="n"/>
      <c r="L58" s="14" t="n"/>
      <c r="M58" s="14" t="n"/>
    </row>
    <row r="59">
      <c r="A59" s="14" t="n"/>
      <c r="B59" s="14" t="n"/>
      <c r="C59" s="14" t="n"/>
      <c r="D59" s="14" t="n"/>
      <c r="E59" s="14" t="n"/>
      <c r="F59" s="19" t="n"/>
      <c r="G59" s="14" t="n"/>
      <c r="H59" s="14" t="n"/>
      <c r="I59" s="18" t="n"/>
      <c r="J59" s="20" t="n"/>
      <c r="K59" s="18" t="n"/>
      <c r="L59" s="14" t="n"/>
      <c r="M59" s="14" t="n"/>
    </row>
    <row r="60">
      <c r="A60" s="14" t="n"/>
      <c r="B60" s="14" t="n"/>
      <c r="C60" s="14" t="n"/>
      <c r="D60" s="14" t="n"/>
      <c r="E60" s="14" t="n"/>
      <c r="F60" s="19" t="n"/>
      <c r="G60" s="14" t="n"/>
      <c r="H60" s="14" t="n"/>
      <c r="I60" s="18" t="n"/>
      <c r="J60" s="20" t="n"/>
      <c r="K60" s="18" t="n"/>
      <c r="L60" s="14" t="n"/>
      <c r="M60" s="14" t="n"/>
    </row>
    <row r="61">
      <c r="A61" s="14" t="n"/>
      <c r="B61" s="14" t="n"/>
      <c r="C61" s="14" t="n"/>
      <c r="D61" s="14" t="n"/>
      <c r="E61" s="14" t="n"/>
      <c r="F61" s="19" t="n"/>
      <c r="G61" s="14" t="n"/>
      <c r="H61" s="14" t="n"/>
      <c r="I61" s="18" t="n"/>
      <c r="J61" s="20" t="n"/>
      <c r="K61" s="18" t="n"/>
      <c r="L61" s="14" t="n"/>
      <c r="M61" s="14" t="n"/>
    </row>
    <row r="62">
      <c r="A62" s="14" t="n"/>
      <c r="B62" s="14" t="n"/>
      <c r="C62" s="14" t="n"/>
      <c r="D62" s="14" t="n"/>
      <c r="E62" s="14" t="n"/>
      <c r="F62" s="19" t="n"/>
      <c r="G62" s="14" t="n"/>
      <c r="H62" s="14" t="n"/>
      <c r="I62" s="18" t="n"/>
      <c r="J62" s="20" t="n"/>
      <c r="K62" s="18" t="n"/>
      <c r="L62" s="14" t="n"/>
      <c r="M62" s="14" t="n"/>
    </row>
    <row r="63">
      <c r="A63" s="14" t="n"/>
      <c r="B63" s="14" t="n"/>
      <c r="C63" s="14" t="n"/>
      <c r="D63" s="14" t="n"/>
      <c r="E63" s="14" t="n"/>
      <c r="F63" s="19" t="n"/>
      <c r="G63" s="14" t="n"/>
      <c r="H63" s="14" t="n"/>
      <c r="I63" s="18" t="n"/>
      <c r="J63" s="20" t="n"/>
      <c r="K63" s="18" t="n"/>
      <c r="L63" s="14" t="n"/>
      <c r="M63" s="14" t="n"/>
    </row>
    <row r="64">
      <c r="A64" s="14" t="n"/>
      <c r="B64" s="14" t="n"/>
      <c r="C64" s="14" t="n"/>
      <c r="D64" s="14" t="n"/>
      <c r="E64" s="14" t="n"/>
      <c r="F64" s="19" t="n"/>
      <c r="G64" s="14" t="n"/>
      <c r="H64" s="14" t="n"/>
      <c r="I64" s="18" t="n"/>
      <c r="J64" s="20" t="n"/>
      <c r="K64" s="18" t="n"/>
      <c r="L64" s="14" t="n"/>
      <c r="M64" s="14" t="n"/>
    </row>
    <row r="65">
      <c r="A65" s="14" t="n"/>
      <c r="B65" s="14" t="n"/>
      <c r="C65" s="14" t="n"/>
      <c r="D65" s="14" t="n"/>
      <c r="E65" s="14" t="n"/>
      <c r="F65" s="19" t="n"/>
      <c r="G65" s="14" t="n"/>
      <c r="H65" s="14" t="n"/>
      <c r="I65" s="18" t="n"/>
      <c r="J65" s="20" t="n"/>
      <c r="K65" s="18" t="n"/>
      <c r="L65" s="14" t="n"/>
      <c r="M65" s="14" t="n"/>
    </row>
    <row r="66">
      <c r="A66" s="14" t="n"/>
      <c r="B66" s="14" t="n"/>
      <c r="C66" s="14" t="n"/>
      <c r="D66" s="14" t="n"/>
      <c r="E66" s="14" t="n"/>
      <c r="F66" s="19" t="n"/>
      <c r="G66" s="14" t="n"/>
      <c r="H66" s="14" t="n"/>
      <c r="I66" s="18" t="n"/>
      <c r="J66" s="20" t="n"/>
      <c r="K66" s="18" t="n"/>
      <c r="L66" s="14" t="n"/>
      <c r="M66" s="14" t="n"/>
    </row>
    <row r="67">
      <c r="A67" s="14" t="n"/>
      <c r="B67" s="14" t="n"/>
      <c r="C67" s="14" t="n"/>
      <c r="D67" s="14" t="n"/>
      <c r="E67" s="14" t="n"/>
      <c r="F67" s="19" t="n"/>
      <c r="G67" s="14" t="n"/>
      <c r="H67" s="14" t="n"/>
      <c r="I67" s="18" t="n"/>
      <c r="J67" s="20" t="n"/>
      <c r="K67" s="18" t="n"/>
      <c r="L67" s="14" t="n"/>
      <c r="M67" s="14" t="n"/>
    </row>
    <row r="68">
      <c r="A68" s="14" t="n"/>
      <c r="B68" s="14" t="n"/>
      <c r="C68" s="14" t="n"/>
      <c r="D68" s="14" t="n"/>
      <c r="E68" s="14" t="n"/>
      <c r="F68" s="19" t="n"/>
      <c r="G68" s="14" t="n"/>
      <c r="H68" s="14" t="n"/>
      <c r="I68" s="18" t="n"/>
      <c r="J68" s="20" t="n"/>
      <c r="K68" s="18" t="n"/>
      <c r="L68" s="14" t="n"/>
      <c r="M68" s="14" t="n"/>
    </row>
    <row r="69">
      <c r="A69" s="14" t="n"/>
      <c r="B69" s="14" t="n"/>
      <c r="C69" s="14" t="n"/>
      <c r="D69" s="14" t="n"/>
      <c r="E69" s="14" t="n"/>
      <c r="F69" s="19" t="n"/>
      <c r="G69" s="14" t="n"/>
      <c r="H69" s="14" t="n"/>
      <c r="I69" s="18" t="n"/>
      <c r="J69" s="20" t="n"/>
      <c r="K69" s="18" t="n"/>
      <c r="L69" s="14" t="n"/>
      <c r="M69" s="14" t="n"/>
    </row>
    <row r="70">
      <c r="A70" s="14" t="n"/>
      <c r="B70" s="14" t="n"/>
      <c r="C70" s="14" t="n"/>
      <c r="D70" s="14" t="n"/>
      <c r="E70" s="14" t="n"/>
      <c r="F70" s="19" t="n"/>
      <c r="G70" s="14" t="n"/>
      <c r="H70" s="14" t="n"/>
      <c r="I70" s="18" t="n"/>
      <c r="J70" s="20" t="n"/>
      <c r="K70" s="18" t="n"/>
      <c r="L70" s="14" t="n"/>
      <c r="M70" s="14" t="n"/>
    </row>
    <row r="71">
      <c r="A71" s="14" t="n"/>
      <c r="B71" s="14" t="n"/>
      <c r="C71" s="14" t="n"/>
      <c r="D71" s="14" t="n"/>
      <c r="E71" s="14" t="n"/>
      <c r="F71" s="19" t="n"/>
      <c r="G71" s="14" t="n"/>
      <c r="H71" s="14" t="n"/>
      <c r="I71" s="18" t="n"/>
      <c r="J71" s="20" t="n"/>
      <c r="K71" s="18" t="n"/>
      <c r="L71" s="14" t="n"/>
      <c r="M71" s="14" t="n"/>
    </row>
    <row r="72">
      <c r="A72" s="14" t="n"/>
      <c r="B72" s="14" t="n"/>
      <c r="C72" s="14" t="n"/>
      <c r="D72" s="14" t="n"/>
      <c r="E72" s="14" t="n"/>
      <c r="F72" s="19" t="n"/>
      <c r="G72" s="14" t="n"/>
      <c r="H72" s="14" t="n"/>
      <c r="I72" s="18" t="n"/>
      <c r="J72" s="20" t="n"/>
      <c r="K72" s="18" t="n"/>
      <c r="L72" s="14" t="n"/>
      <c r="M72" s="14" t="n"/>
    </row>
    <row r="73">
      <c r="A73" s="14" t="n"/>
      <c r="B73" s="14" t="n"/>
      <c r="C73" s="14" t="n"/>
      <c r="D73" s="14" t="n"/>
      <c r="E73" s="14" t="n"/>
      <c r="F73" s="19" t="n"/>
      <c r="G73" s="14" t="n"/>
      <c r="H73" s="14" t="n"/>
      <c r="I73" s="18" t="n"/>
      <c r="J73" s="20" t="n"/>
      <c r="K73" s="18" t="n"/>
      <c r="L73" s="14" t="n"/>
      <c r="M73" s="14" t="n"/>
    </row>
    <row r="74">
      <c r="A74" s="14" t="n"/>
      <c r="B74" s="14" t="n"/>
      <c r="C74" s="14" t="n"/>
      <c r="D74" s="14" t="n"/>
      <c r="E74" s="14" t="n"/>
      <c r="F74" s="19" t="n"/>
      <c r="G74" s="14" t="n"/>
      <c r="H74" s="14" t="n"/>
      <c r="I74" s="18" t="n"/>
      <c r="J74" s="20" t="n"/>
      <c r="K74" s="18" t="n"/>
      <c r="L74" s="14" t="n"/>
      <c r="M74" s="14" t="n"/>
    </row>
    <row r="75">
      <c r="A75" s="14" t="n"/>
      <c r="B75" s="14" t="n"/>
      <c r="C75" s="14" t="n"/>
      <c r="D75" s="14" t="n"/>
      <c r="E75" s="14" t="n"/>
      <c r="F75" s="19" t="n"/>
      <c r="G75" s="14" t="n"/>
      <c r="H75" s="14" t="n"/>
      <c r="I75" s="18" t="n"/>
      <c r="J75" s="20" t="n"/>
      <c r="K75" s="18" t="n"/>
      <c r="L75" s="14" t="n"/>
      <c r="M75" s="14" t="n"/>
    </row>
    <row r="76">
      <c r="A76" s="14" t="n"/>
      <c r="B76" s="14" t="n"/>
      <c r="C76" s="14" t="n"/>
      <c r="D76" s="14" t="n"/>
      <c r="E76" s="14" t="n"/>
      <c r="F76" s="19" t="n"/>
      <c r="G76" s="14" t="n"/>
      <c r="H76" s="14" t="n"/>
      <c r="I76" s="18" t="n"/>
      <c r="J76" s="20" t="n"/>
      <c r="K76" s="18" t="n"/>
      <c r="L76" s="14" t="n"/>
      <c r="M76" s="14" t="n"/>
    </row>
    <row r="77">
      <c r="A77" s="14" t="n"/>
      <c r="B77" s="14" t="n"/>
      <c r="C77" s="14" t="n"/>
      <c r="D77" s="14" t="n"/>
      <c r="E77" s="14" t="n"/>
      <c r="F77" s="19" t="n"/>
      <c r="G77" s="14" t="n"/>
      <c r="H77" s="14" t="n"/>
      <c r="I77" s="18" t="n"/>
      <c r="J77" s="20" t="n"/>
      <c r="K77" s="18" t="n"/>
      <c r="L77" s="14" t="n"/>
      <c r="M77" s="14" t="n"/>
    </row>
    <row r="78">
      <c r="A78" s="14" t="n"/>
      <c r="B78" s="14" t="n"/>
      <c r="C78" s="14" t="n"/>
      <c r="D78" s="14" t="n"/>
      <c r="E78" s="14" t="n"/>
      <c r="F78" s="19" t="n"/>
      <c r="G78" s="14" t="n"/>
      <c r="H78" s="14" t="n"/>
      <c r="I78" s="18" t="n"/>
      <c r="J78" s="20" t="n"/>
      <c r="K78" s="18" t="n"/>
      <c r="L78" s="14" t="n"/>
      <c r="M78" s="14" t="n"/>
    </row>
    <row r="79">
      <c r="A79" s="14" t="n"/>
      <c r="B79" s="14" t="n"/>
      <c r="C79" s="14" t="n"/>
      <c r="D79" s="14" t="n"/>
      <c r="E79" s="14" t="n"/>
      <c r="F79" s="19" t="n"/>
      <c r="G79" s="14" t="n"/>
      <c r="H79" s="14" t="n"/>
      <c r="I79" s="18" t="n"/>
      <c r="J79" s="20" t="n"/>
      <c r="K79" s="18" t="n"/>
      <c r="L79" s="14" t="n"/>
      <c r="M79" s="14" t="n"/>
    </row>
    <row r="80">
      <c r="A80" s="14" t="n"/>
      <c r="B80" s="14" t="n"/>
      <c r="C80" s="14" t="n"/>
      <c r="D80" s="14" t="n"/>
      <c r="E80" s="14" t="n"/>
      <c r="F80" s="19" t="n"/>
      <c r="G80" s="14" t="n"/>
      <c r="H80" s="14" t="n"/>
      <c r="I80" s="18" t="n"/>
      <c r="J80" s="20" t="n"/>
      <c r="K80" s="18" t="n"/>
      <c r="L80" s="14" t="n"/>
      <c r="M80" s="14" t="n"/>
    </row>
    <row r="81">
      <c r="A81" s="14" t="n"/>
      <c r="B81" s="14" t="n"/>
      <c r="C81" s="14" t="n"/>
      <c r="D81" s="14" t="n"/>
      <c r="E81" s="14" t="n"/>
      <c r="F81" s="19" t="n"/>
      <c r="G81" s="14" t="n"/>
      <c r="H81" s="14" t="n"/>
      <c r="I81" s="18" t="n"/>
      <c r="J81" s="20" t="n"/>
      <c r="K81" s="18" t="n"/>
      <c r="L81" s="14" t="n"/>
      <c r="M81" s="14" t="n"/>
    </row>
    <row r="82">
      <c r="A82" s="14" t="n"/>
      <c r="B82" s="14" t="n"/>
      <c r="C82" s="14" t="n"/>
      <c r="D82" s="14" t="n"/>
      <c r="E82" s="14" t="n"/>
      <c r="F82" s="19" t="n"/>
      <c r="G82" s="14" t="n"/>
      <c r="H82" s="14" t="n"/>
      <c r="I82" s="18" t="n"/>
      <c r="J82" s="20" t="n"/>
      <c r="K82" s="18" t="n"/>
      <c r="L82" s="14" t="n"/>
      <c r="M82" s="14" t="n"/>
    </row>
    <row r="83">
      <c r="A83" s="14" t="n"/>
      <c r="B83" s="14" t="n"/>
      <c r="C83" s="14" t="n"/>
      <c r="D83" s="14" t="n"/>
      <c r="E83" s="14" t="n"/>
      <c r="F83" s="19" t="n"/>
      <c r="G83" s="14" t="n"/>
      <c r="H83" s="14" t="n"/>
      <c r="I83" s="18" t="n"/>
      <c r="J83" s="20" t="n"/>
      <c r="K83" s="18" t="n"/>
      <c r="L83" s="14" t="n"/>
      <c r="M83" s="14" t="n"/>
    </row>
    <row r="84">
      <c r="A84" s="14" t="n"/>
      <c r="B84" s="14" t="n"/>
      <c r="C84" s="14" t="n"/>
      <c r="D84" s="14" t="n"/>
      <c r="E84" s="14" t="n"/>
      <c r="F84" s="19" t="n"/>
      <c r="G84" s="14" t="n"/>
      <c r="H84" s="14" t="n"/>
      <c r="I84" s="18" t="n"/>
      <c r="J84" s="20" t="n"/>
      <c r="K84" s="18" t="n"/>
      <c r="L84" s="14" t="n"/>
      <c r="M84" s="14" t="n"/>
    </row>
    <row r="85">
      <c r="A85" s="14" t="n"/>
      <c r="B85" s="14" t="n"/>
      <c r="C85" s="14" t="n"/>
      <c r="D85" s="14" t="n"/>
      <c r="E85" s="14" t="n"/>
      <c r="F85" s="19" t="n"/>
      <c r="G85" s="14" t="n"/>
      <c r="H85" s="14" t="n"/>
      <c r="I85" s="18" t="n"/>
      <c r="J85" s="20" t="n"/>
      <c r="K85" s="18" t="n"/>
      <c r="L85" s="14" t="n"/>
      <c r="M85" s="14" t="n"/>
    </row>
    <row r="86">
      <c r="A86" s="14" t="n"/>
      <c r="B86" s="14" t="n"/>
      <c r="C86" s="14" t="n"/>
      <c r="D86" s="14" t="n"/>
      <c r="E86" s="14" t="n"/>
      <c r="F86" s="19" t="n"/>
      <c r="G86" s="14" t="n"/>
      <c r="H86" s="14" t="n"/>
      <c r="I86" s="18" t="n"/>
      <c r="J86" s="20" t="n"/>
      <c r="K86" s="18" t="n"/>
      <c r="L86" s="14" t="n"/>
      <c r="M86" s="14" t="n"/>
    </row>
    <row r="87">
      <c r="A87" s="14" t="n"/>
      <c r="B87" s="14" t="n"/>
      <c r="C87" s="14" t="n"/>
      <c r="D87" s="14" t="n"/>
      <c r="E87" s="14" t="n"/>
      <c r="F87" s="19" t="n"/>
      <c r="G87" s="14" t="n"/>
      <c r="H87" s="14" t="n"/>
      <c r="I87" s="18" t="n"/>
      <c r="J87" s="20" t="n"/>
      <c r="K87" s="18" t="n"/>
      <c r="L87" s="14" t="n"/>
      <c r="M87" s="14" t="n"/>
    </row>
    <row r="88">
      <c r="A88" s="14" t="n"/>
      <c r="B88" s="14" t="n"/>
      <c r="C88" s="14" t="n"/>
      <c r="D88" s="14" t="n"/>
      <c r="E88" s="14" t="n"/>
      <c r="F88" s="19" t="n"/>
      <c r="G88" s="14" t="n"/>
      <c r="H88" s="14" t="n"/>
      <c r="I88" s="18" t="n"/>
      <c r="J88" s="20" t="n"/>
      <c r="K88" s="18" t="n"/>
      <c r="L88" s="14" t="n"/>
      <c r="M88" s="14" t="n"/>
    </row>
    <row r="89">
      <c r="A89" s="14" t="n"/>
      <c r="B89" s="14" t="n"/>
      <c r="C89" s="14" t="n"/>
      <c r="D89" s="14" t="n"/>
      <c r="E89" s="14" t="n"/>
      <c r="F89" s="19" t="n"/>
      <c r="G89" s="14" t="n"/>
      <c r="H89" s="14" t="n"/>
      <c r="I89" s="18" t="n"/>
      <c r="J89" s="20" t="n"/>
      <c r="K89" s="18" t="n"/>
      <c r="L89" s="14" t="n"/>
      <c r="M89" s="14" t="n"/>
    </row>
    <row r="90">
      <c r="A90" s="14" t="n"/>
      <c r="B90" s="14" t="n"/>
      <c r="C90" s="14" t="n"/>
      <c r="D90" s="14" t="n"/>
      <c r="E90" s="14" t="n"/>
      <c r="F90" s="19" t="n"/>
      <c r="G90" s="14" t="n"/>
      <c r="H90" s="14" t="n"/>
      <c r="I90" s="18" t="n"/>
      <c r="J90" s="20" t="n"/>
      <c r="K90" s="18" t="n"/>
      <c r="L90" s="14" t="n"/>
      <c r="M90" s="14" t="n"/>
    </row>
    <row r="91">
      <c r="A91" s="14" t="n"/>
      <c r="B91" s="14" t="n"/>
      <c r="C91" s="14" t="n"/>
      <c r="D91" s="14" t="n"/>
      <c r="E91" s="14" t="n"/>
      <c r="F91" s="19" t="n"/>
      <c r="G91" s="14" t="n"/>
      <c r="H91" s="14" t="n"/>
      <c r="I91" s="18" t="n"/>
      <c r="J91" s="20" t="n"/>
      <c r="K91" s="18" t="n"/>
      <c r="L91" s="14" t="n"/>
      <c r="M91" s="14" t="n"/>
    </row>
    <row r="92">
      <c r="A92" s="14" t="n"/>
      <c r="B92" s="14" t="n"/>
      <c r="C92" s="14" t="n"/>
      <c r="D92" s="14" t="n"/>
      <c r="E92" s="14" t="n"/>
      <c r="F92" s="19" t="n"/>
      <c r="G92" s="14" t="n"/>
      <c r="H92" s="14" t="n"/>
      <c r="I92" s="18" t="n"/>
      <c r="J92" s="20" t="n"/>
      <c r="K92" s="18" t="n"/>
      <c r="L92" s="14" t="n"/>
      <c r="M92" s="14" t="n"/>
    </row>
    <row r="93">
      <c r="A93" s="14" t="n"/>
      <c r="B93" s="14" t="n"/>
      <c r="C93" s="14" t="n"/>
      <c r="D93" s="14" t="n"/>
      <c r="E93" s="14" t="n"/>
      <c r="F93" s="19" t="n"/>
      <c r="G93" s="14" t="n"/>
      <c r="H93" s="14" t="n"/>
      <c r="I93" s="18" t="n"/>
      <c r="J93" s="20" t="n"/>
      <c r="K93" s="18" t="n"/>
      <c r="L93" s="14" t="n"/>
      <c r="M93" s="14" t="n"/>
    </row>
    <row r="94">
      <c r="A94" s="14" t="n"/>
      <c r="B94" s="14" t="n"/>
      <c r="C94" s="14" t="n"/>
      <c r="D94" s="14" t="n"/>
      <c r="E94" s="14" t="n"/>
      <c r="F94" s="19" t="n"/>
      <c r="G94" s="14" t="n"/>
      <c r="H94" s="14" t="n"/>
      <c r="I94" s="18" t="n"/>
      <c r="J94" s="20" t="n"/>
      <c r="K94" s="18" t="n"/>
      <c r="L94" s="14" t="n"/>
      <c r="M94" s="14" t="n"/>
    </row>
    <row r="95">
      <c r="A95" s="14" t="n"/>
      <c r="B95" s="14" t="n"/>
      <c r="C95" s="14" t="n"/>
      <c r="D95" s="14" t="n"/>
      <c r="E95" s="14" t="n"/>
      <c r="F95" s="19" t="n"/>
      <c r="G95" s="14" t="n"/>
      <c r="H95" s="14" t="n"/>
      <c r="I95" s="18" t="n"/>
      <c r="J95" s="20" t="n"/>
      <c r="K95" s="18" t="n"/>
      <c r="L95" s="14" t="n"/>
      <c r="M95" s="14" t="n"/>
    </row>
    <row r="96">
      <c r="A96" s="14" t="n"/>
      <c r="B96" s="14" t="n"/>
      <c r="C96" s="14" t="n"/>
      <c r="D96" s="14" t="n"/>
      <c r="E96" s="14" t="n"/>
      <c r="F96" s="19" t="n"/>
      <c r="G96" s="14" t="n"/>
      <c r="H96" s="14" t="n"/>
      <c r="I96" s="18" t="n"/>
      <c r="J96" s="20" t="n"/>
      <c r="K96" s="18" t="n"/>
      <c r="L96" s="14" t="n"/>
      <c r="M96" s="14" t="n"/>
    </row>
    <row r="97">
      <c r="A97" s="14" t="n"/>
      <c r="B97" s="14" t="n"/>
      <c r="C97" s="14" t="n"/>
      <c r="D97" s="14" t="n"/>
      <c r="E97" s="14" t="n"/>
      <c r="F97" s="19" t="n"/>
      <c r="G97" s="14" t="n"/>
      <c r="H97" s="14" t="n"/>
      <c r="I97" s="18" t="n"/>
      <c r="J97" s="20" t="n"/>
      <c r="K97" s="18" t="n"/>
      <c r="L97" s="14" t="n"/>
      <c r="M97" s="14" t="n"/>
    </row>
    <row r="98">
      <c r="A98" s="14" t="n"/>
      <c r="B98" s="14" t="n"/>
      <c r="C98" s="14" t="n"/>
      <c r="D98" s="14" t="n"/>
      <c r="E98" s="14" t="n"/>
      <c r="F98" s="19" t="n"/>
      <c r="G98" s="14" t="n"/>
      <c r="H98" s="14" t="n"/>
      <c r="I98" s="18" t="n"/>
      <c r="J98" s="20" t="n"/>
      <c r="K98" s="18" t="n"/>
      <c r="L98" s="14" t="n"/>
      <c r="M98" s="14" t="n"/>
    </row>
    <row r="99">
      <c r="A99" s="14" t="n"/>
      <c r="B99" s="14" t="n"/>
      <c r="C99" s="14" t="n"/>
      <c r="D99" s="14" t="n"/>
      <c r="E99" s="14" t="n"/>
      <c r="F99" s="19" t="n"/>
      <c r="G99" s="14" t="n"/>
      <c r="H99" s="14" t="n"/>
      <c r="I99" s="18" t="n"/>
      <c r="J99" s="20" t="n"/>
      <c r="K99" s="18" t="n"/>
      <c r="L99" s="14" t="n"/>
      <c r="M99" s="14" t="n"/>
    </row>
    <row r="100">
      <c r="A100" s="14" t="n"/>
      <c r="B100" s="14" t="n"/>
      <c r="C100" s="14" t="n"/>
      <c r="D100" s="14" t="n"/>
      <c r="E100" s="14" t="n"/>
      <c r="F100" s="19" t="n"/>
      <c r="G100" s="14" t="n"/>
      <c r="H100" s="14" t="n"/>
      <c r="I100" s="18" t="n"/>
      <c r="J100" s="20" t="n"/>
      <c r="K100" s="18" t="n"/>
      <c r="L100" s="14" t="n"/>
      <c r="M100" s="14" t="n"/>
    </row>
    <row r="101">
      <c r="A101" s="14" t="n"/>
      <c r="B101" s="14" t="n"/>
      <c r="C101" s="14" t="n"/>
      <c r="D101" s="14" t="n"/>
      <c r="E101" s="14" t="n"/>
      <c r="F101" s="19" t="n"/>
      <c r="G101" s="14" t="n"/>
      <c r="H101" s="14" t="n"/>
      <c r="I101" s="18" t="n"/>
      <c r="J101" s="20" t="n"/>
      <c r="K101" s="18" t="n"/>
      <c r="L101" s="14" t="n"/>
      <c r="M101" s="14" t="n"/>
    </row>
    <row r="102">
      <c r="A102" s="14" t="n"/>
      <c r="B102" s="14" t="n"/>
      <c r="C102" s="14" t="n"/>
      <c r="D102" s="14" t="n"/>
      <c r="E102" s="14" t="n"/>
      <c r="F102" s="19" t="n"/>
      <c r="G102" s="14" t="n"/>
      <c r="H102" s="14" t="n"/>
      <c r="I102" s="18" t="n"/>
      <c r="J102" s="20" t="n"/>
      <c r="K102" s="18" t="n"/>
      <c r="L102" s="14" t="n"/>
      <c r="M102" s="14" t="n"/>
    </row>
    <row r="103">
      <c r="A103" s="14" t="n"/>
      <c r="B103" s="14" t="n"/>
      <c r="C103" s="14" t="n"/>
      <c r="D103" s="14" t="n"/>
      <c r="E103" s="14" t="n"/>
      <c r="F103" s="19" t="n"/>
      <c r="G103" s="14" t="n"/>
      <c r="H103" s="14" t="n"/>
      <c r="I103" s="18" t="n"/>
      <c r="J103" s="20" t="n"/>
      <c r="K103" s="18" t="n"/>
      <c r="L103" s="14" t="n"/>
      <c r="M103" s="14" t="n"/>
    </row>
    <row r="104">
      <c r="A104" s="14" t="n"/>
      <c r="B104" s="14" t="n"/>
      <c r="C104" s="14" t="n"/>
      <c r="D104" s="14" t="n"/>
      <c r="E104" s="14" t="n"/>
      <c r="F104" s="19" t="n"/>
      <c r="G104" s="14" t="n"/>
      <c r="H104" s="14" t="n"/>
      <c r="I104" s="18" t="n"/>
      <c r="J104" s="20" t="n"/>
      <c r="K104" s="18" t="n"/>
      <c r="L104" s="14" t="n"/>
      <c r="M104" s="14" t="n"/>
    </row>
    <row r="105">
      <c r="A105" s="14" t="n"/>
      <c r="B105" s="14" t="n"/>
      <c r="C105" s="14" t="n"/>
      <c r="D105" s="14" t="n"/>
      <c r="E105" s="14" t="n"/>
      <c r="F105" s="19" t="n"/>
      <c r="G105" s="14" t="n"/>
      <c r="H105" s="14" t="n"/>
      <c r="I105" s="18" t="n"/>
      <c r="J105" s="20" t="n"/>
      <c r="K105" s="18" t="n"/>
      <c r="L105" s="14" t="n"/>
      <c r="M105" s="14" t="n"/>
    </row>
    <row r="106">
      <c r="A106" s="14" t="n"/>
      <c r="B106" s="14" t="n"/>
      <c r="C106" s="14" t="n"/>
      <c r="D106" s="14" t="n"/>
      <c r="E106" s="14" t="n"/>
      <c r="F106" s="19" t="n"/>
      <c r="G106" s="14" t="n"/>
      <c r="H106" s="14" t="n"/>
      <c r="I106" s="18" t="n"/>
      <c r="J106" s="20" t="n"/>
      <c r="K106" s="18" t="n"/>
      <c r="L106" s="14" t="n"/>
      <c r="M106" s="14" t="n"/>
    </row>
    <row r="107">
      <c r="A107" s="14" t="n"/>
      <c r="B107" s="14" t="n"/>
      <c r="C107" s="14" t="n"/>
      <c r="D107" s="14" t="n"/>
      <c r="E107" s="14" t="n"/>
      <c r="F107" s="19" t="n"/>
      <c r="G107" s="14" t="n"/>
      <c r="H107" s="14" t="n"/>
      <c r="I107" s="18" t="n"/>
      <c r="J107" s="20" t="n"/>
      <c r="K107" s="18" t="n"/>
      <c r="L107" s="14" t="n"/>
      <c r="M107" s="14" t="n"/>
    </row>
    <row r="108">
      <c r="A108" s="14" t="n"/>
      <c r="B108" s="14" t="n"/>
      <c r="C108" s="14" t="n"/>
      <c r="D108" s="14" t="n"/>
      <c r="E108" s="14" t="n"/>
      <c r="F108" s="19" t="n"/>
      <c r="G108" s="14" t="n"/>
      <c r="H108" s="14" t="n"/>
      <c r="I108" s="18" t="n"/>
      <c r="J108" s="20" t="n"/>
      <c r="K108" s="18" t="n"/>
      <c r="L108" s="14" t="n"/>
      <c r="M108" s="14" t="n"/>
    </row>
    <row r="109">
      <c r="A109" s="14" t="n"/>
      <c r="B109" s="14" t="n"/>
      <c r="C109" s="14" t="n"/>
      <c r="D109" s="14" t="n"/>
      <c r="E109" s="14" t="n"/>
      <c r="F109" s="19" t="n"/>
      <c r="G109" s="14" t="n"/>
      <c r="H109" s="14" t="n"/>
      <c r="I109" s="18" t="n"/>
      <c r="J109" s="20" t="n"/>
      <c r="K109" s="18" t="n"/>
      <c r="L109" s="14" t="n"/>
      <c r="M109" s="14" t="n"/>
    </row>
    <row r="110">
      <c r="A110" s="14" t="n"/>
      <c r="B110" s="14" t="n"/>
      <c r="C110" s="14" t="n"/>
      <c r="D110" s="14" t="n"/>
      <c r="E110" s="14" t="n"/>
      <c r="F110" s="19" t="n"/>
      <c r="G110" s="14" t="n"/>
      <c r="H110" s="14" t="n"/>
      <c r="I110" s="18" t="n"/>
      <c r="J110" s="20" t="n"/>
      <c r="K110" s="18" t="n"/>
      <c r="L110" s="14" t="n"/>
      <c r="M110" s="14" t="n"/>
    </row>
    <row r="111">
      <c r="A111" s="14" t="n"/>
      <c r="B111" s="14" t="n"/>
      <c r="C111" s="14" t="n"/>
      <c r="D111" s="14" t="n"/>
      <c r="E111" s="14" t="n"/>
      <c r="F111" s="19" t="n"/>
      <c r="G111" s="14" t="n"/>
      <c r="H111" s="14" t="n"/>
      <c r="I111" s="18" t="n"/>
      <c r="J111" s="20" t="n"/>
      <c r="K111" s="18" t="n"/>
      <c r="L111" s="14" t="n"/>
      <c r="M111" s="14" t="n"/>
    </row>
    <row r="112">
      <c r="A112" s="14" t="n"/>
      <c r="B112" s="14" t="n"/>
      <c r="C112" s="14" t="n"/>
      <c r="D112" s="14" t="n"/>
      <c r="E112" s="14" t="n"/>
      <c r="F112" s="19" t="n"/>
      <c r="G112" s="14" t="n"/>
      <c r="H112" s="14" t="n"/>
      <c r="I112" s="18" t="n"/>
      <c r="J112" s="20" t="n"/>
      <c r="K112" s="18" t="n"/>
      <c r="L112" s="14" t="n"/>
      <c r="M112" s="14" t="n"/>
    </row>
    <row r="113">
      <c r="A113" s="14" t="n"/>
      <c r="B113" s="14" t="n"/>
      <c r="C113" s="14" t="n"/>
      <c r="D113" s="14" t="n"/>
      <c r="E113" s="14" t="n"/>
      <c r="F113" s="19" t="n"/>
      <c r="G113" s="14" t="n"/>
      <c r="H113" s="14" t="n"/>
      <c r="I113" s="18" t="n"/>
      <c r="J113" s="20" t="n"/>
      <c r="K113" s="18" t="n"/>
      <c r="L113" s="14" t="n"/>
      <c r="M113" s="14" t="n"/>
    </row>
    <row r="114">
      <c r="A114" s="14" t="n"/>
      <c r="B114" s="14" t="n"/>
      <c r="C114" s="14" t="n"/>
      <c r="D114" s="14" t="n"/>
      <c r="E114" s="14" t="n"/>
      <c r="F114" s="19" t="n"/>
      <c r="G114" s="14" t="n"/>
      <c r="H114" s="14" t="n"/>
      <c r="I114" s="18" t="n"/>
      <c r="J114" s="20" t="n"/>
      <c r="K114" s="18" t="n"/>
      <c r="L114" s="14" t="n"/>
      <c r="M114" s="14" t="n"/>
    </row>
    <row r="115">
      <c r="A115" s="14" t="n"/>
      <c r="B115" s="14" t="n"/>
      <c r="C115" s="14" t="n"/>
      <c r="D115" s="14" t="n"/>
      <c r="E115" s="14" t="n"/>
      <c r="F115" s="19" t="n"/>
      <c r="G115" s="14" t="n"/>
      <c r="H115" s="14" t="n"/>
      <c r="I115" s="18" t="n"/>
      <c r="J115" s="20" t="n"/>
      <c r="K115" s="18" t="n"/>
      <c r="L115" s="14" t="n"/>
      <c r="M115" s="14" t="n"/>
    </row>
    <row r="116">
      <c r="A116" s="14" t="n"/>
      <c r="B116" s="14" t="n"/>
      <c r="C116" s="14" t="n"/>
      <c r="D116" s="14" t="n"/>
      <c r="E116" s="14" t="n"/>
      <c r="F116" s="19" t="n"/>
      <c r="G116" s="14" t="n"/>
      <c r="H116" s="14" t="n"/>
      <c r="I116" s="18" t="n"/>
      <c r="J116" s="20" t="n"/>
      <c r="K116" s="18" t="n"/>
      <c r="L116" s="14" t="n"/>
      <c r="M116" s="14" t="n"/>
    </row>
    <row r="117">
      <c r="A117" s="14" t="n"/>
      <c r="B117" s="14" t="n"/>
      <c r="C117" s="14" t="n"/>
      <c r="D117" s="14" t="n"/>
      <c r="E117" s="14" t="n"/>
      <c r="F117" s="19" t="n"/>
      <c r="G117" s="14" t="n"/>
      <c r="H117" s="14" t="n"/>
      <c r="I117" s="18" t="n"/>
      <c r="J117" s="20" t="n"/>
      <c r="K117" s="18" t="n"/>
      <c r="L117" s="14" t="n"/>
      <c r="M117" s="14" t="n"/>
    </row>
    <row r="118">
      <c r="A118" s="14" t="n"/>
      <c r="B118" s="14" t="n"/>
      <c r="C118" s="14" t="n"/>
      <c r="D118" s="14" t="n"/>
      <c r="E118" s="14" t="n"/>
      <c r="F118" s="19" t="n"/>
      <c r="G118" s="14" t="n"/>
      <c r="H118" s="14" t="n"/>
      <c r="I118" s="18" t="n"/>
      <c r="J118" s="20" t="n"/>
      <c r="K118" s="18" t="n"/>
      <c r="L118" s="14" t="n"/>
      <c r="M118" s="14" t="n"/>
    </row>
    <row r="119">
      <c r="A119" s="14" t="n"/>
      <c r="B119" s="14" t="n"/>
      <c r="C119" s="14" t="n"/>
      <c r="D119" s="14" t="n"/>
      <c r="E119" s="14" t="n"/>
      <c r="F119" s="19" t="n"/>
      <c r="G119" s="14" t="n"/>
      <c r="H119" s="14" t="n"/>
      <c r="I119" s="18" t="n"/>
      <c r="J119" s="20" t="n"/>
      <c r="K119" s="18" t="n"/>
      <c r="L119" s="14" t="n"/>
      <c r="M119" s="14" t="n"/>
    </row>
    <row r="120">
      <c r="A120" s="14" t="n"/>
      <c r="B120" s="14" t="n"/>
      <c r="C120" s="14" t="n"/>
      <c r="D120" s="14" t="n"/>
      <c r="E120" s="14" t="n"/>
      <c r="F120" s="19" t="n"/>
      <c r="G120" s="14" t="n"/>
      <c r="H120" s="14" t="n"/>
      <c r="I120" s="18" t="n"/>
      <c r="J120" s="20" t="n"/>
      <c r="K120" s="18" t="n"/>
      <c r="L120" s="14" t="n"/>
      <c r="M120" s="14" t="n"/>
    </row>
    <row r="121">
      <c r="A121" s="14" t="n"/>
      <c r="B121" s="14" t="n"/>
      <c r="C121" s="14" t="n"/>
      <c r="D121" s="14" t="n"/>
      <c r="E121" s="14" t="n"/>
      <c r="F121" s="19" t="n"/>
      <c r="G121" s="14" t="n"/>
      <c r="H121" s="14" t="n"/>
      <c r="I121" s="18" t="n"/>
      <c r="J121" s="20" t="n"/>
      <c r="K121" s="18" t="n"/>
      <c r="L121" s="14" t="n"/>
      <c r="M121" s="14" t="n"/>
    </row>
    <row r="122">
      <c r="A122" s="14" t="n"/>
      <c r="B122" s="14" t="n"/>
      <c r="C122" s="14" t="n"/>
      <c r="D122" s="14" t="n"/>
      <c r="E122" s="14" t="n"/>
      <c r="F122" s="19" t="n"/>
      <c r="G122" s="14" t="n"/>
      <c r="H122" s="14" t="n"/>
      <c r="I122" s="18" t="n"/>
      <c r="J122" s="20" t="n"/>
      <c r="K122" s="18" t="n"/>
      <c r="L122" s="14" t="n"/>
      <c r="M122" s="14" t="n"/>
    </row>
    <row r="123">
      <c r="A123" s="14" t="n"/>
      <c r="B123" s="14" t="n"/>
      <c r="C123" s="14" t="n"/>
      <c r="D123" s="14" t="n"/>
      <c r="E123" s="14" t="n"/>
      <c r="F123" s="19" t="n"/>
      <c r="G123" s="14" t="n"/>
      <c r="H123" s="14" t="n"/>
      <c r="I123" s="18" t="n"/>
      <c r="J123" s="20" t="n"/>
      <c r="K123" s="18" t="n"/>
      <c r="L123" s="14" t="n"/>
      <c r="M123" s="14" t="n"/>
    </row>
    <row r="124">
      <c r="A124" s="14" t="n"/>
      <c r="B124" s="14" t="n"/>
      <c r="C124" s="14" t="n"/>
      <c r="D124" s="14" t="n"/>
      <c r="E124" s="14" t="n"/>
      <c r="F124" s="19" t="n"/>
      <c r="G124" s="14" t="n"/>
      <c r="H124" s="14" t="n"/>
      <c r="I124" s="18" t="n"/>
      <c r="J124" s="20" t="n"/>
      <c r="K124" s="18" t="n"/>
      <c r="L124" s="14" t="n"/>
      <c r="M124" s="14" t="n"/>
    </row>
    <row r="125">
      <c r="A125" s="14" t="n"/>
      <c r="B125" s="14" t="n"/>
      <c r="C125" s="14" t="n"/>
      <c r="D125" s="14" t="n"/>
      <c r="E125" s="14" t="n"/>
      <c r="F125" s="19" t="n"/>
      <c r="G125" s="14" t="n"/>
      <c r="H125" s="14" t="n"/>
      <c r="I125" s="18" t="n"/>
      <c r="J125" s="20" t="n"/>
      <c r="K125" s="18" t="n"/>
      <c r="L125" s="14" t="n"/>
      <c r="M125" s="14" t="n"/>
    </row>
    <row r="126">
      <c r="A126" s="14" t="n"/>
      <c r="B126" s="14" t="n"/>
      <c r="C126" s="14" t="n"/>
      <c r="D126" s="14" t="n"/>
      <c r="E126" s="14" t="n"/>
      <c r="F126" s="19" t="n"/>
      <c r="G126" s="14" t="n"/>
      <c r="H126" s="14" t="n"/>
      <c r="I126" s="18" t="n"/>
      <c r="J126" s="20" t="n"/>
      <c r="K126" s="18" t="n"/>
      <c r="L126" s="14" t="n"/>
      <c r="M126" s="14" t="n"/>
    </row>
    <row r="127">
      <c r="A127" s="14" t="n"/>
      <c r="B127" s="14" t="n"/>
      <c r="C127" s="14" t="n"/>
      <c r="D127" s="14" t="n"/>
      <c r="E127" s="14" t="n"/>
      <c r="F127" s="19" t="n"/>
      <c r="G127" s="14" t="n"/>
      <c r="H127" s="14" t="n"/>
      <c r="I127" s="18" t="n"/>
      <c r="J127" s="20" t="n"/>
      <c r="K127" s="18" t="n"/>
      <c r="L127" s="14" t="n"/>
      <c r="M127" s="14" t="n"/>
    </row>
    <row r="128">
      <c r="A128" s="14" t="n"/>
      <c r="B128" s="14" t="n"/>
      <c r="C128" s="14" t="n"/>
      <c r="D128" s="14" t="n"/>
      <c r="E128" s="14" t="n"/>
      <c r="F128" s="19" t="n"/>
      <c r="G128" s="14" t="n"/>
      <c r="H128" s="14" t="n"/>
      <c r="I128" s="18" t="n"/>
      <c r="J128" s="20" t="n"/>
      <c r="K128" s="18" t="n"/>
      <c r="L128" s="14" t="n"/>
      <c r="M128" s="14" t="n"/>
    </row>
    <row r="129">
      <c r="A129" s="14" t="n"/>
      <c r="B129" s="14" t="n"/>
      <c r="C129" s="14" t="n"/>
      <c r="D129" s="14" t="n"/>
      <c r="E129" s="14" t="n"/>
      <c r="F129" s="19" t="n"/>
      <c r="G129" s="14" t="n"/>
      <c r="H129" s="14" t="n"/>
      <c r="I129" s="18" t="n"/>
      <c r="J129" s="20" t="n"/>
      <c r="K129" s="18" t="n"/>
      <c r="L129" s="14" t="n"/>
      <c r="M129" s="14" t="n"/>
    </row>
    <row r="130">
      <c r="A130" s="14" t="n"/>
      <c r="B130" s="14" t="n"/>
      <c r="C130" s="14" t="n"/>
      <c r="D130" s="14" t="n"/>
      <c r="E130" s="14" t="n"/>
      <c r="F130" s="19" t="n"/>
      <c r="G130" s="14" t="n"/>
      <c r="H130" s="14" t="n"/>
      <c r="I130" s="18" t="n"/>
      <c r="J130" s="20" t="n"/>
      <c r="K130" s="18" t="n"/>
      <c r="L130" s="14" t="n"/>
      <c r="M130" s="14" t="n"/>
    </row>
    <row r="131">
      <c r="A131" s="14" t="n"/>
      <c r="B131" s="14" t="n"/>
      <c r="C131" s="14" t="n"/>
      <c r="D131" s="14" t="n"/>
      <c r="E131" s="14" t="n"/>
      <c r="F131" s="19" t="n"/>
      <c r="G131" s="14" t="n"/>
      <c r="H131" s="14" t="n"/>
      <c r="I131" s="18" t="n"/>
      <c r="J131" s="20" t="n"/>
      <c r="K131" s="18" t="n"/>
      <c r="L131" s="14" t="n"/>
      <c r="M131" s="14" t="n"/>
    </row>
    <row r="132">
      <c r="A132" s="14" t="n"/>
      <c r="B132" s="14" t="n"/>
      <c r="C132" s="14" t="n"/>
      <c r="D132" s="14" t="n"/>
      <c r="E132" s="14" t="n"/>
      <c r="F132" s="19" t="n"/>
      <c r="G132" s="14" t="n"/>
      <c r="H132" s="14" t="n"/>
      <c r="I132" s="18" t="n"/>
      <c r="J132" s="20" t="n"/>
      <c r="K132" s="18" t="n"/>
      <c r="L132" s="14" t="n"/>
      <c r="M132" s="14" t="n"/>
    </row>
    <row r="133">
      <c r="A133" s="14" t="n"/>
      <c r="B133" s="14" t="n"/>
      <c r="C133" s="14" t="n"/>
      <c r="D133" s="14" t="n"/>
      <c r="E133" s="14" t="n"/>
      <c r="F133" s="19" t="n"/>
      <c r="G133" s="14" t="n"/>
      <c r="H133" s="14" t="n"/>
      <c r="I133" s="18" t="n"/>
      <c r="J133" s="20" t="n"/>
      <c r="K133" s="18" t="n"/>
      <c r="L133" s="14" t="n"/>
      <c r="M133" s="14" t="n"/>
    </row>
    <row r="134">
      <c r="A134" s="14" t="n"/>
      <c r="B134" s="14" t="n"/>
      <c r="C134" s="14" t="n"/>
      <c r="D134" s="14" t="n"/>
      <c r="E134" s="14" t="n"/>
      <c r="F134" s="19" t="n"/>
      <c r="G134" s="14" t="n"/>
      <c r="H134" s="14" t="n"/>
      <c r="I134" s="18" t="n"/>
      <c r="J134" s="20" t="n"/>
      <c r="K134" s="18" t="n"/>
      <c r="L134" s="14" t="n"/>
      <c r="M134" s="14" t="n"/>
    </row>
    <row r="135">
      <c r="A135" s="14" t="n"/>
      <c r="B135" s="14" t="n"/>
      <c r="C135" s="14" t="n"/>
      <c r="D135" s="14" t="n"/>
      <c r="E135" s="14" t="n"/>
      <c r="F135" s="19" t="n"/>
      <c r="G135" s="14" t="n"/>
      <c r="H135" s="14" t="n"/>
      <c r="I135" s="18" t="n"/>
      <c r="J135" s="20" t="n"/>
      <c r="K135" s="18" t="n"/>
      <c r="L135" s="14" t="n"/>
      <c r="M135" s="14" t="n"/>
    </row>
    <row r="136">
      <c r="A136" s="14" t="n"/>
      <c r="B136" s="14" t="n"/>
      <c r="C136" s="14" t="n"/>
      <c r="D136" s="14" t="n"/>
      <c r="E136" s="14" t="n"/>
      <c r="F136" s="19" t="n"/>
      <c r="G136" s="14" t="n"/>
      <c r="H136" s="14" t="n"/>
      <c r="I136" s="18" t="n"/>
      <c r="J136" s="20" t="n"/>
      <c r="K136" s="18" t="n"/>
      <c r="L136" s="14" t="n"/>
      <c r="M136" s="14" t="n"/>
    </row>
    <row r="137">
      <c r="A137" s="14" t="n"/>
      <c r="B137" s="14" t="n"/>
      <c r="C137" s="14" t="n"/>
      <c r="D137" s="14" t="n"/>
      <c r="E137" s="14" t="n"/>
      <c r="F137" s="19" t="n"/>
      <c r="G137" s="14" t="n"/>
      <c r="H137" s="14" t="n"/>
      <c r="I137" s="18" t="n"/>
      <c r="J137" s="20" t="n"/>
      <c r="K137" s="18" t="n"/>
      <c r="L137" s="14" t="n"/>
      <c r="M137" s="14" t="n"/>
    </row>
    <row r="138">
      <c r="A138" s="14" t="n"/>
      <c r="B138" s="14" t="n"/>
      <c r="C138" s="14" t="n"/>
      <c r="D138" s="14" t="n"/>
      <c r="E138" s="14" t="n"/>
      <c r="F138" s="19" t="n"/>
      <c r="G138" s="14" t="n"/>
      <c r="H138" s="14" t="n"/>
      <c r="I138" s="18" t="n"/>
      <c r="J138" s="20" t="n"/>
      <c r="K138" s="18" t="n"/>
      <c r="L138" s="14" t="n"/>
      <c r="M138" s="14" t="n"/>
    </row>
    <row r="139">
      <c r="A139" s="14" t="n"/>
      <c r="B139" s="14" t="n"/>
      <c r="C139" s="14" t="n"/>
      <c r="D139" s="14" t="n"/>
      <c r="E139" s="14" t="n"/>
      <c r="F139" s="19" t="n"/>
      <c r="G139" s="14" t="n"/>
      <c r="H139" s="14" t="n"/>
      <c r="I139" s="18" t="n"/>
      <c r="J139" s="20" t="n"/>
      <c r="K139" s="18" t="n"/>
      <c r="L139" s="14" t="n"/>
      <c r="M139" s="14" t="n"/>
    </row>
    <row r="140">
      <c r="A140" s="14" t="n"/>
      <c r="B140" s="14" t="n"/>
      <c r="C140" s="14" t="n"/>
      <c r="D140" s="14" t="n"/>
      <c r="E140" s="14" t="n"/>
      <c r="F140" s="19" t="n"/>
      <c r="G140" s="14" t="n"/>
      <c r="H140" s="14" t="n"/>
      <c r="I140" s="18" t="n"/>
      <c r="J140" s="20" t="n"/>
      <c r="K140" s="18" t="n"/>
      <c r="L140" s="14" t="n"/>
      <c r="M140" s="14" t="n"/>
    </row>
    <row r="141">
      <c r="A141" s="14" t="n"/>
      <c r="B141" s="14" t="n"/>
      <c r="C141" s="14" t="n"/>
      <c r="D141" s="14" t="n"/>
      <c r="E141" s="14" t="n"/>
      <c r="F141" s="19" t="n"/>
      <c r="G141" s="14" t="n"/>
      <c r="H141" s="14" t="n"/>
      <c r="I141" s="18" t="n"/>
      <c r="J141" s="20" t="n"/>
      <c r="K141" s="18" t="n"/>
      <c r="L141" s="14" t="n"/>
      <c r="M141" s="14" t="n"/>
    </row>
    <row r="142">
      <c r="A142" s="14" t="n"/>
      <c r="B142" s="14" t="n"/>
      <c r="C142" s="14" t="n"/>
      <c r="D142" s="14" t="n"/>
      <c r="E142" s="14" t="n"/>
      <c r="F142" s="19" t="n"/>
      <c r="G142" s="14" t="n"/>
      <c r="H142" s="14" t="n"/>
      <c r="I142" s="18" t="n"/>
      <c r="J142" s="20" t="n"/>
      <c r="K142" s="18" t="n"/>
      <c r="L142" s="14" t="n"/>
      <c r="M142" s="14" t="n"/>
    </row>
    <row r="143">
      <c r="A143" s="14" t="n"/>
      <c r="B143" s="14" t="n"/>
      <c r="C143" s="14" t="n"/>
      <c r="D143" s="14" t="n"/>
      <c r="E143" s="14" t="n"/>
      <c r="F143" s="19" t="n"/>
      <c r="G143" s="14" t="n"/>
      <c r="H143" s="14" t="n"/>
      <c r="I143" s="18" t="n"/>
      <c r="J143" s="20" t="n"/>
      <c r="K143" s="18" t="n"/>
      <c r="L143" s="14" t="n"/>
      <c r="M143" s="14" t="n"/>
    </row>
    <row r="144">
      <c r="A144" s="14" t="n"/>
      <c r="B144" s="14" t="n"/>
      <c r="C144" s="14" t="n"/>
      <c r="D144" s="14" t="n"/>
      <c r="E144" s="14" t="n"/>
      <c r="F144" s="19" t="n"/>
      <c r="G144" s="14" t="n"/>
      <c r="H144" s="14" t="n"/>
      <c r="I144" s="18" t="n"/>
      <c r="J144" s="20" t="n"/>
      <c r="K144" s="18" t="n"/>
      <c r="L144" s="14" t="n"/>
      <c r="M144" s="14" t="n"/>
    </row>
    <row r="145">
      <c r="A145" s="14" t="n"/>
      <c r="B145" s="14" t="n"/>
      <c r="C145" s="14" t="n"/>
      <c r="D145" s="14" t="n"/>
      <c r="E145" s="14" t="n"/>
      <c r="F145" s="19" t="n"/>
      <c r="G145" s="14" t="n"/>
      <c r="H145" s="14" t="n"/>
      <c r="I145" s="18" t="n"/>
      <c r="J145" s="20" t="n"/>
      <c r="K145" s="18" t="n"/>
      <c r="L145" s="14" t="n"/>
      <c r="M145" s="14" t="n"/>
    </row>
    <row r="146">
      <c r="A146" s="14" t="n"/>
      <c r="B146" s="14" t="n"/>
      <c r="C146" s="14" t="n"/>
      <c r="D146" s="14" t="n"/>
      <c r="E146" s="14" t="n"/>
      <c r="F146" s="19" t="n"/>
      <c r="G146" s="14" t="n"/>
      <c r="H146" s="14" t="n"/>
      <c r="I146" s="18" t="n"/>
      <c r="J146" s="20" t="n"/>
      <c r="K146" s="18" t="n"/>
      <c r="L146" s="14" t="n"/>
      <c r="M146" s="14" t="n"/>
    </row>
    <row r="147">
      <c r="A147" s="14" t="n"/>
      <c r="B147" s="14" t="n"/>
      <c r="C147" s="14" t="n"/>
      <c r="D147" s="14" t="n"/>
      <c r="E147" s="14" t="n"/>
      <c r="F147" s="19" t="n"/>
      <c r="G147" s="14" t="n"/>
      <c r="H147" s="14" t="n"/>
      <c r="I147" s="18" t="n"/>
      <c r="J147" s="20" t="n"/>
      <c r="K147" s="18" t="n"/>
      <c r="L147" s="14" t="n"/>
      <c r="M147" s="14" t="n"/>
    </row>
    <row r="148">
      <c r="A148" s="14" t="n"/>
      <c r="B148" s="14" t="n"/>
      <c r="C148" s="14" t="n"/>
      <c r="D148" s="14" t="n"/>
      <c r="E148" s="14" t="n"/>
      <c r="F148" s="19" t="n"/>
      <c r="G148" s="14" t="n"/>
      <c r="H148" s="14" t="n"/>
      <c r="I148" s="18" t="n"/>
      <c r="J148" s="20" t="n"/>
      <c r="K148" s="18" t="n"/>
      <c r="L148" s="14" t="n"/>
      <c r="M148" s="14" t="n"/>
    </row>
    <row r="149">
      <c r="A149" s="14" t="n"/>
      <c r="B149" s="14" t="n"/>
      <c r="C149" s="14" t="n"/>
      <c r="D149" s="14" t="n"/>
      <c r="E149" s="14" t="n"/>
      <c r="F149" s="19" t="n"/>
      <c r="G149" s="14" t="n"/>
      <c r="H149" s="14" t="n"/>
      <c r="I149" s="18" t="n"/>
      <c r="J149" s="20" t="n"/>
      <c r="K149" s="18" t="n"/>
      <c r="L149" s="14" t="n"/>
      <c r="M149" s="14" t="n"/>
    </row>
    <row r="150">
      <c r="A150" s="14" t="n"/>
      <c r="B150" s="14" t="n"/>
      <c r="C150" s="14" t="n"/>
      <c r="D150" s="14" t="n"/>
      <c r="E150" s="14" t="n"/>
      <c r="F150" s="19" t="n"/>
      <c r="G150" s="14" t="n"/>
      <c r="H150" s="14" t="n"/>
      <c r="I150" s="18" t="n"/>
      <c r="J150" s="20" t="n"/>
      <c r="K150" s="18" t="n"/>
      <c r="L150" s="14" t="n"/>
      <c r="M150" s="14" t="n"/>
    </row>
    <row r="151">
      <c r="A151" s="14" t="n"/>
      <c r="B151" s="14" t="n"/>
      <c r="C151" s="14" t="n"/>
      <c r="D151" s="14" t="n"/>
      <c r="E151" s="14" t="n"/>
      <c r="F151" s="19" t="n"/>
      <c r="G151" s="14" t="n"/>
      <c r="H151" s="14" t="n"/>
      <c r="I151" s="18" t="n"/>
      <c r="J151" s="20" t="n"/>
      <c r="K151" s="18" t="n"/>
      <c r="L151" s="14" t="n"/>
      <c r="M151" s="14" t="n"/>
    </row>
    <row r="152">
      <c r="A152" s="14" t="n"/>
      <c r="B152" s="14" t="n"/>
      <c r="C152" s="14" t="n"/>
      <c r="D152" s="14" t="n"/>
      <c r="E152" s="14" t="n"/>
      <c r="F152" s="19" t="n"/>
      <c r="G152" s="14" t="n"/>
      <c r="H152" s="14" t="n"/>
      <c r="I152" s="18" t="n"/>
      <c r="J152" s="20" t="n"/>
      <c r="K152" s="18" t="n"/>
      <c r="L152" s="14" t="n"/>
      <c r="M152" s="14" t="n"/>
    </row>
    <row r="153">
      <c r="A153" s="14" t="n"/>
      <c r="B153" s="14" t="n"/>
      <c r="C153" s="14" t="n"/>
      <c r="D153" s="14" t="n"/>
      <c r="E153" s="14" t="n"/>
      <c r="F153" s="19" t="n"/>
      <c r="G153" s="14" t="n"/>
      <c r="H153" s="14" t="n"/>
      <c r="I153" s="18" t="n"/>
      <c r="J153" s="20" t="n"/>
      <c r="K153" s="18" t="n"/>
      <c r="L153" s="14" t="n"/>
      <c r="M153" s="14" t="n"/>
    </row>
    <row r="154">
      <c r="A154" s="14" t="n"/>
      <c r="B154" s="14" t="n"/>
      <c r="C154" s="14" t="n"/>
      <c r="D154" s="14" t="n"/>
      <c r="E154" s="14" t="n"/>
      <c r="F154" s="19" t="n"/>
      <c r="G154" s="14" t="n"/>
      <c r="H154" s="14" t="n"/>
      <c r="I154" s="18" t="n"/>
      <c r="J154" s="20" t="n"/>
      <c r="K154" s="18" t="n"/>
      <c r="L154" s="14" t="n"/>
      <c r="M154" s="14" t="n"/>
    </row>
    <row r="155">
      <c r="A155" s="14" t="n"/>
      <c r="B155" s="14" t="n"/>
      <c r="C155" s="14" t="n"/>
      <c r="D155" s="14" t="n"/>
      <c r="E155" s="14" t="n"/>
      <c r="F155" s="19" t="n"/>
      <c r="G155" s="14" t="n"/>
      <c r="H155" s="14" t="n"/>
      <c r="I155" s="18" t="n"/>
      <c r="J155" s="20" t="n"/>
      <c r="K155" s="18" t="n"/>
      <c r="L155" s="14" t="n"/>
      <c r="M155" s="14" t="n"/>
    </row>
    <row r="156">
      <c r="A156" s="14" t="n"/>
      <c r="B156" s="14" t="n"/>
      <c r="C156" s="14" t="n"/>
      <c r="D156" s="14" t="n"/>
      <c r="E156" s="14" t="n"/>
      <c r="F156" s="19" t="n"/>
      <c r="G156" s="14" t="n"/>
      <c r="H156" s="14" t="n"/>
      <c r="I156" s="18" t="n"/>
      <c r="J156" s="20" t="n"/>
      <c r="K156" s="18" t="n"/>
      <c r="L156" s="14" t="n"/>
      <c r="M156" s="14" t="n"/>
    </row>
    <row r="157">
      <c r="A157" s="14" t="n"/>
      <c r="B157" s="14" t="n"/>
      <c r="C157" s="14" t="n"/>
      <c r="D157" s="14" t="n"/>
      <c r="E157" s="14" t="n"/>
      <c r="F157" s="19" t="n"/>
      <c r="G157" s="14" t="n"/>
      <c r="H157" s="14" t="n"/>
      <c r="I157" s="18" t="n"/>
      <c r="J157" s="20" t="n"/>
      <c r="K157" s="18" t="n"/>
      <c r="L157" s="14" t="n"/>
      <c r="M157" s="14" t="n"/>
    </row>
    <row r="158">
      <c r="A158" s="14" t="n"/>
      <c r="B158" s="14" t="n"/>
      <c r="C158" s="14" t="n"/>
      <c r="D158" s="14" t="n"/>
      <c r="E158" s="14" t="n"/>
      <c r="F158" s="19" t="n"/>
      <c r="G158" s="14" t="n"/>
      <c r="H158" s="14" t="n"/>
      <c r="I158" s="18" t="n"/>
      <c r="J158" s="20" t="n"/>
      <c r="K158" s="18" t="n"/>
      <c r="L158" s="14" t="n"/>
      <c r="M158" s="14" t="n"/>
    </row>
    <row r="159">
      <c r="A159" s="14" t="n"/>
      <c r="B159" s="14" t="n"/>
      <c r="C159" s="14" t="n"/>
      <c r="D159" s="14" t="n"/>
      <c r="E159" s="14" t="n"/>
      <c r="F159" s="19" t="n"/>
      <c r="G159" s="14" t="n"/>
      <c r="H159" s="14" t="n"/>
      <c r="I159" s="18" t="n"/>
      <c r="J159" s="20" t="n"/>
      <c r="K159" s="18" t="n"/>
      <c r="L159" s="14" t="n"/>
      <c r="M159" s="14" t="n"/>
    </row>
    <row r="160">
      <c r="A160" s="14" t="n"/>
      <c r="B160" s="14" t="n"/>
      <c r="C160" s="14" t="n"/>
      <c r="D160" s="14" t="n"/>
      <c r="E160" s="14" t="n"/>
      <c r="F160" s="19" t="n"/>
      <c r="G160" s="14" t="n"/>
      <c r="H160" s="14" t="n"/>
      <c r="I160" s="18" t="n"/>
      <c r="J160" s="20" t="n"/>
      <c r="K160" s="18" t="n"/>
      <c r="L160" s="14" t="n"/>
      <c r="M160" s="14" t="n"/>
    </row>
    <row r="161">
      <c r="A161" s="14" t="n"/>
      <c r="B161" s="14" t="n"/>
      <c r="C161" s="14" t="n"/>
      <c r="D161" s="14" t="n"/>
      <c r="E161" s="14" t="n"/>
      <c r="F161" s="19" t="n"/>
      <c r="G161" s="14" t="n"/>
      <c r="H161" s="14" t="n"/>
      <c r="I161" s="18" t="n"/>
      <c r="J161" s="20" t="n"/>
      <c r="K161" s="18" t="n"/>
      <c r="L161" s="14" t="n"/>
      <c r="M161" s="14" t="n"/>
    </row>
    <row r="162">
      <c r="A162" s="14" t="n"/>
      <c r="B162" s="14" t="n"/>
      <c r="C162" s="14" t="n"/>
      <c r="D162" s="14" t="n"/>
      <c r="E162" s="14" t="n"/>
      <c r="F162" s="19" t="n"/>
      <c r="G162" s="14" t="n"/>
      <c r="H162" s="14" t="n"/>
      <c r="I162" s="18" t="n"/>
      <c r="J162" s="20" t="n"/>
      <c r="K162" s="18" t="n"/>
      <c r="L162" s="14" t="n"/>
      <c r="M162" s="14" t="n"/>
    </row>
    <row r="163">
      <c r="A163" s="14" t="n"/>
      <c r="B163" s="14" t="n"/>
      <c r="C163" s="14" t="n"/>
      <c r="D163" s="14" t="n"/>
      <c r="E163" s="14" t="n"/>
      <c r="F163" s="19" t="n"/>
      <c r="G163" s="14" t="n"/>
      <c r="H163" s="14" t="n"/>
      <c r="I163" s="18" t="n"/>
      <c r="J163" s="20" t="n"/>
      <c r="K163" s="18" t="n"/>
      <c r="L163" s="14" t="n"/>
      <c r="M163" s="14" t="n"/>
    </row>
    <row r="164">
      <c r="A164" s="14" t="n"/>
      <c r="B164" s="14" t="n"/>
      <c r="C164" s="14" t="n"/>
      <c r="D164" s="14" t="n"/>
      <c r="E164" s="14" t="n"/>
      <c r="F164" s="19" t="n"/>
      <c r="G164" s="14" t="n"/>
      <c r="H164" s="14" t="n"/>
      <c r="I164" s="18" t="n"/>
      <c r="J164" s="20" t="n"/>
      <c r="K164" s="18" t="n"/>
      <c r="L164" s="14" t="n"/>
      <c r="M164" s="14" t="n"/>
    </row>
    <row r="165">
      <c r="A165" s="14" t="n"/>
      <c r="B165" s="14" t="n"/>
      <c r="C165" s="14" t="n"/>
      <c r="D165" s="14" t="n"/>
      <c r="E165" s="14" t="n"/>
      <c r="F165" s="19" t="n"/>
      <c r="G165" s="14" t="n"/>
      <c r="H165" s="14" t="n"/>
      <c r="I165" s="18" t="n"/>
      <c r="J165" s="20" t="n"/>
      <c r="K165" s="18" t="n"/>
      <c r="L165" s="14" t="n"/>
      <c r="M165" s="14" t="n"/>
    </row>
    <row r="166">
      <c r="A166" s="14" t="n"/>
      <c r="B166" s="14" t="n"/>
      <c r="C166" s="14" t="n"/>
      <c r="D166" s="14" t="n"/>
      <c r="E166" s="14" t="n"/>
      <c r="F166" s="19" t="n"/>
      <c r="G166" s="14" t="n"/>
      <c r="H166" s="14" t="n"/>
      <c r="I166" s="18" t="n"/>
      <c r="J166" s="20" t="n"/>
      <c r="K166" s="18" t="n"/>
      <c r="L166" s="14" t="n"/>
      <c r="M166" s="14" t="n"/>
    </row>
    <row r="167">
      <c r="A167" s="14" t="n"/>
      <c r="B167" s="14" t="n"/>
      <c r="C167" s="14" t="n"/>
      <c r="D167" s="14" t="n"/>
      <c r="E167" s="14" t="n"/>
      <c r="F167" s="19" t="n"/>
      <c r="G167" s="14" t="n"/>
      <c r="H167" s="14" t="n"/>
      <c r="I167" s="18" t="n"/>
      <c r="J167" s="20" t="n"/>
      <c r="K167" s="18" t="n"/>
      <c r="L167" s="14" t="n"/>
      <c r="M167" s="14" t="n"/>
    </row>
    <row r="168">
      <c r="A168" s="14" t="n"/>
      <c r="B168" s="14" t="n"/>
      <c r="C168" s="14" t="n"/>
      <c r="D168" s="14" t="n"/>
      <c r="E168" s="14" t="n"/>
      <c r="F168" s="19" t="n"/>
      <c r="G168" s="14" t="n"/>
      <c r="H168" s="14" t="n"/>
      <c r="I168" s="18" t="n"/>
      <c r="J168" s="20" t="n"/>
      <c r="K168" s="18" t="n"/>
      <c r="L168" s="14" t="n"/>
      <c r="M168" s="14" t="n"/>
    </row>
    <row r="169">
      <c r="A169" s="14" t="n"/>
      <c r="B169" s="14" t="n"/>
      <c r="C169" s="14" t="n"/>
      <c r="D169" s="14" t="n"/>
      <c r="E169" s="14" t="n"/>
      <c r="F169" s="19" t="n"/>
      <c r="G169" s="14" t="n"/>
      <c r="H169" s="14" t="n"/>
      <c r="I169" s="18" t="n"/>
      <c r="J169" s="20" t="n"/>
      <c r="K169" s="18" t="n"/>
      <c r="L169" s="14" t="n"/>
      <c r="M169" s="14" t="n"/>
    </row>
    <row r="170">
      <c r="A170" s="14" t="n"/>
      <c r="B170" s="14" t="n"/>
      <c r="C170" s="14" t="n"/>
      <c r="D170" s="14" t="n"/>
      <c r="E170" s="14" t="n"/>
      <c r="F170" s="19" t="n"/>
      <c r="G170" s="14" t="n"/>
      <c r="H170" s="14" t="n"/>
      <c r="I170" s="18" t="n"/>
      <c r="J170" s="20" t="n"/>
      <c r="K170" s="18" t="n"/>
      <c r="L170" s="14" t="n"/>
      <c r="M170" s="14" t="n"/>
    </row>
    <row r="171">
      <c r="A171" s="14" t="n"/>
      <c r="B171" s="14" t="n"/>
      <c r="C171" s="14" t="n"/>
      <c r="D171" s="14" t="n"/>
      <c r="E171" s="14" t="n"/>
      <c r="F171" s="19" t="n"/>
      <c r="G171" s="14" t="n"/>
      <c r="H171" s="14" t="n"/>
      <c r="I171" s="18" t="n"/>
      <c r="J171" s="20" t="n"/>
      <c r="K171" s="18" t="n"/>
      <c r="L171" s="14" t="n"/>
      <c r="M171" s="14" t="n"/>
    </row>
    <row r="172">
      <c r="A172" s="14" t="n"/>
      <c r="B172" s="14" t="n"/>
      <c r="C172" s="14" t="n"/>
      <c r="D172" s="14" t="n"/>
      <c r="E172" s="14" t="n"/>
      <c r="F172" s="19" t="n"/>
      <c r="G172" s="14" t="n"/>
      <c r="H172" s="14" t="n"/>
      <c r="I172" s="18" t="n"/>
      <c r="J172" s="20" t="n"/>
      <c r="K172" s="18" t="n"/>
      <c r="L172" s="14" t="n"/>
      <c r="M172" s="14" t="n"/>
    </row>
    <row r="173">
      <c r="A173" s="14" t="n"/>
      <c r="B173" s="14" t="n"/>
      <c r="C173" s="14" t="n"/>
      <c r="D173" s="14" t="n"/>
      <c r="E173" s="14" t="n"/>
      <c r="F173" s="19" t="n"/>
      <c r="G173" s="14" t="n"/>
      <c r="H173" s="14" t="n"/>
      <c r="I173" s="18" t="n"/>
      <c r="J173" s="20" t="n"/>
      <c r="K173" s="18" t="n"/>
      <c r="L173" s="14" t="n"/>
      <c r="M173" s="14" t="n"/>
    </row>
    <row r="174">
      <c r="A174" s="14" t="n"/>
      <c r="B174" s="14" t="n"/>
      <c r="C174" s="14" t="n"/>
      <c r="D174" s="14" t="n"/>
      <c r="E174" s="14" t="n"/>
      <c r="F174" s="19" t="n"/>
      <c r="G174" s="14" t="n"/>
      <c r="H174" s="14" t="n"/>
      <c r="I174" s="18" t="n"/>
      <c r="J174" s="20" t="n"/>
      <c r="K174" s="18" t="n"/>
      <c r="L174" s="14" t="n"/>
      <c r="M174" s="14" t="n"/>
    </row>
    <row r="175">
      <c r="A175" s="14" t="n"/>
      <c r="B175" s="14" t="n"/>
      <c r="C175" s="14" t="n"/>
      <c r="D175" s="14" t="n"/>
      <c r="E175" s="14" t="n"/>
      <c r="F175" s="19" t="n"/>
      <c r="G175" s="14" t="n"/>
      <c r="H175" s="14" t="n"/>
      <c r="I175" s="18" t="n"/>
      <c r="J175" s="20" t="n"/>
      <c r="K175" s="18" t="n"/>
      <c r="L175" s="14" t="n"/>
      <c r="M175" s="14" t="n"/>
    </row>
    <row r="176">
      <c r="A176" s="14" t="n"/>
      <c r="B176" s="14" t="n"/>
      <c r="C176" s="14" t="n"/>
      <c r="D176" s="14" t="n"/>
      <c r="E176" s="14" t="n"/>
      <c r="F176" s="19" t="n"/>
      <c r="G176" s="14" t="n"/>
      <c r="H176" s="14" t="n"/>
      <c r="I176" s="18" t="n"/>
      <c r="J176" s="20" t="n"/>
      <c r="K176" s="18" t="n"/>
      <c r="L176" s="14" t="n"/>
      <c r="M176" s="14" t="n"/>
    </row>
    <row r="177">
      <c r="A177" s="14" t="n"/>
      <c r="B177" s="14" t="n"/>
      <c r="C177" s="14" t="n"/>
      <c r="D177" s="14" t="n"/>
      <c r="E177" s="14" t="n"/>
      <c r="F177" s="19" t="n"/>
      <c r="G177" s="14" t="n"/>
      <c r="H177" s="14" t="n"/>
      <c r="I177" s="18" t="n"/>
      <c r="J177" s="20" t="n"/>
      <c r="K177" s="18" t="n"/>
      <c r="L177" s="14" t="n"/>
      <c r="M177" s="14" t="n"/>
    </row>
    <row r="178">
      <c r="A178" s="14" t="n"/>
      <c r="B178" s="14" t="n"/>
      <c r="C178" s="14" t="n"/>
      <c r="D178" s="14" t="n"/>
      <c r="E178" s="14" t="n"/>
      <c r="F178" s="19" t="n"/>
      <c r="G178" s="14" t="n"/>
      <c r="H178" s="14" t="n"/>
      <c r="I178" s="18" t="n"/>
      <c r="J178" s="20" t="n"/>
      <c r="K178" s="18" t="n"/>
      <c r="L178" s="14" t="n"/>
      <c r="M178" s="14" t="n"/>
    </row>
    <row r="179">
      <c r="A179" s="14" t="n"/>
      <c r="B179" s="14" t="n"/>
      <c r="C179" s="14" t="n"/>
      <c r="D179" s="14" t="n"/>
      <c r="E179" s="14" t="n"/>
      <c r="F179" s="19" t="n"/>
      <c r="G179" s="14" t="n"/>
      <c r="H179" s="14" t="n"/>
      <c r="I179" s="18" t="n"/>
      <c r="J179" s="20" t="n"/>
      <c r="K179" s="18" t="n"/>
      <c r="L179" s="14" t="n"/>
      <c r="M179" s="14" t="n"/>
    </row>
    <row r="180">
      <c r="A180" s="14" t="n"/>
      <c r="B180" s="14" t="n"/>
      <c r="C180" s="14" t="n"/>
      <c r="D180" s="14" t="n"/>
      <c r="E180" s="14" t="n"/>
      <c r="F180" s="19" t="n"/>
      <c r="G180" s="14" t="n"/>
      <c r="H180" s="14" t="n"/>
      <c r="I180" s="18" t="n"/>
      <c r="J180" s="20" t="n"/>
      <c r="K180" s="18" t="n"/>
      <c r="L180" s="14" t="n"/>
      <c r="M180" s="14" t="n"/>
    </row>
    <row r="181">
      <c r="A181" s="14" t="n"/>
      <c r="B181" s="14" t="n"/>
      <c r="C181" s="14" t="n"/>
      <c r="D181" s="14" t="n"/>
      <c r="E181" s="14" t="n"/>
      <c r="F181" s="19" t="n"/>
      <c r="G181" s="14" t="n"/>
      <c r="H181" s="14" t="n"/>
      <c r="I181" s="18" t="n"/>
      <c r="J181" s="20" t="n"/>
      <c r="K181" s="18" t="n"/>
      <c r="L181" s="14" t="n"/>
      <c r="M181" s="14" t="n"/>
    </row>
    <row r="182">
      <c r="A182" s="14" t="n"/>
      <c r="B182" s="14" t="n"/>
      <c r="C182" s="14" t="n"/>
      <c r="D182" s="14" t="n"/>
      <c r="E182" s="14" t="n"/>
      <c r="F182" s="19" t="n"/>
      <c r="G182" s="14" t="n"/>
      <c r="H182" s="14" t="n"/>
      <c r="I182" s="18" t="n"/>
      <c r="J182" s="20" t="n"/>
      <c r="K182" s="18" t="n"/>
      <c r="L182" s="14" t="n"/>
      <c r="M182" s="14" t="n"/>
    </row>
    <row r="183">
      <c r="A183" s="14" t="n"/>
      <c r="B183" s="14" t="n"/>
      <c r="C183" s="14" t="n"/>
      <c r="D183" s="14" t="n"/>
      <c r="E183" s="14" t="n"/>
      <c r="F183" s="19" t="n"/>
      <c r="G183" s="14" t="n"/>
      <c r="H183" s="14" t="n"/>
      <c r="I183" s="18" t="n"/>
      <c r="J183" s="20" t="n"/>
      <c r="K183" s="18" t="n"/>
      <c r="L183" s="14" t="n"/>
      <c r="M183" s="14" t="n"/>
    </row>
    <row r="184">
      <c r="A184" s="14" t="n"/>
      <c r="B184" s="14" t="n"/>
      <c r="C184" s="14" t="n"/>
      <c r="D184" s="14" t="n"/>
      <c r="E184" s="14" t="n"/>
      <c r="F184" s="19" t="n"/>
      <c r="G184" s="14" t="n"/>
      <c r="H184" s="14" t="n"/>
      <c r="I184" s="18" t="n"/>
      <c r="J184" s="20" t="n"/>
      <c r="K184" s="18" t="n"/>
      <c r="L184" s="14" t="n"/>
      <c r="M184" s="14" t="n"/>
    </row>
    <row r="185">
      <c r="A185" s="14" t="n"/>
      <c r="B185" s="14" t="n"/>
      <c r="C185" s="14" t="n"/>
      <c r="D185" s="14" t="n"/>
      <c r="E185" s="14" t="n"/>
      <c r="F185" s="19" t="n"/>
      <c r="G185" s="14" t="n"/>
      <c r="H185" s="14" t="n"/>
      <c r="I185" s="18" t="n"/>
      <c r="J185" s="20" t="n"/>
      <c r="K185" s="18" t="n"/>
      <c r="L185" s="14" t="n"/>
      <c r="M185" s="14" t="n"/>
    </row>
    <row r="186">
      <c r="A186" s="14" t="n"/>
      <c r="B186" s="14" t="n"/>
      <c r="C186" s="14" t="n"/>
      <c r="D186" s="14" t="n"/>
      <c r="E186" s="14" t="n"/>
      <c r="F186" s="19" t="n"/>
      <c r="G186" s="14" t="n"/>
      <c r="H186" s="14" t="n"/>
      <c r="I186" s="18" t="n"/>
      <c r="J186" s="20" t="n"/>
      <c r="K186" s="18" t="n"/>
      <c r="L186" s="14" t="n"/>
      <c r="M186" s="14" t="n"/>
    </row>
    <row r="187">
      <c r="A187" s="14" t="n"/>
      <c r="B187" s="14" t="n"/>
      <c r="C187" s="14" t="n"/>
      <c r="D187" s="14" t="n"/>
      <c r="E187" s="14" t="n"/>
      <c r="F187" s="19" t="n"/>
      <c r="G187" s="14" t="n"/>
      <c r="H187" s="14" t="n"/>
      <c r="I187" s="18" t="n"/>
      <c r="J187" s="20" t="n"/>
      <c r="K187" s="18" t="n"/>
      <c r="L187" s="14" t="n"/>
      <c r="M187" s="14" t="n"/>
    </row>
    <row r="188">
      <c r="A188" s="14" t="n"/>
      <c r="B188" s="14" t="n"/>
      <c r="C188" s="14" t="n"/>
      <c r="D188" s="14" t="n"/>
      <c r="E188" s="14" t="n"/>
      <c r="F188" s="19" t="n"/>
      <c r="G188" s="14" t="n"/>
      <c r="H188" s="14" t="n"/>
      <c r="I188" s="18" t="n"/>
      <c r="J188" s="20" t="n"/>
      <c r="K188" s="18" t="n"/>
      <c r="L188" s="14" t="n"/>
      <c r="M188" s="14" t="n"/>
    </row>
    <row r="189">
      <c r="A189" s="14" t="n"/>
      <c r="B189" s="14" t="n"/>
      <c r="C189" s="14" t="n"/>
      <c r="D189" s="14" t="n"/>
      <c r="E189" s="14" t="n"/>
      <c r="F189" s="19" t="n"/>
      <c r="G189" s="14" t="n"/>
      <c r="H189" s="14" t="n"/>
      <c r="I189" s="18" t="n"/>
      <c r="J189" s="20" t="n"/>
      <c r="K189" s="18" t="n"/>
      <c r="L189" s="14" t="n"/>
      <c r="M189" s="14" t="n"/>
    </row>
    <row r="190">
      <c r="A190" s="14" t="n"/>
      <c r="B190" s="14" t="n"/>
      <c r="C190" s="14" t="n"/>
      <c r="D190" s="14" t="n"/>
      <c r="E190" s="14" t="n"/>
      <c r="F190" s="19" t="n"/>
      <c r="G190" s="14" t="n"/>
      <c r="H190" s="14" t="n"/>
      <c r="I190" s="18" t="n"/>
      <c r="J190" s="20" t="n"/>
      <c r="K190" s="18" t="n"/>
      <c r="L190" s="14" t="n"/>
      <c r="M190" s="14" t="n"/>
    </row>
    <row r="191">
      <c r="A191" s="14" t="n"/>
      <c r="B191" s="14" t="n"/>
      <c r="C191" s="14" t="n"/>
      <c r="D191" s="14" t="n"/>
      <c r="E191" s="14" t="n"/>
      <c r="F191" s="19" t="n"/>
      <c r="G191" s="14" t="n"/>
      <c r="H191" s="14" t="n"/>
      <c r="I191" s="18" t="n"/>
      <c r="J191" s="20" t="n"/>
      <c r="K191" s="18" t="n"/>
      <c r="L191" s="14" t="n"/>
      <c r="M191" s="14" t="n"/>
    </row>
    <row r="192">
      <c r="A192" s="14" t="n"/>
      <c r="B192" s="14" t="n"/>
      <c r="C192" s="14" t="n"/>
      <c r="D192" s="14" t="n"/>
      <c r="E192" s="14" t="n"/>
      <c r="F192" s="19" t="n"/>
      <c r="G192" s="14" t="n"/>
      <c r="H192" s="14" t="n"/>
      <c r="I192" s="18" t="n"/>
      <c r="J192" s="20" t="n"/>
      <c r="K192" s="18" t="n"/>
      <c r="L192" s="14" t="n"/>
      <c r="M192" s="14" t="n"/>
    </row>
    <row r="193">
      <c r="A193" s="14" t="n"/>
      <c r="B193" s="14" t="n"/>
      <c r="C193" s="14" t="n"/>
      <c r="D193" s="14" t="n"/>
      <c r="E193" s="14" t="n"/>
      <c r="F193" s="19" t="n"/>
      <c r="G193" s="14" t="n"/>
      <c r="H193" s="14" t="n"/>
      <c r="I193" s="18" t="n"/>
      <c r="J193" s="20" t="n"/>
      <c r="K193" s="18" t="n"/>
      <c r="L193" s="14" t="n"/>
      <c r="M193" s="14" t="n"/>
    </row>
    <row r="194">
      <c r="A194" s="14" t="n"/>
      <c r="B194" s="14" t="n"/>
      <c r="C194" s="14" t="n"/>
      <c r="D194" s="14" t="n"/>
      <c r="E194" s="14" t="n"/>
      <c r="F194" s="19" t="n"/>
      <c r="G194" s="14" t="n"/>
      <c r="H194" s="14" t="n"/>
      <c r="I194" s="18" t="n"/>
      <c r="J194" s="20" t="n"/>
      <c r="K194" s="18" t="n"/>
      <c r="L194" s="14" t="n"/>
      <c r="M194" s="14" t="n"/>
    </row>
    <row r="195">
      <c r="A195" s="14" t="n"/>
      <c r="B195" s="14" t="n"/>
      <c r="C195" s="14" t="n"/>
      <c r="D195" s="14" t="n"/>
      <c r="E195" s="14" t="n"/>
      <c r="F195" s="19" t="n"/>
      <c r="G195" s="14" t="n"/>
      <c r="H195" s="14" t="n"/>
      <c r="I195" s="18" t="n"/>
      <c r="J195" s="20" t="n"/>
      <c r="K195" s="18" t="n"/>
      <c r="L195" s="14" t="n"/>
      <c r="M195" s="14" t="n"/>
    </row>
    <row r="196">
      <c r="A196" s="14" t="n"/>
      <c r="B196" s="14" t="n"/>
      <c r="C196" s="14" t="n"/>
      <c r="D196" s="14" t="n"/>
      <c r="E196" s="14" t="n"/>
      <c r="F196" s="19" t="n"/>
      <c r="G196" s="14" t="n"/>
      <c r="H196" s="14" t="n"/>
      <c r="I196" s="18" t="n"/>
      <c r="J196" s="20" t="n"/>
      <c r="K196" s="18" t="n"/>
      <c r="L196" s="14" t="n"/>
      <c r="M196" s="14" t="n"/>
    </row>
    <row r="197">
      <c r="A197" s="14" t="n"/>
      <c r="B197" s="14" t="n"/>
      <c r="C197" s="14" t="n"/>
      <c r="D197" s="14" t="n"/>
      <c r="E197" s="14" t="n"/>
      <c r="F197" s="19" t="n"/>
      <c r="G197" s="14" t="n"/>
      <c r="H197" s="14" t="n"/>
      <c r="I197" s="18" t="n"/>
      <c r="J197" s="20" t="n"/>
      <c r="K197" s="18" t="n"/>
      <c r="L197" s="14" t="n"/>
      <c r="M197" s="14" t="n"/>
    </row>
    <row r="198">
      <c r="A198" s="14" t="n"/>
      <c r="B198" s="14" t="n"/>
      <c r="C198" s="14" t="n"/>
      <c r="D198" s="14" t="n"/>
      <c r="E198" s="14" t="n"/>
      <c r="F198" s="19" t="n"/>
      <c r="G198" s="14" t="n"/>
      <c r="H198" s="14" t="n"/>
      <c r="I198" s="18" t="n"/>
      <c r="J198" s="20" t="n"/>
      <c r="K198" s="18" t="n"/>
      <c r="L198" s="14" t="n"/>
      <c r="M198" s="14" t="n"/>
    </row>
    <row r="199">
      <c r="A199" s="14" t="n"/>
      <c r="B199" s="14" t="n"/>
      <c r="C199" s="14" t="n"/>
      <c r="D199" s="14" t="n"/>
      <c r="E199" s="14" t="n"/>
      <c r="F199" s="19" t="n"/>
      <c r="G199" s="14" t="n"/>
      <c r="H199" s="14" t="n"/>
      <c r="I199" s="18" t="n"/>
      <c r="J199" s="20" t="n"/>
      <c r="K199" s="18" t="n"/>
      <c r="L199" s="14" t="n"/>
      <c r="M199" s="14" t="n"/>
    </row>
    <row r="200">
      <c r="A200" s="14" t="n"/>
      <c r="B200" s="14" t="n"/>
      <c r="C200" s="14" t="n"/>
      <c r="D200" s="14" t="n"/>
      <c r="E200" s="14" t="n"/>
      <c r="F200" s="19" t="n"/>
      <c r="G200" s="14" t="n"/>
      <c r="H200" s="14" t="n"/>
      <c r="I200" s="18" t="n"/>
      <c r="J200" s="20" t="n"/>
      <c r="K200" s="18" t="n"/>
      <c r="L200" s="14" t="n"/>
      <c r="M200" s="14" t="n"/>
    </row>
    <row r="201">
      <c r="A201" s="14" t="n"/>
      <c r="B201" s="14" t="n"/>
      <c r="C201" s="14" t="n"/>
      <c r="D201" s="14" t="n"/>
      <c r="E201" s="14" t="n"/>
      <c r="F201" s="19" t="n"/>
      <c r="G201" s="14" t="n"/>
      <c r="H201" s="14" t="n"/>
      <c r="I201" s="18" t="n"/>
      <c r="J201" s="20" t="n"/>
      <c r="K201" s="18" t="n"/>
      <c r="L201" s="14" t="n"/>
      <c r="M201" s="14" t="n"/>
    </row>
    <row r="202">
      <c r="A202" s="14" t="n"/>
      <c r="B202" s="14" t="n"/>
      <c r="C202" s="14" t="n"/>
      <c r="D202" s="14" t="n"/>
      <c r="E202" s="14" t="n"/>
      <c r="F202" s="19" t="n"/>
      <c r="G202" s="14" t="n"/>
      <c r="H202" s="14" t="n"/>
      <c r="I202" s="18" t="n"/>
      <c r="J202" s="20" t="n"/>
      <c r="K202" s="18" t="n"/>
      <c r="L202" s="14" t="n"/>
      <c r="M202" s="14" t="n"/>
    </row>
    <row r="203">
      <c r="A203" s="14" t="n"/>
      <c r="B203" s="14" t="n"/>
      <c r="C203" s="14" t="n"/>
      <c r="D203" s="14" t="n"/>
      <c r="E203" s="14" t="n"/>
      <c r="F203" s="19" t="n"/>
      <c r="G203" s="14" t="n"/>
      <c r="H203" s="14" t="n"/>
      <c r="I203" s="18" t="n"/>
      <c r="J203" s="20" t="n"/>
      <c r="K203" s="18" t="n"/>
      <c r="L203" s="14" t="n"/>
      <c r="M203" s="14" t="n"/>
    </row>
    <row r="204">
      <c r="A204" s="14" t="n"/>
      <c r="B204" s="14" t="n"/>
      <c r="C204" s="14" t="n"/>
      <c r="D204" s="14" t="n"/>
      <c r="E204" s="14" t="n"/>
      <c r="F204" s="19" t="n"/>
      <c r="G204" s="14" t="n"/>
      <c r="H204" s="14" t="n"/>
      <c r="I204" s="18" t="n"/>
      <c r="J204" s="20" t="n"/>
      <c r="K204" s="18" t="n"/>
      <c r="L204" s="14" t="n"/>
      <c r="M204" s="14" t="n"/>
    </row>
  </sheetData>
  <autoFilter ref="A4:M204"/>
  <dataValidations count="3">
    <dataValidation sqref="F5:F205" showDropDown="0" showInputMessage="0" showErrorMessage="1" allowBlank="1" error="Enter a date (YYYY-MM-DD)" type="date" operator="greaterThan">
      <formula1>DATE(2000,1,1)</formula1>
    </dataValidation>
    <dataValidation sqref="G5:G205" showDropDown="0" showInputMessage="0" showErrorMessage="1" allowBlank="1" type="list">
      <formula1>Lists!$F$1:$F$5</formula1>
    </dataValidation>
    <dataValidation sqref="H5:H205" showDropDown="0" showInputMessage="0" showErrorMessage="1" allowBlank="1" type="list">
      <formula1>Lists!$G$1:$G$3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0"/>
    <pageSetUpPr/>
  </sheetPr>
  <dimension ref="A1:W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4" customWidth="1" min="4" max="4"/>
    <col width="16" customWidth="1" min="5" max="5"/>
    <col width="7" customWidth="1" min="6" max="6"/>
    <col width="12" customWidth="1" min="7" max="7"/>
    <col width="12" customWidth="1" min="8" max="8"/>
    <col width="20" customWidth="1" min="9" max="9"/>
    <col width="8" customWidth="1" min="10" max="10"/>
    <col width="8" customWidth="1" min="11" max="11"/>
    <col width="20" customWidth="1" min="12" max="12"/>
    <col width="14" customWidth="1" min="13" max="13"/>
    <col width="10" customWidth="1" min="14" max="14"/>
    <col width="10" customWidth="1" min="15" max="15"/>
    <col width="20" customWidth="1" min="16" max="16"/>
    <col width="14" customWidth="1" min="17" max="17"/>
    <col width="18" customWidth="1" min="18" max="18"/>
    <col width="14" customWidth="1" min="19" max="19"/>
    <col width="14" customWidth="1" min="20" max="20"/>
    <col width="16" customWidth="1" min="21" max="21"/>
    <col width="12" customWidth="1" min="22" max="22"/>
    <col width="26" customWidth="1" min="23" max="23"/>
  </cols>
  <sheetData>
    <row r="1" ht="24" customHeight="1">
      <c r="A1" s="8" t="inlineStr">
        <is>
          <t>BEYOND DESIGN | PARTIES</t>
        </is>
      </c>
    </row>
    <row r="2">
      <c r="A2" s="9" t="inlineStr">
        <is>
          <t>Customers &amp; suppliers master — tax registration numbers and addresses are needed for e-invoices</t>
        </is>
      </c>
    </row>
    <row r="3">
      <c r="A3" s="10" t="inlineStr">
        <is>
          <t>e.g. Palm Hills Developments</t>
        </is>
      </c>
      <c r="B3" s="10" t="inlineStr">
        <is>
          <t>customer</t>
        </is>
      </c>
      <c r="C3" s="10" t="inlineStr">
        <is>
          <t>B</t>
        </is>
      </c>
      <c r="D3" s="10" t="inlineStr">
        <is>
          <t>123456789</t>
        </is>
      </c>
      <c r="F3" s="10" t="inlineStr">
        <is>
          <t>EG</t>
        </is>
      </c>
      <c r="G3" s="10" t="inlineStr">
        <is>
          <t>Giza</t>
        </is>
      </c>
      <c r="H3" s="10" t="inlineStr">
        <is>
          <t>6th of October</t>
        </is>
      </c>
      <c r="I3" s="10" t="inlineStr">
        <is>
          <t>26th of July Axis</t>
        </is>
      </c>
      <c r="J3" s="10" t="inlineStr">
        <is>
          <t>12</t>
        </is>
      </c>
      <c r="N3" s="10" t="inlineStr">
        <is>
          <t>VAT14</t>
        </is>
      </c>
      <c r="O3" s="10" t="inlineStr">
        <is>
          <t>WHT1-C</t>
        </is>
      </c>
    </row>
    <row r="4" ht="30" customHeight="1">
      <c r="A4" s="11" t="inlineStr">
        <is>
          <t>Name</t>
        </is>
      </c>
      <c r="B4" s="11" t="inlineStr">
        <is>
          <t>Type</t>
        </is>
      </c>
      <c r="C4" s="11" t="inlineStr">
        <is>
          <t>Receiver Type</t>
        </is>
      </c>
      <c r="D4" s="11" t="inlineStr">
        <is>
          <t>Tax Registration No.</t>
        </is>
      </c>
      <c r="E4" s="11" t="inlineStr">
        <is>
          <t>National ID</t>
        </is>
      </c>
      <c r="F4" s="11" t="inlineStr">
        <is>
          <t>Country</t>
        </is>
      </c>
      <c r="G4" s="11" t="inlineStr">
        <is>
          <t>Governorate</t>
        </is>
      </c>
      <c r="H4" s="11" t="inlineStr">
        <is>
          <t>City / Region</t>
        </is>
      </c>
      <c r="I4" s="11" t="inlineStr">
        <is>
          <t>Street</t>
        </is>
      </c>
      <c r="J4" s="11" t="inlineStr">
        <is>
          <t>Building No.</t>
        </is>
      </c>
      <c r="K4" s="11" t="inlineStr">
        <is>
          <t>Postal Code</t>
        </is>
      </c>
      <c r="L4" s="11" t="inlineStr">
        <is>
          <t>Email</t>
        </is>
      </c>
      <c r="M4" s="11" t="inlineStr">
        <is>
          <t>Phone</t>
        </is>
      </c>
      <c r="N4" s="11" t="inlineStr">
        <is>
          <t>Default VAT</t>
        </is>
      </c>
      <c r="O4" s="11" t="inlineStr">
        <is>
          <t>Default WHT</t>
        </is>
      </c>
      <c r="P4" s="11" t="inlineStr">
        <is>
          <t>Notes</t>
        </is>
      </c>
      <c r="Q4" s="11" t="inlineStr">
        <is>
          <t>Category</t>
        </is>
      </c>
      <c r="R4" s="11" t="inlineStr">
        <is>
          <t>Contact Person</t>
        </is>
      </c>
      <c r="S4" s="11" t="inlineStr">
        <is>
          <t>Other Phone</t>
        </is>
      </c>
      <c r="T4" s="11" t="inlineStr">
        <is>
          <t>WhatsApp</t>
        </is>
      </c>
      <c r="U4" s="11" t="inlineStr">
        <is>
          <t>Trade / Specialty</t>
        </is>
      </c>
      <c r="V4" s="11" t="inlineStr">
        <is>
          <t>Vehicle / Plate</t>
        </is>
      </c>
      <c r="W4" s="11" t="inlineStr">
        <is>
          <t>Bank Details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</row>
  </sheetData>
  <autoFilter ref="A4:W204"/>
  <dataValidations count="4">
    <dataValidation sqref="B5:B205" showDropDown="0" showInputMessage="0" showErrorMessage="1" allowBlank="1" type="list">
      <formula1>Lists!$H$1:$H$5</formula1>
    </dataValidation>
    <dataValidation sqref="C5:C205" showDropDown="0" showInputMessage="0" showErrorMessage="1" allowBlank="1" type="list">
      <formula1>Lists!$I$1:$I$3</formula1>
    </dataValidation>
    <dataValidation sqref="N5:N205" showDropDown="0" showInputMessage="0" showErrorMessage="1" allowBlank="1" type="list">
      <formula1>'Tax Codes'!$A$5:$A$300</formula1>
    </dataValidation>
    <dataValidation sqref="O5:O205" showDropDown="0" showInputMessage="0" showErrorMessage="1" allowBlank="1" type="list">
      <formula1>'Tax Codes'!$A$5:$A$300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0"/>
    <pageSetUpPr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  <col width="24" customWidth="1" min="8" max="8"/>
  </cols>
  <sheetData>
    <row r="1" ht="24" customHeight="1">
      <c r="A1" s="8" t="inlineStr">
        <is>
          <t>BEYOND DESIGN | PARTNERS</t>
        </is>
      </c>
    </row>
    <row r="2">
      <c r="A2" s="9" t="inlineStr">
        <is>
          <t>Partners and their default profit share</t>
        </is>
      </c>
    </row>
    <row r="3">
      <c r="A3" s="10" t="inlineStr">
        <is>
          <t>e.g. Partner name</t>
        </is>
      </c>
      <c r="B3" s="10" t="inlineStr">
        <is>
          <t>25%</t>
        </is>
      </c>
      <c r="C3" s="10" t="inlineStr">
        <is>
          <t>Yes</t>
        </is>
      </c>
    </row>
    <row r="4" ht="30" customHeight="1">
      <c r="A4" s="11" t="inlineStr">
        <is>
          <t>Partner</t>
        </is>
      </c>
      <c r="B4" s="11" t="inlineStr">
        <is>
          <t>Default Share %</t>
        </is>
      </c>
      <c r="C4" s="11" t="inlineStr">
        <is>
          <t>Still a Partner</t>
        </is>
      </c>
      <c r="D4" s="11" t="inlineStr">
        <is>
          <t>Joined</t>
        </is>
      </c>
      <c r="E4" s="11" t="inlineStr">
        <is>
          <t>Left</t>
        </is>
      </c>
      <c r="F4" s="11" t="inlineStr">
        <is>
          <t>Interest on Capital %</t>
        </is>
      </c>
      <c r="G4" s="11" t="inlineStr">
        <is>
          <t>Loan Interest %</t>
        </is>
      </c>
      <c r="H4" s="11" t="inlineStr">
        <is>
          <t>Notes</t>
        </is>
      </c>
    </row>
    <row r="5">
      <c r="A5" s="14" t="n"/>
      <c r="B5" s="18" t="n"/>
      <c r="C5" s="14" t="n"/>
      <c r="D5" s="19" t="n"/>
      <c r="E5" s="19" t="n"/>
      <c r="F5" s="18" t="n"/>
      <c r="G5" s="18" t="n"/>
      <c r="H5" s="14" t="n"/>
    </row>
    <row r="6">
      <c r="A6" s="14" t="n"/>
      <c r="B6" s="18" t="n"/>
      <c r="C6" s="14" t="n"/>
      <c r="D6" s="19" t="n"/>
      <c r="E6" s="19" t="n"/>
      <c r="F6" s="18" t="n"/>
      <c r="G6" s="18" t="n"/>
      <c r="H6" s="14" t="n"/>
    </row>
    <row r="7">
      <c r="A7" s="14" t="n"/>
      <c r="B7" s="18" t="n"/>
      <c r="C7" s="14" t="n"/>
      <c r="D7" s="19" t="n"/>
      <c r="E7" s="19" t="n"/>
      <c r="F7" s="18" t="n"/>
      <c r="G7" s="18" t="n"/>
      <c r="H7" s="14" t="n"/>
    </row>
    <row r="8">
      <c r="A8" s="14" t="n"/>
      <c r="B8" s="18" t="n"/>
      <c r="C8" s="14" t="n"/>
      <c r="D8" s="19" t="n"/>
      <c r="E8" s="19" t="n"/>
      <c r="F8" s="18" t="n"/>
      <c r="G8" s="18" t="n"/>
      <c r="H8" s="14" t="n"/>
    </row>
    <row r="9">
      <c r="A9" s="14" t="n"/>
      <c r="B9" s="18" t="n"/>
      <c r="C9" s="14" t="n"/>
      <c r="D9" s="19" t="n"/>
      <c r="E9" s="19" t="n"/>
      <c r="F9" s="18" t="n"/>
      <c r="G9" s="18" t="n"/>
      <c r="H9" s="14" t="n"/>
    </row>
    <row r="10">
      <c r="A10" s="14" t="n"/>
      <c r="B10" s="18" t="n"/>
      <c r="C10" s="14" t="n"/>
      <c r="D10" s="19" t="n"/>
      <c r="E10" s="19" t="n"/>
      <c r="F10" s="18" t="n"/>
      <c r="G10" s="18" t="n"/>
      <c r="H10" s="14" t="n"/>
    </row>
    <row r="11">
      <c r="A11" s="14" t="n"/>
      <c r="B11" s="18" t="n"/>
      <c r="C11" s="14" t="n"/>
      <c r="D11" s="19" t="n"/>
      <c r="E11" s="19" t="n"/>
      <c r="F11" s="18" t="n"/>
      <c r="G11" s="18" t="n"/>
      <c r="H11" s="14" t="n"/>
    </row>
    <row r="12">
      <c r="A12" s="14" t="n"/>
      <c r="B12" s="18" t="n"/>
      <c r="C12" s="14" t="n"/>
      <c r="D12" s="19" t="n"/>
      <c r="E12" s="19" t="n"/>
      <c r="F12" s="18" t="n"/>
      <c r="G12" s="18" t="n"/>
      <c r="H12" s="14" t="n"/>
    </row>
    <row r="13">
      <c r="A13" s="14" t="n"/>
      <c r="B13" s="18" t="n"/>
      <c r="C13" s="14" t="n"/>
      <c r="D13" s="19" t="n"/>
      <c r="E13" s="19" t="n"/>
      <c r="F13" s="18" t="n"/>
      <c r="G13" s="18" t="n"/>
      <c r="H13" s="14" t="n"/>
    </row>
    <row r="14">
      <c r="A14" s="14" t="n"/>
      <c r="B14" s="18" t="n"/>
      <c r="C14" s="14" t="n"/>
      <c r="D14" s="19" t="n"/>
      <c r="E14" s="19" t="n"/>
      <c r="F14" s="18" t="n"/>
      <c r="G14" s="18" t="n"/>
      <c r="H14" s="14" t="n"/>
    </row>
    <row r="15">
      <c r="A15" s="14" t="n"/>
      <c r="B15" s="18" t="n"/>
      <c r="C15" s="14" t="n"/>
      <c r="D15" s="19" t="n"/>
      <c r="E15" s="19" t="n"/>
      <c r="F15" s="18" t="n"/>
      <c r="G15" s="18" t="n"/>
      <c r="H15" s="14" t="n"/>
    </row>
    <row r="16">
      <c r="A16" s="14" t="n"/>
      <c r="B16" s="18" t="n"/>
      <c r="C16" s="14" t="n"/>
      <c r="D16" s="19" t="n"/>
      <c r="E16" s="19" t="n"/>
      <c r="F16" s="18" t="n"/>
      <c r="G16" s="18" t="n"/>
      <c r="H16" s="14" t="n"/>
    </row>
    <row r="17">
      <c r="A17" s="14" t="n"/>
      <c r="B17" s="18" t="n"/>
      <c r="C17" s="14" t="n"/>
      <c r="D17" s="19" t="n"/>
      <c r="E17" s="19" t="n"/>
      <c r="F17" s="18" t="n"/>
      <c r="G17" s="18" t="n"/>
      <c r="H17" s="14" t="n"/>
    </row>
    <row r="18">
      <c r="A18" s="14" t="n"/>
      <c r="B18" s="18" t="n"/>
      <c r="C18" s="14" t="n"/>
      <c r="D18" s="19" t="n"/>
      <c r="E18" s="19" t="n"/>
      <c r="F18" s="18" t="n"/>
      <c r="G18" s="18" t="n"/>
      <c r="H18" s="14" t="n"/>
    </row>
    <row r="19">
      <c r="A19" s="14" t="n"/>
      <c r="B19" s="18" t="n"/>
      <c r="C19" s="14" t="n"/>
      <c r="D19" s="19" t="n"/>
      <c r="E19" s="19" t="n"/>
      <c r="F19" s="18" t="n"/>
      <c r="G19" s="18" t="n"/>
      <c r="H19" s="14" t="n"/>
    </row>
    <row r="20">
      <c r="A20" s="14" t="n"/>
      <c r="B20" s="18" t="n"/>
      <c r="C20" s="14" t="n"/>
      <c r="D20" s="19" t="n"/>
      <c r="E20" s="19" t="n"/>
      <c r="F20" s="18" t="n"/>
      <c r="G20" s="18" t="n"/>
      <c r="H20" s="14" t="n"/>
    </row>
    <row r="21">
      <c r="A21" s="14" t="n"/>
      <c r="B21" s="18" t="n"/>
      <c r="C21" s="14" t="n"/>
      <c r="D21" s="19" t="n"/>
      <c r="E21" s="19" t="n"/>
      <c r="F21" s="18" t="n"/>
      <c r="G21" s="18" t="n"/>
      <c r="H21" s="14" t="n"/>
    </row>
    <row r="22">
      <c r="A22" s="14" t="n"/>
      <c r="B22" s="18" t="n"/>
      <c r="C22" s="14" t="n"/>
      <c r="D22" s="19" t="n"/>
      <c r="E22" s="19" t="n"/>
      <c r="F22" s="18" t="n"/>
      <c r="G22" s="18" t="n"/>
      <c r="H22" s="14" t="n"/>
    </row>
    <row r="23">
      <c r="A23" s="14" t="n"/>
      <c r="B23" s="18" t="n"/>
      <c r="C23" s="14" t="n"/>
      <c r="D23" s="19" t="n"/>
      <c r="E23" s="19" t="n"/>
      <c r="F23" s="18" t="n"/>
      <c r="G23" s="18" t="n"/>
      <c r="H23" s="14" t="n"/>
    </row>
    <row r="24">
      <c r="A24" s="14" t="n"/>
      <c r="B24" s="18" t="n"/>
      <c r="C24" s="14" t="n"/>
      <c r="D24" s="19" t="n"/>
      <c r="E24" s="19" t="n"/>
      <c r="F24" s="18" t="n"/>
      <c r="G24" s="18" t="n"/>
      <c r="H24" s="14" t="n"/>
    </row>
    <row r="25">
      <c r="A25" s="14" t="n"/>
      <c r="B25" s="18" t="n"/>
      <c r="C25" s="14" t="n"/>
      <c r="D25" s="19" t="n"/>
      <c r="E25" s="19" t="n"/>
      <c r="F25" s="18" t="n"/>
      <c r="G25" s="18" t="n"/>
      <c r="H25" s="14" t="n"/>
    </row>
    <row r="26">
      <c r="A26" s="14" t="n"/>
      <c r="B26" s="18" t="n"/>
      <c r="C26" s="14" t="n"/>
      <c r="D26" s="19" t="n"/>
      <c r="E26" s="19" t="n"/>
      <c r="F26" s="18" t="n"/>
      <c r="G26" s="18" t="n"/>
      <c r="H26" s="14" t="n"/>
    </row>
    <row r="27">
      <c r="A27" s="14" t="n"/>
      <c r="B27" s="18" t="n"/>
      <c r="C27" s="14" t="n"/>
      <c r="D27" s="19" t="n"/>
      <c r="E27" s="19" t="n"/>
      <c r="F27" s="18" t="n"/>
      <c r="G27" s="18" t="n"/>
      <c r="H27" s="14" t="n"/>
    </row>
    <row r="28">
      <c r="A28" s="14" t="n"/>
      <c r="B28" s="18" t="n"/>
      <c r="C28" s="14" t="n"/>
      <c r="D28" s="19" t="n"/>
      <c r="E28" s="19" t="n"/>
      <c r="F28" s="18" t="n"/>
      <c r="G28" s="18" t="n"/>
      <c r="H28" s="14" t="n"/>
    </row>
    <row r="29">
      <c r="A29" s="14" t="n"/>
      <c r="B29" s="18" t="n"/>
      <c r="C29" s="14" t="n"/>
      <c r="D29" s="19" t="n"/>
      <c r="E29" s="19" t="n"/>
      <c r="F29" s="18" t="n"/>
      <c r="G29" s="18" t="n"/>
      <c r="H29" s="14" t="n"/>
    </row>
    <row r="30">
      <c r="A30" s="14" t="n"/>
      <c r="B30" s="18" t="n"/>
      <c r="C30" s="14" t="n"/>
      <c r="D30" s="19" t="n"/>
      <c r="E30" s="19" t="n"/>
      <c r="F30" s="18" t="n"/>
      <c r="G30" s="18" t="n"/>
      <c r="H30" s="14" t="n"/>
    </row>
    <row r="31">
      <c r="A31" s="14" t="n"/>
      <c r="B31" s="18" t="n"/>
      <c r="C31" s="14" t="n"/>
      <c r="D31" s="19" t="n"/>
      <c r="E31" s="19" t="n"/>
      <c r="F31" s="18" t="n"/>
      <c r="G31" s="18" t="n"/>
      <c r="H31" s="14" t="n"/>
    </row>
    <row r="32">
      <c r="A32" s="14" t="n"/>
      <c r="B32" s="18" t="n"/>
      <c r="C32" s="14" t="n"/>
      <c r="D32" s="19" t="n"/>
      <c r="E32" s="19" t="n"/>
      <c r="F32" s="18" t="n"/>
      <c r="G32" s="18" t="n"/>
      <c r="H32" s="14" t="n"/>
    </row>
    <row r="33">
      <c r="A33" s="14" t="n"/>
      <c r="B33" s="18" t="n"/>
      <c r="C33" s="14" t="n"/>
      <c r="D33" s="19" t="n"/>
      <c r="E33" s="19" t="n"/>
      <c r="F33" s="18" t="n"/>
      <c r="G33" s="18" t="n"/>
      <c r="H33" s="14" t="n"/>
    </row>
    <row r="34">
      <c r="A34" s="14" t="n"/>
      <c r="B34" s="18" t="n"/>
      <c r="C34" s="14" t="n"/>
      <c r="D34" s="19" t="n"/>
      <c r="E34" s="19" t="n"/>
      <c r="F34" s="18" t="n"/>
      <c r="G34" s="18" t="n"/>
      <c r="H34" s="14" t="n"/>
    </row>
    <row r="35">
      <c r="A35" s="14" t="n"/>
      <c r="B35" s="18" t="n"/>
      <c r="C35" s="14" t="n"/>
      <c r="D35" s="19" t="n"/>
      <c r="E35" s="19" t="n"/>
      <c r="F35" s="18" t="n"/>
      <c r="G35" s="18" t="n"/>
      <c r="H35" s="14" t="n"/>
    </row>
    <row r="36">
      <c r="A36" s="14" t="n"/>
      <c r="B36" s="18" t="n"/>
      <c r="C36" s="14" t="n"/>
      <c r="D36" s="19" t="n"/>
      <c r="E36" s="19" t="n"/>
      <c r="F36" s="18" t="n"/>
      <c r="G36" s="18" t="n"/>
      <c r="H36" s="14" t="n"/>
    </row>
    <row r="37">
      <c r="A37" s="14" t="n"/>
      <c r="B37" s="18" t="n"/>
      <c r="C37" s="14" t="n"/>
      <c r="D37" s="19" t="n"/>
      <c r="E37" s="19" t="n"/>
      <c r="F37" s="18" t="n"/>
      <c r="G37" s="18" t="n"/>
      <c r="H37" s="14" t="n"/>
    </row>
    <row r="38">
      <c r="A38" s="14" t="n"/>
      <c r="B38" s="18" t="n"/>
      <c r="C38" s="14" t="n"/>
      <c r="D38" s="19" t="n"/>
      <c r="E38" s="19" t="n"/>
      <c r="F38" s="18" t="n"/>
      <c r="G38" s="18" t="n"/>
      <c r="H38" s="14" t="n"/>
    </row>
    <row r="39">
      <c r="A39" s="14" t="n"/>
      <c r="B39" s="18" t="n"/>
      <c r="C39" s="14" t="n"/>
      <c r="D39" s="19" t="n"/>
      <c r="E39" s="19" t="n"/>
      <c r="F39" s="18" t="n"/>
      <c r="G39" s="18" t="n"/>
      <c r="H39" s="14" t="n"/>
    </row>
    <row r="40">
      <c r="A40" s="14" t="n"/>
      <c r="B40" s="18" t="n"/>
      <c r="C40" s="14" t="n"/>
      <c r="D40" s="19" t="n"/>
      <c r="E40" s="19" t="n"/>
      <c r="F40" s="18" t="n"/>
      <c r="G40" s="18" t="n"/>
      <c r="H40" s="14" t="n"/>
    </row>
    <row r="41">
      <c r="A41" s="14" t="n"/>
      <c r="B41" s="18" t="n"/>
      <c r="C41" s="14" t="n"/>
      <c r="D41" s="19" t="n"/>
      <c r="E41" s="19" t="n"/>
      <c r="F41" s="18" t="n"/>
      <c r="G41" s="18" t="n"/>
      <c r="H41" s="14" t="n"/>
    </row>
    <row r="42">
      <c r="A42" s="14" t="n"/>
      <c r="B42" s="18" t="n"/>
      <c r="C42" s="14" t="n"/>
      <c r="D42" s="19" t="n"/>
      <c r="E42" s="19" t="n"/>
      <c r="F42" s="18" t="n"/>
      <c r="G42" s="18" t="n"/>
      <c r="H42" s="14" t="n"/>
    </row>
    <row r="43">
      <c r="A43" s="14" t="n"/>
      <c r="B43" s="18" t="n"/>
      <c r="C43" s="14" t="n"/>
      <c r="D43" s="19" t="n"/>
      <c r="E43" s="19" t="n"/>
      <c r="F43" s="18" t="n"/>
      <c r="G43" s="18" t="n"/>
      <c r="H43" s="14" t="n"/>
    </row>
    <row r="44">
      <c r="A44" s="14" t="n"/>
      <c r="B44" s="18" t="n"/>
      <c r="C44" s="14" t="n"/>
      <c r="D44" s="19" t="n"/>
      <c r="E44" s="19" t="n"/>
      <c r="F44" s="18" t="n"/>
      <c r="G44" s="18" t="n"/>
      <c r="H44" s="14" t="n"/>
    </row>
    <row r="45">
      <c r="A45" s="14" t="n"/>
      <c r="B45" s="18" t="n"/>
      <c r="C45" s="14" t="n"/>
      <c r="D45" s="19" t="n"/>
      <c r="E45" s="19" t="n"/>
      <c r="F45" s="18" t="n"/>
      <c r="G45" s="18" t="n"/>
      <c r="H45" s="14" t="n"/>
    </row>
    <row r="46">
      <c r="A46" s="14" t="n"/>
      <c r="B46" s="18" t="n"/>
      <c r="C46" s="14" t="n"/>
      <c r="D46" s="19" t="n"/>
      <c r="E46" s="19" t="n"/>
      <c r="F46" s="18" t="n"/>
      <c r="G46" s="18" t="n"/>
      <c r="H46" s="14" t="n"/>
    </row>
    <row r="47">
      <c r="A47" s="14" t="n"/>
      <c r="B47" s="18" t="n"/>
      <c r="C47" s="14" t="n"/>
      <c r="D47" s="19" t="n"/>
      <c r="E47" s="19" t="n"/>
      <c r="F47" s="18" t="n"/>
      <c r="G47" s="18" t="n"/>
      <c r="H47" s="14" t="n"/>
    </row>
    <row r="48">
      <c r="A48" s="14" t="n"/>
      <c r="B48" s="18" t="n"/>
      <c r="C48" s="14" t="n"/>
      <c r="D48" s="19" t="n"/>
      <c r="E48" s="19" t="n"/>
      <c r="F48" s="18" t="n"/>
      <c r="G48" s="18" t="n"/>
      <c r="H48" s="14" t="n"/>
    </row>
    <row r="49">
      <c r="A49" s="14" t="n"/>
      <c r="B49" s="18" t="n"/>
      <c r="C49" s="14" t="n"/>
      <c r="D49" s="19" t="n"/>
      <c r="E49" s="19" t="n"/>
      <c r="F49" s="18" t="n"/>
      <c r="G49" s="18" t="n"/>
      <c r="H49" s="14" t="n"/>
    </row>
    <row r="50">
      <c r="A50" s="14" t="n"/>
      <c r="B50" s="18" t="n"/>
      <c r="C50" s="14" t="n"/>
      <c r="D50" s="19" t="n"/>
      <c r="E50" s="19" t="n"/>
      <c r="F50" s="18" t="n"/>
      <c r="G50" s="18" t="n"/>
      <c r="H50" s="14" t="n"/>
    </row>
    <row r="51">
      <c r="A51" s="14" t="n"/>
      <c r="B51" s="18" t="n"/>
      <c r="C51" s="14" t="n"/>
      <c r="D51" s="19" t="n"/>
      <c r="E51" s="19" t="n"/>
      <c r="F51" s="18" t="n"/>
      <c r="G51" s="18" t="n"/>
      <c r="H51" s="14" t="n"/>
    </row>
    <row r="52">
      <c r="A52" s="14" t="n"/>
      <c r="B52" s="18" t="n"/>
      <c r="C52" s="14" t="n"/>
      <c r="D52" s="19" t="n"/>
      <c r="E52" s="19" t="n"/>
      <c r="F52" s="18" t="n"/>
      <c r="G52" s="18" t="n"/>
      <c r="H52" s="14" t="n"/>
    </row>
    <row r="53">
      <c r="A53" s="14" t="n"/>
      <c r="B53" s="18" t="n"/>
      <c r="C53" s="14" t="n"/>
      <c r="D53" s="19" t="n"/>
      <c r="E53" s="19" t="n"/>
      <c r="F53" s="18" t="n"/>
      <c r="G53" s="18" t="n"/>
      <c r="H53" s="14" t="n"/>
    </row>
    <row r="54">
      <c r="A54" s="14" t="n"/>
      <c r="B54" s="18" t="n"/>
      <c r="C54" s="14" t="n"/>
      <c r="D54" s="19" t="n"/>
      <c r="E54" s="19" t="n"/>
      <c r="F54" s="18" t="n"/>
      <c r="G54" s="18" t="n"/>
      <c r="H54" s="14" t="n"/>
    </row>
    <row r="55">
      <c r="A55" s="14" t="n"/>
      <c r="B55" s="18" t="n"/>
      <c r="C55" s="14" t="n"/>
      <c r="D55" s="19" t="n"/>
      <c r="E55" s="19" t="n"/>
      <c r="F55" s="18" t="n"/>
      <c r="G55" s="18" t="n"/>
      <c r="H55" s="14" t="n"/>
    </row>
    <row r="56">
      <c r="A56" s="14" t="n"/>
      <c r="B56" s="18" t="n"/>
      <c r="C56" s="14" t="n"/>
      <c r="D56" s="19" t="n"/>
      <c r="E56" s="19" t="n"/>
      <c r="F56" s="18" t="n"/>
      <c r="G56" s="18" t="n"/>
      <c r="H56" s="14" t="n"/>
    </row>
    <row r="57">
      <c r="A57" s="14" t="n"/>
      <c r="B57" s="18" t="n"/>
      <c r="C57" s="14" t="n"/>
      <c r="D57" s="19" t="n"/>
      <c r="E57" s="19" t="n"/>
      <c r="F57" s="18" t="n"/>
      <c r="G57" s="18" t="n"/>
      <c r="H57" s="14" t="n"/>
    </row>
    <row r="58">
      <c r="A58" s="14" t="n"/>
      <c r="B58" s="18" t="n"/>
      <c r="C58" s="14" t="n"/>
      <c r="D58" s="19" t="n"/>
      <c r="E58" s="19" t="n"/>
      <c r="F58" s="18" t="n"/>
      <c r="G58" s="18" t="n"/>
      <c r="H58" s="14" t="n"/>
    </row>
    <row r="59">
      <c r="A59" s="14" t="n"/>
      <c r="B59" s="18" t="n"/>
      <c r="C59" s="14" t="n"/>
      <c r="D59" s="19" t="n"/>
      <c r="E59" s="19" t="n"/>
      <c r="F59" s="18" t="n"/>
      <c r="G59" s="18" t="n"/>
      <c r="H59" s="14" t="n"/>
    </row>
    <row r="60">
      <c r="A60" s="14" t="n"/>
      <c r="B60" s="18" t="n"/>
      <c r="C60" s="14" t="n"/>
      <c r="D60" s="19" t="n"/>
      <c r="E60" s="19" t="n"/>
      <c r="F60" s="18" t="n"/>
      <c r="G60" s="18" t="n"/>
      <c r="H60" s="14" t="n"/>
    </row>
    <row r="61">
      <c r="A61" s="14" t="n"/>
      <c r="B61" s="18" t="n"/>
      <c r="C61" s="14" t="n"/>
      <c r="D61" s="19" t="n"/>
      <c r="E61" s="19" t="n"/>
      <c r="F61" s="18" t="n"/>
      <c r="G61" s="18" t="n"/>
      <c r="H61" s="14" t="n"/>
    </row>
    <row r="62">
      <c r="A62" s="14" t="n"/>
      <c r="B62" s="18" t="n"/>
      <c r="C62" s="14" t="n"/>
      <c r="D62" s="19" t="n"/>
      <c r="E62" s="19" t="n"/>
      <c r="F62" s="18" t="n"/>
      <c r="G62" s="18" t="n"/>
      <c r="H62" s="14" t="n"/>
    </row>
    <row r="63">
      <c r="A63" s="14" t="n"/>
      <c r="B63" s="18" t="n"/>
      <c r="C63" s="14" t="n"/>
      <c r="D63" s="19" t="n"/>
      <c r="E63" s="19" t="n"/>
      <c r="F63" s="18" t="n"/>
      <c r="G63" s="18" t="n"/>
      <c r="H63" s="14" t="n"/>
    </row>
    <row r="64">
      <c r="A64" s="14" t="n"/>
      <c r="B64" s="18" t="n"/>
      <c r="C64" s="14" t="n"/>
      <c r="D64" s="19" t="n"/>
      <c r="E64" s="19" t="n"/>
      <c r="F64" s="18" t="n"/>
      <c r="G64" s="18" t="n"/>
      <c r="H64" s="14" t="n"/>
    </row>
    <row r="65">
      <c r="A65" s="14" t="n"/>
      <c r="B65" s="18" t="n"/>
      <c r="C65" s="14" t="n"/>
      <c r="D65" s="19" t="n"/>
      <c r="E65" s="19" t="n"/>
      <c r="F65" s="18" t="n"/>
      <c r="G65" s="18" t="n"/>
      <c r="H65" s="14" t="n"/>
    </row>
    <row r="66">
      <c r="A66" s="14" t="n"/>
      <c r="B66" s="18" t="n"/>
      <c r="C66" s="14" t="n"/>
      <c r="D66" s="19" t="n"/>
      <c r="E66" s="19" t="n"/>
      <c r="F66" s="18" t="n"/>
      <c r="G66" s="18" t="n"/>
      <c r="H66" s="14" t="n"/>
    </row>
    <row r="67">
      <c r="A67" s="14" t="n"/>
      <c r="B67" s="18" t="n"/>
      <c r="C67" s="14" t="n"/>
      <c r="D67" s="19" t="n"/>
      <c r="E67" s="19" t="n"/>
      <c r="F67" s="18" t="n"/>
      <c r="G67" s="18" t="n"/>
      <c r="H67" s="14" t="n"/>
    </row>
    <row r="68">
      <c r="A68" s="14" t="n"/>
      <c r="B68" s="18" t="n"/>
      <c r="C68" s="14" t="n"/>
      <c r="D68" s="19" t="n"/>
      <c r="E68" s="19" t="n"/>
      <c r="F68" s="18" t="n"/>
      <c r="G68" s="18" t="n"/>
      <c r="H68" s="14" t="n"/>
    </row>
    <row r="69">
      <c r="A69" s="14" t="n"/>
      <c r="B69" s="18" t="n"/>
      <c r="C69" s="14" t="n"/>
      <c r="D69" s="19" t="n"/>
      <c r="E69" s="19" t="n"/>
      <c r="F69" s="18" t="n"/>
      <c r="G69" s="18" t="n"/>
      <c r="H69" s="14" t="n"/>
    </row>
    <row r="70">
      <c r="A70" s="14" t="n"/>
      <c r="B70" s="18" t="n"/>
      <c r="C70" s="14" t="n"/>
      <c r="D70" s="19" t="n"/>
      <c r="E70" s="19" t="n"/>
      <c r="F70" s="18" t="n"/>
      <c r="G70" s="18" t="n"/>
      <c r="H70" s="14" t="n"/>
    </row>
    <row r="71">
      <c r="A71" s="14" t="n"/>
      <c r="B71" s="18" t="n"/>
      <c r="C71" s="14" t="n"/>
      <c r="D71" s="19" t="n"/>
      <c r="E71" s="19" t="n"/>
      <c r="F71" s="18" t="n"/>
      <c r="G71" s="18" t="n"/>
      <c r="H71" s="14" t="n"/>
    </row>
    <row r="72">
      <c r="A72" s="14" t="n"/>
      <c r="B72" s="18" t="n"/>
      <c r="C72" s="14" t="n"/>
      <c r="D72" s="19" t="n"/>
      <c r="E72" s="19" t="n"/>
      <c r="F72" s="18" t="n"/>
      <c r="G72" s="18" t="n"/>
      <c r="H72" s="14" t="n"/>
    </row>
    <row r="73">
      <c r="A73" s="14" t="n"/>
      <c r="B73" s="18" t="n"/>
      <c r="C73" s="14" t="n"/>
      <c r="D73" s="19" t="n"/>
      <c r="E73" s="19" t="n"/>
      <c r="F73" s="18" t="n"/>
      <c r="G73" s="18" t="n"/>
      <c r="H73" s="14" t="n"/>
    </row>
    <row r="74">
      <c r="A74" s="14" t="n"/>
      <c r="B74" s="18" t="n"/>
      <c r="C74" s="14" t="n"/>
      <c r="D74" s="19" t="n"/>
      <c r="E74" s="19" t="n"/>
      <c r="F74" s="18" t="n"/>
      <c r="G74" s="18" t="n"/>
      <c r="H74" s="14" t="n"/>
    </row>
    <row r="75">
      <c r="A75" s="14" t="n"/>
      <c r="B75" s="18" t="n"/>
      <c r="C75" s="14" t="n"/>
      <c r="D75" s="19" t="n"/>
      <c r="E75" s="19" t="n"/>
      <c r="F75" s="18" t="n"/>
      <c r="G75" s="18" t="n"/>
      <c r="H75" s="14" t="n"/>
    </row>
    <row r="76">
      <c r="A76" s="14" t="n"/>
      <c r="B76" s="18" t="n"/>
      <c r="C76" s="14" t="n"/>
      <c r="D76" s="19" t="n"/>
      <c r="E76" s="19" t="n"/>
      <c r="F76" s="18" t="n"/>
      <c r="G76" s="18" t="n"/>
      <c r="H76" s="14" t="n"/>
    </row>
    <row r="77">
      <c r="A77" s="14" t="n"/>
      <c r="B77" s="18" t="n"/>
      <c r="C77" s="14" t="n"/>
      <c r="D77" s="19" t="n"/>
      <c r="E77" s="19" t="n"/>
      <c r="F77" s="18" t="n"/>
      <c r="G77" s="18" t="n"/>
      <c r="H77" s="14" t="n"/>
    </row>
    <row r="78">
      <c r="A78" s="14" t="n"/>
      <c r="B78" s="18" t="n"/>
      <c r="C78" s="14" t="n"/>
      <c r="D78" s="19" t="n"/>
      <c r="E78" s="19" t="n"/>
      <c r="F78" s="18" t="n"/>
      <c r="G78" s="18" t="n"/>
      <c r="H78" s="14" t="n"/>
    </row>
    <row r="79">
      <c r="A79" s="14" t="n"/>
      <c r="B79" s="18" t="n"/>
      <c r="C79" s="14" t="n"/>
      <c r="D79" s="19" t="n"/>
      <c r="E79" s="19" t="n"/>
      <c r="F79" s="18" t="n"/>
      <c r="G79" s="18" t="n"/>
      <c r="H79" s="14" t="n"/>
    </row>
    <row r="80">
      <c r="A80" s="14" t="n"/>
      <c r="B80" s="18" t="n"/>
      <c r="C80" s="14" t="n"/>
      <c r="D80" s="19" t="n"/>
      <c r="E80" s="19" t="n"/>
      <c r="F80" s="18" t="n"/>
      <c r="G80" s="18" t="n"/>
      <c r="H80" s="14" t="n"/>
    </row>
    <row r="81">
      <c r="A81" s="14" t="n"/>
      <c r="B81" s="18" t="n"/>
      <c r="C81" s="14" t="n"/>
      <c r="D81" s="19" t="n"/>
      <c r="E81" s="19" t="n"/>
      <c r="F81" s="18" t="n"/>
      <c r="G81" s="18" t="n"/>
      <c r="H81" s="14" t="n"/>
    </row>
    <row r="82">
      <c r="A82" s="14" t="n"/>
      <c r="B82" s="18" t="n"/>
      <c r="C82" s="14" t="n"/>
      <c r="D82" s="19" t="n"/>
      <c r="E82" s="19" t="n"/>
      <c r="F82" s="18" t="n"/>
      <c r="G82" s="18" t="n"/>
      <c r="H82" s="14" t="n"/>
    </row>
    <row r="83">
      <c r="A83" s="14" t="n"/>
      <c r="B83" s="18" t="n"/>
      <c r="C83" s="14" t="n"/>
      <c r="D83" s="19" t="n"/>
      <c r="E83" s="19" t="n"/>
      <c r="F83" s="18" t="n"/>
      <c r="G83" s="18" t="n"/>
      <c r="H83" s="14" t="n"/>
    </row>
    <row r="84">
      <c r="A84" s="14" t="n"/>
      <c r="B84" s="18" t="n"/>
      <c r="C84" s="14" t="n"/>
      <c r="D84" s="19" t="n"/>
      <c r="E84" s="19" t="n"/>
      <c r="F84" s="18" t="n"/>
      <c r="G84" s="18" t="n"/>
      <c r="H84" s="14" t="n"/>
    </row>
    <row r="85">
      <c r="A85" s="14" t="n"/>
      <c r="B85" s="18" t="n"/>
      <c r="C85" s="14" t="n"/>
      <c r="D85" s="19" t="n"/>
      <c r="E85" s="19" t="n"/>
      <c r="F85" s="18" t="n"/>
      <c r="G85" s="18" t="n"/>
      <c r="H85" s="14" t="n"/>
    </row>
    <row r="86">
      <c r="A86" s="14" t="n"/>
      <c r="B86" s="18" t="n"/>
      <c r="C86" s="14" t="n"/>
      <c r="D86" s="19" t="n"/>
      <c r="E86" s="19" t="n"/>
      <c r="F86" s="18" t="n"/>
      <c r="G86" s="18" t="n"/>
      <c r="H86" s="14" t="n"/>
    </row>
    <row r="87">
      <c r="A87" s="14" t="n"/>
      <c r="B87" s="18" t="n"/>
      <c r="C87" s="14" t="n"/>
      <c r="D87" s="19" t="n"/>
      <c r="E87" s="19" t="n"/>
      <c r="F87" s="18" t="n"/>
      <c r="G87" s="18" t="n"/>
      <c r="H87" s="14" t="n"/>
    </row>
    <row r="88">
      <c r="A88" s="14" t="n"/>
      <c r="B88" s="18" t="n"/>
      <c r="C88" s="14" t="n"/>
      <c r="D88" s="19" t="n"/>
      <c r="E88" s="19" t="n"/>
      <c r="F88" s="18" t="n"/>
      <c r="G88" s="18" t="n"/>
      <c r="H88" s="14" t="n"/>
    </row>
    <row r="89">
      <c r="A89" s="14" t="n"/>
      <c r="B89" s="18" t="n"/>
      <c r="C89" s="14" t="n"/>
      <c r="D89" s="19" t="n"/>
      <c r="E89" s="19" t="n"/>
      <c r="F89" s="18" t="n"/>
      <c r="G89" s="18" t="n"/>
      <c r="H89" s="14" t="n"/>
    </row>
    <row r="90">
      <c r="A90" s="14" t="n"/>
      <c r="B90" s="18" t="n"/>
      <c r="C90" s="14" t="n"/>
      <c r="D90" s="19" t="n"/>
      <c r="E90" s="19" t="n"/>
      <c r="F90" s="18" t="n"/>
      <c r="G90" s="18" t="n"/>
      <c r="H90" s="14" t="n"/>
    </row>
    <row r="91">
      <c r="A91" s="14" t="n"/>
      <c r="B91" s="18" t="n"/>
      <c r="C91" s="14" t="n"/>
      <c r="D91" s="19" t="n"/>
      <c r="E91" s="19" t="n"/>
      <c r="F91" s="18" t="n"/>
      <c r="G91" s="18" t="n"/>
      <c r="H91" s="14" t="n"/>
    </row>
    <row r="92">
      <c r="A92" s="14" t="n"/>
      <c r="B92" s="18" t="n"/>
      <c r="C92" s="14" t="n"/>
      <c r="D92" s="19" t="n"/>
      <c r="E92" s="19" t="n"/>
      <c r="F92" s="18" t="n"/>
      <c r="G92" s="18" t="n"/>
      <c r="H92" s="14" t="n"/>
    </row>
    <row r="93">
      <c r="A93" s="14" t="n"/>
      <c r="B93" s="18" t="n"/>
      <c r="C93" s="14" t="n"/>
      <c r="D93" s="19" t="n"/>
      <c r="E93" s="19" t="n"/>
      <c r="F93" s="18" t="n"/>
      <c r="G93" s="18" t="n"/>
      <c r="H93" s="14" t="n"/>
    </row>
    <row r="94">
      <c r="A94" s="14" t="n"/>
      <c r="B94" s="18" t="n"/>
      <c r="C94" s="14" t="n"/>
      <c r="D94" s="19" t="n"/>
      <c r="E94" s="19" t="n"/>
      <c r="F94" s="18" t="n"/>
      <c r="G94" s="18" t="n"/>
      <c r="H94" s="14" t="n"/>
    </row>
    <row r="95">
      <c r="A95" s="14" t="n"/>
      <c r="B95" s="18" t="n"/>
      <c r="C95" s="14" t="n"/>
      <c r="D95" s="19" t="n"/>
      <c r="E95" s="19" t="n"/>
      <c r="F95" s="18" t="n"/>
      <c r="G95" s="18" t="n"/>
      <c r="H95" s="14" t="n"/>
    </row>
    <row r="96">
      <c r="A96" s="14" t="n"/>
      <c r="B96" s="18" t="n"/>
      <c r="C96" s="14" t="n"/>
      <c r="D96" s="19" t="n"/>
      <c r="E96" s="19" t="n"/>
      <c r="F96" s="18" t="n"/>
      <c r="G96" s="18" t="n"/>
      <c r="H96" s="14" t="n"/>
    </row>
    <row r="97">
      <c r="A97" s="14" t="n"/>
      <c r="B97" s="18" t="n"/>
      <c r="C97" s="14" t="n"/>
      <c r="D97" s="19" t="n"/>
      <c r="E97" s="19" t="n"/>
      <c r="F97" s="18" t="n"/>
      <c r="G97" s="18" t="n"/>
      <c r="H97" s="14" t="n"/>
    </row>
    <row r="98">
      <c r="A98" s="14" t="n"/>
      <c r="B98" s="18" t="n"/>
      <c r="C98" s="14" t="n"/>
      <c r="D98" s="19" t="n"/>
      <c r="E98" s="19" t="n"/>
      <c r="F98" s="18" t="n"/>
      <c r="G98" s="18" t="n"/>
      <c r="H98" s="14" t="n"/>
    </row>
    <row r="99">
      <c r="A99" s="14" t="n"/>
      <c r="B99" s="18" t="n"/>
      <c r="C99" s="14" t="n"/>
      <c r="D99" s="19" t="n"/>
      <c r="E99" s="19" t="n"/>
      <c r="F99" s="18" t="n"/>
      <c r="G99" s="18" t="n"/>
      <c r="H99" s="14" t="n"/>
    </row>
    <row r="100">
      <c r="A100" s="14" t="n"/>
      <c r="B100" s="18" t="n"/>
      <c r="C100" s="14" t="n"/>
      <c r="D100" s="19" t="n"/>
      <c r="E100" s="19" t="n"/>
      <c r="F100" s="18" t="n"/>
      <c r="G100" s="18" t="n"/>
      <c r="H100" s="14" t="n"/>
    </row>
    <row r="101">
      <c r="A101" s="14" t="n"/>
      <c r="B101" s="18" t="n"/>
      <c r="C101" s="14" t="n"/>
      <c r="D101" s="19" t="n"/>
      <c r="E101" s="19" t="n"/>
      <c r="F101" s="18" t="n"/>
      <c r="G101" s="18" t="n"/>
      <c r="H101" s="14" t="n"/>
    </row>
    <row r="102">
      <c r="A102" s="14" t="n"/>
      <c r="B102" s="18" t="n"/>
      <c r="C102" s="14" t="n"/>
      <c r="D102" s="19" t="n"/>
      <c r="E102" s="19" t="n"/>
      <c r="F102" s="18" t="n"/>
      <c r="G102" s="18" t="n"/>
      <c r="H102" s="14" t="n"/>
    </row>
    <row r="103">
      <c r="A103" s="14" t="n"/>
      <c r="B103" s="18" t="n"/>
      <c r="C103" s="14" t="n"/>
      <c r="D103" s="19" t="n"/>
      <c r="E103" s="19" t="n"/>
      <c r="F103" s="18" t="n"/>
      <c r="G103" s="18" t="n"/>
      <c r="H103" s="14" t="n"/>
    </row>
    <row r="104">
      <c r="A104" s="14" t="n"/>
      <c r="B104" s="18" t="n"/>
      <c r="C104" s="14" t="n"/>
      <c r="D104" s="19" t="n"/>
      <c r="E104" s="19" t="n"/>
      <c r="F104" s="18" t="n"/>
      <c r="G104" s="18" t="n"/>
      <c r="H104" s="14" t="n"/>
    </row>
    <row r="105">
      <c r="A105" s="14" t="n"/>
      <c r="B105" s="18" t="n"/>
      <c r="C105" s="14" t="n"/>
      <c r="D105" s="19" t="n"/>
      <c r="E105" s="19" t="n"/>
      <c r="F105" s="18" t="n"/>
      <c r="G105" s="18" t="n"/>
      <c r="H105" s="14" t="n"/>
    </row>
    <row r="106">
      <c r="A106" s="14" t="n"/>
      <c r="B106" s="18" t="n"/>
      <c r="C106" s="14" t="n"/>
      <c r="D106" s="19" t="n"/>
      <c r="E106" s="19" t="n"/>
      <c r="F106" s="18" t="n"/>
      <c r="G106" s="18" t="n"/>
      <c r="H106" s="14" t="n"/>
    </row>
    <row r="107">
      <c r="A107" s="14" t="n"/>
      <c r="B107" s="18" t="n"/>
      <c r="C107" s="14" t="n"/>
      <c r="D107" s="19" t="n"/>
      <c r="E107" s="19" t="n"/>
      <c r="F107" s="18" t="n"/>
      <c r="G107" s="18" t="n"/>
      <c r="H107" s="14" t="n"/>
    </row>
    <row r="108">
      <c r="A108" s="14" t="n"/>
      <c r="B108" s="18" t="n"/>
      <c r="C108" s="14" t="n"/>
      <c r="D108" s="19" t="n"/>
      <c r="E108" s="19" t="n"/>
      <c r="F108" s="18" t="n"/>
      <c r="G108" s="18" t="n"/>
      <c r="H108" s="14" t="n"/>
    </row>
    <row r="109">
      <c r="A109" s="14" t="n"/>
      <c r="B109" s="18" t="n"/>
      <c r="C109" s="14" t="n"/>
      <c r="D109" s="19" t="n"/>
      <c r="E109" s="19" t="n"/>
      <c r="F109" s="18" t="n"/>
      <c r="G109" s="18" t="n"/>
      <c r="H109" s="14" t="n"/>
    </row>
    <row r="110">
      <c r="A110" s="14" t="n"/>
      <c r="B110" s="18" t="n"/>
      <c r="C110" s="14" t="n"/>
      <c r="D110" s="19" t="n"/>
      <c r="E110" s="19" t="n"/>
      <c r="F110" s="18" t="n"/>
      <c r="G110" s="18" t="n"/>
      <c r="H110" s="14" t="n"/>
    </row>
    <row r="111">
      <c r="A111" s="14" t="n"/>
      <c r="B111" s="18" t="n"/>
      <c r="C111" s="14" t="n"/>
      <c r="D111" s="19" t="n"/>
      <c r="E111" s="19" t="n"/>
      <c r="F111" s="18" t="n"/>
      <c r="G111" s="18" t="n"/>
      <c r="H111" s="14" t="n"/>
    </row>
    <row r="112">
      <c r="A112" s="14" t="n"/>
      <c r="B112" s="18" t="n"/>
      <c r="C112" s="14" t="n"/>
      <c r="D112" s="19" t="n"/>
      <c r="E112" s="19" t="n"/>
      <c r="F112" s="18" t="n"/>
      <c r="G112" s="18" t="n"/>
      <c r="H112" s="14" t="n"/>
    </row>
    <row r="113">
      <c r="A113" s="14" t="n"/>
      <c r="B113" s="18" t="n"/>
      <c r="C113" s="14" t="n"/>
      <c r="D113" s="19" t="n"/>
      <c r="E113" s="19" t="n"/>
      <c r="F113" s="18" t="n"/>
      <c r="G113" s="18" t="n"/>
      <c r="H113" s="14" t="n"/>
    </row>
    <row r="114">
      <c r="A114" s="14" t="n"/>
      <c r="B114" s="18" t="n"/>
      <c r="C114" s="14" t="n"/>
      <c r="D114" s="19" t="n"/>
      <c r="E114" s="19" t="n"/>
      <c r="F114" s="18" t="n"/>
      <c r="G114" s="18" t="n"/>
      <c r="H114" s="14" t="n"/>
    </row>
    <row r="115">
      <c r="A115" s="14" t="n"/>
      <c r="B115" s="18" t="n"/>
      <c r="C115" s="14" t="n"/>
      <c r="D115" s="19" t="n"/>
      <c r="E115" s="19" t="n"/>
      <c r="F115" s="18" t="n"/>
      <c r="G115" s="18" t="n"/>
      <c r="H115" s="14" t="n"/>
    </row>
    <row r="116">
      <c r="A116" s="14" t="n"/>
      <c r="B116" s="18" t="n"/>
      <c r="C116" s="14" t="n"/>
      <c r="D116" s="19" t="n"/>
      <c r="E116" s="19" t="n"/>
      <c r="F116" s="18" t="n"/>
      <c r="G116" s="18" t="n"/>
      <c r="H116" s="14" t="n"/>
    </row>
    <row r="117">
      <c r="A117" s="14" t="n"/>
      <c r="B117" s="18" t="n"/>
      <c r="C117" s="14" t="n"/>
      <c r="D117" s="19" t="n"/>
      <c r="E117" s="19" t="n"/>
      <c r="F117" s="18" t="n"/>
      <c r="G117" s="18" t="n"/>
      <c r="H117" s="14" t="n"/>
    </row>
    <row r="118">
      <c r="A118" s="14" t="n"/>
      <c r="B118" s="18" t="n"/>
      <c r="C118" s="14" t="n"/>
      <c r="D118" s="19" t="n"/>
      <c r="E118" s="19" t="n"/>
      <c r="F118" s="18" t="n"/>
      <c r="G118" s="18" t="n"/>
      <c r="H118" s="14" t="n"/>
    </row>
    <row r="119">
      <c r="A119" s="14" t="n"/>
      <c r="B119" s="18" t="n"/>
      <c r="C119" s="14" t="n"/>
      <c r="D119" s="19" t="n"/>
      <c r="E119" s="19" t="n"/>
      <c r="F119" s="18" t="n"/>
      <c r="G119" s="18" t="n"/>
      <c r="H119" s="14" t="n"/>
    </row>
    <row r="120">
      <c r="A120" s="14" t="n"/>
      <c r="B120" s="18" t="n"/>
      <c r="C120" s="14" t="n"/>
      <c r="D120" s="19" t="n"/>
      <c r="E120" s="19" t="n"/>
      <c r="F120" s="18" t="n"/>
      <c r="G120" s="18" t="n"/>
      <c r="H120" s="14" t="n"/>
    </row>
    <row r="121">
      <c r="A121" s="14" t="n"/>
      <c r="B121" s="18" t="n"/>
      <c r="C121" s="14" t="n"/>
      <c r="D121" s="19" t="n"/>
      <c r="E121" s="19" t="n"/>
      <c r="F121" s="18" t="n"/>
      <c r="G121" s="18" t="n"/>
      <c r="H121" s="14" t="n"/>
    </row>
    <row r="122">
      <c r="A122" s="14" t="n"/>
      <c r="B122" s="18" t="n"/>
      <c r="C122" s="14" t="n"/>
      <c r="D122" s="19" t="n"/>
      <c r="E122" s="19" t="n"/>
      <c r="F122" s="18" t="n"/>
      <c r="G122" s="18" t="n"/>
      <c r="H122" s="14" t="n"/>
    </row>
    <row r="123">
      <c r="A123" s="14" t="n"/>
      <c r="B123" s="18" t="n"/>
      <c r="C123" s="14" t="n"/>
      <c r="D123" s="19" t="n"/>
      <c r="E123" s="19" t="n"/>
      <c r="F123" s="18" t="n"/>
      <c r="G123" s="18" t="n"/>
      <c r="H123" s="14" t="n"/>
    </row>
    <row r="124">
      <c r="A124" s="14" t="n"/>
      <c r="B124" s="18" t="n"/>
      <c r="C124" s="14" t="n"/>
      <c r="D124" s="19" t="n"/>
      <c r="E124" s="19" t="n"/>
      <c r="F124" s="18" t="n"/>
      <c r="G124" s="18" t="n"/>
      <c r="H124" s="14" t="n"/>
    </row>
    <row r="125">
      <c r="A125" s="14" t="n"/>
      <c r="B125" s="18" t="n"/>
      <c r="C125" s="14" t="n"/>
      <c r="D125" s="19" t="n"/>
      <c r="E125" s="19" t="n"/>
      <c r="F125" s="18" t="n"/>
      <c r="G125" s="18" t="n"/>
      <c r="H125" s="14" t="n"/>
    </row>
    <row r="126">
      <c r="A126" s="14" t="n"/>
      <c r="B126" s="18" t="n"/>
      <c r="C126" s="14" t="n"/>
      <c r="D126" s="19" t="n"/>
      <c r="E126" s="19" t="n"/>
      <c r="F126" s="18" t="n"/>
      <c r="G126" s="18" t="n"/>
      <c r="H126" s="14" t="n"/>
    </row>
    <row r="127">
      <c r="A127" s="14" t="n"/>
      <c r="B127" s="18" t="n"/>
      <c r="C127" s="14" t="n"/>
      <c r="D127" s="19" t="n"/>
      <c r="E127" s="19" t="n"/>
      <c r="F127" s="18" t="n"/>
      <c r="G127" s="18" t="n"/>
      <c r="H127" s="14" t="n"/>
    </row>
    <row r="128">
      <c r="A128" s="14" t="n"/>
      <c r="B128" s="18" t="n"/>
      <c r="C128" s="14" t="n"/>
      <c r="D128" s="19" t="n"/>
      <c r="E128" s="19" t="n"/>
      <c r="F128" s="18" t="n"/>
      <c r="G128" s="18" t="n"/>
      <c r="H128" s="14" t="n"/>
    </row>
    <row r="129">
      <c r="A129" s="14" t="n"/>
      <c r="B129" s="18" t="n"/>
      <c r="C129" s="14" t="n"/>
      <c r="D129" s="19" t="n"/>
      <c r="E129" s="19" t="n"/>
      <c r="F129" s="18" t="n"/>
      <c r="G129" s="18" t="n"/>
      <c r="H129" s="14" t="n"/>
    </row>
    <row r="130">
      <c r="A130" s="14" t="n"/>
      <c r="B130" s="18" t="n"/>
      <c r="C130" s="14" t="n"/>
      <c r="D130" s="19" t="n"/>
      <c r="E130" s="19" t="n"/>
      <c r="F130" s="18" t="n"/>
      <c r="G130" s="18" t="n"/>
      <c r="H130" s="14" t="n"/>
    </row>
    <row r="131">
      <c r="A131" s="14" t="n"/>
      <c r="B131" s="18" t="n"/>
      <c r="C131" s="14" t="n"/>
      <c r="D131" s="19" t="n"/>
      <c r="E131" s="19" t="n"/>
      <c r="F131" s="18" t="n"/>
      <c r="G131" s="18" t="n"/>
      <c r="H131" s="14" t="n"/>
    </row>
    <row r="132">
      <c r="A132" s="14" t="n"/>
      <c r="B132" s="18" t="n"/>
      <c r="C132" s="14" t="n"/>
      <c r="D132" s="19" t="n"/>
      <c r="E132" s="19" t="n"/>
      <c r="F132" s="18" t="n"/>
      <c r="G132" s="18" t="n"/>
      <c r="H132" s="14" t="n"/>
    </row>
    <row r="133">
      <c r="A133" s="14" t="n"/>
      <c r="B133" s="18" t="n"/>
      <c r="C133" s="14" t="n"/>
      <c r="D133" s="19" t="n"/>
      <c r="E133" s="19" t="n"/>
      <c r="F133" s="18" t="n"/>
      <c r="G133" s="18" t="n"/>
      <c r="H133" s="14" t="n"/>
    </row>
    <row r="134">
      <c r="A134" s="14" t="n"/>
      <c r="B134" s="18" t="n"/>
      <c r="C134" s="14" t="n"/>
      <c r="D134" s="19" t="n"/>
      <c r="E134" s="19" t="n"/>
      <c r="F134" s="18" t="n"/>
      <c r="G134" s="18" t="n"/>
      <c r="H134" s="14" t="n"/>
    </row>
    <row r="135">
      <c r="A135" s="14" t="n"/>
      <c r="B135" s="18" t="n"/>
      <c r="C135" s="14" t="n"/>
      <c r="D135" s="19" t="n"/>
      <c r="E135" s="19" t="n"/>
      <c r="F135" s="18" t="n"/>
      <c r="G135" s="18" t="n"/>
      <c r="H135" s="14" t="n"/>
    </row>
    <row r="136">
      <c r="A136" s="14" t="n"/>
      <c r="B136" s="18" t="n"/>
      <c r="C136" s="14" t="n"/>
      <c r="D136" s="19" t="n"/>
      <c r="E136" s="19" t="n"/>
      <c r="F136" s="18" t="n"/>
      <c r="G136" s="18" t="n"/>
      <c r="H136" s="14" t="n"/>
    </row>
    <row r="137">
      <c r="A137" s="14" t="n"/>
      <c r="B137" s="18" t="n"/>
      <c r="C137" s="14" t="n"/>
      <c r="D137" s="19" t="n"/>
      <c r="E137" s="19" t="n"/>
      <c r="F137" s="18" t="n"/>
      <c r="G137" s="18" t="n"/>
      <c r="H137" s="14" t="n"/>
    </row>
    <row r="138">
      <c r="A138" s="14" t="n"/>
      <c r="B138" s="18" t="n"/>
      <c r="C138" s="14" t="n"/>
      <c r="D138" s="19" t="n"/>
      <c r="E138" s="19" t="n"/>
      <c r="F138" s="18" t="n"/>
      <c r="G138" s="18" t="n"/>
      <c r="H138" s="14" t="n"/>
    </row>
    <row r="139">
      <c r="A139" s="14" t="n"/>
      <c r="B139" s="18" t="n"/>
      <c r="C139" s="14" t="n"/>
      <c r="D139" s="19" t="n"/>
      <c r="E139" s="19" t="n"/>
      <c r="F139" s="18" t="n"/>
      <c r="G139" s="18" t="n"/>
      <c r="H139" s="14" t="n"/>
    </row>
    <row r="140">
      <c r="A140" s="14" t="n"/>
      <c r="B140" s="18" t="n"/>
      <c r="C140" s="14" t="n"/>
      <c r="D140" s="19" t="n"/>
      <c r="E140" s="19" t="n"/>
      <c r="F140" s="18" t="n"/>
      <c r="G140" s="18" t="n"/>
      <c r="H140" s="14" t="n"/>
    </row>
    <row r="141">
      <c r="A141" s="14" t="n"/>
      <c r="B141" s="18" t="n"/>
      <c r="C141" s="14" t="n"/>
      <c r="D141" s="19" t="n"/>
      <c r="E141" s="19" t="n"/>
      <c r="F141" s="18" t="n"/>
      <c r="G141" s="18" t="n"/>
      <c r="H141" s="14" t="n"/>
    </row>
    <row r="142">
      <c r="A142" s="14" t="n"/>
      <c r="B142" s="18" t="n"/>
      <c r="C142" s="14" t="n"/>
      <c r="D142" s="19" t="n"/>
      <c r="E142" s="19" t="n"/>
      <c r="F142" s="18" t="n"/>
      <c r="G142" s="18" t="n"/>
      <c r="H142" s="14" t="n"/>
    </row>
    <row r="143">
      <c r="A143" s="14" t="n"/>
      <c r="B143" s="18" t="n"/>
      <c r="C143" s="14" t="n"/>
      <c r="D143" s="19" t="n"/>
      <c r="E143" s="19" t="n"/>
      <c r="F143" s="18" t="n"/>
      <c r="G143" s="18" t="n"/>
      <c r="H143" s="14" t="n"/>
    </row>
    <row r="144">
      <c r="A144" s="14" t="n"/>
      <c r="B144" s="18" t="n"/>
      <c r="C144" s="14" t="n"/>
      <c r="D144" s="19" t="n"/>
      <c r="E144" s="19" t="n"/>
      <c r="F144" s="18" t="n"/>
      <c r="G144" s="18" t="n"/>
      <c r="H144" s="14" t="n"/>
    </row>
    <row r="145">
      <c r="A145" s="14" t="n"/>
      <c r="B145" s="18" t="n"/>
      <c r="C145" s="14" t="n"/>
      <c r="D145" s="19" t="n"/>
      <c r="E145" s="19" t="n"/>
      <c r="F145" s="18" t="n"/>
      <c r="G145" s="18" t="n"/>
      <c r="H145" s="14" t="n"/>
    </row>
    <row r="146">
      <c r="A146" s="14" t="n"/>
      <c r="B146" s="18" t="n"/>
      <c r="C146" s="14" t="n"/>
      <c r="D146" s="19" t="n"/>
      <c r="E146" s="19" t="n"/>
      <c r="F146" s="18" t="n"/>
      <c r="G146" s="18" t="n"/>
      <c r="H146" s="14" t="n"/>
    </row>
    <row r="147">
      <c r="A147" s="14" t="n"/>
      <c r="B147" s="18" t="n"/>
      <c r="C147" s="14" t="n"/>
      <c r="D147" s="19" t="n"/>
      <c r="E147" s="19" t="n"/>
      <c r="F147" s="18" t="n"/>
      <c r="G147" s="18" t="n"/>
      <c r="H147" s="14" t="n"/>
    </row>
    <row r="148">
      <c r="A148" s="14" t="n"/>
      <c r="B148" s="18" t="n"/>
      <c r="C148" s="14" t="n"/>
      <c r="D148" s="19" t="n"/>
      <c r="E148" s="19" t="n"/>
      <c r="F148" s="18" t="n"/>
      <c r="G148" s="18" t="n"/>
      <c r="H148" s="14" t="n"/>
    </row>
    <row r="149">
      <c r="A149" s="14" t="n"/>
      <c r="B149" s="18" t="n"/>
      <c r="C149" s="14" t="n"/>
      <c r="D149" s="19" t="n"/>
      <c r="E149" s="19" t="n"/>
      <c r="F149" s="18" t="n"/>
      <c r="G149" s="18" t="n"/>
      <c r="H149" s="14" t="n"/>
    </row>
    <row r="150">
      <c r="A150" s="14" t="n"/>
      <c r="B150" s="18" t="n"/>
      <c r="C150" s="14" t="n"/>
      <c r="D150" s="19" t="n"/>
      <c r="E150" s="19" t="n"/>
      <c r="F150" s="18" t="n"/>
      <c r="G150" s="18" t="n"/>
      <c r="H150" s="14" t="n"/>
    </row>
    <row r="151">
      <c r="A151" s="14" t="n"/>
      <c r="B151" s="18" t="n"/>
      <c r="C151" s="14" t="n"/>
      <c r="D151" s="19" t="n"/>
      <c r="E151" s="19" t="n"/>
      <c r="F151" s="18" t="n"/>
      <c r="G151" s="18" t="n"/>
      <c r="H151" s="14" t="n"/>
    </row>
    <row r="152">
      <c r="A152" s="14" t="n"/>
      <c r="B152" s="18" t="n"/>
      <c r="C152" s="14" t="n"/>
      <c r="D152" s="19" t="n"/>
      <c r="E152" s="19" t="n"/>
      <c r="F152" s="18" t="n"/>
      <c r="G152" s="18" t="n"/>
      <c r="H152" s="14" t="n"/>
    </row>
    <row r="153">
      <c r="A153" s="14" t="n"/>
      <c r="B153" s="18" t="n"/>
      <c r="C153" s="14" t="n"/>
      <c r="D153" s="19" t="n"/>
      <c r="E153" s="19" t="n"/>
      <c r="F153" s="18" t="n"/>
      <c r="G153" s="18" t="n"/>
      <c r="H153" s="14" t="n"/>
    </row>
    <row r="154">
      <c r="A154" s="14" t="n"/>
      <c r="B154" s="18" t="n"/>
      <c r="C154" s="14" t="n"/>
      <c r="D154" s="19" t="n"/>
      <c r="E154" s="19" t="n"/>
      <c r="F154" s="18" t="n"/>
      <c r="G154" s="18" t="n"/>
      <c r="H154" s="14" t="n"/>
    </row>
    <row r="155">
      <c r="A155" s="14" t="n"/>
      <c r="B155" s="18" t="n"/>
      <c r="C155" s="14" t="n"/>
      <c r="D155" s="19" t="n"/>
      <c r="E155" s="19" t="n"/>
      <c r="F155" s="18" t="n"/>
      <c r="G155" s="18" t="n"/>
      <c r="H155" s="14" t="n"/>
    </row>
    <row r="156">
      <c r="A156" s="14" t="n"/>
      <c r="B156" s="18" t="n"/>
      <c r="C156" s="14" t="n"/>
      <c r="D156" s="19" t="n"/>
      <c r="E156" s="19" t="n"/>
      <c r="F156" s="18" t="n"/>
      <c r="G156" s="18" t="n"/>
      <c r="H156" s="14" t="n"/>
    </row>
    <row r="157">
      <c r="A157" s="14" t="n"/>
      <c r="B157" s="18" t="n"/>
      <c r="C157" s="14" t="n"/>
      <c r="D157" s="19" t="n"/>
      <c r="E157" s="19" t="n"/>
      <c r="F157" s="18" t="n"/>
      <c r="G157" s="18" t="n"/>
      <c r="H157" s="14" t="n"/>
    </row>
    <row r="158">
      <c r="A158" s="14" t="n"/>
      <c r="B158" s="18" t="n"/>
      <c r="C158" s="14" t="n"/>
      <c r="D158" s="19" t="n"/>
      <c r="E158" s="19" t="n"/>
      <c r="F158" s="18" t="n"/>
      <c r="G158" s="18" t="n"/>
      <c r="H158" s="14" t="n"/>
    </row>
    <row r="159">
      <c r="A159" s="14" t="n"/>
      <c r="B159" s="18" t="n"/>
      <c r="C159" s="14" t="n"/>
      <c r="D159" s="19" t="n"/>
      <c r="E159" s="19" t="n"/>
      <c r="F159" s="18" t="n"/>
      <c r="G159" s="18" t="n"/>
      <c r="H159" s="14" t="n"/>
    </row>
    <row r="160">
      <c r="A160" s="14" t="n"/>
      <c r="B160" s="18" t="n"/>
      <c r="C160" s="14" t="n"/>
      <c r="D160" s="19" t="n"/>
      <c r="E160" s="19" t="n"/>
      <c r="F160" s="18" t="n"/>
      <c r="G160" s="18" t="n"/>
      <c r="H160" s="14" t="n"/>
    </row>
    <row r="161">
      <c r="A161" s="14" t="n"/>
      <c r="B161" s="18" t="n"/>
      <c r="C161" s="14" t="n"/>
      <c r="D161" s="19" t="n"/>
      <c r="E161" s="19" t="n"/>
      <c r="F161" s="18" t="n"/>
      <c r="G161" s="18" t="n"/>
      <c r="H161" s="14" t="n"/>
    </row>
    <row r="162">
      <c r="A162" s="14" t="n"/>
      <c r="B162" s="18" t="n"/>
      <c r="C162" s="14" t="n"/>
      <c r="D162" s="19" t="n"/>
      <c r="E162" s="19" t="n"/>
      <c r="F162" s="18" t="n"/>
      <c r="G162" s="18" t="n"/>
      <c r="H162" s="14" t="n"/>
    </row>
    <row r="163">
      <c r="A163" s="14" t="n"/>
      <c r="B163" s="18" t="n"/>
      <c r="C163" s="14" t="n"/>
      <c r="D163" s="19" t="n"/>
      <c r="E163" s="19" t="n"/>
      <c r="F163" s="18" t="n"/>
      <c r="G163" s="18" t="n"/>
      <c r="H163" s="14" t="n"/>
    </row>
    <row r="164">
      <c r="A164" s="14" t="n"/>
      <c r="B164" s="18" t="n"/>
      <c r="C164" s="14" t="n"/>
      <c r="D164" s="19" t="n"/>
      <c r="E164" s="19" t="n"/>
      <c r="F164" s="18" t="n"/>
      <c r="G164" s="18" t="n"/>
      <c r="H164" s="14" t="n"/>
    </row>
    <row r="165">
      <c r="A165" s="14" t="n"/>
      <c r="B165" s="18" t="n"/>
      <c r="C165" s="14" t="n"/>
      <c r="D165" s="19" t="n"/>
      <c r="E165" s="19" t="n"/>
      <c r="F165" s="18" t="n"/>
      <c r="G165" s="18" t="n"/>
      <c r="H165" s="14" t="n"/>
    </row>
    <row r="166">
      <c r="A166" s="14" t="n"/>
      <c r="B166" s="18" t="n"/>
      <c r="C166" s="14" t="n"/>
      <c r="D166" s="19" t="n"/>
      <c r="E166" s="19" t="n"/>
      <c r="F166" s="18" t="n"/>
      <c r="G166" s="18" t="n"/>
      <c r="H166" s="14" t="n"/>
    </row>
    <row r="167">
      <c r="A167" s="14" t="n"/>
      <c r="B167" s="18" t="n"/>
      <c r="C167" s="14" t="n"/>
      <c r="D167" s="19" t="n"/>
      <c r="E167" s="19" t="n"/>
      <c r="F167" s="18" t="n"/>
      <c r="G167" s="18" t="n"/>
      <c r="H167" s="14" t="n"/>
    </row>
    <row r="168">
      <c r="A168" s="14" t="n"/>
      <c r="B168" s="18" t="n"/>
      <c r="C168" s="14" t="n"/>
      <c r="D168" s="19" t="n"/>
      <c r="E168" s="19" t="n"/>
      <c r="F168" s="18" t="n"/>
      <c r="G168" s="18" t="n"/>
      <c r="H168" s="14" t="n"/>
    </row>
    <row r="169">
      <c r="A169" s="14" t="n"/>
      <c r="B169" s="18" t="n"/>
      <c r="C169" s="14" t="n"/>
      <c r="D169" s="19" t="n"/>
      <c r="E169" s="19" t="n"/>
      <c r="F169" s="18" t="n"/>
      <c r="G169" s="18" t="n"/>
      <c r="H169" s="14" t="n"/>
    </row>
    <row r="170">
      <c r="A170" s="14" t="n"/>
      <c r="B170" s="18" t="n"/>
      <c r="C170" s="14" t="n"/>
      <c r="D170" s="19" t="n"/>
      <c r="E170" s="19" t="n"/>
      <c r="F170" s="18" t="n"/>
      <c r="G170" s="18" t="n"/>
      <c r="H170" s="14" t="n"/>
    </row>
    <row r="171">
      <c r="A171" s="14" t="n"/>
      <c r="B171" s="18" t="n"/>
      <c r="C171" s="14" t="n"/>
      <c r="D171" s="19" t="n"/>
      <c r="E171" s="19" t="n"/>
      <c r="F171" s="18" t="n"/>
      <c r="G171" s="18" t="n"/>
      <c r="H171" s="14" t="n"/>
    </row>
    <row r="172">
      <c r="A172" s="14" t="n"/>
      <c r="B172" s="18" t="n"/>
      <c r="C172" s="14" t="n"/>
      <c r="D172" s="19" t="n"/>
      <c r="E172" s="19" t="n"/>
      <c r="F172" s="18" t="n"/>
      <c r="G172" s="18" t="n"/>
      <c r="H172" s="14" t="n"/>
    </row>
    <row r="173">
      <c r="A173" s="14" t="n"/>
      <c r="B173" s="18" t="n"/>
      <c r="C173" s="14" t="n"/>
      <c r="D173" s="19" t="n"/>
      <c r="E173" s="19" t="n"/>
      <c r="F173" s="18" t="n"/>
      <c r="G173" s="18" t="n"/>
      <c r="H173" s="14" t="n"/>
    </row>
    <row r="174">
      <c r="A174" s="14" t="n"/>
      <c r="B174" s="18" t="n"/>
      <c r="C174" s="14" t="n"/>
      <c r="D174" s="19" t="n"/>
      <c r="E174" s="19" t="n"/>
      <c r="F174" s="18" t="n"/>
      <c r="G174" s="18" t="n"/>
      <c r="H174" s="14" t="n"/>
    </row>
    <row r="175">
      <c r="A175" s="14" t="n"/>
      <c r="B175" s="18" t="n"/>
      <c r="C175" s="14" t="n"/>
      <c r="D175" s="19" t="n"/>
      <c r="E175" s="19" t="n"/>
      <c r="F175" s="18" t="n"/>
      <c r="G175" s="18" t="n"/>
      <c r="H175" s="14" t="n"/>
    </row>
    <row r="176">
      <c r="A176" s="14" t="n"/>
      <c r="B176" s="18" t="n"/>
      <c r="C176" s="14" t="n"/>
      <c r="D176" s="19" t="n"/>
      <c r="E176" s="19" t="n"/>
      <c r="F176" s="18" t="n"/>
      <c r="G176" s="18" t="n"/>
      <c r="H176" s="14" t="n"/>
    </row>
    <row r="177">
      <c r="A177" s="14" t="n"/>
      <c r="B177" s="18" t="n"/>
      <c r="C177" s="14" t="n"/>
      <c r="D177" s="19" t="n"/>
      <c r="E177" s="19" t="n"/>
      <c r="F177" s="18" t="n"/>
      <c r="G177" s="18" t="n"/>
      <c r="H177" s="14" t="n"/>
    </row>
    <row r="178">
      <c r="A178" s="14" t="n"/>
      <c r="B178" s="18" t="n"/>
      <c r="C178" s="14" t="n"/>
      <c r="D178" s="19" t="n"/>
      <c r="E178" s="19" t="n"/>
      <c r="F178" s="18" t="n"/>
      <c r="G178" s="18" t="n"/>
      <c r="H178" s="14" t="n"/>
    </row>
    <row r="179">
      <c r="A179" s="14" t="n"/>
      <c r="B179" s="18" t="n"/>
      <c r="C179" s="14" t="n"/>
      <c r="D179" s="19" t="n"/>
      <c r="E179" s="19" t="n"/>
      <c r="F179" s="18" t="n"/>
      <c r="G179" s="18" t="n"/>
      <c r="H179" s="14" t="n"/>
    </row>
    <row r="180">
      <c r="A180" s="14" t="n"/>
      <c r="B180" s="18" t="n"/>
      <c r="C180" s="14" t="n"/>
      <c r="D180" s="19" t="n"/>
      <c r="E180" s="19" t="n"/>
      <c r="F180" s="18" t="n"/>
      <c r="G180" s="18" t="n"/>
      <c r="H180" s="14" t="n"/>
    </row>
    <row r="181">
      <c r="A181" s="14" t="n"/>
      <c r="B181" s="18" t="n"/>
      <c r="C181" s="14" t="n"/>
      <c r="D181" s="19" t="n"/>
      <c r="E181" s="19" t="n"/>
      <c r="F181" s="18" t="n"/>
      <c r="G181" s="18" t="n"/>
      <c r="H181" s="14" t="n"/>
    </row>
    <row r="182">
      <c r="A182" s="14" t="n"/>
      <c r="B182" s="18" t="n"/>
      <c r="C182" s="14" t="n"/>
      <c r="D182" s="19" t="n"/>
      <c r="E182" s="19" t="n"/>
      <c r="F182" s="18" t="n"/>
      <c r="G182" s="18" t="n"/>
      <c r="H182" s="14" t="n"/>
    </row>
    <row r="183">
      <c r="A183" s="14" t="n"/>
      <c r="B183" s="18" t="n"/>
      <c r="C183" s="14" t="n"/>
      <c r="D183" s="19" t="n"/>
      <c r="E183" s="19" t="n"/>
      <c r="F183" s="18" t="n"/>
      <c r="G183" s="18" t="n"/>
      <c r="H183" s="14" t="n"/>
    </row>
    <row r="184">
      <c r="A184" s="14" t="n"/>
      <c r="B184" s="18" t="n"/>
      <c r="C184" s="14" t="n"/>
      <c r="D184" s="19" t="n"/>
      <c r="E184" s="19" t="n"/>
      <c r="F184" s="18" t="n"/>
      <c r="G184" s="18" t="n"/>
      <c r="H184" s="14" t="n"/>
    </row>
    <row r="185">
      <c r="A185" s="14" t="n"/>
      <c r="B185" s="18" t="n"/>
      <c r="C185" s="14" t="n"/>
      <c r="D185" s="19" t="n"/>
      <c r="E185" s="19" t="n"/>
      <c r="F185" s="18" t="n"/>
      <c r="G185" s="18" t="n"/>
      <c r="H185" s="14" t="n"/>
    </row>
    <row r="186">
      <c r="A186" s="14" t="n"/>
      <c r="B186" s="18" t="n"/>
      <c r="C186" s="14" t="n"/>
      <c r="D186" s="19" t="n"/>
      <c r="E186" s="19" t="n"/>
      <c r="F186" s="18" t="n"/>
      <c r="G186" s="18" t="n"/>
      <c r="H186" s="14" t="n"/>
    </row>
    <row r="187">
      <c r="A187" s="14" t="n"/>
      <c r="B187" s="18" t="n"/>
      <c r="C187" s="14" t="n"/>
      <c r="D187" s="19" t="n"/>
      <c r="E187" s="19" t="n"/>
      <c r="F187" s="18" t="n"/>
      <c r="G187" s="18" t="n"/>
      <c r="H187" s="14" t="n"/>
    </row>
    <row r="188">
      <c r="A188" s="14" t="n"/>
      <c r="B188" s="18" t="n"/>
      <c r="C188" s="14" t="n"/>
      <c r="D188" s="19" t="n"/>
      <c r="E188" s="19" t="n"/>
      <c r="F188" s="18" t="n"/>
      <c r="G188" s="18" t="n"/>
      <c r="H188" s="14" t="n"/>
    </row>
    <row r="189">
      <c r="A189" s="14" t="n"/>
      <c r="B189" s="18" t="n"/>
      <c r="C189" s="14" t="n"/>
      <c r="D189" s="19" t="n"/>
      <c r="E189" s="19" t="n"/>
      <c r="F189" s="18" t="n"/>
      <c r="G189" s="18" t="n"/>
      <c r="H189" s="14" t="n"/>
    </row>
    <row r="190">
      <c r="A190" s="14" t="n"/>
      <c r="B190" s="18" t="n"/>
      <c r="C190" s="14" t="n"/>
      <c r="D190" s="19" t="n"/>
      <c r="E190" s="19" t="n"/>
      <c r="F190" s="18" t="n"/>
      <c r="G190" s="18" t="n"/>
      <c r="H190" s="14" t="n"/>
    </row>
    <row r="191">
      <c r="A191" s="14" t="n"/>
      <c r="B191" s="18" t="n"/>
      <c r="C191" s="14" t="n"/>
      <c r="D191" s="19" t="n"/>
      <c r="E191" s="19" t="n"/>
      <c r="F191" s="18" t="n"/>
      <c r="G191" s="18" t="n"/>
      <c r="H191" s="14" t="n"/>
    </row>
    <row r="192">
      <c r="A192" s="14" t="n"/>
      <c r="B192" s="18" t="n"/>
      <c r="C192" s="14" t="n"/>
      <c r="D192" s="19" t="n"/>
      <c r="E192" s="19" t="n"/>
      <c r="F192" s="18" t="n"/>
      <c r="G192" s="18" t="n"/>
      <c r="H192" s="14" t="n"/>
    </row>
    <row r="193">
      <c r="A193" s="14" t="n"/>
      <c r="B193" s="18" t="n"/>
      <c r="C193" s="14" t="n"/>
      <c r="D193" s="19" t="n"/>
      <c r="E193" s="19" t="n"/>
      <c r="F193" s="18" t="n"/>
      <c r="G193" s="18" t="n"/>
      <c r="H193" s="14" t="n"/>
    </row>
    <row r="194">
      <c r="A194" s="14" t="n"/>
      <c r="B194" s="18" t="n"/>
      <c r="C194" s="14" t="n"/>
      <c r="D194" s="19" t="n"/>
      <c r="E194" s="19" t="n"/>
      <c r="F194" s="18" t="n"/>
      <c r="G194" s="18" t="n"/>
      <c r="H194" s="14" t="n"/>
    </row>
    <row r="195">
      <c r="A195" s="14" t="n"/>
      <c r="B195" s="18" t="n"/>
      <c r="C195" s="14" t="n"/>
      <c r="D195" s="19" t="n"/>
      <c r="E195" s="19" t="n"/>
      <c r="F195" s="18" t="n"/>
      <c r="G195" s="18" t="n"/>
      <c r="H195" s="14" t="n"/>
    </row>
    <row r="196">
      <c r="A196" s="14" t="n"/>
      <c r="B196" s="18" t="n"/>
      <c r="C196" s="14" t="n"/>
      <c r="D196" s="19" t="n"/>
      <c r="E196" s="19" t="n"/>
      <c r="F196" s="18" t="n"/>
      <c r="G196" s="18" t="n"/>
      <c r="H196" s="14" t="n"/>
    </row>
    <row r="197">
      <c r="A197" s="14" t="n"/>
      <c r="B197" s="18" t="n"/>
      <c r="C197" s="14" t="n"/>
      <c r="D197" s="19" t="n"/>
      <c r="E197" s="19" t="n"/>
      <c r="F197" s="18" t="n"/>
      <c r="G197" s="18" t="n"/>
      <c r="H197" s="14" t="n"/>
    </row>
    <row r="198">
      <c r="A198" s="14" t="n"/>
      <c r="B198" s="18" t="n"/>
      <c r="C198" s="14" t="n"/>
      <c r="D198" s="19" t="n"/>
      <c r="E198" s="19" t="n"/>
      <c r="F198" s="18" t="n"/>
      <c r="G198" s="18" t="n"/>
      <c r="H198" s="14" t="n"/>
    </row>
    <row r="199">
      <c r="A199" s="14" t="n"/>
      <c r="B199" s="18" t="n"/>
      <c r="C199" s="14" t="n"/>
      <c r="D199" s="19" t="n"/>
      <c r="E199" s="19" t="n"/>
      <c r="F199" s="18" t="n"/>
      <c r="G199" s="18" t="n"/>
      <c r="H199" s="14" t="n"/>
    </row>
    <row r="200">
      <c r="A200" s="14" t="n"/>
      <c r="B200" s="18" t="n"/>
      <c r="C200" s="14" t="n"/>
      <c r="D200" s="19" t="n"/>
      <c r="E200" s="19" t="n"/>
      <c r="F200" s="18" t="n"/>
      <c r="G200" s="18" t="n"/>
      <c r="H200" s="14" t="n"/>
    </row>
    <row r="201">
      <c r="A201" s="14" t="n"/>
      <c r="B201" s="18" t="n"/>
      <c r="C201" s="14" t="n"/>
      <c r="D201" s="19" t="n"/>
      <c r="E201" s="19" t="n"/>
      <c r="F201" s="18" t="n"/>
      <c r="G201" s="18" t="n"/>
      <c r="H201" s="14" t="n"/>
    </row>
    <row r="202">
      <c r="A202" s="14" t="n"/>
      <c r="B202" s="18" t="n"/>
      <c r="C202" s="14" t="n"/>
      <c r="D202" s="19" t="n"/>
      <c r="E202" s="19" t="n"/>
      <c r="F202" s="18" t="n"/>
      <c r="G202" s="18" t="n"/>
      <c r="H202" s="14" t="n"/>
    </row>
    <row r="203">
      <c r="A203" s="14" t="n"/>
      <c r="B203" s="18" t="n"/>
      <c r="C203" s="14" t="n"/>
      <c r="D203" s="19" t="n"/>
      <c r="E203" s="19" t="n"/>
      <c r="F203" s="18" t="n"/>
      <c r="G203" s="18" t="n"/>
      <c r="H203" s="14" t="n"/>
    </row>
    <row r="204">
      <c r="A204" s="14" t="n"/>
      <c r="B204" s="18" t="n"/>
      <c r="C204" s="14" t="n"/>
      <c r="D204" s="19" t="n"/>
      <c r="E204" s="19" t="n"/>
      <c r="F204" s="18" t="n"/>
      <c r="G204" s="18" t="n"/>
      <c r="H204" s="14" t="n"/>
    </row>
  </sheetData>
  <autoFilter ref="A4:H204"/>
  <dataValidations count="3">
    <dataValidation sqref="C5:C205" showDropDown="0" showInputMessage="0" showErrorMessage="1" allowBlank="1" type="list">
      <formula1>Lists!$J$1:$J$2</formula1>
    </dataValidation>
    <dataValidation sqref="D5:D205" showDropDown="0" showInputMessage="0" showErrorMessage="1" allowBlank="1" error="Enter a date (YYYY-MM-DD)" type="date" operator="greaterThan">
      <formula1>DATE(2000,1,1)</formula1>
    </dataValidation>
    <dataValidation sqref="E5:E205" showDropDown="0" showInputMessage="0" showErrorMessage="1" allowBlank="1" error="Enter a date (YYYY-MM-DD)" type="date" operator="greaterThan">
      <formula1>DATE(2000,1,1)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0"/>
    <pageSetUpPr/>
  </sheetPr>
  <dimension ref="A1:C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</cols>
  <sheetData>
    <row r="1" ht="24" customHeight="1">
      <c r="A1" s="8" t="inlineStr">
        <is>
          <t>BEYOND DESIGN | PARTNER SHARES</t>
        </is>
      </c>
    </row>
    <row r="2">
      <c r="A2" s="9" t="inlineStr">
        <is>
          <t>Ownership per business unit (overrides the default share)</t>
        </is>
      </c>
    </row>
    <row r="3">
      <c r="A3" s="10" t="inlineStr">
        <is>
          <t>e.g. Partner name</t>
        </is>
      </c>
      <c r="B3" s="10" t="inlineStr">
        <is>
          <t>PRJ-2026-004</t>
        </is>
      </c>
      <c r="C3" s="10" t="inlineStr">
        <is>
          <t>25%</t>
        </is>
      </c>
    </row>
    <row r="4" ht="30" customHeight="1">
      <c r="A4" s="11" t="inlineStr">
        <is>
          <t>Partner</t>
        </is>
      </c>
      <c r="B4" s="11" t="inlineStr">
        <is>
          <t>Business Unit</t>
        </is>
      </c>
      <c r="C4" s="11" t="inlineStr">
        <is>
          <t>Share %</t>
        </is>
      </c>
    </row>
    <row r="5">
      <c r="A5" s="14" t="n"/>
      <c r="B5" s="14" t="n"/>
      <c r="C5" s="18" t="n"/>
    </row>
    <row r="6">
      <c r="A6" s="14" t="n"/>
      <c r="B6" s="14" t="n"/>
      <c r="C6" s="18" t="n"/>
    </row>
    <row r="7">
      <c r="A7" s="14" t="n"/>
      <c r="B7" s="14" t="n"/>
      <c r="C7" s="18" t="n"/>
    </row>
    <row r="8">
      <c r="A8" s="14" t="n"/>
      <c r="B8" s="14" t="n"/>
      <c r="C8" s="18" t="n"/>
    </row>
    <row r="9">
      <c r="A9" s="14" t="n"/>
      <c r="B9" s="14" t="n"/>
      <c r="C9" s="18" t="n"/>
    </row>
    <row r="10">
      <c r="A10" s="14" t="n"/>
      <c r="B10" s="14" t="n"/>
      <c r="C10" s="18" t="n"/>
    </row>
    <row r="11">
      <c r="A11" s="14" t="n"/>
      <c r="B11" s="14" t="n"/>
      <c r="C11" s="18" t="n"/>
    </row>
    <row r="12">
      <c r="A12" s="14" t="n"/>
      <c r="B12" s="14" t="n"/>
      <c r="C12" s="18" t="n"/>
    </row>
    <row r="13">
      <c r="A13" s="14" t="n"/>
      <c r="B13" s="14" t="n"/>
      <c r="C13" s="18" t="n"/>
    </row>
    <row r="14">
      <c r="A14" s="14" t="n"/>
      <c r="B14" s="14" t="n"/>
      <c r="C14" s="18" t="n"/>
    </row>
    <row r="15">
      <c r="A15" s="14" t="n"/>
      <c r="B15" s="14" t="n"/>
      <c r="C15" s="18" t="n"/>
    </row>
    <row r="16">
      <c r="A16" s="14" t="n"/>
      <c r="B16" s="14" t="n"/>
      <c r="C16" s="18" t="n"/>
    </row>
    <row r="17">
      <c r="A17" s="14" t="n"/>
      <c r="B17" s="14" t="n"/>
      <c r="C17" s="18" t="n"/>
    </row>
    <row r="18">
      <c r="A18" s="14" t="n"/>
      <c r="B18" s="14" t="n"/>
      <c r="C18" s="18" t="n"/>
    </row>
    <row r="19">
      <c r="A19" s="14" t="n"/>
      <c r="B19" s="14" t="n"/>
      <c r="C19" s="18" t="n"/>
    </row>
    <row r="20">
      <c r="A20" s="14" t="n"/>
      <c r="B20" s="14" t="n"/>
      <c r="C20" s="18" t="n"/>
    </row>
    <row r="21">
      <c r="A21" s="14" t="n"/>
      <c r="B21" s="14" t="n"/>
      <c r="C21" s="18" t="n"/>
    </row>
    <row r="22">
      <c r="A22" s="14" t="n"/>
      <c r="B22" s="14" t="n"/>
      <c r="C22" s="18" t="n"/>
    </row>
    <row r="23">
      <c r="A23" s="14" t="n"/>
      <c r="B23" s="14" t="n"/>
      <c r="C23" s="18" t="n"/>
    </row>
    <row r="24">
      <c r="A24" s="14" t="n"/>
      <c r="B24" s="14" t="n"/>
      <c r="C24" s="18" t="n"/>
    </row>
    <row r="25">
      <c r="A25" s="14" t="n"/>
      <c r="B25" s="14" t="n"/>
      <c r="C25" s="18" t="n"/>
    </row>
    <row r="26">
      <c r="A26" s="14" t="n"/>
      <c r="B26" s="14" t="n"/>
      <c r="C26" s="18" t="n"/>
    </row>
    <row r="27">
      <c r="A27" s="14" t="n"/>
      <c r="B27" s="14" t="n"/>
      <c r="C27" s="18" t="n"/>
    </row>
    <row r="28">
      <c r="A28" s="14" t="n"/>
      <c r="B28" s="14" t="n"/>
      <c r="C28" s="18" t="n"/>
    </row>
    <row r="29">
      <c r="A29" s="14" t="n"/>
      <c r="B29" s="14" t="n"/>
      <c r="C29" s="18" t="n"/>
    </row>
    <row r="30">
      <c r="A30" s="14" t="n"/>
      <c r="B30" s="14" t="n"/>
      <c r="C30" s="18" t="n"/>
    </row>
    <row r="31">
      <c r="A31" s="14" t="n"/>
      <c r="B31" s="14" t="n"/>
      <c r="C31" s="18" t="n"/>
    </row>
    <row r="32">
      <c r="A32" s="14" t="n"/>
      <c r="B32" s="14" t="n"/>
      <c r="C32" s="18" t="n"/>
    </row>
    <row r="33">
      <c r="A33" s="14" t="n"/>
      <c r="B33" s="14" t="n"/>
      <c r="C33" s="18" t="n"/>
    </row>
    <row r="34">
      <c r="A34" s="14" t="n"/>
      <c r="B34" s="14" t="n"/>
      <c r="C34" s="18" t="n"/>
    </row>
    <row r="35">
      <c r="A35" s="14" t="n"/>
      <c r="B35" s="14" t="n"/>
      <c r="C35" s="18" t="n"/>
    </row>
    <row r="36">
      <c r="A36" s="14" t="n"/>
      <c r="B36" s="14" t="n"/>
      <c r="C36" s="18" t="n"/>
    </row>
    <row r="37">
      <c r="A37" s="14" t="n"/>
      <c r="B37" s="14" t="n"/>
      <c r="C37" s="18" t="n"/>
    </row>
    <row r="38">
      <c r="A38" s="14" t="n"/>
      <c r="B38" s="14" t="n"/>
      <c r="C38" s="18" t="n"/>
    </row>
    <row r="39">
      <c r="A39" s="14" t="n"/>
      <c r="B39" s="14" t="n"/>
      <c r="C39" s="18" t="n"/>
    </row>
    <row r="40">
      <c r="A40" s="14" t="n"/>
      <c r="B40" s="14" t="n"/>
      <c r="C40" s="18" t="n"/>
    </row>
    <row r="41">
      <c r="A41" s="14" t="n"/>
      <c r="B41" s="14" t="n"/>
      <c r="C41" s="18" t="n"/>
    </row>
    <row r="42">
      <c r="A42" s="14" t="n"/>
      <c r="B42" s="14" t="n"/>
      <c r="C42" s="18" t="n"/>
    </row>
    <row r="43">
      <c r="A43" s="14" t="n"/>
      <c r="B43" s="14" t="n"/>
      <c r="C43" s="18" t="n"/>
    </row>
    <row r="44">
      <c r="A44" s="14" t="n"/>
      <c r="B44" s="14" t="n"/>
      <c r="C44" s="18" t="n"/>
    </row>
    <row r="45">
      <c r="A45" s="14" t="n"/>
      <c r="B45" s="14" t="n"/>
      <c r="C45" s="18" t="n"/>
    </row>
    <row r="46">
      <c r="A46" s="14" t="n"/>
      <c r="B46" s="14" t="n"/>
      <c r="C46" s="18" t="n"/>
    </row>
    <row r="47">
      <c r="A47" s="14" t="n"/>
      <c r="B47" s="14" t="n"/>
      <c r="C47" s="18" t="n"/>
    </row>
    <row r="48">
      <c r="A48" s="14" t="n"/>
      <c r="B48" s="14" t="n"/>
      <c r="C48" s="18" t="n"/>
    </row>
    <row r="49">
      <c r="A49" s="14" t="n"/>
      <c r="B49" s="14" t="n"/>
      <c r="C49" s="18" t="n"/>
    </row>
    <row r="50">
      <c r="A50" s="14" t="n"/>
      <c r="B50" s="14" t="n"/>
      <c r="C50" s="18" t="n"/>
    </row>
    <row r="51">
      <c r="A51" s="14" t="n"/>
      <c r="B51" s="14" t="n"/>
      <c r="C51" s="18" t="n"/>
    </row>
    <row r="52">
      <c r="A52" s="14" t="n"/>
      <c r="B52" s="14" t="n"/>
      <c r="C52" s="18" t="n"/>
    </row>
    <row r="53">
      <c r="A53" s="14" t="n"/>
      <c r="B53" s="14" t="n"/>
      <c r="C53" s="18" t="n"/>
    </row>
    <row r="54">
      <c r="A54" s="14" t="n"/>
      <c r="B54" s="14" t="n"/>
      <c r="C54" s="18" t="n"/>
    </row>
    <row r="55">
      <c r="A55" s="14" t="n"/>
      <c r="B55" s="14" t="n"/>
      <c r="C55" s="18" t="n"/>
    </row>
    <row r="56">
      <c r="A56" s="14" t="n"/>
      <c r="B56" s="14" t="n"/>
      <c r="C56" s="18" t="n"/>
    </row>
    <row r="57">
      <c r="A57" s="14" t="n"/>
      <c r="B57" s="14" t="n"/>
      <c r="C57" s="18" t="n"/>
    </row>
    <row r="58">
      <c r="A58" s="14" t="n"/>
      <c r="B58" s="14" t="n"/>
      <c r="C58" s="18" t="n"/>
    </row>
    <row r="59">
      <c r="A59" s="14" t="n"/>
      <c r="B59" s="14" t="n"/>
      <c r="C59" s="18" t="n"/>
    </row>
    <row r="60">
      <c r="A60" s="14" t="n"/>
      <c r="B60" s="14" t="n"/>
      <c r="C60" s="18" t="n"/>
    </row>
    <row r="61">
      <c r="A61" s="14" t="n"/>
      <c r="B61" s="14" t="n"/>
      <c r="C61" s="18" t="n"/>
    </row>
    <row r="62">
      <c r="A62" s="14" t="n"/>
      <c r="B62" s="14" t="n"/>
      <c r="C62" s="18" t="n"/>
    </row>
    <row r="63">
      <c r="A63" s="14" t="n"/>
      <c r="B63" s="14" t="n"/>
      <c r="C63" s="18" t="n"/>
    </row>
    <row r="64">
      <c r="A64" s="14" t="n"/>
      <c r="B64" s="14" t="n"/>
      <c r="C64" s="18" t="n"/>
    </row>
    <row r="65">
      <c r="A65" s="14" t="n"/>
      <c r="B65" s="14" t="n"/>
      <c r="C65" s="18" t="n"/>
    </row>
    <row r="66">
      <c r="A66" s="14" t="n"/>
      <c r="B66" s="14" t="n"/>
      <c r="C66" s="18" t="n"/>
    </row>
    <row r="67">
      <c r="A67" s="14" t="n"/>
      <c r="B67" s="14" t="n"/>
      <c r="C67" s="18" t="n"/>
    </row>
    <row r="68">
      <c r="A68" s="14" t="n"/>
      <c r="B68" s="14" t="n"/>
      <c r="C68" s="18" t="n"/>
    </row>
    <row r="69">
      <c r="A69" s="14" t="n"/>
      <c r="B69" s="14" t="n"/>
      <c r="C69" s="18" t="n"/>
    </row>
    <row r="70">
      <c r="A70" s="14" t="n"/>
      <c r="B70" s="14" t="n"/>
      <c r="C70" s="18" t="n"/>
    </row>
    <row r="71">
      <c r="A71" s="14" t="n"/>
      <c r="B71" s="14" t="n"/>
      <c r="C71" s="18" t="n"/>
    </row>
    <row r="72">
      <c r="A72" s="14" t="n"/>
      <c r="B72" s="14" t="n"/>
      <c r="C72" s="18" t="n"/>
    </row>
    <row r="73">
      <c r="A73" s="14" t="n"/>
      <c r="B73" s="14" t="n"/>
      <c r="C73" s="18" t="n"/>
    </row>
    <row r="74">
      <c r="A74" s="14" t="n"/>
      <c r="B74" s="14" t="n"/>
      <c r="C74" s="18" t="n"/>
    </row>
    <row r="75">
      <c r="A75" s="14" t="n"/>
      <c r="B75" s="14" t="n"/>
      <c r="C75" s="18" t="n"/>
    </row>
    <row r="76">
      <c r="A76" s="14" t="n"/>
      <c r="B76" s="14" t="n"/>
      <c r="C76" s="18" t="n"/>
    </row>
    <row r="77">
      <c r="A77" s="14" t="n"/>
      <c r="B77" s="14" t="n"/>
      <c r="C77" s="18" t="n"/>
    </row>
    <row r="78">
      <c r="A78" s="14" t="n"/>
      <c r="B78" s="14" t="n"/>
      <c r="C78" s="18" t="n"/>
    </row>
    <row r="79">
      <c r="A79" s="14" t="n"/>
      <c r="B79" s="14" t="n"/>
      <c r="C79" s="18" t="n"/>
    </row>
    <row r="80">
      <c r="A80" s="14" t="n"/>
      <c r="B80" s="14" t="n"/>
      <c r="C80" s="18" t="n"/>
    </row>
    <row r="81">
      <c r="A81" s="14" t="n"/>
      <c r="B81" s="14" t="n"/>
      <c r="C81" s="18" t="n"/>
    </row>
    <row r="82">
      <c r="A82" s="14" t="n"/>
      <c r="B82" s="14" t="n"/>
      <c r="C82" s="18" t="n"/>
    </row>
    <row r="83">
      <c r="A83" s="14" t="n"/>
      <c r="B83" s="14" t="n"/>
      <c r="C83" s="18" t="n"/>
    </row>
    <row r="84">
      <c r="A84" s="14" t="n"/>
      <c r="B84" s="14" t="n"/>
      <c r="C84" s="18" t="n"/>
    </row>
    <row r="85">
      <c r="A85" s="14" t="n"/>
      <c r="B85" s="14" t="n"/>
      <c r="C85" s="18" t="n"/>
    </row>
    <row r="86">
      <c r="A86" s="14" t="n"/>
      <c r="B86" s="14" t="n"/>
      <c r="C86" s="18" t="n"/>
    </row>
    <row r="87">
      <c r="A87" s="14" t="n"/>
      <c r="B87" s="14" t="n"/>
      <c r="C87" s="18" t="n"/>
    </row>
    <row r="88">
      <c r="A88" s="14" t="n"/>
      <c r="B88" s="14" t="n"/>
      <c r="C88" s="18" t="n"/>
    </row>
    <row r="89">
      <c r="A89" s="14" t="n"/>
      <c r="B89" s="14" t="n"/>
      <c r="C89" s="18" t="n"/>
    </row>
    <row r="90">
      <c r="A90" s="14" t="n"/>
      <c r="B90" s="14" t="n"/>
      <c r="C90" s="18" t="n"/>
    </row>
    <row r="91">
      <c r="A91" s="14" t="n"/>
      <c r="B91" s="14" t="n"/>
      <c r="C91" s="18" t="n"/>
    </row>
    <row r="92">
      <c r="A92" s="14" t="n"/>
      <c r="B92" s="14" t="n"/>
      <c r="C92" s="18" t="n"/>
    </row>
    <row r="93">
      <c r="A93" s="14" t="n"/>
      <c r="B93" s="14" t="n"/>
      <c r="C93" s="18" t="n"/>
    </row>
    <row r="94">
      <c r="A94" s="14" t="n"/>
      <c r="B94" s="14" t="n"/>
      <c r="C94" s="18" t="n"/>
    </row>
    <row r="95">
      <c r="A95" s="14" t="n"/>
      <c r="B95" s="14" t="n"/>
      <c r="C95" s="18" t="n"/>
    </row>
    <row r="96">
      <c r="A96" s="14" t="n"/>
      <c r="B96" s="14" t="n"/>
      <c r="C96" s="18" t="n"/>
    </row>
    <row r="97">
      <c r="A97" s="14" t="n"/>
      <c r="B97" s="14" t="n"/>
      <c r="C97" s="18" t="n"/>
    </row>
    <row r="98">
      <c r="A98" s="14" t="n"/>
      <c r="B98" s="14" t="n"/>
      <c r="C98" s="18" t="n"/>
    </row>
    <row r="99">
      <c r="A99" s="14" t="n"/>
      <c r="B99" s="14" t="n"/>
      <c r="C99" s="18" t="n"/>
    </row>
    <row r="100">
      <c r="A100" s="14" t="n"/>
      <c r="B100" s="14" t="n"/>
      <c r="C100" s="18" t="n"/>
    </row>
    <row r="101">
      <c r="A101" s="14" t="n"/>
      <c r="B101" s="14" t="n"/>
      <c r="C101" s="18" t="n"/>
    </row>
    <row r="102">
      <c r="A102" s="14" t="n"/>
      <c r="B102" s="14" t="n"/>
      <c r="C102" s="18" t="n"/>
    </row>
    <row r="103">
      <c r="A103" s="14" t="n"/>
      <c r="B103" s="14" t="n"/>
      <c r="C103" s="18" t="n"/>
    </row>
    <row r="104">
      <c r="A104" s="14" t="n"/>
      <c r="B104" s="14" t="n"/>
      <c r="C104" s="18" t="n"/>
    </row>
    <row r="105">
      <c r="A105" s="14" t="n"/>
      <c r="B105" s="14" t="n"/>
      <c r="C105" s="18" t="n"/>
    </row>
    <row r="106">
      <c r="A106" s="14" t="n"/>
      <c r="B106" s="14" t="n"/>
      <c r="C106" s="18" t="n"/>
    </row>
    <row r="107">
      <c r="A107" s="14" t="n"/>
      <c r="B107" s="14" t="n"/>
      <c r="C107" s="18" t="n"/>
    </row>
    <row r="108">
      <c r="A108" s="14" t="n"/>
      <c r="B108" s="14" t="n"/>
      <c r="C108" s="18" t="n"/>
    </row>
    <row r="109">
      <c r="A109" s="14" t="n"/>
      <c r="B109" s="14" t="n"/>
      <c r="C109" s="18" t="n"/>
    </row>
    <row r="110">
      <c r="A110" s="14" t="n"/>
      <c r="B110" s="14" t="n"/>
      <c r="C110" s="18" t="n"/>
    </row>
    <row r="111">
      <c r="A111" s="14" t="n"/>
      <c r="B111" s="14" t="n"/>
      <c r="C111" s="18" t="n"/>
    </row>
    <row r="112">
      <c r="A112" s="14" t="n"/>
      <c r="B112" s="14" t="n"/>
      <c r="C112" s="18" t="n"/>
    </row>
    <row r="113">
      <c r="A113" s="14" t="n"/>
      <c r="B113" s="14" t="n"/>
      <c r="C113" s="18" t="n"/>
    </row>
    <row r="114">
      <c r="A114" s="14" t="n"/>
      <c r="B114" s="14" t="n"/>
      <c r="C114" s="18" t="n"/>
    </row>
    <row r="115">
      <c r="A115" s="14" t="n"/>
      <c r="B115" s="14" t="n"/>
      <c r="C115" s="18" t="n"/>
    </row>
    <row r="116">
      <c r="A116" s="14" t="n"/>
      <c r="B116" s="14" t="n"/>
      <c r="C116" s="18" t="n"/>
    </row>
    <row r="117">
      <c r="A117" s="14" t="n"/>
      <c r="B117" s="14" t="n"/>
      <c r="C117" s="18" t="n"/>
    </row>
    <row r="118">
      <c r="A118" s="14" t="n"/>
      <c r="B118" s="14" t="n"/>
      <c r="C118" s="18" t="n"/>
    </row>
    <row r="119">
      <c r="A119" s="14" t="n"/>
      <c r="B119" s="14" t="n"/>
      <c r="C119" s="18" t="n"/>
    </row>
    <row r="120">
      <c r="A120" s="14" t="n"/>
      <c r="B120" s="14" t="n"/>
      <c r="C120" s="18" t="n"/>
    </row>
    <row r="121">
      <c r="A121" s="14" t="n"/>
      <c r="B121" s="14" t="n"/>
      <c r="C121" s="18" t="n"/>
    </row>
    <row r="122">
      <c r="A122" s="14" t="n"/>
      <c r="B122" s="14" t="n"/>
      <c r="C122" s="18" t="n"/>
    </row>
    <row r="123">
      <c r="A123" s="14" t="n"/>
      <c r="B123" s="14" t="n"/>
      <c r="C123" s="18" t="n"/>
    </row>
    <row r="124">
      <c r="A124" s="14" t="n"/>
      <c r="B124" s="14" t="n"/>
      <c r="C124" s="18" t="n"/>
    </row>
    <row r="125">
      <c r="A125" s="14" t="n"/>
      <c r="B125" s="14" t="n"/>
      <c r="C125" s="18" t="n"/>
    </row>
    <row r="126">
      <c r="A126" s="14" t="n"/>
      <c r="B126" s="14" t="n"/>
      <c r="C126" s="18" t="n"/>
    </row>
    <row r="127">
      <c r="A127" s="14" t="n"/>
      <c r="B127" s="14" t="n"/>
      <c r="C127" s="18" t="n"/>
    </row>
    <row r="128">
      <c r="A128" s="14" t="n"/>
      <c r="B128" s="14" t="n"/>
      <c r="C128" s="18" t="n"/>
    </row>
    <row r="129">
      <c r="A129" s="14" t="n"/>
      <c r="B129" s="14" t="n"/>
      <c r="C129" s="18" t="n"/>
    </row>
    <row r="130">
      <c r="A130" s="14" t="n"/>
      <c r="B130" s="14" t="n"/>
      <c r="C130" s="18" t="n"/>
    </row>
    <row r="131">
      <c r="A131" s="14" t="n"/>
      <c r="B131" s="14" t="n"/>
      <c r="C131" s="18" t="n"/>
    </row>
    <row r="132">
      <c r="A132" s="14" t="n"/>
      <c r="B132" s="14" t="n"/>
      <c r="C132" s="18" t="n"/>
    </row>
    <row r="133">
      <c r="A133" s="14" t="n"/>
      <c r="B133" s="14" t="n"/>
      <c r="C133" s="18" t="n"/>
    </row>
    <row r="134">
      <c r="A134" s="14" t="n"/>
      <c r="B134" s="14" t="n"/>
      <c r="C134" s="18" t="n"/>
    </row>
    <row r="135">
      <c r="A135" s="14" t="n"/>
      <c r="B135" s="14" t="n"/>
      <c r="C135" s="18" t="n"/>
    </row>
    <row r="136">
      <c r="A136" s="14" t="n"/>
      <c r="B136" s="14" t="n"/>
      <c r="C136" s="18" t="n"/>
    </row>
    <row r="137">
      <c r="A137" s="14" t="n"/>
      <c r="B137" s="14" t="n"/>
      <c r="C137" s="18" t="n"/>
    </row>
    <row r="138">
      <c r="A138" s="14" t="n"/>
      <c r="B138" s="14" t="n"/>
      <c r="C138" s="18" t="n"/>
    </row>
    <row r="139">
      <c r="A139" s="14" t="n"/>
      <c r="B139" s="14" t="n"/>
      <c r="C139" s="18" t="n"/>
    </row>
    <row r="140">
      <c r="A140" s="14" t="n"/>
      <c r="B140" s="14" t="n"/>
      <c r="C140" s="18" t="n"/>
    </row>
    <row r="141">
      <c r="A141" s="14" t="n"/>
      <c r="B141" s="14" t="n"/>
      <c r="C141" s="18" t="n"/>
    </row>
    <row r="142">
      <c r="A142" s="14" t="n"/>
      <c r="B142" s="14" t="n"/>
      <c r="C142" s="18" t="n"/>
    </row>
    <row r="143">
      <c r="A143" s="14" t="n"/>
      <c r="B143" s="14" t="n"/>
      <c r="C143" s="18" t="n"/>
    </row>
    <row r="144">
      <c r="A144" s="14" t="n"/>
      <c r="B144" s="14" t="n"/>
      <c r="C144" s="18" t="n"/>
    </row>
    <row r="145">
      <c r="A145" s="14" t="n"/>
      <c r="B145" s="14" t="n"/>
      <c r="C145" s="18" t="n"/>
    </row>
    <row r="146">
      <c r="A146" s="14" t="n"/>
      <c r="B146" s="14" t="n"/>
      <c r="C146" s="18" t="n"/>
    </row>
    <row r="147">
      <c r="A147" s="14" t="n"/>
      <c r="B147" s="14" t="n"/>
      <c r="C147" s="18" t="n"/>
    </row>
    <row r="148">
      <c r="A148" s="14" t="n"/>
      <c r="B148" s="14" t="n"/>
      <c r="C148" s="18" t="n"/>
    </row>
    <row r="149">
      <c r="A149" s="14" t="n"/>
      <c r="B149" s="14" t="n"/>
      <c r="C149" s="18" t="n"/>
    </row>
    <row r="150">
      <c r="A150" s="14" t="n"/>
      <c r="B150" s="14" t="n"/>
      <c r="C150" s="18" t="n"/>
    </row>
    <row r="151">
      <c r="A151" s="14" t="n"/>
      <c r="B151" s="14" t="n"/>
      <c r="C151" s="18" t="n"/>
    </row>
    <row r="152">
      <c r="A152" s="14" t="n"/>
      <c r="B152" s="14" t="n"/>
      <c r="C152" s="18" t="n"/>
    </row>
    <row r="153">
      <c r="A153" s="14" t="n"/>
      <c r="B153" s="14" t="n"/>
      <c r="C153" s="18" t="n"/>
    </row>
    <row r="154">
      <c r="A154" s="14" t="n"/>
      <c r="B154" s="14" t="n"/>
      <c r="C154" s="18" t="n"/>
    </row>
    <row r="155">
      <c r="A155" s="14" t="n"/>
      <c r="B155" s="14" t="n"/>
      <c r="C155" s="18" t="n"/>
    </row>
    <row r="156">
      <c r="A156" s="14" t="n"/>
      <c r="B156" s="14" t="n"/>
      <c r="C156" s="18" t="n"/>
    </row>
    <row r="157">
      <c r="A157" s="14" t="n"/>
      <c r="B157" s="14" t="n"/>
      <c r="C157" s="18" t="n"/>
    </row>
    <row r="158">
      <c r="A158" s="14" t="n"/>
      <c r="B158" s="14" t="n"/>
      <c r="C158" s="18" t="n"/>
    </row>
    <row r="159">
      <c r="A159" s="14" t="n"/>
      <c r="B159" s="14" t="n"/>
      <c r="C159" s="18" t="n"/>
    </row>
    <row r="160">
      <c r="A160" s="14" t="n"/>
      <c r="B160" s="14" t="n"/>
      <c r="C160" s="18" t="n"/>
    </row>
    <row r="161">
      <c r="A161" s="14" t="n"/>
      <c r="B161" s="14" t="n"/>
      <c r="C161" s="18" t="n"/>
    </row>
    <row r="162">
      <c r="A162" s="14" t="n"/>
      <c r="B162" s="14" t="n"/>
      <c r="C162" s="18" t="n"/>
    </row>
    <row r="163">
      <c r="A163" s="14" t="n"/>
      <c r="B163" s="14" t="n"/>
      <c r="C163" s="18" t="n"/>
    </row>
    <row r="164">
      <c r="A164" s="14" t="n"/>
      <c r="B164" s="14" t="n"/>
      <c r="C164" s="18" t="n"/>
    </row>
    <row r="165">
      <c r="A165" s="14" t="n"/>
      <c r="B165" s="14" t="n"/>
      <c r="C165" s="18" t="n"/>
    </row>
    <row r="166">
      <c r="A166" s="14" t="n"/>
      <c r="B166" s="14" t="n"/>
      <c r="C166" s="18" t="n"/>
    </row>
    <row r="167">
      <c r="A167" s="14" t="n"/>
      <c r="B167" s="14" t="n"/>
      <c r="C167" s="18" t="n"/>
    </row>
    <row r="168">
      <c r="A168" s="14" t="n"/>
      <c r="B168" s="14" t="n"/>
      <c r="C168" s="18" t="n"/>
    </row>
    <row r="169">
      <c r="A169" s="14" t="n"/>
      <c r="B169" s="14" t="n"/>
      <c r="C169" s="18" t="n"/>
    </row>
    <row r="170">
      <c r="A170" s="14" t="n"/>
      <c r="B170" s="14" t="n"/>
      <c r="C170" s="18" t="n"/>
    </row>
    <row r="171">
      <c r="A171" s="14" t="n"/>
      <c r="B171" s="14" t="n"/>
      <c r="C171" s="18" t="n"/>
    </row>
    <row r="172">
      <c r="A172" s="14" t="n"/>
      <c r="B172" s="14" t="n"/>
      <c r="C172" s="18" t="n"/>
    </row>
    <row r="173">
      <c r="A173" s="14" t="n"/>
      <c r="B173" s="14" t="n"/>
      <c r="C173" s="18" t="n"/>
    </row>
    <row r="174">
      <c r="A174" s="14" t="n"/>
      <c r="B174" s="14" t="n"/>
      <c r="C174" s="18" t="n"/>
    </row>
    <row r="175">
      <c r="A175" s="14" t="n"/>
      <c r="B175" s="14" t="n"/>
      <c r="C175" s="18" t="n"/>
    </row>
    <row r="176">
      <c r="A176" s="14" t="n"/>
      <c r="B176" s="14" t="n"/>
      <c r="C176" s="18" t="n"/>
    </row>
    <row r="177">
      <c r="A177" s="14" t="n"/>
      <c r="B177" s="14" t="n"/>
      <c r="C177" s="18" t="n"/>
    </row>
    <row r="178">
      <c r="A178" s="14" t="n"/>
      <c r="B178" s="14" t="n"/>
      <c r="C178" s="18" t="n"/>
    </row>
    <row r="179">
      <c r="A179" s="14" t="n"/>
      <c r="B179" s="14" t="n"/>
      <c r="C179" s="18" t="n"/>
    </row>
    <row r="180">
      <c r="A180" s="14" t="n"/>
      <c r="B180" s="14" t="n"/>
      <c r="C180" s="18" t="n"/>
    </row>
    <row r="181">
      <c r="A181" s="14" t="n"/>
      <c r="B181" s="14" t="n"/>
      <c r="C181" s="18" t="n"/>
    </row>
    <row r="182">
      <c r="A182" s="14" t="n"/>
      <c r="B182" s="14" t="n"/>
      <c r="C182" s="18" t="n"/>
    </row>
    <row r="183">
      <c r="A183" s="14" t="n"/>
      <c r="B183" s="14" t="n"/>
      <c r="C183" s="18" t="n"/>
    </row>
    <row r="184">
      <c r="A184" s="14" t="n"/>
      <c r="B184" s="14" t="n"/>
      <c r="C184" s="18" t="n"/>
    </row>
    <row r="185">
      <c r="A185" s="14" t="n"/>
      <c r="B185" s="14" t="n"/>
      <c r="C185" s="18" t="n"/>
    </row>
    <row r="186">
      <c r="A186" s="14" t="n"/>
      <c r="B186" s="14" t="n"/>
      <c r="C186" s="18" t="n"/>
    </row>
    <row r="187">
      <c r="A187" s="14" t="n"/>
      <c r="B187" s="14" t="n"/>
      <c r="C187" s="18" t="n"/>
    </row>
    <row r="188">
      <c r="A188" s="14" t="n"/>
      <c r="B188" s="14" t="n"/>
      <c r="C188" s="18" t="n"/>
    </row>
    <row r="189">
      <c r="A189" s="14" t="n"/>
      <c r="B189" s="14" t="n"/>
      <c r="C189" s="18" t="n"/>
    </row>
    <row r="190">
      <c r="A190" s="14" t="n"/>
      <c r="B190" s="14" t="n"/>
      <c r="C190" s="18" t="n"/>
    </row>
    <row r="191">
      <c r="A191" s="14" t="n"/>
      <c r="B191" s="14" t="n"/>
      <c r="C191" s="18" t="n"/>
    </row>
    <row r="192">
      <c r="A192" s="14" t="n"/>
      <c r="B192" s="14" t="n"/>
      <c r="C192" s="18" t="n"/>
    </row>
    <row r="193">
      <c r="A193" s="14" t="n"/>
      <c r="B193" s="14" t="n"/>
      <c r="C193" s="18" t="n"/>
    </row>
    <row r="194">
      <c r="A194" s="14" t="n"/>
      <c r="B194" s="14" t="n"/>
      <c r="C194" s="18" t="n"/>
    </row>
    <row r="195">
      <c r="A195" s="14" t="n"/>
      <c r="B195" s="14" t="n"/>
      <c r="C195" s="18" t="n"/>
    </row>
    <row r="196">
      <c r="A196" s="14" t="n"/>
      <c r="B196" s="14" t="n"/>
      <c r="C196" s="18" t="n"/>
    </row>
    <row r="197">
      <c r="A197" s="14" t="n"/>
      <c r="B197" s="14" t="n"/>
      <c r="C197" s="18" t="n"/>
    </row>
    <row r="198">
      <c r="A198" s="14" t="n"/>
      <c r="B198" s="14" t="n"/>
      <c r="C198" s="18" t="n"/>
    </row>
    <row r="199">
      <c r="A199" s="14" t="n"/>
      <c r="B199" s="14" t="n"/>
      <c r="C199" s="18" t="n"/>
    </row>
    <row r="200">
      <c r="A200" s="14" t="n"/>
      <c r="B200" s="14" t="n"/>
      <c r="C200" s="18" t="n"/>
    </row>
    <row r="201">
      <c r="A201" s="14" t="n"/>
      <c r="B201" s="14" t="n"/>
      <c r="C201" s="18" t="n"/>
    </row>
    <row r="202">
      <c r="A202" s="14" t="n"/>
      <c r="B202" s="14" t="n"/>
      <c r="C202" s="18" t="n"/>
    </row>
    <row r="203">
      <c r="A203" s="14" t="n"/>
      <c r="B203" s="14" t="n"/>
      <c r="C203" s="18" t="n"/>
    </row>
    <row r="204">
      <c r="A204" s="14" t="n"/>
      <c r="B204" s="14" t="n"/>
      <c r="C204" s="18" t="n"/>
    </row>
  </sheetData>
  <autoFilter ref="A4:C204"/>
  <dataValidations count="1">
    <dataValidation sqref="B5:B205" showDropDown="0" showInputMessage="0" showErrorMessage="1" allowBlank="1" type="list">
      <formula1>'Business Units'!$A$5:$A$3000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0"/>
    <pageSetUpPr/>
  </sheetPr>
  <dimension ref="A1:T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2" customWidth="1" min="16" max="16"/>
    <col width="8" customWidth="1" min="17" max="17"/>
    <col width="14" customWidth="1" min="18" max="18"/>
    <col width="14" customWidth="1" min="19" max="19"/>
    <col width="14" customWidth="1" min="20" max="20"/>
  </cols>
  <sheetData>
    <row r="1" ht="24" customHeight="1">
      <c r="A1" s="8" t="inlineStr">
        <is>
          <t>BEYOND DESIGN | FIXED ASSETS</t>
        </is>
      </c>
    </row>
    <row r="2">
      <c r="A2" s="9" t="inlineStr">
        <is>
          <t>Fixed asset register (its purchase, depreciation and disposal are journal entries with reference FA:&lt;code&gt;)</t>
        </is>
      </c>
    </row>
    <row r="3">
      <c r="A3" s="10" t="inlineStr">
        <is>
          <t>e.g. FA-0001</t>
        </is>
      </c>
      <c r="B3" s="10" t="inlineStr">
        <is>
          <t>Site pickup truck</t>
        </is>
      </c>
      <c r="C3" s="10" t="inlineStr">
        <is>
          <t>1420</t>
        </is>
      </c>
      <c r="F3" s="10" t="inlineStr">
        <is>
          <t>2026-01-15</t>
        </is>
      </c>
      <c r="G3" s="10" t="n">
        <v>600000</v>
      </c>
      <c r="I3" s="10" t="n">
        <v>60</v>
      </c>
    </row>
    <row r="4" ht="30" customHeight="1">
      <c r="A4" s="11" t="inlineStr">
        <is>
          <t>Asset Code</t>
        </is>
      </c>
      <c r="B4" s="11" t="inlineStr">
        <is>
          <t>Asset</t>
        </is>
      </c>
      <c r="C4" s="11" t="inlineStr">
        <is>
          <t>Asset Account</t>
        </is>
      </c>
      <c r="D4" s="11" t="inlineStr">
        <is>
          <t>Accumulated Depreciation Account</t>
        </is>
      </c>
      <c r="E4" s="11" t="inlineStr">
        <is>
          <t>Depreciation Expense Account</t>
        </is>
      </c>
      <c r="F4" s="11" t="inlineStr">
        <is>
          <t>Date Acquired</t>
        </is>
      </c>
      <c r="G4" s="11" t="inlineStr">
        <is>
          <t>Cost</t>
        </is>
      </c>
      <c r="H4" s="11" t="inlineStr">
        <is>
          <t>Residual Value</t>
        </is>
      </c>
      <c r="I4" s="11" t="inlineStr">
        <is>
          <t>Useful Life (months)</t>
        </is>
      </c>
      <c r="J4" s="11" t="inlineStr">
        <is>
          <t>Depreciate From (YYYY-MM)</t>
        </is>
      </c>
      <c r="K4" s="11" t="inlineStr">
        <is>
          <t>Depreciation Before Registering</t>
        </is>
      </c>
      <c r="L4" s="11" t="inlineStr">
        <is>
          <t>Business Unit</t>
        </is>
      </c>
      <c r="M4" s="11" t="inlineStr">
        <is>
          <t>Location</t>
        </is>
      </c>
      <c r="N4" s="11" t="inlineStr">
        <is>
          <t>Serial / Plate No.</t>
        </is>
      </c>
      <c r="O4" s="11" t="inlineStr">
        <is>
          <t>Notes</t>
        </is>
      </c>
      <c r="P4" s="11" t="inlineStr">
        <is>
          <t>Depreciation Method</t>
        </is>
      </c>
      <c r="Q4" s="11" t="inlineStr">
        <is>
          <t>Declining Factor</t>
        </is>
      </c>
      <c r="R4" s="15" t="inlineStr">
        <is>
          <t>Monthly Depreciation (straight line)</t>
        </is>
      </c>
      <c r="S4" s="15" t="inlineStr">
        <is>
          <t>Depreciation to Report End</t>
        </is>
      </c>
      <c r="T4" s="15" t="inlineStr">
        <is>
          <t>Book Value at Report End</t>
        </is>
      </c>
    </row>
    <row r="5">
      <c r="A5" s="14" t="n"/>
      <c r="B5" s="14" t="n"/>
      <c r="C5" s="14" t="n"/>
      <c r="D5" s="14" t="n"/>
      <c r="E5" s="14" t="n"/>
      <c r="F5" s="19" t="n"/>
      <c r="G5" s="20" t="n"/>
      <c r="H5" s="20" t="n"/>
      <c r="I5" s="14" t="n"/>
      <c r="J5" s="14" t="n"/>
      <c r="K5" s="20" t="n"/>
      <c r="L5" s="14" t="n"/>
      <c r="M5" s="14" t="n"/>
      <c r="N5" s="14" t="n"/>
      <c r="O5" s="14" t="n"/>
      <c r="P5" s="14" t="n"/>
      <c r="Q5" s="14" t="n"/>
      <c r="R5" s="21">
        <f>IF(OR(A5="",N(I5)=0),0,ROUND((N(G5)-N(H5))/N(I5),2))</f>
        <v/>
      </c>
      <c r="S5" s="21">
        <f>IF(A5="","",IFERROR(MIN(N(G5)-N(H5),MAX(N(K5),R5*MAX(0,(YEAR(ReportTo)-YEAR(IF(J5&lt;&gt;"",DATE(LEFT(J5,4),MID(J5,6,2),1),F5)))*12+MONTH(ReportTo)-MONTH(IF(J5&lt;&gt;"",DATE(LEFT(J5,4),MID(J5,6,2),1),F5))+1))),""))</f>
        <v/>
      </c>
      <c r="T5" s="21">
        <f>IF(A5="","",IFERROR(N(G5)-N(S5),""))</f>
        <v/>
      </c>
    </row>
    <row r="6">
      <c r="A6" s="14" t="n"/>
      <c r="B6" s="14" t="n"/>
      <c r="C6" s="14" t="n"/>
      <c r="D6" s="14" t="n"/>
      <c r="E6" s="14" t="n"/>
      <c r="F6" s="19" t="n"/>
      <c r="G6" s="20" t="n"/>
      <c r="H6" s="20" t="n"/>
      <c r="I6" s="14" t="n"/>
      <c r="J6" s="14" t="n"/>
      <c r="K6" s="20" t="n"/>
      <c r="L6" s="14" t="n"/>
      <c r="M6" s="14" t="n"/>
      <c r="N6" s="14" t="n"/>
      <c r="O6" s="14" t="n"/>
      <c r="P6" s="14" t="n"/>
      <c r="Q6" s="14" t="n"/>
      <c r="R6" s="21">
        <f>IF(OR(A6="",N(I6)=0),0,ROUND((N(G6)-N(H6))/N(I6),2))</f>
        <v/>
      </c>
      <c r="S6" s="21">
        <f>IF(A6="","",IFERROR(MIN(N(G6)-N(H6),MAX(N(K6),R6*MAX(0,(YEAR(ReportTo)-YEAR(IF(J6&lt;&gt;"",DATE(LEFT(J6,4),MID(J6,6,2),1),F6)))*12+MONTH(ReportTo)-MONTH(IF(J6&lt;&gt;"",DATE(LEFT(J6,4),MID(J6,6,2),1),F6))+1))),""))</f>
        <v/>
      </c>
      <c r="T6" s="21">
        <f>IF(A6="","",IFERROR(N(G6)-N(S6),""))</f>
        <v/>
      </c>
    </row>
    <row r="7">
      <c r="A7" s="14" t="n"/>
      <c r="B7" s="14" t="n"/>
      <c r="C7" s="14" t="n"/>
      <c r="D7" s="14" t="n"/>
      <c r="E7" s="14" t="n"/>
      <c r="F7" s="19" t="n"/>
      <c r="G7" s="20" t="n"/>
      <c r="H7" s="20" t="n"/>
      <c r="I7" s="14" t="n"/>
      <c r="J7" s="14" t="n"/>
      <c r="K7" s="20" t="n"/>
      <c r="L7" s="14" t="n"/>
      <c r="M7" s="14" t="n"/>
      <c r="N7" s="14" t="n"/>
      <c r="O7" s="14" t="n"/>
      <c r="P7" s="14" t="n"/>
      <c r="Q7" s="14" t="n"/>
      <c r="R7" s="21">
        <f>IF(OR(A7="",N(I7)=0),0,ROUND((N(G7)-N(H7))/N(I7),2))</f>
        <v/>
      </c>
      <c r="S7" s="21">
        <f>IF(A7="","",IFERROR(MIN(N(G7)-N(H7),MAX(N(K7),R7*MAX(0,(YEAR(ReportTo)-YEAR(IF(J7&lt;&gt;"",DATE(LEFT(J7,4),MID(J7,6,2),1),F7)))*12+MONTH(ReportTo)-MONTH(IF(J7&lt;&gt;"",DATE(LEFT(J7,4),MID(J7,6,2),1),F7))+1))),""))</f>
        <v/>
      </c>
      <c r="T7" s="21">
        <f>IF(A7="","",IFERROR(N(G7)-N(S7),""))</f>
        <v/>
      </c>
    </row>
    <row r="8">
      <c r="A8" s="14" t="n"/>
      <c r="B8" s="14" t="n"/>
      <c r="C8" s="14" t="n"/>
      <c r="D8" s="14" t="n"/>
      <c r="E8" s="14" t="n"/>
      <c r="F8" s="19" t="n"/>
      <c r="G8" s="20" t="n"/>
      <c r="H8" s="20" t="n"/>
      <c r="I8" s="14" t="n"/>
      <c r="J8" s="14" t="n"/>
      <c r="K8" s="20" t="n"/>
      <c r="L8" s="14" t="n"/>
      <c r="M8" s="14" t="n"/>
      <c r="N8" s="14" t="n"/>
      <c r="O8" s="14" t="n"/>
      <c r="P8" s="14" t="n"/>
      <c r="Q8" s="14" t="n"/>
      <c r="R8" s="21">
        <f>IF(OR(A8="",N(I8)=0),0,ROUND((N(G8)-N(H8))/N(I8),2))</f>
        <v/>
      </c>
      <c r="S8" s="21">
        <f>IF(A8="","",IFERROR(MIN(N(G8)-N(H8),MAX(N(K8),R8*MAX(0,(YEAR(ReportTo)-YEAR(IF(J8&lt;&gt;"",DATE(LEFT(J8,4),MID(J8,6,2),1),F8)))*12+MONTH(ReportTo)-MONTH(IF(J8&lt;&gt;"",DATE(LEFT(J8,4),MID(J8,6,2),1),F8))+1))),""))</f>
        <v/>
      </c>
      <c r="T8" s="21">
        <f>IF(A8="","",IFERROR(N(G8)-N(S8),""))</f>
        <v/>
      </c>
    </row>
    <row r="9">
      <c r="A9" s="14" t="n"/>
      <c r="B9" s="14" t="n"/>
      <c r="C9" s="14" t="n"/>
      <c r="D9" s="14" t="n"/>
      <c r="E9" s="14" t="n"/>
      <c r="F9" s="19" t="n"/>
      <c r="G9" s="20" t="n"/>
      <c r="H9" s="20" t="n"/>
      <c r="I9" s="14" t="n"/>
      <c r="J9" s="14" t="n"/>
      <c r="K9" s="20" t="n"/>
      <c r="L9" s="14" t="n"/>
      <c r="M9" s="14" t="n"/>
      <c r="N9" s="14" t="n"/>
      <c r="O9" s="14" t="n"/>
      <c r="P9" s="14" t="n"/>
      <c r="Q9" s="14" t="n"/>
      <c r="R9" s="21">
        <f>IF(OR(A9="",N(I9)=0),0,ROUND((N(G9)-N(H9))/N(I9),2))</f>
        <v/>
      </c>
      <c r="S9" s="21">
        <f>IF(A9="","",IFERROR(MIN(N(G9)-N(H9),MAX(N(K9),R9*MAX(0,(YEAR(ReportTo)-YEAR(IF(J9&lt;&gt;"",DATE(LEFT(J9,4),MID(J9,6,2),1),F9)))*12+MONTH(ReportTo)-MONTH(IF(J9&lt;&gt;"",DATE(LEFT(J9,4),MID(J9,6,2),1),F9))+1))),""))</f>
        <v/>
      </c>
      <c r="T9" s="21">
        <f>IF(A9="","",IFERROR(N(G9)-N(S9),""))</f>
        <v/>
      </c>
    </row>
    <row r="10">
      <c r="A10" s="14" t="n"/>
      <c r="B10" s="14" t="n"/>
      <c r="C10" s="14" t="n"/>
      <c r="D10" s="14" t="n"/>
      <c r="E10" s="14" t="n"/>
      <c r="F10" s="19" t="n"/>
      <c r="G10" s="20" t="n"/>
      <c r="H10" s="20" t="n"/>
      <c r="I10" s="14" t="n"/>
      <c r="J10" s="14" t="n"/>
      <c r="K10" s="20" t="n"/>
      <c r="L10" s="14" t="n"/>
      <c r="M10" s="14" t="n"/>
      <c r="N10" s="14" t="n"/>
      <c r="O10" s="14" t="n"/>
      <c r="P10" s="14" t="n"/>
      <c r="Q10" s="14" t="n"/>
      <c r="R10" s="21">
        <f>IF(OR(A10="",N(I10)=0),0,ROUND((N(G10)-N(H10))/N(I10),2))</f>
        <v/>
      </c>
      <c r="S10" s="21">
        <f>IF(A10="","",IFERROR(MIN(N(G10)-N(H10),MAX(N(K10),R10*MAX(0,(YEAR(ReportTo)-YEAR(IF(J10&lt;&gt;"",DATE(LEFT(J10,4),MID(J10,6,2),1),F10)))*12+MONTH(ReportTo)-MONTH(IF(J10&lt;&gt;"",DATE(LEFT(J10,4),MID(J10,6,2),1),F10))+1))),""))</f>
        <v/>
      </c>
      <c r="T10" s="21">
        <f>IF(A10="","",IFERROR(N(G10)-N(S10),""))</f>
        <v/>
      </c>
    </row>
    <row r="11">
      <c r="A11" s="14" t="n"/>
      <c r="B11" s="14" t="n"/>
      <c r="C11" s="14" t="n"/>
      <c r="D11" s="14" t="n"/>
      <c r="E11" s="14" t="n"/>
      <c r="F11" s="19" t="n"/>
      <c r="G11" s="20" t="n"/>
      <c r="H11" s="20" t="n"/>
      <c r="I11" s="14" t="n"/>
      <c r="J11" s="14" t="n"/>
      <c r="K11" s="20" t="n"/>
      <c r="L11" s="14" t="n"/>
      <c r="M11" s="14" t="n"/>
      <c r="N11" s="14" t="n"/>
      <c r="O11" s="14" t="n"/>
      <c r="P11" s="14" t="n"/>
      <c r="Q11" s="14" t="n"/>
      <c r="R11" s="21">
        <f>IF(OR(A11="",N(I11)=0),0,ROUND((N(G11)-N(H11))/N(I11),2))</f>
        <v/>
      </c>
      <c r="S11" s="21">
        <f>IF(A11="","",IFERROR(MIN(N(G11)-N(H11),MAX(N(K11),R11*MAX(0,(YEAR(ReportTo)-YEAR(IF(J11&lt;&gt;"",DATE(LEFT(J11,4),MID(J11,6,2),1),F11)))*12+MONTH(ReportTo)-MONTH(IF(J11&lt;&gt;"",DATE(LEFT(J11,4),MID(J11,6,2),1),F11))+1))),""))</f>
        <v/>
      </c>
      <c r="T11" s="21">
        <f>IF(A11="","",IFERROR(N(G11)-N(S11),""))</f>
        <v/>
      </c>
    </row>
    <row r="12">
      <c r="A12" s="14" t="n"/>
      <c r="B12" s="14" t="n"/>
      <c r="C12" s="14" t="n"/>
      <c r="D12" s="14" t="n"/>
      <c r="E12" s="14" t="n"/>
      <c r="F12" s="19" t="n"/>
      <c r="G12" s="20" t="n"/>
      <c r="H12" s="20" t="n"/>
      <c r="I12" s="14" t="n"/>
      <c r="J12" s="14" t="n"/>
      <c r="K12" s="20" t="n"/>
      <c r="L12" s="14" t="n"/>
      <c r="M12" s="14" t="n"/>
      <c r="N12" s="14" t="n"/>
      <c r="O12" s="14" t="n"/>
      <c r="P12" s="14" t="n"/>
      <c r="Q12" s="14" t="n"/>
      <c r="R12" s="21">
        <f>IF(OR(A12="",N(I12)=0),0,ROUND((N(G12)-N(H12))/N(I12),2))</f>
        <v/>
      </c>
      <c r="S12" s="21">
        <f>IF(A12="","",IFERROR(MIN(N(G12)-N(H12),MAX(N(K12),R12*MAX(0,(YEAR(ReportTo)-YEAR(IF(J12&lt;&gt;"",DATE(LEFT(J12,4),MID(J12,6,2),1),F12)))*12+MONTH(ReportTo)-MONTH(IF(J12&lt;&gt;"",DATE(LEFT(J12,4),MID(J12,6,2),1),F12))+1))),""))</f>
        <v/>
      </c>
      <c r="T12" s="21">
        <f>IF(A12="","",IFERROR(N(G12)-N(S12),""))</f>
        <v/>
      </c>
    </row>
    <row r="13">
      <c r="A13" s="14" t="n"/>
      <c r="B13" s="14" t="n"/>
      <c r="C13" s="14" t="n"/>
      <c r="D13" s="14" t="n"/>
      <c r="E13" s="14" t="n"/>
      <c r="F13" s="19" t="n"/>
      <c r="G13" s="20" t="n"/>
      <c r="H13" s="20" t="n"/>
      <c r="I13" s="14" t="n"/>
      <c r="J13" s="14" t="n"/>
      <c r="K13" s="20" t="n"/>
      <c r="L13" s="14" t="n"/>
      <c r="M13" s="14" t="n"/>
      <c r="N13" s="14" t="n"/>
      <c r="O13" s="14" t="n"/>
      <c r="P13" s="14" t="n"/>
      <c r="Q13" s="14" t="n"/>
      <c r="R13" s="21">
        <f>IF(OR(A13="",N(I13)=0),0,ROUND((N(G13)-N(H13))/N(I13),2))</f>
        <v/>
      </c>
      <c r="S13" s="21">
        <f>IF(A13="","",IFERROR(MIN(N(G13)-N(H13),MAX(N(K13),R13*MAX(0,(YEAR(ReportTo)-YEAR(IF(J13&lt;&gt;"",DATE(LEFT(J13,4),MID(J13,6,2),1),F13)))*12+MONTH(ReportTo)-MONTH(IF(J13&lt;&gt;"",DATE(LEFT(J13,4),MID(J13,6,2),1),F13))+1))),""))</f>
        <v/>
      </c>
      <c r="T13" s="21">
        <f>IF(A13="","",IFERROR(N(G13)-N(S13),""))</f>
        <v/>
      </c>
    </row>
    <row r="14">
      <c r="A14" s="14" t="n"/>
      <c r="B14" s="14" t="n"/>
      <c r="C14" s="14" t="n"/>
      <c r="D14" s="14" t="n"/>
      <c r="E14" s="14" t="n"/>
      <c r="F14" s="19" t="n"/>
      <c r="G14" s="20" t="n"/>
      <c r="H14" s="20" t="n"/>
      <c r="I14" s="14" t="n"/>
      <c r="J14" s="14" t="n"/>
      <c r="K14" s="20" t="n"/>
      <c r="L14" s="14" t="n"/>
      <c r="M14" s="14" t="n"/>
      <c r="N14" s="14" t="n"/>
      <c r="O14" s="14" t="n"/>
      <c r="P14" s="14" t="n"/>
      <c r="Q14" s="14" t="n"/>
      <c r="R14" s="21">
        <f>IF(OR(A14="",N(I14)=0),0,ROUND((N(G14)-N(H14))/N(I14),2))</f>
        <v/>
      </c>
      <c r="S14" s="21">
        <f>IF(A14="","",IFERROR(MIN(N(G14)-N(H14),MAX(N(K14),R14*MAX(0,(YEAR(ReportTo)-YEAR(IF(J14&lt;&gt;"",DATE(LEFT(J14,4),MID(J14,6,2),1),F14)))*12+MONTH(ReportTo)-MONTH(IF(J14&lt;&gt;"",DATE(LEFT(J14,4),MID(J14,6,2),1),F14))+1))),""))</f>
        <v/>
      </c>
      <c r="T14" s="21">
        <f>IF(A14="","",IFERROR(N(G14)-N(S14),""))</f>
        <v/>
      </c>
    </row>
    <row r="15">
      <c r="A15" s="14" t="n"/>
      <c r="B15" s="14" t="n"/>
      <c r="C15" s="14" t="n"/>
      <c r="D15" s="14" t="n"/>
      <c r="E15" s="14" t="n"/>
      <c r="F15" s="19" t="n"/>
      <c r="G15" s="20" t="n"/>
      <c r="H15" s="20" t="n"/>
      <c r="I15" s="14" t="n"/>
      <c r="J15" s="14" t="n"/>
      <c r="K15" s="20" t="n"/>
      <c r="L15" s="14" t="n"/>
      <c r="M15" s="14" t="n"/>
      <c r="N15" s="14" t="n"/>
      <c r="O15" s="14" t="n"/>
      <c r="P15" s="14" t="n"/>
      <c r="Q15" s="14" t="n"/>
      <c r="R15" s="21">
        <f>IF(OR(A15="",N(I15)=0),0,ROUND((N(G15)-N(H15))/N(I15),2))</f>
        <v/>
      </c>
      <c r="S15" s="21">
        <f>IF(A15="","",IFERROR(MIN(N(G15)-N(H15),MAX(N(K15),R15*MAX(0,(YEAR(ReportTo)-YEAR(IF(J15&lt;&gt;"",DATE(LEFT(J15,4),MID(J15,6,2),1),F15)))*12+MONTH(ReportTo)-MONTH(IF(J15&lt;&gt;"",DATE(LEFT(J15,4),MID(J15,6,2),1),F15))+1))),""))</f>
        <v/>
      </c>
      <c r="T15" s="21">
        <f>IF(A15="","",IFERROR(N(G15)-N(S15),""))</f>
        <v/>
      </c>
    </row>
    <row r="16">
      <c r="A16" s="14" t="n"/>
      <c r="B16" s="14" t="n"/>
      <c r="C16" s="14" t="n"/>
      <c r="D16" s="14" t="n"/>
      <c r="E16" s="14" t="n"/>
      <c r="F16" s="19" t="n"/>
      <c r="G16" s="20" t="n"/>
      <c r="H16" s="20" t="n"/>
      <c r="I16" s="14" t="n"/>
      <c r="J16" s="14" t="n"/>
      <c r="K16" s="20" t="n"/>
      <c r="L16" s="14" t="n"/>
      <c r="M16" s="14" t="n"/>
      <c r="N16" s="14" t="n"/>
      <c r="O16" s="14" t="n"/>
      <c r="P16" s="14" t="n"/>
      <c r="Q16" s="14" t="n"/>
      <c r="R16" s="21">
        <f>IF(OR(A16="",N(I16)=0),0,ROUND((N(G16)-N(H16))/N(I16),2))</f>
        <v/>
      </c>
      <c r="S16" s="21">
        <f>IF(A16="","",IFERROR(MIN(N(G16)-N(H16),MAX(N(K16),R16*MAX(0,(YEAR(ReportTo)-YEAR(IF(J16&lt;&gt;"",DATE(LEFT(J16,4),MID(J16,6,2),1),F16)))*12+MONTH(ReportTo)-MONTH(IF(J16&lt;&gt;"",DATE(LEFT(J16,4),MID(J16,6,2),1),F16))+1))),""))</f>
        <v/>
      </c>
      <c r="T16" s="21">
        <f>IF(A16="","",IFERROR(N(G16)-N(S16),""))</f>
        <v/>
      </c>
    </row>
    <row r="17">
      <c r="A17" s="14" t="n"/>
      <c r="B17" s="14" t="n"/>
      <c r="C17" s="14" t="n"/>
      <c r="D17" s="14" t="n"/>
      <c r="E17" s="14" t="n"/>
      <c r="F17" s="19" t="n"/>
      <c r="G17" s="20" t="n"/>
      <c r="H17" s="20" t="n"/>
      <c r="I17" s="14" t="n"/>
      <c r="J17" s="14" t="n"/>
      <c r="K17" s="20" t="n"/>
      <c r="L17" s="14" t="n"/>
      <c r="M17" s="14" t="n"/>
      <c r="N17" s="14" t="n"/>
      <c r="O17" s="14" t="n"/>
      <c r="P17" s="14" t="n"/>
      <c r="Q17" s="14" t="n"/>
      <c r="R17" s="21">
        <f>IF(OR(A17="",N(I17)=0),0,ROUND((N(G17)-N(H17))/N(I17),2))</f>
        <v/>
      </c>
      <c r="S17" s="21">
        <f>IF(A17="","",IFERROR(MIN(N(G17)-N(H17),MAX(N(K17),R17*MAX(0,(YEAR(ReportTo)-YEAR(IF(J17&lt;&gt;"",DATE(LEFT(J17,4),MID(J17,6,2),1),F17)))*12+MONTH(ReportTo)-MONTH(IF(J17&lt;&gt;"",DATE(LEFT(J17,4),MID(J17,6,2),1),F17))+1))),""))</f>
        <v/>
      </c>
      <c r="T17" s="21">
        <f>IF(A17="","",IFERROR(N(G17)-N(S17),""))</f>
        <v/>
      </c>
    </row>
    <row r="18">
      <c r="A18" s="14" t="n"/>
      <c r="B18" s="14" t="n"/>
      <c r="C18" s="14" t="n"/>
      <c r="D18" s="14" t="n"/>
      <c r="E18" s="14" t="n"/>
      <c r="F18" s="19" t="n"/>
      <c r="G18" s="20" t="n"/>
      <c r="H18" s="20" t="n"/>
      <c r="I18" s="14" t="n"/>
      <c r="J18" s="14" t="n"/>
      <c r="K18" s="20" t="n"/>
      <c r="L18" s="14" t="n"/>
      <c r="M18" s="14" t="n"/>
      <c r="N18" s="14" t="n"/>
      <c r="O18" s="14" t="n"/>
      <c r="P18" s="14" t="n"/>
      <c r="Q18" s="14" t="n"/>
      <c r="R18" s="21">
        <f>IF(OR(A18="",N(I18)=0),0,ROUND((N(G18)-N(H18))/N(I18),2))</f>
        <v/>
      </c>
      <c r="S18" s="21">
        <f>IF(A18="","",IFERROR(MIN(N(G18)-N(H18),MAX(N(K18),R18*MAX(0,(YEAR(ReportTo)-YEAR(IF(J18&lt;&gt;"",DATE(LEFT(J18,4),MID(J18,6,2),1),F18)))*12+MONTH(ReportTo)-MONTH(IF(J18&lt;&gt;"",DATE(LEFT(J18,4),MID(J18,6,2),1),F18))+1))),""))</f>
        <v/>
      </c>
      <c r="T18" s="21">
        <f>IF(A18="","",IFERROR(N(G18)-N(S18),""))</f>
        <v/>
      </c>
    </row>
    <row r="19">
      <c r="A19" s="14" t="n"/>
      <c r="B19" s="14" t="n"/>
      <c r="C19" s="14" t="n"/>
      <c r="D19" s="14" t="n"/>
      <c r="E19" s="14" t="n"/>
      <c r="F19" s="19" t="n"/>
      <c r="G19" s="20" t="n"/>
      <c r="H19" s="20" t="n"/>
      <c r="I19" s="14" t="n"/>
      <c r="J19" s="14" t="n"/>
      <c r="K19" s="20" t="n"/>
      <c r="L19" s="14" t="n"/>
      <c r="M19" s="14" t="n"/>
      <c r="N19" s="14" t="n"/>
      <c r="O19" s="14" t="n"/>
      <c r="P19" s="14" t="n"/>
      <c r="Q19" s="14" t="n"/>
      <c r="R19" s="21">
        <f>IF(OR(A19="",N(I19)=0),0,ROUND((N(G19)-N(H19))/N(I19),2))</f>
        <v/>
      </c>
      <c r="S19" s="21">
        <f>IF(A19="","",IFERROR(MIN(N(G19)-N(H19),MAX(N(K19),R19*MAX(0,(YEAR(ReportTo)-YEAR(IF(J19&lt;&gt;"",DATE(LEFT(J19,4),MID(J19,6,2),1),F19)))*12+MONTH(ReportTo)-MONTH(IF(J19&lt;&gt;"",DATE(LEFT(J19,4),MID(J19,6,2),1),F19))+1))),""))</f>
        <v/>
      </c>
      <c r="T19" s="21">
        <f>IF(A19="","",IFERROR(N(G19)-N(S19),""))</f>
        <v/>
      </c>
    </row>
    <row r="20">
      <c r="A20" s="14" t="n"/>
      <c r="B20" s="14" t="n"/>
      <c r="C20" s="14" t="n"/>
      <c r="D20" s="14" t="n"/>
      <c r="E20" s="14" t="n"/>
      <c r="F20" s="19" t="n"/>
      <c r="G20" s="20" t="n"/>
      <c r="H20" s="20" t="n"/>
      <c r="I20" s="14" t="n"/>
      <c r="J20" s="14" t="n"/>
      <c r="K20" s="20" t="n"/>
      <c r="L20" s="14" t="n"/>
      <c r="M20" s="14" t="n"/>
      <c r="N20" s="14" t="n"/>
      <c r="O20" s="14" t="n"/>
      <c r="P20" s="14" t="n"/>
      <c r="Q20" s="14" t="n"/>
      <c r="R20" s="21">
        <f>IF(OR(A20="",N(I20)=0),0,ROUND((N(G20)-N(H20))/N(I20),2))</f>
        <v/>
      </c>
      <c r="S20" s="21">
        <f>IF(A20="","",IFERROR(MIN(N(G20)-N(H20),MAX(N(K20),R20*MAX(0,(YEAR(ReportTo)-YEAR(IF(J20&lt;&gt;"",DATE(LEFT(J20,4),MID(J20,6,2),1),F20)))*12+MONTH(ReportTo)-MONTH(IF(J20&lt;&gt;"",DATE(LEFT(J20,4),MID(J20,6,2),1),F20))+1))),""))</f>
        <v/>
      </c>
      <c r="T20" s="21">
        <f>IF(A20="","",IFERROR(N(G20)-N(S20),""))</f>
        <v/>
      </c>
    </row>
    <row r="21">
      <c r="A21" s="14" t="n"/>
      <c r="B21" s="14" t="n"/>
      <c r="C21" s="14" t="n"/>
      <c r="D21" s="14" t="n"/>
      <c r="E21" s="14" t="n"/>
      <c r="F21" s="19" t="n"/>
      <c r="G21" s="20" t="n"/>
      <c r="H21" s="20" t="n"/>
      <c r="I21" s="14" t="n"/>
      <c r="J21" s="14" t="n"/>
      <c r="K21" s="20" t="n"/>
      <c r="L21" s="14" t="n"/>
      <c r="M21" s="14" t="n"/>
      <c r="N21" s="14" t="n"/>
      <c r="O21" s="14" t="n"/>
      <c r="P21" s="14" t="n"/>
      <c r="Q21" s="14" t="n"/>
      <c r="R21" s="21">
        <f>IF(OR(A21="",N(I21)=0),0,ROUND((N(G21)-N(H21))/N(I21),2))</f>
        <v/>
      </c>
      <c r="S21" s="21">
        <f>IF(A21="","",IFERROR(MIN(N(G21)-N(H21),MAX(N(K21),R21*MAX(0,(YEAR(ReportTo)-YEAR(IF(J21&lt;&gt;"",DATE(LEFT(J21,4),MID(J21,6,2),1),F21)))*12+MONTH(ReportTo)-MONTH(IF(J21&lt;&gt;"",DATE(LEFT(J21,4),MID(J21,6,2),1),F21))+1))),""))</f>
        <v/>
      </c>
      <c r="T21" s="21">
        <f>IF(A21="","",IFERROR(N(G21)-N(S21),""))</f>
        <v/>
      </c>
    </row>
    <row r="22">
      <c r="A22" s="14" t="n"/>
      <c r="B22" s="14" t="n"/>
      <c r="C22" s="14" t="n"/>
      <c r="D22" s="14" t="n"/>
      <c r="E22" s="14" t="n"/>
      <c r="F22" s="19" t="n"/>
      <c r="G22" s="20" t="n"/>
      <c r="H22" s="20" t="n"/>
      <c r="I22" s="14" t="n"/>
      <c r="J22" s="14" t="n"/>
      <c r="K22" s="20" t="n"/>
      <c r="L22" s="14" t="n"/>
      <c r="M22" s="14" t="n"/>
      <c r="N22" s="14" t="n"/>
      <c r="O22" s="14" t="n"/>
      <c r="P22" s="14" t="n"/>
      <c r="Q22" s="14" t="n"/>
      <c r="R22" s="21">
        <f>IF(OR(A22="",N(I22)=0),0,ROUND((N(G22)-N(H22))/N(I22),2))</f>
        <v/>
      </c>
      <c r="S22" s="21">
        <f>IF(A22="","",IFERROR(MIN(N(G22)-N(H22),MAX(N(K22),R22*MAX(0,(YEAR(ReportTo)-YEAR(IF(J22&lt;&gt;"",DATE(LEFT(J22,4),MID(J22,6,2),1),F22)))*12+MONTH(ReportTo)-MONTH(IF(J22&lt;&gt;"",DATE(LEFT(J22,4),MID(J22,6,2),1),F22))+1))),""))</f>
        <v/>
      </c>
      <c r="T22" s="21">
        <f>IF(A22="","",IFERROR(N(G22)-N(S22),""))</f>
        <v/>
      </c>
    </row>
    <row r="23">
      <c r="A23" s="14" t="n"/>
      <c r="B23" s="14" t="n"/>
      <c r="C23" s="14" t="n"/>
      <c r="D23" s="14" t="n"/>
      <c r="E23" s="14" t="n"/>
      <c r="F23" s="19" t="n"/>
      <c r="G23" s="20" t="n"/>
      <c r="H23" s="20" t="n"/>
      <c r="I23" s="14" t="n"/>
      <c r="J23" s="14" t="n"/>
      <c r="K23" s="20" t="n"/>
      <c r="L23" s="14" t="n"/>
      <c r="M23" s="14" t="n"/>
      <c r="N23" s="14" t="n"/>
      <c r="O23" s="14" t="n"/>
      <c r="P23" s="14" t="n"/>
      <c r="Q23" s="14" t="n"/>
      <c r="R23" s="21">
        <f>IF(OR(A23="",N(I23)=0),0,ROUND((N(G23)-N(H23))/N(I23),2))</f>
        <v/>
      </c>
      <c r="S23" s="21">
        <f>IF(A23="","",IFERROR(MIN(N(G23)-N(H23),MAX(N(K23),R23*MAX(0,(YEAR(ReportTo)-YEAR(IF(J23&lt;&gt;"",DATE(LEFT(J23,4),MID(J23,6,2),1),F23)))*12+MONTH(ReportTo)-MONTH(IF(J23&lt;&gt;"",DATE(LEFT(J23,4),MID(J23,6,2),1),F23))+1))),""))</f>
        <v/>
      </c>
      <c r="T23" s="21">
        <f>IF(A23="","",IFERROR(N(G23)-N(S23),""))</f>
        <v/>
      </c>
    </row>
    <row r="24">
      <c r="A24" s="14" t="n"/>
      <c r="B24" s="14" t="n"/>
      <c r="C24" s="14" t="n"/>
      <c r="D24" s="14" t="n"/>
      <c r="E24" s="14" t="n"/>
      <c r="F24" s="19" t="n"/>
      <c r="G24" s="20" t="n"/>
      <c r="H24" s="20" t="n"/>
      <c r="I24" s="14" t="n"/>
      <c r="J24" s="14" t="n"/>
      <c r="K24" s="20" t="n"/>
      <c r="L24" s="14" t="n"/>
      <c r="M24" s="14" t="n"/>
      <c r="N24" s="14" t="n"/>
      <c r="O24" s="14" t="n"/>
      <c r="P24" s="14" t="n"/>
      <c r="Q24" s="14" t="n"/>
      <c r="R24" s="21">
        <f>IF(OR(A24="",N(I24)=0),0,ROUND((N(G24)-N(H24))/N(I24),2))</f>
        <v/>
      </c>
      <c r="S24" s="21">
        <f>IF(A24="","",IFERROR(MIN(N(G24)-N(H24),MAX(N(K24),R24*MAX(0,(YEAR(ReportTo)-YEAR(IF(J24&lt;&gt;"",DATE(LEFT(J24,4),MID(J24,6,2),1),F24)))*12+MONTH(ReportTo)-MONTH(IF(J24&lt;&gt;"",DATE(LEFT(J24,4),MID(J24,6,2),1),F24))+1))),""))</f>
        <v/>
      </c>
      <c r="T24" s="21">
        <f>IF(A24="","",IFERROR(N(G24)-N(S24),""))</f>
        <v/>
      </c>
    </row>
    <row r="25">
      <c r="A25" s="14" t="n"/>
      <c r="B25" s="14" t="n"/>
      <c r="C25" s="14" t="n"/>
      <c r="D25" s="14" t="n"/>
      <c r="E25" s="14" t="n"/>
      <c r="F25" s="19" t="n"/>
      <c r="G25" s="20" t="n"/>
      <c r="H25" s="20" t="n"/>
      <c r="I25" s="14" t="n"/>
      <c r="J25" s="14" t="n"/>
      <c r="K25" s="20" t="n"/>
      <c r="L25" s="14" t="n"/>
      <c r="M25" s="14" t="n"/>
      <c r="N25" s="14" t="n"/>
      <c r="O25" s="14" t="n"/>
      <c r="P25" s="14" t="n"/>
      <c r="Q25" s="14" t="n"/>
      <c r="R25" s="21">
        <f>IF(OR(A25="",N(I25)=0),0,ROUND((N(G25)-N(H25))/N(I25),2))</f>
        <v/>
      </c>
      <c r="S25" s="21">
        <f>IF(A25="","",IFERROR(MIN(N(G25)-N(H25),MAX(N(K25),R25*MAX(0,(YEAR(ReportTo)-YEAR(IF(J25&lt;&gt;"",DATE(LEFT(J25,4),MID(J25,6,2),1),F25)))*12+MONTH(ReportTo)-MONTH(IF(J25&lt;&gt;"",DATE(LEFT(J25,4),MID(J25,6,2),1),F25))+1))),""))</f>
        <v/>
      </c>
      <c r="T25" s="21">
        <f>IF(A25="","",IFERROR(N(G25)-N(S25),""))</f>
        <v/>
      </c>
    </row>
    <row r="26">
      <c r="A26" s="14" t="n"/>
      <c r="B26" s="14" t="n"/>
      <c r="C26" s="14" t="n"/>
      <c r="D26" s="14" t="n"/>
      <c r="E26" s="14" t="n"/>
      <c r="F26" s="19" t="n"/>
      <c r="G26" s="20" t="n"/>
      <c r="H26" s="20" t="n"/>
      <c r="I26" s="14" t="n"/>
      <c r="J26" s="14" t="n"/>
      <c r="K26" s="20" t="n"/>
      <c r="L26" s="14" t="n"/>
      <c r="M26" s="14" t="n"/>
      <c r="N26" s="14" t="n"/>
      <c r="O26" s="14" t="n"/>
      <c r="P26" s="14" t="n"/>
      <c r="Q26" s="14" t="n"/>
      <c r="R26" s="21">
        <f>IF(OR(A26="",N(I26)=0),0,ROUND((N(G26)-N(H26))/N(I26),2))</f>
        <v/>
      </c>
      <c r="S26" s="21">
        <f>IF(A26="","",IFERROR(MIN(N(G26)-N(H26),MAX(N(K26),R26*MAX(0,(YEAR(ReportTo)-YEAR(IF(J26&lt;&gt;"",DATE(LEFT(J26,4),MID(J26,6,2),1),F26)))*12+MONTH(ReportTo)-MONTH(IF(J26&lt;&gt;"",DATE(LEFT(J26,4),MID(J26,6,2),1),F26))+1))),""))</f>
        <v/>
      </c>
      <c r="T26" s="21">
        <f>IF(A26="","",IFERROR(N(G26)-N(S26),""))</f>
        <v/>
      </c>
    </row>
    <row r="27">
      <c r="A27" s="14" t="n"/>
      <c r="B27" s="14" t="n"/>
      <c r="C27" s="14" t="n"/>
      <c r="D27" s="14" t="n"/>
      <c r="E27" s="14" t="n"/>
      <c r="F27" s="19" t="n"/>
      <c r="G27" s="20" t="n"/>
      <c r="H27" s="20" t="n"/>
      <c r="I27" s="14" t="n"/>
      <c r="J27" s="14" t="n"/>
      <c r="K27" s="20" t="n"/>
      <c r="L27" s="14" t="n"/>
      <c r="M27" s="14" t="n"/>
      <c r="N27" s="14" t="n"/>
      <c r="O27" s="14" t="n"/>
      <c r="P27" s="14" t="n"/>
      <c r="Q27" s="14" t="n"/>
      <c r="R27" s="21">
        <f>IF(OR(A27="",N(I27)=0),0,ROUND((N(G27)-N(H27))/N(I27),2))</f>
        <v/>
      </c>
      <c r="S27" s="21">
        <f>IF(A27="","",IFERROR(MIN(N(G27)-N(H27),MAX(N(K27),R27*MAX(0,(YEAR(ReportTo)-YEAR(IF(J27&lt;&gt;"",DATE(LEFT(J27,4),MID(J27,6,2),1),F27)))*12+MONTH(ReportTo)-MONTH(IF(J27&lt;&gt;"",DATE(LEFT(J27,4),MID(J27,6,2),1),F27))+1))),""))</f>
        <v/>
      </c>
      <c r="T27" s="21">
        <f>IF(A27="","",IFERROR(N(G27)-N(S27),""))</f>
        <v/>
      </c>
    </row>
    <row r="28">
      <c r="A28" s="14" t="n"/>
      <c r="B28" s="14" t="n"/>
      <c r="C28" s="14" t="n"/>
      <c r="D28" s="14" t="n"/>
      <c r="E28" s="14" t="n"/>
      <c r="F28" s="19" t="n"/>
      <c r="G28" s="20" t="n"/>
      <c r="H28" s="20" t="n"/>
      <c r="I28" s="14" t="n"/>
      <c r="J28" s="14" t="n"/>
      <c r="K28" s="20" t="n"/>
      <c r="L28" s="14" t="n"/>
      <c r="M28" s="14" t="n"/>
      <c r="N28" s="14" t="n"/>
      <c r="O28" s="14" t="n"/>
      <c r="P28" s="14" t="n"/>
      <c r="Q28" s="14" t="n"/>
      <c r="R28" s="21">
        <f>IF(OR(A28="",N(I28)=0),0,ROUND((N(G28)-N(H28))/N(I28),2))</f>
        <v/>
      </c>
      <c r="S28" s="21">
        <f>IF(A28="","",IFERROR(MIN(N(G28)-N(H28),MAX(N(K28),R28*MAX(0,(YEAR(ReportTo)-YEAR(IF(J28&lt;&gt;"",DATE(LEFT(J28,4),MID(J28,6,2),1),F28)))*12+MONTH(ReportTo)-MONTH(IF(J28&lt;&gt;"",DATE(LEFT(J28,4),MID(J28,6,2),1),F28))+1))),""))</f>
        <v/>
      </c>
      <c r="T28" s="21">
        <f>IF(A28="","",IFERROR(N(G28)-N(S28),""))</f>
        <v/>
      </c>
    </row>
    <row r="29">
      <c r="A29" s="14" t="n"/>
      <c r="B29" s="14" t="n"/>
      <c r="C29" s="14" t="n"/>
      <c r="D29" s="14" t="n"/>
      <c r="E29" s="14" t="n"/>
      <c r="F29" s="19" t="n"/>
      <c r="G29" s="20" t="n"/>
      <c r="H29" s="20" t="n"/>
      <c r="I29" s="14" t="n"/>
      <c r="J29" s="14" t="n"/>
      <c r="K29" s="20" t="n"/>
      <c r="L29" s="14" t="n"/>
      <c r="M29" s="14" t="n"/>
      <c r="N29" s="14" t="n"/>
      <c r="O29" s="14" t="n"/>
      <c r="P29" s="14" t="n"/>
      <c r="Q29" s="14" t="n"/>
      <c r="R29" s="21">
        <f>IF(OR(A29="",N(I29)=0),0,ROUND((N(G29)-N(H29))/N(I29),2))</f>
        <v/>
      </c>
      <c r="S29" s="21">
        <f>IF(A29="","",IFERROR(MIN(N(G29)-N(H29),MAX(N(K29),R29*MAX(0,(YEAR(ReportTo)-YEAR(IF(J29&lt;&gt;"",DATE(LEFT(J29,4),MID(J29,6,2),1),F29)))*12+MONTH(ReportTo)-MONTH(IF(J29&lt;&gt;"",DATE(LEFT(J29,4),MID(J29,6,2),1),F29))+1))),""))</f>
        <v/>
      </c>
      <c r="T29" s="21">
        <f>IF(A29="","",IFERROR(N(G29)-N(S29),""))</f>
        <v/>
      </c>
    </row>
    <row r="30">
      <c r="A30" s="14" t="n"/>
      <c r="B30" s="14" t="n"/>
      <c r="C30" s="14" t="n"/>
      <c r="D30" s="14" t="n"/>
      <c r="E30" s="14" t="n"/>
      <c r="F30" s="19" t="n"/>
      <c r="G30" s="20" t="n"/>
      <c r="H30" s="20" t="n"/>
      <c r="I30" s="14" t="n"/>
      <c r="J30" s="14" t="n"/>
      <c r="K30" s="20" t="n"/>
      <c r="L30" s="14" t="n"/>
      <c r="M30" s="14" t="n"/>
      <c r="N30" s="14" t="n"/>
      <c r="O30" s="14" t="n"/>
      <c r="P30" s="14" t="n"/>
      <c r="Q30" s="14" t="n"/>
      <c r="R30" s="21">
        <f>IF(OR(A30="",N(I30)=0),0,ROUND((N(G30)-N(H30))/N(I30),2))</f>
        <v/>
      </c>
      <c r="S30" s="21">
        <f>IF(A30="","",IFERROR(MIN(N(G30)-N(H30),MAX(N(K30),R30*MAX(0,(YEAR(ReportTo)-YEAR(IF(J30&lt;&gt;"",DATE(LEFT(J30,4),MID(J30,6,2),1),F30)))*12+MONTH(ReportTo)-MONTH(IF(J30&lt;&gt;"",DATE(LEFT(J30,4),MID(J30,6,2),1),F30))+1))),""))</f>
        <v/>
      </c>
      <c r="T30" s="21">
        <f>IF(A30="","",IFERROR(N(G30)-N(S30),""))</f>
        <v/>
      </c>
    </row>
    <row r="31">
      <c r="A31" s="14" t="n"/>
      <c r="B31" s="14" t="n"/>
      <c r="C31" s="14" t="n"/>
      <c r="D31" s="14" t="n"/>
      <c r="E31" s="14" t="n"/>
      <c r="F31" s="19" t="n"/>
      <c r="G31" s="20" t="n"/>
      <c r="H31" s="20" t="n"/>
      <c r="I31" s="14" t="n"/>
      <c r="J31" s="14" t="n"/>
      <c r="K31" s="20" t="n"/>
      <c r="L31" s="14" t="n"/>
      <c r="M31" s="14" t="n"/>
      <c r="N31" s="14" t="n"/>
      <c r="O31" s="14" t="n"/>
      <c r="P31" s="14" t="n"/>
      <c r="Q31" s="14" t="n"/>
      <c r="R31" s="21">
        <f>IF(OR(A31="",N(I31)=0),0,ROUND((N(G31)-N(H31))/N(I31),2))</f>
        <v/>
      </c>
      <c r="S31" s="21">
        <f>IF(A31="","",IFERROR(MIN(N(G31)-N(H31),MAX(N(K31),R31*MAX(0,(YEAR(ReportTo)-YEAR(IF(J31&lt;&gt;"",DATE(LEFT(J31,4),MID(J31,6,2),1),F31)))*12+MONTH(ReportTo)-MONTH(IF(J31&lt;&gt;"",DATE(LEFT(J31,4),MID(J31,6,2),1),F31))+1))),""))</f>
        <v/>
      </c>
      <c r="T31" s="21">
        <f>IF(A31="","",IFERROR(N(G31)-N(S31),""))</f>
        <v/>
      </c>
    </row>
    <row r="32">
      <c r="A32" s="14" t="n"/>
      <c r="B32" s="14" t="n"/>
      <c r="C32" s="14" t="n"/>
      <c r="D32" s="14" t="n"/>
      <c r="E32" s="14" t="n"/>
      <c r="F32" s="19" t="n"/>
      <c r="G32" s="20" t="n"/>
      <c r="H32" s="20" t="n"/>
      <c r="I32" s="14" t="n"/>
      <c r="J32" s="14" t="n"/>
      <c r="K32" s="20" t="n"/>
      <c r="L32" s="14" t="n"/>
      <c r="M32" s="14" t="n"/>
      <c r="N32" s="14" t="n"/>
      <c r="O32" s="14" t="n"/>
      <c r="P32" s="14" t="n"/>
      <c r="Q32" s="14" t="n"/>
      <c r="R32" s="21">
        <f>IF(OR(A32="",N(I32)=0),0,ROUND((N(G32)-N(H32))/N(I32),2))</f>
        <v/>
      </c>
      <c r="S32" s="21">
        <f>IF(A32="","",IFERROR(MIN(N(G32)-N(H32),MAX(N(K32),R32*MAX(0,(YEAR(ReportTo)-YEAR(IF(J32&lt;&gt;"",DATE(LEFT(J32,4),MID(J32,6,2),1),F32)))*12+MONTH(ReportTo)-MONTH(IF(J32&lt;&gt;"",DATE(LEFT(J32,4),MID(J32,6,2),1),F32))+1))),""))</f>
        <v/>
      </c>
      <c r="T32" s="21">
        <f>IF(A32="","",IFERROR(N(G32)-N(S32),""))</f>
        <v/>
      </c>
    </row>
    <row r="33">
      <c r="A33" s="14" t="n"/>
      <c r="B33" s="14" t="n"/>
      <c r="C33" s="14" t="n"/>
      <c r="D33" s="14" t="n"/>
      <c r="E33" s="14" t="n"/>
      <c r="F33" s="19" t="n"/>
      <c r="G33" s="20" t="n"/>
      <c r="H33" s="20" t="n"/>
      <c r="I33" s="14" t="n"/>
      <c r="J33" s="14" t="n"/>
      <c r="K33" s="20" t="n"/>
      <c r="L33" s="14" t="n"/>
      <c r="M33" s="14" t="n"/>
      <c r="N33" s="14" t="n"/>
      <c r="O33" s="14" t="n"/>
      <c r="P33" s="14" t="n"/>
      <c r="Q33" s="14" t="n"/>
      <c r="R33" s="21">
        <f>IF(OR(A33="",N(I33)=0),0,ROUND((N(G33)-N(H33))/N(I33),2))</f>
        <v/>
      </c>
      <c r="S33" s="21">
        <f>IF(A33="","",IFERROR(MIN(N(G33)-N(H33),MAX(N(K33),R33*MAX(0,(YEAR(ReportTo)-YEAR(IF(J33&lt;&gt;"",DATE(LEFT(J33,4),MID(J33,6,2),1),F33)))*12+MONTH(ReportTo)-MONTH(IF(J33&lt;&gt;"",DATE(LEFT(J33,4),MID(J33,6,2),1),F33))+1))),""))</f>
        <v/>
      </c>
      <c r="T33" s="21">
        <f>IF(A33="","",IFERROR(N(G33)-N(S33),""))</f>
        <v/>
      </c>
    </row>
    <row r="34">
      <c r="A34" s="14" t="n"/>
      <c r="B34" s="14" t="n"/>
      <c r="C34" s="14" t="n"/>
      <c r="D34" s="14" t="n"/>
      <c r="E34" s="14" t="n"/>
      <c r="F34" s="19" t="n"/>
      <c r="G34" s="20" t="n"/>
      <c r="H34" s="20" t="n"/>
      <c r="I34" s="14" t="n"/>
      <c r="J34" s="14" t="n"/>
      <c r="K34" s="20" t="n"/>
      <c r="L34" s="14" t="n"/>
      <c r="M34" s="14" t="n"/>
      <c r="N34" s="14" t="n"/>
      <c r="O34" s="14" t="n"/>
      <c r="P34" s="14" t="n"/>
      <c r="Q34" s="14" t="n"/>
      <c r="R34" s="21">
        <f>IF(OR(A34="",N(I34)=0),0,ROUND((N(G34)-N(H34))/N(I34),2))</f>
        <v/>
      </c>
      <c r="S34" s="21">
        <f>IF(A34="","",IFERROR(MIN(N(G34)-N(H34),MAX(N(K34),R34*MAX(0,(YEAR(ReportTo)-YEAR(IF(J34&lt;&gt;"",DATE(LEFT(J34,4),MID(J34,6,2),1),F34)))*12+MONTH(ReportTo)-MONTH(IF(J34&lt;&gt;"",DATE(LEFT(J34,4),MID(J34,6,2),1),F34))+1))),""))</f>
        <v/>
      </c>
      <c r="T34" s="21">
        <f>IF(A34="","",IFERROR(N(G34)-N(S34),""))</f>
        <v/>
      </c>
    </row>
    <row r="35">
      <c r="A35" s="14" t="n"/>
      <c r="B35" s="14" t="n"/>
      <c r="C35" s="14" t="n"/>
      <c r="D35" s="14" t="n"/>
      <c r="E35" s="14" t="n"/>
      <c r="F35" s="19" t="n"/>
      <c r="G35" s="20" t="n"/>
      <c r="H35" s="20" t="n"/>
      <c r="I35" s="14" t="n"/>
      <c r="J35" s="14" t="n"/>
      <c r="K35" s="20" t="n"/>
      <c r="L35" s="14" t="n"/>
      <c r="M35" s="14" t="n"/>
      <c r="N35" s="14" t="n"/>
      <c r="O35" s="14" t="n"/>
      <c r="P35" s="14" t="n"/>
      <c r="Q35" s="14" t="n"/>
      <c r="R35" s="21">
        <f>IF(OR(A35="",N(I35)=0),0,ROUND((N(G35)-N(H35))/N(I35),2))</f>
        <v/>
      </c>
      <c r="S35" s="21">
        <f>IF(A35="","",IFERROR(MIN(N(G35)-N(H35),MAX(N(K35),R35*MAX(0,(YEAR(ReportTo)-YEAR(IF(J35&lt;&gt;"",DATE(LEFT(J35,4),MID(J35,6,2),1),F35)))*12+MONTH(ReportTo)-MONTH(IF(J35&lt;&gt;"",DATE(LEFT(J35,4),MID(J35,6,2),1),F35))+1))),""))</f>
        <v/>
      </c>
      <c r="T35" s="21">
        <f>IF(A35="","",IFERROR(N(G35)-N(S35),""))</f>
        <v/>
      </c>
    </row>
    <row r="36">
      <c r="A36" s="14" t="n"/>
      <c r="B36" s="14" t="n"/>
      <c r="C36" s="14" t="n"/>
      <c r="D36" s="14" t="n"/>
      <c r="E36" s="14" t="n"/>
      <c r="F36" s="19" t="n"/>
      <c r="G36" s="20" t="n"/>
      <c r="H36" s="20" t="n"/>
      <c r="I36" s="14" t="n"/>
      <c r="J36" s="14" t="n"/>
      <c r="K36" s="20" t="n"/>
      <c r="L36" s="14" t="n"/>
      <c r="M36" s="14" t="n"/>
      <c r="N36" s="14" t="n"/>
      <c r="O36" s="14" t="n"/>
      <c r="P36" s="14" t="n"/>
      <c r="Q36" s="14" t="n"/>
      <c r="R36" s="21">
        <f>IF(OR(A36="",N(I36)=0),0,ROUND((N(G36)-N(H36))/N(I36),2))</f>
        <v/>
      </c>
      <c r="S36" s="21">
        <f>IF(A36="","",IFERROR(MIN(N(G36)-N(H36),MAX(N(K36),R36*MAX(0,(YEAR(ReportTo)-YEAR(IF(J36&lt;&gt;"",DATE(LEFT(J36,4),MID(J36,6,2),1),F36)))*12+MONTH(ReportTo)-MONTH(IF(J36&lt;&gt;"",DATE(LEFT(J36,4),MID(J36,6,2),1),F36))+1))),""))</f>
        <v/>
      </c>
      <c r="T36" s="21">
        <f>IF(A36="","",IFERROR(N(G36)-N(S36),""))</f>
        <v/>
      </c>
    </row>
    <row r="37">
      <c r="A37" s="14" t="n"/>
      <c r="B37" s="14" t="n"/>
      <c r="C37" s="14" t="n"/>
      <c r="D37" s="14" t="n"/>
      <c r="E37" s="14" t="n"/>
      <c r="F37" s="19" t="n"/>
      <c r="G37" s="20" t="n"/>
      <c r="H37" s="20" t="n"/>
      <c r="I37" s="14" t="n"/>
      <c r="J37" s="14" t="n"/>
      <c r="K37" s="20" t="n"/>
      <c r="L37" s="14" t="n"/>
      <c r="M37" s="14" t="n"/>
      <c r="N37" s="14" t="n"/>
      <c r="O37" s="14" t="n"/>
      <c r="P37" s="14" t="n"/>
      <c r="Q37" s="14" t="n"/>
      <c r="R37" s="21">
        <f>IF(OR(A37="",N(I37)=0),0,ROUND((N(G37)-N(H37))/N(I37),2))</f>
        <v/>
      </c>
      <c r="S37" s="21">
        <f>IF(A37="","",IFERROR(MIN(N(G37)-N(H37),MAX(N(K37),R37*MAX(0,(YEAR(ReportTo)-YEAR(IF(J37&lt;&gt;"",DATE(LEFT(J37,4),MID(J37,6,2),1),F37)))*12+MONTH(ReportTo)-MONTH(IF(J37&lt;&gt;"",DATE(LEFT(J37,4),MID(J37,6,2),1),F37))+1))),""))</f>
        <v/>
      </c>
      <c r="T37" s="21">
        <f>IF(A37="","",IFERROR(N(G37)-N(S37),""))</f>
        <v/>
      </c>
    </row>
    <row r="38">
      <c r="A38" s="14" t="n"/>
      <c r="B38" s="14" t="n"/>
      <c r="C38" s="14" t="n"/>
      <c r="D38" s="14" t="n"/>
      <c r="E38" s="14" t="n"/>
      <c r="F38" s="19" t="n"/>
      <c r="G38" s="20" t="n"/>
      <c r="H38" s="20" t="n"/>
      <c r="I38" s="14" t="n"/>
      <c r="J38" s="14" t="n"/>
      <c r="K38" s="20" t="n"/>
      <c r="L38" s="14" t="n"/>
      <c r="M38" s="14" t="n"/>
      <c r="N38" s="14" t="n"/>
      <c r="O38" s="14" t="n"/>
      <c r="P38" s="14" t="n"/>
      <c r="Q38" s="14" t="n"/>
      <c r="R38" s="21">
        <f>IF(OR(A38="",N(I38)=0),0,ROUND((N(G38)-N(H38))/N(I38),2))</f>
        <v/>
      </c>
      <c r="S38" s="21">
        <f>IF(A38="","",IFERROR(MIN(N(G38)-N(H38),MAX(N(K38),R38*MAX(0,(YEAR(ReportTo)-YEAR(IF(J38&lt;&gt;"",DATE(LEFT(J38,4),MID(J38,6,2),1),F38)))*12+MONTH(ReportTo)-MONTH(IF(J38&lt;&gt;"",DATE(LEFT(J38,4),MID(J38,6,2),1),F38))+1))),""))</f>
        <v/>
      </c>
      <c r="T38" s="21">
        <f>IF(A38="","",IFERROR(N(G38)-N(S38),""))</f>
        <v/>
      </c>
    </row>
    <row r="39">
      <c r="A39" s="14" t="n"/>
      <c r="B39" s="14" t="n"/>
      <c r="C39" s="14" t="n"/>
      <c r="D39" s="14" t="n"/>
      <c r="E39" s="14" t="n"/>
      <c r="F39" s="19" t="n"/>
      <c r="G39" s="20" t="n"/>
      <c r="H39" s="20" t="n"/>
      <c r="I39" s="14" t="n"/>
      <c r="J39" s="14" t="n"/>
      <c r="K39" s="20" t="n"/>
      <c r="L39" s="14" t="n"/>
      <c r="M39" s="14" t="n"/>
      <c r="N39" s="14" t="n"/>
      <c r="O39" s="14" t="n"/>
      <c r="P39" s="14" t="n"/>
      <c r="Q39" s="14" t="n"/>
      <c r="R39" s="21">
        <f>IF(OR(A39="",N(I39)=0),0,ROUND((N(G39)-N(H39))/N(I39),2))</f>
        <v/>
      </c>
      <c r="S39" s="21">
        <f>IF(A39="","",IFERROR(MIN(N(G39)-N(H39),MAX(N(K39),R39*MAX(0,(YEAR(ReportTo)-YEAR(IF(J39&lt;&gt;"",DATE(LEFT(J39,4),MID(J39,6,2),1),F39)))*12+MONTH(ReportTo)-MONTH(IF(J39&lt;&gt;"",DATE(LEFT(J39,4),MID(J39,6,2),1),F39))+1))),""))</f>
        <v/>
      </c>
      <c r="T39" s="21">
        <f>IF(A39="","",IFERROR(N(G39)-N(S39),""))</f>
        <v/>
      </c>
    </row>
    <row r="40">
      <c r="A40" s="14" t="n"/>
      <c r="B40" s="14" t="n"/>
      <c r="C40" s="14" t="n"/>
      <c r="D40" s="14" t="n"/>
      <c r="E40" s="14" t="n"/>
      <c r="F40" s="19" t="n"/>
      <c r="G40" s="20" t="n"/>
      <c r="H40" s="20" t="n"/>
      <c r="I40" s="14" t="n"/>
      <c r="J40" s="14" t="n"/>
      <c r="K40" s="20" t="n"/>
      <c r="L40" s="14" t="n"/>
      <c r="M40" s="14" t="n"/>
      <c r="N40" s="14" t="n"/>
      <c r="O40" s="14" t="n"/>
      <c r="P40" s="14" t="n"/>
      <c r="Q40" s="14" t="n"/>
      <c r="R40" s="21">
        <f>IF(OR(A40="",N(I40)=0),0,ROUND((N(G40)-N(H40))/N(I40),2))</f>
        <v/>
      </c>
      <c r="S40" s="21">
        <f>IF(A40="","",IFERROR(MIN(N(G40)-N(H40),MAX(N(K40),R40*MAX(0,(YEAR(ReportTo)-YEAR(IF(J40&lt;&gt;"",DATE(LEFT(J40,4),MID(J40,6,2),1),F40)))*12+MONTH(ReportTo)-MONTH(IF(J40&lt;&gt;"",DATE(LEFT(J40,4),MID(J40,6,2),1),F40))+1))),""))</f>
        <v/>
      </c>
      <c r="T40" s="21">
        <f>IF(A40="","",IFERROR(N(G40)-N(S40),""))</f>
        <v/>
      </c>
    </row>
    <row r="41">
      <c r="A41" s="14" t="n"/>
      <c r="B41" s="14" t="n"/>
      <c r="C41" s="14" t="n"/>
      <c r="D41" s="14" t="n"/>
      <c r="E41" s="14" t="n"/>
      <c r="F41" s="19" t="n"/>
      <c r="G41" s="20" t="n"/>
      <c r="H41" s="20" t="n"/>
      <c r="I41" s="14" t="n"/>
      <c r="J41" s="14" t="n"/>
      <c r="K41" s="20" t="n"/>
      <c r="L41" s="14" t="n"/>
      <c r="M41" s="14" t="n"/>
      <c r="N41" s="14" t="n"/>
      <c r="O41" s="14" t="n"/>
      <c r="P41" s="14" t="n"/>
      <c r="Q41" s="14" t="n"/>
      <c r="R41" s="21">
        <f>IF(OR(A41="",N(I41)=0),0,ROUND((N(G41)-N(H41))/N(I41),2))</f>
        <v/>
      </c>
      <c r="S41" s="21">
        <f>IF(A41="","",IFERROR(MIN(N(G41)-N(H41),MAX(N(K41),R41*MAX(0,(YEAR(ReportTo)-YEAR(IF(J41&lt;&gt;"",DATE(LEFT(J41,4),MID(J41,6,2),1),F41)))*12+MONTH(ReportTo)-MONTH(IF(J41&lt;&gt;"",DATE(LEFT(J41,4),MID(J41,6,2),1),F41))+1))),""))</f>
        <v/>
      </c>
      <c r="T41" s="21">
        <f>IF(A41="","",IFERROR(N(G41)-N(S41),""))</f>
        <v/>
      </c>
    </row>
    <row r="42">
      <c r="A42" s="14" t="n"/>
      <c r="B42" s="14" t="n"/>
      <c r="C42" s="14" t="n"/>
      <c r="D42" s="14" t="n"/>
      <c r="E42" s="14" t="n"/>
      <c r="F42" s="19" t="n"/>
      <c r="G42" s="20" t="n"/>
      <c r="H42" s="20" t="n"/>
      <c r="I42" s="14" t="n"/>
      <c r="J42" s="14" t="n"/>
      <c r="K42" s="20" t="n"/>
      <c r="L42" s="14" t="n"/>
      <c r="M42" s="14" t="n"/>
      <c r="N42" s="14" t="n"/>
      <c r="O42" s="14" t="n"/>
      <c r="P42" s="14" t="n"/>
      <c r="Q42" s="14" t="n"/>
      <c r="R42" s="21">
        <f>IF(OR(A42="",N(I42)=0),0,ROUND((N(G42)-N(H42))/N(I42),2))</f>
        <v/>
      </c>
      <c r="S42" s="21">
        <f>IF(A42="","",IFERROR(MIN(N(G42)-N(H42),MAX(N(K42),R42*MAX(0,(YEAR(ReportTo)-YEAR(IF(J42&lt;&gt;"",DATE(LEFT(J42,4),MID(J42,6,2),1),F42)))*12+MONTH(ReportTo)-MONTH(IF(J42&lt;&gt;"",DATE(LEFT(J42,4),MID(J42,6,2),1),F42))+1))),""))</f>
        <v/>
      </c>
      <c r="T42" s="21">
        <f>IF(A42="","",IFERROR(N(G42)-N(S42),""))</f>
        <v/>
      </c>
    </row>
    <row r="43">
      <c r="A43" s="14" t="n"/>
      <c r="B43" s="14" t="n"/>
      <c r="C43" s="14" t="n"/>
      <c r="D43" s="14" t="n"/>
      <c r="E43" s="14" t="n"/>
      <c r="F43" s="19" t="n"/>
      <c r="G43" s="20" t="n"/>
      <c r="H43" s="20" t="n"/>
      <c r="I43" s="14" t="n"/>
      <c r="J43" s="14" t="n"/>
      <c r="K43" s="20" t="n"/>
      <c r="L43" s="14" t="n"/>
      <c r="M43" s="14" t="n"/>
      <c r="N43" s="14" t="n"/>
      <c r="O43" s="14" t="n"/>
      <c r="P43" s="14" t="n"/>
      <c r="Q43" s="14" t="n"/>
      <c r="R43" s="21">
        <f>IF(OR(A43="",N(I43)=0),0,ROUND((N(G43)-N(H43))/N(I43),2))</f>
        <v/>
      </c>
      <c r="S43" s="21">
        <f>IF(A43="","",IFERROR(MIN(N(G43)-N(H43),MAX(N(K43),R43*MAX(0,(YEAR(ReportTo)-YEAR(IF(J43&lt;&gt;"",DATE(LEFT(J43,4),MID(J43,6,2),1),F43)))*12+MONTH(ReportTo)-MONTH(IF(J43&lt;&gt;"",DATE(LEFT(J43,4),MID(J43,6,2),1),F43))+1))),""))</f>
        <v/>
      </c>
      <c r="T43" s="21">
        <f>IF(A43="","",IFERROR(N(G43)-N(S43),""))</f>
        <v/>
      </c>
    </row>
    <row r="44">
      <c r="A44" s="14" t="n"/>
      <c r="B44" s="14" t="n"/>
      <c r="C44" s="14" t="n"/>
      <c r="D44" s="14" t="n"/>
      <c r="E44" s="14" t="n"/>
      <c r="F44" s="19" t="n"/>
      <c r="G44" s="20" t="n"/>
      <c r="H44" s="20" t="n"/>
      <c r="I44" s="14" t="n"/>
      <c r="J44" s="14" t="n"/>
      <c r="K44" s="20" t="n"/>
      <c r="L44" s="14" t="n"/>
      <c r="M44" s="14" t="n"/>
      <c r="N44" s="14" t="n"/>
      <c r="O44" s="14" t="n"/>
      <c r="P44" s="14" t="n"/>
      <c r="Q44" s="14" t="n"/>
      <c r="R44" s="21">
        <f>IF(OR(A44="",N(I44)=0),0,ROUND((N(G44)-N(H44))/N(I44),2))</f>
        <v/>
      </c>
      <c r="S44" s="21">
        <f>IF(A44="","",IFERROR(MIN(N(G44)-N(H44),MAX(N(K44),R44*MAX(0,(YEAR(ReportTo)-YEAR(IF(J44&lt;&gt;"",DATE(LEFT(J44,4),MID(J44,6,2),1),F44)))*12+MONTH(ReportTo)-MONTH(IF(J44&lt;&gt;"",DATE(LEFT(J44,4),MID(J44,6,2),1),F44))+1))),""))</f>
        <v/>
      </c>
      <c r="T44" s="21">
        <f>IF(A44="","",IFERROR(N(G44)-N(S44),""))</f>
        <v/>
      </c>
    </row>
    <row r="45">
      <c r="A45" s="14" t="n"/>
      <c r="B45" s="14" t="n"/>
      <c r="C45" s="14" t="n"/>
      <c r="D45" s="14" t="n"/>
      <c r="E45" s="14" t="n"/>
      <c r="F45" s="19" t="n"/>
      <c r="G45" s="20" t="n"/>
      <c r="H45" s="20" t="n"/>
      <c r="I45" s="14" t="n"/>
      <c r="J45" s="14" t="n"/>
      <c r="K45" s="20" t="n"/>
      <c r="L45" s="14" t="n"/>
      <c r="M45" s="14" t="n"/>
      <c r="N45" s="14" t="n"/>
      <c r="O45" s="14" t="n"/>
      <c r="P45" s="14" t="n"/>
      <c r="Q45" s="14" t="n"/>
      <c r="R45" s="21">
        <f>IF(OR(A45="",N(I45)=0),0,ROUND((N(G45)-N(H45))/N(I45),2))</f>
        <v/>
      </c>
      <c r="S45" s="21">
        <f>IF(A45="","",IFERROR(MIN(N(G45)-N(H45),MAX(N(K45),R45*MAX(0,(YEAR(ReportTo)-YEAR(IF(J45&lt;&gt;"",DATE(LEFT(J45,4),MID(J45,6,2),1),F45)))*12+MONTH(ReportTo)-MONTH(IF(J45&lt;&gt;"",DATE(LEFT(J45,4),MID(J45,6,2),1),F45))+1))),""))</f>
        <v/>
      </c>
      <c r="T45" s="21">
        <f>IF(A45="","",IFERROR(N(G45)-N(S45),""))</f>
        <v/>
      </c>
    </row>
    <row r="46">
      <c r="A46" s="14" t="n"/>
      <c r="B46" s="14" t="n"/>
      <c r="C46" s="14" t="n"/>
      <c r="D46" s="14" t="n"/>
      <c r="E46" s="14" t="n"/>
      <c r="F46" s="19" t="n"/>
      <c r="G46" s="20" t="n"/>
      <c r="H46" s="20" t="n"/>
      <c r="I46" s="14" t="n"/>
      <c r="J46" s="14" t="n"/>
      <c r="K46" s="20" t="n"/>
      <c r="L46" s="14" t="n"/>
      <c r="M46" s="14" t="n"/>
      <c r="N46" s="14" t="n"/>
      <c r="O46" s="14" t="n"/>
      <c r="P46" s="14" t="n"/>
      <c r="Q46" s="14" t="n"/>
      <c r="R46" s="21">
        <f>IF(OR(A46="",N(I46)=0),0,ROUND((N(G46)-N(H46))/N(I46),2))</f>
        <v/>
      </c>
      <c r="S46" s="21">
        <f>IF(A46="","",IFERROR(MIN(N(G46)-N(H46),MAX(N(K46),R46*MAX(0,(YEAR(ReportTo)-YEAR(IF(J46&lt;&gt;"",DATE(LEFT(J46,4),MID(J46,6,2),1),F46)))*12+MONTH(ReportTo)-MONTH(IF(J46&lt;&gt;"",DATE(LEFT(J46,4),MID(J46,6,2),1),F46))+1))),""))</f>
        <v/>
      </c>
      <c r="T46" s="21">
        <f>IF(A46="","",IFERROR(N(G46)-N(S46),""))</f>
        <v/>
      </c>
    </row>
    <row r="47">
      <c r="A47" s="14" t="n"/>
      <c r="B47" s="14" t="n"/>
      <c r="C47" s="14" t="n"/>
      <c r="D47" s="14" t="n"/>
      <c r="E47" s="14" t="n"/>
      <c r="F47" s="19" t="n"/>
      <c r="G47" s="20" t="n"/>
      <c r="H47" s="20" t="n"/>
      <c r="I47" s="14" t="n"/>
      <c r="J47" s="14" t="n"/>
      <c r="K47" s="20" t="n"/>
      <c r="L47" s="14" t="n"/>
      <c r="M47" s="14" t="n"/>
      <c r="N47" s="14" t="n"/>
      <c r="O47" s="14" t="n"/>
      <c r="P47" s="14" t="n"/>
      <c r="Q47" s="14" t="n"/>
      <c r="R47" s="21">
        <f>IF(OR(A47="",N(I47)=0),0,ROUND((N(G47)-N(H47))/N(I47),2))</f>
        <v/>
      </c>
      <c r="S47" s="21">
        <f>IF(A47="","",IFERROR(MIN(N(G47)-N(H47),MAX(N(K47),R47*MAX(0,(YEAR(ReportTo)-YEAR(IF(J47&lt;&gt;"",DATE(LEFT(J47,4),MID(J47,6,2),1),F47)))*12+MONTH(ReportTo)-MONTH(IF(J47&lt;&gt;"",DATE(LEFT(J47,4),MID(J47,6,2),1),F47))+1))),""))</f>
        <v/>
      </c>
      <c r="T47" s="21">
        <f>IF(A47="","",IFERROR(N(G47)-N(S47),""))</f>
        <v/>
      </c>
    </row>
    <row r="48">
      <c r="A48" s="14" t="n"/>
      <c r="B48" s="14" t="n"/>
      <c r="C48" s="14" t="n"/>
      <c r="D48" s="14" t="n"/>
      <c r="E48" s="14" t="n"/>
      <c r="F48" s="19" t="n"/>
      <c r="G48" s="20" t="n"/>
      <c r="H48" s="20" t="n"/>
      <c r="I48" s="14" t="n"/>
      <c r="J48" s="14" t="n"/>
      <c r="K48" s="20" t="n"/>
      <c r="L48" s="14" t="n"/>
      <c r="M48" s="14" t="n"/>
      <c r="N48" s="14" t="n"/>
      <c r="O48" s="14" t="n"/>
      <c r="P48" s="14" t="n"/>
      <c r="Q48" s="14" t="n"/>
      <c r="R48" s="21">
        <f>IF(OR(A48="",N(I48)=0),0,ROUND((N(G48)-N(H48))/N(I48),2))</f>
        <v/>
      </c>
      <c r="S48" s="21">
        <f>IF(A48="","",IFERROR(MIN(N(G48)-N(H48),MAX(N(K48),R48*MAX(0,(YEAR(ReportTo)-YEAR(IF(J48&lt;&gt;"",DATE(LEFT(J48,4),MID(J48,6,2),1),F48)))*12+MONTH(ReportTo)-MONTH(IF(J48&lt;&gt;"",DATE(LEFT(J48,4),MID(J48,6,2),1),F48))+1))),""))</f>
        <v/>
      </c>
      <c r="T48" s="21">
        <f>IF(A48="","",IFERROR(N(G48)-N(S48),""))</f>
        <v/>
      </c>
    </row>
    <row r="49">
      <c r="A49" s="14" t="n"/>
      <c r="B49" s="14" t="n"/>
      <c r="C49" s="14" t="n"/>
      <c r="D49" s="14" t="n"/>
      <c r="E49" s="14" t="n"/>
      <c r="F49" s="19" t="n"/>
      <c r="G49" s="20" t="n"/>
      <c r="H49" s="20" t="n"/>
      <c r="I49" s="14" t="n"/>
      <c r="J49" s="14" t="n"/>
      <c r="K49" s="20" t="n"/>
      <c r="L49" s="14" t="n"/>
      <c r="M49" s="14" t="n"/>
      <c r="N49" s="14" t="n"/>
      <c r="O49" s="14" t="n"/>
      <c r="P49" s="14" t="n"/>
      <c r="Q49" s="14" t="n"/>
      <c r="R49" s="21">
        <f>IF(OR(A49="",N(I49)=0),0,ROUND((N(G49)-N(H49))/N(I49),2))</f>
        <v/>
      </c>
      <c r="S49" s="21">
        <f>IF(A49="","",IFERROR(MIN(N(G49)-N(H49),MAX(N(K49),R49*MAX(0,(YEAR(ReportTo)-YEAR(IF(J49&lt;&gt;"",DATE(LEFT(J49,4),MID(J49,6,2),1),F49)))*12+MONTH(ReportTo)-MONTH(IF(J49&lt;&gt;"",DATE(LEFT(J49,4),MID(J49,6,2),1),F49))+1))),""))</f>
        <v/>
      </c>
      <c r="T49" s="21">
        <f>IF(A49="","",IFERROR(N(G49)-N(S49),""))</f>
        <v/>
      </c>
    </row>
    <row r="50">
      <c r="A50" s="14" t="n"/>
      <c r="B50" s="14" t="n"/>
      <c r="C50" s="14" t="n"/>
      <c r="D50" s="14" t="n"/>
      <c r="E50" s="14" t="n"/>
      <c r="F50" s="19" t="n"/>
      <c r="G50" s="20" t="n"/>
      <c r="H50" s="20" t="n"/>
      <c r="I50" s="14" t="n"/>
      <c r="J50" s="14" t="n"/>
      <c r="K50" s="20" t="n"/>
      <c r="L50" s="14" t="n"/>
      <c r="M50" s="14" t="n"/>
      <c r="N50" s="14" t="n"/>
      <c r="O50" s="14" t="n"/>
      <c r="P50" s="14" t="n"/>
      <c r="Q50" s="14" t="n"/>
      <c r="R50" s="21">
        <f>IF(OR(A50="",N(I50)=0),0,ROUND((N(G50)-N(H50))/N(I50),2))</f>
        <v/>
      </c>
      <c r="S50" s="21">
        <f>IF(A50="","",IFERROR(MIN(N(G50)-N(H50),MAX(N(K50),R50*MAX(0,(YEAR(ReportTo)-YEAR(IF(J50&lt;&gt;"",DATE(LEFT(J50,4),MID(J50,6,2),1),F50)))*12+MONTH(ReportTo)-MONTH(IF(J50&lt;&gt;"",DATE(LEFT(J50,4),MID(J50,6,2),1),F50))+1))),""))</f>
        <v/>
      </c>
      <c r="T50" s="21">
        <f>IF(A50="","",IFERROR(N(G50)-N(S50),""))</f>
        <v/>
      </c>
    </row>
    <row r="51">
      <c r="A51" s="14" t="n"/>
      <c r="B51" s="14" t="n"/>
      <c r="C51" s="14" t="n"/>
      <c r="D51" s="14" t="n"/>
      <c r="E51" s="14" t="n"/>
      <c r="F51" s="19" t="n"/>
      <c r="G51" s="20" t="n"/>
      <c r="H51" s="20" t="n"/>
      <c r="I51" s="14" t="n"/>
      <c r="J51" s="14" t="n"/>
      <c r="K51" s="20" t="n"/>
      <c r="L51" s="14" t="n"/>
      <c r="M51" s="14" t="n"/>
      <c r="N51" s="14" t="n"/>
      <c r="O51" s="14" t="n"/>
      <c r="P51" s="14" t="n"/>
      <c r="Q51" s="14" t="n"/>
      <c r="R51" s="21">
        <f>IF(OR(A51="",N(I51)=0),0,ROUND((N(G51)-N(H51))/N(I51),2))</f>
        <v/>
      </c>
      <c r="S51" s="21">
        <f>IF(A51="","",IFERROR(MIN(N(G51)-N(H51),MAX(N(K51),R51*MAX(0,(YEAR(ReportTo)-YEAR(IF(J51&lt;&gt;"",DATE(LEFT(J51,4),MID(J51,6,2),1),F51)))*12+MONTH(ReportTo)-MONTH(IF(J51&lt;&gt;"",DATE(LEFT(J51,4),MID(J51,6,2),1),F51))+1))),""))</f>
        <v/>
      </c>
      <c r="T51" s="21">
        <f>IF(A51="","",IFERROR(N(G51)-N(S51),""))</f>
        <v/>
      </c>
    </row>
    <row r="52">
      <c r="A52" s="14" t="n"/>
      <c r="B52" s="14" t="n"/>
      <c r="C52" s="14" t="n"/>
      <c r="D52" s="14" t="n"/>
      <c r="E52" s="14" t="n"/>
      <c r="F52" s="19" t="n"/>
      <c r="G52" s="20" t="n"/>
      <c r="H52" s="20" t="n"/>
      <c r="I52" s="14" t="n"/>
      <c r="J52" s="14" t="n"/>
      <c r="K52" s="20" t="n"/>
      <c r="L52" s="14" t="n"/>
      <c r="M52" s="14" t="n"/>
      <c r="N52" s="14" t="n"/>
      <c r="O52" s="14" t="n"/>
      <c r="P52" s="14" t="n"/>
      <c r="Q52" s="14" t="n"/>
      <c r="R52" s="21">
        <f>IF(OR(A52="",N(I52)=0),0,ROUND((N(G52)-N(H52))/N(I52),2))</f>
        <v/>
      </c>
      <c r="S52" s="21">
        <f>IF(A52="","",IFERROR(MIN(N(G52)-N(H52),MAX(N(K52),R52*MAX(0,(YEAR(ReportTo)-YEAR(IF(J52&lt;&gt;"",DATE(LEFT(J52,4),MID(J52,6,2),1),F52)))*12+MONTH(ReportTo)-MONTH(IF(J52&lt;&gt;"",DATE(LEFT(J52,4),MID(J52,6,2),1),F52))+1))),""))</f>
        <v/>
      </c>
      <c r="T52" s="21">
        <f>IF(A52="","",IFERROR(N(G52)-N(S52),""))</f>
        <v/>
      </c>
    </row>
    <row r="53">
      <c r="A53" s="14" t="n"/>
      <c r="B53" s="14" t="n"/>
      <c r="C53" s="14" t="n"/>
      <c r="D53" s="14" t="n"/>
      <c r="E53" s="14" t="n"/>
      <c r="F53" s="19" t="n"/>
      <c r="G53" s="20" t="n"/>
      <c r="H53" s="20" t="n"/>
      <c r="I53" s="14" t="n"/>
      <c r="J53" s="14" t="n"/>
      <c r="K53" s="20" t="n"/>
      <c r="L53" s="14" t="n"/>
      <c r="M53" s="14" t="n"/>
      <c r="N53" s="14" t="n"/>
      <c r="O53" s="14" t="n"/>
      <c r="P53" s="14" t="n"/>
      <c r="Q53" s="14" t="n"/>
      <c r="R53" s="21">
        <f>IF(OR(A53="",N(I53)=0),0,ROUND((N(G53)-N(H53))/N(I53),2))</f>
        <v/>
      </c>
      <c r="S53" s="21">
        <f>IF(A53="","",IFERROR(MIN(N(G53)-N(H53),MAX(N(K53),R53*MAX(0,(YEAR(ReportTo)-YEAR(IF(J53&lt;&gt;"",DATE(LEFT(J53,4),MID(J53,6,2),1),F53)))*12+MONTH(ReportTo)-MONTH(IF(J53&lt;&gt;"",DATE(LEFT(J53,4),MID(J53,6,2),1),F53))+1))),""))</f>
        <v/>
      </c>
      <c r="T53" s="21">
        <f>IF(A53="","",IFERROR(N(G53)-N(S53),""))</f>
        <v/>
      </c>
    </row>
    <row r="54">
      <c r="A54" s="14" t="n"/>
      <c r="B54" s="14" t="n"/>
      <c r="C54" s="14" t="n"/>
      <c r="D54" s="14" t="n"/>
      <c r="E54" s="14" t="n"/>
      <c r="F54" s="19" t="n"/>
      <c r="G54" s="20" t="n"/>
      <c r="H54" s="20" t="n"/>
      <c r="I54" s="14" t="n"/>
      <c r="J54" s="14" t="n"/>
      <c r="K54" s="20" t="n"/>
      <c r="L54" s="14" t="n"/>
      <c r="M54" s="14" t="n"/>
      <c r="N54" s="14" t="n"/>
      <c r="O54" s="14" t="n"/>
      <c r="P54" s="14" t="n"/>
      <c r="Q54" s="14" t="n"/>
      <c r="R54" s="21">
        <f>IF(OR(A54="",N(I54)=0),0,ROUND((N(G54)-N(H54))/N(I54),2))</f>
        <v/>
      </c>
      <c r="S54" s="21">
        <f>IF(A54="","",IFERROR(MIN(N(G54)-N(H54),MAX(N(K54),R54*MAX(0,(YEAR(ReportTo)-YEAR(IF(J54&lt;&gt;"",DATE(LEFT(J54,4),MID(J54,6,2),1),F54)))*12+MONTH(ReportTo)-MONTH(IF(J54&lt;&gt;"",DATE(LEFT(J54,4),MID(J54,6,2),1),F54))+1))),""))</f>
        <v/>
      </c>
      <c r="T54" s="21">
        <f>IF(A54="","",IFERROR(N(G54)-N(S54),""))</f>
        <v/>
      </c>
    </row>
    <row r="55">
      <c r="A55" s="14" t="n"/>
      <c r="B55" s="14" t="n"/>
      <c r="C55" s="14" t="n"/>
      <c r="D55" s="14" t="n"/>
      <c r="E55" s="14" t="n"/>
      <c r="F55" s="19" t="n"/>
      <c r="G55" s="20" t="n"/>
      <c r="H55" s="20" t="n"/>
      <c r="I55" s="14" t="n"/>
      <c r="J55" s="14" t="n"/>
      <c r="K55" s="20" t="n"/>
      <c r="L55" s="14" t="n"/>
      <c r="M55" s="14" t="n"/>
      <c r="N55" s="14" t="n"/>
      <c r="O55" s="14" t="n"/>
      <c r="P55" s="14" t="n"/>
      <c r="Q55" s="14" t="n"/>
      <c r="R55" s="21">
        <f>IF(OR(A55="",N(I55)=0),0,ROUND((N(G55)-N(H55))/N(I55),2))</f>
        <v/>
      </c>
      <c r="S55" s="21">
        <f>IF(A55="","",IFERROR(MIN(N(G55)-N(H55),MAX(N(K55),R55*MAX(0,(YEAR(ReportTo)-YEAR(IF(J55&lt;&gt;"",DATE(LEFT(J55,4),MID(J55,6,2),1),F55)))*12+MONTH(ReportTo)-MONTH(IF(J55&lt;&gt;"",DATE(LEFT(J55,4),MID(J55,6,2),1),F55))+1))),""))</f>
        <v/>
      </c>
      <c r="T55" s="21">
        <f>IF(A55="","",IFERROR(N(G55)-N(S55),""))</f>
        <v/>
      </c>
    </row>
    <row r="56">
      <c r="A56" s="14" t="n"/>
      <c r="B56" s="14" t="n"/>
      <c r="C56" s="14" t="n"/>
      <c r="D56" s="14" t="n"/>
      <c r="E56" s="14" t="n"/>
      <c r="F56" s="19" t="n"/>
      <c r="G56" s="20" t="n"/>
      <c r="H56" s="20" t="n"/>
      <c r="I56" s="14" t="n"/>
      <c r="J56" s="14" t="n"/>
      <c r="K56" s="20" t="n"/>
      <c r="L56" s="14" t="n"/>
      <c r="M56" s="14" t="n"/>
      <c r="N56" s="14" t="n"/>
      <c r="O56" s="14" t="n"/>
      <c r="P56" s="14" t="n"/>
      <c r="Q56" s="14" t="n"/>
      <c r="R56" s="21">
        <f>IF(OR(A56="",N(I56)=0),0,ROUND((N(G56)-N(H56))/N(I56),2))</f>
        <v/>
      </c>
      <c r="S56" s="21">
        <f>IF(A56="","",IFERROR(MIN(N(G56)-N(H56),MAX(N(K56),R56*MAX(0,(YEAR(ReportTo)-YEAR(IF(J56&lt;&gt;"",DATE(LEFT(J56,4),MID(J56,6,2),1),F56)))*12+MONTH(ReportTo)-MONTH(IF(J56&lt;&gt;"",DATE(LEFT(J56,4),MID(J56,6,2),1),F56))+1))),""))</f>
        <v/>
      </c>
      <c r="T56" s="21">
        <f>IF(A56="","",IFERROR(N(G56)-N(S56),""))</f>
        <v/>
      </c>
    </row>
    <row r="57">
      <c r="A57" s="14" t="n"/>
      <c r="B57" s="14" t="n"/>
      <c r="C57" s="14" t="n"/>
      <c r="D57" s="14" t="n"/>
      <c r="E57" s="14" t="n"/>
      <c r="F57" s="19" t="n"/>
      <c r="G57" s="20" t="n"/>
      <c r="H57" s="20" t="n"/>
      <c r="I57" s="14" t="n"/>
      <c r="J57" s="14" t="n"/>
      <c r="K57" s="20" t="n"/>
      <c r="L57" s="14" t="n"/>
      <c r="M57" s="14" t="n"/>
      <c r="N57" s="14" t="n"/>
      <c r="O57" s="14" t="n"/>
      <c r="P57" s="14" t="n"/>
      <c r="Q57" s="14" t="n"/>
      <c r="R57" s="21">
        <f>IF(OR(A57="",N(I57)=0),0,ROUND((N(G57)-N(H57))/N(I57),2))</f>
        <v/>
      </c>
      <c r="S57" s="21">
        <f>IF(A57="","",IFERROR(MIN(N(G57)-N(H57),MAX(N(K57),R57*MAX(0,(YEAR(ReportTo)-YEAR(IF(J57&lt;&gt;"",DATE(LEFT(J57,4),MID(J57,6,2),1),F57)))*12+MONTH(ReportTo)-MONTH(IF(J57&lt;&gt;"",DATE(LEFT(J57,4),MID(J57,6,2),1),F57))+1))),""))</f>
        <v/>
      </c>
      <c r="T57" s="21">
        <f>IF(A57="","",IFERROR(N(G57)-N(S57),""))</f>
        <v/>
      </c>
    </row>
    <row r="58">
      <c r="A58" s="14" t="n"/>
      <c r="B58" s="14" t="n"/>
      <c r="C58" s="14" t="n"/>
      <c r="D58" s="14" t="n"/>
      <c r="E58" s="14" t="n"/>
      <c r="F58" s="19" t="n"/>
      <c r="G58" s="20" t="n"/>
      <c r="H58" s="20" t="n"/>
      <c r="I58" s="14" t="n"/>
      <c r="J58" s="14" t="n"/>
      <c r="K58" s="20" t="n"/>
      <c r="L58" s="14" t="n"/>
      <c r="M58" s="14" t="n"/>
      <c r="N58" s="14" t="n"/>
      <c r="O58" s="14" t="n"/>
      <c r="P58" s="14" t="n"/>
      <c r="Q58" s="14" t="n"/>
      <c r="R58" s="21">
        <f>IF(OR(A58="",N(I58)=0),0,ROUND((N(G58)-N(H58))/N(I58),2))</f>
        <v/>
      </c>
      <c r="S58" s="21">
        <f>IF(A58="","",IFERROR(MIN(N(G58)-N(H58),MAX(N(K58),R58*MAX(0,(YEAR(ReportTo)-YEAR(IF(J58&lt;&gt;"",DATE(LEFT(J58,4),MID(J58,6,2),1),F58)))*12+MONTH(ReportTo)-MONTH(IF(J58&lt;&gt;"",DATE(LEFT(J58,4),MID(J58,6,2),1),F58))+1))),""))</f>
        <v/>
      </c>
      <c r="T58" s="21">
        <f>IF(A58="","",IFERROR(N(G58)-N(S58),""))</f>
        <v/>
      </c>
    </row>
    <row r="59">
      <c r="A59" s="14" t="n"/>
      <c r="B59" s="14" t="n"/>
      <c r="C59" s="14" t="n"/>
      <c r="D59" s="14" t="n"/>
      <c r="E59" s="14" t="n"/>
      <c r="F59" s="19" t="n"/>
      <c r="G59" s="20" t="n"/>
      <c r="H59" s="20" t="n"/>
      <c r="I59" s="14" t="n"/>
      <c r="J59" s="14" t="n"/>
      <c r="K59" s="20" t="n"/>
      <c r="L59" s="14" t="n"/>
      <c r="M59" s="14" t="n"/>
      <c r="N59" s="14" t="n"/>
      <c r="O59" s="14" t="n"/>
      <c r="P59" s="14" t="n"/>
      <c r="Q59" s="14" t="n"/>
      <c r="R59" s="21">
        <f>IF(OR(A59="",N(I59)=0),0,ROUND((N(G59)-N(H59))/N(I59),2))</f>
        <v/>
      </c>
      <c r="S59" s="21">
        <f>IF(A59="","",IFERROR(MIN(N(G59)-N(H59),MAX(N(K59),R59*MAX(0,(YEAR(ReportTo)-YEAR(IF(J59&lt;&gt;"",DATE(LEFT(J59,4),MID(J59,6,2),1),F59)))*12+MONTH(ReportTo)-MONTH(IF(J59&lt;&gt;"",DATE(LEFT(J59,4),MID(J59,6,2),1),F59))+1))),""))</f>
        <v/>
      </c>
      <c r="T59" s="21">
        <f>IF(A59="","",IFERROR(N(G59)-N(S59),""))</f>
        <v/>
      </c>
    </row>
    <row r="60">
      <c r="A60" s="14" t="n"/>
      <c r="B60" s="14" t="n"/>
      <c r="C60" s="14" t="n"/>
      <c r="D60" s="14" t="n"/>
      <c r="E60" s="14" t="n"/>
      <c r="F60" s="19" t="n"/>
      <c r="G60" s="20" t="n"/>
      <c r="H60" s="20" t="n"/>
      <c r="I60" s="14" t="n"/>
      <c r="J60" s="14" t="n"/>
      <c r="K60" s="20" t="n"/>
      <c r="L60" s="14" t="n"/>
      <c r="M60" s="14" t="n"/>
      <c r="N60" s="14" t="n"/>
      <c r="O60" s="14" t="n"/>
      <c r="P60" s="14" t="n"/>
      <c r="Q60" s="14" t="n"/>
      <c r="R60" s="21">
        <f>IF(OR(A60="",N(I60)=0),0,ROUND((N(G60)-N(H60))/N(I60),2))</f>
        <v/>
      </c>
      <c r="S60" s="21">
        <f>IF(A60="","",IFERROR(MIN(N(G60)-N(H60),MAX(N(K60),R60*MAX(0,(YEAR(ReportTo)-YEAR(IF(J60&lt;&gt;"",DATE(LEFT(J60,4),MID(J60,6,2),1),F60)))*12+MONTH(ReportTo)-MONTH(IF(J60&lt;&gt;"",DATE(LEFT(J60,4),MID(J60,6,2),1),F60))+1))),""))</f>
        <v/>
      </c>
      <c r="T60" s="21">
        <f>IF(A60="","",IFERROR(N(G60)-N(S60),""))</f>
        <v/>
      </c>
    </row>
    <row r="61">
      <c r="A61" s="14" t="n"/>
      <c r="B61" s="14" t="n"/>
      <c r="C61" s="14" t="n"/>
      <c r="D61" s="14" t="n"/>
      <c r="E61" s="14" t="n"/>
      <c r="F61" s="19" t="n"/>
      <c r="G61" s="20" t="n"/>
      <c r="H61" s="20" t="n"/>
      <c r="I61" s="14" t="n"/>
      <c r="J61" s="14" t="n"/>
      <c r="K61" s="20" t="n"/>
      <c r="L61" s="14" t="n"/>
      <c r="M61" s="14" t="n"/>
      <c r="N61" s="14" t="n"/>
      <c r="O61" s="14" t="n"/>
      <c r="P61" s="14" t="n"/>
      <c r="Q61" s="14" t="n"/>
      <c r="R61" s="21">
        <f>IF(OR(A61="",N(I61)=0),0,ROUND((N(G61)-N(H61))/N(I61),2))</f>
        <v/>
      </c>
      <c r="S61" s="21">
        <f>IF(A61="","",IFERROR(MIN(N(G61)-N(H61),MAX(N(K61),R61*MAX(0,(YEAR(ReportTo)-YEAR(IF(J61&lt;&gt;"",DATE(LEFT(J61,4),MID(J61,6,2),1),F61)))*12+MONTH(ReportTo)-MONTH(IF(J61&lt;&gt;"",DATE(LEFT(J61,4),MID(J61,6,2),1),F61))+1))),""))</f>
        <v/>
      </c>
      <c r="T61" s="21">
        <f>IF(A61="","",IFERROR(N(G61)-N(S61),""))</f>
        <v/>
      </c>
    </row>
    <row r="62">
      <c r="A62" s="14" t="n"/>
      <c r="B62" s="14" t="n"/>
      <c r="C62" s="14" t="n"/>
      <c r="D62" s="14" t="n"/>
      <c r="E62" s="14" t="n"/>
      <c r="F62" s="19" t="n"/>
      <c r="G62" s="20" t="n"/>
      <c r="H62" s="20" t="n"/>
      <c r="I62" s="14" t="n"/>
      <c r="J62" s="14" t="n"/>
      <c r="K62" s="20" t="n"/>
      <c r="L62" s="14" t="n"/>
      <c r="M62" s="14" t="n"/>
      <c r="N62" s="14" t="n"/>
      <c r="O62" s="14" t="n"/>
      <c r="P62" s="14" t="n"/>
      <c r="Q62" s="14" t="n"/>
      <c r="R62" s="21">
        <f>IF(OR(A62="",N(I62)=0),0,ROUND((N(G62)-N(H62))/N(I62),2))</f>
        <v/>
      </c>
      <c r="S62" s="21">
        <f>IF(A62="","",IFERROR(MIN(N(G62)-N(H62),MAX(N(K62),R62*MAX(0,(YEAR(ReportTo)-YEAR(IF(J62&lt;&gt;"",DATE(LEFT(J62,4),MID(J62,6,2),1),F62)))*12+MONTH(ReportTo)-MONTH(IF(J62&lt;&gt;"",DATE(LEFT(J62,4),MID(J62,6,2),1),F62))+1))),""))</f>
        <v/>
      </c>
      <c r="T62" s="21">
        <f>IF(A62="","",IFERROR(N(G62)-N(S62),""))</f>
        <v/>
      </c>
    </row>
    <row r="63">
      <c r="A63" s="14" t="n"/>
      <c r="B63" s="14" t="n"/>
      <c r="C63" s="14" t="n"/>
      <c r="D63" s="14" t="n"/>
      <c r="E63" s="14" t="n"/>
      <c r="F63" s="19" t="n"/>
      <c r="G63" s="20" t="n"/>
      <c r="H63" s="20" t="n"/>
      <c r="I63" s="14" t="n"/>
      <c r="J63" s="14" t="n"/>
      <c r="K63" s="20" t="n"/>
      <c r="L63" s="14" t="n"/>
      <c r="M63" s="14" t="n"/>
      <c r="N63" s="14" t="n"/>
      <c r="O63" s="14" t="n"/>
      <c r="P63" s="14" t="n"/>
      <c r="Q63" s="14" t="n"/>
      <c r="R63" s="21">
        <f>IF(OR(A63="",N(I63)=0),0,ROUND((N(G63)-N(H63))/N(I63),2))</f>
        <v/>
      </c>
      <c r="S63" s="21">
        <f>IF(A63="","",IFERROR(MIN(N(G63)-N(H63),MAX(N(K63),R63*MAX(0,(YEAR(ReportTo)-YEAR(IF(J63&lt;&gt;"",DATE(LEFT(J63,4),MID(J63,6,2),1),F63)))*12+MONTH(ReportTo)-MONTH(IF(J63&lt;&gt;"",DATE(LEFT(J63,4),MID(J63,6,2),1),F63))+1))),""))</f>
        <v/>
      </c>
      <c r="T63" s="21">
        <f>IF(A63="","",IFERROR(N(G63)-N(S63),""))</f>
        <v/>
      </c>
    </row>
    <row r="64">
      <c r="A64" s="14" t="n"/>
      <c r="B64" s="14" t="n"/>
      <c r="C64" s="14" t="n"/>
      <c r="D64" s="14" t="n"/>
      <c r="E64" s="14" t="n"/>
      <c r="F64" s="19" t="n"/>
      <c r="G64" s="20" t="n"/>
      <c r="H64" s="20" t="n"/>
      <c r="I64" s="14" t="n"/>
      <c r="J64" s="14" t="n"/>
      <c r="K64" s="20" t="n"/>
      <c r="L64" s="14" t="n"/>
      <c r="M64" s="14" t="n"/>
      <c r="N64" s="14" t="n"/>
      <c r="O64" s="14" t="n"/>
      <c r="P64" s="14" t="n"/>
      <c r="Q64" s="14" t="n"/>
      <c r="R64" s="21">
        <f>IF(OR(A64="",N(I64)=0),0,ROUND((N(G64)-N(H64))/N(I64),2))</f>
        <v/>
      </c>
      <c r="S64" s="21">
        <f>IF(A64="","",IFERROR(MIN(N(G64)-N(H64),MAX(N(K64),R64*MAX(0,(YEAR(ReportTo)-YEAR(IF(J64&lt;&gt;"",DATE(LEFT(J64,4),MID(J64,6,2),1),F64)))*12+MONTH(ReportTo)-MONTH(IF(J64&lt;&gt;"",DATE(LEFT(J64,4),MID(J64,6,2),1),F64))+1))),""))</f>
        <v/>
      </c>
      <c r="T64" s="21">
        <f>IF(A64="","",IFERROR(N(G64)-N(S64),""))</f>
        <v/>
      </c>
    </row>
    <row r="65">
      <c r="A65" s="14" t="n"/>
      <c r="B65" s="14" t="n"/>
      <c r="C65" s="14" t="n"/>
      <c r="D65" s="14" t="n"/>
      <c r="E65" s="14" t="n"/>
      <c r="F65" s="19" t="n"/>
      <c r="G65" s="20" t="n"/>
      <c r="H65" s="20" t="n"/>
      <c r="I65" s="14" t="n"/>
      <c r="J65" s="14" t="n"/>
      <c r="K65" s="20" t="n"/>
      <c r="L65" s="14" t="n"/>
      <c r="M65" s="14" t="n"/>
      <c r="N65" s="14" t="n"/>
      <c r="O65" s="14" t="n"/>
      <c r="P65" s="14" t="n"/>
      <c r="Q65" s="14" t="n"/>
      <c r="R65" s="21">
        <f>IF(OR(A65="",N(I65)=0),0,ROUND((N(G65)-N(H65))/N(I65),2))</f>
        <v/>
      </c>
      <c r="S65" s="21">
        <f>IF(A65="","",IFERROR(MIN(N(G65)-N(H65),MAX(N(K65),R65*MAX(0,(YEAR(ReportTo)-YEAR(IF(J65&lt;&gt;"",DATE(LEFT(J65,4),MID(J65,6,2),1),F65)))*12+MONTH(ReportTo)-MONTH(IF(J65&lt;&gt;"",DATE(LEFT(J65,4),MID(J65,6,2),1),F65))+1))),""))</f>
        <v/>
      </c>
      <c r="T65" s="21">
        <f>IF(A65="","",IFERROR(N(G65)-N(S65),""))</f>
        <v/>
      </c>
    </row>
    <row r="66">
      <c r="A66" s="14" t="n"/>
      <c r="B66" s="14" t="n"/>
      <c r="C66" s="14" t="n"/>
      <c r="D66" s="14" t="n"/>
      <c r="E66" s="14" t="n"/>
      <c r="F66" s="19" t="n"/>
      <c r="G66" s="20" t="n"/>
      <c r="H66" s="20" t="n"/>
      <c r="I66" s="14" t="n"/>
      <c r="J66" s="14" t="n"/>
      <c r="K66" s="20" t="n"/>
      <c r="L66" s="14" t="n"/>
      <c r="M66" s="14" t="n"/>
      <c r="N66" s="14" t="n"/>
      <c r="O66" s="14" t="n"/>
      <c r="P66" s="14" t="n"/>
      <c r="Q66" s="14" t="n"/>
      <c r="R66" s="21">
        <f>IF(OR(A66="",N(I66)=0),0,ROUND((N(G66)-N(H66))/N(I66),2))</f>
        <v/>
      </c>
      <c r="S66" s="21">
        <f>IF(A66="","",IFERROR(MIN(N(G66)-N(H66),MAX(N(K66),R66*MAX(0,(YEAR(ReportTo)-YEAR(IF(J66&lt;&gt;"",DATE(LEFT(J66,4),MID(J66,6,2),1),F66)))*12+MONTH(ReportTo)-MONTH(IF(J66&lt;&gt;"",DATE(LEFT(J66,4),MID(J66,6,2),1),F66))+1))),""))</f>
        <v/>
      </c>
      <c r="T66" s="21">
        <f>IF(A66="","",IFERROR(N(G66)-N(S66),""))</f>
        <v/>
      </c>
    </row>
    <row r="67">
      <c r="A67" s="14" t="n"/>
      <c r="B67" s="14" t="n"/>
      <c r="C67" s="14" t="n"/>
      <c r="D67" s="14" t="n"/>
      <c r="E67" s="14" t="n"/>
      <c r="F67" s="19" t="n"/>
      <c r="G67" s="20" t="n"/>
      <c r="H67" s="20" t="n"/>
      <c r="I67" s="14" t="n"/>
      <c r="J67" s="14" t="n"/>
      <c r="K67" s="20" t="n"/>
      <c r="L67" s="14" t="n"/>
      <c r="M67" s="14" t="n"/>
      <c r="N67" s="14" t="n"/>
      <c r="O67" s="14" t="n"/>
      <c r="P67" s="14" t="n"/>
      <c r="Q67" s="14" t="n"/>
      <c r="R67" s="21">
        <f>IF(OR(A67="",N(I67)=0),0,ROUND((N(G67)-N(H67))/N(I67),2))</f>
        <v/>
      </c>
      <c r="S67" s="21">
        <f>IF(A67="","",IFERROR(MIN(N(G67)-N(H67),MAX(N(K67),R67*MAX(0,(YEAR(ReportTo)-YEAR(IF(J67&lt;&gt;"",DATE(LEFT(J67,4),MID(J67,6,2),1),F67)))*12+MONTH(ReportTo)-MONTH(IF(J67&lt;&gt;"",DATE(LEFT(J67,4),MID(J67,6,2),1),F67))+1))),""))</f>
        <v/>
      </c>
      <c r="T67" s="21">
        <f>IF(A67="","",IFERROR(N(G67)-N(S67),""))</f>
        <v/>
      </c>
    </row>
    <row r="68">
      <c r="A68" s="14" t="n"/>
      <c r="B68" s="14" t="n"/>
      <c r="C68" s="14" t="n"/>
      <c r="D68" s="14" t="n"/>
      <c r="E68" s="14" t="n"/>
      <c r="F68" s="19" t="n"/>
      <c r="G68" s="20" t="n"/>
      <c r="H68" s="20" t="n"/>
      <c r="I68" s="14" t="n"/>
      <c r="J68" s="14" t="n"/>
      <c r="K68" s="20" t="n"/>
      <c r="L68" s="14" t="n"/>
      <c r="M68" s="14" t="n"/>
      <c r="N68" s="14" t="n"/>
      <c r="O68" s="14" t="n"/>
      <c r="P68" s="14" t="n"/>
      <c r="Q68" s="14" t="n"/>
      <c r="R68" s="21">
        <f>IF(OR(A68="",N(I68)=0),0,ROUND((N(G68)-N(H68))/N(I68),2))</f>
        <v/>
      </c>
      <c r="S68" s="21">
        <f>IF(A68="","",IFERROR(MIN(N(G68)-N(H68),MAX(N(K68),R68*MAX(0,(YEAR(ReportTo)-YEAR(IF(J68&lt;&gt;"",DATE(LEFT(J68,4),MID(J68,6,2),1),F68)))*12+MONTH(ReportTo)-MONTH(IF(J68&lt;&gt;"",DATE(LEFT(J68,4),MID(J68,6,2),1),F68))+1))),""))</f>
        <v/>
      </c>
      <c r="T68" s="21">
        <f>IF(A68="","",IFERROR(N(G68)-N(S68),""))</f>
        <v/>
      </c>
    </row>
    <row r="69">
      <c r="A69" s="14" t="n"/>
      <c r="B69" s="14" t="n"/>
      <c r="C69" s="14" t="n"/>
      <c r="D69" s="14" t="n"/>
      <c r="E69" s="14" t="n"/>
      <c r="F69" s="19" t="n"/>
      <c r="G69" s="20" t="n"/>
      <c r="H69" s="20" t="n"/>
      <c r="I69" s="14" t="n"/>
      <c r="J69" s="14" t="n"/>
      <c r="K69" s="20" t="n"/>
      <c r="L69" s="14" t="n"/>
      <c r="M69" s="14" t="n"/>
      <c r="N69" s="14" t="n"/>
      <c r="O69" s="14" t="n"/>
      <c r="P69" s="14" t="n"/>
      <c r="Q69" s="14" t="n"/>
      <c r="R69" s="21">
        <f>IF(OR(A69="",N(I69)=0),0,ROUND((N(G69)-N(H69))/N(I69),2))</f>
        <v/>
      </c>
      <c r="S69" s="21">
        <f>IF(A69="","",IFERROR(MIN(N(G69)-N(H69),MAX(N(K69),R69*MAX(0,(YEAR(ReportTo)-YEAR(IF(J69&lt;&gt;"",DATE(LEFT(J69,4),MID(J69,6,2),1),F69)))*12+MONTH(ReportTo)-MONTH(IF(J69&lt;&gt;"",DATE(LEFT(J69,4),MID(J69,6,2),1),F69))+1))),""))</f>
        <v/>
      </c>
      <c r="T69" s="21">
        <f>IF(A69="","",IFERROR(N(G69)-N(S69),""))</f>
        <v/>
      </c>
    </row>
    <row r="70">
      <c r="A70" s="14" t="n"/>
      <c r="B70" s="14" t="n"/>
      <c r="C70" s="14" t="n"/>
      <c r="D70" s="14" t="n"/>
      <c r="E70" s="14" t="n"/>
      <c r="F70" s="19" t="n"/>
      <c r="G70" s="20" t="n"/>
      <c r="H70" s="20" t="n"/>
      <c r="I70" s="14" t="n"/>
      <c r="J70" s="14" t="n"/>
      <c r="K70" s="20" t="n"/>
      <c r="L70" s="14" t="n"/>
      <c r="M70" s="14" t="n"/>
      <c r="N70" s="14" t="n"/>
      <c r="O70" s="14" t="n"/>
      <c r="P70" s="14" t="n"/>
      <c r="Q70" s="14" t="n"/>
      <c r="R70" s="21">
        <f>IF(OR(A70="",N(I70)=0),0,ROUND((N(G70)-N(H70))/N(I70),2))</f>
        <v/>
      </c>
      <c r="S70" s="21">
        <f>IF(A70="","",IFERROR(MIN(N(G70)-N(H70),MAX(N(K70),R70*MAX(0,(YEAR(ReportTo)-YEAR(IF(J70&lt;&gt;"",DATE(LEFT(J70,4),MID(J70,6,2),1),F70)))*12+MONTH(ReportTo)-MONTH(IF(J70&lt;&gt;"",DATE(LEFT(J70,4),MID(J70,6,2),1),F70))+1))),""))</f>
        <v/>
      </c>
      <c r="T70" s="21">
        <f>IF(A70="","",IFERROR(N(G70)-N(S70),""))</f>
        <v/>
      </c>
    </row>
    <row r="71">
      <c r="A71" s="14" t="n"/>
      <c r="B71" s="14" t="n"/>
      <c r="C71" s="14" t="n"/>
      <c r="D71" s="14" t="n"/>
      <c r="E71" s="14" t="n"/>
      <c r="F71" s="19" t="n"/>
      <c r="G71" s="20" t="n"/>
      <c r="H71" s="20" t="n"/>
      <c r="I71" s="14" t="n"/>
      <c r="J71" s="14" t="n"/>
      <c r="K71" s="20" t="n"/>
      <c r="L71" s="14" t="n"/>
      <c r="M71" s="14" t="n"/>
      <c r="N71" s="14" t="n"/>
      <c r="O71" s="14" t="n"/>
      <c r="P71" s="14" t="n"/>
      <c r="Q71" s="14" t="n"/>
      <c r="R71" s="21">
        <f>IF(OR(A71="",N(I71)=0),0,ROUND((N(G71)-N(H71))/N(I71),2))</f>
        <v/>
      </c>
      <c r="S71" s="21">
        <f>IF(A71="","",IFERROR(MIN(N(G71)-N(H71),MAX(N(K71),R71*MAX(0,(YEAR(ReportTo)-YEAR(IF(J71&lt;&gt;"",DATE(LEFT(J71,4),MID(J71,6,2),1),F71)))*12+MONTH(ReportTo)-MONTH(IF(J71&lt;&gt;"",DATE(LEFT(J71,4),MID(J71,6,2),1),F71))+1))),""))</f>
        <v/>
      </c>
      <c r="T71" s="21">
        <f>IF(A71="","",IFERROR(N(G71)-N(S71),""))</f>
        <v/>
      </c>
    </row>
    <row r="72">
      <c r="A72" s="14" t="n"/>
      <c r="B72" s="14" t="n"/>
      <c r="C72" s="14" t="n"/>
      <c r="D72" s="14" t="n"/>
      <c r="E72" s="14" t="n"/>
      <c r="F72" s="19" t="n"/>
      <c r="G72" s="20" t="n"/>
      <c r="H72" s="20" t="n"/>
      <c r="I72" s="14" t="n"/>
      <c r="J72" s="14" t="n"/>
      <c r="K72" s="20" t="n"/>
      <c r="L72" s="14" t="n"/>
      <c r="M72" s="14" t="n"/>
      <c r="N72" s="14" t="n"/>
      <c r="O72" s="14" t="n"/>
      <c r="P72" s="14" t="n"/>
      <c r="Q72" s="14" t="n"/>
      <c r="R72" s="21">
        <f>IF(OR(A72="",N(I72)=0),0,ROUND((N(G72)-N(H72))/N(I72),2))</f>
        <v/>
      </c>
      <c r="S72" s="21">
        <f>IF(A72="","",IFERROR(MIN(N(G72)-N(H72),MAX(N(K72),R72*MAX(0,(YEAR(ReportTo)-YEAR(IF(J72&lt;&gt;"",DATE(LEFT(J72,4),MID(J72,6,2),1),F72)))*12+MONTH(ReportTo)-MONTH(IF(J72&lt;&gt;"",DATE(LEFT(J72,4),MID(J72,6,2),1),F72))+1))),""))</f>
        <v/>
      </c>
      <c r="T72" s="21">
        <f>IF(A72="","",IFERROR(N(G72)-N(S72),""))</f>
        <v/>
      </c>
    </row>
    <row r="73">
      <c r="A73" s="14" t="n"/>
      <c r="B73" s="14" t="n"/>
      <c r="C73" s="14" t="n"/>
      <c r="D73" s="14" t="n"/>
      <c r="E73" s="14" t="n"/>
      <c r="F73" s="19" t="n"/>
      <c r="G73" s="20" t="n"/>
      <c r="H73" s="20" t="n"/>
      <c r="I73" s="14" t="n"/>
      <c r="J73" s="14" t="n"/>
      <c r="K73" s="20" t="n"/>
      <c r="L73" s="14" t="n"/>
      <c r="M73" s="14" t="n"/>
      <c r="N73" s="14" t="n"/>
      <c r="O73" s="14" t="n"/>
      <c r="P73" s="14" t="n"/>
      <c r="Q73" s="14" t="n"/>
      <c r="R73" s="21">
        <f>IF(OR(A73="",N(I73)=0),0,ROUND((N(G73)-N(H73))/N(I73),2))</f>
        <v/>
      </c>
      <c r="S73" s="21">
        <f>IF(A73="","",IFERROR(MIN(N(G73)-N(H73),MAX(N(K73),R73*MAX(0,(YEAR(ReportTo)-YEAR(IF(J73&lt;&gt;"",DATE(LEFT(J73,4),MID(J73,6,2),1),F73)))*12+MONTH(ReportTo)-MONTH(IF(J73&lt;&gt;"",DATE(LEFT(J73,4),MID(J73,6,2),1),F73))+1))),""))</f>
        <v/>
      </c>
      <c r="T73" s="21">
        <f>IF(A73="","",IFERROR(N(G73)-N(S73),""))</f>
        <v/>
      </c>
    </row>
    <row r="74">
      <c r="A74" s="14" t="n"/>
      <c r="B74" s="14" t="n"/>
      <c r="C74" s="14" t="n"/>
      <c r="D74" s="14" t="n"/>
      <c r="E74" s="14" t="n"/>
      <c r="F74" s="19" t="n"/>
      <c r="G74" s="20" t="n"/>
      <c r="H74" s="20" t="n"/>
      <c r="I74" s="14" t="n"/>
      <c r="J74" s="14" t="n"/>
      <c r="K74" s="20" t="n"/>
      <c r="L74" s="14" t="n"/>
      <c r="M74" s="14" t="n"/>
      <c r="N74" s="14" t="n"/>
      <c r="O74" s="14" t="n"/>
      <c r="P74" s="14" t="n"/>
      <c r="Q74" s="14" t="n"/>
      <c r="R74" s="21">
        <f>IF(OR(A74="",N(I74)=0),0,ROUND((N(G74)-N(H74))/N(I74),2))</f>
        <v/>
      </c>
      <c r="S74" s="21">
        <f>IF(A74="","",IFERROR(MIN(N(G74)-N(H74),MAX(N(K74),R74*MAX(0,(YEAR(ReportTo)-YEAR(IF(J74&lt;&gt;"",DATE(LEFT(J74,4),MID(J74,6,2),1),F74)))*12+MONTH(ReportTo)-MONTH(IF(J74&lt;&gt;"",DATE(LEFT(J74,4),MID(J74,6,2),1),F74))+1))),""))</f>
        <v/>
      </c>
      <c r="T74" s="21">
        <f>IF(A74="","",IFERROR(N(G74)-N(S74),""))</f>
        <v/>
      </c>
    </row>
    <row r="75">
      <c r="A75" s="14" t="n"/>
      <c r="B75" s="14" t="n"/>
      <c r="C75" s="14" t="n"/>
      <c r="D75" s="14" t="n"/>
      <c r="E75" s="14" t="n"/>
      <c r="F75" s="19" t="n"/>
      <c r="G75" s="20" t="n"/>
      <c r="H75" s="20" t="n"/>
      <c r="I75" s="14" t="n"/>
      <c r="J75" s="14" t="n"/>
      <c r="K75" s="20" t="n"/>
      <c r="L75" s="14" t="n"/>
      <c r="M75" s="14" t="n"/>
      <c r="N75" s="14" t="n"/>
      <c r="O75" s="14" t="n"/>
      <c r="P75" s="14" t="n"/>
      <c r="Q75" s="14" t="n"/>
      <c r="R75" s="21">
        <f>IF(OR(A75="",N(I75)=0),0,ROUND((N(G75)-N(H75))/N(I75),2))</f>
        <v/>
      </c>
      <c r="S75" s="21">
        <f>IF(A75="","",IFERROR(MIN(N(G75)-N(H75),MAX(N(K75),R75*MAX(0,(YEAR(ReportTo)-YEAR(IF(J75&lt;&gt;"",DATE(LEFT(J75,4),MID(J75,6,2),1),F75)))*12+MONTH(ReportTo)-MONTH(IF(J75&lt;&gt;"",DATE(LEFT(J75,4),MID(J75,6,2),1),F75))+1))),""))</f>
        <v/>
      </c>
      <c r="T75" s="21">
        <f>IF(A75="","",IFERROR(N(G75)-N(S75),""))</f>
        <v/>
      </c>
    </row>
    <row r="76">
      <c r="A76" s="14" t="n"/>
      <c r="B76" s="14" t="n"/>
      <c r="C76" s="14" t="n"/>
      <c r="D76" s="14" t="n"/>
      <c r="E76" s="14" t="n"/>
      <c r="F76" s="19" t="n"/>
      <c r="G76" s="20" t="n"/>
      <c r="H76" s="20" t="n"/>
      <c r="I76" s="14" t="n"/>
      <c r="J76" s="14" t="n"/>
      <c r="K76" s="20" t="n"/>
      <c r="L76" s="14" t="n"/>
      <c r="M76" s="14" t="n"/>
      <c r="N76" s="14" t="n"/>
      <c r="O76" s="14" t="n"/>
      <c r="P76" s="14" t="n"/>
      <c r="Q76" s="14" t="n"/>
      <c r="R76" s="21">
        <f>IF(OR(A76="",N(I76)=0),0,ROUND((N(G76)-N(H76))/N(I76),2))</f>
        <v/>
      </c>
      <c r="S76" s="21">
        <f>IF(A76="","",IFERROR(MIN(N(G76)-N(H76),MAX(N(K76),R76*MAX(0,(YEAR(ReportTo)-YEAR(IF(J76&lt;&gt;"",DATE(LEFT(J76,4),MID(J76,6,2),1),F76)))*12+MONTH(ReportTo)-MONTH(IF(J76&lt;&gt;"",DATE(LEFT(J76,4),MID(J76,6,2),1),F76))+1))),""))</f>
        <v/>
      </c>
      <c r="T76" s="21">
        <f>IF(A76="","",IFERROR(N(G76)-N(S76),""))</f>
        <v/>
      </c>
    </row>
    <row r="77">
      <c r="A77" s="14" t="n"/>
      <c r="B77" s="14" t="n"/>
      <c r="C77" s="14" t="n"/>
      <c r="D77" s="14" t="n"/>
      <c r="E77" s="14" t="n"/>
      <c r="F77" s="19" t="n"/>
      <c r="G77" s="20" t="n"/>
      <c r="H77" s="20" t="n"/>
      <c r="I77" s="14" t="n"/>
      <c r="J77" s="14" t="n"/>
      <c r="K77" s="20" t="n"/>
      <c r="L77" s="14" t="n"/>
      <c r="M77" s="14" t="n"/>
      <c r="N77" s="14" t="n"/>
      <c r="O77" s="14" t="n"/>
      <c r="P77" s="14" t="n"/>
      <c r="Q77" s="14" t="n"/>
      <c r="R77" s="21">
        <f>IF(OR(A77="",N(I77)=0),0,ROUND((N(G77)-N(H77))/N(I77),2))</f>
        <v/>
      </c>
      <c r="S77" s="21">
        <f>IF(A77="","",IFERROR(MIN(N(G77)-N(H77),MAX(N(K77),R77*MAX(0,(YEAR(ReportTo)-YEAR(IF(J77&lt;&gt;"",DATE(LEFT(J77,4),MID(J77,6,2),1),F77)))*12+MONTH(ReportTo)-MONTH(IF(J77&lt;&gt;"",DATE(LEFT(J77,4),MID(J77,6,2),1),F77))+1))),""))</f>
        <v/>
      </c>
      <c r="T77" s="21">
        <f>IF(A77="","",IFERROR(N(G77)-N(S77),""))</f>
        <v/>
      </c>
    </row>
    <row r="78">
      <c r="A78" s="14" t="n"/>
      <c r="B78" s="14" t="n"/>
      <c r="C78" s="14" t="n"/>
      <c r="D78" s="14" t="n"/>
      <c r="E78" s="14" t="n"/>
      <c r="F78" s="19" t="n"/>
      <c r="G78" s="20" t="n"/>
      <c r="H78" s="20" t="n"/>
      <c r="I78" s="14" t="n"/>
      <c r="J78" s="14" t="n"/>
      <c r="K78" s="20" t="n"/>
      <c r="L78" s="14" t="n"/>
      <c r="M78" s="14" t="n"/>
      <c r="N78" s="14" t="n"/>
      <c r="O78" s="14" t="n"/>
      <c r="P78" s="14" t="n"/>
      <c r="Q78" s="14" t="n"/>
      <c r="R78" s="21">
        <f>IF(OR(A78="",N(I78)=0),0,ROUND((N(G78)-N(H78))/N(I78),2))</f>
        <v/>
      </c>
      <c r="S78" s="21">
        <f>IF(A78="","",IFERROR(MIN(N(G78)-N(H78),MAX(N(K78),R78*MAX(0,(YEAR(ReportTo)-YEAR(IF(J78&lt;&gt;"",DATE(LEFT(J78,4),MID(J78,6,2),1),F78)))*12+MONTH(ReportTo)-MONTH(IF(J78&lt;&gt;"",DATE(LEFT(J78,4),MID(J78,6,2),1),F78))+1))),""))</f>
        <v/>
      </c>
      <c r="T78" s="21">
        <f>IF(A78="","",IFERROR(N(G78)-N(S78),""))</f>
        <v/>
      </c>
    </row>
    <row r="79">
      <c r="A79" s="14" t="n"/>
      <c r="B79" s="14" t="n"/>
      <c r="C79" s="14" t="n"/>
      <c r="D79" s="14" t="n"/>
      <c r="E79" s="14" t="n"/>
      <c r="F79" s="19" t="n"/>
      <c r="G79" s="20" t="n"/>
      <c r="H79" s="20" t="n"/>
      <c r="I79" s="14" t="n"/>
      <c r="J79" s="14" t="n"/>
      <c r="K79" s="20" t="n"/>
      <c r="L79" s="14" t="n"/>
      <c r="M79" s="14" t="n"/>
      <c r="N79" s="14" t="n"/>
      <c r="O79" s="14" t="n"/>
      <c r="P79" s="14" t="n"/>
      <c r="Q79" s="14" t="n"/>
      <c r="R79" s="21">
        <f>IF(OR(A79="",N(I79)=0),0,ROUND((N(G79)-N(H79))/N(I79),2))</f>
        <v/>
      </c>
      <c r="S79" s="21">
        <f>IF(A79="","",IFERROR(MIN(N(G79)-N(H79),MAX(N(K79),R79*MAX(0,(YEAR(ReportTo)-YEAR(IF(J79&lt;&gt;"",DATE(LEFT(J79,4),MID(J79,6,2),1),F79)))*12+MONTH(ReportTo)-MONTH(IF(J79&lt;&gt;"",DATE(LEFT(J79,4),MID(J79,6,2),1),F79))+1))),""))</f>
        <v/>
      </c>
      <c r="T79" s="21">
        <f>IF(A79="","",IFERROR(N(G79)-N(S79),""))</f>
        <v/>
      </c>
    </row>
    <row r="80">
      <c r="A80" s="14" t="n"/>
      <c r="B80" s="14" t="n"/>
      <c r="C80" s="14" t="n"/>
      <c r="D80" s="14" t="n"/>
      <c r="E80" s="14" t="n"/>
      <c r="F80" s="19" t="n"/>
      <c r="G80" s="20" t="n"/>
      <c r="H80" s="20" t="n"/>
      <c r="I80" s="14" t="n"/>
      <c r="J80" s="14" t="n"/>
      <c r="K80" s="20" t="n"/>
      <c r="L80" s="14" t="n"/>
      <c r="M80" s="14" t="n"/>
      <c r="N80" s="14" t="n"/>
      <c r="O80" s="14" t="n"/>
      <c r="P80" s="14" t="n"/>
      <c r="Q80" s="14" t="n"/>
      <c r="R80" s="21">
        <f>IF(OR(A80="",N(I80)=0),0,ROUND((N(G80)-N(H80))/N(I80),2))</f>
        <v/>
      </c>
      <c r="S80" s="21">
        <f>IF(A80="","",IFERROR(MIN(N(G80)-N(H80),MAX(N(K80),R80*MAX(0,(YEAR(ReportTo)-YEAR(IF(J80&lt;&gt;"",DATE(LEFT(J80,4),MID(J80,6,2),1),F80)))*12+MONTH(ReportTo)-MONTH(IF(J80&lt;&gt;"",DATE(LEFT(J80,4),MID(J80,6,2),1),F80))+1))),""))</f>
        <v/>
      </c>
      <c r="T80" s="21">
        <f>IF(A80="","",IFERROR(N(G80)-N(S80),""))</f>
        <v/>
      </c>
    </row>
    <row r="81">
      <c r="A81" s="14" t="n"/>
      <c r="B81" s="14" t="n"/>
      <c r="C81" s="14" t="n"/>
      <c r="D81" s="14" t="n"/>
      <c r="E81" s="14" t="n"/>
      <c r="F81" s="19" t="n"/>
      <c r="G81" s="20" t="n"/>
      <c r="H81" s="20" t="n"/>
      <c r="I81" s="14" t="n"/>
      <c r="J81" s="14" t="n"/>
      <c r="K81" s="20" t="n"/>
      <c r="L81" s="14" t="n"/>
      <c r="M81" s="14" t="n"/>
      <c r="N81" s="14" t="n"/>
      <c r="O81" s="14" t="n"/>
      <c r="P81" s="14" t="n"/>
      <c r="Q81" s="14" t="n"/>
      <c r="R81" s="21">
        <f>IF(OR(A81="",N(I81)=0),0,ROUND((N(G81)-N(H81))/N(I81),2))</f>
        <v/>
      </c>
      <c r="S81" s="21">
        <f>IF(A81="","",IFERROR(MIN(N(G81)-N(H81),MAX(N(K81),R81*MAX(0,(YEAR(ReportTo)-YEAR(IF(J81&lt;&gt;"",DATE(LEFT(J81,4),MID(J81,6,2),1),F81)))*12+MONTH(ReportTo)-MONTH(IF(J81&lt;&gt;"",DATE(LEFT(J81,4),MID(J81,6,2),1),F81))+1))),""))</f>
        <v/>
      </c>
      <c r="T81" s="21">
        <f>IF(A81="","",IFERROR(N(G81)-N(S81),""))</f>
        <v/>
      </c>
    </row>
    <row r="82">
      <c r="A82" s="14" t="n"/>
      <c r="B82" s="14" t="n"/>
      <c r="C82" s="14" t="n"/>
      <c r="D82" s="14" t="n"/>
      <c r="E82" s="14" t="n"/>
      <c r="F82" s="19" t="n"/>
      <c r="G82" s="20" t="n"/>
      <c r="H82" s="20" t="n"/>
      <c r="I82" s="14" t="n"/>
      <c r="J82" s="14" t="n"/>
      <c r="K82" s="20" t="n"/>
      <c r="L82" s="14" t="n"/>
      <c r="M82" s="14" t="n"/>
      <c r="N82" s="14" t="n"/>
      <c r="O82" s="14" t="n"/>
      <c r="P82" s="14" t="n"/>
      <c r="Q82" s="14" t="n"/>
      <c r="R82" s="21">
        <f>IF(OR(A82="",N(I82)=0),0,ROUND((N(G82)-N(H82))/N(I82),2))</f>
        <v/>
      </c>
      <c r="S82" s="21">
        <f>IF(A82="","",IFERROR(MIN(N(G82)-N(H82),MAX(N(K82),R82*MAX(0,(YEAR(ReportTo)-YEAR(IF(J82&lt;&gt;"",DATE(LEFT(J82,4),MID(J82,6,2),1),F82)))*12+MONTH(ReportTo)-MONTH(IF(J82&lt;&gt;"",DATE(LEFT(J82,4),MID(J82,6,2),1),F82))+1))),""))</f>
        <v/>
      </c>
      <c r="T82" s="21">
        <f>IF(A82="","",IFERROR(N(G82)-N(S82),""))</f>
        <v/>
      </c>
    </row>
    <row r="83">
      <c r="A83" s="14" t="n"/>
      <c r="B83" s="14" t="n"/>
      <c r="C83" s="14" t="n"/>
      <c r="D83" s="14" t="n"/>
      <c r="E83" s="14" t="n"/>
      <c r="F83" s="19" t="n"/>
      <c r="G83" s="20" t="n"/>
      <c r="H83" s="20" t="n"/>
      <c r="I83" s="14" t="n"/>
      <c r="J83" s="14" t="n"/>
      <c r="K83" s="20" t="n"/>
      <c r="L83" s="14" t="n"/>
      <c r="M83" s="14" t="n"/>
      <c r="N83" s="14" t="n"/>
      <c r="O83" s="14" t="n"/>
      <c r="P83" s="14" t="n"/>
      <c r="Q83" s="14" t="n"/>
      <c r="R83" s="21">
        <f>IF(OR(A83="",N(I83)=0),0,ROUND((N(G83)-N(H83))/N(I83),2))</f>
        <v/>
      </c>
      <c r="S83" s="21">
        <f>IF(A83="","",IFERROR(MIN(N(G83)-N(H83),MAX(N(K83),R83*MAX(0,(YEAR(ReportTo)-YEAR(IF(J83&lt;&gt;"",DATE(LEFT(J83,4),MID(J83,6,2),1),F83)))*12+MONTH(ReportTo)-MONTH(IF(J83&lt;&gt;"",DATE(LEFT(J83,4),MID(J83,6,2),1),F83))+1))),""))</f>
        <v/>
      </c>
      <c r="T83" s="21">
        <f>IF(A83="","",IFERROR(N(G83)-N(S83),""))</f>
        <v/>
      </c>
    </row>
    <row r="84">
      <c r="A84" s="14" t="n"/>
      <c r="B84" s="14" t="n"/>
      <c r="C84" s="14" t="n"/>
      <c r="D84" s="14" t="n"/>
      <c r="E84" s="14" t="n"/>
      <c r="F84" s="19" t="n"/>
      <c r="G84" s="20" t="n"/>
      <c r="H84" s="20" t="n"/>
      <c r="I84" s="14" t="n"/>
      <c r="J84" s="14" t="n"/>
      <c r="K84" s="20" t="n"/>
      <c r="L84" s="14" t="n"/>
      <c r="M84" s="14" t="n"/>
      <c r="N84" s="14" t="n"/>
      <c r="O84" s="14" t="n"/>
      <c r="P84" s="14" t="n"/>
      <c r="Q84" s="14" t="n"/>
      <c r="R84" s="21">
        <f>IF(OR(A84="",N(I84)=0),0,ROUND((N(G84)-N(H84))/N(I84),2))</f>
        <v/>
      </c>
      <c r="S84" s="21">
        <f>IF(A84="","",IFERROR(MIN(N(G84)-N(H84),MAX(N(K84),R84*MAX(0,(YEAR(ReportTo)-YEAR(IF(J84&lt;&gt;"",DATE(LEFT(J84,4),MID(J84,6,2),1),F84)))*12+MONTH(ReportTo)-MONTH(IF(J84&lt;&gt;"",DATE(LEFT(J84,4),MID(J84,6,2),1),F84))+1))),""))</f>
        <v/>
      </c>
      <c r="T84" s="21">
        <f>IF(A84="","",IFERROR(N(G84)-N(S84),""))</f>
        <v/>
      </c>
    </row>
    <row r="85">
      <c r="A85" s="14" t="n"/>
      <c r="B85" s="14" t="n"/>
      <c r="C85" s="14" t="n"/>
      <c r="D85" s="14" t="n"/>
      <c r="E85" s="14" t="n"/>
      <c r="F85" s="19" t="n"/>
      <c r="G85" s="20" t="n"/>
      <c r="H85" s="20" t="n"/>
      <c r="I85" s="14" t="n"/>
      <c r="J85" s="14" t="n"/>
      <c r="K85" s="20" t="n"/>
      <c r="L85" s="14" t="n"/>
      <c r="M85" s="14" t="n"/>
      <c r="N85" s="14" t="n"/>
      <c r="O85" s="14" t="n"/>
      <c r="P85" s="14" t="n"/>
      <c r="Q85" s="14" t="n"/>
      <c r="R85" s="21">
        <f>IF(OR(A85="",N(I85)=0),0,ROUND((N(G85)-N(H85))/N(I85),2))</f>
        <v/>
      </c>
      <c r="S85" s="21">
        <f>IF(A85="","",IFERROR(MIN(N(G85)-N(H85),MAX(N(K85),R85*MAX(0,(YEAR(ReportTo)-YEAR(IF(J85&lt;&gt;"",DATE(LEFT(J85,4),MID(J85,6,2),1),F85)))*12+MONTH(ReportTo)-MONTH(IF(J85&lt;&gt;"",DATE(LEFT(J85,4),MID(J85,6,2),1),F85))+1))),""))</f>
        <v/>
      </c>
      <c r="T85" s="21">
        <f>IF(A85="","",IFERROR(N(G85)-N(S85),""))</f>
        <v/>
      </c>
    </row>
    <row r="86">
      <c r="A86" s="14" t="n"/>
      <c r="B86" s="14" t="n"/>
      <c r="C86" s="14" t="n"/>
      <c r="D86" s="14" t="n"/>
      <c r="E86" s="14" t="n"/>
      <c r="F86" s="19" t="n"/>
      <c r="G86" s="20" t="n"/>
      <c r="H86" s="20" t="n"/>
      <c r="I86" s="14" t="n"/>
      <c r="J86" s="14" t="n"/>
      <c r="K86" s="20" t="n"/>
      <c r="L86" s="14" t="n"/>
      <c r="M86" s="14" t="n"/>
      <c r="N86" s="14" t="n"/>
      <c r="O86" s="14" t="n"/>
      <c r="P86" s="14" t="n"/>
      <c r="Q86" s="14" t="n"/>
      <c r="R86" s="21">
        <f>IF(OR(A86="",N(I86)=0),0,ROUND((N(G86)-N(H86))/N(I86),2))</f>
        <v/>
      </c>
      <c r="S86" s="21">
        <f>IF(A86="","",IFERROR(MIN(N(G86)-N(H86),MAX(N(K86),R86*MAX(0,(YEAR(ReportTo)-YEAR(IF(J86&lt;&gt;"",DATE(LEFT(J86,4),MID(J86,6,2),1),F86)))*12+MONTH(ReportTo)-MONTH(IF(J86&lt;&gt;"",DATE(LEFT(J86,4),MID(J86,6,2),1),F86))+1))),""))</f>
        <v/>
      </c>
      <c r="T86" s="21">
        <f>IF(A86="","",IFERROR(N(G86)-N(S86),""))</f>
        <v/>
      </c>
    </row>
    <row r="87">
      <c r="A87" s="14" t="n"/>
      <c r="B87" s="14" t="n"/>
      <c r="C87" s="14" t="n"/>
      <c r="D87" s="14" t="n"/>
      <c r="E87" s="14" t="n"/>
      <c r="F87" s="19" t="n"/>
      <c r="G87" s="20" t="n"/>
      <c r="H87" s="20" t="n"/>
      <c r="I87" s="14" t="n"/>
      <c r="J87" s="14" t="n"/>
      <c r="K87" s="20" t="n"/>
      <c r="L87" s="14" t="n"/>
      <c r="M87" s="14" t="n"/>
      <c r="N87" s="14" t="n"/>
      <c r="O87" s="14" t="n"/>
      <c r="P87" s="14" t="n"/>
      <c r="Q87" s="14" t="n"/>
      <c r="R87" s="21">
        <f>IF(OR(A87="",N(I87)=0),0,ROUND((N(G87)-N(H87))/N(I87),2))</f>
        <v/>
      </c>
      <c r="S87" s="21">
        <f>IF(A87="","",IFERROR(MIN(N(G87)-N(H87),MAX(N(K87),R87*MAX(0,(YEAR(ReportTo)-YEAR(IF(J87&lt;&gt;"",DATE(LEFT(J87,4),MID(J87,6,2),1),F87)))*12+MONTH(ReportTo)-MONTH(IF(J87&lt;&gt;"",DATE(LEFT(J87,4),MID(J87,6,2),1),F87))+1))),""))</f>
        <v/>
      </c>
      <c r="T87" s="21">
        <f>IF(A87="","",IFERROR(N(G87)-N(S87),""))</f>
        <v/>
      </c>
    </row>
    <row r="88">
      <c r="A88" s="14" t="n"/>
      <c r="B88" s="14" t="n"/>
      <c r="C88" s="14" t="n"/>
      <c r="D88" s="14" t="n"/>
      <c r="E88" s="14" t="n"/>
      <c r="F88" s="19" t="n"/>
      <c r="G88" s="20" t="n"/>
      <c r="H88" s="20" t="n"/>
      <c r="I88" s="14" t="n"/>
      <c r="J88" s="14" t="n"/>
      <c r="K88" s="20" t="n"/>
      <c r="L88" s="14" t="n"/>
      <c r="M88" s="14" t="n"/>
      <c r="N88" s="14" t="n"/>
      <c r="O88" s="14" t="n"/>
      <c r="P88" s="14" t="n"/>
      <c r="Q88" s="14" t="n"/>
      <c r="R88" s="21">
        <f>IF(OR(A88="",N(I88)=0),0,ROUND((N(G88)-N(H88))/N(I88),2))</f>
        <v/>
      </c>
      <c r="S88" s="21">
        <f>IF(A88="","",IFERROR(MIN(N(G88)-N(H88),MAX(N(K88),R88*MAX(0,(YEAR(ReportTo)-YEAR(IF(J88&lt;&gt;"",DATE(LEFT(J88,4),MID(J88,6,2),1),F88)))*12+MONTH(ReportTo)-MONTH(IF(J88&lt;&gt;"",DATE(LEFT(J88,4),MID(J88,6,2),1),F88))+1))),""))</f>
        <v/>
      </c>
      <c r="T88" s="21">
        <f>IF(A88="","",IFERROR(N(G88)-N(S88),""))</f>
        <v/>
      </c>
    </row>
    <row r="89">
      <c r="A89" s="14" t="n"/>
      <c r="B89" s="14" t="n"/>
      <c r="C89" s="14" t="n"/>
      <c r="D89" s="14" t="n"/>
      <c r="E89" s="14" t="n"/>
      <c r="F89" s="19" t="n"/>
      <c r="G89" s="20" t="n"/>
      <c r="H89" s="20" t="n"/>
      <c r="I89" s="14" t="n"/>
      <c r="J89" s="14" t="n"/>
      <c r="K89" s="20" t="n"/>
      <c r="L89" s="14" t="n"/>
      <c r="M89" s="14" t="n"/>
      <c r="N89" s="14" t="n"/>
      <c r="O89" s="14" t="n"/>
      <c r="P89" s="14" t="n"/>
      <c r="Q89" s="14" t="n"/>
      <c r="R89" s="21">
        <f>IF(OR(A89="",N(I89)=0),0,ROUND((N(G89)-N(H89))/N(I89),2))</f>
        <v/>
      </c>
      <c r="S89" s="21">
        <f>IF(A89="","",IFERROR(MIN(N(G89)-N(H89),MAX(N(K89),R89*MAX(0,(YEAR(ReportTo)-YEAR(IF(J89&lt;&gt;"",DATE(LEFT(J89,4),MID(J89,6,2),1),F89)))*12+MONTH(ReportTo)-MONTH(IF(J89&lt;&gt;"",DATE(LEFT(J89,4),MID(J89,6,2),1),F89))+1))),""))</f>
        <v/>
      </c>
      <c r="T89" s="21">
        <f>IF(A89="","",IFERROR(N(G89)-N(S89),""))</f>
        <v/>
      </c>
    </row>
    <row r="90">
      <c r="A90" s="14" t="n"/>
      <c r="B90" s="14" t="n"/>
      <c r="C90" s="14" t="n"/>
      <c r="D90" s="14" t="n"/>
      <c r="E90" s="14" t="n"/>
      <c r="F90" s="19" t="n"/>
      <c r="G90" s="20" t="n"/>
      <c r="H90" s="20" t="n"/>
      <c r="I90" s="14" t="n"/>
      <c r="J90" s="14" t="n"/>
      <c r="K90" s="20" t="n"/>
      <c r="L90" s="14" t="n"/>
      <c r="M90" s="14" t="n"/>
      <c r="N90" s="14" t="n"/>
      <c r="O90" s="14" t="n"/>
      <c r="P90" s="14" t="n"/>
      <c r="Q90" s="14" t="n"/>
      <c r="R90" s="21">
        <f>IF(OR(A90="",N(I90)=0),0,ROUND((N(G90)-N(H90))/N(I90),2))</f>
        <v/>
      </c>
      <c r="S90" s="21">
        <f>IF(A90="","",IFERROR(MIN(N(G90)-N(H90),MAX(N(K90),R90*MAX(0,(YEAR(ReportTo)-YEAR(IF(J90&lt;&gt;"",DATE(LEFT(J90,4),MID(J90,6,2),1),F90)))*12+MONTH(ReportTo)-MONTH(IF(J90&lt;&gt;"",DATE(LEFT(J90,4),MID(J90,6,2),1),F90))+1))),""))</f>
        <v/>
      </c>
      <c r="T90" s="21">
        <f>IF(A90="","",IFERROR(N(G90)-N(S90),""))</f>
        <v/>
      </c>
    </row>
    <row r="91">
      <c r="A91" s="14" t="n"/>
      <c r="B91" s="14" t="n"/>
      <c r="C91" s="14" t="n"/>
      <c r="D91" s="14" t="n"/>
      <c r="E91" s="14" t="n"/>
      <c r="F91" s="19" t="n"/>
      <c r="G91" s="20" t="n"/>
      <c r="H91" s="20" t="n"/>
      <c r="I91" s="14" t="n"/>
      <c r="J91" s="14" t="n"/>
      <c r="K91" s="20" t="n"/>
      <c r="L91" s="14" t="n"/>
      <c r="M91" s="14" t="n"/>
      <c r="N91" s="14" t="n"/>
      <c r="O91" s="14" t="n"/>
      <c r="P91" s="14" t="n"/>
      <c r="Q91" s="14" t="n"/>
      <c r="R91" s="21">
        <f>IF(OR(A91="",N(I91)=0),0,ROUND((N(G91)-N(H91))/N(I91),2))</f>
        <v/>
      </c>
      <c r="S91" s="21">
        <f>IF(A91="","",IFERROR(MIN(N(G91)-N(H91),MAX(N(K91),R91*MAX(0,(YEAR(ReportTo)-YEAR(IF(J91&lt;&gt;"",DATE(LEFT(J91,4),MID(J91,6,2),1),F91)))*12+MONTH(ReportTo)-MONTH(IF(J91&lt;&gt;"",DATE(LEFT(J91,4),MID(J91,6,2),1),F91))+1))),""))</f>
        <v/>
      </c>
      <c r="T91" s="21">
        <f>IF(A91="","",IFERROR(N(G91)-N(S91),""))</f>
        <v/>
      </c>
    </row>
    <row r="92">
      <c r="A92" s="14" t="n"/>
      <c r="B92" s="14" t="n"/>
      <c r="C92" s="14" t="n"/>
      <c r="D92" s="14" t="n"/>
      <c r="E92" s="14" t="n"/>
      <c r="F92" s="19" t="n"/>
      <c r="G92" s="20" t="n"/>
      <c r="H92" s="20" t="n"/>
      <c r="I92" s="14" t="n"/>
      <c r="J92" s="14" t="n"/>
      <c r="K92" s="20" t="n"/>
      <c r="L92" s="14" t="n"/>
      <c r="M92" s="14" t="n"/>
      <c r="N92" s="14" t="n"/>
      <c r="O92" s="14" t="n"/>
      <c r="P92" s="14" t="n"/>
      <c r="Q92" s="14" t="n"/>
      <c r="R92" s="21">
        <f>IF(OR(A92="",N(I92)=0),0,ROUND((N(G92)-N(H92))/N(I92),2))</f>
        <v/>
      </c>
      <c r="S92" s="21">
        <f>IF(A92="","",IFERROR(MIN(N(G92)-N(H92),MAX(N(K92),R92*MAX(0,(YEAR(ReportTo)-YEAR(IF(J92&lt;&gt;"",DATE(LEFT(J92,4),MID(J92,6,2),1),F92)))*12+MONTH(ReportTo)-MONTH(IF(J92&lt;&gt;"",DATE(LEFT(J92,4),MID(J92,6,2),1),F92))+1))),""))</f>
        <v/>
      </c>
      <c r="T92" s="21">
        <f>IF(A92="","",IFERROR(N(G92)-N(S92),""))</f>
        <v/>
      </c>
    </row>
    <row r="93">
      <c r="A93" s="14" t="n"/>
      <c r="B93" s="14" t="n"/>
      <c r="C93" s="14" t="n"/>
      <c r="D93" s="14" t="n"/>
      <c r="E93" s="14" t="n"/>
      <c r="F93" s="19" t="n"/>
      <c r="G93" s="20" t="n"/>
      <c r="H93" s="20" t="n"/>
      <c r="I93" s="14" t="n"/>
      <c r="J93" s="14" t="n"/>
      <c r="K93" s="20" t="n"/>
      <c r="L93" s="14" t="n"/>
      <c r="M93" s="14" t="n"/>
      <c r="N93" s="14" t="n"/>
      <c r="O93" s="14" t="n"/>
      <c r="P93" s="14" t="n"/>
      <c r="Q93" s="14" t="n"/>
      <c r="R93" s="21">
        <f>IF(OR(A93="",N(I93)=0),0,ROUND((N(G93)-N(H93))/N(I93),2))</f>
        <v/>
      </c>
      <c r="S93" s="21">
        <f>IF(A93="","",IFERROR(MIN(N(G93)-N(H93),MAX(N(K93),R93*MAX(0,(YEAR(ReportTo)-YEAR(IF(J93&lt;&gt;"",DATE(LEFT(J93,4),MID(J93,6,2),1),F93)))*12+MONTH(ReportTo)-MONTH(IF(J93&lt;&gt;"",DATE(LEFT(J93,4),MID(J93,6,2),1),F93))+1))),""))</f>
        <v/>
      </c>
      <c r="T93" s="21">
        <f>IF(A93="","",IFERROR(N(G93)-N(S93),""))</f>
        <v/>
      </c>
    </row>
    <row r="94">
      <c r="A94" s="14" t="n"/>
      <c r="B94" s="14" t="n"/>
      <c r="C94" s="14" t="n"/>
      <c r="D94" s="14" t="n"/>
      <c r="E94" s="14" t="n"/>
      <c r="F94" s="19" t="n"/>
      <c r="G94" s="20" t="n"/>
      <c r="H94" s="20" t="n"/>
      <c r="I94" s="14" t="n"/>
      <c r="J94" s="14" t="n"/>
      <c r="K94" s="20" t="n"/>
      <c r="L94" s="14" t="n"/>
      <c r="M94" s="14" t="n"/>
      <c r="N94" s="14" t="n"/>
      <c r="O94" s="14" t="n"/>
      <c r="P94" s="14" t="n"/>
      <c r="Q94" s="14" t="n"/>
      <c r="R94" s="21">
        <f>IF(OR(A94="",N(I94)=0),0,ROUND((N(G94)-N(H94))/N(I94),2))</f>
        <v/>
      </c>
      <c r="S94" s="21">
        <f>IF(A94="","",IFERROR(MIN(N(G94)-N(H94),MAX(N(K94),R94*MAX(0,(YEAR(ReportTo)-YEAR(IF(J94&lt;&gt;"",DATE(LEFT(J94,4),MID(J94,6,2),1),F94)))*12+MONTH(ReportTo)-MONTH(IF(J94&lt;&gt;"",DATE(LEFT(J94,4),MID(J94,6,2),1),F94))+1))),""))</f>
        <v/>
      </c>
      <c r="T94" s="21">
        <f>IF(A94="","",IFERROR(N(G94)-N(S94),""))</f>
        <v/>
      </c>
    </row>
    <row r="95">
      <c r="A95" s="14" t="n"/>
      <c r="B95" s="14" t="n"/>
      <c r="C95" s="14" t="n"/>
      <c r="D95" s="14" t="n"/>
      <c r="E95" s="14" t="n"/>
      <c r="F95" s="19" t="n"/>
      <c r="G95" s="20" t="n"/>
      <c r="H95" s="20" t="n"/>
      <c r="I95" s="14" t="n"/>
      <c r="J95" s="14" t="n"/>
      <c r="K95" s="20" t="n"/>
      <c r="L95" s="14" t="n"/>
      <c r="M95" s="14" t="n"/>
      <c r="N95" s="14" t="n"/>
      <c r="O95" s="14" t="n"/>
      <c r="P95" s="14" t="n"/>
      <c r="Q95" s="14" t="n"/>
      <c r="R95" s="21">
        <f>IF(OR(A95="",N(I95)=0),0,ROUND((N(G95)-N(H95))/N(I95),2))</f>
        <v/>
      </c>
      <c r="S95" s="21">
        <f>IF(A95="","",IFERROR(MIN(N(G95)-N(H95),MAX(N(K95),R95*MAX(0,(YEAR(ReportTo)-YEAR(IF(J95&lt;&gt;"",DATE(LEFT(J95,4),MID(J95,6,2),1),F95)))*12+MONTH(ReportTo)-MONTH(IF(J95&lt;&gt;"",DATE(LEFT(J95,4),MID(J95,6,2),1),F95))+1))),""))</f>
        <v/>
      </c>
      <c r="T95" s="21">
        <f>IF(A95="","",IFERROR(N(G95)-N(S95),""))</f>
        <v/>
      </c>
    </row>
    <row r="96">
      <c r="A96" s="14" t="n"/>
      <c r="B96" s="14" t="n"/>
      <c r="C96" s="14" t="n"/>
      <c r="D96" s="14" t="n"/>
      <c r="E96" s="14" t="n"/>
      <c r="F96" s="19" t="n"/>
      <c r="G96" s="20" t="n"/>
      <c r="H96" s="20" t="n"/>
      <c r="I96" s="14" t="n"/>
      <c r="J96" s="14" t="n"/>
      <c r="K96" s="20" t="n"/>
      <c r="L96" s="14" t="n"/>
      <c r="M96" s="14" t="n"/>
      <c r="N96" s="14" t="n"/>
      <c r="O96" s="14" t="n"/>
      <c r="P96" s="14" t="n"/>
      <c r="Q96" s="14" t="n"/>
      <c r="R96" s="21">
        <f>IF(OR(A96="",N(I96)=0),0,ROUND((N(G96)-N(H96))/N(I96),2))</f>
        <v/>
      </c>
      <c r="S96" s="21">
        <f>IF(A96="","",IFERROR(MIN(N(G96)-N(H96),MAX(N(K96),R96*MAX(0,(YEAR(ReportTo)-YEAR(IF(J96&lt;&gt;"",DATE(LEFT(J96,4),MID(J96,6,2),1),F96)))*12+MONTH(ReportTo)-MONTH(IF(J96&lt;&gt;"",DATE(LEFT(J96,4),MID(J96,6,2),1),F96))+1))),""))</f>
        <v/>
      </c>
      <c r="T96" s="21">
        <f>IF(A96="","",IFERROR(N(G96)-N(S96),""))</f>
        <v/>
      </c>
    </row>
    <row r="97">
      <c r="A97" s="14" t="n"/>
      <c r="B97" s="14" t="n"/>
      <c r="C97" s="14" t="n"/>
      <c r="D97" s="14" t="n"/>
      <c r="E97" s="14" t="n"/>
      <c r="F97" s="19" t="n"/>
      <c r="G97" s="20" t="n"/>
      <c r="H97" s="20" t="n"/>
      <c r="I97" s="14" t="n"/>
      <c r="J97" s="14" t="n"/>
      <c r="K97" s="20" t="n"/>
      <c r="L97" s="14" t="n"/>
      <c r="M97" s="14" t="n"/>
      <c r="N97" s="14" t="n"/>
      <c r="O97" s="14" t="n"/>
      <c r="P97" s="14" t="n"/>
      <c r="Q97" s="14" t="n"/>
      <c r="R97" s="21">
        <f>IF(OR(A97="",N(I97)=0),0,ROUND((N(G97)-N(H97))/N(I97),2))</f>
        <v/>
      </c>
      <c r="S97" s="21">
        <f>IF(A97="","",IFERROR(MIN(N(G97)-N(H97),MAX(N(K97),R97*MAX(0,(YEAR(ReportTo)-YEAR(IF(J97&lt;&gt;"",DATE(LEFT(J97,4),MID(J97,6,2),1),F97)))*12+MONTH(ReportTo)-MONTH(IF(J97&lt;&gt;"",DATE(LEFT(J97,4),MID(J97,6,2),1),F97))+1))),""))</f>
        <v/>
      </c>
      <c r="T97" s="21">
        <f>IF(A97="","",IFERROR(N(G97)-N(S97),""))</f>
        <v/>
      </c>
    </row>
    <row r="98">
      <c r="A98" s="14" t="n"/>
      <c r="B98" s="14" t="n"/>
      <c r="C98" s="14" t="n"/>
      <c r="D98" s="14" t="n"/>
      <c r="E98" s="14" t="n"/>
      <c r="F98" s="19" t="n"/>
      <c r="G98" s="20" t="n"/>
      <c r="H98" s="20" t="n"/>
      <c r="I98" s="14" t="n"/>
      <c r="J98" s="14" t="n"/>
      <c r="K98" s="20" t="n"/>
      <c r="L98" s="14" t="n"/>
      <c r="M98" s="14" t="n"/>
      <c r="N98" s="14" t="n"/>
      <c r="O98" s="14" t="n"/>
      <c r="P98" s="14" t="n"/>
      <c r="Q98" s="14" t="n"/>
      <c r="R98" s="21">
        <f>IF(OR(A98="",N(I98)=0),0,ROUND((N(G98)-N(H98))/N(I98),2))</f>
        <v/>
      </c>
      <c r="S98" s="21">
        <f>IF(A98="","",IFERROR(MIN(N(G98)-N(H98),MAX(N(K98),R98*MAX(0,(YEAR(ReportTo)-YEAR(IF(J98&lt;&gt;"",DATE(LEFT(J98,4),MID(J98,6,2),1),F98)))*12+MONTH(ReportTo)-MONTH(IF(J98&lt;&gt;"",DATE(LEFT(J98,4),MID(J98,6,2),1),F98))+1))),""))</f>
        <v/>
      </c>
      <c r="T98" s="21">
        <f>IF(A98="","",IFERROR(N(G98)-N(S98),""))</f>
        <v/>
      </c>
    </row>
    <row r="99">
      <c r="A99" s="14" t="n"/>
      <c r="B99" s="14" t="n"/>
      <c r="C99" s="14" t="n"/>
      <c r="D99" s="14" t="n"/>
      <c r="E99" s="14" t="n"/>
      <c r="F99" s="19" t="n"/>
      <c r="G99" s="20" t="n"/>
      <c r="H99" s="20" t="n"/>
      <c r="I99" s="14" t="n"/>
      <c r="J99" s="14" t="n"/>
      <c r="K99" s="20" t="n"/>
      <c r="L99" s="14" t="n"/>
      <c r="M99" s="14" t="n"/>
      <c r="N99" s="14" t="n"/>
      <c r="O99" s="14" t="n"/>
      <c r="P99" s="14" t="n"/>
      <c r="Q99" s="14" t="n"/>
      <c r="R99" s="21">
        <f>IF(OR(A99="",N(I99)=0),0,ROUND((N(G99)-N(H99))/N(I99),2))</f>
        <v/>
      </c>
      <c r="S99" s="21">
        <f>IF(A99="","",IFERROR(MIN(N(G99)-N(H99),MAX(N(K99),R99*MAX(0,(YEAR(ReportTo)-YEAR(IF(J99&lt;&gt;"",DATE(LEFT(J99,4),MID(J99,6,2),1),F99)))*12+MONTH(ReportTo)-MONTH(IF(J99&lt;&gt;"",DATE(LEFT(J99,4),MID(J99,6,2),1),F99))+1))),""))</f>
        <v/>
      </c>
      <c r="T99" s="21">
        <f>IF(A99="","",IFERROR(N(G99)-N(S99),""))</f>
        <v/>
      </c>
    </row>
    <row r="100">
      <c r="A100" s="14" t="n"/>
      <c r="B100" s="14" t="n"/>
      <c r="C100" s="14" t="n"/>
      <c r="D100" s="14" t="n"/>
      <c r="E100" s="14" t="n"/>
      <c r="F100" s="19" t="n"/>
      <c r="G100" s="20" t="n"/>
      <c r="H100" s="20" t="n"/>
      <c r="I100" s="14" t="n"/>
      <c r="J100" s="14" t="n"/>
      <c r="K100" s="20" t="n"/>
      <c r="L100" s="14" t="n"/>
      <c r="M100" s="14" t="n"/>
      <c r="N100" s="14" t="n"/>
      <c r="O100" s="14" t="n"/>
      <c r="P100" s="14" t="n"/>
      <c r="Q100" s="14" t="n"/>
      <c r="R100" s="21">
        <f>IF(OR(A100="",N(I100)=0),0,ROUND((N(G100)-N(H100))/N(I100),2))</f>
        <v/>
      </c>
      <c r="S100" s="21">
        <f>IF(A100="","",IFERROR(MIN(N(G100)-N(H100),MAX(N(K100),R100*MAX(0,(YEAR(ReportTo)-YEAR(IF(J100&lt;&gt;"",DATE(LEFT(J100,4),MID(J100,6,2),1),F100)))*12+MONTH(ReportTo)-MONTH(IF(J100&lt;&gt;"",DATE(LEFT(J100,4),MID(J100,6,2),1),F100))+1))),""))</f>
        <v/>
      </c>
      <c r="T100" s="21">
        <f>IF(A100="","",IFERROR(N(G100)-N(S100),""))</f>
        <v/>
      </c>
    </row>
    <row r="101">
      <c r="A101" s="14" t="n"/>
      <c r="B101" s="14" t="n"/>
      <c r="C101" s="14" t="n"/>
      <c r="D101" s="14" t="n"/>
      <c r="E101" s="14" t="n"/>
      <c r="F101" s="19" t="n"/>
      <c r="G101" s="20" t="n"/>
      <c r="H101" s="20" t="n"/>
      <c r="I101" s="14" t="n"/>
      <c r="J101" s="14" t="n"/>
      <c r="K101" s="20" t="n"/>
      <c r="L101" s="14" t="n"/>
      <c r="M101" s="14" t="n"/>
      <c r="N101" s="14" t="n"/>
      <c r="O101" s="14" t="n"/>
      <c r="P101" s="14" t="n"/>
      <c r="Q101" s="14" t="n"/>
      <c r="R101" s="21">
        <f>IF(OR(A101="",N(I101)=0),0,ROUND((N(G101)-N(H101))/N(I101),2))</f>
        <v/>
      </c>
      <c r="S101" s="21">
        <f>IF(A101="","",IFERROR(MIN(N(G101)-N(H101),MAX(N(K101),R101*MAX(0,(YEAR(ReportTo)-YEAR(IF(J101&lt;&gt;"",DATE(LEFT(J101,4),MID(J101,6,2),1),F101)))*12+MONTH(ReportTo)-MONTH(IF(J101&lt;&gt;"",DATE(LEFT(J101,4),MID(J101,6,2),1),F101))+1))),""))</f>
        <v/>
      </c>
      <c r="T101" s="21">
        <f>IF(A101="","",IFERROR(N(G101)-N(S101),""))</f>
        <v/>
      </c>
    </row>
    <row r="102">
      <c r="A102" s="14" t="n"/>
      <c r="B102" s="14" t="n"/>
      <c r="C102" s="14" t="n"/>
      <c r="D102" s="14" t="n"/>
      <c r="E102" s="14" t="n"/>
      <c r="F102" s="19" t="n"/>
      <c r="G102" s="20" t="n"/>
      <c r="H102" s="20" t="n"/>
      <c r="I102" s="14" t="n"/>
      <c r="J102" s="14" t="n"/>
      <c r="K102" s="20" t="n"/>
      <c r="L102" s="14" t="n"/>
      <c r="M102" s="14" t="n"/>
      <c r="N102" s="14" t="n"/>
      <c r="O102" s="14" t="n"/>
      <c r="P102" s="14" t="n"/>
      <c r="Q102" s="14" t="n"/>
      <c r="R102" s="21">
        <f>IF(OR(A102="",N(I102)=0),0,ROUND((N(G102)-N(H102))/N(I102),2))</f>
        <v/>
      </c>
      <c r="S102" s="21">
        <f>IF(A102="","",IFERROR(MIN(N(G102)-N(H102),MAX(N(K102),R102*MAX(0,(YEAR(ReportTo)-YEAR(IF(J102&lt;&gt;"",DATE(LEFT(J102,4),MID(J102,6,2),1),F102)))*12+MONTH(ReportTo)-MONTH(IF(J102&lt;&gt;"",DATE(LEFT(J102,4),MID(J102,6,2),1),F102))+1))),""))</f>
        <v/>
      </c>
      <c r="T102" s="21">
        <f>IF(A102="","",IFERROR(N(G102)-N(S102),""))</f>
        <v/>
      </c>
    </row>
    <row r="103">
      <c r="A103" s="14" t="n"/>
      <c r="B103" s="14" t="n"/>
      <c r="C103" s="14" t="n"/>
      <c r="D103" s="14" t="n"/>
      <c r="E103" s="14" t="n"/>
      <c r="F103" s="19" t="n"/>
      <c r="G103" s="20" t="n"/>
      <c r="H103" s="20" t="n"/>
      <c r="I103" s="14" t="n"/>
      <c r="J103" s="14" t="n"/>
      <c r="K103" s="20" t="n"/>
      <c r="L103" s="14" t="n"/>
      <c r="M103" s="14" t="n"/>
      <c r="N103" s="14" t="n"/>
      <c r="O103" s="14" t="n"/>
      <c r="P103" s="14" t="n"/>
      <c r="Q103" s="14" t="n"/>
      <c r="R103" s="21">
        <f>IF(OR(A103="",N(I103)=0),0,ROUND((N(G103)-N(H103))/N(I103),2))</f>
        <v/>
      </c>
      <c r="S103" s="21">
        <f>IF(A103="","",IFERROR(MIN(N(G103)-N(H103),MAX(N(K103),R103*MAX(0,(YEAR(ReportTo)-YEAR(IF(J103&lt;&gt;"",DATE(LEFT(J103,4),MID(J103,6,2),1),F103)))*12+MONTH(ReportTo)-MONTH(IF(J103&lt;&gt;"",DATE(LEFT(J103,4),MID(J103,6,2),1),F103))+1))),""))</f>
        <v/>
      </c>
      <c r="T103" s="21">
        <f>IF(A103="","",IFERROR(N(G103)-N(S103),""))</f>
        <v/>
      </c>
    </row>
    <row r="104">
      <c r="A104" s="14" t="n"/>
      <c r="B104" s="14" t="n"/>
      <c r="C104" s="14" t="n"/>
      <c r="D104" s="14" t="n"/>
      <c r="E104" s="14" t="n"/>
      <c r="F104" s="19" t="n"/>
      <c r="G104" s="20" t="n"/>
      <c r="H104" s="20" t="n"/>
      <c r="I104" s="14" t="n"/>
      <c r="J104" s="14" t="n"/>
      <c r="K104" s="20" t="n"/>
      <c r="L104" s="14" t="n"/>
      <c r="M104" s="14" t="n"/>
      <c r="N104" s="14" t="n"/>
      <c r="O104" s="14" t="n"/>
      <c r="P104" s="14" t="n"/>
      <c r="Q104" s="14" t="n"/>
      <c r="R104" s="21">
        <f>IF(OR(A104="",N(I104)=0),0,ROUND((N(G104)-N(H104))/N(I104),2))</f>
        <v/>
      </c>
      <c r="S104" s="21">
        <f>IF(A104="","",IFERROR(MIN(N(G104)-N(H104),MAX(N(K104),R104*MAX(0,(YEAR(ReportTo)-YEAR(IF(J104&lt;&gt;"",DATE(LEFT(J104,4),MID(J104,6,2),1),F104)))*12+MONTH(ReportTo)-MONTH(IF(J104&lt;&gt;"",DATE(LEFT(J104,4),MID(J104,6,2),1),F104))+1))),""))</f>
        <v/>
      </c>
      <c r="T104" s="21">
        <f>IF(A104="","",IFERROR(N(G104)-N(S104),""))</f>
        <v/>
      </c>
    </row>
    <row r="105">
      <c r="A105" s="14" t="n"/>
      <c r="B105" s="14" t="n"/>
      <c r="C105" s="14" t="n"/>
      <c r="D105" s="14" t="n"/>
      <c r="E105" s="14" t="n"/>
      <c r="F105" s="19" t="n"/>
      <c r="G105" s="20" t="n"/>
      <c r="H105" s="20" t="n"/>
      <c r="I105" s="14" t="n"/>
      <c r="J105" s="14" t="n"/>
      <c r="K105" s="20" t="n"/>
      <c r="L105" s="14" t="n"/>
      <c r="M105" s="14" t="n"/>
      <c r="N105" s="14" t="n"/>
      <c r="O105" s="14" t="n"/>
      <c r="P105" s="14" t="n"/>
      <c r="Q105" s="14" t="n"/>
      <c r="R105" s="21">
        <f>IF(OR(A105="",N(I105)=0),0,ROUND((N(G105)-N(H105))/N(I105),2))</f>
        <v/>
      </c>
      <c r="S105" s="21">
        <f>IF(A105="","",IFERROR(MIN(N(G105)-N(H105),MAX(N(K105),R105*MAX(0,(YEAR(ReportTo)-YEAR(IF(J105&lt;&gt;"",DATE(LEFT(J105,4),MID(J105,6,2),1),F105)))*12+MONTH(ReportTo)-MONTH(IF(J105&lt;&gt;"",DATE(LEFT(J105,4),MID(J105,6,2),1),F105))+1))),""))</f>
        <v/>
      </c>
      <c r="T105" s="21">
        <f>IF(A105="","",IFERROR(N(G105)-N(S105),""))</f>
        <v/>
      </c>
    </row>
    <row r="106">
      <c r="A106" s="14" t="n"/>
      <c r="B106" s="14" t="n"/>
      <c r="C106" s="14" t="n"/>
      <c r="D106" s="14" t="n"/>
      <c r="E106" s="14" t="n"/>
      <c r="F106" s="19" t="n"/>
      <c r="G106" s="20" t="n"/>
      <c r="H106" s="20" t="n"/>
      <c r="I106" s="14" t="n"/>
      <c r="J106" s="14" t="n"/>
      <c r="K106" s="20" t="n"/>
      <c r="L106" s="14" t="n"/>
      <c r="M106" s="14" t="n"/>
      <c r="N106" s="14" t="n"/>
      <c r="O106" s="14" t="n"/>
      <c r="P106" s="14" t="n"/>
      <c r="Q106" s="14" t="n"/>
      <c r="R106" s="21">
        <f>IF(OR(A106="",N(I106)=0),0,ROUND((N(G106)-N(H106))/N(I106),2))</f>
        <v/>
      </c>
      <c r="S106" s="21">
        <f>IF(A106="","",IFERROR(MIN(N(G106)-N(H106),MAX(N(K106),R106*MAX(0,(YEAR(ReportTo)-YEAR(IF(J106&lt;&gt;"",DATE(LEFT(J106,4),MID(J106,6,2),1),F106)))*12+MONTH(ReportTo)-MONTH(IF(J106&lt;&gt;"",DATE(LEFT(J106,4),MID(J106,6,2),1),F106))+1))),""))</f>
        <v/>
      </c>
      <c r="T106" s="21">
        <f>IF(A106="","",IFERROR(N(G106)-N(S106),""))</f>
        <v/>
      </c>
    </row>
    <row r="107">
      <c r="A107" s="14" t="n"/>
      <c r="B107" s="14" t="n"/>
      <c r="C107" s="14" t="n"/>
      <c r="D107" s="14" t="n"/>
      <c r="E107" s="14" t="n"/>
      <c r="F107" s="19" t="n"/>
      <c r="G107" s="20" t="n"/>
      <c r="H107" s="20" t="n"/>
      <c r="I107" s="14" t="n"/>
      <c r="J107" s="14" t="n"/>
      <c r="K107" s="20" t="n"/>
      <c r="L107" s="14" t="n"/>
      <c r="M107" s="14" t="n"/>
      <c r="N107" s="14" t="n"/>
      <c r="O107" s="14" t="n"/>
      <c r="P107" s="14" t="n"/>
      <c r="Q107" s="14" t="n"/>
      <c r="R107" s="21">
        <f>IF(OR(A107="",N(I107)=0),0,ROUND((N(G107)-N(H107))/N(I107),2))</f>
        <v/>
      </c>
      <c r="S107" s="21">
        <f>IF(A107="","",IFERROR(MIN(N(G107)-N(H107),MAX(N(K107),R107*MAX(0,(YEAR(ReportTo)-YEAR(IF(J107&lt;&gt;"",DATE(LEFT(J107,4),MID(J107,6,2),1),F107)))*12+MONTH(ReportTo)-MONTH(IF(J107&lt;&gt;"",DATE(LEFT(J107,4),MID(J107,6,2),1),F107))+1))),""))</f>
        <v/>
      </c>
      <c r="T107" s="21">
        <f>IF(A107="","",IFERROR(N(G107)-N(S107),""))</f>
        <v/>
      </c>
    </row>
    <row r="108">
      <c r="A108" s="14" t="n"/>
      <c r="B108" s="14" t="n"/>
      <c r="C108" s="14" t="n"/>
      <c r="D108" s="14" t="n"/>
      <c r="E108" s="14" t="n"/>
      <c r="F108" s="19" t="n"/>
      <c r="G108" s="20" t="n"/>
      <c r="H108" s="20" t="n"/>
      <c r="I108" s="14" t="n"/>
      <c r="J108" s="14" t="n"/>
      <c r="K108" s="20" t="n"/>
      <c r="L108" s="14" t="n"/>
      <c r="M108" s="14" t="n"/>
      <c r="N108" s="14" t="n"/>
      <c r="O108" s="14" t="n"/>
      <c r="P108" s="14" t="n"/>
      <c r="Q108" s="14" t="n"/>
      <c r="R108" s="21">
        <f>IF(OR(A108="",N(I108)=0),0,ROUND((N(G108)-N(H108))/N(I108),2))</f>
        <v/>
      </c>
      <c r="S108" s="21">
        <f>IF(A108="","",IFERROR(MIN(N(G108)-N(H108),MAX(N(K108),R108*MAX(0,(YEAR(ReportTo)-YEAR(IF(J108&lt;&gt;"",DATE(LEFT(J108,4),MID(J108,6,2),1),F108)))*12+MONTH(ReportTo)-MONTH(IF(J108&lt;&gt;"",DATE(LEFT(J108,4),MID(J108,6,2),1),F108))+1))),""))</f>
        <v/>
      </c>
      <c r="T108" s="21">
        <f>IF(A108="","",IFERROR(N(G108)-N(S108),""))</f>
        <v/>
      </c>
    </row>
    <row r="109">
      <c r="A109" s="14" t="n"/>
      <c r="B109" s="14" t="n"/>
      <c r="C109" s="14" t="n"/>
      <c r="D109" s="14" t="n"/>
      <c r="E109" s="14" t="n"/>
      <c r="F109" s="19" t="n"/>
      <c r="G109" s="20" t="n"/>
      <c r="H109" s="20" t="n"/>
      <c r="I109" s="14" t="n"/>
      <c r="J109" s="14" t="n"/>
      <c r="K109" s="20" t="n"/>
      <c r="L109" s="14" t="n"/>
      <c r="M109" s="14" t="n"/>
      <c r="N109" s="14" t="n"/>
      <c r="O109" s="14" t="n"/>
      <c r="P109" s="14" t="n"/>
      <c r="Q109" s="14" t="n"/>
      <c r="R109" s="21">
        <f>IF(OR(A109="",N(I109)=0),0,ROUND((N(G109)-N(H109))/N(I109),2))</f>
        <v/>
      </c>
      <c r="S109" s="21">
        <f>IF(A109="","",IFERROR(MIN(N(G109)-N(H109),MAX(N(K109),R109*MAX(0,(YEAR(ReportTo)-YEAR(IF(J109&lt;&gt;"",DATE(LEFT(J109,4),MID(J109,6,2),1),F109)))*12+MONTH(ReportTo)-MONTH(IF(J109&lt;&gt;"",DATE(LEFT(J109,4),MID(J109,6,2),1),F109))+1))),""))</f>
        <v/>
      </c>
      <c r="T109" s="21">
        <f>IF(A109="","",IFERROR(N(G109)-N(S109),""))</f>
        <v/>
      </c>
    </row>
    <row r="110">
      <c r="A110" s="14" t="n"/>
      <c r="B110" s="14" t="n"/>
      <c r="C110" s="14" t="n"/>
      <c r="D110" s="14" t="n"/>
      <c r="E110" s="14" t="n"/>
      <c r="F110" s="19" t="n"/>
      <c r="G110" s="20" t="n"/>
      <c r="H110" s="20" t="n"/>
      <c r="I110" s="14" t="n"/>
      <c r="J110" s="14" t="n"/>
      <c r="K110" s="20" t="n"/>
      <c r="L110" s="14" t="n"/>
      <c r="M110" s="14" t="n"/>
      <c r="N110" s="14" t="n"/>
      <c r="O110" s="14" t="n"/>
      <c r="P110" s="14" t="n"/>
      <c r="Q110" s="14" t="n"/>
      <c r="R110" s="21">
        <f>IF(OR(A110="",N(I110)=0),0,ROUND((N(G110)-N(H110))/N(I110),2))</f>
        <v/>
      </c>
      <c r="S110" s="21">
        <f>IF(A110="","",IFERROR(MIN(N(G110)-N(H110),MAX(N(K110),R110*MAX(0,(YEAR(ReportTo)-YEAR(IF(J110&lt;&gt;"",DATE(LEFT(J110,4),MID(J110,6,2),1),F110)))*12+MONTH(ReportTo)-MONTH(IF(J110&lt;&gt;"",DATE(LEFT(J110,4),MID(J110,6,2),1),F110))+1))),""))</f>
        <v/>
      </c>
      <c r="T110" s="21">
        <f>IF(A110="","",IFERROR(N(G110)-N(S110),""))</f>
        <v/>
      </c>
    </row>
    <row r="111">
      <c r="A111" s="14" t="n"/>
      <c r="B111" s="14" t="n"/>
      <c r="C111" s="14" t="n"/>
      <c r="D111" s="14" t="n"/>
      <c r="E111" s="14" t="n"/>
      <c r="F111" s="19" t="n"/>
      <c r="G111" s="20" t="n"/>
      <c r="H111" s="20" t="n"/>
      <c r="I111" s="14" t="n"/>
      <c r="J111" s="14" t="n"/>
      <c r="K111" s="20" t="n"/>
      <c r="L111" s="14" t="n"/>
      <c r="M111" s="14" t="n"/>
      <c r="N111" s="14" t="n"/>
      <c r="O111" s="14" t="n"/>
      <c r="P111" s="14" t="n"/>
      <c r="Q111" s="14" t="n"/>
      <c r="R111" s="21">
        <f>IF(OR(A111="",N(I111)=0),0,ROUND((N(G111)-N(H111))/N(I111),2))</f>
        <v/>
      </c>
      <c r="S111" s="21">
        <f>IF(A111="","",IFERROR(MIN(N(G111)-N(H111),MAX(N(K111),R111*MAX(0,(YEAR(ReportTo)-YEAR(IF(J111&lt;&gt;"",DATE(LEFT(J111,4),MID(J111,6,2),1),F111)))*12+MONTH(ReportTo)-MONTH(IF(J111&lt;&gt;"",DATE(LEFT(J111,4),MID(J111,6,2),1),F111))+1))),""))</f>
        <v/>
      </c>
      <c r="T111" s="21">
        <f>IF(A111="","",IFERROR(N(G111)-N(S111),""))</f>
        <v/>
      </c>
    </row>
    <row r="112">
      <c r="A112" s="14" t="n"/>
      <c r="B112" s="14" t="n"/>
      <c r="C112" s="14" t="n"/>
      <c r="D112" s="14" t="n"/>
      <c r="E112" s="14" t="n"/>
      <c r="F112" s="19" t="n"/>
      <c r="G112" s="20" t="n"/>
      <c r="H112" s="20" t="n"/>
      <c r="I112" s="14" t="n"/>
      <c r="J112" s="14" t="n"/>
      <c r="K112" s="20" t="n"/>
      <c r="L112" s="14" t="n"/>
      <c r="M112" s="14" t="n"/>
      <c r="N112" s="14" t="n"/>
      <c r="O112" s="14" t="n"/>
      <c r="P112" s="14" t="n"/>
      <c r="Q112" s="14" t="n"/>
      <c r="R112" s="21">
        <f>IF(OR(A112="",N(I112)=0),0,ROUND((N(G112)-N(H112))/N(I112),2))</f>
        <v/>
      </c>
      <c r="S112" s="21">
        <f>IF(A112="","",IFERROR(MIN(N(G112)-N(H112),MAX(N(K112),R112*MAX(0,(YEAR(ReportTo)-YEAR(IF(J112&lt;&gt;"",DATE(LEFT(J112,4),MID(J112,6,2),1),F112)))*12+MONTH(ReportTo)-MONTH(IF(J112&lt;&gt;"",DATE(LEFT(J112,4),MID(J112,6,2),1),F112))+1))),""))</f>
        <v/>
      </c>
      <c r="T112" s="21">
        <f>IF(A112="","",IFERROR(N(G112)-N(S112),""))</f>
        <v/>
      </c>
    </row>
    <row r="113">
      <c r="A113" s="14" t="n"/>
      <c r="B113" s="14" t="n"/>
      <c r="C113" s="14" t="n"/>
      <c r="D113" s="14" t="n"/>
      <c r="E113" s="14" t="n"/>
      <c r="F113" s="19" t="n"/>
      <c r="G113" s="20" t="n"/>
      <c r="H113" s="20" t="n"/>
      <c r="I113" s="14" t="n"/>
      <c r="J113" s="14" t="n"/>
      <c r="K113" s="20" t="n"/>
      <c r="L113" s="14" t="n"/>
      <c r="M113" s="14" t="n"/>
      <c r="N113" s="14" t="n"/>
      <c r="O113" s="14" t="n"/>
      <c r="P113" s="14" t="n"/>
      <c r="Q113" s="14" t="n"/>
      <c r="R113" s="21">
        <f>IF(OR(A113="",N(I113)=0),0,ROUND((N(G113)-N(H113))/N(I113),2))</f>
        <v/>
      </c>
      <c r="S113" s="21">
        <f>IF(A113="","",IFERROR(MIN(N(G113)-N(H113),MAX(N(K113),R113*MAX(0,(YEAR(ReportTo)-YEAR(IF(J113&lt;&gt;"",DATE(LEFT(J113,4),MID(J113,6,2),1),F113)))*12+MONTH(ReportTo)-MONTH(IF(J113&lt;&gt;"",DATE(LEFT(J113,4),MID(J113,6,2),1),F113))+1))),""))</f>
        <v/>
      </c>
      <c r="T113" s="21">
        <f>IF(A113="","",IFERROR(N(G113)-N(S113),""))</f>
        <v/>
      </c>
    </row>
    <row r="114">
      <c r="A114" s="14" t="n"/>
      <c r="B114" s="14" t="n"/>
      <c r="C114" s="14" t="n"/>
      <c r="D114" s="14" t="n"/>
      <c r="E114" s="14" t="n"/>
      <c r="F114" s="19" t="n"/>
      <c r="G114" s="20" t="n"/>
      <c r="H114" s="20" t="n"/>
      <c r="I114" s="14" t="n"/>
      <c r="J114" s="14" t="n"/>
      <c r="K114" s="20" t="n"/>
      <c r="L114" s="14" t="n"/>
      <c r="M114" s="14" t="n"/>
      <c r="N114" s="14" t="n"/>
      <c r="O114" s="14" t="n"/>
      <c r="P114" s="14" t="n"/>
      <c r="Q114" s="14" t="n"/>
      <c r="R114" s="21">
        <f>IF(OR(A114="",N(I114)=0),0,ROUND((N(G114)-N(H114))/N(I114),2))</f>
        <v/>
      </c>
      <c r="S114" s="21">
        <f>IF(A114="","",IFERROR(MIN(N(G114)-N(H114),MAX(N(K114),R114*MAX(0,(YEAR(ReportTo)-YEAR(IF(J114&lt;&gt;"",DATE(LEFT(J114,4),MID(J114,6,2),1),F114)))*12+MONTH(ReportTo)-MONTH(IF(J114&lt;&gt;"",DATE(LEFT(J114,4),MID(J114,6,2),1),F114))+1))),""))</f>
        <v/>
      </c>
      <c r="T114" s="21">
        <f>IF(A114="","",IFERROR(N(G114)-N(S114),""))</f>
        <v/>
      </c>
    </row>
    <row r="115">
      <c r="A115" s="14" t="n"/>
      <c r="B115" s="14" t="n"/>
      <c r="C115" s="14" t="n"/>
      <c r="D115" s="14" t="n"/>
      <c r="E115" s="14" t="n"/>
      <c r="F115" s="19" t="n"/>
      <c r="G115" s="20" t="n"/>
      <c r="H115" s="20" t="n"/>
      <c r="I115" s="14" t="n"/>
      <c r="J115" s="14" t="n"/>
      <c r="K115" s="20" t="n"/>
      <c r="L115" s="14" t="n"/>
      <c r="M115" s="14" t="n"/>
      <c r="N115" s="14" t="n"/>
      <c r="O115" s="14" t="n"/>
      <c r="P115" s="14" t="n"/>
      <c r="Q115" s="14" t="n"/>
      <c r="R115" s="21">
        <f>IF(OR(A115="",N(I115)=0),0,ROUND((N(G115)-N(H115))/N(I115),2))</f>
        <v/>
      </c>
      <c r="S115" s="21">
        <f>IF(A115="","",IFERROR(MIN(N(G115)-N(H115),MAX(N(K115),R115*MAX(0,(YEAR(ReportTo)-YEAR(IF(J115&lt;&gt;"",DATE(LEFT(J115,4),MID(J115,6,2),1),F115)))*12+MONTH(ReportTo)-MONTH(IF(J115&lt;&gt;"",DATE(LEFT(J115,4),MID(J115,6,2),1),F115))+1))),""))</f>
        <v/>
      </c>
      <c r="T115" s="21">
        <f>IF(A115="","",IFERROR(N(G115)-N(S115),""))</f>
        <v/>
      </c>
    </row>
    <row r="116">
      <c r="A116" s="14" t="n"/>
      <c r="B116" s="14" t="n"/>
      <c r="C116" s="14" t="n"/>
      <c r="D116" s="14" t="n"/>
      <c r="E116" s="14" t="n"/>
      <c r="F116" s="19" t="n"/>
      <c r="G116" s="20" t="n"/>
      <c r="H116" s="20" t="n"/>
      <c r="I116" s="14" t="n"/>
      <c r="J116" s="14" t="n"/>
      <c r="K116" s="20" t="n"/>
      <c r="L116" s="14" t="n"/>
      <c r="M116" s="14" t="n"/>
      <c r="N116" s="14" t="n"/>
      <c r="O116" s="14" t="n"/>
      <c r="P116" s="14" t="n"/>
      <c r="Q116" s="14" t="n"/>
      <c r="R116" s="21">
        <f>IF(OR(A116="",N(I116)=0),0,ROUND((N(G116)-N(H116))/N(I116),2))</f>
        <v/>
      </c>
      <c r="S116" s="21">
        <f>IF(A116="","",IFERROR(MIN(N(G116)-N(H116),MAX(N(K116),R116*MAX(0,(YEAR(ReportTo)-YEAR(IF(J116&lt;&gt;"",DATE(LEFT(J116,4),MID(J116,6,2),1),F116)))*12+MONTH(ReportTo)-MONTH(IF(J116&lt;&gt;"",DATE(LEFT(J116,4),MID(J116,6,2),1),F116))+1))),""))</f>
        <v/>
      </c>
      <c r="T116" s="21">
        <f>IF(A116="","",IFERROR(N(G116)-N(S116),""))</f>
        <v/>
      </c>
    </row>
    <row r="117">
      <c r="A117" s="14" t="n"/>
      <c r="B117" s="14" t="n"/>
      <c r="C117" s="14" t="n"/>
      <c r="D117" s="14" t="n"/>
      <c r="E117" s="14" t="n"/>
      <c r="F117" s="19" t="n"/>
      <c r="G117" s="20" t="n"/>
      <c r="H117" s="20" t="n"/>
      <c r="I117" s="14" t="n"/>
      <c r="J117" s="14" t="n"/>
      <c r="K117" s="20" t="n"/>
      <c r="L117" s="14" t="n"/>
      <c r="M117" s="14" t="n"/>
      <c r="N117" s="14" t="n"/>
      <c r="O117" s="14" t="n"/>
      <c r="P117" s="14" t="n"/>
      <c r="Q117" s="14" t="n"/>
      <c r="R117" s="21">
        <f>IF(OR(A117="",N(I117)=0),0,ROUND((N(G117)-N(H117))/N(I117),2))</f>
        <v/>
      </c>
      <c r="S117" s="21">
        <f>IF(A117="","",IFERROR(MIN(N(G117)-N(H117),MAX(N(K117),R117*MAX(0,(YEAR(ReportTo)-YEAR(IF(J117&lt;&gt;"",DATE(LEFT(J117,4),MID(J117,6,2),1),F117)))*12+MONTH(ReportTo)-MONTH(IF(J117&lt;&gt;"",DATE(LEFT(J117,4),MID(J117,6,2),1),F117))+1))),""))</f>
        <v/>
      </c>
      <c r="T117" s="21">
        <f>IF(A117="","",IFERROR(N(G117)-N(S117),""))</f>
        <v/>
      </c>
    </row>
    <row r="118">
      <c r="A118" s="14" t="n"/>
      <c r="B118" s="14" t="n"/>
      <c r="C118" s="14" t="n"/>
      <c r="D118" s="14" t="n"/>
      <c r="E118" s="14" t="n"/>
      <c r="F118" s="19" t="n"/>
      <c r="G118" s="20" t="n"/>
      <c r="H118" s="20" t="n"/>
      <c r="I118" s="14" t="n"/>
      <c r="J118" s="14" t="n"/>
      <c r="K118" s="20" t="n"/>
      <c r="L118" s="14" t="n"/>
      <c r="M118" s="14" t="n"/>
      <c r="N118" s="14" t="n"/>
      <c r="O118" s="14" t="n"/>
      <c r="P118" s="14" t="n"/>
      <c r="Q118" s="14" t="n"/>
      <c r="R118" s="21">
        <f>IF(OR(A118="",N(I118)=0),0,ROUND((N(G118)-N(H118))/N(I118),2))</f>
        <v/>
      </c>
      <c r="S118" s="21">
        <f>IF(A118="","",IFERROR(MIN(N(G118)-N(H118),MAX(N(K118),R118*MAX(0,(YEAR(ReportTo)-YEAR(IF(J118&lt;&gt;"",DATE(LEFT(J118,4),MID(J118,6,2),1),F118)))*12+MONTH(ReportTo)-MONTH(IF(J118&lt;&gt;"",DATE(LEFT(J118,4),MID(J118,6,2),1),F118))+1))),""))</f>
        <v/>
      </c>
      <c r="T118" s="21">
        <f>IF(A118="","",IFERROR(N(G118)-N(S118),""))</f>
        <v/>
      </c>
    </row>
    <row r="119">
      <c r="A119" s="14" t="n"/>
      <c r="B119" s="14" t="n"/>
      <c r="C119" s="14" t="n"/>
      <c r="D119" s="14" t="n"/>
      <c r="E119" s="14" t="n"/>
      <c r="F119" s="19" t="n"/>
      <c r="G119" s="20" t="n"/>
      <c r="H119" s="20" t="n"/>
      <c r="I119" s="14" t="n"/>
      <c r="J119" s="14" t="n"/>
      <c r="K119" s="20" t="n"/>
      <c r="L119" s="14" t="n"/>
      <c r="M119" s="14" t="n"/>
      <c r="N119" s="14" t="n"/>
      <c r="O119" s="14" t="n"/>
      <c r="P119" s="14" t="n"/>
      <c r="Q119" s="14" t="n"/>
      <c r="R119" s="21">
        <f>IF(OR(A119="",N(I119)=0),0,ROUND((N(G119)-N(H119))/N(I119),2))</f>
        <v/>
      </c>
      <c r="S119" s="21">
        <f>IF(A119="","",IFERROR(MIN(N(G119)-N(H119),MAX(N(K119),R119*MAX(0,(YEAR(ReportTo)-YEAR(IF(J119&lt;&gt;"",DATE(LEFT(J119,4),MID(J119,6,2),1),F119)))*12+MONTH(ReportTo)-MONTH(IF(J119&lt;&gt;"",DATE(LEFT(J119,4),MID(J119,6,2),1),F119))+1))),""))</f>
        <v/>
      </c>
      <c r="T119" s="21">
        <f>IF(A119="","",IFERROR(N(G119)-N(S119),""))</f>
        <v/>
      </c>
    </row>
    <row r="120">
      <c r="A120" s="14" t="n"/>
      <c r="B120" s="14" t="n"/>
      <c r="C120" s="14" t="n"/>
      <c r="D120" s="14" t="n"/>
      <c r="E120" s="14" t="n"/>
      <c r="F120" s="19" t="n"/>
      <c r="G120" s="20" t="n"/>
      <c r="H120" s="20" t="n"/>
      <c r="I120" s="14" t="n"/>
      <c r="J120" s="14" t="n"/>
      <c r="K120" s="20" t="n"/>
      <c r="L120" s="14" t="n"/>
      <c r="M120" s="14" t="n"/>
      <c r="N120" s="14" t="n"/>
      <c r="O120" s="14" t="n"/>
      <c r="P120" s="14" t="n"/>
      <c r="Q120" s="14" t="n"/>
      <c r="R120" s="21">
        <f>IF(OR(A120="",N(I120)=0),0,ROUND((N(G120)-N(H120))/N(I120),2))</f>
        <v/>
      </c>
      <c r="S120" s="21">
        <f>IF(A120="","",IFERROR(MIN(N(G120)-N(H120),MAX(N(K120),R120*MAX(0,(YEAR(ReportTo)-YEAR(IF(J120&lt;&gt;"",DATE(LEFT(J120,4),MID(J120,6,2),1),F120)))*12+MONTH(ReportTo)-MONTH(IF(J120&lt;&gt;"",DATE(LEFT(J120,4),MID(J120,6,2),1),F120))+1))),""))</f>
        <v/>
      </c>
      <c r="T120" s="21">
        <f>IF(A120="","",IFERROR(N(G120)-N(S120),""))</f>
        <v/>
      </c>
    </row>
    <row r="121">
      <c r="A121" s="14" t="n"/>
      <c r="B121" s="14" t="n"/>
      <c r="C121" s="14" t="n"/>
      <c r="D121" s="14" t="n"/>
      <c r="E121" s="14" t="n"/>
      <c r="F121" s="19" t="n"/>
      <c r="G121" s="20" t="n"/>
      <c r="H121" s="20" t="n"/>
      <c r="I121" s="14" t="n"/>
      <c r="J121" s="14" t="n"/>
      <c r="K121" s="20" t="n"/>
      <c r="L121" s="14" t="n"/>
      <c r="M121" s="14" t="n"/>
      <c r="N121" s="14" t="n"/>
      <c r="O121" s="14" t="n"/>
      <c r="P121" s="14" t="n"/>
      <c r="Q121" s="14" t="n"/>
      <c r="R121" s="21">
        <f>IF(OR(A121="",N(I121)=0),0,ROUND((N(G121)-N(H121))/N(I121),2))</f>
        <v/>
      </c>
      <c r="S121" s="21">
        <f>IF(A121="","",IFERROR(MIN(N(G121)-N(H121),MAX(N(K121),R121*MAX(0,(YEAR(ReportTo)-YEAR(IF(J121&lt;&gt;"",DATE(LEFT(J121,4),MID(J121,6,2),1),F121)))*12+MONTH(ReportTo)-MONTH(IF(J121&lt;&gt;"",DATE(LEFT(J121,4),MID(J121,6,2),1),F121))+1))),""))</f>
        <v/>
      </c>
      <c r="T121" s="21">
        <f>IF(A121="","",IFERROR(N(G121)-N(S121),""))</f>
        <v/>
      </c>
    </row>
    <row r="122">
      <c r="A122" s="14" t="n"/>
      <c r="B122" s="14" t="n"/>
      <c r="C122" s="14" t="n"/>
      <c r="D122" s="14" t="n"/>
      <c r="E122" s="14" t="n"/>
      <c r="F122" s="19" t="n"/>
      <c r="G122" s="20" t="n"/>
      <c r="H122" s="20" t="n"/>
      <c r="I122" s="14" t="n"/>
      <c r="J122" s="14" t="n"/>
      <c r="K122" s="20" t="n"/>
      <c r="L122" s="14" t="n"/>
      <c r="M122" s="14" t="n"/>
      <c r="N122" s="14" t="n"/>
      <c r="O122" s="14" t="n"/>
      <c r="P122" s="14" t="n"/>
      <c r="Q122" s="14" t="n"/>
      <c r="R122" s="21">
        <f>IF(OR(A122="",N(I122)=0),0,ROUND((N(G122)-N(H122))/N(I122),2))</f>
        <v/>
      </c>
      <c r="S122" s="21">
        <f>IF(A122="","",IFERROR(MIN(N(G122)-N(H122),MAX(N(K122),R122*MAX(0,(YEAR(ReportTo)-YEAR(IF(J122&lt;&gt;"",DATE(LEFT(J122,4),MID(J122,6,2),1),F122)))*12+MONTH(ReportTo)-MONTH(IF(J122&lt;&gt;"",DATE(LEFT(J122,4),MID(J122,6,2),1),F122))+1))),""))</f>
        <v/>
      </c>
      <c r="T122" s="21">
        <f>IF(A122="","",IFERROR(N(G122)-N(S122),""))</f>
        <v/>
      </c>
    </row>
    <row r="123">
      <c r="A123" s="14" t="n"/>
      <c r="B123" s="14" t="n"/>
      <c r="C123" s="14" t="n"/>
      <c r="D123" s="14" t="n"/>
      <c r="E123" s="14" t="n"/>
      <c r="F123" s="19" t="n"/>
      <c r="G123" s="20" t="n"/>
      <c r="H123" s="20" t="n"/>
      <c r="I123" s="14" t="n"/>
      <c r="J123" s="14" t="n"/>
      <c r="K123" s="20" t="n"/>
      <c r="L123" s="14" t="n"/>
      <c r="M123" s="14" t="n"/>
      <c r="N123" s="14" t="n"/>
      <c r="O123" s="14" t="n"/>
      <c r="P123" s="14" t="n"/>
      <c r="Q123" s="14" t="n"/>
      <c r="R123" s="21">
        <f>IF(OR(A123="",N(I123)=0),0,ROUND((N(G123)-N(H123))/N(I123),2))</f>
        <v/>
      </c>
      <c r="S123" s="21">
        <f>IF(A123="","",IFERROR(MIN(N(G123)-N(H123),MAX(N(K123),R123*MAX(0,(YEAR(ReportTo)-YEAR(IF(J123&lt;&gt;"",DATE(LEFT(J123,4),MID(J123,6,2),1),F123)))*12+MONTH(ReportTo)-MONTH(IF(J123&lt;&gt;"",DATE(LEFT(J123,4),MID(J123,6,2),1),F123))+1))),""))</f>
        <v/>
      </c>
      <c r="T123" s="21">
        <f>IF(A123="","",IFERROR(N(G123)-N(S123),""))</f>
        <v/>
      </c>
    </row>
    <row r="124">
      <c r="A124" s="14" t="n"/>
      <c r="B124" s="14" t="n"/>
      <c r="C124" s="14" t="n"/>
      <c r="D124" s="14" t="n"/>
      <c r="E124" s="14" t="n"/>
      <c r="F124" s="19" t="n"/>
      <c r="G124" s="20" t="n"/>
      <c r="H124" s="20" t="n"/>
      <c r="I124" s="14" t="n"/>
      <c r="J124" s="14" t="n"/>
      <c r="K124" s="20" t="n"/>
      <c r="L124" s="14" t="n"/>
      <c r="M124" s="14" t="n"/>
      <c r="N124" s="14" t="n"/>
      <c r="O124" s="14" t="n"/>
      <c r="P124" s="14" t="n"/>
      <c r="Q124" s="14" t="n"/>
      <c r="R124" s="21">
        <f>IF(OR(A124="",N(I124)=0),0,ROUND((N(G124)-N(H124))/N(I124),2))</f>
        <v/>
      </c>
      <c r="S124" s="21">
        <f>IF(A124="","",IFERROR(MIN(N(G124)-N(H124),MAX(N(K124),R124*MAX(0,(YEAR(ReportTo)-YEAR(IF(J124&lt;&gt;"",DATE(LEFT(J124,4),MID(J124,6,2),1),F124)))*12+MONTH(ReportTo)-MONTH(IF(J124&lt;&gt;"",DATE(LEFT(J124,4),MID(J124,6,2),1),F124))+1))),""))</f>
        <v/>
      </c>
      <c r="T124" s="21">
        <f>IF(A124="","",IFERROR(N(G124)-N(S124),""))</f>
        <v/>
      </c>
    </row>
    <row r="125">
      <c r="A125" s="14" t="n"/>
      <c r="B125" s="14" t="n"/>
      <c r="C125" s="14" t="n"/>
      <c r="D125" s="14" t="n"/>
      <c r="E125" s="14" t="n"/>
      <c r="F125" s="19" t="n"/>
      <c r="G125" s="20" t="n"/>
      <c r="H125" s="20" t="n"/>
      <c r="I125" s="14" t="n"/>
      <c r="J125" s="14" t="n"/>
      <c r="K125" s="20" t="n"/>
      <c r="L125" s="14" t="n"/>
      <c r="M125" s="14" t="n"/>
      <c r="N125" s="14" t="n"/>
      <c r="O125" s="14" t="n"/>
      <c r="P125" s="14" t="n"/>
      <c r="Q125" s="14" t="n"/>
      <c r="R125" s="21">
        <f>IF(OR(A125="",N(I125)=0),0,ROUND((N(G125)-N(H125))/N(I125),2))</f>
        <v/>
      </c>
      <c r="S125" s="21">
        <f>IF(A125="","",IFERROR(MIN(N(G125)-N(H125),MAX(N(K125),R125*MAX(0,(YEAR(ReportTo)-YEAR(IF(J125&lt;&gt;"",DATE(LEFT(J125,4),MID(J125,6,2),1),F125)))*12+MONTH(ReportTo)-MONTH(IF(J125&lt;&gt;"",DATE(LEFT(J125,4),MID(J125,6,2),1),F125))+1))),""))</f>
        <v/>
      </c>
      <c r="T125" s="21">
        <f>IF(A125="","",IFERROR(N(G125)-N(S125),""))</f>
        <v/>
      </c>
    </row>
    <row r="126">
      <c r="A126" s="14" t="n"/>
      <c r="B126" s="14" t="n"/>
      <c r="C126" s="14" t="n"/>
      <c r="D126" s="14" t="n"/>
      <c r="E126" s="14" t="n"/>
      <c r="F126" s="19" t="n"/>
      <c r="G126" s="20" t="n"/>
      <c r="H126" s="20" t="n"/>
      <c r="I126" s="14" t="n"/>
      <c r="J126" s="14" t="n"/>
      <c r="K126" s="20" t="n"/>
      <c r="L126" s="14" t="n"/>
      <c r="M126" s="14" t="n"/>
      <c r="N126" s="14" t="n"/>
      <c r="O126" s="14" t="n"/>
      <c r="P126" s="14" t="n"/>
      <c r="Q126" s="14" t="n"/>
      <c r="R126" s="21">
        <f>IF(OR(A126="",N(I126)=0),0,ROUND((N(G126)-N(H126))/N(I126),2))</f>
        <v/>
      </c>
      <c r="S126" s="21">
        <f>IF(A126="","",IFERROR(MIN(N(G126)-N(H126),MAX(N(K126),R126*MAX(0,(YEAR(ReportTo)-YEAR(IF(J126&lt;&gt;"",DATE(LEFT(J126,4),MID(J126,6,2),1),F126)))*12+MONTH(ReportTo)-MONTH(IF(J126&lt;&gt;"",DATE(LEFT(J126,4),MID(J126,6,2),1),F126))+1))),""))</f>
        <v/>
      </c>
      <c r="T126" s="21">
        <f>IF(A126="","",IFERROR(N(G126)-N(S126),""))</f>
        <v/>
      </c>
    </row>
    <row r="127">
      <c r="A127" s="14" t="n"/>
      <c r="B127" s="14" t="n"/>
      <c r="C127" s="14" t="n"/>
      <c r="D127" s="14" t="n"/>
      <c r="E127" s="14" t="n"/>
      <c r="F127" s="19" t="n"/>
      <c r="G127" s="20" t="n"/>
      <c r="H127" s="20" t="n"/>
      <c r="I127" s="14" t="n"/>
      <c r="J127" s="14" t="n"/>
      <c r="K127" s="20" t="n"/>
      <c r="L127" s="14" t="n"/>
      <c r="M127" s="14" t="n"/>
      <c r="N127" s="14" t="n"/>
      <c r="O127" s="14" t="n"/>
      <c r="P127" s="14" t="n"/>
      <c r="Q127" s="14" t="n"/>
      <c r="R127" s="21">
        <f>IF(OR(A127="",N(I127)=0),0,ROUND((N(G127)-N(H127))/N(I127),2))</f>
        <v/>
      </c>
      <c r="S127" s="21">
        <f>IF(A127="","",IFERROR(MIN(N(G127)-N(H127),MAX(N(K127),R127*MAX(0,(YEAR(ReportTo)-YEAR(IF(J127&lt;&gt;"",DATE(LEFT(J127,4),MID(J127,6,2),1),F127)))*12+MONTH(ReportTo)-MONTH(IF(J127&lt;&gt;"",DATE(LEFT(J127,4),MID(J127,6,2),1),F127))+1))),""))</f>
        <v/>
      </c>
      <c r="T127" s="21">
        <f>IF(A127="","",IFERROR(N(G127)-N(S127),""))</f>
        <v/>
      </c>
    </row>
    <row r="128">
      <c r="A128" s="14" t="n"/>
      <c r="B128" s="14" t="n"/>
      <c r="C128" s="14" t="n"/>
      <c r="D128" s="14" t="n"/>
      <c r="E128" s="14" t="n"/>
      <c r="F128" s="19" t="n"/>
      <c r="G128" s="20" t="n"/>
      <c r="H128" s="20" t="n"/>
      <c r="I128" s="14" t="n"/>
      <c r="J128" s="14" t="n"/>
      <c r="K128" s="20" t="n"/>
      <c r="L128" s="14" t="n"/>
      <c r="M128" s="14" t="n"/>
      <c r="N128" s="14" t="n"/>
      <c r="O128" s="14" t="n"/>
      <c r="P128" s="14" t="n"/>
      <c r="Q128" s="14" t="n"/>
      <c r="R128" s="21">
        <f>IF(OR(A128="",N(I128)=0),0,ROUND((N(G128)-N(H128))/N(I128),2))</f>
        <v/>
      </c>
      <c r="S128" s="21">
        <f>IF(A128="","",IFERROR(MIN(N(G128)-N(H128),MAX(N(K128),R128*MAX(0,(YEAR(ReportTo)-YEAR(IF(J128&lt;&gt;"",DATE(LEFT(J128,4),MID(J128,6,2),1),F128)))*12+MONTH(ReportTo)-MONTH(IF(J128&lt;&gt;"",DATE(LEFT(J128,4),MID(J128,6,2),1),F128))+1))),""))</f>
        <v/>
      </c>
      <c r="T128" s="21">
        <f>IF(A128="","",IFERROR(N(G128)-N(S128),""))</f>
        <v/>
      </c>
    </row>
    <row r="129">
      <c r="A129" s="14" t="n"/>
      <c r="B129" s="14" t="n"/>
      <c r="C129" s="14" t="n"/>
      <c r="D129" s="14" t="n"/>
      <c r="E129" s="14" t="n"/>
      <c r="F129" s="19" t="n"/>
      <c r="G129" s="20" t="n"/>
      <c r="H129" s="20" t="n"/>
      <c r="I129" s="14" t="n"/>
      <c r="J129" s="14" t="n"/>
      <c r="K129" s="20" t="n"/>
      <c r="L129" s="14" t="n"/>
      <c r="M129" s="14" t="n"/>
      <c r="N129" s="14" t="n"/>
      <c r="O129" s="14" t="n"/>
      <c r="P129" s="14" t="n"/>
      <c r="Q129" s="14" t="n"/>
      <c r="R129" s="21">
        <f>IF(OR(A129="",N(I129)=0),0,ROUND((N(G129)-N(H129))/N(I129),2))</f>
        <v/>
      </c>
      <c r="S129" s="21">
        <f>IF(A129="","",IFERROR(MIN(N(G129)-N(H129),MAX(N(K129),R129*MAX(0,(YEAR(ReportTo)-YEAR(IF(J129&lt;&gt;"",DATE(LEFT(J129,4),MID(J129,6,2),1),F129)))*12+MONTH(ReportTo)-MONTH(IF(J129&lt;&gt;"",DATE(LEFT(J129,4),MID(J129,6,2),1),F129))+1))),""))</f>
        <v/>
      </c>
      <c r="T129" s="21">
        <f>IF(A129="","",IFERROR(N(G129)-N(S129),""))</f>
        <v/>
      </c>
    </row>
    <row r="130">
      <c r="A130" s="14" t="n"/>
      <c r="B130" s="14" t="n"/>
      <c r="C130" s="14" t="n"/>
      <c r="D130" s="14" t="n"/>
      <c r="E130" s="14" t="n"/>
      <c r="F130" s="19" t="n"/>
      <c r="G130" s="20" t="n"/>
      <c r="H130" s="20" t="n"/>
      <c r="I130" s="14" t="n"/>
      <c r="J130" s="14" t="n"/>
      <c r="K130" s="20" t="n"/>
      <c r="L130" s="14" t="n"/>
      <c r="M130" s="14" t="n"/>
      <c r="N130" s="14" t="n"/>
      <c r="O130" s="14" t="n"/>
      <c r="P130" s="14" t="n"/>
      <c r="Q130" s="14" t="n"/>
      <c r="R130" s="21">
        <f>IF(OR(A130="",N(I130)=0),0,ROUND((N(G130)-N(H130))/N(I130),2))</f>
        <v/>
      </c>
      <c r="S130" s="21">
        <f>IF(A130="","",IFERROR(MIN(N(G130)-N(H130),MAX(N(K130),R130*MAX(0,(YEAR(ReportTo)-YEAR(IF(J130&lt;&gt;"",DATE(LEFT(J130,4),MID(J130,6,2),1),F130)))*12+MONTH(ReportTo)-MONTH(IF(J130&lt;&gt;"",DATE(LEFT(J130,4),MID(J130,6,2),1),F130))+1))),""))</f>
        <v/>
      </c>
      <c r="T130" s="21">
        <f>IF(A130="","",IFERROR(N(G130)-N(S130),""))</f>
        <v/>
      </c>
    </row>
    <row r="131">
      <c r="A131" s="14" t="n"/>
      <c r="B131" s="14" t="n"/>
      <c r="C131" s="14" t="n"/>
      <c r="D131" s="14" t="n"/>
      <c r="E131" s="14" t="n"/>
      <c r="F131" s="19" t="n"/>
      <c r="G131" s="20" t="n"/>
      <c r="H131" s="20" t="n"/>
      <c r="I131" s="14" t="n"/>
      <c r="J131" s="14" t="n"/>
      <c r="K131" s="20" t="n"/>
      <c r="L131" s="14" t="n"/>
      <c r="M131" s="14" t="n"/>
      <c r="N131" s="14" t="n"/>
      <c r="O131" s="14" t="n"/>
      <c r="P131" s="14" t="n"/>
      <c r="Q131" s="14" t="n"/>
      <c r="R131" s="21">
        <f>IF(OR(A131="",N(I131)=0),0,ROUND((N(G131)-N(H131))/N(I131),2))</f>
        <v/>
      </c>
      <c r="S131" s="21">
        <f>IF(A131="","",IFERROR(MIN(N(G131)-N(H131),MAX(N(K131),R131*MAX(0,(YEAR(ReportTo)-YEAR(IF(J131&lt;&gt;"",DATE(LEFT(J131,4),MID(J131,6,2),1),F131)))*12+MONTH(ReportTo)-MONTH(IF(J131&lt;&gt;"",DATE(LEFT(J131,4),MID(J131,6,2),1),F131))+1))),""))</f>
        <v/>
      </c>
      <c r="T131" s="21">
        <f>IF(A131="","",IFERROR(N(G131)-N(S131),""))</f>
        <v/>
      </c>
    </row>
    <row r="132">
      <c r="A132" s="14" t="n"/>
      <c r="B132" s="14" t="n"/>
      <c r="C132" s="14" t="n"/>
      <c r="D132" s="14" t="n"/>
      <c r="E132" s="14" t="n"/>
      <c r="F132" s="19" t="n"/>
      <c r="G132" s="20" t="n"/>
      <c r="H132" s="20" t="n"/>
      <c r="I132" s="14" t="n"/>
      <c r="J132" s="14" t="n"/>
      <c r="K132" s="20" t="n"/>
      <c r="L132" s="14" t="n"/>
      <c r="M132" s="14" t="n"/>
      <c r="N132" s="14" t="n"/>
      <c r="O132" s="14" t="n"/>
      <c r="P132" s="14" t="n"/>
      <c r="Q132" s="14" t="n"/>
      <c r="R132" s="21">
        <f>IF(OR(A132="",N(I132)=0),0,ROUND((N(G132)-N(H132))/N(I132),2))</f>
        <v/>
      </c>
      <c r="S132" s="21">
        <f>IF(A132="","",IFERROR(MIN(N(G132)-N(H132),MAX(N(K132),R132*MAX(0,(YEAR(ReportTo)-YEAR(IF(J132&lt;&gt;"",DATE(LEFT(J132,4),MID(J132,6,2),1),F132)))*12+MONTH(ReportTo)-MONTH(IF(J132&lt;&gt;"",DATE(LEFT(J132,4),MID(J132,6,2),1),F132))+1))),""))</f>
        <v/>
      </c>
      <c r="T132" s="21">
        <f>IF(A132="","",IFERROR(N(G132)-N(S132),""))</f>
        <v/>
      </c>
    </row>
    <row r="133">
      <c r="A133" s="14" t="n"/>
      <c r="B133" s="14" t="n"/>
      <c r="C133" s="14" t="n"/>
      <c r="D133" s="14" t="n"/>
      <c r="E133" s="14" t="n"/>
      <c r="F133" s="19" t="n"/>
      <c r="G133" s="20" t="n"/>
      <c r="H133" s="20" t="n"/>
      <c r="I133" s="14" t="n"/>
      <c r="J133" s="14" t="n"/>
      <c r="K133" s="20" t="n"/>
      <c r="L133" s="14" t="n"/>
      <c r="M133" s="14" t="n"/>
      <c r="N133" s="14" t="n"/>
      <c r="O133" s="14" t="n"/>
      <c r="P133" s="14" t="n"/>
      <c r="Q133" s="14" t="n"/>
      <c r="R133" s="21">
        <f>IF(OR(A133="",N(I133)=0),0,ROUND((N(G133)-N(H133))/N(I133),2))</f>
        <v/>
      </c>
      <c r="S133" s="21">
        <f>IF(A133="","",IFERROR(MIN(N(G133)-N(H133),MAX(N(K133),R133*MAX(0,(YEAR(ReportTo)-YEAR(IF(J133&lt;&gt;"",DATE(LEFT(J133,4),MID(J133,6,2),1),F133)))*12+MONTH(ReportTo)-MONTH(IF(J133&lt;&gt;"",DATE(LEFT(J133,4),MID(J133,6,2),1),F133))+1))),""))</f>
        <v/>
      </c>
      <c r="T133" s="21">
        <f>IF(A133="","",IFERROR(N(G133)-N(S133),""))</f>
        <v/>
      </c>
    </row>
    <row r="134">
      <c r="A134" s="14" t="n"/>
      <c r="B134" s="14" t="n"/>
      <c r="C134" s="14" t="n"/>
      <c r="D134" s="14" t="n"/>
      <c r="E134" s="14" t="n"/>
      <c r="F134" s="19" t="n"/>
      <c r="G134" s="20" t="n"/>
      <c r="H134" s="20" t="n"/>
      <c r="I134" s="14" t="n"/>
      <c r="J134" s="14" t="n"/>
      <c r="K134" s="20" t="n"/>
      <c r="L134" s="14" t="n"/>
      <c r="M134" s="14" t="n"/>
      <c r="N134" s="14" t="n"/>
      <c r="O134" s="14" t="n"/>
      <c r="P134" s="14" t="n"/>
      <c r="Q134" s="14" t="n"/>
      <c r="R134" s="21">
        <f>IF(OR(A134="",N(I134)=0),0,ROUND((N(G134)-N(H134))/N(I134),2))</f>
        <v/>
      </c>
      <c r="S134" s="21">
        <f>IF(A134="","",IFERROR(MIN(N(G134)-N(H134),MAX(N(K134),R134*MAX(0,(YEAR(ReportTo)-YEAR(IF(J134&lt;&gt;"",DATE(LEFT(J134,4),MID(J134,6,2),1),F134)))*12+MONTH(ReportTo)-MONTH(IF(J134&lt;&gt;"",DATE(LEFT(J134,4),MID(J134,6,2),1),F134))+1))),""))</f>
        <v/>
      </c>
      <c r="T134" s="21">
        <f>IF(A134="","",IFERROR(N(G134)-N(S134),""))</f>
        <v/>
      </c>
    </row>
    <row r="135">
      <c r="A135" s="14" t="n"/>
      <c r="B135" s="14" t="n"/>
      <c r="C135" s="14" t="n"/>
      <c r="D135" s="14" t="n"/>
      <c r="E135" s="14" t="n"/>
      <c r="F135" s="19" t="n"/>
      <c r="G135" s="20" t="n"/>
      <c r="H135" s="20" t="n"/>
      <c r="I135" s="14" t="n"/>
      <c r="J135" s="14" t="n"/>
      <c r="K135" s="20" t="n"/>
      <c r="L135" s="14" t="n"/>
      <c r="M135" s="14" t="n"/>
      <c r="N135" s="14" t="n"/>
      <c r="O135" s="14" t="n"/>
      <c r="P135" s="14" t="n"/>
      <c r="Q135" s="14" t="n"/>
      <c r="R135" s="21">
        <f>IF(OR(A135="",N(I135)=0),0,ROUND((N(G135)-N(H135))/N(I135),2))</f>
        <v/>
      </c>
      <c r="S135" s="21">
        <f>IF(A135="","",IFERROR(MIN(N(G135)-N(H135),MAX(N(K135),R135*MAX(0,(YEAR(ReportTo)-YEAR(IF(J135&lt;&gt;"",DATE(LEFT(J135,4),MID(J135,6,2),1),F135)))*12+MONTH(ReportTo)-MONTH(IF(J135&lt;&gt;"",DATE(LEFT(J135,4),MID(J135,6,2),1),F135))+1))),""))</f>
        <v/>
      </c>
      <c r="T135" s="21">
        <f>IF(A135="","",IFERROR(N(G135)-N(S135),""))</f>
        <v/>
      </c>
    </row>
    <row r="136">
      <c r="A136" s="14" t="n"/>
      <c r="B136" s="14" t="n"/>
      <c r="C136" s="14" t="n"/>
      <c r="D136" s="14" t="n"/>
      <c r="E136" s="14" t="n"/>
      <c r="F136" s="19" t="n"/>
      <c r="G136" s="20" t="n"/>
      <c r="H136" s="20" t="n"/>
      <c r="I136" s="14" t="n"/>
      <c r="J136" s="14" t="n"/>
      <c r="K136" s="20" t="n"/>
      <c r="L136" s="14" t="n"/>
      <c r="M136" s="14" t="n"/>
      <c r="N136" s="14" t="n"/>
      <c r="O136" s="14" t="n"/>
      <c r="P136" s="14" t="n"/>
      <c r="Q136" s="14" t="n"/>
      <c r="R136" s="21">
        <f>IF(OR(A136="",N(I136)=0),0,ROUND((N(G136)-N(H136))/N(I136),2))</f>
        <v/>
      </c>
      <c r="S136" s="21">
        <f>IF(A136="","",IFERROR(MIN(N(G136)-N(H136),MAX(N(K136),R136*MAX(0,(YEAR(ReportTo)-YEAR(IF(J136&lt;&gt;"",DATE(LEFT(J136,4),MID(J136,6,2),1),F136)))*12+MONTH(ReportTo)-MONTH(IF(J136&lt;&gt;"",DATE(LEFT(J136,4),MID(J136,6,2),1),F136))+1))),""))</f>
        <v/>
      </c>
      <c r="T136" s="21">
        <f>IF(A136="","",IFERROR(N(G136)-N(S136),""))</f>
        <v/>
      </c>
    </row>
    <row r="137">
      <c r="A137" s="14" t="n"/>
      <c r="B137" s="14" t="n"/>
      <c r="C137" s="14" t="n"/>
      <c r="D137" s="14" t="n"/>
      <c r="E137" s="14" t="n"/>
      <c r="F137" s="19" t="n"/>
      <c r="G137" s="20" t="n"/>
      <c r="H137" s="20" t="n"/>
      <c r="I137" s="14" t="n"/>
      <c r="J137" s="14" t="n"/>
      <c r="K137" s="20" t="n"/>
      <c r="L137" s="14" t="n"/>
      <c r="M137" s="14" t="n"/>
      <c r="N137" s="14" t="n"/>
      <c r="O137" s="14" t="n"/>
      <c r="P137" s="14" t="n"/>
      <c r="Q137" s="14" t="n"/>
      <c r="R137" s="21">
        <f>IF(OR(A137="",N(I137)=0),0,ROUND((N(G137)-N(H137))/N(I137),2))</f>
        <v/>
      </c>
      <c r="S137" s="21">
        <f>IF(A137="","",IFERROR(MIN(N(G137)-N(H137),MAX(N(K137),R137*MAX(0,(YEAR(ReportTo)-YEAR(IF(J137&lt;&gt;"",DATE(LEFT(J137,4),MID(J137,6,2),1),F137)))*12+MONTH(ReportTo)-MONTH(IF(J137&lt;&gt;"",DATE(LEFT(J137,4),MID(J137,6,2),1),F137))+1))),""))</f>
        <v/>
      </c>
      <c r="T137" s="21">
        <f>IF(A137="","",IFERROR(N(G137)-N(S137),""))</f>
        <v/>
      </c>
    </row>
    <row r="138">
      <c r="A138" s="14" t="n"/>
      <c r="B138" s="14" t="n"/>
      <c r="C138" s="14" t="n"/>
      <c r="D138" s="14" t="n"/>
      <c r="E138" s="14" t="n"/>
      <c r="F138" s="19" t="n"/>
      <c r="G138" s="20" t="n"/>
      <c r="H138" s="20" t="n"/>
      <c r="I138" s="14" t="n"/>
      <c r="J138" s="14" t="n"/>
      <c r="K138" s="20" t="n"/>
      <c r="L138" s="14" t="n"/>
      <c r="M138" s="14" t="n"/>
      <c r="N138" s="14" t="n"/>
      <c r="O138" s="14" t="n"/>
      <c r="P138" s="14" t="n"/>
      <c r="Q138" s="14" t="n"/>
      <c r="R138" s="21">
        <f>IF(OR(A138="",N(I138)=0),0,ROUND((N(G138)-N(H138))/N(I138),2))</f>
        <v/>
      </c>
      <c r="S138" s="21">
        <f>IF(A138="","",IFERROR(MIN(N(G138)-N(H138),MAX(N(K138),R138*MAX(0,(YEAR(ReportTo)-YEAR(IF(J138&lt;&gt;"",DATE(LEFT(J138,4),MID(J138,6,2),1),F138)))*12+MONTH(ReportTo)-MONTH(IF(J138&lt;&gt;"",DATE(LEFT(J138,4),MID(J138,6,2),1),F138))+1))),""))</f>
        <v/>
      </c>
      <c r="T138" s="21">
        <f>IF(A138="","",IFERROR(N(G138)-N(S138),""))</f>
        <v/>
      </c>
    </row>
    <row r="139">
      <c r="A139" s="14" t="n"/>
      <c r="B139" s="14" t="n"/>
      <c r="C139" s="14" t="n"/>
      <c r="D139" s="14" t="n"/>
      <c r="E139" s="14" t="n"/>
      <c r="F139" s="19" t="n"/>
      <c r="G139" s="20" t="n"/>
      <c r="H139" s="20" t="n"/>
      <c r="I139" s="14" t="n"/>
      <c r="J139" s="14" t="n"/>
      <c r="K139" s="20" t="n"/>
      <c r="L139" s="14" t="n"/>
      <c r="M139" s="14" t="n"/>
      <c r="N139" s="14" t="n"/>
      <c r="O139" s="14" t="n"/>
      <c r="P139" s="14" t="n"/>
      <c r="Q139" s="14" t="n"/>
      <c r="R139" s="21">
        <f>IF(OR(A139="",N(I139)=0),0,ROUND((N(G139)-N(H139))/N(I139),2))</f>
        <v/>
      </c>
      <c r="S139" s="21">
        <f>IF(A139="","",IFERROR(MIN(N(G139)-N(H139),MAX(N(K139),R139*MAX(0,(YEAR(ReportTo)-YEAR(IF(J139&lt;&gt;"",DATE(LEFT(J139,4),MID(J139,6,2),1),F139)))*12+MONTH(ReportTo)-MONTH(IF(J139&lt;&gt;"",DATE(LEFT(J139,4),MID(J139,6,2),1),F139))+1))),""))</f>
        <v/>
      </c>
      <c r="T139" s="21">
        <f>IF(A139="","",IFERROR(N(G139)-N(S139),""))</f>
        <v/>
      </c>
    </row>
    <row r="140">
      <c r="A140" s="14" t="n"/>
      <c r="B140" s="14" t="n"/>
      <c r="C140" s="14" t="n"/>
      <c r="D140" s="14" t="n"/>
      <c r="E140" s="14" t="n"/>
      <c r="F140" s="19" t="n"/>
      <c r="G140" s="20" t="n"/>
      <c r="H140" s="20" t="n"/>
      <c r="I140" s="14" t="n"/>
      <c r="J140" s="14" t="n"/>
      <c r="K140" s="20" t="n"/>
      <c r="L140" s="14" t="n"/>
      <c r="M140" s="14" t="n"/>
      <c r="N140" s="14" t="n"/>
      <c r="O140" s="14" t="n"/>
      <c r="P140" s="14" t="n"/>
      <c r="Q140" s="14" t="n"/>
      <c r="R140" s="21">
        <f>IF(OR(A140="",N(I140)=0),0,ROUND((N(G140)-N(H140))/N(I140),2))</f>
        <v/>
      </c>
      <c r="S140" s="21">
        <f>IF(A140="","",IFERROR(MIN(N(G140)-N(H140),MAX(N(K140),R140*MAX(0,(YEAR(ReportTo)-YEAR(IF(J140&lt;&gt;"",DATE(LEFT(J140,4),MID(J140,6,2),1),F140)))*12+MONTH(ReportTo)-MONTH(IF(J140&lt;&gt;"",DATE(LEFT(J140,4),MID(J140,6,2),1),F140))+1))),""))</f>
        <v/>
      </c>
      <c r="T140" s="21">
        <f>IF(A140="","",IFERROR(N(G140)-N(S140),""))</f>
        <v/>
      </c>
    </row>
    <row r="141">
      <c r="A141" s="14" t="n"/>
      <c r="B141" s="14" t="n"/>
      <c r="C141" s="14" t="n"/>
      <c r="D141" s="14" t="n"/>
      <c r="E141" s="14" t="n"/>
      <c r="F141" s="19" t="n"/>
      <c r="G141" s="20" t="n"/>
      <c r="H141" s="20" t="n"/>
      <c r="I141" s="14" t="n"/>
      <c r="J141" s="14" t="n"/>
      <c r="K141" s="20" t="n"/>
      <c r="L141" s="14" t="n"/>
      <c r="M141" s="14" t="n"/>
      <c r="N141" s="14" t="n"/>
      <c r="O141" s="14" t="n"/>
      <c r="P141" s="14" t="n"/>
      <c r="Q141" s="14" t="n"/>
      <c r="R141" s="21">
        <f>IF(OR(A141="",N(I141)=0),0,ROUND((N(G141)-N(H141))/N(I141),2))</f>
        <v/>
      </c>
      <c r="S141" s="21">
        <f>IF(A141="","",IFERROR(MIN(N(G141)-N(H141),MAX(N(K141),R141*MAX(0,(YEAR(ReportTo)-YEAR(IF(J141&lt;&gt;"",DATE(LEFT(J141,4),MID(J141,6,2),1),F141)))*12+MONTH(ReportTo)-MONTH(IF(J141&lt;&gt;"",DATE(LEFT(J141,4),MID(J141,6,2),1),F141))+1))),""))</f>
        <v/>
      </c>
      <c r="T141" s="21">
        <f>IF(A141="","",IFERROR(N(G141)-N(S141),""))</f>
        <v/>
      </c>
    </row>
    <row r="142">
      <c r="A142" s="14" t="n"/>
      <c r="B142" s="14" t="n"/>
      <c r="C142" s="14" t="n"/>
      <c r="D142" s="14" t="n"/>
      <c r="E142" s="14" t="n"/>
      <c r="F142" s="19" t="n"/>
      <c r="G142" s="20" t="n"/>
      <c r="H142" s="20" t="n"/>
      <c r="I142" s="14" t="n"/>
      <c r="J142" s="14" t="n"/>
      <c r="K142" s="20" t="n"/>
      <c r="L142" s="14" t="n"/>
      <c r="M142" s="14" t="n"/>
      <c r="N142" s="14" t="n"/>
      <c r="O142" s="14" t="n"/>
      <c r="P142" s="14" t="n"/>
      <c r="Q142" s="14" t="n"/>
      <c r="R142" s="21">
        <f>IF(OR(A142="",N(I142)=0),0,ROUND((N(G142)-N(H142))/N(I142),2))</f>
        <v/>
      </c>
      <c r="S142" s="21">
        <f>IF(A142="","",IFERROR(MIN(N(G142)-N(H142),MAX(N(K142),R142*MAX(0,(YEAR(ReportTo)-YEAR(IF(J142&lt;&gt;"",DATE(LEFT(J142,4),MID(J142,6,2),1),F142)))*12+MONTH(ReportTo)-MONTH(IF(J142&lt;&gt;"",DATE(LEFT(J142,4),MID(J142,6,2),1),F142))+1))),""))</f>
        <v/>
      </c>
      <c r="T142" s="21">
        <f>IF(A142="","",IFERROR(N(G142)-N(S142),""))</f>
        <v/>
      </c>
    </row>
    <row r="143">
      <c r="A143" s="14" t="n"/>
      <c r="B143" s="14" t="n"/>
      <c r="C143" s="14" t="n"/>
      <c r="D143" s="14" t="n"/>
      <c r="E143" s="14" t="n"/>
      <c r="F143" s="19" t="n"/>
      <c r="G143" s="20" t="n"/>
      <c r="H143" s="20" t="n"/>
      <c r="I143" s="14" t="n"/>
      <c r="J143" s="14" t="n"/>
      <c r="K143" s="20" t="n"/>
      <c r="L143" s="14" t="n"/>
      <c r="M143" s="14" t="n"/>
      <c r="N143" s="14" t="n"/>
      <c r="O143" s="14" t="n"/>
      <c r="P143" s="14" t="n"/>
      <c r="Q143" s="14" t="n"/>
      <c r="R143" s="21">
        <f>IF(OR(A143="",N(I143)=0),0,ROUND((N(G143)-N(H143))/N(I143),2))</f>
        <v/>
      </c>
      <c r="S143" s="21">
        <f>IF(A143="","",IFERROR(MIN(N(G143)-N(H143),MAX(N(K143),R143*MAX(0,(YEAR(ReportTo)-YEAR(IF(J143&lt;&gt;"",DATE(LEFT(J143,4),MID(J143,6,2),1),F143)))*12+MONTH(ReportTo)-MONTH(IF(J143&lt;&gt;"",DATE(LEFT(J143,4),MID(J143,6,2),1),F143))+1))),""))</f>
        <v/>
      </c>
      <c r="T143" s="21">
        <f>IF(A143="","",IFERROR(N(G143)-N(S143),""))</f>
        <v/>
      </c>
    </row>
    <row r="144">
      <c r="A144" s="14" t="n"/>
      <c r="B144" s="14" t="n"/>
      <c r="C144" s="14" t="n"/>
      <c r="D144" s="14" t="n"/>
      <c r="E144" s="14" t="n"/>
      <c r="F144" s="19" t="n"/>
      <c r="G144" s="20" t="n"/>
      <c r="H144" s="20" t="n"/>
      <c r="I144" s="14" t="n"/>
      <c r="J144" s="14" t="n"/>
      <c r="K144" s="20" t="n"/>
      <c r="L144" s="14" t="n"/>
      <c r="M144" s="14" t="n"/>
      <c r="N144" s="14" t="n"/>
      <c r="O144" s="14" t="n"/>
      <c r="P144" s="14" t="n"/>
      <c r="Q144" s="14" t="n"/>
      <c r="R144" s="21">
        <f>IF(OR(A144="",N(I144)=0),0,ROUND((N(G144)-N(H144))/N(I144),2))</f>
        <v/>
      </c>
      <c r="S144" s="21">
        <f>IF(A144="","",IFERROR(MIN(N(G144)-N(H144),MAX(N(K144),R144*MAX(0,(YEAR(ReportTo)-YEAR(IF(J144&lt;&gt;"",DATE(LEFT(J144,4),MID(J144,6,2),1),F144)))*12+MONTH(ReportTo)-MONTH(IF(J144&lt;&gt;"",DATE(LEFT(J144,4),MID(J144,6,2),1),F144))+1))),""))</f>
        <v/>
      </c>
      <c r="T144" s="21">
        <f>IF(A144="","",IFERROR(N(G144)-N(S144),""))</f>
        <v/>
      </c>
    </row>
    <row r="145">
      <c r="A145" s="14" t="n"/>
      <c r="B145" s="14" t="n"/>
      <c r="C145" s="14" t="n"/>
      <c r="D145" s="14" t="n"/>
      <c r="E145" s="14" t="n"/>
      <c r="F145" s="19" t="n"/>
      <c r="G145" s="20" t="n"/>
      <c r="H145" s="20" t="n"/>
      <c r="I145" s="14" t="n"/>
      <c r="J145" s="14" t="n"/>
      <c r="K145" s="20" t="n"/>
      <c r="L145" s="14" t="n"/>
      <c r="M145" s="14" t="n"/>
      <c r="N145" s="14" t="n"/>
      <c r="O145" s="14" t="n"/>
      <c r="P145" s="14" t="n"/>
      <c r="Q145" s="14" t="n"/>
      <c r="R145" s="21">
        <f>IF(OR(A145="",N(I145)=0),0,ROUND((N(G145)-N(H145))/N(I145),2))</f>
        <v/>
      </c>
      <c r="S145" s="21">
        <f>IF(A145="","",IFERROR(MIN(N(G145)-N(H145),MAX(N(K145),R145*MAX(0,(YEAR(ReportTo)-YEAR(IF(J145&lt;&gt;"",DATE(LEFT(J145,4),MID(J145,6,2),1),F145)))*12+MONTH(ReportTo)-MONTH(IF(J145&lt;&gt;"",DATE(LEFT(J145,4),MID(J145,6,2),1),F145))+1))),""))</f>
        <v/>
      </c>
      <c r="T145" s="21">
        <f>IF(A145="","",IFERROR(N(G145)-N(S145),""))</f>
        <v/>
      </c>
    </row>
    <row r="146">
      <c r="A146" s="14" t="n"/>
      <c r="B146" s="14" t="n"/>
      <c r="C146" s="14" t="n"/>
      <c r="D146" s="14" t="n"/>
      <c r="E146" s="14" t="n"/>
      <c r="F146" s="19" t="n"/>
      <c r="G146" s="20" t="n"/>
      <c r="H146" s="20" t="n"/>
      <c r="I146" s="14" t="n"/>
      <c r="J146" s="14" t="n"/>
      <c r="K146" s="20" t="n"/>
      <c r="L146" s="14" t="n"/>
      <c r="M146" s="14" t="n"/>
      <c r="N146" s="14" t="n"/>
      <c r="O146" s="14" t="n"/>
      <c r="P146" s="14" t="n"/>
      <c r="Q146" s="14" t="n"/>
      <c r="R146" s="21">
        <f>IF(OR(A146="",N(I146)=0),0,ROUND((N(G146)-N(H146))/N(I146),2))</f>
        <v/>
      </c>
      <c r="S146" s="21">
        <f>IF(A146="","",IFERROR(MIN(N(G146)-N(H146),MAX(N(K146),R146*MAX(0,(YEAR(ReportTo)-YEAR(IF(J146&lt;&gt;"",DATE(LEFT(J146,4),MID(J146,6,2),1),F146)))*12+MONTH(ReportTo)-MONTH(IF(J146&lt;&gt;"",DATE(LEFT(J146,4),MID(J146,6,2),1),F146))+1))),""))</f>
        <v/>
      </c>
      <c r="T146" s="21">
        <f>IF(A146="","",IFERROR(N(G146)-N(S146),""))</f>
        <v/>
      </c>
    </row>
    <row r="147">
      <c r="A147" s="14" t="n"/>
      <c r="B147" s="14" t="n"/>
      <c r="C147" s="14" t="n"/>
      <c r="D147" s="14" t="n"/>
      <c r="E147" s="14" t="n"/>
      <c r="F147" s="19" t="n"/>
      <c r="G147" s="20" t="n"/>
      <c r="H147" s="20" t="n"/>
      <c r="I147" s="14" t="n"/>
      <c r="J147" s="14" t="n"/>
      <c r="K147" s="20" t="n"/>
      <c r="L147" s="14" t="n"/>
      <c r="M147" s="14" t="n"/>
      <c r="N147" s="14" t="n"/>
      <c r="O147" s="14" t="n"/>
      <c r="P147" s="14" t="n"/>
      <c r="Q147" s="14" t="n"/>
      <c r="R147" s="21">
        <f>IF(OR(A147="",N(I147)=0),0,ROUND((N(G147)-N(H147))/N(I147),2))</f>
        <v/>
      </c>
      <c r="S147" s="21">
        <f>IF(A147="","",IFERROR(MIN(N(G147)-N(H147),MAX(N(K147),R147*MAX(0,(YEAR(ReportTo)-YEAR(IF(J147&lt;&gt;"",DATE(LEFT(J147,4),MID(J147,6,2),1),F147)))*12+MONTH(ReportTo)-MONTH(IF(J147&lt;&gt;"",DATE(LEFT(J147,4),MID(J147,6,2),1),F147))+1))),""))</f>
        <v/>
      </c>
      <c r="T147" s="21">
        <f>IF(A147="","",IFERROR(N(G147)-N(S147),""))</f>
        <v/>
      </c>
    </row>
    <row r="148">
      <c r="A148" s="14" t="n"/>
      <c r="B148" s="14" t="n"/>
      <c r="C148" s="14" t="n"/>
      <c r="D148" s="14" t="n"/>
      <c r="E148" s="14" t="n"/>
      <c r="F148" s="19" t="n"/>
      <c r="G148" s="20" t="n"/>
      <c r="H148" s="20" t="n"/>
      <c r="I148" s="14" t="n"/>
      <c r="J148" s="14" t="n"/>
      <c r="K148" s="20" t="n"/>
      <c r="L148" s="14" t="n"/>
      <c r="M148" s="14" t="n"/>
      <c r="N148" s="14" t="n"/>
      <c r="O148" s="14" t="n"/>
      <c r="P148" s="14" t="n"/>
      <c r="Q148" s="14" t="n"/>
      <c r="R148" s="21">
        <f>IF(OR(A148="",N(I148)=0),0,ROUND((N(G148)-N(H148))/N(I148),2))</f>
        <v/>
      </c>
      <c r="S148" s="21">
        <f>IF(A148="","",IFERROR(MIN(N(G148)-N(H148),MAX(N(K148),R148*MAX(0,(YEAR(ReportTo)-YEAR(IF(J148&lt;&gt;"",DATE(LEFT(J148,4),MID(J148,6,2),1),F148)))*12+MONTH(ReportTo)-MONTH(IF(J148&lt;&gt;"",DATE(LEFT(J148,4),MID(J148,6,2),1),F148))+1))),""))</f>
        <v/>
      </c>
      <c r="T148" s="21">
        <f>IF(A148="","",IFERROR(N(G148)-N(S148),""))</f>
        <v/>
      </c>
    </row>
    <row r="149">
      <c r="A149" s="14" t="n"/>
      <c r="B149" s="14" t="n"/>
      <c r="C149" s="14" t="n"/>
      <c r="D149" s="14" t="n"/>
      <c r="E149" s="14" t="n"/>
      <c r="F149" s="19" t="n"/>
      <c r="G149" s="20" t="n"/>
      <c r="H149" s="20" t="n"/>
      <c r="I149" s="14" t="n"/>
      <c r="J149" s="14" t="n"/>
      <c r="K149" s="20" t="n"/>
      <c r="L149" s="14" t="n"/>
      <c r="M149" s="14" t="n"/>
      <c r="N149" s="14" t="n"/>
      <c r="O149" s="14" t="n"/>
      <c r="P149" s="14" t="n"/>
      <c r="Q149" s="14" t="n"/>
      <c r="R149" s="21">
        <f>IF(OR(A149="",N(I149)=0),0,ROUND((N(G149)-N(H149))/N(I149),2))</f>
        <v/>
      </c>
      <c r="S149" s="21">
        <f>IF(A149="","",IFERROR(MIN(N(G149)-N(H149),MAX(N(K149),R149*MAX(0,(YEAR(ReportTo)-YEAR(IF(J149&lt;&gt;"",DATE(LEFT(J149,4),MID(J149,6,2),1),F149)))*12+MONTH(ReportTo)-MONTH(IF(J149&lt;&gt;"",DATE(LEFT(J149,4),MID(J149,6,2),1),F149))+1))),""))</f>
        <v/>
      </c>
      <c r="T149" s="21">
        <f>IF(A149="","",IFERROR(N(G149)-N(S149),""))</f>
        <v/>
      </c>
    </row>
    <row r="150">
      <c r="A150" s="14" t="n"/>
      <c r="B150" s="14" t="n"/>
      <c r="C150" s="14" t="n"/>
      <c r="D150" s="14" t="n"/>
      <c r="E150" s="14" t="n"/>
      <c r="F150" s="19" t="n"/>
      <c r="G150" s="20" t="n"/>
      <c r="H150" s="20" t="n"/>
      <c r="I150" s="14" t="n"/>
      <c r="J150" s="14" t="n"/>
      <c r="K150" s="20" t="n"/>
      <c r="L150" s="14" t="n"/>
      <c r="M150" s="14" t="n"/>
      <c r="N150" s="14" t="n"/>
      <c r="O150" s="14" t="n"/>
      <c r="P150" s="14" t="n"/>
      <c r="Q150" s="14" t="n"/>
      <c r="R150" s="21">
        <f>IF(OR(A150="",N(I150)=0),0,ROUND((N(G150)-N(H150))/N(I150),2))</f>
        <v/>
      </c>
      <c r="S150" s="21">
        <f>IF(A150="","",IFERROR(MIN(N(G150)-N(H150),MAX(N(K150),R150*MAX(0,(YEAR(ReportTo)-YEAR(IF(J150&lt;&gt;"",DATE(LEFT(J150,4),MID(J150,6,2),1),F150)))*12+MONTH(ReportTo)-MONTH(IF(J150&lt;&gt;"",DATE(LEFT(J150,4),MID(J150,6,2),1),F150))+1))),""))</f>
        <v/>
      </c>
      <c r="T150" s="21">
        <f>IF(A150="","",IFERROR(N(G150)-N(S150),""))</f>
        <v/>
      </c>
    </row>
    <row r="151">
      <c r="A151" s="14" t="n"/>
      <c r="B151" s="14" t="n"/>
      <c r="C151" s="14" t="n"/>
      <c r="D151" s="14" t="n"/>
      <c r="E151" s="14" t="n"/>
      <c r="F151" s="19" t="n"/>
      <c r="G151" s="20" t="n"/>
      <c r="H151" s="20" t="n"/>
      <c r="I151" s="14" t="n"/>
      <c r="J151" s="14" t="n"/>
      <c r="K151" s="20" t="n"/>
      <c r="L151" s="14" t="n"/>
      <c r="M151" s="14" t="n"/>
      <c r="N151" s="14" t="n"/>
      <c r="O151" s="14" t="n"/>
      <c r="P151" s="14" t="n"/>
      <c r="Q151" s="14" t="n"/>
      <c r="R151" s="21">
        <f>IF(OR(A151="",N(I151)=0),0,ROUND((N(G151)-N(H151))/N(I151),2))</f>
        <v/>
      </c>
      <c r="S151" s="21">
        <f>IF(A151="","",IFERROR(MIN(N(G151)-N(H151),MAX(N(K151),R151*MAX(0,(YEAR(ReportTo)-YEAR(IF(J151&lt;&gt;"",DATE(LEFT(J151,4),MID(J151,6,2),1),F151)))*12+MONTH(ReportTo)-MONTH(IF(J151&lt;&gt;"",DATE(LEFT(J151,4),MID(J151,6,2),1),F151))+1))),""))</f>
        <v/>
      </c>
      <c r="T151" s="21">
        <f>IF(A151="","",IFERROR(N(G151)-N(S151),""))</f>
        <v/>
      </c>
    </row>
    <row r="152">
      <c r="A152" s="14" t="n"/>
      <c r="B152" s="14" t="n"/>
      <c r="C152" s="14" t="n"/>
      <c r="D152" s="14" t="n"/>
      <c r="E152" s="14" t="n"/>
      <c r="F152" s="19" t="n"/>
      <c r="G152" s="20" t="n"/>
      <c r="H152" s="20" t="n"/>
      <c r="I152" s="14" t="n"/>
      <c r="J152" s="14" t="n"/>
      <c r="K152" s="20" t="n"/>
      <c r="L152" s="14" t="n"/>
      <c r="M152" s="14" t="n"/>
      <c r="N152" s="14" t="n"/>
      <c r="O152" s="14" t="n"/>
      <c r="P152" s="14" t="n"/>
      <c r="Q152" s="14" t="n"/>
      <c r="R152" s="21">
        <f>IF(OR(A152="",N(I152)=0),0,ROUND((N(G152)-N(H152))/N(I152),2))</f>
        <v/>
      </c>
      <c r="S152" s="21">
        <f>IF(A152="","",IFERROR(MIN(N(G152)-N(H152),MAX(N(K152),R152*MAX(0,(YEAR(ReportTo)-YEAR(IF(J152&lt;&gt;"",DATE(LEFT(J152,4),MID(J152,6,2),1),F152)))*12+MONTH(ReportTo)-MONTH(IF(J152&lt;&gt;"",DATE(LEFT(J152,4),MID(J152,6,2),1),F152))+1))),""))</f>
        <v/>
      </c>
      <c r="T152" s="21">
        <f>IF(A152="","",IFERROR(N(G152)-N(S152),""))</f>
        <v/>
      </c>
    </row>
    <row r="153">
      <c r="A153" s="14" t="n"/>
      <c r="B153" s="14" t="n"/>
      <c r="C153" s="14" t="n"/>
      <c r="D153" s="14" t="n"/>
      <c r="E153" s="14" t="n"/>
      <c r="F153" s="19" t="n"/>
      <c r="G153" s="20" t="n"/>
      <c r="H153" s="20" t="n"/>
      <c r="I153" s="14" t="n"/>
      <c r="J153" s="14" t="n"/>
      <c r="K153" s="20" t="n"/>
      <c r="L153" s="14" t="n"/>
      <c r="M153" s="14" t="n"/>
      <c r="N153" s="14" t="n"/>
      <c r="O153" s="14" t="n"/>
      <c r="P153" s="14" t="n"/>
      <c r="Q153" s="14" t="n"/>
      <c r="R153" s="21">
        <f>IF(OR(A153="",N(I153)=0),0,ROUND((N(G153)-N(H153))/N(I153),2))</f>
        <v/>
      </c>
      <c r="S153" s="21">
        <f>IF(A153="","",IFERROR(MIN(N(G153)-N(H153),MAX(N(K153),R153*MAX(0,(YEAR(ReportTo)-YEAR(IF(J153&lt;&gt;"",DATE(LEFT(J153,4),MID(J153,6,2),1),F153)))*12+MONTH(ReportTo)-MONTH(IF(J153&lt;&gt;"",DATE(LEFT(J153,4),MID(J153,6,2),1),F153))+1))),""))</f>
        <v/>
      </c>
      <c r="T153" s="21">
        <f>IF(A153="","",IFERROR(N(G153)-N(S153),""))</f>
        <v/>
      </c>
    </row>
    <row r="154">
      <c r="A154" s="14" t="n"/>
      <c r="B154" s="14" t="n"/>
      <c r="C154" s="14" t="n"/>
      <c r="D154" s="14" t="n"/>
      <c r="E154" s="14" t="n"/>
      <c r="F154" s="19" t="n"/>
      <c r="G154" s="20" t="n"/>
      <c r="H154" s="20" t="n"/>
      <c r="I154" s="14" t="n"/>
      <c r="J154" s="14" t="n"/>
      <c r="K154" s="20" t="n"/>
      <c r="L154" s="14" t="n"/>
      <c r="M154" s="14" t="n"/>
      <c r="N154" s="14" t="n"/>
      <c r="O154" s="14" t="n"/>
      <c r="P154" s="14" t="n"/>
      <c r="Q154" s="14" t="n"/>
      <c r="R154" s="21">
        <f>IF(OR(A154="",N(I154)=0),0,ROUND((N(G154)-N(H154))/N(I154),2))</f>
        <v/>
      </c>
      <c r="S154" s="21">
        <f>IF(A154="","",IFERROR(MIN(N(G154)-N(H154),MAX(N(K154),R154*MAX(0,(YEAR(ReportTo)-YEAR(IF(J154&lt;&gt;"",DATE(LEFT(J154,4),MID(J154,6,2),1),F154)))*12+MONTH(ReportTo)-MONTH(IF(J154&lt;&gt;"",DATE(LEFT(J154,4),MID(J154,6,2),1),F154))+1))),""))</f>
        <v/>
      </c>
      <c r="T154" s="21">
        <f>IF(A154="","",IFERROR(N(G154)-N(S154),""))</f>
        <v/>
      </c>
    </row>
    <row r="155">
      <c r="A155" s="14" t="n"/>
      <c r="B155" s="14" t="n"/>
      <c r="C155" s="14" t="n"/>
      <c r="D155" s="14" t="n"/>
      <c r="E155" s="14" t="n"/>
      <c r="F155" s="19" t="n"/>
      <c r="G155" s="20" t="n"/>
      <c r="H155" s="20" t="n"/>
      <c r="I155" s="14" t="n"/>
      <c r="J155" s="14" t="n"/>
      <c r="K155" s="20" t="n"/>
      <c r="L155" s="14" t="n"/>
      <c r="M155" s="14" t="n"/>
      <c r="N155" s="14" t="n"/>
      <c r="O155" s="14" t="n"/>
      <c r="P155" s="14" t="n"/>
      <c r="Q155" s="14" t="n"/>
      <c r="R155" s="21">
        <f>IF(OR(A155="",N(I155)=0),0,ROUND((N(G155)-N(H155))/N(I155),2))</f>
        <v/>
      </c>
      <c r="S155" s="21">
        <f>IF(A155="","",IFERROR(MIN(N(G155)-N(H155),MAX(N(K155),R155*MAX(0,(YEAR(ReportTo)-YEAR(IF(J155&lt;&gt;"",DATE(LEFT(J155,4),MID(J155,6,2),1),F155)))*12+MONTH(ReportTo)-MONTH(IF(J155&lt;&gt;"",DATE(LEFT(J155,4),MID(J155,6,2),1),F155))+1))),""))</f>
        <v/>
      </c>
      <c r="T155" s="21">
        <f>IF(A155="","",IFERROR(N(G155)-N(S155),""))</f>
        <v/>
      </c>
    </row>
    <row r="156">
      <c r="A156" s="14" t="n"/>
      <c r="B156" s="14" t="n"/>
      <c r="C156" s="14" t="n"/>
      <c r="D156" s="14" t="n"/>
      <c r="E156" s="14" t="n"/>
      <c r="F156" s="19" t="n"/>
      <c r="G156" s="20" t="n"/>
      <c r="H156" s="20" t="n"/>
      <c r="I156" s="14" t="n"/>
      <c r="J156" s="14" t="n"/>
      <c r="K156" s="20" t="n"/>
      <c r="L156" s="14" t="n"/>
      <c r="M156" s="14" t="n"/>
      <c r="N156" s="14" t="n"/>
      <c r="O156" s="14" t="n"/>
      <c r="P156" s="14" t="n"/>
      <c r="Q156" s="14" t="n"/>
      <c r="R156" s="21">
        <f>IF(OR(A156="",N(I156)=0),0,ROUND((N(G156)-N(H156))/N(I156),2))</f>
        <v/>
      </c>
      <c r="S156" s="21">
        <f>IF(A156="","",IFERROR(MIN(N(G156)-N(H156),MAX(N(K156),R156*MAX(0,(YEAR(ReportTo)-YEAR(IF(J156&lt;&gt;"",DATE(LEFT(J156,4),MID(J156,6,2),1),F156)))*12+MONTH(ReportTo)-MONTH(IF(J156&lt;&gt;"",DATE(LEFT(J156,4),MID(J156,6,2),1),F156))+1))),""))</f>
        <v/>
      </c>
      <c r="T156" s="21">
        <f>IF(A156="","",IFERROR(N(G156)-N(S156),""))</f>
        <v/>
      </c>
    </row>
    <row r="157">
      <c r="A157" s="14" t="n"/>
      <c r="B157" s="14" t="n"/>
      <c r="C157" s="14" t="n"/>
      <c r="D157" s="14" t="n"/>
      <c r="E157" s="14" t="n"/>
      <c r="F157" s="19" t="n"/>
      <c r="G157" s="20" t="n"/>
      <c r="H157" s="20" t="n"/>
      <c r="I157" s="14" t="n"/>
      <c r="J157" s="14" t="n"/>
      <c r="K157" s="20" t="n"/>
      <c r="L157" s="14" t="n"/>
      <c r="M157" s="14" t="n"/>
      <c r="N157" s="14" t="n"/>
      <c r="O157" s="14" t="n"/>
      <c r="P157" s="14" t="n"/>
      <c r="Q157" s="14" t="n"/>
      <c r="R157" s="21">
        <f>IF(OR(A157="",N(I157)=0),0,ROUND((N(G157)-N(H157))/N(I157),2))</f>
        <v/>
      </c>
      <c r="S157" s="21">
        <f>IF(A157="","",IFERROR(MIN(N(G157)-N(H157),MAX(N(K157),R157*MAX(0,(YEAR(ReportTo)-YEAR(IF(J157&lt;&gt;"",DATE(LEFT(J157,4),MID(J157,6,2),1),F157)))*12+MONTH(ReportTo)-MONTH(IF(J157&lt;&gt;"",DATE(LEFT(J157,4),MID(J157,6,2),1),F157))+1))),""))</f>
        <v/>
      </c>
      <c r="T157" s="21">
        <f>IF(A157="","",IFERROR(N(G157)-N(S157),""))</f>
        <v/>
      </c>
    </row>
    <row r="158">
      <c r="A158" s="14" t="n"/>
      <c r="B158" s="14" t="n"/>
      <c r="C158" s="14" t="n"/>
      <c r="D158" s="14" t="n"/>
      <c r="E158" s="14" t="n"/>
      <c r="F158" s="19" t="n"/>
      <c r="G158" s="20" t="n"/>
      <c r="H158" s="20" t="n"/>
      <c r="I158" s="14" t="n"/>
      <c r="J158" s="14" t="n"/>
      <c r="K158" s="20" t="n"/>
      <c r="L158" s="14" t="n"/>
      <c r="M158" s="14" t="n"/>
      <c r="N158" s="14" t="n"/>
      <c r="O158" s="14" t="n"/>
      <c r="P158" s="14" t="n"/>
      <c r="Q158" s="14" t="n"/>
      <c r="R158" s="21">
        <f>IF(OR(A158="",N(I158)=0),0,ROUND((N(G158)-N(H158))/N(I158),2))</f>
        <v/>
      </c>
      <c r="S158" s="21">
        <f>IF(A158="","",IFERROR(MIN(N(G158)-N(H158),MAX(N(K158),R158*MAX(0,(YEAR(ReportTo)-YEAR(IF(J158&lt;&gt;"",DATE(LEFT(J158,4),MID(J158,6,2),1),F158)))*12+MONTH(ReportTo)-MONTH(IF(J158&lt;&gt;"",DATE(LEFT(J158,4),MID(J158,6,2),1),F158))+1))),""))</f>
        <v/>
      </c>
      <c r="T158" s="21">
        <f>IF(A158="","",IFERROR(N(G158)-N(S158),""))</f>
        <v/>
      </c>
    </row>
    <row r="159">
      <c r="A159" s="14" t="n"/>
      <c r="B159" s="14" t="n"/>
      <c r="C159" s="14" t="n"/>
      <c r="D159" s="14" t="n"/>
      <c r="E159" s="14" t="n"/>
      <c r="F159" s="19" t="n"/>
      <c r="G159" s="20" t="n"/>
      <c r="H159" s="20" t="n"/>
      <c r="I159" s="14" t="n"/>
      <c r="J159" s="14" t="n"/>
      <c r="K159" s="20" t="n"/>
      <c r="L159" s="14" t="n"/>
      <c r="M159" s="14" t="n"/>
      <c r="N159" s="14" t="n"/>
      <c r="O159" s="14" t="n"/>
      <c r="P159" s="14" t="n"/>
      <c r="Q159" s="14" t="n"/>
      <c r="R159" s="21">
        <f>IF(OR(A159="",N(I159)=0),0,ROUND((N(G159)-N(H159))/N(I159),2))</f>
        <v/>
      </c>
      <c r="S159" s="21">
        <f>IF(A159="","",IFERROR(MIN(N(G159)-N(H159),MAX(N(K159),R159*MAX(0,(YEAR(ReportTo)-YEAR(IF(J159&lt;&gt;"",DATE(LEFT(J159,4),MID(J159,6,2),1),F159)))*12+MONTH(ReportTo)-MONTH(IF(J159&lt;&gt;"",DATE(LEFT(J159,4),MID(J159,6,2),1),F159))+1))),""))</f>
        <v/>
      </c>
      <c r="T159" s="21">
        <f>IF(A159="","",IFERROR(N(G159)-N(S159),""))</f>
        <v/>
      </c>
    </row>
    <row r="160">
      <c r="A160" s="14" t="n"/>
      <c r="B160" s="14" t="n"/>
      <c r="C160" s="14" t="n"/>
      <c r="D160" s="14" t="n"/>
      <c r="E160" s="14" t="n"/>
      <c r="F160" s="19" t="n"/>
      <c r="G160" s="20" t="n"/>
      <c r="H160" s="20" t="n"/>
      <c r="I160" s="14" t="n"/>
      <c r="J160" s="14" t="n"/>
      <c r="K160" s="20" t="n"/>
      <c r="L160" s="14" t="n"/>
      <c r="M160" s="14" t="n"/>
      <c r="N160" s="14" t="n"/>
      <c r="O160" s="14" t="n"/>
      <c r="P160" s="14" t="n"/>
      <c r="Q160" s="14" t="n"/>
      <c r="R160" s="21">
        <f>IF(OR(A160="",N(I160)=0),0,ROUND((N(G160)-N(H160))/N(I160),2))</f>
        <v/>
      </c>
      <c r="S160" s="21">
        <f>IF(A160="","",IFERROR(MIN(N(G160)-N(H160),MAX(N(K160),R160*MAX(0,(YEAR(ReportTo)-YEAR(IF(J160&lt;&gt;"",DATE(LEFT(J160,4),MID(J160,6,2),1),F160)))*12+MONTH(ReportTo)-MONTH(IF(J160&lt;&gt;"",DATE(LEFT(J160,4),MID(J160,6,2),1),F160))+1))),""))</f>
        <v/>
      </c>
      <c r="T160" s="21">
        <f>IF(A160="","",IFERROR(N(G160)-N(S160),""))</f>
        <v/>
      </c>
    </row>
    <row r="161">
      <c r="A161" s="14" t="n"/>
      <c r="B161" s="14" t="n"/>
      <c r="C161" s="14" t="n"/>
      <c r="D161" s="14" t="n"/>
      <c r="E161" s="14" t="n"/>
      <c r="F161" s="19" t="n"/>
      <c r="G161" s="20" t="n"/>
      <c r="H161" s="20" t="n"/>
      <c r="I161" s="14" t="n"/>
      <c r="J161" s="14" t="n"/>
      <c r="K161" s="20" t="n"/>
      <c r="L161" s="14" t="n"/>
      <c r="M161" s="14" t="n"/>
      <c r="N161" s="14" t="n"/>
      <c r="O161" s="14" t="n"/>
      <c r="P161" s="14" t="n"/>
      <c r="Q161" s="14" t="n"/>
      <c r="R161" s="21">
        <f>IF(OR(A161="",N(I161)=0),0,ROUND((N(G161)-N(H161))/N(I161),2))</f>
        <v/>
      </c>
      <c r="S161" s="21">
        <f>IF(A161="","",IFERROR(MIN(N(G161)-N(H161),MAX(N(K161),R161*MAX(0,(YEAR(ReportTo)-YEAR(IF(J161&lt;&gt;"",DATE(LEFT(J161,4),MID(J161,6,2),1),F161)))*12+MONTH(ReportTo)-MONTH(IF(J161&lt;&gt;"",DATE(LEFT(J161,4),MID(J161,6,2),1),F161))+1))),""))</f>
        <v/>
      </c>
      <c r="T161" s="21">
        <f>IF(A161="","",IFERROR(N(G161)-N(S161),""))</f>
        <v/>
      </c>
    </row>
    <row r="162">
      <c r="A162" s="14" t="n"/>
      <c r="B162" s="14" t="n"/>
      <c r="C162" s="14" t="n"/>
      <c r="D162" s="14" t="n"/>
      <c r="E162" s="14" t="n"/>
      <c r="F162" s="19" t="n"/>
      <c r="G162" s="20" t="n"/>
      <c r="H162" s="20" t="n"/>
      <c r="I162" s="14" t="n"/>
      <c r="J162" s="14" t="n"/>
      <c r="K162" s="20" t="n"/>
      <c r="L162" s="14" t="n"/>
      <c r="M162" s="14" t="n"/>
      <c r="N162" s="14" t="n"/>
      <c r="O162" s="14" t="n"/>
      <c r="P162" s="14" t="n"/>
      <c r="Q162" s="14" t="n"/>
      <c r="R162" s="21">
        <f>IF(OR(A162="",N(I162)=0),0,ROUND((N(G162)-N(H162))/N(I162),2))</f>
        <v/>
      </c>
      <c r="S162" s="21">
        <f>IF(A162="","",IFERROR(MIN(N(G162)-N(H162),MAX(N(K162),R162*MAX(0,(YEAR(ReportTo)-YEAR(IF(J162&lt;&gt;"",DATE(LEFT(J162,4),MID(J162,6,2),1),F162)))*12+MONTH(ReportTo)-MONTH(IF(J162&lt;&gt;"",DATE(LEFT(J162,4),MID(J162,6,2),1),F162))+1))),""))</f>
        <v/>
      </c>
      <c r="T162" s="21">
        <f>IF(A162="","",IFERROR(N(G162)-N(S162),""))</f>
        <v/>
      </c>
    </row>
    <row r="163">
      <c r="A163" s="14" t="n"/>
      <c r="B163" s="14" t="n"/>
      <c r="C163" s="14" t="n"/>
      <c r="D163" s="14" t="n"/>
      <c r="E163" s="14" t="n"/>
      <c r="F163" s="19" t="n"/>
      <c r="G163" s="20" t="n"/>
      <c r="H163" s="20" t="n"/>
      <c r="I163" s="14" t="n"/>
      <c r="J163" s="14" t="n"/>
      <c r="K163" s="20" t="n"/>
      <c r="L163" s="14" t="n"/>
      <c r="M163" s="14" t="n"/>
      <c r="N163" s="14" t="n"/>
      <c r="O163" s="14" t="n"/>
      <c r="P163" s="14" t="n"/>
      <c r="Q163" s="14" t="n"/>
      <c r="R163" s="21">
        <f>IF(OR(A163="",N(I163)=0),0,ROUND((N(G163)-N(H163))/N(I163),2))</f>
        <v/>
      </c>
      <c r="S163" s="21">
        <f>IF(A163="","",IFERROR(MIN(N(G163)-N(H163),MAX(N(K163),R163*MAX(0,(YEAR(ReportTo)-YEAR(IF(J163&lt;&gt;"",DATE(LEFT(J163,4),MID(J163,6,2),1),F163)))*12+MONTH(ReportTo)-MONTH(IF(J163&lt;&gt;"",DATE(LEFT(J163,4),MID(J163,6,2),1),F163))+1))),""))</f>
        <v/>
      </c>
      <c r="T163" s="21">
        <f>IF(A163="","",IFERROR(N(G163)-N(S163),""))</f>
        <v/>
      </c>
    </row>
    <row r="164">
      <c r="A164" s="14" t="n"/>
      <c r="B164" s="14" t="n"/>
      <c r="C164" s="14" t="n"/>
      <c r="D164" s="14" t="n"/>
      <c r="E164" s="14" t="n"/>
      <c r="F164" s="19" t="n"/>
      <c r="G164" s="20" t="n"/>
      <c r="H164" s="20" t="n"/>
      <c r="I164" s="14" t="n"/>
      <c r="J164" s="14" t="n"/>
      <c r="K164" s="20" t="n"/>
      <c r="L164" s="14" t="n"/>
      <c r="M164" s="14" t="n"/>
      <c r="N164" s="14" t="n"/>
      <c r="O164" s="14" t="n"/>
      <c r="P164" s="14" t="n"/>
      <c r="Q164" s="14" t="n"/>
      <c r="R164" s="21">
        <f>IF(OR(A164="",N(I164)=0),0,ROUND((N(G164)-N(H164))/N(I164),2))</f>
        <v/>
      </c>
      <c r="S164" s="21">
        <f>IF(A164="","",IFERROR(MIN(N(G164)-N(H164),MAX(N(K164),R164*MAX(0,(YEAR(ReportTo)-YEAR(IF(J164&lt;&gt;"",DATE(LEFT(J164,4),MID(J164,6,2),1),F164)))*12+MONTH(ReportTo)-MONTH(IF(J164&lt;&gt;"",DATE(LEFT(J164,4),MID(J164,6,2),1),F164))+1))),""))</f>
        <v/>
      </c>
      <c r="T164" s="21">
        <f>IF(A164="","",IFERROR(N(G164)-N(S164),""))</f>
        <v/>
      </c>
    </row>
    <row r="165">
      <c r="A165" s="14" t="n"/>
      <c r="B165" s="14" t="n"/>
      <c r="C165" s="14" t="n"/>
      <c r="D165" s="14" t="n"/>
      <c r="E165" s="14" t="n"/>
      <c r="F165" s="19" t="n"/>
      <c r="G165" s="20" t="n"/>
      <c r="H165" s="20" t="n"/>
      <c r="I165" s="14" t="n"/>
      <c r="J165" s="14" t="n"/>
      <c r="K165" s="20" t="n"/>
      <c r="L165" s="14" t="n"/>
      <c r="M165" s="14" t="n"/>
      <c r="N165" s="14" t="n"/>
      <c r="O165" s="14" t="n"/>
      <c r="P165" s="14" t="n"/>
      <c r="Q165" s="14" t="n"/>
      <c r="R165" s="21">
        <f>IF(OR(A165="",N(I165)=0),0,ROUND((N(G165)-N(H165))/N(I165),2))</f>
        <v/>
      </c>
      <c r="S165" s="21">
        <f>IF(A165="","",IFERROR(MIN(N(G165)-N(H165),MAX(N(K165),R165*MAX(0,(YEAR(ReportTo)-YEAR(IF(J165&lt;&gt;"",DATE(LEFT(J165,4),MID(J165,6,2),1),F165)))*12+MONTH(ReportTo)-MONTH(IF(J165&lt;&gt;"",DATE(LEFT(J165,4),MID(J165,6,2),1),F165))+1))),""))</f>
        <v/>
      </c>
      <c r="T165" s="21">
        <f>IF(A165="","",IFERROR(N(G165)-N(S165),""))</f>
        <v/>
      </c>
    </row>
    <row r="166">
      <c r="A166" s="14" t="n"/>
      <c r="B166" s="14" t="n"/>
      <c r="C166" s="14" t="n"/>
      <c r="D166" s="14" t="n"/>
      <c r="E166" s="14" t="n"/>
      <c r="F166" s="19" t="n"/>
      <c r="G166" s="20" t="n"/>
      <c r="H166" s="20" t="n"/>
      <c r="I166" s="14" t="n"/>
      <c r="J166" s="14" t="n"/>
      <c r="K166" s="20" t="n"/>
      <c r="L166" s="14" t="n"/>
      <c r="M166" s="14" t="n"/>
      <c r="N166" s="14" t="n"/>
      <c r="O166" s="14" t="n"/>
      <c r="P166" s="14" t="n"/>
      <c r="Q166" s="14" t="n"/>
      <c r="R166" s="21">
        <f>IF(OR(A166="",N(I166)=0),0,ROUND((N(G166)-N(H166))/N(I166),2))</f>
        <v/>
      </c>
      <c r="S166" s="21">
        <f>IF(A166="","",IFERROR(MIN(N(G166)-N(H166),MAX(N(K166),R166*MAX(0,(YEAR(ReportTo)-YEAR(IF(J166&lt;&gt;"",DATE(LEFT(J166,4),MID(J166,6,2),1),F166)))*12+MONTH(ReportTo)-MONTH(IF(J166&lt;&gt;"",DATE(LEFT(J166,4),MID(J166,6,2),1),F166))+1))),""))</f>
        <v/>
      </c>
      <c r="T166" s="21">
        <f>IF(A166="","",IFERROR(N(G166)-N(S166),""))</f>
        <v/>
      </c>
    </row>
    <row r="167">
      <c r="A167" s="14" t="n"/>
      <c r="B167" s="14" t="n"/>
      <c r="C167" s="14" t="n"/>
      <c r="D167" s="14" t="n"/>
      <c r="E167" s="14" t="n"/>
      <c r="F167" s="19" t="n"/>
      <c r="G167" s="20" t="n"/>
      <c r="H167" s="20" t="n"/>
      <c r="I167" s="14" t="n"/>
      <c r="J167" s="14" t="n"/>
      <c r="K167" s="20" t="n"/>
      <c r="L167" s="14" t="n"/>
      <c r="M167" s="14" t="n"/>
      <c r="N167" s="14" t="n"/>
      <c r="O167" s="14" t="n"/>
      <c r="P167" s="14" t="n"/>
      <c r="Q167" s="14" t="n"/>
      <c r="R167" s="21">
        <f>IF(OR(A167="",N(I167)=0),0,ROUND((N(G167)-N(H167))/N(I167),2))</f>
        <v/>
      </c>
      <c r="S167" s="21">
        <f>IF(A167="","",IFERROR(MIN(N(G167)-N(H167),MAX(N(K167),R167*MAX(0,(YEAR(ReportTo)-YEAR(IF(J167&lt;&gt;"",DATE(LEFT(J167,4),MID(J167,6,2),1),F167)))*12+MONTH(ReportTo)-MONTH(IF(J167&lt;&gt;"",DATE(LEFT(J167,4),MID(J167,6,2),1),F167))+1))),""))</f>
        <v/>
      </c>
      <c r="T167" s="21">
        <f>IF(A167="","",IFERROR(N(G167)-N(S167),""))</f>
        <v/>
      </c>
    </row>
    <row r="168">
      <c r="A168" s="14" t="n"/>
      <c r="B168" s="14" t="n"/>
      <c r="C168" s="14" t="n"/>
      <c r="D168" s="14" t="n"/>
      <c r="E168" s="14" t="n"/>
      <c r="F168" s="19" t="n"/>
      <c r="G168" s="20" t="n"/>
      <c r="H168" s="20" t="n"/>
      <c r="I168" s="14" t="n"/>
      <c r="J168" s="14" t="n"/>
      <c r="K168" s="20" t="n"/>
      <c r="L168" s="14" t="n"/>
      <c r="M168" s="14" t="n"/>
      <c r="N168" s="14" t="n"/>
      <c r="O168" s="14" t="n"/>
      <c r="P168" s="14" t="n"/>
      <c r="Q168" s="14" t="n"/>
      <c r="R168" s="21">
        <f>IF(OR(A168="",N(I168)=0),0,ROUND((N(G168)-N(H168))/N(I168),2))</f>
        <v/>
      </c>
      <c r="S168" s="21">
        <f>IF(A168="","",IFERROR(MIN(N(G168)-N(H168),MAX(N(K168),R168*MAX(0,(YEAR(ReportTo)-YEAR(IF(J168&lt;&gt;"",DATE(LEFT(J168,4),MID(J168,6,2),1),F168)))*12+MONTH(ReportTo)-MONTH(IF(J168&lt;&gt;"",DATE(LEFT(J168,4),MID(J168,6,2),1),F168))+1))),""))</f>
        <v/>
      </c>
      <c r="T168" s="21">
        <f>IF(A168="","",IFERROR(N(G168)-N(S168),""))</f>
        <v/>
      </c>
    </row>
    <row r="169">
      <c r="A169" s="14" t="n"/>
      <c r="B169" s="14" t="n"/>
      <c r="C169" s="14" t="n"/>
      <c r="D169" s="14" t="n"/>
      <c r="E169" s="14" t="n"/>
      <c r="F169" s="19" t="n"/>
      <c r="G169" s="20" t="n"/>
      <c r="H169" s="20" t="n"/>
      <c r="I169" s="14" t="n"/>
      <c r="J169" s="14" t="n"/>
      <c r="K169" s="20" t="n"/>
      <c r="L169" s="14" t="n"/>
      <c r="M169" s="14" t="n"/>
      <c r="N169" s="14" t="n"/>
      <c r="O169" s="14" t="n"/>
      <c r="P169" s="14" t="n"/>
      <c r="Q169" s="14" t="n"/>
      <c r="R169" s="21">
        <f>IF(OR(A169="",N(I169)=0),0,ROUND((N(G169)-N(H169))/N(I169),2))</f>
        <v/>
      </c>
      <c r="S169" s="21">
        <f>IF(A169="","",IFERROR(MIN(N(G169)-N(H169),MAX(N(K169),R169*MAX(0,(YEAR(ReportTo)-YEAR(IF(J169&lt;&gt;"",DATE(LEFT(J169,4),MID(J169,6,2),1),F169)))*12+MONTH(ReportTo)-MONTH(IF(J169&lt;&gt;"",DATE(LEFT(J169,4),MID(J169,6,2),1),F169))+1))),""))</f>
        <v/>
      </c>
      <c r="T169" s="21">
        <f>IF(A169="","",IFERROR(N(G169)-N(S169),""))</f>
        <v/>
      </c>
    </row>
    <row r="170">
      <c r="A170" s="14" t="n"/>
      <c r="B170" s="14" t="n"/>
      <c r="C170" s="14" t="n"/>
      <c r="D170" s="14" t="n"/>
      <c r="E170" s="14" t="n"/>
      <c r="F170" s="19" t="n"/>
      <c r="G170" s="20" t="n"/>
      <c r="H170" s="20" t="n"/>
      <c r="I170" s="14" t="n"/>
      <c r="J170" s="14" t="n"/>
      <c r="K170" s="20" t="n"/>
      <c r="L170" s="14" t="n"/>
      <c r="M170" s="14" t="n"/>
      <c r="N170" s="14" t="n"/>
      <c r="O170" s="14" t="n"/>
      <c r="P170" s="14" t="n"/>
      <c r="Q170" s="14" t="n"/>
      <c r="R170" s="21">
        <f>IF(OR(A170="",N(I170)=0),0,ROUND((N(G170)-N(H170))/N(I170),2))</f>
        <v/>
      </c>
      <c r="S170" s="21">
        <f>IF(A170="","",IFERROR(MIN(N(G170)-N(H170),MAX(N(K170),R170*MAX(0,(YEAR(ReportTo)-YEAR(IF(J170&lt;&gt;"",DATE(LEFT(J170,4),MID(J170,6,2),1),F170)))*12+MONTH(ReportTo)-MONTH(IF(J170&lt;&gt;"",DATE(LEFT(J170,4),MID(J170,6,2),1),F170))+1))),""))</f>
        <v/>
      </c>
      <c r="T170" s="21">
        <f>IF(A170="","",IFERROR(N(G170)-N(S170),""))</f>
        <v/>
      </c>
    </row>
    <row r="171">
      <c r="A171" s="14" t="n"/>
      <c r="B171" s="14" t="n"/>
      <c r="C171" s="14" t="n"/>
      <c r="D171" s="14" t="n"/>
      <c r="E171" s="14" t="n"/>
      <c r="F171" s="19" t="n"/>
      <c r="G171" s="20" t="n"/>
      <c r="H171" s="20" t="n"/>
      <c r="I171" s="14" t="n"/>
      <c r="J171" s="14" t="n"/>
      <c r="K171" s="20" t="n"/>
      <c r="L171" s="14" t="n"/>
      <c r="M171" s="14" t="n"/>
      <c r="N171" s="14" t="n"/>
      <c r="O171" s="14" t="n"/>
      <c r="P171" s="14" t="n"/>
      <c r="Q171" s="14" t="n"/>
      <c r="R171" s="21">
        <f>IF(OR(A171="",N(I171)=0),0,ROUND((N(G171)-N(H171))/N(I171),2))</f>
        <v/>
      </c>
      <c r="S171" s="21">
        <f>IF(A171="","",IFERROR(MIN(N(G171)-N(H171),MAX(N(K171),R171*MAX(0,(YEAR(ReportTo)-YEAR(IF(J171&lt;&gt;"",DATE(LEFT(J171,4),MID(J171,6,2),1),F171)))*12+MONTH(ReportTo)-MONTH(IF(J171&lt;&gt;"",DATE(LEFT(J171,4),MID(J171,6,2),1),F171))+1))),""))</f>
        <v/>
      </c>
      <c r="T171" s="21">
        <f>IF(A171="","",IFERROR(N(G171)-N(S171),""))</f>
        <v/>
      </c>
    </row>
    <row r="172">
      <c r="A172" s="14" t="n"/>
      <c r="B172" s="14" t="n"/>
      <c r="C172" s="14" t="n"/>
      <c r="D172" s="14" t="n"/>
      <c r="E172" s="14" t="n"/>
      <c r="F172" s="19" t="n"/>
      <c r="G172" s="20" t="n"/>
      <c r="H172" s="20" t="n"/>
      <c r="I172" s="14" t="n"/>
      <c r="J172" s="14" t="n"/>
      <c r="K172" s="20" t="n"/>
      <c r="L172" s="14" t="n"/>
      <c r="M172" s="14" t="n"/>
      <c r="N172" s="14" t="n"/>
      <c r="O172" s="14" t="n"/>
      <c r="P172" s="14" t="n"/>
      <c r="Q172" s="14" t="n"/>
      <c r="R172" s="21">
        <f>IF(OR(A172="",N(I172)=0),0,ROUND((N(G172)-N(H172))/N(I172),2))</f>
        <v/>
      </c>
      <c r="S172" s="21">
        <f>IF(A172="","",IFERROR(MIN(N(G172)-N(H172),MAX(N(K172),R172*MAX(0,(YEAR(ReportTo)-YEAR(IF(J172&lt;&gt;"",DATE(LEFT(J172,4),MID(J172,6,2),1),F172)))*12+MONTH(ReportTo)-MONTH(IF(J172&lt;&gt;"",DATE(LEFT(J172,4),MID(J172,6,2),1),F172))+1))),""))</f>
        <v/>
      </c>
      <c r="T172" s="21">
        <f>IF(A172="","",IFERROR(N(G172)-N(S172),""))</f>
        <v/>
      </c>
    </row>
    <row r="173">
      <c r="A173" s="14" t="n"/>
      <c r="B173" s="14" t="n"/>
      <c r="C173" s="14" t="n"/>
      <c r="D173" s="14" t="n"/>
      <c r="E173" s="14" t="n"/>
      <c r="F173" s="19" t="n"/>
      <c r="G173" s="20" t="n"/>
      <c r="H173" s="20" t="n"/>
      <c r="I173" s="14" t="n"/>
      <c r="J173" s="14" t="n"/>
      <c r="K173" s="20" t="n"/>
      <c r="L173" s="14" t="n"/>
      <c r="M173" s="14" t="n"/>
      <c r="N173" s="14" t="n"/>
      <c r="O173" s="14" t="n"/>
      <c r="P173" s="14" t="n"/>
      <c r="Q173" s="14" t="n"/>
      <c r="R173" s="21">
        <f>IF(OR(A173="",N(I173)=0),0,ROUND((N(G173)-N(H173))/N(I173),2))</f>
        <v/>
      </c>
      <c r="S173" s="21">
        <f>IF(A173="","",IFERROR(MIN(N(G173)-N(H173),MAX(N(K173),R173*MAX(0,(YEAR(ReportTo)-YEAR(IF(J173&lt;&gt;"",DATE(LEFT(J173,4),MID(J173,6,2),1),F173)))*12+MONTH(ReportTo)-MONTH(IF(J173&lt;&gt;"",DATE(LEFT(J173,4),MID(J173,6,2),1),F173))+1))),""))</f>
        <v/>
      </c>
      <c r="T173" s="21">
        <f>IF(A173="","",IFERROR(N(G173)-N(S173),""))</f>
        <v/>
      </c>
    </row>
    <row r="174">
      <c r="A174" s="14" t="n"/>
      <c r="B174" s="14" t="n"/>
      <c r="C174" s="14" t="n"/>
      <c r="D174" s="14" t="n"/>
      <c r="E174" s="14" t="n"/>
      <c r="F174" s="19" t="n"/>
      <c r="G174" s="20" t="n"/>
      <c r="H174" s="20" t="n"/>
      <c r="I174" s="14" t="n"/>
      <c r="J174" s="14" t="n"/>
      <c r="K174" s="20" t="n"/>
      <c r="L174" s="14" t="n"/>
      <c r="M174" s="14" t="n"/>
      <c r="N174" s="14" t="n"/>
      <c r="O174" s="14" t="n"/>
      <c r="P174" s="14" t="n"/>
      <c r="Q174" s="14" t="n"/>
      <c r="R174" s="21">
        <f>IF(OR(A174="",N(I174)=0),0,ROUND((N(G174)-N(H174))/N(I174),2))</f>
        <v/>
      </c>
      <c r="S174" s="21">
        <f>IF(A174="","",IFERROR(MIN(N(G174)-N(H174),MAX(N(K174),R174*MAX(0,(YEAR(ReportTo)-YEAR(IF(J174&lt;&gt;"",DATE(LEFT(J174,4),MID(J174,6,2),1),F174)))*12+MONTH(ReportTo)-MONTH(IF(J174&lt;&gt;"",DATE(LEFT(J174,4),MID(J174,6,2),1),F174))+1))),""))</f>
        <v/>
      </c>
      <c r="T174" s="21">
        <f>IF(A174="","",IFERROR(N(G174)-N(S174),""))</f>
        <v/>
      </c>
    </row>
    <row r="175">
      <c r="A175" s="14" t="n"/>
      <c r="B175" s="14" t="n"/>
      <c r="C175" s="14" t="n"/>
      <c r="D175" s="14" t="n"/>
      <c r="E175" s="14" t="n"/>
      <c r="F175" s="19" t="n"/>
      <c r="G175" s="20" t="n"/>
      <c r="H175" s="20" t="n"/>
      <c r="I175" s="14" t="n"/>
      <c r="J175" s="14" t="n"/>
      <c r="K175" s="20" t="n"/>
      <c r="L175" s="14" t="n"/>
      <c r="M175" s="14" t="n"/>
      <c r="N175" s="14" t="n"/>
      <c r="O175" s="14" t="n"/>
      <c r="P175" s="14" t="n"/>
      <c r="Q175" s="14" t="n"/>
      <c r="R175" s="21">
        <f>IF(OR(A175="",N(I175)=0),0,ROUND((N(G175)-N(H175))/N(I175),2))</f>
        <v/>
      </c>
      <c r="S175" s="21">
        <f>IF(A175="","",IFERROR(MIN(N(G175)-N(H175),MAX(N(K175),R175*MAX(0,(YEAR(ReportTo)-YEAR(IF(J175&lt;&gt;"",DATE(LEFT(J175,4),MID(J175,6,2),1),F175)))*12+MONTH(ReportTo)-MONTH(IF(J175&lt;&gt;"",DATE(LEFT(J175,4),MID(J175,6,2),1),F175))+1))),""))</f>
        <v/>
      </c>
      <c r="T175" s="21">
        <f>IF(A175="","",IFERROR(N(G175)-N(S175),""))</f>
        <v/>
      </c>
    </row>
    <row r="176">
      <c r="A176" s="14" t="n"/>
      <c r="B176" s="14" t="n"/>
      <c r="C176" s="14" t="n"/>
      <c r="D176" s="14" t="n"/>
      <c r="E176" s="14" t="n"/>
      <c r="F176" s="19" t="n"/>
      <c r="G176" s="20" t="n"/>
      <c r="H176" s="20" t="n"/>
      <c r="I176" s="14" t="n"/>
      <c r="J176" s="14" t="n"/>
      <c r="K176" s="20" t="n"/>
      <c r="L176" s="14" t="n"/>
      <c r="M176" s="14" t="n"/>
      <c r="N176" s="14" t="n"/>
      <c r="O176" s="14" t="n"/>
      <c r="P176" s="14" t="n"/>
      <c r="Q176" s="14" t="n"/>
      <c r="R176" s="21">
        <f>IF(OR(A176="",N(I176)=0),0,ROUND((N(G176)-N(H176))/N(I176),2))</f>
        <v/>
      </c>
      <c r="S176" s="21">
        <f>IF(A176="","",IFERROR(MIN(N(G176)-N(H176),MAX(N(K176),R176*MAX(0,(YEAR(ReportTo)-YEAR(IF(J176&lt;&gt;"",DATE(LEFT(J176,4),MID(J176,6,2),1),F176)))*12+MONTH(ReportTo)-MONTH(IF(J176&lt;&gt;"",DATE(LEFT(J176,4),MID(J176,6,2),1),F176))+1))),""))</f>
        <v/>
      </c>
      <c r="T176" s="21">
        <f>IF(A176="","",IFERROR(N(G176)-N(S176),""))</f>
        <v/>
      </c>
    </row>
    <row r="177">
      <c r="A177" s="14" t="n"/>
      <c r="B177" s="14" t="n"/>
      <c r="C177" s="14" t="n"/>
      <c r="D177" s="14" t="n"/>
      <c r="E177" s="14" t="n"/>
      <c r="F177" s="19" t="n"/>
      <c r="G177" s="20" t="n"/>
      <c r="H177" s="20" t="n"/>
      <c r="I177" s="14" t="n"/>
      <c r="J177" s="14" t="n"/>
      <c r="K177" s="20" t="n"/>
      <c r="L177" s="14" t="n"/>
      <c r="M177" s="14" t="n"/>
      <c r="N177" s="14" t="n"/>
      <c r="O177" s="14" t="n"/>
      <c r="P177" s="14" t="n"/>
      <c r="Q177" s="14" t="n"/>
      <c r="R177" s="21">
        <f>IF(OR(A177="",N(I177)=0),0,ROUND((N(G177)-N(H177))/N(I177),2))</f>
        <v/>
      </c>
      <c r="S177" s="21">
        <f>IF(A177="","",IFERROR(MIN(N(G177)-N(H177),MAX(N(K177),R177*MAX(0,(YEAR(ReportTo)-YEAR(IF(J177&lt;&gt;"",DATE(LEFT(J177,4),MID(J177,6,2),1),F177)))*12+MONTH(ReportTo)-MONTH(IF(J177&lt;&gt;"",DATE(LEFT(J177,4),MID(J177,6,2),1),F177))+1))),""))</f>
        <v/>
      </c>
      <c r="T177" s="21">
        <f>IF(A177="","",IFERROR(N(G177)-N(S177),""))</f>
        <v/>
      </c>
    </row>
    <row r="178">
      <c r="A178" s="14" t="n"/>
      <c r="B178" s="14" t="n"/>
      <c r="C178" s="14" t="n"/>
      <c r="D178" s="14" t="n"/>
      <c r="E178" s="14" t="n"/>
      <c r="F178" s="19" t="n"/>
      <c r="G178" s="20" t="n"/>
      <c r="H178" s="20" t="n"/>
      <c r="I178" s="14" t="n"/>
      <c r="J178" s="14" t="n"/>
      <c r="K178" s="20" t="n"/>
      <c r="L178" s="14" t="n"/>
      <c r="M178" s="14" t="n"/>
      <c r="N178" s="14" t="n"/>
      <c r="O178" s="14" t="n"/>
      <c r="P178" s="14" t="n"/>
      <c r="Q178" s="14" t="n"/>
      <c r="R178" s="21">
        <f>IF(OR(A178="",N(I178)=0),0,ROUND((N(G178)-N(H178))/N(I178),2))</f>
        <v/>
      </c>
      <c r="S178" s="21">
        <f>IF(A178="","",IFERROR(MIN(N(G178)-N(H178),MAX(N(K178),R178*MAX(0,(YEAR(ReportTo)-YEAR(IF(J178&lt;&gt;"",DATE(LEFT(J178,4),MID(J178,6,2),1),F178)))*12+MONTH(ReportTo)-MONTH(IF(J178&lt;&gt;"",DATE(LEFT(J178,4),MID(J178,6,2),1),F178))+1))),""))</f>
        <v/>
      </c>
      <c r="T178" s="21">
        <f>IF(A178="","",IFERROR(N(G178)-N(S178),""))</f>
        <v/>
      </c>
    </row>
    <row r="179">
      <c r="A179" s="14" t="n"/>
      <c r="B179" s="14" t="n"/>
      <c r="C179" s="14" t="n"/>
      <c r="D179" s="14" t="n"/>
      <c r="E179" s="14" t="n"/>
      <c r="F179" s="19" t="n"/>
      <c r="G179" s="20" t="n"/>
      <c r="H179" s="20" t="n"/>
      <c r="I179" s="14" t="n"/>
      <c r="J179" s="14" t="n"/>
      <c r="K179" s="20" t="n"/>
      <c r="L179" s="14" t="n"/>
      <c r="M179" s="14" t="n"/>
      <c r="N179" s="14" t="n"/>
      <c r="O179" s="14" t="n"/>
      <c r="P179" s="14" t="n"/>
      <c r="Q179" s="14" t="n"/>
      <c r="R179" s="21">
        <f>IF(OR(A179="",N(I179)=0),0,ROUND((N(G179)-N(H179))/N(I179),2))</f>
        <v/>
      </c>
      <c r="S179" s="21">
        <f>IF(A179="","",IFERROR(MIN(N(G179)-N(H179),MAX(N(K179),R179*MAX(0,(YEAR(ReportTo)-YEAR(IF(J179&lt;&gt;"",DATE(LEFT(J179,4),MID(J179,6,2),1),F179)))*12+MONTH(ReportTo)-MONTH(IF(J179&lt;&gt;"",DATE(LEFT(J179,4),MID(J179,6,2),1),F179))+1))),""))</f>
        <v/>
      </c>
      <c r="T179" s="21">
        <f>IF(A179="","",IFERROR(N(G179)-N(S179),""))</f>
        <v/>
      </c>
    </row>
    <row r="180">
      <c r="A180" s="14" t="n"/>
      <c r="B180" s="14" t="n"/>
      <c r="C180" s="14" t="n"/>
      <c r="D180" s="14" t="n"/>
      <c r="E180" s="14" t="n"/>
      <c r="F180" s="19" t="n"/>
      <c r="G180" s="20" t="n"/>
      <c r="H180" s="20" t="n"/>
      <c r="I180" s="14" t="n"/>
      <c r="J180" s="14" t="n"/>
      <c r="K180" s="20" t="n"/>
      <c r="L180" s="14" t="n"/>
      <c r="M180" s="14" t="n"/>
      <c r="N180" s="14" t="n"/>
      <c r="O180" s="14" t="n"/>
      <c r="P180" s="14" t="n"/>
      <c r="Q180" s="14" t="n"/>
      <c r="R180" s="21">
        <f>IF(OR(A180="",N(I180)=0),0,ROUND((N(G180)-N(H180))/N(I180),2))</f>
        <v/>
      </c>
      <c r="S180" s="21">
        <f>IF(A180="","",IFERROR(MIN(N(G180)-N(H180),MAX(N(K180),R180*MAX(0,(YEAR(ReportTo)-YEAR(IF(J180&lt;&gt;"",DATE(LEFT(J180,4),MID(J180,6,2),1),F180)))*12+MONTH(ReportTo)-MONTH(IF(J180&lt;&gt;"",DATE(LEFT(J180,4),MID(J180,6,2),1),F180))+1))),""))</f>
        <v/>
      </c>
      <c r="T180" s="21">
        <f>IF(A180="","",IFERROR(N(G180)-N(S180),""))</f>
        <v/>
      </c>
    </row>
    <row r="181">
      <c r="A181" s="14" t="n"/>
      <c r="B181" s="14" t="n"/>
      <c r="C181" s="14" t="n"/>
      <c r="D181" s="14" t="n"/>
      <c r="E181" s="14" t="n"/>
      <c r="F181" s="19" t="n"/>
      <c r="G181" s="20" t="n"/>
      <c r="H181" s="20" t="n"/>
      <c r="I181" s="14" t="n"/>
      <c r="J181" s="14" t="n"/>
      <c r="K181" s="20" t="n"/>
      <c r="L181" s="14" t="n"/>
      <c r="M181" s="14" t="n"/>
      <c r="N181" s="14" t="n"/>
      <c r="O181" s="14" t="n"/>
      <c r="P181" s="14" t="n"/>
      <c r="Q181" s="14" t="n"/>
      <c r="R181" s="21">
        <f>IF(OR(A181="",N(I181)=0),0,ROUND((N(G181)-N(H181))/N(I181),2))</f>
        <v/>
      </c>
      <c r="S181" s="21">
        <f>IF(A181="","",IFERROR(MIN(N(G181)-N(H181),MAX(N(K181),R181*MAX(0,(YEAR(ReportTo)-YEAR(IF(J181&lt;&gt;"",DATE(LEFT(J181,4),MID(J181,6,2),1),F181)))*12+MONTH(ReportTo)-MONTH(IF(J181&lt;&gt;"",DATE(LEFT(J181,4),MID(J181,6,2),1),F181))+1))),""))</f>
        <v/>
      </c>
      <c r="T181" s="21">
        <f>IF(A181="","",IFERROR(N(G181)-N(S181),""))</f>
        <v/>
      </c>
    </row>
    <row r="182">
      <c r="A182" s="14" t="n"/>
      <c r="B182" s="14" t="n"/>
      <c r="C182" s="14" t="n"/>
      <c r="D182" s="14" t="n"/>
      <c r="E182" s="14" t="n"/>
      <c r="F182" s="19" t="n"/>
      <c r="G182" s="20" t="n"/>
      <c r="H182" s="20" t="n"/>
      <c r="I182" s="14" t="n"/>
      <c r="J182" s="14" t="n"/>
      <c r="K182" s="20" t="n"/>
      <c r="L182" s="14" t="n"/>
      <c r="M182" s="14" t="n"/>
      <c r="N182" s="14" t="n"/>
      <c r="O182" s="14" t="n"/>
      <c r="P182" s="14" t="n"/>
      <c r="Q182" s="14" t="n"/>
      <c r="R182" s="21">
        <f>IF(OR(A182="",N(I182)=0),0,ROUND((N(G182)-N(H182))/N(I182),2))</f>
        <v/>
      </c>
      <c r="S182" s="21">
        <f>IF(A182="","",IFERROR(MIN(N(G182)-N(H182),MAX(N(K182),R182*MAX(0,(YEAR(ReportTo)-YEAR(IF(J182&lt;&gt;"",DATE(LEFT(J182,4),MID(J182,6,2),1),F182)))*12+MONTH(ReportTo)-MONTH(IF(J182&lt;&gt;"",DATE(LEFT(J182,4),MID(J182,6,2),1),F182))+1))),""))</f>
        <v/>
      </c>
      <c r="T182" s="21">
        <f>IF(A182="","",IFERROR(N(G182)-N(S182),""))</f>
        <v/>
      </c>
    </row>
    <row r="183">
      <c r="A183" s="14" t="n"/>
      <c r="B183" s="14" t="n"/>
      <c r="C183" s="14" t="n"/>
      <c r="D183" s="14" t="n"/>
      <c r="E183" s="14" t="n"/>
      <c r="F183" s="19" t="n"/>
      <c r="G183" s="20" t="n"/>
      <c r="H183" s="20" t="n"/>
      <c r="I183" s="14" t="n"/>
      <c r="J183" s="14" t="n"/>
      <c r="K183" s="20" t="n"/>
      <c r="L183" s="14" t="n"/>
      <c r="M183" s="14" t="n"/>
      <c r="N183" s="14" t="n"/>
      <c r="O183" s="14" t="n"/>
      <c r="P183" s="14" t="n"/>
      <c r="Q183" s="14" t="n"/>
      <c r="R183" s="21">
        <f>IF(OR(A183="",N(I183)=0),0,ROUND((N(G183)-N(H183))/N(I183),2))</f>
        <v/>
      </c>
      <c r="S183" s="21">
        <f>IF(A183="","",IFERROR(MIN(N(G183)-N(H183),MAX(N(K183),R183*MAX(0,(YEAR(ReportTo)-YEAR(IF(J183&lt;&gt;"",DATE(LEFT(J183,4),MID(J183,6,2),1),F183)))*12+MONTH(ReportTo)-MONTH(IF(J183&lt;&gt;"",DATE(LEFT(J183,4),MID(J183,6,2),1),F183))+1))),""))</f>
        <v/>
      </c>
      <c r="T183" s="21">
        <f>IF(A183="","",IFERROR(N(G183)-N(S183),""))</f>
        <v/>
      </c>
    </row>
    <row r="184">
      <c r="A184" s="14" t="n"/>
      <c r="B184" s="14" t="n"/>
      <c r="C184" s="14" t="n"/>
      <c r="D184" s="14" t="n"/>
      <c r="E184" s="14" t="n"/>
      <c r="F184" s="19" t="n"/>
      <c r="G184" s="20" t="n"/>
      <c r="H184" s="20" t="n"/>
      <c r="I184" s="14" t="n"/>
      <c r="J184" s="14" t="n"/>
      <c r="K184" s="20" t="n"/>
      <c r="L184" s="14" t="n"/>
      <c r="M184" s="14" t="n"/>
      <c r="N184" s="14" t="n"/>
      <c r="O184" s="14" t="n"/>
      <c r="P184" s="14" t="n"/>
      <c r="Q184" s="14" t="n"/>
      <c r="R184" s="21">
        <f>IF(OR(A184="",N(I184)=0),0,ROUND((N(G184)-N(H184))/N(I184),2))</f>
        <v/>
      </c>
      <c r="S184" s="21">
        <f>IF(A184="","",IFERROR(MIN(N(G184)-N(H184),MAX(N(K184),R184*MAX(0,(YEAR(ReportTo)-YEAR(IF(J184&lt;&gt;"",DATE(LEFT(J184,4),MID(J184,6,2),1),F184)))*12+MONTH(ReportTo)-MONTH(IF(J184&lt;&gt;"",DATE(LEFT(J184,4),MID(J184,6,2),1),F184))+1))),""))</f>
        <v/>
      </c>
      <c r="T184" s="21">
        <f>IF(A184="","",IFERROR(N(G184)-N(S184),""))</f>
        <v/>
      </c>
    </row>
    <row r="185">
      <c r="A185" s="14" t="n"/>
      <c r="B185" s="14" t="n"/>
      <c r="C185" s="14" t="n"/>
      <c r="D185" s="14" t="n"/>
      <c r="E185" s="14" t="n"/>
      <c r="F185" s="19" t="n"/>
      <c r="G185" s="20" t="n"/>
      <c r="H185" s="20" t="n"/>
      <c r="I185" s="14" t="n"/>
      <c r="J185" s="14" t="n"/>
      <c r="K185" s="20" t="n"/>
      <c r="L185" s="14" t="n"/>
      <c r="M185" s="14" t="n"/>
      <c r="N185" s="14" t="n"/>
      <c r="O185" s="14" t="n"/>
      <c r="P185" s="14" t="n"/>
      <c r="Q185" s="14" t="n"/>
      <c r="R185" s="21">
        <f>IF(OR(A185="",N(I185)=0),0,ROUND((N(G185)-N(H185))/N(I185),2))</f>
        <v/>
      </c>
      <c r="S185" s="21">
        <f>IF(A185="","",IFERROR(MIN(N(G185)-N(H185),MAX(N(K185),R185*MAX(0,(YEAR(ReportTo)-YEAR(IF(J185&lt;&gt;"",DATE(LEFT(J185,4),MID(J185,6,2),1),F185)))*12+MONTH(ReportTo)-MONTH(IF(J185&lt;&gt;"",DATE(LEFT(J185,4),MID(J185,6,2),1),F185))+1))),""))</f>
        <v/>
      </c>
      <c r="T185" s="21">
        <f>IF(A185="","",IFERROR(N(G185)-N(S185),""))</f>
        <v/>
      </c>
    </row>
    <row r="186">
      <c r="A186" s="14" t="n"/>
      <c r="B186" s="14" t="n"/>
      <c r="C186" s="14" t="n"/>
      <c r="D186" s="14" t="n"/>
      <c r="E186" s="14" t="n"/>
      <c r="F186" s="19" t="n"/>
      <c r="G186" s="20" t="n"/>
      <c r="H186" s="20" t="n"/>
      <c r="I186" s="14" t="n"/>
      <c r="J186" s="14" t="n"/>
      <c r="K186" s="20" t="n"/>
      <c r="L186" s="14" t="n"/>
      <c r="M186" s="14" t="n"/>
      <c r="N186" s="14" t="n"/>
      <c r="O186" s="14" t="n"/>
      <c r="P186" s="14" t="n"/>
      <c r="Q186" s="14" t="n"/>
      <c r="R186" s="21">
        <f>IF(OR(A186="",N(I186)=0),0,ROUND((N(G186)-N(H186))/N(I186),2))</f>
        <v/>
      </c>
      <c r="S186" s="21">
        <f>IF(A186="","",IFERROR(MIN(N(G186)-N(H186),MAX(N(K186),R186*MAX(0,(YEAR(ReportTo)-YEAR(IF(J186&lt;&gt;"",DATE(LEFT(J186,4),MID(J186,6,2),1),F186)))*12+MONTH(ReportTo)-MONTH(IF(J186&lt;&gt;"",DATE(LEFT(J186,4),MID(J186,6,2),1),F186))+1))),""))</f>
        <v/>
      </c>
      <c r="T186" s="21">
        <f>IF(A186="","",IFERROR(N(G186)-N(S186),""))</f>
        <v/>
      </c>
    </row>
    <row r="187">
      <c r="A187" s="14" t="n"/>
      <c r="B187" s="14" t="n"/>
      <c r="C187" s="14" t="n"/>
      <c r="D187" s="14" t="n"/>
      <c r="E187" s="14" t="n"/>
      <c r="F187" s="19" t="n"/>
      <c r="G187" s="20" t="n"/>
      <c r="H187" s="20" t="n"/>
      <c r="I187" s="14" t="n"/>
      <c r="J187" s="14" t="n"/>
      <c r="K187" s="20" t="n"/>
      <c r="L187" s="14" t="n"/>
      <c r="M187" s="14" t="n"/>
      <c r="N187" s="14" t="n"/>
      <c r="O187" s="14" t="n"/>
      <c r="P187" s="14" t="n"/>
      <c r="Q187" s="14" t="n"/>
      <c r="R187" s="21">
        <f>IF(OR(A187="",N(I187)=0),0,ROUND((N(G187)-N(H187))/N(I187),2))</f>
        <v/>
      </c>
      <c r="S187" s="21">
        <f>IF(A187="","",IFERROR(MIN(N(G187)-N(H187),MAX(N(K187),R187*MAX(0,(YEAR(ReportTo)-YEAR(IF(J187&lt;&gt;"",DATE(LEFT(J187,4),MID(J187,6,2),1),F187)))*12+MONTH(ReportTo)-MONTH(IF(J187&lt;&gt;"",DATE(LEFT(J187,4),MID(J187,6,2),1),F187))+1))),""))</f>
        <v/>
      </c>
      <c r="T187" s="21">
        <f>IF(A187="","",IFERROR(N(G187)-N(S187),""))</f>
        <v/>
      </c>
    </row>
    <row r="188">
      <c r="A188" s="14" t="n"/>
      <c r="B188" s="14" t="n"/>
      <c r="C188" s="14" t="n"/>
      <c r="D188" s="14" t="n"/>
      <c r="E188" s="14" t="n"/>
      <c r="F188" s="19" t="n"/>
      <c r="G188" s="20" t="n"/>
      <c r="H188" s="20" t="n"/>
      <c r="I188" s="14" t="n"/>
      <c r="J188" s="14" t="n"/>
      <c r="K188" s="20" t="n"/>
      <c r="L188" s="14" t="n"/>
      <c r="M188" s="14" t="n"/>
      <c r="N188" s="14" t="n"/>
      <c r="O188" s="14" t="n"/>
      <c r="P188" s="14" t="n"/>
      <c r="Q188" s="14" t="n"/>
      <c r="R188" s="21">
        <f>IF(OR(A188="",N(I188)=0),0,ROUND((N(G188)-N(H188))/N(I188),2))</f>
        <v/>
      </c>
      <c r="S188" s="21">
        <f>IF(A188="","",IFERROR(MIN(N(G188)-N(H188),MAX(N(K188),R188*MAX(0,(YEAR(ReportTo)-YEAR(IF(J188&lt;&gt;"",DATE(LEFT(J188,4),MID(J188,6,2),1),F188)))*12+MONTH(ReportTo)-MONTH(IF(J188&lt;&gt;"",DATE(LEFT(J188,4),MID(J188,6,2),1),F188))+1))),""))</f>
        <v/>
      </c>
      <c r="T188" s="21">
        <f>IF(A188="","",IFERROR(N(G188)-N(S188),""))</f>
        <v/>
      </c>
    </row>
    <row r="189">
      <c r="A189" s="14" t="n"/>
      <c r="B189" s="14" t="n"/>
      <c r="C189" s="14" t="n"/>
      <c r="D189" s="14" t="n"/>
      <c r="E189" s="14" t="n"/>
      <c r="F189" s="19" t="n"/>
      <c r="G189" s="20" t="n"/>
      <c r="H189" s="20" t="n"/>
      <c r="I189" s="14" t="n"/>
      <c r="J189" s="14" t="n"/>
      <c r="K189" s="20" t="n"/>
      <c r="L189" s="14" t="n"/>
      <c r="M189" s="14" t="n"/>
      <c r="N189" s="14" t="n"/>
      <c r="O189" s="14" t="n"/>
      <c r="P189" s="14" t="n"/>
      <c r="Q189" s="14" t="n"/>
      <c r="R189" s="21">
        <f>IF(OR(A189="",N(I189)=0),0,ROUND((N(G189)-N(H189))/N(I189),2))</f>
        <v/>
      </c>
      <c r="S189" s="21">
        <f>IF(A189="","",IFERROR(MIN(N(G189)-N(H189),MAX(N(K189),R189*MAX(0,(YEAR(ReportTo)-YEAR(IF(J189&lt;&gt;"",DATE(LEFT(J189,4),MID(J189,6,2),1),F189)))*12+MONTH(ReportTo)-MONTH(IF(J189&lt;&gt;"",DATE(LEFT(J189,4),MID(J189,6,2),1),F189))+1))),""))</f>
        <v/>
      </c>
      <c r="T189" s="21">
        <f>IF(A189="","",IFERROR(N(G189)-N(S189),""))</f>
        <v/>
      </c>
    </row>
    <row r="190">
      <c r="A190" s="14" t="n"/>
      <c r="B190" s="14" t="n"/>
      <c r="C190" s="14" t="n"/>
      <c r="D190" s="14" t="n"/>
      <c r="E190" s="14" t="n"/>
      <c r="F190" s="19" t="n"/>
      <c r="G190" s="20" t="n"/>
      <c r="H190" s="20" t="n"/>
      <c r="I190" s="14" t="n"/>
      <c r="J190" s="14" t="n"/>
      <c r="K190" s="20" t="n"/>
      <c r="L190" s="14" t="n"/>
      <c r="M190" s="14" t="n"/>
      <c r="N190" s="14" t="n"/>
      <c r="O190" s="14" t="n"/>
      <c r="P190" s="14" t="n"/>
      <c r="Q190" s="14" t="n"/>
      <c r="R190" s="21">
        <f>IF(OR(A190="",N(I190)=0),0,ROUND((N(G190)-N(H190))/N(I190),2))</f>
        <v/>
      </c>
      <c r="S190" s="21">
        <f>IF(A190="","",IFERROR(MIN(N(G190)-N(H190),MAX(N(K190),R190*MAX(0,(YEAR(ReportTo)-YEAR(IF(J190&lt;&gt;"",DATE(LEFT(J190,4),MID(J190,6,2),1),F190)))*12+MONTH(ReportTo)-MONTH(IF(J190&lt;&gt;"",DATE(LEFT(J190,4),MID(J190,6,2),1),F190))+1))),""))</f>
        <v/>
      </c>
      <c r="T190" s="21">
        <f>IF(A190="","",IFERROR(N(G190)-N(S190),""))</f>
        <v/>
      </c>
    </row>
    <row r="191">
      <c r="A191" s="14" t="n"/>
      <c r="B191" s="14" t="n"/>
      <c r="C191" s="14" t="n"/>
      <c r="D191" s="14" t="n"/>
      <c r="E191" s="14" t="n"/>
      <c r="F191" s="19" t="n"/>
      <c r="G191" s="20" t="n"/>
      <c r="H191" s="20" t="n"/>
      <c r="I191" s="14" t="n"/>
      <c r="J191" s="14" t="n"/>
      <c r="K191" s="20" t="n"/>
      <c r="L191" s="14" t="n"/>
      <c r="M191" s="14" t="n"/>
      <c r="N191" s="14" t="n"/>
      <c r="O191" s="14" t="n"/>
      <c r="P191" s="14" t="n"/>
      <c r="Q191" s="14" t="n"/>
      <c r="R191" s="21">
        <f>IF(OR(A191="",N(I191)=0),0,ROUND((N(G191)-N(H191))/N(I191),2))</f>
        <v/>
      </c>
      <c r="S191" s="21">
        <f>IF(A191="","",IFERROR(MIN(N(G191)-N(H191),MAX(N(K191),R191*MAX(0,(YEAR(ReportTo)-YEAR(IF(J191&lt;&gt;"",DATE(LEFT(J191,4),MID(J191,6,2),1),F191)))*12+MONTH(ReportTo)-MONTH(IF(J191&lt;&gt;"",DATE(LEFT(J191,4),MID(J191,6,2),1),F191))+1))),""))</f>
        <v/>
      </c>
      <c r="T191" s="21">
        <f>IF(A191="","",IFERROR(N(G191)-N(S191),""))</f>
        <v/>
      </c>
    </row>
    <row r="192">
      <c r="A192" s="14" t="n"/>
      <c r="B192" s="14" t="n"/>
      <c r="C192" s="14" t="n"/>
      <c r="D192" s="14" t="n"/>
      <c r="E192" s="14" t="n"/>
      <c r="F192" s="19" t="n"/>
      <c r="G192" s="20" t="n"/>
      <c r="H192" s="20" t="n"/>
      <c r="I192" s="14" t="n"/>
      <c r="J192" s="14" t="n"/>
      <c r="K192" s="20" t="n"/>
      <c r="L192" s="14" t="n"/>
      <c r="M192" s="14" t="n"/>
      <c r="N192" s="14" t="n"/>
      <c r="O192" s="14" t="n"/>
      <c r="P192" s="14" t="n"/>
      <c r="Q192" s="14" t="n"/>
      <c r="R192" s="21">
        <f>IF(OR(A192="",N(I192)=0),0,ROUND((N(G192)-N(H192))/N(I192),2))</f>
        <v/>
      </c>
      <c r="S192" s="21">
        <f>IF(A192="","",IFERROR(MIN(N(G192)-N(H192),MAX(N(K192),R192*MAX(0,(YEAR(ReportTo)-YEAR(IF(J192&lt;&gt;"",DATE(LEFT(J192,4),MID(J192,6,2),1),F192)))*12+MONTH(ReportTo)-MONTH(IF(J192&lt;&gt;"",DATE(LEFT(J192,4),MID(J192,6,2),1),F192))+1))),""))</f>
        <v/>
      </c>
      <c r="T192" s="21">
        <f>IF(A192="","",IFERROR(N(G192)-N(S192),""))</f>
        <v/>
      </c>
    </row>
    <row r="193">
      <c r="A193" s="14" t="n"/>
      <c r="B193" s="14" t="n"/>
      <c r="C193" s="14" t="n"/>
      <c r="D193" s="14" t="n"/>
      <c r="E193" s="14" t="n"/>
      <c r="F193" s="19" t="n"/>
      <c r="G193" s="20" t="n"/>
      <c r="H193" s="20" t="n"/>
      <c r="I193" s="14" t="n"/>
      <c r="J193" s="14" t="n"/>
      <c r="K193" s="20" t="n"/>
      <c r="L193" s="14" t="n"/>
      <c r="M193" s="14" t="n"/>
      <c r="N193" s="14" t="n"/>
      <c r="O193" s="14" t="n"/>
      <c r="P193" s="14" t="n"/>
      <c r="Q193" s="14" t="n"/>
      <c r="R193" s="21">
        <f>IF(OR(A193="",N(I193)=0),0,ROUND((N(G193)-N(H193))/N(I193),2))</f>
        <v/>
      </c>
      <c r="S193" s="21">
        <f>IF(A193="","",IFERROR(MIN(N(G193)-N(H193),MAX(N(K193),R193*MAX(0,(YEAR(ReportTo)-YEAR(IF(J193&lt;&gt;"",DATE(LEFT(J193,4),MID(J193,6,2),1),F193)))*12+MONTH(ReportTo)-MONTH(IF(J193&lt;&gt;"",DATE(LEFT(J193,4),MID(J193,6,2),1),F193))+1))),""))</f>
        <v/>
      </c>
      <c r="T193" s="21">
        <f>IF(A193="","",IFERROR(N(G193)-N(S193),""))</f>
        <v/>
      </c>
    </row>
    <row r="194">
      <c r="A194" s="14" t="n"/>
      <c r="B194" s="14" t="n"/>
      <c r="C194" s="14" t="n"/>
      <c r="D194" s="14" t="n"/>
      <c r="E194" s="14" t="n"/>
      <c r="F194" s="19" t="n"/>
      <c r="G194" s="20" t="n"/>
      <c r="H194" s="20" t="n"/>
      <c r="I194" s="14" t="n"/>
      <c r="J194" s="14" t="n"/>
      <c r="K194" s="20" t="n"/>
      <c r="L194" s="14" t="n"/>
      <c r="M194" s="14" t="n"/>
      <c r="N194" s="14" t="n"/>
      <c r="O194" s="14" t="n"/>
      <c r="P194" s="14" t="n"/>
      <c r="Q194" s="14" t="n"/>
      <c r="R194" s="21">
        <f>IF(OR(A194="",N(I194)=0),0,ROUND((N(G194)-N(H194))/N(I194),2))</f>
        <v/>
      </c>
      <c r="S194" s="21">
        <f>IF(A194="","",IFERROR(MIN(N(G194)-N(H194),MAX(N(K194),R194*MAX(0,(YEAR(ReportTo)-YEAR(IF(J194&lt;&gt;"",DATE(LEFT(J194,4),MID(J194,6,2),1),F194)))*12+MONTH(ReportTo)-MONTH(IF(J194&lt;&gt;"",DATE(LEFT(J194,4),MID(J194,6,2),1),F194))+1))),""))</f>
        <v/>
      </c>
      <c r="T194" s="21">
        <f>IF(A194="","",IFERROR(N(G194)-N(S194),""))</f>
        <v/>
      </c>
    </row>
    <row r="195">
      <c r="A195" s="14" t="n"/>
      <c r="B195" s="14" t="n"/>
      <c r="C195" s="14" t="n"/>
      <c r="D195" s="14" t="n"/>
      <c r="E195" s="14" t="n"/>
      <c r="F195" s="19" t="n"/>
      <c r="G195" s="20" t="n"/>
      <c r="H195" s="20" t="n"/>
      <c r="I195" s="14" t="n"/>
      <c r="J195" s="14" t="n"/>
      <c r="K195" s="20" t="n"/>
      <c r="L195" s="14" t="n"/>
      <c r="M195" s="14" t="n"/>
      <c r="N195" s="14" t="n"/>
      <c r="O195" s="14" t="n"/>
      <c r="P195" s="14" t="n"/>
      <c r="Q195" s="14" t="n"/>
      <c r="R195" s="21">
        <f>IF(OR(A195="",N(I195)=0),0,ROUND((N(G195)-N(H195))/N(I195),2))</f>
        <v/>
      </c>
      <c r="S195" s="21">
        <f>IF(A195="","",IFERROR(MIN(N(G195)-N(H195),MAX(N(K195),R195*MAX(0,(YEAR(ReportTo)-YEAR(IF(J195&lt;&gt;"",DATE(LEFT(J195,4),MID(J195,6,2),1),F195)))*12+MONTH(ReportTo)-MONTH(IF(J195&lt;&gt;"",DATE(LEFT(J195,4),MID(J195,6,2),1),F195))+1))),""))</f>
        <v/>
      </c>
      <c r="T195" s="21">
        <f>IF(A195="","",IFERROR(N(G195)-N(S195),""))</f>
        <v/>
      </c>
    </row>
    <row r="196">
      <c r="A196" s="14" t="n"/>
      <c r="B196" s="14" t="n"/>
      <c r="C196" s="14" t="n"/>
      <c r="D196" s="14" t="n"/>
      <c r="E196" s="14" t="n"/>
      <c r="F196" s="19" t="n"/>
      <c r="G196" s="20" t="n"/>
      <c r="H196" s="20" t="n"/>
      <c r="I196" s="14" t="n"/>
      <c r="J196" s="14" t="n"/>
      <c r="K196" s="20" t="n"/>
      <c r="L196" s="14" t="n"/>
      <c r="M196" s="14" t="n"/>
      <c r="N196" s="14" t="n"/>
      <c r="O196" s="14" t="n"/>
      <c r="P196" s="14" t="n"/>
      <c r="Q196" s="14" t="n"/>
      <c r="R196" s="21">
        <f>IF(OR(A196="",N(I196)=0),0,ROUND((N(G196)-N(H196))/N(I196),2))</f>
        <v/>
      </c>
      <c r="S196" s="21">
        <f>IF(A196="","",IFERROR(MIN(N(G196)-N(H196),MAX(N(K196),R196*MAX(0,(YEAR(ReportTo)-YEAR(IF(J196&lt;&gt;"",DATE(LEFT(J196,4),MID(J196,6,2),1),F196)))*12+MONTH(ReportTo)-MONTH(IF(J196&lt;&gt;"",DATE(LEFT(J196,4),MID(J196,6,2),1),F196))+1))),""))</f>
        <v/>
      </c>
      <c r="T196" s="21">
        <f>IF(A196="","",IFERROR(N(G196)-N(S196),""))</f>
        <v/>
      </c>
    </row>
    <row r="197">
      <c r="A197" s="14" t="n"/>
      <c r="B197" s="14" t="n"/>
      <c r="C197" s="14" t="n"/>
      <c r="D197" s="14" t="n"/>
      <c r="E197" s="14" t="n"/>
      <c r="F197" s="19" t="n"/>
      <c r="G197" s="20" t="n"/>
      <c r="H197" s="20" t="n"/>
      <c r="I197" s="14" t="n"/>
      <c r="J197" s="14" t="n"/>
      <c r="K197" s="20" t="n"/>
      <c r="L197" s="14" t="n"/>
      <c r="M197" s="14" t="n"/>
      <c r="N197" s="14" t="n"/>
      <c r="O197" s="14" t="n"/>
      <c r="P197" s="14" t="n"/>
      <c r="Q197" s="14" t="n"/>
      <c r="R197" s="21">
        <f>IF(OR(A197="",N(I197)=0),0,ROUND((N(G197)-N(H197))/N(I197),2))</f>
        <v/>
      </c>
      <c r="S197" s="21">
        <f>IF(A197="","",IFERROR(MIN(N(G197)-N(H197),MAX(N(K197),R197*MAX(0,(YEAR(ReportTo)-YEAR(IF(J197&lt;&gt;"",DATE(LEFT(J197,4),MID(J197,6,2),1),F197)))*12+MONTH(ReportTo)-MONTH(IF(J197&lt;&gt;"",DATE(LEFT(J197,4),MID(J197,6,2),1),F197))+1))),""))</f>
        <v/>
      </c>
      <c r="T197" s="21">
        <f>IF(A197="","",IFERROR(N(G197)-N(S197),""))</f>
        <v/>
      </c>
    </row>
    <row r="198">
      <c r="A198" s="14" t="n"/>
      <c r="B198" s="14" t="n"/>
      <c r="C198" s="14" t="n"/>
      <c r="D198" s="14" t="n"/>
      <c r="E198" s="14" t="n"/>
      <c r="F198" s="19" t="n"/>
      <c r="G198" s="20" t="n"/>
      <c r="H198" s="20" t="n"/>
      <c r="I198" s="14" t="n"/>
      <c r="J198" s="14" t="n"/>
      <c r="K198" s="20" t="n"/>
      <c r="L198" s="14" t="n"/>
      <c r="M198" s="14" t="n"/>
      <c r="N198" s="14" t="n"/>
      <c r="O198" s="14" t="n"/>
      <c r="P198" s="14" t="n"/>
      <c r="Q198" s="14" t="n"/>
      <c r="R198" s="21">
        <f>IF(OR(A198="",N(I198)=0),0,ROUND((N(G198)-N(H198))/N(I198),2))</f>
        <v/>
      </c>
      <c r="S198" s="21">
        <f>IF(A198="","",IFERROR(MIN(N(G198)-N(H198),MAX(N(K198),R198*MAX(0,(YEAR(ReportTo)-YEAR(IF(J198&lt;&gt;"",DATE(LEFT(J198,4),MID(J198,6,2),1),F198)))*12+MONTH(ReportTo)-MONTH(IF(J198&lt;&gt;"",DATE(LEFT(J198,4),MID(J198,6,2),1),F198))+1))),""))</f>
        <v/>
      </c>
      <c r="T198" s="21">
        <f>IF(A198="","",IFERROR(N(G198)-N(S198),""))</f>
        <v/>
      </c>
    </row>
    <row r="199">
      <c r="A199" s="14" t="n"/>
      <c r="B199" s="14" t="n"/>
      <c r="C199" s="14" t="n"/>
      <c r="D199" s="14" t="n"/>
      <c r="E199" s="14" t="n"/>
      <c r="F199" s="19" t="n"/>
      <c r="G199" s="20" t="n"/>
      <c r="H199" s="20" t="n"/>
      <c r="I199" s="14" t="n"/>
      <c r="J199" s="14" t="n"/>
      <c r="K199" s="20" t="n"/>
      <c r="L199" s="14" t="n"/>
      <c r="M199" s="14" t="n"/>
      <c r="N199" s="14" t="n"/>
      <c r="O199" s="14" t="n"/>
      <c r="P199" s="14" t="n"/>
      <c r="Q199" s="14" t="n"/>
      <c r="R199" s="21">
        <f>IF(OR(A199="",N(I199)=0),0,ROUND((N(G199)-N(H199))/N(I199),2))</f>
        <v/>
      </c>
      <c r="S199" s="21">
        <f>IF(A199="","",IFERROR(MIN(N(G199)-N(H199),MAX(N(K199),R199*MAX(0,(YEAR(ReportTo)-YEAR(IF(J199&lt;&gt;"",DATE(LEFT(J199,4),MID(J199,6,2),1),F199)))*12+MONTH(ReportTo)-MONTH(IF(J199&lt;&gt;"",DATE(LEFT(J199,4),MID(J199,6,2),1),F199))+1))),""))</f>
        <v/>
      </c>
      <c r="T199" s="21">
        <f>IF(A199="","",IFERROR(N(G199)-N(S199),""))</f>
        <v/>
      </c>
    </row>
    <row r="200">
      <c r="A200" s="14" t="n"/>
      <c r="B200" s="14" t="n"/>
      <c r="C200" s="14" t="n"/>
      <c r="D200" s="14" t="n"/>
      <c r="E200" s="14" t="n"/>
      <c r="F200" s="19" t="n"/>
      <c r="G200" s="20" t="n"/>
      <c r="H200" s="20" t="n"/>
      <c r="I200" s="14" t="n"/>
      <c r="J200" s="14" t="n"/>
      <c r="K200" s="20" t="n"/>
      <c r="L200" s="14" t="n"/>
      <c r="M200" s="14" t="n"/>
      <c r="N200" s="14" t="n"/>
      <c r="O200" s="14" t="n"/>
      <c r="P200" s="14" t="n"/>
      <c r="Q200" s="14" t="n"/>
      <c r="R200" s="21">
        <f>IF(OR(A200="",N(I200)=0),0,ROUND((N(G200)-N(H200))/N(I200),2))</f>
        <v/>
      </c>
      <c r="S200" s="21">
        <f>IF(A200="","",IFERROR(MIN(N(G200)-N(H200),MAX(N(K200),R200*MAX(0,(YEAR(ReportTo)-YEAR(IF(J200&lt;&gt;"",DATE(LEFT(J200,4),MID(J200,6,2),1),F200)))*12+MONTH(ReportTo)-MONTH(IF(J200&lt;&gt;"",DATE(LEFT(J200,4),MID(J200,6,2),1),F200))+1))),""))</f>
        <v/>
      </c>
      <c r="T200" s="21">
        <f>IF(A200="","",IFERROR(N(G200)-N(S200),""))</f>
        <v/>
      </c>
    </row>
    <row r="201">
      <c r="A201" s="14" t="n"/>
      <c r="B201" s="14" t="n"/>
      <c r="C201" s="14" t="n"/>
      <c r="D201" s="14" t="n"/>
      <c r="E201" s="14" t="n"/>
      <c r="F201" s="19" t="n"/>
      <c r="G201" s="20" t="n"/>
      <c r="H201" s="20" t="n"/>
      <c r="I201" s="14" t="n"/>
      <c r="J201" s="14" t="n"/>
      <c r="K201" s="20" t="n"/>
      <c r="L201" s="14" t="n"/>
      <c r="M201" s="14" t="n"/>
      <c r="N201" s="14" t="n"/>
      <c r="O201" s="14" t="n"/>
      <c r="P201" s="14" t="n"/>
      <c r="Q201" s="14" t="n"/>
      <c r="R201" s="21">
        <f>IF(OR(A201="",N(I201)=0),0,ROUND((N(G201)-N(H201))/N(I201),2))</f>
        <v/>
      </c>
      <c r="S201" s="21">
        <f>IF(A201="","",IFERROR(MIN(N(G201)-N(H201),MAX(N(K201),R201*MAX(0,(YEAR(ReportTo)-YEAR(IF(J201&lt;&gt;"",DATE(LEFT(J201,4),MID(J201,6,2),1),F201)))*12+MONTH(ReportTo)-MONTH(IF(J201&lt;&gt;"",DATE(LEFT(J201,4),MID(J201,6,2),1),F201))+1))),""))</f>
        <v/>
      </c>
      <c r="T201" s="21">
        <f>IF(A201="","",IFERROR(N(G201)-N(S201),""))</f>
        <v/>
      </c>
    </row>
    <row r="202">
      <c r="A202" s="14" t="n"/>
      <c r="B202" s="14" t="n"/>
      <c r="C202" s="14" t="n"/>
      <c r="D202" s="14" t="n"/>
      <c r="E202" s="14" t="n"/>
      <c r="F202" s="19" t="n"/>
      <c r="G202" s="20" t="n"/>
      <c r="H202" s="20" t="n"/>
      <c r="I202" s="14" t="n"/>
      <c r="J202" s="14" t="n"/>
      <c r="K202" s="20" t="n"/>
      <c r="L202" s="14" t="n"/>
      <c r="M202" s="14" t="n"/>
      <c r="N202" s="14" t="n"/>
      <c r="O202" s="14" t="n"/>
      <c r="P202" s="14" t="n"/>
      <c r="Q202" s="14" t="n"/>
      <c r="R202" s="21">
        <f>IF(OR(A202="",N(I202)=0),0,ROUND((N(G202)-N(H202))/N(I202),2))</f>
        <v/>
      </c>
      <c r="S202" s="21">
        <f>IF(A202="","",IFERROR(MIN(N(G202)-N(H202),MAX(N(K202),R202*MAX(0,(YEAR(ReportTo)-YEAR(IF(J202&lt;&gt;"",DATE(LEFT(J202,4),MID(J202,6,2),1),F202)))*12+MONTH(ReportTo)-MONTH(IF(J202&lt;&gt;"",DATE(LEFT(J202,4),MID(J202,6,2),1),F202))+1))),""))</f>
        <v/>
      </c>
      <c r="T202" s="21">
        <f>IF(A202="","",IFERROR(N(G202)-N(S202),""))</f>
        <v/>
      </c>
    </row>
    <row r="203">
      <c r="A203" s="14" t="n"/>
      <c r="B203" s="14" t="n"/>
      <c r="C203" s="14" t="n"/>
      <c r="D203" s="14" t="n"/>
      <c r="E203" s="14" t="n"/>
      <c r="F203" s="19" t="n"/>
      <c r="G203" s="20" t="n"/>
      <c r="H203" s="20" t="n"/>
      <c r="I203" s="14" t="n"/>
      <c r="J203" s="14" t="n"/>
      <c r="K203" s="20" t="n"/>
      <c r="L203" s="14" t="n"/>
      <c r="M203" s="14" t="n"/>
      <c r="N203" s="14" t="n"/>
      <c r="O203" s="14" t="n"/>
      <c r="P203" s="14" t="n"/>
      <c r="Q203" s="14" t="n"/>
      <c r="R203" s="21">
        <f>IF(OR(A203="",N(I203)=0),0,ROUND((N(G203)-N(H203))/N(I203),2))</f>
        <v/>
      </c>
      <c r="S203" s="21">
        <f>IF(A203="","",IFERROR(MIN(N(G203)-N(H203),MAX(N(K203),R203*MAX(0,(YEAR(ReportTo)-YEAR(IF(J203&lt;&gt;"",DATE(LEFT(J203,4),MID(J203,6,2),1),F203)))*12+MONTH(ReportTo)-MONTH(IF(J203&lt;&gt;"",DATE(LEFT(J203,4),MID(J203,6,2),1),F203))+1))),""))</f>
        <v/>
      </c>
      <c r="T203" s="21">
        <f>IF(A203="","",IFERROR(N(G203)-N(S203),""))</f>
        <v/>
      </c>
    </row>
    <row r="204">
      <c r="A204" s="14" t="n"/>
      <c r="B204" s="14" t="n"/>
      <c r="C204" s="14" t="n"/>
      <c r="D204" s="14" t="n"/>
      <c r="E204" s="14" t="n"/>
      <c r="F204" s="19" t="n"/>
      <c r="G204" s="20" t="n"/>
      <c r="H204" s="20" t="n"/>
      <c r="I204" s="14" t="n"/>
      <c r="J204" s="14" t="n"/>
      <c r="K204" s="20" t="n"/>
      <c r="L204" s="14" t="n"/>
      <c r="M204" s="14" t="n"/>
      <c r="N204" s="14" t="n"/>
      <c r="O204" s="14" t="n"/>
      <c r="P204" s="14" t="n"/>
      <c r="Q204" s="14" t="n"/>
      <c r="R204" s="21">
        <f>IF(OR(A204="",N(I204)=0),0,ROUND((N(G204)-N(H204))/N(I204),2))</f>
        <v/>
      </c>
      <c r="S204" s="21">
        <f>IF(A204="","",IFERROR(MIN(N(G204)-N(H204),MAX(N(K204),R204*MAX(0,(YEAR(ReportTo)-YEAR(IF(J204&lt;&gt;"",DATE(LEFT(J204,4),MID(J204,6,2),1),F204)))*12+MONTH(ReportTo)-MONTH(IF(J204&lt;&gt;"",DATE(LEFT(J204,4),MID(J204,6,2),1),F204))+1))),""))</f>
        <v/>
      </c>
      <c r="T204" s="21">
        <f>IF(A204="","",IFERROR(N(G204)-N(S204),""))</f>
        <v/>
      </c>
    </row>
  </sheetData>
  <autoFilter ref="A4:T204"/>
  <dataValidations count="6">
    <dataValidation sqref="C5:C205" showDropDown="0" showInputMessage="0" showErrorMessage="0" allowBlank="1" type="list">
      <formula1>'Chart of Accounts'!$A$5:$A$3000</formula1>
    </dataValidation>
    <dataValidation sqref="D5:D205" showDropDown="0" showInputMessage="0" showErrorMessage="0" allowBlank="1" type="list">
      <formula1>'Chart of Accounts'!$A$5:$A$3000</formula1>
    </dataValidation>
    <dataValidation sqref="E5:E205" showDropDown="0" showInputMessage="0" showErrorMessage="0" allowBlank="1" type="list">
      <formula1>'Chart of Accounts'!$A$5:$A$3000</formula1>
    </dataValidation>
    <dataValidation sqref="F5:F205" showDropDown="0" showInputMessage="0" showErrorMessage="1" allowBlank="1" error="Enter a date (YYYY-MM-DD)" type="date" operator="greaterThan">
      <formula1>DATE(2000,1,1)</formula1>
    </dataValidation>
    <dataValidation sqref="L5:L205" showDropDown="0" showInputMessage="0" showErrorMessage="1" allowBlank="1" type="list">
      <formula1>'Business Units'!$A$5:$A$3000</formula1>
    </dataValidation>
    <dataValidation sqref="P5:P205" showDropDown="0" showInputMessage="0" showErrorMessage="1" allowBlank="1" type="list">
      <formula1>Lists!$K$1:$K$3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0"/>
    <pageSetUpPr/>
  </sheetPr>
  <dimension ref="A1:C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</cols>
  <sheetData>
    <row r="1" ht="24" customHeight="1">
      <c r="A1" s="8" t="inlineStr">
        <is>
          <t>BEYOND DESIGN | WAREHOUSES</t>
        </is>
      </c>
    </row>
    <row r="2">
      <c r="A2" s="9" t="inlineStr">
        <is>
          <t>Warehouses / stores and their inventory account</t>
        </is>
      </c>
    </row>
    <row r="3">
      <c r="A3" s="10" t="inlineStr">
        <is>
          <t>e.g. Site Store — Villa 12</t>
        </is>
      </c>
      <c r="B3" s="10" t="inlineStr">
        <is>
          <t>New Cairo</t>
        </is>
      </c>
      <c r="C3" s="10" t="inlineStr">
        <is>
          <t>1200</t>
        </is>
      </c>
    </row>
    <row r="4" ht="30" customHeight="1">
      <c r="A4" s="11" t="inlineStr">
        <is>
          <t>Warehouse</t>
        </is>
      </c>
      <c r="B4" s="11" t="inlineStr">
        <is>
          <t>Location</t>
        </is>
      </c>
      <c r="C4" s="11" t="inlineStr">
        <is>
          <t>Inventory Account</t>
        </is>
      </c>
    </row>
    <row r="5">
      <c r="A5" s="12" t="inlineStr">
        <is>
          <t>Main Store</t>
        </is>
      </c>
      <c r="B5" s="14" t="n"/>
      <c r="C5" s="12" t="inlineStr">
        <is>
          <t>1200</t>
        </is>
      </c>
    </row>
    <row r="6">
      <c r="A6" s="14" t="n"/>
      <c r="B6" s="14" t="n"/>
      <c r="C6" s="14" t="n"/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</sheetData>
  <autoFilter ref="A4:C205"/>
  <dataValidations count="1">
    <dataValidation sqref="C5:C205" showDropDown="0" showInputMessage="0" showErrorMessage="0" allowBlank="1" type="list">
      <formula1>'Chart of Accounts'!$A$5:$A$3000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0"/>
    <pageSetUpPr/>
  </sheetPr>
  <dimension ref="A1:D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</cols>
  <sheetData>
    <row r="1" ht="24" customHeight="1">
      <c r="A1" s="8" t="inlineStr">
        <is>
          <t>BEYOND DESIGN | STOCK ITEMS</t>
        </is>
      </c>
    </row>
    <row r="2">
      <c r="A2" s="9" t="inlineStr">
        <is>
          <t>Item master</t>
        </is>
      </c>
    </row>
    <row r="3">
      <c r="A3" s="10" t="inlineStr">
        <is>
          <t>e.g. Ceramic tiles 60×60</t>
        </is>
      </c>
      <c r="B3" s="10" t="inlineStr">
        <is>
          <t>m2</t>
        </is>
      </c>
      <c r="C3" s="10" t="inlineStr">
        <is>
          <t>CT-6060</t>
        </is>
      </c>
      <c r="D3" s="10" t="n">
        <v>50</v>
      </c>
    </row>
    <row r="4" ht="30" customHeight="1">
      <c r="A4" s="11" t="inlineStr">
        <is>
          <t>Item</t>
        </is>
      </c>
      <c r="B4" s="11" t="inlineStr">
        <is>
          <t>Unit</t>
        </is>
      </c>
      <c r="C4" s="11" t="inlineStr">
        <is>
          <t>SKU</t>
        </is>
      </c>
      <c r="D4" s="11" t="inlineStr">
        <is>
          <t>Reorder Level</t>
        </is>
      </c>
    </row>
    <row r="5">
      <c r="A5" s="14" t="n"/>
      <c r="B5" s="14" t="n"/>
      <c r="C5" s="14" t="n"/>
      <c r="D5" s="14" t="n"/>
    </row>
    <row r="6">
      <c r="A6" s="14" t="n"/>
      <c r="B6" s="14" t="n"/>
      <c r="C6" s="14" t="n"/>
      <c r="D6" s="14" t="n"/>
    </row>
    <row r="7">
      <c r="A7" s="14" t="n"/>
      <c r="B7" s="14" t="n"/>
      <c r="C7" s="14" t="n"/>
      <c r="D7" s="14" t="n"/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</sheetData>
  <autoFilter ref="A4:D2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0"/>
    <pageSetUpPr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60" customWidth="1" min="4" max="4"/>
    <col width="8" customWidth="1" min="5" max="5"/>
    <col width="14" customWidth="1" min="6" max="6"/>
    <col width="8" customWidth="1" min="7" max="7"/>
    <col width="14" customWidth="1" min="8" max="8"/>
    <col width="20" customWidth="1" min="9" max="9"/>
    <col width="18" customWidth="1" min="10" max="10"/>
  </cols>
  <sheetData>
    <row r="1" ht="24" customHeight="1">
      <c r="A1" s="8" t="inlineStr">
        <is>
          <t>BEYOND DESIGN | PRICE LIST</t>
        </is>
      </c>
    </row>
    <row r="2">
      <c r="A2" s="9" t="inlineStr">
        <is>
          <t>Unit-rate price list (historical cost × (1 + markup) = client price)</t>
        </is>
      </c>
    </row>
    <row r="3">
      <c r="A3" s="10" t="inlineStr">
        <is>
          <t>e.g. أعمال البياض</t>
        </is>
      </c>
      <c r="B3" s="10" t="inlineStr">
        <is>
          <t>3.1</t>
        </is>
      </c>
      <c r="D3" s="10" t="inlineStr">
        <is>
          <t>بياض حوائط</t>
        </is>
      </c>
      <c r="E3" s="10" t="inlineStr">
        <is>
          <t>م٢</t>
        </is>
      </c>
      <c r="F3" s="10" t="n">
        <v>219.23</v>
      </c>
      <c r="G3" s="10" t="inlineStr">
        <is>
          <t>30%</t>
        </is>
      </c>
      <c r="H3" s="10" t="inlineStr"/>
    </row>
    <row r="4" ht="30" customHeight="1">
      <c r="A4" s="11" t="inlineStr">
        <is>
          <t>Category</t>
        </is>
      </c>
      <c r="B4" s="11" t="inlineStr">
        <is>
          <t>Item No.</t>
        </is>
      </c>
      <c r="C4" s="11" t="inlineStr">
        <is>
          <t>Sub-category</t>
        </is>
      </c>
      <c r="D4" s="11" t="inlineStr">
        <is>
          <t>Description</t>
        </is>
      </c>
      <c r="E4" s="11" t="inlineStr">
        <is>
          <t>Unit</t>
        </is>
      </c>
      <c r="F4" s="11" t="inlineStr">
        <is>
          <t>Unit Cost</t>
        </is>
      </c>
      <c r="G4" s="11" t="inlineStr">
        <is>
          <t>Markup %</t>
        </is>
      </c>
      <c r="H4" s="11" t="inlineStr">
        <is>
          <t>Client Price</t>
        </is>
      </c>
      <c r="I4" s="11" t="inlineStr">
        <is>
          <t>Notes</t>
        </is>
      </c>
      <c r="J4" s="11" t="inlineStr">
        <is>
          <t>ETA Item Code</t>
        </is>
      </c>
    </row>
    <row r="5">
      <c r="A5" s="14" t="n"/>
      <c r="B5" s="14" t="n"/>
      <c r="C5" s="14" t="n"/>
      <c r="D5" s="14" t="n"/>
      <c r="E5" s="14" t="n"/>
      <c r="F5" s="20" t="n"/>
      <c r="G5" s="18" t="n"/>
      <c r="H5" s="20" t="n"/>
      <c r="I5" s="14" t="n"/>
      <c r="J5" s="14" t="n"/>
    </row>
    <row r="6">
      <c r="A6" s="14" t="n"/>
      <c r="B6" s="14" t="n"/>
      <c r="C6" s="14" t="n"/>
      <c r="D6" s="14" t="n"/>
      <c r="E6" s="14" t="n"/>
      <c r="F6" s="20" t="n"/>
      <c r="G6" s="18" t="n"/>
      <c r="H6" s="20" t="n"/>
      <c r="I6" s="14" t="n"/>
      <c r="J6" s="14" t="n"/>
    </row>
    <row r="7">
      <c r="A7" s="14" t="n"/>
      <c r="B7" s="14" t="n"/>
      <c r="C7" s="14" t="n"/>
      <c r="D7" s="14" t="n"/>
      <c r="E7" s="14" t="n"/>
      <c r="F7" s="20" t="n"/>
      <c r="G7" s="18" t="n"/>
      <c r="H7" s="20" t="n"/>
      <c r="I7" s="14" t="n"/>
      <c r="J7" s="14" t="n"/>
    </row>
    <row r="8">
      <c r="A8" s="14" t="n"/>
      <c r="B8" s="14" t="n"/>
      <c r="C8" s="14" t="n"/>
      <c r="D8" s="14" t="n"/>
      <c r="E8" s="14" t="n"/>
      <c r="F8" s="20" t="n"/>
      <c r="G8" s="18" t="n"/>
      <c r="H8" s="20" t="n"/>
      <c r="I8" s="14" t="n"/>
      <c r="J8" s="14" t="n"/>
    </row>
    <row r="9">
      <c r="A9" s="14" t="n"/>
      <c r="B9" s="14" t="n"/>
      <c r="C9" s="14" t="n"/>
      <c r="D9" s="14" t="n"/>
      <c r="E9" s="14" t="n"/>
      <c r="F9" s="20" t="n"/>
      <c r="G9" s="18" t="n"/>
      <c r="H9" s="20" t="n"/>
      <c r="I9" s="14" t="n"/>
      <c r="J9" s="14" t="n"/>
    </row>
    <row r="10">
      <c r="A10" s="14" t="n"/>
      <c r="B10" s="14" t="n"/>
      <c r="C10" s="14" t="n"/>
      <c r="D10" s="14" t="n"/>
      <c r="E10" s="14" t="n"/>
      <c r="F10" s="20" t="n"/>
      <c r="G10" s="18" t="n"/>
      <c r="H10" s="20" t="n"/>
      <c r="I10" s="14" t="n"/>
      <c r="J10" s="14" t="n"/>
    </row>
    <row r="11">
      <c r="A11" s="14" t="n"/>
      <c r="B11" s="14" t="n"/>
      <c r="C11" s="14" t="n"/>
      <c r="D11" s="14" t="n"/>
      <c r="E11" s="14" t="n"/>
      <c r="F11" s="20" t="n"/>
      <c r="G11" s="18" t="n"/>
      <c r="H11" s="20" t="n"/>
      <c r="I11" s="14" t="n"/>
      <c r="J11" s="14" t="n"/>
    </row>
    <row r="12">
      <c r="A12" s="14" t="n"/>
      <c r="B12" s="14" t="n"/>
      <c r="C12" s="14" t="n"/>
      <c r="D12" s="14" t="n"/>
      <c r="E12" s="14" t="n"/>
      <c r="F12" s="20" t="n"/>
      <c r="G12" s="18" t="n"/>
      <c r="H12" s="20" t="n"/>
      <c r="I12" s="14" t="n"/>
      <c r="J12" s="14" t="n"/>
    </row>
    <row r="13">
      <c r="A13" s="14" t="n"/>
      <c r="B13" s="14" t="n"/>
      <c r="C13" s="14" t="n"/>
      <c r="D13" s="14" t="n"/>
      <c r="E13" s="14" t="n"/>
      <c r="F13" s="20" t="n"/>
      <c r="G13" s="18" t="n"/>
      <c r="H13" s="20" t="n"/>
      <c r="I13" s="14" t="n"/>
      <c r="J13" s="14" t="n"/>
    </row>
    <row r="14">
      <c r="A14" s="14" t="n"/>
      <c r="B14" s="14" t="n"/>
      <c r="C14" s="14" t="n"/>
      <c r="D14" s="14" t="n"/>
      <c r="E14" s="14" t="n"/>
      <c r="F14" s="20" t="n"/>
      <c r="G14" s="18" t="n"/>
      <c r="H14" s="20" t="n"/>
      <c r="I14" s="14" t="n"/>
      <c r="J14" s="14" t="n"/>
    </row>
    <row r="15">
      <c r="A15" s="14" t="n"/>
      <c r="B15" s="14" t="n"/>
      <c r="C15" s="14" t="n"/>
      <c r="D15" s="14" t="n"/>
      <c r="E15" s="14" t="n"/>
      <c r="F15" s="20" t="n"/>
      <c r="G15" s="18" t="n"/>
      <c r="H15" s="20" t="n"/>
      <c r="I15" s="14" t="n"/>
      <c r="J15" s="14" t="n"/>
    </row>
    <row r="16">
      <c r="A16" s="14" t="n"/>
      <c r="B16" s="14" t="n"/>
      <c r="C16" s="14" t="n"/>
      <c r="D16" s="14" t="n"/>
      <c r="E16" s="14" t="n"/>
      <c r="F16" s="20" t="n"/>
      <c r="G16" s="18" t="n"/>
      <c r="H16" s="20" t="n"/>
      <c r="I16" s="14" t="n"/>
      <c r="J16" s="14" t="n"/>
    </row>
    <row r="17">
      <c r="A17" s="14" t="n"/>
      <c r="B17" s="14" t="n"/>
      <c r="C17" s="14" t="n"/>
      <c r="D17" s="14" t="n"/>
      <c r="E17" s="14" t="n"/>
      <c r="F17" s="20" t="n"/>
      <c r="G17" s="18" t="n"/>
      <c r="H17" s="20" t="n"/>
      <c r="I17" s="14" t="n"/>
      <c r="J17" s="14" t="n"/>
    </row>
    <row r="18">
      <c r="A18" s="14" t="n"/>
      <c r="B18" s="14" t="n"/>
      <c r="C18" s="14" t="n"/>
      <c r="D18" s="14" t="n"/>
      <c r="E18" s="14" t="n"/>
      <c r="F18" s="20" t="n"/>
      <c r="G18" s="18" t="n"/>
      <c r="H18" s="20" t="n"/>
      <c r="I18" s="14" t="n"/>
      <c r="J18" s="14" t="n"/>
    </row>
    <row r="19">
      <c r="A19" s="14" t="n"/>
      <c r="B19" s="14" t="n"/>
      <c r="C19" s="14" t="n"/>
      <c r="D19" s="14" t="n"/>
      <c r="E19" s="14" t="n"/>
      <c r="F19" s="20" t="n"/>
      <c r="G19" s="18" t="n"/>
      <c r="H19" s="20" t="n"/>
      <c r="I19" s="14" t="n"/>
      <c r="J19" s="14" t="n"/>
    </row>
    <row r="20">
      <c r="A20" s="14" t="n"/>
      <c r="B20" s="14" t="n"/>
      <c r="C20" s="14" t="n"/>
      <c r="D20" s="14" t="n"/>
      <c r="E20" s="14" t="n"/>
      <c r="F20" s="20" t="n"/>
      <c r="G20" s="18" t="n"/>
      <c r="H20" s="20" t="n"/>
      <c r="I20" s="14" t="n"/>
      <c r="J20" s="14" t="n"/>
    </row>
    <row r="21">
      <c r="A21" s="14" t="n"/>
      <c r="B21" s="14" t="n"/>
      <c r="C21" s="14" t="n"/>
      <c r="D21" s="14" t="n"/>
      <c r="E21" s="14" t="n"/>
      <c r="F21" s="20" t="n"/>
      <c r="G21" s="18" t="n"/>
      <c r="H21" s="20" t="n"/>
      <c r="I21" s="14" t="n"/>
      <c r="J21" s="14" t="n"/>
    </row>
    <row r="22">
      <c r="A22" s="14" t="n"/>
      <c r="B22" s="14" t="n"/>
      <c r="C22" s="14" t="n"/>
      <c r="D22" s="14" t="n"/>
      <c r="E22" s="14" t="n"/>
      <c r="F22" s="20" t="n"/>
      <c r="G22" s="18" t="n"/>
      <c r="H22" s="20" t="n"/>
      <c r="I22" s="14" t="n"/>
      <c r="J22" s="14" t="n"/>
    </row>
    <row r="23">
      <c r="A23" s="14" t="n"/>
      <c r="B23" s="14" t="n"/>
      <c r="C23" s="14" t="n"/>
      <c r="D23" s="14" t="n"/>
      <c r="E23" s="14" t="n"/>
      <c r="F23" s="20" t="n"/>
      <c r="G23" s="18" t="n"/>
      <c r="H23" s="20" t="n"/>
      <c r="I23" s="14" t="n"/>
      <c r="J23" s="14" t="n"/>
    </row>
    <row r="24">
      <c r="A24" s="14" t="n"/>
      <c r="B24" s="14" t="n"/>
      <c r="C24" s="14" t="n"/>
      <c r="D24" s="14" t="n"/>
      <c r="E24" s="14" t="n"/>
      <c r="F24" s="20" t="n"/>
      <c r="G24" s="18" t="n"/>
      <c r="H24" s="20" t="n"/>
      <c r="I24" s="14" t="n"/>
      <c r="J24" s="14" t="n"/>
    </row>
    <row r="25">
      <c r="A25" s="14" t="n"/>
      <c r="B25" s="14" t="n"/>
      <c r="C25" s="14" t="n"/>
      <c r="D25" s="14" t="n"/>
      <c r="E25" s="14" t="n"/>
      <c r="F25" s="20" t="n"/>
      <c r="G25" s="18" t="n"/>
      <c r="H25" s="20" t="n"/>
      <c r="I25" s="14" t="n"/>
      <c r="J25" s="14" t="n"/>
    </row>
    <row r="26">
      <c r="A26" s="14" t="n"/>
      <c r="B26" s="14" t="n"/>
      <c r="C26" s="14" t="n"/>
      <c r="D26" s="14" t="n"/>
      <c r="E26" s="14" t="n"/>
      <c r="F26" s="20" t="n"/>
      <c r="G26" s="18" t="n"/>
      <c r="H26" s="20" t="n"/>
      <c r="I26" s="14" t="n"/>
      <c r="J26" s="14" t="n"/>
    </row>
    <row r="27">
      <c r="A27" s="14" t="n"/>
      <c r="B27" s="14" t="n"/>
      <c r="C27" s="14" t="n"/>
      <c r="D27" s="14" t="n"/>
      <c r="E27" s="14" t="n"/>
      <c r="F27" s="20" t="n"/>
      <c r="G27" s="18" t="n"/>
      <c r="H27" s="20" t="n"/>
      <c r="I27" s="14" t="n"/>
      <c r="J27" s="14" t="n"/>
    </row>
    <row r="28">
      <c r="A28" s="14" t="n"/>
      <c r="B28" s="14" t="n"/>
      <c r="C28" s="14" t="n"/>
      <c r="D28" s="14" t="n"/>
      <c r="E28" s="14" t="n"/>
      <c r="F28" s="20" t="n"/>
      <c r="G28" s="18" t="n"/>
      <c r="H28" s="20" t="n"/>
      <c r="I28" s="14" t="n"/>
      <c r="J28" s="14" t="n"/>
    </row>
    <row r="29">
      <c r="A29" s="14" t="n"/>
      <c r="B29" s="14" t="n"/>
      <c r="C29" s="14" t="n"/>
      <c r="D29" s="14" t="n"/>
      <c r="E29" s="14" t="n"/>
      <c r="F29" s="20" t="n"/>
      <c r="G29" s="18" t="n"/>
      <c r="H29" s="20" t="n"/>
      <c r="I29" s="14" t="n"/>
      <c r="J29" s="14" t="n"/>
    </row>
    <row r="30">
      <c r="A30" s="14" t="n"/>
      <c r="B30" s="14" t="n"/>
      <c r="C30" s="14" t="n"/>
      <c r="D30" s="14" t="n"/>
      <c r="E30" s="14" t="n"/>
      <c r="F30" s="20" t="n"/>
      <c r="G30" s="18" t="n"/>
      <c r="H30" s="20" t="n"/>
      <c r="I30" s="14" t="n"/>
      <c r="J30" s="14" t="n"/>
    </row>
    <row r="31">
      <c r="A31" s="14" t="n"/>
      <c r="B31" s="14" t="n"/>
      <c r="C31" s="14" t="n"/>
      <c r="D31" s="14" t="n"/>
      <c r="E31" s="14" t="n"/>
      <c r="F31" s="20" t="n"/>
      <c r="G31" s="18" t="n"/>
      <c r="H31" s="20" t="n"/>
      <c r="I31" s="14" t="n"/>
      <c r="J31" s="14" t="n"/>
    </row>
    <row r="32">
      <c r="A32" s="14" t="n"/>
      <c r="B32" s="14" t="n"/>
      <c r="C32" s="14" t="n"/>
      <c r="D32" s="14" t="n"/>
      <c r="E32" s="14" t="n"/>
      <c r="F32" s="20" t="n"/>
      <c r="G32" s="18" t="n"/>
      <c r="H32" s="20" t="n"/>
      <c r="I32" s="14" t="n"/>
      <c r="J32" s="14" t="n"/>
    </row>
    <row r="33">
      <c r="A33" s="14" t="n"/>
      <c r="B33" s="14" t="n"/>
      <c r="C33" s="14" t="n"/>
      <c r="D33" s="14" t="n"/>
      <c r="E33" s="14" t="n"/>
      <c r="F33" s="20" t="n"/>
      <c r="G33" s="18" t="n"/>
      <c r="H33" s="20" t="n"/>
      <c r="I33" s="14" t="n"/>
      <c r="J33" s="14" t="n"/>
    </row>
    <row r="34">
      <c r="A34" s="14" t="n"/>
      <c r="B34" s="14" t="n"/>
      <c r="C34" s="14" t="n"/>
      <c r="D34" s="14" t="n"/>
      <c r="E34" s="14" t="n"/>
      <c r="F34" s="20" t="n"/>
      <c r="G34" s="18" t="n"/>
      <c r="H34" s="20" t="n"/>
      <c r="I34" s="14" t="n"/>
      <c r="J34" s="14" t="n"/>
    </row>
    <row r="35">
      <c r="A35" s="14" t="n"/>
      <c r="B35" s="14" t="n"/>
      <c r="C35" s="14" t="n"/>
      <c r="D35" s="14" t="n"/>
      <c r="E35" s="14" t="n"/>
      <c r="F35" s="20" t="n"/>
      <c r="G35" s="18" t="n"/>
      <c r="H35" s="20" t="n"/>
      <c r="I35" s="14" t="n"/>
      <c r="J35" s="14" t="n"/>
    </row>
    <row r="36">
      <c r="A36" s="14" t="n"/>
      <c r="B36" s="14" t="n"/>
      <c r="C36" s="14" t="n"/>
      <c r="D36" s="14" t="n"/>
      <c r="E36" s="14" t="n"/>
      <c r="F36" s="20" t="n"/>
      <c r="G36" s="18" t="n"/>
      <c r="H36" s="20" t="n"/>
      <c r="I36" s="14" t="n"/>
      <c r="J36" s="14" t="n"/>
    </row>
    <row r="37">
      <c r="A37" s="14" t="n"/>
      <c r="B37" s="14" t="n"/>
      <c r="C37" s="14" t="n"/>
      <c r="D37" s="14" t="n"/>
      <c r="E37" s="14" t="n"/>
      <c r="F37" s="20" t="n"/>
      <c r="G37" s="18" t="n"/>
      <c r="H37" s="20" t="n"/>
      <c r="I37" s="14" t="n"/>
      <c r="J37" s="14" t="n"/>
    </row>
    <row r="38">
      <c r="A38" s="14" t="n"/>
      <c r="B38" s="14" t="n"/>
      <c r="C38" s="14" t="n"/>
      <c r="D38" s="14" t="n"/>
      <c r="E38" s="14" t="n"/>
      <c r="F38" s="20" t="n"/>
      <c r="G38" s="18" t="n"/>
      <c r="H38" s="20" t="n"/>
      <c r="I38" s="14" t="n"/>
      <c r="J38" s="14" t="n"/>
    </row>
    <row r="39">
      <c r="A39" s="14" t="n"/>
      <c r="B39" s="14" t="n"/>
      <c r="C39" s="14" t="n"/>
      <c r="D39" s="14" t="n"/>
      <c r="E39" s="14" t="n"/>
      <c r="F39" s="20" t="n"/>
      <c r="G39" s="18" t="n"/>
      <c r="H39" s="20" t="n"/>
      <c r="I39" s="14" t="n"/>
      <c r="J39" s="14" t="n"/>
    </row>
    <row r="40">
      <c r="A40" s="14" t="n"/>
      <c r="B40" s="14" t="n"/>
      <c r="C40" s="14" t="n"/>
      <c r="D40" s="14" t="n"/>
      <c r="E40" s="14" t="n"/>
      <c r="F40" s="20" t="n"/>
      <c r="G40" s="18" t="n"/>
      <c r="H40" s="20" t="n"/>
      <c r="I40" s="14" t="n"/>
      <c r="J40" s="14" t="n"/>
    </row>
    <row r="41">
      <c r="A41" s="14" t="n"/>
      <c r="B41" s="14" t="n"/>
      <c r="C41" s="14" t="n"/>
      <c r="D41" s="14" t="n"/>
      <c r="E41" s="14" t="n"/>
      <c r="F41" s="20" t="n"/>
      <c r="G41" s="18" t="n"/>
      <c r="H41" s="20" t="n"/>
      <c r="I41" s="14" t="n"/>
      <c r="J41" s="14" t="n"/>
    </row>
    <row r="42">
      <c r="A42" s="14" t="n"/>
      <c r="B42" s="14" t="n"/>
      <c r="C42" s="14" t="n"/>
      <c r="D42" s="14" t="n"/>
      <c r="E42" s="14" t="n"/>
      <c r="F42" s="20" t="n"/>
      <c r="G42" s="18" t="n"/>
      <c r="H42" s="20" t="n"/>
      <c r="I42" s="14" t="n"/>
      <c r="J42" s="14" t="n"/>
    </row>
    <row r="43">
      <c r="A43" s="14" t="n"/>
      <c r="B43" s="14" t="n"/>
      <c r="C43" s="14" t="n"/>
      <c r="D43" s="14" t="n"/>
      <c r="E43" s="14" t="n"/>
      <c r="F43" s="20" t="n"/>
      <c r="G43" s="18" t="n"/>
      <c r="H43" s="20" t="n"/>
      <c r="I43" s="14" t="n"/>
      <c r="J43" s="14" t="n"/>
    </row>
    <row r="44">
      <c r="A44" s="14" t="n"/>
      <c r="B44" s="14" t="n"/>
      <c r="C44" s="14" t="n"/>
      <c r="D44" s="14" t="n"/>
      <c r="E44" s="14" t="n"/>
      <c r="F44" s="20" t="n"/>
      <c r="G44" s="18" t="n"/>
      <c r="H44" s="20" t="n"/>
      <c r="I44" s="14" t="n"/>
      <c r="J44" s="14" t="n"/>
    </row>
    <row r="45">
      <c r="A45" s="14" t="n"/>
      <c r="B45" s="14" t="n"/>
      <c r="C45" s="14" t="n"/>
      <c r="D45" s="14" t="n"/>
      <c r="E45" s="14" t="n"/>
      <c r="F45" s="20" t="n"/>
      <c r="G45" s="18" t="n"/>
      <c r="H45" s="20" t="n"/>
      <c r="I45" s="14" t="n"/>
      <c r="J45" s="14" t="n"/>
    </row>
    <row r="46">
      <c r="A46" s="14" t="n"/>
      <c r="B46" s="14" t="n"/>
      <c r="C46" s="14" t="n"/>
      <c r="D46" s="14" t="n"/>
      <c r="E46" s="14" t="n"/>
      <c r="F46" s="20" t="n"/>
      <c r="G46" s="18" t="n"/>
      <c r="H46" s="20" t="n"/>
      <c r="I46" s="14" t="n"/>
      <c r="J46" s="14" t="n"/>
    </row>
    <row r="47">
      <c r="A47" s="14" t="n"/>
      <c r="B47" s="14" t="n"/>
      <c r="C47" s="14" t="n"/>
      <c r="D47" s="14" t="n"/>
      <c r="E47" s="14" t="n"/>
      <c r="F47" s="20" t="n"/>
      <c r="G47" s="18" t="n"/>
      <c r="H47" s="20" t="n"/>
      <c r="I47" s="14" t="n"/>
      <c r="J47" s="14" t="n"/>
    </row>
    <row r="48">
      <c r="A48" s="14" t="n"/>
      <c r="B48" s="14" t="n"/>
      <c r="C48" s="14" t="n"/>
      <c r="D48" s="14" t="n"/>
      <c r="E48" s="14" t="n"/>
      <c r="F48" s="20" t="n"/>
      <c r="G48" s="18" t="n"/>
      <c r="H48" s="20" t="n"/>
      <c r="I48" s="14" t="n"/>
      <c r="J48" s="14" t="n"/>
    </row>
    <row r="49">
      <c r="A49" s="14" t="n"/>
      <c r="B49" s="14" t="n"/>
      <c r="C49" s="14" t="n"/>
      <c r="D49" s="14" t="n"/>
      <c r="E49" s="14" t="n"/>
      <c r="F49" s="20" t="n"/>
      <c r="G49" s="18" t="n"/>
      <c r="H49" s="20" t="n"/>
      <c r="I49" s="14" t="n"/>
      <c r="J49" s="14" t="n"/>
    </row>
    <row r="50">
      <c r="A50" s="14" t="n"/>
      <c r="B50" s="14" t="n"/>
      <c r="C50" s="14" t="n"/>
      <c r="D50" s="14" t="n"/>
      <c r="E50" s="14" t="n"/>
      <c r="F50" s="20" t="n"/>
      <c r="G50" s="18" t="n"/>
      <c r="H50" s="20" t="n"/>
      <c r="I50" s="14" t="n"/>
      <c r="J50" s="14" t="n"/>
    </row>
    <row r="51">
      <c r="A51" s="14" t="n"/>
      <c r="B51" s="14" t="n"/>
      <c r="C51" s="14" t="n"/>
      <c r="D51" s="14" t="n"/>
      <c r="E51" s="14" t="n"/>
      <c r="F51" s="20" t="n"/>
      <c r="G51" s="18" t="n"/>
      <c r="H51" s="20" t="n"/>
      <c r="I51" s="14" t="n"/>
      <c r="J51" s="14" t="n"/>
    </row>
    <row r="52">
      <c r="A52" s="14" t="n"/>
      <c r="B52" s="14" t="n"/>
      <c r="C52" s="14" t="n"/>
      <c r="D52" s="14" t="n"/>
      <c r="E52" s="14" t="n"/>
      <c r="F52" s="20" t="n"/>
      <c r="G52" s="18" t="n"/>
      <c r="H52" s="20" t="n"/>
      <c r="I52" s="14" t="n"/>
      <c r="J52" s="14" t="n"/>
    </row>
    <row r="53">
      <c r="A53" s="14" t="n"/>
      <c r="B53" s="14" t="n"/>
      <c r="C53" s="14" t="n"/>
      <c r="D53" s="14" t="n"/>
      <c r="E53" s="14" t="n"/>
      <c r="F53" s="20" t="n"/>
      <c r="G53" s="18" t="n"/>
      <c r="H53" s="20" t="n"/>
      <c r="I53" s="14" t="n"/>
      <c r="J53" s="14" t="n"/>
    </row>
    <row r="54">
      <c r="A54" s="14" t="n"/>
      <c r="B54" s="14" t="n"/>
      <c r="C54" s="14" t="n"/>
      <c r="D54" s="14" t="n"/>
      <c r="E54" s="14" t="n"/>
      <c r="F54" s="20" t="n"/>
      <c r="G54" s="18" t="n"/>
      <c r="H54" s="20" t="n"/>
      <c r="I54" s="14" t="n"/>
      <c r="J54" s="14" t="n"/>
    </row>
    <row r="55">
      <c r="A55" s="14" t="n"/>
      <c r="B55" s="14" t="n"/>
      <c r="C55" s="14" t="n"/>
      <c r="D55" s="14" t="n"/>
      <c r="E55" s="14" t="n"/>
      <c r="F55" s="20" t="n"/>
      <c r="G55" s="18" t="n"/>
      <c r="H55" s="20" t="n"/>
      <c r="I55" s="14" t="n"/>
      <c r="J55" s="14" t="n"/>
    </row>
    <row r="56">
      <c r="A56" s="14" t="n"/>
      <c r="B56" s="14" t="n"/>
      <c r="C56" s="14" t="n"/>
      <c r="D56" s="14" t="n"/>
      <c r="E56" s="14" t="n"/>
      <c r="F56" s="20" t="n"/>
      <c r="G56" s="18" t="n"/>
      <c r="H56" s="20" t="n"/>
      <c r="I56" s="14" t="n"/>
      <c r="J56" s="14" t="n"/>
    </row>
    <row r="57">
      <c r="A57" s="14" t="n"/>
      <c r="B57" s="14" t="n"/>
      <c r="C57" s="14" t="n"/>
      <c r="D57" s="14" t="n"/>
      <c r="E57" s="14" t="n"/>
      <c r="F57" s="20" t="n"/>
      <c r="G57" s="18" t="n"/>
      <c r="H57" s="20" t="n"/>
      <c r="I57" s="14" t="n"/>
      <c r="J57" s="14" t="n"/>
    </row>
    <row r="58">
      <c r="A58" s="14" t="n"/>
      <c r="B58" s="14" t="n"/>
      <c r="C58" s="14" t="n"/>
      <c r="D58" s="14" t="n"/>
      <c r="E58" s="14" t="n"/>
      <c r="F58" s="20" t="n"/>
      <c r="G58" s="18" t="n"/>
      <c r="H58" s="20" t="n"/>
      <c r="I58" s="14" t="n"/>
      <c r="J58" s="14" t="n"/>
    </row>
    <row r="59">
      <c r="A59" s="14" t="n"/>
      <c r="B59" s="14" t="n"/>
      <c r="C59" s="14" t="n"/>
      <c r="D59" s="14" t="n"/>
      <c r="E59" s="14" t="n"/>
      <c r="F59" s="20" t="n"/>
      <c r="G59" s="18" t="n"/>
      <c r="H59" s="20" t="n"/>
      <c r="I59" s="14" t="n"/>
      <c r="J59" s="14" t="n"/>
    </row>
    <row r="60">
      <c r="A60" s="14" t="n"/>
      <c r="B60" s="14" t="n"/>
      <c r="C60" s="14" t="n"/>
      <c r="D60" s="14" t="n"/>
      <c r="E60" s="14" t="n"/>
      <c r="F60" s="20" t="n"/>
      <c r="G60" s="18" t="n"/>
      <c r="H60" s="20" t="n"/>
      <c r="I60" s="14" t="n"/>
      <c r="J60" s="14" t="n"/>
    </row>
    <row r="61">
      <c r="A61" s="14" t="n"/>
      <c r="B61" s="14" t="n"/>
      <c r="C61" s="14" t="n"/>
      <c r="D61" s="14" t="n"/>
      <c r="E61" s="14" t="n"/>
      <c r="F61" s="20" t="n"/>
      <c r="G61" s="18" t="n"/>
      <c r="H61" s="20" t="n"/>
      <c r="I61" s="14" t="n"/>
      <c r="J61" s="14" t="n"/>
    </row>
    <row r="62">
      <c r="A62" s="14" t="n"/>
      <c r="B62" s="14" t="n"/>
      <c r="C62" s="14" t="n"/>
      <c r="D62" s="14" t="n"/>
      <c r="E62" s="14" t="n"/>
      <c r="F62" s="20" t="n"/>
      <c r="G62" s="18" t="n"/>
      <c r="H62" s="20" t="n"/>
      <c r="I62" s="14" t="n"/>
      <c r="J62" s="14" t="n"/>
    </row>
    <row r="63">
      <c r="A63" s="14" t="n"/>
      <c r="B63" s="14" t="n"/>
      <c r="C63" s="14" t="n"/>
      <c r="D63" s="14" t="n"/>
      <c r="E63" s="14" t="n"/>
      <c r="F63" s="20" t="n"/>
      <c r="G63" s="18" t="n"/>
      <c r="H63" s="20" t="n"/>
      <c r="I63" s="14" t="n"/>
      <c r="J63" s="14" t="n"/>
    </row>
    <row r="64">
      <c r="A64" s="14" t="n"/>
      <c r="B64" s="14" t="n"/>
      <c r="C64" s="14" t="n"/>
      <c r="D64" s="14" t="n"/>
      <c r="E64" s="14" t="n"/>
      <c r="F64" s="20" t="n"/>
      <c r="G64" s="18" t="n"/>
      <c r="H64" s="20" t="n"/>
      <c r="I64" s="14" t="n"/>
      <c r="J64" s="14" t="n"/>
    </row>
    <row r="65">
      <c r="A65" s="14" t="n"/>
      <c r="B65" s="14" t="n"/>
      <c r="C65" s="14" t="n"/>
      <c r="D65" s="14" t="n"/>
      <c r="E65" s="14" t="n"/>
      <c r="F65" s="20" t="n"/>
      <c r="G65" s="18" t="n"/>
      <c r="H65" s="20" t="n"/>
      <c r="I65" s="14" t="n"/>
      <c r="J65" s="14" t="n"/>
    </row>
    <row r="66">
      <c r="A66" s="14" t="n"/>
      <c r="B66" s="14" t="n"/>
      <c r="C66" s="14" t="n"/>
      <c r="D66" s="14" t="n"/>
      <c r="E66" s="14" t="n"/>
      <c r="F66" s="20" t="n"/>
      <c r="G66" s="18" t="n"/>
      <c r="H66" s="20" t="n"/>
      <c r="I66" s="14" t="n"/>
      <c r="J66" s="14" t="n"/>
    </row>
    <row r="67">
      <c r="A67" s="14" t="n"/>
      <c r="B67" s="14" t="n"/>
      <c r="C67" s="14" t="n"/>
      <c r="D67" s="14" t="n"/>
      <c r="E67" s="14" t="n"/>
      <c r="F67" s="20" t="n"/>
      <c r="G67" s="18" t="n"/>
      <c r="H67" s="20" t="n"/>
      <c r="I67" s="14" t="n"/>
      <c r="J67" s="14" t="n"/>
    </row>
    <row r="68">
      <c r="A68" s="14" t="n"/>
      <c r="B68" s="14" t="n"/>
      <c r="C68" s="14" t="n"/>
      <c r="D68" s="14" t="n"/>
      <c r="E68" s="14" t="n"/>
      <c r="F68" s="20" t="n"/>
      <c r="G68" s="18" t="n"/>
      <c r="H68" s="20" t="n"/>
      <c r="I68" s="14" t="n"/>
      <c r="J68" s="14" t="n"/>
    </row>
    <row r="69">
      <c r="A69" s="14" t="n"/>
      <c r="B69" s="14" t="n"/>
      <c r="C69" s="14" t="n"/>
      <c r="D69" s="14" t="n"/>
      <c r="E69" s="14" t="n"/>
      <c r="F69" s="20" t="n"/>
      <c r="G69" s="18" t="n"/>
      <c r="H69" s="20" t="n"/>
      <c r="I69" s="14" t="n"/>
      <c r="J69" s="14" t="n"/>
    </row>
    <row r="70">
      <c r="A70" s="14" t="n"/>
      <c r="B70" s="14" t="n"/>
      <c r="C70" s="14" t="n"/>
      <c r="D70" s="14" t="n"/>
      <c r="E70" s="14" t="n"/>
      <c r="F70" s="20" t="n"/>
      <c r="G70" s="18" t="n"/>
      <c r="H70" s="20" t="n"/>
      <c r="I70" s="14" t="n"/>
      <c r="J70" s="14" t="n"/>
    </row>
    <row r="71">
      <c r="A71" s="14" t="n"/>
      <c r="B71" s="14" t="n"/>
      <c r="C71" s="14" t="n"/>
      <c r="D71" s="14" t="n"/>
      <c r="E71" s="14" t="n"/>
      <c r="F71" s="20" t="n"/>
      <c r="G71" s="18" t="n"/>
      <c r="H71" s="20" t="n"/>
      <c r="I71" s="14" t="n"/>
      <c r="J71" s="14" t="n"/>
    </row>
    <row r="72">
      <c r="A72" s="14" t="n"/>
      <c r="B72" s="14" t="n"/>
      <c r="C72" s="14" t="n"/>
      <c r="D72" s="14" t="n"/>
      <c r="E72" s="14" t="n"/>
      <c r="F72" s="20" t="n"/>
      <c r="G72" s="18" t="n"/>
      <c r="H72" s="20" t="n"/>
      <c r="I72" s="14" t="n"/>
      <c r="J72" s="14" t="n"/>
    </row>
    <row r="73">
      <c r="A73" s="14" t="n"/>
      <c r="B73" s="14" t="n"/>
      <c r="C73" s="14" t="n"/>
      <c r="D73" s="14" t="n"/>
      <c r="E73" s="14" t="n"/>
      <c r="F73" s="20" t="n"/>
      <c r="G73" s="18" t="n"/>
      <c r="H73" s="20" t="n"/>
      <c r="I73" s="14" t="n"/>
      <c r="J73" s="14" t="n"/>
    </row>
    <row r="74">
      <c r="A74" s="14" t="n"/>
      <c r="B74" s="14" t="n"/>
      <c r="C74" s="14" t="n"/>
      <c r="D74" s="14" t="n"/>
      <c r="E74" s="14" t="n"/>
      <c r="F74" s="20" t="n"/>
      <c r="G74" s="18" t="n"/>
      <c r="H74" s="20" t="n"/>
      <c r="I74" s="14" t="n"/>
      <c r="J74" s="14" t="n"/>
    </row>
    <row r="75">
      <c r="A75" s="14" t="n"/>
      <c r="B75" s="14" t="n"/>
      <c r="C75" s="14" t="n"/>
      <c r="D75" s="14" t="n"/>
      <c r="E75" s="14" t="n"/>
      <c r="F75" s="20" t="n"/>
      <c r="G75" s="18" t="n"/>
      <c r="H75" s="20" t="n"/>
      <c r="I75" s="14" t="n"/>
      <c r="J75" s="14" t="n"/>
    </row>
    <row r="76">
      <c r="A76" s="14" t="n"/>
      <c r="B76" s="14" t="n"/>
      <c r="C76" s="14" t="n"/>
      <c r="D76" s="14" t="n"/>
      <c r="E76" s="14" t="n"/>
      <c r="F76" s="20" t="n"/>
      <c r="G76" s="18" t="n"/>
      <c r="H76" s="20" t="n"/>
      <c r="I76" s="14" t="n"/>
      <c r="J76" s="14" t="n"/>
    </row>
    <row r="77">
      <c r="A77" s="14" t="n"/>
      <c r="B77" s="14" t="n"/>
      <c r="C77" s="14" t="n"/>
      <c r="D77" s="14" t="n"/>
      <c r="E77" s="14" t="n"/>
      <c r="F77" s="20" t="n"/>
      <c r="G77" s="18" t="n"/>
      <c r="H77" s="20" t="n"/>
      <c r="I77" s="14" t="n"/>
      <c r="J77" s="14" t="n"/>
    </row>
    <row r="78">
      <c r="A78" s="14" t="n"/>
      <c r="B78" s="14" t="n"/>
      <c r="C78" s="14" t="n"/>
      <c r="D78" s="14" t="n"/>
      <c r="E78" s="14" t="n"/>
      <c r="F78" s="20" t="n"/>
      <c r="G78" s="18" t="n"/>
      <c r="H78" s="20" t="n"/>
      <c r="I78" s="14" t="n"/>
      <c r="J78" s="14" t="n"/>
    </row>
    <row r="79">
      <c r="A79" s="14" t="n"/>
      <c r="B79" s="14" t="n"/>
      <c r="C79" s="14" t="n"/>
      <c r="D79" s="14" t="n"/>
      <c r="E79" s="14" t="n"/>
      <c r="F79" s="20" t="n"/>
      <c r="G79" s="18" t="n"/>
      <c r="H79" s="20" t="n"/>
      <c r="I79" s="14" t="n"/>
      <c r="J79" s="14" t="n"/>
    </row>
    <row r="80">
      <c r="A80" s="14" t="n"/>
      <c r="B80" s="14" t="n"/>
      <c r="C80" s="14" t="n"/>
      <c r="D80" s="14" t="n"/>
      <c r="E80" s="14" t="n"/>
      <c r="F80" s="20" t="n"/>
      <c r="G80" s="18" t="n"/>
      <c r="H80" s="20" t="n"/>
      <c r="I80" s="14" t="n"/>
      <c r="J80" s="14" t="n"/>
    </row>
    <row r="81">
      <c r="A81" s="14" t="n"/>
      <c r="B81" s="14" t="n"/>
      <c r="C81" s="14" t="n"/>
      <c r="D81" s="14" t="n"/>
      <c r="E81" s="14" t="n"/>
      <c r="F81" s="20" t="n"/>
      <c r="G81" s="18" t="n"/>
      <c r="H81" s="20" t="n"/>
      <c r="I81" s="14" t="n"/>
      <c r="J81" s="14" t="n"/>
    </row>
    <row r="82">
      <c r="A82" s="14" t="n"/>
      <c r="B82" s="14" t="n"/>
      <c r="C82" s="14" t="n"/>
      <c r="D82" s="14" t="n"/>
      <c r="E82" s="14" t="n"/>
      <c r="F82" s="20" t="n"/>
      <c r="G82" s="18" t="n"/>
      <c r="H82" s="20" t="n"/>
      <c r="I82" s="14" t="n"/>
      <c r="J82" s="14" t="n"/>
    </row>
    <row r="83">
      <c r="A83" s="14" t="n"/>
      <c r="B83" s="14" t="n"/>
      <c r="C83" s="14" t="n"/>
      <c r="D83" s="14" t="n"/>
      <c r="E83" s="14" t="n"/>
      <c r="F83" s="20" t="n"/>
      <c r="G83" s="18" t="n"/>
      <c r="H83" s="20" t="n"/>
      <c r="I83" s="14" t="n"/>
      <c r="J83" s="14" t="n"/>
    </row>
    <row r="84">
      <c r="A84" s="14" t="n"/>
      <c r="B84" s="14" t="n"/>
      <c r="C84" s="14" t="n"/>
      <c r="D84" s="14" t="n"/>
      <c r="E84" s="14" t="n"/>
      <c r="F84" s="20" t="n"/>
      <c r="G84" s="18" t="n"/>
      <c r="H84" s="20" t="n"/>
      <c r="I84" s="14" t="n"/>
      <c r="J84" s="14" t="n"/>
    </row>
    <row r="85">
      <c r="A85" s="14" t="n"/>
      <c r="B85" s="14" t="n"/>
      <c r="C85" s="14" t="n"/>
      <c r="D85" s="14" t="n"/>
      <c r="E85" s="14" t="n"/>
      <c r="F85" s="20" t="n"/>
      <c r="G85" s="18" t="n"/>
      <c r="H85" s="20" t="n"/>
      <c r="I85" s="14" t="n"/>
      <c r="J85" s="14" t="n"/>
    </row>
    <row r="86">
      <c r="A86" s="14" t="n"/>
      <c r="B86" s="14" t="n"/>
      <c r="C86" s="14" t="n"/>
      <c r="D86" s="14" t="n"/>
      <c r="E86" s="14" t="n"/>
      <c r="F86" s="20" t="n"/>
      <c r="G86" s="18" t="n"/>
      <c r="H86" s="20" t="n"/>
      <c r="I86" s="14" t="n"/>
      <c r="J86" s="14" t="n"/>
    </row>
    <row r="87">
      <c r="A87" s="14" t="n"/>
      <c r="B87" s="14" t="n"/>
      <c r="C87" s="14" t="n"/>
      <c r="D87" s="14" t="n"/>
      <c r="E87" s="14" t="n"/>
      <c r="F87" s="20" t="n"/>
      <c r="G87" s="18" t="n"/>
      <c r="H87" s="20" t="n"/>
      <c r="I87" s="14" t="n"/>
      <c r="J87" s="14" t="n"/>
    </row>
    <row r="88">
      <c r="A88" s="14" t="n"/>
      <c r="B88" s="14" t="n"/>
      <c r="C88" s="14" t="n"/>
      <c r="D88" s="14" t="n"/>
      <c r="E88" s="14" t="n"/>
      <c r="F88" s="20" t="n"/>
      <c r="G88" s="18" t="n"/>
      <c r="H88" s="20" t="n"/>
      <c r="I88" s="14" t="n"/>
      <c r="J88" s="14" t="n"/>
    </row>
    <row r="89">
      <c r="A89" s="14" t="n"/>
      <c r="B89" s="14" t="n"/>
      <c r="C89" s="14" t="n"/>
      <c r="D89" s="14" t="n"/>
      <c r="E89" s="14" t="n"/>
      <c r="F89" s="20" t="n"/>
      <c r="G89" s="18" t="n"/>
      <c r="H89" s="20" t="n"/>
      <c r="I89" s="14" t="n"/>
      <c r="J89" s="14" t="n"/>
    </row>
    <row r="90">
      <c r="A90" s="14" t="n"/>
      <c r="B90" s="14" t="n"/>
      <c r="C90" s="14" t="n"/>
      <c r="D90" s="14" t="n"/>
      <c r="E90" s="14" t="n"/>
      <c r="F90" s="20" t="n"/>
      <c r="G90" s="18" t="n"/>
      <c r="H90" s="20" t="n"/>
      <c r="I90" s="14" t="n"/>
      <c r="J90" s="14" t="n"/>
    </row>
    <row r="91">
      <c r="A91" s="14" t="n"/>
      <c r="B91" s="14" t="n"/>
      <c r="C91" s="14" t="n"/>
      <c r="D91" s="14" t="n"/>
      <c r="E91" s="14" t="n"/>
      <c r="F91" s="20" t="n"/>
      <c r="G91" s="18" t="n"/>
      <c r="H91" s="20" t="n"/>
      <c r="I91" s="14" t="n"/>
      <c r="J91" s="14" t="n"/>
    </row>
    <row r="92">
      <c r="A92" s="14" t="n"/>
      <c r="B92" s="14" t="n"/>
      <c r="C92" s="14" t="n"/>
      <c r="D92" s="14" t="n"/>
      <c r="E92" s="14" t="n"/>
      <c r="F92" s="20" t="n"/>
      <c r="G92" s="18" t="n"/>
      <c r="H92" s="20" t="n"/>
      <c r="I92" s="14" t="n"/>
      <c r="J92" s="14" t="n"/>
    </row>
    <row r="93">
      <c r="A93" s="14" t="n"/>
      <c r="B93" s="14" t="n"/>
      <c r="C93" s="14" t="n"/>
      <c r="D93" s="14" t="n"/>
      <c r="E93" s="14" t="n"/>
      <c r="F93" s="20" t="n"/>
      <c r="G93" s="18" t="n"/>
      <c r="H93" s="20" t="n"/>
      <c r="I93" s="14" t="n"/>
      <c r="J93" s="14" t="n"/>
    </row>
    <row r="94">
      <c r="A94" s="14" t="n"/>
      <c r="B94" s="14" t="n"/>
      <c r="C94" s="14" t="n"/>
      <c r="D94" s="14" t="n"/>
      <c r="E94" s="14" t="n"/>
      <c r="F94" s="20" t="n"/>
      <c r="G94" s="18" t="n"/>
      <c r="H94" s="20" t="n"/>
      <c r="I94" s="14" t="n"/>
      <c r="J94" s="14" t="n"/>
    </row>
    <row r="95">
      <c r="A95" s="14" t="n"/>
      <c r="B95" s="14" t="n"/>
      <c r="C95" s="14" t="n"/>
      <c r="D95" s="14" t="n"/>
      <c r="E95" s="14" t="n"/>
      <c r="F95" s="20" t="n"/>
      <c r="G95" s="18" t="n"/>
      <c r="H95" s="20" t="n"/>
      <c r="I95" s="14" t="n"/>
      <c r="J95" s="14" t="n"/>
    </row>
    <row r="96">
      <c r="A96" s="14" t="n"/>
      <c r="B96" s="14" t="n"/>
      <c r="C96" s="14" t="n"/>
      <c r="D96" s="14" t="n"/>
      <c r="E96" s="14" t="n"/>
      <c r="F96" s="20" t="n"/>
      <c r="G96" s="18" t="n"/>
      <c r="H96" s="20" t="n"/>
      <c r="I96" s="14" t="n"/>
      <c r="J96" s="14" t="n"/>
    </row>
    <row r="97">
      <c r="A97" s="14" t="n"/>
      <c r="B97" s="14" t="n"/>
      <c r="C97" s="14" t="n"/>
      <c r="D97" s="14" t="n"/>
      <c r="E97" s="14" t="n"/>
      <c r="F97" s="20" t="n"/>
      <c r="G97" s="18" t="n"/>
      <c r="H97" s="20" t="n"/>
      <c r="I97" s="14" t="n"/>
      <c r="J97" s="14" t="n"/>
    </row>
    <row r="98">
      <c r="A98" s="14" t="n"/>
      <c r="B98" s="14" t="n"/>
      <c r="C98" s="14" t="n"/>
      <c r="D98" s="14" t="n"/>
      <c r="E98" s="14" t="n"/>
      <c r="F98" s="20" t="n"/>
      <c r="G98" s="18" t="n"/>
      <c r="H98" s="20" t="n"/>
      <c r="I98" s="14" t="n"/>
      <c r="J98" s="14" t="n"/>
    </row>
    <row r="99">
      <c r="A99" s="14" t="n"/>
      <c r="B99" s="14" t="n"/>
      <c r="C99" s="14" t="n"/>
      <c r="D99" s="14" t="n"/>
      <c r="E99" s="14" t="n"/>
      <c r="F99" s="20" t="n"/>
      <c r="G99" s="18" t="n"/>
      <c r="H99" s="20" t="n"/>
      <c r="I99" s="14" t="n"/>
      <c r="J99" s="14" t="n"/>
    </row>
    <row r="100">
      <c r="A100" s="14" t="n"/>
      <c r="B100" s="14" t="n"/>
      <c r="C100" s="14" t="n"/>
      <c r="D100" s="14" t="n"/>
      <c r="E100" s="14" t="n"/>
      <c r="F100" s="20" t="n"/>
      <c r="G100" s="18" t="n"/>
      <c r="H100" s="20" t="n"/>
      <c r="I100" s="14" t="n"/>
      <c r="J100" s="14" t="n"/>
    </row>
    <row r="101">
      <c r="A101" s="14" t="n"/>
      <c r="B101" s="14" t="n"/>
      <c r="C101" s="14" t="n"/>
      <c r="D101" s="14" t="n"/>
      <c r="E101" s="14" t="n"/>
      <c r="F101" s="20" t="n"/>
      <c r="G101" s="18" t="n"/>
      <c r="H101" s="20" t="n"/>
      <c r="I101" s="14" t="n"/>
      <c r="J101" s="14" t="n"/>
    </row>
    <row r="102">
      <c r="A102" s="14" t="n"/>
      <c r="B102" s="14" t="n"/>
      <c r="C102" s="14" t="n"/>
      <c r="D102" s="14" t="n"/>
      <c r="E102" s="14" t="n"/>
      <c r="F102" s="20" t="n"/>
      <c r="G102" s="18" t="n"/>
      <c r="H102" s="20" t="n"/>
      <c r="I102" s="14" t="n"/>
      <c r="J102" s="14" t="n"/>
    </row>
    <row r="103">
      <c r="A103" s="14" t="n"/>
      <c r="B103" s="14" t="n"/>
      <c r="C103" s="14" t="n"/>
      <c r="D103" s="14" t="n"/>
      <c r="E103" s="14" t="n"/>
      <c r="F103" s="20" t="n"/>
      <c r="G103" s="18" t="n"/>
      <c r="H103" s="20" t="n"/>
      <c r="I103" s="14" t="n"/>
      <c r="J103" s="14" t="n"/>
    </row>
    <row r="104">
      <c r="A104" s="14" t="n"/>
      <c r="B104" s="14" t="n"/>
      <c r="C104" s="14" t="n"/>
      <c r="D104" s="14" t="n"/>
      <c r="E104" s="14" t="n"/>
      <c r="F104" s="20" t="n"/>
      <c r="G104" s="18" t="n"/>
      <c r="H104" s="20" t="n"/>
      <c r="I104" s="14" t="n"/>
      <c r="J104" s="14" t="n"/>
    </row>
    <row r="105">
      <c r="A105" s="14" t="n"/>
      <c r="B105" s="14" t="n"/>
      <c r="C105" s="14" t="n"/>
      <c r="D105" s="14" t="n"/>
      <c r="E105" s="14" t="n"/>
      <c r="F105" s="20" t="n"/>
      <c r="G105" s="18" t="n"/>
      <c r="H105" s="20" t="n"/>
      <c r="I105" s="14" t="n"/>
      <c r="J105" s="14" t="n"/>
    </row>
    <row r="106">
      <c r="A106" s="14" t="n"/>
      <c r="B106" s="14" t="n"/>
      <c r="C106" s="14" t="n"/>
      <c r="D106" s="14" t="n"/>
      <c r="E106" s="14" t="n"/>
      <c r="F106" s="20" t="n"/>
      <c r="G106" s="18" t="n"/>
      <c r="H106" s="20" t="n"/>
      <c r="I106" s="14" t="n"/>
      <c r="J106" s="14" t="n"/>
    </row>
    <row r="107">
      <c r="A107" s="14" t="n"/>
      <c r="B107" s="14" t="n"/>
      <c r="C107" s="14" t="n"/>
      <c r="D107" s="14" t="n"/>
      <c r="E107" s="14" t="n"/>
      <c r="F107" s="20" t="n"/>
      <c r="G107" s="18" t="n"/>
      <c r="H107" s="20" t="n"/>
      <c r="I107" s="14" t="n"/>
      <c r="J107" s="14" t="n"/>
    </row>
    <row r="108">
      <c r="A108" s="14" t="n"/>
      <c r="B108" s="14" t="n"/>
      <c r="C108" s="14" t="n"/>
      <c r="D108" s="14" t="n"/>
      <c r="E108" s="14" t="n"/>
      <c r="F108" s="20" t="n"/>
      <c r="G108" s="18" t="n"/>
      <c r="H108" s="20" t="n"/>
      <c r="I108" s="14" t="n"/>
      <c r="J108" s="14" t="n"/>
    </row>
    <row r="109">
      <c r="A109" s="14" t="n"/>
      <c r="B109" s="14" t="n"/>
      <c r="C109" s="14" t="n"/>
      <c r="D109" s="14" t="n"/>
      <c r="E109" s="14" t="n"/>
      <c r="F109" s="20" t="n"/>
      <c r="G109" s="18" t="n"/>
      <c r="H109" s="20" t="n"/>
      <c r="I109" s="14" t="n"/>
      <c r="J109" s="14" t="n"/>
    </row>
    <row r="110">
      <c r="A110" s="14" t="n"/>
      <c r="B110" s="14" t="n"/>
      <c r="C110" s="14" t="n"/>
      <c r="D110" s="14" t="n"/>
      <c r="E110" s="14" t="n"/>
      <c r="F110" s="20" t="n"/>
      <c r="G110" s="18" t="n"/>
      <c r="H110" s="20" t="n"/>
      <c r="I110" s="14" t="n"/>
      <c r="J110" s="14" t="n"/>
    </row>
    <row r="111">
      <c r="A111" s="14" t="n"/>
      <c r="B111" s="14" t="n"/>
      <c r="C111" s="14" t="n"/>
      <c r="D111" s="14" t="n"/>
      <c r="E111" s="14" t="n"/>
      <c r="F111" s="20" t="n"/>
      <c r="G111" s="18" t="n"/>
      <c r="H111" s="20" t="n"/>
      <c r="I111" s="14" t="n"/>
      <c r="J111" s="14" t="n"/>
    </row>
    <row r="112">
      <c r="A112" s="14" t="n"/>
      <c r="B112" s="14" t="n"/>
      <c r="C112" s="14" t="n"/>
      <c r="D112" s="14" t="n"/>
      <c r="E112" s="14" t="n"/>
      <c r="F112" s="20" t="n"/>
      <c r="G112" s="18" t="n"/>
      <c r="H112" s="20" t="n"/>
      <c r="I112" s="14" t="n"/>
      <c r="J112" s="14" t="n"/>
    </row>
    <row r="113">
      <c r="A113" s="14" t="n"/>
      <c r="B113" s="14" t="n"/>
      <c r="C113" s="14" t="n"/>
      <c r="D113" s="14" t="n"/>
      <c r="E113" s="14" t="n"/>
      <c r="F113" s="20" t="n"/>
      <c r="G113" s="18" t="n"/>
      <c r="H113" s="20" t="n"/>
      <c r="I113" s="14" t="n"/>
      <c r="J113" s="14" t="n"/>
    </row>
    <row r="114">
      <c r="A114" s="14" t="n"/>
      <c r="B114" s="14" t="n"/>
      <c r="C114" s="14" t="n"/>
      <c r="D114" s="14" t="n"/>
      <c r="E114" s="14" t="n"/>
      <c r="F114" s="20" t="n"/>
      <c r="G114" s="18" t="n"/>
      <c r="H114" s="20" t="n"/>
      <c r="I114" s="14" t="n"/>
      <c r="J114" s="14" t="n"/>
    </row>
    <row r="115">
      <c r="A115" s="14" t="n"/>
      <c r="B115" s="14" t="n"/>
      <c r="C115" s="14" t="n"/>
      <c r="D115" s="14" t="n"/>
      <c r="E115" s="14" t="n"/>
      <c r="F115" s="20" t="n"/>
      <c r="G115" s="18" t="n"/>
      <c r="H115" s="20" t="n"/>
      <c r="I115" s="14" t="n"/>
      <c r="J115" s="14" t="n"/>
    </row>
    <row r="116">
      <c r="A116" s="14" t="n"/>
      <c r="B116" s="14" t="n"/>
      <c r="C116" s="14" t="n"/>
      <c r="D116" s="14" t="n"/>
      <c r="E116" s="14" t="n"/>
      <c r="F116" s="20" t="n"/>
      <c r="G116" s="18" t="n"/>
      <c r="H116" s="20" t="n"/>
      <c r="I116" s="14" t="n"/>
      <c r="J116" s="14" t="n"/>
    </row>
    <row r="117">
      <c r="A117" s="14" t="n"/>
      <c r="B117" s="14" t="n"/>
      <c r="C117" s="14" t="n"/>
      <c r="D117" s="14" t="n"/>
      <c r="E117" s="14" t="n"/>
      <c r="F117" s="20" t="n"/>
      <c r="G117" s="18" t="n"/>
      <c r="H117" s="20" t="n"/>
      <c r="I117" s="14" t="n"/>
      <c r="J117" s="14" t="n"/>
    </row>
    <row r="118">
      <c r="A118" s="14" t="n"/>
      <c r="B118" s="14" t="n"/>
      <c r="C118" s="14" t="n"/>
      <c r="D118" s="14" t="n"/>
      <c r="E118" s="14" t="n"/>
      <c r="F118" s="20" t="n"/>
      <c r="G118" s="18" t="n"/>
      <c r="H118" s="20" t="n"/>
      <c r="I118" s="14" t="n"/>
      <c r="J118" s="14" t="n"/>
    </row>
    <row r="119">
      <c r="A119" s="14" t="n"/>
      <c r="B119" s="14" t="n"/>
      <c r="C119" s="14" t="n"/>
      <c r="D119" s="14" t="n"/>
      <c r="E119" s="14" t="n"/>
      <c r="F119" s="20" t="n"/>
      <c r="G119" s="18" t="n"/>
      <c r="H119" s="20" t="n"/>
      <c r="I119" s="14" t="n"/>
      <c r="J119" s="14" t="n"/>
    </row>
    <row r="120">
      <c r="A120" s="14" t="n"/>
      <c r="B120" s="14" t="n"/>
      <c r="C120" s="14" t="n"/>
      <c r="D120" s="14" t="n"/>
      <c r="E120" s="14" t="n"/>
      <c r="F120" s="20" t="n"/>
      <c r="G120" s="18" t="n"/>
      <c r="H120" s="20" t="n"/>
      <c r="I120" s="14" t="n"/>
      <c r="J120" s="14" t="n"/>
    </row>
    <row r="121">
      <c r="A121" s="14" t="n"/>
      <c r="B121" s="14" t="n"/>
      <c r="C121" s="14" t="n"/>
      <c r="D121" s="14" t="n"/>
      <c r="E121" s="14" t="n"/>
      <c r="F121" s="20" t="n"/>
      <c r="G121" s="18" t="n"/>
      <c r="H121" s="20" t="n"/>
      <c r="I121" s="14" t="n"/>
      <c r="J121" s="14" t="n"/>
    </row>
    <row r="122">
      <c r="A122" s="14" t="n"/>
      <c r="B122" s="14" t="n"/>
      <c r="C122" s="14" t="n"/>
      <c r="D122" s="14" t="n"/>
      <c r="E122" s="14" t="n"/>
      <c r="F122" s="20" t="n"/>
      <c r="G122" s="18" t="n"/>
      <c r="H122" s="20" t="n"/>
      <c r="I122" s="14" t="n"/>
      <c r="J122" s="14" t="n"/>
    </row>
    <row r="123">
      <c r="A123" s="14" t="n"/>
      <c r="B123" s="14" t="n"/>
      <c r="C123" s="14" t="n"/>
      <c r="D123" s="14" t="n"/>
      <c r="E123" s="14" t="n"/>
      <c r="F123" s="20" t="n"/>
      <c r="G123" s="18" t="n"/>
      <c r="H123" s="20" t="n"/>
      <c r="I123" s="14" t="n"/>
      <c r="J123" s="14" t="n"/>
    </row>
    <row r="124">
      <c r="A124" s="14" t="n"/>
      <c r="B124" s="14" t="n"/>
      <c r="C124" s="14" t="n"/>
      <c r="D124" s="14" t="n"/>
      <c r="E124" s="14" t="n"/>
      <c r="F124" s="20" t="n"/>
      <c r="G124" s="18" t="n"/>
      <c r="H124" s="20" t="n"/>
      <c r="I124" s="14" t="n"/>
      <c r="J124" s="14" t="n"/>
    </row>
    <row r="125">
      <c r="A125" s="14" t="n"/>
      <c r="B125" s="14" t="n"/>
      <c r="C125" s="14" t="n"/>
      <c r="D125" s="14" t="n"/>
      <c r="E125" s="14" t="n"/>
      <c r="F125" s="20" t="n"/>
      <c r="G125" s="18" t="n"/>
      <c r="H125" s="20" t="n"/>
      <c r="I125" s="14" t="n"/>
      <c r="J125" s="14" t="n"/>
    </row>
    <row r="126">
      <c r="A126" s="14" t="n"/>
      <c r="B126" s="14" t="n"/>
      <c r="C126" s="14" t="n"/>
      <c r="D126" s="14" t="n"/>
      <c r="E126" s="14" t="n"/>
      <c r="F126" s="20" t="n"/>
      <c r="G126" s="18" t="n"/>
      <c r="H126" s="20" t="n"/>
      <c r="I126" s="14" t="n"/>
      <c r="J126" s="14" t="n"/>
    </row>
    <row r="127">
      <c r="A127" s="14" t="n"/>
      <c r="B127" s="14" t="n"/>
      <c r="C127" s="14" t="n"/>
      <c r="D127" s="14" t="n"/>
      <c r="E127" s="14" t="n"/>
      <c r="F127" s="20" t="n"/>
      <c r="G127" s="18" t="n"/>
      <c r="H127" s="20" t="n"/>
      <c r="I127" s="14" t="n"/>
      <c r="J127" s="14" t="n"/>
    </row>
    <row r="128">
      <c r="A128" s="14" t="n"/>
      <c r="B128" s="14" t="n"/>
      <c r="C128" s="14" t="n"/>
      <c r="D128" s="14" t="n"/>
      <c r="E128" s="14" t="n"/>
      <c r="F128" s="20" t="n"/>
      <c r="G128" s="18" t="n"/>
      <c r="H128" s="20" t="n"/>
      <c r="I128" s="14" t="n"/>
      <c r="J128" s="14" t="n"/>
    </row>
    <row r="129">
      <c r="A129" s="14" t="n"/>
      <c r="B129" s="14" t="n"/>
      <c r="C129" s="14" t="n"/>
      <c r="D129" s="14" t="n"/>
      <c r="E129" s="14" t="n"/>
      <c r="F129" s="20" t="n"/>
      <c r="G129" s="18" t="n"/>
      <c r="H129" s="20" t="n"/>
      <c r="I129" s="14" t="n"/>
      <c r="J129" s="14" t="n"/>
    </row>
    <row r="130">
      <c r="A130" s="14" t="n"/>
      <c r="B130" s="14" t="n"/>
      <c r="C130" s="14" t="n"/>
      <c r="D130" s="14" t="n"/>
      <c r="E130" s="14" t="n"/>
      <c r="F130" s="20" t="n"/>
      <c r="G130" s="18" t="n"/>
      <c r="H130" s="20" t="n"/>
      <c r="I130" s="14" t="n"/>
      <c r="J130" s="14" t="n"/>
    </row>
    <row r="131">
      <c r="A131" s="14" t="n"/>
      <c r="B131" s="14" t="n"/>
      <c r="C131" s="14" t="n"/>
      <c r="D131" s="14" t="n"/>
      <c r="E131" s="14" t="n"/>
      <c r="F131" s="20" t="n"/>
      <c r="G131" s="18" t="n"/>
      <c r="H131" s="20" t="n"/>
      <c r="I131" s="14" t="n"/>
      <c r="J131" s="14" t="n"/>
    </row>
    <row r="132">
      <c r="A132" s="14" t="n"/>
      <c r="B132" s="14" t="n"/>
      <c r="C132" s="14" t="n"/>
      <c r="D132" s="14" t="n"/>
      <c r="E132" s="14" t="n"/>
      <c r="F132" s="20" t="n"/>
      <c r="G132" s="18" t="n"/>
      <c r="H132" s="20" t="n"/>
      <c r="I132" s="14" t="n"/>
      <c r="J132" s="14" t="n"/>
    </row>
    <row r="133">
      <c r="A133" s="14" t="n"/>
      <c r="B133" s="14" t="n"/>
      <c r="C133" s="14" t="n"/>
      <c r="D133" s="14" t="n"/>
      <c r="E133" s="14" t="n"/>
      <c r="F133" s="20" t="n"/>
      <c r="G133" s="18" t="n"/>
      <c r="H133" s="20" t="n"/>
      <c r="I133" s="14" t="n"/>
      <c r="J133" s="14" t="n"/>
    </row>
    <row r="134">
      <c r="A134" s="14" t="n"/>
      <c r="B134" s="14" t="n"/>
      <c r="C134" s="14" t="n"/>
      <c r="D134" s="14" t="n"/>
      <c r="E134" s="14" t="n"/>
      <c r="F134" s="20" t="n"/>
      <c r="G134" s="18" t="n"/>
      <c r="H134" s="20" t="n"/>
      <c r="I134" s="14" t="n"/>
      <c r="J134" s="14" t="n"/>
    </row>
    <row r="135">
      <c r="A135" s="14" t="n"/>
      <c r="B135" s="14" t="n"/>
      <c r="C135" s="14" t="n"/>
      <c r="D135" s="14" t="n"/>
      <c r="E135" s="14" t="n"/>
      <c r="F135" s="20" t="n"/>
      <c r="G135" s="18" t="n"/>
      <c r="H135" s="20" t="n"/>
      <c r="I135" s="14" t="n"/>
      <c r="J135" s="14" t="n"/>
    </row>
    <row r="136">
      <c r="A136" s="14" t="n"/>
      <c r="B136" s="14" t="n"/>
      <c r="C136" s="14" t="n"/>
      <c r="D136" s="14" t="n"/>
      <c r="E136" s="14" t="n"/>
      <c r="F136" s="20" t="n"/>
      <c r="G136" s="18" t="n"/>
      <c r="H136" s="20" t="n"/>
      <c r="I136" s="14" t="n"/>
      <c r="J136" s="14" t="n"/>
    </row>
    <row r="137">
      <c r="A137" s="14" t="n"/>
      <c r="B137" s="14" t="n"/>
      <c r="C137" s="14" t="n"/>
      <c r="D137" s="14" t="n"/>
      <c r="E137" s="14" t="n"/>
      <c r="F137" s="20" t="n"/>
      <c r="G137" s="18" t="n"/>
      <c r="H137" s="20" t="n"/>
      <c r="I137" s="14" t="n"/>
      <c r="J137" s="14" t="n"/>
    </row>
    <row r="138">
      <c r="A138" s="14" t="n"/>
      <c r="B138" s="14" t="n"/>
      <c r="C138" s="14" t="n"/>
      <c r="D138" s="14" t="n"/>
      <c r="E138" s="14" t="n"/>
      <c r="F138" s="20" t="n"/>
      <c r="G138" s="18" t="n"/>
      <c r="H138" s="20" t="n"/>
      <c r="I138" s="14" t="n"/>
      <c r="J138" s="14" t="n"/>
    </row>
    <row r="139">
      <c r="A139" s="14" t="n"/>
      <c r="B139" s="14" t="n"/>
      <c r="C139" s="14" t="n"/>
      <c r="D139" s="14" t="n"/>
      <c r="E139" s="14" t="n"/>
      <c r="F139" s="20" t="n"/>
      <c r="G139" s="18" t="n"/>
      <c r="H139" s="20" t="n"/>
      <c r="I139" s="14" t="n"/>
      <c r="J139" s="14" t="n"/>
    </row>
    <row r="140">
      <c r="A140" s="14" t="n"/>
      <c r="B140" s="14" t="n"/>
      <c r="C140" s="14" t="n"/>
      <c r="D140" s="14" t="n"/>
      <c r="E140" s="14" t="n"/>
      <c r="F140" s="20" t="n"/>
      <c r="G140" s="18" t="n"/>
      <c r="H140" s="20" t="n"/>
      <c r="I140" s="14" t="n"/>
      <c r="J140" s="14" t="n"/>
    </row>
    <row r="141">
      <c r="A141" s="14" t="n"/>
      <c r="B141" s="14" t="n"/>
      <c r="C141" s="14" t="n"/>
      <c r="D141" s="14" t="n"/>
      <c r="E141" s="14" t="n"/>
      <c r="F141" s="20" t="n"/>
      <c r="G141" s="18" t="n"/>
      <c r="H141" s="20" t="n"/>
      <c r="I141" s="14" t="n"/>
      <c r="J141" s="14" t="n"/>
    </row>
    <row r="142">
      <c r="A142" s="14" t="n"/>
      <c r="B142" s="14" t="n"/>
      <c r="C142" s="14" t="n"/>
      <c r="D142" s="14" t="n"/>
      <c r="E142" s="14" t="n"/>
      <c r="F142" s="20" t="n"/>
      <c r="G142" s="18" t="n"/>
      <c r="H142" s="20" t="n"/>
      <c r="I142" s="14" t="n"/>
      <c r="J142" s="14" t="n"/>
    </row>
    <row r="143">
      <c r="A143" s="14" t="n"/>
      <c r="B143" s="14" t="n"/>
      <c r="C143" s="14" t="n"/>
      <c r="D143" s="14" t="n"/>
      <c r="E143" s="14" t="n"/>
      <c r="F143" s="20" t="n"/>
      <c r="G143" s="18" t="n"/>
      <c r="H143" s="20" t="n"/>
      <c r="I143" s="14" t="n"/>
      <c r="J143" s="14" t="n"/>
    </row>
    <row r="144">
      <c r="A144" s="14" t="n"/>
      <c r="B144" s="14" t="n"/>
      <c r="C144" s="14" t="n"/>
      <c r="D144" s="14" t="n"/>
      <c r="E144" s="14" t="n"/>
      <c r="F144" s="20" t="n"/>
      <c r="G144" s="18" t="n"/>
      <c r="H144" s="20" t="n"/>
      <c r="I144" s="14" t="n"/>
      <c r="J144" s="14" t="n"/>
    </row>
    <row r="145">
      <c r="A145" s="14" t="n"/>
      <c r="B145" s="14" t="n"/>
      <c r="C145" s="14" t="n"/>
      <c r="D145" s="14" t="n"/>
      <c r="E145" s="14" t="n"/>
      <c r="F145" s="20" t="n"/>
      <c r="G145" s="18" t="n"/>
      <c r="H145" s="20" t="n"/>
      <c r="I145" s="14" t="n"/>
      <c r="J145" s="14" t="n"/>
    </row>
    <row r="146">
      <c r="A146" s="14" t="n"/>
      <c r="B146" s="14" t="n"/>
      <c r="C146" s="14" t="n"/>
      <c r="D146" s="14" t="n"/>
      <c r="E146" s="14" t="n"/>
      <c r="F146" s="20" t="n"/>
      <c r="G146" s="18" t="n"/>
      <c r="H146" s="20" t="n"/>
      <c r="I146" s="14" t="n"/>
      <c r="J146" s="14" t="n"/>
    </row>
    <row r="147">
      <c r="A147" s="14" t="n"/>
      <c r="B147" s="14" t="n"/>
      <c r="C147" s="14" t="n"/>
      <c r="D147" s="14" t="n"/>
      <c r="E147" s="14" t="n"/>
      <c r="F147" s="20" t="n"/>
      <c r="G147" s="18" t="n"/>
      <c r="H147" s="20" t="n"/>
      <c r="I147" s="14" t="n"/>
      <c r="J147" s="14" t="n"/>
    </row>
    <row r="148">
      <c r="A148" s="14" t="n"/>
      <c r="B148" s="14" t="n"/>
      <c r="C148" s="14" t="n"/>
      <c r="D148" s="14" t="n"/>
      <c r="E148" s="14" t="n"/>
      <c r="F148" s="20" t="n"/>
      <c r="G148" s="18" t="n"/>
      <c r="H148" s="20" t="n"/>
      <c r="I148" s="14" t="n"/>
      <c r="J148" s="14" t="n"/>
    </row>
    <row r="149">
      <c r="A149" s="14" t="n"/>
      <c r="B149" s="14" t="n"/>
      <c r="C149" s="14" t="n"/>
      <c r="D149" s="14" t="n"/>
      <c r="E149" s="14" t="n"/>
      <c r="F149" s="20" t="n"/>
      <c r="G149" s="18" t="n"/>
      <c r="H149" s="20" t="n"/>
      <c r="I149" s="14" t="n"/>
      <c r="J149" s="14" t="n"/>
    </row>
    <row r="150">
      <c r="A150" s="14" t="n"/>
      <c r="B150" s="14" t="n"/>
      <c r="C150" s="14" t="n"/>
      <c r="D150" s="14" t="n"/>
      <c r="E150" s="14" t="n"/>
      <c r="F150" s="20" t="n"/>
      <c r="G150" s="18" t="n"/>
      <c r="H150" s="20" t="n"/>
      <c r="I150" s="14" t="n"/>
      <c r="J150" s="14" t="n"/>
    </row>
    <row r="151">
      <c r="A151" s="14" t="n"/>
      <c r="B151" s="14" t="n"/>
      <c r="C151" s="14" t="n"/>
      <c r="D151" s="14" t="n"/>
      <c r="E151" s="14" t="n"/>
      <c r="F151" s="20" t="n"/>
      <c r="G151" s="18" t="n"/>
      <c r="H151" s="20" t="n"/>
      <c r="I151" s="14" t="n"/>
      <c r="J151" s="14" t="n"/>
    </row>
    <row r="152">
      <c r="A152" s="14" t="n"/>
      <c r="B152" s="14" t="n"/>
      <c r="C152" s="14" t="n"/>
      <c r="D152" s="14" t="n"/>
      <c r="E152" s="14" t="n"/>
      <c r="F152" s="20" t="n"/>
      <c r="G152" s="18" t="n"/>
      <c r="H152" s="20" t="n"/>
      <c r="I152" s="14" t="n"/>
      <c r="J152" s="14" t="n"/>
    </row>
    <row r="153">
      <c r="A153" s="14" t="n"/>
      <c r="B153" s="14" t="n"/>
      <c r="C153" s="14" t="n"/>
      <c r="D153" s="14" t="n"/>
      <c r="E153" s="14" t="n"/>
      <c r="F153" s="20" t="n"/>
      <c r="G153" s="18" t="n"/>
      <c r="H153" s="20" t="n"/>
      <c r="I153" s="14" t="n"/>
      <c r="J153" s="14" t="n"/>
    </row>
    <row r="154">
      <c r="A154" s="14" t="n"/>
      <c r="B154" s="14" t="n"/>
      <c r="C154" s="14" t="n"/>
      <c r="D154" s="14" t="n"/>
      <c r="E154" s="14" t="n"/>
      <c r="F154" s="20" t="n"/>
      <c r="G154" s="18" t="n"/>
      <c r="H154" s="20" t="n"/>
      <c r="I154" s="14" t="n"/>
      <c r="J154" s="14" t="n"/>
    </row>
    <row r="155">
      <c r="A155" s="14" t="n"/>
      <c r="B155" s="14" t="n"/>
      <c r="C155" s="14" t="n"/>
      <c r="D155" s="14" t="n"/>
      <c r="E155" s="14" t="n"/>
      <c r="F155" s="20" t="n"/>
      <c r="G155" s="18" t="n"/>
      <c r="H155" s="20" t="n"/>
      <c r="I155" s="14" t="n"/>
      <c r="J155" s="14" t="n"/>
    </row>
    <row r="156">
      <c r="A156" s="14" t="n"/>
      <c r="B156" s="14" t="n"/>
      <c r="C156" s="14" t="n"/>
      <c r="D156" s="14" t="n"/>
      <c r="E156" s="14" t="n"/>
      <c r="F156" s="20" t="n"/>
      <c r="G156" s="18" t="n"/>
      <c r="H156" s="20" t="n"/>
      <c r="I156" s="14" t="n"/>
      <c r="J156" s="14" t="n"/>
    </row>
    <row r="157">
      <c r="A157" s="14" t="n"/>
      <c r="B157" s="14" t="n"/>
      <c r="C157" s="14" t="n"/>
      <c r="D157" s="14" t="n"/>
      <c r="E157" s="14" t="n"/>
      <c r="F157" s="20" t="n"/>
      <c r="G157" s="18" t="n"/>
      <c r="H157" s="20" t="n"/>
      <c r="I157" s="14" t="n"/>
      <c r="J157" s="14" t="n"/>
    </row>
    <row r="158">
      <c r="A158" s="14" t="n"/>
      <c r="B158" s="14" t="n"/>
      <c r="C158" s="14" t="n"/>
      <c r="D158" s="14" t="n"/>
      <c r="E158" s="14" t="n"/>
      <c r="F158" s="20" t="n"/>
      <c r="G158" s="18" t="n"/>
      <c r="H158" s="20" t="n"/>
      <c r="I158" s="14" t="n"/>
      <c r="J158" s="14" t="n"/>
    </row>
    <row r="159">
      <c r="A159" s="14" t="n"/>
      <c r="B159" s="14" t="n"/>
      <c r="C159" s="14" t="n"/>
      <c r="D159" s="14" t="n"/>
      <c r="E159" s="14" t="n"/>
      <c r="F159" s="20" t="n"/>
      <c r="G159" s="18" t="n"/>
      <c r="H159" s="20" t="n"/>
      <c r="I159" s="14" t="n"/>
      <c r="J159" s="14" t="n"/>
    </row>
    <row r="160">
      <c r="A160" s="14" t="n"/>
      <c r="B160" s="14" t="n"/>
      <c r="C160" s="14" t="n"/>
      <c r="D160" s="14" t="n"/>
      <c r="E160" s="14" t="n"/>
      <c r="F160" s="20" t="n"/>
      <c r="G160" s="18" t="n"/>
      <c r="H160" s="20" t="n"/>
      <c r="I160" s="14" t="n"/>
      <c r="J160" s="14" t="n"/>
    </row>
    <row r="161">
      <c r="A161" s="14" t="n"/>
      <c r="B161" s="14" t="n"/>
      <c r="C161" s="14" t="n"/>
      <c r="D161" s="14" t="n"/>
      <c r="E161" s="14" t="n"/>
      <c r="F161" s="20" t="n"/>
      <c r="G161" s="18" t="n"/>
      <c r="H161" s="20" t="n"/>
      <c r="I161" s="14" t="n"/>
      <c r="J161" s="14" t="n"/>
    </row>
    <row r="162">
      <c r="A162" s="14" t="n"/>
      <c r="B162" s="14" t="n"/>
      <c r="C162" s="14" t="n"/>
      <c r="D162" s="14" t="n"/>
      <c r="E162" s="14" t="n"/>
      <c r="F162" s="20" t="n"/>
      <c r="G162" s="18" t="n"/>
      <c r="H162" s="20" t="n"/>
      <c r="I162" s="14" t="n"/>
      <c r="J162" s="14" t="n"/>
    </row>
    <row r="163">
      <c r="A163" s="14" t="n"/>
      <c r="B163" s="14" t="n"/>
      <c r="C163" s="14" t="n"/>
      <c r="D163" s="14" t="n"/>
      <c r="E163" s="14" t="n"/>
      <c r="F163" s="20" t="n"/>
      <c r="G163" s="18" t="n"/>
      <c r="H163" s="20" t="n"/>
      <c r="I163" s="14" t="n"/>
      <c r="J163" s="14" t="n"/>
    </row>
    <row r="164">
      <c r="A164" s="14" t="n"/>
      <c r="B164" s="14" t="n"/>
      <c r="C164" s="14" t="n"/>
      <c r="D164" s="14" t="n"/>
      <c r="E164" s="14" t="n"/>
      <c r="F164" s="20" t="n"/>
      <c r="G164" s="18" t="n"/>
      <c r="H164" s="20" t="n"/>
      <c r="I164" s="14" t="n"/>
      <c r="J164" s="14" t="n"/>
    </row>
    <row r="165">
      <c r="A165" s="14" t="n"/>
      <c r="B165" s="14" t="n"/>
      <c r="C165" s="14" t="n"/>
      <c r="D165" s="14" t="n"/>
      <c r="E165" s="14" t="n"/>
      <c r="F165" s="20" t="n"/>
      <c r="G165" s="18" t="n"/>
      <c r="H165" s="20" t="n"/>
      <c r="I165" s="14" t="n"/>
      <c r="J165" s="14" t="n"/>
    </row>
    <row r="166">
      <c r="A166" s="14" t="n"/>
      <c r="B166" s="14" t="n"/>
      <c r="C166" s="14" t="n"/>
      <c r="D166" s="14" t="n"/>
      <c r="E166" s="14" t="n"/>
      <c r="F166" s="20" t="n"/>
      <c r="G166" s="18" t="n"/>
      <c r="H166" s="20" t="n"/>
      <c r="I166" s="14" t="n"/>
      <c r="J166" s="14" t="n"/>
    </row>
    <row r="167">
      <c r="A167" s="14" t="n"/>
      <c r="B167" s="14" t="n"/>
      <c r="C167" s="14" t="n"/>
      <c r="D167" s="14" t="n"/>
      <c r="E167" s="14" t="n"/>
      <c r="F167" s="20" t="n"/>
      <c r="G167" s="18" t="n"/>
      <c r="H167" s="20" t="n"/>
      <c r="I167" s="14" t="n"/>
      <c r="J167" s="14" t="n"/>
    </row>
    <row r="168">
      <c r="A168" s="14" t="n"/>
      <c r="B168" s="14" t="n"/>
      <c r="C168" s="14" t="n"/>
      <c r="D168" s="14" t="n"/>
      <c r="E168" s="14" t="n"/>
      <c r="F168" s="20" t="n"/>
      <c r="G168" s="18" t="n"/>
      <c r="H168" s="20" t="n"/>
      <c r="I168" s="14" t="n"/>
      <c r="J168" s="14" t="n"/>
    </row>
    <row r="169">
      <c r="A169" s="14" t="n"/>
      <c r="B169" s="14" t="n"/>
      <c r="C169" s="14" t="n"/>
      <c r="D169" s="14" t="n"/>
      <c r="E169" s="14" t="n"/>
      <c r="F169" s="20" t="n"/>
      <c r="G169" s="18" t="n"/>
      <c r="H169" s="20" t="n"/>
      <c r="I169" s="14" t="n"/>
      <c r="J169" s="14" t="n"/>
    </row>
    <row r="170">
      <c r="A170" s="14" t="n"/>
      <c r="B170" s="14" t="n"/>
      <c r="C170" s="14" t="n"/>
      <c r="D170" s="14" t="n"/>
      <c r="E170" s="14" t="n"/>
      <c r="F170" s="20" t="n"/>
      <c r="G170" s="18" t="n"/>
      <c r="H170" s="20" t="n"/>
      <c r="I170" s="14" t="n"/>
      <c r="J170" s="14" t="n"/>
    </row>
    <row r="171">
      <c r="A171" s="14" t="n"/>
      <c r="B171" s="14" t="n"/>
      <c r="C171" s="14" t="n"/>
      <c r="D171" s="14" t="n"/>
      <c r="E171" s="14" t="n"/>
      <c r="F171" s="20" t="n"/>
      <c r="G171" s="18" t="n"/>
      <c r="H171" s="20" t="n"/>
      <c r="I171" s="14" t="n"/>
      <c r="J171" s="14" t="n"/>
    </row>
    <row r="172">
      <c r="A172" s="14" t="n"/>
      <c r="B172" s="14" t="n"/>
      <c r="C172" s="14" t="n"/>
      <c r="D172" s="14" t="n"/>
      <c r="E172" s="14" t="n"/>
      <c r="F172" s="20" t="n"/>
      <c r="G172" s="18" t="n"/>
      <c r="H172" s="20" t="n"/>
      <c r="I172" s="14" t="n"/>
      <c r="J172" s="14" t="n"/>
    </row>
    <row r="173">
      <c r="A173" s="14" t="n"/>
      <c r="B173" s="14" t="n"/>
      <c r="C173" s="14" t="n"/>
      <c r="D173" s="14" t="n"/>
      <c r="E173" s="14" t="n"/>
      <c r="F173" s="20" t="n"/>
      <c r="G173" s="18" t="n"/>
      <c r="H173" s="20" t="n"/>
      <c r="I173" s="14" t="n"/>
      <c r="J173" s="14" t="n"/>
    </row>
    <row r="174">
      <c r="A174" s="14" t="n"/>
      <c r="B174" s="14" t="n"/>
      <c r="C174" s="14" t="n"/>
      <c r="D174" s="14" t="n"/>
      <c r="E174" s="14" t="n"/>
      <c r="F174" s="20" t="n"/>
      <c r="G174" s="18" t="n"/>
      <c r="H174" s="20" t="n"/>
      <c r="I174" s="14" t="n"/>
      <c r="J174" s="14" t="n"/>
    </row>
    <row r="175">
      <c r="A175" s="14" t="n"/>
      <c r="B175" s="14" t="n"/>
      <c r="C175" s="14" t="n"/>
      <c r="D175" s="14" t="n"/>
      <c r="E175" s="14" t="n"/>
      <c r="F175" s="20" t="n"/>
      <c r="G175" s="18" t="n"/>
      <c r="H175" s="20" t="n"/>
      <c r="I175" s="14" t="n"/>
      <c r="J175" s="14" t="n"/>
    </row>
    <row r="176">
      <c r="A176" s="14" t="n"/>
      <c r="B176" s="14" t="n"/>
      <c r="C176" s="14" t="n"/>
      <c r="D176" s="14" t="n"/>
      <c r="E176" s="14" t="n"/>
      <c r="F176" s="20" t="n"/>
      <c r="G176" s="18" t="n"/>
      <c r="H176" s="20" t="n"/>
      <c r="I176" s="14" t="n"/>
      <c r="J176" s="14" t="n"/>
    </row>
    <row r="177">
      <c r="A177" s="14" t="n"/>
      <c r="B177" s="14" t="n"/>
      <c r="C177" s="14" t="n"/>
      <c r="D177" s="14" t="n"/>
      <c r="E177" s="14" t="n"/>
      <c r="F177" s="20" t="n"/>
      <c r="G177" s="18" t="n"/>
      <c r="H177" s="20" t="n"/>
      <c r="I177" s="14" t="n"/>
      <c r="J177" s="14" t="n"/>
    </row>
    <row r="178">
      <c r="A178" s="14" t="n"/>
      <c r="B178" s="14" t="n"/>
      <c r="C178" s="14" t="n"/>
      <c r="D178" s="14" t="n"/>
      <c r="E178" s="14" t="n"/>
      <c r="F178" s="20" t="n"/>
      <c r="G178" s="18" t="n"/>
      <c r="H178" s="20" t="n"/>
      <c r="I178" s="14" t="n"/>
      <c r="J178" s="14" t="n"/>
    </row>
    <row r="179">
      <c r="A179" s="14" t="n"/>
      <c r="B179" s="14" t="n"/>
      <c r="C179" s="14" t="n"/>
      <c r="D179" s="14" t="n"/>
      <c r="E179" s="14" t="n"/>
      <c r="F179" s="20" t="n"/>
      <c r="G179" s="18" t="n"/>
      <c r="H179" s="20" t="n"/>
      <c r="I179" s="14" t="n"/>
      <c r="J179" s="14" t="n"/>
    </row>
    <row r="180">
      <c r="A180" s="14" t="n"/>
      <c r="B180" s="14" t="n"/>
      <c r="C180" s="14" t="n"/>
      <c r="D180" s="14" t="n"/>
      <c r="E180" s="14" t="n"/>
      <c r="F180" s="20" t="n"/>
      <c r="G180" s="18" t="n"/>
      <c r="H180" s="20" t="n"/>
      <c r="I180" s="14" t="n"/>
      <c r="J180" s="14" t="n"/>
    </row>
    <row r="181">
      <c r="A181" s="14" t="n"/>
      <c r="B181" s="14" t="n"/>
      <c r="C181" s="14" t="n"/>
      <c r="D181" s="14" t="n"/>
      <c r="E181" s="14" t="n"/>
      <c r="F181" s="20" t="n"/>
      <c r="G181" s="18" t="n"/>
      <c r="H181" s="20" t="n"/>
      <c r="I181" s="14" t="n"/>
      <c r="J181" s="14" t="n"/>
    </row>
    <row r="182">
      <c r="A182" s="14" t="n"/>
      <c r="B182" s="14" t="n"/>
      <c r="C182" s="14" t="n"/>
      <c r="D182" s="14" t="n"/>
      <c r="E182" s="14" t="n"/>
      <c r="F182" s="20" t="n"/>
      <c r="G182" s="18" t="n"/>
      <c r="H182" s="20" t="n"/>
      <c r="I182" s="14" t="n"/>
      <c r="J182" s="14" t="n"/>
    </row>
    <row r="183">
      <c r="A183" s="14" t="n"/>
      <c r="B183" s="14" t="n"/>
      <c r="C183" s="14" t="n"/>
      <c r="D183" s="14" t="n"/>
      <c r="E183" s="14" t="n"/>
      <c r="F183" s="20" t="n"/>
      <c r="G183" s="18" t="n"/>
      <c r="H183" s="20" t="n"/>
      <c r="I183" s="14" t="n"/>
      <c r="J183" s="14" t="n"/>
    </row>
    <row r="184">
      <c r="A184" s="14" t="n"/>
      <c r="B184" s="14" t="n"/>
      <c r="C184" s="14" t="n"/>
      <c r="D184" s="14" t="n"/>
      <c r="E184" s="14" t="n"/>
      <c r="F184" s="20" t="n"/>
      <c r="G184" s="18" t="n"/>
      <c r="H184" s="20" t="n"/>
      <c r="I184" s="14" t="n"/>
      <c r="J184" s="14" t="n"/>
    </row>
    <row r="185">
      <c r="A185" s="14" t="n"/>
      <c r="B185" s="14" t="n"/>
      <c r="C185" s="14" t="n"/>
      <c r="D185" s="14" t="n"/>
      <c r="E185" s="14" t="n"/>
      <c r="F185" s="20" t="n"/>
      <c r="G185" s="18" t="n"/>
      <c r="H185" s="20" t="n"/>
      <c r="I185" s="14" t="n"/>
      <c r="J185" s="14" t="n"/>
    </row>
    <row r="186">
      <c r="A186" s="14" t="n"/>
      <c r="B186" s="14" t="n"/>
      <c r="C186" s="14" t="n"/>
      <c r="D186" s="14" t="n"/>
      <c r="E186" s="14" t="n"/>
      <c r="F186" s="20" t="n"/>
      <c r="G186" s="18" t="n"/>
      <c r="H186" s="20" t="n"/>
      <c r="I186" s="14" t="n"/>
      <c r="J186" s="14" t="n"/>
    </row>
    <row r="187">
      <c r="A187" s="14" t="n"/>
      <c r="B187" s="14" t="n"/>
      <c r="C187" s="14" t="n"/>
      <c r="D187" s="14" t="n"/>
      <c r="E187" s="14" t="n"/>
      <c r="F187" s="20" t="n"/>
      <c r="G187" s="18" t="n"/>
      <c r="H187" s="20" t="n"/>
      <c r="I187" s="14" t="n"/>
      <c r="J187" s="14" t="n"/>
    </row>
    <row r="188">
      <c r="A188" s="14" t="n"/>
      <c r="B188" s="14" t="n"/>
      <c r="C188" s="14" t="n"/>
      <c r="D188" s="14" t="n"/>
      <c r="E188" s="14" t="n"/>
      <c r="F188" s="20" t="n"/>
      <c r="G188" s="18" t="n"/>
      <c r="H188" s="20" t="n"/>
      <c r="I188" s="14" t="n"/>
      <c r="J188" s="14" t="n"/>
    </row>
    <row r="189">
      <c r="A189" s="14" t="n"/>
      <c r="B189" s="14" t="n"/>
      <c r="C189" s="14" t="n"/>
      <c r="D189" s="14" t="n"/>
      <c r="E189" s="14" t="n"/>
      <c r="F189" s="20" t="n"/>
      <c r="G189" s="18" t="n"/>
      <c r="H189" s="20" t="n"/>
      <c r="I189" s="14" t="n"/>
      <c r="J189" s="14" t="n"/>
    </row>
    <row r="190">
      <c r="A190" s="14" t="n"/>
      <c r="B190" s="14" t="n"/>
      <c r="C190" s="14" t="n"/>
      <c r="D190" s="14" t="n"/>
      <c r="E190" s="14" t="n"/>
      <c r="F190" s="20" t="n"/>
      <c r="G190" s="18" t="n"/>
      <c r="H190" s="20" t="n"/>
      <c r="I190" s="14" t="n"/>
      <c r="J190" s="14" t="n"/>
    </row>
    <row r="191">
      <c r="A191" s="14" t="n"/>
      <c r="B191" s="14" t="n"/>
      <c r="C191" s="14" t="n"/>
      <c r="D191" s="14" t="n"/>
      <c r="E191" s="14" t="n"/>
      <c r="F191" s="20" t="n"/>
      <c r="G191" s="18" t="n"/>
      <c r="H191" s="20" t="n"/>
      <c r="I191" s="14" t="n"/>
      <c r="J191" s="14" t="n"/>
    </row>
    <row r="192">
      <c r="A192" s="14" t="n"/>
      <c r="B192" s="14" t="n"/>
      <c r="C192" s="14" t="n"/>
      <c r="D192" s="14" t="n"/>
      <c r="E192" s="14" t="n"/>
      <c r="F192" s="20" t="n"/>
      <c r="G192" s="18" t="n"/>
      <c r="H192" s="20" t="n"/>
      <c r="I192" s="14" t="n"/>
      <c r="J192" s="14" t="n"/>
    </row>
    <row r="193">
      <c r="A193" s="14" t="n"/>
      <c r="B193" s="14" t="n"/>
      <c r="C193" s="14" t="n"/>
      <c r="D193" s="14" t="n"/>
      <c r="E193" s="14" t="n"/>
      <c r="F193" s="20" t="n"/>
      <c r="G193" s="18" t="n"/>
      <c r="H193" s="20" t="n"/>
      <c r="I193" s="14" t="n"/>
      <c r="J193" s="14" t="n"/>
    </row>
    <row r="194">
      <c r="A194" s="14" t="n"/>
      <c r="B194" s="14" t="n"/>
      <c r="C194" s="14" t="n"/>
      <c r="D194" s="14" t="n"/>
      <c r="E194" s="14" t="n"/>
      <c r="F194" s="20" t="n"/>
      <c r="G194" s="18" t="n"/>
      <c r="H194" s="20" t="n"/>
      <c r="I194" s="14" t="n"/>
      <c r="J194" s="14" t="n"/>
    </row>
    <row r="195">
      <c r="A195" s="14" t="n"/>
      <c r="B195" s="14" t="n"/>
      <c r="C195" s="14" t="n"/>
      <c r="D195" s="14" t="n"/>
      <c r="E195" s="14" t="n"/>
      <c r="F195" s="20" t="n"/>
      <c r="G195" s="18" t="n"/>
      <c r="H195" s="20" t="n"/>
      <c r="I195" s="14" t="n"/>
      <c r="J195" s="14" t="n"/>
    </row>
    <row r="196">
      <c r="A196" s="14" t="n"/>
      <c r="B196" s="14" t="n"/>
      <c r="C196" s="14" t="n"/>
      <c r="D196" s="14" t="n"/>
      <c r="E196" s="14" t="n"/>
      <c r="F196" s="20" t="n"/>
      <c r="G196" s="18" t="n"/>
      <c r="H196" s="20" t="n"/>
      <c r="I196" s="14" t="n"/>
      <c r="J196" s="14" t="n"/>
    </row>
    <row r="197">
      <c r="A197" s="14" t="n"/>
      <c r="B197" s="14" t="n"/>
      <c r="C197" s="14" t="n"/>
      <c r="D197" s="14" t="n"/>
      <c r="E197" s="14" t="n"/>
      <c r="F197" s="20" t="n"/>
      <c r="G197" s="18" t="n"/>
      <c r="H197" s="20" t="n"/>
      <c r="I197" s="14" t="n"/>
      <c r="J197" s="14" t="n"/>
    </row>
    <row r="198">
      <c r="A198" s="14" t="n"/>
      <c r="B198" s="14" t="n"/>
      <c r="C198" s="14" t="n"/>
      <c r="D198" s="14" t="n"/>
      <c r="E198" s="14" t="n"/>
      <c r="F198" s="20" t="n"/>
      <c r="G198" s="18" t="n"/>
      <c r="H198" s="20" t="n"/>
      <c r="I198" s="14" t="n"/>
      <c r="J198" s="14" t="n"/>
    </row>
    <row r="199">
      <c r="A199" s="14" t="n"/>
      <c r="B199" s="14" t="n"/>
      <c r="C199" s="14" t="n"/>
      <c r="D199" s="14" t="n"/>
      <c r="E199" s="14" t="n"/>
      <c r="F199" s="20" t="n"/>
      <c r="G199" s="18" t="n"/>
      <c r="H199" s="20" t="n"/>
      <c r="I199" s="14" t="n"/>
      <c r="J199" s="14" t="n"/>
    </row>
    <row r="200">
      <c r="A200" s="14" t="n"/>
      <c r="B200" s="14" t="n"/>
      <c r="C200" s="14" t="n"/>
      <c r="D200" s="14" t="n"/>
      <c r="E200" s="14" t="n"/>
      <c r="F200" s="20" t="n"/>
      <c r="G200" s="18" t="n"/>
      <c r="H200" s="20" t="n"/>
      <c r="I200" s="14" t="n"/>
      <c r="J200" s="14" t="n"/>
    </row>
    <row r="201">
      <c r="A201" s="14" t="n"/>
      <c r="B201" s="14" t="n"/>
      <c r="C201" s="14" t="n"/>
      <c r="D201" s="14" t="n"/>
      <c r="E201" s="14" t="n"/>
      <c r="F201" s="20" t="n"/>
      <c r="G201" s="18" t="n"/>
      <c r="H201" s="20" t="n"/>
      <c r="I201" s="14" t="n"/>
      <c r="J201" s="14" t="n"/>
    </row>
    <row r="202">
      <c r="A202" s="14" t="n"/>
      <c r="B202" s="14" t="n"/>
      <c r="C202" s="14" t="n"/>
      <c r="D202" s="14" t="n"/>
      <c r="E202" s="14" t="n"/>
      <c r="F202" s="20" t="n"/>
      <c r="G202" s="18" t="n"/>
      <c r="H202" s="20" t="n"/>
      <c r="I202" s="14" t="n"/>
      <c r="J202" s="14" t="n"/>
    </row>
    <row r="203">
      <c r="A203" s="14" t="n"/>
      <c r="B203" s="14" t="n"/>
      <c r="C203" s="14" t="n"/>
      <c r="D203" s="14" t="n"/>
      <c r="E203" s="14" t="n"/>
      <c r="F203" s="20" t="n"/>
      <c r="G203" s="18" t="n"/>
      <c r="H203" s="20" t="n"/>
      <c r="I203" s="14" t="n"/>
      <c r="J203" s="14" t="n"/>
    </row>
    <row r="204">
      <c r="A204" s="14" t="n"/>
      <c r="B204" s="14" t="n"/>
      <c r="C204" s="14" t="n"/>
      <c r="D204" s="14" t="n"/>
      <c r="E204" s="14" t="n"/>
      <c r="F204" s="20" t="n"/>
      <c r="G204" s="18" t="n"/>
      <c r="H204" s="20" t="n"/>
      <c r="I204" s="14" t="n"/>
      <c r="J204" s="14" t="n"/>
    </row>
  </sheetData>
  <autoFilter ref="A4:J204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0"/>
    <pageSetUpPr/>
  </sheetPr>
  <dimension ref="A1:O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4" customWidth="1" min="4" max="4"/>
    <col width="18" customWidth="1" min="5" max="5"/>
    <col width="14" customWidth="1" min="6" max="6"/>
    <col width="22" customWidth="1" min="7" max="7"/>
    <col width="14" customWidth="1" min="8" max="8"/>
    <col width="8" customWidth="1" min="9" max="9"/>
    <col width="50" customWidth="1" min="10" max="10"/>
    <col width="8" customWidth="1" min="11" max="11"/>
    <col width="9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8" t="inlineStr">
        <is>
          <t>BEYOND DESIGN | BOQ LINES</t>
        </is>
      </c>
    </row>
    <row r="2">
      <c r="A2" s="9" t="inlineStr">
        <is>
          <t>Bills of quantities — one row per line; rows with the same BOQ Title + Business Unit form one BOQ</t>
        </is>
      </c>
    </row>
    <row r="3">
      <c r="A3" s="10" t="inlineStr">
        <is>
          <t>e.g. Interior works</t>
        </is>
      </c>
      <c r="B3" s="10" t="inlineStr">
        <is>
          <t>PRJ-2026-004</t>
        </is>
      </c>
      <c r="C3" s="10" t="inlineStr">
        <is>
          <t>Rev 01</t>
        </is>
      </c>
      <c r="D3" s="10" t="inlineStr">
        <is>
          <t>2026-10-01</t>
        </is>
      </c>
      <c r="G3" s="10" t="inlineStr">
        <is>
          <t>أعمال البياض</t>
        </is>
      </c>
      <c r="I3" s="10" t="inlineStr">
        <is>
          <t>3.1</t>
        </is>
      </c>
      <c r="J3" s="10" t="inlineStr">
        <is>
          <t>بياض حوائط</t>
        </is>
      </c>
      <c r="K3" s="10" t="inlineStr">
        <is>
          <t>م٢</t>
        </is>
      </c>
      <c r="L3" s="10" t="n">
        <v>320</v>
      </c>
      <c r="M3" s="10" t="n">
        <v>285</v>
      </c>
      <c r="N3" s="10" t="n">
        <v>219.23</v>
      </c>
    </row>
    <row r="4" ht="30" customHeight="1">
      <c r="A4" s="11" t="inlineStr">
        <is>
          <t>BOQ Title</t>
        </is>
      </c>
      <c r="B4" s="11" t="inlineStr">
        <is>
          <t>Business Unit</t>
        </is>
      </c>
      <c r="C4" s="11" t="inlineStr">
        <is>
          <t>Revision</t>
        </is>
      </c>
      <c r="D4" s="11" t="inlineStr">
        <is>
          <t>Date</t>
        </is>
      </c>
      <c r="E4" s="11" t="inlineStr">
        <is>
          <t>Client</t>
        </is>
      </c>
      <c r="F4" s="11" t="inlineStr">
        <is>
          <t>Location</t>
        </is>
      </c>
      <c r="G4" s="11" t="inlineStr">
        <is>
          <t>Category</t>
        </is>
      </c>
      <c r="H4" s="11" t="inlineStr">
        <is>
          <t>Sub-category</t>
        </is>
      </c>
      <c r="I4" s="11" t="inlineStr">
        <is>
          <t>Item No.</t>
        </is>
      </c>
      <c r="J4" s="11" t="inlineStr">
        <is>
          <t>Description</t>
        </is>
      </c>
      <c r="K4" s="11" t="inlineStr">
        <is>
          <t>Unit</t>
        </is>
      </c>
      <c r="L4" s="11" t="inlineStr">
        <is>
          <t>Qty</t>
        </is>
      </c>
      <c r="M4" s="11" t="inlineStr">
        <is>
          <t>Unit Price</t>
        </is>
      </c>
      <c r="N4" s="11" t="inlineStr">
        <is>
          <t>Unit Cost</t>
        </is>
      </c>
      <c r="O4" s="15" t="inlineStr">
        <is>
          <t>Amount</t>
        </is>
      </c>
    </row>
    <row r="5">
      <c r="A5" s="14" t="n"/>
      <c r="B5" s="14" t="n"/>
      <c r="C5" s="14" t="n"/>
      <c r="D5" s="19" t="n"/>
      <c r="E5" s="14" t="n"/>
      <c r="F5" s="14" t="n"/>
      <c r="G5" s="14" t="n"/>
      <c r="H5" s="14" t="n"/>
      <c r="I5" s="14" t="n"/>
      <c r="J5" s="14" t="n"/>
      <c r="K5" s="14" t="n"/>
      <c r="L5" s="14" t="n"/>
      <c r="M5" s="20" t="n"/>
      <c r="N5" s="20" t="n"/>
      <c r="O5" s="21">
        <f>ROUND(N(L5)*N(M5),2)</f>
        <v/>
      </c>
    </row>
    <row r="6">
      <c r="A6" s="14" t="n"/>
      <c r="B6" s="14" t="n"/>
      <c r="C6" s="14" t="n"/>
      <c r="D6" s="19" t="n"/>
      <c r="E6" s="14" t="n"/>
      <c r="F6" s="14" t="n"/>
      <c r="G6" s="14" t="n"/>
      <c r="H6" s="14" t="n"/>
      <c r="I6" s="14" t="n"/>
      <c r="J6" s="14" t="n"/>
      <c r="K6" s="14" t="n"/>
      <c r="L6" s="14" t="n"/>
      <c r="M6" s="20" t="n"/>
      <c r="N6" s="20" t="n"/>
      <c r="O6" s="21">
        <f>ROUND(N(L6)*N(M6),2)</f>
        <v/>
      </c>
    </row>
    <row r="7">
      <c r="A7" s="14" t="n"/>
      <c r="B7" s="14" t="n"/>
      <c r="C7" s="14" t="n"/>
      <c r="D7" s="19" t="n"/>
      <c r="E7" s="14" t="n"/>
      <c r="F7" s="14" t="n"/>
      <c r="G7" s="14" t="n"/>
      <c r="H7" s="14" t="n"/>
      <c r="I7" s="14" t="n"/>
      <c r="J7" s="14" t="n"/>
      <c r="K7" s="14" t="n"/>
      <c r="L7" s="14" t="n"/>
      <c r="M7" s="20" t="n"/>
      <c r="N7" s="20" t="n"/>
      <c r="O7" s="21">
        <f>ROUND(N(L7)*N(M7),2)</f>
        <v/>
      </c>
    </row>
    <row r="8">
      <c r="A8" s="14" t="n"/>
      <c r="B8" s="14" t="n"/>
      <c r="C8" s="14" t="n"/>
      <c r="D8" s="19" t="n"/>
      <c r="E8" s="14" t="n"/>
      <c r="F8" s="14" t="n"/>
      <c r="G8" s="14" t="n"/>
      <c r="H8" s="14" t="n"/>
      <c r="I8" s="14" t="n"/>
      <c r="J8" s="14" t="n"/>
      <c r="K8" s="14" t="n"/>
      <c r="L8" s="14" t="n"/>
      <c r="M8" s="20" t="n"/>
      <c r="N8" s="20" t="n"/>
      <c r="O8" s="21">
        <f>ROUND(N(L8)*N(M8),2)</f>
        <v/>
      </c>
    </row>
    <row r="9">
      <c r="A9" s="14" t="n"/>
      <c r="B9" s="14" t="n"/>
      <c r="C9" s="14" t="n"/>
      <c r="D9" s="19" t="n"/>
      <c r="E9" s="14" t="n"/>
      <c r="F9" s="14" t="n"/>
      <c r="G9" s="14" t="n"/>
      <c r="H9" s="14" t="n"/>
      <c r="I9" s="14" t="n"/>
      <c r="J9" s="14" t="n"/>
      <c r="K9" s="14" t="n"/>
      <c r="L9" s="14" t="n"/>
      <c r="M9" s="20" t="n"/>
      <c r="N9" s="20" t="n"/>
      <c r="O9" s="21">
        <f>ROUND(N(L9)*N(M9),2)</f>
        <v/>
      </c>
    </row>
    <row r="10">
      <c r="A10" s="14" t="n"/>
      <c r="B10" s="14" t="n"/>
      <c r="C10" s="14" t="n"/>
      <c r="D10" s="19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20" t="n"/>
      <c r="N10" s="20" t="n"/>
      <c r="O10" s="21">
        <f>ROUND(N(L10)*N(M10),2)</f>
        <v/>
      </c>
    </row>
    <row r="11">
      <c r="A11" s="14" t="n"/>
      <c r="B11" s="14" t="n"/>
      <c r="C11" s="14" t="n"/>
      <c r="D11" s="19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20" t="n"/>
      <c r="N11" s="20" t="n"/>
      <c r="O11" s="21">
        <f>ROUND(N(L11)*N(M11),2)</f>
        <v/>
      </c>
    </row>
    <row r="12">
      <c r="A12" s="14" t="n"/>
      <c r="B12" s="14" t="n"/>
      <c r="C12" s="14" t="n"/>
      <c r="D12" s="19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20" t="n"/>
      <c r="N12" s="20" t="n"/>
      <c r="O12" s="21">
        <f>ROUND(N(L12)*N(M12),2)</f>
        <v/>
      </c>
    </row>
    <row r="13">
      <c r="A13" s="14" t="n"/>
      <c r="B13" s="14" t="n"/>
      <c r="C13" s="14" t="n"/>
      <c r="D13" s="19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20" t="n"/>
      <c r="N13" s="20" t="n"/>
      <c r="O13" s="21">
        <f>ROUND(N(L13)*N(M13),2)</f>
        <v/>
      </c>
    </row>
    <row r="14">
      <c r="A14" s="14" t="n"/>
      <c r="B14" s="14" t="n"/>
      <c r="C14" s="14" t="n"/>
      <c r="D14" s="19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20" t="n"/>
      <c r="N14" s="20" t="n"/>
      <c r="O14" s="21">
        <f>ROUND(N(L14)*N(M14),2)</f>
        <v/>
      </c>
    </row>
    <row r="15">
      <c r="A15" s="14" t="n"/>
      <c r="B15" s="14" t="n"/>
      <c r="C15" s="14" t="n"/>
      <c r="D15" s="19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20" t="n"/>
      <c r="N15" s="20" t="n"/>
      <c r="O15" s="21">
        <f>ROUND(N(L15)*N(M15),2)</f>
        <v/>
      </c>
    </row>
    <row r="16">
      <c r="A16" s="14" t="n"/>
      <c r="B16" s="14" t="n"/>
      <c r="C16" s="14" t="n"/>
      <c r="D16" s="19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20" t="n"/>
      <c r="N16" s="20" t="n"/>
      <c r="O16" s="21">
        <f>ROUND(N(L16)*N(M16),2)</f>
        <v/>
      </c>
    </row>
    <row r="17">
      <c r="A17" s="14" t="n"/>
      <c r="B17" s="14" t="n"/>
      <c r="C17" s="14" t="n"/>
      <c r="D17" s="19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20" t="n"/>
      <c r="N17" s="20" t="n"/>
      <c r="O17" s="21">
        <f>ROUND(N(L17)*N(M17),2)</f>
        <v/>
      </c>
    </row>
    <row r="18">
      <c r="A18" s="14" t="n"/>
      <c r="B18" s="14" t="n"/>
      <c r="C18" s="14" t="n"/>
      <c r="D18" s="19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20" t="n"/>
      <c r="N18" s="20" t="n"/>
      <c r="O18" s="21">
        <f>ROUND(N(L18)*N(M18),2)</f>
        <v/>
      </c>
    </row>
    <row r="19">
      <c r="A19" s="14" t="n"/>
      <c r="B19" s="14" t="n"/>
      <c r="C19" s="14" t="n"/>
      <c r="D19" s="19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20" t="n"/>
      <c r="N19" s="20" t="n"/>
      <c r="O19" s="21">
        <f>ROUND(N(L19)*N(M19),2)</f>
        <v/>
      </c>
    </row>
    <row r="20">
      <c r="A20" s="14" t="n"/>
      <c r="B20" s="14" t="n"/>
      <c r="C20" s="14" t="n"/>
      <c r="D20" s="19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20" t="n"/>
      <c r="N20" s="20" t="n"/>
      <c r="O20" s="21">
        <f>ROUND(N(L20)*N(M20),2)</f>
        <v/>
      </c>
    </row>
    <row r="21">
      <c r="A21" s="14" t="n"/>
      <c r="B21" s="14" t="n"/>
      <c r="C21" s="14" t="n"/>
      <c r="D21" s="19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20" t="n"/>
      <c r="N21" s="20" t="n"/>
      <c r="O21" s="21">
        <f>ROUND(N(L21)*N(M21),2)</f>
        <v/>
      </c>
    </row>
    <row r="22">
      <c r="A22" s="14" t="n"/>
      <c r="B22" s="14" t="n"/>
      <c r="C22" s="14" t="n"/>
      <c r="D22" s="19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20" t="n"/>
      <c r="N22" s="20" t="n"/>
      <c r="O22" s="21">
        <f>ROUND(N(L22)*N(M22),2)</f>
        <v/>
      </c>
    </row>
    <row r="23">
      <c r="A23" s="14" t="n"/>
      <c r="B23" s="14" t="n"/>
      <c r="C23" s="14" t="n"/>
      <c r="D23" s="19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20" t="n"/>
      <c r="N23" s="20" t="n"/>
      <c r="O23" s="21">
        <f>ROUND(N(L23)*N(M23),2)</f>
        <v/>
      </c>
    </row>
    <row r="24">
      <c r="A24" s="14" t="n"/>
      <c r="B24" s="14" t="n"/>
      <c r="C24" s="14" t="n"/>
      <c r="D24" s="19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20" t="n"/>
      <c r="N24" s="20" t="n"/>
      <c r="O24" s="21">
        <f>ROUND(N(L24)*N(M24),2)</f>
        <v/>
      </c>
    </row>
    <row r="25">
      <c r="A25" s="14" t="n"/>
      <c r="B25" s="14" t="n"/>
      <c r="C25" s="14" t="n"/>
      <c r="D25" s="19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20" t="n"/>
      <c r="N25" s="20" t="n"/>
      <c r="O25" s="21">
        <f>ROUND(N(L25)*N(M25),2)</f>
        <v/>
      </c>
    </row>
    <row r="26">
      <c r="A26" s="14" t="n"/>
      <c r="B26" s="14" t="n"/>
      <c r="C26" s="14" t="n"/>
      <c r="D26" s="19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20" t="n"/>
      <c r="N26" s="20" t="n"/>
      <c r="O26" s="21">
        <f>ROUND(N(L26)*N(M26),2)</f>
        <v/>
      </c>
    </row>
    <row r="27">
      <c r="A27" s="14" t="n"/>
      <c r="B27" s="14" t="n"/>
      <c r="C27" s="14" t="n"/>
      <c r="D27" s="19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20" t="n"/>
      <c r="N27" s="20" t="n"/>
      <c r="O27" s="21">
        <f>ROUND(N(L27)*N(M27),2)</f>
        <v/>
      </c>
    </row>
    <row r="28">
      <c r="A28" s="14" t="n"/>
      <c r="B28" s="14" t="n"/>
      <c r="C28" s="14" t="n"/>
      <c r="D28" s="19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20" t="n"/>
      <c r="N28" s="20" t="n"/>
      <c r="O28" s="21">
        <f>ROUND(N(L28)*N(M28),2)</f>
        <v/>
      </c>
    </row>
    <row r="29">
      <c r="A29" s="14" t="n"/>
      <c r="B29" s="14" t="n"/>
      <c r="C29" s="14" t="n"/>
      <c r="D29" s="19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20" t="n"/>
      <c r="N29" s="20" t="n"/>
      <c r="O29" s="21">
        <f>ROUND(N(L29)*N(M29),2)</f>
        <v/>
      </c>
    </row>
    <row r="30">
      <c r="A30" s="14" t="n"/>
      <c r="B30" s="14" t="n"/>
      <c r="C30" s="14" t="n"/>
      <c r="D30" s="19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20" t="n"/>
      <c r="N30" s="20" t="n"/>
      <c r="O30" s="21">
        <f>ROUND(N(L30)*N(M30),2)</f>
        <v/>
      </c>
    </row>
    <row r="31">
      <c r="A31" s="14" t="n"/>
      <c r="B31" s="14" t="n"/>
      <c r="C31" s="14" t="n"/>
      <c r="D31" s="19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20" t="n"/>
      <c r="N31" s="20" t="n"/>
      <c r="O31" s="21">
        <f>ROUND(N(L31)*N(M31),2)</f>
        <v/>
      </c>
    </row>
    <row r="32">
      <c r="A32" s="14" t="n"/>
      <c r="B32" s="14" t="n"/>
      <c r="C32" s="14" t="n"/>
      <c r="D32" s="19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20" t="n"/>
      <c r="N32" s="20" t="n"/>
      <c r="O32" s="21">
        <f>ROUND(N(L32)*N(M32),2)</f>
        <v/>
      </c>
    </row>
    <row r="33">
      <c r="A33" s="14" t="n"/>
      <c r="B33" s="14" t="n"/>
      <c r="C33" s="14" t="n"/>
      <c r="D33" s="19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20" t="n"/>
      <c r="N33" s="20" t="n"/>
      <c r="O33" s="21">
        <f>ROUND(N(L33)*N(M33),2)</f>
        <v/>
      </c>
    </row>
    <row r="34">
      <c r="A34" s="14" t="n"/>
      <c r="B34" s="14" t="n"/>
      <c r="C34" s="14" t="n"/>
      <c r="D34" s="19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20" t="n"/>
      <c r="N34" s="20" t="n"/>
      <c r="O34" s="21">
        <f>ROUND(N(L34)*N(M34),2)</f>
        <v/>
      </c>
    </row>
    <row r="35">
      <c r="A35" s="14" t="n"/>
      <c r="B35" s="14" t="n"/>
      <c r="C35" s="14" t="n"/>
      <c r="D35" s="19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20" t="n"/>
      <c r="N35" s="20" t="n"/>
      <c r="O35" s="21">
        <f>ROUND(N(L35)*N(M35),2)</f>
        <v/>
      </c>
    </row>
    <row r="36">
      <c r="A36" s="14" t="n"/>
      <c r="B36" s="14" t="n"/>
      <c r="C36" s="14" t="n"/>
      <c r="D36" s="19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20" t="n"/>
      <c r="N36" s="20" t="n"/>
      <c r="O36" s="21">
        <f>ROUND(N(L36)*N(M36),2)</f>
        <v/>
      </c>
    </row>
    <row r="37">
      <c r="A37" s="14" t="n"/>
      <c r="B37" s="14" t="n"/>
      <c r="C37" s="14" t="n"/>
      <c r="D37" s="19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20" t="n"/>
      <c r="N37" s="20" t="n"/>
      <c r="O37" s="21">
        <f>ROUND(N(L37)*N(M37),2)</f>
        <v/>
      </c>
    </row>
    <row r="38">
      <c r="A38" s="14" t="n"/>
      <c r="B38" s="14" t="n"/>
      <c r="C38" s="14" t="n"/>
      <c r="D38" s="19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20" t="n"/>
      <c r="N38" s="20" t="n"/>
      <c r="O38" s="21">
        <f>ROUND(N(L38)*N(M38),2)</f>
        <v/>
      </c>
    </row>
    <row r="39">
      <c r="A39" s="14" t="n"/>
      <c r="B39" s="14" t="n"/>
      <c r="C39" s="14" t="n"/>
      <c r="D39" s="19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20" t="n"/>
      <c r="N39" s="20" t="n"/>
      <c r="O39" s="21">
        <f>ROUND(N(L39)*N(M39),2)</f>
        <v/>
      </c>
    </row>
    <row r="40">
      <c r="A40" s="14" t="n"/>
      <c r="B40" s="14" t="n"/>
      <c r="C40" s="14" t="n"/>
      <c r="D40" s="19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20" t="n"/>
      <c r="N40" s="20" t="n"/>
      <c r="O40" s="21">
        <f>ROUND(N(L40)*N(M40),2)</f>
        <v/>
      </c>
    </row>
    <row r="41">
      <c r="A41" s="14" t="n"/>
      <c r="B41" s="14" t="n"/>
      <c r="C41" s="14" t="n"/>
      <c r="D41" s="19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20" t="n"/>
      <c r="N41" s="20" t="n"/>
      <c r="O41" s="21">
        <f>ROUND(N(L41)*N(M41),2)</f>
        <v/>
      </c>
    </row>
    <row r="42">
      <c r="A42" s="14" t="n"/>
      <c r="B42" s="14" t="n"/>
      <c r="C42" s="14" t="n"/>
      <c r="D42" s="19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20" t="n"/>
      <c r="N42" s="20" t="n"/>
      <c r="O42" s="21">
        <f>ROUND(N(L42)*N(M42),2)</f>
        <v/>
      </c>
    </row>
    <row r="43">
      <c r="A43" s="14" t="n"/>
      <c r="B43" s="14" t="n"/>
      <c r="C43" s="14" t="n"/>
      <c r="D43" s="19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20" t="n"/>
      <c r="N43" s="20" t="n"/>
      <c r="O43" s="21">
        <f>ROUND(N(L43)*N(M43),2)</f>
        <v/>
      </c>
    </row>
    <row r="44">
      <c r="A44" s="14" t="n"/>
      <c r="B44" s="14" t="n"/>
      <c r="C44" s="14" t="n"/>
      <c r="D44" s="19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20" t="n"/>
      <c r="N44" s="20" t="n"/>
      <c r="O44" s="21">
        <f>ROUND(N(L44)*N(M44),2)</f>
        <v/>
      </c>
    </row>
    <row r="45">
      <c r="A45" s="14" t="n"/>
      <c r="B45" s="14" t="n"/>
      <c r="C45" s="14" t="n"/>
      <c r="D45" s="19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20" t="n"/>
      <c r="N45" s="20" t="n"/>
      <c r="O45" s="21">
        <f>ROUND(N(L45)*N(M45),2)</f>
        <v/>
      </c>
    </row>
    <row r="46">
      <c r="A46" s="14" t="n"/>
      <c r="B46" s="14" t="n"/>
      <c r="C46" s="14" t="n"/>
      <c r="D46" s="19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20" t="n"/>
      <c r="N46" s="20" t="n"/>
      <c r="O46" s="21">
        <f>ROUND(N(L46)*N(M46),2)</f>
        <v/>
      </c>
    </row>
    <row r="47">
      <c r="A47" s="14" t="n"/>
      <c r="B47" s="14" t="n"/>
      <c r="C47" s="14" t="n"/>
      <c r="D47" s="19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20" t="n"/>
      <c r="N47" s="20" t="n"/>
      <c r="O47" s="21">
        <f>ROUND(N(L47)*N(M47),2)</f>
        <v/>
      </c>
    </row>
    <row r="48">
      <c r="A48" s="14" t="n"/>
      <c r="B48" s="14" t="n"/>
      <c r="C48" s="14" t="n"/>
      <c r="D48" s="19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20" t="n"/>
      <c r="N48" s="20" t="n"/>
      <c r="O48" s="21">
        <f>ROUND(N(L48)*N(M48),2)</f>
        <v/>
      </c>
    </row>
    <row r="49">
      <c r="A49" s="14" t="n"/>
      <c r="B49" s="14" t="n"/>
      <c r="C49" s="14" t="n"/>
      <c r="D49" s="19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20" t="n"/>
      <c r="N49" s="20" t="n"/>
      <c r="O49" s="21">
        <f>ROUND(N(L49)*N(M49),2)</f>
        <v/>
      </c>
    </row>
    <row r="50">
      <c r="A50" s="14" t="n"/>
      <c r="B50" s="14" t="n"/>
      <c r="C50" s="14" t="n"/>
      <c r="D50" s="19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20" t="n"/>
      <c r="N50" s="20" t="n"/>
      <c r="O50" s="21">
        <f>ROUND(N(L50)*N(M50),2)</f>
        <v/>
      </c>
    </row>
    <row r="51">
      <c r="A51" s="14" t="n"/>
      <c r="B51" s="14" t="n"/>
      <c r="C51" s="14" t="n"/>
      <c r="D51" s="19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20" t="n"/>
      <c r="N51" s="20" t="n"/>
      <c r="O51" s="21">
        <f>ROUND(N(L51)*N(M51),2)</f>
        <v/>
      </c>
    </row>
    <row r="52">
      <c r="A52" s="14" t="n"/>
      <c r="B52" s="14" t="n"/>
      <c r="C52" s="14" t="n"/>
      <c r="D52" s="19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20" t="n"/>
      <c r="N52" s="20" t="n"/>
      <c r="O52" s="21">
        <f>ROUND(N(L52)*N(M52),2)</f>
        <v/>
      </c>
    </row>
    <row r="53">
      <c r="A53" s="14" t="n"/>
      <c r="B53" s="14" t="n"/>
      <c r="C53" s="14" t="n"/>
      <c r="D53" s="19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20" t="n"/>
      <c r="N53" s="20" t="n"/>
      <c r="O53" s="21">
        <f>ROUND(N(L53)*N(M53),2)</f>
        <v/>
      </c>
    </row>
    <row r="54">
      <c r="A54" s="14" t="n"/>
      <c r="B54" s="14" t="n"/>
      <c r="C54" s="14" t="n"/>
      <c r="D54" s="19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20" t="n"/>
      <c r="N54" s="20" t="n"/>
      <c r="O54" s="21">
        <f>ROUND(N(L54)*N(M54),2)</f>
        <v/>
      </c>
    </row>
    <row r="55">
      <c r="A55" s="14" t="n"/>
      <c r="B55" s="14" t="n"/>
      <c r="C55" s="14" t="n"/>
      <c r="D55" s="19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20" t="n"/>
      <c r="N55" s="20" t="n"/>
      <c r="O55" s="21">
        <f>ROUND(N(L55)*N(M55),2)</f>
        <v/>
      </c>
    </row>
    <row r="56">
      <c r="A56" s="14" t="n"/>
      <c r="B56" s="14" t="n"/>
      <c r="C56" s="14" t="n"/>
      <c r="D56" s="19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20" t="n"/>
      <c r="N56" s="20" t="n"/>
      <c r="O56" s="21">
        <f>ROUND(N(L56)*N(M56),2)</f>
        <v/>
      </c>
    </row>
    <row r="57">
      <c r="A57" s="14" t="n"/>
      <c r="B57" s="14" t="n"/>
      <c r="C57" s="14" t="n"/>
      <c r="D57" s="19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20" t="n"/>
      <c r="N57" s="20" t="n"/>
      <c r="O57" s="21">
        <f>ROUND(N(L57)*N(M57),2)</f>
        <v/>
      </c>
    </row>
    <row r="58">
      <c r="A58" s="14" t="n"/>
      <c r="B58" s="14" t="n"/>
      <c r="C58" s="14" t="n"/>
      <c r="D58" s="19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20" t="n"/>
      <c r="N58" s="20" t="n"/>
      <c r="O58" s="21">
        <f>ROUND(N(L58)*N(M58),2)</f>
        <v/>
      </c>
    </row>
    <row r="59">
      <c r="A59" s="14" t="n"/>
      <c r="B59" s="14" t="n"/>
      <c r="C59" s="14" t="n"/>
      <c r="D59" s="19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20" t="n"/>
      <c r="N59" s="20" t="n"/>
      <c r="O59" s="21">
        <f>ROUND(N(L59)*N(M59),2)</f>
        <v/>
      </c>
    </row>
    <row r="60">
      <c r="A60" s="14" t="n"/>
      <c r="B60" s="14" t="n"/>
      <c r="C60" s="14" t="n"/>
      <c r="D60" s="19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20" t="n"/>
      <c r="N60" s="20" t="n"/>
      <c r="O60" s="21">
        <f>ROUND(N(L60)*N(M60),2)</f>
        <v/>
      </c>
    </row>
    <row r="61">
      <c r="A61" s="14" t="n"/>
      <c r="B61" s="14" t="n"/>
      <c r="C61" s="14" t="n"/>
      <c r="D61" s="19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20" t="n"/>
      <c r="N61" s="20" t="n"/>
      <c r="O61" s="21">
        <f>ROUND(N(L61)*N(M61),2)</f>
        <v/>
      </c>
    </row>
    <row r="62">
      <c r="A62" s="14" t="n"/>
      <c r="B62" s="14" t="n"/>
      <c r="C62" s="14" t="n"/>
      <c r="D62" s="19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20" t="n"/>
      <c r="N62" s="20" t="n"/>
      <c r="O62" s="21">
        <f>ROUND(N(L62)*N(M62),2)</f>
        <v/>
      </c>
    </row>
    <row r="63">
      <c r="A63" s="14" t="n"/>
      <c r="B63" s="14" t="n"/>
      <c r="C63" s="14" t="n"/>
      <c r="D63" s="19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20" t="n"/>
      <c r="N63" s="20" t="n"/>
      <c r="O63" s="21">
        <f>ROUND(N(L63)*N(M63),2)</f>
        <v/>
      </c>
    </row>
    <row r="64">
      <c r="A64" s="14" t="n"/>
      <c r="B64" s="14" t="n"/>
      <c r="C64" s="14" t="n"/>
      <c r="D64" s="19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20" t="n"/>
      <c r="N64" s="20" t="n"/>
      <c r="O64" s="21">
        <f>ROUND(N(L64)*N(M64),2)</f>
        <v/>
      </c>
    </row>
    <row r="65">
      <c r="A65" s="14" t="n"/>
      <c r="B65" s="14" t="n"/>
      <c r="C65" s="14" t="n"/>
      <c r="D65" s="19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20" t="n"/>
      <c r="N65" s="20" t="n"/>
      <c r="O65" s="21">
        <f>ROUND(N(L65)*N(M65),2)</f>
        <v/>
      </c>
    </row>
    <row r="66">
      <c r="A66" s="14" t="n"/>
      <c r="B66" s="14" t="n"/>
      <c r="C66" s="14" t="n"/>
      <c r="D66" s="19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20" t="n"/>
      <c r="N66" s="20" t="n"/>
      <c r="O66" s="21">
        <f>ROUND(N(L66)*N(M66),2)</f>
        <v/>
      </c>
    </row>
    <row r="67">
      <c r="A67" s="14" t="n"/>
      <c r="B67" s="14" t="n"/>
      <c r="C67" s="14" t="n"/>
      <c r="D67" s="19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20" t="n"/>
      <c r="N67" s="20" t="n"/>
      <c r="O67" s="21">
        <f>ROUND(N(L67)*N(M67),2)</f>
        <v/>
      </c>
    </row>
    <row r="68">
      <c r="A68" s="14" t="n"/>
      <c r="B68" s="14" t="n"/>
      <c r="C68" s="14" t="n"/>
      <c r="D68" s="19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20" t="n"/>
      <c r="N68" s="20" t="n"/>
      <c r="O68" s="21">
        <f>ROUND(N(L68)*N(M68),2)</f>
        <v/>
      </c>
    </row>
    <row r="69">
      <c r="A69" s="14" t="n"/>
      <c r="B69" s="14" t="n"/>
      <c r="C69" s="14" t="n"/>
      <c r="D69" s="19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20" t="n"/>
      <c r="N69" s="20" t="n"/>
      <c r="O69" s="21">
        <f>ROUND(N(L69)*N(M69),2)</f>
        <v/>
      </c>
    </row>
    <row r="70">
      <c r="A70" s="14" t="n"/>
      <c r="B70" s="14" t="n"/>
      <c r="C70" s="14" t="n"/>
      <c r="D70" s="19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20" t="n"/>
      <c r="N70" s="20" t="n"/>
      <c r="O70" s="21">
        <f>ROUND(N(L70)*N(M70),2)</f>
        <v/>
      </c>
    </row>
    <row r="71">
      <c r="A71" s="14" t="n"/>
      <c r="B71" s="14" t="n"/>
      <c r="C71" s="14" t="n"/>
      <c r="D71" s="19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20" t="n"/>
      <c r="N71" s="20" t="n"/>
      <c r="O71" s="21">
        <f>ROUND(N(L71)*N(M71),2)</f>
        <v/>
      </c>
    </row>
    <row r="72">
      <c r="A72" s="14" t="n"/>
      <c r="B72" s="14" t="n"/>
      <c r="C72" s="14" t="n"/>
      <c r="D72" s="19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20" t="n"/>
      <c r="N72" s="20" t="n"/>
      <c r="O72" s="21">
        <f>ROUND(N(L72)*N(M72),2)</f>
        <v/>
      </c>
    </row>
    <row r="73">
      <c r="A73" s="14" t="n"/>
      <c r="B73" s="14" t="n"/>
      <c r="C73" s="14" t="n"/>
      <c r="D73" s="19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20" t="n"/>
      <c r="N73" s="20" t="n"/>
      <c r="O73" s="21">
        <f>ROUND(N(L73)*N(M73),2)</f>
        <v/>
      </c>
    </row>
    <row r="74">
      <c r="A74" s="14" t="n"/>
      <c r="B74" s="14" t="n"/>
      <c r="C74" s="14" t="n"/>
      <c r="D74" s="19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20" t="n"/>
      <c r="N74" s="20" t="n"/>
      <c r="O74" s="21">
        <f>ROUND(N(L74)*N(M74),2)</f>
        <v/>
      </c>
    </row>
    <row r="75">
      <c r="A75" s="14" t="n"/>
      <c r="B75" s="14" t="n"/>
      <c r="C75" s="14" t="n"/>
      <c r="D75" s="19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20" t="n"/>
      <c r="N75" s="20" t="n"/>
      <c r="O75" s="21">
        <f>ROUND(N(L75)*N(M75),2)</f>
        <v/>
      </c>
    </row>
    <row r="76">
      <c r="A76" s="14" t="n"/>
      <c r="B76" s="14" t="n"/>
      <c r="C76" s="14" t="n"/>
      <c r="D76" s="19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20" t="n"/>
      <c r="N76" s="20" t="n"/>
      <c r="O76" s="21">
        <f>ROUND(N(L76)*N(M76),2)</f>
        <v/>
      </c>
    </row>
    <row r="77">
      <c r="A77" s="14" t="n"/>
      <c r="B77" s="14" t="n"/>
      <c r="C77" s="14" t="n"/>
      <c r="D77" s="19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20" t="n"/>
      <c r="N77" s="20" t="n"/>
      <c r="O77" s="21">
        <f>ROUND(N(L77)*N(M77),2)</f>
        <v/>
      </c>
    </row>
    <row r="78">
      <c r="A78" s="14" t="n"/>
      <c r="B78" s="14" t="n"/>
      <c r="C78" s="14" t="n"/>
      <c r="D78" s="19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20" t="n"/>
      <c r="N78" s="20" t="n"/>
      <c r="O78" s="21">
        <f>ROUND(N(L78)*N(M78),2)</f>
        <v/>
      </c>
    </row>
    <row r="79">
      <c r="A79" s="14" t="n"/>
      <c r="B79" s="14" t="n"/>
      <c r="C79" s="14" t="n"/>
      <c r="D79" s="19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20" t="n"/>
      <c r="N79" s="20" t="n"/>
      <c r="O79" s="21">
        <f>ROUND(N(L79)*N(M79),2)</f>
        <v/>
      </c>
    </row>
    <row r="80">
      <c r="A80" s="14" t="n"/>
      <c r="B80" s="14" t="n"/>
      <c r="C80" s="14" t="n"/>
      <c r="D80" s="19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20" t="n"/>
      <c r="N80" s="20" t="n"/>
      <c r="O80" s="21">
        <f>ROUND(N(L80)*N(M80),2)</f>
        <v/>
      </c>
    </row>
    <row r="81">
      <c r="A81" s="14" t="n"/>
      <c r="B81" s="14" t="n"/>
      <c r="C81" s="14" t="n"/>
      <c r="D81" s="19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20" t="n"/>
      <c r="N81" s="20" t="n"/>
      <c r="O81" s="21">
        <f>ROUND(N(L81)*N(M81),2)</f>
        <v/>
      </c>
    </row>
    <row r="82">
      <c r="A82" s="14" t="n"/>
      <c r="B82" s="14" t="n"/>
      <c r="C82" s="14" t="n"/>
      <c r="D82" s="19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20" t="n"/>
      <c r="N82" s="20" t="n"/>
      <c r="O82" s="21">
        <f>ROUND(N(L82)*N(M82),2)</f>
        <v/>
      </c>
    </row>
    <row r="83">
      <c r="A83" s="14" t="n"/>
      <c r="B83" s="14" t="n"/>
      <c r="C83" s="14" t="n"/>
      <c r="D83" s="19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20" t="n"/>
      <c r="N83" s="20" t="n"/>
      <c r="O83" s="21">
        <f>ROUND(N(L83)*N(M83),2)</f>
        <v/>
      </c>
    </row>
    <row r="84">
      <c r="A84" s="14" t="n"/>
      <c r="B84" s="14" t="n"/>
      <c r="C84" s="14" t="n"/>
      <c r="D84" s="19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20" t="n"/>
      <c r="N84" s="20" t="n"/>
      <c r="O84" s="21">
        <f>ROUND(N(L84)*N(M84),2)</f>
        <v/>
      </c>
    </row>
    <row r="85">
      <c r="A85" s="14" t="n"/>
      <c r="B85" s="14" t="n"/>
      <c r="C85" s="14" t="n"/>
      <c r="D85" s="19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20" t="n"/>
      <c r="N85" s="20" t="n"/>
      <c r="O85" s="21">
        <f>ROUND(N(L85)*N(M85),2)</f>
        <v/>
      </c>
    </row>
    <row r="86">
      <c r="A86" s="14" t="n"/>
      <c r="B86" s="14" t="n"/>
      <c r="C86" s="14" t="n"/>
      <c r="D86" s="19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20" t="n"/>
      <c r="N86" s="20" t="n"/>
      <c r="O86" s="21">
        <f>ROUND(N(L86)*N(M86),2)</f>
        <v/>
      </c>
    </row>
    <row r="87">
      <c r="A87" s="14" t="n"/>
      <c r="B87" s="14" t="n"/>
      <c r="C87" s="14" t="n"/>
      <c r="D87" s="19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20" t="n"/>
      <c r="N87" s="20" t="n"/>
      <c r="O87" s="21">
        <f>ROUND(N(L87)*N(M87),2)</f>
        <v/>
      </c>
    </row>
    <row r="88">
      <c r="A88" s="14" t="n"/>
      <c r="B88" s="14" t="n"/>
      <c r="C88" s="14" t="n"/>
      <c r="D88" s="19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20" t="n"/>
      <c r="N88" s="20" t="n"/>
      <c r="O88" s="21">
        <f>ROUND(N(L88)*N(M88),2)</f>
        <v/>
      </c>
    </row>
    <row r="89">
      <c r="A89" s="14" t="n"/>
      <c r="B89" s="14" t="n"/>
      <c r="C89" s="14" t="n"/>
      <c r="D89" s="19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20" t="n"/>
      <c r="N89" s="20" t="n"/>
      <c r="O89" s="21">
        <f>ROUND(N(L89)*N(M89),2)</f>
        <v/>
      </c>
    </row>
    <row r="90">
      <c r="A90" s="14" t="n"/>
      <c r="B90" s="14" t="n"/>
      <c r="C90" s="14" t="n"/>
      <c r="D90" s="19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20" t="n"/>
      <c r="N90" s="20" t="n"/>
      <c r="O90" s="21">
        <f>ROUND(N(L90)*N(M90),2)</f>
        <v/>
      </c>
    </row>
    <row r="91">
      <c r="A91" s="14" t="n"/>
      <c r="B91" s="14" t="n"/>
      <c r="C91" s="14" t="n"/>
      <c r="D91" s="19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20" t="n"/>
      <c r="N91" s="20" t="n"/>
      <c r="O91" s="21">
        <f>ROUND(N(L91)*N(M91),2)</f>
        <v/>
      </c>
    </row>
    <row r="92">
      <c r="A92" s="14" t="n"/>
      <c r="B92" s="14" t="n"/>
      <c r="C92" s="14" t="n"/>
      <c r="D92" s="19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20" t="n"/>
      <c r="N92" s="20" t="n"/>
      <c r="O92" s="21">
        <f>ROUND(N(L92)*N(M92),2)</f>
        <v/>
      </c>
    </row>
    <row r="93">
      <c r="A93" s="14" t="n"/>
      <c r="B93" s="14" t="n"/>
      <c r="C93" s="14" t="n"/>
      <c r="D93" s="19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20" t="n"/>
      <c r="N93" s="20" t="n"/>
      <c r="O93" s="21">
        <f>ROUND(N(L93)*N(M93),2)</f>
        <v/>
      </c>
    </row>
    <row r="94">
      <c r="A94" s="14" t="n"/>
      <c r="B94" s="14" t="n"/>
      <c r="C94" s="14" t="n"/>
      <c r="D94" s="19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20" t="n"/>
      <c r="N94" s="20" t="n"/>
      <c r="O94" s="21">
        <f>ROUND(N(L94)*N(M94),2)</f>
        <v/>
      </c>
    </row>
    <row r="95">
      <c r="A95" s="14" t="n"/>
      <c r="B95" s="14" t="n"/>
      <c r="C95" s="14" t="n"/>
      <c r="D95" s="19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20" t="n"/>
      <c r="N95" s="20" t="n"/>
      <c r="O95" s="21">
        <f>ROUND(N(L95)*N(M95),2)</f>
        <v/>
      </c>
    </row>
    <row r="96">
      <c r="A96" s="14" t="n"/>
      <c r="B96" s="14" t="n"/>
      <c r="C96" s="14" t="n"/>
      <c r="D96" s="19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20" t="n"/>
      <c r="N96" s="20" t="n"/>
      <c r="O96" s="21">
        <f>ROUND(N(L96)*N(M96),2)</f>
        <v/>
      </c>
    </row>
    <row r="97">
      <c r="A97" s="14" t="n"/>
      <c r="B97" s="14" t="n"/>
      <c r="C97" s="14" t="n"/>
      <c r="D97" s="19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20" t="n"/>
      <c r="N97" s="20" t="n"/>
      <c r="O97" s="21">
        <f>ROUND(N(L97)*N(M97),2)</f>
        <v/>
      </c>
    </row>
    <row r="98">
      <c r="A98" s="14" t="n"/>
      <c r="B98" s="14" t="n"/>
      <c r="C98" s="14" t="n"/>
      <c r="D98" s="19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20" t="n"/>
      <c r="N98" s="20" t="n"/>
      <c r="O98" s="21">
        <f>ROUND(N(L98)*N(M98),2)</f>
        <v/>
      </c>
    </row>
    <row r="99">
      <c r="A99" s="14" t="n"/>
      <c r="B99" s="14" t="n"/>
      <c r="C99" s="14" t="n"/>
      <c r="D99" s="19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20" t="n"/>
      <c r="N99" s="20" t="n"/>
      <c r="O99" s="21">
        <f>ROUND(N(L99)*N(M99),2)</f>
        <v/>
      </c>
    </row>
    <row r="100">
      <c r="A100" s="14" t="n"/>
      <c r="B100" s="14" t="n"/>
      <c r="C100" s="14" t="n"/>
      <c r="D100" s="19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20" t="n"/>
      <c r="N100" s="20" t="n"/>
      <c r="O100" s="21">
        <f>ROUND(N(L100)*N(M100),2)</f>
        <v/>
      </c>
    </row>
    <row r="101">
      <c r="A101" s="14" t="n"/>
      <c r="B101" s="14" t="n"/>
      <c r="C101" s="14" t="n"/>
      <c r="D101" s="19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20" t="n"/>
      <c r="N101" s="20" t="n"/>
      <c r="O101" s="21">
        <f>ROUND(N(L101)*N(M101),2)</f>
        <v/>
      </c>
    </row>
    <row r="102">
      <c r="A102" s="14" t="n"/>
      <c r="B102" s="14" t="n"/>
      <c r="C102" s="14" t="n"/>
      <c r="D102" s="19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20" t="n"/>
      <c r="N102" s="20" t="n"/>
      <c r="O102" s="21">
        <f>ROUND(N(L102)*N(M102),2)</f>
        <v/>
      </c>
    </row>
    <row r="103">
      <c r="A103" s="14" t="n"/>
      <c r="B103" s="14" t="n"/>
      <c r="C103" s="14" t="n"/>
      <c r="D103" s="19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20" t="n"/>
      <c r="N103" s="20" t="n"/>
      <c r="O103" s="21">
        <f>ROUND(N(L103)*N(M103),2)</f>
        <v/>
      </c>
    </row>
    <row r="104">
      <c r="A104" s="14" t="n"/>
      <c r="B104" s="14" t="n"/>
      <c r="C104" s="14" t="n"/>
      <c r="D104" s="19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20" t="n"/>
      <c r="N104" s="20" t="n"/>
      <c r="O104" s="21">
        <f>ROUND(N(L104)*N(M104),2)</f>
        <v/>
      </c>
    </row>
    <row r="105">
      <c r="A105" s="14" t="n"/>
      <c r="B105" s="14" t="n"/>
      <c r="C105" s="14" t="n"/>
      <c r="D105" s="19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20" t="n"/>
      <c r="N105" s="20" t="n"/>
      <c r="O105" s="21">
        <f>ROUND(N(L105)*N(M105),2)</f>
        <v/>
      </c>
    </row>
    <row r="106">
      <c r="A106" s="14" t="n"/>
      <c r="B106" s="14" t="n"/>
      <c r="C106" s="14" t="n"/>
      <c r="D106" s="19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20" t="n"/>
      <c r="N106" s="20" t="n"/>
      <c r="O106" s="21">
        <f>ROUND(N(L106)*N(M106),2)</f>
        <v/>
      </c>
    </row>
    <row r="107">
      <c r="A107" s="14" t="n"/>
      <c r="B107" s="14" t="n"/>
      <c r="C107" s="14" t="n"/>
      <c r="D107" s="19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20" t="n"/>
      <c r="N107" s="20" t="n"/>
      <c r="O107" s="21">
        <f>ROUND(N(L107)*N(M107),2)</f>
        <v/>
      </c>
    </row>
    <row r="108">
      <c r="A108" s="14" t="n"/>
      <c r="B108" s="14" t="n"/>
      <c r="C108" s="14" t="n"/>
      <c r="D108" s="19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20" t="n"/>
      <c r="N108" s="20" t="n"/>
      <c r="O108" s="21">
        <f>ROUND(N(L108)*N(M108),2)</f>
        <v/>
      </c>
    </row>
    <row r="109">
      <c r="A109" s="14" t="n"/>
      <c r="B109" s="14" t="n"/>
      <c r="C109" s="14" t="n"/>
      <c r="D109" s="19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20" t="n"/>
      <c r="N109" s="20" t="n"/>
      <c r="O109" s="21">
        <f>ROUND(N(L109)*N(M109),2)</f>
        <v/>
      </c>
    </row>
    <row r="110">
      <c r="A110" s="14" t="n"/>
      <c r="B110" s="14" t="n"/>
      <c r="C110" s="14" t="n"/>
      <c r="D110" s="19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20" t="n"/>
      <c r="N110" s="20" t="n"/>
      <c r="O110" s="21">
        <f>ROUND(N(L110)*N(M110),2)</f>
        <v/>
      </c>
    </row>
    <row r="111">
      <c r="A111" s="14" t="n"/>
      <c r="B111" s="14" t="n"/>
      <c r="C111" s="14" t="n"/>
      <c r="D111" s="19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20" t="n"/>
      <c r="N111" s="20" t="n"/>
      <c r="O111" s="21">
        <f>ROUND(N(L111)*N(M111),2)</f>
        <v/>
      </c>
    </row>
    <row r="112">
      <c r="A112" s="14" t="n"/>
      <c r="B112" s="14" t="n"/>
      <c r="C112" s="14" t="n"/>
      <c r="D112" s="19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20" t="n"/>
      <c r="N112" s="20" t="n"/>
      <c r="O112" s="21">
        <f>ROUND(N(L112)*N(M112),2)</f>
        <v/>
      </c>
    </row>
    <row r="113">
      <c r="A113" s="14" t="n"/>
      <c r="B113" s="14" t="n"/>
      <c r="C113" s="14" t="n"/>
      <c r="D113" s="19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20" t="n"/>
      <c r="N113" s="20" t="n"/>
      <c r="O113" s="21">
        <f>ROUND(N(L113)*N(M113),2)</f>
        <v/>
      </c>
    </row>
    <row r="114">
      <c r="A114" s="14" t="n"/>
      <c r="B114" s="14" t="n"/>
      <c r="C114" s="14" t="n"/>
      <c r="D114" s="19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20" t="n"/>
      <c r="N114" s="20" t="n"/>
      <c r="O114" s="21">
        <f>ROUND(N(L114)*N(M114),2)</f>
        <v/>
      </c>
    </row>
    <row r="115">
      <c r="A115" s="14" t="n"/>
      <c r="B115" s="14" t="n"/>
      <c r="C115" s="14" t="n"/>
      <c r="D115" s="19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20" t="n"/>
      <c r="N115" s="20" t="n"/>
      <c r="O115" s="21">
        <f>ROUND(N(L115)*N(M115),2)</f>
        <v/>
      </c>
    </row>
    <row r="116">
      <c r="A116" s="14" t="n"/>
      <c r="B116" s="14" t="n"/>
      <c r="C116" s="14" t="n"/>
      <c r="D116" s="19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20" t="n"/>
      <c r="N116" s="20" t="n"/>
      <c r="O116" s="21">
        <f>ROUND(N(L116)*N(M116),2)</f>
        <v/>
      </c>
    </row>
    <row r="117">
      <c r="A117" s="14" t="n"/>
      <c r="B117" s="14" t="n"/>
      <c r="C117" s="14" t="n"/>
      <c r="D117" s="19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20" t="n"/>
      <c r="N117" s="20" t="n"/>
      <c r="O117" s="21">
        <f>ROUND(N(L117)*N(M117),2)</f>
        <v/>
      </c>
    </row>
    <row r="118">
      <c r="A118" s="14" t="n"/>
      <c r="B118" s="14" t="n"/>
      <c r="C118" s="14" t="n"/>
      <c r="D118" s="19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20" t="n"/>
      <c r="N118" s="20" t="n"/>
      <c r="O118" s="21">
        <f>ROUND(N(L118)*N(M118),2)</f>
        <v/>
      </c>
    </row>
    <row r="119">
      <c r="A119" s="14" t="n"/>
      <c r="B119" s="14" t="n"/>
      <c r="C119" s="14" t="n"/>
      <c r="D119" s="19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20" t="n"/>
      <c r="N119" s="20" t="n"/>
      <c r="O119" s="21">
        <f>ROUND(N(L119)*N(M119),2)</f>
        <v/>
      </c>
    </row>
    <row r="120">
      <c r="A120" s="14" t="n"/>
      <c r="B120" s="14" t="n"/>
      <c r="C120" s="14" t="n"/>
      <c r="D120" s="19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20" t="n"/>
      <c r="N120" s="20" t="n"/>
      <c r="O120" s="21">
        <f>ROUND(N(L120)*N(M120),2)</f>
        <v/>
      </c>
    </row>
    <row r="121">
      <c r="A121" s="14" t="n"/>
      <c r="B121" s="14" t="n"/>
      <c r="C121" s="14" t="n"/>
      <c r="D121" s="19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20" t="n"/>
      <c r="N121" s="20" t="n"/>
      <c r="O121" s="21">
        <f>ROUND(N(L121)*N(M121),2)</f>
        <v/>
      </c>
    </row>
    <row r="122">
      <c r="A122" s="14" t="n"/>
      <c r="B122" s="14" t="n"/>
      <c r="C122" s="14" t="n"/>
      <c r="D122" s="19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20" t="n"/>
      <c r="N122" s="20" t="n"/>
      <c r="O122" s="21">
        <f>ROUND(N(L122)*N(M122),2)</f>
        <v/>
      </c>
    </row>
    <row r="123">
      <c r="A123" s="14" t="n"/>
      <c r="B123" s="14" t="n"/>
      <c r="C123" s="14" t="n"/>
      <c r="D123" s="19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20" t="n"/>
      <c r="N123" s="20" t="n"/>
      <c r="O123" s="21">
        <f>ROUND(N(L123)*N(M123),2)</f>
        <v/>
      </c>
    </row>
    <row r="124">
      <c r="A124" s="14" t="n"/>
      <c r="B124" s="14" t="n"/>
      <c r="C124" s="14" t="n"/>
      <c r="D124" s="19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20" t="n"/>
      <c r="N124" s="20" t="n"/>
      <c r="O124" s="21">
        <f>ROUND(N(L124)*N(M124),2)</f>
        <v/>
      </c>
    </row>
    <row r="125">
      <c r="A125" s="14" t="n"/>
      <c r="B125" s="14" t="n"/>
      <c r="C125" s="14" t="n"/>
      <c r="D125" s="19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20" t="n"/>
      <c r="N125" s="20" t="n"/>
      <c r="O125" s="21">
        <f>ROUND(N(L125)*N(M125),2)</f>
        <v/>
      </c>
    </row>
    <row r="126">
      <c r="A126" s="14" t="n"/>
      <c r="B126" s="14" t="n"/>
      <c r="C126" s="14" t="n"/>
      <c r="D126" s="19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20" t="n"/>
      <c r="N126" s="20" t="n"/>
      <c r="O126" s="21">
        <f>ROUND(N(L126)*N(M126),2)</f>
        <v/>
      </c>
    </row>
    <row r="127">
      <c r="A127" s="14" t="n"/>
      <c r="B127" s="14" t="n"/>
      <c r="C127" s="14" t="n"/>
      <c r="D127" s="19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20" t="n"/>
      <c r="N127" s="20" t="n"/>
      <c r="O127" s="21">
        <f>ROUND(N(L127)*N(M127),2)</f>
        <v/>
      </c>
    </row>
    <row r="128">
      <c r="A128" s="14" t="n"/>
      <c r="B128" s="14" t="n"/>
      <c r="C128" s="14" t="n"/>
      <c r="D128" s="19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20" t="n"/>
      <c r="N128" s="20" t="n"/>
      <c r="O128" s="21">
        <f>ROUND(N(L128)*N(M128),2)</f>
        <v/>
      </c>
    </row>
    <row r="129">
      <c r="A129" s="14" t="n"/>
      <c r="B129" s="14" t="n"/>
      <c r="C129" s="14" t="n"/>
      <c r="D129" s="19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20" t="n"/>
      <c r="N129" s="20" t="n"/>
      <c r="O129" s="21">
        <f>ROUND(N(L129)*N(M129),2)</f>
        <v/>
      </c>
    </row>
    <row r="130">
      <c r="A130" s="14" t="n"/>
      <c r="B130" s="14" t="n"/>
      <c r="C130" s="14" t="n"/>
      <c r="D130" s="19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20" t="n"/>
      <c r="N130" s="20" t="n"/>
      <c r="O130" s="21">
        <f>ROUND(N(L130)*N(M130),2)</f>
        <v/>
      </c>
    </row>
    <row r="131">
      <c r="A131" s="14" t="n"/>
      <c r="B131" s="14" t="n"/>
      <c r="C131" s="14" t="n"/>
      <c r="D131" s="19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20" t="n"/>
      <c r="N131" s="20" t="n"/>
      <c r="O131" s="21">
        <f>ROUND(N(L131)*N(M131),2)</f>
        <v/>
      </c>
    </row>
    <row r="132">
      <c r="A132" s="14" t="n"/>
      <c r="B132" s="14" t="n"/>
      <c r="C132" s="14" t="n"/>
      <c r="D132" s="19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20" t="n"/>
      <c r="N132" s="20" t="n"/>
      <c r="O132" s="21">
        <f>ROUND(N(L132)*N(M132),2)</f>
        <v/>
      </c>
    </row>
    <row r="133">
      <c r="A133" s="14" t="n"/>
      <c r="B133" s="14" t="n"/>
      <c r="C133" s="14" t="n"/>
      <c r="D133" s="19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20" t="n"/>
      <c r="N133" s="20" t="n"/>
      <c r="O133" s="21">
        <f>ROUND(N(L133)*N(M133),2)</f>
        <v/>
      </c>
    </row>
    <row r="134">
      <c r="A134" s="14" t="n"/>
      <c r="B134" s="14" t="n"/>
      <c r="C134" s="14" t="n"/>
      <c r="D134" s="19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20" t="n"/>
      <c r="N134" s="20" t="n"/>
      <c r="O134" s="21">
        <f>ROUND(N(L134)*N(M134),2)</f>
        <v/>
      </c>
    </row>
    <row r="135">
      <c r="A135" s="14" t="n"/>
      <c r="B135" s="14" t="n"/>
      <c r="C135" s="14" t="n"/>
      <c r="D135" s="19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20" t="n"/>
      <c r="N135" s="20" t="n"/>
      <c r="O135" s="21">
        <f>ROUND(N(L135)*N(M135),2)</f>
        <v/>
      </c>
    </row>
    <row r="136">
      <c r="A136" s="14" t="n"/>
      <c r="B136" s="14" t="n"/>
      <c r="C136" s="14" t="n"/>
      <c r="D136" s="19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20" t="n"/>
      <c r="N136" s="20" t="n"/>
      <c r="O136" s="21">
        <f>ROUND(N(L136)*N(M136),2)</f>
        <v/>
      </c>
    </row>
    <row r="137">
      <c r="A137" s="14" t="n"/>
      <c r="B137" s="14" t="n"/>
      <c r="C137" s="14" t="n"/>
      <c r="D137" s="19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20" t="n"/>
      <c r="N137" s="20" t="n"/>
      <c r="O137" s="21">
        <f>ROUND(N(L137)*N(M137),2)</f>
        <v/>
      </c>
    </row>
    <row r="138">
      <c r="A138" s="14" t="n"/>
      <c r="B138" s="14" t="n"/>
      <c r="C138" s="14" t="n"/>
      <c r="D138" s="19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20" t="n"/>
      <c r="N138" s="20" t="n"/>
      <c r="O138" s="21">
        <f>ROUND(N(L138)*N(M138),2)</f>
        <v/>
      </c>
    </row>
    <row r="139">
      <c r="A139" s="14" t="n"/>
      <c r="B139" s="14" t="n"/>
      <c r="C139" s="14" t="n"/>
      <c r="D139" s="19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20" t="n"/>
      <c r="N139" s="20" t="n"/>
      <c r="O139" s="21">
        <f>ROUND(N(L139)*N(M139),2)</f>
        <v/>
      </c>
    </row>
    <row r="140">
      <c r="A140" s="14" t="n"/>
      <c r="B140" s="14" t="n"/>
      <c r="C140" s="14" t="n"/>
      <c r="D140" s="19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20" t="n"/>
      <c r="N140" s="20" t="n"/>
      <c r="O140" s="21">
        <f>ROUND(N(L140)*N(M140),2)</f>
        <v/>
      </c>
    </row>
    <row r="141">
      <c r="A141" s="14" t="n"/>
      <c r="B141" s="14" t="n"/>
      <c r="C141" s="14" t="n"/>
      <c r="D141" s="19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20" t="n"/>
      <c r="N141" s="20" t="n"/>
      <c r="O141" s="21">
        <f>ROUND(N(L141)*N(M141),2)</f>
        <v/>
      </c>
    </row>
    <row r="142">
      <c r="A142" s="14" t="n"/>
      <c r="B142" s="14" t="n"/>
      <c r="C142" s="14" t="n"/>
      <c r="D142" s="19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20" t="n"/>
      <c r="N142" s="20" t="n"/>
      <c r="O142" s="21">
        <f>ROUND(N(L142)*N(M142),2)</f>
        <v/>
      </c>
    </row>
    <row r="143">
      <c r="A143" s="14" t="n"/>
      <c r="B143" s="14" t="n"/>
      <c r="C143" s="14" t="n"/>
      <c r="D143" s="19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20" t="n"/>
      <c r="N143" s="20" t="n"/>
      <c r="O143" s="21">
        <f>ROUND(N(L143)*N(M143),2)</f>
        <v/>
      </c>
    </row>
    <row r="144">
      <c r="A144" s="14" t="n"/>
      <c r="B144" s="14" t="n"/>
      <c r="C144" s="14" t="n"/>
      <c r="D144" s="19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20" t="n"/>
      <c r="N144" s="20" t="n"/>
      <c r="O144" s="21">
        <f>ROUND(N(L144)*N(M144),2)</f>
        <v/>
      </c>
    </row>
    <row r="145">
      <c r="A145" s="14" t="n"/>
      <c r="B145" s="14" t="n"/>
      <c r="C145" s="14" t="n"/>
      <c r="D145" s="19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20" t="n"/>
      <c r="N145" s="20" t="n"/>
      <c r="O145" s="21">
        <f>ROUND(N(L145)*N(M145),2)</f>
        <v/>
      </c>
    </row>
    <row r="146">
      <c r="A146" s="14" t="n"/>
      <c r="B146" s="14" t="n"/>
      <c r="C146" s="14" t="n"/>
      <c r="D146" s="19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20" t="n"/>
      <c r="N146" s="20" t="n"/>
      <c r="O146" s="21">
        <f>ROUND(N(L146)*N(M146),2)</f>
        <v/>
      </c>
    </row>
    <row r="147">
      <c r="A147" s="14" t="n"/>
      <c r="B147" s="14" t="n"/>
      <c r="C147" s="14" t="n"/>
      <c r="D147" s="19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20" t="n"/>
      <c r="N147" s="20" t="n"/>
      <c r="O147" s="21">
        <f>ROUND(N(L147)*N(M147),2)</f>
        <v/>
      </c>
    </row>
    <row r="148">
      <c r="A148" s="14" t="n"/>
      <c r="B148" s="14" t="n"/>
      <c r="C148" s="14" t="n"/>
      <c r="D148" s="19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20" t="n"/>
      <c r="N148" s="20" t="n"/>
      <c r="O148" s="21">
        <f>ROUND(N(L148)*N(M148),2)</f>
        <v/>
      </c>
    </row>
    <row r="149">
      <c r="A149" s="14" t="n"/>
      <c r="B149" s="14" t="n"/>
      <c r="C149" s="14" t="n"/>
      <c r="D149" s="19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20" t="n"/>
      <c r="N149" s="20" t="n"/>
      <c r="O149" s="21">
        <f>ROUND(N(L149)*N(M149),2)</f>
        <v/>
      </c>
    </row>
    <row r="150">
      <c r="A150" s="14" t="n"/>
      <c r="B150" s="14" t="n"/>
      <c r="C150" s="14" t="n"/>
      <c r="D150" s="19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20" t="n"/>
      <c r="N150" s="20" t="n"/>
      <c r="O150" s="21">
        <f>ROUND(N(L150)*N(M150),2)</f>
        <v/>
      </c>
    </row>
    <row r="151">
      <c r="A151" s="14" t="n"/>
      <c r="B151" s="14" t="n"/>
      <c r="C151" s="14" t="n"/>
      <c r="D151" s="19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20" t="n"/>
      <c r="N151" s="20" t="n"/>
      <c r="O151" s="21">
        <f>ROUND(N(L151)*N(M151),2)</f>
        <v/>
      </c>
    </row>
    <row r="152">
      <c r="A152" s="14" t="n"/>
      <c r="B152" s="14" t="n"/>
      <c r="C152" s="14" t="n"/>
      <c r="D152" s="19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20" t="n"/>
      <c r="N152" s="20" t="n"/>
      <c r="O152" s="21">
        <f>ROUND(N(L152)*N(M152),2)</f>
        <v/>
      </c>
    </row>
    <row r="153">
      <c r="A153" s="14" t="n"/>
      <c r="B153" s="14" t="n"/>
      <c r="C153" s="14" t="n"/>
      <c r="D153" s="19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20" t="n"/>
      <c r="N153" s="20" t="n"/>
      <c r="O153" s="21">
        <f>ROUND(N(L153)*N(M153),2)</f>
        <v/>
      </c>
    </row>
    <row r="154">
      <c r="A154" s="14" t="n"/>
      <c r="B154" s="14" t="n"/>
      <c r="C154" s="14" t="n"/>
      <c r="D154" s="19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20" t="n"/>
      <c r="N154" s="20" t="n"/>
      <c r="O154" s="21">
        <f>ROUND(N(L154)*N(M154),2)</f>
        <v/>
      </c>
    </row>
    <row r="155">
      <c r="A155" s="14" t="n"/>
      <c r="B155" s="14" t="n"/>
      <c r="C155" s="14" t="n"/>
      <c r="D155" s="19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20" t="n"/>
      <c r="N155" s="20" t="n"/>
      <c r="O155" s="21">
        <f>ROUND(N(L155)*N(M155),2)</f>
        <v/>
      </c>
    </row>
    <row r="156">
      <c r="A156" s="14" t="n"/>
      <c r="B156" s="14" t="n"/>
      <c r="C156" s="14" t="n"/>
      <c r="D156" s="19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20" t="n"/>
      <c r="N156" s="20" t="n"/>
      <c r="O156" s="21">
        <f>ROUND(N(L156)*N(M156),2)</f>
        <v/>
      </c>
    </row>
    <row r="157">
      <c r="A157" s="14" t="n"/>
      <c r="B157" s="14" t="n"/>
      <c r="C157" s="14" t="n"/>
      <c r="D157" s="19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20" t="n"/>
      <c r="N157" s="20" t="n"/>
      <c r="O157" s="21">
        <f>ROUND(N(L157)*N(M157),2)</f>
        <v/>
      </c>
    </row>
    <row r="158">
      <c r="A158" s="14" t="n"/>
      <c r="B158" s="14" t="n"/>
      <c r="C158" s="14" t="n"/>
      <c r="D158" s="19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20" t="n"/>
      <c r="N158" s="20" t="n"/>
      <c r="O158" s="21">
        <f>ROUND(N(L158)*N(M158),2)</f>
        <v/>
      </c>
    </row>
    <row r="159">
      <c r="A159" s="14" t="n"/>
      <c r="B159" s="14" t="n"/>
      <c r="C159" s="14" t="n"/>
      <c r="D159" s="19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20" t="n"/>
      <c r="N159" s="20" t="n"/>
      <c r="O159" s="21">
        <f>ROUND(N(L159)*N(M159),2)</f>
        <v/>
      </c>
    </row>
    <row r="160">
      <c r="A160" s="14" t="n"/>
      <c r="B160" s="14" t="n"/>
      <c r="C160" s="14" t="n"/>
      <c r="D160" s="19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20" t="n"/>
      <c r="N160" s="20" t="n"/>
      <c r="O160" s="21">
        <f>ROUND(N(L160)*N(M160),2)</f>
        <v/>
      </c>
    </row>
    <row r="161">
      <c r="A161" s="14" t="n"/>
      <c r="B161" s="14" t="n"/>
      <c r="C161" s="14" t="n"/>
      <c r="D161" s="19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20" t="n"/>
      <c r="N161" s="20" t="n"/>
      <c r="O161" s="21">
        <f>ROUND(N(L161)*N(M161),2)</f>
        <v/>
      </c>
    </row>
    <row r="162">
      <c r="A162" s="14" t="n"/>
      <c r="B162" s="14" t="n"/>
      <c r="C162" s="14" t="n"/>
      <c r="D162" s="19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20" t="n"/>
      <c r="N162" s="20" t="n"/>
      <c r="O162" s="21">
        <f>ROUND(N(L162)*N(M162),2)</f>
        <v/>
      </c>
    </row>
    <row r="163">
      <c r="A163" s="14" t="n"/>
      <c r="B163" s="14" t="n"/>
      <c r="C163" s="14" t="n"/>
      <c r="D163" s="19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20" t="n"/>
      <c r="N163" s="20" t="n"/>
      <c r="O163" s="21">
        <f>ROUND(N(L163)*N(M163),2)</f>
        <v/>
      </c>
    </row>
    <row r="164">
      <c r="A164" s="14" t="n"/>
      <c r="B164" s="14" t="n"/>
      <c r="C164" s="14" t="n"/>
      <c r="D164" s="19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20" t="n"/>
      <c r="N164" s="20" t="n"/>
      <c r="O164" s="21">
        <f>ROUND(N(L164)*N(M164),2)</f>
        <v/>
      </c>
    </row>
    <row r="165">
      <c r="A165" s="14" t="n"/>
      <c r="B165" s="14" t="n"/>
      <c r="C165" s="14" t="n"/>
      <c r="D165" s="19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20" t="n"/>
      <c r="N165" s="20" t="n"/>
      <c r="O165" s="21">
        <f>ROUND(N(L165)*N(M165),2)</f>
        <v/>
      </c>
    </row>
    <row r="166">
      <c r="A166" s="14" t="n"/>
      <c r="B166" s="14" t="n"/>
      <c r="C166" s="14" t="n"/>
      <c r="D166" s="19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20" t="n"/>
      <c r="N166" s="20" t="n"/>
      <c r="O166" s="21">
        <f>ROUND(N(L166)*N(M166),2)</f>
        <v/>
      </c>
    </row>
    <row r="167">
      <c r="A167" s="14" t="n"/>
      <c r="B167" s="14" t="n"/>
      <c r="C167" s="14" t="n"/>
      <c r="D167" s="19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20" t="n"/>
      <c r="N167" s="20" t="n"/>
      <c r="O167" s="21">
        <f>ROUND(N(L167)*N(M167),2)</f>
        <v/>
      </c>
    </row>
    <row r="168">
      <c r="A168" s="14" t="n"/>
      <c r="B168" s="14" t="n"/>
      <c r="C168" s="14" t="n"/>
      <c r="D168" s="19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20" t="n"/>
      <c r="N168" s="20" t="n"/>
      <c r="O168" s="21">
        <f>ROUND(N(L168)*N(M168),2)</f>
        <v/>
      </c>
    </row>
    <row r="169">
      <c r="A169" s="14" t="n"/>
      <c r="B169" s="14" t="n"/>
      <c r="C169" s="14" t="n"/>
      <c r="D169" s="19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20" t="n"/>
      <c r="N169" s="20" t="n"/>
      <c r="O169" s="21">
        <f>ROUND(N(L169)*N(M169),2)</f>
        <v/>
      </c>
    </row>
    <row r="170">
      <c r="A170" s="14" t="n"/>
      <c r="B170" s="14" t="n"/>
      <c r="C170" s="14" t="n"/>
      <c r="D170" s="19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20" t="n"/>
      <c r="N170" s="20" t="n"/>
      <c r="O170" s="21">
        <f>ROUND(N(L170)*N(M170),2)</f>
        <v/>
      </c>
    </row>
    <row r="171">
      <c r="A171" s="14" t="n"/>
      <c r="B171" s="14" t="n"/>
      <c r="C171" s="14" t="n"/>
      <c r="D171" s="19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20" t="n"/>
      <c r="N171" s="20" t="n"/>
      <c r="O171" s="21">
        <f>ROUND(N(L171)*N(M171),2)</f>
        <v/>
      </c>
    </row>
    <row r="172">
      <c r="A172" s="14" t="n"/>
      <c r="B172" s="14" t="n"/>
      <c r="C172" s="14" t="n"/>
      <c r="D172" s="19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20" t="n"/>
      <c r="N172" s="20" t="n"/>
      <c r="O172" s="21">
        <f>ROUND(N(L172)*N(M172),2)</f>
        <v/>
      </c>
    </row>
    <row r="173">
      <c r="A173" s="14" t="n"/>
      <c r="B173" s="14" t="n"/>
      <c r="C173" s="14" t="n"/>
      <c r="D173" s="19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20" t="n"/>
      <c r="N173" s="20" t="n"/>
      <c r="O173" s="21">
        <f>ROUND(N(L173)*N(M173),2)</f>
        <v/>
      </c>
    </row>
    <row r="174">
      <c r="A174" s="14" t="n"/>
      <c r="B174" s="14" t="n"/>
      <c r="C174" s="14" t="n"/>
      <c r="D174" s="19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20" t="n"/>
      <c r="N174" s="20" t="n"/>
      <c r="O174" s="21">
        <f>ROUND(N(L174)*N(M174),2)</f>
        <v/>
      </c>
    </row>
    <row r="175">
      <c r="A175" s="14" t="n"/>
      <c r="B175" s="14" t="n"/>
      <c r="C175" s="14" t="n"/>
      <c r="D175" s="19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20" t="n"/>
      <c r="N175" s="20" t="n"/>
      <c r="O175" s="21">
        <f>ROUND(N(L175)*N(M175),2)</f>
        <v/>
      </c>
    </row>
    <row r="176">
      <c r="A176" s="14" t="n"/>
      <c r="B176" s="14" t="n"/>
      <c r="C176" s="14" t="n"/>
      <c r="D176" s="19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20" t="n"/>
      <c r="N176" s="20" t="n"/>
      <c r="O176" s="21">
        <f>ROUND(N(L176)*N(M176),2)</f>
        <v/>
      </c>
    </row>
    <row r="177">
      <c r="A177" s="14" t="n"/>
      <c r="B177" s="14" t="n"/>
      <c r="C177" s="14" t="n"/>
      <c r="D177" s="19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20" t="n"/>
      <c r="N177" s="20" t="n"/>
      <c r="O177" s="21">
        <f>ROUND(N(L177)*N(M177),2)</f>
        <v/>
      </c>
    </row>
    <row r="178">
      <c r="A178" s="14" t="n"/>
      <c r="B178" s="14" t="n"/>
      <c r="C178" s="14" t="n"/>
      <c r="D178" s="19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20" t="n"/>
      <c r="N178" s="20" t="n"/>
      <c r="O178" s="21">
        <f>ROUND(N(L178)*N(M178),2)</f>
        <v/>
      </c>
    </row>
    <row r="179">
      <c r="A179" s="14" t="n"/>
      <c r="B179" s="14" t="n"/>
      <c r="C179" s="14" t="n"/>
      <c r="D179" s="19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20" t="n"/>
      <c r="N179" s="20" t="n"/>
      <c r="O179" s="21">
        <f>ROUND(N(L179)*N(M179),2)</f>
        <v/>
      </c>
    </row>
    <row r="180">
      <c r="A180" s="14" t="n"/>
      <c r="B180" s="14" t="n"/>
      <c r="C180" s="14" t="n"/>
      <c r="D180" s="19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20" t="n"/>
      <c r="N180" s="20" t="n"/>
      <c r="O180" s="21">
        <f>ROUND(N(L180)*N(M180),2)</f>
        <v/>
      </c>
    </row>
    <row r="181">
      <c r="A181" s="14" t="n"/>
      <c r="B181" s="14" t="n"/>
      <c r="C181" s="14" t="n"/>
      <c r="D181" s="19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20" t="n"/>
      <c r="N181" s="20" t="n"/>
      <c r="O181" s="21">
        <f>ROUND(N(L181)*N(M181),2)</f>
        <v/>
      </c>
    </row>
    <row r="182">
      <c r="A182" s="14" t="n"/>
      <c r="B182" s="14" t="n"/>
      <c r="C182" s="14" t="n"/>
      <c r="D182" s="19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20" t="n"/>
      <c r="N182" s="20" t="n"/>
      <c r="O182" s="21">
        <f>ROUND(N(L182)*N(M182),2)</f>
        <v/>
      </c>
    </row>
    <row r="183">
      <c r="A183" s="14" t="n"/>
      <c r="B183" s="14" t="n"/>
      <c r="C183" s="14" t="n"/>
      <c r="D183" s="19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20" t="n"/>
      <c r="N183" s="20" t="n"/>
      <c r="O183" s="21">
        <f>ROUND(N(L183)*N(M183),2)</f>
        <v/>
      </c>
    </row>
    <row r="184">
      <c r="A184" s="14" t="n"/>
      <c r="B184" s="14" t="n"/>
      <c r="C184" s="14" t="n"/>
      <c r="D184" s="19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20" t="n"/>
      <c r="N184" s="20" t="n"/>
      <c r="O184" s="21">
        <f>ROUND(N(L184)*N(M184),2)</f>
        <v/>
      </c>
    </row>
    <row r="185">
      <c r="A185" s="14" t="n"/>
      <c r="B185" s="14" t="n"/>
      <c r="C185" s="14" t="n"/>
      <c r="D185" s="19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20" t="n"/>
      <c r="N185" s="20" t="n"/>
      <c r="O185" s="21">
        <f>ROUND(N(L185)*N(M185),2)</f>
        <v/>
      </c>
    </row>
    <row r="186">
      <c r="A186" s="14" t="n"/>
      <c r="B186" s="14" t="n"/>
      <c r="C186" s="14" t="n"/>
      <c r="D186" s="19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20" t="n"/>
      <c r="N186" s="20" t="n"/>
      <c r="O186" s="21">
        <f>ROUND(N(L186)*N(M186),2)</f>
        <v/>
      </c>
    </row>
    <row r="187">
      <c r="A187" s="14" t="n"/>
      <c r="B187" s="14" t="n"/>
      <c r="C187" s="14" t="n"/>
      <c r="D187" s="19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20" t="n"/>
      <c r="N187" s="20" t="n"/>
      <c r="O187" s="21">
        <f>ROUND(N(L187)*N(M187),2)</f>
        <v/>
      </c>
    </row>
    <row r="188">
      <c r="A188" s="14" t="n"/>
      <c r="B188" s="14" t="n"/>
      <c r="C188" s="14" t="n"/>
      <c r="D188" s="19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20" t="n"/>
      <c r="N188" s="20" t="n"/>
      <c r="O188" s="21">
        <f>ROUND(N(L188)*N(M188),2)</f>
        <v/>
      </c>
    </row>
    <row r="189">
      <c r="A189" s="14" t="n"/>
      <c r="B189" s="14" t="n"/>
      <c r="C189" s="14" t="n"/>
      <c r="D189" s="19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20" t="n"/>
      <c r="N189" s="20" t="n"/>
      <c r="O189" s="21">
        <f>ROUND(N(L189)*N(M189),2)</f>
        <v/>
      </c>
    </row>
    <row r="190">
      <c r="A190" s="14" t="n"/>
      <c r="B190" s="14" t="n"/>
      <c r="C190" s="14" t="n"/>
      <c r="D190" s="19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20" t="n"/>
      <c r="N190" s="20" t="n"/>
      <c r="O190" s="21">
        <f>ROUND(N(L190)*N(M190),2)</f>
        <v/>
      </c>
    </row>
    <row r="191">
      <c r="A191" s="14" t="n"/>
      <c r="B191" s="14" t="n"/>
      <c r="C191" s="14" t="n"/>
      <c r="D191" s="19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20" t="n"/>
      <c r="N191" s="20" t="n"/>
      <c r="O191" s="21">
        <f>ROUND(N(L191)*N(M191),2)</f>
        <v/>
      </c>
    </row>
    <row r="192">
      <c r="A192" s="14" t="n"/>
      <c r="B192" s="14" t="n"/>
      <c r="C192" s="14" t="n"/>
      <c r="D192" s="19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20" t="n"/>
      <c r="N192" s="20" t="n"/>
      <c r="O192" s="21">
        <f>ROUND(N(L192)*N(M192),2)</f>
        <v/>
      </c>
    </row>
    <row r="193">
      <c r="A193" s="14" t="n"/>
      <c r="B193" s="14" t="n"/>
      <c r="C193" s="14" t="n"/>
      <c r="D193" s="19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20" t="n"/>
      <c r="N193" s="20" t="n"/>
      <c r="O193" s="21">
        <f>ROUND(N(L193)*N(M193),2)</f>
        <v/>
      </c>
    </row>
    <row r="194">
      <c r="A194" s="14" t="n"/>
      <c r="B194" s="14" t="n"/>
      <c r="C194" s="14" t="n"/>
      <c r="D194" s="19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20" t="n"/>
      <c r="N194" s="20" t="n"/>
      <c r="O194" s="21">
        <f>ROUND(N(L194)*N(M194),2)</f>
        <v/>
      </c>
    </row>
    <row r="195">
      <c r="A195" s="14" t="n"/>
      <c r="B195" s="14" t="n"/>
      <c r="C195" s="14" t="n"/>
      <c r="D195" s="19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20" t="n"/>
      <c r="N195" s="20" t="n"/>
      <c r="O195" s="21">
        <f>ROUND(N(L195)*N(M195),2)</f>
        <v/>
      </c>
    </row>
    <row r="196">
      <c r="A196" s="14" t="n"/>
      <c r="B196" s="14" t="n"/>
      <c r="C196" s="14" t="n"/>
      <c r="D196" s="19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20" t="n"/>
      <c r="N196" s="20" t="n"/>
      <c r="O196" s="21">
        <f>ROUND(N(L196)*N(M196),2)</f>
        <v/>
      </c>
    </row>
    <row r="197">
      <c r="A197" s="14" t="n"/>
      <c r="B197" s="14" t="n"/>
      <c r="C197" s="14" t="n"/>
      <c r="D197" s="19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20" t="n"/>
      <c r="N197" s="20" t="n"/>
      <c r="O197" s="21">
        <f>ROUND(N(L197)*N(M197),2)</f>
        <v/>
      </c>
    </row>
    <row r="198">
      <c r="A198" s="14" t="n"/>
      <c r="B198" s="14" t="n"/>
      <c r="C198" s="14" t="n"/>
      <c r="D198" s="19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20" t="n"/>
      <c r="N198" s="20" t="n"/>
      <c r="O198" s="21">
        <f>ROUND(N(L198)*N(M198),2)</f>
        <v/>
      </c>
    </row>
    <row r="199">
      <c r="A199" s="14" t="n"/>
      <c r="B199" s="14" t="n"/>
      <c r="C199" s="14" t="n"/>
      <c r="D199" s="19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20" t="n"/>
      <c r="N199" s="20" t="n"/>
      <c r="O199" s="21">
        <f>ROUND(N(L199)*N(M199),2)</f>
        <v/>
      </c>
    </row>
    <row r="200">
      <c r="A200" s="14" t="n"/>
      <c r="B200" s="14" t="n"/>
      <c r="C200" s="14" t="n"/>
      <c r="D200" s="19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20" t="n"/>
      <c r="N200" s="20" t="n"/>
      <c r="O200" s="21">
        <f>ROUND(N(L200)*N(M200),2)</f>
        <v/>
      </c>
    </row>
    <row r="201">
      <c r="A201" s="14" t="n"/>
      <c r="B201" s="14" t="n"/>
      <c r="C201" s="14" t="n"/>
      <c r="D201" s="19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20" t="n"/>
      <c r="N201" s="20" t="n"/>
      <c r="O201" s="21">
        <f>ROUND(N(L201)*N(M201),2)</f>
        <v/>
      </c>
    </row>
    <row r="202">
      <c r="A202" s="14" t="n"/>
      <c r="B202" s="14" t="n"/>
      <c r="C202" s="14" t="n"/>
      <c r="D202" s="19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20" t="n"/>
      <c r="N202" s="20" t="n"/>
      <c r="O202" s="21">
        <f>ROUND(N(L202)*N(M202),2)</f>
        <v/>
      </c>
    </row>
    <row r="203">
      <c r="A203" s="14" t="n"/>
      <c r="B203" s="14" t="n"/>
      <c r="C203" s="14" t="n"/>
      <c r="D203" s="19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20" t="n"/>
      <c r="N203" s="20" t="n"/>
      <c r="O203" s="21">
        <f>ROUND(N(L203)*N(M203),2)</f>
        <v/>
      </c>
    </row>
    <row r="204">
      <c r="A204" s="14" t="n"/>
      <c r="B204" s="14" t="n"/>
      <c r="C204" s="14" t="n"/>
      <c r="D204" s="19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20" t="n"/>
      <c r="N204" s="20" t="n"/>
      <c r="O204" s="21">
        <f>ROUND(N(L204)*N(M204),2)</f>
        <v/>
      </c>
    </row>
  </sheetData>
  <autoFilter ref="A4:O204"/>
  <dataValidations count="2">
    <dataValidation sqref="B5:B205" showDropDown="0" showInputMessage="0" showErrorMessage="1" allowBlank="1" type="list">
      <formula1>'Business Units'!$A$5:$A$3000</formula1>
    </dataValidation>
    <dataValidation sqref="D5:D205" showDropDown="0" showInputMessage="0" showErrorMessage="1" allowBlank="1" error="Enter a date (YYYY-MM-DD)" type="date" operator="greaterThan">
      <formula1>DATE(2000,1,1)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0"/>
    <pageSetUpPr/>
  </sheetPr>
  <dimension ref="A1:A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8" customWidth="1" min="5" max="5"/>
    <col width="10" customWidth="1" min="6" max="6"/>
    <col width="10" customWidth="1" min="7" max="7"/>
    <col width="8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0" customWidth="1" min="17" max="17"/>
    <col width="14" customWidth="1" min="18" max="18"/>
    <col width="14" customWidth="1" min="19" max="19"/>
    <col width="14" customWidth="1" min="20" max="20"/>
    <col width="14" customWidth="1" min="21" max="21"/>
    <col hidden="1" outlineLevel="1" width="10" customWidth="1" min="22" max="22"/>
    <col hidden="1" outlineLevel="1" width="10" customWidth="1" min="23" max="23"/>
    <col hidden="1" outlineLevel="1" width="10" customWidth="1" min="24" max="24"/>
    <col hidden="1" outlineLevel="1" width="9" customWidth="1" min="25" max="25"/>
    <col hidden="1" outlineLevel="1" width="9" customWidth="1" min="26" max="26"/>
    <col hidden="1" outlineLevel="1" width="10" customWidth="1" min="27" max="27"/>
    <col hidden="1" outlineLevel="1" width="10" customWidth="1" min="28" max="28"/>
    <col hidden="1" outlineLevel="1" width="10" customWidth="1" min="29" max="29"/>
    <col hidden="1" outlineLevel="1" width="10" customWidth="1" min="30" max="30"/>
    <col hidden="1" outlineLevel="1" width="10" customWidth="1" min="31" max="31"/>
    <col hidden="1" outlineLevel="1" width="10" customWidth="1" min="32" max="32"/>
    <col hidden="1" outlineLevel="1" width="10" customWidth="1" min="33" max="33"/>
    <col hidden="1" outlineLevel="1" width="10" customWidth="1" min="34" max="34"/>
    <col hidden="1" outlineLevel="1" width="10" customWidth="1" min="35" max="35"/>
    <col hidden="1" outlineLevel="1" width="10" customWidth="1" min="36" max="36"/>
    <col hidden="1" outlineLevel="1" width="10" customWidth="1" min="37" max="37"/>
    <col hidden="1" outlineLevel="1" width="10" customWidth="1" min="38" max="38"/>
  </cols>
  <sheetData>
    <row r="1" ht="24" customHeight="1">
      <c r="A1" s="8" t="inlineStr">
        <is>
          <t>BEYOND DESIGN | DIRECT COSTS</t>
        </is>
      </c>
    </row>
    <row r="2">
      <c r="A2" s="9" t="inlineStr">
        <is>
          <t>Direct costs (cost of revenue) per business unit — materials, subcontractors, site work</t>
        </is>
      </c>
    </row>
    <row r="3">
      <c r="A3" s="10" t="inlineStr">
        <is>
          <t>e.g. 2026-10-03</t>
        </is>
      </c>
      <c r="B3" s="10" t="inlineStr">
        <is>
          <t>PRJ-2026-004</t>
        </is>
      </c>
      <c r="C3" s="10" t="inlineStr">
        <is>
          <t>5010</t>
        </is>
      </c>
      <c r="D3" s="10" t="inlineStr">
        <is>
          <t>Cement 50 kg</t>
        </is>
      </c>
      <c r="E3" s="10" t="inlineStr">
        <is>
          <t>El-Masry Supplies</t>
        </is>
      </c>
      <c r="H3" s="10" t="n">
        <v>16</v>
      </c>
      <c r="I3" s="10" t="inlineStr">
        <is>
          <t>bag</t>
        </is>
      </c>
      <c r="J3" s="10" t="n">
        <v>240</v>
      </c>
      <c r="L3" s="10" t="n">
        <v>2000</v>
      </c>
      <c r="M3" s="10" t="inlineStr">
        <is>
          <t>Cash</t>
        </is>
      </c>
      <c r="P3" s="10" t="inlineStr">
        <is>
          <t>VAT14</t>
        </is>
      </c>
      <c r="Q3" s="10" t="inlineStr">
        <is>
          <t>WHT1-S</t>
        </is>
      </c>
    </row>
    <row r="4" ht="30" customHeight="1">
      <c r="A4" s="11" t="inlineStr">
        <is>
          <t>Date</t>
        </is>
      </c>
      <c r="B4" s="11" t="inlineStr">
        <is>
          <t>Business Unit</t>
        </is>
      </c>
      <c r="C4" s="11" t="inlineStr">
        <is>
          <t>Cost Account</t>
        </is>
      </c>
      <c r="D4" s="11" t="inlineStr">
        <is>
          <t>Description</t>
        </is>
      </c>
      <c r="E4" s="11" t="inlineStr">
        <is>
          <t>Supplier</t>
        </is>
      </c>
      <c r="F4" s="11" t="inlineStr">
        <is>
          <t>Deal Ref.</t>
        </is>
      </c>
      <c r="G4" s="11" t="inlineStr">
        <is>
          <t>Deal Status</t>
        </is>
      </c>
      <c r="H4" s="11" t="inlineStr">
        <is>
          <t>Qty</t>
        </is>
      </c>
      <c r="I4" s="11" t="inlineStr">
        <is>
          <t>Unit</t>
        </is>
      </c>
      <c r="J4" s="11" t="inlineStr">
        <is>
          <t>Unit Cost</t>
        </is>
      </c>
      <c r="K4" s="11" t="inlineStr">
        <is>
          <t>Negotiation Discount</t>
        </is>
      </c>
      <c r="L4" s="11" t="inlineStr">
        <is>
          <t>Paid Now</t>
        </is>
      </c>
      <c r="M4" s="11" t="inlineStr">
        <is>
          <t>Payment Method</t>
        </is>
      </c>
      <c r="N4" s="11" t="inlineStr">
        <is>
          <t>Paid From</t>
        </is>
      </c>
      <c r="O4" s="11" t="inlineStr">
        <is>
          <t>Payable Account</t>
        </is>
      </c>
      <c r="P4" s="11" t="inlineStr">
        <is>
          <t>VAT Code</t>
        </is>
      </c>
      <c r="Q4" s="11" t="inlineStr">
        <is>
          <t>WHT Code</t>
        </is>
      </c>
      <c r="R4" s="15" t="inlineStr">
        <is>
          <t>Total Cost</t>
        </is>
      </c>
      <c r="S4" s="15" t="inlineStr">
        <is>
          <t>Input VAT</t>
        </is>
      </c>
      <c r="T4" s="15" t="inlineStr">
        <is>
          <t>WHT Withheld</t>
        </is>
      </c>
      <c r="U4" s="15" t="inlineStr">
        <is>
          <t>Unpaid</t>
        </is>
      </c>
      <c r="V4" s="15" t="inlineStr">
        <is>
          <t>account (effective)</t>
        </is>
      </c>
      <c r="W4" s="15" t="inlineStr">
        <is>
          <t>paid_from (effective)</t>
        </is>
      </c>
      <c r="X4" s="15" t="inlineStr">
        <is>
          <t>payable_account (effective)</t>
        </is>
      </c>
      <c r="Y4" s="15" t="inlineStr">
        <is>
          <t>vat_input account</t>
        </is>
      </c>
      <c r="Z4" s="15" t="inlineStr">
        <is>
          <t>wht_payable account</t>
        </is>
      </c>
      <c r="AA4" s="22" t="inlineStr">
        <is>
          <t>leg 1 type</t>
        </is>
      </c>
      <c r="AB4" s="22" t="inlineStr">
        <is>
          <t>leg 2 type</t>
        </is>
      </c>
      <c r="AC4" s="22" t="inlineStr">
        <is>
          <t>leg 3 type</t>
        </is>
      </c>
      <c r="AD4" s="22" t="inlineStr">
        <is>
          <t>leg 4 type</t>
        </is>
      </c>
      <c r="AE4" s="22" t="inlineStr">
        <is>
          <t>leg 5 type</t>
        </is>
      </c>
      <c r="AF4" s="22" t="inlineStr">
        <is>
          <t>revenue</t>
        </is>
      </c>
      <c r="AG4" s="22" t="inlineStr">
        <is>
          <t>cost of sales</t>
        </is>
      </c>
      <c r="AH4" s="22" t="inlineStr">
        <is>
          <t>expenses</t>
        </is>
      </c>
      <c r="AI4" s="22" t="inlineStr">
        <is>
          <t>operating expenses</t>
        </is>
      </c>
      <c r="AJ4" s="22" t="inlineStr">
        <is>
          <t>payables</t>
        </is>
      </c>
      <c r="AK4" s="22" t="inlineStr">
        <is>
          <t>accruals</t>
        </is>
      </c>
      <c r="AL4" s="22" t="inlineStr">
        <is>
          <t>unknown account</t>
        </is>
      </c>
    </row>
    <row r="5">
      <c r="A5" s="19" t="n"/>
      <c r="B5" s="14" t="n"/>
      <c r="C5" s="14" t="n"/>
      <c r="D5" s="14" t="n"/>
      <c r="E5" s="14" t="n"/>
      <c r="F5" s="14" t="n"/>
      <c r="G5" s="14" t="n"/>
      <c r="H5" s="14" t="n"/>
      <c r="I5" s="14" t="n"/>
      <c r="J5" s="20" t="n"/>
      <c r="K5" s="20" t="n"/>
      <c r="L5" s="20" t="n"/>
      <c r="M5" s="14" t="n"/>
      <c r="N5" s="14" t="n"/>
      <c r="O5" s="14" t="n"/>
      <c r="P5" s="14" t="n"/>
      <c r="Q5" s="14" t="n"/>
      <c r="R5" s="21">
        <f>ROUND(N(H5)*N(J5)-N(K5),2)</f>
        <v/>
      </c>
      <c r="S5" s="21">
        <f>ROUND(R5*IFERROR(VLOOKUP(P5,'Tax Codes'!$A$5:$E$300,5,FALSE),0),2)</f>
        <v/>
      </c>
      <c r="T5" s="21">
        <f>ROUND(R5*IFERROR(VLOOKUP(Q5,'Tax Codes'!$A$5:$E$300,5,FALSE),0),2)</f>
        <v/>
      </c>
      <c r="U5" s="21">
        <f>R5+S5-T5-N(L5)</f>
        <v/>
      </c>
      <c r="V5" s="16">
        <f>IF(C5="",INDEX('Chart of Accounts'!$A$5:$A$3000,MATCH("materials",'Chart of Accounts'!$F$5:$F$3000,0)),C5&amp;"")</f>
        <v/>
      </c>
      <c r="W5" s="16">
        <f>IF(N5="",INDEX('Chart of Accounts'!$A$5:$A$3000,MATCH("bank",'Chart of Accounts'!$F$5:$F$3000,0)),N5&amp;"")</f>
        <v/>
      </c>
      <c r="X5" s="16">
        <f>IF(O5="",INDEX('Chart of Accounts'!$A$5:$A$3000,MATCH("ap",'Chart of Accounts'!$F$5:$F$3000,0)),O5&amp;"")</f>
        <v/>
      </c>
      <c r="Y5" s="16">
        <f>INDEX('Chart of Accounts'!$A$5:$A$3000,MATCH("vat_input",'Chart of Accounts'!$F$5:$F$3000,0))</f>
        <v/>
      </c>
      <c r="Z5" s="16">
        <f>INDEX('Chart of Accounts'!$A$5:$A$3000,MATCH("wht_payable",'Chart of Accounts'!$F$5:$F$3000,0))</f>
        <v/>
      </c>
      <c r="AA5" s="23">
        <f>IFERROR(INDEX('Chart of Accounts'!$C$5:$C$3000,MATCH(V5&amp;"",'Chart of Accounts'!$A$5:$A$3000,0))&amp;"|"&amp;INDEX('Chart of Accounts'!$D$5:$D$3000,MATCH(V5&amp;"",'Chart of Accounts'!$A$5:$A$3000,0)),"")</f>
        <v/>
      </c>
      <c r="AB5" s="23">
        <f>IFERROR(INDEX('Chart of Accounts'!$C$5:$C$3000,MATCH(Y5&amp;"",'Chart of Accounts'!$A$5:$A$3000,0))&amp;"|"&amp;INDEX('Chart of Accounts'!$D$5:$D$3000,MATCH(Y5&amp;"",'Chart of Accounts'!$A$5:$A$3000,0)),"")</f>
        <v/>
      </c>
      <c r="AC5" s="23">
        <f>IFERROR(INDEX('Chart of Accounts'!$C$5:$C$3000,MATCH(W5&amp;"",'Chart of Accounts'!$A$5:$A$3000,0))&amp;"|"&amp;INDEX('Chart of Accounts'!$D$5:$D$3000,MATCH(W5&amp;"",'Chart of Accounts'!$A$5:$A$3000,0)),"")</f>
        <v/>
      </c>
      <c r="AD5" s="23">
        <f>IFERROR(INDEX('Chart of Accounts'!$C$5:$C$3000,MATCH(X5&amp;"",'Chart of Accounts'!$A$5:$A$3000,0))&amp;"|"&amp;INDEX('Chart of Accounts'!$D$5:$D$3000,MATCH(X5&amp;"",'Chart of Accounts'!$A$5:$A$3000,0)),"")</f>
        <v/>
      </c>
      <c r="AE5" s="23">
        <f>IFERROR(INDEX('Chart of Accounts'!$C$5:$C$3000,MATCH(Z5&amp;"",'Chart of Accounts'!$A$5:$A$3000,0))&amp;"|"&amp;INDEX('Chart of Accounts'!$D$5:$D$3000,MATCH(Z5&amp;"",'Chart of Accounts'!$A$5:$A$3000,0)),"")</f>
        <v/>
      </c>
      <c r="AF5" s="23">
        <f>IF(LEFT(AA5,8)="Revenue|",-N(R5),0)+IF(LEFT(AB5,8)="Revenue|",-N(S5),0)+IF(LEFT(AC5,8)="Revenue|",N(L5),0)+IF(LEFT(AD5,8)="Revenue|",N(U5),0)+IF(LEFT(AE5,8)="Revenue|",N(T5),0)</f>
        <v/>
      </c>
      <c r="AG5" s="23">
        <f>IF(LEFT(AA5,5)="COGS|",N(R5),0)+IF(LEFT(AB5,5)="COGS|",N(S5),0)+IF(LEFT(AC5,5)="COGS|",-N(L5),0)+IF(LEFT(AD5,5)="COGS|",-N(U5),0)+IF(LEFT(AE5,5)="COGS|",-N(T5),0)</f>
        <v/>
      </c>
      <c r="AH5" s="23">
        <f>IF(LEFT(AA5,8)="Expense|",N(R5),0)+IF(LEFT(AB5,8)="Expense|",N(S5),0)+IF(LEFT(AC5,8)="Expense|",-N(L5),0)+IF(LEFT(AD5,8)="Expense|",-N(U5),0)+IF(LEFT(AE5,8)="Expense|",-N(T5),0)</f>
        <v/>
      </c>
      <c r="AI5" s="23">
        <f>IF(ISNUMBER(MATCH(AA5,{"Expense|employee","Expense|general_admin","Expense|marketing","Expense|utilities","Expense|other_operating"},0)),N(R5),0)+IF(ISNUMBER(MATCH(AB5,{"Expense|employee","Expense|general_admin","Expense|marketing","Expense|utilities","Expense|other_operating"},0)),N(S5),0)+IF(ISNUMBER(MATCH(AC5,{"Expense|employee","Expense|general_admin","Expense|marketing","Expense|utilities","Expense|other_operating"},0)),-N(L5),0)+IF(ISNUMBER(MATCH(AD5,{"Expense|employee","Expense|general_admin","Expense|marketing","Expense|utilities","Expense|other_operating"},0)),-N(U5),0)+IF(ISNUMBER(MATCH(AE5,{"Expense|employee","Expense|general_admin","Expense|marketing","Expense|utilities","Expense|other_operating"},0)),-N(T5),0)</f>
        <v/>
      </c>
      <c r="AJ5" s="23">
        <f>IF(AA5="Liability|payable",-N(R5),0)+IF(AB5="Liability|payable",-N(S5),0)+IF(AC5="Liability|payable",N(L5),0)+IF(AD5="Liability|payable",N(U5),0)+IF(AE5="Liability|payable",N(T5),0)</f>
        <v/>
      </c>
      <c r="AK5" s="23">
        <f>IF(AA5="Liability|accrued",-N(R5),0)+IF(AB5="Liability|accrued",-N(S5),0)+IF(AC5="Liability|accrued",N(L5),0)+IF(AD5="Liability|accrued",N(U5),0)+IF(AE5="Liability|accrued",N(T5),0)</f>
        <v/>
      </c>
      <c r="AL5" s="23">
        <f>IF(AND(N(R5)&lt;&gt;0,AA5=""),1,0)+IF(AND(N(S5)&lt;&gt;0,AB5=""),1,0)+IF(AND(N(L5)&lt;&gt;0,AC5=""),1,0)+IF(AND(N(U5)&lt;&gt;0,AD5=""),1,0)+IF(AND(N(T5)&lt;&gt;0,AE5=""),1,0)</f>
        <v/>
      </c>
    </row>
    <row r="6">
      <c r="A6" s="19" t="n"/>
      <c r="B6" s="14" t="n"/>
      <c r="C6" s="14" t="n"/>
      <c r="D6" s="14" t="n"/>
      <c r="E6" s="14" t="n"/>
      <c r="F6" s="14" t="n"/>
      <c r="G6" s="14" t="n"/>
      <c r="H6" s="14" t="n"/>
      <c r="I6" s="14" t="n"/>
      <c r="J6" s="20" t="n"/>
      <c r="K6" s="20" t="n"/>
      <c r="L6" s="20" t="n"/>
      <c r="M6" s="14" t="n"/>
      <c r="N6" s="14" t="n"/>
      <c r="O6" s="14" t="n"/>
      <c r="P6" s="14" t="n"/>
      <c r="Q6" s="14" t="n"/>
      <c r="R6" s="21">
        <f>ROUND(N(H6)*N(J6)-N(K6),2)</f>
        <v/>
      </c>
      <c r="S6" s="21">
        <f>ROUND(R6*IFERROR(VLOOKUP(P6,'Tax Codes'!$A$5:$E$300,5,FALSE),0),2)</f>
        <v/>
      </c>
      <c r="T6" s="21">
        <f>ROUND(R6*IFERROR(VLOOKUP(Q6,'Tax Codes'!$A$5:$E$300,5,FALSE),0),2)</f>
        <v/>
      </c>
      <c r="U6" s="21">
        <f>R6+S6-T6-N(L6)</f>
        <v/>
      </c>
      <c r="V6" s="16">
        <f>IF(C6="",INDEX('Chart of Accounts'!$A$5:$A$3000,MATCH("materials",'Chart of Accounts'!$F$5:$F$3000,0)),C6&amp;"")</f>
        <v/>
      </c>
      <c r="W6" s="16">
        <f>IF(N6="",INDEX('Chart of Accounts'!$A$5:$A$3000,MATCH("bank",'Chart of Accounts'!$F$5:$F$3000,0)),N6&amp;"")</f>
        <v/>
      </c>
      <c r="X6" s="16">
        <f>IF(O6="",INDEX('Chart of Accounts'!$A$5:$A$3000,MATCH("ap",'Chart of Accounts'!$F$5:$F$3000,0)),O6&amp;"")</f>
        <v/>
      </c>
      <c r="Y6" s="16">
        <f>INDEX('Chart of Accounts'!$A$5:$A$3000,MATCH("vat_input",'Chart of Accounts'!$F$5:$F$3000,0))</f>
        <v/>
      </c>
      <c r="Z6" s="16">
        <f>INDEX('Chart of Accounts'!$A$5:$A$3000,MATCH("wht_payable",'Chart of Accounts'!$F$5:$F$3000,0))</f>
        <v/>
      </c>
      <c r="AA6" s="23">
        <f>IFERROR(INDEX('Chart of Accounts'!$C$5:$C$3000,MATCH(V6&amp;"",'Chart of Accounts'!$A$5:$A$3000,0))&amp;"|"&amp;INDEX('Chart of Accounts'!$D$5:$D$3000,MATCH(V6&amp;"",'Chart of Accounts'!$A$5:$A$3000,0)),"")</f>
        <v/>
      </c>
      <c r="AB6" s="23">
        <f>IFERROR(INDEX('Chart of Accounts'!$C$5:$C$3000,MATCH(Y6&amp;"",'Chart of Accounts'!$A$5:$A$3000,0))&amp;"|"&amp;INDEX('Chart of Accounts'!$D$5:$D$3000,MATCH(Y6&amp;"",'Chart of Accounts'!$A$5:$A$3000,0)),"")</f>
        <v/>
      </c>
      <c r="AC6" s="23">
        <f>IFERROR(INDEX('Chart of Accounts'!$C$5:$C$3000,MATCH(W6&amp;"",'Chart of Accounts'!$A$5:$A$3000,0))&amp;"|"&amp;INDEX('Chart of Accounts'!$D$5:$D$3000,MATCH(W6&amp;"",'Chart of Accounts'!$A$5:$A$3000,0)),"")</f>
        <v/>
      </c>
      <c r="AD6" s="23">
        <f>IFERROR(INDEX('Chart of Accounts'!$C$5:$C$3000,MATCH(X6&amp;"",'Chart of Accounts'!$A$5:$A$3000,0))&amp;"|"&amp;INDEX('Chart of Accounts'!$D$5:$D$3000,MATCH(X6&amp;"",'Chart of Accounts'!$A$5:$A$3000,0)),"")</f>
        <v/>
      </c>
      <c r="AE6" s="23">
        <f>IFERROR(INDEX('Chart of Accounts'!$C$5:$C$3000,MATCH(Z6&amp;"",'Chart of Accounts'!$A$5:$A$3000,0))&amp;"|"&amp;INDEX('Chart of Accounts'!$D$5:$D$3000,MATCH(Z6&amp;"",'Chart of Accounts'!$A$5:$A$3000,0)),"")</f>
        <v/>
      </c>
      <c r="AF6" s="23">
        <f>IF(LEFT(AA6,8)="Revenue|",-N(R6),0)+IF(LEFT(AB6,8)="Revenue|",-N(S6),0)+IF(LEFT(AC6,8)="Revenue|",N(L6),0)+IF(LEFT(AD6,8)="Revenue|",N(U6),0)+IF(LEFT(AE6,8)="Revenue|",N(T6),0)</f>
        <v/>
      </c>
      <c r="AG6" s="23">
        <f>IF(LEFT(AA6,5)="COGS|",N(R6),0)+IF(LEFT(AB6,5)="COGS|",N(S6),0)+IF(LEFT(AC6,5)="COGS|",-N(L6),0)+IF(LEFT(AD6,5)="COGS|",-N(U6),0)+IF(LEFT(AE6,5)="COGS|",-N(T6),0)</f>
        <v/>
      </c>
      <c r="AH6" s="23">
        <f>IF(LEFT(AA6,8)="Expense|",N(R6),0)+IF(LEFT(AB6,8)="Expense|",N(S6),0)+IF(LEFT(AC6,8)="Expense|",-N(L6),0)+IF(LEFT(AD6,8)="Expense|",-N(U6),0)+IF(LEFT(AE6,8)="Expense|",-N(T6),0)</f>
        <v/>
      </c>
      <c r="AI6" s="23">
        <f>IF(ISNUMBER(MATCH(AA6,{"Expense|employee","Expense|general_admin","Expense|marketing","Expense|utilities","Expense|other_operating"},0)),N(R6),0)+IF(ISNUMBER(MATCH(AB6,{"Expense|employee","Expense|general_admin","Expense|marketing","Expense|utilities","Expense|other_operating"},0)),N(S6),0)+IF(ISNUMBER(MATCH(AC6,{"Expense|employee","Expense|general_admin","Expense|marketing","Expense|utilities","Expense|other_operating"},0)),-N(L6),0)+IF(ISNUMBER(MATCH(AD6,{"Expense|employee","Expense|general_admin","Expense|marketing","Expense|utilities","Expense|other_operating"},0)),-N(U6),0)+IF(ISNUMBER(MATCH(AE6,{"Expense|employee","Expense|general_admin","Expense|marketing","Expense|utilities","Expense|other_operating"},0)),-N(T6),0)</f>
        <v/>
      </c>
      <c r="AJ6" s="23">
        <f>IF(AA6="Liability|payable",-N(R6),0)+IF(AB6="Liability|payable",-N(S6),0)+IF(AC6="Liability|payable",N(L6),0)+IF(AD6="Liability|payable",N(U6),0)+IF(AE6="Liability|payable",N(T6),0)</f>
        <v/>
      </c>
      <c r="AK6" s="23">
        <f>IF(AA6="Liability|accrued",-N(R6),0)+IF(AB6="Liability|accrued",-N(S6),0)+IF(AC6="Liability|accrued",N(L6),0)+IF(AD6="Liability|accrued",N(U6),0)+IF(AE6="Liability|accrued",N(T6),0)</f>
        <v/>
      </c>
      <c r="AL6" s="23">
        <f>IF(AND(N(R6)&lt;&gt;0,AA6=""),1,0)+IF(AND(N(S6)&lt;&gt;0,AB6=""),1,0)+IF(AND(N(L6)&lt;&gt;0,AC6=""),1,0)+IF(AND(N(U6)&lt;&gt;0,AD6=""),1,0)+IF(AND(N(T6)&lt;&gt;0,AE6=""),1,0)</f>
        <v/>
      </c>
    </row>
    <row r="7">
      <c r="A7" s="19" t="n"/>
      <c r="B7" s="14" t="n"/>
      <c r="C7" s="14" t="n"/>
      <c r="D7" s="14" t="n"/>
      <c r="E7" s="14" t="n"/>
      <c r="F7" s="14" t="n"/>
      <c r="G7" s="14" t="n"/>
      <c r="H7" s="14" t="n"/>
      <c r="I7" s="14" t="n"/>
      <c r="J7" s="20" t="n"/>
      <c r="K7" s="20" t="n"/>
      <c r="L7" s="20" t="n"/>
      <c r="M7" s="14" t="n"/>
      <c r="N7" s="14" t="n"/>
      <c r="O7" s="14" t="n"/>
      <c r="P7" s="14" t="n"/>
      <c r="Q7" s="14" t="n"/>
      <c r="R7" s="21">
        <f>ROUND(N(H7)*N(J7)-N(K7),2)</f>
        <v/>
      </c>
      <c r="S7" s="21">
        <f>ROUND(R7*IFERROR(VLOOKUP(P7,'Tax Codes'!$A$5:$E$300,5,FALSE),0),2)</f>
        <v/>
      </c>
      <c r="T7" s="21">
        <f>ROUND(R7*IFERROR(VLOOKUP(Q7,'Tax Codes'!$A$5:$E$300,5,FALSE),0),2)</f>
        <v/>
      </c>
      <c r="U7" s="21">
        <f>R7+S7-T7-N(L7)</f>
        <v/>
      </c>
      <c r="V7" s="16">
        <f>IF(C7="",INDEX('Chart of Accounts'!$A$5:$A$3000,MATCH("materials",'Chart of Accounts'!$F$5:$F$3000,0)),C7&amp;"")</f>
        <v/>
      </c>
      <c r="W7" s="16">
        <f>IF(N7="",INDEX('Chart of Accounts'!$A$5:$A$3000,MATCH("bank",'Chart of Accounts'!$F$5:$F$3000,0)),N7&amp;"")</f>
        <v/>
      </c>
      <c r="X7" s="16">
        <f>IF(O7="",INDEX('Chart of Accounts'!$A$5:$A$3000,MATCH("ap",'Chart of Accounts'!$F$5:$F$3000,0)),O7&amp;"")</f>
        <v/>
      </c>
      <c r="Y7" s="16">
        <f>INDEX('Chart of Accounts'!$A$5:$A$3000,MATCH("vat_input",'Chart of Accounts'!$F$5:$F$3000,0))</f>
        <v/>
      </c>
      <c r="Z7" s="16">
        <f>INDEX('Chart of Accounts'!$A$5:$A$3000,MATCH("wht_payable",'Chart of Accounts'!$F$5:$F$3000,0))</f>
        <v/>
      </c>
      <c r="AA7" s="23">
        <f>IFERROR(INDEX('Chart of Accounts'!$C$5:$C$3000,MATCH(V7&amp;"",'Chart of Accounts'!$A$5:$A$3000,0))&amp;"|"&amp;INDEX('Chart of Accounts'!$D$5:$D$3000,MATCH(V7&amp;"",'Chart of Accounts'!$A$5:$A$3000,0)),"")</f>
        <v/>
      </c>
      <c r="AB7" s="23">
        <f>IFERROR(INDEX('Chart of Accounts'!$C$5:$C$3000,MATCH(Y7&amp;"",'Chart of Accounts'!$A$5:$A$3000,0))&amp;"|"&amp;INDEX('Chart of Accounts'!$D$5:$D$3000,MATCH(Y7&amp;"",'Chart of Accounts'!$A$5:$A$3000,0)),"")</f>
        <v/>
      </c>
      <c r="AC7" s="23">
        <f>IFERROR(INDEX('Chart of Accounts'!$C$5:$C$3000,MATCH(W7&amp;"",'Chart of Accounts'!$A$5:$A$3000,0))&amp;"|"&amp;INDEX('Chart of Accounts'!$D$5:$D$3000,MATCH(W7&amp;"",'Chart of Accounts'!$A$5:$A$3000,0)),"")</f>
        <v/>
      </c>
      <c r="AD7" s="23">
        <f>IFERROR(INDEX('Chart of Accounts'!$C$5:$C$3000,MATCH(X7&amp;"",'Chart of Accounts'!$A$5:$A$3000,0))&amp;"|"&amp;INDEX('Chart of Accounts'!$D$5:$D$3000,MATCH(X7&amp;"",'Chart of Accounts'!$A$5:$A$3000,0)),"")</f>
        <v/>
      </c>
      <c r="AE7" s="23">
        <f>IFERROR(INDEX('Chart of Accounts'!$C$5:$C$3000,MATCH(Z7&amp;"",'Chart of Accounts'!$A$5:$A$3000,0))&amp;"|"&amp;INDEX('Chart of Accounts'!$D$5:$D$3000,MATCH(Z7&amp;"",'Chart of Accounts'!$A$5:$A$3000,0)),"")</f>
        <v/>
      </c>
      <c r="AF7" s="23">
        <f>IF(LEFT(AA7,8)="Revenue|",-N(R7),0)+IF(LEFT(AB7,8)="Revenue|",-N(S7),0)+IF(LEFT(AC7,8)="Revenue|",N(L7),0)+IF(LEFT(AD7,8)="Revenue|",N(U7),0)+IF(LEFT(AE7,8)="Revenue|",N(T7),0)</f>
        <v/>
      </c>
      <c r="AG7" s="23">
        <f>IF(LEFT(AA7,5)="COGS|",N(R7),0)+IF(LEFT(AB7,5)="COGS|",N(S7),0)+IF(LEFT(AC7,5)="COGS|",-N(L7),0)+IF(LEFT(AD7,5)="COGS|",-N(U7),0)+IF(LEFT(AE7,5)="COGS|",-N(T7),0)</f>
        <v/>
      </c>
      <c r="AH7" s="23">
        <f>IF(LEFT(AA7,8)="Expense|",N(R7),0)+IF(LEFT(AB7,8)="Expense|",N(S7),0)+IF(LEFT(AC7,8)="Expense|",-N(L7),0)+IF(LEFT(AD7,8)="Expense|",-N(U7),0)+IF(LEFT(AE7,8)="Expense|",-N(T7),0)</f>
        <v/>
      </c>
      <c r="AI7" s="23">
        <f>IF(ISNUMBER(MATCH(AA7,{"Expense|employee","Expense|general_admin","Expense|marketing","Expense|utilities","Expense|other_operating"},0)),N(R7),0)+IF(ISNUMBER(MATCH(AB7,{"Expense|employee","Expense|general_admin","Expense|marketing","Expense|utilities","Expense|other_operating"},0)),N(S7),0)+IF(ISNUMBER(MATCH(AC7,{"Expense|employee","Expense|general_admin","Expense|marketing","Expense|utilities","Expense|other_operating"},0)),-N(L7),0)+IF(ISNUMBER(MATCH(AD7,{"Expense|employee","Expense|general_admin","Expense|marketing","Expense|utilities","Expense|other_operating"},0)),-N(U7),0)+IF(ISNUMBER(MATCH(AE7,{"Expense|employee","Expense|general_admin","Expense|marketing","Expense|utilities","Expense|other_operating"},0)),-N(T7),0)</f>
        <v/>
      </c>
      <c r="AJ7" s="23">
        <f>IF(AA7="Liability|payable",-N(R7),0)+IF(AB7="Liability|payable",-N(S7),0)+IF(AC7="Liability|payable",N(L7),0)+IF(AD7="Liability|payable",N(U7),0)+IF(AE7="Liability|payable",N(T7),0)</f>
        <v/>
      </c>
      <c r="AK7" s="23">
        <f>IF(AA7="Liability|accrued",-N(R7),0)+IF(AB7="Liability|accrued",-N(S7),0)+IF(AC7="Liability|accrued",N(L7),0)+IF(AD7="Liability|accrued",N(U7),0)+IF(AE7="Liability|accrued",N(T7),0)</f>
        <v/>
      </c>
      <c r="AL7" s="23">
        <f>IF(AND(N(R7)&lt;&gt;0,AA7=""),1,0)+IF(AND(N(S7)&lt;&gt;0,AB7=""),1,0)+IF(AND(N(L7)&lt;&gt;0,AC7=""),1,0)+IF(AND(N(U7)&lt;&gt;0,AD7=""),1,0)+IF(AND(N(T7)&lt;&gt;0,AE7=""),1,0)</f>
        <v/>
      </c>
    </row>
    <row r="8">
      <c r="A8" s="19" t="n"/>
      <c r="B8" s="14" t="n"/>
      <c r="C8" s="14" t="n"/>
      <c r="D8" s="14" t="n"/>
      <c r="E8" s="14" t="n"/>
      <c r="F8" s="14" t="n"/>
      <c r="G8" s="14" t="n"/>
      <c r="H8" s="14" t="n"/>
      <c r="I8" s="14" t="n"/>
      <c r="J8" s="20" t="n"/>
      <c r="K8" s="20" t="n"/>
      <c r="L8" s="20" t="n"/>
      <c r="M8" s="14" t="n"/>
      <c r="N8" s="14" t="n"/>
      <c r="O8" s="14" t="n"/>
      <c r="P8" s="14" t="n"/>
      <c r="Q8" s="14" t="n"/>
      <c r="R8" s="21">
        <f>ROUND(N(H8)*N(J8)-N(K8),2)</f>
        <v/>
      </c>
      <c r="S8" s="21">
        <f>ROUND(R8*IFERROR(VLOOKUP(P8,'Tax Codes'!$A$5:$E$300,5,FALSE),0),2)</f>
        <v/>
      </c>
      <c r="T8" s="21">
        <f>ROUND(R8*IFERROR(VLOOKUP(Q8,'Tax Codes'!$A$5:$E$300,5,FALSE),0),2)</f>
        <v/>
      </c>
      <c r="U8" s="21">
        <f>R8+S8-T8-N(L8)</f>
        <v/>
      </c>
      <c r="V8" s="16">
        <f>IF(C8="",INDEX('Chart of Accounts'!$A$5:$A$3000,MATCH("materials",'Chart of Accounts'!$F$5:$F$3000,0)),C8&amp;"")</f>
        <v/>
      </c>
      <c r="W8" s="16">
        <f>IF(N8="",INDEX('Chart of Accounts'!$A$5:$A$3000,MATCH("bank",'Chart of Accounts'!$F$5:$F$3000,0)),N8&amp;"")</f>
        <v/>
      </c>
      <c r="X8" s="16">
        <f>IF(O8="",INDEX('Chart of Accounts'!$A$5:$A$3000,MATCH("ap",'Chart of Accounts'!$F$5:$F$3000,0)),O8&amp;"")</f>
        <v/>
      </c>
      <c r="Y8" s="16">
        <f>INDEX('Chart of Accounts'!$A$5:$A$3000,MATCH("vat_input",'Chart of Accounts'!$F$5:$F$3000,0))</f>
        <v/>
      </c>
      <c r="Z8" s="16">
        <f>INDEX('Chart of Accounts'!$A$5:$A$3000,MATCH("wht_payable",'Chart of Accounts'!$F$5:$F$3000,0))</f>
        <v/>
      </c>
      <c r="AA8" s="23">
        <f>IFERROR(INDEX('Chart of Accounts'!$C$5:$C$3000,MATCH(V8&amp;"",'Chart of Accounts'!$A$5:$A$3000,0))&amp;"|"&amp;INDEX('Chart of Accounts'!$D$5:$D$3000,MATCH(V8&amp;"",'Chart of Accounts'!$A$5:$A$3000,0)),"")</f>
        <v/>
      </c>
      <c r="AB8" s="23">
        <f>IFERROR(INDEX('Chart of Accounts'!$C$5:$C$3000,MATCH(Y8&amp;"",'Chart of Accounts'!$A$5:$A$3000,0))&amp;"|"&amp;INDEX('Chart of Accounts'!$D$5:$D$3000,MATCH(Y8&amp;"",'Chart of Accounts'!$A$5:$A$3000,0)),"")</f>
        <v/>
      </c>
      <c r="AC8" s="23">
        <f>IFERROR(INDEX('Chart of Accounts'!$C$5:$C$3000,MATCH(W8&amp;"",'Chart of Accounts'!$A$5:$A$3000,0))&amp;"|"&amp;INDEX('Chart of Accounts'!$D$5:$D$3000,MATCH(W8&amp;"",'Chart of Accounts'!$A$5:$A$3000,0)),"")</f>
        <v/>
      </c>
      <c r="AD8" s="23">
        <f>IFERROR(INDEX('Chart of Accounts'!$C$5:$C$3000,MATCH(X8&amp;"",'Chart of Accounts'!$A$5:$A$3000,0))&amp;"|"&amp;INDEX('Chart of Accounts'!$D$5:$D$3000,MATCH(X8&amp;"",'Chart of Accounts'!$A$5:$A$3000,0)),"")</f>
        <v/>
      </c>
      <c r="AE8" s="23">
        <f>IFERROR(INDEX('Chart of Accounts'!$C$5:$C$3000,MATCH(Z8&amp;"",'Chart of Accounts'!$A$5:$A$3000,0))&amp;"|"&amp;INDEX('Chart of Accounts'!$D$5:$D$3000,MATCH(Z8&amp;"",'Chart of Accounts'!$A$5:$A$3000,0)),"")</f>
        <v/>
      </c>
      <c r="AF8" s="23">
        <f>IF(LEFT(AA8,8)="Revenue|",-N(R8),0)+IF(LEFT(AB8,8)="Revenue|",-N(S8),0)+IF(LEFT(AC8,8)="Revenue|",N(L8),0)+IF(LEFT(AD8,8)="Revenue|",N(U8),0)+IF(LEFT(AE8,8)="Revenue|",N(T8),0)</f>
        <v/>
      </c>
      <c r="AG8" s="23">
        <f>IF(LEFT(AA8,5)="COGS|",N(R8),0)+IF(LEFT(AB8,5)="COGS|",N(S8),0)+IF(LEFT(AC8,5)="COGS|",-N(L8),0)+IF(LEFT(AD8,5)="COGS|",-N(U8),0)+IF(LEFT(AE8,5)="COGS|",-N(T8),0)</f>
        <v/>
      </c>
      <c r="AH8" s="23">
        <f>IF(LEFT(AA8,8)="Expense|",N(R8),0)+IF(LEFT(AB8,8)="Expense|",N(S8),0)+IF(LEFT(AC8,8)="Expense|",-N(L8),0)+IF(LEFT(AD8,8)="Expense|",-N(U8),0)+IF(LEFT(AE8,8)="Expense|",-N(T8),0)</f>
        <v/>
      </c>
      <c r="AI8" s="23">
        <f>IF(ISNUMBER(MATCH(AA8,{"Expense|employee","Expense|general_admin","Expense|marketing","Expense|utilities","Expense|other_operating"},0)),N(R8),0)+IF(ISNUMBER(MATCH(AB8,{"Expense|employee","Expense|general_admin","Expense|marketing","Expense|utilities","Expense|other_operating"},0)),N(S8),0)+IF(ISNUMBER(MATCH(AC8,{"Expense|employee","Expense|general_admin","Expense|marketing","Expense|utilities","Expense|other_operating"},0)),-N(L8),0)+IF(ISNUMBER(MATCH(AD8,{"Expense|employee","Expense|general_admin","Expense|marketing","Expense|utilities","Expense|other_operating"},0)),-N(U8),0)+IF(ISNUMBER(MATCH(AE8,{"Expense|employee","Expense|general_admin","Expense|marketing","Expense|utilities","Expense|other_operating"},0)),-N(T8),0)</f>
        <v/>
      </c>
      <c r="AJ8" s="23">
        <f>IF(AA8="Liability|payable",-N(R8),0)+IF(AB8="Liability|payable",-N(S8),0)+IF(AC8="Liability|payable",N(L8),0)+IF(AD8="Liability|payable",N(U8),0)+IF(AE8="Liability|payable",N(T8),0)</f>
        <v/>
      </c>
      <c r="AK8" s="23">
        <f>IF(AA8="Liability|accrued",-N(R8),0)+IF(AB8="Liability|accrued",-N(S8),0)+IF(AC8="Liability|accrued",N(L8),0)+IF(AD8="Liability|accrued",N(U8),0)+IF(AE8="Liability|accrued",N(T8),0)</f>
        <v/>
      </c>
      <c r="AL8" s="23">
        <f>IF(AND(N(R8)&lt;&gt;0,AA8=""),1,0)+IF(AND(N(S8)&lt;&gt;0,AB8=""),1,0)+IF(AND(N(L8)&lt;&gt;0,AC8=""),1,0)+IF(AND(N(U8)&lt;&gt;0,AD8=""),1,0)+IF(AND(N(T8)&lt;&gt;0,AE8=""),1,0)</f>
        <v/>
      </c>
    </row>
    <row r="9">
      <c r="A9" s="19" t="n"/>
      <c r="B9" s="14" t="n"/>
      <c r="C9" s="14" t="n"/>
      <c r="D9" s="14" t="n"/>
      <c r="E9" s="14" t="n"/>
      <c r="F9" s="14" t="n"/>
      <c r="G9" s="14" t="n"/>
      <c r="H9" s="14" t="n"/>
      <c r="I9" s="14" t="n"/>
      <c r="J9" s="20" t="n"/>
      <c r="K9" s="20" t="n"/>
      <c r="L9" s="20" t="n"/>
      <c r="M9" s="14" t="n"/>
      <c r="N9" s="14" t="n"/>
      <c r="O9" s="14" t="n"/>
      <c r="P9" s="14" t="n"/>
      <c r="Q9" s="14" t="n"/>
      <c r="R9" s="21">
        <f>ROUND(N(H9)*N(J9)-N(K9),2)</f>
        <v/>
      </c>
      <c r="S9" s="21">
        <f>ROUND(R9*IFERROR(VLOOKUP(P9,'Tax Codes'!$A$5:$E$300,5,FALSE),0),2)</f>
        <v/>
      </c>
      <c r="T9" s="21">
        <f>ROUND(R9*IFERROR(VLOOKUP(Q9,'Tax Codes'!$A$5:$E$300,5,FALSE),0),2)</f>
        <v/>
      </c>
      <c r="U9" s="21">
        <f>R9+S9-T9-N(L9)</f>
        <v/>
      </c>
      <c r="V9" s="16">
        <f>IF(C9="",INDEX('Chart of Accounts'!$A$5:$A$3000,MATCH("materials",'Chart of Accounts'!$F$5:$F$3000,0)),C9&amp;"")</f>
        <v/>
      </c>
      <c r="W9" s="16">
        <f>IF(N9="",INDEX('Chart of Accounts'!$A$5:$A$3000,MATCH("bank",'Chart of Accounts'!$F$5:$F$3000,0)),N9&amp;"")</f>
        <v/>
      </c>
      <c r="X9" s="16">
        <f>IF(O9="",INDEX('Chart of Accounts'!$A$5:$A$3000,MATCH("ap",'Chart of Accounts'!$F$5:$F$3000,0)),O9&amp;"")</f>
        <v/>
      </c>
      <c r="Y9" s="16">
        <f>INDEX('Chart of Accounts'!$A$5:$A$3000,MATCH("vat_input",'Chart of Accounts'!$F$5:$F$3000,0))</f>
        <v/>
      </c>
      <c r="Z9" s="16">
        <f>INDEX('Chart of Accounts'!$A$5:$A$3000,MATCH("wht_payable",'Chart of Accounts'!$F$5:$F$3000,0))</f>
        <v/>
      </c>
      <c r="AA9" s="23">
        <f>IFERROR(INDEX('Chart of Accounts'!$C$5:$C$3000,MATCH(V9&amp;"",'Chart of Accounts'!$A$5:$A$3000,0))&amp;"|"&amp;INDEX('Chart of Accounts'!$D$5:$D$3000,MATCH(V9&amp;"",'Chart of Accounts'!$A$5:$A$3000,0)),"")</f>
        <v/>
      </c>
      <c r="AB9" s="23">
        <f>IFERROR(INDEX('Chart of Accounts'!$C$5:$C$3000,MATCH(Y9&amp;"",'Chart of Accounts'!$A$5:$A$3000,0))&amp;"|"&amp;INDEX('Chart of Accounts'!$D$5:$D$3000,MATCH(Y9&amp;"",'Chart of Accounts'!$A$5:$A$3000,0)),"")</f>
        <v/>
      </c>
      <c r="AC9" s="23">
        <f>IFERROR(INDEX('Chart of Accounts'!$C$5:$C$3000,MATCH(W9&amp;"",'Chart of Accounts'!$A$5:$A$3000,0))&amp;"|"&amp;INDEX('Chart of Accounts'!$D$5:$D$3000,MATCH(W9&amp;"",'Chart of Accounts'!$A$5:$A$3000,0)),"")</f>
        <v/>
      </c>
      <c r="AD9" s="23">
        <f>IFERROR(INDEX('Chart of Accounts'!$C$5:$C$3000,MATCH(X9&amp;"",'Chart of Accounts'!$A$5:$A$3000,0))&amp;"|"&amp;INDEX('Chart of Accounts'!$D$5:$D$3000,MATCH(X9&amp;"",'Chart of Accounts'!$A$5:$A$3000,0)),"")</f>
        <v/>
      </c>
      <c r="AE9" s="23">
        <f>IFERROR(INDEX('Chart of Accounts'!$C$5:$C$3000,MATCH(Z9&amp;"",'Chart of Accounts'!$A$5:$A$3000,0))&amp;"|"&amp;INDEX('Chart of Accounts'!$D$5:$D$3000,MATCH(Z9&amp;"",'Chart of Accounts'!$A$5:$A$3000,0)),"")</f>
        <v/>
      </c>
      <c r="AF9" s="23">
        <f>IF(LEFT(AA9,8)="Revenue|",-N(R9),0)+IF(LEFT(AB9,8)="Revenue|",-N(S9),0)+IF(LEFT(AC9,8)="Revenue|",N(L9),0)+IF(LEFT(AD9,8)="Revenue|",N(U9),0)+IF(LEFT(AE9,8)="Revenue|",N(T9),0)</f>
        <v/>
      </c>
      <c r="AG9" s="23">
        <f>IF(LEFT(AA9,5)="COGS|",N(R9),0)+IF(LEFT(AB9,5)="COGS|",N(S9),0)+IF(LEFT(AC9,5)="COGS|",-N(L9),0)+IF(LEFT(AD9,5)="COGS|",-N(U9),0)+IF(LEFT(AE9,5)="COGS|",-N(T9),0)</f>
        <v/>
      </c>
      <c r="AH9" s="23">
        <f>IF(LEFT(AA9,8)="Expense|",N(R9),0)+IF(LEFT(AB9,8)="Expense|",N(S9),0)+IF(LEFT(AC9,8)="Expense|",-N(L9),0)+IF(LEFT(AD9,8)="Expense|",-N(U9),0)+IF(LEFT(AE9,8)="Expense|",-N(T9),0)</f>
        <v/>
      </c>
      <c r="AI9" s="23">
        <f>IF(ISNUMBER(MATCH(AA9,{"Expense|employee","Expense|general_admin","Expense|marketing","Expense|utilities","Expense|other_operating"},0)),N(R9),0)+IF(ISNUMBER(MATCH(AB9,{"Expense|employee","Expense|general_admin","Expense|marketing","Expense|utilities","Expense|other_operating"},0)),N(S9),0)+IF(ISNUMBER(MATCH(AC9,{"Expense|employee","Expense|general_admin","Expense|marketing","Expense|utilities","Expense|other_operating"},0)),-N(L9),0)+IF(ISNUMBER(MATCH(AD9,{"Expense|employee","Expense|general_admin","Expense|marketing","Expense|utilities","Expense|other_operating"},0)),-N(U9),0)+IF(ISNUMBER(MATCH(AE9,{"Expense|employee","Expense|general_admin","Expense|marketing","Expense|utilities","Expense|other_operating"},0)),-N(T9),0)</f>
        <v/>
      </c>
      <c r="AJ9" s="23">
        <f>IF(AA9="Liability|payable",-N(R9),0)+IF(AB9="Liability|payable",-N(S9),0)+IF(AC9="Liability|payable",N(L9),0)+IF(AD9="Liability|payable",N(U9),0)+IF(AE9="Liability|payable",N(T9),0)</f>
        <v/>
      </c>
      <c r="AK9" s="23">
        <f>IF(AA9="Liability|accrued",-N(R9),0)+IF(AB9="Liability|accrued",-N(S9),0)+IF(AC9="Liability|accrued",N(L9),0)+IF(AD9="Liability|accrued",N(U9),0)+IF(AE9="Liability|accrued",N(T9),0)</f>
        <v/>
      </c>
      <c r="AL9" s="23">
        <f>IF(AND(N(R9)&lt;&gt;0,AA9=""),1,0)+IF(AND(N(S9)&lt;&gt;0,AB9=""),1,0)+IF(AND(N(L9)&lt;&gt;0,AC9=""),1,0)+IF(AND(N(U9)&lt;&gt;0,AD9=""),1,0)+IF(AND(N(T9)&lt;&gt;0,AE9=""),1,0)</f>
        <v/>
      </c>
    </row>
    <row r="10">
      <c r="A10" s="19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20" t="n"/>
      <c r="K10" s="20" t="n"/>
      <c r="L10" s="20" t="n"/>
      <c r="M10" s="14" t="n"/>
      <c r="N10" s="14" t="n"/>
      <c r="O10" s="14" t="n"/>
      <c r="P10" s="14" t="n"/>
      <c r="Q10" s="14" t="n"/>
      <c r="R10" s="21">
        <f>ROUND(N(H10)*N(J10)-N(K10),2)</f>
        <v/>
      </c>
      <c r="S10" s="21">
        <f>ROUND(R10*IFERROR(VLOOKUP(P10,'Tax Codes'!$A$5:$E$300,5,FALSE),0),2)</f>
        <v/>
      </c>
      <c r="T10" s="21">
        <f>ROUND(R10*IFERROR(VLOOKUP(Q10,'Tax Codes'!$A$5:$E$300,5,FALSE),0),2)</f>
        <v/>
      </c>
      <c r="U10" s="21">
        <f>R10+S10-T10-N(L10)</f>
        <v/>
      </c>
      <c r="V10" s="16">
        <f>IF(C10="",INDEX('Chart of Accounts'!$A$5:$A$3000,MATCH("materials",'Chart of Accounts'!$F$5:$F$3000,0)),C10&amp;"")</f>
        <v/>
      </c>
      <c r="W10" s="16">
        <f>IF(N10="",INDEX('Chart of Accounts'!$A$5:$A$3000,MATCH("bank",'Chart of Accounts'!$F$5:$F$3000,0)),N10&amp;"")</f>
        <v/>
      </c>
      <c r="X10" s="16">
        <f>IF(O10="",INDEX('Chart of Accounts'!$A$5:$A$3000,MATCH("ap",'Chart of Accounts'!$F$5:$F$3000,0)),O10&amp;"")</f>
        <v/>
      </c>
      <c r="Y10" s="16">
        <f>INDEX('Chart of Accounts'!$A$5:$A$3000,MATCH("vat_input",'Chart of Accounts'!$F$5:$F$3000,0))</f>
        <v/>
      </c>
      <c r="Z10" s="16">
        <f>INDEX('Chart of Accounts'!$A$5:$A$3000,MATCH("wht_payable",'Chart of Accounts'!$F$5:$F$3000,0))</f>
        <v/>
      </c>
      <c r="AA10" s="23">
        <f>IFERROR(INDEX('Chart of Accounts'!$C$5:$C$3000,MATCH(V10&amp;"",'Chart of Accounts'!$A$5:$A$3000,0))&amp;"|"&amp;INDEX('Chart of Accounts'!$D$5:$D$3000,MATCH(V10&amp;"",'Chart of Accounts'!$A$5:$A$3000,0)),"")</f>
        <v/>
      </c>
      <c r="AB10" s="23">
        <f>IFERROR(INDEX('Chart of Accounts'!$C$5:$C$3000,MATCH(Y10&amp;"",'Chart of Accounts'!$A$5:$A$3000,0))&amp;"|"&amp;INDEX('Chart of Accounts'!$D$5:$D$3000,MATCH(Y10&amp;"",'Chart of Accounts'!$A$5:$A$3000,0)),"")</f>
        <v/>
      </c>
      <c r="AC10" s="23">
        <f>IFERROR(INDEX('Chart of Accounts'!$C$5:$C$3000,MATCH(W10&amp;"",'Chart of Accounts'!$A$5:$A$3000,0))&amp;"|"&amp;INDEX('Chart of Accounts'!$D$5:$D$3000,MATCH(W10&amp;"",'Chart of Accounts'!$A$5:$A$3000,0)),"")</f>
        <v/>
      </c>
      <c r="AD10" s="23">
        <f>IFERROR(INDEX('Chart of Accounts'!$C$5:$C$3000,MATCH(X10&amp;"",'Chart of Accounts'!$A$5:$A$3000,0))&amp;"|"&amp;INDEX('Chart of Accounts'!$D$5:$D$3000,MATCH(X10&amp;"",'Chart of Accounts'!$A$5:$A$3000,0)),"")</f>
        <v/>
      </c>
      <c r="AE10" s="23">
        <f>IFERROR(INDEX('Chart of Accounts'!$C$5:$C$3000,MATCH(Z10&amp;"",'Chart of Accounts'!$A$5:$A$3000,0))&amp;"|"&amp;INDEX('Chart of Accounts'!$D$5:$D$3000,MATCH(Z10&amp;"",'Chart of Accounts'!$A$5:$A$3000,0)),"")</f>
        <v/>
      </c>
      <c r="AF10" s="23">
        <f>IF(LEFT(AA10,8)="Revenue|",-N(R10),0)+IF(LEFT(AB10,8)="Revenue|",-N(S10),0)+IF(LEFT(AC10,8)="Revenue|",N(L10),0)+IF(LEFT(AD10,8)="Revenue|",N(U10),0)+IF(LEFT(AE10,8)="Revenue|",N(T10),0)</f>
        <v/>
      </c>
      <c r="AG10" s="23">
        <f>IF(LEFT(AA10,5)="COGS|",N(R10),0)+IF(LEFT(AB10,5)="COGS|",N(S10),0)+IF(LEFT(AC10,5)="COGS|",-N(L10),0)+IF(LEFT(AD10,5)="COGS|",-N(U10),0)+IF(LEFT(AE10,5)="COGS|",-N(T10),0)</f>
        <v/>
      </c>
      <c r="AH10" s="23">
        <f>IF(LEFT(AA10,8)="Expense|",N(R10),0)+IF(LEFT(AB10,8)="Expense|",N(S10),0)+IF(LEFT(AC10,8)="Expense|",-N(L10),0)+IF(LEFT(AD10,8)="Expense|",-N(U10),0)+IF(LEFT(AE10,8)="Expense|",-N(T10),0)</f>
        <v/>
      </c>
      <c r="AI10" s="23">
        <f>IF(ISNUMBER(MATCH(AA10,{"Expense|employee","Expense|general_admin","Expense|marketing","Expense|utilities","Expense|other_operating"},0)),N(R10),0)+IF(ISNUMBER(MATCH(AB10,{"Expense|employee","Expense|general_admin","Expense|marketing","Expense|utilities","Expense|other_operating"},0)),N(S10),0)+IF(ISNUMBER(MATCH(AC10,{"Expense|employee","Expense|general_admin","Expense|marketing","Expense|utilities","Expense|other_operating"},0)),-N(L10),0)+IF(ISNUMBER(MATCH(AD10,{"Expense|employee","Expense|general_admin","Expense|marketing","Expense|utilities","Expense|other_operating"},0)),-N(U10),0)+IF(ISNUMBER(MATCH(AE10,{"Expense|employee","Expense|general_admin","Expense|marketing","Expense|utilities","Expense|other_operating"},0)),-N(T10),0)</f>
        <v/>
      </c>
      <c r="AJ10" s="23">
        <f>IF(AA10="Liability|payable",-N(R10),0)+IF(AB10="Liability|payable",-N(S10),0)+IF(AC10="Liability|payable",N(L10),0)+IF(AD10="Liability|payable",N(U10),0)+IF(AE10="Liability|payable",N(T10),0)</f>
        <v/>
      </c>
      <c r="AK10" s="23">
        <f>IF(AA10="Liability|accrued",-N(R10),0)+IF(AB10="Liability|accrued",-N(S10),0)+IF(AC10="Liability|accrued",N(L10),0)+IF(AD10="Liability|accrued",N(U10),0)+IF(AE10="Liability|accrued",N(T10),0)</f>
        <v/>
      </c>
      <c r="AL10" s="23">
        <f>IF(AND(N(R10)&lt;&gt;0,AA10=""),1,0)+IF(AND(N(S10)&lt;&gt;0,AB10=""),1,0)+IF(AND(N(L10)&lt;&gt;0,AC10=""),1,0)+IF(AND(N(U10)&lt;&gt;0,AD10=""),1,0)+IF(AND(N(T10)&lt;&gt;0,AE10=""),1,0)</f>
        <v/>
      </c>
    </row>
    <row r="11">
      <c r="A11" s="19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20" t="n"/>
      <c r="K11" s="20" t="n"/>
      <c r="L11" s="20" t="n"/>
      <c r="M11" s="14" t="n"/>
      <c r="N11" s="14" t="n"/>
      <c r="O11" s="14" t="n"/>
      <c r="P11" s="14" t="n"/>
      <c r="Q11" s="14" t="n"/>
      <c r="R11" s="21">
        <f>ROUND(N(H11)*N(J11)-N(K11),2)</f>
        <v/>
      </c>
      <c r="S11" s="21">
        <f>ROUND(R11*IFERROR(VLOOKUP(P11,'Tax Codes'!$A$5:$E$300,5,FALSE),0),2)</f>
        <v/>
      </c>
      <c r="T11" s="21">
        <f>ROUND(R11*IFERROR(VLOOKUP(Q11,'Tax Codes'!$A$5:$E$300,5,FALSE),0),2)</f>
        <v/>
      </c>
      <c r="U11" s="21">
        <f>R11+S11-T11-N(L11)</f>
        <v/>
      </c>
      <c r="V11" s="16">
        <f>IF(C11="",INDEX('Chart of Accounts'!$A$5:$A$3000,MATCH("materials",'Chart of Accounts'!$F$5:$F$3000,0)),C11&amp;"")</f>
        <v/>
      </c>
      <c r="W11" s="16">
        <f>IF(N11="",INDEX('Chart of Accounts'!$A$5:$A$3000,MATCH("bank",'Chart of Accounts'!$F$5:$F$3000,0)),N11&amp;"")</f>
        <v/>
      </c>
      <c r="X11" s="16">
        <f>IF(O11="",INDEX('Chart of Accounts'!$A$5:$A$3000,MATCH("ap",'Chart of Accounts'!$F$5:$F$3000,0)),O11&amp;"")</f>
        <v/>
      </c>
      <c r="Y11" s="16">
        <f>INDEX('Chart of Accounts'!$A$5:$A$3000,MATCH("vat_input",'Chart of Accounts'!$F$5:$F$3000,0))</f>
        <v/>
      </c>
      <c r="Z11" s="16">
        <f>INDEX('Chart of Accounts'!$A$5:$A$3000,MATCH("wht_payable",'Chart of Accounts'!$F$5:$F$3000,0))</f>
        <v/>
      </c>
      <c r="AA11" s="23">
        <f>IFERROR(INDEX('Chart of Accounts'!$C$5:$C$3000,MATCH(V11&amp;"",'Chart of Accounts'!$A$5:$A$3000,0))&amp;"|"&amp;INDEX('Chart of Accounts'!$D$5:$D$3000,MATCH(V11&amp;"",'Chart of Accounts'!$A$5:$A$3000,0)),"")</f>
        <v/>
      </c>
      <c r="AB11" s="23">
        <f>IFERROR(INDEX('Chart of Accounts'!$C$5:$C$3000,MATCH(Y11&amp;"",'Chart of Accounts'!$A$5:$A$3000,0))&amp;"|"&amp;INDEX('Chart of Accounts'!$D$5:$D$3000,MATCH(Y11&amp;"",'Chart of Accounts'!$A$5:$A$3000,0)),"")</f>
        <v/>
      </c>
      <c r="AC11" s="23">
        <f>IFERROR(INDEX('Chart of Accounts'!$C$5:$C$3000,MATCH(W11&amp;"",'Chart of Accounts'!$A$5:$A$3000,0))&amp;"|"&amp;INDEX('Chart of Accounts'!$D$5:$D$3000,MATCH(W11&amp;"",'Chart of Accounts'!$A$5:$A$3000,0)),"")</f>
        <v/>
      </c>
      <c r="AD11" s="23">
        <f>IFERROR(INDEX('Chart of Accounts'!$C$5:$C$3000,MATCH(X11&amp;"",'Chart of Accounts'!$A$5:$A$3000,0))&amp;"|"&amp;INDEX('Chart of Accounts'!$D$5:$D$3000,MATCH(X11&amp;"",'Chart of Accounts'!$A$5:$A$3000,0)),"")</f>
        <v/>
      </c>
      <c r="AE11" s="23">
        <f>IFERROR(INDEX('Chart of Accounts'!$C$5:$C$3000,MATCH(Z11&amp;"",'Chart of Accounts'!$A$5:$A$3000,0))&amp;"|"&amp;INDEX('Chart of Accounts'!$D$5:$D$3000,MATCH(Z11&amp;"",'Chart of Accounts'!$A$5:$A$3000,0)),"")</f>
        <v/>
      </c>
      <c r="AF11" s="23">
        <f>IF(LEFT(AA11,8)="Revenue|",-N(R11),0)+IF(LEFT(AB11,8)="Revenue|",-N(S11),0)+IF(LEFT(AC11,8)="Revenue|",N(L11),0)+IF(LEFT(AD11,8)="Revenue|",N(U11),0)+IF(LEFT(AE11,8)="Revenue|",N(T11),0)</f>
        <v/>
      </c>
      <c r="AG11" s="23">
        <f>IF(LEFT(AA11,5)="COGS|",N(R11),0)+IF(LEFT(AB11,5)="COGS|",N(S11),0)+IF(LEFT(AC11,5)="COGS|",-N(L11),0)+IF(LEFT(AD11,5)="COGS|",-N(U11),0)+IF(LEFT(AE11,5)="COGS|",-N(T11),0)</f>
        <v/>
      </c>
      <c r="AH11" s="23">
        <f>IF(LEFT(AA11,8)="Expense|",N(R11),0)+IF(LEFT(AB11,8)="Expense|",N(S11),0)+IF(LEFT(AC11,8)="Expense|",-N(L11),0)+IF(LEFT(AD11,8)="Expense|",-N(U11),0)+IF(LEFT(AE11,8)="Expense|",-N(T11),0)</f>
        <v/>
      </c>
      <c r="AI11" s="23">
        <f>IF(ISNUMBER(MATCH(AA11,{"Expense|employee","Expense|general_admin","Expense|marketing","Expense|utilities","Expense|other_operating"},0)),N(R11),0)+IF(ISNUMBER(MATCH(AB11,{"Expense|employee","Expense|general_admin","Expense|marketing","Expense|utilities","Expense|other_operating"},0)),N(S11),0)+IF(ISNUMBER(MATCH(AC11,{"Expense|employee","Expense|general_admin","Expense|marketing","Expense|utilities","Expense|other_operating"},0)),-N(L11),0)+IF(ISNUMBER(MATCH(AD11,{"Expense|employee","Expense|general_admin","Expense|marketing","Expense|utilities","Expense|other_operating"},0)),-N(U11),0)+IF(ISNUMBER(MATCH(AE11,{"Expense|employee","Expense|general_admin","Expense|marketing","Expense|utilities","Expense|other_operating"},0)),-N(T11),0)</f>
        <v/>
      </c>
      <c r="AJ11" s="23">
        <f>IF(AA11="Liability|payable",-N(R11),0)+IF(AB11="Liability|payable",-N(S11),0)+IF(AC11="Liability|payable",N(L11),0)+IF(AD11="Liability|payable",N(U11),0)+IF(AE11="Liability|payable",N(T11),0)</f>
        <v/>
      </c>
      <c r="AK11" s="23">
        <f>IF(AA11="Liability|accrued",-N(R11),0)+IF(AB11="Liability|accrued",-N(S11),0)+IF(AC11="Liability|accrued",N(L11),0)+IF(AD11="Liability|accrued",N(U11),0)+IF(AE11="Liability|accrued",N(T11),0)</f>
        <v/>
      </c>
      <c r="AL11" s="23">
        <f>IF(AND(N(R11)&lt;&gt;0,AA11=""),1,0)+IF(AND(N(S11)&lt;&gt;0,AB11=""),1,0)+IF(AND(N(L11)&lt;&gt;0,AC11=""),1,0)+IF(AND(N(U11)&lt;&gt;0,AD11=""),1,0)+IF(AND(N(T11)&lt;&gt;0,AE11=""),1,0)</f>
        <v/>
      </c>
    </row>
    <row r="12">
      <c r="A12" s="19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20" t="n"/>
      <c r="K12" s="20" t="n"/>
      <c r="L12" s="20" t="n"/>
      <c r="M12" s="14" t="n"/>
      <c r="N12" s="14" t="n"/>
      <c r="O12" s="14" t="n"/>
      <c r="P12" s="14" t="n"/>
      <c r="Q12" s="14" t="n"/>
      <c r="R12" s="21">
        <f>ROUND(N(H12)*N(J12)-N(K12),2)</f>
        <v/>
      </c>
      <c r="S12" s="21">
        <f>ROUND(R12*IFERROR(VLOOKUP(P12,'Tax Codes'!$A$5:$E$300,5,FALSE),0),2)</f>
        <v/>
      </c>
      <c r="T12" s="21">
        <f>ROUND(R12*IFERROR(VLOOKUP(Q12,'Tax Codes'!$A$5:$E$300,5,FALSE),0),2)</f>
        <v/>
      </c>
      <c r="U12" s="21">
        <f>R12+S12-T12-N(L12)</f>
        <v/>
      </c>
      <c r="V12" s="16">
        <f>IF(C12="",INDEX('Chart of Accounts'!$A$5:$A$3000,MATCH("materials",'Chart of Accounts'!$F$5:$F$3000,0)),C12&amp;"")</f>
        <v/>
      </c>
      <c r="W12" s="16">
        <f>IF(N12="",INDEX('Chart of Accounts'!$A$5:$A$3000,MATCH("bank",'Chart of Accounts'!$F$5:$F$3000,0)),N12&amp;"")</f>
        <v/>
      </c>
      <c r="X12" s="16">
        <f>IF(O12="",INDEX('Chart of Accounts'!$A$5:$A$3000,MATCH("ap",'Chart of Accounts'!$F$5:$F$3000,0)),O12&amp;"")</f>
        <v/>
      </c>
      <c r="Y12" s="16">
        <f>INDEX('Chart of Accounts'!$A$5:$A$3000,MATCH("vat_input",'Chart of Accounts'!$F$5:$F$3000,0))</f>
        <v/>
      </c>
      <c r="Z12" s="16">
        <f>INDEX('Chart of Accounts'!$A$5:$A$3000,MATCH("wht_payable",'Chart of Accounts'!$F$5:$F$3000,0))</f>
        <v/>
      </c>
      <c r="AA12" s="23">
        <f>IFERROR(INDEX('Chart of Accounts'!$C$5:$C$3000,MATCH(V12&amp;"",'Chart of Accounts'!$A$5:$A$3000,0))&amp;"|"&amp;INDEX('Chart of Accounts'!$D$5:$D$3000,MATCH(V12&amp;"",'Chart of Accounts'!$A$5:$A$3000,0)),"")</f>
        <v/>
      </c>
      <c r="AB12" s="23">
        <f>IFERROR(INDEX('Chart of Accounts'!$C$5:$C$3000,MATCH(Y12&amp;"",'Chart of Accounts'!$A$5:$A$3000,0))&amp;"|"&amp;INDEX('Chart of Accounts'!$D$5:$D$3000,MATCH(Y12&amp;"",'Chart of Accounts'!$A$5:$A$3000,0)),"")</f>
        <v/>
      </c>
      <c r="AC12" s="23">
        <f>IFERROR(INDEX('Chart of Accounts'!$C$5:$C$3000,MATCH(W12&amp;"",'Chart of Accounts'!$A$5:$A$3000,0))&amp;"|"&amp;INDEX('Chart of Accounts'!$D$5:$D$3000,MATCH(W12&amp;"",'Chart of Accounts'!$A$5:$A$3000,0)),"")</f>
        <v/>
      </c>
      <c r="AD12" s="23">
        <f>IFERROR(INDEX('Chart of Accounts'!$C$5:$C$3000,MATCH(X12&amp;"",'Chart of Accounts'!$A$5:$A$3000,0))&amp;"|"&amp;INDEX('Chart of Accounts'!$D$5:$D$3000,MATCH(X12&amp;"",'Chart of Accounts'!$A$5:$A$3000,0)),"")</f>
        <v/>
      </c>
      <c r="AE12" s="23">
        <f>IFERROR(INDEX('Chart of Accounts'!$C$5:$C$3000,MATCH(Z12&amp;"",'Chart of Accounts'!$A$5:$A$3000,0))&amp;"|"&amp;INDEX('Chart of Accounts'!$D$5:$D$3000,MATCH(Z12&amp;"",'Chart of Accounts'!$A$5:$A$3000,0)),"")</f>
        <v/>
      </c>
      <c r="AF12" s="23">
        <f>IF(LEFT(AA12,8)="Revenue|",-N(R12),0)+IF(LEFT(AB12,8)="Revenue|",-N(S12),0)+IF(LEFT(AC12,8)="Revenue|",N(L12),0)+IF(LEFT(AD12,8)="Revenue|",N(U12),0)+IF(LEFT(AE12,8)="Revenue|",N(T12),0)</f>
        <v/>
      </c>
      <c r="AG12" s="23">
        <f>IF(LEFT(AA12,5)="COGS|",N(R12),0)+IF(LEFT(AB12,5)="COGS|",N(S12),0)+IF(LEFT(AC12,5)="COGS|",-N(L12),0)+IF(LEFT(AD12,5)="COGS|",-N(U12),0)+IF(LEFT(AE12,5)="COGS|",-N(T12),0)</f>
        <v/>
      </c>
      <c r="AH12" s="23">
        <f>IF(LEFT(AA12,8)="Expense|",N(R12),0)+IF(LEFT(AB12,8)="Expense|",N(S12),0)+IF(LEFT(AC12,8)="Expense|",-N(L12),0)+IF(LEFT(AD12,8)="Expense|",-N(U12),0)+IF(LEFT(AE12,8)="Expense|",-N(T12),0)</f>
        <v/>
      </c>
      <c r="AI12" s="23">
        <f>IF(ISNUMBER(MATCH(AA12,{"Expense|employee","Expense|general_admin","Expense|marketing","Expense|utilities","Expense|other_operating"},0)),N(R12),0)+IF(ISNUMBER(MATCH(AB12,{"Expense|employee","Expense|general_admin","Expense|marketing","Expense|utilities","Expense|other_operating"},0)),N(S12),0)+IF(ISNUMBER(MATCH(AC12,{"Expense|employee","Expense|general_admin","Expense|marketing","Expense|utilities","Expense|other_operating"},0)),-N(L12),0)+IF(ISNUMBER(MATCH(AD12,{"Expense|employee","Expense|general_admin","Expense|marketing","Expense|utilities","Expense|other_operating"},0)),-N(U12),0)+IF(ISNUMBER(MATCH(AE12,{"Expense|employee","Expense|general_admin","Expense|marketing","Expense|utilities","Expense|other_operating"},0)),-N(T12),0)</f>
        <v/>
      </c>
      <c r="AJ12" s="23">
        <f>IF(AA12="Liability|payable",-N(R12),0)+IF(AB12="Liability|payable",-N(S12),0)+IF(AC12="Liability|payable",N(L12),0)+IF(AD12="Liability|payable",N(U12),0)+IF(AE12="Liability|payable",N(T12),0)</f>
        <v/>
      </c>
      <c r="AK12" s="23">
        <f>IF(AA12="Liability|accrued",-N(R12),0)+IF(AB12="Liability|accrued",-N(S12),0)+IF(AC12="Liability|accrued",N(L12),0)+IF(AD12="Liability|accrued",N(U12),0)+IF(AE12="Liability|accrued",N(T12),0)</f>
        <v/>
      </c>
      <c r="AL12" s="23">
        <f>IF(AND(N(R12)&lt;&gt;0,AA12=""),1,0)+IF(AND(N(S12)&lt;&gt;0,AB12=""),1,0)+IF(AND(N(L12)&lt;&gt;0,AC12=""),1,0)+IF(AND(N(U12)&lt;&gt;0,AD12=""),1,0)+IF(AND(N(T12)&lt;&gt;0,AE12=""),1,0)</f>
        <v/>
      </c>
    </row>
    <row r="13">
      <c r="A13" s="19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20" t="n"/>
      <c r="K13" s="20" t="n"/>
      <c r="L13" s="20" t="n"/>
      <c r="M13" s="14" t="n"/>
      <c r="N13" s="14" t="n"/>
      <c r="O13" s="14" t="n"/>
      <c r="P13" s="14" t="n"/>
      <c r="Q13" s="14" t="n"/>
      <c r="R13" s="21">
        <f>ROUND(N(H13)*N(J13)-N(K13),2)</f>
        <v/>
      </c>
      <c r="S13" s="21">
        <f>ROUND(R13*IFERROR(VLOOKUP(P13,'Tax Codes'!$A$5:$E$300,5,FALSE),0),2)</f>
        <v/>
      </c>
      <c r="T13" s="21">
        <f>ROUND(R13*IFERROR(VLOOKUP(Q13,'Tax Codes'!$A$5:$E$300,5,FALSE),0),2)</f>
        <v/>
      </c>
      <c r="U13" s="21">
        <f>R13+S13-T13-N(L13)</f>
        <v/>
      </c>
      <c r="V13" s="16">
        <f>IF(C13="",INDEX('Chart of Accounts'!$A$5:$A$3000,MATCH("materials",'Chart of Accounts'!$F$5:$F$3000,0)),C13&amp;"")</f>
        <v/>
      </c>
      <c r="W13" s="16">
        <f>IF(N13="",INDEX('Chart of Accounts'!$A$5:$A$3000,MATCH("bank",'Chart of Accounts'!$F$5:$F$3000,0)),N13&amp;"")</f>
        <v/>
      </c>
      <c r="X13" s="16">
        <f>IF(O13="",INDEX('Chart of Accounts'!$A$5:$A$3000,MATCH("ap",'Chart of Accounts'!$F$5:$F$3000,0)),O13&amp;"")</f>
        <v/>
      </c>
      <c r="Y13" s="16">
        <f>INDEX('Chart of Accounts'!$A$5:$A$3000,MATCH("vat_input",'Chart of Accounts'!$F$5:$F$3000,0))</f>
        <v/>
      </c>
      <c r="Z13" s="16">
        <f>INDEX('Chart of Accounts'!$A$5:$A$3000,MATCH("wht_payable",'Chart of Accounts'!$F$5:$F$3000,0))</f>
        <v/>
      </c>
      <c r="AA13" s="23">
        <f>IFERROR(INDEX('Chart of Accounts'!$C$5:$C$3000,MATCH(V13&amp;"",'Chart of Accounts'!$A$5:$A$3000,0))&amp;"|"&amp;INDEX('Chart of Accounts'!$D$5:$D$3000,MATCH(V13&amp;"",'Chart of Accounts'!$A$5:$A$3000,0)),"")</f>
        <v/>
      </c>
      <c r="AB13" s="23">
        <f>IFERROR(INDEX('Chart of Accounts'!$C$5:$C$3000,MATCH(Y13&amp;"",'Chart of Accounts'!$A$5:$A$3000,0))&amp;"|"&amp;INDEX('Chart of Accounts'!$D$5:$D$3000,MATCH(Y13&amp;"",'Chart of Accounts'!$A$5:$A$3000,0)),"")</f>
        <v/>
      </c>
      <c r="AC13" s="23">
        <f>IFERROR(INDEX('Chart of Accounts'!$C$5:$C$3000,MATCH(W13&amp;"",'Chart of Accounts'!$A$5:$A$3000,0))&amp;"|"&amp;INDEX('Chart of Accounts'!$D$5:$D$3000,MATCH(W13&amp;"",'Chart of Accounts'!$A$5:$A$3000,0)),"")</f>
        <v/>
      </c>
      <c r="AD13" s="23">
        <f>IFERROR(INDEX('Chart of Accounts'!$C$5:$C$3000,MATCH(X13&amp;"",'Chart of Accounts'!$A$5:$A$3000,0))&amp;"|"&amp;INDEX('Chart of Accounts'!$D$5:$D$3000,MATCH(X13&amp;"",'Chart of Accounts'!$A$5:$A$3000,0)),"")</f>
        <v/>
      </c>
      <c r="AE13" s="23">
        <f>IFERROR(INDEX('Chart of Accounts'!$C$5:$C$3000,MATCH(Z13&amp;"",'Chart of Accounts'!$A$5:$A$3000,0))&amp;"|"&amp;INDEX('Chart of Accounts'!$D$5:$D$3000,MATCH(Z13&amp;"",'Chart of Accounts'!$A$5:$A$3000,0)),"")</f>
        <v/>
      </c>
      <c r="AF13" s="23">
        <f>IF(LEFT(AA13,8)="Revenue|",-N(R13),0)+IF(LEFT(AB13,8)="Revenue|",-N(S13),0)+IF(LEFT(AC13,8)="Revenue|",N(L13),0)+IF(LEFT(AD13,8)="Revenue|",N(U13),0)+IF(LEFT(AE13,8)="Revenue|",N(T13),0)</f>
        <v/>
      </c>
      <c r="AG13" s="23">
        <f>IF(LEFT(AA13,5)="COGS|",N(R13),0)+IF(LEFT(AB13,5)="COGS|",N(S13),0)+IF(LEFT(AC13,5)="COGS|",-N(L13),0)+IF(LEFT(AD13,5)="COGS|",-N(U13),0)+IF(LEFT(AE13,5)="COGS|",-N(T13),0)</f>
        <v/>
      </c>
      <c r="AH13" s="23">
        <f>IF(LEFT(AA13,8)="Expense|",N(R13),0)+IF(LEFT(AB13,8)="Expense|",N(S13),0)+IF(LEFT(AC13,8)="Expense|",-N(L13),0)+IF(LEFT(AD13,8)="Expense|",-N(U13),0)+IF(LEFT(AE13,8)="Expense|",-N(T13),0)</f>
        <v/>
      </c>
      <c r="AI13" s="23">
        <f>IF(ISNUMBER(MATCH(AA13,{"Expense|employee","Expense|general_admin","Expense|marketing","Expense|utilities","Expense|other_operating"},0)),N(R13),0)+IF(ISNUMBER(MATCH(AB13,{"Expense|employee","Expense|general_admin","Expense|marketing","Expense|utilities","Expense|other_operating"},0)),N(S13),0)+IF(ISNUMBER(MATCH(AC13,{"Expense|employee","Expense|general_admin","Expense|marketing","Expense|utilities","Expense|other_operating"},0)),-N(L13),0)+IF(ISNUMBER(MATCH(AD13,{"Expense|employee","Expense|general_admin","Expense|marketing","Expense|utilities","Expense|other_operating"},0)),-N(U13),0)+IF(ISNUMBER(MATCH(AE13,{"Expense|employee","Expense|general_admin","Expense|marketing","Expense|utilities","Expense|other_operating"},0)),-N(T13),0)</f>
        <v/>
      </c>
      <c r="AJ13" s="23">
        <f>IF(AA13="Liability|payable",-N(R13),0)+IF(AB13="Liability|payable",-N(S13),0)+IF(AC13="Liability|payable",N(L13),0)+IF(AD13="Liability|payable",N(U13),0)+IF(AE13="Liability|payable",N(T13),0)</f>
        <v/>
      </c>
      <c r="AK13" s="23">
        <f>IF(AA13="Liability|accrued",-N(R13),0)+IF(AB13="Liability|accrued",-N(S13),0)+IF(AC13="Liability|accrued",N(L13),0)+IF(AD13="Liability|accrued",N(U13),0)+IF(AE13="Liability|accrued",N(T13),0)</f>
        <v/>
      </c>
      <c r="AL13" s="23">
        <f>IF(AND(N(R13)&lt;&gt;0,AA13=""),1,0)+IF(AND(N(S13)&lt;&gt;0,AB13=""),1,0)+IF(AND(N(L13)&lt;&gt;0,AC13=""),1,0)+IF(AND(N(U13)&lt;&gt;0,AD13=""),1,0)+IF(AND(N(T13)&lt;&gt;0,AE13=""),1,0)</f>
        <v/>
      </c>
    </row>
    <row r="14">
      <c r="A14" s="19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20" t="n"/>
      <c r="K14" s="20" t="n"/>
      <c r="L14" s="20" t="n"/>
      <c r="M14" s="14" t="n"/>
      <c r="N14" s="14" t="n"/>
      <c r="O14" s="14" t="n"/>
      <c r="P14" s="14" t="n"/>
      <c r="Q14" s="14" t="n"/>
      <c r="R14" s="21">
        <f>ROUND(N(H14)*N(J14)-N(K14),2)</f>
        <v/>
      </c>
      <c r="S14" s="21">
        <f>ROUND(R14*IFERROR(VLOOKUP(P14,'Tax Codes'!$A$5:$E$300,5,FALSE),0),2)</f>
        <v/>
      </c>
      <c r="T14" s="21">
        <f>ROUND(R14*IFERROR(VLOOKUP(Q14,'Tax Codes'!$A$5:$E$300,5,FALSE),0),2)</f>
        <v/>
      </c>
      <c r="U14" s="21">
        <f>R14+S14-T14-N(L14)</f>
        <v/>
      </c>
      <c r="V14" s="16">
        <f>IF(C14="",INDEX('Chart of Accounts'!$A$5:$A$3000,MATCH("materials",'Chart of Accounts'!$F$5:$F$3000,0)),C14&amp;"")</f>
        <v/>
      </c>
      <c r="W14" s="16">
        <f>IF(N14="",INDEX('Chart of Accounts'!$A$5:$A$3000,MATCH("bank",'Chart of Accounts'!$F$5:$F$3000,0)),N14&amp;"")</f>
        <v/>
      </c>
      <c r="X14" s="16">
        <f>IF(O14="",INDEX('Chart of Accounts'!$A$5:$A$3000,MATCH("ap",'Chart of Accounts'!$F$5:$F$3000,0)),O14&amp;"")</f>
        <v/>
      </c>
      <c r="Y14" s="16">
        <f>INDEX('Chart of Accounts'!$A$5:$A$3000,MATCH("vat_input",'Chart of Accounts'!$F$5:$F$3000,0))</f>
        <v/>
      </c>
      <c r="Z14" s="16">
        <f>INDEX('Chart of Accounts'!$A$5:$A$3000,MATCH("wht_payable",'Chart of Accounts'!$F$5:$F$3000,0))</f>
        <v/>
      </c>
      <c r="AA14" s="23">
        <f>IFERROR(INDEX('Chart of Accounts'!$C$5:$C$3000,MATCH(V14&amp;"",'Chart of Accounts'!$A$5:$A$3000,0))&amp;"|"&amp;INDEX('Chart of Accounts'!$D$5:$D$3000,MATCH(V14&amp;"",'Chart of Accounts'!$A$5:$A$3000,0)),"")</f>
        <v/>
      </c>
      <c r="AB14" s="23">
        <f>IFERROR(INDEX('Chart of Accounts'!$C$5:$C$3000,MATCH(Y14&amp;"",'Chart of Accounts'!$A$5:$A$3000,0))&amp;"|"&amp;INDEX('Chart of Accounts'!$D$5:$D$3000,MATCH(Y14&amp;"",'Chart of Accounts'!$A$5:$A$3000,0)),"")</f>
        <v/>
      </c>
      <c r="AC14" s="23">
        <f>IFERROR(INDEX('Chart of Accounts'!$C$5:$C$3000,MATCH(W14&amp;"",'Chart of Accounts'!$A$5:$A$3000,0))&amp;"|"&amp;INDEX('Chart of Accounts'!$D$5:$D$3000,MATCH(W14&amp;"",'Chart of Accounts'!$A$5:$A$3000,0)),"")</f>
        <v/>
      </c>
      <c r="AD14" s="23">
        <f>IFERROR(INDEX('Chart of Accounts'!$C$5:$C$3000,MATCH(X14&amp;"",'Chart of Accounts'!$A$5:$A$3000,0))&amp;"|"&amp;INDEX('Chart of Accounts'!$D$5:$D$3000,MATCH(X14&amp;"",'Chart of Accounts'!$A$5:$A$3000,0)),"")</f>
        <v/>
      </c>
      <c r="AE14" s="23">
        <f>IFERROR(INDEX('Chart of Accounts'!$C$5:$C$3000,MATCH(Z14&amp;"",'Chart of Accounts'!$A$5:$A$3000,0))&amp;"|"&amp;INDEX('Chart of Accounts'!$D$5:$D$3000,MATCH(Z14&amp;"",'Chart of Accounts'!$A$5:$A$3000,0)),"")</f>
        <v/>
      </c>
      <c r="AF14" s="23">
        <f>IF(LEFT(AA14,8)="Revenue|",-N(R14),0)+IF(LEFT(AB14,8)="Revenue|",-N(S14),0)+IF(LEFT(AC14,8)="Revenue|",N(L14),0)+IF(LEFT(AD14,8)="Revenue|",N(U14),0)+IF(LEFT(AE14,8)="Revenue|",N(T14),0)</f>
        <v/>
      </c>
      <c r="AG14" s="23">
        <f>IF(LEFT(AA14,5)="COGS|",N(R14),0)+IF(LEFT(AB14,5)="COGS|",N(S14),0)+IF(LEFT(AC14,5)="COGS|",-N(L14),0)+IF(LEFT(AD14,5)="COGS|",-N(U14),0)+IF(LEFT(AE14,5)="COGS|",-N(T14),0)</f>
        <v/>
      </c>
      <c r="AH14" s="23">
        <f>IF(LEFT(AA14,8)="Expense|",N(R14),0)+IF(LEFT(AB14,8)="Expense|",N(S14),0)+IF(LEFT(AC14,8)="Expense|",-N(L14),0)+IF(LEFT(AD14,8)="Expense|",-N(U14),0)+IF(LEFT(AE14,8)="Expense|",-N(T14),0)</f>
        <v/>
      </c>
      <c r="AI14" s="23">
        <f>IF(ISNUMBER(MATCH(AA14,{"Expense|employee","Expense|general_admin","Expense|marketing","Expense|utilities","Expense|other_operating"},0)),N(R14),0)+IF(ISNUMBER(MATCH(AB14,{"Expense|employee","Expense|general_admin","Expense|marketing","Expense|utilities","Expense|other_operating"},0)),N(S14),0)+IF(ISNUMBER(MATCH(AC14,{"Expense|employee","Expense|general_admin","Expense|marketing","Expense|utilities","Expense|other_operating"},0)),-N(L14),0)+IF(ISNUMBER(MATCH(AD14,{"Expense|employee","Expense|general_admin","Expense|marketing","Expense|utilities","Expense|other_operating"},0)),-N(U14),0)+IF(ISNUMBER(MATCH(AE14,{"Expense|employee","Expense|general_admin","Expense|marketing","Expense|utilities","Expense|other_operating"},0)),-N(T14),0)</f>
        <v/>
      </c>
      <c r="AJ14" s="23">
        <f>IF(AA14="Liability|payable",-N(R14),0)+IF(AB14="Liability|payable",-N(S14),0)+IF(AC14="Liability|payable",N(L14),0)+IF(AD14="Liability|payable",N(U14),0)+IF(AE14="Liability|payable",N(T14),0)</f>
        <v/>
      </c>
      <c r="AK14" s="23">
        <f>IF(AA14="Liability|accrued",-N(R14),0)+IF(AB14="Liability|accrued",-N(S14),0)+IF(AC14="Liability|accrued",N(L14),0)+IF(AD14="Liability|accrued",N(U14),0)+IF(AE14="Liability|accrued",N(T14),0)</f>
        <v/>
      </c>
      <c r="AL14" s="23">
        <f>IF(AND(N(R14)&lt;&gt;0,AA14=""),1,0)+IF(AND(N(S14)&lt;&gt;0,AB14=""),1,0)+IF(AND(N(L14)&lt;&gt;0,AC14=""),1,0)+IF(AND(N(U14)&lt;&gt;0,AD14=""),1,0)+IF(AND(N(T14)&lt;&gt;0,AE14=""),1,0)</f>
        <v/>
      </c>
    </row>
    <row r="15">
      <c r="A15" s="19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20" t="n"/>
      <c r="K15" s="20" t="n"/>
      <c r="L15" s="20" t="n"/>
      <c r="M15" s="14" t="n"/>
      <c r="N15" s="14" t="n"/>
      <c r="O15" s="14" t="n"/>
      <c r="P15" s="14" t="n"/>
      <c r="Q15" s="14" t="n"/>
      <c r="R15" s="21">
        <f>ROUND(N(H15)*N(J15)-N(K15),2)</f>
        <v/>
      </c>
      <c r="S15" s="21">
        <f>ROUND(R15*IFERROR(VLOOKUP(P15,'Tax Codes'!$A$5:$E$300,5,FALSE),0),2)</f>
        <v/>
      </c>
      <c r="T15" s="21">
        <f>ROUND(R15*IFERROR(VLOOKUP(Q15,'Tax Codes'!$A$5:$E$300,5,FALSE),0),2)</f>
        <v/>
      </c>
      <c r="U15" s="21">
        <f>R15+S15-T15-N(L15)</f>
        <v/>
      </c>
      <c r="V15" s="16">
        <f>IF(C15="",INDEX('Chart of Accounts'!$A$5:$A$3000,MATCH("materials",'Chart of Accounts'!$F$5:$F$3000,0)),C15&amp;"")</f>
        <v/>
      </c>
      <c r="W15" s="16">
        <f>IF(N15="",INDEX('Chart of Accounts'!$A$5:$A$3000,MATCH("bank",'Chart of Accounts'!$F$5:$F$3000,0)),N15&amp;"")</f>
        <v/>
      </c>
      <c r="X15" s="16">
        <f>IF(O15="",INDEX('Chart of Accounts'!$A$5:$A$3000,MATCH("ap",'Chart of Accounts'!$F$5:$F$3000,0)),O15&amp;"")</f>
        <v/>
      </c>
      <c r="Y15" s="16">
        <f>INDEX('Chart of Accounts'!$A$5:$A$3000,MATCH("vat_input",'Chart of Accounts'!$F$5:$F$3000,0))</f>
        <v/>
      </c>
      <c r="Z15" s="16">
        <f>INDEX('Chart of Accounts'!$A$5:$A$3000,MATCH("wht_payable",'Chart of Accounts'!$F$5:$F$3000,0))</f>
        <v/>
      </c>
      <c r="AA15" s="23">
        <f>IFERROR(INDEX('Chart of Accounts'!$C$5:$C$3000,MATCH(V15&amp;"",'Chart of Accounts'!$A$5:$A$3000,0))&amp;"|"&amp;INDEX('Chart of Accounts'!$D$5:$D$3000,MATCH(V15&amp;"",'Chart of Accounts'!$A$5:$A$3000,0)),"")</f>
        <v/>
      </c>
      <c r="AB15" s="23">
        <f>IFERROR(INDEX('Chart of Accounts'!$C$5:$C$3000,MATCH(Y15&amp;"",'Chart of Accounts'!$A$5:$A$3000,0))&amp;"|"&amp;INDEX('Chart of Accounts'!$D$5:$D$3000,MATCH(Y15&amp;"",'Chart of Accounts'!$A$5:$A$3000,0)),"")</f>
        <v/>
      </c>
      <c r="AC15" s="23">
        <f>IFERROR(INDEX('Chart of Accounts'!$C$5:$C$3000,MATCH(W15&amp;"",'Chart of Accounts'!$A$5:$A$3000,0))&amp;"|"&amp;INDEX('Chart of Accounts'!$D$5:$D$3000,MATCH(W15&amp;"",'Chart of Accounts'!$A$5:$A$3000,0)),"")</f>
        <v/>
      </c>
      <c r="AD15" s="23">
        <f>IFERROR(INDEX('Chart of Accounts'!$C$5:$C$3000,MATCH(X15&amp;"",'Chart of Accounts'!$A$5:$A$3000,0))&amp;"|"&amp;INDEX('Chart of Accounts'!$D$5:$D$3000,MATCH(X15&amp;"",'Chart of Accounts'!$A$5:$A$3000,0)),"")</f>
        <v/>
      </c>
      <c r="AE15" s="23">
        <f>IFERROR(INDEX('Chart of Accounts'!$C$5:$C$3000,MATCH(Z15&amp;"",'Chart of Accounts'!$A$5:$A$3000,0))&amp;"|"&amp;INDEX('Chart of Accounts'!$D$5:$D$3000,MATCH(Z15&amp;"",'Chart of Accounts'!$A$5:$A$3000,0)),"")</f>
        <v/>
      </c>
      <c r="AF15" s="23">
        <f>IF(LEFT(AA15,8)="Revenue|",-N(R15),0)+IF(LEFT(AB15,8)="Revenue|",-N(S15),0)+IF(LEFT(AC15,8)="Revenue|",N(L15),0)+IF(LEFT(AD15,8)="Revenue|",N(U15),0)+IF(LEFT(AE15,8)="Revenue|",N(T15),0)</f>
        <v/>
      </c>
      <c r="AG15" s="23">
        <f>IF(LEFT(AA15,5)="COGS|",N(R15),0)+IF(LEFT(AB15,5)="COGS|",N(S15),0)+IF(LEFT(AC15,5)="COGS|",-N(L15),0)+IF(LEFT(AD15,5)="COGS|",-N(U15),0)+IF(LEFT(AE15,5)="COGS|",-N(T15),0)</f>
        <v/>
      </c>
      <c r="AH15" s="23">
        <f>IF(LEFT(AA15,8)="Expense|",N(R15),0)+IF(LEFT(AB15,8)="Expense|",N(S15),0)+IF(LEFT(AC15,8)="Expense|",-N(L15),0)+IF(LEFT(AD15,8)="Expense|",-N(U15),0)+IF(LEFT(AE15,8)="Expense|",-N(T15),0)</f>
        <v/>
      </c>
      <c r="AI15" s="23">
        <f>IF(ISNUMBER(MATCH(AA15,{"Expense|employee","Expense|general_admin","Expense|marketing","Expense|utilities","Expense|other_operating"},0)),N(R15),0)+IF(ISNUMBER(MATCH(AB15,{"Expense|employee","Expense|general_admin","Expense|marketing","Expense|utilities","Expense|other_operating"},0)),N(S15),0)+IF(ISNUMBER(MATCH(AC15,{"Expense|employee","Expense|general_admin","Expense|marketing","Expense|utilities","Expense|other_operating"},0)),-N(L15),0)+IF(ISNUMBER(MATCH(AD15,{"Expense|employee","Expense|general_admin","Expense|marketing","Expense|utilities","Expense|other_operating"},0)),-N(U15),0)+IF(ISNUMBER(MATCH(AE15,{"Expense|employee","Expense|general_admin","Expense|marketing","Expense|utilities","Expense|other_operating"},0)),-N(T15),0)</f>
        <v/>
      </c>
      <c r="AJ15" s="23">
        <f>IF(AA15="Liability|payable",-N(R15),0)+IF(AB15="Liability|payable",-N(S15),0)+IF(AC15="Liability|payable",N(L15),0)+IF(AD15="Liability|payable",N(U15),0)+IF(AE15="Liability|payable",N(T15),0)</f>
        <v/>
      </c>
      <c r="AK15" s="23">
        <f>IF(AA15="Liability|accrued",-N(R15),0)+IF(AB15="Liability|accrued",-N(S15),0)+IF(AC15="Liability|accrued",N(L15),0)+IF(AD15="Liability|accrued",N(U15),0)+IF(AE15="Liability|accrued",N(T15),0)</f>
        <v/>
      </c>
      <c r="AL15" s="23">
        <f>IF(AND(N(R15)&lt;&gt;0,AA15=""),1,0)+IF(AND(N(S15)&lt;&gt;0,AB15=""),1,0)+IF(AND(N(L15)&lt;&gt;0,AC15=""),1,0)+IF(AND(N(U15)&lt;&gt;0,AD15=""),1,0)+IF(AND(N(T15)&lt;&gt;0,AE15=""),1,0)</f>
        <v/>
      </c>
    </row>
    <row r="16">
      <c r="A16" s="19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20" t="n"/>
      <c r="K16" s="20" t="n"/>
      <c r="L16" s="20" t="n"/>
      <c r="M16" s="14" t="n"/>
      <c r="N16" s="14" t="n"/>
      <c r="O16" s="14" t="n"/>
      <c r="P16" s="14" t="n"/>
      <c r="Q16" s="14" t="n"/>
      <c r="R16" s="21">
        <f>ROUND(N(H16)*N(J16)-N(K16),2)</f>
        <v/>
      </c>
      <c r="S16" s="21">
        <f>ROUND(R16*IFERROR(VLOOKUP(P16,'Tax Codes'!$A$5:$E$300,5,FALSE),0),2)</f>
        <v/>
      </c>
      <c r="T16" s="21">
        <f>ROUND(R16*IFERROR(VLOOKUP(Q16,'Tax Codes'!$A$5:$E$300,5,FALSE),0),2)</f>
        <v/>
      </c>
      <c r="U16" s="21">
        <f>R16+S16-T16-N(L16)</f>
        <v/>
      </c>
      <c r="V16" s="16">
        <f>IF(C16="",INDEX('Chart of Accounts'!$A$5:$A$3000,MATCH("materials",'Chart of Accounts'!$F$5:$F$3000,0)),C16&amp;"")</f>
        <v/>
      </c>
      <c r="W16" s="16">
        <f>IF(N16="",INDEX('Chart of Accounts'!$A$5:$A$3000,MATCH("bank",'Chart of Accounts'!$F$5:$F$3000,0)),N16&amp;"")</f>
        <v/>
      </c>
      <c r="X16" s="16">
        <f>IF(O16="",INDEX('Chart of Accounts'!$A$5:$A$3000,MATCH("ap",'Chart of Accounts'!$F$5:$F$3000,0)),O16&amp;"")</f>
        <v/>
      </c>
      <c r="Y16" s="16">
        <f>INDEX('Chart of Accounts'!$A$5:$A$3000,MATCH("vat_input",'Chart of Accounts'!$F$5:$F$3000,0))</f>
        <v/>
      </c>
      <c r="Z16" s="16">
        <f>INDEX('Chart of Accounts'!$A$5:$A$3000,MATCH("wht_payable",'Chart of Accounts'!$F$5:$F$3000,0))</f>
        <v/>
      </c>
      <c r="AA16" s="23">
        <f>IFERROR(INDEX('Chart of Accounts'!$C$5:$C$3000,MATCH(V16&amp;"",'Chart of Accounts'!$A$5:$A$3000,0))&amp;"|"&amp;INDEX('Chart of Accounts'!$D$5:$D$3000,MATCH(V16&amp;"",'Chart of Accounts'!$A$5:$A$3000,0)),"")</f>
        <v/>
      </c>
      <c r="AB16" s="23">
        <f>IFERROR(INDEX('Chart of Accounts'!$C$5:$C$3000,MATCH(Y16&amp;"",'Chart of Accounts'!$A$5:$A$3000,0))&amp;"|"&amp;INDEX('Chart of Accounts'!$D$5:$D$3000,MATCH(Y16&amp;"",'Chart of Accounts'!$A$5:$A$3000,0)),"")</f>
        <v/>
      </c>
      <c r="AC16" s="23">
        <f>IFERROR(INDEX('Chart of Accounts'!$C$5:$C$3000,MATCH(W16&amp;"",'Chart of Accounts'!$A$5:$A$3000,0))&amp;"|"&amp;INDEX('Chart of Accounts'!$D$5:$D$3000,MATCH(W16&amp;"",'Chart of Accounts'!$A$5:$A$3000,0)),"")</f>
        <v/>
      </c>
      <c r="AD16" s="23">
        <f>IFERROR(INDEX('Chart of Accounts'!$C$5:$C$3000,MATCH(X16&amp;"",'Chart of Accounts'!$A$5:$A$3000,0))&amp;"|"&amp;INDEX('Chart of Accounts'!$D$5:$D$3000,MATCH(X16&amp;"",'Chart of Accounts'!$A$5:$A$3000,0)),"")</f>
        <v/>
      </c>
      <c r="AE16" s="23">
        <f>IFERROR(INDEX('Chart of Accounts'!$C$5:$C$3000,MATCH(Z16&amp;"",'Chart of Accounts'!$A$5:$A$3000,0))&amp;"|"&amp;INDEX('Chart of Accounts'!$D$5:$D$3000,MATCH(Z16&amp;"",'Chart of Accounts'!$A$5:$A$3000,0)),"")</f>
        <v/>
      </c>
      <c r="AF16" s="23">
        <f>IF(LEFT(AA16,8)="Revenue|",-N(R16),0)+IF(LEFT(AB16,8)="Revenue|",-N(S16),0)+IF(LEFT(AC16,8)="Revenue|",N(L16),0)+IF(LEFT(AD16,8)="Revenue|",N(U16),0)+IF(LEFT(AE16,8)="Revenue|",N(T16),0)</f>
        <v/>
      </c>
      <c r="AG16" s="23">
        <f>IF(LEFT(AA16,5)="COGS|",N(R16),0)+IF(LEFT(AB16,5)="COGS|",N(S16),0)+IF(LEFT(AC16,5)="COGS|",-N(L16),0)+IF(LEFT(AD16,5)="COGS|",-N(U16),0)+IF(LEFT(AE16,5)="COGS|",-N(T16),0)</f>
        <v/>
      </c>
      <c r="AH16" s="23">
        <f>IF(LEFT(AA16,8)="Expense|",N(R16),0)+IF(LEFT(AB16,8)="Expense|",N(S16),0)+IF(LEFT(AC16,8)="Expense|",-N(L16),0)+IF(LEFT(AD16,8)="Expense|",-N(U16),0)+IF(LEFT(AE16,8)="Expense|",-N(T16),0)</f>
        <v/>
      </c>
      <c r="AI16" s="23">
        <f>IF(ISNUMBER(MATCH(AA16,{"Expense|employee","Expense|general_admin","Expense|marketing","Expense|utilities","Expense|other_operating"},0)),N(R16),0)+IF(ISNUMBER(MATCH(AB16,{"Expense|employee","Expense|general_admin","Expense|marketing","Expense|utilities","Expense|other_operating"},0)),N(S16),0)+IF(ISNUMBER(MATCH(AC16,{"Expense|employee","Expense|general_admin","Expense|marketing","Expense|utilities","Expense|other_operating"},0)),-N(L16),0)+IF(ISNUMBER(MATCH(AD16,{"Expense|employee","Expense|general_admin","Expense|marketing","Expense|utilities","Expense|other_operating"},0)),-N(U16),0)+IF(ISNUMBER(MATCH(AE16,{"Expense|employee","Expense|general_admin","Expense|marketing","Expense|utilities","Expense|other_operating"},0)),-N(T16),0)</f>
        <v/>
      </c>
      <c r="AJ16" s="23">
        <f>IF(AA16="Liability|payable",-N(R16),0)+IF(AB16="Liability|payable",-N(S16),0)+IF(AC16="Liability|payable",N(L16),0)+IF(AD16="Liability|payable",N(U16),0)+IF(AE16="Liability|payable",N(T16),0)</f>
        <v/>
      </c>
      <c r="AK16" s="23">
        <f>IF(AA16="Liability|accrued",-N(R16),0)+IF(AB16="Liability|accrued",-N(S16),0)+IF(AC16="Liability|accrued",N(L16),0)+IF(AD16="Liability|accrued",N(U16),0)+IF(AE16="Liability|accrued",N(T16),0)</f>
        <v/>
      </c>
      <c r="AL16" s="23">
        <f>IF(AND(N(R16)&lt;&gt;0,AA16=""),1,0)+IF(AND(N(S16)&lt;&gt;0,AB16=""),1,0)+IF(AND(N(L16)&lt;&gt;0,AC16=""),1,0)+IF(AND(N(U16)&lt;&gt;0,AD16=""),1,0)+IF(AND(N(T16)&lt;&gt;0,AE16=""),1,0)</f>
        <v/>
      </c>
    </row>
    <row r="17">
      <c r="A17" s="19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20" t="n"/>
      <c r="K17" s="20" t="n"/>
      <c r="L17" s="20" t="n"/>
      <c r="M17" s="14" t="n"/>
      <c r="N17" s="14" t="n"/>
      <c r="O17" s="14" t="n"/>
      <c r="P17" s="14" t="n"/>
      <c r="Q17" s="14" t="n"/>
      <c r="R17" s="21">
        <f>ROUND(N(H17)*N(J17)-N(K17),2)</f>
        <v/>
      </c>
      <c r="S17" s="21">
        <f>ROUND(R17*IFERROR(VLOOKUP(P17,'Tax Codes'!$A$5:$E$300,5,FALSE),0),2)</f>
        <v/>
      </c>
      <c r="T17" s="21">
        <f>ROUND(R17*IFERROR(VLOOKUP(Q17,'Tax Codes'!$A$5:$E$300,5,FALSE),0),2)</f>
        <v/>
      </c>
      <c r="U17" s="21">
        <f>R17+S17-T17-N(L17)</f>
        <v/>
      </c>
      <c r="V17" s="16">
        <f>IF(C17="",INDEX('Chart of Accounts'!$A$5:$A$3000,MATCH("materials",'Chart of Accounts'!$F$5:$F$3000,0)),C17&amp;"")</f>
        <v/>
      </c>
      <c r="W17" s="16">
        <f>IF(N17="",INDEX('Chart of Accounts'!$A$5:$A$3000,MATCH("bank",'Chart of Accounts'!$F$5:$F$3000,0)),N17&amp;"")</f>
        <v/>
      </c>
      <c r="X17" s="16">
        <f>IF(O17="",INDEX('Chart of Accounts'!$A$5:$A$3000,MATCH("ap",'Chart of Accounts'!$F$5:$F$3000,0)),O17&amp;"")</f>
        <v/>
      </c>
      <c r="Y17" s="16">
        <f>INDEX('Chart of Accounts'!$A$5:$A$3000,MATCH("vat_input",'Chart of Accounts'!$F$5:$F$3000,0))</f>
        <v/>
      </c>
      <c r="Z17" s="16">
        <f>INDEX('Chart of Accounts'!$A$5:$A$3000,MATCH("wht_payable",'Chart of Accounts'!$F$5:$F$3000,0))</f>
        <v/>
      </c>
      <c r="AA17" s="23">
        <f>IFERROR(INDEX('Chart of Accounts'!$C$5:$C$3000,MATCH(V17&amp;"",'Chart of Accounts'!$A$5:$A$3000,0))&amp;"|"&amp;INDEX('Chart of Accounts'!$D$5:$D$3000,MATCH(V17&amp;"",'Chart of Accounts'!$A$5:$A$3000,0)),"")</f>
        <v/>
      </c>
      <c r="AB17" s="23">
        <f>IFERROR(INDEX('Chart of Accounts'!$C$5:$C$3000,MATCH(Y17&amp;"",'Chart of Accounts'!$A$5:$A$3000,0))&amp;"|"&amp;INDEX('Chart of Accounts'!$D$5:$D$3000,MATCH(Y17&amp;"",'Chart of Accounts'!$A$5:$A$3000,0)),"")</f>
        <v/>
      </c>
      <c r="AC17" s="23">
        <f>IFERROR(INDEX('Chart of Accounts'!$C$5:$C$3000,MATCH(W17&amp;"",'Chart of Accounts'!$A$5:$A$3000,0))&amp;"|"&amp;INDEX('Chart of Accounts'!$D$5:$D$3000,MATCH(W17&amp;"",'Chart of Accounts'!$A$5:$A$3000,0)),"")</f>
        <v/>
      </c>
      <c r="AD17" s="23">
        <f>IFERROR(INDEX('Chart of Accounts'!$C$5:$C$3000,MATCH(X17&amp;"",'Chart of Accounts'!$A$5:$A$3000,0))&amp;"|"&amp;INDEX('Chart of Accounts'!$D$5:$D$3000,MATCH(X17&amp;"",'Chart of Accounts'!$A$5:$A$3000,0)),"")</f>
        <v/>
      </c>
      <c r="AE17" s="23">
        <f>IFERROR(INDEX('Chart of Accounts'!$C$5:$C$3000,MATCH(Z17&amp;"",'Chart of Accounts'!$A$5:$A$3000,0))&amp;"|"&amp;INDEX('Chart of Accounts'!$D$5:$D$3000,MATCH(Z17&amp;"",'Chart of Accounts'!$A$5:$A$3000,0)),"")</f>
        <v/>
      </c>
      <c r="AF17" s="23">
        <f>IF(LEFT(AA17,8)="Revenue|",-N(R17),0)+IF(LEFT(AB17,8)="Revenue|",-N(S17),0)+IF(LEFT(AC17,8)="Revenue|",N(L17),0)+IF(LEFT(AD17,8)="Revenue|",N(U17),0)+IF(LEFT(AE17,8)="Revenue|",N(T17),0)</f>
        <v/>
      </c>
      <c r="AG17" s="23">
        <f>IF(LEFT(AA17,5)="COGS|",N(R17),0)+IF(LEFT(AB17,5)="COGS|",N(S17),0)+IF(LEFT(AC17,5)="COGS|",-N(L17),0)+IF(LEFT(AD17,5)="COGS|",-N(U17),0)+IF(LEFT(AE17,5)="COGS|",-N(T17),0)</f>
        <v/>
      </c>
      <c r="AH17" s="23">
        <f>IF(LEFT(AA17,8)="Expense|",N(R17),0)+IF(LEFT(AB17,8)="Expense|",N(S17),0)+IF(LEFT(AC17,8)="Expense|",-N(L17),0)+IF(LEFT(AD17,8)="Expense|",-N(U17),0)+IF(LEFT(AE17,8)="Expense|",-N(T17),0)</f>
        <v/>
      </c>
      <c r="AI17" s="23">
        <f>IF(ISNUMBER(MATCH(AA17,{"Expense|employee","Expense|general_admin","Expense|marketing","Expense|utilities","Expense|other_operating"},0)),N(R17),0)+IF(ISNUMBER(MATCH(AB17,{"Expense|employee","Expense|general_admin","Expense|marketing","Expense|utilities","Expense|other_operating"},0)),N(S17),0)+IF(ISNUMBER(MATCH(AC17,{"Expense|employee","Expense|general_admin","Expense|marketing","Expense|utilities","Expense|other_operating"},0)),-N(L17),0)+IF(ISNUMBER(MATCH(AD17,{"Expense|employee","Expense|general_admin","Expense|marketing","Expense|utilities","Expense|other_operating"},0)),-N(U17),0)+IF(ISNUMBER(MATCH(AE17,{"Expense|employee","Expense|general_admin","Expense|marketing","Expense|utilities","Expense|other_operating"},0)),-N(T17),0)</f>
        <v/>
      </c>
      <c r="AJ17" s="23">
        <f>IF(AA17="Liability|payable",-N(R17),0)+IF(AB17="Liability|payable",-N(S17),0)+IF(AC17="Liability|payable",N(L17),0)+IF(AD17="Liability|payable",N(U17),0)+IF(AE17="Liability|payable",N(T17),0)</f>
        <v/>
      </c>
      <c r="AK17" s="23">
        <f>IF(AA17="Liability|accrued",-N(R17),0)+IF(AB17="Liability|accrued",-N(S17),0)+IF(AC17="Liability|accrued",N(L17),0)+IF(AD17="Liability|accrued",N(U17),0)+IF(AE17="Liability|accrued",N(T17),0)</f>
        <v/>
      </c>
      <c r="AL17" s="23">
        <f>IF(AND(N(R17)&lt;&gt;0,AA17=""),1,0)+IF(AND(N(S17)&lt;&gt;0,AB17=""),1,0)+IF(AND(N(L17)&lt;&gt;0,AC17=""),1,0)+IF(AND(N(U17)&lt;&gt;0,AD17=""),1,0)+IF(AND(N(T17)&lt;&gt;0,AE17=""),1,0)</f>
        <v/>
      </c>
    </row>
    <row r="18">
      <c r="A18" s="19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20" t="n"/>
      <c r="K18" s="20" t="n"/>
      <c r="L18" s="20" t="n"/>
      <c r="M18" s="14" t="n"/>
      <c r="N18" s="14" t="n"/>
      <c r="O18" s="14" t="n"/>
      <c r="P18" s="14" t="n"/>
      <c r="Q18" s="14" t="n"/>
      <c r="R18" s="21">
        <f>ROUND(N(H18)*N(J18)-N(K18),2)</f>
        <v/>
      </c>
      <c r="S18" s="21">
        <f>ROUND(R18*IFERROR(VLOOKUP(P18,'Tax Codes'!$A$5:$E$300,5,FALSE),0),2)</f>
        <v/>
      </c>
      <c r="T18" s="21">
        <f>ROUND(R18*IFERROR(VLOOKUP(Q18,'Tax Codes'!$A$5:$E$300,5,FALSE),0),2)</f>
        <v/>
      </c>
      <c r="U18" s="21">
        <f>R18+S18-T18-N(L18)</f>
        <v/>
      </c>
      <c r="V18" s="16">
        <f>IF(C18="",INDEX('Chart of Accounts'!$A$5:$A$3000,MATCH("materials",'Chart of Accounts'!$F$5:$F$3000,0)),C18&amp;"")</f>
        <v/>
      </c>
      <c r="W18" s="16">
        <f>IF(N18="",INDEX('Chart of Accounts'!$A$5:$A$3000,MATCH("bank",'Chart of Accounts'!$F$5:$F$3000,0)),N18&amp;"")</f>
        <v/>
      </c>
      <c r="X18" s="16">
        <f>IF(O18="",INDEX('Chart of Accounts'!$A$5:$A$3000,MATCH("ap",'Chart of Accounts'!$F$5:$F$3000,0)),O18&amp;"")</f>
        <v/>
      </c>
      <c r="Y18" s="16">
        <f>INDEX('Chart of Accounts'!$A$5:$A$3000,MATCH("vat_input",'Chart of Accounts'!$F$5:$F$3000,0))</f>
        <v/>
      </c>
      <c r="Z18" s="16">
        <f>INDEX('Chart of Accounts'!$A$5:$A$3000,MATCH("wht_payable",'Chart of Accounts'!$F$5:$F$3000,0))</f>
        <v/>
      </c>
      <c r="AA18" s="23">
        <f>IFERROR(INDEX('Chart of Accounts'!$C$5:$C$3000,MATCH(V18&amp;"",'Chart of Accounts'!$A$5:$A$3000,0))&amp;"|"&amp;INDEX('Chart of Accounts'!$D$5:$D$3000,MATCH(V18&amp;"",'Chart of Accounts'!$A$5:$A$3000,0)),"")</f>
        <v/>
      </c>
      <c r="AB18" s="23">
        <f>IFERROR(INDEX('Chart of Accounts'!$C$5:$C$3000,MATCH(Y18&amp;"",'Chart of Accounts'!$A$5:$A$3000,0))&amp;"|"&amp;INDEX('Chart of Accounts'!$D$5:$D$3000,MATCH(Y18&amp;"",'Chart of Accounts'!$A$5:$A$3000,0)),"")</f>
        <v/>
      </c>
      <c r="AC18" s="23">
        <f>IFERROR(INDEX('Chart of Accounts'!$C$5:$C$3000,MATCH(W18&amp;"",'Chart of Accounts'!$A$5:$A$3000,0))&amp;"|"&amp;INDEX('Chart of Accounts'!$D$5:$D$3000,MATCH(W18&amp;"",'Chart of Accounts'!$A$5:$A$3000,0)),"")</f>
        <v/>
      </c>
      <c r="AD18" s="23">
        <f>IFERROR(INDEX('Chart of Accounts'!$C$5:$C$3000,MATCH(X18&amp;"",'Chart of Accounts'!$A$5:$A$3000,0))&amp;"|"&amp;INDEX('Chart of Accounts'!$D$5:$D$3000,MATCH(X18&amp;"",'Chart of Accounts'!$A$5:$A$3000,0)),"")</f>
        <v/>
      </c>
      <c r="AE18" s="23">
        <f>IFERROR(INDEX('Chart of Accounts'!$C$5:$C$3000,MATCH(Z18&amp;"",'Chart of Accounts'!$A$5:$A$3000,0))&amp;"|"&amp;INDEX('Chart of Accounts'!$D$5:$D$3000,MATCH(Z18&amp;"",'Chart of Accounts'!$A$5:$A$3000,0)),"")</f>
        <v/>
      </c>
      <c r="AF18" s="23">
        <f>IF(LEFT(AA18,8)="Revenue|",-N(R18),0)+IF(LEFT(AB18,8)="Revenue|",-N(S18),0)+IF(LEFT(AC18,8)="Revenue|",N(L18),0)+IF(LEFT(AD18,8)="Revenue|",N(U18),0)+IF(LEFT(AE18,8)="Revenue|",N(T18),0)</f>
        <v/>
      </c>
      <c r="AG18" s="23">
        <f>IF(LEFT(AA18,5)="COGS|",N(R18),0)+IF(LEFT(AB18,5)="COGS|",N(S18),0)+IF(LEFT(AC18,5)="COGS|",-N(L18),0)+IF(LEFT(AD18,5)="COGS|",-N(U18),0)+IF(LEFT(AE18,5)="COGS|",-N(T18),0)</f>
        <v/>
      </c>
      <c r="AH18" s="23">
        <f>IF(LEFT(AA18,8)="Expense|",N(R18),0)+IF(LEFT(AB18,8)="Expense|",N(S18),0)+IF(LEFT(AC18,8)="Expense|",-N(L18),0)+IF(LEFT(AD18,8)="Expense|",-N(U18),0)+IF(LEFT(AE18,8)="Expense|",-N(T18),0)</f>
        <v/>
      </c>
      <c r="AI18" s="23">
        <f>IF(ISNUMBER(MATCH(AA18,{"Expense|employee","Expense|general_admin","Expense|marketing","Expense|utilities","Expense|other_operating"},0)),N(R18),0)+IF(ISNUMBER(MATCH(AB18,{"Expense|employee","Expense|general_admin","Expense|marketing","Expense|utilities","Expense|other_operating"},0)),N(S18),0)+IF(ISNUMBER(MATCH(AC18,{"Expense|employee","Expense|general_admin","Expense|marketing","Expense|utilities","Expense|other_operating"},0)),-N(L18),0)+IF(ISNUMBER(MATCH(AD18,{"Expense|employee","Expense|general_admin","Expense|marketing","Expense|utilities","Expense|other_operating"},0)),-N(U18),0)+IF(ISNUMBER(MATCH(AE18,{"Expense|employee","Expense|general_admin","Expense|marketing","Expense|utilities","Expense|other_operating"},0)),-N(T18),0)</f>
        <v/>
      </c>
      <c r="AJ18" s="23">
        <f>IF(AA18="Liability|payable",-N(R18),0)+IF(AB18="Liability|payable",-N(S18),0)+IF(AC18="Liability|payable",N(L18),0)+IF(AD18="Liability|payable",N(U18),0)+IF(AE18="Liability|payable",N(T18),0)</f>
        <v/>
      </c>
      <c r="AK18" s="23">
        <f>IF(AA18="Liability|accrued",-N(R18),0)+IF(AB18="Liability|accrued",-N(S18),0)+IF(AC18="Liability|accrued",N(L18),0)+IF(AD18="Liability|accrued",N(U18),0)+IF(AE18="Liability|accrued",N(T18),0)</f>
        <v/>
      </c>
      <c r="AL18" s="23">
        <f>IF(AND(N(R18)&lt;&gt;0,AA18=""),1,0)+IF(AND(N(S18)&lt;&gt;0,AB18=""),1,0)+IF(AND(N(L18)&lt;&gt;0,AC18=""),1,0)+IF(AND(N(U18)&lt;&gt;0,AD18=""),1,0)+IF(AND(N(T18)&lt;&gt;0,AE18=""),1,0)</f>
        <v/>
      </c>
    </row>
    <row r="19">
      <c r="A19" s="19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20" t="n"/>
      <c r="K19" s="20" t="n"/>
      <c r="L19" s="20" t="n"/>
      <c r="M19" s="14" t="n"/>
      <c r="N19" s="14" t="n"/>
      <c r="O19" s="14" t="n"/>
      <c r="P19" s="14" t="n"/>
      <c r="Q19" s="14" t="n"/>
      <c r="R19" s="21">
        <f>ROUND(N(H19)*N(J19)-N(K19),2)</f>
        <v/>
      </c>
      <c r="S19" s="21">
        <f>ROUND(R19*IFERROR(VLOOKUP(P19,'Tax Codes'!$A$5:$E$300,5,FALSE),0),2)</f>
        <v/>
      </c>
      <c r="T19" s="21">
        <f>ROUND(R19*IFERROR(VLOOKUP(Q19,'Tax Codes'!$A$5:$E$300,5,FALSE),0),2)</f>
        <v/>
      </c>
      <c r="U19" s="21">
        <f>R19+S19-T19-N(L19)</f>
        <v/>
      </c>
      <c r="V19" s="16">
        <f>IF(C19="",INDEX('Chart of Accounts'!$A$5:$A$3000,MATCH("materials",'Chart of Accounts'!$F$5:$F$3000,0)),C19&amp;"")</f>
        <v/>
      </c>
      <c r="W19" s="16">
        <f>IF(N19="",INDEX('Chart of Accounts'!$A$5:$A$3000,MATCH("bank",'Chart of Accounts'!$F$5:$F$3000,0)),N19&amp;"")</f>
        <v/>
      </c>
      <c r="X19" s="16">
        <f>IF(O19="",INDEX('Chart of Accounts'!$A$5:$A$3000,MATCH("ap",'Chart of Accounts'!$F$5:$F$3000,0)),O19&amp;"")</f>
        <v/>
      </c>
      <c r="Y19" s="16">
        <f>INDEX('Chart of Accounts'!$A$5:$A$3000,MATCH("vat_input",'Chart of Accounts'!$F$5:$F$3000,0))</f>
        <v/>
      </c>
      <c r="Z19" s="16">
        <f>INDEX('Chart of Accounts'!$A$5:$A$3000,MATCH("wht_payable",'Chart of Accounts'!$F$5:$F$3000,0))</f>
        <v/>
      </c>
      <c r="AA19" s="23">
        <f>IFERROR(INDEX('Chart of Accounts'!$C$5:$C$3000,MATCH(V19&amp;"",'Chart of Accounts'!$A$5:$A$3000,0))&amp;"|"&amp;INDEX('Chart of Accounts'!$D$5:$D$3000,MATCH(V19&amp;"",'Chart of Accounts'!$A$5:$A$3000,0)),"")</f>
        <v/>
      </c>
      <c r="AB19" s="23">
        <f>IFERROR(INDEX('Chart of Accounts'!$C$5:$C$3000,MATCH(Y19&amp;"",'Chart of Accounts'!$A$5:$A$3000,0))&amp;"|"&amp;INDEX('Chart of Accounts'!$D$5:$D$3000,MATCH(Y19&amp;"",'Chart of Accounts'!$A$5:$A$3000,0)),"")</f>
        <v/>
      </c>
      <c r="AC19" s="23">
        <f>IFERROR(INDEX('Chart of Accounts'!$C$5:$C$3000,MATCH(W19&amp;"",'Chart of Accounts'!$A$5:$A$3000,0))&amp;"|"&amp;INDEX('Chart of Accounts'!$D$5:$D$3000,MATCH(W19&amp;"",'Chart of Accounts'!$A$5:$A$3000,0)),"")</f>
        <v/>
      </c>
      <c r="AD19" s="23">
        <f>IFERROR(INDEX('Chart of Accounts'!$C$5:$C$3000,MATCH(X19&amp;"",'Chart of Accounts'!$A$5:$A$3000,0))&amp;"|"&amp;INDEX('Chart of Accounts'!$D$5:$D$3000,MATCH(X19&amp;"",'Chart of Accounts'!$A$5:$A$3000,0)),"")</f>
        <v/>
      </c>
      <c r="AE19" s="23">
        <f>IFERROR(INDEX('Chart of Accounts'!$C$5:$C$3000,MATCH(Z19&amp;"",'Chart of Accounts'!$A$5:$A$3000,0))&amp;"|"&amp;INDEX('Chart of Accounts'!$D$5:$D$3000,MATCH(Z19&amp;"",'Chart of Accounts'!$A$5:$A$3000,0)),"")</f>
        <v/>
      </c>
      <c r="AF19" s="23">
        <f>IF(LEFT(AA19,8)="Revenue|",-N(R19),0)+IF(LEFT(AB19,8)="Revenue|",-N(S19),0)+IF(LEFT(AC19,8)="Revenue|",N(L19),0)+IF(LEFT(AD19,8)="Revenue|",N(U19),0)+IF(LEFT(AE19,8)="Revenue|",N(T19),0)</f>
        <v/>
      </c>
      <c r="AG19" s="23">
        <f>IF(LEFT(AA19,5)="COGS|",N(R19),0)+IF(LEFT(AB19,5)="COGS|",N(S19),0)+IF(LEFT(AC19,5)="COGS|",-N(L19),0)+IF(LEFT(AD19,5)="COGS|",-N(U19),0)+IF(LEFT(AE19,5)="COGS|",-N(T19),0)</f>
        <v/>
      </c>
      <c r="AH19" s="23">
        <f>IF(LEFT(AA19,8)="Expense|",N(R19),0)+IF(LEFT(AB19,8)="Expense|",N(S19),0)+IF(LEFT(AC19,8)="Expense|",-N(L19),0)+IF(LEFT(AD19,8)="Expense|",-N(U19),0)+IF(LEFT(AE19,8)="Expense|",-N(T19),0)</f>
        <v/>
      </c>
      <c r="AI19" s="23">
        <f>IF(ISNUMBER(MATCH(AA19,{"Expense|employee","Expense|general_admin","Expense|marketing","Expense|utilities","Expense|other_operating"},0)),N(R19),0)+IF(ISNUMBER(MATCH(AB19,{"Expense|employee","Expense|general_admin","Expense|marketing","Expense|utilities","Expense|other_operating"},0)),N(S19),0)+IF(ISNUMBER(MATCH(AC19,{"Expense|employee","Expense|general_admin","Expense|marketing","Expense|utilities","Expense|other_operating"},0)),-N(L19),0)+IF(ISNUMBER(MATCH(AD19,{"Expense|employee","Expense|general_admin","Expense|marketing","Expense|utilities","Expense|other_operating"},0)),-N(U19),0)+IF(ISNUMBER(MATCH(AE19,{"Expense|employee","Expense|general_admin","Expense|marketing","Expense|utilities","Expense|other_operating"},0)),-N(T19),0)</f>
        <v/>
      </c>
      <c r="AJ19" s="23">
        <f>IF(AA19="Liability|payable",-N(R19),0)+IF(AB19="Liability|payable",-N(S19),0)+IF(AC19="Liability|payable",N(L19),0)+IF(AD19="Liability|payable",N(U19),0)+IF(AE19="Liability|payable",N(T19),0)</f>
        <v/>
      </c>
      <c r="AK19" s="23">
        <f>IF(AA19="Liability|accrued",-N(R19),0)+IF(AB19="Liability|accrued",-N(S19),0)+IF(AC19="Liability|accrued",N(L19),0)+IF(AD19="Liability|accrued",N(U19),0)+IF(AE19="Liability|accrued",N(T19),0)</f>
        <v/>
      </c>
      <c r="AL19" s="23">
        <f>IF(AND(N(R19)&lt;&gt;0,AA19=""),1,0)+IF(AND(N(S19)&lt;&gt;0,AB19=""),1,0)+IF(AND(N(L19)&lt;&gt;0,AC19=""),1,0)+IF(AND(N(U19)&lt;&gt;0,AD19=""),1,0)+IF(AND(N(T19)&lt;&gt;0,AE19=""),1,0)</f>
        <v/>
      </c>
    </row>
    <row r="20">
      <c r="A20" s="19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20" t="n"/>
      <c r="K20" s="20" t="n"/>
      <c r="L20" s="20" t="n"/>
      <c r="M20" s="14" t="n"/>
      <c r="N20" s="14" t="n"/>
      <c r="O20" s="14" t="n"/>
      <c r="P20" s="14" t="n"/>
      <c r="Q20" s="14" t="n"/>
      <c r="R20" s="21">
        <f>ROUND(N(H20)*N(J20)-N(K20),2)</f>
        <v/>
      </c>
      <c r="S20" s="21">
        <f>ROUND(R20*IFERROR(VLOOKUP(P20,'Tax Codes'!$A$5:$E$300,5,FALSE),0),2)</f>
        <v/>
      </c>
      <c r="T20" s="21">
        <f>ROUND(R20*IFERROR(VLOOKUP(Q20,'Tax Codes'!$A$5:$E$300,5,FALSE),0),2)</f>
        <v/>
      </c>
      <c r="U20" s="21">
        <f>R20+S20-T20-N(L20)</f>
        <v/>
      </c>
      <c r="V20" s="16">
        <f>IF(C20="",INDEX('Chart of Accounts'!$A$5:$A$3000,MATCH("materials",'Chart of Accounts'!$F$5:$F$3000,0)),C20&amp;"")</f>
        <v/>
      </c>
      <c r="W20" s="16">
        <f>IF(N20="",INDEX('Chart of Accounts'!$A$5:$A$3000,MATCH("bank",'Chart of Accounts'!$F$5:$F$3000,0)),N20&amp;"")</f>
        <v/>
      </c>
      <c r="X20" s="16">
        <f>IF(O20="",INDEX('Chart of Accounts'!$A$5:$A$3000,MATCH("ap",'Chart of Accounts'!$F$5:$F$3000,0)),O20&amp;"")</f>
        <v/>
      </c>
      <c r="Y20" s="16">
        <f>INDEX('Chart of Accounts'!$A$5:$A$3000,MATCH("vat_input",'Chart of Accounts'!$F$5:$F$3000,0))</f>
        <v/>
      </c>
      <c r="Z20" s="16">
        <f>INDEX('Chart of Accounts'!$A$5:$A$3000,MATCH("wht_payable",'Chart of Accounts'!$F$5:$F$3000,0))</f>
        <v/>
      </c>
      <c r="AA20" s="23">
        <f>IFERROR(INDEX('Chart of Accounts'!$C$5:$C$3000,MATCH(V20&amp;"",'Chart of Accounts'!$A$5:$A$3000,0))&amp;"|"&amp;INDEX('Chart of Accounts'!$D$5:$D$3000,MATCH(V20&amp;"",'Chart of Accounts'!$A$5:$A$3000,0)),"")</f>
        <v/>
      </c>
      <c r="AB20" s="23">
        <f>IFERROR(INDEX('Chart of Accounts'!$C$5:$C$3000,MATCH(Y20&amp;"",'Chart of Accounts'!$A$5:$A$3000,0))&amp;"|"&amp;INDEX('Chart of Accounts'!$D$5:$D$3000,MATCH(Y20&amp;"",'Chart of Accounts'!$A$5:$A$3000,0)),"")</f>
        <v/>
      </c>
      <c r="AC20" s="23">
        <f>IFERROR(INDEX('Chart of Accounts'!$C$5:$C$3000,MATCH(W20&amp;"",'Chart of Accounts'!$A$5:$A$3000,0))&amp;"|"&amp;INDEX('Chart of Accounts'!$D$5:$D$3000,MATCH(W20&amp;"",'Chart of Accounts'!$A$5:$A$3000,0)),"")</f>
        <v/>
      </c>
      <c r="AD20" s="23">
        <f>IFERROR(INDEX('Chart of Accounts'!$C$5:$C$3000,MATCH(X20&amp;"",'Chart of Accounts'!$A$5:$A$3000,0))&amp;"|"&amp;INDEX('Chart of Accounts'!$D$5:$D$3000,MATCH(X20&amp;"",'Chart of Accounts'!$A$5:$A$3000,0)),"")</f>
        <v/>
      </c>
      <c r="AE20" s="23">
        <f>IFERROR(INDEX('Chart of Accounts'!$C$5:$C$3000,MATCH(Z20&amp;"",'Chart of Accounts'!$A$5:$A$3000,0))&amp;"|"&amp;INDEX('Chart of Accounts'!$D$5:$D$3000,MATCH(Z20&amp;"",'Chart of Accounts'!$A$5:$A$3000,0)),"")</f>
        <v/>
      </c>
      <c r="AF20" s="23">
        <f>IF(LEFT(AA20,8)="Revenue|",-N(R20),0)+IF(LEFT(AB20,8)="Revenue|",-N(S20),0)+IF(LEFT(AC20,8)="Revenue|",N(L20),0)+IF(LEFT(AD20,8)="Revenue|",N(U20),0)+IF(LEFT(AE20,8)="Revenue|",N(T20),0)</f>
        <v/>
      </c>
      <c r="AG20" s="23">
        <f>IF(LEFT(AA20,5)="COGS|",N(R20),0)+IF(LEFT(AB20,5)="COGS|",N(S20),0)+IF(LEFT(AC20,5)="COGS|",-N(L20),0)+IF(LEFT(AD20,5)="COGS|",-N(U20),0)+IF(LEFT(AE20,5)="COGS|",-N(T20),0)</f>
        <v/>
      </c>
      <c r="AH20" s="23">
        <f>IF(LEFT(AA20,8)="Expense|",N(R20),0)+IF(LEFT(AB20,8)="Expense|",N(S20),0)+IF(LEFT(AC20,8)="Expense|",-N(L20),0)+IF(LEFT(AD20,8)="Expense|",-N(U20),0)+IF(LEFT(AE20,8)="Expense|",-N(T20),0)</f>
        <v/>
      </c>
      <c r="AI20" s="23">
        <f>IF(ISNUMBER(MATCH(AA20,{"Expense|employee","Expense|general_admin","Expense|marketing","Expense|utilities","Expense|other_operating"},0)),N(R20),0)+IF(ISNUMBER(MATCH(AB20,{"Expense|employee","Expense|general_admin","Expense|marketing","Expense|utilities","Expense|other_operating"},0)),N(S20),0)+IF(ISNUMBER(MATCH(AC20,{"Expense|employee","Expense|general_admin","Expense|marketing","Expense|utilities","Expense|other_operating"},0)),-N(L20),0)+IF(ISNUMBER(MATCH(AD20,{"Expense|employee","Expense|general_admin","Expense|marketing","Expense|utilities","Expense|other_operating"},0)),-N(U20),0)+IF(ISNUMBER(MATCH(AE20,{"Expense|employee","Expense|general_admin","Expense|marketing","Expense|utilities","Expense|other_operating"},0)),-N(T20),0)</f>
        <v/>
      </c>
      <c r="AJ20" s="23">
        <f>IF(AA20="Liability|payable",-N(R20),0)+IF(AB20="Liability|payable",-N(S20),0)+IF(AC20="Liability|payable",N(L20),0)+IF(AD20="Liability|payable",N(U20),0)+IF(AE20="Liability|payable",N(T20),0)</f>
        <v/>
      </c>
      <c r="AK20" s="23">
        <f>IF(AA20="Liability|accrued",-N(R20),0)+IF(AB20="Liability|accrued",-N(S20),0)+IF(AC20="Liability|accrued",N(L20),0)+IF(AD20="Liability|accrued",N(U20),0)+IF(AE20="Liability|accrued",N(T20),0)</f>
        <v/>
      </c>
      <c r="AL20" s="23">
        <f>IF(AND(N(R20)&lt;&gt;0,AA20=""),1,0)+IF(AND(N(S20)&lt;&gt;0,AB20=""),1,0)+IF(AND(N(L20)&lt;&gt;0,AC20=""),1,0)+IF(AND(N(U20)&lt;&gt;0,AD20=""),1,0)+IF(AND(N(T20)&lt;&gt;0,AE20=""),1,0)</f>
        <v/>
      </c>
    </row>
    <row r="21">
      <c r="A21" s="19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20" t="n"/>
      <c r="K21" s="20" t="n"/>
      <c r="L21" s="20" t="n"/>
      <c r="M21" s="14" t="n"/>
      <c r="N21" s="14" t="n"/>
      <c r="O21" s="14" t="n"/>
      <c r="P21" s="14" t="n"/>
      <c r="Q21" s="14" t="n"/>
      <c r="R21" s="21">
        <f>ROUND(N(H21)*N(J21)-N(K21),2)</f>
        <v/>
      </c>
      <c r="S21" s="21">
        <f>ROUND(R21*IFERROR(VLOOKUP(P21,'Tax Codes'!$A$5:$E$300,5,FALSE),0),2)</f>
        <v/>
      </c>
      <c r="T21" s="21">
        <f>ROUND(R21*IFERROR(VLOOKUP(Q21,'Tax Codes'!$A$5:$E$300,5,FALSE),0),2)</f>
        <v/>
      </c>
      <c r="U21" s="21">
        <f>R21+S21-T21-N(L21)</f>
        <v/>
      </c>
      <c r="V21" s="16">
        <f>IF(C21="",INDEX('Chart of Accounts'!$A$5:$A$3000,MATCH("materials",'Chart of Accounts'!$F$5:$F$3000,0)),C21&amp;"")</f>
        <v/>
      </c>
      <c r="W21" s="16">
        <f>IF(N21="",INDEX('Chart of Accounts'!$A$5:$A$3000,MATCH("bank",'Chart of Accounts'!$F$5:$F$3000,0)),N21&amp;"")</f>
        <v/>
      </c>
      <c r="X21" s="16">
        <f>IF(O21="",INDEX('Chart of Accounts'!$A$5:$A$3000,MATCH("ap",'Chart of Accounts'!$F$5:$F$3000,0)),O21&amp;"")</f>
        <v/>
      </c>
      <c r="Y21" s="16">
        <f>INDEX('Chart of Accounts'!$A$5:$A$3000,MATCH("vat_input",'Chart of Accounts'!$F$5:$F$3000,0))</f>
        <v/>
      </c>
      <c r="Z21" s="16">
        <f>INDEX('Chart of Accounts'!$A$5:$A$3000,MATCH("wht_payable",'Chart of Accounts'!$F$5:$F$3000,0))</f>
        <v/>
      </c>
      <c r="AA21" s="23">
        <f>IFERROR(INDEX('Chart of Accounts'!$C$5:$C$3000,MATCH(V21&amp;"",'Chart of Accounts'!$A$5:$A$3000,0))&amp;"|"&amp;INDEX('Chart of Accounts'!$D$5:$D$3000,MATCH(V21&amp;"",'Chart of Accounts'!$A$5:$A$3000,0)),"")</f>
        <v/>
      </c>
      <c r="AB21" s="23">
        <f>IFERROR(INDEX('Chart of Accounts'!$C$5:$C$3000,MATCH(Y21&amp;"",'Chart of Accounts'!$A$5:$A$3000,0))&amp;"|"&amp;INDEX('Chart of Accounts'!$D$5:$D$3000,MATCH(Y21&amp;"",'Chart of Accounts'!$A$5:$A$3000,0)),"")</f>
        <v/>
      </c>
      <c r="AC21" s="23">
        <f>IFERROR(INDEX('Chart of Accounts'!$C$5:$C$3000,MATCH(W21&amp;"",'Chart of Accounts'!$A$5:$A$3000,0))&amp;"|"&amp;INDEX('Chart of Accounts'!$D$5:$D$3000,MATCH(W21&amp;"",'Chart of Accounts'!$A$5:$A$3000,0)),"")</f>
        <v/>
      </c>
      <c r="AD21" s="23">
        <f>IFERROR(INDEX('Chart of Accounts'!$C$5:$C$3000,MATCH(X21&amp;"",'Chart of Accounts'!$A$5:$A$3000,0))&amp;"|"&amp;INDEX('Chart of Accounts'!$D$5:$D$3000,MATCH(X21&amp;"",'Chart of Accounts'!$A$5:$A$3000,0)),"")</f>
        <v/>
      </c>
      <c r="AE21" s="23">
        <f>IFERROR(INDEX('Chart of Accounts'!$C$5:$C$3000,MATCH(Z21&amp;"",'Chart of Accounts'!$A$5:$A$3000,0))&amp;"|"&amp;INDEX('Chart of Accounts'!$D$5:$D$3000,MATCH(Z21&amp;"",'Chart of Accounts'!$A$5:$A$3000,0)),"")</f>
        <v/>
      </c>
      <c r="AF21" s="23">
        <f>IF(LEFT(AA21,8)="Revenue|",-N(R21),0)+IF(LEFT(AB21,8)="Revenue|",-N(S21),0)+IF(LEFT(AC21,8)="Revenue|",N(L21),0)+IF(LEFT(AD21,8)="Revenue|",N(U21),0)+IF(LEFT(AE21,8)="Revenue|",N(T21),0)</f>
        <v/>
      </c>
      <c r="AG21" s="23">
        <f>IF(LEFT(AA21,5)="COGS|",N(R21),0)+IF(LEFT(AB21,5)="COGS|",N(S21),0)+IF(LEFT(AC21,5)="COGS|",-N(L21),0)+IF(LEFT(AD21,5)="COGS|",-N(U21),0)+IF(LEFT(AE21,5)="COGS|",-N(T21),0)</f>
        <v/>
      </c>
      <c r="AH21" s="23">
        <f>IF(LEFT(AA21,8)="Expense|",N(R21),0)+IF(LEFT(AB21,8)="Expense|",N(S21),0)+IF(LEFT(AC21,8)="Expense|",-N(L21),0)+IF(LEFT(AD21,8)="Expense|",-N(U21),0)+IF(LEFT(AE21,8)="Expense|",-N(T21),0)</f>
        <v/>
      </c>
      <c r="AI21" s="23">
        <f>IF(ISNUMBER(MATCH(AA21,{"Expense|employee","Expense|general_admin","Expense|marketing","Expense|utilities","Expense|other_operating"},0)),N(R21),0)+IF(ISNUMBER(MATCH(AB21,{"Expense|employee","Expense|general_admin","Expense|marketing","Expense|utilities","Expense|other_operating"},0)),N(S21),0)+IF(ISNUMBER(MATCH(AC21,{"Expense|employee","Expense|general_admin","Expense|marketing","Expense|utilities","Expense|other_operating"},0)),-N(L21),0)+IF(ISNUMBER(MATCH(AD21,{"Expense|employee","Expense|general_admin","Expense|marketing","Expense|utilities","Expense|other_operating"},0)),-N(U21),0)+IF(ISNUMBER(MATCH(AE21,{"Expense|employee","Expense|general_admin","Expense|marketing","Expense|utilities","Expense|other_operating"},0)),-N(T21),0)</f>
        <v/>
      </c>
      <c r="AJ21" s="23">
        <f>IF(AA21="Liability|payable",-N(R21),0)+IF(AB21="Liability|payable",-N(S21),0)+IF(AC21="Liability|payable",N(L21),0)+IF(AD21="Liability|payable",N(U21),0)+IF(AE21="Liability|payable",N(T21),0)</f>
        <v/>
      </c>
      <c r="AK21" s="23">
        <f>IF(AA21="Liability|accrued",-N(R21),0)+IF(AB21="Liability|accrued",-N(S21),0)+IF(AC21="Liability|accrued",N(L21),0)+IF(AD21="Liability|accrued",N(U21),0)+IF(AE21="Liability|accrued",N(T21),0)</f>
        <v/>
      </c>
      <c r="AL21" s="23">
        <f>IF(AND(N(R21)&lt;&gt;0,AA21=""),1,0)+IF(AND(N(S21)&lt;&gt;0,AB21=""),1,0)+IF(AND(N(L21)&lt;&gt;0,AC21=""),1,0)+IF(AND(N(U21)&lt;&gt;0,AD21=""),1,0)+IF(AND(N(T21)&lt;&gt;0,AE21=""),1,0)</f>
        <v/>
      </c>
    </row>
    <row r="22">
      <c r="A22" s="19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20" t="n"/>
      <c r="K22" s="20" t="n"/>
      <c r="L22" s="20" t="n"/>
      <c r="M22" s="14" t="n"/>
      <c r="N22" s="14" t="n"/>
      <c r="O22" s="14" t="n"/>
      <c r="P22" s="14" t="n"/>
      <c r="Q22" s="14" t="n"/>
      <c r="R22" s="21">
        <f>ROUND(N(H22)*N(J22)-N(K22),2)</f>
        <v/>
      </c>
      <c r="S22" s="21">
        <f>ROUND(R22*IFERROR(VLOOKUP(P22,'Tax Codes'!$A$5:$E$300,5,FALSE),0),2)</f>
        <v/>
      </c>
      <c r="T22" s="21">
        <f>ROUND(R22*IFERROR(VLOOKUP(Q22,'Tax Codes'!$A$5:$E$300,5,FALSE),0),2)</f>
        <v/>
      </c>
      <c r="U22" s="21">
        <f>R22+S22-T22-N(L22)</f>
        <v/>
      </c>
      <c r="V22" s="16">
        <f>IF(C22="",INDEX('Chart of Accounts'!$A$5:$A$3000,MATCH("materials",'Chart of Accounts'!$F$5:$F$3000,0)),C22&amp;"")</f>
        <v/>
      </c>
      <c r="W22" s="16">
        <f>IF(N22="",INDEX('Chart of Accounts'!$A$5:$A$3000,MATCH("bank",'Chart of Accounts'!$F$5:$F$3000,0)),N22&amp;"")</f>
        <v/>
      </c>
      <c r="X22" s="16">
        <f>IF(O22="",INDEX('Chart of Accounts'!$A$5:$A$3000,MATCH("ap",'Chart of Accounts'!$F$5:$F$3000,0)),O22&amp;"")</f>
        <v/>
      </c>
      <c r="Y22" s="16">
        <f>INDEX('Chart of Accounts'!$A$5:$A$3000,MATCH("vat_input",'Chart of Accounts'!$F$5:$F$3000,0))</f>
        <v/>
      </c>
      <c r="Z22" s="16">
        <f>INDEX('Chart of Accounts'!$A$5:$A$3000,MATCH("wht_payable",'Chart of Accounts'!$F$5:$F$3000,0))</f>
        <v/>
      </c>
      <c r="AA22" s="23">
        <f>IFERROR(INDEX('Chart of Accounts'!$C$5:$C$3000,MATCH(V22&amp;"",'Chart of Accounts'!$A$5:$A$3000,0))&amp;"|"&amp;INDEX('Chart of Accounts'!$D$5:$D$3000,MATCH(V22&amp;"",'Chart of Accounts'!$A$5:$A$3000,0)),"")</f>
        <v/>
      </c>
      <c r="AB22" s="23">
        <f>IFERROR(INDEX('Chart of Accounts'!$C$5:$C$3000,MATCH(Y22&amp;"",'Chart of Accounts'!$A$5:$A$3000,0))&amp;"|"&amp;INDEX('Chart of Accounts'!$D$5:$D$3000,MATCH(Y22&amp;"",'Chart of Accounts'!$A$5:$A$3000,0)),"")</f>
        <v/>
      </c>
      <c r="AC22" s="23">
        <f>IFERROR(INDEX('Chart of Accounts'!$C$5:$C$3000,MATCH(W22&amp;"",'Chart of Accounts'!$A$5:$A$3000,0))&amp;"|"&amp;INDEX('Chart of Accounts'!$D$5:$D$3000,MATCH(W22&amp;"",'Chart of Accounts'!$A$5:$A$3000,0)),"")</f>
        <v/>
      </c>
      <c r="AD22" s="23">
        <f>IFERROR(INDEX('Chart of Accounts'!$C$5:$C$3000,MATCH(X22&amp;"",'Chart of Accounts'!$A$5:$A$3000,0))&amp;"|"&amp;INDEX('Chart of Accounts'!$D$5:$D$3000,MATCH(X22&amp;"",'Chart of Accounts'!$A$5:$A$3000,0)),"")</f>
        <v/>
      </c>
      <c r="AE22" s="23">
        <f>IFERROR(INDEX('Chart of Accounts'!$C$5:$C$3000,MATCH(Z22&amp;"",'Chart of Accounts'!$A$5:$A$3000,0))&amp;"|"&amp;INDEX('Chart of Accounts'!$D$5:$D$3000,MATCH(Z22&amp;"",'Chart of Accounts'!$A$5:$A$3000,0)),"")</f>
        <v/>
      </c>
      <c r="AF22" s="23">
        <f>IF(LEFT(AA22,8)="Revenue|",-N(R22),0)+IF(LEFT(AB22,8)="Revenue|",-N(S22),0)+IF(LEFT(AC22,8)="Revenue|",N(L22),0)+IF(LEFT(AD22,8)="Revenue|",N(U22),0)+IF(LEFT(AE22,8)="Revenue|",N(T22),0)</f>
        <v/>
      </c>
      <c r="AG22" s="23">
        <f>IF(LEFT(AA22,5)="COGS|",N(R22),0)+IF(LEFT(AB22,5)="COGS|",N(S22),0)+IF(LEFT(AC22,5)="COGS|",-N(L22),0)+IF(LEFT(AD22,5)="COGS|",-N(U22),0)+IF(LEFT(AE22,5)="COGS|",-N(T22),0)</f>
        <v/>
      </c>
      <c r="AH22" s="23">
        <f>IF(LEFT(AA22,8)="Expense|",N(R22),0)+IF(LEFT(AB22,8)="Expense|",N(S22),0)+IF(LEFT(AC22,8)="Expense|",-N(L22),0)+IF(LEFT(AD22,8)="Expense|",-N(U22),0)+IF(LEFT(AE22,8)="Expense|",-N(T22),0)</f>
        <v/>
      </c>
      <c r="AI22" s="23">
        <f>IF(ISNUMBER(MATCH(AA22,{"Expense|employee","Expense|general_admin","Expense|marketing","Expense|utilities","Expense|other_operating"},0)),N(R22),0)+IF(ISNUMBER(MATCH(AB22,{"Expense|employee","Expense|general_admin","Expense|marketing","Expense|utilities","Expense|other_operating"},0)),N(S22),0)+IF(ISNUMBER(MATCH(AC22,{"Expense|employee","Expense|general_admin","Expense|marketing","Expense|utilities","Expense|other_operating"},0)),-N(L22),0)+IF(ISNUMBER(MATCH(AD22,{"Expense|employee","Expense|general_admin","Expense|marketing","Expense|utilities","Expense|other_operating"},0)),-N(U22),0)+IF(ISNUMBER(MATCH(AE22,{"Expense|employee","Expense|general_admin","Expense|marketing","Expense|utilities","Expense|other_operating"},0)),-N(T22),0)</f>
        <v/>
      </c>
      <c r="AJ22" s="23">
        <f>IF(AA22="Liability|payable",-N(R22),0)+IF(AB22="Liability|payable",-N(S22),0)+IF(AC22="Liability|payable",N(L22),0)+IF(AD22="Liability|payable",N(U22),0)+IF(AE22="Liability|payable",N(T22),0)</f>
        <v/>
      </c>
      <c r="AK22" s="23">
        <f>IF(AA22="Liability|accrued",-N(R22),0)+IF(AB22="Liability|accrued",-N(S22),0)+IF(AC22="Liability|accrued",N(L22),0)+IF(AD22="Liability|accrued",N(U22),0)+IF(AE22="Liability|accrued",N(T22),0)</f>
        <v/>
      </c>
      <c r="AL22" s="23">
        <f>IF(AND(N(R22)&lt;&gt;0,AA22=""),1,0)+IF(AND(N(S22)&lt;&gt;0,AB22=""),1,0)+IF(AND(N(L22)&lt;&gt;0,AC22=""),1,0)+IF(AND(N(U22)&lt;&gt;0,AD22=""),1,0)+IF(AND(N(T22)&lt;&gt;0,AE22=""),1,0)</f>
        <v/>
      </c>
    </row>
    <row r="23">
      <c r="A23" s="19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20" t="n"/>
      <c r="K23" s="20" t="n"/>
      <c r="L23" s="20" t="n"/>
      <c r="M23" s="14" t="n"/>
      <c r="N23" s="14" t="n"/>
      <c r="O23" s="14" t="n"/>
      <c r="P23" s="14" t="n"/>
      <c r="Q23" s="14" t="n"/>
      <c r="R23" s="21">
        <f>ROUND(N(H23)*N(J23)-N(K23),2)</f>
        <v/>
      </c>
      <c r="S23" s="21">
        <f>ROUND(R23*IFERROR(VLOOKUP(P23,'Tax Codes'!$A$5:$E$300,5,FALSE),0),2)</f>
        <v/>
      </c>
      <c r="T23" s="21">
        <f>ROUND(R23*IFERROR(VLOOKUP(Q23,'Tax Codes'!$A$5:$E$300,5,FALSE),0),2)</f>
        <v/>
      </c>
      <c r="U23" s="21">
        <f>R23+S23-T23-N(L23)</f>
        <v/>
      </c>
      <c r="V23" s="16">
        <f>IF(C23="",INDEX('Chart of Accounts'!$A$5:$A$3000,MATCH("materials",'Chart of Accounts'!$F$5:$F$3000,0)),C23&amp;"")</f>
        <v/>
      </c>
      <c r="W23" s="16">
        <f>IF(N23="",INDEX('Chart of Accounts'!$A$5:$A$3000,MATCH("bank",'Chart of Accounts'!$F$5:$F$3000,0)),N23&amp;"")</f>
        <v/>
      </c>
      <c r="X23" s="16">
        <f>IF(O23="",INDEX('Chart of Accounts'!$A$5:$A$3000,MATCH("ap",'Chart of Accounts'!$F$5:$F$3000,0)),O23&amp;"")</f>
        <v/>
      </c>
      <c r="Y23" s="16">
        <f>INDEX('Chart of Accounts'!$A$5:$A$3000,MATCH("vat_input",'Chart of Accounts'!$F$5:$F$3000,0))</f>
        <v/>
      </c>
      <c r="Z23" s="16">
        <f>INDEX('Chart of Accounts'!$A$5:$A$3000,MATCH("wht_payable",'Chart of Accounts'!$F$5:$F$3000,0))</f>
        <v/>
      </c>
      <c r="AA23" s="23">
        <f>IFERROR(INDEX('Chart of Accounts'!$C$5:$C$3000,MATCH(V23&amp;"",'Chart of Accounts'!$A$5:$A$3000,0))&amp;"|"&amp;INDEX('Chart of Accounts'!$D$5:$D$3000,MATCH(V23&amp;"",'Chart of Accounts'!$A$5:$A$3000,0)),"")</f>
        <v/>
      </c>
      <c r="AB23" s="23">
        <f>IFERROR(INDEX('Chart of Accounts'!$C$5:$C$3000,MATCH(Y23&amp;"",'Chart of Accounts'!$A$5:$A$3000,0))&amp;"|"&amp;INDEX('Chart of Accounts'!$D$5:$D$3000,MATCH(Y23&amp;"",'Chart of Accounts'!$A$5:$A$3000,0)),"")</f>
        <v/>
      </c>
      <c r="AC23" s="23">
        <f>IFERROR(INDEX('Chart of Accounts'!$C$5:$C$3000,MATCH(W23&amp;"",'Chart of Accounts'!$A$5:$A$3000,0))&amp;"|"&amp;INDEX('Chart of Accounts'!$D$5:$D$3000,MATCH(W23&amp;"",'Chart of Accounts'!$A$5:$A$3000,0)),"")</f>
        <v/>
      </c>
      <c r="AD23" s="23">
        <f>IFERROR(INDEX('Chart of Accounts'!$C$5:$C$3000,MATCH(X23&amp;"",'Chart of Accounts'!$A$5:$A$3000,0))&amp;"|"&amp;INDEX('Chart of Accounts'!$D$5:$D$3000,MATCH(X23&amp;"",'Chart of Accounts'!$A$5:$A$3000,0)),"")</f>
        <v/>
      </c>
      <c r="AE23" s="23">
        <f>IFERROR(INDEX('Chart of Accounts'!$C$5:$C$3000,MATCH(Z23&amp;"",'Chart of Accounts'!$A$5:$A$3000,0))&amp;"|"&amp;INDEX('Chart of Accounts'!$D$5:$D$3000,MATCH(Z23&amp;"",'Chart of Accounts'!$A$5:$A$3000,0)),"")</f>
        <v/>
      </c>
      <c r="AF23" s="23">
        <f>IF(LEFT(AA23,8)="Revenue|",-N(R23),0)+IF(LEFT(AB23,8)="Revenue|",-N(S23),0)+IF(LEFT(AC23,8)="Revenue|",N(L23),0)+IF(LEFT(AD23,8)="Revenue|",N(U23),0)+IF(LEFT(AE23,8)="Revenue|",N(T23),0)</f>
        <v/>
      </c>
      <c r="AG23" s="23">
        <f>IF(LEFT(AA23,5)="COGS|",N(R23),0)+IF(LEFT(AB23,5)="COGS|",N(S23),0)+IF(LEFT(AC23,5)="COGS|",-N(L23),0)+IF(LEFT(AD23,5)="COGS|",-N(U23),0)+IF(LEFT(AE23,5)="COGS|",-N(T23),0)</f>
        <v/>
      </c>
      <c r="AH23" s="23">
        <f>IF(LEFT(AA23,8)="Expense|",N(R23),0)+IF(LEFT(AB23,8)="Expense|",N(S23),0)+IF(LEFT(AC23,8)="Expense|",-N(L23),0)+IF(LEFT(AD23,8)="Expense|",-N(U23),0)+IF(LEFT(AE23,8)="Expense|",-N(T23),0)</f>
        <v/>
      </c>
      <c r="AI23" s="23">
        <f>IF(ISNUMBER(MATCH(AA23,{"Expense|employee","Expense|general_admin","Expense|marketing","Expense|utilities","Expense|other_operating"},0)),N(R23),0)+IF(ISNUMBER(MATCH(AB23,{"Expense|employee","Expense|general_admin","Expense|marketing","Expense|utilities","Expense|other_operating"},0)),N(S23),0)+IF(ISNUMBER(MATCH(AC23,{"Expense|employee","Expense|general_admin","Expense|marketing","Expense|utilities","Expense|other_operating"},0)),-N(L23),0)+IF(ISNUMBER(MATCH(AD23,{"Expense|employee","Expense|general_admin","Expense|marketing","Expense|utilities","Expense|other_operating"},0)),-N(U23),0)+IF(ISNUMBER(MATCH(AE23,{"Expense|employee","Expense|general_admin","Expense|marketing","Expense|utilities","Expense|other_operating"},0)),-N(T23),0)</f>
        <v/>
      </c>
      <c r="AJ23" s="23">
        <f>IF(AA23="Liability|payable",-N(R23),0)+IF(AB23="Liability|payable",-N(S23),0)+IF(AC23="Liability|payable",N(L23),0)+IF(AD23="Liability|payable",N(U23),0)+IF(AE23="Liability|payable",N(T23),0)</f>
        <v/>
      </c>
      <c r="AK23" s="23">
        <f>IF(AA23="Liability|accrued",-N(R23),0)+IF(AB23="Liability|accrued",-N(S23),0)+IF(AC23="Liability|accrued",N(L23),0)+IF(AD23="Liability|accrued",N(U23),0)+IF(AE23="Liability|accrued",N(T23),0)</f>
        <v/>
      </c>
      <c r="AL23" s="23">
        <f>IF(AND(N(R23)&lt;&gt;0,AA23=""),1,0)+IF(AND(N(S23)&lt;&gt;0,AB23=""),1,0)+IF(AND(N(L23)&lt;&gt;0,AC23=""),1,0)+IF(AND(N(U23)&lt;&gt;0,AD23=""),1,0)+IF(AND(N(T23)&lt;&gt;0,AE23=""),1,0)</f>
        <v/>
      </c>
    </row>
    <row r="24">
      <c r="A24" s="19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20" t="n"/>
      <c r="K24" s="20" t="n"/>
      <c r="L24" s="20" t="n"/>
      <c r="M24" s="14" t="n"/>
      <c r="N24" s="14" t="n"/>
      <c r="O24" s="14" t="n"/>
      <c r="P24" s="14" t="n"/>
      <c r="Q24" s="14" t="n"/>
      <c r="R24" s="21">
        <f>ROUND(N(H24)*N(J24)-N(K24),2)</f>
        <v/>
      </c>
      <c r="S24" s="21">
        <f>ROUND(R24*IFERROR(VLOOKUP(P24,'Tax Codes'!$A$5:$E$300,5,FALSE),0),2)</f>
        <v/>
      </c>
      <c r="T24" s="21">
        <f>ROUND(R24*IFERROR(VLOOKUP(Q24,'Tax Codes'!$A$5:$E$300,5,FALSE),0),2)</f>
        <v/>
      </c>
      <c r="U24" s="21">
        <f>R24+S24-T24-N(L24)</f>
        <v/>
      </c>
      <c r="V24" s="16">
        <f>IF(C24="",INDEX('Chart of Accounts'!$A$5:$A$3000,MATCH("materials",'Chart of Accounts'!$F$5:$F$3000,0)),C24&amp;"")</f>
        <v/>
      </c>
      <c r="W24" s="16">
        <f>IF(N24="",INDEX('Chart of Accounts'!$A$5:$A$3000,MATCH("bank",'Chart of Accounts'!$F$5:$F$3000,0)),N24&amp;"")</f>
        <v/>
      </c>
      <c r="X24" s="16">
        <f>IF(O24="",INDEX('Chart of Accounts'!$A$5:$A$3000,MATCH("ap",'Chart of Accounts'!$F$5:$F$3000,0)),O24&amp;"")</f>
        <v/>
      </c>
      <c r="Y24" s="16">
        <f>INDEX('Chart of Accounts'!$A$5:$A$3000,MATCH("vat_input",'Chart of Accounts'!$F$5:$F$3000,0))</f>
        <v/>
      </c>
      <c r="Z24" s="16">
        <f>INDEX('Chart of Accounts'!$A$5:$A$3000,MATCH("wht_payable",'Chart of Accounts'!$F$5:$F$3000,0))</f>
        <v/>
      </c>
      <c r="AA24" s="23">
        <f>IFERROR(INDEX('Chart of Accounts'!$C$5:$C$3000,MATCH(V24&amp;"",'Chart of Accounts'!$A$5:$A$3000,0))&amp;"|"&amp;INDEX('Chart of Accounts'!$D$5:$D$3000,MATCH(V24&amp;"",'Chart of Accounts'!$A$5:$A$3000,0)),"")</f>
        <v/>
      </c>
      <c r="AB24" s="23">
        <f>IFERROR(INDEX('Chart of Accounts'!$C$5:$C$3000,MATCH(Y24&amp;"",'Chart of Accounts'!$A$5:$A$3000,0))&amp;"|"&amp;INDEX('Chart of Accounts'!$D$5:$D$3000,MATCH(Y24&amp;"",'Chart of Accounts'!$A$5:$A$3000,0)),"")</f>
        <v/>
      </c>
      <c r="AC24" s="23">
        <f>IFERROR(INDEX('Chart of Accounts'!$C$5:$C$3000,MATCH(W24&amp;"",'Chart of Accounts'!$A$5:$A$3000,0))&amp;"|"&amp;INDEX('Chart of Accounts'!$D$5:$D$3000,MATCH(W24&amp;"",'Chart of Accounts'!$A$5:$A$3000,0)),"")</f>
        <v/>
      </c>
      <c r="AD24" s="23">
        <f>IFERROR(INDEX('Chart of Accounts'!$C$5:$C$3000,MATCH(X24&amp;"",'Chart of Accounts'!$A$5:$A$3000,0))&amp;"|"&amp;INDEX('Chart of Accounts'!$D$5:$D$3000,MATCH(X24&amp;"",'Chart of Accounts'!$A$5:$A$3000,0)),"")</f>
        <v/>
      </c>
      <c r="AE24" s="23">
        <f>IFERROR(INDEX('Chart of Accounts'!$C$5:$C$3000,MATCH(Z24&amp;"",'Chart of Accounts'!$A$5:$A$3000,0))&amp;"|"&amp;INDEX('Chart of Accounts'!$D$5:$D$3000,MATCH(Z24&amp;"",'Chart of Accounts'!$A$5:$A$3000,0)),"")</f>
        <v/>
      </c>
      <c r="AF24" s="23">
        <f>IF(LEFT(AA24,8)="Revenue|",-N(R24),0)+IF(LEFT(AB24,8)="Revenue|",-N(S24),0)+IF(LEFT(AC24,8)="Revenue|",N(L24),0)+IF(LEFT(AD24,8)="Revenue|",N(U24),0)+IF(LEFT(AE24,8)="Revenue|",N(T24),0)</f>
        <v/>
      </c>
      <c r="AG24" s="23">
        <f>IF(LEFT(AA24,5)="COGS|",N(R24),0)+IF(LEFT(AB24,5)="COGS|",N(S24),0)+IF(LEFT(AC24,5)="COGS|",-N(L24),0)+IF(LEFT(AD24,5)="COGS|",-N(U24),0)+IF(LEFT(AE24,5)="COGS|",-N(T24),0)</f>
        <v/>
      </c>
      <c r="AH24" s="23">
        <f>IF(LEFT(AA24,8)="Expense|",N(R24),0)+IF(LEFT(AB24,8)="Expense|",N(S24),0)+IF(LEFT(AC24,8)="Expense|",-N(L24),0)+IF(LEFT(AD24,8)="Expense|",-N(U24),0)+IF(LEFT(AE24,8)="Expense|",-N(T24),0)</f>
        <v/>
      </c>
      <c r="AI24" s="23">
        <f>IF(ISNUMBER(MATCH(AA24,{"Expense|employee","Expense|general_admin","Expense|marketing","Expense|utilities","Expense|other_operating"},0)),N(R24),0)+IF(ISNUMBER(MATCH(AB24,{"Expense|employee","Expense|general_admin","Expense|marketing","Expense|utilities","Expense|other_operating"},0)),N(S24),0)+IF(ISNUMBER(MATCH(AC24,{"Expense|employee","Expense|general_admin","Expense|marketing","Expense|utilities","Expense|other_operating"},0)),-N(L24),0)+IF(ISNUMBER(MATCH(AD24,{"Expense|employee","Expense|general_admin","Expense|marketing","Expense|utilities","Expense|other_operating"},0)),-N(U24),0)+IF(ISNUMBER(MATCH(AE24,{"Expense|employee","Expense|general_admin","Expense|marketing","Expense|utilities","Expense|other_operating"},0)),-N(T24),0)</f>
        <v/>
      </c>
      <c r="AJ24" s="23">
        <f>IF(AA24="Liability|payable",-N(R24),0)+IF(AB24="Liability|payable",-N(S24),0)+IF(AC24="Liability|payable",N(L24),0)+IF(AD24="Liability|payable",N(U24),0)+IF(AE24="Liability|payable",N(T24),0)</f>
        <v/>
      </c>
      <c r="AK24" s="23">
        <f>IF(AA24="Liability|accrued",-N(R24),0)+IF(AB24="Liability|accrued",-N(S24),0)+IF(AC24="Liability|accrued",N(L24),0)+IF(AD24="Liability|accrued",N(U24),0)+IF(AE24="Liability|accrued",N(T24),0)</f>
        <v/>
      </c>
      <c r="AL24" s="23">
        <f>IF(AND(N(R24)&lt;&gt;0,AA24=""),1,0)+IF(AND(N(S24)&lt;&gt;0,AB24=""),1,0)+IF(AND(N(L24)&lt;&gt;0,AC24=""),1,0)+IF(AND(N(U24)&lt;&gt;0,AD24=""),1,0)+IF(AND(N(T24)&lt;&gt;0,AE24=""),1,0)</f>
        <v/>
      </c>
    </row>
    <row r="25">
      <c r="A25" s="19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20" t="n"/>
      <c r="K25" s="20" t="n"/>
      <c r="L25" s="20" t="n"/>
      <c r="M25" s="14" t="n"/>
      <c r="N25" s="14" t="n"/>
      <c r="O25" s="14" t="n"/>
      <c r="P25" s="14" t="n"/>
      <c r="Q25" s="14" t="n"/>
      <c r="R25" s="21">
        <f>ROUND(N(H25)*N(J25)-N(K25),2)</f>
        <v/>
      </c>
      <c r="S25" s="21">
        <f>ROUND(R25*IFERROR(VLOOKUP(P25,'Tax Codes'!$A$5:$E$300,5,FALSE),0),2)</f>
        <v/>
      </c>
      <c r="T25" s="21">
        <f>ROUND(R25*IFERROR(VLOOKUP(Q25,'Tax Codes'!$A$5:$E$300,5,FALSE),0),2)</f>
        <v/>
      </c>
      <c r="U25" s="21">
        <f>R25+S25-T25-N(L25)</f>
        <v/>
      </c>
      <c r="V25" s="16">
        <f>IF(C25="",INDEX('Chart of Accounts'!$A$5:$A$3000,MATCH("materials",'Chart of Accounts'!$F$5:$F$3000,0)),C25&amp;"")</f>
        <v/>
      </c>
      <c r="W25" s="16">
        <f>IF(N25="",INDEX('Chart of Accounts'!$A$5:$A$3000,MATCH("bank",'Chart of Accounts'!$F$5:$F$3000,0)),N25&amp;"")</f>
        <v/>
      </c>
      <c r="X25" s="16">
        <f>IF(O25="",INDEX('Chart of Accounts'!$A$5:$A$3000,MATCH("ap",'Chart of Accounts'!$F$5:$F$3000,0)),O25&amp;"")</f>
        <v/>
      </c>
      <c r="Y25" s="16">
        <f>INDEX('Chart of Accounts'!$A$5:$A$3000,MATCH("vat_input",'Chart of Accounts'!$F$5:$F$3000,0))</f>
        <v/>
      </c>
      <c r="Z25" s="16">
        <f>INDEX('Chart of Accounts'!$A$5:$A$3000,MATCH("wht_payable",'Chart of Accounts'!$F$5:$F$3000,0))</f>
        <v/>
      </c>
      <c r="AA25" s="23">
        <f>IFERROR(INDEX('Chart of Accounts'!$C$5:$C$3000,MATCH(V25&amp;"",'Chart of Accounts'!$A$5:$A$3000,0))&amp;"|"&amp;INDEX('Chart of Accounts'!$D$5:$D$3000,MATCH(V25&amp;"",'Chart of Accounts'!$A$5:$A$3000,0)),"")</f>
        <v/>
      </c>
      <c r="AB25" s="23">
        <f>IFERROR(INDEX('Chart of Accounts'!$C$5:$C$3000,MATCH(Y25&amp;"",'Chart of Accounts'!$A$5:$A$3000,0))&amp;"|"&amp;INDEX('Chart of Accounts'!$D$5:$D$3000,MATCH(Y25&amp;"",'Chart of Accounts'!$A$5:$A$3000,0)),"")</f>
        <v/>
      </c>
      <c r="AC25" s="23">
        <f>IFERROR(INDEX('Chart of Accounts'!$C$5:$C$3000,MATCH(W25&amp;"",'Chart of Accounts'!$A$5:$A$3000,0))&amp;"|"&amp;INDEX('Chart of Accounts'!$D$5:$D$3000,MATCH(W25&amp;"",'Chart of Accounts'!$A$5:$A$3000,0)),"")</f>
        <v/>
      </c>
      <c r="AD25" s="23">
        <f>IFERROR(INDEX('Chart of Accounts'!$C$5:$C$3000,MATCH(X25&amp;"",'Chart of Accounts'!$A$5:$A$3000,0))&amp;"|"&amp;INDEX('Chart of Accounts'!$D$5:$D$3000,MATCH(X25&amp;"",'Chart of Accounts'!$A$5:$A$3000,0)),"")</f>
        <v/>
      </c>
      <c r="AE25" s="23">
        <f>IFERROR(INDEX('Chart of Accounts'!$C$5:$C$3000,MATCH(Z25&amp;"",'Chart of Accounts'!$A$5:$A$3000,0))&amp;"|"&amp;INDEX('Chart of Accounts'!$D$5:$D$3000,MATCH(Z25&amp;"",'Chart of Accounts'!$A$5:$A$3000,0)),"")</f>
        <v/>
      </c>
      <c r="AF25" s="23">
        <f>IF(LEFT(AA25,8)="Revenue|",-N(R25),0)+IF(LEFT(AB25,8)="Revenue|",-N(S25),0)+IF(LEFT(AC25,8)="Revenue|",N(L25),0)+IF(LEFT(AD25,8)="Revenue|",N(U25),0)+IF(LEFT(AE25,8)="Revenue|",N(T25),0)</f>
        <v/>
      </c>
      <c r="AG25" s="23">
        <f>IF(LEFT(AA25,5)="COGS|",N(R25),0)+IF(LEFT(AB25,5)="COGS|",N(S25),0)+IF(LEFT(AC25,5)="COGS|",-N(L25),0)+IF(LEFT(AD25,5)="COGS|",-N(U25),0)+IF(LEFT(AE25,5)="COGS|",-N(T25),0)</f>
        <v/>
      </c>
      <c r="AH25" s="23">
        <f>IF(LEFT(AA25,8)="Expense|",N(R25),0)+IF(LEFT(AB25,8)="Expense|",N(S25),0)+IF(LEFT(AC25,8)="Expense|",-N(L25),0)+IF(LEFT(AD25,8)="Expense|",-N(U25),0)+IF(LEFT(AE25,8)="Expense|",-N(T25),0)</f>
        <v/>
      </c>
      <c r="AI25" s="23">
        <f>IF(ISNUMBER(MATCH(AA25,{"Expense|employee","Expense|general_admin","Expense|marketing","Expense|utilities","Expense|other_operating"},0)),N(R25),0)+IF(ISNUMBER(MATCH(AB25,{"Expense|employee","Expense|general_admin","Expense|marketing","Expense|utilities","Expense|other_operating"},0)),N(S25),0)+IF(ISNUMBER(MATCH(AC25,{"Expense|employee","Expense|general_admin","Expense|marketing","Expense|utilities","Expense|other_operating"},0)),-N(L25),0)+IF(ISNUMBER(MATCH(AD25,{"Expense|employee","Expense|general_admin","Expense|marketing","Expense|utilities","Expense|other_operating"},0)),-N(U25),0)+IF(ISNUMBER(MATCH(AE25,{"Expense|employee","Expense|general_admin","Expense|marketing","Expense|utilities","Expense|other_operating"},0)),-N(T25),0)</f>
        <v/>
      </c>
      <c r="AJ25" s="23">
        <f>IF(AA25="Liability|payable",-N(R25),0)+IF(AB25="Liability|payable",-N(S25),0)+IF(AC25="Liability|payable",N(L25),0)+IF(AD25="Liability|payable",N(U25),0)+IF(AE25="Liability|payable",N(T25),0)</f>
        <v/>
      </c>
      <c r="AK25" s="23">
        <f>IF(AA25="Liability|accrued",-N(R25),0)+IF(AB25="Liability|accrued",-N(S25),0)+IF(AC25="Liability|accrued",N(L25),0)+IF(AD25="Liability|accrued",N(U25),0)+IF(AE25="Liability|accrued",N(T25),0)</f>
        <v/>
      </c>
      <c r="AL25" s="23">
        <f>IF(AND(N(R25)&lt;&gt;0,AA25=""),1,0)+IF(AND(N(S25)&lt;&gt;0,AB25=""),1,0)+IF(AND(N(L25)&lt;&gt;0,AC25=""),1,0)+IF(AND(N(U25)&lt;&gt;0,AD25=""),1,0)+IF(AND(N(T25)&lt;&gt;0,AE25=""),1,0)</f>
        <v/>
      </c>
    </row>
    <row r="26">
      <c r="A26" s="19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20" t="n"/>
      <c r="K26" s="20" t="n"/>
      <c r="L26" s="20" t="n"/>
      <c r="M26" s="14" t="n"/>
      <c r="N26" s="14" t="n"/>
      <c r="O26" s="14" t="n"/>
      <c r="P26" s="14" t="n"/>
      <c r="Q26" s="14" t="n"/>
      <c r="R26" s="21">
        <f>ROUND(N(H26)*N(J26)-N(K26),2)</f>
        <v/>
      </c>
      <c r="S26" s="21">
        <f>ROUND(R26*IFERROR(VLOOKUP(P26,'Tax Codes'!$A$5:$E$300,5,FALSE),0),2)</f>
        <v/>
      </c>
      <c r="T26" s="21">
        <f>ROUND(R26*IFERROR(VLOOKUP(Q26,'Tax Codes'!$A$5:$E$300,5,FALSE),0),2)</f>
        <v/>
      </c>
      <c r="U26" s="21">
        <f>R26+S26-T26-N(L26)</f>
        <v/>
      </c>
      <c r="V26" s="16">
        <f>IF(C26="",INDEX('Chart of Accounts'!$A$5:$A$3000,MATCH("materials",'Chart of Accounts'!$F$5:$F$3000,0)),C26&amp;"")</f>
        <v/>
      </c>
      <c r="W26" s="16">
        <f>IF(N26="",INDEX('Chart of Accounts'!$A$5:$A$3000,MATCH("bank",'Chart of Accounts'!$F$5:$F$3000,0)),N26&amp;"")</f>
        <v/>
      </c>
      <c r="X26" s="16">
        <f>IF(O26="",INDEX('Chart of Accounts'!$A$5:$A$3000,MATCH("ap",'Chart of Accounts'!$F$5:$F$3000,0)),O26&amp;"")</f>
        <v/>
      </c>
      <c r="Y26" s="16">
        <f>INDEX('Chart of Accounts'!$A$5:$A$3000,MATCH("vat_input",'Chart of Accounts'!$F$5:$F$3000,0))</f>
        <v/>
      </c>
      <c r="Z26" s="16">
        <f>INDEX('Chart of Accounts'!$A$5:$A$3000,MATCH("wht_payable",'Chart of Accounts'!$F$5:$F$3000,0))</f>
        <v/>
      </c>
      <c r="AA26" s="23">
        <f>IFERROR(INDEX('Chart of Accounts'!$C$5:$C$3000,MATCH(V26&amp;"",'Chart of Accounts'!$A$5:$A$3000,0))&amp;"|"&amp;INDEX('Chart of Accounts'!$D$5:$D$3000,MATCH(V26&amp;"",'Chart of Accounts'!$A$5:$A$3000,0)),"")</f>
        <v/>
      </c>
      <c r="AB26" s="23">
        <f>IFERROR(INDEX('Chart of Accounts'!$C$5:$C$3000,MATCH(Y26&amp;"",'Chart of Accounts'!$A$5:$A$3000,0))&amp;"|"&amp;INDEX('Chart of Accounts'!$D$5:$D$3000,MATCH(Y26&amp;"",'Chart of Accounts'!$A$5:$A$3000,0)),"")</f>
        <v/>
      </c>
      <c r="AC26" s="23">
        <f>IFERROR(INDEX('Chart of Accounts'!$C$5:$C$3000,MATCH(W26&amp;"",'Chart of Accounts'!$A$5:$A$3000,0))&amp;"|"&amp;INDEX('Chart of Accounts'!$D$5:$D$3000,MATCH(W26&amp;"",'Chart of Accounts'!$A$5:$A$3000,0)),"")</f>
        <v/>
      </c>
      <c r="AD26" s="23">
        <f>IFERROR(INDEX('Chart of Accounts'!$C$5:$C$3000,MATCH(X26&amp;"",'Chart of Accounts'!$A$5:$A$3000,0))&amp;"|"&amp;INDEX('Chart of Accounts'!$D$5:$D$3000,MATCH(X26&amp;"",'Chart of Accounts'!$A$5:$A$3000,0)),"")</f>
        <v/>
      </c>
      <c r="AE26" s="23">
        <f>IFERROR(INDEX('Chart of Accounts'!$C$5:$C$3000,MATCH(Z26&amp;"",'Chart of Accounts'!$A$5:$A$3000,0))&amp;"|"&amp;INDEX('Chart of Accounts'!$D$5:$D$3000,MATCH(Z26&amp;"",'Chart of Accounts'!$A$5:$A$3000,0)),"")</f>
        <v/>
      </c>
      <c r="AF26" s="23">
        <f>IF(LEFT(AA26,8)="Revenue|",-N(R26),0)+IF(LEFT(AB26,8)="Revenue|",-N(S26),0)+IF(LEFT(AC26,8)="Revenue|",N(L26),0)+IF(LEFT(AD26,8)="Revenue|",N(U26),0)+IF(LEFT(AE26,8)="Revenue|",N(T26),0)</f>
        <v/>
      </c>
      <c r="AG26" s="23">
        <f>IF(LEFT(AA26,5)="COGS|",N(R26),0)+IF(LEFT(AB26,5)="COGS|",N(S26),0)+IF(LEFT(AC26,5)="COGS|",-N(L26),0)+IF(LEFT(AD26,5)="COGS|",-N(U26),0)+IF(LEFT(AE26,5)="COGS|",-N(T26),0)</f>
        <v/>
      </c>
      <c r="AH26" s="23">
        <f>IF(LEFT(AA26,8)="Expense|",N(R26),0)+IF(LEFT(AB26,8)="Expense|",N(S26),0)+IF(LEFT(AC26,8)="Expense|",-N(L26),0)+IF(LEFT(AD26,8)="Expense|",-N(U26),0)+IF(LEFT(AE26,8)="Expense|",-N(T26),0)</f>
        <v/>
      </c>
      <c r="AI26" s="23">
        <f>IF(ISNUMBER(MATCH(AA26,{"Expense|employee","Expense|general_admin","Expense|marketing","Expense|utilities","Expense|other_operating"},0)),N(R26),0)+IF(ISNUMBER(MATCH(AB26,{"Expense|employee","Expense|general_admin","Expense|marketing","Expense|utilities","Expense|other_operating"},0)),N(S26),0)+IF(ISNUMBER(MATCH(AC26,{"Expense|employee","Expense|general_admin","Expense|marketing","Expense|utilities","Expense|other_operating"},0)),-N(L26),0)+IF(ISNUMBER(MATCH(AD26,{"Expense|employee","Expense|general_admin","Expense|marketing","Expense|utilities","Expense|other_operating"},0)),-N(U26),0)+IF(ISNUMBER(MATCH(AE26,{"Expense|employee","Expense|general_admin","Expense|marketing","Expense|utilities","Expense|other_operating"},0)),-N(T26),0)</f>
        <v/>
      </c>
      <c r="AJ26" s="23">
        <f>IF(AA26="Liability|payable",-N(R26),0)+IF(AB26="Liability|payable",-N(S26),0)+IF(AC26="Liability|payable",N(L26),0)+IF(AD26="Liability|payable",N(U26),0)+IF(AE26="Liability|payable",N(T26),0)</f>
        <v/>
      </c>
      <c r="AK26" s="23">
        <f>IF(AA26="Liability|accrued",-N(R26),0)+IF(AB26="Liability|accrued",-N(S26),0)+IF(AC26="Liability|accrued",N(L26),0)+IF(AD26="Liability|accrued",N(U26),0)+IF(AE26="Liability|accrued",N(T26),0)</f>
        <v/>
      </c>
      <c r="AL26" s="23">
        <f>IF(AND(N(R26)&lt;&gt;0,AA26=""),1,0)+IF(AND(N(S26)&lt;&gt;0,AB26=""),1,0)+IF(AND(N(L26)&lt;&gt;0,AC26=""),1,0)+IF(AND(N(U26)&lt;&gt;0,AD26=""),1,0)+IF(AND(N(T26)&lt;&gt;0,AE26=""),1,0)</f>
        <v/>
      </c>
    </row>
    <row r="27">
      <c r="A27" s="19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20" t="n"/>
      <c r="K27" s="20" t="n"/>
      <c r="L27" s="20" t="n"/>
      <c r="M27" s="14" t="n"/>
      <c r="N27" s="14" t="n"/>
      <c r="O27" s="14" t="n"/>
      <c r="P27" s="14" t="n"/>
      <c r="Q27" s="14" t="n"/>
      <c r="R27" s="21">
        <f>ROUND(N(H27)*N(J27)-N(K27),2)</f>
        <v/>
      </c>
      <c r="S27" s="21">
        <f>ROUND(R27*IFERROR(VLOOKUP(P27,'Tax Codes'!$A$5:$E$300,5,FALSE),0),2)</f>
        <v/>
      </c>
      <c r="T27" s="21">
        <f>ROUND(R27*IFERROR(VLOOKUP(Q27,'Tax Codes'!$A$5:$E$300,5,FALSE),0),2)</f>
        <v/>
      </c>
      <c r="U27" s="21">
        <f>R27+S27-T27-N(L27)</f>
        <v/>
      </c>
      <c r="V27" s="16">
        <f>IF(C27="",INDEX('Chart of Accounts'!$A$5:$A$3000,MATCH("materials",'Chart of Accounts'!$F$5:$F$3000,0)),C27&amp;"")</f>
        <v/>
      </c>
      <c r="W27" s="16">
        <f>IF(N27="",INDEX('Chart of Accounts'!$A$5:$A$3000,MATCH("bank",'Chart of Accounts'!$F$5:$F$3000,0)),N27&amp;"")</f>
        <v/>
      </c>
      <c r="X27" s="16">
        <f>IF(O27="",INDEX('Chart of Accounts'!$A$5:$A$3000,MATCH("ap",'Chart of Accounts'!$F$5:$F$3000,0)),O27&amp;"")</f>
        <v/>
      </c>
      <c r="Y27" s="16">
        <f>INDEX('Chart of Accounts'!$A$5:$A$3000,MATCH("vat_input",'Chart of Accounts'!$F$5:$F$3000,0))</f>
        <v/>
      </c>
      <c r="Z27" s="16">
        <f>INDEX('Chart of Accounts'!$A$5:$A$3000,MATCH("wht_payable",'Chart of Accounts'!$F$5:$F$3000,0))</f>
        <v/>
      </c>
      <c r="AA27" s="23">
        <f>IFERROR(INDEX('Chart of Accounts'!$C$5:$C$3000,MATCH(V27&amp;"",'Chart of Accounts'!$A$5:$A$3000,0))&amp;"|"&amp;INDEX('Chart of Accounts'!$D$5:$D$3000,MATCH(V27&amp;"",'Chart of Accounts'!$A$5:$A$3000,0)),"")</f>
        <v/>
      </c>
      <c r="AB27" s="23">
        <f>IFERROR(INDEX('Chart of Accounts'!$C$5:$C$3000,MATCH(Y27&amp;"",'Chart of Accounts'!$A$5:$A$3000,0))&amp;"|"&amp;INDEX('Chart of Accounts'!$D$5:$D$3000,MATCH(Y27&amp;"",'Chart of Accounts'!$A$5:$A$3000,0)),"")</f>
        <v/>
      </c>
      <c r="AC27" s="23">
        <f>IFERROR(INDEX('Chart of Accounts'!$C$5:$C$3000,MATCH(W27&amp;"",'Chart of Accounts'!$A$5:$A$3000,0))&amp;"|"&amp;INDEX('Chart of Accounts'!$D$5:$D$3000,MATCH(W27&amp;"",'Chart of Accounts'!$A$5:$A$3000,0)),"")</f>
        <v/>
      </c>
      <c r="AD27" s="23">
        <f>IFERROR(INDEX('Chart of Accounts'!$C$5:$C$3000,MATCH(X27&amp;"",'Chart of Accounts'!$A$5:$A$3000,0))&amp;"|"&amp;INDEX('Chart of Accounts'!$D$5:$D$3000,MATCH(X27&amp;"",'Chart of Accounts'!$A$5:$A$3000,0)),"")</f>
        <v/>
      </c>
      <c r="AE27" s="23">
        <f>IFERROR(INDEX('Chart of Accounts'!$C$5:$C$3000,MATCH(Z27&amp;"",'Chart of Accounts'!$A$5:$A$3000,0))&amp;"|"&amp;INDEX('Chart of Accounts'!$D$5:$D$3000,MATCH(Z27&amp;"",'Chart of Accounts'!$A$5:$A$3000,0)),"")</f>
        <v/>
      </c>
      <c r="AF27" s="23">
        <f>IF(LEFT(AA27,8)="Revenue|",-N(R27),0)+IF(LEFT(AB27,8)="Revenue|",-N(S27),0)+IF(LEFT(AC27,8)="Revenue|",N(L27),0)+IF(LEFT(AD27,8)="Revenue|",N(U27),0)+IF(LEFT(AE27,8)="Revenue|",N(T27),0)</f>
        <v/>
      </c>
      <c r="AG27" s="23">
        <f>IF(LEFT(AA27,5)="COGS|",N(R27),0)+IF(LEFT(AB27,5)="COGS|",N(S27),0)+IF(LEFT(AC27,5)="COGS|",-N(L27),0)+IF(LEFT(AD27,5)="COGS|",-N(U27),0)+IF(LEFT(AE27,5)="COGS|",-N(T27),0)</f>
        <v/>
      </c>
      <c r="AH27" s="23">
        <f>IF(LEFT(AA27,8)="Expense|",N(R27),0)+IF(LEFT(AB27,8)="Expense|",N(S27),0)+IF(LEFT(AC27,8)="Expense|",-N(L27),0)+IF(LEFT(AD27,8)="Expense|",-N(U27),0)+IF(LEFT(AE27,8)="Expense|",-N(T27),0)</f>
        <v/>
      </c>
      <c r="AI27" s="23">
        <f>IF(ISNUMBER(MATCH(AA27,{"Expense|employee","Expense|general_admin","Expense|marketing","Expense|utilities","Expense|other_operating"},0)),N(R27),0)+IF(ISNUMBER(MATCH(AB27,{"Expense|employee","Expense|general_admin","Expense|marketing","Expense|utilities","Expense|other_operating"},0)),N(S27),0)+IF(ISNUMBER(MATCH(AC27,{"Expense|employee","Expense|general_admin","Expense|marketing","Expense|utilities","Expense|other_operating"},0)),-N(L27),0)+IF(ISNUMBER(MATCH(AD27,{"Expense|employee","Expense|general_admin","Expense|marketing","Expense|utilities","Expense|other_operating"},0)),-N(U27),0)+IF(ISNUMBER(MATCH(AE27,{"Expense|employee","Expense|general_admin","Expense|marketing","Expense|utilities","Expense|other_operating"},0)),-N(T27),0)</f>
        <v/>
      </c>
      <c r="AJ27" s="23">
        <f>IF(AA27="Liability|payable",-N(R27),0)+IF(AB27="Liability|payable",-N(S27),0)+IF(AC27="Liability|payable",N(L27),0)+IF(AD27="Liability|payable",N(U27),0)+IF(AE27="Liability|payable",N(T27),0)</f>
        <v/>
      </c>
      <c r="AK27" s="23">
        <f>IF(AA27="Liability|accrued",-N(R27),0)+IF(AB27="Liability|accrued",-N(S27),0)+IF(AC27="Liability|accrued",N(L27),0)+IF(AD27="Liability|accrued",N(U27),0)+IF(AE27="Liability|accrued",N(T27),0)</f>
        <v/>
      </c>
      <c r="AL27" s="23">
        <f>IF(AND(N(R27)&lt;&gt;0,AA27=""),1,0)+IF(AND(N(S27)&lt;&gt;0,AB27=""),1,0)+IF(AND(N(L27)&lt;&gt;0,AC27=""),1,0)+IF(AND(N(U27)&lt;&gt;0,AD27=""),1,0)+IF(AND(N(T27)&lt;&gt;0,AE27=""),1,0)</f>
        <v/>
      </c>
    </row>
    <row r="28">
      <c r="A28" s="19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20" t="n"/>
      <c r="K28" s="20" t="n"/>
      <c r="L28" s="20" t="n"/>
      <c r="M28" s="14" t="n"/>
      <c r="N28" s="14" t="n"/>
      <c r="O28" s="14" t="n"/>
      <c r="P28" s="14" t="n"/>
      <c r="Q28" s="14" t="n"/>
      <c r="R28" s="21">
        <f>ROUND(N(H28)*N(J28)-N(K28),2)</f>
        <v/>
      </c>
      <c r="S28" s="21">
        <f>ROUND(R28*IFERROR(VLOOKUP(P28,'Tax Codes'!$A$5:$E$300,5,FALSE),0),2)</f>
        <v/>
      </c>
      <c r="T28" s="21">
        <f>ROUND(R28*IFERROR(VLOOKUP(Q28,'Tax Codes'!$A$5:$E$300,5,FALSE),0),2)</f>
        <v/>
      </c>
      <c r="U28" s="21">
        <f>R28+S28-T28-N(L28)</f>
        <v/>
      </c>
      <c r="V28" s="16">
        <f>IF(C28="",INDEX('Chart of Accounts'!$A$5:$A$3000,MATCH("materials",'Chart of Accounts'!$F$5:$F$3000,0)),C28&amp;"")</f>
        <v/>
      </c>
      <c r="W28" s="16">
        <f>IF(N28="",INDEX('Chart of Accounts'!$A$5:$A$3000,MATCH("bank",'Chart of Accounts'!$F$5:$F$3000,0)),N28&amp;"")</f>
        <v/>
      </c>
      <c r="X28" s="16">
        <f>IF(O28="",INDEX('Chart of Accounts'!$A$5:$A$3000,MATCH("ap",'Chart of Accounts'!$F$5:$F$3000,0)),O28&amp;"")</f>
        <v/>
      </c>
      <c r="Y28" s="16">
        <f>INDEX('Chart of Accounts'!$A$5:$A$3000,MATCH("vat_input",'Chart of Accounts'!$F$5:$F$3000,0))</f>
        <v/>
      </c>
      <c r="Z28" s="16">
        <f>INDEX('Chart of Accounts'!$A$5:$A$3000,MATCH("wht_payable",'Chart of Accounts'!$F$5:$F$3000,0))</f>
        <v/>
      </c>
      <c r="AA28" s="23">
        <f>IFERROR(INDEX('Chart of Accounts'!$C$5:$C$3000,MATCH(V28&amp;"",'Chart of Accounts'!$A$5:$A$3000,0))&amp;"|"&amp;INDEX('Chart of Accounts'!$D$5:$D$3000,MATCH(V28&amp;"",'Chart of Accounts'!$A$5:$A$3000,0)),"")</f>
        <v/>
      </c>
      <c r="AB28" s="23">
        <f>IFERROR(INDEX('Chart of Accounts'!$C$5:$C$3000,MATCH(Y28&amp;"",'Chart of Accounts'!$A$5:$A$3000,0))&amp;"|"&amp;INDEX('Chart of Accounts'!$D$5:$D$3000,MATCH(Y28&amp;"",'Chart of Accounts'!$A$5:$A$3000,0)),"")</f>
        <v/>
      </c>
      <c r="AC28" s="23">
        <f>IFERROR(INDEX('Chart of Accounts'!$C$5:$C$3000,MATCH(W28&amp;"",'Chart of Accounts'!$A$5:$A$3000,0))&amp;"|"&amp;INDEX('Chart of Accounts'!$D$5:$D$3000,MATCH(W28&amp;"",'Chart of Accounts'!$A$5:$A$3000,0)),"")</f>
        <v/>
      </c>
      <c r="AD28" s="23">
        <f>IFERROR(INDEX('Chart of Accounts'!$C$5:$C$3000,MATCH(X28&amp;"",'Chart of Accounts'!$A$5:$A$3000,0))&amp;"|"&amp;INDEX('Chart of Accounts'!$D$5:$D$3000,MATCH(X28&amp;"",'Chart of Accounts'!$A$5:$A$3000,0)),"")</f>
        <v/>
      </c>
      <c r="AE28" s="23">
        <f>IFERROR(INDEX('Chart of Accounts'!$C$5:$C$3000,MATCH(Z28&amp;"",'Chart of Accounts'!$A$5:$A$3000,0))&amp;"|"&amp;INDEX('Chart of Accounts'!$D$5:$D$3000,MATCH(Z28&amp;"",'Chart of Accounts'!$A$5:$A$3000,0)),"")</f>
        <v/>
      </c>
      <c r="AF28" s="23">
        <f>IF(LEFT(AA28,8)="Revenue|",-N(R28),0)+IF(LEFT(AB28,8)="Revenue|",-N(S28),0)+IF(LEFT(AC28,8)="Revenue|",N(L28),0)+IF(LEFT(AD28,8)="Revenue|",N(U28),0)+IF(LEFT(AE28,8)="Revenue|",N(T28),0)</f>
        <v/>
      </c>
      <c r="AG28" s="23">
        <f>IF(LEFT(AA28,5)="COGS|",N(R28),0)+IF(LEFT(AB28,5)="COGS|",N(S28),0)+IF(LEFT(AC28,5)="COGS|",-N(L28),0)+IF(LEFT(AD28,5)="COGS|",-N(U28),0)+IF(LEFT(AE28,5)="COGS|",-N(T28),0)</f>
        <v/>
      </c>
      <c r="AH28" s="23">
        <f>IF(LEFT(AA28,8)="Expense|",N(R28),0)+IF(LEFT(AB28,8)="Expense|",N(S28),0)+IF(LEFT(AC28,8)="Expense|",-N(L28),0)+IF(LEFT(AD28,8)="Expense|",-N(U28),0)+IF(LEFT(AE28,8)="Expense|",-N(T28),0)</f>
        <v/>
      </c>
      <c r="AI28" s="23">
        <f>IF(ISNUMBER(MATCH(AA28,{"Expense|employee","Expense|general_admin","Expense|marketing","Expense|utilities","Expense|other_operating"},0)),N(R28),0)+IF(ISNUMBER(MATCH(AB28,{"Expense|employee","Expense|general_admin","Expense|marketing","Expense|utilities","Expense|other_operating"},0)),N(S28),0)+IF(ISNUMBER(MATCH(AC28,{"Expense|employee","Expense|general_admin","Expense|marketing","Expense|utilities","Expense|other_operating"},0)),-N(L28),0)+IF(ISNUMBER(MATCH(AD28,{"Expense|employee","Expense|general_admin","Expense|marketing","Expense|utilities","Expense|other_operating"},0)),-N(U28),0)+IF(ISNUMBER(MATCH(AE28,{"Expense|employee","Expense|general_admin","Expense|marketing","Expense|utilities","Expense|other_operating"},0)),-N(T28),0)</f>
        <v/>
      </c>
      <c r="AJ28" s="23">
        <f>IF(AA28="Liability|payable",-N(R28),0)+IF(AB28="Liability|payable",-N(S28),0)+IF(AC28="Liability|payable",N(L28),0)+IF(AD28="Liability|payable",N(U28),0)+IF(AE28="Liability|payable",N(T28),0)</f>
        <v/>
      </c>
      <c r="AK28" s="23">
        <f>IF(AA28="Liability|accrued",-N(R28),0)+IF(AB28="Liability|accrued",-N(S28),0)+IF(AC28="Liability|accrued",N(L28),0)+IF(AD28="Liability|accrued",N(U28),0)+IF(AE28="Liability|accrued",N(T28),0)</f>
        <v/>
      </c>
      <c r="AL28" s="23">
        <f>IF(AND(N(R28)&lt;&gt;0,AA28=""),1,0)+IF(AND(N(S28)&lt;&gt;0,AB28=""),1,0)+IF(AND(N(L28)&lt;&gt;0,AC28=""),1,0)+IF(AND(N(U28)&lt;&gt;0,AD28=""),1,0)+IF(AND(N(T28)&lt;&gt;0,AE28=""),1,0)</f>
        <v/>
      </c>
    </row>
    <row r="29">
      <c r="A29" s="19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20" t="n"/>
      <c r="K29" s="20" t="n"/>
      <c r="L29" s="20" t="n"/>
      <c r="M29" s="14" t="n"/>
      <c r="N29" s="14" t="n"/>
      <c r="O29" s="14" t="n"/>
      <c r="P29" s="14" t="n"/>
      <c r="Q29" s="14" t="n"/>
      <c r="R29" s="21">
        <f>ROUND(N(H29)*N(J29)-N(K29),2)</f>
        <v/>
      </c>
      <c r="S29" s="21">
        <f>ROUND(R29*IFERROR(VLOOKUP(P29,'Tax Codes'!$A$5:$E$300,5,FALSE),0),2)</f>
        <v/>
      </c>
      <c r="T29" s="21">
        <f>ROUND(R29*IFERROR(VLOOKUP(Q29,'Tax Codes'!$A$5:$E$300,5,FALSE),0),2)</f>
        <v/>
      </c>
      <c r="U29" s="21">
        <f>R29+S29-T29-N(L29)</f>
        <v/>
      </c>
      <c r="V29" s="16">
        <f>IF(C29="",INDEX('Chart of Accounts'!$A$5:$A$3000,MATCH("materials",'Chart of Accounts'!$F$5:$F$3000,0)),C29&amp;"")</f>
        <v/>
      </c>
      <c r="W29" s="16">
        <f>IF(N29="",INDEX('Chart of Accounts'!$A$5:$A$3000,MATCH("bank",'Chart of Accounts'!$F$5:$F$3000,0)),N29&amp;"")</f>
        <v/>
      </c>
      <c r="X29" s="16">
        <f>IF(O29="",INDEX('Chart of Accounts'!$A$5:$A$3000,MATCH("ap",'Chart of Accounts'!$F$5:$F$3000,0)),O29&amp;"")</f>
        <v/>
      </c>
      <c r="Y29" s="16">
        <f>INDEX('Chart of Accounts'!$A$5:$A$3000,MATCH("vat_input",'Chart of Accounts'!$F$5:$F$3000,0))</f>
        <v/>
      </c>
      <c r="Z29" s="16">
        <f>INDEX('Chart of Accounts'!$A$5:$A$3000,MATCH("wht_payable",'Chart of Accounts'!$F$5:$F$3000,0))</f>
        <v/>
      </c>
      <c r="AA29" s="23">
        <f>IFERROR(INDEX('Chart of Accounts'!$C$5:$C$3000,MATCH(V29&amp;"",'Chart of Accounts'!$A$5:$A$3000,0))&amp;"|"&amp;INDEX('Chart of Accounts'!$D$5:$D$3000,MATCH(V29&amp;"",'Chart of Accounts'!$A$5:$A$3000,0)),"")</f>
        <v/>
      </c>
      <c r="AB29" s="23">
        <f>IFERROR(INDEX('Chart of Accounts'!$C$5:$C$3000,MATCH(Y29&amp;"",'Chart of Accounts'!$A$5:$A$3000,0))&amp;"|"&amp;INDEX('Chart of Accounts'!$D$5:$D$3000,MATCH(Y29&amp;"",'Chart of Accounts'!$A$5:$A$3000,0)),"")</f>
        <v/>
      </c>
      <c r="AC29" s="23">
        <f>IFERROR(INDEX('Chart of Accounts'!$C$5:$C$3000,MATCH(W29&amp;"",'Chart of Accounts'!$A$5:$A$3000,0))&amp;"|"&amp;INDEX('Chart of Accounts'!$D$5:$D$3000,MATCH(W29&amp;"",'Chart of Accounts'!$A$5:$A$3000,0)),"")</f>
        <v/>
      </c>
      <c r="AD29" s="23">
        <f>IFERROR(INDEX('Chart of Accounts'!$C$5:$C$3000,MATCH(X29&amp;"",'Chart of Accounts'!$A$5:$A$3000,0))&amp;"|"&amp;INDEX('Chart of Accounts'!$D$5:$D$3000,MATCH(X29&amp;"",'Chart of Accounts'!$A$5:$A$3000,0)),"")</f>
        <v/>
      </c>
      <c r="AE29" s="23">
        <f>IFERROR(INDEX('Chart of Accounts'!$C$5:$C$3000,MATCH(Z29&amp;"",'Chart of Accounts'!$A$5:$A$3000,0))&amp;"|"&amp;INDEX('Chart of Accounts'!$D$5:$D$3000,MATCH(Z29&amp;"",'Chart of Accounts'!$A$5:$A$3000,0)),"")</f>
        <v/>
      </c>
      <c r="AF29" s="23">
        <f>IF(LEFT(AA29,8)="Revenue|",-N(R29),0)+IF(LEFT(AB29,8)="Revenue|",-N(S29),0)+IF(LEFT(AC29,8)="Revenue|",N(L29),0)+IF(LEFT(AD29,8)="Revenue|",N(U29),0)+IF(LEFT(AE29,8)="Revenue|",N(T29),0)</f>
        <v/>
      </c>
      <c r="AG29" s="23">
        <f>IF(LEFT(AA29,5)="COGS|",N(R29),0)+IF(LEFT(AB29,5)="COGS|",N(S29),0)+IF(LEFT(AC29,5)="COGS|",-N(L29),0)+IF(LEFT(AD29,5)="COGS|",-N(U29),0)+IF(LEFT(AE29,5)="COGS|",-N(T29),0)</f>
        <v/>
      </c>
      <c r="AH29" s="23">
        <f>IF(LEFT(AA29,8)="Expense|",N(R29),0)+IF(LEFT(AB29,8)="Expense|",N(S29),0)+IF(LEFT(AC29,8)="Expense|",-N(L29),0)+IF(LEFT(AD29,8)="Expense|",-N(U29),0)+IF(LEFT(AE29,8)="Expense|",-N(T29),0)</f>
        <v/>
      </c>
      <c r="AI29" s="23">
        <f>IF(ISNUMBER(MATCH(AA29,{"Expense|employee","Expense|general_admin","Expense|marketing","Expense|utilities","Expense|other_operating"},0)),N(R29),0)+IF(ISNUMBER(MATCH(AB29,{"Expense|employee","Expense|general_admin","Expense|marketing","Expense|utilities","Expense|other_operating"},0)),N(S29),0)+IF(ISNUMBER(MATCH(AC29,{"Expense|employee","Expense|general_admin","Expense|marketing","Expense|utilities","Expense|other_operating"},0)),-N(L29),0)+IF(ISNUMBER(MATCH(AD29,{"Expense|employee","Expense|general_admin","Expense|marketing","Expense|utilities","Expense|other_operating"},0)),-N(U29),0)+IF(ISNUMBER(MATCH(AE29,{"Expense|employee","Expense|general_admin","Expense|marketing","Expense|utilities","Expense|other_operating"},0)),-N(T29),0)</f>
        <v/>
      </c>
      <c r="AJ29" s="23">
        <f>IF(AA29="Liability|payable",-N(R29),0)+IF(AB29="Liability|payable",-N(S29),0)+IF(AC29="Liability|payable",N(L29),0)+IF(AD29="Liability|payable",N(U29),0)+IF(AE29="Liability|payable",N(T29),0)</f>
        <v/>
      </c>
      <c r="AK29" s="23">
        <f>IF(AA29="Liability|accrued",-N(R29),0)+IF(AB29="Liability|accrued",-N(S29),0)+IF(AC29="Liability|accrued",N(L29),0)+IF(AD29="Liability|accrued",N(U29),0)+IF(AE29="Liability|accrued",N(T29),0)</f>
        <v/>
      </c>
      <c r="AL29" s="23">
        <f>IF(AND(N(R29)&lt;&gt;0,AA29=""),1,0)+IF(AND(N(S29)&lt;&gt;0,AB29=""),1,0)+IF(AND(N(L29)&lt;&gt;0,AC29=""),1,0)+IF(AND(N(U29)&lt;&gt;0,AD29=""),1,0)+IF(AND(N(T29)&lt;&gt;0,AE29=""),1,0)</f>
        <v/>
      </c>
    </row>
    <row r="30">
      <c r="A30" s="19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20" t="n"/>
      <c r="K30" s="20" t="n"/>
      <c r="L30" s="20" t="n"/>
      <c r="M30" s="14" t="n"/>
      <c r="N30" s="14" t="n"/>
      <c r="O30" s="14" t="n"/>
      <c r="P30" s="14" t="n"/>
      <c r="Q30" s="14" t="n"/>
      <c r="R30" s="21">
        <f>ROUND(N(H30)*N(J30)-N(K30),2)</f>
        <v/>
      </c>
      <c r="S30" s="21">
        <f>ROUND(R30*IFERROR(VLOOKUP(P30,'Tax Codes'!$A$5:$E$300,5,FALSE),0),2)</f>
        <v/>
      </c>
      <c r="T30" s="21">
        <f>ROUND(R30*IFERROR(VLOOKUP(Q30,'Tax Codes'!$A$5:$E$300,5,FALSE),0),2)</f>
        <v/>
      </c>
      <c r="U30" s="21">
        <f>R30+S30-T30-N(L30)</f>
        <v/>
      </c>
      <c r="V30" s="16">
        <f>IF(C30="",INDEX('Chart of Accounts'!$A$5:$A$3000,MATCH("materials",'Chart of Accounts'!$F$5:$F$3000,0)),C30&amp;"")</f>
        <v/>
      </c>
      <c r="W30" s="16">
        <f>IF(N30="",INDEX('Chart of Accounts'!$A$5:$A$3000,MATCH("bank",'Chart of Accounts'!$F$5:$F$3000,0)),N30&amp;"")</f>
        <v/>
      </c>
      <c r="X30" s="16">
        <f>IF(O30="",INDEX('Chart of Accounts'!$A$5:$A$3000,MATCH("ap",'Chart of Accounts'!$F$5:$F$3000,0)),O30&amp;"")</f>
        <v/>
      </c>
      <c r="Y30" s="16">
        <f>INDEX('Chart of Accounts'!$A$5:$A$3000,MATCH("vat_input",'Chart of Accounts'!$F$5:$F$3000,0))</f>
        <v/>
      </c>
      <c r="Z30" s="16">
        <f>INDEX('Chart of Accounts'!$A$5:$A$3000,MATCH("wht_payable",'Chart of Accounts'!$F$5:$F$3000,0))</f>
        <v/>
      </c>
      <c r="AA30" s="23">
        <f>IFERROR(INDEX('Chart of Accounts'!$C$5:$C$3000,MATCH(V30&amp;"",'Chart of Accounts'!$A$5:$A$3000,0))&amp;"|"&amp;INDEX('Chart of Accounts'!$D$5:$D$3000,MATCH(V30&amp;"",'Chart of Accounts'!$A$5:$A$3000,0)),"")</f>
        <v/>
      </c>
      <c r="AB30" s="23">
        <f>IFERROR(INDEX('Chart of Accounts'!$C$5:$C$3000,MATCH(Y30&amp;"",'Chart of Accounts'!$A$5:$A$3000,0))&amp;"|"&amp;INDEX('Chart of Accounts'!$D$5:$D$3000,MATCH(Y30&amp;"",'Chart of Accounts'!$A$5:$A$3000,0)),"")</f>
        <v/>
      </c>
      <c r="AC30" s="23">
        <f>IFERROR(INDEX('Chart of Accounts'!$C$5:$C$3000,MATCH(W30&amp;"",'Chart of Accounts'!$A$5:$A$3000,0))&amp;"|"&amp;INDEX('Chart of Accounts'!$D$5:$D$3000,MATCH(W30&amp;"",'Chart of Accounts'!$A$5:$A$3000,0)),"")</f>
        <v/>
      </c>
      <c r="AD30" s="23">
        <f>IFERROR(INDEX('Chart of Accounts'!$C$5:$C$3000,MATCH(X30&amp;"",'Chart of Accounts'!$A$5:$A$3000,0))&amp;"|"&amp;INDEX('Chart of Accounts'!$D$5:$D$3000,MATCH(X30&amp;"",'Chart of Accounts'!$A$5:$A$3000,0)),"")</f>
        <v/>
      </c>
      <c r="AE30" s="23">
        <f>IFERROR(INDEX('Chart of Accounts'!$C$5:$C$3000,MATCH(Z30&amp;"",'Chart of Accounts'!$A$5:$A$3000,0))&amp;"|"&amp;INDEX('Chart of Accounts'!$D$5:$D$3000,MATCH(Z30&amp;"",'Chart of Accounts'!$A$5:$A$3000,0)),"")</f>
        <v/>
      </c>
      <c r="AF30" s="23">
        <f>IF(LEFT(AA30,8)="Revenue|",-N(R30),0)+IF(LEFT(AB30,8)="Revenue|",-N(S30),0)+IF(LEFT(AC30,8)="Revenue|",N(L30),0)+IF(LEFT(AD30,8)="Revenue|",N(U30),0)+IF(LEFT(AE30,8)="Revenue|",N(T30),0)</f>
        <v/>
      </c>
      <c r="AG30" s="23">
        <f>IF(LEFT(AA30,5)="COGS|",N(R30),0)+IF(LEFT(AB30,5)="COGS|",N(S30),0)+IF(LEFT(AC30,5)="COGS|",-N(L30),0)+IF(LEFT(AD30,5)="COGS|",-N(U30),0)+IF(LEFT(AE30,5)="COGS|",-N(T30),0)</f>
        <v/>
      </c>
      <c r="AH30" s="23">
        <f>IF(LEFT(AA30,8)="Expense|",N(R30),0)+IF(LEFT(AB30,8)="Expense|",N(S30),0)+IF(LEFT(AC30,8)="Expense|",-N(L30),0)+IF(LEFT(AD30,8)="Expense|",-N(U30),0)+IF(LEFT(AE30,8)="Expense|",-N(T30),0)</f>
        <v/>
      </c>
      <c r="AI30" s="23">
        <f>IF(ISNUMBER(MATCH(AA30,{"Expense|employee","Expense|general_admin","Expense|marketing","Expense|utilities","Expense|other_operating"},0)),N(R30),0)+IF(ISNUMBER(MATCH(AB30,{"Expense|employee","Expense|general_admin","Expense|marketing","Expense|utilities","Expense|other_operating"},0)),N(S30),0)+IF(ISNUMBER(MATCH(AC30,{"Expense|employee","Expense|general_admin","Expense|marketing","Expense|utilities","Expense|other_operating"},0)),-N(L30),0)+IF(ISNUMBER(MATCH(AD30,{"Expense|employee","Expense|general_admin","Expense|marketing","Expense|utilities","Expense|other_operating"},0)),-N(U30),0)+IF(ISNUMBER(MATCH(AE30,{"Expense|employee","Expense|general_admin","Expense|marketing","Expense|utilities","Expense|other_operating"},0)),-N(T30),0)</f>
        <v/>
      </c>
      <c r="AJ30" s="23">
        <f>IF(AA30="Liability|payable",-N(R30),0)+IF(AB30="Liability|payable",-N(S30),0)+IF(AC30="Liability|payable",N(L30),0)+IF(AD30="Liability|payable",N(U30),0)+IF(AE30="Liability|payable",N(T30),0)</f>
        <v/>
      </c>
      <c r="AK30" s="23">
        <f>IF(AA30="Liability|accrued",-N(R30),0)+IF(AB30="Liability|accrued",-N(S30),0)+IF(AC30="Liability|accrued",N(L30),0)+IF(AD30="Liability|accrued",N(U30),0)+IF(AE30="Liability|accrued",N(T30),0)</f>
        <v/>
      </c>
      <c r="AL30" s="23">
        <f>IF(AND(N(R30)&lt;&gt;0,AA30=""),1,0)+IF(AND(N(S30)&lt;&gt;0,AB30=""),1,0)+IF(AND(N(L30)&lt;&gt;0,AC30=""),1,0)+IF(AND(N(U30)&lt;&gt;0,AD30=""),1,0)+IF(AND(N(T30)&lt;&gt;0,AE30=""),1,0)</f>
        <v/>
      </c>
    </row>
    <row r="31">
      <c r="A31" s="19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20" t="n"/>
      <c r="K31" s="20" t="n"/>
      <c r="L31" s="20" t="n"/>
      <c r="M31" s="14" t="n"/>
      <c r="N31" s="14" t="n"/>
      <c r="O31" s="14" t="n"/>
      <c r="P31" s="14" t="n"/>
      <c r="Q31" s="14" t="n"/>
      <c r="R31" s="21">
        <f>ROUND(N(H31)*N(J31)-N(K31),2)</f>
        <v/>
      </c>
      <c r="S31" s="21">
        <f>ROUND(R31*IFERROR(VLOOKUP(P31,'Tax Codes'!$A$5:$E$300,5,FALSE),0),2)</f>
        <v/>
      </c>
      <c r="T31" s="21">
        <f>ROUND(R31*IFERROR(VLOOKUP(Q31,'Tax Codes'!$A$5:$E$300,5,FALSE),0),2)</f>
        <v/>
      </c>
      <c r="U31" s="21">
        <f>R31+S31-T31-N(L31)</f>
        <v/>
      </c>
      <c r="V31" s="16">
        <f>IF(C31="",INDEX('Chart of Accounts'!$A$5:$A$3000,MATCH("materials",'Chart of Accounts'!$F$5:$F$3000,0)),C31&amp;"")</f>
        <v/>
      </c>
      <c r="W31" s="16">
        <f>IF(N31="",INDEX('Chart of Accounts'!$A$5:$A$3000,MATCH("bank",'Chart of Accounts'!$F$5:$F$3000,0)),N31&amp;"")</f>
        <v/>
      </c>
      <c r="X31" s="16">
        <f>IF(O31="",INDEX('Chart of Accounts'!$A$5:$A$3000,MATCH("ap",'Chart of Accounts'!$F$5:$F$3000,0)),O31&amp;"")</f>
        <v/>
      </c>
      <c r="Y31" s="16">
        <f>INDEX('Chart of Accounts'!$A$5:$A$3000,MATCH("vat_input",'Chart of Accounts'!$F$5:$F$3000,0))</f>
        <v/>
      </c>
      <c r="Z31" s="16">
        <f>INDEX('Chart of Accounts'!$A$5:$A$3000,MATCH("wht_payable",'Chart of Accounts'!$F$5:$F$3000,0))</f>
        <v/>
      </c>
      <c r="AA31" s="23">
        <f>IFERROR(INDEX('Chart of Accounts'!$C$5:$C$3000,MATCH(V31&amp;"",'Chart of Accounts'!$A$5:$A$3000,0))&amp;"|"&amp;INDEX('Chart of Accounts'!$D$5:$D$3000,MATCH(V31&amp;"",'Chart of Accounts'!$A$5:$A$3000,0)),"")</f>
        <v/>
      </c>
      <c r="AB31" s="23">
        <f>IFERROR(INDEX('Chart of Accounts'!$C$5:$C$3000,MATCH(Y31&amp;"",'Chart of Accounts'!$A$5:$A$3000,0))&amp;"|"&amp;INDEX('Chart of Accounts'!$D$5:$D$3000,MATCH(Y31&amp;"",'Chart of Accounts'!$A$5:$A$3000,0)),"")</f>
        <v/>
      </c>
      <c r="AC31" s="23">
        <f>IFERROR(INDEX('Chart of Accounts'!$C$5:$C$3000,MATCH(W31&amp;"",'Chart of Accounts'!$A$5:$A$3000,0))&amp;"|"&amp;INDEX('Chart of Accounts'!$D$5:$D$3000,MATCH(W31&amp;"",'Chart of Accounts'!$A$5:$A$3000,0)),"")</f>
        <v/>
      </c>
      <c r="AD31" s="23">
        <f>IFERROR(INDEX('Chart of Accounts'!$C$5:$C$3000,MATCH(X31&amp;"",'Chart of Accounts'!$A$5:$A$3000,0))&amp;"|"&amp;INDEX('Chart of Accounts'!$D$5:$D$3000,MATCH(X31&amp;"",'Chart of Accounts'!$A$5:$A$3000,0)),"")</f>
        <v/>
      </c>
      <c r="AE31" s="23">
        <f>IFERROR(INDEX('Chart of Accounts'!$C$5:$C$3000,MATCH(Z31&amp;"",'Chart of Accounts'!$A$5:$A$3000,0))&amp;"|"&amp;INDEX('Chart of Accounts'!$D$5:$D$3000,MATCH(Z31&amp;"",'Chart of Accounts'!$A$5:$A$3000,0)),"")</f>
        <v/>
      </c>
      <c r="AF31" s="23">
        <f>IF(LEFT(AA31,8)="Revenue|",-N(R31),0)+IF(LEFT(AB31,8)="Revenue|",-N(S31),0)+IF(LEFT(AC31,8)="Revenue|",N(L31),0)+IF(LEFT(AD31,8)="Revenue|",N(U31),0)+IF(LEFT(AE31,8)="Revenue|",N(T31),0)</f>
        <v/>
      </c>
      <c r="AG31" s="23">
        <f>IF(LEFT(AA31,5)="COGS|",N(R31),0)+IF(LEFT(AB31,5)="COGS|",N(S31),0)+IF(LEFT(AC31,5)="COGS|",-N(L31),0)+IF(LEFT(AD31,5)="COGS|",-N(U31),0)+IF(LEFT(AE31,5)="COGS|",-N(T31),0)</f>
        <v/>
      </c>
      <c r="AH31" s="23">
        <f>IF(LEFT(AA31,8)="Expense|",N(R31),0)+IF(LEFT(AB31,8)="Expense|",N(S31),0)+IF(LEFT(AC31,8)="Expense|",-N(L31),0)+IF(LEFT(AD31,8)="Expense|",-N(U31),0)+IF(LEFT(AE31,8)="Expense|",-N(T31),0)</f>
        <v/>
      </c>
      <c r="AI31" s="23">
        <f>IF(ISNUMBER(MATCH(AA31,{"Expense|employee","Expense|general_admin","Expense|marketing","Expense|utilities","Expense|other_operating"},0)),N(R31),0)+IF(ISNUMBER(MATCH(AB31,{"Expense|employee","Expense|general_admin","Expense|marketing","Expense|utilities","Expense|other_operating"},0)),N(S31),0)+IF(ISNUMBER(MATCH(AC31,{"Expense|employee","Expense|general_admin","Expense|marketing","Expense|utilities","Expense|other_operating"},0)),-N(L31),0)+IF(ISNUMBER(MATCH(AD31,{"Expense|employee","Expense|general_admin","Expense|marketing","Expense|utilities","Expense|other_operating"},0)),-N(U31),0)+IF(ISNUMBER(MATCH(AE31,{"Expense|employee","Expense|general_admin","Expense|marketing","Expense|utilities","Expense|other_operating"},0)),-N(T31),0)</f>
        <v/>
      </c>
      <c r="AJ31" s="23">
        <f>IF(AA31="Liability|payable",-N(R31),0)+IF(AB31="Liability|payable",-N(S31),0)+IF(AC31="Liability|payable",N(L31),0)+IF(AD31="Liability|payable",N(U31),0)+IF(AE31="Liability|payable",N(T31),0)</f>
        <v/>
      </c>
      <c r="AK31" s="23">
        <f>IF(AA31="Liability|accrued",-N(R31),0)+IF(AB31="Liability|accrued",-N(S31),0)+IF(AC31="Liability|accrued",N(L31),0)+IF(AD31="Liability|accrued",N(U31),0)+IF(AE31="Liability|accrued",N(T31),0)</f>
        <v/>
      </c>
      <c r="AL31" s="23">
        <f>IF(AND(N(R31)&lt;&gt;0,AA31=""),1,0)+IF(AND(N(S31)&lt;&gt;0,AB31=""),1,0)+IF(AND(N(L31)&lt;&gt;0,AC31=""),1,0)+IF(AND(N(U31)&lt;&gt;0,AD31=""),1,0)+IF(AND(N(T31)&lt;&gt;0,AE31=""),1,0)</f>
        <v/>
      </c>
    </row>
    <row r="32">
      <c r="A32" s="19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20" t="n"/>
      <c r="K32" s="20" t="n"/>
      <c r="L32" s="20" t="n"/>
      <c r="M32" s="14" t="n"/>
      <c r="N32" s="14" t="n"/>
      <c r="O32" s="14" t="n"/>
      <c r="P32" s="14" t="n"/>
      <c r="Q32" s="14" t="n"/>
      <c r="R32" s="21">
        <f>ROUND(N(H32)*N(J32)-N(K32),2)</f>
        <v/>
      </c>
      <c r="S32" s="21">
        <f>ROUND(R32*IFERROR(VLOOKUP(P32,'Tax Codes'!$A$5:$E$300,5,FALSE),0),2)</f>
        <v/>
      </c>
      <c r="T32" s="21">
        <f>ROUND(R32*IFERROR(VLOOKUP(Q32,'Tax Codes'!$A$5:$E$300,5,FALSE),0),2)</f>
        <v/>
      </c>
      <c r="U32" s="21">
        <f>R32+S32-T32-N(L32)</f>
        <v/>
      </c>
      <c r="V32" s="16">
        <f>IF(C32="",INDEX('Chart of Accounts'!$A$5:$A$3000,MATCH("materials",'Chart of Accounts'!$F$5:$F$3000,0)),C32&amp;"")</f>
        <v/>
      </c>
      <c r="W32" s="16">
        <f>IF(N32="",INDEX('Chart of Accounts'!$A$5:$A$3000,MATCH("bank",'Chart of Accounts'!$F$5:$F$3000,0)),N32&amp;"")</f>
        <v/>
      </c>
      <c r="X32" s="16">
        <f>IF(O32="",INDEX('Chart of Accounts'!$A$5:$A$3000,MATCH("ap",'Chart of Accounts'!$F$5:$F$3000,0)),O32&amp;"")</f>
        <v/>
      </c>
      <c r="Y32" s="16">
        <f>INDEX('Chart of Accounts'!$A$5:$A$3000,MATCH("vat_input",'Chart of Accounts'!$F$5:$F$3000,0))</f>
        <v/>
      </c>
      <c r="Z32" s="16">
        <f>INDEX('Chart of Accounts'!$A$5:$A$3000,MATCH("wht_payable",'Chart of Accounts'!$F$5:$F$3000,0))</f>
        <v/>
      </c>
      <c r="AA32" s="23">
        <f>IFERROR(INDEX('Chart of Accounts'!$C$5:$C$3000,MATCH(V32&amp;"",'Chart of Accounts'!$A$5:$A$3000,0))&amp;"|"&amp;INDEX('Chart of Accounts'!$D$5:$D$3000,MATCH(V32&amp;"",'Chart of Accounts'!$A$5:$A$3000,0)),"")</f>
        <v/>
      </c>
      <c r="AB32" s="23">
        <f>IFERROR(INDEX('Chart of Accounts'!$C$5:$C$3000,MATCH(Y32&amp;"",'Chart of Accounts'!$A$5:$A$3000,0))&amp;"|"&amp;INDEX('Chart of Accounts'!$D$5:$D$3000,MATCH(Y32&amp;"",'Chart of Accounts'!$A$5:$A$3000,0)),"")</f>
        <v/>
      </c>
      <c r="AC32" s="23">
        <f>IFERROR(INDEX('Chart of Accounts'!$C$5:$C$3000,MATCH(W32&amp;"",'Chart of Accounts'!$A$5:$A$3000,0))&amp;"|"&amp;INDEX('Chart of Accounts'!$D$5:$D$3000,MATCH(W32&amp;"",'Chart of Accounts'!$A$5:$A$3000,0)),"")</f>
        <v/>
      </c>
      <c r="AD32" s="23">
        <f>IFERROR(INDEX('Chart of Accounts'!$C$5:$C$3000,MATCH(X32&amp;"",'Chart of Accounts'!$A$5:$A$3000,0))&amp;"|"&amp;INDEX('Chart of Accounts'!$D$5:$D$3000,MATCH(X32&amp;"",'Chart of Accounts'!$A$5:$A$3000,0)),"")</f>
        <v/>
      </c>
      <c r="AE32" s="23">
        <f>IFERROR(INDEX('Chart of Accounts'!$C$5:$C$3000,MATCH(Z32&amp;"",'Chart of Accounts'!$A$5:$A$3000,0))&amp;"|"&amp;INDEX('Chart of Accounts'!$D$5:$D$3000,MATCH(Z32&amp;"",'Chart of Accounts'!$A$5:$A$3000,0)),"")</f>
        <v/>
      </c>
      <c r="AF32" s="23">
        <f>IF(LEFT(AA32,8)="Revenue|",-N(R32),0)+IF(LEFT(AB32,8)="Revenue|",-N(S32),0)+IF(LEFT(AC32,8)="Revenue|",N(L32),0)+IF(LEFT(AD32,8)="Revenue|",N(U32),0)+IF(LEFT(AE32,8)="Revenue|",N(T32),0)</f>
        <v/>
      </c>
      <c r="AG32" s="23">
        <f>IF(LEFT(AA32,5)="COGS|",N(R32),0)+IF(LEFT(AB32,5)="COGS|",N(S32),0)+IF(LEFT(AC32,5)="COGS|",-N(L32),0)+IF(LEFT(AD32,5)="COGS|",-N(U32),0)+IF(LEFT(AE32,5)="COGS|",-N(T32),0)</f>
        <v/>
      </c>
      <c r="AH32" s="23">
        <f>IF(LEFT(AA32,8)="Expense|",N(R32),0)+IF(LEFT(AB32,8)="Expense|",N(S32),0)+IF(LEFT(AC32,8)="Expense|",-N(L32),0)+IF(LEFT(AD32,8)="Expense|",-N(U32),0)+IF(LEFT(AE32,8)="Expense|",-N(T32),0)</f>
        <v/>
      </c>
      <c r="AI32" s="23">
        <f>IF(ISNUMBER(MATCH(AA32,{"Expense|employee","Expense|general_admin","Expense|marketing","Expense|utilities","Expense|other_operating"},0)),N(R32),0)+IF(ISNUMBER(MATCH(AB32,{"Expense|employee","Expense|general_admin","Expense|marketing","Expense|utilities","Expense|other_operating"},0)),N(S32),0)+IF(ISNUMBER(MATCH(AC32,{"Expense|employee","Expense|general_admin","Expense|marketing","Expense|utilities","Expense|other_operating"},0)),-N(L32),0)+IF(ISNUMBER(MATCH(AD32,{"Expense|employee","Expense|general_admin","Expense|marketing","Expense|utilities","Expense|other_operating"},0)),-N(U32),0)+IF(ISNUMBER(MATCH(AE32,{"Expense|employee","Expense|general_admin","Expense|marketing","Expense|utilities","Expense|other_operating"},0)),-N(T32),0)</f>
        <v/>
      </c>
      <c r="AJ32" s="23">
        <f>IF(AA32="Liability|payable",-N(R32),0)+IF(AB32="Liability|payable",-N(S32),0)+IF(AC32="Liability|payable",N(L32),0)+IF(AD32="Liability|payable",N(U32),0)+IF(AE32="Liability|payable",N(T32),0)</f>
        <v/>
      </c>
      <c r="AK32" s="23">
        <f>IF(AA32="Liability|accrued",-N(R32),0)+IF(AB32="Liability|accrued",-N(S32),0)+IF(AC32="Liability|accrued",N(L32),0)+IF(AD32="Liability|accrued",N(U32),0)+IF(AE32="Liability|accrued",N(T32),0)</f>
        <v/>
      </c>
      <c r="AL32" s="23">
        <f>IF(AND(N(R32)&lt;&gt;0,AA32=""),1,0)+IF(AND(N(S32)&lt;&gt;0,AB32=""),1,0)+IF(AND(N(L32)&lt;&gt;0,AC32=""),1,0)+IF(AND(N(U32)&lt;&gt;0,AD32=""),1,0)+IF(AND(N(T32)&lt;&gt;0,AE32=""),1,0)</f>
        <v/>
      </c>
    </row>
    <row r="33">
      <c r="A33" s="19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20" t="n"/>
      <c r="K33" s="20" t="n"/>
      <c r="L33" s="20" t="n"/>
      <c r="M33" s="14" t="n"/>
      <c r="N33" s="14" t="n"/>
      <c r="O33" s="14" t="n"/>
      <c r="P33" s="14" t="n"/>
      <c r="Q33" s="14" t="n"/>
      <c r="R33" s="21">
        <f>ROUND(N(H33)*N(J33)-N(K33),2)</f>
        <v/>
      </c>
      <c r="S33" s="21">
        <f>ROUND(R33*IFERROR(VLOOKUP(P33,'Tax Codes'!$A$5:$E$300,5,FALSE),0),2)</f>
        <v/>
      </c>
      <c r="T33" s="21">
        <f>ROUND(R33*IFERROR(VLOOKUP(Q33,'Tax Codes'!$A$5:$E$300,5,FALSE),0),2)</f>
        <v/>
      </c>
      <c r="U33" s="21">
        <f>R33+S33-T33-N(L33)</f>
        <v/>
      </c>
      <c r="V33" s="16">
        <f>IF(C33="",INDEX('Chart of Accounts'!$A$5:$A$3000,MATCH("materials",'Chart of Accounts'!$F$5:$F$3000,0)),C33&amp;"")</f>
        <v/>
      </c>
      <c r="W33" s="16">
        <f>IF(N33="",INDEX('Chart of Accounts'!$A$5:$A$3000,MATCH("bank",'Chart of Accounts'!$F$5:$F$3000,0)),N33&amp;"")</f>
        <v/>
      </c>
      <c r="X33" s="16">
        <f>IF(O33="",INDEX('Chart of Accounts'!$A$5:$A$3000,MATCH("ap",'Chart of Accounts'!$F$5:$F$3000,0)),O33&amp;"")</f>
        <v/>
      </c>
      <c r="Y33" s="16">
        <f>INDEX('Chart of Accounts'!$A$5:$A$3000,MATCH("vat_input",'Chart of Accounts'!$F$5:$F$3000,0))</f>
        <v/>
      </c>
      <c r="Z33" s="16">
        <f>INDEX('Chart of Accounts'!$A$5:$A$3000,MATCH("wht_payable",'Chart of Accounts'!$F$5:$F$3000,0))</f>
        <v/>
      </c>
      <c r="AA33" s="23">
        <f>IFERROR(INDEX('Chart of Accounts'!$C$5:$C$3000,MATCH(V33&amp;"",'Chart of Accounts'!$A$5:$A$3000,0))&amp;"|"&amp;INDEX('Chart of Accounts'!$D$5:$D$3000,MATCH(V33&amp;"",'Chart of Accounts'!$A$5:$A$3000,0)),"")</f>
        <v/>
      </c>
      <c r="AB33" s="23">
        <f>IFERROR(INDEX('Chart of Accounts'!$C$5:$C$3000,MATCH(Y33&amp;"",'Chart of Accounts'!$A$5:$A$3000,0))&amp;"|"&amp;INDEX('Chart of Accounts'!$D$5:$D$3000,MATCH(Y33&amp;"",'Chart of Accounts'!$A$5:$A$3000,0)),"")</f>
        <v/>
      </c>
      <c r="AC33" s="23">
        <f>IFERROR(INDEX('Chart of Accounts'!$C$5:$C$3000,MATCH(W33&amp;"",'Chart of Accounts'!$A$5:$A$3000,0))&amp;"|"&amp;INDEX('Chart of Accounts'!$D$5:$D$3000,MATCH(W33&amp;"",'Chart of Accounts'!$A$5:$A$3000,0)),"")</f>
        <v/>
      </c>
      <c r="AD33" s="23">
        <f>IFERROR(INDEX('Chart of Accounts'!$C$5:$C$3000,MATCH(X33&amp;"",'Chart of Accounts'!$A$5:$A$3000,0))&amp;"|"&amp;INDEX('Chart of Accounts'!$D$5:$D$3000,MATCH(X33&amp;"",'Chart of Accounts'!$A$5:$A$3000,0)),"")</f>
        <v/>
      </c>
      <c r="AE33" s="23">
        <f>IFERROR(INDEX('Chart of Accounts'!$C$5:$C$3000,MATCH(Z33&amp;"",'Chart of Accounts'!$A$5:$A$3000,0))&amp;"|"&amp;INDEX('Chart of Accounts'!$D$5:$D$3000,MATCH(Z33&amp;"",'Chart of Accounts'!$A$5:$A$3000,0)),"")</f>
        <v/>
      </c>
      <c r="AF33" s="23">
        <f>IF(LEFT(AA33,8)="Revenue|",-N(R33),0)+IF(LEFT(AB33,8)="Revenue|",-N(S33),0)+IF(LEFT(AC33,8)="Revenue|",N(L33),0)+IF(LEFT(AD33,8)="Revenue|",N(U33),0)+IF(LEFT(AE33,8)="Revenue|",N(T33),0)</f>
        <v/>
      </c>
      <c r="AG33" s="23">
        <f>IF(LEFT(AA33,5)="COGS|",N(R33),0)+IF(LEFT(AB33,5)="COGS|",N(S33),0)+IF(LEFT(AC33,5)="COGS|",-N(L33),0)+IF(LEFT(AD33,5)="COGS|",-N(U33),0)+IF(LEFT(AE33,5)="COGS|",-N(T33),0)</f>
        <v/>
      </c>
      <c r="AH33" s="23">
        <f>IF(LEFT(AA33,8)="Expense|",N(R33),0)+IF(LEFT(AB33,8)="Expense|",N(S33),0)+IF(LEFT(AC33,8)="Expense|",-N(L33),0)+IF(LEFT(AD33,8)="Expense|",-N(U33),0)+IF(LEFT(AE33,8)="Expense|",-N(T33),0)</f>
        <v/>
      </c>
      <c r="AI33" s="23">
        <f>IF(ISNUMBER(MATCH(AA33,{"Expense|employee","Expense|general_admin","Expense|marketing","Expense|utilities","Expense|other_operating"},0)),N(R33),0)+IF(ISNUMBER(MATCH(AB33,{"Expense|employee","Expense|general_admin","Expense|marketing","Expense|utilities","Expense|other_operating"},0)),N(S33),0)+IF(ISNUMBER(MATCH(AC33,{"Expense|employee","Expense|general_admin","Expense|marketing","Expense|utilities","Expense|other_operating"},0)),-N(L33),0)+IF(ISNUMBER(MATCH(AD33,{"Expense|employee","Expense|general_admin","Expense|marketing","Expense|utilities","Expense|other_operating"},0)),-N(U33),0)+IF(ISNUMBER(MATCH(AE33,{"Expense|employee","Expense|general_admin","Expense|marketing","Expense|utilities","Expense|other_operating"},0)),-N(T33),0)</f>
        <v/>
      </c>
      <c r="AJ33" s="23">
        <f>IF(AA33="Liability|payable",-N(R33),0)+IF(AB33="Liability|payable",-N(S33),0)+IF(AC33="Liability|payable",N(L33),0)+IF(AD33="Liability|payable",N(U33),0)+IF(AE33="Liability|payable",N(T33),0)</f>
        <v/>
      </c>
      <c r="AK33" s="23">
        <f>IF(AA33="Liability|accrued",-N(R33),0)+IF(AB33="Liability|accrued",-N(S33),0)+IF(AC33="Liability|accrued",N(L33),0)+IF(AD33="Liability|accrued",N(U33),0)+IF(AE33="Liability|accrued",N(T33),0)</f>
        <v/>
      </c>
      <c r="AL33" s="23">
        <f>IF(AND(N(R33)&lt;&gt;0,AA33=""),1,0)+IF(AND(N(S33)&lt;&gt;0,AB33=""),1,0)+IF(AND(N(L33)&lt;&gt;0,AC33=""),1,0)+IF(AND(N(U33)&lt;&gt;0,AD33=""),1,0)+IF(AND(N(T33)&lt;&gt;0,AE33=""),1,0)</f>
        <v/>
      </c>
    </row>
    <row r="34">
      <c r="A34" s="19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20" t="n"/>
      <c r="K34" s="20" t="n"/>
      <c r="L34" s="20" t="n"/>
      <c r="M34" s="14" t="n"/>
      <c r="N34" s="14" t="n"/>
      <c r="O34" s="14" t="n"/>
      <c r="P34" s="14" t="n"/>
      <c r="Q34" s="14" t="n"/>
      <c r="R34" s="21">
        <f>ROUND(N(H34)*N(J34)-N(K34),2)</f>
        <v/>
      </c>
      <c r="S34" s="21">
        <f>ROUND(R34*IFERROR(VLOOKUP(P34,'Tax Codes'!$A$5:$E$300,5,FALSE),0),2)</f>
        <v/>
      </c>
      <c r="T34" s="21">
        <f>ROUND(R34*IFERROR(VLOOKUP(Q34,'Tax Codes'!$A$5:$E$300,5,FALSE),0),2)</f>
        <v/>
      </c>
      <c r="U34" s="21">
        <f>R34+S34-T34-N(L34)</f>
        <v/>
      </c>
      <c r="V34" s="16">
        <f>IF(C34="",INDEX('Chart of Accounts'!$A$5:$A$3000,MATCH("materials",'Chart of Accounts'!$F$5:$F$3000,0)),C34&amp;"")</f>
        <v/>
      </c>
      <c r="W34" s="16">
        <f>IF(N34="",INDEX('Chart of Accounts'!$A$5:$A$3000,MATCH("bank",'Chart of Accounts'!$F$5:$F$3000,0)),N34&amp;"")</f>
        <v/>
      </c>
      <c r="X34" s="16">
        <f>IF(O34="",INDEX('Chart of Accounts'!$A$5:$A$3000,MATCH("ap",'Chart of Accounts'!$F$5:$F$3000,0)),O34&amp;"")</f>
        <v/>
      </c>
      <c r="Y34" s="16">
        <f>INDEX('Chart of Accounts'!$A$5:$A$3000,MATCH("vat_input",'Chart of Accounts'!$F$5:$F$3000,0))</f>
        <v/>
      </c>
      <c r="Z34" s="16">
        <f>INDEX('Chart of Accounts'!$A$5:$A$3000,MATCH("wht_payable",'Chart of Accounts'!$F$5:$F$3000,0))</f>
        <v/>
      </c>
      <c r="AA34" s="23">
        <f>IFERROR(INDEX('Chart of Accounts'!$C$5:$C$3000,MATCH(V34&amp;"",'Chart of Accounts'!$A$5:$A$3000,0))&amp;"|"&amp;INDEX('Chart of Accounts'!$D$5:$D$3000,MATCH(V34&amp;"",'Chart of Accounts'!$A$5:$A$3000,0)),"")</f>
        <v/>
      </c>
      <c r="AB34" s="23">
        <f>IFERROR(INDEX('Chart of Accounts'!$C$5:$C$3000,MATCH(Y34&amp;"",'Chart of Accounts'!$A$5:$A$3000,0))&amp;"|"&amp;INDEX('Chart of Accounts'!$D$5:$D$3000,MATCH(Y34&amp;"",'Chart of Accounts'!$A$5:$A$3000,0)),"")</f>
        <v/>
      </c>
      <c r="AC34" s="23">
        <f>IFERROR(INDEX('Chart of Accounts'!$C$5:$C$3000,MATCH(W34&amp;"",'Chart of Accounts'!$A$5:$A$3000,0))&amp;"|"&amp;INDEX('Chart of Accounts'!$D$5:$D$3000,MATCH(W34&amp;"",'Chart of Accounts'!$A$5:$A$3000,0)),"")</f>
        <v/>
      </c>
      <c r="AD34" s="23">
        <f>IFERROR(INDEX('Chart of Accounts'!$C$5:$C$3000,MATCH(X34&amp;"",'Chart of Accounts'!$A$5:$A$3000,0))&amp;"|"&amp;INDEX('Chart of Accounts'!$D$5:$D$3000,MATCH(X34&amp;"",'Chart of Accounts'!$A$5:$A$3000,0)),"")</f>
        <v/>
      </c>
      <c r="AE34" s="23">
        <f>IFERROR(INDEX('Chart of Accounts'!$C$5:$C$3000,MATCH(Z34&amp;"",'Chart of Accounts'!$A$5:$A$3000,0))&amp;"|"&amp;INDEX('Chart of Accounts'!$D$5:$D$3000,MATCH(Z34&amp;"",'Chart of Accounts'!$A$5:$A$3000,0)),"")</f>
        <v/>
      </c>
      <c r="AF34" s="23">
        <f>IF(LEFT(AA34,8)="Revenue|",-N(R34),0)+IF(LEFT(AB34,8)="Revenue|",-N(S34),0)+IF(LEFT(AC34,8)="Revenue|",N(L34),0)+IF(LEFT(AD34,8)="Revenue|",N(U34),0)+IF(LEFT(AE34,8)="Revenue|",N(T34),0)</f>
        <v/>
      </c>
      <c r="AG34" s="23">
        <f>IF(LEFT(AA34,5)="COGS|",N(R34),0)+IF(LEFT(AB34,5)="COGS|",N(S34),0)+IF(LEFT(AC34,5)="COGS|",-N(L34),0)+IF(LEFT(AD34,5)="COGS|",-N(U34),0)+IF(LEFT(AE34,5)="COGS|",-N(T34),0)</f>
        <v/>
      </c>
      <c r="AH34" s="23">
        <f>IF(LEFT(AA34,8)="Expense|",N(R34),0)+IF(LEFT(AB34,8)="Expense|",N(S34),0)+IF(LEFT(AC34,8)="Expense|",-N(L34),0)+IF(LEFT(AD34,8)="Expense|",-N(U34),0)+IF(LEFT(AE34,8)="Expense|",-N(T34),0)</f>
        <v/>
      </c>
      <c r="AI34" s="23">
        <f>IF(ISNUMBER(MATCH(AA34,{"Expense|employee","Expense|general_admin","Expense|marketing","Expense|utilities","Expense|other_operating"},0)),N(R34),0)+IF(ISNUMBER(MATCH(AB34,{"Expense|employee","Expense|general_admin","Expense|marketing","Expense|utilities","Expense|other_operating"},0)),N(S34),0)+IF(ISNUMBER(MATCH(AC34,{"Expense|employee","Expense|general_admin","Expense|marketing","Expense|utilities","Expense|other_operating"},0)),-N(L34),0)+IF(ISNUMBER(MATCH(AD34,{"Expense|employee","Expense|general_admin","Expense|marketing","Expense|utilities","Expense|other_operating"},0)),-N(U34),0)+IF(ISNUMBER(MATCH(AE34,{"Expense|employee","Expense|general_admin","Expense|marketing","Expense|utilities","Expense|other_operating"},0)),-N(T34),0)</f>
        <v/>
      </c>
      <c r="AJ34" s="23">
        <f>IF(AA34="Liability|payable",-N(R34),0)+IF(AB34="Liability|payable",-N(S34),0)+IF(AC34="Liability|payable",N(L34),0)+IF(AD34="Liability|payable",N(U34),0)+IF(AE34="Liability|payable",N(T34),0)</f>
        <v/>
      </c>
      <c r="AK34" s="23">
        <f>IF(AA34="Liability|accrued",-N(R34),0)+IF(AB34="Liability|accrued",-N(S34),0)+IF(AC34="Liability|accrued",N(L34),0)+IF(AD34="Liability|accrued",N(U34),0)+IF(AE34="Liability|accrued",N(T34),0)</f>
        <v/>
      </c>
      <c r="AL34" s="23">
        <f>IF(AND(N(R34)&lt;&gt;0,AA34=""),1,0)+IF(AND(N(S34)&lt;&gt;0,AB34=""),1,0)+IF(AND(N(L34)&lt;&gt;0,AC34=""),1,0)+IF(AND(N(U34)&lt;&gt;0,AD34=""),1,0)+IF(AND(N(T34)&lt;&gt;0,AE34=""),1,0)</f>
        <v/>
      </c>
    </row>
    <row r="35">
      <c r="A35" s="19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20" t="n"/>
      <c r="K35" s="20" t="n"/>
      <c r="L35" s="20" t="n"/>
      <c r="M35" s="14" t="n"/>
      <c r="N35" s="14" t="n"/>
      <c r="O35" s="14" t="n"/>
      <c r="P35" s="14" t="n"/>
      <c r="Q35" s="14" t="n"/>
      <c r="R35" s="21">
        <f>ROUND(N(H35)*N(J35)-N(K35),2)</f>
        <v/>
      </c>
      <c r="S35" s="21">
        <f>ROUND(R35*IFERROR(VLOOKUP(P35,'Tax Codes'!$A$5:$E$300,5,FALSE),0),2)</f>
        <v/>
      </c>
      <c r="T35" s="21">
        <f>ROUND(R35*IFERROR(VLOOKUP(Q35,'Tax Codes'!$A$5:$E$300,5,FALSE),0),2)</f>
        <v/>
      </c>
      <c r="U35" s="21">
        <f>R35+S35-T35-N(L35)</f>
        <v/>
      </c>
      <c r="V35" s="16">
        <f>IF(C35="",INDEX('Chart of Accounts'!$A$5:$A$3000,MATCH("materials",'Chart of Accounts'!$F$5:$F$3000,0)),C35&amp;"")</f>
        <v/>
      </c>
      <c r="W35" s="16">
        <f>IF(N35="",INDEX('Chart of Accounts'!$A$5:$A$3000,MATCH("bank",'Chart of Accounts'!$F$5:$F$3000,0)),N35&amp;"")</f>
        <v/>
      </c>
      <c r="X35" s="16">
        <f>IF(O35="",INDEX('Chart of Accounts'!$A$5:$A$3000,MATCH("ap",'Chart of Accounts'!$F$5:$F$3000,0)),O35&amp;"")</f>
        <v/>
      </c>
      <c r="Y35" s="16">
        <f>INDEX('Chart of Accounts'!$A$5:$A$3000,MATCH("vat_input",'Chart of Accounts'!$F$5:$F$3000,0))</f>
        <v/>
      </c>
      <c r="Z35" s="16">
        <f>INDEX('Chart of Accounts'!$A$5:$A$3000,MATCH("wht_payable",'Chart of Accounts'!$F$5:$F$3000,0))</f>
        <v/>
      </c>
      <c r="AA35" s="23">
        <f>IFERROR(INDEX('Chart of Accounts'!$C$5:$C$3000,MATCH(V35&amp;"",'Chart of Accounts'!$A$5:$A$3000,0))&amp;"|"&amp;INDEX('Chart of Accounts'!$D$5:$D$3000,MATCH(V35&amp;"",'Chart of Accounts'!$A$5:$A$3000,0)),"")</f>
        <v/>
      </c>
      <c r="AB35" s="23">
        <f>IFERROR(INDEX('Chart of Accounts'!$C$5:$C$3000,MATCH(Y35&amp;"",'Chart of Accounts'!$A$5:$A$3000,0))&amp;"|"&amp;INDEX('Chart of Accounts'!$D$5:$D$3000,MATCH(Y35&amp;"",'Chart of Accounts'!$A$5:$A$3000,0)),"")</f>
        <v/>
      </c>
      <c r="AC35" s="23">
        <f>IFERROR(INDEX('Chart of Accounts'!$C$5:$C$3000,MATCH(W35&amp;"",'Chart of Accounts'!$A$5:$A$3000,0))&amp;"|"&amp;INDEX('Chart of Accounts'!$D$5:$D$3000,MATCH(W35&amp;"",'Chart of Accounts'!$A$5:$A$3000,0)),"")</f>
        <v/>
      </c>
      <c r="AD35" s="23">
        <f>IFERROR(INDEX('Chart of Accounts'!$C$5:$C$3000,MATCH(X35&amp;"",'Chart of Accounts'!$A$5:$A$3000,0))&amp;"|"&amp;INDEX('Chart of Accounts'!$D$5:$D$3000,MATCH(X35&amp;"",'Chart of Accounts'!$A$5:$A$3000,0)),"")</f>
        <v/>
      </c>
      <c r="AE35" s="23">
        <f>IFERROR(INDEX('Chart of Accounts'!$C$5:$C$3000,MATCH(Z35&amp;"",'Chart of Accounts'!$A$5:$A$3000,0))&amp;"|"&amp;INDEX('Chart of Accounts'!$D$5:$D$3000,MATCH(Z35&amp;"",'Chart of Accounts'!$A$5:$A$3000,0)),"")</f>
        <v/>
      </c>
      <c r="AF35" s="23">
        <f>IF(LEFT(AA35,8)="Revenue|",-N(R35),0)+IF(LEFT(AB35,8)="Revenue|",-N(S35),0)+IF(LEFT(AC35,8)="Revenue|",N(L35),0)+IF(LEFT(AD35,8)="Revenue|",N(U35),0)+IF(LEFT(AE35,8)="Revenue|",N(T35),0)</f>
        <v/>
      </c>
      <c r="AG35" s="23">
        <f>IF(LEFT(AA35,5)="COGS|",N(R35),0)+IF(LEFT(AB35,5)="COGS|",N(S35),0)+IF(LEFT(AC35,5)="COGS|",-N(L35),0)+IF(LEFT(AD35,5)="COGS|",-N(U35),0)+IF(LEFT(AE35,5)="COGS|",-N(T35),0)</f>
        <v/>
      </c>
      <c r="AH35" s="23">
        <f>IF(LEFT(AA35,8)="Expense|",N(R35),0)+IF(LEFT(AB35,8)="Expense|",N(S35),0)+IF(LEFT(AC35,8)="Expense|",-N(L35),0)+IF(LEFT(AD35,8)="Expense|",-N(U35),0)+IF(LEFT(AE35,8)="Expense|",-N(T35),0)</f>
        <v/>
      </c>
      <c r="AI35" s="23">
        <f>IF(ISNUMBER(MATCH(AA35,{"Expense|employee","Expense|general_admin","Expense|marketing","Expense|utilities","Expense|other_operating"},0)),N(R35),0)+IF(ISNUMBER(MATCH(AB35,{"Expense|employee","Expense|general_admin","Expense|marketing","Expense|utilities","Expense|other_operating"},0)),N(S35),0)+IF(ISNUMBER(MATCH(AC35,{"Expense|employee","Expense|general_admin","Expense|marketing","Expense|utilities","Expense|other_operating"},0)),-N(L35),0)+IF(ISNUMBER(MATCH(AD35,{"Expense|employee","Expense|general_admin","Expense|marketing","Expense|utilities","Expense|other_operating"},0)),-N(U35),0)+IF(ISNUMBER(MATCH(AE35,{"Expense|employee","Expense|general_admin","Expense|marketing","Expense|utilities","Expense|other_operating"},0)),-N(T35),0)</f>
        <v/>
      </c>
      <c r="AJ35" s="23">
        <f>IF(AA35="Liability|payable",-N(R35),0)+IF(AB35="Liability|payable",-N(S35),0)+IF(AC35="Liability|payable",N(L35),0)+IF(AD35="Liability|payable",N(U35),0)+IF(AE35="Liability|payable",N(T35),0)</f>
        <v/>
      </c>
      <c r="AK35" s="23">
        <f>IF(AA35="Liability|accrued",-N(R35),0)+IF(AB35="Liability|accrued",-N(S35),0)+IF(AC35="Liability|accrued",N(L35),0)+IF(AD35="Liability|accrued",N(U35),0)+IF(AE35="Liability|accrued",N(T35),0)</f>
        <v/>
      </c>
      <c r="AL35" s="23">
        <f>IF(AND(N(R35)&lt;&gt;0,AA35=""),1,0)+IF(AND(N(S35)&lt;&gt;0,AB35=""),1,0)+IF(AND(N(L35)&lt;&gt;0,AC35=""),1,0)+IF(AND(N(U35)&lt;&gt;0,AD35=""),1,0)+IF(AND(N(T35)&lt;&gt;0,AE35=""),1,0)</f>
        <v/>
      </c>
    </row>
    <row r="36">
      <c r="A36" s="19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20" t="n"/>
      <c r="K36" s="20" t="n"/>
      <c r="L36" s="20" t="n"/>
      <c r="M36" s="14" t="n"/>
      <c r="N36" s="14" t="n"/>
      <c r="O36" s="14" t="n"/>
      <c r="P36" s="14" t="n"/>
      <c r="Q36" s="14" t="n"/>
      <c r="R36" s="21">
        <f>ROUND(N(H36)*N(J36)-N(K36),2)</f>
        <v/>
      </c>
      <c r="S36" s="21">
        <f>ROUND(R36*IFERROR(VLOOKUP(P36,'Tax Codes'!$A$5:$E$300,5,FALSE),0),2)</f>
        <v/>
      </c>
      <c r="T36" s="21">
        <f>ROUND(R36*IFERROR(VLOOKUP(Q36,'Tax Codes'!$A$5:$E$300,5,FALSE),0),2)</f>
        <v/>
      </c>
      <c r="U36" s="21">
        <f>R36+S36-T36-N(L36)</f>
        <v/>
      </c>
      <c r="V36" s="16">
        <f>IF(C36="",INDEX('Chart of Accounts'!$A$5:$A$3000,MATCH("materials",'Chart of Accounts'!$F$5:$F$3000,0)),C36&amp;"")</f>
        <v/>
      </c>
      <c r="W36" s="16">
        <f>IF(N36="",INDEX('Chart of Accounts'!$A$5:$A$3000,MATCH("bank",'Chart of Accounts'!$F$5:$F$3000,0)),N36&amp;"")</f>
        <v/>
      </c>
      <c r="X36" s="16">
        <f>IF(O36="",INDEX('Chart of Accounts'!$A$5:$A$3000,MATCH("ap",'Chart of Accounts'!$F$5:$F$3000,0)),O36&amp;"")</f>
        <v/>
      </c>
      <c r="Y36" s="16">
        <f>INDEX('Chart of Accounts'!$A$5:$A$3000,MATCH("vat_input",'Chart of Accounts'!$F$5:$F$3000,0))</f>
        <v/>
      </c>
      <c r="Z36" s="16">
        <f>INDEX('Chart of Accounts'!$A$5:$A$3000,MATCH("wht_payable",'Chart of Accounts'!$F$5:$F$3000,0))</f>
        <v/>
      </c>
      <c r="AA36" s="23">
        <f>IFERROR(INDEX('Chart of Accounts'!$C$5:$C$3000,MATCH(V36&amp;"",'Chart of Accounts'!$A$5:$A$3000,0))&amp;"|"&amp;INDEX('Chart of Accounts'!$D$5:$D$3000,MATCH(V36&amp;"",'Chart of Accounts'!$A$5:$A$3000,0)),"")</f>
        <v/>
      </c>
      <c r="AB36" s="23">
        <f>IFERROR(INDEX('Chart of Accounts'!$C$5:$C$3000,MATCH(Y36&amp;"",'Chart of Accounts'!$A$5:$A$3000,0))&amp;"|"&amp;INDEX('Chart of Accounts'!$D$5:$D$3000,MATCH(Y36&amp;"",'Chart of Accounts'!$A$5:$A$3000,0)),"")</f>
        <v/>
      </c>
      <c r="AC36" s="23">
        <f>IFERROR(INDEX('Chart of Accounts'!$C$5:$C$3000,MATCH(W36&amp;"",'Chart of Accounts'!$A$5:$A$3000,0))&amp;"|"&amp;INDEX('Chart of Accounts'!$D$5:$D$3000,MATCH(W36&amp;"",'Chart of Accounts'!$A$5:$A$3000,0)),"")</f>
        <v/>
      </c>
      <c r="AD36" s="23">
        <f>IFERROR(INDEX('Chart of Accounts'!$C$5:$C$3000,MATCH(X36&amp;"",'Chart of Accounts'!$A$5:$A$3000,0))&amp;"|"&amp;INDEX('Chart of Accounts'!$D$5:$D$3000,MATCH(X36&amp;"",'Chart of Accounts'!$A$5:$A$3000,0)),"")</f>
        <v/>
      </c>
      <c r="AE36" s="23">
        <f>IFERROR(INDEX('Chart of Accounts'!$C$5:$C$3000,MATCH(Z36&amp;"",'Chart of Accounts'!$A$5:$A$3000,0))&amp;"|"&amp;INDEX('Chart of Accounts'!$D$5:$D$3000,MATCH(Z36&amp;"",'Chart of Accounts'!$A$5:$A$3000,0)),"")</f>
        <v/>
      </c>
      <c r="AF36" s="23">
        <f>IF(LEFT(AA36,8)="Revenue|",-N(R36),0)+IF(LEFT(AB36,8)="Revenue|",-N(S36),0)+IF(LEFT(AC36,8)="Revenue|",N(L36),0)+IF(LEFT(AD36,8)="Revenue|",N(U36),0)+IF(LEFT(AE36,8)="Revenue|",N(T36),0)</f>
        <v/>
      </c>
      <c r="AG36" s="23">
        <f>IF(LEFT(AA36,5)="COGS|",N(R36),0)+IF(LEFT(AB36,5)="COGS|",N(S36),0)+IF(LEFT(AC36,5)="COGS|",-N(L36),0)+IF(LEFT(AD36,5)="COGS|",-N(U36),0)+IF(LEFT(AE36,5)="COGS|",-N(T36),0)</f>
        <v/>
      </c>
      <c r="AH36" s="23">
        <f>IF(LEFT(AA36,8)="Expense|",N(R36),0)+IF(LEFT(AB36,8)="Expense|",N(S36),0)+IF(LEFT(AC36,8)="Expense|",-N(L36),0)+IF(LEFT(AD36,8)="Expense|",-N(U36),0)+IF(LEFT(AE36,8)="Expense|",-N(T36),0)</f>
        <v/>
      </c>
      <c r="AI36" s="23">
        <f>IF(ISNUMBER(MATCH(AA36,{"Expense|employee","Expense|general_admin","Expense|marketing","Expense|utilities","Expense|other_operating"},0)),N(R36),0)+IF(ISNUMBER(MATCH(AB36,{"Expense|employee","Expense|general_admin","Expense|marketing","Expense|utilities","Expense|other_operating"},0)),N(S36),0)+IF(ISNUMBER(MATCH(AC36,{"Expense|employee","Expense|general_admin","Expense|marketing","Expense|utilities","Expense|other_operating"},0)),-N(L36),0)+IF(ISNUMBER(MATCH(AD36,{"Expense|employee","Expense|general_admin","Expense|marketing","Expense|utilities","Expense|other_operating"},0)),-N(U36),0)+IF(ISNUMBER(MATCH(AE36,{"Expense|employee","Expense|general_admin","Expense|marketing","Expense|utilities","Expense|other_operating"},0)),-N(T36),0)</f>
        <v/>
      </c>
      <c r="AJ36" s="23">
        <f>IF(AA36="Liability|payable",-N(R36),0)+IF(AB36="Liability|payable",-N(S36),0)+IF(AC36="Liability|payable",N(L36),0)+IF(AD36="Liability|payable",N(U36),0)+IF(AE36="Liability|payable",N(T36),0)</f>
        <v/>
      </c>
      <c r="AK36" s="23">
        <f>IF(AA36="Liability|accrued",-N(R36),0)+IF(AB36="Liability|accrued",-N(S36),0)+IF(AC36="Liability|accrued",N(L36),0)+IF(AD36="Liability|accrued",N(U36),0)+IF(AE36="Liability|accrued",N(T36),0)</f>
        <v/>
      </c>
      <c r="AL36" s="23">
        <f>IF(AND(N(R36)&lt;&gt;0,AA36=""),1,0)+IF(AND(N(S36)&lt;&gt;0,AB36=""),1,0)+IF(AND(N(L36)&lt;&gt;0,AC36=""),1,0)+IF(AND(N(U36)&lt;&gt;0,AD36=""),1,0)+IF(AND(N(T36)&lt;&gt;0,AE36=""),1,0)</f>
        <v/>
      </c>
    </row>
    <row r="37">
      <c r="A37" s="19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20" t="n"/>
      <c r="K37" s="20" t="n"/>
      <c r="L37" s="20" t="n"/>
      <c r="M37" s="14" t="n"/>
      <c r="N37" s="14" t="n"/>
      <c r="O37" s="14" t="n"/>
      <c r="P37" s="14" t="n"/>
      <c r="Q37" s="14" t="n"/>
      <c r="R37" s="21">
        <f>ROUND(N(H37)*N(J37)-N(K37),2)</f>
        <v/>
      </c>
      <c r="S37" s="21">
        <f>ROUND(R37*IFERROR(VLOOKUP(P37,'Tax Codes'!$A$5:$E$300,5,FALSE),0),2)</f>
        <v/>
      </c>
      <c r="T37" s="21">
        <f>ROUND(R37*IFERROR(VLOOKUP(Q37,'Tax Codes'!$A$5:$E$300,5,FALSE),0),2)</f>
        <v/>
      </c>
      <c r="U37" s="21">
        <f>R37+S37-T37-N(L37)</f>
        <v/>
      </c>
      <c r="V37" s="16">
        <f>IF(C37="",INDEX('Chart of Accounts'!$A$5:$A$3000,MATCH("materials",'Chart of Accounts'!$F$5:$F$3000,0)),C37&amp;"")</f>
        <v/>
      </c>
      <c r="W37" s="16">
        <f>IF(N37="",INDEX('Chart of Accounts'!$A$5:$A$3000,MATCH("bank",'Chart of Accounts'!$F$5:$F$3000,0)),N37&amp;"")</f>
        <v/>
      </c>
      <c r="X37" s="16">
        <f>IF(O37="",INDEX('Chart of Accounts'!$A$5:$A$3000,MATCH("ap",'Chart of Accounts'!$F$5:$F$3000,0)),O37&amp;"")</f>
        <v/>
      </c>
      <c r="Y37" s="16">
        <f>INDEX('Chart of Accounts'!$A$5:$A$3000,MATCH("vat_input",'Chart of Accounts'!$F$5:$F$3000,0))</f>
        <v/>
      </c>
      <c r="Z37" s="16">
        <f>INDEX('Chart of Accounts'!$A$5:$A$3000,MATCH("wht_payable",'Chart of Accounts'!$F$5:$F$3000,0))</f>
        <v/>
      </c>
      <c r="AA37" s="23">
        <f>IFERROR(INDEX('Chart of Accounts'!$C$5:$C$3000,MATCH(V37&amp;"",'Chart of Accounts'!$A$5:$A$3000,0))&amp;"|"&amp;INDEX('Chart of Accounts'!$D$5:$D$3000,MATCH(V37&amp;"",'Chart of Accounts'!$A$5:$A$3000,0)),"")</f>
        <v/>
      </c>
      <c r="AB37" s="23">
        <f>IFERROR(INDEX('Chart of Accounts'!$C$5:$C$3000,MATCH(Y37&amp;"",'Chart of Accounts'!$A$5:$A$3000,0))&amp;"|"&amp;INDEX('Chart of Accounts'!$D$5:$D$3000,MATCH(Y37&amp;"",'Chart of Accounts'!$A$5:$A$3000,0)),"")</f>
        <v/>
      </c>
      <c r="AC37" s="23">
        <f>IFERROR(INDEX('Chart of Accounts'!$C$5:$C$3000,MATCH(W37&amp;"",'Chart of Accounts'!$A$5:$A$3000,0))&amp;"|"&amp;INDEX('Chart of Accounts'!$D$5:$D$3000,MATCH(W37&amp;"",'Chart of Accounts'!$A$5:$A$3000,0)),"")</f>
        <v/>
      </c>
      <c r="AD37" s="23">
        <f>IFERROR(INDEX('Chart of Accounts'!$C$5:$C$3000,MATCH(X37&amp;"",'Chart of Accounts'!$A$5:$A$3000,0))&amp;"|"&amp;INDEX('Chart of Accounts'!$D$5:$D$3000,MATCH(X37&amp;"",'Chart of Accounts'!$A$5:$A$3000,0)),"")</f>
        <v/>
      </c>
      <c r="AE37" s="23">
        <f>IFERROR(INDEX('Chart of Accounts'!$C$5:$C$3000,MATCH(Z37&amp;"",'Chart of Accounts'!$A$5:$A$3000,0))&amp;"|"&amp;INDEX('Chart of Accounts'!$D$5:$D$3000,MATCH(Z37&amp;"",'Chart of Accounts'!$A$5:$A$3000,0)),"")</f>
        <v/>
      </c>
      <c r="AF37" s="23">
        <f>IF(LEFT(AA37,8)="Revenue|",-N(R37),0)+IF(LEFT(AB37,8)="Revenue|",-N(S37),0)+IF(LEFT(AC37,8)="Revenue|",N(L37),0)+IF(LEFT(AD37,8)="Revenue|",N(U37),0)+IF(LEFT(AE37,8)="Revenue|",N(T37),0)</f>
        <v/>
      </c>
      <c r="AG37" s="23">
        <f>IF(LEFT(AA37,5)="COGS|",N(R37),0)+IF(LEFT(AB37,5)="COGS|",N(S37),0)+IF(LEFT(AC37,5)="COGS|",-N(L37),0)+IF(LEFT(AD37,5)="COGS|",-N(U37),0)+IF(LEFT(AE37,5)="COGS|",-N(T37),0)</f>
        <v/>
      </c>
      <c r="AH37" s="23">
        <f>IF(LEFT(AA37,8)="Expense|",N(R37),0)+IF(LEFT(AB37,8)="Expense|",N(S37),0)+IF(LEFT(AC37,8)="Expense|",-N(L37),0)+IF(LEFT(AD37,8)="Expense|",-N(U37),0)+IF(LEFT(AE37,8)="Expense|",-N(T37),0)</f>
        <v/>
      </c>
      <c r="AI37" s="23">
        <f>IF(ISNUMBER(MATCH(AA37,{"Expense|employee","Expense|general_admin","Expense|marketing","Expense|utilities","Expense|other_operating"},0)),N(R37),0)+IF(ISNUMBER(MATCH(AB37,{"Expense|employee","Expense|general_admin","Expense|marketing","Expense|utilities","Expense|other_operating"},0)),N(S37),0)+IF(ISNUMBER(MATCH(AC37,{"Expense|employee","Expense|general_admin","Expense|marketing","Expense|utilities","Expense|other_operating"},0)),-N(L37),0)+IF(ISNUMBER(MATCH(AD37,{"Expense|employee","Expense|general_admin","Expense|marketing","Expense|utilities","Expense|other_operating"},0)),-N(U37),0)+IF(ISNUMBER(MATCH(AE37,{"Expense|employee","Expense|general_admin","Expense|marketing","Expense|utilities","Expense|other_operating"},0)),-N(T37),0)</f>
        <v/>
      </c>
      <c r="AJ37" s="23">
        <f>IF(AA37="Liability|payable",-N(R37),0)+IF(AB37="Liability|payable",-N(S37),0)+IF(AC37="Liability|payable",N(L37),0)+IF(AD37="Liability|payable",N(U37),0)+IF(AE37="Liability|payable",N(T37),0)</f>
        <v/>
      </c>
      <c r="AK37" s="23">
        <f>IF(AA37="Liability|accrued",-N(R37),0)+IF(AB37="Liability|accrued",-N(S37),0)+IF(AC37="Liability|accrued",N(L37),0)+IF(AD37="Liability|accrued",N(U37),0)+IF(AE37="Liability|accrued",N(T37),0)</f>
        <v/>
      </c>
      <c r="AL37" s="23">
        <f>IF(AND(N(R37)&lt;&gt;0,AA37=""),1,0)+IF(AND(N(S37)&lt;&gt;0,AB37=""),1,0)+IF(AND(N(L37)&lt;&gt;0,AC37=""),1,0)+IF(AND(N(U37)&lt;&gt;0,AD37=""),1,0)+IF(AND(N(T37)&lt;&gt;0,AE37=""),1,0)</f>
        <v/>
      </c>
    </row>
    <row r="38">
      <c r="A38" s="19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20" t="n"/>
      <c r="K38" s="20" t="n"/>
      <c r="L38" s="20" t="n"/>
      <c r="M38" s="14" t="n"/>
      <c r="N38" s="14" t="n"/>
      <c r="O38" s="14" t="n"/>
      <c r="P38" s="14" t="n"/>
      <c r="Q38" s="14" t="n"/>
      <c r="R38" s="21">
        <f>ROUND(N(H38)*N(J38)-N(K38),2)</f>
        <v/>
      </c>
      <c r="S38" s="21">
        <f>ROUND(R38*IFERROR(VLOOKUP(P38,'Tax Codes'!$A$5:$E$300,5,FALSE),0),2)</f>
        <v/>
      </c>
      <c r="T38" s="21">
        <f>ROUND(R38*IFERROR(VLOOKUP(Q38,'Tax Codes'!$A$5:$E$300,5,FALSE),0),2)</f>
        <v/>
      </c>
      <c r="U38" s="21">
        <f>R38+S38-T38-N(L38)</f>
        <v/>
      </c>
      <c r="V38" s="16">
        <f>IF(C38="",INDEX('Chart of Accounts'!$A$5:$A$3000,MATCH("materials",'Chart of Accounts'!$F$5:$F$3000,0)),C38&amp;"")</f>
        <v/>
      </c>
      <c r="W38" s="16">
        <f>IF(N38="",INDEX('Chart of Accounts'!$A$5:$A$3000,MATCH("bank",'Chart of Accounts'!$F$5:$F$3000,0)),N38&amp;"")</f>
        <v/>
      </c>
      <c r="X38" s="16">
        <f>IF(O38="",INDEX('Chart of Accounts'!$A$5:$A$3000,MATCH("ap",'Chart of Accounts'!$F$5:$F$3000,0)),O38&amp;"")</f>
        <v/>
      </c>
      <c r="Y38" s="16">
        <f>INDEX('Chart of Accounts'!$A$5:$A$3000,MATCH("vat_input",'Chart of Accounts'!$F$5:$F$3000,0))</f>
        <v/>
      </c>
      <c r="Z38" s="16">
        <f>INDEX('Chart of Accounts'!$A$5:$A$3000,MATCH("wht_payable",'Chart of Accounts'!$F$5:$F$3000,0))</f>
        <v/>
      </c>
      <c r="AA38" s="23">
        <f>IFERROR(INDEX('Chart of Accounts'!$C$5:$C$3000,MATCH(V38&amp;"",'Chart of Accounts'!$A$5:$A$3000,0))&amp;"|"&amp;INDEX('Chart of Accounts'!$D$5:$D$3000,MATCH(V38&amp;"",'Chart of Accounts'!$A$5:$A$3000,0)),"")</f>
        <v/>
      </c>
      <c r="AB38" s="23">
        <f>IFERROR(INDEX('Chart of Accounts'!$C$5:$C$3000,MATCH(Y38&amp;"",'Chart of Accounts'!$A$5:$A$3000,0))&amp;"|"&amp;INDEX('Chart of Accounts'!$D$5:$D$3000,MATCH(Y38&amp;"",'Chart of Accounts'!$A$5:$A$3000,0)),"")</f>
        <v/>
      </c>
      <c r="AC38" s="23">
        <f>IFERROR(INDEX('Chart of Accounts'!$C$5:$C$3000,MATCH(W38&amp;"",'Chart of Accounts'!$A$5:$A$3000,0))&amp;"|"&amp;INDEX('Chart of Accounts'!$D$5:$D$3000,MATCH(W38&amp;"",'Chart of Accounts'!$A$5:$A$3000,0)),"")</f>
        <v/>
      </c>
      <c r="AD38" s="23">
        <f>IFERROR(INDEX('Chart of Accounts'!$C$5:$C$3000,MATCH(X38&amp;"",'Chart of Accounts'!$A$5:$A$3000,0))&amp;"|"&amp;INDEX('Chart of Accounts'!$D$5:$D$3000,MATCH(X38&amp;"",'Chart of Accounts'!$A$5:$A$3000,0)),"")</f>
        <v/>
      </c>
      <c r="AE38" s="23">
        <f>IFERROR(INDEX('Chart of Accounts'!$C$5:$C$3000,MATCH(Z38&amp;"",'Chart of Accounts'!$A$5:$A$3000,0))&amp;"|"&amp;INDEX('Chart of Accounts'!$D$5:$D$3000,MATCH(Z38&amp;"",'Chart of Accounts'!$A$5:$A$3000,0)),"")</f>
        <v/>
      </c>
      <c r="AF38" s="23">
        <f>IF(LEFT(AA38,8)="Revenue|",-N(R38),0)+IF(LEFT(AB38,8)="Revenue|",-N(S38),0)+IF(LEFT(AC38,8)="Revenue|",N(L38),0)+IF(LEFT(AD38,8)="Revenue|",N(U38),0)+IF(LEFT(AE38,8)="Revenue|",N(T38),0)</f>
        <v/>
      </c>
      <c r="AG38" s="23">
        <f>IF(LEFT(AA38,5)="COGS|",N(R38),0)+IF(LEFT(AB38,5)="COGS|",N(S38),0)+IF(LEFT(AC38,5)="COGS|",-N(L38),0)+IF(LEFT(AD38,5)="COGS|",-N(U38),0)+IF(LEFT(AE38,5)="COGS|",-N(T38),0)</f>
        <v/>
      </c>
      <c r="AH38" s="23">
        <f>IF(LEFT(AA38,8)="Expense|",N(R38),0)+IF(LEFT(AB38,8)="Expense|",N(S38),0)+IF(LEFT(AC38,8)="Expense|",-N(L38),0)+IF(LEFT(AD38,8)="Expense|",-N(U38),0)+IF(LEFT(AE38,8)="Expense|",-N(T38),0)</f>
        <v/>
      </c>
      <c r="AI38" s="23">
        <f>IF(ISNUMBER(MATCH(AA38,{"Expense|employee","Expense|general_admin","Expense|marketing","Expense|utilities","Expense|other_operating"},0)),N(R38),0)+IF(ISNUMBER(MATCH(AB38,{"Expense|employee","Expense|general_admin","Expense|marketing","Expense|utilities","Expense|other_operating"},0)),N(S38),0)+IF(ISNUMBER(MATCH(AC38,{"Expense|employee","Expense|general_admin","Expense|marketing","Expense|utilities","Expense|other_operating"},0)),-N(L38),0)+IF(ISNUMBER(MATCH(AD38,{"Expense|employee","Expense|general_admin","Expense|marketing","Expense|utilities","Expense|other_operating"},0)),-N(U38),0)+IF(ISNUMBER(MATCH(AE38,{"Expense|employee","Expense|general_admin","Expense|marketing","Expense|utilities","Expense|other_operating"},0)),-N(T38),0)</f>
        <v/>
      </c>
      <c r="AJ38" s="23">
        <f>IF(AA38="Liability|payable",-N(R38),0)+IF(AB38="Liability|payable",-N(S38),0)+IF(AC38="Liability|payable",N(L38),0)+IF(AD38="Liability|payable",N(U38),0)+IF(AE38="Liability|payable",N(T38),0)</f>
        <v/>
      </c>
      <c r="AK38" s="23">
        <f>IF(AA38="Liability|accrued",-N(R38),0)+IF(AB38="Liability|accrued",-N(S38),0)+IF(AC38="Liability|accrued",N(L38),0)+IF(AD38="Liability|accrued",N(U38),0)+IF(AE38="Liability|accrued",N(T38),0)</f>
        <v/>
      </c>
      <c r="AL38" s="23">
        <f>IF(AND(N(R38)&lt;&gt;0,AA38=""),1,0)+IF(AND(N(S38)&lt;&gt;0,AB38=""),1,0)+IF(AND(N(L38)&lt;&gt;0,AC38=""),1,0)+IF(AND(N(U38)&lt;&gt;0,AD38=""),1,0)+IF(AND(N(T38)&lt;&gt;0,AE38=""),1,0)</f>
        <v/>
      </c>
    </row>
    <row r="39">
      <c r="A39" s="19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20" t="n"/>
      <c r="K39" s="20" t="n"/>
      <c r="L39" s="20" t="n"/>
      <c r="M39" s="14" t="n"/>
      <c r="N39" s="14" t="n"/>
      <c r="O39" s="14" t="n"/>
      <c r="P39" s="14" t="n"/>
      <c r="Q39" s="14" t="n"/>
      <c r="R39" s="21">
        <f>ROUND(N(H39)*N(J39)-N(K39),2)</f>
        <v/>
      </c>
      <c r="S39" s="21">
        <f>ROUND(R39*IFERROR(VLOOKUP(P39,'Tax Codes'!$A$5:$E$300,5,FALSE),0),2)</f>
        <v/>
      </c>
      <c r="T39" s="21">
        <f>ROUND(R39*IFERROR(VLOOKUP(Q39,'Tax Codes'!$A$5:$E$300,5,FALSE),0),2)</f>
        <v/>
      </c>
      <c r="U39" s="21">
        <f>R39+S39-T39-N(L39)</f>
        <v/>
      </c>
      <c r="V39" s="16">
        <f>IF(C39="",INDEX('Chart of Accounts'!$A$5:$A$3000,MATCH("materials",'Chart of Accounts'!$F$5:$F$3000,0)),C39&amp;"")</f>
        <v/>
      </c>
      <c r="W39" s="16">
        <f>IF(N39="",INDEX('Chart of Accounts'!$A$5:$A$3000,MATCH("bank",'Chart of Accounts'!$F$5:$F$3000,0)),N39&amp;"")</f>
        <v/>
      </c>
      <c r="X39" s="16">
        <f>IF(O39="",INDEX('Chart of Accounts'!$A$5:$A$3000,MATCH("ap",'Chart of Accounts'!$F$5:$F$3000,0)),O39&amp;"")</f>
        <v/>
      </c>
      <c r="Y39" s="16">
        <f>INDEX('Chart of Accounts'!$A$5:$A$3000,MATCH("vat_input",'Chart of Accounts'!$F$5:$F$3000,0))</f>
        <v/>
      </c>
      <c r="Z39" s="16">
        <f>INDEX('Chart of Accounts'!$A$5:$A$3000,MATCH("wht_payable",'Chart of Accounts'!$F$5:$F$3000,0))</f>
        <v/>
      </c>
      <c r="AA39" s="23">
        <f>IFERROR(INDEX('Chart of Accounts'!$C$5:$C$3000,MATCH(V39&amp;"",'Chart of Accounts'!$A$5:$A$3000,0))&amp;"|"&amp;INDEX('Chart of Accounts'!$D$5:$D$3000,MATCH(V39&amp;"",'Chart of Accounts'!$A$5:$A$3000,0)),"")</f>
        <v/>
      </c>
      <c r="AB39" s="23">
        <f>IFERROR(INDEX('Chart of Accounts'!$C$5:$C$3000,MATCH(Y39&amp;"",'Chart of Accounts'!$A$5:$A$3000,0))&amp;"|"&amp;INDEX('Chart of Accounts'!$D$5:$D$3000,MATCH(Y39&amp;"",'Chart of Accounts'!$A$5:$A$3000,0)),"")</f>
        <v/>
      </c>
      <c r="AC39" s="23">
        <f>IFERROR(INDEX('Chart of Accounts'!$C$5:$C$3000,MATCH(W39&amp;"",'Chart of Accounts'!$A$5:$A$3000,0))&amp;"|"&amp;INDEX('Chart of Accounts'!$D$5:$D$3000,MATCH(W39&amp;"",'Chart of Accounts'!$A$5:$A$3000,0)),"")</f>
        <v/>
      </c>
      <c r="AD39" s="23">
        <f>IFERROR(INDEX('Chart of Accounts'!$C$5:$C$3000,MATCH(X39&amp;"",'Chart of Accounts'!$A$5:$A$3000,0))&amp;"|"&amp;INDEX('Chart of Accounts'!$D$5:$D$3000,MATCH(X39&amp;"",'Chart of Accounts'!$A$5:$A$3000,0)),"")</f>
        <v/>
      </c>
      <c r="AE39" s="23">
        <f>IFERROR(INDEX('Chart of Accounts'!$C$5:$C$3000,MATCH(Z39&amp;"",'Chart of Accounts'!$A$5:$A$3000,0))&amp;"|"&amp;INDEX('Chart of Accounts'!$D$5:$D$3000,MATCH(Z39&amp;"",'Chart of Accounts'!$A$5:$A$3000,0)),"")</f>
        <v/>
      </c>
      <c r="AF39" s="23">
        <f>IF(LEFT(AA39,8)="Revenue|",-N(R39),0)+IF(LEFT(AB39,8)="Revenue|",-N(S39),0)+IF(LEFT(AC39,8)="Revenue|",N(L39),0)+IF(LEFT(AD39,8)="Revenue|",N(U39),0)+IF(LEFT(AE39,8)="Revenue|",N(T39),0)</f>
        <v/>
      </c>
      <c r="AG39" s="23">
        <f>IF(LEFT(AA39,5)="COGS|",N(R39),0)+IF(LEFT(AB39,5)="COGS|",N(S39),0)+IF(LEFT(AC39,5)="COGS|",-N(L39),0)+IF(LEFT(AD39,5)="COGS|",-N(U39),0)+IF(LEFT(AE39,5)="COGS|",-N(T39),0)</f>
        <v/>
      </c>
      <c r="AH39" s="23">
        <f>IF(LEFT(AA39,8)="Expense|",N(R39),0)+IF(LEFT(AB39,8)="Expense|",N(S39),0)+IF(LEFT(AC39,8)="Expense|",-N(L39),0)+IF(LEFT(AD39,8)="Expense|",-N(U39),0)+IF(LEFT(AE39,8)="Expense|",-N(T39),0)</f>
        <v/>
      </c>
      <c r="AI39" s="23">
        <f>IF(ISNUMBER(MATCH(AA39,{"Expense|employee","Expense|general_admin","Expense|marketing","Expense|utilities","Expense|other_operating"},0)),N(R39),0)+IF(ISNUMBER(MATCH(AB39,{"Expense|employee","Expense|general_admin","Expense|marketing","Expense|utilities","Expense|other_operating"},0)),N(S39),0)+IF(ISNUMBER(MATCH(AC39,{"Expense|employee","Expense|general_admin","Expense|marketing","Expense|utilities","Expense|other_operating"},0)),-N(L39),0)+IF(ISNUMBER(MATCH(AD39,{"Expense|employee","Expense|general_admin","Expense|marketing","Expense|utilities","Expense|other_operating"},0)),-N(U39),0)+IF(ISNUMBER(MATCH(AE39,{"Expense|employee","Expense|general_admin","Expense|marketing","Expense|utilities","Expense|other_operating"},0)),-N(T39),0)</f>
        <v/>
      </c>
      <c r="AJ39" s="23">
        <f>IF(AA39="Liability|payable",-N(R39),0)+IF(AB39="Liability|payable",-N(S39),0)+IF(AC39="Liability|payable",N(L39),0)+IF(AD39="Liability|payable",N(U39),0)+IF(AE39="Liability|payable",N(T39),0)</f>
        <v/>
      </c>
      <c r="AK39" s="23">
        <f>IF(AA39="Liability|accrued",-N(R39),0)+IF(AB39="Liability|accrued",-N(S39),0)+IF(AC39="Liability|accrued",N(L39),0)+IF(AD39="Liability|accrued",N(U39),0)+IF(AE39="Liability|accrued",N(T39),0)</f>
        <v/>
      </c>
      <c r="AL39" s="23">
        <f>IF(AND(N(R39)&lt;&gt;0,AA39=""),1,0)+IF(AND(N(S39)&lt;&gt;0,AB39=""),1,0)+IF(AND(N(L39)&lt;&gt;0,AC39=""),1,0)+IF(AND(N(U39)&lt;&gt;0,AD39=""),1,0)+IF(AND(N(T39)&lt;&gt;0,AE39=""),1,0)</f>
        <v/>
      </c>
    </row>
    <row r="40">
      <c r="A40" s="19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20" t="n"/>
      <c r="K40" s="20" t="n"/>
      <c r="L40" s="20" t="n"/>
      <c r="M40" s="14" t="n"/>
      <c r="N40" s="14" t="n"/>
      <c r="O40" s="14" t="n"/>
      <c r="P40" s="14" t="n"/>
      <c r="Q40" s="14" t="n"/>
      <c r="R40" s="21">
        <f>ROUND(N(H40)*N(J40)-N(K40),2)</f>
        <v/>
      </c>
      <c r="S40" s="21">
        <f>ROUND(R40*IFERROR(VLOOKUP(P40,'Tax Codes'!$A$5:$E$300,5,FALSE),0),2)</f>
        <v/>
      </c>
      <c r="T40" s="21">
        <f>ROUND(R40*IFERROR(VLOOKUP(Q40,'Tax Codes'!$A$5:$E$300,5,FALSE),0),2)</f>
        <v/>
      </c>
      <c r="U40" s="21">
        <f>R40+S40-T40-N(L40)</f>
        <v/>
      </c>
      <c r="V40" s="16">
        <f>IF(C40="",INDEX('Chart of Accounts'!$A$5:$A$3000,MATCH("materials",'Chart of Accounts'!$F$5:$F$3000,0)),C40&amp;"")</f>
        <v/>
      </c>
      <c r="W40" s="16">
        <f>IF(N40="",INDEX('Chart of Accounts'!$A$5:$A$3000,MATCH("bank",'Chart of Accounts'!$F$5:$F$3000,0)),N40&amp;"")</f>
        <v/>
      </c>
      <c r="X40" s="16">
        <f>IF(O40="",INDEX('Chart of Accounts'!$A$5:$A$3000,MATCH("ap",'Chart of Accounts'!$F$5:$F$3000,0)),O40&amp;"")</f>
        <v/>
      </c>
      <c r="Y40" s="16">
        <f>INDEX('Chart of Accounts'!$A$5:$A$3000,MATCH("vat_input",'Chart of Accounts'!$F$5:$F$3000,0))</f>
        <v/>
      </c>
      <c r="Z40" s="16">
        <f>INDEX('Chart of Accounts'!$A$5:$A$3000,MATCH("wht_payable",'Chart of Accounts'!$F$5:$F$3000,0))</f>
        <v/>
      </c>
      <c r="AA40" s="23">
        <f>IFERROR(INDEX('Chart of Accounts'!$C$5:$C$3000,MATCH(V40&amp;"",'Chart of Accounts'!$A$5:$A$3000,0))&amp;"|"&amp;INDEX('Chart of Accounts'!$D$5:$D$3000,MATCH(V40&amp;"",'Chart of Accounts'!$A$5:$A$3000,0)),"")</f>
        <v/>
      </c>
      <c r="AB40" s="23">
        <f>IFERROR(INDEX('Chart of Accounts'!$C$5:$C$3000,MATCH(Y40&amp;"",'Chart of Accounts'!$A$5:$A$3000,0))&amp;"|"&amp;INDEX('Chart of Accounts'!$D$5:$D$3000,MATCH(Y40&amp;"",'Chart of Accounts'!$A$5:$A$3000,0)),"")</f>
        <v/>
      </c>
      <c r="AC40" s="23">
        <f>IFERROR(INDEX('Chart of Accounts'!$C$5:$C$3000,MATCH(W40&amp;"",'Chart of Accounts'!$A$5:$A$3000,0))&amp;"|"&amp;INDEX('Chart of Accounts'!$D$5:$D$3000,MATCH(W40&amp;"",'Chart of Accounts'!$A$5:$A$3000,0)),"")</f>
        <v/>
      </c>
      <c r="AD40" s="23">
        <f>IFERROR(INDEX('Chart of Accounts'!$C$5:$C$3000,MATCH(X40&amp;"",'Chart of Accounts'!$A$5:$A$3000,0))&amp;"|"&amp;INDEX('Chart of Accounts'!$D$5:$D$3000,MATCH(X40&amp;"",'Chart of Accounts'!$A$5:$A$3000,0)),"")</f>
        <v/>
      </c>
      <c r="AE40" s="23">
        <f>IFERROR(INDEX('Chart of Accounts'!$C$5:$C$3000,MATCH(Z40&amp;"",'Chart of Accounts'!$A$5:$A$3000,0))&amp;"|"&amp;INDEX('Chart of Accounts'!$D$5:$D$3000,MATCH(Z40&amp;"",'Chart of Accounts'!$A$5:$A$3000,0)),"")</f>
        <v/>
      </c>
      <c r="AF40" s="23">
        <f>IF(LEFT(AA40,8)="Revenue|",-N(R40),0)+IF(LEFT(AB40,8)="Revenue|",-N(S40),0)+IF(LEFT(AC40,8)="Revenue|",N(L40),0)+IF(LEFT(AD40,8)="Revenue|",N(U40),0)+IF(LEFT(AE40,8)="Revenue|",N(T40),0)</f>
        <v/>
      </c>
      <c r="AG40" s="23">
        <f>IF(LEFT(AA40,5)="COGS|",N(R40),0)+IF(LEFT(AB40,5)="COGS|",N(S40),0)+IF(LEFT(AC40,5)="COGS|",-N(L40),0)+IF(LEFT(AD40,5)="COGS|",-N(U40),0)+IF(LEFT(AE40,5)="COGS|",-N(T40),0)</f>
        <v/>
      </c>
      <c r="AH40" s="23">
        <f>IF(LEFT(AA40,8)="Expense|",N(R40),0)+IF(LEFT(AB40,8)="Expense|",N(S40),0)+IF(LEFT(AC40,8)="Expense|",-N(L40),0)+IF(LEFT(AD40,8)="Expense|",-N(U40),0)+IF(LEFT(AE40,8)="Expense|",-N(T40),0)</f>
        <v/>
      </c>
      <c r="AI40" s="23">
        <f>IF(ISNUMBER(MATCH(AA40,{"Expense|employee","Expense|general_admin","Expense|marketing","Expense|utilities","Expense|other_operating"},0)),N(R40),0)+IF(ISNUMBER(MATCH(AB40,{"Expense|employee","Expense|general_admin","Expense|marketing","Expense|utilities","Expense|other_operating"},0)),N(S40),0)+IF(ISNUMBER(MATCH(AC40,{"Expense|employee","Expense|general_admin","Expense|marketing","Expense|utilities","Expense|other_operating"},0)),-N(L40),0)+IF(ISNUMBER(MATCH(AD40,{"Expense|employee","Expense|general_admin","Expense|marketing","Expense|utilities","Expense|other_operating"},0)),-N(U40),0)+IF(ISNUMBER(MATCH(AE40,{"Expense|employee","Expense|general_admin","Expense|marketing","Expense|utilities","Expense|other_operating"},0)),-N(T40),0)</f>
        <v/>
      </c>
      <c r="AJ40" s="23">
        <f>IF(AA40="Liability|payable",-N(R40),0)+IF(AB40="Liability|payable",-N(S40),0)+IF(AC40="Liability|payable",N(L40),0)+IF(AD40="Liability|payable",N(U40),0)+IF(AE40="Liability|payable",N(T40),0)</f>
        <v/>
      </c>
      <c r="AK40" s="23">
        <f>IF(AA40="Liability|accrued",-N(R40),0)+IF(AB40="Liability|accrued",-N(S40),0)+IF(AC40="Liability|accrued",N(L40),0)+IF(AD40="Liability|accrued",N(U40),0)+IF(AE40="Liability|accrued",N(T40),0)</f>
        <v/>
      </c>
      <c r="AL40" s="23">
        <f>IF(AND(N(R40)&lt;&gt;0,AA40=""),1,0)+IF(AND(N(S40)&lt;&gt;0,AB40=""),1,0)+IF(AND(N(L40)&lt;&gt;0,AC40=""),1,0)+IF(AND(N(U40)&lt;&gt;0,AD40=""),1,0)+IF(AND(N(T40)&lt;&gt;0,AE40=""),1,0)</f>
        <v/>
      </c>
    </row>
    <row r="41">
      <c r="A41" s="19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20" t="n"/>
      <c r="K41" s="20" t="n"/>
      <c r="L41" s="20" t="n"/>
      <c r="M41" s="14" t="n"/>
      <c r="N41" s="14" t="n"/>
      <c r="O41" s="14" t="n"/>
      <c r="P41" s="14" t="n"/>
      <c r="Q41" s="14" t="n"/>
      <c r="R41" s="21">
        <f>ROUND(N(H41)*N(J41)-N(K41),2)</f>
        <v/>
      </c>
      <c r="S41" s="21">
        <f>ROUND(R41*IFERROR(VLOOKUP(P41,'Tax Codes'!$A$5:$E$300,5,FALSE),0),2)</f>
        <v/>
      </c>
      <c r="T41" s="21">
        <f>ROUND(R41*IFERROR(VLOOKUP(Q41,'Tax Codes'!$A$5:$E$300,5,FALSE),0),2)</f>
        <v/>
      </c>
      <c r="U41" s="21">
        <f>R41+S41-T41-N(L41)</f>
        <v/>
      </c>
      <c r="V41" s="16">
        <f>IF(C41="",INDEX('Chart of Accounts'!$A$5:$A$3000,MATCH("materials",'Chart of Accounts'!$F$5:$F$3000,0)),C41&amp;"")</f>
        <v/>
      </c>
      <c r="W41" s="16">
        <f>IF(N41="",INDEX('Chart of Accounts'!$A$5:$A$3000,MATCH("bank",'Chart of Accounts'!$F$5:$F$3000,0)),N41&amp;"")</f>
        <v/>
      </c>
      <c r="X41" s="16">
        <f>IF(O41="",INDEX('Chart of Accounts'!$A$5:$A$3000,MATCH("ap",'Chart of Accounts'!$F$5:$F$3000,0)),O41&amp;"")</f>
        <v/>
      </c>
      <c r="Y41" s="16">
        <f>INDEX('Chart of Accounts'!$A$5:$A$3000,MATCH("vat_input",'Chart of Accounts'!$F$5:$F$3000,0))</f>
        <v/>
      </c>
      <c r="Z41" s="16">
        <f>INDEX('Chart of Accounts'!$A$5:$A$3000,MATCH("wht_payable",'Chart of Accounts'!$F$5:$F$3000,0))</f>
        <v/>
      </c>
      <c r="AA41" s="23">
        <f>IFERROR(INDEX('Chart of Accounts'!$C$5:$C$3000,MATCH(V41&amp;"",'Chart of Accounts'!$A$5:$A$3000,0))&amp;"|"&amp;INDEX('Chart of Accounts'!$D$5:$D$3000,MATCH(V41&amp;"",'Chart of Accounts'!$A$5:$A$3000,0)),"")</f>
        <v/>
      </c>
      <c r="AB41" s="23">
        <f>IFERROR(INDEX('Chart of Accounts'!$C$5:$C$3000,MATCH(Y41&amp;"",'Chart of Accounts'!$A$5:$A$3000,0))&amp;"|"&amp;INDEX('Chart of Accounts'!$D$5:$D$3000,MATCH(Y41&amp;"",'Chart of Accounts'!$A$5:$A$3000,0)),"")</f>
        <v/>
      </c>
      <c r="AC41" s="23">
        <f>IFERROR(INDEX('Chart of Accounts'!$C$5:$C$3000,MATCH(W41&amp;"",'Chart of Accounts'!$A$5:$A$3000,0))&amp;"|"&amp;INDEX('Chart of Accounts'!$D$5:$D$3000,MATCH(W41&amp;"",'Chart of Accounts'!$A$5:$A$3000,0)),"")</f>
        <v/>
      </c>
      <c r="AD41" s="23">
        <f>IFERROR(INDEX('Chart of Accounts'!$C$5:$C$3000,MATCH(X41&amp;"",'Chart of Accounts'!$A$5:$A$3000,0))&amp;"|"&amp;INDEX('Chart of Accounts'!$D$5:$D$3000,MATCH(X41&amp;"",'Chart of Accounts'!$A$5:$A$3000,0)),"")</f>
        <v/>
      </c>
      <c r="AE41" s="23">
        <f>IFERROR(INDEX('Chart of Accounts'!$C$5:$C$3000,MATCH(Z41&amp;"",'Chart of Accounts'!$A$5:$A$3000,0))&amp;"|"&amp;INDEX('Chart of Accounts'!$D$5:$D$3000,MATCH(Z41&amp;"",'Chart of Accounts'!$A$5:$A$3000,0)),"")</f>
        <v/>
      </c>
      <c r="AF41" s="23">
        <f>IF(LEFT(AA41,8)="Revenue|",-N(R41),0)+IF(LEFT(AB41,8)="Revenue|",-N(S41),0)+IF(LEFT(AC41,8)="Revenue|",N(L41),0)+IF(LEFT(AD41,8)="Revenue|",N(U41),0)+IF(LEFT(AE41,8)="Revenue|",N(T41),0)</f>
        <v/>
      </c>
      <c r="AG41" s="23">
        <f>IF(LEFT(AA41,5)="COGS|",N(R41),0)+IF(LEFT(AB41,5)="COGS|",N(S41),0)+IF(LEFT(AC41,5)="COGS|",-N(L41),0)+IF(LEFT(AD41,5)="COGS|",-N(U41),0)+IF(LEFT(AE41,5)="COGS|",-N(T41),0)</f>
        <v/>
      </c>
      <c r="AH41" s="23">
        <f>IF(LEFT(AA41,8)="Expense|",N(R41),0)+IF(LEFT(AB41,8)="Expense|",N(S41),0)+IF(LEFT(AC41,8)="Expense|",-N(L41),0)+IF(LEFT(AD41,8)="Expense|",-N(U41),0)+IF(LEFT(AE41,8)="Expense|",-N(T41),0)</f>
        <v/>
      </c>
      <c r="AI41" s="23">
        <f>IF(ISNUMBER(MATCH(AA41,{"Expense|employee","Expense|general_admin","Expense|marketing","Expense|utilities","Expense|other_operating"},0)),N(R41),0)+IF(ISNUMBER(MATCH(AB41,{"Expense|employee","Expense|general_admin","Expense|marketing","Expense|utilities","Expense|other_operating"},0)),N(S41),0)+IF(ISNUMBER(MATCH(AC41,{"Expense|employee","Expense|general_admin","Expense|marketing","Expense|utilities","Expense|other_operating"},0)),-N(L41),0)+IF(ISNUMBER(MATCH(AD41,{"Expense|employee","Expense|general_admin","Expense|marketing","Expense|utilities","Expense|other_operating"},0)),-N(U41),0)+IF(ISNUMBER(MATCH(AE41,{"Expense|employee","Expense|general_admin","Expense|marketing","Expense|utilities","Expense|other_operating"},0)),-N(T41),0)</f>
        <v/>
      </c>
      <c r="AJ41" s="23">
        <f>IF(AA41="Liability|payable",-N(R41),0)+IF(AB41="Liability|payable",-N(S41),0)+IF(AC41="Liability|payable",N(L41),0)+IF(AD41="Liability|payable",N(U41),0)+IF(AE41="Liability|payable",N(T41),0)</f>
        <v/>
      </c>
      <c r="AK41" s="23">
        <f>IF(AA41="Liability|accrued",-N(R41),0)+IF(AB41="Liability|accrued",-N(S41),0)+IF(AC41="Liability|accrued",N(L41),0)+IF(AD41="Liability|accrued",N(U41),0)+IF(AE41="Liability|accrued",N(T41),0)</f>
        <v/>
      </c>
      <c r="AL41" s="23">
        <f>IF(AND(N(R41)&lt;&gt;0,AA41=""),1,0)+IF(AND(N(S41)&lt;&gt;0,AB41=""),1,0)+IF(AND(N(L41)&lt;&gt;0,AC41=""),1,0)+IF(AND(N(U41)&lt;&gt;0,AD41=""),1,0)+IF(AND(N(T41)&lt;&gt;0,AE41=""),1,0)</f>
        <v/>
      </c>
    </row>
    <row r="42">
      <c r="A42" s="19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20" t="n"/>
      <c r="K42" s="20" t="n"/>
      <c r="L42" s="20" t="n"/>
      <c r="M42" s="14" t="n"/>
      <c r="N42" s="14" t="n"/>
      <c r="O42" s="14" t="n"/>
      <c r="P42" s="14" t="n"/>
      <c r="Q42" s="14" t="n"/>
      <c r="R42" s="21">
        <f>ROUND(N(H42)*N(J42)-N(K42),2)</f>
        <v/>
      </c>
      <c r="S42" s="21">
        <f>ROUND(R42*IFERROR(VLOOKUP(P42,'Tax Codes'!$A$5:$E$300,5,FALSE),0),2)</f>
        <v/>
      </c>
      <c r="T42" s="21">
        <f>ROUND(R42*IFERROR(VLOOKUP(Q42,'Tax Codes'!$A$5:$E$300,5,FALSE),0),2)</f>
        <v/>
      </c>
      <c r="U42" s="21">
        <f>R42+S42-T42-N(L42)</f>
        <v/>
      </c>
      <c r="V42" s="16">
        <f>IF(C42="",INDEX('Chart of Accounts'!$A$5:$A$3000,MATCH("materials",'Chart of Accounts'!$F$5:$F$3000,0)),C42&amp;"")</f>
        <v/>
      </c>
      <c r="W42" s="16">
        <f>IF(N42="",INDEX('Chart of Accounts'!$A$5:$A$3000,MATCH("bank",'Chart of Accounts'!$F$5:$F$3000,0)),N42&amp;"")</f>
        <v/>
      </c>
      <c r="X42" s="16">
        <f>IF(O42="",INDEX('Chart of Accounts'!$A$5:$A$3000,MATCH("ap",'Chart of Accounts'!$F$5:$F$3000,0)),O42&amp;"")</f>
        <v/>
      </c>
      <c r="Y42" s="16">
        <f>INDEX('Chart of Accounts'!$A$5:$A$3000,MATCH("vat_input",'Chart of Accounts'!$F$5:$F$3000,0))</f>
        <v/>
      </c>
      <c r="Z42" s="16">
        <f>INDEX('Chart of Accounts'!$A$5:$A$3000,MATCH("wht_payable",'Chart of Accounts'!$F$5:$F$3000,0))</f>
        <v/>
      </c>
      <c r="AA42" s="23">
        <f>IFERROR(INDEX('Chart of Accounts'!$C$5:$C$3000,MATCH(V42&amp;"",'Chart of Accounts'!$A$5:$A$3000,0))&amp;"|"&amp;INDEX('Chart of Accounts'!$D$5:$D$3000,MATCH(V42&amp;"",'Chart of Accounts'!$A$5:$A$3000,0)),"")</f>
        <v/>
      </c>
      <c r="AB42" s="23">
        <f>IFERROR(INDEX('Chart of Accounts'!$C$5:$C$3000,MATCH(Y42&amp;"",'Chart of Accounts'!$A$5:$A$3000,0))&amp;"|"&amp;INDEX('Chart of Accounts'!$D$5:$D$3000,MATCH(Y42&amp;"",'Chart of Accounts'!$A$5:$A$3000,0)),"")</f>
        <v/>
      </c>
      <c r="AC42" s="23">
        <f>IFERROR(INDEX('Chart of Accounts'!$C$5:$C$3000,MATCH(W42&amp;"",'Chart of Accounts'!$A$5:$A$3000,0))&amp;"|"&amp;INDEX('Chart of Accounts'!$D$5:$D$3000,MATCH(W42&amp;"",'Chart of Accounts'!$A$5:$A$3000,0)),"")</f>
        <v/>
      </c>
      <c r="AD42" s="23">
        <f>IFERROR(INDEX('Chart of Accounts'!$C$5:$C$3000,MATCH(X42&amp;"",'Chart of Accounts'!$A$5:$A$3000,0))&amp;"|"&amp;INDEX('Chart of Accounts'!$D$5:$D$3000,MATCH(X42&amp;"",'Chart of Accounts'!$A$5:$A$3000,0)),"")</f>
        <v/>
      </c>
      <c r="AE42" s="23">
        <f>IFERROR(INDEX('Chart of Accounts'!$C$5:$C$3000,MATCH(Z42&amp;"",'Chart of Accounts'!$A$5:$A$3000,0))&amp;"|"&amp;INDEX('Chart of Accounts'!$D$5:$D$3000,MATCH(Z42&amp;"",'Chart of Accounts'!$A$5:$A$3000,0)),"")</f>
        <v/>
      </c>
      <c r="AF42" s="23">
        <f>IF(LEFT(AA42,8)="Revenue|",-N(R42),0)+IF(LEFT(AB42,8)="Revenue|",-N(S42),0)+IF(LEFT(AC42,8)="Revenue|",N(L42),0)+IF(LEFT(AD42,8)="Revenue|",N(U42),0)+IF(LEFT(AE42,8)="Revenue|",N(T42),0)</f>
        <v/>
      </c>
      <c r="AG42" s="23">
        <f>IF(LEFT(AA42,5)="COGS|",N(R42),0)+IF(LEFT(AB42,5)="COGS|",N(S42),0)+IF(LEFT(AC42,5)="COGS|",-N(L42),0)+IF(LEFT(AD42,5)="COGS|",-N(U42),0)+IF(LEFT(AE42,5)="COGS|",-N(T42),0)</f>
        <v/>
      </c>
      <c r="AH42" s="23">
        <f>IF(LEFT(AA42,8)="Expense|",N(R42),0)+IF(LEFT(AB42,8)="Expense|",N(S42),0)+IF(LEFT(AC42,8)="Expense|",-N(L42),0)+IF(LEFT(AD42,8)="Expense|",-N(U42),0)+IF(LEFT(AE42,8)="Expense|",-N(T42),0)</f>
        <v/>
      </c>
      <c r="AI42" s="23">
        <f>IF(ISNUMBER(MATCH(AA42,{"Expense|employee","Expense|general_admin","Expense|marketing","Expense|utilities","Expense|other_operating"},0)),N(R42),0)+IF(ISNUMBER(MATCH(AB42,{"Expense|employee","Expense|general_admin","Expense|marketing","Expense|utilities","Expense|other_operating"},0)),N(S42),0)+IF(ISNUMBER(MATCH(AC42,{"Expense|employee","Expense|general_admin","Expense|marketing","Expense|utilities","Expense|other_operating"},0)),-N(L42),0)+IF(ISNUMBER(MATCH(AD42,{"Expense|employee","Expense|general_admin","Expense|marketing","Expense|utilities","Expense|other_operating"},0)),-N(U42),0)+IF(ISNUMBER(MATCH(AE42,{"Expense|employee","Expense|general_admin","Expense|marketing","Expense|utilities","Expense|other_operating"},0)),-N(T42),0)</f>
        <v/>
      </c>
      <c r="AJ42" s="23">
        <f>IF(AA42="Liability|payable",-N(R42),0)+IF(AB42="Liability|payable",-N(S42),0)+IF(AC42="Liability|payable",N(L42),0)+IF(AD42="Liability|payable",N(U42),0)+IF(AE42="Liability|payable",N(T42),0)</f>
        <v/>
      </c>
      <c r="AK42" s="23">
        <f>IF(AA42="Liability|accrued",-N(R42),0)+IF(AB42="Liability|accrued",-N(S42),0)+IF(AC42="Liability|accrued",N(L42),0)+IF(AD42="Liability|accrued",N(U42),0)+IF(AE42="Liability|accrued",N(T42),0)</f>
        <v/>
      </c>
      <c r="AL42" s="23">
        <f>IF(AND(N(R42)&lt;&gt;0,AA42=""),1,0)+IF(AND(N(S42)&lt;&gt;0,AB42=""),1,0)+IF(AND(N(L42)&lt;&gt;0,AC42=""),1,0)+IF(AND(N(U42)&lt;&gt;0,AD42=""),1,0)+IF(AND(N(T42)&lt;&gt;0,AE42=""),1,0)</f>
        <v/>
      </c>
    </row>
    <row r="43">
      <c r="A43" s="19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20" t="n"/>
      <c r="K43" s="20" t="n"/>
      <c r="L43" s="20" t="n"/>
      <c r="M43" s="14" t="n"/>
      <c r="N43" s="14" t="n"/>
      <c r="O43" s="14" t="n"/>
      <c r="P43" s="14" t="n"/>
      <c r="Q43" s="14" t="n"/>
      <c r="R43" s="21">
        <f>ROUND(N(H43)*N(J43)-N(K43),2)</f>
        <v/>
      </c>
      <c r="S43" s="21">
        <f>ROUND(R43*IFERROR(VLOOKUP(P43,'Tax Codes'!$A$5:$E$300,5,FALSE),0),2)</f>
        <v/>
      </c>
      <c r="T43" s="21">
        <f>ROUND(R43*IFERROR(VLOOKUP(Q43,'Tax Codes'!$A$5:$E$300,5,FALSE),0),2)</f>
        <v/>
      </c>
      <c r="U43" s="21">
        <f>R43+S43-T43-N(L43)</f>
        <v/>
      </c>
      <c r="V43" s="16">
        <f>IF(C43="",INDEX('Chart of Accounts'!$A$5:$A$3000,MATCH("materials",'Chart of Accounts'!$F$5:$F$3000,0)),C43&amp;"")</f>
        <v/>
      </c>
      <c r="W43" s="16">
        <f>IF(N43="",INDEX('Chart of Accounts'!$A$5:$A$3000,MATCH("bank",'Chart of Accounts'!$F$5:$F$3000,0)),N43&amp;"")</f>
        <v/>
      </c>
      <c r="X43" s="16">
        <f>IF(O43="",INDEX('Chart of Accounts'!$A$5:$A$3000,MATCH("ap",'Chart of Accounts'!$F$5:$F$3000,0)),O43&amp;"")</f>
        <v/>
      </c>
      <c r="Y43" s="16">
        <f>INDEX('Chart of Accounts'!$A$5:$A$3000,MATCH("vat_input",'Chart of Accounts'!$F$5:$F$3000,0))</f>
        <v/>
      </c>
      <c r="Z43" s="16">
        <f>INDEX('Chart of Accounts'!$A$5:$A$3000,MATCH("wht_payable",'Chart of Accounts'!$F$5:$F$3000,0))</f>
        <v/>
      </c>
      <c r="AA43" s="23">
        <f>IFERROR(INDEX('Chart of Accounts'!$C$5:$C$3000,MATCH(V43&amp;"",'Chart of Accounts'!$A$5:$A$3000,0))&amp;"|"&amp;INDEX('Chart of Accounts'!$D$5:$D$3000,MATCH(V43&amp;"",'Chart of Accounts'!$A$5:$A$3000,0)),"")</f>
        <v/>
      </c>
      <c r="AB43" s="23">
        <f>IFERROR(INDEX('Chart of Accounts'!$C$5:$C$3000,MATCH(Y43&amp;"",'Chart of Accounts'!$A$5:$A$3000,0))&amp;"|"&amp;INDEX('Chart of Accounts'!$D$5:$D$3000,MATCH(Y43&amp;"",'Chart of Accounts'!$A$5:$A$3000,0)),"")</f>
        <v/>
      </c>
      <c r="AC43" s="23">
        <f>IFERROR(INDEX('Chart of Accounts'!$C$5:$C$3000,MATCH(W43&amp;"",'Chart of Accounts'!$A$5:$A$3000,0))&amp;"|"&amp;INDEX('Chart of Accounts'!$D$5:$D$3000,MATCH(W43&amp;"",'Chart of Accounts'!$A$5:$A$3000,0)),"")</f>
        <v/>
      </c>
      <c r="AD43" s="23">
        <f>IFERROR(INDEX('Chart of Accounts'!$C$5:$C$3000,MATCH(X43&amp;"",'Chart of Accounts'!$A$5:$A$3000,0))&amp;"|"&amp;INDEX('Chart of Accounts'!$D$5:$D$3000,MATCH(X43&amp;"",'Chart of Accounts'!$A$5:$A$3000,0)),"")</f>
        <v/>
      </c>
      <c r="AE43" s="23">
        <f>IFERROR(INDEX('Chart of Accounts'!$C$5:$C$3000,MATCH(Z43&amp;"",'Chart of Accounts'!$A$5:$A$3000,0))&amp;"|"&amp;INDEX('Chart of Accounts'!$D$5:$D$3000,MATCH(Z43&amp;"",'Chart of Accounts'!$A$5:$A$3000,0)),"")</f>
        <v/>
      </c>
      <c r="AF43" s="23">
        <f>IF(LEFT(AA43,8)="Revenue|",-N(R43),0)+IF(LEFT(AB43,8)="Revenue|",-N(S43),0)+IF(LEFT(AC43,8)="Revenue|",N(L43),0)+IF(LEFT(AD43,8)="Revenue|",N(U43),0)+IF(LEFT(AE43,8)="Revenue|",N(T43),0)</f>
        <v/>
      </c>
      <c r="AG43" s="23">
        <f>IF(LEFT(AA43,5)="COGS|",N(R43),0)+IF(LEFT(AB43,5)="COGS|",N(S43),0)+IF(LEFT(AC43,5)="COGS|",-N(L43),0)+IF(LEFT(AD43,5)="COGS|",-N(U43),0)+IF(LEFT(AE43,5)="COGS|",-N(T43),0)</f>
        <v/>
      </c>
      <c r="AH43" s="23">
        <f>IF(LEFT(AA43,8)="Expense|",N(R43),0)+IF(LEFT(AB43,8)="Expense|",N(S43),0)+IF(LEFT(AC43,8)="Expense|",-N(L43),0)+IF(LEFT(AD43,8)="Expense|",-N(U43),0)+IF(LEFT(AE43,8)="Expense|",-N(T43),0)</f>
        <v/>
      </c>
      <c r="AI43" s="23">
        <f>IF(ISNUMBER(MATCH(AA43,{"Expense|employee","Expense|general_admin","Expense|marketing","Expense|utilities","Expense|other_operating"},0)),N(R43),0)+IF(ISNUMBER(MATCH(AB43,{"Expense|employee","Expense|general_admin","Expense|marketing","Expense|utilities","Expense|other_operating"},0)),N(S43),0)+IF(ISNUMBER(MATCH(AC43,{"Expense|employee","Expense|general_admin","Expense|marketing","Expense|utilities","Expense|other_operating"},0)),-N(L43),0)+IF(ISNUMBER(MATCH(AD43,{"Expense|employee","Expense|general_admin","Expense|marketing","Expense|utilities","Expense|other_operating"},0)),-N(U43),0)+IF(ISNUMBER(MATCH(AE43,{"Expense|employee","Expense|general_admin","Expense|marketing","Expense|utilities","Expense|other_operating"},0)),-N(T43),0)</f>
        <v/>
      </c>
      <c r="AJ43" s="23">
        <f>IF(AA43="Liability|payable",-N(R43),0)+IF(AB43="Liability|payable",-N(S43),0)+IF(AC43="Liability|payable",N(L43),0)+IF(AD43="Liability|payable",N(U43),0)+IF(AE43="Liability|payable",N(T43),0)</f>
        <v/>
      </c>
      <c r="AK43" s="23">
        <f>IF(AA43="Liability|accrued",-N(R43),0)+IF(AB43="Liability|accrued",-N(S43),0)+IF(AC43="Liability|accrued",N(L43),0)+IF(AD43="Liability|accrued",N(U43),0)+IF(AE43="Liability|accrued",N(T43),0)</f>
        <v/>
      </c>
      <c r="AL43" s="23">
        <f>IF(AND(N(R43)&lt;&gt;0,AA43=""),1,0)+IF(AND(N(S43)&lt;&gt;0,AB43=""),1,0)+IF(AND(N(L43)&lt;&gt;0,AC43=""),1,0)+IF(AND(N(U43)&lt;&gt;0,AD43=""),1,0)+IF(AND(N(T43)&lt;&gt;0,AE43=""),1,0)</f>
        <v/>
      </c>
    </row>
    <row r="44">
      <c r="A44" s="19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20" t="n"/>
      <c r="K44" s="20" t="n"/>
      <c r="L44" s="20" t="n"/>
      <c r="M44" s="14" t="n"/>
      <c r="N44" s="14" t="n"/>
      <c r="O44" s="14" t="n"/>
      <c r="P44" s="14" t="n"/>
      <c r="Q44" s="14" t="n"/>
      <c r="R44" s="21">
        <f>ROUND(N(H44)*N(J44)-N(K44),2)</f>
        <v/>
      </c>
      <c r="S44" s="21">
        <f>ROUND(R44*IFERROR(VLOOKUP(P44,'Tax Codes'!$A$5:$E$300,5,FALSE),0),2)</f>
        <v/>
      </c>
      <c r="T44" s="21">
        <f>ROUND(R44*IFERROR(VLOOKUP(Q44,'Tax Codes'!$A$5:$E$300,5,FALSE),0),2)</f>
        <v/>
      </c>
      <c r="U44" s="21">
        <f>R44+S44-T44-N(L44)</f>
        <v/>
      </c>
      <c r="V44" s="16">
        <f>IF(C44="",INDEX('Chart of Accounts'!$A$5:$A$3000,MATCH("materials",'Chart of Accounts'!$F$5:$F$3000,0)),C44&amp;"")</f>
        <v/>
      </c>
      <c r="W44" s="16">
        <f>IF(N44="",INDEX('Chart of Accounts'!$A$5:$A$3000,MATCH("bank",'Chart of Accounts'!$F$5:$F$3000,0)),N44&amp;"")</f>
        <v/>
      </c>
      <c r="X44" s="16">
        <f>IF(O44="",INDEX('Chart of Accounts'!$A$5:$A$3000,MATCH("ap",'Chart of Accounts'!$F$5:$F$3000,0)),O44&amp;"")</f>
        <v/>
      </c>
      <c r="Y44" s="16">
        <f>INDEX('Chart of Accounts'!$A$5:$A$3000,MATCH("vat_input",'Chart of Accounts'!$F$5:$F$3000,0))</f>
        <v/>
      </c>
      <c r="Z44" s="16">
        <f>INDEX('Chart of Accounts'!$A$5:$A$3000,MATCH("wht_payable",'Chart of Accounts'!$F$5:$F$3000,0))</f>
        <v/>
      </c>
      <c r="AA44" s="23">
        <f>IFERROR(INDEX('Chart of Accounts'!$C$5:$C$3000,MATCH(V44&amp;"",'Chart of Accounts'!$A$5:$A$3000,0))&amp;"|"&amp;INDEX('Chart of Accounts'!$D$5:$D$3000,MATCH(V44&amp;"",'Chart of Accounts'!$A$5:$A$3000,0)),"")</f>
        <v/>
      </c>
      <c r="AB44" s="23">
        <f>IFERROR(INDEX('Chart of Accounts'!$C$5:$C$3000,MATCH(Y44&amp;"",'Chart of Accounts'!$A$5:$A$3000,0))&amp;"|"&amp;INDEX('Chart of Accounts'!$D$5:$D$3000,MATCH(Y44&amp;"",'Chart of Accounts'!$A$5:$A$3000,0)),"")</f>
        <v/>
      </c>
      <c r="AC44" s="23">
        <f>IFERROR(INDEX('Chart of Accounts'!$C$5:$C$3000,MATCH(W44&amp;"",'Chart of Accounts'!$A$5:$A$3000,0))&amp;"|"&amp;INDEX('Chart of Accounts'!$D$5:$D$3000,MATCH(W44&amp;"",'Chart of Accounts'!$A$5:$A$3000,0)),"")</f>
        <v/>
      </c>
      <c r="AD44" s="23">
        <f>IFERROR(INDEX('Chart of Accounts'!$C$5:$C$3000,MATCH(X44&amp;"",'Chart of Accounts'!$A$5:$A$3000,0))&amp;"|"&amp;INDEX('Chart of Accounts'!$D$5:$D$3000,MATCH(X44&amp;"",'Chart of Accounts'!$A$5:$A$3000,0)),"")</f>
        <v/>
      </c>
      <c r="AE44" s="23">
        <f>IFERROR(INDEX('Chart of Accounts'!$C$5:$C$3000,MATCH(Z44&amp;"",'Chart of Accounts'!$A$5:$A$3000,0))&amp;"|"&amp;INDEX('Chart of Accounts'!$D$5:$D$3000,MATCH(Z44&amp;"",'Chart of Accounts'!$A$5:$A$3000,0)),"")</f>
        <v/>
      </c>
      <c r="AF44" s="23">
        <f>IF(LEFT(AA44,8)="Revenue|",-N(R44),0)+IF(LEFT(AB44,8)="Revenue|",-N(S44),0)+IF(LEFT(AC44,8)="Revenue|",N(L44),0)+IF(LEFT(AD44,8)="Revenue|",N(U44),0)+IF(LEFT(AE44,8)="Revenue|",N(T44),0)</f>
        <v/>
      </c>
      <c r="AG44" s="23">
        <f>IF(LEFT(AA44,5)="COGS|",N(R44),0)+IF(LEFT(AB44,5)="COGS|",N(S44),0)+IF(LEFT(AC44,5)="COGS|",-N(L44),0)+IF(LEFT(AD44,5)="COGS|",-N(U44),0)+IF(LEFT(AE44,5)="COGS|",-N(T44),0)</f>
        <v/>
      </c>
      <c r="AH44" s="23">
        <f>IF(LEFT(AA44,8)="Expense|",N(R44),0)+IF(LEFT(AB44,8)="Expense|",N(S44),0)+IF(LEFT(AC44,8)="Expense|",-N(L44),0)+IF(LEFT(AD44,8)="Expense|",-N(U44),0)+IF(LEFT(AE44,8)="Expense|",-N(T44),0)</f>
        <v/>
      </c>
      <c r="AI44" s="23">
        <f>IF(ISNUMBER(MATCH(AA44,{"Expense|employee","Expense|general_admin","Expense|marketing","Expense|utilities","Expense|other_operating"},0)),N(R44),0)+IF(ISNUMBER(MATCH(AB44,{"Expense|employee","Expense|general_admin","Expense|marketing","Expense|utilities","Expense|other_operating"},0)),N(S44),0)+IF(ISNUMBER(MATCH(AC44,{"Expense|employee","Expense|general_admin","Expense|marketing","Expense|utilities","Expense|other_operating"},0)),-N(L44),0)+IF(ISNUMBER(MATCH(AD44,{"Expense|employee","Expense|general_admin","Expense|marketing","Expense|utilities","Expense|other_operating"},0)),-N(U44),0)+IF(ISNUMBER(MATCH(AE44,{"Expense|employee","Expense|general_admin","Expense|marketing","Expense|utilities","Expense|other_operating"},0)),-N(T44),0)</f>
        <v/>
      </c>
      <c r="AJ44" s="23">
        <f>IF(AA44="Liability|payable",-N(R44),0)+IF(AB44="Liability|payable",-N(S44),0)+IF(AC44="Liability|payable",N(L44),0)+IF(AD44="Liability|payable",N(U44),0)+IF(AE44="Liability|payable",N(T44),0)</f>
        <v/>
      </c>
      <c r="AK44" s="23">
        <f>IF(AA44="Liability|accrued",-N(R44),0)+IF(AB44="Liability|accrued",-N(S44),0)+IF(AC44="Liability|accrued",N(L44),0)+IF(AD44="Liability|accrued",N(U44),0)+IF(AE44="Liability|accrued",N(T44),0)</f>
        <v/>
      </c>
      <c r="AL44" s="23">
        <f>IF(AND(N(R44)&lt;&gt;0,AA44=""),1,0)+IF(AND(N(S44)&lt;&gt;0,AB44=""),1,0)+IF(AND(N(L44)&lt;&gt;0,AC44=""),1,0)+IF(AND(N(U44)&lt;&gt;0,AD44=""),1,0)+IF(AND(N(T44)&lt;&gt;0,AE44=""),1,0)</f>
        <v/>
      </c>
    </row>
    <row r="45">
      <c r="A45" s="19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20" t="n"/>
      <c r="K45" s="20" t="n"/>
      <c r="L45" s="20" t="n"/>
      <c r="M45" s="14" t="n"/>
      <c r="N45" s="14" t="n"/>
      <c r="O45" s="14" t="n"/>
      <c r="P45" s="14" t="n"/>
      <c r="Q45" s="14" t="n"/>
      <c r="R45" s="21">
        <f>ROUND(N(H45)*N(J45)-N(K45),2)</f>
        <v/>
      </c>
      <c r="S45" s="21">
        <f>ROUND(R45*IFERROR(VLOOKUP(P45,'Tax Codes'!$A$5:$E$300,5,FALSE),0),2)</f>
        <v/>
      </c>
      <c r="T45" s="21">
        <f>ROUND(R45*IFERROR(VLOOKUP(Q45,'Tax Codes'!$A$5:$E$300,5,FALSE),0),2)</f>
        <v/>
      </c>
      <c r="U45" s="21">
        <f>R45+S45-T45-N(L45)</f>
        <v/>
      </c>
      <c r="V45" s="16">
        <f>IF(C45="",INDEX('Chart of Accounts'!$A$5:$A$3000,MATCH("materials",'Chart of Accounts'!$F$5:$F$3000,0)),C45&amp;"")</f>
        <v/>
      </c>
      <c r="W45" s="16">
        <f>IF(N45="",INDEX('Chart of Accounts'!$A$5:$A$3000,MATCH("bank",'Chart of Accounts'!$F$5:$F$3000,0)),N45&amp;"")</f>
        <v/>
      </c>
      <c r="X45" s="16">
        <f>IF(O45="",INDEX('Chart of Accounts'!$A$5:$A$3000,MATCH("ap",'Chart of Accounts'!$F$5:$F$3000,0)),O45&amp;"")</f>
        <v/>
      </c>
      <c r="Y45" s="16">
        <f>INDEX('Chart of Accounts'!$A$5:$A$3000,MATCH("vat_input",'Chart of Accounts'!$F$5:$F$3000,0))</f>
        <v/>
      </c>
      <c r="Z45" s="16">
        <f>INDEX('Chart of Accounts'!$A$5:$A$3000,MATCH("wht_payable",'Chart of Accounts'!$F$5:$F$3000,0))</f>
        <v/>
      </c>
      <c r="AA45" s="23">
        <f>IFERROR(INDEX('Chart of Accounts'!$C$5:$C$3000,MATCH(V45&amp;"",'Chart of Accounts'!$A$5:$A$3000,0))&amp;"|"&amp;INDEX('Chart of Accounts'!$D$5:$D$3000,MATCH(V45&amp;"",'Chart of Accounts'!$A$5:$A$3000,0)),"")</f>
        <v/>
      </c>
      <c r="AB45" s="23">
        <f>IFERROR(INDEX('Chart of Accounts'!$C$5:$C$3000,MATCH(Y45&amp;"",'Chart of Accounts'!$A$5:$A$3000,0))&amp;"|"&amp;INDEX('Chart of Accounts'!$D$5:$D$3000,MATCH(Y45&amp;"",'Chart of Accounts'!$A$5:$A$3000,0)),"")</f>
        <v/>
      </c>
      <c r="AC45" s="23">
        <f>IFERROR(INDEX('Chart of Accounts'!$C$5:$C$3000,MATCH(W45&amp;"",'Chart of Accounts'!$A$5:$A$3000,0))&amp;"|"&amp;INDEX('Chart of Accounts'!$D$5:$D$3000,MATCH(W45&amp;"",'Chart of Accounts'!$A$5:$A$3000,0)),"")</f>
        <v/>
      </c>
      <c r="AD45" s="23">
        <f>IFERROR(INDEX('Chart of Accounts'!$C$5:$C$3000,MATCH(X45&amp;"",'Chart of Accounts'!$A$5:$A$3000,0))&amp;"|"&amp;INDEX('Chart of Accounts'!$D$5:$D$3000,MATCH(X45&amp;"",'Chart of Accounts'!$A$5:$A$3000,0)),"")</f>
        <v/>
      </c>
      <c r="AE45" s="23">
        <f>IFERROR(INDEX('Chart of Accounts'!$C$5:$C$3000,MATCH(Z45&amp;"",'Chart of Accounts'!$A$5:$A$3000,0))&amp;"|"&amp;INDEX('Chart of Accounts'!$D$5:$D$3000,MATCH(Z45&amp;"",'Chart of Accounts'!$A$5:$A$3000,0)),"")</f>
        <v/>
      </c>
      <c r="AF45" s="23">
        <f>IF(LEFT(AA45,8)="Revenue|",-N(R45),0)+IF(LEFT(AB45,8)="Revenue|",-N(S45),0)+IF(LEFT(AC45,8)="Revenue|",N(L45),0)+IF(LEFT(AD45,8)="Revenue|",N(U45),0)+IF(LEFT(AE45,8)="Revenue|",N(T45),0)</f>
        <v/>
      </c>
      <c r="AG45" s="23">
        <f>IF(LEFT(AA45,5)="COGS|",N(R45),0)+IF(LEFT(AB45,5)="COGS|",N(S45),0)+IF(LEFT(AC45,5)="COGS|",-N(L45),0)+IF(LEFT(AD45,5)="COGS|",-N(U45),0)+IF(LEFT(AE45,5)="COGS|",-N(T45),0)</f>
        <v/>
      </c>
      <c r="AH45" s="23">
        <f>IF(LEFT(AA45,8)="Expense|",N(R45),0)+IF(LEFT(AB45,8)="Expense|",N(S45),0)+IF(LEFT(AC45,8)="Expense|",-N(L45),0)+IF(LEFT(AD45,8)="Expense|",-N(U45),0)+IF(LEFT(AE45,8)="Expense|",-N(T45),0)</f>
        <v/>
      </c>
      <c r="AI45" s="23">
        <f>IF(ISNUMBER(MATCH(AA45,{"Expense|employee","Expense|general_admin","Expense|marketing","Expense|utilities","Expense|other_operating"},0)),N(R45),0)+IF(ISNUMBER(MATCH(AB45,{"Expense|employee","Expense|general_admin","Expense|marketing","Expense|utilities","Expense|other_operating"},0)),N(S45),0)+IF(ISNUMBER(MATCH(AC45,{"Expense|employee","Expense|general_admin","Expense|marketing","Expense|utilities","Expense|other_operating"},0)),-N(L45),0)+IF(ISNUMBER(MATCH(AD45,{"Expense|employee","Expense|general_admin","Expense|marketing","Expense|utilities","Expense|other_operating"},0)),-N(U45),0)+IF(ISNUMBER(MATCH(AE45,{"Expense|employee","Expense|general_admin","Expense|marketing","Expense|utilities","Expense|other_operating"},0)),-N(T45),0)</f>
        <v/>
      </c>
      <c r="AJ45" s="23">
        <f>IF(AA45="Liability|payable",-N(R45),0)+IF(AB45="Liability|payable",-N(S45),0)+IF(AC45="Liability|payable",N(L45),0)+IF(AD45="Liability|payable",N(U45),0)+IF(AE45="Liability|payable",N(T45),0)</f>
        <v/>
      </c>
      <c r="AK45" s="23">
        <f>IF(AA45="Liability|accrued",-N(R45),0)+IF(AB45="Liability|accrued",-N(S45),0)+IF(AC45="Liability|accrued",N(L45),0)+IF(AD45="Liability|accrued",N(U45),0)+IF(AE45="Liability|accrued",N(T45),0)</f>
        <v/>
      </c>
      <c r="AL45" s="23">
        <f>IF(AND(N(R45)&lt;&gt;0,AA45=""),1,0)+IF(AND(N(S45)&lt;&gt;0,AB45=""),1,0)+IF(AND(N(L45)&lt;&gt;0,AC45=""),1,0)+IF(AND(N(U45)&lt;&gt;0,AD45=""),1,0)+IF(AND(N(T45)&lt;&gt;0,AE45=""),1,0)</f>
        <v/>
      </c>
    </row>
    <row r="46">
      <c r="A46" s="19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20" t="n"/>
      <c r="K46" s="20" t="n"/>
      <c r="L46" s="20" t="n"/>
      <c r="M46" s="14" t="n"/>
      <c r="N46" s="14" t="n"/>
      <c r="O46" s="14" t="n"/>
      <c r="P46" s="14" t="n"/>
      <c r="Q46" s="14" t="n"/>
      <c r="R46" s="21">
        <f>ROUND(N(H46)*N(J46)-N(K46),2)</f>
        <v/>
      </c>
      <c r="S46" s="21">
        <f>ROUND(R46*IFERROR(VLOOKUP(P46,'Tax Codes'!$A$5:$E$300,5,FALSE),0),2)</f>
        <v/>
      </c>
      <c r="T46" s="21">
        <f>ROUND(R46*IFERROR(VLOOKUP(Q46,'Tax Codes'!$A$5:$E$300,5,FALSE),0),2)</f>
        <v/>
      </c>
      <c r="U46" s="21">
        <f>R46+S46-T46-N(L46)</f>
        <v/>
      </c>
      <c r="V46" s="16">
        <f>IF(C46="",INDEX('Chart of Accounts'!$A$5:$A$3000,MATCH("materials",'Chart of Accounts'!$F$5:$F$3000,0)),C46&amp;"")</f>
        <v/>
      </c>
      <c r="W46" s="16">
        <f>IF(N46="",INDEX('Chart of Accounts'!$A$5:$A$3000,MATCH("bank",'Chart of Accounts'!$F$5:$F$3000,0)),N46&amp;"")</f>
        <v/>
      </c>
      <c r="X46" s="16">
        <f>IF(O46="",INDEX('Chart of Accounts'!$A$5:$A$3000,MATCH("ap",'Chart of Accounts'!$F$5:$F$3000,0)),O46&amp;"")</f>
        <v/>
      </c>
      <c r="Y46" s="16">
        <f>INDEX('Chart of Accounts'!$A$5:$A$3000,MATCH("vat_input",'Chart of Accounts'!$F$5:$F$3000,0))</f>
        <v/>
      </c>
      <c r="Z46" s="16">
        <f>INDEX('Chart of Accounts'!$A$5:$A$3000,MATCH("wht_payable",'Chart of Accounts'!$F$5:$F$3000,0))</f>
        <v/>
      </c>
      <c r="AA46" s="23">
        <f>IFERROR(INDEX('Chart of Accounts'!$C$5:$C$3000,MATCH(V46&amp;"",'Chart of Accounts'!$A$5:$A$3000,0))&amp;"|"&amp;INDEX('Chart of Accounts'!$D$5:$D$3000,MATCH(V46&amp;"",'Chart of Accounts'!$A$5:$A$3000,0)),"")</f>
        <v/>
      </c>
      <c r="AB46" s="23">
        <f>IFERROR(INDEX('Chart of Accounts'!$C$5:$C$3000,MATCH(Y46&amp;"",'Chart of Accounts'!$A$5:$A$3000,0))&amp;"|"&amp;INDEX('Chart of Accounts'!$D$5:$D$3000,MATCH(Y46&amp;"",'Chart of Accounts'!$A$5:$A$3000,0)),"")</f>
        <v/>
      </c>
      <c r="AC46" s="23">
        <f>IFERROR(INDEX('Chart of Accounts'!$C$5:$C$3000,MATCH(W46&amp;"",'Chart of Accounts'!$A$5:$A$3000,0))&amp;"|"&amp;INDEX('Chart of Accounts'!$D$5:$D$3000,MATCH(W46&amp;"",'Chart of Accounts'!$A$5:$A$3000,0)),"")</f>
        <v/>
      </c>
      <c r="AD46" s="23">
        <f>IFERROR(INDEX('Chart of Accounts'!$C$5:$C$3000,MATCH(X46&amp;"",'Chart of Accounts'!$A$5:$A$3000,0))&amp;"|"&amp;INDEX('Chart of Accounts'!$D$5:$D$3000,MATCH(X46&amp;"",'Chart of Accounts'!$A$5:$A$3000,0)),"")</f>
        <v/>
      </c>
      <c r="AE46" s="23">
        <f>IFERROR(INDEX('Chart of Accounts'!$C$5:$C$3000,MATCH(Z46&amp;"",'Chart of Accounts'!$A$5:$A$3000,0))&amp;"|"&amp;INDEX('Chart of Accounts'!$D$5:$D$3000,MATCH(Z46&amp;"",'Chart of Accounts'!$A$5:$A$3000,0)),"")</f>
        <v/>
      </c>
      <c r="AF46" s="23">
        <f>IF(LEFT(AA46,8)="Revenue|",-N(R46),0)+IF(LEFT(AB46,8)="Revenue|",-N(S46),0)+IF(LEFT(AC46,8)="Revenue|",N(L46),0)+IF(LEFT(AD46,8)="Revenue|",N(U46),0)+IF(LEFT(AE46,8)="Revenue|",N(T46),0)</f>
        <v/>
      </c>
      <c r="AG46" s="23">
        <f>IF(LEFT(AA46,5)="COGS|",N(R46),0)+IF(LEFT(AB46,5)="COGS|",N(S46),0)+IF(LEFT(AC46,5)="COGS|",-N(L46),0)+IF(LEFT(AD46,5)="COGS|",-N(U46),0)+IF(LEFT(AE46,5)="COGS|",-N(T46),0)</f>
        <v/>
      </c>
      <c r="AH46" s="23">
        <f>IF(LEFT(AA46,8)="Expense|",N(R46),0)+IF(LEFT(AB46,8)="Expense|",N(S46),0)+IF(LEFT(AC46,8)="Expense|",-N(L46),0)+IF(LEFT(AD46,8)="Expense|",-N(U46),0)+IF(LEFT(AE46,8)="Expense|",-N(T46),0)</f>
        <v/>
      </c>
      <c r="AI46" s="23">
        <f>IF(ISNUMBER(MATCH(AA46,{"Expense|employee","Expense|general_admin","Expense|marketing","Expense|utilities","Expense|other_operating"},0)),N(R46),0)+IF(ISNUMBER(MATCH(AB46,{"Expense|employee","Expense|general_admin","Expense|marketing","Expense|utilities","Expense|other_operating"},0)),N(S46),0)+IF(ISNUMBER(MATCH(AC46,{"Expense|employee","Expense|general_admin","Expense|marketing","Expense|utilities","Expense|other_operating"},0)),-N(L46),0)+IF(ISNUMBER(MATCH(AD46,{"Expense|employee","Expense|general_admin","Expense|marketing","Expense|utilities","Expense|other_operating"},0)),-N(U46),0)+IF(ISNUMBER(MATCH(AE46,{"Expense|employee","Expense|general_admin","Expense|marketing","Expense|utilities","Expense|other_operating"},0)),-N(T46),0)</f>
        <v/>
      </c>
      <c r="AJ46" s="23">
        <f>IF(AA46="Liability|payable",-N(R46),0)+IF(AB46="Liability|payable",-N(S46),0)+IF(AC46="Liability|payable",N(L46),0)+IF(AD46="Liability|payable",N(U46),0)+IF(AE46="Liability|payable",N(T46),0)</f>
        <v/>
      </c>
      <c r="AK46" s="23">
        <f>IF(AA46="Liability|accrued",-N(R46),0)+IF(AB46="Liability|accrued",-N(S46),0)+IF(AC46="Liability|accrued",N(L46),0)+IF(AD46="Liability|accrued",N(U46),0)+IF(AE46="Liability|accrued",N(T46),0)</f>
        <v/>
      </c>
      <c r="AL46" s="23">
        <f>IF(AND(N(R46)&lt;&gt;0,AA46=""),1,0)+IF(AND(N(S46)&lt;&gt;0,AB46=""),1,0)+IF(AND(N(L46)&lt;&gt;0,AC46=""),1,0)+IF(AND(N(U46)&lt;&gt;0,AD46=""),1,0)+IF(AND(N(T46)&lt;&gt;0,AE46=""),1,0)</f>
        <v/>
      </c>
    </row>
    <row r="47">
      <c r="A47" s="19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20" t="n"/>
      <c r="K47" s="20" t="n"/>
      <c r="L47" s="20" t="n"/>
      <c r="M47" s="14" t="n"/>
      <c r="N47" s="14" t="n"/>
      <c r="O47" s="14" t="n"/>
      <c r="P47" s="14" t="n"/>
      <c r="Q47" s="14" t="n"/>
      <c r="R47" s="21">
        <f>ROUND(N(H47)*N(J47)-N(K47),2)</f>
        <v/>
      </c>
      <c r="S47" s="21">
        <f>ROUND(R47*IFERROR(VLOOKUP(P47,'Tax Codes'!$A$5:$E$300,5,FALSE),0),2)</f>
        <v/>
      </c>
      <c r="T47" s="21">
        <f>ROUND(R47*IFERROR(VLOOKUP(Q47,'Tax Codes'!$A$5:$E$300,5,FALSE),0),2)</f>
        <v/>
      </c>
      <c r="U47" s="21">
        <f>R47+S47-T47-N(L47)</f>
        <v/>
      </c>
      <c r="V47" s="16">
        <f>IF(C47="",INDEX('Chart of Accounts'!$A$5:$A$3000,MATCH("materials",'Chart of Accounts'!$F$5:$F$3000,0)),C47&amp;"")</f>
        <v/>
      </c>
      <c r="W47" s="16">
        <f>IF(N47="",INDEX('Chart of Accounts'!$A$5:$A$3000,MATCH("bank",'Chart of Accounts'!$F$5:$F$3000,0)),N47&amp;"")</f>
        <v/>
      </c>
      <c r="X47" s="16">
        <f>IF(O47="",INDEX('Chart of Accounts'!$A$5:$A$3000,MATCH("ap",'Chart of Accounts'!$F$5:$F$3000,0)),O47&amp;"")</f>
        <v/>
      </c>
      <c r="Y47" s="16">
        <f>INDEX('Chart of Accounts'!$A$5:$A$3000,MATCH("vat_input",'Chart of Accounts'!$F$5:$F$3000,0))</f>
        <v/>
      </c>
      <c r="Z47" s="16">
        <f>INDEX('Chart of Accounts'!$A$5:$A$3000,MATCH("wht_payable",'Chart of Accounts'!$F$5:$F$3000,0))</f>
        <v/>
      </c>
      <c r="AA47" s="23">
        <f>IFERROR(INDEX('Chart of Accounts'!$C$5:$C$3000,MATCH(V47&amp;"",'Chart of Accounts'!$A$5:$A$3000,0))&amp;"|"&amp;INDEX('Chart of Accounts'!$D$5:$D$3000,MATCH(V47&amp;"",'Chart of Accounts'!$A$5:$A$3000,0)),"")</f>
        <v/>
      </c>
      <c r="AB47" s="23">
        <f>IFERROR(INDEX('Chart of Accounts'!$C$5:$C$3000,MATCH(Y47&amp;"",'Chart of Accounts'!$A$5:$A$3000,0))&amp;"|"&amp;INDEX('Chart of Accounts'!$D$5:$D$3000,MATCH(Y47&amp;"",'Chart of Accounts'!$A$5:$A$3000,0)),"")</f>
        <v/>
      </c>
      <c r="AC47" s="23">
        <f>IFERROR(INDEX('Chart of Accounts'!$C$5:$C$3000,MATCH(W47&amp;"",'Chart of Accounts'!$A$5:$A$3000,0))&amp;"|"&amp;INDEX('Chart of Accounts'!$D$5:$D$3000,MATCH(W47&amp;"",'Chart of Accounts'!$A$5:$A$3000,0)),"")</f>
        <v/>
      </c>
      <c r="AD47" s="23">
        <f>IFERROR(INDEX('Chart of Accounts'!$C$5:$C$3000,MATCH(X47&amp;"",'Chart of Accounts'!$A$5:$A$3000,0))&amp;"|"&amp;INDEX('Chart of Accounts'!$D$5:$D$3000,MATCH(X47&amp;"",'Chart of Accounts'!$A$5:$A$3000,0)),"")</f>
        <v/>
      </c>
      <c r="AE47" s="23">
        <f>IFERROR(INDEX('Chart of Accounts'!$C$5:$C$3000,MATCH(Z47&amp;"",'Chart of Accounts'!$A$5:$A$3000,0))&amp;"|"&amp;INDEX('Chart of Accounts'!$D$5:$D$3000,MATCH(Z47&amp;"",'Chart of Accounts'!$A$5:$A$3000,0)),"")</f>
        <v/>
      </c>
      <c r="AF47" s="23">
        <f>IF(LEFT(AA47,8)="Revenue|",-N(R47),0)+IF(LEFT(AB47,8)="Revenue|",-N(S47),0)+IF(LEFT(AC47,8)="Revenue|",N(L47),0)+IF(LEFT(AD47,8)="Revenue|",N(U47),0)+IF(LEFT(AE47,8)="Revenue|",N(T47),0)</f>
        <v/>
      </c>
      <c r="AG47" s="23">
        <f>IF(LEFT(AA47,5)="COGS|",N(R47),0)+IF(LEFT(AB47,5)="COGS|",N(S47),0)+IF(LEFT(AC47,5)="COGS|",-N(L47),0)+IF(LEFT(AD47,5)="COGS|",-N(U47),0)+IF(LEFT(AE47,5)="COGS|",-N(T47),0)</f>
        <v/>
      </c>
      <c r="AH47" s="23">
        <f>IF(LEFT(AA47,8)="Expense|",N(R47),0)+IF(LEFT(AB47,8)="Expense|",N(S47),0)+IF(LEFT(AC47,8)="Expense|",-N(L47),0)+IF(LEFT(AD47,8)="Expense|",-N(U47),0)+IF(LEFT(AE47,8)="Expense|",-N(T47),0)</f>
        <v/>
      </c>
      <c r="AI47" s="23">
        <f>IF(ISNUMBER(MATCH(AA47,{"Expense|employee","Expense|general_admin","Expense|marketing","Expense|utilities","Expense|other_operating"},0)),N(R47),0)+IF(ISNUMBER(MATCH(AB47,{"Expense|employee","Expense|general_admin","Expense|marketing","Expense|utilities","Expense|other_operating"},0)),N(S47),0)+IF(ISNUMBER(MATCH(AC47,{"Expense|employee","Expense|general_admin","Expense|marketing","Expense|utilities","Expense|other_operating"},0)),-N(L47),0)+IF(ISNUMBER(MATCH(AD47,{"Expense|employee","Expense|general_admin","Expense|marketing","Expense|utilities","Expense|other_operating"},0)),-N(U47),0)+IF(ISNUMBER(MATCH(AE47,{"Expense|employee","Expense|general_admin","Expense|marketing","Expense|utilities","Expense|other_operating"},0)),-N(T47),0)</f>
        <v/>
      </c>
      <c r="AJ47" s="23">
        <f>IF(AA47="Liability|payable",-N(R47),0)+IF(AB47="Liability|payable",-N(S47),0)+IF(AC47="Liability|payable",N(L47),0)+IF(AD47="Liability|payable",N(U47),0)+IF(AE47="Liability|payable",N(T47),0)</f>
        <v/>
      </c>
      <c r="AK47" s="23">
        <f>IF(AA47="Liability|accrued",-N(R47),0)+IF(AB47="Liability|accrued",-N(S47),0)+IF(AC47="Liability|accrued",N(L47),0)+IF(AD47="Liability|accrued",N(U47),0)+IF(AE47="Liability|accrued",N(T47),0)</f>
        <v/>
      </c>
      <c r="AL47" s="23">
        <f>IF(AND(N(R47)&lt;&gt;0,AA47=""),1,0)+IF(AND(N(S47)&lt;&gt;0,AB47=""),1,0)+IF(AND(N(L47)&lt;&gt;0,AC47=""),1,0)+IF(AND(N(U47)&lt;&gt;0,AD47=""),1,0)+IF(AND(N(T47)&lt;&gt;0,AE47=""),1,0)</f>
        <v/>
      </c>
    </row>
    <row r="48">
      <c r="A48" s="19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20" t="n"/>
      <c r="K48" s="20" t="n"/>
      <c r="L48" s="20" t="n"/>
      <c r="M48" s="14" t="n"/>
      <c r="N48" s="14" t="n"/>
      <c r="O48" s="14" t="n"/>
      <c r="P48" s="14" t="n"/>
      <c r="Q48" s="14" t="n"/>
      <c r="R48" s="21">
        <f>ROUND(N(H48)*N(J48)-N(K48),2)</f>
        <v/>
      </c>
      <c r="S48" s="21">
        <f>ROUND(R48*IFERROR(VLOOKUP(P48,'Tax Codes'!$A$5:$E$300,5,FALSE),0),2)</f>
        <v/>
      </c>
      <c r="T48" s="21">
        <f>ROUND(R48*IFERROR(VLOOKUP(Q48,'Tax Codes'!$A$5:$E$300,5,FALSE),0),2)</f>
        <v/>
      </c>
      <c r="U48" s="21">
        <f>R48+S48-T48-N(L48)</f>
        <v/>
      </c>
      <c r="V48" s="16">
        <f>IF(C48="",INDEX('Chart of Accounts'!$A$5:$A$3000,MATCH("materials",'Chart of Accounts'!$F$5:$F$3000,0)),C48&amp;"")</f>
        <v/>
      </c>
      <c r="W48" s="16">
        <f>IF(N48="",INDEX('Chart of Accounts'!$A$5:$A$3000,MATCH("bank",'Chart of Accounts'!$F$5:$F$3000,0)),N48&amp;"")</f>
        <v/>
      </c>
      <c r="X48" s="16">
        <f>IF(O48="",INDEX('Chart of Accounts'!$A$5:$A$3000,MATCH("ap",'Chart of Accounts'!$F$5:$F$3000,0)),O48&amp;"")</f>
        <v/>
      </c>
      <c r="Y48" s="16">
        <f>INDEX('Chart of Accounts'!$A$5:$A$3000,MATCH("vat_input",'Chart of Accounts'!$F$5:$F$3000,0))</f>
        <v/>
      </c>
      <c r="Z48" s="16">
        <f>INDEX('Chart of Accounts'!$A$5:$A$3000,MATCH("wht_payable",'Chart of Accounts'!$F$5:$F$3000,0))</f>
        <v/>
      </c>
      <c r="AA48" s="23">
        <f>IFERROR(INDEX('Chart of Accounts'!$C$5:$C$3000,MATCH(V48&amp;"",'Chart of Accounts'!$A$5:$A$3000,0))&amp;"|"&amp;INDEX('Chart of Accounts'!$D$5:$D$3000,MATCH(V48&amp;"",'Chart of Accounts'!$A$5:$A$3000,0)),"")</f>
        <v/>
      </c>
      <c r="AB48" s="23">
        <f>IFERROR(INDEX('Chart of Accounts'!$C$5:$C$3000,MATCH(Y48&amp;"",'Chart of Accounts'!$A$5:$A$3000,0))&amp;"|"&amp;INDEX('Chart of Accounts'!$D$5:$D$3000,MATCH(Y48&amp;"",'Chart of Accounts'!$A$5:$A$3000,0)),"")</f>
        <v/>
      </c>
      <c r="AC48" s="23">
        <f>IFERROR(INDEX('Chart of Accounts'!$C$5:$C$3000,MATCH(W48&amp;"",'Chart of Accounts'!$A$5:$A$3000,0))&amp;"|"&amp;INDEX('Chart of Accounts'!$D$5:$D$3000,MATCH(W48&amp;"",'Chart of Accounts'!$A$5:$A$3000,0)),"")</f>
        <v/>
      </c>
      <c r="AD48" s="23">
        <f>IFERROR(INDEX('Chart of Accounts'!$C$5:$C$3000,MATCH(X48&amp;"",'Chart of Accounts'!$A$5:$A$3000,0))&amp;"|"&amp;INDEX('Chart of Accounts'!$D$5:$D$3000,MATCH(X48&amp;"",'Chart of Accounts'!$A$5:$A$3000,0)),"")</f>
        <v/>
      </c>
      <c r="AE48" s="23">
        <f>IFERROR(INDEX('Chart of Accounts'!$C$5:$C$3000,MATCH(Z48&amp;"",'Chart of Accounts'!$A$5:$A$3000,0))&amp;"|"&amp;INDEX('Chart of Accounts'!$D$5:$D$3000,MATCH(Z48&amp;"",'Chart of Accounts'!$A$5:$A$3000,0)),"")</f>
        <v/>
      </c>
      <c r="AF48" s="23">
        <f>IF(LEFT(AA48,8)="Revenue|",-N(R48),0)+IF(LEFT(AB48,8)="Revenue|",-N(S48),0)+IF(LEFT(AC48,8)="Revenue|",N(L48),0)+IF(LEFT(AD48,8)="Revenue|",N(U48),0)+IF(LEFT(AE48,8)="Revenue|",N(T48),0)</f>
        <v/>
      </c>
      <c r="AG48" s="23">
        <f>IF(LEFT(AA48,5)="COGS|",N(R48),0)+IF(LEFT(AB48,5)="COGS|",N(S48),0)+IF(LEFT(AC48,5)="COGS|",-N(L48),0)+IF(LEFT(AD48,5)="COGS|",-N(U48),0)+IF(LEFT(AE48,5)="COGS|",-N(T48),0)</f>
        <v/>
      </c>
      <c r="AH48" s="23">
        <f>IF(LEFT(AA48,8)="Expense|",N(R48),0)+IF(LEFT(AB48,8)="Expense|",N(S48),0)+IF(LEFT(AC48,8)="Expense|",-N(L48),0)+IF(LEFT(AD48,8)="Expense|",-N(U48),0)+IF(LEFT(AE48,8)="Expense|",-N(T48),0)</f>
        <v/>
      </c>
      <c r="AI48" s="23">
        <f>IF(ISNUMBER(MATCH(AA48,{"Expense|employee","Expense|general_admin","Expense|marketing","Expense|utilities","Expense|other_operating"},0)),N(R48),0)+IF(ISNUMBER(MATCH(AB48,{"Expense|employee","Expense|general_admin","Expense|marketing","Expense|utilities","Expense|other_operating"},0)),N(S48),0)+IF(ISNUMBER(MATCH(AC48,{"Expense|employee","Expense|general_admin","Expense|marketing","Expense|utilities","Expense|other_operating"},0)),-N(L48),0)+IF(ISNUMBER(MATCH(AD48,{"Expense|employee","Expense|general_admin","Expense|marketing","Expense|utilities","Expense|other_operating"},0)),-N(U48),0)+IF(ISNUMBER(MATCH(AE48,{"Expense|employee","Expense|general_admin","Expense|marketing","Expense|utilities","Expense|other_operating"},0)),-N(T48),0)</f>
        <v/>
      </c>
      <c r="AJ48" s="23">
        <f>IF(AA48="Liability|payable",-N(R48),0)+IF(AB48="Liability|payable",-N(S48),0)+IF(AC48="Liability|payable",N(L48),0)+IF(AD48="Liability|payable",N(U48),0)+IF(AE48="Liability|payable",N(T48),0)</f>
        <v/>
      </c>
      <c r="AK48" s="23">
        <f>IF(AA48="Liability|accrued",-N(R48),0)+IF(AB48="Liability|accrued",-N(S48),0)+IF(AC48="Liability|accrued",N(L48),0)+IF(AD48="Liability|accrued",N(U48),0)+IF(AE48="Liability|accrued",N(T48),0)</f>
        <v/>
      </c>
      <c r="AL48" s="23">
        <f>IF(AND(N(R48)&lt;&gt;0,AA48=""),1,0)+IF(AND(N(S48)&lt;&gt;0,AB48=""),1,0)+IF(AND(N(L48)&lt;&gt;0,AC48=""),1,0)+IF(AND(N(U48)&lt;&gt;0,AD48=""),1,0)+IF(AND(N(T48)&lt;&gt;0,AE48=""),1,0)</f>
        <v/>
      </c>
    </row>
    <row r="49">
      <c r="A49" s="19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20" t="n"/>
      <c r="K49" s="20" t="n"/>
      <c r="L49" s="20" t="n"/>
      <c r="M49" s="14" t="n"/>
      <c r="N49" s="14" t="n"/>
      <c r="O49" s="14" t="n"/>
      <c r="P49" s="14" t="n"/>
      <c r="Q49" s="14" t="n"/>
      <c r="R49" s="21">
        <f>ROUND(N(H49)*N(J49)-N(K49),2)</f>
        <v/>
      </c>
      <c r="S49" s="21">
        <f>ROUND(R49*IFERROR(VLOOKUP(P49,'Tax Codes'!$A$5:$E$300,5,FALSE),0),2)</f>
        <v/>
      </c>
      <c r="T49" s="21">
        <f>ROUND(R49*IFERROR(VLOOKUP(Q49,'Tax Codes'!$A$5:$E$300,5,FALSE),0),2)</f>
        <v/>
      </c>
      <c r="U49" s="21">
        <f>R49+S49-T49-N(L49)</f>
        <v/>
      </c>
      <c r="V49" s="16">
        <f>IF(C49="",INDEX('Chart of Accounts'!$A$5:$A$3000,MATCH("materials",'Chart of Accounts'!$F$5:$F$3000,0)),C49&amp;"")</f>
        <v/>
      </c>
      <c r="W49" s="16">
        <f>IF(N49="",INDEX('Chart of Accounts'!$A$5:$A$3000,MATCH("bank",'Chart of Accounts'!$F$5:$F$3000,0)),N49&amp;"")</f>
        <v/>
      </c>
      <c r="X49" s="16">
        <f>IF(O49="",INDEX('Chart of Accounts'!$A$5:$A$3000,MATCH("ap",'Chart of Accounts'!$F$5:$F$3000,0)),O49&amp;"")</f>
        <v/>
      </c>
      <c r="Y49" s="16">
        <f>INDEX('Chart of Accounts'!$A$5:$A$3000,MATCH("vat_input",'Chart of Accounts'!$F$5:$F$3000,0))</f>
        <v/>
      </c>
      <c r="Z49" s="16">
        <f>INDEX('Chart of Accounts'!$A$5:$A$3000,MATCH("wht_payable",'Chart of Accounts'!$F$5:$F$3000,0))</f>
        <v/>
      </c>
      <c r="AA49" s="23">
        <f>IFERROR(INDEX('Chart of Accounts'!$C$5:$C$3000,MATCH(V49&amp;"",'Chart of Accounts'!$A$5:$A$3000,0))&amp;"|"&amp;INDEX('Chart of Accounts'!$D$5:$D$3000,MATCH(V49&amp;"",'Chart of Accounts'!$A$5:$A$3000,0)),"")</f>
        <v/>
      </c>
      <c r="AB49" s="23">
        <f>IFERROR(INDEX('Chart of Accounts'!$C$5:$C$3000,MATCH(Y49&amp;"",'Chart of Accounts'!$A$5:$A$3000,0))&amp;"|"&amp;INDEX('Chart of Accounts'!$D$5:$D$3000,MATCH(Y49&amp;"",'Chart of Accounts'!$A$5:$A$3000,0)),"")</f>
        <v/>
      </c>
      <c r="AC49" s="23">
        <f>IFERROR(INDEX('Chart of Accounts'!$C$5:$C$3000,MATCH(W49&amp;"",'Chart of Accounts'!$A$5:$A$3000,0))&amp;"|"&amp;INDEX('Chart of Accounts'!$D$5:$D$3000,MATCH(W49&amp;"",'Chart of Accounts'!$A$5:$A$3000,0)),"")</f>
        <v/>
      </c>
      <c r="AD49" s="23">
        <f>IFERROR(INDEX('Chart of Accounts'!$C$5:$C$3000,MATCH(X49&amp;"",'Chart of Accounts'!$A$5:$A$3000,0))&amp;"|"&amp;INDEX('Chart of Accounts'!$D$5:$D$3000,MATCH(X49&amp;"",'Chart of Accounts'!$A$5:$A$3000,0)),"")</f>
        <v/>
      </c>
      <c r="AE49" s="23">
        <f>IFERROR(INDEX('Chart of Accounts'!$C$5:$C$3000,MATCH(Z49&amp;"",'Chart of Accounts'!$A$5:$A$3000,0))&amp;"|"&amp;INDEX('Chart of Accounts'!$D$5:$D$3000,MATCH(Z49&amp;"",'Chart of Accounts'!$A$5:$A$3000,0)),"")</f>
        <v/>
      </c>
      <c r="AF49" s="23">
        <f>IF(LEFT(AA49,8)="Revenue|",-N(R49),0)+IF(LEFT(AB49,8)="Revenue|",-N(S49),0)+IF(LEFT(AC49,8)="Revenue|",N(L49),0)+IF(LEFT(AD49,8)="Revenue|",N(U49),0)+IF(LEFT(AE49,8)="Revenue|",N(T49),0)</f>
        <v/>
      </c>
      <c r="AG49" s="23">
        <f>IF(LEFT(AA49,5)="COGS|",N(R49),0)+IF(LEFT(AB49,5)="COGS|",N(S49),0)+IF(LEFT(AC49,5)="COGS|",-N(L49),0)+IF(LEFT(AD49,5)="COGS|",-N(U49),0)+IF(LEFT(AE49,5)="COGS|",-N(T49),0)</f>
        <v/>
      </c>
      <c r="AH49" s="23">
        <f>IF(LEFT(AA49,8)="Expense|",N(R49),0)+IF(LEFT(AB49,8)="Expense|",N(S49),0)+IF(LEFT(AC49,8)="Expense|",-N(L49),0)+IF(LEFT(AD49,8)="Expense|",-N(U49),0)+IF(LEFT(AE49,8)="Expense|",-N(T49),0)</f>
        <v/>
      </c>
      <c r="AI49" s="23">
        <f>IF(ISNUMBER(MATCH(AA49,{"Expense|employee","Expense|general_admin","Expense|marketing","Expense|utilities","Expense|other_operating"},0)),N(R49),0)+IF(ISNUMBER(MATCH(AB49,{"Expense|employee","Expense|general_admin","Expense|marketing","Expense|utilities","Expense|other_operating"},0)),N(S49),0)+IF(ISNUMBER(MATCH(AC49,{"Expense|employee","Expense|general_admin","Expense|marketing","Expense|utilities","Expense|other_operating"},0)),-N(L49),0)+IF(ISNUMBER(MATCH(AD49,{"Expense|employee","Expense|general_admin","Expense|marketing","Expense|utilities","Expense|other_operating"},0)),-N(U49),0)+IF(ISNUMBER(MATCH(AE49,{"Expense|employee","Expense|general_admin","Expense|marketing","Expense|utilities","Expense|other_operating"},0)),-N(T49),0)</f>
        <v/>
      </c>
      <c r="AJ49" s="23">
        <f>IF(AA49="Liability|payable",-N(R49),0)+IF(AB49="Liability|payable",-N(S49),0)+IF(AC49="Liability|payable",N(L49),0)+IF(AD49="Liability|payable",N(U49),0)+IF(AE49="Liability|payable",N(T49),0)</f>
        <v/>
      </c>
      <c r="AK49" s="23">
        <f>IF(AA49="Liability|accrued",-N(R49),0)+IF(AB49="Liability|accrued",-N(S49),0)+IF(AC49="Liability|accrued",N(L49),0)+IF(AD49="Liability|accrued",N(U49),0)+IF(AE49="Liability|accrued",N(T49),0)</f>
        <v/>
      </c>
      <c r="AL49" s="23">
        <f>IF(AND(N(R49)&lt;&gt;0,AA49=""),1,0)+IF(AND(N(S49)&lt;&gt;0,AB49=""),1,0)+IF(AND(N(L49)&lt;&gt;0,AC49=""),1,0)+IF(AND(N(U49)&lt;&gt;0,AD49=""),1,0)+IF(AND(N(T49)&lt;&gt;0,AE49=""),1,0)</f>
        <v/>
      </c>
    </row>
    <row r="50">
      <c r="A50" s="19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20" t="n"/>
      <c r="K50" s="20" t="n"/>
      <c r="L50" s="20" t="n"/>
      <c r="M50" s="14" t="n"/>
      <c r="N50" s="14" t="n"/>
      <c r="O50" s="14" t="n"/>
      <c r="P50" s="14" t="n"/>
      <c r="Q50" s="14" t="n"/>
      <c r="R50" s="21">
        <f>ROUND(N(H50)*N(J50)-N(K50),2)</f>
        <v/>
      </c>
      <c r="S50" s="21">
        <f>ROUND(R50*IFERROR(VLOOKUP(P50,'Tax Codes'!$A$5:$E$300,5,FALSE),0),2)</f>
        <v/>
      </c>
      <c r="T50" s="21">
        <f>ROUND(R50*IFERROR(VLOOKUP(Q50,'Tax Codes'!$A$5:$E$300,5,FALSE),0),2)</f>
        <v/>
      </c>
      <c r="U50" s="21">
        <f>R50+S50-T50-N(L50)</f>
        <v/>
      </c>
      <c r="V50" s="16">
        <f>IF(C50="",INDEX('Chart of Accounts'!$A$5:$A$3000,MATCH("materials",'Chart of Accounts'!$F$5:$F$3000,0)),C50&amp;"")</f>
        <v/>
      </c>
      <c r="W50" s="16">
        <f>IF(N50="",INDEX('Chart of Accounts'!$A$5:$A$3000,MATCH("bank",'Chart of Accounts'!$F$5:$F$3000,0)),N50&amp;"")</f>
        <v/>
      </c>
      <c r="X50" s="16">
        <f>IF(O50="",INDEX('Chart of Accounts'!$A$5:$A$3000,MATCH("ap",'Chart of Accounts'!$F$5:$F$3000,0)),O50&amp;"")</f>
        <v/>
      </c>
      <c r="Y50" s="16">
        <f>INDEX('Chart of Accounts'!$A$5:$A$3000,MATCH("vat_input",'Chart of Accounts'!$F$5:$F$3000,0))</f>
        <v/>
      </c>
      <c r="Z50" s="16">
        <f>INDEX('Chart of Accounts'!$A$5:$A$3000,MATCH("wht_payable",'Chart of Accounts'!$F$5:$F$3000,0))</f>
        <v/>
      </c>
      <c r="AA50" s="23">
        <f>IFERROR(INDEX('Chart of Accounts'!$C$5:$C$3000,MATCH(V50&amp;"",'Chart of Accounts'!$A$5:$A$3000,0))&amp;"|"&amp;INDEX('Chart of Accounts'!$D$5:$D$3000,MATCH(V50&amp;"",'Chart of Accounts'!$A$5:$A$3000,0)),"")</f>
        <v/>
      </c>
      <c r="AB50" s="23">
        <f>IFERROR(INDEX('Chart of Accounts'!$C$5:$C$3000,MATCH(Y50&amp;"",'Chart of Accounts'!$A$5:$A$3000,0))&amp;"|"&amp;INDEX('Chart of Accounts'!$D$5:$D$3000,MATCH(Y50&amp;"",'Chart of Accounts'!$A$5:$A$3000,0)),"")</f>
        <v/>
      </c>
      <c r="AC50" s="23">
        <f>IFERROR(INDEX('Chart of Accounts'!$C$5:$C$3000,MATCH(W50&amp;"",'Chart of Accounts'!$A$5:$A$3000,0))&amp;"|"&amp;INDEX('Chart of Accounts'!$D$5:$D$3000,MATCH(W50&amp;"",'Chart of Accounts'!$A$5:$A$3000,0)),"")</f>
        <v/>
      </c>
      <c r="AD50" s="23">
        <f>IFERROR(INDEX('Chart of Accounts'!$C$5:$C$3000,MATCH(X50&amp;"",'Chart of Accounts'!$A$5:$A$3000,0))&amp;"|"&amp;INDEX('Chart of Accounts'!$D$5:$D$3000,MATCH(X50&amp;"",'Chart of Accounts'!$A$5:$A$3000,0)),"")</f>
        <v/>
      </c>
      <c r="AE50" s="23">
        <f>IFERROR(INDEX('Chart of Accounts'!$C$5:$C$3000,MATCH(Z50&amp;"",'Chart of Accounts'!$A$5:$A$3000,0))&amp;"|"&amp;INDEX('Chart of Accounts'!$D$5:$D$3000,MATCH(Z50&amp;"",'Chart of Accounts'!$A$5:$A$3000,0)),"")</f>
        <v/>
      </c>
      <c r="AF50" s="23">
        <f>IF(LEFT(AA50,8)="Revenue|",-N(R50),0)+IF(LEFT(AB50,8)="Revenue|",-N(S50),0)+IF(LEFT(AC50,8)="Revenue|",N(L50),0)+IF(LEFT(AD50,8)="Revenue|",N(U50),0)+IF(LEFT(AE50,8)="Revenue|",N(T50),0)</f>
        <v/>
      </c>
      <c r="AG50" s="23">
        <f>IF(LEFT(AA50,5)="COGS|",N(R50),0)+IF(LEFT(AB50,5)="COGS|",N(S50),0)+IF(LEFT(AC50,5)="COGS|",-N(L50),0)+IF(LEFT(AD50,5)="COGS|",-N(U50),0)+IF(LEFT(AE50,5)="COGS|",-N(T50),0)</f>
        <v/>
      </c>
      <c r="AH50" s="23">
        <f>IF(LEFT(AA50,8)="Expense|",N(R50),0)+IF(LEFT(AB50,8)="Expense|",N(S50),0)+IF(LEFT(AC50,8)="Expense|",-N(L50),0)+IF(LEFT(AD50,8)="Expense|",-N(U50),0)+IF(LEFT(AE50,8)="Expense|",-N(T50),0)</f>
        <v/>
      </c>
      <c r="AI50" s="23">
        <f>IF(ISNUMBER(MATCH(AA50,{"Expense|employee","Expense|general_admin","Expense|marketing","Expense|utilities","Expense|other_operating"},0)),N(R50),0)+IF(ISNUMBER(MATCH(AB50,{"Expense|employee","Expense|general_admin","Expense|marketing","Expense|utilities","Expense|other_operating"},0)),N(S50),0)+IF(ISNUMBER(MATCH(AC50,{"Expense|employee","Expense|general_admin","Expense|marketing","Expense|utilities","Expense|other_operating"},0)),-N(L50),0)+IF(ISNUMBER(MATCH(AD50,{"Expense|employee","Expense|general_admin","Expense|marketing","Expense|utilities","Expense|other_operating"},0)),-N(U50),0)+IF(ISNUMBER(MATCH(AE50,{"Expense|employee","Expense|general_admin","Expense|marketing","Expense|utilities","Expense|other_operating"},0)),-N(T50),0)</f>
        <v/>
      </c>
      <c r="AJ50" s="23">
        <f>IF(AA50="Liability|payable",-N(R50),0)+IF(AB50="Liability|payable",-N(S50),0)+IF(AC50="Liability|payable",N(L50),0)+IF(AD50="Liability|payable",N(U50),0)+IF(AE50="Liability|payable",N(T50),0)</f>
        <v/>
      </c>
      <c r="AK50" s="23">
        <f>IF(AA50="Liability|accrued",-N(R50),0)+IF(AB50="Liability|accrued",-N(S50),0)+IF(AC50="Liability|accrued",N(L50),0)+IF(AD50="Liability|accrued",N(U50),0)+IF(AE50="Liability|accrued",N(T50),0)</f>
        <v/>
      </c>
      <c r="AL50" s="23">
        <f>IF(AND(N(R50)&lt;&gt;0,AA50=""),1,0)+IF(AND(N(S50)&lt;&gt;0,AB50=""),1,0)+IF(AND(N(L50)&lt;&gt;0,AC50=""),1,0)+IF(AND(N(U50)&lt;&gt;0,AD50=""),1,0)+IF(AND(N(T50)&lt;&gt;0,AE50=""),1,0)</f>
        <v/>
      </c>
    </row>
    <row r="51">
      <c r="A51" s="19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20" t="n"/>
      <c r="K51" s="20" t="n"/>
      <c r="L51" s="20" t="n"/>
      <c r="M51" s="14" t="n"/>
      <c r="N51" s="14" t="n"/>
      <c r="O51" s="14" t="n"/>
      <c r="P51" s="14" t="n"/>
      <c r="Q51" s="14" t="n"/>
      <c r="R51" s="21">
        <f>ROUND(N(H51)*N(J51)-N(K51),2)</f>
        <v/>
      </c>
      <c r="S51" s="21">
        <f>ROUND(R51*IFERROR(VLOOKUP(P51,'Tax Codes'!$A$5:$E$300,5,FALSE),0),2)</f>
        <v/>
      </c>
      <c r="T51" s="21">
        <f>ROUND(R51*IFERROR(VLOOKUP(Q51,'Tax Codes'!$A$5:$E$300,5,FALSE),0),2)</f>
        <v/>
      </c>
      <c r="U51" s="21">
        <f>R51+S51-T51-N(L51)</f>
        <v/>
      </c>
      <c r="V51" s="16">
        <f>IF(C51="",INDEX('Chart of Accounts'!$A$5:$A$3000,MATCH("materials",'Chart of Accounts'!$F$5:$F$3000,0)),C51&amp;"")</f>
        <v/>
      </c>
      <c r="W51" s="16">
        <f>IF(N51="",INDEX('Chart of Accounts'!$A$5:$A$3000,MATCH("bank",'Chart of Accounts'!$F$5:$F$3000,0)),N51&amp;"")</f>
        <v/>
      </c>
      <c r="X51" s="16">
        <f>IF(O51="",INDEX('Chart of Accounts'!$A$5:$A$3000,MATCH("ap",'Chart of Accounts'!$F$5:$F$3000,0)),O51&amp;"")</f>
        <v/>
      </c>
      <c r="Y51" s="16">
        <f>INDEX('Chart of Accounts'!$A$5:$A$3000,MATCH("vat_input",'Chart of Accounts'!$F$5:$F$3000,0))</f>
        <v/>
      </c>
      <c r="Z51" s="16">
        <f>INDEX('Chart of Accounts'!$A$5:$A$3000,MATCH("wht_payable",'Chart of Accounts'!$F$5:$F$3000,0))</f>
        <v/>
      </c>
      <c r="AA51" s="23">
        <f>IFERROR(INDEX('Chart of Accounts'!$C$5:$C$3000,MATCH(V51&amp;"",'Chart of Accounts'!$A$5:$A$3000,0))&amp;"|"&amp;INDEX('Chart of Accounts'!$D$5:$D$3000,MATCH(V51&amp;"",'Chart of Accounts'!$A$5:$A$3000,0)),"")</f>
        <v/>
      </c>
      <c r="AB51" s="23">
        <f>IFERROR(INDEX('Chart of Accounts'!$C$5:$C$3000,MATCH(Y51&amp;"",'Chart of Accounts'!$A$5:$A$3000,0))&amp;"|"&amp;INDEX('Chart of Accounts'!$D$5:$D$3000,MATCH(Y51&amp;"",'Chart of Accounts'!$A$5:$A$3000,0)),"")</f>
        <v/>
      </c>
      <c r="AC51" s="23">
        <f>IFERROR(INDEX('Chart of Accounts'!$C$5:$C$3000,MATCH(W51&amp;"",'Chart of Accounts'!$A$5:$A$3000,0))&amp;"|"&amp;INDEX('Chart of Accounts'!$D$5:$D$3000,MATCH(W51&amp;"",'Chart of Accounts'!$A$5:$A$3000,0)),"")</f>
        <v/>
      </c>
      <c r="AD51" s="23">
        <f>IFERROR(INDEX('Chart of Accounts'!$C$5:$C$3000,MATCH(X51&amp;"",'Chart of Accounts'!$A$5:$A$3000,0))&amp;"|"&amp;INDEX('Chart of Accounts'!$D$5:$D$3000,MATCH(X51&amp;"",'Chart of Accounts'!$A$5:$A$3000,0)),"")</f>
        <v/>
      </c>
      <c r="AE51" s="23">
        <f>IFERROR(INDEX('Chart of Accounts'!$C$5:$C$3000,MATCH(Z51&amp;"",'Chart of Accounts'!$A$5:$A$3000,0))&amp;"|"&amp;INDEX('Chart of Accounts'!$D$5:$D$3000,MATCH(Z51&amp;"",'Chart of Accounts'!$A$5:$A$3000,0)),"")</f>
        <v/>
      </c>
      <c r="AF51" s="23">
        <f>IF(LEFT(AA51,8)="Revenue|",-N(R51),0)+IF(LEFT(AB51,8)="Revenue|",-N(S51),0)+IF(LEFT(AC51,8)="Revenue|",N(L51),0)+IF(LEFT(AD51,8)="Revenue|",N(U51),0)+IF(LEFT(AE51,8)="Revenue|",N(T51),0)</f>
        <v/>
      </c>
      <c r="AG51" s="23">
        <f>IF(LEFT(AA51,5)="COGS|",N(R51),0)+IF(LEFT(AB51,5)="COGS|",N(S51),0)+IF(LEFT(AC51,5)="COGS|",-N(L51),0)+IF(LEFT(AD51,5)="COGS|",-N(U51),0)+IF(LEFT(AE51,5)="COGS|",-N(T51),0)</f>
        <v/>
      </c>
      <c r="AH51" s="23">
        <f>IF(LEFT(AA51,8)="Expense|",N(R51),0)+IF(LEFT(AB51,8)="Expense|",N(S51),0)+IF(LEFT(AC51,8)="Expense|",-N(L51),0)+IF(LEFT(AD51,8)="Expense|",-N(U51),0)+IF(LEFT(AE51,8)="Expense|",-N(T51),0)</f>
        <v/>
      </c>
      <c r="AI51" s="23">
        <f>IF(ISNUMBER(MATCH(AA51,{"Expense|employee","Expense|general_admin","Expense|marketing","Expense|utilities","Expense|other_operating"},0)),N(R51),0)+IF(ISNUMBER(MATCH(AB51,{"Expense|employee","Expense|general_admin","Expense|marketing","Expense|utilities","Expense|other_operating"},0)),N(S51),0)+IF(ISNUMBER(MATCH(AC51,{"Expense|employee","Expense|general_admin","Expense|marketing","Expense|utilities","Expense|other_operating"},0)),-N(L51),0)+IF(ISNUMBER(MATCH(AD51,{"Expense|employee","Expense|general_admin","Expense|marketing","Expense|utilities","Expense|other_operating"},0)),-N(U51),0)+IF(ISNUMBER(MATCH(AE51,{"Expense|employee","Expense|general_admin","Expense|marketing","Expense|utilities","Expense|other_operating"},0)),-N(T51),0)</f>
        <v/>
      </c>
      <c r="AJ51" s="23">
        <f>IF(AA51="Liability|payable",-N(R51),0)+IF(AB51="Liability|payable",-N(S51),0)+IF(AC51="Liability|payable",N(L51),0)+IF(AD51="Liability|payable",N(U51),0)+IF(AE51="Liability|payable",N(T51),0)</f>
        <v/>
      </c>
      <c r="AK51" s="23">
        <f>IF(AA51="Liability|accrued",-N(R51),0)+IF(AB51="Liability|accrued",-N(S51),0)+IF(AC51="Liability|accrued",N(L51),0)+IF(AD51="Liability|accrued",N(U51),0)+IF(AE51="Liability|accrued",N(T51),0)</f>
        <v/>
      </c>
      <c r="AL51" s="23">
        <f>IF(AND(N(R51)&lt;&gt;0,AA51=""),1,0)+IF(AND(N(S51)&lt;&gt;0,AB51=""),1,0)+IF(AND(N(L51)&lt;&gt;0,AC51=""),1,0)+IF(AND(N(U51)&lt;&gt;0,AD51=""),1,0)+IF(AND(N(T51)&lt;&gt;0,AE51=""),1,0)</f>
        <v/>
      </c>
    </row>
    <row r="52">
      <c r="A52" s="19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20" t="n"/>
      <c r="K52" s="20" t="n"/>
      <c r="L52" s="20" t="n"/>
      <c r="M52" s="14" t="n"/>
      <c r="N52" s="14" t="n"/>
      <c r="O52" s="14" t="n"/>
      <c r="P52" s="14" t="n"/>
      <c r="Q52" s="14" t="n"/>
      <c r="R52" s="21">
        <f>ROUND(N(H52)*N(J52)-N(K52),2)</f>
        <v/>
      </c>
      <c r="S52" s="21">
        <f>ROUND(R52*IFERROR(VLOOKUP(P52,'Tax Codes'!$A$5:$E$300,5,FALSE),0),2)</f>
        <v/>
      </c>
      <c r="T52" s="21">
        <f>ROUND(R52*IFERROR(VLOOKUP(Q52,'Tax Codes'!$A$5:$E$300,5,FALSE),0),2)</f>
        <v/>
      </c>
      <c r="U52" s="21">
        <f>R52+S52-T52-N(L52)</f>
        <v/>
      </c>
      <c r="V52" s="16">
        <f>IF(C52="",INDEX('Chart of Accounts'!$A$5:$A$3000,MATCH("materials",'Chart of Accounts'!$F$5:$F$3000,0)),C52&amp;"")</f>
        <v/>
      </c>
      <c r="W52" s="16">
        <f>IF(N52="",INDEX('Chart of Accounts'!$A$5:$A$3000,MATCH("bank",'Chart of Accounts'!$F$5:$F$3000,0)),N52&amp;"")</f>
        <v/>
      </c>
      <c r="X52" s="16">
        <f>IF(O52="",INDEX('Chart of Accounts'!$A$5:$A$3000,MATCH("ap",'Chart of Accounts'!$F$5:$F$3000,0)),O52&amp;"")</f>
        <v/>
      </c>
      <c r="Y52" s="16">
        <f>INDEX('Chart of Accounts'!$A$5:$A$3000,MATCH("vat_input",'Chart of Accounts'!$F$5:$F$3000,0))</f>
        <v/>
      </c>
      <c r="Z52" s="16">
        <f>INDEX('Chart of Accounts'!$A$5:$A$3000,MATCH("wht_payable",'Chart of Accounts'!$F$5:$F$3000,0))</f>
        <v/>
      </c>
      <c r="AA52" s="23">
        <f>IFERROR(INDEX('Chart of Accounts'!$C$5:$C$3000,MATCH(V52&amp;"",'Chart of Accounts'!$A$5:$A$3000,0))&amp;"|"&amp;INDEX('Chart of Accounts'!$D$5:$D$3000,MATCH(V52&amp;"",'Chart of Accounts'!$A$5:$A$3000,0)),"")</f>
        <v/>
      </c>
      <c r="AB52" s="23">
        <f>IFERROR(INDEX('Chart of Accounts'!$C$5:$C$3000,MATCH(Y52&amp;"",'Chart of Accounts'!$A$5:$A$3000,0))&amp;"|"&amp;INDEX('Chart of Accounts'!$D$5:$D$3000,MATCH(Y52&amp;"",'Chart of Accounts'!$A$5:$A$3000,0)),"")</f>
        <v/>
      </c>
      <c r="AC52" s="23">
        <f>IFERROR(INDEX('Chart of Accounts'!$C$5:$C$3000,MATCH(W52&amp;"",'Chart of Accounts'!$A$5:$A$3000,0))&amp;"|"&amp;INDEX('Chart of Accounts'!$D$5:$D$3000,MATCH(W52&amp;"",'Chart of Accounts'!$A$5:$A$3000,0)),"")</f>
        <v/>
      </c>
      <c r="AD52" s="23">
        <f>IFERROR(INDEX('Chart of Accounts'!$C$5:$C$3000,MATCH(X52&amp;"",'Chart of Accounts'!$A$5:$A$3000,0))&amp;"|"&amp;INDEX('Chart of Accounts'!$D$5:$D$3000,MATCH(X52&amp;"",'Chart of Accounts'!$A$5:$A$3000,0)),"")</f>
        <v/>
      </c>
      <c r="AE52" s="23">
        <f>IFERROR(INDEX('Chart of Accounts'!$C$5:$C$3000,MATCH(Z52&amp;"",'Chart of Accounts'!$A$5:$A$3000,0))&amp;"|"&amp;INDEX('Chart of Accounts'!$D$5:$D$3000,MATCH(Z52&amp;"",'Chart of Accounts'!$A$5:$A$3000,0)),"")</f>
        <v/>
      </c>
      <c r="AF52" s="23">
        <f>IF(LEFT(AA52,8)="Revenue|",-N(R52),0)+IF(LEFT(AB52,8)="Revenue|",-N(S52),0)+IF(LEFT(AC52,8)="Revenue|",N(L52),0)+IF(LEFT(AD52,8)="Revenue|",N(U52),0)+IF(LEFT(AE52,8)="Revenue|",N(T52),0)</f>
        <v/>
      </c>
      <c r="AG52" s="23">
        <f>IF(LEFT(AA52,5)="COGS|",N(R52),0)+IF(LEFT(AB52,5)="COGS|",N(S52),0)+IF(LEFT(AC52,5)="COGS|",-N(L52),0)+IF(LEFT(AD52,5)="COGS|",-N(U52),0)+IF(LEFT(AE52,5)="COGS|",-N(T52),0)</f>
        <v/>
      </c>
      <c r="AH52" s="23">
        <f>IF(LEFT(AA52,8)="Expense|",N(R52),0)+IF(LEFT(AB52,8)="Expense|",N(S52),0)+IF(LEFT(AC52,8)="Expense|",-N(L52),0)+IF(LEFT(AD52,8)="Expense|",-N(U52),0)+IF(LEFT(AE52,8)="Expense|",-N(T52),0)</f>
        <v/>
      </c>
      <c r="AI52" s="23">
        <f>IF(ISNUMBER(MATCH(AA52,{"Expense|employee","Expense|general_admin","Expense|marketing","Expense|utilities","Expense|other_operating"},0)),N(R52),0)+IF(ISNUMBER(MATCH(AB52,{"Expense|employee","Expense|general_admin","Expense|marketing","Expense|utilities","Expense|other_operating"},0)),N(S52),0)+IF(ISNUMBER(MATCH(AC52,{"Expense|employee","Expense|general_admin","Expense|marketing","Expense|utilities","Expense|other_operating"},0)),-N(L52),0)+IF(ISNUMBER(MATCH(AD52,{"Expense|employee","Expense|general_admin","Expense|marketing","Expense|utilities","Expense|other_operating"},0)),-N(U52),0)+IF(ISNUMBER(MATCH(AE52,{"Expense|employee","Expense|general_admin","Expense|marketing","Expense|utilities","Expense|other_operating"},0)),-N(T52),0)</f>
        <v/>
      </c>
      <c r="AJ52" s="23">
        <f>IF(AA52="Liability|payable",-N(R52),0)+IF(AB52="Liability|payable",-N(S52),0)+IF(AC52="Liability|payable",N(L52),0)+IF(AD52="Liability|payable",N(U52),0)+IF(AE52="Liability|payable",N(T52),0)</f>
        <v/>
      </c>
      <c r="AK52" s="23">
        <f>IF(AA52="Liability|accrued",-N(R52),0)+IF(AB52="Liability|accrued",-N(S52),0)+IF(AC52="Liability|accrued",N(L52),0)+IF(AD52="Liability|accrued",N(U52),0)+IF(AE52="Liability|accrued",N(T52),0)</f>
        <v/>
      </c>
      <c r="AL52" s="23">
        <f>IF(AND(N(R52)&lt;&gt;0,AA52=""),1,0)+IF(AND(N(S52)&lt;&gt;0,AB52=""),1,0)+IF(AND(N(L52)&lt;&gt;0,AC52=""),1,0)+IF(AND(N(U52)&lt;&gt;0,AD52=""),1,0)+IF(AND(N(T52)&lt;&gt;0,AE52=""),1,0)</f>
        <v/>
      </c>
    </row>
    <row r="53">
      <c r="A53" s="19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20" t="n"/>
      <c r="K53" s="20" t="n"/>
      <c r="L53" s="20" t="n"/>
      <c r="M53" s="14" t="n"/>
      <c r="N53" s="14" t="n"/>
      <c r="O53" s="14" t="n"/>
      <c r="P53" s="14" t="n"/>
      <c r="Q53" s="14" t="n"/>
      <c r="R53" s="21">
        <f>ROUND(N(H53)*N(J53)-N(K53),2)</f>
        <v/>
      </c>
      <c r="S53" s="21">
        <f>ROUND(R53*IFERROR(VLOOKUP(P53,'Tax Codes'!$A$5:$E$300,5,FALSE),0),2)</f>
        <v/>
      </c>
      <c r="T53" s="21">
        <f>ROUND(R53*IFERROR(VLOOKUP(Q53,'Tax Codes'!$A$5:$E$300,5,FALSE),0),2)</f>
        <v/>
      </c>
      <c r="U53" s="21">
        <f>R53+S53-T53-N(L53)</f>
        <v/>
      </c>
      <c r="V53" s="16">
        <f>IF(C53="",INDEX('Chart of Accounts'!$A$5:$A$3000,MATCH("materials",'Chart of Accounts'!$F$5:$F$3000,0)),C53&amp;"")</f>
        <v/>
      </c>
      <c r="W53" s="16">
        <f>IF(N53="",INDEX('Chart of Accounts'!$A$5:$A$3000,MATCH("bank",'Chart of Accounts'!$F$5:$F$3000,0)),N53&amp;"")</f>
        <v/>
      </c>
      <c r="X53" s="16">
        <f>IF(O53="",INDEX('Chart of Accounts'!$A$5:$A$3000,MATCH("ap",'Chart of Accounts'!$F$5:$F$3000,0)),O53&amp;"")</f>
        <v/>
      </c>
      <c r="Y53" s="16">
        <f>INDEX('Chart of Accounts'!$A$5:$A$3000,MATCH("vat_input",'Chart of Accounts'!$F$5:$F$3000,0))</f>
        <v/>
      </c>
      <c r="Z53" s="16">
        <f>INDEX('Chart of Accounts'!$A$5:$A$3000,MATCH("wht_payable",'Chart of Accounts'!$F$5:$F$3000,0))</f>
        <v/>
      </c>
      <c r="AA53" s="23">
        <f>IFERROR(INDEX('Chart of Accounts'!$C$5:$C$3000,MATCH(V53&amp;"",'Chart of Accounts'!$A$5:$A$3000,0))&amp;"|"&amp;INDEX('Chart of Accounts'!$D$5:$D$3000,MATCH(V53&amp;"",'Chart of Accounts'!$A$5:$A$3000,0)),"")</f>
        <v/>
      </c>
      <c r="AB53" s="23">
        <f>IFERROR(INDEX('Chart of Accounts'!$C$5:$C$3000,MATCH(Y53&amp;"",'Chart of Accounts'!$A$5:$A$3000,0))&amp;"|"&amp;INDEX('Chart of Accounts'!$D$5:$D$3000,MATCH(Y53&amp;"",'Chart of Accounts'!$A$5:$A$3000,0)),"")</f>
        <v/>
      </c>
      <c r="AC53" s="23">
        <f>IFERROR(INDEX('Chart of Accounts'!$C$5:$C$3000,MATCH(W53&amp;"",'Chart of Accounts'!$A$5:$A$3000,0))&amp;"|"&amp;INDEX('Chart of Accounts'!$D$5:$D$3000,MATCH(W53&amp;"",'Chart of Accounts'!$A$5:$A$3000,0)),"")</f>
        <v/>
      </c>
      <c r="AD53" s="23">
        <f>IFERROR(INDEX('Chart of Accounts'!$C$5:$C$3000,MATCH(X53&amp;"",'Chart of Accounts'!$A$5:$A$3000,0))&amp;"|"&amp;INDEX('Chart of Accounts'!$D$5:$D$3000,MATCH(X53&amp;"",'Chart of Accounts'!$A$5:$A$3000,0)),"")</f>
        <v/>
      </c>
      <c r="AE53" s="23">
        <f>IFERROR(INDEX('Chart of Accounts'!$C$5:$C$3000,MATCH(Z53&amp;"",'Chart of Accounts'!$A$5:$A$3000,0))&amp;"|"&amp;INDEX('Chart of Accounts'!$D$5:$D$3000,MATCH(Z53&amp;"",'Chart of Accounts'!$A$5:$A$3000,0)),"")</f>
        <v/>
      </c>
      <c r="AF53" s="23">
        <f>IF(LEFT(AA53,8)="Revenue|",-N(R53),0)+IF(LEFT(AB53,8)="Revenue|",-N(S53),0)+IF(LEFT(AC53,8)="Revenue|",N(L53),0)+IF(LEFT(AD53,8)="Revenue|",N(U53),0)+IF(LEFT(AE53,8)="Revenue|",N(T53),0)</f>
        <v/>
      </c>
      <c r="AG53" s="23">
        <f>IF(LEFT(AA53,5)="COGS|",N(R53),0)+IF(LEFT(AB53,5)="COGS|",N(S53),0)+IF(LEFT(AC53,5)="COGS|",-N(L53),0)+IF(LEFT(AD53,5)="COGS|",-N(U53),0)+IF(LEFT(AE53,5)="COGS|",-N(T53),0)</f>
        <v/>
      </c>
      <c r="AH53" s="23">
        <f>IF(LEFT(AA53,8)="Expense|",N(R53),0)+IF(LEFT(AB53,8)="Expense|",N(S53),0)+IF(LEFT(AC53,8)="Expense|",-N(L53),0)+IF(LEFT(AD53,8)="Expense|",-N(U53),0)+IF(LEFT(AE53,8)="Expense|",-N(T53),0)</f>
        <v/>
      </c>
      <c r="AI53" s="23">
        <f>IF(ISNUMBER(MATCH(AA53,{"Expense|employee","Expense|general_admin","Expense|marketing","Expense|utilities","Expense|other_operating"},0)),N(R53),0)+IF(ISNUMBER(MATCH(AB53,{"Expense|employee","Expense|general_admin","Expense|marketing","Expense|utilities","Expense|other_operating"},0)),N(S53),0)+IF(ISNUMBER(MATCH(AC53,{"Expense|employee","Expense|general_admin","Expense|marketing","Expense|utilities","Expense|other_operating"},0)),-N(L53),0)+IF(ISNUMBER(MATCH(AD53,{"Expense|employee","Expense|general_admin","Expense|marketing","Expense|utilities","Expense|other_operating"},0)),-N(U53),0)+IF(ISNUMBER(MATCH(AE53,{"Expense|employee","Expense|general_admin","Expense|marketing","Expense|utilities","Expense|other_operating"},0)),-N(T53),0)</f>
        <v/>
      </c>
      <c r="AJ53" s="23">
        <f>IF(AA53="Liability|payable",-N(R53),0)+IF(AB53="Liability|payable",-N(S53),0)+IF(AC53="Liability|payable",N(L53),0)+IF(AD53="Liability|payable",N(U53),0)+IF(AE53="Liability|payable",N(T53),0)</f>
        <v/>
      </c>
      <c r="AK53" s="23">
        <f>IF(AA53="Liability|accrued",-N(R53),0)+IF(AB53="Liability|accrued",-N(S53),0)+IF(AC53="Liability|accrued",N(L53),0)+IF(AD53="Liability|accrued",N(U53),0)+IF(AE53="Liability|accrued",N(T53),0)</f>
        <v/>
      </c>
      <c r="AL53" s="23">
        <f>IF(AND(N(R53)&lt;&gt;0,AA53=""),1,0)+IF(AND(N(S53)&lt;&gt;0,AB53=""),1,0)+IF(AND(N(L53)&lt;&gt;0,AC53=""),1,0)+IF(AND(N(U53)&lt;&gt;0,AD53=""),1,0)+IF(AND(N(T53)&lt;&gt;0,AE53=""),1,0)</f>
        <v/>
      </c>
    </row>
    <row r="54">
      <c r="A54" s="19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20" t="n"/>
      <c r="K54" s="20" t="n"/>
      <c r="L54" s="20" t="n"/>
      <c r="M54" s="14" t="n"/>
      <c r="N54" s="14" t="n"/>
      <c r="O54" s="14" t="n"/>
      <c r="P54" s="14" t="n"/>
      <c r="Q54" s="14" t="n"/>
      <c r="R54" s="21">
        <f>ROUND(N(H54)*N(J54)-N(K54),2)</f>
        <v/>
      </c>
      <c r="S54" s="21">
        <f>ROUND(R54*IFERROR(VLOOKUP(P54,'Tax Codes'!$A$5:$E$300,5,FALSE),0),2)</f>
        <v/>
      </c>
      <c r="T54" s="21">
        <f>ROUND(R54*IFERROR(VLOOKUP(Q54,'Tax Codes'!$A$5:$E$300,5,FALSE),0),2)</f>
        <v/>
      </c>
      <c r="U54" s="21">
        <f>R54+S54-T54-N(L54)</f>
        <v/>
      </c>
      <c r="V54" s="16">
        <f>IF(C54="",INDEX('Chart of Accounts'!$A$5:$A$3000,MATCH("materials",'Chart of Accounts'!$F$5:$F$3000,0)),C54&amp;"")</f>
        <v/>
      </c>
      <c r="W54" s="16">
        <f>IF(N54="",INDEX('Chart of Accounts'!$A$5:$A$3000,MATCH("bank",'Chart of Accounts'!$F$5:$F$3000,0)),N54&amp;"")</f>
        <v/>
      </c>
      <c r="X54" s="16">
        <f>IF(O54="",INDEX('Chart of Accounts'!$A$5:$A$3000,MATCH("ap",'Chart of Accounts'!$F$5:$F$3000,0)),O54&amp;"")</f>
        <v/>
      </c>
      <c r="Y54" s="16">
        <f>INDEX('Chart of Accounts'!$A$5:$A$3000,MATCH("vat_input",'Chart of Accounts'!$F$5:$F$3000,0))</f>
        <v/>
      </c>
      <c r="Z54" s="16">
        <f>INDEX('Chart of Accounts'!$A$5:$A$3000,MATCH("wht_payable",'Chart of Accounts'!$F$5:$F$3000,0))</f>
        <v/>
      </c>
      <c r="AA54" s="23">
        <f>IFERROR(INDEX('Chart of Accounts'!$C$5:$C$3000,MATCH(V54&amp;"",'Chart of Accounts'!$A$5:$A$3000,0))&amp;"|"&amp;INDEX('Chart of Accounts'!$D$5:$D$3000,MATCH(V54&amp;"",'Chart of Accounts'!$A$5:$A$3000,0)),"")</f>
        <v/>
      </c>
      <c r="AB54" s="23">
        <f>IFERROR(INDEX('Chart of Accounts'!$C$5:$C$3000,MATCH(Y54&amp;"",'Chart of Accounts'!$A$5:$A$3000,0))&amp;"|"&amp;INDEX('Chart of Accounts'!$D$5:$D$3000,MATCH(Y54&amp;"",'Chart of Accounts'!$A$5:$A$3000,0)),"")</f>
        <v/>
      </c>
      <c r="AC54" s="23">
        <f>IFERROR(INDEX('Chart of Accounts'!$C$5:$C$3000,MATCH(W54&amp;"",'Chart of Accounts'!$A$5:$A$3000,0))&amp;"|"&amp;INDEX('Chart of Accounts'!$D$5:$D$3000,MATCH(W54&amp;"",'Chart of Accounts'!$A$5:$A$3000,0)),"")</f>
        <v/>
      </c>
      <c r="AD54" s="23">
        <f>IFERROR(INDEX('Chart of Accounts'!$C$5:$C$3000,MATCH(X54&amp;"",'Chart of Accounts'!$A$5:$A$3000,0))&amp;"|"&amp;INDEX('Chart of Accounts'!$D$5:$D$3000,MATCH(X54&amp;"",'Chart of Accounts'!$A$5:$A$3000,0)),"")</f>
        <v/>
      </c>
      <c r="AE54" s="23">
        <f>IFERROR(INDEX('Chart of Accounts'!$C$5:$C$3000,MATCH(Z54&amp;"",'Chart of Accounts'!$A$5:$A$3000,0))&amp;"|"&amp;INDEX('Chart of Accounts'!$D$5:$D$3000,MATCH(Z54&amp;"",'Chart of Accounts'!$A$5:$A$3000,0)),"")</f>
        <v/>
      </c>
      <c r="AF54" s="23">
        <f>IF(LEFT(AA54,8)="Revenue|",-N(R54),0)+IF(LEFT(AB54,8)="Revenue|",-N(S54),0)+IF(LEFT(AC54,8)="Revenue|",N(L54),0)+IF(LEFT(AD54,8)="Revenue|",N(U54),0)+IF(LEFT(AE54,8)="Revenue|",N(T54),0)</f>
        <v/>
      </c>
      <c r="AG54" s="23">
        <f>IF(LEFT(AA54,5)="COGS|",N(R54),0)+IF(LEFT(AB54,5)="COGS|",N(S54),0)+IF(LEFT(AC54,5)="COGS|",-N(L54),0)+IF(LEFT(AD54,5)="COGS|",-N(U54),0)+IF(LEFT(AE54,5)="COGS|",-N(T54),0)</f>
        <v/>
      </c>
      <c r="AH54" s="23">
        <f>IF(LEFT(AA54,8)="Expense|",N(R54),0)+IF(LEFT(AB54,8)="Expense|",N(S54),0)+IF(LEFT(AC54,8)="Expense|",-N(L54),0)+IF(LEFT(AD54,8)="Expense|",-N(U54),0)+IF(LEFT(AE54,8)="Expense|",-N(T54),0)</f>
        <v/>
      </c>
      <c r="AI54" s="23">
        <f>IF(ISNUMBER(MATCH(AA54,{"Expense|employee","Expense|general_admin","Expense|marketing","Expense|utilities","Expense|other_operating"},0)),N(R54),0)+IF(ISNUMBER(MATCH(AB54,{"Expense|employee","Expense|general_admin","Expense|marketing","Expense|utilities","Expense|other_operating"},0)),N(S54),0)+IF(ISNUMBER(MATCH(AC54,{"Expense|employee","Expense|general_admin","Expense|marketing","Expense|utilities","Expense|other_operating"},0)),-N(L54),0)+IF(ISNUMBER(MATCH(AD54,{"Expense|employee","Expense|general_admin","Expense|marketing","Expense|utilities","Expense|other_operating"},0)),-N(U54),0)+IF(ISNUMBER(MATCH(AE54,{"Expense|employee","Expense|general_admin","Expense|marketing","Expense|utilities","Expense|other_operating"},0)),-N(T54),0)</f>
        <v/>
      </c>
      <c r="AJ54" s="23">
        <f>IF(AA54="Liability|payable",-N(R54),0)+IF(AB54="Liability|payable",-N(S54),0)+IF(AC54="Liability|payable",N(L54),0)+IF(AD54="Liability|payable",N(U54),0)+IF(AE54="Liability|payable",N(T54),0)</f>
        <v/>
      </c>
      <c r="AK54" s="23">
        <f>IF(AA54="Liability|accrued",-N(R54),0)+IF(AB54="Liability|accrued",-N(S54),0)+IF(AC54="Liability|accrued",N(L54),0)+IF(AD54="Liability|accrued",N(U54),0)+IF(AE54="Liability|accrued",N(T54),0)</f>
        <v/>
      </c>
      <c r="AL54" s="23">
        <f>IF(AND(N(R54)&lt;&gt;0,AA54=""),1,0)+IF(AND(N(S54)&lt;&gt;0,AB54=""),1,0)+IF(AND(N(L54)&lt;&gt;0,AC54=""),1,0)+IF(AND(N(U54)&lt;&gt;0,AD54=""),1,0)+IF(AND(N(T54)&lt;&gt;0,AE54=""),1,0)</f>
        <v/>
      </c>
    </row>
    <row r="55">
      <c r="A55" s="19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20" t="n"/>
      <c r="K55" s="20" t="n"/>
      <c r="L55" s="20" t="n"/>
      <c r="M55" s="14" t="n"/>
      <c r="N55" s="14" t="n"/>
      <c r="O55" s="14" t="n"/>
      <c r="P55" s="14" t="n"/>
      <c r="Q55" s="14" t="n"/>
      <c r="R55" s="21">
        <f>ROUND(N(H55)*N(J55)-N(K55),2)</f>
        <v/>
      </c>
      <c r="S55" s="21">
        <f>ROUND(R55*IFERROR(VLOOKUP(P55,'Tax Codes'!$A$5:$E$300,5,FALSE),0),2)</f>
        <v/>
      </c>
      <c r="T55" s="21">
        <f>ROUND(R55*IFERROR(VLOOKUP(Q55,'Tax Codes'!$A$5:$E$300,5,FALSE),0),2)</f>
        <v/>
      </c>
      <c r="U55" s="21">
        <f>R55+S55-T55-N(L55)</f>
        <v/>
      </c>
      <c r="V55" s="16">
        <f>IF(C55="",INDEX('Chart of Accounts'!$A$5:$A$3000,MATCH("materials",'Chart of Accounts'!$F$5:$F$3000,0)),C55&amp;"")</f>
        <v/>
      </c>
      <c r="W55" s="16">
        <f>IF(N55="",INDEX('Chart of Accounts'!$A$5:$A$3000,MATCH("bank",'Chart of Accounts'!$F$5:$F$3000,0)),N55&amp;"")</f>
        <v/>
      </c>
      <c r="X55" s="16">
        <f>IF(O55="",INDEX('Chart of Accounts'!$A$5:$A$3000,MATCH("ap",'Chart of Accounts'!$F$5:$F$3000,0)),O55&amp;"")</f>
        <v/>
      </c>
      <c r="Y55" s="16">
        <f>INDEX('Chart of Accounts'!$A$5:$A$3000,MATCH("vat_input",'Chart of Accounts'!$F$5:$F$3000,0))</f>
        <v/>
      </c>
      <c r="Z55" s="16">
        <f>INDEX('Chart of Accounts'!$A$5:$A$3000,MATCH("wht_payable",'Chart of Accounts'!$F$5:$F$3000,0))</f>
        <v/>
      </c>
      <c r="AA55" s="23">
        <f>IFERROR(INDEX('Chart of Accounts'!$C$5:$C$3000,MATCH(V55&amp;"",'Chart of Accounts'!$A$5:$A$3000,0))&amp;"|"&amp;INDEX('Chart of Accounts'!$D$5:$D$3000,MATCH(V55&amp;"",'Chart of Accounts'!$A$5:$A$3000,0)),"")</f>
        <v/>
      </c>
      <c r="AB55" s="23">
        <f>IFERROR(INDEX('Chart of Accounts'!$C$5:$C$3000,MATCH(Y55&amp;"",'Chart of Accounts'!$A$5:$A$3000,0))&amp;"|"&amp;INDEX('Chart of Accounts'!$D$5:$D$3000,MATCH(Y55&amp;"",'Chart of Accounts'!$A$5:$A$3000,0)),"")</f>
        <v/>
      </c>
      <c r="AC55" s="23">
        <f>IFERROR(INDEX('Chart of Accounts'!$C$5:$C$3000,MATCH(W55&amp;"",'Chart of Accounts'!$A$5:$A$3000,0))&amp;"|"&amp;INDEX('Chart of Accounts'!$D$5:$D$3000,MATCH(W55&amp;"",'Chart of Accounts'!$A$5:$A$3000,0)),"")</f>
        <v/>
      </c>
      <c r="AD55" s="23">
        <f>IFERROR(INDEX('Chart of Accounts'!$C$5:$C$3000,MATCH(X55&amp;"",'Chart of Accounts'!$A$5:$A$3000,0))&amp;"|"&amp;INDEX('Chart of Accounts'!$D$5:$D$3000,MATCH(X55&amp;"",'Chart of Accounts'!$A$5:$A$3000,0)),"")</f>
        <v/>
      </c>
      <c r="AE55" s="23">
        <f>IFERROR(INDEX('Chart of Accounts'!$C$5:$C$3000,MATCH(Z55&amp;"",'Chart of Accounts'!$A$5:$A$3000,0))&amp;"|"&amp;INDEX('Chart of Accounts'!$D$5:$D$3000,MATCH(Z55&amp;"",'Chart of Accounts'!$A$5:$A$3000,0)),"")</f>
        <v/>
      </c>
      <c r="AF55" s="23">
        <f>IF(LEFT(AA55,8)="Revenue|",-N(R55),0)+IF(LEFT(AB55,8)="Revenue|",-N(S55),0)+IF(LEFT(AC55,8)="Revenue|",N(L55),0)+IF(LEFT(AD55,8)="Revenue|",N(U55),0)+IF(LEFT(AE55,8)="Revenue|",N(T55),0)</f>
        <v/>
      </c>
      <c r="AG55" s="23">
        <f>IF(LEFT(AA55,5)="COGS|",N(R55),0)+IF(LEFT(AB55,5)="COGS|",N(S55),0)+IF(LEFT(AC55,5)="COGS|",-N(L55),0)+IF(LEFT(AD55,5)="COGS|",-N(U55),0)+IF(LEFT(AE55,5)="COGS|",-N(T55),0)</f>
        <v/>
      </c>
      <c r="AH55" s="23">
        <f>IF(LEFT(AA55,8)="Expense|",N(R55),0)+IF(LEFT(AB55,8)="Expense|",N(S55),0)+IF(LEFT(AC55,8)="Expense|",-N(L55),0)+IF(LEFT(AD55,8)="Expense|",-N(U55),0)+IF(LEFT(AE55,8)="Expense|",-N(T55),0)</f>
        <v/>
      </c>
      <c r="AI55" s="23">
        <f>IF(ISNUMBER(MATCH(AA55,{"Expense|employee","Expense|general_admin","Expense|marketing","Expense|utilities","Expense|other_operating"},0)),N(R55),0)+IF(ISNUMBER(MATCH(AB55,{"Expense|employee","Expense|general_admin","Expense|marketing","Expense|utilities","Expense|other_operating"},0)),N(S55),0)+IF(ISNUMBER(MATCH(AC55,{"Expense|employee","Expense|general_admin","Expense|marketing","Expense|utilities","Expense|other_operating"},0)),-N(L55),0)+IF(ISNUMBER(MATCH(AD55,{"Expense|employee","Expense|general_admin","Expense|marketing","Expense|utilities","Expense|other_operating"},0)),-N(U55),0)+IF(ISNUMBER(MATCH(AE55,{"Expense|employee","Expense|general_admin","Expense|marketing","Expense|utilities","Expense|other_operating"},0)),-N(T55),0)</f>
        <v/>
      </c>
      <c r="AJ55" s="23">
        <f>IF(AA55="Liability|payable",-N(R55),0)+IF(AB55="Liability|payable",-N(S55),0)+IF(AC55="Liability|payable",N(L55),0)+IF(AD55="Liability|payable",N(U55),0)+IF(AE55="Liability|payable",N(T55),0)</f>
        <v/>
      </c>
      <c r="AK55" s="23">
        <f>IF(AA55="Liability|accrued",-N(R55),0)+IF(AB55="Liability|accrued",-N(S55),0)+IF(AC55="Liability|accrued",N(L55),0)+IF(AD55="Liability|accrued",N(U55),0)+IF(AE55="Liability|accrued",N(T55),0)</f>
        <v/>
      </c>
      <c r="AL55" s="23">
        <f>IF(AND(N(R55)&lt;&gt;0,AA55=""),1,0)+IF(AND(N(S55)&lt;&gt;0,AB55=""),1,0)+IF(AND(N(L55)&lt;&gt;0,AC55=""),1,0)+IF(AND(N(U55)&lt;&gt;0,AD55=""),1,0)+IF(AND(N(T55)&lt;&gt;0,AE55=""),1,0)</f>
        <v/>
      </c>
    </row>
    <row r="56">
      <c r="A56" s="19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20" t="n"/>
      <c r="K56" s="20" t="n"/>
      <c r="L56" s="20" t="n"/>
      <c r="M56" s="14" t="n"/>
      <c r="N56" s="14" t="n"/>
      <c r="O56" s="14" t="n"/>
      <c r="P56" s="14" t="n"/>
      <c r="Q56" s="14" t="n"/>
      <c r="R56" s="21">
        <f>ROUND(N(H56)*N(J56)-N(K56),2)</f>
        <v/>
      </c>
      <c r="S56" s="21">
        <f>ROUND(R56*IFERROR(VLOOKUP(P56,'Tax Codes'!$A$5:$E$300,5,FALSE),0),2)</f>
        <v/>
      </c>
      <c r="T56" s="21">
        <f>ROUND(R56*IFERROR(VLOOKUP(Q56,'Tax Codes'!$A$5:$E$300,5,FALSE),0),2)</f>
        <v/>
      </c>
      <c r="U56" s="21">
        <f>R56+S56-T56-N(L56)</f>
        <v/>
      </c>
      <c r="V56" s="16">
        <f>IF(C56="",INDEX('Chart of Accounts'!$A$5:$A$3000,MATCH("materials",'Chart of Accounts'!$F$5:$F$3000,0)),C56&amp;"")</f>
        <v/>
      </c>
      <c r="W56" s="16">
        <f>IF(N56="",INDEX('Chart of Accounts'!$A$5:$A$3000,MATCH("bank",'Chart of Accounts'!$F$5:$F$3000,0)),N56&amp;"")</f>
        <v/>
      </c>
      <c r="X56" s="16">
        <f>IF(O56="",INDEX('Chart of Accounts'!$A$5:$A$3000,MATCH("ap",'Chart of Accounts'!$F$5:$F$3000,0)),O56&amp;"")</f>
        <v/>
      </c>
      <c r="Y56" s="16">
        <f>INDEX('Chart of Accounts'!$A$5:$A$3000,MATCH("vat_input",'Chart of Accounts'!$F$5:$F$3000,0))</f>
        <v/>
      </c>
      <c r="Z56" s="16">
        <f>INDEX('Chart of Accounts'!$A$5:$A$3000,MATCH("wht_payable",'Chart of Accounts'!$F$5:$F$3000,0))</f>
        <v/>
      </c>
      <c r="AA56" s="23">
        <f>IFERROR(INDEX('Chart of Accounts'!$C$5:$C$3000,MATCH(V56&amp;"",'Chart of Accounts'!$A$5:$A$3000,0))&amp;"|"&amp;INDEX('Chart of Accounts'!$D$5:$D$3000,MATCH(V56&amp;"",'Chart of Accounts'!$A$5:$A$3000,0)),"")</f>
        <v/>
      </c>
      <c r="AB56" s="23">
        <f>IFERROR(INDEX('Chart of Accounts'!$C$5:$C$3000,MATCH(Y56&amp;"",'Chart of Accounts'!$A$5:$A$3000,0))&amp;"|"&amp;INDEX('Chart of Accounts'!$D$5:$D$3000,MATCH(Y56&amp;"",'Chart of Accounts'!$A$5:$A$3000,0)),"")</f>
        <v/>
      </c>
      <c r="AC56" s="23">
        <f>IFERROR(INDEX('Chart of Accounts'!$C$5:$C$3000,MATCH(W56&amp;"",'Chart of Accounts'!$A$5:$A$3000,0))&amp;"|"&amp;INDEX('Chart of Accounts'!$D$5:$D$3000,MATCH(W56&amp;"",'Chart of Accounts'!$A$5:$A$3000,0)),"")</f>
        <v/>
      </c>
      <c r="AD56" s="23">
        <f>IFERROR(INDEX('Chart of Accounts'!$C$5:$C$3000,MATCH(X56&amp;"",'Chart of Accounts'!$A$5:$A$3000,0))&amp;"|"&amp;INDEX('Chart of Accounts'!$D$5:$D$3000,MATCH(X56&amp;"",'Chart of Accounts'!$A$5:$A$3000,0)),"")</f>
        <v/>
      </c>
      <c r="AE56" s="23">
        <f>IFERROR(INDEX('Chart of Accounts'!$C$5:$C$3000,MATCH(Z56&amp;"",'Chart of Accounts'!$A$5:$A$3000,0))&amp;"|"&amp;INDEX('Chart of Accounts'!$D$5:$D$3000,MATCH(Z56&amp;"",'Chart of Accounts'!$A$5:$A$3000,0)),"")</f>
        <v/>
      </c>
      <c r="AF56" s="23">
        <f>IF(LEFT(AA56,8)="Revenue|",-N(R56),0)+IF(LEFT(AB56,8)="Revenue|",-N(S56),0)+IF(LEFT(AC56,8)="Revenue|",N(L56),0)+IF(LEFT(AD56,8)="Revenue|",N(U56),0)+IF(LEFT(AE56,8)="Revenue|",N(T56),0)</f>
        <v/>
      </c>
      <c r="AG56" s="23">
        <f>IF(LEFT(AA56,5)="COGS|",N(R56),0)+IF(LEFT(AB56,5)="COGS|",N(S56),0)+IF(LEFT(AC56,5)="COGS|",-N(L56),0)+IF(LEFT(AD56,5)="COGS|",-N(U56),0)+IF(LEFT(AE56,5)="COGS|",-N(T56),0)</f>
        <v/>
      </c>
      <c r="AH56" s="23">
        <f>IF(LEFT(AA56,8)="Expense|",N(R56),0)+IF(LEFT(AB56,8)="Expense|",N(S56),0)+IF(LEFT(AC56,8)="Expense|",-N(L56),0)+IF(LEFT(AD56,8)="Expense|",-N(U56),0)+IF(LEFT(AE56,8)="Expense|",-N(T56),0)</f>
        <v/>
      </c>
      <c r="AI56" s="23">
        <f>IF(ISNUMBER(MATCH(AA56,{"Expense|employee","Expense|general_admin","Expense|marketing","Expense|utilities","Expense|other_operating"},0)),N(R56),0)+IF(ISNUMBER(MATCH(AB56,{"Expense|employee","Expense|general_admin","Expense|marketing","Expense|utilities","Expense|other_operating"},0)),N(S56),0)+IF(ISNUMBER(MATCH(AC56,{"Expense|employee","Expense|general_admin","Expense|marketing","Expense|utilities","Expense|other_operating"},0)),-N(L56),0)+IF(ISNUMBER(MATCH(AD56,{"Expense|employee","Expense|general_admin","Expense|marketing","Expense|utilities","Expense|other_operating"},0)),-N(U56),0)+IF(ISNUMBER(MATCH(AE56,{"Expense|employee","Expense|general_admin","Expense|marketing","Expense|utilities","Expense|other_operating"},0)),-N(T56),0)</f>
        <v/>
      </c>
      <c r="AJ56" s="23">
        <f>IF(AA56="Liability|payable",-N(R56),0)+IF(AB56="Liability|payable",-N(S56),0)+IF(AC56="Liability|payable",N(L56),0)+IF(AD56="Liability|payable",N(U56),0)+IF(AE56="Liability|payable",N(T56),0)</f>
        <v/>
      </c>
      <c r="AK56" s="23">
        <f>IF(AA56="Liability|accrued",-N(R56),0)+IF(AB56="Liability|accrued",-N(S56),0)+IF(AC56="Liability|accrued",N(L56),0)+IF(AD56="Liability|accrued",N(U56),0)+IF(AE56="Liability|accrued",N(T56),0)</f>
        <v/>
      </c>
      <c r="AL56" s="23">
        <f>IF(AND(N(R56)&lt;&gt;0,AA56=""),1,0)+IF(AND(N(S56)&lt;&gt;0,AB56=""),1,0)+IF(AND(N(L56)&lt;&gt;0,AC56=""),1,0)+IF(AND(N(U56)&lt;&gt;0,AD56=""),1,0)+IF(AND(N(T56)&lt;&gt;0,AE56=""),1,0)</f>
        <v/>
      </c>
    </row>
    <row r="57">
      <c r="A57" s="19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20" t="n"/>
      <c r="K57" s="20" t="n"/>
      <c r="L57" s="20" t="n"/>
      <c r="M57" s="14" t="n"/>
      <c r="N57" s="14" t="n"/>
      <c r="O57" s="14" t="n"/>
      <c r="P57" s="14" t="n"/>
      <c r="Q57" s="14" t="n"/>
      <c r="R57" s="21">
        <f>ROUND(N(H57)*N(J57)-N(K57),2)</f>
        <v/>
      </c>
      <c r="S57" s="21">
        <f>ROUND(R57*IFERROR(VLOOKUP(P57,'Tax Codes'!$A$5:$E$300,5,FALSE),0),2)</f>
        <v/>
      </c>
      <c r="T57" s="21">
        <f>ROUND(R57*IFERROR(VLOOKUP(Q57,'Tax Codes'!$A$5:$E$300,5,FALSE),0),2)</f>
        <v/>
      </c>
      <c r="U57" s="21">
        <f>R57+S57-T57-N(L57)</f>
        <v/>
      </c>
      <c r="V57" s="16">
        <f>IF(C57="",INDEX('Chart of Accounts'!$A$5:$A$3000,MATCH("materials",'Chart of Accounts'!$F$5:$F$3000,0)),C57&amp;"")</f>
        <v/>
      </c>
      <c r="W57" s="16">
        <f>IF(N57="",INDEX('Chart of Accounts'!$A$5:$A$3000,MATCH("bank",'Chart of Accounts'!$F$5:$F$3000,0)),N57&amp;"")</f>
        <v/>
      </c>
      <c r="X57" s="16">
        <f>IF(O57="",INDEX('Chart of Accounts'!$A$5:$A$3000,MATCH("ap",'Chart of Accounts'!$F$5:$F$3000,0)),O57&amp;"")</f>
        <v/>
      </c>
      <c r="Y57" s="16">
        <f>INDEX('Chart of Accounts'!$A$5:$A$3000,MATCH("vat_input",'Chart of Accounts'!$F$5:$F$3000,0))</f>
        <v/>
      </c>
      <c r="Z57" s="16">
        <f>INDEX('Chart of Accounts'!$A$5:$A$3000,MATCH("wht_payable",'Chart of Accounts'!$F$5:$F$3000,0))</f>
        <v/>
      </c>
      <c r="AA57" s="23">
        <f>IFERROR(INDEX('Chart of Accounts'!$C$5:$C$3000,MATCH(V57&amp;"",'Chart of Accounts'!$A$5:$A$3000,0))&amp;"|"&amp;INDEX('Chart of Accounts'!$D$5:$D$3000,MATCH(V57&amp;"",'Chart of Accounts'!$A$5:$A$3000,0)),"")</f>
        <v/>
      </c>
      <c r="AB57" s="23">
        <f>IFERROR(INDEX('Chart of Accounts'!$C$5:$C$3000,MATCH(Y57&amp;"",'Chart of Accounts'!$A$5:$A$3000,0))&amp;"|"&amp;INDEX('Chart of Accounts'!$D$5:$D$3000,MATCH(Y57&amp;"",'Chart of Accounts'!$A$5:$A$3000,0)),"")</f>
        <v/>
      </c>
      <c r="AC57" s="23">
        <f>IFERROR(INDEX('Chart of Accounts'!$C$5:$C$3000,MATCH(W57&amp;"",'Chart of Accounts'!$A$5:$A$3000,0))&amp;"|"&amp;INDEX('Chart of Accounts'!$D$5:$D$3000,MATCH(W57&amp;"",'Chart of Accounts'!$A$5:$A$3000,0)),"")</f>
        <v/>
      </c>
      <c r="AD57" s="23">
        <f>IFERROR(INDEX('Chart of Accounts'!$C$5:$C$3000,MATCH(X57&amp;"",'Chart of Accounts'!$A$5:$A$3000,0))&amp;"|"&amp;INDEX('Chart of Accounts'!$D$5:$D$3000,MATCH(X57&amp;"",'Chart of Accounts'!$A$5:$A$3000,0)),"")</f>
        <v/>
      </c>
      <c r="AE57" s="23">
        <f>IFERROR(INDEX('Chart of Accounts'!$C$5:$C$3000,MATCH(Z57&amp;"",'Chart of Accounts'!$A$5:$A$3000,0))&amp;"|"&amp;INDEX('Chart of Accounts'!$D$5:$D$3000,MATCH(Z57&amp;"",'Chart of Accounts'!$A$5:$A$3000,0)),"")</f>
        <v/>
      </c>
      <c r="AF57" s="23">
        <f>IF(LEFT(AA57,8)="Revenue|",-N(R57),0)+IF(LEFT(AB57,8)="Revenue|",-N(S57),0)+IF(LEFT(AC57,8)="Revenue|",N(L57),0)+IF(LEFT(AD57,8)="Revenue|",N(U57),0)+IF(LEFT(AE57,8)="Revenue|",N(T57),0)</f>
        <v/>
      </c>
      <c r="AG57" s="23">
        <f>IF(LEFT(AA57,5)="COGS|",N(R57),0)+IF(LEFT(AB57,5)="COGS|",N(S57),0)+IF(LEFT(AC57,5)="COGS|",-N(L57),0)+IF(LEFT(AD57,5)="COGS|",-N(U57),0)+IF(LEFT(AE57,5)="COGS|",-N(T57),0)</f>
        <v/>
      </c>
      <c r="AH57" s="23">
        <f>IF(LEFT(AA57,8)="Expense|",N(R57),0)+IF(LEFT(AB57,8)="Expense|",N(S57),0)+IF(LEFT(AC57,8)="Expense|",-N(L57),0)+IF(LEFT(AD57,8)="Expense|",-N(U57),0)+IF(LEFT(AE57,8)="Expense|",-N(T57),0)</f>
        <v/>
      </c>
      <c r="AI57" s="23">
        <f>IF(ISNUMBER(MATCH(AA57,{"Expense|employee","Expense|general_admin","Expense|marketing","Expense|utilities","Expense|other_operating"},0)),N(R57),0)+IF(ISNUMBER(MATCH(AB57,{"Expense|employee","Expense|general_admin","Expense|marketing","Expense|utilities","Expense|other_operating"},0)),N(S57),0)+IF(ISNUMBER(MATCH(AC57,{"Expense|employee","Expense|general_admin","Expense|marketing","Expense|utilities","Expense|other_operating"},0)),-N(L57),0)+IF(ISNUMBER(MATCH(AD57,{"Expense|employee","Expense|general_admin","Expense|marketing","Expense|utilities","Expense|other_operating"},0)),-N(U57),0)+IF(ISNUMBER(MATCH(AE57,{"Expense|employee","Expense|general_admin","Expense|marketing","Expense|utilities","Expense|other_operating"},0)),-N(T57),0)</f>
        <v/>
      </c>
      <c r="AJ57" s="23">
        <f>IF(AA57="Liability|payable",-N(R57),0)+IF(AB57="Liability|payable",-N(S57),0)+IF(AC57="Liability|payable",N(L57),0)+IF(AD57="Liability|payable",N(U57),0)+IF(AE57="Liability|payable",N(T57),0)</f>
        <v/>
      </c>
      <c r="AK57" s="23">
        <f>IF(AA57="Liability|accrued",-N(R57),0)+IF(AB57="Liability|accrued",-N(S57),0)+IF(AC57="Liability|accrued",N(L57),0)+IF(AD57="Liability|accrued",N(U57),0)+IF(AE57="Liability|accrued",N(T57),0)</f>
        <v/>
      </c>
      <c r="AL57" s="23">
        <f>IF(AND(N(R57)&lt;&gt;0,AA57=""),1,0)+IF(AND(N(S57)&lt;&gt;0,AB57=""),1,0)+IF(AND(N(L57)&lt;&gt;0,AC57=""),1,0)+IF(AND(N(U57)&lt;&gt;0,AD57=""),1,0)+IF(AND(N(T57)&lt;&gt;0,AE57=""),1,0)</f>
        <v/>
      </c>
    </row>
    <row r="58">
      <c r="A58" s="19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20" t="n"/>
      <c r="K58" s="20" t="n"/>
      <c r="L58" s="20" t="n"/>
      <c r="M58" s="14" t="n"/>
      <c r="N58" s="14" t="n"/>
      <c r="O58" s="14" t="n"/>
      <c r="P58" s="14" t="n"/>
      <c r="Q58" s="14" t="n"/>
      <c r="R58" s="21">
        <f>ROUND(N(H58)*N(J58)-N(K58),2)</f>
        <v/>
      </c>
      <c r="S58" s="21">
        <f>ROUND(R58*IFERROR(VLOOKUP(P58,'Tax Codes'!$A$5:$E$300,5,FALSE),0),2)</f>
        <v/>
      </c>
      <c r="T58" s="21">
        <f>ROUND(R58*IFERROR(VLOOKUP(Q58,'Tax Codes'!$A$5:$E$300,5,FALSE),0),2)</f>
        <v/>
      </c>
      <c r="U58" s="21">
        <f>R58+S58-T58-N(L58)</f>
        <v/>
      </c>
      <c r="V58" s="16">
        <f>IF(C58="",INDEX('Chart of Accounts'!$A$5:$A$3000,MATCH("materials",'Chart of Accounts'!$F$5:$F$3000,0)),C58&amp;"")</f>
        <v/>
      </c>
      <c r="W58" s="16">
        <f>IF(N58="",INDEX('Chart of Accounts'!$A$5:$A$3000,MATCH("bank",'Chart of Accounts'!$F$5:$F$3000,0)),N58&amp;"")</f>
        <v/>
      </c>
      <c r="X58" s="16">
        <f>IF(O58="",INDEX('Chart of Accounts'!$A$5:$A$3000,MATCH("ap",'Chart of Accounts'!$F$5:$F$3000,0)),O58&amp;"")</f>
        <v/>
      </c>
      <c r="Y58" s="16">
        <f>INDEX('Chart of Accounts'!$A$5:$A$3000,MATCH("vat_input",'Chart of Accounts'!$F$5:$F$3000,0))</f>
        <v/>
      </c>
      <c r="Z58" s="16">
        <f>INDEX('Chart of Accounts'!$A$5:$A$3000,MATCH("wht_payable",'Chart of Accounts'!$F$5:$F$3000,0))</f>
        <v/>
      </c>
      <c r="AA58" s="23">
        <f>IFERROR(INDEX('Chart of Accounts'!$C$5:$C$3000,MATCH(V58&amp;"",'Chart of Accounts'!$A$5:$A$3000,0))&amp;"|"&amp;INDEX('Chart of Accounts'!$D$5:$D$3000,MATCH(V58&amp;"",'Chart of Accounts'!$A$5:$A$3000,0)),"")</f>
        <v/>
      </c>
      <c r="AB58" s="23">
        <f>IFERROR(INDEX('Chart of Accounts'!$C$5:$C$3000,MATCH(Y58&amp;"",'Chart of Accounts'!$A$5:$A$3000,0))&amp;"|"&amp;INDEX('Chart of Accounts'!$D$5:$D$3000,MATCH(Y58&amp;"",'Chart of Accounts'!$A$5:$A$3000,0)),"")</f>
        <v/>
      </c>
      <c r="AC58" s="23">
        <f>IFERROR(INDEX('Chart of Accounts'!$C$5:$C$3000,MATCH(W58&amp;"",'Chart of Accounts'!$A$5:$A$3000,0))&amp;"|"&amp;INDEX('Chart of Accounts'!$D$5:$D$3000,MATCH(W58&amp;"",'Chart of Accounts'!$A$5:$A$3000,0)),"")</f>
        <v/>
      </c>
      <c r="AD58" s="23">
        <f>IFERROR(INDEX('Chart of Accounts'!$C$5:$C$3000,MATCH(X58&amp;"",'Chart of Accounts'!$A$5:$A$3000,0))&amp;"|"&amp;INDEX('Chart of Accounts'!$D$5:$D$3000,MATCH(X58&amp;"",'Chart of Accounts'!$A$5:$A$3000,0)),"")</f>
        <v/>
      </c>
      <c r="AE58" s="23">
        <f>IFERROR(INDEX('Chart of Accounts'!$C$5:$C$3000,MATCH(Z58&amp;"",'Chart of Accounts'!$A$5:$A$3000,0))&amp;"|"&amp;INDEX('Chart of Accounts'!$D$5:$D$3000,MATCH(Z58&amp;"",'Chart of Accounts'!$A$5:$A$3000,0)),"")</f>
        <v/>
      </c>
      <c r="AF58" s="23">
        <f>IF(LEFT(AA58,8)="Revenue|",-N(R58),0)+IF(LEFT(AB58,8)="Revenue|",-N(S58),0)+IF(LEFT(AC58,8)="Revenue|",N(L58),0)+IF(LEFT(AD58,8)="Revenue|",N(U58),0)+IF(LEFT(AE58,8)="Revenue|",N(T58),0)</f>
        <v/>
      </c>
      <c r="AG58" s="23">
        <f>IF(LEFT(AA58,5)="COGS|",N(R58),0)+IF(LEFT(AB58,5)="COGS|",N(S58),0)+IF(LEFT(AC58,5)="COGS|",-N(L58),0)+IF(LEFT(AD58,5)="COGS|",-N(U58),0)+IF(LEFT(AE58,5)="COGS|",-N(T58),0)</f>
        <v/>
      </c>
      <c r="AH58" s="23">
        <f>IF(LEFT(AA58,8)="Expense|",N(R58),0)+IF(LEFT(AB58,8)="Expense|",N(S58),0)+IF(LEFT(AC58,8)="Expense|",-N(L58),0)+IF(LEFT(AD58,8)="Expense|",-N(U58),0)+IF(LEFT(AE58,8)="Expense|",-N(T58),0)</f>
        <v/>
      </c>
      <c r="AI58" s="23">
        <f>IF(ISNUMBER(MATCH(AA58,{"Expense|employee","Expense|general_admin","Expense|marketing","Expense|utilities","Expense|other_operating"},0)),N(R58),0)+IF(ISNUMBER(MATCH(AB58,{"Expense|employee","Expense|general_admin","Expense|marketing","Expense|utilities","Expense|other_operating"},0)),N(S58),0)+IF(ISNUMBER(MATCH(AC58,{"Expense|employee","Expense|general_admin","Expense|marketing","Expense|utilities","Expense|other_operating"},0)),-N(L58),0)+IF(ISNUMBER(MATCH(AD58,{"Expense|employee","Expense|general_admin","Expense|marketing","Expense|utilities","Expense|other_operating"},0)),-N(U58),0)+IF(ISNUMBER(MATCH(AE58,{"Expense|employee","Expense|general_admin","Expense|marketing","Expense|utilities","Expense|other_operating"},0)),-N(T58),0)</f>
        <v/>
      </c>
      <c r="AJ58" s="23">
        <f>IF(AA58="Liability|payable",-N(R58),0)+IF(AB58="Liability|payable",-N(S58),0)+IF(AC58="Liability|payable",N(L58),0)+IF(AD58="Liability|payable",N(U58),0)+IF(AE58="Liability|payable",N(T58),0)</f>
        <v/>
      </c>
      <c r="AK58" s="23">
        <f>IF(AA58="Liability|accrued",-N(R58),0)+IF(AB58="Liability|accrued",-N(S58),0)+IF(AC58="Liability|accrued",N(L58),0)+IF(AD58="Liability|accrued",N(U58),0)+IF(AE58="Liability|accrued",N(T58),0)</f>
        <v/>
      </c>
      <c r="AL58" s="23">
        <f>IF(AND(N(R58)&lt;&gt;0,AA58=""),1,0)+IF(AND(N(S58)&lt;&gt;0,AB58=""),1,0)+IF(AND(N(L58)&lt;&gt;0,AC58=""),1,0)+IF(AND(N(U58)&lt;&gt;0,AD58=""),1,0)+IF(AND(N(T58)&lt;&gt;0,AE58=""),1,0)</f>
        <v/>
      </c>
    </row>
    <row r="59">
      <c r="A59" s="19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20" t="n"/>
      <c r="K59" s="20" t="n"/>
      <c r="L59" s="20" t="n"/>
      <c r="M59" s="14" t="n"/>
      <c r="N59" s="14" t="n"/>
      <c r="O59" s="14" t="n"/>
      <c r="P59" s="14" t="n"/>
      <c r="Q59" s="14" t="n"/>
      <c r="R59" s="21">
        <f>ROUND(N(H59)*N(J59)-N(K59),2)</f>
        <v/>
      </c>
      <c r="S59" s="21">
        <f>ROUND(R59*IFERROR(VLOOKUP(P59,'Tax Codes'!$A$5:$E$300,5,FALSE),0),2)</f>
        <v/>
      </c>
      <c r="T59" s="21">
        <f>ROUND(R59*IFERROR(VLOOKUP(Q59,'Tax Codes'!$A$5:$E$300,5,FALSE),0),2)</f>
        <v/>
      </c>
      <c r="U59" s="21">
        <f>R59+S59-T59-N(L59)</f>
        <v/>
      </c>
      <c r="V59" s="16">
        <f>IF(C59="",INDEX('Chart of Accounts'!$A$5:$A$3000,MATCH("materials",'Chart of Accounts'!$F$5:$F$3000,0)),C59&amp;"")</f>
        <v/>
      </c>
      <c r="W59" s="16">
        <f>IF(N59="",INDEX('Chart of Accounts'!$A$5:$A$3000,MATCH("bank",'Chart of Accounts'!$F$5:$F$3000,0)),N59&amp;"")</f>
        <v/>
      </c>
      <c r="X59" s="16">
        <f>IF(O59="",INDEX('Chart of Accounts'!$A$5:$A$3000,MATCH("ap",'Chart of Accounts'!$F$5:$F$3000,0)),O59&amp;"")</f>
        <v/>
      </c>
      <c r="Y59" s="16">
        <f>INDEX('Chart of Accounts'!$A$5:$A$3000,MATCH("vat_input",'Chart of Accounts'!$F$5:$F$3000,0))</f>
        <v/>
      </c>
      <c r="Z59" s="16">
        <f>INDEX('Chart of Accounts'!$A$5:$A$3000,MATCH("wht_payable",'Chart of Accounts'!$F$5:$F$3000,0))</f>
        <v/>
      </c>
      <c r="AA59" s="23">
        <f>IFERROR(INDEX('Chart of Accounts'!$C$5:$C$3000,MATCH(V59&amp;"",'Chart of Accounts'!$A$5:$A$3000,0))&amp;"|"&amp;INDEX('Chart of Accounts'!$D$5:$D$3000,MATCH(V59&amp;"",'Chart of Accounts'!$A$5:$A$3000,0)),"")</f>
        <v/>
      </c>
      <c r="AB59" s="23">
        <f>IFERROR(INDEX('Chart of Accounts'!$C$5:$C$3000,MATCH(Y59&amp;"",'Chart of Accounts'!$A$5:$A$3000,0))&amp;"|"&amp;INDEX('Chart of Accounts'!$D$5:$D$3000,MATCH(Y59&amp;"",'Chart of Accounts'!$A$5:$A$3000,0)),"")</f>
        <v/>
      </c>
      <c r="AC59" s="23">
        <f>IFERROR(INDEX('Chart of Accounts'!$C$5:$C$3000,MATCH(W59&amp;"",'Chart of Accounts'!$A$5:$A$3000,0))&amp;"|"&amp;INDEX('Chart of Accounts'!$D$5:$D$3000,MATCH(W59&amp;"",'Chart of Accounts'!$A$5:$A$3000,0)),"")</f>
        <v/>
      </c>
      <c r="AD59" s="23">
        <f>IFERROR(INDEX('Chart of Accounts'!$C$5:$C$3000,MATCH(X59&amp;"",'Chart of Accounts'!$A$5:$A$3000,0))&amp;"|"&amp;INDEX('Chart of Accounts'!$D$5:$D$3000,MATCH(X59&amp;"",'Chart of Accounts'!$A$5:$A$3000,0)),"")</f>
        <v/>
      </c>
      <c r="AE59" s="23">
        <f>IFERROR(INDEX('Chart of Accounts'!$C$5:$C$3000,MATCH(Z59&amp;"",'Chart of Accounts'!$A$5:$A$3000,0))&amp;"|"&amp;INDEX('Chart of Accounts'!$D$5:$D$3000,MATCH(Z59&amp;"",'Chart of Accounts'!$A$5:$A$3000,0)),"")</f>
        <v/>
      </c>
      <c r="AF59" s="23">
        <f>IF(LEFT(AA59,8)="Revenue|",-N(R59),0)+IF(LEFT(AB59,8)="Revenue|",-N(S59),0)+IF(LEFT(AC59,8)="Revenue|",N(L59),0)+IF(LEFT(AD59,8)="Revenue|",N(U59),0)+IF(LEFT(AE59,8)="Revenue|",N(T59),0)</f>
        <v/>
      </c>
      <c r="AG59" s="23">
        <f>IF(LEFT(AA59,5)="COGS|",N(R59),0)+IF(LEFT(AB59,5)="COGS|",N(S59),0)+IF(LEFT(AC59,5)="COGS|",-N(L59),0)+IF(LEFT(AD59,5)="COGS|",-N(U59),0)+IF(LEFT(AE59,5)="COGS|",-N(T59),0)</f>
        <v/>
      </c>
      <c r="AH59" s="23">
        <f>IF(LEFT(AA59,8)="Expense|",N(R59),0)+IF(LEFT(AB59,8)="Expense|",N(S59),0)+IF(LEFT(AC59,8)="Expense|",-N(L59),0)+IF(LEFT(AD59,8)="Expense|",-N(U59),0)+IF(LEFT(AE59,8)="Expense|",-N(T59),0)</f>
        <v/>
      </c>
      <c r="AI59" s="23">
        <f>IF(ISNUMBER(MATCH(AA59,{"Expense|employee","Expense|general_admin","Expense|marketing","Expense|utilities","Expense|other_operating"},0)),N(R59),0)+IF(ISNUMBER(MATCH(AB59,{"Expense|employee","Expense|general_admin","Expense|marketing","Expense|utilities","Expense|other_operating"},0)),N(S59),0)+IF(ISNUMBER(MATCH(AC59,{"Expense|employee","Expense|general_admin","Expense|marketing","Expense|utilities","Expense|other_operating"},0)),-N(L59),0)+IF(ISNUMBER(MATCH(AD59,{"Expense|employee","Expense|general_admin","Expense|marketing","Expense|utilities","Expense|other_operating"},0)),-N(U59),0)+IF(ISNUMBER(MATCH(AE59,{"Expense|employee","Expense|general_admin","Expense|marketing","Expense|utilities","Expense|other_operating"},0)),-N(T59),0)</f>
        <v/>
      </c>
      <c r="AJ59" s="23">
        <f>IF(AA59="Liability|payable",-N(R59),0)+IF(AB59="Liability|payable",-N(S59),0)+IF(AC59="Liability|payable",N(L59),0)+IF(AD59="Liability|payable",N(U59),0)+IF(AE59="Liability|payable",N(T59),0)</f>
        <v/>
      </c>
      <c r="AK59" s="23">
        <f>IF(AA59="Liability|accrued",-N(R59),0)+IF(AB59="Liability|accrued",-N(S59),0)+IF(AC59="Liability|accrued",N(L59),0)+IF(AD59="Liability|accrued",N(U59),0)+IF(AE59="Liability|accrued",N(T59),0)</f>
        <v/>
      </c>
      <c r="AL59" s="23">
        <f>IF(AND(N(R59)&lt;&gt;0,AA59=""),1,0)+IF(AND(N(S59)&lt;&gt;0,AB59=""),1,0)+IF(AND(N(L59)&lt;&gt;0,AC59=""),1,0)+IF(AND(N(U59)&lt;&gt;0,AD59=""),1,0)+IF(AND(N(T59)&lt;&gt;0,AE59=""),1,0)</f>
        <v/>
      </c>
    </row>
    <row r="60">
      <c r="A60" s="19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20" t="n"/>
      <c r="K60" s="20" t="n"/>
      <c r="L60" s="20" t="n"/>
      <c r="M60" s="14" t="n"/>
      <c r="N60" s="14" t="n"/>
      <c r="O60" s="14" t="n"/>
      <c r="P60" s="14" t="n"/>
      <c r="Q60" s="14" t="n"/>
      <c r="R60" s="21">
        <f>ROUND(N(H60)*N(J60)-N(K60),2)</f>
        <v/>
      </c>
      <c r="S60" s="21">
        <f>ROUND(R60*IFERROR(VLOOKUP(P60,'Tax Codes'!$A$5:$E$300,5,FALSE),0),2)</f>
        <v/>
      </c>
      <c r="T60" s="21">
        <f>ROUND(R60*IFERROR(VLOOKUP(Q60,'Tax Codes'!$A$5:$E$300,5,FALSE),0),2)</f>
        <v/>
      </c>
      <c r="U60" s="21">
        <f>R60+S60-T60-N(L60)</f>
        <v/>
      </c>
      <c r="V60" s="16">
        <f>IF(C60="",INDEX('Chart of Accounts'!$A$5:$A$3000,MATCH("materials",'Chart of Accounts'!$F$5:$F$3000,0)),C60&amp;"")</f>
        <v/>
      </c>
      <c r="W60" s="16">
        <f>IF(N60="",INDEX('Chart of Accounts'!$A$5:$A$3000,MATCH("bank",'Chart of Accounts'!$F$5:$F$3000,0)),N60&amp;"")</f>
        <v/>
      </c>
      <c r="X60" s="16">
        <f>IF(O60="",INDEX('Chart of Accounts'!$A$5:$A$3000,MATCH("ap",'Chart of Accounts'!$F$5:$F$3000,0)),O60&amp;"")</f>
        <v/>
      </c>
      <c r="Y60" s="16">
        <f>INDEX('Chart of Accounts'!$A$5:$A$3000,MATCH("vat_input",'Chart of Accounts'!$F$5:$F$3000,0))</f>
        <v/>
      </c>
      <c r="Z60" s="16">
        <f>INDEX('Chart of Accounts'!$A$5:$A$3000,MATCH("wht_payable",'Chart of Accounts'!$F$5:$F$3000,0))</f>
        <v/>
      </c>
      <c r="AA60" s="23">
        <f>IFERROR(INDEX('Chart of Accounts'!$C$5:$C$3000,MATCH(V60&amp;"",'Chart of Accounts'!$A$5:$A$3000,0))&amp;"|"&amp;INDEX('Chart of Accounts'!$D$5:$D$3000,MATCH(V60&amp;"",'Chart of Accounts'!$A$5:$A$3000,0)),"")</f>
        <v/>
      </c>
      <c r="AB60" s="23">
        <f>IFERROR(INDEX('Chart of Accounts'!$C$5:$C$3000,MATCH(Y60&amp;"",'Chart of Accounts'!$A$5:$A$3000,0))&amp;"|"&amp;INDEX('Chart of Accounts'!$D$5:$D$3000,MATCH(Y60&amp;"",'Chart of Accounts'!$A$5:$A$3000,0)),"")</f>
        <v/>
      </c>
      <c r="AC60" s="23">
        <f>IFERROR(INDEX('Chart of Accounts'!$C$5:$C$3000,MATCH(W60&amp;"",'Chart of Accounts'!$A$5:$A$3000,0))&amp;"|"&amp;INDEX('Chart of Accounts'!$D$5:$D$3000,MATCH(W60&amp;"",'Chart of Accounts'!$A$5:$A$3000,0)),"")</f>
        <v/>
      </c>
      <c r="AD60" s="23">
        <f>IFERROR(INDEX('Chart of Accounts'!$C$5:$C$3000,MATCH(X60&amp;"",'Chart of Accounts'!$A$5:$A$3000,0))&amp;"|"&amp;INDEX('Chart of Accounts'!$D$5:$D$3000,MATCH(X60&amp;"",'Chart of Accounts'!$A$5:$A$3000,0)),"")</f>
        <v/>
      </c>
      <c r="AE60" s="23">
        <f>IFERROR(INDEX('Chart of Accounts'!$C$5:$C$3000,MATCH(Z60&amp;"",'Chart of Accounts'!$A$5:$A$3000,0))&amp;"|"&amp;INDEX('Chart of Accounts'!$D$5:$D$3000,MATCH(Z60&amp;"",'Chart of Accounts'!$A$5:$A$3000,0)),"")</f>
        <v/>
      </c>
      <c r="AF60" s="23">
        <f>IF(LEFT(AA60,8)="Revenue|",-N(R60),0)+IF(LEFT(AB60,8)="Revenue|",-N(S60),0)+IF(LEFT(AC60,8)="Revenue|",N(L60),0)+IF(LEFT(AD60,8)="Revenue|",N(U60),0)+IF(LEFT(AE60,8)="Revenue|",N(T60),0)</f>
        <v/>
      </c>
      <c r="AG60" s="23">
        <f>IF(LEFT(AA60,5)="COGS|",N(R60),0)+IF(LEFT(AB60,5)="COGS|",N(S60),0)+IF(LEFT(AC60,5)="COGS|",-N(L60),0)+IF(LEFT(AD60,5)="COGS|",-N(U60),0)+IF(LEFT(AE60,5)="COGS|",-N(T60),0)</f>
        <v/>
      </c>
      <c r="AH60" s="23">
        <f>IF(LEFT(AA60,8)="Expense|",N(R60),0)+IF(LEFT(AB60,8)="Expense|",N(S60),0)+IF(LEFT(AC60,8)="Expense|",-N(L60),0)+IF(LEFT(AD60,8)="Expense|",-N(U60),0)+IF(LEFT(AE60,8)="Expense|",-N(T60),0)</f>
        <v/>
      </c>
      <c r="AI60" s="23">
        <f>IF(ISNUMBER(MATCH(AA60,{"Expense|employee","Expense|general_admin","Expense|marketing","Expense|utilities","Expense|other_operating"},0)),N(R60),0)+IF(ISNUMBER(MATCH(AB60,{"Expense|employee","Expense|general_admin","Expense|marketing","Expense|utilities","Expense|other_operating"},0)),N(S60),0)+IF(ISNUMBER(MATCH(AC60,{"Expense|employee","Expense|general_admin","Expense|marketing","Expense|utilities","Expense|other_operating"},0)),-N(L60),0)+IF(ISNUMBER(MATCH(AD60,{"Expense|employee","Expense|general_admin","Expense|marketing","Expense|utilities","Expense|other_operating"},0)),-N(U60),0)+IF(ISNUMBER(MATCH(AE60,{"Expense|employee","Expense|general_admin","Expense|marketing","Expense|utilities","Expense|other_operating"},0)),-N(T60),0)</f>
        <v/>
      </c>
      <c r="AJ60" s="23">
        <f>IF(AA60="Liability|payable",-N(R60),0)+IF(AB60="Liability|payable",-N(S60),0)+IF(AC60="Liability|payable",N(L60),0)+IF(AD60="Liability|payable",N(U60),0)+IF(AE60="Liability|payable",N(T60),0)</f>
        <v/>
      </c>
      <c r="AK60" s="23">
        <f>IF(AA60="Liability|accrued",-N(R60),0)+IF(AB60="Liability|accrued",-N(S60),0)+IF(AC60="Liability|accrued",N(L60),0)+IF(AD60="Liability|accrued",N(U60),0)+IF(AE60="Liability|accrued",N(T60),0)</f>
        <v/>
      </c>
      <c r="AL60" s="23">
        <f>IF(AND(N(R60)&lt;&gt;0,AA60=""),1,0)+IF(AND(N(S60)&lt;&gt;0,AB60=""),1,0)+IF(AND(N(L60)&lt;&gt;0,AC60=""),1,0)+IF(AND(N(U60)&lt;&gt;0,AD60=""),1,0)+IF(AND(N(T60)&lt;&gt;0,AE60=""),1,0)</f>
        <v/>
      </c>
    </row>
    <row r="61">
      <c r="A61" s="19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20" t="n"/>
      <c r="K61" s="20" t="n"/>
      <c r="L61" s="20" t="n"/>
      <c r="M61" s="14" t="n"/>
      <c r="N61" s="14" t="n"/>
      <c r="O61" s="14" t="n"/>
      <c r="P61" s="14" t="n"/>
      <c r="Q61" s="14" t="n"/>
      <c r="R61" s="21">
        <f>ROUND(N(H61)*N(J61)-N(K61),2)</f>
        <v/>
      </c>
      <c r="S61" s="21">
        <f>ROUND(R61*IFERROR(VLOOKUP(P61,'Tax Codes'!$A$5:$E$300,5,FALSE),0),2)</f>
        <v/>
      </c>
      <c r="T61" s="21">
        <f>ROUND(R61*IFERROR(VLOOKUP(Q61,'Tax Codes'!$A$5:$E$300,5,FALSE),0),2)</f>
        <v/>
      </c>
      <c r="U61" s="21">
        <f>R61+S61-T61-N(L61)</f>
        <v/>
      </c>
      <c r="V61" s="16">
        <f>IF(C61="",INDEX('Chart of Accounts'!$A$5:$A$3000,MATCH("materials",'Chart of Accounts'!$F$5:$F$3000,0)),C61&amp;"")</f>
        <v/>
      </c>
      <c r="W61" s="16">
        <f>IF(N61="",INDEX('Chart of Accounts'!$A$5:$A$3000,MATCH("bank",'Chart of Accounts'!$F$5:$F$3000,0)),N61&amp;"")</f>
        <v/>
      </c>
      <c r="X61" s="16">
        <f>IF(O61="",INDEX('Chart of Accounts'!$A$5:$A$3000,MATCH("ap",'Chart of Accounts'!$F$5:$F$3000,0)),O61&amp;"")</f>
        <v/>
      </c>
      <c r="Y61" s="16">
        <f>INDEX('Chart of Accounts'!$A$5:$A$3000,MATCH("vat_input",'Chart of Accounts'!$F$5:$F$3000,0))</f>
        <v/>
      </c>
      <c r="Z61" s="16">
        <f>INDEX('Chart of Accounts'!$A$5:$A$3000,MATCH("wht_payable",'Chart of Accounts'!$F$5:$F$3000,0))</f>
        <v/>
      </c>
      <c r="AA61" s="23">
        <f>IFERROR(INDEX('Chart of Accounts'!$C$5:$C$3000,MATCH(V61&amp;"",'Chart of Accounts'!$A$5:$A$3000,0))&amp;"|"&amp;INDEX('Chart of Accounts'!$D$5:$D$3000,MATCH(V61&amp;"",'Chart of Accounts'!$A$5:$A$3000,0)),"")</f>
        <v/>
      </c>
      <c r="AB61" s="23">
        <f>IFERROR(INDEX('Chart of Accounts'!$C$5:$C$3000,MATCH(Y61&amp;"",'Chart of Accounts'!$A$5:$A$3000,0))&amp;"|"&amp;INDEX('Chart of Accounts'!$D$5:$D$3000,MATCH(Y61&amp;"",'Chart of Accounts'!$A$5:$A$3000,0)),"")</f>
        <v/>
      </c>
      <c r="AC61" s="23">
        <f>IFERROR(INDEX('Chart of Accounts'!$C$5:$C$3000,MATCH(W61&amp;"",'Chart of Accounts'!$A$5:$A$3000,0))&amp;"|"&amp;INDEX('Chart of Accounts'!$D$5:$D$3000,MATCH(W61&amp;"",'Chart of Accounts'!$A$5:$A$3000,0)),"")</f>
        <v/>
      </c>
      <c r="AD61" s="23">
        <f>IFERROR(INDEX('Chart of Accounts'!$C$5:$C$3000,MATCH(X61&amp;"",'Chart of Accounts'!$A$5:$A$3000,0))&amp;"|"&amp;INDEX('Chart of Accounts'!$D$5:$D$3000,MATCH(X61&amp;"",'Chart of Accounts'!$A$5:$A$3000,0)),"")</f>
        <v/>
      </c>
      <c r="AE61" s="23">
        <f>IFERROR(INDEX('Chart of Accounts'!$C$5:$C$3000,MATCH(Z61&amp;"",'Chart of Accounts'!$A$5:$A$3000,0))&amp;"|"&amp;INDEX('Chart of Accounts'!$D$5:$D$3000,MATCH(Z61&amp;"",'Chart of Accounts'!$A$5:$A$3000,0)),"")</f>
        <v/>
      </c>
      <c r="AF61" s="23">
        <f>IF(LEFT(AA61,8)="Revenue|",-N(R61),0)+IF(LEFT(AB61,8)="Revenue|",-N(S61),0)+IF(LEFT(AC61,8)="Revenue|",N(L61),0)+IF(LEFT(AD61,8)="Revenue|",N(U61),0)+IF(LEFT(AE61,8)="Revenue|",N(T61),0)</f>
        <v/>
      </c>
      <c r="AG61" s="23">
        <f>IF(LEFT(AA61,5)="COGS|",N(R61),0)+IF(LEFT(AB61,5)="COGS|",N(S61),0)+IF(LEFT(AC61,5)="COGS|",-N(L61),0)+IF(LEFT(AD61,5)="COGS|",-N(U61),0)+IF(LEFT(AE61,5)="COGS|",-N(T61),0)</f>
        <v/>
      </c>
      <c r="AH61" s="23">
        <f>IF(LEFT(AA61,8)="Expense|",N(R61),0)+IF(LEFT(AB61,8)="Expense|",N(S61),0)+IF(LEFT(AC61,8)="Expense|",-N(L61),0)+IF(LEFT(AD61,8)="Expense|",-N(U61),0)+IF(LEFT(AE61,8)="Expense|",-N(T61),0)</f>
        <v/>
      </c>
      <c r="AI61" s="23">
        <f>IF(ISNUMBER(MATCH(AA61,{"Expense|employee","Expense|general_admin","Expense|marketing","Expense|utilities","Expense|other_operating"},0)),N(R61),0)+IF(ISNUMBER(MATCH(AB61,{"Expense|employee","Expense|general_admin","Expense|marketing","Expense|utilities","Expense|other_operating"},0)),N(S61),0)+IF(ISNUMBER(MATCH(AC61,{"Expense|employee","Expense|general_admin","Expense|marketing","Expense|utilities","Expense|other_operating"},0)),-N(L61),0)+IF(ISNUMBER(MATCH(AD61,{"Expense|employee","Expense|general_admin","Expense|marketing","Expense|utilities","Expense|other_operating"},0)),-N(U61),0)+IF(ISNUMBER(MATCH(AE61,{"Expense|employee","Expense|general_admin","Expense|marketing","Expense|utilities","Expense|other_operating"},0)),-N(T61),0)</f>
        <v/>
      </c>
      <c r="AJ61" s="23">
        <f>IF(AA61="Liability|payable",-N(R61),0)+IF(AB61="Liability|payable",-N(S61),0)+IF(AC61="Liability|payable",N(L61),0)+IF(AD61="Liability|payable",N(U61),0)+IF(AE61="Liability|payable",N(T61),0)</f>
        <v/>
      </c>
      <c r="AK61" s="23">
        <f>IF(AA61="Liability|accrued",-N(R61),0)+IF(AB61="Liability|accrued",-N(S61),0)+IF(AC61="Liability|accrued",N(L61),0)+IF(AD61="Liability|accrued",N(U61),0)+IF(AE61="Liability|accrued",N(T61),0)</f>
        <v/>
      </c>
      <c r="AL61" s="23">
        <f>IF(AND(N(R61)&lt;&gt;0,AA61=""),1,0)+IF(AND(N(S61)&lt;&gt;0,AB61=""),1,0)+IF(AND(N(L61)&lt;&gt;0,AC61=""),1,0)+IF(AND(N(U61)&lt;&gt;0,AD61=""),1,0)+IF(AND(N(T61)&lt;&gt;0,AE61=""),1,0)</f>
        <v/>
      </c>
    </row>
    <row r="62">
      <c r="A62" s="19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20" t="n"/>
      <c r="K62" s="20" t="n"/>
      <c r="L62" s="20" t="n"/>
      <c r="M62" s="14" t="n"/>
      <c r="N62" s="14" t="n"/>
      <c r="O62" s="14" t="n"/>
      <c r="P62" s="14" t="n"/>
      <c r="Q62" s="14" t="n"/>
      <c r="R62" s="21">
        <f>ROUND(N(H62)*N(J62)-N(K62),2)</f>
        <v/>
      </c>
      <c r="S62" s="21">
        <f>ROUND(R62*IFERROR(VLOOKUP(P62,'Tax Codes'!$A$5:$E$300,5,FALSE),0),2)</f>
        <v/>
      </c>
      <c r="T62" s="21">
        <f>ROUND(R62*IFERROR(VLOOKUP(Q62,'Tax Codes'!$A$5:$E$300,5,FALSE),0),2)</f>
        <v/>
      </c>
      <c r="U62" s="21">
        <f>R62+S62-T62-N(L62)</f>
        <v/>
      </c>
      <c r="V62" s="16">
        <f>IF(C62="",INDEX('Chart of Accounts'!$A$5:$A$3000,MATCH("materials",'Chart of Accounts'!$F$5:$F$3000,0)),C62&amp;"")</f>
        <v/>
      </c>
      <c r="W62" s="16">
        <f>IF(N62="",INDEX('Chart of Accounts'!$A$5:$A$3000,MATCH("bank",'Chart of Accounts'!$F$5:$F$3000,0)),N62&amp;"")</f>
        <v/>
      </c>
      <c r="X62" s="16">
        <f>IF(O62="",INDEX('Chart of Accounts'!$A$5:$A$3000,MATCH("ap",'Chart of Accounts'!$F$5:$F$3000,0)),O62&amp;"")</f>
        <v/>
      </c>
      <c r="Y62" s="16">
        <f>INDEX('Chart of Accounts'!$A$5:$A$3000,MATCH("vat_input",'Chart of Accounts'!$F$5:$F$3000,0))</f>
        <v/>
      </c>
      <c r="Z62" s="16">
        <f>INDEX('Chart of Accounts'!$A$5:$A$3000,MATCH("wht_payable",'Chart of Accounts'!$F$5:$F$3000,0))</f>
        <v/>
      </c>
      <c r="AA62" s="23">
        <f>IFERROR(INDEX('Chart of Accounts'!$C$5:$C$3000,MATCH(V62&amp;"",'Chart of Accounts'!$A$5:$A$3000,0))&amp;"|"&amp;INDEX('Chart of Accounts'!$D$5:$D$3000,MATCH(V62&amp;"",'Chart of Accounts'!$A$5:$A$3000,0)),"")</f>
        <v/>
      </c>
      <c r="AB62" s="23">
        <f>IFERROR(INDEX('Chart of Accounts'!$C$5:$C$3000,MATCH(Y62&amp;"",'Chart of Accounts'!$A$5:$A$3000,0))&amp;"|"&amp;INDEX('Chart of Accounts'!$D$5:$D$3000,MATCH(Y62&amp;"",'Chart of Accounts'!$A$5:$A$3000,0)),"")</f>
        <v/>
      </c>
      <c r="AC62" s="23">
        <f>IFERROR(INDEX('Chart of Accounts'!$C$5:$C$3000,MATCH(W62&amp;"",'Chart of Accounts'!$A$5:$A$3000,0))&amp;"|"&amp;INDEX('Chart of Accounts'!$D$5:$D$3000,MATCH(W62&amp;"",'Chart of Accounts'!$A$5:$A$3000,0)),"")</f>
        <v/>
      </c>
      <c r="AD62" s="23">
        <f>IFERROR(INDEX('Chart of Accounts'!$C$5:$C$3000,MATCH(X62&amp;"",'Chart of Accounts'!$A$5:$A$3000,0))&amp;"|"&amp;INDEX('Chart of Accounts'!$D$5:$D$3000,MATCH(X62&amp;"",'Chart of Accounts'!$A$5:$A$3000,0)),"")</f>
        <v/>
      </c>
      <c r="AE62" s="23">
        <f>IFERROR(INDEX('Chart of Accounts'!$C$5:$C$3000,MATCH(Z62&amp;"",'Chart of Accounts'!$A$5:$A$3000,0))&amp;"|"&amp;INDEX('Chart of Accounts'!$D$5:$D$3000,MATCH(Z62&amp;"",'Chart of Accounts'!$A$5:$A$3000,0)),"")</f>
        <v/>
      </c>
      <c r="AF62" s="23">
        <f>IF(LEFT(AA62,8)="Revenue|",-N(R62),0)+IF(LEFT(AB62,8)="Revenue|",-N(S62),0)+IF(LEFT(AC62,8)="Revenue|",N(L62),0)+IF(LEFT(AD62,8)="Revenue|",N(U62),0)+IF(LEFT(AE62,8)="Revenue|",N(T62),0)</f>
        <v/>
      </c>
      <c r="AG62" s="23">
        <f>IF(LEFT(AA62,5)="COGS|",N(R62),0)+IF(LEFT(AB62,5)="COGS|",N(S62),0)+IF(LEFT(AC62,5)="COGS|",-N(L62),0)+IF(LEFT(AD62,5)="COGS|",-N(U62),0)+IF(LEFT(AE62,5)="COGS|",-N(T62),0)</f>
        <v/>
      </c>
      <c r="AH62" s="23">
        <f>IF(LEFT(AA62,8)="Expense|",N(R62),0)+IF(LEFT(AB62,8)="Expense|",N(S62),0)+IF(LEFT(AC62,8)="Expense|",-N(L62),0)+IF(LEFT(AD62,8)="Expense|",-N(U62),0)+IF(LEFT(AE62,8)="Expense|",-N(T62),0)</f>
        <v/>
      </c>
      <c r="AI62" s="23">
        <f>IF(ISNUMBER(MATCH(AA62,{"Expense|employee","Expense|general_admin","Expense|marketing","Expense|utilities","Expense|other_operating"},0)),N(R62),0)+IF(ISNUMBER(MATCH(AB62,{"Expense|employee","Expense|general_admin","Expense|marketing","Expense|utilities","Expense|other_operating"},0)),N(S62),0)+IF(ISNUMBER(MATCH(AC62,{"Expense|employee","Expense|general_admin","Expense|marketing","Expense|utilities","Expense|other_operating"},0)),-N(L62),0)+IF(ISNUMBER(MATCH(AD62,{"Expense|employee","Expense|general_admin","Expense|marketing","Expense|utilities","Expense|other_operating"},0)),-N(U62),0)+IF(ISNUMBER(MATCH(AE62,{"Expense|employee","Expense|general_admin","Expense|marketing","Expense|utilities","Expense|other_operating"},0)),-N(T62),0)</f>
        <v/>
      </c>
      <c r="AJ62" s="23">
        <f>IF(AA62="Liability|payable",-N(R62),0)+IF(AB62="Liability|payable",-N(S62),0)+IF(AC62="Liability|payable",N(L62),0)+IF(AD62="Liability|payable",N(U62),0)+IF(AE62="Liability|payable",N(T62),0)</f>
        <v/>
      </c>
      <c r="AK62" s="23">
        <f>IF(AA62="Liability|accrued",-N(R62),0)+IF(AB62="Liability|accrued",-N(S62),0)+IF(AC62="Liability|accrued",N(L62),0)+IF(AD62="Liability|accrued",N(U62),0)+IF(AE62="Liability|accrued",N(T62),0)</f>
        <v/>
      </c>
      <c r="AL62" s="23">
        <f>IF(AND(N(R62)&lt;&gt;0,AA62=""),1,0)+IF(AND(N(S62)&lt;&gt;0,AB62=""),1,0)+IF(AND(N(L62)&lt;&gt;0,AC62=""),1,0)+IF(AND(N(U62)&lt;&gt;0,AD62=""),1,0)+IF(AND(N(T62)&lt;&gt;0,AE62=""),1,0)</f>
        <v/>
      </c>
    </row>
    <row r="63">
      <c r="A63" s="19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20" t="n"/>
      <c r="K63" s="20" t="n"/>
      <c r="L63" s="20" t="n"/>
      <c r="M63" s="14" t="n"/>
      <c r="N63" s="14" t="n"/>
      <c r="O63" s="14" t="n"/>
      <c r="P63" s="14" t="n"/>
      <c r="Q63" s="14" t="n"/>
      <c r="R63" s="21">
        <f>ROUND(N(H63)*N(J63)-N(K63),2)</f>
        <v/>
      </c>
      <c r="S63" s="21">
        <f>ROUND(R63*IFERROR(VLOOKUP(P63,'Tax Codes'!$A$5:$E$300,5,FALSE),0),2)</f>
        <v/>
      </c>
      <c r="T63" s="21">
        <f>ROUND(R63*IFERROR(VLOOKUP(Q63,'Tax Codes'!$A$5:$E$300,5,FALSE),0),2)</f>
        <v/>
      </c>
      <c r="U63" s="21">
        <f>R63+S63-T63-N(L63)</f>
        <v/>
      </c>
      <c r="V63" s="16">
        <f>IF(C63="",INDEX('Chart of Accounts'!$A$5:$A$3000,MATCH("materials",'Chart of Accounts'!$F$5:$F$3000,0)),C63&amp;"")</f>
        <v/>
      </c>
      <c r="W63" s="16">
        <f>IF(N63="",INDEX('Chart of Accounts'!$A$5:$A$3000,MATCH("bank",'Chart of Accounts'!$F$5:$F$3000,0)),N63&amp;"")</f>
        <v/>
      </c>
      <c r="X63" s="16">
        <f>IF(O63="",INDEX('Chart of Accounts'!$A$5:$A$3000,MATCH("ap",'Chart of Accounts'!$F$5:$F$3000,0)),O63&amp;"")</f>
        <v/>
      </c>
      <c r="Y63" s="16">
        <f>INDEX('Chart of Accounts'!$A$5:$A$3000,MATCH("vat_input",'Chart of Accounts'!$F$5:$F$3000,0))</f>
        <v/>
      </c>
      <c r="Z63" s="16">
        <f>INDEX('Chart of Accounts'!$A$5:$A$3000,MATCH("wht_payable",'Chart of Accounts'!$F$5:$F$3000,0))</f>
        <v/>
      </c>
      <c r="AA63" s="23">
        <f>IFERROR(INDEX('Chart of Accounts'!$C$5:$C$3000,MATCH(V63&amp;"",'Chart of Accounts'!$A$5:$A$3000,0))&amp;"|"&amp;INDEX('Chart of Accounts'!$D$5:$D$3000,MATCH(V63&amp;"",'Chart of Accounts'!$A$5:$A$3000,0)),"")</f>
        <v/>
      </c>
      <c r="AB63" s="23">
        <f>IFERROR(INDEX('Chart of Accounts'!$C$5:$C$3000,MATCH(Y63&amp;"",'Chart of Accounts'!$A$5:$A$3000,0))&amp;"|"&amp;INDEX('Chart of Accounts'!$D$5:$D$3000,MATCH(Y63&amp;"",'Chart of Accounts'!$A$5:$A$3000,0)),"")</f>
        <v/>
      </c>
      <c r="AC63" s="23">
        <f>IFERROR(INDEX('Chart of Accounts'!$C$5:$C$3000,MATCH(W63&amp;"",'Chart of Accounts'!$A$5:$A$3000,0))&amp;"|"&amp;INDEX('Chart of Accounts'!$D$5:$D$3000,MATCH(W63&amp;"",'Chart of Accounts'!$A$5:$A$3000,0)),"")</f>
        <v/>
      </c>
      <c r="AD63" s="23">
        <f>IFERROR(INDEX('Chart of Accounts'!$C$5:$C$3000,MATCH(X63&amp;"",'Chart of Accounts'!$A$5:$A$3000,0))&amp;"|"&amp;INDEX('Chart of Accounts'!$D$5:$D$3000,MATCH(X63&amp;"",'Chart of Accounts'!$A$5:$A$3000,0)),"")</f>
        <v/>
      </c>
      <c r="AE63" s="23">
        <f>IFERROR(INDEX('Chart of Accounts'!$C$5:$C$3000,MATCH(Z63&amp;"",'Chart of Accounts'!$A$5:$A$3000,0))&amp;"|"&amp;INDEX('Chart of Accounts'!$D$5:$D$3000,MATCH(Z63&amp;"",'Chart of Accounts'!$A$5:$A$3000,0)),"")</f>
        <v/>
      </c>
      <c r="AF63" s="23">
        <f>IF(LEFT(AA63,8)="Revenue|",-N(R63),0)+IF(LEFT(AB63,8)="Revenue|",-N(S63),0)+IF(LEFT(AC63,8)="Revenue|",N(L63),0)+IF(LEFT(AD63,8)="Revenue|",N(U63),0)+IF(LEFT(AE63,8)="Revenue|",N(T63),0)</f>
        <v/>
      </c>
      <c r="AG63" s="23">
        <f>IF(LEFT(AA63,5)="COGS|",N(R63),0)+IF(LEFT(AB63,5)="COGS|",N(S63),0)+IF(LEFT(AC63,5)="COGS|",-N(L63),0)+IF(LEFT(AD63,5)="COGS|",-N(U63),0)+IF(LEFT(AE63,5)="COGS|",-N(T63),0)</f>
        <v/>
      </c>
      <c r="AH63" s="23">
        <f>IF(LEFT(AA63,8)="Expense|",N(R63),0)+IF(LEFT(AB63,8)="Expense|",N(S63),0)+IF(LEFT(AC63,8)="Expense|",-N(L63),0)+IF(LEFT(AD63,8)="Expense|",-N(U63),0)+IF(LEFT(AE63,8)="Expense|",-N(T63),0)</f>
        <v/>
      </c>
      <c r="AI63" s="23">
        <f>IF(ISNUMBER(MATCH(AA63,{"Expense|employee","Expense|general_admin","Expense|marketing","Expense|utilities","Expense|other_operating"},0)),N(R63),0)+IF(ISNUMBER(MATCH(AB63,{"Expense|employee","Expense|general_admin","Expense|marketing","Expense|utilities","Expense|other_operating"},0)),N(S63),0)+IF(ISNUMBER(MATCH(AC63,{"Expense|employee","Expense|general_admin","Expense|marketing","Expense|utilities","Expense|other_operating"},0)),-N(L63),0)+IF(ISNUMBER(MATCH(AD63,{"Expense|employee","Expense|general_admin","Expense|marketing","Expense|utilities","Expense|other_operating"},0)),-N(U63),0)+IF(ISNUMBER(MATCH(AE63,{"Expense|employee","Expense|general_admin","Expense|marketing","Expense|utilities","Expense|other_operating"},0)),-N(T63),0)</f>
        <v/>
      </c>
      <c r="AJ63" s="23">
        <f>IF(AA63="Liability|payable",-N(R63),0)+IF(AB63="Liability|payable",-N(S63),0)+IF(AC63="Liability|payable",N(L63),0)+IF(AD63="Liability|payable",N(U63),0)+IF(AE63="Liability|payable",N(T63),0)</f>
        <v/>
      </c>
      <c r="AK63" s="23">
        <f>IF(AA63="Liability|accrued",-N(R63),0)+IF(AB63="Liability|accrued",-N(S63),0)+IF(AC63="Liability|accrued",N(L63),0)+IF(AD63="Liability|accrued",N(U63),0)+IF(AE63="Liability|accrued",N(T63),0)</f>
        <v/>
      </c>
      <c r="AL63" s="23">
        <f>IF(AND(N(R63)&lt;&gt;0,AA63=""),1,0)+IF(AND(N(S63)&lt;&gt;0,AB63=""),1,0)+IF(AND(N(L63)&lt;&gt;0,AC63=""),1,0)+IF(AND(N(U63)&lt;&gt;0,AD63=""),1,0)+IF(AND(N(T63)&lt;&gt;0,AE63=""),1,0)</f>
        <v/>
      </c>
    </row>
    <row r="64">
      <c r="A64" s="19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20" t="n"/>
      <c r="K64" s="20" t="n"/>
      <c r="L64" s="20" t="n"/>
      <c r="M64" s="14" t="n"/>
      <c r="N64" s="14" t="n"/>
      <c r="O64" s="14" t="n"/>
      <c r="P64" s="14" t="n"/>
      <c r="Q64" s="14" t="n"/>
      <c r="R64" s="21">
        <f>ROUND(N(H64)*N(J64)-N(K64),2)</f>
        <v/>
      </c>
      <c r="S64" s="21">
        <f>ROUND(R64*IFERROR(VLOOKUP(P64,'Tax Codes'!$A$5:$E$300,5,FALSE),0),2)</f>
        <v/>
      </c>
      <c r="T64" s="21">
        <f>ROUND(R64*IFERROR(VLOOKUP(Q64,'Tax Codes'!$A$5:$E$300,5,FALSE),0),2)</f>
        <v/>
      </c>
      <c r="U64" s="21">
        <f>R64+S64-T64-N(L64)</f>
        <v/>
      </c>
      <c r="V64" s="16">
        <f>IF(C64="",INDEX('Chart of Accounts'!$A$5:$A$3000,MATCH("materials",'Chart of Accounts'!$F$5:$F$3000,0)),C64&amp;"")</f>
        <v/>
      </c>
      <c r="W64" s="16">
        <f>IF(N64="",INDEX('Chart of Accounts'!$A$5:$A$3000,MATCH("bank",'Chart of Accounts'!$F$5:$F$3000,0)),N64&amp;"")</f>
        <v/>
      </c>
      <c r="X64" s="16">
        <f>IF(O64="",INDEX('Chart of Accounts'!$A$5:$A$3000,MATCH("ap",'Chart of Accounts'!$F$5:$F$3000,0)),O64&amp;"")</f>
        <v/>
      </c>
      <c r="Y64" s="16">
        <f>INDEX('Chart of Accounts'!$A$5:$A$3000,MATCH("vat_input",'Chart of Accounts'!$F$5:$F$3000,0))</f>
        <v/>
      </c>
      <c r="Z64" s="16">
        <f>INDEX('Chart of Accounts'!$A$5:$A$3000,MATCH("wht_payable",'Chart of Accounts'!$F$5:$F$3000,0))</f>
        <v/>
      </c>
      <c r="AA64" s="23">
        <f>IFERROR(INDEX('Chart of Accounts'!$C$5:$C$3000,MATCH(V64&amp;"",'Chart of Accounts'!$A$5:$A$3000,0))&amp;"|"&amp;INDEX('Chart of Accounts'!$D$5:$D$3000,MATCH(V64&amp;"",'Chart of Accounts'!$A$5:$A$3000,0)),"")</f>
        <v/>
      </c>
      <c r="AB64" s="23">
        <f>IFERROR(INDEX('Chart of Accounts'!$C$5:$C$3000,MATCH(Y64&amp;"",'Chart of Accounts'!$A$5:$A$3000,0))&amp;"|"&amp;INDEX('Chart of Accounts'!$D$5:$D$3000,MATCH(Y64&amp;"",'Chart of Accounts'!$A$5:$A$3000,0)),"")</f>
        <v/>
      </c>
      <c r="AC64" s="23">
        <f>IFERROR(INDEX('Chart of Accounts'!$C$5:$C$3000,MATCH(W64&amp;"",'Chart of Accounts'!$A$5:$A$3000,0))&amp;"|"&amp;INDEX('Chart of Accounts'!$D$5:$D$3000,MATCH(W64&amp;"",'Chart of Accounts'!$A$5:$A$3000,0)),"")</f>
        <v/>
      </c>
      <c r="AD64" s="23">
        <f>IFERROR(INDEX('Chart of Accounts'!$C$5:$C$3000,MATCH(X64&amp;"",'Chart of Accounts'!$A$5:$A$3000,0))&amp;"|"&amp;INDEX('Chart of Accounts'!$D$5:$D$3000,MATCH(X64&amp;"",'Chart of Accounts'!$A$5:$A$3000,0)),"")</f>
        <v/>
      </c>
      <c r="AE64" s="23">
        <f>IFERROR(INDEX('Chart of Accounts'!$C$5:$C$3000,MATCH(Z64&amp;"",'Chart of Accounts'!$A$5:$A$3000,0))&amp;"|"&amp;INDEX('Chart of Accounts'!$D$5:$D$3000,MATCH(Z64&amp;"",'Chart of Accounts'!$A$5:$A$3000,0)),"")</f>
        <v/>
      </c>
      <c r="AF64" s="23">
        <f>IF(LEFT(AA64,8)="Revenue|",-N(R64),0)+IF(LEFT(AB64,8)="Revenue|",-N(S64),0)+IF(LEFT(AC64,8)="Revenue|",N(L64),0)+IF(LEFT(AD64,8)="Revenue|",N(U64),0)+IF(LEFT(AE64,8)="Revenue|",N(T64),0)</f>
        <v/>
      </c>
      <c r="AG64" s="23">
        <f>IF(LEFT(AA64,5)="COGS|",N(R64),0)+IF(LEFT(AB64,5)="COGS|",N(S64),0)+IF(LEFT(AC64,5)="COGS|",-N(L64),0)+IF(LEFT(AD64,5)="COGS|",-N(U64),0)+IF(LEFT(AE64,5)="COGS|",-N(T64),0)</f>
        <v/>
      </c>
      <c r="AH64" s="23">
        <f>IF(LEFT(AA64,8)="Expense|",N(R64),0)+IF(LEFT(AB64,8)="Expense|",N(S64),0)+IF(LEFT(AC64,8)="Expense|",-N(L64),0)+IF(LEFT(AD64,8)="Expense|",-N(U64),0)+IF(LEFT(AE64,8)="Expense|",-N(T64),0)</f>
        <v/>
      </c>
      <c r="AI64" s="23">
        <f>IF(ISNUMBER(MATCH(AA64,{"Expense|employee","Expense|general_admin","Expense|marketing","Expense|utilities","Expense|other_operating"},0)),N(R64),0)+IF(ISNUMBER(MATCH(AB64,{"Expense|employee","Expense|general_admin","Expense|marketing","Expense|utilities","Expense|other_operating"},0)),N(S64),0)+IF(ISNUMBER(MATCH(AC64,{"Expense|employee","Expense|general_admin","Expense|marketing","Expense|utilities","Expense|other_operating"},0)),-N(L64),0)+IF(ISNUMBER(MATCH(AD64,{"Expense|employee","Expense|general_admin","Expense|marketing","Expense|utilities","Expense|other_operating"},0)),-N(U64),0)+IF(ISNUMBER(MATCH(AE64,{"Expense|employee","Expense|general_admin","Expense|marketing","Expense|utilities","Expense|other_operating"},0)),-N(T64),0)</f>
        <v/>
      </c>
      <c r="AJ64" s="23">
        <f>IF(AA64="Liability|payable",-N(R64),0)+IF(AB64="Liability|payable",-N(S64),0)+IF(AC64="Liability|payable",N(L64),0)+IF(AD64="Liability|payable",N(U64),0)+IF(AE64="Liability|payable",N(T64),0)</f>
        <v/>
      </c>
      <c r="AK64" s="23">
        <f>IF(AA64="Liability|accrued",-N(R64),0)+IF(AB64="Liability|accrued",-N(S64),0)+IF(AC64="Liability|accrued",N(L64),0)+IF(AD64="Liability|accrued",N(U64),0)+IF(AE64="Liability|accrued",N(T64),0)</f>
        <v/>
      </c>
      <c r="AL64" s="23">
        <f>IF(AND(N(R64)&lt;&gt;0,AA64=""),1,0)+IF(AND(N(S64)&lt;&gt;0,AB64=""),1,0)+IF(AND(N(L64)&lt;&gt;0,AC64=""),1,0)+IF(AND(N(U64)&lt;&gt;0,AD64=""),1,0)+IF(AND(N(T64)&lt;&gt;0,AE64=""),1,0)</f>
        <v/>
      </c>
    </row>
    <row r="65">
      <c r="A65" s="19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20" t="n"/>
      <c r="K65" s="20" t="n"/>
      <c r="L65" s="20" t="n"/>
      <c r="M65" s="14" t="n"/>
      <c r="N65" s="14" t="n"/>
      <c r="O65" s="14" t="n"/>
      <c r="P65" s="14" t="n"/>
      <c r="Q65" s="14" t="n"/>
      <c r="R65" s="21">
        <f>ROUND(N(H65)*N(J65)-N(K65),2)</f>
        <v/>
      </c>
      <c r="S65" s="21">
        <f>ROUND(R65*IFERROR(VLOOKUP(P65,'Tax Codes'!$A$5:$E$300,5,FALSE),0),2)</f>
        <v/>
      </c>
      <c r="T65" s="21">
        <f>ROUND(R65*IFERROR(VLOOKUP(Q65,'Tax Codes'!$A$5:$E$300,5,FALSE),0),2)</f>
        <v/>
      </c>
      <c r="U65" s="21">
        <f>R65+S65-T65-N(L65)</f>
        <v/>
      </c>
      <c r="V65" s="16">
        <f>IF(C65="",INDEX('Chart of Accounts'!$A$5:$A$3000,MATCH("materials",'Chart of Accounts'!$F$5:$F$3000,0)),C65&amp;"")</f>
        <v/>
      </c>
      <c r="W65" s="16">
        <f>IF(N65="",INDEX('Chart of Accounts'!$A$5:$A$3000,MATCH("bank",'Chart of Accounts'!$F$5:$F$3000,0)),N65&amp;"")</f>
        <v/>
      </c>
      <c r="X65" s="16">
        <f>IF(O65="",INDEX('Chart of Accounts'!$A$5:$A$3000,MATCH("ap",'Chart of Accounts'!$F$5:$F$3000,0)),O65&amp;"")</f>
        <v/>
      </c>
      <c r="Y65" s="16">
        <f>INDEX('Chart of Accounts'!$A$5:$A$3000,MATCH("vat_input",'Chart of Accounts'!$F$5:$F$3000,0))</f>
        <v/>
      </c>
      <c r="Z65" s="16">
        <f>INDEX('Chart of Accounts'!$A$5:$A$3000,MATCH("wht_payable",'Chart of Accounts'!$F$5:$F$3000,0))</f>
        <v/>
      </c>
      <c r="AA65" s="23">
        <f>IFERROR(INDEX('Chart of Accounts'!$C$5:$C$3000,MATCH(V65&amp;"",'Chart of Accounts'!$A$5:$A$3000,0))&amp;"|"&amp;INDEX('Chart of Accounts'!$D$5:$D$3000,MATCH(V65&amp;"",'Chart of Accounts'!$A$5:$A$3000,0)),"")</f>
        <v/>
      </c>
      <c r="AB65" s="23">
        <f>IFERROR(INDEX('Chart of Accounts'!$C$5:$C$3000,MATCH(Y65&amp;"",'Chart of Accounts'!$A$5:$A$3000,0))&amp;"|"&amp;INDEX('Chart of Accounts'!$D$5:$D$3000,MATCH(Y65&amp;"",'Chart of Accounts'!$A$5:$A$3000,0)),"")</f>
        <v/>
      </c>
      <c r="AC65" s="23">
        <f>IFERROR(INDEX('Chart of Accounts'!$C$5:$C$3000,MATCH(W65&amp;"",'Chart of Accounts'!$A$5:$A$3000,0))&amp;"|"&amp;INDEX('Chart of Accounts'!$D$5:$D$3000,MATCH(W65&amp;"",'Chart of Accounts'!$A$5:$A$3000,0)),"")</f>
        <v/>
      </c>
      <c r="AD65" s="23">
        <f>IFERROR(INDEX('Chart of Accounts'!$C$5:$C$3000,MATCH(X65&amp;"",'Chart of Accounts'!$A$5:$A$3000,0))&amp;"|"&amp;INDEX('Chart of Accounts'!$D$5:$D$3000,MATCH(X65&amp;"",'Chart of Accounts'!$A$5:$A$3000,0)),"")</f>
        <v/>
      </c>
      <c r="AE65" s="23">
        <f>IFERROR(INDEX('Chart of Accounts'!$C$5:$C$3000,MATCH(Z65&amp;"",'Chart of Accounts'!$A$5:$A$3000,0))&amp;"|"&amp;INDEX('Chart of Accounts'!$D$5:$D$3000,MATCH(Z65&amp;"",'Chart of Accounts'!$A$5:$A$3000,0)),"")</f>
        <v/>
      </c>
      <c r="AF65" s="23">
        <f>IF(LEFT(AA65,8)="Revenue|",-N(R65),0)+IF(LEFT(AB65,8)="Revenue|",-N(S65),0)+IF(LEFT(AC65,8)="Revenue|",N(L65),0)+IF(LEFT(AD65,8)="Revenue|",N(U65),0)+IF(LEFT(AE65,8)="Revenue|",N(T65),0)</f>
        <v/>
      </c>
      <c r="AG65" s="23">
        <f>IF(LEFT(AA65,5)="COGS|",N(R65),0)+IF(LEFT(AB65,5)="COGS|",N(S65),0)+IF(LEFT(AC65,5)="COGS|",-N(L65),0)+IF(LEFT(AD65,5)="COGS|",-N(U65),0)+IF(LEFT(AE65,5)="COGS|",-N(T65),0)</f>
        <v/>
      </c>
      <c r="AH65" s="23">
        <f>IF(LEFT(AA65,8)="Expense|",N(R65),0)+IF(LEFT(AB65,8)="Expense|",N(S65),0)+IF(LEFT(AC65,8)="Expense|",-N(L65),0)+IF(LEFT(AD65,8)="Expense|",-N(U65),0)+IF(LEFT(AE65,8)="Expense|",-N(T65),0)</f>
        <v/>
      </c>
      <c r="AI65" s="23">
        <f>IF(ISNUMBER(MATCH(AA65,{"Expense|employee","Expense|general_admin","Expense|marketing","Expense|utilities","Expense|other_operating"},0)),N(R65),0)+IF(ISNUMBER(MATCH(AB65,{"Expense|employee","Expense|general_admin","Expense|marketing","Expense|utilities","Expense|other_operating"},0)),N(S65),0)+IF(ISNUMBER(MATCH(AC65,{"Expense|employee","Expense|general_admin","Expense|marketing","Expense|utilities","Expense|other_operating"},0)),-N(L65),0)+IF(ISNUMBER(MATCH(AD65,{"Expense|employee","Expense|general_admin","Expense|marketing","Expense|utilities","Expense|other_operating"},0)),-N(U65),0)+IF(ISNUMBER(MATCH(AE65,{"Expense|employee","Expense|general_admin","Expense|marketing","Expense|utilities","Expense|other_operating"},0)),-N(T65),0)</f>
        <v/>
      </c>
      <c r="AJ65" s="23">
        <f>IF(AA65="Liability|payable",-N(R65),0)+IF(AB65="Liability|payable",-N(S65),0)+IF(AC65="Liability|payable",N(L65),0)+IF(AD65="Liability|payable",N(U65),0)+IF(AE65="Liability|payable",N(T65),0)</f>
        <v/>
      </c>
      <c r="AK65" s="23">
        <f>IF(AA65="Liability|accrued",-N(R65),0)+IF(AB65="Liability|accrued",-N(S65),0)+IF(AC65="Liability|accrued",N(L65),0)+IF(AD65="Liability|accrued",N(U65),0)+IF(AE65="Liability|accrued",N(T65),0)</f>
        <v/>
      </c>
      <c r="AL65" s="23">
        <f>IF(AND(N(R65)&lt;&gt;0,AA65=""),1,0)+IF(AND(N(S65)&lt;&gt;0,AB65=""),1,0)+IF(AND(N(L65)&lt;&gt;0,AC65=""),1,0)+IF(AND(N(U65)&lt;&gt;0,AD65=""),1,0)+IF(AND(N(T65)&lt;&gt;0,AE65=""),1,0)</f>
        <v/>
      </c>
    </row>
    <row r="66">
      <c r="A66" s="19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20" t="n"/>
      <c r="K66" s="20" t="n"/>
      <c r="L66" s="20" t="n"/>
      <c r="M66" s="14" t="n"/>
      <c r="N66" s="14" t="n"/>
      <c r="O66" s="14" t="n"/>
      <c r="P66" s="14" t="n"/>
      <c r="Q66" s="14" t="n"/>
      <c r="R66" s="21">
        <f>ROUND(N(H66)*N(J66)-N(K66),2)</f>
        <v/>
      </c>
      <c r="S66" s="21">
        <f>ROUND(R66*IFERROR(VLOOKUP(P66,'Tax Codes'!$A$5:$E$300,5,FALSE),0),2)</f>
        <v/>
      </c>
      <c r="T66" s="21">
        <f>ROUND(R66*IFERROR(VLOOKUP(Q66,'Tax Codes'!$A$5:$E$300,5,FALSE),0),2)</f>
        <v/>
      </c>
      <c r="U66" s="21">
        <f>R66+S66-T66-N(L66)</f>
        <v/>
      </c>
      <c r="V66" s="16">
        <f>IF(C66="",INDEX('Chart of Accounts'!$A$5:$A$3000,MATCH("materials",'Chart of Accounts'!$F$5:$F$3000,0)),C66&amp;"")</f>
        <v/>
      </c>
      <c r="W66" s="16">
        <f>IF(N66="",INDEX('Chart of Accounts'!$A$5:$A$3000,MATCH("bank",'Chart of Accounts'!$F$5:$F$3000,0)),N66&amp;"")</f>
        <v/>
      </c>
      <c r="X66" s="16">
        <f>IF(O66="",INDEX('Chart of Accounts'!$A$5:$A$3000,MATCH("ap",'Chart of Accounts'!$F$5:$F$3000,0)),O66&amp;"")</f>
        <v/>
      </c>
      <c r="Y66" s="16">
        <f>INDEX('Chart of Accounts'!$A$5:$A$3000,MATCH("vat_input",'Chart of Accounts'!$F$5:$F$3000,0))</f>
        <v/>
      </c>
      <c r="Z66" s="16">
        <f>INDEX('Chart of Accounts'!$A$5:$A$3000,MATCH("wht_payable",'Chart of Accounts'!$F$5:$F$3000,0))</f>
        <v/>
      </c>
      <c r="AA66" s="23">
        <f>IFERROR(INDEX('Chart of Accounts'!$C$5:$C$3000,MATCH(V66&amp;"",'Chart of Accounts'!$A$5:$A$3000,0))&amp;"|"&amp;INDEX('Chart of Accounts'!$D$5:$D$3000,MATCH(V66&amp;"",'Chart of Accounts'!$A$5:$A$3000,0)),"")</f>
        <v/>
      </c>
      <c r="AB66" s="23">
        <f>IFERROR(INDEX('Chart of Accounts'!$C$5:$C$3000,MATCH(Y66&amp;"",'Chart of Accounts'!$A$5:$A$3000,0))&amp;"|"&amp;INDEX('Chart of Accounts'!$D$5:$D$3000,MATCH(Y66&amp;"",'Chart of Accounts'!$A$5:$A$3000,0)),"")</f>
        <v/>
      </c>
      <c r="AC66" s="23">
        <f>IFERROR(INDEX('Chart of Accounts'!$C$5:$C$3000,MATCH(W66&amp;"",'Chart of Accounts'!$A$5:$A$3000,0))&amp;"|"&amp;INDEX('Chart of Accounts'!$D$5:$D$3000,MATCH(W66&amp;"",'Chart of Accounts'!$A$5:$A$3000,0)),"")</f>
        <v/>
      </c>
      <c r="AD66" s="23">
        <f>IFERROR(INDEX('Chart of Accounts'!$C$5:$C$3000,MATCH(X66&amp;"",'Chart of Accounts'!$A$5:$A$3000,0))&amp;"|"&amp;INDEX('Chart of Accounts'!$D$5:$D$3000,MATCH(X66&amp;"",'Chart of Accounts'!$A$5:$A$3000,0)),"")</f>
        <v/>
      </c>
      <c r="AE66" s="23">
        <f>IFERROR(INDEX('Chart of Accounts'!$C$5:$C$3000,MATCH(Z66&amp;"",'Chart of Accounts'!$A$5:$A$3000,0))&amp;"|"&amp;INDEX('Chart of Accounts'!$D$5:$D$3000,MATCH(Z66&amp;"",'Chart of Accounts'!$A$5:$A$3000,0)),"")</f>
        <v/>
      </c>
      <c r="AF66" s="23">
        <f>IF(LEFT(AA66,8)="Revenue|",-N(R66),0)+IF(LEFT(AB66,8)="Revenue|",-N(S66),0)+IF(LEFT(AC66,8)="Revenue|",N(L66),0)+IF(LEFT(AD66,8)="Revenue|",N(U66),0)+IF(LEFT(AE66,8)="Revenue|",N(T66),0)</f>
        <v/>
      </c>
      <c r="AG66" s="23">
        <f>IF(LEFT(AA66,5)="COGS|",N(R66),0)+IF(LEFT(AB66,5)="COGS|",N(S66),0)+IF(LEFT(AC66,5)="COGS|",-N(L66),0)+IF(LEFT(AD66,5)="COGS|",-N(U66),0)+IF(LEFT(AE66,5)="COGS|",-N(T66),0)</f>
        <v/>
      </c>
      <c r="AH66" s="23">
        <f>IF(LEFT(AA66,8)="Expense|",N(R66),0)+IF(LEFT(AB66,8)="Expense|",N(S66),0)+IF(LEFT(AC66,8)="Expense|",-N(L66),0)+IF(LEFT(AD66,8)="Expense|",-N(U66),0)+IF(LEFT(AE66,8)="Expense|",-N(T66),0)</f>
        <v/>
      </c>
      <c r="AI66" s="23">
        <f>IF(ISNUMBER(MATCH(AA66,{"Expense|employee","Expense|general_admin","Expense|marketing","Expense|utilities","Expense|other_operating"},0)),N(R66),0)+IF(ISNUMBER(MATCH(AB66,{"Expense|employee","Expense|general_admin","Expense|marketing","Expense|utilities","Expense|other_operating"},0)),N(S66),0)+IF(ISNUMBER(MATCH(AC66,{"Expense|employee","Expense|general_admin","Expense|marketing","Expense|utilities","Expense|other_operating"},0)),-N(L66),0)+IF(ISNUMBER(MATCH(AD66,{"Expense|employee","Expense|general_admin","Expense|marketing","Expense|utilities","Expense|other_operating"},0)),-N(U66),0)+IF(ISNUMBER(MATCH(AE66,{"Expense|employee","Expense|general_admin","Expense|marketing","Expense|utilities","Expense|other_operating"},0)),-N(T66),0)</f>
        <v/>
      </c>
      <c r="AJ66" s="23">
        <f>IF(AA66="Liability|payable",-N(R66),0)+IF(AB66="Liability|payable",-N(S66),0)+IF(AC66="Liability|payable",N(L66),0)+IF(AD66="Liability|payable",N(U66),0)+IF(AE66="Liability|payable",N(T66),0)</f>
        <v/>
      </c>
      <c r="AK66" s="23">
        <f>IF(AA66="Liability|accrued",-N(R66),0)+IF(AB66="Liability|accrued",-N(S66),0)+IF(AC66="Liability|accrued",N(L66),0)+IF(AD66="Liability|accrued",N(U66),0)+IF(AE66="Liability|accrued",N(T66),0)</f>
        <v/>
      </c>
      <c r="AL66" s="23">
        <f>IF(AND(N(R66)&lt;&gt;0,AA66=""),1,0)+IF(AND(N(S66)&lt;&gt;0,AB66=""),1,0)+IF(AND(N(L66)&lt;&gt;0,AC66=""),1,0)+IF(AND(N(U66)&lt;&gt;0,AD66=""),1,0)+IF(AND(N(T66)&lt;&gt;0,AE66=""),1,0)</f>
        <v/>
      </c>
    </row>
    <row r="67">
      <c r="A67" s="19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20" t="n"/>
      <c r="K67" s="20" t="n"/>
      <c r="L67" s="20" t="n"/>
      <c r="M67" s="14" t="n"/>
      <c r="N67" s="14" t="n"/>
      <c r="O67" s="14" t="n"/>
      <c r="P67" s="14" t="n"/>
      <c r="Q67" s="14" t="n"/>
      <c r="R67" s="21">
        <f>ROUND(N(H67)*N(J67)-N(K67),2)</f>
        <v/>
      </c>
      <c r="S67" s="21">
        <f>ROUND(R67*IFERROR(VLOOKUP(P67,'Tax Codes'!$A$5:$E$300,5,FALSE),0),2)</f>
        <v/>
      </c>
      <c r="T67" s="21">
        <f>ROUND(R67*IFERROR(VLOOKUP(Q67,'Tax Codes'!$A$5:$E$300,5,FALSE),0),2)</f>
        <v/>
      </c>
      <c r="U67" s="21">
        <f>R67+S67-T67-N(L67)</f>
        <v/>
      </c>
      <c r="V67" s="16">
        <f>IF(C67="",INDEX('Chart of Accounts'!$A$5:$A$3000,MATCH("materials",'Chart of Accounts'!$F$5:$F$3000,0)),C67&amp;"")</f>
        <v/>
      </c>
      <c r="W67" s="16">
        <f>IF(N67="",INDEX('Chart of Accounts'!$A$5:$A$3000,MATCH("bank",'Chart of Accounts'!$F$5:$F$3000,0)),N67&amp;"")</f>
        <v/>
      </c>
      <c r="X67" s="16">
        <f>IF(O67="",INDEX('Chart of Accounts'!$A$5:$A$3000,MATCH("ap",'Chart of Accounts'!$F$5:$F$3000,0)),O67&amp;"")</f>
        <v/>
      </c>
      <c r="Y67" s="16">
        <f>INDEX('Chart of Accounts'!$A$5:$A$3000,MATCH("vat_input",'Chart of Accounts'!$F$5:$F$3000,0))</f>
        <v/>
      </c>
      <c r="Z67" s="16">
        <f>INDEX('Chart of Accounts'!$A$5:$A$3000,MATCH("wht_payable",'Chart of Accounts'!$F$5:$F$3000,0))</f>
        <v/>
      </c>
      <c r="AA67" s="23">
        <f>IFERROR(INDEX('Chart of Accounts'!$C$5:$C$3000,MATCH(V67&amp;"",'Chart of Accounts'!$A$5:$A$3000,0))&amp;"|"&amp;INDEX('Chart of Accounts'!$D$5:$D$3000,MATCH(V67&amp;"",'Chart of Accounts'!$A$5:$A$3000,0)),"")</f>
        <v/>
      </c>
      <c r="AB67" s="23">
        <f>IFERROR(INDEX('Chart of Accounts'!$C$5:$C$3000,MATCH(Y67&amp;"",'Chart of Accounts'!$A$5:$A$3000,0))&amp;"|"&amp;INDEX('Chart of Accounts'!$D$5:$D$3000,MATCH(Y67&amp;"",'Chart of Accounts'!$A$5:$A$3000,0)),"")</f>
        <v/>
      </c>
      <c r="AC67" s="23">
        <f>IFERROR(INDEX('Chart of Accounts'!$C$5:$C$3000,MATCH(W67&amp;"",'Chart of Accounts'!$A$5:$A$3000,0))&amp;"|"&amp;INDEX('Chart of Accounts'!$D$5:$D$3000,MATCH(W67&amp;"",'Chart of Accounts'!$A$5:$A$3000,0)),"")</f>
        <v/>
      </c>
      <c r="AD67" s="23">
        <f>IFERROR(INDEX('Chart of Accounts'!$C$5:$C$3000,MATCH(X67&amp;"",'Chart of Accounts'!$A$5:$A$3000,0))&amp;"|"&amp;INDEX('Chart of Accounts'!$D$5:$D$3000,MATCH(X67&amp;"",'Chart of Accounts'!$A$5:$A$3000,0)),"")</f>
        <v/>
      </c>
      <c r="AE67" s="23">
        <f>IFERROR(INDEX('Chart of Accounts'!$C$5:$C$3000,MATCH(Z67&amp;"",'Chart of Accounts'!$A$5:$A$3000,0))&amp;"|"&amp;INDEX('Chart of Accounts'!$D$5:$D$3000,MATCH(Z67&amp;"",'Chart of Accounts'!$A$5:$A$3000,0)),"")</f>
        <v/>
      </c>
      <c r="AF67" s="23">
        <f>IF(LEFT(AA67,8)="Revenue|",-N(R67),0)+IF(LEFT(AB67,8)="Revenue|",-N(S67),0)+IF(LEFT(AC67,8)="Revenue|",N(L67),0)+IF(LEFT(AD67,8)="Revenue|",N(U67),0)+IF(LEFT(AE67,8)="Revenue|",N(T67),0)</f>
        <v/>
      </c>
      <c r="AG67" s="23">
        <f>IF(LEFT(AA67,5)="COGS|",N(R67),0)+IF(LEFT(AB67,5)="COGS|",N(S67),0)+IF(LEFT(AC67,5)="COGS|",-N(L67),0)+IF(LEFT(AD67,5)="COGS|",-N(U67),0)+IF(LEFT(AE67,5)="COGS|",-N(T67),0)</f>
        <v/>
      </c>
      <c r="AH67" s="23">
        <f>IF(LEFT(AA67,8)="Expense|",N(R67),0)+IF(LEFT(AB67,8)="Expense|",N(S67),0)+IF(LEFT(AC67,8)="Expense|",-N(L67),0)+IF(LEFT(AD67,8)="Expense|",-N(U67),0)+IF(LEFT(AE67,8)="Expense|",-N(T67),0)</f>
        <v/>
      </c>
      <c r="AI67" s="23">
        <f>IF(ISNUMBER(MATCH(AA67,{"Expense|employee","Expense|general_admin","Expense|marketing","Expense|utilities","Expense|other_operating"},0)),N(R67),0)+IF(ISNUMBER(MATCH(AB67,{"Expense|employee","Expense|general_admin","Expense|marketing","Expense|utilities","Expense|other_operating"},0)),N(S67),0)+IF(ISNUMBER(MATCH(AC67,{"Expense|employee","Expense|general_admin","Expense|marketing","Expense|utilities","Expense|other_operating"},0)),-N(L67),0)+IF(ISNUMBER(MATCH(AD67,{"Expense|employee","Expense|general_admin","Expense|marketing","Expense|utilities","Expense|other_operating"},0)),-N(U67),0)+IF(ISNUMBER(MATCH(AE67,{"Expense|employee","Expense|general_admin","Expense|marketing","Expense|utilities","Expense|other_operating"},0)),-N(T67),0)</f>
        <v/>
      </c>
      <c r="AJ67" s="23">
        <f>IF(AA67="Liability|payable",-N(R67),0)+IF(AB67="Liability|payable",-N(S67),0)+IF(AC67="Liability|payable",N(L67),0)+IF(AD67="Liability|payable",N(U67),0)+IF(AE67="Liability|payable",N(T67),0)</f>
        <v/>
      </c>
      <c r="AK67" s="23">
        <f>IF(AA67="Liability|accrued",-N(R67),0)+IF(AB67="Liability|accrued",-N(S67),0)+IF(AC67="Liability|accrued",N(L67),0)+IF(AD67="Liability|accrued",N(U67),0)+IF(AE67="Liability|accrued",N(T67),0)</f>
        <v/>
      </c>
      <c r="AL67" s="23">
        <f>IF(AND(N(R67)&lt;&gt;0,AA67=""),1,0)+IF(AND(N(S67)&lt;&gt;0,AB67=""),1,0)+IF(AND(N(L67)&lt;&gt;0,AC67=""),1,0)+IF(AND(N(U67)&lt;&gt;0,AD67=""),1,0)+IF(AND(N(T67)&lt;&gt;0,AE67=""),1,0)</f>
        <v/>
      </c>
    </row>
    <row r="68">
      <c r="A68" s="19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20" t="n"/>
      <c r="K68" s="20" t="n"/>
      <c r="L68" s="20" t="n"/>
      <c r="M68" s="14" t="n"/>
      <c r="N68" s="14" t="n"/>
      <c r="O68" s="14" t="n"/>
      <c r="P68" s="14" t="n"/>
      <c r="Q68" s="14" t="n"/>
      <c r="R68" s="21">
        <f>ROUND(N(H68)*N(J68)-N(K68),2)</f>
        <v/>
      </c>
      <c r="S68" s="21">
        <f>ROUND(R68*IFERROR(VLOOKUP(P68,'Tax Codes'!$A$5:$E$300,5,FALSE),0),2)</f>
        <v/>
      </c>
      <c r="T68" s="21">
        <f>ROUND(R68*IFERROR(VLOOKUP(Q68,'Tax Codes'!$A$5:$E$300,5,FALSE),0),2)</f>
        <v/>
      </c>
      <c r="U68" s="21">
        <f>R68+S68-T68-N(L68)</f>
        <v/>
      </c>
      <c r="V68" s="16">
        <f>IF(C68="",INDEX('Chart of Accounts'!$A$5:$A$3000,MATCH("materials",'Chart of Accounts'!$F$5:$F$3000,0)),C68&amp;"")</f>
        <v/>
      </c>
      <c r="W68" s="16">
        <f>IF(N68="",INDEX('Chart of Accounts'!$A$5:$A$3000,MATCH("bank",'Chart of Accounts'!$F$5:$F$3000,0)),N68&amp;"")</f>
        <v/>
      </c>
      <c r="X68" s="16">
        <f>IF(O68="",INDEX('Chart of Accounts'!$A$5:$A$3000,MATCH("ap",'Chart of Accounts'!$F$5:$F$3000,0)),O68&amp;"")</f>
        <v/>
      </c>
      <c r="Y68" s="16">
        <f>INDEX('Chart of Accounts'!$A$5:$A$3000,MATCH("vat_input",'Chart of Accounts'!$F$5:$F$3000,0))</f>
        <v/>
      </c>
      <c r="Z68" s="16">
        <f>INDEX('Chart of Accounts'!$A$5:$A$3000,MATCH("wht_payable",'Chart of Accounts'!$F$5:$F$3000,0))</f>
        <v/>
      </c>
      <c r="AA68" s="23">
        <f>IFERROR(INDEX('Chart of Accounts'!$C$5:$C$3000,MATCH(V68&amp;"",'Chart of Accounts'!$A$5:$A$3000,0))&amp;"|"&amp;INDEX('Chart of Accounts'!$D$5:$D$3000,MATCH(V68&amp;"",'Chart of Accounts'!$A$5:$A$3000,0)),"")</f>
        <v/>
      </c>
      <c r="AB68" s="23">
        <f>IFERROR(INDEX('Chart of Accounts'!$C$5:$C$3000,MATCH(Y68&amp;"",'Chart of Accounts'!$A$5:$A$3000,0))&amp;"|"&amp;INDEX('Chart of Accounts'!$D$5:$D$3000,MATCH(Y68&amp;"",'Chart of Accounts'!$A$5:$A$3000,0)),"")</f>
        <v/>
      </c>
      <c r="AC68" s="23">
        <f>IFERROR(INDEX('Chart of Accounts'!$C$5:$C$3000,MATCH(W68&amp;"",'Chart of Accounts'!$A$5:$A$3000,0))&amp;"|"&amp;INDEX('Chart of Accounts'!$D$5:$D$3000,MATCH(W68&amp;"",'Chart of Accounts'!$A$5:$A$3000,0)),"")</f>
        <v/>
      </c>
      <c r="AD68" s="23">
        <f>IFERROR(INDEX('Chart of Accounts'!$C$5:$C$3000,MATCH(X68&amp;"",'Chart of Accounts'!$A$5:$A$3000,0))&amp;"|"&amp;INDEX('Chart of Accounts'!$D$5:$D$3000,MATCH(X68&amp;"",'Chart of Accounts'!$A$5:$A$3000,0)),"")</f>
        <v/>
      </c>
      <c r="AE68" s="23">
        <f>IFERROR(INDEX('Chart of Accounts'!$C$5:$C$3000,MATCH(Z68&amp;"",'Chart of Accounts'!$A$5:$A$3000,0))&amp;"|"&amp;INDEX('Chart of Accounts'!$D$5:$D$3000,MATCH(Z68&amp;"",'Chart of Accounts'!$A$5:$A$3000,0)),"")</f>
        <v/>
      </c>
      <c r="AF68" s="23">
        <f>IF(LEFT(AA68,8)="Revenue|",-N(R68),0)+IF(LEFT(AB68,8)="Revenue|",-N(S68),0)+IF(LEFT(AC68,8)="Revenue|",N(L68),0)+IF(LEFT(AD68,8)="Revenue|",N(U68),0)+IF(LEFT(AE68,8)="Revenue|",N(T68),0)</f>
        <v/>
      </c>
      <c r="AG68" s="23">
        <f>IF(LEFT(AA68,5)="COGS|",N(R68),0)+IF(LEFT(AB68,5)="COGS|",N(S68),0)+IF(LEFT(AC68,5)="COGS|",-N(L68),0)+IF(LEFT(AD68,5)="COGS|",-N(U68),0)+IF(LEFT(AE68,5)="COGS|",-N(T68),0)</f>
        <v/>
      </c>
      <c r="AH68" s="23">
        <f>IF(LEFT(AA68,8)="Expense|",N(R68),0)+IF(LEFT(AB68,8)="Expense|",N(S68),0)+IF(LEFT(AC68,8)="Expense|",-N(L68),0)+IF(LEFT(AD68,8)="Expense|",-N(U68),0)+IF(LEFT(AE68,8)="Expense|",-N(T68),0)</f>
        <v/>
      </c>
      <c r="AI68" s="23">
        <f>IF(ISNUMBER(MATCH(AA68,{"Expense|employee","Expense|general_admin","Expense|marketing","Expense|utilities","Expense|other_operating"},0)),N(R68),0)+IF(ISNUMBER(MATCH(AB68,{"Expense|employee","Expense|general_admin","Expense|marketing","Expense|utilities","Expense|other_operating"},0)),N(S68),0)+IF(ISNUMBER(MATCH(AC68,{"Expense|employee","Expense|general_admin","Expense|marketing","Expense|utilities","Expense|other_operating"},0)),-N(L68),0)+IF(ISNUMBER(MATCH(AD68,{"Expense|employee","Expense|general_admin","Expense|marketing","Expense|utilities","Expense|other_operating"},0)),-N(U68),0)+IF(ISNUMBER(MATCH(AE68,{"Expense|employee","Expense|general_admin","Expense|marketing","Expense|utilities","Expense|other_operating"},0)),-N(T68),0)</f>
        <v/>
      </c>
      <c r="AJ68" s="23">
        <f>IF(AA68="Liability|payable",-N(R68),0)+IF(AB68="Liability|payable",-N(S68),0)+IF(AC68="Liability|payable",N(L68),0)+IF(AD68="Liability|payable",N(U68),0)+IF(AE68="Liability|payable",N(T68),0)</f>
        <v/>
      </c>
      <c r="AK68" s="23">
        <f>IF(AA68="Liability|accrued",-N(R68),0)+IF(AB68="Liability|accrued",-N(S68),0)+IF(AC68="Liability|accrued",N(L68),0)+IF(AD68="Liability|accrued",N(U68),0)+IF(AE68="Liability|accrued",N(T68),0)</f>
        <v/>
      </c>
      <c r="AL68" s="23">
        <f>IF(AND(N(R68)&lt;&gt;0,AA68=""),1,0)+IF(AND(N(S68)&lt;&gt;0,AB68=""),1,0)+IF(AND(N(L68)&lt;&gt;0,AC68=""),1,0)+IF(AND(N(U68)&lt;&gt;0,AD68=""),1,0)+IF(AND(N(T68)&lt;&gt;0,AE68=""),1,0)</f>
        <v/>
      </c>
    </row>
    <row r="69">
      <c r="A69" s="19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20" t="n"/>
      <c r="K69" s="20" t="n"/>
      <c r="L69" s="20" t="n"/>
      <c r="M69" s="14" t="n"/>
      <c r="N69" s="14" t="n"/>
      <c r="O69" s="14" t="n"/>
      <c r="P69" s="14" t="n"/>
      <c r="Q69" s="14" t="n"/>
      <c r="R69" s="21">
        <f>ROUND(N(H69)*N(J69)-N(K69),2)</f>
        <v/>
      </c>
      <c r="S69" s="21">
        <f>ROUND(R69*IFERROR(VLOOKUP(P69,'Tax Codes'!$A$5:$E$300,5,FALSE),0),2)</f>
        <v/>
      </c>
      <c r="T69" s="21">
        <f>ROUND(R69*IFERROR(VLOOKUP(Q69,'Tax Codes'!$A$5:$E$300,5,FALSE),0),2)</f>
        <v/>
      </c>
      <c r="U69" s="21">
        <f>R69+S69-T69-N(L69)</f>
        <v/>
      </c>
      <c r="V69" s="16">
        <f>IF(C69="",INDEX('Chart of Accounts'!$A$5:$A$3000,MATCH("materials",'Chart of Accounts'!$F$5:$F$3000,0)),C69&amp;"")</f>
        <v/>
      </c>
      <c r="W69" s="16">
        <f>IF(N69="",INDEX('Chart of Accounts'!$A$5:$A$3000,MATCH("bank",'Chart of Accounts'!$F$5:$F$3000,0)),N69&amp;"")</f>
        <v/>
      </c>
      <c r="X69" s="16">
        <f>IF(O69="",INDEX('Chart of Accounts'!$A$5:$A$3000,MATCH("ap",'Chart of Accounts'!$F$5:$F$3000,0)),O69&amp;"")</f>
        <v/>
      </c>
      <c r="Y69" s="16">
        <f>INDEX('Chart of Accounts'!$A$5:$A$3000,MATCH("vat_input",'Chart of Accounts'!$F$5:$F$3000,0))</f>
        <v/>
      </c>
      <c r="Z69" s="16">
        <f>INDEX('Chart of Accounts'!$A$5:$A$3000,MATCH("wht_payable",'Chart of Accounts'!$F$5:$F$3000,0))</f>
        <v/>
      </c>
      <c r="AA69" s="23">
        <f>IFERROR(INDEX('Chart of Accounts'!$C$5:$C$3000,MATCH(V69&amp;"",'Chart of Accounts'!$A$5:$A$3000,0))&amp;"|"&amp;INDEX('Chart of Accounts'!$D$5:$D$3000,MATCH(V69&amp;"",'Chart of Accounts'!$A$5:$A$3000,0)),"")</f>
        <v/>
      </c>
      <c r="AB69" s="23">
        <f>IFERROR(INDEX('Chart of Accounts'!$C$5:$C$3000,MATCH(Y69&amp;"",'Chart of Accounts'!$A$5:$A$3000,0))&amp;"|"&amp;INDEX('Chart of Accounts'!$D$5:$D$3000,MATCH(Y69&amp;"",'Chart of Accounts'!$A$5:$A$3000,0)),"")</f>
        <v/>
      </c>
      <c r="AC69" s="23">
        <f>IFERROR(INDEX('Chart of Accounts'!$C$5:$C$3000,MATCH(W69&amp;"",'Chart of Accounts'!$A$5:$A$3000,0))&amp;"|"&amp;INDEX('Chart of Accounts'!$D$5:$D$3000,MATCH(W69&amp;"",'Chart of Accounts'!$A$5:$A$3000,0)),"")</f>
        <v/>
      </c>
      <c r="AD69" s="23">
        <f>IFERROR(INDEX('Chart of Accounts'!$C$5:$C$3000,MATCH(X69&amp;"",'Chart of Accounts'!$A$5:$A$3000,0))&amp;"|"&amp;INDEX('Chart of Accounts'!$D$5:$D$3000,MATCH(X69&amp;"",'Chart of Accounts'!$A$5:$A$3000,0)),"")</f>
        <v/>
      </c>
      <c r="AE69" s="23">
        <f>IFERROR(INDEX('Chart of Accounts'!$C$5:$C$3000,MATCH(Z69&amp;"",'Chart of Accounts'!$A$5:$A$3000,0))&amp;"|"&amp;INDEX('Chart of Accounts'!$D$5:$D$3000,MATCH(Z69&amp;"",'Chart of Accounts'!$A$5:$A$3000,0)),"")</f>
        <v/>
      </c>
      <c r="AF69" s="23">
        <f>IF(LEFT(AA69,8)="Revenue|",-N(R69),0)+IF(LEFT(AB69,8)="Revenue|",-N(S69),0)+IF(LEFT(AC69,8)="Revenue|",N(L69),0)+IF(LEFT(AD69,8)="Revenue|",N(U69),0)+IF(LEFT(AE69,8)="Revenue|",N(T69),0)</f>
        <v/>
      </c>
      <c r="AG69" s="23">
        <f>IF(LEFT(AA69,5)="COGS|",N(R69),0)+IF(LEFT(AB69,5)="COGS|",N(S69),0)+IF(LEFT(AC69,5)="COGS|",-N(L69),0)+IF(LEFT(AD69,5)="COGS|",-N(U69),0)+IF(LEFT(AE69,5)="COGS|",-N(T69),0)</f>
        <v/>
      </c>
      <c r="AH69" s="23">
        <f>IF(LEFT(AA69,8)="Expense|",N(R69),0)+IF(LEFT(AB69,8)="Expense|",N(S69),0)+IF(LEFT(AC69,8)="Expense|",-N(L69),0)+IF(LEFT(AD69,8)="Expense|",-N(U69),0)+IF(LEFT(AE69,8)="Expense|",-N(T69),0)</f>
        <v/>
      </c>
      <c r="AI69" s="23">
        <f>IF(ISNUMBER(MATCH(AA69,{"Expense|employee","Expense|general_admin","Expense|marketing","Expense|utilities","Expense|other_operating"},0)),N(R69),0)+IF(ISNUMBER(MATCH(AB69,{"Expense|employee","Expense|general_admin","Expense|marketing","Expense|utilities","Expense|other_operating"},0)),N(S69),0)+IF(ISNUMBER(MATCH(AC69,{"Expense|employee","Expense|general_admin","Expense|marketing","Expense|utilities","Expense|other_operating"},0)),-N(L69),0)+IF(ISNUMBER(MATCH(AD69,{"Expense|employee","Expense|general_admin","Expense|marketing","Expense|utilities","Expense|other_operating"},0)),-N(U69),0)+IF(ISNUMBER(MATCH(AE69,{"Expense|employee","Expense|general_admin","Expense|marketing","Expense|utilities","Expense|other_operating"},0)),-N(T69),0)</f>
        <v/>
      </c>
      <c r="AJ69" s="23">
        <f>IF(AA69="Liability|payable",-N(R69),0)+IF(AB69="Liability|payable",-N(S69),0)+IF(AC69="Liability|payable",N(L69),0)+IF(AD69="Liability|payable",N(U69),0)+IF(AE69="Liability|payable",N(T69),0)</f>
        <v/>
      </c>
      <c r="AK69" s="23">
        <f>IF(AA69="Liability|accrued",-N(R69),0)+IF(AB69="Liability|accrued",-N(S69),0)+IF(AC69="Liability|accrued",N(L69),0)+IF(AD69="Liability|accrued",N(U69),0)+IF(AE69="Liability|accrued",N(T69),0)</f>
        <v/>
      </c>
      <c r="AL69" s="23">
        <f>IF(AND(N(R69)&lt;&gt;0,AA69=""),1,0)+IF(AND(N(S69)&lt;&gt;0,AB69=""),1,0)+IF(AND(N(L69)&lt;&gt;0,AC69=""),1,0)+IF(AND(N(U69)&lt;&gt;0,AD69=""),1,0)+IF(AND(N(T69)&lt;&gt;0,AE69=""),1,0)</f>
        <v/>
      </c>
    </row>
    <row r="70">
      <c r="A70" s="19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20" t="n"/>
      <c r="K70" s="20" t="n"/>
      <c r="L70" s="20" t="n"/>
      <c r="M70" s="14" t="n"/>
      <c r="N70" s="14" t="n"/>
      <c r="O70" s="14" t="n"/>
      <c r="P70" s="14" t="n"/>
      <c r="Q70" s="14" t="n"/>
      <c r="R70" s="21">
        <f>ROUND(N(H70)*N(J70)-N(K70),2)</f>
        <v/>
      </c>
      <c r="S70" s="21">
        <f>ROUND(R70*IFERROR(VLOOKUP(P70,'Tax Codes'!$A$5:$E$300,5,FALSE),0),2)</f>
        <v/>
      </c>
      <c r="T70" s="21">
        <f>ROUND(R70*IFERROR(VLOOKUP(Q70,'Tax Codes'!$A$5:$E$300,5,FALSE),0),2)</f>
        <v/>
      </c>
      <c r="U70" s="21">
        <f>R70+S70-T70-N(L70)</f>
        <v/>
      </c>
      <c r="V70" s="16">
        <f>IF(C70="",INDEX('Chart of Accounts'!$A$5:$A$3000,MATCH("materials",'Chart of Accounts'!$F$5:$F$3000,0)),C70&amp;"")</f>
        <v/>
      </c>
      <c r="W70" s="16">
        <f>IF(N70="",INDEX('Chart of Accounts'!$A$5:$A$3000,MATCH("bank",'Chart of Accounts'!$F$5:$F$3000,0)),N70&amp;"")</f>
        <v/>
      </c>
      <c r="X70" s="16">
        <f>IF(O70="",INDEX('Chart of Accounts'!$A$5:$A$3000,MATCH("ap",'Chart of Accounts'!$F$5:$F$3000,0)),O70&amp;"")</f>
        <v/>
      </c>
      <c r="Y70" s="16">
        <f>INDEX('Chart of Accounts'!$A$5:$A$3000,MATCH("vat_input",'Chart of Accounts'!$F$5:$F$3000,0))</f>
        <v/>
      </c>
      <c r="Z70" s="16">
        <f>INDEX('Chart of Accounts'!$A$5:$A$3000,MATCH("wht_payable",'Chart of Accounts'!$F$5:$F$3000,0))</f>
        <v/>
      </c>
      <c r="AA70" s="23">
        <f>IFERROR(INDEX('Chart of Accounts'!$C$5:$C$3000,MATCH(V70&amp;"",'Chart of Accounts'!$A$5:$A$3000,0))&amp;"|"&amp;INDEX('Chart of Accounts'!$D$5:$D$3000,MATCH(V70&amp;"",'Chart of Accounts'!$A$5:$A$3000,0)),"")</f>
        <v/>
      </c>
      <c r="AB70" s="23">
        <f>IFERROR(INDEX('Chart of Accounts'!$C$5:$C$3000,MATCH(Y70&amp;"",'Chart of Accounts'!$A$5:$A$3000,0))&amp;"|"&amp;INDEX('Chart of Accounts'!$D$5:$D$3000,MATCH(Y70&amp;"",'Chart of Accounts'!$A$5:$A$3000,0)),"")</f>
        <v/>
      </c>
      <c r="AC70" s="23">
        <f>IFERROR(INDEX('Chart of Accounts'!$C$5:$C$3000,MATCH(W70&amp;"",'Chart of Accounts'!$A$5:$A$3000,0))&amp;"|"&amp;INDEX('Chart of Accounts'!$D$5:$D$3000,MATCH(W70&amp;"",'Chart of Accounts'!$A$5:$A$3000,0)),"")</f>
        <v/>
      </c>
      <c r="AD70" s="23">
        <f>IFERROR(INDEX('Chart of Accounts'!$C$5:$C$3000,MATCH(X70&amp;"",'Chart of Accounts'!$A$5:$A$3000,0))&amp;"|"&amp;INDEX('Chart of Accounts'!$D$5:$D$3000,MATCH(X70&amp;"",'Chart of Accounts'!$A$5:$A$3000,0)),"")</f>
        <v/>
      </c>
      <c r="AE70" s="23">
        <f>IFERROR(INDEX('Chart of Accounts'!$C$5:$C$3000,MATCH(Z70&amp;"",'Chart of Accounts'!$A$5:$A$3000,0))&amp;"|"&amp;INDEX('Chart of Accounts'!$D$5:$D$3000,MATCH(Z70&amp;"",'Chart of Accounts'!$A$5:$A$3000,0)),"")</f>
        <v/>
      </c>
      <c r="AF70" s="23">
        <f>IF(LEFT(AA70,8)="Revenue|",-N(R70),0)+IF(LEFT(AB70,8)="Revenue|",-N(S70),0)+IF(LEFT(AC70,8)="Revenue|",N(L70),0)+IF(LEFT(AD70,8)="Revenue|",N(U70),0)+IF(LEFT(AE70,8)="Revenue|",N(T70),0)</f>
        <v/>
      </c>
      <c r="AG70" s="23">
        <f>IF(LEFT(AA70,5)="COGS|",N(R70),0)+IF(LEFT(AB70,5)="COGS|",N(S70),0)+IF(LEFT(AC70,5)="COGS|",-N(L70),0)+IF(LEFT(AD70,5)="COGS|",-N(U70),0)+IF(LEFT(AE70,5)="COGS|",-N(T70),0)</f>
        <v/>
      </c>
      <c r="AH70" s="23">
        <f>IF(LEFT(AA70,8)="Expense|",N(R70),0)+IF(LEFT(AB70,8)="Expense|",N(S70),0)+IF(LEFT(AC70,8)="Expense|",-N(L70),0)+IF(LEFT(AD70,8)="Expense|",-N(U70),0)+IF(LEFT(AE70,8)="Expense|",-N(T70),0)</f>
        <v/>
      </c>
      <c r="AI70" s="23">
        <f>IF(ISNUMBER(MATCH(AA70,{"Expense|employee","Expense|general_admin","Expense|marketing","Expense|utilities","Expense|other_operating"},0)),N(R70),0)+IF(ISNUMBER(MATCH(AB70,{"Expense|employee","Expense|general_admin","Expense|marketing","Expense|utilities","Expense|other_operating"},0)),N(S70),0)+IF(ISNUMBER(MATCH(AC70,{"Expense|employee","Expense|general_admin","Expense|marketing","Expense|utilities","Expense|other_operating"},0)),-N(L70),0)+IF(ISNUMBER(MATCH(AD70,{"Expense|employee","Expense|general_admin","Expense|marketing","Expense|utilities","Expense|other_operating"},0)),-N(U70),0)+IF(ISNUMBER(MATCH(AE70,{"Expense|employee","Expense|general_admin","Expense|marketing","Expense|utilities","Expense|other_operating"},0)),-N(T70),0)</f>
        <v/>
      </c>
      <c r="AJ70" s="23">
        <f>IF(AA70="Liability|payable",-N(R70),0)+IF(AB70="Liability|payable",-N(S70),0)+IF(AC70="Liability|payable",N(L70),0)+IF(AD70="Liability|payable",N(U70),0)+IF(AE70="Liability|payable",N(T70),0)</f>
        <v/>
      </c>
      <c r="AK70" s="23">
        <f>IF(AA70="Liability|accrued",-N(R70),0)+IF(AB70="Liability|accrued",-N(S70),0)+IF(AC70="Liability|accrued",N(L70),0)+IF(AD70="Liability|accrued",N(U70),0)+IF(AE70="Liability|accrued",N(T70),0)</f>
        <v/>
      </c>
      <c r="AL70" s="23">
        <f>IF(AND(N(R70)&lt;&gt;0,AA70=""),1,0)+IF(AND(N(S70)&lt;&gt;0,AB70=""),1,0)+IF(AND(N(L70)&lt;&gt;0,AC70=""),1,0)+IF(AND(N(U70)&lt;&gt;0,AD70=""),1,0)+IF(AND(N(T70)&lt;&gt;0,AE70=""),1,0)</f>
        <v/>
      </c>
    </row>
    <row r="71">
      <c r="A71" s="19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20" t="n"/>
      <c r="K71" s="20" t="n"/>
      <c r="L71" s="20" t="n"/>
      <c r="M71" s="14" t="n"/>
      <c r="N71" s="14" t="n"/>
      <c r="O71" s="14" t="n"/>
      <c r="P71" s="14" t="n"/>
      <c r="Q71" s="14" t="n"/>
      <c r="R71" s="21">
        <f>ROUND(N(H71)*N(J71)-N(K71),2)</f>
        <v/>
      </c>
      <c r="S71" s="21">
        <f>ROUND(R71*IFERROR(VLOOKUP(P71,'Tax Codes'!$A$5:$E$300,5,FALSE),0),2)</f>
        <v/>
      </c>
      <c r="T71" s="21">
        <f>ROUND(R71*IFERROR(VLOOKUP(Q71,'Tax Codes'!$A$5:$E$300,5,FALSE),0),2)</f>
        <v/>
      </c>
      <c r="U71" s="21">
        <f>R71+S71-T71-N(L71)</f>
        <v/>
      </c>
      <c r="V71" s="16">
        <f>IF(C71="",INDEX('Chart of Accounts'!$A$5:$A$3000,MATCH("materials",'Chart of Accounts'!$F$5:$F$3000,0)),C71&amp;"")</f>
        <v/>
      </c>
      <c r="W71" s="16">
        <f>IF(N71="",INDEX('Chart of Accounts'!$A$5:$A$3000,MATCH("bank",'Chart of Accounts'!$F$5:$F$3000,0)),N71&amp;"")</f>
        <v/>
      </c>
      <c r="X71" s="16">
        <f>IF(O71="",INDEX('Chart of Accounts'!$A$5:$A$3000,MATCH("ap",'Chart of Accounts'!$F$5:$F$3000,0)),O71&amp;"")</f>
        <v/>
      </c>
      <c r="Y71" s="16">
        <f>INDEX('Chart of Accounts'!$A$5:$A$3000,MATCH("vat_input",'Chart of Accounts'!$F$5:$F$3000,0))</f>
        <v/>
      </c>
      <c r="Z71" s="16">
        <f>INDEX('Chart of Accounts'!$A$5:$A$3000,MATCH("wht_payable",'Chart of Accounts'!$F$5:$F$3000,0))</f>
        <v/>
      </c>
      <c r="AA71" s="23">
        <f>IFERROR(INDEX('Chart of Accounts'!$C$5:$C$3000,MATCH(V71&amp;"",'Chart of Accounts'!$A$5:$A$3000,0))&amp;"|"&amp;INDEX('Chart of Accounts'!$D$5:$D$3000,MATCH(V71&amp;"",'Chart of Accounts'!$A$5:$A$3000,0)),"")</f>
        <v/>
      </c>
      <c r="AB71" s="23">
        <f>IFERROR(INDEX('Chart of Accounts'!$C$5:$C$3000,MATCH(Y71&amp;"",'Chart of Accounts'!$A$5:$A$3000,0))&amp;"|"&amp;INDEX('Chart of Accounts'!$D$5:$D$3000,MATCH(Y71&amp;"",'Chart of Accounts'!$A$5:$A$3000,0)),"")</f>
        <v/>
      </c>
      <c r="AC71" s="23">
        <f>IFERROR(INDEX('Chart of Accounts'!$C$5:$C$3000,MATCH(W71&amp;"",'Chart of Accounts'!$A$5:$A$3000,0))&amp;"|"&amp;INDEX('Chart of Accounts'!$D$5:$D$3000,MATCH(W71&amp;"",'Chart of Accounts'!$A$5:$A$3000,0)),"")</f>
        <v/>
      </c>
      <c r="AD71" s="23">
        <f>IFERROR(INDEX('Chart of Accounts'!$C$5:$C$3000,MATCH(X71&amp;"",'Chart of Accounts'!$A$5:$A$3000,0))&amp;"|"&amp;INDEX('Chart of Accounts'!$D$5:$D$3000,MATCH(X71&amp;"",'Chart of Accounts'!$A$5:$A$3000,0)),"")</f>
        <v/>
      </c>
      <c r="AE71" s="23">
        <f>IFERROR(INDEX('Chart of Accounts'!$C$5:$C$3000,MATCH(Z71&amp;"",'Chart of Accounts'!$A$5:$A$3000,0))&amp;"|"&amp;INDEX('Chart of Accounts'!$D$5:$D$3000,MATCH(Z71&amp;"",'Chart of Accounts'!$A$5:$A$3000,0)),"")</f>
        <v/>
      </c>
      <c r="AF71" s="23">
        <f>IF(LEFT(AA71,8)="Revenue|",-N(R71),0)+IF(LEFT(AB71,8)="Revenue|",-N(S71),0)+IF(LEFT(AC71,8)="Revenue|",N(L71),0)+IF(LEFT(AD71,8)="Revenue|",N(U71),0)+IF(LEFT(AE71,8)="Revenue|",N(T71),0)</f>
        <v/>
      </c>
      <c r="AG71" s="23">
        <f>IF(LEFT(AA71,5)="COGS|",N(R71),0)+IF(LEFT(AB71,5)="COGS|",N(S71),0)+IF(LEFT(AC71,5)="COGS|",-N(L71),0)+IF(LEFT(AD71,5)="COGS|",-N(U71),0)+IF(LEFT(AE71,5)="COGS|",-N(T71),0)</f>
        <v/>
      </c>
      <c r="AH71" s="23">
        <f>IF(LEFT(AA71,8)="Expense|",N(R71),0)+IF(LEFT(AB71,8)="Expense|",N(S71),0)+IF(LEFT(AC71,8)="Expense|",-N(L71),0)+IF(LEFT(AD71,8)="Expense|",-N(U71),0)+IF(LEFT(AE71,8)="Expense|",-N(T71),0)</f>
        <v/>
      </c>
      <c r="AI71" s="23">
        <f>IF(ISNUMBER(MATCH(AA71,{"Expense|employee","Expense|general_admin","Expense|marketing","Expense|utilities","Expense|other_operating"},0)),N(R71),0)+IF(ISNUMBER(MATCH(AB71,{"Expense|employee","Expense|general_admin","Expense|marketing","Expense|utilities","Expense|other_operating"},0)),N(S71),0)+IF(ISNUMBER(MATCH(AC71,{"Expense|employee","Expense|general_admin","Expense|marketing","Expense|utilities","Expense|other_operating"},0)),-N(L71),0)+IF(ISNUMBER(MATCH(AD71,{"Expense|employee","Expense|general_admin","Expense|marketing","Expense|utilities","Expense|other_operating"},0)),-N(U71),0)+IF(ISNUMBER(MATCH(AE71,{"Expense|employee","Expense|general_admin","Expense|marketing","Expense|utilities","Expense|other_operating"},0)),-N(T71),0)</f>
        <v/>
      </c>
      <c r="AJ71" s="23">
        <f>IF(AA71="Liability|payable",-N(R71),0)+IF(AB71="Liability|payable",-N(S71),0)+IF(AC71="Liability|payable",N(L71),0)+IF(AD71="Liability|payable",N(U71),0)+IF(AE71="Liability|payable",N(T71),0)</f>
        <v/>
      </c>
      <c r="AK71" s="23">
        <f>IF(AA71="Liability|accrued",-N(R71),0)+IF(AB71="Liability|accrued",-N(S71),0)+IF(AC71="Liability|accrued",N(L71),0)+IF(AD71="Liability|accrued",N(U71),0)+IF(AE71="Liability|accrued",N(T71),0)</f>
        <v/>
      </c>
      <c r="AL71" s="23">
        <f>IF(AND(N(R71)&lt;&gt;0,AA71=""),1,0)+IF(AND(N(S71)&lt;&gt;0,AB71=""),1,0)+IF(AND(N(L71)&lt;&gt;0,AC71=""),1,0)+IF(AND(N(U71)&lt;&gt;0,AD71=""),1,0)+IF(AND(N(T71)&lt;&gt;0,AE71=""),1,0)</f>
        <v/>
      </c>
    </row>
    <row r="72">
      <c r="A72" s="19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20" t="n"/>
      <c r="K72" s="20" t="n"/>
      <c r="L72" s="20" t="n"/>
      <c r="M72" s="14" t="n"/>
      <c r="N72" s="14" t="n"/>
      <c r="O72" s="14" t="n"/>
      <c r="P72" s="14" t="n"/>
      <c r="Q72" s="14" t="n"/>
      <c r="R72" s="21">
        <f>ROUND(N(H72)*N(J72)-N(K72),2)</f>
        <v/>
      </c>
      <c r="S72" s="21">
        <f>ROUND(R72*IFERROR(VLOOKUP(P72,'Tax Codes'!$A$5:$E$300,5,FALSE),0),2)</f>
        <v/>
      </c>
      <c r="T72" s="21">
        <f>ROUND(R72*IFERROR(VLOOKUP(Q72,'Tax Codes'!$A$5:$E$300,5,FALSE),0),2)</f>
        <v/>
      </c>
      <c r="U72" s="21">
        <f>R72+S72-T72-N(L72)</f>
        <v/>
      </c>
      <c r="V72" s="16">
        <f>IF(C72="",INDEX('Chart of Accounts'!$A$5:$A$3000,MATCH("materials",'Chart of Accounts'!$F$5:$F$3000,0)),C72&amp;"")</f>
        <v/>
      </c>
      <c r="W72" s="16">
        <f>IF(N72="",INDEX('Chart of Accounts'!$A$5:$A$3000,MATCH("bank",'Chart of Accounts'!$F$5:$F$3000,0)),N72&amp;"")</f>
        <v/>
      </c>
      <c r="X72" s="16">
        <f>IF(O72="",INDEX('Chart of Accounts'!$A$5:$A$3000,MATCH("ap",'Chart of Accounts'!$F$5:$F$3000,0)),O72&amp;"")</f>
        <v/>
      </c>
      <c r="Y72" s="16">
        <f>INDEX('Chart of Accounts'!$A$5:$A$3000,MATCH("vat_input",'Chart of Accounts'!$F$5:$F$3000,0))</f>
        <v/>
      </c>
      <c r="Z72" s="16">
        <f>INDEX('Chart of Accounts'!$A$5:$A$3000,MATCH("wht_payable",'Chart of Accounts'!$F$5:$F$3000,0))</f>
        <v/>
      </c>
      <c r="AA72" s="23">
        <f>IFERROR(INDEX('Chart of Accounts'!$C$5:$C$3000,MATCH(V72&amp;"",'Chart of Accounts'!$A$5:$A$3000,0))&amp;"|"&amp;INDEX('Chart of Accounts'!$D$5:$D$3000,MATCH(V72&amp;"",'Chart of Accounts'!$A$5:$A$3000,0)),"")</f>
        <v/>
      </c>
      <c r="AB72" s="23">
        <f>IFERROR(INDEX('Chart of Accounts'!$C$5:$C$3000,MATCH(Y72&amp;"",'Chart of Accounts'!$A$5:$A$3000,0))&amp;"|"&amp;INDEX('Chart of Accounts'!$D$5:$D$3000,MATCH(Y72&amp;"",'Chart of Accounts'!$A$5:$A$3000,0)),"")</f>
        <v/>
      </c>
      <c r="AC72" s="23">
        <f>IFERROR(INDEX('Chart of Accounts'!$C$5:$C$3000,MATCH(W72&amp;"",'Chart of Accounts'!$A$5:$A$3000,0))&amp;"|"&amp;INDEX('Chart of Accounts'!$D$5:$D$3000,MATCH(W72&amp;"",'Chart of Accounts'!$A$5:$A$3000,0)),"")</f>
        <v/>
      </c>
      <c r="AD72" s="23">
        <f>IFERROR(INDEX('Chart of Accounts'!$C$5:$C$3000,MATCH(X72&amp;"",'Chart of Accounts'!$A$5:$A$3000,0))&amp;"|"&amp;INDEX('Chart of Accounts'!$D$5:$D$3000,MATCH(X72&amp;"",'Chart of Accounts'!$A$5:$A$3000,0)),"")</f>
        <v/>
      </c>
      <c r="AE72" s="23">
        <f>IFERROR(INDEX('Chart of Accounts'!$C$5:$C$3000,MATCH(Z72&amp;"",'Chart of Accounts'!$A$5:$A$3000,0))&amp;"|"&amp;INDEX('Chart of Accounts'!$D$5:$D$3000,MATCH(Z72&amp;"",'Chart of Accounts'!$A$5:$A$3000,0)),"")</f>
        <v/>
      </c>
      <c r="AF72" s="23">
        <f>IF(LEFT(AA72,8)="Revenue|",-N(R72),0)+IF(LEFT(AB72,8)="Revenue|",-N(S72),0)+IF(LEFT(AC72,8)="Revenue|",N(L72),0)+IF(LEFT(AD72,8)="Revenue|",N(U72),0)+IF(LEFT(AE72,8)="Revenue|",N(T72),0)</f>
        <v/>
      </c>
      <c r="AG72" s="23">
        <f>IF(LEFT(AA72,5)="COGS|",N(R72),0)+IF(LEFT(AB72,5)="COGS|",N(S72),0)+IF(LEFT(AC72,5)="COGS|",-N(L72),0)+IF(LEFT(AD72,5)="COGS|",-N(U72),0)+IF(LEFT(AE72,5)="COGS|",-N(T72),0)</f>
        <v/>
      </c>
      <c r="AH72" s="23">
        <f>IF(LEFT(AA72,8)="Expense|",N(R72),0)+IF(LEFT(AB72,8)="Expense|",N(S72),0)+IF(LEFT(AC72,8)="Expense|",-N(L72),0)+IF(LEFT(AD72,8)="Expense|",-N(U72),0)+IF(LEFT(AE72,8)="Expense|",-N(T72),0)</f>
        <v/>
      </c>
      <c r="AI72" s="23">
        <f>IF(ISNUMBER(MATCH(AA72,{"Expense|employee","Expense|general_admin","Expense|marketing","Expense|utilities","Expense|other_operating"},0)),N(R72),0)+IF(ISNUMBER(MATCH(AB72,{"Expense|employee","Expense|general_admin","Expense|marketing","Expense|utilities","Expense|other_operating"},0)),N(S72),0)+IF(ISNUMBER(MATCH(AC72,{"Expense|employee","Expense|general_admin","Expense|marketing","Expense|utilities","Expense|other_operating"},0)),-N(L72),0)+IF(ISNUMBER(MATCH(AD72,{"Expense|employee","Expense|general_admin","Expense|marketing","Expense|utilities","Expense|other_operating"},0)),-N(U72),0)+IF(ISNUMBER(MATCH(AE72,{"Expense|employee","Expense|general_admin","Expense|marketing","Expense|utilities","Expense|other_operating"},0)),-N(T72),0)</f>
        <v/>
      </c>
      <c r="AJ72" s="23">
        <f>IF(AA72="Liability|payable",-N(R72),0)+IF(AB72="Liability|payable",-N(S72),0)+IF(AC72="Liability|payable",N(L72),0)+IF(AD72="Liability|payable",N(U72),0)+IF(AE72="Liability|payable",N(T72),0)</f>
        <v/>
      </c>
      <c r="AK72" s="23">
        <f>IF(AA72="Liability|accrued",-N(R72),0)+IF(AB72="Liability|accrued",-N(S72),0)+IF(AC72="Liability|accrued",N(L72),0)+IF(AD72="Liability|accrued",N(U72),0)+IF(AE72="Liability|accrued",N(T72),0)</f>
        <v/>
      </c>
      <c r="AL72" s="23">
        <f>IF(AND(N(R72)&lt;&gt;0,AA72=""),1,0)+IF(AND(N(S72)&lt;&gt;0,AB72=""),1,0)+IF(AND(N(L72)&lt;&gt;0,AC72=""),1,0)+IF(AND(N(U72)&lt;&gt;0,AD72=""),1,0)+IF(AND(N(T72)&lt;&gt;0,AE72=""),1,0)</f>
        <v/>
      </c>
    </row>
    <row r="73">
      <c r="A73" s="19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20" t="n"/>
      <c r="K73" s="20" t="n"/>
      <c r="L73" s="20" t="n"/>
      <c r="M73" s="14" t="n"/>
      <c r="N73" s="14" t="n"/>
      <c r="O73" s="14" t="n"/>
      <c r="P73" s="14" t="n"/>
      <c r="Q73" s="14" t="n"/>
      <c r="R73" s="21">
        <f>ROUND(N(H73)*N(J73)-N(K73),2)</f>
        <v/>
      </c>
      <c r="S73" s="21">
        <f>ROUND(R73*IFERROR(VLOOKUP(P73,'Tax Codes'!$A$5:$E$300,5,FALSE),0),2)</f>
        <v/>
      </c>
      <c r="T73" s="21">
        <f>ROUND(R73*IFERROR(VLOOKUP(Q73,'Tax Codes'!$A$5:$E$300,5,FALSE),0),2)</f>
        <v/>
      </c>
      <c r="U73" s="21">
        <f>R73+S73-T73-N(L73)</f>
        <v/>
      </c>
      <c r="V73" s="16">
        <f>IF(C73="",INDEX('Chart of Accounts'!$A$5:$A$3000,MATCH("materials",'Chart of Accounts'!$F$5:$F$3000,0)),C73&amp;"")</f>
        <v/>
      </c>
      <c r="W73" s="16">
        <f>IF(N73="",INDEX('Chart of Accounts'!$A$5:$A$3000,MATCH("bank",'Chart of Accounts'!$F$5:$F$3000,0)),N73&amp;"")</f>
        <v/>
      </c>
      <c r="X73" s="16">
        <f>IF(O73="",INDEX('Chart of Accounts'!$A$5:$A$3000,MATCH("ap",'Chart of Accounts'!$F$5:$F$3000,0)),O73&amp;"")</f>
        <v/>
      </c>
      <c r="Y73" s="16">
        <f>INDEX('Chart of Accounts'!$A$5:$A$3000,MATCH("vat_input",'Chart of Accounts'!$F$5:$F$3000,0))</f>
        <v/>
      </c>
      <c r="Z73" s="16">
        <f>INDEX('Chart of Accounts'!$A$5:$A$3000,MATCH("wht_payable",'Chart of Accounts'!$F$5:$F$3000,0))</f>
        <v/>
      </c>
      <c r="AA73" s="23">
        <f>IFERROR(INDEX('Chart of Accounts'!$C$5:$C$3000,MATCH(V73&amp;"",'Chart of Accounts'!$A$5:$A$3000,0))&amp;"|"&amp;INDEX('Chart of Accounts'!$D$5:$D$3000,MATCH(V73&amp;"",'Chart of Accounts'!$A$5:$A$3000,0)),"")</f>
        <v/>
      </c>
      <c r="AB73" s="23">
        <f>IFERROR(INDEX('Chart of Accounts'!$C$5:$C$3000,MATCH(Y73&amp;"",'Chart of Accounts'!$A$5:$A$3000,0))&amp;"|"&amp;INDEX('Chart of Accounts'!$D$5:$D$3000,MATCH(Y73&amp;"",'Chart of Accounts'!$A$5:$A$3000,0)),"")</f>
        <v/>
      </c>
      <c r="AC73" s="23">
        <f>IFERROR(INDEX('Chart of Accounts'!$C$5:$C$3000,MATCH(W73&amp;"",'Chart of Accounts'!$A$5:$A$3000,0))&amp;"|"&amp;INDEX('Chart of Accounts'!$D$5:$D$3000,MATCH(W73&amp;"",'Chart of Accounts'!$A$5:$A$3000,0)),"")</f>
        <v/>
      </c>
      <c r="AD73" s="23">
        <f>IFERROR(INDEX('Chart of Accounts'!$C$5:$C$3000,MATCH(X73&amp;"",'Chart of Accounts'!$A$5:$A$3000,0))&amp;"|"&amp;INDEX('Chart of Accounts'!$D$5:$D$3000,MATCH(X73&amp;"",'Chart of Accounts'!$A$5:$A$3000,0)),"")</f>
        <v/>
      </c>
      <c r="AE73" s="23">
        <f>IFERROR(INDEX('Chart of Accounts'!$C$5:$C$3000,MATCH(Z73&amp;"",'Chart of Accounts'!$A$5:$A$3000,0))&amp;"|"&amp;INDEX('Chart of Accounts'!$D$5:$D$3000,MATCH(Z73&amp;"",'Chart of Accounts'!$A$5:$A$3000,0)),"")</f>
        <v/>
      </c>
      <c r="AF73" s="23">
        <f>IF(LEFT(AA73,8)="Revenue|",-N(R73),0)+IF(LEFT(AB73,8)="Revenue|",-N(S73),0)+IF(LEFT(AC73,8)="Revenue|",N(L73),0)+IF(LEFT(AD73,8)="Revenue|",N(U73),0)+IF(LEFT(AE73,8)="Revenue|",N(T73),0)</f>
        <v/>
      </c>
      <c r="AG73" s="23">
        <f>IF(LEFT(AA73,5)="COGS|",N(R73),0)+IF(LEFT(AB73,5)="COGS|",N(S73),0)+IF(LEFT(AC73,5)="COGS|",-N(L73),0)+IF(LEFT(AD73,5)="COGS|",-N(U73),0)+IF(LEFT(AE73,5)="COGS|",-N(T73),0)</f>
        <v/>
      </c>
      <c r="AH73" s="23">
        <f>IF(LEFT(AA73,8)="Expense|",N(R73),0)+IF(LEFT(AB73,8)="Expense|",N(S73),0)+IF(LEFT(AC73,8)="Expense|",-N(L73),0)+IF(LEFT(AD73,8)="Expense|",-N(U73),0)+IF(LEFT(AE73,8)="Expense|",-N(T73),0)</f>
        <v/>
      </c>
      <c r="AI73" s="23">
        <f>IF(ISNUMBER(MATCH(AA73,{"Expense|employee","Expense|general_admin","Expense|marketing","Expense|utilities","Expense|other_operating"},0)),N(R73),0)+IF(ISNUMBER(MATCH(AB73,{"Expense|employee","Expense|general_admin","Expense|marketing","Expense|utilities","Expense|other_operating"},0)),N(S73),0)+IF(ISNUMBER(MATCH(AC73,{"Expense|employee","Expense|general_admin","Expense|marketing","Expense|utilities","Expense|other_operating"},0)),-N(L73),0)+IF(ISNUMBER(MATCH(AD73,{"Expense|employee","Expense|general_admin","Expense|marketing","Expense|utilities","Expense|other_operating"},0)),-N(U73),0)+IF(ISNUMBER(MATCH(AE73,{"Expense|employee","Expense|general_admin","Expense|marketing","Expense|utilities","Expense|other_operating"},0)),-N(T73),0)</f>
        <v/>
      </c>
      <c r="AJ73" s="23">
        <f>IF(AA73="Liability|payable",-N(R73),0)+IF(AB73="Liability|payable",-N(S73),0)+IF(AC73="Liability|payable",N(L73),0)+IF(AD73="Liability|payable",N(U73),0)+IF(AE73="Liability|payable",N(T73),0)</f>
        <v/>
      </c>
      <c r="AK73" s="23">
        <f>IF(AA73="Liability|accrued",-N(R73),0)+IF(AB73="Liability|accrued",-N(S73),0)+IF(AC73="Liability|accrued",N(L73),0)+IF(AD73="Liability|accrued",N(U73),0)+IF(AE73="Liability|accrued",N(T73),0)</f>
        <v/>
      </c>
      <c r="AL73" s="23">
        <f>IF(AND(N(R73)&lt;&gt;0,AA73=""),1,0)+IF(AND(N(S73)&lt;&gt;0,AB73=""),1,0)+IF(AND(N(L73)&lt;&gt;0,AC73=""),1,0)+IF(AND(N(U73)&lt;&gt;0,AD73=""),1,0)+IF(AND(N(T73)&lt;&gt;0,AE73=""),1,0)</f>
        <v/>
      </c>
    </row>
    <row r="74">
      <c r="A74" s="19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20" t="n"/>
      <c r="K74" s="20" t="n"/>
      <c r="L74" s="20" t="n"/>
      <c r="M74" s="14" t="n"/>
      <c r="N74" s="14" t="n"/>
      <c r="O74" s="14" t="n"/>
      <c r="P74" s="14" t="n"/>
      <c r="Q74" s="14" t="n"/>
      <c r="R74" s="21">
        <f>ROUND(N(H74)*N(J74)-N(K74),2)</f>
        <v/>
      </c>
      <c r="S74" s="21">
        <f>ROUND(R74*IFERROR(VLOOKUP(P74,'Tax Codes'!$A$5:$E$300,5,FALSE),0),2)</f>
        <v/>
      </c>
      <c r="T74" s="21">
        <f>ROUND(R74*IFERROR(VLOOKUP(Q74,'Tax Codes'!$A$5:$E$300,5,FALSE),0),2)</f>
        <v/>
      </c>
      <c r="U74" s="21">
        <f>R74+S74-T74-N(L74)</f>
        <v/>
      </c>
      <c r="V74" s="16">
        <f>IF(C74="",INDEX('Chart of Accounts'!$A$5:$A$3000,MATCH("materials",'Chart of Accounts'!$F$5:$F$3000,0)),C74&amp;"")</f>
        <v/>
      </c>
      <c r="W74" s="16">
        <f>IF(N74="",INDEX('Chart of Accounts'!$A$5:$A$3000,MATCH("bank",'Chart of Accounts'!$F$5:$F$3000,0)),N74&amp;"")</f>
        <v/>
      </c>
      <c r="X74" s="16">
        <f>IF(O74="",INDEX('Chart of Accounts'!$A$5:$A$3000,MATCH("ap",'Chart of Accounts'!$F$5:$F$3000,0)),O74&amp;"")</f>
        <v/>
      </c>
      <c r="Y74" s="16">
        <f>INDEX('Chart of Accounts'!$A$5:$A$3000,MATCH("vat_input",'Chart of Accounts'!$F$5:$F$3000,0))</f>
        <v/>
      </c>
      <c r="Z74" s="16">
        <f>INDEX('Chart of Accounts'!$A$5:$A$3000,MATCH("wht_payable",'Chart of Accounts'!$F$5:$F$3000,0))</f>
        <v/>
      </c>
      <c r="AA74" s="23">
        <f>IFERROR(INDEX('Chart of Accounts'!$C$5:$C$3000,MATCH(V74&amp;"",'Chart of Accounts'!$A$5:$A$3000,0))&amp;"|"&amp;INDEX('Chart of Accounts'!$D$5:$D$3000,MATCH(V74&amp;"",'Chart of Accounts'!$A$5:$A$3000,0)),"")</f>
        <v/>
      </c>
      <c r="AB74" s="23">
        <f>IFERROR(INDEX('Chart of Accounts'!$C$5:$C$3000,MATCH(Y74&amp;"",'Chart of Accounts'!$A$5:$A$3000,0))&amp;"|"&amp;INDEX('Chart of Accounts'!$D$5:$D$3000,MATCH(Y74&amp;"",'Chart of Accounts'!$A$5:$A$3000,0)),"")</f>
        <v/>
      </c>
      <c r="AC74" s="23">
        <f>IFERROR(INDEX('Chart of Accounts'!$C$5:$C$3000,MATCH(W74&amp;"",'Chart of Accounts'!$A$5:$A$3000,0))&amp;"|"&amp;INDEX('Chart of Accounts'!$D$5:$D$3000,MATCH(W74&amp;"",'Chart of Accounts'!$A$5:$A$3000,0)),"")</f>
        <v/>
      </c>
      <c r="AD74" s="23">
        <f>IFERROR(INDEX('Chart of Accounts'!$C$5:$C$3000,MATCH(X74&amp;"",'Chart of Accounts'!$A$5:$A$3000,0))&amp;"|"&amp;INDEX('Chart of Accounts'!$D$5:$D$3000,MATCH(X74&amp;"",'Chart of Accounts'!$A$5:$A$3000,0)),"")</f>
        <v/>
      </c>
      <c r="AE74" s="23">
        <f>IFERROR(INDEX('Chart of Accounts'!$C$5:$C$3000,MATCH(Z74&amp;"",'Chart of Accounts'!$A$5:$A$3000,0))&amp;"|"&amp;INDEX('Chart of Accounts'!$D$5:$D$3000,MATCH(Z74&amp;"",'Chart of Accounts'!$A$5:$A$3000,0)),"")</f>
        <v/>
      </c>
      <c r="AF74" s="23">
        <f>IF(LEFT(AA74,8)="Revenue|",-N(R74),0)+IF(LEFT(AB74,8)="Revenue|",-N(S74),0)+IF(LEFT(AC74,8)="Revenue|",N(L74),0)+IF(LEFT(AD74,8)="Revenue|",N(U74),0)+IF(LEFT(AE74,8)="Revenue|",N(T74),0)</f>
        <v/>
      </c>
      <c r="AG74" s="23">
        <f>IF(LEFT(AA74,5)="COGS|",N(R74),0)+IF(LEFT(AB74,5)="COGS|",N(S74),0)+IF(LEFT(AC74,5)="COGS|",-N(L74),0)+IF(LEFT(AD74,5)="COGS|",-N(U74),0)+IF(LEFT(AE74,5)="COGS|",-N(T74),0)</f>
        <v/>
      </c>
      <c r="AH74" s="23">
        <f>IF(LEFT(AA74,8)="Expense|",N(R74),0)+IF(LEFT(AB74,8)="Expense|",N(S74),0)+IF(LEFT(AC74,8)="Expense|",-N(L74),0)+IF(LEFT(AD74,8)="Expense|",-N(U74),0)+IF(LEFT(AE74,8)="Expense|",-N(T74),0)</f>
        <v/>
      </c>
      <c r="AI74" s="23">
        <f>IF(ISNUMBER(MATCH(AA74,{"Expense|employee","Expense|general_admin","Expense|marketing","Expense|utilities","Expense|other_operating"},0)),N(R74),0)+IF(ISNUMBER(MATCH(AB74,{"Expense|employee","Expense|general_admin","Expense|marketing","Expense|utilities","Expense|other_operating"},0)),N(S74),0)+IF(ISNUMBER(MATCH(AC74,{"Expense|employee","Expense|general_admin","Expense|marketing","Expense|utilities","Expense|other_operating"},0)),-N(L74),0)+IF(ISNUMBER(MATCH(AD74,{"Expense|employee","Expense|general_admin","Expense|marketing","Expense|utilities","Expense|other_operating"},0)),-N(U74),0)+IF(ISNUMBER(MATCH(AE74,{"Expense|employee","Expense|general_admin","Expense|marketing","Expense|utilities","Expense|other_operating"},0)),-N(T74),0)</f>
        <v/>
      </c>
      <c r="AJ74" s="23">
        <f>IF(AA74="Liability|payable",-N(R74),0)+IF(AB74="Liability|payable",-N(S74),0)+IF(AC74="Liability|payable",N(L74),0)+IF(AD74="Liability|payable",N(U74),0)+IF(AE74="Liability|payable",N(T74),0)</f>
        <v/>
      </c>
      <c r="AK74" s="23">
        <f>IF(AA74="Liability|accrued",-N(R74),0)+IF(AB74="Liability|accrued",-N(S74),0)+IF(AC74="Liability|accrued",N(L74),0)+IF(AD74="Liability|accrued",N(U74),0)+IF(AE74="Liability|accrued",N(T74),0)</f>
        <v/>
      </c>
      <c r="AL74" s="23">
        <f>IF(AND(N(R74)&lt;&gt;0,AA74=""),1,0)+IF(AND(N(S74)&lt;&gt;0,AB74=""),1,0)+IF(AND(N(L74)&lt;&gt;0,AC74=""),1,0)+IF(AND(N(U74)&lt;&gt;0,AD74=""),1,0)+IF(AND(N(T74)&lt;&gt;0,AE74=""),1,0)</f>
        <v/>
      </c>
    </row>
    <row r="75">
      <c r="A75" s="19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20" t="n"/>
      <c r="K75" s="20" t="n"/>
      <c r="L75" s="20" t="n"/>
      <c r="M75" s="14" t="n"/>
      <c r="N75" s="14" t="n"/>
      <c r="O75" s="14" t="n"/>
      <c r="P75" s="14" t="n"/>
      <c r="Q75" s="14" t="n"/>
      <c r="R75" s="21">
        <f>ROUND(N(H75)*N(J75)-N(K75),2)</f>
        <v/>
      </c>
      <c r="S75" s="21">
        <f>ROUND(R75*IFERROR(VLOOKUP(P75,'Tax Codes'!$A$5:$E$300,5,FALSE),0),2)</f>
        <v/>
      </c>
      <c r="T75" s="21">
        <f>ROUND(R75*IFERROR(VLOOKUP(Q75,'Tax Codes'!$A$5:$E$300,5,FALSE),0),2)</f>
        <v/>
      </c>
      <c r="U75" s="21">
        <f>R75+S75-T75-N(L75)</f>
        <v/>
      </c>
      <c r="V75" s="16">
        <f>IF(C75="",INDEX('Chart of Accounts'!$A$5:$A$3000,MATCH("materials",'Chart of Accounts'!$F$5:$F$3000,0)),C75&amp;"")</f>
        <v/>
      </c>
      <c r="W75" s="16">
        <f>IF(N75="",INDEX('Chart of Accounts'!$A$5:$A$3000,MATCH("bank",'Chart of Accounts'!$F$5:$F$3000,0)),N75&amp;"")</f>
        <v/>
      </c>
      <c r="X75" s="16">
        <f>IF(O75="",INDEX('Chart of Accounts'!$A$5:$A$3000,MATCH("ap",'Chart of Accounts'!$F$5:$F$3000,0)),O75&amp;"")</f>
        <v/>
      </c>
      <c r="Y75" s="16">
        <f>INDEX('Chart of Accounts'!$A$5:$A$3000,MATCH("vat_input",'Chart of Accounts'!$F$5:$F$3000,0))</f>
        <v/>
      </c>
      <c r="Z75" s="16">
        <f>INDEX('Chart of Accounts'!$A$5:$A$3000,MATCH("wht_payable",'Chart of Accounts'!$F$5:$F$3000,0))</f>
        <v/>
      </c>
      <c r="AA75" s="23">
        <f>IFERROR(INDEX('Chart of Accounts'!$C$5:$C$3000,MATCH(V75&amp;"",'Chart of Accounts'!$A$5:$A$3000,0))&amp;"|"&amp;INDEX('Chart of Accounts'!$D$5:$D$3000,MATCH(V75&amp;"",'Chart of Accounts'!$A$5:$A$3000,0)),"")</f>
        <v/>
      </c>
      <c r="AB75" s="23">
        <f>IFERROR(INDEX('Chart of Accounts'!$C$5:$C$3000,MATCH(Y75&amp;"",'Chart of Accounts'!$A$5:$A$3000,0))&amp;"|"&amp;INDEX('Chart of Accounts'!$D$5:$D$3000,MATCH(Y75&amp;"",'Chart of Accounts'!$A$5:$A$3000,0)),"")</f>
        <v/>
      </c>
      <c r="AC75" s="23">
        <f>IFERROR(INDEX('Chart of Accounts'!$C$5:$C$3000,MATCH(W75&amp;"",'Chart of Accounts'!$A$5:$A$3000,0))&amp;"|"&amp;INDEX('Chart of Accounts'!$D$5:$D$3000,MATCH(W75&amp;"",'Chart of Accounts'!$A$5:$A$3000,0)),"")</f>
        <v/>
      </c>
      <c r="AD75" s="23">
        <f>IFERROR(INDEX('Chart of Accounts'!$C$5:$C$3000,MATCH(X75&amp;"",'Chart of Accounts'!$A$5:$A$3000,0))&amp;"|"&amp;INDEX('Chart of Accounts'!$D$5:$D$3000,MATCH(X75&amp;"",'Chart of Accounts'!$A$5:$A$3000,0)),"")</f>
        <v/>
      </c>
      <c r="AE75" s="23">
        <f>IFERROR(INDEX('Chart of Accounts'!$C$5:$C$3000,MATCH(Z75&amp;"",'Chart of Accounts'!$A$5:$A$3000,0))&amp;"|"&amp;INDEX('Chart of Accounts'!$D$5:$D$3000,MATCH(Z75&amp;"",'Chart of Accounts'!$A$5:$A$3000,0)),"")</f>
        <v/>
      </c>
      <c r="AF75" s="23">
        <f>IF(LEFT(AA75,8)="Revenue|",-N(R75),0)+IF(LEFT(AB75,8)="Revenue|",-N(S75),0)+IF(LEFT(AC75,8)="Revenue|",N(L75),0)+IF(LEFT(AD75,8)="Revenue|",N(U75),0)+IF(LEFT(AE75,8)="Revenue|",N(T75),0)</f>
        <v/>
      </c>
      <c r="AG75" s="23">
        <f>IF(LEFT(AA75,5)="COGS|",N(R75),0)+IF(LEFT(AB75,5)="COGS|",N(S75),0)+IF(LEFT(AC75,5)="COGS|",-N(L75),0)+IF(LEFT(AD75,5)="COGS|",-N(U75),0)+IF(LEFT(AE75,5)="COGS|",-N(T75),0)</f>
        <v/>
      </c>
      <c r="AH75" s="23">
        <f>IF(LEFT(AA75,8)="Expense|",N(R75),0)+IF(LEFT(AB75,8)="Expense|",N(S75),0)+IF(LEFT(AC75,8)="Expense|",-N(L75),0)+IF(LEFT(AD75,8)="Expense|",-N(U75),0)+IF(LEFT(AE75,8)="Expense|",-N(T75),0)</f>
        <v/>
      </c>
      <c r="AI75" s="23">
        <f>IF(ISNUMBER(MATCH(AA75,{"Expense|employee","Expense|general_admin","Expense|marketing","Expense|utilities","Expense|other_operating"},0)),N(R75),0)+IF(ISNUMBER(MATCH(AB75,{"Expense|employee","Expense|general_admin","Expense|marketing","Expense|utilities","Expense|other_operating"},0)),N(S75),0)+IF(ISNUMBER(MATCH(AC75,{"Expense|employee","Expense|general_admin","Expense|marketing","Expense|utilities","Expense|other_operating"},0)),-N(L75),0)+IF(ISNUMBER(MATCH(AD75,{"Expense|employee","Expense|general_admin","Expense|marketing","Expense|utilities","Expense|other_operating"},0)),-N(U75),0)+IF(ISNUMBER(MATCH(AE75,{"Expense|employee","Expense|general_admin","Expense|marketing","Expense|utilities","Expense|other_operating"},0)),-N(T75),0)</f>
        <v/>
      </c>
      <c r="AJ75" s="23">
        <f>IF(AA75="Liability|payable",-N(R75),0)+IF(AB75="Liability|payable",-N(S75),0)+IF(AC75="Liability|payable",N(L75),0)+IF(AD75="Liability|payable",N(U75),0)+IF(AE75="Liability|payable",N(T75),0)</f>
        <v/>
      </c>
      <c r="AK75" s="23">
        <f>IF(AA75="Liability|accrued",-N(R75),0)+IF(AB75="Liability|accrued",-N(S75),0)+IF(AC75="Liability|accrued",N(L75),0)+IF(AD75="Liability|accrued",N(U75),0)+IF(AE75="Liability|accrued",N(T75),0)</f>
        <v/>
      </c>
      <c r="AL75" s="23">
        <f>IF(AND(N(R75)&lt;&gt;0,AA75=""),1,0)+IF(AND(N(S75)&lt;&gt;0,AB75=""),1,0)+IF(AND(N(L75)&lt;&gt;0,AC75=""),1,0)+IF(AND(N(U75)&lt;&gt;0,AD75=""),1,0)+IF(AND(N(T75)&lt;&gt;0,AE75=""),1,0)</f>
        <v/>
      </c>
    </row>
    <row r="76">
      <c r="A76" s="19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20" t="n"/>
      <c r="K76" s="20" t="n"/>
      <c r="L76" s="20" t="n"/>
      <c r="M76" s="14" t="n"/>
      <c r="N76" s="14" t="n"/>
      <c r="O76" s="14" t="n"/>
      <c r="P76" s="14" t="n"/>
      <c r="Q76" s="14" t="n"/>
      <c r="R76" s="21">
        <f>ROUND(N(H76)*N(J76)-N(K76),2)</f>
        <v/>
      </c>
      <c r="S76" s="21">
        <f>ROUND(R76*IFERROR(VLOOKUP(P76,'Tax Codes'!$A$5:$E$300,5,FALSE),0),2)</f>
        <v/>
      </c>
      <c r="T76" s="21">
        <f>ROUND(R76*IFERROR(VLOOKUP(Q76,'Tax Codes'!$A$5:$E$300,5,FALSE),0),2)</f>
        <v/>
      </c>
      <c r="U76" s="21">
        <f>R76+S76-T76-N(L76)</f>
        <v/>
      </c>
      <c r="V76" s="16">
        <f>IF(C76="",INDEX('Chart of Accounts'!$A$5:$A$3000,MATCH("materials",'Chart of Accounts'!$F$5:$F$3000,0)),C76&amp;"")</f>
        <v/>
      </c>
      <c r="W76" s="16">
        <f>IF(N76="",INDEX('Chart of Accounts'!$A$5:$A$3000,MATCH("bank",'Chart of Accounts'!$F$5:$F$3000,0)),N76&amp;"")</f>
        <v/>
      </c>
      <c r="X76" s="16">
        <f>IF(O76="",INDEX('Chart of Accounts'!$A$5:$A$3000,MATCH("ap",'Chart of Accounts'!$F$5:$F$3000,0)),O76&amp;"")</f>
        <v/>
      </c>
      <c r="Y76" s="16">
        <f>INDEX('Chart of Accounts'!$A$5:$A$3000,MATCH("vat_input",'Chart of Accounts'!$F$5:$F$3000,0))</f>
        <v/>
      </c>
      <c r="Z76" s="16">
        <f>INDEX('Chart of Accounts'!$A$5:$A$3000,MATCH("wht_payable",'Chart of Accounts'!$F$5:$F$3000,0))</f>
        <v/>
      </c>
      <c r="AA76" s="23">
        <f>IFERROR(INDEX('Chart of Accounts'!$C$5:$C$3000,MATCH(V76&amp;"",'Chart of Accounts'!$A$5:$A$3000,0))&amp;"|"&amp;INDEX('Chart of Accounts'!$D$5:$D$3000,MATCH(V76&amp;"",'Chart of Accounts'!$A$5:$A$3000,0)),"")</f>
        <v/>
      </c>
      <c r="AB76" s="23">
        <f>IFERROR(INDEX('Chart of Accounts'!$C$5:$C$3000,MATCH(Y76&amp;"",'Chart of Accounts'!$A$5:$A$3000,0))&amp;"|"&amp;INDEX('Chart of Accounts'!$D$5:$D$3000,MATCH(Y76&amp;"",'Chart of Accounts'!$A$5:$A$3000,0)),"")</f>
        <v/>
      </c>
      <c r="AC76" s="23">
        <f>IFERROR(INDEX('Chart of Accounts'!$C$5:$C$3000,MATCH(W76&amp;"",'Chart of Accounts'!$A$5:$A$3000,0))&amp;"|"&amp;INDEX('Chart of Accounts'!$D$5:$D$3000,MATCH(W76&amp;"",'Chart of Accounts'!$A$5:$A$3000,0)),"")</f>
        <v/>
      </c>
      <c r="AD76" s="23">
        <f>IFERROR(INDEX('Chart of Accounts'!$C$5:$C$3000,MATCH(X76&amp;"",'Chart of Accounts'!$A$5:$A$3000,0))&amp;"|"&amp;INDEX('Chart of Accounts'!$D$5:$D$3000,MATCH(X76&amp;"",'Chart of Accounts'!$A$5:$A$3000,0)),"")</f>
        <v/>
      </c>
      <c r="AE76" s="23">
        <f>IFERROR(INDEX('Chart of Accounts'!$C$5:$C$3000,MATCH(Z76&amp;"",'Chart of Accounts'!$A$5:$A$3000,0))&amp;"|"&amp;INDEX('Chart of Accounts'!$D$5:$D$3000,MATCH(Z76&amp;"",'Chart of Accounts'!$A$5:$A$3000,0)),"")</f>
        <v/>
      </c>
      <c r="AF76" s="23">
        <f>IF(LEFT(AA76,8)="Revenue|",-N(R76),0)+IF(LEFT(AB76,8)="Revenue|",-N(S76),0)+IF(LEFT(AC76,8)="Revenue|",N(L76),0)+IF(LEFT(AD76,8)="Revenue|",N(U76),0)+IF(LEFT(AE76,8)="Revenue|",N(T76),0)</f>
        <v/>
      </c>
      <c r="AG76" s="23">
        <f>IF(LEFT(AA76,5)="COGS|",N(R76),0)+IF(LEFT(AB76,5)="COGS|",N(S76),0)+IF(LEFT(AC76,5)="COGS|",-N(L76),0)+IF(LEFT(AD76,5)="COGS|",-N(U76),0)+IF(LEFT(AE76,5)="COGS|",-N(T76),0)</f>
        <v/>
      </c>
      <c r="AH76" s="23">
        <f>IF(LEFT(AA76,8)="Expense|",N(R76),0)+IF(LEFT(AB76,8)="Expense|",N(S76),0)+IF(LEFT(AC76,8)="Expense|",-N(L76),0)+IF(LEFT(AD76,8)="Expense|",-N(U76),0)+IF(LEFT(AE76,8)="Expense|",-N(T76),0)</f>
        <v/>
      </c>
      <c r="AI76" s="23">
        <f>IF(ISNUMBER(MATCH(AA76,{"Expense|employee","Expense|general_admin","Expense|marketing","Expense|utilities","Expense|other_operating"},0)),N(R76),0)+IF(ISNUMBER(MATCH(AB76,{"Expense|employee","Expense|general_admin","Expense|marketing","Expense|utilities","Expense|other_operating"},0)),N(S76),0)+IF(ISNUMBER(MATCH(AC76,{"Expense|employee","Expense|general_admin","Expense|marketing","Expense|utilities","Expense|other_operating"},0)),-N(L76),0)+IF(ISNUMBER(MATCH(AD76,{"Expense|employee","Expense|general_admin","Expense|marketing","Expense|utilities","Expense|other_operating"},0)),-N(U76),0)+IF(ISNUMBER(MATCH(AE76,{"Expense|employee","Expense|general_admin","Expense|marketing","Expense|utilities","Expense|other_operating"},0)),-N(T76),0)</f>
        <v/>
      </c>
      <c r="AJ76" s="23">
        <f>IF(AA76="Liability|payable",-N(R76),0)+IF(AB76="Liability|payable",-N(S76),0)+IF(AC76="Liability|payable",N(L76),0)+IF(AD76="Liability|payable",N(U76),0)+IF(AE76="Liability|payable",N(T76),0)</f>
        <v/>
      </c>
      <c r="AK76" s="23">
        <f>IF(AA76="Liability|accrued",-N(R76),0)+IF(AB76="Liability|accrued",-N(S76),0)+IF(AC76="Liability|accrued",N(L76),0)+IF(AD76="Liability|accrued",N(U76),0)+IF(AE76="Liability|accrued",N(T76),0)</f>
        <v/>
      </c>
      <c r="AL76" s="23">
        <f>IF(AND(N(R76)&lt;&gt;0,AA76=""),1,0)+IF(AND(N(S76)&lt;&gt;0,AB76=""),1,0)+IF(AND(N(L76)&lt;&gt;0,AC76=""),1,0)+IF(AND(N(U76)&lt;&gt;0,AD76=""),1,0)+IF(AND(N(T76)&lt;&gt;0,AE76=""),1,0)</f>
        <v/>
      </c>
    </row>
    <row r="77">
      <c r="A77" s="19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20" t="n"/>
      <c r="K77" s="20" t="n"/>
      <c r="L77" s="20" t="n"/>
      <c r="M77" s="14" t="n"/>
      <c r="N77" s="14" t="n"/>
      <c r="O77" s="14" t="n"/>
      <c r="P77" s="14" t="n"/>
      <c r="Q77" s="14" t="n"/>
      <c r="R77" s="21">
        <f>ROUND(N(H77)*N(J77)-N(K77),2)</f>
        <v/>
      </c>
      <c r="S77" s="21">
        <f>ROUND(R77*IFERROR(VLOOKUP(P77,'Tax Codes'!$A$5:$E$300,5,FALSE),0),2)</f>
        <v/>
      </c>
      <c r="T77" s="21">
        <f>ROUND(R77*IFERROR(VLOOKUP(Q77,'Tax Codes'!$A$5:$E$300,5,FALSE),0),2)</f>
        <v/>
      </c>
      <c r="U77" s="21">
        <f>R77+S77-T77-N(L77)</f>
        <v/>
      </c>
      <c r="V77" s="16">
        <f>IF(C77="",INDEX('Chart of Accounts'!$A$5:$A$3000,MATCH("materials",'Chart of Accounts'!$F$5:$F$3000,0)),C77&amp;"")</f>
        <v/>
      </c>
      <c r="W77" s="16">
        <f>IF(N77="",INDEX('Chart of Accounts'!$A$5:$A$3000,MATCH("bank",'Chart of Accounts'!$F$5:$F$3000,0)),N77&amp;"")</f>
        <v/>
      </c>
      <c r="X77" s="16">
        <f>IF(O77="",INDEX('Chart of Accounts'!$A$5:$A$3000,MATCH("ap",'Chart of Accounts'!$F$5:$F$3000,0)),O77&amp;"")</f>
        <v/>
      </c>
      <c r="Y77" s="16">
        <f>INDEX('Chart of Accounts'!$A$5:$A$3000,MATCH("vat_input",'Chart of Accounts'!$F$5:$F$3000,0))</f>
        <v/>
      </c>
      <c r="Z77" s="16">
        <f>INDEX('Chart of Accounts'!$A$5:$A$3000,MATCH("wht_payable",'Chart of Accounts'!$F$5:$F$3000,0))</f>
        <v/>
      </c>
      <c r="AA77" s="23">
        <f>IFERROR(INDEX('Chart of Accounts'!$C$5:$C$3000,MATCH(V77&amp;"",'Chart of Accounts'!$A$5:$A$3000,0))&amp;"|"&amp;INDEX('Chart of Accounts'!$D$5:$D$3000,MATCH(V77&amp;"",'Chart of Accounts'!$A$5:$A$3000,0)),"")</f>
        <v/>
      </c>
      <c r="AB77" s="23">
        <f>IFERROR(INDEX('Chart of Accounts'!$C$5:$C$3000,MATCH(Y77&amp;"",'Chart of Accounts'!$A$5:$A$3000,0))&amp;"|"&amp;INDEX('Chart of Accounts'!$D$5:$D$3000,MATCH(Y77&amp;"",'Chart of Accounts'!$A$5:$A$3000,0)),"")</f>
        <v/>
      </c>
      <c r="AC77" s="23">
        <f>IFERROR(INDEX('Chart of Accounts'!$C$5:$C$3000,MATCH(W77&amp;"",'Chart of Accounts'!$A$5:$A$3000,0))&amp;"|"&amp;INDEX('Chart of Accounts'!$D$5:$D$3000,MATCH(W77&amp;"",'Chart of Accounts'!$A$5:$A$3000,0)),"")</f>
        <v/>
      </c>
      <c r="AD77" s="23">
        <f>IFERROR(INDEX('Chart of Accounts'!$C$5:$C$3000,MATCH(X77&amp;"",'Chart of Accounts'!$A$5:$A$3000,0))&amp;"|"&amp;INDEX('Chart of Accounts'!$D$5:$D$3000,MATCH(X77&amp;"",'Chart of Accounts'!$A$5:$A$3000,0)),"")</f>
        <v/>
      </c>
      <c r="AE77" s="23">
        <f>IFERROR(INDEX('Chart of Accounts'!$C$5:$C$3000,MATCH(Z77&amp;"",'Chart of Accounts'!$A$5:$A$3000,0))&amp;"|"&amp;INDEX('Chart of Accounts'!$D$5:$D$3000,MATCH(Z77&amp;"",'Chart of Accounts'!$A$5:$A$3000,0)),"")</f>
        <v/>
      </c>
      <c r="AF77" s="23">
        <f>IF(LEFT(AA77,8)="Revenue|",-N(R77),0)+IF(LEFT(AB77,8)="Revenue|",-N(S77),0)+IF(LEFT(AC77,8)="Revenue|",N(L77),0)+IF(LEFT(AD77,8)="Revenue|",N(U77),0)+IF(LEFT(AE77,8)="Revenue|",N(T77),0)</f>
        <v/>
      </c>
      <c r="AG77" s="23">
        <f>IF(LEFT(AA77,5)="COGS|",N(R77),0)+IF(LEFT(AB77,5)="COGS|",N(S77),0)+IF(LEFT(AC77,5)="COGS|",-N(L77),0)+IF(LEFT(AD77,5)="COGS|",-N(U77),0)+IF(LEFT(AE77,5)="COGS|",-N(T77),0)</f>
        <v/>
      </c>
      <c r="AH77" s="23">
        <f>IF(LEFT(AA77,8)="Expense|",N(R77),0)+IF(LEFT(AB77,8)="Expense|",N(S77),0)+IF(LEFT(AC77,8)="Expense|",-N(L77),0)+IF(LEFT(AD77,8)="Expense|",-N(U77),0)+IF(LEFT(AE77,8)="Expense|",-N(T77),0)</f>
        <v/>
      </c>
      <c r="AI77" s="23">
        <f>IF(ISNUMBER(MATCH(AA77,{"Expense|employee","Expense|general_admin","Expense|marketing","Expense|utilities","Expense|other_operating"},0)),N(R77),0)+IF(ISNUMBER(MATCH(AB77,{"Expense|employee","Expense|general_admin","Expense|marketing","Expense|utilities","Expense|other_operating"},0)),N(S77),0)+IF(ISNUMBER(MATCH(AC77,{"Expense|employee","Expense|general_admin","Expense|marketing","Expense|utilities","Expense|other_operating"},0)),-N(L77),0)+IF(ISNUMBER(MATCH(AD77,{"Expense|employee","Expense|general_admin","Expense|marketing","Expense|utilities","Expense|other_operating"},0)),-N(U77),0)+IF(ISNUMBER(MATCH(AE77,{"Expense|employee","Expense|general_admin","Expense|marketing","Expense|utilities","Expense|other_operating"},0)),-N(T77),0)</f>
        <v/>
      </c>
      <c r="AJ77" s="23">
        <f>IF(AA77="Liability|payable",-N(R77),0)+IF(AB77="Liability|payable",-N(S77),0)+IF(AC77="Liability|payable",N(L77),0)+IF(AD77="Liability|payable",N(U77),0)+IF(AE77="Liability|payable",N(T77),0)</f>
        <v/>
      </c>
      <c r="AK77" s="23">
        <f>IF(AA77="Liability|accrued",-N(R77),0)+IF(AB77="Liability|accrued",-N(S77),0)+IF(AC77="Liability|accrued",N(L77),0)+IF(AD77="Liability|accrued",N(U77),0)+IF(AE77="Liability|accrued",N(T77),0)</f>
        <v/>
      </c>
      <c r="AL77" s="23">
        <f>IF(AND(N(R77)&lt;&gt;0,AA77=""),1,0)+IF(AND(N(S77)&lt;&gt;0,AB77=""),1,0)+IF(AND(N(L77)&lt;&gt;0,AC77=""),1,0)+IF(AND(N(U77)&lt;&gt;0,AD77=""),1,0)+IF(AND(N(T77)&lt;&gt;0,AE77=""),1,0)</f>
        <v/>
      </c>
    </row>
    <row r="78">
      <c r="A78" s="19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20" t="n"/>
      <c r="K78" s="20" t="n"/>
      <c r="L78" s="20" t="n"/>
      <c r="M78" s="14" t="n"/>
      <c r="N78" s="14" t="n"/>
      <c r="O78" s="14" t="n"/>
      <c r="P78" s="14" t="n"/>
      <c r="Q78" s="14" t="n"/>
      <c r="R78" s="21">
        <f>ROUND(N(H78)*N(J78)-N(K78),2)</f>
        <v/>
      </c>
      <c r="S78" s="21">
        <f>ROUND(R78*IFERROR(VLOOKUP(P78,'Tax Codes'!$A$5:$E$300,5,FALSE),0),2)</f>
        <v/>
      </c>
      <c r="T78" s="21">
        <f>ROUND(R78*IFERROR(VLOOKUP(Q78,'Tax Codes'!$A$5:$E$300,5,FALSE),0),2)</f>
        <v/>
      </c>
      <c r="U78" s="21">
        <f>R78+S78-T78-N(L78)</f>
        <v/>
      </c>
      <c r="V78" s="16">
        <f>IF(C78="",INDEX('Chart of Accounts'!$A$5:$A$3000,MATCH("materials",'Chart of Accounts'!$F$5:$F$3000,0)),C78&amp;"")</f>
        <v/>
      </c>
      <c r="W78" s="16">
        <f>IF(N78="",INDEX('Chart of Accounts'!$A$5:$A$3000,MATCH("bank",'Chart of Accounts'!$F$5:$F$3000,0)),N78&amp;"")</f>
        <v/>
      </c>
      <c r="X78" s="16">
        <f>IF(O78="",INDEX('Chart of Accounts'!$A$5:$A$3000,MATCH("ap",'Chart of Accounts'!$F$5:$F$3000,0)),O78&amp;"")</f>
        <v/>
      </c>
      <c r="Y78" s="16">
        <f>INDEX('Chart of Accounts'!$A$5:$A$3000,MATCH("vat_input",'Chart of Accounts'!$F$5:$F$3000,0))</f>
        <v/>
      </c>
      <c r="Z78" s="16">
        <f>INDEX('Chart of Accounts'!$A$5:$A$3000,MATCH("wht_payable",'Chart of Accounts'!$F$5:$F$3000,0))</f>
        <v/>
      </c>
      <c r="AA78" s="23">
        <f>IFERROR(INDEX('Chart of Accounts'!$C$5:$C$3000,MATCH(V78&amp;"",'Chart of Accounts'!$A$5:$A$3000,0))&amp;"|"&amp;INDEX('Chart of Accounts'!$D$5:$D$3000,MATCH(V78&amp;"",'Chart of Accounts'!$A$5:$A$3000,0)),"")</f>
        <v/>
      </c>
      <c r="AB78" s="23">
        <f>IFERROR(INDEX('Chart of Accounts'!$C$5:$C$3000,MATCH(Y78&amp;"",'Chart of Accounts'!$A$5:$A$3000,0))&amp;"|"&amp;INDEX('Chart of Accounts'!$D$5:$D$3000,MATCH(Y78&amp;"",'Chart of Accounts'!$A$5:$A$3000,0)),"")</f>
        <v/>
      </c>
      <c r="AC78" s="23">
        <f>IFERROR(INDEX('Chart of Accounts'!$C$5:$C$3000,MATCH(W78&amp;"",'Chart of Accounts'!$A$5:$A$3000,0))&amp;"|"&amp;INDEX('Chart of Accounts'!$D$5:$D$3000,MATCH(W78&amp;"",'Chart of Accounts'!$A$5:$A$3000,0)),"")</f>
        <v/>
      </c>
      <c r="AD78" s="23">
        <f>IFERROR(INDEX('Chart of Accounts'!$C$5:$C$3000,MATCH(X78&amp;"",'Chart of Accounts'!$A$5:$A$3000,0))&amp;"|"&amp;INDEX('Chart of Accounts'!$D$5:$D$3000,MATCH(X78&amp;"",'Chart of Accounts'!$A$5:$A$3000,0)),"")</f>
        <v/>
      </c>
      <c r="AE78" s="23">
        <f>IFERROR(INDEX('Chart of Accounts'!$C$5:$C$3000,MATCH(Z78&amp;"",'Chart of Accounts'!$A$5:$A$3000,0))&amp;"|"&amp;INDEX('Chart of Accounts'!$D$5:$D$3000,MATCH(Z78&amp;"",'Chart of Accounts'!$A$5:$A$3000,0)),"")</f>
        <v/>
      </c>
      <c r="AF78" s="23">
        <f>IF(LEFT(AA78,8)="Revenue|",-N(R78),0)+IF(LEFT(AB78,8)="Revenue|",-N(S78),0)+IF(LEFT(AC78,8)="Revenue|",N(L78),0)+IF(LEFT(AD78,8)="Revenue|",N(U78),0)+IF(LEFT(AE78,8)="Revenue|",N(T78),0)</f>
        <v/>
      </c>
      <c r="AG78" s="23">
        <f>IF(LEFT(AA78,5)="COGS|",N(R78),0)+IF(LEFT(AB78,5)="COGS|",N(S78),0)+IF(LEFT(AC78,5)="COGS|",-N(L78),0)+IF(LEFT(AD78,5)="COGS|",-N(U78),0)+IF(LEFT(AE78,5)="COGS|",-N(T78),0)</f>
        <v/>
      </c>
      <c r="AH78" s="23">
        <f>IF(LEFT(AA78,8)="Expense|",N(R78),0)+IF(LEFT(AB78,8)="Expense|",N(S78),0)+IF(LEFT(AC78,8)="Expense|",-N(L78),0)+IF(LEFT(AD78,8)="Expense|",-N(U78),0)+IF(LEFT(AE78,8)="Expense|",-N(T78),0)</f>
        <v/>
      </c>
      <c r="AI78" s="23">
        <f>IF(ISNUMBER(MATCH(AA78,{"Expense|employee","Expense|general_admin","Expense|marketing","Expense|utilities","Expense|other_operating"},0)),N(R78),0)+IF(ISNUMBER(MATCH(AB78,{"Expense|employee","Expense|general_admin","Expense|marketing","Expense|utilities","Expense|other_operating"},0)),N(S78),0)+IF(ISNUMBER(MATCH(AC78,{"Expense|employee","Expense|general_admin","Expense|marketing","Expense|utilities","Expense|other_operating"},0)),-N(L78),0)+IF(ISNUMBER(MATCH(AD78,{"Expense|employee","Expense|general_admin","Expense|marketing","Expense|utilities","Expense|other_operating"},0)),-N(U78),0)+IF(ISNUMBER(MATCH(AE78,{"Expense|employee","Expense|general_admin","Expense|marketing","Expense|utilities","Expense|other_operating"},0)),-N(T78),0)</f>
        <v/>
      </c>
      <c r="AJ78" s="23">
        <f>IF(AA78="Liability|payable",-N(R78),0)+IF(AB78="Liability|payable",-N(S78),0)+IF(AC78="Liability|payable",N(L78),0)+IF(AD78="Liability|payable",N(U78),0)+IF(AE78="Liability|payable",N(T78),0)</f>
        <v/>
      </c>
      <c r="AK78" s="23">
        <f>IF(AA78="Liability|accrued",-N(R78),0)+IF(AB78="Liability|accrued",-N(S78),0)+IF(AC78="Liability|accrued",N(L78),0)+IF(AD78="Liability|accrued",N(U78),0)+IF(AE78="Liability|accrued",N(T78),0)</f>
        <v/>
      </c>
      <c r="AL78" s="23">
        <f>IF(AND(N(R78)&lt;&gt;0,AA78=""),1,0)+IF(AND(N(S78)&lt;&gt;0,AB78=""),1,0)+IF(AND(N(L78)&lt;&gt;0,AC78=""),1,0)+IF(AND(N(U78)&lt;&gt;0,AD78=""),1,0)+IF(AND(N(T78)&lt;&gt;0,AE78=""),1,0)</f>
        <v/>
      </c>
    </row>
    <row r="79">
      <c r="A79" s="19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20" t="n"/>
      <c r="K79" s="20" t="n"/>
      <c r="L79" s="20" t="n"/>
      <c r="M79" s="14" t="n"/>
      <c r="N79" s="14" t="n"/>
      <c r="O79" s="14" t="n"/>
      <c r="P79" s="14" t="n"/>
      <c r="Q79" s="14" t="n"/>
      <c r="R79" s="21">
        <f>ROUND(N(H79)*N(J79)-N(K79),2)</f>
        <v/>
      </c>
      <c r="S79" s="21">
        <f>ROUND(R79*IFERROR(VLOOKUP(P79,'Tax Codes'!$A$5:$E$300,5,FALSE),0),2)</f>
        <v/>
      </c>
      <c r="T79" s="21">
        <f>ROUND(R79*IFERROR(VLOOKUP(Q79,'Tax Codes'!$A$5:$E$300,5,FALSE),0),2)</f>
        <v/>
      </c>
      <c r="U79" s="21">
        <f>R79+S79-T79-N(L79)</f>
        <v/>
      </c>
      <c r="V79" s="16">
        <f>IF(C79="",INDEX('Chart of Accounts'!$A$5:$A$3000,MATCH("materials",'Chart of Accounts'!$F$5:$F$3000,0)),C79&amp;"")</f>
        <v/>
      </c>
      <c r="W79" s="16">
        <f>IF(N79="",INDEX('Chart of Accounts'!$A$5:$A$3000,MATCH("bank",'Chart of Accounts'!$F$5:$F$3000,0)),N79&amp;"")</f>
        <v/>
      </c>
      <c r="X79" s="16">
        <f>IF(O79="",INDEX('Chart of Accounts'!$A$5:$A$3000,MATCH("ap",'Chart of Accounts'!$F$5:$F$3000,0)),O79&amp;"")</f>
        <v/>
      </c>
      <c r="Y79" s="16">
        <f>INDEX('Chart of Accounts'!$A$5:$A$3000,MATCH("vat_input",'Chart of Accounts'!$F$5:$F$3000,0))</f>
        <v/>
      </c>
      <c r="Z79" s="16">
        <f>INDEX('Chart of Accounts'!$A$5:$A$3000,MATCH("wht_payable",'Chart of Accounts'!$F$5:$F$3000,0))</f>
        <v/>
      </c>
      <c r="AA79" s="23">
        <f>IFERROR(INDEX('Chart of Accounts'!$C$5:$C$3000,MATCH(V79&amp;"",'Chart of Accounts'!$A$5:$A$3000,0))&amp;"|"&amp;INDEX('Chart of Accounts'!$D$5:$D$3000,MATCH(V79&amp;"",'Chart of Accounts'!$A$5:$A$3000,0)),"")</f>
        <v/>
      </c>
      <c r="AB79" s="23">
        <f>IFERROR(INDEX('Chart of Accounts'!$C$5:$C$3000,MATCH(Y79&amp;"",'Chart of Accounts'!$A$5:$A$3000,0))&amp;"|"&amp;INDEX('Chart of Accounts'!$D$5:$D$3000,MATCH(Y79&amp;"",'Chart of Accounts'!$A$5:$A$3000,0)),"")</f>
        <v/>
      </c>
      <c r="AC79" s="23">
        <f>IFERROR(INDEX('Chart of Accounts'!$C$5:$C$3000,MATCH(W79&amp;"",'Chart of Accounts'!$A$5:$A$3000,0))&amp;"|"&amp;INDEX('Chart of Accounts'!$D$5:$D$3000,MATCH(W79&amp;"",'Chart of Accounts'!$A$5:$A$3000,0)),"")</f>
        <v/>
      </c>
      <c r="AD79" s="23">
        <f>IFERROR(INDEX('Chart of Accounts'!$C$5:$C$3000,MATCH(X79&amp;"",'Chart of Accounts'!$A$5:$A$3000,0))&amp;"|"&amp;INDEX('Chart of Accounts'!$D$5:$D$3000,MATCH(X79&amp;"",'Chart of Accounts'!$A$5:$A$3000,0)),"")</f>
        <v/>
      </c>
      <c r="AE79" s="23">
        <f>IFERROR(INDEX('Chart of Accounts'!$C$5:$C$3000,MATCH(Z79&amp;"",'Chart of Accounts'!$A$5:$A$3000,0))&amp;"|"&amp;INDEX('Chart of Accounts'!$D$5:$D$3000,MATCH(Z79&amp;"",'Chart of Accounts'!$A$5:$A$3000,0)),"")</f>
        <v/>
      </c>
      <c r="AF79" s="23">
        <f>IF(LEFT(AA79,8)="Revenue|",-N(R79),0)+IF(LEFT(AB79,8)="Revenue|",-N(S79),0)+IF(LEFT(AC79,8)="Revenue|",N(L79),0)+IF(LEFT(AD79,8)="Revenue|",N(U79),0)+IF(LEFT(AE79,8)="Revenue|",N(T79),0)</f>
        <v/>
      </c>
      <c r="AG79" s="23">
        <f>IF(LEFT(AA79,5)="COGS|",N(R79),0)+IF(LEFT(AB79,5)="COGS|",N(S79),0)+IF(LEFT(AC79,5)="COGS|",-N(L79),0)+IF(LEFT(AD79,5)="COGS|",-N(U79),0)+IF(LEFT(AE79,5)="COGS|",-N(T79),0)</f>
        <v/>
      </c>
      <c r="AH79" s="23">
        <f>IF(LEFT(AA79,8)="Expense|",N(R79),0)+IF(LEFT(AB79,8)="Expense|",N(S79),0)+IF(LEFT(AC79,8)="Expense|",-N(L79),0)+IF(LEFT(AD79,8)="Expense|",-N(U79),0)+IF(LEFT(AE79,8)="Expense|",-N(T79),0)</f>
        <v/>
      </c>
      <c r="AI79" s="23">
        <f>IF(ISNUMBER(MATCH(AA79,{"Expense|employee","Expense|general_admin","Expense|marketing","Expense|utilities","Expense|other_operating"},0)),N(R79),0)+IF(ISNUMBER(MATCH(AB79,{"Expense|employee","Expense|general_admin","Expense|marketing","Expense|utilities","Expense|other_operating"},0)),N(S79),0)+IF(ISNUMBER(MATCH(AC79,{"Expense|employee","Expense|general_admin","Expense|marketing","Expense|utilities","Expense|other_operating"},0)),-N(L79),0)+IF(ISNUMBER(MATCH(AD79,{"Expense|employee","Expense|general_admin","Expense|marketing","Expense|utilities","Expense|other_operating"},0)),-N(U79),0)+IF(ISNUMBER(MATCH(AE79,{"Expense|employee","Expense|general_admin","Expense|marketing","Expense|utilities","Expense|other_operating"},0)),-N(T79),0)</f>
        <v/>
      </c>
      <c r="AJ79" s="23">
        <f>IF(AA79="Liability|payable",-N(R79),0)+IF(AB79="Liability|payable",-N(S79),0)+IF(AC79="Liability|payable",N(L79),0)+IF(AD79="Liability|payable",N(U79),0)+IF(AE79="Liability|payable",N(T79),0)</f>
        <v/>
      </c>
      <c r="AK79" s="23">
        <f>IF(AA79="Liability|accrued",-N(R79),0)+IF(AB79="Liability|accrued",-N(S79),0)+IF(AC79="Liability|accrued",N(L79),0)+IF(AD79="Liability|accrued",N(U79),0)+IF(AE79="Liability|accrued",N(T79),0)</f>
        <v/>
      </c>
      <c r="AL79" s="23">
        <f>IF(AND(N(R79)&lt;&gt;0,AA79=""),1,0)+IF(AND(N(S79)&lt;&gt;0,AB79=""),1,0)+IF(AND(N(L79)&lt;&gt;0,AC79=""),1,0)+IF(AND(N(U79)&lt;&gt;0,AD79=""),1,0)+IF(AND(N(T79)&lt;&gt;0,AE79=""),1,0)</f>
        <v/>
      </c>
    </row>
    <row r="80">
      <c r="A80" s="19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20" t="n"/>
      <c r="K80" s="20" t="n"/>
      <c r="L80" s="20" t="n"/>
      <c r="M80" s="14" t="n"/>
      <c r="N80" s="14" t="n"/>
      <c r="O80" s="14" t="n"/>
      <c r="P80" s="14" t="n"/>
      <c r="Q80" s="14" t="n"/>
      <c r="R80" s="21">
        <f>ROUND(N(H80)*N(J80)-N(K80),2)</f>
        <v/>
      </c>
      <c r="S80" s="21">
        <f>ROUND(R80*IFERROR(VLOOKUP(P80,'Tax Codes'!$A$5:$E$300,5,FALSE),0),2)</f>
        <v/>
      </c>
      <c r="T80" s="21">
        <f>ROUND(R80*IFERROR(VLOOKUP(Q80,'Tax Codes'!$A$5:$E$300,5,FALSE),0),2)</f>
        <v/>
      </c>
      <c r="U80" s="21">
        <f>R80+S80-T80-N(L80)</f>
        <v/>
      </c>
      <c r="V80" s="16">
        <f>IF(C80="",INDEX('Chart of Accounts'!$A$5:$A$3000,MATCH("materials",'Chart of Accounts'!$F$5:$F$3000,0)),C80&amp;"")</f>
        <v/>
      </c>
      <c r="W80" s="16">
        <f>IF(N80="",INDEX('Chart of Accounts'!$A$5:$A$3000,MATCH("bank",'Chart of Accounts'!$F$5:$F$3000,0)),N80&amp;"")</f>
        <v/>
      </c>
      <c r="X80" s="16">
        <f>IF(O80="",INDEX('Chart of Accounts'!$A$5:$A$3000,MATCH("ap",'Chart of Accounts'!$F$5:$F$3000,0)),O80&amp;"")</f>
        <v/>
      </c>
      <c r="Y80" s="16">
        <f>INDEX('Chart of Accounts'!$A$5:$A$3000,MATCH("vat_input",'Chart of Accounts'!$F$5:$F$3000,0))</f>
        <v/>
      </c>
      <c r="Z80" s="16">
        <f>INDEX('Chart of Accounts'!$A$5:$A$3000,MATCH("wht_payable",'Chart of Accounts'!$F$5:$F$3000,0))</f>
        <v/>
      </c>
      <c r="AA80" s="23">
        <f>IFERROR(INDEX('Chart of Accounts'!$C$5:$C$3000,MATCH(V80&amp;"",'Chart of Accounts'!$A$5:$A$3000,0))&amp;"|"&amp;INDEX('Chart of Accounts'!$D$5:$D$3000,MATCH(V80&amp;"",'Chart of Accounts'!$A$5:$A$3000,0)),"")</f>
        <v/>
      </c>
      <c r="AB80" s="23">
        <f>IFERROR(INDEX('Chart of Accounts'!$C$5:$C$3000,MATCH(Y80&amp;"",'Chart of Accounts'!$A$5:$A$3000,0))&amp;"|"&amp;INDEX('Chart of Accounts'!$D$5:$D$3000,MATCH(Y80&amp;"",'Chart of Accounts'!$A$5:$A$3000,0)),"")</f>
        <v/>
      </c>
      <c r="AC80" s="23">
        <f>IFERROR(INDEX('Chart of Accounts'!$C$5:$C$3000,MATCH(W80&amp;"",'Chart of Accounts'!$A$5:$A$3000,0))&amp;"|"&amp;INDEX('Chart of Accounts'!$D$5:$D$3000,MATCH(W80&amp;"",'Chart of Accounts'!$A$5:$A$3000,0)),"")</f>
        <v/>
      </c>
      <c r="AD80" s="23">
        <f>IFERROR(INDEX('Chart of Accounts'!$C$5:$C$3000,MATCH(X80&amp;"",'Chart of Accounts'!$A$5:$A$3000,0))&amp;"|"&amp;INDEX('Chart of Accounts'!$D$5:$D$3000,MATCH(X80&amp;"",'Chart of Accounts'!$A$5:$A$3000,0)),"")</f>
        <v/>
      </c>
      <c r="AE80" s="23">
        <f>IFERROR(INDEX('Chart of Accounts'!$C$5:$C$3000,MATCH(Z80&amp;"",'Chart of Accounts'!$A$5:$A$3000,0))&amp;"|"&amp;INDEX('Chart of Accounts'!$D$5:$D$3000,MATCH(Z80&amp;"",'Chart of Accounts'!$A$5:$A$3000,0)),"")</f>
        <v/>
      </c>
      <c r="AF80" s="23">
        <f>IF(LEFT(AA80,8)="Revenue|",-N(R80),0)+IF(LEFT(AB80,8)="Revenue|",-N(S80),0)+IF(LEFT(AC80,8)="Revenue|",N(L80),0)+IF(LEFT(AD80,8)="Revenue|",N(U80),0)+IF(LEFT(AE80,8)="Revenue|",N(T80),0)</f>
        <v/>
      </c>
      <c r="AG80" s="23">
        <f>IF(LEFT(AA80,5)="COGS|",N(R80),0)+IF(LEFT(AB80,5)="COGS|",N(S80),0)+IF(LEFT(AC80,5)="COGS|",-N(L80),0)+IF(LEFT(AD80,5)="COGS|",-N(U80),0)+IF(LEFT(AE80,5)="COGS|",-N(T80),0)</f>
        <v/>
      </c>
      <c r="AH80" s="23">
        <f>IF(LEFT(AA80,8)="Expense|",N(R80),0)+IF(LEFT(AB80,8)="Expense|",N(S80),0)+IF(LEFT(AC80,8)="Expense|",-N(L80),0)+IF(LEFT(AD80,8)="Expense|",-N(U80),0)+IF(LEFT(AE80,8)="Expense|",-N(T80),0)</f>
        <v/>
      </c>
      <c r="AI80" s="23">
        <f>IF(ISNUMBER(MATCH(AA80,{"Expense|employee","Expense|general_admin","Expense|marketing","Expense|utilities","Expense|other_operating"},0)),N(R80),0)+IF(ISNUMBER(MATCH(AB80,{"Expense|employee","Expense|general_admin","Expense|marketing","Expense|utilities","Expense|other_operating"},0)),N(S80),0)+IF(ISNUMBER(MATCH(AC80,{"Expense|employee","Expense|general_admin","Expense|marketing","Expense|utilities","Expense|other_operating"},0)),-N(L80),0)+IF(ISNUMBER(MATCH(AD80,{"Expense|employee","Expense|general_admin","Expense|marketing","Expense|utilities","Expense|other_operating"},0)),-N(U80),0)+IF(ISNUMBER(MATCH(AE80,{"Expense|employee","Expense|general_admin","Expense|marketing","Expense|utilities","Expense|other_operating"},0)),-N(T80),0)</f>
        <v/>
      </c>
      <c r="AJ80" s="23">
        <f>IF(AA80="Liability|payable",-N(R80),0)+IF(AB80="Liability|payable",-N(S80),0)+IF(AC80="Liability|payable",N(L80),0)+IF(AD80="Liability|payable",N(U80),0)+IF(AE80="Liability|payable",N(T80),0)</f>
        <v/>
      </c>
      <c r="AK80" s="23">
        <f>IF(AA80="Liability|accrued",-N(R80),0)+IF(AB80="Liability|accrued",-N(S80),0)+IF(AC80="Liability|accrued",N(L80),0)+IF(AD80="Liability|accrued",N(U80),0)+IF(AE80="Liability|accrued",N(T80),0)</f>
        <v/>
      </c>
      <c r="AL80" s="23">
        <f>IF(AND(N(R80)&lt;&gt;0,AA80=""),1,0)+IF(AND(N(S80)&lt;&gt;0,AB80=""),1,0)+IF(AND(N(L80)&lt;&gt;0,AC80=""),1,0)+IF(AND(N(U80)&lt;&gt;0,AD80=""),1,0)+IF(AND(N(T80)&lt;&gt;0,AE80=""),1,0)</f>
        <v/>
      </c>
    </row>
    <row r="81">
      <c r="A81" s="19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20" t="n"/>
      <c r="K81" s="20" t="n"/>
      <c r="L81" s="20" t="n"/>
      <c r="M81" s="14" t="n"/>
      <c r="N81" s="14" t="n"/>
      <c r="O81" s="14" t="n"/>
      <c r="P81" s="14" t="n"/>
      <c r="Q81" s="14" t="n"/>
      <c r="R81" s="21">
        <f>ROUND(N(H81)*N(J81)-N(K81),2)</f>
        <v/>
      </c>
      <c r="S81" s="21">
        <f>ROUND(R81*IFERROR(VLOOKUP(P81,'Tax Codes'!$A$5:$E$300,5,FALSE),0),2)</f>
        <v/>
      </c>
      <c r="T81" s="21">
        <f>ROUND(R81*IFERROR(VLOOKUP(Q81,'Tax Codes'!$A$5:$E$300,5,FALSE),0),2)</f>
        <v/>
      </c>
      <c r="U81" s="21">
        <f>R81+S81-T81-N(L81)</f>
        <v/>
      </c>
      <c r="V81" s="16">
        <f>IF(C81="",INDEX('Chart of Accounts'!$A$5:$A$3000,MATCH("materials",'Chart of Accounts'!$F$5:$F$3000,0)),C81&amp;"")</f>
        <v/>
      </c>
      <c r="W81" s="16">
        <f>IF(N81="",INDEX('Chart of Accounts'!$A$5:$A$3000,MATCH("bank",'Chart of Accounts'!$F$5:$F$3000,0)),N81&amp;"")</f>
        <v/>
      </c>
      <c r="X81" s="16">
        <f>IF(O81="",INDEX('Chart of Accounts'!$A$5:$A$3000,MATCH("ap",'Chart of Accounts'!$F$5:$F$3000,0)),O81&amp;"")</f>
        <v/>
      </c>
      <c r="Y81" s="16">
        <f>INDEX('Chart of Accounts'!$A$5:$A$3000,MATCH("vat_input",'Chart of Accounts'!$F$5:$F$3000,0))</f>
        <v/>
      </c>
      <c r="Z81" s="16">
        <f>INDEX('Chart of Accounts'!$A$5:$A$3000,MATCH("wht_payable",'Chart of Accounts'!$F$5:$F$3000,0))</f>
        <v/>
      </c>
      <c r="AA81" s="23">
        <f>IFERROR(INDEX('Chart of Accounts'!$C$5:$C$3000,MATCH(V81&amp;"",'Chart of Accounts'!$A$5:$A$3000,0))&amp;"|"&amp;INDEX('Chart of Accounts'!$D$5:$D$3000,MATCH(V81&amp;"",'Chart of Accounts'!$A$5:$A$3000,0)),"")</f>
        <v/>
      </c>
      <c r="AB81" s="23">
        <f>IFERROR(INDEX('Chart of Accounts'!$C$5:$C$3000,MATCH(Y81&amp;"",'Chart of Accounts'!$A$5:$A$3000,0))&amp;"|"&amp;INDEX('Chart of Accounts'!$D$5:$D$3000,MATCH(Y81&amp;"",'Chart of Accounts'!$A$5:$A$3000,0)),"")</f>
        <v/>
      </c>
      <c r="AC81" s="23">
        <f>IFERROR(INDEX('Chart of Accounts'!$C$5:$C$3000,MATCH(W81&amp;"",'Chart of Accounts'!$A$5:$A$3000,0))&amp;"|"&amp;INDEX('Chart of Accounts'!$D$5:$D$3000,MATCH(W81&amp;"",'Chart of Accounts'!$A$5:$A$3000,0)),"")</f>
        <v/>
      </c>
      <c r="AD81" s="23">
        <f>IFERROR(INDEX('Chart of Accounts'!$C$5:$C$3000,MATCH(X81&amp;"",'Chart of Accounts'!$A$5:$A$3000,0))&amp;"|"&amp;INDEX('Chart of Accounts'!$D$5:$D$3000,MATCH(X81&amp;"",'Chart of Accounts'!$A$5:$A$3000,0)),"")</f>
        <v/>
      </c>
      <c r="AE81" s="23">
        <f>IFERROR(INDEX('Chart of Accounts'!$C$5:$C$3000,MATCH(Z81&amp;"",'Chart of Accounts'!$A$5:$A$3000,0))&amp;"|"&amp;INDEX('Chart of Accounts'!$D$5:$D$3000,MATCH(Z81&amp;"",'Chart of Accounts'!$A$5:$A$3000,0)),"")</f>
        <v/>
      </c>
      <c r="AF81" s="23">
        <f>IF(LEFT(AA81,8)="Revenue|",-N(R81),0)+IF(LEFT(AB81,8)="Revenue|",-N(S81),0)+IF(LEFT(AC81,8)="Revenue|",N(L81),0)+IF(LEFT(AD81,8)="Revenue|",N(U81),0)+IF(LEFT(AE81,8)="Revenue|",N(T81),0)</f>
        <v/>
      </c>
      <c r="AG81" s="23">
        <f>IF(LEFT(AA81,5)="COGS|",N(R81),0)+IF(LEFT(AB81,5)="COGS|",N(S81),0)+IF(LEFT(AC81,5)="COGS|",-N(L81),0)+IF(LEFT(AD81,5)="COGS|",-N(U81),0)+IF(LEFT(AE81,5)="COGS|",-N(T81),0)</f>
        <v/>
      </c>
      <c r="AH81" s="23">
        <f>IF(LEFT(AA81,8)="Expense|",N(R81),0)+IF(LEFT(AB81,8)="Expense|",N(S81),0)+IF(LEFT(AC81,8)="Expense|",-N(L81),0)+IF(LEFT(AD81,8)="Expense|",-N(U81),0)+IF(LEFT(AE81,8)="Expense|",-N(T81),0)</f>
        <v/>
      </c>
      <c r="AI81" s="23">
        <f>IF(ISNUMBER(MATCH(AA81,{"Expense|employee","Expense|general_admin","Expense|marketing","Expense|utilities","Expense|other_operating"},0)),N(R81),0)+IF(ISNUMBER(MATCH(AB81,{"Expense|employee","Expense|general_admin","Expense|marketing","Expense|utilities","Expense|other_operating"},0)),N(S81),0)+IF(ISNUMBER(MATCH(AC81,{"Expense|employee","Expense|general_admin","Expense|marketing","Expense|utilities","Expense|other_operating"},0)),-N(L81),0)+IF(ISNUMBER(MATCH(AD81,{"Expense|employee","Expense|general_admin","Expense|marketing","Expense|utilities","Expense|other_operating"},0)),-N(U81),0)+IF(ISNUMBER(MATCH(AE81,{"Expense|employee","Expense|general_admin","Expense|marketing","Expense|utilities","Expense|other_operating"},0)),-N(T81),0)</f>
        <v/>
      </c>
      <c r="AJ81" s="23">
        <f>IF(AA81="Liability|payable",-N(R81),0)+IF(AB81="Liability|payable",-N(S81),0)+IF(AC81="Liability|payable",N(L81),0)+IF(AD81="Liability|payable",N(U81),0)+IF(AE81="Liability|payable",N(T81),0)</f>
        <v/>
      </c>
      <c r="AK81" s="23">
        <f>IF(AA81="Liability|accrued",-N(R81),0)+IF(AB81="Liability|accrued",-N(S81),0)+IF(AC81="Liability|accrued",N(L81),0)+IF(AD81="Liability|accrued",N(U81),0)+IF(AE81="Liability|accrued",N(T81),0)</f>
        <v/>
      </c>
      <c r="AL81" s="23">
        <f>IF(AND(N(R81)&lt;&gt;0,AA81=""),1,0)+IF(AND(N(S81)&lt;&gt;0,AB81=""),1,0)+IF(AND(N(L81)&lt;&gt;0,AC81=""),1,0)+IF(AND(N(U81)&lt;&gt;0,AD81=""),1,0)+IF(AND(N(T81)&lt;&gt;0,AE81=""),1,0)</f>
        <v/>
      </c>
    </row>
    <row r="82">
      <c r="A82" s="19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20" t="n"/>
      <c r="K82" s="20" t="n"/>
      <c r="L82" s="20" t="n"/>
      <c r="M82" s="14" t="n"/>
      <c r="N82" s="14" t="n"/>
      <c r="O82" s="14" t="n"/>
      <c r="P82" s="14" t="n"/>
      <c r="Q82" s="14" t="n"/>
      <c r="R82" s="21">
        <f>ROUND(N(H82)*N(J82)-N(K82),2)</f>
        <v/>
      </c>
      <c r="S82" s="21">
        <f>ROUND(R82*IFERROR(VLOOKUP(P82,'Tax Codes'!$A$5:$E$300,5,FALSE),0),2)</f>
        <v/>
      </c>
      <c r="T82" s="21">
        <f>ROUND(R82*IFERROR(VLOOKUP(Q82,'Tax Codes'!$A$5:$E$300,5,FALSE),0),2)</f>
        <v/>
      </c>
      <c r="U82" s="21">
        <f>R82+S82-T82-N(L82)</f>
        <v/>
      </c>
      <c r="V82" s="16">
        <f>IF(C82="",INDEX('Chart of Accounts'!$A$5:$A$3000,MATCH("materials",'Chart of Accounts'!$F$5:$F$3000,0)),C82&amp;"")</f>
        <v/>
      </c>
      <c r="W82" s="16">
        <f>IF(N82="",INDEX('Chart of Accounts'!$A$5:$A$3000,MATCH("bank",'Chart of Accounts'!$F$5:$F$3000,0)),N82&amp;"")</f>
        <v/>
      </c>
      <c r="X82" s="16">
        <f>IF(O82="",INDEX('Chart of Accounts'!$A$5:$A$3000,MATCH("ap",'Chart of Accounts'!$F$5:$F$3000,0)),O82&amp;"")</f>
        <v/>
      </c>
      <c r="Y82" s="16">
        <f>INDEX('Chart of Accounts'!$A$5:$A$3000,MATCH("vat_input",'Chart of Accounts'!$F$5:$F$3000,0))</f>
        <v/>
      </c>
      <c r="Z82" s="16">
        <f>INDEX('Chart of Accounts'!$A$5:$A$3000,MATCH("wht_payable",'Chart of Accounts'!$F$5:$F$3000,0))</f>
        <v/>
      </c>
      <c r="AA82" s="23">
        <f>IFERROR(INDEX('Chart of Accounts'!$C$5:$C$3000,MATCH(V82&amp;"",'Chart of Accounts'!$A$5:$A$3000,0))&amp;"|"&amp;INDEX('Chart of Accounts'!$D$5:$D$3000,MATCH(V82&amp;"",'Chart of Accounts'!$A$5:$A$3000,0)),"")</f>
        <v/>
      </c>
      <c r="AB82" s="23">
        <f>IFERROR(INDEX('Chart of Accounts'!$C$5:$C$3000,MATCH(Y82&amp;"",'Chart of Accounts'!$A$5:$A$3000,0))&amp;"|"&amp;INDEX('Chart of Accounts'!$D$5:$D$3000,MATCH(Y82&amp;"",'Chart of Accounts'!$A$5:$A$3000,0)),"")</f>
        <v/>
      </c>
      <c r="AC82" s="23">
        <f>IFERROR(INDEX('Chart of Accounts'!$C$5:$C$3000,MATCH(W82&amp;"",'Chart of Accounts'!$A$5:$A$3000,0))&amp;"|"&amp;INDEX('Chart of Accounts'!$D$5:$D$3000,MATCH(W82&amp;"",'Chart of Accounts'!$A$5:$A$3000,0)),"")</f>
        <v/>
      </c>
      <c r="AD82" s="23">
        <f>IFERROR(INDEX('Chart of Accounts'!$C$5:$C$3000,MATCH(X82&amp;"",'Chart of Accounts'!$A$5:$A$3000,0))&amp;"|"&amp;INDEX('Chart of Accounts'!$D$5:$D$3000,MATCH(X82&amp;"",'Chart of Accounts'!$A$5:$A$3000,0)),"")</f>
        <v/>
      </c>
      <c r="AE82" s="23">
        <f>IFERROR(INDEX('Chart of Accounts'!$C$5:$C$3000,MATCH(Z82&amp;"",'Chart of Accounts'!$A$5:$A$3000,0))&amp;"|"&amp;INDEX('Chart of Accounts'!$D$5:$D$3000,MATCH(Z82&amp;"",'Chart of Accounts'!$A$5:$A$3000,0)),"")</f>
        <v/>
      </c>
      <c r="AF82" s="23">
        <f>IF(LEFT(AA82,8)="Revenue|",-N(R82),0)+IF(LEFT(AB82,8)="Revenue|",-N(S82),0)+IF(LEFT(AC82,8)="Revenue|",N(L82),0)+IF(LEFT(AD82,8)="Revenue|",N(U82),0)+IF(LEFT(AE82,8)="Revenue|",N(T82),0)</f>
        <v/>
      </c>
      <c r="AG82" s="23">
        <f>IF(LEFT(AA82,5)="COGS|",N(R82),0)+IF(LEFT(AB82,5)="COGS|",N(S82),0)+IF(LEFT(AC82,5)="COGS|",-N(L82),0)+IF(LEFT(AD82,5)="COGS|",-N(U82),0)+IF(LEFT(AE82,5)="COGS|",-N(T82),0)</f>
        <v/>
      </c>
      <c r="AH82" s="23">
        <f>IF(LEFT(AA82,8)="Expense|",N(R82),0)+IF(LEFT(AB82,8)="Expense|",N(S82),0)+IF(LEFT(AC82,8)="Expense|",-N(L82),0)+IF(LEFT(AD82,8)="Expense|",-N(U82),0)+IF(LEFT(AE82,8)="Expense|",-N(T82),0)</f>
        <v/>
      </c>
      <c r="AI82" s="23">
        <f>IF(ISNUMBER(MATCH(AA82,{"Expense|employee","Expense|general_admin","Expense|marketing","Expense|utilities","Expense|other_operating"},0)),N(R82),0)+IF(ISNUMBER(MATCH(AB82,{"Expense|employee","Expense|general_admin","Expense|marketing","Expense|utilities","Expense|other_operating"},0)),N(S82),0)+IF(ISNUMBER(MATCH(AC82,{"Expense|employee","Expense|general_admin","Expense|marketing","Expense|utilities","Expense|other_operating"},0)),-N(L82),0)+IF(ISNUMBER(MATCH(AD82,{"Expense|employee","Expense|general_admin","Expense|marketing","Expense|utilities","Expense|other_operating"},0)),-N(U82),0)+IF(ISNUMBER(MATCH(AE82,{"Expense|employee","Expense|general_admin","Expense|marketing","Expense|utilities","Expense|other_operating"},0)),-N(T82),0)</f>
        <v/>
      </c>
      <c r="AJ82" s="23">
        <f>IF(AA82="Liability|payable",-N(R82),0)+IF(AB82="Liability|payable",-N(S82),0)+IF(AC82="Liability|payable",N(L82),0)+IF(AD82="Liability|payable",N(U82),0)+IF(AE82="Liability|payable",N(T82),0)</f>
        <v/>
      </c>
      <c r="AK82" s="23">
        <f>IF(AA82="Liability|accrued",-N(R82),0)+IF(AB82="Liability|accrued",-N(S82),0)+IF(AC82="Liability|accrued",N(L82),0)+IF(AD82="Liability|accrued",N(U82),0)+IF(AE82="Liability|accrued",N(T82),0)</f>
        <v/>
      </c>
      <c r="AL82" s="23">
        <f>IF(AND(N(R82)&lt;&gt;0,AA82=""),1,0)+IF(AND(N(S82)&lt;&gt;0,AB82=""),1,0)+IF(AND(N(L82)&lt;&gt;0,AC82=""),1,0)+IF(AND(N(U82)&lt;&gt;0,AD82=""),1,0)+IF(AND(N(T82)&lt;&gt;0,AE82=""),1,0)</f>
        <v/>
      </c>
    </row>
    <row r="83">
      <c r="A83" s="19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20" t="n"/>
      <c r="K83" s="20" t="n"/>
      <c r="L83" s="20" t="n"/>
      <c r="M83" s="14" t="n"/>
      <c r="N83" s="14" t="n"/>
      <c r="O83" s="14" t="n"/>
      <c r="P83" s="14" t="n"/>
      <c r="Q83" s="14" t="n"/>
      <c r="R83" s="21">
        <f>ROUND(N(H83)*N(J83)-N(K83),2)</f>
        <v/>
      </c>
      <c r="S83" s="21">
        <f>ROUND(R83*IFERROR(VLOOKUP(P83,'Tax Codes'!$A$5:$E$300,5,FALSE),0),2)</f>
        <v/>
      </c>
      <c r="T83" s="21">
        <f>ROUND(R83*IFERROR(VLOOKUP(Q83,'Tax Codes'!$A$5:$E$300,5,FALSE),0),2)</f>
        <v/>
      </c>
      <c r="U83" s="21">
        <f>R83+S83-T83-N(L83)</f>
        <v/>
      </c>
      <c r="V83" s="16">
        <f>IF(C83="",INDEX('Chart of Accounts'!$A$5:$A$3000,MATCH("materials",'Chart of Accounts'!$F$5:$F$3000,0)),C83&amp;"")</f>
        <v/>
      </c>
      <c r="W83" s="16">
        <f>IF(N83="",INDEX('Chart of Accounts'!$A$5:$A$3000,MATCH("bank",'Chart of Accounts'!$F$5:$F$3000,0)),N83&amp;"")</f>
        <v/>
      </c>
      <c r="X83" s="16">
        <f>IF(O83="",INDEX('Chart of Accounts'!$A$5:$A$3000,MATCH("ap",'Chart of Accounts'!$F$5:$F$3000,0)),O83&amp;"")</f>
        <v/>
      </c>
      <c r="Y83" s="16">
        <f>INDEX('Chart of Accounts'!$A$5:$A$3000,MATCH("vat_input",'Chart of Accounts'!$F$5:$F$3000,0))</f>
        <v/>
      </c>
      <c r="Z83" s="16">
        <f>INDEX('Chart of Accounts'!$A$5:$A$3000,MATCH("wht_payable",'Chart of Accounts'!$F$5:$F$3000,0))</f>
        <v/>
      </c>
      <c r="AA83" s="23">
        <f>IFERROR(INDEX('Chart of Accounts'!$C$5:$C$3000,MATCH(V83&amp;"",'Chart of Accounts'!$A$5:$A$3000,0))&amp;"|"&amp;INDEX('Chart of Accounts'!$D$5:$D$3000,MATCH(V83&amp;"",'Chart of Accounts'!$A$5:$A$3000,0)),"")</f>
        <v/>
      </c>
      <c r="AB83" s="23">
        <f>IFERROR(INDEX('Chart of Accounts'!$C$5:$C$3000,MATCH(Y83&amp;"",'Chart of Accounts'!$A$5:$A$3000,0))&amp;"|"&amp;INDEX('Chart of Accounts'!$D$5:$D$3000,MATCH(Y83&amp;"",'Chart of Accounts'!$A$5:$A$3000,0)),"")</f>
        <v/>
      </c>
      <c r="AC83" s="23">
        <f>IFERROR(INDEX('Chart of Accounts'!$C$5:$C$3000,MATCH(W83&amp;"",'Chart of Accounts'!$A$5:$A$3000,0))&amp;"|"&amp;INDEX('Chart of Accounts'!$D$5:$D$3000,MATCH(W83&amp;"",'Chart of Accounts'!$A$5:$A$3000,0)),"")</f>
        <v/>
      </c>
      <c r="AD83" s="23">
        <f>IFERROR(INDEX('Chart of Accounts'!$C$5:$C$3000,MATCH(X83&amp;"",'Chart of Accounts'!$A$5:$A$3000,0))&amp;"|"&amp;INDEX('Chart of Accounts'!$D$5:$D$3000,MATCH(X83&amp;"",'Chart of Accounts'!$A$5:$A$3000,0)),"")</f>
        <v/>
      </c>
      <c r="AE83" s="23">
        <f>IFERROR(INDEX('Chart of Accounts'!$C$5:$C$3000,MATCH(Z83&amp;"",'Chart of Accounts'!$A$5:$A$3000,0))&amp;"|"&amp;INDEX('Chart of Accounts'!$D$5:$D$3000,MATCH(Z83&amp;"",'Chart of Accounts'!$A$5:$A$3000,0)),"")</f>
        <v/>
      </c>
      <c r="AF83" s="23">
        <f>IF(LEFT(AA83,8)="Revenue|",-N(R83),0)+IF(LEFT(AB83,8)="Revenue|",-N(S83),0)+IF(LEFT(AC83,8)="Revenue|",N(L83),0)+IF(LEFT(AD83,8)="Revenue|",N(U83),0)+IF(LEFT(AE83,8)="Revenue|",N(T83),0)</f>
        <v/>
      </c>
      <c r="AG83" s="23">
        <f>IF(LEFT(AA83,5)="COGS|",N(R83),0)+IF(LEFT(AB83,5)="COGS|",N(S83),0)+IF(LEFT(AC83,5)="COGS|",-N(L83),0)+IF(LEFT(AD83,5)="COGS|",-N(U83),0)+IF(LEFT(AE83,5)="COGS|",-N(T83),0)</f>
        <v/>
      </c>
      <c r="AH83" s="23">
        <f>IF(LEFT(AA83,8)="Expense|",N(R83),0)+IF(LEFT(AB83,8)="Expense|",N(S83),0)+IF(LEFT(AC83,8)="Expense|",-N(L83),0)+IF(LEFT(AD83,8)="Expense|",-N(U83),0)+IF(LEFT(AE83,8)="Expense|",-N(T83),0)</f>
        <v/>
      </c>
      <c r="AI83" s="23">
        <f>IF(ISNUMBER(MATCH(AA83,{"Expense|employee","Expense|general_admin","Expense|marketing","Expense|utilities","Expense|other_operating"},0)),N(R83),0)+IF(ISNUMBER(MATCH(AB83,{"Expense|employee","Expense|general_admin","Expense|marketing","Expense|utilities","Expense|other_operating"},0)),N(S83),0)+IF(ISNUMBER(MATCH(AC83,{"Expense|employee","Expense|general_admin","Expense|marketing","Expense|utilities","Expense|other_operating"},0)),-N(L83),0)+IF(ISNUMBER(MATCH(AD83,{"Expense|employee","Expense|general_admin","Expense|marketing","Expense|utilities","Expense|other_operating"},0)),-N(U83),0)+IF(ISNUMBER(MATCH(AE83,{"Expense|employee","Expense|general_admin","Expense|marketing","Expense|utilities","Expense|other_operating"},0)),-N(T83),0)</f>
        <v/>
      </c>
      <c r="AJ83" s="23">
        <f>IF(AA83="Liability|payable",-N(R83),0)+IF(AB83="Liability|payable",-N(S83),0)+IF(AC83="Liability|payable",N(L83),0)+IF(AD83="Liability|payable",N(U83),0)+IF(AE83="Liability|payable",N(T83),0)</f>
        <v/>
      </c>
      <c r="AK83" s="23">
        <f>IF(AA83="Liability|accrued",-N(R83),0)+IF(AB83="Liability|accrued",-N(S83),0)+IF(AC83="Liability|accrued",N(L83),0)+IF(AD83="Liability|accrued",N(U83),0)+IF(AE83="Liability|accrued",N(T83),0)</f>
        <v/>
      </c>
      <c r="AL83" s="23">
        <f>IF(AND(N(R83)&lt;&gt;0,AA83=""),1,0)+IF(AND(N(S83)&lt;&gt;0,AB83=""),1,0)+IF(AND(N(L83)&lt;&gt;0,AC83=""),1,0)+IF(AND(N(U83)&lt;&gt;0,AD83=""),1,0)+IF(AND(N(T83)&lt;&gt;0,AE83=""),1,0)</f>
        <v/>
      </c>
    </row>
    <row r="84">
      <c r="A84" s="19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20" t="n"/>
      <c r="K84" s="20" t="n"/>
      <c r="L84" s="20" t="n"/>
      <c r="M84" s="14" t="n"/>
      <c r="N84" s="14" t="n"/>
      <c r="O84" s="14" t="n"/>
      <c r="P84" s="14" t="n"/>
      <c r="Q84" s="14" t="n"/>
      <c r="R84" s="21">
        <f>ROUND(N(H84)*N(J84)-N(K84),2)</f>
        <v/>
      </c>
      <c r="S84" s="21">
        <f>ROUND(R84*IFERROR(VLOOKUP(P84,'Tax Codes'!$A$5:$E$300,5,FALSE),0),2)</f>
        <v/>
      </c>
      <c r="T84" s="21">
        <f>ROUND(R84*IFERROR(VLOOKUP(Q84,'Tax Codes'!$A$5:$E$300,5,FALSE),0),2)</f>
        <v/>
      </c>
      <c r="U84" s="21">
        <f>R84+S84-T84-N(L84)</f>
        <v/>
      </c>
      <c r="V84" s="16">
        <f>IF(C84="",INDEX('Chart of Accounts'!$A$5:$A$3000,MATCH("materials",'Chart of Accounts'!$F$5:$F$3000,0)),C84&amp;"")</f>
        <v/>
      </c>
      <c r="W84" s="16">
        <f>IF(N84="",INDEX('Chart of Accounts'!$A$5:$A$3000,MATCH("bank",'Chart of Accounts'!$F$5:$F$3000,0)),N84&amp;"")</f>
        <v/>
      </c>
      <c r="X84" s="16">
        <f>IF(O84="",INDEX('Chart of Accounts'!$A$5:$A$3000,MATCH("ap",'Chart of Accounts'!$F$5:$F$3000,0)),O84&amp;"")</f>
        <v/>
      </c>
      <c r="Y84" s="16">
        <f>INDEX('Chart of Accounts'!$A$5:$A$3000,MATCH("vat_input",'Chart of Accounts'!$F$5:$F$3000,0))</f>
        <v/>
      </c>
      <c r="Z84" s="16">
        <f>INDEX('Chart of Accounts'!$A$5:$A$3000,MATCH("wht_payable",'Chart of Accounts'!$F$5:$F$3000,0))</f>
        <v/>
      </c>
      <c r="AA84" s="23">
        <f>IFERROR(INDEX('Chart of Accounts'!$C$5:$C$3000,MATCH(V84&amp;"",'Chart of Accounts'!$A$5:$A$3000,0))&amp;"|"&amp;INDEX('Chart of Accounts'!$D$5:$D$3000,MATCH(V84&amp;"",'Chart of Accounts'!$A$5:$A$3000,0)),"")</f>
        <v/>
      </c>
      <c r="AB84" s="23">
        <f>IFERROR(INDEX('Chart of Accounts'!$C$5:$C$3000,MATCH(Y84&amp;"",'Chart of Accounts'!$A$5:$A$3000,0))&amp;"|"&amp;INDEX('Chart of Accounts'!$D$5:$D$3000,MATCH(Y84&amp;"",'Chart of Accounts'!$A$5:$A$3000,0)),"")</f>
        <v/>
      </c>
      <c r="AC84" s="23">
        <f>IFERROR(INDEX('Chart of Accounts'!$C$5:$C$3000,MATCH(W84&amp;"",'Chart of Accounts'!$A$5:$A$3000,0))&amp;"|"&amp;INDEX('Chart of Accounts'!$D$5:$D$3000,MATCH(W84&amp;"",'Chart of Accounts'!$A$5:$A$3000,0)),"")</f>
        <v/>
      </c>
      <c r="AD84" s="23">
        <f>IFERROR(INDEX('Chart of Accounts'!$C$5:$C$3000,MATCH(X84&amp;"",'Chart of Accounts'!$A$5:$A$3000,0))&amp;"|"&amp;INDEX('Chart of Accounts'!$D$5:$D$3000,MATCH(X84&amp;"",'Chart of Accounts'!$A$5:$A$3000,0)),"")</f>
        <v/>
      </c>
      <c r="AE84" s="23">
        <f>IFERROR(INDEX('Chart of Accounts'!$C$5:$C$3000,MATCH(Z84&amp;"",'Chart of Accounts'!$A$5:$A$3000,0))&amp;"|"&amp;INDEX('Chart of Accounts'!$D$5:$D$3000,MATCH(Z84&amp;"",'Chart of Accounts'!$A$5:$A$3000,0)),"")</f>
        <v/>
      </c>
      <c r="AF84" s="23">
        <f>IF(LEFT(AA84,8)="Revenue|",-N(R84),0)+IF(LEFT(AB84,8)="Revenue|",-N(S84),0)+IF(LEFT(AC84,8)="Revenue|",N(L84),0)+IF(LEFT(AD84,8)="Revenue|",N(U84),0)+IF(LEFT(AE84,8)="Revenue|",N(T84),0)</f>
        <v/>
      </c>
      <c r="AG84" s="23">
        <f>IF(LEFT(AA84,5)="COGS|",N(R84),0)+IF(LEFT(AB84,5)="COGS|",N(S84),0)+IF(LEFT(AC84,5)="COGS|",-N(L84),0)+IF(LEFT(AD84,5)="COGS|",-N(U84),0)+IF(LEFT(AE84,5)="COGS|",-N(T84),0)</f>
        <v/>
      </c>
      <c r="AH84" s="23">
        <f>IF(LEFT(AA84,8)="Expense|",N(R84),0)+IF(LEFT(AB84,8)="Expense|",N(S84),0)+IF(LEFT(AC84,8)="Expense|",-N(L84),0)+IF(LEFT(AD84,8)="Expense|",-N(U84),0)+IF(LEFT(AE84,8)="Expense|",-N(T84),0)</f>
        <v/>
      </c>
      <c r="AI84" s="23">
        <f>IF(ISNUMBER(MATCH(AA84,{"Expense|employee","Expense|general_admin","Expense|marketing","Expense|utilities","Expense|other_operating"},0)),N(R84),0)+IF(ISNUMBER(MATCH(AB84,{"Expense|employee","Expense|general_admin","Expense|marketing","Expense|utilities","Expense|other_operating"},0)),N(S84),0)+IF(ISNUMBER(MATCH(AC84,{"Expense|employee","Expense|general_admin","Expense|marketing","Expense|utilities","Expense|other_operating"},0)),-N(L84),0)+IF(ISNUMBER(MATCH(AD84,{"Expense|employee","Expense|general_admin","Expense|marketing","Expense|utilities","Expense|other_operating"},0)),-N(U84),0)+IF(ISNUMBER(MATCH(AE84,{"Expense|employee","Expense|general_admin","Expense|marketing","Expense|utilities","Expense|other_operating"},0)),-N(T84),0)</f>
        <v/>
      </c>
      <c r="AJ84" s="23">
        <f>IF(AA84="Liability|payable",-N(R84),0)+IF(AB84="Liability|payable",-N(S84),0)+IF(AC84="Liability|payable",N(L84),0)+IF(AD84="Liability|payable",N(U84),0)+IF(AE84="Liability|payable",N(T84),0)</f>
        <v/>
      </c>
      <c r="AK84" s="23">
        <f>IF(AA84="Liability|accrued",-N(R84),0)+IF(AB84="Liability|accrued",-N(S84),0)+IF(AC84="Liability|accrued",N(L84),0)+IF(AD84="Liability|accrued",N(U84),0)+IF(AE84="Liability|accrued",N(T84),0)</f>
        <v/>
      </c>
      <c r="AL84" s="23">
        <f>IF(AND(N(R84)&lt;&gt;0,AA84=""),1,0)+IF(AND(N(S84)&lt;&gt;0,AB84=""),1,0)+IF(AND(N(L84)&lt;&gt;0,AC84=""),1,0)+IF(AND(N(U84)&lt;&gt;0,AD84=""),1,0)+IF(AND(N(T84)&lt;&gt;0,AE84=""),1,0)</f>
        <v/>
      </c>
    </row>
    <row r="85">
      <c r="A85" s="19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20" t="n"/>
      <c r="K85" s="20" t="n"/>
      <c r="L85" s="20" t="n"/>
      <c r="M85" s="14" t="n"/>
      <c r="N85" s="14" t="n"/>
      <c r="O85" s="14" t="n"/>
      <c r="P85" s="14" t="n"/>
      <c r="Q85" s="14" t="n"/>
      <c r="R85" s="21">
        <f>ROUND(N(H85)*N(J85)-N(K85),2)</f>
        <v/>
      </c>
      <c r="S85" s="21">
        <f>ROUND(R85*IFERROR(VLOOKUP(P85,'Tax Codes'!$A$5:$E$300,5,FALSE),0),2)</f>
        <v/>
      </c>
      <c r="T85" s="21">
        <f>ROUND(R85*IFERROR(VLOOKUP(Q85,'Tax Codes'!$A$5:$E$300,5,FALSE),0),2)</f>
        <v/>
      </c>
      <c r="U85" s="21">
        <f>R85+S85-T85-N(L85)</f>
        <v/>
      </c>
      <c r="V85" s="16">
        <f>IF(C85="",INDEX('Chart of Accounts'!$A$5:$A$3000,MATCH("materials",'Chart of Accounts'!$F$5:$F$3000,0)),C85&amp;"")</f>
        <v/>
      </c>
      <c r="W85" s="16">
        <f>IF(N85="",INDEX('Chart of Accounts'!$A$5:$A$3000,MATCH("bank",'Chart of Accounts'!$F$5:$F$3000,0)),N85&amp;"")</f>
        <v/>
      </c>
      <c r="X85" s="16">
        <f>IF(O85="",INDEX('Chart of Accounts'!$A$5:$A$3000,MATCH("ap",'Chart of Accounts'!$F$5:$F$3000,0)),O85&amp;"")</f>
        <v/>
      </c>
      <c r="Y85" s="16">
        <f>INDEX('Chart of Accounts'!$A$5:$A$3000,MATCH("vat_input",'Chart of Accounts'!$F$5:$F$3000,0))</f>
        <v/>
      </c>
      <c r="Z85" s="16">
        <f>INDEX('Chart of Accounts'!$A$5:$A$3000,MATCH("wht_payable",'Chart of Accounts'!$F$5:$F$3000,0))</f>
        <v/>
      </c>
      <c r="AA85" s="23">
        <f>IFERROR(INDEX('Chart of Accounts'!$C$5:$C$3000,MATCH(V85&amp;"",'Chart of Accounts'!$A$5:$A$3000,0))&amp;"|"&amp;INDEX('Chart of Accounts'!$D$5:$D$3000,MATCH(V85&amp;"",'Chart of Accounts'!$A$5:$A$3000,0)),"")</f>
        <v/>
      </c>
      <c r="AB85" s="23">
        <f>IFERROR(INDEX('Chart of Accounts'!$C$5:$C$3000,MATCH(Y85&amp;"",'Chart of Accounts'!$A$5:$A$3000,0))&amp;"|"&amp;INDEX('Chart of Accounts'!$D$5:$D$3000,MATCH(Y85&amp;"",'Chart of Accounts'!$A$5:$A$3000,0)),"")</f>
        <v/>
      </c>
      <c r="AC85" s="23">
        <f>IFERROR(INDEX('Chart of Accounts'!$C$5:$C$3000,MATCH(W85&amp;"",'Chart of Accounts'!$A$5:$A$3000,0))&amp;"|"&amp;INDEX('Chart of Accounts'!$D$5:$D$3000,MATCH(W85&amp;"",'Chart of Accounts'!$A$5:$A$3000,0)),"")</f>
        <v/>
      </c>
      <c r="AD85" s="23">
        <f>IFERROR(INDEX('Chart of Accounts'!$C$5:$C$3000,MATCH(X85&amp;"",'Chart of Accounts'!$A$5:$A$3000,0))&amp;"|"&amp;INDEX('Chart of Accounts'!$D$5:$D$3000,MATCH(X85&amp;"",'Chart of Accounts'!$A$5:$A$3000,0)),"")</f>
        <v/>
      </c>
      <c r="AE85" s="23">
        <f>IFERROR(INDEX('Chart of Accounts'!$C$5:$C$3000,MATCH(Z85&amp;"",'Chart of Accounts'!$A$5:$A$3000,0))&amp;"|"&amp;INDEX('Chart of Accounts'!$D$5:$D$3000,MATCH(Z85&amp;"",'Chart of Accounts'!$A$5:$A$3000,0)),"")</f>
        <v/>
      </c>
      <c r="AF85" s="23">
        <f>IF(LEFT(AA85,8)="Revenue|",-N(R85),0)+IF(LEFT(AB85,8)="Revenue|",-N(S85),0)+IF(LEFT(AC85,8)="Revenue|",N(L85),0)+IF(LEFT(AD85,8)="Revenue|",N(U85),0)+IF(LEFT(AE85,8)="Revenue|",N(T85),0)</f>
        <v/>
      </c>
      <c r="AG85" s="23">
        <f>IF(LEFT(AA85,5)="COGS|",N(R85),0)+IF(LEFT(AB85,5)="COGS|",N(S85),0)+IF(LEFT(AC85,5)="COGS|",-N(L85),0)+IF(LEFT(AD85,5)="COGS|",-N(U85),0)+IF(LEFT(AE85,5)="COGS|",-N(T85),0)</f>
        <v/>
      </c>
      <c r="AH85" s="23">
        <f>IF(LEFT(AA85,8)="Expense|",N(R85),0)+IF(LEFT(AB85,8)="Expense|",N(S85),0)+IF(LEFT(AC85,8)="Expense|",-N(L85),0)+IF(LEFT(AD85,8)="Expense|",-N(U85),0)+IF(LEFT(AE85,8)="Expense|",-N(T85),0)</f>
        <v/>
      </c>
      <c r="AI85" s="23">
        <f>IF(ISNUMBER(MATCH(AA85,{"Expense|employee","Expense|general_admin","Expense|marketing","Expense|utilities","Expense|other_operating"},0)),N(R85),0)+IF(ISNUMBER(MATCH(AB85,{"Expense|employee","Expense|general_admin","Expense|marketing","Expense|utilities","Expense|other_operating"},0)),N(S85),0)+IF(ISNUMBER(MATCH(AC85,{"Expense|employee","Expense|general_admin","Expense|marketing","Expense|utilities","Expense|other_operating"},0)),-N(L85),0)+IF(ISNUMBER(MATCH(AD85,{"Expense|employee","Expense|general_admin","Expense|marketing","Expense|utilities","Expense|other_operating"},0)),-N(U85),0)+IF(ISNUMBER(MATCH(AE85,{"Expense|employee","Expense|general_admin","Expense|marketing","Expense|utilities","Expense|other_operating"},0)),-N(T85),0)</f>
        <v/>
      </c>
      <c r="AJ85" s="23">
        <f>IF(AA85="Liability|payable",-N(R85),0)+IF(AB85="Liability|payable",-N(S85),0)+IF(AC85="Liability|payable",N(L85),0)+IF(AD85="Liability|payable",N(U85),0)+IF(AE85="Liability|payable",N(T85),0)</f>
        <v/>
      </c>
      <c r="AK85" s="23">
        <f>IF(AA85="Liability|accrued",-N(R85),0)+IF(AB85="Liability|accrued",-N(S85),0)+IF(AC85="Liability|accrued",N(L85),0)+IF(AD85="Liability|accrued",N(U85),0)+IF(AE85="Liability|accrued",N(T85),0)</f>
        <v/>
      </c>
      <c r="AL85" s="23">
        <f>IF(AND(N(R85)&lt;&gt;0,AA85=""),1,0)+IF(AND(N(S85)&lt;&gt;0,AB85=""),1,0)+IF(AND(N(L85)&lt;&gt;0,AC85=""),1,0)+IF(AND(N(U85)&lt;&gt;0,AD85=""),1,0)+IF(AND(N(T85)&lt;&gt;0,AE85=""),1,0)</f>
        <v/>
      </c>
    </row>
    <row r="86">
      <c r="A86" s="19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20" t="n"/>
      <c r="K86" s="20" t="n"/>
      <c r="L86" s="20" t="n"/>
      <c r="M86" s="14" t="n"/>
      <c r="N86" s="14" t="n"/>
      <c r="O86" s="14" t="n"/>
      <c r="P86" s="14" t="n"/>
      <c r="Q86" s="14" t="n"/>
      <c r="R86" s="21">
        <f>ROUND(N(H86)*N(J86)-N(K86),2)</f>
        <v/>
      </c>
      <c r="S86" s="21">
        <f>ROUND(R86*IFERROR(VLOOKUP(P86,'Tax Codes'!$A$5:$E$300,5,FALSE),0),2)</f>
        <v/>
      </c>
      <c r="T86" s="21">
        <f>ROUND(R86*IFERROR(VLOOKUP(Q86,'Tax Codes'!$A$5:$E$300,5,FALSE),0),2)</f>
        <v/>
      </c>
      <c r="U86" s="21">
        <f>R86+S86-T86-N(L86)</f>
        <v/>
      </c>
      <c r="V86" s="16">
        <f>IF(C86="",INDEX('Chart of Accounts'!$A$5:$A$3000,MATCH("materials",'Chart of Accounts'!$F$5:$F$3000,0)),C86&amp;"")</f>
        <v/>
      </c>
      <c r="W86" s="16">
        <f>IF(N86="",INDEX('Chart of Accounts'!$A$5:$A$3000,MATCH("bank",'Chart of Accounts'!$F$5:$F$3000,0)),N86&amp;"")</f>
        <v/>
      </c>
      <c r="X86" s="16">
        <f>IF(O86="",INDEX('Chart of Accounts'!$A$5:$A$3000,MATCH("ap",'Chart of Accounts'!$F$5:$F$3000,0)),O86&amp;"")</f>
        <v/>
      </c>
      <c r="Y86" s="16">
        <f>INDEX('Chart of Accounts'!$A$5:$A$3000,MATCH("vat_input",'Chart of Accounts'!$F$5:$F$3000,0))</f>
        <v/>
      </c>
      <c r="Z86" s="16">
        <f>INDEX('Chart of Accounts'!$A$5:$A$3000,MATCH("wht_payable",'Chart of Accounts'!$F$5:$F$3000,0))</f>
        <v/>
      </c>
      <c r="AA86" s="23">
        <f>IFERROR(INDEX('Chart of Accounts'!$C$5:$C$3000,MATCH(V86&amp;"",'Chart of Accounts'!$A$5:$A$3000,0))&amp;"|"&amp;INDEX('Chart of Accounts'!$D$5:$D$3000,MATCH(V86&amp;"",'Chart of Accounts'!$A$5:$A$3000,0)),"")</f>
        <v/>
      </c>
      <c r="AB86" s="23">
        <f>IFERROR(INDEX('Chart of Accounts'!$C$5:$C$3000,MATCH(Y86&amp;"",'Chart of Accounts'!$A$5:$A$3000,0))&amp;"|"&amp;INDEX('Chart of Accounts'!$D$5:$D$3000,MATCH(Y86&amp;"",'Chart of Accounts'!$A$5:$A$3000,0)),"")</f>
        <v/>
      </c>
      <c r="AC86" s="23">
        <f>IFERROR(INDEX('Chart of Accounts'!$C$5:$C$3000,MATCH(W86&amp;"",'Chart of Accounts'!$A$5:$A$3000,0))&amp;"|"&amp;INDEX('Chart of Accounts'!$D$5:$D$3000,MATCH(W86&amp;"",'Chart of Accounts'!$A$5:$A$3000,0)),"")</f>
        <v/>
      </c>
      <c r="AD86" s="23">
        <f>IFERROR(INDEX('Chart of Accounts'!$C$5:$C$3000,MATCH(X86&amp;"",'Chart of Accounts'!$A$5:$A$3000,0))&amp;"|"&amp;INDEX('Chart of Accounts'!$D$5:$D$3000,MATCH(X86&amp;"",'Chart of Accounts'!$A$5:$A$3000,0)),"")</f>
        <v/>
      </c>
      <c r="AE86" s="23">
        <f>IFERROR(INDEX('Chart of Accounts'!$C$5:$C$3000,MATCH(Z86&amp;"",'Chart of Accounts'!$A$5:$A$3000,0))&amp;"|"&amp;INDEX('Chart of Accounts'!$D$5:$D$3000,MATCH(Z86&amp;"",'Chart of Accounts'!$A$5:$A$3000,0)),"")</f>
        <v/>
      </c>
      <c r="AF86" s="23">
        <f>IF(LEFT(AA86,8)="Revenue|",-N(R86),0)+IF(LEFT(AB86,8)="Revenue|",-N(S86),0)+IF(LEFT(AC86,8)="Revenue|",N(L86),0)+IF(LEFT(AD86,8)="Revenue|",N(U86),0)+IF(LEFT(AE86,8)="Revenue|",N(T86),0)</f>
        <v/>
      </c>
      <c r="AG86" s="23">
        <f>IF(LEFT(AA86,5)="COGS|",N(R86),0)+IF(LEFT(AB86,5)="COGS|",N(S86),0)+IF(LEFT(AC86,5)="COGS|",-N(L86),0)+IF(LEFT(AD86,5)="COGS|",-N(U86),0)+IF(LEFT(AE86,5)="COGS|",-N(T86),0)</f>
        <v/>
      </c>
      <c r="AH86" s="23">
        <f>IF(LEFT(AA86,8)="Expense|",N(R86),0)+IF(LEFT(AB86,8)="Expense|",N(S86),0)+IF(LEFT(AC86,8)="Expense|",-N(L86),0)+IF(LEFT(AD86,8)="Expense|",-N(U86),0)+IF(LEFT(AE86,8)="Expense|",-N(T86),0)</f>
        <v/>
      </c>
      <c r="AI86" s="23">
        <f>IF(ISNUMBER(MATCH(AA86,{"Expense|employee","Expense|general_admin","Expense|marketing","Expense|utilities","Expense|other_operating"},0)),N(R86),0)+IF(ISNUMBER(MATCH(AB86,{"Expense|employee","Expense|general_admin","Expense|marketing","Expense|utilities","Expense|other_operating"},0)),N(S86),0)+IF(ISNUMBER(MATCH(AC86,{"Expense|employee","Expense|general_admin","Expense|marketing","Expense|utilities","Expense|other_operating"},0)),-N(L86),0)+IF(ISNUMBER(MATCH(AD86,{"Expense|employee","Expense|general_admin","Expense|marketing","Expense|utilities","Expense|other_operating"},0)),-N(U86),0)+IF(ISNUMBER(MATCH(AE86,{"Expense|employee","Expense|general_admin","Expense|marketing","Expense|utilities","Expense|other_operating"},0)),-N(T86),0)</f>
        <v/>
      </c>
      <c r="AJ86" s="23">
        <f>IF(AA86="Liability|payable",-N(R86),0)+IF(AB86="Liability|payable",-N(S86),0)+IF(AC86="Liability|payable",N(L86),0)+IF(AD86="Liability|payable",N(U86),0)+IF(AE86="Liability|payable",N(T86),0)</f>
        <v/>
      </c>
      <c r="AK86" s="23">
        <f>IF(AA86="Liability|accrued",-N(R86),0)+IF(AB86="Liability|accrued",-N(S86),0)+IF(AC86="Liability|accrued",N(L86),0)+IF(AD86="Liability|accrued",N(U86),0)+IF(AE86="Liability|accrued",N(T86),0)</f>
        <v/>
      </c>
      <c r="AL86" s="23">
        <f>IF(AND(N(R86)&lt;&gt;0,AA86=""),1,0)+IF(AND(N(S86)&lt;&gt;0,AB86=""),1,0)+IF(AND(N(L86)&lt;&gt;0,AC86=""),1,0)+IF(AND(N(U86)&lt;&gt;0,AD86=""),1,0)+IF(AND(N(T86)&lt;&gt;0,AE86=""),1,0)</f>
        <v/>
      </c>
    </row>
    <row r="87">
      <c r="A87" s="19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20" t="n"/>
      <c r="K87" s="20" t="n"/>
      <c r="L87" s="20" t="n"/>
      <c r="M87" s="14" t="n"/>
      <c r="N87" s="14" t="n"/>
      <c r="O87" s="14" t="n"/>
      <c r="P87" s="14" t="n"/>
      <c r="Q87" s="14" t="n"/>
      <c r="R87" s="21">
        <f>ROUND(N(H87)*N(J87)-N(K87),2)</f>
        <v/>
      </c>
      <c r="S87" s="21">
        <f>ROUND(R87*IFERROR(VLOOKUP(P87,'Tax Codes'!$A$5:$E$300,5,FALSE),0),2)</f>
        <v/>
      </c>
      <c r="T87" s="21">
        <f>ROUND(R87*IFERROR(VLOOKUP(Q87,'Tax Codes'!$A$5:$E$300,5,FALSE),0),2)</f>
        <v/>
      </c>
      <c r="U87" s="21">
        <f>R87+S87-T87-N(L87)</f>
        <v/>
      </c>
      <c r="V87" s="16">
        <f>IF(C87="",INDEX('Chart of Accounts'!$A$5:$A$3000,MATCH("materials",'Chart of Accounts'!$F$5:$F$3000,0)),C87&amp;"")</f>
        <v/>
      </c>
      <c r="W87" s="16">
        <f>IF(N87="",INDEX('Chart of Accounts'!$A$5:$A$3000,MATCH("bank",'Chart of Accounts'!$F$5:$F$3000,0)),N87&amp;"")</f>
        <v/>
      </c>
      <c r="X87" s="16">
        <f>IF(O87="",INDEX('Chart of Accounts'!$A$5:$A$3000,MATCH("ap",'Chart of Accounts'!$F$5:$F$3000,0)),O87&amp;"")</f>
        <v/>
      </c>
      <c r="Y87" s="16">
        <f>INDEX('Chart of Accounts'!$A$5:$A$3000,MATCH("vat_input",'Chart of Accounts'!$F$5:$F$3000,0))</f>
        <v/>
      </c>
      <c r="Z87" s="16">
        <f>INDEX('Chart of Accounts'!$A$5:$A$3000,MATCH("wht_payable",'Chart of Accounts'!$F$5:$F$3000,0))</f>
        <v/>
      </c>
      <c r="AA87" s="23">
        <f>IFERROR(INDEX('Chart of Accounts'!$C$5:$C$3000,MATCH(V87&amp;"",'Chart of Accounts'!$A$5:$A$3000,0))&amp;"|"&amp;INDEX('Chart of Accounts'!$D$5:$D$3000,MATCH(V87&amp;"",'Chart of Accounts'!$A$5:$A$3000,0)),"")</f>
        <v/>
      </c>
      <c r="AB87" s="23">
        <f>IFERROR(INDEX('Chart of Accounts'!$C$5:$C$3000,MATCH(Y87&amp;"",'Chart of Accounts'!$A$5:$A$3000,0))&amp;"|"&amp;INDEX('Chart of Accounts'!$D$5:$D$3000,MATCH(Y87&amp;"",'Chart of Accounts'!$A$5:$A$3000,0)),"")</f>
        <v/>
      </c>
      <c r="AC87" s="23">
        <f>IFERROR(INDEX('Chart of Accounts'!$C$5:$C$3000,MATCH(W87&amp;"",'Chart of Accounts'!$A$5:$A$3000,0))&amp;"|"&amp;INDEX('Chart of Accounts'!$D$5:$D$3000,MATCH(W87&amp;"",'Chart of Accounts'!$A$5:$A$3000,0)),"")</f>
        <v/>
      </c>
      <c r="AD87" s="23">
        <f>IFERROR(INDEX('Chart of Accounts'!$C$5:$C$3000,MATCH(X87&amp;"",'Chart of Accounts'!$A$5:$A$3000,0))&amp;"|"&amp;INDEX('Chart of Accounts'!$D$5:$D$3000,MATCH(X87&amp;"",'Chart of Accounts'!$A$5:$A$3000,0)),"")</f>
        <v/>
      </c>
      <c r="AE87" s="23">
        <f>IFERROR(INDEX('Chart of Accounts'!$C$5:$C$3000,MATCH(Z87&amp;"",'Chart of Accounts'!$A$5:$A$3000,0))&amp;"|"&amp;INDEX('Chart of Accounts'!$D$5:$D$3000,MATCH(Z87&amp;"",'Chart of Accounts'!$A$5:$A$3000,0)),"")</f>
        <v/>
      </c>
      <c r="AF87" s="23">
        <f>IF(LEFT(AA87,8)="Revenue|",-N(R87),0)+IF(LEFT(AB87,8)="Revenue|",-N(S87),0)+IF(LEFT(AC87,8)="Revenue|",N(L87),0)+IF(LEFT(AD87,8)="Revenue|",N(U87),0)+IF(LEFT(AE87,8)="Revenue|",N(T87),0)</f>
        <v/>
      </c>
      <c r="AG87" s="23">
        <f>IF(LEFT(AA87,5)="COGS|",N(R87),0)+IF(LEFT(AB87,5)="COGS|",N(S87),0)+IF(LEFT(AC87,5)="COGS|",-N(L87),0)+IF(LEFT(AD87,5)="COGS|",-N(U87),0)+IF(LEFT(AE87,5)="COGS|",-N(T87),0)</f>
        <v/>
      </c>
      <c r="AH87" s="23">
        <f>IF(LEFT(AA87,8)="Expense|",N(R87),0)+IF(LEFT(AB87,8)="Expense|",N(S87),0)+IF(LEFT(AC87,8)="Expense|",-N(L87),0)+IF(LEFT(AD87,8)="Expense|",-N(U87),0)+IF(LEFT(AE87,8)="Expense|",-N(T87),0)</f>
        <v/>
      </c>
      <c r="AI87" s="23">
        <f>IF(ISNUMBER(MATCH(AA87,{"Expense|employee","Expense|general_admin","Expense|marketing","Expense|utilities","Expense|other_operating"},0)),N(R87),0)+IF(ISNUMBER(MATCH(AB87,{"Expense|employee","Expense|general_admin","Expense|marketing","Expense|utilities","Expense|other_operating"},0)),N(S87),0)+IF(ISNUMBER(MATCH(AC87,{"Expense|employee","Expense|general_admin","Expense|marketing","Expense|utilities","Expense|other_operating"},0)),-N(L87),0)+IF(ISNUMBER(MATCH(AD87,{"Expense|employee","Expense|general_admin","Expense|marketing","Expense|utilities","Expense|other_operating"},0)),-N(U87),0)+IF(ISNUMBER(MATCH(AE87,{"Expense|employee","Expense|general_admin","Expense|marketing","Expense|utilities","Expense|other_operating"},0)),-N(T87),0)</f>
        <v/>
      </c>
      <c r="AJ87" s="23">
        <f>IF(AA87="Liability|payable",-N(R87),0)+IF(AB87="Liability|payable",-N(S87),0)+IF(AC87="Liability|payable",N(L87),0)+IF(AD87="Liability|payable",N(U87),0)+IF(AE87="Liability|payable",N(T87),0)</f>
        <v/>
      </c>
      <c r="AK87" s="23">
        <f>IF(AA87="Liability|accrued",-N(R87),0)+IF(AB87="Liability|accrued",-N(S87),0)+IF(AC87="Liability|accrued",N(L87),0)+IF(AD87="Liability|accrued",N(U87),0)+IF(AE87="Liability|accrued",N(T87),0)</f>
        <v/>
      </c>
      <c r="AL87" s="23">
        <f>IF(AND(N(R87)&lt;&gt;0,AA87=""),1,0)+IF(AND(N(S87)&lt;&gt;0,AB87=""),1,0)+IF(AND(N(L87)&lt;&gt;0,AC87=""),1,0)+IF(AND(N(U87)&lt;&gt;0,AD87=""),1,0)+IF(AND(N(T87)&lt;&gt;0,AE87=""),1,0)</f>
        <v/>
      </c>
    </row>
    <row r="88">
      <c r="A88" s="19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20" t="n"/>
      <c r="K88" s="20" t="n"/>
      <c r="L88" s="20" t="n"/>
      <c r="M88" s="14" t="n"/>
      <c r="N88" s="14" t="n"/>
      <c r="O88" s="14" t="n"/>
      <c r="P88" s="14" t="n"/>
      <c r="Q88" s="14" t="n"/>
      <c r="R88" s="21">
        <f>ROUND(N(H88)*N(J88)-N(K88),2)</f>
        <v/>
      </c>
      <c r="S88" s="21">
        <f>ROUND(R88*IFERROR(VLOOKUP(P88,'Tax Codes'!$A$5:$E$300,5,FALSE),0),2)</f>
        <v/>
      </c>
      <c r="T88" s="21">
        <f>ROUND(R88*IFERROR(VLOOKUP(Q88,'Tax Codes'!$A$5:$E$300,5,FALSE),0),2)</f>
        <v/>
      </c>
      <c r="U88" s="21">
        <f>R88+S88-T88-N(L88)</f>
        <v/>
      </c>
      <c r="V88" s="16">
        <f>IF(C88="",INDEX('Chart of Accounts'!$A$5:$A$3000,MATCH("materials",'Chart of Accounts'!$F$5:$F$3000,0)),C88&amp;"")</f>
        <v/>
      </c>
      <c r="W88" s="16">
        <f>IF(N88="",INDEX('Chart of Accounts'!$A$5:$A$3000,MATCH("bank",'Chart of Accounts'!$F$5:$F$3000,0)),N88&amp;"")</f>
        <v/>
      </c>
      <c r="X88" s="16">
        <f>IF(O88="",INDEX('Chart of Accounts'!$A$5:$A$3000,MATCH("ap",'Chart of Accounts'!$F$5:$F$3000,0)),O88&amp;"")</f>
        <v/>
      </c>
      <c r="Y88" s="16">
        <f>INDEX('Chart of Accounts'!$A$5:$A$3000,MATCH("vat_input",'Chart of Accounts'!$F$5:$F$3000,0))</f>
        <v/>
      </c>
      <c r="Z88" s="16">
        <f>INDEX('Chart of Accounts'!$A$5:$A$3000,MATCH("wht_payable",'Chart of Accounts'!$F$5:$F$3000,0))</f>
        <v/>
      </c>
      <c r="AA88" s="23">
        <f>IFERROR(INDEX('Chart of Accounts'!$C$5:$C$3000,MATCH(V88&amp;"",'Chart of Accounts'!$A$5:$A$3000,0))&amp;"|"&amp;INDEX('Chart of Accounts'!$D$5:$D$3000,MATCH(V88&amp;"",'Chart of Accounts'!$A$5:$A$3000,0)),"")</f>
        <v/>
      </c>
      <c r="AB88" s="23">
        <f>IFERROR(INDEX('Chart of Accounts'!$C$5:$C$3000,MATCH(Y88&amp;"",'Chart of Accounts'!$A$5:$A$3000,0))&amp;"|"&amp;INDEX('Chart of Accounts'!$D$5:$D$3000,MATCH(Y88&amp;"",'Chart of Accounts'!$A$5:$A$3000,0)),"")</f>
        <v/>
      </c>
      <c r="AC88" s="23">
        <f>IFERROR(INDEX('Chart of Accounts'!$C$5:$C$3000,MATCH(W88&amp;"",'Chart of Accounts'!$A$5:$A$3000,0))&amp;"|"&amp;INDEX('Chart of Accounts'!$D$5:$D$3000,MATCH(W88&amp;"",'Chart of Accounts'!$A$5:$A$3000,0)),"")</f>
        <v/>
      </c>
      <c r="AD88" s="23">
        <f>IFERROR(INDEX('Chart of Accounts'!$C$5:$C$3000,MATCH(X88&amp;"",'Chart of Accounts'!$A$5:$A$3000,0))&amp;"|"&amp;INDEX('Chart of Accounts'!$D$5:$D$3000,MATCH(X88&amp;"",'Chart of Accounts'!$A$5:$A$3000,0)),"")</f>
        <v/>
      </c>
      <c r="AE88" s="23">
        <f>IFERROR(INDEX('Chart of Accounts'!$C$5:$C$3000,MATCH(Z88&amp;"",'Chart of Accounts'!$A$5:$A$3000,0))&amp;"|"&amp;INDEX('Chart of Accounts'!$D$5:$D$3000,MATCH(Z88&amp;"",'Chart of Accounts'!$A$5:$A$3000,0)),"")</f>
        <v/>
      </c>
      <c r="AF88" s="23">
        <f>IF(LEFT(AA88,8)="Revenue|",-N(R88),0)+IF(LEFT(AB88,8)="Revenue|",-N(S88),0)+IF(LEFT(AC88,8)="Revenue|",N(L88),0)+IF(LEFT(AD88,8)="Revenue|",N(U88),0)+IF(LEFT(AE88,8)="Revenue|",N(T88),0)</f>
        <v/>
      </c>
      <c r="AG88" s="23">
        <f>IF(LEFT(AA88,5)="COGS|",N(R88),0)+IF(LEFT(AB88,5)="COGS|",N(S88),0)+IF(LEFT(AC88,5)="COGS|",-N(L88),0)+IF(LEFT(AD88,5)="COGS|",-N(U88),0)+IF(LEFT(AE88,5)="COGS|",-N(T88),0)</f>
        <v/>
      </c>
      <c r="AH88" s="23">
        <f>IF(LEFT(AA88,8)="Expense|",N(R88),0)+IF(LEFT(AB88,8)="Expense|",N(S88),0)+IF(LEFT(AC88,8)="Expense|",-N(L88),0)+IF(LEFT(AD88,8)="Expense|",-N(U88),0)+IF(LEFT(AE88,8)="Expense|",-N(T88),0)</f>
        <v/>
      </c>
      <c r="AI88" s="23">
        <f>IF(ISNUMBER(MATCH(AA88,{"Expense|employee","Expense|general_admin","Expense|marketing","Expense|utilities","Expense|other_operating"},0)),N(R88),0)+IF(ISNUMBER(MATCH(AB88,{"Expense|employee","Expense|general_admin","Expense|marketing","Expense|utilities","Expense|other_operating"},0)),N(S88),0)+IF(ISNUMBER(MATCH(AC88,{"Expense|employee","Expense|general_admin","Expense|marketing","Expense|utilities","Expense|other_operating"},0)),-N(L88),0)+IF(ISNUMBER(MATCH(AD88,{"Expense|employee","Expense|general_admin","Expense|marketing","Expense|utilities","Expense|other_operating"},0)),-N(U88),0)+IF(ISNUMBER(MATCH(AE88,{"Expense|employee","Expense|general_admin","Expense|marketing","Expense|utilities","Expense|other_operating"},0)),-N(T88),0)</f>
        <v/>
      </c>
      <c r="AJ88" s="23">
        <f>IF(AA88="Liability|payable",-N(R88),0)+IF(AB88="Liability|payable",-N(S88),0)+IF(AC88="Liability|payable",N(L88),0)+IF(AD88="Liability|payable",N(U88),0)+IF(AE88="Liability|payable",N(T88),0)</f>
        <v/>
      </c>
      <c r="AK88" s="23">
        <f>IF(AA88="Liability|accrued",-N(R88),0)+IF(AB88="Liability|accrued",-N(S88),0)+IF(AC88="Liability|accrued",N(L88),0)+IF(AD88="Liability|accrued",N(U88),0)+IF(AE88="Liability|accrued",N(T88),0)</f>
        <v/>
      </c>
      <c r="AL88" s="23">
        <f>IF(AND(N(R88)&lt;&gt;0,AA88=""),1,0)+IF(AND(N(S88)&lt;&gt;0,AB88=""),1,0)+IF(AND(N(L88)&lt;&gt;0,AC88=""),1,0)+IF(AND(N(U88)&lt;&gt;0,AD88=""),1,0)+IF(AND(N(T88)&lt;&gt;0,AE88=""),1,0)</f>
        <v/>
      </c>
    </row>
    <row r="89">
      <c r="A89" s="19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20" t="n"/>
      <c r="K89" s="20" t="n"/>
      <c r="L89" s="20" t="n"/>
      <c r="M89" s="14" t="n"/>
      <c r="N89" s="14" t="n"/>
      <c r="O89" s="14" t="n"/>
      <c r="P89" s="14" t="n"/>
      <c r="Q89" s="14" t="n"/>
      <c r="R89" s="21">
        <f>ROUND(N(H89)*N(J89)-N(K89),2)</f>
        <v/>
      </c>
      <c r="S89" s="21">
        <f>ROUND(R89*IFERROR(VLOOKUP(P89,'Tax Codes'!$A$5:$E$300,5,FALSE),0),2)</f>
        <v/>
      </c>
      <c r="T89" s="21">
        <f>ROUND(R89*IFERROR(VLOOKUP(Q89,'Tax Codes'!$A$5:$E$300,5,FALSE),0),2)</f>
        <v/>
      </c>
      <c r="U89" s="21">
        <f>R89+S89-T89-N(L89)</f>
        <v/>
      </c>
      <c r="V89" s="16">
        <f>IF(C89="",INDEX('Chart of Accounts'!$A$5:$A$3000,MATCH("materials",'Chart of Accounts'!$F$5:$F$3000,0)),C89&amp;"")</f>
        <v/>
      </c>
      <c r="W89" s="16">
        <f>IF(N89="",INDEX('Chart of Accounts'!$A$5:$A$3000,MATCH("bank",'Chart of Accounts'!$F$5:$F$3000,0)),N89&amp;"")</f>
        <v/>
      </c>
      <c r="X89" s="16">
        <f>IF(O89="",INDEX('Chart of Accounts'!$A$5:$A$3000,MATCH("ap",'Chart of Accounts'!$F$5:$F$3000,0)),O89&amp;"")</f>
        <v/>
      </c>
      <c r="Y89" s="16">
        <f>INDEX('Chart of Accounts'!$A$5:$A$3000,MATCH("vat_input",'Chart of Accounts'!$F$5:$F$3000,0))</f>
        <v/>
      </c>
      <c r="Z89" s="16">
        <f>INDEX('Chart of Accounts'!$A$5:$A$3000,MATCH("wht_payable",'Chart of Accounts'!$F$5:$F$3000,0))</f>
        <v/>
      </c>
      <c r="AA89" s="23">
        <f>IFERROR(INDEX('Chart of Accounts'!$C$5:$C$3000,MATCH(V89&amp;"",'Chart of Accounts'!$A$5:$A$3000,0))&amp;"|"&amp;INDEX('Chart of Accounts'!$D$5:$D$3000,MATCH(V89&amp;"",'Chart of Accounts'!$A$5:$A$3000,0)),"")</f>
        <v/>
      </c>
      <c r="AB89" s="23">
        <f>IFERROR(INDEX('Chart of Accounts'!$C$5:$C$3000,MATCH(Y89&amp;"",'Chart of Accounts'!$A$5:$A$3000,0))&amp;"|"&amp;INDEX('Chart of Accounts'!$D$5:$D$3000,MATCH(Y89&amp;"",'Chart of Accounts'!$A$5:$A$3000,0)),"")</f>
        <v/>
      </c>
      <c r="AC89" s="23">
        <f>IFERROR(INDEX('Chart of Accounts'!$C$5:$C$3000,MATCH(W89&amp;"",'Chart of Accounts'!$A$5:$A$3000,0))&amp;"|"&amp;INDEX('Chart of Accounts'!$D$5:$D$3000,MATCH(W89&amp;"",'Chart of Accounts'!$A$5:$A$3000,0)),"")</f>
        <v/>
      </c>
      <c r="AD89" s="23">
        <f>IFERROR(INDEX('Chart of Accounts'!$C$5:$C$3000,MATCH(X89&amp;"",'Chart of Accounts'!$A$5:$A$3000,0))&amp;"|"&amp;INDEX('Chart of Accounts'!$D$5:$D$3000,MATCH(X89&amp;"",'Chart of Accounts'!$A$5:$A$3000,0)),"")</f>
        <v/>
      </c>
      <c r="AE89" s="23">
        <f>IFERROR(INDEX('Chart of Accounts'!$C$5:$C$3000,MATCH(Z89&amp;"",'Chart of Accounts'!$A$5:$A$3000,0))&amp;"|"&amp;INDEX('Chart of Accounts'!$D$5:$D$3000,MATCH(Z89&amp;"",'Chart of Accounts'!$A$5:$A$3000,0)),"")</f>
        <v/>
      </c>
      <c r="AF89" s="23">
        <f>IF(LEFT(AA89,8)="Revenue|",-N(R89),0)+IF(LEFT(AB89,8)="Revenue|",-N(S89),0)+IF(LEFT(AC89,8)="Revenue|",N(L89),0)+IF(LEFT(AD89,8)="Revenue|",N(U89),0)+IF(LEFT(AE89,8)="Revenue|",N(T89),0)</f>
        <v/>
      </c>
      <c r="AG89" s="23">
        <f>IF(LEFT(AA89,5)="COGS|",N(R89),0)+IF(LEFT(AB89,5)="COGS|",N(S89),0)+IF(LEFT(AC89,5)="COGS|",-N(L89),0)+IF(LEFT(AD89,5)="COGS|",-N(U89),0)+IF(LEFT(AE89,5)="COGS|",-N(T89),0)</f>
        <v/>
      </c>
      <c r="AH89" s="23">
        <f>IF(LEFT(AA89,8)="Expense|",N(R89),0)+IF(LEFT(AB89,8)="Expense|",N(S89),0)+IF(LEFT(AC89,8)="Expense|",-N(L89),0)+IF(LEFT(AD89,8)="Expense|",-N(U89),0)+IF(LEFT(AE89,8)="Expense|",-N(T89),0)</f>
        <v/>
      </c>
      <c r="AI89" s="23">
        <f>IF(ISNUMBER(MATCH(AA89,{"Expense|employee","Expense|general_admin","Expense|marketing","Expense|utilities","Expense|other_operating"},0)),N(R89),0)+IF(ISNUMBER(MATCH(AB89,{"Expense|employee","Expense|general_admin","Expense|marketing","Expense|utilities","Expense|other_operating"},0)),N(S89),0)+IF(ISNUMBER(MATCH(AC89,{"Expense|employee","Expense|general_admin","Expense|marketing","Expense|utilities","Expense|other_operating"},0)),-N(L89),0)+IF(ISNUMBER(MATCH(AD89,{"Expense|employee","Expense|general_admin","Expense|marketing","Expense|utilities","Expense|other_operating"},0)),-N(U89),0)+IF(ISNUMBER(MATCH(AE89,{"Expense|employee","Expense|general_admin","Expense|marketing","Expense|utilities","Expense|other_operating"},0)),-N(T89),0)</f>
        <v/>
      </c>
      <c r="AJ89" s="23">
        <f>IF(AA89="Liability|payable",-N(R89),0)+IF(AB89="Liability|payable",-N(S89),0)+IF(AC89="Liability|payable",N(L89),0)+IF(AD89="Liability|payable",N(U89),0)+IF(AE89="Liability|payable",N(T89),0)</f>
        <v/>
      </c>
      <c r="AK89" s="23">
        <f>IF(AA89="Liability|accrued",-N(R89),0)+IF(AB89="Liability|accrued",-N(S89),0)+IF(AC89="Liability|accrued",N(L89),0)+IF(AD89="Liability|accrued",N(U89),0)+IF(AE89="Liability|accrued",N(T89),0)</f>
        <v/>
      </c>
      <c r="AL89" s="23">
        <f>IF(AND(N(R89)&lt;&gt;0,AA89=""),1,0)+IF(AND(N(S89)&lt;&gt;0,AB89=""),1,0)+IF(AND(N(L89)&lt;&gt;0,AC89=""),1,0)+IF(AND(N(U89)&lt;&gt;0,AD89=""),1,0)+IF(AND(N(T89)&lt;&gt;0,AE89=""),1,0)</f>
        <v/>
      </c>
    </row>
    <row r="90">
      <c r="A90" s="19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20" t="n"/>
      <c r="K90" s="20" t="n"/>
      <c r="L90" s="20" t="n"/>
      <c r="M90" s="14" t="n"/>
      <c r="N90" s="14" t="n"/>
      <c r="O90" s="14" t="n"/>
      <c r="P90" s="14" t="n"/>
      <c r="Q90" s="14" t="n"/>
      <c r="R90" s="21">
        <f>ROUND(N(H90)*N(J90)-N(K90),2)</f>
        <v/>
      </c>
      <c r="S90" s="21">
        <f>ROUND(R90*IFERROR(VLOOKUP(P90,'Tax Codes'!$A$5:$E$300,5,FALSE),0),2)</f>
        <v/>
      </c>
      <c r="T90" s="21">
        <f>ROUND(R90*IFERROR(VLOOKUP(Q90,'Tax Codes'!$A$5:$E$300,5,FALSE),0),2)</f>
        <v/>
      </c>
      <c r="U90" s="21">
        <f>R90+S90-T90-N(L90)</f>
        <v/>
      </c>
      <c r="V90" s="16">
        <f>IF(C90="",INDEX('Chart of Accounts'!$A$5:$A$3000,MATCH("materials",'Chart of Accounts'!$F$5:$F$3000,0)),C90&amp;"")</f>
        <v/>
      </c>
      <c r="W90" s="16">
        <f>IF(N90="",INDEX('Chart of Accounts'!$A$5:$A$3000,MATCH("bank",'Chart of Accounts'!$F$5:$F$3000,0)),N90&amp;"")</f>
        <v/>
      </c>
      <c r="X90" s="16">
        <f>IF(O90="",INDEX('Chart of Accounts'!$A$5:$A$3000,MATCH("ap",'Chart of Accounts'!$F$5:$F$3000,0)),O90&amp;"")</f>
        <v/>
      </c>
      <c r="Y90" s="16">
        <f>INDEX('Chart of Accounts'!$A$5:$A$3000,MATCH("vat_input",'Chart of Accounts'!$F$5:$F$3000,0))</f>
        <v/>
      </c>
      <c r="Z90" s="16">
        <f>INDEX('Chart of Accounts'!$A$5:$A$3000,MATCH("wht_payable",'Chart of Accounts'!$F$5:$F$3000,0))</f>
        <v/>
      </c>
      <c r="AA90" s="23">
        <f>IFERROR(INDEX('Chart of Accounts'!$C$5:$C$3000,MATCH(V90&amp;"",'Chart of Accounts'!$A$5:$A$3000,0))&amp;"|"&amp;INDEX('Chart of Accounts'!$D$5:$D$3000,MATCH(V90&amp;"",'Chart of Accounts'!$A$5:$A$3000,0)),"")</f>
        <v/>
      </c>
      <c r="AB90" s="23">
        <f>IFERROR(INDEX('Chart of Accounts'!$C$5:$C$3000,MATCH(Y90&amp;"",'Chart of Accounts'!$A$5:$A$3000,0))&amp;"|"&amp;INDEX('Chart of Accounts'!$D$5:$D$3000,MATCH(Y90&amp;"",'Chart of Accounts'!$A$5:$A$3000,0)),"")</f>
        <v/>
      </c>
      <c r="AC90" s="23">
        <f>IFERROR(INDEX('Chart of Accounts'!$C$5:$C$3000,MATCH(W90&amp;"",'Chart of Accounts'!$A$5:$A$3000,0))&amp;"|"&amp;INDEX('Chart of Accounts'!$D$5:$D$3000,MATCH(W90&amp;"",'Chart of Accounts'!$A$5:$A$3000,0)),"")</f>
        <v/>
      </c>
      <c r="AD90" s="23">
        <f>IFERROR(INDEX('Chart of Accounts'!$C$5:$C$3000,MATCH(X90&amp;"",'Chart of Accounts'!$A$5:$A$3000,0))&amp;"|"&amp;INDEX('Chart of Accounts'!$D$5:$D$3000,MATCH(X90&amp;"",'Chart of Accounts'!$A$5:$A$3000,0)),"")</f>
        <v/>
      </c>
      <c r="AE90" s="23">
        <f>IFERROR(INDEX('Chart of Accounts'!$C$5:$C$3000,MATCH(Z90&amp;"",'Chart of Accounts'!$A$5:$A$3000,0))&amp;"|"&amp;INDEX('Chart of Accounts'!$D$5:$D$3000,MATCH(Z90&amp;"",'Chart of Accounts'!$A$5:$A$3000,0)),"")</f>
        <v/>
      </c>
      <c r="AF90" s="23">
        <f>IF(LEFT(AA90,8)="Revenue|",-N(R90),0)+IF(LEFT(AB90,8)="Revenue|",-N(S90),0)+IF(LEFT(AC90,8)="Revenue|",N(L90),0)+IF(LEFT(AD90,8)="Revenue|",N(U90),0)+IF(LEFT(AE90,8)="Revenue|",N(T90),0)</f>
        <v/>
      </c>
      <c r="AG90" s="23">
        <f>IF(LEFT(AA90,5)="COGS|",N(R90),0)+IF(LEFT(AB90,5)="COGS|",N(S90),0)+IF(LEFT(AC90,5)="COGS|",-N(L90),0)+IF(LEFT(AD90,5)="COGS|",-N(U90),0)+IF(LEFT(AE90,5)="COGS|",-N(T90),0)</f>
        <v/>
      </c>
      <c r="AH90" s="23">
        <f>IF(LEFT(AA90,8)="Expense|",N(R90),0)+IF(LEFT(AB90,8)="Expense|",N(S90),0)+IF(LEFT(AC90,8)="Expense|",-N(L90),0)+IF(LEFT(AD90,8)="Expense|",-N(U90),0)+IF(LEFT(AE90,8)="Expense|",-N(T90),0)</f>
        <v/>
      </c>
      <c r="AI90" s="23">
        <f>IF(ISNUMBER(MATCH(AA90,{"Expense|employee","Expense|general_admin","Expense|marketing","Expense|utilities","Expense|other_operating"},0)),N(R90),0)+IF(ISNUMBER(MATCH(AB90,{"Expense|employee","Expense|general_admin","Expense|marketing","Expense|utilities","Expense|other_operating"},0)),N(S90),0)+IF(ISNUMBER(MATCH(AC90,{"Expense|employee","Expense|general_admin","Expense|marketing","Expense|utilities","Expense|other_operating"},0)),-N(L90),0)+IF(ISNUMBER(MATCH(AD90,{"Expense|employee","Expense|general_admin","Expense|marketing","Expense|utilities","Expense|other_operating"},0)),-N(U90),0)+IF(ISNUMBER(MATCH(AE90,{"Expense|employee","Expense|general_admin","Expense|marketing","Expense|utilities","Expense|other_operating"},0)),-N(T90),0)</f>
        <v/>
      </c>
      <c r="AJ90" s="23">
        <f>IF(AA90="Liability|payable",-N(R90),0)+IF(AB90="Liability|payable",-N(S90),0)+IF(AC90="Liability|payable",N(L90),0)+IF(AD90="Liability|payable",N(U90),0)+IF(AE90="Liability|payable",N(T90),0)</f>
        <v/>
      </c>
      <c r="AK90" s="23">
        <f>IF(AA90="Liability|accrued",-N(R90),0)+IF(AB90="Liability|accrued",-N(S90),0)+IF(AC90="Liability|accrued",N(L90),0)+IF(AD90="Liability|accrued",N(U90),0)+IF(AE90="Liability|accrued",N(T90),0)</f>
        <v/>
      </c>
      <c r="AL90" s="23">
        <f>IF(AND(N(R90)&lt;&gt;0,AA90=""),1,0)+IF(AND(N(S90)&lt;&gt;0,AB90=""),1,0)+IF(AND(N(L90)&lt;&gt;0,AC90=""),1,0)+IF(AND(N(U90)&lt;&gt;0,AD90=""),1,0)+IF(AND(N(T90)&lt;&gt;0,AE90=""),1,0)</f>
        <v/>
      </c>
    </row>
    <row r="91">
      <c r="A91" s="19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20" t="n"/>
      <c r="K91" s="20" t="n"/>
      <c r="L91" s="20" t="n"/>
      <c r="M91" s="14" t="n"/>
      <c r="N91" s="14" t="n"/>
      <c r="O91" s="14" t="n"/>
      <c r="P91" s="14" t="n"/>
      <c r="Q91" s="14" t="n"/>
      <c r="R91" s="21">
        <f>ROUND(N(H91)*N(J91)-N(K91),2)</f>
        <v/>
      </c>
      <c r="S91" s="21">
        <f>ROUND(R91*IFERROR(VLOOKUP(P91,'Tax Codes'!$A$5:$E$300,5,FALSE),0),2)</f>
        <v/>
      </c>
      <c r="T91" s="21">
        <f>ROUND(R91*IFERROR(VLOOKUP(Q91,'Tax Codes'!$A$5:$E$300,5,FALSE),0),2)</f>
        <v/>
      </c>
      <c r="U91" s="21">
        <f>R91+S91-T91-N(L91)</f>
        <v/>
      </c>
      <c r="V91" s="16">
        <f>IF(C91="",INDEX('Chart of Accounts'!$A$5:$A$3000,MATCH("materials",'Chart of Accounts'!$F$5:$F$3000,0)),C91&amp;"")</f>
        <v/>
      </c>
      <c r="W91" s="16">
        <f>IF(N91="",INDEX('Chart of Accounts'!$A$5:$A$3000,MATCH("bank",'Chart of Accounts'!$F$5:$F$3000,0)),N91&amp;"")</f>
        <v/>
      </c>
      <c r="X91" s="16">
        <f>IF(O91="",INDEX('Chart of Accounts'!$A$5:$A$3000,MATCH("ap",'Chart of Accounts'!$F$5:$F$3000,0)),O91&amp;"")</f>
        <v/>
      </c>
      <c r="Y91" s="16">
        <f>INDEX('Chart of Accounts'!$A$5:$A$3000,MATCH("vat_input",'Chart of Accounts'!$F$5:$F$3000,0))</f>
        <v/>
      </c>
      <c r="Z91" s="16">
        <f>INDEX('Chart of Accounts'!$A$5:$A$3000,MATCH("wht_payable",'Chart of Accounts'!$F$5:$F$3000,0))</f>
        <v/>
      </c>
      <c r="AA91" s="23">
        <f>IFERROR(INDEX('Chart of Accounts'!$C$5:$C$3000,MATCH(V91&amp;"",'Chart of Accounts'!$A$5:$A$3000,0))&amp;"|"&amp;INDEX('Chart of Accounts'!$D$5:$D$3000,MATCH(V91&amp;"",'Chart of Accounts'!$A$5:$A$3000,0)),"")</f>
        <v/>
      </c>
      <c r="AB91" s="23">
        <f>IFERROR(INDEX('Chart of Accounts'!$C$5:$C$3000,MATCH(Y91&amp;"",'Chart of Accounts'!$A$5:$A$3000,0))&amp;"|"&amp;INDEX('Chart of Accounts'!$D$5:$D$3000,MATCH(Y91&amp;"",'Chart of Accounts'!$A$5:$A$3000,0)),"")</f>
        <v/>
      </c>
      <c r="AC91" s="23">
        <f>IFERROR(INDEX('Chart of Accounts'!$C$5:$C$3000,MATCH(W91&amp;"",'Chart of Accounts'!$A$5:$A$3000,0))&amp;"|"&amp;INDEX('Chart of Accounts'!$D$5:$D$3000,MATCH(W91&amp;"",'Chart of Accounts'!$A$5:$A$3000,0)),"")</f>
        <v/>
      </c>
      <c r="AD91" s="23">
        <f>IFERROR(INDEX('Chart of Accounts'!$C$5:$C$3000,MATCH(X91&amp;"",'Chart of Accounts'!$A$5:$A$3000,0))&amp;"|"&amp;INDEX('Chart of Accounts'!$D$5:$D$3000,MATCH(X91&amp;"",'Chart of Accounts'!$A$5:$A$3000,0)),"")</f>
        <v/>
      </c>
      <c r="AE91" s="23">
        <f>IFERROR(INDEX('Chart of Accounts'!$C$5:$C$3000,MATCH(Z91&amp;"",'Chart of Accounts'!$A$5:$A$3000,0))&amp;"|"&amp;INDEX('Chart of Accounts'!$D$5:$D$3000,MATCH(Z91&amp;"",'Chart of Accounts'!$A$5:$A$3000,0)),"")</f>
        <v/>
      </c>
      <c r="AF91" s="23">
        <f>IF(LEFT(AA91,8)="Revenue|",-N(R91),0)+IF(LEFT(AB91,8)="Revenue|",-N(S91),0)+IF(LEFT(AC91,8)="Revenue|",N(L91),0)+IF(LEFT(AD91,8)="Revenue|",N(U91),0)+IF(LEFT(AE91,8)="Revenue|",N(T91),0)</f>
        <v/>
      </c>
      <c r="AG91" s="23">
        <f>IF(LEFT(AA91,5)="COGS|",N(R91),0)+IF(LEFT(AB91,5)="COGS|",N(S91),0)+IF(LEFT(AC91,5)="COGS|",-N(L91),0)+IF(LEFT(AD91,5)="COGS|",-N(U91),0)+IF(LEFT(AE91,5)="COGS|",-N(T91),0)</f>
        <v/>
      </c>
      <c r="AH91" s="23">
        <f>IF(LEFT(AA91,8)="Expense|",N(R91),0)+IF(LEFT(AB91,8)="Expense|",N(S91),0)+IF(LEFT(AC91,8)="Expense|",-N(L91),0)+IF(LEFT(AD91,8)="Expense|",-N(U91),0)+IF(LEFT(AE91,8)="Expense|",-N(T91),0)</f>
        <v/>
      </c>
      <c r="AI91" s="23">
        <f>IF(ISNUMBER(MATCH(AA91,{"Expense|employee","Expense|general_admin","Expense|marketing","Expense|utilities","Expense|other_operating"},0)),N(R91),0)+IF(ISNUMBER(MATCH(AB91,{"Expense|employee","Expense|general_admin","Expense|marketing","Expense|utilities","Expense|other_operating"},0)),N(S91),0)+IF(ISNUMBER(MATCH(AC91,{"Expense|employee","Expense|general_admin","Expense|marketing","Expense|utilities","Expense|other_operating"},0)),-N(L91),0)+IF(ISNUMBER(MATCH(AD91,{"Expense|employee","Expense|general_admin","Expense|marketing","Expense|utilities","Expense|other_operating"},0)),-N(U91),0)+IF(ISNUMBER(MATCH(AE91,{"Expense|employee","Expense|general_admin","Expense|marketing","Expense|utilities","Expense|other_operating"},0)),-N(T91),0)</f>
        <v/>
      </c>
      <c r="AJ91" s="23">
        <f>IF(AA91="Liability|payable",-N(R91),0)+IF(AB91="Liability|payable",-N(S91),0)+IF(AC91="Liability|payable",N(L91),0)+IF(AD91="Liability|payable",N(U91),0)+IF(AE91="Liability|payable",N(T91),0)</f>
        <v/>
      </c>
      <c r="AK91" s="23">
        <f>IF(AA91="Liability|accrued",-N(R91),0)+IF(AB91="Liability|accrued",-N(S91),0)+IF(AC91="Liability|accrued",N(L91),0)+IF(AD91="Liability|accrued",N(U91),0)+IF(AE91="Liability|accrued",N(T91),0)</f>
        <v/>
      </c>
      <c r="AL91" s="23">
        <f>IF(AND(N(R91)&lt;&gt;0,AA91=""),1,0)+IF(AND(N(S91)&lt;&gt;0,AB91=""),1,0)+IF(AND(N(L91)&lt;&gt;0,AC91=""),1,0)+IF(AND(N(U91)&lt;&gt;0,AD91=""),1,0)+IF(AND(N(T91)&lt;&gt;0,AE91=""),1,0)</f>
        <v/>
      </c>
    </row>
    <row r="92">
      <c r="A92" s="19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20" t="n"/>
      <c r="K92" s="20" t="n"/>
      <c r="L92" s="20" t="n"/>
      <c r="M92" s="14" t="n"/>
      <c r="N92" s="14" t="n"/>
      <c r="O92" s="14" t="n"/>
      <c r="P92" s="14" t="n"/>
      <c r="Q92" s="14" t="n"/>
      <c r="R92" s="21">
        <f>ROUND(N(H92)*N(J92)-N(K92),2)</f>
        <v/>
      </c>
      <c r="S92" s="21">
        <f>ROUND(R92*IFERROR(VLOOKUP(P92,'Tax Codes'!$A$5:$E$300,5,FALSE),0),2)</f>
        <v/>
      </c>
      <c r="T92" s="21">
        <f>ROUND(R92*IFERROR(VLOOKUP(Q92,'Tax Codes'!$A$5:$E$300,5,FALSE),0),2)</f>
        <v/>
      </c>
      <c r="U92" s="21">
        <f>R92+S92-T92-N(L92)</f>
        <v/>
      </c>
      <c r="V92" s="16">
        <f>IF(C92="",INDEX('Chart of Accounts'!$A$5:$A$3000,MATCH("materials",'Chart of Accounts'!$F$5:$F$3000,0)),C92&amp;"")</f>
        <v/>
      </c>
      <c r="W92" s="16">
        <f>IF(N92="",INDEX('Chart of Accounts'!$A$5:$A$3000,MATCH("bank",'Chart of Accounts'!$F$5:$F$3000,0)),N92&amp;"")</f>
        <v/>
      </c>
      <c r="X92" s="16">
        <f>IF(O92="",INDEX('Chart of Accounts'!$A$5:$A$3000,MATCH("ap",'Chart of Accounts'!$F$5:$F$3000,0)),O92&amp;"")</f>
        <v/>
      </c>
      <c r="Y92" s="16">
        <f>INDEX('Chart of Accounts'!$A$5:$A$3000,MATCH("vat_input",'Chart of Accounts'!$F$5:$F$3000,0))</f>
        <v/>
      </c>
      <c r="Z92" s="16">
        <f>INDEX('Chart of Accounts'!$A$5:$A$3000,MATCH("wht_payable",'Chart of Accounts'!$F$5:$F$3000,0))</f>
        <v/>
      </c>
      <c r="AA92" s="23">
        <f>IFERROR(INDEX('Chart of Accounts'!$C$5:$C$3000,MATCH(V92&amp;"",'Chart of Accounts'!$A$5:$A$3000,0))&amp;"|"&amp;INDEX('Chart of Accounts'!$D$5:$D$3000,MATCH(V92&amp;"",'Chart of Accounts'!$A$5:$A$3000,0)),"")</f>
        <v/>
      </c>
      <c r="AB92" s="23">
        <f>IFERROR(INDEX('Chart of Accounts'!$C$5:$C$3000,MATCH(Y92&amp;"",'Chart of Accounts'!$A$5:$A$3000,0))&amp;"|"&amp;INDEX('Chart of Accounts'!$D$5:$D$3000,MATCH(Y92&amp;"",'Chart of Accounts'!$A$5:$A$3000,0)),"")</f>
        <v/>
      </c>
      <c r="AC92" s="23">
        <f>IFERROR(INDEX('Chart of Accounts'!$C$5:$C$3000,MATCH(W92&amp;"",'Chart of Accounts'!$A$5:$A$3000,0))&amp;"|"&amp;INDEX('Chart of Accounts'!$D$5:$D$3000,MATCH(W92&amp;"",'Chart of Accounts'!$A$5:$A$3000,0)),"")</f>
        <v/>
      </c>
      <c r="AD92" s="23">
        <f>IFERROR(INDEX('Chart of Accounts'!$C$5:$C$3000,MATCH(X92&amp;"",'Chart of Accounts'!$A$5:$A$3000,0))&amp;"|"&amp;INDEX('Chart of Accounts'!$D$5:$D$3000,MATCH(X92&amp;"",'Chart of Accounts'!$A$5:$A$3000,0)),"")</f>
        <v/>
      </c>
      <c r="AE92" s="23">
        <f>IFERROR(INDEX('Chart of Accounts'!$C$5:$C$3000,MATCH(Z92&amp;"",'Chart of Accounts'!$A$5:$A$3000,0))&amp;"|"&amp;INDEX('Chart of Accounts'!$D$5:$D$3000,MATCH(Z92&amp;"",'Chart of Accounts'!$A$5:$A$3000,0)),"")</f>
        <v/>
      </c>
      <c r="AF92" s="23">
        <f>IF(LEFT(AA92,8)="Revenue|",-N(R92),0)+IF(LEFT(AB92,8)="Revenue|",-N(S92),0)+IF(LEFT(AC92,8)="Revenue|",N(L92),0)+IF(LEFT(AD92,8)="Revenue|",N(U92),0)+IF(LEFT(AE92,8)="Revenue|",N(T92),0)</f>
        <v/>
      </c>
      <c r="AG92" s="23">
        <f>IF(LEFT(AA92,5)="COGS|",N(R92),0)+IF(LEFT(AB92,5)="COGS|",N(S92),0)+IF(LEFT(AC92,5)="COGS|",-N(L92),0)+IF(LEFT(AD92,5)="COGS|",-N(U92),0)+IF(LEFT(AE92,5)="COGS|",-N(T92),0)</f>
        <v/>
      </c>
      <c r="AH92" s="23">
        <f>IF(LEFT(AA92,8)="Expense|",N(R92),0)+IF(LEFT(AB92,8)="Expense|",N(S92),0)+IF(LEFT(AC92,8)="Expense|",-N(L92),0)+IF(LEFT(AD92,8)="Expense|",-N(U92),0)+IF(LEFT(AE92,8)="Expense|",-N(T92),0)</f>
        <v/>
      </c>
      <c r="AI92" s="23">
        <f>IF(ISNUMBER(MATCH(AA92,{"Expense|employee","Expense|general_admin","Expense|marketing","Expense|utilities","Expense|other_operating"},0)),N(R92),0)+IF(ISNUMBER(MATCH(AB92,{"Expense|employee","Expense|general_admin","Expense|marketing","Expense|utilities","Expense|other_operating"},0)),N(S92),0)+IF(ISNUMBER(MATCH(AC92,{"Expense|employee","Expense|general_admin","Expense|marketing","Expense|utilities","Expense|other_operating"},0)),-N(L92),0)+IF(ISNUMBER(MATCH(AD92,{"Expense|employee","Expense|general_admin","Expense|marketing","Expense|utilities","Expense|other_operating"},0)),-N(U92),0)+IF(ISNUMBER(MATCH(AE92,{"Expense|employee","Expense|general_admin","Expense|marketing","Expense|utilities","Expense|other_operating"},0)),-N(T92),0)</f>
        <v/>
      </c>
      <c r="AJ92" s="23">
        <f>IF(AA92="Liability|payable",-N(R92),0)+IF(AB92="Liability|payable",-N(S92),0)+IF(AC92="Liability|payable",N(L92),0)+IF(AD92="Liability|payable",N(U92),0)+IF(AE92="Liability|payable",N(T92),0)</f>
        <v/>
      </c>
      <c r="AK92" s="23">
        <f>IF(AA92="Liability|accrued",-N(R92),0)+IF(AB92="Liability|accrued",-N(S92),0)+IF(AC92="Liability|accrued",N(L92),0)+IF(AD92="Liability|accrued",N(U92),0)+IF(AE92="Liability|accrued",N(T92),0)</f>
        <v/>
      </c>
      <c r="AL92" s="23">
        <f>IF(AND(N(R92)&lt;&gt;0,AA92=""),1,0)+IF(AND(N(S92)&lt;&gt;0,AB92=""),1,0)+IF(AND(N(L92)&lt;&gt;0,AC92=""),1,0)+IF(AND(N(U92)&lt;&gt;0,AD92=""),1,0)+IF(AND(N(T92)&lt;&gt;0,AE92=""),1,0)</f>
        <v/>
      </c>
    </row>
    <row r="93">
      <c r="A93" s="19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20" t="n"/>
      <c r="K93" s="20" t="n"/>
      <c r="L93" s="20" t="n"/>
      <c r="M93" s="14" t="n"/>
      <c r="N93" s="14" t="n"/>
      <c r="O93" s="14" t="n"/>
      <c r="P93" s="14" t="n"/>
      <c r="Q93" s="14" t="n"/>
      <c r="R93" s="21">
        <f>ROUND(N(H93)*N(J93)-N(K93),2)</f>
        <v/>
      </c>
      <c r="S93" s="21">
        <f>ROUND(R93*IFERROR(VLOOKUP(P93,'Tax Codes'!$A$5:$E$300,5,FALSE),0),2)</f>
        <v/>
      </c>
      <c r="T93" s="21">
        <f>ROUND(R93*IFERROR(VLOOKUP(Q93,'Tax Codes'!$A$5:$E$300,5,FALSE),0),2)</f>
        <v/>
      </c>
      <c r="U93" s="21">
        <f>R93+S93-T93-N(L93)</f>
        <v/>
      </c>
      <c r="V93" s="16">
        <f>IF(C93="",INDEX('Chart of Accounts'!$A$5:$A$3000,MATCH("materials",'Chart of Accounts'!$F$5:$F$3000,0)),C93&amp;"")</f>
        <v/>
      </c>
      <c r="W93" s="16">
        <f>IF(N93="",INDEX('Chart of Accounts'!$A$5:$A$3000,MATCH("bank",'Chart of Accounts'!$F$5:$F$3000,0)),N93&amp;"")</f>
        <v/>
      </c>
      <c r="X93" s="16">
        <f>IF(O93="",INDEX('Chart of Accounts'!$A$5:$A$3000,MATCH("ap",'Chart of Accounts'!$F$5:$F$3000,0)),O93&amp;"")</f>
        <v/>
      </c>
      <c r="Y93" s="16">
        <f>INDEX('Chart of Accounts'!$A$5:$A$3000,MATCH("vat_input",'Chart of Accounts'!$F$5:$F$3000,0))</f>
        <v/>
      </c>
      <c r="Z93" s="16">
        <f>INDEX('Chart of Accounts'!$A$5:$A$3000,MATCH("wht_payable",'Chart of Accounts'!$F$5:$F$3000,0))</f>
        <v/>
      </c>
      <c r="AA93" s="23">
        <f>IFERROR(INDEX('Chart of Accounts'!$C$5:$C$3000,MATCH(V93&amp;"",'Chart of Accounts'!$A$5:$A$3000,0))&amp;"|"&amp;INDEX('Chart of Accounts'!$D$5:$D$3000,MATCH(V93&amp;"",'Chart of Accounts'!$A$5:$A$3000,0)),"")</f>
        <v/>
      </c>
      <c r="AB93" s="23">
        <f>IFERROR(INDEX('Chart of Accounts'!$C$5:$C$3000,MATCH(Y93&amp;"",'Chart of Accounts'!$A$5:$A$3000,0))&amp;"|"&amp;INDEX('Chart of Accounts'!$D$5:$D$3000,MATCH(Y93&amp;"",'Chart of Accounts'!$A$5:$A$3000,0)),"")</f>
        <v/>
      </c>
      <c r="AC93" s="23">
        <f>IFERROR(INDEX('Chart of Accounts'!$C$5:$C$3000,MATCH(W93&amp;"",'Chart of Accounts'!$A$5:$A$3000,0))&amp;"|"&amp;INDEX('Chart of Accounts'!$D$5:$D$3000,MATCH(W93&amp;"",'Chart of Accounts'!$A$5:$A$3000,0)),"")</f>
        <v/>
      </c>
      <c r="AD93" s="23">
        <f>IFERROR(INDEX('Chart of Accounts'!$C$5:$C$3000,MATCH(X93&amp;"",'Chart of Accounts'!$A$5:$A$3000,0))&amp;"|"&amp;INDEX('Chart of Accounts'!$D$5:$D$3000,MATCH(X93&amp;"",'Chart of Accounts'!$A$5:$A$3000,0)),"")</f>
        <v/>
      </c>
      <c r="AE93" s="23">
        <f>IFERROR(INDEX('Chart of Accounts'!$C$5:$C$3000,MATCH(Z93&amp;"",'Chart of Accounts'!$A$5:$A$3000,0))&amp;"|"&amp;INDEX('Chart of Accounts'!$D$5:$D$3000,MATCH(Z93&amp;"",'Chart of Accounts'!$A$5:$A$3000,0)),"")</f>
        <v/>
      </c>
      <c r="AF93" s="23">
        <f>IF(LEFT(AA93,8)="Revenue|",-N(R93),0)+IF(LEFT(AB93,8)="Revenue|",-N(S93),0)+IF(LEFT(AC93,8)="Revenue|",N(L93),0)+IF(LEFT(AD93,8)="Revenue|",N(U93),0)+IF(LEFT(AE93,8)="Revenue|",N(T93),0)</f>
        <v/>
      </c>
      <c r="AG93" s="23">
        <f>IF(LEFT(AA93,5)="COGS|",N(R93),0)+IF(LEFT(AB93,5)="COGS|",N(S93),0)+IF(LEFT(AC93,5)="COGS|",-N(L93),0)+IF(LEFT(AD93,5)="COGS|",-N(U93),0)+IF(LEFT(AE93,5)="COGS|",-N(T93),0)</f>
        <v/>
      </c>
      <c r="AH93" s="23">
        <f>IF(LEFT(AA93,8)="Expense|",N(R93),0)+IF(LEFT(AB93,8)="Expense|",N(S93),0)+IF(LEFT(AC93,8)="Expense|",-N(L93),0)+IF(LEFT(AD93,8)="Expense|",-N(U93),0)+IF(LEFT(AE93,8)="Expense|",-N(T93),0)</f>
        <v/>
      </c>
      <c r="AI93" s="23">
        <f>IF(ISNUMBER(MATCH(AA93,{"Expense|employee","Expense|general_admin","Expense|marketing","Expense|utilities","Expense|other_operating"},0)),N(R93),0)+IF(ISNUMBER(MATCH(AB93,{"Expense|employee","Expense|general_admin","Expense|marketing","Expense|utilities","Expense|other_operating"},0)),N(S93),0)+IF(ISNUMBER(MATCH(AC93,{"Expense|employee","Expense|general_admin","Expense|marketing","Expense|utilities","Expense|other_operating"},0)),-N(L93),0)+IF(ISNUMBER(MATCH(AD93,{"Expense|employee","Expense|general_admin","Expense|marketing","Expense|utilities","Expense|other_operating"},0)),-N(U93),0)+IF(ISNUMBER(MATCH(AE93,{"Expense|employee","Expense|general_admin","Expense|marketing","Expense|utilities","Expense|other_operating"},0)),-N(T93),0)</f>
        <v/>
      </c>
      <c r="AJ93" s="23">
        <f>IF(AA93="Liability|payable",-N(R93),0)+IF(AB93="Liability|payable",-N(S93),0)+IF(AC93="Liability|payable",N(L93),0)+IF(AD93="Liability|payable",N(U93),0)+IF(AE93="Liability|payable",N(T93),0)</f>
        <v/>
      </c>
      <c r="AK93" s="23">
        <f>IF(AA93="Liability|accrued",-N(R93),0)+IF(AB93="Liability|accrued",-N(S93),0)+IF(AC93="Liability|accrued",N(L93),0)+IF(AD93="Liability|accrued",N(U93),0)+IF(AE93="Liability|accrued",N(T93),0)</f>
        <v/>
      </c>
      <c r="AL93" s="23">
        <f>IF(AND(N(R93)&lt;&gt;0,AA93=""),1,0)+IF(AND(N(S93)&lt;&gt;0,AB93=""),1,0)+IF(AND(N(L93)&lt;&gt;0,AC93=""),1,0)+IF(AND(N(U93)&lt;&gt;0,AD93=""),1,0)+IF(AND(N(T93)&lt;&gt;0,AE93=""),1,0)</f>
        <v/>
      </c>
    </row>
    <row r="94">
      <c r="A94" s="19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20" t="n"/>
      <c r="K94" s="20" t="n"/>
      <c r="L94" s="20" t="n"/>
      <c r="M94" s="14" t="n"/>
      <c r="N94" s="14" t="n"/>
      <c r="O94" s="14" t="n"/>
      <c r="P94" s="14" t="n"/>
      <c r="Q94" s="14" t="n"/>
      <c r="R94" s="21">
        <f>ROUND(N(H94)*N(J94)-N(K94),2)</f>
        <v/>
      </c>
      <c r="S94" s="21">
        <f>ROUND(R94*IFERROR(VLOOKUP(P94,'Tax Codes'!$A$5:$E$300,5,FALSE),0),2)</f>
        <v/>
      </c>
      <c r="T94" s="21">
        <f>ROUND(R94*IFERROR(VLOOKUP(Q94,'Tax Codes'!$A$5:$E$300,5,FALSE),0),2)</f>
        <v/>
      </c>
      <c r="U94" s="21">
        <f>R94+S94-T94-N(L94)</f>
        <v/>
      </c>
      <c r="V94" s="16">
        <f>IF(C94="",INDEX('Chart of Accounts'!$A$5:$A$3000,MATCH("materials",'Chart of Accounts'!$F$5:$F$3000,0)),C94&amp;"")</f>
        <v/>
      </c>
      <c r="W94" s="16">
        <f>IF(N94="",INDEX('Chart of Accounts'!$A$5:$A$3000,MATCH("bank",'Chart of Accounts'!$F$5:$F$3000,0)),N94&amp;"")</f>
        <v/>
      </c>
      <c r="X94" s="16">
        <f>IF(O94="",INDEX('Chart of Accounts'!$A$5:$A$3000,MATCH("ap",'Chart of Accounts'!$F$5:$F$3000,0)),O94&amp;"")</f>
        <v/>
      </c>
      <c r="Y94" s="16">
        <f>INDEX('Chart of Accounts'!$A$5:$A$3000,MATCH("vat_input",'Chart of Accounts'!$F$5:$F$3000,0))</f>
        <v/>
      </c>
      <c r="Z94" s="16">
        <f>INDEX('Chart of Accounts'!$A$5:$A$3000,MATCH("wht_payable",'Chart of Accounts'!$F$5:$F$3000,0))</f>
        <v/>
      </c>
      <c r="AA94" s="23">
        <f>IFERROR(INDEX('Chart of Accounts'!$C$5:$C$3000,MATCH(V94&amp;"",'Chart of Accounts'!$A$5:$A$3000,0))&amp;"|"&amp;INDEX('Chart of Accounts'!$D$5:$D$3000,MATCH(V94&amp;"",'Chart of Accounts'!$A$5:$A$3000,0)),"")</f>
        <v/>
      </c>
      <c r="AB94" s="23">
        <f>IFERROR(INDEX('Chart of Accounts'!$C$5:$C$3000,MATCH(Y94&amp;"",'Chart of Accounts'!$A$5:$A$3000,0))&amp;"|"&amp;INDEX('Chart of Accounts'!$D$5:$D$3000,MATCH(Y94&amp;"",'Chart of Accounts'!$A$5:$A$3000,0)),"")</f>
        <v/>
      </c>
      <c r="AC94" s="23">
        <f>IFERROR(INDEX('Chart of Accounts'!$C$5:$C$3000,MATCH(W94&amp;"",'Chart of Accounts'!$A$5:$A$3000,0))&amp;"|"&amp;INDEX('Chart of Accounts'!$D$5:$D$3000,MATCH(W94&amp;"",'Chart of Accounts'!$A$5:$A$3000,0)),"")</f>
        <v/>
      </c>
      <c r="AD94" s="23">
        <f>IFERROR(INDEX('Chart of Accounts'!$C$5:$C$3000,MATCH(X94&amp;"",'Chart of Accounts'!$A$5:$A$3000,0))&amp;"|"&amp;INDEX('Chart of Accounts'!$D$5:$D$3000,MATCH(X94&amp;"",'Chart of Accounts'!$A$5:$A$3000,0)),"")</f>
        <v/>
      </c>
      <c r="AE94" s="23">
        <f>IFERROR(INDEX('Chart of Accounts'!$C$5:$C$3000,MATCH(Z94&amp;"",'Chart of Accounts'!$A$5:$A$3000,0))&amp;"|"&amp;INDEX('Chart of Accounts'!$D$5:$D$3000,MATCH(Z94&amp;"",'Chart of Accounts'!$A$5:$A$3000,0)),"")</f>
        <v/>
      </c>
      <c r="AF94" s="23">
        <f>IF(LEFT(AA94,8)="Revenue|",-N(R94),0)+IF(LEFT(AB94,8)="Revenue|",-N(S94),0)+IF(LEFT(AC94,8)="Revenue|",N(L94),0)+IF(LEFT(AD94,8)="Revenue|",N(U94),0)+IF(LEFT(AE94,8)="Revenue|",N(T94),0)</f>
        <v/>
      </c>
      <c r="AG94" s="23">
        <f>IF(LEFT(AA94,5)="COGS|",N(R94),0)+IF(LEFT(AB94,5)="COGS|",N(S94),0)+IF(LEFT(AC94,5)="COGS|",-N(L94),0)+IF(LEFT(AD94,5)="COGS|",-N(U94),0)+IF(LEFT(AE94,5)="COGS|",-N(T94),0)</f>
        <v/>
      </c>
      <c r="AH94" s="23">
        <f>IF(LEFT(AA94,8)="Expense|",N(R94),0)+IF(LEFT(AB94,8)="Expense|",N(S94),0)+IF(LEFT(AC94,8)="Expense|",-N(L94),0)+IF(LEFT(AD94,8)="Expense|",-N(U94),0)+IF(LEFT(AE94,8)="Expense|",-N(T94),0)</f>
        <v/>
      </c>
      <c r="AI94" s="23">
        <f>IF(ISNUMBER(MATCH(AA94,{"Expense|employee","Expense|general_admin","Expense|marketing","Expense|utilities","Expense|other_operating"},0)),N(R94),0)+IF(ISNUMBER(MATCH(AB94,{"Expense|employee","Expense|general_admin","Expense|marketing","Expense|utilities","Expense|other_operating"},0)),N(S94),0)+IF(ISNUMBER(MATCH(AC94,{"Expense|employee","Expense|general_admin","Expense|marketing","Expense|utilities","Expense|other_operating"},0)),-N(L94),0)+IF(ISNUMBER(MATCH(AD94,{"Expense|employee","Expense|general_admin","Expense|marketing","Expense|utilities","Expense|other_operating"},0)),-N(U94),0)+IF(ISNUMBER(MATCH(AE94,{"Expense|employee","Expense|general_admin","Expense|marketing","Expense|utilities","Expense|other_operating"},0)),-N(T94),0)</f>
        <v/>
      </c>
      <c r="AJ94" s="23">
        <f>IF(AA94="Liability|payable",-N(R94),0)+IF(AB94="Liability|payable",-N(S94),0)+IF(AC94="Liability|payable",N(L94),0)+IF(AD94="Liability|payable",N(U94),0)+IF(AE94="Liability|payable",N(T94),0)</f>
        <v/>
      </c>
      <c r="AK94" s="23">
        <f>IF(AA94="Liability|accrued",-N(R94),0)+IF(AB94="Liability|accrued",-N(S94),0)+IF(AC94="Liability|accrued",N(L94),0)+IF(AD94="Liability|accrued",N(U94),0)+IF(AE94="Liability|accrued",N(T94),0)</f>
        <v/>
      </c>
      <c r="AL94" s="23">
        <f>IF(AND(N(R94)&lt;&gt;0,AA94=""),1,0)+IF(AND(N(S94)&lt;&gt;0,AB94=""),1,0)+IF(AND(N(L94)&lt;&gt;0,AC94=""),1,0)+IF(AND(N(U94)&lt;&gt;0,AD94=""),1,0)+IF(AND(N(T94)&lt;&gt;0,AE94=""),1,0)</f>
        <v/>
      </c>
    </row>
    <row r="95">
      <c r="A95" s="19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20" t="n"/>
      <c r="K95" s="20" t="n"/>
      <c r="L95" s="20" t="n"/>
      <c r="M95" s="14" t="n"/>
      <c r="N95" s="14" t="n"/>
      <c r="O95" s="14" t="n"/>
      <c r="P95" s="14" t="n"/>
      <c r="Q95" s="14" t="n"/>
      <c r="R95" s="21">
        <f>ROUND(N(H95)*N(J95)-N(K95),2)</f>
        <v/>
      </c>
      <c r="S95" s="21">
        <f>ROUND(R95*IFERROR(VLOOKUP(P95,'Tax Codes'!$A$5:$E$300,5,FALSE),0),2)</f>
        <v/>
      </c>
      <c r="T95" s="21">
        <f>ROUND(R95*IFERROR(VLOOKUP(Q95,'Tax Codes'!$A$5:$E$300,5,FALSE),0),2)</f>
        <v/>
      </c>
      <c r="U95" s="21">
        <f>R95+S95-T95-N(L95)</f>
        <v/>
      </c>
      <c r="V95" s="16">
        <f>IF(C95="",INDEX('Chart of Accounts'!$A$5:$A$3000,MATCH("materials",'Chart of Accounts'!$F$5:$F$3000,0)),C95&amp;"")</f>
        <v/>
      </c>
      <c r="W95" s="16">
        <f>IF(N95="",INDEX('Chart of Accounts'!$A$5:$A$3000,MATCH("bank",'Chart of Accounts'!$F$5:$F$3000,0)),N95&amp;"")</f>
        <v/>
      </c>
      <c r="X95" s="16">
        <f>IF(O95="",INDEX('Chart of Accounts'!$A$5:$A$3000,MATCH("ap",'Chart of Accounts'!$F$5:$F$3000,0)),O95&amp;"")</f>
        <v/>
      </c>
      <c r="Y95" s="16">
        <f>INDEX('Chart of Accounts'!$A$5:$A$3000,MATCH("vat_input",'Chart of Accounts'!$F$5:$F$3000,0))</f>
        <v/>
      </c>
      <c r="Z95" s="16">
        <f>INDEX('Chart of Accounts'!$A$5:$A$3000,MATCH("wht_payable",'Chart of Accounts'!$F$5:$F$3000,0))</f>
        <v/>
      </c>
      <c r="AA95" s="23">
        <f>IFERROR(INDEX('Chart of Accounts'!$C$5:$C$3000,MATCH(V95&amp;"",'Chart of Accounts'!$A$5:$A$3000,0))&amp;"|"&amp;INDEX('Chart of Accounts'!$D$5:$D$3000,MATCH(V95&amp;"",'Chart of Accounts'!$A$5:$A$3000,0)),"")</f>
        <v/>
      </c>
      <c r="AB95" s="23">
        <f>IFERROR(INDEX('Chart of Accounts'!$C$5:$C$3000,MATCH(Y95&amp;"",'Chart of Accounts'!$A$5:$A$3000,0))&amp;"|"&amp;INDEX('Chart of Accounts'!$D$5:$D$3000,MATCH(Y95&amp;"",'Chart of Accounts'!$A$5:$A$3000,0)),"")</f>
        <v/>
      </c>
      <c r="AC95" s="23">
        <f>IFERROR(INDEX('Chart of Accounts'!$C$5:$C$3000,MATCH(W95&amp;"",'Chart of Accounts'!$A$5:$A$3000,0))&amp;"|"&amp;INDEX('Chart of Accounts'!$D$5:$D$3000,MATCH(W95&amp;"",'Chart of Accounts'!$A$5:$A$3000,0)),"")</f>
        <v/>
      </c>
      <c r="AD95" s="23">
        <f>IFERROR(INDEX('Chart of Accounts'!$C$5:$C$3000,MATCH(X95&amp;"",'Chart of Accounts'!$A$5:$A$3000,0))&amp;"|"&amp;INDEX('Chart of Accounts'!$D$5:$D$3000,MATCH(X95&amp;"",'Chart of Accounts'!$A$5:$A$3000,0)),"")</f>
        <v/>
      </c>
      <c r="AE95" s="23">
        <f>IFERROR(INDEX('Chart of Accounts'!$C$5:$C$3000,MATCH(Z95&amp;"",'Chart of Accounts'!$A$5:$A$3000,0))&amp;"|"&amp;INDEX('Chart of Accounts'!$D$5:$D$3000,MATCH(Z95&amp;"",'Chart of Accounts'!$A$5:$A$3000,0)),"")</f>
        <v/>
      </c>
      <c r="AF95" s="23">
        <f>IF(LEFT(AA95,8)="Revenue|",-N(R95),0)+IF(LEFT(AB95,8)="Revenue|",-N(S95),0)+IF(LEFT(AC95,8)="Revenue|",N(L95),0)+IF(LEFT(AD95,8)="Revenue|",N(U95),0)+IF(LEFT(AE95,8)="Revenue|",N(T95),0)</f>
        <v/>
      </c>
      <c r="AG95" s="23">
        <f>IF(LEFT(AA95,5)="COGS|",N(R95),0)+IF(LEFT(AB95,5)="COGS|",N(S95),0)+IF(LEFT(AC95,5)="COGS|",-N(L95),0)+IF(LEFT(AD95,5)="COGS|",-N(U95),0)+IF(LEFT(AE95,5)="COGS|",-N(T95),0)</f>
        <v/>
      </c>
      <c r="AH95" s="23">
        <f>IF(LEFT(AA95,8)="Expense|",N(R95),0)+IF(LEFT(AB95,8)="Expense|",N(S95),0)+IF(LEFT(AC95,8)="Expense|",-N(L95),0)+IF(LEFT(AD95,8)="Expense|",-N(U95),0)+IF(LEFT(AE95,8)="Expense|",-N(T95),0)</f>
        <v/>
      </c>
      <c r="AI95" s="23">
        <f>IF(ISNUMBER(MATCH(AA95,{"Expense|employee","Expense|general_admin","Expense|marketing","Expense|utilities","Expense|other_operating"},0)),N(R95),0)+IF(ISNUMBER(MATCH(AB95,{"Expense|employee","Expense|general_admin","Expense|marketing","Expense|utilities","Expense|other_operating"},0)),N(S95),0)+IF(ISNUMBER(MATCH(AC95,{"Expense|employee","Expense|general_admin","Expense|marketing","Expense|utilities","Expense|other_operating"},0)),-N(L95),0)+IF(ISNUMBER(MATCH(AD95,{"Expense|employee","Expense|general_admin","Expense|marketing","Expense|utilities","Expense|other_operating"},0)),-N(U95),0)+IF(ISNUMBER(MATCH(AE95,{"Expense|employee","Expense|general_admin","Expense|marketing","Expense|utilities","Expense|other_operating"},0)),-N(T95),0)</f>
        <v/>
      </c>
      <c r="AJ95" s="23">
        <f>IF(AA95="Liability|payable",-N(R95),0)+IF(AB95="Liability|payable",-N(S95),0)+IF(AC95="Liability|payable",N(L95),0)+IF(AD95="Liability|payable",N(U95),0)+IF(AE95="Liability|payable",N(T95),0)</f>
        <v/>
      </c>
      <c r="AK95" s="23">
        <f>IF(AA95="Liability|accrued",-N(R95),0)+IF(AB95="Liability|accrued",-N(S95),0)+IF(AC95="Liability|accrued",N(L95),0)+IF(AD95="Liability|accrued",N(U95),0)+IF(AE95="Liability|accrued",N(T95),0)</f>
        <v/>
      </c>
      <c r="AL95" s="23">
        <f>IF(AND(N(R95)&lt;&gt;0,AA95=""),1,0)+IF(AND(N(S95)&lt;&gt;0,AB95=""),1,0)+IF(AND(N(L95)&lt;&gt;0,AC95=""),1,0)+IF(AND(N(U95)&lt;&gt;0,AD95=""),1,0)+IF(AND(N(T95)&lt;&gt;0,AE95=""),1,0)</f>
        <v/>
      </c>
    </row>
    <row r="96">
      <c r="A96" s="19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20" t="n"/>
      <c r="K96" s="20" t="n"/>
      <c r="L96" s="20" t="n"/>
      <c r="M96" s="14" t="n"/>
      <c r="N96" s="14" t="n"/>
      <c r="O96" s="14" t="n"/>
      <c r="P96" s="14" t="n"/>
      <c r="Q96" s="14" t="n"/>
      <c r="R96" s="21">
        <f>ROUND(N(H96)*N(J96)-N(K96),2)</f>
        <v/>
      </c>
      <c r="S96" s="21">
        <f>ROUND(R96*IFERROR(VLOOKUP(P96,'Tax Codes'!$A$5:$E$300,5,FALSE),0),2)</f>
        <v/>
      </c>
      <c r="T96" s="21">
        <f>ROUND(R96*IFERROR(VLOOKUP(Q96,'Tax Codes'!$A$5:$E$300,5,FALSE),0),2)</f>
        <v/>
      </c>
      <c r="U96" s="21">
        <f>R96+S96-T96-N(L96)</f>
        <v/>
      </c>
      <c r="V96" s="16">
        <f>IF(C96="",INDEX('Chart of Accounts'!$A$5:$A$3000,MATCH("materials",'Chart of Accounts'!$F$5:$F$3000,0)),C96&amp;"")</f>
        <v/>
      </c>
      <c r="W96" s="16">
        <f>IF(N96="",INDEX('Chart of Accounts'!$A$5:$A$3000,MATCH("bank",'Chart of Accounts'!$F$5:$F$3000,0)),N96&amp;"")</f>
        <v/>
      </c>
      <c r="X96" s="16">
        <f>IF(O96="",INDEX('Chart of Accounts'!$A$5:$A$3000,MATCH("ap",'Chart of Accounts'!$F$5:$F$3000,0)),O96&amp;"")</f>
        <v/>
      </c>
      <c r="Y96" s="16">
        <f>INDEX('Chart of Accounts'!$A$5:$A$3000,MATCH("vat_input",'Chart of Accounts'!$F$5:$F$3000,0))</f>
        <v/>
      </c>
      <c r="Z96" s="16">
        <f>INDEX('Chart of Accounts'!$A$5:$A$3000,MATCH("wht_payable",'Chart of Accounts'!$F$5:$F$3000,0))</f>
        <v/>
      </c>
      <c r="AA96" s="23">
        <f>IFERROR(INDEX('Chart of Accounts'!$C$5:$C$3000,MATCH(V96&amp;"",'Chart of Accounts'!$A$5:$A$3000,0))&amp;"|"&amp;INDEX('Chart of Accounts'!$D$5:$D$3000,MATCH(V96&amp;"",'Chart of Accounts'!$A$5:$A$3000,0)),"")</f>
        <v/>
      </c>
      <c r="AB96" s="23">
        <f>IFERROR(INDEX('Chart of Accounts'!$C$5:$C$3000,MATCH(Y96&amp;"",'Chart of Accounts'!$A$5:$A$3000,0))&amp;"|"&amp;INDEX('Chart of Accounts'!$D$5:$D$3000,MATCH(Y96&amp;"",'Chart of Accounts'!$A$5:$A$3000,0)),"")</f>
        <v/>
      </c>
      <c r="AC96" s="23">
        <f>IFERROR(INDEX('Chart of Accounts'!$C$5:$C$3000,MATCH(W96&amp;"",'Chart of Accounts'!$A$5:$A$3000,0))&amp;"|"&amp;INDEX('Chart of Accounts'!$D$5:$D$3000,MATCH(W96&amp;"",'Chart of Accounts'!$A$5:$A$3000,0)),"")</f>
        <v/>
      </c>
      <c r="AD96" s="23">
        <f>IFERROR(INDEX('Chart of Accounts'!$C$5:$C$3000,MATCH(X96&amp;"",'Chart of Accounts'!$A$5:$A$3000,0))&amp;"|"&amp;INDEX('Chart of Accounts'!$D$5:$D$3000,MATCH(X96&amp;"",'Chart of Accounts'!$A$5:$A$3000,0)),"")</f>
        <v/>
      </c>
      <c r="AE96" s="23">
        <f>IFERROR(INDEX('Chart of Accounts'!$C$5:$C$3000,MATCH(Z96&amp;"",'Chart of Accounts'!$A$5:$A$3000,0))&amp;"|"&amp;INDEX('Chart of Accounts'!$D$5:$D$3000,MATCH(Z96&amp;"",'Chart of Accounts'!$A$5:$A$3000,0)),"")</f>
        <v/>
      </c>
      <c r="AF96" s="23">
        <f>IF(LEFT(AA96,8)="Revenue|",-N(R96),0)+IF(LEFT(AB96,8)="Revenue|",-N(S96),0)+IF(LEFT(AC96,8)="Revenue|",N(L96),0)+IF(LEFT(AD96,8)="Revenue|",N(U96),0)+IF(LEFT(AE96,8)="Revenue|",N(T96),0)</f>
        <v/>
      </c>
      <c r="AG96" s="23">
        <f>IF(LEFT(AA96,5)="COGS|",N(R96),0)+IF(LEFT(AB96,5)="COGS|",N(S96),0)+IF(LEFT(AC96,5)="COGS|",-N(L96),0)+IF(LEFT(AD96,5)="COGS|",-N(U96),0)+IF(LEFT(AE96,5)="COGS|",-N(T96),0)</f>
        <v/>
      </c>
      <c r="AH96" s="23">
        <f>IF(LEFT(AA96,8)="Expense|",N(R96),0)+IF(LEFT(AB96,8)="Expense|",N(S96),0)+IF(LEFT(AC96,8)="Expense|",-N(L96),0)+IF(LEFT(AD96,8)="Expense|",-N(U96),0)+IF(LEFT(AE96,8)="Expense|",-N(T96),0)</f>
        <v/>
      </c>
      <c r="AI96" s="23">
        <f>IF(ISNUMBER(MATCH(AA96,{"Expense|employee","Expense|general_admin","Expense|marketing","Expense|utilities","Expense|other_operating"},0)),N(R96),0)+IF(ISNUMBER(MATCH(AB96,{"Expense|employee","Expense|general_admin","Expense|marketing","Expense|utilities","Expense|other_operating"},0)),N(S96),0)+IF(ISNUMBER(MATCH(AC96,{"Expense|employee","Expense|general_admin","Expense|marketing","Expense|utilities","Expense|other_operating"},0)),-N(L96),0)+IF(ISNUMBER(MATCH(AD96,{"Expense|employee","Expense|general_admin","Expense|marketing","Expense|utilities","Expense|other_operating"},0)),-N(U96),0)+IF(ISNUMBER(MATCH(AE96,{"Expense|employee","Expense|general_admin","Expense|marketing","Expense|utilities","Expense|other_operating"},0)),-N(T96),0)</f>
        <v/>
      </c>
      <c r="AJ96" s="23">
        <f>IF(AA96="Liability|payable",-N(R96),0)+IF(AB96="Liability|payable",-N(S96),0)+IF(AC96="Liability|payable",N(L96),0)+IF(AD96="Liability|payable",N(U96),0)+IF(AE96="Liability|payable",N(T96),0)</f>
        <v/>
      </c>
      <c r="AK96" s="23">
        <f>IF(AA96="Liability|accrued",-N(R96),0)+IF(AB96="Liability|accrued",-N(S96),0)+IF(AC96="Liability|accrued",N(L96),0)+IF(AD96="Liability|accrued",N(U96),0)+IF(AE96="Liability|accrued",N(T96),0)</f>
        <v/>
      </c>
      <c r="AL96" s="23">
        <f>IF(AND(N(R96)&lt;&gt;0,AA96=""),1,0)+IF(AND(N(S96)&lt;&gt;0,AB96=""),1,0)+IF(AND(N(L96)&lt;&gt;0,AC96=""),1,0)+IF(AND(N(U96)&lt;&gt;0,AD96=""),1,0)+IF(AND(N(T96)&lt;&gt;0,AE96=""),1,0)</f>
        <v/>
      </c>
    </row>
    <row r="97">
      <c r="A97" s="19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20" t="n"/>
      <c r="K97" s="20" t="n"/>
      <c r="L97" s="20" t="n"/>
      <c r="M97" s="14" t="n"/>
      <c r="N97" s="14" t="n"/>
      <c r="O97" s="14" t="n"/>
      <c r="P97" s="14" t="n"/>
      <c r="Q97" s="14" t="n"/>
      <c r="R97" s="21">
        <f>ROUND(N(H97)*N(J97)-N(K97),2)</f>
        <v/>
      </c>
      <c r="S97" s="21">
        <f>ROUND(R97*IFERROR(VLOOKUP(P97,'Tax Codes'!$A$5:$E$300,5,FALSE),0),2)</f>
        <v/>
      </c>
      <c r="T97" s="21">
        <f>ROUND(R97*IFERROR(VLOOKUP(Q97,'Tax Codes'!$A$5:$E$300,5,FALSE),0),2)</f>
        <v/>
      </c>
      <c r="U97" s="21">
        <f>R97+S97-T97-N(L97)</f>
        <v/>
      </c>
      <c r="V97" s="16">
        <f>IF(C97="",INDEX('Chart of Accounts'!$A$5:$A$3000,MATCH("materials",'Chart of Accounts'!$F$5:$F$3000,0)),C97&amp;"")</f>
        <v/>
      </c>
      <c r="W97" s="16">
        <f>IF(N97="",INDEX('Chart of Accounts'!$A$5:$A$3000,MATCH("bank",'Chart of Accounts'!$F$5:$F$3000,0)),N97&amp;"")</f>
        <v/>
      </c>
      <c r="X97" s="16">
        <f>IF(O97="",INDEX('Chart of Accounts'!$A$5:$A$3000,MATCH("ap",'Chart of Accounts'!$F$5:$F$3000,0)),O97&amp;"")</f>
        <v/>
      </c>
      <c r="Y97" s="16">
        <f>INDEX('Chart of Accounts'!$A$5:$A$3000,MATCH("vat_input",'Chart of Accounts'!$F$5:$F$3000,0))</f>
        <v/>
      </c>
      <c r="Z97" s="16">
        <f>INDEX('Chart of Accounts'!$A$5:$A$3000,MATCH("wht_payable",'Chart of Accounts'!$F$5:$F$3000,0))</f>
        <v/>
      </c>
      <c r="AA97" s="23">
        <f>IFERROR(INDEX('Chart of Accounts'!$C$5:$C$3000,MATCH(V97&amp;"",'Chart of Accounts'!$A$5:$A$3000,0))&amp;"|"&amp;INDEX('Chart of Accounts'!$D$5:$D$3000,MATCH(V97&amp;"",'Chart of Accounts'!$A$5:$A$3000,0)),"")</f>
        <v/>
      </c>
      <c r="AB97" s="23">
        <f>IFERROR(INDEX('Chart of Accounts'!$C$5:$C$3000,MATCH(Y97&amp;"",'Chart of Accounts'!$A$5:$A$3000,0))&amp;"|"&amp;INDEX('Chart of Accounts'!$D$5:$D$3000,MATCH(Y97&amp;"",'Chart of Accounts'!$A$5:$A$3000,0)),"")</f>
        <v/>
      </c>
      <c r="AC97" s="23">
        <f>IFERROR(INDEX('Chart of Accounts'!$C$5:$C$3000,MATCH(W97&amp;"",'Chart of Accounts'!$A$5:$A$3000,0))&amp;"|"&amp;INDEX('Chart of Accounts'!$D$5:$D$3000,MATCH(W97&amp;"",'Chart of Accounts'!$A$5:$A$3000,0)),"")</f>
        <v/>
      </c>
      <c r="AD97" s="23">
        <f>IFERROR(INDEX('Chart of Accounts'!$C$5:$C$3000,MATCH(X97&amp;"",'Chart of Accounts'!$A$5:$A$3000,0))&amp;"|"&amp;INDEX('Chart of Accounts'!$D$5:$D$3000,MATCH(X97&amp;"",'Chart of Accounts'!$A$5:$A$3000,0)),"")</f>
        <v/>
      </c>
      <c r="AE97" s="23">
        <f>IFERROR(INDEX('Chart of Accounts'!$C$5:$C$3000,MATCH(Z97&amp;"",'Chart of Accounts'!$A$5:$A$3000,0))&amp;"|"&amp;INDEX('Chart of Accounts'!$D$5:$D$3000,MATCH(Z97&amp;"",'Chart of Accounts'!$A$5:$A$3000,0)),"")</f>
        <v/>
      </c>
      <c r="AF97" s="23">
        <f>IF(LEFT(AA97,8)="Revenue|",-N(R97),0)+IF(LEFT(AB97,8)="Revenue|",-N(S97),0)+IF(LEFT(AC97,8)="Revenue|",N(L97),0)+IF(LEFT(AD97,8)="Revenue|",N(U97),0)+IF(LEFT(AE97,8)="Revenue|",N(T97),0)</f>
        <v/>
      </c>
      <c r="AG97" s="23">
        <f>IF(LEFT(AA97,5)="COGS|",N(R97),0)+IF(LEFT(AB97,5)="COGS|",N(S97),0)+IF(LEFT(AC97,5)="COGS|",-N(L97),0)+IF(LEFT(AD97,5)="COGS|",-N(U97),0)+IF(LEFT(AE97,5)="COGS|",-N(T97),0)</f>
        <v/>
      </c>
      <c r="AH97" s="23">
        <f>IF(LEFT(AA97,8)="Expense|",N(R97),0)+IF(LEFT(AB97,8)="Expense|",N(S97),0)+IF(LEFT(AC97,8)="Expense|",-N(L97),0)+IF(LEFT(AD97,8)="Expense|",-N(U97),0)+IF(LEFT(AE97,8)="Expense|",-N(T97),0)</f>
        <v/>
      </c>
      <c r="AI97" s="23">
        <f>IF(ISNUMBER(MATCH(AA97,{"Expense|employee","Expense|general_admin","Expense|marketing","Expense|utilities","Expense|other_operating"},0)),N(R97),0)+IF(ISNUMBER(MATCH(AB97,{"Expense|employee","Expense|general_admin","Expense|marketing","Expense|utilities","Expense|other_operating"},0)),N(S97),0)+IF(ISNUMBER(MATCH(AC97,{"Expense|employee","Expense|general_admin","Expense|marketing","Expense|utilities","Expense|other_operating"},0)),-N(L97),0)+IF(ISNUMBER(MATCH(AD97,{"Expense|employee","Expense|general_admin","Expense|marketing","Expense|utilities","Expense|other_operating"},0)),-N(U97),0)+IF(ISNUMBER(MATCH(AE97,{"Expense|employee","Expense|general_admin","Expense|marketing","Expense|utilities","Expense|other_operating"},0)),-N(T97),0)</f>
        <v/>
      </c>
      <c r="AJ97" s="23">
        <f>IF(AA97="Liability|payable",-N(R97),0)+IF(AB97="Liability|payable",-N(S97),0)+IF(AC97="Liability|payable",N(L97),0)+IF(AD97="Liability|payable",N(U97),0)+IF(AE97="Liability|payable",N(T97),0)</f>
        <v/>
      </c>
      <c r="AK97" s="23">
        <f>IF(AA97="Liability|accrued",-N(R97),0)+IF(AB97="Liability|accrued",-N(S97),0)+IF(AC97="Liability|accrued",N(L97),0)+IF(AD97="Liability|accrued",N(U97),0)+IF(AE97="Liability|accrued",N(T97),0)</f>
        <v/>
      </c>
      <c r="AL97" s="23">
        <f>IF(AND(N(R97)&lt;&gt;0,AA97=""),1,0)+IF(AND(N(S97)&lt;&gt;0,AB97=""),1,0)+IF(AND(N(L97)&lt;&gt;0,AC97=""),1,0)+IF(AND(N(U97)&lt;&gt;0,AD97=""),1,0)+IF(AND(N(T97)&lt;&gt;0,AE97=""),1,0)</f>
        <v/>
      </c>
    </row>
    <row r="98">
      <c r="A98" s="19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20" t="n"/>
      <c r="K98" s="20" t="n"/>
      <c r="L98" s="20" t="n"/>
      <c r="M98" s="14" t="n"/>
      <c r="N98" s="14" t="n"/>
      <c r="O98" s="14" t="n"/>
      <c r="P98" s="14" t="n"/>
      <c r="Q98" s="14" t="n"/>
      <c r="R98" s="21">
        <f>ROUND(N(H98)*N(J98)-N(K98),2)</f>
        <v/>
      </c>
      <c r="S98" s="21">
        <f>ROUND(R98*IFERROR(VLOOKUP(P98,'Tax Codes'!$A$5:$E$300,5,FALSE),0),2)</f>
        <v/>
      </c>
      <c r="T98" s="21">
        <f>ROUND(R98*IFERROR(VLOOKUP(Q98,'Tax Codes'!$A$5:$E$300,5,FALSE),0),2)</f>
        <v/>
      </c>
      <c r="U98" s="21">
        <f>R98+S98-T98-N(L98)</f>
        <v/>
      </c>
      <c r="V98" s="16">
        <f>IF(C98="",INDEX('Chart of Accounts'!$A$5:$A$3000,MATCH("materials",'Chart of Accounts'!$F$5:$F$3000,0)),C98&amp;"")</f>
        <v/>
      </c>
      <c r="W98" s="16">
        <f>IF(N98="",INDEX('Chart of Accounts'!$A$5:$A$3000,MATCH("bank",'Chart of Accounts'!$F$5:$F$3000,0)),N98&amp;"")</f>
        <v/>
      </c>
      <c r="X98" s="16">
        <f>IF(O98="",INDEX('Chart of Accounts'!$A$5:$A$3000,MATCH("ap",'Chart of Accounts'!$F$5:$F$3000,0)),O98&amp;"")</f>
        <v/>
      </c>
      <c r="Y98" s="16">
        <f>INDEX('Chart of Accounts'!$A$5:$A$3000,MATCH("vat_input",'Chart of Accounts'!$F$5:$F$3000,0))</f>
        <v/>
      </c>
      <c r="Z98" s="16">
        <f>INDEX('Chart of Accounts'!$A$5:$A$3000,MATCH("wht_payable",'Chart of Accounts'!$F$5:$F$3000,0))</f>
        <v/>
      </c>
      <c r="AA98" s="23">
        <f>IFERROR(INDEX('Chart of Accounts'!$C$5:$C$3000,MATCH(V98&amp;"",'Chart of Accounts'!$A$5:$A$3000,0))&amp;"|"&amp;INDEX('Chart of Accounts'!$D$5:$D$3000,MATCH(V98&amp;"",'Chart of Accounts'!$A$5:$A$3000,0)),"")</f>
        <v/>
      </c>
      <c r="AB98" s="23">
        <f>IFERROR(INDEX('Chart of Accounts'!$C$5:$C$3000,MATCH(Y98&amp;"",'Chart of Accounts'!$A$5:$A$3000,0))&amp;"|"&amp;INDEX('Chart of Accounts'!$D$5:$D$3000,MATCH(Y98&amp;"",'Chart of Accounts'!$A$5:$A$3000,0)),"")</f>
        <v/>
      </c>
      <c r="AC98" s="23">
        <f>IFERROR(INDEX('Chart of Accounts'!$C$5:$C$3000,MATCH(W98&amp;"",'Chart of Accounts'!$A$5:$A$3000,0))&amp;"|"&amp;INDEX('Chart of Accounts'!$D$5:$D$3000,MATCH(W98&amp;"",'Chart of Accounts'!$A$5:$A$3000,0)),"")</f>
        <v/>
      </c>
      <c r="AD98" s="23">
        <f>IFERROR(INDEX('Chart of Accounts'!$C$5:$C$3000,MATCH(X98&amp;"",'Chart of Accounts'!$A$5:$A$3000,0))&amp;"|"&amp;INDEX('Chart of Accounts'!$D$5:$D$3000,MATCH(X98&amp;"",'Chart of Accounts'!$A$5:$A$3000,0)),"")</f>
        <v/>
      </c>
      <c r="AE98" s="23">
        <f>IFERROR(INDEX('Chart of Accounts'!$C$5:$C$3000,MATCH(Z98&amp;"",'Chart of Accounts'!$A$5:$A$3000,0))&amp;"|"&amp;INDEX('Chart of Accounts'!$D$5:$D$3000,MATCH(Z98&amp;"",'Chart of Accounts'!$A$5:$A$3000,0)),"")</f>
        <v/>
      </c>
      <c r="AF98" s="23">
        <f>IF(LEFT(AA98,8)="Revenue|",-N(R98),0)+IF(LEFT(AB98,8)="Revenue|",-N(S98),0)+IF(LEFT(AC98,8)="Revenue|",N(L98),0)+IF(LEFT(AD98,8)="Revenue|",N(U98),0)+IF(LEFT(AE98,8)="Revenue|",N(T98),0)</f>
        <v/>
      </c>
      <c r="AG98" s="23">
        <f>IF(LEFT(AA98,5)="COGS|",N(R98),0)+IF(LEFT(AB98,5)="COGS|",N(S98),0)+IF(LEFT(AC98,5)="COGS|",-N(L98),0)+IF(LEFT(AD98,5)="COGS|",-N(U98),0)+IF(LEFT(AE98,5)="COGS|",-N(T98),0)</f>
        <v/>
      </c>
      <c r="AH98" s="23">
        <f>IF(LEFT(AA98,8)="Expense|",N(R98),0)+IF(LEFT(AB98,8)="Expense|",N(S98),0)+IF(LEFT(AC98,8)="Expense|",-N(L98),0)+IF(LEFT(AD98,8)="Expense|",-N(U98),0)+IF(LEFT(AE98,8)="Expense|",-N(T98),0)</f>
        <v/>
      </c>
      <c r="AI98" s="23">
        <f>IF(ISNUMBER(MATCH(AA98,{"Expense|employee","Expense|general_admin","Expense|marketing","Expense|utilities","Expense|other_operating"},0)),N(R98),0)+IF(ISNUMBER(MATCH(AB98,{"Expense|employee","Expense|general_admin","Expense|marketing","Expense|utilities","Expense|other_operating"},0)),N(S98),0)+IF(ISNUMBER(MATCH(AC98,{"Expense|employee","Expense|general_admin","Expense|marketing","Expense|utilities","Expense|other_operating"},0)),-N(L98),0)+IF(ISNUMBER(MATCH(AD98,{"Expense|employee","Expense|general_admin","Expense|marketing","Expense|utilities","Expense|other_operating"},0)),-N(U98),0)+IF(ISNUMBER(MATCH(AE98,{"Expense|employee","Expense|general_admin","Expense|marketing","Expense|utilities","Expense|other_operating"},0)),-N(T98),0)</f>
        <v/>
      </c>
      <c r="AJ98" s="23">
        <f>IF(AA98="Liability|payable",-N(R98),0)+IF(AB98="Liability|payable",-N(S98),0)+IF(AC98="Liability|payable",N(L98),0)+IF(AD98="Liability|payable",N(U98),0)+IF(AE98="Liability|payable",N(T98),0)</f>
        <v/>
      </c>
      <c r="AK98" s="23">
        <f>IF(AA98="Liability|accrued",-N(R98),0)+IF(AB98="Liability|accrued",-N(S98),0)+IF(AC98="Liability|accrued",N(L98),0)+IF(AD98="Liability|accrued",N(U98),0)+IF(AE98="Liability|accrued",N(T98),0)</f>
        <v/>
      </c>
      <c r="AL98" s="23">
        <f>IF(AND(N(R98)&lt;&gt;0,AA98=""),1,0)+IF(AND(N(S98)&lt;&gt;0,AB98=""),1,0)+IF(AND(N(L98)&lt;&gt;0,AC98=""),1,0)+IF(AND(N(U98)&lt;&gt;0,AD98=""),1,0)+IF(AND(N(T98)&lt;&gt;0,AE98=""),1,0)</f>
        <v/>
      </c>
    </row>
    <row r="99">
      <c r="A99" s="19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20" t="n"/>
      <c r="K99" s="20" t="n"/>
      <c r="L99" s="20" t="n"/>
      <c r="M99" s="14" t="n"/>
      <c r="N99" s="14" t="n"/>
      <c r="O99" s="14" t="n"/>
      <c r="P99" s="14" t="n"/>
      <c r="Q99" s="14" t="n"/>
      <c r="R99" s="21">
        <f>ROUND(N(H99)*N(J99)-N(K99),2)</f>
        <v/>
      </c>
      <c r="S99" s="21">
        <f>ROUND(R99*IFERROR(VLOOKUP(P99,'Tax Codes'!$A$5:$E$300,5,FALSE),0),2)</f>
        <v/>
      </c>
      <c r="T99" s="21">
        <f>ROUND(R99*IFERROR(VLOOKUP(Q99,'Tax Codes'!$A$5:$E$300,5,FALSE),0),2)</f>
        <v/>
      </c>
      <c r="U99" s="21">
        <f>R99+S99-T99-N(L99)</f>
        <v/>
      </c>
      <c r="V99" s="16">
        <f>IF(C99="",INDEX('Chart of Accounts'!$A$5:$A$3000,MATCH("materials",'Chart of Accounts'!$F$5:$F$3000,0)),C99&amp;"")</f>
        <v/>
      </c>
      <c r="W99" s="16">
        <f>IF(N99="",INDEX('Chart of Accounts'!$A$5:$A$3000,MATCH("bank",'Chart of Accounts'!$F$5:$F$3000,0)),N99&amp;"")</f>
        <v/>
      </c>
      <c r="X99" s="16">
        <f>IF(O99="",INDEX('Chart of Accounts'!$A$5:$A$3000,MATCH("ap",'Chart of Accounts'!$F$5:$F$3000,0)),O99&amp;"")</f>
        <v/>
      </c>
      <c r="Y99" s="16">
        <f>INDEX('Chart of Accounts'!$A$5:$A$3000,MATCH("vat_input",'Chart of Accounts'!$F$5:$F$3000,0))</f>
        <v/>
      </c>
      <c r="Z99" s="16">
        <f>INDEX('Chart of Accounts'!$A$5:$A$3000,MATCH("wht_payable",'Chart of Accounts'!$F$5:$F$3000,0))</f>
        <v/>
      </c>
      <c r="AA99" s="23">
        <f>IFERROR(INDEX('Chart of Accounts'!$C$5:$C$3000,MATCH(V99&amp;"",'Chart of Accounts'!$A$5:$A$3000,0))&amp;"|"&amp;INDEX('Chart of Accounts'!$D$5:$D$3000,MATCH(V99&amp;"",'Chart of Accounts'!$A$5:$A$3000,0)),"")</f>
        <v/>
      </c>
      <c r="AB99" s="23">
        <f>IFERROR(INDEX('Chart of Accounts'!$C$5:$C$3000,MATCH(Y99&amp;"",'Chart of Accounts'!$A$5:$A$3000,0))&amp;"|"&amp;INDEX('Chart of Accounts'!$D$5:$D$3000,MATCH(Y99&amp;"",'Chart of Accounts'!$A$5:$A$3000,0)),"")</f>
        <v/>
      </c>
      <c r="AC99" s="23">
        <f>IFERROR(INDEX('Chart of Accounts'!$C$5:$C$3000,MATCH(W99&amp;"",'Chart of Accounts'!$A$5:$A$3000,0))&amp;"|"&amp;INDEX('Chart of Accounts'!$D$5:$D$3000,MATCH(W99&amp;"",'Chart of Accounts'!$A$5:$A$3000,0)),"")</f>
        <v/>
      </c>
      <c r="AD99" s="23">
        <f>IFERROR(INDEX('Chart of Accounts'!$C$5:$C$3000,MATCH(X99&amp;"",'Chart of Accounts'!$A$5:$A$3000,0))&amp;"|"&amp;INDEX('Chart of Accounts'!$D$5:$D$3000,MATCH(X99&amp;"",'Chart of Accounts'!$A$5:$A$3000,0)),"")</f>
        <v/>
      </c>
      <c r="AE99" s="23">
        <f>IFERROR(INDEX('Chart of Accounts'!$C$5:$C$3000,MATCH(Z99&amp;"",'Chart of Accounts'!$A$5:$A$3000,0))&amp;"|"&amp;INDEX('Chart of Accounts'!$D$5:$D$3000,MATCH(Z99&amp;"",'Chart of Accounts'!$A$5:$A$3000,0)),"")</f>
        <v/>
      </c>
      <c r="AF99" s="23">
        <f>IF(LEFT(AA99,8)="Revenue|",-N(R99),0)+IF(LEFT(AB99,8)="Revenue|",-N(S99),0)+IF(LEFT(AC99,8)="Revenue|",N(L99),0)+IF(LEFT(AD99,8)="Revenue|",N(U99),0)+IF(LEFT(AE99,8)="Revenue|",N(T99),0)</f>
        <v/>
      </c>
      <c r="AG99" s="23">
        <f>IF(LEFT(AA99,5)="COGS|",N(R99),0)+IF(LEFT(AB99,5)="COGS|",N(S99),0)+IF(LEFT(AC99,5)="COGS|",-N(L99),0)+IF(LEFT(AD99,5)="COGS|",-N(U99),0)+IF(LEFT(AE99,5)="COGS|",-N(T99),0)</f>
        <v/>
      </c>
      <c r="AH99" s="23">
        <f>IF(LEFT(AA99,8)="Expense|",N(R99),0)+IF(LEFT(AB99,8)="Expense|",N(S99),0)+IF(LEFT(AC99,8)="Expense|",-N(L99),0)+IF(LEFT(AD99,8)="Expense|",-N(U99),0)+IF(LEFT(AE99,8)="Expense|",-N(T99),0)</f>
        <v/>
      </c>
      <c r="AI99" s="23">
        <f>IF(ISNUMBER(MATCH(AA99,{"Expense|employee","Expense|general_admin","Expense|marketing","Expense|utilities","Expense|other_operating"},0)),N(R99),0)+IF(ISNUMBER(MATCH(AB99,{"Expense|employee","Expense|general_admin","Expense|marketing","Expense|utilities","Expense|other_operating"},0)),N(S99),0)+IF(ISNUMBER(MATCH(AC99,{"Expense|employee","Expense|general_admin","Expense|marketing","Expense|utilities","Expense|other_operating"},0)),-N(L99),0)+IF(ISNUMBER(MATCH(AD99,{"Expense|employee","Expense|general_admin","Expense|marketing","Expense|utilities","Expense|other_operating"},0)),-N(U99),0)+IF(ISNUMBER(MATCH(AE99,{"Expense|employee","Expense|general_admin","Expense|marketing","Expense|utilities","Expense|other_operating"},0)),-N(T99),0)</f>
        <v/>
      </c>
      <c r="AJ99" s="23">
        <f>IF(AA99="Liability|payable",-N(R99),0)+IF(AB99="Liability|payable",-N(S99),0)+IF(AC99="Liability|payable",N(L99),0)+IF(AD99="Liability|payable",N(U99),0)+IF(AE99="Liability|payable",N(T99),0)</f>
        <v/>
      </c>
      <c r="AK99" s="23">
        <f>IF(AA99="Liability|accrued",-N(R99),0)+IF(AB99="Liability|accrued",-N(S99),0)+IF(AC99="Liability|accrued",N(L99),0)+IF(AD99="Liability|accrued",N(U99),0)+IF(AE99="Liability|accrued",N(T99),0)</f>
        <v/>
      </c>
      <c r="AL99" s="23">
        <f>IF(AND(N(R99)&lt;&gt;0,AA99=""),1,0)+IF(AND(N(S99)&lt;&gt;0,AB99=""),1,0)+IF(AND(N(L99)&lt;&gt;0,AC99=""),1,0)+IF(AND(N(U99)&lt;&gt;0,AD99=""),1,0)+IF(AND(N(T99)&lt;&gt;0,AE99=""),1,0)</f>
        <v/>
      </c>
    </row>
    <row r="100">
      <c r="A100" s="19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20" t="n"/>
      <c r="K100" s="20" t="n"/>
      <c r="L100" s="20" t="n"/>
      <c r="M100" s="14" t="n"/>
      <c r="N100" s="14" t="n"/>
      <c r="O100" s="14" t="n"/>
      <c r="P100" s="14" t="n"/>
      <c r="Q100" s="14" t="n"/>
      <c r="R100" s="21">
        <f>ROUND(N(H100)*N(J100)-N(K100),2)</f>
        <v/>
      </c>
      <c r="S100" s="21">
        <f>ROUND(R100*IFERROR(VLOOKUP(P100,'Tax Codes'!$A$5:$E$300,5,FALSE),0),2)</f>
        <v/>
      </c>
      <c r="T100" s="21">
        <f>ROUND(R100*IFERROR(VLOOKUP(Q100,'Tax Codes'!$A$5:$E$300,5,FALSE),0),2)</f>
        <v/>
      </c>
      <c r="U100" s="21">
        <f>R100+S100-T100-N(L100)</f>
        <v/>
      </c>
      <c r="V100" s="16">
        <f>IF(C100="",INDEX('Chart of Accounts'!$A$5:$A$3000,MATCH("materials",'Chart of Accounts'!$F$5:$F$3000,0)),C100&amp;"")</f>
        <v/>
      </c>
      <c r="W100" s="16">
        <f>IF(N100="",INDEX('Chart of Accounts'!$A$5:$A$3000,MATCH("bank",'Chart of Accounts'!$F$5:$F$3000,0)),N100&amp;"")</f>
        <v/>
      </c>
      <c r="X100" s="16">
        <f>IF(O100="",INDEX('Chart of Accounts'!$A$5:$A$3000,MATCH("ap",'Chart of Accounts'!$F$5:$F$3000,0)),O100&amp;"")</f>
        <v/>
      </c>
      <c r="Y100" s="16">
        <f>INDEX('Chart of Accounts'!$A$5:$A$3000,MATCH("vat_input",'Chart of Accounts'!$F$5:$F$3000,0))</f>
        <v/>
      </c>
      <c r="Z100" s="16">
        <f>INDEX('Chart of Accounts'!$A$5:$A$3000,MATCH("wht_payable",'Chart of Accounts'!$F$5:$F$3000,0))</f>
        <v/>
      </c>
      <c r="AA100" s="23">
        <f>IFERROR(INDEX('Chart of Accounts'!$C$5:$C$3000,MATCH(V100&amp;"",'Chart of Accounts'!$A$5:$A$3000,0))&amp;"|"&amp;INDEX('Chart of Accounts'!$D$5:$D$3000,MATCH(V100&amp;"",'Chart of Accounts'!$A$5:$A$3000,0)),"")</f>
        <v/>
      </c>
      <c r="AB100" s="23">
        <f>IFERROR(INDEX('Chart of Accounts'!$C$5:$C$3000,MATCH(Y100&amp;"",'Chart of Accounts'!$A$5:$A$3000,0))&amp;"|"&amp;INDEX('Chart of Accounts'!$D$5:$D$3000,MATCH(Y100&amp;"",'Chart of Accounts'!$A$5:$A$3000,0)),"")</f>
        <v/>
      </c>
      <c r="AC100" s="23">
        <f>IFERROR(INDEX('Chart of Accounts'!$C$5:$C$3000,MATCH(W100&amp;"",'Chart of Accounts'!$A$5:$A$3000,0))&amp;"|"&amp;INDEX('Chart of Accounts'!$D$5:$D$3000,MATCH(W100&amp;"",'Chart of Accounts'!$A$5:$A$3000,0)),"")</f>
        <v/>
      </c>
      <c r="AD100" s="23">
        <f>IFERROR(INDEX('Chart of Accounts'!$C$5:$C$3000,MATCH(X100&amp;"",'Chart of Accounts'!$A$5:$A$3000,0))&amp;"|"&amp;INDEX('Chart of Accounts'!$D$5:$D$3000,MATCH(X100&amp;"",'Chart of Accounts'!$A$5:$A$3000,0)),"")</f>
        <v/>
      </c>
      <c r="AE100" s="23">
        <f>IFERROR(INDEX('Chart of Accounts'!$C$5:$C$3000,MATCH(Z100&amp;"",'Chart of Accounts'!$A$5:$A$3000,0))&amp;"|"&amp;INDEX('Chart of Accounts'!$D$5:$D$3000,MATCH(Z100&amp;"",'Chart of Accounts'!$A$5:$A$3000,0)),"")</f>
        <v/>
      </c>
      <c r="AF100" s="23">
        <f>IF(LEFT(AA100,8)="Revenue|",-N(R100),0)+IF(LEFT(AB100,8)="Revenue|",-N(S100),0)+IF(LEFT(AC100,8)="Revenue|",N(L100),0)+IF(LEFT(AD100,8)="Revenue|",N(U100),0)+IF(LEFT(AE100,8)="Revenue|",N(T100),0)</f>
        <v/>
      </c>
      <c r="AG100" s="23">
        <f>IF(LEFT(AA100,5)="COGS|",N(R100),0)+IF(LEFT(AB100,5)="COGS|",N(S100),0)+IF(LEFT(AC100,5)="COGS|",-N(L100),0)+IF(LEFT(AD100,5)="COGS|",-N(U100),0)+IF(LEFT(AE100,5)="COGS|",-N(T100),0)</f>
        <v/>
      </c>
      <c r="AH100" s="23">
        <f>IF(LEFT(AA100,8)="Expense|",N(R100),0)+IF(LEFT(AB100,8)="Expense|",N(S100),0)+IF(LEFT(AC100,8)="Expense|",-N(L100),0)+IF(LEFT(AD100,8)="Expense|",-N(U100),0)+IF(LEFT(AE100,8)="Expense|",-N(T100),0)</f>
        <v/>
      </c>
      <c r="AI100" s="23">
        <f>IF(ISNUMBER(MATCH(AA100,{"Expense|employee","Expense|general_admin","Expense|marketing","Expense|utilities","Expense|other_operating"},0)),N(R100),0)+IF(ISNUMBER(MATCH(AB100,{"Expense|employee","Expense|general_admin","Expense|marketing","Expense|utilities","Expense|other_operating"},0)),N(S100),0)+IF(ISNUMBER(MATCH(AC100,{"Expense|employee","Expense|general_admin","Expense|marketing","Expense|utilities","Expense|other_operating"},0)),-N(L100),0)+IF(ISNUMBER(MATCH(AD100,{"Expense|employee","Expense|general_admin","Expense|marketing","Expense|utilities","Expense|other_operating"},0)),-N(U100),0)+IF(ISNUMBER(MATCH(AE100,{"Expense|employee","Expense|general_admin","Expense|marketing","Expense|utilities","Expense|other_operating"},0)),-N(T100),0)</f>
        <v/>
      </c>
      <c r="AJ100" s="23">
        <f>IF(AA100="Liability|payable",-N(R100),0)+IF(AB100="Liability|payable",-N(S100),0)+IF(AC100="Liability|payable",N(L100),0)+IF(AD100="Liability|payable",N(U100),0)+IF(AE100="Liability|payable",N(T100),0)</f>
        <v/>
      </c>
      <c r="AK100" s="23">
        <f>IF(AA100="Liability|accrued",-N(R100),0)+IF(AB100="Liability|accrued",-N(S100),0)+IF(AC100="Liability|accrued",N(L100),0)+IF(AD100="Liability|accrued",N(U100),0)+IF(AE100="Liability|accrued",N(T100),0)</f>
        <v/>
      </c>
      <c r="AL100" s="23">
        <f>IF(AND(N(R100)&lt;&gt;0,AA100=""),1,0)+IF(AND(N(S100)&lt;&gt;0,AB100=""),1,0)+IF(AND(N(L100)&lt;&gt;0,AC100=""),1,0)+IF(AND(N(U100)&lt;&gt;0,AD100=""),1,0)+IF(AND(N(T100)&lt;&gt;0,AE100=""),1,0)</f>
        <v/>
      </c>
    </row>
    <row r="101">
      <c r="A101" s="19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20" t="n"/>
      <c r="K101" s="20" t="n"/>
      <c r="L101" s="20" t="n"/>
      <c r="M101" s="14" t="n"/>
      <c r="N101" s="14" t="n"/>
      <c r="O101" s="14" t="n"/>
      <c r="P101" s="14" t="n"/>
      <c r="Q101" s="14" t="n"/>
      <c r="R101" s="21">
        <f>ROUND(N(H101)*N(J101)-N(K101),2)</f>
        <v/>
      </c>
      <c r="S101" s="21">
        <f>ROUND(R101*IFERROR(VLOOKUP(P101,'Tax Codes'!$A$5:$E$300,5,FALSE),0),2)</f>
        <v/>
      </c>
      <c r="T101" s="21">
        <f>ROUND(R101*IFERROR(VLOOKUP(Q101,'Tax Codes'!$A$5:$E$300,5,FALSE),0),2)</f>
        <v/>
      </c>
      <c r="U101" s="21">
        <f>R101+S101-T101-N(L101)</f>
        <v/>
      </c>
      <c r="V101" s="16">
        <f>IF(C101="",INDEX('Chart of Accounts'!$A$5:$A$3000,MATCH("materials",'Chart of Accounts'!$F$5:$F$3000,0)),C101&amp;"")</f>
        <v/>
      </c>
      <c r="W101" s="16">
        <f>IF(N101="",INDEX('Chart of Accounts'!$A$5:$A$3000,MATCH("bank",'Chart of Accounts'!$F$5:$F$3000,0)),N101&amp;"")</f>
        <v/>
      </c>
      <c r="X101" s="16">
        <f>IF(O101="",INDEX('Chart of Accounts'!$A$5:$A$3000,MATCH("ap",'Chart of Accounts'!$F$5:$F$3000,0)),O101&amp;"")</f>
        <v/>
      </c>
      <c r="Y101" s="16">
        <f>INDEX('Chart of Accounts'!$A$5:$A$3000,MATCH("vat_input",'Chart of Accounts'!$F$5:$F$3000,0))</f>
        <v/>
      </c>
      <c r="Z101" s="16">
        <f>INDEX('Chart of Accounts'!$A$5:$A$3000,MATCH("wht_payable",'Chart of Accounts'!$F$5:$F$3000,0))</f>
        <v/>
      </c>
      <c r="AA101" s="23">
        <f>IFERROR(INDEX('Chart of Accounts'!$C$5:$C$3000,MATCH(V101&amp;"",'Chart of Accounts'!$A$5:$A$3000,0))&amp;"|"&amp;INDEX('Chart of Accounts'!$D$5:$D$3000,MATCH(V101&amp;"",'Chart of Accounts'!$A$5:$A$3000,0)),"")</f>
        <v/>
      </c>
      <c r="AB101" s="23">
        <f>IFERROR(INDEX('Chart of Accounts'!$C$5:$C$3000,MATCH(Y101&amp;"",'Chart of Accounts'!$A$5:$A$3000,0))&amp;"|"&amp;INDEX('Chart of Accounts'!$D$5:$D$3000,MATCH(Y101&amp;"",'Chart of Accounts'!$A$5:$A$3000,0)),"")</f>
        <v/>
      </c>
      <c r="AC101" s="23">
        <f>IFERROR(INDEX('Chart of Accounts'!$C$5:$C$3000,MATCH(W101&amp;"",'Chart of Accounts'!$A$5:$A$3000,0))&amp;"|"&amp;INDEX('Chart of Accounts'!$D$5:$D$3000,MATCH(W101&amp;"",'Chart of Accounts'!$A$5:$A$3000,0)),"")</f>
        <v/>
      </c>
      <c r="AD101" s="23">
        <f>IFERROR(INDEX('Chart of Accounts'!$C$5:$C$3000,MATCH(X101&amp;"",'Chart of Accounts'!$A$5:$A$3000,0))&amp;"|"&amp;INDEX('Chart of Accounts'!$D$5:$D$3000,MATCH(X101&amp;"",'Chart of Accounts'!$A$5:$A$3000,0)),"")</f>
        <v/>
      </c>
      <c r="AE101" s="23">
        <f>IFERROR(INDEX('Chart of Accounts'!$C$5:$C$3000,MATCH(Z101&amp;"",'Chart of Accounts'!$A$5:$A$3000,0))&amp;"|"&amp;INDEX('Chart of Accounts'!$D$5:$D$3000,MATCH(Z101&amp;"",'Chart of Accounts'!$A$5:$A$3000,0)),"")</f>
        <v/>
      </c>
      <c r="AF101" s="23">
        <f>IF(LEFT(AA101,8)="Revenue|",-N(R101),0)+IF(LEFT(AB101,8)="Revenue|",-N(S101),0)+IF(LEFT(AC101,8)="Revenue|",N(L101),0)+IF(LEFT(AD101,8)="Revenue|",N(U101),0)+IF(LEFT(AE101,8)="Revenue|",N(T101),0)</f>
        <v/>
      </c>
      <c r="AG101" s="23">
        <f>IF(LEFT(AA101,5)="COGS|",N(R101),0)+IF(LEFT(AB101,5)="COGS|",N(S101),0)+IF(LEFT(AC101,5)="COGS|",-N(L101),0)+IF(LEFT(AD101,5)="COGS|",-N(U101),0)+IF(LEFT(AE101,5)="COGS|",-N(T101),0)</f>
        <v/>
      </c>
      <c r="AH101" s="23">
        <f>IF(LEFT(AA101,8)="Expense|",N(R101),0)+IF(LEFT(AB101,8)="Expense|",N(S101),0)+IF(LEFT(AC101,8)="Expense|",-N(L101),0)+IF(LEFT(AD101,8)="Expense|",-N(U101),0)+IF(LEFT(AE101,8)="Expense|",-N(T101),0)</f>
        <v/>
      </c>
      <c r="AI101" s="23">
        <f>IF(ISNUMBER(MATCH(AA101,{"Expense|employee","Expense|general_admin","Expense|marketing","Expense|utilities","Expense|other_operating"},0)),N(R101),0)+IF(ISNUMBER(MATCH(AB101,{"Expense|employee","Expense|general_admin","Expense|marketing","Expense|utilities","Expense|other_operating"},0)),N(S101),0)+IF(ISNUMBER(MATCH(AC101,{"Expense|employee","Expense|general_admin","Expense|marketing","Expense|utilities","Expense|other_operating"},0)),-N(L101),0)+IF(ISNUMBER(MATCH(AD101,{"Expense|employee","Expense|general_admin","Expense|marketing","Expense|utilities","Expense|other_operating"},0)),-N(U101),0)+IF(ISNUMBER(MATCH(AE101,{"Expense|employee","Expense|general_admin","Expense|marketing","Expense|utilities","Expense|other_operating"},0)),-N(T101),0)</f>
        <v/>
      </c>
      <c r="AJ101" s="23">
        <f>IF(AA101="Liability|payable",-N(R101),0)+IF(AB101="Liability|payable",-N(S101),0)+IF(AC101="Liability|payable",N(L101),0)+IF(AD101="Liability|payable",N(U101),0)+IF(AE101="Liability|payable",N(T101),0)</f>
        <v/>
      </c>
      <c r="AK101" s="23">
        <f>IF(AA101="Liability|accrued",-N(R101),0)+IF(AB101="Liability|accrued",-N(S101),0)+IF(AC101="Liability|accrued",N(L101),0)+IF(AD101="Liability|accrued",N(U101),0)+IF(AE101="Liability|accrued",N(T101),0)</f>
        <v/>
      </c>
      <c r="AL101" s="23">
        <f>IF(AND(N(R101)&lt;&gt;0,AA101=""),1,0)+IF(AND(N(S101)&lt;&gt;0,AB101=""),1,0)+IF(AND(N(L101)&lt;&gt;0,AC101=""),1,0)+IF(AND(N(U101)&lt;&gt;0,AD101=""),1,0)+IF(AND(N(T101)&lt;&gt;0,AE101=""),1,0)</f>
        <v/>
      </c>
    </row>
    <row r="102">
      <c r="A102" s="19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20" t="n"/>
      <c r="K102" s="20" t="n"/>
      <c r="L102" s="20" t="n"/>
      <c r="M102" s="14" t="n"/>
      <c r="N102" s="14" t="n"/>
      <c r="O102" s="14" t="n"/>
      <c r="P102" s="14" t="n"/>
      <c r="Q102" s="14" t="n"/>
      <c r="R102" s="21">
        <f>ROUND(N(H102)*N(J102)-N(K102),2)</f>
        <v/>
      </c>
      <c r="S102" s="21">
        <f>ROUND(R102*IFERROR(VLOOKUP(P102,'Tax Codes'!$A$5:$E$300,5,FALSE),0),2)</f>
        <v/>
      </c>
      <c r="T102" s="21">
        <f>ROUND(R102*IFERROR(VLOOKUP(Q102,'Tax Codes'!$A$5:$E$300,5,FALSE),0),2)</f>
        <v/>
      </c>
      <c r="U102" s="21">
        <f>R102+S102-T102-N(L102)</f>
        <v/>
      </c>
      <c r="V102" s="16">
        <f>IF(C102="",INDEX('Chart of Accounts'!$A$5:$A$3000,MATCH("materials",'Chart of Accounts'!$F$5:$F$3000,0)),C102&amp;"")</f>
        <v/>
      </c>
      <c r="W102" s="16">
        <f>IF(N102="",INDEX('Chart of Accounts'!$A$5:$A$3000,MATCH("bank",'Chart of Accounts'!$F$5:$F$3000,0)),N102&amp;"")</f>
        <v/>
      </c>
      <c r="X102" s="16">
        <f>IF(O102="",INDEX('Chart of Accounts'!$A$5:$A$3000,MATCH("ap",'Chart of Accounts'!$F$5:$F$3000,0)),O102&amp;"")</f>
        <v/>
      </c>
      <c r="Y102" s="16">
        <f>INDEX('Chart of Accounts'!$A$5:$A$3000,MATCH("vat_input",'Chart of Accounts'!$F$5:$F$3000,0))</f>
        <v/>
      </c>
      <c r="Z102" s="16">
        <f>INDEX('Chart of Accounts'!$A$5:$A$3000,MATCH("wht_payable",'Chart of Accounts'!$F$5:$F$3000,0))</f>
        <v/>
      </c>
      <c r="AA102" s="23">
        <f>IFERROR(INDEX('Chart of Accounts'!$C$5:$C$3000,MATCH(V102&amp;"",'Chart of Accounts'!$A$5:$A$3000,0))&amp;"|"&amp;INDEX('Chart of Accounts'!$D$5:$D$3000,MATCH(V102&amp;"",'Chart of Accounts'!$A$5:$A$3000,0)),"")</f>
        <v/>
      </c>
      <c r="AB102" s="23">
        <f>IFERROR(INDEX('Chart of Accounts'!$C$5:$C$3000,MATCH(Y102&amp;"",'Chart of Accounts'!$A$5:$A$3000,0))&amp;"|"&amp;INDEX('Chart of Accounts'!$D$5:$D$3000,MATCH(Y102&amp;"",'Chart of Accounts'!$A$5:$A$3000,0)),"")</f>
        <v/>
      </c>
      <c r="AC102" s="23">
        <f>IFERROR(INDEX('Chart of Accounts'!$C$5:$C$3000,MATCH(W102&amp;"",'Chart of Accounts'!$A$5:$A$3000,0))&amp;"|"&amp;INDEX('Chart of Accounts'!$D$5:$D$3000,MATCH(W102&amp;"",'Chart of Accounts'!$A$5:$A$3000,0)),"")</f>
        <v/>
      </c>
      <c r="AD102" s="23">
        <f>IFERROR(INDEX('Chart of Accounts'!$C$5:$C$3000,MATCH(X102&amp;"",'Chart of Accounts'!$A$5:$A$3000,0))&amp;"|"&amp;INDEX('Chart of Accounts'!$D$5:$D$3000,MATCH(X102&amp;"",'Chart of Accounts'!$A$5:$A$3000,0)),"")</f>
        <v/>
      </c>
      <c r="AE102" s="23">
        <f>IFERROR(INDEX('Chart of Accounts'!$C$5:$C$3000,MATCH(Z102&amp;"",'Chart of Accounts'!$A$5:$A$3000,0))&amp;"|"&amp;INDEX('Chart of Accounts'!$D$5:$D$3000,MATCH(Z102&amp;"",'Chart of Accounts'!$A$5:$A$3000,0)),"")</f>
        <v/>
      </c>
      <c r="AF102" s="23">
        <f>IF(LEFT(AA102,8)="Revenue|",-N(R102),0)+IF(LEFT(AB102,8)="Revenue|",-N(S102),0)+IF(LEFT(AC102,8)="Revenue|",N(L102),0)+IF(LEFT(AD102,8)="Revenue|",N(U102),0)+IF(LEFT(AE102,8)="Revenue|",N(T102),0)</f>
        <v/>
      </c>
      <c r="AG102" s="23">
        <f>IF(LEFT(AA102,5)="COGS|",N(R102),0)+IF(LEFT(AB102,5)="COGS|",N(S102),0)+IF(LEFT(AC102,5)="COGS|",-N(L102),0)+IF(LEFT(AD102,5)="COGS|",-N(U102),0)+IF(LEFT(AE102,5)="COGS|",-N(T102),0)</f>
        <v/>
      </c>
      <c r="AH102" s="23">
        <f>IF(LEFT(AA102,8)="Expense|",N(R102),0)+IF(LEFT(AB102,8)="Expense|",N(S102),0)+IF(LEFT(AC102,8)="Expense|",-N(L102),0)+IF(LEFT(AD102,8)="Expense|",-N(U102),0)+IF(LEFT(AE102,8)="Expense|",-N(T102),0)</f>
        <v/>
      </c>
      <c r="AI102" s="23">
        <f>IF(ISNUMBER(MATCH(AA102,{"Expense|employee","Expense|general_admin","Expense|marketing","Expense|utilities","Expense|other_operating"},0)),N(R102),0)+IF(ISNUMBER(MATCH(AB102,{"Expense|employee","Expense|general_admin","Expense|marketing","Expense|utilities","Expense|other_operating"},0)),N(S102),0)+IF(ISNUMBER(MATCH(AC102,{"Expense|employee","Expense|general_admin","Expense|marketing","Expense|utilities","Expense|other_operating"},0)),-N(L102),0)+IF(ISNUMBER(MATCH(AD102,{"Expense|employee","Expense|general_admin","Expense|marketing","Expense|utilities","Expense|other_operating"},0)),-N(U102),0)+IF(ISNUMBER(MATCH(AE102,{"Expense|employee","Expense|general_admin","Expense|marketing","Expense|utilities","Expense|other_operating"},0)),-N(T102),0)</f>
        <v/>
      </c>
      <c r="AJ102" s="23">
        <f>IF(AA102="Liability|payable",-N(R102),0)+IF(AB102="Liability|payable",-N(S102),0)+IF(AC102="Liability|payable",N(L102),0)+IF(AD102="Liability|payable",N(U102),0)+IF(AE102="Liability|payable",N(T102),0)</f>
        <v/>
      </c>
      <c r="AK102" s="23">
        <f>IF(AA102="Liability|accrued",-N(R102),0)+IF(AB102="Liability|accrued",-N(S102),0)+IF(AC102="Liability|accrued",N(L102),0)+IF(AD102="Liability|accrued",N(U102),0)+IF(AE102="Liability|accrued",N(T102),0)</f>
        <v/>
      </c>
      <c r="AL102" s="23">
        <f>IF(AND(N(R102)&lt;&gt;0,AA102=""),1,0)+IF(AND(N(S102)&lt;&gt;0,AB102=""),1,0)+IF(AND(N(L102)&lt;&gt;0,AC102=""),1,0)+IF(AND(N(U102)&lt;&gt;0,AD102=""),1,0)+IF(AND(N(T102)&lt;&gt;0,AE102=""),1,0)</f>
        <v/>
      </c>
    </row>
    <row r="103">
      <c r="A103" s="19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20" t="n"/>
      <c r="K103" s="20" t="n"/>
      <c r="L103" s="20" t="n"/>
      <c r="M103" s="14" t="n"/>
      <c r="N103" s="14" t="n"/>
      <c r="O103" s="14" t="n"/>
      <c r="P103" s="14" t="n"/>
      <c r="Q103" s="14" t="n"/>
      <c r="R103" s="21">
        <f>ROUND(N(H103)*N(J103)-N(K103),2)</f>
        <v/>
      </c>
      <c r="S103" s="21">
        <f>ROUND(R103*IFERROR(VLOOKUP(P103,'Tax Codes'!$A$5:$E$300,5,FALSE),0),2)</f>
        <v/>
      </c>
      <c r="T103" s="21">
        <f>ROUND(R103*IFERROR(VLOOKUP(Q103,'Tax Codes'!$A$5:$E$300,5,FALSE),0),2)</f>
        <v/>
      </c>
      <c r="U103" s="21">
        <f>R103+S103-T103-N(L103)</f>
        <v/>
      </c>
      <c r="V103" s="16">
        <f>IF(C103="",INDEX('Chart of Accounts'!$A$5:$A$3000,MATCH("materials",'Chart of Accounts'!$F$5:$F$3000,0)),C103&amp;"")</f>
        <v/>
      </c>
      <c r="W103" s="16">
        <f>IF(N103="",INDEX('Chart of Accounts'!$A$5:$A$3000,MATCH("bank",'Chart of Accounts'!$F$5:$F$3000,0)),N103&amp;"")</f>
        <v/>
      </c>
      <c r="X103" s="16">
        <f>IF(O103="",INDEX('Chart of Accounts'!$A$5:$A$3000,MATCH("ap",'Chart of Accounts'!$F$5:$F$3000,0)),O103&amp;"")</f>
        <v/>
      </c>
      <c r="Y103" s="16">
        <f>INDEX('Chart of Accounts'!$A$5:$A$3000,MATCH("vat_input",'Chart of Accounts'!$F$5:$F$3000,0))</f>
        <v/>
      </c>
      <c r="Z103" s="16">
        <f>INDEX('Chart of Accounts'!$A$5:$A$3000,MATCH("wht_payable",'Chart of Accounts'!$F$5:$F$3000,0))</f>
        <v/>
      </c>
      <c r="AA103" s="23">
        <f>IFERROR(INDEX('Chart of Accounts'!$C$5:$C$3000,MATCH(V103&amp;"",'Chart of Accounts'!$A$5:$A$3000,0))&amp;"|"&amp;INDEX('Chart of Accounts'!$D$5:$D$3000,MATCH(V103&amp;"",'Chart of Accounts'!$A$5:$A$3000,0)),"")</f>
        <v/>
      </c>
      <c r="AB103" s="23">
        <f>IFERROR(INDEX('Chart of Accounts'!$C$5:$C$3000,MATCH(Y103&amp;"",'Chart of Accounts'!$A$5:$A$3000,0))&amp;"|"&amp;INDEX('Chart of Accounts'!$D$5:$D$3000,MATCH(Y103&amp;"",'Chart of Accounts'!$A$5:$A$3000,0)),"")</f>
        <v/>
      </c>
      <c r="AC103" s="23">
        <f>IFERROR(INDEX('Chart of Accounts'!$C$5:$C$3000,MATCH(W103&amp;"",'Chart of Accounts'!$A$5:$A$3000,0))&amp;"|"&amp;INDEX('Chart of Accounts'!$D$5:$D$3000,MATCH(W103&amp;"",'Chart of Accounts'!$A$5:$A$3000,0)),"")</f>
        <v/>
      </c>
      <c r="AD103" s="23">
        <f>IFERROR(INDEX('Chart of Accounts'!$C$5:$C$3000,MATCH(X103&amp;"",'Chart of Accounts'!$A$5:$A$3000,0))&amp;"|"&amp;INDEX('Chart of Accounts'!$D$5:$D$3000,MATCH(X103&amp;"",'Chart of Accounts'!$A$5:$A$3000,0)),"")</f>
        <v/>
      </c>
      <c r="AE103" s="23">
        <f>IFERROR(INDEX('Chart of Accounts'!$C$5:$C$3000,MATCH(Z103&amp;"",'Chart of Accounts'!$A$5:$A$3000,0))&amp;"|"&amp;INDEX('Chart of Accounts'!$D$5:$D$3000,MATCH(Z103&amp;"",'Chart of Accounts'!$A$5:$A$3000,0)),"")</f>
        <v/>
      </c>
      <c r="AF103" s="23">
        <f>IF(LEFT(AA103,8)="Revenue|",-N(R103),0)+IF(LEFT(AB103,8)="Revenue|",-N(S103),0)+IF(LEFT(AC103,8)="Revenue|",N(L103),0)+IF(LEFT(AD103,8)="Revenue|",N(U103),0)+IF(LEFT(AE103,8)="Revenue|",N(T103),0)</f>
        <v/>
      </c>
      <c r="AG103" s="23">
        <f>IF(LEFT(AA103,5)="COGS|",N(R103),0)+IF(LEFT(AB103,5)="COGS|",N(S103),0)+IF(LEFT(AC103,5)="COGS|",-N(L103),0)+IF(LEFT(AD103,5)="COGS|",-N(U103),0)+IF(LEFT(AE103,5)="COGS|",-N(T103),0)</f>
        <v/>
      </c>
      <c r="AH103" s="23">
        <f>IF(LEFT(AA103,8)="Expense|",N(R103),0)+IF(LEFT(AB103,8)="Expense|",N(S103),0)+IF(LEFT(AC103,8)="Expense|",-N(L103),0)+IF(LEFT(AD103,8)="Expense|",-N(U103),0)+IF(LEFT(AE103,8)="Expense|",-N(T103),0)</f>
        <v/>
      </c>
      <c r="AI103" s="23">
        <f>IF(ISNUMBER(MATCH(AA103,{"Expense|employee","Expense|general_admin","Expense|marketing","Expense|utilities","Expense|other_operating"},0)),N(R103),0)+IF(ISNUMBER(MATCH(AB103,{"Expense|employee","Expense|general_admin","Expense|marketing","Expense|utilities","Expense|other_operating"},0)),N(S103),0)+IF(ISNUMBER(MATCH(AC103,{"Expense|employee","Expense|general_admin","Expense|marketing","Expense|utilities","Expense|other_operating"},0)),-N(L103),0)+IF(ISNUMBER(MATCH(AD103,{"Expense|employee","Expense|general_admin","Expense|marketing","Expense|utilities","Expense|other_operating"},0)),-N(U103),0)+IF(ISNUMBER(MATCH(AE103,{"Expense|employee","Expense|general_admin","Expense|marketing","Expense|utilities","Expense|other_operating"},0)),-N(T103),0)</f>
        <v/>
      </c>
      <c r="AJ103" s="23">
        <f>IF(AA103="Liability|payable",-N(R103),0)+IF(AB103="Liability|payable",-N(S103),0)+IF(AC103="Liability|payable",N(L103),0)+IF(AD103="Liability|payable",N(U103),0)+IF(AE103="Liability|payable",N(T103),0)</f>
        <v/>
      </c>
      <c r="AK103" s="23">
        <f>IF(AA103="Liability|accrued",-N(R103),0)+IF(AB103="Liability|accrued",-N(S103),0)+IF(AC103="Liability|accrued",N(L103),0)+IF(AD103="Liability|accrued",N(U103),0)+IF(AE103="Liability|accrued",N(T103),0)</f>
        <v/>
      </c>
      <c r="AL103" s="23">
        <f>IF(AND(N(R103)&lt;&gt;0,AA103=""),1,0)+IF(AND(N(S103)&lt;&gt;0,AB103=""),1,0)+IF(AND(N(L103)&lt;&gt;0,AC103=""),1,0)+IF(AND(N(U103)&lt;&gt;0,AD103=""),1,0)+IF(AND(N(T103)&lt;&gt;0,AE103=""),1,0)</f>
        <v/>
      </c>
    </row>
    <row r="104">
      <c r="A104" s="19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20" t="n"/>
      <c r="K104" s="20" t="n"/>
      <c r="L104" s="20" t="n"/>
      <c r="M104" s="14" t="n"/>
      <c r="N104" s="14" t="n"/>
      <c r="O104" s="14" t="n"/>
      <c r="P104" s="14" t="n"/>
      <c r="Q104" s="14" t="n"/>
      <c r="R104" s="21">
        <f>ROUND(N(H104)*N(J104)-N(K104),2)</f>
        <v/>
      </c>
      <c r="S104" s="21">
        <f>ROUND(R104*IFERROR(VLOOKUP(P104,'Tax Codes'!$A$5:$E$300,5,FALSE),0),2)</f>
        <v/>
      </c>
      <c r="T104" s="21">
        <f>ROUND(R104*IFERROR(VLOOKUP(Q104,'Tax Codes'!$A$5:$E$300,5,FALSE),0),2)</f>
        <v/>
      </c>
      <c r="U104" s="21">
        <f>R104+S104-T104-N(L104)</f>
        <v/>
      </c>
      <c r="V104" s="16">
        <f>IF(C104="",INDEX('Chart of Accounts'!$A$5:$A$3000,MATCH("materials",'Chart of Accounts'!$F$5:$F$3000,0)),C104&amp;"")</f>
        <v/>
      </c>
      <c r="W104" s="16">
        <f>IF(N104="",INDEX('Chart of Accounts'!$A$5:$A$3000,MATCH("bank",'Chart of Accounts'!$F$5:$F$3000,0)),N104&amp;"")</f>
        <v/>
      </c>
      <c r="X104" s="16">
        <f>IF(O104="",INDEX('Chart of Accounts'!$A$5:$A$3000,MATCH("ap",'Chart of Accounts'!$F$5:$F$3000,0)),O104&amp;"")</f>
        <v/>
      </c>
      <c r="Y104" s="16">
        <f>INDEX('Chart of Accounts'!$A$5:$A$3000,MATCH("vat_input",'Chart of Accounts'!$F$5:$F$3000,0))</f>
        <v/>
      </c>
      <c r="Z104" s="16">
        <f>INDEX('Chart of Accounts'!$A$5:$A$3000,MATCH("wht_payable",'Chart of Accounts'!$F$5:$F$3000,0))</f>
        <v/>
      </c>
      <c r="AA104" s="23">
        <f>IFERROR(INDEX('Chart of Accounts'!$C$5:$C$3000,MATCH(V104&amp;"",'Chart of Accounts'!$A$5:$A$3000,0))&amp;"|"&amp;INDEX('Chart of Accounts'!$D$5:$D$3000,MATCH(V104&amp;"",'Chart of Accounts'!$A$5:$A$3000,0)),"")</f>
        <v/>
      </c>
      <c r="AB104" s="23">
        <f>IFERROR(INDEX('Chart of Accounts'!$C$5:$C$3000,MATCH(Y104&amp;"",'Chart of Accounts'!$A$5:$A$3000,0))&amp;"|"&amp;INDEX('Chart of Accounts'!$D$5:$D$3000,MATCH(Y104&amp;"",'Chart of Accounts'!$A$5:$A$3000,0)),"")</f>
        <v/>
      </c>
      <c r="AC104" s="23">
        <f>IFERROR(INDEX('Chart of Accounts'!$C$5:$C$3000,MATCH(W104&amp;"",'Chart of Accounts'!$A$5:$A$3000,0))&amp;"|"&amp;INDEX('Chart of Accounts'!$D$5:$D$3000,MATCH(W104&amp;"",'Chart of Accounts'!$A$5:$A$3000,0)),"")</f>
        <v/>
      </c>
      <c r="AD104" s="23">
        <f>IFERROR(INDEX('Chart of Accounts'!$C$5:$C$3000,MATCH(X104&amp;"",'Chart of Accounts'!$A$5:$A$3000,0))&amp;"|"&amp;INDEX('Chart of Accounts'!$D$5:$D$3000,MATCH(X104&amp;"",'Chart of Accounts'!$A$5:$A$3000,0)),"")</f>
        <v/>
      </c>
      <c r="AE104" s="23">
        <f>IFERROR(INDEX('Chart of Accounts'!$C$5:$C$3000,MATCH(Z104&amp;"",'Chart of Accounts'!$A$5:$A$3000,0))&amp;"|"&amp;INDEX('Chart of Accounts'!$D$5:$D$3000,MATCH(Z104&amp;"",'Chart of Accounts'!$A$5:$A$3000,0)),"")</f>
        <v/>
      </c>
      <c r="AF104" s="23">
        <f>IF(LEFT(AA104,8)="Revenue|",-N(R104),0)+IF(LEFT(AB104,8)="Revenue|",-N(S104),0)+IF(LEFT(AC104,8)="Revenue|",N(L104),0)+IF(LEFT(AD104,8)="Revenue|",N(U104),0)+IF(LEFT(AE104,8)="Revenue|",N(T104),0)</f>
        <v/>
      </c>
      <c r="AG104" s="23">
        <f>IF(LEFT(AA104,5)="COGS|",N(R104),0)+IF(LEFT(AB104,5)="COGS|",N(S104),0)+IF(LEFT(AC104,5)="COGS|",-N(L104),0)+IF(LEFT(AD104,5)="COGS|",-N(U104),0)+IF(LEFT(AE104,5)="COGS|",-N(T104),0)</f>
        <v/>
      </c>
      <c r="AH104" s="23">
        <f>IF(LEFT(AA104,8)="Expense|",N(R104),0)+IF(LEFT(AB104,8)="Expense|",N(S104),0)+IF(LEFT(AC104,8)="Expense|",-N(L104),0)+IF(LEFT(AD104,8)="Expense|",-N(U104),0)+IF(LEFT(AE104,8)="Expense|",-N(T104),0)</f>
        <v/>
      </c>
      <c r="AI104" s="23">
        <f>IF(ISNUMBER(MATCH(AA104,{"Expense|employee","Expense|general_admin","Expense|marketing","Expense|utilities","Expense|other_operating"},0)),N(R104),0)+IF(ISNUMBER(MATCH(AB104,{"Expense|employee","Expense|general_admin","Expense|marketing","Expense|utilities","Expense|other_operating"},0)),N(S104),0)+IF(ISNUMBER(MATCH(AC104,{"Expense|employee","Expense|general_admin","Expense|marketing","Expense|utilities","Expense|other_operating"},0)),-N(L104),0)+IF(ISNUMBER(MATCH(AD104,{"Expense|employee","Expense|general_admin","Expense|marketing","Expense|utilities","Expense|other_operating"},0)),-N(U104),0)+IF(ISNUMBER(MATCH(AE104,{"Expense|employee","Expense|general_admin","Expense|marketing","Expense|utilities","Expense|other_operating"},0)),-N(T104),0)</f>
        <v/>
      </c>
      <c r="AJ104" s="23">
        <f>IF(AA104="Liability|payable",-N(R104),0)+IF(AB104="Liability|payable",-N(S104),0)+IF(AC104="Liability|payable",N(L104),0)+IF(AD104="Liability|payable",N(U104),0)+IF(AE104="Liability|payable",N(T104),0)</f>
        <v/>
      </c>
      <c r="AK104" s="23">
        <f>IF(AA104="Liability|accrued",-N(R104),0)+IF(AB104="Liability|accrued",-N(S104),0)+IF(AC104="Liability|accrued",N(L104),0)+IF(AD104="Liability|accrued",N(U104),0)+IF(AE104="Liability|accrued",N(T104),0)</f>
        <v/>
      </c>
      <c r="AL104" s="23">
        <f>IF(AND(N(R104)&lt;&gt;0,AA104=""),1,0)+IF(AND(N(S104)&lt;&gt;0,AB104=""),1,0)+IF(AND(N(L104)&lt;&gt;0,AC104=""),1,0)+IF(AND(N(U104)&lt;&gt;0,AD104=""),1,0)+IF(AND(N(T104)&lt;&gt;0,AE104=""),1,0)</f>
        <v/>
      </c>
    </row>
    <row r="105">
      <c r="A105" s="19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20" t="n"/>
      <c r="K105" s="20" t="n"/>
      <c r="L105" s="20" t="n"/>
      <c r="M105" s="14" t="n"/>
      <c r="N105" s="14" t="n"/>
      <c r="O105" s="14" t="n"/>
      <c r="P105" s="14" t="n"/>
      <c r="Q105" s="14" t="n"/>
      <c r="R105" s="21">
        <f>ROUND(N(H105)*N(J105)-N(K105),2)</f>
        <v/>
      </c>
      <c r="S105" s="21">
        <f>ROUND(R105*IFERROR(VLOOKUP(P105,'Tax Codes'!$A$5:$E$300,5,FALSE),0),2)</f>
        <v/>
      </c>
      <c r="T105" s="21">
        <f>ROUND(R105*IFERROR(VLOOKUP(Q105,'Tax Codes'!$A$5:$E$300,5,FALSE),0),2)</f>
        <v/>
      </c>
      <c r="U105" s="21">
        <f>R105+S105-T105-N(L105)</f>
        <v/>
      </c>
      <c r="V105" s="16">
        <f>IF(C105="",INDEX('Chart of Accounts'!$A$5:$A$3000,MATCH("materials",'Chart of Accounts'!$F$5:$F$3000,0)),C105&amp;"")</f>
        <v/>
      </c>
      <c r="W105" s="16">
        <f>IF(N105="",INDEX('Chart of Accounts'!$A$5:$A$3000,MATCH("bank",'Chart of Accounts'!$F$5:$F$3000,0)),N105&amp;"")</f>
        <v/>
      </c>
      <c r="X105" s="16">
        <f>IF(O105="",INDEX('Chart of Accounts'!$A$5:$A$3000,MATCH("ap",'Chart of Accounts'!$F$5:$F$3000,0)),O105&amp;"")</f>
        <v/>
      </c>
      <c r="Y105" s="16">
        <f>INDEX('Chart of Accounts'!$A$5:$A$3000,MATCH("vat_input",'Chart of Accounts'!$F$5:$F$3000,0))</f>
        <v/>
      </c>
      <c r="Z105" s="16">
        <f>INDEX('Chart of Accounts'!$A$5:$A$3000,MATCH("wht_payable",'Chart of Accounts'!$F$5:$F$3000,0))</f>
        <v/>
      </c>
      <c r="AA105" s="23">
        <f>IFERROR(INDEX('Chart of Accounts'!$C$5:$C$3000,MATCH(V105&amp;"",'Chart of Accounts'!$A$5:$A$3000,0))&amp;"|"&amp;INDEX('Chart of Accounts'!$D$5:$D$3000,MATCH(V105&amp;"",'Chart of Accounts'!$A$5:$A$3000,0)),"")</f>
        <v/>
      </c>
      <c r="AB105" s="23">
        <f>IFERROR(INDEX('Chart of Accounts'!$C$5:$C$3000,MATCH(Y105&amp;"",'Chart of Accounts'!$A$5:$A$3000,0))&amp;"|"&amp;INDEX('Chart of Accounts'!$D$5:$D$3000,MATCH(Y105&amp;"",'Chart of Accounts'!$A$5:$A$3000,0)),"")</f>
        <v/>
      </c>
      <c r="AC105" s="23">
        <f>IFERROR(INDEX('Chart of Accounts'!$C$5:$C$3000,MATCH(W105&amp;"",'Chart of Accounts'!$A$5:$A$3000,0))&amp;"|"&amp;INDEX('Chart of Accounts'!$D$5:$D$3000,MATCH(W105&amp;"",'Chart of Accounts'!$A$5:$A$3000,0)),"")</f>
        <v/>
      </c>
      <c r="AD105" s="23">
        <f>IFERROR(INDEX('Chart of Accounts'!$C$5:$C$3000,MATCH(X105&amp;"",'Chart of Accounts'!$A$5:$A$3000,0))&amp;"|"&amp;INDEX('Chart of Accounts'!$D$5:$D$3000,MATCH(X105&amp;"",'Chart of Accounts'!$A$5:$A$3000,0)),"")</f>
        <v/>
      </c>
      <c r="AE105" s="23">
        <f>IFERROR(INDEX('Chart of Accounts'!$C$5:$C$3000,MATCH(Z105&amp;"",'Chart of Accounts'!$A$5:$A$3000,0))&amp;"|"&amp;INDEX('Chart of Accounts'!$D$5:$D$3000,MATCH(Z105&amp;"",'Chart of Accounts'!$A$5:$A$3000,0)),"")</f>
        <v/>
      </c>
      <c r="AF105" s="23">
        <f>IF(LEFT(AA105,8)="Revenue|",-N(R105),0)+IF(LEFT(AB105,8)="Revenue|",-N(S105),0)+IF(LEFT(AC105,8)="Revenue|",N(L105),0)+IF(LEFT(AD105,8)="Revenue|",N(U105),0)+IF(LEFT(AE105,8)="Revenue|",N(T105),0)</f>
        <v/>
      </c>
      <c r="AG105" s="23">
        <f>IF(LEFT(AA105,5)="COGS|",N(R105),0)+IF(LEFT(AB105,5)="COGS|",N(S105),0)+IF(LEFT(AC105,5)="COGS|",-N(L105),0)+IF(LEFT(AD105,5)="COGS|",-N(U105),0)+IF(LEFT(AE105,5)="COGS|",-N(T105),0)</f>
        <v/>
      </c>
      <c r="AH105" s="23">
        <f>IF(LEFT(AA105,8)="Expense|",N(R105),0)+IF(LEFT(AB105,8)="Expense|",N(S105),0)+IF(LEFT(AC105,8)="Expense|",-N(L105),0)+IF(LEFT(AD105,8)="Expense|",-N(U105),0)+IF(LEFT(AE105,8)="Expense|",-N(T105),0)</f>
        <v/>
      </c>
      <c r="AI105" s="23">
        <f>IF(ISNUMBER(MATCH(AA105,{"Expense|employee","Expense|general_admin","Expense|marketing","Expense|utilities","Expense|other_operating"},0)),N(R105),0)+IF(ISNUMBER(MATCH(AB105,{"Expense|employee","Expense|general_admin","Expense|marketing","Expense|utilities","Expense|other_operating"},0)),N(S105),0)+IF(ISNUMBER(MATCH(AC105,{"Expense|employee","Expense|general_admin","Expense|marketing","Expense|utilities","Expense|other_operating"},0)),-N(L105),0)+IF(ISNUMBER(MATCH(AD105,{"Expense|employee","Expense|general_admin","Expense|marketing","Expense|utilities","Expense|other_operating"},0)),-N(U105),0)+IF(ISNUMBER(MATCH(AE105,{"Expense|employee","Expense|general_admin","Expense|marketing","Expense|utilities","Expense|other_operating"},0)),-N(T105),0)</f>
        <v/>
      </c>
      <c r="AJ105" s="23">
        <f>IF(AA105="Liability|payable",-N(R105),0)+IF(AB105="Liability|payable",-N(S105),0)+IF(AC105="Liability|payable",N(L105),0)+IF(AD105="Liability|payable",N(U105),0)+IF(AE105="Liability|payable",N(T105),0)</f>
        <v/>
      </c>
      <c r="AK105" s="23">
        <f>IF(AA105="Liability|accrued",-N(R105),0)+IF(AB105="Liability|accrued",-N(S105),0)+IF(AC105="Liability|accrued",N(L105),0)+IF(AD105="Liability|accrued",N(U105),0)+IF(AE105="Liability|accrued",N(T105),0)</f>
        <v/>
      </c>
      <c r="AL105" s="23">
        <f>IF(AND(N(R105)&lt;&gt;0,AA105=""),1,0)+IF(AND(N(S105)&lt;&gt;0,AB105=""),1,0)+IF(AND(N(L105)&lt;&gt;0,AC105=""),1,0)+IF(AND(N(U105)&lt;&gt;0,AD105=""),1,0)+IF(AND(N(T105)&lt;&gt;0,AE105=""),1,0)</f>
        <v/>
      </c>
    </row>
    <row r="106">
      <c r="A106" s="19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20" t="n"/>
      <c r="K106" s="20" t="n"/>
      <c r="L106" s="20" t="n"/>
      <c r="M106" s="14" t="n"/>
      <c r="N106" s="14" t="n"/>
      <c r="O106" s="14" t="n"/>
      <c r="P106" s="14" t="n"/>
      <c r="Q106" s="14" t="n"/>
      <c r="R106" s="21">
        <f>ROUND(N(H106)*N(J106)-N(K106),2)</f>
        <v/>
      </c>
      <c r="S106" s="21">
        <f>ROUND(R106*IFERROR(VLOOKUP(P106,'Tax Codes'!$A$5:$E$300,5,FALSE),0),2)</f>
        <v/>
      </c>
      <c r="T106" s="21">
        <f>ROUND(R106*IFERROR(VLOOKUP(Q106,'Tax Codes'!$A$5:$E$300,5,FALSE),0),2)</f>
        <v/>
      </c>
      <c r="U106" s="21">
        <f>R106+S106-T106-N(L106)</f>
        <v/>
      </c>
      <c r="V106" s="16">
        <f>IF(C106="",INDEX('Chart of Accounts'!$A$5:$A$3000,MATCH("materials",'Chart of Accounts'!$F$5:$F$3000,0)),C106&amp;"")</f>
        <v/>
      </c>
      <c r="W106" s="16">
        <f>IF(N106="",INDEX('Chart of Accounts'!$A$5:$A$3000,MATCH("bank",'Chart of Accounts'!$F$5:$F$3000,0)),N106&amp;"")</f>
        <v/>
      </c>
      <c r="X106" s="16">
        <f>IF(O106="",INDEX('Chart of Accounts'!$A$5:$A$3000,MATCH("ap",'Chart of Accounts'!$F$5:$F$3000,0)),O106&amp;"")</f>
        <v/>
      </c>
      <c r="Y106" s="16">
        <f>INDEX('Chart of Accounts'!$A$5:$A$3000,MATCH("vat_input",'Chart of Accounts'!$F$5:$F$3000,0))</f>
        <v/>
      </c>
      <c r="Z106" s="16">
        <f>INDEX('Chart of Accounts'!$A$5:$A$3000,MATCH("wht_payable",'Chart of Accounts'!$F$5:$F$3000,0))</f>
        <v/>
      </c>
      <c r="AA106" s="23">
        <f>IFERROR(INDEX('Chart of Accounts'!$C$5:$C$3000,MATCH(V106&amp;"",'Chart of Accounts'!$A$5:$A$3000,0))&amp;"|"&amp;INDEX('Chart of Accounts'!$D$5:$D$3000,MATCH(V106&amp;"",'Chart of Accounts'!$A$5:$A$3000,0)),"")</f>
        <v/>
      </c>
      <c r="AB106" s="23">
        <f>IFERROR(INDEX('Chart of Accounts'!$C$5:$C$3000,MATCH(Y106&amp;"",'Chart of Accounts'!$A$5:$A$3000,0))&amp;"|"&amp;INDEX('Chart of Accounts'!$D$5:$D$3000,MATCH(Y106&amp;"",'Chart of Accounts'!$A$5:$A$3000,0)),"")</f>
        <v/>
      </c>
      <c r="AC106" s="23">
        <f>IFERROR(INDEX('Chart of Accounts'!$C$5:$C$3000,MATCH(W106&amp;"",'Chart of Accounts'!$A$5:$A$3000,0))&amp;"|"&amp;INDEX('Chart of Accounts'!$D$5:$D$3000,MATCH(W106&amp;"",'Chart of Accounts'!$A$5:$A$3000,0)),"")</f>
        <v/>
      </c>
      <c r="AD106" s="23">
        <f>IFERROR(INDEX('Chart of Accounts'!$C$5:$C$3000,MATCH(X106&amp;"",'Chart of Accounts'!$A$5:$A$3000,0))&amp;"|"&amp;INDEX('Chart of Accounts'!$D$5:$D$3000,MATCH(X106&amp;"",'Chart of Accounts'!$A$5:$A$3000,0)),"")</f>
        <v/>
      </c>
      <c r="AE106" s="23">
        <f>IFERROR(INDEX('Chart of Accounts'!$C$5:$C$3000,MATCH(Z106&amp;"",'Chart of Accounts'!$A$5:$A$3000,0))&amp;"|"&amp;INDEX('Chart of Accounts'!$D$5:$D$3000,MATCH(Z106&amp;"",'Chart of Accounts'!$A$5:$A$3000,0)),"")</f>
        <v/>
      </c>
      <c r="AF106" s="23">
        <f>IF(LEFT(AA106,8)="Revenue|",-N(R106),0)+IF(LEFT(AB106,8)="Revenue|",-N(S106),0)+IF(LEFT(AC106,8)="Revenue|",N(L106),0)+IF(LEFT(AD106,8)="Revenue|",N(U106),0)+IF(LEFT(AE106,8)="Revenue|",N(T106),0)</f>
        <v/>
      </c>
      <c r="AG106" s="23">
        <f>IF(LEFT(AA106,5)="COGS|",N(R106),0)+IF(LEFT(AB106,5)="COGS|",N(S106),0)+IF(LEFT(AC106,5)="COGS|",-N(L106),0)+IF(LEFT(AD106,5)="COGS|",-N(U106),0)+IF(LEFT(AE106,5)="COGS|",-N(T106),0)</f>
        <v/>
      </c>
      <c r="AH106" s="23">
        <f>IF(LEFT(AA106,8)="Expense|",N(R106),0)+IF(LEFT(AB106,8)="Expense|",N(S106),0)+IF(LEFT(AC106,8)="Expense|",-N(L106),0)+IF(LEFT(AD106,8)="Expense|",-N(U106),0)+IF(LEFT(AE106,8)="Expense|",-N(T106),0)</f>
        <v/>
      </c>
      <c r="AI106" s="23">
        <f>IF(ISNUMBER(MATCH(AA106,{"Expense|employee","Expense|general_admin","Expense|marketing","Expense|utilities","Expense|other_operating"},0)),N(R106),0)+IF(ISNUMBER(MATCH(AB106,{"Expense|employee","Expense|general_admin","Expense|marketing","Expense|utilities","Expense|other_operating"},0)),N(S106),0)+IF(ISNUMBER(MATCH(AC106,{"Expense|employee","Expense|general_admin","Expense|marketing","Expense|utilities","Expense|other_operating"},0)),-N(L106),0)+IF(ISNUMBER(MATCH(AD106,{"Expense|employee","Expense|general_admin","Expense|marketing","Expense|utilities","Expense|other_operating"},0)),-N(U106),0)+IF(ISNUMBER(MATCH(AE106,{"Expense|employee","Expense|general_admin","Expense|marketing","Expense|utilities","Expense|other_operating"},0)),-N(T106),0)</f>
        <v/>
      </c>
      <c r="AJ106" s="23">
        <f>IF(AA106="Liability|payable",-N(R106),0)+IF(AB106="Liability|payable",-N(S106),0)+IF(AC106="Liability|payable",N(L106),0)+IF(AD106="Liability|payable",N(U106),0)+IF(AE106="Liability|payable",N(T106),0)</f>
        <v/>
      </c>
      <c r="AK106" s="23">
        <f>IF(AA106="Liability|accrued",-N(R106),0)+IF(AB106="Liability|accrued",-N(S106),0)+IF(AC106="Liability|accrued",N(L106),0)+IF(AD106="Liability|accrued",N(U106),0)+IF(AE106="Liability|accrued",N(T106),0)</f>
        <v/>
      </c>
      <c r="AL106" s="23">
        <f>IF(AND(N(R106)&lt;&gt;0,AA106=""),1,0)+IF(AND(N(S106)&lt;&gt;0,AB106=""),1,0)+IF(AND(N(L106)&lt;&gt;0,AC106=""),1,0)+IF(AND(N(U106)&lt;&gt;0,AD106=""),1,0)+IF(AND(N(T106)&lt;&gt;0,AE106=""),1,0)</f>
        <v/>
      </c>
    </row>
    <row r="107">
      <c r="A107" s="19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20" t="n"/>
      <c r="K107" s="20" t="n"/>
      <c r="L107" s="20" t="n"/>
      <c r="M107" s="14" t="n"/>
      <c r="N107" s="14" t="n"/>
      <c r="O107" s="14" t="n"/>
      <c r="P107" s="14" t="n"/>
      <c r="Q107" s="14" t="n"/>
      <c r="R107" s="21">
        <f>ROUND(N(H107)*N(J107)-N(K107),2)</f>
        <v/>
      </c>
      <c r="S107" s="21">
        <f>ROUND(R107*IFERROR(VLOOKUP(P107,'Tax Codes'!$A$5:$E$300,5,FALSE),0),2)</f>
        <v/>
      </c>
      <c r="T107" s="21">
        <f>ROUND(R107*IFERROR(VLOOKUP(Q107,'Tax Codes'!$A$5:$E$300,5,FALSE),0),2)</f>
        <v/>
      </c>
      <c r="U107" s="21">
        <f>R107+S107-T107-N(L107)</f>
        <v/>
      </c>
      <c r="V107" s="16">
        <f>IF(C107="",INDEX('Chart of Accounts'!$A$5:$A$3000,MATCH("materials",'Chart of Accounts'!$F$5:$F$3000,0)),C107&amp;"")</f>
        <v/>
      </c>
      <c r="W107" s="16">
        <f>IF(N107="",INDEX('Chart of Accounts'!$A$5:$A$3000,MATCH("bank",'Chart of Accounts'!$F$5:$F$3000,0)),N107&amp;"")</f>
        <v/>
      </c>
      <c r="X107" s="16">
        <f>IF(O107="",INDEX('Chart of Accounts'!$A$5:$A$3000,MATCH("ap",'Chart of Accounts'!$F$5:$F$3000,0)),O107&amp;"")</f>
        <v/>
      </c>
      <c r="Y107" s="16">
        <f>INDEX('Chart of Accounts'!$A$5:$A$3000,MATCH("vat_input",'Chart of Accounts'!$F$5:$F$3000,0))</f>
        <v/>
      </c>
      <c r="Z107" s="16">
        <f>INDEX('Chart of Accounts'!$A$5:$A$3000,MATCH("wht_payable",'Chart of Accounts'!$F$5:$F$3000,0))</f>
        <v/>
      </c>
      <c r="AA107" s="23">
        <f>IFERROR(INDEX('Chart of Accounts'!$C$5:$C$3000,MATCH(V107&amp;"",'Chart of Accounts'!$A$5:$A$3000,0))&amp;"|"&amp;INDEX('Chart of Accounts'!$D$5:$D$3000,MATCH(V107&amp;"",'Chart of Accounts'!$A$5:$A$3000,0)),"")</f>
        <v/>
      </c>
      <c r="AB107" s="23">
        <f>IFERROR(INDEX('Chart of Accounts'!$C$5:$C$3000,MATCH(Y107&amp;"",'Chart of Accounts'!$A$5:$A$3000,0))&amp;"|"&amp;INDEX('Chart of Accounts'!$D$5:$D$3000,MATCH(Y107&amp;"",'Chart of Accounts'!$A$5:$A$3000,0)),"")</f>
        <v/>
      </c>
      <c r="AC107" s="23">
        <f>IFERROR(INDEX('Chart of Accounts'!$C$5:$C$3000,MATCH(W107&amp;"",'Chart of Accounts'!$A$5:$A$3000,0))&amp;"|"&amp;INDEX('Chart of Accounts'!$D$5:$D$3000,MATCH(W107&amp;"",'Chart of Accounts'!$A$5:$A$3000,0)),"")</f>
        <v/>
      </c>
      <c r="AD107" s="23">
        <f>IFERROR(INDEX('Chart of Accounts'!$C$5:$C$3000,MATCH(X107&amp;"",'Chart of Accounts'!$A$5:$A$3000,0))&amp;"|"&amp;INDEX('Chart of Accounts'!$D$5:$D$3000,MATCH(X107&amp;"",'Chart of Accounts'!$A$5:$A$3000,0)),"")</f>
        <v/>
      </c>
      <c r="AE107" s="23">
        <f>IFERROR(INDEX('Chart of Accounts'!$C$5:$C$3000,MATCH(Z107&amp;"",'Chart of Accounts'!$A$5:$A$3000,0))&amp;"|"&amp;INDEX('Chart of Accounts'!$D$5:$D$3000,MATCH(Z107&amp;"",'Chart of Accounts'!$A$5:$A$3000,0)),"")</f>
        <v/>
      </c>
      <c r="AF107" s="23">
        <f>IF(LEFT(AA107,8)="Revenue|",-N(R107),0)+IF(LEFT(AB107,8)="Revenue|",-N(S107),0)+IF(LEFT(AC107,8)="Revenue|",N(L107),0)+IF(LEFT(AD107,8)="Revenue|",N(U107),0)+IF(LEFT(AE107,8)="Revenue|",N(T107),0)</f>
        <v/>
      </c>
      <c r="AG107" s="23">
        <f>IF(LEFT(AA107,5)="COGS|",N(R107),0)+IF(LEFT(AB107,5)="COGS|",N(S107),0)+IF(LEFT(AC107,5)="COGS|",-N(L107),0)+IF(LEFT(AD107,5)="COGS|",-N(U107),0)+IF(LEFT(AE107,5)="COGS|",-N(T107),0)</f>
        <v/>
      </c>
      <c r="AH107" s="23">
        <f>IF(LEFT(AA107,8)="Expense|",N(R107),0)+IF(LEFT(AB107,8)="Expense|",N(S107),0)+IF(LEFT(AC107,8)="Expense|",-N(L107),0)+IF(LEFT(AD107,8)="Expense|",-N(U107),0)+IF(LEFT(AE107,8)="Expense|",-N(T107),0)</f>
        <v/>
      </c>
      <c r="AI107" s="23">
        <f>IF(ISNUMBER(MATCH(AA107,{"Expense|employee","Expense|general_admin","Expense|marketing","Expense|utilities","Expense|other_operating"},0)),N(R107),0)+IF(ISNUMBER(MATCH(AB107,{"Expense|employee","Expense|general_admin","Expense|marketing","Expense|utilities","Expense|other_operating"},0)),N(S107),0)+IF(ISNUMBER(MATCH(AC107,{"Expense|employee","Expense|general_admin","Expense|marketing","Expense|utilities","Expense|other_operating"},0)),-N(L107),0)+IF(ISNUMBER(MATCH(AD107,{"Expense|employee","Expense|general_admin","Expense|marketing","Expense|utilities","Expense|other_operating"},0)),-N(U107),0)+IF(ISNUMBER(MATCH(AE107,{"Expense|employee","Expense|general_admin","Expense|marketing","Expense|utilities","Expense|other_operating"},0)),-N(T107),0)</f>
        <v/>
      </c>
      <c r="AJ107" s="23">
        <f>IF(AA107="Liability|payable",-N(R107),0)+IF(AB107="Liability|payable",-N(S107),0)+IF(AC107="Liability|payable",N(L107),0)+IF(AD107="Liability|payable",N(U107),0)+IF(AE107="Liability|payable",N(T107),0)</f>
        <v/>
      </c>
      <c r="AK107" s="23">
        <f>IF(AA107="Liability|accrued",-N(R107),0)+IF(AB107="Liability|accrued",-N(S107),0)+IF(AC107="Liability|accrued",N(L107),0)+IF(AD107="Liability|accrued",N(U107),0)+IF(AE107="Liability|accrued",N(T107),0)</f>
        <v/>
      </c>
      <c r="AL107" s="23">
        <f>IF(AND(N(R107)&lt;&gt;0,AA107=""),1,0)+IF(AND(N(S107)&lt;&gt;0,AB107=""),1,0)+IF(AND(N(L107)&lt;&gt;0,AC107=""),1,0)+IF(AND(N(U107)&lt;&gt;0,AD107=""),1,0)+IF(AND(N(T107)&lt;&gt;0,AE107=""),1,0)</f>
        <v/>
      </c>
    </row>
    <row r="108">
      <c r="A108" s="19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20" t="n"/>
      <c r="K108" s="20" t="n"/>
      <c r="L108" s="20" t="n"/>
      <c r="M108" s="14" t="n"/>
      <c r="N108" s="14" t="n"/>
      <c r="O108" s="14" t="n"/>
      <c r="P108" s="14" t="n"/>
      <c r="Q108" s="14" t="n"/>
      <c r="R108" s="21">
        <f>ROUND(N(H108)*N(J108)-N(K108),2)</f>
        <v/>
      </c>
      <c r="S108" s="21">
        <f>ROUND(R108*IFERROR(VLOOKUP(P108,'Tax Codes'!$A$5:$E$300,5,FALSE),0),2)</f>
        <v/>
      </c>
      <c r="T108" s="21">
        <f>ROUND(R108*IFERROR(VLOOKUP(Q108,'Tax Codes'!$A$5:$E$300,5,FALSE),0),2)</f>
        <v/>
      </c>
      <c r="U108" s="21">
        <f>R108+S108-T108-N(L108)</f>
        <v/>
      </c>
      <c r="V108" s="16">
        <f>IF(C108="",INDEX('Chart of Accounts'!$A$5:$A$3000,MATCH("materials",'Chart of Accounts'!$F$5:$F$3000,0)),C108&amp;"")</f>
        <v/>
      </c>
      <c r="W108" s="16">
        <f>IF(N108="",INDEX('Chart of Accounts'!$A$5:$A$3000,MATCH("bank",'Chart of Accounts'!$F$5:$F$3000,0)),N108&amp;"")</f>
        <v/>
      </c>
      <c r="X108" s="16">
        <f>IF(O108="",INDEX('Chart of Accounts'!$A$5:$A$3000,MATCH("ap",'Chart of Accounts'!$F$5:$F$3000,0)),O108&amp;"")</f>
        <v/>
      </c>
      <c r="Y108" s="16">
        <f>INDEX('Chart of Accounts'!$A$5:$A$3000,MATCH("vat_input",'Chart of Accounts'!$F$5:$F$3000,0))</f>
        <v/>
      </c>
      <c r="Z108" s="16">
        <f>INDEX('Chart of Accounts'!$A$5:$A$3000,MATCH("wht_payable",'Chart of Accounts'!$F$5:$F$3000,0))</f>
        <v/>
      </c>
      <c r="AA108" s="23">
        <f>IFERROR(INDEX('Chart of Accounts'!$C$5:$C$3000,MATCH(V108&amp;"",'Chart of Accounts'!$A$5:$A$3000,0))&amp;"|"&amp;INDEX('Chart of Accounts'!$D$5:$D$3000,MATCH(V108&amp;"",'Chart of Accounts'!$A$5:$A$3000,0)),"")</f>
        <v/>
      </c>
      <c r="AB108" s="23">
        <f>IFERROR(INDEX('Chart of Accounts'!$C$5:$C$3000,MATCH(Y108&amp;"",'Chart of Accounts'!$A$5:$A$3000,0))&amp;"|"&amp;INDEX('Chart of Accounts'!$D$5:$D$3000,MATCH(Y108&amp;"",'Chart of Accounts'!$A$5:$A$3000,0)),"")</f>
        <v/>
      </c>
      <c r="AC108" s="23">
        <f>IFERROR(INDEX('Chart of Accounts'!$C$5:$C$3000,MATCH(W108&amp;"",'Chart of Accounts'!$A$5:$A$3000,0))&amp;"|"&amp;INDEX('Chart of Accounts'!$D$5:$D$3000,MATCH(W108&amp;"",'Chart of Accounts'!$A$5:$A$3000,0)),"")</f>
        <v/>
      </c>
      <c r="AD108" s="23">
        <f>IFERROR(INDEX('Chart of Accounts'!$C$5:$C$3000,MATCH(X108&amp;"",'Chart of Accounts'!$A$5:$A$3000,0))&amp;"|"&amp;INDEX('Chart of Accounts'!$D$5:$D$3000,MATCH(X108&amp;"",'Chart of Accounts'!$A$5:$A$3000,0)),"")</f>
        <v/>
      </c>
      <c r="AE108" s="23">
        <f>IFERROR(INDEX('Chart of Accounts'!$C$5:$C$3000,MATCH(Z108&amp;"",'Chart of Accounts'!$A$5:$A$3000,0))&amp;"|"&amp;INDEX('Chart of Accounts'!$D$5:$D$3000,MATCH(Z108&amp;"",'Chart of Accounts'!$A$5:$A$3000,0)),"")</f>
        <v/>
      </c>
      <c r="AF108" s="23">
        <f>IF(LEFT(AA108,8)="Revenue|",-N(R108),0)+IF(LEFT(AB108,8)="Revenue|",-N(S108),0)+IF(LEFT(AC108,8)="Revenue|",N(L108),0)+IF(LEFT(AD108,8)="Revenue|",N(U108),0)+IF(LEFT(AE108,8)="Revenue|",N(T108),0)</f>
        <v/>
      </c>
      <c r="AG108" s="23">
        <f>IF(LEFT(AA108,5)="COGS|",N(R108),0)+IF(LEFT(AB108,5)="COGS|",N(S108),0)+IF(LEFT(AC108,5)="COGS|",-N(L108),0)+IF(LEFT(AD108,5)="COGS|",-N(U108),0)+IF(LEFT(AE108,5)="COGS|",-N(T108),0)</f>
        <v/>
      </c>
      <c r="AH108" s="23">
        <f>IF(LEFT(AA108,8)="Expense|",N(R108),0)+IF(LEFT(AB108,8)="Expense|",N(S108),0)+IF(LEFT(AC108,8)="Expense|",-N(L108),0)+IF(LEFT(AD108,8)="Expense|",-N(U108),0)+IF(LEFT(AE108,8)="Expense|",-N(T108),0)</f>
        <v/>
      </c>
      <c r="AI108" s="23">
        <f>IF(ISNUMBER(MATCH(AA108,{"Expense|employee","Expense|general_admin","Expense|marketing","Expense|utilities","Expense|other_operating"},0)),N(R108),0)+IF(ISNUMBER(MATCH(AB108,{"Expense|employee","Expense|general_admin","Expense|marketing","Expense|utilities","Expense|other_operating"},0)),N(S108),0)+IF(ISNUMBER(MATCH(AC108,{"Expense|employee","Expense|general_admin","Expense|marketing","Expense|utilities","Expense|other_operating"},0)),-N(L108),0)+IF(ISNUMBER(MATCH(AD108,{"Expense|employee","Expense|general_admin","Expense|marketing","Expense|utilities","Expense|other_operating"},0)),-N(U108),0)+IF(ISNUMBER(MATCH(AE108,{"Expense|employee","Expense|general_admin","Expense|marketing","Expense|utilities","Expense|other_operating"},0)),-N(T108),0)</f>
        <v/>
      </c>
      <c r="AJ108" s="23">
        <f>IF(AA108="Liability|payable",-N(R108),0)+IF(AB108="Liability|payable",-N(S108),0)+IF(AC108="Liability|payable",N(L108),0)+IF(AD108="Liability|payable",N(U108),0)+IF(AE108="Liability|payable",N(T108),0)</f>
        <v/>
      </c>
      <c r="AK108" s="23">
        <f>IF(AA108="Liability|accrued",-N(R108),0)+IF(AB108="Liability|accrued",-N(S108),0)+IF(AC108="Liability|accrued",N(L108),0)+IF(AD108="Liability|accrued",N(U108),0)+IF(AE108="Liability|accrued",N(T108),0)</f>
        <v/>
      </c>
      <c r="AL108" s="23">
        <f>IF(AND(N(R108)&lt;&gt;0,AA108=""),1,0)+IF(AND(N(S108)&lt;&gt;0,AB108=""),1,0)+IF(AND(N(L108)&lt;&gt;0,AC108=""),1,0)+IF(AND(N(U108)&lt;&gt;0,AD108=""),1,0)+IF(AND(N(T108)&lt;&gt;0,AE108=""),1,0)</f>
        <v/>
      </c>
    </row>
    <row r="109">
      <c r="A109" s="19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20" t="n"/>
      <c r="K109" s="20" t="n"/>
      <c r="L109" s="20" t="n"/>
      <c r="M109" s="14" t="n"/>
      <c r="N109" s="14" t="n"/>
      <c r="O109" s="14" t="n"/>
      <c r="P109" s="14" t="n"/>
      <c r="Q109" s="14" t="n"/>
      <c r="R109" s="21">
        <f>ROUND(N(H109)*N(J109)-N(K109),2)</f>
        <v/>
      </c>
      <c r="S109" s="21">
        <f>ROUND(R109*IFERROR(VLOOKUP(P109,'Tax Codes'!$A$5:$E$300,5,FALSE),0),2)</f>
        <v/>
      </c>
      <c r="T109" s="21">
        <f>ROUND(R109*IFERROR(VLOOKUP(Q109,'Tax Codes'!$A$5:$E$300,5,FALSE),0),2)</f>
        <v/>
      </c>
      <c r="U109" s="21">
        <f>R109+S109-T109-N(L109)</f>
        <v/>
      </c>
      <c r="V109" s="16">
        <f>IF(C109="",INDEX('Chart of Accounts'!$A$5:$A$3000,MATCH("materials",'Chart of Accounts'!$F$5:$F$3000,0)),C109&amp;"")</f>
        <v/>
      </c>
      <c r="W109" s="16">
        <f>IF(N109="",INDEX('Chart of Accounts'!$A$5:$A$3000,MATCH("bank",'Chart of Accounts'!$F$5:$F$3000,0)),N109&amp;"")</f>
        <v/>
      </c>
      <c r="X109" s="16">
        <f>IF(O109="",INDEX('Chart of Accounts'!$A$5:$A$3000,MATCH("ap",'Chart of Accounts'!$F$5:$F$3000,0)),O109&amp;"")</f>
        <v/>
      </c>
      <c r="Y109" s="16">
        <f>INDEX('Chart of Accounts'!$A$5:$A$3000,MATCH("vat_input",'Chart of Accounts'!$F$5:$F$3000,0))</f>
        <v/>
      </c>
      <c r="Z109" s="16">
        <f>INDEX('Chart of Accounts'!$A$5:$A$3000,MATCH("wht_payable",'Chart of Accounts'!$F$5:$F$3000,0))</f>
        <v/>
      </c>
      <c r="AA109" s="23">
        <f>IFERROR(INDEX('Chart of Accounts'!$C$5:$C$3000,MATCH(V109&amp;"",'Chart of Accounts'!$A$5:$A$3000,0))&amp;"|"&amp;INDEX('Chart of Accounts'!$D$5:$D$3000,MATCH(V109&amp;"",'Chart of Accounts'!$A$5:$A$3000,0)),"")</f>
        <v/>
      </c>
      <c r="AB109" s="23">
        <f>IFERROR(INDEX('Chart of Accounts'!$C$5:$C$3000,MATCH(Y109&amp;"",'Chart of Accounts'!$A$5:$A$3000,0))&amp;"|"&amp;INDEX('Chart of Accounts'!$D$5:$D$3000,MATCH(Y109&amp;"",'Chart of Accounts'!$A$5:$A$3000,0)),"")</f>
        <v/>
      </c>
      <c r="AC109" s="23">
        <f>IFERROR(INDEX('Chart of Accounts'!$C$5:$C$3000,MATCH(W109&amp;"",'Chart of Accounts'!$A$5:$A$3000,0))&amp;"|"&amp;INDEX('Chart of Accounts'!$D$5:$D$3000,MATCH(W109&amp;"",'Chart of Accounts'!$A$5:$A$3000,0)),"")</f>
        <v/>
      </c>
      <c r="AD109" s="23">
        <f>IFERROR(INDEX('Chart of Accounts'!$C$5:$C$3000,MATCH(X109&amp;"",'Chart of Accounts'!$A$5:$A$3000,0))&amp;"|"&amp;INDEX('Chart of Accounts'!$D$5:$D$3000,MATCH(X109&amp;"",'Chart of Accounts'!$A$5:$A$3000,0)),"")</f>
        <v/>
      </c>
      <c r="AE109" s="23">
        <f>IFERROR(INDEX('Chart of Accounts'!$C$5:$C$3000,MATCH(Z109&amp;"",'Chart of Accounts'!$A$5:$A$3000,0))&amp;"|"&amp;INDEX('Chart of Accounts'!$D$5:$D$3000,MATCH(Z109&amp;"",'Chart of Accounts'!$A$5:$A$3000,0)),"")</f>
        <v/>
      </c>
      <c r="AF109" s="23">
        <f>IF(LEFT(AA109,8)="Revenue|",-N(R109),0)+IF(LEFT(AB109,8)="Revenue|",-N(S109),0)+IF(LEFT(AC109,8)="Revenue|",N(L109),0)+IF(LEFT(AD109,8)="Revenue|",N(U109),0)+IF(LEFT(AE109,8)="Revenue|",N(T109),0)</f>
        <v/>
      </c>
      <c r="AG109" s="23">
        <f>IF(LEFT(AA109,5)="COGS|",N(R109),0)+IF(LEFT(AB109,5)="COGS|",N(S109),0)+IF(LEFT(AC109,5)="COGS|",-N(L109),0)+IF(LEFT(AD109,5)="COGS|",-N(U109),0)+IF(LEFT(AE109,5)="COGS|",-N(T109),0)</f>
        <v/>
      </c>
      <c r="AH109" s="23">
        <f>IF(LEFT(AA109,8)="Expense|",N(R109),0)+IF(LEFT(AB109,8)="Expense|",N(S109),0)+IF(LEFT(AC109,8)="Expense|",-N(L109),0)+IF(LEFT(AD109,8)="Expense|",-N(U109),0)+IF(LEFT(AE109,8)="Expense|",-N(T109),0)</f>
        <v/>
      </c>
      <c r="AI109" s="23">
        <f>IF(ISNUMBER(MATCH(AA109,{"Expense|employee","Expense|general_admin","Expense|marketing","Expense|utilities","Expense|other_operating"},0)),N(R109),0)+IF(ISNUMBER(MATCH(AB109,{"Expense|employee","Expense|general_admin","Expense|marketing","Expense|utilities","Expense|other_operating"},0)),N(S109),0)+IF(ISNUMBER(MATCH(AC109,{"Expense|employee","Expense|general_admin","Expense|marketing","Expense|utilities","Expense|other_operating"},0)),-N(L109),0)+IF(ISNUMBER(MATCH(AD109,{"Expense|employee","Expense|general_admin","Expense|marketing","Expense|utilities","Expense|other_operating"},0)),-N(U109),0)+IF(ISNUMBER(MATCH(AE109,{"Expense|employee","Expense|general_admin","Expense|marketing","Expense|utilities","Expense|other_operating"},0)),-N(T109),0)</f>
        <v/>
      </c>
      <c r="AJ109" s="23">
        <f>IF(AA109="Liability|payable",-N(R109),0)+IF(AB109="Liability|payable",-N(S109),0)+IF(AC109="Liability|payable",N(L109),0)+IF(AD109="Liability|payable",N(U109),0)+IF(AE109="Liability|payable",N(T109),0)</f>
        <v/>
      </c>
      <c r="AK109" s="23">
        <f>IF(AA109="Liability|accrued",-N(R109),0)+IF(AB109="Liability|accrued",-N(S109),0)+IF(AC109="Liability|accrued",N(L109),0)+IF(AD109="Liability|accrued",N(U109),0)+IF(AE109="Liability|accrued",N(T109),0)</f>
        <v/>
      </c>
      <c r="AL109" s="23">
        <f>IF(AND(N(R109)&lt;&gt;0,AA109=""),1,0)+IF(AND(N(S109)&lt;&gt;0,AB109=""),1,0)+IF(AND(N(L109)&lt;&gt;0,AC109=""),1,0)+IF(AND(N(U109)&lt;&gt;0,AD109=""),1,0)+IF(AND(N(T109)&lt;&gt;0,AE109=""),1,0)</f>
        <v/>
      </c>
    </row>
    <row r="110">
      <c r="A110" s="19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20" t="n"/>
      <c r="K110" s="20" t="n"/>
      <c r="L110" s="20" t="n"/>
      <c r="M110" s="14" t="n"/>
      <c r="N110" s="14" t="n"/>
      <c r="O110" s="14" t="n"/>
      <c r="P110" s="14" t="n"/>
      <c r="Q110" s="14" t="n"/>
      <c r="R110" s="21">
        <f>ROUND(N(H110)*N(J110)-N(K110),2)</f>
        <v/>
      </c>
      <c r="S110" s="21">
        <f>ROUND(R110*IFERROR(VLOOKUP(P110,'Tax Codes'!$A$5:$E$300,5,FALSE),0),2)</f>
        <v/>
      </c>
      <c r="T110" s="21">
        <f>ROUND(R110*IFERROR(VLOOKUP(Q110,'Tax Codes'!$A$5:$E$300,5,FALSE),0),2)</f>
        <v/>
      </c>
      <c r="U110" s="21">
        <f>R110+S110-T110-N(L110)</f>
        <v/>
      </c>
      <c r="V110" s="16">
        <f>IF(C110="",INDEX('Chart of Accounts'!$A$5:$A$3000,MATCH("materials",'Chart of Accounts'!$F$5:$F$3000,0)),C110&amp;"")</f>
        <v/>
      </c>
      <c r="W110" s="16">
        <f>IF(N110="",INDEX('Chart of Accounts'!$A$5:$A$3000,MATCH("bank",'Chart of Accounts'!$F$5:$F$3000,0)),N110&amp;"")</f>
        <v/>
      </c>
      <c r="X110" s="16">
        <f>IF(O110="",INDEX('Chart of Accounts'!$A$5:$A$3000,MATCH("ap",'Chart of Accounts'!$F$5:$F$3000,0)),O110&amp;"")</f>
        <v/>
      </c>
      <c r="Y110" s="16">
        <f>INDEX('Chart of Accounts'!$A$5:$A$3000,MATCH("vat_input",'Chart of Accounts'!$F$5:$F$3000,0))</f>
        <v/>
      </c>
      <c r="Z110" s="16">
        <f>INDEX('Chart of Accounts'!$A$5:$A$3000,MATCH("wht_payable",'Chart of Accounts'!$F$5:$F$3000,0))</f>
        <v/>
      </c>
      <c r="AA110" s="23">
        <f>IFERROR(INDEX('Chart of Accounts'!$C$5:$C$3000,MATCH(V110&amp;"",'Chart of Accounts'!$A$5:$A$3000,0))&amp;"|"&amp;INDEX('Chart of Accounts'!$D$5:$D$3000,MATCH(V110&amp;"",'Chart of Accounts'!$A$5:$A$3000,0)),"")</f>
        <v/>
      </c>
      <c r="AB110" s="23">
        <f>IFERROR(INDEX('Chart of Accounts'!$C$5:$C$3000,MATCH(Y110&amp;"",'Chart of Accounts'!$A$5:$A$3000,0))&amp;"|"&amp;INDEX('Chart of Accounts'!$D$5:$D$3000,MATCH(Y110&amp;"",'Chart of Accounts'!$A$5:$A$3000,0)),"")</f>
        <v/>
      </c>
      <c r="AC110" s="23">
        <f>IFERROR(INDEX('Chart of Accounts'!$C$5:$C$3000,MATCH(W110&amp;"",'Chart of Accounts'!$A$5:$A$3000,0))&amp;"|"&amp;INDEX('Chart of Accounts'!$D$5:$D$3000,MATCH(W110&amp;"",'Chart of Accounts'!$A$5:$A$3000,0)),"")</f>
        <v/>
      </c>
      <c r="AD110" s="23">
        <f>IFERROR(INDEX('Chart of Accounts'!$C$5:$C$3000,MATCH(X110&amp;"",'Chart of Accounts'!$A$5:$A$3000,0))&amp;"|"&amp;INDEX('Chart of Accounts'!$D$5:$D$3000,MATCH(X110&amp;"",'Chart of Accounts'!$A$5:$A$3000,0)),"")</f>
        <v/>
      </c>
      <c r="AE110" s="23">
        <f>IFERROR(INDEX('Chart of Accounts'!$C$5:$C$3000,MATCH(Z110&amp;"",'Chart of Accounts'!$A$5:$A$3000,0))&amp;"|"&amp;INDEX('Chart of Accounts'!$D$5:$D$3000,MATCH(Z110&amp;"",'Chart of Accounts'!$A$5:$A$3000,0)),"")</f>
        <v/>
      </c>
      <c r="AF110" s="23">
        <f>IF(LEFT(AA110,8)="Revenue|",-N(R110),0)+IF(LEFT(AB110,8)="Revenue|",-N(S110),0)+IF(LEFT(AC110,8)="Revenue|",N(L110),0)+IF(LEFT(AD110,8)="Revenue|",N(U110),0)+IF(LEFT(AE110,8)="Revenue|",N(T110),0)</f>
        <v/>
      </c>
      <c r="AG110" s="23">
        <f>IF(LEFT(AA110,5)="COGS|",N(R110),0)+IF(LEFT(AB110,5)="COGS|",N(S110),0)+IF(LEFT(AC110,5)="COGS|",-N(L110),0)+IF(LEFT(AD110,5)="COGS|",-N(U110),0)+IF(LEFT(AE110,5)="COGS|",-N(T110),0)</f>
        <v/>
      </c>
      <c r="AH110" s="23">
        <f>IF(LEFT(AA110,8)="Expense|",N(R110),0)+IF(LEFT(AB110,8)="Expense|",N(S110),0)+IF(LEFT(AC110,8)="Expense|",-N(L110),0)+IF(LEFT(AD110,8)="Expense|",-N(U110),0)+IF(LEFT(AE110,8)="Expense|",-N(T110),0)</f>
        <v/>
      </c>
      <c r="AI110" s="23">
        <f>IF(ISNUMBER(MATCH(AA110,{"Expense|employee","Expense|general_admin","Expense|marketing","Expense|utilities","Expense|other_operating"},0)),N(R110),0)+IF(ISNUMBER(MATCH(AB110,{"Expense|employee","Expense|general_admin","Expense|marketing","Expense|utilities","Expense|other_operating"},0)),N(S110),0)+IF(ISNUMBER(MATCH(AC110,{"Expense|employee","Expense|general_admin","Expense|marketing","Expense|utilities","Expense|other_operating"},0)),-N(L110),0)+IF(ISNUMBER(MATCH(AD110,{"Expense|employee","Expense|general_admin","Expense|marketing","Expense|utilities","Expense|other_operating"},0)),-N(U110),0)+IF(ISNUMBER(MATCH(AE110,{"Expense|employee","Expense|general_admin","Expense|marketing","Expense|utilities","Expense|other_operating"},0)),-N(T110),0)</f>
        <v/>
      </c>
      <c r="AJ110" s="23">
        <f>IF(AA110="Liability|payable",-N(R110),0)+IF(AB110="Liability|payable",-N(S110),0)+IF(AC110="Liability|payable",N(L110),0)+IF(AD110="Liability|payable",N(U110),0)+IF(AE110="Liability|payable",N(T110),0)</f>
        <v/>
      </c>
      <c r="AK110" s="23">
        <f>IF(AA110="Liability|accrued",-N(R110),0)+IF(AB110="Liability|accrued",-N(S110),0)+IF(AC110="Liability|accrued",N(L110),0)+IF(AD110="Liability|accrued",N(U110),0)+IF(AE110="Liability|accrued",N(T110),0)</f>
        <v/>
      </c>
      <c r="AL110" s="23">
        <f>IF(AND(N(R110)&lt;&gt;0,AA110=""),1,0)+IF(AND(N(S110)&lt;&gt;0,AB110=""),1,0)+IF(AND(N(L110)&lt;&gt;0,AC110=""),1,0)+IF(AND(N(U110)&lt;&gt;0,AD110=""),1,0)+IF(AND(N(T110)&lt;&gt;0,AE110=""),1,0)</f>
        <v/>
      </c>
    </row>
    <row r="111">
      <c r="A111" s="19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20" t="n"/>
      <c r="K111" s="20" t="n"/>
      <c r="L111" s="20" t="n"/>
      <c r="M111" s="14" t="n"/>
      <c r="N111" s="14" t="n"/>
      <c r="O111" s="14" t="n"/>
      <c r="P111" s="14" t="n"/>
      <c r="Q111" s="14" t="n"/>
      <c r="R111" s="21">
        <f>ROUND(N(H111)*N(J111)-N(K111),2)</f>
        <v/>
      </c>
      <c r="S111" s="21">
        <f>ROUND(R111*IFERROR(VLOOKUP(P111,'Tax Codes'!$A$5:$E$300,5,FALSE),0),2)</f>
        <v/>
      </c>
      <c r="T111" s="21">
        <f>ROUND(R111*IFERROR(VLOOKUP(Q111,'Tax Codes'!$A$5:$E$300,5,FALSE),0),2)</f>
        <v/>
      </c>
      <c r="U111" s="21">
        <f>R111+S111-T111-N(L111)</f>
        <v/>
      </c>
      <c r="V111" s="16">
        <f>IF(C111="",INDEX('Chart of Accounts'!$A$5:$A$3000,MATCH("materials",'Chart of Accounts'!$F$5:$F$3000,0)),C111&amp;"")</f>
        <v/>
      </c>
      <c r="W111" s="16">
        <f>IF(N111="",INDEX('Chart of Accounts'!$A$5:$A$3000,MATCH("bank",'Chart of Accounts'!$F$5:$F$3000,0)),N111&amp;"")</f>
        <v/>
      </c>
      <c r="X111" s="16">
        <f>IF(O111="",INDEX('Chart of Accounts'!$A$5:$A$3000,MATCH("ap",'Chart of Accounts'!$F$5:$F$3000,0)),O111&amp;"")</f>
        <v/>
      </c>
      <c r="Y111" s="16">
        <f>INDEX('Chart of Accounts'!$A$5:$A$3000,MATCH("vat_input",'Chart of Accounts'!$F$5:$F$3000,0))</f>
        <v/>
      </c>
      <c r="Z111" s="16">
        <f>INDEX('Chart of Accounts'!$A$5:$A$3000,MATCH("wht_payable",'Chart of Accounts'!$F$5:$F$3000,0))</f>
        <v/>
      </c>
      <c r="AA111" s="23">
        <f>IFERROR(INDEX('Chart of Accounts'!$C$5:$C$3000,MATCH(V111&amp;"",'Chart of Accounts'!$A$5:$A$3000,0))&amp;"|"&amp;INDEX('Chart of Accounts'!$D$5:$D$3000,MATCH(V111&amp;"",'Chart of Accounts'!$A$5:$A$3000,0)),"")</f>
        <v/>
      </c>
      <c r="AB111" s="23">
        <f>IFERROR(INDEX('Chart of Accounts'!$C$5:$C$3000,MATCH(Y111&amp;"",'Chart of Accounts'!$A$5:$A$3000,0))&amp;"|"&amp;INDEX('Chart of Accounts'!$D$5:$D$3000,MATCH(Y111&amp;"",'Chart of Accounts'!$A$5:$A$3000,0)),"")</f>
        <v/>
      </c>
      <c r="AC111" s="23">
        <f>IFERROR(INDEX('Chart of Accounts'!$C$5:$C$3000,MATCH(W111&amp;"",'Chart of Accounts'!$A$5:$A$3000,0))&amp;"|"&amp;INDEX('Chart of Accounts'!$D$5:$D$3000,MATCH(W111&amp;"",'Chart of Accounts'!$A$5:$A$3000,0)),"")</f>
        <v/>
      </c>
      <c r="AD111" s="23">
        <f>IFERROR(INDEX('Chart of Accounts'!$C$5:$C$3000,MATCH(X111&amp;"",'Chart of Accounts'!$A$5:$A$3000,0))&amp;"|"&amp;INDEX('Chart of Accounts'!$D$5:$D$3000,MATCH(X111&amp;"",'Chart of Accounts'!$A$5:$A$3000,0)),"")</f>
        <v/>
      </c>
      <c r="AE111" s="23">
        <f>IFERROR(INDEX('Chart of Accounts'!$C$5:$C$3000,MATCH(Z111&amp;"",'Chart of Accounts'!$A$5:$A$3000,0))&amp;"|"&amp;INDEX('Chart of Accounts'!$D$5:$D$3000,MATCH(Z111&amp;"",'Chart of Accounts'!$A$5:$A$3000,0)),"")</f>
        <v/>
      </c>
      <c r="AF111" s="23">
        <f>IF(LEFT(AA111,8)="Revenue|",-N(R111),0)+IF(LEFT(AB111,8)="Revenue|",-N(S111),0)+IF(LEFT(AC111,8)="Revenue|",N(L111),0)+IF(LEFT(AD111,8)="Revenue|",N(U111),0)+IF(LEFT(AE111,8)="Revenue|",N(T111),0)</f>
        <v/>
      </c>
      <c r="AG111" s="23">
        <f>IF(LEFT(AA111,5)="COGS|",N(R111),0)+IF(LEFT(AB111,5)="COGS|",N(S111),0)+IF(LEFT(AC111,5)="COGS|",-N(L111),0)+IF(LEFT(AD111,5)="COGS|",-N(U111),0)+IF(LEFT(AE111,5)="COGS|",-N(T111),0)</f>
        <v/>
      </c>
      <c r="AH111" s="23">
        <f>IF(LEFT(AA111,8)="Expense|",N(R111),0)+IF(LEFT(AB111,8)="Expense|",N(S111),0)+IF(LEFT(AC111,8)="Expense|",-N(L111),0)+IF(LEFT(AD111,8)="Expense|",-N(U111),0)+IF(LEFT(AE111,8)="Expense|",-N(T111),0)</f>
        <v/>
      </c>
      <c r="AI111" s="23">
        <f>IF(ISNUMBER(MATCH(AA111,{"Expense|employee","Expense|general_admin","Expense|marketing","Expense|utilities","Expense|other_operating"},0)),N(R111),0)+IF(ISNUMBER(MATCH(AB111,{"Expense|employee","Expense|general_admin","Expense|marketing","Expense|utilities","Expense|other_operating"},0)),N(S111),0)+IF(ISNUMBER(MATCH(AC111,{"Expense|employee","Expense|general_admin","Expense|marketing","Expense|utilities","Expense|other_operating"},0)),-N(L111),0)+IF(ISNUMBER(MATCH(AD111,{"Expense|employee","Expense|general_admin","Expense|marketing","Expense|utilities","Expense|other_operating"},0)),-N(U111),0)+IF(ISNUMBER(MATCH(AE111,{"Expense|employee","Expense|general_admin","Expense|marketing","Expense|utilities","Expense|other_operating"},0)),-N(T111),0)</f>
        <v/>
      </c>
      <c r="AJ111" s="23">
        <f>IF(AA111="Liability|payable",-N(R111),0)+IF(AB111="Liability|payable",-N(S111),0)+IF(AC111="Liability|payable",N(L111),0)+IF(AD111="Liability|payable",N(U111),0)+IF(AE111="Liability|payable",N(T111),0)</f>
        <v/>
      </c>
      <c r="AK111" s="23">
        <f>IF(AA111="Liability|accrued",-N(R111),0)+IF(AB111="Liability|accrued",-N(S111),0)+IF(AC111="Liability|accrued",N(L111),0)+IF(AD111="Liability|accrued",N(U111),0)+IF(AE111="Liability|accrued",N(T111),0)</f>
        <v/>
      </c>
      <c r="AL111" s="23">
        <f>IF(AND(N(R111)&lt;&gt;0,AA111=""),1,0)+IF(AND(N(S111)&lt;&gt;0,AB111=""),1,0)+IF(AND(N(L111)&lt;&gt;0,AC111=""),1,0)+IF(AND(N(U111)&lt;&gt;0,AD111=""),1,0)+IF(AND(N(T111)&lt;&gt;0,AE111=""),1,0)</f>
        <v/>
      </c>
    </row>
    <row r="112">
      <c r="A112" s="19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20" t="n"/>
      <c r="K112" s="20" t="n"/>
      <c r="L112" s="20" t="n"/>
      <c r="M112" s="14" t="n"/>
      <c r="N112" s="14" t="n"/>
      <c r="O112" s="14" t="n"/>
      <c r="P112" s="14" t="n"/>
      <c r="Q112" s="14" t="n"/>
      <c r="R112" s="21">
        <f>ROUND(N(H112)*N(J112)-N(K112),2)</f>
        <v/>
      </c>
      <c r="S112" s="21">
        <f>ROUND(R112*IFERROR(VLOOKUP(P112,'Tax Codes'!$A$5:$E$300,5,FALSE),0),2)</f>
        <v/>
      </c>
      <c r="T112" s="21">
        <f>ROUND(R112*IFERROR(VLOOKUP(Q112,'Tax Codes'!$A$5:$E$300,5,FALSE),0),2)</f>
        <v/>
      </c>
      <c r="U112" s="21">
        <f>R112+S112-T112-N(L112)</f>
        <v/>
      </c>
      <c r="V112" s="16">
        <f>IF(C112="",INDEX('Chart of Accounts'!$A$5:$A$3000,MATCH("materials",'Chart of Accounts'!$F$5:$F$3000,0)),C112&amp;"")</f>
        <v/>
      </c>
      <c r="W112" s="16">
        <f>IF(N112="",INDEX('Chart of Accounts'!$A$5:$A$3000,MATCH("bank",'Chart of Accounts'!$F$5:$F$3000,0)),N112&amp;"")</f>
        <v/>
      </c>
      <c r="X112" s="16">
        <f>IF(O112="",INDEX('Chart of Accounts'!$A$5:$A$3000,MATCH("ap",'Chart of Accounts'!$F$5:$F$3000,0)),O112&amp;"")</f>
        <v/>
      </c>
      <c r="Y112" s="16">
        <f>INDEX('Chart of Accounts'!$A$5:$A$3000,MATCH("vat_input",'Chart of Accounts'!$F$5:$F$3000,0))</f>
        <v/>
      </c>
      <c r="Z112" s="16">
        <f>INDEX('Chart of Accounts'!$A$5:$A$3000,MATCH("wht_payable",'Chart of Accounts'!$F$5:$F$3000,0))</f>
        <v/>
      </c>
      <c r="AA112" s="23">
        <f>IFERROR(INDEX('Chart of Accounts'!$C$5:$C$3000,MATCH(V112&amp;"",'Chart of Accounts'!$A$5:$A$3000,0))&amp;"|"&amp;INDEX('Chart of Accounts'!$D$5:$D$3000,MATCH(V112&amp;"",'Chart of Accounts'!$A$5:$A$3000,0)),"")</f>
        <v/>
      </c>
      <c r="AB112" s="23">
        <f>IFERROR(INDEX('Chart of Accounts'!$C$5:$C$3000,MATCH(Y112&amp;"",'Chart of Accounts'!$A$5:$A$3000,0))&amp;"|"&amp;INDEX('Chart of Accounts'!$D$5:$D$3000,MATCH(Y112&amp;"",'Chart of Accounts'!$A$5:$A$3000,0)),"")</f>
        <v/>
      </c>
      <c r="AC112" s="23">
        <f>IFERROR(INDEX('Chart of Accounts'!$C$5:$C$3000,MATCH(W112&amp;"",'Chart of Accounts'!$A$5:$A$3000,0))&amp;"|"&amp;INDEX('Chart of Accounts'!$D$5:$D$3000,MATCH(W112&amp;"",'Chart of Accounts'!$A$5:$A$3000,0)),"")</f>
        <v/>
      </c>
      <c r="AD112" s="23">
        <f>IFERROR(INDEX('Chart of Accounts'!$C$5:$C$3000,MATCH(X112&amp;"",'Chart of Accounts'!$A$5:$A$3000,0))&amp;"|"&amp;INDEX('Chart of Accounts'!$D$5:$D$3000,MATCH(X112&amp;"",'Chart of Accounts'!$A$5:$A$3000,0)),"")</f>
        <v/>
      </c>
      <c r="AE112" s="23">
        <f>IFERROR(INDEX('Chart of Accounts'!$C$5:$C$3000,MATCH(Z112&amp;"",'Chart of Accounts'!$A$5:$A$3000,0))&amp;"|"&amp;INDEX('Chart of Accounts'!$D$5:$D$3000,MATCH(Z112&amp;"",'Chart of Accounts'!$A$5:$A$3000,0)),"")</f>
        <v/>
      </c>
      <c r="AF112" s="23">
        <f>IF(LEFT(AA112,8)="Revenue|",-N(R112),0)+IF(LEFT(AB112,8)="Revenue|",-N(S112),0)+IF(LEFT(AC112,8)="Revenue|",N(L112),0)+IF(LEFT(AD112,8)="Revenue|",N(U112),0)+IF(LEFT(AE112,8)="Revenue|",N(T112),0)</f>
        <v/>
      </c>
      <c r="AG112" s="23">
        <f>IF(LEFT(AA112,5)="COGS|",N(R112),0)+IF(LEFT(AB112,5)="COGS|",N(S112),0)+IF(LEFT(AC112,5)="COGS|",-N(L112),0)+IF(LEFT(AD112,5)="COGS|",-N(U112),0)+IF(LEFT(AE112,5)="COGS|",-N(T112),0)</f>
        <v/>
      </c>
      <c r="AH112" s="23">
        <f>IF(LEFT(AA112,8)="Expense|",N(R112),0)+IF(LEFT(AB112,8)="Expense|",N(S112),0)+IF(LEFT(AC112,8)="Expense|",-N(L112),0)+IF(LEFT(AD112,8)="Expense|",-N(U112),0)+IF(LEFT(AE112,8)="Expense|",-N(T112),0)</f>
        <v/>
      </c>
      <c r="AI112" s="23">
        <f>IF(ISNUMBER(MATCH(AA112,{"Expense|employee","Expense|general_admin","Expense|marketing","Expense|utilities","Expense|other_operating"},0)),N(R112),0)+IF(ISNUMBER(MATCH(AB112,{"Expense|employee","Expense|general_admin","Expense|marketing","Expense|utilities","Expense|other_operating"},0)),N(S112),0)+IF(ISNUMBER(MATCH(AC112,{"Expense|employee","Expense|general_admin","Expense|marketing","Expense|utilities","Expense|other_operating"},0)),-N(L112),0)+IF(ISNUMBER(MATCH(AD112,{"Expense|employee","Expense|general_admin","Expense|marketing","Expense|utilities","Expense|other_operating"},0)),-N(U112),0)+IF(ISNUMBER(MATCH(AE112,{"Expense|employee","Expense|general_admin","Expense|marketing","Expense|utilities","Expense|other_operating"},0)),-N(T112),0)</f>
        <v/>
      </c>
      <c r="AJ112" s="23">
        <f>IF(AA112="Liability|payable",-N(R112),0)+IF(AB112="Liability|payable",-N(S112),0)+IF(AC112="Liability|payable",N(L112),0)+IF(AD112="Liability|payable",N(U112),0)+IF(AE112="Liability|payable",N(T112),0)</f>
        <v/>
      </c>
      <c r="AK112" s="23">
        <f>IF(AA112="Liability|accrued",-N(R112),0)+IF(AB112="Liability|accrued",-N(S112),0)+IF(AC112="Liability|accrued",N(L112),0)+IF(AD112="Liability|accrued",N(U112),0)+IF(AE112="Liability|accrued",N(T112),0)</f>
        <v/>
      </c>
      <c r="AL112" s="23">
        <f>IF(AND(N(R112)&lt;&gt;0,AA112=""),1,0)+IF(AND(N(S112)&lt;&gt;0,AB112=""),1,0)+IF(AND(N(L112)&lt;&gt;0,AC112=""),1,0)+IF(AND(N(U112)&lt;&gt;0,AD112=""),1,0)+IF(AND(N(T112)&lt;&gt;0,AE112=""),1,0)</f>
        <v/>
      </c>
    </row>
    <row r="113">
      <c r="A113" s="19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20" t="n"/>
      <c r="K113" s="20" t="n"/>
      <c r="L113" s="20" t="n"/>
      <c r="M113" s="14" t="n"/>
      <c r="N113" s="14" t="n"/>
      <c r="O113" s="14" t="n"/>
      <c r="P113" s="14" t="n"/>
      <c r="Q113" s="14" t="n"/>
      <c r="R113" s="21">
        <f>ROUND(N(H113)*N(J113)-N(K113),2)</f>
        <v/>
      </c>
      <c r="S113" s="21">
        <f>ROUND(R113*IFERROR(VLOOKUP(P113,'Tax Codes'!$A$5:$E$300,5,FALSE),0),2)</f>
        <v/>
      </c>
      <c r="T113" s="21">
        <f>ROUND(R113*IFERROR(VLOOKUP(Q113,'Tax Codes'!$A$5:$E$300,5,FALSE),0),2)</f>
        <v/>
      </c>
      <c r="U113" s="21">
        <f>R113+S113-T113-N(L113)</f>
        <v/>
      </c>
      <c r="V113" s="16">
        <f>IF(C113="",INDEX('Chart of Accounts'!$A$5:$A$3000,MATCH("materials",'Chart of Accounts'!$F$5:$F$3000,0)),C113&amp;"")</f>
        <v/>
      </c>
      <c r="W113" s="16">
        <f>IF(N113="",INDEX('Chart of Accounts'!$A$5:$A$3000,MATCH("bank",'Chart of Accounts'!$F$5:$F$3000,0)),N113&amp;"")</f>
        <v/>
      </c>
      <c r="X113" s="16">
        <f>IF(O113="",INDEX('Chart of Accounts'!$A$5:$A$3000,MATCH("ap",'Chart of Accounts'!$F$5:$F$3000,0)),O113&amp;"")</f>
        <v/>
      </c>
      <c r="Y113" s="16">
        <f>INDEX('Chart of Accounts'!$A$5:$A$3000,MATCH("vat_input",'Chart of Accounts'!$F$5:$F$3000,0))</f>
        <v/>
      </c>
      <c r="Z113" s="16">
        <f>INDEX('Chart of Accounts'!$A$5:$A$3000,MATCH("wht_payable",'Chart of Accounts'!$F$5:$F$3000,0))</f>
        <v/>
      </c>
      <c r="AA113" s="23">
        <f>IFERROR(INDEX('Chart of Accounts'!$C$5:$C$3000,MATCH(V113&amp;"",'Chart of Accounts'!$A$5:$A$3000,0))&amp;"|"&amp;INDEX('Chart of Accounts'!$D$5:$D$3000,MATCH(V113&amp;"",'Chart of Accounts'!$A$5:$A$3000,0)),"")</f>
        <v/>
      </c>
      <c r="AB113" s="23">
        <f>IFERROR(INDEX('Chart of Accounts'!$C$5:$C$3000,MATCH(Y113&amp;"",'Chart of Accounts'!$A$5:$A$3000,0))&amp;"|"&amp;INDEX('Chart of Accounts'!$D$5:$D$3000,MATCH(Y113&amp;"",'Chart of Accounts'!$A$5:$A$3000,0)),"")</f>
        <v/>
      </c>
      <c r="AC113" s="23">
        <f>IFERROR(INDEX('Chart of Accounts'!$C$5:$C$3000,MATCH(W113&amp;"",'Chart of Accounts'!$A$5:$A$3000,0))&amp;"|"&amp;INDEX('Chart of Accounts'!$D$5:$D$3000,MATCH(W113&amp;"",'Chart of Accounts'!$A$5:$A$3000,0)),"")</f>
        <v/>
      </c>
      <c r="AD113" s="23">
        <f>IFERROR(INDEX('Chart of Accounts'!$C$5:$C$3000,MATCH(X113&amp;"",'Chart of Accounts'!$A$5:$A$3000,0))&amp;"|"&amp;INDEX('Chart of Accounts'!$D$5:$D$3000,MATCH(X113&amp;"",'Chart of Accounts'!$A$5:$A$3000,0)),"")</f>
        <v/>
      </c>
      <c r="AE113" s="23">
        <f>IFERROR(INDEX('Chart of Accounts'!$C$5:$C$3000,MATCH(Z113&amp;"",'Chart of Accounts'!$A$5:$A$3000,0))&amp;"|"&amp;INDEX('Chart of Accounts'!$D$5:$D$3000,MATCH(Z113&amp;"",'Chart of Accounts'!$A$5:$A$3000,0)),"")</f>
        <v/>
      </c>
      <c r="AF113" s="23">
        <f>IF(LEFT(AA113,8)="Revenue|",-N(R113),0)+IF(LEFT(AB113,8)="Revenue|",-N(S113),0)+IF(LEFT(AC113,8)="Revenue|",N(L113),0)+IF(LEFT(AD113,8)="Revenue|",N(U113),0)+IF(LEFT(AE113,8)="Revenue|",N(T113),0)</f>
        <v/>
      </c>
      <c r="AG113" s="23">
        <f>IF(LEFT(AA113,5)="COGS|",N(R113),0)+IF(LEFT(AB113,5)="COGS|",N(S113),0)+IF(LEFT(AC113,5)="COGS|",-N(L113),0)+IF(LEFT(AD113,5)="COGS|",-N(U113),0)+IF(LEFT(AE113,5)="COGS|",-N(T113),0)</f>
        <v/>
      </c>
      <c r="AH113" s="23">
        <f>IF(LEFT(AA113,8)="Expense|",N(R113),0)+IF(LEFT(AB113,8)="Expense|",N(S113),0)+IF(LEFT(AC113,8)="Expense|",-N(L113),0)+IF(LEFT(AD113,8)="Expense|",-N(U113),0)+IF(LEFT(AE113,8)="Expense|",-N(T113),0)</f>
        <v/>
      </c>
      <c r="AI113" s="23">
        <f>IF(ISNUMBER(MATCH(AA113,{"Expense|employee","Expense|general_admin","Expense|marketing","Expense|utilities","Expense|other_operating"},0)),N(R113),0)+IF(ISNUMBER(MATCH(AB113,{"Expense|employee","Expense|general_admin","Expense|marketing","Expense|utilities","Expense|other_operating"},0)),N(S113),0)+IF(ISNUMBER(MATCH(AC113,{"Expense|employee","Expense|general_admin","Expense|marketing","Expense|utilities","Expense|other_operating"},0)),-N(L113),0)+IF(ISNUMBER(MATCH(AD113,{"Expense|employee","Expense|general_admin","Expense|marketing","Expense|utilities","Expense|other_operating"},0)),-N(U113),0)+IF(ISNUMBER(MATCH(AE113,{"Expense|employee","Expense|general_admin","Expense|marketing","Expense|utilities","Expense|other_operating"},0)),-N(T113),0)</f>
        <v/>
      </c>
      <c r="AJ113" s="23">
        <f>IF(AA113="Liability|payable",-N(R113),0)+IF(AB113="Liability|payable",-N(S113),0)+IF(AC113="Liability|payable",N(L113),0)+IF(AD113="Liability|payable",N(U113),0)+IF(AE113="Liability|payable",N(T113),0)</f>
        <v/>
      </c>
      <c r="AK113" s="23">
        <f>IF(AA113="Liability|accrued",-N(R113),0)+IF(AB113="Liability|accrued",-N(S113),0)+IF(AC113="Liability|accrued",N(L113),0)+IF(AD113="Liability|accrued",N(U113),0)+IF(AE113="Liability|accrued",N(T113),0)</f>
        <v/>
      </c>
      <c r="AL113" s="23">
        <f>IF(AND(N(R113)&lt;&gt;0,AA113=""),1,0)+IF(AND(N(S113)&lt;&gt;0,AB113=""),1,0)+IF(AND(N(L113)&lt;&gt;0,AC113=""),1,0)+IF(AND(N(U113)&lt;&gt;0,AD113=""),1,0)+IF(AND(N(T113)&lt;&gt;0,AE113=""),1,0)</f>
        <v/>
      </c>
    </row>
    <row r="114">
      <c r="A114" s="19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20" t="n"/>
      <c r="K114" s="20" t="n"/>
      <c r="L114" s="20" t="n"/>
      <c r="M114" s="14" t="n"/>
      <c r="N114" s="14" t="n"/>
      <c r="O114" s="14" t="n"/>
      <c r="P114" s="14" t="n"/>
      <c r="Q114" s="14" t="n"/>
      <c r="R114" s="21">
        <f>ROUND(N(H114)*N(J114)-N(K114),2)</f>
        <v/>
      </c>
      <c r="S114" s="21">
        <f>ROUND(R114*IFERROR(VLOOKUP(P114,'Tax Codes'!$A$5:$E$300,5,FALSE),0),2)</f>
        <v/>
      </c>
      <c r="T114" s="21">
        <f>ROUND(R114*IFERROR(VLOOKUP(Q114,'Tax Codes'!$A$5:$E$300,5,FALSE),0),2)</f>
        <v/>
      </c>
      <c r="U114" s="21">
        <f>R114+S114-T114-N(L114)</f>
        <v/>
      </c>
      <c r="V114" s="16">
        <f>IF(C114="",INDEX('Chart of Accounts'!$A$5:$A$3000,MATCH("materials",'Chart of Accounts'!$F$5:$F$3000,0)),C114&amp;"")</f>
        <v/>
      </c>
      <c r="W114" s="16">
        <f>IF(N114="",INDEX('Chart of Accounts'!$A$5:$A$3000,MATCH("bank",'Chart of Accounts'!$F$5:$F$3000,0)),N114&amp;"")</f>
        <v/>
      </c>
      <c r="X114" s="16">
        <f>IF(O114="",INDEX('Chart of Accounts'!$A$5:$A$3000,MATCH("ap",'Chart of Accounts'!$F$5:$F$3000,0)),O114&amp;"")</f>
        <v/>
      </c>
      <c r="Y114" s="16">
        <f>INDEX('Chart of Accounts'!$A$5:$A$3000,MATCH("vat_input",'Chart of Accounts'!$F$5:$F$3000,0))</f>
        <v/>
      </c>
      <c r="Z114" s="16">
        <f>INDEX('Chart of Accounts'!$A$5:$A$3000,MATCH("wht_payable",'Chart of Accounts'!$F$5:$F$3000,0))</f>
        <v/>
      </c>
      <c r="AA114" s="23">
        <f>IFERROR(INDEX('Chart of Accounts'!$C$5:$C$3000,MATCH(V114&amp;"",'Chart of Accounts'!$A$5:$A$3000,0))&amp;"|"&amp;INDEX('Chart of Accounts'!$D$5:$D$3000,MATCH(V114&amp;"",'Chart of Accounts'!$A$5:$A$3000,0)),"")</f>
        <v/>
      </c>
      <c r="AB114" s="23">
        <f>IFERROR(INDEX('Chart of Accounts'!$C$5:$C$3000,MATCH(Y114&amp;"",'Chart of Accounts'!$A$5:$A$3000,0))&amp;"|"&amp;INDEX('Chart of Accounts'!$D$5:$D$3000,MATCH(Y114&amp;"",'Chart of Accounts'!$A$5:$A$3000,0)),"")</f>
        <v/>
      </c>
      <c r="AC114" s="23">
        <f>IFERROR(INDEX('Chart of Accounts'!$C$5:$C$3000,MATCH(W114&amp;"",'Chart of Accounts'!$A$5:$A$3000,0))&amp;"|"&amp;INDEX('Chart of Accounts'!$D$5:$D$3000,MATCH(W114&amp;"",'Chart of Accounts'!$A$5:$A$3000,0)),"")</f>
        <v/>
      </c>
      <c r="AD114" s="23">
        <f>IFERROR(INDEX('Chart of Accounts'!$C$5:$C$3000,MATCH(X114&amp;"",'Chart of Accounts'!$A$5:$A$3000,0))&amp;"|"&amp;INDEX('Chart of Accounts'!$D$5:$D$3000,MATCH(X114&amp;"",'Chart of Accounts'!$A$5:$A$3000,0)),"")</f>
        <v/>
      </c>
      <c r="AE114" s="23">
        <f>IFERROR(INDEX('Chart of Accounts'!$C$5:$C$3000,MATCH(Z114&amp;"",'Chart of Accounts'!$A$5:$A$3000,0))&amp;"|"&amp;INDEX('Chart of Accounts'!$D$5:$D$3000,MATCH(Z114&amp;"",'Chart of Accounts'!$A$5:$A$3000,0)),"")</f>
        <v/>
      </c>
      <c r="AF114" s="23">
        <f>IF(LEFT(AA114,8)="Revenue|",-N(R114),0)+IF(LEFT(AB114,8)="Revenue|",-N(S114),0)+IF(LEFT(AC114,8)="Revenue|",N(L114),0)+IF(LEFT(AD114,8)="Revenue|",N(U114),0)+IF(LEFT(AE114,8)="Revenue|",N(T114),0)</f>
        <v/>
      </c>
      <c r="AG114" s="23">
        <f>IF(LEFT(AA114,5)="COGS|",N(R114),0)+IF(LEFT(AB114,5)="COGS|",N(S114),0)+IF(LEFT(AC114,5)="COGS|",-N(L114),0)+IF(LEFT(AD114,5)="COGS|",-N(U114),0)+IF(LEFT(AE114,5)="COGS|",-N(T114),0)</f>
        <v/>
      </c>
      <c r="AH114" s="23">
        <f>IF(LEFT(AA114,8)="Expense|",N(R114),0)+IF(LEFT(AB114,8)="Expense|",N(S114),0)+IF(LEFT(AC114,8)="Expense|",-N(L114),0)+IF(LEFT(AD114,8)="Expense|",-N(U114),0)+IF(LEFT(AE114,8)="Expense|",-N(T114),0)</f>
        <v/>
      </c>
      <c r="AI114" s="23">
        <f>IF(ISNUMBER(MATCH(AA114,{"Expense|employee","Expense|general_admin","Expense|marketing","Expense|utilities","Expense|other_operating"},0)),N(R114),0)+IF(ISNUMBER(MATCH(AB114,{"Expense|employee","Expense|general_admin","Expense|marketing","Expense|utilities","Expense|other_operating"},0)),N(S114),0)+IF(ISNUMBER(MATCH(AC114,{"Expense|employee","Expense|general_admin","Expense|marketing","Expense|utilities","Expense|other_operating"},0)),-N(L114),0)+IF(ISNUMBER(MATCH(AD114,{"Expense|employee","Expense|general_admin","Expense|marketing","Expense|utilities","Expense|other_operating"},0)),-N(U114),0)+IF(ISNUMBER(MATCH(AE114,{"Expense|employee","Expense|general_admin","Expense|marketing","Expense|utilities","Expense|other_operating"},0)),-N(T114),0)</f>
        <v/>
      </c>
      <c r="AJ114" s="23">
        <f>IF(AA114="Liability|payable",-N(R114),0)+IF(AB114="Liability|payable",-N(S114),0)+IF(AC114="Liability|payable",N(L114),0)+IF(AD114="Liability|payable",N(U114),0)+IF(AE114="Liability|payable",N(T114),0)</f>
        <v/>
      </c>
      <c r="AK114" s="23">
        <f>IF(AA114="Liability|accrued",-N(R114),0)+IF(AB114="Liability|accrued",-N(S114),0)+IF(AC114="Liability|accrued",N(L114),0)+IF(AD114="Liability|accrued",N(U114),0)+IF(AE114="Liability|accrued",N(T114),0)</f>
        <v/>
      </c>
      <c r="AL114" s="23">
        <f>IF(AND(N(R114)&lt;&gt;0,AA114=""),1,0)+IF(AND(N(S114)&lt;&gt;0,AB114=""),1,0)+IF(AND(N(L114)&lt;&gt;0,AC114=""),1,0)+IF(AND(N(U114)&lt;&gt;0,AD114=""),1,0)+IF(AND(N(T114)&lt;&gt;0,AE114=""),1,0)</f>
        <v/>
      </c>
    </row>
    <row r="115">
      <c r="A115" s="19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20" t="n"/>
      <c r="K115" s="20" t="n"/>
      <c r="L115" s="20" t="n"/>
      <c r="M115" s="14" t="n"/>
      <c r="N115" s="14" t="n"/>
      <c r="O115" s="14" t="n"/>
      <c r="P115" s="14" t="n"/>
      <c r="Q115" s="14" t="n"/>
      <c r="R115" s="21">
        <f>ROUND(N(H115)*N(J115)-N(K115),2)</f>
        <v/>
      </c>
      <c r="S115" s="21">
        <f>ROUND(R115*IFERROR(VLOOKUP(P115,'Tax Codes'!$A$5:$E$300,5,FALSE),0),2)</f>
        <v/>
      </c>
      <c r="T115" s="21">
        <f>ROUND(R115*IFERROR(VLOOKUP(Q115,'Tax Codes'!$A$5:$E$300,5,FALSE),0),2)</f>
        <v/>
      </c>
      <c r="U115" s="21">
        <f>R115+S115-T115-N(L115)</f>
        <v/>
      </c>
      <c r="V115" s="16">
        <f>IF(C115="",INDEX('Chart of Accounts'!$A$5:$A$3000,MATCH("materials",'Chart of Accounts'!$F$5:$F$3000,0)),C115&amp;"")</f>
        <v/>
      </c>
      <c r="W115" s="16">
        <f>IF(N115="",INDEX('Chart of Accounts'!$A$5:$A$3000,MATCH("bank",'Chart of Accounts'!$F$5:$F$3000,0)),N115&amp;"")</f>
        <v/>
      </c>
      <c r="X115" s="16">
        <f>IF(O115="",INDEX('Chart of Accounts'!$A$5:$A$3000,MATCH("ap",'Chart of Accounts'!$F$5:$F$3000,0)),O115&amp;"")</f>
        <v/>
      </c>
      <c r="Y115" s="16">
        <f>INDEX('Chart of Accounts'!$A$5:$A$3000,MATCH("vat_input",'Chart of Accounts'!$F$5:$F$3000,0))</f>
        <v/>
      </c>
      <c r="Z115" s="16">
        <f>INDEX('Chart of Accounts'!$A$5:$A$3000,MATCH("wht_payable",'Chart of Accounts'!$F$5:$F$3000,0))</f>
        <v/>
      </c>
      <c r="AA115" s="23">
        <f>IFERROR(INDEX('Chart of Accounts'!$C$5:$C$3000,MATCH(V115&amp;"",'Chart of Accounts'!$A$5:$A$3000,0))&amp;"|"&amp;INDEX('Chart of Accounts'!$D$5:$D$3000,MATCH(V115&amp;"",'Chart of Accounts'!$A$5:$A$3000,0)),"")</f>
        <v/>
      </c>
      <c r="AB115" s="23">
        <f>IFERROR(INDEX('Chart of Accounts'!$C$5:$C$3000,MATCH(Y115&amp;"",'Chart of Accounts'!$A$5:$A$3000,0))&amp;"|"&amp;INDEX('Chart of Accounts'!$D$5:$D$3000,MATCH(Y115&amp;"",'Chart of Accounts'!$A$5:$A$3000,0)),"")</f>
        <v/>
      </c>
      <c r="AC115" s="23">
        <f>IFERROR(INDEX('Chart of Accounts'!$C$5:$C$3000,MATCH(W115&amp;"",'Chart of Accounts'!$A$5:$A$3000,0))&amp;"|"&amp;INDEX('Chart of Accounts'!$D$5:$D$3000,MATCH(W115&amp;"",'Chart of Accounts'!$A$5:$A$3000,0)),"")</f>
        <v/>
      </c>
      <c r="AD115" s="23">
        <f>IFERROR(INDEX('Chart of Accounts'!$C$5:$C$3000,MATCH(X115&amp;"",'Chart of Accounts'!$A$5:$A$3000,0))&amp;"|"&amp;INDEX('Chart of Accounts'!$D$5:$D$3000,MATCH(X115&amp;"",'Chart of Accounts'!$A$5:$A$3000,0)),"")</f>
        <v/>
      </c>
      <c r="AE115" s="23">
        <f>IFERROR(INDEX('Chart of Accounts'!$C$5:$C$3000,MATCH(Z115&amp;"",'Chart of Accounts'!$A$5:$A$3000,0))&amp;"|"&amp;INDEX('Chart of Accounts'!$D$5:$D$3000,MATCH(Z115&amp;"",'Chart of Accounts'!$A$5:$A$3000,0)),"")</f>
        <v/>
      </c>
      <c r="AF115" s="23">
        <f>IF(LEFT(AA115,8)="Revenue|",-N(R115),0)+IF(LEFT(AB115,8)="Revenue|",-N(S115),0)+IF(LEFT(AC115,8)="Revenue|",N(L115),0)+IF(LEFT(AD115,8)="Revenue|",N(U115),0)+IF(LEFT(AE115,8)="Revenue|",N(T115),0)</f>
        <v/>
      </c>
      <c r="AG115" s="23">
        <f>IF(LEFT(AA115,5)="COGS|",N(R115),0)+IF(LEFT(AB115,5)="COGS|",N(S115),0)+IF(LEFT(AC115,5)="COGS|",-N(L115),0)+IF(LEFT(AD115,5)="COGS|",-N(U115),0)+IF(LEFT(AE115,5)="COGS|",-N(T115),0)</f>
        <v/>
      </c>
      <c r="AH115" s="23">
        <f>IF(LEFT(AA115,8)="Expense|",N(R115),0)+IF(LEFT(AB115,8)="Expense|",N(S115),0)+IF(LEFT(AC115,8)="Expense|",-N(L115),0)+IF(LEFT(AD115,8)="Expense|",-N(U115),0)+IF(LEFT(AE115,8)="Expense|",-N(T115),0)</f>
        <v/>
      </c>
      <c r="AI115" s="23">
        <f>IF(ISNUMBER(MATCH(AA115,{"Expense|employee","Expense|general_admin","Expense|marketing","Expense|utilities","Expense|other_operating"},0)),N(R115),0)+IF(ISNUMBER(MATCH(AB115,{"Expense|employee","Expense|general_admin","Expense|marketing","Expense|utilities","Expense|other_operating"},0)),N(S115),0)+IF(ISNUMBER(MATCH(AC115,{"Expense|employee","Expense|general_admin","Expense|marketing","Expense|utilities","Expense|other_operating"},0)),-N(L115),0)+IF(ISNUMBER(MATCH(AD115,{"Expense|employee","Expense|general_admin","Expense|marketing","Expense|utilities","Expense|other_operating"},0)),-N(U115),0)+IF(ISNUMBER(MATCH(AE115,{"Expense|employee","Expense|general_admin","Expense|marketing","Expense|utilities","Expense|other_operating"},0)),-N(T115),0)</f>
        <v/>
      </c>
      <c r="AJ115" s="23">
        <f>IF(AA115="Liability|payable",-N(R115),0)+IF(AB115="Liability|payable",-N(S115),0)+IF(AC115="Liability|payable",N(L115),0)+IF(AD115="Liability|payable",N(U115),0)+IF(AE115="Liability|payable",N(T115),0)</f>
        <v/>
      </c>
      <c r="AK115" s="23">
        <f>IF(AA115="Liability|accrued",-N(R115),0)+IF(AB115="Liability|accrued",-N(S115),0)+IF(AC115="Liability|accrued",N(L115),0)+IF(AD115="Liability|accrued",N(U115),0)+IF(AE115="Liability|accrued",N(T115),0)</f>
        <v/>
      </c>
      <c r="AL115" s="23">
        <f>IF(AND(N(R115)&lt;&gt;0,AA115=""),1,0)+IF(AND(N(S115)&lt;&gt;0,AB115=""),1,0)+IF(AND(N(L115)&lt;&gt;0,AC115=""),1,0)+IF(AND(N(U115)&lt;&gt;0,AD115=""),1,0)+IF(AND(N(T115)&lt;&gt;0,AE115=""),1,0)</f>
        <v/>
      </c>
    </row>
    <row r="116">
      <c r="A116" s="19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20" t="n"/>
      <c r="K116" s="20" t="n"/>
      <c r="L116" s="20" t="n"/>
      <c r="M116" s="14" t="n"/>
      <c r="N116" s="14" t="n"/>
      <c r="O116" s="14" t="n"/>
      <c r="P116" s="14" t="n"/>
      <c r="Q116" s="14" t="n"/>
      <c r="R116" s="21">
        <f>ROUND(N(H116)*N(J116)-N(K116),2)</f>
        <v/>
      </c>
      <c r="S116" s="21">
        <f>ROUND(R116*IFERROR(VLOOKUP(P116,'Tax Codes'!$A$5:$E$300,5,FALSE),0),2)</f>
        <v/>
      </c>
      <c r="T116" s="21">
        <f>ROUND(R116*IFERROR(VLOOKUP(Q116,'Tax Codes'!$A$5:$E$300,5,FALSE),0),2)</f>
        <v/>
      </c>
      <c r="U116" s="21">
        <f>R116+S116-T116-N(L116)</f>
        <v/>
      </c>
      <c r="V116" s="16">
        <f>IF(C116="",INDEX('Chart of Accounts'!$A$5:$A$3000,MATCH("materials",'Chart of Accounts'!$F$5:$F$3000,0)),C116&amp;"")</f>
        <v/>
      </c>
      <c r="W116" s="16">
        <f>IF(N116="",INDEX('Chart of Accounts'!$A$5:$A$3000,MATCH("bank",'Chart of Accounts'!$F$5:$F$3000,0)),N116&amp;"")</f>
        <v/>
      </c>
      <c r="X116" s="16">
        <f>IF(O116="",INDEX('Chart of Accounts'!$A$5:$A$3000,MATCH("ap",'Chart of Accounts'!$F$5:$F$3000,0)),O116&amp;"")</f>
        <v/>
      </c>
      <c r="Y116" s="16">
        <f>INDEX('Chart of Accounts'!$A$5:$A$3000,MATCH("vat_input",'Chart of Accounts'!$F$5:$F$3000,0))</f>
        <v/>
      </c>
      <c r="Z116" s="16">
        <f>INDEX('Chart of Accounts'!$A$5:$A$3000,MATCH("wht_payable",'Chart of Accounts'!$F$5:$F$3000,0))</f>
        <v/>
      </c>
      <c r="AA116" s="23">
        <f>IFERROR(INDEX('Chart of Accounts'!$C$5:$C$3000,MATCH(V116&amp;"",'Chart of Accounts'!$A$5:$A$3000,0))&amp;"|"&amp;INDEX('Chart of Accounts'!$D$5:$D$3000,MATCH(V116&amp;"",'Chart of Accounts'!$A$5:$A$3000,0)),"")</f>
        <v/>
      </c>
      <c r="AB116" s="23">
        <f>IFERROR(INDEX('Chart of Accounts'!$C$5:$C$3000,MATCH(Y116&amp;"",'Chart of Accounts'!$A$5:$A$3000,0))&amp;"|"&amp;INDEX('Chart of Accounts'!$D$5:$D$3000,MATCH(Y116&amp;"",'Chart of Accounts'!$A$5:$A$3000,0)),"")</f>
        <v/>
      </c>
      <c r="AC116" s="23">
        <f>IFERROR(INDEX('Chart of Accounts'!$C$5:$C$3000,MATCH(W116&amp;"",'Chart of Accounts'!$A$5:$A$3000,0))&amp;"|"&amp;INDEX('Chart of Accounts'!$D$5:$D$3000,MATCH(W116&amp;"",'Chart of Accounts'!$A$5:$A$3000,0)),"")</f>
        <v/>
      </c>
      <c r="AD116" s="23">
        <f>IFERROR(INDEX('Chart of Accounts'!$C$5:$C$3000,MATCH(X116&amp;"",'Chart of Accounts'!$A$5:$A$3000,0))&amp;"|"&amp;INDEX('Chart of Accounts'!$D$5:$D$3000,MATCH(X116&amp;"",'Chart of Accounts'!$A$5:$A$3000,0)),"")</f>
        <v/>
      </c>
      <c r="AE116" s="23">
        <f>IFERROR(INDEX('Chart of Accounts'!$C$5:$C$3000,MATCH(Z116&amp;"",'Chart of Accounts'!$A$5:$A$3000,0))&amp;"|"&amp;INDEX('Chart of Accounts'!$D$5:$D$3000,MATCH(Z116&amp;"",'Chart of Accounts'!$A$5:$A$3000,0)),"")</f>
        <v/>
      </c>
      <c r="AF116" s="23">
        <f>IF(LEFT(AA116,8)="Revenue|",-N(R116),0)+IF(LEFT(AB116,8)="Revenue|",-N(S116),0)+IF(LEFT(AC116,8)="Revenue|",N(L116),0)+IF(LEFT(AD116,8)="Revenue|",N(U116),0)+IF(LEFT(AE116,8)="Revenue|",N(T116),0)</f>
        <v/>
      </c>
      <c r="AG116" s="23">
        <f>IF(LEFT(AA116,5)="COGS|",N(R116),0)+IF(LEFT(AB116,5)="COGS|",N(S116),0)+IF(LEFT(AC116,5)="COGS|",-N(L116),0)+IF(LEFT(AD116,5)="COGS|",-N(U116),0)+IF(LEFT(AE116,5)="COGS|",-N(T116),0)</f>
        <v/>
      </c>
      <c r="AH116" s="23">
        <f>IF(LEFT(AA116,8)="Expense|",N(R116),0)+IF(LEFT(AB116,8)="Expense|",N(S116),0)+IF(LEFT(AC116,8)="Expense|",-N(L116),0)+IF(LEFT(AD116,8)="Expense|",-N(U116),0)+IF(LEFT(AE116,8)="Expense|",-N(T116),0)</f>
        <v/>
      </c>
      <c r="AI116" s="23">
        <f>IF(ISNUMBER(MATCH(AA116,{"Expense|employee","Expense|general_admin","Expense|marketing","Expense|utilities","Expense|other_operating"},0)),N(R116),0)+IF(ISNUMBER(MATCH(AB116,{"Expense|employee","Expense|general_admin","Expense|marketing","Expense|utilities","Expense|other_operating"},0)),N(S116),0)+IF(ISNUMBER(MATCH(AC116,{"Expense|employee","Expense|general_admin","Expense|marketing","Expense|utilities","Expense|other_operating"},0)),-N(L116),0)+IF(ISNUMBER(MATCH(AD116,{"Expense|employee","Expense|general_admin","Expense|marketing","Expense|utilities","Expense|other_operating"},0)),-N(U116),0)+IF(ISNUMBER(MATCH(AE116,{"Expense|employee","Expense|general_admin","Expense|marketing","Expense|utilities","Expense|other_operating"},0)),-N(T116),0)</f>
        <v/>
      </c>
      <c r="AJ116" s="23">
        <f>IF(AA116="Liability|payable",-N(R116),0)+IF(AB116="Liability|payable",-N(S116),0)+IF(AC116="Liability|payable",N(L116),0)+IF(AD116="Liability|payable",N(U116),0)+IF(AE116="Liability|payable",N(T116),0)</f>
        <v/>
      </c>
      <c r="AK116" s="23">
        <f>IF(AA116="Liability|accrued",-N(R116),0)+IF(AB116="Liability|accrued",-N(S116),0)+IF(AC116="Liability|accrued",N(L116),0)+IF(AD116="Liability|accrued",N(U116),0)+IF(AE116="Liability|accrued",N(T116),0)</f>
        <v/>
      </c>
      <c r="AL116" s="23">
        <f>IF(AND(N(R116)&lt;&gt;0,AA116=""),1,0)+IF(AND(N(S116)&lt;&gt;0,AB116=""),1,0)+IF(AND(N(L116)&lt;&gt;0,AC116=""),1,0)+IF(AND(N(U116)&lt;&gt;0,AD116=""),1,0)+IF(AND(N(T116)&lt;&gt;0,AE116=""),1,0)</f>
        <v/>
      </c>
    </row>
    <row r="117">
      <c r="A117" s="19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20" t="n"/>
      <c r="K117" s="20" t="n"/>
      <c r="L117" s="20" t="n"/>
      <c r="M117" s="14" t="n"/>
      <c r="N117" s="14" t="n"/>
      <c r="O117" s="14" t="n"/>
      <c r="P117" s="14" t="n"/>
      <c r="Q117" s="14" t="n"/>
      <c r="R117" s="21">
        <f>ROUND(N(H117)*N(J117)-N(K117),2)</f>
        <v/>
      </c>
      <c r="S117" s="21">
        <f>ROUND(R117*IFERROR(VLOOKUP(P117,'Tax Codes'!$A$5:$E$300,5,FALSE),0),2)</f>
        <v/>
      </c>
      <c r="T117" s="21">
        <f>ROUND(R117*IFERROR(VLOOKUP(Q117,'Tax Codes'!$A$5:$E$300,5,FALSE),0),2)</f>
        <v/>
      </c>
      <c r="U117" s="21">
        <f>R117+S117-T117-N(L117)</f>
        <v/>
      </c>
      <c r="V117" s="16">
        <f>IF(C117="",INDEX('Chart of Accounts'!$A$5:$A$3000,MATCH("materials",'Chart of Accounts'!$F$5:$F$3000,0)),C117&amp;"")</f>
        <v/>
      </c>
      <c r="W117" s="16">
        <f>IF(N117="",INDEX('Chart of Accounts'!$A$5:$A$3000,MATCH("bank",'Chart of Accounts'!$F$5:$F$3000,0)),N117&amp;"")</f>
        <v/>
      </c>
      <c r="X117" s="16">
        <f>IF(O117="",INDEX('Chart of Accounts'!$A$5:$A$3000,MATCH("ap",'Chart of Accounts'!$F$5:$F$3000,0)),O117&amp;"")</f>
        <v/>
      </c>
      <c r="Y117" s="16">
        <f>INDEX('Chart of Accounts'!$A$5:$A$3000,MATCH("vat_input",'Chart of Accounts'!$F$5:$F$3000,0))</f>
        <v/>
      </c>
      <c r="Z117" s="16">
        <f>INDEX('Chart of Accounts'!$A$5:$A$3000,MATCH("wht_payable",'Chart of Accounts'!$F$5:$F$3000,0))</f>
        <v/>
      </c>
      <c r="AA117" s="23">
        <f>IFERROR(INDEX('Chart of Accounts'!$C$5:$C$3000,MATCH(V117&amp;"",'Chart of Accounts'!$A$5:$A$3000,0))&amp;"|"&amp;INDEX('Chart of Accounts'!$D$5:$D$3000,MATCH(V117&amp;"",'Chart of Accounts'!$A$5:$A$3000,0)),"")</f>
        <v/>
      </c>
      <c r="AB117" s="23">
        <f>IFERROR(INDEX('Chart of Accounts'!$C$5:$C$3000,MATCH(Y117&amp;"",'Chart of Accounts'!$A$5:$A$3000,0))&amp;"|"&amp;INDEX('Chart of Accounts'!$D$5:$D$3000,MATCH(Y117&amp;"",'Chart of Accounts'!$A$5:$A$3000,0)),"")</f>
        <v/>
      </c>
      <c r="AC117" s="23">
        <f>IFERROR(INDEX('Chart of Accounts'!$C$5:$C$3000,MATCH(W117&amp;"",'Chart of Accounts'!$A$5:$A$3000,0))&amp;"|"&amp;INDEX('Chart of Accounts'!$D$5:$D$3000,MATCH(W117&amp;"",'Chart of Accounts'!$A$5:$A$3000,0)),"")</f>
        <v/>
      </c>
      <c r="AD117" s="23">
        <f>IFERROR(INDEX('Chart of Accounts'!$C$5:$C$3000,MATCH(X117&amp;"",'Chart of Accounts'!$A$5:$A$3000,0))&amp;"|"&amp;INDEX('Chart of Accounts'!$D$5:$D$3000,MATCH(X117&amp;"",'Chart of Accounts'!$A$5:$A$3000,0)),"")</f>
        <v/>
      </c>
      <c r="AE117" s="23">
        <f>IFERROR(INDEX('Chart of Accounts'!$C$5:$C$3000,MATCH(Z117&amp;"",'Chart of Accounts'!$A$5:$A$3000,0))&amp;"|"&amp;INDEX('Chart of Accounts'!$D$5:$D$3000,MATCH(Z117&amp;"",'Chart of Accounts'!$A$5:$A$3000,0)),"")</f>
        <v/>
      </c>
      <c r="AF117" s="23">
        <f>IF(LEFT(AA117,8)="Revenue|",-N(R117),0)+IF(LEFT(AB117,8)="Revenue|",-N(S117),0)+IF(LEFT(AC117,8)="Revenue|",N(L117),0)+IF(LEFT(AD117,8)="Revenue|",N(U117),0)+IF(LEFT(AE117,8)="Revenue|",N(T117),0)</f>
        <v/>
      </c>
      <c r="AG117" s="23">
        <f>IF(LEFT(AA117,5)="COGS|",N(R117),0)+IF(LEFT(AB117,5)="COGS|",N(S117),0)+IF(LEFT(AC117,5)="COGS|",-N(L117),0)+IF(LEFT(AD117,5)="COGS|",-N(U117),0)+IF(LEFT(AE117,5)="COGS|",-N(T117),0)</f>
        <v/>
      </c>
      <c r="AH117" s="23">
        <f>IF(LEFT(AA117,8)="Expense|",N(R117),0)+IF(LEFT(AB117,8)="Expense|",N(S117),0)+IF(LEFT(AC117,8)="Expense|",-N(L117),0)+IF(LEFT(AD117,8)="Expense|",-N(U117),0)+IF(LEFT(AE117,8)="Expense|",-N(T117),0)</f>
        <v/>
      </c>
      <c r="AI117" s="23">
        <f>IF(ISNUMBER(MATCH(AA117,{"Expense|employee","Expense|general_admin","Expense|marketing","Expense|utilities","Expense|other_operating"},0)),N(R117),0)+IF(ISNUMBER(MATCH(AB117,{"Expense|employee","Expense|general_admin","Expense|marketing","Expense|utilities","Expense|other_operating"},0)),N(S117),0)+IF(ISNUMBER(MATCH(AC117,{"Expense|employee","Expense|general_admin","Expense|marketing","Expense|utilities","Expense|other_operating"},0)),-N(L117),0)+IF(ISNUMBER(MATCH(AD117,{"Expense|employee","Expense|general_admin","Expense|marketing","Expense|utilities","Expense|other_operating"},0)),-N(U117),0)+IF(ISNUMBER(MATCH(AE117,{"Expense|employee","Expense|general_admin","Expense|marketing","Expense|utilities","Expense|other_operating"},0)),-N(T117),0)</f>
        <v/>
      </c>
      <c r="AJ117" s="23">
        <f>IF(AA117="Liability|payable",-N(R117),0)+IF(AB117="Liability|payable",-N(S117),0)+IF(AC117="Liability|payable",N(L117),0)+IF(AD117="Liability|payable",N(U117),0)+IF(AE117="Liability|payable",N(T117),0)</f>
        <v/>
      </c>
      <c r="AK117" s="23">
        <f>IF(AA117="Liability|accrued",-N(R117),0)+IF(AB117="Liability|accrued",-N(S117),0)+IF(AC117="Liability|accrued",N(L117),0)+IF(AD117="Liability|accrued",N(U117),0)+IF(AE117="Liability|accrued",N(T117),0)</f>
        <v/>
      </c>
      <c r="AL117" s="23">
        <f>IF(AND(N(R117)&lt;&gt;0,AA117=""),1,0)+IF(AND(N(S117)&lt;&gt;0,AB117=""),1,0)+IF(AND(N(L117)&lt;&gt;0,AC117=""),1,0)+IF(AND(N(U117)&lt;&gt;0,AD117=""),1,0)+IF(AND(N(T117)&lt;&gt;0,AE117=""),1,0)</f>
        <v/>
      </c>
    </row>
    <row r="118">
      <c r="A118" s="19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20" t="n"/>
      <c r="K118" s="20" t="n"/>
      <c r="L118" s="20" t="n"/>
      <c r="M118" s="14" t="n"/>
      <c r="N118" s="14" t="n"/>
      <c r="O118" s="14" t="n"/>
      <c r="P118" s="14" t="n"/>
      <c r="Q118" s="14" t="n"/>
      <c r="R118" s="21">
        <f>ROUND(N(H118)*N(J118)-N(K118),2)</f>
        <v/>
      </c>
      <c r="S118" s="21">
        <f>ROUND(R118*IFERROR(VLOOKUP(P118,'Tax Codes'!$A$5:$E$300,5,FALSE),0),2)</f>
        <v/>
      </c>
      <c r="T118" s="21">
        <f>ROUND(R118*IFERROR(VLOOKUP(Q118,'Tax Codes'!$A$5:$E$300,5,FALSE),0),2)</f>
        <v/>
      </c>
      <c r="U118" s="21">
        <f>R118+S118-T118-N(L118)</f>
        <v/>
      </c>
      <c r="V118" s="16">
        <f>IF(C118="",INDEX('Chart of Accounts'!$A$5:$A$3000,MATCH("materials",'Chart of Accounts'!$F$5:$F$3000,0)),C118&amp;"")</f>
        <v/>
      </c>
      <c r="W118" s="16">
        <f>IF(N118="",INDEX('Chart of Accounts'!$A$5:$A$3000,MATCH("bank",'Chart of Accounts'!$F$5:$F$3000,0)),N118&amp;"")</f>
        <v/>
      </c>
      <c r="X118" s="16">
        <f>IF(O118="",INDEX('Chart of Accounts'!$A$5:$A$3000,MATCH("ap",'Chart of Accounts'!$F$5:$F$3000,0)),O118&amp;"")</f>
        <v/>
      </c>
      <c r="Y118" s="16">
        <f>INDEX('Chart of Accounts'!$A$5:$A$3000,MATCH("vat_input",'Chart of Accounts'!$F$5:$F$3000,0))</f>
        <v/>
      </c>
      <c r="Z118" s="16">
        <f>INDEX('Chart of Accounts'!$A$5:$A$3000,MATCH("wht_payable",'Chart of Accounts'!$F$5:$F$3000,0))</f>
        <v/>
      </c>
      <c r="AA118" s="23">
        <f>IFERROR(INDEX('Chart of Accounts'!$C$5:$C$3000,MATCH(V118&amp;"",'Chart of Accounts'!$A$5:$A$3000,0))&amp;"|"&amp;INDEX('Chart of Accounts'!$D$5:$D$3000,MATCH(V118&amp;"",'Chart of Accounts'!$A$5:$A$3000,0)),"")</f>
        <v/>
      </c>
      <c r="AB118" s="23">
        <f>IFERROR(INDEX('Chart of Accounts'!$C$5:$C$3000,MATCH(Y118&amp;"",'Chart of Accounts'!$A$5:$A$3000,0))&amp;"|"&amp;INDEX('Chart of Accounts'!$D$5:$D$3000,MATCH(Y118&amp;"",'Chart of Accounts'!$A$5:$A$3000,0)),"")</f>
        <v/>
      </c>
      <c r="AC118" s="23">
        <f>IFERROR(INDEX('Chart of Accounts'!$C$5:$C$3000,MATCH(W118&amp;"",'Chart of Accounts'!$A$5:$A$3000,0))&amp;"|"&amp;INDEX('Chart of Accounts'!$D$5:$D$3000,MATCH(W118&amp;"",'Chart of Accounts'!$A$5:$A$3000,0)),"")</f>
        <v/>
      </c>
      <c r="AD118" s="23">
        <f>IFERROR(INDEX('Chart of Accounts'!$C$5:$C$3000,MATCH(X118&amp;"",'Chart of Accounts'!$A$5:$A$3000,0))&amp;"|"&amp;INDEX('Chart of Accounts'!$D$5:$D$3000,MATCH(X118&amp;"",'Chart of Accounts'!$A$5:$A$3000,0)),"")</f>
        <v/>
      </c>
      <c r="AE118" s="23">
        <f>IFERROR(INDEX('Chart of Accounts'!$C$5:$C$3000,MATCH(Z118&amp;"",'Chart of Accounts'!$A$5:$A$3000,0))&amp;"|"&amp;INDEX('Chart of Accounts'!$D$5:$D$3000,MATCH(Z118&amp;"",'Chart of Accounts'!$A$5:$A$3000,0)),"")</f>
        <v/>
      </c>
      <c r="AF118" s="23">
        <f>IF(LEFT(AA118,8)="Revenue|",-N(R118),0)+IF(LEFT(AB118,8)="Revenue|",-N(S118),0)+IF(LEFT(AC118,8)="Revenue|",N(L118),0)+IF(LEFT(AD118,8)="Revenue|",N(U118),0)+IF(LEFT(AE118,8)="Revenue|",N(T118),0)</f>
        <v/>
      </c>
      <c r="AG118" s="23">
        <f>IF(LEFT(AA118,5)="COGS|",N(R118),0)+IF(LEFT(AB118,5)="COGS|",N(S118),0)+IF(LEFT(AC118,5)="COGS|",-N(L118),0)+IF(LEFT(AD118,5)="COGS|",-N(U118),0)+IF(LEFT(AE118,5)="COGS|",-N(T118),0)</f>
        <v/>
      </c>
      <c r="AH118" s="23">
        <f>IF(LEFT(AA118,8)="Expense|",N(R118),0)+IF(LEFT(AB118,8)="Expense|",N(S118),0)+IF(LEFT(AC118,8)="Expense|",-N(L118),0)+IF(LEFT(AD118,8)="Expense|",-N(U118),0)+IF(LEFT(AE118,8)="Expense|",-N(T118),0)</f>
        <v/>
      </c>
      <c r="AI118" s="23">
        <f>IF(ISNUMBER(MATCH(AA118,{"Expense|employee","Expense|general_admin","Expense|marketing","Expense|utilities","Expense|other_operating"},0)),N(R118),0)+IF(ISNUMBER(MATCH(AB118,{"Expense|employee","Expense|general_admin","Expense|marketing","Expense|utilities","Expense|other_operating"},0)),N(S118),0)+IF(ISNUMBER(MATCH(AC118,{"Expense|employee","Expense|general_admin","Expense|marketing","Expense|utilities","Expense|other_operating"},0)),-N(L118),0)+IF(ISNUMBER(MATCH(AD118,{"Expense|employee","Expense|general_admin","Expense|marketing","Expense|utilities","Expense|other_operating"},0)),-N(U118),0)+IF(ISNUMBER(MATCH(AE118,{"Expense|employee","Expense|general_admin","Expense|marketing","Expense|utilities","Expense|other_operating"},0)),-N(T118),0)</f>
        <v/>
      </c>
      <c r="AJ118" s="23">
        <f>IF(AA118="Liability|payable",-N(R118),0)+IF(AB118="Liability|payable",-N(S118),0)+IF(AC118="Liability|payable",N(L118),0)+IF(AD118="Liability|payable",N(U118),0)+IF(AE118="Liability|payable",N(T118),0)</f>
        <v/>
      </c>
      <c r="AK118" s="23">
        <f>IF(AA118="Liability|accrued",-N(R118),0)+IF(AB118="Liability|accrued",-N(S118),0)+IF(AC118="Liability|accrued",N(L118),0)+IF(AD118="Liability|accrued",N(U118),0)+IF(AE118="Liability|accrued",N(T118),0)</f>
        <v/>
      </c>
      <c r="AL118" s="23">
        <f>IF(AND(N(R118)&lt;&gt;0,AA118=""),1,0)+IF(AND(N(S118)&lt;&gt;0,AB118=""),1,0)+IF(AND(N(L118)&lt;&gt;0,AC118=""),1,0)+IF(AND(N(U118)&lt;&gt;0,AD118=""),1,0)+IF(AND(N(T118)&lt;&gt;0,AE118=""),1,0)</f>
        <v/>
      </c>
    </row>
    <row r="119">
      <c r="A119" s="19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20" t="n"/>
      <c r="K119" s="20" t="n"/>
      <c r="L119" s="20" t="n"/>
      <c r="M119" s="14" t="n"/>
      <c r="N119" s="14" t="n"/>
      <c r="O119" s="14" t="n"/>
      <c r="P119" s="14" t="n"/>
      <c r="Q119" s="14" t="n"/>
      <c r="R119" s="21">
        <f>ROUND(N(H119)*N(J119)-N(K119),2)</f>
        <v/>
      </c>
      <c r="S119" s="21">
        <f>ROUND(R119*IFERROR(VLOOKUP(P119,'Tax Codes'!$A$5:$E$300,5,FALSE),0),2)</f>
        <v/>
      </c>
      <c r="T119" s="21">
        <f>ROUND(R119*IFERROR(VLOOKUP(Q119,'Tax Codes'!$A$5:$E$300,5,FALSE),0),2)</f>
        <v/>
      </c>
      <c r="U119" s="21">
        <f>R119+S119-T119-N(L119)</f>
        <v/>
      </c>
      <c r="V119" s="16">
        <f>IF(C119="",INDEX('Chart of Accounts'!$A$5:$A$3000,MATCH("materials",'Chart of Accounts'!$F$5:$F$3000,0)),C119&amp;"")</f>
        <v/>
      </c>
      <c r="W119" s="16">
        <f>IF(N119="",INDEX('Chart of Accounts'!$A$5:$A$3000,MATCH("bank",'Chart of Accounts'!$F$5:$F$3000,0)),N119&amp;"")</f>
        <v/>
      </c>
      <c r="X119" s="16">
        <f>IF(O119="",INDEX('Chart of Accounts'!$A$5:$A$3000,MATCH("ap",'Chart of Accounts'!$F$5:$F$3000,0)),O119&amp;"")</f>
        <v/>
      </c>
      <c r="Y119" s="16">
        <f>INDEX('Chart of Accounts'!$A$5:$A$3000,MATCH("vat_input",'Chart of Accounts'!$F$5:$F$3000,0))</f>
        <v/>
      </c>
      <c r="Z119" s="16">
        <f>INDEX('Chart of Accounts'!$A$5:$A$3000,MATCH("wht_payable",'Chart of Accounts'!$F$5:$F$3000,0))</f>
        <v/>
      </c>
      <c r="AA119" s="23">
        <f>IFERROR(INDEX('Chart of Accounts'!$C$5:$C$3000,MATCH(V119&amp;"",'Chart of Accounts'!$A$5:$A$3000,0))&amp;"|"&amp;INDEX('Chart of Accounts'!$D$5:$D$3000,MATCH(V119&amp;"",'Chart of Accounts'!$A$5:$A$3000,0)),"")</f>
        <v/>
      </c>
      <c r="AB119" s="23">
        <f>IFERROR(INDEX('Chart of Accounts'!$C$5:$C$3000,MATCH(Y119&amp;"",'Chart of Accounts'!$A$5:$A$3000,0))&amp;"|"&amp;INDEX('Chart of Accounts'!$D$5:$D$3000,MATCH(Y119&amp;"",'Chart of Accounts'!$A$5:$A$3000,0)),"")</f>
        <v/>
      </c>
      <c r="AC119" s="23">
        <f>IFERROR(INDEX('Chart of Accounts'!$C$5:$C$3000,MATCH(W119&amp;"",'Chart of Accounts'!$A$5:$A$3000,0))&amp;"|"&amp;INDEX('Chart of Accounts'!$D$5:$D$3000,MATCH(W119&amp;"",'Chart of Accounts'!$A$5:$A$3000,0)),"")</f>
        <v/>
      </c>
      <c r="AD119" s="23">
        <f>IFERROR(INDEX('Chart of Accounts'!$C$5:$C$3000,MATCH(X119&amp;"",'Chart of Accounts'!$A$5:$A$3000,0))&amp;"|"&amp;INDEX('Chart of Accounts'!$D$5:$D$3000,MATCH(X119&amp;"",'Chart of Accounts'!$A$5:$A$3000,0)),"")</f>
        <v/>
      </c>
      <c r="AE119" s="23">
        <f>IFERROR(INDEX('Chart of Accounts'!$C$5:$C$3000,MATCH(Z119&amp;"",'Chart of Accounts'!$A$5:$A$3000,0))&amp;"|"&amp;INDEX('Chart of Accounts'!$D$5:$D$3000,MATCH(Z119&amp;"",'Chart of Accounts'!$A$5:$A$3000,0)),"")</f>
        <v/>
      </c>
      <c r="AF119" s="23">
        <f>IF(LEFT(AA119,8)="Revenue|",-N(R119),0)+IF(LEFT(AB119,8)="Revenue|",-N(S119),0)+IF(LEFT(AC119,8)="Revenue|",N(L119),0)+IF(LEFT(AD119,8)="Revenue|",N(U119),0)+IF(LEFT(AE119,8)="Revenue|",N(T119),0)</f>
        <v/>
      </c>
      <c r="AG119" s="23">
        <f>IF(LEFT(AA119,5)="COGS|",N(R119),0)+IF(LEFT(AB119,5)="COGS|",N(S119),0)+IF(LEFT(AC119,5)="COGS|",-N(L119),0)+IF(LEFT(AD119,5)="COGS|",-N(U119),0)+IF(LEFT(AE119,5)="COGS|",-N(T119),0)</f>
        <v/>
      </c>
      <c r="AH119" s="23">
        <f>IF(LEFT(AA119,8)="Expense|",N(R119),0)+IF(LEFT(AB119,8)="Expense|",N(S119),0)+IF(LEFT(AC119,8)="Expense|",-N(L119),0)+IF(LEFT(AD119,8)="Expense|",-N(U119),0)+IF(LEFT(AE119,8)="Expense|",-N(T119),0)</f>
        <v/>
      </c>
      <c r="AI119" s="23">
        <f>IF(ISNUMBER(MATCH(AA119,{"Expense|employee","Expense|general_admin","Expense|marketing","Expense|utilities","Expense|other_operating"},0)),N(R119),0)+IF(ISNUMBER(MATCH(AB119,{"Expense|employee","Expense|general_admin","Expense|marketing","Expense|utilities","Expense|other_operating"},0)),N(S119),0)+IF(ISNUMBER(MATCH(AC119,{"Expense|employee","Expense|general_admin","Expense|marketing","Expense|utilities","Expense|other_operating"},0)),-N(L119),0)+IF(ISNUMBER(MATCH(AD119,{"Expense|employee","Expense|general_admin","Expense|marketing","Expense|utilities","Expense|other_operating"},0)),-N(U119),0)+IF(ISNUMBER(MATCH(AE119,{"Expense|employee","Expense|general_admin","Expense|marketing","Expense|utilities","Expense|other_operating"},0)),-N(T119),0)</f>
        <v/>
      </c>
      <c r="AJ119" s="23">
        <f>IF(AA119="Liability|payable",-N(R119),0)+IF(AB119="Liability|payable",-N(S119),0)+IF(AC119="Liability|payable",N(L119),0)+IF(AD119="Liability|payable",N(U119),0)+IF(AE119="Liability|payable",N(T119),0)</f>
        <v/>
      </c>
      <c r="AK119" s="23">
        <f>IF(AA119="Liability|accrued",-N(R119),0)+IF(AB119="Liability|accrued",-N(S119),0)+IF(AC119="Liability|accrued",N(L119),0)+IF(AD119="Liability|accrued",N(U119),0)+IF(AE119="Liability|accrued",N(T119),0)</f>
        <v/>
      </c>
      <c r="AL119" s="23">
        <f>IF(AND(N(R119)&lt;&gt;0,AA119=""),1,0)+IF(AND(N(S119)&lt;&gt;0,AB119=""),1,0)+IF(AND(N(L119)&lt;&gt;0,AC119=""),1,0)+IF(AND(N(U119)&lt;&gt;0,AD119=""),1,0)+IF(AND(N(T119)&lt;&gt;0,AE119=""),1,0)</f>
        <v/>
      </c>
    </row>
    <row r="120">
      <c r="A120" s="19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20" t="n"/>
      <c r="K120" s="20" t="n"/>
      <c r="L120" s="20" t="n"/>
      <c r="M120" s="14" t="n"/>
      <c r="N120" s="14" t="n"/>
      <c r="O120" s="14" t="n"/>
      <c r="P120" s="14" t="n"/>
      <c r="Q120" s="14" t="n"/>
      <c r="R120" s="21">
        <f>ROUND(N(H120)*N(J120)-N(K120),2)</f>
        <v/>
      </c>
      <c r="S120" s="21">
        <f>ROUND(R120*IFERROR(VLOOKUP(P120,'Tax Codes'!$A$5:$E$300,5,FALSE),0),2)</f>
        <v/>
      </c>
      <c r="T120" s="21">
        <f>ROUND(R120*IFERROR(VLOOKUP(Q120,'Tax Codes'!$A$5:$E$300,5,FALSE),0),2)</f>
        <v/>
      </c>
      <c r="U120" s="21">
        <f>R120+S120-T120-N(L120)</f>
        <v/>
      </c>
      <c r="V120" s="16">
        <f>IF(C120="",INDEX('Chart of Accounts'!$A$5:$A$3000,MATCH("materials",'Chart of Accounts'!$F$5:$F$3000,0)),C120&amp;"")</f>
        <v/>
      </c>
      <c r="W120" s="16">
        <f>IF(N120="",INDEX('Chart of Accounts'!$A$5:$A$3000,MATCH("bank",'Chart of Accounts'!$F$5:$F$3000,0)),N120&amp;"")</f>
        <v/>
      </c>
      <c r="X120" s="16">
        <f>IF(O120="",INDEX('Chart of Accounts'!$A$5:$A$3000,MATCH("ap",'Chart of Accounts'!$F$5:$F$3000,0)),O120&amp;"")</f>
        <v/>
      </c>
      <c r="Y120" s="16">
        <f>INDEX('Chart of Accounts'!$A$5:$A$3000,MATCH("vat_input",'Chart of Accounts'!$F$5:$F$3000,0))</f>
        <v/>
      </c>
      <c r="Z120" s="16">
        <f>INDEX('Chart of Accounts'!$A$5:$A$3000,MATCH("wht_payable",'Chart of Accounts'!$F$5:$F$3000,0))</f>
        <v/>
      </c>
      <c r="AA120" s="23">
        <f>IFERROR(INDEX('Chart of Accounts'!$C$5:$C$3000,MATCH(V120&amp;"",'Chart of Accounts'!$A$5:$A$3000,0))&amp;"|"&amp;INDEX('Chart of Accounts'!$D$5:$D$3000,MATCH(V120&amp;"",'Chart of Accounts'!$A$5:$A$3000,0)),"")</f>
        <v/>
      </c>
      <c r="AB120" s="23">
        <f>IFERROR(INDEX('Chart of Accounts'!$C$5:$C$3000,MATCH(Y120&amp;"",'Chart of Accounts'!$A$5:$A$3000,0))&amp;"|"&amp;INDEX('Chart of Accounts'!$D$5:$D$3000,MATCH(Y120&amp;"",'Chart of Accounts'!$A$5:$A$3000,0)),"")</f>
        <v/>
      </c>
      <c r="AC120" s="23">
        <f>IFERROR(INDEX('Chart of Accounts'!$C$5:$C$3000,MATCH(W120&amp;"",'Chart of Accounts'!$A$5:$A$3000,0))&amp;"|"&amp;INDEX('Chart of Accounts'!$D$5:$D$3000,MATCH(W120&amp;"",'Chart of Accounts'!$A$5:$A$3000,0)),"")</f>
        <v/>
      </c>
      <c r="AD120" s="23">
        <f>IFERROR(INDEX('Chart of Accounts'!$C$5:$C$3000,MATCH(X120&amp;"",'Chart of Accounts'!$A$5:$A$3000,0))&amp;"|"&amp;INDEX('Chart of Accounts'!$D$5:$D$3000,MATCH(X120&amp;"",'Chart of Accounts'!$A$5:$A$3000,0)),"")</f>
        <v/>
      </c>
      <c r="AE120" s="23">
        <f>IFERROR(INDEX('Chart of Accounts'!$C$5:$C$3000,MATCH(Z120&amp;"",'Chart of Accounts'!$A$5:$A$3000,0))&amp;"|"&amp;INDEX('Chart of Accounts'!$D$5:$D$3000,MATCH(Z120&amp;"",'Chart of Accounts'!$A$5:$A$3000,0)),"")</f>
        <v/>
      </c>
      <c r="AF120" s="23">
        <f>IF(LEFT(AA120,8)="Revenue|",-N(R120),0)+IF(LEFT(AB120,8)="Revenue|",-N(S120),0)+IF(LEFT(AC120,8)="Revenue|",N(L120),0)+IF(LEFT(AD120,8)="Revenue|",N(U120),0)+IF(LEFT(AE120,8)="Revenue|",N(T120),0)</f>
        <v/>
      </c>
      <c r="AG120" s="23">
        <f>IF(LEFT(AA120,5)="COGS|",N(R120),0)+IF(LEFT(AB120,5)="COGS|",N(S120),0)+IF(LEFT(AC120,5)="COGS|",-N(L120),0)+IF(LEFT(AD120,5)="COGS|",-N(U120),0)+IF(LEFT(AE120,5)="COGS|",-N(T120),0)</f>
        <v/>
      </c>
      <c r="AH120" s="23">
        <f>IF(LEFT(AA120,8)="Expense|",N(R120),0)+IF(LEFT(AB120,8)="Expense|",N(S120),0)+IF(LEFT(AC120,8)="Expense|",-N(L120),0)+IF(LEFT(AD120,8)="Expense|",-N(U120),0)+IF(LEFT(AE120,8)="Expense|",-N(T120),0)</f>
        <v/>
      </c>
      <c r="AI120" s="23">
        <f>IF(ISNUMBER(MATCH(AA120,{"Expense|employee","Expense|general_admin","Expense|marketing","Expense|utilities","Expense|other_operating"},0)),N(R120),0)+IF(ISNUMBER(MATCH(AB120,{"Expense|employee","Expense|general_admin","Expense|marketing","Expense|utilities","Expense|other_operating"},0)),N(S120),0)+IF(ISNUMBER(MATCH(AC120,{"Expense|employee","Expense|general_admin","Expense|marketing","Expense|utilities","Expense|other_operating"},0)),-N(L120),0)+IF(ISNUMBER(MATCH(AD120,{"Expense|employee","Expense|general_admin","Expense|marketing","Expense|utilities","Expense|other_operating"},0)),-N(U120),0)+IF(ISNUMBER(MATCH(AE120,{"Expense|employee","Expense|general_admin","Expense|marketing","Expense|utilities","Expense|other_operating"},0)),-N(T120),0)</f>
        <v/>
      </c>
      <c r="AJ120" s="23">
        <f>IF(AA120="Liability|payable",-N(R120),0)+IF(AB120="Liability|payable",-N(S120),0)+IF(AC120="Liability|payable",N(L120),0)+IF(AD120="Liability|payable",N(U120),0)+IF(AE120="Liability|payable",N(T120),0)</f>
        <v/>
      </c>
      <c r="AK120" s="23">
        <f>IF(AA120="Liability|accrued",-N(R120),0)+IF(AB120="Liability|accrued",-N(S120),0)+IF(AC120="Liability|accrued",N(L120),0)+IF(AD120="Liability|accrued",N(U120),0)+IF(AE120="Liability|accrued",N(T120),0)</f>
        <v/>
      </c>
      <c r="AL120" s="23">
        <f>IF(AND(N(R120)&lt;&gt;0,AA120=""),1,0)+IF(AND(N(S120)&lt;&gt;0,AB120=""),1,0)+IF(AND(N(L120)&lt;&gt;0,AC120=""),1,0)+IF(AND(N(U120)&lt;&gt;0,AD120=""),1,0)+IF(AND(N(T120)&lt;&gt;0,AE120=""),1,0)</f>
        <v/>
      </c>
    </row>
    <row r="121">
      <c r="A121" s="19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20" t="n"/>
      <c r="K121" s="20" t="n"/>
      <c r="L121" s="20" t="n"/>
      <c r="M121" s="14" t="n"/>
      <c r="N121" s="14" t="n"/>
      <c r="O121" s="14" t="n"/>
      <c r="P121" s="14" t="n"/>
      <c r="Q121" s="14" t="n"/>
      <c r="R121" s="21">
        <f>ROUND(N(H121)*N(J121)-N(K121),2)</f>
        <v/>
      </c>
      <c r="S121" s="21">
        <f>ROUND(R121*IFERROR(VLOOKUP(P121,'Tax Codes'!$A$5:$E$300,5,FALSE),0),2)</f>
        <v/>
      </c>
      <c r="T121" s="21">
        <f>ROUND(R121*IFERROR(VLOOKUP(Q121,'Tax Codes'!$A$5:$E$300,5,FALSE),0),2)</f>
        <v/>
      </c>
      <c r="U121" s="21">
        <f>R121+S121-T121-N(L121)</f>
        <v/>
      </c>
      <c r="V121" s="16">
        <f>IF(C121="",INDEX('Chart of Accounts'!$A$5:$A$3000,MATCH("materials",'Chart of Accounts'!$F$5:$F$3000,0)),C121&amp;"")</f>
        <v/>
      </c>
      <c r="W121" s="16">
        <f>IF(N121="",INDEX('Chart of Accounts'!$A$5:$A$3000,MATCH("bank",'Chart of Accounts'!$F$5:$F$3000,0)),N121&amp;"")</f>
        <v/>
      </c>
      <c r="X121" s="16">
        <f>IF(O121="",INDEX('Chart of Accounts'!$A$5:$A$3000,MATCH("ap",'Chart of Accounts'!$F$5:$F$3000,0)),O121&amp;"")</f>
        <v/>
      </c>
      <c r="Y121" s="16">
        <f>INDEX('Chart of Accounts'!$A$5:$A$3000,MATCH("vat_input",'Chart of Accounts'!$F$5:$F$3000,0))</f>
        <v/>
      </c>
      <c r="Z121" s="16">
        <f>INDEX('Chart of Accounts'!$A$5:$A$3000,MATCH("wht_payable",'Chart of Accounts'!$F$5:$F$3000,0))</f>
        <v/>
      </c>
      <c r="AA121" s="23">
        <f>IFERROR(INDEX('Chart of Accounts'!$C$5:$C$3000,MATCH(V121&amp;"",'Chart of Accounts'!$A$5:$A$3000,0))&amp;"|"&amp;INDEX('Chart of Accounts'!$D$5:$D$3000,MATCH(V121&amp;"",'Chart of Accounts'!$A$5:$A$3000,0)),"")</f>
        <v/>
      </c>
      <c r="AB121" s="23">
        <f>IFERROR(INDEX('Chart of Accounts'!$C$5:$C$3000,MATCH(Y121&amp;"",'Chart of Accounts'!$A$5:$A$3000,0))&amp;"|"&amp;INDEX('Chart of Accounts'!$D$5:$D$3000,MATCH(Y121&amp;"",'Chart of Accounts'!$A$5:$A$3000,0)),"")</f>
        <v/>
      </c>
      <c r="AC121" s="23">
        <f>IFERROR(INDEX('Chart of Accounts'!$C$5:$C$3000,MATCH(W121&amp;"",'Chart of Accounts'!$A$5:$A$3000,0))&amp;"|"&amp;INDEX('Chart of Accounts'!$D$5:$D$3000,MATCH(W121&amp;"",'Chart of Accounts'!$A$5:$A$3000,0)),"")</f>
        <v/>
      </c>
      <c r="AD121" s="23">
        <f>IFERROR(INDEX('Chart of Accounts'!$C$5:$C$3000,MATCH(X121&amp;"",'Chart of Accounts'!$A$5:$A$3000,0))&amp;"|"&amp;INDEX('Chart of Accounts'!$D$5:$D$3000,MATCH(X121&amp;"",'Chart of Accounts'!$A$5:$A$3000,0)),"")</f>
        <v/>
      </c>
      <c r="AE121" s="23">
        <f>IFERROR(INDEX('Chart of Accounts'!$C$5:$C$3000,MATCH(Z121&amp;"",'Chart of Accounts'!$A$5:$A$3000,0))&amp;"|"&amp;INDEX('Chart of Accounts'!$D$5:$D$3000,MATCH(Z121&amp;"",'Chart of Accounts'!$A$5:$A$3000,0)),"")</f>
        <v/>
      </c>
      <c r="AF121" s="23">
        <f>IF(LEFT(AA121,8)="Revenue|",-N(R121),0)+IF(LEFT(AB121,8)="Revenue|",-N(S121),0)+IF(LEFT(AC121,8)="Revenue|",N(L121),0)+IF(LEFT(AD121,8)="Revenue|",N(U121),0)+IF(LEFT(AE121,8)="Revenue|",N(T121),0)</f>
        <v/>
      </c>
      <c r="AG121" s="23">
        <f>IF(LEFT(AA121,5)="COGS|",N(R121),0)+IF(LEFT(AB121,5)="COGS|",N(S121),0)+IF(LEFT(AC121,5)="COGS|",-N(L121),0)+IF(LEFT(AD121,5)="COGS|",-N(U121),0)+IF(LEFT(AE121,5)="COGS|",-N(T121),0)</f>
        <v/>
      </c>
      <c r="AH121" s="23">
        <f>IF(LEFT(AA121,8)="Expense|",N(R121),0)+IF(LEFT(AB121,8)="Expense|",N(S121),0)+IF(LEFT(AC121,8)="Expense|",-N(L121),0)+IF(LEFT(AD121,8)="Expense|",-N(U121),0)+IF(LEFT(AE121,8)="Expense|",-N(T121),0)</f>
        <v/>
      </c>
      <c r="AI121" s="23">
        <f>IF(ISNUMBER(MATCH(AA121,{"Expense|employee","Expense|general_admin","Expense|marketing","Expense|utilities","Expense|other_operating"},0)),N(R121),0)+IF(ISNUMBER(MATCH(AB121,{"Expense|employee","Expense|general_admin","Expense|marketing","Expense|utilities","Expense|other_operating"},0)),N(S121),0)+IF(ISNUMBER(MATCH(AC121,{"Expense|employee","Expense|general_admin","Expense|marketing","Expense|utilities","Expense|other_operating"},0)),-N(L121),0)+IF(ISNUMBER(MATCH(AD121,{"Expense|employee","Expense|general_admin","Expense|marketing","Expense|utilities","Expense|other_operating"},0)),-N(U121),0)+IF(ISNUMBER(MATCH(AE121,{"Expense|employee","Expense|general_admin","Expense|marketing","Expense|utilities","Expense|other_operating"},0)),-N(T121),0)</f>
        <v/>
      </c>
      <c r="AJ121" s="23">
        <f>IF(AA121="Liability|payable",-N(R121),0)+IF(AB121="Liability|payable",-N(S121),0)+IF(AC121="Liability|payable",N(L121),0)+IF(AD121="Liability|payable",N(U121),0)+IF(AE121="Liability|payable",N(T121),0)</f>
        <v/>
      </c>
      <c r="AK121" s="23">
        <f>IF(AA121="Liability|accrued",-N(R121),0)+IF(AB121="Liability|accrued",-N(S121),0)+IF(AC121="Liability|accrued",N(L121),0)+IF(AD121="Liability|accrued",N(U121),0)+IF(AE121="Liability|accrued",N(T121),0)</f>
        <v/>
      </c>
      <c r="AL121" s="23">
        <f>IF(AND(N(R121)&lt;&gt;0,AA121=""),1,0)+IF(AND(N(S121)&lt;&gt;0,AB121=""),1,0)+IF(AND(N(L121)&lt;&gt;0,AC121=""),1,0)+IF(AND(N(U121)&lt;&gt;0,AD121=""),1,0)+IF(AND(N(T121)&lt;&gt;0,AE121=""),1,0)</f>
        <v/>
      </c>
    </row>
    <row r="122">
      <c r="A122" s="19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20" t="n"/>
      <c r="K122" s="20" t="n"/>
      <c r="L122" s="20" t="n"/>
      <c r="M122" s="14" t="n"/>
      <c r="N122" s="14" t="n"/>
      <c r="O122" s="14" t="n"/>
      <c r="P122" s="14" t="n"/>
      <c r="Q122" s="14" t="n"/>
      <c r="R122" s="21">
        <f>ROUND(N(H122)*N(J122)-N(K122),2)</f>
        <v/>
      </c>
      <c r="S122" s="21">
        <f>ROUND(R122*IFERROR(VLOOKUP(P122,'Tax Codes'!$A$5:$E$300,5,FALSE),0),2)</f>
        <v/>
      </c>
      <c r="T122" s="21">
        <f>ROUND(R122*IFERROR(VLOOKUP(Q122,'Tax Codes'!$A$5:$E$300,5,FALSE),0),2)</f>
        <v/>
      </c>
      <c r="U122" s="21">
        <f>R122+S122-T122-N(L122)</f>
        <v/>
      </c>
      <c r="V122" s="16">
        <f>IF(C122="",INDEX('Chart of Accounts'!$A$5:$A$3000,MATCH("materials",'Chart of Accounts'!$F$5:$F$3000,0)),C122&amp;"")</f>
        <v/>
      </c>
      <c r="W122" s="16">
        <f>IF(N122="",INDEX('Chart of Accounts'!$A$5:$A$3000,MATCH("bank",'Chart of Accounts'!$F$5:$F$3000,0)),N122&amp;"")</f>
        <v/>
      </c>
      <c r="X122" s="16">
        <f>IF(O122="",INDEX('Chart of Accounts'!$A$5:$A$3000,MATCH("ap",'Chart of Accounts'!$F$5:$F$3000,0)),O122&amp;"")</f>
        <v/>
      </c>
      <c r="Y122" s="16">
        <f>INDEX('Chart of Accounts'!$A$5:$A$3000,MATCH("vat_input",'Chart of Accounts'!$F$5:$F$3000,0))</f>
        <v/>
      </c>
      <c r="Z122" s="16">
        <f>INDEX('Chart of Accounts'!$A$5:$A$3000,MATCH("wht_payable",'Chart of Accounts'!$F$5:$F$3000,0))</f>
        <v/>
      </c>
      <c r="AA122" s="23">
        <f>IFERROR(INDEX('Chart of Accounts'!$C$5:$C$3000,MATCH(V122&amp;"",'Chart of Accounts'!$A$5:$A$3000,0))&amp;"|"&amp;INDEX('Chart of Accounts'!$D$5:$D$3000,MATCH(V122&amp;"",'Chart of Accounts'!$A$5:$A$3000,0)),"")</f>
        <v/>
      </c>
      <c r="AB122" s="23">
        <f>IFERROR(INDEX('Chart of Accounts'!$C$5:$C$3000,MATCH(Y122&amp;"",'Chart of Accounts'!$A$5:$A$3000,0))&amp;"|"&amp;INDEX('Chart of Accounts'!$D$5:$D$3000,MATCH(Y122&amp;"",'Chart of Accounts'!$A$5:$A$3000,0)),"")</f>
        <v/>
      </c>
      <c r="AC122" s="23">
        <f>IFERROR(INDEX('Chart of Accounts'!$C$5:$C$3000,MATCH(W122&amp;"",'Chart of Accounts'!$A$5:$A$3000,0))&amp;"|"&amp;INDEX('Chart of Accounts'!$D$5:$D$3000,MATCH(W122&amp;"",'Chart of Accounts'!$A$5:$A$3000,0)),"")</f>
        <v/>
      </c>
      <c r="AD122" s="23">
        <f>IFERROR(INDEX('Chart of Accounts'!$C$5:$C$3000,MATCH(X122&amp;"",'Chart of Accounts'!$A$5:$A$3000,0))&amp;"|"&amp;INDEX('Chart of Accounts'!$D$5:$D$3000,MATCH(X122&amp;"",'Chart of Accounts'!$A$5:$A$3000,0)),"")</f>
        <v/>
      </c>
      <c r="AE122" s="23">
        <f>IFERROR(INDEX('Chart of Accounts'!$C$5:$C$3000,MATCH(Z122&amp;"",'Chart of Accounts'!$A$5:$A$3000,0))&amp;"|"&amp;INDEX('Chart of Accounts'!$D$5:$D$3000,MATCH(Z122&amp;"",'Chart of Accounts'!$A$5:$A$3000,0)),"")</f>
        <v/>
      </c>
      <c r="AF122" s="23">
        <f>IF(LEFT(AA122,8)="Revenue|",-N(R122),0)+IF(LEFT(AB122,8)="Revenue|",-N(S122),0)+IF(LEFT(AC122,8)="Revenue|",N(L122),0)+IF(LEFT(AD122,8)="Revenue|",N(U122),0)+IF(LEFT(AE122,8)="Revenue|",N(T122),0)</f>
        <v/>
      </c>
      <c r="AG122" s="23">
        <f>IF(LEFT(AA122,5)="COGS|",N(R122),0)+IF(LEFT(AB122,5)="COGS|",N(S122),0)+IF(LEFT(AC122,5)="COGS|",-N(L122),0)+IF(LEFT(AD122,5)="COGS|",-N(U122),0)+IF(LEFT(AE122,5)="COGS|",-N(T122),0)</f>
        <v/>
      </c>
      <c r="AH122" s="23">
        <f>IF(LEFT(AA122,8)="Expense|",N(R122),0)+IF(LEFT(AB122,8)="Expense|",N(S122),0)+IF(LEFT(AC122,8)="Expense|",-N(L122),0)+IF(LEFT(AD122,8)="Expense|",-N(U122),0)+IF(LEFT(AE122,8)="Expense|",-N(T122),0)</f>
        <v/>
      </c>
      <c r="AI122" s="23">
        <f>IF(ISNUMBER(MATCH(AA122,{"Expense|employee","Expense|general_admin","Expense|marketing","Expense|utilities","Expense|other_operating"},0)),N(R122),0)+IF(ISNUMBER(MATCH(AB122,{"Expense|employee","Expense|general_admin","Expense|marketing","Expense|utilities","Expense|other_operating"},0)),N(S122),0)+IF(ISNUMBER(MATCH(AC122,{"Expense|employee","Expense|general_admin","Expense|marketing","Expense|utilities","Expense|other_operating"},0)),-N(L122),0)+IF(ISNUMBER(MATCH(AD122,{"Expense|employee","Expense|general_admin","Expense|marketing","Expense|utilities","Expense|other_operating"},0)),-N(U122),0)+IF(ISNUMBER(MATCH(AE122,{"Expense|employee","Expense|general_admin","Expense|marketing","Expense|utilities","Expense|other_operating"},0)),-N(T122),0)</f>
        <v/>
      </c>
      <c r="AJ122" s="23">
        <f>IF(AA122="Liability|payable",-N(R122),0)+IF(AB122="Liability|payable",-N(S122),0)+IF(AC122="Liability|payable",N(L122),0)+IF(AD122="Liability|payable",N(U122),0)+IF(AE122="Liability|payable",N(T122),0)</f>
        <v/>
      </c>
      <c r="AK122" s="23">
        <f>IF(AA122="Liability|accrued",-N(R122),0)+IF(AB122="Liability|accrued",-N(S122),0)+IF(AC122="Liability|accrued",N(L122),0)+IF(AD122="Liability|accrued",N(U122),0)+IF(AE122="Liability|accrued",N(T122),0)</f>
        <v/>
      </c>
      <c r="AL122" s="23">
        <f>IF(AND(N(R122)&lt;&gt;0,AA122=""),1,0)+IF(AND(N(S122)&lt;&gt;0,AB122=""),1,0)+IF(AND(N(L122)&lt;&gt;0,AC122=""),1,0)+IF(AND(N(U122)&lt;&gt;0,AD122=""),1,0)+IF(AND(N(T122)&lt;&gt;0,AE122=""),1,0)</f>
        <v/>
      </c>
    </row>
    <row r="123">
      <c r="A123" s="19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20" t="n"/>
      <c r="K123" s="20" t="n"/>
      <c r="L123" s="20" t="n"/>
      <c r="M123" s="14" t="n"/>
      <c r="N123" s="14" t="n"/>
      <c r="O123" s="14" t="n"/>
      <c r="P123" s="14" t="n"/>
      <c r="Q123" s="14" t="n"/>
      <c r="R123" s="21">
        <f>ROUND(N(H123)*N(J123)-N(K123),2)</f>
        <v/>
      </c>
      <c r="S123" s="21">
        <f>ROUND(R123*IFERROR(VLOOKUP(P123,'Tax Codes'!$A$5:$E$300,5,FALSE),0),2)</f>
        <v/>
      </c>
      <c r="T123" s="21">
        <f>ROUND(R123*IFERROR(VLOOKUP(Q123,'Tax Codes'!$A$5:$E$300,5,FALSE),0),2)</f>
        <v/>
      </c>
      <c r="U123" s="21">
        <f>R123+S123-T123-N(L123)</f>
        <v/>
      </c>
      <c r="V123" s="16">
        <f>IF(C123="",INDEX('Chart of Accounts'!$A$5:$A$3000,MATCH("materials",'Chart of Accounts'!$F$5:$F$3000,0)),C123&amp;"")</f>
        <v/>
      </c>
      <c r="W123" s="16">
        <f>IF(N123="",INDEX('Chart of Accounts'!$A$5:$A$3000,MATCH("bank",'Chart of Accounts'!$F$5:$F$3000,0)),N123&amp;"")</f>
        <v/>
      </c>
      <c r="X123" s="16">
        <f>IF(O123="",INDEX('Chart of Accounts'!$A$5:$A$3000,MATCH("ap",'Chart of Accounts'!$F$5:$F$3000,0)),O123&amp;"")</f>
        <v/>
      </c>
      <c r="Y123" s="16">
        <f>INDEX('Chart of Accounts'!$A$5:$A$3000,MATCH("vat_input",'Chart of Accounts'!$F$5:$F$3000,0))</f>
        <v/>
      </c>
      <c r="Z123" s="16">
        <f>INDEX('Chart of Accounts'!$A$5:$A$3000,MATCH("wht_payable",'Chart of Accounts'!$F$5:$F$3000,0))</f>
        <v/>
      </c>
      <c r="AA123" s="23">
        <f>IFERROR(INDEX('Chart of Accounts'!$C$5:$C$3000,MATCH(V123&amp;"",'Chart of Accounts'!$A$5:$A$3000,0))&amp;"|"&amp;INDEX('Chart of Accounts'!$D$5:$D$3000,MATCH(V123&amp;"",'Chart of Accounts'!$A$5:$A$3000,0)),"")</f>
        <v/>
      </c>
      <c r="AB123" s="23">
        <f>IFERROR(INDEX('Chart of Accounts'!$C$5:$C$3000,MATCH(Y123&amp;"",'Chart of Accounts'!$A$5:$A$3000,0))&amp;"|"&amp;INDEX('Chart of Accounts'!$D$5:$D$3000,MATCH(Y123&amp;"",'Chart of Accounts'!$A$5:$A$3000,0)),"")</f>
        <v/>
      </c>
      <c r="AC123" s="23">
        <f>IFERROR(INDEX('Chart of Accounts'!$C$5:$C$3000,MATCH(W123&amp;"",'Chart of Accounts'!$A$5:$A$3000,0))&amp;"|"&amp;INDEX('Chart of Accounts'!$D$5:$D$3000,MATCH(W123&amp;"",'Chart of Accounts'!$A$5:$A$3000,0)),"")</f>
        <v/>
      </c>
      <c r="AD123" s="23">
        <f>IFERROR(INDEX('Chart of Accounts'!$C$5:$C$3000,MATCH(X123&amp;"",'Chart of Accounts'!$A$5:$A$3000,0))&amp;"|"&amp;INDEX('Chart of Accounts'!$D$5:$D$3000,MATCH(X123&amp;"",'Chart of Accounts'!$A$5:$A$3000,0)),"")</f>
        <v/>
      </c>
      <c r="AE123" s="23">
        <f>IFERROR(INDEX('Chart of Accounts'!$C$5:$C$3000,MATCH(Z123&amp;"",'Chart of Accounts'!$A$5:$A$3000,0))&amp;"|"&amp;INDEX('Chart of Accounts'!$D$5:$D$3000,MATCH(Z123&amp;"",'Chart of Accounts'!$A$5:$A$3000,0)),"")</f>
        <v/>
      </c>
      <c r="AF123" s="23">
        <f>IF(LEFT(AA123,8)="Revenue|",-N(R123),0)+IF(LEFT(AB123,8)="Revenue|",-N(S123),0)+IF(LEFT(AC123,8)="Revenue|",N(L123),0)+IF(LEFT(AD123,8)="Revenue|",N(U123),0)+IF(LEFT(AE123,8)="Revenue|",N(T123),0)</f>
        <v/>
      </c>
      <c r="AG123" s="23">
        <f>IF(LEFT(AA123,5)="COGS|",N(R123),0)+IF(LEFT(AB123,5)="COGS|",N(S123),0)+IF(LEFT(AC123,5)="COGS|",-N(L123),0)+IF(LEFT(AD123,5)="COGS|",-N(U123),0)+IF(LEFT(AE123,5)="COGS|",-N(T123),0)</f>
        <v/>
      </c>
      <c r="AH123" s="23">
        <f>IF(LEFT(AA123,8)="Expense|",N(R123),0)+IF(LEFT(AB123,8)="Expense|",N(S123),0)+IF(LEFT(AC123,8)="Expense|",-N(L123),0)+IF(LEFT(AD123,8)="Expense|",-N(U123),0)+IF(LEFT(AE123,8)="Expense|",-N(T123),0)</f>
        <v/>
      </c>
      <c r="AI123" s="23">
        <f>IF(ISNUMBER(MATCH(AA123,{"Expense|employee","Expense|general_admin","Expense|marketing","Expense|utilities","Expense|other_operating"},0)),N(R123),0)+IF(ISNUMBER(MATCH(AB123,{"Expense|employee","Expense|general_admin","Expense|marketing","Expense|utilities","Expense|other_operating"},0)),N(S123),0)+IF(ISNUMBER(MATCH(AC123,{"Expense|employee","Expense|general_admin","Expense|marketing","Expense|utilities","Expense|other_operating"},0)),-N(L123),0)+IF(ISNUMBER(MATCH(AD123,{"Expense|employee","Expense|general_admin","Expense|marketing","Expense|utilities","Expense|other_operating"},0)),-N(U123),0)+IF(ISNUMBER(MATCH(AE123,{"Expense|employee","Expense|general_admin","Expense|marketing","Expense|utilities","Expense|other_operating"},0)),-N(T123),0)</f>
        <v/>
      </c>
      <c r="AJ123" s="23">
        <f>IF(AA123="Liability|payable",-N(R123),0)+IF(AB123="Liability|payable",-N(S123),0)+IF(AC123="Liability|payable",N(L123),0)+IF(AD123="Liability|payable",N(U123),0)+IF(AE123="Liability|payable",N(T123),0)</f>
        <v/>
      </c>
      <c r="AK123" s="23">
        <f>IF(AA123="Liability|accrued",-N(R123),0)+IF(AB123="Liability|accrued",-N(S123),0)+IF(AC123="Liability|accrued",N(L123),0)+IF(AD123="Liability|accrued",N(U123),0)+IF(AE123="Liability|accrued",N(T123),0)</f>
        <v/>
      </c>
      <c r="AL123" s="23">
        <f>IF(AND(N(R123)&lt;&gt;0,AA123=""),1,0)+IF(AND(N(S123)&lt;&gt;0,AB123=""),1,0)+IF(AND(N(L123)&lt;&gt;0,AC123=""),1,0)+IF(AND(N(U123)&lt;&gt;0,AD123=""),1,0)+IF(AND(N(T123)&lt;&gt;0,AE123=""),1,0)</f>
        <v/>
      </c>
    </row>
    <row r="124">
      <c r="A124" s="19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20" t="n"/>
      <c r="K124" s="20" t="n"/>
      <c r="L124" s="20" t="n"/>
      <c r="M124" s="14" t="n"/>
      <c r="N124" s="14" t="n"/>
      <c r="O124" s="14" t="n"/>
      <c r="P124" s="14" t="n"/>
      <c r="Q124" s="14" t="n"/>
      <c r="R124" s="21">
        <f>ROUND(N(H124)*N(J124)-N(K124),2)</f>
        <v/>
      </c>
      <c r="S124" s="21">
        <f>ROUND(R124*IFERROR(VLOOKUP(P124,'Tax Codes'!$A$5:$E$300,5,FALSE),0),2)</f>
        <v/>
      </c>
      <c r="T124" s="21">
        <f>ROUND(R124*IFERROR(VLOOKUP(Q124,'Tax Codes'!$A$5:$E$300,5,FALSE),0),2)</f>
        <v/>
      </c>
      <c r="U124" s="21">
        <f>R124+S124-T124-N(L124)</f>
        <v/>
      </c>
      <c r="V124" s="16">
        <f>IF(C124="",INDEX('Chart of Accounts'!$A$5:$A$3000,MATCH("materials",'Chart of Accounts'!$F$5:$F$3000,0)),C124&amp;"")</f>
        <v/>
      </c>
      <c r="W124" s="16">
        <f>IF(N124="",INDEX('Chart of Accounts'!$A$5:$A$3000,MATCH("bank",'Chart of Accounts'!$F$5:$F$3000,0)),N124&amp;"")</f>
        <v/>
      </c>
      <c r="X124" s="16">
        <f>IF(O124="",INDEX('Chart of Accounts'!$A$5:$A$3000,MATCH("ap",'Chart of Accounts'!$F$5:$F$3000,0)),O124&amp;"")</f>
        <v/>
      </c>
      <c r="Y124" s="16">
        <f>INDEX('Chart of Accounts'!$A$5:$A$3000,MATCH("vat_input",'Chart of Accounts'!$F$5:$F$3000,0))</f>
        <v/>
      </c>
      <c r="Z124" s="16">
        <f>INDEX('Chart of Accounts'!$A$5:$A$3000,MATCH("wht_payable",'Chart of Accounts'!$F$5:$F$3000,0))</f>
        <v/>
      </c>
      <c r="AA124" s="23">
        <f>IFERROR(INDEX('Chart of Accounts'!$C$5:$C$3000,MATCH(V124&amp;"",'Chart of Accounts'!$A$5:$A$3000,0))&amp;"|"&amp;INDEX('Chart of Accounts'!$D$5:$D$3000,MATCH(V124&amp;"",'Chart of Accounts'!$A$5:$A$3000,0)),"")</f>
        <v/>
      </c>
      <c r="AB124" s="23">
        <f>IFERROR(INDEX('Chart of Accounts'!$C$5:$C$3000,MATCH(Y124&amp;"",'Chart of Accounts'!$A$5:$A$3000,0))&amp;"|"&amp;INDEX('Chart of Accounts'!$D$5:$D$3000,MATCH(Y124&amp;"",'Chart of Accounts'!$A$5:$A$3000,0)),"")</f>
        <v/>
      </c>
      <c r="AC124" s="23">
        <f>IFERROR(INDEX('Chart of Accounts'!$C$5:$C$3000,MATCH(W124&amp;"",'Chart of Accounts'!$A$5:$A$3000,0))&amp;"|"&amp;INDEX('Chart of Accounts'!$D$5:$D$3000,MATCH(W124&amp;"",'Chart of Accounts'!$A$5:$A$3000,0)),"")</f>
        <v/>
      </c>
      <c r="AD124" s="23">
        <f>IFERROR(INDEX('Chart of Accounts'!$C$5:$C$3000,MATCH(X124&amp;"",'Chart of Accounts'!$A$5:$A$3000,0))&amp;"|"&amp;INDEX('Chart of Accounts'!$D$5:$D$3000,MATCH(X124&amp;"",'Chart of Accounts'!$A$5:$A$3000,0)),"")</f>
        <v/>
      </c>
      <c r="AE124" s="23">
        <f>IFERROR(INDEX('Chart of Accounts'!$C$5:$C$3000,MATCH(Z124&amp;"",'Chart of Accounts'!$A$5:$A$3000,0))&amp;"|"&amp;INDEX('Chart of Accounts'!$D$5:$D$3000,MATCH(Z124&amp;"",'Chart of Accounts'!$A$5:$A$3000,0)),"")</f>
        <v/>
      </c>
      <c r="AF124" s="23">
        <f>IF(LEFT(AA124,8)="Revenue|",-N(R124),0)+IF(LEFT(AB124,8)="Revenue|",-N(S124),0)+IF(LEFT(AC124,8)="Revenue|",N(L124),0)+IF(LEFT(AD124,8)="Revenue|",N(U124),0)+IF(LEFT(AE124,8)="Revenue|",N(T124),0)</f>
        <v/>
      </c>
      <c r="AG124" s="23">
        <f>IF(LEFT(AA124,5)="COGS|",N(R124),0)+IF(LEFT(AB124,5)="COGS|",N(S124),0)+IF(LEFT(AC124,5)="COGS|",-N(L124),0)+IF(LEFT(AD124,5)="COGS|",-N(U124),0)+IF(LEFT(AE124,5)="COGS|",-N(T124),0)</f>
        <v/>
      </c>
      <c r="AH124" s="23">
        <f>IF(LEFT(AA124,8)="Expense|",N(R124),0)+IF(LEFT(AB124,8)="Expense|",N(S124),0)+IF(LEFT(AC124,8)="Expense|",-N(L124),0)+IF(LEFT(AD124,8)="Expense|",-N(U124),0)+IF(LEFT(AE124,8)="Expense|",-N(T124),0)</f>
        <v/>
      </c>
      <c r="AI124" s="23">
        <f>IF(ISNUMBER(MATCH(AA124,{"Expense|employee","Expense|general_admin","Expense|marketing","Expense|utilities","Expense|other_operating"},0)),N(R124),0)+IF(ISNUMBER(MATCH(AB124,{"Expense|employee","Expense|general_admin","Expense|marketing","Expense|utilities","Expense|other_operating"},0)),N(S124),0)+IF(ISNUMBER(MATCH(AC124,{"Expense|employee","Expense|general_admin","Expense|marketing","Expense|utilities","Expense|other_operating"},0)),-N(L124),0)+IF(ISNUMBER(MATCH(AD124,{"Expense|employee","Expense|general_admin","Expense|marketing","Expense|utilities","Expense|other_operating"},0)),-N(U124),0)+IF(ISNUMBER(MATCH(AE124,{"Expense|employee","Expense|general_admin","Expense|marketing","Expense|utilities","Expense|other_operating"},0)),-N(T124),0)</f>
        <v/>
      </c>
      <c r="AJ124" s="23">
        <f>IF(AA124="Liability|payable",-N(R124),0)+IF(AB124="Liability|payable",-N(S124),0)+IF(AC124="Liability|payable",N(L124),0)+IF(AD124="Liability|payable",N(U124),0)+IF(AE124="Liability|payable",N(T124),0)</f>
        <v/>
      </c>
      <c r="AK124" s="23">
        <f>IF(AA124="Liability|accrued",-N(R124),0)+IF(AB124="Liability|accrued",-N(S124),0)+IF(AC124="Liability|accrued",N(L124),0)+IF(AD124="Liability|accrued",N(U124),0)+IF(AE124="Liability|accrued",N(T124),0)</f>
        <v/>
      </c>
      <c r="AL124" s="23">
        <f>IF(AND(N(R124)&lt;&gt;0,AA124=""),1,0)+IF(AND(N(S124)&lt;&gt;0,AB124=""),1,0)+IF(AND(N(L124)&lt;&gt;0,AC124=""),1,0)+IF(AND(N(U124)&lt;&gt;0,AD124=""),1,0)+IF(AND(N(T124)&lt;&gt;0,AE124=""),1,0)</f>
        <v/>
      </c>
    </row>
    <row r="125">
      <c r="A125" s="19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20" t="n"/>
      <c r="K125" s="20" t="n"/>
      <c r="L125" s="20" t="n"/>
      <c r="M125" s="14" t="n"/>
      <c r="N125" s="14" t="n"/>
      <c r="O125" s="14" t="n"/>
      <c r="P125" s="14" t="n"/>
      <c r="Q125" s="14" t="n"/>
      <c r="R125" s="21">
        <f>ROUND(N(H125)*N(J125)-N(K125),2)</f>
        <v/>
      </c>
      <c r="S125" s="21">
        <f>ROUND(R125*IFERROR(VLOOKUP(P125,'Tax Codes'!$A$5:$E$300,5,FALSE),0),2)</f>
        <v/>
      </c>
      <c r="T125" s="21">
        <f>ROUND(R125*IFERROR(VLOOKUP(Q125,'Tax Codes'!$A$5:$E$300,5,FALSE),0),2)</f>
        <v/>
      </c>
      <c r="U125" s="21">
        <f>R125+S125-T125-N(L125)</f>
        <v/>
      </c>
      <c r="V125" s="16">
        <f>IF(C125="",INDEX('Chart of Accounts'!$A$5:$A$3000,MATCH("materials",'Chart of Accounts'!$F$5:$F$3000,0)),C125&amp;"")</f>
        <v/>
      </c>
      <c r="W125" s="16">
        <f>IF(N125="",INDEX('Chart of Accounts'!$A$5:$A$3000,MATCH("bank",'Chart of Accounts'!$F$5:$F$3000,0)),N125&amp;"")</f>
        <v/>
      </c>
      <c r="X125" s="16">
        <f>IF(O125="",INDEX('Chart of Accounts'!$A$5:$A$3000,MATCH("ap",'Chart of Accounts'!$F$5:$F$3000,0)),O125&amp;"")</f>
        <v/>
      </c>
      <c r="Y125" s="16">
        <f>INDEX('Chart of Accounts'!$A$5:$A$3000,MATCH("vat_input",'Chart of Accounts'!$F$5:$F$3000,0))</f>
        <v/>
      </c>
      <c r="Z125" s="16">
        <f>INDEX('Chart of Accounts'!$A$5:$A$3000,MATCH("wht_payable",'Chart of Accounts'!$F$5:$F$3000,0))</f>
        <v/>
      </c>
      <c r="AA125" s="23">
        <f>IFERROR(INDEX('Chart of Accounts'!$C$5:$C$3000,MATCH(V125&amp;"",'Chart of Accounts'!$A$5:$A$3000,0))&amp;"|"&amp;INDEX('Chart of Accounts'!$D$5:$D$3000,MATCH(V125&amp;"",'Chart of Accounts'!$A$5:$A$3000,0)),"")</f>
        <v/>
      </c>
      <c r="AB125" s="23">
        <f>IFERROR(INDEX('Chart of Accounts'!$C$5:$C$3000,MATCH(Y125&amp;"",'Chart of Accounts'!$A$5:$A$3000,0))&amp;"|"&amp;INDEX('Chart of Accounts'!$D$5:$D$3000,MATCH(Y125&amp;"",'Chart of Accounts'!$A$5:$A$3000,0)),"")</f>
        <v/>
      </c>
      <c r="AC125" s="23">
        <f>IFERROR(INDEX('Chart of Accounts'!$C$5:$C$3000,MATCH(W125&amp;"",'Chart of Accounts'!$A$5:$A$3000,0))&amp;"|"&amp;INDEX('Chart of Accounts'!$D$5:$D$3000,MATCH(W125&amp;"",'Chart of Accounts'!$A$5:$A$3000,0)),"")</f>
        <v/>
      </c>
      <c r="AD125" s="23">
        <f>IFERROR(INDEX('Chart of Accounts'!$C$5:$C$3000,MATCH(X125&amp;"",'Chart of Accounts'!$A$5:$A$3000,0))&amp;"|"&amp;INDEX('Chart of Accounts'!$D$5:$D$3000,MATCH(X125&amp;"",'Chart of Accounts'!$A$5:$A$3000,0)),"")</f>
        <v/>
      </c>
      <c r="AE125" s="23">
        <f>IFERROR(INDEX('Chart of Accounts'!$C$5:$C$3000,MATCH(Z125&amp;"",'Chart of Accounts'!$A$5:$A$3000,0))&amp;"|"&amp;INDEX('Chart of Accounts'!$D$5:$D$3000,MATCH(Z125&amp;"",'Chart of Accounts'!$A$5:$A$3000,0)),"")</f>
        <v/>
      </c>
      <c r="AF125" s="23">
        <f>IF(LEFT(AA125,8)="Revenue|",-N(R125),0)+IF(LEFT(AB125,8)="Revenue|",-N(S125),0)+IF(LEFT(AC125,8)="Revenue|",N(L125),0)+IF(LEFT(AD125,8)="Revenue|",N(U125),0)+IF(LEFT(AE125,8)="Revenue|",N(T125),0)</f>
        <v/>
      </c>
      <c r="AG125" s="23">
        <f>IF(LEFT(AA125,5)="COGS|",N(R125),0)+IF(LEFT(AB125,5)="COGS|",N(S125),0)+IF(LEFT(AC125,5)="COGS|",-N(L125),0)+IF(LEFT(AD125,5)="COGS|",-N(U125),0)+IF(LEFT(AE125,5)="COGS|",-N(T125),0)</f>
        <v/>
      </c>
      <c r="AH125" s="23">
        <f>IF(LEFT(AA125,8)="Expense|",N(R125),0)+IF(LEFT(AB125,8)="Expense|",N(S125),0)+IF(LEFT(AC125,8)="Expense|",-N(L125),0)+IF(LEFT(AD125,8)="Expense|",-N(U125),0)+IF(LEFT(AE125,8)="Expense|",-N(T125),0)</f>
        <v/>
      </c>
      <c r="AI125" s="23">
        <f>IF(ISNUMBER(MATCH(AA125,{"Expense|employee","Expense|general_admin","Expense|marketing","Expense|utilities","Expense|other_operating"},0)),N(R125),0)+IF(ISNUMBER(MATCH(AB125,{"Expense|employee","Expense|general_admin","Expense|marketing","Expense|utilities","Expense|other_operating"},0)),N(S125),0)+IF(ISNUMBER(MATCH(AC125,{"Expense|employee","Expense|general_admin","Expense|marketing","Expense|utilities","Expense|other_operating"},0)),-N(L125),0)+IF(ISNUMBER(MATCH(AD125,{"Expense|employee","Expense|general_admin","Expense|marketing","Expense|utilities","Expense|other_operating"},0)),-N(U125),0)+IF(ISNUMBER(MATCH(AE125,{"Expense|employee","Expense|general_admin","Expense|marketing","Expense|utilities","Expense|other_operating"},0)),-N(T125),0)</f>
        <v/>
      </c>
      <c r="AJ125" s="23">
        <f>IF(AA125="Liability|payable",-N(R125),0)+IF(AB125="Liability|payable",-N(S125),0)+IF(AC125="Liability|payable",N(L125),0)+IF(AD125="Liability|payable",N(U125),0)+IF(AE125="Liability|payable",N(T125),0)</f>
        <v/>
      </c>
      <c r="AK125" s="23">
        <f>IF(AA125="Liability|accrued",-N(R125),0)+IF(AB125="Liability|accrued",-N(S125),0)+IF(AC125="Liability|accrued",N(L125),0)+IF(AD125="Liability|accrued",N(U125),0)+IF(AE125="Liability|accrued",N(T125),0)</f>
        <v/>
      </c>
      <c r="AL125" s="23">
        <f>IF(AND(N(R125)&lt;&gt;0,AA125=""),1,0)+IF(AND(N(S125)&lt;&gt;0,AB125=""),1,0)+IF(AND(N(L125)&lt;&gt;0,AC125=""),1,0)+IF(AND(N(U125)&lt;&gt;0,AD125=""),1,0)+IF(AND(N(T125)&lt;&gt;0,AE125=""),1,0)</f>
        <v/>
      </c>
    </row>
    <row r="126">
      <c r="A126" s="19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20" t="n"/>
      <c r="K126" s="20" t="n"/>
      <c r="L126" s="20" t="n"/>
      <c r="M126" s="14" t="n"/>
      <c r="N126" s="14" t="n"/>
      <c r="O126" s="14" t="n"/>
      <c r="P126" s="14" t="n"/>
      <c r="Q126" s="14" t="n"/>
      <c r="R126" s="21">
        <f>ROUND(N(H126)*N(J126)-N(K126),2)</f>
        <v/>
      </c>
      <c r="S126" s="21">
        <f>ROUND(R126*IFERROR(VLOOKUP(P126,'Tax Codes'!$A$5:$E$300,5,FALSE),0),2)</f>
        <v/>
      </c>
      <c r="T126" s="21">
        <f>ROUND(R126*IFERROR(VLOOKUP(Q126,'Tax Codes'!$A$5:$E$300,5,FALSE),0),2)</f>
        <v/>
      </c>
      <c r="U126" s="21">
        <f>R126+S126-T126-N(L126)</f>
        <v/>
      </c>
      <c r="V126" s="16">
        <f>IF(C126="",INDEX('Chart of Accounts'!$A$5:$A$3000,MATCH("materials",'Chart of Accounts'!$F$5:$F$3000,0)),C126&amp;"")</f>
        <v/>
      </c>
      <c r="W126" s="16">
        <f>IF(N126="",INDEX('Chart of Accounts'!$A$5:$A$3000,MATCH("bank",'Chart of Accounts'!$F$5:$F$3000,0)),N126&amp;"")</f>
        <v/>
      </c>
      <c r="X126" s="16">
        <f>IF(O126="",INDEX('Chart of Accounts'!$A$5:$A$3000,MATCH("ap",'Chart of Accounts'!$F$5:$F$3000,0)),O126&amp;"")</f>
        <v/>
      </c>
      <c r="Y126" s="16">
        <f>INDEX('Chart of Accounts'!$A$5:$A$3000,MATCH("vat_input",'Chart of Accounts'!$F$5:$F$3000,0))</f>
        <v/>
      </c>
      <c r="Z126" s="16">
        <f>INDEX('Chart of Accounts'!$A$5:$A$3000,MATCH("wht_payable",'Chart of Accounts'!$F$5:$F$3000,0))</f>
        <v/>
      </c>
      <c r="AA126" s="23">
        <f>IFERROR(INDEX('Chart of Accounts'!$C$5:$C$3000,MATCH(V126&amp;"",'Chart of Accounts'!$A$5:$A$3000,0))&amp;"|"&amp;INDEX('Chart of Accounts'!$D$5:$D$3000,MATCH(V126&amp;"",'Chart of Accounts'!$A$5:$A$3000,0)),"")</f>
        <v/>
      </c>
      <c r="AB126" s="23">
        <f>IFERROR(INDEX('Chart of Accounts'!$C$5:$C$3000,MATCH(Y126&amp;"",'Chart of Accounts'!$A$5:$A$3000,0))&amp;"|"&amp;INDEX('Chart of Accounts'!$D$5:$D$3000,MATCH(Y126&amp;"",'Chart of Accounts'!$A$5:$A$3000,0)),"")</f>
        <v/>
      </c>
      <c r="AC126" s="23">
        <f>IFERROR(INDEX('Chart of Accounts'!$C$5:$C$3000,MATCH(W126&amp;"",'Chart of Accounts'!$A$5:$A$3000,0))&amp;"|"&amp;INDEX('Chart of Accounts'!$D$5:$D$3000,MATCH(W126&amp;"",'Chart of Accounts'!$A$5:$A$3000,0)),"")</f>
        <v/>
      </c>
      <c r="AD126" s="23">
        <f>IFERROR(INDEX('Chart of Accounts'!$C$5:$C$3000,MATCH(X126&amp;"",'Chart of Accounts'!$A$5:$A$3000,0))&amp;"|"&amp;INDEX('Chart of Accounts'!$D$5:$D$3000,MATCH(X126&amp;"",'Chart of Accounts'!$A$5:$A$3000,0)),"")</f>
        <v/>
      </c>
      <c r="AE126" s="23">
        <f>IFERROR(INDEX('Chart of Accounts'!$C$5:$C$3000,MATCH(Z126&amp;"",'Chart of Accounts'!$A$5:$A$3000,0))&amp;"|"&amp;INDEX('Chart of Accounts'!$D$5:$D$3000,MATCH(Z126&amp;"",'Chart of Accounts'!$A$5:$A$3000,0)),"")</f>
        <v/>
      </c>
      <c r="AF126" s="23">
        <f>IF(LEFT(AA126,8)="Revenue|",-N(R126),0)+IF(LEFT(AB126,8)="Revenue|",-N(S126),0)+IF(LEFT(AC126,8)="Revenue|",N(L126),0)+IF(LEFT(AD126,8)="Revenue|",N(U126),0)+IF(LEFT(AE126,8)="Revenue|",N(T126),0)</f>
        <v/>
      </c>
      <c r="AG126" s="23">
        <f>IF(LEFT(AA126,5)="COGS|",N(R126),0)+IF(LEFT(AB126,5)="COGS|",N(S126),0)+IF(LEFT(AC126,5)="COGS|",-N(L126),0)+IF(LEFT(AD126,5)="COGS|",-N(U126),0)+IF(LEFT(AE126,5)="COGS|",-N(T126),0)</f>
        <v/>
      </c>
      <c r="AH126" s="23">
        <f>IF(LEFT(AA126,8)="Expense|",N(R126),0)+IF(LEFT(AB126,8)="Expense|",N(S126),0)+IF(LEFT(AC126,8)="Expense|",-N(L126),0)+IF(LEFT(AD126,8)="Expense|",-N(U126),0)+IF(LEFT(AE126,8)="Expense|",-N(T126),0)</f>
        <v/>
      </c>
      <c r="AI126" s="23">
        <f>IF(ISNUMBER(MATCH(AA126,{"Expense|employee","Expense|general_admin","Expense|marketing","Expense|utilities","Expense|other_operating"},0)),N(R126),0)+IF(ISNUMBER(MATCH(AB126,{"Expense|employee","Expense|general_admin","Expense|marketing","Expense|utilities","Expense|other_operating"},0)),N(S126),0)+IF(ISNUMBER(MATCH(AC126,{"Expense|employee","Expense|general_admin","Expense|marketing","Expense|utilities","Expense|other_operating"},0)),-N(L126),0)+IF(ISNUMBER(MATCH(AD126,{"Expense|employee","Expense|general_admin","Expense|marketing","Expense|utilities","Expense|other_operating"},0)),-N(U126),0)+IF(ISNUMBER(MATCH(AE126,{"Expense|employee","Expense|general_admin","Expense|marketing","Expense|utilities","Expense|other_operating"},0)),-N(T126),0)</f>
        <v/>
      </c>
      <c r="AJ126" s="23">
        <f>IF(AA126="Liability|payable",-N(R126),0)+IF(AB126="Liability|payable",-N(S126),0)+IF(AC126="Liability|payable",N(L126),0)+IF(AD126="Liability|payable",N(U126),0)+IF(AE126="Liability|payable",N(T126),0)</f>
        <v/>
      </c>
      <c r="AK126" s="23">
        <f>IF(AA126="Liability|accrued",-N(R126),0)+IF(AB126="Liability|accrued",-N(S126),0)+IF(AC126="Liability|accrued",N(L126),0)+IF(AD126="Liability|accrued",N(U126),0)+IF(AE126="Liability|accrued",N(T126),0)</f>
        <v/>
      </c>
      <c r="AL126" s="23">
        <f>IF(AND(N(R126)&lt;&gt;0,AA126=""),1,0)+IF(AND(N(S126)&lt;&gt;0,AB126=""),1,0)+IF(AND(N(L126)&lt;&gt;0,AC126=""),1,0)+IF(AND(N(U126)&lt;&gt;0,AD126=""),1,0)+IF(AND(N(T126)&lt;&gt;0,AE126=""),1,0)</f>
        <v/>
      </c>
    </row>
    <row r="127">
      <c r="A127" s="19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20" t="n"/>
      <c r="K127" s="20" t="n"/>
      <c r="L127" s="20" t="n"/>
      <c r="M127" s="14" t="n"/>
      <c r="N127" s="14" t="n"/>
      <c r="O127" s="14" t="n"/>
      <c r="P127" s="14" t="n"/>
      <c r="Q127" s="14" t="n"/>
      <c r="R127" s="21">
        <f>ROUND(N(H127)*N(J127)-N(K127),2)</f>
        <v/>
      </c>
      <c r="S127" s="21">
        <f>ROUND(R127*IFERROR(VLOOKUP(P127,'Tax Codes'!$A$5:$E$300,5,FALSE),0),2)</f>
        <v/>
      </c>
      <c r="T127" s="21">
        <f>ROUND(R127*IFERROR(VLOOKUP(Q127,'Tax Codes'!$A$5:$E$300,5,FALSE),0),2)</f>
        <v/>
      </c>
      <c r="U127" s="21">
        <f>R127+S127-T127-N(L127)</f>
        <v/>
      </c>
      <c r="V127" s="16">
        <f>IF(C127="",INDEX('Chart of Accounts'!$A$5:$A$3000,MATCH("materials",'Chart of Accounts'!$F$5:$F$3000,0)),C127&amp;"")</f>
        <v/>
      </c>
      <c r="W127" s="16">
        <f>IF(N127="",INDEX('Chart of Accounts'!$A$5:$A$3000,MATCH("bank",'Chart of Accounts'!$F$5:$F$3000,0)),N127&amp;"")</f>
        <v/>
      </c>
      <c r="X127" s="16">
        <f>IF(O127="",INDEX('Chart of Accounts'!$A$5:$A$3000,MATCH("ap",'Chart of Accounts'!$F$5:$F$3000,0)),O127&amp;"")</f>
        <v/>
      </c>
      <c r="Y127" s="16">
        <f>INDEX('Chart of Accounts'!$A$5:$A$3000,MATCH("vat_input",'Chart of Accounts'!$F$5:$F$3000,0))</f>
        <v/>
      </c>
      <c r="Z127" s="16">
        <f>INDEX('Chart of Accounts'!$A$5:$A$3000,MATCH("wht_payable",'Chart of Accounts'!$F$5:$F$3000,0))</f>
        <v/>
      </c>
      <c r="AA127" s="23">
        <f>IFERROR(INDEX('Chart of Accounts'!$C$5:$C$3000,MATCH(V127&amp;"",'Chart of Accounts'!$A$5:$A$3000,0))&amp;"|"&amp;INDEX('Chart of Accounts'!$D$5:$D$3000,MATCH(V127&amp;"",'Chart of Accounts'!$A$5:$A$3000,0)),"")</f>
        <v/>
      </c>
      <c r="AB127" s="23">
        <f>IFERROR(INDEX('Chart of Accounts'!$C$5:$C$3000,MATCH(Y127&amp;"",'Chart of Accounts'!$A$5:$A$3000,0))&amp;"|"&amp;INDEX('Chart of Accounts'!$D$5:$D$3000,MATCH(Y127&amp;"",'Chart of Accounts'!$A$5:$A$3000,0)),"")</f>
        <v/>
      </c>
      <c r="AC127" s="23">
        <f>IFERROR(INDEX('Chart of Accounts'!$C$5:$C$3000,MATCH(W127&amp;"",'Chart of Accounts'!$A$5:$A$3000,0))&amp;"|"&amp;INDEX('Chart of Accounts'!$D$5:$D$3000,MATCH(W127&amp;"",'Chart of Accounts'!$A$5:$A$3000,0)),"")</f>
        <v/>
      </c>
      <c r="AD127" s="23">
        <f>IFERROR(INDEX('Chart of Accounts'!$C$5:$C$3000,MATCH(X127&amp;"",'Chart of Accounts'!$A$5:$A$3000,0))&amp;"|"&amp;INDEX('Chart of Accounts'!$D$5:$D$3000,MATCH(X127&amp;"",'Chart of Accounts'!$A$5:$A$3000,0)),"")</f>
        <v/>
      </c>
      <c r="AE127" s="23">
        <f>IFERROR(INDEX('Chart of Accounts'!$C$5:$C$3000,MATCH(Z127&amp;"",'Chart of Accounts'!$A$5:$A$3000,0))&amp;"|"&amp;INDEX('Chart of Accounts'!$D$5:$D$3000,MATCH(Z127&amp;"",'Chart of Accounts'!$A$5:$A$3000,0)),"")</f>
        <v/>
      </c>
      <c r="AF127" s="23">
        <f>IF(LEFT(AA127,8)="Revenue|",-N(R127),0)+IF(LEFT(AB127,8)="Revenue|",-N(S127),0)+IF(LEFT(AC127,8)="Revenue|",N(L127),0)+IF(LEFT(AD127,8)="Revenue|",N(U127),0)+IF(LEFT(AE127,8)="Revenue|",N(T127),0)</f>
        <v/>
      </c>
      <c r="AG127" s="23">
        <f>IF(LEFT(AA127,5)="COGS|",N(R127),0)+IF(LEFT(AB127,5)="COGS|",N(S127),0)+IF(LEFT(AC127,5)="COGS|",-N(L127),0)+IF(LEFT(AD127,5)="COGS|",-N(U127),0)+IF(LEFT(AE127,5)="COGS|",-N(T127),0)</f>
        <v/>
      </c>
      <c r="AH127" s="23">
        <f>IF(LEFT(AA127,8)="Expense|",N(R127),0)+IF(LEFT(AB127,8)="Expense|",N(S127),0)+IF(LEFT(AC127,8)="Expense|",-N(L127),0)+IF(LEFT(AD127,8)="Expense|",-N(U127),0)+IF(LEFT(AE127,8)="Expense|",-N(T127),0)</f>
        <v/>
      </c>
      <c r="AI127" s="23">
        <f>IF(ISNUMBER(MATCH(AA127,{"Expense|employee","Expense|general_admin","Expense|marketing","Expense|utilities","Expense|other_operating"},0)),N(R127),0)+IF(ISNUMBER(MATCH(AB127,{"Expense|employee","Expense|general_admin","Expense|marketing","Expense|utilities","Expense|other_operating"},0)),N(S127),0)+IF(ISNUMBER(MATCH(AC127,{"Expense|employee","Expense|general_admin","Expense|marketing","Expense|utilities","Expense|other_operating"},0)),-N(L127),0)+IF(ISNUMBER(MATCH(AD127,{"Expense|employee","Expense|general_admin","Expense|marketing","Expense|utilities","Expense|other_operating"},0)),-N(U127),0)+IF(ISNUMBER(MATCH(AE127,{"Expense|employee","Expense|general_admin","Expense|marketing","Expense|utilities","Expense|other_operating"},0)),-N(T127),0)</f>
        <v/>
      </c>
      <c r="AJ127" s="23">
        <f>IF(AA127="Liability|payable",-N(R127),0)+IF(AB127="Liability|payable",-N(S127),0)+IF(AC127="Liability|payable",N(L127),0)+IF(AD127="Liability|payable",N(U127),0)+IF(AE127="Liability|payable",N(T127),0)</f>
        <v/>
      </c>
      <c r="AK127" s="23">
        <f>IF(AA127="Liability|accrued",-N(R127),0)+IF(AB127="Liability|accrued",-N(S127),0)+IF(AC127="Liability|accrued",N(L127),0)+IF(AD127="Liability|accrued",N(U127),0)+IF(AE127="Liability|accrued",N(T127),0)</f>
        <v/>
      </c>
      <c r="AL127" s="23">
        <f>IF(AND(N(R127)&lt;&gt;0,AA127=""),1,0)+IF(AND(N(S127)&lt;&gt;0,AB127=""),1,0)+IF(AND(N(L127)&lt;&gt;0,AC127=""),1,0)+IF(AND(N(U127)&lt;&gt;0,AD127=""),1,0)+IF(AND(N(T127)&lt;&gt;0,AE127=""),1,0)</f>
        <v/>
      </c>
    </row>
    <row r="128">
      <c r="A128" s="19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20" t="n"/>
      <c r="K128" s="20" t="n"/>
      <c r="L128" s="20" t="n"/>
      <c r="M128" s="14" t="n"/>
      <c r="N128" s="14" t="n"/>
      <c r="O128" s="14" t="n"/>
      <c r="P128" s="14" t="n"/>
      <c r="Q128" s="14" t="n"/>
      <c r="R128" s="21">
        <f>ROUND(N(H128)*N(J128)-N(K128),2)</f>
        <v/>
      </c>
      <c r="S128" s="21">
        <f>ROUND(R128*IFERROR(VLOOKUP(P128,'Tax Codes'!$A$5:$E$300,5,FALSE),0),2)</f>
        <v/>
      </c>
      <c r="T128" s="21">
        <f>ROUND(R128*IFERROR(VLOOKUP(Q128,'Tax Codes'!$A$5:$E$300,5,FALSE),0),2)</f>
        <v/>
      </c>
      <c r="U128" s="21">
        <f>R128+S128-T128-N(L128)</f>
        <v/>
      </c>
      <c r="V128" s="16">
        <f>IF(C128="",INDEX('Chart of Accounts'!$A$5:$A$3000,MATCH("materials",'Chart of Accounts'!$F$5:$F$3000,0)),C128&amp;"")</f>
        <v/>
      </c>
      <c r="W128" s="16">
        <f>IF(N128="",INDEX('Chart of Accounts'!$A$5:$A$3000,MATCH("bank",'Chart of Accounts'!$F$5:$F$3000,0)),N128&amp;"")</f>
        <v/>
      </c>
      <c r="X128" s="16">
        <f>IF(O128="",INDEX('Chart of Accounts'!$A$5:$A$3000,MATCH("ap",'Chart of Accounts'!$F$5:$F$3000,0)),O128&amp;"")</f>
        <v/>
      </c>
      <c r="Y128" s="16">
        <f>INDEX('Chart of Accounts'!$A$5:$A$3000,MATCH("vat_input",'Chart of Accounts'!$F$5:$F$3000,0))</f>
        <v/>
      </c>
      <c r="Z128" s="16">
        <f>INDEX('Chart of Accounts'!$A$5:$A$3000,MATCH("wht_payable",'Chart of Accounts'!$F$5:$F$3000,0))</f>
        <v/>
      </c>
      <c r="AA128" s="23">
        <f>IFERROR(INDEX('Chart of Accounts'!$C$5:$C$3000,MATCH(V128&amp;"",'Chart of Accounts'!$A$5:$A$3000,0))&amp;"|"&amp;INDEX('Chart of Accounts'!$D$5:$D$3000,MATCH(V128&amp;"",'Chart of Accounts'!$A$5:$A$3000,0)),"")</f>
        <v/>
      </c>
      <c r="AB128" s="23">
        <f>IFERROR(INDEX('Chart of Accounts'!$C$5:$C$3000,MATCH(Y128&amp;"",'Chart of Accounts'!$A$5:$A$3000,0))&amp;"|"&amp;INDEX('Chart of Accounts'!$D$5:$D$3000,MATCH(Y128&amp;"",'Chart of Accounts'!$A$5:$A$3000,0)),"")</f>
        <v/>
      </c>
      <c r="AC128" s="23">
        <f>IFERROR(INDEX('Chart of Accounts'!$C$5:$C$3000,MATCH(W128&amp;"",'Chart of Accounts'!$A$5:$A$3000,0))&amp;"|"&amp;INDEX('Chart of Accounts'!$D$5:$D$3000,MATCH(W128&amp;"",'Chart of Accounts'!$A$5:$A$3000,0)),"")</f>
        <v/>
      </c>
      <c r="AD128" s="23">
        <f>IFERROR(INDEX('Chart of Accounts'!$C$5:$C$3000,MATCH(X128&amp;"",'Chart of Accounts'!$A$5:$A$3000,0))&amp;"|"&amp;INDEX('Chart of Accounts'!$D$5:$D$3000,MATCH(X128&amp;"",'Chart of Accounts'!$A$5:$A$3000,0)),"")</f>
        <v/>
      </c>
      <c r="AE128" s="23">
        <f>IFERROR(INDEX('Chart of Accounts'!$C$5:$C$3000,MATCH(Z128&amp;"",'Chart of Accounts'!$A$5:$A$3000,0))&amp;"|"&amp;INDEX('Chart of Accounts'!$D$5:$D$3000,MATCH(Z128&amp;"",'Chart of Accounts'!$A$5:$A$3000,0)),"")</f>
        <v/>
      </c>
      <c r="AF128" s="23">
        <f>IF(LEFT(AA128,8)="Revenue|",-N(R128),0)+IF(LEFT(AB128,8)="Revenue|",-N(S128),0)+IF(LEFT(AC128,8)="Revenue|",N(L128),0)+IF(LEFT(AD128,8)="Revenue|",N(U128),0)+IF(LEFT(AE128,8)="Revenue|",N(T128),0)</f>
        <v/>
      </c>
      <c r="AG128" s="23">
        <f>IF(LEFT(AA128,5)="COGS|",N(R128),0)+IF(LEFT(AB128,5)="COGS|",N(S128),0)+IF(LEFT(AC128,5)="COGS|",-N(L128),0)+IF(LEFT(AD128,5)="COGS|",-N(U128),0)+IF(LEFT(AE128,5)="COGS|",-N(T128),0)</f>
        <v/>
      </c>
      <c r="AH128" s="23">
        <f>IF(LEFT(AA128,8)="Expense|",N(R128),0)+IF(LEFT(AB128,8)="Expense|",N(S128),0)+IF(LEFT(AC128,8)="Expense|",-N(L128),0)+IF(LEFT(AD128,8)="Expense|",-N(U128),0)+IF(LEFT(AE128,8)="Expense|",-N(T128),0)</f>
        <v/>
      </c>
      <c r="AI128" s="23">
        <f>IF(ISNUMBER(MATCH(AA128,{"Expense|employee","Expense|general_admin","Expense|marketing","Expense|utilities","Expense|other_operating"},0)),N(R128),0)+IF(ISNUMBER(MATCH(AB128,{"Expense|employee","Expense|general_admin","Expense|marketing","Expense|utilities","Expense|other_operating"},0)),N(S128),0)+IF(ISNUMBER(MATCH(AC128,{"Expense|employee","Expense|general_admin","Expense|marketing","Expense|utilities","Expense|other_operating"},0)),-N(L128),0)+IF(ISNUMBER(MATCH(AD128,{"Expense|employee","Expense|general_admin","Expense|marketing","Expense|utilities","Expense|other_operating"},0)),-N(U128),0)+IF(ISNUMBER(MATCH(AE128,{"Expense|employee","Expense|general_admin","Expense|marketing","Expense|utilities","Expense|other_operating"},0)),-N(T128),0)</f>
        <v/>
      </c>
      <c r="AJ128" s="23">
        <f>IF(AA128="Liability|payable",-N(R128),0)+IF(AB128="Liability|payable",-N(S128),0)+IF(AC128="Liability|payable",N(L128),0)+IF(AD128="Liability|payable",N(U128),0)+IF(AE128="Liability|payable",N(T128),0)</f>
        <v/>
      </c>
      <c r="AK128" s="23">
        <f>IF(AA128="Liability|accrued",-N(R128),0)+IF(AB128="Liability|accrued",-N(S128),0)+IF(AC128="Liability|accrued",N(L128),0)+IF(AD128="Liability|accrued",N(U128),0)+IF(AE128="Liability|accrued",N(T128),0)</f>
        <v/>
      </c>
      <c r="AL128" s="23">
        <f>IF(AND(N(R128)&lt;&gt;0,AA128=""),1,0)+IF(AND(N(S128)&lt;&gt;0,AB128=""),1,0)+IF(AND(N(L128)&lt;&gt;0,AC128=""),1,0)+IF(AND(N(U128)&lt;&gt;0,AD128=""),1,0)+IF(AND(N(T128)&lt;&gt;0,AE128=""),1,0)</f>
        <v/>
      </c>
    </row>
    <row r="129">
      <c r="A129" s="19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20" t="n"/>
      <c r="K129" s="20" t="n"/>
      <c r="L129" s="20" t="n"/>
      <c r="M129" s="14" t="n"/>
      <c r="N129" s="14" t="n"/>
      <c r="O129" s="14" t="n"/>
      <c r="P129" s="14" t="n"/>
      <c r="Q129" s="14" t="n"/>
      <c r="R129" s="21">
        <f>ROUND(N(H129)*N(J129)-N(K129),2)</f>
        <v/>
      </c>
      <c r="S129" s="21">
        <f>ROUND(R129*IFERROR(VLOOKUP(P129,'Tax Codes'!$A$5:$E$300,5,FALSE),0),2)</f>
        <v/>
      </c>
      <c r="T129" s="21">
        <f>ROUND(R129*IFERROR(VLOOKUP(Q129,'Tax Codes'!$A$5:$E$300,5,FALSE),0),2)</f>
        <v/>
      </c>
      <c r="U129" s="21">
        <f>R129+S129-T129-N(L129)</f>
        <v/>
      </c>
      <c r="V129" s="16">
        <f>IF(C129="",INDEX('Chart of Accounts'!$A$5:$A$3000,MATCH("materials",'Chart of Accounts'!$F$5:$F$3000,0)),C129&amp;"")</f>
        <v/>
      </c>
      <c r="W129" s="16">
        <f>IF(N129="",INDEX('Chart of Accounts'!$A$5:$A$3000,MATCH("bank",'Chart of Accounts'!$F$5:$F$3000,0)),N129&amp;"")</f>
        <v/>
      </c>
      <c r="X129" s="16">
        <f>IF(O129="",INDEX('Chart of Accounts'!$A$5:$A$3000,MATCH("ap",'Chart of Accounts'!$F$5:$F$3000,0)),O129&amp;"")</f>
        <v/>
      </c>
      <c r="Y129" s="16">
        <f>INDEX('Chart of Accounts'!$A$5:$A$3000,MATCH("vat_input",'Chart of Accounts'!$F$5:$F$3000,0))</f>
        <v/>
      </c>
      <c r="Z129" s="16">
        <f>INDEX('Chart of Accounts'!$A$5:$A$3000,MATCH("wht_payable",'Chart of Accounts'!$F$5:$F$3000,0))</f>
        <v/>
      </c>
      <c r="AA129" s="23">
        <f>IFERROR(INDEX('Chart of Accounts'!$C$5:$C$3000,MATCH(V129&amp;"",'Chart of Accounts'!$A$5:$A$3000,0))&amp;"|"&amp;INDEX('Chart of Accounts'!$D$5:$D$3000,MATCH(V129&amp;"",'Chart of Accounts'!$A$5:$A$3000,0)),"")</f>
        <v/>
      </c>
      <c r="AB129" s="23">
        <f>IFERROR(INDEX('Chart of Accounts'!$C$5:$C$3000,MATCH(Y129&amp;"",'Chart of Accounts'!$A$5:$A$3000,0))&amp;"|"&amp;INDEX('Chart of Accounts'!$D$5:$D$3000,MATCH(Y129&amp;"",'Chart of Accounts'!$A$5:$A$3000,0)),"")</f>
        <v/>
      </c>
      <c r="AC129" s="23">
        <f>IFERROR(INDEX('Chart of Accounts'!$C$5:$C$3000,MATCH(W129&amp;"",'Chart of Accounts'!$A$5:$A$3000,0))&amp;"|"&amp;INDEX('Chart of Accounts'!$D$5:$D$3000,MATCH(W129&amp;"",'Chart of Accounts'!$A$5:$A$3000,0)),"")</f>
        <v/>
      </c>
      <c r="AD129" s="23">
        <f>IFERROR(INDEX('Chart of Accounts'!$C$5:$C$3000,MATCH(X129&amp;"",'Chart of Accounts'!$A$5:$A$3000,0))&amp;"|"&amp;INDEX('Chart of Accounts'!$D$5:$D$3000,MATCH(X129&amp;"",'Chart of Accounts'!$A$5:$A$3000,0)),"")</f>
        <v/>
      </c>
      <c r="AE129" s="23">
        <f>IFERROR(INDEX('Chart of Accounts'!$C$5:$C$3000,MATCH(Z129&amp;"",'Chart of Accounts'!$A$5:$A$3000,0))&amp;"|"&amp;INDEX('Chart of Accounts'!$D$5:$D$3000,MATCH(Z129&amp;"",'Chart of Accounts'!$A$5:$A$3000,0)),"")</f>
        <v/>
      </c>
      <c r="AF129" s="23">
        <f>IF(LEFT(AA129,8)="Revenue|",-N(R129),0)+IF(LEFT(AB129,8)="Revenue|",-N(S129),0)+IF(LEFT(AC129,8)="Revenue|",N(L129),0)+IF(LEFT(AD129,8)="Revenue|",N(U129),0)+IF(LEFT(AE129,8)="Revenue|",N(T129),0)</f>
        <v/>
      </c>
      <c r="AG129" s="23">
        <f>IF(LEFT(AA129,5)="COGS|",N(R129),0)+IF(LEFT(AB129,5)="COGS|",N(S129),0)+IF(LEFT(AC129,5)="COGS|",-N(L129),0)+IF(LEFT(AD129,5)="COGS|",-N(U129),0)+IF(LEFT(AE129,5)="COGS|",-N(T129),0)</f>
        <v/>
      </c>
      <c r="AH129" s="23">
        <f>IF(LEFT(AA129,8)="Expense|",N(R129),0)+IF(LEFT(AB129,8)="Expense|",N(S129),0)+IF(LEFT(AC129,8)="Expense|",-N(L129),0)+IF(LEFT(AD129,8)="Expense|",-N(U129),0)+IF(LEFT(AE129,8)="Expense|",-N(T129),0)</f>
        <v/>
      </c>
      <c r="AI129" s="23">
        <f>IF(ISNUMBER(MATCH(AA129,{"Expense|employee","Expense|general_admin","Expense|marketing","Expense|utilities","Expense|other_operating"},0)),N(R129),0)+IF(ISNUMBER(MATCH(AB129,{"Expense|employee","Expense|general_admin","Expense|marketing","Expense|utilities","Expense|other_operating"},0)),N(S129),0)+IF(ISNUMBER(MATCH(AC129,{"Expense|employee","Expense|general_admin","Expense|marketing","Expense|utilities","Expense|other_operating"},0)),-N(L129),0)+IF(ISNUMBER(MATCH(AD129,{"Expense|employee","Expense|general_admin","Expense|marketing","Expense|utilities","Expense|other_operating"},0)),-N(U129),0)+IF(ISNUMBER(MATCH(AE129,{"Expense|employee","Expense|general_admin","Expense|marketing","Expense|utilities","Expense|other_operating"},0)),-N(T129),0)</f>
        <v/>
      </c>
      <c r="AJ129" s="23">
        <f>IF(AA129="Liability|payable",-N(R129),0)+IF(AB129="Liability|payable",-N(S129),0)+IF(AC129="Liability|payable",N(L129),0)+IF(AD129="Liability|payable",N(U129),0)+IF(AE129="Liability|payable",N(T129),0)</f>
        <v/>
      </c>
      <c r="AK129" s="23">
        <f>IF(AA129="Liability|accrued",-N(R129),0)+IF(AB129="Liability|accrued",-N(S129),0)+IF(AC129="Liability|accrued",N(L129),0)+IF(AD129="Liability|accrued",N(U129),0)+IF(AE129="Liability|accrued",N(T129),0)</f>
        <v/>
      </c>
      <c r="AL129" s="23">
        <f>IF(AND(N(R129)&lt;&gt;0,AA129=""),1,0)+IF(AND(N(S129)&lt;&gt;0,AB129=""),1,0)+IF(AND(N(L129)&lt;&gt;0,AC129=""),1,0)+IF(AND(N(U129)&lt;&gt;0,AD129=""),1,0)+IF(AND(N(T129)&lt;&gt;0,AE129=""),1,0)</f>
        <v/>
      </c>
    </row>
    <row r="130">
      <c r="A130" s="19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20" t="n"/>
      <c r="K130" s="20" t="n"/>
      <c r="L130" s="20" t="n"/>
      <c r="M130" s="14" t="n"/>
      <c r="N130" s="14" t="n"/>
      <c r="O130" s="14" t="n"/>
      <c r="P130" s="14" t="n"/>
      <c r="Q130" s="14" t="n"/>
      <c r="R130" s="21">
        <f>ROUND(N(H130)*N(J130)-N(K130),2)</f>
        <v/>
      </c>
      <c r="S130" s="21">
        <f>ROUND(R130*IFERROR(VLOOKUP(P130,'Tax Codes'!$A$5:$E$300,5,FALSE),0),2)</f>
        <v/>
      </c>
      <c r="T130" s="21">
        <f>ROUND(R130*IFERROR(VLOOKUP(Q130,'Tax Codes'!$A$5:$E$300,5,FALSE),0),2)</f>
        <v/>
      </c>
      <c r="U130" s="21">
        <f>R130+S130-T130-N(L130)</f>
        <v/>
      </c>
      <c r="V130" s="16">
        <f>IF(C130="",INDEX('Chart of Accounts'!$A$5:$A$3000,MATCH("materials",'Chart of Accounts'!$F$5:$F$3000,0)),C130&amp;"")</f>
        <v/>
      </c>
      <c r="W130" s="16">
        <f>IF(N130="",INDEX('Chart of Accounts'!$A$5:$A$3000,MATCH("bank",'Chart of Accounts'!$F$5:$F$3000,0)),N130&amp;"")</f>
        <v/>
      </c>
      <c r="X130" s="16">
        <f>IF(O130="",INDEX('Chart of Accounts'!$A$5:$A$3000,MATCH("ap",'Chart of Accounts'!$F$5:$F$3000,0)),O130&amp;"")</f>
        <v/>
      </c>
      <c r="Y130" s="16">
        <f>INDEX('Chart of Accounts'!$A$5:$A$3000,MATCH("vat_input",'Chart of Accounts'!$F$5:$F$3000,0))</f>
        <v/>
      </c>
      <c r="Z130" s="16">
        <f>INDEX('Chart of Accounts'!$A$5:$A$3000,MATCH("wht_payable",'Chart of Accounts'!$F$5:$F$3000,0))</f>
        <v/>
      </c>
      <c r="AA130" s="23">
        <f>IFERROR(INDEX('Chart of Accounts'!$C$5:$C$3000,MATCH(V130&amp;"",'Chart of Accounts'!$A$5:$A$3000,0))&amp;"|"&amp;INDEX('Chart of Accounts'!$D$5:$D$3000,MATCH(V130&amp;"",'Chart of Accounts'!$A$5:$A$3000,0)),"")</f>
        <v/>
      </c>
      <c r="AB130" s="23">
        <f>IFERROR(INDEX('Chart of Accounts'!$C$5:$C$3000,MATCH(Y130&amp;"",'Chart of Accounts'!$A$5:$A$3000,0))&amp;"|"&amp;INDEX('Chart of Accounts'!$D$5:$D$3000,MATCH(Y130&amp;"",'Chart of Accounts'!$A$5:$A$3000,0)),"")</f>
        <v/>
      </c>
      <c r="AC130" s="23">
        <f>IFERROR(INDEX('Chart of Accounts'!$C$5:$C$3000,MATCH(W130&amp;"",'Chart of Accounts'!$A$5:$A$3000,0))&amp;"|"&amp;INDEX('Chart of Accounts'!$D$5:$D$3000,MATCH(W130&amp;"",'Chart of Accounts'!$A$5:$A$3000,0)),"")</f>
        <v/>
      </c>
      <c r="AD130" s="23">
        <f>IFERROR(INDEX('Chart of Accounts'!$C$5:$C$3000,MATCH(X130&amp;"",'Chart of Accounts'!$A$5:$A$3000,0))&amp;"|"&amp;INDEX('Chart of Accounts'!$D$5:$D$3000,MATCH(X130&amp;"",'Chart of Accounts'!$A$5:$A$3000,0)),"")</f>
        <v/>
      </c>
      <c r="AE130" s="23">
        <f>IFERROR(INDEX('Chart of Accounts'!$C$5:$C$3000,MATCH(Z130&amp;"",'Chart of Accounts'!$A$5:$A$3000,0))&amp;"|"&amp;INDEX('Chart of Accounts'!$D$5:$D$3000,MATCH(Z130&amp;"",'Chart of Accounts'!$A$5:$A$3000,0)),"")</f>
        <v/>
      </c>
      <c r="AF130" s="23">
        <f>IF(LEFT(AA130,8)="Revenue|",-N(R130),0)+IF(LEFT(AB130,8)="Revenue|",-N(S130),0)+IF(LEFT(AC130,8)="Revenue|",N(L130),0)+IF(LEFT(AD130,8)="Revenue|",N(U130),0)+IF(LEFT(AE130,8)="Revenue|",N(T130),0)</f>
        <v/>
      </c>
      <c r="AG130" s="23">
        <f>IF(LEFT(AA130,5)="COGS|",N(R130),0)+IF(LEFT(AB130,5)="COGS|",N(S130),0)+IF(LEFT(AC130,5)="COGS|",-N(L130),0)+IF(LEFT(AD130,5)="COGS|",-N(U130),0)+IF(LEFT(AE130,5)="COGS|",-N(T130),0)</f>
        <v/>
      </c>
      <c r="AH130" s="23">
        <f>IF(LEFT(AA130,8)="Expense|",N(R130),0)+IF(LEFT(AB130,8)="Expense|",N(S130),0)+IF(LEFT(AC130,8)="Expense|",-N(L130),0)+IF(LEFT(AD130,8)="Expense|",-N(U130),0)+IF(LEFT(AE130,8)="Expense|",-N(T130),0)</f>
        <v/>
      </c>
      <c r="AI130" s="23">
        <f>IF(ISNUMBER(MATCH(AA130,{"Expense|employee","Expense|general_admin","Expense|marketing","Expense|utilities","Expense|other_operating"},0)),N(R130),0)+IF(ISNUMBER(MATCH(AB130,{"Expense|employee","Expense|general_admin","Expense|marketing","Expense|utilities","Expense|other_operating"},0)),N(S130),0)+IF(ISNUMBER(MATCH(AC130,{"Expense|employee","Expense|general_admin","Expense|marketing","Expense|utilities","Expense|other_operating"},0)),-N(L130),0)+IF(ISNUMBER(MATCH(AD130,{"Expense|employee","Expense|general_admin","Expense|marketing","Expense|utilities","Expense|other_operating"},0)),-N(U130),0)+IF(ISNUMBER(MATCH(AE130,{"Expense|employee","Expense|general_admin","Expense|marketing","Expense|utilities","Expense|other_operating"},0)),-N(T130),0)</f>
        <v/>
      </c>
      <c r="AJ130" s="23">
        <f>IF(AA130="Liability|payable",-N(R130),0)+IF(AB130="Liability|payable",-N(S130),0)+IF(AC130="Liability|payable",N(L130),0)+IF(AD130="Liability|payable",N(U130),0)+IF(AE130="Liability|payable",N(T130),0)</f>
        <v/>
      </c>
      <c r="AK130" s="23">
        <f>IF(AA130="Liability|accrued",-N(R130),0)+IF(AB130="Liability|accrued",-N(S130),0)+IF(AC130="Liability|accrued",N(L130),0)+IF(AD130="Liability|accrued",N(U130),0)+IF(AE130="Liability|accrued",N(T130),0)</f>
        <v/>
      </c>
      <c r="AL130" s="23">
        <f>IF(AND(N(R130)&lt;&gt;0,AA130=""),1,0)+IF(AND(N(S130)&lt;&gt;0,AB130=""),1,0)+IF(AND(N(L130)&lt;&gt;0,AC130=""),1,0)+IF(AND(N(U130)&lt;&gt;0,AD130=""),1,0)+IF(AND(N(T130)&lt;&gt;0,AE130=""),1,0)</f>
        <v/>
      </c>
    </row>
    <row r="131">
      <c r="A131" s="19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20" t="n"/>
      <c r="K131" s="20" t="n"/>
      <c r="L131" s="20" t="n"/>
      <c r="M131" s="14" t="n"/>
      <c r="N131" s="14" t="n"/>
      <c r="O131" s="14" t="n"/>
      <c r="P131" s="14" t="n"/>
      <c r="Q131" s="14" t="n"/>
      <c r="R131" s="21">
        <f>ROUND(N(H131)*N(J131)-N(K131),2)</f>
        <v/>
      </c>
      <c r="S131" s="21">
        <f>ROUND(R131*IFERROR(VLOOKUP(P131,'Tax Codes'!$A$5:$E$300,5,FALSE),0),2)</f>
        <v/>
      </c>
      <c r="T131" s="21">
        <f>ROUND(R131*IFERROR(VLOOKUP(Q131,'Tax Codes'!$A$5:$E$300,5,FALSE),0),2)</f>
        <v/>
      </c>
      <c r="U131" s="21">
        <f>R131+S131-T131-N(L131)</f>
        <v/>
      </c>
      <c r="V131" s="16">
        <f>IF(C131="",INDEX('Chart of Accounts'!$A$5:$A$3000,MATCH("materials",'Chart of Accounts'!$F$5:$F$3000,0)),C131&amp;"")</f>
        <v/>
      </c>
      <c r="W131" s="16">
        <f>IF(N131="",INDEX('Chart of Accounts'!$A$5:$A$3000,MATCH("bank",'Chart of Accounts'!$F$5:$F$3000,0)),N131&amp;"")</f>
        <v/>
      </c>
      <c r="X131" s="16">
        <f>IF(O131="",INDEX('Chart of Accounts'!$A$5:$A$3000,MATCH("ap",'Chart of Accounts'!$F$5:$F$3000,0)),O131&amp;"")</f>
        <v/>
      </c>
      <c r="Y131" s="16">
        <f>INDEX('Chart of Accounts'!$A$5:$A$3000,MATCH("vat_input",'Chart of Accounts'!$F$5:$F$3000,0))</f>
        <v/>
      </c>
      <c r="Z131" s="16">
        <f>INDEX('Chart of Accounts'!$A$5:$A$3000,MATCH("wht_payable",'Chart of Accounts'!$F$5:$F$3000,0))</f>
        <v/>
      </c>
      <c r="AA131" s="23">
        <f>IFERROR(INDEX('Chart of Accounts'!$C$5:$C$3000,MATCH(V131&amp;"",'Chart of Accounts'!$A$5:$A$3000,0))&amp;"|"&amp;INDEX('Chart of Accounts'!$D$5:$D$3000,MATCH(V131&amp;"",'Chart of Accounts'!$A$5:$A$3000,0)),"")</f>
        <v/>
      </c>
      <c r="AB131" s="23">
        <f>IFERROR(INDEX('Chart of Accounts'!$C$5:$C$3000,MATCH(Y131&amp;"",'Chart of Accounts'!$A$5:$A$3000,0))&amp;"|"&amp;INDEX('Chart of Accounts'!$D$5:$D$3000,MATCH(Y131&amp;"",'Chart of Accounts'!$A$5:$A$3000,0)),"")</f>
        <v/>
      </c>
      <c r="AC131" s="23">
        <f>IFERROR(INDEX('Chart of Accounts'!$C$5:$C$3000,MATCH(W131&amp;"",'Chart of Accounts'!$A$5:$A$3000,0))&amp;"|"&amp;INDEX('Chart of Accounts'!$D$5:$D$3000,MATCH(W131&amp;"",'Chart of Accounts'!$A$5:$A$3000,0)),"")</f>
        <v/>
      </c>
      <c r="AD131" s="23">
        <f>IFERROR(INDEX('Chart of Accounts'!$C$5:$C$3000,MATCH(X131&amp;"",'Chart of Accounts'!$A$5:$A$3000,0))&amp;"|"&amp;INDEX('Chart of Accounts'!$D$5:$D$3000,MATCH(X131&amp;"",'Chart of Accounts'!$A$5:$A$3000,0)),"")</f>
        <v/>
      </c>
      <c r="AE131" s="23">
        <f>IFERROR(INDEX('Chart of Accounts'!$C$5:$C$3000,MATCH(Z131&amp;"",'Chart of Accounts'!$A$5:$A$3000,0))&amp;"|"&amp;INDEX('Chart of Accounts'!$D$5:$D$3000,MATCH(Z131&amp;"",'Chart of Accounts'!$A$5:$A$3000,0)),"")</f>
        <v/>
      </c>
      <c r="AF131" s="23">
        <f>IF(LEFT(AA131,8)="Revenue|",-N(R131),0)+IF(LEFT(AB131,8)="Revenue|",-N(S131),0)+IF(LEFT(AC131,8)="Revenue|",N(L131),0)+IF(LEFT(AD131,8)="Revenue|",N(U131),0)+IF(LEFT(AE131,8)="Revenue|",N(T131),0)</f>
        <v/>
      </c>
      <c r="AG131" s="23">
        <f>IF(LEFT(AA131,5)="COGS|",N(R131),0)+IF(LEFT(AB131,5)="COGS|",N(S131),0)+IF(LEFT(AC131,5)="COGS|",-N(L131),0)+IF(LEFT(AD131,5)="COGS|",-N(U131),0)+IF(LEFT(AE131,5)="COGS|",-N(T131),0)</f>
        <v/>
      </c>
      <c r="AH131" s="23">
        <f>IF(LEFT(AA131,8)="Expense|",N(R131),0)+IF(LEFT(AB131,8)="Expense|",N(S131),0)+IF(LEFT(AC131,8)="Expense|",-N(L131),0)+IF(LEFT(AD131,8)="Expense|",-N(U131),0)+IF(LEFT(AE131,8)="Expense|",-N(T131),0)</f>
        <v/>
      </c>
      <c r="AI131" s="23">
        <f>IF(ISNUMBER(MATCH(AA131,{"Expense|employee","Expense|general_admin","Expense|marketing","Expense|utilities","Expense|other_operating"},0)),N(R131),0)+IF(ISNUMBER(MATCH(AB131,{"Expense|employee","Expense|general_admin","Expense|marketing","Expense|utilities","Expense|other_operating"},0)),N(S131),0)+IF(ISNUMBER(MATCH(AC131,{"Expense|employee","Expense|general_admin","Expense|marketing","Expense|utilities","Expense|other_operating"},0)),-N(L131),0)+IF(ISNUMBER(MATCH(AD131,{"Expense|employee","Expense|general_admin","Expense|marketing","Expense|utilities","Expense|other_operating"},0)),-N(U131),0)+IF(ISNUMBER(MATCH(AE131,{"Expense|employee","Expense|general_admin","Expense|marketing","Expense|utilities","Expense|other_operating"},0)),-N(T131),0)</f>
        <v/>
      </c>
      <c r="AJ131" s="23">
        <f>IF(AA131="Liability|payable",-N(R131),0)+IF(AB131="Liability|payable",-N(S131),0)+IF(AC131="Liability|payable",N(L131),0)+IF(AD131="Liability|payable",N(U131),0)+IF(AE131="Liability|payable",N(T131),0)</f>
        <v/>
      </c>
      <c r="AK131" s="23">
        <f>IF(AA131="Liability|accrued",-N(R131),0)+IF(AB131="Liability|accrued",-N(S131),0)+IF(AC131="Liability|accrued",N(L131),0)+IF(AD131="Liability|accrued",N(U131),0)+IF(AE131="Liability|accrued",N(T131),0)</f>
        <v/>
      </c>
      <c r="AL131" s="23">
        <f>IF(AND(N(R131)&lt;&gt;0,AA131=""),1,0)+IF(AND(N(S131)&lt;&gt;0,AB131=""),1,0)+IF(AND(N(L131)&lt;&gt;0,AC131=""),1,0)+IF(AND(N(U131)&lt;&gt;0,AD131=""),1,0)+IF(AND(N(T131)&lt;&gt;0,AE131=""),1,0)</f>
        <v/>
      </c>
    </row>
    <row r="132">
      <c r="A132" s="19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20" t="n"/>
      <c r="K132" s="20" t="n"/>
      <c r="L132" s="20" t="n"/>
      <c r="M132" s="14" t="n"/>
      <c r="N132" s="14" t="n"/>
      <c r="O132" s="14" t="n"/>
      <c r="P132" s="14" t="n"/>
      <c r="Q132" s="14" t="n"/>
      <c r="R132" s="21">
        <f>ROUND(N(H132)*N(J132)-N(K132),2)</f>
        <v/>
      </c>
      <c r="S132" s="21">
        <f>ROUND(R132*IFERROR(VLOOKUP(P132,'Tax Codes'!$A$5:$E$300,5,FALSE),0),2)</f>
        <v/>
      </c>
      <c r="T132" s="21">
        <f>ROUND(R132*IFERROR(VLOOKUP(Q132,'Tax Codes'!$A$5:$E$300,5,FALSE),0),2)</f>
        <v/>
      </c>
      <c r="U132" s="21">
        <f>R132+S132-T132-N(L132)</f>
        <v/>
      </c>
      <c r="V132" s="16">
        <f>IF(C132="",INDEX('Chart of Accounts'!$A$5:$A$3000,MATCH("materials",'Chart of Accounts'!$F$5:$F$3000,0)),C132&amp;"")</f>
        <v/>
      </c>
      <c r="W132" s="16">
        <f>IF(N132="",INDEX('Chart of Accounts'!$A$5:$A$3000,MATCH("bank",'Chart of Accounts'!$F$5:$F$3000,0)),N132&amp;"")</f>
        <v/>
      </c>
      <c r="X132" s="16">
        <f>IF(O132="",INDEX('Chart of Accounts'!$A$5:$A$3000,MATCH("ap",'Chart of Accounts'!$F$5:$F$3000,0)),O132&amp;"")</f>
        <v/>
      </c>
      <c r="Y132" s="16">
        <f>INDEX('Chart of Accounts'!$A$5:$A$3000,MATCH("vat_input",'Chart of Accounts'!$F$5:$F$3000,0))</f>
        <v/>
      </c>
      <c r="Z132" s="16">
        <f>INDEX('Chart of Accounts'!$A$5:$A$3000,MATCH("wht_payable",'Chart of Accounts'!$F$5:$F$3000,0))</f>
        <v/>
      </c>
      <c r="AA132" s="23">
        <f>IFERROR(INDEX('Chart of Accounts'!$C$5:$C$3000,MATCH(V132&amp;"",'Chart of Accounts'!$A$5:$A$3000,0))&amp;"|"&amp;INDEX('Chart of Accounts'!$D$5:$D$3000,MATCH(V132&amp;"",'Chart of Accounts'!$A$5:$A$3000,0)),"")</f>
        <v/>
      </c>
      <c r="AB132" s="23">
        <f>IFERROR(INDEX('Chart of Accounts'!$C$5:$C$3000,MATCH(Y132&amp;"",'Chart of Accounts'!$A$5:$A$3000,0))&amp;"|"&amp;INDEX('Chart of Accounts'!$D$5:$D$3000,MATCH(Y132&amp;"",'Chart of Accounts'!$A$5:$A$3000,0)),"")</f>
        <v/>
      </c>
      <c r="AC132" s="23">
        <f>IFERROR(INDEX('Chart of Accounts'!$C$5:$C$3000,MATCH(W132&amp;"",'Chart of Accounts'!$A$5:$A$3000,0))&amp;"|"&amp;INDEX('Chart of Accounts'!$D$5:$D$3000,MATCH(W132&amp;"",'Chart of Accounts'!$A$5:$A$3000,0)),"")</f>
        <v/>
      </c>
      <c r="AD132" s="23">
        <f>IFERROR(INDEX('Chart of Accounts'!$C$5:$C$3000,MATCH(X132&amp;"",'Chart of Accounts'!$A$5:$A$3000,0))&amp;"|"&amp;INDEX('Chart of Accounts'!$D$5:$D$3000,MATCH(X132&amp;"",'Chart of Accounts'!$A$5:$A$3000,0)),"")</f>
        <v/>
      </c>
      <c r="AE132" s="23">
        <f>IFERROR(INDEX('Chart of Accounts'!$C$5:$C$3000,MATCH(Z132&amp;"",'Chart of Accounts'!$A$5:$A$3000,0))&amp;"|"&amp;INDEX('Chart of Accounts'!$D$5:$D$3000,MATCH(Z132&amp;"",'Chart of Accounts'!$A$5:$A$3000,0)),"")</f>
        <v/>
      </c>
      <c r="AF132" s="23">
        <f>IF(LEFT(AA132,8)="Revenue|",-N(R132),0)+IF(LEFT(AB132,8)="Revenue|",-N(S132),0)+IF(LEFT(AC132,8)="Revenue|",N(L132),0)+IF(LEFT(AD132,8)="Revenue|",N(U132),0)+IF(LEFT(AE132,8)="Revenue|",N(T132),0)</f>
        <v/>
      </c>
      <c r="AG132" s="23">
        <f>IF(LEFT(AA132,5)="COGS|",N(R132),0)+IF(LEFT(AB132,5)="COGS|",N(S132),0)+IF(LEFT(AC132,5)="COGS|",-N(L132),0)+IF(LEFT(AD132,5)="COGS|",-N(U132),0)+IF(LEFT(AE132,5)="COGS|",-N(T132),0)</f>
        <v/>
      </c>
      <c r="AH132" s="23">
        <f>IF(LEFT(AA132,8)="Expense|",N(R132),0)+IF(LEFT(AB132,8)="Expense|",N(S132),0)+IF(LEFT(AC132,8)="Expense|",-N(L132),0)+IF(LEFT(AD132,8)="Expense|",-N(U132),0)+IF(LEFT(AE132,8)="Expense|",-N(T132),0)</f>
        <v/>
      </c>
      <c r="AI132" s="23">
        <f>IF(ISNUMBER(MATCH(AA132,{"Expense|employee","Expense|general_admin","Expense|marketing","Expense|utilities","Expense|other_operating"},0)),N(R132),0)+IF(ISNUMBER(MATCH(AB132,{"Expense|employee","Expense|general_admin","Expense|marketing","Expense|utilities","Expense|other_operating"},0)),N(S132),0)+IF(ISNUMBER(MATCH(AC132,{"Expense|employee","Expense|general_admin","Expense|marketing","Expense|utilities","Expense|other_operating"},0)),-N(L132),0)+IF(ISNUMBER(MATCH(AD132,{"Expense|employee","Expense|general_admin","Expense|marketing","Expense|utilities","Expense|other_operating"},0)),-N(U132),0)+IF(ISNUMBER(MATCH(AE132,{"Expense|employee","Expense|general_admin","Expense|marketing","Expense|utilities","Expense|other_operating"},0)),-N(T132),0)</f>
        <v/>
      </c>
      <c r="AJ132" s="23">
        <f>IF(AA132="Liability|payable",-N(R132),0)+IF(AB132="Liability|payable",-N(S132),0)+IF(AC132="Liability|payable",N(L132),0)+IF(AD132="Liability|payable",N(U132),0)+IF(AE132="Liability|payable",N(T132),0)</f>
        <v/>
      </c>
      <c r="AK132" s="23">
        <f>IF(AA132="Liability|accrued",-N(R132),0)+IF(AB132="Liability|accrued",-N(S132),0)+IF(AC132="Liability|accrued",N(L132),0)+IF(AD132="Liability|accrued",N(U132),0)+IF(AE132="Liability|accrued",N(T132),0)</f>
        <v/>
      </c>
      <c r="AL132" s="23">
        <f>IF(AND(N(R132)&lt;&gt;0,AA132=""),1,0)+IF(AND(N(S132)&lt;&gt;0,AB132=""),1,0)+IF(AND(N(L132)&lt;&gt;0,AC132=""),1,0)+IF(AND(N(U132)&lt;&gt;0,AD132=""),1,0)+IF(AND(N(T132)&lt;&gt;0,AE132=""),1,0)</f>
        <v/>
      </c>
    </row>
    <row r="133">
      <c r="A133" s="19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20" t="n"/>
      <c r="K133" s="20" t="n"/>
      <c r="L133" s="20" t="n"/>
      <c r="M133" s="14" t="n"/>
      <c r="N133" s="14" t="n"/>
      <c r="O133" s="14" t="n"/>
      <c r="P133" s="14" t="n"/>
      <c r="Q133" s="14" t="n"/>
      <c r="R133" s="21">
        <f>ROUND(N(H133)*N(J133)-N(K133),2)</f>
        <v/>
      </c>
      <c r="S133" s="21">
        <f>ROUND(R133*IFERROR(VLOOKUP(P133,'Tax Codes'!$A$5:$E$300,5,FALSE),0),2)</f>
        <v/>
      </c>
      <c r="T133" s="21">
        <f>ROUND(R133*IFERROR(VLOOKUP(Q133,'Tax Codes'!$A$5:$E$300,5,FALSE),0),2)</f>
        <v/>
      </c>
      <c r="U133" s="21">
        <f>R133+S133-T133-N(L133)</f>
        <v/>
      </c>
      <c r="V133" s="16">
        <f>IF(C133="",INDEX('Chart of Accounts'!$A$5:$A$3000,MATCH("materials",'Chart of Accounts'!$F$5:$F$3000,0)),C133&amp;"")</f>
        <v/>
      </c>
      <c r="W133" s="16">
        <f>IF(N133="",INDEX('Chart of Accounts'!$A$5:$A$3000,MATCH("bank",'Chart of Accounts'!$F$5:$F$3000,0)),N133&amp;"")</f>
        <v/>
      </c>
      <c r="X133" s="16">
        <f>IF(O133="",INDEX('Chart of Accounts'!$A$5:$A$3000,MATCH("ap",'Chart of Accounts'!$F$5:$F$3000,0)),O133&amp;"")</f>
        <v/>
      </c>
      <c r="Y133" s="16">
        <f>INDEX('Chart of Accounts'!$A$5:$A$3000,MATCH("vat_input",'Chart of Accounts'!$F$5:$F$3000,0))</f>
        <v/>
      </c>
      <c r="Z133" s="16">
        <f>INDEX('Chart of Accounts'!$A$5:$A$3000,MATCH("wht_payable",'Chart of Accounts'!$F$5:$F$3000,0))</f>
        <v/>
      </c>
      <c r="AA133" s="23">
        <f>IFERROR(INDEX('Chart of Accounts'!$C$5:$C$3000,MATCH(V133&amp;"",'Chart of Accounts'!$A$5:$A$3000,0))&amp;"|"&amp;INDEX('Chart of Accounts'!$D$5:$D$3000,MATCH(V133&amp;"",'Chart of Accounts'!$A$5:$A$3000,0)),"")</f>
        <v/>
      </c>
      <c r="AB133" s="23">
        <f>IFERROR(INDEX('Chart of Accounts'!$C$5:$C$3000,MATCH(Y133&amp;"",'Chart of Accounts'!$A$5:$A$3000,0))&amp;"|"&amp;INDEX('Chart of Accounts'!$D$5:$D$3000,MATCH(Y133&amp;"",'Chart of Accounts'!$A$5:$A$3000,0)),"")</f>
        <v/>
      </c>
      <c r="AC133" s="23">
        <f>IFERROR(INDEX('Chart of Accounts'!$C$5:$C$3000,MATCH(W133&amp;"",'Chart of Accounts'!$A$5:$A$3000,0))&amp;"|"&amp;INDEX('Chart of Accounts'!$D$5:$D$3000,MATCH(W133&amp;"",'Chart of Accounts'!$A$5:$A$3000,0)),"")</f>
        <v/>
      </c>
      <c r="AD133" s="23">
        <f>IFERROR(INDEX('Chart of Accounts'!$C$5:$C$3000,MATCH(X133&amp;"",'Chart of Accounts'!$A$5:$A$3000,0))&amp;"|"&amp;INDEX('Chart of Accounts'!$D$5:$D$3000,MATCH(X133&amp;"",'Chart of Accounts'!$A$5:$A$3000,0)),"")</f>
        <v/>
      </c>
      <c r="AE133" s="23">
        <f>IFERROR(INDEX('Chart of Accounts'!$C$5:$C$3000,MATCH(Z133&amp;"",'Chart of Accounts'!$A$5:$A$3000,0))&amp;"|"&amp;INDEX('Chart of Accounts'!$D$5:$D$3000,MATCH(Z133&amp;"",'Chart of Accounts'!$A$5:$A$3000,0)),"")</f>
        <v/>
      </c>
      <c r="AF133" s="23">
        <f>IF(LEFT(AA133,8)="Revenue|",-N(R133),0)+IF(LEFT(AB133,8)="Revenue|",-N(S133),0)+IF(LEFT(AC133,8)="Revenue|",N(L133),0)+IF(LEFT(AD133,8)="Revenue|",N(U133),0)+IF(LEFT(AE133,8)="Revenue|",N(T133),0)</f>
        <v/>
      </c>
      <c r="AG133" s="23">
        <f>IF(LEFT(AA133,5)="COGS|",N(R133),0)+IF(LEFT(AB133,5)="COGS|",N(S133),0)+IF(LEFT(AC133,5)="COGS|",-N(L133),0)+IF(LEFT(AD133,5)="COGS|",-N(U133),0)+IF(LEFT(AE133,5)="COGS|",-N(T133),0)</f>
        <v/>
      </c>
      <c r="AH133" s="23">
        <f>IF(LEFT(AA133,8)="Expense|",N(R133),0)+IF(LEFT(AB133,8)="Expense|",N(S133),0)+IF(LEFT(AC133,8)="Expense|",-N(L133),0)+IF(LEFT(AD133,8)="Expense|",-N(U133),0)+IF(LEFT(AE133,8)="Expense|",-N(T133),0)</f>
        <v/>
      </c>
      <c r="AI133" s="23">
        <f>IF(ISNUMBER(MATCH(AA133,{"Expense|employee","Expense|general_admin","Expense|marketing","Expense|utilities","Expense|other_operating"},0)),N(R133),0)+IF(ISNUMBER(MATCH(AB133,{"Expense|employee","Expense|general_admin","Expense|marketing","Expense|utilities","Expense|other_operating"},0)),N(S133),0)+IF(ISNUMBER(MATCH(AC133,{"Expense|employee","Expense|general_admin","Expense|marketing","Expense|utilities","Expense|other_operating"},0)),-N(L133),0)+IF(ISNUMBER(MATCH(AD133,{"Expense|employee","Expense|general_admin","Expense|marketing","Expense|utilities","Expense|other_operating"},0)),-N(U133),0)+IF(ISNUMBER(MATCH(AE133,{"Expense|employee","Expense|general_admin","Expense|marketing","Expense|utilities","Expense|other_operating"},0)),-N(T133),0)</f>
        <v/>
      </c>
      <c r="AJ133" s="23">
        <f>IF(AA133="Liability|payable",-N(R133),0)+IF(AB133="Liability|payable",-N(S133),0)+IF(AC133="Liability|payable",N(L133),0)+IF(AD133="Liability|payable",N(U133),0)+IF(AE133="Liability|payable",N(T133),0)</f>
        <v/>
      </c>
      <c r="AK133" s="23">
        <f>IF(AA133="Liability|accrued",-N(R133),0)+IF(AB133="Liability|accrued",-N(S133),0)+IF(AC133="Liability|accrued",N(L133),0)+IF(AD133="Liability|accrued",N(U133),0)+IF(AE133="Liability|accrued",N(T133),0)</f>
        <v/>
      </c>
      <c r="AL133" s="23">
        <f>IF(AND(N(R133)&lt;&gt;0,AA133=""),1,0)+IF(AND(N(S133)&lt;&gt;0,AB133=""),1,0)+IF(AND(N(L133)&lt;&gt;0,AC133=""),1,0)+IF(AND(N(U133)&lt;&gt;0,AD133=""),1,0)+IF(AND(N(T133)&lt;&gt;0,AE133=""),1,0)</f>
        <v/>
      </c>
    </row>
    <row r="134">
      <c r="A134" s="19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20" t="n"/>
      <c r="K134" s="20" t="n"/>
      <c r="L134" s="20" t="n"/>
      <c r="M134" s="14" t="n"/>
      <c r="N134" s="14" t="n"/>
      <c r="O134" s="14" t="n"/>
      <c r="P134" s="14" t="n"/>
      <c r="Q134" s="14" t="n"/>
      <c r="R134" s="21">
        <f>ROUND(N(H134)*N(J134)-N(K134),2)</f>
        <v/>
      </c>
      <c r="S134" s="21">
        <f>ROUND(R134*IFERROR(VLOOKUP(P134,'Tax Codes'!$A$5:$E$300,5,FALSE),0),2)</f>
        <v/>
      </c>
      <c r="T134" s="21">
        <f>ROUND(R134*IFERROR(VLOOKUP(Q134,'Tax Codes'!$A$5:$E$300,5,FALSE),0),2)</f>
        <v/>
      </c>
      <c r="U134" s="21">
        <f>R134+S134-T134-N(L134)</f>
        <v/>
      </c>
      <c r="V134" s="16">
        <f>IF(C134="",INDEX('Chart of Accounts'!$A$5:$A$3000,MATCH("materials",'Chart of Accounts'!$F$5:$F$3000,0)),C134&amp;"")</f>
        <v/>
      </c>
      <c r="W134" s="16">
        <f>IF(N134="",INDEX('Chart of Accounts'!$A$5:$A$3000,MATCH("bank",'Chart of Accounts'!$F$5:$F$3000,0)),N134&amp;"")</f>
        <v/>
      </c>
      <c r="X134" s="16">
        <f>IF(O134="",INDEX('Chart of Accounts'!$A$5:$A$3000,MATCH("ap",'Chart of Accounts'!$F$5:$F$3000,0)),O134&amp;"")</f>
        <v/>
      </c>
      <c r="Y134" s="16">
        <f>INDEX('Chart of Accounts'!$A$5:$A$3000,MATCH("vat_input",'Chart of Accounts'!$F$5:$F$3000,0))</f>
        <v/>
      </c>
      <c r="Z134" s="16">
        <f>INDEX('Chart of Accounts'!$A$5:$A$3000,MATCH("wht_payable",'Chart of Accounts'!$F$5:$F$3000,0))</f>
        <v/>
      </c>
      <c r="AA134" s="23">
        <f>IFERROR(INDEX('Chart of Accounts'!$C$5:$C$3000,MATCH(V134&amp;"",'Chart of Accounts'!$A$5:$A$3000,0))&amp;"|"&amp;INDEX('Chart of Accounts'!$D$5:$D$3000,MATCH(V134&amp;"",'Chart of Accounts'!$A$5:$A$3000,0)),"")</f>
        <v/>
      </c>
      <c r="AB134" s="23">
        <f>IFERROR(INDEX('Chart of Accounts'!$C$5:$C$3000,MATCH(Y134&amp;"",'Chart of Accounts'!$A$5:$A$3000,0))&amp;"|"&amp;INDEX('Chart of Accounts'!$D$5:$D$3000,MATCH(Y134&amp;"",'Chart of Accounts'!$A$5:$A$3000,0)),"")</f>
        <v/>
      </c>
      <c r="AC134" s="23">
        <f>IFERROR(INDEX('Chart of Accounts'!$C$5:$C$3000,MATCH(W134&amp;"",'Chart of Accounts'!$A$5:$A$3000,0))&amp;"|"&amp;INDEX('Chart of Accounts'!$D$5:$D$3000,MATCH(W134&amp;"",'Chart of Accounts'!$A$5:$A$3000,0)),"")</f>
        <v/>
      </c>
      <c r="AD134" s="23">
        <f>IFERROR(INDEX('Chart of Accounts'!$C$5:$C$3000,MATCH(X134&amp;"",'Chart of Accounts'!$A$5:$A$3000,0))&amp;"|"&amp;INDEX('Chart of Accounts'!$D$5:$D$3000,MATCH(X134&amp;"",'Chart of Accounts'!$A$5:$A$3000,0)),"")</f>
        <v/>
      </c>
      <c r="AE134" s="23">
        <f>IFERROR(INDEX('Chart of Accounts'!$C$5:$C$3000,MATCH(Z134&amp;"",'Chart of Accounts'!$A$5:$A$3000,0))&amp;"|"&amp;INDEX('Chart of Accounts'!$D$5:$D$3000,MATCH(Z134&amp;"",'Chart of Accounts'!$A$5:$A$3000,0)),"")</f>
        <v/>
      </c>
      <c r="AF134" s="23">
        <f>IF(LEFT(AA134,8)="Revenue|",-N(R134),0)+IF(LEFT(AB134,8)="Revenue|",-N(S134),0)+IF(LEFT(AC134,8)="Revenue|",N(L134),0)+IF(LEFT(AD134,8)="Revenue|",N(U134),0)+IF(LEFT(AE134,8)="Revenue|",N(T134),0)</f>
        <v/>
      </c>
      <c r="AG134" s="23">
        <f>IF(LEFT(AA134,5)="COGS|",N(R134),0)+IF(LEFT(AB134,5)="COGS|",N(S134),0)+IF(LEFT(AC134,5)="COGS|",-N(L134),0)+IF(LEFT(AD134,5)="COGS|",-N(U134),0)+IF(LEFT(AE134,5)="COGS|",-N(T134),0)</f>
        <v/>
      </c>
      <c r="AH134" s="23">
        <f>IF(LEFT(AA134,8)="Expense|",N(R134),0)+IF(LEFT(AB134,8)="Expense|",N(S134),0)+IF(LEFT(AC134,8)="Expense|",-N(L134),0)+IF(LEFT(AD134,8)="Expense|",-N(U134),0)+IF(LEFT(AE134,8)="Expense|",-N(T134),0)</f>
        <v/>
      </c>
      <c r="AI134" s="23">
        <f>IF(ISNUMBER(MATCH(AA134,{"Expense|employee","Expense|general_admin","Expense|marketing","Expense|utilities","Expense|other_operating"},0)),N(R134),0)+IF(ISNUMBER(MATCH(AB134,{"Expense|employee","Expense|general_admin","Expense|marketing","Expense|utilities","Expense|other_operating"},0)),N(S134),0)+IF(ISNUMBER(MATCH(AC134,{"Expense|employee","Expense|general_admin","Expense|marketing","Expense|utilities","Expense|other_operating"},0)),-N(L134),0)+IF(ISNUMBER(MATCH(AD134,{"Expense|employee","Expense|general_admin","Expense|marketing","Expense|utilities","Expense|other_operating"},0)),-N(U134),0)+IF(ISNUMBER(MATCH(AE134,{"Expense|employee","Expense|general_admin","Expense|marketing","Expense|utilities","Expense|other_operating"},0)),-N(T134),0)</f>
        <v/>
      </c>
      <c r="AJ134" s="23">
        <f>IF(AA134="Liability|payable",-N(R134),0)+IF(AB134="Liability|payable",-N(S134),0)+IF(AC134="Liability|payable",N(L134),0)+IF(AD134="Liability|payable",N(U134),0)+IF(AE134="Liability|payable",N(T134),0)</f>
        <v/>
      </c>
      <c r="AK134" s="23">
        <f>IF(AA134="Liability|accrued",-N(R134),0)+IF(AB134="Liability|accrued",-N(S134),0)+IF(AC134="Liability|accrued",N(L134),0)+IF(AD134="Liability|accrued",N(U134),0)+IF(AE134="Liability|accrued",N(T134),0)</f>
        <v/>
      </c>
      <c r="AL134" s="23">
        <f>IF(AND(N(R134)&lt;&gt;0,AA134=""),1,0)+IF(AND(N(S134)&lt;&gt;0,AB134=""),1,0)+IF(AND(N(L134)&lt;&gt;0,AC134=""),1,0)+IF(AND(N(U134)&lt;&gt;0,AD134=""),1,0)+IF(AND(N(T134)&lt;&gt;0,AE134=""),1,0)</f>
        <v/>
      </c>
    </row>
    <row r="135">
      <c r="A135" s="19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20" t="n"/>
      <c r="K135" s="20" t="n"/>
      <c r="L135" s="20" t="n"/>
      <c r="M135" s="14" t="n"/>
      <c r="N135" s="14" t="n"/>
      <c r="O135" s="14" t="n"/>
      <c r="P135" s="14" t="n"/>
      <c r="Q135" s="14" t="n"/>
      <c r="R135" s="21">
        <f>ROUND(N(H135)*N(J135)-N(K135),2)</f>
        <v/>
      </c>
      <c r="S135" s="21">
        <f>ROUND(R135*IFERROR(VLOOKUP(P135,'Tax Codes'!$A$5:$E$300,5,FALSE),0),2)</f>
        <v/>
      </c>
      <c r="T135" s="21">
        <f>ROUND(R135*IFERROR(VLOOKUP(Q135,'Tax Codes'!$A$5:$E$300,5,FALSE),0),2)</f>
        <v/>
      </c>
      <c r="U135" s="21">
        <f>R135+S135-T135-N(L135)</f>
        <v/>
      </c>
      <c r="V135" s="16">
        <f>IF(C135="",INDEX('Chart of Accounts'!$A$5:$A$3000,MATCH("materials",'Chart of Accounts'!$F$5:$F$3000,0)),C135&amp;"")</f>
        <v/>
      </c>
      <c r="W135" s="16">
        <f>IF(N135="",INDEX('Chart of Accounts'!$A$5:$A$3000,MATCH("bank",'Chart of Accounts'!$F$5:$F$3000,0)),N135&amp;"")</f>
        <v/>
      </c>
      <c r="X135" s="16">
        <f>IF(O135="",INDEX('Chart of Accounts'!$A$5:$A$3000,MATCH("ap",'Chart of Accounts'!$F$5:$F$3000,0)),O135&amp;"")</f>
        <v/>
      </c>
      <c r="Y135" s="16">
        <f>INDEX('Chart of Accounts'!$A$5:$A$3000,MATCH("vat_input",'Chart of Accounts'!$F$5:$F$3000,0))</f>
        <v/>
      </c>
      <c r="Z135" s="16">
        <f>INDEX('Chart of Accounts'!$A$5:$A$3000,MATCH("wht_payable",'Chart of Accounts'!$F$5:$F$3000,0))</f>
        <v/>
      </c>
      <c r="AA135" s="23">
        <f>IFERROR(INDEX('Chart of Accounts'!$C$5:$C$3000,MATCH(V135&amp;"",'Chart of Accounts'!$A$5:$A$3000,0))&amp;"|"&amp;INDEX('Chart of Accounts'!$D$5:$D$3000,MATCH(V135&amp;"",'Chart of Accounts'!$A$5:$A$3000,0)),"")</f>
        <v/>
      </c>
      <c r="AB135" s="23">
        <f>IFERROR(INDEX('Chart of Accounts'!$C$5:$C$3000,MATCH(Y135&amp;"",'Chart of Accounts'!$A$5:$A$3000,0))&amp;"|"&amp;INDEX('Chart of Accounts'!$D$5:$D$3000,MATCH(Y135&amp;"",'Chart of Accounts'!$A$5:$A$3000,0)),"")</f>
        <v/>
      </c>
      <c r="AC135" s="23">
        <f>IFERROR(INDEX('Chart of Accounts'!$C$5:$C$3000,MATCH(W135&amp;"",'Chart of Accounts'!$A$5:$A$3000,0))&amp;"|"&amp;INDEX('Chart of Accounts'!$D$5:$D$3000,MATCH(W135&amp;"",'Chart of Accounts'!$A$5:$A$3000,0)),"")</f>
        <v/>
      </c>
      <c r="AD135" s="23">
        <f>IFERROR(INDEX('Chart of Accounts'!$C$5:$C$3000,MATCH(X135&amp;"",'Chart of Accounts'!$A$5:$A$3000,0))&amp;"|"&amp;INDEX('Chart of Accounts'!$D$5:$D$3000,MATCH(X135&amp;"",'Chart of Accounts'!$A$5:$A$3000,0)),"")</f>
        <v/>
      </c>
      <c r="AE135" s="23">
        <f>IFERROR(INDEX('Chart of Accounts'!$C$5:$C$3000,MATCH(Z135&amp;"",'Chart of Accounts'!$A$5:$A$3000,0))&amp;"|"&amp;INDEX('Chart of Accounts'!$D$5:$D$3000,MATCH(Z135&amp;"",'Chart of Accounts'!$A$5:$A$3000,0)),"")</f>
        <v/>
      </c>
      <c r="AF135" s="23">
        <f>IF(LEFT(AA135,8)="Revenue|",-N(R135),0)+IF(LEFT(AB135,8)="Revenue|",-N(S135),0)+IF(LEFT(AC135,8)="Revenue|",N(L135),0)+IF(LEFT(AD135,8)="Revenue|",N(U135),0)+IF(LEFT(AE135,8)="Revenue|",N(T135),0)</f>
        <v/>
      </c>
      <c r="AG135" s="23">
        <f>IF(LEFT(AA135,5)="COGS|",N(R135),0)+IF(LEFT(AB135,5)="COGS|",N(S135),0)+IF(LEFT(AC135,5)="COGS|",-N(L135),0)+IF(LEFT(AD135,5)="COGS|",-N(U135),0)+IF(LEFT(AE135,5)="COGS|",-N(T135),0)</f>
        <v/>
      </c>
      <c r="AH135" s="23">
        <f>IF(LEFT(AA135,8)="Expense|",N(R135),0)+IF(LEFT(AB135,8)="Expense|",N(S135),0)+IF(LEFT(AC135,8)="Expense|",-N(L135),0)+IF(LEFT(AD135,8)="Expense|",-N(U135),0)+IF(LEFT(AE135,8)="Expense|",-N(T135),0)</f>
        <v/>
      </c>
      <c r="AI135" s="23">
        <f>IF(ISNUMBER(MATCH(AA135,{"Expense|employee","Expense|general_admin","Expense|marketing","Expense|utilities","Expense|other_operating"},0)),N(R135),0)+IF(ISNUMBER(MATCH(AB135,{"Expense|employee","Expense|general_admin","Expense|marketing","Expense|utilities","Expense|other_operating"},0)),N(S135),0)+IF(ISNUMBER(MATCH(AC135,{"Expense|employee","Expense|general_admin","Expense|marketing","Expense|utilities","Expense|other_operating"},0)),-N(L135),0)+IF(ISNUMBER(MATCH(AD135,{"Expense|employee","Expense|general_admin","Expense|marketing","Expense|utilities","Expense|other_operating"},0)),-N(U135),0)+IF(ISNUMBER(MATCH(AE135,{"Expense|employee","Expense|general_admin","Expense|marketing","Expense|utilities","Expense|other_operating"},0)),-N(T135),0)</f>
        <v/>
      </c>
      <c r="AJ135" s="23">
        <f>IF(AA135="Liability|payable",-N(R135),0)+IF(AB135="Liability|payable",-N(S135),0)+IF(AC135="Liability|payable",N(L135),0)+IF(AD135="Liability|payable",N(U135),0)+IF(AE135="Liability|payable",N(T135),0)</f>
        <v/>
      </c>
      <c r="AK135" s="23">
        <f>IF(AA135="Liability|accrued",-N(R135),0)+IF(AB135="Liability|accrued",-N(S135),0)+IF(AC135="Liability|accrued",N(L135),0)+IF(AD135="Liability|accrued",N(U135),0)+IF(AE135="Liability|accrued",N(T135),0)</f>
        <v/>
      </c>
      <c r="AL135" s="23">
        <f>IF(AND(N(R135)&lt;&gt;0,AA135=""),1,0)+IF(AND(N(S135)&lt;&gt;0,AB135=""),1,0)+IF(AND(N(L135)&lt;&gt;0,AC135=""),1,0)+IF(AND(N(U135)&lt;&gt;0,AD135=""),1,0)+IF(AND(N(T135)&lt;&gt;0,AE135=""),1,0)</f>
        <v/>
      </c>
    </row>
    <row r="136">
      <c r="A136" s="19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20" t="n"/>
      <c r="K136" s="20" t="n"/>
      <c r="L136" s="20" t="n"/>
      <c r="M136" s="14" t="n"/>
      <c r="N136" s="14" t="n"/>
      <c r="O136" s="14" t="n"/>
      <c r="P136" s="14" t="n"/>
      <c r="Q136" s="14" t="n"/>
      <c r="R136" s="21">
        <f>ROUND(N(H136)*N(J136)-N(K136),2)</f>
        <v/>
      </c>
      <c r="S136" s="21">
        <f>ROUND(R136*IFERROR(VLOOKUP(P136,'Tax Codes'!$A$5:$E$300,5,FALSE),0),2)</f>
        <v/>
      </c>
      <c r="T136" s="21">
        <f>ROUND(R136*IFERROR(VLOOKUP(Q136,'Tax Codes'!$A$5:$E$300,5,FALSE),0),2)</f>
        <v/>
      </c>
      <c r="U136" s="21">
        <f>R136+S136-T136-N(L136)</f>
        <v/>
      </c>
      <c r="V136" s="16">
        <f>IF(C136="",INDEX('Chart of Accounts'!$A$5:$A$3000,MATCH("materials",'Chart of Accounts'!$F$5:$F$3000,0)),C136&amp;"")</f>
        <v/>
      </c>
      <c r="W136" s="16">
        <f>IF(N136="",INDEX('Chart of Accounts'!$A$5:$A$3000,MATCH("bank",'Chart of Accounts'!$F$5:$F$3000,0)),N136&amp;"")</f>
        <v/>
      </c>
      <c r="X136" s="16">
        <f>IF(O136="",INDEX('Chart of Accounts'!$A$5:$A$3000,MATCH("ap",'Chart of Accounts'!$F$5:$F$3000,0)),O136&amp;"")</f>
        <v/>
      </c>
      <c r="Y136" s="16">
        <f>INDEX('Chart of Accounts'!$A$5:$A$3000,MATCH("vat_input",'Chart of Accounts'!$F$5:$F$3000,0))</f>
        <v/>
      </c>
      <c r="Z136" s="16">
        <f>INDEX('Chart of Accounts'!$A$5:$A$3000,MATCH("wht_payable",'Chart of Accounts'!$F$5:$F$3000,0))</f>
        <v/>
      </c>
      <c r="AA136" s="23">
        <f>IFERROR(INDEX('Chart of Accounts'!$C$5:$C$3000,MATCH(V136&amp;"",'Chart of Accounts'!$A$5:$A$3000,0))&amp;"|"&amp;INDEX('Chart of Accounts'!$D$5:$D$3000,MATCH(V136&amp;"",'Chart of Accounts'!$A$5:$A$3000,0)),"")</f>
        <v/>
      </c>
      <c r="AB136" s="23">
        <f>IFERROR(INDEX('Chart of Accounts'!$C$5:$C$3000,MATCH(Y136&amp;"",'Chart of Accounts'!$A$5:$A$3000,0))&amp;"|"&amp;INDEX('Chart of Accounts'!$D$5:$D$3000,MATCH(Y136&amp;"",'Chart of Accounts'!$A$5:$A$3000,0)),"")</f>
        <v/>
      </c>
      <c r="AC136" s="23">
        <f>IFERROR(INDEX('Chart of Accounts'!$C$5:$C$3000,MATCH(W136&amp;"",'Chart of Accounts'!$A$5:$A$3000,0))&amp;"|"&amp;INDEX('Chart of Accounts'!$D$5:$D$3000,MATCH(W136&amp;"",'Chart of Accounts'!$A$5:$A$3000,0)),"")</f>
        <v/>
      </c>
      <c r="AD136" s="23">
        <f>IFERROR(INDEX('Chart of Accounts'!$C$5:$C$3000,MATCH(X136&amp;"",'Chart of Accounts'!$A$5:$A$3000,0))&amp;"|"&amp;INDEX('Chart of Accounts'!$D$5:$D$3000,MATCH(X136&amp;"",'Chart of Accounts'!$A$5:$A$3000,0)),"")</f>
        <v/>
      </c>
      <c r="AE136" s="23">
        <f>IFERROR(INDEX('Chart of Accounts'!$C$5:$C$3000,MATCH(Z136&amp;"",'Chart of Accounts'!$A$5:$A$3000,0))&amp;"|"&amp;INDEX('Chart of Accounts'!$D$5:$D$3000,MATCH(Z136&amp;"",'Chart of Accounts'!$A$5:$A$3000,0)),"")</f>
        <v/>
      </c>
      <c r="AF136" s="23">
        <f>IF(LEFT(AA136,8)="Revenue|",-N(R136),0)+IF(LEFT(AB136,8)="Revenue|",-N(S136),0)+IF(LEFT(AC136,8)="Revenue|",N(L136),0)+IF(LEFT(AD136,8)="Revenue|",N(U136),0)+IF(LEFT(AE136,8)="Revenue|",N(T136),0)</f>
        <v/>
      </c>
      <c r="AG136" s="23">
        <f>IF(LEFT(AA136,5)="COGS|",N(R136),0)+IF(LEFT(AB136,5)="COGS|",N(S136),0)+IF(LEFT(AC136,5)="COGS|",-N(L136),0)+IF(LEFT(AD136,5)="COGS|",-N(U136),0)+IF(LEFT(AE136,5)="COGS|",-N(T136),0)</f>
        <v/>
      </c>
      <c r="AH136" s="23">
        <f>IF(LEFT(AA136,8)="Expense|",N(R136),0)+IF(LEFT(AB136,8)="Expense|",N(S136),0)+IF(LEFT(AC136,8)="Expense|",-N(L136),0)+IF(LEFT(AD136,8)="Expense|",-N(U136),0)+IF(LEFT(AE136,8)="Expense|",-N(T136),0)</f>
        <v/>
      </c>
      <c r="AI136" s="23">
        <f>IF(ISNUMBER(MATCH(AA136,{"Expense|employee","Expense|general_admin","Expense|marketing","Expense|utilities","Expense|other_operating"},0)),N(R136),0)+IF(ISNUMBER(MATCH(AB136,{"Expense|employee","Expense|general_admin","Expense|marketing","Expense|utilities","Expense|other_operating"},0)),N(S136),0)+IF(ISNUMBER(MATCH(AC136,{"Expense|employee","Expense|general_admin","Expense|marketing","Expense|utilities","Expense|other_operating"},0)),-N(L136),0)+IF(ISNUMBER(MATCH(AD136,{"Expense|employee","Expense|general_admin","Expense|marketing","Expense|utilities","Expense|other_operating"},0)),-N(U136),0)+IF(ISNUMBER(MATCH(AE136,{"Expense|employee","Expense|general_admin","Expense|marketing","Expense|utilities","Expense|other_operating"},0)),-N(T136),0)</f>
        <v/>
      </c>
      <c r="AJ136" s="23">
        <f>IF(AA136="Liability|payable",-N(R136),0)+IF(AB136="Liability|payable",-N(S136),0)+IF(AC136="Liability|payable",N(L136),0)+IF(AD136="Liability|payable",N(U136),0)+IF(AE136="Liability|payable",N(T136),0)</f>
        <v/>
      </c>
      <c r="AK136" s="23">
        <f>IF(AA136="Liability|accrued",-N(R136),0)+IF(AB136="Liability|accrued",-N(S136),0)+IF(AC136="Liability|accrued",N(L136),0)+IF(AD136="Liability|accrued",N(U136),0)+IF(AE136="Liability|accrued",N(T136),0)</f>
        <v/>
      </c>
      <c r="AL136" s="23">
        <f>IF(AND(N(R136)&lt;&gt;0,AA136=""),1,0)+IF(AND(N(S136)&lt;&gt;0,AB136=""),1,0)+IF(AND(N(L136)&lt;&gt;0,AC136=""),1,0)+IF(AND(N(U136)&lt;&gt;0,AD136=""),1,0)+IF(AND(N(T136)&lt;&gt;0,AE136=""),1,0)</f>
        <v/>
      </c>
    </row>
    <row r="137">
      <c r="A137" s="19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20" t="n"/>
      <c r="K137" s="20" t="n"/>
      <c r="L137" s="20" t="n"/>
      <c r="M137" s="14" t="n"/>
      <c r="N137" s="14" t="n"/>
      <c r="O137" s="14" t="n"/>
      <c r="P137" s="14" t="n"/>
      <c r="Q137" s="14" t="n"/>
      <c r="R137" s="21">
        <f>ROUND(N(H137)*N(J137)-N(K137),2)</f>
        <v/>
      </c>
      <c r="S137" s="21">
        <f>ROUND(R137*IFERROR(VLOOKUP(P137,'Tax Codes'!$A$5:$E$300,5,FALSE),0),2)</f>
        <v/>
      </c>
      <c r="T137" s="21">
        <f>ROUND(R137*IFERROR(VLOOKUP(Q137,'Tax Codes'!$A$5:$E$300,5,FALSE),0),2)</f>
        <v/>
      </c>
      <c r="U137" s="21">
        <f>R137+S137-T137-N(L137)</f>
        <v/>
      </c>
      <c r="V137" s="16">
        <f>IF(C137="",INDEX('Chart of Accounts'!$A$5:$A$3000,MATCH("materials",'Chart of Accounts'!$F$5:$F$3000,0)),C137&amp;"")</f>
        <v/>
      </c>
      <c r="W137" s="16">
        <f>IF(N137="",INDEX('Chart of Accounts'!$A$5:$A$3000,MATCH("bank",'Chart of Accounts'!$F$5:$F$3000,0)),N137&amp;"")</f>
        <v/>
      </c>
      <c r="X137" s="16">
        <f>IF(O137="",INDEX('Chart of Accounts'!$A$5:$A$3000,MATCH("ap",'Chart of Accounts'!$F$5:$F$3000,0)),O137&amp;"")</f>
        <v/>
      </c>
      <c r="Y137" s="16">
        <f>INDEX('Chart of Accounts'!$A$5:$A$3000,MATCH("vat_input",'Chart of Accounts'!$F$5:$F$3000,0))</f>
        <v/>
      </c>
      <c r="Z137" s="16">
        <f>INDEX('Chart of Accounts'!$A$5:$A$3000,MATCH("wht_payable",'Chart of Accounts'!$F$5:$F$3000,0))</f>
        <v/>
      </c>
      <c r="AA137" s="23">
        <f>IFERROR(INDEX('Chart of Accounts'!$C$5:$C$3000,MATCH(V137&amp;"",'Chart of Accounts'!$A$5:$A$3000,0))&amp;"|"&amp;INDEX('Chart of Accounts'!$D$5:$D$3000,MATCH(V137&amp;"",'Chart of Accounts'!$A$5:$A$3000,0)),"")</f>
        <v/>
      </c>
      <c r="AB137" s="23">
        <f>IFERROR(INDEX('Chart of Accounts'!$C$5:$C$3000,MATCH(Y137&amp;"",'Chart of Accounts'!$A$5:$A$3000,0))&amp;"|"&amp;INDEX('Chart of Accounts'!$D$5:$D$3000,MATCH(Y137&amp;"",'Chart of Accounts'!$A$5:$A$3000,0)),"")</f>
        <v/>
      </c>
      <c r="AC137" s="23">
        <f>IFERROR(INDEX('Chart of Accounts'!$C$5:$C$3000,MATCH(W137&amp;"",'Chart of Accounts'!$A$5:$A$3000,0))&amp;"|"&amp;INDEX('Chart of Accounts'!$D$5:$D$3000,MATCH(W137&amp;"",'Chart of Accounts'!$A$5:$A$3000,0)),"")</f>
        <v/>
      </c>
      <c r="AD137" s="23">
        <f>IFERROR(INDEX('Chart of Accounts'!$C$5:$C$3000,MATCH(X137&amp;"",'Chart of Accounts'!$A$5:$A$3000,0))&amp;"|"&amp;INDEX('Chart of Accounts'!$D$5:$D$3000,MATCH(X137&amp;"",'Chart of Accounts'!$A$5:$A$3000,0)),"")</f>
        <v/>
      </c>
      <c r="AE137" s="23">
        <f>IFERROR(INDEX('Chart of Accounts'!$C$5:$C$3000,MATCH(Z137&amp;"",'Chart of Accounts'!$A$5:$A$3000,0))&amp;"|"&amp;INDEX('Chart of Accounts'!$D$5:$D$3000,MATCH(Z137&amp;"",'Chart of Accounts'!$A$5:$A$3000,0)),"")</f>
        <v/>
      </c>
      <c r="AF137" s="23">
        <f>IF(LEFT(AA137,8)="Revenue|",-N(R137),0)+IF(LEFT(AB137,8)="Revenue|",-N(S137),0)+IF(LEFT(AC137,8)="Revenue|",N(L137),0)+IF(LEFT(AD137,8)="Revenue|",N(U137),0)+IF(LEFT(AE137,8)="Revenue|",N(T137),0)</f>
        <v/>
      </c>
      <c r="AG137" s="23">
        <f>IF(LEFT(AA137,5)="COGS|",N(R137),0)+IF(LEFT(AB137,5)="COGS|",N(S137),0)+IF(LEFT(AC137,5)="COGS|",-N(L137),0)+IF(LEFT(AD137,5)="COGS|",-N(U137),0)+IF(LEFT(AE137,5)="COGS|",-N(T137),0)</f>
        <v/>
      </c>
      <c r="AH137" s="23">
        <f>IF(LEFT(AA137,8)="Expense|",N(R137),0)+IF(LEFT(AB137,8)="Expense|",N(S137),0)+IF(LEFT(AC137,8)="Expense|",-N(L137),0)+IF(LEFT(AD137,8)="Expense|",-N(U137),0)+IF(LEFT(AE137,8)="Expense|",-N(T137),0)</f>
        <v/>
      </c>
      <c r="AI137" s="23">
        <f>IF(ISNUMBER(MATCH(AA137,{"Expense|employee","Expense|general_admin","Expense|marketing","Expense|utilities","Expense|other_operating"},0)),N(R137),0)+IF(ISNUMBER(MATCH(AB137,{"Expense|employee","Expense|general_admin","Expense|marketing","Expense|utilities","Expense|other_operating"},0)),N(S137),0)+IF(ISNUMBER(MATCH(AC137,{"Expense|employee","Expense|general_admin","Expense|marketing","Expense|utilities","Expense|other_operating"},0)),-N(L137),0)+IF(ISNUMBER(MATCH(AD137,{"Expense|employee","Expense|general_admin","Expense|marketing","Expense|utilities","Expense|other_operating"},0)),-N(U137),0)+IF(ISNUMBER(MATCH(AE137,{"Expense|employee","Expense|general_admin","Expense|marketing","Expense|utilities","Expense|other_operating"},0)),-N(T137),0)</f>
        <v/>
      </c>
      <c r="AJ137" s="23">
        <f>IF(AA137="Liability|payable",-N(R137),0)+IF(AB137="Liability|payable",-N(S137),0)+IF(AC137="Liability|payable",N(L137),0)+IF(AD137="Liability|payable",N(U137),0)+IF(AE137="Liability|payable",N(T137),0)</f>
        <v/>
      </c>
      <c r="AK137" s="23">
        <f>IF(AA137="Liability|accrued",-N(R137),0)+IF(AB137="Liability|accrued",-N(S137),0)+IF(AC137="Liability|accrued",N(L137),0)+IF(AD137="Liability|accrued",N(U137),0)+IF(AE137="Liability|accrued",N(T137),0)</f>
        <v/>
      </c>
      <c r="AL137" s="23">
        <f>IF(AND(N(R137)&lt;&gt;0,AA137=""),1,0)+IF(AND(N(S137)&lt;&gt;0,AB137=""),1,0)+IF(AND(N(L137)&lt;&gt;0,AC137=""),1,0)+IF(AND(N(U137)&lt;&gt;0,AD137=""),1,0)+IF(AND(N(T137)&lt;&gt;0,AE137=""),1,0)</f>
        <v/>
      </c>
    </row>
    <row r="138">
      <c r="A138" s="19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20" t="n"/>
      <c r="K138" s="20" t="n"/>
      <c r="L138" s="20" t="n"/>
      <c r="M138" s="14" t="n"/>
      <c r="N138" s="14" t="n"/>
      <c r="O138" s="14" t="n"/>
      <c r="P138" s="14" t="n"/>
      <c r="Q138" s="14" t="n"/>
      <c r="R138" s="21">
        <f>ROUND(N(H138)*N(J138)-N(K138),2)</f>
        <v/>
      </c>
      <c r="S138" s="21">
        <f>ROUND(R138*IFERROR(VLOOKUP(P138,'Tax Codes'!$A$5:$E$300,5,FALSE),0),2)</f>
        <v/>
      </c>
      <c r="T138" s="21">
        <f>ROUND(R138*IFERROR(VLOOKUP(Q138,'Tax Codes'!$A$5:$E$300,5,FALSE),0),2)</f>
        <v/>
      </c>
      <c r="U138" s="21">
        <f>R138+S138-T138-N(L138)</f>
        <v/>
      </c>
      <c r="V138" s="16">
        <f>IF(C138="",INDEX('Chart of Accounts'!$A$5:$A$3000,MATCH("materials",'Chart of Accounts'!$F$5:$F$3000,0)),C138&amp;"")</f>
        <v/>
      </c>
      <c r="W138" s="16">
        <f>IF(N138="",INDEX('Chart of Accounts'!$A$5:$A$3000,MATCH("bank",'Chart of Accounts'!$F$5:$F$3000,0)),N138&amp;"")</f>
        <v/>
      </c>
      <c r="X138" s="16">
        <f>IF(O138="",INDEX('Chart of Accounts'!$A$5:$A$3000,MATCH("ap",'Chart of Accounts'!$F$5:$F$3000,0)),O138&amp;"")</f>
        <v/>
      </c>
      <c r="Y138" s="16">
        <f>INDEX('Chart of Accounts'!$A$5:$A$3000,MATCH("vat_input",'Chart of Accounts'!$F$5:$F$3000,0))</f>
        <v/>
      </c>
      <c r="Z138" s="16">
        <f>INDEX('Chart of Accounts'!$A$5:$A$3000,MATCH("wht_payable",'Chart of Accounts'!$F$5:$F$3000,0))</f>
        <v/>
      </c>
      <c r="AA138" s="23">
        <f>IFERROR(INDEX('Chart of Accounts'!$C$5:$C$3000,MATCH(V138&amp;"",'Chart of Accounts'!$A$5:$A$3000,0))&amp;"|"&amp;INDEX('Chart of Accounts'!$D$5:$D$3000,MATCH(V138&amp;"",'Chart of Accounts'!$A$5:$A$3000,0)),"")</f>
        <v/>
      </c>
      <c r="AB138" s="23">
        <f>IFERROR(INDEX('Chart of Accounts'!$C$5:$C$3000,MATCH(Y138&amp;"",'Chart of Accounts'!$A$5:$A$3000,0))&amp;"|"&amp;INDEX('Chart of Accounts'!$D$5:$D$3000,MATCH(Y138&amp;"",'Chart of Accounts'!$A$5:$A$3000,0)),"")</f>
        <v/>
      </c>
      <c r="AC138" s="23">
        <f>IFERROR(INDEX('Chart of Accounts'!$C$5:$C$3000,MATCH(W138&amp;"",'Chart of Accounts'!$A$5:$A$3000,0))&amp;"|"&amp;INDEX('Chart of Accounts'!$D$5:$D$3000,MATCH(W138&amp;"",'Chart of Accounts'!$A$5:$A$3000,0)),"")</f>
        <v/>
      </c>
      <c r="AD138" s="23">
        <f>IFERROR(INDEX('Chart of Accounts'!$C$5:$C$3000,MATCH(X138&amp;"",'Chart of Accounts'!$A$5:$A$3000,0))&amp;"|"&amp;INDEX('Chart of Accounts'!$D$5:$D$3000,MATCH(X138&amp;"",'Chart of Accounts'!$A$5:$A$3000,0)),"")</f>
        <v/>
      </c>
      <c r="AE138" s="23">
        <f>IFERROR(INDEX('Chart of Accounts'!$C$5:$C$3000,MATCH(Z138&amp;"",'Chart of Accounts'!$A$5:$A$3000,0))&amp;"|"&amp;INDEX('Chart of Accounts'!$D$5:$D$3000,MATCH(Z138&amp;"",'Chart of Accounts'!$A$5:$A$3000,0)),"")</f>
        <v/>
      </c>
      <c r="AF138" s="23">
        <f>IF(LEFT(AA138,8)="Revenue|",-N(R138),0)+IF(LEFT(AB138,8)="Revenue|",-N(S138),0)+IF(LEFT(AC138,8)="Revenue|",N(L138),0)+IF(LEFT(AD138,8)="Revenue|",N(U138),0)+IF(LEFT(AE138,8)="Revenue|",N(T138),0)</f>
        <v/>
      </c>
      <c r="AG138" s="23">
        <f>IF(LEFT(AA138,5)="COGS|",N(R138),0)+IF(LEFT(AB138,5)="COGS|",N(S138),0)+IF(LEFT(AC138,5)="COGS|",-N(L138),0)+IF(LEFT(AD138,5)="COGS|",-N(U138),0)+IF(LEFT(AE138,5)="COGS|",-N(T138),0)</f>
        <v/>
      </c>
      <c r="AH138" s="23">
        <f>IF(LEFT(AA138,8)="Expense|",N(R138),0)+IF(LEFT(AB138,8)="Expense|",N(S138),0)+IF(LEFT(AC138,8)="Expense|",-N(L138),0)+IF(LEFT(AD138,8)="Expense|",-N(U138),0)+IF(LEFT(AE138,8)="Expense|",-N(T138),0)</f>
        <v/>
      </c>
      <c r="AI138" s="23">
        <f>IF(ISNUMBER(MATCH(AA138,{"Expense|employee","Expense|general_admin","Expense|marketing","Expense|utilities","Expense|other_operating"},0)),N(R138),0)+IF(ISNUMBER(MATCH(AB138,{"Expense|employee","Expense|general_admin","Expense|marketing","Expense|utilities","Expense|other_operating"},0)),N(S138),0)+IF(ISNUMBER(MATCH(AC138,{"Expense|employee","Expense|general_admin","Expense|marketing","Expense|utilities","Expense|other_operating"},0)),-N(L138),0)+IF(ISNUMBER(MATCH(AD138,{"Expense|employee","Expense|general_admin","Expense|marketing","Expense|utilities","Expense|other_operating"},0)),-N(U138),0)+IF(ISNUMBER(MATCH(AE138,{"Expense|employee","Expense|general_admin","Expense|marketing","Expense|utilities","Expense|other_operating"},0)),-N(T138),0)</f>
        <v/>
      </c>
      <c r="AJ138" s="23">
        <f>IF(AA138="Liability|payable",-N(R138),0)+IF(AB138="Liability|payable",-N(S138),0)+IF(AC138="Liability|payable",N(L138),0)+IF(AD138="Liability|payable",N(U138),0)+IF(AE138="Liability|payable",N(T138),0)</f>
        <v/>
      </c>
      <c r="AK138" s="23">
        <f>IF(AA138="Liability|accrued",-N(R138),0)+IF(AB138="Liability|accrued",-N(S138),0)+IF(AC138="Liability|accrued",N(L138),0)+IF(AD138="Liability|accrued",N(U138),0)+IF(AE138="Liability|accrued",N(T138),0)</f>
        <v/>
      </c>
      <c r="AL138" s="23">
        <f>IF(AND(N(R138)&lt;&gt;0,AA138=""),1,0)+IF(AND(N(S138)&lt;&gt;0,AB138=""),1,0)+IF(AND(N(L138)&lt;&gt;0,AC138=""),1,0)+IF(AND(N(U138)&lt;&gt;0,AD138=""),1,0)+IF(AND(N(T138)&lt;&gt;0,AE138=""),1,0)</f>
        <v/>
      </c>
    </row>
    <row r="139">
      <c r="A139" s="19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20" t="n"/>
      <c r="K139" s="20" t="n"/>
      <c r="L139" s="20" t="n"/>
      <c r="M139" s="14" t="n"/>
      <c r="N139" s="14" t="n"/>
      <c r="O139" s="14" t="n"/>
      <c r="P139" s="14" t="n"/>
      <c r="Q139" s="14" t="n"/>
      <c r="R139" s="21">
        <f>ROUND(N(H139)*N(J139)-N(K139),2)</f>
        <v/>
      </c>
      <c r="S139" s="21">
        <f>ROUND(R139*IFERROR(VLOOKUP(P139,'Tax Codes'!$A$5:$E$300,5,FALSE),0),2)</f>
        <v/>
      </c>
      <c r="T139" s="21">
        <f>ROUND(R139*IFERROR(VLOOKUP(Q139,'Tax Codes'!$A$5:$E$300,5,FALSE),0),2)</f>
        <v/>
      </c>
      <c r="U139" s="21">
        <f>R139+S139-T139-N(L139)</f>
        <v/>
      </c>
      <c r="V139" s="16">
        <f>IF(C139="",INDEX('Chart of Accounts'!$A$5:$A$3000,MATCH("materials",'Chart of Accounts'!$F$5:$F$3000,0)),C139&amp;"")</f>
        <v/>
      </c>
      <c r="W139" s="16">
        <f>IF(N139="",INDEX('Chart of Accounts'!$A$5:$A$3000,MATCH("bank",'Chart of Accounts'!$F$5:$F$3000,0)),N139&amp;"")</f>
        <v/>
      </c>
      <c r="X139" s="16">
        <f>IF(O139="",INDEX('Chart of Accounts'!$A$5:$A$3000,MATCH("ap",'Chart of Accounts'!$F$5:$F$3000,0)),O139&amp;"")</f>
        <v/>
      </c>
      <c r="Y139" s="16">
        <f>INDEX('Chart of Accounts'!$A$5:$A$3000,MATCH("vat_input",'Chart of Accounts'!$F$5:$F$3000,0))</f>
        <v/>
      </c>
      <c r="Z139" s="16">
        <f>INDEX('Chart of Accounts'!$A$5:$A$3000,MATCH("wht_payable",'Chart of Accounts'!$F$5:$F$3000,0))</f>
        <v/>
      </c>
      <c r="AA139" s="23">
        <f>IFERROR(INDEX('Chart of Accounts'!$C$5:$C$3000,MATCH(V139&amp;"",'Chart of Accounts'!$A$5:$A$3000,0))&amp;"|"&amp;INDEX('Chart of Accounts'!$D$5:$D$3000,MATCH(V139&amp;"",'Chart of Accounts'!$A$5:$A$3000,0)),"")</f>
        <v/>
      </c>
      <c r="AB139" s="23">
        <f>IFERROR(INDEX('Chart of Accounts'!$C$5:$C$3000,MATCH(Y139&amp;"",'Chart of Accounts'!$A$5:$A$3000,0))&amp;"|"&amp;INDEX('Chart of Accounts'!$D$5:$D$3000,MATCH(Y139&amp;"",'Chart of Accounts'!$A$5:$A$3000,0)),"")</f>
        <v/>
      </c>
      <c r="AC139" s="23">
        <f>IFERROR(INDEX('Chart of Accounts'!$C$5:$C$3000,MATCH(W139&amp;"",'Chart of Accounts'!$A$5:$A$3000,0))&amp;"|"&amp;INDEX('Chart of Accounts'!$D$5:$D$3000,MATCH(W139&amp;"",'Chart of Accounts'!$A$5:$A$3000,0)),"")</f>
        <v/>
      </c>
      <c r="AD139" s="23">
        <f>IFERROR(INDEX('Chart of Accounts'!$C$5:$C$3000,MATCH(X139&amp;"",'Chart of Accounts'!$A$5:$A$3000,0))&amp;"|"&amp;INDEX('Chart of Accounts'!$D$5:$D$3000,MATCH(X139&amp;"",'Chart of Accounts'!$A$5:$A$3000,0)),"")</f>
        <v/>
      </c>
      <c r="AE139" s="23">
        <f>IFERROR(INDEX('Chart of Accounts'!$C$5:$C$3000,MATCH(Z139&amp;"",'Chart of Accounts'!$A$5:$A$3000,0))&amp;"|"&amp;INDEX('Chart of Accounts'!$D$5:$D$3000,MATCH(Z139&amp;"",'Chart of Accounts'!$A$5:$A$3000,0)),"")</f>
        <v/>
      </c>
      <c r="AF139" s="23">
        <f>IF(LEFT(AA139,8)="Revenue|",-N(R139),0)+IF(LEFT(AB139,8)="Revenue|",-N(S139),0)+IF(LEFT(AC139,8)="Revenue|",N(L139),0)+IF(LEFT(AD139,8)="Revenue|",N(U139),0)+IF(LEFT(AE139,8)="Revenue|",N(T139),0)</f>
        <v/>
      </c>
      <c r="AG139" s="23">
        <f>IF(LEFT(AA139,5)="COGS|",N(R139),0)+IF(LEFT(AB139,5)="COGS|",N(S139),0)+IF(LEFT(AC139,5)="COGS|",-N(L139),0)+IF(LEFT(AD139,5)="COGS|",-N(U139),0)+IF(LEFT(AE139,5)="COGS|",-N(T139),0)</f>
        <v/>
      </c>
      <c r="AH139" s="23">
        <f>IF(LEFT(AA139,8)="Expense|",N(R139),0)+IF(LEFT(AB139,8)="Expense|",N(S139),0)+IF(LEFT(AC139,8)="Expense|",-N(L139),0)+IF(LEFT(AD139,8)="Expense|",-N(U139),0)+IF(LEFT(AE139,8)="Expense|",-N(T139),0)</f>
        <v/>
      </c>
      <c r="AI139" s="23">
        <f>IF(ISNUMBER(MATCH(AA139,{"Expense|employee","Expense|general_admin","Expense|marketing","Expense|utilities","Expense|other_operating"},0)),N(R139),0)+IF(ISNUMBER(MATCH(AB139,{"Expense|employee","Expense|general_admin","Expense|marketing","Expense|utilities","Expense|other_operating"},0)),N(S139),0)+IF(ISNUMBER(MATCH(AC139,{"Expense|employee","Expense|general_admin","Expense|marketing","Expense|utilities","Expense|other_operating"},0)),-N(L139),0)+IF(ISNUMBER(MATCH(AD139,{"Expense|employee","Expense|general_admin","Expense|marketing","Expense|utilities","Expense|other_operating"},0)),-N(U139),0)+IF(ISNUMBER(MATCH(AE139,{"Expense|employee","Expense|general_admin","Expense|marketing","Expense|utilities","Expense|other_operating"},0)),-N(T139),0)</f>
        <v/>
      </c>
      <c r="AJ139" s="23">
        <f>IF(AA139="Liability|payable",-N(R139),0)+IF(AB139="Liability|payable",-N(S139),0)+IF(AC139="Liability|payable",N(L139),0)+IF(AD139="Liability|payable",N(U139),0)+IF(AE139="Liability|payable",N(T139),0)</f>
        <v/>
      </c>
      <c r="AK139" s="23">
        <f>IF(AA139="Liability|accrued",-N(R139),0)+IF(AB139="Liability|accrued",-N(S139),0)+IF(AC139="Liability|accrued",N(L139),0)+IF(AD139="Liability|accrued",N(U139),0)+IF(AE139="Liability|accrued",N(T139),0)</f>
        <v/>
      </c>
      <c r="AL139" s="23">
        <f>IF(AND(N(R139)&lt;&gt;0,AA139=""),1,0)+IF(AND(N(S139)&lt;&gt;0,AB139=""),1,0)+IF(AND(N(L139)&lt;&gt;0,AC139=""),1,0)+IF(AND(N(U139)&lt;&gt;0,AD139=""),1,0)+IF(AND(N(T139)&lt;&gt;0,AE139=""),1,0)</f>
        <v/>
      </c>
    </row>
    <row r="140">
      <c r="A140" s="19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20" t="n"/>
      <c r="K140" s="20" t="n"/>
      <c r="L140" s="20" t="n"/>
      <c r="M140" s="14" t="n"/>
      <c r="N140" s="14" t="n"/>
      <c r="O140" s="14" t="n"/>
      <c r="P140" s="14" t="n"/>
      <c r="Q140" s="14" t="n"/>
      <c r="R140" s="21">
        <f>ROUND(N(H140)*N(J140)-N(K140),2)</f>
        <v/>
      </c>
      <c r="S140" s="21">
        <f>ROUND(R140*IFERROR(VLOOKUP(P140,'Tax Codes'!$A$5:$E$300,5,FALSE),0),2)</f>
        <v/>
      </c>
      <c r="T140" s="21">
        <f>ROUND(R140*IFERROR(VLOOKUP(Q140,'Tax Codes'!$A$5:$E$300,5,FALSE),0),2)</f>
        <v/>
      </c>
      <c r="U140" s="21">
        <f>R140+S140-T140-N(L140)</f>
        <v/>
      </c>
      <c r="V140" s="16">
        <f>IF(C140="",INDEX('Chart of Accounts'!$A$5:$A$3000,MATCH("materials",'Chart of Accounts'!$F$5:$F$3000,0)),C140&amp;"")</f>
        <v/>
      </c>
      <c r="W140" s="16">
        <f>IF(N140="",INDEX('Chart of Accounts'!$A$5:$A$3000,MATCH("bank",'Chart of Accounts'!$F$5:$F$3000,0)),N140&amp;"")</f>
        <v/>
      </c>
      <c r="X140" s="16">
        <f>IF(O140="",INDEX('Chart of Accounts'!$A$5:$A$3000,MATCH("ap",'Chart of Accounts'!$F$5:$F$3000,0)),O140&amp;"")</f>
        <v/>
      </c>
      <c r="Y140" s="16">
        <f>INDEX('Chart of Accounts'!$A$5:$A$3000,MATCH("vat_input",'Chart of Accounts'!$F$5:$F$3000,0))</f>
        <v/>
      </c>
      <c r="Z140" s="16">
        <f>INDEX('Chart of Accounts'!$A$5:$A$3000,MATCH("wht_payable",'Chart of Accounts'!$F$5:$F$3000,0))</f>
        <v/>
      </c>
      <c r="AA140" s="23">
        <f>IFERROR(INDEX('Chart of Accounts'!$C$5:$C$3000,MATCH(V140&amp;"",'Chart of Accounts'!$A$5:$A$3000,0))&amp;"|"&amp;INDEX('Chart of Accounts'!$D$5:$D$3000,MATCH(V140&amp;"",'Chart of Accounts'!$A$5:$A$3000,0)),"")</f>
        <v/>
      </c>
      <c r="AB140" s="23">
        <f>IFERROR(INDEX('Chart of Accounts'!$C$5:$C$3000,MATCH(Y140&amp;"",'Chart of Accounts'!$A$5:$A$3000,0))&amp;"|"&amp;INDEX('Chart of Accounts'!$D$5:$D$3000,MATCH(Y140&amp;"",'Chart of Accounts'!$A$5:$A$3000,0)),"")</f>
        <v/>
      </c>
      <c r="AC140" s="23">
        <f>IFERROR(INDEX('Chart of Accounts'!$C$5:$C$3000,MATCH(W140&amp;"",'Chart of Accounts'!$A$5:$A$3000,0))&amp;"|"&amp;INDEX('Chart of Accounts'!$D$5:$D$3000,MATCH(W140&amp;"",'Chart of Accounts'!$A$5:$A$3000,0)),"")</f>
        <v/>
      </c>
      <c r="AD140" s="23">
        <f>IFERROR(INDEX('Chart of Accounts'!$C$5:$C$3000,MATCH(X140&amp;"",'Chart of Accounts'!$A$5:$A$3000,0))&amp;"|"&amp;INDEX('Chart of Accounts'!$D$5:$D$3000,MATCH(X140&amp;"",'Chart of Accounts'!$A$5:$A$3000,0)),"")</f>
        <v/>
      </c>
      <c r="AE140" s="23">
        <f>IFERROR(INDEX('Chart of Accounts'!$C$5:$C$3000,MATCH(Z140&amp;"",'Chart of Accounts'!$A$5:$A$3000,0))&amp;"|"&amp;INDEX('Chart of Accounts'!$D$5:$D$3000,MATCH(Z140&amp;"",'Chart of Accounts'!$A$5:$A$3000,0)),"")</f>
        <v/>
      </c>
      <c r="AF140" s="23">
        <f>IF(LEFT(AA140,8)="Revenue|",-N(R140),0)+IF(LEFT(AB140,8)="Revenue|",-N(S140),0)+IF(LEFT(AC140,8)="Revenue|",N(L140),0)+IF(LEFT(AD140,8)="Revenue|",N(U140),0)+IF(LEFT(AE140,8)="Revenue|",N(T140),0)</f>
        <v/>
      </c>
      <c r="AG140" s="23">
        <f>IF(LEFT(AA140,5)="COGS|",N(R140),0)+IF(LEFT(AB140,5)="COGS|",N(S140),0)+IF(LEFT(AC140,5)="COGS|",-N(L140),0)+IF(LEFT(AD140,5)="COGS|",-N(U140),0)+IF(LEFT(AE140,5)="COGS|",-N(T140),0)</f>
        <v/>
      </c>
      <c r="AH140" s="23">
        <f>IF(LEFT(AA140,8)="Expense|",N(R140),0)+IF(LEFT(AB140,8)="Expense|",N(S140),0)+IF(LEFT(AC140,8)="Expense|",-N(L140),0)+IF(LEFT(AD140,8)="Expense|",-N(U140),0)+IF(LEFT(AE140,8)="Expense|",-N(T140),0)</f>
        <v/>
      </c>
      <c r="AI140" s="23">
        <f>IF(ISNUMBER(MATCH(AA140,{"Expense|employee","Expense|general_admin","Expense|marketing","Expense|utilities","Expense|other_operating"},0)),N(R140),0)+IF(ISNUMBER(MATCH(AB140,{"Expense|employee","Expense|general_admin","Expense|marketing","Expense|utilities","Expense|other_operating"},0)),N(S140),0)+IF(ISNUMBER(MATCH(AC140,{"Expense|employee","Expense|general_admin","Expense|marketing","Expense|utilities","Expense|other_operating"},0)),-N(L140),0)+IF(ISNUMBER(MATCH(AD140,{"Expense|employee","Expense|general_admin","Expense|marketing","Expense|utilities","Expense|other_operating"},0)),-N(U140),0)+IF(ISNUMBER(MATCH(AE140,{"Expense|employee","Expense|general_admin","Expense|marketing","Expense|utilities","Expense|other_operating"},0)),-N(T140),0)</f>
        <v/>
      </c>
      <c r="AJ140" s="23">
        <f>IF(AA140="Liability|payable",-N(R140),0)+IF(AB140="Liability|payable",-N(S140),0)+IF(AC140="Liability|payable",N(L140),0)+IF(AD140="Liability|payable",N(U140),0)+IF(AE140="Liability|payable",N(T140),0)</f>
        <v/>
      </c>
      <c r="AK140" s="23">
        <f>IF(AA140="Liability|accrued",-N(R140),0)+IF(AB140="Liability|accrued",-N(S140),0)+IF(AC140="Liability|accrued",N(L140),0)+IF(AD140="Liability|accrued",N(U140),0)+IF(AE140="Liability|accrued",N(T140),0)</f>
        <v/>
      </c>
      <c r="AL140" s="23">
        <f>IF(AND(N(R140)&lt;&gt;0,AA140=""),1,0)+IF(AND(N(S140)&lt;&gt;0,AB140=""),1,0)+IF(AND(N(L140)&lt;&gt;0,AC140=""),1,0)+IF(AND(N(U140)&lt;&gt;0,AD140=""),1,0)+IF(AND(N(T140)&lt;&gt;0,AE140=""),1,0)</f>
        <v/>
      </c>
    </row>
    <row r="141">
      <c r="A141" s="19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20" t="n"/>
      <c r="K141" s="20" t="n"/>
      <c r="L141" s="20" t="n"/>
      <c r="M141" s="14" t="n"/>
      <c r="N141" s="14" t="n"/>
      <c r="O141" s="14" t="n"/>
      <c r="P141" s="14" t="n"/>
      <c r="Q141" s="14" t="n"/>
      <c r="R141" s="21">
        <f>ROUND(N(H141)*N(J141)-N(K141),2)</f>
        <v/>
      </c>
      <c r="S141" s="21">
        <f>ROUND(R141*IFERROR(VLOOKUP(P141,'Tax Codes'!$A$5:$E$300,5,FALSE),0),2)</f>
        <v/>
      </c>
      <c r="T141" s="21">
        <f>ROUND(R141*IFERROR(VLOOKUP(Q141,'Tax Codes'!$A$5:$E$300,5,FALSE),0),2)</f>
        <v/>
      </c>
      <c r="U141" s="21">
        <f>R141+S141-T141-N(L141)</f>
        <v/>
      </c>
      <c r="V141" s="16">
        <f>IF(C141="",INDEX('Chart of Accounts'!$A$5:$A$3000,MATCH("materials",'Chart of Accounts'!$F$5:$F$3000,0)),C141&amp;"")</f>
        <v/>
      </c>
      <c r="W141" s="16">
        <f>IF(N141="",INDEX('Chart of Accounts'!$A$5:$A$3000,MATCH("bank",'Chart of Accounts'!$F$5:$F$3000,0)),N141&amp;"")</f>
        <v/>
      </c>
      <c r="X141" s="16">
        <f>IF(O141="",INDEX('Chart of Accounts'!$A$5:$A$3000,MATCH("ap",'Chart of Accounts'!$F$5:$F$3000,0)),O141&amp;"")</f>
        <v/>
      </c>
      <c r="Y141" s="16">
        <f>INDEX('Chart of Accounts'!$A$5:$A$3000,MATCH("vat_input",'Chart of Accounts'!$F$5:$F$3000,0))</f>
        <v/>
      </c>
      <c r="Z141" s="16">
        <f>INDEX('Chart of Accounts'!$A$5:$A$3000,MATCH("wht_payable",'Chart of Accounts'!$F$5:$F$3000,0))</f>
        <v/>
      </c>
      <c r="AA141" s="23">
        <f>IFERROR(INDEX('Chart of Accounts'!$C$5:$C$3000,MATCH(V141&amp;"",'Chart of Accounts'!$A$5:$A$3000,0))&amp;"|"&amp;INDEX('Chart of Accounts'!$D$5:$D$3000,MATCH(V141&amp;"",'Chart of Accounts'!$A$5:$A$3000,0)),"")</f>
        <v/>
      </c>
      <c r="AB141" s="23">
        <f>IFERROR(INDEX('Chart of Accounts'!$C$5:$C$3000,MATCH(Y141&amp;"",'Chart of Accounts'!$A$5:$A$3000,0))&amp;"|"&amp;INDEX('Chart of Accounts'!$D$5:$D$3000,MATCH(Y141&amp;"",'Chart of Accounts'!$A$5:$A$3000,0)),"")</f>
        <v/>
      </c>
      <c r="AC141" s="23">
        <f>IFERROR(INDEX('Chart of Accounts'!$C$5:$C$3000,MATCH(W141&amp;"",'Chart of Accounts'!$A$5:$A$3000,0))&amp;"|"&amp;INDEX('Chart of Accounts'!$D$5:$D$3000,MATCH(W141&amp;"",'Chart of Accounts'!$A$5:$A$3000,0)),"")</f>
        <v/>
      </c>
      <c r="AD141" s="23">
        <f>IFERROR(INDEX('Chart of Accounts'!$C$5:$C$3000,MATCH(X141&amp;"",'Chart of Accounts'!$A$5:$A$3000,0))&amp;"|"&amp;INDEX('Chart of Accounts'!$D$5:$D$3000,MATCH(X141&amp;"",'Chart of Accounts'!$A$5:$A$3000,0)),"")</f>
        <v/>
      </c>
      <c r="AE141" s="23">
        <f>IFERROR(INDEX('Chart of Accounts'!$C$5:$C$3000,MATCH(Z141&amp;"",'Chart of Accounts'!$A$5:$A$3000,0))&amp;"|"&amp;INDEX('Chart of Accounts'!$D$5:$D$3000,MATCH(Z141&amp;"",'Chart of Accounts'!$A$5:$A$3000,0)),"")</f>
        <v/>
      </c>
      <c r="AF141" s="23">
        <f>IF(LEFT(AA141,8)="Revenue|",-N(R141),0)+IF(LEFT(AB141,8)="Revenue|",-N(S141),0)+IF(LEFT(AC141,8)="Revenue|",N(L141),0)+IF(LEFT(AD141,8)="Revenue|",N(U141),0)+IF(LEFT(AE141,8)="Revenue|",N(T141),0)</f>
        <v/>
      </c>
      <c r="AG141" s="23">
        <f>IF(LEFT(AA141,5)="COGS|",N(R141),0)+IF(LEFT(AB141,5)="COGS|",N(S141),0)+IF(LEFT(AC141,5)="COGS|",-N(L141),0)+IF(LEFT(AD141,5)="COGS|",-N(U141),0)+IF(LEFT(AE141,5)="COGS|",-N(T141),0)</f>
        <v/>
      </c>
      <c r="AH141" s="23">
        <f>IF(LEFT(AA141,8)="Expense|",N(R141),0)+IF(LEFT(AB141,8)="Expense|",N(S141),0)+IF(LEFT(AC141,8)="Expense|",-N(L141),0)+IF(LEFT(AD141,8)="Expense|",-N(U141),0)+IF(LEFT(AE141,8)="Expense|",-N(T141),0)</f>
        <v/>
      </c>
      <c r="AI141" s="23">
        <f>IF(ISNUMBER(MATCH(AA141,{"Expense|employee","Expense|general_admin","Expense|marketing","Expense|utilities","Expense|other_operating"},0)),N(R141),0)+IF(ISNUMBER(MATCH(AB141,{"Expense|employee","Expense|general_admin","Expense|marketing","Expense|utilities","Expense|other_operating"},0)),N(S141),0)+IF(ISNUMBER(MATCH(AC141,{"Expense|employee","Expense|general_admin","Expense|marketing","Expense|utilities","Expense|other_operating"},0)),-N(L141),0)+IF(ISNUMBER(MATCH(AD141,{"Expense|employee","Expense|general_admin","Expense|marketing","Expense|utilities","Expense|other_operating"},0)),-N(U141),0)+IF(ISNUMBER(MATCH(AE141,{"Expense|employee","Expense|general_admin","Expense|marketing","Expense|utilities","Expense|other_operating"},0)),-N(T141),0)</f>
        <v/>
      </c>
      <c r="AJ141" s="23">
        <f>IF(AA141="Liability|payable",-N(R141),0)+IF(AB141="Liability|payable",-N(S141),0)+IF(AC141="Liability|payable",N(L141),0)+IF(AD141="Liability|payable",N(U141),0)+IF(AE141="Liability|payable",N(T141),0)</f>
        <v/>
      </c>
      <c r="AK141" s="23">
        <f>IF(AA141="Liability|accrued",-N(R141),0)+IF(AB141="Liability|accrued",-N(S141),0)+IF(AC141="Liability|accrued",N(L141),0)+IF(AD141="Liability|accrued",N(U141),0)+IF(AE141="Liability|accrued",N(T141),0)</f>
        <v/>
      </c>
      <c r="AL141" s="23">
        <f>IF(AND(N(R141)&lt;&gt;0,AA141=""),1,0)+IF(AND(N(S141)&lt;&gt;0,AB141=""),1,0)+IF(AND(N(L141)&lt;&gt;0,AC141=""),1,0)+IF(AND(N(U141)&lt;&gt;0,AD141=""),1,0)+IF(AND(N(T141)&lt;&gt;0,AE141=""),1,0)</f>
        <v/>
      </c>
    </row>
    <row r="142">
      <c r="A142" s="19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20" t="n"/>
      <c r="K142" s="20" t="n"/>
      <c r="L142" s="20" t="n"/>
      <c r="M142" s="14" t="n"/>
      <c r="N142" s="14" t="n"/>
      <c r="O142" s="14" t="n"/>
      <c r="P142" s="14" t="n"/>
      <c r="Q142" s="14" t="n"/>
      <c r="R142" s="21">
        <f>ROUND(N(H142)*N(J142)-N(K142),2)</f>
        <v/>
      </c>
      <c r="S142" s="21">
        <f>ROUND(R142*IFERROR(VLOOKUP(P142,'Tax Codes'!$A$5:$E$300,5,FALSE),0),2)</f>
        <v/>
      </c>
      <c r="T142" s="21">
        <f>ROUND(R142*IFERROR(VLOOKUP(Q142,'Tax Codes'!$A$5:$E$300,5,FALSE),0),2)</f>
        <v/>
      </c>
      <c r="U142" s="21">
        <f>R142+S142-T142-N(L142)</f>
        <v/>
      </c>
      <c r="V142" s="16">
        <f>IF(C142="",INDEX('Chart of Accounts'!$A$5:$A$3000,MATCH("materials",'Chart of Accounts'!$F$5:$F$3000,0)),C142&amp;"")</f>
        <v/>
      </c>
      <c r="W142" s="16">
        <f>IF(N142="",INDEX('Chart of Accounts'!$A$5:$A$3000,MATCH("bank",'Chart of Accounts'!$F$5:$F$3000,0)),N142&amp;"")</f>
        <v/>
      </c>
      <c r="X142" s="16">
        <f>IF(O142="",INDEX('Chart of Accounts'!$A$5:$A$3000,MATCH("ap",'Chart of Accounts'!$F$5:$F$3000,0)),O142&amp;"")</f>
        <v/>
      </c>
      <c r="Y142" s="16">
        <f>INDEX('Chart of Accounts'!$A$5:$A$3000,MATCH("vat_input",'Chart of Accounts'!$F$5:$F$3000,0))</f>
        <v/>
      </c>
      <c r="Z142" s="16">
        <f>INDEX('Chart of Accounts'!$A$5:$A$3000,MATCH("wht_payable",'Chart of Accounts'!$F$5:$F$3000,0))</f>
        <v/>
      </c>
      <c r="AA142" s="23">
        <f>IFERROR(INDEX('Chart of Accounts'!$C$5:$C$3000,MATCH(V142&amp;"",'Chart of Accounts'!$A$5:$A$3000,0))&amp;"|"&amp;INDEX('Chart of Accounts'!$D$5:$D$3000,MATCH(V142&amp;"",'Chart of Accounts'!$A$5:$A$3000,0)),"")</f>
        <v/>
      </c>
      <c r="AB142" s="23">
        <f>IFERROR(INDEX('Chart of Accounts'!$C$5:$C$3000,MATCH(Y142&amp;"",'Chart of Accounts'!$A$5:$A$3000,0))&amp;"|"&amp;INDEX('Chart of Accounts'!$D$5:$D$3000,MATCH(Y142&amp;"",'Chart of Accounts'!$A$5:$A$3000,0)),"")</f>
        <v/>
      </c>
      <c r="AC142" s="23">
        <f>IFERROR(INDEX('Chart of Accounts'!$C$5:$C$3000,MATCH(W142&amp;"",'Chart of Accounts'!$A$5:$A$3000,0))&amp;"|"&amp;INDEX('Chart of Accounts'!$D$5:$D$3000,MATCH(W142&amp;"",'Chart of Accounts'!$A$5:$A$3000,0)),"")</f>
        <v/>
      </c>
      <c r="AD142" s="23">
        <f>IFERROR(INDEX('Chart of Accounts'!$C$5:$C$3000,MATCH(X142&amp;"",'Chart of Accounts'!$A$5:$A$3000,0))&amp;"|"&amp;INDEX('Chart of Accounts'!$D$5:$D$3000,MATCH(X142&amp;"",'Chart of Accounts'!$A$5:$A$3000,0)),"")</f>
        <v/>
      </c>
      <c r="AE142" s="23">
        <f>IFERROR(INDEX('Chart of Accounts'!$C$5:$C$3000,MATCH(Z142&amp;"",'Chart of Accounts'!$A$5:$A$3000,0))&amp;"|"&amp;INDEX('Chart of Accounts'!$D$5:$D$3000,MATCH(Z142&amp;"",'Chart of Accounts'!$A$5:$A$3000,0)),"")</f>
        <v/>
      </c>
      <c r="AF142" s="23">
        <f>IF(LEFT(AA142,8)="Revenue|",-N(R142),0)+IF(LEFT(AB142,8)="Revenue|",-N(S142),0)+IF(LEFT(AC142,8)="Revenue|",N(L142),0)+IF(LEFT(AD142,8)="Revenue|",N(U142),0)+IF(LEFT(AE142,8)="Revenue|",N(T142),0)</f>
        <v/>
      </c>
      <c r="AG142" s="23">
        <f>IF(LEFT(AA142,5)="COGS|",N(R142),0)+IF(LEFT(AB142,5)="COGS|",N(S142),0)+IF(LEFT(AC142,5)="COGS|",-N(L142),0)+IF(LEFT(AD142,5)="COGS|",-N(U142),0)+IF(LEFT(AE142,5)="COGS|",-N(T142),0)</f>
        <v/>
      </c>
      <c r="AH142" s="23">
        <f>IF(LEFT(AA142,8)="Expense|",N(R142),0)+IF(LEFT(AB142,8)="Expense|",N(S142),0)+IF(LEFT(AC142,8)="Expense|",-N(L142),0)+IF(LEFT(AD142,8)="Expense|",-N(U142),0)+IF(LEFT(AE142,8)="Expense|",-N(T142),0)</f>
        <v/>
      </c>
      <c r="AI142" s="23">
        <f>IF(ISNUMBER(MATCH(AA142,{"Expense|employee","Expense|general_admin","Expense|marketing","Expense|utilities","Expense|other_operating"},0)),N(R142),0)+IF(ISNUMBER(MATCH(AB142,{"Expense|employee","Expense|general_admin","Expense|marketing","Expense|utilities","Expense|other_operating"},0)),N(S142),0)+IF(ISNUMBER(MATCH(AC142,{"Expense|employee","Expense|general_admin","Expense|marketing","Expense|utilities","Expense|other_operating"},0)),-N(L142),0)+IF(ISNUMBER(MATCH(AD142,{"Expense|employee","Expense|general_admin","Expense|marketing","Expense|utilities","Expense|other_operating"},0)),-N(U142),0)+IF(ISNUMBER(MATCH(AE142,{"Expense|employee","Expense|general_admin","Expense|marketing","Expense|utilities","Expense|other_operating"},0)),-N(T142),0)</f>
        <v/>
      </c>
      <c r="AJ142" s="23">
        <f>IF(AA142="Liability|payable",-N(R142),0)+IF(AB142="Liability|payable",-N(S142),0)+IF(AC142="Liability|payable",N(L142),0)+IF(AD142="Liability|payable",N(U142),0)+IF(AE142="Liability|payable",N(T142),0)</f>
        <v/>
      </c>
      <c r="AK142" s="23">
        <f>IF(AA142="Liability|accrued",-N(R142),0)+IF(AB142="Liability|accrued",-N(S142),0)+IF(AC142="Liability|accrued",N(L142),0)+IF(AD142="Liability|accrued",N(U142),0)+IF(AE142="Liability|accrued",N(T142),0)</f>
        <v/>
      </c>
      <c r="AL142" s="23">
        <f>IF(AND(N(R142)&lt;&gt;0,AA142=""),1,0)+IF(AND(N(S142)&lt;&gt;0,AB142=""),1,0)+IF(AND(N(L142)&lt;&gt;0,AC142=""),1,0)+IF(AND(N(U142)&lt;&gt;0,AD142=""),1,0)+IF(AND(N(T142)&lt;&gt;0,AE142=""),1,0)</f>
        <v/>
      </c>
    </row>
    <row r="143">
      <c r="A143" s="19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20" t="n"/>
      <c r="K143" s="20" t="n"/>
      <c r="L143" s="20" t="n"/>
      <c r="M143" s="14" t="n"/>
      <c r="N143" s="14" t="n"/>
      <c r="O143" s="14" t="n"/>
      <c r="P143" s="14" t="n"/>
      <c r="Q143" s="14" t="n"/>
      <c r="R143" s="21">
        <f>ROUND(N(H143)*N(J143)-N(K143),2)</f>
        <v/>
      </c>
      <c r="S143" s="21">
        <f>ROUND(R143*IFERROR(VLOOKUP(P143,'Tax Codes'!$A$5:$E$300,5,FALSE),0),2)</f>
        <v/>
      </c>
      <c r="T143" s="21">
        <f>ROUND(R143*IFERROR(VLOOKUP(Q143,'Tax Codes'!$A$5:$E$300,5,FALSE),0),2)</f>
        <v/>
      </c>
      <c r="U143" s="21">
        <f>R143+S143-T143-N(L143)</f>
        <v/>
      </c>
      <c r="V143" s="16">
        <f>IF(C143="",INDEX('Chart of Accounts'!$A$5:$A$3000,MATCH("materials",'Chart of Accounts'!$F$5:$F$3000,0)),C143&amp;"")</f>
        <v/>
      </c>
      <c r="W143" s="16">
        <f>IF(N143="",INDEX('Chart of Accounts'!$A$5:$A$3000,MATCH("bank",'Chart of Accounts'!$F$5:$F$3000,0)),N143&amp;"")</f>
        <v/>
      </c>
      <c r="X143" s="16">
        <f>IF(O143="",INDEX('Chart of Accounts'!$A$5:$A$3000,MATCH("ap",'Chart of Accounts'!$F$5:$F$3000,0)),O143&amp;"")</f>
        <v/>
      </c>
      <c r="Y143" s="16">
        <f>INDEX('Chart of Accounts'!$A$5:$A$3000,MATCH("vat_input",'Chart of Accounts'!$F$5:$F$3000,0))</f>
        <v/>
      </c>
      <c r="Z143" s="16">
        <f>INDEX('Chart of Accounts'!$A$5:$A$3000,MATCH("wht_payable",'Chart of Accounts'!$F$5:$F$3000,0))</f>
        <v/>
      </c>
      <c r="AA143" s="23">
        <f>IFERROR(INDEX('Chart of Accounts'!$C$5:$C$3000,MATCH(V143&amp;"",'Chart of Accounts'!$A$5:$A$3000,0))&amp;"|"&amp;INDEX('Chart of Accounts'!$D$5:$D$3000,MATCH(V143&amp;"",'Chart of Accounts'!$A$5:$A$3000,0)),"")</f>
        <v/>
      </c>
      <c r="AB143" s="23">
        <f>IFERROR(INDEX('Chart of Accounts'!$C$5:$C$3000,MATCH(Y143&amp;"",'Chart of Accounts'!$A$5:$A$3000,0))&amp;"|"&amp;INDEX('Chart of Accounts'!$D$5:$D$3000,MATCH(Y143&amp;"",'Chart of Accounts'!$A$5:$A$3000,0)),"")</f>
        <v/>
      </c>
      <c r="AC143" s="23">
        <f>IFERROR(INDEX('Chart of Accounts'!$C$5:$C$3000,MATCH(W143&amp;"",'Chart of Accounts'!$A$5:$A$3000,0))&amp;"|"&amp;INDEX('Chart of Accounts'!$D$5:$D$3000,MATCH(W143&amp;"",'Chart of Accounts'!$A$5:$A$3000,0)),"")</f>
        <v/>
      </c>
      <c r="AD143" s="23">
        <f>IFERROR(INDEX('Chart of Accounts'!$C$5:$C$3000,MATCH(X143&amp;"",'Chart of Accounts'!$A$5:$A$3000,0))&amp;"|"&amp;INDEX('Chart of Accounts'!$D$5:$D$3000,MATCH(X143&amp;"",'Chart of Accounts'!$A$5:$A$3000,0)),"")</f>
        <v/>
      </c>
      <c r="AE143" s="23">
        <f>IFERROR(INDEX('Chart of Accounts'!$C$5:$C$3000,MATCH(Z143&amp;"",'Chart of Accounts'!$A$5:$A$3000,0))&amp;"|"&amp;INDEX('Chart of Accounts'!$D$5:$D$3000,MATCH(Z143&amp;"",'Chart of Accounts'!$A$5:$A$3000,0)),"")</f>
        <v/>
      </c>
      <c r="AF143" s="23">
        <f>IF(LEFT(AA143,8)="Revenue|",-N(R143),0)+IF(LEFT(AB143,8)="Revenue|",-N(S143),0)+IF(LEFT(AC143,8)="Revenue|",N(L143),0)+IF(LEFT(AD143,8)="Revenue|",N(U143),0)+IF(LEFT(AE143,8)="Revenue|",N(T143),0)</f>
        <v/>
      </c>
      <c r="AG143" s="23">
        <f>IF(LEFT(AA143,5)="COGS|",N(R143),0)+IF(LEFT(AB143,5)="COGS|",N(S143),0)+IF(LEFT(AC143,5)="COGS|",-N(L143),0)+IF(LEFT(AD143,5)="COGS|",-N(U143),0)+IF(LEFT(AE143,5)="COGS|",-N(T143),0)</f>
        <v/>
      </c>
      <c r="AH143" s="23">
        <f>IF(LEFT(AA143,8)="Expense|",N(R143),0)+IF(LEFT(AB143,8)="Expense|",N(S143),0)+IF(LEFT(AC143,8)="Expense|",-N(L143),0)+IF(LEFT(AD143,8)="Expense|",-N(U143),0)+IF(LEFT(AE143,8)="Expense|",-N(T143),0)</f>
        <v/>
      </c>
      <c r="AI143" s="23">
        <f>IF(ISNUMBER(MATCH(AA143,{"Expense|employee","Expense|general_admin","Expense|marketing","Expense|utilities","Expense|other_operating"},0)),N(R143),0)+IF(ISNUMBER(MATCH(AB143,{"Expense|employee","Expense|general_admin","Expense|marketing","Expense|utilities","Expense|other_operating"},0)),N(S143),0)+IF(ISNUMBER(MATCH(AC143,{"Expense|employee","Expense|general_admin","Expense|marketing","Expense|utilities","Expense|other_operating"},0)),-N(L143),0)+IF(ISNUMBER(MATCH(AD143,{"Expense|employee","Expense|general_admin","Expense|marketing","Expense|utilities","Expense|other_operating"},0)),-N(U143),0)+IF(ISNUMBER(MATCH(AE143,{"Expense|employee","Expense|general_admin","Expense|marketing","Expense|utilities","Expense|other_operating"},0)),-N(T143),0)</f>
        <v/>
      </c>
      <c r="AJ143" s="23">
        <f>IF(AA143="Liability|payable",-N(R143),0)+IF(AB143="Liability|payable",-N(S143),0)+IF(AC143="Liability|payable",N(L143),0)+IF(AD143="Liability|payable",N(U143),0)+IF(AE143="Liability|payable",N(T143),0)</f>
        <v/>
      </c>
      <c r="AK143" s="23">
        <f>IF(AA143="Liability|accrued",-N(R143),0)+IF(AB143="Liability|accrued",-N(S143),0)+IF(AC143="Liability|accrued",N(L143),0)+IF(AD143="Liability|accrued",N(U143),0)+IF(AE143="Liability|accrued",N(T143),0)</f>
        <v/>
      </c>
      <c r="AL143" s="23">
        <f>IF(AND(N(R143)&lt;&gt;0,AA143=""),1,0)+IF(AND(N(S143)&lt;&gt;0,AB143=""),1,0)+IF(AND(N(L143)&lt;&gt;0,AC143=""),1,0)+IF(AND(N(U143)&lt;&gt;0,AD143=""),1,0)+IF(AND(N(T143)&lt;&gt;0,AE143=""),1,0)</f>
        <v/>
      </c>
    </row>
    <row r="144">
      <c r="A144" s="19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20" t="n"/>
      <c r="K144" s="20" t="n"/>
      <c r="L144" s="20" t="n"/>
      <c r="M144" s="14" t="n"/>
      <c r="N144" s="14" t="n"/>
      <c r="O144" s="14" t="n"/>
      <c r="P144" s="14" t="n"/>
      <c r="Q144" s="14" t="n"/>
      <c r="R144" s="21">
        <f>ROUND(N(H144)*N(J144)-N(K144),2)</f>
        <v/>
      </c>
      <c r="S144" s="21">
        <f>ROUND(R144*IFERROR(VLOOKUP(P144,'Tax Codes'!$A$5:$E$300,5,FALSE),0),2)</f>
        <v/>
      </c>
      <c r="T144" s="21">
        <f>ROUND(R144*IFERROR(VLOOKUP(Q144,'Tax Codes'!$A$5:$E$300,5,FALSE),0),2)</f>
        <v/>
      </c>
      <c r="U144" s="21">
        <f>R144+S144-T144-N(L144)</f>
        <v/>
      </c>
      <c r="V144" s="16">
        <f>IF(C144="",INDEX('Chart of Accounts'!$A$5:$A$3000,MATCH("materials",'Chart of Accounts'!$F$5:$F$3000,0)),C144&amp;"")</f>
        <v/>
      </c>
      <c r="W144" s="16">
        <f>IF(N144="",INDEX('Chart of Accounts'!$A$5:$A$3000,MATCH("bank",'Chart of Accounts'!$F$5:$F$3000,0)),N144&amp;"")</f>
        <v/>
      </c>
      <c r="X144" s="16">
        <f>IF(O144="",INDEX('Chart of Accounts'!$A$5:$A$3000,MATCH("ap",'Chart of Accounts'!$F$5:$F$3000,0)),O144&amp;"")</f>
        <v/>
      </c>
      <c r="Y144" s="16">
        <f>INDEX('Chart of Accounts'!$A$5:$A$3000,MATCH("vat_input",'Chart of Accounts'!$F$5:$F$3000,0))</f>
        <v/>
      </c>
      <c r="Z144" s="16">
        <f>INDEX('Chart of Accounts'!$A$5:$A$3000,MATCH("wht_payable",'Chart of Accounts'!$F$5:$F$3000,0))</f>
        <v/>
      </c>
      <c r="AA144" s="23">
        <f>IFERROR(INDEX('Chart of Accounts'!$C$5:$C$3000,MATCH(V144&amp;"",'Chart of Accounts'!$A$5:$A$3000,0))&amp;"|"&amp;INDEX('Chart of Accounts'!$D$5:$D$3000,MATCH(V144&amp;"",'Chart of Accounts'!$A$5:$A$3000,0)),"")</f>
        <v/>
      </c>
      <c r="AB144" s="23">
        <f>IFERROR(INDEX('Chart of Accounts'!$C$5:$C$3000,MATCH(Y144&amp;"",'Chart of Accounts'!$A$5:$A$3000,0))&amp;"|"&amp;INDEX('Chart of Accounts'!$D$5:$D$3000,MATCH(Y144&amp;"",'Chart of Accounts'!$A$5:$A$3000,0)),"")</f>
        <v/>
      </c>
      <c r="AC144" s="23">
        <f>IFERROR(INDEX('Chart of Accounts'!$C$5:$C$3000,MATCH(W144&amp;"",'Chart of Accounts'!$A$5:$A$3000,0))&amp;"|"&amp;INDEX('Chart of Accounts'!$D$5:$D$3000,MATCH(W144&amp;"",'Chart of Accounts'!$A$5:$A$3000,0)),"")</f>
        <v/>
      </c>
      <c r="AD144" s="23">
        <f>IFERROR(INDEX('Chart of Accounts'!$C$5:$C$3000,MATCH(X144&amp;"",'Chart of Accounts'!$A$5:$A$3000,0))&amp;"|"&amp;INDEX('Chart of Accounts'!$D$5:$D$3000,MATCH(X144&amp;"",'Chart of Accounts'!$A$5:$A$3000,0)),"")</f>
        <v/>
      </c>
      <c r="AE144" s="23">
        <f>IFERROR(INDEX('Chart of Accounts'!$C$5:$C$3000,MATCH(Z144&amp;"",'Chart of Accounts'!$A$5:$A$3000,0))&amp;"|"&amp;INDEX('Chart of Accounts'!$D$5:$D$3000,MATCH(Z144&amp;"",'Chart of Accounts'!$A$5:$A$3000,0)),"")</f>
        <v/>
      </c>
      <c r="AF144" s="23">
        <f>IF(LEFT(AA144,8)="Revenue|",-N(R144),0)+IF(LEFT(AB144,8)="Revenue|",-N(S144),0)+IF(LEFT(AC144,8)="Revenue|",N(L144),0)+IF(LEFT(AD144,8)="Revenue|",N(U144),0)+IF(LEFT(AE144,8)="Revenue|",N(T144),0)</f>
        <v/>
      </c>
      <c r="AG144" s="23">
        <f>IF(LEFT(AA144,5)="COGS|",N(R144),0)+IF(LEFT(AB144,5)="COGS|",N(S144),0)+IF(LEFT(AC144,5)="COGS|",-N(L144),0)+IF(LEFT(AD144,5)="COGS|",-N(U144),0)+IF(LEFT(AE144,5)="COGS|",-N(T144),0)</f>
        <v/>
      </c>
      <c r="AH144" s="23">
        <f>IF(LEFT(AA144,8)="Expense|",N(R144),0)+IF(LEFT(AB144,8)="Expense|",N(S144),0)+IF(LEFT(AC144,8)="Expense|",-N(L144),0)+IF(LEFT(AD144,8)="Expense|",-N(U144),0)+IF(LEFT(AE144,8)="Expense|",-N(T144),0)</f>
        <v/>
      </c>
      <c r="AI144" s="23">
        <f>IF(ISNUMBER(MATCH(AA144,{"Expense|employee","Expense|general_admin","Expense|marketing","Expense|utilities","Expense|other_operating"},0)),N(R144),0)+IF(ISNUMBER(MATCH(AB144,{"Expense|employee","Expense|general_admin","Expense|marketing","Expense|utilities","Expense|other_operating"},0)),N(S144),0)+IF(ISNUMBER(MATCH(AC144,{"Expense|employee","Expense|general_admin","Expense|marketing","Expense|utilities","Expense|other_operating"},0)),-N(L144),0)+IF(ISNUMBER(MATCH(AD144,{"Expense|employee","Expense|general_admin","Expense|marketing","Expense|utilities","Expense|other_operating"},0)),-N(U144),0)+IF(ISNUMBER(MATCH(AE144,{"Expense|employee","Expense|general_admin","Expense|marketing","Expense|utilities","Expense|other_operating"},0)),-N(T144),0)</f>
        <v/>
      </c>
      <c r="AJ144" s="23">
        <f>IF(AA144="Liability|payable",-N(R144),0)+IF(AB144="Liability|payable",-N(S144),0)+IF(AC144="Liability|payable",N(L144),0)+IF(AD144="Liability|payable",N(U144),0)+IF(AE144="Liability|payable",N(T144),0)</f>
        <v/>
      </c>
      <c r="AK144" s="23">
        <f>IF(AA144="Liability|accrued",-N(R144),0)+IF(AB144="Liability|accrued",-N(S144),0)+IF(AC144="Liability|accrued",N(L144),0)+IF(AD144="Liability|accrued",N(U144),0)+IF(AE144="Liability|accrued",N(T144),0)</f>
        <v/>
      </c>
      <c r="AL144" s="23">
        <f>IF(AND(N(R144)&lt;&gt;0,AA144=""),1,0)+IF(AND(N(S144)&lt;&gt;0,AB144=""),1,0)+IF(AND(N(L144)&lt;&gt;0,AC144=""),1,0)+IF(AND(N(U144)&lt;&gt;0,AD144=""),1,0)+IF(AND(N(T144)&lt;&gt;0,AE144=""),1,0)</f>
        <v/>
      </c>
    </row>
    <row r="145">
      <c r="A145" s="19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20" t="n"/>
      <c r="K145" s="20" t="n"/>
      <c r="L145" s="20" t="n"/>
      <c r="M145" s="14" t="n"/>
      <c r="N145" s="14" t="n"/>
      <c r="O145" s="14" t="n"/>
      <c r="P145" s="14" t="n"/>
      <c r="Q145" s="14" t="n"/>
      <c r="R145" s="21">
        <f>ROUND(N(H145)*N(J145)-N(K145),2)</f>
        <v/>
      </c>
      <c r="S145" s="21">
        <f>ROUND(R145*IFERROR(VLOOKUP(P145,'Tax Codes'!$A$5:$E$300,5,FALSE),0),2)</f>
        <v/>
      </c>
      <c r="T145" s="21">
        <f>ROUND(R145*IFERROR(VLOOKUP(Q145,'Tax Codes'!$A$5:$E$300,5,FALSE),0),2)</f>
        <v/>
      </c>
      <c r="U145" s="21">
        <f>R145+S145-T145-N(L145)</f>
        <v/>
      </c>
      <c r="V145" s="16">
        <f>IF(C145="",INDEX('Chart of Accounts'!$A$5:$A$3000,MATCH("materials",'Chart of Accounts'!$F$5:$F$3000,0)),C145&amp;"")</f>
        <v/>
      </c>
      <c r="W145" s="16">
        <f>IF(N145="",INDEX('Chart of Accounts'!$A$5:$A$3000,MATCH("bank",'Chart of Accounts'!$F$5:$F$3000,0)),N145&amp;"")</f>
        <v/>
      </c>
      <c r="X145" s="16">
        <f>IF(O145="",INDEX('Chart of Accounts'!$A$5:$A$3000,MATCH("ap",'Chart of Accounts'!$F$5:$F$3000,0)),O145&amp;"")</f>
        <v/>
      </c>
      <c r="Y145" s="16">
        <f>INDEX('Chart of Accounts'!$A$5:$A$3000,MATCH("vat_input",'Chart of Accounts'!$F$5:$F$3000,0))</f>
        <v/>
      </c>
      <c r="Z145" s="16">
        <f>INDEX('Chart of Accounts'!$A$5:$A$3000,MATCH("wht_payable",'Chart of Accounts'!$F$5:$F$3000,0))</f>
        <v/>
      </c>
      <c r="AA145" s="23">
        <f>IFERROR(INDEX('Chart of Accounts'!$C$5:$C$3000,MATCH(V145&amp;"",'Chart of Accounts'!$A$5:$A$3000,0))&amp;"|"&amp;INDEX('Chart of Accounts'!$D$5:$D$3000,MATCH(V145&amp;"",'Chart of Accounts'!$A$5:$A$3000,0)),"")</f>
        <v/>
      </c>
      <c r="AB145" s="23">
        <f>IFERROR(INDEX('Chart of Accounts'!$C$5:$C$3000,MATCH(Y145&amp;"",'Chart of Accounts'!$A$5:$A$3000,0))&amp;"|"&amp;INDEX('Chart of Accounts'!$D$5:$D$3000,MATCH(Y145&amp;"",'Chart of Accounts'!$A$5:$A$3000,0)),"")</f>
        <v/>
      </c>
      <c r="AC145" s="23">
        <f>IFERROR(INDEX('Chart of Accounts'!$C$5:$C$3000,MATCH(W145&amp;"",'Chart of Accounts'!$A$5:$A$3000,0))&amp;"|"&amp;INDEX('Chart of Accounts'!$D$5:$D$3000,MATCH(W145&amp;"",'Chart of Accounts'!$A$5:$A$3000,0)),"")</f>
        <v/>
      </c>
      <c r="AD145" s="23">
        <f>IFERROR(INDEX('Chart of Accounts'!$C$5:$C$3000,MATCH(X145&amp;"",'Chart of Accounts'!$A$5:$A$3000,0))&amp;"|"&amp;INDEX('Chart of Accounts'!$D$5:$D$3000,MATCH(X145&amp;"",'Chart of Accounts'!$A$5:$A$3000,0)),"")</f>
        <v/>
      </c>
      <c r="AE145" s="23">
        <f>IFERROR(INDEX('Chart of Accounts'!$C$5:$C$3000,MATCH(Z145&amp;"",'Chart of Accounts'!$A$5:$A$3000,0))&amp;"|"&amp;INDEX('Chart of Accounts'!$D$5:$D$3000,MATCH(Z145&amp;"",'Chart of Accounts'!$A$5:$A$3000,0)),"")</f>
        <v/>
      </c>
      <c r="AF145" s="23">
        <f>IF(LEFT(AA145,8)="Revenue|",-N(R145),0)+IF(LEFT(AB145,8)="Revenue|",-N(S145),0)+IF(LEFT(AC145,8)="Revenue|",N(L145),0)+IF(LEFT(AD145,8)="Revenue|",N(U145),0)+IF(LEFT(AE145,8)="Revenue|",N(T145),0)</f>
        <v/>
      </c>
      <c r="AG145" s="23">
        <f>IF(LEFT(AA145,5)="COGS|",N(R145),0)+IF(LEFT(AB145,5)="COGS|",N(S145),0)+IF(LEFT(AC145,5)="COGS|",-N(L145),0)+IF(LEFT(AD145,5)="COGS|",-N(U145),0)+IF(LEFT(AE145,5)="COGS|",-N(T145),0)</f>
        <v/>
      </c>
      <c r="AH145" s="23">
        <f>IF(LEFT(AA145,8)="Expense|",N(R145),0)+IF(LEFT(AB145,8)="Expense|",N(S145),0)+IF(LEFT(AC145,8)="Expense|",-N(L145),0)+IF(LEFT(AD145,8)="Expense|",-N(U145),0)+IF(LEFT(AE145,8)="Expense|",-N(T145),0)</f>
        <v/>
      </c>
      <c r="AI145" s="23">
        <f>IF(ISNUMBER(MATCH(AA145,{"Expense|employee","Expense|general_admin","Expense|marketing","Expense|utilities","Expense|other_operating"},0)),N(R145),0)+IF(ISNUMBER(MATCH(AB145,{"Expense|employee","Expense|general_admin","Expense|marketing","Expense|utilities","Expense|other_operating"},0)),N(S145),0)+IF(ISNUMBER(MATCH(AC145,{"Expense|employee","Expense|general_admin","Expense|marketing","Expense|utilities","Expense|other_operating"},0)),-N(L145),0)+IF(ISNUMBER(MATCH(AD145,{"Expense|employee","Expense|general_admin","Expense|marketing","Expense|utilities","Expense|other_operating"},0)),-N(U145),0)+IF(ISNUMBER(MATCH(AE145,{"Expense|employee","Expense|general_admin","Expense|marketing","Expense|utilities","Expense|other_operating"},0)),-N(T145),0)</f>
        <v/>
      </c>
      <c r="AJ145" s="23">
        <f>IF(AA145="Liability|payable",-N(R145),0)+IF(AB145="Liability|payable",-N(S145),0)+IF(AC145="Liability|payable",N(L145),0)+IF(AD145="Liability|payable",N(U145),0)+IF(AE145="Liability|payable",N(T145),0)</f>
        <v/>
      </c>
      <c r="AK145" s="23">
        <f>IF(AA145="Liability|accrued",-N(R145),0)+IF(AB145="Liability|accrued",-N(S145),0)+IF(AC145="Liability|accrued",N(L145),0)+IF(AD145="Liability|accrued",N(U145),0)+IF(AE145="Liability|accrued",N(T145),0)</f>
        <v/>
      </c>
      <c r="AL145" s="23">
        <f>IF(AND(N(R145)&lt;&gt;0,AA145=""),1,0)+IF(AND(N(S145)&lt;&gt;0,AB145=""),1,0)+IF(AND(N(L145)&lt;&gt;0,AC145=""),1,0)+IF(AND(N(U145)&lt;&gt;0,AD145=""),1,0)+IF(AND(N(T145)&lt;&gt;0,AE145=""),1,0)</f>
        <v/>
      </c>
    </row>
    <row r="146">
      <c r="A146" s="19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20" t="n"/>
      <c r="K146" s="20" t="n"/>
      <c r="L146" s="20" t="n"/>
      <c r="M146" s="14" t="n"/>
      <c r="N146" s="14" t="n"/>
      <c r="O146" s="14" t="n"/>
      <c r="P146" s="14" t="n"/>
      <c r="Q146" s="14" t="n"/>
      <c r="R146" s="21">
        <f>ROUND(N(H146)*N(J146)-N(K146),2)</f>
        <v/>
      </c>
      <c r="S146" s="21">
        <f>ROUND(R146*IFERROR(VLOOKUP(P146,'Tax Codes'!$A$5:$E$300,5,FALSE),0),2)</f>
        <v/>
      </c>
      <c r="T146" s="21">
        <f>ROUND(R146*IFERROR(VLOOKUP(Q146,'Tax Codes'!$A$5:$E$300,5,FALSE),0),2)</f>
        <v/>
      </c>
      <c r="U146" s="21">
        <f>R146+S146-T146-N(L146)</f>
        <v/>
      </c>
      <c r="V146" s="16">
        <f>IF(C146="",INDEX('Chart of Accounts'!$A$5:$A$3000,MATCH("materials",'Chart of Accounts'!$F$5:$F$3000,0)),C146&amp;"")</f>
        <v/>
      </c>
      <c r="W146" s="16">
        <f>IF(N146="",INDEX('Chart of Accounts'!$A$5:$A$3000,MATCH("bank",'Chart of Accounts'!$F$5:$F$3000,0)),N146&amp;"")</f>
        <v/>
      </c>
      <c r="X146" s="16">
        <f>IF(O146="",INDEX('Chart of Accounts'!$A$5:$A$3000,MATCH("ap",'Chart of Accounts'!$F$5:$F$3000,0)),O146&amp;"")</f>
        <v/>
      </c>
      <c r="Y146" s="16">
        <f>INDEX('Chart of Accounts'!$A$5:$A$3000,MATCH("vat_input",'Chart of Accounts'!$F$5:$F$3000,0))</f>
        <v/>
      </c>
      <c r="Z146" s="16">
        <f>INDEX('Chart of Accounts'!$A$5:$A$3000,MATCH("wht_payable",'Chart of Accounts'!$F$5:$F$3000,0))</f>
        <v/>
      </c>
      <c r="AA146" s="23">
        <f>IFERROR(INDEX('Chart of Accounts'!$C$5:$C$3000,MATCH(V146&amp;"",'Chart of Accounts'!$A$5:$A$3000,0))&amp;"|"&amp;INDEX('Chart of Accounts'!$D$5:$D$3000,MATCH(V146&amp;"",'Chart of Accounts'!$A$5:$A$3000,0)),"")</f>
        <v/>
      </c>
      <c r="AB146" s="23">
        <f>IFERROR(INDEX('Chart of Accounts'!$C$5:$C$3000,MATCH(Y146&amp;"",'Chart of Accounts'!$A$5:$A$3000,0))&amp;"|"&amp;INDEX('Chart of Accounts'!$D$5:$D$3000,MATCH(Y146&amp;"",'Chart of Accounts'!$A$5:$A$3000,0)),"")</f>
        <v/>
      </c>
      <c r="AC146" s="23">
        <f>IFERROR(INDEX('Chart of Accounts'!$C$5:$C$3000,MATCH(W146&amp;"",'Chart of Accounts'!$A$5:$A$3000,0))&amp;"|"&amp;INDEX('Chart of Accounts'!$D$5:$D$3000,MATCH(W146&amp;"",'Chart of Accounts'!$A$5:$A$3000,0)),"")</f>
        <v/>
      </c>
      <c r="AD146" s="23">
        <f>IFERROR(INDEX('Chart of Accounts'!$C$5:$C$3000,MATCH(X146&amp;"",'Chart of Accounts'!$A$5:$A$3000,0))&amp;"|"&amp;INDEX('Chart of Accounts'!$D$5:$D$3000,MATCH(X146&amp;"",'Chart of Accounts'!$A$5:$A$3000,0)),"")</f>
        <v/>
      </c>
      <c r="AE146" s="23">
        <f>IFERROR(INDEX('Chart of Accounts'!$C$5:$C$3000,MATCH(Z146&amp;"",'Chart of Accounts'!$A$5:$A$3000,0))&amp;"|"&amp;INDEX('Chart of Accounts'!$D$5:$D$3000,MATCH(Z146&amp;"",'Chart of Accounts'!$A$5:$A$3000,0)),"")</f>
        <v/>
      </c>
      <c r="AF146" s="23">
        <f>IF(LEFT(AA146,8)="Revenue|",-N(R146),0)+IF(LEFT(AB146,8)="Revenue|",-N(S146),0)+IF(LEFT(AC146,8)="Revenue|",N(L146),0)+IF(LEFT(AD146,8)="Revenue|",N(U146),0)+IF(LEFT(AE146,8)="Revenue|",N(T146),0)</f>
        <v/>
      </c>
      <c r="AG146" s="23">
        <f>IF(LEFT(AA146,5)="COGS|",N(R146),0)+IF(LEFT(AB146,5)="COGS|",N(S146),0)+IF(LEFT(AC146,5)="COGS|",-N(L146),0)+IF(LEFT(AD146,5)="COGS|",-N(U146),0)+IF(LEFT(AE146,5)="COGS|",-N(T146),0)</f>
        <v/>
      </c>
      <c r="AH146" s="23">
        <f>IF(LEFT(AA146,8)="Expense|",N(R146),0)+IF(LEFT(AB146,8)="Expense|",N(S146),0)+IF(LEFT(AC146,8)="Expense|",-N(L146),0)+IF(LEFT(AD146,8)="Expense|",-N(U146),0)+IF(LEFT(AE146,8)="Expense|",-N(T146),0)</f>
        <v/>
      </c>
      <c r="AI146" s="23">
        <f>IF(ISNUMBER(MATCH(AA146,{"Expense|employee","Expense|general_admin","Expense|marketing","Expense|utilities","Expense|other_operating"},0)),N(R146),0)+IF(ISNUMBER(MATCH(AB146,{"Expense|employee","Expense|general_admin","Expense|marketing","Expense|utilities","Expense|other_operating"},0)),N(S146),0)+IF(ISNUMBER(MATCH(AC146,{"Expense|employee","Expense|general_admin","Expense|marketing","Expense|utilities","Expense|other_operating"},0)),-N(L146),0)+IF(ISNUMBER(MATCH(AD146,{"Expense|employee","Expense|general_admin","Expense|marketing","Expense|utilities","Expense|other_operating"},0)),-N(U146),0)+IF(ISNUMBER(MATCH(AE146,{"Expense|employee","Expense|general_admin","Expense|marketing","Expense|utilities","Expense|other_operating"},0)),-N(T146),0)</f>
        <v/>
      </c>
      <c r="AJ146" s="23">
        <f>IF(AA146="Liability|payable",-N(R146),0)+IF(AB146="Liability|payable",-N(S146),0)+IF(AC146="Liability|payable",N(L146),0)+IF(AD146="Liability|payable",N(U146),0)+IF(AE146="Liability|payable",N(T146),0)</f>
        <v/>
      </c>
      <c r="AK146" s="23">
        <f>IF(AA146="Liability|accrued",-N(R146),0)+IF(AB146="Liability|accrued",-N(S146),0)+IF(AC146="Liability|accrued",N(L146),0)+IF(AD146="Liability|accrued",N(U146),0)+IF(AE146="Liability|accrued",N(T146),0)</f>
        <v/>
      </c>
      <c r="AL146" s="23">
        <f>IF(AND(N(R146)&lt;&gt;0,AA146=""),1,0)+IF(AND(N(S146)&lt;&gt;0,AB146=""),1,0)+IF(AND(N(L146)&lt;&gt;0,AC146=""),1,0)+IF(AND(N(U146)&lt;&gt;0,AD146=""),1,0)+IF(AND(N(T146)&lt;&gt;0,AE146=""),1,0)</f>
        <v/>
      </c>
    </row>
    <row r="147">
      <c r="A147" s="19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20" t="n"/>
      <c r="K147" s="20" t="n"/>
      <c r="L147" s="20" t="n"/>
      <c r="M147" s="14" t="n"/>
      <c r="N147" s="14" t="n"/>
      <c r="O147" s="14" t="n"/>
      <c r="P147" s="14" t="n"/>
      <c r="Q147" s="14" t="n"/>
      <c r="R147" s="21">
        <f>ROUND(N(H147)*N(J147)-N(K147),2)</f>
        <v/>
      </c>
      <c r="S147" s="21">
        <f>ROUND(R147*IFERROR(VLOOKUP(P147,'Tax Codes'!$A$5:$E$300,5,FALSE),0),2)</f>
        <v/>
      </c>
      <c r="T147" s="21">
        <f>ROUND(R147*IFERROR(VLOOKUP(Q147,'Tax Codes'!$A$5:$E$300,5,FALSE),0),2)</f>
        <v/>
      </c>
      <c r="U147" s="21">
        <f>R147+S147-T147-N(L147)</f>
        <v/>
      </c>
      <c r="V147" s="16">
        <f>IF(C147="",INDEX('Chart of Accounts'!$A$5:$A$3000,MATCH("materials",'Chart of Accounts'!$F$5:$F$3000,0)),C147&amp;"")</f>
        <v/>
      </c>
      <c r="W147" s="16">
        <f>IF(N147="",INDEX('Chart of Accounts'!$A$5:$A$3000,MATCH("bank",'Chart of Accounts'!$F$5:$F$3000,0)),N147&amp;"")</f>
        <v/>
      </c>
      <c r="X147" s="16">
        <f>IF(O147="",INDEX('Chart of Accounts'!$A$5:$A$3000,MATCH("ap",'Chart of Accounts'!$F$5:$F$3000,0)),O147&amp;"")</f>
        <v/>
      </c>
      <c r="Y147" s="16">
        <f>INDEX('Chart of Accounts'!$A$5:$A$3000,MATCH("vat_input",'Chart of Accounts'!$F$5:$F$3000,0))</f>
        <v/>
      </c>
      <c r="Z147" s="16">
        <f>INDEX('Chart of Accounts'!$A$5:$A$3000,MATCH("wht_payable",'Chart of Accounts'!$F$5:$F$3000,0))</f>
        <v/>
      </c>
      <c r="AA147" s="23">
        <f>IFERROR(INDEX('Chart of Accounts'!$C$5:$C$3000,MATCH(V147&amp;"",'Chart of Accounts'!$A$5:$A$3000,0))&amp;"|"&amp;INDEX('Chart of Accounts'!$D$5:$D$3000,MATCH(V147&amp;"",'Chart of Accounts'!$A$5:$A$3000,0)),"")</f>
        <v/>
      </c>
      <c r="AB147" s="23">
        <f>IFERROR(INDEX('Chart of Accounts'!$C$5:$C$3000,MATCH(Y147&amp;"",'Chart of Accounts'!$A$5:$A$3000,0))&amp;"|"&amp;INDEX('Chart of Accounts'!$D$5:$D$3000,MATCH(Y147&amp;"",'Chart of Accounts'!$A$5:$A$3000,0)),"")</f>
        <v/>
      </c>
      <c r="AC147" s="23">
        <f>IFERROR(INDEX('Chart of Accounts'!$C$5:$C$3000,MATCH(W147&amp;"",'Chart of Accounts'!$A$5:$A$3000,0))&amp;"|"&amp;INDEX('Chart of Accounts'!$D$5:$D$3000,MATCH(W147&amp;"",'Chart of Accounts'!$A$5:$A$3000,0)),"")</f>
        <v/>
      </c>
      <c r="AD147" s="23">
        <f>IFERROR(INDEX('Chart of Accounts'!$C$5:$C$3000,MATCH(X147&amp;"",'Chart of Accounts'!$A$5:$A$3000,0))&amp;"|"&amp;INDEX('Chart of Accounts'!$D$5:$D$3000,MATCH(X147&amp;"",'Chart of Accounts'!$A$5:$A$3000,0)),"")</f>
        <v/>
      </c>
      <c r="AE147" s="23">
        <f>IFERROR(INDEX('Chart of Accounts'!$C$5:$C$3000,MATCH(Z147&amp;"",'Chart of Accounts'!$A$5:$A$3000,0))&amp;"|"&amp;INDEX('Chart of Accounts'!$D$5:$D$3000,MATCH(Z147&amp;"",'Chart of Accounts'!$A$5:$A$3000,0)),"")</f>
        <v/>
      </c>
      <c r="AF147" s="23">
        <f>IF(LEFT(AA147,8)="Revenue|",-N(R147),0)+IF(LEFT(AB147,8)="Revenue|",-N(S147),0)+IF(LEFT(AC147,8)="Revenue|",N(L147),0)+IF(LEFT(AD147,8)="Revenue|",N(U147),0)+IF(LEFT(AE147,8)="Revenue|",N(T147),0)</f>
        <v/>
      </c>
      <c r="AG147" s="23">
        <f>IF(LEFT(AA147,5)="COGS|",N(R147),0)+IF(LEFT(AB147,5)="COGS|",N(S147),0)+IF(LEFT(AC147,5)="COGS|",-N(L147),0)+IF(LEFT(AD147,5)="COGS|",-N(U147),0)+IF(LEFT(AE147,5)="COGS|",-N(T147),0)</f>
        <v/>
      </c>
      <c r="AH147" s="23">
        <f>IF(LEFT(AA147,8)="Expense|",N(R147),0)+IF(LEFT(AB147,8)="Expense|",N(S147),0)+IF(LEFT(AC147,8)="Expense|",-N(L147),0)+IF(LEFT(AD147,8)="Expense|",-N(U147),0)+IF(LEFT(AE147,8)="Expense|",-N(T147),0)</f>
        <v/>
      </c>
      <c r="AI147" s="23">
        <f>IF(ISNUMBER(MATCH(AA147,{"Expense|employee","Expense|general_admin","Expense|marketing","Expense|utilities","Expense|other_operating"},0)),N(R147),0)+IF(ISNUMBER(MATCH(AB147,{"Expense|employee","Expense|general_admin","Expense|marketing","Expense|utilities","Expense|other_operating"},0)),N(S147),0)+IF(ISNUMBER(MATCH(AC147,{"Expense|employee","Expense|general_admin","Expense|marketing","Expense|utilities","Expense|other_operating"},0)),-N(L147),0)+IF(ISNUMBER(MATCH(AD147,{"Expense|employee","Expense|general_admin","Expense|marketing","Expense|utilities","Expense|other_operating"},0)),-N(U147),0)+IF(ISNUMBER(MATCH(AE147,{"Expense|employee","Expense|general_admin","Expense|marketing","Expense|utilities","Expense|other_operating"},0)),-N(T147),0)</f>
        <v/>
      </c>
      <c r="AJ147" s="23">
        <f>IF(AA147="Liability|payable",-N(R147),0)+IF(AB147="Liability|payable",-N(S147),0)+IF(AC147="Liability|payable",N(L147),0)+IF(AD147="Liability|payable",N(U147),0)+IF(AE147="Liability|payable",N(T147),0)</f>
        <v/>
      </c>
      <c r="AK147" s="23">
        <f>IF(AA147="Liability|accrued",-N(R147),0)+IF(AB147="Liability|accrued",-N(S147),0)+IF(AC147="Liability|accrued",N(L147),0)+IF(AD147="Liability|accrued",N(U147),0)+IF(AE147="Liability|accrued",N(T147),0)</f>
        <v/>
      </c>
      <c r="AL147" s="23">
        <f>IF(AND(N(R147)&lt;&gt;0,AA147=""),1,0)+IF(AND(N(S147)&lt;&gt;0,AB147=""),1,0)+IF(AND(N(L147)&lt;&gt;0,AC147=""),1,0)+IF(AND(N(U147)&lt;&gt;0,AD147=""),1,0)+IF(AND(N(T147)&lt;&gt;0,AE147=""),1,0)</f>
        <v/>
      </c>
    </row>
    <row r="148">
      <c r="A148" s="19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20" t="n"/>
      <c r="K148" s="20" t="n"/>
      <c r="L148" s="20" t="n"/>
      <c r="M148" s="14" t="n"/>
      <c r="N148" s="14" t="n"/>
      <c r="O148" s="14" t="n"/>
      <c r="P148" s="14" t="n"/>
      <c r="Q148" s="14" t="n"/>
      <c r="R148" s="21">
        <f>ROUND(N(H148)*N(J148)-N(K148),2)</f>
        <v/>
      </c>
      <c r="S148" s="21">
        <f>ROUND(R148*IFERROR(VLOOKUP(P148,'Tax Codes'!$A$5:$E$300,5,FALSE),0),2)</f>
        <v/>
      </c>
      <c r="T148" s="21">
        <f>ROUND(R148*IFERROR(VLOOKUP(Q148,'Tax Codes'!$A$5:$E$300,5,FALSE),0),2)</f>
        <v/>
      </c>
      <c r="U148" s="21">
        <f>R148+S148-T148-N(L148)</f>
        <v/>
      </c>
      <c r="V148" s="16">
        <f>IF(C148="",INDEX('Chart of Accounts'!$A$5:$A$3000,MATCH("materials",'Chart of Accounts'!$F$5:$F$3000,0)),C148&amp;"")</f>
        <v/>
      </c>
      <c r="W148" s="16">
        <f>IF(N148="",INDEX('Chart of Accounts'!$A$5:$A$3000,MATCH("bank",'Chart of Accounts'!$F$5:$F$3000,0)),N148&amp;"")</f>
        <v/>
      </c>
      <c r="X148" s="16">
        <f>IF(O148="",INDEX('Chart of Accounts'!$A$5:$A$3000,MATCH("ap",'Chart of Accounts'!$F$5:$F$3000,0)),O148&amp;"")</f>
        <v/>
      </c>
      <c r="Y148" s="16">
        <f>INDEX('Chart of Accounts'!$A$5:$A$3000,MATCH("vat_input",'Chart of Accounts'!$F$5:$F$3000,0))</f>
        <v/>
      </c>
      <c r="Z148" s="16">
        <f>INDEX('Chart of Accounts'!$A$5:$A$3000,MATCH("wht_payable",'Chart of Accounts'!$F$5:$F$3000,0))</f>
        <v/>
      </c>
      <c r="AA148" s="23">
        <f>IFERROR(INDEX('Chart of Accounts'!$C$5:$C$3000,MATCH(V148&amp;"",'Chart of Accounts'!$A$5:$A$3000,0))&amp;"|"&amp;INDEX('Chart of Accounts'!$D$5:$D$3000,MATCH(V148&amp;"",'Chart of Accounts'!$A$5:$A$3000,0)),"")</f>
        <v/>
      </c>
      <c r="AB148" s="23">
        <f>IFERROR(INDEX('Chart of Accounts'!$C$5:$C$3000,MATCH(Y148&amp;"",'Chart of Accounts'!$A$5:$A$3000,0))&amp;"|"&amp;INDEX('Chart of Accounts'!$D$5:$D$3000,MATCH(Y148&amp;"",'Chart of Accounts'!$A$5:$A$3000,0)),"")</f>
        <v/>
      </c>
      <c r="AC148" s="23">
        <f>IFERROR(INDEX('Chart of Accounts'!$C$5:$C$3000,MATCH(W148&amp;"",'Chart of Accounts'!$A$5:$A$3000,0))&amp;"|"&amp;INDEX('Chart of Accounts'!$D$5:$D$3000,MATCH(W148&amp;"",'Chart of Accounts'!$A$5:$A$3000,0)),"")</f>
        <v/>
      </c>
      <c r="AD148" s="23">
        <f>IFERROR(INDEX('Chart of Accounts'!$C$5:$C$3000,MATCH(X148&amp;"",'Chart of Accounts'!$A$5:$A$3000,0))&amp;"|"&amp;INDEX('Chart of Accounts'!$D$5:$D$3000,MATCH(X148&amp;"",'Chart of Accounts'!$A$5:$A$3000,0)),"")</f>
        <v/>
      </c>
      <c r="AE148" s="23">
        <f>IFERROR(INDEX('Chart of Accounts'!$C$5:$C$3000,MATCH(Z148&amp;"",'Chart of Accounts'!$A$5:$A$3000,0))&amp;"|"&amp;INDEX('Chart of Accounts'!$D$5:$D$3000,MATCH(Z148&amp;"",'Chart of Accounts'!$A$5:$A$3000,0)),"")</f>
        <v/>
      </c>
      <c r="AF148" s="23">
        <f>IF(LEFT(AA148,8)="Revenue|",-N(R148),0)+IF(LEFT(AB148,8)="Revenue|",-N(S148),0)+IF(LEFT(AC148,8)="Revenue|",N(L148),0)+IF(LEFT(AD148,8)="Revenue|",N(U148),0)+IF(LEFT(AE148,8)="Revenue|",N(T148),0)</f>
        <v/>
      </c>
      <c r="AG148" s="23">
        <f>IF(LEFT(AA148,5)="COGS|",N(R148),0)+IF(LEFT(AB148,5)="COGS|",N(S148),0)+IF(LEFT(AC148,5)="COGS|",-N(L148),0)+IF(LEFT(AD148,5)="COGS|",-N(U148),0)+IF(LEFT(AE148,5)="COGS|",-N(T148),0)</f>
        <v/>
      </c>
      <c r="AH148" s="23">
        <f>IF(LEFT(AA148,8)="Expense|",N(R148),0)+IF(LEFT(AB148,8)="Expense|",N(S148),0)+IF(LEFT(AC148,8)="Expense|",-N(L148),0)+IF(LEFT(AD148,8)="Expense|",-N(U148),0)+IF(LEFT(AE148,8)="Expense|",-N(T148),0)</f>
        <v/>
      </c>
      <c r="AI148" s="23">
        <f>IF(ISNUMBER(MATCH(AA148,{"Expense|employee","Expense|general_admin","Expense|marketing","Expense|utilities","Expense|other_operating"},0)),N(R148),0)+IF(ISNUMBER(MATCH(AB148,{"Expense|employee","Expense|general_admin","Expense|marketing","Expense|utilities","Expense|other_operating"},0)),N(S148),0)+IF(ISNUMBER(MATCH(AC148,{"Expense|employee","Expense|general_admin","Expense|marketing","Expense|utilities","Expense|other_operating"},0)),-N(L148),0)+IF(ISNUMBER(MATCH(AD148,{"Expense|employee","Expense|general_admin","Expense|marketing","Expense|utilities","Expense|other_operating"},0)),-N(U148),0)+IF(ISNUMBER(MATCH(AE148,{"Expense|employee","Expense|general_admin","Expense|marketing","Expense|utilities","Expense|other_operating"},0)),-N(T148),0)</f>
        <v/>
      </c>
      <c r="AJ148" s="23">
        <f>IF(AA148="Liability|payable",-N(R148),0)+IF(AB148="Liability|payable",-N(S148),0)+IF(AC148="Liability|payable",N(L148),0)+IF(AD148="Liability|payable",N(U148),0)+IF(AE148="Liability|payable",N(T148),0)</f>
        <v/>
      </c>
      <c r="AK148" s="23">
        <f>IF(AA148="Liability|accrued",-N(R148),0)+IF(AB148="Liability|accrued",-N(S148),0)+IF(AC148="Liability|accrued",N(L148),0)+IF(AD148="Liability|accrued",N(U148),0)+IF(AE148="Liability|accrued",N(T148),0)</f>
        <v/>
      </c>
      <c r="AL148" s="23">
        <f>IF(AND(N(R148)&lt;&gt;0,AA148=""),1,0)+IF(AND(N(S148)&lt;&gt;0,AB148=""),1,0)+IF(AND(N(L148)&lt;&gt;0,AC148=""),1,0)+IF(AND(N(U148)&lt;&gt;0,AD148=""),1,0)+IF(AND(N(T148)&lt;&gt;0,AE148=""),1,0)</f>
        <v/>
      </c>
    </row>
    <row r="149">
      <c r="A149" s="19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20" t="n"/>
      <c r="K149" s="20" t="n"/>
      <c r="L149" s="20" t="n"/>
      <c r="M149" s="14" t="n"/>
      <c r="N149" s="14" t="n"/>
      <c r="O149" s="14" t="n"/>
      <c r="P149" s="14" t="n"/>
      <c r="Q149" s="14" t="n"/>
      <c r="R149" s="21">
        <f>ROUND(N(H149)*N(J149)-N(K149),2)</f>
        <v/>
      </c>
      <c r="S149" s="21">
        <f>ROUND(R149*IFERROR(VLOOKUP(P149,'Tax Codes'!$A$5:$E$300,5,FALSE),0),2)</f>
        <v/>
      </c>
      <c r="T149" s="21">
        <f>ROUND(R149*IFERROR(VLOOKUP(Q149,'Tax Codes'!$A$5:$E$300,5,FALSE),0),2)</f>
        <v/>
      </c>
      <c r="U149" s="21">
        <f>R149+S149-T149-N(L149)</f>
        <v/>
      </c>
      <c r="V149" s="16">
        <f>IF(C149="",INDEX('Chart of Accounts'!$A$5:$A$3000,MATCH("materials",'Chart of Accounts'!$F$5:$F$3000,0)),C149&amp;"")</f>
        <v/>
      </c>
      <c r="W149" s="16">
        <f>IF(N149="",INDEX('Chart of Accounts'!$A$5:$A$3000,MATCH("bank",'Chart of Accounts'!$F$5:$F$3000,0)),N149&amp;"")</f>
        <v/>
      </c>
      <c r="X149" s="16">
        <f>IF(O149="",INDEX('Chart of Accounts'!$A$5:$A$3000,MATCH("ap",'Chart of Accounts'!$F$5:$F$3000,0)),O149&amp;"")</f>
        <v/>
      </c>
      <c r="Y149" s="16">
        <f>INDEX('Chart of Accounts'!$A$5:$A$3000,MATCH("vat_input",'Chart of Accounts'!$F$5:$F$3000,0))</f>
        <v/>
      </c>
      <c r="Z149" s="16">
        <f>INDEX('Chart of Accounts'!$A$5:$A$3000,MATCH("wht_payable",'Chart of Accounts'!$F$5:$F$3000,0))</f>
        <v/>
      </c>
      <c r="AA149" s="23">
        <f>IFERROR(INDEX('Chart of Accounts'!$C$5:$C$3000,MATCH(V149&amp;"",'Chart of Accounts'!$A$5:$A$3000,0))&amp;"|"&amp;INDEX('Chart of Accounts'!$D$5:$D$3000,MATCH(V149&amp;"",'Chart of Accounts'!$A$5:$A$3000,0)),"")</f>
        <v/>
      </c>
      <c r="AB149" s="23">
        <f>IFERROR(INDEX('Chart of Accounts'!$C$5:$C$3000,MATCH(Y149&amp;"",'Chart of Accounts'!$A$5:$A$3000,0))&amp;"|"&amp;INDEX('Chart of Accounts'!$D$5:$D$3000,MATCH(Y149&amp;"",'Chart of Accounts'!$A$5:$A$3000,0)),"")</f>
        <v/>
      </c>
      <c r="AC149" s="23">
        <f>IFERROR(INDEX('Chart of Accounts'!$C$5:$C$3000,MATCH(W149&amp;"",'Chart of Accounts'!$A$5:$A$3000,0))&amp;"|"&amp;INDEX('Chart of Accounts'!$D$5:$D$3000,MATCH(W149&amp;"",'Chart of Accounts'!$A$5:$A$3000,0)),"")</f>
        <v/>
      </c>
      <c r="AD149" s="23">
        <f>IFERROR(INDEX('Chart of Accounts'!$C$5:$C$3000,MATCH(X149&amp;"",'Chart of Accounts'!$A$5:$A$3000,0))&amp;"|"&amp;INDEX('Chart of Accounts'!$D$5:$D$3000,MATCH(X149&amp;"",'Chart of Accounts'!$A$5:$A$3000,0)),"")</f>
        <v/>
      </c>
      <c r="AE149" s="23">
        <f>IFERROR(INDEX('Chart of Accounts'!$C$5:$C$3000,MATCH(Z149&amp;"",'Chart of Accounts'!$A$5:$A$3000,0))&amp;"|"&amp;INDEX('Chart of Accounts'!$D$5:$D$3000,MATCH(Z149&amp;"",'Chart of Accounts'!$A$5:$A$3000,0)),"")</f>
        <v/>
      </c>
      <c r="AF149" s="23">
        <f>IF(LEFT(AA149,8)="Revenue|",-N(R149),0)+IF(LEFT(AB149,8)="Revenue|",-N(S149),0)+IF(LEFT(AC149,8)="Revenue|",N(L149),0)+IF(LEFT(AD149,8)="Revenue|",N(U149),0)+IF(LEFT(AE149,8)="Revenue|",N(T149),0)</f>
        <v/>
      </c>
      <c r="AG149" s="23">
        <f>IF(LEFT(AA149,5)="COGS|",N(R149),0)+IF(LEFT(AB149,5)="COGS|",N(S149),0)+IF(LEFT(AC149,5)="COGS|",-N(L149),0)+IF(LEFT(AD149,5)="COGS|",-N(U149),0)+IF(LEFT(AE149,5)="COGS|",-N(T149),0)</f>
        <v/>
      </c>
      <c r="AH149" s="23">
        <f>IF(LEFT(AA149,8)="Expense|",N(R149),0)+IF(LEFT(AB149,8)="Expense|",N(S149),0)+IF(LEFT(AC149,8)="Expense|",-N(L149),0)+IF(LEFT(AD149,8)="Expense|",-N(U149),0)+IF(LEFT(AE149,8)="Expense|",-N(T149),0)</f>
        <v/>
      </c>
      <c r="AI149" s="23">
        <f>IF(ISNUMBER(MATCH(AA149,{"Expense|employee","Expense|general_admin","Expense|marketing","Expense|utilities","Expense|other_operating"},0)),N(R149),0)+IF(ISNUMBER(MATCH(AB149,{"Expense|employee","Expense|general_admin","Expense|marketing","Expense|utilities","Expense|other_operating"},0)),N(S149),0)+IF(ISNUMBER(MATCH(AC149,{"Expense|employee","Expense|general_admin","Expense|marketing","Expense|utilities","Expense|other_operating"},0)),-N(L149),0)+IF(ISNUMBER(MATCH(AD149,{"Expense|employee","Expense|general_admin","Expense|marketing","Expense|utilities","Expense|other_operating"},0)),-N(U149),0)+IF(ISNUMBER(MATCH(AE149,{"Expense|employee","Expense|general_admin","Expense|marketing","Expense|utilities","Expense|other_operating"},0)),-N(T149),0)</f>
        <v/>
      </c>
      <c r="AJ149" s="23">
        <f>IF(AA149="Liability|payable",-N(R149),0)+IF(AB149="Liability|payable",-N(S149),0)+IF(AC149="Liability|payable",N(L149),0)+IF(AD149="Liability|payable",N(U149),0)+IF(AE149="Liability|payable",N(T149),0)</f>
        <v/>
      </c>
      <c r="AK149" s="23">
        <f>IF(AA149="Liability|accrued",-N(R149),0)+IF(AB149="Liability|accrued",-N(S149),0)+IF(AC149="Liability|accrued",N(L149),0)+IF(AD149="Liability|accrued",N(U149),0)+IF(AE149="Liability|accrued",N(T149),0)</f>
        <v/>
      </c>
      <c r="AL149" s="23">
        <f>IF(AND(N(R149)&lt;&gt;0,AA149=""),1,0)+IF(AND(N(S149)&lt;&gt;0,AB149=""),1,0)+IF(AND(N(L149)&lt;&gt;0,AC149=""),1,0)+IF(AND(N(U149)&lt;&gt;0,AD149=""),1,0)+IF(AND(N(T149)&lt;&gt;0,AE149=""),1,0)</f>
        <v/>
      </c>
    </row>
    <row r="150">
      <c r="A150" s="19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20" t="n"/>
      <c r="K150" s="20" t="n"/>
      <c r="L150" s="20" t="n"/>
      <c r="M150" s="14" t="n"/>
      <c r="N150" s="14" t="n"/>
      <c r="O150" s="14" t="n"/>
      <c r="P150" s="14" t="n"/>
      <c r="Q150" s="14" t="n"/>
      <c r="R150" s="21">
        <f>ROUND(N(H150)*N(J150)-N(K150),2)</f>
        <v/>
      </c>
      <c r="S150" s="21">
        <f>ROUND(R150*IFERROR(VLOOKUP(P150,'Tax Codes'!$A$5:$E$300,5,FALSE),0),2)</f>
        <v/>
      </c>
      <c r="T150" s="21">
        <f>ROUND(R150*IFERROR(VLOOKUP(Q150,'Tax Codes'!$A$5:$E$300,5,FALSE),0),2)</f>
        <v/>
      </c>
      <c r="U150" s="21">
        <f>R150+S150-T150-N(L150)</f>
        <v/>
      </c>
      <c r="V150" s="16">
        <f>IF(C150="",INDEX('Chart of Accounts'!$A$5:$A$3000,MATCH("materials",'Chart of Accounts'!$F$5:$F$3000,0)),C150&amp;"")</f>
        <v/>
      </c>
      <c r="W150" s="16">
        <f>IF(N150="",INDEX('Chart of Accounts'!$A$5:$A$3000,MATCH("bank",'Chart of Accounts'!$F$5:$F$3000,0)),N150&amp;"")</f>
        <v/>
      </c>
      <c r="X150" s="16">
        <f>IF(O150="",INDEX('Chart of Accounts'!$A$5:$A$3000,MATCH("ap",'Chart of Accounts'!$F$5:$F$3000,0)),O150&amp;"")</f>
        <v/>
      </c>
      <c r="Y150" s="16">
        <f>INDEX('Chart of Accounts'!$A$5:$A$3000,MATCH("vat_input",'Chart of Accounts'!$F$5:$F$3000,0))</f>
        <v/>
      </c>
      <c r="Z150" s="16">
        <f>INDEX('Chart of Accounts'!$A$5:$A$3000,MATCH("wht_payable",'Chart of Accounts'!$F$5:$F$3000,0))</f>
        <v/>
      </c>
      <c r="AA150" s="23">
        <f>IFERROR(INDEX('Chart of Accounts'!$C$5:$C$3000,MATCH(V150&amp;"",'Chart of Accounts'!$A$5:$A$3000,0))&amp;"|"&amp;INDEX('Chart of Accounts'!$D$5:$D$3000,MATCH(V150&amp;"",'Chart of Accounts'!$A$5:$A$3000,0)),"")</f>
        <v/>
      </c>
      <c r="AB150" s="23">
        <f>IFERROR(INDEX('Chart of Accounts'!$C$5:$C$3000,MATCH(Y150&amp;"",'Chart of Accounts'!$A$5:$A$3000,0))&amp;"|"&amp;INDEX('Chart of Accounts'!$D$5:$D$3000,MATCH(Y150&amp;"",'Chart of Accounts'!$A$5:$A$3000,0)),"")</f>
        <v/>
      </c>
      <c r="AC150" s="23">
        <f>IFERROR(INDEX('Chart of Accounts'!$C$5:$C$3000,MATCH(W150&amp;"",'Chart of Accounts'!$A$5:$A$3000,0))&amp;"|"&amp;INDEX('Chart of Accounts'!$D$5:$D$3000,MATCH(W150&amp;"",'Chart of Accounts'!$A$5:$A$3000,0)),"")</f>
        <v/>
      </c>
      <c r="AD150" s="23">
        <f>IFERROR(INDEX('Chart of Accounts'!$C$5:$C$3000,MATCH(X150&amp;"",'Chart of Accounts'!$A$5:$A$3000,0))&amp;"|"&amp;INDEX('Chart of Accounts'!$D$5:$D$3000,MATCH(X150&amp;"",'Chart of Accounts'!$A$5:$A$3000,0)),"")</f>
        <v/>
      </c>
      <c r="AE150" s="23">
        <f>IFERROR(INDEX('Chart of Accounts'!$C$5:$C$3000,MATCH(Z150&amp;"",'Chart of Accounts'!$A$5:$A$3000,0))&amp;"|"&amp;INDEX('Chart of Accounts'!$D$5:$D$3000,MATCH(Z150&amp;"",'Chart of Accounts'!$A$5:$A$3000,0)),"")</f>
        <v/>
      </c>
      <c r="AF150" s="23">
        <f>IF(LEFT(AA150,8)="Revenue|",-N(R150),0)+IF(LEFT(AB150,8)="Revenue|",-N(S150),0)+IF(LEFT(AC150,8)="Revenue|",N(L150),0)+IF(LEFT(AD150,8)="Revenue|",N(U150),0)+IF(LEFT(AE150,8)="Revenue|",N(T150),0)</f>
        <v/>
      </c>
      <c r="AG150" s="23">
        <f>IF(LEFT(AA150,5)="COGS|",N(R150),0)+IF(LEFT(AB150,5)="COGS|",N(S150),0)+IF(LEFT(AC150,5)="COGS|",-N(L150),0)+IF(LEFT(AD150,5)="COGS|",-N(U150),0)+IF(LEFT(AE150,5)="COGS|",-N(T150),0)</f>
        <v/>
      </c>
      <c r="AH150" s="23">
        <f>IF(LEFT(AA150,8)="Expense|",N(R150),0)+IF(LEFT(AB150,8)="Expense|",N(S150),0)+IF(LEFT(AC150,8)="Expense|",-N(L150),0)+IF(LEFT(AD150,8)="Expense|",-N(U150),0)+IF(LEFT(AE150,8)="Expense|",-N(T150),0)</f>
        <v/>
      </c>
      <c r="AI150" s="23">
        <f>IF(ISNUMBER(MATCH(AA150,{"Expense|employee","Expense|general_admin","Expense|marketing","Expense|utilities","Expense|other_operating"},0)),N(R150),0)+IF(ISNUMBER(MATCH(AB150,{"Expense|employee","Expense|general_admin","Expense|marketing","Expense|utilities","Expense|other_operating"},0)),N(S150),0)+IF(ISNUMBER(MATCH(AC150,{"Expense|employee","Expense|general_admin","Expense|marketing","Expense|utilities","Expense|other_operating"},0)),-N(L150),0)+IF(ISNUMBER(MATCH(AD150,{"Expense|employee","Expense|general_admin","Expense|marketing","Expense|utilities","Expense|other_operating"},0)),-N(U150),0)+IF(ISNUMBER(MATCH(AE150,{"Expense|employee","Expense|general_admin","Expense|marketing","Expense|utilities","Expense|other_operating"},0)),-N(T150),0)</f>
        <v/>
      </c>
      <c r="AJ150" s="23">
        <f>IF(AA150="Liability|payable",-N(R150),0)+IF(AB150="Liability|payable",-N(S150),0)+IF(AC150="Liability|payable",N(L150),0)+IF(AD150="Liability|payable",N(U150),0)+IF(AE150="Liability|payable",N(T150),0)</f>
        <v/>
      </c>
      <c r="AK150" s="23">
        <f>IF(AA150="Liability|accrued",-N(R150),0)+IF(AB150="Liability|accrued",-N(S150),0)+IF(AC150="Liability|accrued",N(L150),0)+IF(AD150="Liability|accrued",N(U150),0)+IF(AE150="Liability|accrued",N(T150),0)</f>
        <v/>
      </c>
      <c r="AL150" s="23">
        <f>IF(AND(N(R150)&lt;&gt;0,AA150=""),1,0)+IF(AND(N(S150)&lt;&gt;0,AB150=""),1,0)+IF(AND(N(L150)&lt;&gt;0,AC150=""),1,0)+IF(AND(N(U150)&lt;&gt;0,AD150=""),1,0)+IF(AND(N(T150)&lt;&gt;0,AE150=""),1,0)</f>
        <v/>
      </c>
    </row>
    <row r="151">
      <c r="A151" s="19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20" t="n"/>
      <c r="K151" s="20" t="n"/>
      <c r="L151" s="20" t="n"/>
      <c r="M151" s="14" t="n"/>
      <c r="N151" s="14" t="n"/>
      <c r="O151" s="14" t="n"/>
      <c r="P151" s="14" t="n"/>
      <c r="Q151" s="14" t="n"/>
      <c r="R151" s="21">
        <f>ROUND(N(H151)*N(J151)-N(K151),2)</f>
        <v/>
      </c>
      <c r="S151" s="21">
        <f>ROUND(R151*IFERROR(VLOOKUP(P151,'Tax Codes'!$A$5:$E$300,5,FALSE),0),2)</f>
        <v/>
      </c>
      <c r="T151" s="21">
        <f>ROUND(R151*IFERROR(VLOOKUP(Q151,'Tax Codes'!$A$5:$E$300,5,FALSE),0),2)</f>
        <v/>
      </c>
      <c r="U151" s="21">
        <f>R151+S151-T151-N(L151)</f>
        <v/>
      </c>
      <c r="V151" s="16">
        <f>IF(C151="",INDEX('Chart of Accounts'!$A$5:$A$3000,MATCH("materials",'Chart of Accounts'!$F$5:$F$3000,0)),C151&amp;"")</f>
        <v/>
      </c>
      <c r="W151" s="16">
        <f>IF(N151="",INDEX('Chart of Accounts'!$A$5:$A$3000,MATCH("bank",'Chart of Accounts'!$F$5:$F$3000,0)),N151&amp;"")</f>
        <v/>
      </c>
      <c r="X151" s="16">
        <f>IF(O151="",INDEX('Chart of Accounts'!$A$5:$A$3000,MATCH("ap",'Chart of Accounts'!$F$5:$F$3000,0)),O151&amp;"")</f>
        <v/>
      </c>
      <c r="Y151" s="16">
        <f>INDEX('Chart of Accounts'!$A$5:$A$3000,MATCH("vat_input",'Chart of Accounts'!$F$5:$F$3000,0))</f>
        <v/>
      </c>
      <c r="Z151" s="16">
        <f>INDEX('Chart of Accounts'!$A$5:$A$3000,MATCH("wht_payable",'Chart of Accounts'!$F$5:$F$3000,0))</f>
        <v/>
      </c>
      <c r="AA151" s="23">
        <f>IFERROR(INDEX('Chart of Accounts'!$C$5:$C$3000,MATCH(V151&amp;"",'Chart of Accounts'!$A$5:$A$3000,0))&amp;"|"&amp;INDEX('Chart of Accounts'!$D$5:$D$3000,MATCH(V151&amp;"",'Chart of Accounts'!$A$5:$A$3000,0)),"")</f>
        <v/>
      </c>
      <c r="AB151" s="23">
        <f>IFERROR(INDEX('Chart of Accounts'!$C$5:$C$3000,MATCH(Y151&amp;"",'Chart of Accounts'!$A$5:$A$3000,0))&amp;"|"&amp;INDEX('Chart of Accounts'!$D$5:$D$3000,MATCH(Y151&amp;"",'Chart of Accounts'!$A$5:$A$3000,0)),"")</f>
        <v/>
      </c>
      <c r="AC151" s="23">
        <f>IFERROR(INDEX('Chart of Accounts'!$C$5:$C$3000,MATCH(W151&amp;"",'Chart of Accounts'!$A$5:$A$3000,0))&amp;"|"&amp;INDEX('Chart of Accounts'!$D$5:$D$3000,MATCH(W151&amp;"",'Chart of Accounts'!$A$5:$A$3000,0)),"")</f>
        <v/>
      </c>
      <c r="AD151" s="23">
        <f>IFERROR(INDEX('Chart of Accounts'!$C$5:$C$3000,MATCH(X151&amp;"",'Chart of Accounts'!$A$5:$A$3000,0))&amp;"|"&amp;INDEX('Chart of Accounts'!$D$5:$D$3000,MATCH(X151&amp;"",'Chart of Accounts'!$A$5:$A$3000,0)),"")</f>
        <v/>
      </c>
      <c r="AE151" s="23">
        <f>IFERROR(INDEX('Chart of Accounts'!$C$5:$C$3000,MATCH(Z151&amp;"",'Chart of Accounts'!$A$5:$A$3000,0))&amp;"|"&amp;INDEX('Chart of Accounts'!$D$5:$D$3000,MATCH(Z151&amp;"",'Chart of Accounts'!$A$5:$A$3000,0)),"")</f>
        <v/>
      </c>
      <c r="AF151" s="23">
        <f>IF(LEFT(AA151,8)="Revenue|",-N(R151),0)+IF(LEFT(AB151,8)="Revenue|",-N(S151),0)+IF(LEFT(AC151,8)="Revenue|",N(L151),0)+IF(LEFT(AD151,8)="Revenue|",N(U151),0)+IF(LEFT(AE151,8)="Revenue|",N(T151),0)</f>
        <v/>
      </c>
      <c r="AG151" s="23">
        <f>IF(LEFT(AA151,5)="COGS|",N(R151),0)+IF(LEFT(AB151,5)="COGS|",N(S151),0)+IF(LEFT(AC151,5)="COGS|",-N(L151),0)+IF(LEFT(AD151,5)="COGS|",-N(U151),0)+IF(LEFT(AE151,5)="COGS|",-N(T151),0)</f>
        <v/>
      </c>
      <c r="AH151" s="23">
        <f>IF(LEFT(AA151,8)="Expense|",N(R151),0)+IF(LEFT(AB151,8)="Expense|",N(S151),0)+IF(LEFT(AC151,8)="Expense|",-N(L151),0)+IF(LEFT(AD151,8)="Expense|",-N(U151),0)+IF(LEFT(AE151,8)="Expense|",-N(T151),0)</f>
        <v/>
      </c>
      <c r="AI151" s="23">
        <f>IF(ISNUMBER(MATCH(AA151,{"Expense|employee","Expense|general_admin","Expense|marketing","Expense|utilities","Expense|other_operating"},0)),N(R151),0)+IF(ISNUMBER(MATCH(AB151,{"Expense|employee","Expense|general_admin","Expense|marketing","Expense|utilities","Expense|other_operating"},0)),N(S151),0)+IF(ISNUMBER(MATCH(AC151,{"Expense|employee","Expense|general_admin","Expense|marketing","Expense|utilities","Expense|other_operating"},0)),-N(L151),0)+IF(ISNUMBER(MATCH(AD151,{"Expense|employee","Expense|general_admin","Expense|marketing","Expense|utilities","Expense|other_operating"},0)),-N(U151),0)+IF(ISNUMBER(MATCH(AE151,{"Expense|employee","Expense|general_admin","Expense|marketing","Expense|utilities","Expense|other_operating"},0)),-N(T151),0)</f>
        <v/>
      </c>
      <c r="AJ151" s="23">
        <f>IF(AA151="Liability|payable",-N(R151),0)+IF(AB151="Liability|payable",-N(S151),0)+IF(AC151="Liability|payable",N(L151),0)+IF(AD151="Liability|payable",N(U151),0)+IF(AE151="Liability|payable",N(T151),0)</f>
        <v/>
      </c>
      <c r="AK151" s="23">
        <f>IF(AA151="Liability|accrued",-N(R151),0)+IF(AB151="Liability|accrued",-N(S151),0)+IF(AC151="Liability|accrued",N(L151),0)+IF(AD151="Liability|accrued",N(U151),0)+IF(AE151="Liability|accrued",N(T151),0)</f>
        <v/>
      </c>
      <c r="AL151" s="23">
        <f>IF(AND(N(R151)&lt;&gt;0,AA151=""),1,0)+IF(AND(N(S151)&lt;&gt;0,AB151=""),1,0)+IF(AND(N(L151)&lt;&gt;0,AC151=""),1,0)+IF(AND(N(U151)&lt;&gt;0,AD151=""),1,0)+IF(AND(N(T151)&lt;&gt;0,AE151=""),1,0)</f>
        <v/>
      </c>
    </row>
    <row r="152">
      <c r="A152" s="19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20" t="n"/>
      <c r="K152" s="20" t="n"/>
      <c r="L152" s="20" t="n"/>
      <c r="M152" s="14" t="n"/>
      <c r="N152" s="14" t="n"/>
      <c r="O152" s="14" t="n"/>
      <c r="P152" s="14" t="n"/>
      <c r="Q152" s="14" t="n"/>
      <c r="R152" s="21">
        <f>ROUND(N(H152)*N(J152)-N(K152),2)</f>
        <v/>
      </c>
      <c r="S152" s="21">
        <f>ROUND(R152*IFERROR(VLOOKUP(P152,'Tax Codes'!$A$5:$E$300,5,FALSE),0),2)</f>
        <v/>
      </c>
      <c r="T152" s="21">
        <f>ROUND(R152*IFERROR(VLOOKUP(Q152,'Tax Codes'!$A$5:$E$300,5,FALSE),0),2)</f>
        <v/>
      </c>
      <c r="U152" s="21">
        <f>R152+S152-T152-N(L152)</f>
        <v/>
      </c>
      <c r="V152" s="16">
        <f>IF(C152="",INDEX('Chart of Accounts'!$A$5:$A$3000,MATCH("materials",'Chart of Accounts'!$F$5:$F$3000,0)),C152&amp;"")</f>
        <v/>
      </c>
      <c r="W152" s="16">
        <f>IF(N152="",INDEX('Chart of Accounts'!$A$5:$A$3000,MATCH("bank",'Chart of Accounts'!$F$5:$F$3000,0)),N152&amp;"")</f>
        <v/>
      </c>
      <c r="X152" s="16">
        <f>IF(O152="",INDEX('Chart of Accounts'!$A$5:$A$3000,MATCH("ap",'Chart of Accounts'!$F$5:$F$3000,0)),O152&amp;"")</f>
        <v/>
      </c>
      <c r="Y152" s="16">
        <f>INDEX('Chart of Accounts'!$A$5:$A$3000,MATCH("vat_input",'Chart of Accounts'!$F$5:$F$3000,0))</f>
        <v/>
      </c>
      <c r="Z152" s="16">
        <f>INDEX('Chart of Accounts'!$A$5:$A$3000,MATCH("wht_payable",'Chart of Accounts'!$F$5:$F$3000,0))</f>
        <v/>
      </c>
      <c r="AA152" s="23">
        <f>IFERROR(INDEX('Chart of Accounts'!$C$5:$C$3000,MATCH(V152&amp;"",'Chart of Accounts'!$A$5:$A$3000,0))&amp;"|"&amp;INDEX('Chart of Accounts'!$D$5:$D$3000,MATCH(V152&amp;"",'Chart of Accounts'!$A$5:$A$3000,0)),"")</f>
        <v/>
      </c>
      <c r="AB152" s="23">
        <f>IFERROR(INDEX('Chart of Accounts'!$C$5:$C$3000,MATCH(Y152&amp;"",'Chart of Accounts'!$A$5:$A$3000,0))&amp;"|"&amp;INDEX('Chart of Accounts'!$D$5:$D$3000,MATCH(Y152&amp;"",'Chart of Accounts'!$A$5:$A$3000,0)),"")</f>
        <v/>
      </c>
      <c r="AC152" s="23">
        <f>IFERROR(INDEX('Chart of Accounts'!$C$5:$C$3000,MATCH(W152&amp;"",'Chart of Accounts'!$A$5:$A$3000,0))&amp;"|"&amp;INDEX('Chart of Accounts'!$D$5:$D$3000,MATCH(W152&amp;"",'Chart of Accounts'!$A$5:$A$3000,0)),"")</f>
        <v/>
      </c>
      <c r="AD152" s="23">
        <f>IFERROR(INDEX('Chart of Accounts'!$C$5:$C$3000,MATCH(X152&amp;"",'Chart of Accounts'!$A$5:$A$3000,0))&amp;"|"&amp;INDEX('Chart of Accounts'!$D$5:$D$3000,MATCH(X152&amp;"",'Chart of Accounts'!$A$5:$A$3000,0)),"")</f>
        <v/>
      </c>
      <c r="AE152" s="23">
        <f>IFERROR(INDEX('Chart of Accounts'!$C$5:$C$3000,MATCH(Z152&amp;"",'Chart of Accounts'!$A$5:$A$3000,0))&amp;"|"&amp;INDEX('Chart of Accounts'!$D$5:$D$3000,MATCH(Z152&amp;"",'Chart of Accounts'!$A$5:$A$3000,0)),"")</f>
        <v/>
      </c>
      <c r="AF152" s="23">
        <f>IF(LEFT(AA152,8)="Revenue|",-N(R152),0)+IF(LEFT(AB152,8)="Revenue|",-N(S152),0)+IF(LEFT(AC152,8)="Revenue|",N(L152),0)+IF(LEFT(AD152,8)="Revenue|",N(U152),0)+IF(LEFT(AE152,8)="Revenue|",N(T152),0)</f>
        <v/>
      </c>
      <c r="AG152" s="23">
        <f>IF(LEFT(AA152,5)="COGS|",N(R152),0)+IF(LEFT(AB152,5)="COGS|",N(S152),0)+IF(LEFT(AC152,5)="COGS|",-N(L152),0)+IF(LEFT(AD152,5)="COGS|",-N(U152),0)+IF(LEFT(AE152,5)="COGS|",-N(T152),0)</f>
        <v/>
      </c>
      <c r="AH152" s="23">
        <f>IF(LEFT(AA152,8)="Expense|",N(R152),0)+IF(LEFT(AB152,8)="Expense|",N(S152),0)+IF(LEFT(AC152,8)="Expense|",-N(L152),0)+IF(LEFT(AD152,8)="Expense|",-N(U152),0)+IF(LEFT(AE152,8)="Expense|",-N(T152),0)</f>
        <v/>
      </c>
      <c r="AI152" s="23">
        <f>IF(ISNUMBER(MATCH(AA152,{"Expense|employee","Expense|general_admin","Expense|marketing","Expense|utilities","Expense|other_operating"},0)),N(R152),0)+IF(ISNUMBER(MATCH(AB152,{"Expense|employee","Expense|general_admin","Expense|marketing","Expense|utilities","Expense|other_operating"},0)),N(S152),0)+IF(ISNUMBER(MATCH(AC152,{"Expense|employee","Expense|general_admin","Expense|marketing","Expense|utilities","Expense|other_operating"},0)),-N(L152),0)+IF(ISNUMBER(MATCH(AD152,{"Expense|employee","Expense|general_admin","Expense|marketing","Expense|utilities","Expense|other_operating"},0)),-N(U152),0)+IF(ISNUMBER(MATCH(AE152,{"Expense|employee","Expense|general_admin","Expense|marketing","Expense|utilities","Expense|other_operating"},0)),-N(T152),0)</f>
        <v/>
      </c>
      <c r="AJ152" s="23">
        <f>IF(AA152="Liability|payable",-N(R152),0)+IF(AB152="Liability|payable",-N(S152),0)+IF(AC152="Liability|payable",N(L152),0)+IF(AD152="Liability|payable",N(U152),0)+IF(AE152="Liability|payable",N(T152),0)</f>
        <v/>
      </c>
      <c r="AK152" s="23">
        <f>IF(AA152="Liability|accrued",-N(R152),0)+IF(AB152="Liability|accrued",-N(S152),0)+IF(AC152="Liability|accrued",N(L152),0)+IF(AD152="Liability|accrued",N(U152),0)+IF(AE152="Liability|accrued",N(T152),0)</f>
        <v/>
      </c>
      <c r="AL152" s="23">
        <f>IF(AND(N(R152)&lt;&gt;0,AA152=""),1,0)+IF(AND(N(S152)&lt;&gt;0,AB152=""),1,0)+IF(AND(N(L152)&lt;&gt;0,AC152=""),1,0)+IF(AND(N(U152)&lt;&gt;0,AD152=""),1,0)+IF(AND(N(T152)&lt;&gt;0,AE152=""),1,0)</f>
        <v/>
      </c>
    </row>
    <row r="153">
      <c r="A153" s="19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20" t="n"/>
      <c r="K153" s="20" t="n"/>
      <c r="L153" s="20" t="n"/>
      <c r="M153" s="14" t="n"/>
      <c r="N153" s="14" t="n"/>
      <c r="O153" s="14" t="n"/>
      <c r="P153" s="14" t="n"/>
      <c r="Q153" s="14" t="n"/>
      <c r="R153" s="21">
        <f>ROUND(N(H153)*N(J153)-N(K153),2)</f>
        <v/>
      </c>
      <c r="S153" s="21">
        <f>ROUND(R153*IFERROR(VLOOKUP(P153,'Tax Codes'!$A$5:$E$300,5,FALSE),0),2)</f>
        <v/>
      </c>
      <c r="T153" s="21">
        <f>ROUND(R153*IFERROR(VLOOKUP(Q153,'Tax Codes'!$A$5:$E$300,5,FALSE),0),2)</f>
        <v/>
      </c>
      <c r="U153" s="21">
        <f>R153+S153-T153-N(L153)</f>
        <v/>
      </c>
      <c r="V153" s="16">
        <f>IF(C153="",INDEX('Chart of Accounts'!$A$5:$A$3000,MATCH("materials",'Chart of Accounts'!$F$5:$F$3000,0)),C153&amp;"")</f>
        <v/>
      </c>
      <c r="W153" s="16">
        <f>IF(N153="",INDEX('Chart of Accounts'!$A$5:$A$3000,MATCH("bank",'Chart of Accounts'!$F$5:$F$3000,0)),N153&amp;"")</f>
        <v/>
      </c>
      <c r="X153" s="16">
        <f>IF(O153="",INDEX('Chart of Accounts'!$A$5:$A$3000,MATCH("ap",'Chart of Accounts'!$F$5:$F$3000,0)),O153&amp;"")</f>
        <v/>
      </c>
      <c r="Y153" s="16">
        <f>INDEX('Chart of Accounts'!$A$5:$A$3000,MATCH("vat_input",'Chart of Accounts'!$F$5:$F$3000,0))</f>
        <v/>
      </c>
      <c r="Z153" s="16">
        <f>INDEX('Chart of Accounts'!$A$5:$A$3000,MATCH("wht_payable",'Chart of Accounts'!$F$5:$F$3000,0))</f>
        <v/>
      </c>
      <c r="AA153" s="23">
        <f>IFERROR(INDEX('Chart of Accounts'!$C$5:$C$3000,MATCH(V153&amp;"",'Chart of Accounts'!$A$5:$A$3000,0))&amp;"|"&amp;INDEX('Chart of Accounts'!$D$5:$D$3000,MATCH(V153&amp;"",'Chart of Accounts'!$A$5:$A$3000,0)),"")</f>
        <v/>
      </c>
      <c r="AB153" s="23">
        <f>IFERROR(INDEX('Chart of Accounts'!$C$5:$C$3000,MATCH(Y153&amp;"",'Chart of Accounts'!$A$5:$A$3000,0))&amp;"|"&amp;INDEX('Chart of Accounts'!$D$5:$D$3000,MATCH(Y153&amp;"",'Chart of Accounts'!$A$5:$A$3000,0)),"")</f>
        <v/>
      </c>
      <c r="AC153" s="23">
        <f>IFERROR(INDEX('Chart of Accounts'!$C$5:$C$3000,MATCH(W153&amp;"",'Chart of Accounts'!$A$5:$A$3000,0))&amp;"|"&amp;INDEX('Chart of Accounts'!$D$5:$D$3000,MATCH(W153&amp;"",'Chart of Accounts'!$A$5:$A$3000,0)),"")</f>
        <v/>
      </c>
      <c r="AD153" s="23">
        <f>IFERROR(INDEX('Chart of Accounts'!$C$5:$C$3000,MATCH(X153&amp;"",'Chart of Accounts'!$A$5:$A$3000,0))&amp;"|"&amp;INDEX('Chart of Accounts'!$D$5:$D$3000,MATCH(X153&amp;"",'Chart of Accounts'!$A$5:$A$3000,0)),"")</f>
        <v/>
      </c>
      <c r="AE153" s="23">
        <f>IFERROR(INDEX('Chart of Accounts'!$C$5:$C$3000,MATCH(Z153&amp;"",'Chart of Accounts'!$A$5:$A$3000,0))&amp;"|"&amp;INDEX('Chart of Accounts'!$D$5:$D$3000,MATCH(Z153&amp;"",'Chart of Accounts'!$A$5:$A$3000,0)),"")</f>
        <v/>
      </c>
      <c r="AF153" s="23">
        <f>IF(LEFT(AA153,8)="Revenue|",-N(R153),0)+IF(LEFT(AB153,8)="Revenue|",-N(S153),0)+IF(LEFT(AC153,8)="Revenue|",N(L153),0)+IF(LEFT(AD153,8)="Revenue|",N(U153),0)+IF(LEFT(AE153,8)="Revenue|",N(T153),0)</f>
        <v/>
      </c>
      <c r="AG153" s="23">
        <f>IF(LEFT(AA153,5)="COGS|",N(R153),0)+IF(LEFT(AB153,5)="COGS|",N(S153),0)+IF(LEFT(AC153,5)="COGS|",-N(L153),0)+IF(LEFT(AD153,5)="COGS|",-N(U153),0)+IF(LEFT(AE153,5)="COGS|",-N(T153),0)</f>
        <v/>
      </c>
      <c r="AH153" s="23">
        <f>IF(LEFT(AA153,8)="Expense|",N(R153),0)+IF(LEFT(AB153,8)="Expense|",N(S153),0)+IF(LEFT(AC153,8)="Expense|",-N(L153),0)+IF(LEFT(AD153,8)="Expense|",-N(U153),0)+IF(LEFT(AE153,8)="Expense|",-N(T153),0)</f>
        <v/>
      </c>
      <c r="AI153" s="23">
        <f>IF(ISNUMBER(MATCH(AA153,{"Expense|employee","Expense|general_admin","Expense|marketing","Expense|utilities","Expense|other_operating"},0)),N(R153),0)+IF(ISNUMBER(MATCH(AB153,{"Expense|employee","Expense|general_admin","Expense|marketing","Expense|utilities","Expense|other_operating"},0)),N(S153),0)+IF(ISNUMBER(MATCH(AC153,{"Expense|employee","Expense|general_admin","Expense|marketing","Expense|utilities","Expense|other_operating"},0)),-N(L153),0)+IF(ISNUMBER(MATCH(AD153,{"Expense|employee","Expense|general_admin","Expense|marketing","Expense|utilities","Expense|other_operating"},0)),-N(U153),0)+IF(ISNUMBER(MATCH(AE153,{"Expense|employee","Expense|general_admin","Expense|marketing","Expense|utilities","Expense|other_operating"},0)),-N(T153),0)</f>
        <v/>
      </c>
      <c r="AJ153" s="23">
        <f>IF(AA153="Liability|payable",-N(R153),0)+IF(AB153="Liability|payable",-N(S153),0)+IF(AC153="Liability|payable",N(L153),0)+IF(AD153="Liability|payable",N(U153),0)+IF(AE153="Liability|payable",N(T153),0)</f>
        <v/>
      </c>
      <c r="AK153" s="23">
        <f>IF(AA153="Liability|accrued",-N(R153),0)+IF(AB153="Liability|accrued",-N(S153),0)+IF(AC153="Liability|accrued",N(L153),0)+IF(AD153="Liability|accrued",N(U153),0)+IF(AE153="Liability|accrued",N(T153),0)</f>
        <v/>
      </c>
      <c r="AL153" s="23">
        <f>IF(AND(N(R153)&lt;&gt;0,AA153=""),1,0)+IF(AND(N(S153)&lt;&gt;0,AB153=""),1,0)+IF(AND(N(L153)&lt;&gt;0,AC153=""),1,0)+IF(AND(N(U153)&lt;&gt;0,AD153=""),1,0)+IF(AND(N(T153)&lt;&gt;0,AE153=""),1,0)</f>
        <v/>
      </c>
    </row>
    <row r="154">
      <c r="A154" s="19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20" t="n"/>
      <c r="K154" s="20" t="n"/>
      <c r="L154" s="20" t="n"/>
      <c r="M154" s="14" t="n"/>
      <c r="N154" s="14" t="n"/>
      <c r="O154" s="14" t="n"/>
      <c r="P154" s="14" t="n"/>
      <c r="Q154" s="14" t="n"/>
      <c r="R154" s="21">
        <f>ROUND(N(H154)*N(J154)-N(K154),2)</f>
        <v/>
      </c>
      <c r="S154" s="21">
        <f>ROUND(R154*IFERROR(VLOOKUP(P154,'Tax Codes'!$A$5:$E$300,5,FALSE),0),2)</f>
        <v/>
      </c>
      <c r="T154" s="21">
        <f>ROUND(R154*IFERROR(VLOOKUP(Q154,'Tax Codes'!$A$5:$E$300,5,FALSE),0),2)</f>
        <v/>
      </c>
      <c r="U154" s="21">
        <f>R154+S154-T154-N(L154)</f>
        <v/>
      </c>
      <c r="V154" s="16">
        <f>IF(C154="",INDEX('Chart of Accounts'!$A$5:$A$3000,MATCH("materials",'Chart of Accounts'!$F$5:$F$3000,0)),C154&amp;"")</f>
        <v/>
      </c>
      <c r="W154" s="16">
        <f>IF(N154="",INDEX('Chart of Accounts'!$A$5:$A$3000,MATCH("bank",'Chart of Accounts'!$F$5:$F$3000,0)),N154&amp;"")</f>
        <v/>
      </c>
      <c r="X154" s="16">
        <f>IF(O154="",INDEX('Chart of Accounts'!$A$5:$A$3000,MATCH("ap",'Chart of Accounts'!$F$5:$F$3000,0)),O154&amp;"")</f>
        <v/>
      </c>
      <c r="Y154" s="16">
        <f>INDEX('Chart of Accounts'!$A$5:$A$3000,MATCH("vat_input",'Chart of Accounts'!$F$5:$F$3000,0))</f>
        <v/>
      </c>
      <c r="Z154" s="16">
        <f>INDEX('Chart of Accounts'!$A$5:$A$3000,MATCH("wht_payable",'Chart of Accounts'!$F$5:$F$3000,0))</f>
        <v/>
      </c>
      <c r="AA154" s="23">
        <f>IFERROR(INDEX('Chart of Accounts'!$C$5:$C$3000,MATCH(V154&amp;"",'Chart of Accounts'!$A$5:$A$3000,0))&amp;"|"&amp;INDEX('Chart of Accounts'!$D$5:$D$3000,MATCH(V154&amp;"",'Chart of Accounts'!$A$5:$A$3000,0)),"")</f>
        <v/>
      </c>
      <c r="AB154" s="23">
        <f>IFERROR(INDEX('Chart of Accounts'!$C$5:$C$3000,MATCH(Y154&amp;"",'Chart of Accounts'!$A$5:$A$3000,0))&amp;"|"&amp;INDEX('Chart of Accounts'!$D$5:$D$3000,MATCH(Y154&amp;"",'Chart of Accounts'!$A$5:$A$3000,0)),"")</f>
        <v/>
      </c>
      <c r="AC154" s="23">
        <f>IFERROR(INDEX('Chart of Accounts'!$C$5:$C$3000,MATCH(W154&amp;"",'Chart of Accounts'!$A$5:$A$3000,0))&amp;"|"&amp;INDEX('Chart of Accounts'!$D$5:$D$3000,MATCH(W154&amp;"",'Chart of Accounts'!$A$5:$A$3000,0)),"")</f>
        <v/>
      </c>
      <c r="AD154" s="23">
        <f>IFERROR(INDEX('Chart of Accounts'!$C$5:$C$3000,MATCH(X154&amp;"",'Chart of Accounts'!$A$5:$A$3000,0))&amp;"|"&amp;INDEX('Chart of Accounts'!$D$5:$D$3000,MATCH(X154&amp;"",'Chart of Accounts'!$A$5:$A$3000,0)),"")</f>
        <v/>
      </c>
      <c r="AE154" s="23">
        <f>IFERROR(INDEX('Chart of Accounts'!$C$5:$C$3000,MATCH(Z154&amp;"",'Chart of Accounts'!$A$5:$A$3000,0))&amp;"|"&amp;INDEX('Chart of Accounts'!$D$5:$D$3000,MATCH(Z154&amp;"",'Chart of Accounts'!$A$5:$A$3000,0)),"")</f>
        <v/>
      </c>
      <c r="AF154" s="23">
        <f>IF(LEFT(AA154,8)="Revenue|",-N(R154),0)+IF(LEFT(AB154,8)="Revenue|",-N(S154),0)+IF(LEFT(AC154,8)="Revenue|",N(L154),0)+IF(LEFT(AD154,8)="Revenue|",N(U154),0)+IF(LEFT(AE154,8)="Revenue|",N(T154),0)</f>
        <v/>
      </c>
      <c r="AG154" s="23">
        <f>IF(LEFT(AA154,5)="COGS|",N(R154),0)+IF(LEFT(AB154,5)="COGS|",N(S154),0)+IF(LEFT(AC154,5)="COGS|",-N(L154),0)+IF(LEFT(AD154,5)="COGS|",-N(U154),0)+IF(LEFT(AE154,5)="COGS|",-N(T154),0)</f>
        <v/>
      </c>
      <c r="AH154" s="23">
        <f>IF(LEFT(AA154,8)="Expense|",N(R154),0)+IF(LEFT(AB154,8)="Expense|",N(S154),0)+IF(LEFT(AC154,8)="Expense|",-N(L154),0)+IF(LEFT(AD154,8)="Expense|",-N(U154),0)+IF(LEFT(AE154,8)="Expense|",-N(T154),0)</f>
        <v/>
      </c>
      <c r="AI154" s="23">
        <f>IF(ISNUMBER(MATCH(AA154,{"Expense|employee","Expense|general_admin","Expense|marketing","Expense|utilities","Expense|other_operating"},0)),N(R154),0)+IF(ISNUMBER(MATCH(AB154,{"Expense|employee","Expense|general_admin","Expense|marketing","Expense|utilities","Expense|other_operating"},0)),N(S154),0)+IF(ISNUMBER(MATCH(AC154,{"Expense|employee","Expense|general_admin","Expense|marketing","Expense|utilities","Expense|other_operating"},0)),-N(L154),0)+IF(ISNUMBER(MATCH(AD154,{"Expense|employee","Expense|general_admin","Expense|marketing","Expense|utilities","Expense|other_operating"},0)),-N(U154),0)+IF(ISNUMBER(MATCH(AE154,{"Expense|employee","Expense|general_admin","Expense|marketing","Expense|utilities","Expense|other_operating"},0)),-N(T154),0)</f>
        <v/>
      </c>
      <c r="AJ154" s="23">
        <f>IF(AA154="Liability|payable",-N(R154),0)+IF(AB154="Liability|payable",-N(S154),0)+IF(AC154="Liability|payable",N(L154),0)+IF(AD154="Liability|payable",N(U154),0)+IF(AE154="Liability|payable",N(T154),0)</f>
        <v/>
      </c>
      <c r="AK154" s="23">
        <f>IF(AA154="Liability|accrued",-N(R154),0)+IF(AB154="Liability|accrued",-N(S154),0)+IF(AC154="Liability|accrued",N(L154),0)+IF(AD154="Liability|accrued",N(U154),0)+IF(AE154="Liability|accrued",N(T154),0)</f>
        <v/>
      </c>
      <c r="AL154" s="23">
        <f>IF(AND(N(R154)&lt;&gt;0,AA154=""),1,0)+IF(AND(N(S154)&lt;&gt;0,AB154=""),1,0)+IF(AND(N(L154)&lt;&gt;0,AC154=""),1,0)+IF(AND(N(U154)&lt;&gt;0,AD154=""),1,0)+IF(AND(N(T154)&lt;&gt;0,AE154=""),1,0)</f>
        <v/>
      </c>
    </row>
    <row r="155">
      <c r="A155" s="19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20" t="n"/>
      <c r="K155" s="20" t="n"/>
      <c r="L155" s="20" t="n"/>
      <c r="M155" s="14" t="n"/>
      <c r="N155" s="14" t="n"/>
      <c r="O155" s="14" t="n"/>
      <c r="P155" s="14" t="n"/>
      <c r="Q155" s="14" t="n"/>
      <c r="R155" s="21">
        <f>ROUND(N(H155)*N(J155)-N(K155),2)</f>
        <v/>
      </c>
      <c r="S155" s="21">
        <f>ROUND(R155*IFERROR(VLOOKUP(P155,'Tax Codes'!$A$5:$E$300,5,FALSE),0),2)</f>
        <v/>
      </c>
      <c r="T155" s="21">
        <f>ROUND(R155*IFERROR(VLOOKUP(Q155,'Tax Codes'!$A$5:$E$300,5,FALSE),0),2)</f>
        <v/>
      </c>
      <c r="U155" s="21">
        <f>R155+S155-T155-N(L155)</f>
        <v/>
      </c>
      <c r="V155" s="16">
        <f>IF(C155="",INDEX('Chart of Accounts'!$A$5:$A$3000,MATCH("materials",'Chart of Accounts'!$F$5:$F$3000,0)),C155&amp;"")</f>
        <v/>
      </c>
      <c r="W155" s="16">
        <f>IF(N155="",INDEX('Chart of Accounts'!$A$5:$A$3000,MATCH("bank",'Chart of Accounts'!$F$5:$F$3000,0)),N155&amp;"")</f>
        <v/>
      </c>
      <c r="X155" s="16">
        <f>IF(O155="",INDEX('Chart of Accounts'!$A$5:$A$3000,MATCH("ap",'Chart of Accounts'!$F$5:$F$3000,0)),O155&amp;"")</f>
        <v/>
      </c>
      <c r="Y155" s="16">
        <f>INDEX('Chart of Accounts'!$A$5:$A$3000,MATCH("vat_input",'Chart of Accounts'!$F$5:$F$3000,0))</f>
        <v/>
      </c>
      <c r="Z155" s="16">
        <f>INDEX('Chart of Accounts'!$A$5:$A$3000,MATCH("wht_payable",'Chart of Accounts'!$F$5:$F$3000,0))</f>
        <v/>
      </c>
      <c r="AA155" s="23">
        <f>IFERROR(INDEX('Chart of Accounts'!$C$5:$C$3000,MATCH(V155&amp;"",'Chart of Accounts'!$A$5:$A$3000,0))&amp;"|"&amp;INDEX('Chart of Accounts'!$D$5:$D$3000,MATCH(V155&amp;"",'Chart of Accounts'!$A$5:$A$3000,0)),"")</f>
        <v/>
      </c>
      <c r="AB155" s="23">
        <f>IFERROR(INDEX('Chart of Accounts'!$C$5:$C$3000,MATCH(Y155&amp;"",'Chart of Accounts'!$A$5:$A$3000,0))&amp;"|"&amp;INDEX('Chart of Accounts'!$D$5:$D$3000,MATCH(Y155&amp;"",'Chart of Accounts'!$A$5:$A$3000,0)),"")</f>
        <v/>
      </c>
      <c r="AC155" s="23">
        <f>IFERROR(INDEX('Chart of Accounts'!$C$5:$C$3000,MATCH(W155&amp;"",'Chart of Accounts'!$A$5:$A$3000,0))&amp;"|"&amp;INDEX('Chart of Accounts'!$D$5:$D$3000,MATCH(W155&amp;"",'Chart of Accounts'!$A$5:$A$3000,0)),"")</f>
        <v/>
      </c>
      <c r="AD155" s="23">
        <f>IFERROR(INDEX('Chart of Accounts'!$C$5:$C$3000,MATCH(X155&amp;"",'Chart of Accounts'!$A$5:$A$3000,0))&amp;"|"&amp;INDEX('Chart of Accounts'!$D$5:$D$3000,MATCH(X155&amp;"",'Chart of Accounts'!$A$5:$A$3000,0)),"")</f>
        <v/>
      </c>
      <c r="AE155" s="23">
        <f>IFERROR(INDEX('Chart of Accounts'!$C$5:$C$3000,MATCH(Z155&amp;"",'Chart of Accounts'!$A$5:$A$3000,0))&amp;"|"&amp;INDEX('Chart of Accounts'!$D$5:$D$3000,MATCH(Z155&amp;"",'Chart of Accounts'!$A$5:$A$3000,0)),"")</f>
        <v/>
      </c>
      <c r="AF155" s="23">
        <f>IF(LEFT(AA155,8)="Revenue|",-N(R155),0)+IF(LEFT(AB155,8)="Revenue|",-N(S155),0)+IF(LEFT(AC155,8)="Revenue|",N(L155),0)+IF(LEFT(AD155,8)="Revenue|",N(U155),0)+IF(LEFT(AE155,8)="Revenue|",N(T155),0)</f>
        <v/>
      </c>
      <c r="AG155" s="23">
        <f>IF(LEFT(AA155,5)="COGS|",N(R155),0)+IF(LEFT(AB155,5)="COGS|",N(S155),0)+IF(LEFT(AC155,5)="COGS|",-N(L155),0)+IF(LEFT(AD155,5)="COGS|",-N(U155),0)+IF(LEFT(AE155,5)="COGS|",-N(T155),0)</f>
        <v/>
      </c>
      <c r="AH155" s="23">
        <f>IF(LEFT(AA155,8)="Expense|",N(R155),0)+IF(LEFT(AB155,8)="Expense|",N(S155),0)+IF(LEFT(AC155,8)="Expense|",-N(L155),0)+IF(LEFT(AD155,8)="Expense|",-N(U155),0)+IF(LEFT(AE155,8)="Expense|",-N(T155),0)</f>
        <v/>
      </c>
      <c r="AI155" s="23">
        <f>IF(ISNUMBER(MATCH(AA155,{"Expense|employee","Expense|general_admin","Expense|marketing","Expense|utilities","Expense|other_operating"},0)),N(R155),0)+IF(ISNUMBER(MATCH(AB155,{"Expense|employee","Expense|general_admin","Expense|marketing","Expense|utilities","Expense|other_operating"},0)),N(S155),0)+IF(ISNUMBER(MATCH(AC155,{"Expense|employee","Expense|general_admin","Expense|marketing","Expense|utilities","Expense|other_operating"},0)),-N(L155),0)+IF(ISNUMBER(MATCH(AD155,{"Expense|employee","Expense|general_admin","Expense|marketing","Expense|utilities","Expense|other_operating"},0)),-N(U155),0)+IF(ISNUMBER(MATCH(AE155,{"Expense|employee","Expense|general_admin","Expense|marketing","Expense|utilities","Expense|other_operating"},0)),-N(T155),0)</f>
        <v/>
      </c>
      <c r="AJ155" s="23">
        <f>IF(AA155="Liability|payable",-N(R155),0)+IF(AB155="Liability|payable",-N(S155),0)+IF(AC155="Liability|payable",N(L155),0)+IF(AD155="Liability|payable",N(U155),0)+IF(AE155="Liability|payable",N(T155),0)</f>
        <v/>
      </c>
      <c r="AK155" s="23">
        <f>IF(AA155="Liability|accrued",-N(R155),0)+IF(AB155="Liability|accrued",-N(S155),0)+IF(AC155="Liability|accrued",N(L155),0)+IF(AD155="Liability|accrued",N(U155),0)+IF(AE155="Liability|accrued",N(T155),0)</f>
        <v/>
      </c>
      <c r="AL155" s="23">
        <f>IF(AND(N(R155)&lt;&gt;0,AA155=""),1,0)+IF(AND(N(S155)&lt;&gt;0,AB155=""),1,0)+IF(AND(N(L155)&lt;&gt;0,AC155=""),1,0)+IF(AND(N(U155)&lt;&gt;0,AD155=""),1,0)+IF(AND(N(T155)&lt;&gt;0,AE155=""),1,0)</f>
        <v/>
      </c>
    </row>
    <row r="156">
      <c r="A156" s="19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20" t="n"/>
      <c r="K156" s="20" t="n"/>
      <c r="L156" s="20" t="n"/>
      <c r="M156" s="14" t="n"/>
      <c r="N156" s="14" t="n"/>
      <c r="O156" s="14" t="n"/>
      <c r="P156" s="14" t="n"/>
      <c r="Q156" s="14" t="n"/>
      <c r="R156" s="21">
        <f>ROUND(N(H156)*N(J156)-N(K156),2)</f>
        <v/>
      </c>
      <c r="S156" s="21">
        <f>ROUND(R156*IFERROR(VLOOKUP(P156,'Tax Codes'!$A$5:$E$300,5,FALSE),0),2)</f>
        <v/>
      </c>
      <c r="T156" s="21">
        <f>ROUND(R156*IFERROR(VLOOKUP(Q156,'Tax Codes'!$A$5:$E$300,5,FALSE),0),2)</f>
        <v/>
      </c>
      <c r="U156" s="21">
        <f>R156+S156-T156-N(L156)</f>
        <v/>
      </c>
      <c r="V156" s="16">
        <f>IF(C156="",INDEX('Chart of Accounts'!$A$5:$A$3000,MATCH("materials",'Chart of Accounts'!$F$5:$F$3000,0)),C156&amp;"")</f>
        <v/>
      </c>
      <c r="W156" s="16">
        <f>IF(N156="",INDEX('Chart of Accounts'!$A$5:$A$3000,MATCH("bank",'Chart of Accounts'!$F$5:$F$3000,0)),N156&amp;"")</f>
        <v/>
      </c>
      <c r="X156" s="16">
        <f>IF(O156="",INDEX('Chart of Accounts'!$A$5:$A$3000,MATCH("ap",'Chart of Accounts'!$F$5:$F$3000,0)),O156&amp;"")</f>
        <v/>
      </c>
      <c r="Y156" s="16">
        <f>INDEX('Chart of Accounts'!$A$5:$A$3000,MATCH("vat_input",'Chart of Accounts'!$F$5:$F$3000,0))</f>
        <v/>
      </c>
      <c r="Z156" s="16">
        <f>INDEX('Chart of Accounts'!$A$5:$A$3000,MATCH("wht_payable",'Chart of Accounts'!$F$5:$F$3000,0))</f>
        <v/>
      </c>
      <c r="AA156" s="23">
        <f>IFERROR(INDEX('Chart of Accounts'!$C$5:$C$3000,MATCH(V156&amp;"",'Chart of Accounts'!$A$5:$A$3000,0))&amp;"|"&amp;INDEX('Chart of Accounts'!$D$5:$D$3000,MATCH(V156&amp;"",'Chart of Accounts'!$A$5:$A$3000,0)),"")</f>
        <v/>
      </c>
      <c r="AB156" s="23">
        <f>IFERROR(INDEX('Chart of Accounts'!$C$5:$C$3000,MATCH(Y156&amp;"",'Chart of Accounts'!$A$5:$A$3000,0))&amp;"|"&amp;INDEX('Chart of Accounts'!$D$5:$D$3000,MATCH(Y156&amp;"",'Chart of Accounts'!$A$5:$A$3000,0)),"")</f>
        <v/>
      </c>
      <c r="AC156" s="23">
        <f>IFERROR(INDEX('Chart of Accounts'!$C$5:$C$3000,MATCH(W156&amp;"",'Chart of Accounts'!$A$5:$A$3000,0))&amp;"|"&amp;INDEX('Chart of Accounts'!$D$5:$D$3000,MATCH(W156&amp;"",'Chart of Accounts'!$A$5:$A$3000,0)),"")</f>
        <v/>
      </c>
      <c r="AD156" s="23">
        <f>IFERROR(INDEX('Chart of Accounts'!$C$5:$C$3000,MATCH(X156&amp;"",'Chart of Accounts'!$A$5:$A$3000,0))&amp;"|"&amp;INDEX('Chart of Accounts'!$D$5:$D$3000,MATCH(X156&amp;"",'Chart of Accounts'!$A$5:$A$3000,0)),"")</f>
        <v/>
      </c>
      <c r="AE156" s="23">
        <f>IFERROR(INDEX('Chart of Accounts'!$C$5:$C$3000,MATCH(Z156&amp;"",'Chart of Accounts'!$A$5:$A$3000,0))&amp;"|"&amp;INDEX('Chart of Accounts'!$D$5:$D$3000,MATCH(Z156&amp;"",'Chart of Accounts'!$A$5:$A$3000,0)),"")</f>
        <v/>
      </c>
      <c r="AF156" s="23">
        <f>IF(LEFT(AA156,8)="Revenue|",-N(R156),0)+IF(LEFT(AB156,8)="Revenue|",-N(S156),0)+IF(LEFT(AC156,8)="Revenue|",N(L156),0)+IF(LEFT(AD156,8)="Revenue|",N(U156),0)+IF(LEFT(AE156,8)="Revenue|",N(T156),0)</f>
        <v/>
      </c>
      <c r="AG156" s="23">
        <f>IF(LEFT(AA156,5)="COGS|",N(R156),0)+IF(LEFT(AB156,5)="COGS|",N(S156),0)+IF(LEFT(AC156,5)="COGS|",-N(L156),0)+IF(LEFT(AD156,5)="COGS|",-N(U156),0)+IF(LEFT(AE156,5)="COGS|",-N(T156),0)</f>
        <v/>
      </c>
      <c r="AH156" s="23">
        <f>IF(LEFT(AA156,8)="Expense|",N(R156),0)+IF(LEFT(AB156,8)="Expense|",N(S156),0)+IF(LEFT(AC156,8)="Expense|",-N(L156),0)+IF(LEFT(AD156,8)="Expense|",-N(U156),0)+IF(LEFT(AE156,8)="Expense|",-N(T156),0)</f>
        <v/>
      </c>
      <c r="AI156" s="23">
        <f>IF(ISNUMBER(MATCH(AA156,{"Expense|employee","Expense|general_admin","Expense|marketing","Expense|utilities","Expense|other_operating"},0)),N(R156),0)+IF(ISNUMBER(MATCH(AB156,{"Expense|employee","Expense|general_admin","Expense|marketing","Expense|utilities","Expense|other_operating"},0)),N(S156),0)+IF(ISNUMBER(MATCH(AC156,{"Expense|employee","Expense|general_admin","Expense|marketing","Expense|utilities","Expense|other_operating"},0)),-N(L156),0)+IF(ISNUMBER(MATCH(AD156,{"Expense|employee","Expense|general_admin","Expense|marketing","Expense|utilities","Expense|other_operating"},0)),-N(U156),0)+IF(ISNUMBER(MATCH(AE156,{"Expense|employee","Expense|general_admin","Expense|marketing","Expense|utilities","Expense|other_operating"},0)),-N(T156),0)</f>
        <v/>
      </c>
      <c r="AJ156" s="23">
        <f>IF(AA156="Liability|payable",-N(R156),0)+IF(AB156="Liability|payable",-N(S156),0)+IF(AC156="Liability|payable",N(L156),0)+IF(AD156="Liability|payable",N(U156),0)+IF(AE156="Liability|payable",N(T156),0)</f>
        <v/>
      </c>
      <c r="AK156" s="23">
        <f>IF(AA156="Liability|accrued",-N(R156),0)+IF(AB156="Liability|accrued",-N(S156),0)+IF(AC156="Liability|accrued",N(L156),0)+IF(AD156="Liability|accrued",N(U156),0)+IF(AE156="Liability|accrued",N(T156),0)</f>
        <v/>
      </c>
      <c r="AL156" s="23">
        <f>IF(AND(N(R156)&lt;&gt;0,AA156=""),1,0)+IF(AND(N(S156)&lt;&gt;0,AB156=""),1,0)+IF(AND(N(L156)&lt;&gt;0,AC156=""),1,0)+IF(AND(N(U156)&lt;&gt;0,AD156=""),1,0)+IF(AND(N(T156)&lt;&gt;0,AE156=""),1,0)</f>
        <v/>
      </c>
    </row>
    <row r="157">
      <c r="A157" s="19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20" t="n"/>
      <c r="K157" s="20" t="n"/>
      <c r="L157" s="20" t="n"/>
      <c r="M157" s="14" t="n"/>
      <c r="N157" s="14" t="n"/>
      <c r="O157" s="14" t="n"/>
      <c r="P157" s="14" t="n"/>
      <c r="Q157" s="14" t="n"/>
      <c r="R157" s="21">
        <f>ROUND(N(H157)*N(J157)-N(K157),2)</f>
        <v/>
      </c>
      <c r="S157" s="21">
        <f>ROUND(R157*IFERROR(VLOOKUP(P157,'Tax Codes'!$A$5:$E$300,5,FALSE),0),2)</f>
        <v/>
      </c>
      <c r="T157" s="21">
        <f>ROUND(R157*IFERROR(VLOOKUP(Q157,'Tax Codes'!$A$5:$E$300,5,FALSE),0),2)</f>
        <v/>
      </c>
      <c r="U157" s="21">
        <f>R157+S157-T157-N(L157)</f>
        <v/>
      </c>
      <c r="V157" s="16">
        <f>IF(C157="",INDEX('Chart of Accounts'!$A$5:$A$3000,MATCH("materials",'Chart of Accounts'!$F$5:$F$3000,0)),C157&amp;"")</f>
        <v/>
      </c>
      <c r="W157" s="16">
        <f>IF(N157="",INDEX('Chart of Accounts'!$A$5:$A$3000,MATCH("bank",'Chart of Accounts'!$F$5:$F$3000,0)),N157&amp;"")</f>
        <v/>
      </c>
      <c r="X157" s="16">
        <f>IF(O157="",INDEX('Chart of Accounts'!$A$5:$A$3000,MATCH("ap",'Chart of Accounts'!$F$5:$F$3000,0)),O157&amp;"")</f>
        <v/>
      </c>
      <c r="Y157" s="16">
        <f>INDEX('Chart of Accounts'!$A$5:$A$3000,MATCH("vat_input",'Chart of Accounts'!$F$5:$F$3000,0))</f>
        <v/>
      </c>
      <c r="Z157" s="16">
        <f>INDEX('Chart of Accounts'!$A$5:$A$3000,MATCH("wht_payable",'Chart of Accounts'!$F$5:$F$3000,0))</f>
        <v/>
      </c>
      <c r="AA157" s="23">
        <f>IFERROR(INDEX('Chart of Accounts'!$C$5:$C$3000,MATCH(V157&amp;"",'Chart of Accounts'!$A$5:$A$3000,0))&amp;"|"&amp;INDEX('Chart of Accounts'!$D$5:$D$3000,MATCH(V157&amp;"",'Chart of Accounts'!$A$5:$A$3000,0)),"")</f>
        <v/>
      </c>
      <c r="AB157" s="23">
        <f>IFERROR(INDEX('Chart of Accounts'!$C$5:$C$3000,MATCH(Y157&amp;"",'Chart of Accounts'!$A$5:$A$3000,0))&amp;"|"&amp;INDEX('Chart of Accounts'!$D$5:$D$3000,MATCH(Y157&amp;"",'Chart of Accounts'!$A$5:$A$3000,0)),"")</f>
        <v/>
      </c>
      <c r="AC157" s="23">
        <f>IFERROR(INDEX('Chart of Accounts'!$C$5:$C$3000,MATCH(W157&amp;"",'Chart of Accounts'!$A$5:$A$3000,0))&amp;"|"&amp;INDEX('Chart of Accounts'!$D$5:$D$3000,MATCH(W157&amp;"",'Chart of Accounts'!$A$5:$A$3000,0)),"")</f>
        <v/>
      </c>
      <c r="AD157" s="23">
        <f>IFERROR(INDEX('Chart of Accounts'!$C$5:$C$3000,MATCH(X157&amp;"",'Chart of Accounts'!$A$5:$A$3000,0))&amp;"|"&amp;INDEX('Chart of Accounts'!$D$5:$D$3000,MATCH(X157&amp;"",'Chart of Accounts'!$A$5:$A$3000,0)),"")</f>
        <v/>
      </c>
      <c r="AE157" s="23">
        <f>IFERROR(INDEX('Chart of Accounts'!$C$5:$C$3000,MATCH(Z157&amp;"",'Chart of Accounts'!$A$5:$A$3000,0))&amp;"|"&amp;INDEX('Chart of Accounts'!$D$5:$D$3000,MATCH(Z157&amp;"",'Chart of Accounts'!$A$5:$A$3000,0)),"")</f>
        <v/>
      </c>
      <c r="AF157" s="23">
        <f>IF(LEFT(AA157,8)="Revenue|",-N(R157),0)+IF(LEFT(AB157,8)="Revenue|",-N(S157),0)+IF(LEFT(AC157,8)="Revenue|",N(L157),0)+IF(LEFT(AD157,8)="Revenue|",N(U157),0)+IF(LEFT(AE157,8)="Revenue|",N(T157),0)</f>
        <v/>
      </c>
      <c r="AG157" s="23">
        <f>IF(LEFT(AA157,5)="COGS|",N(R157),0)+IF(LEFT(AB157,5)="COGS|",N(S157),0)+IF(LEFT(AC157,5)="COGS|",-N(L157),0)+IF(LEFT(AD157,5)="COGS|",-N(U157),0)+IF(LEFT(AE157,5)="COGS|",-N(T157),0)</f>
        <v/>
      </c>
      <c r="AH157" s="23">
        <f>IF(LEFT(AA157,8)="Expense|",N(R157),0)+IF(LEFT(AB157,8)="Expense|",N(S157),0)+IF(LEFT(AC157,8)="Expense|",-N(L157),0)+IF(LEFT(AD157,8)="Expense|",-N(U157),0)+IF(LEFT(AE157,8)="Expense|",-N(T157),0)</f>
        <v/>
      </c>
      <c r="AI157" s="23">
        <f>IF(ISNUMBER(MATCH(AA157,{"Expense|employee","Expense|general_admin","Expense|marketing","Expense|utilities","Expense|other_operating"},0)),N(R157),0)+IF(ISNUMBER(MATCH(AB157,{"Expense|employee","Expense|general_admin","Expense|marketing","Expense|utilities","Expense|other_operating"},0)),N(S157),0)+IF(ISNUMBER(MATCH(AC157,{"Expense|employee","Expense|general_admin","Expense|marketing","Expense|utilities","Expense|other_operating"},0)),-N(L157),0)+IF(ISNUMBER(MATCH(AD157,{"Expense|employee","Expense|general_admin","Expense|marketing","Expense|utilities","Expense|other_operating"},0)),-N(U157),0)+IF(ISNUMBER(MATCH(AE157,{"Expense|employee","Expense|general_admin","Expense|marketing","Expense|utilities","Expense|other_operating"},0)),-N(T157),0)</f>
        <v/>
      </c>
      <c r="AJ157" s="23">
        <f>IF(AA157="Liability|payable",-N(R157),0)+IF(AB157="Liability|payable",-N(S157),0)+IF(AC157="Liability|payable",N(L157),0)+IF(AD157="Liability|payable",N(U157),0)+IF(AE157="Liability|payable",N(T157),0)</f>
        <v/>
      </c>
      <c r="AK157" s="23">
        <f>IF(AA157="Liability|accrued",-N(R157),0)+IF(AB157="Liability|accrued",-N(S157),0)+IF(AC157="Liability|accrued",N(L157),0)+IF(AD157="Liability|accrued",N(U157),0)+IF(AE157="Liability|accrued",N(T157),0)</f>
        <v/>
      </c>
      <c r="AL157" s="23">
        <f>IF(AND(N(R157)&lt;&gt;0,AA157=""),1,0)+IF(AND(N(S157)&lt;&gt;0,AB157=""),1,0)+IF(AND(N(L157)&lt;&gt;0,AC157=""),1,0)+IF(AND(N(U157)&lt;&gt;0,AD157=""),1,0)+IF(AND(N(T157)&lt;&gt;0,AE157=""),1,0)</f>
        <v/>
      </c>
    </row>
    <row r="158">
      <c r="A158" s="19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20" t="n"/>
      <c r="K158" s="20" t="n"/>
      <c r="L158" s="20" t="n"/>
      <c r="M158" s="14" t="n"/>
      <c r="N158" s="14" t="n"/>
      <c r="O158" s="14" t="n"/>
      <c r="P158" s="14" t="n"/>
      <c r="Q158" s="14" t="n"/>
      <c r="R158" s="21">
        <f>ROUND(N(H158)*N(J158)-N(K158),2)</f>
        <v/>
      </c>
      <c r="S158" s="21">
        <f>ROUND(R158*IFERROR(VLOOKUP(P158,'Tax Codes'!$A$5:$E$300,5,FALSE),0),2)</f>
        <v/>
      </c>
      <c r="T158" s="21">
        <f>ROUND(R158*IFERROR(VLOOKUP(Q158,'Tax Codes'!$A$5:$E$300,5,FALSE),0),2)</f>
        <v/>
      </c>
      <c r="U158" s="21">
        <f>R158+S158-T158-N(L158)</f>
        <v/>
      </c>
      <c r="V158" s="16">
        <f>IF(C158="",INDEX('Chart of Accounts'!$A$5:$A$3000,MATCH("materials",'Chart of Accounts'!$F$5:$F$3000,0)),C158&amp;"")</f>
        <v/>
      </c>
      <c r="W158" s="16">
        <f>IF(N158="",INDEX('Chart of Accounts'!$A$5:$A$3000,MATCH("bank",'Chart of Accounts'!$F$5:$F$3000,0)),N158&amp;"")</f>
        <v/>
      </c>
      <c r="X158" s="16">
        <f>IF(O158="",INDEX('Chart of Accounts'!$A$5:$A$3000,MATCH("ap",'Chart of Accounts'!$F$5:$F$3000,0)),O158&amp;"")</f>
        <v/>
      </c>
      <c r="Y158" s="16">
        <f>INDEX('Chart of Accounts'!$A$5:$A$3000,MATCH("vat_input",'Chart of Accounts'!$F$5:$F$3000,0))</f>
        <v/>
      </c>
      <c r="Z158" s="16">
        <f>INDEX('Chart of Accounts'!$A$5:$A$3000,MATCH("wht_payable",'Chart of Accounts'!$F$5:$F$3000,0))</f>
        <v/>
      </c>
      <c r="AA158" s="23">
        <f>IFERROR(INDEX('Chart of Accounts'!$C$5:$C$3000,MATCH(V158&amp;"",'Chart of Accounts'!$A$5:$A$3000,0))&amp;"|"&amp;INDEX('Chart of Accounts'!$D$5:$D$3000,MATCH(V158&amp;"",'Chart of Accounts'!$A$5:$A$3000,0)),"")</f>
        <v/>
      </c>
      <c r="AB158" s="23">
        <f>IFERROR(INDEX('Chart of Accounts'!$C$5:$C$3000,MATCH(Y158&amp;"",'Chart of Accounts'!$A$5:$A$3000,0))&amp;"|"&amp;INDEX('Chart of Accounts'!$D$5:$D$3000,MATCH(Y158&amp;"",'Chart of Accounts'!$A$5:$A$3000,0)),"")</f>
        <v/>
      </c>
      <c r="AC158" s="23">
        <f>IFERROR(INDEX('Chart of Accounts'!$C$5:$C$3000,MATCH(W158&amp;"",'Chart of Accounts'!$A$5:$A$3000,0))&amp;"|"&amp;INDEX('Chart of Accounts'!$D$5:$D$3000,MATCH(W158&amp;"",'Chart of Accounts'!$A$5:$A$3000,0)),"")</f>
        <v/>
      </c>
      <c r="AD158" s="23">
        <f>IFERROR(INDEX('Chart of Accounts'!$C$5:$C$3000,MATCH(X158&amp;"",'Chart of Accounts'!$A$5:$A$3000,0))&amp;"|"&amp;INDEX('Chart of Accounts'!$D$5:$D$3000,MATCH(X158&amp;"",'Chart of Accounts'!$A$5:$A$3000,0)),"")</f>
        <v/>
      </c>
      <c r="AE158" s="23">
        <f>IFERROR(INDEX('Chart of Accounts'!$C$5:$C$3000,MATCH(Z158&amp;"",'Chart of Accounts'!$A$5:$A$3000,0))&amp;"|"&amp;INDEX('Chart of Accounts'!$D$5:$D$3000,MATCH(Z158&amp;"",'Chart of Accounts'!$A$5:$A$3000,0)),"")</f>
        <v/>
      </c>
      <c r="AF158" s="23">
        <f>IF(LEFT(AA158,8)="Revenue|",-N(R158),0)+IF(LEFT(AB158,8)="Revenue|",-N(S158),0)+IF(LEFT(AC158,8)="Revenue|",N(L158),0)+IF(LEFT(AD158,8)="Revenue|",N(U158),0)+IF(LEFT(AE158,8)="Revenue|",N(T158),0)</f>
        <v/>
      </c>
      <c r="AG158" s="23">
        <f>IF(LEFT(AA158,5)="COGS|",N(R158),0)+IF(LEFT(AB158,5)="COGS|",N(S158),0)+IF(LEFT(AC158,5)="COGS|",-N(L158),0)+IF(LEFT(AD158,5)="COGS|",-N(U158),0)+IF(LEFT(AE158,5)="COGS|",-N(T158),0)</f>
        <v/>
      </c>
      <c r="AH158" s="23">
        <f>IF(LEFT(AA158,8)="Expense|",N(R158),0)+IF(LEFT(AB158,8)="Expense|",N(S158),0)+IF(LEFT(AC158,8)="Expense|",-N(L158),0)+IF(LEFT(AD158,8)="Expense|",-N(U158),0)+IF(LEFT(AE158,8)="Expense|",-N(T158),0)</f>
        <v/>
      </c>
      <c r="AI158" s="23">
        <f>IF(ISNUMBER(MATCH(AA158,{"Expense|employee","Expense|general_admin","Expense|marketing","Expense|utilities","Expense|other_operating"},0)),N(R158),0)+IF(ISNUMBER(MATCH(AB158,{"Expense|employee","Expense|general_admin","Expense|marketing","Expense|utilities","Expense|other_operating"},0)),N(S158),0)+IF(ISNUMBER(MATCH(AC158,{"Expense|employee","Expense|general_admin","Expense|marketing","Expense|utilities","Expense|other_operating"},0)),-N(L158),0)+IF(ISNUMBER(MATCH(AD158,{"Expense|employee","Expense|general_admin","Expense|marketing","Expense|utilities","Expense|other_operating"},0)),-N(U158),0)+IF(ISNUMBER(MATCH(AE158,{"Expense|employee","Expense|general_admin","Expense|marketing","Expense|utilities","Expense|other_operating"},0)),-N(T158),0)</f>
        <v/>
      </c>
      <c r="AJ158" s="23">
        <f>IF(AA158="Liability|payable",-N(R158),0)+IF(AB158="Liability|payable",-N(S158),0)+IF(AC158="Liability|payable",N(L158),0)+IF(AD158="Liability|payable",N(U158),0)+IF(AE158="Liability|payable",N(T158),0)</f>
        <v/>
      </c>
      <c r="AK158" s="23">
        <f>IF(AA158="Liability|accrued",-N(R158),0)+IF(AB158="Liability|accrued",-N(S158),0)+IF(AC158="Liability|accrued",N(L158),0)+IF(AD158="Liability|accrued",N(U158),0)+IF(AE158="Liability|accrued",N(T158),0)</f>
        <v/>
      </c>
      <c r="AL158" s="23">
        <f>IF(AND(N(R158)&lt;&gt;0,AA158=""),1,0)+IF(AND(N(S158)&lt;&gt;0,AB158=""),1,0)+IF(AND(N(L158)&lt;&gt;0,AC158=""),1,0)+IF(AND(N(U158)&lt;&gt;0,AD158=""),1,0)+IF(AND(N(T158)&lt;&gt;0,AE158=""),1,0)</f>
        <v/>
      </c>
    </row>
    <row r="159">
      <c r="A159" s="19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20" t="n"/>
      <c r="K159" s="20" t="n"/>
      <c r="L159" s="20" t="n"/>
      <c r="M159" s="14" t="n"/>
      <c r="N159" s="14" t="n"/>
      <c r="O159" s="14" t="n"/>
      <c r="P159" s="14" t="n"/>
      <c r="Q159" s="14" t="n"/>
      <c r="R159" s="21">
        <f>ROUND(N(H159)*N(J159)-N(K159),2)</f>
        <v/>
      </c>
      <c r="S159" s="21">
        <f>ROUND(R159*IFERROR(VLOOKUP(P159,'Tax Codes'!$A$5:$E$300,5,FALSE),0),2)</f>
        <v/>
      </c>
      <c r="T159" s="21">
        <f>ROUND(R159*IFERROR(VLOOKUP(Q159,'Tax Codes'!$A$5:$E$300,5,FALSE),0),2)</f>
        <v/>
      </c>
      <c r="U159" s="21">
        <f>R159+S159-T159-N(L159)</f>
        <v/>
      </c>
      <c r="V159" s="16">
        <f>IF(C159="",INDEX('Chart of Accounts'!$A$5:$A$3000,MATCH("materials",'Chart of Accounts'!$F$5:$F$3000,0)),C159&amp;"")</f>
        <v/>
      </c>
      <c r="W159" s="16">
        <f>IF(N159="",INDEX('Chart of Accounts'!$A$5:$A$3000,MATCH("bank",'Chart of Accounts'!$F$5:$F$3000,0)),N159&amp;"")</f>
        <v/>
      </c>
      <c r="X159" s="16">
        <f>IF(O159="",INDEX('Chart of Accounts'!$A$5:$A$3000,MATCH("ap",'Chart of Accounts'!$F$5:$F$3000,0)),O159&amp;"")</f>
        <v/>
      </c>
      <c r="Y159" s="16">
        <f>INDEX('Chart of Accounts'!$A$5:$A$3000,MATCH("vat_input",'Chart of Accounts'!$F$5:$F$3000,0))</f>
        <v/>
      </c>
      <c r="Z159" s="16">
        <f>INDEX('Chart of Accounts'!$A$5:$A$3000,MATCH("wht_payable",'Chart of Accounts'!$F$5:$F$3000,0))</f>
        <v/>
      </c>
      <c r="AA159" s="23">
        <f>IFERROR(INDEX('Chart of Accounts'!$C$5:$C$3000,MATCH(V159&amp;"",'Chart of Accounts'!$A$5:$A$3000,0))&amp;"|"&amp;INDEX('Chart of Accounts'!$D$5:$D$3000,MATCH(V159&amp;"",'Chart of Accounts'!$A$5:$A$3000,0)),"")</f>
        <v/>
      </c>
      <c r="AB159" s="23">
        <f>IFERROR(INDEX('Chart of Accounts'!$C$5:$C$3000,MATCH(Y159&amp;"",'Chart of Accounts'!$A$5:$A$3000,0))&amp;"|"&amp;INDEX('Chart of Accounts'!$D$5:$D$3000,MATCH(Y159&amp;"",'Chart of Accounts'!$A$5:$A$3000,0)),"")</f>
        <v/>
      </c>
      <c r="AC159" s="23">
        <f>IFERROR(INDEX('Chart of Accounts'!$C$5:$C$3000,MATCH(W159&amp;"",'Chart of Accounts'!$A$5:$A$3000,0))&amp;"|"&amp;INDEX('Chart of Accounts'!$D$5:$D$3000,MATCH(W159&amp;"",'Chart of Accounts'!$A$5:$A$3000,0)),"")</f>
        <v/>
      </c>
      <c r="AD159" s="23">
        <f>IFERROR(INDEX('Chart of Accounts'!$C$5:$C$3000,MATCH(X159&amp;"",'Chart of Accounts'!$A$5:$A$3000,0))&amp;"|"&amp;INDEX('Chart of Accounts'!$D$5:$D$3000,MATCH(X159&amp;"",'Chart of Accounts'!$A$5:$A$3000,0)),"")</f>
        <v/>
      </c>
      <c r="AE159" s="23">
        <f>IFERROR(INDEX('Chart of Accounts'!$C$5:$C$3000,MATCH(Z159&amp;"",'Chart of Accounts'!$A$5:$A$3000,0))&amp;"|"&amp;INDEX('Chart of Accounts'!$D$5:$D$3000,MATCH(Z159&amp;"",'Chart of Accounts'!$A$5:$A$3000,0)),"")</f>
        <v/>
      </c>
      <c r="AF159" s="23">
        <f>IF(LEFT(AA159,8)="Revenue|",-N(R159),0)+IF(LEFT(AB159,8)="Revenue|",-N(S159),0)+IF(LEFT(AC159,8)="Revenue|",N(L159),0)+IF(LEFT(AD159,8)="Revenue|",N(U159),0)+IF(LEFT(AE159,8)="Revenue|",N(T159),0)</f>
        <v/>
      </c>
      <c r="AG159" s="23">
        <f>IF(LEFT(AA159,5)="COGS|",N(R159),0)+IF(LEFT(AB159,5)="COGS|",N(S159),0)+IF(LEFT(AC159,5)="COGS|",-N(L159),0)+IF(LEFT(AD159,5)="COGS|",-N(U159),0)+IF(LEFT(AE159,5)="COGS|",-N(T159),0)</f>
        <v/>
      </c>
      <c r="AH159" s="23">
        <f>IF(LEFT(AA159,8)="Expense|",N(R159),0)+IF(LEFT(AB159,8)="Expense|",N(S159),0)+IF(LEFT(AC159,8)="Expense|",-N(L159),0)+IF(LEFT(AD159,8)="Expense|",-N(U159),0)+IF(LEFT(AE159,8)="Expense|",-N(T159),0)</f>
        <v/>
      </c>
      <c r="AI159" s="23">
        <f>IF(ISNUMBER(MATCH(AA159,{"Expense|employee","Expense|general_admin","Expense|marketing","Expense|utilities","Expense|other_operating"},0)),N(R159),0)+IF(ISNUMBER(MATCH(AB159,{"Expense|employee","Expense|general_admin","Expense|marketing","Expense|utilities","Expense|other_operating"},0)),N(S159),0)+IF(ISNUMBER(MATCH(AC159,{"Expense|employee","Expense|general_admin","Expense|marketing","Expense|utilities","Expense|other_operating"},0)),-N(L159),0)+IF(ISNUMBER(MATCH(AD159,{"Expense|employee","Expense|general_admin","Expense|marketing","Expense|utilities","Expense|other_operating"},0)),-N(U159),0)+IF(ISNUMBER(MATCH(AE159,{"Expense|employee","Expense|general_admin","Expense|marketing","Expense|utilities","Expense|other_operating"},0)),-N(T159),0)</f>
        <v/>
      </c>
      <c r="AJ159" s="23">
        <f>IF(AA159="Liability|payable",-N(R159),0)+IF(AB159="Liability|payable",-N(S159),0)+IF(AC159="Liability|payable",N(L159),0)+IF(AD159="Liability|payable",N(U159),0)+IF(AE159="Liability|payable",N(T159),0)</f>
        <v/>
      </c>
      <c r="AK159" s="23">
        <f>IF(AA159="Liability|accrued",-N(R159),0)+IF(AB159="Liability|accrued",-N(S159),0)+IF(AC159="Liability|accrued",N(L159),0)+IF(AD159="Liability|accrued",N(U159),0)+IF(AE159="Liability|accrued",N(T159),0)</f>
        <v/>
      </c>
      <c r="AL159" s="23">
        <f>IF(AND(N(R159)&lt;&gt;0,AA159=""),1,0)+IF(AND(N(S159)&lt;&gt;0,AB159=""),1,0)+IF(AND(N(L159)&lt;&gt;0,AC159=""),1,0)+IF(AND(N(U159)&lt;&gt;0,AD159=""),1,0)+IF(AND(N(T159)&lt;&gt;0,AE159=""),1,0)</f>
        <v/>
      </c>
    </row>
    <row r="160">
      <c r="A160" s="19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20" t="n"/>
      <c r="K160" s="20" t="n"/>
      <c r="L160" s="20" t="n"/>
      <c r="M160" s="14" t="n"/>
      <c r="N160" s="14" t="n"/>
      <c r="O160" s="14" t="n"/>
      <c r="P160" s="14" t="n"/>
      <c r="Q160" s="14" t="n"/>
      <c r="R160" s="21">
        <f>ROUND(N(H160)*N(J160)-N(K160),2)</f>
        <v/>
      </c>
      <c r="S160" s="21">
        <f>ROUND(R160*IFERROR(VLOOKUP(P160,'Tax Codes'!$A$5:$E$300,5,FALSE),0),2)</f>
        <v/>
      </c>
      <c r="T160" s="21">
        <f>ROUND(R160*IFERROR(VLOOKUP(Q160,'Tax Codes'!$A$5:$E$300,5,FALSE),0),2)</f>
        <v/>
      </c>
      <c r="U160" s="21">
        <f>R160+S160-T160-N(L160)</f>
        <v/>
      </c>
      <c r="V160" s="16">
        <f>IF(C160="",INDEX('Chart of Accounts'!$A$5:$A$3000,MATCH("materials",'Chart of Accounts'!$F$5:$F$3000,0)),C160&amp;"")</f>
        <v/>
      </c>
      <c r="W160" s="16">
        <f>IF(N160="",INDEX('Chart of Accounts'!$A$5:$A$3000,MATCH("bank",'Chart of Accounts'!$F$5:$F$3000,0)),N160&amp;"")</f>
        <v/>
      </c>
      <c r="X160" s="16">
        <f>IF(O160="",INDEX('Chart of Accounts'!$A$5:$A$3000,MATCH("ap",'Chart of Accounts'!$F$5:$F$3000,0)),O160&amp;"")</f>
        <v/>
      </c>
      <c r="Y160" s="16">
        <f>INDEX('Chart of Accounts'!$A$5:$A$3000,MATCH("vat_input",'Chart of Accounts'!$F$5:$F$3000,0))</f>
        <v/>
      </c>
      <c r="Z160" s="16">
        <f>INDEX('Chart of Accounts'!$A$5:$A$3000,MATCH("wht_payable",'Chart of Accounts'!$F$5:$F$3000,0))</f>
        <v/>
      </c>
      <c r="AA160" s="23">
        <f>IFERROR(INDEX('Chart of Accounts'!$C$5:$C$3000,MATCH(V160&amp;"",'Chart of Accounts'!$A$5:$A$3000,0))&amp;"|"&amp;INDEX('Chart of Accounts'!$D$5:$D$3000,MATCH(V160&amp;"",'Chart of Accounts'!$A$5:$A$3000,0)),"")</f>
        <v/>
      </c>
      <c r="AB160" s="23">
        <f>IFERROR(INDEX('Chart of Accounts'!$C$5:$C$3000,MATCH(Y160&amp;"",'Chart of Accounts'!$A$5:$A$3000,0))&amp;"|"&amp;INDEX('Chart of Accounts'!$D$5:$D$3000,MATCH(Y160&amp;"",'Chart of Accounts'!$A$5:$A$3000,0)),"")</f>
        <v/>
      </c>
      <c r="AC160" s="23">
        <f>IFERROR(INDEX('Chart of Accounts'!$C$5:$C$3000,MATCH(W160&amp;"",'Chart of Accounts'!$A$5:$A$3000,0))&amp;"|"&amp;INDEX('Chart of Accounts'!$D$5:$D$3000,MATCH(W160&amp;"",'Chart of Accounts'!$A$5:$A$3000,0)),"")</f>
        <v/>
      </c>
      <c r="AD160" s="23">
        <f>IFERROR(INDEX('Chart of Accounts'!$C$5:$C$3000,MATCH(X160&amp;"",'Chart of Accounts'!$A$5:$A$3000,0))&amp;"|"&amp;INDEX('Chart of Accounts'!$D$5:$D$3000,MATCH(X160&amp;"",'Chart of Accounts'!$A$5:$A$3000,0)),"")</f>
        <v/>
      </c>
      <c r="AE160" s="23">
        <f>IFERROR(INDEX('Chart of Accounts'!$C$5:$C$3000,MATCH(Z160&amp;"",'Chart of Accounts'!$A$5:$A$3000,0))&amp;"|"&amp;INDEX('Chart of Accounts'!$D$5:$D$3000,MATCH(Z160&amp;"",'Chart of Accounts'!$A$5:$A$3000,0)),"")</f>
        <v/>
      </c>
      <c r="AF160" s="23">
        <f>IF(LEFT(AA160,8)="Revenue|",-N(R160),0)+IF(LEFT(AB160,8)="Revenue|",-N(S160),0)+IF(LEFT(AC160,8)="Revenue|",N(L160),0)+IF(LEFT(AD160,8)="Revenue|",N(U160),0)+IF(LEFT(AE160,8)="Revenue|",N(T160),0)</f>
        <v/>
      </c>
      <c r="AG160" s="23">
        <f>IF(LEFT(AA160,5)="COGS|",N(R160),0)+IF(LEFT(AB160,5)="COGS|",N(S160),0)+IF(LEFT(AC160,5)="COGS|",-N(L160),0)+IF(LEFT(AD160,5)="COGS|",-N(U160),0)+IF(LEFT(AE160,5)="COGS|",-N(T160),0)</f>
        <v/>
      </c>
      <c r="AH160" s="23">
        <f>IF(LEFT(AA160,8)="Expense|",N(R160),0)+IF(LEFT(AB160,8)="Expense|",N(S160),0)+IF(LEFT(AC160,8)="Expense|",-N(L160),0)+IF(LEFT(AD160,8)="Expense|",-N(U160),0)+IF(LEFT(AE160,8)="Expense|",-N(T160),0)</f>
        <v/>
      </c>
      <c r="AI160" s="23">
        <f>IF(ISNUMBER(MATCH(AA160,{"Expense|employee","Expense|general_admin","Expense|marketing","Expense|utilities","Expense|other_operating"},0)),N(R160),0)+IF(ISNUMBER(MATCH(AB160,{"Expense|employee","Expense|general_admin","Expense|marketing","Expense|utilities","Expense|other_operating"},0)),N(S160),0)+IF(ISNUMBER(MATCH(AC160,{"Expense|employee","Expense|general_admin","Expense|marketing","Expense|utilities","Expense|other_operating"},0)),-N(L160),0)+IF(ISNUMBER(MATCH(AD160,{"Expense|employee","Expense|general_admin","Expense|marketing","Expense|utilities","Expense|other_operating"},0)),-N(U160),0)+IF(ISNUMBER(MATCH(AE160,{"Expense|employee","Expense|general_admin","Expense|marketing","Expense|utilities","Expense|other_operating"},0)),-N(T160),0)</f>
        <v/>
      </c>
      <c r="AJ160" s="23">
        <f>IF(AA160="Liability|payable",-N(R160),0)+IF(AB160="Liability|payable",-N(S160),0)+IF(AC160="Liability|payable",N(L160),0)+IF(AD160="Liability|payable",N(U160),0)+IF(AE160="Liability|payable",N(T160),0)</f>
        <v/>
      </c>
      <c r="AK160" s="23">
        <f>IF(AA160="Liability|accrued",-N(R160),0)+IF(AB160="Liability|accrued",-N(S160),0)+IF(AC160="Liability|accrued",N(L160),0)+IF(AD160="Liability|accrued",N(U160),0)+IF(AE160="Liability|accrued",N(T160),0)</f>
        <v/>
      </c>
      <c r="AL160" s="23">
        <f>IF(AND(N(R160)&lt;&gt;0,AA160=""),1,0)+IF(AND(N(S160)&lt;&gt;0,AB160=""),1,0)+IF(AND(N(L160)&lt;&gt;0,AC160=""),1,0)+IF(AND(N(U160)&lt;&gt;0,AD160=""),1,0)+IF(AND(N(T160)&lt;&gt;0,AE160=""),1,0)</f>
        <v/>
      </c>
    </row>
    <row r="161">
      <c r="A161" s="19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20" t="n"/>
      <c r="K161" s="20" t="n"/>
      <c r="L161" s="20" t="n"/>
      <c r="M161" s="14" t="n"/>
      <c r="N161" s="14" t="n"/>
      <c r="O161" s="14" t="n"/>
      <c r="P161" s="14" t="n"/>
      <c r="Q161" s="14" t="n"/>
      <c r="R161" s="21">
        <f>ROUND(N(H161)*N(J161)-N(K161),2)</f>
        <v/>
      </c>
      <c r="S161" s="21">
        <f>ROUND(R161*IFERROR(VLOOKUP(P161,'Tax Codes'!$A$5:$E$300,5,FALSE),0),2)</f>
        <v/>
      </c>
      <c r="T161" s="21">
        <f>ROUND(R161*IFERROR(VLOOKUP(Q161,'Tax Codes'!$A$5:$E$300,5,FALSE),0),2)</f>
        <v/>
      </c>
      <c r="U161" s="21">
        <f>R161+S161-T161-N(L161)</f>
        <v/>
      </c>
      <c r="V161" s="16">
        <f>IF(C161="",INDEX('Chart of Accounts'!$A$5:$A$3000,MATCH("materials",'Chart of Accounts'!$F$5:$F$3000,0)),C161&amp;"")</f>
        <v/>
      </c>
      <c r="W161" s="16">
        <f>IF(N161="",INDEX('Chart of Accounts'!$A$5:$A$3000,MATCH("bank",'Chart of Accounts'!$F$5:$F$3000,0)),N161&amp;"")</f>
        <v/>
      </c>
      <c r="X161" s="16">
        <f>IF(O161="",INDEX('Chart of Accounts'!$A$5:$A$3000,MATCH("ap",'Chart of Accounts'!$F$5:$F$3000,0)),O161&amp;"")</f>
        <v/>
      </c>
      <c r="Y161" s="16">
        <f>INDEX('Chart of Accounts'!$A$5:$A$3000,MATCH("vat_input",'Chart of Accounts'!$F$5:$F$3000,0))</f>
        <v/>
      </c>
      <c r="Z161" s="16">
        <f>INDEX('Chart of Accounts'!$A$5:$A$3000,MATCH("wht_payable",'Chart of Accounts'!$F$5:$F$3000,0))</f>
        <v/>
      </c>
      <c r="AA161" s="23">
        <f>IFERROR(INDEX('Chart of Accounts'!$C$5:$C$3000,MATCH(V161&amp;"",'Chart of Accounts'!$A$5:$A$3000,0))&amp;"|"&amp;INDEX('Chart of Accounts'!$D$5:$D$3000,MATCH(V161&amp;"",'Chart of Accounts'!$A$5:$A$3000,0)),"")</f>
        <v/>
      </c>
      <c r="AB161" s="23">
        <f>IFERROR(INDEX('Chart of Accounts'!$C$5:$C$3000,MATCH(Y161&amp;"",'Chart of Accounts'!$A$5:$A$3000,0))&amp;"|"&amp;INDEX('Chart of Accounts'!$D$5:$D$3000,MATCH(Y161&amp;"",'Chart of Accounts'!$A$5:$A$3000,0)),"")</f>
        <v/>
      </c>
      <c r="AC161" s="23">
        <f>IFERROR(INDEX('Chart of Accounts'!$C$5:$C$3000,MATCH(W161&amp;"",'Chart of Accounts'!$A$5:$A$3000,0))&amp;"|"&amp;INDEX('Chart of Accounts'!$D$5:$D$3000,MATCH(W161&amp;"",'Chart of Accounts'!$A$5:$A$3000,0)),"")</f>
        <v/>
      </c>
      <c r="AD161" s="23">
        <f>IFERROR(INDEX('Chart of Accounts'!$C$5:$C$3000,MATCH(X161&amp;"",'Chart of Accounts'!$A$5:$A$3000,0))&amp;"|"&amp;INDEX('Chart of Accounts'!$D$5:$D$3000,MATCH(X161&amp;"",'Chart of Accounts'!$A$5:$A$3000,0)),"")</f>
        <v/>
      </c>
      <c r="AE161" s="23">
        <f>IFERROR(INDEX('Chart of Accounts'!$C$5:$C$3000,MATCH(Z161&amp;"",'Chart of Accounts'!$A$5:$A$3000,0))&amp;"|"&amp;INDEX('Chart of Accounts'!$D$5:$D$3000,MATCH(Z161&amp;"",'Chart of Accounts'!$A$5:$A$3000,0)),"")</f>
        <v/>
      </c>
      <c r="AF161" s="23">
        <f>IF(LEFT(AA161,8)="Revenue|",-N(R161),0)+IF(LEFT(AB161,8)="Revenue|",-N(S161),0)+IF(LEFT(AC161,8)="Revenue|",N(L161),0)+IF(LEFT(AD161,8)="Revenue|",N(U161),0)+IF(LEFT(AE161,8)="Revenue|",N(T161),0)</f>
        <v/>
      </c>
      <c r="AG161" s="23">
        <f>IF(LEFT(AA161,5)="COGS|",N(R161),0)+IF(LEFT(AB161,5)="COGS|",N(S161),0)+IF(LEFT(AC161,5)="COGS|",-N(L161),0)+IF(LEFT(AD161,5)="COGS|",-N(U161),0)+IF(LEFT(AE161,5)="COGS|",-N(T161),0)</f>
        <v/>
      </c>
      <c r="AH161" s="23">
        <f>IF(LEFT(AA161,8)="Expense|",N(R161),0)+IF(LEFT(AB161,8)="Expense|",N(S161),0)+IF(LEFT(AC161,8)="Expense|",-N(L161),0)+IF(LEFT(AD161,8)="Expense|",-N(U161),0)+IF(LEFT(AE161,8)="Expense|",-N(T161),0)</f>
        <v/>
      </c>
      <c r="AI161" s="23">
        <f>IF(ISNUMBER(MATCH(AA161,{"Expense|employee","Expense|general_admin","Expense|marketing","Expense|utilities","Expense|other_operating"},0)),N(R161),0)+IF(ISNUMBER(MATCH(AB161,{"Expense|employee","Expense|general_admin","Expense|marketing","Expense|utilities","Expense|other_operating"},0)),N(S161),0)+IF(ISNUMBER(MATCH(AC161,{"Expense|employee","Expense|general_admin","Expense|marketing","Expense|utilities","Expense|other_operating"},0)),-N(L161),0)+IF(ISNUMBER(MATCH(AD161,{"Expense|employee","Expense|general_admin","Expense|marketing","Expense|utilities","Expense|other_operating"},0)),-N(U161),0)+IF(ISNUMBER(MATCH(AE161,{"Expense|employee","Expense|general_admin","Expense|marketing","Expense|utilities","Expense|other_operating"},0)),-N(T161),0)</f>
        <v/>
      </c>
      <c r="AJ161" s="23">
        <f>IF(AA161="Liability|payable",-N(R161),0)+IF(AB161="Liability|payable",-N(S161),0)+IF(AC161="Liability|payable",N(L161),0)+IF(AD161="Liability|payable",N(U161),0)+IF(AE161="Liability|payable",N(T161),0)</f>
        <v/>
      </c>
      <c r="AK161" s="23">
        <f>IF(AA161="Liability|accrued",-N(R161),0)+IF(AB161="Liability|accrued",-N(S161),0)+IF(AC161="Liability|accrued",N(L161),0)+IF(AD161="Liability|accrued",N(U161),0)+IF(AE161="Liability|accrued",N(T161),0)</f>
        <v/>
      </c>
      <c r="AL161" s="23">
        <f>IF(AND(N(R161)&lt;&gt;0,AA161=""),1,0)+IF(AND(N(S161)&lt;&gt;0,AB161=""),1,0)+IF(AND(N(L161)&lt;&gt;0,AC161=""),1,0)+IF(AND(N(U161)&lt;&gt;0,AD161=""),1,0)+IF(AND(N(T161)&lt;&gt;0,AE161=""),1,0)</f>
        <v/>
      </c>
    </row>
    <row r="162">
      <c r="A162" s="19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20" t="n"/>
      <c r="K162" s="20" t="n"/>
      <c r="L162" s="20" t="n"/>
      <c r="M162" s="14" t="n"/>
      <c r="N162" s="14" t="n"/>
      <c r="O162" s="14" t="n"/>
      <c r="P162" s="14" t="n"/>
      <c r="Q162" s="14" t="n"/>
      <c r="R162" s="21">
        <f>ROUND(N(H162)*N(J162)-N(K162),2)</f>
        <v/>
      </c>
      <c r="S162" s="21">
        <f>ROUND(R162*IFERROR(VLOOKUP(P162,'Tax Codes'!$A$5:$E$300,5,FALSE),0),2)</f>
        <v/>
      </c>
      <c r="T162" s="21">
        <f>ROUND(R162*IFERROR(VLOOKUP(Q162,'Tax Codes'!$A$5:$E$300,5,FALSE),0),2)</f>
        <v/>
      </c>
      <c r="U162" s="21">
        <f>R162+S162-T162-N(L162)</f>
        <v/>
      </c>
      <c r="V162" s="16">
        <f>IF(C162="",INDEX('Chart of Accounts'!$A$5:$A$3000,MATCH("materials",'Chart of Accounts'!$F$5:$F$3000,0)),C162&amp;"")</f>
        <v/>
      </c>
      <c r="W162" s="16">
        <f>IF(N162="",INDEX('Chart of Accounts'!$A$5:$A$3000,MATCH("bank",'Chart of Accounts'!$F$5:$F$3000,0)),N162&amp;"")</f>
        <v/>
      </c>
      <c r="X162" s="16">
        <f>IF(O162="",INDEX('Chart of Accounts'!$A$5:$A$3000,MATCH("ap",'Chart of Accounts'!$F$5:$F$3000,0)),O162&amp;"")</f>
        <v/>
      </c>
      <c r="Y162" s="16">
        <f>INDEX('Chart of Accounts'!$A$5:$A$3000,MATCH("vat_input",'Chart of Accounts'!$F$5:$F$3000,0))</f>
        <v/>
      </c>
      <c r="Z162" s="16">
        <f>INDEX('Chart of Accounts'!$A$5:$A$3000,MATCH("wht_payable",'Chart of Accounts'!$F$5:$F$3000,0))</f>
        <v/>
      </c>
      <c r="AA162" s="23">
        <f>IFERROR(INDEX('Chart of Accounts'!$C$5:$C$3000,MATCH(V162&amp;"",'Chart of Accounts'!$A$5:$A$3000,0))&amp;"|"&amp;INDEX('Chart of Accounts'!$D$5:$D$3000,MATCH(V162&amp;"",'Chart of Accounts'!$A$5:$A$3000,0)),"")</f>
        <v/>
      </c>
      <c r="AB162" s="23">
        <f>IFERROR(INDEX('Chart of Accounts'!$C$5:$C$3000,MATCH(Y162&amp;"",'Chart of Accounts'!$A$5:$A$3000,0))&amp;"|"&amp;INDEX('Chart of Accounts'!$D$5:$D$3000,MATCH(Y162&amp;"",'Chart of Accounts'!$A$5:$A$3000,0)),"")</f>
        <v/>
      </c>
      <c r="AC162" s="23">
        <f>IFERROR(INDEX('Chart of Accounts'!$C$5:$C$3000,MATCH(W162&amp;"",'Chart of Accounts'!$A$5:$A$3000,0))&amp;"|"&amp;INDEX('Chart of Accounts'!$D$5:$D$3000,MATCH(W162&amp;"",'Chart of Accounts'!$A$5:$A$3000,0)),"")</f>
        <v/>
      </c>
      <c r="AD162" s="23">
        <f>IFERROR(INDEX('Chart of Accounts'!$C$5:$C$3000,MATCH(X162&amp;"",'Chart of Accounts'!$A$5:$A$3000,0))&amp;"|"&amp;INDEX('Chart of Accounts'!$D$5:$D$3000,MATCH(X162&amp;"",'Chart of Accounts'!$A$5:$A$3000,0)),"")</f>
        <v/>
      </c>
      <c r="AE162" s="23">
        <f>IFERROR(INDEX('Chart of Accounts'!$C$5:$C$3000,MATCH(Z162&amp;"",'Chart of Accounts'!$A$5:$A$3000,0))&amp;"|"&amp;INDEX('Chart of Accounts'!$D$5:$D$3000,MATCH(Z162&amp;"",'Chart of Accounts'!$A$5:$A$3000,0)),"")</f>
        <v/>
      </c>
      <c r="AF162" s="23">
        <f>IF(LEFT(AA162,8)="Revenue|",-N(R162),0)+IF(LEFT(AB162,8)="Revenue|",-N(S162),0)+IF(LEFT(AC162,8)="Revenue|",N(L162),0)+IF(LEFT(AD162,8)="Revenue|",N(U162),0)+IF(LEFT(AE162,8)="Revenue|",N(T162),0)</f>
        <v/>
      </c>
      <c r="AG162" s="23">
        <f>IF(LEFT(AA162,5)="COGS|",N(R162),0)+IF(LEFT(AB162,5)="COGS|",N(S162),0)+IF(LEFT(AC162,5)="COGS|",-N(L162),0)+IF(LEFT(AD162,5)="COGS|",-N(U162),0)+IF(LEFT(AE162,5)="COGS|",-N(T162),0)</f>
        <v/>
      </c>
      <c r="AH162" s="23">
        <f>IF(LEFT(AA162,8)="Expense|",N(R162),0)+IF(LEFT(AB162,8)="Expense|",N(S162),0)+IF(LEFT(AC162,8)="Expense|",-N(L162),0)+IF(LEFT(AD162,8)="Expense|",-N(U162),0)+IF(LEFT(AE162,8)="Expense|",-N(T162),0)</f>
        <v/>
      </c>
      <c r="AI162" s="23">
        <f>IF(ISNUMBER(MATCH(AA162,{"Expense|employee","Expense|general_admin","Expense|marketing","Expense|utilities","Expense|other_operating"},0)),N(R162),0)+IF(ISNUMBER(MATCH(AB162,{"Expense|employee","Expense|general_admin","Expense|marketing","Expense|utilities","Expense|other_operating"},0)),N(S162),0)+IF(ISNUMBER(MATCH(AC162,{"Expense|employee","Expense|general_admin","Expense|marketing","Expense|utilities","Expense|other_operating"},0)),-N(L162),0)+IF(ISNUMBER(MATCH(AD162,{"Expense|employee","Expense|general_admin","Expense|marketing","Expense|utilities","Expense|other_operating"},0)),-N(U162),0)+IF(ISNUMBER(MATCH(AE162,{"Expense|employee","Expense|general_admin","Expense|marketing","Expense|utilities","Expense|other_operating"},0)),-N(T162),0)</f>
        <v/>
      </c>
      <c r="AJ162" s="23">
        <f>IF(AA162="Liability|payable",-N(R162),0)+IF(AB162="Liability|payable",-N(S162),0)+IF(AC162="Liability|payable",N(L162),0)+IF(AD162="Liability|payable",N(U162),0)+IF(AE162="Liability|payable",N(T162),0)</f>
        <v/>
      </c>
      <c r="AK162" s="23">
        <f>IF(AA162="Liability|accrued",-N(R162),0)+IF(AB162="Liability|accrued",-N(S162),0)+IF(AC162="Liability|accrued",N(L162),0)+IF(AD162="Liability|accrued",N(U162),0)+IF(AE162="Liability|accrued",N(T162),0)</f>
        <v/>
      </c>
      <c r="AL162" s="23">
        <f>IF(AND(N(R162)&lt;&gt;0,AA162=""),1,0)+IF(AND(N(S162)&lt;&gt;0,AB162=""),1,0)+IF(AND(N(L162)&lt;&gt;0,AC162=""),1,0)+IF(AND(N(U162)&lt;&gt;0,AD162=""),1,0)+IF(AND(N(T162)&lt;&gt;0,AE162=""),1,0)</f>
        <v/>
      </c>
    </row>
    <row r="163">
      <c r="A163" s="19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20" t="n"/>
      <c r="K163" s="20" t="n"/>
      <c r="L163" s="20" t="n"/>
      <c r="M163" s="14" t="n"/>
      <c r="N163" s="14" t="n"/>
      <c r="O163" s="14" t="n"/>
      <c r="P163" s="14" t="n"/>
      <c r="Q163" s="14" t="n"/>
      <c r="R163" s="21">
        <f>ROUND(N(H163)*N(J163)-N(K163),2)</f>
        <v/>
      </c>
      <c r="S163" s="21">
        <f>ROUND(R163*IFERROR(VLOOKUP(P163,'Tax Codes'!$A$5:$E$300,5,FALSE),0),2)</f>
        <v/>
      </c>
      <c r="T163" s="21">
        <f>ROUND(R163*IFERROR(VLOOKUP(Q163,'Tax Codes'!$A$5:$E$300,5,FALSE),0),2)</f>
        <v/>
      </c>
      <c r="U163" s="21">
        <f>R163+S163-T163-N(L163)</f>
        <v/>
      </c>
      <c r="V163" s="16">
        <f>IF(C163="",INDEX('Chart of Accounts'!$A$5:$A$3000,MATCH("materials",'Chart of Accounts'!$F$5:$F$3000,0)),C163&amp;"")</f>
        <v/>
      </c>
      <c r="W163" s="16">
        <f>IF(N163="",INDEX('Chart of Accounts'!$A$5:$A$3000,MATCH("bank",'Chart of Accounts'!$F$5:$F$3000,0)),N163&amp;"")</f>
        <v/>
      </c>
      <c r="X163" s="16">
        <f>IF(O163="",INDEX('Chart of Accounts'!$A$5:$A$3000,MATCH("ap",'Chart of Accounts'!$F$5:$F$3000,0)),O163&amp;"")</f>
        <v/>
      </c>
      <c r="Y163" s="16">
        <f>INDEX('Chart of Accounts'!$A$5:$A$3000,MATCH("vat_input",'Chart of Accounts'!$F$5:$F$3000,0))</f>
        <v/>
      </c>
      <c r="Z163" s="16">
        <f>INDEX('Chart of Accounts'!$A$5:$A$3000,MATCH("wht_payable",'Chart of Accounts'!$F$5:$F$3000,0))</f>
        <v/>
      </c>
      <c r="AA163" s="23">
        <f>IFERROR(INDEX('Chart of Accounts'!$C$5:$C$3000,MATCH(V163&amp;"",'Chart of Accounts'!$A$5:$A$3000,0))&amp;"|"&amp;INDEX('Chart of Accounts'!$D$5:$D$3000,MATCH(V163&amp;"",'Chart of Accounts'!$A$5:$A$3000,0)),"")</f>
        <v/>
      </c>
      <c r="AB163" s="23">
        <f>IFERROR(INDEX('Chart of Accounts'!$C$5:$C$3000,MATCH(Y163&amp;"",'Chart of Accounts'!$A$5:$A$3000,0))&amp;"|"&amp;INDEX('Chart of Accounts'!$D$5:$D$3000,MATCH(Y163&amp;"",'Chart of Accounts'!$A$5:$A$3000,0)),"")</f>
        <v/>
      </c>
      <c r="AC163" s="23">
        <f>IFERROR(INDEX('Chart of Accounts'!$C$5:$C$3000,MATCH(W163&amp;"",'Chart of Accounts'!$A$5:$A$3000,0))&amp;"|"&amp;INDEX('Chart of Accounts'!$D$5:$D$3000,MATCH(W163&amp;"",'Chart of Accounts'!$A$5:$A$3000,0)),"")</f>
        <v/>
      </c>
      <c r="AD163" s="23">
        <f>IFERROR(INDEX('Chart of Accounts'!$C$5:$C$3000,MATCH(X163&amp;"",'Chart of Accounts'!$A$5:$A$3000,0))&amp;"|"&amp;INDEX('Chart of Accounts'!$D$5:$D$3000,MATCH(X163&amp;"",'Chart of Accounts'!$A$5:$A$3000,0)),"")</f>
        <v/>
      </c>
      <c r="AE163" s="23">
        <f>IFERROR(INDEX('Chart of Accounts'!$C$5:$C$3000,MATCH(Z163&amp;"",'Chart of Accounts'!$A$5:$A$3000,0))&amp;"|"&amp;INDEX('Chart of Accounts'!$D$5:$D$3000,MATCH(Z163&amp;"",'Chart of Accounts'!$A$5:$A$3000,0)),"")</f>
        <v/>
      </c>
      <c r="AF163" s="23">
        <f>IF(LEFT(AA163,8)="Revenue|",-N(R163),0)+IF(LEFT(AB163,8)="Revenue|",-N(S163),0)+IF(LEFT(AC163,8)="Revenue|",N(L163),0)+IF(LEFT(AD163,8)="Revenue|",N(U163),0)+IF(LEFT(AE163,8)="Revenue|",N(T163),0)</f>
        <v/>
      </c>
      <c r="AG163" s="23">
        <f>IF(LEFT(AA163,5)="COGS|",N(R163),0)+IF(LEFT(AB163,5)="COGS|",N(S163),0)+IF(LEFT(AC163,5)="COGS|",-N(L163),0)+IF(LEFT(AD163,5)="COGS|",-N(U163),0)+IF(LEFT(AE163,5)="COGS|",-N(T163),0)</f>
        <v/>
      </c>
      <c r="AH163" s="23">
        <f>IF(LEFT(AA163,8)="Expense|",N(R163),0)+IF(LEFT(AB163,8)="Expense|",N(S163),0)+IF(LEFT(AC163,8)="Expense|",-N(L163),0)+IF(LEFT(AD163,8)="Expense|",-N(U163),0)+IF(LEFT(AE163,8)="Expense|",-N(T163),0)</f>
        <v/>
      </c>
      <c r="AI163" s="23">
        <f>IF(ISNUMBER(MATCH(AA163,{"Expense|employee","Expense|general_admin","Expense|marketing","Expense|utilities","Expense|other_operating"},0)),N(R163),0)+IF(ISNUMBER(MATCH(AB163,{"Expense|employee","Expense|general_admin","Expense|marketing","Expense|utilities","Expense|other_operating"},0)),N(S163),0)+IF(ISNUMBER(MATCH(AC163,{"Expense|employee","Expense|general_admin","Expense|marketing","Expense|utilities","Expense|other_operating"},0)),-N(L163),0)+IF(ISNUMBER(MATCH(AD163,{"Expense|employee","Expense|general_admin","Expense|marketing","Expense|utilities","Expense|other_operating"},0)),-N(U163),0)+IF(ISNUMBER(MATCH(AE163,{"Expense|employee","Expense|general_admin","Expense|marketing","Expense|utilities","Expense|other_operating"},0)),-N(T163),0)</f>
        <v/>
      </c>
      <c r="AJ163" s="23">
        <f>IF(AA163="Liability|payable",-N(R163),0)+IF(AB163="Liability|payable",-N(S163),0)+IF(AC163="Liability|payable",N(L163),0)+IF(AD163="Liability|payable",N(U163),0)+IF(AE163="Liability|payable",N(T163),0)</f>
        <v/>
      </c>
      <c r="AK163" s="23">
        <f>IF(AA163="Liability|accrued",-N(R163),0)+IF(AB163="Liability|accrued",-N(S163),0)+IF(AC163="Liability|accrued",N(L163),0)+IF(AD163="Liability|accrued",N(U163),0)+IF(AE163="Liability|accrued",N(T163),0)</f>
        <v/>
      </c>
      <c r="AL163" s="23">
        <f>IF(AND(N(R163)&lt;&gt;0,AA163=""),1,0)+IF(AND(N(S163)&lt;&gt;0,AB163=""),1,0)+IF(AND(N(L163)&lt;&gt;0,AC163=""),1,0)+IF(AND(N(U163)&lt;&gt;0,AD163=""),1,0)+IF(AND(N(T163)&lt;&gt;0,AE163=""),1,0)</f>
        <v/>
      </c>
    </row>
    <row r="164">
      <c r="A164" s="19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20" t="n"/>
      <c r="K164" s="20" t="n"/>
      <c r="L164" s="20" t="n"/>
      <c r="M164" s="14" t="n"/>
      <c r="N164" s="14" t="n"/>
      <c r="O164" s="14" t="n"/>
      <c r="P164" s="14" t="n"/>
      <c r="Q164" s="14" t="n"/>
      <c r="R164" s="21">
        <f>ROUND(N(H164)*N(J164)-N(K164),2)</f>
        <v/>
      </c>
      <c r="S164" s="21">
        <f>ROUND(R164*IFERROR(VLOOKUP(P164,'Tax Codes'!$A$5:$E$300,5,FALSE),0),2)</f>
        <v/>
      </c>
      <c r="T164" s="21">
        <f>ROUND(R164*IFERROR(VLOOKUP(Q164,'Tax Codes'!$A$5:$E$300,5,FALSE),0),2)</f>
        <v/>
      </c>
      <c r="U164" s="21">
        <f>R164+S164-T164-N(L164)</f>
        <v/>
      </c>
      <c r="V164" s="16">
        <f>IF(C164="",INDEX('Chart of Accounts'!$A$5:$A$3000,MATCH("materials",'Chart of Accounts'!$F$5:$F$3000,0)),C164&amp;"")</f>
        <v/>
      </c>
      <c r="W164" s="16">
        <f>IF(N164="",INDEX('Chart of Accounts'!$A$5:$A$3000,MATCH("bank",'Chart of Accounts'!$F$5:$F$3000,0)),N164&amp;"")</f>
        <v/>
      </c>
      <c r="X164" s="16">
        <f>IF(O164="",INDEX('Chart of Accounts'!$A$5:$A$3000,MATCH("ap",'Chart of Accounts'!$F$5:$F$3000,0)),O164&amp;"")</f>
        <v/>
      </c>
      <c r="Y164" s="16">
        <f>INDEX('Chart of Accounts'!$A$5:$A$3000,MATCH("vat_input",'Chart of Accounts'!$F$5:$F$3000,0))</f>
        <v/>
      </c>
      <c r="Z164" s="16">
        <f>INDEX('Chart of Accounts'!$A$5:$A$3000,MATCH("wht_payable",'Chart of Accounts'!$F$5:$F$3000,0))</f>
        <v/>
      </c>
      <c r="AA164" s="23">
        <f>IFERROR(INDEX('Chart of Accounts'!$C$5:$C$3000,MATCH(V164&amp;"",'Chart of Accounts'!$A$5:$A$3000,0))&amp;"|"&amp;INDEX('Chart of Accounts'!$D$5:$D$3000,MATCH(V164&amp;"",'Chart of Accounts'!$A$5:$A$3000,0)),"")</f>
        <v/>
      </c>
      <c r="AB164" s="23">
        <f>IFERROR(INDEX('Chart of Accounts'!$C$5:$C$3000,MATCH(Y164&amp;"",'Chart of Accounts'!$A$5:$A$3000,0))&amp;"|"&amp;INDEX('Chart of Accounts'!$D$5:$D$3000,MATCH(Y164&amp;"",'Chart of Accounts'!$A$5:$A$3000,0)),"")</f>
        <v/>
      </c>
      <c r="AC164" s="23">
        <f>IFERROR(INDEX('Chart of Accounts'!$C$5:$C$3000,MATCH(W164&amp;"",'Chart of Accounts'!$A$5:$A$3000,0))&amp;"|"&amp;INDEX('Chart of Accounts'!$D$5:$D$3000,MATCH(W164&amp;"",'Chart of Accounts'!$A$5:$A$3000,0)),"")</f>
        <v/>
      </c>
      <c r="AD164" s="23">
        <f>IFERROR(INDEX('Chart of Accounts'!$C$5:$C$3000,MATCH(X164&amp;"",'Chart of Accounts'!$A$5:$A$3000,0))&amp;"|"&amp;INDEX('Chart of Accounts'!$D$5:$D$3000,MATCH(X164&amp;"",'Chart of Accounts'!$A$5:$A$3000,0)),"")</f>
        <v/>
      </c>
      <c r="AE164" s="23">
        <f>IFERROR(INDEX('Chart of Accounts'!$C$5:$C$3000,MATCH(Z164&amp;"",'Chart of Accounts'!$A$5:$A$3000,0))&amp;"|"&amp;INDEX('Chart of Accounts'!$D$5:$D$3000,MATCH(Z164&amp;"",'Chart of Accounts'!$A$5:$A$3000,0)),"")</f>
        <v/>
      </c>
      <c r="AF164" s="23">
        <f>IF(LEFT(AA164,8)="Revenue|",-N(R164),0)+IF(LEFT(AB164,8)="Revenue|",-N(S164),0)+IF(LEFT(AC164,8)="Revenue|",N(L164),0)+IF(LEFT(AD164,8)="Revenue|",N(U164),0)+IF(LEFT(AE164,8)="Revenue|",N(T164),0)</f>
        <v/>
      </c>
      <c r="AG164" s="23">
        <f>IF(LEFT(AA164,5)="COGS|",N(R164),0)+IF(LEFT(AB164,5)="COGS|",N(S164),0)+IF(LEFT(AC164,5)="COGS|",-N(L164),0)+IF(LEFT(AD164,5)="COGS|",-N(U164),0)+IF(LEFT(AE164,5)="COGS|",-N(T164),0)</f>
        <v/>
      </c>
      <c r="AH164" s="23">
        <f>IF(LEFT(AA164,8)="Expense|",N(R164),0)+IF(LEFT(AB164,8)="Expense|",N(S164),0)+IF(LEFT(AC164,8)="Expense|",-N(L164),0)+IF(LEFT(AD164,8)="Expense|",-N(U164),0)+IF(LEFT(AE164,8)="Expense|",-N(T164),0)</f>
        <v/>
      </c>
      <c r="AI164" s="23">
        <f>IF(ISNUMBER(MATCH(AA164,{"Expense|employee","Expense|general_admin","Expense|marketing","Expense|utilities","Expense|other_operating"},0)),N(R164),0)+IF(ISNUMBER(MATCH(AB164,{"Expense|employee","Expense|general_admin","Expense|marketing","Expense|utilities","Expense|other_operating"},0)),N(S164),0)+IF(ISNUMBER(MATCH(AC164,{"Expense|employee","Expense|general_admin","Expense|marketing","Expense|utilities","Expense|other_operating"},0)),-N(L164),0)+IF(ISNUMBER(MATCH(AD164,{"Expense|employee","Expense|general_admin","Expense|marketing","Expense|utilities","Expense|other_operating"},0)),-N(U164),0)+IF(ISNUMBER(MATCH(AE164,{"Expense|employee","Expense|general_admin","Expense|marketing","Expense|utilities","Expense|other_operating"},0)),-N(T164),0)</f>
        <v/>
      </c>
      <c r="AJ164" s="23">
        <f>IF(AA164="Liability|payable",-N(R164),0)+IF(AB164="Liability|payable",-N(S164),0)+IF(AC164="Liability|payable",N(L164),0)+IF(AD164="Liability|payable",N(U164),0)+IF(AE164="Liability|payable",N(T164),0)</f>
        <v/>
      </c>
      <c r="AK164" s="23">
        <f>IF(AA164="Liability|accrued",-N(R164),0)+IF(AB164="Liability|accrued",-N(S164),0)+IF(AC164="Liability|accrued",N(L164),0)+IF(AD164="Liability|accrued",N(U164),0)+IF(AE164="Liability|accrued",N(T164),0)</f>
        <v/>
      </c>
      <c r="AL164" s="23">
        <f>IF(AND(N(R164)&lt;&gt;0,AA164=""),1,0)+IF(AND(N(S164)&lt;&gt;0,AB164=""),1,0)+IF(AND(N(L164)&lt;&gt;0,AC164=""),1,0)+IF(AND(N(U164)&lt;&gt;0,AD164=""),1,0)+IF(AND(N(T164)&lt;&gt;0,AE164=""),1,0)</f>
        <v/>
      </c>
    </row>
    <row r="165">
      <c r="A165" s="19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20" t="n"/>
      <c r="K165" s="20" t="n"/>
      <c r="L165" s="20" t="n"/>
      <c r="M165" s="14" t="n"/>
      <c r="N165" s="14" t="n"/>
      <c r="O165" s="14" t="n"/>
      <c r="P165" s="14" t="n"/>
      <c r="Q165" s="14" t="n"/>
      <c r="R165" s="21">
        <f>ROUND(N(H165)*N(J165)-N(K165),2)</f>
        <v/>
      </c>
      <c r="S165" s="21">
        <f>ROUND(R165*IFERROR(VLOOKUP(P165,'Tax Codes'!$A$5:$E$300,5,FALSE),0),2)</f>
        <v/>
      </c>
      <c r="T165" s="21">
        <f>ROUND(R165*IFERROR(VLOOKUP(Q165,'Tax Codes'!$A$5:$E$300,5,FALSE),0),2)</f>
        <v/>
      </c>
      <c r="U165" s="21">
        <f>R165+S165-T165-N(L165)</f>
        <v/>
      </c>
      <c r="V165" s="16">
        <f>IF(C165="",INDEX('Chart of Accounts'!$A$5:$A$3000,MATCH("materials",'Chart of Accounts'!$F$5:$F$3000,0)),C165&amp;"")</f>
        <v/>
      </c>
      <c r="W165" s="16">
        <f>IF(N165="",INDEX('Chart of Accounts'!$A$5:$A$3000,MATCH("bank",'Chart of Accounts'!$F$5:$F$3000,0)),N165&amp;"")</f>
        <v/>
      </c>
      <c r="X165" s="16">
        <f>IF(O165="",INDEX('Chart of Accounts'!$A$5:$A$3000,MATCH("ap",'Chart of Accounts'!$F$5:$F$3000,0)),O165&amp;"")</f>
        <v/>
      </c>
      <c r="Y165" s="16">
        <f>INDEX('Chart of Accounts'!$A$5:$A$3000,MATCH("vat_input",'Chart of Accounts'!$F$5:$F$3000,0))</f>
        <v/>
      </c>
      <c r="Z165" s="16">
        <f>INDEX('Chart of Accounts'!$A$5:$A$3000,MATCH("wht_payable",'Chart of Accounts'!$F$5:$F$3000,0))</f>
        <v/>
      </c>
      <c r="AA165" s="23">
        <f>IFERROR(INDEX('Chart of Accounts'!$C$5:$C$3000,MATCH(V165&amp;"",'Chart of Accounts'!$A$5:$A$3000,0))&amp;"|"&amp;INDEX('Chart of Accounts'!$D$5:$D$3000,MATCH(V165&amp;"",'Chart of Accounts'!$A$5:$A$3000,0)),"")</f>
        <v/>
      </c>
      <c r="AB165" s="23">
        <f>IFERROR(INDEX('Chart of Accounts'!$C$5:$C$3000,MATCH(Y165&amp;"",'Chart of Accounts'!$A$5:$A$3000,0))&amp;"|"&amp;INDEX('Chart of Accounts'!$D$5:$D$3000,MATCH(Y165&amp;"",'Chart of Accounts'!$A$5:$A$3000,0)),"")</f>
        <v/>
      </c>
      <c r="AC165" s="23">
        <f>IFERROR(INDEX('Chart of Accounts'!$C$5:$C$3000,MATCH(W165&amp;"",'Chart of Accounts'!$A$5:$A$3000,0))&amp;"|"&amp;INDEX('Chart of Accounts'!$D$5:$D$3000,MATCH(W165&amp;"",'Chart of Accounts'!$A$5:$A$3000,0)),"")</f>
        <v/>
      </c>
      <c r="AD165" s="23">
        <f>IFERROR(INDEX('Chart of Accounts'!$C$5:$C$3000,MATCH(X165&amp;"",'Chart of Accounts'!$A$5:$A$3000,0))&amp;"|"&amp;INDEX('Chart of Accounts'!$D$5:$D$3000,MATCH(X165&amp;"",'Chart of Accounts'!$A$5:$A$3000,0)),"")</f>
        <v/>
      </c>
      <c r="AE165" s="23">
        <f>IFERROR(INDEX('Chart of Accounts'!$C$5:$C$3000,MATCH(Z165&amp;"",'Chart of Accounts'!$A$5:$A$3000,0))&amp;"|"&amp;INDEX('Chart of Accounts'!$D$5:$D$3000,MATCH(Z165&amp;"",'Chart of Accounts'!$A$5:$A$3000,0)),"")</f>
        <v/>
      </c>
      <c r="AF165" s="23">
        <f>IF(LEFT(AA165,8)="Revenue|",-N(R165),0)+IF(LEFT(AB165,8)="Revenue|",-N(S165),0)+IF(LEFT(AC165,8)="Revenue|",N(L165),0)+IF(LEFT(AD165,8)="Revenue|",N(U165),0)+IF(LEFT(AE165,8)="Revenue|",N(T165),0)</f>
        <v/>
      </c>
      <c r="AG165" s="23">
        <f>IF(LEFT(AA165,5)="COGS|",N(R165),0)+IF(LEFT(AB165,5)="COGS|",N(S165),0)+IF(LEFT(AC165,5)="COGS|",-N(L165),0)+IF(LEFT(AD165,5)="COGS|",-N(U165),0)+IF(LEFT(AE165,5)="COGS|",-N(T165),0)</f>
        <v/>
      </c>
      <c r="AH165" s="23">
        <f>IF(LEFT(AA165,8)="Expense|",N(R165),0)+IF(LEFT(AB165,8)="Expense|",N(S165),0)+IF(LEFT(AC165,8)="Expense|",-N(L165),0)+IF(LEFT(AD165,8)="Expense|",-N(U165),0)+IF(LEFT(AE165,8)="Expense|",-N(T165),0)</f>
        <v/>
      </c>
      <c r="AI165" s="23">
        <f>IF(ISNUMBER(MATCH(AA165,{"Expense|employee","Expense|general_admin","Expense|marketing","Expense|utilities","Expense|other_operating"},0)),N(R165),0)+IF(ISNUMBER(MATCH(AB165,{"Expense|employee","Expense|general_admin","Expense|marketing","Expense|utilities","Expense|other_operating"},0)),N(S165),0)+IF(ISNUMBER(MATCH(AC165,{"Expense|employee","Expense|general_admin","Expense|marketing","Expense|utilities","Expense|other_operating"},0)),-N(L165),0)+IF(ISNUMBER(MATCH(AD165,{"Expense|employee","Expense|general_admin","Expense|marketing","Expense|utilities","Expense|other_operating"},0)),-N(U165),0)+IF(ISNUMBER(MATCH(AE165,{"Expense|employee","Expense|general_admin","Expense|marketing","Expense|utilities","Expense|other_operating"},0)),-N(T165),0)</f>
        <v/>
      </c>
      <c r="AJ165" s="23">
        <f>IF(AA165="Liability|payable",-N(R165),0)+IF(AB165="Liability|payable",-N(S165),0)+IF(AC165="Liability|payable",N(L165),0)+IF(AD165="Liability|payable",N(U165),0)+IF(AE165="Liability|payable",N(T165),0)</f>
        <v/>
      </c>
      <c r="AK165" s="23">
        <f>IF(AA165="Liability|accrued",-N(R165),0)+IF(AB165="Liability|accrued",-N(S165),0)+IF(AC165="Liability|accrued",N(L165),0)+IF(AD165="Liability|accrued",N(U165),0)+IF(AE165="Liability|accrued",N(T165),0)</f>
        <v/>
      </c>
      <c r="AL165" s="23">
        <f>IF(AND(N(R165)&lt;&gt;0,AA165=""),1,0)+IF(AND(N(S165)&lt;&gt;0,AB165=""),1,0)+IF(AND(N(L165)&lt;&gt;0,AC165=""),1,0)+IF(AND(N(U165)&lt;&gt;0,AD165=""),1,0)+IF(AND(N(T165)&lt;&gt;0,AE165=""),1,0)</f>
        <v/>
      </c>
    </row>
    <row r="166">
      <c r="A166" s="19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20" t="n"/>
      <c r="K166" s="20" t="n"/>
      <c r="L166" s="20" t="n"/>
      <c r="M166" s="14" t="n"/>
      <c r="N166" s="14" t="n"/>
      <c r="O166" s="14" t="n"/>
      <c r="P166" s="14" t="n"/>
      <c r="Q166" s="14" t="n"/>
      <c r="R166" s="21">
        <f>ROUND(N(H166)*N(J166)-N(K166),2)</f>
        <v/>
      </c>
      <c r="S166" s="21">
        <f>ROUND(R166*IFERROR(VLOOKUP(P166,'Tax Codes'!$A$5:$E$300,5,FALSE),0),2)</f>
        <v/>
      </c>
      <c r="T166" s="21">
        <f>ROUND(R166*IFERROR(VLOOKUP(Q166,'Tax Codes'!$A$5:$E$300,5,FALSE),0),2)</f>
        <v/>
      </c>
      <c r="U166" s="21">
        <f>R166+S166-T166-N(L166)</f>
        <v/>
      </c>
      <c r="V166" s="16">
        <f>IF(C166="",INDEX('Chart of Accounts'!$A$5:$A$3000,MATCH("materials",'Chart of Accounts'!$F$5:$F$3000,0)),C166&amp;"")</f>
        <v/>
      </c>
      <c r="W166" s="16">
        <f>IF(N166="",INDEX('Chart of Accounts'!$A$5:$A$3000,MATCH("bank",'Chart of Accounts'!$F$5:$F$3000,0)),N166&amp;"")</f>
        <v/>
      </c>
      <c r="X166" s="16">
        <f>IF(O166="",INDEX('Chart of Accounts'!$A$5:$A$3000,MATCH("ap",'Chart of Accounts'!$F$5:$F$3000,0)),O166&amp;"")</f>
        <v/>
      </c>
      <c r="Y166" s="16">
        <f>INDEX('Chart of Accounts'!$A$5:$A$3000,MATCH("vat_input",'Chart of Accounts'!$F$5:$F$3000,0))</f>
        <v/>
      </c>
      <c r="Z166" s="16">
        <f>INDEX('Chart of Accounts'!$A$5:$A$3000,MATCH("wht_payable",'Chart of Accounts'!$F$5:$F$3000,0))</f>
        <v/>
      </c>
      <c r="AA166" s="23">
        <f>IFERROR(INDEX('Chart of Accounts'!$C$5:$C$3000,MATCH(V166&amp;"",'Chart of Accounts'!$A$5:$A$3000,0))&amp;"|"&amp;INDEX('Chart of Accounts'!$D$5:$D$3000,MATCH(V166&amp;"",'Chart of Accounts'!$A$5:$A$3000,0)),"")</f>
        <v/>
      </c>
      <c r="AB166" s="23">
        <f>IFERROR(INDEX('Chart of Accounts'!$C$5:$C$3000,MATCH(Y166&amp;"",'Chart of Accounts'!$A$5:$A$3000,0))&amp;"|"&amp;INDEX('Chart of Accounts'!$D$5:$D$3000,MATCH(Y166&amp;"",'Chart of Accounts'!$A$5:$A$3000,0)),"")</f>
        <v/>
      </c>
      <c r="AC166" s="23">
        <f>IFERROR(INDEX('Chart of Accounts'!$C$5:$C$3000,MATCH(W166&amp;"",'Chart of Accounts'!$A$5:$A$3000,0))&amp;"|"&amp;INDEX('Chart of Accounts'!$D$5:$D$3000,MATCH(W166&amp;"",'Chart of Accounts'!$A$5:$A$3000,0)),"")</f>
        <v/>
      </c>
      <c r="AD166" s="23">
        <f>IFERROR(INDEX('Chart of Accounts'!$C$5:$C$3000,MATCH(X166&amp;"",'Chart of Accounts'!$A$5:$A$3000,0))&amp;"|"&amp;INDEX('Chart of Accounts'!$D$5:$D$3000,MATCH(X166&amp;"",'Chart of Accounts'!$A$5:$A$3000,0)),"")</f>
        <v/>
      </c>
      <c r="AE166" s="23">
        <f>IFERROR(INDEX('Chart of Accounts'!$C$5:$C$3000,MATCH(Z166&amp;"",'Chart of Accounts'!$A$5:$A$3000,0))&amp;"|"&amp;INDEX('Chart of Accounts'!$D$5:$D$3000,MATCH(Z166&amp;"",'Chart of Accounts'!$A$5:$A$3000,0)),"")</f>
        <v/>
      </c>
      <c r="AF166" s="23">
        <f>IF(LEFT(AA166,8)="Revenue|",-N(R166),0)+IF(LEFT(AB166,8)="Revenue|",-N(S166),0)+IF(LEFT(AC166,8)="Revenue|",N(L166),0)+IF(LEFT(AD166,8)="Revenue|",N(U166),0)+IF(LEFT(AE166,8)="Revenue|",N(T166),0)</f>
        <v/>
      </c>
      <c r="AG166" s="23">
        <f>IF(LEFT(AA166,5)="COGS|",N(R166),0)+IF(LEFT(AB166,5)="COGS|",N(S166),0)+IF(LEFT(AC166,5)="COGS|",-N(L166),0)+IF(LEFT(AD166,5)="COGS|",-N(U166),0)+IF(LEFT(AE166,5)="COGS|",-N(T166),0)</f>
        <v/>
      </c>
      <c r="AH166" s="23">
        <f>IF(LEFT(AA166,8)="Expense|",N(R166),0)+IF(LEFT(AB166,8)="Expense|",N(S166),0)+IF(LEFT(AC166,8)="Expense|",-N(L166),0)+IF(LEFT(AD166,8)="Expense|",-N(U166),0)+IF(LEFT(AE166,8)="Expense|",-N(T166),0)</f>
        <v/>
      </c>
      <c r="AI166" s="23">
        <f>IF(ISNUMBER(MATCH(AA166,{"Expense|employee","Expense|general_admin","Expense|marketing","Expense|utilities","Expense|other_operating"},0)),N(R166),0)+IF(ISNUMBER(MATCH(AB166,{"Expense|employee","Expense|general_admin","Expense|marketing","Expense|utilities","Expense|other_operating"},0)),N(S166),0)+IF(ISNUMBER(MATCH(AC166,{"Expense|employee","Expense|general_admin","Expense|marketing","Expense|utilities","Expense|other_operating"},0)),-N(L166),0)+IF(ISNUMBER(MATCH(AD166,{"Expense|employee","Expense|general_admin","Expense|marketing","Expense|utilities","Expense|other_operating"},0)),-N(U166),0)+IF(ISNUMBER(MATCH(AE166,{"Expense|employee","Expense|general_admin","Expense|marketing","Expense|utilities","Expense|other_operating"},0)),-N(T166),0)</f>
        <v/>
      </c>
      <c r="AJ166" s="23">
        <f>IF(AA166="Liability|payable",-N(R166),0)+IF(AB166="Liability|payable",-N(S166),0)+IF(AC166="Liability|payable",N(L166),0)+IF(AD166="Liability|payable",N(U166),0)+IF(AE166="Liability|payable",N(T166),0)</f>
        <v/>
      </c>
      <c r="AK166" s="23">
        <f>IF(AA166="Liability|accrued",-N(R166),0)+IF(AB166="Liability|accrued",-N(S166),0)+IF(AC166="Liability|accrued",N(L166),0)+IF(AD166="Liability|accrued",N(U166),0)+IF(AE166="Liability|accrued",N(T166),0)</f>
        <v/>
      </c>
      <c r="AL166" s="23">
        <f>IF(AND(N(R166)&lt;&gt;0,AA166=""),1,0)+IF(AND(N(S166)&lt;&gt;0,AB166=""),1,0)+IF(AND(N(L166)&lt;&gt;0,AC166=""),1,0)+IF(AND(N(U166)&lt;&gt;0,AD166=""),1,0)+IF(AND(N(T166)&lt;&gt;0,AE166=""),1,0)</f>
        <v/>
      </c>
    </row>
    <row r="167">
      <c r="A167" s="19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20" t="n"/>
      <c r="K167" s="20" t="n"/>
      <c r="L167" s="20" t="n"/>
      <c r="M167" s="14" t="n"/>
      <c r="N167" s="14" t="n"/>
      <c r="O167" s="14" t="n"/>
      <c r="P167" s="14" t="n"/>
      <c r="Q167" s="14" t="n"/>
      <c r="R167" s="21">
        <f>ROUND(N(H167)*N(J167)-N(K167),2)</f>
        <v/>
      </c>
      <c r="S167" s="21">
        <f>ROUND(R167*IFERROR(VLOOKUP(P167,'Tax Codes'!$A$5:$E$300,5,FALSE),0),2)</f>
        <v/>
      </c>
      <c r="T167" s="21">
        <f>ROUND(R167*IFERROR(VLOOKUP(Q167,'Tax Codes'!$A$5:$E$300,5,FALSE),0),2)</f>
        <v/>
      </c>
      <c r="U167" s="21">
        <f>R167+S167-T167-N(L167)</f>
        <v/>
      </c>
      <c r="V167" s="16">
        <f>IF(C167="",INDEX('Chart of Accounts'!$A$5:$A$3000,MATCH("materials",'Chart of Accounts'!$F$5:$F$3000,0)),C167&amp;"")</f>
        <v/>
      </c>
      <c r="W167" s="16">
        <f>IF(N167="",INDEX('Chart of Accounts'!$A$5:$A$3000,MATCH("bank",'Chart of Accounts'!$F$5:$F$3000,0)),N167&amp;"")</f>
        <v/>
      </c>
      <c r="X167" s="16">
        <f>IF(O167="",INDEX('Chart of Accounts'!$A$5:$A$3000,MATCH("ap",'Chart of Accounts'!$F$5:$F$3000,0)),O167&amp;"")</f>
        <v/>
      </c>
      <c r="Y167" s="16">
        <f>INDEX('Chart of Accounts'!$A$5:$A$3000,MATCH("vat_input",'Chart of Accounts'!$F$5:$F$3000,0))</f>
        <v/>
      </c>
      <c r="Z167" s="16">
        <f>INDEX('Chart of Accounts'!$A$5:$A$3000,MATCH("wht_payable",'Chart of Accounts'!$F$5:$F$3000,0))</f>
        <v/>
      </c>
      <c r="AA167" s="23">
        <f>IFERROR(INDEX('Chart of Accounts'!$C$5:$C$3000,MATCH(V167&amp;"",'Chart of Accounts'!$A$5:$A$3000,0))&amp;"|"&amp;INDEX('Chart of Accounts'!$D$5:$D$3000,MATCH(V167&amp;"",'Chart of Accounts'!$A$5:$A$3000,0)),"")</f>
        <v/>
      </c>
      <c r="AB167" s="23">
        <f>IFERROR(INDEX('Chart of Accounts'!$C$5:$C$3000,MATCH(Y167&amp;"",'Chart of Accounts'!$A$5:$A$3000,0))&amp;"|"&amp;INDEX('Chart of Accounts'!$D$5:$D$3000,MATCH(Y167&amp;"",'Chart of Accounts'!$A$5:$A$3000,0)),"")</f>
        <v/>
      </c>
      <c r="AC167" s="23">
        <f>IFERROR(INDEX('Chart of Accounts'!$C$5:$C$3000,MATCH(W167&amp;"",'Chart of Accounts'!$A$5:$A$3000,0))&amp;"|"&amp;INDEX('Chart of Accounts'!$D$5:$D$3000,MATCH(W167&amp;"",'Chart of Accounts'!$A$5:$A$3000,0)),"")</f>
        <v/>
      </c>
      <c r="AD167" s="23">
        <f>IFERROR(INDEX('Chart of Accounts'!$C$5:$C$3000,MATCH(X167&amp;"",'Chart of Accounts'!$A$5:$A$3000,0))&amp;"|"&amp;INDEX('Chart of Accounts'!$D$5:$D$3000,MATCH(X167&amp;"",'Chart of Accounts'!$A$5:$A$3000,0)),"")</f>
        <v/>
      </c>
      <c r="AE167" s="23">
        <f>IFERROR(INDEX('Chart of Accounts'!$C$5:$C$3000,MATCH(Z167&amp;"",'Chart of Accounts'!$A$5:$A$3000,0))&amp;"|"&amp;INDEX('Chart of Accounts'!$D$5:$D$3000,MATCH(Z167&amp;"",'Chart of Accounts'!$A$5:$A$3000,0)),"")</f>
        <v/>
      </c>
      <c r="AF167" s="23">
        <f>IF(LEFT(AA167,8)="Revenue|",-N(R167),0)+IF(LEFT(AB167,8)="Revenue|",-N(S167),0)+IF(LEFT(AC167,8)="Revenue|",N(L167),0)+IF(LEFT(AD167,8)="Revenue|",N(U167),0)+IF(LEFT(AE167,8)="Revenue|",N(T167),0)</f>
        <v/>
      </c>
      <c r="AG167" s="23">
        <f>IF(LEFT(AA167,5)="COGS|",N(R167),0)+IF(LEFT(AB167,5)="COGS|",N(S167),0)+IF(LEFT(AC167,5)="COGS|",-N(L167),0)+IF(LEFT(AD167,5)="COGS|",-N(U167),0)+IF(LEFT(AE167,5)="COGS|",-N(T167),0)</f>
        <v/>
      </c>
      <c r="AH167" s="23">
        <f>IF(LEFT(AA167,8)="Expense|",N(R167),0)+IF(LEFT(AB167,8)="Expense|",N(S167),0)+IF(LEFT(AC167,8)="Expense|",-N(L167),0)+IF(LEFT(AD167,8)="Expense|",-N(U167),0)+IF(LEFT(AE167,8)="Expense|",-N(T167),0)</f>
        <v/>
      </c>
      <c r="AI167" s="23">
        <f>IF(ISNUMBER(MATCH(AA167,{"Expense|employee","Expense|general_admin","Expense|marketing","Expense|utilities","Expense|other_operating"},0)),N(R167),0)+IF(ISNUMBER(MATCH(AB167,{"Expense|employee","Expense|general_admin","Expense|marketing","Expense|utilities","Expense|other_operating"},0)),N(S167),0)+IF(ISNUMBER(MATCH(AC167,{"Expense|employee","Expense|general_admin","Expense|marketing","Expense|utilities","Expense|other_operating"},0)),-N(L167),0)+IF(ISNUMBER(MATCH(AD167,{"Expense|employee","Expense|general_admin","Expense|marketing","Expense|utilities","Expense|other_operating"},0)),-N(U167),0)+IF(ISNUMBER(MATCH(AE167,{"Expense|employee","Expense|general_admin","Expense|marketing","Expense|utilities","Expense|other_operating"},0)),-N(T167),0)</f>
        <v/>
      </c>
      <c r="AJ167" s="23">
        <f>IF(AA167="Liability|payable",-N(R167),0)+IF(AB167="Liability|payable",-N(S167),0)+IF(AC167="Liability|payable",N(L167),0)+IF(AD167="Liability|payable",N(U167),0)+IF(AE167="Liability|payable",N(T167),0)</f>
        <v/>
      </c>
      <c r="AK167" s="23">
        <f>IF(AA167="Liability|accrued",-N(R167),0)+IF(AB167="Liability|accrued",-N(S167),0)+IF(AC167="Liability|accrued",N(L167),0)+IF(AD167="Liability|accrued",N(U167),0)+IF(AE167="Liability|accrued",N(T167),0)</f>
        <v/>
      </c>
      <c r="AL167" s="23">
        <f>IF(AND(N(R167)&lt;&gt;0,AA167=""),1,0)+IF(AND(N(S167)&lt;&gt;0,AB167=""),1,0)+IF(AND(N(L167)&lt;&gt;0,AC167=""),1,0)+IF(AND(N(U167)&lt;&gt;0,AD167=""),1,0)+IF(AND(N(T167)&lt;&gt;0,AE167=""),1,0)</f>
        <v/>
      </c>
    </row>
    <row r="168">
      <c r="A168" s="19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20" t="n"/>
      <c r="K168" s="20" t="n"/>
      <c r="L168" s="20" t="n"/>
      <c r="M168" s="14" t="n"/>
      <c r="N168" s="14" t="n"/>
      <c r="O168" s="14" t="n"/>
      <c r="P168" s="14" t="n"/>
      <c r="Q168" s="14" t="n"/>
      <c r="R168" s="21">
        <f>ROUND(N(H168)*N(J168)-N(K168),2)</f>
        <v/>
      </c>
      <c r="S168" s="21">
        <f>ROUND(R168*IFERROR(VLOOKUP(P168,'Tax Codes'!$A$5:$E$300,5,FALSE),0),2)</f>
        <v/>
      </c>
      <c r="T168" s="21">
        <f>ROUND(R168*IFERROR(VLOOKUP(Q168,'Tax Codes'!$A$5:$E$300,5,FALSE),0),2)</f>
        <v/>
      </c>
      <c r="U168" s="21">
        <f>R168+S168-T168-N(L168)</f>
        <v/>
      </c>
      <c r="V168" s="16">
        <f>IF(C168="",INDEX('Chart of Accounts'!$A$5:$A$3000,MATCH("materials",'Chart of Accounts'!$F$5:$F$3000,0)),C168&amp;"")</f>
        <v/>
      </c>
      <c r="W168" s="16">
        <f>IF(N168="",INDEX('Chart of Accounts'!$A$5:$A$3000,MATCH("bank",'Chart of Accounts'!$F$5:$F$3000,0)),N168&amp;"")</f>
        <v/>
      </c>
      <c r="X168" s="16">
        <f>IF(O168="",INDEX('Chart of Accounts'!$A$5:$A$3000,MATCH("ap",'Chart of Accounts'!$F$5:$F$3000,0)),O168&amp;"")</f>
        <v/>
      </c>
      <c r="Y168" s="16">
        <f>INDEX('Chart of Accounts'!$A$5:$A$3000,MATCH("vat_input",'Chart of Accounts'!$F$5:$F$3000,0))</f>
        <v/>
      </c>
      <c r="Z168" s="16">
        <f>INDEX('Chart of Accounts'!$A$5:$A$3000,MATCH("wht_payable",'Chart of Accounts'!$F$5:$F$3000,0))</f>
        <v/>
      </c>
      <c r="AA168" s="23">
        <f>IFERROR(INDEX('Chart of Accounts'!$C$5:$C$3000,MATCH(V168&amp;"",'Chart of Accounts'!$A$5:$A$3000,0))&amp;"|"&amp;INDEX('Chart of Accounts'!$D$5:$D$3000,MATCH(V168&amp;"",'Chart of Accounts'!$A$5:$A$3000,0)),"")</f>
        <v/>
      </c>
      <c r="AB168" s="23">
        <f>IFERROR(INDEX('Chart of Accounts'!$C$5:$C$3000,MATCH(Y168&amp;"",'Chart of Accounts'!$A$5:$A$3000,0))&amp;"|"&amp;INDEX('Chart of Accounts'!$D$5:$D$3000,MATCH(Y168&amp;"",'Chart of Accounts'!$A$5:$A$3000,0)),"")</f>
        <v/>
      </c>
      <c r="AC168" s="23">
        <f>IFERROR(INDEX('Chart of Accounts'!$C$5:$C$3000,MATCH(W168&amp;"",'Chart of Accounts'!$A$5:$A$3000,0))&amp;"|"&amp;INDEX('Chart of Accounts'!$D$5:$D$3000,MATCH(W168&amp;"",'Chart of Accounts'!$A$5:$A$3000,0)),"")</f>
        <v/>
      </c>
      <c r="AD168" s="23">
        <f>IFERROR(INDEX('Chart of Accounts'!$C$5:$C$3000,MATCH(X168&amp;"",'Chart of Accounts'!$A$5:$A$3000,0))&amp;"|"&amp;INDEX('Chart of Accounts'!$D$5:$D$3000,MATCH(X168&amp;"",'Chart of Accounts'!$A$5:$A$3000,0)),"")</f>
        <v/>
      </c>
      <c r="AE168" s="23">
        <f>IFERROR(INDEX('Chart of Accounts'!$C$5:$C$3000,MATCH(Z168&amp;"",'Chart of Accounts'!$A$5:$A$3000,0))&amp;"|"&amp;INDEX('Chart of Accounts'!$D$5:$D$3000,MATCH(Z168&amp;"",'Chart of Accounts'!$A$5:$A$3000,0)),"")</f>
        <v/>
      </c>
      <c r="AF168" s="23">
        <f>IF(LEFT(AA168,8)="Revenue|",-N(R168),0)+IF(LEFT(AB168,8)="Revenue|",-N(S168),0)+IF(LEFT(AC168,8)="Revenue|",N(L168),0)+IF(LEFT(AD168,8)="Revenue|",N(U168),0)+IF(LEFT(AE168,8)="Revenue|",N(T168),0)</f>
        <v/>
      </c>
      <c r="AG168" s="23">
        <f>IF(LEFT(AA168,5)="COGS|",N(R168),0)+IF(LEFT(AB168,5)="COGS|",N(S168),0)+IF(LEFT(AC168,5)="COGS|",-N(L168),0)+IF(LEFT(AD168,5)="COGS|",-N(U168),0)+IF(LEFT(AE168,5)="COGS|",-N(T168),0)</f>
        <v/>
      </c>
      <c r="AH168" s="23">
        <f>IF(LEFT(AA168,8)="Expense|",N(R168),0)+IF(LEFT(AB168,8)="Expense|",N(S168),0)+IF(LEFT(AC168,8)="Expense|",-N(L168),0)+IF(LEFT(AD168,8)="Expense|",-N(U168),0)+IF(LEFT(AE168,8)="Expense|",-N(T168),0)</f>
        <v/>
      </c>
      <c r="AI168" s="23">
        <f>IF(ISNUMBER(MATCH(AA168,{"Expense|employee","Expense|general_admin","Expense|marketing","Expense|utilities","Expense|other_operating"},0)),N(R168),0)+IF(ISNUMBER(MATCH(AB168,{"Expense|employee","Expense|general_admin","Expense|marketing","Expense|utilities","Expense|other_operating"},0)),N(S168),0)+IF(ISNUMBER(MATCH(AC168,{"Expense|employee","Expense|general_admin","Expense|marketing","Expense|utilities","Expense|other_operating"},0)),-N(L168),0)+IF(ISNUMBER(MATCH(AD168,{"Expense|employee","Expense|general_admin","Expense|marketing","Expense|utilities","Expense|other_operating"},0)),-N(U168),0)+IF(ISNUMBER(MATCH(AE168,{"Expense|employee","Expense|general_admin","Expense|marketing","Expense|utilities","Expense|other_operating"},0)),-N(T168),0)</f>
        <v/>
      </c>
      <c r="AJ168" s="23">
        <f>IF(AA168="Liability|payable",-N(R168),0)+IF(AB168="Liability|payable",-N(S168),0)+IF(AC168="Liability|payable",N(L168),0)+IF(AD168="Liability|payable",N(U168),0)+IF(AE168="Liability|payable",N(T168),0)</f>
        <v/>
      </c>
      <c r="AK168" s="23">
        <f>IF(AA168="Liability|accrued",-N(R168),0)+IF(AB168="Liability|accrued",-N(S168),0)+IF(AC168="Liability|accrued",N(L168),0)+IF(AD168="Liability|accrued",N(U168),0)+IF(AE168="Liability|accrued",N(T168),0)</f>
        <v/>
      </c>
      <c r="AL168" s="23">
        <f>IF(AND(N(R168)&lt;&gt;0,AA168=""),1,0)+IF(AND(N(S168)&lt;&gt;0,AB168=""),1,0)+IF(AND(N(L168)&lt;&gt;0,AC168=""),1,0)+IF(AND(N(U168)&lt;&gt;0,AD168=""),1,0)+IF(AND(N(T168)&lt;&gt;0,AE168=""),1,0)</f>
        <v/>
      </c>
    </row>
    <row r="169">
      <c r="A169" s="19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20" t="n"/>
      <c r="K169" s="20" t="n"/>
      <c r="L169" s="20" t="n"/>
      <c r="M169" s="14" t="n"/>
      <c r="N169" s="14" t="n"/>
      <c r="O169" s="14" t="n"/>
      <c r="P169" s="14" t="n"/>
      <c r="Q169" s="14" t="n"/>
      <c r="R169" s="21">
        <f>ROUND(N(H169)*N(J169)-N(K169),2)</f>
        <v/>
      </c>
      <c r="S169" s="21">
        <f>ROUND(R169*IFERROR(VLOOKUP(P169,'Tax Codes'!$A$5:$E$300,5,FALSE),0),2)</f>
        <v/>
      </c>
      <c r="T169" s="21">
        <f>ROUND(R169*IFERROR(VLOOKUP(Q169,'Tax Codes'!$A$5:$E$300,5,FALSE),0),2)</f>
        <v/>
      </c>
      <c r="U169" s="21">
        <f>R169+S169-T169-N(L169)</f>
        <v/>
      </c>
      <c r="V169" s="16">
        <f>IF(C169="",INDEX('Chart of Accounts'!$A$5:$A$3000,MATCH("materials",'Chart of Accounts'!$F$5:$F$3000,0)),C169&amp;"")</f>
        <v/>
      </c>
      <c r="W169" s="16">
        <f>IF(N169="",INDEX('Chart of Accounts'!$A$5:$A$3000,MATCH("bank",'Chart of Accounts'!$F$5:$F$3000,0)),N169&amp;"")</f>
        <v/>
      </c>
      <c r="X169" s="16">
        <f>IF(O169="",INDEX('Chart of Accounts'!$A$5:$A$3000,MATCH("ap",'Chart of Accounts'!$F$5:$F$3000,0)),O169&amp;"")</f>
        <v/>
      </c>
      <c r="Y169" s="16">
        <f>INDEX('Chart of Accounts'!$A$5:$A$3000,MATCH("vat_input",'Chart of Accounts'!$F$5:$F$3000,0))</f>
        <v/>
      </c>
      <c r="Z169" s="16">
        <f>INDEX('Chart of Accounts'!$A$5:$A$3000,MATCH("wht_payable",'Chart of Accounts'!$F$5:$F$3000,0))</f>
        <v/>
      </c>
      <c r="AA169" s="23">
        <f>IFERROR(INDEX('Chart of Accounts'!$C$5:$C$3000,MATCH(V169&amp;"",'Chart of Accounts'!$A$5:$A$3000,0))&amp;"|"&amp;INDEX('Chart of Accounts'!$D$5:$D$3000,MATCH(V169&amp;"",'Chart of Accounts'!$A$5:$A$3000,0)),"")</f>
        <v/>
      </c>
      <c r="AB169" s="23">
        <f>IFERROR(INDEX('Chart of Accounts'!$C$5:$C$3000,MATCH(Y169&amp;"",'Chart of Accounts'!$A$5:$A$3000,0))&amp;"|"&amp;INDEX('Chart of Accounts'!$D$5:$D$3000,MATCH(Y169&amp;"",'Chart of Accounts'!$A$5:$A$3000,0)),"")</f>
        <v/>
      </c>
      <c r="AC169" s="23">
        <f>IFERROR(INDEX('Chart of Accounts'!$C$5:$C$3000,MATCH(W169&amp;"",'Chart of Accounts'!$A$5:$A$3000,0))&amp;"|"&amp;INDEX('Chart of Accounts'!$D$5:$D$3000,MATCH(W169&amp;"",'Chart of Accounts'!$A$5:$A$3000,0)),"")</f>
        <v/>
      </c>
      <c r="AD169" s="23">
        <f>IFERROR(INDEX('Chart of Accounts'!$C$5:$C$3000,MATCH(X169&amp;"",'Chart of Accounts'!$A$5:$A$3000,0))&amp;"|"&amp;INDEX('Chart of Accounts'!$D$5:$D$3000,MATCH(X169&amp;"",'Chart of Accounts'!$A$5:$A$3000,0)),"")</f>
        <v/>
      </c>
      <c r="AE169" s="23">
        <f>IFERROR(INDEX('Chart of Accounts'!$C$5:$C$3000,MATCH(Z169&amp;"",'Chart of Accounts'!$A$5:$A$3000,0))&amp;"|"&amp;INDEX('Chart of Accounts'!$D$5:$D$3000,MATCH(Z169&amp;"",'Chart of Accounts'!$A$5:$A$3000,0)),"")</f>
        <v/>
      </c>
      <c r="AF169" s="23">
        <f>IF(LEFT(AA169,8)="Revenue|",-N(R169),0)+IF(LEFT(AB169,8)="Revenue|",-N(S169),0)+IF(LEFT(AC169,8)="Revenue|",N(L169),0)+IF(LEFT(AD169,8)="Revenue|",N(U169),0)+IF(LEFT(AE169,8)="Revenue|",N(T169),0)</f>
        <v/>
      </c>
      <c r="AG169" s="23">
        <f>IF(LEFT(AA169,5)="COGS|",N(R169),0)+IF(LEFT(AB169,5)="COGS|",N(S169),0)+IF(LEFT(AC169,5)="COGS|",-N(L169),0)+IF(LEFT(AD169,5)="COGS|",-N(U169),0)+IF(LEFT(AE169,5)="COGS|",-N(T169),0)</f>
        <v/>
      </c>
      <c r="AH169" s="23">
        <f>IF(LEFT(AA169,8)="Expense|",N(R169),0)+IF(LEFT(AB169,8)="Expense|",N(S169),0)+IF(LEFT(AC169,8)="Expense|",-N(L169),0)+IF(LEFT(AD169,8)="Expense|",-N(U169),0)+IF(LEFT(AE169,8)="Expense|",-N(T169),0)</f>
        <v/>
      </c>
      <c r="AI169" s="23">
        <f>IF(ISNUMBER(MATCH(AA169,{"Expense|employee","Expense|general_admin","Expense|marketing","Expense|utilities","Expense|other_operating"},0)),N(R169),0)+IF(ISNUMBER(MATCH(AB169,{"Expense|employee","Expense|general_admin","Expense|marketing","Expense|utilities","Expense|other_operating"},0)),N(S169),0)+IF(ISNUMBER(MATCH(AC169,{"Expense|employee","Expense|general_admin","Expense|marketing","Expense|utilities","Expense|other_operating"},0)),-N(L169),0)+IF(ISNUMBER(MATCH(AD169,{"Expense|employee","Expense|general_admin","Expense|marketing","Expense|utilities","Expense|other_operating"},0)),-N(U169),0)+IF(ISNUMBER(MATCH(AE169,{"Expense|employee","Expense|general_admin","Expense|marketing","Expense|utilities","Expense|other_operating"},0)),-N(T169),0)</f>
        <v/>
      </c>
      <c r="AJ169" s="23">
        <f>IF(AA169="Liability|payable",-N(R169),0)+IF(AB169="Liability|payable",-N(S169),0)+IF(AC169="Liability|payable",N(L169),0)+IF(AD169="Liability|payable",N(U169),0)+IF(AE169="Liability|payable",N(T169),0)</f>
        <v/>
      </c>
      <c r="AK169" s="23">
        <f>IF(AA169="Liability|accrued",-N(R169),0)+IF(AB169="Liability|accrued",-N(S169),0)+IF(AC169="Liability|accrued",N(L169),0)+IF(AD169="Liability|accrued",N(U169),0)+IF(AE169="Liability|accrued",N(T169),0)</f>
        <v/>
      </c>
      <c r="AL169" s="23">
        <f>IF(AND(N(R169)&lt;&gt;0,AA169=""),1,0)+IF(AND(N(S169)&lt;&gt;0,AB169=""),1,0)+IF(AND(N(L169)&lt;&gt;0,AC169=""),1,0)+IF(AND(N(U169)&lt;&gt;0,AD169=""),1,0)+IF(AND(N(T169)&lt;&gt;0,AE169=""),1,0)</f>
        <v/>
      </c>
    </row>
    <row r="170">
      <c r="A170" s="19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20" t="n"/>
      <c r="K170" s="20" t="n"/>
      <c r="L170" s="20" t="n"/>
      <c r="M170" s="14" t="n"/>
      <c r="N170" s="14" t="n"/>
      <c r="O170" s="14" t="n"/>
      <c r="P170" s="14" t="n"/>
      <c r="Q170" s="14" t="n"/>
      <c r="R170" s="21">
        <f>ROUND(N(H170)*N(J170)-N(K170),2)</f>
        <v/>
      </c>
      <c r="S170" s="21">
        <f>ROUND(R170*IFERROR(VLOOKUP(P170,'Tax Codes'!$A$5:$E$300,5,FALSE),0),2)</f>
        <v/>
      </c>
      <c r="T170" s="21">
        <f>ROUND(R170*IFERROR(VLOOKUP(Q170,'Tax Codes'!$A$5:$E$300,5,FALSE),0),2)</f>
        <v/>
      </c>
      <c r="U170" s="21">
        <f>R170+S170-T170-N(L170)</f>
        <v/>
      </c>
      <c r="V170" s="16">
        <f>IF(C170="",INDEX('Chart of Accounts'!$A$5:$A$3000,MATCH("materials",'Chart of Accounts'!$F$5:$F$3000,0)),C170&amp;"")</f>
        <v/>
      </c>
      <c r="W170" s="16">
        <f>IF(N170="",INDEX('Chart of Accounts'!$A$5:$A$3000,MATCH("bank",'Chart of Accounts'!$F$5:$F$3000,0)),N170&amp;"")</f>
        <v/>
      </c>
      <c r="X170" s="16">
        <f>IF(O170="",INDEX('Chart of Accounts'!$A$5:$A$3000,MATCH("ap",'Chart of Accounts'!$F$5:$F$3000,0)),O170&amp;"")</f>
        <v/>
      </c>
      <c r="Y170" s="16">
        <f>INDEX('Chart of Accounts'!$A$5:$A$3000,MATCH("vat_input",'Chart of Accounts'!$F$5:$F$3000,0))</f>
        <v/>
      </c>
      <c r="Z170" s="16">
        <f>INDEX('Chart of Accounts'!$A$5:$A$3000,MATCH("wht_payable",'Chart of Accounts'!$F$5:$F$3000,0))</f>
        <v/>
      </c>
      <c r="AA170" s="23">
        <f>IFERROR(INDEX('Chart of Accounts'!$C$5:$C$3000,MATCH(V170&amp;"",'Chart of Accounts'!$A$5:$A$3000,0))&amp;"|"&amp;INDEX('Chart of Accounts'!$D$5:$D$3000,MATCH(V170&amp;"",'Chart of Accounts'!$A$5:$A$3000,0)),"")</f>
        <v/>
      </c>
      <c r="AB170" s="23">
        <f>IFERROR(INDEX('Chart of Accounts'!$C$5:$C$3000,MATCH(Y170&amp;"",'Chart of Accounts'!$A$5:$A$3000,0))&amp;"|"&amp;INDEX('Chart of Accounts'!$D$5:$D$3000,MATCH(Y170&amp;"",'Chart of Accounts'!$A$5:$A$3000,0)),"")</f>
        <v/>
      </c>
      <c r="AC170" s="23">
        <f>IFERROR(INDEX('Chart of Accounts'!$C$5:$C$3000,MATCH(W170&amp;"",'Chart of Accounts'!$A$5:$A$3000,0))&amp;"|"&amp;INDEX('Chart of Accounts'!$D$5:$D$3000,MATCH(W170&amp;"",'Chart of Accounts'!$A$5:$A$3000,0)),"")</f>
        <v/>
      </c>
      <c r="AD170" s="23">
        <f>IFERROR(INDEX('Chart of Accounts'!$C$5:$C$3000,MATCH(X170&amp;"",'Chart of Accounts'!$A$5:$A$3000,0))&amp;"|"&amp;INDEX('Chart of Accounts'!$D$5:$D$3000,MATCH(X170&amp;"",'Chart of Accounts'!$A$5:$A$3000,0)),"")</f>
        <v/>
      </c>
      <c r="AE170" s="23">
        <f>IFERROR(INDEX('Chart of Accounts'!$C$5:$C$3000,MATCH(Z170&amp;"",'Chart of Accounts'!$A$5:$A$3000,0))&amp;"|"&amp;INDEX('Chart of Accounts'!$D$5:$D$3000,MATCH(Z170&amp;"",'Chart of Accounts'!$A$5:$A$3000,0)),"")</f>
        <v/>
      </c>
      <c r="AF170" s="23">
        <f>IF(LEFT(AA170,8)="Revenue|",-N(R170),0)+IF(LEFT(AB170,8)="Revenue|",-N(S170),0)+IF(LEFT(AC170,8)="Revenue|",N(L170),0)+IF(LEFT(AD170,8)="Revenue|",N(U170),0)+IF(LEFT(AE170,8)="Revenue|",N(T170),0)</f>
        <v/>
      </c>
      <c r="AG170" s="23">
        <f>IF(LEFT(AA170,5)="COGS|",N(R170),0)+IF(LEFT(AB170,5)="COGS|",N(S170),0)+IF(LEFT(AC170,5)="COGS|",-N(L170),0)+IF(LEFT(AD170,5)="COGS|",-N(U170),0)+IF(LEFT(AE170,5)="COGS|",-N(T170),0)</f>
        <v/>
      </c>
      <c r="AH170" s="23">
        <f>IF(LEFT(AA170,8)="Expense|",N(R170),0)+IF(LEFT(AB170,8)="Expense|",N(S170),0)+IF(LEFT(AC170,8)="Expense|",-N(L170),0)+IF(LEFT(AD170,8)="Expense|",-N(U170),0)+IF(LEFT(AE170,8)="Expense|",-N(T170),0)</f>
        <v/>
      </c>
      <c r="AI170" s="23">
        <f>IF(ISNUMBER(MATCH(AA170,{"Expense|employee","Expense|general_admin","Expense|marketing","Expense|utilities","Expense|other_operating"},0)),N(R170),0)+IF(ISNUMBER(MATCH(AB170,{"Expense|employee","Expense|general_admin","Expense|marketing","Expense|utilities","Expense|other_operating"},0)),N(S170),0)+IF(ISNUMBER(MATCH(AC170,{"Expense|employee","Expense|general_admin","Expense|marketing","Expense|utilities","Expense|other_operating"},0)),-N(L170),0)+IF(ISNUMBER(MATCH(AD170,{"Expense|employee","Expense|general_admin","Expense|marketing","Expense|utilities","Expense|other_operating"},0)),-N(U170),0)+IF(ISNUMBER(MATCH(AE170,{"Expense|employee","Expense|general_admin","Expense|marketing","Expense|utilities","Expense|other_operating"},0)),-N(T170),0)</f>
        <v/>
      </c>
      <c r="AJ170" s="23">
        <f>IF(AA170="Liability|payable",-N(R170),0)+IF(AB170="Liability|payable",-N(S170),0)+IF(AC170="Liability|payable",N(L170),0)+IF(AD170="Liability|payable",N(U170),0)+IF(AE170="Liability|payable",N(T170),0)</f>
        <v/>
      </c>
      <c r="AK170" s="23">
        <f>IF(AA170="Liability|accrued",-N(R170),0)+IF(AB170="Liability|accrued",-N(S170),0)+IF(AC170="Liability|accrued",N(L170),0)+IF(AD170="Liability|accrued",N(U170),0)+IF(AE170="Liability|accrued",N(T170),0)</f>
        <v/>
      </c>
      <c r="AL170" s="23">
        <f>IF(AND(N(R170)&lt;&gt;0,AA170=""),1,0)+IF(AND(N(S170)&lt;&gt;0,AB170=""),1,0)+IF(AND(N(L170)&lt;&gt;0,AC170=""),1,0)+IF(AND(N(U170)&lt;&gt;0,AD170=""),1,0)+IF(AND(N(T170)&lt;&gt;0,AE170=""),1,0)</f>
        <v/>
      </c>
    </row>
    <row r="171">
      <c r="A171" s="19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20" t="n"/>
      <c r="K171" s="20" t="n"/>
      <c r="L171" s="20" t="n"/>
      <c r="M171" s="14" t="n"/>
      <c r="N171" s="14" t="n"/>
      <c r="O171" s="14" t="n"/>
      <c r="P171" s="14" t="n"/>
      <c r="Q171" s="14" t="n"/>
      <c r="R171" s="21">
        <f>ROUND(N(H171)*N(J171)-N(K171),2)</f>
        <v/>
      </c>
      <c r="S171" s="21">
        <f>ROUND(R171*IFERROR(VLOOKUP(P171,'Tax Codes'!$A$5:$E$300,5,FALSE),0),2)</f>
        <v/>
      </c>
      <c r="T171" s="21">
        <f>ROUND(R171*IFERROR(VLOOKUP(Q171,'Tax Codes'!$A$5:$E$300,5,FALSE),0),2)</f>
        <v/>
      </c>
      <c r="U171" s="21">
        <f>R171+S171-T171-N(L171)</f>
        <v/>
      </c>
      <c r="V171" s="16">
        <f>IF(C171="",INDEX('Chart of Accounts'!$A$5:$A$3000,MATCH("materials",'Chart of Accounts'!$F$5:$F$3000,0)),C171&amp;"")</f>
        <v/>
      </c>
      <c r="W171" s="16">
        <f>IF(N171="",INDEX('Chart of Accounts'!$A$5:$A$3000,MATCH("bank",'Chart of Accounts'!$F$5:$F$3000,0)),N171&amp;"")</f>
        <v/>
      </c>
      <c r="X171" s="16">
        <f>IF(O171="",INDEX('Chart of Accounts'!$A$5:$A$3000,MATCH("ap",'Chart of Accounts'!$F$5:$F$3000,0)),O171&amp;"")</f>
        <v/>
      </c>
      <c r="Y171" s="16">
        <f>INDEX('Chart of Accounts'!$A$5:$A$3000,MATCH("vat_input",'Chart of Accounts'!$F$5:$F$3000,0))</f>
        <v/>
      </c>
      <c r="Z171" s="16">
        <f>INDEX('Chart of Accounts'!$A$5:$A$3000,MATCH("wht_payable",'Chart of Accounts'!$F$5:$F$3000,0))</f>
        <v/>
      </c>
      <c r="AA171" s="23">
        <f>IFERROR(INDEX('Chart of Accounts'!$C$5:$C$3000,MATCH(V171&amp;"",'Chart of Accounts'!$A$5:$A$3000,0))&amp;"|"&amp;INDEX('Chart of Accounts'!$D$5:$D$3000,MATCH(V171&amp;"",'Chart of Accounts'!$A$5:$A$3000,0)),"")</f>
        <v/>
      </c>
      <c r="AB171" s="23">
        <f>IFERROR(INDEX('Chart of Accounts'!$C$5:$C$3000,MATCH(Y171&amp;"",'Chart of Accounts'!$A$5:$A$3000,0))&amp;"|"&amp;INDEX('Chart of Accounts'!$D$5:$D$3000,MATCH(Y171&amp;"",'Chart of Accounts'!$A$5:$A$3000,0)),"")</f>
        <v/>
      </c>
      <c r="AC171" s="23">
        <f>IFERROR(INDEX('Chart of Accounts'!$C$5:$C$3000,MATCH(W171&amp;"",'Chart of Accounts'!$A$5:$A$3000,0))&amp;"|"&amp;INDEX('Chart of Accounts'!$D$5:$D$3000,MATCH(W171&amp;"",'Chart of Accounts'!$A$5:$A$3000,0)),"")</f>
        <v/>
      </c>
      <c r="AD171" s="23">
        <f>IFERROR(INDEX('Chart of Accounts'!$C$5:$C$3000,MATCH(X171&amp;"",'Chart of Accounts'!$A$5:$A$3000,0))&amp;"|"&amp;INDEX('Chart of Accounts'!$D$5:$D$3000,MATCH(X171&amp;"",'Chart of Accounts'!$A$5:$A$3000,0)),"")</f>
        <v/>
      </c>
      <c r="AE171" s="23">
        <f>IFERROR(INDEX('Chart of Accounts'!$C$5:$C$3000,MATCH(Z171&amp;"",'Chart of Accounts'!$A$5:$A$3000,0))&amp;"|"&amp;INDEX('Chart of Accounts'!$D$5:$D$3000,MATCH(Z171&amp;"",'Chart of Accounts'!$A$5:$A$3000,0)),"")</f>
        <v/>
      </c>
      <c r="AF171" s="23">
        <f>IF(LEFT(AA171,8)="Revenue|",-N(R171),0)+IF(LEFT(AB171,8)="Revenue|",-N(S171),0)+IF(LEFT(AC171,8)="Revenue|",N(L171),0)+IF(LEFT(AD171,8)="Revenue|",N(U171),0)+IF(LEFT(AE171,8)="Revenue|",N(T171),0)</f>
        <v/>
      </c>
      <c r="AG171" s="23">
        <f>IF(LEFT(AA171,5)="COGS|",N(R171),0)+IF(LEFT(AB171,5)="COGS|",N(S171),0)+IF(LEFT(AC171,5)="COGS|",-N(L171),0)+IF(LEFT(AD171,5)="COGS|",-N(U171),0)+IF(LEFT(AE171,5)="COGS|",-N(T171),0)</f>
        <v/>
      </c>
      <c r="AH171" s="23">
        <f>IF(LEFT(AA171,8)="Expense|",N(R171),0)+IF(LEFT(AB171,8)="Expense|",N(S171),0)+IF(LEFT(AC171,8)="Expense|",-N(L171),0)+IF(LEFT(AD171,8)="Expense|",-N(U171),0)+IF(LEFT(AE171,8)="Expense|",-N(T171),0)</f>
        <v/>
      </c>
      <c r="AI171" s="23">
        <f>IF(ISNUMBER(MATCH(AA171,{"Expense|employee","Expense|general_admin","Expense|marketing","Expense|utilities","Expense|other_operating"},0)),N(R171),0)+IF(ISNUMBER(MATCH(AB171,{"Expense|employee","Expense|general_admin","Expense|marketing","Expense|utilities","Expense|other_operating"},0)),N(S171),0)+IF(ISNUMBER(MATCH(AC171,{"Expense|employee","Expense|general_admin","Expense|marketing","Expense|utilities","Expense|other_operating"},0)),-N(L171),0)+IF(ISNUMBER(MATCH(AD171,{"Expense|employee","Expense|general_admin","Expense|marketing","Expense|utilities","Expense|other_operating"},0)),-N(U171),0)+IF(ISNUMBER(MATCH(AE171,{"Expense|employee","Expense|general_admin","Expense|marketing","Expense|utilities","Expense|other_operating"},0)),-N(T171),0)</f>
        <v/>
      </c>
      <c r="AJ171" s="23">
        <f>IF(AA171="Liability|payable",-N(R171),0)+IF(AB171="Liability|payable",-N(S171),0)+IF(AC171="Liability|payable",N(L171),0)+IF(AD171="Liability|payable",N(U171),0)+IF(AE171="Liability|payable",N(T171),0)</f>
        <v/>
      </c>
      <c r="AK171" s="23">
        <f>IF(AA171="Liability|accrued",-N(R171),0)+IF(AB171="Liability|accrued",-N(S171),0)+IF(AC171="Liability|accrued",N(L171),0)+IF(AD171="Liability|accrued",N(U171),0)+IF(AE171="Liability|accrued",N(T171),0)</f>
        <v/>
      </c>
      <c r="AL171" s="23">
        <f>IF(AND(N(R171)&lt;&gt;0,AA171=""),1,0)+IF(AND(N(S171)&lt;&gt;0,AB171=""),1,0)+IF(AND(N(L171)&lt;&gt;0,AC171=""),1,0)+IF(AND(N(U171)&lt;&gt;0,AD171=""),1,0)+IF(AND(N(T171)&lt;&gt;0,AE171=""),1,0)</f>
        <v/>
      </c>
    </row>
    <row r="172">
      <c r="A172" s="19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20" t="n"/>
      <c r="K172" s="20" t="n"/>
      <c r="L172" s="20" t="n"/>
      <c r="M172" s="14" t="n"/>
      <c r="N172" s="14" t="n"/>
      <c r="O172" s="14" t="n"/>
      <c r="P172" s="14" t="n"/>
      <c r="Q172" s="14" t="n"/>
      <c r="R172" s="21">
        <f>ROUND(N(H172)*N(J172)-N(K172),2)</f>
        <v/>
      </c>
      <c r="S172" s="21">
        <f>ROUND(R172*IFERROR(VLOOKUP(P172,'Tax Codes'!$A$5:$E$300,5,FALSE),0),2)</f>
        <v/>
      </c>
      <c r="T172" s="21">
        <f>ROUND(R172*IFERROR(VLOOKUP(Q172,'Tax Codes'!$A$5:$E$300,5,FALSE),0),2)</f>
        <v/>
      </c>
      <c r="U172" s="21">
        <f>R172+S172-T172-N(L172)</f>
        <v/>
      </c>
      <c r="V172" s="16">
        <f>IF(C172="",INDEX('Chart of Accounts'!$A$5:$A$3000,MATCH("materials",'Chart of Accounts'!$F$5:$F$3000,0)),C172&amp;"")</f>
        <v/>
      </c>
      <c r="W172" s="16">
        <f>IF(N172="",INDEX('Chart of Accounts'!$A$5:$A$3000,MATCH("bank",'Chart of Accounts'!$F$5:$F$3000,0)),N172&amp;"")</f>
        <v/>
      </c>
      <c r="X172" s="16">
        <f>IF(O172="",INDEX('Chart of Accounts'!$A$5:$A$3000,MATCH("ap",'Chart of Accounts'!$F$5:$F$3000,0)),O172&amp;"")</f>
        <v/>
      </c>
      <c r="Y172" s="16">
        <f>INDEX('Chart of Accounts'!$A$5:$A$3000,MATCH("vat_input",'Chart of Accounts'!$F$5:$F$3000,0))</f>
        <v/>
      </c>
      <c r="Z172" s="16">
        <f>INDEX('Chart of Accounts'!$A$5:$A$3000,MATCH("wht_payable",'Chart of Accounts'!$F$5:$F$3000,0))</f>
        <v/>
      </c>
      <c r="AA172" s="23">
        <f>IFERROR(INDEX('Chart of Accounts'!$C$5:$C$3000,MATCH(V172&amp;"",'Chart of Accounts'!$A$5:$A$3000,0))&amp;"|"&amp;INDEX('Chart of Accounts'!$D$5:$D$3000,MATCH(V172&amp;"",'Chart of Accounts'!$A$5:$A$3000,0)),"")</f>
        <v/>
      </c>
      <c r="AB172" s="23">
        <f>IFERROR(INDEX('Chart of Accounts'!$C$5:$C$3000,MATCH(Y172&amp;"",'Chart of Accounts'!$A$5:$A$3000,0))&amp;"|"&amp;INDEX('Chart of Accounts'!$D$5:$D$3000,MATCH(Y172&amp;"",'Chart of Accounts'!$A$5:$A$3000,0)),"")</f>
        <v/>
      </c>
      <c r="AC172" s="23">
        <f>IFERROR(INDEX('Chart of Accounts'!$C$5:$C$3000,MATCH(W172&amp;"",'Chart of Accounts'!$A$5:$A$3000,0))&amp;"|"&amp;INDEX('Chart of Accounts'!$D$5:$D$3000,MATCH(W172&amp;"",'Chart of Accounts'!$A$5:$A$3000,0)),"")</f>
        <v/>
      </c>
      <c r="AD172" s="23">
        <f>IFERROR(INDEX('Chart of Accounts'!$C$5:$C$3000,MATCH(X172&amp;"",'Chart of Accounts'!$A$5:$A$3000,0))&amp;"|"&amp;INDEX('Chart of Accounts'!$D$5:$D$3000,MATCH(X172&amp;"",'Chart of Accounts'!$A$5:$A$3000,0)),"")</f>
        <v/>
      </c>
      <c r="AE172" s="23">
        <f>IFERROR(INDEX('Chart of Accounts'!$C$5:$C$3000,MATCH(Z172&amp;"",'Chart of Accounts'!$A$5:$A$3000,0))&amp;"|"&amp;INDEX('Chart of Accounts'!$D$5:$D$3000,MATCH(Z172&amp;"",'Chart of Accounts'!$A$5:$A$3000,0)),"")</f>
        <v/>
      </c>
      <c r="AF172" s="23">
        <f>IF(LEFT(AA172,8)="Revenue|",-N(R172),0)+IF(LEFT(AB172,8)="Revenue|",-N(S172),0)+IF(LEFT(AC172,8)="Revenue|",N(L172),0)+IF(LEFT(AD172,8)="Revenue|",N(U172),0)+IF(LEFT(AE172,8)="Revenue|",N(T172),0)</f>
        <v/>
      </c>
      <c r="AG172" s="23">
        <f>IF(LEFT(AA172,5)="COGS|",N(R172),0)+IF(LEFT(AB172,5)="COGS|",N(S172),0)+IF(LEFT(AC172,5)="COGS|",-N(L172),0)+IF(LEFT(AD172,5)="COGS|",-N(U172),0)+IF(LEFT(AE172,5)="COGS|",-N(T172),0)</f>
        <v/>
      </c>
      <c r="AH172" s="23">
        <f>IF(LEFT(AA172,8)="Expense|",N(R172),0)+IF(LEFT(AB172,8)="Expense|",N(S172),0)+IF(LEFT(AC172,8)="Expense|",-N(L172),0)+IF(LEFT(AD172,8)="Expense|",-N(U172),0)+IF(LEFT(AE172,8)="Expense|",-N(T172),0)</f>
        <v/>
      </c>
      <c r="AI172" s="23">
        <f>IF(ISNUMBER(MATCH(AA172,{"Expense|employee","Expense|general_admin","Expense|marketing","Expense|utilities","Expense|other_operating"},0)),N(R172),0)+IF(ISNUMBER(MATCH(AB172,{"Expense|employee","Expense|general_admin","Expense|marketing","Expense|utilities","Expense|other_operating"},0)),N(S172),0)+IF(ISNUMBER(MATCH(AC172,{"Expense|employee","Expense|general_admin","Expense|marketing","Expense|utilities","Expense|other_operating"},0)),-N(L172),0)+IF(ISNUMBER(MATCH(AD172,{"Expense|employee","Expense|general_admin","Expense|marketing","Expense|utilities","Expense|other_operating"},0)),-N(U172),0)+IF(ISNUMBER(MATCH(AE172,{"Expense|employee","Expense|general_admin","Expense|marketing","Expense|utilities","Expense|other_operating"},0)),-N(T172),0)</f>
        <v/>
      </c>
      <c r="AJ172" s="23">
        <f>IF(AA172="Liability|payable",-N(R172),0)+IF(AB172="Liability|payable",-N(S172),0)+IF(AC172="Liability|payable",N(L172),0)+IF(AD172="Liability|payable",N(U172),0)+IF(AE172="Liability|payable",N(T172),0)</f>
        <v/>
      </c>
      <c r="AK172" s="23">
        <f>IF(AA172="Liability|accrued",-N(R172),0)+IF(AB172="Liability|accrued",-N(S172),0)+IF(AC172="Liability|accrued",N(L172),0)+IF(AD172="Liability|accrued",N(U172),0)+IF(AE172="Liability|accrued",N(T172),0)</f>
        <v/>
      </c>
      <c r="AL172" s="23">
        <f>IF(AND(N(R172)&lt;&gt;0,AA172=""),1,0)+IF(AND(N(S172)&lt;&gt;0,AB172=""),1,0)+IF(AND(N(L172)&lt;&gt;0,AC172=""),1,0)+IF(AND(N(U172)&lt;&gt;0,AD172=""),1,0)+IF(AND(N(T172)&lt;&gt;0,AE172=""),1,0)</f>
        <v/>
      </c>
    </row>
    <row r="173">
      <c r="A173" s="19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20" t="n"/>
      <c r="K173" s="20" t="n"/>
      <c r="L173" s="20" t="n"/>
      <c r="M173" s="14" t="n"/>
      <c r="N173" s="14" t="n"/>
      <c r="O173" s="14" t="n"/>
      <c r="P173" s="14" t="n"/>
      <c r="Q173" s="14" t="n"/>
      <c r="R173" s="21">
        <f>ROUND(N(H173)*N(J173)-N(K173),2)</f>
        <v/>
      </c>
      <c r="S173" s="21">
        <f>ROUND(R173*IFERROR(VLOOKUP(P173,'Tax Codes'!$A$5:$E$300,5,FALSE),0),2)</f>
        <v/>
      </c>
      <c r="T173" s="21">
        <f>ROUND(R173*IFERROR(VLOOKUP(Q173,'Tax Codes'!$A$5:$E$300,5,FALSE),0),2)</f>
        <v/>
      </c>
      <c r="U173" s="21">
        <f>R173+S173-T173-N(L173)</f>
        <v/>
      </c>
      <c r="V173" s="16">
        <f>IF(C173="",INDEX('Chart of Accounts'!$A$5:$A$3000,MATCH("materials",'Chart of Accounts'!$F$5:$F$3000,0)),C173&amp;"")</f>
        <v/>
      </c>
      <c r="W173" s="16">
        <f>IF(N173="",INDEX('Chart of Accounts'!$A$5:$A$3000,MATCH("bank",'Chart of Accounts'!$F$5:$F$3000,0)),N173&amp;"")</f>
        <v/>
      </c>
      <c r="X173" s="16">
        <f>IF(O173="",INDEX('Chart of Accounts'!$A$5:$A$3000,MATCH("ap",'Chart of Accounts'!$F$5:$F$3000,0)),O173&amp;"")</f>
        <v/>
      </c>
      <c r="Y173" s="16">
        <f>INDEX('Chart of Accounts'!$A$5:$A$3000,MATCH("vat_input",'Chart of Accounts'!$F$5:$F$3000,0))</f>
        <v/>
      </c>
      <c r="Z173" s="16">
        <f>INDEX('Chart of Accounts'!$A$5:$A$3000,MATCH("wht_payable",'Chart of Accounts'!$F$5:$F$3000,0))</f>
        <v/>
      </c>
      <c r="AA173" s="23">
        <f>IFERROR(INDEX('Chart of Accounts'!$C$5:$C$3000,MATCH(V173&amp;"",'Chart of Accounts'!$A$5:$A$3000,0))&amp;"|"&amp;INDEX('Chart of Accounts'!$D$5:$D$3000,MATCH(V173&amp;"",'Chart of Accounts'!$A$5:$A$3000,0)),"")</f>
        <v/>
      </c>
      <c r="AB173" s="23">
        <f>IFERROR(INDEX('Chart of Accounts'!$C$5:$C$3000,MATCH(Y173&amp;"",'Chart of Accounts'!$A$5:$A$3000,0))&amp;"|"&amp;INDEX('Chart of Accounts'!$D$5:$D$3000,MATCH(Y173&amp;"",'Chart of Accounts'!$A$5:$A$3000,0)),"")</f>
        <v/>
      </c>
      <c r="AC173" s="23">
        <f>IFERROR(INDEX('Chart of Accounts'!$C$5:$C$3000,MATCH(W173&amp;"",'Chart of Accounts'!$A$5:$A$3000,0))&amp;"|"&amp;INDEX('Chart of Accounts'!$D$5:$D$3000,MATCH(W173&amp;"",'Chart of Accounts'!$A$5:$A$3000,0)),"")</f>
        <v/>
      </c>
      <c r="AD173" s="23">
        <f>IFERROR(INDEX('Chart of Accounts'!$C$5:$C$3000,MATCH(X173&amp;"",'Chart of Accounts'!$A$5:$A$3000,0))&amp;"|"&amp;INDEX('Chart of Accounts'!$D$5:$D$3000,MATCH(X173&amp;"",'Chart of Accounts'!$A$5:$A$3000,0)),"")</f>
        <v/>
      </c>
      <c r="AE173" s="23">
        <f>IFERROR(INDEX('Chart of Accounts'!$C$5:$C$3000,MATCH(Z173&amp;"",'Chart of Accounts'!$A$5:$A$3000,0))&amp;"|"&amp;INDEX('Chart of Accounts'!$D$5:$D$3000,MATCH(Z173&amp;"",'Chart of Accounts'!$A$5:$A$3000,0)),"")</f>
        <v/>
      </c>
      <c r="AF173" s="23">
        <f>IF(LEFT(AA173,8)="Revenue|",-N(R173),0)+IF(LEFT(AB173,8)="Revenue|",-N(S173),0)+IF(LEFT(AC173,8)="Revenue|",N(L173),0)+IF(LEFT(AD173,8)="Revenue|",N(U173),0)+IF(LEFT(AE173,8)="Revenue|",N(T173),0)</f>
        <v/>
      </c>
      <c r="AG173" s="23">
        <f>IF(LEFT(AA173,5)="COGS|",N(R173),0)+IF(LEFT(AB173,5)="COGS|",N(S173),0)+IF(LEFT(AC173,5)="COGS|",-N(L173),0)+IF(LEFT(AD173,5)="COGS|",-N(U173),0)+IF(LEFT(AE173,5)="COGS|",-N(T173),0)</f>
        <v/>
      </c>
      <c r="AH173" s="23">
        <f>IF(LEFT(AA173,8)="Expense|",N(R173),0)+IF(LEFT(AB173,8)="Expense|",N(S173),0)+IF(LEFT(AC173,8)="Expense|",-N(L173),0)+IF(LEFT(AD173,8)="Expense|",-N(U173),0)+IF(LEFT(AE173,8)="Expense|",-N(T173),0)</f>
        <v/>
      </c>
      <c r="AI173" s="23">
        <f>IF(ISNUMBER(MATCH(AA173,{"Expense|employee","Expense|general_admin","Expense|marketing","Expense|utilities","Expense|other_operating"},0)),N(R173),0)+IF(ISNUMBER(MATCH(AB173,{"Expense|employee","Expense|general_admin","Expense|marketing","Expense|utilities","Expense|other_operating"},0)),N(S173),0)+IF(ISNUMBER(MATCH(AC173,{"Expense|employee","Expense|general_admin","Expense|marketing","Expense|utilities","Expense|other_operating"},0)),-N(L173),0)+IF(ISNUMBER(MATCH(AD173,{"Expense|employee","Expense|general_admin","Expense|marketing","Expense|utilities","Expense|other_operating"},0)),-N(U173),0)+IF(ISNUMBER(MATCH(AE173,{"Expense|employee","Expense|general_admin","Expense|marketing","Expense|utilities","Expense|other_operating"},0)),-N(T173),0)</f>
        <v/>
      </c>
      <c r="AJ173" s="23">
        <f>IF(AA173="Liability|payable",-N(R173),0)+IF(AB173="Liability|payable",-N(S173),0)+IF(AC173="Liability|payable",N(L173),0)+IF(AD173="Liability|payable",N(U173),0)+IF(AE173="Liability|payable",N(T173),0)</f>
        <v/>
      </c>
      <c r="AK173" s="23">
        <f>IF(AA173="Liability|accrued",-N(R173),0)+IF(AB173="Liability|accrued",-N(S173),0)+IF(AC173="Liability|accrued",N(L173),0)+IF(AD173="Liability|accrued",N(U173),0)+IF(AE173="Liability|accrued",N(T173),0)</f>
        <v/>
      </c>
      <c r="AL173" s="23">
        <f>IF(AND(N(R173)&lt;&gt;0,AA173=""),1,0)+IF(AND(N(S173)&lt;&gt;0,AB173=""),1,0)+IF(AND(N(L173)&lt;&gt;0,AC173=""),1,0)+IF(AND(N(U173)&lt;&gt;0,AD173=""),1,0)+IF(AND(N(T173)&lt;&gt;0,AE173=""),1,0)</f>
        <v/>
      </c>
    </row>
    <row r="174">
      <c r="A174" s="19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20" t="n"/>
      <c r="K174" s="20" t="n"/>
      <c r="L174" s="20" t="n"/>
      <c r="M174" s="14" t="n"/>
      <c r="N174" s="14" t="n"/>
      <c r="O174" s="14" t="n"/>
      <c r="P174" s="14" t="n"/>
      <c r="Q174" s="14" t="n"/>
      <c r="R174" s="21">
        <f>ROUND(N(H174)*N(J174)-N(K174),2)</f>
        <v/>
      </c>
      <c r="S174" s="21">
        <f>ROUND(R174*IFERROR(VLOOKUP(P174,'Tax Codes'!$A$5:$E$300,5,FALSE),0),2)</f>
        <v/>
      </c>
      <c r="T174" s="21">
        <f>ROUND(R174*IFERROR(VLOOKUP(Q174,'Tax Codes'!$A$5:$E$300,5,FALSE),0),2)</f>
        <v/>
      </c>
      <c r="U174" s="21">
        <f>R174+S174-T174-N(L174)</f>
        <v/>
      </c>
      <c r="V174" s="16">
        <f>IF(C174="",INDEX('Chart of Accounts'!$A$5:$A$3000,MATCH("materials",'Chart of Accounts'!$F$5:$F$3000,0)),C174&amp;"")</f>
        <v/>
      </c>
      <c r="W174" s="16">
        <f>IF(N174="",INDEX('Chart of Accounts'!$A$5:$A$3000,MATCH("bank",'Chart of Accounts'!$F$5:$F$3000,0)),N174&amp;"")</f>
        <v/>
      </c>
      <c r="X174" s="16">
        <f>IF(O174="",INDEX('Chart of Accounts'!$A$5:$A$3000,MATCH("ap",'Chart of Accounts'!$F$5:$F$3000,0)),O174&amp;"")</f>
        <v/>
      </c>
      <c r="Y174" s="16">
        <f>INDEX('Chart of Accounts'!$A$5:$A$3000,MATCH("vat_input",'Chart of Accounts'!$F$5:$F$3000,0))</f>
        <v/>
      </c>
      <c r="Z174" s="16">
        <f>INDEX('Chart of Accounts'!$A$5:$A$3000,MATCH("wht_payable",'Chart of Accounts'!$F$5:$F$3000,0))</f>
        <v/>
      </c>
      <c r="AA174" s="23">
        <f>IFERROR(INDEX('Chart of Accounts'!$C$5:$C$3000,MATCH(V174&amp;"",'Chart of Accounts'!$A$5:$A$3000,0))&amp;"|"&amp;INDEX('Chart of Accounts'!$D$5:$D$3000,MATCH(V174&amp;"",'Chart of Accounts'!$A$5:$A$3000,0)),"")</f>
        <v/>
      </c>
      <c r="AB174" s="23">
        <f>IFERROR(INDEX('Chart of Accounts'!$C$5:$C$3000,MATCH(Y174&amp;"",'Chart of Accounts'!$A$5:$A$3000,0))&amp;"|"&amp;INDEX('Chart of Accounts'!$D$5:$D$3000,MATCH(Y174&amp;"",'Chart of Accounts'!$A$5:$A$3000,0)),"")</f>
        <v/>
      </c>
      <c r="AC174" s="23">
        <f>IFERROR(INDEX('Chart of Accounts'!$C$5:$C$3000,MATCH(W174&amp;"",'Chart of Accounts'!$A$5:$A$3000,0))&amp;"|"&amp;INDEX('Chart of Accounts'!$D$5:$D$3000,MATCH(W174&amp;"",'Chart of Accounts'!$A$5:$A$3000,0)),"")</f>
        <v/>
      </c>
      <c r="AD174" s="23">
        <f>IFERROR(INDEX('Chart of Accounts'!$C$5:$C$3000,MATCH(X174&amp;"",'Chart of Accounts'!$A$5:$A$3000,0))&amp;"|"&amp;INDEX('Chart of Accounts'!$D$5:$D$3000,MATCH(X174&amp;"",'Chart of Accounts'!$A$5:$A$3000,0)),"")</f>
        <v/>
      </c>
      <c r="AE174" s="23">
        <f>IFERROR(INDEX('Chart of Accounts'!$C$5:$C$3000,MATCH(Z174&amp;"",'Chart of Accounts'!$A$5:$A$3000,0))&amp;"|"&amp;INDEX('Chart of Accounts'!$D$5:$D$3000,MATCH(Z174&amp;"",'Chart of Accounts'!$A$5:$A$3000,0)),"")</f>
        <v/>
      </c>
      <c r="AF174" s="23">
        <f>IF(LEFT(AA174,8)="Revenue|",-N(R174),0)+IF(LEFT(AB174,8)="Revenue|",-N(S174),0)+IF(LEFT(AC174,8)="Revenue|",N(L174),0)+IF(LEFT(AD174,8)="Revenue|",N(U174),0)+IF(LEFT(AE174,8)="Revenue|",N(T174),0)</f>
        <v/>
      </c>
      <c r="AG174" s="23">
        <f>IF(LEFT(AA174,5)="COGS|",N(R174),0)+IF(LEFT(AB174,5)="COGS|",N(S174),0)+IF(LEFT(AC174,5)="COGS|",-N(L174),0)+IF(LEFT(AD174,5)="COGS|",-N(U174),0)+IF(LEFT(AE174,5)="COGS|",-N(T174),0)</f>
        <v/>
      </c>
      <c r="AH174" s="23">
        <f>IF(LEFT(AA174,8)="Expense|",N(R174),0)+IF(LEFT(AB174,8)="Expense|",N(S174),0)+IF(LEFT(AC174,8)="Expense|",-N(L174),0)+IF(LEFT(AD174,8)="Expense|",-N(U174),0)+IF(LEFT(AE174,8)="Expense|",-N(T174),0)</f>
        <v/>
      </c>
      <c r="AI174" s="23">
        <f>IF(ISNUMBER(MATCH(AA174,{"Expense|employee","Expense|general_admin","Expense|marketing","Expense|utilities","Expense|other_operating"},0)),N(R174),0)+IF(ISNUMBER(MATCH(AB174,{"Expense|employee","Expense|general_admin","Expense|marketing","Expense|utilities","Expense|other_operating"},0)),N(S174),0)+IF(ISNUMBER(MATCH(AC174,{"Expense|employee","Expense|general_admin","Expense|marketing","Expense|utilities","Expense|other_operating"},0)),-N(L174),0)+IF(ISNUMBER(MATCH(AD174,{"Expense|employee","Expense|general_admin","Expense|marketing","Expense|utilities","Expense|other_operating"},0)),-N(U174),0)+IF(ISNUMBER(MATCH(AE174,{"Expense|employee","Expense|general_admin","Expense|marketing","Expense|utilities","Expense|other_operating"},0)),-N(T174),0)</f>
        <v/>
      </c>
      <c r="AJ174" s="23">
        <f>IF(AA174="Liability|payable",-N(R174),0)+IF(AB174="Liability|payable",-N(S174),0)+IF(AC174="Liability|payable",N(L174),0)+IF(AD174="Liability|payable",N(U174),0)+IF(AE174="Liability|payable",N(T174),0)</f>
        <v/>
      </c>
      <c r="AK174" s="23">
        <f>IF(AA174="Liability|accrued",-N(R174),0)+IF(AB174="Liability|accrued",-N(S174),0)+IF(AC174="Liability|accrued",N(L174),0)+IF(AD174="Liability|accrued",N(U174),0)+IF(AE174="Liability|accrued",N(T174),0)</f>
        <v/>
      </c>
      <c r="AL174" s="23">
        <f>IF(AND(N(R174)&lt;&gt;0,AA174=""),1,0)+IF(AND(N(S174)&lt;&gt;0,AB174=""),1,0)+IF(AND(N(L174)&lt;&gt;0,AC174=""),1,0)+IF(AND(N(U174)&lt;&gt;0,AD174=""),1,0)+IF(AND(N(T174)&lt;&gt;0,AE174=""),1,0)</f>
        <v/>
      </c>
    </row>
    <row r="175">
      <c r="A175" s="19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20" t="n"/>
      <c r="K175" s="20" t="n"/>
      <c r="L175" s="20" t="n"/>
      <c r="M175" s="14" t="n"/>
      <c r="N175" s="14" t="n"/>
      <c r="O175" s="14" t="n"/>
      <c r="P175" s="14" t="n"/>
      <c r="Q175" s="14" t="n"/>
      <c r="R175" s="21">
        <f>ROUND(N(H175)*N(J175)-N(K175),2)</f>
        <v/>
      </c>
      <c r="S175" s="21">
        <f>ROUND(R175*IFERROR(VLOOKUP(P175,'Tax Codes'!$A$5:$E$300,5,FALSE),0),2)</f>
        <v/>
      </c>
      <c r="T175" s="21">
        <f>ROUND(R175*IFERROR(VLOOKUP(Q175,'Tax Codes'!$A$5:$E$300,5,FALSE),0),2)</f>
        <v/>
      </c>
      <c r="U175" s="21">
        <f>R175+S175-T175-N(L175)</f>
        <v/>
      </c>
      <c r="V175" s="16">
        <f>IF(C175="",INDEX('Chart of Accounts'!$A$5:$A$3000,MATCH("materials",'Chart of Accounts'!$F$5:$F$3000,0)),C175&amp;"")</f>
        <v/>
      </c>
      <c r="W175" s="16">
        <f>IF(N175="",INDEX('Chart of Accounts'!$A$5:$A$3000,MATCH("bank",'Chart of Accounts'!$F$5:$F$3000,0)),N175&amp;"")</f>
        <v/>
      </c>
      <c r="X175" s="16">
        <f>IF(O175="",INDEX('Chart of Accounts'!$A$5:$A$3000,MATCH("ap",'Chart of Accounts'!$F$5:$F$3000,0)),O175&amp;"")</f>
        <v/>
      </c>
      <c r="Y175" s="16">
        <f>INDEX('Chart of Accounts'!$A$5:$A$3000,MATCH("vat_input",'Chart of Accounts'!$F$5:$F$3000,0))</f>
        <v/>
      </c>
      <c r="Z175" s="16">
        <f>INDEX('Chart of Accounts'!$A$5:$A$3000,MATCH("wht_payable",'Chart of Accounts'!$F$5:$F$3000,0))</f>
        <v/>
      </c>
      <c r="AA175" s="23">
        <f>IFERROR(INDEX('Chart of Accounts'!$C$5:$C$3000,MATCH(V175&amp;"",'Chart of Accounts'!$A$5:$A$3000,0))&amp;"|"&amp;INDEX('Chart of Accounts'!$D$5:$D$3000,MATCH(V175&amp;"",'Chart of Accounts'!$A$5:$A$3000,0)),"")</f>
        <v/>
      </c>
      <c r="AB175" s="23">
        <f>IFERROR(INDEX('Chart of Accounts'!$C$5:$C$3000,MATCH(Y175&amp;"",'Chart of Accounts'!$A$5:$A$3000,0))&amp;"|"&amp;INDEX('Chart of Accounts'!$D$5:$D$3000,MATCH(Y175&amp;"",'Chart of Accounts'!$A$5:$A$3000,0)),"")</f>
        <v/>
      </c>
      <c r="AC175" s="23">
        <f>IFERROR(INDEX('Chart of Accounts'!$C$5:$C$3000,MATCH(W175&amp;"",'Chart of Accounts'!$A$5:$A$3000,0))&amp;"|"&amp;INDEX('Chart of Accounts'!$D$5:$D$3000,MATCH(W175&amp;"",'Chart of Accounts'!$A$5:$A$3000,0)),"")</f>
        <v/>
      </c>
      <c r="AD175" s="23">
        <f>IFERROR(INDEX('Chart of Accounts'!$C$5:$C$3000,MATCH(X175&amp;"",'Chart of Accounts'!$A$5:$A$3000,0))&amp;"|"&amp;INDEX('Chart of Accounts'!$D$5:$D$3000,MATCH(X175&amp;"",'Chart of Accounts'!$A$5:$A$3000,0)),"")</f>
        <v/>
      </c>
      <c r="AE175" s="23">
        <f>IFERROR(INDEX('Chart of Accounts'!$C$5:$C$3000,MATCH(Z175&amp;"",'Chart of Accounts'!$A$5:$A$3000,0))&amp;"|"&amp;INDEX('Chart of Accounts'!$D$5:$D$3000,MATCH(Z175&amp;"",'Chart of Accounts'!$A$5:$A$3000,0)),"")</f>
        <v/>
      </c>
      <c r="AF175" s="23">
        <f>IF(LEFT(AA175,8)="Revenue|",-N(R175),0)+IF(LEFT(AB175,8)="Revenue|",-N(S175),0)+IF(LEFT(AC175,8)="Revenue|",N(L175),0)+IF(LEFT(AD175,8)="Revenue|",N(U175),0)+IF(LEFT(AE175,8)="Revenue|",N(T175),0)</f>
        <v/>
      </c>
      <c r="AG175" s="23">
        <f>IF(LEFT(AA175,5)="COGS|",N(R175),0)+IF(LEFT(AB175,5)="COGS|",N(S175),0)+IF(LEFT(AC175,5)="COGS|",-N(L175),0)+IF(LEFT(AD175,5)="COGS|",-N(U175),0)+IF(LEFT(AE175,5)="COGS|",-N(T175),0)</f>
        <v/>
      </c>
      <c r="AH175" s="23">
        <f>IF(LEFT(AA175,8)="Expense|",N(R175),0)+IF(LEFT(AB175,8)="Expense|",N(S175),0)+IF(LEFT(AC175,8)="Expense|",-N(L175),0)+IF(LEFT(AD175,8)="Expense|",-N(U175),0)+IF(LEFT(AE175,8)="Expense|",-N(T175),0)</f>
        <v/>
      </c>
      <c r="AI175" s="23">
        <f>IF(ISNUMBER(MATCH(AA175,{"Expense|employee","Expense|general_admin","Expense|marketing","Expense|utilities","Expense|other_operating"},0)),N(R175),0)+IF(ISNUMBER(MATCH(AB175,{"Expense|employee","Expense|general_admin","Expense|marketing","Expense|utilities","Expense|other_operating"},0)),N(S175),0)+IF(ISNUMBER(MATCH(AC175,{"Expense|employee","Expense|general_admin","Expense|marketing","Expense|utilities","Expense|other_operating"},0)),-N(L175),0)+IF(ISNUMBER(MATCH(AD175,{"Expense|employee","Expense|general_admin","Expense|marketing","Expense|utilities","Expense|other_operating"},0)),-N(U175),0)+IF(ISNUMBER(MATCH(AE175,{"Expense|employee","Expense|general_admin","Expense|marketing","Expense|utilities","Expense|other_operating"},0)),-N(T175),0)</f>
        <v/>
      </c>
      <c r="AJ175" s="23">
        <f>IF(AA175="Liability|payable",-N(R175),0)+IF(AB175="Liability|payable",-N(S175),0)+IF(AC175="Liability|payable",N(L175),0)+IF(AD175="Liability|payable",N(U175),0)+IF(AE175="Liability|payable",N(T175),0)</f>
        <v/>
      </c>
      <c r="AK175" s="23">
        <f>IF(AA175="Liability|accrued",-N(R175),0)+IF(AB175="Liability|accrued",-N(S175),0)+IF(AC175="Liability|accrued",N(L175),0)+IF(AD175="Liability|accrued",N(U175),0)+IF(AE175="Liability|accrued",N(T175),0)</f>
        <v/>
      </c>
      <c r="AL175" s="23">
        <f>IF(AND(N(R175)&lt;&gt;0,AA175=""),1,0)+IF(AND(N(S175)&lt;&gt;0,AB175=""),1,0)+IF(AND(N(L175)&lt;&gt;0,AC175=""),1,0)+IF(AND(N(U175)&lt;&gt;0,AD175=""),1,0)+IF(AND(N(T175)&lt;&gt;0,AE175=""),1,0)</f>
        <v/>
      </c>
    </row>
    <row r="176">
      <c r="A176" s="19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20" t="n"/>
      <c r="K176" s="20" t="n"/>
      <c r="L176" s="20" t="n"/>
      <c r="M176" s="14" t="n"/>
      <c r="N176" s="14" t="n"/>
      <c r="O176" s="14" t="n"/>
      <c r="P176" s="14" t="n"/>
      <c r="Q176" s="14" t="n"/>
      <c r="R176" s="21">
        <f>ROUND(N(H176)*N(J176)-N(K176),2)</f>
        <v/>
      </c>
      <c r="S176" s="21">
        <f>ROUND(R176*IFERROR(VLOOKUP(P176,'Tax Codes'!$A$5:$E$300,5,FALSE),0),2)</f>
        <v/>
      </c>
      <c r="T176" s="21">
        <f>ROUND(R176*IFERROR(VLOOKUP(Q176,'Tax Codes'!$A$5:$E$300,5,FALSE),0),2)</f>
        <v/>
      </c>
      <c r="U176" s="21">
        <f>R176+S176-T176-N(L176)</f>
        <v/>
      </c>
      <c r="V176" s="16">
        <f>IF(C176="",INDEX('Chart of Accounts'!$A$5:$A$3000,MATCH("materials",'Chart of Accounts'!$F$5:$F$3000,0)),C176&amp;"")</f>
        <v/>
      </c>
      <c r="W176" s="16">
        <f>IF(N176="",INDEX('Chart of Accounts'!$A$5:$A$3000,MATCH("bank",'Chart of Accounts'!$F$5:$F$3000,0)),N176&amp;"")</f>
        <v/>
      </c>
      <c r="X176" s="16">
        <f>IF(O176="",INDEX('Chart of Accounts'!$A$5:$A$3000,MATCH("ap",'Chart of Accounts'!$F$5:$F$3000,0)),O176&amp;"")</f>
        <v/>
      </c>
      <c r="Y176" s="16">
        <f>INDEX('Chart of Accounts'!$A$5:$A$3000,MATCH("vat_input",'Chart of Accounts'!$F$5:$F$3000,0))</f>
        <v/>
      </c>
      <c r="Z176" s="16">
        <f>INDEX('Chart of Accounts'!$A$5:$A$3000,MATCH("wht_payable",'Chart of Accounts'!$F$5:$F$3000,0))</f>
        <v/>
      </c>
      <c r="AA176" s="23">
        <f>IFERROR(INDEX('Chart of Accounts'!$C$5:$C$3000,MATCH(V176&amp;"",'Chart of Accounts'!$A$5:$A$3000,0))&amp;"|"&amp;INDEX('Chart of Accounts'!$D$5:$D$3000,MATCH(V176&amp;"",'Chart of Accounts'!$A$5:$A$3000,0)),"")</f>
        <v/>
      </c>
      <c r="AB176" s="23">
        <f>IFERROR(INDEX('Chart of Accounts'!$C$5:$C$3000,MATCH(Y176&amp;"",'Chart of Accounts'!$A$5:$A$3000,0))&amp;"|"&amp;INDEX('Chart of Accounts'!$D$5:$D$3000,MATCH(Y176&amp;"",'Chart of Accounts'!$A$5:$A$3000,0)),"")</f>
        <v/>
      </c>
      <c r="AC176" s="23">
        <f>IFERROR(INDEX('Chart of Accounts'!$C$5:$C$3000,MATCH(W176&amp;"",'Chart of Accounts'!$A$5:$A$3000,0))&amp;"|"&amp;INDEX('Chart of Accounts'!$D$5:$D$3000,MATCH(W176&amp;"",'Chart of Accounts'!$A$5:$A$3000,0)),"")</f>
        <v/>
      </c>
      <c r="AD176" s="23">
        <f>IFERROR(INDEX('Chart of Accounts'!$C$5:$C$3000,MATCH(X176&amp;"",'Chart of Accounts'!$A$5:$A$3000,0))&amp;"|"&amp;INDEX('Chart of Accounts'!$D$5:$D$3000,MATCH(X176&amp;"",'Chart of Accounts'!$A$5:$A$3000,0)),"")</f>
        <v/>
      </c>
      <c r="AE176" s="23">
        <f>IFERROR(INDEX('Chart of Accounts'!$C$5:$C$3000,MATCH(Z176&amp;"",'Chart of Accounts'!$A$5:$A$3000,0))&amp;"|"&amp;INDEX('Chart of Accounts'!$D$5:$D$3000,MATCH(Z176&amp;"",'Chart of Accounts'!$A$5:$A$3000,0)),"")</f>
        <v/>
      </c>
      <c r="AF176" s="23">
        <f>IF(LEFT(AA176,8)="Revenue|",-N(R176),0)+IF(LEFT(AB176,8)="Revenue|",-N(S176),0)+IF(LEFT(AC176,8)="Revenue|",N(L176),0)+IF(LEFT(AD176,8)="Revenue|",N(U176),0)+IF(LEFT(AE176,8)="Revenue|",N(T176),0)</f>
        <v/>
      </c>
      <c r="AG176" s="23">
        <f>IF(LEFT(AA176,5)="COGS|",N(R176),0)+IF(LEFT(AB176,5)="COGS|",N(S176),0)+IF(LEFT(AC176,5)="COGS|",-N(L176),0)+IF(LEFT(AD176,5)="COGS|",-N(U176),0)+IF(LEFT(AE176,5)="COGS|",-N(T176),0)</f>
        <v/>
      </c>
      <c r="AH176" s="23">
        <f>IF(LEFT(AA176,8)="Expense|",N(R176),0)+IF(LEFT(AB176,8)="Expense|",N(S176),0)+IF(LEFT(AC176,8)="Expense|",-N(L176),0)+IF(LEFT(AD176,8)="Expense|",-N(U176),0)+IF(LEFT(AE176,8)="Expense|",-N(T176),0)</f>
        <v/>
      </c>
      <c r="AI176" s="23">
        <f>IF(ISNUMBER(MATCH(AA176,{"Expense|employee","Expense|general_admin","Expense|marketing","Expense|utilities","Expense|other_operating"},0)),N(R176),0)+IF(ISNUMBER(MATCH(AB176,{"Expense|employee","Expense|general_admin","Expense|marketing","Expense|utilities","Expense|other_operating"},0)),N(S176),0)+IF(ISNUMBER(MATCH(AC176,{"Expense|employee","Expense|general_admin","Expense|marketing","Expense|utilities","Expense|other_operating"},0)),-N(L176),0)+IF(ISNUMBER(MATCH(AD176,{"Expense|employee","Expense|general_admin","Expense|marketing","Expense|utilities","Expense|other_operating"},0)),-N(U176),0)+IF(ISNUMBER(MATCH(AE176,{"Expense|employee","Expense|general_admin","Expense|marketing","Expense|utilities","Expense|other_operating"},0)),-N(T176),0)</f>
        <v/>
      </c>
      <c r="AJ176" s="23">
        <f>IF(AA176="Liability|payable",-N(R176),0)+IF(AB176="Liability|payable",-N(S176),0)+IF(AC176="Liability|payable",N(L176),0)+IF(AD176="Liability|payable",N(U176),0)+IF(AE176="Liability|payable",N(T176),0)</f>
        <v/>
      </c>
      <c r="AK176" s="23">
        <f>IF(AA176="Liability|accrued",-N(R176),0)+IF(AB176="Liability|accrued",-N(S176),0)+IF(AC176="Liability|accrued",N(L176),0)+IF(AD176="Liability|accrued",N(U176),0)+IF(AE176="Liability|accrued",N(T176),0)</f>
        <v/>
      </c>
      <c r="AL176" s="23">
        <f>IF(AND(N(R176)&lt;&gt;0,AA176=""),1,0)+IF(AND(N(S176)&lt;&gt;0,AB176=""),1,0)+IF(AND(N(L176)&lt;&gt;0,AC176=""),1,0)+IF(AND(N(U176)&lt;&gt;0,AD176=""),1,0)+IF(AND(N(T176)&lt;&gt;0,AE176=""),1,0)</f>
        <v/>
      </c>
    </row>
    <row r="177">
      <c r="A177" s="19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20" t="n"/>
      <c r="K177" s="20" t="n"/>
      <c r="L177" s="20" t="n"/>
      <c r="M177" s="14" t="n"/>
      <c r="N177" s="14" t="n"/>
      <c r="O177" s="14" t="n"/>
      <c r="P177" s="14" t="n"/>
      <c r="Q177" s="14" t="n"/>
      <c r="R177" s="21">
        <f>ROUND(N(H177)*N(J177)-N(K177),2)</f>
        <v/>
      </c>
      <c r="S177" s="21">
        <f>ROUND(R177*IFERROR(VLOOKUP(P177,'Tax Codes'!$A$5:$E$300,5,FALSE),0),2)</f>
        <v/>
      </c>
      <c r="T177" s="21">
        <f>ROUND(R177*IFERROR(VLOOKUP(Q177,'Tax Codes'!$A$5:$E$300,5,FALSE),0),2)</f>
        <v/>
      </c>
      <c r="U177" s="21">
        <f>R177+S177-T177-N(L177)</f>
        <v/>
      </c>
      <c r="V177" s="16">
        <f>IF(C177="",INDEX('Chart of Accounts'!$A$5:$A$3000,MATCH("materials",'Chart of Accounts'!$F$5:$F$3000,0)),C177&amp;"")</f>
        <v/>
      </c>
      <c r="W177" s="16">
        <f>IF(N177="",INDEX('Chart of Accounts'!$A$5:$A$3000,MATCH("bank",'Chart of Accounts'!$F$5:$F$3000,0)),N177&amp;"")</f>
        <v/>
      </c>
      <c r="X177" s="16">
        <f>IF(O177="",INDEX('Chart of Accounts'!$A$5:$A$3000,MATCH("ap",'Chart of Accounts'!$F$5:$F$3000,0)),O177&amp;"")</f>
        <v/>
      </c>
      <c r="Y177" s="16">
        <f>INDEX('Chart of Accounts'!$A$5:$A$3000,MATCH("vat_input",'Chart of Accounts'!$F$5:$F$3000,0))</f>
        <v/>
      </c>
      <c r="Z177" s="16">
        <f>INDEX('Chart of Accounts'!$A$5:$A$3000,MATCH("wht_payable",'Chart of Accounts'!$F$5:$F$3000,0))</f>
        <v/>
      </c>
      <c r="AA177" s="23">
        <f>IFERROR(INDEX('Chart of Accounts'!$C$5:$C$3000,MATCH(V177&amp;"",'Chart of Accounts'!$A$5:$A$3000,0))&amp;"|"&amp;INDEX('Chart of Accounts'!$D$5:$D$3000,MATCH(V177&amp;"",'Chart of Accounts'!$A$5:$A$3000,0)),"")</f>
        <v/>
      </c>
      <c r="AB177" s="23">
        <f>IFERROR(INDEX('Chart of Accounts'!$C$5:$C$3000,MATCH(Y177&amp;"",'Chart of Accounts'!$A$5:$A$3000,0))&amp;"|"&amp;INDEX('Chart of Accounts'!$D$5:$D$3000,MATCH(Y177&amp;"",'Chart of Accounts'!$A$5:$A$3000,0)),"")</f>
        <v/>
      </c>
      <c r="AC177" s="23">
        <f>IFERROR(INDEX('Chart of Accounts'!$C$5:$C$3000,MATCH(W177&amp;"",'Chart of Accounts'!$A$5:$A$3000,0))&amp;"|"&amp;INDEX('Chart of Accounts'!$D$5:$D$3000,MATCH(W177&amp;"",'Chart of Accounts'!$A$5:$A$3000,0)),"")</f>
        <v/>
      </c>
      <c r="AD177" s="23">
        <f>IFERROR(INDEX('Chart of Accounts'!$C$5:$C$3000,MATCH(X177&amp;"",'Chart of Accounts'!$A$5:$A$3000,0))&amp;"|"&amp;INDEX('Chart of Accounts'!$D$5:$D$3000,MATCH(X177&amp;"",'Chart of Accounts'!$A$5:$A$3000,0)),"")</f>
        <v/>
      </c>
      <c r="AE177" s="23">
        <f>IFERROR(INDEX('Chart of Accounts'!$C$5:$C$3000,MATCH(Z177&amp;"",'Chart of Accounts'!$A$5:$A$3000,0))&amp;"|"&amp;INDEX('Chart of Accounts'!$D$5:$D$3000,MATCH(Z177&amp;"",'Chart of Accounts'!$A$5:$A$3000,0)),"")</f>
        <v/>
      </c>
      <c r="AF177" s="23">
        <f>IF(LEFT(AA177,8)="Revenue|",-N(R177),0)+IF(LEFT(AB177,8)="Revenue|",-N(S177),0)+IF(LEFT(AC177,8)="Revenue|",N(L177),0)+IF(LEFT(AD177,8)="Revenue|",N(U177),0)+IF(LEFT(AE177,8)="Revenue|",N(T177),0)</f>
        <v/>
      </c>
      <c r="AG177" s="23">
        <f>IF(LEFT(AA177,5)="COGS|",N(R177),0)+IF(LEFT(AB177,5)="COGS|",N(S177),0)+IF(LEFT(AC177,5)="COGS|",-N(L177),0)+IF(LEFT(AD177,5)="COGS|",-N(U177),0)+IF(LEFT(AE177,5)="COGS|",-N(T177),0)</f>
        <v/>
      </c>
      <c r="AH177" s="23">
        <f>IF(LEFT(AA177,8)="Expense|",N(R177),0)+IF(LEFT(AB177,8)="Expense|",N(S177),0)+IF(LEFT(AC177,8)="Expense|",-N(L177),0)+IF(LEFT(AD177,8)="Expense|",-N(U177),0)+IF(LEFT(AE177,8)="Expense|",-N(T177),0)</f>
        <v/>
      </c>
      <c r="AI177" s="23">
        <f>IF(ISNUMBER(MATCH(AA177,{"Expense|employee","Expense|general_admin","Expense|marketing","Expense|utilities","Expense|other_operating"},0)),N(R177),0)+IF(ISNUMBER(MATCH(AB177,{"Expense|employee","Expense|general_admin","Expense|marketing","Expense|utilities","Expense|other_operating"},0)),N(S177),0)+IF(ISNUMBER(MATCH(AC177,{"Expense|employee","Expense|general_admin","Expense|marketing","Expense|utilities","Expense|other_operating"},0)),-N(L177),0)+IF(ISNUMBER(MATCH(AD177,{"Expense|employee","Expense|general_admin","Expense|marketing","Expense|utilities","Expense|other_operating"},0)),-N(U177),0)+IF(ISNUMBER(MATCH(AE177,{"Expense|employee","Expense|general_admin","Expense|marketing","Expense|utilities","Expense|other_operating"},0)),-N(T177),0)</f>
        <v/>
      </c>
      <c r="AJ177" s="23">
        <f>IF(AA177="Liability|payable",-N(R177),0)+IF(AB177="Liability|payable",-N(S177),0)+IF(AC177="Liability|payable",N(L177),0)+IF(AD177="Liability|payable",N(U177),0)+IF(AE177="Liability|payable",N(T177),0)</f>
        <v/>
      </c>
      <c r="AK177" s="23">
        <f>IF(AA177="Liability|accrued",-N(R177),0)+IF(AB177="Liability|accrued",-N(S177),0)+IF(AC177="Liability|accrued",N(L177),0)+IF(AD177="Liability|accrued",N(U177),0)+IF(AE177="Liability|accrued",N(T177),0)</f>
        <v/>
      </c>
      <c r="AL177" s="23">
        <f>IF(AND(N(R177)&lt;&gt;0,AA177=""),1,0)+IF(AND(N(S177)&lt;&gt;0,AB177=""),1,0)+IF(AND(N(L177)&lt;&gt;0,AC177=""),1,0)+IF(AND(N(U177)&lt;&gt;0,AD177=""),1,0)+IF(AND(N(T177)&lt;&gt;0,AE177=""),1,0)</f>
        <v/>
      </c>
    </row>
    <row r="178">
      <c r="A178" s="19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20" t="n"/>
      <c r="K178" s="20" t="n"/>
      <c r="L178" s="20" t="n"/>
      <c r="M178" s="14" t="n"/>
      <c r="N178" s="14" t="n"/>
      <c r="O178" s="14" t="n"/>
      <c r="P178" s="14" t="n"/>
      <c r="Q178" s="14" t="n"/>
      <c r="R178" s="21">
        <f>ROUND(N(H178)*N(J178)-N(K178),2)</f>
        <v/>
      </c>
      <c r="S178" s="21">
        <f>ROUND(R178*IFERROR(VLOOKUP(P178,'Tax Codes'!$A$5:$E$300,5,FALSE),0),2)</f>
        <v/>
      </c>
      <c r="T178" s="21">
        <f>ROUND(R178*IFERROR(VLOOKUP(Q178,'Tax Codes'!$A$5:$E$300,5,FALSE),0),2)</f>
        <v/>
      </c>
      <c r="U178" s="21">
        <f>R178+S178-T178-N(L178)</f>
        <v/>
      </c>
      <c r="V178" s="16">
        <f>IF(C178="",INDEX('Chart of Accounts'!$A$5:$A$3000,MATCH("materials",'Chart of Accounts'!$F$5:$F$3000,0)),C178&amp;"")</f>
        <v/>
      </c>
      <c r="W178" s="16">
        <f>IF(N178="",INDEX('Chart of Accounts'!$A$5:$A$3000,MATCH("bank",'Chart of Accounts'!$F$5:$F$3000,0)),N178&amp;"")</f>
        <v/>
      </c>
      <c r="X178" s="16">
        <f>IF(O178="",INDEX('Chart of Accounts'!$A$5:$A$3000,MATCH("ap",'Chart of Accounts'!$F$5:$F$3000,0)),O178&amp;"")</f>
        <v/>
      </c>
      <c r="Y178" s="16">
        <f>INDEX('Chart of Accounts'!$A$5:$A$3000,MATCH("vat_input",'Chart of Accounts'!$F$5:$F$3000,0))</f>
        <v/>
      </c>
      <c r="Z178" s="16">
        <f>INDEX('Chart of Accounts'!$A$5:$A$3000,MATCH("wht_payable",'Chart of Accounts'!$F$5:$F$3000,0))</f>
        <v/>
      </c>
      <c r="AA178" s="23">
        <f>IFERROR(INDEX('Chart of Accounts'!$C$5:$C$3000,MATCH(V178&amp;"",'Chart of Accounts'!$A$5:$A$3000,0))&amp;"|"&amp;INDEX('Chart of Accounts'!$D$5:$D$3000,MATCH(V178&amp;"",'Chart of Accounts'!$A$5:$A$3000,0)),"")</f>
        <v/>
      </c>
      <c r="AB178" s="23">
        <f>IFERROR(INDEX('Chart of Accounts'!$C$5:$C$3000,MATCH(Y178&amp;"",'Chart of Accounts'!$A$5:$A$3000,0))&amp;"|"&amp;INDEX('Chart of Accounts'!$D$5:$D$3000,MATCH(Y178&amp;"",'Chart of Accounts'!$A$5:$A$3000,0)),"")</f>
        <v/>
      </c>
      <c r="AC178" s="23">
        <f>IFERROR(INDEX('Chart of Accounts'!$C$5:$C$3000,MATCH(W178&amp;"",'Chart of Accounts'!$A$5:$A$3000,0))&amp;"|"&amp;INDEX('Chart of Accounts'!$D$5:$D$3000,MATCH(W178&amp;"",'Chart of Accounts'!$A$5:$A$3000,0)),"")</f>
        <v/>
      </c>
      <c r="AD178" s="23">
        <f>IFERROR(INDEX('Chart of Accounts'!$C$5:$C$3000,MATCH(X178&amp;"",'Chart of Accounts'!$A$5:$A$3000,0))&amp;"|"&amp;INDEX('Chart of Accounts'!$D$5:$D$3000,MATCH(X178&amp;"",'Chart of Accounts'!$A$5:$A$3000,0)),"")</f>
        <v/>
      </c>
      <c r="AE178" s="23">
        <f>IFERROR(INDEX('Chart of Accounts'!$C$5:$C$3000,MATCH(Z178&amp;"",'Chart of Accounts'!$A$5:$A$3000,0))&amp;"|"&amp;INDEX('Chart of Accounts'!$D$5:$D$3000,MATCH(Z178&amp;"",'Chart of Accounts'!$A$5:$A$3000,0)),"")</f>
        <v/>
      </c>
      <c r="AF178" s="23">
        <f>IF(LEFT(AA178,8)="Revenue|",-N(R178),0)+IF(LEFT(AB178,8)="Revenue|",-N(S178),0)+IF(LEFT(AC178,8)="Revenue|",N(L178),0)+IF(LEFT(AD178,8)="Revenue|",N(U178),0)+IF(LEFT(AE178,8)="Revenue|",N(T178),0)</f>
        <v/>
      </c>
      <c r="AG178" s="23">
        <f>IF(LEFT(AA178,5)="COGS|",N(R178),0)+IF(LEFT(AB178,5)="COGS|",N(S178),0)+IF(LEFT(AC178,5)="COGS|",-N(L178),0)+IF(LEFT(AD178,5)="COGS|",-N(U178),0)+IF(LEFT(AE178,5)="COGS|",-N(T178),0)</f>
        <v/>
      </c>
      <c r="AH178" s="23">
        <f>IF(LEFT(AA178,8)="Expense|",N(R178),0)+IF(LEFT(AB178,8)="Expense|",N(S178),0)+IF(LEFT(AC178,8)="Expense|",-N(L178),0)+IF(LEFT(AD178,8)="Expense|",-N(U178),0)+IF(LEFT(AE178,8)="Expense|",-N(T178),0)</f>
        <v/>
      </c>
      <c r="AI178" s="23">
        <f>IF(ISNUMBER(MATCH(AA178,{"Expense|employee","Expense|general_admin","Expense|marketing","Expense|utilities","Expense|other_operating"},0)),N(R178),0)+IF(ISNUMBER(MATCH(AB178,{"Expense|employee","Expense|general_admin","Expense|marketing","Expense|utilities","Expense|other_operating"},0)),N(S178),0)+IF(ISNUMBER(MATCH(AC178,{"Expense|employee","Expense|general_admin","Expense|marketing","Expense|utilities","Expense|other_operating"},0)),-N(L178),0)+IF(ISNUMBER(MATCH(AD178,{"Expense|employee","Expense|general_admin","Expense|marketing","Expense|utilities","Expense|other_operating"},0)),-N(U178),0)+IF(ISNUMBER(MATCH(AE178,{"Expense|employee","Expense|general_admin","Expense|marketing","Expense|utilities","Expense|other_operating"},0)),-N(T178),0)</f>
        <v/>
      </c>
      <c r="AJ178" s="23">
        <f>IF(AA178="Liability|payable",-N(R178),0)+IF(AB178="Liability|payable",-N(S178),0)+IF(AC178="Liability|payable",N(L178),0)+IF(AD178="Liability|payable",N(U178),0)+IF(AE178="Liability|payable",N(T178),0)</f>
        <v/>
      </c>
      <c r="AK178" s="23">
        <f>IF(AA178="Liability|accrued",-N(R178),0)+IF(AB178="Liability|accrued",-N(S178),0)+IF(AC178="Liability|accrued",N(L178),0)+IF(AD178="Liability|accrued",N(U178),0)+IF(AE178="Liability|accrued",N(T178),0)</f>
        <v/>
      </c>
      <c r="AL178" s="23">
        <f>IF(AND(N(R178)&lt;&gt;0,AA178=""),1,0)+IF(AND(N(S178)&lt;&gt;0,AB178=""),1,0)+IF(AND(N(L178)&lt;&gt;0,AC178=""),1,0)+IF(AND(N(U178)&lt;&gt;0,AD178=""),1,0)+IF(AND(N(T178)&lt;&gt;0,AE178=""),1,0)</f>
        <v/>
      </c>
    </row>
    <row r="179">
      <c r="A179" s="19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20" t="n"/>
      <c r="K179" s="20" t="n"/>
      <c r="L179" s="20" t="n"/>
      <c r="M179" s="14" t="n"/>
      <c r="N179" s="14" t="n"/>
      <c r="O179" s="14" t="n"/>
      <c r="P179" s="14" t="n"/>
      <c r="Q179" s="14" t="n"/>
      <c r="R179" s="21">
        <f>ROUND(N(H179)*N(J179)-N(K179),2)</f>
        <v/>
      </c>
      <c r="S179" s="21">
        <f>ROUND(R179*IFERROR(VLOOKUP(P179,'Tax Codes'!$A$5:$E$300,5,FALSE),0),2)</f>
        <v/>
      </c>
      <c r="T179" s="21">
        <f>ROUND(R179*IFERROR(VLOOKUP(Q179,'Tax Codes'!$A$5:$E$300,5,FALSE),0),2)</f>
        <v/>
      </c>
      <c r="U179" s="21">
        <f>R179+S179-T179-N(L179)</f>
        <v/>
      </c>
      <c r="V179" s="16">
        <f>IF(C179="",INDEX('Chart of Accounts'!$A$5:$A$3000,MATCH("materials",'Chart of Accounts'!$F$5:$F$3000,0)),C179&amp;"")</f>
        <v/>
      </c>
      <c r="W179" s="16">
        <f>IF(N179="",INDEX('Chart of Accounts'!$A$5:$A$3000,MATCH("bank",'Chart of Accounts'!$F$5:$F$3000,0)),N179&amp;"")</f>
        <v/>
      </c>
      <c r="X179" s="16">
        <f>IF(O179="",INDEX('Chart of Accounts'!$A$5:$A$3000,MATCH("ap",'Chart of Accounts'!$F$5:$F$3000,0)),O179&amp;"")</f>
        <v/>
      </c>
      <c r="Y179" s="16">
        <f>INDEX('Chart of Accounts'!$A$5:$A$3000,MATCH("vat_input",'Chart of Accounts'!$F$5:$F$3000,0))</f>
        <v/>
      </c>
      <c r="Z179" s="16">
        <f>INDEX('Chart of Accounts'!$A$5:$A$3000,MATCH("wht_payable",'Chart of Accounts'!$F$5:$F$3000,0))</f>
        <v/>
      </c>
      <c r="AA179" s="23">
        <f>IFERROR(INDEX('Chart of Accounts'!$C$5:$C$3000,MATCH(V179&amp;"",'Chart of Accounts'!$A$5:$A$3000,0))&amp;"|"&amp;INDEX('Chart of Accounts'!$D$5:$D$3000,MATCH(V179&amp;"",'Chart of Accounts'!$A$5:$A$3000,0)),"")</f>
        <v/>
      </c>
      <c r="AB179" s="23">
        <f>IFERROR(INDEX('Chart of Accounts'!$C$5:$C$3000,MATCH(Y179&amp;"",'Chart of Accounts'!$A$5:$A$3000,0))&amp;"|"&amp;INDEX('Chart of Accounts'!$D$5:$D$3000,MATCH(Y179&amp;"",'Chart of Accounts'!$A$5:$A$3000,0)),"")</f>
        <v/>
      </c>
      <c r="AC179" s="23">
        <f>IFERROR(INDEX('Chart of Accounts'!$C$5:$C$3000,MATCH(W179&amp;"",'Chart of Accounts'!$A$5:$A$3000,0))&amp;"|"&amp;INDEX('Chart of Accounts'!$D$5:$D$3000,MATCH(W179&amp;"",'Chart of Accounts'!$A$5:$A$3000,0)),"")</f>
        <v/>
      </c>
      <c r="AD179" s="23">
        <f>IFERROR(INDEX('Chart of Accounts'!$C$5:$C$3000,MATCH(X179&amp;"",'Chart of Accounts'!$A$5:$A$3000,0))&amp;"|"&amp;INDEX('Chart of Accounts'!$D$5:$D$3000,MATCH(X179&amp;"",'Chart of Accounts'!$A$5:$A$3000,0)),"")</f>
        <v/>
      </c>
      <c r="AE179" s="23">
        <f>IFERROR(INDEX('Chart of Accounts'!$C$5:$C$3000,MATCH(Z179&amp;"",'Chart of Accounts'!$A$5:$A$3000,0))&amp;"|"&amp;INDEX('Chart of Accounts'!$D$5:$D$3000,MATCH(Z179&amp;"",'Chart of Accounts'!$A$5:$A$3000,0)),"")</f>
        <v/>
      </c>
      <c r="AF179" s="23">
        <f>IF(LEFT(AA179,8)="Revenue|",-N(R179),0)+IF(LEFT(AB179,8)="Revenue|",-N(S179),0)+IF(LEFT(AC179,8)="Revenue|",N(L179),0)+IF(LEFT(AD179,8)="Revenue|",N(U179),0)+IF(LEFT(AE179,8)="Revenue|",N(T179),0)</f>
        <v/>
      </c>
      <c r="AG179" s="23">
        <f>IF(LEFT(AA179,5)="COGS|",N(R179),0)+IF(LEFT(AB179,5)="COGS|",N(S179),0)+IF(LEFT(AC179,5)="COGS|",-N(L179),0)+IF(LEFT(AD179,5)="COGS|",-N(U179),0)+IF(LEFT(AE179,5)="COGS|",-N(T179),0)</f>
        <v/>
      </c>
      <c r="AH179" s="23">
        <f>IF(LEFT(AA179,8)="Expense|",N(R179),0)+IF(LEFT(AB179,8)="Expense|",N(S179),0)+IF(LEFT(AC179,8)="Expense|",-N(L179),0)+IF(LEFT(AD179,8)="Expense|",-N(U179),0)+IF(LEFT(AE179,8)="Expense|",-N(T179),0)</f>
        <v/>
      </c>
      <c r="AI179" s="23">
        <f>IF(ISNUMBER(MATCH(AA179,{"Expense|employee","Expense|general_admin","Expense|marketing","Expense|utilities","Expense|other_operating"},0)),N(R179),0)+IF(ISNUMBER(MATCH(AB179,{"Expense|employee","Expense|general_admin","Expense|marketing","Expense|utilities","Expense|other_operating"},0)),N(S179),0)+IF(ISNUMBER(MATCH(AC179,{"Expense|employee","Expense|general_admin","Expense|marketing","Expense|utilities","Expense|other_operating"},0)),-N(L179),0)+IF(ISNUMBER(MATCH(AD179,{"Expense|employee","Expense|general_admin","Expense|marketing","Expense|utilities","Expense|other_operating"},0)),-N(U179),0)+IF(ISNUMBER(MATCH(AE179,{"Expense|employee","Expense|general_admin","Expense|marketing","Expense|utilities","Expense|other_operating"},0)),-N(T179),0)</f>
        <v/>
      </c>
      <c r="AJ179" s="23">
        <f>IF(AA179="Liability|payable",-N(R179),0)+IF(AB179="Liability|payable",-N(S179),0)+IF(AC179="Liability|payable",N(L179),0)+IF(AD179="Liability|payable",N(U179),0)+IF(AE179="Liability|payable",N(T179),0)</f>
        <v/>
      </c>
      <c r="AK179" s="23">
        <f>IF(AA179="Liability|accrued",-N(R179),0)+IF(AB179="Liability|accrued",-N(S179),0)+IF(AC179="Liability|accrued",N(L179),0)+IF(AD179="Liability|accrued",N(U179),0)+IF(AE179="Liability|accrued",N(T179),0)</f>
        <v/>
      </c>
      <c r="AL179" s="23">
        <f>IF(AND(N(R179)&lt;&gt;0,AA179=""),1,0)+IF(AND(N(S179)&lt;&gt;0,AB179=""),1,0)+IF(AND(N(L179)&lt;&gt;0,AC179=""),1,0)+IF(AND(N(U179)&lt;&gt;0,AD179=""),1,0)+IF(AND(N(T179)&lt;&gt;0,AE179=""),1,0)</f>
        <v/>
      </c>
    </row>
    <row r="180">
      <c r="A180" s="19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20" t="n"/>
      <c r="K180" s="20" t="n"/>
      <c r="L180" s="20" t="n"/>
      <c r="M180" s="14" t="n"/>
      <c r="N180" s="14" t="n"/>
      <c r="O180" s="14" t="n"/>
      <c r="P180" s="14" t="n"/>
      <c r="Q180" s="14" t="n"/>
      <c r="R180" s="21">
        <f>ROUND(N(H180)*N(J180)-N(K180),2)</f>
        <v/>
      </c>
      <c r="S180" s="21">
        <f>ROUND(R180*IFERROR(VLOOKUP(P180,'Tax Codes'!$A$5:$E$300,5,FALSE),0),2)</f>
        <v/>
      </c>
      <c r="T180" s="21">
        <f>ROUND(R180*IFERROR(VLOOKUP(Q180,'Tax Codes'!$A$5:$E$300,5,FALSE),0),2)</f>
        <v/>
      </c>
      <c r="U180" s="21">
        <f>R180+S180-T180-N(L180)</f>
        <v/>
      </c>
      <c r="V180" s="16">
        <f>IF(C180="",INDEX('Chart of Accounts'!$A$5:$A$3000,MATCH("materials",'Chart of Accounts'!$F$5:$F$3000,0)),C180&amp;"")</f>
        <v/>
      </c>
      <c r="W180" s="16">
        <f>IF(N180="",INDEX('Chart of Accounts'!$A$5:$A$3000,MATCH("bank",'Chart of Accounts'!$F$5:$F$3000,0)),N180&amp;"")</f>
        <v/>
      </c>
      <c r="X180" s="16">
        <f>IF(O180="",INDEX('Chart of Accounts'!$A$5:$A$3000,MATCH("ap",'Chart of Accounts'!$F$5:$F$3000,0)),O180&amp;"")</f>
        <v/>
      </c>
      <c r="Y180" s="16">
        <f>INDEX('Chart of Accounts'!$A$5:$A$3000,MATCH("vat_input",'Chart of Accounts'!$F$5:$F$3000,0))</f>
        <v/>
      </c>
      <c r="Z180" s="16">
        <f>INDEX('Chart of Accounts'!$A$5:$A$3000,MATCH("wht_payable",'Chart of Accounts'!$F$5:$F$3000,0))</f>
        <v/>
      </c>
      <c r="AA180" s="23">
        <f>IFERROR(INDEX('Chart of Accounts'!$C$5:$C$3000,MATCH(V180&amp;"",'Chart of Accounts'!$A$5:$A$3000,0))&amp;"|"&amp;INDEX('Chart of Accounts'!$D$5:$D$3000,MATCH(V180&amp;"",'Chart of Accounts'!$A$5:$A$3000,0)),"")</f>
        <v/>
      </c>
      <c r="AB180" s="23">
        <f>IFERROR(INDEX('Chart of Accounts'!$C$5:$C$3000,MATCH(Y180&amp;"",'Chart of Accounts'!$A$5:$A$3000,0))&amp;"|"&amp;INDEX('Chart of Accounts'!$D$5:$D$3000,MATCH(Y180&amp;"",'Chart of Accounts'!$A$5:$A$3000,0)),"")</f>
        <v/>
      </c>
      <c r="AC180" s="23">
        <f>IFERROR(INDEX('Chart of Accounts'!$C$5:$C$3000,MATCH(W180&amp;"",'Chart of Accounts'!$A$5:$A$3000,0))&amp;"|"&amp;INDEX('Chart of Accounts'!$D$5:$D$3000,MATCH(W180&amp;"",'Chart of Accounts'!$A$5:$A$3000,0)),"")</f>
        <v/>
      </c>
      <c r="AD180" s="23">
        <f>IFERROR(INDEX('Chart of Accounts'!$C$5:$C$3000,MATCH(X180&amp;"",'Chart of Accounts'!$A$5:$A$3000,0))&amp;"|"&amp;INDEX('Chart of Accounts'!$D$5:$D$3000,MATCH(X180&amp;"",'Chart of Accounts'!$A$5:$A$3000,0)),"")</f>
        <v/>
      </c>
      <c r="AE180" s="23">
        <f>IFERROR(INDEX('Chart of Accounts'!$C$5:$C$3000,MATCH(Z180&amp;"",'Chart of Accounts'!$A$5:$A$3000,0))&amp;"|"&amp;INDEX('Chart of Accounts'!$D$5:$D$3000,MATCH(Z180&amp;"",'Chart of Accounts'!$A$5:$A$3000,0)),"")</f>
        <v/>
      </c>
      <c r="AF180" s="23">
        <f>IF(LEFT(AA180,8)="Revenue|",-N(R180),0)+IF(LEFT(AB180,8)="Revenue|",-N(S180),0)+IF(LEFT(AC180,8)="Revenue|",N(L180),0)+IF(LEFT(AD180,8)="Revenue|",N(U180),0)+IF(LEFT(AE180,8)="Revenue|",N(T180),0)</f>
        <v/>
      </c>
      <c r="AG180" s="23">
        <f>IF(LEFT(AA180,5)="COGS|",N(R180),0)+IF(LEFT(AB180,5)="COGS|",N(S180),0)+IF(LEFT(AC180,5)="COGS|",-N(L180),0)+IF(LEFT(AD180,5)="COGS|",-N(U180),0)+IF(LEFT(AE180,5)="COGS|",-N(T180),0)</f>
        <v/>
      </c>
      <c r="AH180" s="23">
        <f>IF(LEFT(AA180,8)="Expense|",N(R180),0)+IF(LEFT(AB180,8)="Expense|",N(S180),0)+IF(LEFT(AC180,8)="Expense|",-N(L180),0)+IF(LEFT(AD180,8)="Expense|",-N(U180),0)+IF(LEFT(AE180,8)="Expense|",-N(T180),0)</f>
        <v/>
      </c>
      <c r="AI180" s="23">
        <f>IF(ISNUMBER(MATCH(AA180,{"Expense|employee","Expense|general_admin","Expense|marketing","Expense|utilities","Expense|other_operating"},0)),N(R180),0)+IF(ISNUMBER(MATCH(AB180,{"Expense|employee","Expense|general_admin","Expense|marketing","Expense|utilities","Expense|other_operating"},0)),N(S180),0)+IF(ISNUMBER(MATCH(AC180,{"Expense|employee","Expense|general_admin","Expense|marketing","Expense|utilities","Expense|other_operating"},0)),-N(L180),0)+IF(ISNUMBER(MATCH(AD180,{"Expense|employee","Expense|general_admin","Expense|marketing","Expense|utilities","Expense|other_operating"},0)),-N(U180),0)+IF(ISNUMBER(MATCH(AE180,{"Expense|employee","Expense|general_admin","Expense|marketing","Expense|utilities","Expense|other_operating"},0)),-N(T180),0)</f>
        <v/>
      </c>
      <c r="AJ180" s="23">
        <f>IF(AA180="Liability|payable",-N(R180),0)+IF(AB180="Liability|payable",-N(S180),0)+IF(AC180="Liability|payable",N(L180),0)+IF(AD180="Liability|payable",N(U180),0)+IF(AE180="Liability|payable",N(T180),0)</f>
        <v/>
      </c>
      <c r="AK180" s="23">
        <f>IF(AA180="Liability|accrued",-N(R180),0)+IF(AB180="Liability|accrued",-N(S180),0)+IF(AC180="Liability|accrued",N(L180),0)+IF(AD180="Liability|accrued",N(U180),0)+IF(AE180="Liability|accrued",N(T180),0)</f>
        <v/>
      </c>
      <c r="AL180" s="23">
        <f>IF(AND(N(R180)&lt;&gt;0,AA180=""),1,0)+IF(AND(N(S180)&lt;&gt;0,AB180=""),1,0)+IF(AND(N(L180)&lt;&gt;0,AC180=""),1,0)+IF(AND(N(U180)&lt;&gt;0,AD180=""),1,0)+IF(AND(N(T180)&lt;&gt;0,AE180=""),1,0)</f>
        <v/>
      </c>
    </row>
    <row r="181">
      <c r="A181" s="19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20" t="n"/>
      <c r="K181" s="20" t="n"/>
      <c r="L181" s="20" t="n"/>
      <c r="M181" s="14" t="n"/>
      <c r="N181" s="14" t="n"/>
      <c r="O181" s="14" t="n"/>
      <c r="P181" s="14" t="n"/>
      <c r="Q181" s="14" t="n"/>
      <c r="R181" s="21">
        <f>ROUND(N(H181)*N(J181)-N(K181),2)</f>
        <v/>
      </c>
      <c r="S181" s="21">
        <f>ROUND(R181*IFERROR(VLOOKUP(P181,'Tax Codes'!$A$5:$E$300,5,FALSE),0),2)</f>
        <v/>
      </c>
      <c r="T181" s="21">
        <f>ROUND(R181*IFERROR(VLOOKUP(Q181,'Tax Codes'!$A$5:$E$300,5,FALSE),0),2)</f>
        <v/>
      </c>
      <c r="U181" s="21">
        <f>R181+S181-T181-N(L181)</f>
        <v/>
      </c>
      <c r="V181" s="16">
        <f>IF(C181="",INDEX('Chart of Accounts'!$A$5:$A$3000,MATCH("materials",'Chart of Accounts'!$F$5:$F$3000,0)),C181&amp;"")</f>
        <v/>
      </c>
      <c r="W181" s="16">
        <f>IF(N181="",INDEX('Chart of Accounts'!$A$5:$A$3000,MATCH("bank",'Chart of Accounts'!$F$5:$F$3000,0)),N181&amp;"")</f>
        <v/>
      </c>
      <c r="X181" s="16">
        <f>IF(O181="",INDEX('Chart of Accounts'!$A$5:$A$3000,MATCH("ap",'Chart of Accounts'!$F$5:$F$3000,0)),O181&amp;"")</f>
        <v/>
      </c>
      <c r="Y181" s="16">
        <f>INDEX('Chart of Accounts'!$A$5:$A$3000,MATCH("vat_input",'Chart of Accounts'!$F$5:$F$3000,0))</f>
        <v/>
      </c>
      <c r="Z181" s="16">
        <f>INDEX('Chart of Accounts'!$A$5:$A$3000,MATCH("wht_payable",'Chart of Accounts'!$F$5:$F$3000,0))</f>
        <v/>
      </c>
      <c r="AA181" s="23">
        <f>IFERROR(INDEX('Chart of Accounts'!$C$5:$C$3000,MATCH(V181&amp;"",'Chart of Accounts'!$A$5:$A$3000,0))&amp;"|"&amp;INDEX('Chart of Accounts'!$D$5:$D$3000,MATCH(V181&amp;"",'Chart of Accounts'!$A$5:$A$3000,0)),"")</f>
        <v/>
      </c>
      <c r="AB181" s="23">
        <f>IFERROR(INDEX('Chart of Accounts'!$C$5:$C$3000,MATCH(Y181&amp;"",'Chart of Accounts'!$A$5:$A$3000,0))&amp;"|"&amp;INDEX('Chart of Accounts'!$D$5:$D$3000,MATCH(Y181&amp;"",'Chart of Accounts'!$A$5:$A$3000,0)),"")</f>
        <v/>
      </c>
      <c r="AC181" s="23">
        <f>IFERROR(INDEX('Chart of Accounts'!$C$5:$C$3000,MATCH(W181&amp;"",'Chart of Accounts'!$A$5:$A$3000,0))&amp;"|"&amp;INDEX('Chart of Accounts'!$D$5:$D$3000,MATCH(W181&amp;"",'Chart of Accounts'!$A$5:$A$3000,0)),"")</f>
        <v/>
      </c>
      <c r="AD181" s="23">
        <f>IFERROR(INDEX('Chart of Accounts'!$C$5:$C$3000,MATCH(X181&amp;"",'Chart of Accounts'!$A$5:$A$3000,0))&amp;"|"&amp;INDEX('Chart of Accounts'!$D$5:$D$3000,MATCH(X181&amp;"",'Chart of Accounts'!$A$5:$A$3000,0)),"")</f>
        <v/>
      </c>
      <c r="AE181" s="23">
        <f>IFERROR(INDEX('Chart of Accounts'!$C$5:$C$3000,MATCH(Z181&amp;"",'Chart of Accounts'!$A$5:$A$3000,0))&amp;"|"&amp;INDEX('Chart of Accounts'!$D$5:$D$3000,MATCH(Z181&amp;"",'Chart of Accounts'!$A$5:$A$3000,0)),"")</f>
        <v/>
      </c>
      <c r="AF181" s="23">
        <f>IF(LEFT(AA181,8)="Revenue|",-N(R181),0)+IF(LEFT(AB181,8)="Revenue|",-N(S181),0)+IF(LEFT(AC181,8)="Revenue|",N(L181),0)+IF(LEFT(AD181,8)="Revenue|",N(U181),0)+IF(LEFT(AE181,8)="Revenue|",N(T181),0)</f>
        <v/>
      </c>
      <c r="AG181" s="23">
        <f>IF(LEFT(AA181,5)="COGS|",N(R181),0)+IF(LEFT(AB181,5)="COGS|",N(S181),0)+IF(LEFT(AC181,5)="COGS|",-N(L181),0)+IF(LEFT(AD181,5)="COGS|",-N(U181),0)+IF(LEFT(AE181,5)="COGS|",-N(T181),0)</f>
        <v/>
      </c>
      <c r="AH181" s="23">
        <f>IF(LEFT(AA181,8)="Expense|",N(R181),0)+IF(LEFT(AB181,8)="Expense|",N(S181),0)+IF(LEFT(AC181,8)="Expense|",-N(L181),0)+IF(LEFT(AD181,8)="Expense|",-N(U181),0)+IF(LEFT(AE181,8)="Expense|",-N(T181),0)</f>
        <v/>
      </c>
      <c r="AI181" s="23">
        <f>IF(ISNUMBER(MATCH(AA181,{"Expense|employee","Expense|general_admin","Expense|marketing","Expense|utilities","Expense|other_operating"},0)),N(R181),0)+IF(ISNUMBER(MATCH(AB181,{"Expense|employee","Expense|general_admin","Expense|marketing","Expense|utilities","Expense|other_operating"},0)),N(S181),0)+IF(ISNUMBER(MATCH(AC181,{"Expense|employee","Expense|general_admin","Expense|marketing","Expense|utilities","Expense|other_operating"},0)),-N(L181),0)+IF(ISNUMBER(MATCH(AD181,{"Expense|employee","Expense|general_admin","Expense|marketing","Expense|utilities","Expense|other_operating"},0)),-N(U181),0)+IF(ISNUMBER(MATCH(AE181,{"Expense|employee","Expense|general_admin","Expense|marketing","Expense|utilities","Expense|other_operating"},0)),-N(T181),0)</f>
        <v/>
      </c>
      <c r="AJ181" s="23">
        <f>IF(AA181="Liability|payable",-N(R181),0)+IF(AB181="Liability|payable",-N(S181),0)+IF(AC181="Liability|payable",N(L181),0)+IF(AD181="Liability|payable",N(U181),0)+IF(AE181="Liability|payable",N(T181),0)</f>
        <v/>
      </c>
      <c r="AK181" s="23">
        <f>IF(AA181="Liability|accrued",-N(R181),0)+IF(AB181="Liability|accrued",-N(S181),0)+IF(AC181="Liability|accrued",N(L181),0)+IF(AD181="Liability|accrued",N(U181),0)+IF(AE181="Liability|accrued",N(T181),0)</f>
        <v/>
      </c>
      <c r="AL181" s="23">
        <f>IF(AND(N(R181)&lt;&gt;0,AA181=""),1,0)+IF(AND(N(S181)&lt;&gt;0,AB181=""),1,0)+IF(AND(N(L181)&lt;&gt;0,AC181=""),1,0)+IF(AND(N(U181)&lt;&gt;0,AD181=""),1,0)+IF(AND(N(T181)&lt;&gt;0,AE181=""),1,0)</f>
        <v/>
      </c>
    </row>
    <row r="182">
      <c r="A182" s="19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20" t="n"/>
      <c r="K182" s="20" t="n"/>
      <c r="L182" s="20" t="n"/>
      <c r="M182" s="14" t="n"/>
      <c r="N182" s="14" t="n"/>
      <c r="O182" s="14" t="n"/>
      <c r="P182" s="14" t="n"/>
      <c r="Q182" s="14" t="n"/>
      <c r="R182" s="21">
        <f>ROUND(N(H182)*N(J182)-N(K182),2)</f>
        <v/>
      </c>
      <c r="S182" s="21">
        <f>ROUND(R182*IFERROR(VLOOKUP(P182,'Tax Codes'!$A$5:$E$300,5,FALSE),0),2)</f>
        <v/>
      </c>
      <c r="T182" s="21">
        <f>ROUND(R182*IFERROR(VLOOKUP(Q182,'Tax Codes'!$A$5:$E$300,5,FALSE),0),2)</f>
        <v/>
      </c>
      <c r="U182" s="21">
        <f>R182+S182-T182-N(L182)</f>
        <v/>
      </c>
      <c r="V182" s="16">
        <f>IF(C182="",INDEX('Chart of Accounts'!$A$5:$A$3000,MATCH("materials",'Chart of Accounts'!$F$5:$F$3000,0)),C182&amp;"")</f>
        <v/>
      </c>
      <c r="W182" s="16">
        <f>IF(N182="",INDEX('Chart of Accounts'!$A$5:$A$3000,MATCH("bank",'Chart of Accounts'!$F$5:$F$3000,0)),N182&amp;"")</f>
        <v/>
      </c>
      <c r="X182" s="16">
        <f>IF(O182="",INDEX('Chart of Accounts'!$A$5:$A$3000,MATCH("ap",'Chart of Accounts'!$F$5:$F$3000,0)),O182&amp;"")</f>
        <v/>
      </c>
      <c r="Y182" s="16">
        <f>INDEX('Chart of Accounts'!$A$5:$A$3000,MATCH("vat_input",'Chart of Accounts'!$F$5:$F$3000,0))</f>
        <v/>
      </c>
      <c r="Z182" s="16">
        <f>INDEX('Chart of Accounts'!$A$5:$A$3000,MATCH("wht_payable",'Chart of Accounts'!$F$5:$F$3000,0))</f>
        <v/>
      </c>
      <c r="AA182" s="23">
        <f>IFERROR(INDEX('Chart of Accounts'!$C$5:$C$3000,MATCH(V182&amp;"",'Chart of Accounts'!$A$5:$A$3000,0))&amp;"|"&amp;INDEX('Chart of Accounts'!$D$5:$D$3000,MATCH(V182&amp;"",'Chart of Accounts'!$A$5:$A$3000,0)),"")</f>
        <v/>
      </c>
      <c r="AB182" s="23">
        <f>IFERROR(INDEX('Chart of Accounts'!$C$5:$C$3000,MATCH(Y182&amp;"",'Chart of Accounts'!$A$5:$A$3000,0))&amp;"|"&amp;INDEX('Chart of Accounts'!$D$5:$D$3000,MATCH(Y182&amp;"",'Chart of Accounts'!$A$5:$A$3000,0)),"")</f>
        <v/>
      </c>
      <c r="AC182" s="23">
        <f>IFERROR(INDEX('Chart of Accounts'!$C$5:$C$3000,MATCH(W182&amp;"",'Chart of Accounts'!$A$5:$A$3000,0))&amp;"|"&amp;INDEX('Chart of Accounts'!$D$5:$D$3000,MATCH(W182&amp;"",'Chart of Accounts'!$A$5:$A$3000,0)),"")</f>
        <v/>
      </c>
      <c r="AD182" s="23">
        <f>IFERROR(INDEX('Chart of Accounts'!$C$5:$C$3000,MATCH(X182&amp;"",'Chart of Accounts'!$A$5:$A$3000,0))&amp;"|"&amp;INDEX('Chart of Accounts'!$D$5:$D$3000,MATCH(X182&amp;"",'Chart of Accounts'!$A$5:$A$3000,0)),"")</f>
        <v/>
      </c>
      <c r="AE182" s="23">
        <f>IFERROR(INDEX('Chart of Accounts'!$C$5:$C$3000,MATCH(Z182&amp;"",'Chart of Accounts'!$A$5:$A$3000,0))&amp;"|"&amp;INDEX('Chart of Accounts'!$D$5:$D$3000,MATCH(Z182&amp;"",'Chart of Accounts'!$A$5:$A$3000,0)),"")</f>
        <v/>
      </c>
      <c r="AF182" s="23">
        <f>IF(LEFT(AA182,8)="Revenue|",-N(R182),0)+IF(LEFT(AB182,8)="Revenue|",-N(S182),0)+IF(LEFT(AC182,8)="Revenue|",N(L182),0)+IF(LEFT(AD182,8)="Revenue|",N(U182),0)+IF(LEFT(AE182,8)="Revenue|",N(T182),0)</f>
        <v/>
      </c>
      <c r="AG182" s="23">
        <f>IF(LEFT(AA182,5)="COGS|",N(R182),0)+IF(LEFT(AB182,5)="COGS|",N(S182),0)+IF(LEFT(AC182,5)="COGS|",-N(L182),0)+IF(LEFT(AD182,5)="COGS|",-N(U182),0)+IF(LEFT(AE182,5)="COGS|",-N(T182),0)</f>
        <v/>
      </c>
      <c r="AH182" s="23">
        <f>IF(LEFT(AA182,8)="Expense|",N(R182),0)+IF(LEFT(AB182,8)="Expense|",N(S182),0)+IF(LEFT(AC182,8)="Expense|",-N(L182),0)+IF(LEFT(AD182,8)="Expense|",-N(U182),0)+IF(LEFT(AE182,8)="Expense|",-N(T182),0)</f>
        <v/>
      </c>
      <c r="AI182" s="23">
        <f>IF(ISNUMBER(MATCH(AA182,{"Expense|employee","Expense|general_admin","Expense|marketing","Expense|utilities","Expense|other_operating"},0)),N(R182),0)+IF(ISNUMBER(MATCH(AB182,{"Expense|employee","Expense|general_admin","Expense|marketing","Expense|utilities","Expense|other_operating"},0)),N(S182),0)+IF(ISNUMBER(MATCH(AC182,{"Expense|employee","Expense|general_admin","Expense|marketing","Expense|utilities","Expense|other_operating"},0)),-N(L182),0)+IF(ISNUMBER(MATCH(AD182,{"Expense|employee","Expense|general_admin","Expense|marketing","Expense|utilities","Expense|other_operating"},0)),-N(U182),0)+IF(ISNUMBER(MATCH(AE182,{"Expense|employee","Expense|general_admin","Expense|marketing","Expense|utilities","Expense|other_operating"},0)),-N(T182),0)</f>
        <v/>
      </c>
      <c r="AJ182" s="23">
        <f>IF(AA182="Liability|payable",-N(R182),0)+IF(AB182="Liability|payable",-N(S182),0)+IF(AC182="Liability|payable",N(L182),0)+IF(AD182="Liability|payable",N(U182),0)+IF(AE182="Liability|payable",N(T182),0)</f>
        <v/>
      </c>
      <c r="AK182" s="23">
        <f>IF(AA182="Liability|accrued",-N(R182),0)+IF(AB182="Liability|accrued",-N(S182),0)+IF(AC182="Liability|accrued",N(L182),0)+IF(AD182="Liability|accrued",N(U182),0)+IF(AE182="Liability|accrued",N(T182),0)</f>
        <v/>
      </c>
      <c r="AL182" s="23">
        <f>IF(AND(N(R182)&lt;&gt;0,AA182=""),1,0)+IF(AND(N(S182)&lt;&gt;0,AB182=""),1,0)+IF(AND(N(L182)&lt;&gt;0,AC182=""),1,0)+IF(AND(N(U182)&lt;&gt;0,AD182=""),1,0)+IF(AND(N(T182)&lt;&gt;0,AE182=""),1,0)</f>
        <v/>
      </c>
    </row>
    <row r="183">
      <c r="A183" s="19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20" t="n"/>
      <c r="K183" s="20" t="n"/>
      <c r="L183" s="20" t="n"/>
      <c r="M183" s="14" t="n"/>
      <c r="N183" s="14" t="n"/>
      <c r="O183" s="14" t="n"/>
      <c r="P183" s="14" t="n"/>
      <c r="Q183" s="14" t="n"/>
      <c r="R183" s="21">
        <f>ROUND(N(H183)*N(J183)-N(K183),2)</f>
        <v/>
      </c>
      <c r="S183" s="21">
        <f>ROUND(R183*IFERROR(VLOOKUP(P183,'Tax Codes'!$A$5:$E$300,5,FALSE),0),2)</f>
        <v/>
      </c>
      <c r="T183" s="21">
        <f>ROUND(R183*IFERROR(VLOOKUP(Q183,'Tax Codes'!$A$5:$E$300,5,FALSE),0),2)</f>
        <v/>
      </c>
      <c r="U183" s="21">
        <f>R183+S183-T183-N(L183)</f>
        <v/>
      </c>
      <c r="V183" s="16">
        <f>IF(C183="",INDEX('Chart of Accounts'!$A$5:$A$3000,MATCH("materials",'Chart of Accounts'!$F$5:$F$3000,0)),C183&amp;"")</f>
        <v/>
      </c>
      <c r="W183" s="16">
        <f>IF(N183="",INDEX('Chart of Accounts'!$A$5:$A$3000,MATCH("bank",'Chart of Accounts'!$F$5:$F$3000,0)),N183&amp;"")</f>
        <v/>
      </c>
      <c r="X183" s="16">
        <f>IF(O183="",INDEX('Chart of Accounts'!$A$5:$A$3000,MATCH("ap",'Chart of Accounts'!$F$5:$F$3000,0)),O183&amp;"")</f>
        <v/>
      </c>
      <c r="Y183" s="16">
        <f>INDEX('Chart of Accounts'!$A$5:$A$3000,MATCH("vat_input",'Chart of Accounts'!$F$5:$F$3000,0))</f>
        <v/>
      </c>
      <c r="Z183" s="16">
        <f>INDEX('Chart of Accounts'!$A$5:$A$3000,MATCH("wht_payable",'Chart of Accounts'!$F$5:$F$3000,0))</f>
        <v/>
      </c>
      <c r="AA183" s="23">
        <f>IFERROR(INDEX('Chart of Accounts'!$C$5:$C$3000,MATCH(V183&amp;"",'Chart of Accounts'!$A$5:$A$3000,0))&amp;"|"&amp;INDEX('Chart of Accounts'!$D$5:$D$3000,MATCH(V183&amp;"",'Chart of Accounts'!$A$5:$A$3000,0)),"")</f>
        <v/>
      </c>
      <c r="AB183" s="23">
        <f>IFERROR(INDEX('Chart of Accounts'!$C$5:$C$3000,MATCH(Y183&amp;"",'Chart of Accounts'!$A$5:$A$3000,0))&amp;"|"&amp;INDEX('Chart of Accounts'!$D$5:$D$3000,MATCH(Y183&amp;"",'Chart of Accounts'!$A$5:$A$3000,0)),"")</f>
        <v/>
      </c>
      <c r="AC183" s="23">
        <f>IFERROR(INDEX('Chart of Accounts'!$C$5:$C$3000,MATCH(W183&amp;"",'Chart of Accounts'!$A$5:$A$3000,0))&amp;"|"&amp;INDEX('Chart of Accounts'!$D$5:$D$3000,MATCH(W183&amp;"",'Chart of Accounts'!$A$5:$A$3000,0)),"")</f>
        <v/>
      </c>
      <c r="AD183" s="23">
        <f>IFERROR(INDEX('Chart of Accounts'!$C$5:$C$3000,MATCH(X183&amp;"",'Chart of Accounts'!$A$5:$A$3000,0))&amp;"|"&amp;INDEX('Chart of Accounts'!$D$5:$D$3000,MATCH(X183&amp;"",'Chart of Accounts'!$A$5:$A$3000,0)),"")</f>
        <v/>
      </c>
      <c r="AE183" s="23">
        <f>IFERROR(INDEX('Chart of Accounts'!$C$5:$C$3000,MATCH(Z183&amp;"",'Chart of Accounts'!$A$5:$A$3000,0))&amp;"|"&amp;INDEX('Chart of Accounts'!$D$5:$D$3000,MATCH(Z183&amp;"",'Chart of Accounts'!$A$5:$A$3000,0)),"")</f>
        <v/>
      </c>
      <c r="AF183" s="23">
        <f>IF(LEFT(AA183,8)="Revenue|",-N(R183),0)+IF(LEFT(AB183,8)="Revenue|",-N(S183),0)+IF(LEFT(AC183,8)="Revenue|",N(L183),0)+IF(LEFT(AD183,8)="Revenue|",N(U183),0)+IF(LEFT(AE183,8)="Revenue|",N(T183),0)</f>
        <v/>
      </c>
      <c r="AG183" s="23">
        <f>IF(LEFT(AA183,5)="COGS|",N(R183),0)+IF(LEFT(AB183,5)="COGS|",N(S183),0)+IF(LEFT(AC183,5)="COGS|",-N(L183),0)+IF(LEFT(AD183,5)="COGS|",-N(U183),0)+IF(LEFT(AE183,5)="COGS|",-N(T183),0)</f>
        <v/>
      </c>
      <c r="AH183" s="23">
        <f>IF(LEFT(AA183,8)="Expense|",N(R183),0)+IF(LEFT(AB183,8)="Expense|",N(S183),0)+IF(LEFT(AC183,8)="Expense|",-N(L183),0)+IF(LEFT(AD183,8)="Expense|",-N(U183),0)+IF(LEFT(AE183,8)="Expense|",-N(T183),0)</f>
        <v/>
      </c>
      <c r="AI183" s="23">
        <f>IF(ISNUMBER(MATCH(AA183,{"Expense|employee","Expense|general_admin","Expense|marketing","Expense|utilities","Expense|other_operating"},0)),N(R183),0)+IF(ISNUMBER(MATCH(AB183,{"Expense|employee","Expense|general_admin","Expense|marketing","Expense|utilities","Expense|other_operating"},0)),N(S183),0)+IF(ISNUMBER(MATCH(AC183,{"Expense|employee","Expense|general_admin","Expense|marketing","Expense|utilities","Expense|other_operating"},0)),-N(L183),0)+IF(ISNUMBER(MATCH(AD183,{"Expense|employee","Expense|general_admin","Expense|marketing","Expense|utilities","Expense|other_operating"},0)),-N(U183),0)+IF(ISNUMBER(MATCH(AE183,{"Expense|employee","Expense|general_admin","Expense|marketing","Expense|utilities","Expense|other_operating"},0)),-N(T183),0)</f>
        <v/>
      </c>
      <c r="AJ183" s="23">
        <f>IF(AA183="Liability|payable",-N(R183),0)+IF(AB183="Liability|payable",-N(S183),0)+IF(AC183="Liability|payable",N(L183),0)+IF(AD183="Liability|payable",N(U183),0)+IF(AE183="Liability|payable",N(T183),0)</f>
        <v/>
      </c>
      <c r="AK183" s="23">
        <f>IF(AA183="Liability|accrued",-N(R183),0)+IF(AB183="Liability|accrued",-N(S183),0)+IF(AC183="Liability|accrued",N(L183),0)+IF(AD183="Liability|accrued",N(U183),0)+IF(AE183="Liability|accrued",N(T183),0)</f>
        <v/>
      </c>
      <c r="AL183" s="23">
        <f>IF(AND(N(R183)&lt;&gt;0,AA183=""),1,0)+IF(AND(N(S183)&lt;&gt;0,AB183=""),1,0)+IF(AND(N(L183)&lt;&gt;0,AC183=""),1,0)+IF(AND(N(U183)&lt;&gt;0,AD183=""),1,0)+IF(AND(N(T183)&lt;&gt;0,AE183=""),1,0)</f>
        <v/>
      </c>
    </row>
    <row r="184">
      <c r="A184" s="19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20" t="n"/>
      <c r="K184" s="20" t="n"/>
      <c r="L184" s="20" t="n"/>
      <c r="M184" s="14" t="n"/>
      <c r="N184" s="14" t="n"/>
      <c r="O184" s="14" t="n"/>
      <c r="P184" s="14" t="n"/>
      <c r="Q184" s="14" t="n"/>
      <c r="R184" s="21">
        <f>ROUND(N(H184)*N(J184)-N(K184),2)</f>
        <v/>
      </c>
      <c r="S184" s="21">
        <f>ROUND(R184*IFERROR(VLOOKUP(P184,'Tax Codes'!$A$5:$E$300,5,FALSE),0),2)</f>
        <v/>
      </c>
      <c r="T184" s="21">
        <f>ROUND(R184*IFERROR(VLOOKUP(Q184,'Tax Codes'!$A$5:$E$300,5,FALSE),0),2)</f>
        <v/>
      </c>
      <c r="U184" s="21">
        <f>R184+S184-T184-N(L184)</f>
        <v/>
      </c>
      <c r="V184" s="16">
        <f>IF(C184="",INDEX('Chart of Accounts'!$A$5:$A$3000,MATCH("materials",'Chart of Accounts'!$F$5:$F$3000,0)),C184&amp;"")</f>
        <v/>
      </c>
      <c r="W184" s="16">
        <f>IF(N184="",INDEX('Chart of Accounts'!$A$5:$A$3000,MATCH("bank",'Chart of Accounts'!$F$5:$F$3000,0)),N184&amp;"")</f>
        <v/>
      </c>
      <c r="X184" s="16">
        <f>IF(O184="",INDEX('Chart of Accounts'!$A$5:$A$3000,MATCH("ap",'Chart of Accounts'!$F$5:$F$3000,0)),O184&amp;"")</f>
        <v/>
      </c>
      <c r="Y184" s="16">
        <f>INDEX('Chart of Accounts'!$A$5:$A$3000,MATCH("vat_input",'Chart of Accounts'!$F$5:$F$3000,0))</f>
        <v/>
      </c>
      <c r="Z184" s="16">
        <f>INDEX('Chart of Accounts'!$A$5:$A$3000,MATCH("wht_payable",'Chart of Accounts'!$F$5:$F$3000,0))</f>
        <v/>
      </c>
      <c r="AA184" s="23">
        <f>IFERROR(INDEX('Chart of Accounts'!$C$5:$C$3000,MATCH(V184&amp;"",'Chart of Accounts'!$A$5:$A$3000,0))&amp;"|"&amp;INDEX('Chart of Accounts'!$D$5:$D$3000,MATCH(V184&amp;"",'Chart of Accounts'!$A$5:$A$3000,0)),"")</f>
        <v/>
      </c>
      <c r="AB184" s="23">
        <f>IFERROR(INDEX('Chart of Accounts'!$C$5:$C$3000,MATCH(Y184&amp;"",'Chart of Accounts'!$A$5:$A$3000,0))&amp;"|"&amp;INDEX('Chart of Accounts'!$D$5:$D$3000,MATCH(Y184&amp;"",'Chart of Accounts'!$A$5:$A$3000,0)),"")</f>
        <v/>
      </c>
      <c r="AC184" s="23">
        <f>IFERROR(INDEX('Chart of Accounts'!$C$5:$C$3000,MATCH(W184&amp;"",'Chart of Accounts'!$A$5:$A$3000,0))&amp;"|"&amp;INDEX('Chart of Accounts'!$D$5:$D$3000,MATCH(W184&amp;"",'Chart of Accounts'!$A$5:$A$3000,0)),"")</f>
        <v/>
      </c>
      <c r="AD184" s="23">
        <f>IFERROR(INDEX('Chart of Accounts'!$C$5:$C$3000,MATCH(X184&amp;"",'Chart of Accounts'!$A$5:$A$3000,0))&amp;"|"&amp;INDEX('Chart of Accounts'!$D$5:$D$3000,MATCH(X184&amp;"",'Chart of Accounts'!$A$5:$A$3000,0)),"")</f>
        <v/>
      </c>
      <c r="AE184" s="23">
        <f>IFERROR(INDEX('Chart of Accounts'!$C$5:$C$3000,MATCH(Z184&amp;"",'Chart of Accounts'!$A$5:$A$3000,0))&amp;"|"&amp;INDEX('Chart of Accounts'!$D$5:$D$3000,MATCH(Z184&amp;"",'Chart of Accounts'!$A$5:$A$3000,0)),"")</f>
        <v/>
      </c>
      <c r="AF184" s="23">
        <f>IF(LEFT(AA184,8)="Revenue|",-N(R184),0)+IF(LEFT(AB184,8)="Revenue|",-N(S184),0)+IF(LEFT(AC184,8)="Revenue|",N(L184),0)+IF(LEFT(AD184,8)="Revenue|",N(U184),0)+IF(LEFT(AE184,8)="Revenue|",N(T184),0)</f>
        <v/>
      </c>
      <c r="AG184" s="23">
        <f>IF(LEFT(AA184,5)="COGS|",N(R184),0)+IF(LEFT(AB184,5)="COGS|",N(S184),0)+IF(LEFT(AC184,5)="COGS|",-N(L184),0)+IF(LEFT(AD184,5)="COGS|",-N(U184),0)+IF(LEFT(AE184,5)="COGS|",-N(T184),0)</f>
        <v/>
      </c>
      <c r="AH184" s="23">
        <f>IF(LEFT(AA184,8)="Expense|",N(R184),0)+IF(LEFT(AB184,8)="Expense|",N(S184),0)+IF(LEFT(AC184,8)="Expense|",-N(L184),0)+IF(LEFT(AD184,8)="Expense|",-N(U184),0)+IF(LEFT(AE184,8)="Expense|",-N(T184),0)</f>
        <v/>
      </c>
      <c r="AI184" s="23">
        <f>IF(ISNUMBER(MATCH(AA184,{"Expense|employee","Expense|general_admin","Expense|marketing","Expense|utilities","Expense|other_operating"},0)),N(R184),0)+IF(ISNUMBER(MATCH(AB184,{"Expense|employee","Expense|general_admin","Expense|marketing","Expense|utilities","Expense|other_operating"},0)),N(S184),0)+IF(ISNUMBER(MATCH(AC184,{"Expense|employee","Expense|general_admin","Expense|marketing","Expense|utilities","Expense|other_operating"},0)),-N(L184),0)+IF(ISNUMBER(MATCH(AD184,{"Expense|employee","Expense|general_admin","Expense|marketing","Expense|utilities","Expense|other_operating"},0)),-N(U184),0)+IF(ISNUMBER(MATCH(AE184,{"Expense|employee","Expense|general_admin","Expense|marketing","Expense|utilities","Expense|other_operating"},0)),-N(T184),0)</f>
        <v/>
      </c>
      <c r="AJ184" s="23">
        <f>IF(AA184="Liability|payable",-N(R184),0)+IF(AB184="Liability|payable",-N(S184),0)+IF(AC184="Liability|payable",N(L184),0)+IF(AD184="Liability|payable",N(U184),0)+IF(AE184="Liability|payable",N(T184),0)</f>
        <v/>
      </c>
      <c r="AK184" s="23">
        <f>IF(AA184="Liability|accrued",-N(R184),0)+IF(AB184="Liability|accrued",-N(S184),0)+IF(AC184="Liability|accrued",N(L184),0)+IF(AD184="Liability|accrued",N(U184),0)+IF(AE184="Liability|accrued",N(T184),0)</f>
        <v/>
      </c>
      <c r="AL184" s="23">
        <f>IF(AND(N(R184)&lt;&gt;0,AA184=""),1,0)+IF(AND(N(S184)&lt;&gt;0,AB184=""),1,0)+IF(AND(N(L184)&lt;&gt;0,AC184=""),1,0)+IF(AND(N(U184)&lt;&gt;0,AD184=""),1,0)+IF(AND(N(T184)&lt;&gt;0,AE184=""),1,0)</f>
        <v/>
      </c>
    </row>
    <row r="185">
      <c r="A185" s="19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20" t="n"/>
      <c r="K185" s="20" t="n"/>
      <c r="L185" s="20" t="n"/>
      <c r="M185" s="14" t="n"/>
      <c r="N185" s="14" t="n"/>
      <c r="O185" s="14" t="n"/>
      <c r="P185" s="14" t="n"/>
      <c r="Q185" s="14" t="n"/>
      <c r="R185" s="21">
        <f>ROUND(N(H185)*N(J185)-N(K185),2)</f>
        <v/>
      </c>
      <c r="S185" s="21">
        <f>ROUND(R185*IFERROR(VLOOKUP(P185,'Tax Codes'!$A$5:$E$300,5,FALSE),0),2)</f>
        <v/>
      </c>
      <c r="T185" s="21">
        <f>ROUND(R185*IFERROR(VLOOKUP(Q185,'Tax Codes'!$A$5:$E$300,5,FALSE),0),2)</f>
        <v/>
      </c>
      <c r="U185" s="21">
        <f>R185+S185-T185-N(L185)</f>
        <v/>
      </c>
      <c r="V185" s="16">
        <f>IF(C185="",INDEX('Chart of Accounts'!$A$5:$A$3000,MATCH("materials",'Chart of Accounts'!$F$5:$F$3000,0)),C185&amp;"")</f>
        <v/>
      </c>
      <c r="W185" s="16">
        <f>IF(N185="",INDEX('Chart of Accounts'!$A$5:$A$3000,MATCH("bank",'Chart of Accounts'!$F$5:$F$3000,0)),N185&amp;"")</f>
        <v/>
      </c>
      <c r="X185" s="16">
        <f>IF(O185="",INDEX('Chart of Accounts'!$A$5:$A$3000,MATCH("ap",'Chart of Accounts'!$F$5:$F$3000,0)),O185&amp;"")</f>
        <v/>
      </c>
      <c r="Y185" s="16">
        <f>INDEX('Chart of Accounts'!$A$5:$A$3000,MATCH("vat_input",'Chart of Accounts'!$F$5:$F$3000,0))</f>
        <v/>
      </c>
      <c r="Z185" s="16">
        <f>INDEX('Chart of Accounts'!$A$5:$A$3000,MATCH("wht_payable",'Chart of Accounts'!$F$5:$F$3000,0))</f>
        <v/>
      </c>
      <c r="AA185" s="23">
        <f>IFERROR(INDEX('Chart of Accounts'!$C$5:$C$3000,MATCH(V185&amp;"",'Chart of Accounts'!$A$5:$A$3000,0))&amp;"|"&amp;INDEX('Chart of Accounts'!$D$5:$D$3000,MATCH(V185&amp;"",'Chart of Accounts'!$A$5:$A$3000,0)),"")</f>
        <v/>
      </c>
      <c r="AB185" s="23">
        <f>IFERROR(INDEX('Chart of Accounts'!$C$5:$C$3000,MATCH(Y185&amp;"",'Chart of Accounts'!$A$5:$A$3000,0))&amp;"|"&amp;INDEX('Chart of Accounts'!$D$5:$D$3000,MATCH(Y185&amp;"",'Chart of Accounts'!$A$5:$A$3000,0)),"")</f>
        <v/>
      </c>
      <c r="AC185" s="23">
        <f>IFERROR(INDEX('Chart of Accounts'!$C$5:$C$3000,MATCH(W185&amp;"",'Chart of Accounts'!$A$5:$A$3000,0))&amp;"|"&amp;INDEX('Chart of Accounts'!$D$5:$D$3000,MATCH(W185&amp;"",'Chart of Accounts'!$A$5:$A$3000,0)),"")</f>
        <v/>
      </c>
      <c r="AD185" s="23">
        <f>IFERROR(INDEX('Chart of Accounts'!$C$5:$C$3000,MATCH(X185&amp;"",'Chart of Accounts'!$A$5:$A$3000,0))&amp;"|"&amp;INDEX('Chart of Accounts'!$D$5:$D$3000,MATCH(X185&amp;"",'Chart of Accounts'!$A$5:$A$3000,0)),"")</f>
        <v/>
      </c>
      <c r="AE185" s="23">
        <f>IFERROR(INDEX('Chart of Accounts'!$C$5:$C$3000,MATCH(Z185&amp;"",'Chart of Accounts'!$A$5:$A$3000,0))&amp;"|"&amp;INDEX('Chart of Accounts'!$D$5:$D$3000,MATCH(Z185&amp;"",'Chart of Accounts'!$A$5:$A$3000,0)),"")</f>
        <v/>
      </c>
      <c r="AF185" s="23">
        <f>IF(LEFT(AA185,8)="Revenue|",-N(R185),0)+IF(LEFT(AB185,8)="Revenue|",-N(S185),0)+IF(LEFT(AC185,8)="Revenue|",N(L185),0)+IF(LEFT(AD185,8)="Revenue|",N(U185),0)+IF(LEFT(AE185,8)="Revenue|",N(T185),0)</f>
        <v/>
      </c>
      <c r="AG185" s="23">
        <f>IF(LEFT(AA185,5)="COGS|",N(R185),0)+IF(LEFT(AB185,5)="COGS|",N(S185),0)+IF(LEFT(AC185,5)="COGS|",-N(L185),0)+IF(LEFT(AD185,5)="COGS|",-N(U185),0)+IF(LEFT(AE185,5)="COGS|",-N(T185),0)</f>
        <v/>
      </c>
      <c r="AH185" s="23">
        <f>IF(LEFT(AA185,8)="Expense|",N(R185),0)+IF(LEFT(AB185,8)="Expense|",N(S185),0)+IF(LEFT(AC185,8)="Expense|",-N(L185),0)+IF(LEFT(AD185,8)="Expense|",-N(U185),0)+IF(LEFT(AE185,8)="Expense|",-N(T185),0)</f>
        <v/>
      </c>
      <c r="AI185" s="23">
        <f>IF(ISNUMBER(MATCH(AA185,{"Expense|employee","Expense|general_admin","Expense|marketing","Expense|utilities","Expense|other_operating"},0)),N(R185),0)+IF(ISNUMBER(MATCH(AB185,{"Expense|employee","Expense|general_admin","Expense|marketing","Expense|utilities","Expense|other_operating"},0)),N(S185),0)+IF(ISNUMBER(MATCH(AC185,{"Expense|employee","Expense|general_admin","Expense|marketing","Expense|utilities","Expense|other_operating"},0)),-N(L185),0)+IF(ISNUMBER(MATCH(AD185,{"Expense|employee","Expense|general_admin","Expense|marketing","Expense|utilities","Expense|other_operating"},0)),-N(U185),0)+IF(ISNUMBER(MATCH(AE185,{"Expense|employee","Expense|general_admin","Expense|marketing","Expense|utilities","Expense|other_operating"},0)),-N(T185),0)</f>
        <v/>
      </c>
      <c r="AJ185" s="23">
        <f>IF(AA185="Liability|payable",-N(R185),0)+IF(AB185="Liability|payable",-N(S185),0)+IF(AC185="Liability|payable",N(L185),0)+IF(AD185="Liability|payable",N(U185),0)+IF(AE185="Liability|payable",N(T185),0)</f>
        <v/>
      </c>
      <c r="AK185" s="23">
        <f>IF(AA185="Liability|accrued",-N(R185),0)+IF(AB185="Liability|accrued",-N(S185),0)+IF(AC185="Liability|accrued",N(L185),0)+IF(AD185="Liability|accrued",N(U185),0)+IF(AE185="Liability|accrued",N(T185),0)</f>
        <v/>
      </c>
      <c r="AL185" s="23">
        <f>IF(AND(N(R185)&lt;&gt;0,AA185=""),1,0)+IF(AND(N(S185)&lt;&gt;0,AB185=""),1,0)+IF(AND(N(L185)&lt;&gt;0,AC185=""),1,0)+IF(AND(N(U185)&lt;&gt;0,AD185=""),1,0)+IF(AND(N(T185)&lt;&gt;0,AE185=""),1,0)</f>
        <v/>
      </c>
    </row>
    <row r="186">
      <c r="A186" s="19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20" t="n"/>
      <c r="K186" s="20" t="n"/>
      <c r="L186" s="20" t="n"/>
      <c r="M186" s="14" t="n"/>
      <c r="N186" s="14" t="n"/>
      <c r="O186" s="14" t="n"/>
      <c r="P186" s="14" t="n"/>
      <c r="Q186" s="14" t="n"/>
      <c r="R186" s="21">
        <f>ROUND(N(H186)*N(J186)-N(K186),2)</f>
        <v/>
      </c>
      <c r="S186" s="21">
        <f>ROUND(R186*IFERROR(VLOOKUP(P186,'Tax Codes'!$A$5:$E$300,5,FALSE),0),2)</f>
        <v/>
      </c>
      <c r="T186" s="21">
        <f>ROUND(R186*IFERROR(VLOOKUP(Q186,'Tax Codes'!$A$5:$E$300,5,FALSE),0),2)</f>
        <v/>
      </c>
      <c r="U186" s="21">
        <f>R186+S186-T186-N(L186)</f>
        <v/>
      </c>
      <c r="V186" s="16">
        <f>IF(C186="",INDEX('Chart of Accounts'!$A$5:$A$3000,MATCH("materials",'Chart of Accounts'!$F$5:$F$3000,0)),C186&amp;"")</f>
        <v/>
      </c>
      <c r="W186" s="16">
        <f>IF(N186="",INDEX('Chart of Accounts'!$A$5:$A$3000,MATCH("bank",'Chart of Accounts'!$F$5:$F$3000,0)),N186&amp;"")</f>
        <v/>
      </c>
      <c r="X186" s="16">
        <f>IF(O186="",INDEX('Chart of Accounts'!$A$5:$A$3000,MATCH("ap",'Chart of Accounts'!$F$5:$F$3000,0)),O186&amp;"")</f>
        <v/>
      </c>
      <c r="Y186" s="16">
        <f>INDEX('Chart of Accounts'!$A$5:$A$3000,MATCH("vat_input",'Chart of Accounts'!$F$5:$F$3000,0))</f>
        <v/>
      </c>
      <c r="Z186" s="16">
        <f>INDEX('Chart of Accounts'!$A$5:$A$3000,MATCH("wht_payable",'Chart of Accounts'!$F$5:$F$3000,0))</f>
        <v/>
      </c>
      <c r="AA186" s="23">
        <f>IFERROR(INDEX('Chart of Accounts'!$C$5:$C$3000,MATCH(V186&amp;"",'Chart of Accounts'!$A$5:$A$3000,0))&amp;"|"&amp;INDEX('Chart of Accounts'!$D$5:$D$3000,MATCH(V186&amp;"",'Chart of Accounts'!$A$5:$A$3000,0)),"")</f>
        <v/>
      </c>
      <c r="AB186" s="23">
        <f>IFERROR(INDEX('Chart of Accounts'!$C$5:$C$3000,MATCH(Y186&amp;"",'Chart of Accounts'!$A$5:$A$3000,0))&amp;"|"&amp;INDEX('Chart of Accounts'!$D$5:$D$3000,MATCH(Y186&amp;"",'Chart of Accounts'!$A$5:$A$3000,0)),"")</f>
        <v/>
      </c>
      <c r="AC186" s="23">
        <f>IFERROR(INDEX('Chart of Accounts'!$C$5:$C$3000,MATCH(W186&amp;"",'Chart of Accounts'!$A$5:$A$3000,0))&amp;"|"&amp;INDEX('Chart of Accounts'!$D$5:$D$3000,MATCH(W186&amp;"",'Chart of Accounts'!$A$5:$A$3000,0)),"")</f>
        <v/>
      </c>
      <c r="AD186" s="23">
        <f>IFERROR(INDEX('Chart of Accounts'!$C$5:$C$3000,MATCH(X186&amp;"",'Chart of Accounts'!$A$5:$A$3000,0))&amp;"|"&amp;INDEX('Chart of Accounts'!$D$5:$D$3000,MATCH(X186&amp;"",'Chart of Accounts'!$A$5:$A$3000,0)),"")</f>
        <v/>
      </c>
      <c r="AE186" s="23">
        <f>IFERROR(INDEX('Chart of Accounts'!$C$5:$C$3000,MATCH(Z186&amp;"",'Chart of Accounts'!$A$5:$A$3000,0))&amp;"|"&amp;INDEX('Chart of Accounts'!$D$5:$D$3000,MATCH(Z186&amp;"",'Chart of Accounts'!$A$5:$A$3000,0)),"")</f>
        <v/>
      </c>
      <c r="AF186" s="23">
        <f>IF(LEFT(AA186,8)="Revenue|",-N(R186),0)+IF(LEFT(AB186,8)="Revenue|",-N(S186),0)+IF(LEFT(AC186,8)="Revenue|",N(L186),0)+IF(LEFT(AD186,8)="Revenue|",N(U186),0)+IF(LEFT(AE186,8)="Revenue|",N(T186),0)</f>
        <v/>
      </c>
      <c r="AG186" s="23">
        <f>IF(LEFT(AA186,5)="COGS|",N(R186),0)+IF(LEFT(AB186,5)="COGS|",N(S186),0)+IF(LEFT(AC186,5)="COGS|",-N(L186),0)+IF(LEFT(AD186,5)="COGS|",-N(U186),0)+IF(LEFT(AE186,5)="COGS|",-N(T186),0)</f>
        <v/>
      </c>
      <c r="AH186" s="23">
        <f>IF(LEFT(AA186,8)="Expense|",N(R186),0)+IF(LEFT(AB186,8)="Expense|",N(S186),0)+IF(LEFT(AC186,8)="Expense|",-N(L186),0)+IF(LEFT(AD186,8)="Expense|",-N(U186),0)+IF(LEFT(AE186,8)="Expense|",-N(T186),0)</f>
        <v/>
      </c>
      <c r="AI186" s="23">
        <f>IF(ISNUMBER(MATCH(AA186,{"Expense|employee","Expense|general_admin","Expense|marketing","Expense|utilities","Expense|other_operating"},0)),N(R186),0)+IF(ISNUMBER(MATCH(AB186,{"Expense|employee","Expense|general_admin","Expense|marketing","Expense|utilities","Expense|other_operating"},0)),N(S186),0)+IF(ISNUMBER(MATCH(AC186,{"Expense|employee","Expense|general_admin","Expense|marketing","Expense|utilities","Expense|other_operating"},0)),-N(L186),0)+IF(ISNUMBER(MATCH(AD186,{"Expense|employee","Expense|general_admin","Expense|marketing","Expense|utilities","Expense|other_operating"},0)),-N(U186),0)+IF(ISNUMBER(MATCH(AE186,{"Expense|employee","Expense|general_admin","Expense|marketing","Expense|utilities","Expense|other_operating"},0)),-N(T186),0)</f>
        <v/>
      </c>
      <c r="AJ186" s="23">
        <f>IF(AA186="Liability|payable",-N(R186),0)+IF(AB186="Liability|payable",-N(S186),0)+IF(AC186="Liability|payable",N(L186),0)+IF(AD186="Liability|payable",N(U186),0)+IF(AE186="Liability|payable",N(T186),0)</f>
        <v/>
      </c>
      <c r="AK186" s="23">
        <f>IF(AA186="Liability|accrued",-N(R186),0)+IF(AB186="Liability|accrued",-N(S186),0)+IF(AC186="Liability|accrued",N(L186),0)+IF(AD186="Liability|accrued",N(U186),0)+IF(AE186="Liability|accrued",N(T186),0)</f>
        <v/>
      </c>
      <c r="AL186" s="23">
        <f>IF(AND(N(R186)&lt;&gt;0,AA186=""),1,0)+IF(AND(N(S186)&lt;&gt;0,AB186=""),1,0)+IF(AND(N(L186)&lt;&gt;0,AC186=""),1,0)+IF(AND(N(U186)&lt;&gt;0,AD186=""),1,0)+IF(AND(N(T186)&lt;&gt;0,AE186=""),1,0)</f>
        <v/>
      </c>
    </row>
    <row r="187">
      <c r="A187" s="19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20" t="n"/>
      <c r="K187" s="20" t="n"/>
      <c r="L187" s="20" t="n"/>
      <c r="M187" s="14" t="n"/>
      <c r="N187" s="14" t="n"/>
      <c r="O187" s="14" t="n"/>
      <c r="P187" s="14" t="n"/>
      <c r="Q187" s="14" t="n"/>
      <c r="R187" s="21">
        <f>ROUND(N(H187)*N(J187)-N(K187),2)</f>
        <v/>
      </c>
      <c r="S187" s="21">
        <f>ROUND(R187*IFERROR(VLOOKUP(P187,'Tax Codes'!$A$5:$E$300,5,FALSE),0),2)</f>
        <v/>
      </c>
      <c r="T187" s="21">
        <f>ROUND(R187*IFERROR(VLOOKUP(Q187,'Tax Codes'!$A$5:$E$300,5,FALSE),0),2)</f>
        <v/>
      </c>
      <c r="U187" s="21">
        <f>R187+S187-T187-N(L187)</f>
        <v/>
      </c>
      <c r="V187" s="16">
        <f>IF(C187="",INDEX('Chart of Accounts'!$A$5:$A$3000,MATCH("materials",'Chart of Accounts'!$F$5:$F$3000,0)),C187&amp;"")</f>
        <v/>
      </c>
      <c r="W187" s="16">
        <f>IF(N187="",INDEX('Chart of Accounts'!$A$5:$A$3000,MATCH("bank",'Chart of Accounts'!$F$5:$F$3000,0)),N187&amp;"")</f>
        <v/>
      </c>
      <c r="X187" s="16">
        <f>IF(O187="",INDEX('Chart of Accounts'!$A$5:$A$3000,MATCH("ap",'Chart of Accounts'!$F$5:$F$3000,0)),O187&amp;"")</f>
        <v/>
      </c>
      <c r="Y187" s="16">
        <f>INDEX('Chart of Accounts'!$A$5:$A$3000,MATCH("vat_input",'Chart of Accounts'!$F$5:$F$3000,0))</f>
        <v/>
      </c>
      <c r="Z187" s="16">
        <f>INDEX('Chart of Accounts'!$A$5:$A$3000,MATCH("wht_payable",'Chart of Accounts'!$F$5:$F$3000,0))</f>
        <v/>
      </c>
      <c r="AA187" s="23">
        <f>IFERROR(INDEX('Chart of Accounts'!$C$5:$C$3000,MATCH(V187&amp;"",'Chart of Accounts'!$A$5:$A$3000,0))&amp;"|"&amp;INDEX('Chart of Accounts'!$D$5:$D$3000,MATCH(V187&amp;"",'Chart of Accounts'!$A$5:$A$3000,0)),"")</f>
        <v/>
      </c>
      <c r="AB187" s="23">
        <f>IFERROR(INDEX('Chart of Accounts'!$C$5:$C$3000,MATCH(Y187&amp;"",'Chart of Accounts'!$A$5:$A$3000,0))&amp;"|"&amp;INDEX('Chart of Accounts'!$D$5:$D$3000,MATCH(Y187&amp;"",'Chart of Accounts'!$A$5:$A$3000,0)),"")</f>
        <v/>
      </c>
      <c r="AC187" s="23">
        <f>IFERROR(INDEX('Chart of Accounts'!$C$5:$C$3000,MATCH(W187&amp;"",'Chart of Accounts'!$A$5:$A$3000,0))&amp;"|"&amp;INDEX('Chart of Accounts'!$D$5:$D$3000,MATCH(W187&amp;"",'Chart of Accounts'!$A$5:$A$3000,0)),"")</f>
        <v/>
      </c>
      <c r="AD187" s="23">
        <f>IFERROR(INDEX('Chart of Accounts'!$C$5:$C$3000,MATCH(X187&amp;"",'Chart of Accounts'!$A$5:$A$3000,0))&amp;"|"&amp;INDEX('Chart of Accounts'!$D$5:$D$3000,MATCH(X187&amp;"",'Chart of Accounts'!$A$5:$A$3000,0)),"")</f>
        <v/>
      </c>
      <c r="AE187" s="23">
        <f>IFERROR(INDEX('Chart of Accounts'!$C$5:$C$3000,MATCH(Z187&amp;"",'Chart of Accounts'!$A$5:$A$3000,0))&amp;"|"&amp;INDEX('Chart of Accounts'!$D$5:$D$3000,MATCH(Z187&amp;"",'Chart of Accounts'!$A$5:$A$3000,0)),"")</f>
        <v/>
      </c>
      <c r="AF187" s="23">
        <f>IF(LEFT(AA187,8)="Revenue|",-N(R187),0)+IF(LEFT(AB187,8)="Revenue|",-N(S187),0)+IF(LEFT(AC187,8)="Revenue|",N(L187),0)+IF(LEFT(AD187,8)="Revenue|",N(U187),0)+IF(LEFT(AE187,8)="Revenue|",N(T187),0)</f>
        <v/>
      </c>
      <c r="AG187" s="23">
        <f>IF(LEFT(AA187,5)="COGS|",N(R187),0)+IF(LEFT(AB187,5)="COGS|",N(S187),0)+IF(LEFT(AC187,5)="COGS|",-N(L187),0)+IF(LEFT(AD187,5)="COGS|",-N(U187),0)+IF(LEFT(AE187,5)="COGS|",-N(T187),0)</f>
        <v/>
      </c>
      <c r="AH187" s="23">
        <f>IF(LEFT(AA187,8)="Expense|",N(R187),0)+IF(LEFT(AB187,8)="Expense|",N(S187),0)+IF(LEFT(AC187,8)="Expense|",-N(L187),0)+IF(LEFT(AD187,8)="Expense|",-N(U187),0)+IF(LEFT(AE187,8)="Expense|",-N(T187),0)</f>
        <v/>
      </c>
      <c r="AI187" s="23">
        <f>IF(ISNUMBER(MATCH(AA187,{"Expense|employee","Expense|general_admin","Expense|marketing","Expense|utilities","Expense|other_operating"},0)),N(R187),0)+IF(ISNUMBER(MATCH(AB187,{"Expense|employee","Expense|general_admin","Expense|marketing","Expense|utilities","Expense|other_operating"},0)),N(S187),0)+IF(ISNUMBER(MATCH(AC187,{"Expense|employee","Expense|general_admin","Expense|marketing","Expense|utilities","Expense|other_operating"},0)),-N(L187),0)+IF(ISNUMBER(MATCH(AD187,{"Expense|employee","Expense|general_admin","Expense|marketing","Expense|utilities","Expense|other_operating"},0)),-N(U187),0)+IF(ISNUMBER(MATCH(AE187,{"Expense|employee","Expense|general_admin","Expense|marketing","Expense|utilities","Expense|other_operating"},0)),-N(T187),0)</f>
        <v/>
      </c>
      <c r="AJ187" s="23">
        <f>IF(AA187="Liability|payable",-N(R187),0)+IF(AB187="Liability|payable",-N(S187),0)+IF(AC187="Liability|payable",N(L187),0)+IF(AD187="Liability|payable",N(U187),0)+IF(AE187="Liability|payable",N(T187),0)</f>
        <v/>
      </c>
      <c r="AK187" s="23">
        <f>IF(AA187="Liability|accrued",-N(R187),0)+IF(AB187="Liability|accrued",-N(S187),0)+IF(AC187="Liability|accrued",N(L187),0)+IF(AD187="Liability|accrued",N(U187),0)+IF(AE187="Liability|accrued",N(T187),0)</f>
        <v/>
      </c>
      <c r="AL187" s="23">
        <f>IF(AND(N(R187)&lt;&gt;0,AA187=""),1,0)+IF(AND(N(S187)&lt;&gt;0,AB187=""),1,0)+IF(AND(N(L187)&lt;&gt;0,AC187=""),1,0)+IF(AND(N(U187)&lt;&gt;0,AD187=""),1,0)+IF(AND(N(T187)&lt;&gt;0,AE187=""),1,0)</f>
        <v/>
      </c>
    </row>
    <row r="188">
      <c r="A188" s="19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20" t="n"/>
      <c r="K188" s="20" t="n"/>
      <c r="L188" s="20" t="n"/>
      <c r="M188" s="14" t="n"/>
      <c r="N188" s="14" t="n"/>
      <c r="O188" s="14" t="n"/>
      <c r="P188" s="14" t="n"/>
      <c r="Q188" s="14" t="n"/>
      <c r="R188" s="21">
        <f>ROUND(N(H188)*N(J188)-N(K188),2)</f>
        <v/>
      </c>
      <c r="S188" s="21">
        <f>ROUND(R188*IFERROR(VLOOKUP(P188,'Tax Codes'!$A$5:$E$300,5,FALSE),0),2)</f>
        <v/>
      </c>
      <c r="T188" s="21">
        <f>ROUND(R188*IFERROR(VLOOKUP(Q188,'Tax Codes'!$A$5:$E$300,5,FALSE),0),2)</f>
        <v/>
      </c>
      <c r="U188" s="21">
        <f>R188+S188-T188-N(L188)</f>
        <v/>
      </c>
      <c r="V188" s="16">
        <f>IF(C188="",INDEX('Chart of Accounts'!$A$5:$A$3000,MATCH("materials",'Chart of Accounts'!$F$5:$F$3000,0)),C188&amp;"")</f>
        <v/>
      </c>
      <c r="W188" s="16">
        <f>IF(N188="",INDEX('Chart of Accounts'!$A$5:$A$3000,MATCH("bank",'Chart of Accounts'!$F$5:$F$3000,0)),N188&amp;"")</f>
        <v/>
      </c>
      <c r="X188" s="16">
        <f>IF(O188="",INDEX('Chart of Accounts'!$A$5:$A$3000,MATCH("ap",'Chart of Accounts'!$F$5:$F$3000,0)),O188&amp;"")</f>
        <v/>
      </c>
      <c r="Y188" s="16">
        <f>INDEX('Chart of Accounts'!$A$5:$A$3000,MATCH("vat_input",'Chart of Accounts'!$F$5:$F$3000,0))</f>
        <v/>
      </c>
      <c r="Z188" s="16">
        <f>INDEX('Chart of Accounts'!$A$5:$A$3000,MATCH("wht_payable",'Chart of Accounts'!$F$5:$F$3000,0))</f>
        <v/>
      </c>
      <c r="AA188" s="23">
        <f>IFERROR(INDEX('Chart of Accounts'!$C$5:$C$3000,MATCH(V188&amp;"",'Chart of Accounts'!$A$5:$A$3000,0))&amp;"|"&amp;INDEX('Chart of Accounts'!$D$5:$D$3000,MATCH(V188&amp;"",'Chart of Accounts'!$A$5:$A$3000,0)),"")</f>
        <v/>
      </c>
      <c r="AB188" s="23">
        <f>IFERROR(INDEX('Chart of Accounts'!$C$5:$C$3000,MATCH(Y188&amp;"",'Chart of Accounts'!$A$5:$A$3000,0))&amp;"|"&amp;INDEX('Chart of Accounts'!$D$5:$D$3000,MATCH(Y188&amp;"",'Chart of Accounts'!$A$5:$A$3000,0)),"")</f>
        <v/>
      </c>
      <c r="AC188" s="23">
        <f>IFERROR(INDEX('Chart of Accounts'!$C$5:$C$3000,MATCH(W188&amp;"",'Chart of Accounts'!$A$5:$A$3000,0))&amp;"|"&amp;INDEX('Chart of Accounts'!$D$5:$D$3000,MATCH(W188&amp;"",'Chart of Accounts'!$A$5:$A$3000,0)),"")</f>
        <v/>
      </c>
      <c r="AD188" s="23">
        <f>IFERROR(INDEX('Chart of Accounts'!$C$5:$C$3000,MATCH(X188&amp;"",'Chart of Accounts'!$A$5:$A$3000,0))&amp;"|"&amp;INDEX('Chart of Accounts'!$D$5:$D$3000,MATCH(X188&amp;"",'Chart of Accounts'!$A$5:$A$3000,0)),"")</f>
        <v/>
      </c>
      <c r="AE188" s="23">
        <f>IFERROR(INDEX('Chart of Accounts'!$C$5:$C$3000,MATCH(Z188&amp;"",'Chart of Accounts'!$A$5:$A$3000,0))&amp;"|"&amp;INDEX('Chart of Accounts'!$D$5:$D$3000,MATCH(Z188&amp;"",'Chart of Accounts'!$A$5:$A$3000,0)),"")</f>
        <v/>
      </c>
      <c r="AF188" s="23">
        <f>IF(LEFT(AA188,8)="Revenue|",-N(R188),0)+IF(LEFT(AB188,8)="Revenue|",-N(S188),0)+IF(LEFT(AC188,8)="Revenue|",N(L188),0)+IF(LEFT(AD188,8)="Revenue|",N(U188),0)+IF(LEFT(AE188,8)="Revenue|",N(T188),0)</f>
        <v/>
      </c>
      <c r="AG188" s="23">
        <f>IF(LEFT(AA188,5)="COGS|",N(R188),0)+IF(LEFT(AB188,5)="COGS|",N(S188),0)+IF(LEFT(AC188,5)="COGS|",-N(L188),0)+IF(LEFT(AD188,5)="COGS|",-N(U188),0)+IF(LEFT(AE188,5)="COGS|",-N(T188),0)</f>
        <v/>
      </c>
      <c r="AH188" s="23">
        <f>IF(LEFT(AA188,8)="Expense|",N(R188),0)+IF(LEFT(AB188,8)="Expense|",N(S188),0)+IF(LEFT(AC188,8)="Expense|",-N(L188),0)+IF(LEFT(AD188,8)="Expense|",-N(U188),0)+IF(LEFT(AE188,8)="Expense|",-N(T188),0)</f>
        <v/>
      </c>
      <c r="AI188" s="23">
        <f>IF(ISNUMBER(MATCH(AA188,{"Expense|employee","Expense|general_admin","Expense|marketing","Expense|utilities","Expense|other_operating"},0)),N(R188),0)+IF(ISNUMBER(MATCH(AB188,{"Expense|employee","Expense|general_admin","Expense|marketing","Expense|utilities","Expense|other_operating"},0)),N(S188),0)+IF(ISNUMBER(MATCH(AC188,{"Expense|employee","Expense|general_admin","Expense|marketing","Expense|utilities","Expense|other_operating"},0)),-N(L188),0)+IF(ISNUMBER(MATCH(AD188,{"Expense|employee","Expense|general_admin","Expense|marketing","Expense|utilities","Expense|other_operating"},0)),-N(U188),0)+IF(ISNUMBER(MATCH(AE188,{"Expense|employee","Expense|general_admin","Expense|marketing","Expense|utilities","Expense|other_operating"},0)),-N(T188),0)</f>
        <v/>
      </c>
      <c r="AJ188" s="23">
        <f>IF(AA188="Liability|payable",-N(R188),0)+IF(AB188="Liability|payable",-N(S188),0)+IF(AC188="Liability|payable",N(L188),0)+IF(AD188="Liability|payable",N(U188),0)+IF(AE188="Liability|payable",N(T188),0)</f>
        <v/>
      </c>
      <c r="AK188" s="23">
        <f>IF(AA188="Liability|accrued",-N(R188),0)+IF(AB188="Liability|accrued",-N(S188),0)+IF(AC188="Liability|accrued",N(L188),0)+IF(AD188="Liability|accrued",N(U188),0)+IF(AE188="Liability|accrued",N(T188),0)</f>
        <v/>
      </c>
      <c r="AL188" s="23">
        <f>IF(AND(N(R188)&lt;&gt;0,AA188=""),1,0)+IF(AND(N(S188)&lt;&gt;0,AB188=""),1,0)+IF(AND(N(L188)&lt;&gt;0,AC188=""),1,0)+IF(AND(N(U188)&lt;&gt;0,AD188=""),1,0)+IF(AND(N(T188)&lt;&gt;0,AE188=""),1,0)</f>
        <v/>
      </c>
    </row>
    <row r="189">
      <c r="A189" s="19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20" t="n"/>
      <c r="K189" s="20" t="n"/>
      <c r="L189" s="20" t="n"/>
      <c r="M189" s="14" t="n"/>
      <c r="N189" s="14" t="n"/>
      <c r="O189" s="14" t="n"/>
      <c r="P189" s="14" t="n"/>
      <c r="Q189" s="14" t="n"/>
      <c r="R189" s="21">
        <f>ROUND(N(H189)*N(J189)-N(K189),2)</f>
        <v/>
      </c>
      <c r="S189" s="21">
        <f>ROUND(R189*IFERROR(VLOOKUP(P189,'Tax Codes'!$A$5:$E$300,5,FALSE),0),2)</f>
        <v/>
      </c>
      <c r="T189" s="21">
        <f>ROUND(R189*IFERROR(VLOOKUP(Q189,'Tax Codes'!$A$5:$E$300,5,FALSE),0),2)</f>
        <v/>
      </c>
      <c r="U189" s="21">
        <f>R189+S189-T189-N(L189)</f>
        <v/>
      </c>
      <c r="V189" s="16">
        <f>IF(C189="",INDEX('Chart of Accounts'!$A$5:$A$3000,MATCH("materials",'Chart of Accounts'!$F$5:$F$3000,0)),C189&amp;"")</f>
        <v/>
      </c>
      <c r="W189" s="16">
        <f>IF(N189="",INDEX('Chart of Accounts'!$A$5:$A$3000,MATCH("bank",'Chart of Accounts'!$F$5:$F$3000,0)),N189&amp;"")</f>
        <v/>
      </c>
      <c r="X189" s="16">
        <f>IF(O189="",INDEX('Chart of Accounts'!$A$5:$A$3000,MATCH("ap",'Chart of Accounts'!$F$5:$F$3000,0)),O189&amp;"")</f>
        <v/>
      </c>
      <c r="Y189" s="16">
        <f>INDEX('Chart of Accounts'!$A$5:$A$3000,MATCH("vat_input",'Chart of Accounts'!$F$5:$F$3000,0))</f>
        <v/>
      </c>
      <c r="Z189" s="16">
        <f>INDEX('Chart of Accounts'!$A$5:$A$3000,MATCH("wht_payable",'Chart of Accounts'!$F$5:$F$3000,0))</f>
        <v/>
      </c>
      <c r="AA189" s="23">
        <f>IFERROR(INDEX('Chart of Accounts'!$C$5:$C$3000,MATCH(V189&amp;"",'Chart of Accounts'!$A$5:$A$3000,0))&amp;"|"&amp;INDEX('Chart of Accounts'!$D$5:$D$3000,MATCH(V189&amp;"",'Chart of Accounts'!$A$5:$A$3000,0)),"")</f>
        <v/>
      </c>
      <c r="AB189" s="23">
        <f>IFERROR(INDEX('Chart of Accounts'!$C$5:$C$3000,MATCH(Y189&amp;"",'Chart of Accounts'!$A$5:$A$3000,0))&amp;"|"&amp;INDEX('Chart of Accounts'!$D$5:$D$3000,MATCH(Y189&amp;"",'Chart of Accounts'!$A$5:$A$3000,0)),"")</f>
        <v/>
      </c>
      <c r="AC189" s="23">
        <f>IFERROR(INDEX('Chart of Accounts'!$C$5:$C$3000,MATCH(W189&amp;"",'Chart of Accounts'!$A$5:$A$3000,0))&amp;"|"&amp;INDEX('Chart of Accounts'!$D$5:$D$3000,MATCH(W189&amp;"",'Chart of Accounts'!$A$5:$A$3000,0)),"")</f>
        <v/>
      </c>
      <c r="AD189" s="23">
        <f>IFERROR(INDEX('Chart of Accounts'!$C$5:$C$3000,MATCH(X189&amp;"",'Chart of Accounts'!$A$5:$A$3000,0))&amp;"|"&amp;INDEX('Chart of Accounts'!$D$5:$D$3000,MATCH(X189&amp;"",'Chart of Accounts'!$A$5:$A$3000,0)),"")</f>
        <v/>
      </c>
      <c r="AE189" s="23">
        <f>IFERROR(INDEX('Chart of Accounts'!$C$5:$C$3000,MATCH(Z189&amp;"",'Chart of Accounts'!$A$5:$A$3000,0))&amp;"|"&amp;INDEX('Chart of Accounts'!$D$5:$D$3000,MATCH(Z189&amp;"",'Chart of Accounts'!$A$5:$A$3000,0)),"")</f>
        <v/>
      </c>
      <c r="AF189" s="23">
        <f>IF(LEFT(AA189,8)="Revenue|",-N(R189),0)+IF(LEFT(AB189,8)="Revenue|",-N(S189),0)+IF(LEFT(AC189,8)="Revenue|",N(L189),0)+IF(LEFT(AD189,8)="Revenue|",N(U189),0)+IF(LEFT(AE189,8)="Revenue|",N(T189),0)</f>
        <v/>
      </c>
      <c r="AG189" s="23">
        <f>IF(LEFT(AA189,5)="COGS|",N(R189),0)+IF(LEFT(AB189,5)="COGS|",N(S189),0)+IF(LEFT(AC189,5)="COGS|",-N(L189),0)+IF(LEFT(AD189,5)="COGS|",-N(U189),0)+IF(LEFT(AE189,5)="COGS|",-N(T189),0)</f>
        <v/>
      </c>
      <c r="AH189" s="23">
        <f>IF(LEFT(AA189,8)="Expense|",N(R189),0)+IF(LEFT(AB189,8)="Expense|",N(S189),0)+IF(LEFT(AC189,8)="Expense|",-N(L189),0)+IF(LEFT(AD189,8)="Expense|",-N(U189),0)+IF(LEFT(AE189,8)="Expense|",-N(T189),0)</f>
        <v/>
      </c>
      <c r="AI189" s="23">
        <f>IF(ISNUMBER(MATCH(AA189,{"Expense|employee","Expense|general_admin","Expense|marketing","Expense|utilities","Expense|other_operating"},0)),N(R189),0)+IF(ISNUMBER(MATCH(AB189,{"Expense|employee","Expense|general_admin","Expense|marketing","Expense|utilities","Expense|other_operating"},0)),N(S189),0)+IF(ISNUMBER(MATCH(AC189,{"Expense|employee","Expense|general_admin","Expense|marketing","Expense|utilities","Expense|other_operating"},0)),-N(L189),0)+IF(ISNUMBER(MATCH(AD189,{"Expense|employee","Expense|general_admin","Expense|marketing","Expense|utilities","Expense|other_operating"},0)),-N(U189),0)+IF(ISNUMBER(MATCH(AE189,{"Expense|employee","Expense|general_admin","Expense|marketing","Expense|utilities","Expense|other_operating"},0)),-N(T189),0)</f>
        <v/>
      </c>
      <c r="AJ189" s="23">
        <f>IF(AA189="Liability|payable",-N(R189),0)+IF(AB189="Liability|payable",-N(S189),0)+IF(AC189="Liability|payable",N(L189),0)+IF(AD189="Liability|payable",N(U189),0)+IF(AE189="Liability|payable",N(T189),0)</f>
        <v/>
      </c>
      <c r="AK189" s="23">
        <f>IF(AA189="Liability|accrued",-N(R189),0)+IF(AB189="Liability|accrued",-N(S189),0)+IF(AC189="Liability|accrued",N(L189),0)+IF(AD189="Liability|accrued",N(U189),0)+IF(AE189="Liability|accrued",N(T189),0)</f>
        <v/>
      </c>
      <c r="AL189" s="23">
        <f>IF(AND(N(R189)&lt;&gt;0,AA189=""),1,0)+IF(AND(N(S189)&lt;&gt;0,AB189=""),1,0)+IF(AND(N(L189)&lt;&gt;0,AC189=""),1,0)+IF(AND(N(U189)&lt;&gt;0,AD189=""),1,0)+IF(AND(N(T189)&lt;&gt;0,AE189=""),1,0)</f>
        <v/>
      </c>
    </row>
    <row r="190">
      <c r="A190" s="19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20" t="n"/>
      <c r="K190" s="20" t="n"/>
      <c r="L190" s="20" t="n"/>
      <c r="M190" s="14" t="n"/>
      <c r="N190" s="14" t="n"/>
      <c r="O190" s="14" t="n"/>
      <c r="P190" s="14" t="n"/>
      <c r="Q190" s="14" t="n"/>
      <c r="R190" s="21">
        <f>ROUND(N(H190)*N(J190)-N(K190),2)</f>
        <v/>
      </c>
      <c r="S190" s="21">
        <f>ROUND(R190*IFERROR(VLOOKUP(P190,'Tax Codes'!$A$5:$E$300,5,FALSE),0),2)</f>
        <v/>
      </c>
      <c r="T190" s="21">
        <f>ROUND(R190*IFERROR(VLOOKUP(Q190,'Tax Codes'!$A$5:$E$300,5,FALSE),0),2)</f>
        <v/>
      </c>
      <c r="U190" s="21">
        <f>R190+S190-T190-N(L190)</f>
        <v/>
      </c>
      <c r="V190" s="16">
        <f>IF(C190="",INDEX('Chart of Accounts'!$A$5:$A$3000,MATCH("materials",'Chart of Accounts'!$F$5:$F$3000,0)),C190&amp;"")</f>
        <v/>
      </c>
      <c r="W190" s="16">
        <f>IF(N190="",INDEX('Chart of Accounts'!$A$5:$A$3000,MATCH("bank",'Chart of Accounts'!$F$5:$F$3000,0)),N190&amp;"")</f>
        <v/>
      </c>
      <c r="X190" s="16">
        <f>IF(O190="",INDEX('Chart of Accounts'!$A$5:$A$3000,MATCH("ap",'Chart of Accounts'!$F$5:$F$3000,0)),O190&amp;"")</f>
        <v/>
      </c>
      <c r="Y190" s="16">
        <f>INDEX('Chart of Accounts'!$A$5:$A$3000,MATCH("vat_input",'Chart of Accounts'!$F$5:$F$3000,0))</f>
        <v/>
      </c>
      <c r="Z190" s="16">
        <f>INDEX('Chart of Accounts'!$A$5:$A$3000,MATCH("wht_payable",'Chart of Accounts'!$F$5:$F$3000,0))</f>
        <v/>
      </c>
      <c r="AA190" s="23">
        <f>IFERROR(INDEX('Chart of Accounts'!$C$5:$C$3000,MATCH(V190&amp;"",'Chart of Accounts'!$A$5:$A$3000,0))&amp;"|"&amp;INDEX('Chart of Accounts'!$D$5:$D$3000,MATCH(V190&amp;"",'Chart of Accounts'!$A$5:$A$3000,0)),"")</f>
        <v/>
      </c>
      <c r="AB190" s="23">
        <f>IFERROR(INDEX('Chart of Accounts'!$C$5:$C$3000,MATCH(Y190&amp;"",'Chart of Accounts'!$A$5:$A$3000,0))&amp;"|"&amp;INDEX('Chart of Accounts'!$D$5:$D$3000,MATCH(Y190&amp;"",'Chart of Accounts'!$A$5:$A$3000,0)),"")</f>
        <v/>
      </c>
      <c r="AC190" s="23">
        <f>IFERROR(INDEX('Chart of Accounts'!$C$5:$C$3000,MATCH(W190&amp;"",'Chart of Accounts'!$A$5:$A$3000,0))&amp;"|"&amp;INDEX('Chart of Accounts'!$D$5:$D$3000,MATCH(W190&amp;"",'Chart of Accounts'!$A$5:$A$3000,0)),"")</f>
        <v/>
      </c>
      <c r="AD190" s="23">
        <f>IFERROR(INDEX('Chart of Accounts'!$C$5:$C$3000,MATCH(X190&amp;"",'Chart of Accounts'!$A$5:$A$3000,0))&amp;"|"&amp;INDEX('Chart of Accounts'!$D$5:$D$3000,MATCH(X190&amp;"",'Chart of Accounts'!$A$5:$A$3000,0)),"")</f>
        <v/>
      </c>
      <c r="AE190" s="23">
        <f>IFERROR(INDEX('Chart of Accounts'!$C$5:$C$3000,MATCH(Z190&amp;"",'Chart of Accounts'!$A$5:$A$3000,0))&amp;"|"&amp;INDEX('Chart of Accounts'!$D$5:$D$3000,MATCH(Z190&amp;"",'Chart of Accounts'!$A$5:$A$3000,0)),"")</f>
        <v/>
      </c>
      <c r="AF190" s="23">
        <f>IF(LEFT(AA190,8)="Revenue|",-N(R190),0)+IF(LEFT(AB190,8)="Revenue|",-N(S190),0)+IF(LEFT(AC190,8)="Revenue|",N(L190),0)+IF(LEFT(AD190,8)="Revenue|",N(U190),0)+IF(LEFT(AE190,8)="Revenue|",N(T190),0)</f>
        <v/>
      </c>
      <c r="AG190" s="23">
        <f>IF(LEFT(AA190,5)="COGS|",N(R190),0)+IF(LEFT(AB190,5)="COGS|",N(S190),0)+IF(LEFT(AC190,5)="COGS|",-N(L190),0)+IF(LEFT(AD190,5)="COGS|",-N(U190),0)+IF(LEFT(AE190,5)="COGS|",-N(T190),0)</f>
        <v/>
      </c>
      <c r="AH190" s="23">
        <f>IF(LEFT(AA190,8)="Expense|",N(R190),0)+IF(LEFT(AB190,8)="Expense|",N(S190),0)+IF(LEFT(AC190,8)="Expense|",-N(L190),0)+IF(LEFT(AD190,8)="Expense|",-N(U190),0)+IF(LEFT(AE190,8)="Expense|",-N(T190),0)</f>
        <v/>
      </c>
      <c r="AI190" s="23">
        <f>IF(ISNUMBER(MATCH(AA190,{"Expense|employee","Expense|general_admin","Expense|marketing","Expense|utilities","Expense|other_operating"},0)),N(R190),0)+IF(ISNUMBER(MATCH(AB190,{"Expense|employee","Expense|general_admin","Expense|marketing","Expense|utilities","Expense|other_operating"},0)),N(S190),0)+IF(ISNUMBER(MATCH(AC190,{"Expense|employee","Expense|general_admin","Expense|marketing","Expense|utilities","Expense|other_operating"},0)),-N(L190),0)+IF(ISNUMBER(MATCH(AD190,{"Expense|employee","Expense|general_admin","Expense|marketing","Expense|utilities","Expense|other_operating"},0)),-N(U190),0)+IF(ISNUMBER(MATCH(AE190,{"Expense|employee","Expense|general_admin","Expense|marketing","Expense|utilities","Expense|other_operating"},0)),-N(T190),0)</f>
        <v/>
      </c>
      <c r="AJ190" s="23">
        <f>IF(AA190="Liability|payable",-N(R190),0)+IF(AB190="Liability|payable",-N(S190),0)+IF(AC190="Liability|payable",N(L190),0)+IF(AD190="Liability|payable",N(U190),0)+IF(AE190="Liability|payable",N(T190),0)</f>
        <v/>
      </c>
      <c r="AK190" s="23">
        <f>IF(AA190="Liability|accrued",-N(R190),0)+IF(AB190="Liability|accrued",-N(S190),0)+IF(AC190="Liability|accrued",N(L190),0)+IF(AD190="Liability|accrued",N(U190),0)+IF(AE190="Liability|accrued",N(T190),0)</f>
        <v/>
      </c>
      <c r="AL190" s="23">
        <f>IF(AND(N(R190)&lt;&gt;0,AA190=""),1,0)+IF(AND(N(S190)&lt;&gt;0,AB190=""),1,0)+IF(AND(N(L190)&lt;&gt;0,AC190=""),1,0)+IF(AND(N(U190)&lt;&gt;0,AD190=""),1,0)+IF(AND(N(T190)&lt;&gt;0,AE190=""),1,0)</f>
        <v/>
      </c>
    </row>
    <row r="191">
      <c r="A191" s="19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20" t="n"/>
      <c r="K191" s="20" t="n"/>
      <c r="L191" s="20" t="n"/>
      <c r="M191" s="14" t="n"/>
      <c r="N191" s="14" t="n"/>
      <c r="O191" s="14" t="n"/>
      <c r="P191" s="14" t="n"/>
      <c r="Q191" s="14" t="n"/>
      <c r="R191" s="21">
        <f>ROUND(N(H191)*N(J191)-N(K191),2)</f>
        <v/>
      </c>
      <c r="S191" s="21">
        <f>ROUND(R191*IFERROR(VLOOKUP(P191,'Tax Codes'!$A$5:$E$300,5,FALSE),0),2)</f>
        <v/>
      </c>
      <c r="T191" s="21">
        <f>ROUND(R191*IFERROR(VLOOKUP(Q191,'Tax Codes'!$A$5:$E$300,5,FALSE),0),2)</f>
        <v/>
      </c>
      <c r="U191" s="21">
        <f>R191+S191-T191-N(L191)</f>
        <v/>
      </c>
      <c r="V191" s="16">
        <f>IF(C191="",INDEX('Chart of Accounts'!$A$5:$A$3000,MATCH("materials",'Chart of Accounts'!$F$5:$F$3000,0)),C191&amp;"")</f>
        <v/>
      </c>
      <c r="W191" s="16">
        <f>IF(N191="",INDEX('Chart of Accounts'!$A$5:$A$3000,MATCH("bank",'Chart of Accounts'!$F$5:$F$3000,0)),N191&amp;"")</f>
        <v/>
      </c>
      <c r="X191" s="16">
        <f>IF(O191="",INDEX('Chart of Accounts'!$A$5:$A$3000,MATCH("ap",'Chart of Accounts'!$F$5:$F$3000,0)),O191&amp;"")</f>
        <v/>
      </c>
      <c r="Y191" s="16">
        <f>INDEX('Chart of Accounts'!$A$5:$A$3000,MATCH("vat_input",'Chart of Accounts'!$F$5:$F$3000,0))</f>
        <v/>
      </c>
      <c r="Z191" s="16">
        <f>INDEX('Chart of Accounts'!$A$5:$A$3000,MATCH("wht_payable",'Chart of Accounts'!$F$5:$F$3000,0))</f>
        <v/>
      </c>
      <c r="AA191" s="23">
        <f>IFERROR(INDEX('Chart of Accounts'!$C$5:$C$3000,MATCH(V191&amp;"",'Chart of Accounts'!$A$5:$A$3000,0))&amp;"|"&amp;INDEX('Chart of Accounts'!$D$5:$D$3000,MATCH(V191&amp;"",'Chart of Accounts'!$A$5:$A$3000,0)),"")</f>
        <v/>
      </c>
      <c r="AB191" s="23">
        <f>IFERROR(INDEX('Chart of Accounts'!$C$5:$C$3000,MATCH(Y191&amp;"",'Chart of Accounts'!$A$5:$A$3000,0))&amp;"|"&amp;INDEX('Chart of Accounts'!$D$5:$D$3000,MATCH(Y191&amp;"",'Chart of Accounts'!$A$5:$A$3000,0)),"")</f>
        <v/>
      </c>
      <c r="AC191" s="23">
        <f>IFERROR(INDEX('Chart of Accounts'!$C$5:$C$3000,MATCH(W191&amp;"",'Chart of Accounts'!$A$5:$A$3000,0))&amp;"|"&amp;INDEX('Chart of Accounts'!$D$5:$D$3000,MATCH(W191&amp;"",'Chart of Accounts'!$A$5:$A$3000,0)),"")</f>
        <v/>
      </c>
      <c r="AD191" s="23">
        <f>IFERROR(INDEX('Chart of Accounts'!$C$5:$C$3000,MATCH(X191&amp;"",'Chart of Accounts'!$A$5:$A$3000,0))&amp;"|"&amp;INDEX('Chart of Accounts'!$D$5:$D$3000,MATCH(X191&amp;"",'Chart of Accounts'!$A$5:$A$3000,0)),"")</f>
        <v/>
      </c>
      <c r="AE191" s="23">
        <f>IFERROR(INDEX('Chart of Accounts'!$C$5:$C$3000,MATCH(Z191&amp;"",'Chart of Accounts'!$A$5:$A$3000,0))&amp;"|"&amp;INDEX('Chart of Accounts'!$D$5:$D$3000,MATCH(Z191&amp;"",'Chart of Accounts'!$A$5:$A$3000,0)),"")</f>
        <v/>
      </c>
      <c r="AF191" s="23">
        <f>IF(LEFT(AA191,8)="Revenue|",-N(R191),0)+IF(LEFT(AB191,8)="Revenue|",-N(S191),0)+IF(LEFT(AC191,8)="Revenue|",N(L191),0)+IF(LEFT(AD191,8)="Revenue|",N(U191),0)+IF(LEFT(AE191,8)="Revenue|",N(T191),0)</f>
        <v/>
      </c>
      <c r="AG191" s="23">
        <f>IF(LEFT(AA191,5)="COGS|",N(R191),0)+IF(LEFT(AB191,5)="COGS|",N(S191),0)+IF(LEFT(AC191,5)="COGS|",-N(L191),0)+IF(LEFT(AD191,5)="COGS|",-N(U191),0)+IF(LEFT(AE191,5)="COGS|",-N(T191),0)</f>
        <v/>
      </c>
      <c r="AH191" s="23">
        <f>IF(LEFT(AA191,8)="Expense|",N(R191),0)+IF(LEFT(AB191,8)="Expense|",N(S191),0)+IF(LEFT(AC191,8)="Expense|",-N(L191),0)+IF(LEFT(AD191,8)="Expense|",-N(U191),0)+IF(LEFT(AE191,8)="Expense|",-N(T191),0)</f>
        <v/>
      </c>
      <c r="AI191" s="23">
        <f>IF(ISNUMBER(MATCH(AA191,{"Expense|employee","Expense|general_admin","Expense|marketing","Expense|utilities","Expense|other_operating"},0)),N(R191),0)+IF(ISNUMBER(MATCH(AB191,{"Expense|employee","Expense|general_admin","Expense|marketing","Expense|utilities","Expense|other_operating"},0)),N(S191),0)+IF(ISNUMBER(MATCH(AC191,{"Expense|employee","Expense|general_admin","Expense|marketing","Expense|utilities","Expense|other_operating"},0)),-N(L191),0)+IF(ISNUMBER(MATCH(AD191,{"Expense|employee","Expense|general_admin","Expense|marketing","Expense|utilities","Expense|other_operating"},0)),-N(U191),0)+IF(ISNUMBER(MATCH(AE191,{"Expense|employee","Expense|general_admin","Expense|marketing","Expense|utilities","Expense|other_operating"},0)),-N(T191),0)</f>
        <v/>
      </c>
      <c r="AJ191" s="23">
        <f>IF(AA191="Liability|payable",-N(R191),0)+IF(AB191="Liability|payable",-N(S191),0)+IF(AC191="Liability|payable",N(L191),0)+IF(AD191="Liability|payable",N(U191),0)+IF(AE191="Liability|payable",N(T191),0)</f>
        <v/>
      </c>
      <c r="AK191" s="23">
        <f>IF(AA191="Liability|accrued",-N(R191),0)+IF(AB191="Liability|accrued",-N(S191),0)+IF(AC191="Liability|accrued",N(L191),0)+IF(AD191="Liability|accrued",N(U191),0)+IF(AE191="Liability|accrued",N(T191),0)</f>
        <v/>
      </c>
      <c r="AL191" s="23">
        <f>IF(AND(N(R191)&lt;&gt;0,AA191=""),1,0)+IF(AND(N(S191)&lt;&gt;0,AB191=""),1,0)+IF(AND(N(L191)&lt;&gt;0,AC191=""),1,0)+IF(AND(N(U191)&lt;&gt;0,AD191=""),1,0)+IF(AND(N(T191)&lt;&gt;0,AE191=""),1,0)</f>
        <v/>
      </c>
    </row>
    <row r="192">
      <c r="A192" s="19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20" t="n"/>
      <c r="K192" s="20" t="n"/>
      <c r="L192" s="20" t="n"/>
      <c r="M192" s="14" t="n"/>
      <c r="N192" s="14" t="n"/>
      <c r="O192" s="14" t="n"/>
      <c r="P192" s="14" t="n"/>
      <c r="Q192" s="14" t="n"/>
      <c r="R192" s="21">
        <f>ROUND(N(H192)*N(J192)-N(K192),2)</f>
        <v/>
      </c>
      <c r="S192" s="21">
        <f>ROUND(R192*IFERROR(VLOOKUP(P192,'Tax Codes'!$A$5:$E$300,5,FALSE),0),2)</f>
        <v/>
      </c>
      <c r="T192" s="21">
        <f>ROUND(R192*IFERROR(VLOOKUP(Q192,'Tax Codes'!$A$5:$E$300,5,FALSE),0),2)</f>
        <v/>
      </c>
      <c r="U192" s="21">
        <f>R192+S192-T192-N(L192)</f>
        <v/>
      </c>
      <c r="V192" s="16">
        <f>IF(C192="",INDEX('Chart of Accounts'!$A$5:$A$3000,MATCH("materials",'Chart of Accounts'!$F$5:$F$3000,0)),C192&amp;"")</f>
        <v/>
      </c>
      <c r="W192" s="16">
        <f>IF(N192="",INDEX('Chart of Accounts'!$A$5:$A$3000,MATCH("bank",'Chart of Accounts'!$F$5:$F$3000,0)),N192&amp;"")</f>
        <v/>
      </c>
      <c r="X192" s="16">
        <f>IF(O192="",INDEX('Chart of Accounts'!$A$5:$A$3000,MATCH("ap",'Chart of Accounts'!$F$5:$F$3000,0)),O192&amp;"")</f>
        <v/>
      </c>
      <c r="Y192" s="16">
        <f>INDEX('Chart of Accounts'!$A$5:$A$3000,MATCH("vat_input",'Chart of Accounts'!$F$5:$F$3000,0))</f>
        <v/>
      </c>
      <c r="Z192" s="16">
        <f>INDEX('Chart of Accounts'!$A$5:$A$3000,MATCH("wht_payable",'Chart of Accounts'!$F$5:$F$3000,0))</f>
        <v/>
      </c>
      <c r="AA192" s="23">
        <f>IFERROR(INDEX('Chart of Accounts'!$C$5:$C$3000,MATCH(V192&amp;"",'Chart of Accounts'!$A$5:$A$3000,0))&amp;"|"&amp;INDEX('Chart of Accounts'!$D$5:$D$3000,MATCH(V192&amp;"",'Chart of Accounts'!$A$5:$A$3000,0)),"")</f>
        <v/>
      </c>
      <c r="AB192" s="23">
        <f>IFERROR(INDEX('Chart of Accounts'!$C$5:$C$3000,MATCH(Y192&amp;"",'Chart of Accounts'!$A$5:$A$3000,0))&amp;"|"&amp;INDEX('Chart of Accounts'!$D$5:$D$3000,MATCH(Y192&amp;"",'Chart of Accounts'!$A$5:$A$3000,0)),"")</f>
        <v/>
      </c>
      <c r="AC192" s="23">
        <f>IFERROR(INDEX('Chart of Accounts'!$C$5:$C$3000,MATCH(W192&amp;"",'Chart of Accounts'!$A$5:$A$3000,0))&amp;"|"&amp;INDEX('Chart of Accounts'!$D$5:$D$3000,MATCH(W192&amp;"",'Chart of Accounts'!$A$5:$A$3000,0)),"")</f>
        <v/>
      </c>
      <c r="AD192" s="23">
        <f>IFERROR(INDEX('Chart of Accounts'!$C$5:$C$3000,MATCH(X192&amp;"",'Chart of Accounts'!$A$5:$A$3000,0))&amp;"|"&amp;INDEX('Chart of Accounts'!$D$5:$D$3000,MATCH(X192&amp;"",'Chart of Accounts'!$A$5:$A$3000,0)),"")</f>
        <v/>
      </c>
      <c r="AE192" s="23">
        <f>IFERROR(INDEX('Chart of Accounts'!$C$5:$C$3000,MATCH(Z192&amp;"",'Chart of Accounts'!$A$5:$A$3000,0))&amp;"|"&amp;INDEX('Chart of Accounts'!$D$5:$D$3000,MATCH(Z192&amp;"",'Chart of Accounts'!$A$5:$A$3000,0)),"")</f>
        <v/>
      </c>
      <c r="AF192" s="23">
        <f>IF(LEFT(AA192,8)="Revenue|",-N(R192),0)+IF(LEFT(AB192,8)="Revenue|",-N(S192),0)+IF(LEFT(AC192,8)="Revenue|",N(L192),0)+IF(LEFT(AD192,8)="Revenue|",N(U192),0)+IF(LEFT(AE192,8)="Revenue|",N(T192),0)</f>
        <v/>
      </c>
      <c r="AG192" s="23">
        <f>IF(LEFT(AA192,5)="COGS|",N(R192),0)+IF(LEFT(AB192,5)="COGS|",N(S192),0)+IF(LEFT(AC192,5)="COGS|",-N(L192),0)+IF(LEFT(AD192,5)="COGS|",-N(U192),0)+IF(LEFT(AE192,5)="COGS|",-N(T192),0)</f>
        <v/>
      </c>
      <c r="AH192" s="23">
        <f>IF(LEFT(AA192,8)="Expense|",N(R192),0)+IF(LEFT(AB192,8)="Expense|",N(S192),0)+IF(LEFT(AC192,8)="Expense|",-N(L192),0)+IF(LEFT(AD192,8)="Expense|",-N(U192),0)+IF(LEFT(AE192,8)="Expense|",-N(T192),0)</f>
        <v/>
      </c>
      <c r="AI192" s="23">
        <f>IF(ISNUMBER(MATCH(AA192,{"Expense|employee","Expense|general_admin","Expense|marketing","Expense|utilities","Expense|other_operating"},0)),N(R192),0)+IF(ISNUMBER(MATCH(AB192,{"Expense|employee","Expense|general_admin","Expense|marketing","Expense|utilities","Expense|other_operating"},0)),N(S192),0)+IF(ISNUMBER(MATCH(AC192,{"Expense|employee","Expense|general_admin","Expense|marketing","Expense|utilities","Expense|other_operating"},0)),-N(L192),0)+IF(ISNUMBER(MATCH(AD192,{"Expense|employee","Expense|general_admin","Expense|marketing","Expense|utilities","Expense|other_operating"},0)),-N(U192),0)+IF(ISNUMBER(MATCH(AE192,{"Expense|employee","Expense|general_admin","Expense|marketing","Expense|utilities","Expense|other_operating"},0)),-N(T192),0)</f>
        <v/>
      </c>
      <c r="AJ192" s="23">
        <f>IF(AA192="Liability|payable",-N(R192),0)+IF(AB192="Liability|payable",-N(S192),0)+IF(AC192="Liability|payable",N(L192),0)+IF(AD192="Liability|payable",N(U192),0)+IF(AE192="Liability|payable",N(T192),0)</f>
        <v/>
      </c>
      <c r="AK192" s="23">
        <f>IF(AA192="Liability|accrued",-N(R192),0)+IF(AB192="Liability|accrued",-N(S192),0)+IF(AC192="Liability|accrued",N(L192),0)+IF(AD192="Liability|accrued",N(U192),0)+IF(AE192="Liability|accrued",N(T192),0)</f>
        <v/>
      </c>
      <c r="AL192" s="23">
        <f>IF(AND(N(R192)&lt;&gt;0,AA192=""),1,0)+IF(AND(N(S192)&lt;&gt;0,AB192=""),1,0)+IF(AND(N(L192)&lt;&gt;0,AC192=""),1,0)+IF(AND(N(U192)&lt;&gt;0,AD192=""),1,0)+IF(AND(N(T192)&lt;&gt;0,AE192=""),1,0)</f>
        <v/>
      </c>
    </row>
    <row r="193">
      <c r="A193" s="19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20" t="n"/>
      <c r="K193" s="20" t="n"/>
      <c r="L193" s="20" t="n"/>
      <c r="M193" s="14" t="n"/>
      <c r="N193" s="14" t="n"/>
      <c r="O193" s="14" t="n"/>
      <c r="P193" s="14" t="n"/>
      <c r="Q193" s="14" t="n"/>
      <c r="R193" s="21">
        <f>ROUND(N(H193)*N(J193)-N(K193),2)</f>
        <v/>
      </c>
      <c r="S193" s="21">
        <f>ROUND(R193*IFERROR(VLOOKUP(P193,'Tax Codes'!$A$5:$E$300,5,FALSE),0),2)</f>
        <v/>
      </c>
      <c r="T193" s="21">
        <f>ROUND(R193*IFERROR(VLOOKUP(Q193,'Tax Codes'!$A$5:$E$300,5,FALSE),0),2)</f>
        <v/>
      </c>
      <c r="U193" s="21">
        <f>R193+S193-T193-N(L193)</f>
        <v/>
      </c>
      <c r="V193" s="16">
        <f>IF(C193="",INDEX('Chart of Accounts'!$A$5:$A$3000,MATCH("materials",'Chart of Accounts'!$F$5:$F$3000,0)),C193&amp;"")</f>
        <v/>
      </c>
      <c r="W193" s="16">
        <f>IF(N193="",INDEX('Chart of Accounts'!$A$5:$A$3000,MATCH("bank",'Chart of Accounts'!$F$5:$F$3000,0)),N193&amp;"")</f>
        <v/>
      </c>
      <c r="X193" s="16">
        <f>IF(O193="",INDEX('Chart of Accounts'!$A$5:$A$3000,MATCH("ap",'Chart of Accounts'!$F$5:$F$3000,0)),O193&amp;"")</f>
        <v/>
      </c>
      <c r="Y193" s="16">
        <f>INDEX('Chart of Accounts'!$A$5:$A$3000,MATCH("vat_input",'Chart of Accounts'!$F$5:$F$3000,0))</f>
        <v/>
      </c>
      <c r="Z193" s="16">
        <f>INDEX('Chart of Accounts'!$A$5:$A$3000,MATCH("wht_payable",'Chart of Accounts'!$F$5:$F$3000,0))</f>
        <v/>
      </c>
      <c r="AA193" s="23">
        <f>IFERROR(INDEX('Chart of Accounts'!$C$5:$C$3000,MATCH(V193&amp;"",'Chart of Accounts'!$A$5:$A$3000,0))&amp;"|"&amp;INDEX('Chart of Accounts'!$D$5:$D$3000,MATCH(V193&amp;"",'Chart of Accounts'!$A$5:$A$3000,0)),"")</f>
        <v/>
      </c>
      <c r="AB193" s="23">
        <f>IFERROR(INDEX('Chart of Accounts'!$C$5:$C$3000,MATCH(Y193&amp;"",'Chart of Accounts'!$A$5:$A$3000,0))&amp;"|"&amp;INDEX('Chart of Accounts'!$D$5:$D$3000,MATCH(Y193&amp;"",'Chart of Accounts'!$A$5:$A$3000,0)),"")</f>
        <v/>
      </c>
      <c r="AC193" s="23">
        <f>IFERROR(INDEX('Chart of Accounts'!$C$5:$C$3000,MATCH(W193&amp;"",'Chart of Accounts'!$A$5:$A$3000,0))&amp;"|"&amp;INDEX('Chart of Accounts'!$D$5:$D$3000,MATCH(W193&amp;"",'Chart of Accounts'!$A$5:$A$3000,0)),"")</f>
        <v/>
      </c>
      <c r="AD193" s="23">
        <f>IFERROR(INDEX('Chart of Accounts'!$C$5:$C$3000,MATCH(X193&amp;"",'Chart of Accounts'!$A$5:$A$3000,0))&amp;"|"&amp;INDEX('Chart of Accounts'!$D$5:$D$3000,MATCH(X193&amp;"",'Chart of Accounts'!$A$5:$A$3000,0)),"")</f>
        <v/>
      </c>
      <c r="AE193" s="23">
        <f>IFERROR(INDEX('Chart of Accounts'!$C$5:$C$3000,MATCH(Z193&amp;"",'Chart of Accounts'!$A$5:$A$3000,0))&amp;"|"&amp;INDEX('Chart of Accounts'!$D$5:$D$3000,MATCH(Z193&amp;"",'Chart of Accounts'!$A$5:$A$3000,0)),"")</f>
        <v/>
      </c>
      <c r="AF193" s="23">
        <f>IF(LEFT(AA193,8)="Revenue|",-N(R193),0)+IF(LEFT(AB193,8)="Revenue|",-N(S193),0)+IF(LEFT(AC193,8)="Revenue|",N(L193),0)+IF(LEFT(AD193,8)="Revenue|",N(U193),0)+IF(LEFT(AE193,8)="Revenue|",N(T193),0)</f>
        <v/>
      </c>
      <c r="AG193" s="23">
        <f>IF(LEFT(AA193,5)="COGS|",N(R193),0)+IF(LEFT(AB193,5)="COGS|",N(S193),0)+IF(LEFT(AC193,5)="COGS|",-N(L193),0)+IF(LEFT(AD193,5)="COGS|",-N(U193),0)+IF(LEFT(AE193,5)="COGS|",-N(T193),0)</f>
        <v/>
      </c>
      <c r="AH193" s="23">
        <f>IF(LEFT(AA193,8)="Expense|",N(R193),0)+IF(LEFT(AB193,8)="Expense|",N(S193),0)+IF(LEFT(AC193,8)="Expense|",-N(L193),0)+IF(LEFT(AD193,8)="Expense|",-N(U193),0)+IF(LEFT(AE193,8)="Expense|",-N(T193),0)</f>
        <v/>
      </c>
      <c r="AI193" s="23">
        <f>IF(ISNUMBER(MATCH(AA193,{"Expense|employee","Expense|general_admin","Expense|marketing","Expense|utilities","Expense|other_operating"},0)),N(R193),0)+IF(ISNUMBER(MATCH(AB193,{"Expense|employee","Expense|general_admin","Expense|marketing","Expense|utilities","Expense|other_operating"},0)),N(S193),0)+IF(ISNUMBER(MATCH(AC193,{"Expense|employee","Expense|general_admin","Expense|marketing","Expense|utilities","Expense|other_operating"},0)),-N(L193),0)+IF(ISNUMBER(MATCH(AD193,{"Expense|employee","Expense|general_admin","Expense|marketing","Expense|utilities","Expense|other_operating"},0)),-N(U193),0)+IF(ISNUMBER(MATCH(AE193,{"Expense|employee","Expense|general_admin","Expense|marketing","Expense|utilities","Expense|other_operating"},0)),-N(T193),0)</f>
        <v/>
      </c>
      <c r="AJ193" s="23">
        <f>IF(AA193="Liability|payable",-N(R193),0)+IF(AB193="Liability|payable",-N(S193),0)+IF(AC193="Liability|payable",N(L193),0)+IF(AD193="Liability|payable",N(U193),0)+IF(AE193="Liability|payable",N(T193),0)</f>
        <v/>
      </c>
      <c r="AK193" s="23">
        <f>IF(AA193="Liability|accrued",-N(R193),0)+IF(AB193="Liability|accrued",-N(S193),0)+IF(AC193="Liability|accrued",N(L193),0)+IF(AD193="Liability|accrued",N(U193),0)+IF(AE193="Liability|accrued",N(T193),0)</f>
        <v/>
      </c>
      <c r="AL193" s="23">
        <f>IF(AND(N(R193)&lt;&gt;0,AA193=""),1,0)+IF(AND(N(S193)&lt;&gt;0,AB193=""),1,0)+IF(AND(N(L193)&lt;&gt;0,AC193=""),1,0)+IF(AND(N(U193)&lt;&gt;0,AD193=""),1,0)+IF(AND(N(T193)&lt;&gt;0,AE193=""),1,0)</f>
        <v/>
      </c>
    </row>
    <row r="194">
      <c r="A194" s="19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20" t="n"/>
      <c r="K194" s="20" t="n"/>
      <c r="L194" s="20" t="n"/>
      <c r="M194" s="14" t="n"/>
      <c r="N194" s="14" t="n"/>
      <c r="O194" s="14" t="n"/>
      <c r="P194" s="14" t="n"/>
      <c r="Q194" s="14" t="n"/>
      <c r="R194" s="21">
        <f>ROUND(N(H194)*N(J194)-N(K194),2)</f>
        <v/>
      </c>
      <c r="S194" s="21">
        <f>ROUND(R194*IFERROR(VLOOKUP(P194,'Tax Codes'!$A$5:$E$300,5,FALSE),0),2)</f>
        <v/>
      </c>
      <c r="T194" s="21">
        <f>ROUND(R194*IFERROR(VLOOKUP(Q194,'Tax Codes'!$A$5:$E$300,5,FALSE),0),2)</f>
        <v/>
      </c>
      <c r="U194" s="21">
        <f>R194+S194-T194-N(L194)</f>
        <v/>
      </c>
      <c r="V194" s="16">
        <f>IF(C194="",INDEX('Chart of Accounts'!$A$5:$A$3000,MATCH("materials",'Chart of Accounts'!$F$5:$F$3000,0)),C194&amp;"")</f>
        <v/>
      </c>
      <c r="W194" s="16">
        <f>IF(N194="",INDEX('Chart of Accounts'!$A$5:$A$3000,MATCH("bank",'Chart of Accounts'!$F$5:$F$3000,0)),N194&amp;"")</f>
        <v/>
      </c>
      <c r="X194" s="16">
        <f>IF(O194="",INDEX('Chart of Accounts'!$A$5:$A$3000,MATCH("ap",'Chart of Accounts'!$F$5:$F$3000,0)),O194&amp;"")</f>
        <v/>
      </c>
      <c r="Y194" s="16">
        <f>INDEX('Chart of Accounts'!$A$5:$A$3000,MATCH("vat_input",'Chart of Accounts'!$F$5:$F$3000,0))</f>
        <v/>
      </c>
      <c r="Z194" s="16">
        <f>INDEX('Chart of Accounts'!$A$5:$A$3000,MATCH("wht_payable",'Chart of Accounts'!$F$5:$F$3000,0))</f>
        <v/>
      </c>
      <c r="AA194" s="23">
        <f>IFERROR(INDEX('Chart of Accounts'!$C$5:$C$3000,MATCH(V194&amp;"",'Chart of Accounts'!$A$5:$A$3000,0))&amp;"|"&amp;INDEX('Chart of Accounts'!$D$5:$D$3000,MATCH(V194&amp;"",'Chart of Accounts'!$A$5:$A$3000,0)),"")</f>
        <v/>
      </c>
      <c r="AB194" s="23">
        <f>IFERROR(INDEX('Chart of Accounts'!$C$5:$C$3000,MATCH(Y194&amp;"",'Chart of Accounts'!$A$5:$A$3000,0))&amp;"|"&amp;INDEX('Chart of Accounts'!$D$5:$D$3000,MATCH(Y194&amp;"",'Chart of Accounts'!$A$5:$A$3000,0)),"")</f>
        <v/>
      </c>
      <c r="AC194" s="23">
        <f>IFERROR(INDEX('Chart of Accounts'!$C$5:$C$3000,MATCH(W194&amp;"",'Chart of Accounts'!$A$5:$A$3000,0))&amp;"|"&amp;INDEX('Chart of Accounts'!$D$5:$D$3000,MATCH(W194&amp;"",'Chart of Accounts'!$A$5:$A$3000,0)),"")</f>
        <v/>
      </c>
      <c r="AD194" s="23">
        <f>IFERROR(INDEX('Chart of Accounts'!$C$5:$C$3000,MATCH(X194&amp;"",'Chart of Accounts'!$A$5:$A$3000,0))&amp;"|"&amp;INDEX('Chart of Accounts'!$D$5:$D$3000,MATCH(X194&amp;"",'Chart of Accounts'!$A$5:$A$3000,0)),"")</f>
        <v/>
      </c>
      <c r="AE194" s="23">
        <f>IFERROR(INDEX('Chart of Accounts'!$C$5:$C$3000,MATCH(Z194&amp;"",'Chart of Accounts'!$A$5:$A$3000,0))&amp;"|"&amp;INDEX('Chart of Accounts'!$D$5:$D$3000,MATCH(Z194&amp;"",'Chart of Accounts'!$A$5:$A$3000,0)),"")</f>
        <v/>
      </c>
      <c r="AF194" s="23">
        <f>IF(LEFT(AA194,8)="Revenue|",-N(R194),0)+IF(LEFT(AB194,8)="Revenue|",-N(S194),0)+IF(LEFT(AC194,8)="Revenue|",N(L194),0)+IF(LEFT(AD194,8)="Revenue|",N(U194),0)+IF(LEFT(AE194,8)="Revenue|",N(T194),0)</f>
        <v/>
      </c>
      <c r="AG194" s="23">
        <f>IF(LEFT(AA194,5)="COGS|",N(R194),0)+IF(LEFT(AB194,5)="COGS|",N(S194),0)+IF(LEFT(AC194,5)="COGS|",-N(L194),0)+IF(LEFT(AD194,5)="COGS|",-N(U194),0)+IF(LEFT(AE194,5)="COGS|",-N(T194),0)</f>
        <v/>
      </c>
      <c r="AH194" s="23">
        <f>IF(LEFT(AA194,8)="Expense|",N(R194),0)+IF(LEFT(AB194,8)="Expense|",N(S194),0)+IF(LEFT(AC194,8)="Expense|",-N(L194),0)+IF(LEFT(AD194,8)="Expense|",-N(U194),0)+IF(LEFT(AE194,8)="Expense|",-N(T194),0)</f>
        <v/>
      </c>
      <c r="AI194" s="23">
        <f>IF(ISNUMBER(MATCH(AA194,{"Expense|employee","Expense|general_admin","Expense|marketing","Expense|utilities","Expense|other_operating"},0)),N(R194),0)+IF(ISNUMBER(MATCH(AB194,{"Expense|employee","Expense|general_admin","Expense|marketing","Expense|utilities","Expense|other_operating"},0)),N(S194),0)+IF(ISNUMBER(MATCH(AC194,{"Expense|employee","Expense|general_admin","Expense|marketing","Expense|utilities","Expense|other_operating"},0)),-N(L194),0)+IF(ISNUMBER(MATCH(AD194,{"Expense|employee","Expense|general_admin","Expense|marketing","Expense|utilities","Expense|other_operating"},0)),-N(U194),0)+IF(ISNUMBER(MATCH(AE194,{"Expense|employee","Expense|general_admin","Expense|marketing","Expense|utilities","Expense|other_operating"},0)),-N(T194),0)</f>
        <v/>
      </c>
      <c r="AJ194" s="23">
        <f>IF(AA194="Liability|payable",-N(R194),0)+IF(AB194="Liability|payable",-N(S194),0)+IF(AC194="Liability|payable",N(L194),0)+IF(AD194="Liability|payable",N(U194),0)+IF(AE194="Liability|payable",N(T194),0)</f>
        <v/>
      </c>
      <c r="AK194" s="23">
        <f>IF(AA194="Liability|accrued",-N(R194),0)+IF(AB194="Liability|accrued",-N(S194),0)+IF(AC194="Liability|accrued",N(L194),0)+IF(AD194="Liability|accrued",N(U194),0)+IF(AE194="Liability|accrued",N(T194),0)</f>
        <v/>
      </c>
      <c r="AL194" s="23">
        <f>IF(AND(N(R194)&lt;&gt;0,AA194=""),1,0)+IF(AND(N(S194)&lt;&gt;0,AB194=""),1,0)+IF(AND(N(L194)&lt;&gt;0,AC194=""),1,0)+IF(AND(N(U194)&lt;&gt;0,AD194=""),1,0)+IF(AND(N(T194)&lt;&gt;0,AE194=""),1,0)</f>
        <v/>
      </c>
    </row>
    <row r="195">
      <c r="A195" s="19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20" t="n"/>
      <c r="K195" s="20" t="n"/>
      <c r="L195" s="20" t="n"/>
      <c r="M195" s="14" t="n"/>
      <c r="N195" s="14" t="n"/>
      <c r="O195" s="14" t="n"/>
      <c r="P195" s="14" t="n"/>
      <c r="Q195" s="14" t="n"/>
      <c r="R195" s="21">
        <f>ROUND(N(H195)*N(J195)-N(K195),2)</f>
        <v/>
      </c>
      <c r="S195" s="21">
        <f>ROUND(R195*IFERROR(VLOOKUP(P195,'Tax Codes'!$A$5:$E$300,5,FALSE),0),2)</f>
        <v/>
      </c>
      <c r="T195" s="21">
        <f>ROUND(R195*IFERROR(VLOOKUP(Q195,'Tax Codes'!$A$5:$E$300,5,FALSE),0),2)</f>
        <v/>
      </c>
      <c r="U195" s="21">
        <f>R195+S195-T195-N(L195)</f>
        <v/>
      </c>
      <c r="V195" s="16">
        <f>IF(C195="",INDEX('Chart of Accounts'!$A$5:$A$3000,MATCH("materials",'Chart of Accounts'!$F$5:$F$3000,0)),C195&amp;"")</f>
        <v/>
      </c>
      <c r="W195" s="16">
        <f>IF(N195="",INDEX('Chart of Accounts'!$A$5:$A$3000,MATCH("bank",'Chart of Accounts'!$F$5:$F$3000,0)),N195&amp;"")</f>
        <v/>
      </c>
      <c r="X195" s="16">
        <f>IF(O195="",INDEX('Chart of Accounts'!$A$5:$A$3000,MATCH("ap",'Chart of Accounts'!$F$5:$F$3000,0)),O195&amp;"")</f>
        <v/>
      </c>
      <c r="Y195" s="16">
        <f>INDEX('Chart of Accounts'!$A$5:$A$3000,MATCH("vat_input",'Chart of Accounts'!$F$5:$F$3000,0))</f>
        <v/>
      </c>
      <c r="Z195" s="16">
        <f>INDEX('Chart of Accounts'!$A$5:$A$3000,MATCH("wht_payable",'Chart of Accounts'!$F$5:$F$3000,0))</f>
        <v/>
      </c>
      <c r="AA195" s="23">
        <f>IFERROR(INDEX('Chart of Accounts'!$C$5:$C$3000,MATCH(V195&amp;"",'Chart of Accounts'!$A$5:$A$3000,0))&amp;"|"&amp;INDEX('Chart of Accounts'!$D$5:$D$3000,MATCH(V195&amp;"",'Chart of Accounts'!$A$5:$A$3000,0)),"")</f>
        <v/>
      </c>
      <c r="AB195" s="23">
        <f>IFERROR(INDEX('Chart of Accounts'!$C$5:$C$3000,MATCH(Y195&amp;"",'Chart of Accounts'!$A$5:$A$3000,0))&amp;"|"&amp;INDEX('Chart of Accounts'!$D$5:$D$3000,MATCH(Y195&amp;"",'Chart of Accounts'!$A$5:$A$3000,0)),"")</f>
        <v/>
      </c>
      <c r="AC195" s="23">
        <f>IFERROR(INDEX('Chart of Accounts'!$C$5:$C$3000,MATCH(W195&amp;"",'Chart of Accounts'!$A$5:$A$3000,0))&amp;"|"&amp;INDEX('Chart of Accounts'!$D$5:$D$3000,MATCH(W195&amp;"",'Chart of Accounts'!$A$5:$A$3000,0)),"")</f>
        <v/>
      </c>
      <c r="AD195" s="23">
        <f>IFERROR(INDEX('Chart of Accounts'!$C$5:$C$3000,MATCH(X195&amp;"",'Chart of Accounts'!$A$5:$A$3000,0))&amp;"|"&amp;INDEX('Chart of Accounts'!$D$5:$D$3000,MATCH(X195&amp;"",'Chart of Accounts'!$A$5:$A$3000,0)),"")</f>
        <v/>
      </c>
      <c r="AE195" s="23">
        <f>IFERROR(INDEX('Chart of Accounts'!$C$5:$C$3000,MATCH(Z195&amp;"",'Chart of Accounts'!$A$5:$A$3000,0))&amp;"|"&amp;INDEX('Chart of Accounts'!$D$5:$D$3000,MATCH(Z195&amp;"",'Chart of Accounts'!$A$5:$A$3000,0)),"")</f>
        <v/>
      </c>
      <c r="AF195" s="23">
        <f>IF(LEFT(AA195,8)="Revenue|",-N(R195),0)+IF(LEFT(AB195,8)="Revenue|",-N(S195),0)+IF(LEFT(AC195,8)="Revenue|",N(L195),0)+IF(LEFT(AD195,8)="Revenue|",N(U195),0)+IF(LEFT(AE195,8)="Revenue|",N(T195),0)</f>
        <v/>
      </c>
      <c r="AG195" s="23">
        <f>IF(LEFT(AA195,5)="COGS|",N(R195),0)+IF(LEFT(AB195,5)="COGS|",N(S195),0)+IF(LEFT(AC195,5)="COGS|",-N(L195),0)+IF(LEFT(AD195,5)="COGS|",-N(U195),0)+IF(LEFT(AE195,5)="COGS|",-N(T195),0)</f>
        <v/>
      </c>
      <c r="AH195" s="23">
        <f>IF(LEFT(AA195,8)="Expense|",N(R195),0)+IF(LEFT(AB195,8)="Expense|",N(S195),0)+IF(LEFT(AC195,8)="Expense|",-N(L195),0)+IF(LEFT(AD195,8)="Expense|",-N(U195),0)+IF(LEFT(AE195,8)="Expense|",-N(T195),0)</f>
        <v/>
      </c>
      <c r="AI195" s="23">
        <f>IF(ISNUMBER(MATCH(AA195,{"Expense|employee","Expense|general_admin","Expense|marketing","Expense|utilities","Expense|other_operating"},0)),N(R195),0)+IF(ISNUMBER(MATCH(AB195,{"Expense|employee","Expense|general_admin","Expense|marketing","Expense|utilities","Expense|other_operating"},0)),N(S195),0)+IF(ISNUMBER(MATCH(AC195,{"Expense|employee","Expense|general_admin","Expense|marketing","Expense|utilities","Expense|other_operating"},0)),-N(L195),0)+IF(ISNUMBER(MATCH(AD195,{"Expense|employee","Expense|general_admin","Expense|marketing","Expense|utilities","Expense|other_operating"},0)),-N(U195),0)+IF(ISNUMBER(MATCH(AE195,{"Expense|employee","Expense|general_admin","Expense|marketing","Expense|utilities","Expense|other_operating"},0)),-N(T195),0)</f>
        <v/>
      </c>
      <c r="AJ195" s="23">
        <f>IF(AA195="Liability|payable",-N(R195),0)+IF(AB195="Liability|payable",-N(S195),0)+IF(AC195="Liability|payable",N(L195),0)+IF(AD195="Liability|payable",N(U195),0)+IF(AE195="Liability|payable",N(T195),0)</f>
        <v/>
      </c>
      <c r="AK195" s="23">
        <f>IF(AA195="Liability|accrued",-N(R195),0)+IF(AB195="Liability|accrued",-N(S195),0)+IF(AC195="Liability|accrued",N(L195),0)+IF(AD195="Liability|accrued",N(U195),0)+IF(AE195="Liability|accrued",N(T195),0)</f>
        <v/>
      </c>
      <c r="AL195" s="23">
        <f>IF(AND(N(R195)&lt;&gt;0,AA195=""),1,0)+IF(AND(N(S195)&lt;&gt;0,AB195=""),1,0)+IF(AND(N(L195)&lt;&gt;0,AC195=""),1,0)+IF(AND(N(U195)&lt;&gt;0,AD195=""),1,0)+IF(AND(N(T195)&lt;&gt;0,AE195=""),1,0)</f>
        <v/>
      </c>
    </row>
    <row r="196">
      <c r="A196" s="19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20" t="n"/>
      <c r="K196" s="20" t="n"/>
      <c r="L196" s="20" t="n"/>
      <c r="M196" s="14" t="n"/>
      <c r="N196" s="14" t="n"/>
      <c r="O196" s="14" t="n"/>
      <c r="P196" s="14" t="n"/>
      <c r="Q196" s="14" t="n"/>
      <c r="R196" s="21">
        <f>ROUND(N(H196)*N(J196)-N(K196),2)</f>
        <v/>
      </c>
      <c r="S196" s="21">
        <f>ROUND(R196*IFERROR(VLOOKUP(P196,'Tax Codes'!$A$5:$E$300,5,FALSE),0),2)</f>
        <v/>
      </c>
      <c r="T196" s="21">
        <f>ROUND(R196*IFERROR(VLOOKUP(Q196,'Tax Codes'!$A$5:$E$300,5,FALSE),0),2)</f>
        <v/>
      </c>
      <c r="U196" s="21">
        <f>R196+S196-T196-N(L196)</f>
        <v/>
      </c>
      <c r="V196" s="16">
        <f>IF(C196="",INDEX('Chart of Accounts'!$A$5:$A$3000,MATCH("materials",'Chart of Accounts'!$F$5:$F$3000,0)),C196&amp;"")</f>
        <v/>
      </c>
      <c r="W196" s="16">
        <f>IF(N196="",INDEX('Chart of Accounts'!$A$5:$A$3000,MATCH("bank",'Chart of Accounts'!$F$5:$F$3000,0)),N196&amp;"")</f>
        <v/>
      </c>
      <c r="X196" s="16">
        <f>IF(O196="",INDEX('Chart of Accounts'!$A$5:$A$3000,MATCH("ap",'Chart of Accounts'!$F$5:$F$3000,0)),O196&amp;"")</f>
        <v/>
      </c>
      <c r="Y196" s="16">
        <f>INDEX('Chart of Accounts'!$A$5:$A$3000,MATCH("vat_input",'Chart of Accounts'!$F$5:$F$3000,0))</f>
        <v/>
      </c>
      <c r="Z196" s="16">
        <f>INDEX('Chart of Accounts'!$A$5:$A$3000,MATCH("wht_payable",'Chart of Accounts'!$F$5:$F$3000,0))</f>
        <v/>
      </c>
      <c r="AA196" s="23">
        <f>IFERROR(INDEX('Chart of Accounts'!$C$5:$C$3000,MATCH(V196&amp;"",'Chart of Accounts'!$A$5:$A$3000,0))&amp;"|"&amp;INDEX('Chart of Accounts'!$D$5:$D$3000,MATCH(V196&amp;"",'Chart of Accounts'!$A$5:$A$3000,0)),"")</f>
        <v/>
      </c>
      <c r="AB196" s="23">
        <f>IFERROR(INDEX('Chart of Accounts'!$C$5:$C$3000,MATCH(Y196&amp;"",'Chart of Accounts'!$A$5:$A$3000,0))&amp;"|"&amp;INDEX('Chart of Accounts'!$D$5:$D$3000,MATCH(Y196&amp;"",'Chart of Accounts'!$A$5:$A$3000,0)),"")</f>
        <v/>
      </c>
      <c r="AC196" s="23">
        <f>IFERROR(INDEX('Chart of Accounts'!$C$5:$C$3000,MATCH(W196&amp;"",'Chart of Accounts'!$A$5:$A$3000,0))&amp;"|"&amp;INDEX('Chart of Accounts'!$D$5:$D$3000,MATCH(W196&amp;"",'Chart of Accounts'!$A$5:$A$3000,0)),"")</f>
        <v/>
      </c>
      <c r="AD196" s="23">
        <f>IFERROR(INDEX('Chart of Accounts'!$C$5:$C$3000,MATCH(X196&amp;"",'Chart of Accounts'!$A$5:$A$3000,0))&amp;"|"&amp;INDEX('Chart of Accounts'!$D$5:$D$3000,MATCH(X196&amp;"",'Chart of Accounts'!$A$5:$A$3000,0)),"")</f>
        <v/>
      </c>
      <c r="AE196" s="23">
        <f>IFERROR(INDEX('Chart of Accounts'!$C$5:$C$3000,MATCH(Z196&amp;"",'Chart of Accounts'!$A$5:$A$3000,0))&amp;"|"&amp;INDEX('Chart of Accounts'!$D$5:$D$3000,MATCH(Z196&amp;"",'Chart of Accounts'!$A$5:$A$3000,0)),"")</f>
        <v/>
      </c>
      <c r="AF196" s="23">
        <f>IF(LEFT(AA196,8)="Revenue|",-N(R196),0)+IF(LEFT(AB196,8)="Revenue|",-N(S196),0)+IF(LEFT(AC196,8)="Revenue|",N(L196),0)+IF(LEFT(AD196,8)="Revenue|",N(U196),0)+IF(LEFT(AE196,8)="Revenue|",N(T196),0)</f>
        <v/>
      </c>
      <c r="AG196" s="23">
        <f>IF(LEFT(AA196,5)="COGS|",N(R196),0)+IF(LEFT(AB196,5)="COGS|",N(S196),0)+IF(LEFT(AC196,5)="COGS|",-N(L196),0)+IF(LEFT(AD196,5)="COGS|",-N(U196),0)+IF(LEFT(AE196,5)="COGS|",-N(T196),0)</f>
        <v/>
      </c>
      <c r="AH196" s="23">
        <f>IF(LEFT(AA196,8)="Expense|",N(R196),0)+IF(LEFT(AB196,8)="Expense|",N(S196),0)+IF(LEFT(AC196,8)="Expense|",-N(L196),0)+IF(LEFT(AD196,8)="Expense|",-N(U196),0)+IF(LEFT(AE196,8)="Expense|",-N(T196),0)</f>
        <v/>
      </c>
      <c r="AI196" s="23">
        <f>IF(ISNUMBER(MATCH(AA196,{"Expense|employee","Expense|general_admin","Expense|marketing","Expense|utilities","Expense|other_operating"},0)),N(R196),0)+IF(ISNUMBER(MATCH(AB196,{"Expense|employee","Expense|general_admin","Expense|marketing","Expense|utilities","Expense|other_operating"},0)),N(S196),0)+IF(ISNUMBER(MATCH(AC196,{"Expense|employee","Expense|general_admin","Expense|marketing","Expense|utilities","Expense|other_operating"},0)),-N(L196),0)+IF(ISNUMBER(MATCH(AD196,{"Expense|employee","Expense|general_admin","Expense|marketing","Expense|utilities","Expense|other_operating"},0)),-N(U196),0)+IF(ISNUMBER(MATCH(AE196,{"Expense|employee","Expense|general_admin","Expense|marketing","Expense|utilities","Expense|other_operating"},0)),-N(T196),0)</f>
        <v/>
      </c>
      <c r="AJ196" s="23">
        <f>IF(AA196="Liability|payable",-N(R196),0)+IF(AB196="Liability|payable",-N(S196),0)+IF(AC196="Liability|payable",N(L196),0)+IF(AD196="Liability|payable",N(U196),0)+IF(AE196="Liability|payable",N(T196),0)</f>
        <v/>
      </c>
      <c r="AK196" s="23">
        <f>IF(AA196="Liability|accrued",-N(R196),0)+IF(AB196="Liability|accrued",-N(S196),0)+IF(AC196="Liability|accrued",N(L196),0)+IF(AD196="Liability|accrued",N(U196),0)+IF(AE196="Liability|accrued",N(T196),0)</f>
        <v/>
      </c>
      <c r="AL196" s="23">
        <f>IF(AND(N(R196)&lt;&gt;0,AA196=""),1,0)+IF(AND(N(S196)&lt;&gt;0,AB196=""),1,0)+IF(AND(N(L196)&lt;&gt;0,AC196=""),1,0)+IF(AND(N(U196)&lt;&gt;0,AD196=""),1,0)+IF(AND(N(T196)&lt;&gt;0,AE196=""),1,0)</f>
        <v/>
      </c>
    </row>
    <row r="197">
      <c r="A197" s="19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20" t="n"/>
      <c r="K197" s="20" t="n"/>
      <c r="L197" s="20" t="n"/>
      <c r="M197" s="14" t="n"/>
      <c r="N197" s="14" t="n"/>
      <c r="O197" s="14" t="n"/>
      <c r="P197" s="14" t="n"/>
      <c r="Q197" s="14" t="n"/>
      <c r="R197" s="21">
        <f>ROUND(N(H197)*N(J197)-N(K197),2)</f>
        <v/>
      </c>
      <c r="S197" s="21">
        <f>ROUND(R197*IFERROR(VLOOKUP(P197,'Tax Codes'!$A$5:$E$300,5,FALSE),0),2)</f>
        <v/>
      </c>
      <c r="T197" s="21">
        <f>ROUND(R197*IFERROR(VLOOKUP(Q197,'Tax Codes'!$A$5:$E$300,5,FALSE),0),2)</f>
        <v/>
      </c>
      <c r="U197" s="21">
        <f>R197+S197-T197-N(L197)</f>
        <v/>
      </c>
      <c r="V197" s="16">
        <f>IF(C197="",INDEX('Chart of Accounts'!$A$5:$A$3000,MATCH("materials",'Chart of Accounts'!$F$5:$F$3000,0)),C197&amp;"")</f>
        <v/>
      </c>
      <c r="W197" s="16">
        <f>IF(N197="",INDEX('Chart of Accounts'!$A$5:$A$3000,MATCH("bank",'Chart of Accounts'!$F$5:$F$3000,0)),N197&amp;"")</f>
        <v/>
      </c>
      <c r="X197" s="16">
        <f>IF(O197="",INDEX('Chart of Accounts'!$A$5:$A$3000,MATCH("ap",'Chart of Accounts'!$F$5:$F$3000,0)),O197&amp;"")</f>
        <v/>
      </c>
      <c r="Y197" s="16">
        <f>INDEX('Chart of Accounts'!$A$5:$A$3000,MATCH("vat_input",'Chart of Accounts'!$F$5:$F$3000,0))</f>
        <v/>
      </c>
      <c r="Z197" s="16">
        <f>INDEX('Chart of Accounts'!$A$5:$A$3000,MATCH("wht_payable",'Chart of Accounts'!$F$5:$F$3000,0))</f>
        <v/>
      </c>
      <c r="AA197" s="23">
        <f>IFERROR(INDEX('Chart of Accounts'!$C$5:$C$3000,MATCH(V197&amp;"",'Chart of Accounts'!$A$5:$A$3000,0))&amp;"|"&amp;INDEX('Chart of Accounts'!$D$5:$D$3000,MATCH(V197&amp;"",'Chart of Accounts'!$A$5:$A$3000,0)),"")</f>
        <v/>
      </c>
      <c r="AB197" s="23">
        <f>IFERROR(INDEX('Chart of Accounts'!$C$5:$C$3000,MATCH(Y197&amp;"",'Chart of Accounts'!$A$5:$A$3000,0))&amp;"|"&amp;INDEX('Chart of Accounts'!$D$5:$D$3000,MATCH(Y197&amp;"",'Chart of Accounts'!$A$5:$A$3000,0)),"")</f>
        <v/>
      </c>
      <c r="AC197" s="23">
        <f>IFERROR(INDEX('Chart of Accounts'!$C$5:$C$3000,MATCH(W197&amp;"",'Chart of Accounts'!$A$5:$A$3000,0))&amp;"|"&amp;INDEX('Chart of Accounts'!$D$5:$D$3000,MATCH(W197&amp;"",'Chart of Accounts'!$A$5:$A$3000,0)),"")</f>
        <v/>
      </c>
      <c r="AD197" s="23">
        <f>IFERROR(INDEX('Chart of Accounts'!$C$5:$C$3000,MATCH(X197&amp;"",'Chart of Accounts'!$A$5:$A$3000,0))&amp;"|"&amp;INDEX('Chart of Accounts'!$D$5:$D$3000,MATCH(X197&amp;"",'Chart of Accounts'!$A$5:$A$3000,0)),"")</f>
        <v/>
      </c>
      <c r="AE197" s="23">
        <f>IFERROR(INDEX('Chart of Accounts'!$C$5:$C$3000,MATCH(Z197&amp;"",'Chart of Accounts'!$A$5:$A$3000,0))&amp;"|"&amp;INDEX('Chart of Accounts'!$D$5:$D$3000,MATCH(Z197&amp;"",'Chart of Accounts'!$A$5:$A$3000,0)),"")</f>
        <v/>
      </c>
      <c r="AF197" s="23">
        <f>IF(LEFT(AA197,8)="Revenue|",-N(R197),0)+IF(LEFT(AB197,8)="Revenue|",-N(S197),0)+IF(LEFT(AC197,8)="Revenue|",N(L197),0)+IF(LEFT(AD197,8)="Revenue|",N(U197),0)+IF(LEFT(AE197,8)="Revenue|",N(T197),0)</f>
        <v/>
      </c>
      <c r="AG197" s="23">
        <f>IF(LEFT(AA197,5)="COGS|",N(R197),0)+IF(LEFT(AB197,5)="COGS|",N(S197),0)+IF(LEFT(AC197,5)="COGS|",-N(L197),0)+IF(LEFT(AD197,5)="COGS|",-N(U197),0)+IF(LEFT(AE197,5)="COGS|",-N(T197),0)</f>
        <v/>
      </c>
      <c r="AH197" s="23">
        <f>IF(LEFT(AA197,8)="Expense|",N(R197),0)+IF(LEFT(AB197,8)="Expense|",N(S197),0)+IF(LEFT(AC197,8)="Expense|",-N(L197),0)+IF(LEFT(AD197,8)="Expense|",-N(U197),0)+IF(LEFT(AE197,8)="Expense|",-N(T197),0)</f>
        <v/>
      </c>
      <c r="AI197" s="23">
        <f>IF(ISNUMBER(MATCH(AA197,{"Expense|employee","Expense|general_admin","Expense|marketing","Expense|utilities","Expense|other_operating"},0)),N(R197),0)+IF(ISNUMBER(MATCH(AB197,{"Expense|employee","Expense|general_admin","Expense|marketing","Expense|utilities","Expense|other_operating"},0)),N(S197),0)+IF(ISNUMBER(MATCH(AC197,{"Expense|employee","Expense|general_admin","Expense|marketing","Expense|utilities","Expense|other_operating"},0)),-N(L197),0)+IF(ISNUMBER(MATCH(AD197,{"Expense|employee","Expense|general_admin","Expense|marketing","Expense|utilities","Expense|other_operating"},0)),-N(U197),0)+IF(ISNUMBER(MATCH(AE197,{"Expense|employee","Expense|general_admin","Expense|marketing","Expense|utilities","Expense|other_operating"},0)),-N(T197),0)</f>
        <v/>
      </c>
      <c r="AJ197" s="23">
        <f>IF(AA197="Liability|payable",-N(R197),0)+IF(AB197="Liability|payable",-N(S197),0)+IF(AC197="Liability|payable",N(L197),0)+IF(AD197="Liability|payable",N(U197),0)+IF(AE197="Liability|payable",N(T197),0)</f>
        <v/>
      </c>
      <c r="AK197" s="23">
        <f>IF(AA197="Liability|accrued",-N(R197),0)+IF(AB197="Liability|accrued",-N(S197),0)+IF(AC197="Liability|accrued",N(L197),0)+IF(AD197="Liability|accrued",N(U197),0)+IF(AE197="Liability|accrued",N(T197),0)</f>
        <v/>
      </c>
      <c r="AL197" s="23">
        <f>IF(AND(N(R197)&lt;&gt;0,AA197=""),1,0)+IF(AND(N(S197)&lt;&gt;0,AB197=""),1,0)+IF(AND(N(L197)&lt;&gt;0,AC197=""),1,0)+IF(AND(N(U197)&lt;&gt;0,AD197=""),1,0)+IF(AND(N(T197)&lt;&gt;0,AE197=""),1,0)</f>
        <v/>
      </c>
    </row>
    <row r="198">
      <c r="A198" s="19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20" t="n"/>
      <c r="K198" s="20" t="n"/>
      <c r="L198" s="20" t="n"/>
      <c r="M198" s="14" t="n"/>
      <c r="N198" s="14" t="n"/>
      <c r="O198" s="14" t="n"/>
      <c r="P198" s="14" t="n"/>
      <c r="Q198" s="14" t="n"/>
      <c r="R198" s="21">
        <f>ROUND(N(H198)*N(J198)-N(K198),2)</f>
        <v/>
      </c>
      <c r="S198" s="21">
        <f>ROUND(R198*IFERROR(VLOOKUP(P198,'Tax Codes'!$A$5:$E$300,5,FALSE),0),2)</f>
        <v/>
      </c>
      <c r="T198" s="21">
        <f>ROUND(R198*IFERROR(VLOOKUP(Q198,'Tax Codes'!$A$5:$E$300,5,FALSE),0),2)</f>
        <v/>
      </c>
      <c r="U198" s="21">
        <f>R198+S198-T198-N(L198)</f>
        <v/>
      </c>
      <c r="V198" s="16">
        <f>IF(C198="",INDEX('Chart of Accounts'!$A$5:$A$3000,MATCH("materials",'Chart of Accounts'!$F$5:$F$3000,0)),C198&amp;"")</f>
        <v/>
      </c>
      <c r="W198" s="16">
        <f>IF(N198="",INDEX('Chart of Accounts'!$A$5:$A$3000,MATCH("bank",'Chart of Accounts'!$F$5:$F$3000,0)),N198&amp;"")</f>
        <v/>
      </c>
      <c r="X198" s="16">
        <f>IF(O198="",INDEX('Chart of Accounts'!$A$5:$A$3000,MATCH("ap",'Chart of Accounts'!$F$5:$F$3000,0)),O198&amp;"")</f>
        <v/>
      </c>
      <c r="Y198" s="16">
        <f>INDEX('Chart of Accounts'!$A$5:$A$3000,MATCH("vat_input",'Chart of Accounts'!$F$5:$F$3000,0))</f>
        <v/>
      </c>
      <c r="Z198" s="16">
        <f>INDEX('Chart of Accounts'!$A$5:$A$3000,MATCH("wht_payable",'Chart of Accounts'!$F$5:$F$3000,0))</f>
        <v/>
      </c>
      <c r="AA198" s="23">
        <f>IFERROR(INDEX('Chart of Accounts'!$C$5:$C$3000,MATCH(V198&amp;"",'Chart of Accounts'!$A$5:$A$3000,0))&amp;"|"&amp;INDEX('Chart of Accounts'!$D$5:$D$3000,MATCH(V198&amp;"",'Chart of Accounts'!$A$5:$A$3000,0)),"")</f>
        <v/>
      </c>
      <c r="AB198" s="23">
        <f>IFERROR(INDEX('Chart of Accounts'!$C$5:$C$3000,MATCH(Y198&amp;"",'Chart of Accounts'!$A$5:$A$3000,0))&amp;"|"&amp;INDEX('Chart of Accounts'!$D$5:$D$3000,MATCH(Y198&amp;"",'Chart of Accounts'!$A$5:$A$3000,0)),"")</f>
        <v/>
      </c>
      <c r="AC198" s="23">
        <f>IFERROR(INDEX('Chart of Accounts'!$C$5:$C$3000,MATCH(W198&amp;"",'Chart of Accounts'!$A$5:$A$3000,0))&amp;"|"&amp;INDEX('Chart of Accounts'!$D$5:$D$3000,MATCH(W198&amp;"",'Chart of Accounts'!$A$5:$A$3000,0)),"")</f>
        <v/>
      </c>
      <c r="AD198" s="23">
        <f>IFERROR(INDEX('Chart of Accounts'!$C$5:$C$3000,MATCH(X198&amp;"",'Chart of Accounts'!$A$5:$A$3000,0))&amp;"|"&amp;INDEX('Chart of Accounts'!$D$5:$D$3000,MATCH(X198&amp;"",'Chart of Accounts'!$A$5:$A$3000,0)),"")</f>
        <v/>
      </c>
      <c r="AE198" s="23">
        <f>IFERROR(INDEX('Chart of Accounts'!$C$5:$C$3000,MATCH(Z198&amp;"",'Chart of Accounts'!$A$5:$A$3000,0))&amp;"|"&amp;INDEX('Chart of Accounts'!$D$5:$D$3000,MATCH(Z198&amp;"",'Chart of Accounts'!$A$5:$A$3000,0)),"")</f>
        <v/>
      </c>
      <c r="AF198" s="23">
        <f>IF(LEFT(AA198,8)="Revenue|",-N(R198),0)+IF(LEFT(AB198,8)="Revenue|",-N(S198),0)+IF(LEFT(AC198,8)="Revenue|",N(L198),0)+IF(LEFT(AD198,8)="Revenue|",N(U198),0)+IF(LEFT(AE198,8)="Revenue|",N(T198),0)</f>
        <v/>
      </c>
      <c r="AG198" s="23">
        <f>IF(LEFT(AA198,5)="COGS|",N(R198),0)+IF(LEFT(AB198,5)="COGS|",N(S198),0)+IF(LEFT(AC198,5)="COGS|",-N(L198),0)+IF(LEFT(AD198,5)="COGS|",-N(U198),0)+IF(LEFT(AE198,5)="COGS|",-N(T198),0)</f>
        <v/>
      </c>
      <c r="AH198" s="23">
        <f>IF(LEFT(AA198,8)="Expense|",N(R198),0)+IF(LEFT(AB198,8)="Expense|",N(S198),0)+IF(LEFT(AC198,8)="Expense|",-N(L198),0)+IF(LEFT(AD198,8)="Expense|",-N(U198),0)+IF(LEFT(AE198,8)="Expense|",-N(T198),0)</f>
        <v/>
      </c>
      <c r="AI198" s="23">
        <f>IF(ISNUMBER(MATCH(AA198,{"Expense|employee","Expense|general_admin","Expense|marketing","Expense|utilities","Expense|other_operating"},0)),N(R198),0)+IF(ISNUMBER(MATCH(AB198,{"Expense|employee","Expense|general_admin","Expense|marketing","Expense|utilities","Expense|other_operating"},0)),N(S198),0)+IF(ISNUMBER(MATCH(AC198,{"Expense|employee","Expense|general_admin","Expense|marketing","Expense|utilities","Expense|other_operating"},0)),-N(L198),0)+IF(ISNUMBER(MATCH(AD198,{"Expense|employee","Expense|general_admin","Expense|marketing","Expense|utilities","Expense|other_operating"},0)),-N(U198),0)+IF(ISNUMBER(MATCH(AE198,{"Expense|employee","Expense|general_admin","Expense|marketing","Expense|utilities","Expense|other_operating"},0)),-N(T198),0)</f>
        <v/>
      </c>
      <c r="AJ198" s="23">
        <f>IF(AA198="Liability|payable",-N(R198),0)+IF(AB198="Liability|payable",-N(S198),0)+IF(AC198="Liability|payable",N(L198),0)+IF(AD198="Liability|payable",N(U198),0)+IF(AE198="Liability|payable",N(T198),0)</f>
        <v/>
      </c>
      <c r="AK198" s="23">
        <f>IF(AA198="Liability|accrued",-N(R198),0)+IF(AB198="Liability|accrued",-N(S198),0)+IF(AC198="Liability|accrued",N(L198),0)+IF(AD198="Liability|accrued",N(U198),0)+IF(AE198="Liability|accrued",N(T198),0)</f>
        <v/>
      </c>
      <c r="AL198" s="23">
        <f>IF(AND(N(R198)&lt;&gt;0,AA198=""),1,0)+IF(AND(N(S198)&lt;&gt;0,AB198=""),1,0)+IF(AND(N(L198)&lt;&gt;0,AC198=""),1,0)+IF(AND(N(U198)&lt;&gt;0,AD198=""),1,0)+IF(AND(N(T198)&lt;&gt;0,AE198=""),1,0)</f>
        <v/>
      </c>
    </row>
    <row r="199">
      <c r="A199" s="19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20" t="n"/>
      <c r="K199" s="20" t="n"/>
      <c r="L199" s="20" t="n"/>
      <c r="M199" s="14" t="n"/>
      <c r="N199" s="14" t="n"/>
      <c r="O199" s="14" t="n"/>
      <c r="P199" s="14" t="n"/>
      <c r="Q199" s="14" t="n"/>
      <c r="R199" s="21">
        <f>ROUND(N(H199)*N(J199)-N(K199),2)</f>
        <v/>
      </c>
      <c r="S199" s="21">
        <f>ROUND(R199*IFERROR(VLOOKUP(P199,'Tax Codes'!$A$5:$E$300,5,FALSE),0),2)</f>
        <v/>
      </c>
      <c r="T199" s="21">
        <f>ROUND(R199*IFERROR(VLOOKUP(Q199,'Tax Codes'!$A$5:$E$300,5,FALSE),0),2)</f>
        <v/>
      </c>
      <c r="U199" s="21">
        <f>R199+S199-T199-N(L199)</f>
        <v/>
      </c>
      <c r="V199" s="16">
        <f>IF(C199="",INDEX('Chart of Accounts'!$A$5:$A$3000,MATCH("materials",'Chart of Accounts'!$F$5:$F$3000,0)),C199&amp;"")</f>
        <v/>
      </c>
      <c r="W199" s="16">
        <f>IF(N199="",INDEX('Chart of Accounts'!$A$5:$A$3000,MATCH("bank",'Chart of Accounts'!$F$5:$F$3000,0)),N199&amp;"")</f>
        <v/>
      </c>
      <c r="X199" s="16">
        <f>IF(O199="",INDEX('Chart of Accounts'!$A$5:$A$3000,MATCH("ap",'Chart of Accounts'!$F$5:$F$3000,0)),O199&amp;"")</f>
        <v/>
      </c>
      <c r="Y199" s="16">
        <f>INDEX('Chart of Accounts'!$A$5:$A$3000,MATCH("vat_input",'Chart of Accounts'!$F$5:$F$3000,0))</f>
        <v/>
      </c>
      <c r="Z199" s="16">
        <f>INDEX('Chart of Accounts'!$A$5:$A$3000,MATCH("wht_payable",'Chart of Accounts'!$F$5:$F$3000,0))</f>
        <v/>
      </c>
      <c r="AA199" s="23">
        <f>IFERROR(INDEX('Chart of Accounts'!$C$5:$C$3000,MATCH(V199&amp;"",'Chart of Accounts'!$A$5:$A$3000,0))&amp;"|"&amp;INDEX('Chart of Accounts'!$D$5:$D$3000,MATCH(V199&amp;"",'Chart of Accounts'!$A$5:$A$3000,0)),"")</f>
        <v/>
      </c>
      <c r="AB199" s="23">
        <f>IFERROR(INDEX('Chart of Accounts'!$C$5:$C$3000,MATCH(Y199&amp;"",'Chart of Accounts'!$A$5:$A$3000,0))&amp;"|"&amp;INDEX('Chart of Accounts'!$D$5:$D$3000,MATCH(Y199&amp;"",'Chart of Accounts'!$A$5:$A$3000,0)),"")</f>
        <v/>
      </c>
      <c r="AC199" s="23">
        <f>IFERROR(INDEX('Chart of Accounts'!$C$5:$C$3000,MATCH(W199&amp;"",'Chart of Accounts'!$A$5:$A$3000,0))&amp;"|"&amp;INDEX('Chart of Accounts'!$D$5:$D$3000,MATCH(W199&amp;"",'Chart of Accounts'!$A$5:$A$3000,0)),"")</f>
        <v/>
      </c>
      <c r="AD199" s="23">
        <f>IFERROR(INDEX('Chart of Accounts'!$C$5:$C$3000,MATCH(X199&amp;"",'Chart of Accounts'!$A$5:$A$3000,0))&amp;"|"&amp;INDEX('Chart of Accounts'!$D$5:$D$3000,MATCH(X199&amp;"",'Chart of Accounts'!$A$5:$A$3000,0)),"")</f>
        <v/>
      </c>
      <c r="AE199" s="23">
        <f>IFERROR(INDEX('Chart of Accounts'!$C$5:$C$3000,MATCH(Z199&amp;"",'Chart of Accounts'!$A$5:$A$3000,0))&amp;"|"&amp;INDEX('Chart of Accounts'!$D$5:$D$3000,MATCH(Z199&amp;"",'Chart of Accounts'!$A$5:$A$3000,0)),"")</f>
        <v/>
      </c>
      <c r="AF199" s="23">
        <f>IF(LEFT(AA199,8)="Revenue|",-N(R199),0)+IF(LEFT(AB199,8)="Revenue|",-N(S199),0)+IF(LEFT(AC199,8)="Revenue|",N(L199),0)+IF(LEFT(AD199,8)="Revenue|",N(U199),0)+IF(LEFT(AE199,8)="Revenue|",N(T199),0)</f>
        <v/>
      </c>
      <c r="AG199" s="23">
        <f>IF(LEFT(AA199,5)="COGS|",N(R199),0)+IF(LEFT(AB199,5)="COGS|",N(S199),0)+IF(LEFT(AC199,5)="COGS|",-N(L199),0)+IF(LEFT(AD199,5)="COGS|",-N(U199),0)+IF(LEFT(AE199,5)="COGS|",-N(T199),0)</f>
        <v/>
      </c>
      <c r="AH199" s="23">
        <f>IF(LEFT(AA199,8)="Expense|",N(R199),0)+IF(LEFT(AB199,8)="Expense|",N(S199),0)+IF(LEFT(AC199,8)="Expense|",-N(L199),0)+IF(LEFT(AD199,8)="Expense|",-N(U199),0)+IF(LEFT(AE199,8)="Expense|",-N(T199),0)</f>
        <v/>
      </c>
      <c r="AI199" s="23">
        <f>IF(ISNUMBER(MATCH(AA199,{"Expense|employee","Expense|general_admin","Expense|marketing","Expense|utilities","Expense|other_operating"},0)),N(R199),0)+IF(ISNUMBER(MATCH(AB199,{"Expense|employee","Expense|general_admin","Expense|marketing","Expense|utilities","Expense|other_operating"},0)),N(S199),0)+IF(ISNUMBER(MATCH(AC199,{"Expense|employee","Expense|general_admin","Expense|marketing","Expense|utilities","Expense|other_operating"},0)),-N(L199),0)+IF(ISNUMBER(MATCH(AD199,{"Expense|employee","Expense|general_admin","Expense|marketing","Expense|utilities","Expense|other_operating"},0)),-N(U199),0)+IF(ISNUMBER(MATCH(AE199,{"Expense|employee","Expense|general_admin","Expense|marketing","Expense|utilities","Expense|other_operating"},0)),-N(T199),0)</f>
        <v/>
      </c>
      <c r="AJ199" s="23">
        <f>IF(AA199="Liability|payable",-N(R199),0)+IF(AB199="Liability|payable",-N(S199),0)+IF(AC199="Liability|payable",N(L199),0)+IF(AD199="Liability|payable",N(U199),0)+IF(AE199="Liability|payable",N(T199),0)</f>
        <v/>
      </c>
      <c r="AK199" s="23">
        <f>IF(AA199="Liability|accrued",-N(R199),0)+IF(AB199="Liability|accrued",-N(S199),0)+IF(AC199="Liability|accrued",N(L199),0)+IF(AD199="Liability|accrued",N(U199),0)+IF(AE199="Liability|accrued",N(T199),0)</f>
        <v/>
      </c>
      <c r="AL199" s="23">
        <f>IF(AND(N(R199)&lt;&gt;0,AA199=""),1,0)+IF(AND(N(S199)&lt;&gt;0,AB199=""),1,0)+IF(AND(N(L199)&lt;&gt;0,AC199=""),1,0)+IF(AND(N(U199)&lt;&gt;0,AD199=""),1,0)+IF(AND(N(T199)&lt;&gt;0,AE199=""),1,0)</f>
        <v/>
      </c>
    </row>
    <row r="200">
      <c r="A200" s="19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20" t="n"/>
      <c r="K200" s="20" t="n"/>
      <c r="L200" s="20" t="n"/>
      <c r="M200" s="14" t="n"/>
      <c r="N200" s="14" t="n"/>
      <c r="O200" s="14" t="n"/>
      <c r="P200" s="14" t="n"/>
      <c r="Q200" s="14" t="n"/>
      <c r="R200" s="21">
        <f>ROUND(N(H200)*N(J200)-N(K200),2)</f>
        <v/>
      </c>
      <c r="S200" s="21">
        <f>ROUND(R200*IFERROR(VLOOKUP(P200,'Tax Codes'!$A$5:$E$300,5,FALSE),0),2)</f>
        <v/>
      </c>
      <c r="T200" s="21">
        <f>ROUND(R200*IFERROR(VLOOKUP(Q200,'Tax Codes'!$A$5:$E$300,5,FALSE),0),2)</f>
        <v/>
      </c>
      <c r="U200" s="21">
        <f>R200+S200-T200-N(L200)</f>
        <v/>
      </c>
      <c r="V200" s="16">
        <f>IF(C200="",INDEX('Chart of Accounts'!$A$5:$A$3000,MATCH("materials",'Chart of Accounts'!$F$5:$F$3000,0)),C200&amp;"")</f>
        <v/>
      </c>
      <c r="W200" s="16">
        <f>IF(N200="",INDEX('Chart of Accounts'!$A$5:$A$3000,MATCH("bank",'Chart of Accounts'!$F$5:$F$3000,0)),N200&amp;"")</f>
        <v/>
      </c>
      <c r="X200" s="16">
        <f>IF(O200="",INDEX('Chart of Accounts'!$A$5:$A$3000,MATCH("ap",'Chart of Accounts'!$F$5:$F$3000,0)),O200&amp;"")</f>
        <v/>
      </c>
      <c r="Y200" s="16">
        <f>INDEX('Chart of Accounts'!$A$5:$A$3000,MATCH("vat_input",'Chart of Accounts'!$F$5:$F$3000,0))</f>
        <v/>
      </c>
      <c r="Z200" s="16">
        <f>INDEX('Chart of Accounts'!$A$5:$A$3000,MATCH("wht_payable",'Chart of Accounts'!$F$5:$F$3000,0))</f>
        <v/>
      </c>
      <c r="AA200" s="23">
        <f>IFERROR(INDEX('Chart of Accounts'!$C$5:$C$3000,MATCH(V200&amp;"",'Chart of Accounts'!$A$5:$A$3000,0))&amp;"|"&amp;INDEX('Chart of Accounts'!$D$5:$D$3000,MATCH(V200&amp;"",'Chart of Accounts'!$A$5:$A$3000,0)),"")</f>
        <v/>
      </c>
      <c r="AB200" s="23">
        <f>IFERROR(INDEX('Chart of Accounts'!$C$5:$C$3000,MATCH(Y200&amp;"",'Chart of Accounts'!$A$5:$A$3000,0))&amp;"|"&amp;INDEX('Chart of Accounts'!$D$5:$D$3000,MATCH(Y200&amp;"",'Chart of Accounts'!$A$5:$A$3000,0)),"")</f>
        <v/>
      </c>
      <c r="AC200" s="23">
        <f>IFERROR(INDEX('Chart of Accounts'!$C$5:$C$3000,MATCH(W200&amp;"",'Chart of Accounts'!$A$5:$A$3000,0))&amp;"|"&amp;INDEX('Chart of Accounts'!$D$5:$D$3000,MATCH(W200&amp;"",'Chart of Accounts'!$A$5:$A$3000,0)),"")</f>
        <v/>
      </c>
      <c r="AD200" s="23">
        <f>IFERROR(INDEX('Chart of Accounts'!$C$5:$C$3000,MATCH(X200&amp;"",'Chart of Accounts'!$A$5:$A$3000,0))&amp;"|"&amp;INDEX('Chart of Accounts'!$D$5:$D$3000,MATCH(X200&amp;"",'Chart of Accounts'!$A$5:$A$3000,0)),"")</f>
        <v/>
      </c>
      <c r="AE200" s="23">
        <f>IFERROR(INDEX('Chart of Accounts'!$C$5:$C$3000,MATCH(Z200&amp;"",'Chart of Accounts'!$A$5:$A$3000,0))&amp;"|"&amp;INDEX('Chart of Accounts'!$D$5:$D$3000,MATCH(Z200&amp;"",'Chart of Accounts'!$A$5:$A$3000,0)),"")</f>
        <v/>
      </c>
      <c r="AF200" s="23">
        <f>IF(LEFT(AA200,8)="Revenue|",-N(R200),0)+IF(LEFT(AB200,8)="Revenue|",-N(S200),0)+IF(LEFT(AC200,8)="Revenue|",N(L200),0)+IF(LEFT(AD200,8)="Revenue|",N(U200),0)+IF(LEFT(AE200,8)="Revenue|",N(T200),0)</f>
        <v/>
      </c>
      <c r="AG200" s="23">
        <f>IF(LEFT(AA200,5)="COGS|",N(R200),0)+IF(LEFT(AB200,5)="COGS|",N(S200),0)+IF(LEFT(AC200,5)="COGS|",-N(L200),0)+IF(LEFT(AD200,5)="COGS|",-N(U200),0)+IF(LEFT(AE200,5)="COGS|",-N(T200),0)</f>
        <v/>
      </c>
      <c r="AH200" s="23">
        <f>IF(LEFT(AA200,8)="Expense|",N(R200),0)+IF(LEFT(AB200,8)="Expense|",N(S200),0)+IF(LEFT(AC200,8)="Expense|",-N(L200),0)+IF(LEFT(AD200,8)="Expense|",-N(U200),0)+IF(LEFT(AE200,8)="Expense|",-N(T200),0)</f>
        <v/>
      </c>
      <c r="AI200" s="23">
        <f>IF(ISNUMBER(MATCH(AA200,{"Expense|employee","Expense|general_admin","Expense|marketing","Expense|utilities","Expense|other_operating"},0)),N(R200),0)+IF(ISNUMBER(MATCH(AB200,{"Expense|employee","Expense|general_admin","Expense|marketing","Expense|utilities","Expense|other_operating"},0)),N(S200),0)+IF(ISNUMBER(MATCH(AC200,{"Expense|employee","Expense|general_admin","Expense|marketing","Expense|utilities","Expense|other_operating"},0)),-N(L200),0)+IF(ISNUMBER(MATCH(AD200,{"Expense|employee","Expense|general_admin","Expense|marketing","Expense|utilities","Expense|other_operating"},0)),-N(U200),0)+IF(ISNUMBER(MATCH(AE200,{"Expense|employee","Expense|general_admin","Expense|marketing","Expense|utilities","Expense|other_operating"},0)),-N(T200),0)</f>
        <v/>
      </c>
      <c r="AJ200" s="23">
        <f>IF(AA200="Liability|payable",-N(R200),0)+IF(AB200="Liability|payable",-N(S200),0)+IF(AC200="Liability|payable",N(L200),0)+IF(AD200="Liability|payable",N(U200),0)+IF(AE200="Liability|payable",N(T200),0)</f>
        <v/>
      </c>
      <c r="AK200" s="23">
        <f>IF(AA200="Liability|accrued",-N(R200),0)+IF(AB200="Liability|accrued",-N(S200),0)+IF(AC200="Liability|accrued",N(L200),0)+IF(AD200="Liability|accrued",N(U200),0)+IF(AE200="Liability|accrued",N(T200),0)</f>
        <v/>
      </c>
      <c r="AL200" s="23">
        <f>IF(AND(N(R200)&lt;&gt;0,AA200=""),1,0)+IF(AND(N(S200)&lt;&gt;0,AB200=""),1,0)+IF(AND(N(L200)&lt;&gt;0,AC200=""),1,0)+IF(AND(N(U200)&lt;&gt;0,AD200=""),1,0)+IF(AND(N(T200)&lt;&gt;0,AE200=""),1,0)</f>
        <v/>
      </c>
    </row>
    <row r="201">
      <c r="A201" s="19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20" t="n"/>
      <c r="K201" s="20" t="n"/>
      <c r="L201" s="20" t="n"/>
      <c r="M201" s="14" t="n"/>
      <c r="N201" s="14" t="n"/>
      <c r="O201" s="14" t="n"/>
      <c r="P201" s="14" t="n"/>
      <c r="Q201" s="14" t="n"/>
      <c r="R201" s="21">
        <f>ROUND(N(H201)*N(J201)-N(K201),2)</f>
        <v/>
      </c>
      <c r="S201" s="21">
        <f>ROUND(R201*IFERROR(VLOOKUP(P201,'Tax Codes'!$A$5:$E$300,5,FALSE),0),2)</f>
        <v/>
      </c>
      <c r="T201" s="21">
        <f>ROUND(R201*IFERROR(VLOOKUP(Q201,'Tax Codes'!$A$5:$E$300,5,FALSE),0),2)</f>
        <v/>
      </c>
      <c r="U201" s="21">
        <f>R201+S201-T201-N(L201)</f>
        <v/>
      </c>
      <c r="V201" s="16">
        <f>IF(C201="",INDEX('Chart of Accounts'!$A$5:$A$3000,MATCH("materials",'Chart of Accounts'!$F$5:$F$3000,0)),C201&amp;"")</f>
        <v/>
      </c>
      <c r="W201" s="16">
        <f>IF(N201="",INDEX('Chart of Accounts'!$A$5:$A$3000,MATCH("bank",'Chart of Accounts'!$F$5:$F$3000,0)),N201&amp;"")</f>
        <v/>
      </c>
      <c r="X201" s="16">
        <f>IF(O201="",INDEX('Chart of Accounts'!$A$5:$A$3000,MATCH("ap",'Chart of Accounts'!$F$5:$F$3000,0)),O201&amp;"")</f>
        <v/>
      </c>
      <c r="Y201" s="16">
        <f>INDEX('Chart of Accounts'!$A$5:$A$3000,MATCH("vat_input",'Chart of Accounts'!$F$5:$F$3000,0))</f>
        <v/>
      </c>
      <c r="Z201" s="16">
        <f>INDEX('Chart of Accounts'!$A$5:$A$3000,MATCH("wht_payable",'Chart of Accounts'!$F$5:$F$3000,0))</f>
        <v/>
      </c>
      <c r="AA201" s="23">
        <f>IFERROR(INDEX('Chart of Accounts'!$C$5:$C$3000,MATCH(V201&amp;"",'Chart of Accounts'!$A$5:$A$3000,0))&amp;"|"&amp;INDEX('Chart of Accounts'!$D$5:$D$3000,MATCH(V201&amp;"",'Chart of Accounts'!$A$5:$A$3000,0)),"")</f>
        <v/>
      </c>
      <c r="AB201" s="23">
        <f>IFERROR(INDEX('Chart of Accounts'!$C$5:$C$3000,MATCH(Y201&amp;"",'Chart of Accounts'!$A$5:$A$3000,0))&amp;"|"&amp;INDEX('Chart of Accounts'!$D$5:$D$3000,MATCH(Y201&amp;"",'Chart of Accounts'!$A$5:$A$3000,0)),"")</f>
        <v/>
      </c>
      <c r="AC201" s="23">
        <f>IFERROR(INDEX('Chart of Accounts'!$C$5:$C$3000,MATCH(W201&amp;"",'Chart of Accounts'!$A$5:$A$3000,0))&amp;"|"&amp;INDEX('Chart of Accounts'!$D$5:$D$3000,MATCH(W201&amp;"",'Chart of Accounts'!$A$5:$A$3000,0)),"")</f>
        <v/>
      </c>
      <c r="AD201" s="23">
        <f>IFERROR(INDEX('Chart of Accounts'!$C$5:$C$3000,MATCH(X201&amp;"",'Chart of Accounts'!$A$5:$A$3000,0))&amp;"|"&amp;INDEX('Chart of Accounts'!$D$5:$D$3000,MATCH(X201&amp;"",'Chart of Accounts'!$A$5:$A$3000,0)),"")</f>
        <v/>
      </c>
      <c r="AE201" s="23">
        <f>IFERROR(INDEX('Chart of Accounts'!$C$5:$C$3000,MATCH(Z201&amp;"",'Chart of Accounts'!$A$5:$A$3000,0))&amp;"|"&amp;INDEX('Chart of Accounts'!$D$5:$D$3000,MATCH(Z201&amp;"",'Chart of Accounts'!$A$5:$A$3000,0)),"")</f>
        <v/>
      </c>
      <c r="AF201" s="23">
        <f>IF(LEFT(AA201,8)="Revenue|",-N(R201),0)+IF(LEFT(AB201,8)="Revenue|",-N(S201),0)+IF(LEFT(AC201,8)="Revenue|",N(L201),0)+IF(LEFT(AD201,8)="Revenue|",N(U201),0)+IF(LEFT(AE201,8)="Revenue|",N(T201),0)</f>
        <v/>
      </c>
      <c r="AG201" s="23">
        <f>IF(LEFT(AA201,5)="COGS|",N(R201),0)+IF(LEFT(AB201,5)="COGS|",N(S201),0)+IF(LEFT(AC201,5)="COGS|",-N(L201),0)+IF(LEFT(AD201,5)="COGS|",-N(U201),0)+IF(LEFT(AE201,5)="COGS|",-N(T201),0)</f>
        <v/>
      </c>
      <c r="AH201" s="23">
        <f>IF(LEFT(AA201,8)="Expense|",N(R201),0)+IF(LEFT(AB201,8)="Expense|",N(S201),0)+IF(LEFT(AC201,8)="Expense|",-N(L201),0)+IF(LEFT(AD201,8)="Expense|",-N(U201),0)+IF(LEFT(AE201,8)="Expense|",-N(T201),0)</f>
        <v/>
      </c>
      <c r="AI201" s="23">
        <f>IF(ISNUMBER(MATCH(AA201,{"Expense|employee","Expense|general_admin","Expense|marketing","Expense|utilities","Expense|other_operating"},0)),N(R201),0)+IF(ISNUMBER(MATCH(AB201,{"Expense|employee","Expense|general_admin","Expense|marketing","Expense|utilities","Expense|other_operating"},0)),N(S201),0)+IF(ISNUMBER(MATCH(AC201,{"Expense|employee","Expense|general_admin","Expense|marketing","Expense|utilities","Expense|other_operating"},0)),-N(L201),0)+IF(ISNUMBER(MATCH(AD201,{"Expense|employee","Expense|general_admin","Expense|marketing","Expense|utilities","Expense|other_operating"},0)),-N(U201),0)+IF(ISNUMBER(MATCH(AE201,{"Expense|employee","Expense|general_admin","Expense|marketing","Expense|utilities","Expense|other_operating"},0)),-N(T201),0)</f>
        <v/>
      </c>
      <c r="AJ201" s="23">
        <f>IF(AA201="Liability|payable",-N(R201),0)+IF(AB201="Liability|payable",-N(S201),0)+IF(AC201="Liability|payable",N(L201),0)+IF(AD201="Liability|payable",N(U201),0)+IF(AE201="Liability|payable",N(T201),0)</f>
        <v/>
      </c>
      <c r="AK201" s="23">
        <f>IF(AA201="Liability|accrued",-N(R201),0)+IF(AB201="Liability|accrued",-N(S201),0)+IF(AC201="Liability|accrued",N(L201),0)+IF(AD201="Liability|accrued",N(U201),0)+IF(AE201="Liability|accrued",N(T201),0)</f>
        <v/>
      </c>
      <c r="AL201" s="23">
        <f>IF(AND(N(R201)&lt;&gt;0,AA201=""),1,0)+IF(AND(N(S201)&lt;&gt;0,AB201=""),1,0)+IF(AND(N(L201)&lt;&gt;0,AC201=""),1,0)+IF(AND(N(U201)&lt;&gt;0,AD201=""),1,0)+IF(AND(N(T201)&lt;&gt;0,AE201=""),1,0)</f>
        <v/>
      </c>
    </row>
    <row r="202">
      <c r="A202" s="19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20" t="n"/>
      <c r="K202" s="20" t="n"/>
      <c r="L202" s="20" t="n"/>
      <c r="M202" s="14" t="n"/>
      <c r="N202" s="14" t="n"/>
      <c r="O202" s="14" t="n"/>
      <c r="P202" s="14" t="n"/>
      <c r="Q202" s="14" t="n"/>
      <c r="R202" s="21">
        <f>ROUND(N(H202)*N(J202)-N(K202),2)</f>
        <v/>
      </c>
      <c r="S202" s="21">
        <f>ROUND(R202*IFERROR(VLOOKUP(P202,'Tax Codes'!$A$5:$E$300,5,FALSE),0),2)</f>
        <v/>
      </c>
      <c r="T202" s="21">
        <f>ROUND(R202*IFERROR(VLOOKUP(Q202,'Tax Codes'!$A$5:$E$300,5,FALSE),0),2)</f>
        <v/>
      </c>
      <c r="U202" s="21">
        <f>R202+S202-T202-N(L202)</f>
        <v/>
      </c>
      <c r="V202" s="16">
        <f>IF(C202="",INDEX('Chart of Accounts'!$A$5:$A$3000,MATCH("materials",'Chart of Accounts'!$F$5:$F$3000,0)),C202&amp;"")</f>
        <v/>
      </c>
      <c r="W202" s="16">
        <f>IF(N202="",INDEX('Chart of Accounts'!$A$5:$A$3000,MATCH("bank",'Chart of Accounts'!$F$5:$F$3000,0)),N202&amp;"")</f>
        <v/>
      </c>
      <c r="X202" s="16">
        <f>IF(O202="",INDEX('Chart of Accounts'!$A$5:$A$3000,MATCH("ap",'Chart of Accounts'!$F$5:$F$3000,0)),O202&amp;"")</f>
        <v/>
      </c>
      <c r="Y202" s="16">
        <f>INDEX('Chart of Accounts'!$A$5:$A$3000,MATCH("vat_input",'Chart of Accounts'!$F$5:$F$3000,0))</f>
        <v/>
      </c>
      <c r="Z202" s="16">
        <f>INDEX('Chart of Accounts'!$A$5:$A$3000,MATCH("wht_payable",'Chart of Accounts'!$F$5:$F$3000,0))</f>
        <v/>
      </c>
      <c r="AA202" s="23">
        <f>IFERROR(INDEX('Chart of Accounts'!$C$5:$C$3000,MATCH(V202&amp;"",'Chart of Accounts'!$A$5:$A$3000,0))&amp;"|"&amp;INDEX('Chart of Accounts'!$D$5:$D$3000,MATCH(V202&amp;"",'Chart of Accounts'!$A$5:$A$3000,0)),"")</f>
        <v/>
      </c>
      <c r="AB202" s="23">
        <f>IFERROR(INDEX('Chart of Accounts'!$C$5:$C$3000,MATCH(Y202&amp;"",'Chart of Accounts'!$A$5:$A$3000,0))&amp;"|"&amp;INDEX('Chart of Accounts'!$D$5:$D$3000,MATCH(Y202&amp;"",'Chart of Accounts'!$A$5:$A$3000,0)),"")</f>
        <v/>
      </c>
      <c r="AC202" s="23">
        <f>IFERROR(INDEX('Chart of Accounts'!$C$5:$C$3000,MATCH(W202&amp;"",'Chart of Accounts'!$A$5:$A$3000,0))&amp;"|"&amp;INDEX('Chart of Accounts'!$D$5:$D$3000,MATCH(W202&amp;"",'Chart of Accounts'!$A$5:$A$3000,0)),"")</f>
        <v/>
      </c>
      <c r="AD202" s="23">
        <f>IFERROR(INDEX('Chart of Accounts'!$C$5:$C$3000,MATCH(X202&amp;"",'Chart of Accounts'!$A$5:$A$3000,0))&amp;"|"&amp;INDEX('Chart of Accounts'!$D$5:$D$3000,MATCH(X202&amp;"",'Chart of Accounts'!$A$5:$A$3000,0)),"")</f>
        <v/>
      </c>
      <c r="AE202" s="23">
        <f>IFERROR(INDEX('Chart of Accounts'!$C$5:$C$3000,MATCH(Z202&amp;"",'Chart of Accounts'!$A$5:$A$3000,0))&amp;"|"&amp;INDEX('Chart of Accounts'!$D$5:$D$3000,MATCH(Z202&amp;"",'Chart of Accounts'!$A$5:$A$3000,0)),"")</f>
        <v/>
      </c>
      <c r="AF202" s="23">
        <f>IF(LEFT(AA202,8)="Revenue|",-N(R202),0)+IF(LEFT(AB202,8)="Revenue|",-N(S202),0)+IF(LEFT(AC202,8)="Revenue|",N(L202),0)+IF(LEFT(AD202,8)="Revenue|",N(U202),0)+IF(LEFT(AE202,8)="Revenue|",N(T202),0)</f>
        <v/>
      </c>
      <c r="AG202" s="23">
        <f>IF(LEFT(AA202,5)="COGS|",N(R202),0)+IF(LEFT(AB202,5)="COGS|",N(S202),0)+IF(LEFT(AC202,5)="COGS|",-N(L202),0)+IF(LEFT(AD202,5)="COGS|",-N(U202),0)+IF(LEFT(AE202,5)="COGS|",-N(T202),0)</f>
        <v/>
      </c>
      <c r="AH202" s="23">
        <f>IF(LEFT(AA202,8)="Expense|",N(R202),0)+IF(LEFT(AB202,8)="Expense|",N(S202),0)+IF(LEFT(AC202,8)="Expense|",-N(L202),0)+IF(LEFT(AD202,8)="Expense|",-N(U202),0)+IF(LEFT(AE202,8)="Expense|",-N(T202),0)</f>
        <v/>
      </c>
      <c r="AI202" s="23">
        <f>IF(ISNUMBER(MATCH(AA202,{"Expense|employee","Expense|general_admin","Expense|marketing","Expense|utilities","Expense|other_operating"},0)),N(R202),0)+IF(ISNUMBER(MATCH(AB202,{"Expense|employee","Expense|general_admin","Expense|marketing","Expense|utilities","Expense|other_operating"},0)),N(S202),0)+IF(ISNUMBER(MATCH(AC202,{"Expense|employee","Expense|general_admin","Expense|marketing","Expense|utilities","Expense|other_operating"},0)),-N(L202),0)+IF(ISNUMBER(MATCH(AD202,{"Expense|employee","Expense|general_admin","Expense|marketing","Expense|utilities","Expense|other_operating"},0)),-N(U202),0)+IF(ISNUMBER(MATCH(AE202,{"Expense|employee","Expense|general_admin","Expense|marketing","Expense|utilities","Expense|other_operating"},0)),-N(T202),0)</f>
        <v/>
      </c>
      <c r="AJ202" s="23">
        <f>IF(AA202="Liability|payable",-N(R202),0)+IF(AB202="Liability|payable",-N(S202),0)+IF(AC202="Liability|payable",N(L202),0)+IF(AD202="Liability|payable",N(U202),0)+IF(AE202="Liability|payable",N(T202),0)</f>
        <v/>
      </c>
      <c r="AK202" s="23">
        <f>IF(AA202="Liability|accrued",-N(R202),0)+IF(AB202="Liability|accrued",-N(S202),0)+IF(AC202="Liability|accrued",N(L202),0)+IF(AD202="Liability|accrued",N(U202),0)+IF(AE202="Liability|accrued",N(T202),0)</f>
        <v/>
      </c>
      <c r="AL202" s="23">
        <f>IF(AND(N(R202)&lt;&gt;0,AA202=""),1,0)+IF(AND(N(S202)&lt;&gt;0,AB202=""),1,0)+IF(AND(N(L202)&lt;&gt;0,AC202=""),1,0)+IF(AND(N(U202)&lt;&gt;0,AD202=""),1,0)+IF(AND(N(T202)&lt;&gt;0,AE202=""),1,0)</f>
        <v/>
      </c>
    </row>
    <row r="203">
      <c r="A203" s="19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20" t="n"/>
      <c r="K203" s="20" t="n"/>
      <c r="L203" s="20" t="n"/>
      <c r="M203" s="14" t="n"/>
      <c r="N203" s="14" t="n"/>
      <c r="O203" s="14" t="n"/>
      <c r="P203" s="14" t="n"/>
      <c r="Q203" s="14" t="n"/>
      <c r="R203" s="21">
        <f>ROUND(N(H203)*N(J203)-N(K203),2)</f>
        <v/>
      </c>
      <c r="S203" s="21">
        <f>ROUND(R203*IFERROR(VLOOKUP(P203,'Tax Codes'!$A$5:$E$300,5,FALSE),0),2)</f>
        <v/>
      </c>
      <c r="T203" s="21">
        <f>ROUND(R203*IFERROR(VLOOKUP(Q203,'Tax Codes'!$A$5:$E$300,5,FALSE),0),2)</f>
        <v/>
      </c>
      <c r="U203" s="21">
        <f>R203+S203-T203-N(L203)</f>
        <v/>
      </c>
      <c r="V203" s="16">
        <f>IF(C203="",INDEX('Chart of Accounts'!$A$5:$A$3000,MATCH("materials",'Chart of Accounts'!$F$5:$F$3000,0)),C203&amp;"")</f>
        <v/>
      </c>
      <c r="W203" s="16">
        <f>IF(N203="",INDEX('Chart of Accounts'!$A$5:$A$3000,MATCH("bank",'Chart of Accounts'!$F$5:$F$3000,0)),N203&amp;"")</f>
        <v/>
      </c>
      <c r="X203" s="16">
        <f>IF(O203="",INDEX('Chart of Accounts'!$A$5:$A$3000,MATCH("ap",'Chart of Accounts'!$F$5:$F$3000,0)),O203&amp;"")</f>
        <v/>
      </c>
      <c r="Y203" s="16">
        <f>INDEX('Chart of Accounts'!$A$5:$A$3000,MATCH("vat_input",'Chart of Accounts'!$F$5:$F$3000,0))</f>
        <v/>
      </c>
      <c r="Z203" s="16">
        <f>INDEX('Chart of Accounts'!$A$5:$A$3000,MATCH("wht_payable",'Chart of Accounts'!$F$5:$F$3000,0))</f>
        <v/>
      </c>
      <c r="AA203" s="23">
        <f>IFERROR(INDEX('Chart of Accounts'!$C$5:$C$3000,MATCH(V203&amp;"",'Chart of Accounts'!$A$5:$A$3000,0))&amp;"|"&amp;INDEX('Chart of Accounts'!$D$5:$D$3000,MATCH(V203&amp;"",'Chart of Accounts'!$A$5:$A$3000,0)),"")</f>
        <v/>
      </c>
      <c r="AB203" s="23">
        <f>IFERROR(INDEX('Chart of Accounts'!$C$5:$C$3000,MATCH(Y203&amp;"",'Chart of Accounts'!$A$5:$A$3000,0))&amp;"|"&amp;INDEX('Chart of Accounts'!$D$5:$D$3000,MATCH(Y203&amp;"",'Chart of Accounts'!$A$5:$A$3000,0)),"")</f>
        <v/>
      </c>
      <c r="AC203" s="23">
        <f>IFERROR(INDEX('Chart of Accounts'!$C$5:$C$3000,MATCH(W203&amp;"",'Chart of Accounts'!$A$5:$A$3000,0))&amp;"|"&amp;INDEX('Chart of Accounts'!$D$5:$D$3000,MATCH(W203&amp;"",'Chart of Accounts'!$A$5:$A$3000,0)),"")</f>
        <v/>
      </c>
      <c r="AD203" s="23">
        <f>IFERROR(INDEX('Chart of Accounts'!$C$5:$C$3000,MATCH(X203&amp;"",'Chart of Accounts'!$A$5:$A$3000,0))&amp;"|"&amp;INDEX('Chart of Accounts'!$D$5:$D$3000,MATCH(X203&amp;"",'Chart of Accounts'!$A$5:$A$3000,0)),"")</f>
        <v/>
      </c>
      <c r="AE203" s="23">
        <f>IFERROR(INDEX('Chart of Accounts'!$C$5:$C$3000,MATCH(Z203&amp;"",'Chart of Accounts'!$A$5:$A$3000,0))&amp;"|"&amp;INDEX('Chart of Accounts'!$D$5:$D$3000,MATCH(Z203&amp;"",'Chart of Accounts'!$A$5:$A$3000,0)),"")</f>
        <v/>
      </c>
      <c r="AF203" s="23">
        <f>IF(LEFT(AA203,8)="Revenue|",-N(R203),0)+IF(LEFT(AB203,8)="Revenue|",-N(S203),0)+IF(LEFT(AC203,8)="Revenue|",N(L203),0)+IF(LEFT(AD203,8)="Revenue|",N(U203),0)+IF(LEFT(AE203,8)="Revenue|",N(T203),0)</f>
        <v/>
      </c>
      <c r="AG203" s="23">
        <f>IF(LEFT(AA203,5)="COGS|",N(R203),0)+IF(LEFT(AB203,5)="COGS|",N(S203),0)+IF(LEFT(AC203,5)="COGS|",-N(L203),0)+IF(LEFT(AD203,5)="COGS|",-N(U203),0)+IF(LEFT(AE203,5)="COGS|",-N(T203),0)</f>
        <v/>
      </c>
      <c r="AH203" s="23">
        <f>IF(LEFT(AA203,8)="Expense|",N(R203),0)+IF(LEFT(AB203,8)="Expense|",N(S203),0)+IF(LEFT(AC203,8)="Expense|",-N(L203),0)+IF(LEFT(AD203,8)="Expense|",-N(U203),0)+IF(LEFT(AE203,8)="Expense|",-N(T203),0)</f>
        <v/>
      </c>
      <c r="AI203" s="23">
        <f>IF(ISNUMBER(MATCH(AA203,{"Expense|employee","Expense|general_admin","Expense|marketing","Expense|utilities","Expense|other_operating"},0)),N(R203),0)+IF(ISNUMBER(MATCH(AB203,{"Expense|employee","Expense|general_admin","Expense|marketing","Expense|utilities","Expense|other_operating"},0)),N(S203),0)+IF(ISNUMBER(MATCH(AC203,{"Expense|employee","Expense|general_admin","Expense|marketing","Expense|utilities","Expense|other_operating"},0)),-N(L203),0)+IF(ISNUMBER(MATCH(AD203,{"Expense|employee","Expense|general_admin","Expense|marketing","Expense|utilities","Expense|other_operating"},0)),-N(U203),0)+IF(ISNUMBER(MATCH(AE203,{"Expense|employee","Expense|general_admin","Expense|marketing","Expense|utilities","Expense|other_operating"},0)),-N(T203),0)</f>
        <v/>
      </c>
      <c r="AJ203" s="23">
        <f>IF(AA203="Liability|payable",-N(R203),0)+IF(AB203="Liability|payable",-N(S203),0)+IF(AC203="Liability|payable",N(L203),0)+IF(AD203="Liability|payable",N(U203),0)+IF(AE203="Liability|payable",N(T203),0)</f>
        <v/>
      </c>
      <c r="AK203" s="23">
        <f>IF(AA203="Liability|accrued",-N(R203),0)+IF(AB203="Liability|accrued",-N(S203),0)+IF(AC203="Liability|accrued",N(L203),0)+IF(AD203="Liability|accrued",N(U203),0)+IF(AE203="Liability|accrued",N(T203),0)</f>
        <v/>
      </c>
      <c r="AL203" s="23">
        <f>IF(AND(N(R203)&lt;&gt;0,AA203=""),1,0)+IF(AND(N(S203)&lt;&gt;0,AB203=""),1,0)+IF(AND(N(L203)&lt;&gt;0,AC203=""),1,0)+IF(AND(N(U203)&lt;&gt;0,AD203=""),1,0)+IF(AND(N(T203)&lt;&gt;0,AE203=""),1,0)</f>
        <v/>
      </c>
    </row>
    <row r="204">
      <c r="A204" s="19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20" t="n"/>
      <c r="K204" s="20" t="n"/>
      <c r="L204" s="20" t="n"/>
      <c r="M204" s="14" t="n"/>
      <c r="N204" s="14" t="n"/>
      <c r="O204" s="14" t="n"/>
      <c r="P204" s="14" t="n"/>
      <c r="Q204" s="14" t="n"/>
      <c r="R204" s="21">
        <f>ROUND(N(H204)*N(J204)-N(K204),2)</f>
        <v/>
      </c>
      <c r="S204" s="21">
        <f>ROUND(R204*IFERROR(VLOOKUP(P204,'Tax Codes'!$A$5:$E$300,5,FALSE),0),2)</f>
        <v/>
      </c>
      <c r="T204" s="21">
        <f>ROUND(R204*IFERROR(VLOOKUP(Q204,'Tax Codes'!$A$5:$E$300,5,FALSE),0),2)</f>
        <v/>
      </c>
      <c r="U204" s="21">
        <f>R204+S204-T204-N(L204)</f>
        <v/>
      </c>
      <c r="V204" s="16">
        <f>IF(C204="",INDEX('Chart of Accounts'!$A$5:$A$3000,MATCH("materials",'Chart of Accounts'!$F$5:$F$3000,0)),C204&amp;"")</f>
        <v/>
      </c>
      <c r="W204" s="16">
        <f>IF(N204="",INDEX('Chart of Accounts'!$A$5:$A$3000,MATCH("bank",'Chart of Accounts'!$F$5:$F$3000,0)),N204&amp;"")</f>
        <v/>
      </c>
      <c r="X204" s="16">
        <f>IF(O204="",INDEX('Chart of Accounts'!$A$5:$A$3000,MATCH("ap",'Chart of Accounts'!$F$5:$F$3000,0)),O204&amp;"")</f>
        <v/>
      </c>
      <c r="Y204" s="16">
        <f>INDEX('Chart of Accounts'!$A$5:$A$3000,MATCH("vat_input",'Chart of Accounts'!$F$5:$F$3000,0))</f>
        <v/>
      </c>
      <c r="Z204" s="16">
        <f>INDEX('Chart of Accounts'!$A$5:$A$3000,MATCH("wht_payable",'Chart of Accounts'!$F$5:$F$3000,0))</f>
        <v/>
      </c>
      <c r="AA204" s="23">
        <f>IFERROR(INDEX('Chart of Accounts'!$C$5:$C$3000,MATCH(V204&amp;"",'Chart of Accounts'!$A$5:$A$3000,0))&amp;"|"&amp;INDEX('Chart of Accounts'!$D$5:$D$3000,MATCH(V204&amp;"",'Chart of Accounts'!$A$5:$A$3000,0)),"")</f>
        <v/>
      </c>
      <c r="AB204" s="23">
        <f>IFERROR(INDEX('Chart of Accounts'!$C$5:$C$3000,MATCH(Y204&amp;"",'Chart of Accounts'!$A$5:$A$3000,0))&amp;"|"&amp;INDEX('Chart of Accounts'!$D$5:$D$3000,MATCH(Y204&amp;"",'Chart of Accounts'!$A$5:$A$3000,0)),"")</f>
        <v/>
      </c>
      <c r="AC204" s="23">
        <f>IFERROR(INDEX('Chart of Accounts'!$C$5:$C$3000,MATCH(W204&amp;"",'Chart of Accounts'!$A$5:$A$3000,0))&amp;"|"&amp;INDEX('Chart of Accounts'!$D$5:$D$3000,MATCH(W204&amp;"",'Chart of Accounts'!$A$5:$A$3000,0)),"")</f>
        <v/>
      </c>
      <c r="AD204" s="23">
        <f>IFERROR(INDEX('Chart of Accounts'!$C$5:$C$3000,MATCH(X204&amp;"",'Chart of Accounts'!$A$5:$A$3000,0))&amp;"|"&amp;INDEX('Chart of Accounts'!$D$5:$D$3000,MATCH(X204&amp;"",'Chart of Accounts'!$A$5:$A$3000,0)),"")</f>
        <v/>
      </c>
      <c r="AE204" s="23">
        <f>IFERROR(INDEX('Chart of Accounts'!$C$5:$C$3000,MATCH(Z204&amp;"",'Chart of Accounts'!$A$5:$A$3000,0))&amp;"|"&amp;INDEX('Chart of Accounts'!$D$5:$D$3000,MATCH(Z204&amp;"",'Chart of Accounts'!$A$5:$A$3000,0)),"")</f>
        <v/>
      </c>
      <c r="AF204" s="23">
        <f>IF(LEFT(AA204,8)="Revenue|",-N(R204),0)+IF(LEFT(AB204,8)="Revenue|",-N(S204),0)+IF(LEFT(AC204,8)="Revenue|",N(L204),0)+IF(LEFT(AD204,8)="Revenue|",N(U204),0)+IF(LEFT(AE204,8)="Revenue|",N(T204),0)</f>
        <v/>
      </c>
      <c r="AG204" s="23">
        <f>IF(LEFT(AA204,5)="COGS|",N(R204),0)+IF(LEFT(AB204,5)="COGS|",N(S204),0)+IF(LEFT(AC204,5)="COGS|",-N(L204),0)+IF(LEFT(AD204,5)="COGS|",-N(U204),0)+IF(LEFT(AE204,5)="COGS|",-N(T204),0)</f>
        <v/>
      </c>
      <c r="AH204" s="23">
        <f>IF(LEFT(AA204,8)="Expense|",N(R204),0)+IF(LEFT(AB204,8)="Expense|",N(S204),0)+IF(LEFT(AC204,8)="Expense|",-N(L204),0)+IF(LEFT(AD204,8)="Expense|",-N(U204),0)+IF(LEFT(AE204,8)="Expense|",-N(T204),0)</f>
        <v/>
      </c>
      <c r="AI204" s="23">
        <f>IF(ISNUMBER(MATCH(AA204,{"Expense|employee","Expense|general_admin","Expense|marketing","Expense|utilities","Expense|other_operating"},0)),N(R204),0)+IF(ISNUMBER(MATCH(AB204,{"Expense|employee","Expense|general_admin","Expense|marketing","Expense|utilities","Expense|other_operating"},0)),N(S204),0)+IF(ISNUMBER(MATCH(AC204,{"Expense|employee","Expense|general_admin","Expense|marketing","Expense|utilities","Expense|other_operating"},0)),-N(L204),0)+IF(ISNUMBER(MATCH(AD204,{"Expense|employee","Expense|general_admin","Expense|marketing","Expense|utilities","Expense|other_operating"},0)),-N(U204),0)+IF(ISNUMBER(MATCH(AE204,{"Expense|employee","Expense|general_admin","Expense|marketing","Expense|utilities","Expense|other_operating"},0)),-N(T204),0)</f>
        <v/>
      </c>
      <c r="AJ204" s="23">
        <f>IF(AA204="Liability|payable",-N(R204),0)+IF(AB204="Liability|payable",-N(S204),0)+IF(AC204="Liability|payable",N(L204),0)+IF(AD204="Liability|payable",N(U204),0)+IF(AE204="Liability|payable",N(T204),0)</f>
        <v/>
      </c>
      <c r="AK204" s="23">
        <f>IF(AA204="Liability|accrued",-N(R204),0)+IF(AB204="Liability|accrued",-N(S204),0)+IF(AC204="Liability|accrued",N(L204),0)+IF(AD204="Liability|accrued",N(U204),0)+IF(AE204="Liability|accrued",N(T204),0)</f>
        <v/>
      </c>
      <c r="AL204" s="23">
        <f>IF(AND(N(R204)&lt;&gt;0,AA204=""),1,0)+IF(AND(N(S204)&lt;&gt;0,AB204=""),1,0)+IF(AND(N(L204)&lt;&gt;0,AC204=""),1,0)+IF(AND(N(U204)&lt;&gt;0,AD204=""),1,0)+IF(AND(N(T204)&lt;&gt;0,AE204=""),1,0)</f>
        <v/>
      </c>
    </row>
  </sheetData>
  <autoFilter ref="A4:Z204"/>
  <dataValidations count="9">
    <dataValidation sqref="A5:A205" showDropDown="0" showInputMessage="0" showErrorMessage="1" allowBlank="1" error="Enter a date (YYYY-MM-DD)" type="date" operator="greaterThan">
      <formula1>DATE(2000,1,1)</formula1>
    </dataValidation>
    <dataValidation sqref="B5:B205" showDropDown="0" showInputMessage="0" showErrorMessage="1" allowBlank="1" type="list">
      <formula1>'Business Units'!$A$5:$A$3000</formula1>
    </dataValidation>
    <dataValidation sqref="C5:C205" showDropDown="0" showInputMessage="0" showErrorMessage="0" allowBlank="1" type="list">
      <formula1>'Chart of Accounts'!$A$5:$A$3000</formula1>
    </dataValidation>
    <dataValidation sqref="G5:G205" showDropDown="0" showInputMessage="0" showErrorMessage="1" allowBlank="1" type="list">
      <formula1>Lists!$L$1:$L$2</formula1>
    </dataValidation>
    <dataValidation sqref="M5:M205" showDropDown="0" showInputMessage="0" showErrorMessage="1" allowBlank="1" type="list">
      <formula1>Lists!$M$1:$M$5</formula1>
    </dataValidation>
    <dataValidation sqref="N5:N205" showDropDown="0" showInputMessage="0" showErrorMessage="0" allowBlank="1" type="list">
      <formula1>'Chart of Accounts'!$A$5:$A$3000</formula1>
    </dataValidation>
    <dataValidation sqref="O5:O205" showDropDown="0" showInputMessage="0" showErrorMessage="0" allowBlank="1" type="list">
      <formula1>'Chart of Accounts'!$A$5:$A$3000</formula1>
    </dataValidation>
    <dataValidation sqref="P5:P205" showDropDown="0" showInputMessage="0" showErrorMessage="1" allowBlank="1" type="list">
      <formula1>'Tax Codes'!$A$5:$A$300</formula1>
    </dataValidation>
    <dataValidation sqref="Q5:Q205" showDropDown="0" showInputMessage="0" showErrorMessage="1" allowBlank="1" type="list">
      <formula1>'Tax Codes'!$A$5:$A$300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0"/>
    <pageSetUpPr/>
  </sheetPr>
  <dimension ref="A1:AG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hidden="1" outlineLevel="1" width="10" customWidth="1" min="17" max="17"/>
    <col hidden="1" outlineLevel="1" width="10" customWidth="1" min="18" max="18"/>
    <col hidden="1" outlineLevel="1" width="10" customWidth="1" min="19" max="19"/>
    <col hidden="1" outlineLevel="1" width="9" customWidth="1" min="20" max="20"/>
    <col hidden="1" outlineLevel="1" width="9" customWidth="1" min="21" max="21"/>
    <col hidden="1" outlineLevel="1" width="10" customWidth="1" min="22" max="22"/>
    <col hidden="1" outlineLevel="1" width="10" customWidth="1" min="23" max="23"/>
    <col hidden="1" outlineLevel="1" width="10" customWidth="1" min="24" max="24"/>
    <col hidden="1" outlineLevel="1" width="10" customWidth="1" min="25" max="25"/>
    <col hidden="1" outlineLevel="1" width="10" customWidth="1" min="26" max="26"/>
    <col hidden="1" outlineLevel="1" width="10" customWidth="1" min="27" max="27"/>
    <col hidden="1" outlineLevel="1" width="10" customWidth="1" min="28" max="28"/>
    <col hidden="1" outlineLevel="1" width="10" customWidth="1" min="29" max="29"/>
    <col hidden="1" outlineLevel="1" width="10" customWidth="1" min="30" max="30"/>
    <col hidden="1" outlineLevel="1" width="10" customWidth="1" min="31" max="31"/>
    <col hidden="1" outlineLevel="1" width="10" customWidth="1" min="32" max="32"/>
    <col hidden="1" outlineLevel="1" width="10" customWidth="1" min="33" max="33"/>
  </cols>
  <sheetData>
    <row r="1" ht="24" customHeight="1">
      <c r="A1" s="8" t="inlineStr">
        <is>
          <t>BEYOND DESIGN | OPERATING EXPENSES</t>
        </is>
      </c>
    </row>
    <row r="2">
      <c r="A2" s="9" t="inlineStr">
        <is>
          <t>Operating expenses. Leave Business Unit blank for shared overhead (allocated by Overhead %). Paid Now blank = paid in full</t>
        </is>
      </c>
    </row>
    <row r="3">
      <c r="A3" s="10" t="inlineStr">
        <is>
          <t>e.g. 2026-10-01</t>
        </is>
      </c>
      <c r="B3" s="10" t="inlineStr"/>
      <c r="C3" s="10" t="inlineStr">
        <is>
          <t>6010</t>
        </is>
      </c>
      <c r="D3" s="10" t="inlineStr">
        <is>
          <t>Office rent — Oct</t>
        </is>
      </c>
      <c r="E3" s="10" t="inlineStr">
        <is>
          <t>Landlord</t>
        </is>
      </c>
      <c r="F3" s="10" t="n">
        <v>15000</v>
      </c>
      <c r="G3" s="10" t="inlineStr"/>
      <c r="H3" s="10" t="inlineStr">
        <is>
          <t>Bank Transfer</t>
        </is>
      </c>
    </row>
    <row r="4" ht="30" customHeight="1">
      <c r="A4" s="11" t="inlineStr">
        <is>
          <t>Date</t>
        </is>
      </c>
      <c r="B4" s="11" t="inlineStr">
        <is>
          <t>Business Unit</t>
        </is>
      </c>
      <c r="C4" s="11" t="inlineStr">
        <is>
          <t>Expense Account</t>
        </is>
      </c>
      <c r="D4" s="11" t="inlineStr">
        <is>
          <t>Description</t>
        </is>
      </c>
      <c r="E4" s="11" t="inlineStr">
        <is>
          <t>Supplier</t>
        </is>
      </c>
      <c r="F4" s="11" t="inlineStr">
        <is>
          <t>Amount</t>
        </is>
      </c>
      <c r="G4" s="11" t="inlineStr">
        <is>
          <t>Paid Now</t>
        </is>
      </c>
      <c r="H4" s="11" t="inlineStr">
        <is>
          <t>Payment Method</t>
        </is>
      </c>
      <c r="I4" s="11" t="inlineStr">
        <is>
          <t>Paid From</t>
        </is>
      </c>
      <c r="J4" s="11" t="inlineStr">
        <is>
          <t>Payable Account</t>
        </is>
      </c>
      <c r="K4" s="11" t="inlineStr">
        <is>
          <t>VAT Code</t>
        </is>
      </c>
      <c r="L4" s="11" t="inlineStr">
        <is>
          <t>WHT Code</t>
        </is>
      </c>
      <c r="M4" s="15" t="inlineStr">
        <is>
          <t>Input VAT</t>
        </is>
      </c>
      <c r="N4" s="15" t="inlineStr">
        <is>
          <t>WHT Withheld</t>
        </is>
      </c>
      <c r="O4" s="15" t="inlineStr">
        <is>
          <t>Paid (effective)</t>
        </is>
      </c>
      <c r="P4" s="15" t="inlineStr">
        <is>
          <t>Unpaid</t>
        </is>
      </c>
      <c r="Q4" s="15" t="inlineStr">
        <is>
          <t>account (effective)</t>
        </is>
      </c>
      <c r="R4" s="15" t="inlineStr">
        <is>
          <t>paid_from (effective)</t>
        </is>
      </c>
      <c r="S4" s="15" t="inlineStr">
        <is>
          <t>payable_account (effective)</t>
        </is>
      </c>
      <c r="T4" s="15" t="inlineStr">
        <is>
          <t>vat_input account</t>
        </is>
      </c>
      <c r="U4" s="15" t="inlineStr">
        <is>
          <t>wht_payable account</t>
        </is>
      </c>
      <c r="V4" s="22" t="inlineStr">
        <is>
          <t>leg 1 type</t>
        </is>
      </c>
      <c r="W4" s="22" t="inlineStr">
        <is>
          <t>leg 2 type</t>
        </is>
      </c>
      <c r="X4" s="22" t="inlineStr">
        <is>
          <t>leg 3 type</t>
        </is>
      </c>
      <c r="Y4" s="22" t="inlineStr">
        <is>
          <t>leg 4 type</t>
        </is>
      </c>
      <c r="Z4" s="22" t="inlineStr">
        <is>
          <t>leg 5 type</t>
        </is>
      </c>
      <c r="AA4" s="22" t="inlineStr">
        <is>
          <t>revenue</t>
        </is>
      </c>
      <c r="AB4" s="22" t="inlineStr">
        <is>
          <t>cost of sales</t>
        </is>
      </c>
      <c r="AC4" s="22" t="inlineStr">
        <is>
          <t>expenses</t>
        </is>
      </c>
      <c r="AD4" s="22" t="inlineStr">
        <is>
          <t>operating expenses</t>
        </is>
      </c>
      <c r="AE4" s="22" t="inlineStr">
        <is>
          <t>payables</t>
        </is>
      </c>
      <c r="AF4" s="22" t="inlineStr">
        <is>
          <t>accruals</t>
        </is>
      </c>
      <c r="AG4" s="22" t="inlineStr">
        <is>
          <t>unknown account</t>
        </is>
      </c>
    </row>
    <row r="5">
      <c r="A5" s="19" t="n"/>
      <c r="B5" s="14" t="n"/>
      <c r="C5" s="14" t="n"/>
      <c r="D5" s="14" t="n"/>
      <c r="E5" s="14" t="n"/>
      <c r="F5" s="20" t="n"/>
      <c r="G5" s="20" t="n"/>
      <c r="H5" s="14" t="n"/>
      <c r="I5" s="14" t="n"/>
      <c r="J5" s="14" t="n"/>
      <c r="K5" s="14" t="n"/>
      <c r="L5" s="14" t="n"/>
      <c r="M5" s="21">
        <f>ROUND(N(F5)*IFERROR(VLOOKUP(K5,'Tax Codes'!$A$5:$E$300,5,FALSE),0),2)</f>
        <v/>
      </c>
      <c r="N5" s="21">
        <f>ROUND(N(F5)*IFERROR(VLOOKUP(L5,'Tax Codes'!$A$5:$E$300,5,FALSE),0),2)</f>
        <v/>
      </c>
      <c r="O5" s="21">
        <f>IF(G5="",N(F5)+M5-N5,N(G5))</f>
        <v/>
      </c>
      <c r="P5" s="21">
        <f>N(F5)+M5-N5-O5</f>
        <v/>
      </c>
      <c r="Q5" s="16">
        <f>IF(C5="",INDEX('Chart of Accounts'!$A$5:$A$3000,MATCH("other_overhead",'Chart of Accounts'!$F$5:$F$3000,0)),C5&amp;"")</f>
        <v/>
      </c>
      <c r="R5" s="16">
        <f>IF(I5="",INDEX('Chart of Accounts'!$A$5:$A$3000,MATCH("bank",'Chart of Accounts'!$F$5:$F$3000,0)),I5&amp;"")</f>
        <v/>
      </c>
      <c r="S5" s="16">
        <f>IF(J5="",INDEX('Chart of Accounts'!$A$5:$A$3000,MATCH("ap",'Chart of Accounts'!$F$5:$F$3000,0)),J5&amp;"")</f>
        <v/>
      </c>
      <c r="T5" s="16">
        <f>INDEX('Chart of Accounts'!$A$5:$A$3000,MATCH("vat_input",'Chart of Accounts'!$F$5:$F$3000,0))</f>
        <v/>
      </c>
      <c r="U5" s="16">
        <f>INDEX('Chart of Accounts'!$A$5:$A$3000,MATCH("wht_payable",'Chart of Accounts'!$F$5:$F$3000,0))</f>
        <v/>
      </c>
      <c r="V5" s="23">
        <f>IFERROR(INDEX('Chart of Accounts'!$C$5:$C$3000,MATCH(Q5&amp;"",'Chart of Accounts'!$A$5:$A$3000,0))&amp;"|"&amp;INDEX('Chart of Accounts'!$D$5:$D$3000,MATCH(Q5&amp;"",'Chart of Accounts'!$A$5:$A$3000,0)),"")</f>
        <v/>
      </c>
      <c r="W5" s="23">
        <f>IFERROR(INDEX('Chart of Accounts'!$C$5:$C$3000,MATCH(T5&amp;"",'Chart of Accounts'!$A$5:$A$3000,0))&amp;"|"&amp;INDEX('Chart of Accounts'!$D$5:$D$3000,MATCH(T5&amp;"",'Chart of Accounts'!$A$5:$A$3000,0)),"")</f>
        <v/>
      </c>
      <c r="X5" s="23">
        <f>IFERROR(INDEX('Chart of Accounts'!$C$5:$C$3000,MATCH(R5&amp;"",'Chart of Accounts'!$A$5:$A$3000,0))&amp;"|"&amp;INDEX('Chart of Accounts'!$D$5:$D$3000,MATCH(R5&amp;"",'Chart of Accounts'!$A$5:$A$3000,0)),"")</f>
        <v/>
      </c>
      <c r="Y5" s="23">
        <f>IFERROR(INDEX('Chart of Accounts'!$C$5:$C$3000,MATCH(S5&amp;"",'Chart of Accounts'!$A$5:$A$3000,0))&amp;"|"&amp;INDEX('Chart of Accounts'!$D$5:$D$3000,MATCH(S5&amp;"",'Chart of Accounts'!$A$5:$A$3000,0)),"")</f>
        <v/>
      </c>
      <c r="Z5" s="23">
        <f>IFERROR(INDEX('Chart of Accounts'!$C$5:$C$3000,MATCH(U5&amp;"",'Chart of Accounts'!$A$5:$A$3000,0))&amp;"|"&amp;INDEX('Chart of Accounts'!$D$5:$D$3000,MATCH(U5&amp;"",'Chart of Accounts'!$A$5:$A$3000,0)),"")</f>
        <v/>
      </c>
      <c r="AA5" s="23">
        <f>IF(LEFT(V5,8)="Revenue|",-N(F5),0)+IF(LEFT(W5,8)="Revenue|",-N(M5),0)+IF(LEFT(X5,8)="Revenue|",N(O5),0)+IF(LEFT(Y5,8)="Revenue|",N(P5),0)+IF(LEFT(Z5,8)="Revenue|",N(N5),0)</f>
        <v/>
      </c>
      <c r="AB5" s="23">
        <f>IF(LEFT(V5,5)="COGS|",N(F5),0)+IF(LEFT(W5,5)="COGS|",N(M5),0)+IF(LEFT(X5,5)="COGS|",-N(O5),0)+IF(LEFT(Y5,5)="COGS|",-N(P5),0)+IF(LEFT(Z5,5)="COGS|",-N(N5),0)</f>
        <v/>
      </c>
      <c r="AC5" s="23">
        <f>IF(LEFT(V5,8)="Expense|",N(F5),0)+IF(LEFT(W5,8)="Expense|",N(M5),0)+IF(LEFT(X5,8)="Expense|",-N(O5),0)+IF(LEFT(Y5,8)="Expense|",-N(P5),0)+IF(LEFT(Z5,8)="Expense|",-N(N5),0)</f>
        <v/>
      </c>
      <c r="AD5" s="23">
        <f>IF(ISNUMBER(MATCH(V5,{"Expense|employee","Expense|general_admin","Expense|marketing","Expense|utilities","Expense|other_operating"},0)),N(F5),0)+IF(ISNUMBER(MATCH(W5,{"Expense|employee","Expense|general_admin","Expense|marketing","Expense|utilities","Expense|other_operating"},0)),N(M5),0)+IF(ISNUMBER(MATCH(X5,{"Expense|employee","Expense|general_admin","Expense|marketing","Expense|utilities","Expense|other_operating"},0)),-N(O5),0)+IF(ISNUMBER(MATCH(Y5,{"Expense|employee","Expense|general_admin","Expense|marketing","Expense|utilities","Expense|other_operating"},0)),-N(P5),0)+IF(ISNUMBER(MATCH(Z5,{"Expense|employee","Expense|general_admin","Expense|marketing","Expense|utilities","Expense|other_operating"},0)),-N(N5),0)</f>
        <v/>
      </c>
      <c r="AE5" s="23">
        <f>IF(V5="Liability|payable",-N(F5),0)+IF(W5="Liability|payable",-N(M5),0)+IF(X5="Liability|payable",N(O5),0)+IF(Y5="Liability|payable",N(P5),0)+IF(Z5="Liability|payable",N(N5),0)</f>
        <v/>
      </c>
      <c r="AF5" s="23">
        <f>IF(V5="Liability|accrued",-N(F5),0)+IF(W5="Liability|accrued",-N(M5),0)+IF(X5="Liability|accrued",N(O5),0)+IF(Y5="Liability|accrued",N(P5),0)+IF(Z5="Liability|accrued",N(N5),0)</f>
        <v/>
      </c>
      <c r="AG5" s="23">
        <f>IF(AND(N(F5)&lt;&gt;0,V5=""),1,0)+IF(AND(N(M5)&lt;&gt;0,W5=""),1,0)+IF(AND(N(O5)&lt;&gt;0,X5=""),1,0)+IF(AND(N(P5)&lt;&gt;0,Y5=""),1,0)+IF(AND(N(N5)&lt;&gt;0,Z5=""),1,0)</f>
        <v/>
      </c>
    </row>
    <row r="6">
      <c r="A6" s="19" t="n"/>
      <c r="B6" s="14" t="n"/>
      <c r="C6" s="14" t="n"/>
      <c r="D6" s="14" t="n"/>
      <c r="E6" s="14" t="n"/>
      <c r="F6" s="20" t="n"/>
      <c r="G6" s="20" t="n"/>
      <c r="H6" s="14" t="n"/>
      <c r="I6" s="14" t="n"/>
      <c r="J6" s="14" t="n"/>
      <c r="K6" s="14" t="n"/>
      <c r="L6" s="14" t="n"/>
      <c r="M6" s="21">
        <f>ROUND(N(F6)*IFERROR(VLOOKUP(K6,'Tax Codes'!$A$5:$E$300,5,FALSE),0),2)</f>
        <v/>
      </c>
      <c r="N6" s="21">
        <f>ROUND(N(F6)*IFERROR(VLOOKUP(L6,'Tax Codes'!$A$5:$E$300,5,FALSE),0),2)</f>
        <v/>
      </c>
      <c r="O6" s="21">
        <f>IF(G6="",N(F6)+M6-N6,N(G6))</f>
        <v/>
      </c>
      <c r="P6" s="21">
        <f>N(F6)+M6-N6-O6</f>
        <v/>
      </c>
      <c r="Q6" s="16">
        <f>IF(C6="",INDEX('Chart of Accounts'!$A$5:$A$3000,MATCH("other_overhead",'Chart of Accounts'!$F$5:$F$3000,0)),C6&amp;"")</f>
        <v/>
      </c>
      <c r="R6" s="16">
        <f>IF(I6="",INDEX('Chart of Accounts'!$A$5:$A$3000,MATCH("bank",'Chart of Accounts'!$F$5:$F$3000,0)),I6&amp;"")</f>
        <v/>
      </c>
      <c r="S6" s="16">
        <f>IF(J6="",INDEX('Chart of Accounts'!$A$5:$A$3000,MATCH("ap",'Chart of Accounts'!$F$5:$F$3000,0)),J6&amp;"")</f>
        <v/>
      </c>
      <c r="T6" s="16">
        <f>INDEX('Chart of Accounts'!$A$5:$A$3000,MATCH("vat_input",'Chart of Accounts'!$F$5:$F$3000,0))</f>
        <v/>
      </c>
      <c r="U6" s="16">
        <f>INDEX('Chart of Accounts'!$A$5:$A$3000,MATCH("wht_payable",'Chart of Accounts'!$F$5:$F$3000,0))</f>
        <v/>
      </c>
      <c r="V6" s="23">
        <f>IFERROR(INDEX('Chart of Accounts'!$C$5:$C$3000,MATCH(Q6&amp;"",'Chart of Accounts'!$A$5:$A$3000,0))&amp;"|"&amp;INDEX('Chart of Accounts'!$D$5:$D$3000,MATCH(Q6&amp;"",'Chart of Accounts'!$A$5:$A$3000,0)),"")</f>
        <v/>
      </c>
      <c r="W6" s="23">
        <f>IFERROR(INDEX('Chart of Accounts'!$C$5:$C$3000,MATCH(T6&amp;"",'Chart of Accounts'!$A$5:$A$3000,0))&amp;"|"&amp;INDEX('Chart of Accounts'!$D$5:$D$3000,MATCH(T6&amp;"",'Chart of Accounts'!$A$5:$A$3000,0)),"")</f>
        <v/>
      </c>
      <c r="X6" s="23">
        <f>IFERROR(INDEX('Chart of Accounts'!$C$5:$C$3000,MATCH(R6&amp;"",'Chart of Accounts'!$A$5:$A$3000,0))&amp;"|"&amp;INDEX('Chart of Accounts'!$D$5:$D$3000,MATCH(R6&amp;"",'Chart of Accounts'!$A$5:$A$3000,0)),"")</f>
        <v/>
      </c>
      <c r="Y6" s="23">
        <f>IFERROR(INDEX('Chart of Accounts'!$C$5:$C$3000,MATCH(S6&amp;"",'Chart of Accounts'!$A$5:$A$3000,0))&amp;"|"&amp;INDEX('Chart of Accounts'!$D$5:$D$3000,MATCH(S6&amp;"",'Chart of Accounts'!$A$5:$A$3000,0)),"")</f>
        <v/>
      </c>
      <c r="Z6" s="23">
        <f>IFERROR(INDEX('Chart of Accounts'!$C$5:$C$3000,MATCH(U6&amp;"",'Chart of Accounts'!$A$5:$A$3000,0))&amp;"|"&amp;INDEX('Chart of Accounts'!$D$5:$D$3000,MATCH(U6&amp;"",'Chart of Accounts'!$A$5:$A$3000,0)),"")</f>
        <v/>
      </c>
      <c r="AA6" s="23">
        <f>IF(LEFT(V6,8)="Revenue|",-N(F6),0)+IF(LEFT(W6,8)="Revenue|",-N(M6),0)+IF(LEFT(X6,8)="Revenue|",N(O6),0)+IF(LEFT(Y6,8)="Revenue|",N(P6),0)+IF(LEFT(Z6,8)="Revenue|",N(N6),0)</f>
        <v/>
      </c>
      <c r="AB6" s="23">
        <f>IF(LEFT(V6,5)="COGS|",N(F6),0)+IF(LEFT(W6,5)="COGS|",N(M6),0)+IF(LEFT(X6,5)="COGS|",-N(O6),0)+IF(LEFT(Y6,5)="COGS|",-N(P6),0)+IF(LEFT(Z6,5)="COGS|",-N(N6),0)</f>
        <v/>
      </c>
      <c r="AC6" s="23">
        <f>IF(LEFT(V6,8)="Expense|",N(F6),0)+IF(LEFT(W6,8)="Expense|",N(M6),0)+IF(LEFT(X6,8)="Expense|",-N(O6),0)+IF(LEFT(Y6,8)="Expense|",-N(P6),0)+IF(LEFT(Z6,8)="Expense|",-N(N6),0)</f>
        <v/>
      </c>
      <c r="AD6" s="23">
        <f>IF(ISNUMBER(MATCH(V6,{"Expense|employee","Expense|general_admin","Expense|marketing","Expense|utilities","Expense|other_operating"},0)),N(F6),0)+IF(ISNUMBER(MATCH(W6,{"Expense|employee","Expense|general_admin","Expense|marketing","Expense|utilities","Expense|other_operating"},0)),N(M6),0)+IF(ISNUMBER(MATCH(X6,{"Expense|employee","Expense|general_admin","Expense|marketing","Expense|utilities","Expense|other_operating"},0)),-N(O6),0)+IF(ISNUMBER(MATCH(Y6,{"Expense|employee","Expense|general_admin","Expense|marketing","Expense|utilities","Expense|other_operating"},0)),-N(P6),0)+IF(ISNUMBER(MATCH(Z6,{"Expense|employee","Expense|general_admin","Expense|marketing","Expense|utilities","Expense|other_operating"},0)),-N(N6),0)</f>
        <v/>
      </c>
      <c r="AE6" s="23">
        <f>IF(V6="Liability|payable",-N(F6),0)+IF(W6="Liability|payable",-N(M6),0)+IF(X6="Liability|payable",N(O6),0)+IF(Y6="Liability|payable",N(P6),0)+IF(Z6="Liability|payable",N(N6),0)</f>
        <v/>
      </c>
      <c r="AF6" s="23">
        <f>IF(V6="Liability|accrued",-N(F6),0)+IF(W6="Liability|accrued",-N(M6),0)+IF(X6="Liability|accrued",N(O6),0)+IF(Y6="Liability|accrued",N(P6),0)+IF(Z6="Liability|accrued",N(N6),0)</f>
        <v/>
      </c>
      <c r="AG6" s="23">
        <f>IF(AND(N(F6)&lt;&gt;0,V6=""),1,0)+IF(AND(N(M6)&lt;&gt;0,W6=""),1,0)+IF(AND(N(O6)&lt;&gt;0,X6=""),1,0)+IF(AND(N(P6)&lt;&gt;0,Y6=""),1,0)+IF(AND(N(N6)&lt;&gt;0,Z6=""),1,0)</f>
        <v/>
      </c>
    </row>
    <row r="7">
      <c r="A7" s="19" t="n"/>
      <c r="B7" s="14" t="n"/>
      <c r="C7" s="14" t="n"/>
      <c r="D7" s="14" t="n"/>
      <c r="E7" s="14" t="n"/>
      <c r="F7" s="20" t="n"/>
      <c r="G7" s="20" t="n"/>
      <c r="H7" s="14" t="n"/>
      <c r="I7" s="14" t="n"/>
      <c r="J7" s="14" t="n"/>
      <c r="K7" s="14" t="n"/>
      <c r="L7" s="14" t="n"/>
      <c r="M7" s="21">
        <f>ROUND(N(F7)*IFERROR(VLOOKUP(K7,'Tax Codes'!$A$5:$E$300,5,FALSE),0),2)</f>
        <v/>
      </c>
      <c r="N7" s="21">
        <f>ROUND(N(F7)*IFERROR(VLOOKUP(L7,'Tax Codes'!$A$5:$E$300,5,FALSE),0),2)</f>
        <v/>
      </c>
      <c r="O7" s="21">
        <f>IF(G7="",N(F7)+M7-N7,N(G7))</f>
        <v/>
      </c>
      <c r="P7" s="21">
        <f>N(F7)+M7-N7-O7</f>
        <v/>
      </c>
      <c r="Q7" s="16">
        <f>IF(C7="",INDEX('Chart of Accounts'!$A$5:$A$3000,MATCH("other_overhead",'Chart of Accounts'!$F$5:$F$3000,0)),C7&amp;"")</f>
        <v/>
      </c>
      <c r="R7" s="16">
        <f>IF(I7="",INDEX('Chart of Accounts'!$A$5:$A$3000,MATCH("bank",'Chart of Accounts'!$F$5:$F$3000,0)),I7&amp;"")</f>
        <v/>
      </c>
      <c r="S7" s="16">
        <f>IF(J7="",INDEX('Chart of Accounts'!$A$5:$A$3000,MATCH("ap",'Chart of Accounts'!$F$5:$F$3000,0)),J7&amp;"")</f>
        <v/>
      </c>
      <c r="T7" s="16">
        <f>INDEX('Chart of Accounts'!$A$5:$A$3000,MATCH("vat_input",'Chart of Accounts'!$F$5:$F$3000,0))</f>
        <v/>
      </c>
      <c r="U7" s="16">
        <f>INDEX('Chart of Accounts'!$A$5:$A$3000,MATCH("wht_payable",'Chart of Accounts'!$F$5:$F$3000,0))</f>
        <v/>
      </c>
      <c r="V7" s="23">
        <f>IFERROR(INDEX('Chart of Accounts'!$C$5:$C$3000,MATCH(Q7&amp;"",'Chart of Accounts'!$A$5:$A$3000,0))&amp;"|"&amp;INDEX('Chart of Accounts'!$D$5:$D$3000,MATCH(Q7&amp;"",'Chart of Accounts'!$A$5:$A$3000,0)),"")</f>
        <v/>
      </c>
      <c r="W7" s="23">
        <f>IFERROR(INDEX('Chart of Accounts'!$C$5:$C$3000,MATCH(T7&amp;"",'Chart of Accounts'!$A$5:$A$3000,0))&amp;"|"&amp;INDEX('Chart of Accounts'!$D$5:$D$3000,MATCH(T7&amp;"",'Chart of Accounts'!$A$5:$A$3000,0)),"")</f>
        <v/>
      </c>
      <c r="X7" s="23">
        <f>IFERROR(INDEX('Chart of Accounts'!$C$5:$C$3000,MATCH(R7&amp;"",'Chart of Accounts'!$A$5:$A$3000,0))&amp;"|"&amp;INDEX('Chart of Accounts'!$D$5:$D$3000,MATCH(R7&amp;"",'Chart of Accounts'!$A$5:$A$3000,0)),"")</f>
        <v/>
      </c>
      <c r="Y7" s="23">
        <f>IFERROR(INDEX('Chart of Accounts'!$C$5:$C$3000,MATCH(S7&amp;"",'Chart of Accounts'!$A$5:$A$3000,0))&amp;"|"&amp;INDEX('Chart of Accounts'!$D$5:$D$3000,MATCH(S7&amp;"",'Chart of Accounts'!$A$5:$A$3000,0)),"")</f>
        <v/>
      </c>
      <c r="Z7" s="23">
        <f>IFERROR(INDEX('Chart of Accounts'!$C$5:$C$3000,MATCH(U7&amp;"",'Chart of Accounts'!$A$5:$A$3000,0))&amp;"|"&amp;INDEX('Chart of Accounts'!$D$5:$D$3000,MATCH(U7&amp;"",'Chart of Accounts'!$A$5:$A$3000,0)),"")</f>
        <v/>
      </c>
      <c r="AA7" s="23">
        <f>IF(LEFT(V7,8)="Revenue|",-N(F7),0)+IF(LEFT(W7,8)="Revenue|",-N(M7),0)+IF(LEFT(X7,8)="Revenue|",N(O7),0)+IF(LEFT(Y7,8)="Revenue|",N(P7),0)+IF(LEFT(Z7,8)="Revenue|",N(N7),0)</f>
        <v/>
      </c>
      <c r="AB7" s="23">
        <f>IF(LEFT(V7,5)="COGS|",N(F7),0)+IF(LEFT(W7,5)="COGS|",N(M7),0)+IF(LEFT(X7,5)="COGS|",-N(O7),0)+IF(LEFT(Y7,5)="COGS|",-N(P7),0)+IF(LEFT(Z7,5)="COGS|",-N(N7),0)</f>
        <v/>
      </c>
      <c r="AC7" s="23">
        <f>IF(LEFT(V7,8)="Expense|",N(F7),0)+IF(LEFT(W7,8)="Expense|",N(M7),0)+IF(LEFT(X7,8)="Expense|",-N(O7),0)+IF(LEFT(Y7,8)="Expense|",-N(P7),0)+IF(LEFT(Z7,8)="Expense|",-N(N7),0)</f>
        <v/>
      </c>
      <c r="AD7" s="23">
        <f>IF(ISNUMBER(MATCH(V7,{"Expense|employee","Expense|general_admin","Expense|marketing","Expense|utilities","Expense|other_operating"},0)),N(F7),0)+IF(ISNUMBER(MATCH(W7,{"Expense|employee","Expense|general_admin","Expense|marketing","Expense|utilities","Expense|other_operating"},0)),N(M7),0)+IF(ISNUMBER(MATCH(X7,{"Expense|employee","Expense|general_admin","Expense|marketing","Expense|utilities","Expense|other_operating"},0)),-N(O7),0)+IF(ISNUMBER(MATCH(Y7,{"Expense|employee","Expense|general_admin","Expense|marketing","Expense|utilities","Expense|other_operating"},0)),-N(P7),0)+IF(ISNUMBER(MATCH(Z7,{"Expense|employee","Expense|general_admin","Expense|marketing","Expense|utilities","Expense|other_operating"},0)),-N(N7),0)</f>
        <v/>
      </c>
      <c r="AE7" s="23">
        <f>IF(V7="Liability|payable",-N(F7),0)+IF(W7="Liability|payable",-N(M7),0)+IF(X7="Liability|payable",N(O7),0)+IF(Y7="Liability|payable",N(P7),0)+IF(Z7="Liability|payable",N(N7),0)</f>
        <v/>
      </c>
      <c r="AF7" s="23">
        <f>IF(V7="Liability|accrued",-N(F7),0)+IF(W7="Liability|accrued",-N(M7),0)+IF(X7="Liability|accrued",N(O7),0)+IF(Y7="Liability|accrued",N(P7),0)+IF(Z7="Liability|accrued",N(N7),0)</f>
        <v/>
      </c>
      <c r="AG7" s="23">
        <f>IF(AND(N(F7)&lt;&gt;0,V7=""),1,0)+IF(AND(N(M7)&lt;&gt;0,W7=""),1,0)+IF(AND(N(O7)&lt;&gt;0,X7=""),1,0)+IF(AND(N(P7)&lt;&gt;0,Y7=""),1,0)+IF(AND(N(N7)&lt;&gt;0,Z7=""),1,0)</f>
        <v/>
      </c>
    </row>
    <row r="8">
      <c r="A8" s="19" t="n"/>
      <c r="B8" s="14" t="n"/>
      <c r="C8" s="14" t="n"/>
      <c r="D8" s="14" t="n"/>
      <c r="E8" s="14" t="n"/>
      <c r="F8" s="20" t="n"/>
      <c r="G8" s="20" t="n"/>
      <c r="H8" s="14" t="n"/>
      <c r="I8" s="14" t="n"/>
      <c r="J8" s="14" t="n"/>
      <c r="K8" s="14" t="n"/>
      <c r="L8" s="14" t="n"/>
      <c r="M8" s="21">
        <f>ROUND(N(F8)*IFERROR(VLOOKUP(K8,'Tax Codes'!$A$5:$E$300,5,FALSE),0),2)</f>
        <v/>
      </c>
      <c r="N8" s="21">
        <f>ROUND(N(F8)*IFERROR(VLOOKUP(L8,'Tax Codes'!$A$5:$E$300,5,FALSE),0),2)</f>
        <v/>
      </c>
      <c r="O8" s="21">
        <f>IF(G8="",N(F8)+M8-N8,N(G8))</f>
        <v/>
      </c>
      <c r="P8" s="21">
        <f>N(F8)+M8-N8-O8</f>
        <v/>
      </c>
      <c r="Q8" s="16">
        <f>IF(C8="",INDEX('Chart of Accounts'!$A$5:$A$3000,MATCH("other_overhead",'Chart of Accounts'!$F$5:$F$3000,0)),C8&amp;"")</f>
        <v/>
      </c>
      <c r="R8" s="16">
        <f>IF(I8="",INDEX('Chart of Accounts'!$A$5:$A$3000,MATCH("bank",'Chart of Accounts'!$F$5:$F$3000,0)),I8&amp;"")</f>
        <v/>
      </c>
      <c r="S8" s="16">
        <f>IF(J8="",INDEX('Chart of Accounts'!$A$5:$A$3000,MATCH("ap",'Chart of Accounts'!$F$5:$F$3000,0)),J8&amp;"")</f>
        <v/>
      </c>
      <c r="T8" s="16">
        <f>INDEX('Chart of Accounts'!$A$5:$A$3000,MATCH("vat_input",'Chart of Accounts'!$F$5:$F$3000,0))</f>
        <v/>
      </c>
      <c r="U8" s="16">
        <f>INDEX('Chart of Accounts'!$A$5:$A$3000,MATCH("wht_payable",'Chart of Accounts'!$F$5:$F$3000,0))</f>
        <v/>
      </c>
      <c r="V8" s="23">
        <f>IFERROR(INDEX('Chart of Accounts'!$C$5:$C$3000,MATCH(Q8&amp;"",'Chart of Accounts'!$A$5:$A$3000,0))&amp;"|"&amp;INDEX('Chart of Accounts'!$D$5:$D$3000,MATCH(Q8&amp;"",'Chart of Accounts'!$A$5:$A$3000,0)),"")</f>
        <v/>
      </c>
      <c r="W8" s="23">
        <f>IFERROR(INDEX('Chart of Accounts'!$C$5:$C$3000,MATCH(T8&amp;"",'Chart of Accounts'!$A$5:$A$3000,0))&amp;"|"&amp;INDEX('Chart of Accounts'!$D$5:$D$3000,MATCH(T8&amp;"",'Chart of Accounts'!$A$5:$A$3000,0)),"")</f>
        <v/>
      </c>
      <c r="X8" s="23">
        <f>IFERROR(INDEX('Chart of Accounts'!$C$5:$C$3000,MATCH(R8&amp;"",'Chart of Accounts'!$A$5:$A$3000,0))&amp;"|"&amp;INDEX('Chart of Accounts'!$D$5:$D$3000,MATCH(R8&amp;"",'Chart of Accounts'!$A$5:$A$3000,0)),"")</f>
        <v/>
      </c>
      <c r="Y8" s="23">
        <f>IFERROR(INDEX('Chart of Accounts'!$C$5:$C$3000,MATCH(S8&amp;"",'Chart of Accounts'!$A$5:$A$3000,0))&amp;"|"&amp;INDEX('Chart of Accounts'!$D$5:$D$3000,MATCH(S8&amp;"",'Chart of Accounts'!$A$5:$A$3000,0)),"")</f>
        <v/>
      </c>
      <c r="Z8" s="23">
        <f>IFERROR(INDEX('Chart of Accounts'!$C$5:$C$3000,MATCH(U8&amp;"",'Chart of Accounts'!$A$5:$A$3000,0))&amp;"|"&amp;INDEX('Chart of Accounts'!$D$5:$D$3000,MATCH(U8&amp;"",'Chart of Accounts'!$A$5:$A$3000,0)),"")</f>
        <v/>
      </c>
      <c r="AA8" s="23">
        <f>IF(LEFT(V8,8)="Revenue|",-N(F8),0)+IF(LEFT(W8,8)="Revenue|",-N(M8),0)+IF(LEFT(X8,8)="Revenue|",N(O8),0)+IF(LEFT(Y8,8)="Revenue|",N(P8),0)+IF(LEFT(Z8,8)="Revenue|",N(N8),0)</f>
        <v/>
      </c>
      <c r="AB8" s="23">
        <f>IF(LEFT(V8,5)="COGS|",N(F8),0)+IF(LEFT(W8,5)="COGS|",N(M8),0)+IF(LEFT(X8,5)="COGS|",-N(O8),0)+IF(LEFT(Y8,5)="COGS|",-N(P8),0)+IF(LEFT(Z8,5)="COGS|",-N(N8),0)</f>
        <v/>
      </c>
      <c r="AC8" s="23">
        <f>IF(LEFT(V8,8)="Expense|",N(F8),0)+IF(LEFT(W8,8)="Expense|",N(M8),0)+IF(LEFT(X8,8)="Expense|",-N(O8),0)+IF(LEFT(Y8,8)="Expense|",-N(P8),0)+IF(LEFT(Z8,8)="Expense|",-N(N8),0)</f>
        <v/>
      </c>
      <c r="AD8" s="23">
        <f>IF(ISNUMBER(MATCH(V8,{"Expense|employee","Expense|general_admin","Expense|marketing","Expense|utilities","Expense|other_operating"},0)),N(F8),0)+IF(ISNUMBER(MATCH(W8,{"Expense|employee","Expense|general_admin","Expense|marketing","Expense|utilities","Expense|other_operating"},0)),N(M8),0)+IF(ISNUMBER(MATCH(X8,{"Expense|employee","Expense|general_admin","Expense|marketing","Expense|utilities","Expense|other_operating"},0)),-N(O8),0)+IF(ISNUMBER(MATCH(Y8,{"Expense|employee","Expense|general_admin","Expense|marketing","Expense|utilities","Expense|other_operating"},0)),-N(P8),0)+IF(ISNUMBER(MATCH(Z8,{"Expense|employee","Expense|general_admin","Expense|marketing","Expense|utilities","Expense|other_operating"},0)),-N(N8),0)</f>
        <v/>
      </c>
      <c r="AE8" s="23">
        <f>IF(V8="Liability|payable",-N(F8),0)+IF(W8="Liability|payable",-N(M8),0)+IF(X8="Liability|payable",N(O8),0)+IF(Y8="Liability|payable",N(P8),0)+IF(Z8="Liability|payable",N(N8),0)</f>
        <v/>
      </c>
      <c r="AF8" s="23">
        <f>IF(V8="Liability|accrued",-N(F8),0)+IF(W8="Liability|accrued",-N(M8),0)+IF(X8="Liability|accrued",N(O8),0)+IF(Y8="Liability|accrued",N(P8),0)+IF(Z8="Liability|accrued",N(N8),0)</f>
        <v/>
      </c>
      <c r="AG8" s="23">
        <f>IF(AND(N(F8)&lt;&gt;0,V8=""),1,0)+IF(AND(N(M8)&lt;&gt;0,W8=""),1,0)+IF(AND(N(O8)&lt;&gt;0,X8=""),1,0)+IF(AND(N(P8)&lt;&gt;0,Y8=""),1,0)+IF(AND(N(N8)&lt;&gt;0,Z8=""),1,0)</f>
        <v/>
      </c>
    </row>
    <row r="9">
      <c r="A9" s="19" t="n"/>
      <c r="B9" s="14" t="n"/>
      <c r="C9" s="14" t="n"/>
      <c r="D9" s="14" t="n"/>
      <c r="E9" s="14" t="n"/>
      <c r="F9" s="20" t="n"/>
      <c r="G9" s="20" t="n"/>
      <c r="H9" s="14" t="n"/>
      <c r="I9" s="14" t="n"/>
      <c r="J9" s="14" t="n"/>
      <c r="K9" s="14" t="n"/>
      <c r="L9" s="14" t="n"/>
      <c r="M9" s="21">
        <f>ROUND(N(F9)*IFERROR(VLOOKUP(K9,'Tax Codes'!$A$5:$E$300,5,FALSE),0),2)</f>
        <v/>
      </c>
      <c r="N9" s="21">
        <f>ROUND(N(F9)*IFERROR(VLOOKUP(L9,'Tax Codes'!$A$5:$E$300,5,FALSE),0),2)</f>
        <v/>
      </c>
      <c r="O9" s="21">
        <f>IF(G9="",N(F9)+M9-N9,N(G9))</f>
        <v/>
      </c>
      <c r="P9" s="21">
        <f>N(F9)+M9-N9-O9</f>
        <v/>
      </c>
      <c r="Q9" s="16">
        <f>IF(C9="",INDEX('Chart of Accounts'!$A$5:$A$3000,MATCH("other_overhead",'Chart of Accounts'!$F$5:$F$3000,0)),C9&amp;"")</f>
        <v/>
      </c>
      <c r="R9" s="16">
        <f>IF(I9="",INDEX('Chart of Accounts'!$A$5:$A$3000,MATCH("bank",'Chart of Accounts'!$F$5:$F$3000,0)),I9&amp;"")</f>
        <v/>
      </c>
      <c r="S9" s="16">
        <f>IF(J9="",INDEX('Chart of Accounts'!$A$5:$A$3000,MATCH("ap",'Chart of Accounts'!$F$5:$F$3000,0)),J9&amp;"")</f>
        <v/>
      </c>
      <c r="T9" s="16">
        <f>INDEX('Chart of Accounts'!$A$5:$A$3000,MATCH("vat_input",'Chart of Accounts'!$F$5:$F$3000,0))</f>
        <v/>
      </c>
      <c r="U9" s="16">
        <f>INDEX('Chart of Accounts'!$A$5:$A$3000,MATCH("wht_payable",'Chart of Accounts'!$F$5:$F$3000,0))</f>
        <v/>
      </c>
      <c r="V9" s="23">
        <f>IFERROR(INDEX('Chart of Accounts'!$C$5:$C$3000,MATCH(Q9&amp;"",'Chart of Accounts'!$A$5:$A$3000,0))&amp;"|"&amp;INDEX('Chart of Accounts'!$D$5:$D$3000,MATCH(Q9&amp;"",'Chart of Accounts'!$A$5:$A$3000,0)),"")</f>
        <v/>
      </c>
      <c r="W9" s="23">
        <f>IFERROR(INDEX('Chart of Accounts'!$C$5:$C$3000,MATCH(T9&amp;"",'Chart of Accounts'!$A$5:$A$3000,0))&amp;"|"&amp;INDEX('Chart of Accounts'!$D$5:$D$3000,MATCH(T9&amp;"",'Chart of Accounts'!$A$5:$A$3000,0)),"")</f>
        <v/>
      </c>
      <c r="X9" s="23">
        <f>IFERROR(INDEX('Chart of Accounts'!$C$5:$C$3000,MATCH(R9&amp;"",'Chart of Accounts'!$A$5:$A$3000,0))&amp;"|"&amp;INDEX('Chart of Accounts'!$D$5:$D$3000,MATCH(R9&amp;"",'Chart of Accounts'!$A$5:$A$3000,0)),"")</f>
        <v/>
      </c>
      <c r="Y9" s="23">
        <f>IFERROR(INDEX('Chart of Accounts'!$C$5:$C$3000,MATCH(S9&amp;"",'Chart of Accounts'!$A$5:$A$3000,0))&amp;"|"&amp;INDEX('Chart of Accounts'!$D$5:$D$3000,MATCH(S9&amp;"",'Chart of Accounts'!$A$5:$A$3000,0)),"")</f>
        <v/>
      </c>
      <c r="Z9" s="23">
        <f>IFERROR(INDEX('Chart of Accounts'!$C$5:$C$3000,MATCH(U9&amp;"",'Chart of Accounts'!$A$5:$A$3000,0))&amp;"|"&amp;INDEX('Chart of Accounts'!$D$5:$D$3000,MATCH(U9&amp;"",'Chart of Accounts'!$A$5:$A$3000,0)),"")</f>
        <v/>
      </c>
      <c r="AA9" s="23">
        <f>IF(LEFT(V9,8)="Revenue|",-N(F9),0)+IF(LEFT(W9,8)="Revenue|",-N(M9),0)+IF(LEFT(X9,8)="Revenue|",N(O9),0)+IF(LEFT(Y9,8)="Revenue|",N(P9),0)+IF(LEFT(Z9,8)="Revenue|",N(N9),0)</f>
        <v/>
      </c>
      <c r="AB9" s="23">
        <f>IF(LEFT(V9,5)="COGS|",N(F9),0)+IF(LEFT(W9,5)="COGS|",N(M9),0)+IF(LEFT(X9,5)="COGS|",-N(O9),0)+IF(LEFT(Y9,5)="COGS|",-N(P9),0)+IF(LEFT(Z9,5)="COGS|",-N(N9),0)</f>
        <v/>
      </c>
      <c r="AC9" s="23">
        <f>IF(LEFT(V9,8)="Expense|",N(F9),0)+IF(LEFT(W9,8)="Expense|",N(M9),0)+IF(LEFT(X9,8)="Expense|",-N(O9),0)+IF(LEFT(Y9,8)="Expense|",-N(P9),0)+IF(LEFT(Z9,8)="Expense|",-N(N9),0)</f>
        <v/>
      </c>
      <c r="AD9" s="23">
        <f>IF(ISNUMBER(MATCH(V9,{"Expense|employee","Expense|general_admin","Expense|marketing","Expense|utilities","Expense|other_operating"},0)),N(F9),0)+IF(ISNUMBER(MATCH(W9,{"Expense|employee","Expense|general_admin","Expense|marketing","Expense|utilities","Expense|other_operating"},0)),N(M9),0)+IF(ISNUMBER(MATCH(X9,{"Expense|employee","Expense|general_admin","Expense|marketing","Expense|utilities","Expense|other_operating"},0)),-N(O9),0)+IF(ISNUMBER(MATCH(Y9,{"Expense|employee","Expense|general_admin","Expense|marketing","Expense|utilities","Expense|other_operating"},0)),-N(P9),0)+IF(ISNUMBER(MATCH(Z9,{"Expense|employee","Expense|general_admin","Expense|marketing","Expense|utilities","Expense|other_operating"},0)),-N(N9),0)</f>
        <v/>
      </c>
      <c r="AE9" s="23">
        <f>IF(V9="Liability|payable",-N(F9),0)+IF(W9="Liability|payable",-N(M9),0)+IF(X9="Liability|payable",N(O9),0)+IF(Y9="Liability|payable",N(P9),0)+IF(Z9="Liability|payable",N(N9),0)</f>
        <v/>
      </c>
      <c r="AF9" s="23">
        <f>IF(V9="Liability|accrued",-N(F9),0)+IF(W9="Liability|accrued",-N(M9),0)+IF(X9="Liability|accrued",N(O9),0)+IF(Y9="Liability|accrued",N(P9),0)+IF(Z9="Liability|accrued",N(N9),0)</f>
        <v/>
      </c>
      <c r="AG9" s="23">
        <f>IF(AND(N(F9)&lt;&gt;0,V9=""),1,0)+IF(AND(N(M9)&lt;&gt;0,W9=""),1,0)+IF(AND(N(O9)&lt;&gt;0,X9=""),1,0)+IF(AND(N(P9)&lt;&gt;0,Y9=""),1,0)+IF(AND(N(N9)&lt;&gt;0,Z9=""),1,0)</f>
        <v/>
      </c>
    </row>
    <row r="10">
      <c r="A10" s="19" t="n"/>
      <c r="B10" s="14" t="n"/>
      <c r="C10" s="14" t="n"/>
      <c r="D10" s="14" t="n"/>
      <c r="E10" s="14" t="n"/>
      <c r="F10" s="20" t="n"/>
      <c r="G10" s="20" t="n"/>
      <c r="H10" s="14" t="n"/>
      <c r="I10" s="14" t="n"/>
      <c r="J10" s="14" t="n"/>
      <c r="K10" s="14" t="n"/>
      <c r="L10" s="14" t="n"/>
      <c r="M10" s="21">
        <f>ROUND(N(F10)*IFERROR(VLOOKUP(K10,'Tax Codes'!$A$5:$E$300,5,FALSE),0),2)</f>
        <v/>
      </c>
      <c r="N10" s="21">
        <f>ROUND(N(F10)*IFERROR(VLOOKUP(L10,'Tax Codes'!$A$5:$E$300,5,FALSE),0),2)</f>
        <v/>
      </c>
      <c r="O10" s="21">
        <f>IF(G10="",N(F10)+M10-N10,N(G10))</f>
        <v/>
      </c>
      <c r="P10" s="21">
        <f>N(F10)+M10-N10-O10</f>
        <v/>
      </c>
      <c r="Q10" s="16">
        <f>IF(C10="",INDEX('Chart of Accounts'!$A$5:$A$3000,MATCH("other_overhead",'Chart of Accounts'!$F$5:$F$3000,0)),C10&amp;"")</f>
        <v/>
      </c>
      <c r="R10" s="16">
        <f>IF(I10="",INDEX('Chart of Accounts'!$A$5:$A$3000,MATCH("bank",'Chart of Accounts'!$F$5:$F$3000,0)),I10&amp;"")</f>
        <v/>
      </c>
      <c r="S10" s="16">
        <f>IF(J10="",INDEX('Chart of Accounts'!$A$5:$A$3000,MATCH("ap",'Chart of Accounts'!$F$5:$F$3000,0)),J10&amp;"")</f>
        <v/>
      </c>
      <c r="T10" s="16">
        <f>INDEX('Chart of Accounts'!$A$5:$A$3000,MATCH("vat_input",'Chart of Accounts'!$F$5:$F$3000,0))</f>
        <v/>
      </c>
      <c r="U10" s="16">
        <f>INDEX('Chart of Accounts'!$A$5:$A$3000,MATCH("wht_payable",'Chart of Accounts'!$F$5:$F$3000,0))</f>
        <v/>
      </c>
      <c r="V10" s="23">
        <f>IFERROR(INDEX('Chart of Accounts'!$C$5:$C$3000,MATCH(Q10&amp;"",'Chart of Accounts'!$A$5:$A$3000,0))&amp;"|"&amp;INDEX('Chart of Accounts'!$D$5:$D$3000,MATCH(Q10&amp;"",'Chart of Accounts'!$A$5:$A$3000,0)),"")</f>
        <v/>
      </c>
      <c r="W10" s="23">
        <f>IFERROR(INDEX('Chart of Accounts'!$C$5:$C$3000,MATCH(T10&amp;"",'Chart of Accounts'!$A$5:$A$3000,0))&amp;"|"&amp;INDEX('Chart of Accounts'!$D$5:$D$3000,MATCH(T10&amp;"",'Chart of Accounts'!$A$5:$A$3000,0)),"")</f>
        <v/>
      </c>
      <c r="X10" s="23">
        <f>IFERROR(INDEX('Chart of Accounts'!$C$5:$C$3000,MATCH(R10&amp;"",'Chart of Accounts'!$A$5:$A$3000,0))&amp;"|"&amp;INDEX('Chart of Accounts'!$D$5:$D$3000,MATCH(R10&amp;"",'Chart of Accounts'!$A$5:$A$3000,0)),"")</f>
        <v/>
      </c>
      <c r="Y10" s="23">
        <f>IFERROR(INDEX('Chart of Accounts'!$C$5:$C$3000,MATCH(S10&amp;"",'Chart of Accounts'!$A$5:$A$3000,0))&amp;"|"&amp;INDEX('Chart of Accounts'!$D$5:$D$3000,MATCH(S10&amp;"",'Chart of Accounts'!$A$5:$A$3000,0)),"")</f>
        <v/>
      </c>
      <c r="Z10" s="23">
        <f>IFERROR(INDEX('Chart of Accounts'!$C$5:$C$3000,MATCH(U10&amp;"",'Chart of Accounts'!$A$5:$A$3000,0))&amp;"|"&amp;INDEX('Chart of Accounts'!$D$5:$D$3000,MATCH(U10&amp;"",'Chart of Accounts'!$A$5:$A$3000,0)),"")</f>
        <v/>
      </c>
      <c r="AA10" s="23">
        <f>IF(LEFT(V10,8)="Revenue|",-N(F10),0)+IF(LEFT(W10,8)="Revenue|",-N(M10),0)+IF(LEFT(X10,8)="Revenue|",N(O10),0)+IF(LEFT(Y10,8)="Revenue|",N(P10),0)+IF(LEFT(Z10,8)="Revenue|",N(N10),0)</f>
        <v/>
      </c>
      <c r="AB10" s="23">
        <f>IF(LEFT(V10,5)="COGS|",N(F10),0)+IF(LEFT(W10,5)="COGS|",N(M10),0)+IF(LEFT(X10,5)="COGS|",-N(O10),0)+IF(LEFT(Y10,5)="COGS|",-N(P10),0)+IF(LEFT(Z10,5)="COGS|",-N(N10),0)</f>
        <v/>
      </c>
      <c r="AC10" s="23">
        <f>IF(LEFT(V10,8)="Expense|",N(F10),0)+IF(LEFT(W10,8)="Expense|",N(M10),0)+IF(LEFT(X10,8)="Expense|",-N(O10),0)+IF(LEFT(Y10,8)="Expense|",-N(P10),0)+IF(LEFT(Z10,8)="Expense|",-N(N10),0)</f>
        <v/>
      </c>
      <c r="AD10" s="23">
        <f>IF(ISNUMBER(MATCH(V10,{"Expense|employee","Expense|general_admin","Expense|marketing","Expense|utilities","Expense|other_operating"},0)),N(F10),0)+IF(ISNUMBER(MATCH(W10,{"Expense|employee","Expense|general_admin","Expense|marketing","Expense|utilities","Expense|other_operating"},0)),N(M10),0)+IF(ISNUMBER(MATCH(X10,{"Expense|employee","Expense|general_admin","Expense|marketing","Expense|utilities","Expense|other_operating"},0)),-N(O10),0)+IF(ISNUMBER(MATCH(Y10,{"Expense|employee","Expense|general_admin","Expense|marketing","Expense|utilities","Expense|other_operating"},0)),-N(P10),0)+IF(ISNUMBER(MATCH(Z10,{"Expense|employee","Expense|general_admin","Expense|marketing","Expense|utilities","Expense|other_operating"},0)),-N(N10),0)</f>
        <v/>
      </c>
      <c r="AE10" s="23">
        <f>IF(V10="Liability|payable",-N(F10),0)+IF(W10="Liability|payable",-N(M10),0)+IF(X10="Liability|payable",N(O10),0)+IF(Y10="Liability|payable",N(P10),0)+IF(Z10="Liability|payable",N(N10),0)</f>
        <v/>
      </c>
      <c r="AF10" s="23">
        <f>IF(V10="Liability|accrued",-N(F10),0)+IF(W10="Liability|accrued",-N(M10),0)+IF(X10="Liability|accrued",N(O10),0)+IF(Y10="Liability|accrued",N(P10),0)+IF(Z10="Liability|accrued",N(N10),0)</f>
        <v/>
      </c>
      <c r="AG10" s="23">
        <f>IF(AND(N(F10)&lt;&gt;0,V10=""),1,0)+IF(AND(N(M10)&lt;&gt;0,W10=""),1,0)+IF(AND(N(O10)&lt;&gt;0,X10=""),1,0)+IF(AND(N(P10)&lt;&gt;0,Y10=""),1,0)+IF(AND(N(N10)&lt;&gt;0,Z10=""),1,0)</f>
        <v/>
      </c>
    </row>
    <row r="11">
      <c r="A11" s="19" t="n"/>
      <c r="B11" s="14" t="n"/>
      <c r="C11" s="14" t="n"/>
      <c r="D11" s="14" t="n"/>
      <c r="E11" s="14" t="n"/>
      <c r="F11" s="20" t="n"/>
      <c r="G11" s="20" t="n"/>
      <c r="H11" s="14" t="n"/>
      <c r="I11" s="14" t="n"/>
      <c r="J11" s="14" t="n"/>
      <c r="K11" s="14" t="n"/>
      <c r="L11" s="14" t="n"/>
      <c r="M11" s="21">
        <f>ROUND(N(F11)*IFERROR(VLOOKUP(K11,'Tax Codes'!$A$5:$E$300,5,FALSE),0),2)</f>
        <v/>
      </c>
      <c r="N11" s="21">
        <f>ROUND(N(F11)*IFERROR(VLOOKUP(L11,'Tax Codes'!$A$5:$E$300,5,FALSE),0),2)</f>
        <v/>
      </c>
      <c r="O11" s="21">
        <f>IF(G11="",N(F11)+M11-N11,N(G11))</f>
        <v/>
      </c>
      <c r="P11" s="21">
        <f>N(F11)+M11-N11-O11</f>
        <v/>
      </c>
      <c r="Q11" s="16">
        <f>IF(C11="",INDEX('Chart of Accounts'!$A$5:$A$3000,MATCH("other_overhead",'Chart of Accounts'!$F$5:$F$3000,0)),C11&amp;"")</f>
        <v/>
      </c>
      <c r="R11" s="16">
        <f>IF(I11="",INDEX('Chart of Accounts'!$A$5:$A$3000,MATCH("bank",'Chart of Accounts'!$F$5:$F$3000,0)),I11&amp;"")</f>
        <v/>
      </c>
      <c r="S11" s="16">
        <f>IF(J11="",INDEX('Chart of Accounts'!$A$5:$A$3000,MATCH("ap",'Chart of Accounts'!$F$5:$F$3000,0)),J11&amp;"")</f>
        <v/>
      </c>
      <c r="T11" s="16">
        <f>INDEX('Chart of Accounts'!$A$5:$A$3000,MATCH("vat_input",'Chart of Accounts'!$F$5:$F$3000,0))</f>
        <v/>
      </c>
      <c r="U11" s="16">
        <f>INDEX('Chart of Accounts'!$A$5:$A$3000,MATCH("wht_payable",'Chart of Accounts'!$F$5:$F$3000,0))</f>
        <v/>
      </c>
      <c r="V11" s="23">
        <f>IFERROR(INDEX('Chart of Accounts'!$C$5:$C$3000,MATCH(Q11&amp;"",'Chart of Accounts'!$A$5:$A$3000,0))&amp;"|"&amp;INDEX('Chart of Accounts'!$D$5:$D$3000,MATCH(Q11&amp;"",'Chart of Accounts'!$A$5:$A$3000,0)),"")</f>
        <v/>
      </c>
      <c r="W11" s="23">
        <f>IFERROR(INDEX('Chart of Accounts'!$C$5:$C$3000,MATCH(T11&amp;"",'Chart of Accounts'!$A$5:$A$3000,0))&amp;"|"&amp;INDEX('Chart of Accounts'!$D$5:$D$3000,MATCH(T11&amp;"",'Chart of Accounts'!$A$5:$A$3000,0)),"")</f>
        <v/>
      </c>
      <c r="X11" s="23">
        <f>IFERROR(INDEX('Chart of Accounts'!$C$5:$C$3000,MATCH(R11&amp;"",'Chart of Accounts'!$A$5:$A$3000,0))&amp;"|"&amp;INDEX('Chart of Accounts'!$D$5:$D$3000,MATCH(R11&amp;"",'Chart of Accounts'!$A$5:$A$3000,0)),"")</f>
        <v/>
      </c>
      <c r="Y11" s="23">
        <f>IFERROR(INDEX('Chart of Accounts'!$C$5:$C$3000,MATCH(S11&amp;"",'Chart of Accounts'!$A$5:$A$3000,0))&amp;"|"&amp;INDEX('Chart of Accounts'!$D$5:$D$3000,MATCH(S11&amp;"",'Chart of Accounts'!$A$5:$A$3000,0)),"")</f>
        <v/>
      </c>
      <c r="Z11" s="23">
        <f>IFERROR(INDEX('Chart of Accounts'!$C$5:$C$3000,MATCH(U11&amp;"",'Chart of Accounts'!$A$5:$A$3000,0))&amp;"|"&amp;INDEX('Chart of Accounts'!$D$5:$D$3000,MATCH(U11&amp;"",'Chart of Accounts'!$A$5:$A$3000,0)),"")</f>
        <v/>
      </c>
      <c r="AA11" s="23">
        <f>IF(LEFT(V11,8)="Revenue|",-N(F11),0)+IF(LEFT(W11,8)="Revenue|",-N(M11),0)+IF(LEFT(X11,8)="Revenue|",N(O11),0)+IF(LEFT(Y11,8)="Revenue|",N(P11),0)+IF(LEFT(Z11,8)="Revenue|",N(N11),0)</f>
        <v/>
      </c>
      <c r="AB11" s="23">
        <f>IF(LEFT(V11,5)="COGS|",N(F11),0)+IF(LEFT(W11,5)="COGS|",N(M11),0)+IF(LEFT(X11,5)="COGS|",-N(O11),0)+IF(LEFT(Y11,5)="COGS|",-N(P11),0)+IF(LEFT(Z11,5)="COGS|",-N(N11),0)</f>
        <v/>
      </c>
      <c r="AC11" s="23">
        <f>IF(LEFT(V11,8)="Expense|",N(F11),0)+IF(LEFT(W11,8)="Expense|",N(M11),0)+IF(LEFT(X11,8)="Expense|",-N(O11),0)+IF(LEFT(Y11,8)="Expense|",-N(P11),0)+IF(LEFT(Z11,8)="Expense|",-N(N11),0)</f>
        <v/>
      </c>
      <c r="AD11" s="23">
        <f>IF(ISNUMBER(MATCH(V11,{"Expense|employee","Expense|general_admin","Expense|marketing","Expense|utilities","Expense|other_operating"},0)),N(F11),0)+IF(ISNUMBER(MATCH(W11,{"Expense|employee","Expense|general_admin","Expense|marketing","Expense|utilities","Expense|other_operating"},0)),N(M11),0)+IF(ISNUMBER(MATCH(X11,{"Expense|employee","Expense|general_admin","Expense|marketing","Expense|utilities","Expense|other_operating"},0)),-N(O11),0)+IF(ISNUMBER(MATCH(Y11,{"Expense|employee","Expense|general_admin","Expense|marketing","Expense|utilities","Expense|other_operating"},0)),-N(P11),0)+IF(ISNUMBER(MATCH(Z11,{"Expense|employee","Expense|general_admin","Expense|marketing","Expense|utilities","Expense|other_operating"},0)),-N(N11),0)</f>
        <v/>
      </c>
      <c r="AE11" s="23">
        <f>IF(V11="Liability|payable",-N(F11),0)+IF(W11="Liability|payable",-N(M11),0)+IF(X11="Liability|payable",N(O11),0)+IF(Y11="Liability|payable",N(P11),0)+IF(Z11="Liability|payable",N(N11),0)</f>
        <v/>
      </c>
      <c r="AF11" s="23">
        <f>IF(V11="Liability|accrued",-N(F11),0)+IF(W11="Liability|accrued",-N(M11),0)+IF(X11="Liability|accrued",N(O11),0)+IF(Y11="Liability|accrued",N(P11),0)+IF(Z11="Liability|accrued",N(N11),0)</f>
        <v/>
      </c>
      <c r="AG11" s="23">
        <f>IF(AND(N(F11)&lt;&gt;0,V11=""),1,0)+IF(AND(N(M11)&lt;&gt;0,W11=""),1,0)+IF(AND(N(O11)&lt;&gt;0,X11=""),1,0)+IF(AND(N(P11)&lt;&gt;0,Y11=""),1,0)+IF(AND(N(N11)&lt;&gt;0,Z11=""),1,0)</f>
        <v/>
      </c>
    </row>
    <row r="12">
      <c r="A12" s="19" t="n"/>
      <c r="B12" s="14" t="n"/>
      <c r="C12" s="14" t="n"/>
      <c r="D12" s="14" t="n"/>
      <c r="E12" s="14" t="n"/>
      <c r="F12" s="20" t="n"/>
      <c r="G12" s="20" t="n"/>
      <c r="H12" s="14" t="n"/>
      <c r="I12" s="14" t="n"/>
      <c r="J12" s="14" t="n"/>
      <c r="K12" s="14" t="n"/>
      <c r="L12" s="14" t="n"/>
      <c r="M12" s="21">
        <f>ROUND(N(F12)*IFERROR(VLOOKUP(K12,'Tax Codes'!$A$5:$E$300,5,FALSE),0),2)</f>
        <v/>
      </c>
      <c r="N12" s="21">
        <f>ROUND(N(F12)*IFERROR(VLOOKUP(L12,'Tax Codes'!$A$5:$E$300,5,FALSE),0),2)</f>
        <v/>
      </c>
      <c r="O12" s="21">
        <f>IF(G12="",N(F12)+M12-N12,N(G12))</f>
        <v/>
      </c>
      <c r="P12" s="21">
        <f>N(F12)+M12-N12-O12</f>
        <v/>
      </c>
      <c r="Q12" s="16">
        <f>IF(C12="",INDEX('Chart of Accounts'!$A$5:$A$3000,MATCH("other_overhead",'Chart of Accounts'!$F$5:$F$3000,0)),C12&amp;"")</f>
        <v/>
      </c>
      <c r="R12" s="16">
        <f>IF(I12="",INDEX('Chart of Accounts'!$A$5:$A$3000,MATCH("bank",'Chart of Accounts'!$F$5:$F$3000,0)),I12&amp;"")</f>
        <v/>
      </c>
      <c r="S12" s="16">
        <f>IF(J12="",INDEX('Chart of Accounts'!$A$5:$A$3000,MATCH("ap",'Chart of Accounts'!$F$5:$F$3000,0)),J12&amp;"")</f>
        <v/>
      </c>
      <c r="T12" s="16">
        <f>INDEX('Chart of Accounts'!$A$5:$A$3000,MATCH("vat_input",'Chart of Accounts'!$F$5:$F$3000,0))</f>
        <v/>
      </c>
      <c r="U12" s="16">
        <f>INDEX('Chart of Accounts'!$A$5:$A$3000,MATCH("wht_payable",'Chart of Accounts'!$F$5:$F$3000,0))</f>
        <v/>
      </c>
      <c r="V12" s="23">
        <f>IFERROR(INDEX('Chart of Accounts'!$C$5:$C$3000,MATCH(Q12&amp;"",'Chart of Accounts'!$A$5:$A$3000,0))&amp;"|"&amp;INDEX('Chart of Accounts'!$D$5:$D$3000,MATCH(Q12&amp;"",'Chart of Accounts'!$A$5:$A$3000,0)),"")</f>
        <v/>
      </c>
      <c r="W12" s="23">
        <f>IFERROR(INDEX('Chart of Accounts'!$C$5:$C$3000,MATCH(T12&amp;"",'Chart of Accounts'!$A$5:$A$3000,0))&amp;"|"&amp;INDEX('Chart of Accounts'!$D$5:$D$3000,MATCH(T12&amp;"",'Chart of Accounts'!$A$5:$A$3000,0)),"")</f>
        <v/>
      </c>
      <c r="X12" s="23">
        <f>IFERROR(INDEX('Chart of Accounts'!$C$5:$C$3000,MATCH(R12&amp;"",'Chart of Accounts'!$A$5:$A$3000,0))&amp;"|"&amp;INDEX('Chart of Accounts'!$D$5:$D$3000,MATCH(R12&amp;"",'Chart of Accounts'!$A$5:$A$3000,0)),"")</f>
        <v/>
      </c>
      <c r="Y12" s="23">
        <f>IFERROR(INDEX('Chart of Accounts'!$C$5:$C$3000,MATCH(S12&amp;"",'Chart of Accounts'!$A$5:$A$3000,0))&amp;"|"&amp;INDEX('Chart of Accounts'!$D$5:$D$3000,MATCH(S12&amp;"",'Chart of Accounts'!$A$5:$A$3000,0)),"")</f>
        <v/>
      </c>
      <c r="Z12" s="23">
        <f>IFERROR(INDEX('Chart of Accounts'!$C$5:$C$3000,MATCH(U12&amp;"",'Chart of Accounts'!$A$5:$A$3000,0))&amp;"|"&amp;INDEX('Chart of Accounts'!$D$5:$D$3000,MATCH(U12&amp;"",'Chart of Accounts'!$A$5:$A$3000,0)),"")</f>
        <v/>
      </c>
      <c r="AA12" s="23">
        <f>IF(LEFT(V12,8)="Revenue|",-N(F12),0)+IF(LEFT(W12,8)="Revenue|",-N(M12),0)+IF(LEFT(X12,8)="Revenue|",N(O12),0)+IF(LEFT(Y12,8)="Revenue|",N(P12),0)+IF(LEFT(Z12,8)="Revenue|",N(N12),0)</f>
        <v/>
      </c>
      <c r="AB12" s="23">
        <f>IF(LEFT(V12,5)="COGS|",N(F12),0)+IF(LEFT(W12,5)="COGS|",N(M12),0)+IF(LEFT(X12,5)="COGS|",-N(O12),0)+IF(LEFT(Y12,5)="COGS|",-N(P12),0)+IF(LEFT(Z12,5)="COGS|",-N(N12),0)</f>
        <v/>
      </c>
      <c r="AC12" s="23">
        <f>IF(LEFT(V12,8)="Expense|",N(F12),0)+IF(LEFT(W12,8)="Expense|",N(M12),0)+IF(LEFT(X12,8)="Expense|",-N(O12),0)+IF(LEFT(Y12,8)="Expense|",-N(P12),0)+IF(LEFT(Z12,8)="Expense|",-N(N12),0)</f>
        <v/>
      </c>
      <c r="AD12" s="23">
        <f>IF(ISNUMBER(MATCH(V12,{"Expense|employee","Expense|general_admin","Expense|marketing","Expense|utilities","Expense|other_operating"},0)),N(F12),0)+IF(ISNUMBER(MATCH(W12,{"Expense|employee","Expense|general_admin","Expense|marketing","Expense|utilities","Expense|other_operating"},0)),N(M12),0)+IF(ISNUMBER(MATCH(X12,{"Expense|employee","Expense|general_admin","Expense|marketing","Expense|utilities","Expense|other_operating"},0)),-N(O12),0)+IF(ISNUMBER(MATCH(Y12,{"Expense|employee","Expense|general_admin","Expense|marketing","Expense|utilities","Expense|other_operating"},0)),-N(P12),0)+IF(ISNUMBER(MATCH(Z12,{"Expense|employee","Expense|general_admin","Expense|marketing","Expense|utilities","Expense|other_operating"},0)),-N(N12),0)</f>
        <v/>
      </c>
      <c r="AE12" s="23">
        <f>IF(V12="Liability|payable",-N(F12),0)+IF(W12="Liability|payable",-N(M12),0)+IF(X12="Liability|payable",N(O12),0)+IF(Y12="Liability|payable",N(P12),0)+IF(Z12="Liability|payable",N(N12),0)</f>
        <v/>
      </c>
      <c r="AF12" s="23">
        <f>IF(V12="Liability|accrued",-N(F12),0)+IF(W12="Liability|accrued",-N(M12),0)+IF(X12="Liability|accrued",N(O12),0)+IF(Y12="Liability|accrued",N(P12),0)+IF(Z12="Liability|accrued",N(N12),0)</f>
        <v/>
      </c>
      <c r="AG12" s="23">
        <f>IF(AND(N(F12)&lt;&gt;0,V12=""),1,0)+IF(AND(N(M12)&lt;&gt;0,W12=""),1,0)+IF(AND(N(O12)&lt;&gt;0,X12=""),1,0)+IF(AND(N(P12)&lt;&gt;0,Y12=""),1,0)+IF(AND(N(N12)&lt;&gt;0,Z12=""),1,0)</f>
        <v/>
      </c>
    </row>
    <row r="13">
      <c r="A13" s="19" t="n"/>
      <c r="B13" s="14" t="n"/>
      <c r="C13" s="14" t="n"/>
      <c r="D13" s="14" t="n"/>
      <c r="E13" s="14" t="n"/>
      <c r="F13" s="20" t="n"/>
      <c r="G13" s="20" t="n"/>
      <c r="H13" s="14" t="n"/>
      <c r="I13" s="14" t="n"/>
      <c r="J13" s="14" t="n"/>
      <c r="K13" s="14" t="n"/>
      <c r="L13" s="14" t="n"/>
      <c r="M13" s="21">
        <f>ROUND(N(F13)*IFERROR(VLOOKUP(K13,'Tax Codes'!$A$5:$E$300,5,FALSE),0),2)</f>
        <v/>
      </c>
      <c r="N13" s="21">
        <f>ROUND(N(F13)*IFERROR(VLOOKUP(L13,'Tax Codes'!$A$5:$E$300,5,FALSE),0),2)</f>
        <v/>
      </c>
      <c r="O13" s="21">
        <f>IF(G13="",N(F13)+M13-N13,N(G13))</f>
        <v/>
      </c>
      <c r="P13" s="21">
        <f>N(F13)+M13-N13-O13</f>
        <v/>
      </c>
      <c r="Q13" s="16">
        <f>IF(C13="",INDEX('Chart of Accounts'!$A$5:$A$3000,MATCH("other_overhead",'Chart of Accounts'!$F$5:$F$3000,0)),C13&amp;"")</f>
        <v/>
      </c>
      <c r="R13" s="16">
        <f>IF(I13="",INDEX('Chart of Accounts'!$A$5:$A$3000,MATCH("bank",'Chart of Accounts'!$F$5:$F$3000,0)),I13&amp;"")</f>
        <v/>
      </c>
      <c r="S13" s="16">
        <f>IF(J13="",INDEX('Chart of Accounts'!$A$5:$A$3000,MATCH("ap",'Chart of Accounts'!$F$5:$F$3000,0)),J13&amp;"")</f>
        <v/>
      </c>
      <c r="T13" s="16">
        <f>INDEX('Chart of Accounts'!$A$5:$A$3000,MATCH("vat_input",'Chart of Accounts'!$F$5:$F$3000,0))</f>
        <v/>
      </c>
      <c r="U13" s="16">
        <f>INDEX('Chart of Accounts'!$A$5:$A$3000,MATCH("wht_payable",'Chart of Accounts'!$F$5:$F$3000,0))</f>
        <v/>
      </c>
      <c r="V13" s="23">
        <f>IFERROR(INDEX('Chart of Accounts'!$C$5:$C$3000,MATCH(Q13&amp;"",'Chart of Accounts'!$A$5:$A$3000,0))&amp;"|"&amp;INDEX('Chart of Accounts'!$D$5:$D$3000,MATCH(Q13&amp;"",'Chart of Accounts'!$A$5:$A$3000,0)),"")</f>
        <v/>
      </c>
      <c r="W13" s="23">
        <f>IFERROR(INDEX('Chart of Accounts'!$C$5:$C$3000,MATCH(T13&amp;"",'Chart of Accounts'!$A$5:$A$3000,0))&amp;"|"&amp;INDEX('Chart of Accounts'!$D$5:$D$3000,MATCH(T13&amp;"",'Chart of Accounts'!$A$5:$A$3000,0)),"")</f>
        <v/>
      </c>
      <c r="X13" s="23">
        <f>IFERROR(INDEX('Chart of Accounts'!$C$5:$C$3000,MATCH(R13&amp;"",'Chart of Accounts'!$A$5:$A$3000,0))&amp;"|"&amp;INDEX('Chart of Accounts'!$D$5:$D$3000,MATCH(R13&amp;"",'Chart of Accounts'!$A$5:$A$3000,0)),"")</f>
        <v/>
      </c>
      <c r="Y13" s="23">
        <f>IFERROR(INDEX('Chart of Accounts'!$C$5:$C$3000,MATCH(S13&amp;"",'Chart of Accounts'!$A$5:$A$3000,0))&amp;"|"&amp;INDEX('Chart of Accounts'!$D$5:$D$3000,MATCH(S13&amp;"",'Chart of Accounts'!$A$5:$A$3000,0)),"")</f>
        <v/>
      </c>
      <c r="Z13" s="23">
        <f>IFERROR(INDEX('Chart of Accounts'!$C$5:$C$3000,MATCH(U13&amp;"",'Chart of Accounts'!$A$5:$A$3000,0))&amp;"|"&amp;INDEX('Chart of Accounts'!$D$5:$D$3000,MATCH(U13&amp;"",'Chart of Accounts'!$A$5:$A$3000,0)),"")</f>
        <v/>
      </c>
      <c r="AA13" s="23">
        <f>IF(LEFT(V13,8)="Revenue|",-N(F13),0)+IF(LEFT(W13,8)="Revenue|",-N(M13),0)+IF(LEFT(X13,8)="Revenue|",N(O13),0)+IF(LEFT(Y13,8)="Revenue|",N(P13),0)+IF(LEFT(Z13,8)="Revenue|",N(N13),0)</f>
        <v/>
      </c>
      <c r="AB13" s="23">
        <f>IF(LEFT(V13,5)="COGS|",N(F13),0)+IF(LEFT(W13,5)="COGS|",N(M13),0)+IF(LEFT(X13,5)="COGS|",-N(O13),0)+IF(LEFT(Y13,5)="COGS|",-N(P13),0)+IF(LEFT(Z13,5)="COGS|",-N(N13),0)</f>
        <v/>
      </c>
      <c r="AC13" s="23">
        <f>IF(LEFT(V13,8)="Expense|",N(F13),0)+IF(LEFT(W13,8)="Expense|",N(M13),0)+IF(LEFT(X13,8)="Expense|",-N(O13),0)+IF(LEFT(Y13,8)="Expense|",-N(P13),0)+IF(LEFT(Z13,8)="Expense|",-N(N13),0)</f>
        <v/>
      </c>
      <c r="AD13" s="23">
        <f>IF(ISNUMBER(MATCH(V13,{"Expense|employee","Expense|general_admin","Expense|marketing","Expense|utilities","Expense|other_operating"},0)),N(F13),0)+IF(ISNUMBER(MATCH(W13,{"Expense|employee","Expense|general_admin","Expense|marketing","Expense|utilities","Expense|other_operating"},0)),N(M13),0)+IF(ISNUMBER(MATCH(X13,{"Expense|employee","Expense|general_admin","Expense|marketing","Expense|utilities","Expense|other_operating"},0)),-N(O13),0)+IF(ISNUMBER(MATCH(Y13,{"Expense|employee","Expense|general_admin","Expense|marketing","Expense|utilities","Expense|other_operating"},0)),-N(P13),0)+IF(ISNUMBER(MATCH(Z13,{"Expense|employee","Expense|general_admin","Expense|marketing","Expense|utilities","Expense|other_operating"},0)),-N(N13),0)</f>
        <v/>
      </c>
      <c r="AE13" s="23">
        <f>IF(V13="Liability|payable",-N(F13),0)+IF(W13="Liability|payable",-N(M13),0)+IF(X13="Liability|payable",N(O13),0)+IF(Y13="Liability|payable",N(P13),0)+IF(Z13="Liability|payable",N(N13),0)</f>
        <v/>
      </c>
      <c r="AF13" s="23">
        <f>IF(V13="Liability|accrued",-N(F13),0)+IF(W13="Liability|accrued",-N(M13),0)+IF(X13="Liability|accrued",N(O13),0)+IF(Y13="Liability|accrued",N(P13),0)+IF(Z13="Liability|accrued",N(N13),0)</f>
        <v/>
      </c>
      <c r="AG13" s="23">
        <f>IF(AND(N(F13)&lt;&gt;0,V13=""),1,0)+IF(AND(N(M13)&lt;&gt;0,W13=""),1,0)+IF(AND(N(O13)&lt;&gt;0,X13=""),1,0)+IF(AND(N(P13)&lt;&gt;0,Y13=""),1,0)+IF(AND(N(N13)&lt;&gt;0,Z13=""),1,0)</f>
        <v/>
      </c>
    </row>
    <row r="14">
      <c r="A14" s="19" t="n"/>
      <c r="B14" s="14" t="n"/>
      <c r="C14" s="14" t="n"/>
      <c r="D14" s="14" t="n"/>
      <c r="E14" s="14" t="n"/>
      <c r="F14" s="20" t="n"/>
      <c r="G14" s="20" t="n"/>
      <c r="H14" s="14" t="n"/>
      <c r="I14" s="14" t="n"/>
      <c r="J14" s="14" t="n"/>
      <c r="K14" s="14" t="n"/>
      <c r="L14" s="14" t="n"/>
      <c r="M14" s="21">
        <f>ROUND(N(F14)*IFERROR(VLOOKUP(K14,'Tax Codes'!$A$5:$E$300,5,FALSE),0),2)</f>
        <v/>
      </c>
      <c r="N14" s="21">
        <f>ROUND(N(F14)*IFERROR(VLOOKUP(L14,'Tax Codes'!$A$5:$E$300,5,FALSE),0),2)</f>
        <v/>
      </c>
      <c r="O14" s="21">
        <f>IF(G14="",N(F14)+M14-N14,N(G14))</f>
        <v/>
      </c>
      <c r="P14" s="21">
        <f>N(F14)+M14-N14-O14</f>
        <v/>
      </c>
      <c r="Q14" s="16">
        <f>IF(C14="",INDEX('Chart of Accounts'!$A$5:$A$3000,MATCH("other_overhead",'Chart of Accounts'!$F$5:$F$3000,0)),C14&amp;"")</f>
        <v/>
      </c>
      <c r="R14" s="16">
        <f>IF(I14="",INDEX('Chart of Accounts'!$A$5:$A$3000,MATCH("bank",'Chart of Accounts'!$F$5:$F$3000,0)),I14&amp;"")</f>
        <v/>
      </c>
      <c r="S14" s="16">
        <f>IF(J14="",INDEX('Chart of Accounts'!$A$5:$A$3000,MATCH("ap",'Chart of Accounts'!$F$5:$F$3000,0)),J14&amp;"")</f>
        <v/>
      </c>
      <c r="T14" s="16">
        <f>INDEX('Chart of Accounts'!$A$5:$A$3000,MATCH("vat_input",'Chart of Accounts'!$F$5:$F$3000,0))</f>
        <v/>
      </c>
      <c r="U14" s="16">
        <f>INDEX('Chart of Accounts'!$A$5:$A$3000,MATCH("wht_payable",'Chart of Accounts'!$F$5:$F$3000,0))</f>
        <v/>
      </c>
      <c r="V14" s="23">
        <f>IFERROR(INDEX('Chart of Accounts'!$C$5:$C$3000,MATCH(Q14&amp;"",'Chart of Accounts'!$A$5:$A$3000,0))&amp;"|"&amp;INDEX('Chart of Accounts'!$D$5:$D$3000,MATCH(Q14&amp;"",'Chart of Accounts'!$A$5:$A$3000,0)),"")</f>
        <v/>
      </c>
      <c r="W14" s="23">
        <f>IFERROR(INDEX('Chart of Accounts'!$C$5:$C$3000,MATCH(T14&amp;"",'Chart of Accounts'!$A$5:$A$3000,0))&amp;"|"&amp;INDEX('Chart of Accounts'!$D$5:$D$3000,MATCH(T14&amp;"",'Chart of Accounts'!$A$5:$A$3000,0)),"")</f>
        <v/>
      </c>
      <c r="X14" s="23">
        <f>IFERROR(INDEX('Chart of Accounts'!$C$5:$C$3000,MATCH(R14&amp;"",'Chart of Accounts'!$A$5:$A$3000,0))&amp;"|"&amp;INDEX('Chart of Accounts'!$D$5:$D$3000,MATCH(R14&amp;"",'Chart of Accounts'!$A$5:$A$3000,0)),"")</f>
        <v/>
      </c>
      <c r="Y14" s="23">
        <f>IFERROR(INDEX('Chart of Accounts'!$C$5:$C$3000,MATCH(S14&amp;"",'Chart of Accounts'!$A$5:$A$3000,0))&amp;"|"&amp;INDEX('Chart of Accounts'!$D$5:$D$3000,MATCH(S14&amp;"",'Chart of Accounts'!$A$5:$A$3000,0)),"")</f>
        <v/>
      </c>
      <c r="Z14" s="23">
        <f>IFERROR(INDEX('Chart of Accounts'!$C$5:$C$3000,MATCH(U14&amp;"",'Chart of Accounts'!$A$5:$A$3000,0))&amp;"|"&amp;INDEX('Chart of Accounts'!$D$5:$D$3000,MATCH(U14&amp;"",'Chart of Accounts'!$A$5:$A$3000,0)),"")</f>
        <v/>
      </c>
      <c r="AA14" s="23">
        <f>IF(LEFT(V14,8)="Revenue|",-N(F14),0)+IF(LEFT(W14,8)="Revenue|",-N(M14),0)+IF(LEFT(X14,8)="Revenue|",N(O14),0)+IF(LEFT(Y14,8)="Revenue|",N(P14),0)+IF(LEFT(Z14,8)="Revenue|",N(N14),0)</f>
        <v/>
      </c>
      <c r="AB14" s="23">
        <f>IF(LEFT(V14,5)="COGS|",N(F14),0)+IF(LEFT(W14,5)="COGS|",N(M14),0)+IF(LEFT(X14,5)="COGS|",-N(O14),0)+IF(LEFT(Y14,5)="COGS|",-N(P14),0)+IF(LEFT(Z14,5)="COGS|",-N(N14),0)</f>
        <v/>
      </c>
      <c r="AC14" s="23">
        <f>IF(LEFT(V14,8)="Expense|",N(F14),0)+IF(LEFT(W14,8)="Expense|",N(M14),0)+IF(LEFT(X14,8)="Expense|",-N(O14),0)+IF(LEFT(Y14,8)="Expense|",-N(P14),0)+IF(LEFT(Z14,8)="Expense|",-N(N14),0)</f>
        <v/>
      </c>
      <c r="AD14" s="23">
        <f>IF(ISNUMBER(MATCH(V14,{"Expense|employee","Expense|general_admin","Expense|marketing","Expense|utilities","Expense|other_operating"},0)),N(F14),0)+IF(ISNUMBER(MATCH(W14,{"Expense|employee","Expense|general_admin","Expense|marketing","Expense|utilities","Expense|other_operating"},0)),N(M14),0)+IF(ISNUMBER(MATCH(X14,{"Expense|employee","Expense|general_admin","Expense|marketing","Expense|utilities","Expense|other_operating"},0)),-N(O14),0)+IF(ISNUMBER(MATCH(Y14,{"Expense|employee","Expense|general_admin","Expense|marketing","Expense|utilities","Expense|other_operating"},0)),-N(P14),0)+IF(ISNUMBER(MATCH(Z14,{"Expense|employee","Expense|general_admin","Expense|marketing","Expense|utilities","Expense|other_operating"},0)),-N(N14),0)</f>
        <v/>
      </c>
      <c r="AE14" s="23">
        <f>IF(V14="Liability|payable",-N(F14),0)+IF(W14="Liability|payable",-N(M14),0)+IF(X14="Liability|payable",N(O14),0)+IF(Y14="Liability|payable",N(P14),0)+IF(Z14="Liability|payable",N(N14),0)</f>
        <v/>
      </c>
      <c r="AF14" s="23">
        <f>IF(V14="Liability|accrued",-N(F14),0)+IF(W14="Liability|accrued",-N(M14),0)+IF(X14="Liability|accrued",N(O14),0)+IF(Y14="Liability|accrued",N(P14),0)+IF(Z14="Liability|accrued",N(N14),0)</f>
        <v/>
      </c>
      <c r="AG14" s="23">
        <f>IF(AND(N(F14)&lt;&gt;0,V14=""),1,0)+IF(AND(N(M14)&lt;&gt;0,W14=""),1,0)+IF(AND(N(O14)&lt;&gt;0,X14=""),1,0)+IF(AND(N(P14)&lt;&gt;0,Y14=""),1,0)+IF(AND(N(N14)&lt;&gt;0,Z14=""),1,0)</f>
        <v/>
      </c>
    </row>
    <row r="15">
      <c r="A15" s="19" t="n"/>
      <c r="B15" s="14" t="n"/>
      <c r="C15" s="14" t="n"/>
      <c r="D15" s="14" t="n"/>
      <c r="E15" s="14" t="n"/>
      <c r="F15" s="20" t="n"/>
      <c r="G15" s="20" t="n"/>
      <c r="H15" s="14" t="n"/>
      <c r="I15" s="14" t="n"/>
      <c r="J15" s="14" t="n"/>
      <c r="K15" s="14" t="n"/>
      <c r="L15" s="14" t="n"/>
      <c r="M15" s="21">
        <f>ROUND(N(F15)*IFERROR(VLOOKUP(K15,'Tax Codes'!$A$5:$E$300,5,FALSE),0),2)</f>
        <v/>
      </c>
      <c r="N15" s="21">
        <f>ROUND(N(F15)*IFERROR(VLOOKUP(L15,'Tax Codes'!$A$5:$E$300,5,FALSE),0),2)</f>
        <v/>
      </c>
      <c r="O15" s="21">
        <f>IF(G15="",N(F15)+M15-N15,N(G15))</f>
        <v/>
      </c>
      <c r="P15" s="21">
        <f>N(F15)+M15-N15-O15</f>
        <v/>
      </c>
      <c r="Q15" s="16">
        <f>IF(C15="",INDEX('Chart of Accounts'!$A$5:$A$3000,MATCH("other_overhead",'Chart of Accounts'!$F$5:$F$3000,0)),C15&amp;"")</f>
        <v/>
      </c>
      <c r="R15" s="16">
        <f>IF(I15="",INDEX('Chart of Accounts'!$A$5:$A$3000,MATCH("bank",'Chart of Accounts'!$F$5:$F$3000,0)),I15&amp;"")</f>
        <v/>
      </c>
      <c r="S15" s="16">
        <f>IF(J15="",INDEX('Chart of Accounts'!$A$5:$A$3000,MATCH("ap",'Chart of Accounts'!$F$5:$F$3000,0)),J15&amp;"")</f>
        <v/>
      </c>
      <c r="T15" s="16">
        <f>INDEX('Chart of Accounts'!$A$5:$A$3000,MATCH("vat_input",'Chart of Accounts'!$F$5:$F$3000,0))</f>
        <v/>
      </c>
      <c r="U15" s="16">
        <f>INDEX('Chart of Accounts'!$A$5:$A$3000,MATCH("wht_payable",'Chart of Accounts'!$F$5:$F$3000,0))</f>
        <v/>
      </c>
      <c r="V15" s="23">
        <f>IFERROR(INDEX('Chart of Accounts'!$C$5:$C$3000,MATCH(Q15&amp;"",'Chart of Accounts'!$A$5:$A$3000,0))&amp;"|"&amp;INDEX('Chart of Accounts'!$D$5:$D$3000,MATCH(Q15&amp;"",'Chart of Accounts'!$A$5:$A$3000,0)),"")</f>
        <v/>
      </c>
      <c r="W15" s="23">
        <f>IFERROR(INDEX('Chart of Accounts'!$C$5:$C$3000,MATCH(T15&amp;"",'Chart of Accounts'!$A$5:$A$3000,0))&amp;"|"&amp;INDEX('Chart of Accounts'!$D$5:$D$3000,MATCH(T15&amp;"",'Chart of Accounts'!$A$5:$A$3000,0)),"")</f>
        <v/>
      </c>
      <c r="X15" s="23">
        <f>IFERROR(INDEX('Chart of Accounts'!$C$5:$C$3000,MATCH(R15&amp;"",'Chart of Accounts'!$A$5:$A$3000,0))&amp;"|"&amp;INDEX('Chart of Accounts'!$D$5:$D$3000,MATCH(R15&amp;"",'Chart of Accounts'!$A$5:$A$3000,0)),"")</f>
        <v/>
      </c>
      <c r="Y15" s="23">
        <f>IFERROR(INDEX('Chart of Accounts'!$C$5:$C$3000,MATCH(S15&amp;"",'Chart of Accounts'!$A$5:$A$3000,0))&amp;"|"&amp;INDEX('Chart of Accounts'!$D$5:$D$3000,MATCH(S15&amp;"",'Chart of Accounts'!$A$5:$A$3000,0)),"")</f>
        <v/>
      </c>
      <c r="Z15" s="23">
        <f>IFERROR(INDEX('Chart of Accounts'!$C$5:$C$3000,MATCH(U15&amp;"",'Chart of Accounts'!$A$5:$A$3000,0))&amp;"|"&amp;INDEX('Chart of Accounts'!$D$5:$D$3000,MATCH(U15&amp;"",'Chart of Accounts'!$A$5:$A$3000,0)),"")</f>
        <v/>
      </c>
      <c r="AA15" s="23">
        <f>IF(LEFT(V15,8)="Revenue|",-N(F15),0)+IF(LEFT(W15,8)="Revenue|",-N(M15),0)+IF(LEFT(X15,8)="Revenue|",N(O15),0)+IF(LEFT(Y15,8)="Revenue|",N(P15),0)+IF(LEFT(Z15,8)="Revenue|",N(N15),0)</f>
        <v/>
      </c>
      <c r="AB15" s="23">
        <f>IF(LEFT(V15,5)="COGS|",N(F15),0)+IF(LEFT(W15,5)="COGS|",N(M15),0)+IF(LEFT(X15,5)="COGS|",-N(O15),0)+IF(LEFT(Y15,5)="COGS|",-N(P15),0)+IF(LEFT(Z15,5)="COGS|",-N(N15),0)</f>
        <v/>
      </c>
      <c r="AC15" s="23">
        <f>IF(LEFT(V15,8)="Expense|",N(F15),0)+IF(LEFT(W15,8)="Expense|",N(M15),0)+IF(LEFT(X15,8)="Expense|",-N(O15),0)+IF(LEFT(Y15,8)="Expense|",-N(P15),0)+IF(LEFT(Z15,8)="Expense|",-N(N15),0)</f>
        <v/>
      </c>
      <c r="AD15" s="23">
        <f>IF(ISNUMBER(MATCH(V15,{"Expense|employee","Expense|general_admin","Expense|marketing","Expense|utilities","Expense|other_operating"},0)),N(F15),0)+IF(ISNUMBER(MATCH(W15,{"Expense|employee","Expense|general_admin","Expense|marketing","Expense|utilities","Expense|other_operating"},0)),N(M15),0)+IF(ISNUMBER(MATCH(X15,{"Expense|employee","Expense|general_admin","Expense|marketing","Expense|utilities","Expense|other_operating"},0)),-N(O15),0)+IF(ISNUMBER(MATCH(Y15,{"Expense|employee","Expense|general_admin","Expense|marketing","Expense|utilities","Expense|other_operating"},0)),-N(P15),0)+IF(ISNUMBER(MATCH(Z15,{"Expense|employee","Expense|general_admin","Expense|marketing","Expense|utilities","Expense|other_operating"},0)),-N(N15),0)</f>
        <v/>
      </c>
      <c r="AE15" s="23">
        <f>IF(V15="Liability|payable",-N(F15),0)+IF(W15="Liability|payable",-N(M15),0)+IF(X15="Liability|payable",N(O15),0)+IF(Y15="Liability|payable",N(P15),0)+IF(Z15="Liability|payable",N(N15),0)</f>
        <v/>
      </c>
      <c r="AF15" s="23">
        <f>IF(V15="Liability|accrued",-N(F15),0)+IF(W15="Liability|accrued",-N(M15),0)+IF(X15="Liability|accrued",N(O15),0)+IF(Y15="Liability|accrued",N(P15),0)+IF(Z15="Liability|accrued",N(N15),0)</f>
        <v/>
      </c>
      <c r="AG15" s="23">
        <f>IF(AND(N(F15)&lt;&gt;0,V15=""),1,0)+IF(AND(N(M15)&lt;&gt;0,W15=""),1,0)+IF(AND(N(O15)&lt;&gt;0,X15=""),1,0)+IF(AND(N(P15)&lt;&gt;0,Y15=""),1,0)+IF(AND(N(N15)&lt;&gt;0,Z15=""),1,0)</f>
        <v/>
      </c>
    </row>
    <row r="16">
      <c r="A16" s="19" t="n"/>
      <c r="B16" s="14" t="n"/>
      <c r="C16" s="14" t="n"/>
      <c r="D16" s="14" t="n"/>
      <c r="E16" s="14" t="n"/>
      <c r="F16" s="20" t="n"/>
      <c r="G16" s="20" t="n"/>
      <c r="H16" s="14" t="n"/>
      <c r="I16" s="14" t="n"/>
      <c r="J16" s="14" t="n"/>
      <c r="K16" s="14" t="n"/>
      <c r="L16" s="14" t="n"/>
      <c r="M16" s="21">
        <f>ROUND(N(F16)*IFERROR(VLOOKUP(K16,'Tax Codes'!$A$5:$E$300,5,FALSE),0),2)</f>
        <v/>
      </c>
      <c r="N16" s="21">
        <f>ROUND(N(F16)*IFERROR(VLOOKUP(L16,'Tax Codes'!$A$5:$E$300,5,FALSE),0),2)</f>
        <v/>
      </c>
      <c r="O16" s="21">
        <f>IF(G16="",N(F16)+M16-N16,N(G16))</f>
        <v/>
      </c>
      <c r="P16" s="21">
        <f>N(F16)+M16-N16-O16</f>
        <v/>
      </c>
      <c r="Q16" s="16">
        <f>IF(C16="",INDEX('Chart of Accounts'!$A$5:$A$3000,MATCH("other_overhead",'Chart of Accounts'!$F$5:$F$3000,0)),C16&amp;"")</f>
        <v/>
      </c>
      <c r="R16" s="16">
        <f>IF(I16="",INDEX('Chart of Accounts'!$A$5:$A$3000,MATCH("bank",'Chart of Accounts'!$F$5:$F$3000,0)),I16&amp;"")</f>
        <v/>
      </c>
      <c r="S16" s="16">
        <f>IF(J16="",INDEX('Chart of Accounts'!$A$5:$A$3000,MATCH("ap",'Chart of Accounts'!$F$5:$F$3000,0)),J16&amp;"")</f>
        <v/>
      </c>
      <c r="T16" s="16">
        <f>INDEX('Chart of Accounts'!$A$5:$A$3000,MATCH("vat_input",'Chart of Accounts'!$F$5:$F$3000,0))</f>
        <v/>
      </c>
      <c r="U16" s="16">
        <f>INDEX('Chart of Accounts'!$A$5:$A$3000,MATCH("wht_payable",'Chart of Accounts'!$F$5:$F$3000,0))</f>
        <v/>
      </c>
      <c r="V16" s="23">
        <f>IFERROR(INDEX('Chart of Accounts'!$C$5:$C$3000,MATCH(Q16&amp;"",'Chart of Accounts'!$A$5:$A$3000,0))&amp;"|"&amp;INDEX('Chart of Accounts'!$D$5:$D$3000,MATCH(Q16&amp;"",'Chart of Accounts'!$A$5:$A$3000,0)),"")</f>
        <v/>
      </c>
      <c r="W16" s="23">
        <f>IFERROR(INDEX('Chart of Accounts'!$C$5:$C$3000,MATCH(T16&amp;"",'Chart of Accounts'!$A$5:$A$3000,0))&amp;"|"&amp;INDEX('Chart of Accounts'!$D$5:$D$3000,MATCH(T16&amp;"",'Chart of Accounts'!$A$5:$A$3000,0)),"")</f>
        <v/>
      </c>
      <c r="X16" s="23">
        <f>IFERROR(INDEX('Chart of Accounts'!$C$5:$C$3000,MATCH(R16&amp;"",'Chart of Accounts'!$A$5:$A$3000,0))&amp;"|"&amp;INDEX('Chart of Accounts'!$D$5:$D$3000,MATCH(R16&amp;"",'Chart of Accounts'!$A$5:$A$3000,0)),"")</f>
        <v/>
      </c>
      <c r="Y16" s="23">
        <f>IFERROR(INDEX('Chart of Accounts'!$C$5:$C$3000,MATCH(S16&amp;"",'Chart of Accounts'!$A$5:$A$3000,0))&amp;"|"&amp;INDEX('Chart of Accounts'!$D$5:$D$3000,MATCH(S16&amp;"",'Chart of Accounts'!$A$5:$A$3000,0)),"")</f>
        <v/>
      </c>
      <c r="Z16" s="23">
        <f>IFERROR(INDEX('Chart of Accounts'!$C$5:$C$3000,MATCH(U16&amp;"",'Chart of Accounts'!$A$5:$A$3000,0))&amp;"|"&amp;INDEX('Chart of Accounts'!$D$5:$D$3000,MATCH(U16&amp;"",'Chart of Accounts'!$A$5:$A$3000,0)),"")</f>
        <v/>
      </c>
      <c r="AA16" s="23">
        <f>IF(LEFT(V16,8)="Revenue|",-N(F16),0)+IF(LEFT(W16,8)="Revenue|",-N(M16),0)+IF(LEFT(X16,8)="Revenue|",N(O16),0)+IF(LEFT(Y16,8)="Revenue|",N(P16),0)+IF(LEFT(Z16,8)="Revenue|",N(N16),0)</f>
        <v/>
      </c>
      <c r="AB16" s="23">
        <f>IF(LEFT(V16,5)="COGS|",N(F16),0)+IF(LEFT(W16,5)="COGS|",N(M16),0)+IF(LEFT(X16,5)="COGS|",-N(O16),0)+IF(LEFT(Y16,5)="COGS|",-N(P16),0)+IF(LEFT(Z16,5)="COGS|",-N(N16),0)</f>
        <v/>
      </c>
      <c r="AC16" s="23">
        <f>IF(LEFT(V16,8)="Expense|",N(F16),0)+IF(LEFT(W16,8)="Expense|",N(M16),0)+IF(LEFT(X16,8)="Expense|",-N(O16),0)+IF(LEFT(Y16,8)="Expense|",-N(P16),0)+IF(LEFT(Z16,8)="Expense|",-N(N16),0)</f>
        <v/>
      </c>
      <c r="AD16" s="23">
        <f>IF(ISNUMBER(MATCH(V16,{"Expense|employee","Expense|general_admin","Expense|marketing","Expense|utilities","Expense|other_operating"},0)),N(F16),0)+IF(ISNUMBER(MATCH(W16,{"Expense|employee","Expense|general_admin","Expense|marketing","Expense|utilities","Expense|other_operating"},0)),N(M16),0)+IF(ISNUMBER(MATCH(X16,{"Expense|employee","Expense|general_admin","Expense|marketing","Expense|utilities","Expense|other_operating"},0)),-N(O16),0)+IF(ISNUMBER(MATCH(Y16,{"Expense|employee","Expense|general_admin","Expense|marketing","Expense|utilities","Expense|other_operating"},0)),-N(P16),0)+IF(ISNUMBER(MATCH(Z16,{"Expense|employee","Expense|general_admin","Expense|marketing","Expense|utilities","Expense|other_operating"},0)),-N(N16),0)</f>
        <v/>
      </c>
      <c r="AE16" s="23">
        <f>IF(V16="Liability|payable",-N(F16),0)+IF(W16="Liability|payable",-N(M16),0)+IF(X16="Liability|payable",N(O16),0)+IF(Y16="Liability|payable",N(P16),0)+IF(Z16="Liability|payable",N(N16),0)</f>
        <v/>
      </c>
      <c r="AF16" s="23">
        <f>IF(V16="Liability|accrued",-N(F16),0)+IF(W16="Liability|accrued",-N(M16),0)+IF(X16="Liability|accrued",N(O16),0)+IF(Y16="Liability|accrued",N(P16),0)+IF(Z16="Liability|accrued",N(N16),0)</f>
        <v/>
      </c>
      <c r="AG16" s="23">
        <f>IF(AND(N(F16)&lt;&gt;0,V16=""),1,0)+IF(AND(N(M16)&lt;&gt;0,W16=""),1,0)+IF(AND(N(O16)&lt;&gt;0,X16=""),1,0)+IF(AND(N(P16)&lt;&gt;0,Y16=""),1,0)+IF(AND(N(N16)&lt;&gt;0,Z16=""),1,0)</f>
        <v/>
      </c>
    </row>
    <row r="17">
      <c r="A17" s="19" t="n"/>
      <c r="B17" s="14" t="n"/>
      <c r="C17" s="14" t="n"/>
      <c r="D17" s="14" t="n"/>
      <c r="E17" s="14" t="n"/>
      <c r="F17" s="20" t="n"/>
      <c r="G17" s="20" t="n"/>
      <c r="H17" s="14" t="n"/>
      <c r="I17" s="14" t="n"/>
      <c r="J17" s="14" t="n"/>
      <c r="K17" s="14" t="n"/>
      <c r="L17" s="14" t="n"/>
      <c r="M17" s="21">
        <f>ROUND(N(F17)*IFERROR(VLOOKUP(K17,'Tax Codes'!$A$5:$E$300,5,FALSE),0),2)</f>
        <v/>
      </c>
      <c r="N17" s="21">
        <f>ROUND(N(F17)*IFERROR(VLOOKUP(L17,'Tax Codes'!$A$5:$E$300,5,FALSE),0),2)</f>
        <v/>
      </c>
      <c r="O17" s="21">
        <f>IF(G17="",N(F17)+M17-N17,N(G17))</f>
        <v/>
      </c>
      <c r="P17" s="21">
        <f>N(F17)+M17-N17-O17</f>
        <v/>
      </c>
      <c r="Q17" s="16">
        <f>IF(C17="",INDEX('Chart of Accounts'!$A$5:$A$3000,MATCH("other_overhead",'Chart of Accounts'!$F$5:$F$3000,0)),C17&amp;"")</f>
        <v/>
      </c>
      <c r="R17" s="16">
        <f>IF(I17="",INDEX('Chart of Accounts'!$A$5:$A$3000,MATCH("bank",'Chart of Accounts'!$F$5:$F$3000,0)),I17&amp;"")</f>
        <v/>
      </c>
      <c r="S17" s="16">
        <f>IF(J17="",INDEX('Chart of Accounts'!$A$5:$A$3000,MATCH("ap",'Chart of Accounts'!$F$5:$F$3000,0)),J17&amp;"")</f>
        <v/>
      </c>
      <c r="T17" s="16">
        <f>INDEX('Chart of Accounts'!$A$5:$A$3000,MATCH("vat_input",'Chart of Accounts'!$F$5:$F$3000,0))</f>
        <v/>
      </c>
      <c r="U17" s="16">
        <f>INDEX('Chart of Accounts'!$A$5:$A$3000,MATCH("wht_payable",'Chart of Accounts'!$F$5:$F$3000,0))</f>
        <v/>
      </c>
      <c r="V17" s="23">
        <f>IFERROR(INDEX('Chart of Accounts'!$C$5:$C$3000,MATCH(Q17&amp;"",'Chart of Accounts'!$A$5:$A$3000,0))&amp;"|"&amp;INDEX('Chart of Accounts'!$D$5:$D$3000,MATCH(Q17&amp;"",'Chart of Accounts'!$A$5:$A$3000,0)),"")</f>
        <v/>
      </c>
      <c r="W17" s="23">
        <f>IFERROR(INDEX('Chart of Accounts'!$C$5:$C$3000,MATCH(T17&amp;"",'Chart of Accounts'!$A$5:$A$3000,0))&amp;"|"&amp;INDEX('Chart of Accounts'!$D$5:$D$3000,MATCH(T17&amp;"",'Chart of Accounts'!$A$5:$A$3000,0)),"")</f>
        <v/>
      </c>
      <c r="X17" s="23">
        <f>IFERROR(INDEX('Chart of Accounts'!$C$5:$C$3000,MATCH(R17&amp;"",'Chart of Accounts'!$A$5:$A$3000,0))&amp;"|"&amp;INDEX('Chart of Accounts'!$D$5:$D$3000,MATCH(R17&amp;"",'Chart of Accounts'!$A$5:$A$3000,0)),"")</f>
        <v/>
      </c>
      <c r="Y17" s="23">
        <f>IFERROR(INDEX('Chart of Accounts'!$C$5:$C$3000,MATCH(S17&amp;"",'Chart of Accounts'!$A$5:$A$3000,0))&amp;"|"&amp;INDEX('Chart of Accounts'!$D$5:$D$3000,MATCH(S17&amp;"",'Chart of Accounts'!$A$5:$A$3000,0)),"")</f>
        <v/>
      </c>
      <c r="Z17" s="23">
        <f>IFERROR(INDEX('Chart of Accounts'!$C$5:$C$3000,MATCH(U17&amp;"",'Chart of Accounts'!$A$5:$A$3000,0))&amp;"|"&amp;INDEX('Chart of Accounts'!$D$5:$D$3000,MATCH(U17&amp;"",'Chart of Accounts'!$A$5:$A$3000,0)),"")</f>
        <v/>
      </c>
      <c r="AA17" s="23">
        <f>IF(LEFT(V17,8)="Revenue|",-N(F17),0)+IF(LEFT(W17,8)="Revenue|",-N(M17),0)+IF(LEFT(X17,8)="Revenue|",N(O17),0)+IF(LEFT(Y17,8)="Revenue|",N(P17),0)+IF(LEFT(Z17,8)="Revenue|",N(N17),0)</f>
        <v/>
      </c>
      <c r="AB17" s="23">
        <f>IF(LEFT(V17,5)="COGS|",N(F17),0)+IF(LEFT(W17,5)="COGS|",N(M17),0)+IF(LEFT(X17,5)="COGS|",-N(O17),0)+IF(LEFT(Y17,5)="COGS|",-N(P17),0)+IF(LEFT(Z17,5)="COGS|",-N(N17),0)</f>
        <v/>
      </c>
      <c r="AC17" s="23">
        <f>IF(LEFT(V17,8)="Expense|",N(F17),0)+IF(LEFT(W17,8)="Expense|",N(M17),0)+IF(LEFT(X17,8)="Expense|",-N(O17),0)+IF(LEFT(Y17,8)="Expense|",-N(P17),0)+IF(LEFT(Z17,8)="Expense|",-N(N17),0)</f>
        <v/>
      </c>
      <c r="AD17" s="23">
        <f>IF(ISNUMBER(MATCH(V17,{"Expense|employee","Expense|general_admin","Expense|marketing","Expense|utilities","Expense|other_operating"},0)),N(F17),0)+IF(ISNUMBER(MATCH(W17,{"Expense|employee","Expense|general_admin","Expense|marketing","Expense|utilities","Expense|other_operating"},0)),N(M17),0)+IF(ISNUMBER(MATCH(X17,{"Expense|employee","Expense|general_admin","Expense|marketing","Expense|utilities","Expense|other_operating"},0)),-N(O17),0)+IF(ISNUMBER(MATCH(Y17,{"Expense|employee","Expense|general_admin","Expense|marketing","Expense|utilities","Expense|other_operating"},0)),-N(P17),0)+IF(ISNUMBER(MATCH(Z17,{"Expense|employee","Expense|general_admin","Expense|marketing","Expense|utilities","Expense|other_operating"},0)),-N(N17),0)</f>
        <v/>
      </c>
      <c r="AE17" s="23">
        <f>IF(V17="Liability|payable",-N(F17),0)+IF(W17="Liability|payable",-N(M17),0)+IF(X17="Liability|payable",N(O17),0)+IF(Y17="Liability|payable",N(P17),0)+IF(Z17="Liability|payable",N(N17),0)</f>
        <v/>
      </c>
      <c r="AF17" s="23">
        <f>IF(V17="Liability|accrued",-N(F17),0)+IF(W17="Liability|accrued",-N(M17),0)+IF(X17="Liability|accrued",N(O17),0)+IF(Y17="Liability|accrued",N(P17),0)+IF(Z17="Liability|accrued",N(N17),0)</f>
        <v/>
      </c>
      <c r="AG17" s="23">
        <f>IF(AND(N(F17)&lt;&gt;0,V17=""),1,0)+IF(AND(N(M17)&lt;&gt;0,W17=""),1,0)+IF(AND(N(O17)&lt;&gt;0,X17=""),1,0)+IF(AND(N(P17)&lt;&gt;0,Y17=""),1,0)+IF(AND(N(N17)&lt;&gt;0,Z17=""),1,0)</f>
        <v/>
      </c>
    </row>
    <row r="18">
      <c r="A18" s="19" t="n"/>
      <c r="B18" s="14" t="n"/>
      <c r="C18" s="14" t="n"/>
      <c r="D18" s="14" t="n"/>
      <c r="E18" s="14" t="n"/>
      <c r="F18" s="20" t="n"/>
      <c r="G18" s="20" t="n"/>
      <c r="H18" s="14" t="n"/>
      <c r="I18" s="14" t="n"/>
      <c r="J18" s="14" t="n"/>
      <c r="K18" s="14" t="n"/>
      <c r="L18" s="14" t="n"/>
      <c r="M18" s="21">
        <f>ROUND(N(F18)*IFERROR(VLOOKUP(K18,'Tax Codes'!$A$5:$E$300,5,FALSE),0),2)</f>
        <v/>
      </c>
      <c r="N18" s="21">
        <f>ROUND(N(F18)*IFERROR(VLOOKUP(L18,'Tax Codes'!$A$5:$E$300,5,FALSE),0),2)</f>
        <v/>
      </c>
      <c r="O18" s="21">
        <f>IF(G18="",N(F18)+M18-N18,N(G18))</f>
        <v/>
      </c>
      <c r="P18" s="21">
        <f>N(F18)+M18-N18-O18</f>
        <v/>
      </c>
      <c r="Q18" s="16">
        <f>IF(C18="",INDEX('Chart of Accounts'!$A$5:$A$3000,MATCH("other_overhead",'Chart of Accounts'!$F$5:$F$3000,0)),C18&amp;"")</f>
        <v/>
      </c>
      <c r="R18" s="16">
        <f>IF(I18="",INDEX('Chart of Accounts'!$A$5:$A$3000,MATCH("bank",'Chart of Accounts'!$F$5:$F$3000,0)),I18&amp;"")</f>
        <v/>
      </c>
      <c r="S18" s="16">
        <f>IF(J18="",INDEX('Chart of Accounts'!$A$5:$A$3000,MATCH("ap",'Chart of Accounts'!$F$5:$F$3000,0)),J18&amp;"")</f>
        <v/>
      </c>
      <c r="T18" s="16">
        <f>INDEX('Chart of Accounts'!$A$5:$A$3000,MATCH("vat_input",'Chart of Accounts'!$F$5:$F$3000,0))</f>
        <v/>
      </c>
      <c r="U18" s="16">
        <f>INDEX('Chart of Accounts'!$A$5:$A$3000,MATCH("wht_payable",'Chart of Accounts'!$F$5:$F$3000,0))</f>
        <v/>
      </c>
      <c r="V18" s="23">
        <f>IFERROR(INDEX('Chart of Accounts'!$C$5:$C$3000,MATCH(Q18&amp;"",'Chart of Accounts'!$A$5:$A$3000,0))&amp;"|"&amp;INDEX('Chart of Accounts'!$D$5:$D$3000,MATCH(Q18&amp;"",'Chart of Accounts'!$A$5:$A$3000,0)),"")</f>
        <v/>
      </c>
      <c r="W18" s="23">
        <f>IFERROR(INDEX('Chart of Accounts'!$C$5:$C$3000,MATCH(T18&amp;"",'Chart of Accounts'!$A$5:$A$3000,0))&amp;"|"&amp;INDEX('Chart of Accounts'!$D$5:$D$3000,MATCH(T18&amp;"",'Chart of Accounts'!$A$5:$A$3000,0)),"")</f>
        <v/>
      </c>
      <c r="X18" s="23">
        <f>IFERROR(INDEX('Chart of Accounts'!$C$5:$C$3000,MATCH(R18&amp;"",'Chart of Accounts'!$A$5:$A$3000,0))&amp;"|"&amp;INDEX('Chart of Accounts'!$D$5:$D$3000,MATCH(R18&amp;"",'Chart of Accounts'!$A$5:$A$3000,0)),"")</f>
        <v/>
      </c>
      <c r="Y18" s="23">
        <f>IFERROR(INDEX('Chart of Accounts'!$C$5:$C$3000,MATCH(S18&amp;"",'Chart of Accounts'!$A$5:$A$3000,0))&amp;"|"&amp;INDEX('Chart of Accounts'!$D$5:$D$3000,MATCH(S18&amp;"",'Chart of Accounts'!$A$5:$A$3000,0)),"")</f>
        <v/>
      </c>
      <c r="Z18" s="23">
        <f>IFERROR(INDEX('Chart of Accounts'!$C$5:$C$3000,MATCH(U18&amp;"",'Chart of Accounts'!$A$5:$A$3000,0))&amp;"|"&amp;INDEX('Chart of Accounts'!$D$5:$D$3000,MATCH(U18&amp;"",'Chart of Accounts'!$A$5:$A$3000,0)),"")</f>
        <v/>
      </c>
      <c r="AA18" s="23">
        <f>IF(LEFT(V18,8)="Revenue|",-N(F18),0)+IF(LEFT(W18,8)="Revenue|",-N(M18),0)+IF(LEFT(X18,8)="Revenue|",N(O18),0)+IF(LEFT(Y18,8)="Revenue|",N(P18),0)+IF(LEFT(Z18,8)="Revenue|",N(N18),0)</f>
        <v/>
      </c>
      <c r="AB18" s="23">
        <f>IF(LEFT(V18,5)="COGS|",N(F18),0)+IF(LEFT(W18,5)="COGS|",N(M18),0)+IF(LEFT(X18,5)="COGS|",-N(O18),0)+IF(LEFT(Y18,5)="COGS|",-N(P18),0)+IF(LEFT(Z18,5)="COGS|",-N(N18),0)</f>
        <v/>
      </c>
      <c r="AC18" s="23">
        <f>IF(LEFT(V18,8)="Expense|",N(F18),0)+IF(LEFT(W18,8)="Expense|",N(M18),0)+IF(LEFT(X18,8)="Expense|",-N(O18),0)+IF(LEFT(Y18,8)="Expense|",-N(P18),0)+IF(LEFT(Z18,8)="Expense|",-N(N18),0)</f>
        <v/>
      </c>
      <c r="AD18" s="23">
        <f>IF(ISNUMBER(MATCH(V18,{"Expense|employee","Expense|general_admin","Expense|marketing","Expense|utilities","Expense|other_operating"},0)),N(F18),0)+IF(ISNUMBER(MATCH(W18,{"Expense|employee","Expense|general_admin","Expense|marketing","Expense|utilities","Expense|other_operating"},0)),N(M18),0)+IF(ISNUMBER(MATCH(X18,{"Expense|employee","Expense|general_admin","Expense|marketing","Expense|utilities","Expense|other_operating"},0)),-N(O18),0)+IF(ISNUMBER(MATCH(Y18,{"Expense|employee","Expense|general_admin","Expense|marketing","Expense|utilities","Expense|other_operating"},0)),-N(P18),0)+IF(ISNUMBER(MATCH(Z18,{"Expense|employee","Expense|general_admin","Expense|marketing","Expense|utilities","Expense|other_operating"},0)),-N(N18),0)</f>
        <v/>
      </c>
      <c r="AE18" s="23">
        <f>IF(V18="Liability|payable",-N(F18),0)+IF(W18="Liability|payable",-N(M18),0)+IF(X18="Liability|payable",N(O18),0)+IF(Y18="Liability|payable",N(P18),0)+IF(Z18="Liability|payable",N(N18),0)</f>
        <v/>
      </c>
      <c r="AF18" s="23">
        <f>IF(V18="Liability|accrued",-N(F18),0)+IF(W18="Liability|accrued",-N(M18),0)+IF(X18="Liability|accrued",N(O18),0)+IF(Y18="Liability|accrued",N(P18),0)+IF(Z18="Liability|accrued",N(N18),0)</f>
        <v/>
      </c>
      <c r="AG18" s="23">
        <f>IF(AND(N(F18)&lt;&gt;0,V18=""),1,0)+IF(AND(N(M18)&lt;&gt;0,W18=""),1,0)+IF(AND(N(O18)&lt;&gt;0,X18=""),1,0)+IF(AND(N(P18)&lt;&gt;0,Y18=""),1,0)+IF(AND(N(N18)&lt;&gt;0,Z18=""),1,0)</f>
        <v/>
      </c>
    </row>
    <row r="19">
      <c r="A19" s="19" t="n"/>
      <c r="B19" s="14" t="n"/>
      <c r="C19" s="14" t="n"/>
      <c r="D19" s="14" t="n"/>
      <c r="E19" s="14" t="n"/>
      <c r="F19" s="20" t="n"/>
      <c r="G19" s="20" t="n"/>
      <c r="H19" s="14" t="n"/>
      <c r="I19" s="14" t="n"/>
      <c r="J19" s="14" t="n"/>
      <c r="K19" s="14" t="n"/>
      <c r="L19" s="14" t="n"/>
      <c r="M19" s="21">
        <f>ROUND(N(F19)*IFERROR(VLOOKUP(K19,'Tax Codes'!$A$5:$E$300,5,FALSE),0),2)</f>
        <v/>
      </c>
      <c r="N19" s="21">
        <f>ROUND(N(F19)*IFERROR(VLOOKUP(L19,'Tax Codes'!$A$5:$E$300,5,FALSE),0),2)</f>
        <v/>
      </c>
      <c r="O19" s="21">
        <f>IF(G19="",N(F19)+M19-N19,N(G19))</f>
        <v/>
      </c>
      <c r="P19" s="21">
        <f>N(F19)+M19-N19-O19</f>
        <v/>
      </c>
      <c r="Q19" s="16">
        <f>IF(C19="",INDEX('Chart of Accounts'!$A$5:$A$3000,MATCH("other_overhead",'Chart of Accounts'!$F$5:$F$3000,0)),C19&amp;"")</f>
        <v/>
      </c>
      <c r="R19" s="16">
        <f>IF(I19="",INDEX('Chart of Accounts'!$A$5:$A$3000,MATCH("bank",'Chart of Accounts'!$F$5:$F$3000,0)),I19&amp;"")</f>
        <v/>
      </c>
      <c r="S19" s="16">
        <f>IF(J19="",INDEX('Chart of Accounts'!$A$5:$A$3000,MATCH("ap",'Chart of Accounts'!$F$5:$F$3000,0)),J19&amp;"")</f>
        <v/>
      </c>
      <c r="T19" s="16">
        <f>INDEX('Chart of Accounts'!$A$5:$A$3000,MATCH("vat_input",'Chart of Accounts'!$F$5:$F$3000,0))</f>
        <v/>
      </c>
      <c r="U19" s="16">
        <f>INDEX('Chart of Accounts'!$A$5:$A$3000,MATCH("wht_payable",'Chart of Accounts'!$F$5:$F$3000,0))</f>
        <v/>
      </c>
      <c r="V19" s="23">
        <f>IFERROR(INDEX('Chart of Accounts'!$C$5:$C$3000,MATCH(Q19&amp;"",'Chart of Accounts'!$A$5:$A$3000,0))&amp;"|"&amp;INDEX('Chart of Accounts'!$D$5:$D$3000,MATCH(Q19&amp;"",'Chart of Accounts'!$A$5:$A$3000,0)),"")</f>
        <v/>
      </c>
      <c r="W19" s="23">
        <f>IFERROR(INDEX('Chart of Accounts'!$C$5:$C$3000,MATCH(T19&amp;"",'Chart of Accounts'!$A$5:$A$3000,0))&amp;"|"&amp;INDEX('Chart of Accounts'!$D$5:$D$3000,MATCH(T19&amp;"",'Chart of Accounts'!$A$5:$A$3000,0)),"")</f>
        <v/>
      </c>
      <c r="X19" s="23">
        <f>IFERROR(INDEX('Chart of Accounts'!$C$5:$C$3000,MATCH(R19&amp;"",'Chart of Accounts'!$A$5:$A$3000,0))&amp;"|"&amp;INDEX('Chart of Accounts'!$D$5:$D$3000,MATCH(R19&amp;"",'Chart of Accounts'!$A$5:$A$3000,0)),"")</f>
        <v/>
      </c>
      <c r="Y19" s="23">
        <f>IFERROR(INDEX('Chart of Accounts'!$C$5:$C$3000,MATCH(S19&amp;"",'Chart of Accounts'!$A$5:$A$3000,0))&amp;"|"&amp;INDEX('Chart of Accounts'!$D$5:$D$3000,MATCH(S19&amp;"",'Chart of Accounts'!$A$5:$A$3000,0)),"")</f>
        <v/>
      </c>
      <c r="Z19" s="23">
        <f>IFERROR(INDEX('Chart of Accounts'!$C$5:$C$3000,MATCH(U19&amp;"",'Chart of Accounts'!$A$5:$A$3000,0))&amp;"|"&amp;INDEX('Chart of Accounts'!$D$5:$D$3000,MATCH(U19&amp;"",'Chart of Accounts'!$A$5:$A$3000,0)),"")</f>
        <v/>
      </c>
      <c r="AA19" s="23">
        <f>IF(LEFT(V19,8)="Revenue|",-N(F19),0)+IF(LEFT(W19,8)="Revenue|",-N(M19),0)+IF(LEFT(X19,8)="Revenue|",N(O19),0)+IF(LEFT(Y19,8)="Revenue|",N(P19),0)+IF(LEFT(Z19,8)="Revenue|",N(N19),0)</f>
        <v/>
      </c>
      <c r="AB19" s="23">
        <f>IF(LEFT(V19,5)="COGS|",N(F19),0)+IF(LEFT(W19,5)="COGS|",N(M19),0)+IF(LEFT(X19,5)="COGS|",-N(O19),0)+IF(LEFT(Y19,5)="COGS|",-N(P19),0)+IF(LEFT(Z19,5)="COGS|",-N(N19),0)</f>
        <v/>
      </c>
      <c r="AC19" s="23">
        <f>IF(LEFT(V19,8)="Expense|",N(F19),0)+IF(LEFT(W19,8)="Expense|",N(M19),0)+IF(LEFT(X19,8)="Expense|",-N(O19),0)+IF(LEFT(Y19,8)="Expense|",-N(P19),0)+IF(LEFT(Z19,8)="Expense|",-N(N19),0)</f>
        <v/>
      </c>
      <c r="AD19" s="23">
        <f>IF(ISNUMBER(MATCH(V19,{"Expense|employee","Expense|general_admin","Expense|marketing","Expense|utilities","Expense|other_operating"},0)),N(F19),0)+IF(ISNUMBER(MATCH(W19,{"Expense|employee","Expense|general_admin","Expense|marketing","Expense|utilities","Expense|other_operating"},0)),N(M19),0)+IF(ISNUMBER(MATCH(X19,{"Expense|employee","Expense|general_admin","Expense|marketing","Expense|utilities","Expense|other_operating"},0)),-N(O19),0)+IF(ISNUMBER(MATCH(Y19,{"Expense|employee","Expense|general_admin","Expense|marketing","Expense|utilities","Expense|other_operating"},0)),-N(P19),0)+IF(ISNUMBER(MATCH(Z19,{"Expense|employee","Expense|general_admin","Expense|marketing","Expense|utilities","Expense|other_operating"},0)),-N(N19),0)</f>
        <v/>
      </c>
      <c r="AE19" s="23">
        <f>IF(V19="Liability|payable",-N(F19),0)+IF(W19="Liability|payable",-N(M19),0)+IF(X19="Liability|payable",N(O19),0)+IF(Y19="Liability|payable",N(P19),0)+IF(Z19="Liability|payable",N(N19),0)</f>
        <v/>
      </c>
      <c r="AF19" s="23">
        <f>IF(V19="Liability|accrued",-N(F19),0)+IF(W19="Liability|accrued",-N(M19),0)+IF(X19="Liability|accrued",N(O19),0)+IF(Y19="Liability|accrued",N(P19),0)+IF(Z19="Liability|accrued",N(N19),0)</f>
        <v/>
      </c>
      <c r="AG19" s="23">
        <f>IF(AND(N(F19)&lt;&gt;0,V19=""),1,0)+IF(AND(N(M19)&lt;&gt;0,W19=""),1,0)+IF(AND(N(O19)&lt;&gt;0,X19=""),1,0)+IF(AND(N(P19)&lt;&gt;0,Y19=""),1,0)+IF(AND(N(N19)&lt;&gt;0,Z19=""),1,0)</f>
        <v/>
      </c>
    </row>
    <row r="20">
      <c r="A20" s="19" t="n"/>
      <c r="B20" s="14" t="n"/>
      <c r="C20" s="14" t="n"/>
      <c r="D20" s="14" t="n"/>
      <c r="E20" s="14" t="n"/>
      <c r="F20" s="20" t="n"/>
      <c r="G20" s="20" t="n"/>
      <c r="H20" s="14" t="n"/>
      <c r="I20" s="14" t="n"/>
      <c r="J20" s="14" t="n"/>
      <c r="K20" s="14" t="n"/>
      <c r="L20" s="14" t="n"/>
      <c r="M20" s="21">
        <f>ROUND(N(F20)*IFERROR(VLOOKUP(K20,'Tax Codes'!$A$5:$E$300,5,FALSE),0),2)</f>
        <v/>
      </c>
      <c r="N20" s="21">
        <f>ROUND(N(F20)*IFERROR(VLOOKUP(L20,'Tax Codes'!$A$5:$E$300,5,FALSE),0),2)</f>
        <v/>
      </c>
      <c r="O20" s="21">
        <f>IF(G20="",N(F20)+M20-N20,N(G20))</f>
        <v/>
      </c>
      <c r="P20" s="21">
        <f>N(F20)+M20-N20-O20</f>
        <v/>
      </c>
      <c r="Q20" s="16">
        <f>IF(C20="",INDEX('Chart of Accounts'!$A$5:$A$3000,MATCH("other_overhead",'Chart of Accounts'!$F$5:$F$3000,0)),C20&amp;"")</f>
        <v/>
      </c>
      <c r="R20" s="16">
        <f>IF(I20="",INDEX('Chart of Accounts'!$A$5:$A$3000,MATCH("bank",'Chart of Accounts'!$F$5:$F$3000,0)),I20&amp;"")</f>
        <v/>
      </c>
      <c r="S20" s="16">
        <f>IF(J20="",INDEX('Chart of Accounts'!$A$5:$A$3000,MATCH("ap",'Chart of Accounts'!$F$5:$F$3000,0)),J20&amp;"")</f>
        <v/>
      </c>
      <c r="T20" s="16">
        <f>INDEX('Chart of Accounts'!$A$5:$A$3000,MATCH("vat_input",'Chart of Accounts'!$F$5:$F$3000,0))</f>
        <v/>
      </c>
      <c r="U20" s="16">
        <f>INDEX('Chart of Accounts'!$A$5:$A$3000,MATCH("wht_payable",'Chart of Accounts'!$F$5:$F$3000,0))</f>
        <v/>
      </c>
      <c r="V20" s="23">
        <f>IFERROR(INDEX('Chart of Accounts'!$C$5:$C$3000,MATCH(Q20&amp;"",'Chart of Accounts'!$A$5:$A$3000,0))&amp;"|"&amp;INDEX('Chart of Accounts'!$D$5:$D$3000,MATCH(Q20&amp;"",'Chart of Accounts'!$A$5:$A$3000,0)),"")</f>
        <v/>
      </c>
      <c r="W20" s="23">
        <f>IFERROR(INDEX('Chart of Accounts'!$C$5:$C$3000,MATCH(T20&amp;"",'Chart of Accounts'!$A$5:$A$3000,0))&amp;"|"&amp;INDEX('Chart of Accounts'!$D$5:$D$3000,MATCH(T20&amp;"",'Chart of Accounts'!$A$5:$A$3000,0)),"")</f>
        <v/>
      </c>
      <c r="X20" s="23">
        <f>IFERROR(INDEX('Chart of Accounts'!$C$5:$C$3000,MATCH(R20&amp;"",'Chart of Accounts'!$A$5:$A$3000,0))&amp;"|"&amp;INDEX('Chart of Accounts'!$D$5:$D$3000,MATCH(R20&amp;"",'Chart of Accounts'!$A$5:$A$3000,0)),"")</f>
        <v/>
      </c>
      <c r="Y20" s="23">
        <f>IFERROR(INDEX('Chart of Accounts'!$C$5:$C$3000,MATCH(S20&amp;"",'Chart of Accounts'!$A$5:$A$3000,0))&amp;"|"&amp;INDEX('Chart of Accounts'!$D$5:$D$3000,MATCH(S20&amp;"",'Chart of Accounts'!$A$5:$A$3000,0)),"")</f>
        <v/>
      </c>
      <c r="Z20" s="23">
        <f>IFERROR(INDEX('Chart of Accounts'!$C$5:$C$3000,MATCH(U20&amp;"",'Chart of Accounts'!$A$5:$A$3000,0))&amp;"|"&amp;INDEX('Chart of Accounts'!$D$5:$D$3000,MATCH(U20&amp;"",'Chart of Accounts'!$A$5:$A$3000,0)),"")</f>
        <v/>
      </c>
      <c r="AA20" s="23">
        <f>IF(LEFT(V20,8)="Revenue|",-N(F20),0)+IF(LEFT(W20,8)="Revenue|",-N(M20),0)+IF(LEFT(X20,8)="Revenue|",N(O20),0)+IF(LEFT(Y20,8)="Revenue|",N(P20),0)+IF(LEFT(Z20,8)="Revenue|",N(N20),0)</f>
        <v/>
      </c>
      <c r="AB20" s="23">
        <f>IF(LEFT(V20,5)="COGS|",N(F20),0)+IF(LEFT(W20,5)="COGS|",N(M20),0)+IF(LEFT(X20,5)="COGS|",-N(O20),0)+IF(LEFT(Y20,5)="COGS|",-N(P20),0)+IF(LEFT(Z20,5)="COGS|",-N(N20),0)</f>
        <v/>
      </c>
      <c r="AC20" s="23">
        <f>IF(LEFT(V20,8)="Expense|",N(F20),0)+IF(LEFT(W20,8)="Expense|",N(M20),0)+IF(LEFT(X20,8)="Expense|",-N(O20),0)+IF(LEFT(Y20,8)="Expense|",-N(P20),0)+IF(LEFT(Z20,8)="Expense|",-N(N20),0)</f>
        <v/>
      </c>
      <c r="AD20" s="23">
        <f>IF(ISNUMBER(MATCH(V20,{"Expense|employee","Expense|general_admin","Expense|marketing","Expense|utilities","Expense|other_operating"},0)),N(F20),0)+IF(ISNUMBER(MATCH(W20,{"Expense|employee","Expense|general_admin","Expense|marketing","Expense|utilities","Expense|other_operating"},0)),N(M20),0)+IF(ISNUMBER(MATCH(X20,{"Expense|employee","Expense|general_admin","Expense|marketing","Expense|utilities","Expense|other_operating"},0)),-N(O20),0)+IF(ISNUMBER(MATCH(Y20,{"Expense|employee","Expense|general_admin","Expense|marketing","Expense|utilities","Expense|other_operating"},0)),-N(P20),0)+IF(ISNUMBER(MATCH(Z20,{"Expense|employee","Expense|general_admin","Expense|marketing","Expense|utilities","Expense|other_operating"},0)),-N(N20),0)</f>
        <v/>
      </c>
      <c r="AE20" s="23">
        <f>IF(V20="Liability|payable",-N(F20),0)+IF(W20="Liability|payable",-N(M20),0)+IF(X20="Liability|payable",N(O20),0)+IF(Y20="Liability|payable",N(P20),0)+IF(Z20="Liability|payable",N(N20),0)</f>
        <v/>
      </c>
      <c r="AF20" s="23">
        <f>IF(V20="Liability|accrued",-N(F20),0)+IF(W20="Liability|accrued",-N(M20),0)+IF(X20="Liability|accrued",N(O20),0)+IF(Y20="Liability|accrued",N(P20),0)+IF(Z20="Liability|accrued",N(N20),0)</f>
        <v/>
      </c>
      <c r="AG20" s="23">
        <f>IF(AND(N(F20)&lt;&gt;0,V20=""),1,0)+IF(AND(N(M20)&lt;&gt;0,W20=""),1,0)+IF(AND(N(O20)&lt;&gt;0,X20=""),1,0)+IF(AND(N(P20)&lt;&gt;0,Y20=""),1,0)+IF(AND(N(N20)&lt;&gt;0,Z20=""),1,0)</f>
        <v/>
      </c>
    </row>
    <row r="21">
      <c r="A21" s="19" t="n"/>
      <c r="B21" s="14" t="n"/>
      <c r="C21" s="14" t="n"/>
      <c r="D21" s="14" t="n"/>
      <c r="E21" s="14" t="n"/>
      <c r="F21" s="20" t="n"/>
      <c r="G21" s="20" t="n"/>
      <c r="H21" s="14" t="n"/>
      <c r="I21" s="14" t="n"/>
      <c r="J21" s="14" t="n"/>
      <c r="K21" s="14" t="n"/>
      <c r="L21" s="14" t="n"/>
      <c r="M21" s="21">
        <f>ROUND(N(F21)*IFERROR(VLOOKUP(K21,'Tax Codes'!$A$5:$E$300,5,FALSE),0),2)</f>
        <v/>
      </c>
      <c r="N21" s="21">
        <f>ROUND(N(F21)*IFERROR(VLOOKUP(L21,'Tax Codes'!$A$5:$E$300,5,FALSE),0),2)</f>
        <v/>
      </c>
      <c r="O21" s="21">
        <f>IF(G21="",N(F21)+M21-N21,N(G21))</f>
        <v/>
      </c>
      <c r="P21" s="21">
        <f>N(F21)+M21-N21-O21</f>
        <v/>
      </c>
      <c r="Q21" s="16">
        <f>IF(C21="",INDEX('Chart of Accounts'!$A$5:$A$3000,MATCH("other_overhead",'Chart of Accounts'!$F$5:$F$3000,0)),C21&amp;"")</f>
        <v/>
      </c>
      <c r="R21" s="16">
        <f>IF(I21="",INDEX('Chart of Accounts'!$A$5:$A$3000,MATCH("bank",'Chart of Accounts'!$F$5:$F$3000,0)),I21&amp;"")</f>
        <v/>
      </c>
      <c r="S21" s="16">
        <f>IF(J21="",INDEX('Chart of Accounts'!$A$5:$A$3000,MATCH("ap",'Chart of Accounts'!$F$5:$F$3000,0)),J21&amp;"")</f>
        <v/>
      </c>
      <c r="T21" s="16">
        <f>INDEX('Chart of Accounts'!$A$5:$A$3000,MATCH("vat_input",'Chart of Accounts'!$F$5:$F$3000,0))</f>
        <v/>
      </c>
      <c r="U21" s="16">
        <f>INDEX('Chart of Accounts'!$A$5:$A$3000,MATCH("wht_payable",'Chart of Accounts'!$F$5:$F$3000,0))</f>
        <v/>
      </c>
      <c r="V21" s="23">
        <f>IFERROR(INDEX('Chart of Accounts'!$C$5:$C$3000,MATCH(Q21&amp;"",'Chart of Accounts'!$A$5:$A$3000,0))&amp;"|"&amp;INDEX('Chart of Accounts'!$D$5:$D$3000,MATCH(Q21&amp;"",'Chart of Accounts'!$A$5:$A$3000,0)),"")</f>
        <v/>
      </c>
      <c r="W21" s="23">
        <f>IFERROR(INDEX('Chart of Accounts'!$C$5:$C$3000,MATCH(T21&amp;"",'Chart of Accounts'!$A$5:$A$3000,0))&amp;"|"&amp;INDEX('Chart of Accounts'!$D$5:$D$3000,MATCH(T21&amp;"",'Chart of Accounts'!$A$5:$A$3000,0)),"")</f>
        <v/>
      </c>
      <c r="X21" s="23">
        <f>IFERROR(INDEX('Chart of Accounts'!$C$5:$C$3000,MATCH(R21&amp;"",'Chart of Accounts'!$A$5:$A$3000,0))&amp;"|"&amp;INDEX('Chart of Accounts'!$D$5:$D$3000,MATCH(R21&amp;"",'Chart of Accounts'!$A$5:$A$3000,0)),"")</f>
        <v/>
      </c>
      <c r="Y21" s="23">
        <f>IFERROR(INDEX('Chart of Accounts'!$C$5:$C$3000,MATCH(S21&amp;"",'Chart of Accounts'!$A$5:$A$3000,0))&amp;"|"&amp;INDEX('Chart of Accounts'!$D$5:$D$3000,MATCH(S21&amp;"",'Chart of Accounts'!$A$5:$A$3000,0)),"")</f>
        <v/>
      </c>
      <c r="Z21" s="23">
        <f>IFERROR(INDEX('Chart of Accounts'!$C$5:$C$3000,MATCH(U21&amp;"",'Chart of Accounts'!$A$5:$A$3000,0))&amp;"|"&amp;INDEX('Chart of Accounts'!$D$5:$D$3000,MATCH(U21&amp;"",'Chart of Accounts'!$A$5:$A$3000,0)),"")</f>
        <v/>
      </c>
      <c r="AA21" s="23">
        <f>IF(LEFT(V21,8)="Revenue|",-N(F21),0)+IF(LEFT(W21,8)="Revenue|",-N(M21),0)+IF(LEFT(X21,8)="Revenue|",N(O21),0)+IF(LEFT(Y21,8)="Revenue|",N(P21),0)+IF(LEFT(Z21,8)="Revenue|",N(N21),0)</f>
        <v/>
      </c>
      <c r="AB21" s="23">
        <f>IF(LEFT(V21,5)="COGS|",N(F21),0)+IF(LEFT(W21,5)="COGS|",N(M21),0)+IF(LEFT(X21,5)="COGS|",-N(O21),0)+IF(LEFT(Y21,5)="COGS|",-N(P21),0)+IF(LEFT(Z21,5)="COGS|",-N(N21),0)</f>
        <v/>
      </c>
      <c r="AC21" s="23">
        <f>IF(LEFT(V21,8)="Expense|",N(F21),0)+IF(LEFT(W21,8)="Expense|",N(M21),0)+IF(LEFT(X21,8)="Expense|",-N(O21),0)+IF(LEFT(Y21,8)="Expense|",-N(P21),0)+IF(LEFT(Z21,8)="Expense|",-N(N21),0)</f>
        <v/>
      </c>
      <c r="AD21" s="23">
        <f>IF(ISNUMBER(MATCH(V21,{"Expense|employee","Expense|general_admin","Expense|marketing","Expense|utilities","Expense|other_operating"},0)),N(F21),0)+IF(ISNUMBER(MATCH(W21,{"Expense|employee","Expense|general_admin","Expense|marketing","Expense|utilities","Expense|other_operating"},0)),N(M21),0)+IF(ISNUMBER(MATCH(X21,{"Expense|employee","Expense|general_admin","Expense|marketing","Expense|utilities","Expense|other_operating"},0)),-N(O21),0)+IF(ISNUMBER(MATCH(Y21,{"Expense|employee","Expense|general_admin","Expense|marketing","Expense|utilities","Expense|other_operating"},0)),-N(P21),0)+IF(ISNUMBER(MATCH(Z21,{"Expense|employee","Expense|general_admin","Expense|marketing","Expense|utilities","Expense|other_operating"},0)),-N(N21),0)</f>
        <v/>
      </c>
      <c r="AE21" s="23">
        <f>IF(V21="Liability|payable",-N(F21),0)+IF(W21="Liability|payable",-N(M21),0)+IF(X21="Liability|payable",N(O21),0)+IF(Y21="Liability|payable",N(P21),0)+IF(Z21="Liability|payable",N(N21),0)</f>
        <v/>
      </c>
      <c r="AF21" s="23">
        <f>IF(V21="Liability|accrued",-N(F21),0)+IF(W21="Liability|accrued",-N(M21),0)+IF(X21="Liability|accrued",N(O21),0)+IF(Y21="Liability|accrued",N(P21),0)+IF(Z21="Liability|accrued",N(N21),0)</f>
        <v/>
      </c>
      <c r="AG21" s="23">
        <f>IF(AND(N(F21)&lt;&gt;0,V21=""),1,0)+IF(AND(N(M21)&lt;&gt;0,W21=""),1,0)+IF(AND(N(O21)&lt;&gt;0,X21=""),1,0)+IF(AND(N(P21)&lt;&gt;0,Y21=""),1,0)+IF(AND(N(N21)&lt;&gt;0,Z21=""),1,0)</f>
        <v/>
      </c>
    </row>
    <row r="22">
      <c r="A22" s="19" t="n"/>
      <c r="B22" s="14" t="n"/>
      <c r="C22" s="14" t="n"/>
      <c r="D22" s="14" t="n"/>
      <c r="E22" s="14" t="n"/>
      <c r="F22" s="20" t="n"/>
      <c r="G22" s="20" t="n"/>
      <c r="H22" s="14" t="n"/>
      <c r="I22" s="14" t="n"/>
      <c r="J22" s="14" t="n"/>
      <c r="K22" s="14" t="n"/>
      <c r="L22" s="14" t="n"/>
      <c r="M22" s="21">
        <f>ROUND(N(F22)*IFERROR(VLOOKUP(K22,'Tax Codes'!$A$5:$E$300,5,FALSE),0),2)</f>
        <v/>
      </c>
      <c r="N22" s="21">
        <f>ROUND(N(F22)*IFERROR(VLOOKUP(L22,'Tax Codes'!$A$5:$E$300,5,FALSE),0),2)</f>
        <v/>
      </c>
      <c r="O22" s="21">
        <f>IF(G22="",N(F22)+M22-N22,N(G22))</f>
        <v/>
      </c>
      <c r="P22" s="21">
        <f>N(F22)+M22-N22-O22</f>
        <v/>
      </c>
      <c r="Q22" s="16">
        <f>IF(C22="",INDEX('Chart of Accounts'!$A$5:$A$3000,MATCH("other_overhead",'Chart of Accounts'!$F$5:$F$3000,0)),C22&amp;"")</f>
        <v/>
      </c>
      <c r="R22" s="16">
        <f>IF(I22="",INDEX('Chart of Accounts'!$A$5:$A$3000,MATCH("bank",'Chart of Accounts'!$F$5:$F$3000,0)),I22&amp;"")</f>
        <v/>
      </c>
      <c r="S22" s="16">
        <f>IF(J22="",INDEX('Chart of Accounts'!$A$5:$A$3000,MATCH("ap",'Chart of Accounts'!$F$5:$F$3000,0)),J22&amp;"")</f>
        <v/>
      </c>
      <c r="T22" s="16">
        <f>INDEX('Chart of Accounts'!$A$5:$A$3000,MATCH("vat_input",'Chart of Accounts'!$F$5:$F$3000,0))</f>
        <v/>
      </c>
      <c r="U22" s="16">
        <f>INDEX('Chart of Accounts'!$A$5:$A$3000,MATCH("wht_payable",'Chart of Accounts'!$F$5:$F$3000,0))</f>
        <v/>
      </c>
      <c r="V22" s="23">
        <f>IFERROR(INDEX('Chart of Accounts'!$C$5:$C$3000,MATCH(Q22&amp;"",'Chart of Accounts'!$A$5:$A$3000,0))&amp;"|"&amp;INDEX('Chart of Accounts'!$D$5:$D$3000,MATCH(Q22&amp;"",'Chart of Accounts'!$A$5:$A$3000,0)),"")</f>
        <v/>
      </c>
      <c r="W22" s="23">
        <f>IFERROR(INDEX('Chart of Accounts'!$C$5:$C$3000,MATCH(T22&amp;"",'Chart of Accounts'!$A$5:$A$3000,0))&amp;"|"&amp;INDEX('Chart of Accounts'!$D$5:$D$3000,MATCH(T22&amp;"",'Chart of Accounts'!$A$5:$A$3000,0)),"")</f>
        <v/>
      </c>
      <c r="X22" s="23">
        <f>IFERROR(INDEX('Chart of Accounts'!$C$5:$C$3000,MATCH(R22&amp;"",'Chart of Accounts'!$A$5:$A$3000,0))&amp;"|"&amp;INDEX('Chart of Accounts'!$D$5:$D$3000,MATCH(R22&amp;"",'Chart of Accounts'!$A$5:$A$3000,0)),"")</f>
        <v/>
      </c>
      <c r="Y22" s="23">
        <f>IFERROR(INDEX('Chart of Accounts'!$C$5:$C$3000,MATCH(S22&amp;"",'Chart of Accounts'!$A$5:$A$3000,0))&amp;"|"&amp;INDEX('Chart of Accounts'!$D$5:$D$3000,MATCH(S22&amp;"",'Chart of Accounts'!$A$5:$A$3000,0)),"")</f>
        <v/>
      </c>
      <c r="Z22" s="23">
        <f>IFERROR(INDEX('Chart of Accounts'!$C$5:$C$3000,MATCH(U22&amp;"",'Chart of Accounts'!$A$5:$A$3000,0))&amp;"|"&amp;INDEX('Chart of Accounts'!$D$5:$D$3000,MATCH(U22&amp;"",'Chart of Accounts'!$A$5:$A$3000,0)),"")</f>
        <v/>
      </c>
      <c r="AA22" s="23">
        <f>IF(LEFT(V22,8)="Revenue|",-N(F22),0)+IF(LEFT(W22,8)="Revenue|",-N(M22),0)+IF(LEFT(X22,8)="Revenue|",N(O22),0)+IF(LEFT(Y22,8)="Revenue|",N(P22),0)+IF(LEFT(Z22,8)="Revenue|",N(N22),0)</f>
        <v/>
      </c>
      <c r="AB22" s="23">
        <f>IF(LEFT(V22,5)="COGS|",N(F22),0)+IF(LEFT(W22,5)="COGS|",N(M22),0)+IF(LEFT(X22,5)="COGS|",-N(O22),0)+IF(LEFT(Y22,5)="COGS|",-N(P22),0)+IF(LEFT(Z22,5)="COGS|",-N(N22),0)</f>
        <v/>
      </c>
      <c r="AC22" s="23">
        <f>IF(LEFT(V22,8)="Expense|",N(F22),0)+IF(LEFT(W22,8)="Expense|",N(M22),0)+IF(LEFT(X22,8)="Expense|",-N(O22),0)+IF(LEFT(Y22,8)="Expense|",-N(P22),0)+IF(LEFT(Z22,8)="Expense|",-N(N22),0)</f>
        <v/>
      </c>
      <c r="AD22" s="23">
        <f>IF(ISNUMBER(MATCH(V22,{"Expense|employee","Expense|general_admin","Expense|marketing","Expense|utilities","Expense|other_operating"},0)),N(F22),0)+IF(ISNUMBER(MATCH(W22,{"Expense|employee","Expense|general_admin","Expense|marketing","Expense|utilities","Expense|other_operating"},0)),N(M22),0)+IF(ISNUMBER(MATCH(X22,{"Expense|employee","Expense|general_admin","Expense|marketing","Expense|utilities","Expense|other_operating"},0)),-N(O22),0)+IF(ISNUMBER(MATCH(Y22,{"Expense|employee","Expense|general_admin","Expense|marketing","Expense|utilities","Expense|other_operating"},0)),-N(P22),0)+IF(ISNUMBER(MATCH(Z22,{"Expense|employee","Expense|general_admin","Expense|marketing","Expense|utilities","Expense|other_operating"},0)),-N(N22),0)</f>
        <v/>
      </c>
      <c r="AE22" s="23">
        <f>IF(V22="Liability|payable",-N(F22),0)+IF(W22="Liability|payable",-N(M22),0)+IF(X22="Liability|payable",N(O22),0)+IF(Y22="Liability|payable",N(P22),0)+IF(Z22="Liability|payable",N(N22),0)</f>
        <v/>
      </c>
      <c r="AF22" s="23">
        <f>IF(V22="Liability|accrued",-N(F22),0)+IF(W22="Liability|accrued",-N(M22),0)+IF(X22="Liability|accrued",N(O22),0)+IF(Y22="Liability|accrued",N(P22),0)+IF(Z22="Liability|accrued",N(N22),0)</f>
        <v/>
      </c>
      <c r="AG22" s="23">
        <f>IF(AND(N(F22)&lt;&gt;0,V22=""),1,0)+IF(AND(N(M22)&lt;&gt;0,W22=""),1,0)+IF(AND(N(O22)&lt;&gt;0,X22=""),1,0)+IF(AND(N(P22)&lt;&gt;0,Y22=""),1,0)+IF(AND(N(N22)&lt;&gt;0,Z22=""),1,0)</f>
        <v/>
      </c>
    </row>
    <row r="23">
      <c r="A23" s="19" t="n"/>
      <c r="B23" s="14" t="n"/>
      <c r="C23" s="14" t="n"/>
      <c r="D23" s="14" t="n"/>
      <c r="E23" s="14" t="n"/>
      <c r="F23" s="20" t="n"/>
      <c r="G23" s="20" t="n"/>
      <c r="H23" s="14" t="n"/>
      <c r="I23" s="14" t="n"/>
      <c r="J23" s="14" t="n"/>
      <c r="K23" s="14" t="n"/>
      <c r="L23" s="14" t="n"/>
      <c r="M23" s="21">
        <f>ROUND(N(F23)*IFERROR(VLOOKUP(K23,'Tax Codes'!$A$5:$E$300,5,FALSE),0),2)</f>
        <v/>
      </c>
      <c r="N23" s="21">
        <f>ROUND(N(F23)*IFERROR(VLOOKUP(L23,'Tax Codes'!$A$5:$E$300,5,FALSE),0),2)</f>
        <v/>
      </c>
      <c r="O23" s="21">
        <f>IF(G23="",N(F23)+M23-N23,N(G23))</f>
        <v/>
      </c>
      <c r="P23" s="21">
        <f>N(F23)+M23-N23-O23</f>
        <v/>
      </c>
      <c r="Q23" s="16">
        <f>IF(C23="",INDEX('Chart of Accounts'!$A$5:$A$3000,MATCH("other_overhead",'Chart of Accounts'!$F$5:$F$3000,0)),C23&amp;"")</f>
        <v/>
      </c>
      <c r="R23" s="16">
        <f>IF(I23="",INDEX('Chart of Accounts'!$A$5:$A$3000,MATCH("bank",'Chart of Accounts'!$F$5:$F$3000,0)),I23&amp;"")</f>
        <v/>
      </c>
      <c r="S23" s="16">
        <f>IF(J23="",INDEX('Chart of Accounts'!$A$5:$A$3000,MATCH("ap",'Chart of Accounts'!$F$5:$F$3000,0)),J23&amp;"")</f>
        <v/>
      </c>
      <c r="T23" s="16">
        <f>INDEX('Chart of Accounts'!$A$5:$A$3000,MATCH("vat_input",'Chart of Accounts'!$F$5:$F$3000,0))</f>
        <v/>
      </c>
      <c r="U23" s="16">
        <f>INDEX('Chart of Accounts'!$A$5:$A$3000,MATCH("wht_payable",'Chart of Accounts'!$F$5:$F$3000,0))</f>
        <v/>
      </c>
      <c r="V23" s="23">
        <f>IFERROR(INDEX('Chart of Accounts'!$C$5:$C$3000,MATCH(Q23&amp;"",'Chart of Accounts'!$A$5:$A$3000,0))&amp;"|"&amp;INDEX('Chart of Accounts'!$D$5:$D$3000,MATCH(Q23&amp;"",'Chart of Accounts'!$A$5:$A$3000,0)),"")</f>
        <v/>
      </c>
      <c r="W23" s="23">
        <f>IFERROR(INDEX('Chart of Accounts'!$C$5:$C$3000,MATCH(T23&amp;"",'Chart of Accounts'!$A$5:$A$3000,0))&amp;"|"&amp;INDEX('Chart of Accounts'!$D$5:$D$3000,MATCH(T23&amp;"",'Chart of Accounts'!$A$5:$A$3000,0)),"")</f>
        <v/>
      </c>
      <c r="X23" s="23">
        <f>IFERROR(INDEX('Chart of Accounts'!$C$5:$C$3000,MATCH(R23&amp;"",'Chart of Accounts'!$A$5:$A$3000,0))&amp;"|"&amp;INDEX('Chart of Accounts'!$D$5:$D$3000,MATCH(R23&amp;"",'Chart of Accounts'!$A$5:$A$3000,0)),"")</f>
        <v/>
      </c>
      <c r="Y23" s="23">
        <f>IFERROR(INDEX('Chart of Accounts'!$C$5:$C$3000,MATCH(S23&amp;"",'Chart of Accounts'!$A$5:$A$3000,0))&amp;"|"&amp;INDEX('Chart of Accounts'!$D$5:$D$3000,MATCH(S23&amp;"",'Chart of Accounts'!$A$5:$A$3000,0)),"")</f>
        <v/>
      </c>
      <c r="Z23" s="23">
        <f>IFERROR(INDEX('Chart of Accounts'!$C$5:$C$3000,MATCH(U23&amp;"",'Chart of Accounts'!$A$5:$A$3000,0))&amp;"|"&amp;INDEX('Chart of Accounts'!$D$5:$D$3000,MATCH(U23&amp;"",'Chart of Accounts'!$A$5:$A$3000,0)),"")</f>
        <v/>
      </c>
      <c r="AA23" s="23">
        <f>IF(LEFT(V23,8)="Revenue|",-N(F23),0)+IF(LEFT(W23,8)="Revenue|",-N(M23),0)+IF(LEFT(X23,8)="Revenue|",N(O23),0)+IF(LEFT(Y23,8)="Revenue|",N(P23),0)+IF(LEFT(Z23,8)="Revenue|",N(N23),0)</f>
        <v/>
      </c>
      <c r="AB23" s="23">
        <f>IF(LEFT(V23,5)="COGS|",N(F23),0)+IF(LEFT(W23,5)="COGS|",N(M23),0)+IF(LEFT(X23,5)="COGS|",-N(O23),0)+IF(LEFT(Y23,5)="COGS|",-N(P23),0)+IF(LEFT(Z23,5)="COGS|",-N(N23),0)</f>
        <v/>
      </c>
      <c r="AC23" s="23">
        <f>IF(LEFT(V23,8)="Expense|",N(F23),0)+IF(LEFT(W23,8)="Expense|",N(M23),0)+IF(LEFT(X23,8)="Expense|",-N(O23),0)+IF(LEFT(Y23,8)="Expense|",-N(P23),0)+IF(LEFT(Z23,8)="Expense|",-N(N23),0)</f>
        <v/>
      </c>
      <c r="AD23" s="23">
        <f>IF(ISNUMBER(MATCH(V23,{"Expense|employee","Expense|general_admin","Expense|marketing","Expense|utilities","Expense|other_operating"},0)),N(F23),0)+IF(ISNUMBER(MATCH(W23,{"Expense|employee","Expense|general_admin","Expense|marketing","Expense|utilities","Expense|other_operating"},0)),N(M23),0)+IF(ISNUMBER(MATCH(X23,{"Expense|employee","Expense|general_admin","Expense|marketing","Expense|utilities","Expense|other_operating"},0)),-N(O23),0)+IF(ISNUMBER(MATCH(Y23,{"Expense|employee","Expense|general_admin","Expense|marketing","Expense|utilities","Expense|other_operating"},0)),-N(P23),0)+IF(ISNUMBER(MATCH(Z23,{"Expense|employee","Expense|general_admin","Expense|marketing","Expense|utilities","Expense|other_operating"},0)),-N(N23),0)</f>
        <v/>
      </c>
      <c r="AE23" s="23">
        <f>IF(V23="Liability|payable",-N(F23),0)+IF(W23="Liability|payable",-N(M23),0)+IF(X23="Liability|payable",N(O23),0)+IF(Y23="Liability|payable",N(P23),0)+IF(Z23="Liability|payable",N(N23),0)</f>
        <v/>
      </c>
      <c r="AF23" s="23">
        <f>IF(V23="Liability|accrued",-N(F23),0)+IF(W23="Liability|accrued",-N(M23),0)+IF(X23="Liability|accrued",N(O23),0)+IF(Y23="Liability|accrued",N(P23),0)+IF(Z23="Liability|accrued",N(N23),0)</f>
        <v/>
      </c>
      <c r="AG23" s="23">
        <f>IF(AND(N(F23)&lt;&gt;0,V23=""),1,0)+IF(AND(N(M23)&lt;&gt;0,W23=""),1,0)+IF(AND(N(O23)&lt;&gt;0,X23=""),1,0)+IF(AND(N(P23)&lt;&gt;0,Y23=""),1,0)+IF(AND(N(N23)&lt;&gt;0,Z23=""),1,0)</f>
        <v/>
      </c>
    </row>
    <row r="24">
      <c r="A24" s="19" t="n"/>
      <c r="B24" s="14" t="n"/>
      <c r="C24" s="14" t="n"/>
      <c r="D24" s="14" t="n"/>
      <c r="E24" s="14" t="n"/>
      <c r="F24" s="20" t="n"/>
      <c r="G24" s="20" t="n"/>
      <c r="H24" s="14" t="n"/>
      <c r="I24" s="14" t="n"/>
      <c r="J24" s="14" t="n"/>
      <c r="K24" s="14" t="n"/>
      <c r="L24" s="14" t="n"/>
      <c r="M24" s="21">
        <f>ROUND(N(F24)*IFERROR(VLOOKUP(K24,'Tax Codes'!$A$5:$E$300,5,FALSE),0),2)</f>
        <v/>
      </c>
      <c r="N24" s="21">
        <f>ROUND(N(F24)*IFERROR(VLOOKUP(L24,'Tax Codes'!$A$5:$E$300,5,FALSE),0),2)</f>
        <v/>
      </c>
      <c r="O24" s="21">
        <f>IF(G24="",N(F24)+M24-N24,N(G24))</f>
        <v/>
      </c>
      <c r="P24" s="21">
        <f>N(F24)+M24-N24-O24</f>
        <v/>
      </c>
      <c r="Q24" s="16">
        <f>IF(C24="",INDEX('Chart of Accounts'!$A$5:$A$3000,MATCH("other_overhead",'Chart of Accounts'!$F$5:$F$3000,0)),C24&amp;"")</f>
        <v/>
      </c>
      <c r="R24" s="16">
        <f>IF(I24="",INDEX('Chart of Accounts'!$A$5:$A$3000,MATCH("bank",'Chart of Accounts'!$F$5:$F$3000,0)),I24&amp;"")</f>
        <v/>
      </c>
      <c r="S24" s="16">
        <f>IF(J24="",INDEX('Chart of Accounts'!$A$5:$A$3000,MATCH("ap",'Chart of Accounts'!$F$5:$F$3000,0)),J24&amp;"")</f>
        <v/>
      </c>
      <c r="T24" s="16">
        <f>INDEX('Chart of Accounts'!$A$5:$A$3000,MATCH("vat_input",'Chart of Accounts'!$F$5:$F$3000,0))</f>
        <v/>
      </c>
      <c r="U24" s="16">
        <f>INDEX('Chart of Accounts'!$A$5:$A$3000,MATCH("wht_payable",'Chart of Accounts'!$F$5:$F$3000,0))</f>
        <v/>
      </c>
      <c r="V24" s="23">
        <f>IFERROR(INDEX('Chart of Accounts'!$C$5:$C$3000,MATCH(Q24&amp;"",'Chart of Accounts'!$A$5:$A$3000,0))&amp;"|"&amp;INDEX('Chart of Accounts'!$D$5:$D$3000,MATCH(Q24&amp;"",'Chart of Accounts'!$A$5:$A$3000,0)),"")</f>
        <v/>
      </c>
      <c r="W24" s="23">
        <f>IFERROR(INDEX('Chart of Accounts'!$C$5:$C$3000,MATCH(T24&amp;"",'Chart of Accounts'!$A$5:$A$3000,0))&amp;"|"&amp;INDEX('Chart of Accounts'!$D$5:$D$3000,MATCH(T24&amp;"",'Chart of Accounts'!$A$5:$A$3000,0)),"")</f>
        <v/>
      </c>
      <c r="X24" s="23">
        <f>IFERROR(INDEX('Chart of Accounts'!$C$5:$C$3000,MATCH(R24&amp;"",'Chart of Accounts'!$A$5:$A$3000,0))&amp;"|"&amp;INDEX('Chart of Accounts'!$D$5:$D$3000,MATCH(R24&amp;"",'Chart of Accounts'!$A$5:$A$3000,0)),"")</f>
        <v/>
      </c>
      <c r="Y24" s="23">
        <f>IFERROR(INDEX('Chart of Accounts'!$C$5:$C$3000,MATCH(S24&amp;"",'Chart of Accounts'!$A$5:$A$3000,0))&amp;"|"&amp;INDEX('Chart of Accounts'!$D$5:$D$3000,MATCH(S24&amp;"",'Chart of Accounts'!$A$5:$A$3000,0)),"")</f>
        <v/>
      </c>
      <c r="Z24" s="23">
        <f>IFERROR(INDEX('Chart of Accounts'!$C$5:$C$3000,MATCH(U24&amp;"",'Chart of Accounts'!$A$5:$A$3000,0))&amp;"|"&amp;INDEX('Chart of Accounts'!$D$5:$D$3000,MATCH(U24&amp;"",'Chart of Accounts'!$A$5:$A$3000,0)),"")</f>
        <v/>
      </c>
      <c r="AA24" s="23">
        <f>IF(LEFT(V24,8)="Revenue|",-N(F24),0)+IF(LEFT(W24,8)="Revenue|",-N(M24),0)+IF(LEFT(X24,8)="Revenue|",N(O24),0)+IF(LEFT(Y24,8)="Revenue|",N(P24),0)+IF(LEFT(Z24,8)="Revenue|",N(N24),0)</f>
        <v/>
      </c>
      <c r="AB24" s="23">
        <f>IF(LEFT(V24,5)="COGS|",N(F24),0)+IF(LEFT(W24,5)="COGS|",N(M24),0)+IF(LEFT(X24,5)="COGS|",-N(O24),0)+IF(LEFT(Y24,5)="COGS|",-N(P24),0)+IF(LEFT(Z24,5)="COGS|",-N(N24),0)</f>
        <v/>
      </c>
      <c r="AC24" s="23">
        <f>IF(LEFT(V24,8)="Expense|",N(F24),0)+IF(LEFT(W24,8)="Expense|",N(M24),0)+IF(LEFT(X24,8)="Expense|",-N(O24),0)+IF(LEFT(Y24,8)="Expense|",-N(P24),0)+IF(LEFT(Z24,8)="Expense|",-N(N24),0)</f>
        <v/>
      </c>
      <c r="AD24" s="23">
        <f>IF(ISNUMBER(MATCH(V24,{"Expense|employee","Expense|general_admin","Expense|marketing","Expense|utilities","Expense|other_operating"},0)),N(F24),0)+IF(ISNUMBER(MATCH(W24,{"Expense|employee","Expense|general_admin","Expense|marketing","Expense|utilities","Expense|other_operating"},0)),N(M24),0)+IF(ISNUMBER(MATCH(X24,{"Expense|employee","Expense|general_admin","Expense|marketing","Expense|utilities","Expense|other_operating"},0)),-N(O24),0)+IF(ISNUMBER(MATCH(Y24,{"Expense|employee","Expense|general_admin","Expense|marketing","Expense|utilities","Expense|other_operating"},0)),-N(P24),0)+IF(ISNUMBER(MATCH(Z24,{"Expense|employee","Expense|general_admin","Expense|marketing","Expense|utilities","Expense|other_operating"},0)),-N(N24),0)</f>
        <v/>
      </c>
      <c r="AE24" s="23">
        <f>IF(V24="Liability|payable",-N(F24),0)+IF(W24="Liability|payable",-N(M24),0)+IF(X24="Liability|payable",N(O24),0)+IF(Y24="Liability|payable",N(P24),0)+IF(Z24="Liability|payable",N(N24),0)</f>
        <v/>
      </c>
      <c r="AF24" s="23">
        <f>IF(V24="Liability|accrued",-N(F24),0)+IF(W24="Liability|accrued",-N(M24),0)+IF(X24="Liability|accrued",N(O24),0)+IF(Y24="Liability|accrued",N(P24),0)+IF(Z24="Liability|accrued",N(N24),0)</f>
        <v/>
      </c>
      <c r="AG24" s="23">
        <f>IF(AND(N(F24)&lt;&gt;0,V24=""),1,0)+IF(AND(N(M24)&lt;&gt;0,W24=""),1,0)+IF(AND(N(O24)&lt;&gt;0,X24=""),1,0)+IF(AND(N(P24)&lt;&gt;0,Y24=""),1,0)+IF(AND(N(N24)&lt;&gt;0,Z24=""),1,0)</f>
        <v/>
      </c>
    </row>
    <row r="25">
      <c r="A25" s="19" t="n"/>
      <c r="B25" s="14" t="n"/>
      <c r="C25" s="14" t="n"/>
      <c r="D25" s="14" t="n"/>
      <c r="E25" s="14" t="n"/>
      <c r="F25" s="20" t="n"/>
      <c r="G25" s="20" t="n"/>
      <c r="H25" s="14" t="n"/>
      <c r="I25" s="14" t="n"/>
      <c r="J25" s="14" t="n"/>
      <c r="K25" s="14" t="n"/>
      <c r="L25" s="14" t="n"/>
      <c r="M25" s="21">
        <f>ROUND(N(F25)*IFERROR(VLOOKUP(K25,'Tax Codes'!$A$5:$E$300,5,FALSE),0),2)</f>
        <v/>
      </c>
      <c r="N25" s="21">
        <f>ROUND(N(F25)*IFERROR(VLOOKUP(L25,'Tax Codes'!$A$5:$E$300,5,FALSE),0),2)</f>
        <v/>
      </c>
      <c r="O25" s="21">
        <f>IF(G25="",N(F25)+M25-N25,N(G25))</f>
        <v/>
      </c>
      <c r="P25" s="21">
        <f>N(F25)+M25-N25-O25</f>
        <v/>
      </c>
      <c r="Q25" s="16">
        <f>IF(C25="",INDEX('Chart of Accounts'!$A$5:$A$3000,MATCH("other_overhead",'Chart of Accounts'!$F$5:$F$3000,0)),C25&amp;"")</f>
        <v/>
      </c>
      <c r="R25" s="16">
        <f>IF(I25="",INDEX('Chart of Accounts'!$A$5:$A$3000,MATCH("bank",'Chart of Accounts'!$F$5:$F$3000,0)),I25&amp;"")</f>
        <v/>
      </c>
      <c r="S25" s="16">
        <f>IF(J25="",INDEX('Chart of Accounts'!$A$5:$A$3000,MATCH("ap",'Chart of Accounts'!$F$5:$F$3000,0)),J25&amp;"")</f>
        <v/>
      </c>
      <c r="T25" s="16">
        <f>INDEX('Chart of Accounts'!$A$5:$A$3000,MATCH("vat_input",'Chart of Accounts'!$F$5:$F$3000,0))</f>
        <v/>
      </c>
      <c r="U25" s="16">
        <f>INDEX('Chart of Accounts'!$A$5:$A$3000,MATCH("wht_payable",'Chart of Accounts'!$F$5:$F$3000,0))</f>
        <v/>
      </c>
      <c r="V25" s="23">
        <f>IFERROR(INDEX('Chart of Accounts'!$C$5:$C$3000,MATCH(Q25&amp;"",'Chart of Accounts'!$A$5:$A$3000,0))&amp;"|"&amp;INDEX('Chart of Accounts'!$D$5:$D$3000,MATCH(Q25&amp;"",'Chart of Accounts'!$A$5:$A$3000,0)),"")</f>
        <v/>
      </c>
      <c r="W25" s="23">
        <f>IFERROR(INDEX('Chart of Accounts'!$C$5:$C$3000,MATCH(T25&amp;"",'Chart of Accounts'!$A$5:$A$3000,0))&amp;"|"&amp;INDEX('Chart of Accounts'!$D$5:$D$3000,MATCH(T25&amp;"",'Chart of Accounts'!$A$5:$A$3000,0)),"")</f>
        <v/>
      </c>
      <c r="X25" s="23">
        <f>IFERROR(INDEX('Chart of Accounts'!$C$5:$C$3000,MATCH(R25&amp;"",'Chart of Accounts'!$A$5:$A$3000,0))&amp;"|"&amp;INDEX('Chart of Accounts'!$D$5:$D$3000,MATCH(R25&amp;"",'Chart of Accounts'!$A$5:$A$3000,0)),"")</f>
        <v/>
      </c>
      <c r="Y25" s="23">
        <f>IFERROR(INDEX('Chart of Accounts'!$C$5:$C$3000,MATCH(S25&amp;"",'Chart of Accounts'!$A$5:$A$3000,0))&amp;"|"&amp;INDEX('Chart of Accounts'!$D$5:$D$3000,MATCH(S25&amp;"",'Chart of Accounts'!$A$5:$A$3000,0)),"")</f>
        <v/>
      </c>
      <c r="Z25" s="23">
        <f>IFERROR(INDEX('Chart of Accounts'!$C$5:$C$3000,MATCH(U25&amp;"",'Chart of Accounts'!$A$5:$A$3000,0))&amp;"|"&amp;INDEX('Chart of Accounts'!$D$5:$D$3000,MATCH(U25&amp;"",'Chart of Accounts'!$A$5:$A$3000,0)),"")</f>
        <v/>
      </c>
      <c r="AA25" s="23">
        <f>IF(LEFT(V25,8)="Revenue|",-N(F25),0)+IF(LEFT(W25,8)="Revenue|",-N(M25),0)+IF(LEFT(X25,8)="Revenue|",N(O25),0)+IF(LEFT(Y25,8)="Revenue|",N(P25),0)+IF(LEFT(Z25,8)="Revenue|",N(N25),0)</f>
        <v/>
      </c>
      <c r="AB25" s="23">
        <f>IF(LEFT(V25,5)="COGS|",N(F25),0)+IF(LEFT(W25,5)="COGS|",N(M25),0)+IF(LEFT(X25,5)="COGS|",-N(O25),0)+IF(LEFT(Y25,5)="COGS|",-N(P25),0)+IF(LEFT(Z25,5)="COGS|",-N(N25),0)</f>
        <v/>
      </c>
      <c r="AC25" s="23">
        <f>IF(LEFT(V25,8)="Expense|",N(F25),0)+IF(LEFT(W25,8)="Expense|",N(M25),0)+IF(LEFT(X25,8)="Expense|",-N(O25),0)+IF(LEFT(Y25,8)="Expense|",-N(P25),0)+IF(LEFT(Z25,8)="Expense|",-N(N25),0)</f>
        <v/>
      </c>
      <c r="AD25" s="23">
        <f>IF(ISNUMBER(MATCH(V25,{"Expense|employee","Expense|general_admin","Expense|marketing","Expense|utilities","Expense|other_operating"},0)),N(F25),0)+IF(ISNUMBER(MATCH(W25,{"Expense|employee","Expense|general_admin","Expense|marketing","Expense|utilities","Expense|other_operating"},0)),N(M25),0)+IF(ISNUMBER(MATCH(X25,{"Expense|employee","Expense|general_admin","Expense|marketing","Expense|utilities","Expense|other_operating"},0)),-N(O25),0)+IF(ISNUMBER(MATCH(Y25,{"Expense|employee","Expense|general_admin","Expense|marketing","Expense|utilities","Expense|other_operating"},0)),-N(P25),0)+IF(ISNUMBER(MATCH(Z25,{"Expense|employee","Expense|general_admin","Expense|marketing","Expense|utilities","Expense|other_operating"},0)),-N(N25),0)</f>
        <v/>
      </c>
      <c r="AE25" s="23">
        <f>IF(V25="Liability|payable",-N(F25),0)+IF(W25="Liability|payable",-N(M25),0)+IF(X25="Liability|payable",N(O25),0)+IF(Y25="Liability|payable",N(P25),0)+IF(Z25="Liability|payable",N(N25),0)</f>
        <v/>
      </c>
      <c r="AF25" s="23">
        <f>IF(V25="Liability|accrued",-N(F25),0)+IF(W25="Liability|accrued",-N(M25),0)+IF(X25="Liability|accrued",N(O25),0)+IF(Y25="Liability|accrued",N(P25),0)+IF(Z25="Liability|accrued",N(N25),0)</f>
        <v/>
      </c>
      <c r="AG25" s="23">
        <f>IF(AND(N(F25)&lt;&gt;0,V25=""),1,0)+IF(AND(N(M25)&lt;&gt;0,W25=""),1,0)+IF(AND(N(O25)&lt;&gt;0,X25=""),1,0)+IF(AND(N(P25)&lt;&gt;0,Y25=""),1,0)+IF(AND(N(N25)&lt;&gt;0,Z25=""),1,0)</f>
        <v/>
      </c>
    </row>
    <row r="26">
      <c r="A26" s="19" t="n"/>
      <c r="B26" s="14" t="n"/>
      <c r="C26" s="14" t="n"/>
      <c r="D26" s="14" t="n"/>
      <c r="E26" s="14" t="n"/>
      <c r="F26" s="20" t="n"/>
      <c r="G26" s="20" t="n"/>
      <c r="H26" s="14" t="n"/>
      <c r="I26" s="14" t="n"/>
      <c r="J26" s="14" t="n"/>
      <c r="K26" s="14" t="n"/>
      <c r="L26" s="14" t="n"/>
      <c r="M26" s="21">
        <f>ROUND(N(F26)*IFERROR(VLOOKUP(K26,'Tax Codes'!$A$5:$E$300,5,FALSE),0),2)</f>
        <v/>
      </c>
      <c r="N26" s="21">
        <f>ROUND(N(F26)*IFERROR(VLOOKUP(L26,'Tax Codes'!$A$5:$E$300,5,FALSE),0),2)</f>
        <v/>
      </c>
      <c r="O26" s="21">
        <f>IF(G26="",N(F26)+M26-N26,N(G26))</f>
        <v/>
      </c>
      <c r="P26" s="21">
        <f>N(F26)+M26-N26-O26</f>
        <v/>
      </c>
      <c r="Q26" s="16">
        <f>IF(C26="",INDEX('Chart of Accounts'!$A$5:$A$3000,MATCH("other_overhead",'Chart of Accounts'!$F$5:$F$3000,0)),C26&amp;"")</f>
        <v/>
      </c>
      <c r="R26" s="16">
        <f>IF(I26="",INDEX('Chart of Accounts'!$A$5:$A$3000,MATCH("bank",'Chart of Accounts'!$F$5:$F$3000,0)),I26&amp;"")</f>
        <v/>
      </c>
      <c r="S26" s="16">
        <f>IF(J26="",INDEX('Chart of Accounts'!$A$5:$A$3000,MATCH("ap",'Chart of Accounts'!$F$5:$F$3000,0)),J26&amp;"")</f>
        <v/>
      </c>
      <c r="T26" s="16">
        <f>INDEX('Chart of Accounts'!$A$5:$A$3000,MATCH("vat_input",'Chart of Accounts'!$F$5:$F$3000,0))</f>
        <v/>
      </c>
      <c r="U26" s="16">
        <f>INDEX('Chart of Accounts'!$A$5:$A$3000,MATCH("wht_payable",'Chart of Accounts'!$F$5:$F$3000,0))</f>
        <v/>
      </c>
      <c r="V26" s="23">
        <f>IFERROR(INDEX('Chart of Accounts'!$C$5:$C$3000,MATCH(Q26&amp;"",'Chart of Accounts'!$A$5:$A$3000,0))&amp;"|"&amp;INDEX('Chart of Accounts'!$D$5:$D$3000,MATCH(Q26&amp;"",'Chart of Accounts'!$A$5:$A$3000,0)),"")</f>
        <v/>
      </c>
      <c r="W26" s="23">
        <f>IFERROR(INDEX('Chart of Accounts'!$C$5:$C$3000,MATCH(T26&amp;"",'Chart of Accounts'!$A$5:$A$3000,0))&amp;"|"&amp;INDEX('Chart of Accounts'!$D$5:$D$3000,MATCH(T26&amp;"",'Chart of Accounts'!$A$5:$A$3000,0)),"")</f>
        <v/>
      </c>
      <c r="X26" s="23">
        <f>IFERROR(INDEX('Chart of Accounts'!$C$5:$C$3000,MATCH(R26&amp;"",'Chart of Accounts'!$A$5:$A$3000,0))&amp;"|"&amp;INDEX('Chart of Accounts'!$D$5:$D$3000,MATCH(R26&amp;"",'Chart of Accounts'!$A$5:$A$3000,0)),"")</f>
        <v/>
      </c>
      <c r="Y26" s="23">
        <f>IFERROR(INDEX('Chart of Accounts'!$C$5:$C$3000,MATCH(S26&amp;"",'Chart of Accounts'!$A$5:$A$3000,0))&amp;"|"&amp;INDEX('Chart of Accounts'!$D$5:$D$3000,MATCH(S26&amp;"",'Chart of Accounts'!$A$5:$A$3000,0)),"")</f>
        <v/>
      </c>
      <c r="Z26" s="23">
        <f>IFERROR(INDEX('Chart of Accounts'!$C$5:$C$3000,MATCH(U26&amp;"",'Chart of Accounts'!$A$5:$A$3000,0))&amp;"|"&amp;INDEX('Chart of Accounts'!$D$5:$D$3000,MATCH(U26&amp;"",'Chart of Accounts'!$A$5:$A$3000,0)),"")</f>
        <v/>
      </c>
      <c r="AA26" s="23">
        <f>IF(LEFT(V26,8)="Revenue|",-N(F26),0)+IF(LEFT(W26,8)="Revenue|",-N(M26),0)+IF(LEFT(X26,8)="Revenue|",N(O26),0)+IF(LEFT(Y26,8)="Revenue|",N(P26),0)+IF(LEFT(Z26,8)="Revenue|",N(N26),0)</f>
        <v/>
      </c>
      <c r="AB26" s="23">
        <f>IF(LEFT(V26,5)="COGS|",N(F26),0)+IF(LEFT(W26,5)="COGS|",N(M26),0)+IF(LEFT(X26,5)="COGS|",-N(O26),0)+IF(LEFT(Y26,5)="COGS|",-N(P26),0)+IF(LEFT(Z26,5)="COGS|",-N(N26),0)</f>
        <v/>
      </c>
      <c r="AC26" s="23">
        <f>IF(LEFT(V26,8)="Expense|",N(F26),0)+IF(LEFT(W26,8)="Expense|",N(M26),0)+IF(LEFT(X26,8)="Expense|",-N(O26),0)+IF(LEFT(Y26,8)="Expense|",-N(P26),0)+IF(LEFT(Z26,8)="Expense|",-N(N26),0)</f>
        <v/>
      </c>
      <c r="AD26" s="23">
        <f>IF(ISNUMBER(MATCH(V26,{"Expense|employee","Expense|general_admin","Expense|marketing","Expense|utilities","Expense|other_operating"},0)),N(F26),0)+IF(ISNUMBER(MATCH(W26,{"Expense|employee","Expense|general_admin","Expense|marketing","Expense|utilities","Expense|other_operating"},0)),N(M26),0)+IF(ISNUMBER(MATCH(X26,{"Expense|employee","Expense|general_admin","Expense|marketing","Expense|utilities","Expense|other_operating"},0)),-N(O26),0)+IF(ISNUMBER(MATCH(Y26,{"Expense|employee","Expense|general_admin","Expense|marketing","Expense|utilities","Expense|other_operating"},0)),-N(P26),0)+IF(ISNUMBER(MATCH(Z26,{"Expense|employee","Expense|general_admin","Expense|marketing","Expense|utilities","Expense|other_operating"},0)),-N(N26),0)</f>
        <v/>
      </c>
      <c r="AE26" s="23">
        <f>IF(V26="Liability|payable",-N(F26),0)+IF(W26="Liability|payable",-N(M26),0)+IF(X26="Liability|payable",N(O26),0)+IF(Y26="Liability|payable",N(P26),0)+IF(Z26="Liability|payable",N(N26),0)</f>
        <v/>
      </c>
      <c r="AF26" s="23">
        <f>IF(V26="Liability|accrued",-N(F26),0)+IF(W26="Liability|accrued",-N(M26),0)+IF(X26="Liability|accrued",N(O26),0)+IF(Y26="Liability|accrued",N(P26),0)+IF(Z26="Liability|accrued",N(N26),0)</f>
        <v/>
      </c>
      <c r="AG26" s="23">
        <f>IF(AND(N(F26)&lt;&gt;0,V26=""),1,0)+IF(AND(N(M26)&lt;&gt;0,W26=""),1,0)+IF(AND(N(O26)&lt;&gt;0,X26=""),1,0)+IF(AND(N(P26)&lt;&gt;0,Y26=""),1,0)+IF(AND(N(N26)&lt;&gt;0,Z26=""),1,0)</f>
        <v/>
      </c>
    </row>
    <row r="27">
      <c r="A27" s="19" t="n"/>
      <c r="B27" s="14" t="n"/>
      <c r="C27" s="14" t="n"/>
      <c r="D27" s="14" t="n"/>
      <c r="E27" s="14" t="n"/>
      <c r="F27" s="20" t="n"/>
      <c r="G27" s="20" t="n"/>
      <c r="H27" s="14" t="n"/>
      <c r="I27" s="14" t="n"/>
      <c r="J27" s="14" t="n"/>
      <c r="K27" s="14" t="n"/>
      <c r="L27" s="14" t="n"/>
      <c r="M27" s="21">
        <f>ROUND(N(F27)*IFERROR(VLOOKUP(K27,'Tax Codes'!$A$5:$E$300,5,FALSE),0),2)</f>
        <v/>
      </c>
      <c r="N27" s="21">
        <f>ROUND(N(F27)*IFERROR(VLOOKUP(L27,'Tax Codes'!$A$5:$E$300,5,FALSE),0),2)</f>
        <v/>
      </c>
      <c r="O27" s="21">
        <f>IF(G27="",N(F27)+M27-N27,N(G27))</f>
        <v/>
      </c>
      <c r="P27" s="21">
        <f>N(F27)+M27-N27-O27</f>
        <v/>
      </c>
      <c r="Q27" s="16">
        <f>IF(C27="",INDEX('Chart of Accounts'!$A$5:$A$3000,MATCH("other_overhead",'Chart of Accounts'!$F$5:$F$3000,0)),C27&amp;"")</f>
        <v/>
      </c>
      <c r="R27" s="16">
        <f>IF(I27="",INDEX('Chart of Accounts'!$A$5:$A$3000,MATCH("bank",'Chart of Accounts'!$F$5:$F$3000,0)),I27&amp;"")</f>
        <v/>
      </c>
      <c r="S27" s="16">
        <f>IF(J27="",INDEX('Chart of Accounts'!$A$5:$A$3000,MATCH("ap",'Chart of Accounts'!$F$5:$F$3000,0)),J27&amp;"")</f>
        <v/>
      </c>
      <c r="T27" s="16">
        <f>INDEX('Chart of Accounts'!$A$5:$A$3000,MATCH("vat_input",'Chart of Accounts'!$F$5:$F$3000,0))</f>
        <v/>
      </c>
      <c r="U27" s="16">
        <f>INDEX('Chart of Accounts'!$A$5:$A$3000,MATCH("wht_payable",'Chart of Accounts'!$F$5:$F$3000,0))</f>
        <v/>
      </c>
      <c r="V27" s="23">
        <f>IFERROR(INDEX('Chart of Accounts'!$C$5:$C$3000,MATCH(Q27&amp;"",'Chart of Accounts'!$A$5:$A$3000,0))&amp;"|"&amp;INDEX('Chart of Accounts'!$D$5:$D$3000,MATCH(Q27&amp;"",'Chart of Accounts'!$A$5:$A$3000,0)),"")</f>
        <v/>
      </c>
      <c r="W27" s="23">
        <f>IFERROR(INDEX('Chart of Accounts'!$C$5:$C$3000,MATCH(T27&amp;"",'Chart of Accounts'!$A$5:$A$3000,0))&amp;"|"&amp;INDEX('Chart of Accounts'!$D$5:$D$3000,MATCH(T27&amp;"",'Chart of Accounts'!$A$5:$A$3000,0)),"")</f>
        <v/>
      </c>
      <c r="X27" s="23">
        <f>IFERROR(INDEX('Chart of Accounts'!$C$5:$C$3000,MATCH(R27&amp;"",'Chart of Accounts'!$A$5:$A$3000,0))&amp;"|"&amp;INDEX('Chart of Accounts'!$D$5:$D$3000,MATCH(R27&amp;"",'Chart of Accounts'!$A$5:$A$3000,0)),"")</f>
        <v/>
      </c>
      <c r="Y27" s="23">
        <f>IFERROR(INDEX('Chart of Accounts'!$C$5:$C$3000,MATCH(S27&amp;"",'Chart of Accounts'!$A$5:$A$3000,0))&amp;"|"&amp;INDEX('Chart of Accounts'!$D$5:$D$3000,MATCH(S27&amp;"",'Chart of Accounts'!$A$5:$A$3000,0)),"")</f>
        <v/>
      </c>
      <c r="Z27" s="23">
        <f>IFERROR(INDEX('Chart of Accounts'!$C$5:$C$3000,MATCH(U27&amp;"",'Chart of Accounts'!$A$5:$A$3000,0))&amp;"|"&amp;INDEX('Chart of Accounts'!$D$5:$D$3000,MATCH(U27&amp;"",'Chart of Accounts'!$A$5:$A$3000,0)),"")</f>
        <v/>
      </c>
      <c r="AA27" s="23">
        <f>IF(LEFT(V27,8)="Revenue|",-N(F27),0)+IF(LEFT(W27,8)="Revenue|",-N(M27),0)+IF(LEFT(X27,8)="Revenue|",N(O27),0)+IF(LEFT(Y27,8)="Revenue|",N(P27),0)+IF(LEFT(Z27,8)="Revenue|",N(N27),0)</f>
        <v/>
      </c>
      <c r="AB27" s="23">
        <f>IF(LEFT(V27,5)="COGS|",N(F27),0)+IF(LEFT(W27,5)="COGS|",N(M27),0)+IF(LEFT(X27,5)="COGS|",-N(O27),0)+IF(LEFT(Y27,5)="COGS|",-N(P27),0)+IF(LEFT(Z27,5)="COGS|",-N(N27),0)</f>
        <v/>
      </c>
      <c r="AC27" s="23">
        <f>IF(LEFT(V27,8)="Expense|",N(F27),0)+IF(LEFT(W27,8)="Expense|",N(M27),0)+IF(LEFT(X27,8)="Expense|",-N(O27),0)+IF(LEFT(Y27,8)="Expense|",-N(P27),0)+IF(LEFT(Z27,8)="Expense|",-N(N27),0)</f>
        <v/>
      </c>
      <c r="AD27" s="23">
        <f>IF(ISNUMBER(MATCH(V27,{"Expense|employee","Expense|general_admin","Expense|marketing","Expense|utilities","Expense|other_operating"},0)),N(F27),0)+IF(ISNUMBER(MATCH(W27,{"Expense|employee","Expense|general_admin","Expense|marketing","Expense|utilities","Expense|other_operating"},0)),N(M27),0)+IF(ISNUMBER(MATCH(X27,{"Expense|employee","Expense|general_admin","Expense|marketing","Expense|utilities","Expense|other_operating"},0)),-N(O27),0)+IF(ISNUMBER(MATCH(Y27,{"Expense|employee","Expense|general_admin","Expense|marketing","Expense|utilities","Expense|other_operating"},0)),-N(P27),0)+IF(ISNUMBER(MATCH(Z27,{"Expense|employee","Expense|general_admin","Expense|marketing","Expense|utilities","Expense|other_operating"},0)),-N(N27),0)</f>
        <v/>
      </c>
      <c r="AE27" s="23">
        <f>IF(V27="Liability|payable",-N(F27),0)+IF(W27="Liability|payable",-N(M27),0)+IF(X27="Liability|payable",N(O27),0)+IF(Y27="Liability|payable",N(P27),0)+IF(Z27="Liability|payable",N(N27),0)</f>
        <v/>
      </c>
      <c r="AF27" s="23">
        <f>IF(V27="Liability|accrued",-N(F27),0)+IF(W27="Liability|accrued",-N(M27),0)+IF(X27="Liability|accrued",N(O27),0)+IF(Y27="Liability|accrued",N(P27),0)+IF(Z27="Liability|accrued",N(N27),0)</f>
        <v/>
      </c>
      <c r="AG27" s="23">
        <f>IF(AND(N(F27)&lt;&gt;0,V27=""),1,0)+IF(AND(N(M27)&lt;&gt;0,W27=""),1,0)+IF(AND(N(O27)&lt;&gt;0,X27=""),1,0)+IF(AND(N(P27)&lt;&gt;0,Y27=""),1,0)+IF(AND(N(N27)&lt;&gt;0,Z27=""),1,0)</f>
        <v/>
      </c>
    </row>
    <row r="28">
      <c r="A28" s="19" t="n"/>
      <c r="B28" s="14" t="n"/>
      <c r="C28" s="14" t="n"/>
      <c r="D28" s="14" t="n"/>
      <c r="E28" s="14" t="n"/>
      <c r="F28" s="20" t="n"/>
      <c r="G28" s="20" t="n"/>
      <c r="H28" s="14" t="n"/>
      <c r="I28" s="14" t="n"/>
      <c r="J28" s="14" t="n"/>
      <c r="K28" s="14" t="n"/>
      <c r="L28" s="14" t="n"/>
      <c r="M28" s="21">
        <f>ROUND(N(F28)*IFERROR(VLOOKUP(K28,'Tax Codes'!$A$5:$E$300,5,FALSE),0),2)</f>
        <v/>
      </c>
      <c r="N28" s="21">
        <f>ROUND(N(F28)*IFERROR(VLOOKUP(L28,'Tax Codes'!$A$5:$E$300,5,FALSE),0),2)</f>
        <v/>
      </c>
      <c r="O28" s="21">
        <f>IF(G28="",N(F28)+M28-N28,N(G28))</f>
        <v/>
      </c>
      <c r="P28" s="21">
        <f>N(F28)+M28-N28-O28</f>
        <v/>
      </c>
      <c r="Q28" s="16">
        <f>IF(C28="",INDEX('Chart of Accounts'!$A$5:$A$3000,MATCH("other_overhead",'Chart of Accounts'!$F$5:$F$3000,0)),C28&amp;"")</f>
        <v/>
      </c>
      <c r="R28" s="16">
        <f>IF(I28="",INDEX('Chart of Accounts'!$A$5:$A$3000,MATCH("bank",'Chart of Accounts'!$F$5:$F$3000,0)),I28&amp;"")</f>
        <v/>
      </c>
      <c r="S28" s="16">
        <f>IF(J28="",INDEX('Chart of Accounts'!$A$5:$A$3000,MATCH("ap",'Chart of Accounts'!$F$5:$F$3000,0)),J28&amp;"")</f>
        <v/>
      </c>
      <c r="T28" s="16">
        <f>INDEX('Chart of Accounts'!$A$5:$A$3000,MATCH("vat_input",'Chart of Accounts'!$F$5:$F$3000,0))</f>
        <v/>
      </c>
      <c r="U28" s="16">
        <f>INDEX('Chart of Accounts'!$A$5:$A$3000,MATCH("wht_payable",'Chart of Accounts'!$F$5:$F$3000,0))</f>
        <v/>
      </c>
      <c r="V28" s="23">
        <f>IFERROR(INDEX('Chart of Accounts'!$C$5:$C$3000,MATCH(Q28&amp;"",'Chart of Accounts'!$A$5:$A$3000,0))&amp;"|"&amp;INDEX('Chart of Accounts'!$D$5:$D$3000,MATCH(Q28&amp;"",'Chart of Accounts'!$A$5:$A$3000,0)),"")</f>
        <v/>
      </c>
      <c r="W28" s="23">
        <f>IFERROR(INDEX('Chart of Accounts'!$C$5:$C$3000,MATCH(T28&amp;"",'Chart of Accounts'!$A$5:$A$3000,0))&amp;"|"&amp;INDEX('Chart of Accounts'!$D$5:$D$3000,MATCH(T28&amp;"",'Chart of Accounts'!$A$5:$A$3000,0)),"")</f>
        <v/>
      </c>
      <c r="X28" s="23">
        <f>IFERROR(INDEX('Chart of Accounts'!$C$5:$C$3000,MATCH(R28&amp;"",'Chart of Accounts'!$A$5:$A$3000,0))&amp;"|"&amp;INDEX('Chart of Accounts'!$D$5:$D$3000,MATCH(R28&amp;"",'Chart of Accounts'!$A$5:$A$3000,0)),"")</f>
        <v/>
      </c>
      <c r="Y28" s="23">
        <f>IFERROR(INDEX('Chart of Accounts'!$C$5:$C$3000,MATCH(S28&amp;"",'Chart of Accounts'!$A$5:$A$3000,0))&amp;"|"&amp;INDEX('Chart of Accounts'!$D$5:$D$3000,MATCH(S28&amp;"",'Chart of Accounts'!$A$5:$A$3000,0)),"")</f>
        <v/>
      </c>
      <c r="Z28" s="23">
        <f>IFERROR(INDEX('Chart of Accounts'!$C$5:$C$3000,MATCH(U28&amp;"",'Chart of Accounts'!$A$5:$A$3000,0))&amp;"|"&amp;INDEX('Chart of Accounts'!$D$5:$D$3000,MATCH(U28&amp;"",'Chart of Accounts'!$A$5:$A$3000,0)),"")</f>
        <v/>
      </c>
      <c r="AA28" s="23">
        <f>IF(LEFT(V28,8)="Revenue|",-N(F28),0)+IF(LEFT(W28,8)="Revenue|",-N(M28),0)+IF(LEFT(X28,8)="Revenue|",N(O28),0)+IF(LEFT(Y28,8)="Revenue|",N(P28),0)+IF(LEFT(Z28,8)="Revenue|",N(N28),0)</f>
        <v/>
      </c>
      <c r="AB28" s="23">
        <f>IF(LEFT(V28,5)="COGS|",N(F28),0)+IF(LEFT(W28,5)="COGS|",N(M28),0)+IF(LEFT(X28,5)="COGS|",-N(O28),0)+IF(LEFT(Y28,5)="COGS|",-N(P28),0)+IF(LEFT(Z28,5)="COGS|",-N(N28),0)</f>
        <v/>
      </c>
      <c r="AC28" s="23">
        <f>IF(LEFT(V28,8)="Expense|",N(F28),0)+IF(LEFT(W28,8)="Expense|",N(M28),0)+IF(LEFT(X28,8)="Expense|",-N(O28),0)+IF(LEFT(Y28,8)="Expense|",-N(P28),0)+IF(LEFT(Z28,8)="Expense|",-N(N28),0)</f>
        <v/>
      </c>
      <c r="AD28" s="23">
        <f>IF(ISNUMBER(MATCH(V28,{"Expense|employee","Expense|general_admin","Expense|marketing","Expense|utilities","Expense|other_operating"},0)),N(F28),0)+IF(ISNUMBER(MATCH(W28,{"Expense|employee","Expense|general_admin","Expense|marketing","Expense|utilities","Expense|other_operating"},0)),N(M28),0)+IF(ISNUMBER(MATCH(X28,{"Expense|employee","Expense|general_admin","Expense|marketing","Expense|utilities","Expense|other_operating"},0)),-N(O28),0)+IF(ISNUMBER(MATCH(Y28,{"Expense|employee","Expense|general_admin","Expense|marketing","Expense|utilities","Expense|other_operating"},0)),-N(P28),0)+IF(ISNUMBER(MATCH(Z28,{"Expense|employee","Expense|general_admin","Expense|marketing","Expense|utilities","Expense|other_operating"},0)),-N(N28),0)</f>
        <v/>
      </c>
      <c r="AE28" s="23">
        <f>IF(V28="Liability|payable",-N(F28),0)+IF(W28="Liability|payable",-N(M28),0)+IF(X28="Liability|payable",N(O28),0)+IF(Y28="Liability|payable",N(P28),0)+IF(Z28="Liability|payable",N(N28),0)</f>
        <v/>
      </c>
      <c r="AF28" s="23">
        <f>IF(V28="Liability|accrued",-N(F28),0)+IF(W28="Liability|accrued",-N(M28),0)+IF(X28="Liability|accrued",N(O28),0)+IF(Y28="Liability|accrued",N(P28),0)+IF(Z28="Liability|accrued",N(N28),0)</f>
        <v/>
      </c>
      <c r="AG28" s="23">
        <f>IF(AND(N(F28)&lt;&gt;0,V28=""),1,0)+IF(AND(N(M28)&lt;&gt;0,W28=""),1,0)+IF(AND(N(O28)&lt;&gt;0,X28=""),1,0)+IF(AND(N(P28)&lt;&gt;0,Y28=""),1,0)+IF(AND(N(N28)&lt;&gt;0,Z28=""),1,0)</f>
        <v/>
      </c>
    </row>
    <row r="29">
      <c r="A29" s="19" t="n"/>
      <c r="B29" s="14" t="n"/>
      <c r="C29" s="14" t="n"/>
      <c r="D29" s="14" t="n"/>
      <c r="E29" s="14" t="n"/>
      <c r="F29" s="20" t="n"/>
      <c r="G29" s="20" t="n"/>
      <c r="H29" s="14" t="n"/>
      <c r="I29" s="14" t="n"/>
      <c r="J29" s="14" t="n"/>
      <c r="K29" s="14" t="n"/>
      <c r="L29" s="14" t="n"/>
      <c r="M29" s="21">
        <f>ROUND(N(F29)*IFERROR(VLOOKUP(K29,'Tax Codes'!$A$5:$E$300,5,FALSE),0),2)</f>
        <v/>
      </c>
      <c r="N29" s="21">
        <f>ROUND(N(F29)*IFERROR(VLOOKUP(L29,'Tax Codes'!$A$5:$E$300,5,FALSE),0),2)</f>
        <v/>
      </c>
      <c r="O29" s="21">
        <f>IF(G29="",N(F29)+M29-N29,N(G29))</f>
        <v/>
      </c>
      <c r="P29" s="21">
        <f>N(F29)+M29-N29-O29</f>
        <v/>
      </c>
      <c r="Q29" s="16">
        <f>IF(C29="",INDEX('Chart of Accounts'!$A$5:$A$3000,MATCH("other_overhead",'Chart of Accounts'!$F$5:$F$3000,0)),C29&amp;"")</f>
        <v/>
      </c>
      <c r="R29" s="16">
        <f>IF(I29="",INDEX('Chart of Accounts'!$A$5:$A$3000,MATCH("bank",'Chart of Accounts'!$F$5:$F$3000,0)),I29&amp;"")</f>
        <v/>
      </c>
      <c r="S29" s="16">
        <f>IF(J29="",INDEX('Chart of Accounts'!$A$5:$A$3000,MATCH("ap",'Chart of Accounts'!$F$5:$F$3000,0)),J29&amp;"")</f>
        <v/>
      </c>
      <c r="T29" s="16">
        <f>INDEX('Chart of Accounts'!$A$5:$A$3000,MATCH("vat_input",'Chart of Accounts'!$F$5:$F$3000,0))</f>
        <v/>
      </c>
      <c r="U29" s="16">
        <f>INDEX('Chart of Accounts'!$A$5:$A$3000,MATCH("wht_payable",'Chart of Accounts'!$F$5:$F$3000,0))</f>
        <v/>
      </c>
      <c r="V29" s="23">
        <f>IFERROR(INDEX('Chart of Accounts'!$C$5:$C$3000,MATCH(Q29&amp;"",'Chart of Accounts'!$A$5:$A$3000,0))&amp;"|"&amp;INDEX('Chart of Accounts'!$D$5:$D$3000,MATCH(Q29&amp;"",'Chart of Accounts'!$A$5:$A$3000,0)),"")</f>
        <v/>
      </c>
      <c r="W29" s="23">
        <f>IFERROR(INDEX('Chart of Accounts'!$C$5:$C$3000,MATCH(T29&amp;"",'Chart of Accounts'!$A$5:$A$3000,0))&amp;"|"&amp;INDEX('Chart of Accounts'!$D$5:$D$3000,MATCH(T29&amp;"",'Chart of Accounts'!$A$5:$A$3000,0)),"")</f>
        <v/>
      </c>
      <c r="X29" s="23">
        <f>IFERROR(INDEX('Chart of Accounts'!$C$5:$C$3000,MATCH(R29&amp;"",'Chart of Accounts'!$A$5:$A$3000,0))&amp;"|"&amp;INDEX('Chart of Accounts'!$D$5:$D$3000,MATCH(R29&amp;"",'Chart of Accounts'!$A$5:$A$3000,0)),"")</f>
        <v/>
      </c>
      <c r="Y29" s="23">
        <f>IFERROR(INDEX('Chart of Accounts'!$C$5:$C$3000,MATCH(S29&amp;"",'Chart of Accounts'!$A$5:$A$3000,0))&amp;"|"&amp;INDEX('Chart of Accounts'!$D$5:$D$3000,MATCH(S29&amp;"",'Chart of Accounts'!$A$5:$A$3000,0)),"")</f>
        <v/>
      </c>
      <c r="Z29" s="23">
        <f>IFERROR(INDEX('Chart of Accounts'!$C$5:$C$3000,MATCH(U29&amp;"",'Chart of Accounts'!$A$5:$A$3000,0))&amp;"|"&amp;INDEX('Chart of Accounts'!$D$5:$D$3000,MATCH(U29&amp;"",'Chart of Accounts'!$A$5:$A$3000,0)),"")</f>
        <v/>
      </c>
      <c r="AA29" s="23">
        <f>IF(LEFT(V29,8)="Revenue|",-N(F29),0)+IF(LEFT(W29,8)="Revenue|",-N(M29),0)+IF(LEFT(X29,8)="Revenue|",N(O29),0)+IF(LEFT(Y29,8)="Revenue|",N(P29),0)+IF(LEFT(Z29,8)="Revenue|",N(N29),0)</f>
        <v/>
      </c>
      <c r="AB29" s="23">
        <f>IF(LEFT(V29,5)="COGS|",N(F29),0)+IF(LEFT(W29,5)="COGS|",N(M29),0)+IF(LEFT(X29,5)="COGS|",-N(O29),0)+IF(LEFT(Y29,5)="COGS|",-N(P29),0)+IF(LEFT(Z29,5)="COGS|",-N(N29),0)</f>
        <v/>
      </c>
      <c r="AC29" s="23">
        <f>IF(LEFT(V29,8)="Expense|",N(F29),0)+IF(LEFT(W29,8)="Expense|",N(M29),0)+IF(LEFT(X29,8)="Expense|",-N(O29),0)+IF(LEFT(Y29,8)="Expense|",-N(P29),0)+IF(LEFT(Z29,8)="Expense|",-N(N29),0)</f>
        <v/>
      </c>
      <c r="AD29" s="23">
        <f>IF(ISNUMBER(MATCH(V29,{"Expense|employee","Expense|general_admin","Expense|marketing","Expense|utilities","Expense|other_operating"},0)),N(F29),0)+IF(ISNUMBER(MATCH(W29,{"Expense|employee","Expense|general_admin","Expense|marketing","Expense|utilities","Expense|other_operating"},0)),N(M29),0)+IF(ISNUMBER(MATCH(X29,{"Expense|employee","Expense|general_admin","Expense|marketing","Expense|utilities","Expense|other_operating"},0)),-N(O29),0)+IF(ISNUMBER(MATCH(Y29,{"Expense|employee","Expense|general_admin","Expense|marketing","Expense|utilities","Expense|other_operating"},0)),-N(P29),0)+IF(ISNUMBER(MATCH(Z29,{"Expense|employee","Expense|general_admin","Expense|marketing","Expense|utilities","Expense|other_operating"},0)),-N(N29),0)</f>
        <v/>
      </c>
      <c r="AE29" s="23">
        <f>IF(V29="Liability|payable",-N(F29),0)+IF(W29="Liability|payable",-N(M29),0)+IF(X29="Liability|payable",N(O29),0)+IF(Y29="Liability|payable",N(P29),0)+IF(Z29="Liability|payable",N(N29),0)</f>
        <v/>
      </c>
      <c r="AF29" s="23">
        <f>IF(V29="Liability|accrued",-N(F29),0)+IF(W29="Liability|accrued",-N(M29),0)+IF(X29="Liability|accrued",N(O29),0)+IF(Y29="Liability|accrued",N(P29),0)+IF(Z29="Liability|accrued",N(N29),0)</f>
        <v/>
      </c>
      <c r="AG29" s="23">
        <f>IF(AND(N(F29)&lt;&gt;0,V29=""),1,0)+IF(AND(N(M29)&lt;&gt;0,W29=""),1,0)+IF(AND(N(O29)&lt;&gt;0,X29=""),1,0)+IF(AND(N(P29)&lt;&gt;0,Y29=""),1,0)+IF(AND(N(N29)&lt;&gt;0,Z29=""),1,0)</f>
        <v/>
      </c>
    </row>
    <row r="30">
      <c r="A30" s="19" t="n"/>
      <c r="B30" s="14" t="n"/>
      <c r="C30" s="14" t="n"/>
      <c r="D30" s="14" t="n"/>
      <c r="E30" s="14" t="n"/>
      <c r="F30" s="20" t="n"/>
      <c r="G30" s="20" t="n"/>
      <c r="H30" s="14" t="n"/>
      <c r="I30" s="14" t="n"/>
      <c r="J30" s="14" t="n"/>
      <c r="K30" s="14" t="n"/>
      <c r="L30" s="14" t="n"/>
      <c r="M30" s="21">
        <f>ROUND(N(F30)*IFERROR(VLOOKUP(K30,'Tax Codes'!$A$5:$E$300,5,FALSE),0),2)</f>
        <v/>
      </c>
      <c r="N30" s="21">
        <f>ROUND(N(F30)*IFERROR(VLOOKUP(L30,'Tax Codes'!$A$5:$E$300,5,FALSE),0),2)</f>
        <v/>
      </c>
      <c r="O30" s="21">
        <f>IF(G30="",N(F30)+M30-N30,N(G30))</f>
        <v/>
      </c>
      <c r="P30" s="21">
        <f>N(F30)+M30-N30-O30</f>
        <v/>
      </c>
      <c r="Q30" s="16">
        <f>IF(C30="",INDEX('Chart of Accounts'!$A$5:$A$3000,MATCH("other_overhead",'Chart of Accounts'!$F$5:$F$3000,0)),C30&amp;"")</f>
        <v/>
      </c>
      <c r="R30" s="16">
        <f>IF(I30="",INDEX('Chart of Accounts'!$A$5:$A$3000,MATCH("bank",'Chart of Accounts'!$F$5:$F$3000,0)),I30&amp;"")</f>
        <v/>
      </c>
      <c r="S30" s="16">
        <f>IF(J30="",INDEX('Chart of Accounts'!$A$5:$A$3000,MATCH("ap",'Chart of Accounts'!$F$5:$F$3000,0)),J30&amp;"")</f>
        <v/>
      </c>
      <c r="T30" s="16">
        <f>INDEX('Chart of Accounts'!$A$5:$A$3000,MATCH("vat_input",'Chart of Accounts'!$F$5:$F$3000,0))</f>
        <v/>
      </c>
      <c r="U30" s="16">
        <f>INDEX('Chart of Accounts'!$A$5:$A$3000,MATCH("wht_payable",'Chart of Accounts'!$F$5:$F$3000,0))</f>
        <v/>
      </c>
      <c r="V30" s="23">
        <f>IFERROR(INDEX('Chart of Accounts'!$C$5:$C$3000,MATCH(Q30&amp;"",'Chart of Accounts'!$A$5:$A$3000,0))&amp;"|"&amp;INDEX('Chart of Accounts'!$D$5:$D$3000,MATCH(Q30&amp;"",'Chart of Accounts'!$A$5:$A$3000,0)),"")</f>
        <v/>
      </c>
      <c r="W30" s="23">
        <f>IFERROR(INDEX('Chart of Accounts'!$C$5:$C$3000,MATCH(T30&amp;"",'Chart of Accounts'!$A$5:$A$3000,0))&amp;"|"&amp;INDEX('Chart of Accounts'!$D$5:$D$3000,MATCH(T30&amp;"",'Chart of Accounts'!$A$5:$A$3000,0)),"")</f>
        <v/>
      </c>
      <c r="X30" s="23">
        <f>IFERROR(INDEX('Chart of Accounts'!$C$5:$C$3000,MATCH(R30&amp;"",'Chart of Accounts'!$A$5:$A$3000,0))&amp;"|"&amp;INDEX('Chart of Accounts'!$D$5:$D$3000,MATCH(R30&amp;"",'Chart of Accounts'!$A$5:$A$3000,0)),"")</f>
        <v/>
      </c>
      <c r="Y30" s="23">
        <f>IFERROR(INDEX('Chart of Accounts'!$C$5:$C$3000,MATCH(S30&amp;"",'Chart of Accounts'!$A$5:$A$3000,0))&amp;"|"&amp;INDEX('Chart of Accounts'!$D$5:$D$3000,MATCH(S30&amp;"",'Chart of Accounts'!$A$5:$A$3000,0)),"")</f>
        <v/>
      </c>
      <c r="Z30" s="23">
        <f>IFERROR(INDEX('Chart of Accounts'!$C$5:$C$3000,MATCH(U30&amp;"",'Chart of Accounts'!$A$5:$A$3000,0))&amp;"|"&amp;INDEX('Chart of Accounts'!$D$5:$D$3000,MATCH(U30&amp;"",'Chart of Accounts'!$A$5:$A$3000,0)),"")</f>
        <v/>
      </c>
      <c r="AA30" s="23">
        <f>IF(LEFT(V30,8)="Revenue|",-N(F30),0)+IF(LEFT(W30,8)="Revenue|",-N(M30),0)+IF(LEFT(X30,8)="Revenue|",N(O30),0)+IF(LEFT(Y30,8)="Revenue|",N(P30),0)+IF(LEFT(Z30,8)="Revenue|",N(N30),0)</f>
        <v/>
      </c>
      <c r="AB30" s="23">
        <f>IF(LEFT(V30,5)="COGS|",N(F30),0)+IF(LEFT(W30,5)="COGS|",N(M30),0)+IF(LEFT(X30,5)="COGS|",-N(O30),0)+IF(LEFT(Y30,5)="COGS|",-N(P30),0)+IF(LEFT(Z30,5)="COGS|",-N(N30),0)</f>
        <v/>
      </c>
      <c r="AC30" s="23">
        <f>IF(LEFT(V30,8)="Expense|",N(F30),0)+IF(LEFT(W30,8)="Expense|",N(M30),0)+IF(LEFT(X30,8)="Expense|",-N(O30),0)+IF(LEFT(Y30,8)="Expense|",-N(P30),0)+IF(LEFT(Z30,8)="Expense|",-N(N30),0)</f>
        <v/>
      </c>
      <c r="AD30" s="23">
        <f>IF(ISNUMBER(MATCH(V30,{"Expense|employee","Expense|general_admin","Expense|marketing","Expense|utilities","Expense|other_operating"},0)),N(F30),0)+IF(ISNUMBER(MATCH(W30,{"Expense|employee","Expense|general_admin","Expense|marketing","Expense|utilities","Expense|other_operating"},0)),N(M30),0)+IF(ISNUMBER(MATCH(X30,{"Expense|employee","Expense|general_admin","Expense|marketing","Expense|utilities","Expense|other_operating"},0)),-N(O30),0)+IF(ISNUMBER(MATCH(Y30,{"Expense|employee","Expense|general_admin","Expense|marketing","Expense|utilities","Expense|other_operating"},0)),-N(P30),0)+IF(ISNUMBER(MATCH(Z30,{"Expense|employee","Expense|general_admin","Expense|marketing","Expense|utilities","Expense|other_operating"},0)),-N(N30),0)</f>
        <v/>
      </c>
      <c r="AE30" s="23">
        <f>IF(V30="Liability|payable",-N(F30),0)+IF(W30="Liability|payable",-N(M30),0)+IF(X30="Liability|payable",N(O30),0)+IF(Y30="Liability|payable",N(P30),0)+IF(Z30="Liability|payable",N(N30),0)</f>
        <v/>
      </c>
      <c r="AF30" s="23">
        <f>IF(V30="Liability|accrued",-N(F30),0)+IF(W30="Liability|accrued",-N(M30),0)+IF(X30="Liability|accrued",N(O30),0)+IF(Y30="Liability|accrued",N(P30),0)+IF(Z30="Liability|accrued",N(N30),0)</f>
        <v/>
      </c>
      <c r="AG30" s="23">
        <f>IF(AND(N(F30)&lt;&gt;0,V30=""),1,0)+IF(AND(N(M30)&lt;&gt;0,W30=""),1,0)+IF(AND(N(O30)&lt;&gt;0,X30=""),1,0)+IF(AND(N(P30)&lt;&gt;0,Y30=""),1,0)+IF(AND(N(N30)&lt;&gt;0,Z30=""),1,0)</f>
        <v/>
      </c>
    </row>
    <row r="31">
      <c r="A31" s="19" t="n"/>
      <c r="B31" s="14" t="n"/>
      <c r="C31" s="14" t="n"/>
      <c r="D31" s="14" t="n"/>
      <c r="E31" s="14" t="n"/>
      <c r="F31" s="20" t="n"/>
      <c r="G31" s="20" t="n"/>
      <c r="H31" s="14" t="n"/>
      <c r="I31" s="14" t="n"/>
      <c r="J31" s="14" t="n"/>
      <c r="K31" s="14" t="n"/>
      <c r="L31" s="14" t="n"/>
      <c r="M31" s="21">
        <f>ROUND(N(F31)*IFERROR(VLOOKUP(K31,'Tax Codes'!$A$5:$E$300,5,FALSE),0),2)</f>
        <v/>
      </c>
      <c r="N31" s="21">
        <f>ROUND(N(F31)*IFERROR(VLOOKUP(L31,'Tax Codes'!$A$5:$E$300,5,FALSE),0),2)</f>
        <v/>
      </c>
      <c r="O31" s="21">
        <f>IF(G31="",N(F31)+M31-N31,N(G31))</f>
        <v/>
      </c>
      <c r="P31" s="21">
        <f>N(F31)+M31-N31-O31</f>
        <v/>
      </c>
      <c r="Q31" s="16">
        <f>IF(C31="",INDEX('Chart of Accounts'!$A$5:$A$3000,MATCH("other_overhead",'Chart of Accounts'!$F$5:$F$3000,0)),C31&amp;"")</f>
        <v/>
      </c>
      <c r="R31" s="16">
        <f>IF(I31="",INDEX('Chart of Accounts'!$A$5:$A$3000,MATCH("bank",'Chart of Accounts'!$F$5:$F$3000,0)),I31&amp;"")</f>
        <v/>
      </c>
      <c r="S31" s="16">
        <f>IF(J31="",INDEX('Chart of Accounts'!$A$5:$A$3000,MATCH("ap",'Chart of Accounts'!$F$5:$F$3000,0)),J31&amp;"")</f>
        <v/>
      </c>
      <c r="T31" s="16">
        <f>INDEX('Chart of Accounts'!$A$5:$A$3000,MATCH("vat_input",'Chart of Accounts'!$F$5:$F$3000,0))</f>
        <v/>
      </c>
      <c r="U31" s="16">
        <f>INDEX('Chart of Accounts'!$A$5:$A$3000,MATCH("wht_payable",'Chart of Accounts'!$F$5:$F$3000,0))</f>
        <v/>
      </c>
      <c r="V31" s="23">
        <f>IFERROR(INDEX('Chart of Accounts'!$C$5:$C$3000,MATCH(Q31&amp;"",'Chart of Accounts'!$A$5:$A$3000,0))&amp;"|"&amp;INDEX('Chart of Accounts'!$D$5:$D$3000,MATCH(Q31&amp;"",'Chart of Accounts'!$A$5:$A$3000,0)),"")</f>
        <v/>
      </c>
      <c r="W31" s="23">
        <f>IFERROR(INDEX('Chart of Accounts'!$C$5:$C$3000,MATCH(T31&amp;"",'Chart of Accounts'!$A$5:$A$3000,0))&amp;"|"&amp;INDEX('Chart of Accounts'!$D$5:$D$3000,MATCH(T31&amp;"",'Chart of Accounts'!$A$5:$A$3000,0)),"")</f>
        <v/>
      </c>
      <c r="X31" s="23">
        <f>IFERROR(INDEX('Chart of Accounts'!$C$5:$C$3000,MATCH(R31&amp;"",'Chart of Accounts'!$A$5:$A$3000,0))&amp;"|"&amp;INDEX('Chart of Accounts'!$D$5:$D$3000,MATCH(R31&amp;"",'Chart of Accounts'!$A$5:$A$3000,0)),"")</f>
        <v/>
      </c>
      <c r="Y31" s="23">
        <f>IFERROR(INDEX('Chart of Accounts'!$C$5:$C$3000,MATCH(S31&amp;"",'Chart of Accounts'!$A$5:$A$3000,0))&amp;"|"&amp;INDEX('Chart of Accounts'!$D$5:$D$3000,MATCH(S31&amp;"",'Chart of Accounts'!$A$5:$A$3000,0)),"")</f>
        <v/>
      </c>
      <c r="Z31" s="23">
        <f>IFERROR(INDEX('Chart of Accounts'!$C$5:$C$3000,MATCH(U31&amp;"",'Chart of Accounts'!$A$5:$A$3000,0))&amp;"|"&amp;INDEX('Chart of Accounts'!$D$5:$D$3000,MATCH(U31&amp;"",'Chart of Accounts'!$A$5:$A$3000,0)),"")</f>
        <v/>
      </c>
      <c r="AA31" s="23">
        <f>IF(LEFT(V31,8)="Revenue|",-N(F31),0)+IF(LEFT(W31,8)="Revenue|",-N(M31),0)+IF(LEFT(X31,8)="Revenue|",N(O31),0)+IF(LEFT(Y31,8)="Revenue|",N(P31),0)+IF(LEFT(Z31,8)="Revenue|",N(N31),0)</f>
        <v/>
      </c>
      <c r="AB31" s="23">
        <f>IF(LEFT(V31,5)="COGS|",N(F31),0)+IF(LEFT(W31,5)="COGS|",N(M31),0)+IF(LEFT(X31,5)="COGS|",-N(O31),0)+IF(LEFT(Y31,5)="COGS|",-N(P31),0)+IF(LEFT(Z31,5)="COGS|",-N(N31),0)</f>
        <v/>
      </c>
      <c r="AC31" s="23">
        <f>IF(LEFT(V31,8)="Expense|",N(F31),0)+IF(LEFT(W31,8)="Expense|",N(M31),0)+IF(LEFT(X31,8)="Expense|",-N(O31),0)+IF(LEFT(Y31,8)="Expense|",-N(P31),0)+IF(LEFT(Z31,8)="Expense|",-N(N31),0)</f>
        <v/>
      </c>
      <c r="AD31" s="23">
        <f>IF(ISNUMBER(MATCH(V31,{"Expense|employee","Expense|general_admin","Expense|marketing","Expense|utilities","Expense|other_operating"},0)),N(F31),0)+IF(ISNUMBER(MATCH(W31,{"Expense|employee","Expense|general_admin","Expense|marketing","Expense|utilities","Expense|other_operating"},0)),N(M31),0)+IF(ISNUMBER(MATCH(X31,{"Expense|employee","Expense|general_admin","Expense|marketing","Expense|utilities","Expense|other_operating"},0)),-N(O31),0)+IF(ISNUMBER(MATCH(Y31,{"Expense|employee","Expense|general_admin","Expense|marketing","Expense|utilities","Expense|other_operating"},0)),-N(P31),0)+IF(ISNUMBER(MATCH(Z31,{"Expense|employee","Expense|general_admin","Expense|marketing","Expense|utilities","Expense|other_operating"},0)),-N(N31),0)</f>
        <v/>
      </c>
      <c r="AE31" s="23">
        <f>IF(V31="Liability|payable",-N(F31),0)+IF(W31="Liability|payable",-N(M31),0)+IF(X31="Liability|payable",N(O31),0)+IF(Y31="Liability|payable",N(P31),0)+IF(Z31="Liability|payable",N(N31),0)</f>
        <v/>
      </c>
      <c r="AF31" s="23">
        <f>IF(V31="Liability|accrued",-N(F31),0)+IF(W31="Liability|accrued",-N(M31),0)+IF(X31="Liability|accrued",N(O31),0)+IF(Y31="Liability|accrued",N(P31),0)+IF(Z31="Liability|accrued",N(N31),0)</f>
        <v/>
      </c>
      <c r="AG31" s="23">
        <f>IF(AND(N(F31)&lt;&gt;0,V31=""),1,0)+IF(AND(N(M31)&lt;&gt;0,W31=""),1,0)+IF(AND(N(O31)&lt;&gt;0,X31=""),1,0)+IF(AND(N(P31)&lt;&gt;0,Y31=""),1,0)+IF(AND(N(N31)&lt;&gt;0,Z31=""),1,0)</f>
        <v/>
      </c>
    </row>
    <row r="32">
      <c r="A32" s="19" t="n"/>
      <c r="B32" s="14" t="n"/>
      <c r="C32" s="14" t="n"/>
      <c r="D32" s="14" t="n"/>
      <c r="E32" s="14" t="n"/>
      <c r="F32" s="20" t="n"/>
      <c r="G32" s="20" t="n"/>
      <c r="H32" s="14" t="n"/>
      <c r="I32" s="14" t="n"/>
      <c r="J32" s="14" t="n"/>
      <c r="K32" s="14" t="n"/>
      <c r="L32" s="14" t="n"/>
      <c r="M32" s="21">
        <f>ROUND(N(F32)*IFERROR(VLOOKUP(K32,'Tax Codes'!$A$5:$E$300,5,FALSE),0),2)</f>
        <v/>
      </c>
      <c r="N32" s="21">
        <f>ROUND(N(F32)*IFERROR(VLOOKUP(L32,'Tax Codes'!$A$5:$E$300,5,FALSE),0),2)</f>
        <v/>
      </c>
      <c r="O32" s="21">
        <f>IF(G32="",N(F32)+M32-N32,N(G32))</f>
        <v/>
      </c>
      <c r="P32" s="21">
        <f>N(F32)+M32-N32-O32</f>
        <v/>
      </c>
      <c r="Q32" s="16">
        <f>IF(C32="",INDEX('Chart of Accounts'!$A$5:$A$3000,MATCH("other_overhead",'Chart of Accounts'!$F$5:$F$3000,0)),C32&amp;"")</f>
        <v/>
      </c>
      <c r="R32" s="16">
        <f>IF(I32="",INDEX('Chart of Accounts'!$A$5:$A$3000,MATCH("bank",'Chart of Accounts'!$F$5:$F$3000,0)),I32&amp;"")</f>
        <v/>
      </c>
      <c r="S32" s="16">
        <f>IF(J32="",INDEX('Chart of Accounts'!$A$5:$A$3000,MATCH("ap",'Chart of Accounts'!$F$5:$F$3000,0)),J32&amp;"")</f>
        <v/>
      </c>
      <c r="T32" s="16">
        <f>INDEX('Chart of Accounts'!$A$5:$A$3000,MATCH("vat_input",'Chart of Accounts'!$F$5:$F$3000,0))</f>
        <v/>
      </c>
      <c r="U32" s="16">
        <f>INDEX('Chart of Accounts'!$A$5:$A$3000,MATCH("wht_payable",'Chart of Accounts'!$F$5:$F$3000,0))</f>
        <v/>
      </c>
      <c r="V32" s="23">
        <f>IFERROR(INDEX('Chart of Accounts'!$C$5:$C$3000,MATCH(Q32&amp;"",'Chart of Accounts'!$A$5:$A$3000,0))&amp;"|"&amp;INDEX('Chart of Accounts'!$D$5:$D$3000,MATCH(Q32&amp;"",'Chart of Accounts'!$A$5:$A$3000,0)),"")</f>
        <v/>
      </c>
      <c r="W32" s="23">
        <f>IFERROR(INDEX('Chart of Accounts'!$C$5:$C$3000,MATCH(T32&amp;"",'Chart of Accounts'!$A$5:$A$3000,0))&amp;"|"&amp;INDEX('Chart of Accounts'!$D$5:$D$3000,MATCH(T32&amp;"",'Chart of Accounts'!$A$5:$A$3000,0)),"")</f>
        <v/>
      </c>
      <c r="X32" s="23">
        <f>IFERROR(INDEX('Chart of Accounts'!$C$5:$C$3000,MATCH(R32&amp;"",'Chart of Accounts'!$A$5:$A$3000,0))&amp;"|"&amp;INDEX('Chart of Accounts'!$D$5:$D$3000,MATCH(R32&amp;"",'Chart of Accounts'!$A$5:$A$3000,0)),"")</f>
        <v/>
      </c>
      <c r="Y32" s="23">
        <f>IFERROR(INDEX('Chart of Accounts'!$C$5:$C$3000,MATCH(S32&amp;"",'Chart of Accounts'!$A$5:$A$3000,0))&amp;"|"&amp;INDEX('Chart of Accounts'!$D$5:$D$3000,MATCH(S32&amp;"",'Chart of Accounts'!$A$5:$A$3000,0)),"")</f>
        <v/>
      </c>
      <c r="Z32" s="23">
        <f>IFERROR(INDEX('Chart of Accounts'!$C$5:$C$3000,MATCH(U32&amp;"",'Chart of Accounts'!$A$5:$A$3000,0))&amp;"|"&amp;INDEX('Chart of Accounts'!$D$5:$D$3000,MATCH(U32&amp;"",'Chart of Accounts'!$A$5:$A$3000,0)),"")</f>
        <v/>
      </c>
      <c r="AA32" s="23">
        <f>IF(LEFT(V32,8)="Revenue|",-N(F32),0)+IF(LEFT(W32,8)="Revenue|",-N(M32),0)+IF(LEFT(X32,8)="Revenue|",N(O32),0)+IF(LEFT(Y32,8)="Revenue|",N(P32),0)+IF(LEFT(Z32,8)="Revenue|",N(N32),0)</f>
        <v/>
      </c>
      <c r="AB32" s="23">
        <f>IF(LEFT(V32,5)="COGS|",N(F32),0)+IF(LEFT(W32,5)="COGS|",N(M32),0)+IF(LEFT(X32,5)="COGS|",-N(O32),0)+IF(LEFT(Y32,5)="COGS|",-N(P32),0)+IF(LEFT(Z32,5)="COGS|",-N(N32),0)</f>
        <v/>
      </c>
      <c r="AC32" s="23">
        <f>IF(LEFT(V32,8)="Expense|",N(F32),0)+IF(LEFT(W32,8)="Expense|",N(M32),0)+IF(LEFT(X32,8)="Expense|",-N(O32),0)+IF(LEFT(Y32,8)="Expense|",-N(P32),0)+IF(LEFT(Z32,8)="Expense|",-N(N32),0)</f>
        <v/>
      </c>
      <c r="AD32" s="23">
        <f>IF(ISNUMBER(MATCH(V32,{"Expense|employee","Expense|general_admin","Expense|marketing","Expense|utilities","Expense|other_operating"},0)),N(F32),0)+IF(ISNUMBER(MATCH(W32,{"Expense|employee","Expense|general_admin","Expense|marketing","Expense|utilities","Expense|other_operating"},0)),N(M32),0)+IF(ISNUMBER(MATCH(X32,{"Expense|employee","Expense|general_admin","Expense|marketing","Expense|utilities","Expense|other_operating"},0)),-N(O32),0)+IF(ISNUMBER(MATCH(Y32,{"Expense|employee","Expense|general_admin","Expense|marketing","Expense|utilities","Expense|other_operating"},0)),-N(P32),0)+IF(ISNUMBER(MATCH(Z32,{"Expense|employee","Expense|general_admin","Expense|marketing","Expense|utilities","Expense|other_operating"},0)),-N(N32),0)</f>
        <v/>
      </c>
      <c r="AE32" s="23">
        <f>IF(V32="Liability|payable",-N(F32),0)+IF(W32="Liability|payable",-N(M32),0)+IF(X32="Liability|payable",N(O32),0)+IF(Y32="Liability|payable",N(P32),0)+IF(Z32="Liability|payable",N(N32),0)</f>
        <v/>
      </c>
      <c r="AF32" s="23">
        <f>IF(V32="Liability|accrued",-N(F32),0)+IF(W32="Liability|accrued",-N(M32),0)+IF(X32="Liability|accrued",N(O32),0)+IF(Y32="Liability|accrued",N(P32),0)+IF(Z32="Liability|accrued",N(N32),0)</f>
        <v/>
      </c>
      <c r="AG32" s="23">
        <f>IF(AND(N(F32)&lt;&gt;0,V32=""),1,0)+IF(AND(N(M32)&lt;&gt;0,W32=""),1,0)+IF(AND(N(O32)&lt;&gt;0,X32=""),1,0)+IF(AND(N(P32)&lt;&gt;0,Y32=""),1,0)+IF(AND(N(N32)&lt;&gt;0,Z32=""),1,0)</f>
        <v/>
      </c>
    </row>
    <row r="33">
      <c r="A33" s="19" t="n"/>
      <c r="B33" s="14" t="n"/>
      <c r="C33" s="14" t="n"/>
      <c r="D33" s="14" t="n"/>
      <c r="E33" s="14" t="n"/>
      <c r="F33" s="20" t="n"/>
      <c r="G33" s="20" t="n"/>
      <c r="H33" s="14" t="n"/>
      <c r="I33" s="14" t="n"/>
      <c r="J33" s="14" t="n"/>
      <c r="K33" s="14" t="n"/>
      <c r="L33" s="14" t="n"/>
      <c r="M33" s="21">
        <f>ROUND(N(F33)*IFERROR(VLOOKUP(K33,'Tax Codes'!$A$5:$E$300,5,FALSE),0),2)</f>
        <v/>
      </c>
      <c r="N33" s="21">
        <f>ROUND(N(F33)*IFERROR(VLOOKUP(L33,'Tax Codes'!$A$5:$E$300,5,FALSE),0),2)</f>
        <v/>
      </c>
      <c r="O33" s="21">
        <f>IF(G33="",N(F33)+M33-N33,N(G33))</f>
        <v/>
      </c>
      <c r="P33" s="21">
        <f>N(F33)+M33-N33-O33</f>
        <v/>
      </c>
      <c r="Q33" s="16">
        <f>IF(C33="",INDEX('Chart of Accounts'!$A$5:$A$3000,MATCH("other_overhead",'Chart of Accounts'!$F$5:$F$3000,0)),C33&amp;"")</f>
        <v/>
      </c>
      <c r="R33" s="16">
        <f>IF(I33="",INDEX('Chart of Accounts'!$A$5:$A$3000,MATCH("bank",'Chart of Accounts'!$F$5:$F$3000,0)),I33&amp;"")</f>
        <v/>
      </c>
      <c r="S33" s="16">
        <f>IF(J33="",INDEX('Chart of Accounts'!$A$5:$A$3000,MATCH("ap",'Chart of Accounts'!$F$5:$F$3000,0)),J33&amp;"")</f>
        <v/>
      </c>
      <c r="T33" s="16">
        <f>INDEX('Chart of Accounts'!$A$5:$A$3000,MATCH("vat_input",'Chart of Accounts'!$F$5:$F$3000,0))</f>
        <v/>
      </c>
      <c r="U33" s="16">
        <f>INDEX('Chart of Accounts'!$A$5:$A$3000,MATCH("wht_payable",'Chart of Accounts'!$F$5:$F$3000,0))</f>
        <v/>
      </c>
      <c r="V33" s="23">
        <f>IFERROR(INDEX('Chart of Accounts'!$C$5:$C$3000,MATCH(Q33&amp;"",'Chart of Accounts'!$A$5:$A$3000,0))&amp;"|"&amp;INDEX('Chart of Accounts'!$D$5:$D$3000,MATCH(Q33&amp;"",'Chart of Accounts'!$A$5:$A$3000,0)),"")</f>
        <v/>
      </c>
      <c r="W33" s="23">
        <f>IFERROR(INDEX('Chart of Accounts'!$C$5:$C$3000,MATCH(T33&amp;"",'Chart of Accounts'!$A$5:$A$3000,0))&amp;"|"&amp;INDEX('Chart of Accounts'!$D$5:$D$3000,MATCH(T33&amp;"",'Chart of Accounts'!$A$5:$A$3000,0)),"")</f>
        <v/>
      </c>
      <c r="X33" s="23">
        <f>IFERROR(INDEX('Chart of Accounts'!$C$5:$C$3000,MATCH(R33&amp;"",'Chart of Accounts'!$A$5:$A$3000,0))&amp;"|"&amp;INDEX('Chart of Accounts'!$D$5:$D$3000,MATCH(R33&amp;"",'Chart of Accounts'!$A$5:$A$3000,0)),"")</f>
        <v/>
      </c>
      <c r="Y33" s="23">
        <f>IFERROR(INDEX('Chart of Accounts'!$C$5:$C$3000,MATCH(S33&amp;"",'Chart of Accounts'!$A$5:$A$3000,0))&amp;"|"&amp;INDEX('Chart of Accounts'!$D$5:$D$3000,MATCH(S33&amp;"",'Chart of Accounts'!$A$5:$A$3000,0)),"")</f>
        <v/>
      </c>
      <c r="Z33" s="23">
        <f>IFERROR(INDEX('Chart of Accounts'!$C$5:$C$3000,MATCH(U33&amp;"",'Chart of Accounts'!$A$5:$A$3000,0))&amp;"|"&amp;INDEX('Chart of Accounts'!$D$5:$D$3000,MATCH(U33&amp;"",'Chart of Accounts'!$A$5:$A$3000,0)),"")</f>
        <v/>
      </c>
      <c r="AA33" s="23">
        <f>IF(LEFT(V33,8)="Revenue|",-N(F33),0)+IF(LEFT(W33,8)="Revenue|",-N(M33),0)+IF(LEFT(X33,8)="Revenue|",N(O33),0)+IF(LEFT(Y33,8)="Revenue|",N(P33),0)+IF(LEFT(Z33,8)="Revenue|",N(N33),0)</f>
        <v/>
      </c>
      <c r="AB33" s="23">
        <f>IF(LEFT(V33,5)="COGS|",N(F33),0)+IF(LEFT(W33,5)="COGS|",N(M33),0)+IF(LEFT(X33,5)="COGS|",-N(O33),0)+IF(LEFT(Y33,5)="COGS|",-N(P33),0)+IF(LEFT(Z33,5)="COGS|",-N(N33),0)</f>
        <v/>
      </c>
      <c r="AC33" s="23">
        <f>IF(LEFT(V33,8)="Expense|",N(F33),0)+IF(LEFT(W33,8)="Expense|",N(M33),0)+IF(LEFT(X33,8)="Expense|",-N(O33),0)+IF(LEFT(Y33,8)="Expense|",-N(P33),0)+IF(LEFT(Z33,8)="Expense|",-N(N33),0)</f>
        <v/>
      </c>
      <c r="AD33" s="23">
        <f>IF(ISNUMBER(MATCH(V33,{"Expense|employee","Expense|general_admin","Expense|marketing","Expense|utilities","Expense|other_operating"},0)),N(F33),0)+IF(ISNUMBER(MATCH(W33,{"Expense|employee","Expense|general_admin","Expense|marketing","Expense|utilities","Expense|other_operating"},0)),N(M33),0)+IF(ISNUMBER(MATCH(X33,{"Expense|employee","Expense|general_admin","Expense|marketing","Expense|utilities","Expense|other_operating"},0)),-N(O33),0)+IF(ISNUMBER(MATCH(Y33,{"Expense|employee","Expense|general_admin","Expense|marketing","Expense|utilities","Expense|other_operating"},0)),-N(P33),0)+IF(ISNUMBER(MATCH(Z33,{"Expense|employee","Expense|general_admin","Expense|marketing","Expense|utilities","Expense|other_operating"},0)),-N(N33),0)</f>
        <v/>
      </c>
      <c r="AE33" s="23">
        <f>IF(V33="Liability|payable",-N(F33),0)+IF(W33="Liability|payable",-N(M33),0)+IF(X33="Liability|payable",N(O33),0)+IF(Y33="Liability|payable",N(P33),0)+IF(Z33="Liability|payable",N(N33),0)</f>
        <v/>
      </c>
      <c r="AF33" s="23">
        <f>IF(V33="Liability|accrued",-N(F33),0)+IF(W33="Liability|accrued",-N(M33),0)+IF(X33="Liability|accrued",N(O33),0)+IF(Y33="Liability|accrued",N(P33),0)+IF(Z33="Liability|accrued",N(N33),0)</f>
        <v/>
      </c>
      <c r="AG33" s="23">
        <f>IF(AND(N(F33)&lt;&gt;0,V33=""),1,0)+IF(AND(N(M33)&lt;&gt;0,W33=""),1,0)+IF(AND(N(O33)&lt;&gt;0,X33=""),1,0)+IF(AND(N(P33)&lt;&gt;0,Y33=""),1,0)+IF(AND(N(N33)&lt;&gt;0,Z33=""),1,0)</f>
        <v/>
      </c>
    </row>
    <row r="34">
      <c r="A34" s="19" t="n"/>
      <c r="B34" s="14" t="n"/>
      <c r="C34" s="14" t="n"/>
      <c r="D34" s="14" t="n"/>
      <c r="E34" s="14" t="n"/>
      <c r="F34" s="20" t="n"/>
      <c r="G34" s="20" t="n"/>
      <c r="H34" s="14" t="n"/>
      <c r="I34" s="14" t="n"/>
      <c r="J34" s="14" t="n"/>
      <c r="K34" s="14" t="n"/>
      <c r="L34" s="14" t="n"/>
      <c r="M34" s="21">
        <f>ROUND(N(F34)*IFERROR(VLOOKUP(K34,'Tax Codes'!$A$5:$E$300,5,FALSE),0),2)</f>
        <v/>
      </c>
      <c r="N34" s="21">
        <f>ROUND(N(F34)*IFERROR(VLOOKUP(L34,'Tax Codes'!$A$5:$E$300,5,FALSE),0),2)</f>
        <v/>
      </c>
      <c r="O34" s="21">
        <f>IF(G34="",N(F34)+M34-N34,N(G34))</f>
        <v/>
      </c>
      <c r="P34" s="21">
        <f>N(F34)+M34-N34-O34</f>
        <v/>
      </c>
      <c r="Q34" s="16">
        <f>IF(C34="",INDEX('Chart of Accounts'!$A$5:$A$3000,MATCH("other_overhead",'Chart of Accounts'!$F$5:$F$3000,0)),C34&amp;"")</f>
        <v/>
      </c>
      <c r="R34" s="16">
        <f>IF(I34="",INDEX('Chart of Accounts'!$A$5:$A$3000,MATCH("bank",'Chart of Accounts'!$F$5:$F$3000,0)),I34&amp;"")</f>
        <v/>
      </c>
      <c r="S34" s="16">
        <f>IF(J34="",INDEX('Chart of Accounts'!$A$5:$A$3000,MATCH("ap",'Chart of Accounts'!$F$5:$F$3000,0)),J34&amp;"")</f>
        <v/>
      </c>
      <c r="T34" s="16">
        <f>INDEX('Chart of Accounts'!$A$5:$A$3000,MATCH("vat_input",'Chart of Accounts'!$F$5:$F$3000,0))</f>
        <v/>
      </c>
      <c r="U34" s="16">
        <f>INDEX('Chart of Accounts'!$A$5:$A$3000,MATCH("wht_payable",'Chart of Accounts'!$F$5:$F$3000,0))</f>
        <v/>
      </c>
      <c r="V34" s="23">
        <f>IFERROR(INDEX('Chart of Accounts'!$C$5:$C$3000,MATCH(Q34&amp;"",'Chart of Accounts'!$A$5:$A$3000,0))&amp;"|"&amp;INDEX('Chart of Accounts'!$D$5:$D$3000,MATCH(Q34&amp;"",'Chart of Accounts'!$A$5:$A$3000,0)),"")</f>
        <v/>
      </c>
      <c r="W34" s="23">
        <f>IFERROR(INDEX('Chart of Accounts'!$C$5:$C$3000,MATCH(T34&amp;"",'Chart of Accounts'!$A$5:$A$3000,0))&amp;"|"&amp;INDEX('Chart of Accounts'!$D$5:$D$3000,MATCH(T34&amp;"",'Chart of Accounts'!$A$5:$A$3000,0)),"")</f>
        <v/>
      </c>
      <c r="X34" s="23">
        <f>IFERROR(INDEX('Chart of Accounts'!$C$5:$C$3000,MATCH(R34&amp;"",'Chart of Accounts'!$A$5:$A$3000,0))&amp;"|"&amp;INDEX('Chart of Accounts'!$D$5:$D$3000,MATCH(R34&amp;"",'Chart of Accounts'!$A$5:$A$3000,0)),"")</f>
        <v/>
      </c>
      <c r="Y34" s="23">
        <f>IFERROR(INDEX('Chart of Accounts'!$C$5:$C$3000,MATCH(S34&amp;"",'Chart of Accounts'!$A$5:$A$3000,0))&amp;"|"&amp;INDEX('Chart of Accounts'!$D$5:$D$3000,MATCH(S34&amp;"",'Chart of Accounts'!$A$5:$A$3000,0)),"")</f>
        <v/>
      </c>
      <c r="Z34" s="23">
        <f>IFERROR(INDEX('Chart of Accounts'!$C$5:$C$3000,MATCH(U34&amp;"",'Chart of Accounts'!$A$5:$A$3000,0))&amp;"|"&amp;INDEX('Chart of Accounts'!$D$5:$D$3000,MATCH(U34&amp;"",'Chart of Accounts'!$A$5:$A$3000,0)),"")</f>
        <v/>
      </c>
      <c r="AA34" s="23">
        <f>IF(LEFT(V34,8)="Revenue|",-N(F34),0)+IF(LEFT(W34,8)="Revenue|",-N(M34),0)+IF(LEFT(X34,8)="Revenue|",N(O34),0)+IF(LEFT(Y34,8)="Revenue|",N(P34),0)+IF(LEFT(Z34,8)="Revenue|",N(N34),0)</f>
        <v/>
      </c>
      <c r="AB34" s="23">
        <f>IF(LEFT(V34,5)="COGS|",N(F34),0)+IF(LEFT(W34,5)="COGS|",N(M34),0)+IF(LEFT(X34,5)="COGS|",-N(O34),0)+IF(LEFT(Y34,5)="COGS|",-N(P34),0)+IF(LEFT(Z34,5)="COGS|",-N(N34),0)</f>
        <v/>
      </c>
      <c r="AC34" s="23">
        <f>IF(LEFT(V34,8)="Expense|",N(F34),0)+IF(LEFT(W34,8)="Expense|",N(M34),0)+IF(LEFT(X34,8)="Expense|",-N(O34),0)+IF(LEFT(Y34,8)="Expense|",-N(P34),0)+IF(LEFT(Z34,8)="Expense|",-N(N34),0)</f>
        <v/>
      </c>
      <c r="AD34" s="23">
        <f>IF(ISNUMBER(MATCH(V34,{"Expense|employee","Expense|general_admin","Expense|marketing","Expense|utilities","Expense|other_operating"},0)),N(F34),0)+IF(ISNUMBER(MATCH(W34,{"Expense|employee","Expense|general_admin","Expense|marketing","Expense|utilities","Expense|other_operating"},0)),N(M34),0)+IF(ISNUMBER(MATCH(X34,{"Expense|employee","Expense|general_admin","Expense|marketing","Expense|utilities","Expense|other_operating"},0)),-N(O34),0)+IF(ISNUMBER(MATCH(Y34,{"Expense|employee","Expense|general_admin","Expense|marketing","Expense|utilities","Expense|other_operating"},0)),-N(P34),0)+IF(ISNUMBER(MATCH(Z34,{"Expense|employee","Expense|general_admin","Expense|marketing","Expense|utilities","Expense|other_operating"},0)),-N(N34),0)</f>
        <v/>
      </c>
      <c r="AE34" s="23">
        <f>IF(V34="Liability|payable",-N(F34),0)+IF(W34="Liability|payable",-N(M34),0)+IF(X34="Liability|payable",N(O34),0)+IF(Y34="Liability|payable",N(P34),0)+IF(Z34="Liability|payable",N(N34),0)</f>
        <v/>
      </c>
      <c r="AF34" s="23">
        <f>IF(V34="Liability|accrued",-N(F34),0)+IF(W34="Liability|accrued",-N(M34),0)+IF(X34="Liability|accrued",N(O34),0)+IF(Y34="Liability|accrued",N(P34),0)+IF(Z34="Liability|accrued",N(N34),0)</f>
        <v/>
      </c>
      <c r="AG34" s="23">
        <f>IF(AND(N(F34)&lt;&gt;0,V34=""),1,0)+IF(AND(N(M34)&lt;&gt;0,W34=""),1,0)+IF(AND(N(O34)&lt;&gt;0,X34=""),1,0)+IF(AND(N(P34)&lt;&gt;0,Y34=""),1,0)+IF(AND(N(N34)&lt;&gt;0,Z34=""),1,0)</f>
        <v/>
      </c>
    </row>
    <row r="35">
      <c r="A35" s="19" t="n"/>
      <c r="B35" s="14" t="n"/>
      <c r="C35" s="14" t="n"/>
      <c r="D35" s="14" t="n"/>
      <c r="E35" s="14" t="n"/>
      <c r="F35" s="20" t="n"/>
      <c r="G35" s="20" t="n"/>
      <c r="H35" s="14" t="n"/>
      <c r="I35" s="14" t="n"/>
      <c r="J35" s="14" t="n"/>
      <c r="K35" s="14" t="n"/>
      <c r="L35" s="14" t="n"/>
      <c r="M35" s="21">
        <f>ROUND(N(F35)*IFERROR(VLOOKUP(K35,'Tax Codes'!$A$5:$E$300,5,FALSE),0),2)</f>
        <v/>
      </c>
      <c r="N35" s="21">
        <f>ROUND(N(F35)*IFERROR(VLOOKUP(L35,'Tax Codes'!$A$5:$E$300,5,FALSE),0),2)</f>
        <v/>
      </c>
      <c r="O35" s="21">
        <f>IF(G35="",N(F35)+M35-N35,N(G35))</f>
        <v/>
      </c>
      <c r="P35" s="21">
        <f>N(F35)+M35-N35-O35</f>
        <v/>
      </c>
      <c r="Q35" s="16">
        <f>IF(C35="",INDEX('Chart of Accounts'!$A$5:$A$3000,MATCH("other_overhead",'Chart of Accounts'!$F$5:$F$3000,0)),C35&amp;"")</f>
        <v/>
      </c>
      <c r="R35" s="16">
        <f>IF(I35="",INDEX('Chart of Accounts'!$A$5:$A$3000,MATCH("bank",'Chart of Accounts'!$F$5:$F$3000,0)),I35&amp;"")</f>
        <v/>
      </c>
      <c r="S35" s="16">
        <f>IF(J35="",INDEX('Chart of Accounts'!$A$5:$A$3000,MATCH("ap",'Chart of Accounts'!$F$5:$F$3000,0)),J35&amp;"")</f>
        <v/>
      </c>
      <c r="T35" s="16">
        <f>INDEX('Chart of Accounts'!$A$5:$A$3000,MATCH("vat_input",'Chart of Accounts'!$F$5:$F$3000,0))</f>
        <v/>
      </c>
      <c r="U35" s="16">
        <f>INDEX('Chart of Accounts'!$A$5:$A$3000,MATCH("wht_payable",'Chart of Accounts'!$F$5:$F$3000,0))</f>
        <v/>
      </c>
      <c r="V35" s="23">
        <f>IFERROR(INDEX('Chart of Accounts'!$C$5:$C$3000,MATCH(Q35&amp;"",'Chart of Accounts'!$A$5:$A$3000,0))&amp;"|"&amp;INDEX('Chart of Accounts'!$D$5:$D$3000,MATCH(Q35&amp;"",'Chart of Accounts'!$A$5:$A$3000,0)),"")</f>
        <v/>
      </c>
      <c r="W35" s="23">
        <f>IFERROR(INDEX('Chart of Accounts'!$C$5:$C$3000,MATCH(T35&amp;"",'Chart of Accounts'!$A$5:$A$3000,0))&amp;"|"&amp;INDEX('Chart of Accounts'!$D$5:$D$3000,MATCH(T35&amp;"",'Chart of Accounts'!$A$5:$A$3000,0)),"")</f>
        <v/>
      </c>
      <c r="X35" s="23">
        <f>IFERROR(INDEX('Chart of Accounts'!$C$5:$C$3000,MATCH(R35&amp;"",'Chart of Accounts'!$A$5:$A$3000,0))&amp;"|"&amp;INDEX('Chart of Accounts'!$D$5:$D$3000,MATCH(R35&amp;"",'Chart of Accounts'!$A$5:$A$3000,0)),"")</f>
        <v/>
      </c>
      <c r="Y35" s="23">
        <f>IFERROR(INDEX('Chart of Accounts'!$C$5:$C$3000,MATCH(S35&amp;"",'Chart of Accounts'!$A$5:$A$3000,0))&amp;"|"&amp;INDEX('Chart of Accounts'!$D$5:$D$3000,MATCH(S35&amp;"",'Chart of Accounts'!$A$5:$A$3000,0)),"")</f>
        <v/>
      </c>
      <c r="Z35" s="23">
        <f>IFERROR(INDEX('Chart of Accounts'!$C$5:$C$3000,MATCH(U35&amp;"",'Chart of Accounts'!$A$5:$A$3000,0))&amp;"|"&amp;INDEX('Chart of Accounts'!$D$5:$D$3000,MATCH(U35&amp;"",'Chart of Accounts'!$A$5:$A$3000,0)),"")</f>
        <v/>
      </c>
      <c r="AA35" s="23">
        <f>IF(LEFT(V35,8)="Revenue|",-N(F35),0)+IF(LEFT(W35,8)="Revenue|",-N(M35),0)+IF(LEFT(X35,8)="Revenue|",N(O35),0)+IF(LEFT(Y35,8)="Revenue|",N(P35),0)+IF(LEFT(Z35,8)="Revenue|",N(N35),0)</f>
        <v/>
      </c>
      <c r="AB35" s="23">
        <f>IF(LEFT(V35,5)="COGS|",N(F35),0)+IF(LEFT(W35,5)="COGS|",N(M35),0)+IF(LEFT(X35,5)="COGS|",-N(O35),0)+IF(LEFT(Y35,5)="COGS|",-N(P35),0)+IF(LEFT(Z35,5)="COGS|",-N(N35),0)</f>
        <v/>
      </c>
      <c r="AC35" s="23">
        <f>IF(LEFT(V35,8)="Expense|",N(F35),0)+IF(LEFT(W35,8)="Expense|",N(M35),0)+IF(LEFT(X35,8)="Expense|",-N(O35),0)+IF(LEFT(Y35,8)="Expense|",-N(P35),0)+IF(LEFT(Z35,8)="Expense|",-N(N35),0)</f>
        <v/>
      </c>
      <c r="AD35" s="23">
        <f>IF(ISNUMBER(MATCH(V35,{"Expense|employee","Expense|general_admin","Expense|marketing","Expense|utilities","Expense|other_operating"},0)),N(F35),0)+IF(ISNUMBER(MATCH(W35,{"Expense|employee","Expense|general_admin","Expense|marketing","Expense|utilities","Expense|other_operating"},0)),N(M35),0)+IF(ISNUMBER(MATCH(X35,{"Expense|employee","Expense|general_admin","Expense|marketing","Expense|utilities","Expense|other_operating"},0)),-N(O35),0)+IF(ISNUMBER(MATCH(Y35,{"Expense|employee","Expense|general_admin","Expense|marketing","Expense|utilities","Expense|other_operating"},0)),-N(P35),0)+IF(ISNUMBER(MATCH(Z35,{"Expense|employee","Expense|general_admin","Expense|marketing","Expense|utilities","Expense|other_operating"},0)),-N(N35),0)</f>
        <v/>
      </c>
      <c r="AE35" s="23">
        <f>IF(V35="Liability|payable",-N(F35),0)+IF(W35="Liability|payable",-N(M35),0)+IF(X35="Liability|payable",N(O35),0)+IF(Y35="Liability|payable",N(P35),0)+IF(Z35="Liability|payable",N(N35),0)</f>
        <v/>
      </c>
      <c r="AF35" s="23">
        <f>IF(V35="Liability|accrued",-N(F35),0)+IF(W35="Liability|accrued",-N(M35),0)+IF(X35="Liability|accrued",N(O35),0)+IF(Y35="Liability|accrued",N(P35),0)+IF(Z35="Liability|accrued",N(N35),0)</f>
        <v/>
      </c>
      <c r="AG35" s="23">
        <f>IF(AND(N(F35)&lt;&gt;0,V35=""),1,0)+IF(AND(N(M35)&lt;&gt;0,W35=""),1,0)+IF(AND(N(O35)&lt;&gt;0,X35=""),1,0)+IF(AND(N(P35)&lt;&gt;0,Y35=""),1,0)+IF(AND(N(N35)&lt;&gt;0,Z35=""),1,0)</f>
        <v/>
      </c>
    </row>
    <row r="36">
      <c r="A36" s="19" t="n"/>
      <c r="B36" s="14" t="n"/>
      <c r="C36" s="14" t="n"/>
      <c r="D36" s="14" t="n"/>
      <c r="E36" s="14" t="n"/>
      <c r="F36" s="20" t="n"/>
      <c r="G36" s="20" t="n"/>
      <c r="H36" s="14" t="n"/>
      <c r="I36" s="14" t="n"/>
      <c r="J36" s="14" t="n"/>
      <c r="K36" s="14" t="n"/>
      <c r="L36" s="14" t="n"/>
      <c r="M36" s="21">
        <f>ROUND(N(F36)*IFERROR(VLOOKUP(K36,'Tax Codes'!$A$5:$E$300,5,FALSE),0),2)</f>
        <v/>
      </c>
      <c r="N36" s="21">
        <f>ROUND(N(F36)*IFERROR(VLOOKUP(L36,'Tax Codes'!$A$5:$E$300,5,FALSE),0),2)</f>
        <v/>
      </c>
      <c r="O36" s="21">
        <f>IF(G36="",N(F36)+M36-N36,N(G36))</f>
        <v/>
      </c>
      <c r="P36" s="21">
        <f>N(F36)+M36-N36-O36</f>
        <v/>
      </c>
      <c r="Q36" s="16">
        <f>IF(C36="",INDEX('Chart of Accounts'!$A$5:$A$3000,MATCH("other_overhead",'Chart of Accounts'!$F$5:$F$3000,0)),C36&amp;"")</f>
        <v/>
      </c>
      <c r="R36" s="16">
        <f>IF(I36="",INDEX('Chart of Accounts'!$A$5:$A$3000,MATCH("bank",'Chart of Accounts'!$F$5:$F$3000,0)),I36&amp;"")</f>
        <v/>
      </c>
      <c r="S36" s="16">
        <f>IF(J36="",INDEX('Chart of Accounts'!$A$5:$A$3000,MATCH("ap",'Chart of Accounts'!$F$5:$F$3000,0)),J36&amp;"")</f>
        <v/>
      </c>
      <c r="T36" s="16">
        <f>INDEX('Chart of Accounts'!$A$5:$A$3000,MATCH("vat_input",'Chart of Accounts'!$F$5:$F$3000,0))</f>
        <v/>
      </c>
      <c r="U36" s="16">
        <f>INDEX('Chart of Accounts'!$A$5:$A$3000,MATCH("wht_payable",'Chart of Accounts'!$F$5:$F$3000,0))</f>
        <v/>
      </c>
      <c r="V36" s="23">
        <f>IFERROR(INDEX('Chart of Accounts'!$C$5:$C$3000,MATCH(Q36&amp;"",'Chart of Accounts'!$A$5:$A$3000,0))&amp;"|"&amp;INDEX('Chart of Accounts'!$D$5:$D$3000,MATCH(Q36&amp;"",'Chart of Accounts'!$A$5:$A$3000,0)),"")</f>
        <v/>
      </c>
      <c r="W36" s="23">
        <f>IFERROR(INDEX('Chart of Accounts'!$C$5:$C$3000,MATCH(T36&amp;"",'Chart of Accounts'!$A$5:$A$3000,0))&amp;"|"&amp;INDEX('Chart of Accounts'!$D$5:$D$3000,MATCH(T36&amp;"",'Chart of Accounts'!$A$5:$A$3000,0)),"")</f>
        <v/>
      </c>
      <c r="X36" s="23">
        <f>IFERROR(INDEX('Chart of Accounts'!$C$5:$C$3000,MATCH(R36&amp;"",'Chart of Accounts'!$A$5:$A$3000,0))&amp;"|"&amp;INDEX('Chart of Accounts'!$D$5:$D$3000,MATCH(R36&amp;"",'Chart of Accounts'!$A$5:$A$3000,0)),"")</f>
        <v/>
      </c>
      <c r="Y36" s="23">
        <f>IFERROR(INDEX('Chart of Accounts'!$C$5:$C$3000,MATCH(S36&amp;"",'Chart of Accounts'!$A$5:$A$3000,0))&amp;"|"&amp;INDEX('Chart of Accounts'!$D$5:$D$3000,MATCH(S36&amp;"",'Chart of Accounts'!$A$5:$A$3000,0)),"")</f>
        <v/>
      </c>
      <c r="Z36" s="23">
        <f>IFERROR(INDEX('Chart of Accounts'!$C$5:$C$3000,MATCH(U36&amp;"",'Chart of Accounts'!$A$5:$A$3000,0))&amp;"|"&amp;INDEX('Chart of Accounts'!$D$5:$D$3000,MATCH(U36&amp;"",'Chart of Accounts'!$A$5:$A$3000,0)),"")</f>
        <v/>
      </c>
      <c r="AA36" s="23">
        <f>IF(LEFT(V36,8)="Revenue|",-N(F36),0)+IF(LEFT(W36,8)="Revenue|",-N(M36),0)+IF(LEFT(X36,8)="Revenue|",N(O36),0)+IF(LEFT(Y36,8)="Revenue|",N(P36),0)+IF(LEFT(Z36,8)="Revenue|",N(N36),0)</f>
        <v/>
      </c>
      <c r="AB36" s="23">
        <f>IF(LEFT(V36,5)="COGS|",N(F36),0)+IF(LEFT(W36,5)="COGS|",N(M36),0)+IF(LEFT(X36,5)="COGS|",-N(O36),0)+IF(LEFT(Y36,5)="COGS|",-N(P36),0)+IF(LEFT(Z36,5)="COGS|",-N(N36),0)</f>
        <v/>
      </c>
      <c r="AC36" s="23">
        <f>IF(LEFT(V36,8)="Expense|",N(F36),0)+IF(LEFT(W36,8)="Expense|",N(M36),0)+IF(LEFT(X36,8)="Expense|",-N(O36),0)+IF(LEFT(Y36,8)="Expense|",-N(P36),0)+IF(LEFT(Z36,8)="Expense|",-N(N36),0)</f>
        <v/>
      </c>
      <c r="AD36" s="23">
        <f>IF(ISNUMBER(MATCH(V36,{"Expense|employee","Expense|general_admin","Expense|marketing","Expense|utilities","Expense|other_operating"},0)),N(F36),0)+IF(ISNUMBER(MATCH(W36,{"Expense|employee","Expense|general_admin","Expense|marketing","Expense|utilities","Expense|other_operating"},0)),N(M36),0)+IF(ISNUMBER(MATCH(X36,{"Expense|employee","Expense|general_admin","Expense|marketing","Expense|utilities","Expense|other_operating"},0)),-N(O36),0)+IF(ISNUMBER(MATCH(Y36,{"Expense|employee","Expense|general_admin","Expense|marketing","Expense|utilities","Expense|other_operating"},0)),-N(P36),0)+IF(ISNUMBER(MATCH(Z36,{"Expense|employee","Expense|general_admin","Expense|marketing","Expense|utilities","Expense|other_operating"},0)),-N(N36),0)</f>
        <v/>
      </c>
      <c r="AE36" s="23">
        <f>IF(V36="Liability|payable",-N(F36),0)+IF(W36="Liability|payable",-N(M36),0)+IF(X36="Liability|payable",N(O36),0)+IF(Y36="Liability|payable",N(P36),0)+IF(Z36="Liability|payable",N(N36),0)</f>
        <v/>
      </c>
      <c r="AF36" s="23">
        <f>IF(V36="Liability|accrued",-N(F36),0)+IF(W36="Liability|accrued",-N(M36),0)+IF(X36="Liability|accrued",N(O36),0)+IF(Y36="Liability|accrued",N(P36),0)+IF(Z36="Liability|accrued",N(N36),0)</f>
        <v/>
      </c>
      <c r="AG36" s="23">
        <f>IF(AND(N(F36)&lt;&gt;0,V36=""),1,0)+IF(AND(N(M36)&lt;&gt;0,W36=""),1,0)+IF(AND(N(O36)&lt;&gt;0,X36=""),1,0)+IF(AND(N(P36)&lt;&gt;0,Y36=""),1,0)+IF(AND(N(N36)&lt;&gt;0,Z36=""),1,0)</f>
        <v/>
      </c>
    </row>
    <row r="37">
      <c r="A37" s="19" t="n"/>
      <c r="B37" s="14" t="n"/>
      <c r="C37" s="14" t="n"/>
      <c r="D37" s="14" t="n"/>
      <c r="E37" s="14" t="n"/>
      <c r="F37" s="20" t="n"/>
      <c r="G37" s="20" t="n"/>
      <c r="H37" s="14" t="n"/>
      <c r="I37" s="14" t="n"/>
      <c r="J37" s="14" t="n"/>
      <c r="K37" s="14" t="n"/>
      <c r="L37" s="14" t="n"/>
      <c r="M37" s="21">
        <f>ROUND(N(F37)*IFERROR(VLOOKUP(K37,'Tax Codes'!$A$5:$E$300,5,FALSE),0),2)</f>
        <v/>
      </c>
      <c r="N37" s="21">
        <f>ROUND(N(F37)*IFERROR(VLOOKUP(L37,'Tax Codes'!$A$5:$E$300,5,FALSE),0),2)</f>
        <v/>
      </c>
      <c r="O37" s="21">
        <f>IF(G37="",N(F37)+M37-N37,N(G37))</f>
        <v/>
      </c>
      <c r="P37" s="21">
        <f>N(F37)+M37-N37-O37</f>
        <v/>
      </c>
      <c r="Q37" s="16">
        <f>IF(C37="",INDEX('Chart of Accounts'!$A$5:$A$3000,MATCH("other_overhead",'Chart of Accounts'!$F$5:$F$3000,0)),C37&amp;"")</f>
        <v/>
      </c>
      <c r="R37" s="16">
        <f>IF(I37="",INDEX('Chart of Accounts'!$A$5:$A$3000,MATCH("bank",'Chart of Accounts'!$F$5:$F$3000,0)),I37&amp;"")</f>
        <v/>
      </c>
      <c r="S37" s="16">
        <f>IF(J37="",INDEX('Chart of Accounts'!$A$5:$A$3000,MATCH("ap",'Chart of Accounts'!$F$5:$F$3000,0)),J37&amp;"")</f>
        <v/>
      </c>
      <c r="T37" s="16">
        <f>INDEX('Chart of Accounts'!$A$5:$A$3000,MATCH("vat_input",'Chart of Accounts'!$F$5:$F$3000,0))</f>
        <v/>
      </c>
      <c r="U37" s="16">
        <f>INDEX('Chart of Accounts'!$A$5:$A$3000,MATCH("wht_payable",'Chart of Accounts'!$F$5:$F$3000,0))</f>
        <v/>
      </c>
      <c r="V37" s="23">
        <f>IFERROR(INDEX('Chart of Accounts'!$C$5:$C$3000,MATCH(Q37&amp;"",'Chart of Accounts'!$A$5:$A$3000,0))&amp;"|"&amp;INDEX('Chart of Accounts'!$D$5:$D$3000,MATCH(Q37&amp;"",'Chart of Accounts'!$A$5:$A$3000,0)),"")</f>
        <v/>
      </c>
      <c r="W37" s="23">
        <f>IFERROR(INDEX('Chart of Accounts'!$C$5:$C$3000,MATCH(T37&amp;"",'Chart of Accounts'!$A$5:$A$3000,0))&amp;"|"&amp;INDEX('Chart of Accounts'!$D$5:$D$3000,MATCH(T37&amp;"",'Chart of Accounts'!$A$5:$A$3000,0)),"")</f>
        <v/>
      </c>
      <c r="X37" s="23">
        <f>IFERROR(INDEX('Chart of Accounts'!$C$5:$C$3000,MATCH(R37&amp;"",'Chart of Accounts'!$A$5:$A$3000,0))&amp;"|"&amp;INDEX('Chart of Accounts'!$D$5:$D$3000,MATCH(R37&amp;"",'Chart of Accounts'!$A$5:$A$3000,0)),"")</f>
        <v/>
      </c>
      <c r="Y37" s="23">
        <f>IFERROR(INDEX('Chart of Accounts'!$C$5:$C$3000,MATCH(S37&amp;"",'Chart of Accounts'!$A$5:$A$3000,0))&amp;"|"&amp;INDEX('Chart of Accounts'!$D$5:$D$3000,MATCH(S37&amp;"",'Chart of Accounts'!$A$5:$A$3000,0)),"")</f>
        <v/>
      </c>
      <c r="Z37" s="23">
        <f>IFERROR(INDEX('Chart of Accounts'!$C$5:$C$3000,MATCH(U37&amp;"",'Chart of Accounts'!$A$5:$A$3000,0))&amp;"|"&amp;INDEX('Chart of Accounts'!$D$5:$D$3000,MATCH(U37&amp;"",'Chart of Accounts'!$A$5:$A$3000,0)),"")</f>
        <v/>
      </c>
      <c r="AA37" s="23">
        <f>IF(LEFT(V37,8)="Revenue|",-N(F37),0)+IF(LEFT(W37,8)="Revenue|",-N(M37),0)+IF(LEFT(X37,8)="Revenue|",N(O37),0)+IF(LEFT(Y37,8)="Revenue|",N(P37),0)+IF(LEFT(Z37,8)="Revenue|",N(N37),0)</f>
        <v/>
      </c>
      <c r="AB37" s="23">
        <f>IF(LEFT(V37,5)="COGS|",N(F37),0)+IF(LEFT(W37,5)="COGS|",N(M37),0)+IF(LEFT(X37,5)="COGS|",-N(O37),0)+IF(LEFT(Y37,5)="COGS|",-N(P37),0)+IF(LEFT(Z37,5)="COGS|",-N(N37),0)</f>
        <v/>
      </c>
      <c r="AC37" s="23">
        <f>IF(LEFT(V37,8)="Expense|",N(F37),0)+IF(LEFT(W37,8)="Expense|",N(M37),0)+IF(LEFT(X37,8)="Expense|",-N(O37),0)+IF(LEFT(Y37,8)="Expense|",-N(P37),0)+IF(LEFT(Z37,8)="Expense|",-N(N37),0)</f>
        <v/>
      </c>
      <c r="AD37" s="23">
        <f>IF(ISNUMBER(MATCH(V37,{"Expense|employee","Expense|general_admin","Expense|marketing","Expense|utilities","Expense|other_operating"},0)),N(F37),0)+IF(ISNUMBER(MATCH(W37,{"Expense|employee","Expense|general_admin","Expense|marketing","Expense|utilities","Expense|other_operating"},0)),N(M37),0)+IF(ISNUMBER(MATCH(X37,{"Expense|employee","Expense|general_admin","Expense|marketing","Expense|utilities","Expense|other_operating"},0)),-N(O37),0)+IF(ISNUMBER(MATCH(Y37,{"Expense|employee","Expense|general_admin","Expense|marketing","Expense|utilities","Expense|other_operating"},0)),-N(P37),0)+IF(ISNUMBER(MATCH(Z37,{"Expense|employee","Expense|general_admin","Expense|marketing","Expense|utilities","Expense|other_operating"},0)),-N(N37),0)</f>
        <v/>
      </c>
      <c r="AE37" s="23">
        <f>IF(V37="Liability|payable",-N(F37),0)+IF(W37="Liability|payable",-N(M37),0)+IF(X37="Liability|payable",N(O37),0)+IF(Y37="Liability|payable",N(P37),0)+IF(Z37="Liability|payable",N(N37),0)</f>
        <v/>
      </c>
      <c r="AF37" s="23">
        <f>IF(V37="Liability|accrued",-N(F37),0)+IF(W37="Liability|accrued",-N(M37),0)+IF(X37="Liability|accrued",N(O37),0)+IF(Y37="Liability|accrued",N(P37),0)+IF(Z37="Liability|accrued",N(N37),0)</f>
        <v/>
      </c>
      <c r="AG37" s="23">
        <f>IF(AND(N(F37)&lt;&gt;0,V37=""),1,0)+IF(AND(N(M37)&lt;&gt;0,W37=""),1,0)+IF(AND(N(O37)&lt;&gt;0,X37=""),1,0)+IF(AND(N(P37)&lt;&gt;0,Y37=""),1,0)+IF(AND(N(N37)&lt;&gt;0,Z37=""),1,0)</f>
        <v/>
      </c>
    </row>
    <row r="38">
      <c r="A38" s="19" t="n"/>
      <c r="B38" s="14" t="n"/>
      <c r="C38" s="14" t="n"/>
      <c r="D38" s="14" t="n"/>
      <c r="E38" s="14" t="n"/>
      <c r="F38" s="20" t="n"/>
      <c r="G38" s="20" t="n"/>
      <c r="H38" s="14" t="n"/>
      <c r="I38" s="14" t="n"/>
      <c r="J38" s="14" t="n"/>
      <c r="K38" s="14" t="n"/>
      <c r="L38" s="14" t="n"/>
      <c r="M38" s="21">
        <f>ROUND(N(F38)*IFERROR(VLOOKUP(K38,'Tax Codes'!$A$5:$E$300,5,FALSE),0),2)</f>
        <v/>
      </c>
      <c r="N38" s="21">
        <f>ROUND(N(F38)*IFERROR(VLOOKUP(L38,'Tax Codes'!$A$5:$E$300,5,FALSE),0),2)</f>
        <v/>
      </c>
      <c r="O38" s="21">
        <f>IF(G38="",N(F38)+M38-N38,N(G38))</f>
        <v/>
      </c>
      <c r="P38" s="21">
        <f>N(F38)+M38-N38-O38</f>
        <v/>
      </c>
      <c r="Q38" s="16">
        <f>IF(C38="",INDEX('Chart of Accounts'!$A$5:$A$3000,MATCH("other_overhead",'Chart of Accounts'!$F$5:$F$3000,0)),C38&amp;"")</f>
        <v/>
      </c>
      <c r="R38" s="16">
        <f>IF(I38="",INDEX('Chart of Accounts'!$A$5:$A$3000,MATCH("bank",'Chart of Accounts'!$F$5:$F$3000,0)),I38&amp;"")</f>
        <v/>
      </c>
      <c r="S38" s="16">
        <f>IF(J38="",INDEX('Chart of Accounts'!$A$5:$A$3000,MATCH("ap",'Chart of Accounts'!$F$5:$F$3000,0)),J38&amp;"")</f>
        <v/>
      </c>
      <c r="T38" s="16">
        <f>INDEX('Chart of Accounts'!$A$5:$A$3000,MATCH("vat_input",'Chart of Accounts'!$F$5:$F$3000,0))</f>
        <v/>
      </c>
      <c r="U38" s="16">
        <f>INDEX('Chart of Accounts'!$A$5:$A$3000,MATCH("wht_payable",'Chart of Accounts'!$F$5:$F$3000,0))</f>
        <v/>
      </c>
      <c r="V38" s="23">
        <f>IFERROR(INDEX('Chart of Accounts'!$C$5:$C$3000,MATCH(Q38&amp;"",'Chart of Accounts'!$A$5:$A$3000,0))&amp;"|"&amp;INDEX('Chart of Accounts'!$D$5:$D$3000,MATCH(Q38&amp;"",'Chart of Accounts'!$A$5:$A$3000,0)),"")</f>
        <v/>
      </c>
      <c r="W38" s="23">
        <f>IFERROR(INDEX('Chart of Accounts'!$C$5:$C$3000,MATCH(T38&amp;"",'Chart of Accounts'!$A$5:$A$3000,0))&amp;"|"&amp;INDEX('Chart of Accounts'!$D$5:$D$3000,MATCH(T38&amp;"",'Chart of Accounts'!$A$5:$A$3000,0)),"")</f>
        <v/>
      </c>
      <c r="X38" s="23">
        <f>IFERROR(INDEX('Chart of Accounts'!$C$5:$C$3000,MATCH(R38&amp;"",'Chart of Accounts'!$A$5:$A$3000,0))&amp;"|"&amp;INDEX('Chart of Accounts'!$D$5:$D$3000,MATCH(R38&amp;"",'Chart of Accounts'!$A$5:$A$3000,0)),"")</f>
        <v/>
      </c>
      <c r="Y38" s="23">
        <f>IFERROR(INDEX('Chart of Accounts'!$C$5:$C$3000,MATCH(S38&amp;"",'Chart of Accounts'!$A$5:$A$3000,0))&amp;"|"&amp;INDEX('Chart of Accounts'!$D$5:$D$3000,MATCH(S38&amp;"",'Chart of Accounts'!$A$5:$A$3000,0)),"")</f>
        <v/>
      </c>
      <c r="Z38" s="23">
        <f>IFERROR(INDEX('Chart of Accounts'!$C$5:$C$3000,MATCH(U38&amp;"",'Chart of Accounts'!$A$5:$A$3000,0))&amp;"|"&amp;INDEX('Chart of Accounts'!$D$5:$D$3000,MATCH(U38&amp;"",'Chart of Accounts'!$A$5:$A$3000,0)),"")</f>
        <v/>
      </c>
      <c r="AA38" s="23">
        <f>IF(LEFT(V38,8)="Revenue|",-N(F38),0)+IF(LEFT(W38,8)="Revenue|",-N(M38),0)+IF(LEFT(X38,8)="Revenue|",N(O38),0)+IF(LEFT(Y38,8)="Revenue|",N(P38),0)+IF(LEFT(Z38,8)="Revenue|",N(N38),0)</f>
        <v/>
      </c>
      <c r="AB38" s="23">
        <f>IF(LEFT(V38,5)="COGS|",N(F38),0)+IF(LEFT(W38,5)="COGS|",N(M38),0)+IF(LEFT(X38,5)="COGS|",-N(O38),0)+IF(LEFT(Y38,5)="COGS|",-N(P38),0)+IF(LEFT(Z38,5)="COGS|",-N(N38),0)</f>
        <v/>
      </c>
      <c r="AC38" s="23">
        <f>IF(LEFT(V38,8)="Expense|",N(F38),0)+IF(LEFT(W38,8)="Expense|",N(M38),0)+IF(LEFT(X38,8)="Expense|",-N(O38),0)+IF(LEFT(Y38,8)="Expense|",-N(P38),0)+IF(LEFT(Z38,8)="Expense|",-N(N38),0)</f>
        <v/>
      </c>
      <c r="AD38" s="23">
        <f>IF(ISNUMBER(MATCH(V38,{"Expense|employee","Expense|general_admin","Expense|marketing","Expense|utilities","Expense|other_operating"},0)),N(F38),0)+IF(ISNUMBER(MATCH(W38,{"Expense|employee","Expense|general_admin","Expense|marketing","Expense|utilities","Expense|other_operating"},0)),N(M38),0)+IF(ISNUMBER(MATCH(X38,{"Expense|employee","Expense|general_admin","Expense|marketing","Expense|utilities","Expense|other_operating"},0)),-N(O38),0)+IF(ISNUMBER(MATCH(Y38,{"Expense|employee","Expense|general_admin","Expense|marketing","Expense|utilities","Expense|other_operating"},0)),-N(P38),0)+IF(ISNUMBER(MATCH(Z38,{"Expense|employee","Expense|general_admin","Expense|marketing","Expense|utilities","Expense|other_operating"},0)),-N(N38),0)</f>
        <v/>
      </c>
      <c r="AE38" s="23">
        <f>IF(V38="Liability|payable",-N(F38),0)+IF(W38="Liability|payable",-N(M38),0)+IF(X38="Liability|payable",N(O38),0)+IF(Y38="Liability|payable",N(P38),0)+IF(Z38="Liability|payable",N(N38),0)</f>
        <v/>
      </c>
      <c r="AF38" s="23">
        <f>IF(V38="Liability|accrued",-N(F38),0)+IF(W38="Liability|accrued",-N(M38),0)+IF(X38="Liability|accrued",N(O38),0)+IF(Y38="Liability|accrued",N(P38),0)+IF(Z38="Liability|accrued",N(N38),0)</f>
        <v/>
      </c>
      <c r="AG38" s="23">
        <f>IF(AND(N(F38)&lt;&gt;0,V38=""),1,0)+IF(AND(N(M38)&lt;&gt;0,W38=""),1,0)+IF(AND(N(O38)&lt;&gt;0,X38=""),1,0)+IF(AND(N(P38)&lt;&gt;0,Y38=""),1,0)+IF(AND(N(N38)&lt;&gt;0,Z38=""),1,0)</f>
        <v/>
      </c>
    </row>
    <row r="39">
      <c r="A39" s="19" t="n"/>
      <c r="B39" s="14" t="n"/>
      <c r="C39" s="14" t="n"/>
      <c r="D39" s="14" t="n"/>
      <c r="E39" s="14" t="n"/>
      <c r="F39" s="20" t="n"/>
      <c r="G39" s="20" t="n"/>
      <c r="H39" s="14" t="n"/>
      <c r="I39" s="14" t="n"/>
      <c r="J39" s="14" t="n"/>
      <c r="K39" s="14" t="n"/>
      <c r="L39" s="14" t="n"/>
      <c r="M39" s="21">
        <f>ROUND(N(F39)*IFERROR(VLOOKUP(K39,'Tax Codes'!$A$5:$E$300,5,FALSE),0),2)</f>
        <v/>
      </c>
      <c r="N39" s="21">
        <f>ROUND(N(F39)*IFERROR(VLOOKUP(L39,'Tax Codes'!$A$5:$E$300,5,FALSE),0),2)</f>
        <v/>
      </c>
      <c r="O39" s="21">
        <f>IF(G39="",N(F39)+M39-N39,N(G39))</f>
        <v/>
      </c>
      <c r="P39" s="21">
        <f>N(F39)+M39-N39-O39</f>
        <v/>
      </c>
      <c r="Q39" s="16">
        <f>IF(C39="",INDEX('Chart of Accounts'!$A$5:$A$3000,MATCH("other_overhead",'Chart of Accounts'!$F$5:$F$3000,0)),C39&amp;"")</f>
        <v/>
      </c>
      <c r="R39" s="16">
        <f>IF(I39="",INDEX('Chart of Accounts'!$A$5:$A$3000,MATCH("bank",'Chart of Accounts'!$F$5:$F$3000,0)),I39&amp;"")</f>
        <v/>
      </c>
      <c r="S39" s="16">
        <f>IF(J39="",INDEX('Chart of Accounts'!$A$5:$A$3000,MATCH("ap",'Chart of Accounts'!$F$5:$F$3000,0)),J39&amp;"")</f>
        <v/>
      </c>
      <c r="T39" s="16">
        <f>INDEX('Chart of Accounts'!$A$5:$A$3000,MATCH("vat_input",'Chart of Accounts'!$F$5:$F$3000,0))</f>
        <v/>
      </c>
      <c r="U39" s="16">
        <f>INDEX('Chart of Accounts'!$A$5:$A$3000,MATCH("wht_payable",'Chart of Accounts'!$F$5:$F$3000,0))</f>
        <v/>
      </c>
      <c r="V39" s="23">
        <f>IFERROR(INDEX('Chart of Accounts'!$C$5:$C$3000,MATCH(Q39&amp;"",'Chart of Accounts'!$A$5:$A$3000,0))&amp;"|"&amp;INDEX('Chart of Accounts'!$D$5:$D$3000,MATCH(Q39&amp;"",'Chart of Accounts'!$A$5:$A$3000,0)),"")</f>
        <v/>
      </c>
      <c r="W39" s="23">
        <f>IFERROR(INDEX('Chart of Accounts'!$C$5:$C$3000,MATCH(T39&amp;"",'Chart of Accounts'!$A$5:$A$3000,0))&amp;"|"&amp;INDEX('Chart of Accounts'!$D$5:$D$3000,MATCH(T39&amp;"",'Chart of Accounts'!$A$5:$A$3000,0)),"")</f>
        <v/>
      </c>
      <c r="X39" s="23">
        <f>IFERROR(INDEX('Chart of Accounts'!$C$5:$C$3000,MATCH(R39&amp;"",'Chart of Accounts'!$A$5:$A$3000,0))&amp;"|"&amp;INDEX('Chart of Accounts'!$D$5:$D$3000,MATCH(R39&amp;"",'Chart of Accounts'!$A$5:$A$3000,0)),"")</f>
        <v/>
      </c>
      <c r="Y39" s="23">
        <f>IFERROR(INDEX('Chart of Accounts'!$C$5:$C$3000,MATCH(S39&amp;"",'Chart of Accounts'!$A$5:$A$3000,0))&amp;"|"&amp;INDEX('Chart of Accounts'!$D$5:$D$3000,MATCH(S39&amp;"",'Chart of Accounts'!$A$5:$A$3000,0)),"")</f>
        <v/>
      </c>
      <c r="Z39" s="23">
        <f>IFERROR(INDEX('Chart of Accounts'!$C$5:$C$3000,MATCH(U39&amp;"",'Chart of Accounts'!$A$5:$A$3000,0))&amp;"|"&amp;INDEX('Chart of Accounts'!$D$5:$D$3000,MATCH(U39&amp;"",'Chart of Accounts'!$A$5:$A$3000,0)),"")</f>
        <v/>
      </c>
      <c r="AA39" s="23">
        <f>IF(LEFT(V39,8)="Revenue|",-N(F39),0)+IF(LEFT(W39,8)="Revenue|",-N(M39),0)+IF(LEFT(X39,8)="Revenue|",N(O39),0)+IF(LEFT(Y39,8)="Revenue|",N(P39),0)+IF(LEFT(Z39,8)="Revenue|",N(N39),0)</f>
        <v/>
      </c>
      <c r="AB39" s="23">
        <f>IF(LEFT(V39,5)="COGS|",N(F39),0)+IF(LEFT(W39,5)="COGS|",N(M39),0)+IF(LEFT(X39,5)="COGS|",-N(O39),0)+IF(LEFT(Y39,5)="COGS|",-N(P39),0)+IF(LEFT(Z39,5)="COGS|",-N(N39),0)</f>
        <v/>
      </c>
      <c r="AC39" s="23">
        <f>IF(LEFT(V39,8)="Expense|",N(F39),0)+IF(LEFT(W39,8)="Expense|",N(M39),0)+IF(LEFT(X39,8)="Expense|",-N(O39),0)+IF(LEFT(Y39,8)="Expense|",-N(P39),0)+IF(LEFT(Z39,8)="Expense|",-N(N39),0)</f>
        <v/>
      </c>
      <c r="AD39" s="23">
        <f>IF(ISNUMBER(MATCH(V39,{"Expense|employee","Expense|general_admin","Expense|marketing","Expense|utilities","Expense|other_operating"},0)),N(F39),0)+IF(ISNUMBER(MATCH(W39,{"Expense|employee","Expense|general_admin","Expense|marketing","Expense|utilities","Expense|other_operating"},0)),N(M39),0)+IF(ISNUMBER(MATCH(X39,{"Expense|employee","Expense|general_admin","Expense|marketing","Expense|utilities","Expense|other_operating"},0)),-N(O39),0)+IF(ISNUMBER(MATCH(Y39,{"Expense|employee","Expense|general_admin","Expense|marketing","Expense|utilities","Expense|other_operating"},0)),-N(P39),0)+IF(ISNUMBER(MATCH(Z39,{"Expense|employee","Expense|general_admin","Expense|marketing","Expense|utilities","Expense|other_operating"},0)),-N(N39),0)</f>
        <v/>
      </c>
      <c r="AE39" s="23">
        <f>IF(V39="Liability|payable",-N(F39),0)+IF(W39="Liability|payable",-N(M39),0)+IF(X39="Liability|payable",N(O39),0)+IF(Y39="Liability|payable",N(P39),0)+IF(Z39="Liability|payable",N(N39),0)</f>
        <v/>
      </c>
      <c r="AF39" s="23">
        <f>IF(V39="Liability|accrued",-N(F39),0)+IF(W39="Liability|accrued",-N(M39),0)+IF(X39="Liability|accrued",N(O39),0)+IF(Y39="Liability|accrued",N(P39),0)+IF(Z39="Liability|accrued",N(N39),0)</f>
        <v/>
      </c>
      <c r="AG39" s="23">
        <f>IF(AND(N(F39)&lt;&gt;0,V39=""),1,0)+IF(AND(N(M39)&lt;&gt;0,W39=""),1,0)+IF(AND(N(O39)&lt;&gt;0,X39=""),1,0)+IF(AND(N(P39)&lt;&gt;0,Y39=""),1,0)+IF(AND(N(N39)&lt;&gt;0,Z39=""),1,0)</f>
        <v/>
      </c>
    </row>
    <row r="40">
      <c r="A40" s="19" t="n"/>
      <c r="B40" s="14" t="n"/>
      <c r="C40" s="14" t="n"/>
      <c r="D40" s="14" t="n"/>
      <c r="E40" s="14" t="n"/>
      <c r="F40" s="20" t="n"/>
      <c r="G40" s="20" t="n"/>
      <c r="H40" s="14" t="n"/>
      <c r="I40" s="14" t="n"/>
      <c r="J40" s="14" t="n"/>
      <c r="K40" s="14" t="n"/>
      <c r="L40" s="14" t="n"/>
      <c r="M40" s="21">
        <f>ROUND(N(F40)*IFERROR(VLOOKUP(K40,'Tax Codes'!$A$5:$E$300,5,FALSE),0),2)</f>
        <v/>
      </c>
      <c r="N40" s="21">
        <f>ROUND(N(F40)*IFERROR(VLOOKUP(L40,'Tax Codes'!$A$5:$E$300,5,FALSE),0),2)</f>
        <v/>
      </c>
      <c r="O40" s="21">
        <f>IF(G40="",N(F40)+M40-N40,N(G40))</f>
        <v/>
      </c>
      <c r="P40" s="21">
        <f>N(F40)+M40-N40-O40</f>
        <v/>
      </c>
      <c r="Q40" s="16">
        <f>IF(C40="",INDEX('Chart of Accounts'!$A$5:$A$3000,MATCH("other_overhead",'Chart of Accounts'!$F$5:$F$3000,0)),C40&amp;"")</f>
        <v/>
      </c>
      <c r="R40" s="16">
        <f>IF(I40="",INDEX('Chart of Accounts'!$A$5:$A$3000,MATCH("bank",'Chart of Accounts'!$F$5:$F$3000,0)),I40&amp;"")</f>
        <v/>
      </c>
      <c r="S40" s="16">
        <f>IF(J40="",INDEX('Chart of Accounts'!$A$5:$A$3000,MATCH("ap",'Chart of Accounts'!$F$5:$F$3000,0)),J40&amp;"")</f>
        <v/>
      </c>
      <c r="T40" s="16">
        <f>INDEX('Chart of Accounts'!$A$5:$A$3000,MATCH("vat_input",'Chart of Accounts'!$F$5:$F$3000,0))</f>
        <v/>
      </c>
      <c r="U40" s="16">
        <f>INDEX('Chart of Accounts'!$A$5:$A$3000,MATCH("wht_payable",'Chart of Accounts'!$F$5:$F$3000,0))</f>
        <v/>
      </c>
      <c r="V40" s="23">
        <f>IFERROR(INDEX('Chart of Accounts'!$C$5:$C$3000,MATCH(Q40&amp;"",'Chart of Accounts'!$A$5:$A$3000,0))&amp;"|"&amp;INDEX('Chart of Accounts'!$D$5:$D$3000,MATCH(Q40&amp;"",'Chart of Accounts'!$A$5:$A$3000,0)),"")</f>
        <v/>
      </c>
      <c r="W40" s="23">
        <f>IFERROR(INDEX('Chart of Accounts'!$C$5:$C$3000,MATCH(T40&amp;"",'Chart of Accounts'!$A$5:$A$3000,0))&amp;"|"&amp;INDEX('Chart of Accounts'!$D$5:$D$3000,MATCH(T40&amp;"",'Chart of Accounts'!$A$5:$A$3000,0)),"")</f>
        <v/>
      </c>
      <c r="X40" s="23">
        <f>IFERROR(INDEX('Chart of Accounts'!$C$5:$C$3000,MATCH(R40&amp;"",'Chart of Accounts'!$A$5:$A$3000,0))&amp;"|"&amp;INDEX('Chart of Accounts'!$D$5:$D$3000,MATCH(R40&amp;"",'Chart of Accounts'!$A$5:$A$3000,0)),"")</f>
        <v/>
      </c>
      <c r="Y40" s="23">
        <f>IFERROR(INDEX('Chart of Accounts'!$C$5:$C$3000,MATCH(S40&amp;"",'Chart of Accounts'!$A$5:$A$3000,0))&amp;"|"&amp;INDEX('Chart of Accounts'!$D$5:$D$3000,MATCH(S40&amp;"",'Chart of Accounts'!$A$5:$A$3000,0)),"")</f>
        <v/>
      </c>
      <c r="Z40" s="23">
        <f>IFERROR(INDEX('Chart of Accounts'!$C$5:$C$3000,MATCH(U40&amp;"",'Chart of Accounts'!$A$5:$A$3000,0))&amp;"|"&amp;INDEX('Chart of Accounts'!$D$5:$D$3000,MATCH(U40&amp;"",'Chart of Accounts'!$A$5:$A$3000,0)),"")</f>
        <v/>
      </c>
      <c r="AA40" s="23">
        <f>IF(LEFT(V40,8)="Revenue|",-N(F40),0)+IF(LEFT(W40,8)="Revenue|",-N(M40),0)+IF(LEFT(X40,8)="Revenue|",N(O40),0)+IF(LEFT(Y40,8)="Revenue|",N(P40),0)+IF(LEFT(Z40,8)="Revenue|",N(N40),0)</f>
        <v/>
      </c>
      <c r="AB40" s="23">
        <f>IF(LEFT(V40,5)="COGS|",N(F40),0)+IF(LEFT(W40,5)="COGS|",N(M40),0)+IF(LEFT(X40,5)="COGS|",-N(O40),0)+IF(LEFT(Y40,5)="COGS|",-N(P40),0)+IF(LEFT(Z40,5)="COGS|",-N(N40),0)</f>
        <v/>
      </c>
      <c r="AC40" s="23">
        <f>IF(LEFT(V40,8)="Expense|",N(F40),0)+IF(LEFT(W40,8)="Expense|",N(M40),0)+IF(LEFT(X40,8)="Expense|",-N(O40),0)+IF(LEFT(Y40,8)="Expense|",-N(P40),0)+IF(LEFT(Z40,8)="Expense|",-N(N40),0)</f>
        <v/>
      </c>
      <c r="AD40" s="23">
        <f>IF(ISNUMBER(MATCH(V40,{"Expense|employee","Expense|general_admin","Expense|marketing","Expense|utilities","Expense|other_operating"},0)),N(F40),0)+IF(ISNUMBER(MATCH(W40,{"Expense|employee","Expense|general_admin","Expense|marketing","Expense|utilities","Expense|other_operating"},0)),N(M40),0)+IF(ISNUMBER(MATCH(X40,{"Expense|employee","Expense|general_admin","Expense|marketing","Expense|utilities","Expense|other_operating"},0)),-N(O40),0)+IF(ISNUMBER(MATCH(Y40,{"Expense|employee","Expense|general_admin","Expense|marketing","Expense|utilities","Expense|other_operating"},0)),-N(P40),0)+IF(ISNUMBER(MATCH(Z40,{"Expense|employee","Expense|general_admin","Expense|marketing","Expense|utilities","Expense|other_operating"},0)),-N(N40),0)</f>
        <v/>
      </c>
      <c r="AE40" s="23">
        <f>IF(V40="Liability|payable",-N(F40),0)+IF(W40="Liability|payable",-N(M40),0)+IF(X40="Liability|payable",N(O40),0)+IF(Y40="Liability|payable",N(P40),0)+IF(Z40="Liability|payable",N(N40),0)</f>
        <v/>
      </c>
      <c r="AF40" s="23">
        <f>IF(V40="Liability|accrued",-N(F40),0)+IF(W40="Liability|accrued",-N(M40),0)+IF(X40="Liability|accrued",N(O40),0)+IF(Y40="Liability|accrued",N(P40),0)+IF(Z40="Liability|accrued",N(N40),0)</f>
        <v/>
      </c>
      <c r="AG40" s="23">
        <f>IF(AND(N(F40)&lt;&gt;0,V40=""),1,0)+IF(AND(N(M40)&lt;&gt;0,W40=""),1,0)+IF(AND(N(O40)&lt;&gt;0,X40=""),1,0)+IF(AND(N(P40)&lt;&gt;0,Y40=""),1,0)+IF(AND(N(N40)&lt;&gt;0,Z40=""),1,0)</f>
        <v/>
      </c>
    </row>
    <row r="41">
      <c r="A41" s="19" t="n"/>
      <c r="B41" s="14" t="n"/>
      <c r="C41" s="14" t="n"/>
      <c r="D41" s="14" t="n"/>
      <c r="E41" s="14" t="n"/>
      <c r="F41" s="20" t="n"/>
      <c r="G41" s="20" t="n"/>
      <c r="H41" s="14" t="n"/>
      <c r="I41" s="14" t="n"/>
      <c r="J41" s="14" t="n"/>
      <c r="K41" s="14" t="n"/>
      <c r="L41" s="14" t="n"/>
      <c r="M41" s="21">
        <f>ROUND(N(F41)*IFERROR(VLOOKUP(K41,'Tax Codes'!$A$5:$E$300,5,FALSE),0),2)</f>
        <v/>
      </c>
      <c r="N41" s="21">
        <f>ROUND(N(F41)*IFERROR(VLOOKUP(L41,'Tax Codes'!$A$5:$E$300,5,FALSE),0),2)</f>
        <v/>
      </c>
      <c r="O41" s="21">
        <f>IF(G41="",N(F41)+M41-N41,N(G41))</f>
        <v/>
      </c>
      <c r="P41" s="21">
        <f>N(F41)+M41-N41-O41</f>
        <v/>
      </c>
      <c r="Q41" s="16">
        <f>IF(C41="",INDEX('Chart of Accounts'!$A$5:$A$3000,MATCH("other_overhead",'Chart of Accounts'!$F$5:$F$3000,0)),C41&amp;"")</f>
        <v/>
      </c>
      <c r="R41" s="16">
        <f>IF(I41="",INDEX('Chart of Accounts'!$A$5:$A$3000,MATCH("bank",'Chart of Accounts'!$F$5:$F$3000,0)),I41&amp;"")</f>
        <v/>
      </c>
      <c r="S41" s="16">
        <f>IF(J41="",INDEX('Chart of Accounts'!$A$5:$A$3000,MATCH("ap",'Chart of Accounts'!$F$5:$F$3000,0)),J41&amp;"")</f>
        <v/>
      </c>
      <c r="T41" s="16">
        <f>INDEX('Chart of Accounts'!$A$5:$A$3000,MATCH("vat_input",'Chart of Accounts'!$F$5:$F$3000,0))</f>
        <v/>
      </c>
      <c r="U41" s="16">
        <f>INDEX('Chart of Accounts'!$A$5:$A$3000,MATCH("wht_payable",'Chart of Accounts'!$F$5:$F$3000,0))</f>
        <v/>
      </c>
      <c r="V41" s="23">
        <f>IFERROR(INDEX('Chart of Accounts'!$C$5:$C$3000,MATCH(Q41&amp;"",'Chart of Accounts'!$A$5:$A$3000,0))&amp;"|"&amp;INDEX('Chart of Accounts'!$D$5:$D$3000,MATCH(Q41&amp;"",'Chart of Accounts'!$A$5:$A$3000,0)),"")</f>
        <v/>
      </c>
      <c r="W41" s="23">
        <f>IFERROR(INDEX('Chart of Accounts'!$C$5:$C$3000,MATCH(T41&amp;"",'Chart of Accounts'!$A$5:$A$3000,0))&amp;"|"&amp;INDEX('Chart of Accounts'!$D$5:$D$3000,MATCH(T41&amp;"",'Chart of Accounts'!$A$5:$A$3000,0)),"")</f>
        <v/>
      </c>
      <c r="X41" s="23">
        <f>IFERROR(INDEX('Chart of Accounts'!$C$5:$C$3000,MATCH(R41&amp;"",'Chart of Accounts'!$A$5:$A$3000,0))&amp;"|"&amp;INDEX('Chart of Accounts'!$D$5:$D$3000,MATCH(R41&amp;"",'Chart of Accounts'!$A$5:$A$3000,0)),"")</f>
        <v/>
      </c>
      <c r="Y41" s="23">
        <f>IFERROR(INDEX('Chart of Accounts'!$C$5:$C$3000,MATCH(S41&amp;"",'Chart of Accounts'!$A$5:$A$3000,0))&amp;"|"&amp;INDEX('Chart of Accounts'!$D$5:$D$3000,MATCH(S41&amp;"",'Chart of Accounts'!$A$5:$A$3000,0)),"")</f>
        <v/>
      </c>
      <c r="Z41" s="23">
        <f>IFERROR(INDEX('Chart of Accounts'!$C$5:$C$3000,MATCH(U41&amp;"",'Chart of Accounts'!$A$5:$A$3000,0))&amp;"|"&amp;INDEX('Chart of Accounts'!$D$5:$D$3000,MATCH(U41&amp;"",'Chart of Accounts'!$A$5:$A$3000,0)),"")</f>
        <v/>
      </c>
      <c r="AA41" s="23">
        <f>IF(LEFT(V41,8)="Revenue|",-N(F41),0)+IF(LEFT(W41,8)="Revenue|",-N(M41),0)+IF(LEFT(X41,8)="Revenue|",N(O41),0)+IF(LEFT(Y41,8)="Revenue|",N(P41),0)+IF(LEFT(Z41,8)="Revenue|",N(N41),0)</f>
        <v/>
      </c>
      <c r="AB41" s="23">
        <f>IF(LEFT(V41,5)="COGS|",N(F41),0)+IF(LEFT(W41,5)="COGS|",N(M41),0)+IF(LEFT(X41,5)="COGS|",-N(O41),0)+IF(LEFT(Y41,5)="COGS|",-N(P41),0)+IF(LEFT(Z41,5)="COGS|",-N(N41),0)</f>
        <v/>
      </c>
      <c r="AC41" s="23">
        <f>IF(LEFT(V41,8)="Expense|",N(F41),0)+IF(LEFT(W41,8)="Expense|",N(M41),0)+IF(LEFT(X41,8)="Expense|",-N(O41),0)+IF(LEFT(Y41,8)="Expense|",-N(P41),0)+IF(LEFT(Z41,8)="Expense|",-N(N41),0)</f>
        <v/>
      </c>
      <c r="AD41" s="23">
        <f>IF(ISNUMBER(MATCH(V41,{"Expense|employee","Expense|general_admin","Expense|marketing","Expense|utilities","Expense|other_operating"},0)),N(F41),0)+IF(ISNUMBER(MATCH(W41,{"Expense|employee","Expense|general_admin","Expense|marketing","Expense|utilities","Expense|other_operating"},0)),N(M41),0)+IF(ISNUMBER(MATCH(X41,{"Expense|employee","Expense|general_admin","Expense|marketing","Expense|utilities","Expense|other_operating"},0)),-N(O41),0)+IF(ISNUMBER(MATCH(Y41,{"Expense|employee","Expense|general_admin","Expense|marketing","Expense|utilities","Expense|other_operating"},0)),-N(P41),0)+IF(ISNUMBER(MATCH(Z41,{"Expense|employee","Expense|general_admin","Expense|marketing","Expense|utilities","Expense|other_operating"},0)),-N(N41),0)</f>
        <v/>
      </c>
      <c r="AE41" s="23">
        <f>IF(V41="Liability|payable",-N(F41),0)+IF(W41="Liability|payable",-N(M41),0)+IF(X41="Liability|payable",N(O41),0)+IF(Y41="Liability|payable",N(P41),0)+IF(Z41="Liability|payable",N(N41),0)</f>
        <v/>
      </c>
      <c r="AF41" s="23">
        <f>IF(V41="Liability|accrued",-N(F41),0)+IF(W41="Liability|accrued",-N(M41),0)+IF(X41="Liability|accrued",N(O41),0)+IF(Y41="Liability|accrued",N(P41),0)+IF(Z41="Liability|accrued",N(N41),0)</f>
        <v/>
      </c>
      <c r="AG41" s="23">
        <f>IF(AND(N(F41)&lt;&gt;0,V41=""),1,0)+IF(AND(N(M41)&lt;&gt;0,W41=""),1,0)+IF(AND(N(O41)&lt;&gt;0,X41=""),1,0)+IF(AND(N(P41)&lt;&gt;0,Y41=""),1,0)+IF(AND(N(N41)&lt;&gt;0,Z41=""),1,0)</f>
        <v/>
      </c>
    </row>
    <row r="42">
      <c r="A42" s="19" t="n"/>
      <c r="B42" s="14" t="n"/>
      <c r="C42" s="14" t="n"/>
      <c r="D42" s="14" t="n"/>
      <c r="E42" s="14" t="n"/>
      <c r="F42" s="20" t="n"/>
      <c r="G42" s="20" t="n"/>
      <c r="H42" s="14" t="n"/>
      <c r="I42" s="14" t="n"/>
      <c r="J42" s="14" t="n"/>
      <c r="K42" s="14" t="n"/>
      <c r="L42" s="14" t="n"/>
      <c r="M42" s="21">
        <f>ROUND(N(F42)*IFERROR(VLOOKUP(K42,'Tax Codes'!$A$5:$E$300,5,FALSE),0),2)</f>
        <v/>
      </c>
      <c r="N42" s="21">
        <f>ROUND(N(F42)*IFERROR(VLOOKUP(L42,'Tax Codes'!$A$5:$E$300,5,FALSE),0),2)</f>
        <v/>
      </c>
      <c r="O42" s="21">
        <f>IF(G42="",N(F42)+M42-N42,N(G42))</f>
        <v/>
      </c>
      <c r="P42" s="21">
        <f>N(F42)+M42-N42-O42</f>
        <v/>
      </c>
      <c r="Q42" s="16">
        <f>IF(C42="",INDEX('Chart of Accounts'!$A$5:$A$3000,MATCH("other_overhead",'Chart of Accounts'!$F$5:$F$3000,0)),C42&amp;"")</f>
        <v/>
      </c>
      <c r="R42" s="16">
        <f>IF(I42="",INDEX('Chart of Accounts'!$A$5:$A$3000,MATCH("bank",'Chart of Accounts'!$F$5:$F$3000,0)),I42&amp;"")</f>
        <v/>
      </c>
      <c r="S42" s="16">
        <f>IF(J42="",INDEX('Chart of Accounts'!$A$5:$A$3000,MATCH("ap",'Chart of Accounts'!$F$5:$F$3000,0)),J42&amp;"")</f>
        <v/>
      </c>
      <c r="T42" s="16">
        <f>INDEX('Chart of Accounts'!$A$5:$A$3000,MATCH("vat_input",'Chart of Accounts'!$F$5:$F$3000,0))</f>
        <v/>
      </c>
      <c r="U42" s="16">
        <f>INDEX('Chart of Accounts'!$A$5:$A$3000,MATCH("wht_payable",'Chart of Accounts'!$F$5:$F$3000,0))</f>
        <v/>
      </c>
      <c r="V42" s="23">
        <f>IFERROR(INDEX('Chart of Accounts'!$C$5:$C$3000,MATCH(Q42&amp;"",'Chart of Accounts'!$A$5:$A$3000,0))&amp;"|"&amp;INDEX('Chart of Accounts'!$D$5:$D$3000,MATCH(Q42&amp;"",'Chart of Accounts'!$A$5:$A$3000,0)),"")</f>
        <v/>
      </c>
      <c r="W42" s="23">
        <f>IFERROR(INDEX('Chart of Accounts'!$C$5:$C$3000,MATCH(T42&amp;"",'Chart of Accounts'!$A$5:$A$3000,0))&amp;"|"&amp;INDEX('Chart of Accounts'!$D$5:$D$3000,MATCH(T42&amp;"",'Chart of Accounts'!$A$5:$A$3000,0)),"")</f>
        <v/>
      </c>
      <c r="X42" s="23">
        <f>IFERROR(INDEX('Chart of Accounts'!$C$5:$C$3000,MATCH(R42&amp;"",'Chart of Accounts'!$A$5:$A$3000,0))&amp;"|"&amp;INDEX('Chart of Accounts'!$D$5:$D$3000,MATCH(R42&amp;"",'Chart of Accounts'!$A$5:$A$3000,0)),"")</f>
        <v/>
      </c>
      <c r="Y42" s="23">
        <f>IFERROR(INDEX('Chart of Accounts'!$C$5:$C$3000,MATCH(S42&amp;"",'Chart of Accounts'!$A$5:$A$3000,0))&amp;"|"&amp;INDEX('Chart of Accounts'!$D$5:$D$3000,MATCH(S42&amp;"",'Chart of Accounts'!$A$5:$A$3000,0)),"")</f>
        <v/>
      </c>
      <c r="Z42" s="23">
        <f>IFERROR(INDEX('Chart of Accounts'!$C$5:$C$3000,MATCH(U42&amp;"",'Chart of Accounts'!$A$5:$A$3000,0))&amp;"|"&amp;INDEX('Chart of Accounts'!$D$5:$D$3000,MATCH(U42&amp;"",'Chart of Accounts'!$A$5:$A$3000,0)),"")</f>
        <v/>
      </c>
      <c r="AA42" s="23">
        <f>IF(LEFT(V42,8)="Revenue|",-N(F42),0)+IF(LEFT(W42,8)="Revenue|",-N(M42),0)+IF(LEFT(X42,8)="Revenue|",N(O42),0)+IF(LEFT(Y42,8)="Revenue|",N(P42),0)+IF(LEFT(Z42,8)="Revenue|",N(N42),0)</f>
        <v/>
      </c>
      <c r="AB42" s="23">
        <f>IF(LEFT(V42,5)="COGS|",N(F42),0)+IF(LEFT(W42,5)="COGS|",N(M42),0)+IF(LEFT(X42,5)="COGS|",-N(O42),0)+IF(LEFT(Y42,5)="COGS|",-N(P42),0)+IF(LEFT(Z42,5)="COGS|",-N(N42),0)</f>
        <v/>
      </c>
      <c r="AC42" s="23">
        <f>IF(LEFT(V42,8)="Expense|",N(F42),0)+IF(LEFT(W42,8)="Expense|",N(M42),0)+IF(LEFT(X42,8)="Expense|",-N(O42),0)+IF(LEFT(Y42,8)="Expense|",-N(P42),0)+IF(LEFT(Z42,8)="Expense|",-N(N42),0)</f>
        <v/>
      </c>
      <c r="AD42" s="23">
        <f>IF(ISNUMBER(MATCH(V42,{"Expense|employee","Expense|general_admin","Expense|marketing","Expense|utilities","Expense|other_operating"},0)),N(F42),0)+IF(ISNUMBER(MATCH(W42,{"Expense|employee","Expense|general_admin","Expense|marketing","Expense|utilities","Expense|other_operating"},0)),N(M42),0)+IF(ISNUMBER(MATCH(X42,{"Expense|employee","Expense|general_admin","Expense|marketing","Expense|utilities","Expense|other_operating"},0)),-N(O42),0)+IF(ISNUMBER(MATCH(Y42,{"Expense|employee","Expense|general_admin","Expense|marketing","Expense|utilities","Expense|other_operating"},0)),-N(P42),0)+IF(ISNUMBER(MATCH(Z42,{"Expense|employee","Expense|general_admin","Expense|marketing","Expense|utilities","Expense|other_operating"},0)),-N(N42),0)</f>
        <v/>
      </c>
      <c r="AE42" s="23">
        <f>IF(V42="Liability|payable",-N(F42),0)+IF(W42="Liability|payable",-N(M42),0)+IF(X42="Liability|payable",N(O42),0)+IF(Y42="Liability|payable",N(P42),0)+IF(Z42="Liability|payable",N(N42),0)</f>
        <v/>
      </c>
      <c r="AF42" s="23">
        <f>IF(V42="Liability|accrued",-N(F42),0)+IF(W42="Liability|accrued",-N(M42),0)+IF(X42="Liability|accrued",N(O42),0)+IF(Y42="Liability|accrued",N(P42),0)+IF(Z42="Liability|accrued",N(N42),0)</f>
        <v/>
      </c>
      <c r="AG42" s="23">
        <f>IF(AND(N(F42)&lt;&gt;0,V42=""),1,0)+IF(AND(N(M42)&lt;&gt;0,W42=""),1,0)+IF(AND(N(O42)&lt;&gt;0,X42=""),1,0)+IF(AND(N(P42)&lt;&gt;0,Y42=""),1,0)+IF(AND(N(N42)&lt;&gt;0,Z42=""),1,0)</f>
        <v/>
      </c>
    </row>
    <row r="43">
      <c r="A43" s="19" t="n"/>
      <c r="B43" s="14" t="n"/>
      <c r="C43" s="14" t="n"/>
      <c r="D43" s="14" t="n"/>
      <c r="E43" s="14" t="n"/>
      <c r="F43" s="20" t="n"/>
      <c r="G43" s="20" t="n"/>
      <c r="H43" s="14" t="n"/>
      <c r="I43" s="14" t="n"/>
      <c r="J43" s="14" t="n"/>
      <c r="K43" s="14" t="n"/>
      <c r="L43" s="14" t="n"/>
      <c r="M43" s="21">
        <f>ROUND(N(F43)*IFERROR(VLOOKUP(K43,'Tax Codes'!$A$5:$E$300,5,FALSE),0),2)</f>
        <v/>
      </c>
      <c r="N43" s="21">
        <f>ROUND(N(F43)*IFERROR(VLOOKUP(L43,'Tax Codes'!$A$5:$E$300,5,FALSE),0),2)</f>
        <v/>
      </c>
      <c r="O43" s="21">
        <f>IF(G43="",N(F43)+M43-N43,N(G43))</f>
        <v/>
      </c>
      <c r="P43" s="21">
        <f>N(F43)+M43-N43-O43</f>
        <v/>
      </c>
      <c r="Q43" s="16">
        <f>IF(C43="",INDEX('Chart of Accounts'!$A$5:$A$3000,MATCH("other_overhead",'Chart of Accounts'!$F$5:$F$3000,0)),C43&amp;"")</f>
        <v/>
      </c>
      <c r="R43" s="16">
        <f>IF(I43="",INDEX('Chart of Accounts'!$A$5:$A$3000,MATCH("bank",'Chart of Accounts'!$F$5:$F$3000,0)),I43&amp;"")</f>
        <v/>
      </c>
      <c r="S43" s="16">
        <f>IF(J43="",INDEX('Chart of Accounts'!$A$5:$A$3000,MATCH("ap",'Chart of Accounts'!$F$5:$F$3000,0)),J43&amp;"")</f>
        <v/>
      </c>
      <c r="T43" s="16">
        <f>INDEX('Chart of Accounts'!$A$5:$A$3000,MATCH("vat_input",'Chart of Accounts'!$F$5:$F$3000,0))</f>
        <v/>
      </c>
      <c r="U43" s="16">
        <f>INDEX('Chart of Accounts'!$A$5:$A$3000,MATCH("wht_payable",'Chart of Accounts'!$F$5:$F$3000,0))</f>
        <v/>
      </c>
      <c r="V43" s="23">
        <f>IFERROR(INDEX('Chart of Accounts'!$C$5:$C$3000,MATCH(Q43&amp;"",'Chart of Accounts'!$A$5:$A$3000,0))&amp;"|"&amp;INDEX('Chart of Accounts'!$D$5:$D$3000,MATCH(Q43&amp;"",'Chart of Accounts'!$A$5:$A$3000,0)),"")</f>
        <v/>
      </c>
      <c r="W43" s="23">
        <f>IFERROR(INDEX('Chart of Accounts'!$C$5:$C$3000,MATCH(T43&amp;"",'Chart of Accounts'!$A$5:$A$3000,0))&amp;"|"&amp;INDEX('Chart of Accounts'!$D$5:$D$3000,MATCH(T43&amp;"",'Chart of Accounts'!$A$5:$A$3000,0)),"")</f>
        <v/>
      </c>
      <c r="X43" s="23">
        <f>IFERROR(INDEX('Chart of Accounts'!$C$5:$C$3000,MATCH(R43&amp;"",'Chart of Accounts'!$A$5:$A$3000,0))&amp;"|"&amp;INDEX('Chart of Accounts'!$D$5:$D$3000,MATCH(R43&amp;"",'Chart of Accounts'!$A$5:$A$3000,0)),"")</f>
        <v/>
      </c>
      <c r="Y43" s="23">
        <f>IFERROR(INDEX('Chart of Accounts'!$C$5:$C$3000,MATCH(S43&amp;"",'Chart of Accounts'!$A$5:$A$3000,0))&amp;"|"&amp;INDEX('Chart of Accounts'!$D$5:$D$3000,MATCH(S43&amp;"",'Chart of Accounts'!$A$5:$A$3000,0)),"")</f>
        <v/>
      </c>
      <c r="Z43" s="23">
        <f>IFERROR(INDEX('Chart of Accounts'!$C$5:$C$3000,MATCH(U43&amp;"",'Chart of Accounts'!$A$5:$A$3000,0))&amp;"|"&amp;INDEX('Chart of Accounts'!$D$5:$D$3000,MATCH(U43&amp;"",'Chart of Accounts'!$A$5:$A$3000,0)),"")</f>
        <v/>
      </c>
      <c r="AA43" s="23">
        <f>IF(LEFT(V43,8)="Revenue|",-N(F43),0)+IF(LEFT(W43,8)="Revenue|",-N(M43),0)+IF(LEFT(X43,8)="Revenue|",N(O43),0)+IF(LEFT(Y43,8)="Revenue|",N(P43),0)+IF(LEFT(Z43,8)="Revenue|",N(N43),0)</f>
        <v/>
      </c>
      <c r="AB43" s="23">
        <f>IF(LEFT(V43,5)="COGS|",N(F43),0)+IF(LEFT(W43,5)="COGS|",N(M43),0)+IF(LEFT(X43,5)="COGS|",-N(O43),0)+IF(LEFT(Y43,5)="COGS|",-N(P43),0)+IF(LEFT(Z43,5)="COGS|",-N(N43),0)</f>
        <v/>
      </c>
      <c r="AC43" s="23">
        <f>IF(LEFT(V43,8)="Expense|",N(F43),0)+IF(LEFT(W43,8)="Expense|",N(M43),0)+IF(LEFT(X43,8)="Expense|",-N(O43),0)+IF(LEFT(Y43,8)="Expense|",-N(P43),0)+IF(LEFT(Z43,8)="Expense|",-N(N43),0)</f>
        <v/>
      </c>
      <c r="AD43" s="23">
        <f>IF(ISNUMBER(MATCH(V43,{"Expense|employee","Expense|general_admin","Expense|marketing","Expense|utilities","Expense|other_operating"},0)),N(F43),0)+IF(ISNUMBER(MATCH(W43,{"Expense|employee","Expense|general_admin","Expense|marketing","Expense|utilities","Expense|other_operating"},0)),N(M43),0)+IF(ISNUMBER(MATCH(X43,{"Expense|employee","Expense|general_admin","Expense|marketing","Expense|utilities","Expense|other_operating"},0)),-N(O43),0)+IF(ISNUMBER(MATCH(Y43,{"Expense|employee","Expense|general_admin","Expense|marketing","Expense|utilities","Expense|other_operating"},0)),-N(P43),0)+IF(ISNUMBER(MATCH(Z43,{"Expense|employee","Expense|general_admin","Expense|marketing","Expense|utilities","Expense|other_operating"},0)),-N(N43),0)</f>
        <v/>
      </c>
      <c r="AE43" s="23">
        <f>IF(V43="Liability|payable",-N(F43),0)+IF(W43="Liability|payable",-N(M43),0)+IF(X43="Liability|payable",N(O43),0)+IF(Y43="Liability|payable",N(P43),0)+IF(Z43="Liability|payable",N(N43),0)</f>
        <v/>
      </c>
      <c r="AF43" s="23">
        <f>IF(V43="Liability|accrued",-N(F43),0)+IF(W43="Liability|accrued",-N(M43),0)+IF(X43="Liability|accrued",N(O43),0)+IF(Y43="Liability|accrued",N(P43),0)+IF(Z43="Liability|accrued",N(N43),0)</f>
        <v/>
      </c>
      <c r="AG43" s="23">
        <f>IF(AND(N(F43)&lt;&gt;0,V43=""),1,0)+IF(AND(N(M43)&lt;&gt;0,W43=""),1,0)+IF(AND(N(O43)&lt;&gt;0,X43=""),1,0)+IF(AND(N(P43)&lt;&gt;0,Y43=""),1,0)+IF(AND(N(N43)&lt;&gt;0,Z43=""),1,0)</f>
        <v/>
      </c>
    </row>
    <row r="44">
      <c r="A44" s="19" t="n"/>
      <c r="B44" s="14" t="n"/>
      <c r="C44" s="14" t="n"/>
      <c r="D44" s="14" t="n"/>
      <c r="E44" s="14" t="n"/>
      <c r="F44" s="20" t="n"/>
      <c r="G44" s="20" t="n"/>
      <c r="H44" s="14" t="n"/>
      <c r="I44" s="14" t="n"/>
      <c r="J44" s="14" t="n"/>
      <c r="K44" s="14" t="n"/>
      <c r="L44" s="14" t="n"/>
      <c r="M44" s="21">
        <f>ROUND(N(F44)*IFERROR(VLOOKUP(K44,'Tax Codes'!$A$5:$E$300,5,FALSE),0),2)</f>
        <v/>
      </c>
      <c r="N44" s="21">
        <f>ROUND(N(F44)*IFERROR(VLOOKUP(L44,'Tax Codes'!$A$5:$E$300,5,FALSE),0),2)</f>
        <v/>
      </c>
      <c r="O44" s="21">
        <f>IF(G44="",N(F44)+M44-N44,N(G44))</f>
        <v/>
      </c>
      <c r="P44" s="21">
        <f>N(F44)+M44-N44-O44</f>
        <v/>
      </c>
      <c r="Q44" s="16">
        <f>IF(C44="",INDEX('Chart of Accounts'!$A$5:$A$3000,MATCH("other_overhead",'Chart of Accounts'!$F$5:$F$3000,0)),C44&amp;"")</f>
        <v/>
      </c>
      <c r="R44" s="16">
        <f>IF(I44="",INDEX('Chart of Accounts'!$A$5:$A$3000,MATCH("bank",'Chart of Accounts'!$F$5:$F$3000,0)),I44&amp;"")</f>
        <v/>
      </c>
      <c r="S44" s="16">
        <f>IF(J44="",INDEX('Chart of Accounts'!$A$5:$A$3000,MATCH("ap",'Chart of Accounts'!$F$5:$F$3000,0)),J44&amp;"")</f>
        <v/>
      </c>
      <c r="T44" s="16">
        <f>INDEX('Chart of Accounts'!$A$5:$A$3000,MATCH("vat_input",'Chart of Accounts'!$F$5:$F$3000,0))</f>
        <v/>
      </c>
      <c r="U44" s="16">
        <f>INDEX('Chart of Accounts'!$A$5:$A$3000,MATCH("wht_payable",'Chart of Accounts'!$F$5:$F$3000,0))</f>
        <v/>
      </c>
      <c r="V44" s="23">
        <f>IFERROR(INDEX('Chart of Accounts'!$C$5:$C$3000,MATCH(Q44&amp;"",'Chart of Accounts'!$A$5:$A$3000,0))&amp;"|"&amp;INDEX('Chart of Accounts'!$D$5:$D$3000,MATCH(Q44&amp;"",'Chart of Accounts'!$A$5:$A$3000,0)),"")</f>
        <v/>
      </c>
      <c r="W44" s="23">
        <f>IFERROR(INDEX('Chart of Accounts'!$C$5:$C$3000,MATCH(T44&amp;"",'Chart of Accounts'!$A$5:$A$3000,0))&amp;"|"&amp;INDEX('Chart of Accounts'!$D$5:$D$3000,MATCH(T44&amp;"",'Chart of Accounts'!$A$5:$A$3000,0)),"")</f>
        <v/>
      </c>
      <c r="X44" s="23">
        <f>IFERROR(INDEX('Chart of Accounts'!$C$5:$C$3000,MATCH(R44&amp;"",'Chart of Accounts'!$A$5:$A$3000,0))&amp;"|"&amp;INDEX('Chart of Accounts'!$D$5:$D$3000,MATCH(R44&amp;"",'Chart of Accounts'!$A$5:$A$3000,0)),"")</f>
        <v/>
      </c>
      <c r="Y44" s="23">
        <f>IFERROR(INDEX('Chart of Accounts'!$C$5:$C$3000,MATCH(S44&amp;"",'Chart of Accounts'!$A$5:$A$3000,0))&amp;"|"&amp;INDEX('Chart of Accounts'!$D$5:$D$3000,MATCH(S44&amp;"",'Chart of Accounts'!$A$5:$A$3000,0)),"")</f>
        <v/>
      </c>
      <c r="Z44" s="23">
        <f>IFERROR(INDEX('Chart of Accounts'!$C$5:$C$3000,MATCH(U44&amp;"",'Chart of Accounts'!$A$5:$A$3000,0))&amp;"|"&amp;INDEX('Chart of Accounts'!$D$5:$D$3000,MATCH(U44&amp;"",'Chart of Accounts'!$A$5:$A$3000,0)),"")</f>
        <v/>
      </c>
      <c r="AA44" s="23">
        <f>IF(LEFT(V44,8)="Revenue|",-N(F44),0)+IF(LEFT(W44,8)="Revenue|",-N(M44),0)+IF(LEFT(X44,8)="Revenue|",N(O44),0)+IF(LEFT(Y44,8)="Revenue|",N(P44),0)+IF(LEFT(Z44,8)="Revenue|",N(N44),0)</f>
        <v/>
      </c>
      <c r="AB44" s="23">
        <f>IF(LEFT(V44,5)="COGS|",N(F44),0)+IF(LEFT(W44,5)="COGS|",N(M44),0)+IF(LEFT(X44,5)="COGS|",-N(O44),0)+IF(LEFT(Y44,5)="COGS|",-N(P44),0)+IF(LEFT(Z44,5)="COGS|",-N(N44),0)</f>
        <v/>
      </c>
      <c r="AC44" s="23">
        <f>IF(LEFT(V44,8)="Expense|",N(F44),0)+IF(LEFT(W44,8)="Expense|",N(M44),0)+IF(LEFT(X44,8)="Expense|",-N(O44),0)+IF(LEFT(Y44,8)="Expense|",-N(P44),0)+IF(LEFT(Z44,8)="Expense|",-N(N44),0)</f>
        <v/>
      </c>
      <c r="AD44" s="23">
        <f>IF(ISNUMBER(MATCH(V44,{"Expense|employee","Expense|general_admin","Expense|marketing","Expense|utilities","Expense|other_operating"},0)),N(F44),0)+IF(ISNUMBER(MATCH(W44,{"Expense|employee","Expense|general_admin","Expense|marketing","Expense|utilities","Expense|other_operating"},0)),N(M44),0)+IF(ISNUMBER(MATCH(X44,{"Expense|employee","Expense|general_admin","Expense|marketing","Expense|utilities","Expense|other_operating"},0)),-N(O44),0)+IF(ISNUMBER(MATCH(Y44,{"Expense|employee","Expense|general_admin","Expense|marketing","Expense|utilities","Expense|other_operating"},0)),-N(P44),0)+IF(ISNUMBER(MATCH(Z44,{"Expense|employee","Expense|general_admin","Expense|marketing","Expense|utilities","Expense|other_operating"},0)),-N(N44),0)</f>
        <v/>
      </c>
      <c r="AE44" s="23">
        <f>IF(V44="Liability|payable",-N(F44),0)+IF(W44="Liability|payable",-N(M44),0)+IF(X44="Liability|payable",N(O44),0)+IF(Y44="Liability|payable",N(P44),0)+IF(Z44="Liability|payable",N(N44),0)</f>
        <v/>
      </c>
      <c r="AF44" s="23">
        <f>IF(V44="Liability|accrued",-N(F44),0)+IF(W44="Liability|accrued",-N(M44),0)+IF(X44="Liability|accrued",N(O44),0)+IF(Y44="Liability|accrued",N(P44),0)+IF(Z44="Liability|accrued",N(N44),0)</f>
        <v/>
      </c>
      <c r="AG44" s="23">
        <f>IF(AND(N(F44)&lt;&gt;0,V44=""),1,0)+IF(AND(N(M44)&lt;&gt;0,W44=""),1,0)+IF(AND(N(O44)&lt;&gt;0,X44=""),1,0)+IF(AND(N(P44)&lt;&gt;0,Y44=""),1,0)+IF(AND(N(N44)&lt;&gt;0,Z44=""),1,0)</f>
        <v/>
      </c>
    </row>
    <row r="45">
      <c r="A45" s="19" t="n"/>
      <c r="B45" s="14" t="n"/>
      <c r="C45" s="14" t="n"/>
      <c r="D45" s="14" t="n"/>
      <c r="E45" s="14" t="n"/>
      <c r="F45" s="20" t="n"/>
      <c r="G45" s="20" t="n"/>
      <c r="H45" s="14" t="n"/>
      <c r="I45" s="14" t="n"/>
      <c r="J45" s="14" t="n"/>
      <c r="K45" s="14" t="n"/>
      <c r="L45" s="14" t="n"/>
      <c r="M45" s="21">
        <f>ROUND(N(F45)*IFERROR(VLOOKUP(K45,'Tax Codes'!$A$5:$E$300,5,FALSE),0),2)</f>
        <v/>
      </c>
      <c r="N45" s="21">
        <f>ROUND(N(F45)*IFERROR(VLOOKUP(L45,'Tax Codes'!$A$5:$E$300,5,FALSE),0),2)</f>
        <v/>
      </c>
      <c r="O45" s="21">
        <f>IF(G45="",N(F45)+M45-N45,N(G45))</f>
        <v/>
      </c>
      <c r="P45" s="21">
        <f>N(F45)+M45-N45-O45</f>
        <v/>
      </c>
      <c r="Q45" s="16">
        <f>IF(C45="",INDEX('Chart of Accounts'!$A$5:$A$3000,MATCH("other_overhead",'Chart of Accounts'!$F$5:$F$3000,0)),C45&amp;"")</f>
        <v/>
      </c>
      <c r="R45" s="16">
        <f>IF(I45="",INDEX('Chart of Accounts'!$A$5:$A$3000,MATCH("bank",'Chart of Accounts'!$F$5:$F$3000,0)),I45&amp;"")</f>
        <v/>
      </c>
      <c r="S45" s="16">
        <f>IF(J45="",INDEX('Chart of Accounts'!$A$5:$A$3000,MATCH("ap",'Chart of Accounts'!$F$5:$F$3000,0)),J45&amp;"")</f>
        <v/>
      </c>
      <c r="T45" s="16">
        <f>INDEX('Chart of Accounts'!$A$5:$A$3000,MATCH("vat_input",'Chart of Accounts'!$F$5:$F$3000,0))</f>
        <v/>
      </c>
      <c r="U45" s="16">
        <f>INDEX('Chart of Accounts'!$A$5:$A$3000,MATCH("wht_payable",'Chart of Accounts'!$F$5:$F$3000,0))</f>
        <v/>
      </c>
      <c r="V45" s="23">
        <f>IFERROR(INDEX('Chart of Accounts'!$C$5:$C$3000,MATCH(Q45&amp;"",'Chart of Accounts'!$A$5:$A$3000,0))&amp;"|"&amp;INDEX('Chart of Accounts'!$D$5:$D$3000,MATCH(Q45&amp;"",'Chart of Accounts'!$A$5:$A$3000,0)),"")</f>
        <v/>
      </c>
      <c r="W45" s="23">
        <f>IFERROR(INDEX('Chart of Accounts'!$C$5:$C$3000,MATCH(T45&amp;"",'Chart of Accounts'!$A$5:$A$3000,0))&amp;"|"&amp;INDEX('Chart of Accounts'!$D$5:$D$3000,MATCH(T45&amp;"",'Chart of Accounts'!$A$5:$A$3000,0)),"")</f>
        <v/>
      </c>
      <c r="X45" s="23">
        <f>IFERROR(INDEX('Chart of Accounts'!$C$5:$C$3000,MATCH(R45&amp;"",'Chart of Accounts'!$A$5:$A$3000,0))&amp;"|"&amp;INDEX('Chart of Accounts'!$D$5:$D$3000,MATCH(R45&amp;"",'Chart of Accounts'!$A$5:$A$3000,0)),"")</f>
        <v/>
      </c>
      <c r="Y45" s="23">
        <f>IFERROR(INDEX('Chart of Accounts'!$C$5:$C$3000,MATCH(S45&amp;"",'Chart of Accounts'!$A$5:$A$3000,0))&amp;"|"&amp;INDEX('Chart of Accounts'!$D$5:$D$3000,MATCH(S45&amp;"",'Chart of Accounts'!$A$5:$A$3000,0)),"")</f>
        <v/>
      </c>
      <c r="Z45" s="23">
        <f>IFERROR(INDEX('Chart of Accounts'!$C$5:$C$3000,MATCH(U45&amp;"",'Chart of Accounts'!$A$5:$A$3000,0))&amp;"|"&amp;INDEX('Chart of Accounts'!$D$5:$D$3000,MATCH(U45&amp;"",'Chart of Accounts'!$A$5:$A$3000,0)),"")</f>
        <v/>
      </c>
      <c r="AA45" s="23">
        <f>IF(LEFT(V45,8)="Revenue|",-N(F45),0)+IF(LEFT(W45,8)="Revenue|",-N(M45),0)+IF(LEFT(X45,8)="Revenue|",N(O45),0)+IF(LEFT(Y45,8)="Revenue|",N(P45),0)+IF(LEFT(Z45,8)="Revenue|",N(N45),0)</f>
        <v/>
      </c>
      <c r="AB45" s="23">
        <f>IF(LEFT(V45,5)="COGS|",N(F45),0)+IF(LEFT(W45,5)="COGS|",N(M45),0)+IF(LEFT(X45,5)="COGS|",-N(O45),0)+IF(LEFT(Y45,5)="COGS|",-N(P45),0)+IF(LEFT(Z45,5)="COGS|",-N(N45),0)</f>
        <v/>
      </c>
      <c r="AC45" s="23">
        <f>IF(LEFT(V45,8)="Expense|",N(F45),0)+IF(LEFT(W45,8)="Expense|",N(M45),0)+IF(LEFT(X45,8)="Expense|",-N(O45),0)+IF(LEFT(Y45,8)="Expense|",-N(P45),0)+IF(LEFT(Z45,8)="Expense|",-N(N45),0)</f>
        <v/>
      </c>
      <c r="AD45" s="23">
        <f>IF(ISNUMBER(MATCH(V45,{"Expense|employee","Expense|general_admin","Expense|marketing","Expense|utilities","Expense|other_operating"},0)),N(F45),0)+IF(ISNUMBER(MATCH(W45,{"Expense|employee","Expense|general_admin","Expense|marketing","Expense|utilities","Expense|other_operating"},0)),N(M45),0)+IF(ISNUMBER(MATCH(X45,{"Expense|employee","Expense|general_admin","Expense|marketing","Expense|utilities","Expense|other_operating"},0)),-N(O45),0)+IF(ISNUMBER(MATCH(Y45,{"Expense|employee","Expense|general_admin","Expense|marketing","Expense|utilities","Expense|other_operating"},0)),-N(P45),0)+IF(ISNUMBER(MATCH(Z45,{"Expense|employee","Expense|general_admin","Expense|marketing","Expense|utilities","Expense|other_operating"},0)),-N(N45),0)</f>
        <v/>
      </c>
      <c r="AE45" s="23">
        <f>IF(V45="Liability|payable",-N(F45),0)+IF(W45="Liability|payable",-N(M45),0)+IF(X45="Liability|payable",N(O45),0)+IF(Y45="Liability|payable",N(P45),0)+IF(Z45="Liability|payable",N(N45),0)</f>
        <v/>
      </c>
      <c r="AF45" s="23">
        <f>IF(V45="Liability|accrued",-N(F45),0)+IF(W45="Liability|accrued",-N(M45),0)+IF(X45="Liability|accrued",N(O45),0)+IF(Y45="Liability|accrued",N(P45),0)+IF(Z45="Liability|accrued",N(N45),0)</f>
        <v/>
      </c>
      <c r="AG45" s="23">
        <f>IF(AND(N(F45)&lt;&gt;0,V45=""),1,0)+IF(AND(N(M45)&lt;&gt;0,W45=""),1,0)+IF(AND(N(O45)&lt;&gt;0,X45=""),1,0)+IF(AND(N(P45)&lt;&gt;0,Y45=""),1,0)+IF(AND(N(N45)&lt;&gt;0,Z45=""),1,0)</f>
        <v/>
      </c>
    </row>
    <row r="46">
      <c r="A46" s="19" t="n"/>
      <c r="B46" s="14" t="n"/>
      <c r="C46" s="14" t="n"/>
      <c r="D46" s="14" t="n"/>
      <c r="E46" s="14" t="n"/>
      <c r="F46" s="20" t="n"/>
      <c r="G46" s="20" t="n"/>
      <c r="H46" s="14" t="n"/>
      <c r="I46" s="14" t="n"/>
      <c r="J46" s="14" t="n"/>
      <c r="K46" s="14" t="n"/>
      <c r="L46" s="14" t="n"/>
      <c r="M46" s="21">
        <f>ROUND(N(F46)*IFERROR(VLOOKUP(K46,'Tax Codes'!$A$5:$E$300,5,FALSE),0),2)</f>
        <v/>
      </c>
      <c r="N46" s="21">
        <f>ROUND(N(F46)*IFERROR(VLOOKUP(L46,'Tax Codes'!$A$5:$E$300,5,FALSE),0),2)</f>
        <v/>
      </c>
      <c r="O46" s="21">
        <f>IF(G46="",N(F46)+M46-N46,N(G46))</f>
        <v/>
      </c>
      <c r="P46" s="21">
        <f>N(F46)+M46-N46-O46</f>
        <v/>
      </c>
      <c r="Q46" s="16">
        <f>IF(C46="",INDEX('Chart of Accounts'!$A$5:$A$3000,MATCH("other_overhead",'Chart of Accounts'!$F$5:$F$3000,0)),C46&amp;"")</f>
        <v/>
      </c>
      <c r="R46" s="16">
        <f>IF(I46="",INDEX('Chart of Accounts'!$A$5:$A$3000,MATCH("bank",'Chart of Accounts'!$F$5:$F$3000,0)),I46&amp;"")</f>
        <v/>
      </c>
      <c r="S46" s="16">
        <f>IF(J46="",INDEX('Chart of Accounts'!$A$5:$A$3000,MATCH("ap",'Chart of Accounts'!$F$5:$F$3000,0)),J46&amp;"")</f>
        <v/>
      </c>
      <c r="T46" s="16">
        <f>INDEX('Chart of Accounts'!$A$5:$A$3000,MATCH("vat_input",'Chart of Accounts'!$F$5:$F$3000,0))</f>
        <v/>
      </c>
      <c r="U46" s="16">
        <f>INDEX('Chart of Accounts'!$A$5:$A$3000,MATCH("wht_payable",'Chart of Accounts'!$F$5:$F$3000,0))</f>
        <v/>
      </c>
      <c r="V46" s="23">
        <f>IFERROR(INDEX('Chart of Accounts'!$C$5:$C$3000,MATCH(Q46&amp;"",'Chart of Accounts'!$A$5:$A$3000,0))&amp;"|"&amp;INDEX('Chart of Accounts'!$D$5:$D$3000,MATCH(Q46&amp;"",'Chart of Accounts'!$A$5:$A$3000,0)),"")</f>
        <v/>
      </c>
      <c r="W46" s="23">
        <f>IFERROR(INDEX('Chart of Accounts'!$C$5:$C$3000,MATCH(T46&amp;"",'Chart of Accounts'!$A$5:$A$3000,0))&amp;"|"&amp;INDEX('Chart of Accounts'!$D$5:$D$3000,MATCH(T46&amp;"",'Chart of Accounts'!$A$5:$A$3000,0)),"")</f>
        <v/>
      </c>
      <c r="X46" s="23">
        <f>IFERROR(INDEX('Chart of Accounts'!$C$5:$C$3000,MATCH(R46&amp;"",'Chart of Accounts'!$A$5:$A$3000,0))&amp;"|"&amp;INDEX('Chart of Accounts'!$D$5:$D$3000,MATCH(R46&amp;"",'Chart of Accounts'!$A$5:$A$3000,0)),"")</f>
        <v/>
      </c>
      <c r="Y46" s="23">
        <f>IFERROR(INDEX('Chart of Accounts'!$C$5:$C$3000,MATCH(S46&amp;"",'Chart of Accounts'!$A$5:$A$3000,0))&amp;"|"&amp;INDEX('Chart of Accounts'!$D$5:$D$3000,MATCH(S46&amp;"",'Chart of Accounts'!$A$5:$A$3000,0)),"")</f>
        <v/>
      </c>
      <c r="Z46" s="23">
        <f>IFERROR(INDEX('Chart of Accounts'!$C$5:$C$3000,MATCH(U46&amp;"",'Chart of Accounts'!$A$5:$A$3000,0))&amp;"|"&amp;INDEX('Chart of Accounts'!$D$5:$D$3000,MATCH(U46&amp;"",'Chart of Accounts'!$A$5:$A$3000,0)),"")</f>
        <v/>
      </c>
      <c r="AA46" s="23">
        <f>IF(LEFT(V46,8)="Revenue|",-N(F46),0)+IF(LEFT(W46,8)="Revenue|",-N(M46),0)+IF(LEFT(X46,8)="Revenue|",N(O46),0)+IF(LEFT(Y46,8)="Revenue|",N(P46),0)+IF(LEFT(Z46,8)="Revenue|",N(N46),0)</f>
        <v/>
      </c>
      <c r="AB46" s="23">
        <f>IF(LEFT(V46,5)="COGS|",N(F46),0)+IF(LEFT(W46,5)="COGS|",N(M46),0)+IF(LEFT(X46,5)="COGS|",-N(O46),0)+IF(LEFT(Y46,5)="COGS|",-N(P46),0)+IF(LEFT(Z46,5)="COGS|",-N(N46),0)</f>
        <v/>
      </c>
      <c r="AC46" s="23">
        <f>IF(LEFT(V46,8)="Expense|",N(F46),0)+IF(LEFT(W46,8)="Expense|",N(M46),0)+IF(LEFT(X46,8)="Expense|",-N(O46),0)+IF(LEFT(Y46,8)="Expense|",-N(P46),0)+IF(LEFT(Z46,8)="Expense|",-N(N46),0)</f>
        <v/>
      </c>
      <c r="AD46" s="23">
        <f>IF(ISNUMBER(MATCH(V46,{"Expense|employee","Expense|general_admin","Expense|marketing","Expense|utilities","Expense|other_operating"},0)),N(F46),0)+IF(ISNUMBER(MATCH(W46,{"Expense|employee","Expense|general_admin","Expense|marketing","Expense|utilities","Expense|other_operating"},0)),N(M46),0)+IF(ISNUMBER(MATCH(X46,{"Expense|employee","Expense|general_admin","Expense|marketing","Expense|utilities","Expense|other_operating"},0)),-N(O46),0)+IF(ISNUMBER(MATCH(Y46,{"Expense|employee","Expense|general_admin","Expense|marketing","Expense|utilities","Expense|other_operating"},0)),-N(P46),0)+IF(ISNUMBER(MATCH(Z46,{"Expense|employee","Expense|general_admin","Expense|marketing","Expense|utilities","Expense|other_operating"},0)),-N(N46),0)</f>
        <v/>
      </c>
      <c r="AE46" s="23">
        <f>IF(V46="Liability|payable",-N(F46),0)+IF(W46="Liability|payable",-N(M46),0)+IF(X46="Liability|payable",N(O46),0)+IF(Y46="Liability|payable",N(P46),0)+IF(Z46="Liability|payable",N(N46),0)</f>
        <v/>
      </c>
      <c r="AF46" s="23">
        <f>IF(V46="Liability|accrued",-N(F46),0)+IF(W46="Liability|accrued",-N(M46),0)+IF(X46="Liability|accrued",N(O46),0)+IF(Y46="Liability|accrued",N(P46),0)+IF(Z46="Liability|accrued",N(N46),0)</f>
        <v/>
      </c>
      <c r="AG46" s="23">
        <f>IF(AND(N(F46)&lt;&gt;0,V46=""),1,0)+IF(AND(N(M46)&lt;&gt;0,W46=""),1,0)+IF(AND(N(O46)&lt;&gt;0,X46=""),1,0)+IF(AND(N(P46)&lt;&gt;0,Y46=""),1,0)+IF(AND(N(N46)&lt;&gt;0,Z46=""),1,0)</f>
        <v/>
      </c>
    </row>
    <row r="47">
      <c r="A47" s="19" t="n"/>
      <c r="B47" s="14" t="n"/>
      <c r="C47" s="14" t="n"/>
      <c r="D47" s="14" t="n"/>
      <c r="E47" s="14" t="n"/>
      <c r="F47" s="20" t="n"/>
      <c r="G47" s="20" t="n"/>
      <c r="H47" s="14" t="n"/>
      <c r="I47" s="14" t="n"/>
      <c r="J47" s="14" t="n"/>
      <c r="K47" s="14" t="n"/>
      <c r="L47" s="14" t="n"/>
      <c r="M47" s="21">
        <f>ROUND(N(F47)*IFERROR(VLOOKUP(K47,'Tax Codes'!$A$5:$E$300,5,FALSE),0),2)</f>
        <v/>
      </c>
      <c r="N47" s="21">
        <f>ROUND(N(F47)*IFERROR(VLOOKUP(L47,'Tax Codes'!$A$5:$E$300,5,FALSE),0),2)</f>
        <v/>
      </c>
      <c r="O47" s="21">
        <f>IF(G47="",N(F47)+M47-N47,N(G47))</f>
        <v/>
      </c>
      <c r="P47" s="21">
        <f>N(F47)+M47-N47-O47</f>
        <v/>
      </c>
      <c r="Q47" s="16">
        <f>IF(C47="",INDEX('Chart of Accounts'!$A$5:$A$3000,MATCH("other_overhead",'Chart of Accounts'!$F$5:$F$3000,0)),C47&amp;"")</f>
        <v/>
      </c>
      <c r="R47" s="16">
        <f>IF(I47="",INDEX('Chart of Accounts'!$A$5:$A$3000,MATCH("bank",'Chart of Accounts'!$F$5:$F$3000,0)),I47&amp;"")</f>
        <v/>
      </c>
      <c r="S47" s="16">
        <f>IF(J47="",INDEX('Chart of Accounts'!$A$5:$A$3000,MATCH("ap",'Chart of Accounts'!$F$5:$F$3000,0)),J47&amp;"")</f>
        <v/>
      </c>
      <c r="T47" s="16">
        <f>INDEX('Chart of Accounts'!$A$5:$A$3000,MATCH("vat_input",'Chart of Accounts'!$F$5:$F$3000,0))</f>
        <v/>
      </c>
      <c r="U47" s="16">
        <f>INDEX('Chart of Accounts'!$A$5:$A$3000,MATCH("wht_payable",'Chart of Accounts'!$F$5:$F$3000,0))</f>
        <v/>
      </c>
      <c r="V47" s="23">
        <f>IFERROR(INDEX('Chart of Accounts'!$C$5:$C$3000,MATCH(Q47&amp;"",'Chart of Accounts'!$A$5:$A$3000,0))&amp;"|"&amp;INDEX('Chart of Accounts'!$D$5:$D$3000,MATCH(Q47&amp;"",'Chart of Accounts'!$A$5:$A$3000,0)),"")</f>
        <v/>
      </c>
      <c r="W47" s="23">
        <f>IFERROR(INDEX('Chart of Accounts'!$C$5:$C$3000,MATCH(T47&amp;"",'Chart of Accounts'!$A$5:$A$3000,0))&amp;"|"&amp;INDEX('Chart of Accounts'!$D$5:$D$3000,MATCH(T47&amp;"",'Chart of Accounts'!$A$5:$A$3000,0)),"")</f>
        <v/>
      </c>
      <c r="X47" s="23">
        <f>IFERROR(INDEX('Chart of Accounts'!$C$5:$C$3000,MATCH(R47&amp;"",'Chart of Accounts'!$A$5:$A$3000,0))&amp;"|"&amp;INDEX('Chart of Accounts'!$D$5:$D$3000,MATCH(R47&amp;"",'Chart of Accounts'!$A$5:$A$3000,0)),"")</f>
        <v/>
      </c>
      <c r="Y47" s="23">
        <f>IFERROR(INDEX('Chart of Accounts'!$C$5:$C$3000,MATCH(S47&amp;"",'Chart of Accounts'!$A$5:$A$3000,0))&amp;"|"&amp;INDEX('Chart of Accounts'!$D$5:$D$3000,MATCH(S47&amp;"",'Chart of Accounts'!$A$5:$A$3000,0)),"")</f>
        <v/>
      </c>
      <c r="Z47" s="23">
        <f>IFERROR(INDEX('Chart of Accounts'!$C$5:$C$3000,MATCH(U47&amp;"",'Chart of Accounts'!$A$5:$A$3000,0))&amp;"|"&amp;INDEX('Chart of Accounts'!$D$5:$D$3000,MATCH(U47&amp;"",'Chart of Accounts'!$A$5:$A$3000,0)),"")</f>
        <v/>
      </c>
      <c r="AA47" s="23">
        <f>IF(LEFT(V47,8)="Revenue|",-N(F47),0)+IF(LEFT(W47,8)="Revenue|",-N(M47),0)+IF(LEFT(X47,8)="Revenue|",N(O47),0)+IF(LEFT(Y47,8)="Revenue|",N(P47),0)+IF(LEFT(Z47,8)="Revenue|",N(N47),0)</f>
        <v/>
      </c>
      <c r="AB47" s="23">
        <f>IF(LEFT(V47,5)="COGS|",N(F47),0)+IF(LEFT(W47,5)="COGS|",N(M47),0)+IF(LEFT(X47,5)="COGS|",-N(O47),0)+IF(LEFT(Y47,5)="COGS|",-N(P47),0)+IF(LEFT(Z47,5)="COGS|",-N(N47),0)</f>
        <v/>
      </c>
      <c r="AC47" s="23">
        <f>IF(LEFT(V47,8)="Expense|",N(F47),0)+IF(LEFT(W47,8)="Expense|",N(M47),0)+IF(LEFT(X47,8)="Expense|",-N(O47),0)+IF(LEFT(Y47,8)="Expense|",-N(P47),0)+IF(LEFT(Z47,8)="Expense|",-N(N47),0)</f>
        <v/>
      </c>
      <c r="AD47" s="23">
        <f>IF(ISNUMBER(MATCH(V47,{"Expense|employee","Expense|general_admin","Expense|marketing","Expense|utilities","Expense|other_operating"},0)),N(F47),0)+IF(ISNUMBER(MATCH(W47,{"Expense|employee","Expense|general_admin","Expense|marketing","Expense|utilities","Expense|other_operating"},0)),N(M47),0)+IF(ISNUMBER(MATCH(X47,{"Expense|employee","Expense|general_admin","Expense|marketing","Expense|utilities","Expense|other_operating"},0)),-N(O47),0)+IF(ISNUMBER(MATCH(Y47,{"Expense|employee","Expense|general_admin","Expense|marketing","Expense|utilities","Expense|other_operating"},0)),-N(P47),0)+IF(ISNUMBER(MATCH(Z47,{"Expense|employee","Expense|general_admin","Expense|marketing","Expense|utilities","Expense|other_operating"},0)),-N(N47),0)</f>
        <v/>
      </c>
      <c r="AE47" s="23">
        <f>IF(V47="Liability|payable",-N(F47),0)+IF(W47="Liability|payable",-N(M47),0)+IF(X47="Liability|payable",N(O47),0)+IF(Y47="Liability|payable",N(P47),0)+IF(Z47="Liability|payable",N(N47),0)</f>
        <v/>
      </c>
      <c r="AF47" s="23">
        <f>IF(V47="Liability|accrued",-N(F47),0)+IF(W47="Liability|accrued",-N(M47),0)+IF(X47="Liability|accrued",N(O47),0)+IF(Y47="Liability|accrued",N(P47),0)+IF(Z47="Liability|accrued",N(N47),0)</f>
        <v/>
      </c>
      <c r="AG47" s="23">
        <f>IF(AND(N(F47)&lt;&gt;0,V47=""),1,0)+IF(AND(N(M47)&lt;&gt;0,W47=""),1,0)+IF(AND(N(O47)&lt;&gt;0,X47=""),1,0)+IF(AND(N(P47)&lt;&gt;0,Y47=""),1,0)+IF(AND(N(N47)&lt;&gt;0,Z47=""),1,0)</f>
        <v/>
      </c>
    </row>
    <row r="48">
      <c r="A48" s="19" t="n"/>
      <c r="B48" s="14" t="n"/>
      <c r="C48" s="14" t="n"/>
      <c r="D48" s="14" t="n"/>
      <c r="E48" s="14" t="n"/>
      <c r="F48" s="20" t="n"/>
      <c r="G48" s="20" t="n"/>
      <c r="H48" s="14" t="n"/>
      <c r="I48" s="14" t="n"/>
      <c r="J48" s="14" t="n"/>
      <c r="K48" s="14" t="n"/>
      <c r="L48" s="14" t="n"/>
      <c r="M48" s="21">
        <f>ROUND(N(F48)*IFERROR(VLOOKUP(K48,'Tax Codes'!$A$5:$E$300,5,FALSE),0),2)</f>
        <v/>
      </c>
      <c r="N48" s="21">
        <f>ROUND(N(F48)*IFERROR(VLOOKUP(L48,'Tax Codes'!$A$5:$E$300,5,FALSE),0),2)</f>
        <v/>
      </c>
      <c r="O48" s="21">
        <f>IF(G48="",N(F48)+M48-N48,N(G48))</f>
        <v/>
      </c>
      <c r="P48" s="21">
        <f>N(F48)+M48-N48-O48</f>
        <v/>
      </c>
      <c r="Q48" s="16">
        <f>IF(C48="",INDEX('Chart of Accounts'!$A$5:$A$3000,MATCH("other_overhead",'Chart of Accounts'!$F$5:$F$3000,0)),C48&amp;"")</f>
        <v/>
      </c>
      <c r="R48" s="16">
        <f>IF(I48="",INDEX('Chart of Accounts'!$A$5:$A$3000,MATCH("bank",'Chart of Accounts'!$F$5:$F$3000,0)),I48&amp;"")</f>
        <v/>
      </c>
      <c r="S48" s="16">
        <f>IF(J48="",INDEX('Chart of Accounts'!$A$5:$A$3000,MATCH("ap",'Chart of Accounts'!$F$5:$F$3000,0)),J48&amp;"")</f>
        <v/>
      </c>
      <c r="T48" s="16">
        <f>INDEX('Chart of Accounts'!$A$5:$A$3000,MATCH("vat_input",'Chart of Accounts'!$F$5:$F$3000,0))</f>
        <v/>
      </c>
      <c r="U48" s="16">
        <f>INDEX('Chart of Accounts'!$A$5:$A$3000,MATCH("wht_payable",'Chart of Accounts'!$F$5:$F$3000,0))</f>
        <v/>
      </c>
      <c r="V48" s="23">
        <f>IFERROR(INDEX('Chart of Accounts'!$C$5:$C$3000,MATCH(Q48&amp;"",'Chart of Accounts'!$A$5:$A$3000,0))&amp;"|"&amp;INDEX('Chart of Accounts'!$D$5:$D$3000,MATCH(Q48&amp;"",'Chart of Accounts'!$A$5:$A$3000,0)),"")</f>
        <v/>
      </c>
      <c r="W48" s="23">
        <f>IFERROR(INDEX('Chart of Accounts'!$C$5:$C$3000,MATCH(T48&amp;"",'Chart of Accounts'!$A$5:$A$3000,0))&amp;"|"&amp;INDEX('Chart of Accounts'!$D$5:$D$3000,MATCH(T48&amp;"",'Chart of Accounts'!$A$5:$A$3000,0)),"")</f>
        <v/>
      </c>
      <c r="X48" s="23">
        <f>IFERROR(INDEX('Chart of Accounts'!$C$5:$C$3000,MATCH(R48&amp;"",'Chart of Accounts'!$A$5:$A$3000,0))&amp;"|"&amp;INDEX('Chart of Accounts'!$D$5:$D$3000,MATCH(R48&amp;"",'Chart of Accounts'!$A$5:$A$3000,0)),"")</f>
        <v/>
      </c>
      <c r="Y48" s="23">
        <f>IFERROR(INDEX('Chart of Accounts'!$C$5:$C$3000,MATCH(S48&amp;"",'Chart of Accounts'!$A$5:$A$3000,0))&amp;"|"&amp;INDEX('Chart of Accounts'!$D$5:$D$3000,MATCH(S48&amp;"",'Chart of Accounts'!$A$5:$A$3000,0)),"")</f>
        <v/>
      </c>
      <c r="Z48" s="23">
        <f>IFERROR(INDEX('Chart of Accounts'!$C$5:$C$3000,MATCH(U48&amp;"",'Chart of Accounts'!$A$5:$A$3000,0))&amp;"|"&amp;INDEX('Chart of Accounts'!$D$5:$D$3000,MATCH(U48&amp;"",'Chart of Accounts'!$A$5:$A$3000,0)),"")</f>
        <v/>
      </c>
      <c r="AA48" s="23">
        <f>IF(LEFT(V48,8)="Revenue|",-N(F48),0)+IF(LEFT(W48,8)="Revenue|",-N(M48),0)+IF(LEFT(X48,8)="Revenue|",N(O48),0)+IF(LEFT(Y48,8)="Revenue|",N(P48),0)+IF(LEFT(Z48,8)="Revenue|",N(N48),0)</f>
        <v/>
      </c>
      <c r="AB48" s="23">
        <f>IF(LEFT(V48,5)="COGS|",N(F48),0)+IF(LEFT(W48,5)="COGS|",N(M48),0)+IF(LEFT(X48,5)="COGS|",-N(O48),0)+IF(LEFT(Y48,5)="COGS|",-N(P48),0)+IF(LEFT(Z48,5)="COGS|",-N(N48),0)</f>
        <v/>
      </c>
      <c r="AC48" s="23">
        <f>IF(LEFT(V48,8)="Expense|",N(F48),0)+IF(LEFT(W48,8)="Expense|",N(M48),0)+IF(LEFT(X48,8)="Expense|",-N(O48),0)+IF(LEFT(Y48,8)="Expense|",-N(P48),0)+IF(LEFT(Z48,8)="Expense|",-N(N48),0)</f>
        <v/>
      </c>
      <c r="AD48" s="23">
        <f>IF(ISNUMBER(MATCH(V48,{"Expense|employee","Expense|general_admin","Expense|marketing","Expense|utilities","Expense|other_operating"},0)),N(F48),0)+IF(ISNUMBER(MATCH(W48,{"Expense|employee","Expense|general_admin","Expense|marketing","Expense|utilities","Expense|other_operating"},0)),N(M48),0)+IF(ISNUMBER(MATCH(X48,{"Expense|employee","Expense|general_admin","Expense|marketing","Expense|utilities","Expense|other_operating"},0)),-N(O48),0)+IF(ISNUMBER(MATCH(Y48,{"Expense|employee","Expense|general_admin","Expense|marketing","Expense|utilities","Expense|other_operating"},0)),-N(P48),0)+IF(ISNUMBER(MATCH(Z48,{"Expense|employee","Expense|general_admin","Expense|marketing","Expense|utilities","Expense|other_operating"},0)),-N(N48),0)</f>
        <v/>
      </c>
      <c r="AE48" s="23">
        <f>IF(V48="Liability|payable",-N(F48),0)+IF(W48="Liability|payable",-N(M48),0)+IF(X48="Liability|payable",N(O48),0)+IF(Y48="Liability|payable",N(P48),0)+IF(Z48="Liability|payable",N(N48),0)</f>
        <v/>
      </c>
      <c r="AF48" s="23">
        <f>IF(V48="Liability|accrued",-N(F48),0)+IF(W48="Liability|accrued",-N(M48),0)+IF(X48="Liability|accrued",N(O48),0)+IF(Y48="Liability|accrued",N(P48),0)+IF(Z48="Liability|accrued",N(N48),0)</f>
        <v/>
      </c>
      <c r="AG48" s="23">
        <f>IF(AND(N(F48)&lt;&gt;0,V48=""),1,0)+IF(AND(N(M48)&lt;&gt;0,W48=""),1,0)+IF(AND(N(O48)&lt;&gt;0,X48=""),1,0)+IF(AND(N(P48)&lt;&gt;0,Y48=""),1,0)+IF(AND(N(N48)&lt;&gt;0,Z48=""),1,0)</f>
        <v/>
      </c>
    </row>
    <row r="49">
      <c r="A49" s="19" t="n"/>
      <c r="B49" s="14" t="n"/>
      <c r="C49" s="14" t="n"/>
      <c r="D49" s="14" t="n"/>
      <c r="E49" s="14" t="n"/>
      <c r="F49" s="20" t="n"/>
      <c r="G49" s="20" t="n"/>
      <c r="H49" s="14" t="n"/>
      <c r="I49" s="14" t="n"/>
      <c r="J49" s="14" t="n"/>
      <c r="K49" s="14" t="n"/>
      <c r="L49" s="14" t="n"/>
      <c r="M49" s="21">
        <f>ROUND(N(F49)*IFERROR(VLOOKUP(K49,'Tax Codes'!$A$5:$E$300,5,FALSE),0),2)</f>
        <v/>
      </c>
      <c r="N49" s="21">
        <f>ROUND(N(F49)*IFERROR(VLOOKUP(L49,'Tax Codes'!$A$5:$E$300,5,FALSE),0),2)</f>
        <v/>
      </c>
      <c r="O49" s="21">
        <f>IF(G49="",N(F49)+M49-N49,N(G49))</f>
        <v/>
      </c>
      <c r="P49" s="21">
        <f>N(F49)+M49-N49-O49</f>
        <v/>
      </c>
      <c r="Q49" s="16">
        <f>IF(C49="",INDEX('Chart of Accounts'!$A$5:$A$3000,MATCH("other_overhead",'Chart of Accounts'!$F$5:$F$3000,0)),C49&amp;"")</f>
        <v/>
      </c>
      <c r="R49" s="16">
        <f>IF(I49="",INDEX('Chart of Accounts'!$A$5:$A$3000,MATCH("bank",'Chart of Accounts'!$F$5:$F$3000,0)),I49&amp;"")</f>
        <v/>
      </c>
      <c r="S49" s="16">
        <f>IF(J49="",INDEX('Chart of Accounts'!$A$5:$A$3000,MATCH("ap",'Chart of Accounts'!$F$5:$F$3000,0)),J49&amp;"")</f>
        <v/>
      </c>
      <c r="T49" s="16">
        <f>INDEX('Chart of Accounts'!$A$5:$A$3000,MATCH("vat_input",'Chart of Accounts'!$F$5:$F$3000,0))</f>
        <v/>
      </c>
      <c r="U49" s="16">
        <f>INDEX('Chart of Accounts'!$A$5:$A$3000,MATCH("wht_payable",'Chart of Accounts'!$F$5:$F$3000,0))</f>
        <v/>
      </c>
      <c r="V49" s="23">
        <f>IFERROR(INDEX('Chart of Accounts'!$C$5:$C$3000,MATCH(Q49&amp;"",'Chart of Accounts'!$A$5:$A$3000,0))&amp;"|"&amp;INDEX('Chart of Accounts'!$D$5:$D$3000,MATCH(Q49&amp;"",'Chart of Accounts'!$A$5:$A$3000,0)),"")</f>
        <v/>
      </c>
      <c r="W49" s="23">
        <f>IFERROR(INDEX('Chart of Accounts'!$C$5:$C$3000,MATCH(T49&amp;"",'Chart of Accounts'!$A$5:$A$3000,0))&amp;"|"&amp;INDEX('Chart of Accounts'!$D$5:$D$3000,MATCH(T49&amp;"",'Chart of Accounts'!$A$5:$A$3000,0)),"")</f>
        <v/>
      </c>
      <c r="X49" s="23">
        <f>IFERROR(INDEX('Chart of Accounts'!$C$5:$C$3000,MATCH(R49&amp;"",'Chart of Accounts'!$A$5:$A$3000,0))&amp;"|"&amp;INDEX('Chart of Accounts'!$D$5:$D$3000,MATCH(R49&amp;"",'Chart of Accounts'!$A$5:$A$3000,0)),"")</f>
        <v/>
      </c>
      <c r="Y49" s="23">
        <f>IFERROR(INDEX('Chart of Accounts'!$C$5:$C$3000,MATCH(S49&amp;"",'Chart of Accounts'!$A$5:$A$3000,0))&amp;"|"&amp;INDEX('Chart of Accounts'!$D$5:$D$3000,MATCH(S49&amp;"",'Chart of Accounts'!$A$5:$A$3000,0)),"")</f>
        <v/>
      </c>
      <c r="Z49" s="23">
        <f>IFERROR(INDEX('Chart of Accounts'!$C$5:$C$3000,MATCH(U49&amp;"",'Chart of Accounts'!$A$5:$A$3000,0))&amp;"|"&amp;INDEX('Chart of Accounts'!$D$5:$D$3000,MATCH(U49&amp;"",'Chart of Accounts'!$A$5:$A$3000,0)),"")</f>
        <v/>
      </c>
      <c r="AA49" s="23">
        <f>IF(LEFT(V49,8)="Revenue|",-N(F49),0)+IF(LEFT(W49,8)="Revenue|",-N(M49),0)+IF(LEFT(X49,8)="Revenue|",N(O49),0)+IF(LEFT(Y49,8)="Revenue|",N(P49),0)+IF(LEFT(Z49,8)="Revenue|",N(N49),0)</f>
        <v/>
      </c>
      <c r="AB49" s="23">
        <f>IF(LEFT(V49,5)="COGS|",N(F49),0)+IF(LEFT(W49,5)="COGS|",N(M49),0)+IF(LEFT(X49,5)="COGS|",-N(O49),0)+IF(LEFT(Y49,5)="COGS|",-N(P49),0)+IF(LEFT(Z49,5)="COGS|",-N(N49),0)</f>
        <v/>
      </c>
      <c r="AC49" s="23">
        <f>IF(LEFT(V49,8)="Expense|",N(F49),0)+IF(LEFT(W49,8)="Expense|",N(M49),0)+IF(LEFT(X49,8)="Expense|",-N(O49),0)+IF(LEFT(Y49,8)="Expense|",-N(P49),0)+IF(LEFT(Z49,8)="Expense|",-N(N49),0)</f>
        <v/>
      </c>
      <c r="AD49" s="23">
        <f>IF(ISNUMBER(MATCH(V49,{"Expense|employee","Expense|general_admin","Expense|marketing","Expense|utilities","Expense|other_operating"},0)),N(F49),0)+IF(ISNUMBER(MATCH(W49,{"Expense|employee","Expense|general_admin","Expense|marketing","Expense|utilities","Expense|other_operating"},0)),N(M49),0)+IF(ISNUMBER(MATCH(X49,{"Expense|employee","Expense|general_admin","Expense|marketing","Expense|utilities","Expense|other_operating"},0)),-N(O49),0)+IF(ISNUMBER(MATCH(Y49,{"Expense|employee","Expense|general_admin","Expense|marketing","Expense|utilities","Expense|other_operating"},0)),-N(P49),0)+IF(ISNUMBER(MATCH(Z49,{"Expense|employee","Expense|general_admin","Expense|marketing","Expense|utilities","Expense|other_operating"},0)),-N(N49),0)</f>
        <v/>
      </c>
      <c r="AE49" s="23">
        <f>IF(V49="Liability|payable",-N(F49),0)+IF(W49="Liability|payable",-N(M49),0)+IF(X49="Liability|payable",N(O49),0)+IF(Y49="Liability|payable",N(P49),0)+IF(Z49="Liability|payable",N(N49),0)</f>
        <v/>
      </c>
      <c r="AF49" s="23">
        <f>IF(V49="Liability|accrued",-N(F49),0)+IF(W49="Liability|accrued",-N(M49),0)+IF(X49="Liability|accrued",N(O49),0)+IF(Y49="Liability|accrued",N(P49),0)+IF(Z49="Liability|accrued",N(N49),0)</f>
        <v/>
      </c>
      <c r="AG49" s="23">
        <f>IF(AND(N(F49)&lt;&gt;0,V49=""),1,0)+IF(AND(N(M49)&lt;&gt;0,W49=""),1,0)+IF(AND(N(O49)&lt;&gt;0,X49=""),1,0)+IF(AND(N(P49)&lt;&gt;0,Y49=""),1,0)+IF(AND(N(N49)&lt;&gt;0,Z49=""),1,0)</f>
        <v/>
      </c>
    </row>
    <row r="50">
      <c r="A50" s="19" t="n"/>
      <c r="B50" s="14" t="n"/>
      <c r="C50" s="14" t="n"/>
      <c r="D50" s="14" t="n"/>
      <c r="E50" s="14" t="n"/>
      <c r="F50" s="20" t="n"/>
      <c r="G50" s="20" t="n"/>
      <c r="H50" s="14" t="n"/>
      <c r="I50" s="14" t="n"/>
      <c r="J50" s="14" t="n"/>
      <c r="K50" s="14" t="n"/>
      <c r="L50" s="14" t="n"/>
      <c r="M50" s="21">
        <f>ROUND(N(F50)*IFERROR(VLOOKUP(K50,'Tax Codes'!$A$5:$E$300,5,FALSE),0),2)</f>
        <v/>
      </c>
      <c r="N50" s="21">
        <f>ROUND(N(F50)*IFERROR(VLOOKUP(L50,'Tax Codes'!$A$5:$E$300,5,FALSE),0),2)</f>
        <v/>
      </c>
      <c r="O50" s="21">
        <f>IF(G50="",N(F50)+M50-N50,N(G50))</f>
        <v/>
      </c>
      <c r="P50" s="21">
        <f>N(F50)+M50-N50-O50</f>
        <v/>
      </c>
      <c r="Q50" s="16">
        <f>IF(C50="",INDEX('Chart of Accounts'!$A$5:$A$3000,MATCH("other_overhead",'Chart of Accounts'!$F$5:$F$3000,0)),C50&amp;"")</f>
        <v/>
      </c>
      <c r="R50" s="16">
        <f>IF(I50="",INDEX('Chart of Accounts'!$A$5:$A$3000,MATCH("bank",'Chart of Accounts'!$F$5:$F$3000,0)),I50&amp;"")</f>
        <v/>
      </c>
      <c r="S50" s="16">
        <f>IF(J50="",INDEX('Chart of Accounts'!$A$5:$A$3000,MATCH("ap",'Chart of Accounts'!$F$5:$F$3000,0)),J50&amp;"")</f>
        <v/>
      </c>
      <c r="T50" s="16">
        <f>INDEX('Chart of Accounts'!$A$5:$A$3000,MATCH("vat_input",'Chart of Accounts'!$F$5:$F$3000,0))</f>
        <v/>
      </c>
      <c r="U50" s="16">
        <f>INDEX('Chart of Accounts'!$A$5:$A$3000,MATCH("wht_payable",'Chart of Accounts'!$F$5:$F$3000,0))</f>
        <v/>
      </c>
      <c r="V50" s="23">
        <f>IFERROR(INDEX('Chart of Accounts'!$C$5:$C$3000,MATCH(Q50&amp;"",'Chart of Accounts'!$A$5:$A$3000,0))&amp;"|"&amp;INDEX('Chart of Accounts'!$D$5:$D$3000,MATCH(Q50&amp;"",'Chart of Accounts'!$A$5:$A$3000,0)),"")</f>
        <v/>
      </c>
      <c r="W50" s="23">
        <f>IFERROR(INDEX('Chart of Accounts'!$C$5:$C$3000,MATCH(T50&amp;"",'Chart of Accounts'!$A$5:$A$3000,0))&amp;"|"&amp;INDEX('Chart of Accounts'!$D$5:$D$3000,MATCH(T50&amp;"",'Chart of Accounts'!$A$5:$A$3000,0)),"")</f>
        <v/>
      </c>
      <c r="X50" s="23">
        <f>IFERROR(INDEX('Chart of Accounts'!$C$5:$C$3000,MATCH(R50&amp;"",'Chart of Accounts'!$A$5:$A$3000,0))&amp;"|"&amp;INDEX('Chart of Accounts'!$D$5:$D$3000,MATCH(R50&amp;"",'Chart of Accounts'!$A$5:$A$3000,0)),"")</f>
        <v/>
      </c>
      <c r="Y50" s="23">
        <f>IFERROR(INDEX('Chart of Accounts'!$C$5:$C$3000,MATCH(S50&amp;"",'Chart of Accounts'!$A$5:$A$3000,0))&amp;"|"&amp;INDEX('Chart of Accounts'!$D$5:$D$3000,MATCH(S50&amp;"",'Chart of Accounts'!$A$5:$A$3000,0)),"")</f>
        <v/>
      </c>
      <c r="Z50" s="23">
        <f>IFERROR(INDEX('Chart of Accounts'!$C$5:$C$3000,MATCH(U50&amp;"",'Chart of Accounts'!$A$5:$A$3000,0))&amp;"|"&amp;INDEX('Chart of Accounts'!$D$5:$D$3000,MATCH(U50&amp;"",'Chart of Accounts'!$A$5:$A$3000,0)),"")</f>
        <v/>
      </c>
      <c r="AA50" s="23">
        <f>IF(LEFT(V50,8)="Revenue|",-N(F50),0)+IF(LEFT(W50,8)="Revenue|",-N(M50),0)+IF(LEFT(X50,8)="Revenue|",N(O50),0)+IF(LEFT(Y50,8)="Revenue|",N(P50),0)+IF(LEFT(Z50,8)="Revenue|",N(N50),0)</f>
        <v/>
      </c>
      <c r="AB50" s="23">
        <f>IF(LEFT(V50,5)="COGS|",N(F50),0)+IF(LEFT(W50,5)="COGS|",N(M50),0)+IF(LEFT(X50,5)="COGS|",-N(O50),0)+IF(LEFT(Y50,5)="COGS|",-N(P50),0)+IF(LEFT(Z50,5)="COGS|",-N(N50),0)</f>
        <v/>
      </c>
      <c r="AC50" s="23">
        <f>IF(LEFT(V50,8)="Expense|",N(F50),0)+IF(LEFT(W50,8)="Expense|",N(M50),0)+IF(LEFT(X50,8)="Expense|",-N(O50),0)+IF(LEFT(Y50,8)="Expense|",-N(P50),0)+IF(LEFT(Z50,8)="Expense|",-N(N50),0)</f>
        <v/>
      </c>
      <c r="AD50" s="23">
        <f>IF(ISNUMBER(MATCH(V50,{"Expense|employee","Expense|general_admin","Expense|marketing","Expense|utilities","Expense|other_operating"},0)),N(F50),0)+IF(ISNUMBER(MATCH(W50,{"Expense|employee","Expense|general_admin","Expense|marketing","Expense|utilities","Expense|other_operating"},0)),N(M50),0)+IF(ISNUMBER(MATCH(X50,{"Expense|employee","Expense|general_admin","Expense|marketing","Expense|utilities","Expense|other_operating"},0)),-N(O50),0)+IF(ISNUMBER(MATCH(Y50,{"Expense|employee","Expense|general_admin","Expense|marketing","Expense|utilities","Expense|other_operating"},0)),-N(P50),0)+IF(ISNUMBER(MATCH(Z50,{"Expense|employee","Expense|general_admin","Expense|marketing","Expense|utilities","Expense|other_operating"},0)),-N(N50),0)</f>
        <v/>
      </c>
      <c r="AE50" s="23">
        <f>IF(V50="Liability|payable",-N(F50),0)+IF(W50="Liability|payable",-N(M50),0)+IF(X50="Liability|payable",N(O50),0)+IF(Y50="Liability|payable",N(P50),0)+IF(Z50="Liability|payable",N(N50),0)</f>
        <v/>
      </c>
      <c r="AF50" s="23">
        <f>IF(V50="Liability|accrued",-N(F50),0)+IF(W50="Liability|accrued",-N(M50),0)+IF(X50="Liability|accrued",N(O50),0)+IF(Y50="Liability|accrued",N(P50),0)+IF(Z50="Liability|accrued",N(N50),0)</f>
        <v/>
      </c>
      <c r="AG50" s="23">
        <f>IF(AND(N(F50)&lt;&gt;0,V50=""),1,0)+IF(AND(N(M50)&lt;&gt;0,W50=""),1,0)+IF(AND(N(O50)&lt;&gt;0,X50=""),1,0)+IF(AND(N(P50)&lt;&gt;0,Y50=""),1,0)+IF(AND(N(N50)&lt;&gt;0,Z50=""),1,0)</f>
        <v/>
      </c>
    </row>
    <row r="51">
      <c r="A51" s="19" t="n"/>
      <c r="B51" s="14" t="n"/>
      <c r="C51" s="14" t="n"/>
      <c r="D51" s="14" t="n"/>
      <c r="E51" s="14" t="n"/>
      <c r="F51" s="20" t="n"/>
      <c r="G51" s="20" t="n"/>
      <c r="H51" s="14" t="n"/>
      <c r="I51" s="14" t="n"/>
      <c r="J51" s="14" t="n"/>
      <c r="K51" s="14" t="n"/>
      <c r="L51" s="14" t="n"/>
      <c r="M51" s="21">
        <f>ROUND(N(F51)*IFERROR(VLOOKUP(K51,'Tax Codes'!$A$5:$E$300,5,FALSE),0),2)</f>
        <v/>
      </c>
      <c r="N51" s="21">
        <f>ROUND(N(F51)*IFERROR(VLOOKUP(L51,'Tax Codes'!$A$5:$E$300,5,FALSE),0),2)</f>
        <v/>
      </c>
      <c r="O51" s="21">
        <f>IF(G51="",N(F51)+M51-N51,N(G51))</f>
        <v/>
      </c>
      <c r="P51" s="21">
        <f>N(F51)+M51-N51-O51</f>
        <v/>
      </c>
      <c r="Q51" s="16">
        <f>IF(C51="",INDEX('Chart of Accounts'!$A$5:$A$3000,MATCH("other_overhead",'Chart of Accounts'!$F$5:$F$3000,0)),C51&amp;"")</f>
        <v/>
      </c>
      <c r="R51" s="16">
        <f>IF(I51="",INDEX('Chart of Accounts'!$A$5:$A$3000,MATCH("bank",'Chart of Accounts'!$F$5:$F$3000,0)),I51&amp;"")</f>
        <v/>
      </c>
      <c r="S51" s="16">
        <f>IF(J51="",INDEX('Chart of Accounts'!$A$5:$A$3000,MATCH("ap",'Chart of Accounts'!$F$5:$F$3000,0)),J51&amp;"")</f>
        <v/>
      </c>
      <c r="T51" s="16">
        <f>INDEX('Chart of Accounts'!$A$5:$A$3000,MATCH("vat_input",'Chart of Accounts'!$F$5:$F$3000,0))</f>
        <v/>
      </c>
      <c r="U51" s="16">
        <f>INDEX('Chart of Accounts'!$A$5:$A$3000,MATCH("wht_payable",'Chart of Accounts'!$F$5:$F$3000,0))</f>
        <v/>
      </c>
      <c r="V51" s="23">
        <f>IFERROR(INDEX('Chart of Accounts'!$C$5:$C$3000,MATCH(Q51&amp;"",'Chart of Accounts'!$A$5:$A$3000,0))&amp;"|"&amp;INDEX('Chart of Accounts'!$D$5:$D$3000,MATCH(Q51&amp;"",'Chart of Accounts'!$A$5:$A$3000,0)),"")</f>
        <v/>
      </c>
      <c r="W51" s="23">
        <f>IFERROR(INDEX('Chart of Accounts'!$C$5:$C$3000,MATCH(T51&amp;"",'Chart of Accounts'!$A$5:$A$3000,0))&amp;"|"&amp;INDEX('Chart of Accounts'!$D$5:$D$3000,MATCH(T51&amp;"",'Chart of Accounts'!$A$5:$A$3000,0)),"")</f>
        <v/>
      </c>
      <c r="X51" s="23">
        <f>IFERROR(INDEX('Chart of Accounts'!$C$5:$C$3000,MATCH(R51&amp;"",'Chart of Accounts'!$A$5:$A$3000,0))&amp;"|"&amp;INDEX('Chart of Accounts'!$D$5:$D$3000,MATCH(R51&amp;"",'Chart of Accounts'!$A$5:$A$3000,0)),"")</f>
        <v/>
      </c>
      <c r="Y51" s="23">
        <f>IFERROR(INDEX('Chart of Accounts'!$C$5:$C$3000,MATCH(S51&amp;"",'Chart of Accounts'!$A$5:$A$3000,0))&amp;"|"&amp;INDEX('Chart of Accounts'!$D$5:$D$3000,MATCH(S51&amp;"",'Chart of Accounts'!$A$5:$A$3000,0)),"")</f>
        <v/>
      </c>
      <c r="Z51" s="23">
        <f>IFERROR(INDEX('Chart of Accounts'!$C$5:$C$3000,MATCH(U51&amp;"",'Chart of Accounts'!$A$5:$A$3000,0))&amp;"|"&amp;INDEX('Chart of Accounts'!$D$5:$D$3000,MATCH(U51&amp;"",'Chart of Accounts'!$A$5:$A$3000,0)),"")</f>
        <v/>
      </c>
      <c r="AA51" s="23">
        <f>IF(LEFT(V51,8)="Revenue|",-N(F51),0)+IF(LEFT(W51,8)="Revenue|",-N(M51),0)+IF(LEFT(X51,8)="Revenue|",N(O51),0)+IF(LEFT(Y51,8)="Revenue|",N(P51),0)+IF(LEFT(Z51,8)="Revenue|",N(N51),0)</f>
        <v/>
      </c>
      <c r="AB51" s="23">
        <f>IF(LEFT(V51,5)="COGS|",N(F51),0)+IF(LEFT(W51,5)="COGS|",N(M51),0)+IF(LEFT(X51,5)="COGS|",-N(O51),0)+IF(LEFT(Y51,5)="COGS|",-N(P51),0)+IF(LEFT(Z51,5)="COGS|",-N(N51),0)</f>
        <v/>
      </c>
      <c r="AC51" s="23">
        <f>IF(LEFT(V51,8)="Expense|",N(F51),0)+IF(LEFT(W51,8)="Expense|",N(M51),0)+IF(LEFT(X51,8)="Expense|",-N(O51),0)+IF(LEFT(Y51,8)="Expense|",-N(P51),0)+IF(LEFT(Z51,8)="Expense|",-N(N51),0)</f>
        <v/>
      </c>
      <c r="AD51" s="23">
        <f>IF(ISNUMBER(MATCH(V51,{"Expense|employee","Expense|general_admin","Expense|marketing","Expense|utilities","Expense|other_operating"},0)),N(F51),0)+IF(ISNUMBER(MATCH(W51,{"Expense|employee","Expense|general_admin","Expense|marketing","Expense|utilities","Expense|other_operating"},0)),N(M51),0)+IF(ISNUMBER(MATCH(X51,{"Expense|employee","Expense|general_admin","Expense|marketing","Expense|utilities","Expense|other_operating"},0)),-N(O51),0)+IF(ISNUMBER(MATCH(Y51,{"Expense|employee","Expense|general_admin","Expense|marketing","Expense|utilities","Expense|other_operating"},0)),-N(P51),0)+IF(ISNUMBER(MATCH(Z51,{"Expense|employee","Expense|general_admin","Expense|marketing","Expense|utilities","Expense|other_operating"},0)),-N(N51),0)</f>
        <v/>
      </c>
      <c r="AE51" s="23">
        <f>IF(V51="Liability|payable",-N(F51),0)+IF(W51="Liability|payable",-N(M51),0)+IF(X51="Liability|payable",N(O51),0)+IF(Y51="Liability|payable",N(P51),0)+IF(Z51="Liability|payable",N(N51),0)</f>
        <v/>
      </c>
      <c r="AF51" s="23">
        <f>IF(V51="Liability|accrued",-N(F51),0)+IF(W51="Liability|accrued",-N(M51),0)+IF(X51="Liability|accrued",N(O51),0)+IF(Y51="Liability|accrued",N(P51),0)+IF(Z51="Liability|accrued",N(N51),0)</f>
        <v/>
      </c>
      <c r="AG51" s="23">
        <f>IF(AND(N(F51)&lt;&gt;0,V51=""),1,0)+IF(AND(N(M51)&lt;&gt;0,W51=""),1,0)+IF(AND(N(O51)&lt;&gt;0,X51=""),1,0)+IF(AND(N(P51)&lt;&gt;0,Y51=""),1,0)+IF(AND(N(N51)&lt;&gt;0,Z51=""),1,0)</f>
        <v/>
      </c>
    </row>
    <row r="52">
      <c r="A52" s="19" t="n"/>
      <c r="B52" s="14" t="n"/>
      <c r="C52" s="14" t="n"/>
      <c r="D52" s="14" t="n"/>
      <c r="E52" s="14" t="n"/>
      <c r="F52" s="20" t="n"/>
      <c r="G52" s="20" t="n"/>
      <c r="H52" s="14" t="n"/>
      <c r="I52" s="14" t="n"/>
      <c r="J52" s="14" t="n"/>
      <c r="K52" s="14" t="n"/>
      <c r="L52" s="14" t="n"/>
      <c r="M52" s="21">
        <f>ROUND(N(F52)*IFERROR(VLOOKUP(K52,'Tax Codes'!$A$5:$E$300,5,FALSE),0),2)</f>
        <v/>
      </c>
      <c r="N52" s="21">
        <f>ROUND(N(F52)*IFERROR(VLOOKUP(L52,'Tax Codes'!$A$5:$E$300,5,FALSE),0),2)</f>
        <v/>
      </c>
      <c r="O52" s="21">
        <f>IF(G52="",N(F52)+M52-N52,N(G52))</f>
        <v/>
      </c>
      <c r="P52" s="21">
        <f>N(F52)+M52-N52-O52</f>
        <v/>
      </c>
      <c r="Q52" s="16">
        <f>IF(C52="",INDEX('Chart of Accounts'!$A$5:$A$3000,MATCH("other_overhead",'Chart of Accounts'!$F$5:$F$3000,0)),C52&amp;"")</f>
        <v/>
      </c>
      <c r="R52" s="16">
        <f>IF(I52="",INDEX('Chart of Accounts'!$A$5:$A$3000,MATCH("bank",'Chart of Accounts'!$F$5:$F$3000,0)),I52&amp;"")</f>
        <v/>
      </c>
      <c r="S52" s="16">
        <f>IF(J52="",INDEX('Chart of Accounts'!$A$5:$A$3000,MATCH("ap",'Chart of Accounts'!$F$5:$F$3000,0)),J52&amp;"")</f>
        <v/>
      </c>
      <c r="T52" s="16">
        <f>INDEX('Chart of Accounts'!$A$5:$A$3000,MATCH("vat_input",'Chart of Accounts'!$F$5:$F$3000,0))</f>
        <v/>
      </c>
      <c r="U52" s="16">
        <f>INDEX('Chart of Accounts'!$A$5:$A$3000,MATCH("wht_payable",'Chart of Accounts'!$F$5:$F$3000,0))</f>
        <v/>
      </c>
      <c r="V52" s="23">
        <f>IFERROR(INDEX('Chart of Accounts'!$C$5:$C$3000,MATCH(Q52&amp;"",'Chart of Accounts'!$A$5:$A$3000,0))&amp;"|"&amp;INDEX('Chart of Accounts'!$D$5:$D$3000,MATCH(Q52&amp;"",'Chart of Accounts'!$A$5:$A$3000,0)),"")</f>
        <v/>
      </c>
      <c r="W52" s="23">
        <f>IFERROR(INDEX('Chart of Accounts'!$C$5:$C$3000,MATCH(T52&amp;"",'Chart of Accounts'!$A$5:$A$3000,0))&amp;"|"&amp;INDEX('Chart of Accounts'!$D$5:$D$3000,MATCH(T52&amp;"",'Chart of Accounts'!$A$5:$A$3000,0)),"")</f>
        <v/>
      </c>
      <c r="X52" s="23">
        <f>IFERROR(INDEX('Chart of Accounts'!$C$5:$C$3000,MATCH(R52&amp;"",'Chart of Accounts'!$A$5:$A$3000,0))&amp;"|"&amp;INDEX('Chart of Accounts'!$D$5:$D$3000,MATCH(R52&amp;"",'Chart of Accounts'!$A$5:$A$3000,0)),"")</f>
        <v/>
      </c>
      <c r="Y52" s="23">
        <f>IFERROR(INDEX('Chart of Accounts'!$C$5:$C$3000,MATCH(S52&amp;"",'Chart of Accounts'!$A$5:$A$3000,0))&amp;"|"&amp;INDEX('Chart of Accounts'!$D$5:$D$3000,MATCH(S52&amp;"",'Chart of Accounts'!$A$5:$A$3000,0)),"")</f>
        <v/>
      </c>
      <c r="Z52" s="23">
        <f>IFERROR(INDEX('Chart of Accounts'!$C$5:$C$3000,MATCH(U52&amp;"",'Chart of Accounts'!$A$5:$A$3000,0))&amp;"|"&amp;INDEX('Chart of Accounts'!$D$5:$D$3000,MATCH(U52&amp;"",'Chart of Accounts'!$A$5:$A$3000,0)),"")</f>
        <v/>
      </c>
      <c r="AA52" s="23">
        <f>IF(LEFT(V52,8)="Revenue|",-N(F52),0)+IF(LEFT(W52,8)="Revenue|",-N(M52),0)+IF(LEFT(X52,8)="Revenue|",N(O52),0)+IF(LEFT(Y52,8)="Revenue|",N(P52),0)+IF(LEFT(Z52,8)="Revenue|",N(N52),0)</f>
        <v/>
      </c>
      <c r="AB52" s="23">
        <f>IF(LEFT(V52,5)="COGS|",N(F52),0)+IF(LEFT(W52,5)="COGS|",N(M52),0)+IF(LEFT(X52,5)="COGS|",-N(O52),0)+IF(LEFT(Y52,5)="COGS|",-N(P52),0)+IF(LEFT(Z52,5)="COGS|",-N(N52),0)</f>
        <v/>
      </c>
      <c r="AC52" s="23">
        <f>IF(LEFT(V52,8)="Expense|",N(F52),0)+IF(LEFT(W52,8)="Expense|",N(M52),0)+IF(LEFT(X52,8)="Expense|",-N(O52),0)+IF(LEFT(Y52,8)="Expense|",-N(P52),0)+IF(LEFT(Z52,8)="Expense|",-N(N52),0)</f>
        <v/>
      </c>
      <c r="AD52" s="23">
        <f>IF(ISNUMBER(MATCH(V52,{"Expense|employee","Expense|general_admin","Expense|marketing","Expense|utilities","Expense|other_operating"},0)),N(F52),0)+IF(ISNUMBER(MATCH(W52,{"Expense|employee","Expense|general_admin","Expense|marketing","Expense|utilities","Expense|other_operating"},0)),N(M52),0)+IF(ISNUMBER(MATCH(X52,{"Expense|employee","Expense|general_admin","Expense|marketing","Expense|utilities","Expense|other_operating"},0)),-N(O52),0)+IF(ISNUMBER(MATCH(Y52,{"Expense|employee","Expense|general_admin","Expense|marketing","Expense|utilities","Expense|other_operating"},0)),-N(P52),0)+IF(ISNUMBER(MATCH(Z52,{"Expense|employee","Expense|general_admin","Expense|marketing","Expense|utilities","Expense|other_operating"},0)),-N(N52),0)</f>
        <v/>
      </c>
      <c r="AE52" s="23">
        <f>IF(V52="Liability|payable",-N(F52),0)+IF(W52="Liability|payable",-N(M52),0)+IF(X52="Liability|payable",N(O52),0)+IF(Y52="Liability|payable",N(P52),0)+IF(Z52="Liability|payable",N(N52),0)</f>
        <v/>
      </c>
      <c r="AF52" s="23">
        <f>IF(V52="Liability|accrued",-N(F52),0)+IF(W52="Liability|accrued",-N(M52),0)+IF(X52="Liability|accrued",N(O52),0)+IF(Y52="Liability|accrued",N(P52),0)+IF(Z52="Liability|accrued",N(N52),0)</f>
        <v/>
      </c>
      <c r="AG52" s="23">
        <f>IF(AND(N(F52)&lt;&gt;0,V52=""),1,0)+IF(AND(N(M52)&lt;&gt;0,W52=""),1,0)+IF(AND(N(O52)&lt;&gt;0,X52=""),1,0)+IF(AND(N(P52)&lt;&gt;0,Y52=""),1,0)+IF(AND(N(N52)&lt;&gt;0,Z52=""),1,0)</f>
        <v/>
      </c>
    </row>
    <row r="53">
      <c r="A53" s="19" t="n"/>
      <c r="B53" s="14" t="n"/>
      <c r="C53" s="14" t="n"/>
      <c r="D53" s="14" t="n"/>
      <c r="E53" s="14" t="n"/>
      <c r="F53" s="20" t="n"/>
      <c r="G53" s="20" t="n"/>
      <c r="H53" s="14" t="n"/>
      <c r="I53" s="14" t="n"/>
      <c r="J53" s="14" t="n"/>
      <c r="K53" s="14" t="n"/>
      <c r="L53" s="14" t="n"/>
      <c r="M53" s="21">
        <f>ROUND(N(F53)*IFERROR(VLOOKUP(K53,'Tax Codes'!$A$5:$E$300,5,FALSE),0),2)</f>
        <v/>
      </c>
      <c r="N53" s="21">
        <f>ROUND(N(F53)*IFERROR(VLOOKUP(L53,'Tax Codes'!$A$5:$E$300,5,FALSE),0),2)</f>
        <v/>
      </c>
      <c r="O53" s="21">
        <f>IF(G53="",N(F53)+M53-N53,N(G53))</f>
        <v/>
      </c>
      <c r="P53" s="21">
        <f>N(F53)+M53-N53-O53</f>
        <v/>
      </c>
      <c r="Q53" s="16">
        <f>IF(C53="",INDEX('Chart of Accounts'!$A$5:$A$3000,MATCH("other_overhead",'Chart of Accounts'!$F$5:$F$3000,0)),C53&amp;"")</f>
        <v/>
      </c>
      <c r="R53" s="16">
        <f>IF(I53="",INDEX('Chart of Accounts'!$A$5:$A$3000,MATCH("bank",'Chart of Accounts'!$F$5:$F$3000,0)),I53&amp;"")</f>
        <v/>
      </c>
      <c r="S53" s="16">
        <f>IF(J53="",INDEX('Chart of Accounts'!$A$5:$A$3000,MATCH("ap",'Chart of Accounts'!$F$5:$F$3000,0)),J53&amp;"")</f>
        <v/>
      </c>
      <c r="T53" s="16">
        <f>INDEX('Chart of Accounts'!$A$5:$A$3000,MATCH("vat_input",'Chart of Accounts'!$F$5:$F$3000,0))</f>
        <v/>
      </c>
      <c r="U53" s="16">
        <f>INDEX('Chart of Accounts'!$A$5:$A$3000,MATCH("wht_payable",'Chart of Accounts'!$F$5:$F$3000,0))</f>
        <v/>
      </c>
      <c r="V53" s="23">
        <f>IFERROR(INDEX('Chart of Accounts'!$C$5:$C$3000,MATCH(Q53&amp;"",'Chart of Accounts'!$A$5:$A$3000,0))&amp;"|"&amp;INDEX('Chart of Accounts'!$D$5:$D$3000,MATCH(Q53&amp;"",'Chart of Accounts'!$A$5:$A$3000,0)),"")</f>
        <v/>
      </c>
      <c r="W53" s="23">
        <f>IFERROR(INDEX('Chart of Accounts'!$C$5:$C$3000,MATCH(T53&amp;"",'Chart of Accounts'!$A$5:$A$3000,0))&amp;"|"&amp;INDEX('Chart of Accounts'!$D$5:$D$3000,MATCH(T53&amp;"",'Chart of Accounts'!$A$5:$A$3000,0)),"")</f>
        <v/>
      </c>
      <c r="X53" s="23">
        <f>IFERROR(INDEX('Chart of Accounts'!$C$5:$C$3000,MATCH(R53&amp;"",'Chart of Accounts'!$A$5:$A$3000,0))&amp;"|"&amp;INDEX('Chart of Accounts'!$D$5:$D$3000,MATCH(R53&amp;"",'Chart of Accounts'!$A$5:$A$3000,0)),"")</f>
        <v/>
      </c>
      <c r="Y53" s="23">
        <f>IFERROR(INDEX('Chart of Accounts'!$C$5:$C$3000,MATCH(S53&amp;"",'Chart of Accounts'!$A$5:$A$3000,0))&amp;"|"&amp;INDEX('Chart of Accounts'!$D$5:$D$3000,MATCH(S53&amp;"",'Chart of Accounts'!$A$5:$A$3000,0)),"")</f>
        <v/>
      </c>
      <c r="Z53" s="23">
        <f>IFERROR(INDEX('Chart of Accounts'!$C$5:$C$3000,MATCH(U53&amp;"",'Chart of Accounts'!$A$5:$A$3000,0))&amp;"|"&amp;INDEX('Chart of Accounts'!$D$5:$D$3000,MATCH(U53&amp;"",'Chart of Accounts'!$A$5:$A$3000,0)),"")</f>
        <v/>
      </c>
      <c r="AA53" s="23">
        <f>IF(LEFT(V53,8)="Revenue|",-N(F53),0)+IF(LEFT(W53,8)="Revenue|",-N(M53),0)+IF(LEFT(X53,8)="Revenue|",N(O53),0)+IF(LEFT(Y53,8)="Revenue|",N(P53),0)+IF(LEFT(Z53,8)="Revenue|",N(N53),0)</f>
        <v/>
      </c>
      <c r="AB53" s="23">
        <f>IF(LEFT(V53,5)="COGS|",N(F53),0)+IF(LEFT(W53,5)="COGS|",N(M53),0)+IF(LEFT(X53,5)="COGS|",-N(O53),0)+IF(LEFT(Y53,5)="COGS|",-N(P53),0)+IF(LEFT(Z53,5)="COGS|",-N(N53),0)</f>
        <v/>
      </c>
      <c r="AC53" s="23">
        <f>IF(LEFT(V53,8)="Expense|",N(F53),0)+IF(LEFT(W53,8)="Expense|",N(M53),0)+IF(LEFT(X53,8)="Expense|",-N(O53),0)+IF(LEFT(Y53,8)="Expense|",-N(P53),0)+IF(LEFT(Z53,8)="Expense|",-N(N53),0)</f>
        <v/>
      </c>
      <c r="AD53" s="23">
        <f>IF(ISNUMBER(MATCH(V53,{"Expense|employee","Expense|general_admin","Expense|marketing","Expense|utilities","Expense|other_operating"},0)),N(F53),0)+IF(ISNUMBER(MATCH(W53,{"Expense|employee","Expense|general_admin","Expense|marketing","Expense|utilities","Expense|other_operating"},0)),N(M53),0)+IF(ISNUMBER(MATCH(X53,{"Expense|employee","Expense|general_admin","Expense|marketing","Expense|utilities","Expense|other_operating"},0)),-N(O53),0)+IF(ISNUMBER(MATCH(Y53,{"Expense|employee","Expense|general_admin","Expense|marketing","Expense|utilities","Expense|other_operating"},0)),-N(P53),0)+IF(ISNUMBER(MATCH(Z53,{"Expense|employee","Expense|general_admin","Expense|marketing","Expense|utilities","Expense|other_operating"},0)),-N(N53),0)</f>
        <v/>
      </c>
      <c r="AE53" s="23">
        <f>IF(V53="Liability|payable",-N(F53),0)+IF(W53="Liability|payable",-N(M53),0)+IF(X53="Liability|payable",N(O53),0)+IF(Y53="Liability|payable",N(P53),0)+IF(Z53="Liability|payable",N(N53),0)</f>
        <v/>
      </c>
      <c r="AF53" s="23">
        <f>IF(V53="Liability|accrued",-N(F53),0)+IF(W53="Liability|accrued",-N(M53),0)+IF(X53="Liability|accrued",N(O53),0)+IF(Y53="Liability|accrued",N(P53),0)+IF(Z53="Liability|accrued",N(N53),0)</f>
        <v/>
      </c>
      <c r="AG53" s="23">
        <f>IF(AND(N(F53)&lt;&gt;0,V53=""),1,0)+IF(AND(N(M53)&lt;&gt;0,W53=""),1,0)+IF(AND(N(O53)&lt;&gt;0,X53=""),1,0)+IF(AND(N(P53)&lt;&gt;0,Y53=""),1,0)+IF(AND(N(N53)&lt;&gt;0,Z53=""),1,0)</f>
        <v/>
      </c>
    </row>
    <row r="54">
      <c r="A54" s="19" t="n"/>
      <c r="B54" s="14" t="n"/>
      <c r="C54" s="14" t="n"/>
      <c r="D54" s="14" t="n"/>
      <c r="E54" s="14" t="n"/>
      <c r="F54" s="20" t="n"/>
      <c r="G54" s="20" t="n"/>
      <c r="H54" s="14" t="n"/>
      <c r="I54" s="14" t="n"/>
      <c r="J54" s="14" t="n"/>
      <c r="K54" s="14" t="n"/>
      <c r="L54" s="14" t="n"/>
      <c r="M54" s="21">
        <f>ROUND(N(F54)*IFERROR(VLOOKUP(K54,'Tax Codes'!$A$5:$E$300,5,FALSE),0),2)</f>
        <v/>
      </c>
      <c r="N54" s="21">
        <f>ROUND(N(F54)*IFERROR(VLOOKUP(L54,'Tax Codes'!$A$5:$E$300,5,FALSE),0),2)</f>
        <v/>
      </c>
      <c r="O54" s="21">
        <f>IF(G54="",N(F54)+M54-N54,N(G54))</f>
        <v/>
      </c>
      <c r="P54" s="21">
        <f>N(F54)+M54-N54-O54</f>
        <v/>
      </c>
      <c r="Q54" s="16">
        <f>IF(C54="",INDEX('Chart of Accounts'!$A$5:$A$3000,MATCH("other_overhead",'Chart of Accounts'!$F$5:$F$3000,0)),C54&amp;"")</f>
        <v/>
      </c>
      <c r="R54" s="16">
        <f>IF(I54="",INDEX('Chart of Accounts'!$A$5:$A$3000,MATCH("bank",'Chart of Accounts'!$F$5:$F$3000,0)),I54&amp;"")</f>
        <v/>
      </c>
      <c r="S54" s="16">
        <f>IF(J54="",INDEX('Chart of Accounts'!$A$5:$A$3000,MATCH("ap",'Chart of Accounts'!$F$5:$F$3000,0)),J54&amp;"")</f>
        <v/>
      </c>
      <c r="T54" s="16">
        <f>INDEX('Chart of Accounts'!$A$5:$A$3000,MATCH("vat_input",'Chart of Accounts'!$F$5:$F$3000,0))</f>
        <v/>
      </c>
      <c r="U54" s="16">
        <f>INDEX('Chart of Accounts'!$A$5:$A$3000,MATCH("wht_payable",'Chart of Accounts'!$F$5:$F$3000,0))</f>
        <v/>
      </c>
      <c r="V54" s="23">
        <f>IFERROR(INDEX('Chart of Accounts'!$C$5:$C$3000,MATCH(Q54&amp;"",'Chart of Accounts'!$A$5:$A$3000,0))&amp;"|"&amp;INDEX('Chart of Accounts'!$D$5:$D$3000,MATCH(Q54&amp;"",'Chart of Accounts'!$A$5:$A$3000,0)),"")</f>
        <v/>
      </c>
      <c r="W54" s="23">
        <f>IFERROR(INDEX('Chart of Accounts'!$C$5:$C$3000,MATCH(T54&amp;"",'Chart of Accounts'!$A$5:$A$3000,0))&amp;"|"&amp;INDEX('Chart of Accounts'!$D$5:$D$3000,MATCH(T54&amp;"",'Chart of Accounts'!$A$5:$A$3000,0)),"")</f>
        <v/>
      </c>
      <c r="X54" s="23">
        <f>IFERROR(INDEX('Chart of Accounts'!$C$5:$C$3000,MATCH(R54&amp;"",'Chart of Accounts'!$A$5:$A$3000,0))&amp;"|"&amp;INDEX('Chart of Accounts'!$D$5:$D$3000,MATCH(R54&amp;"",'Chart of Accounts'!$A$5:$A$3000,0)),"")</f>
        <v/>
      </c>
      <c r="Y54" s="23">
        <f>IFERROR(INDEX('Chart of Accounts'!$C$5:$C$3000,MATCH(S54&amp;"",'Chart of Accounts'!$A$5:$A$3000,0))&amp;"|"&amp;INDEX('Chart of Accounts'!$D$5:$D$3000,MATCH(S54&amp;"",'Chart of Accounts'!$A$5:$A$3000,0)),"")</f>
        <v/>
      </c>
      <c r="Z54" s="23">
        <f>IFERROR(INDEX('Chart of Accounts'!$C$5:$C$3000,MATCH(U54&amp;"",'Chart of Accounts'!$A$5:$A$3000,0))&amp;"|"&amp;INDEX('Chart of Accounts'!$D$5:$D$3000,MATCH(U54&amp;"",'Chart of Accounts'!$A$5:$A$3000,0)),"")</f>
        <v/>
      </c>
      <c r="AA54" s="23">
        <f>IF(LEFT(V54,8)="Revenue|",-N(F54),0)+IF(LEFT(W54,8)="Revenue|",-N(M54),0)+IF(LEFT(X54,8)="Revenue|",N(O54),0)+IF(LEFT(Y54,8)="Revenue|",N(P54),0)+IF(LEFT(Z54,8)="Revenue|",N(N54),0)</f>
        <v/>
      </c>
      <c r="AB54" s="23">
        <f>IF(LEFT(V54,5)="COGS|",N(F54),0)+IF(LEFT(W54,5)="COGS|",N(M54),0)+IF(LEFT(X54,5)="COGS|",-N(O54),0)+IF(LEFT(Y54,5)="COGS|",-N(P54),0)+IF(LEFT(Z54,5)="COGS|",-N(N54),0)</f>
        <v/>
      </c>
      <c r="AC54" s="23">
        <f>IF(LEFT(V54,8)="Expense|",N(F54),0)+IF(LEFT(W54,8)="Expense|",N(M54),0)+IF(LEFT(X54,8)="Expense|",-N(O54),0)+IF(LEFT(Y54,8)="Expense|",-N(P54),0)+IF(LEFT(Z54,8)="Expense|",-N(N54),0)</f>
        <v/>
      </c>
      <c r="AD54" s="23">
        <f>IF(ISNUMBER(MATCH(V54,{"Expense|employee","Expense|general_admin","Expense|marketing","Expense|utilities","Expense|other_operating"},0)),N(F54),0)+IF(ISNUMBER(MATCH(W54,{"Expense|employee","Expense|general_admin","Expense|marketing","Expense|utilities","Expense|other_operating"},0)),N(M54),0)+IF(ISNUMBER(MATCH(X54,{"Expense|employee","Expense|general_admin","Expense|marketing","Expense|utilities","Expense|other_operating"},0)),-N(O54),0)+IF(ISNUMBER(MATCH(Y54,{"Expense|employee","Expense|general_admin","Expense|marketing","Expense|utilities","Expense|other_operating"},0)),-N(P54),0)+IF(ISNUMBER(MATCH(Z54,{"Expense|employee","Expense|general_admin","Expense|marketing","Expense|utilities","Expense|other_operating"},0)),-N(N54),0)</f>
        <v/>
      </c>
      <c r="AE54" s="23">
        <f>IF(V54="Liability|payable",-N(F54),0)+IF(W54="Liability|payable",-N(M54),0)+IF(X54="Liability|payable",N(O54),0)+IF(Y54="Liability|payable",N(P54),0)+IF(Z54="Liability|payable",N(N54),0)</f>
        <v/>
      </c>
      <c r="AF54" s="23">
        <f>IF(V54="Liability|accrued",-N(F54),0)+IF(W54="Liability|accrued",-N(M54),0)+IF(X54="Liability|accrued",N(O54),0)+IF(Y54="Liability|accrued",N(P54),0)+IF(Z54="Liability|accrued",N(N54),0)</f>
        <v/>
      </c>
      <c r="AG54" s="23">
        <f>IF(AND(N(F54)&lt;&gt;0,V54=""),1,0)+IF(AND(N(M54)&lt;&gt;0,W54=""),1,0)+IF(AND(N(O54)&lt;&gt;0,X54=""),1,0)+IF(AND(N(P54)&lt;&gt;0,Y54=""),1,0)+IF(AND(N(N54)&lt;&gt;0,Z54=""),1,0)</f>
        <v/>
      </c>
    </row>
    <row r="55">
      <c r="A55" s="19" t="n"/>
      <c r="B55" s="14" t="n"/>
      <c r="C55" s="14" t="n"/>
      <c r="D55" s="14" t="n"/>
      <c r="E55" s="14" t="n"/>
      <c r="F55" s="20" t="n"/>
      <c r="G55" s="20" t="n"/>
      <c r="H55" s="14" t="n"/>
      <c r="I55" s="14" t="n"/>
      <c r="J55" s="14" t="n"/>
      <c r="K55" s="14" t="n"/>
      <c r="L55" s="14" t="n"/>
      <c r="M55" s="21">
        <f>ROUND(N(F55)*IFERROR(VLOOKUP(K55,'Tax Codes'!$A$5:$E$300,5,FALSE),0),2)</f>
        <v/>
      </c>
      <c r="N55" s="21">
        <f>ROUND(N(F55)*IFERROR(VLOOKUP(L55,'Tax Codes'!$A$5:$E$300,5,FALSE),0),2)</f>
        <v/>
      </c>
      <c r="O55" s="21">
        <f>IF(G55="",N(F55)+M55-N55,N(G55))</f>
        <v/>
      </c>
      <c r="P55" s="21">
        <f>N(F55)+M55-N55-O55</f>
        <v/>
      </c>
      <c r="Q55" s="16">
        <f>IF(C55="",INDEX('Chart of Accounts'!$A$5:$A$3000,MATCH("other_overhead",'Chart of Accounts'!$F$5:$F$3000,0)),C55&amp;"")</f>
        <v/>
      </c>
      <c r="R55" s="16">
        <f>IF(I55="",INDEX('Chart of Accounts'!$A$5:$A$3000,MATCH("bank",'Chart of Accounts'!$F$5:$F$3000,0)),I55&amp;"")</f>
        <v/>
      </c>
      <c r="S55" s="16">
        <f>IF(J55="",INDEX('Chart of Accounts'!$A$5:$A$3000,MATCH("ap",'Chart of Accounts'!$F$5:$F$3000,0)),J55&amp;"")</f>
        <v/>
      </c>
      <c r="T55" s="16">
        <f>INDEX('Chart of Accounts'!$A$5:$A$3000,MATCH("vat_input",'Chart of Accounts'!$F$5:$F$3000,0))</f>
        <v/>
      </c>
      <c r="U55" s="16">
        <f>INDEX('Chart of Accounts'!$A$5:$A$3000,MATCH("wht_payable",'Chart of Accounts'!$F$5:$F$3000,0))</f>
        <v/>
      </c>
      <c r="V55" s="23">
        <f>IFERROR(INDEX('Chart of Accounts'!$C$5:$C$3000,MATCH(Q55&amp;"",'Chart of Accounts'!$A$5:$A$3000,0))&amp;"|"&amp;INDEX('Chart of Accounts'!$D$5:$D$3000,MATCH(Q55&amp;"",'Chart of Accounts'!$A$5:$A$3000,0)),"")</f>
        <v/>
      </c>
      <c r="W55" s="23">
        <f>IFERROR(INDEX('Chart of Accounts'!$C$5:$C$3000,MATCH(T55&amp;"",'Chart of Accounts'!$A$5:$A$3000,0))&amp;"|"&amp;INDEX('Chart of Accounts'!$D$5:$D$3000,MATCH(T55&amp;"",'Chart of Accounts'!$A$5:$A$3000,0)),"")</f>
        <v/>
      </c>
      <c r="X55" s="23">
        <f>IFERROR(INDEX('Chart of Accounts'!$C$5:$C$3000,MATCH(R55&amp;"",'Chart of Accounts'!$A$5:$A$3000,0))&amp;"|"&amp;INDEX('Chart of Accounts'!$D$5:$D$3000,MATCH(R55&amp;"",'Chart of Accounts'!$A$5:$A$3000,0)),"")</f>
        <v/>
      </c>
      <c r="Y55" s="23">
        <f>IFERROR(INDEX('Chart of Accounts'!$C$5:$C$3000,MATCH(S55&amp;"",'Chart of Accounts'!$A$5:$A$3000,0))&amp;"|"&amp;INDEX('Chart of Accounts'!$D$5:$D$3000,MATCH(S55&amp;"",'Chart of Accounts'!$A$5:$A$3000,0)),"")</f>
        <v/>
      </c>
      <c r="Z55" s="23">
        <f>IFERROR(INDEX('Chart of Accounts'!$C$5:$C$3000,MATCH(U55&amp;"",'Chart of Accounts'!$A$5:$A$3000,0))&amp;"|"&amp;INDEX('Chart of Accounts'!$D$5:$D$3000,MATCH(U55&amp;"",'Chart of Accounts'!$A$5:$A$3000,0)),"")</f>
        <v/>
      </c>
      <c r="AA55" s="23">
        <f>IF(LEFT(V55,8)="Revenue|",-N(F55),0)+IF(LEFT(W55,8)="Revenue|",-N(M55),0)+IF(LEFT(X55,8)="Revenue|",N(O55),0)+IF(LEFT(Y55,8)="Revenue|",N(P55),0)+IF(LEFT(Z55,8)="Revenue|",N(N55),0)</f>
        <v/>
      </c>
      <c r="AB55" s="23">
        <f>IF(LEFT(V55,5)="COGS|",N(F55),0)+IF(LEFT(W55,5)="COGS|",N(M55),0)+IF(LEFT(X55,5)="COGS|",-N(O55),0)+IF(LEFT(Y55,5)="COGS|",-N(P55),0)+IF(LEFT(Z55,5)="COGS|",-N(N55),0)</f>
        <v/>
      </c>
      <c r="AC55" s="23">
        <f>IF(LEFT(V55,8)="Expense|",N(F55),0)+IF(LEFT(W55,8)="Expense|",N(M55),0)+IF(LEFT(X55,8)="Expense|",-N(O55),0)+IF(LEFT(Y55,8)="Expense|",-N(P55),0)+IF(LEFT(Z55,8)="Expense|",-N(N55),0)</f>
        <v/>
      </c>
      <c r="AD55" s="23">
        <f>IF(ISNUMBER(MATCH(V55,{"Expense|employee","Expense|general_admin","Expense|marketing","Expense|utilities","Expense|other_operating"},0)),N(F55),0)+IF(ISNUMBER(MATCH(W55,{"Expense|employee","Expense|general_admin","Expense|marketing","Expense|utilities","Expense|other_operating"},0)),N(M55),0)+IF(ISNUMBER(MATCH(X55,{"Expense|employee","Expense|general_admin","Expense|marketing","Expense|utilities","Expense|other_operating"},0)),-N(O55),0)+IF(ISNUMBER(MATCH(Y55,{"Expense|employee","Expense|general_admin","Expense|marketing","Expense|utilities","Expense|other_operating"},0)),-N(P55),0)+IF(ISNUMBER(MATCH(Z55,{"Expense|employee","Expense|general_admin","Expense|marketing","Expense|utilities","Expense|other_operating"},0)),-N(N55),0)</f>
        <v/>
      </c>
      <c r="AE55" s="23">
        <f>IF(V55="Liability|payable",-N(F55),0)+IF(W55="Liability|payable",-N(M55),0)+IF(X55="Liability|payable",N(O55),0)+IF(Y55="Liability|payable",N(P55),0)+IF(Z55="Liability|payable",N(N55),0)</f>
        <v/>
      </c>
      <c r="AF55" s="23">
        <f>IF(V55="Liability|accrued",-N(F55),0)+IF(W55="Liability|accrued",-N(M55),0)+IF(X55="Liability|accrued",N(O55),0)+IF(Y55="Liability|accrued",N(P55),0)+IF(Z55="Liability|accrued",N(N55),0)</f>
        <v/>
      </c>
      <c r="AG55" s="23">
        <f>IF(AND(N(F55)&lt;&gt;0,V55=""),1,0)+IF(AND(N(M55)&lt;&gt;0,W55=""),1,0)+IF(AND(N(O55)&lt;&gt;0,X55=""),1,0)+IF(AND(N(P55)&lt;&gt;0,Y55=""),1,0)+IF(AND(N(N55)&lt;&gt;0,Z55=""),1,0)</f>
        <v/>
      </c>
    </row>
    <row r="56">
      <c r="A56" s="19" t="n"/>
      <c r="B56" s="14" t="n"/>
      <c r="C56" s="14" t="n"/>
      <c r="D56" s="14" t="n"/>
      <c r="E56" s="14" t="n"/>
      <c r="F56" s="20" t="n"/>
      <c r="G56" s="20" t="n"/>
      <c r="H56" s="14" t="n"/>
      <c r="I56" s="14" t="n"/>
      <c r="J56" s="14" t="n"/>
      <c r="K56" s="14" t="n"/>
      <c r="L56" s="14" t="n"/>
      <c r="M56" s="21">
        <f>ROUND(N(F56)*IFERROR(VLOOKUP(K56,'Tax Codes'!$A$5:$E$300,5,FALSE),0),2)</f>
        <v/>
      </c>
      <c r="N56" s="21">
        <f>ROUND(N(F56)*IFERROR(VLOOKUP(L56,'Tax Codes'!$A$5:$E$300,5,FALSE),0),2)</f>
        <v/>
      </c>
      <c r="O56" s="21">
        <f>IF(G56="",N(F56)+M56-N56,N(G56))</f>
        <v/>
      </c>
      <c r="P56" s="21">
        <f>N(F56)+M56-N56-O56</f>
        <v/>
      </c>
      <c r="Q56" s="16">
        <f>IF(C56="",INDEX('Chart of Accounts'!$A$5:$A$3000,MATCH("other_overhead",'Chart of Accounts'!$F$5:$F$3000,0)),C56&amp;"")</f>
        <v/>
      </c>
      <c r="R56" s="16">
        <f>IF(I56="",INDEX('Chart of Accounts'!$A$5:$A$3000,MATCH("bank",'Chart of Accounts'!$F$5:$F$3000,0)),I56&amp;"")</f>
        <v/>
      </c>
      <c r="S56" s="16">
        <f>IF(J56="",INDEX('Chart of Accounts'!$A$5:$A$3000,MATCH("ap",'Chart of Accounts'!$F$5:$F$3000,0)),J56&amp;"")</f>
        <v/>
      </c>
      <c r="T56" s="16">
        <f>INDEX('Chart of Accounts'!$A$5:$A$3000,MATCH("vat_input",'Chart of Accounts'!$F$5:$F$3000,0))</f>
        <v/>
      </c>
      <c r="U56" s="16">
        <f>INDEX('Chart of Accounts'!$A$5:$A$3000,MATCH("wht_payable",'Chart of Accounts'!$F$5:$F$3000,0))</f>
        <v/>
      </c>
      <c r="V56" s="23">
        <f>IFERROR(INDEX('Chart of Accounts'!$C$5:$C$3000,MATCH(Q56&amp;"",'Chart of Accounts'!$A$5:$A$3000,0))&amp;"|"&amp;INDEX('Chart of Accounts'!$D$5:$D$3000,MATCH(Q56&amp;"",'Chart of Accounts'!$A$5:$A$3000,0)),"")</f>
        <v/>
      </c>
      <c r="W56" s="23">
        <f>IFERROR(INDEX('Chart of Accounts'!$C$5:$C$3000,MATCH(T56&amp;"",'Chart of Accounts'!$A$5:$A$3000,0))&amp;"|"&amp;INDEX('Chart of Accounts'!$D$5:$D$3000,MATCH(T56&amp;"",'Chart of Accounts'!$A$5:$A$3000,0)),"")</f>
        <v/>
      </c>
      <c r="X56" s="23">
        <f>IFERROR(INDEX('Chart of Accounts'!$C$5:$C$3000,MATCH(R56&amp;"",'Chart of Accounts'!$A$5:$A$3000,0))&amp;"|"&amp;INDEX('Chart of Accounts'!$D$5:$D$3000,MATCH(R56&amp;"",'Chart of Accounts'!$A$5:$A$3000,0)),"")</f>
        <v/>
      </c>
      <c r="Y56" s="23">
        <f>IFERROR(INDEX('Chart of Accounts'!$C$5:$C$3000,MATCH(S56&amp;"",'Chart of Accounts'!$A$5:$A$3000,0))&amp;"|"&amp;INDEX('Chart of Accounts'!$D$5:$D$3000,MATCH(S56&amp;"",'Chart of Accounts'!$A$5:$A$3000,0)),"")</f>
        <v/>
      </c>
      <c r="Z56" s="23">
        <f>IFERROR(INDEX('Chart of Accounts'!$C$5:$C$3000,MATCH(U56&amp;"",'Chart of Accounts'!$A$5:$A$3000,0))&amp;"|"&amp;INDEX('Chart of Accounts'!$D$5:$D$3000,MATCH(U56&amp;"",'Chart of Accounts'!$A$5:$A$3000,0)),"")</f>
        <v/>
      </c>
      <c r="AA56" s="23">
        <f>IF(LEFT(V56,8)="Revenue|",-N(F56),0)+IF(LEFT(W56,8)="Revenue|",-N(M56),0)+IF(LEFT(X56,8)="Revenue|",N(O56),0)+IF(LEFT(Y56,8)="Revenue|",N(P56),0)+IF(LEFT(Z56,8)="Revenue|",N(N56),0)</f>
        <v/>
      </c>
      <c r="AB56" s="23">
        <f>IF(LEFT(V56,5)="COGS|",N(F56),0)+IF(LEFT(W56,5)="COGS|",N(M56),0)+IF(LEFT(X56,5)="COGS|",-N(O56),0)+IF(LEFT(Y56,5)="COGS|",-N(P56),0)+IF(LEFT(Z56,5)="COGS|",-N(N56),0)</f>
        <v/>
      </c>
      <c r="AC56" s="23">
        <f>IF(LEFT(V56,8)="Expense|",N(F56),0)+IF(LEFT(W56,8)="Expense|",N(M56),0)+IF(LEFT(X56,8)="Expense|",-N(O56),0)+IF(LEFT(Y56,8)="Expense|",-N(P56),0)+IF(LEFT(Z56,8)="Expense|",-N(N56),0)</f>
        <v/>
      </c>
      <c r="AD56" s="23">
        <f>IF(ISNUMBER(MATCH(V56,{"Expense|employee","Expense|general_admin","Expense|marketing","Expense|utilities","Expense|other_operating"},0)),N(F56),0)+IF(ISNUMBER(MATCH(W56,{"Expense|employee","Expense|general_admin","Expense|marketing","Expense|utilities","Expense|other_operating"},0)),N(M56),0)+IF(ISNUMBER(MATCH(X56,{"Expense|employee","Expense|general_admin","Expense|marketing","Expense|utilities","Expense|other_operating"},0)),-N(O56),0)+IF(ISNUMBER(MATCH(Y56,{"Expense|employee","Expense|general_admin","Expense|marketing","Expense|utilities","Expense|other_operating"},0)),-N(P56),0)+IF(ISNUMBER(MATCH(Z56,{"Expense|employee","Expense|general_admin","Expense|marketing","Expense|utilities","Expense|other_operating"},0)),-N(N56),0)</f>
        <v/>
      </c>
      <c r="AE56" s="23">
        <f>IF(V56="Liability|payable",-N(F56),0)+IF(W56="Liability|payable",-N(M56),0)+IF(X56="Liability|payable",N(O56),0)+IF(Y56="Liability|payable",N(P56),0)+IF(Z56="Liability|payable",N(N56),0)</f>
        <v/>
      </c>
      <c r="AF56" s="23">
        <f>IF(V56="Liability|accrued",-N(F56),0)+IF(W56="Liability|accrued",-N(M56),0)+IF(X56="Liability|accrued",N(O56),0)+IF(Y56="Liability|accrued",N(P56),0)+IF(Z56="Liability|accrued",N(N56),0)</f>
        <v/>
      </c>
      <c r="AG56" s="23">
        <f>IF(AND(N(F56)&lt;&gt;0,V56=""),1,0)+IF(AND(N(M56)&lt;&gt;0,W56=""),1,0)+IF(AND(N(O56)&lt;&gt;0,X56=""),1,0)+IF(AND(N(P56)&lt;&gt;0,Y56=""),1,0)+IF(AND(N(N56)&lt;&gt;0,Z56=""),1,0)</f>
        <v/>
      </c>
    </row>
    <row r="57">
      <c r="A57" s="19" t="n"/>
      <c r="B57" s="14" t="n"/>
      <c r="C57" s="14" t="n"/>
      <c r="D57" s="14" t="n"/>
      <c r="E57" s="14" t="n"/>
      <c r="F57" s="20" t="n"/>
      <c r="G57" s="20" t="n"/>
      <c r="H57" s="14" t="n"/>
      <c r="I57" s="14" t="n"/>
      <c r="J57" s="14" t="n"/>
      <c r="K57" s="14" t="n"/>
      <c r="L57" s="14" t="n"/>
      <c r="M57" s="21">
        <f>ROUND(N(F57)*IFERROR(VLOOKUP(K57,'Tax Codes'!$A$5:$E$300,5,FALSE),0),2)</f>
        <v/>
      </c>
      <c r="N57" s="21">
        <f>ROUND(N(F57)*IFERROR(VLOOKUP(L57,'Tax Codes'!$A$5:$E$300,5,FALSE),0),2)</f>
        <v/>
      </c>
      <c r="O57" s="21">
        <f>IF(G57="",N(F57)+M57-N57,N(G57))</f>
        <v/>
      </c>
      <c r="P57" s="21">
        <f>N(F57)+M57-N57-O57</f>
        <v/>
      </c>
      <c r="Q57" s="16">
        <f>IF(C57="",INDEX('Chart of Accounts'!$A$5:$A$3000,MATCH("other_overhead",'Chart of Accounts'!$F$5:$F$3000,0)),C57&amp;"")</f>
        <v/>
      </c>
      <c r="R57" s="16">
        <f>IF(I57="",INDEX('Chart of Accounts'!$A$5:$A$3000,MATCH("bank",'Chart of Accounts'!$F$5:$F$3000,0)),I57&amp;"")</f>
        <v/>
      </c>
      <c r="S57" s="16">
        <f>IF(J57="",INDEX('Chart of Accounts'!$A$5:$A$3000,MATCH("ap",'Chart of Accounts'!$F$5:$F$3000,0)),J57&amp;"")</f>
        <v/>
      </c>
      <c r="T57" s="16">
        <f>INDEX('Chart of Accounts'!$A$5:$A$3000,MATCH("vat_input",'Chart of Accounts'!$F$5:$F$3000,0))</f>
        <v/>
      </c>
      <c r="U57" s="16">
        <f>INDEX('Chart of Accounts'!$A$5:$A$3000,MATCH("wht_payable",'Chart of Accounts'!$F$5:$F$3000,0))</f>
        <v/>
      </c>
      <c r="V57" s="23">
        <f>IFERROR(INDEX('Chart of Accounts'!$C$5:$C$3000,MATCH(Q57&amp;"",'Chart of Accounts'!$A$5:$A$3000,0))&amp;"|"&amp;INDEX('Chart of Accounts'!$D$5:$D$3000,MATCH(Q57&amp;"",'Chart of Accounts'!$A$5:$A$3000,0)),"")</f>
        <v/>
      </c>
      <c r="W57" s="23">
        <f>IFERROR(INDEX('Chart of Accounts'!$C$5:$C$3000,MATCH(T57&amp;"",'Chart of Accounts'!$A$5:$A$3000,0))&amp;"|"&amp;INDEX('Chart of Accounts'!$D$5:$D$3000,MATCH(T57&amp;"",'Chart of Accounts'!$A$5:$A$3000,0)),"")</f>
        <v/>
      </c>
      <c r="X57" s="23">
        <f>IFERROR(INDEX('Chart of Accounts'!$C$5:$C$3000,MATCH(R57&amp;"",'Chart of Accounts'!$A$5:$A$3000,0))&amp;"|"&amp;INDEX('Chart of Accounts'!$D$5:$D$3000,MATCH(R57&amp;"",'Chart of Accounts'!$A$5:$A$3000,0)),"")</f>
        <v/>
      </c>
      <c r="Y57" s="23">
        <f>IFERROR(INDEX('Chart of Accounts'!$C$5:$C$3000,MATCH(S57&amp;"",'Chart of Accounts'!$A$5:$A$3000,0))&amp;"|"&amp;INDEX('Chart of Accounts'!$D$5:$D$3000,MATCH(S57&amp;"",'Chart of Accounts'!$A$5:$A$3000,0)),"")</f>
        <v/>
      </c>
      <c r="Z57" s="23">
        <f>IFERROR(INDEX('Chart of Accounts'!$C$5:$C$3000,MATCH(U57&amp;"",'Chart of Accounts'!$A$5:$A$3000,0))&amp;"|"&amp;INDEX('Chart of Accounts'!$D$5:$D$3000,MATCH(U57&amp;"",'Chart of Accounts'!$A$5:$A$3000,0)),"")</f>
        <v/>
      </c>
      <c r="AA57" s="23">
        <f>IF(LEFT(V57,8)="Revenue|",-N(F57),0)+IF(LEFT(W57,8)="Revenue|",-N(M57),0)+IF(LEFT(X57,8)="Revenue|",N(O57),0)+IF(LEFT(Y57,8)="Revenue|",N(P57),0)+IF(LEFT(Z57,8)="Revenue|",N(N57),0)</f>
        <v/>
      </c>
      <c r="AB57" s="23">
        <f>IF(LEFT(V57,5)="COGS|",N(F57),0)+IF(LEFT(W57,5)="COGS|",N(M57),0)+IF(LEFT(X57,5)="COGS|",-N(O57),0)+IF(LEFT(Y57,5)="COGS|",-N(P57),0)+IF(LEFT(Z57,5)="COGS|",-N(N57),0)</f>
        <v/>
      </c>
      <c r="AC57" s="23">
        <f>IF(LEFT(V57,8)="Expense|",N(F57),0)+IF(LEFT(W57,8)="Expense|",N(M57),0)+IF(LEFT(X57,8)="Expense|",-N(O57),0)+IF(LEFT(Y57,8)="Expense|",-N(P57),0)+IF(LEFT(Z57,8)="Expense|",-N(N57),0)</f>
        <v/>
      </c>
      <c r="AD57" s="23">
        <f>IF(ISNUMBER(MATCH(V57,{"Expense|employee","Expense|general_admin","Expense|marketing","Expense|utilities","Expense|other_operating"},0)),N(F57),0)+IF(ISNUMBER(MATCH(W57,{"Expense|employee","Expense|general_admin","Expense|marketing","Expense|utilities","Expense|other_operating"},0)),N(M57),0)+IF(ISNUMBER(MATCH(X57,{"Expense|employee","Expense|general_admin","Expense|marketing","Expense|utilities","Expense|other_operating"},0)),-N(O57),0)+IF(ISNUMBER(MATCH(Y57,{"Expense|employee","Expense|general_admin","Expense|marketing","Expense|utilities","Expense|other_operating"},0)),-N(P57),0)+IF(ISNUMBER(MATCH(Z57,{"Expense|employee","Expense|general_admin","Expense|marketing","Expense|utilities","Expense|other_operating"},0)),-N(N57),0)</f>
        <v/>
      </c>
      <c r="AE57" s="23">
        <f>IF(V57="Liability|payable",-N(F57),0)+IF(W57="Liability|payable",-N(M57),0)+IF(X57="Liability|payable",N(O57),0)+IF(Y57="Liability|payable",N(P57),0)+IF(Z57="Liability|payable",N(N57),0)</f>
        <v/>
      </c>
      <c r="AF57" s="23">
        <f>IF(V57="Liability|accrued",-N(F57),0)+IF(W57="Liability|accrued",-N(M57),0)+IF(X57="Liability|accrued",N(O57),0)+IF(Y57="Liability|accrued",N(P57),0)+IF(Z57="Liability|accrued",N(N57),0)</f>
        <v/>
      </c>
      <c r="AG57" s="23">
        <f>IF(AND(N(F57)&lt;&gt;0,V57=""),1,0)+IF(AND(N(M57)&lt;&gt;0,W57=""),1,0)+IF(AND(N(O57)&lt;&gt;0,X57=""),1,0)+IF(AND(N(P57)&lt;&gt;0,Y57=""),1,0)+IF(AND(N(N57)&lt;&gt;0,Z57=""),1,0)</f>
        <v/>
      </c>
    </row>
    <row r="58">
      <c r="A58" s="19" t="n"/>
      <c r="B58" s="14" t="n"/>
      <c r="C58" s="14" t="n"/>
      <c r="D58" s="14" t="n"/>
      <c r="E58" s="14" t="n"/>
      <c r="F58" s="20" t="n"/>
      <c r="G58" s="20" t="n"/>
      <c r="H58" s="14" t="n"/>
      <c r="I58" s="14" t="n"/>
      <c r="J58" s="14" t="n"/>
      <c r="K58" s="14" t="n"/>
      <c r="L58" s="14" t="n"/>
      <c r="M58" s="21">
        <f>ROUND(N(F58)*IFERROR(VLOOKUP(K58,'Tax Codes'!$A$5:$E$300,5,FALSE),0),2)</f>
        <v/>
      </c>
      <c r="N58" s="21">
        <f>ROUND(N(F58)*IFERROR(VLOOKUP(L58,'Tax Codes'!$A$5:$E$300,5,FALSE),0),2)</f>
        <v/>
      </c>
      <c r="O58" s="21">
        <f>IF(G58="",N(F58)+M58-N58,N(G58))</f>
        <v/>
      </c>
      <c r="P58" s="21">
        <f>N(F58)+M58-N58-O58</f>
        <v/>
      </c>
      <c r="Q58" s="16">
        <f>IF(C58="",INDEX('Chart of Accounts'!$A$5:$A$3000,MATCH("other_overhead",'Chart of Accounts'!$F$5:$F$3000,0)),C58&amp;"")</f>
        <v/>
      </c>
      <c r="R58" s="16">
        <f>IF(I58="",INDEX('Chart of Accounts'!$A$5:$A$3000,MATCH("bank",'Chart of Accounts'!$F$5:$F$3000,0)),I58&amp;"")</f>
        <v/>
      </c>
      <c r="S58" s="16">
        <f>IF(J58="",INDEX('Chart of Accounts'!$A$5:$A$3000,MATCH("ap",'Chart of Accounts'!$F$5:$F$3000,0)),J58&amp;"")</f>
        <v/>
      </c>
      <c r="T58" s="16">
        <f>INDEX('Chart of Accounts'!$A$5:$A$3000,MATCH("vat_input",'Chart of Accounts'!$F$5:$F$3000,0))</f>
        <v/>
      </c>
      <c r="U58" s="16">
        <f>INDEX('Chart of Accounts'!$A$5:$A$3000,MATCH("wht_payable",'Chart of Accounts'!$F$5:$F$3000,0))</f>
        <v/>
      </c>
      <c r="V58" s="23">
        <f>IFERROR(INDEX('Chart of Accounts'!$C$5:$C$3000,MATCH(Q58&amp;"",'Chart of Accounts'!$A$5:$A$3000,0))&amp;"|"&amp;INDEX('Chart of Accounts'!$D$5:$D$3000,MATCH(Q58&amp;"",'Chart of Accounts'!$A$5:$A$3000,0)),"")</f>
        <v/>
      </c>
      <c r="W58" s="23">
        <f>IFERROR(INDEX('Chart of Accounts'!$C$5:$C$3000,MATCH(T58&amp;"",'Chart of Accounts'!$A$5:$A$3000,0))&amp;"|"&amp;INDEX('Chart of Accounts'!$D$5:$D$3000,MATCH(T58&amp;"",'Chart of Accounts'!$A$5:$A$3000,0)),"")</f>
        <v/>
      </c>
      <c r="X58" s="23">
        <f>IFERROR(INDEX('Chart of Accounts'!$C$5:$C$3000,MATCH(R58&amp;"",'Chart of Accounts'!$A$5:$A$3000,0))&amp;"|"&amp;INDEX('Chart of Accounts'!$D$5:$D$3000,MATCH(R58&amp;"",'Chart of Accounts'!$A$5:$A$3000,0)),"")</f>
        <v/>
      </c>
      <c r="Y58" s="23">
        <f>IFERROR(INDEX('Chart of Accounts'!$C$5:$C$3000,MATCH(S58&amp;"",'Chart of Accounts'!$A$5:$A$3000,0))&amp;"|"&amp;INDEX('Chart of Accounts'!$D$5:$D$3000,MATCH(S58&amp;"",'Chart of Accounts'!$A$5:$A$3000,0)),"")</f>
        <v/>
      </c>
      <c r="Z58" s="23">
        <f>IFERROR(INDEX('Chart of Accounts'!$C$5:$C$3000,MATCH(U58&amp;"",'Chart of Accounts'!$A$5:$A$3000,0))&amp;"|"&amp;INDEX('Chart of Accounts'!$D$5:$D$3000,MATCH(U58&amp;"",'Chart of Accounts'!$A$5:$A$3000,0)),"")</f>
        <v/>
      </c>
      <c r="AA58" s="23">
        <f>IF(LEFT(V58,8)="Revenue|",-N(F58),0)+IF(LEFT(W58,8)="Revenue|",-N(M58),0)+IF(LEFT(X58,8)="Revenue|",N(O58),0)+IF(LEFT(Y58,8)="Revenue|",N(P58),0)+IF(LEFT(Z58,8)="Revenue|",N(N58),0)</f>
        <v/>
      </c>
      <c r="AB58" s="23">
        <f>IF(LEFT(V58,5)="COGS|",N(F58),0)+IF(LEFT(W58,5)="COGS|",N(M58),0)+IF(LEFT(X58,5)="COGS|",-N(O58),0)+IF(LEFT(Y58,5)="COGS|",-N(P58),0)+IF(LEFT(Z58,5)="COGS|",-N(N58),0)</f>
        <v/>
      </c>
      <c r="AC58" s="23">
        <f>IF(LEFT(V58,8)="Expense|",N(F58),0)+IF(LEFT(W58,8)="Expense|",N(M58),0)+IF(LEFT(X58,8)="Expense|",-N(O58),0)+IF(LEFT(Y58,8)="Expense|",-N(P58),0)+IF(LEFT(Z58,8)="Expense|",-N(N58),0)</f>
        <v/>
      </c>
      <c r="AD58" s="23">
        <f>IF(ISNUMBER(MATCH(V58,{"Expense|employee","Expense|general_admin","Expense|marketing","Expense|utilities","Expense|other_operating"},0)),N(F58),0)+IF(ISNUMBER(MATCH(W58,{"Expense|employee","Expense|general_admin","Expense|marketing","Expense|utilities","Expense|other_operating"},0)),N(M58),0)+IF(ISNUMBER(MATCH(X58,{"Expense|employee","Expense|general_admin","Expense|marketing","Expense|utilities","Expense|other_operating"},0)),-N(O58),0)+IF(ISNUMBER(MATCH(Y58,{"Expense|employee","Expense|general_admin","Expense|marketing","Expense|utilities","Expense|other_operating"},0)),-N(P58),0)+IF(ISNUMBER(MATCH(Z58,{"Expense|employee","Expense|general_admin","Expense|marketing","Expense|utilities","Expense|other_operating"},0)),-N(N58),0)</f>
        <v/>
      </c>
      <c r="AE58" s="23">
        <f>IF(V58="Liability|payable",-N(F58),0)+IF(W58="Liability|payable",-N(M58),0)+IF(X58="Liability|payable",N(O58),0)+IF(Y58="Liability|payable",N(P58),0)+IF(Z58="Liability|payable",N(N58),0)</f>
        <v/>
      </c>
      <c r="AF58" s="23">
        <f>IF(V58="Liability|accrued",-N(F58),0)+IF(W58="Liability|accrued",-N(M58),0)+IF(X58="Liability|accrued",N(O58),0)+IF(Y58="Liability|accrued",N(P58),0)+IF(Z58="Liability|accrued",N(N58),0)</f>
        <v/>
      </c>
      <c r="AG58" s="23">
        <f>IF(AND(N(F58)&lt;&gt;0,V58=""),1,0)+IF(AND(N(M58)&lt;&gt;0,W58=""),1,0)+IF(AND(N(O58)&lt;&gt;0,X58=""),1,0)+IF(AND(N(P58)&lt;&gt;0,Y58=""),1,0)+IF(AND(N(N58)&lt;&gt;0,Z58=""),1,0)</f>
        <v/>
      </c>
    </row>
    <row r="59">
      <c r="A59" s="19" t="n"/>
      <c r="B59" s="14" t="n"/>
      <c r="C59" s="14" t="n"/>
      <c r="D59" s="14" t="n"/>
      <c r="E59" s="14" t="n"/>
      <c r="F59" s="20" t="n"/>
      <c r="G59" s="20" t="n"/>
      <c r="H59" s="14" t="n"/>
      <c r="I59" s="14" t="n"/>
      <c r="J59" s="14" t="n"/>
      <c r="K59" s="14" t="n"/>
      <c r="L59" s="14" t="n"/>
      <c r="M59" s="21">
        <f>ROUND(N(F59)*IFERROR(VLOOKUP(K59,'Tax Codes'!$A$5:$E$300,5,FALSE),0),2)</f>
        <v/>
      </c>
      <c r="N59" s="21">
        <f>ROUND(N(F59)*IFERROR(VLOOKUP(L59,'Tax Codes'!$A$5:$E$300,5,FALSE),0),2)</f>
        <v/>
      </c>
      <c r="O59" s="21">
        <f>IF(G59="",N(F59)+M59-N59,N(G59))</f>
        <v/>
      </c>
      <c r="P59" s="21">
        <f>N(F59)+M59-N59-O59</f>
        <v/>
      </c>
      <c r="Q59" s="16">
        <f>IF(C59="",INDEX('Chart of Accounts'!$A$5:$A$3000,MATCH("other_overhead",'Chart of Accounts'!$F$5:$F$3000,0)),C59&amp;"")</f>
        <v/>
      </c>
      <c r="R59" s="16">
        <f>IF(I59="",INDEX('Chart of Accounts'!$A$5:$A$3000,MATCH("bank",'Chart of Accounts'!$F$5:$F$3000,0)),I59&amp;"")</f>
        <v/>
      </c>
      <c r="S59" s="16">
        <f>IF(J59="",INDEX('Chart of Accounts'!$A$5:$A$3000,MATCH("ap",'Chart of Accounts'!$F$5:$F$3000,0)),J59&amp;"")</f>
        <v/>
      </c>
      <c r="T59" s="16">
        <f>INDEX('Chart of Accounts'!$A$5:$A$3000,MATCH("vat_input",'Chart of Accounts'!$F$5:$F$3000,0))</f>
        <v/>
      </c>
      <c r="U59" s="16">
        <f>INDEX('Chart of Accounts'!$A$5:$A$3000,MATCH("wht_payable",'Chart of Accounts'!$F$5:$F$3000,0))</f>
        <v/>
      </c>
      <c r="V59" s="23">
        <f>IFERROR(INDEX('Chart of Accounts'!$C$5:$C$3000,MATCH(Q59&amp;"",'Chart of Accounts'!$A$5:$A$3000,0))&amp;"|"&amp;INDEX('Chart of Accounts'!$D$5:$D$3000,MATCH(Q59&amp;"",'Chart of Accounts'!$A$5:$A$3000,0)),"")</f>
        <v/>
      </c>
      <c r="W59" s="23">
        <f>IFERROR(INDEX('Chart of Accounts'!$C$5:$C$3000,MATCH(T59&amp;"",'Chart of Accounts'!$A$5:$A$3000,0))&amp;"|"&amp;INDEX('Chart of Accounts'!$D$5:$D$3000,MATCH(T59&amp;"",'Chart of Accounts'!$A$5:$A$3000,0)),"")</f>
        <v/>
      </c>
      <c r="X59" s="23">
        <f>IFERROR(INDEX('Chart of Accounts'!$C$5:$C$3000,MATCH(R59&amp;"",'Chart of Accounts'!$A$5:$A$3000,0))&amp;"|"&amp;INDEX('Chart of Accounts'!$D$5:$D$3000,MATCH(R59&amp;"",'Chart of Accounts'!$A$5:$A$3000,0)),"")</f>
        <v/>
      </c>
      <c r="Y59" s="23">
        <f>IFERROR(INDEX('Chart of Accounts'!$C$5:$C$3000,MATCH(S59&amp;"",'Chart of Accounts'!$A$5:$A$3000,0))&amp;"|"&amp;INDEX('Chart of Accounts'!$D$5:$D$3000,MATCH(S59&amp;"",'Chart of Accounts'!$A$5:$A$3000,0)),"")</f>
        <v/>
      </c>
      <c r="Z59" s="23">
        <f>IFERROR(INDEX('Chart of Accounts'!$C$5:$C$3000,MATCH(U59&amp;"",'Chart of Accounts'!$A$5:$A$3000,0))&amp;"|"&amp;INDEX('Chart of Accounts'!$D$5:$D$3000,MATCH(U59&amp;"",'Chart of Accounts'!$A$5:$A$3000,0)),"")</f>
        <v/>
      </c>
      <c r="AA59" s="23">
        <f>IF(LEFT(V59,8)="Revenue|",-N(F59),0)+IF(LEFT(W59,8)="Revenue|",-N(M59),0)+IF(LEFT(X59,8)="Revenue|",N(O59),0)+IF(LEFT(Y59,8)="Revenue|",N(P59),0)+IF(LEFT(Z59,8)="Revenue|",N(N59),0)</f>
        <v/>
      </c>
      <c r="AB59" s="23">
        <f>IF(LEFT(V59,5)="COGS|",N(F59),0)+IF(LEFT(W59,5)="COGS|",N(M59),0)+IF(LEFT(X59,5)="COGS|",-N(O59),0)+IF(LEFT(Y59,5)="COGS|",-N(P59),0)+IF(LEFT(Z59,5)="COGS|",-N(N59),0)</f>
        <v/>
      </c>
      <c r="AC59" s="23">
        <f>IF(LEFT(V59,8)="Expense|",N(F59),0)+IF(LEFT(W59,8)="Expense|",N(M59),0)+IF(LEFT(X59,8)="Expense|",-N(O59),0)+IF(LEFT(Y59,8)="Expense|",-N(P59),0)+IF(LEFT(Z59,8)="Expense|",-N(N59),0)</f>
        <v/>
      </c>
      <c r="AD59" s="23">
        <f>IF(ISNUMBER(MATCH(V59,{"Expense|employee","Expense|general_admin","Expense|marketing","Expense|utilities","Expense|other_operating"},0)),N(F59),0)+IF(ISNUMBER(MATCH(W59,{"Expense|employee","Expense|general_admin","Expense|marketing","Expense|utilities","Expense|other_operating"},0)),N(M59),0)+IF(ISNUMBER(MATCH(X59,{"Expense|employee","Expense|general_admin","Expense|marketing","Expense|utilities","Expense|other_operating"},0)),-N(O59),0)+IF(ISNUMBER(MATCH(Y59,{"Expense|employee","Expense|general_admin","Expense|marketing","Expense|utilities","Expense|other_operating"},0)),-N(P59),0)+IF(ISNUMBER(MATCH(Z59,{"Expense|employee","Expense|general_admin","Expense|marketing","Expense|utilities","Expense|other_operating"},0)),-N(N59),0)</f>
        <v/>
      </c>
      <c r="AE59" s="23">
        <f>IF(V59="Liability|payable",-N(F59),0)+IF(W59="Liability|payable",-N(M59),0)+IF(X59="Liability|payable",N(O59),0)+IF(Y59="Liability|payable",N(P59),0)+IF(Z59="Liability|payable",N(N59),0)</f>
        <v/>
      </c>
      <c r="AF59" s="23">
        <f>IF(V59="Liability|accrued",-N(F59),0)+IF(W59="Liability|accrued",-N(M59),0)+IF(X59="Liability|accrued",N(O59),0)+IF(Y59="Liability|accrued",N(P59),0)+IF(Z59="Liability|accrued",N(N59),0)</f>
        <v/>
      </c>
      <c r="AG59" s="23">
        <f>IF(AND(N(F59)&lt;&gt;0,V59=""),1,0)+IF(AND(N(M59)&lt;&gt;0,W59=""),1,0)+IF(AND(N(O59)&lt;&gt;0,X59=""),1,0)+IF(AND(N(P59)&lt;&gt;0,Y59=""),1,0)+IF(AND(N(N59)&lt;&gt;0,Z59=""),1,0)</f>
        <v/>
      </c>
    </row>
    <row r="60">
      <c r="A60" s="19" t="n"/>
      <c r="B60" s="14" t="n"/>
      <c r="C60" s="14" t="n"/>
      <c r="D60" s="14" t="n"/>
      <c r="E60" s="14" t="n"/>
      <c r="F60" s="20" t="n"/>
      <c r="G60" s="20" t="n"/>
      <c r="H60" s="14" t="n"/>
      <c r="I60" s="14" t="n"/>
      <c r="J60" s="14" t="n"/>
      <c r="K60" s="14" t="n"/>
      <c r="L60" s="14" t="n"/>
      <c r="M60" s="21">
        <f>ROUND(N(F60)*IFERROR(VLOOKUP(K60,'Tax Codes'!$A$5:$E$300,5,FALSE),0),2)</f>
        <v/>
      </c>
      <c r="N60" s="21">
        <f>ROUND(N(F60)*IFERROR(VLOOKUP(L60,'Tax Codes'!$A$5:$E$300,5,FALSE),0),2)</f>
        <v/>
      </c>
      <c r="O60" s="21">
        <f>IF(G60="",N(F60)+M60-N60,N(G60))</f>
        <v/>
      </c>
      <c r="P60" s="21">
        <f>N(F60)+M60-N60-O60</f>
        <v/>
      </c>
      <c r="Q60" s="16">
        <f>IF(C60="",INDEX('Chart of Accounts'!$A$5:$A$3000,MATCH("other_overhead",'Chart of Accounts'!$F$5:$F$3000,0)),C60&amp;"")</f>
        <v/>
      </c>
      <c r="R60" s="16">
        <f>IF(I60="",INDEX('Chart of Accounts'!$A$5:$A$3000,MATCH("bank",'Chart of Accounts'!$F$5:$F$3000,0)),I60&amp;"")</f>
        <v/>
      </c>
      <c r="S60" s="16">
        <f>IF(J60="",INDEX('Chart of Accounts'!$A$5:$A$3000,MATCH("ap",'Chart of Accounts'!$F$5:$F$3000,0)),J60&amp;"")</f>
        <v/>
      </c>
      <c r="T60" s="16">
        <f>INDEX('Chart of Accounts'!$A$5:$A$3000,MATCH("vat_input",'Chart of Accounts'!$F$5:$F$3000,0))</f>
        <v/>
      </c>
      <c r="U60" s="16">
        <f>INDEX('Chart of Accounts'!$A$5:$A$3000,MATCH("wht_payable",'Chart of Accounts'!$F$5:$F$3000,0))</f>
        <v/>
      </c>
      <c r="V60" s="23">
        <f>IFERROR(INDEX('Chart of Accounts'!$C$5:$C$3000,MATCH(Q60&amp;"",'Chart of Accounts'!$A$5:$A$3000,0))&amp;"|"&amp;INDEX('Chart of Accounts'!$D$5:$D$3000,MATCH(Q60&amp;"",'Chart of Accounts'!$A$5:$A$3000,0)),"")</f>
        <v/>
      </c>
      <c r="W60" s="23">
        <f>IFERROR(INDEX('Chart of Accounts'!$C$5:$C$3000,MATCH(T60&amp;"",'Chart of Accounts'!$A$5:$A$3000,0))&amp;"|"&amp;INDEX('Chart of Accounts'!$D$5:$D$3000,MATCH(T60&amp;"",'Chart of Accounts'!$A$5:$A$3000,0)),"")</f>
        <v/>
      </c>
      <c r="X60" s="23">
        <f>IFERROR(INDEX('Chart of Accounts'!$C$5:$C$3000,MATCH(R60&amp;"",'Chart of Accounts'!$A$5:$A$3000,0))&amp;"|"&amp;INDEX('Chart of Accounts'!$D$5:$D$3000,MATCH(R60&amp;"",'Chart of Accounts'!$A$5:$A$3000,0)),"")</f>
        <v/>
      </c>
      <c r="Y60" s="23">
        <f>IFERROR(INDEX('Chart of Accounts'!$C$5:$C$3000,MATCH(S60&amp;"",'Chart of Accounts'!$A$5:$A$3000,0))&amp;"|"&amp;INDEX('Chart of Accounts'!$D$5:$D$3000,MATCH(S60&amp;"",'Chart of Accounts'!$A$5:$A$3000,0)),"")</f>
        <v/>
      </c>
      <c r="Z60" s="23">
        <f>IFERROR(INDEX('Chart of Accounts'!$C$5:$C$3000,MATCH(U60&amp;"",'Chart of Accounts'!$A$5:$A$3000,0))&amp;"|"&amp;INDEX('Chart of Accounts'!$D$5:$D$3000,MATCH(U60&amp;"",'Chart of Accounts'!$A$5:$A$3000,0)),"")</f>
        <v/>
      </c>
      <c r="AA60" s="23">
        <f>IF(LEFT(V60,8)="Revenue|",-N(F60),0)+IF(LEFT(W60,8)="Revenue|",-N(M60),0)+IF(LEFT(X60,8)="Revenue|",N(O60),0)+IF(LEFT(Y60,8)="Revenue|",N(P60),0)+IF(LEFT(Z60,8)="Revenue|",N(N60),0)</f>
        <v/>
      </c>
      <c r="AB60" s="23">
        <f>IF(LEFT(V60,5)="COGS|",N(F60),0)+IF(LEFT(W60,5)="COGS|",N(M60),0)+IF(LEFT(X60,5)="COGS|",-N(O60),0)+IF(LEFT(Y60,5)="COGS|",-N(P60),0)+IF(LEFT(Z60,5)="COGS|",-N(N60),0)</f>
        <v/>
      </c>
      <c r="AC60" s="23">
        <f>IF(LEFT(V60,8)="Expense|",N(F60),0)+IF(LEFT(W60,8)="Expense|",N(M60),0)+IF(LEFT(X60,8)="Expense|",-N(O60),0)+IF(LEFT(Y60,8)="Expense|",-N(P60),0)+IF(LEFT(Z60,8)="Expense|",-N(N60),0)</f>
        <v/>
      </c>
      <c r="AD60" s="23">
        <f>IF(ISNUMBER(MATCH(V60,{"Expense|employee","Expense|general_admin","Expense|marketing","Expense|utilities","Expense|other_operating"},0)),N(F60),0)+IF(ISNUMBER(MATCH(W60,{"Expense|employee","Expense|general_admin","Expense|marketing","Expense|utilities","Expense|other_operating"},0)),N(M60),0)+IF(ISNUMBER(MATCH(X60,{"Expense|employee","Expense|general_admin","Expense|marketing","Expense|utilities","Expense|other_operating"},0)),-N(O60),0)+IF(ISNUMBER(MATCH(Y60,{"Expense|employee","Expense|general_admin","Expense|marketing","Expense|utilities","Expense|other_operating"},0)),-N(P60),0)+IF(ISNUMBER(MATCH(Z60,{"Expense|employee","Expense|general_admin","Expense|marketing","Expense|utilities","Expense|other_operating"},0)),-N(N60),0)</f>
        <v/>
      </c>
      <c r="AE60" s="23">
        <f>IF(V60="Liability|payable",-N(F60),0)+IF(W60="Liability|payable",-N(M60),0)+IF(X60="Liability|payable",N(O60),0)+IF(Y60="Liability|payable",N(P60),0)+IF(Z60="Liability|payable",N(N60),0)</f>
        <v/>
      </c>
      <c r="AF60" s="23">
        <f>IF(V60="Liability|accrued",-N(F60),0)+IF(W60="Liability|accrued",-N(M60),0)+IF(X60="Liability|accrued",N(O60),0)+IF(Y60="Liability|accrued",N(P60),0)+IF(Z60="Liability|accrued",N(N60),0)</f>
        <v/>
      </c>
      <c r="AG60" s="23">
        <f>IF(AND(N(F60)&lt;&gt;0,V60=""),1,0)+IF(AND(N(M60)&lt;&gt;0,W60=""),1,0)+IF(AND(N(O60)&lt;&gt;0,X60=""),1,0)+IF(AND(N(P60)&lt;&gt;0,Y60=""),1,0)+IF(AND(N(N60)&lt;&gt;0,Z60=""),1,0)</f>
        <v/>
      </c>
    </row>
    <row r="61">
      <c r="A61" s="19" t="n"/>
      <c r="B61" s="14" t="n"/>
      <c r="C61" s="14" t="n"/>
      <c r="D61" s="14" t="n"/>
      <c r="E61" s="14" t="n"/>
      <c r="F61" s="20" t="n"/>
      <c r="G61" s="20" t="n"/>
      <c r="H61" s="14" t="n"/>
      <c r="I61" s="14" t="n"/>
      <c r="J61" s="14" t="n"/>
      <c r="K61" s="14" t="n"/>
      <c r="L61" s="14" t="n"/>
      <c r="M61" s="21">
        <f>ROUND(N(F61)*IFERROR(VLOOKUP(K61,'Tax Codes'!$A$5:$E$300,5,FALSE),0),2)</f>
        <v/>
      </c>
      <c r="N61" s="21">
        <f>ROUND(N(F61)*IFERROR(VLOOKUP(L61,'Tax Codes'!$A$5:$E$300,5,FALSE),0),2)</f>
        <v/>
      </c>
      <c r="O61" s="21">
        <f>IF(G61="",N(F61)+M61-N61,N(G61))</f>
        <v/>
      </c>
      <c r="P61" s="21">
        <f>N(F61)+M61-N61-O61</f>
        <v/>
      </c>
      <c r="Q61" s="16">
        <f>IF(C61="",INDEX('Chart of Accounts'!$A$5:$A$3000,MATCH("other_overhead",'Chart of Accounts'!$F$5:$F$3000,0)),C61&amp;"")</f>
        <v/>
      </c>
      <c r="R61" s="16">
        <f>IF(I61="",INDEX('Chart of Accounts'!$A$5:$A$3000,MATCH("bank",'Chart of Accounts'!$F$5:$F$3000,0)),I61&amp;"")</f>
        <v/>
      </c>
      <c r="S61" s="16">
        <f>IF(J61="",INDEX('Chart of Accounts'!$A$5:$A$3000,MATCH("ap",'Chart of Accounts'!$F$5:$F$3000,0)),J61&amp;"")</f>
        <v/>
      </c>
      <c r="T61" s="16">
        <f>INDEX('Chart of Accounts'!$A$5:$A$3000,MATCH("vat_input",'Chart of Accounts'!$F$5:$F$3000,0))</f>
        <v/>
      </c>
      <c r="U61" s="16">
        <f>INDEX('Chart of Accounts'!$A$5:$A$3000,MATCH("wht_payable",'Chart of Accounts'!$F$5:$F$3000,0))</f>
        <v/>
      </c>
      <c r="V61" s="23">
        <f>IFERROR(INDEX('Chart of Accounts'!$C$5:$C$3000,MATCH(Q61&amp;"",'Chart of Accounts'!$A$5:$A$3000,0))&amp;"|"&amp;INDEX('Chart of Accounts'!$D$5:$D$3000,MATCH(Q61&amp;"",'Chart of Accounts'!$A$5:$A$3000,0)),"")</f>
        <v/>
      </c>
      <c r="W61" s="23">
        <f>IFERROR(INDEX('Chart of Accounts'!$C$5:$C$3000,MATCH(T61&amp;"",'Chart of Accounts'!$A$5:$A$3000,0))&amp;"|"&amp;INDEX('Chart of Accounts'!$D$5:$D$3000,MATCH(T61&amp;"",'Chart of Accounts'!$A$5:$A$3000,0)),"")</f>
        <v/>
      </c>
      <c r="X61" s="23">
        <f>IFERROR(INDEX('Chart of Accounts'!$C$5:$C$3000,MATCH(R61&amp;"",'Chart of Accounts'!$A$5:$A$3000,0))&amp;"|"&amp;INDEX('Chart of Accounts'!$D$5:$D$3000,MATCH(R61&amp;"",'Chart of Accounts'!$A$5:$A$3000,0)),"")</f>
        <v/>
      </c>
      <c r="Y61" s="23">
        <f>IFERROR(INDEX('Chart of Accounts'!$C$5:$C$3000,MATCH(S61&amp;"",'Chart of Accounts'!$A$5:$A$3000,0))&amp;"|"&amp;INDEX('Chart of Accounts'!$D$5:$D$3000,MATCH(S61&amp;"",'Chart of Accounts'!$A$5:$A$3000,0)),"")</f>
        <v/>
      </c>
      <c r="Z61" s="23">
        <f>IFERROR(INDEX('Chart of Accounts'!$C$5:$C$3000,MATCH(U61&amp;"",'Chart of Accounts'!$A$5:$A$3000,0))&amp;"|"&amp;INDEX('Chart of Accounts'!$D$5:$D$3000,MATCH(U61&amp;"",'Chart of Accounts'!$A$5:$A$3000,0)),"")</f>
        <v/>
      </c>
      <c r="AA61" s="23">
        <f>IF(LEFT(V61,8)="Revenue|",-N(F61),0)+IF(LEFT(W61,8)="Revenue|",-N(M61),0)+IF(LEFT(X61,8)="Revenue|",N(O61),0)+IF(LEFT(Y61,8)="Revenue|",N(P61),0)+IF(LEFT(Z61,8)="Revenue|",N(N61),0)</f>
        <v/>
      </c>
      <c r="AB61" s="23">
        <f>IF(LEFT(V61,5)="COGS|",N(F61),0)+IF(LEFT(W61,5)="COGS|",N(M61),0)+IF(LEFT(X61,5)="COGS|",-N(O61),0)+IF(LEFT(Y61,5)="COGS|",-N(P61),0)+IF(LEFT(Z61,5)="COGS|",-N(N61),0)</f>
        <v/>
      </c>
      <c r="AC61" s="23">
        <f>IF(LEFT(V61,8)="Expense|",N(F61),0)+IF(LEFT(W61,8)="Expense|",N(M61),0)+IF(LEFT(X61,8)="Expense|",-N(O61),0)+IF(LEFT(Y61,8)="Expense|",-N(P61),0)+IF(LEFT(Z61,8)="Expense|",-N(N61),0)</f>
        <v/>
      </c>
      <c r="AD61" s="23">
        <f>IF(ISNUMBER(MATCH(V61,{"Expense|employee","Expense|general_admin","Expense|marketing","Expense|utilities","Expense|other_operating"},0)),N(F61),0)+IF(ISNUMBER(MATCH(W61,{"Expense|employee","Expense|general_admin","Expense|marketing","Expense|utilities","Expense|other_operating"},0)),N(M61),0)+IF(ISNUMBER(MATCH(X61,{"Expense|employee","Expense|general_admin","Expense|marketing","Expense|utilities","Expense|other_operating"},0)),-N(O61),0)+IF(ISNUMBER(MATCH(Y61,{"Expense|employee","Expense|general_admin","Expense|marketing","Expense|utilities","Expense|other_operating"},0)),-N(P61),0)+IF(ISNUMBER(MATCH(Z61,{"Expense|employee","Expense|general_admin","Expense|marketing","Expense|utilities","Expense|other_operating"},0)),-N(N61),0)</f>
        <v/>
      </c>
      <c r="AE61" s="23">
        <f>IF(V61="Liability|payable",-N(F61),0)+IF(W61="Liability|payable",-N(M61),0)+IF(X61="Liability|payable",N(O61),0)+IF(Y61="Liability|payable",N(P61),0)+IF(Z61="Liability|payable",N(N61),0)</f>
        <v/>
      </c>
      <c r="AF61" s="23">
        <f>IF(V61="Liability|accrued",-N(F61),0)+IF(W61="Liability|accrued",-N(M61),0)+IF(X61="Liability|accrued",N(O61),0)+IF(Y61="Liability|accrued",N(P61),0)+IF(Z61="Liability|accrued",N(N61),0)</f>
        <v/>
      </c>
      <c r="AG61" s="23">
        <f>IF(AND(N(F61)&lt;&gt;0,V61=""),1,0)+IF(AND(N(M61)&lt;&gt;0,W61=""),1,0)+IF(AND(N(O61)&lt;&gt;0,X61=""),1,0)+IF(AND(N(P61)&lt;&gt;0,Y61=""),1,0)+IF(AND(N(N61)&lt;&gt;0,Z61=""),1,0)</f>
        <v/>
      </c>
    </row>
    <row r="62">
      <c r="A62" s="19" t="n"/>
      <c r="B62" s="14" t="n"/>
      <c r="C62" s="14" t="n"/>
      <c r="D62" s="14" t="n"/>
      <c r="E62" s="14" t="n"/>
      <c r="F62" s="20" t="n"/>
      <c r="G62" s="20" t="n"/>
      <c r="H62" s="14" t="n"/>
      <c r="I62" s="14" t="n"/>
      <c r="J62" s="14" t="n"/>
      <c r="K62" s="14" t="n"/>
      <c r="L62" s="14" t="n"/>
      <c r="M62" s="21">
        <f>ROUND(N(F62)*IFERROR(VLOOKUP(K62,'Tax Codes'!$A$5:$E$300,5,FALSE),0),2)</f>
        <v/>
      </c>
      <c r="N62" s="21">
        <f>ROUND(N(F62)*IFERROR(VLOOKUP(L62,'Tax Codes'!$A$5:$E$300,5,FALSE),0),2)</f>
        <v/>
      </c>
      <c r="O62" s="21">
        <f>IF(G62="",N(F62)+M62-N62,N(G62))</f>
        <v/>
      </c>
      <c r="P62" s="21">
        <f>N(F62)+M62-N62-O62</f>
        <v/>
      </c>
      <c r="Q62" s="16">
        <f>IF(C62="",INDEX('Chart of Accounts'!$A$5:$A$3000,MATCH("other_overhead",'Chart of Accounts'!$F$5:$F$3000,0)),C62&amp;"")</f>
        <v/>
      </c>
      <c r="R62" s="16">
        <f>IF(I62="",INDEX('Chart of Accounts'!$A$5:$A$3000,MATCH("bank",'Chart of Accounts'!$F$5:$F$3000,0)),I62&amp;"")</f>
        <v/>
      </c>
      <c r="S62" s="16">
        <f>IF(J62="",INDEX('Chart of Accounts'!$A$5:$A$3000,MATCH("ap",'Chart of Accounts'!$F$5:$F$3000,0)),J62&amp;"")</f>
        <v/>
      </c>
      <c r="T62" s="16">
        <f>INDEX('Chart of Accounts'!$A$5:$A$3000,MATCH("vat_input",'Chart of Accounts'!$F$5:$F$3000,0))</f>
        <v/>
      </c>
      <c r="U62" s="16">
        <f>INDEX('Chart of Accounts'!$A$5:$A$3000,MATCH("wht_payable",'Chart of Accounts'!$F$5:$F$3000,0))</f>
        <v/>
      </c>
      <c r="V62" s="23">
        <f>IFERROR(INDEX('Chart of Accounts'!$C$5:$C$3000,MATCH(Q62&amp;"",'Chart of Accounts'!$A$5:$A$3000,0))&amp;"|"&amp;INDEX('Chart of Accounts'!$D$5:$D$3000,MATCH(Q62&amp;"",'Chart of Accounts'!$A$5:$A$3000,0)),"")</f>
        <v/>
      </c>
      <c r="W62" s="23">
        <f>IFERROR(INDEX('Chart of Accounts'!$C$5:$C$3000,MATCH(T62&amp;"",'Chart of Accounts'!$A$5:$A$3000,0))&amp;"|"&amp;INDEX('Chart of Accounts'!$D$5:$D$3000,MATCH(T62&amp;"",'Chart of Accounts'!$A$5:$A$3000,0)),"")</f>
        <v/>
      </c>
      <c r="X62" s="23">
        <f>IFERROR(INDEX('Chart of Accounts'!$C$5:$C$3000,MATCH(R62&amp;"",'Chart of Accounts'!$A$5:$A$3000,0))&amp;"|"&amp;INDEX('Chart of Accounts'!$D$5:$D$3000,MATCH(R62&amp;"",'Chart of Accounts'!$A$5:$A$3000,0)),"")</f>
        <v/>
      </c>
      <c r="Y62" s="23">
        <f>IFERROR(INDEX('Chart of Accounts'!$C$5:$C$3000,MATCH(S62&amp;"",'Chart of Accounts'!$A$5:$A$3000,0))&amp;"|"&amp;INDEX('Chart of Accounts'!$D$5:$D$3000,MATCH(S62&amp;"",'Chart of Accounts'!$A$5:$A$3000,0)),"")</f>
        <v/>
      </c>
      <c r="Z62" s="23">
        <f>IFERROR(INDEX('Chart of Accounts'!$C$5:$C$3000,MATCH(U62&amp;"",'Chart of Accounts'!$A$5:$A$3000,0))&amp;"|"&amp;INDEX('Chart of Accounts'!$D$5:$D$3000,MATCH(U62&amp;"",'Chart of Accounts'!$A$5:$A$3000,0)),"")</f>
        <v/>
      </c>
      <c r="AA62" s="23">
        <f>IF(LEFT(V62,8)="Revenue|",-N(F62),0)+IF(LEFT(W62,8)="Revenue|",-N(M62),0)+IF(LEFT(X62,8)="Revenue|",N(O62),0)+IF(LEFT(Y62,8)="Revenue|",N(P62),0)+IF(LEFT(Z62,8)="Revenue|",N(N62),0)</f>
        <v/>
      </c>
      <c r="AB62" s="23">
        <f>IF(LEFT(V62,5)="COGS|",N(F62),0)+IF(LEFT(W62,5)="COGS|",N(M62),0)+IF(LEFT(X62,5)="COGS|",-N(O62),0)+IF(LEFT(Y62,5)="COGS|",-N(P62),0)+IF(LEFT(Z62,5)="COGS|",-N(N62),0)</f>
        <v/>
      </c>
      <c r="AC62" s="23">
        <f>IF(LEFT(V62,8)="Expense|",N(F62),0)+IF(LEFT(W62,8)="Expense|",N(M62),0)+IF(LEFT(X62,8)="Expense|",-N(O62),0)+IF(LEFT(Y62,8)="Expense|",-N(P62),0)+IF(LEFT(Z62,8)="Expense|",-N(N62),0)</f>
        <v/>
      </c>
      <c r="AD62" s="23">
        <f>IF(ISNUMBER(MATCH(V62,{"Expense|employee","Expense|general_admin","Expense|marketing","Expense|utilities","Expense|other_operating"},0)),N(F62),0)+IF(ISNUMBER(MATCH(W62,{"Expense|employee","Expense|general_admin","Expense|marketing","Expense|utilities","Expense|other_operating"},0)),N(M62),0)+IF(ISNUMBER(MATCH(X62,{"Expense|employee","Expense|general_admin","Expense|marketing","Expense|utilities","Expense|other_operating"},0)),-N(O62),0)+IF(ISNUMBER(MATCH(Y62,{"Expense|employee","Expense|general_admin","Expense|marketing","Expense|utilities","Expense|other_operating"},0)),-N(P62),0)+IF(ISNUMBER(MATCH(Z62,{"Expense|employee","Expense|general_admin","Expense|marketing","Expense|utilities","Expense|other_operating"},0)),-N(N62),0)</f>
        <v/>
      </c>
      <c r="AE62" s="23">
        <f>IF(V62="Liability|payable",-N(F62),0)+IF(W62="Liability|payable",-N(M62),0)+IF(X62="Liability|payable",N(O62),0)+IF(Y62="Liability|payable",N(P62),0)+IF(Z62="Liability|payable",N(N62),0)</f>
        <v/>
      </c>
      <c r="AF62" s="23">
        <f>IF(V62="Liability|accrued",-N(F62),0)+IF(W62="Liability|accrued",-N(M62),0)+IF(X62="Liability|accrued",N(O62),0)+IF(Y62="Liability|accrued",N(P62),0)+IF(Z62="Liability|accrued",N(N62),0)</f>
        <v/>
      </c>
      <c r="AG62" s="23">
        <f>IF(AND(N(F62)&lt;&gt;0,V62=""),1,0)+IF(AND(N(M62)&lt;&gt;0,W62=""),1,0)+IF(AND(N(O62)&lt;&gt;0,X62=""),1,0)+IF(AND(N(P62)&lt;&gt;0,Y62=""),1,0)+IF(AND(N(N62)&lt;&gt;0,Z62=""),1,0)</f>
        <v/>
      </c>
    </row>
    <row r="63">
      <c r="A63" s="19" t="n"/>
      <c r="B63" s="14" t="n"/>
      <c r="C63" s="14" t="n"/>
      <c r="D63" s="14" t="n"/>
      <c r="E63" s="14" t="n"/>
      <c r="F63" s="20" t="n"/>
      <c r="G63" s="20" t="n"/>
      <c r="H63" s="14" t="n"/>
      <c r="I63" s="14" t="n"/>
      <c r="J63" s="14" t="n"/>
      <c r="K63" s="14" t="n"/>
      <c r="L63" s="14" t="n"/>
      <c r="M63" s="21">
        <f>ROUND(N(F63)*IFERROR(VLOOKUP(K63,'Tax Codes'!$A$5:$E$300,5,FALSE),0),2)</f>
        <v/>
      </c>
      <c r="N63" s="21">
        <f>ROUND(N(F63)*IFERROR(VLOOKUP(L63,'Tax Codes'!$A$5:$E$300,5,FALSE),0),2)</f>
        <v/>
      </c>
      <c r="O63" s="21">
        <f>IF(G63="",N(F63)+M63-N63,N(G63))</f>
        <v/>
      </c>
      <c r="P63" s="21">
        <f>N(F63)+M63-N63-O63</f>
        <v/>
      </c>
      <c r="Q63" s="16">
        <f>IF(C63="",INDEX('Chart of Accounts'!$A$5:$A$3000,MATCH("other_overhead",'Chart of Accounts'!$F$5:$F$3000,0)),C63&amp;"")</f>
        <v/>
      </c>
      <c r="R63" s="16">
        <f>IF(I63="",INDEX('Chart of Accounts'!$A$5:$A$3000,MATCH("bank",'Chart of Accounts'!$F$5:$F$3000,0)),I63&amp;"")</f>
        <v/>
      </c>
      <c r="S63" s="16">
        <f>IF(J63="",INDEX('Chart of Accounts'!$A$5:$A$3000,MATCH("ap",'Chart of Accounts'!$F$5:$F$3000,0)),J63&amp;"")</f>
        <v/>
      </c>
      <c r="T63" s="16">
        <f>INDEX('Chart of Accounts'!$A$5:$A$3000,MATCH("vat_input",'Chart of Accounts'!$F$5:$F$3000,0))</f>
        <v/>
      </c>
      <c r="U63" s="16">
        <f>INDEX('Chart of Accounts'!$A$5:$A$3000,MATCH("wht_payable",'Chart of Accounts'!$F$5:$F$3000,0))</f>
        <v/>
      </c>
      <c r="V63" s="23">
        <f>IFERROR(INDEX('Chart of Accounts'!$C$5:$C$3000,MATCH(Q63&amp;"",'Chart of Accounts'!$A$5:$A$3000,0))&amp;"|"&amp;INDEX('Chart of Accounts'!$D$5:$D$3000,MATCH(Q63&amp;"",'Chart of Accounts'!$A$5:$A$3000,0)),"")</f>
        <v/>
      </c>
      <c r="W63" s="23">
        <f>IFERROR(INDEX('Chart of Accounts'!$C$5:$C$3000,MATCH(T63&amp;"",'Chart of Accounts'!$A$5:$A$3000,0))&amp;"|"&amp;INDEX('Chart of Accounts'!$D$5:$D$3000,MATCH(T63&amp;"",'Chart of Accounts'!$A$5:$A$3000,0)),"")</f>
        <v/>
      </c>
      <c r="X63" s="23">
        <f>IFERROR(INDEX('Chart of Accounts'!$C$5:$C$3000,MATCH(R63&amp;"",'Chart of Accounts'!$A$5:$A$3000,0))&amp;"|"&amp;INDEX('Chart of Accounts'!$D$5:$D$3000,MATCH(R63&amp;"",'Chart of Accounts'!$A$5:$A$3000,0)),"")</f>
        <v/>
      </c>
      <c r="Y63" s="23">
        <f>IFERROR(INDEX('Chart of Accounts'!$C$5:$C$3000,MATCH(S63&amp;"",'Chart of Accounts'!$A$5:$A$3000,0))&amp;"|"&amp;INDEX('Chart of Accounts'!$D$5:$D$3000,MATCH(S63&amp;"",'Chart of Accounts'!$A$5:$A$3000,0)),"")</f>
        <v/>
      </c>
      <c r="Z63" s="23">
        <f>IFERROR(INDEX('Chart of Accounts'!$C$5:$C$3000,MATCH(U63&amp;"",'Chart of Accounts'!$A$5:$A$3000,0))&amp;"|"&amp;INDEX('Chart of Accounts'!$D$5:$D$3000,MATCH(U63&amp;"",'Chart of Accounts'!$A$5:$A$3000,0)),"")</f>
        <v/>
      </c>
      <c r="AA63" s="23">
        <f>IF(LEFT(V63,8)="Revenue|",-N(F63),0)+IF(LEFT(W63,8)="Revenue|",-N(M63),0)+IF(LEFT(X63,8)="Revenue|",N(O63),0)+IF(LEFT(Y63,8)="Revenue|",N(P63),0)+IF(LEFT(Z63,8)="Revenue|",N(N63),0)</f>
        <v/>
      </c>
      <c r="AB63" s="23">
        <f>IF(LEFT(V63,5)="COGS|",N(F63),0)+IF(LEFT(W63,5)="COGS|",N(M63),0)+IF(LEFT(X63,5)="COGS|",-N(O63),0)+IF(LEFT(Y63,5)="COGS|",-N(P63),0)+IF(LEFT(Z63,5)="COGS|",-N(N63),0)</f>
        <v/>
      </c>
      <c r="AC63" s="23">
        <f>IF(LEFT(V63,8)="Expense|",N(F63),0)+IF(LEFT(W63,8)="Expense|",N(M63),0)+IF(LEFT(X63,8)="Expense|",-N(O63),0)+IF(LEFT(Y63,8)="Expense|",-N(P63),0)+IF(LEFT(Z63,8)="Expense|",-N(N63),0)</f>
        <v/>
      </c>
      <c r="AD63" s="23">
        <f>IF(ISNUMBER(MATCH(V63,{"Expense|employee","Expense|general_admin","Expense|marketing","Expense|utilities","Expense|other_operating"},0)),N(F63),0)+IF(ISNUMBER(MATCH(W63,{"Expense|employee","Expense|general_admin","Expense|marketing","Expense|utilities","Expense|other_operating"},0)),N(M63),0)+IF(ISNUMBER(MATCH(X63,{"Expense|employee","Expense|general_admin","Expense|marketing","Expense|utilities","Expense|other_operating"},0)),-N(O63),0)+IF(ISNUMBER(MATCH(Y63,{"Expense|employee","Expense|general_admin","Expense|marketing","Expense|utilities","Expense|other_operating"},0)),-N(P63),0)+IF(ISNUMBER(MATCH(Z63,{"Expense|employee","Expense|general_admin","Expense|marketing","Expense|utilities","Expense|other_operating"},0)),-N(N63),0)</f>
        <v/>
      </c>
      <c r="AE63" s="23">
        <f>IF(V63="Liability|payable",-N(F63),0)+IF(W63="Liability|payable",-N(M63),0)+IF(X63="Liability|payable",N(O63),0)+IF(Y63="Liability|payable",N(P63),0)+IF(Z63="Liability|payable",N(N63),0)</f>
        <v/>
      </c>
      <c r="AF63" s="23">
        <f>IF(V63="Liability|accrued",-N(F63),0)+IF(W63="Liability|accrued",-N(M63),0)+IF(X63="Liability|accrued",N(O63),0)+IF(Y63="Liability|accrued",N(P63),0)+IF(Z63="Liability|accrued",N(N63),0)</f>
        <v/>
      </c>
      <c r="AG63" s="23">
        <f>IF(AND(N(F63)&lt;&gt;0,V63=""),1,0)+IF(AND(N(M63)&lt;&gt;0,W63=""),1,0)+IF(AND(N(O63)&lt;&gt;0,X63=""),1,0)+IF(AND(N(P63)&lt;&gt;0,Y63=""),1,0)+IF(AND(N(N63)&lt;&gt;0,Z63=""),1,0)</f>
        <v/>
      </c>
    </row>
    <row r="64">
      <c r="A64" s="19" t="n"/>
      <c r="B64" s="14" t="n"/>
      <c r="C64" s="14" t="n"/>
      <c r="D64" s="14" t="n"/>
      <c r="E64" s="14" t="n"/>
      <c r="F64" s="20" t="n"/>
      <c r="G64" s="20" t="n"/>
      <c r="H64" s="14" t="n"/>
      <c r="I64" s="14" t="n"/>
      <c r="J64" s="14" t="n"/>
      <c r="K64" s="14" t="n"/>
      <c r="L64" s="14" t="n"/>
      <c r="M64" s="21">
        <f>ROUND(N(F64)*IFERROR(VLOOKUP(K64,'Tax Codes'!$A$5:$E$300,5,FALSE),0),2)</f>
        <v/>
      </c>
      <c r="N64" s="21">
        <f>ROUND(N(F64)*IFERROR(VLOOKUP(L64,'Tax Codes'!$A$5:$E$300,5,FALSE),0),2)</f>
        <v/>
      </c>
      <c r="O64" s="21">
        <f>IF(G64="",N(F64)+M64-N64,N(G64))</f>
        <v/>
      </c>
      <c r="P64" s="21">
        <f>N(F64)+M64-N64-O64</f>
        <v/>
      </c>
      <c r="Q64" s="16">
        <f>IF(C64="",INDEX('Chart of Accounts'!$A$5:$A$3000,MATCH("other_overhead",'Chart of Accounts'!$F$5:$F$3000,0)),C64&amp;"")</f>
        <v/>
      </c>
      <c r="R64" s="16">
        <f>IF(I64="",INDEX('Chart of Accounts'!$A$5:$A$3000,MATCH("bank",'Chart of Accounts'!$F$5:$F$3000,0)),I64&amp;"")</f>
        <v/>
      </c>
      <c r="S64" s="16">
        <f>IF(J64="",INDEX('Chart of Accounts'!$A$5:$A$3000,MATCH("ap",'Chart of Accounts'!$F$5:$F$3000,0)),J64&amp;"")</f>
        <v/>
      </c>
      <c r="T64" s="16">
        <f>INDEX('Chart of Accounts'!$A$5:$A$3000,MATCH("vat_input",'Chart of Accounts'!$F$5:$F$3000,0))</f>
        <v/>
      </c>
      <c r="U64" s="16">
        <f>INDEX('Chart of Accounts'!$A$5:$A$3000,MATCH("wht_payable",'Chart of Accounts'!$F$5:$F$3000,0))</f>
        <v/>
      </c>
      <c r="V64" s="23">
        <f>IFERROR(INDEX('Chart of Accounts'!$C$5:$C$3000,MATCH(Q64&amp;"",'Chart of Accounts'!$A$5:$A$3000,0))&amp;"|"&amp;INDEX('Chart of Accounts'!$D$5:$D$3000,MATCH(Q64&amp;"",'Chart of Accounts'!$A$5:$A$3000,0)),"")</f>
        <v/>
      </c>
      <c r="W64" s="23">
        <f>IFERROR(INDEX('Chart of Accounts'!$C$5:$C$3000,MATCH(T64&amp;"",'Chart of Accounts'!$A$5:$A$3000,0))&amp;"|"&amp;INDEX('Chart of Accounts'!$D$5:$D$3000,MATCH(T64&amp;"",'Chart of Accounts'!$A$5:$A$3000,0)),"")</f>
        <v/>
      </c>
      <c r="X64" s="23">
        <f>IFERROR(INDEX('Chart of Accounts'!$C$5:$C$3000,MATCH(R64&amp;"",'Chart of Accounts'!$A$5:$A$3000,0))&amp;"|"&amp;INDEX('Chart of Accounts'!$D$5:$D$3000,MATCH(R64&amp;"",'Chart of Accounts'!$A$5:$A$3000,0)),"")</f>
        <v/>
      </c>
      <c r="Y64" s="23">
        <f>IFERROR(INDEX('Chart of Accounts'!$C$5:$C$3000,MATCH(S64&amp;"",'Chart of Accounts'!$A$5:$A$3000,0))&amp;"|"&amp;INDEX('Chart of Accounts'!$D$5:$D$3000,MATCH(S64&amp;"",'Chart of Accounts'!$A$5:$A$3000,0)),"")</f>
        <v/>
      </c>
      <c r="Z64" s="23">
        <f>IFERROR(INDEX('Chart of Accounts'!$C$5:$C$3000,MATCH(U64&amp;"",'Chart of Accounts'!$A$5:$A$3000,0))&amp;"|"&amp;INDEX('Chart of Accounts'!$D$5:$D$3000,MATCH(U64&amp;"",'Chart of Accounts'!$A$5:$A$3000,0)),"")</f>
        <v/>
      </c>
      <c r="AA64" s="23">
        <f>IF(LEFT(V64,8)="Revenue|",-N(F64),0)+IF(LEFT(W64,8)="Revenue|",-N(M64),0)+IF(LEFT(X64,8)="Revenue|",N(O64),0)+IF(LEFT(Y64,8)="Revenue|",N(P64),0)+IF(LEFT(Z64,8)="Revenue|",N(N64),0)</f>
        <v/>
      </c>
      <c r="AB64" s="23">
        <f>IF(LEFT(V64,5)="COGS|",N(F64),0)+IF(LEFT(W64,5)="COGS|",N(M64),0)+IF(LEFT(X64,5)="COGS|",-N(O64),0)+IF(LEFT(Y64,5)="COGS|",-N(P64),0)+IF(LEFT(Z64,5)="COGS|",-N(N64),0)</f>
        <v/>
      </c>
      <c r="AC64" s="23">
        <f>IF(LEFT(V64,8)="Expense|",N(F64),0)+IF(LEFT(W64,8)="Expense|",N(M64),0)+IF(LEFT(X64,8)="Expense|",-N(O64),0)+IF(LEFT(Y64,8)="Expense|",-N(P64),0)+IF(LEFT(Z64,8)="Expense|",-N(N64),0)</f>
        <v/>
      </c>
      <c r="AD64" s="23">
        <f>IF(ISNUMBER(MATCH(V64,{"Expense|employee","Expense|general_admin","Expense|marketing","Expense|utilities","Expense|other_operating"},0)),N(F64),0)+IF(ISNUMBER(MATCH(W64,{"Expense|employee","Expense|general_admin","Expense|marketing","Expense|utilities","Expense|other_operating"},0)),N(M64),0)+IF(ISNUMBER(MATCH(X64,{"Expense|employee","Expense|general_admin","Expense|marketing","Expense|utilities","Expense|other_operating"},0)),-N(O64),0)+IF(ISNUMBER(MATCH(Y64,{"Expense|employee","Expense|general_admin","Expense|marketing","Expense|utilities","Expense|other_operating"},0)),-N(P64),0)+IF(ISNUMBER(MATCH(Z64,{"Expense|employee","Expense|general_admin","Expense|marketing","Expense|utilities","Expense|other_operating"},0)),-N(N64),0)</f>
        <v/>
      </c>
      <c r="AE64" s="23">
        <f>IF(V64="Liability|payable",-N(F64),0)+IF(W64="Liability|payable",-N(M64),0)+IF(X64="Liability|payable",N(O64),0)+IF(Y64="Liability|payable",N(P64),0)+IF(Z64="Liability|payable",N(N64),0)</f>
        <v/>
      </c>
      <c r="AF64" s="23">
        <f>IF(V64="Liability|accrued",-N(F64),0)+IF(W64="Liability|accrued",-N(M64),0)+IF(X64="Liability|accrued",N(O64),0)+IF(Y64="Liability|accrued",N(P64),0)+IF(Z64="Liability|accrued",N(N64),0)</f>
        <v/>
      </c>
      <c r="AG64" s="23">
        <f>IF(AND(N(F64)&lt;&gt;0,V64=""),1,0)+IF(AND(N(M64)&lt;&gt;0,W64=""),1,0)+IF(AND(N(O64)&lt;&gt;0,X64=""),1,0)+IF(AND(N(P64)&lt;&gt;0,Y64=""),1,0)+IF(AND(N(N64)&lt;&gt;0,Z64=""),1,0)</f>
        <v/>
      </c>
    </row>
    <row r="65">
      <c r="A65" s="19" t="n"/>
      <c r="B65" s="14" t="n"/>
      <c r="C65" s="14" t="n"/>
      <c r="D65" s="14" t="n"/>
      <c r="E65" s="14" t="n"/>
      <c r="F65" s="20" t="n"/>
      <c r="G65" s="20" t="n"/>
      <c r="H65" s="14" t="n"/>
      <c r="I65" s="14" t="n"/>
      <c r="J65" s="14" t="n"/>
      <c r="K65" s="14" t="n"/>
      <c r="L65" s="14" t="n"/>
      <c r="M65" s="21">
        <f>ROUND(N(F65)*IFERROR(VLOOKUP(K65,'Tax Codes'!$A$5:$E$300,5,FALSE),0),2)</f>
        <v/>
      </c>
      <c r="N65" s="21">
        <f>ROUND(N(F65)*IFERROR(VLOOKUP(L65,'Tax Codes'!$A$5:$E$300,5,FALSE),0),2)</f>
        <v/>
      </c>
      <c r="O65" s="21">
        <f>IF(G65="",N(F65)+M65-N65,N(G65))</f>
        <v/>
      </c>
      <c r="P65" s="21">
        <f>N(F65)+M65-N65-O65</f>
        <v/>
      </c>
      <c r="Q65" s="16">
        <f>IF(C65="",INDEX('Chart of Accounts'!$A$5:$A$3000,MATCH("other_overhead",'Chart of Accounts'!$F$5:$F$3000,0)),C65&amp;"")</f>
        <v/>
      </c>
      <c r="R65" s="16">
        <f>IF(I65="",INDEX('Chart of Accounts'!$A$5:$A$3000,MATCH("bank",'Chart of Accounts'!$F$5:$F$3000,0)),I65&amp;"")</f>
        <v/>
      </c>
      <c r="S65" s="16">
        <f>IF(J65="",INDEX('Chart of Accounts'!$A$5:$A$3000,MATCH("ap",'Chart of Accounts'!$F$5:$F$3000,0)),J65&amp;"")</f>
        <v/>
      </c>
      <c r="T65" s="16">
        <f>INDEX('Chart of Accounts'!$A$5:$A$3000,MATCH("vat_input",'Chart of Accounts'!$F$5:$F$3000,0))</f>
        <v/>
      </c>
      <c r="U65" s="16">
        <f>INDEX('Chart of Accounts'!$A$5:$A$3000,MATCH("wht_payable",'Chart of Accounts'!$F$5:$F$3000,0))</f>
        <v/>
      </c>
      <c r="V65" s="23">
        <f>IFERROR(INDEX('Chart of Accounts'!$C$5:$C$3000,MATCH(Q65&amp;"",'Chart of Accounts'!$A$5:$A$3000,0))&amp;"|"&amp;INDEX('Chart of Accounts'!$D$5:$D$3000,MATCH(Q65&amp;"",'Chart of Accounts'!$A$5:$A$3000,0)),"")</f>
        <v/>
      </c>
      <c r="W65" s="23">
        <f>IFERROR(INDEX('Chart of Accounts'!$C$5:$C$3000,MATCH(T65&amp;"",'Chart of Accounts'!$A$5:$A$3000,0))&amp;"|"&amp;INDEX('Chart of Accounts'!$D$5:$D$3000,MATCH(T65&amp;"",'Chart of Accounts'!$A$5:$A$3000,0)),"")</f>
        <v/>
      </c>
      <c r="X65" s="23">
        <f>IFERROR(INDEX('Chart of Accounts'!$C$5:$C$3000,MATCH(R65&amp;"",'Chart of Accounts'!$A$5:$A$3000,0))&amp;"|"&amp;INDEX('Chart of Accounts'!$D$5:$D$3000,MATCH(R65&amp;"",'Chart of Accounts'!$A$5:$A$3000,0)),"")</f>
        <v/>
      </c>
      <c r="Y65" s="23">
        <f>IFERROR(INDEX('Chart of Accounts'!$C$5:$C$3000,MATCH(S65&amp;"",'Chart of Accounts'!$A$5:$A$3000,0))&amp;"|"&amp;INDEX('Chart of Accounts'!$D$5:$D$3000,MATCH(S65&amp;"",'Chart of Accounts'!$A$5:$A$3000,0)),"")</f>
        <v/>
      </c>
      <c r="Z65" s="23">
        <f>IFERROR(INDEX('Chart of Accounts'!$C$5:$C$3000,MATCH(U65&amp;"",'Chart of Accounts'!$A$5:$A$3000,0))&amp;"|"&amp;INDEX('Chart of Accounts'!$D$5:$D$3000,MATCH(U65&amp;"",'Chart of Accounts'!$A$5:$A$3000,0)),"")</f>
        <v/>
      </c>
      <c r="AA65" s="23">
        <f>IF(LEFT(V65,8)="Revenue|",-N(F65),0)+IF(LEFT(W65,8)="Revenue|",-N(M65),0)+IF(LEFT(X65,8)="Revenue|",N(O65),0)+IF(LEFT(Y65,8)="Revenue|",N(P65),0)+IF(LEFT(Z65,8)="Revenue|",N(N65),0)</f>
        <v/>
      </c>
      <c r="AB65" s="23">
        <f>IF(LEFT(V65,5)="COGS|",N(F65),0)+IF(LEFT(W65,5)="COGS|",N(M65),0)+IF(LEFT(X65,5)="COGS|",-N(O65),0)+IF(LEFT(Y65,5)="COGS|",-N(P65),0)+IF(LEFT(Z65,5)="COGS|",-N(N65),0)</f>
        <v/>
      </c>
      <c r="AC65" s="23">
        <f>IF(LEFT(V65,8)="Expense|",N(F65),0)+IF(LEFT(W65,8)="Expense|",N(M65),0)+IF(LEFT(X65,8)="Expense|",-N(O65),0)+IF(LEFT(Y65,8)="Expense|",-N(P65),0)+IF(LEFT(Z65,8)="Expense|",-N(N65),0)</f>
        <v/>
      </c>
      <c r="AD65" s="23">
        <f>IF(ISNUMBER(MATCH(V65,{"Expense|employee","Expense|general_admin","Expense|marketing","Expense|utilities","Expense|other_operating"},0)),N(F65),0)+IF(ISNUMBER(MATCH(W65,{"Expense|employee","Expense|general_admin","Expense|marketing","Expense|utilities","Expense|other_operating"},0)),N(M65),0)+IF(ISNUMBER(MATCH(X65,{"Expense|employee","Expense|general_admin","Expense|marketing","Expense|utilities","Expense|other_operating"},0)),-N(O65),0)+IF(ISNUMBER(MATCH(Y65,{"Expense|employee","Expense|general_admin","Expense|marketing","Expense|utilities","Expense|other_operating"},0)),-N(P65),0)+IF(ISNUMBER(MATCH(Z65,{"Expense|employee","Expense|general_admin","Expense|marketing","Expense|utilities","Expense|other_operating"},0)),-N(N65),0)</f>
        <v/>
      </c>
      <c r="AE65" s="23">
        <f>IF(V65="Liability|payable",-N(F65),0)+IF(W65="Liability|payable",-N(M65),0)+IF(X65="Liability|payable",N(O65),0)+IF(Y65="Liability|payable",N(P65),0)+IF(Z65="Liability|payable",N(N65),0)</f>
        <v/>
      </c>
      <c r="AF65" s="23">
        <f>IF(V65="Liability|accrued",-N(F65),0)+IF(W65="Liability|accrued",-N(M65),0)+IF(X65="Liability|accrued",N(O65),0)+IF(Y65="Liability|accrued",N(P65),0)+IF(Z65="Liability|accrued",N(N65),0)</f>
        <v/>
      </c>
      <c r="AG65" s="23">
        <f>IF(AND(N(F65)&lt;&gt;0,V65=""),1,0)+IF(AND(N(M65)&lt;&gt;0,W65=""),1,0)+IF(AND(N(O65)&lt;&gt;0,X65=""),1,0)+IF(AND(N(P65)&lt;&gt;0,Y65=""),1,0)+IF(AND(N(N65)&lt;&gt;0,Z65=""),1,0)</f>
        <v/>
      </c>
    </row>
    <row r="66">
      <c r="A66" s="19" t="n"/>
      <c r="B66" s="14" t="n"/>
      <c r="C66" s="14" t="n"/>
      <c r="D66" s="14" t="n"/>
      <c r="E66" s="14" t="n"/>
      <c r="F66" s="20" t="n"/>
      <c r="G66" s="20" t="n"/>
      <c r="H66" s="14" t="n"/>
      <c r="I66" s="14" t="n"/>
      <c r="J66" s="14" t="n"/>
      <c r="K66" s="14" t="n"/>
      <c r="L66" s="14" t="n"/>
      <c r="M66" s="21">
        <f>ROUND(N(F66)*IFERROR(VLOOKUP(K66,'Tax Codes'!$A$5:$E$300,5,FALSE),0),2)</f>
        <v/>
      </c>
      <c r="N66" s="21">
        <f>ROUND(N(F66)*IFERROR(VLOOKUP(L66,'Tax Codes'!$A$5:$E$300,5,FALSE),0),2)</f>
        <v/>
      </c>
      <c r="O66" s="21">
        <f>IF(G66="",N(F66)+M66-N66,N(G66))</f>
        <v/>
      </c>
      <c r="P66" s="21">
        <f>N(F66)+M66-N66-O66</f>
        <v/>
      </c>
      <c r="Q66" s="16">
        <f>IF(C66="",INDEX('Chart of Accounts'!$A$5:$A$3000,MATCH("other_overhead",'Chart of Accounts'!$F$5:$F$3000,0)),C66&amp;"")</f>
        <v/>
      </c>
      <c r="R66" s="16">
        <f>IF(I66="",INDEX('Chart of Accounts'!$A$5:$A$3000,MATCH("bank",'Chart of Accounts'!$F$5:$F$3000,0)),I66&amp;"")</f>
        <v/>
      </c>
      <c r="S66" s="16">
        <f>IF(J66="",INDEX('Chart of Accounts'!$A$5:$A$3000,MATCH("ap",'Chart of Accounts'!$F$5:$F$3000,0)),J66&amp;"")</f>
        <v/>
      </c>
      <c r="T66" s="16">
        <f>INDEX('Chart of Accounts'!$A$5:$A$3000,MATCH("vat_input",'Chart of Accounts'!$F$5:$F$3000,0))</f>
        <v/>
      </c>
      <c r="U66" s="16">
        <f>INDEX('Chart of Accounts'!$A$5:$A$3000,MATCH("wht_payable",'Chart of Accounts'!$F$5:$F$3000,0))</f>
        <v/>
      </c>
      <c r="V66" s="23">
        <f>IFERROR(INDEX('Chart of Accounts'!$C$5:$C$3000,MATCH(Q66&amp;"",'Chart of Accounts'!$A$5:$A$3000,0))&amp;"|"&amp;INDEX('Chart of Accounts'!$D$5:$D$3000,MATCH(Q66&amp;"",'Chart of Accounts'!$A$5:$A$3000,0)),"")</f>
        <v/>
      </c>
      <c r="W66" s="23">
        <f>IFERROR(INDEX('Chart of Accounts'!$C$5:$C$3000,MATCH(T66&amp;"",'Chart of Accounts'!$A$5:$A$3000,0))&amp;"|"&amp;INDEX('Chart of Accounts'!$D$5:$D$3000,MATCH(T66&amp;"",'Chart of Accounts'!$A$5:$A$3000,0)),"")</f>
        <v/>
      </c>
      <c r="X66" s="23">
        <f>IFERROR(INDEX('Chart of Accounts'!$C$5:$C$3000,MATCH(R66&amp;"",'Chart of Accounts'!$A$5:$A$3000,0))&amp;"|"&amp;INDEX('Chart of Accounts'!$D$5:$D$3000,MATCH(R66&amp;"",'Chart of Accounts'!$A$5:$A$3000,0)),"")</f>
        <v/>
      </c>
      <c r="Y66" s="23">
        <f>IFERROR(INDEX('Chart of Accounts'!$C$5:$C$3000,MATCH(S66&amp;"",'Chart of Accounts'!$A$5:$A$3000,0))&amp;"|"&amp;INDEX('Chart of Accounts'!$D$5:$D$3000,MATCH(S66&amp;"",'Chart of Accounts'!$A$5:$A$3000,0)),"")</f>
        <v/>
      </c>
      <c r="Z66" s="23">
        <f>IFERROR(INDEX('Chart of Accounts'!$C$5:$C$3000,MATCH(U66&amp;"",'Chart of Accounts'!$A$5:$A$3000,0))&amp;"|"&amp;INDEX('Chart of Accounts'!$D$5:$D$3000,MATCH(U66&amp;"",'Chart of Accounts'!$A$5:$A$3000,0)),"")</f>
        <v/>
      </c>
      <c r="AA66" s="23">
        <f>IF(LEFT(V66,8)="Revenue|",-N(F66),0)+IF(LEFT(W66,8)="Revenue|",-N(M66),0)+IF(LEFT(X66,8)="Revenue|",N(O66),0)+IF(LEFT(Y66,8)="Revenue|",N(P66),0)+IF(LEFT(Z66,8)="Revenue|",N(N66),0)</f>
        <v/>
      </c>
      <c r="AB66" s="23">
        <f>IF(LEFT(V66,5)="COGS|",N(F66),0)+IF(LEFT(W66,5)="COGS|",N(M66),0)+IF(LEFT(X66,5)="COGS|",-N(O66),0)+IF(LEFT(Y66,5)="COGS|",-N(P66),0)+IF(LEFT(Z66,5)="COGS|",-N(N66),0)</f>
        <v/>
      </c>
      <c r="AC66" s="23">
        <f>IF(LEFT(V66,8)="Expense|",N(F66),0)+IF(LEFT(W66,8)="Expense|",N(M66),0)+IF(LEFT(X66,8)="Expense|",-N(O66),0)+IF(LEFT(Y66,8)="Expense|",-N(P66),0)+IF(LEFT(Z66,8)="Expense|",-N(N66),0)</f>
        <v/>
      </c>
      <c r="AD66" s="23">
        <f>IF(ISNUMBER(MATCH(V66,{"Expense|employee","Expense|general_admin","Expense|marketing","Expense|utilities","Expense|other_operating"},0)),N(F66),0)+IF(ISNUMBER(MATCH(W66,{"Expense|employee","Expense|general_admin","Expense|marketing","Expense|utilities","Expense|other_operating"},0)),N(M66),0)+IF(ISNUMBER(MATCH(X66,{"Expense|employee","Expense|general_admin","Expense|marketing","Expense|utilities","Expense|other_operating"},0)),-N(O66),0)+IF(ISNUMBER(MATCH(Y66,{"Expense|employee","Expense|general_admin","Expense|marketing","Expense|utilities","Expense|other_operating"},0)),-N(P66),0)+IF(ISNUMBER(MATCH(Z66,{"Expense|employee","Expense|general_admin","Expense|marketing","Expense|utilities","Expense|other_operating"},0)),-N(N66),0)</f>
        <v/>
      </c>
      <c r="AE66" s="23">
        <f>IF(V66="Liability|payable",-N(F66),0)+IF(W66="Liability|payable",-N(M66),0)+IF(X66="Liability|payable",N(O66),0)+IF(Y66="Liability|payable",N(P66),0)+IF(Z66="Liability|payable",N(N66),0)</f>
        <v/>
      </c>
      <c r="AF66" s="23">
        <f>IF(V66="Liability|accrued",-N(F66),0)+IF(W66="Liability|accrued",-N(M66),0)+IF(X66="Liability|accrued",N(O66),0)+IF(Y66="Liability|accrued",N(P66),0)+IF(Z66="Liability|accrued",N(N66),0)</f>
        <v/>
      </c>
      <c r="AG66" s="23">
        <f>IF(AND(N(F66)&lt;&gt;0,V66=""),1,0)+IF(AND(N(M66)&lt;&gt;0,W66=""),1,0)+IF(AND(N(O66)&lt;&gt;0,X66=""),1,0)+IF(AND(N(P66)&lt;&gt;0,Y66=""),1,0)+IF(AND(N(N66)&lt;&gt;0,Z66=""),1,0)</f>
        <v/>
      </c>
    </row>
    <row r="67">
      <c r="A67" s="19" t="n"/>
      <c r="B67" s="14" t="n"/>
      <c r="C67" s="14" t="n"/>
      <c r="D67" s="14" t="n"/>
      <c r="E67" s="14" t="n"/>
      <c r="F67" s="20" t="n"/>
      <c r="G67" s="20" t="n"/>
      <c r="H67" s="14" t="n"/>
      <c r="I67" s="14" t="n"/>
      <c r="J67" s="14" t="n"/>
      <c r="K67" s="14" t="n"/>
      <c r="L67" s="14" t="n"/>
      <c r="M67" s="21">
        <f>ROUND(N(F67)*IFERROR(VLOOKUP(K67,'Tax Codes'!$A$5:$E$300,5,FALSE),0),2)</f>
        <v/>
      </c>
      <c r="N67" s="21">
        <f>ROUND(N(F67)*IFERROR(VLOOKUP(L67,'Tax Codes'!$A$5:$E$300,5,FALSE),0),2)</f>
        <v/>
      </c>
      <c r="O67" s="21">
        <f>IF(G67="",N(F67)+M67-N67,N(G67))</f>
        <v/>
      </c>
      <c r="P67" s="21">
        <f>N(F67)+M67-N67-O67</f>
        <v/>
      </c>
      <c r="Q67" s="16">
        <f>IF(C67="",INDEX('Chart of Accounts'!$A$5:$A$3000,MATCH("other_overhead",'Chart of Accounts'!$F$5:$F$3000,0)),C67&amp;"")</f>
        <v/>
      </c>
      <c r="R67" s="16">
        <f>IF(I67="",INDEX('Chart of Accounts'!$A$5:$A$3000,MATCH("bank",'Chart of Accounts'!$F$5:$F$3000,0)),I67&amp;"")</f>
        <v/>
      </c>
      <c r="S67" s="16">
        <f>IF(J67="",INDEX('Chart of Accounts'!$A$5:$A$3000,MATCH("ap",'Chart of Accounts'!$F$5:$F$3000,0)),J67&amp;"")</f>
        <v/>
      </c>
      <c r="T67" s="16">
        <f>INDEX('Chart of Accounts'!$A$5:$A$3000,MATCH("vat_input",'Chart of Accounts'!$F$5:$F$3000,0))</f>
        <v/>
      </c>
      <c r="U67" s="16">
        <f>INDEX('Chart of Accounts'!$A$5:$A$3000,MATCH("wht_payable",'Chart of Accounts'!$F$5:$F$3000,0))</f>
        <v/>
      </c>
      <c r="V67" s="23">
        <f>IFERROR(INDEX('Chart of Accounts'!$C$5:$C$3000,MATCH(Q67&amp;"",'Chart of Accounts'!$A$5:$A$3000,0))&amp;"|"&amp;INDEX('Chart of Accounts'!$D$5:$D$3000,MATCH(Q67&amp;"",'Chart of Accounts'!$A$5:$A$3000,0)),"")</f>
        <v/>
      </c>
      <c r="W67" s="23">
        <f>IFERROR(INDEX('Chart of Accounts'!$C$5:$C$3000,MATCH(T67&amp;"",'Chart of Accounts'!$A$5:$A$3000,0))&amp;"|"&amp;INDEX('Chart of Accounts'!$D$5:$D$3000,MATCH(T67&amp;"",'Chart of Accounts'!$A$5:$A$3000,0)),"")</f>
        <v/>
      </c>
      <c r="X67" s="23">
        <f>IFERROR(INDEX('Chart of Accounts'!$C$5:$C$3000,MATCH(R67&amp;"",'Chart of Accounts'!$A$5:$A$3000,0))&amp;"|"&amp;INDEX('Chart of Accounts'!$D$5:$D$3000,MATCH(R67&amp;"",'Chart of Accounts'!$A$5:$A$3000,0)),"")</f>
        <v/>
      </c>
      <c r="Y67" s="23">
        <f>IFERROR(INDEX('Chart of Accounts'!$C$5:$C$3000,MATCH(S67&amp;"",'Chart of Accounts'!$A$5:$A$3000,0))&amp;"|"&amp;INDEX('Chart of Accounts'!$D$5:$D$3000,MATCH(S67&amp;"",'Chart of Accounts'!$A$5:$A$3000,0)),"")</f>
        <v/>
      </c>
      <c r="Z67" s="23">
        <f>IFERROR(INDEX('Chart of Accounts'!$C$5:$C$3000,MATCH(U67&amp;"",'Chart of Accounts'!$A$5:$A$3000,0))&amp;"|"&amp;INDEX('Chart of Accounts'!$D$5:$D$3000,MATCH(U67&amp;"",'Chart of Accounts'!$A$5:$A$3000,0)),"")</f>
        <v/>
      </c>
      <c r="AA67" s="23">
        <f>IF(LEFT(V67,8)="Revenue|",-N(F67),0)+IF(LEFT(W67,8)="Revenue|",-N(M67),0)+IF(LEFT(X67,8)="Revenue|",N(O67),0)+IF(LEFT(Y67,8)="Revenue|",N(P67),0)+IF(LEFT(Z67,8)="Revenue|",N(N67),0)</f>
        <v/>
      </c>
      <c r="AB67" s="23">
        <f>IF(LEFT(V67,5)="COGS|",N(F67),0)+IF(LEFT(W67,5)="COGS|",N(M67),0)+IF(LEFT(X67,5)="COGS|",-N(O67),0)+IF(LEFT(Y67,5)="COGS|",-N(P67),0)+IF(LEFT(Z67,5)="COGS|",-N(N67),0)</f>
        <v/>
      </c>
      <c r="AC67" s="23">
        <f>IF(LEFT(V67,8)="Expense|",N(F67),0)+IF(LEFT(W67,8)="Expense|",N(M67),0)+IF(LEFT(X67,8)="Expense|",-N(O67),0)+IF(LEFT(Y67,8)="Expense|",-N(P67),0)+IF(LEFT(Z67,8)="Expense|",-N(N67),0)</f>
        <v/>
      </c>
      <c r="AD67" s="23">
        <f>IF(ISNUMBER(MATCH(V67,{"Expense|employee","Expense|general_admin","Expense|marketing","Expense|utilities","Expense|other_operating"},0)),N(F67),0)+IF(ISNUMBER(MATCH(W67,{"Expense|employee","Expense|general_admin","Expense|marketing","Expense|utilities","Expense|other_operating"},0)),N(M67),0)+IF(ISNUMBER(MATCH(X67,{"Expense|employee","Expense|general_admin","Expense|marketing","Expense|utilities","Expense|other_operating"},0)),-N(O67),0)+IF(ISNUMBER(MATCH(Y67,{"Expense|employee","Expense|general_admin","Expense|marketing","Expense|utilities","Expense|other_operating"},0)),-N(P67),0)+IF(ISNUMBER(MATCH(Z67,{"Expense|employee","Expense|general_admin","Expense|marketing","Expense|utilities","Expense|other_operating"},0)),-N(N67),0)</f>
        <v/>
      </c>
      <c r="AE67" s="23">
        <f>IF(V67="Liability|payable",-N(F67),0)+IF(W67="Liability|payable",-N(M67),0)+IF(X67="Liability|payable",N(O67),0)+IF(Y67="Liability|payable",N(P67),0)+IF(Z67="Liability|payable",N(N67),0)</f>
        <v/>
      </c>
      <c r="AF67" s="23">
        <f>IF(V67="Liability|accrued",-N(F67),0)+IF(W67="Liability|accrued",-N(M67),0)+IF(X67="Liability|accrued",N(O67),0)+IF(Y67="Liability|accrued",N(P67),0)+IF(Z67="Liability|accrued",N(N67),0)</f>
        <v/>
      </c>
      <c r="AG67" s="23">
        <f>IF(AND(N(F67)&lt;&gt;0,V67=""),1,0)+IF(AND(N(M67)&lt;&gt;0,W67=""),1,0)+IF(AND(N(O67)&lt;&gt;0,X67=""),1,0)+IF(AND(N(P67)&lt;&gt;0,Y67=""),1,0)+IF(AND(N(N67)&lt;&gt;0,Z67=""),1,0)</f>
        <v/>
      </c>
    </row>
    <row r="68">
      <c r="A68" s="19" t="n"/>
      <c r="B68" s="14" t="n"/>
      <c r="C68" s="14" t="n"/>
      <c r="D68" s="14" t="n"/>
      <c r="E68" s="14" t="n"/>
      <c r="F68" s="20" t="n"/>
      <c r="G68" s="20" t="n"/>
      <c r="H68" s="14" t="n"/>
      <c r="I68" s="14" t="n"/>
      <c r="J68" s="14" t="n"/>
      <c r="K68" s="14" t="n"/>
      <c r="L68" s="14" t="n"/>
      <c r="M68" s="21">
        <f>ROUND(N(F68)*IFERROR(VLOOKUP(K68,'Tax Codes'!$A$5:$E$300,5,FALSE),0),2)</f>
        <v/>
      </c>
      <c r="N68" s="21">
        <f>ROUND(N(F68)*IFERROR(VLOOKUP(L68,'Tax Codes'!$A$5:$E$300,5,FALSE),0),2)</f>
        <v/>
      </c>
      <c r="O68" s="21">
        <f>IF(G68="",N(F68)+M68-N68,N(G68))</f>
        <v/>
      </c>
      <c r="P68" s="21">
        <f>N(F68)+M68-N68-O68</f>
        <v/>
      </c>
      <c r="Q68" s="16">
        <f>IF(C68="",INDEX('Chart of Accounts'!$A$5:$A$3000,MATCH("other_overhead",'Chart of Accounts'!$F$5:$F$3000,0)),C68&amp;"")</f>
        <v/>
      </c>
      <c r="R68" s="16">
        <f>IF(I68="",INDEX('Chart of Accounts'!$A$5:$A$3000,MATCH("bank",'Chart of Accounts'!$F$5:$F$3000,0)),I68&amp;"")</f>
        <v/>
      </c>
      <c r="S68" s="16">
        <f>IF(J68="",INDEX('Chart of Accounts'!$A$5:$A$3000,MATCH("ap",'Chart of Accounts'!$F$5:$F$3000,0)),J68&amp;"")</f>
        <v/>
      </c>
      <c r="T68" s="16">
        <f>INDEX('Chart of Accounts'!$A$5:$A$3000,MATCH("vat_input",'Chart of Accounts'!$F$5:$F$3000,0))</f>
        <v/>
      </c>
      <c r="U68" s="16">
        <f>INDEX('Chart of Accounts'!$A$5:$A$3000,MATCH("wht_payable",'Chart of Accounts'!$F$5:$F$3000,0))</f>
        <v/>
      </c>
      <c r="V68" s="23">
        <f>IFERROR(INDEX('Chart of Accounts'!$C$5:$C$3000,MATCH(Q68&amp;"",'Chart of Accounts'!$A$5:$A$3000,0))&amp;"|"&amp;INDEX('Chart of Accounts'!$D$5:$D$3000,MATCH(Q68&amp;"",'Chart of Accounts'!$A$5:$A$3000,0)),"")</f>
        <v/>
      </c>
      <c r="W68" s="23">
        <f>IFERROR(INDEX('Chart of Accounts'!$C$5:$C$3000,MATCH(T68&amp;"",'Chart of Accounts'!$A$5:$A$3000,0))&amp;"|"&amp;INDEX('Chart of Accounts'!$D$5:$D$3000,MATCH(T68&amp;"",'Chart of Accounts'!$A$5:$A$3000,0)),"")</f>
        <v/>
      </c>
      <c r="X68" s="23">
        <f>IFERROR(INDEX('Chart of Accounts'!$C$5:$C$3000,MATCH(R68&amp;"",'Chart of Accounts'!$A$5:$A$3000,0))&amp;"|"&amp;INDEX('Chart of Accounts'!$D$5:$D$3000,MATCH(R68&amp;"",'Chart of Accounts'!$A$5:$A$3000,0)),"")</f>
        <v/>
      </c>
      <c r="Y68" s="23">
        <f>IFERROR(INDEX('Chart of Accounts'!$C$5:$C$3000,MATCH(S68&amp;"",'Chart of Accounts'!$A$5:$A$3000,0))&amp;"|"&amp;INDEX('Chart of Accounts'!$D$5:$D$3000,MATCH(S68&amp;"",'Chart of Accounts'!$A$5:$A$3000,0)),"")</f>
        <v/>
      </c>
      <c r="Z68" s="23">
        <f>IFERROR(INDEX('Chart of Accounts'!$C$5:$C$3000,MATCH(U68&amp;"",'Chart of Accounts'!$A$5:$A$3000,0))&amp;"|"&amp;INDEX('Chart of Accounts'!$D$5:$D$3000,MATCH(U68&amp;"",'Chart of Accounts'!$A$5:$A$3000,0)),"")</f>
        <v/>
      </c>
      <c r="AA68" s="23">
        <f>IF(LEFT(V68,8)="Revenue|",-N(F68),0)+IF(LEFT(W68,8)="Revenue|",-N(M68),0)+IF(LEFT(X68,8)="Revenue|",N(O68),0)+IF(LEFT(Y68,8)="Revenue|",N(P68),0)+IF(LEFT(Z68,8)="Revenue|",N(N68),0)</f>
        <v/>
      </c>
      <c r="AB68" s="23">
        <f>IF(LEFT(V68,5)="COGS|",N(F68),0)+IF(LEFT(W68,5)="COGS|",N(M68),0)+IF(LEFT(X68,5)="COGS|",-N(O68),0)+IF(LEFT(Y68,5)="COGS|",-N(P68),0)+IF(LEFT(Z68,5)="COGS|",-N(N68),0)</f>
        <v/>
      </c>
      <c r="AC68" s="23">
        <f>IF(LEFT(V68,8)="Expense|",N(F68),0)+IF(LEFT(W68,8)="Expense|",N(M68),0)+IF(LEFT(X68,8)="Expense|",-N(O68),0)+IF(LEFT(Y68,8)="Expense|",-N(P68),0)+IF(LEFT(Z68,8)="Expense|",-N(N68),0)</f>
        <v/>
      </c>
      <c r="AD68" s="23">
        <f>IF(ISNUMBER(MATCH(V68,{"Expense|employee","Expense|general_admin","Expense|marketing","Expense|utilities","Expense|other_operating"},0)),N(F68),0)+IF(ISNUMBER(MATCH(W68,{"Expense|employee","Expense|general_admin","Expense|marketing","Expense|utilities","Expense|other_operating"},0)),N(M68),0)+IF(ISNUMBER(MATCH(X68,{"Expense|employee","Expense|general_admin","Expense|marketing","Expense|utilities","Expense|other_operating"},0)),-N(O68),0)+IF(ISNUMBER(MATCH(Y68,{"Expense|employee","Expense|general_admin","Expense|marketing","Expense|utilities","Expense|other_operating"},0)),-N(P68),0)+IF(ISNUMBER(MATCH(Z68,{"Expense|employee","Expense|general_admin","Expense|marketing","Expense|utilities","Expense|other_operating"},0)),-N(N68),0)</f>
        <v/>
      </c>
      <c r="AE68" s="23">
        <f>IF(V68="Liability|payable",-N(F68),0)+IF(W68="Liability|payable",-N(M68),0)+IF(X68="Liability|payable",N(O68),0)+IF(Y68="Liability|payable",N(P68),0)+IF(Z68="Liability|payable",N(N68),0)</f>
        <v/>
      </c>
      <c r="AF68" s="23">
        <f>IF(V68="Liability|accrued",-N(F68),0)+IF(W68="Liability|accrued",-N(M68),0)+IF(X68="Liability|accrued",N(O68),0)+IF(Y68="Liability|accrued",N(P68),0)+IF(Z68="Liability|accrued",N(N68),0)</f>
        <v/>
      </c>
      <c r="AG68" s="23">
        <f>IF(AND(N(F68)&lt;&gt;0,V68=""),1,0)+IF(AND(N(M68)&lt;&gt;0,W68=""),1,0)+IF(AND(N(O68)&lt;&gt;0,X68=""),1,0)+IF(AND(N(P68)&lt;&gt;0,Y68=""),1,0)+IF(AND(N(N68)&lt;&gt;0,Z68=""),1,0)</f>
        <v/>
      </c>
    </row>
    <row r="69">
      <c r="A69" s="19" t="n"/>
      <c r="B69" s="14" t="n"/>
      <c r="C69" s="14" t="n"/>
      <c r="D69" s="14" t="n"/>
      <c r="E69" s="14" t="n"/>
      <c r="F69" s="20" t="n"/>
      <c r="G69" s="20" t="n"/>
      <c r="H69" s="14" t="n"/>
      <c r="I69" s="14" t="n"/>
      <c r="J69" s="14" t="n"/>
      <c r="K69" s="14" t="n"/>
      <c r="L69" s="14" t="n"/>
      <c r="M69" s="21">
        <f>ROUND(N(F69)*IFERROR(VLOOKUP(K69,'Tax Codes'!$A$5:$E$300,5,FALSE),0),2)</f>
        <v/>
      </c>
      <c r="N69" s="21">
        <f>ROUND(N(F69)*IFERROR(VLOOKUP(L69,'Tax Codes'!$A$5:$E$300,5,FALSE),0),2)</f>
        <v/>
      </c>
      <c r="O69" s="21">
        <f>IF(G69="",N(F69)+M69-N69,N(G69))</f>
        <v/>
      </c>
      <c r="P69" s="21">
        <f>N(F69)+M69-N69-O69</f>
        <v/>
      </c>
      <c r="Q69" s="16">
        <f>IF(C69="",INDEX('Chart of Accounts'!$A$5:$A$3000,MATCH("other_overhead",'Chart of Accounts'!$F$5:$F$3000,0)),C69&amp;"")</f>
        <v/>
      </c>
      <c r="R69" s="16">
        <f>IF(I69="",INDEX('Chart of Accounts'!$A$5:$A$3000,MATCH("bank",'Chart of Accounts'!$F$5:$F$3000,0)),I69&amp;"")</f>
        <v/>
      </c>
      <c r="S69" s="16">
        <f>IF(J69="",INDEX('Chart of Accounts'!$A$5:$A$3000,MATCH("ap",'Chart of Accounts'!$F$5:$F$3000,0)),J69&amp;"")</f>
        <v/>
      </c>
      <c r="T69" s="16">
        <f>INDEX('Chart of Accounts'!$A$5:$A$3000,MATCH("vat_input",'Chart of Accounts'!$F$5:$F$3000,0))</f>
        <v/>
      </c>
      <c r="U69" s="16">
        <f>INDEX('Chart of Accounts'!$A$5:$A$3000,MATCH("wht_payable",'Chart of Accounts'!$F$5:$F$3000,0))</f>
        <v/>
      </c>
      <c r="V69" s="23">
        <f>IFERROR(INDEX('Chart of Accounts'!$C$5:$C$3000,MATCH(Q69&amp;"",'Chart of Accounts'!$A$5:$A$3000,0))&amp;"|"&amp;INDEX('Chart of Accounts'!$D$5:$D$3000,MATCH(Q69&amp;"",'Chart of Accounts'!$A$5:$A$3000,0)),"")</f>
        <v/>
      </c>
      <c r="W69" s="23">
        <f>IFERROR(INDEX('Chart of Accounts'!$C$5:$C$3000,MATCH(T69&amp;"",'Chart of Accounts'!$A$5:$A$3000,0))&amp;"|"&amp;INDEX('Chart of Accounts'!$D$5:$D$3000,MATCH(T69&amp;"",'Chart of Accounts'!$A$5:$A$3000,0)),"")</f>
        <v/>
      </c>
      <c r="X69" s="23">
        <f>IFERROR(INDEX('Chart of Accounts'!$C$5:$C$3000,MATCH(R69&amp;"",'Chart of Accounts'!$A$5:$A$3000,0))&amp;"|"&amp;INDEX('Chart of Accounts'!$D$5:$D$3000,MATCH(R69&amp;"",'Chart of Accounts'!$A$5:$A$3000,0)),"")</f>
        <v/>
      </c>
      <c r="Y69" s="23">
        <f>IFERROR(INDEX('Chart of Accounts'!$C$5:$C$3000,MATCH(S69&amp;"",'Chart of Accounts'!$A$5:$A$3000,0))&amp;"|"&amp;INDEX('Chart of Accounts'!$D$5:$D$3000,MATCH(S69&amp;"",'Chart of Accounts'!$A$5:$A$3000,0)),"")</f>
        <v/>
      </c>
      <c r="Z69" s="23">
        <f>IFERROR(INDEX('Chart of Accounts'!$C$5:$C$3000,MATCH(U69&amp;"",'Chart of Accounts'!$A$5:$A$3000,0))&amp;"|"&amp;INDEX('Chart of Accounts'!$D$5:$D$3000,MATCH(U69&amp;"",'Chart of Accounts'!$A$5:$A$3000,0)),"")</f>
        <v/>
      </c>
      <c r="AA69" s="23">
        <f>IF(LEFT(V69,8)="Revenue|",-N(F69),0)+IF(LEFT(W69,8)="Revenue|",-N(M69),0)+IF(LEFT(X69,8)="Revenue|",N(O69),0)+IF(LEFT(Y69,8)="Revenue|",N(P69),0)+IF(LEFT(Z69,8)="Revenue|",N(N69),0)</f>
        <v/>
      </c>
      <c r="AB69" s="23">
        <f>IF(LEFT(V69,5)="COGS|",N(F69),0)+IF(LEFT(W69,5)="COGS|",N(M69),0)+IF(LEFT(X69,5)="COGS|",-N(O69),0)+IF(LEFT(Y69,5)="COGS|",-N(P69),0)+IF(LEFT(Z69,5)="COGS|",-N(N69),0)</f>
        <v/>
      </c>
      <c r="AC69" s="23">
        <f>IF(LEFT(V69,8)="Expense|",N(F69),0)+IF(LEFT(W69,8)="Expense|",N(M69),0)+IF(LEFT(X69,8)="Expense|",-N(O69),0)+IF(LEFT(Y69,8)="Expense|",-N(P69),0)+IF(LEFT(Z69,8)="Expense|",-N(N69),0)</f>
        <v/>
      </c>
      <c r="AD69" s="23">
        <f>IF(ISNUMBER(MATCH(V69,{"Expense|employee","Expense|general_admin","Expense|marketing","Expense|utilities","Expense|other_operating"},0)),N(F69),0)+IF(ISNUMBER(MATCH(W69,{"Expense|employee","Expense|general_admin","Expense|marketing","Expense|utilities","Expense|other_operating"},0)),N(M69),0)+IF(ISNUMBER(MATCH(X69,{"Expense|employee","Expense|general_admin","Expense|marketing","Expense|utilities","Expense|other_operating"},0)),-N(O69),0)+IF(ISNUMBER(MATCH(Y69,{"Expense|employee","Expense|general_admin","Expense|marketing","Expense|utilities","Expense|other_operating"},0)),-N(P69),0)+IF(ISNUMBER(MATCH(Z69,{"Expense|employee","Expense|general_admin","Expense|marketing","Expense|utilities","Expense|other_operating"},0)),-N(N69),0)</f>
        <v/>
      </c>
      <c r="AE69" s="23">
        <f>IF(V69="Liability|payable",-N(F69),0)+IF(W69="Liability|payable",-N(M69),0)+IF(X69="Liability|payable",N(O69),0)+IF(Y69="Liability|payable",N(P69),0)+IF(Z69="Liability|payable",N(N69),0)</f>
        <v/>
      </c>
      <c r="AF69" s="23">
        <f>IF(V69="Liability|accrued",-N(F69),0)+IF(W69="Liability|accrued",-N(M69),0)+IF(X69="Liability|accrued",N(O69),0)+IF(Y69="Liability|accrued",N(P69),0)+IF(Z69="Liability|accrued",N(N69),0)</f>
        <v/>
      </c>
      <c r="AG69" s="23">
        <f>IF(AND(N(F69)&lt;&gt;0,V69=""),1,0)+IF(AND(N(M69)&lt;&gt;0,W69=""),1,0)+IF(AND(N(O69)&lt;&gt;0,X69=""),1,0)+IF(AND(N(P69)&lt;&gt;0,Y69=""),1,0)+IF(AND(N(N69)&lt;&gt;0,Z69=""),1,0)</f>
        <v/>
      </c>
    </row>
    <row r="70">
      <c r="A70" s="19" t="n"/>
      <c r="B70" s="14" t="n"/>
      <c r="C70" s="14" t="n"/>
      <c r="D70" s="14" t="n"/>
      <c r="E70" s="14" t="n"/>
      <c r="F70" s="20" t="n"/>
      <c r="G70" s="20" t="n"/>
      <c r="H70" s="14" t="n"/>
      <c r="I70" s="14" t="n"/>
      <c r="J70" s="14" t="n"/>
      <c r="K70" s="14" t="n"/>
      <c r="L70" s="14" t="n"/>
      <c r="M70" s="21">
        <f>ROUND(N(F70)*IFERROR(VLOOKUP(K70,'Tax Codes'!$A$5:$E$300,5,FALSE),0),2)</f>
        <v/>
      </c>
      <c r="N70" s="21">
        <f>ROUND(N(F70)*IFERROR(VLOOKUP(L70,'Tax Codes'!$A$5:$E$300,5,FALSE),0),2)</f>
        <v/>
      </c>
      <c r="O70" s="21">
        <f>IF(G70="",N(F70)+M70-N70,N(G70))</f>
        <v/>
      </c>
      <c r="P70" s="21">
        <f>N(F70)+M70-N70-O70</f>
        <v/>
      </c>
      <c r="Q70" s="16">
        <f>IF(C70="",INDEX('Chart of Accounts'!$A$5:$A$3000,MATCH("other_overhead",'Chart of Accounts'!$F$5:$F$3000,0)),C70&amp;"")</f>
        <v/>
      </c>
      <c r="R70" s="16">
        <f>IF(I70="",INDEX('Chart of Accounts'!$A$5:$A$3000,MATCH("bank",'Chart of Accounts'!$F$5:$F$3000,0)),I70&amp;"")</f>
        <v/>
      </c>
      <c r="S70" s="16">
        <f>IF(J70="",INDEX('Chart of Accounts'!$A$5:$A$3000,MATCH("ap",'Chart of Accounts'!$F$5:$F$3000,0)),J70&amp;"")</f>
        <v/>
      </c>
      <c r="T70" s="16">
        <f>INDEX('Chart of Accounts'!$A$5:$A$3000,MATCH("vat_input",'Chart of Accounts'!$F$5:$F$3000,0))</f>
        <v/>
      </c>
      <c r="U70" s="16">
        <f>INDEX('Chart of Accounts'!$A$5:$A$3000,MATCH("wht_payable",'Chart of Accounts'!$F$5:$F$3000,0))</f>
        <v/>
      </c>
      <c r="V70" s="23">
        <f>IFERROR(INDEX('Chart of Accounts'!$C$5:$C$3000,MATCH(Q70&amp;"",'Chart of Accounts'!$A$5:$A$3000,0))&amp;"|"&amp;INDEX('Chart of Accounts'!$D$5:$D$3000,MATCH(Q70&amp;"",'Chart of Accounts'!$A$5:$A$3000,0)),"")</f>
        <v/>
      </c>
      <c r="W70" s="23">
        <f>IFERROR(INDEX('Chart of Accounts'!$C$5:$C$3000,MATCH(T70&amp;"",'Chart of Accounts'!$A$5:$A$3000,0))&amp;"|"&amp;INDEX('Chart of Accounts'!$D$5:$D$3000,MATCH(T70&amp;"",'Chart of Accounts'!$A$5:$A$3000,0)),"")</f>
        <v/>
      </c>
      <c r="X70" s="23">
        <f>IFERROR(INDEX('Chart of Accounts'!$C$5:$C$3000,MATCH(R70&amp;"",'Chart of Accounts'!$A$5:$A$3000,0))&amp;"|"&amp;INDEX('Chart of Accounts'!$D$5:$D$3000,MATCH(R70&amp;"",'Chart of Accounts'!$A$5:$A$3000,0)),"")</f>
        <v/>
      </c>
      <c r="Y70" s="23">
        <f>IFERROR(INDEX('Chart of Accounts'!$C$5:$C$3000,MATCH(S70&amp;"",'Chart of Accounts'!$A$5:$A$3000,0))&amp;"|"&amp;INDEX('Chart of Accounts'!$D$5:$D$3000,MATCH(S70&amp;"",'Chart of Accounts'!$A$5:$A$3000,0)),"")</f>
        <v/>
      </c>
      <c r="Z70" s="23">
        <f>IFERROR(INDEX('Chart of Accounts'!$C$5:$C$3000,MATCH(U70&amp;"",'Chart of Accounts'!$A$5:$A$3000,0))&amp;"|"&amp;INDEX('Chart of Accounts'!$D$5:$D$3000,MATCH(U70&amp;"",'Chart of Accounts'!$A$5:$A$3000,0)),"")</f>
        <v/>
      </c>
      <c r="AA70" s="23">
        <f>IF(LEFT(V70,8)="Revenue|",-N(F70),0)+IF(LEFT(W70,8)="Revenue|",-N(M70),0)+IF(LEFT(X70,8)="Revenue|",N(O70),0)+IF(LEFT(Y70,8)="Revenue|",N(P70),0)+IF(LEFT(Z70,8)="Revenue|",N(N70),0)</f>
        <v/>
      </c>
      <c r="AB70" s="23">
        <f>IF(LEFT(V70,5)="COGS|",N(F70),0)+IF(LEFT(W70,5)="COGS|",N(M70),0)+IF(LEFT(X70,5)="COGS|",-N(O70),0)+IF(LEFT(Y70,5)="COGS|",-N(P70),0)+IF(LEFT(Z70,5)="COGS|",-N(N70),0)</f>
        <v/>
      </c>
      <c r="AC70" s="23">
        <f>IF(LEFT(V70,8)="Expense|",N(F70),0)+IF(LEFT(W70,8)="Expense|",N(M70),0)+IF(LEFT(X70,8)="Expense|",-N(O70),0)+IF(LEFT(Y70,8)="Expense|",-N(P70),0)+IF(LEFT(Z70,8)="Expense|",-N(N70),0)</f>
        <v/>
      </c>
      <c r="AD70" s="23">
        <f>IF(ISNUMBER(MATCH(V70,{"Expense|employee","Expense|general_admin","Expense|marketing","Expense|utilities","Expense|other_operating"},0)),N(F70),0)+IF(ISNUMBER(MATCH(W70,{"Expense|employee","Expense|general_admin","Expense|marketing","Expense|utilities","Expense|other_operating"},0)),N(M70),0)+IF(ISNUMBER(MATCH(X70,{"Expense|employee","Expense|general_admin","Expense|marketing","Expense|utilities","Expense|other_operating"},0)),-N(O70),0)+IF(ISNUMBER(MATCH(Y70,{"Expense|employee","Expense|general_admin","Expense|marketing","Expense|utilities","Expense|other_operating"},0)),-N(P70),0)+IF(ISNUMBER(MATCH(Z70,{"Expense|employee","Expense|general_admin","Expense|marketing","Expense|utilities","Expense|other_operating"},0)),-N(N70),0)</f>
        <v/>
      </c>
      <c r="AE70" s="23">
        <f>IF(V70="Liability|payable",-N(F70),0)+IF(W70="Liability|payable",-N(M70),0)+IF(X70="Liability|payable",N(O70),0)+IF(Y70="Liability|payable",N(P70),0)+IF(Z70="Liability|payable",N(N70),0)</f>
        <v/>
      </c>
      <c r="AF70" s="23">
        <f>IF(V70="Liability|accrued",-N(F70),0)+IF(W70="Liability|accrued",-N(M70),0)+IF(X70="Liability|accrued",N(O70),0)+IF(Y70="Liability|accrued",N(P70),0)+IF(Z70="Liability|accrued",N(N70),0)</f>
        <v/>
      </c>
      <c r="AG70" s="23">
        <f>IF(AND(N(F70)&lt;&gt;0,V70=""),1,0)+IF(AND(N(M70)&lt;&gt;0,W70=""),1,0)+IF(AND(N(O70)&lt;&gt;0,X70=""),1,0)+IF(AND(N(P70)&lt;&gt;0,Y70=""),1,0)+IF(AND(N(N70)&lt;&gt;0,Z70=""),1,0)</f>
        <v/>
      </c>
    </row>
    <row r="71">
      <c r="A71" s="19" t="n"/>
      <c r="B71" s="14" t="n"/>
      <c r="C71" s="14" t="n"/>
      <c r="D71" s="14" t="n"/>
      <c r="E71" s="14" t="n"/>
      <c r="F71" s="20" t="n"/>
      <c r="G71" s="20" t="n"/>
      <c r="H71" s="14" t="n"/>
      <c r="I71" s="14" t="n"/>
      <c r="J71" s="14" t="n"/>
      <c r="K71" s="14" t="n"/>
      <c r="L71" s="14" t="n"/>
      <c r="M71" s="21">
        <f>ROUND(N(F71)*IFERROR(VLOOKUP(K71,'Tax Codes'!$A$5:$E$300,5,FALSE),0),2)</f>
        <v/>
      </c>
      <c r="N71" s="21">
        <f>ROUND(N(F71)*IFERROR(VLOOKUP(L71,'Tax Codes'!$A$5:$E$300,5,FALSE),0),2)</f>
        <v/>
      </c>
      <c r="O71" s="21">
        <f>IF(G71="",N(F71)+M71-N71,N(G71))</f>
        <v/>
      </c>
      <c r="P71" s="21">
        <f>N(F71)+M71-N71-O71</f>
        <v/>
      </c>
      <c r="Q71" s="16">
        <f>IF(C71="",INDEX('Chart of Accounts'!$A$5:$A$3000,MATCH("other_overhead",'Chart of Accounts'!$F$5:$F$3000,0)),C71&amp;"")</f>
        <v/>
      </c>
      <c r="R71" s="16">
        <f>IF(I71="",INDEX('Chart of Accounts'!$A$5:$A$3000,MATCH("bank",'Chart of Accounts'!$F$5:$F$3000,0)),I71&amp;"")</f>
        <v/>
      </c>
      <c r="S71" s="16">
        <f>IF(J71="",INDEX('Chart of Accounts'!$A$5:$A$3000,MATCH("ap",'Chart of Accounts'!$F$5:$F$3000,0)),J71&amp;"")</f>
        <v/>
      </c>
      <c r="T71" s="16">
        <f>INDEX('Chart of Accounts'!$A$5:$A$3000,MATCH("vat_input",'Chart of Accounts'!$F$5:$F$3000,0))</f>
        <v/>
      </c>
      <c r="U71" s="16">
        <f>INDEX('Chart of Accounts'!$A$5:$A$3000,MATCH("wht_payable",'Chart of Accounts'!$F$5:$F$3000,0))</f>
        <v/>
      </c>
      <c r="V71" s="23">
        <f>IFERROR(INDEX('Chart of Accounts'!$C$5:$C$3000,MATCH(Q71&amp;"",'Chart of Accounts'!$A$5:$A$3000,0))&amp;"|"&amp;INDEX('Chart of Accounts'!$D$5:$D$3000,MATCH(Q71&amp;"",'Chart of Accounts'!$A$5:$A$3000,0)),"")</f>
        <v/>
      </c>
      <c r="W71" s="23">
        <f>IFERROR(INDEX('Chart of Accounts'!$C$5:$C$3000,MATCH(T71&amp;"",'Chart of Accounts'!$A$5:$A$3000,0))&amp;"|"&amp;INDEX('Chart of Accounts'!$D$5:$D$3000,MATCH(T71&amp;"",'Chart of Accounts'!$A$5:$A$3000,0)),"")</f>
        <v/>
      </c>
      <c r="X71" s="23">
        <f>IFERROR(INDEX('Chart of Accounts'!$C$5:$C$3000,MATCH(R71&amp;"",'Chart of Accounts'!$A$5:$A$3000,0))&amp;"|"&amp;INDEX('Chart of Accounts'!$D$5:$D$3000,MATCH(R71&amp;"",'Chart of Accounts'!$A$5:$A$3000,0)),"")</f>
        <v/>
      </c>
      <c r="Y71" s="23">
        <f>IFERROR(INDEX('Chart of Accounts'!$C$5:$C$3000,MATCH(S71&amp;"",'Chart of Accounts'!$A$5:$A$3000,0))&amp;"|"&amp;INDEX('Chart of Accounts'!$D$5:$D$3000,MATCH(S71&amp;"",'Chart of Accounts'!$A$5:$A$3000,0)),"")</f>
        <v/>
      </c>
      <c r="Z71" s="23">
        <f>IFERROR(INDEX('Chart of Accounts'!$C$5:$C$3000,MATCH(U71&amp;"",'Chart of Accounts'!$A$5:$A$3000,0))&amp;"|"&amp;INDEX('Chart of Accounts'!$D$5:$D$3000,MATCH(U71&amp;"",'Chart of Accounts'!$A$5:$A$3000,0)),"")</f>
        <v/>
      </c>
      <c r="AA71" s="23">
        <f>IF(LEFT(V71,8)="Revenue|",-N(F71),0)+IF(LEFT(W71,8)="Revenue|",-N(M71),0)+IF(LEFT(X71,8)="Revenue|",N(O71),0)+IF(LEFT(Y71,8)="Revenue|",N(P71),0)+IF(LEFT(Z71,8)="Revenue|",N(N71),0)</f>
        <v/>
      </c>
      <c r="AB71" s="23">
        <f>IF(LEFT(V71,5)="COGS|",N(F71),0)+IF(LEFT(W71,5)="COGS|",N(M71),0)+IF(LEFT(X71,5)="COGS|",-N(O71),0)+IF(LEFT(Y71,5)="COGS|",-N(P71),0)+IF(LEFT(Z71,5)="COGS|",-N(N71),0)</f>
        <v/>
      </c>
      <c r="AC71" s="23">
        <f>IF(LEFT(V71,8)="Expense|",N(F71),0)+IF(LEFT(W71,8)="Expense|",N(M71),0)+IF(LEFT(X71,8)="Expense|",-N(O71),0)+IF(LEFT(Y71,8)="Expense|",-N(P71),0)+IF(LEFT(Z71,8)="Expense|",-N(N71),0)</f>
        <v/>
      </c>
      <c r="AD71" s="23">
        <f>IF(ISNUMBER(MATCH(V71,{"Expense|employee","Expense|general_admin","Expense|marketing","Expense|utilities","Expense|other_operating"},0)),N(F71),0)+IF(ISNUMBER(MATCH(W71,{"Expense|employee","Expense|general_admin","Expense|marketing","Expense|utilities","Expense|other_operating"},0)),N(M71),0)+IF(ISNUMBER(MATCH(X71,{"Expense|employee","Expense|general_admin","Expense|marketing","Expense|utilities","Expense|other_operating"},0)),-N(O71),0)+IF(ISNUMBER(MATCH(Y71,{"Expense|employee","Expense|general_admin","Expense|marketing","Expense|utilities","Expense|other_operating"},0)),-N(P71),0)+IF(ISNUMBER(MATCH(Z71,{"Expense|employee","Expense|general_admin","Expense|marketing","Expense|utilities","Expense|other_operating"},0)),-N(N71),0)</f>
        <v/>
      </c>
      <c r="AE71" s="23">
        <f>IF(V71="Liability|payable",-N(F71),0)+IF(W71="Liability|payable",-N(M71),0)+IF(X71="Liability|payable",N(O71),0)+IF(Y71="Liability|payable",N(P71),0)+IF(Z71="Liability|payable",N(N71),0)</f>
        <v/>
      </c>
      <c r="AF71" s="23">
        <f>IF(V71="Liability|accrued",-N(F71),0)+IF(W71="Liability|accrued",-N(M71),0)+IF(X71="Liability|accrued",N(O71),0)+IF(Y71="Liability|accrued",N(P71),0)+IF(Z71="Liability|accrued",N(N71),0)</f>
        <v/>
      </c>
      <c r="AG71" s="23">
        <f>IF(AND(N(F71)&lt;&gt;0,V71=""),1,0)+IF(AND(N(M71)&lt;&gt;0,W71=""),1,0)+IF(AND(N(O71)&lt;&gt;0,X71=""),1,0)+IF(AND(N(P71)&lt;&gt;0,Y71=""),1,0)+IF(AND(N(N71)&lt;&gt;0,Z71=""),1,0)</f>
        <v/>
      </c>
    </row>
    <row r="72">
      <c r="A72" s="19" t="n"/>
      <c r="B72" s="14" t="n"/>
      <c r="C72" s="14" t="n"/>
      <c r="D72" s="14" t="n"/>
      <c r="E72" s="14" t="n"/>
      <c r="F72" s="20" t="n"/>
      <c r="G72" s="20" t="n"/>
      <c r="H72" s="14" t="n"/>
      <c r="I72" s="14" t="n"/>
      <c r="J72" s="14" t="n"/>
      <c r="K72" s="14" t="n"/>
      <c r="L72" s="14" t="n"/>
      <c r="M72" s="21">
        <f>ROUND(N(F72)*IFERROR(VLOOKUP(K72,'Tax Codes'!$A$5:$E$300,5,FALSE),0),2)</f>
        <v/>
      </c>
      <c r="N72" s="21">
        <f>ROUND(N(F72)*IFERROR(VLOOKUP(L72,'Tax Codes'!$A$5:$E$300,5,FALSE),0),2)</f>
        <v/>
      </c>
      <c r="O72" s="21">
        <f>IF(G72="",N(F72)+M72-N72,N(G72))</f>
        <v/>
      </c>
      <c r="P72" s="21">
        <f>N(F72)+M72-N72-O72</f>
        <v/>
      </c>
      <c r="Q72" s="16">
        <f>IF(C72="",INDEX('Chart of Accounts'!$A$5:$A$3000,MATCH("other_overhead",'Chart of Accounts'!$F$5:$F$3000,0)),C72&amp;"")</f>
        <v/>
      </c>
      <c r="R72" s="16">
        <f>IF(I72="",INDEX('Chart of Accounts'!$A$5:$A$3000,MATCH("bank",'Chart of Accounts'!$F$5:$F$3000,0)),I72&amp;"")</f>
        <v/>
      </c>
      <c r="S72" s="16">
        <f>IF(J72="",INDEX('Chart of Accounts'!$A$5:$A$3000,MATCH("ap",'Chart of Accounts'!$F$5:$F$3000,0)),J72&amp;"")</f>
        <v/>
      </c>
      <c r="T72" s="16">
        <f>INDEX('Chart of Accounts'!$A$5:$A$3000,MATCH("vat_input",'Chart of Accounts'!$F$5:$F$3000,0))</f>
        <v/>
      </c>
      <c r="U72" s="16">
        <f>INDEX('Chart of Accounts'!$A$5:$A$3000,MATCH("wht_payable",'Chart of Accounts'!$F$5:$F$3000,0))</f>
        <v/>
      </c>
      <c r="V72" s="23">
        <f>IFERROR(INDEX('Chart of Accounts'!$C$5:$C$3000,MATCH(Q72&amp;"",'Chart of Accounts'!$A$5:$A$3000,0))&amp;"|"&amp;INDEX('Chart of Accounts'!$D$5:$D$3000,MATCH(Q72&amp;"",'Chart of Accounts'!$A$5:$A$3000,0)),"")</f>
        <v/>
      </c>
      <c r="W72" s="23">
        <f>IFERROR(INDEX('Chart of Accounts'!$C$5:$C$3000,MATCH(T72&amp;"",'Chart of Accounts'!$A$5:$A$3000,0))&amp;"|"&amp;INDEX('Chart of Accounts'!$D$5:$D$3000,MATCH(T72&amp;"",'Chart of Accounts'!$A$5:$A$3000,0)),"")</f>
        <v/>
      </c>
      <c r="X72" s="23">
        <f>IFERROR(INDEX('Chart of Accounts'!$C$5:$C$3000,MATCH(R72&amp;"",'Chart of Accounts'!$A$5:$A$3000,0))&amp;"|"&amp;INDEX('Chart of Accounts'!$D$5:$D$3000,MATCH(R72&amp;"",'Chart of Accounts'!$A$5:$A$3000,0)),"")</f>
        <v/>
      </c>
      <c r="Y72" s="23">
        <f>IFERROR(INDEX('Chart of Accounts'!$C$5:$C$3000,MATCH(S72&amp;"",'Chart of Accounts'!$A$5:$A$3000,0))&amp;"|"&amp;INDEX('Chart of Accounts'!$D$5:$D$3000,MATCH(S72&amp;"",'Chart of Accounts'!$A$5:$A$3000,0)),"")</f>
        <v/>
      </c>
      <c r="Z72" s="23">
        <f>IFERROR(INDEX('Chart of Accounts'!$C$5:$C$3000,MATCH(U72&amp;"",'Chart of Accounts'!$A$5:$A$3000,0))&amp;"|"&amp;INDEX('Chart of Accounts'!$D$5:$D$3000,MATCH(U72&amp;"",'Chart of Accounts'!$A$5:$A$3000,0)),"")</f>
        <v/>
      </c>
      <c r="AA72" s="23">
        <f>IF(LEFT(V72,8)="Revenue|",-N(F72),0)+IF(LEFT(W72,8)="Revenue|",-N(M72),0)+IF(LEFT(X72,8)="Revenue|",N(O72),0)+IF(LEFT(Y72,8)="Revenue|",N(P72),0)+IF(LEFT(Z72,8)="Revenue|",N(N72),0)</f>
        <v/>
      </c>
      <c r="AB72" s="23">
        <f>IF(LEFT(V72,5)="COGS|",N(F72),0)+IF(LEFT(W72,5)="COGS|",N(M72),0)+IF(LEFT(X72,5)="COGS|",-N(O72),0)+IF(LEFT(Y72,5)="COGS|",-N(P72),0)+IF(LEFT(Z72,5)="COGS|",-N(N72),0)</f>
        <v/>
      </c>
      <c r="AC72" s="23">
        <f>IF(LEFT(V72,8)="Expense|",N(F72),0)+IF(LEFT(W72,8)="Expense|",N(M72),0)+IF(LEFT(X72,8)="Expense|",-N(O72),0)+IF(LEFT(Y72,8)="Expense|",-N(P72),0)+IF(LEFT(Z72,8)="Expense|",-N(N72),0)</f>
        <v/>
      </c>
      <c r="AD72" s="23">
        <f>IF(ISNUMBER(MATCH(V72,{"Expense|employee","Expense|general_admin","Expense|marketing","Expense|utilities","Expense|other_operating"},0)),N(F72),0)+IF(ISNUMBER(MATCH(W72,{"Expense|employee","Expense|general_admin","Expense|marketing","Expense|utilities","Expense|other_operating"},0)),N(M72),0)+IF(ISNUMBER(MATCH(X72,{"Expense|employee","Expense|general_admin","Expense|marketing","Expense|utilities","Expense|other_operating"},0)),-N(O72),0)+IF(ISNUMBER(MATCH(Y72,{"Expense|employee","Expense|general_admin","Expense|marketing","Expense|utilities","Expense|other_operating"},0)),-N(P72),0)+IF(ISNUMBER(MATCH(Z72,{"Expense|employee","Expense|general_admin","Expense|marketing","Expense|utilities","Expense|other_operating"},0)),-N(N72),0)</f>
        <v/>
      </c>
      <c r="AE72" s="23">
        <f>IF(V72="Liability|payable",-N(F72),0)+IF(W72="Liability|payable",-N(M72),0)+IF(X72="Liability|payable",N(O72),0)+IF(Y72="Liability|payable",N(P72),0)+IF(Z72="Liability|payable",N(N72),0)</f>
        <v/>
      </c>
      <c r="AF72" s="23">
        <f>IF(V72="Liability|accrued",-N(F72),0)+IF(W72="Liability|accrued",-N(M72),0)+IF(X72="Liability|accrued",N(O72),0)+IF(Y72="Liability|accrued",N(P72),0)+IF(Z72="Liability|accrued",N(N72),0)</f>
        <v/>
      </c>
      <c r="AG72" s="23">
        <f>IF(AND(N(F72)&lt;&gt;0,V72=""),1,0)+IF(AND(N(M72)&lt;&gt;0,W72=""),1,0)+IF(AND(N(O72)&lt;&gt;0,X72=""),1,0)+IF(AND(N(P72)&lt;&gt;0,Y72=""),1,0)+IF(AND(N(N72)&lt;&gt;0,Z72=""),1,0)</f>
        <v/>
      </c>
    </row>
    <row r="73">
      <c r="A73" s="19" t="n"/>
      <c r="B73" s="14" t="n"/>
      <c r="C73" s="14" t="n"/>
      <c r="D73" s="14" t="n"/>
      <c r="E73" s="14" t="n"/>
      <c r="F73" s="20" t="n"/>
      <c r="G73" s="20" t="n"/>
      <c r="H73" s="14" t="n"/>
      <c r="I73" s="14" t="n"/>
      <c r="J73" s="14" t="n"/>
      <c r="K73" s="14" t="n"/>
      <c r="L73" s="14" t="n"/>
      <c r="M73" s="21">
        <f>ROUND(N(F73)*IFERROR(VLOOKUP(K73,'Tax Codes'!$A$5:$E$300,5,FALSE),0),2)</f>
        <v/>
      </c>
      <c r="N73" s="21">
        <f>ROUND(N(F73)*IFERROR(VLOOKUP(L73,'Tax Codes'!$A$5:$E$300,5,FALSE),0),2)</f>
        <v/>
      </c>
      <c r="O73" s="21">
        <f>IF(G73="",N(F73)+M73-N73,N(G73))</f>
        <v/>
      </c>
      <c r="P73" s="21">
        <f>N(F73)+M73-N73-O73</f>
        <v/>
      </c>
      <c r="Q73" s="16">
        <f>IF(C73="",INDEX('Chart of Accounts'!$A$5:$A$3000,MATCH("other_overhead",'Chart of Accounts'!$F$5:$F$3000,0)),C73&amp;"")</f>
        <v/>
      </c>
      <c r="R73" s="16">
        <f>IF(I73="",INDEX('Chart of Accounts'!$A$5:$A$3000,MATCH("bank",'Chart of Accounts'!$F$5:$F$3000,0)),I73&amp;"")</f>
        <v/>
      </c>
      <c r="S73" s="16">
        <f>IF(J73="",INDEX('Chart of Accounts'!$A$5:$A$3000,MATCH("ap",'Chart of Accounts'!$F$5:$F$3000,0)),J73&amp;"")</f>
        <v/>
      </c>
      <c r="T73" s="16">
        <f>INDEX('Chart of Accounts'!$A$5:$A$3000,MATCH("vat_input",'Chart of Accounts'!$F$5:$F$3000,0))</f>
        <v/>
      </c>
      <c r="U73" s="16">
        <f>INDEX('Chart of Accounts'!$A$5:$A$3000,MATCH("wht_payable",'Chart of Accounts'!$F$5:$F$3000,0))</f>
        <v/>
      </c>
      <c r="V73" s="23">
        <f>IFERROR(INDEX('Chart of Accounts'!$C$5:$C$3000,MATCH(Q73&amp;"",'Chart of Accounts'!$A$5:$A$3000,0))&amp;"|"&amp;INDEX('Chart of Accounts'!$D$5:$D$3000,MATCH(Q73&amp;"",'Chart of Accounts'!$A$5:$A$3000,0)),"")</f>
        <v/>
      </c>
      <c r="W73" s="23">
        <f>IFERROR(INDEX('Chart of Accounts'!$C$5:$C$3000,MATCH(T73&amp;"",'Chart of Accounts'!$A$5:$A$3000,0))&amp;"|"&amp;INDEX('Chart of Accounts'!$D$5:$D$3000,MATCH(T73&amp;"",'Chart of Accounts'!$A$5:$A$3000,0)),"")</f>
        <v/>
      </c>
      <c r="X73" s="23">
        <f>IFERROR(INDEX('Chart of Accounts'!$C$5:$C$3000,MATCH(R73&amp;"",'Chart of Accounts'!$A$5:$A$3000,0))&amp;"|"&amp;INDEX('Chart of Accounts'!$D$5:$D$3000,MATCH(R73&amp;"",'Chart of Accounts'!$A$5:$A$3000,0)),"")</f>
        <v/>
      </c>
      <c r="Y73" s="23">
        <f>IFERROR(INDEX('Chart of Accounts'!$C$5:$C$3000,MATCH(S73&amp;"",'Chart of Accounts'!$A$5:$A$3000,0))&amp;"|"&amp;INDEX('Chart of Accounts'!$D$5:$D$3000,MATCH(S73&amp;"",'Chart of Accounts'!$A$5:$A$3000,0)),"")</f>
        <v/>
      </c>
      <c r="Z73" s="23">
        <f>IFERROR(INDEX('Chart of Accounts'!$C$5:$C$3000,MATCH(U73&amp;"",'Chart of Accounts'!$A$5:$A$3000,0))&amp;"|"&amp;INDEX('Chart of Accounts'!$D$5:$D$3000,MATCH(U73&amp;"",'Chart of Accounts'!$A$5:$A$3000,0)),"")</f>
        <v/>
      </c>
      <c r="AA73" s="23">
        <f>IF(LEFT(V73,8)="Revenue|",-N(F73),0)+IF(LEFT(W73,8)="Revenue|",-N(M73),0)+IF(LEFT(X73,8)="Revenue|",N(O73),0)+IF(LEFT(Y73,8)="Revenue|",N(P73),0)+IF(LEFT(Z73,8)="Revenue|",N(N73),0)</f>
        <v/>
      </c>
      <c r="AB73" s="23">
        <f>IF(LEFT(V73,5)="COGS|",N(F73),0)+IF(LEFT(W73,5)="COGS|",N(M73),0)+IF(LEFT(X73,5)="COGS|",-N(O73),0)+IF(LEFT(Y73,5)="COGS|",-N(P73),0)+IF(LEFT(Z73,5)="COGS|",-N(N73),0)</f>
        <v/>
      </c>
      <c r="AC73" s="23">
        <f>IF(LEFT(V73,8)="Expense|",N(F73),0)+IF(LEFT(W73,8)="Expense|",N(M73),0)+IF(LEFT(X73,8)="Expense|",-N(O73),0)+IF(LEFT(Y73,8)="Expense|",-N(P73),0)+IF(LEFT(Z73,8)="Expense|",-N(N73),0)</f>
        <v/>
      </c>
      <c r="AD73" s="23">
        <f>IF(ISNUMBER(MATCH(V73,{"Expense|employee","Expense|general_admin","Expense|marketing","Expense|utilities","Expense|other_operating"},0)),N(F73),0)+IF(ISNUMBER(MATCH(W73,{"Expense|employee","Expense|general_admin","Expense|marketing","Expense|utilities","Expense|other_operating"},0)),N(M73),0)+IF(ISNUMBER(MATCH(X73,{"Expense|employee","Expense|general_admin","Expense|marketing","Expense|utilities","Expense|other_operating"},0)),-N(O73),0)+IF(ISNUMBER(MATCH(Y73,{"Expense|employee","Expense|general_admin","Expense|marketing","Expense|utilities","Expense|other_operating"},0)),-N(P73),0)+IF(ISNUMBER(MATCH(Z73,{"Expense|employee","Expense|general_admin","Expense|marketing","Expense|utilities","Expense|other_operating"},0)),-N(N73),0)</f>
        <v/>
      </c>
      <c r="AE73" s="23">
        <f>IF(V73="Liability|payable",-N(F73),0)+IF(W73="Liability|payable",-N(M73),0)+IF(X73="Liability|payable",N(O73),0)+IF(Y73="Liability|payable",N(P73),0)+IF(Z73="Liability|payable",N(N73),0)</f>
        <v/>
      </c>
      <c r="AF73" s="23">
        <f>IF(V73="Liability|accrued",-N(F73),0)+IF(W73="Liability|accrued",-N(M73),0)+IF(X73="Liability|accrued",N(O73),0)+IF(Y73="Liability|accrued",N(P73),0)+IF(Z73="Liability|accrued",N(N73),0)</f>
        <v/>
      </c>
      <c r="AG73" s="23">
        <f>IF(AND(N(F73)&lt;&gt;0,V73=""),1,0)+IF(AND(N(M73)&lt;&gt;0,W73=""),1,0)+IF(AND(N(O73)&lt;&gt;0,X73=""),1,0)+IF(AND(N(P73)&lt;&gt;0,Y73=""),1,0)+IF(AND(N(N73)&lt;&gt;0,Z73=""),1,0)</f>
        <v/>
      </c>
    </row>
    <row r="74">
      <c r="A74" s="19" t="n"/>
      <c r="B74" s="14" t="n"/>
      <c r="C74" s="14" t="n"/>
      <c r="D74" s="14" t="n"/>
      <c r="E74" s="14" t="n"/>
      <c r="F74" s="20" t="n"/>
      <c r="G74" s="20" t="n"/>
      <c r="H74" s="14" t="n"/>
      <c r="I74" s="14" t="n"/>
      <c r="J74" s="14" t="n"/>
      <c r="K74" s="14" t="n"/>
      <c r="L74" s="14" t="n"/>
      <c r="M74" s="21">
        <f>ROUND(N(F74)*IFERROR(VLOOKUP(K74,'Tax Codes'!$A$5:$E$300,5,FALSE),0),2)</f>
        <v/>
      </c>
      <c r="N74" s="21">
        <f>ROUND(N(F74)*IFERROR(VLOOKUP(L74,'Tax Codes'!$A$5:$E$300,5,FALSE),0),2)</f>
        <v/>
      </c>
      <c r="O74" s="21">
        <f>IF(G74="",N(F74)+M74-N74,N(G74))</f>
        <v/>
      </c>
      <c r="P74" s="21">
        <f>N(F74)+M74-N74-O74</f>
        <v/>
      </c>
      <c r="Q74" s="16">
        <f>IF(C74="",INDEX('Chart of Accounts'!$A$5:$A$3000,MATCH("other_overhead",'Chart of Accounts'!$F$5:$F$3000,0)),C74&amp;"")</f>
        <v/>
      </c>
      <c r="R74" s="16">
        <f>IF(I74="",INDEX('Chart of Accounts'!$A$5:$A$3000,MATCH("bank",'Chart of Accounts'!$F$5:$F$3000,0)),I74&amp;"")</f>
        <v/>
      </c>
      <c r="S74" s="16">
        <f>IF(J74="",INDEX('Chart of Accounts'!$A$5:$A$3000,MATCH("ap",'Chart of Accounts'!$F$5:$F$3000,0)),J74&amp;"")</f>
        <v/>
      </c>
      <c r="T74" s="16">
        <f>INDEX('Chart of Accounts'!$A$5:$A$3000,MATCH("vat_input",'Chart of Accounts'!$F$5:$F$3000,0))</f>
        <v/>
      </c>
      <c r="U74" s="16">
        <f>INDEX('Chart of Accounts'!$A$5:$A$3000,MATCH("wht_payable",'Chart of Accounts'!$F$5:$F$3000,0))</f>
        <v/>
      </c>
      <c r="V74" s="23">
        <f>IFERROR(INDEX('Chart of Accounts'!$C$5:$C$3000,MATCH(Q74&amp;"",'Chart of Accounts'!$A$5:$A$3000,0))&amp;"|"&amp;INDEX('Chart of Accounts'!$D$5:$D$3000,MATCH(Q74&amp;"",'Chart of Accounts'!$A$5:$A$3000,0)),"")</f>
        <v/>
      </c>
      <c r="W74" s="23">
        <f>IFERROR(INDEX('Chart of Accounts'!$C$5:$C$3000,MATCH(T74&amp;"",'Chart of Accounts'!$A$5:$A$3000,0))&amp;"|"&amp;INDEX('Chart of Accounts'!$D$5:$D$3000,MATCH(T74&amp;"",'Chart of Accounts'!$A$5:$A$3000,0)),"")</f>
        <v/>
      </c>
      <c r="X74" s="23">
        <f>IFERROR(INDEX('Chart of Accounts'!$C$5:$C$3000,MATCH(R74&amp;"",'Chart of Accounts'!$A$5:$A$3000,0))&amp;"|"&amp;INDEX('Chart of Accounts'!$D$5:$D$3000,MATCH(R74&amp;"",'Chart of Accounts'!$A$5:$A$3000,0)),"")</f>
        <v/>
      </c>
      <c r="Y74" s="23">
        <f>IFERROR(INDEX('Chart of Accounts'!$C$5:$C$3000,MATCH(S74&amp;"",'Chart of Accounts'!$A$5:$A$3000,0))&amp;"|"&amp;INDEX('Chart of Accounts'!$D$5:$D$3000,MATCH(S74&amp;"",'Chart of Accounts'!$A$5:$A$3000,0)),"")</f>
        <v/>
      </c>
      <c r="Z74" s="23">
        <f>IFERROR(INDEX('Chart of Accounts'!$C$5:$C$3000,MATCH(U74&amp;"",'Chart of Accounts'!$A$5:$A$3000,0))&amp;"|"&amp;INDEX('Chart of Accounts'!$D$5:$D$3000,MATCH(U74&amp;"",'Chart of Accounts'!$A$5:$A$3000,0)),"")</f>
        <v/>
      </c>
      <c r="AA74" s="23">
        <f>IF(LEFT(V74,8)="Revenue|",-N(F74),0)+IF(LEFT(W74,8)="Revenue|",-N(M74),0)+IF(LEFT(X74,8)="Revenue|",N(O74),0)+IF(LEFT(Y74,8)="Revenue|",N(P74),0)+IF(LEFT(Z74,8)="Revenue|",N(N74),0)</f>
        <v/>
      </c>
      <c r="AB74" s="23">
        <f>IF(LEFT(V74,5)="COGS|",N(F74),0)+IF(LEFT(W74,5)="COGS|",N(M74),0)+IF(LEFT(X74,5)="COGS|",-N(O74),0)+IF(LEFT(Y74,5)="COGS|",-N(P74),0)+IF(LEFT(Z74,5)="COGS|",-N(N74),0)</f>
        <v/>
      </c>
      <c r="AC74" s="23">
        <f>IF(LEFT(V74,8)="Expense|",N(F74),0)+IF(LEFT(W74,8)="Expense|",N(M74),0)+IF(LEFT(X74,8)="Expense|",-N(O74),0)+IF(LEFT(Y74,8)="Expense|",-N(P74),0)+IF(LEFT(Z74,8)="Expense|",-N(N74),0)</f>
        <v/>
      </c>
      <c r="AD74" s="23">
        <f>IF(ISNUMBER(MATCH(V74,{"Expense|employee","Expense|general_admin","Expense|marketing","Expense|utilities","Expense|other_operating"},0)),N(F74),0)+IF(ISNUMBER(MATCH(W74,{"Expense|employee","Expense|general_admin","Expense|marketing","Expense|utilities","Expense|other_operating"},0)),N(M74),0)+IF(ISNUMBER(MATCH(X74,{"Expense|employee","Expense|general_admin","Expense|marketing","Expense|utilities","Expense|other_operating"},0)),-N(O74),0)+IF(ISNUMBER(MATCH(Y74,{"Expense|employee","Expense|general_admin","Expense|marketing","Expense|utilities","Expense|other_operating"},0)),-N(P74),0)+IF(ISNUMBER(MATCH(Z74,{"Expense|employee","Expense|general_admin","Expense|marketing","Expense|utilities","Expense|other_operating"},0)),-N(N74),0)</f>
        <v/>
      </c>
      <c r="AE74" s="23">
        <f>IF(V74="Liability|payable",-N(F74),0)+IF(W74="Liability|payable",-N(M74),0)+IF(X74="Liability|payable",N(O74),0)+IF(Y74="Liability|payable",N(P74),0)+IF(Z74="Liability|payable",N(N74),0)</f>
        <v/>
      </c>
      <c r="AF74" s="23">
        <f>IF(V74="Liability|accrued",-N(F74),0)+IF(W74="Liability|accrued",-N(M74),0)+IF(X74="Liability|accrued",N(O74),0)+IF(Y74="Liability|accrued",N(P74),0)+IF(Z74="Liability|accrued",N(N74),0)</f>
        <v/>
      </c>
      <c r="AG74" s="23">
        <f>IF(AND(N(F74)&lt;&gt;0,V74=""),1,0)+IF(AND(N(M74)&lt;&gt;0,W74=""),1,0)+IF(AND(N(O74)&lt;&gt;0,X74=""),1,0)+IF(AND(N(P74)&lt;&gt;0,Y74=""),1,0)+IF(AND(N(N74)&lt;&gt;0,Z74=""),1,0)</f>
        <v/>
      </c>
    </row>
    <row r="75">
      <c r="A75" s="19" t="n"/>
      <c r="B75" s="14" t="n"/>
      <c r="C75" s="14" t="n"/>
      <c r="D75" s="14" t="n"/>
      <c r="E75" s="14" t="n"/>
      <c r="F75" s="20" t="n"/>
      <c r="G75" s="20" t="n"/>
      <c r="H75" s="14" t="n"/>
      <c r="I75" s="14" t="n"/>
      <c r="J75" s="14" t="n"/>
      <c r="K75" s="14" t="n"/>
      <c r="L75" s="14" t="n"/>
      <c r="M75" s="21">
        <f>ROUND(N(F75)*IFERROR(VLOOKUP(K75,'Tax Codes'!$A$5:$E$300,5,FALSE),0),2)</f>
        <v/>
      </c>
      <c r="N75" s="21">
        <f>ROUND(N(F75)*IFERROR(VLOOKUP(L75,'Tax Codes'!$A$5:$E$300,5,FALSE),0),2)</f>
        <v/>
      </c>
      <c r="O75" s="21">
        <f>IF(G75="",N(F75)+M75-N75,N(G75))</f>
        <v/>
      </c>
      <c r="P75" s="21">
        <f>N(F75)+M75-N75-O75</f>
        <v/>
      </c>
      <c r="Q75" s="16">
        <f>IF(C75="",INDEX('Chart of Accounts'!$A$5:$A$3000,MATCH("other_overhead",'Chart of Accounts'!$F$5:$F$3000,0)),C75&amp;"")</f>
        <v/>
      </c>
      <c r="R75" s="16">
        <f>IF(I75="",INDEX('Chart of Accounts'!$A$5:$A$3000,MATCH("bank",'Chart of Accounts'!$F$5:$F$3000,0)),I75&amp;"")</f>
        <v/>
      </c>
      <c r="S75" s="16">
        <f>IF(J75="",INDEX('Chart of Accounts'!$A$5:$A$3000,MATCH("ap",'Chart of Accounts'!$F$5:$F$3000,0)),J75&amp;"")</f>
        <v/>
      </c>
      <c r="T75" s="16">
        <f>INDEX('Chart of Accounts'!$A$5:$A$3000,MATCH("vat_input",'Chart of Accounts'!$F$5:$F$3000,0))</f>
        <v/>
      </c>
      <c r="U75" s="16">
        <f>INDEX('Chart of Accounts'!$A$5:$A$3000,MATCH("wht_payable",'Chart of Accounts'!$F$5:$F$3000,0))</f>
        <v/>
      </c>
      <c r="V75" s="23">
        <f>IFERROR(INDEX('Chart of Accounts'!$C$5:$C$3000,MATCH(Q75&amp;"",'Chart of Accounts'!$A$5:$A$3000,0))&amp;"|"&amp;INDEX('Chart of Accounts'!$D$5:$D$3000,MATCH(Q75&amp;"",'Chart of Accounts'!$A$5:$A$3000,0)),"")</f>
        <v/>
      </c>
      <c r="W75" s="23">
        <f>IFERROR(INDEX('Chart of Accounts'!$C$5:$C$3000,MATCH(T75&amp;"",'Chart of Accounts'!$A$5:$A$3000,0))&amp;"|"&amp;INDEX('Chart of Accounts'!$D$5:$D$3000,MATCH(T75&amp;"",'Chart of Accounts'!$A$5:$A$3000,0)),"")</f>
        <v/>
      </c>
      <c r="X75" s="23">
        <f>IFERROR(INDEX('Chart of Accounts'!$C$5:$C$3000,MATCH(R75&amp;"",'Chart of Accounts'!$A$5:$A$3000,0))&amp;"|"&amp;INDEX('Chart of Accounts'!$D$5:$D$3000,MATCH(R75&amp;"",'Chart of Accounts'!$A$5:$A$3000,0)),"")</f>
        <v/>
      </c>
      <c r="Y75" s="23">
        <f>IFERROR(INDEX('Chart of Accounts'!$C$5:$C$3000,MATCH(S75&amp;"",'Chart of Accounts'!$A$5:$A$3000,0))&amp;"|"&amp;INDEX('Chart of Accounts'!$D$5:$D$3000,MATCH(S75&amp;"",'Chart of Accounts'!$A$5:$A$3000,0)),"")</f>
        <v/>
      </c>
      <c r="Z75" s="23">
        <f>IFERROR(INDEX('Chart of Accounts'!$C$5:$C$3000,MATCH(U75&amp;"",'Chart of Accounts'!$A$5:$A$3000,0))&amp;"|"&amp;INDEX('Chart of Accounts'!$D$5:$D$3000,MATCH(U75&amp;"",'Chart of Accounts'!$A$5:$A$3000,0)),"")</f>
        <v/>
      </c>
      <c r="AA75" s="23">
        <f>IF(LEFT(V75,8)="Revenue|",-N(F75),0)+IF(LEFT(W75,8)="Revenue|",-N(M75),0)+IF(LEFT(X75,8)="Revenue|",N(O75),0)+IF(LEFT(Y75,8)="Revenue|",N(P75),0)+IF(LEFT(Z75,8)="Revenue|",N(N75),0)</f>
        <v/>
      </c>
      <c r="AB75" s="23">
        <f>IF(LEFT(V75,5)="COGS|",N(F75),0)+IF(LEFT(W75,5)="COGS|",N(M75),0)+IF(LEFT(X75,5)="COGS|",-N(O75),0)+IF(LEFT(Y75,5)="COGS|",-N(P75),0)+IF(LEFT(Z75,5)="COGS|",-N(N75),0)</f>
        <v/>
      </c>
      <c r="AC75" s="23">
        <f>IF(LEFT(V75,8)="Expense|",N(F75),0)+IF(LEFT(W75,8)="Expense|",N(M75),0)+IF(LEFT(X75,8)="Expense|",-N(O75),0)+IF(LEFT(Y75,8)="Expense|",-N(P75),0)+IF(LEFT(Z75,8)="Expense|",-N(N75),0)</f>
        <v/>
      </c>
      <c r="AD75" s="23">
        <f>IF(ISNUMBER(MATCH(V75,{"Expense|employee","Expense|general_admin","Expense|marketing","Expense|utilities","Expense|other_operating"},0)),N(F75),0)+IF(ISNUMBER(MATCH(W75,{"Expense|employee","Expense|general_admin","Expense|marketing","Expense|utilities","Expense|other_operating"},0)),N(M75),0)+IF(ISNUMBER(MATCH(X75,{"Expense|employee","Expense|general_admin","Expense|marketing","Expense|utilities","Expense|other_operating"},0)),-N(O75),0)+IF(ISNUMBER(MATCH(Y75,{"Expense|employee","Expense|general_admin","Expense|marketing","Expense|utilities","Expense|other_operating"},0)),-N(P75),0)+IF(ISNUMBER(MATCH(Z75,{"Expense|employee","Expense|general_admin","Expense|marketing","Expense|utilities","Expense|other_operating"},0)),-N(N75),0)</f>
        <v/>
      </c>
      <c r="AE75" s="23">
        <f>IF(V75="Liability|payable",-N(F75),0)+IF(W75="Liability|payable",-N(M75),0)+IF(X75="Liability|payable",N(O75),0)+IF(Y75="Liability|payable",N(P75),0)+IF(Z75="Liability|payable",N(N75),0)</f>
        <v/>
      </c>
      <c r="AF75" s="23">
        <f>IF(V75="Liability|accrued",-N(F75),0)+IF(W75="Liability|accrued",-N(M75),0)+IF(X75="Liability|accrued",N(O75),0)+IF(Y75="Liability|accrued",N(P75),0)+IF(Z75="Liability|accrued",N(N75),0)</f>
        <v/>
      </c>
      <c r="AG75" s="23">
        <f>IF(AND(N(F75)&lt;&gt;0,V75=""),1,0)+IF(AND(N(M75)&lt;&gt;0,W75=""),1,0)+IF(AND(N(O75)&lt;&gt;0,X75=""),1,0)+IF(AND(N(P75)&lt;&gt;0,Y75=""),1,0)+IF(AND(N(N75)&lt;&gt;0,Z75=""),1,0)</f>
        <v/>
      </c>
    </row>
    <row r="76">
      <c r="A76" s="19" t="n"/>
      <c r="B76" s="14" t="n"/>
      <c r="C76" s="14" t="n"/>
      <c r="D76" s="14" t="n"/>
      <c r="E76" s="14" t="n"/>
      <c r="F76" s="20" t="n"/>
      <c r="G76" s="20" t="n"/>
      <c r="H76" s="14" t="n"/>
      <c r="I76" s="14" t="n"/>
      <c r="J76" s="14" t="n"/>
      <c r="K76" s="14" t="n"/>
      <c r="L76" s="14" t="n"/>
      <c r="M76" s="21">
        <f>ROUND(N(F76)*IFERROR(VLOOKUP(K76,'Tax Codes'!$A$5:$E$300,5,FALSE),0),2)</f>
        <v/>
      </c>
      <c r="N76" s="21">
        <f>ROUND(N(F76)*IFERROR(VLOOKUP(L76,'Tax Codes'!$A$5:$E$300,5,FALSE),0),2)</f>
        <v/>
      </c>
      <c r="O76" s="21">
        <f>IF(G76="",N(F76)+M76-N76,N(G76))</f>
        <v/>
      </c>
      <c r="P76" s="21">
        <f>N(F76)+M76-N76-O76</f>
        <v/>
      </c>
      <c r="Q76" s="16">
        <f>IF(C76="",INDEX('Chart of Accounts'!$A$5:$A$3000,MATCH("other_overhead",'Chart of Accounts'!$F$5:$F$3000,0)),C76&amp;"")</f>
        <v/>
      </c>
      <c r="R76" s="16">
        <f>IF(I76="",INDEX('Chart of Accounts'!$A$5:$A$3000,MATCH("bank",'Chart of Accounts'!$F$5:$F$3000,0)),I76&amp;"")</f>
        <v/>
      </c>
      <c r="S76" s="16">
        <f>IF(J76="",INDEX('Chart of Accounts'!$A$5:$A$3000,MATCH("ap",'Chart of Accounts'!$F$5:$F$3000,0)),J76&amp;"")</f>
        <v/>
      </c>
      <c r="T76" s="16">
        <f>INDEX('Chart of Accounts'!$A$5:$A$3000,MATCH("vat_input",'Chart of Accounts'!$F$5:$F$3000,0))</f>
        <v/>
      </c>
      <c r="U76" s="16">
        <f>INDEX('Chart of Accounts'!$A$5:$A$3000,MATCH("wht_payable",'Chart of Accounts'!$F$5:$F$3000,0))</f>
        <v/>
      </c>
      <c r="V76" s="23">
        <f>IFERROR(INDEX('Chart of Accounts'!$C$5:$C$3000,MATCH(Q76&amp;"",'Chart of Accounts'!$A$5:$A$3000,0))&amp;"|"&amp;INDEX('Chart of Accounts'!$D$5:$D$3000,MATCH(Q76&amp;"",'Chart of Accounts'!$A$5:$A$3000,0)),"")</f>
        <v/>
      </c>
      <c r="W76" s="23">
        <f>IFERROR(INDEX('Chart of Accounts'!$C$5:$C$3000,MATCH(T76&amp;"",'Chart of Accounts'!$A$5:$A$3000,0))&amp;"|"&amp;INDEX('Chart of Accounts'!$D$5:$D$3000,MATCH(T76&amp;"",'Chart of Accounts'!$A$5:$A$3000,0)),"")</f>
        <v/>
      </c>
      <c r="X76" s="23">
        <f>IFERROR(INDEX('Chart of Accounts'!$C$5:$C$3000,MATCH(R76&amp;"",'Chart of Accounts'!$A$5:$A$3000,0))&amp;"|"&amp;INDEX('Chart of Accounts'!$D$5:$D$3000,MATCH(R76&amp;"",'Chart of Accounts'!$A$5:$A$3000,0)),"")</f>
        <v/>
      </c>
      <c r="Y76" s="23">
        <f>IFERROR(INDEX('Chart of Accounts'!$C$5:$C$3000,MATCH(S76&amp;"",'Chart of Accounts'!$A$5:$A$3000,0))&amp;"|"&amp;INDEX('Chart of Accounts'!$D$5:$D$3000,MATCH(S76&amp;"",'Chart of Accounts'!$A$5:$A$3000,0)),"")</f>
        <v/>
      </c>
      <c r="Z76" s="23">
        <f>IFERROR(INDEX('Chart of Accounts'!$C$5:$C$3000,MATCH(U76&amp;"",'Chart of Accounts'!$A$5:$A$3000,0))&amp;"|"&amp;INDEX('Chart of Accounts'!$D$5:$D$3000,MATCH(U76&amp;"",'Chart of Accounts'!$A$5:$A$3000,0)),"")</f>
        <v/>
      </c>
      <c r="AA76" s="23">
        <f>IF(LEFT(V76,8)="Revenue|",-N(F76),0)+IF(LEFT(W76,8)="Revenue|",-N(M76),0)+IF(LEFT(X76,8)="Revenue|",N(O76),0)+IF(LEFT(Y76,8)="Revenue|",N(P76),0)+IF(LEFT(Z76,8)="Revenue|",N(N76),0)</f>
        <v/>
      </c>
      <c r="AB76" s="23">
        <f>IF(LEFT(V76,5)="COGS|",N(F76),0)+IF(LEFT(W76,5)="COGS|",N(M76),0)+IF(LEFT(X76,5)="COGS|",-N(O76),0)+IF(LEFT(Y76,5)="COGS|",-N(P76),0)+IF(LEFT(Z76,5)="COGS|",-N(N76),0)</f>
        <v/>
      </c>
      <c r="AC76" s="23">
        <f>IF(LEFT(V76,8)="Expense|",N(F76),0)+IF(LEFT(W76,8)="Expense|",N(M76),0)+IF(LEFT(X76,8)="Expense|",-N(O76),0)+IF(LEFT(Y76,8)="Expense|",-N(P76),0)+IF(LEFT(Z76,8)="Expense|",-N(N76),0)</f>
        <v/>
      </c>
      <c r="AD76" s="23">
        <f>IF(ISNUMBER(MATCH(V76,{"Expense|employee","Expense|general_admin","Expense|marketing","Expense|utilities","Expense|other_operating"},0)),N(F76),0)+IF(ISNUMBER(MATCH(W76,{"Expense|employee","Expense|general_admin","Expense|marketing","Expense|utilities","Expense|other_operating"},0)),N(M76),0)+IF(ISNUMBER(MATCH(X76,{"Expense|employee","Expense|general_admin","Expense|marketing","Expense|utilities","Expense|other_operating"},0)),-N(O76),0)+IF(ISNUMBER(MATCH(Y76,{"Expense|employee","Expense|general_admin","Expense|marketing","Expense|utilities","Expense|other_operating"},0)),-N(P76),0)+IF(ISNUMBER(MATCH(Z76,{"Expense|employee","Expense|general_admin","Expense|marketing","Expense|utilities","Expense|other_operating"},0)),-N(N76),0)</f>
        <v/>
      </c>
      <c r="AE76" s="23">
        <f>IF(V76="Liability|payable",-N(F76),0)+IF(W76="Liability|payable",-N(M76),0)+IF(X76="Liability|payable",N(O76),0)+IF(Y76="Liability|payable",N(P76),0)+IF(Z76="Liability|payable",N(N76),0)</f>
        <v/>
      </c>
      <c r="AF76" s="23">
        <f>IF(V76="Liability|accrued",-N(F76),0)+IF(W76="Liability|accrued",-N(M76),0)+IF(X76="Liability|accrued",N(O76),0)+IF(Y76="Liability|accrued",N(P76),0)+IF(Z76="Liability|accrued",N(N76),0)</f>
        <v/>
      </c>
      <c r="AG76" s="23">
        <f>IF(AND(N(F76)&lt;&gt;0,V76=""),1,0)+IF(AND(N(M76)&lt;&gt;0,W76=""),1,0)+IF(AND(N(O76)&lt;&gt;0,X76=""),1,0)+IF(AND(N(P76)&lt;&gt;0,Y76=""),1,0)+IF(AND(N(N76)&lt;&gt;0,Z76=""),1,0)</f>
        <v/>
      </c>
    </row>
    <row r="77">
      <c r="A77" s="19" t="n"/>
      <c r="B77" s="14" t="n"/>
      <c r="C77" s="14" t="n"/>
      <c r="D77" s="14" t="n"/>
      <c r="E77" s="14" t="n"/>
      <c r="F77" s="20" t="n"/>
      <c r="G77" s="20" t="n"/>
      <c r="H77" s="14" t="n"/>
      <c r="I77" s="14" t="n"/>
      <c r="J77" s="14" t="n"/>
      <c r="K77" s="14" t="n"/>
      <c r="L77" s="14" t="n"/>
      <c r="M77" s="21">
        <f>ROUND(N(F77)*IFERROR(VLOOKUP(K77,'Tax Codes'!$A$5:$E$300,5,FALSE),0),2)</f>
        <v/>
      </c>
      <c r="N77" s="21">
        <f>ROUND(N(F77)*IFERROR(VLOOKUP(L77,'Tax Codes'!$A$5:$E$300,5,FALSE),0),2)</f>
        <v/>
      </c>
      <c r="O77" s="21">
        <f>IF(G77="",N(F77)+M77-N77,N(G77))</f>
        <v/>
      </c>
      <c r="P77" s="21">
        <f>N(F77)+M77-N77-O77</f>
        <v/>
      </c>
      <c r="Q77" s="16">
        <f>IF(C77="",INDEX('Chart of Accounts'!$A$5:$A$3000,MATCH("other_overhead",'Chart of Accounts'!$F$5:$F$3000,0)),C77&amp;"")</f>
        <v/>
      </c>
      <c r="R77" s="16">
        <f>IF(I77="",INDEX('Chart of Accounts'!$A$5:$A$3000,MATCH("bank",'Chart of Accounts'!$F$5:$F$3000,0)),I77&amp;"")</f>
        <v/>
      </c>
      <c r="S77" s="16">
        <f>IF(J77="",INDEX('Chart of Accounts'!$A$5:$A$3000,MATCH("ap",'Chart of Accounts'!$F$5:$F$3000,0)),J77&amp;"")</f>
        <v/>
      </c>
      <c r="T77" s="16">
        <f>INDEX('Chart of Accounts'!$A$5:$A$3000,MATCH("vat_input",'Chart of Accounts'!$F$5:$F$3000,0))</f>
        <v/>
      </c>
      <c r="U77" s="16">
        <f>INDEX('Chart of Accounts'!$A$5:$A$3000,MATCH("wht_payable",'Chart of Accounts'!$F$5:$F$3000,0))</f>
        <v/>
      </c>
      <c r="V77" s="23">
        <f>IFERROR(INDEX('Chart of Accounts'!$C$5:$C$3000,MATCH(Q77&amp;"",'Chart of Accounts'!$A$5:$A$3000,0))&amp;"|"&amp;INDEX('Chart of Accounts'!$D$5:$D$3000,MATCH(Q77&amp;"",'Chart of Accounts'!$A$5:$A$3000,0)),"")</f>
        <v/>
      </c>
      <c r="W77" s="23">
        <f>IFERROR(INDEX('Chart of Accounts'!$C$5:$C$3000,MATCH(T77&amp;"",'Chart of Accounts'!$A$5:$A$3000,0))&amp;"|"&amp;INDEX('Chart of Accounts'!$D$5:$D$3000,MATCH(T77&amp;"",'Chart of Accounts'!$A$5:$A$3000,0)),"")</f>
        <v/>
      </c>
      <c r="X77" s="23">
        <f>IFERROR(INDEX('Chart of Accounts'!$C$5:$C$3000,MATCH(R77&amp;"",'Chart of Accounts'!$A$5:$A$3000,0))&amp;"|"&amp;INDEX('Chart of Accounts'!$D$5:$D$3000,MATCH(R77&amp;"",'Chart of Accounts'!$A$5:$A$3000,0)),"")</f>
        <v/>
      </c>
      <c r="Y77" s="23">
        <f>IFERROR(INDEX('Chart of Accounts'!$C$5:$C$3000,MATCH(S77&amp;"",'Chart of Accounts'!$A$5:$A$3000,0))&amp;"|"&amp;INDEX('Chart of Accounts'!$D$5:$D$3000,MATCH(S77&amp;"",'Chart of Accounts'!$A$5:$A$3000,0)),"")</f>
        <v/>
      </c>
      <c r="Z77" s="23">
        <f>IFERROR(INDEX('Chart of Accounts'!$C$5:$C$3000,MATCH(U77&amp;"",'Chart of Accounts'!$A$5:$A$3000,0))&amp;"|"&amp;INDEX('Chart of Accounts'!$D$5:$D$3000,MATCH(U77&amp;"",'Chart of Accounts'!$A$5:$A$3000,0)),"")</f>
        <v/>
      </c>
      <c r="AA77" s="23">
        <f>IF(LEFT(V77,8)="Revenue|",-N(F77),0)+IF(LEFT(W77,8)="Revenue|",-N(M77),0)+IF(LEFT(X77,8)="Revenue|",N(O77),0)+IF(LEFT(Y77,8)="Revenue|",N(P77),0)+IF(LEFT(Z77,8)="Revenue|",N(N77),0)</f>
        <v/>
      </c>
      <c r="AB77" s="23">
        <f>IF(LEFT(V77,5)="COGS|",N(F77),0)+IF(LEFT(W77,5)="COGS|",N(M77),0)+IF(LEFT(X77,5)="COGS|",-N(O77),0)+IF(LEFT(Y77,5)="COGS|",-N(P77),0)+IF(LEFT(Z77,5)="COGS|",-N(N77),0)</f>
        <v/>
      </c>
      <c r="AC77" s="23">
        <f>IF(LEFT(V77,8)="Expense|",N(F77),0)+IF(LEFT(W77,8)="Expense|",N(M77),0)+IF(LEFT(X77,8)="Expense|",-N(O77),0)+IF(LEFT(Y77,8)="Expense|",-N(P77),0)+IF(LEFT(Z77,8)="Expense|",-N(N77),0)</f>
        <v/>
      </c>
      <c r="AD77" s="23">
        <f>IF(ISNUMBER(MATCH(V77,{"Expense|employee","Expense|general_admin","Expense|marketing","Expense|utilities","Expense|other_operating"},0)),N(F77),0)+IF(ISNUMBER(MATCH(W77,{"Expense|employee","Expense|general_admin","Expense|marketing","Expense|utilities","Expense|other_operating"},0)),N(M77),0)+IF(ISNUMBER(MATCH(X77,{"Expense|employee","Expense|general_admin","Expense|marketing","Expense|utilities","Expense|other_operating"},0)),-N(O77),0)+IF(ISNUMBER(MATCH(Y77,{"Expense|employee","Expense|general_admin","Expense|marketing","Expense|utilities","Expense|other_operating"},0)),-N(P77),0)+IF(ISNUMBER(MATCH(Z77,{"Expense|employee","Expense|general_admin","Expense|marketing","Expense|utilities","Expense|other_operating"},0)),-N(N77),0)</f>
        <v/>
      </c>
      <c r="AE77" s="23">
        <f>IF(V77="Liability|payable",-N(F77),0)+IF(W77="Liability|payable",-N(M77),0)+IF(X77="Liability|payable",N(O77),0)+IF(Y77="Liability|payable",N(P77),0)+IF(Z77="Liability|payable",N(N77),0)</f>
        <v/>
      </c>
      <c r="AF77" s="23">
        <f>IF(V77="Liability|accrued",-N(F77),0)+IF(W77="Liability|accrued",-N(M77),0)+IF(X77="Liability|accrued",N(O77),0)+IF(Y77="Liability|accrued",N(P77),0)+IF(Z77="Liability|accrued",N(N77),0)</f>
        <v/>
      </c>
      <c r="AG77" s="23">
        <f>IF(AND(N(F77)&lt;&gt;0,V77=""),1,0)+IF(AND(N(M77)&lt;&gt;0,W77=""),1,0)+IF(AND(N(O77)&lt;&gt;0,X77=""),1,0)+IF(AND(N(P77)&lt;&gt;0,Y77=""),1,0)+IF(AND(N(N77)&lt;&gt;0,Z77=""),1,0)</f>
        <v/>
      </c>
    </row>
    <row r="78">
      <c r="A78" s="19" t="n"/>
      <c r="B78" s="14" t="n"/>
      <c r="C78" s="14" t="n"/>
      <c r="D78" s="14" t="n"/>
      <c r="E78" s="14" t="n"/>
      <c r="F78" s="20" t="n"/>
      <c r="G78" s="20" t="n"/>
      <c r="H78" s="14" t="n"/>
      <c r="I78" s="14" t="n"/>
      <c r="J78" s="14" t="n"/>
      <c r="K78" s="14" t="n"/>
      <c r="L78" s="14" t="n"/>
      <c r="M78" s="21">
        <f>ROUND(N(F78)*IFERROR(VLOOKUP(K78,'Tax Codes'!$A$5:$E$300,5,FALSE),0),2)</f>
        <v/>
      </c>
      <c r="N78" s="21">
        <f>ROUND(N(F78)*IFERROR(VLOOKUP(L78,'Tax Codes'!$A$5:$E$300,5,FALSE),0),2)</f>
        <v/>
      </c>
      <c r="O78" s="21">
        <f>IF(G78="",N(F78)+M78-N78,N(G78))</f>
        <v/>
      </c>
      <c r="P78" s="21">
        <f>N(F78)+M78-N78-O78</f>
        <v/>
      </c>
      <c r="Q78" s="16">
        <f>IF(C78="",INDEX('Chart of Accounts'!$A$5:$A$3000,MATCH("other_overhead",'Chart of Accounts'!$F$5:$F$3000,0)),C78&amp;"")</f>
        <v/>
      </c>
      <c r="R78" s="16">
        <f>IF(I78="",INDEX('Chart of Accounts'!$A$5:$A$3000,MATCH("bank",'Chart of Accounts'!$F$5:$F$3000,0)),I78&amp;"")</f>
        <v/>
      </c>
      <c r="S78" s="16">
        <f>IF(J78="",INDEX('Chart of Accounts'!$A$5:$A$3000,MATCH("ap",'Chart of Accounts'!$F$5:$F$3000,0)),J78&amp;"")</f>
        <v/>
      </c>
      <c r="T78" s="16">
        <f>INDEX('Chart of Accounts'!$A$5:$A$3000,MATCH("vat_input",'Chart of Accounts'!$F$5:$F$3000,0))</f>
        <v/>
      </c>
      <c r="U78" s="16">
        <f>INDEX('Chart of Accounts'!$A$5:$A$3000,MATCH("wht_payable",'Chart of Accounts'!$F$5:$F$3000,0))</f>
        <v/>
      </c>
      <c r="V78" s="23">
        <f>IFERROR(INDEX('Chart of Accounts'!$C$5:$C$3000,MATCH(Q78&amp;"",'Chart of Accounts'!$A$5:$A$3000,0))&amp;"|"&amp;INDEX('Chart of Accounts'!$D$5:$D$3000,MATCH(Q78&amp;"",'Chart of Accounts'!$A$5:$A$3000,0)),"")</f>
        <v/>
      </c>
      <c r="W78" s="23">
        <f>IFERROR(INDEX('Chart of Accounts'!$C$5:$C$3000,MATCH(T78&amp;"",'Chart of Accounts'!$A$5:$A$3000,0))&amp;"|"&amp;INDEX('Chart of Accounts'!$D$5:$D$3000,MATCH(T78&amp;"",'Chart of Accounts'!$A$5:$A$3000,0)),"")</f>
        <v/>
      </c>
      <c r="X78" s="23">
        <f>IFERROR(INDEX('Chart of Accounts'!$C$5:$C$3000,MATCH(R78&amp;"",'Chart of Accounts'!$A$5:$A$3000,0))&amp;"|"&amp;INDEX('Chart of Accounts'!$D$5:$D$3000,MATCH(R78&amp;"",'Chart of Accounts'!$A$5:$A$3000,0)),"")</f>
        <v/>
      </c>
      <c r="Y78" s="23">
        <f>IFERROR(INDEX('Chart of Accounts'!$C$5:$C$3000,MATCH(S78&amp;"",'Chart of Accounts'!$A$5:$A$3000,0))&amp;"|"&amp;INDEX('Chart of Accounts'!$D$5:$D$3000,MATCH(S78&amp;"",'Chart of Accounts'!$A$5:$A$3000,0)),"")</f>
        <v/>
      </c>
      <c r="Z78" s="23">
        <f>IFERROR(INDEX('Chart of Accounts'!$C$5:$C$3000,MATCH(U78&amp;"",'Chart of Accounts'!$A$5:$A$3000,0))&amp;"|"&amp;INDEX('Chart of Accounts'!$D$5:$D$3000,MATCH(U78&amp;"",'Chart of Accounts'!$A$5:$A$3000,0)),"")</f>
        <v/>
      </c>
      <c r="AA78" s="23">
        <f>IF(LEFT(V78,8)="Revenue|",-N(F78),0)+IF(LEFT(W78,8)="Revenue|",-N(M78),0)+IF(LEFT(X78,8)="Revenue|",N(O78),0)+IF(LEFT(Y78,8)="Revenue|",N(P78),0)+IF(LEFT(Z78,8)="Revenue|",N(N78),0)</f>
        <v/>
      </c>
      <c r="AB78" s="23">
        <f>IF(LEFT(V78,5)="COGS|",N(F78),0)+IF(LEFT(W78,5)="COGS|",N(M78),0)+IF(LEFT(X78,5)="COGS|",-N(O78),0)+IF(LEFT(Y78,5)="COGS|",-N(P78),0)+IF(LEFT(Z78,5)="COGS|",-N(N78),0)</f>
        <v/>
      </c>
      <c r="AC78" s="23">
        <f>IF(LEFT(V78,8)="Expense|",N(F78),0)+IF(LEFT(W78,8)="Expense|",N(M78),0)+IF(LEFT(X78,8)="Expense|",-N(O78),0)+IF(LEFT(Y78,8)="Expense|",-N(P78),0)+IF(LEFT(Z78,8)="Expense|",-N(N78),0)</f>
        <v/>
      </c>
      <c r="AD78" s="23">
        <f>IF(ISNUMBER(MATCH(V78,{"Expense|employee","Expense|general_admin","Expense|marketing","Expense|utilities","Expense|other_operating"},0)),N(F78),0)+IF(ISNUMBER(MATCH(W78,{"Expense|employee","Expense|general_admin","Expense|marketing","Expense|utilities","Expense|other_operating"},0)),N(M78),0)+IF(ISNUMBER(MATCH(X78,{"Expense|employee","Expense|general_admin","Expense|marketing","Expense|utilities","Expense|other_operating"},0)),-N(O78),0)+IF(ISNUMBER(MATCH(Y78,{"Expense|employee","Expense|general_admin","Expense|marketing","Expense|utilities","Expense|other_operating"},0)),-N(P78),0)+IF(ISNUMBER(MATCH(Z78,{"Expense|employee","Expense|general_admin","Expense|marketing","Expense|utilities","Expense|other_operating"},0)),-N(N78),0)</f>
        <v/>
      </c>
      <c r="AE78" s="23">
        <f>IF(V78="Liability|payable",-N(F78),0)+IF(W78="Liability|payable",-N(M78),0)+IF(X78="Liability|payable",N(O78),0)+IF(Y78="Liability|payable",N(P78),0)+IF(Z78="Liability|payable",N(N78),0)</f>
        <v/>
      </c>
      <c r="AF78" s="23">
        <f>IF(V78="Liability|accrued",-N(F78),0)+IF(W78="Liability|accrued",-N(M78),0)+IF(X78="Liability|accrued",N(O78),0)+IF(Y78="Liability|accrued",N(P78),0)+IF(Z78="Liability|accrued",N(N78),0)</f>
        <v/>
      </c>
      <c r="AG78" s="23">
        <f>IF(AND(N(F78)&lt;&gt;0,V78=""),1,0)+IF(AND(N(M78)&lt;&gt;0,W78=""),1,0)+IF(AND(N(O78)&lt;&gt;0,X78=""),1,0)+IF(AND(N(P78)&lt;&gt;0,Y78=""),1,0)+IF(AND(N(N78)&lt;&gt;0,Z78=""),1,0)</f>
        <v/>
      </c>
    </row>
    <row r="79">
      <c r="A79" s="19" t="n"/>
      <c r="B79" s="14" t="n"/>
      <c r="C79" s="14" t="n"/>
      <c r="D79" s="14" t="n"/>
      <c r="E79" s="14" t="n"/>
      <c r="F79" s="20" t="n"/>
      <c r="G79" s="20" t="n"/>
      <c r="H79" s="14" t="n"/>
      <c r="I79" s="14" t="n"/>
      <c r="J79" s="14" t="n"/>
      <c r="K79" s="14" t="n"/>
      <c r="L79" s="14" t="n"/>
      <c r="M79" s="21">
        <f>ROUND(N(F79)*IFERROR(VLOOKUP(K79,'Tax Codes'!$A$5:$E$300,5,FALSE),0),2)</f>
        <v/>
      </c>
      <c r="N79" s="21">
        <f>ROUND(N(F79)*IFERROR(VLOOKUP(L79,'Tax Codes'!$A$5:$E$300,5,FALSE),0),2)</f>
        <v/>
      </c>
      <c r="O79" s="21">
        <f>IF(G79="",N(F79)+M79-N79,N(G79))</f>
        <v/>
      </c>
      <c r="P79" s="21">
        <f>N(F79)+M79-N79-O79</f>
        <v/>
      </c>
      <c r="Q79" s="16">
        <f>IF(C79="",INDEX('Chart of Accounts'!$A$5:$A$3000,MATCH("other_overhead",'Chart of Accounts'!$F$5:$F$3000,0)),C79&amp;"")</f>
        <v/>
      </c>
      <c r="R79" s="16">
        <f>IF(I79="",INDEX('Chart of Accounts'!$A$5:$A$3000,MATCH("bank",'Chart of Accounts'!$F$5:$F$3000,0)),I79&amp;"")</f>
        <v/>
      </c>
      <c r="S79" s="16">
        <f>IF(J79="",INDEX('Chart of Accounts'!$A$5:$A$3000,MATCH("ap",'Chart of Accounts'!$F$5:$F$3000,0)),J79&amp;"")</f>
        <v/>
      </c>
      <c r="T79" s="16">
        <f>INDEX('Chart of Accounts'!$A$5:$A$3000,MATCH("vat_input",'Chart of Accounts'!$F$5:$F$3000,0))</f>
        <v/>
      </c>
      <c r="U79" s="16">
        <f>INDEX('Chart of Accounts'!$A$5:$A$3000,MATCH("wht_payable",'Chart of Accounts'!$F$5:$F$3000,0))</f>
        <v/>
      </c>
      <c r="V79" s="23">
        <f>IFERROR(INDEX('Chart of Accounts'!$C$5:$C$3000,MATCH(Q79&amp;"",'Chart of Accounts'!$A$5:$A$3000,0))&amp;"|"&amp;INDEX('Chart of Accounts'!$D$5:$D$3000,MATCH(Q79&amp;"",'Chart of Accounts'!$A$5:$A$3000,0)),"")</f>
        <v/>
      </c>
      <c r="W79" s="23">
        <f>IFERROR(INDEX('Chart of Accounts'!$C$5:$C$3000,MATCH(T79&amp;"",'Chart of Accounts'!$A$5:$A$3000,0))&amp;"|"&amp;INDEX('Chart of Accounts'!$D$5:$D$3000,MATCH(T79&amp;"",'Chart of Accounts'!$A$5:$A$3000,0)),"")</f>
        <v/>
      </c>
      <c r="X79" s="23">
        <f>IFERROR(INDEX('Chart of Accounts'!$C$5:$C$3000,MATCH(R79&amp;"",'Chart of Accounts'!$A$5:$A$3000,0))&amp;"|"&amp;INDEX('Chart of Accounts'!$D$5:$D$3000,MATCH(R79&amp;"",'Chart of Accounts'!$A$5:$A$3000,0)),"")</f>
        <v/>
      </c>
      <c r="Y79" s="23">
        <f>IFERROR(INDEX('Chart of Accounts'!$C$5:$C$3000,MATCH(S79&amp;"",'Chart of Accounts'!$A$5:$A$3000,0))&amp;"|"&amp;INDEX('Chart of Accounts'!$D$5:$D$3000,MATCH(S79&amp;"",'Chart of Accounts'!$A$5:$A$3000,0)),"")</f>
        <v/>
      </c>
      <c r="Z79" s="23">
        <f>IFERROR(INDEX('Chart of Accounts'!$C$5:$C$3000,MATCH(U79&amp;"",'Chart of Accounts'!$A$5:$A$3000,0))&amp;"|"&amp;INDEX('Chart of Accounts'!$D$5:$D$3000,MATCH(U79&amp;"",'Chart of Accounts'!$A$5:$A$3000,0)),"")</f>
        <v/>
      </c>
      <c r="AA79" s="23">
        <f>IF(LEFT(V79,8)="Revenue|",-N(F79),0)+IF(LEFT(W79,8)="Revenue|",-N(M79),0)+IF(LEFT(X79,8)="Revenue|",N(O79),0)+IF(LEFT(Y79,8)="Revenue|",N(P79),0)+IF(LEFT(Z79,8)="Revenue|",N(N79),0)</f>
        <v/>
      </c>
      <c r="AB79" s="23">
        <f>IF(LEFT(V79,5)="COGS|",N(F79),0)+IF(LEFT(W79,5)="COGS|",N(M79),0)+IF(LEFT(X79,5)="COGS|",-N(O79),0)+IF(LEFT(Y79,5)="COGS|",-N(P79),0)+IF(LEFT(Z79,5)="COGS|",-N(N79),0)</f>
        <v/>
      </c>
      <c r="AC79" s="23">
        <f>IF(LEFT(V79,8)="Expense|",N(F79),0)+IF(LEFT(W79,8)="Expense|",N(M79),0)+IF(LEFT(X79,8)="Expense|",-N(O79),0)+IF(LEFT(Y79,8)="Expense|",-N(P79),0)+IF(LEFT(Z79,8)="Expense|",-N(N79),0)</f>
        <v/>
      </c>
      <c r="AD79" s="23">
        <f>IF(ISNUMBER(MATCH(V79,{"Expense|employee","Expense|general_admin","Expense|marketing","Expense|utilities","Expense|other_operating"},0)),N(F79),0)+IF(ISNUMBER(MATCH(W79,{"Expense|employee","Expense|general_admin","Expense|marketing","Expense|utilities","Expense|other_operating"},0)),N(M79),0)+IF(ISNUMBER(MATCH(X79,{"Expense|employee","Expense|general_admin","Expense|marketing","Expense|utilities","Expense|other_operating"},0)),-N(O79),0)+IF(ISNUMBER(MATCH(Y79,{"Expense|employee","Expense|general_admin","Expense|marketing","Expense|utilities","Expense|other_operating"},0)),-N(P79),0)+IF(ISNUMBER(MATCH(Z79,{"Expense|employee","Expense|general_admin","Expense|marketing","Expense|utilities","Expense|other_operating"},0)),-N(N79),0)</f>
        <v/>
      </c>
      <c r="AE79" s="23">
        <f>IF(V79="Liability|payable",-N(F79),0)+IF(W79="Liability|payable",-N(M79),0)+IF(X79="Liability|payable",N(O79),0)+IF(Y79="Liability|payable",N(P79),0)+IF(Z79="Liability|payable",N(N79),0)</f>
        <v/>
      </c>
      <c r="AF79" s="23">
        <f>IF(V79="Liability|accrued",-N(F79),0)+IF(W79="Liability|accrued",-N(M79),0)+IF(X79="Liability|accrued",N(O79),0)+IF(Y79="Liability|accrued",N(P79),0)+IF(Z79="Liability|accrued",N(N79),0)</f>
        <v/>
      </c>
      <c r="AG79" s="23">
        <f>IF(AND(N(F79)&lt;&gt;0,V79=""),1,0)+IF(AND(N(M79)&lt;&gt;0,W79=""),1,0)+IF(AND(N(O79)&lt;&gt;0,X79=""),1,0)+IF(AND(N(P79)&lt;&gt;0,Y79=""),1,0)+IF(AND(N(N79)&lt;&gt;0,Z79=""),1,0)</f>
        <v/>
      </c>
    </row>
    <row r="80">
      <c r="A80" s="19" t="n"/>
      <c r="B80" s="14" t="n"/>
      <c r="C80" s="14" t="n"/>
      <c r="D80" s="14" t="n"/>
      <c r="E80" s="14" t="n"/>
      <c r="F80" s="20" t="n"/>
      <c r="G80" s="20" t="n"/>
      <c r="H80" s="14" t="n"/>
      <c r="I80" s="14" t="n"/>
      <c r="J80" s="14" t="n"/>
      <c r="K80" s="14" t="n"/>
      <c r="L80" s="14" t="n"/>
      <c r="M80" s="21">
        <f>ROUND(N(F80)*IFERROR(VLOOKUP(K80,'Tax Codes'!$A$5:$E$300,5,FALSE),0),2)</f>
        <v/>
      </c>
      <c r="N80" s="21">
        <f>ROUND(N(F80)*IFERROR(VLOOKUP(L80,'Tax Codes'!$A$5:$E$300,5,FALSE),0),2)</f>
        <v/>
      </c>
      <c r="O80" s="21">
        <f>IF(G80="",N(F80)+M80-N80,N(G80))</f>
        <v/>
      </c>
      <c r="P80" s="21">
        <f>N(F80)+M80-N80-O80</f>
        <v/>
      </c>
      <c r="Q80" s="16">
        <f>IF(C80="",INDEX('Chart of Accounts'!$A$5:$A$3000,MATCH("other_overhead",'Chart of Accounts'!$F$5:$F$3000,0)),C80&amp;"")</f>
        <v/>
      </c>
      <c r="R80" s="16">
        <f>IF(I80="",INDEX('Chart of Accounts'!$A$5:$A$3000,MATCH("bank",'Chart of Accounts'!$F$5:$F$3000,0)),I80&amp;"")</f>
        <v/>
      </c>
      <c r="S80" s="16">
        <f>IF(J80="",INDEX('Chart of Accounts'!$A$5:$A$3000,MATCH("ap",'Chart of Accounts'!$F$5:$F$3000,0)),J80&amp;"")</f>
        <v/>
      </c>
      <c r="T80" s="16">
        <f>INDEX('Chart of Accounts'!$A$5:$A$3000,MATCH("vat_input",'Chart of Accounts'!$F$5:$F$3000,0))</f>
        <v/>
      </c>
      <c r="U80" s="16">
        <f>INDEX('Chart of Accounts'!$A$5:$A$3000,MATCH("wht_payable",'Chart of Accounts'!$F$5:$F$3000,0))</f>
        <v/>
      </c>
      <c r="V80" s="23">
        <f>IFERROR(INDEX('Chart of Accounts'!$C$5:$C$3000,MATCH(Q80&amp;"",'Chart of Accounts'!$A$5:$A$3000,0))&amp;"|"&amp;INDEX('Chart of Accounts'!$D$5:$D$3000,MATCH(Q80&amp;"",'Chart of Accounts'!$A$5:$A$3000,0)),"")</f>
        <v/>
      </c>
      <c r="W80" s="23">
        <f>IFERROR(INDEX('Chart of Accounts'!$C$5:$C$3000,MATCH(T80&amp;"",'Chart of Accounts'!$A$5:$A$3000,0))&amp;"|"&amp;INDEX('Chart of Accounts'!$D$5:$D$3000,MATCH(T80&amp;"",'Chart of Accounts'!$A$5:$A$3000,0)),"")</f>
        <v/>
      </c>
      <c r="X80" s="23">
        <f>IFERROR(INDEX('Chart of Accounts'!$C$5:$C$3000,MATCH(R80&amp;"",'Chart of Accounts'!$A$5:$A$3000,0))&amp;"|"&amp;INDEX('Chart of Accounts'!$D$5:$D$3000,MATCH(R80&amp;"",'Chart of Accounts'!$A$5:$A$3000,0)),"")</f>
        <v/>
      </c>
      <c r="Y80" s="23">
        <f>IFERROR(INDEX('Chart of Accounts'!$C$5:$C$3000,MATCH(S80&amp;"",'Chart of Accounts'!$A$5:$A$3000,0))&amp;"|"&amp;INDEX('Chart of Accounts'!$D$5:$D$3000,MATCH(S80&amp;"",'Chart of Accounts'!$A$5:$A$3000,0)),"")</f>
        <v/>
      </c>
      <c r="Z80" s="23">
        <f>IFERROR(INDEX('Chart of Accounts'!$C$5:$C$3000,MATCH(U80&amp;"",'Chart of Accounts'!$A$5:$A$3000,0))&amp;"|"&amp;INDEX('Chart of Accounts'!$D$5:$D$3000,MATCH(U80&amp;"",'Chart of Accounts'!$A$5:$A$3000,0)),"")</f>
        <v/>
      </c>
      <c r="AA80" s="23">
        <f>IF(LEFT(V80,8)="Revenue|",-N(F80),0)+IF(LEFT(W80,8)="Revenue|",-N(M80),0)+IF(LEFT(X80,8)="Revenue|",N(O80),0)+IF(LEFT(Y80,8)="Revenue|",N(P80),0)+IF(LEFT(Z80,8)="Revenue|",N(N80),0)</f>
        <v/>
      </c>
      <c r="AB80" s="23">
        <f>IF(LEFT(V80,5)="COGS|",N(F80),0)+IF(LEFT(W80,5)="COGS|",N(M80),0)+IF(LEFT(X80,5)="COGS|",-N(O80),0)+IF(LEFT(Y80,5)="COGS|",-N(P80),0)+IF(LEFT(Z80,5)="COGS|",-N(N80),0)</f>
        <v/>
      </c>
      <c r="AC80" s="23">
        <f>IF(LEFT(V80,8)="Expense|",N(F80),0)+IF(LEFT(W80,8)="Expense|",N(M80),0)+IF(LEFT(X80,8)="Expense|",-N(O80),0)+IF(LEFT(Y80,8)="Expense|",-N(P80),0)+IF(LEFT(Z80,8)="Expense|",-N(N80),0)</f>
        <v/>
      </c>
      <c r="AD80" s="23">
        <f>IF(ISNUMBER(MATCH(V80,{"Expense|employee","Expense|general_admin","Expense|marketing","Expense|utilities","Expense|other_operating"},0)),N(F80),0)+IF(ISNUMBER(MATCH(W80,{"Expense|employee","Expense|general_admin","Expense|marketing","Expense|utilities","Expense|other_operating"},0)),N(M80),0)+IF(ISNUMBER(MATCH(X80,{"Expense|employee","Expense|general_admin","Expense|marketing","Expense|utilities","Expense|other_operating"},0)),-N(O80),0)+IF(ISNUMBER(MATCH(Y80,{"Expense|employee","Expense|general_admin","Expense|marketing","Expense|utilities","Expense|other_operating"},0)),-N(P80),0)+IF(ISNUMBER(MATCH(Z80,{"Expense|employee","Expense|general_admin","Expense|marketing","Expense|utilities","Expense|other_operating"},0)),-N(N80),0)</f>
        <v/>
      </c>
      <c r="AE80" s="23">
        <f>IF(V80="Liability|payable",-N(F80),0)+IF(W80="Liability|payable",-N(M80),0)+IF(X80="Liability|payable",N(O80),0)+IF(Y80="Liability|payable",N(P80),0)+IF(Z80="Liability|payable",N(N80),0)</f>
        <v/>
      </c>
      <c r="AF80" s="23">
        <f>IF(V80="Liability|accrued",-N(F80),0)+IF(W80="Liability|accrued",-N(M80),0)+IF(X80="Liability|accrued",N(O80),0)+IF(Y80="Liability|accrued",N(P80),0)+IF(Z80="Liability|accrued",N(N80),0)</f>
        <v/>
      </c>
      <c r="AG80" s="23">
        <f>IF(AND(N(F80)&lt;&gt;0,V80=""),1,0)+IF(AND(N(M80)&lt;&gt;0,W80=""),1,0)+IF(AND(N(O80)&lt;&gt;0,X80=""),1,0)+IF(AND(N(P80)&lt;&gt;0,Y80=""),1,0)+IF(AND(N(N80)&lt;&gt;0,Z80=""),1,0)</f>
        <v/>
      </c>
    </row>
    <row r="81">
      <c r="A81" s="19" t="n"/>
      <c r="B81" s="14" t="n"/>
      <c r="C81" s="14" t="n"/>
      <c r="D81" s="14" t="n"/>
      <c r="E81" s="14" t="n"/>
      <c r="F81" s="20" t="n"/>
      <c r="G81" s="20" t="n"/>
      <c r="H81" s="14" t="n"/>
      <c r="I81" s="14" t="n"/>
      <c r="J81" s="14" t="n"/>
      <c r="K81" s="14" t="n"/>
      <c r="L81" s="14" t="n"/>
      <c r="M81" s="21">
        <f>ROUND(N(F81)*IFERROR(VLOOKUP(K81,'Tax Codes'!$A$5:$E$300,5,FALSE),0),2)</f>
        <v/>
      </c>
      <c r="N81" s="21">
        <f>ROUND(N(F81)*IFERROR(VLOOKUP(L81,'Tax Codes'!$A$5:$E$300,5,FALSE),0),2)</f>
        <v/>
      </c>
      <c r="O81" s="21">
        <f>IF(G81="",N(F81)+M81-N81,N(G81))</f>
        <v/>
      </c>
      <c r="P81" s="21">
        <f>N(F81)+M81-N81-O81</f>
        <v/>
      </c>
      <c r="Q81" s="16">
        <f>IF(C81="",INDEX('Chart of Accounts'!$A$5:$A$3000,MATCH("other_overhead",'Chart of Accounts'!$F$5:$F$3000,0)),C81&amp;"")</f>
        <v/>
      </c>
      <c r="R81" s="16">
        <f>IF(I81="",INDEX('Chart of Accounts'!$A$5:$A$3000,MATCH("bank",'Chart of Accounts'!$F$5:$F$3000,0)),I81&amp;"")</f>
        <v/>
      </c>
      <c r="S81" s="16">
        <f>IF(J81="",INDEX('Chart of Accounts'!$A$5:$A$3000,MATCH("ap",'Chart of Accounts'!$F$5:$F$3000,0)),J81&amp;"")</f>
        <v/>
      </c>
      <c r="T81" s="16">
        <f>INDEX('Chart of Accounts'!$A$5:$A$3000,MATCH("vat_input",'Chart of Accounts'!$F$5:$F$3000,0))</f>
        <v/>
      </c>
      <c r="U81" s="16">
        <f>INDEX('Chart of Accounts'!$A$5:$A$3000,MATCH("wht_payable",'Chart of Accounts'!$F$5:$F$3000,0))</f>
        <v/>
      </c>
      <c r="V81" s="23">
        <f>IFERROR(INDEX('Chart of Accounts'!$C$5:$C$3000,MATCH(Q81&amp;"",'Chart of Accounts'!$A$5:$A$3000,0))&amp;"|"&amp;INDEX('Chart of Accounts'!$D$5:$D$3000,MATCH(Q81&amp;"",'Chart of Accounts'!$A$5:$A$3000,0)),"")</f>
        <v/>
      </c>
      <c r="W81" s="23">
        <f>IFERROR(INDEX('Chart of Accounts'!$C$5:$C$3000,MATCH(T81&amp;"",'Chart of Accounts'!$A$5:$A$3000,0))&amp;"|"&amp;INDEX('Chart of Accounts'!$D$5:$D$3000,MATCH(T81&amp;"",'Chart of Accounts'!$A$5:$A$3000,0)),"")</f>
        <v/>
      </c>
      <c r="X81" s="23">
        <f>IFERROR(INDEX('Chart of Accounts'!$C$5:$C$3000,MATCH(R81&amp;"",'Chart of Accounts'!$A$5:$A$3000,0))&amp;"|"&amp;INDEX('Chart of Accounts'!$D$5:$D$3000,MATCH(R81&amp;"",'Chart of Accounts'!$A$5:$A$3000,0)),"")</f>
        <v/>
      </c>
      <c r="Y81" s="23">
        <f>IFERROR(INDEX('Chart of Accounts'!$C$5:$C$3000,MATCH(S81&amp;"",'Chart of Accounts'!$A$5:$A$3000,0))&amp;"|"&amp;INDEX('Chart of Accounts'!$D$5:$D$3000,MATCH(S81&amp;"",'Chart of Accounts'!$A$5:$A$3000,0)),"")</f>
        <v/>
      </c>
      <c r="Z81" s="23">
        <f>IFERROR(INDEX('Chart of Accounts'!$C$5:$C$3000,MATCH(U81&amp;"",'Chart of Accounts'!$A$5:$A$3000,0))&amp;"|"&amp;INDEX('Chart of Accounts'!$D$5:$D$3000,MATCH(U81&amp;"",'Chart of Accounts'!$A$5:$A$3000,0)),"")</f>
        <v/>
      </c>
      <c r="AA81" s="23">
        <f>IF(LEFT(V81,8)="Revenue|",-N(F81),0)+IF(LEFT(W81,8)="Revenue|",-N(M81),0)+IF(LEFT(X81,8)="Revenue|",N(O81),0)+IF(LEFT(Y81,8)="Revenue|",N(P81),0)+IF(LEFT(Z81,8)="Revenue|",N(N81),0)</f>
        <v/>
      </c>
      <c r="AB81" s="23">
        <f>IF(LEFT(V81,5)="COGS|",N(F81),0)+IF(LEFT(W81,5)="COGS|",N(M81),0)+IF(LEFT(X81,5)="COGS|",-N(O81),0)+IF(LEFT(Y81,5)="COGS|",-N(P81),0)+IF(LEFT(Z81,5)="COGS|",-N(N81),0)</f>
        <v/>
      </c>
      <c r="AC81" s="23">
        <f>IF(LEFT(V81,8)="Expense|",N(F81),0)+IF(LEFT(W81,8)="Expense|",N(M81),0)+IF(LEFT(X81,8)="Expense|",-N(O81),0)+IF(LEFT(Y81,8)="Expense|",-N(P81),0)+IF(LEFT(Z81,8)="Expense|",-N(N81),0)</f>
        <v/>
      </c>
      <c r="AD81" s="23">
        <f>IF(ISNUMBER(MATCH(V81,{"Expense|employee","Expense|general_admin","Expense|marketing","Expense|utilities","Expense|other_operating"},0)),N(F81),0)+IF(ISNUMBER(MATCH(W81,{"Expense|employee","Expense|general_admin","Expense|marketing","Expense|utilities","Expense|other_operating"},0)),N(M81),0)+IF(ISNUMBER(MATCH(X81,{"Expense|employee","Expense|general_admin","Expense|marketing","Expense|utilities","Expense|other_operating"},0)),-N(O81),0)+IF(ISNUMBER(MATCH(Y81,{"Expense|employee","Expense|general_admin","Expense|marketing","Expense|utilities","Expense|other_operating"},0)),-N(P81),0)+IF(ISNUMBER(MATCH(Z81,{"Expense|employee","Expense|general_admin","Expense|marketing","Expense|utilities","Expense|other_operating"},0)),-N(N81),0)</f>
        <v/>
      </c>
      <c r="AE81" s="23">
        <f>IF(V81="Liability|payable",-N(F81),0)+IF(W81="Liability|payable",-N(M81),0)+IF(X81="Liability|payable",N(O81),0)+IF(Y81="Liability|payable",N(P81),0)+IF(Z81="Liability|payable",N(N81),0)</f>
        <v/>
      </c>
      <c r="AF81" s="23">
        <f>IF(V81="Liability|accrued",-N(F81),0)+IF(W81="Liability|accrued",-N(M81),0)+IF(X81="Liability|accrued",N(O81),0)+IF(Y81="Liability|accrued",N(P81),0)+IF(Z81="Liability|accrued",N(N81),0)</f>
        <v/>
      </c>
      <c r="AG81" s="23">
        <f>IF(AND(N(F81)&lt;&gt;0,V81=""),1,0)+IF(AND(N(M81)&lt;&gt;0,W81=""),1,0)+IF(AND(N(O81)&lt;&gt;0,X81=""),1,0)+IF(AND(N(P81)&lt;&gt;0,Y81=""),1,0)+IF(AND(N(N81)&lt;&gt;0,Z81=""),1,0)</f>
        <v/>
      </c>
    </row>
    <row r="82">
      <c r="A82" s="19" t="n"/>
      <c r="B82" s="14" t="n"/>
      <c r="C82" s="14" t="n"/>
      <c r="D82" s="14" t="n"/>
      <c r="E82" s="14" t="n"/>
      <c r="F82" s="20" t="n"/>
      <c r="G82" s="20" t="n"/>
      <c r="H82" s="14" t="n"/>
      <c r="I82" s="14" t="n"/>
      <c r="J82" s="14" t="n"/>
      <c r="K82" s="14" t="n"/>
      <c r="L82" s="14" t="n"/>
      <c r="M82" s="21">
        <f>ROUND(N(F82)*IFERROR(VLOOKUP(K82,'Tax Codes'!$A$5:$E$300,5,FALSE),0),2)</f>
        <v/>
      </c>
      <c r="N82" s="21">
        <f>ROUND(N(F82)*IFERROR(VLOOKUP(L82,'Tax Codes'!$A$5:$E$300,5,FALSE),0),2)</f>
        <v/>
      </c>
      <c r="O82" s="21">
        <f>IF(G82="",N(F82)+M82-N82,N(G82))</f>
        <v/>
      </c>
      <c r="P82" s="21">
        <f>N(F82)+M82-N82-O82</f>
        <v/>
      </c>
      <c r="Q82" s="16">
        <f>IF(C82="",INDEX('Chart of Accounts'!$A$5:$A$3000,MATCH("other_overhead",'Chart of Accounts'!$F$5:$F$3000,0)),C82&amp;"")</f>
        <v/>
      </c>
      <c r="R82" s="16">
        <f>IF(I82="",INDEX('Chart of Accounts'!$A$5:$A$3000,MATCH("bank",'Chart of Accounts'!$F$5:$F$3000,0)),I82&amp;"")</f>
        <v/>
      </c>
      <c r="S82" s="16">
        <f>IF(J82="",INDEX('Chart of Accounts'!$A$5:$A$3000,MATCH("ap",'Chart of Accounts'!$F$5:$F$3000,0)),J82&amp;"")</f>
        <v/>
      </c>
      <c r="T82" s="16">
        <f>INDEX('Chart of Accounts'!$A$5:$A$3000,MATCH("vat_input",'Chart of Accounts'!$F$5:$F$3000,0))</f>
        <v/>
      </c>
      <c r="U82" s="16">
        <f>INDEX('Chart of Accounts'!$A$5:$A$3000,MATCH("wht_payable",'Chart of Accounts'!$F$5:$F$3000,0))</f>
        <v/>
      </c>
      <c r="V82" s="23">
        <f>IFERROR(INDEX('Chart of Accounts'!$C$5:$C$3000,MATCH(Q82&amp;"",'Chart of Accounts'!$A$5:$A$3000,0))&amp;"|"&amp;INDEX('Chart of Accounts'!$D$5:$D$3000,MATCH(Q82&amp;"",'Chart of Accounts'!$A$5:$A$3000,0)),"")</f>
        <v/>
      </c>
      <c r="W82" s="23">
        <f>IFERROR(INDEX('Chart of Accounts'!$C$5:$C$3000,MATCH(T82&amp;"",'Chart of Accounts'!$A$5:$A$3000,0))&amp;"|"&amp;INDEX('Chart of Accounts'!$D$5:$D$3000,MATCH(T82&amp;"",'Chart of Accounts'!$A$5:$A$3000,0)),"")</f>
        <v/>
      </c>
      <c r="X82" s="23">
        <f>IFERROR(INDEX('Chart of Accounts'!$C$5:$C$3000,MATCH(R82&amp;"",'Chart of Accounts'!$A$5:$A$3000,0))&amp;"|"&amp;INDEX('Chart of Accounts'!$D$5:$D$3000,MATCH(R82&amp;"",'Chart of Accounts'!$A$5:$A$3000,0)),"")</f>
        <v/>
      </c>
      <c r="Y82" s="23">
        <f>IFERROR(INDEX('Chart of Accounts'!$C$5:$C$3000,MATCH(S82&amp;"",'Chart of Accounts'!$A$5:$A$3000,0))&amp;"|"&amp;INDEX('Chart of Accounts'!$D$5:$D$3000,MATCH(S82&amp;"",'Chart of Accounts'!$A$5:$A$3000,0)),"")</f>
        <v/>
      </c>
      <c r="Z82" s="23">
        <f>IFERROR(INDEX('Chart of Accounts'!$C$5:$C$3000,MATCH(U82&amp;"",'Chart of Accounts'!$A$5:$A$3000,0))&amp;"|"&amp;INDEX('Chart of Accounts'!$D$5:$D$3000,MATCH(U82&amp;"",'Chart of Accounts'!$A$5:$A$3000,0)),"")</f>
        <v/>
      </c>
      <c r="AA82" s="23">
        <f>IF(LEFT(V82,8)="Revenue|",-N(F82),0)+IF(LEFT(W82,8)="Revenue|",-N(M82),0)+IF(LEFT(X82,8)="Revenue|",N(O82),0)+IF(LEFT(Y82,8)="Revenue|",N(P82),0)+IF(LEFT(Z82,8)="Revenue|",N(N82),0)</f>
        <v/>
      </c>
      <c r="AB82" s="23">
        <f>IF(LEFT(V82,5)="COGS|",N(F82),0)+IF(LEFT(W82,5)="COGS|",N(M82),0)+IF(LEFT(X82,5)="COGS|",-N(O82),0)+IF(LEFT(Y82,5)="COGS|",-N(P82),0)+IF(LEFT(Z82,5)="COGS|",-N(N82),0)</f>
        <v/>
      </c>
      <c r="AC82" s="23">
        <f>IF(LEFT(V82,8)="Expense|",N(F82),0)+IF(LEFT(W82,8)="Expense|",N(M82),0)+IF(LEFT(X82,8)="Expense|",-N(O82),0)+IF(LEFT(Y82,8)="Expense|",-N(P82),0)+IF(LEFT(Z82,8)="Expense|",-N(N82),0)</f>
        <v/>
      </c>
      <c r="AD82" s="23">
        <f>IF(ISNUMBER(MATCH(V82,{"Expense|employee","Expense|general_admin","Expense|marketing","Expense|utilities","Expense|other_operating"},0)),N(F82),0)+IF(ISNUMBER(MATCH(W82,{"Expense|employee","Expense|general_admin","Expense|marketing","Expense|utilities","Expense|other_operating"},0)),N(M82),0)+IF(ISNUMBER(MATCH(X82,{"Expense|employee","Expense|general_admin","Expense|marketing","Expense|utilities","Expense|other_operating"},0)),-N(O82),0)+IF(ISNUMBER(MATCH(Y82,{"Expense|employee","Expense|general_admin","Expense|marketing","Expense|utilities","Expense|other_operating"},0)),-N(P82),0)+IF(ISNUMBER(MATCH(Z82,{"Expense|employee","Expense|general_admin","Expense|marketing","Expense|utilities","Expense|other_operating"},0)),-N(N82),0)</f>
        <v/>
      </c>
      <c r="AE82" s="23">
        <f>IF(V82="Liability|payable",-N(F82),0)+IF(W82="Liability|payable",-N(M82),0)+IF(X82="Liability|payable",N(O82),0)+IF(Y82="Liability|payable",N(P82),0)+IF(Z82="Liability|payable",N(N82),0)</f>
        <v/>
      </c>
      <c r="AF82" s="23">
        <f>IF(V82="Liability|accrued",-N(F82),0)+IF(W82="Liability|accrued",-N(M82),0)+IF(X82="Liability|accrued",N(O82),0)+IF(Y82="Liability|accrued",N(P82),0)+IF(Z82="Liability|accrued",N(N82),0)</f>
        <v/>
      </c>
      <c r="AG82" s="23">
        <f>IF(AND(N(F82)&lt;&gt;0,V82=""),1,0)+IF(AND(N(M82)&lt;&gt;0,W82=""),1,0)+IF(AND(N(O82)&lt;&gt;0,X82=""),1,0)+IF(AND(N(P82)&lt;&gt;0,Y82=""),1,0)+IF(AND(N(N82)&lt;&gt;0,Z82=""),1,0)</f>
        <v/>
      </c>
    </row>
    <row r="83">
      <c r="A83" s="19" t="n"/>
      <c r="B83" s="14" t="n"/>
      <c r="C83" s="14" t="n"/>
      <c r="D83" s="14" t="n"/>
      <c r="E83" s="14" t="n"/>
      <c r="F83" s="20" t="n"/>
      <c r="G83" s="20" t="n"/>
      <c r="H83" s="14" t="n"/>
      <c r="I83" s="14" t="n"/>
      <c r="J83" s="14" t="n"/>
      <c r="K83" s="14" t="n"/>
      <c r="L83" s="14" t="n"/>
      <c r="M83" s="21">
        <f>ROUND(N(F83)*IFERROR(VLOOKUP(K83,'Tax Codes'!$A$5:$E$300,5,FALSE),0),2)</f>
        <v/>
      </c>
      <c r="N83" s="21">
        <f>ROUND(N(F83)*IFERROR(VLOOKUP(L83,'Tax Codes'!$A$5:$E$300,5,FALSE),0),2)</f>
        <v/>
      </c>
      <c r="O83" s="21">
        <f>IF(G83="",N(F83)+M83-N83,N(G83))</f>
        <v/>
      </c>
      <c r="P83" s="21">
        <f>N(F83)+M83-N83-O83</f>
        <v/>
      </c>
      <c r="Q83" s="16">
        <f>IF(C83="",INDEX('Chart of Accounts'!$A$5:$A$3000,MATCH("other_overhead",'Chart of Accounts'!$F$5:$F$3000,0)),C83&amp;"")</f>
        <v/>
      </c>
      <c r="R83" s="16">
        <f>IF(I83="",INDEX('Chart of Accounts'!$A$5:$A$3000,MATCH("bank",'Chart of Accounts'!$F$5:$F$3000,0)),I83&amp;"")</f>
        <v/>
      </c>
      <c r="S83" s="16">
        <f>IF(J83="",INDEX('Chart of Accounts'!$A$5:$A$3000,MATCH("ap",'Chart of Accounts'!$F$5:$F$3000,0)),J83&amp;"")</f>
        <v/>
      </c>
      <c r="T83" s="16">
        <f>INDEX('Chart of Accounts'!$A$5:$A$3000,MATCH("vat_input",'Chart of Accounts'!$F$5:$F$3000,0))</f>
        <v/>
      </c>
      <c r="U83" s="16">
        <f>INDEX('Chart of Accounts'!$A$5:$A$3000,MATCH("wht_payable",'Chart of Accounts'!$F$5:$F$3000,0))</f>
        <v/>
      </c>
      <c r="V83" s="23">
        <f>IFERROR(INDEX('Chart of Accounts'!$C$5:$C$3000,MATCH(Q83&amp;"",'Chart of Accounts'!$A$5:$A$3000,0))&amp;"|"&amp;INDEX('Chart of Accounts'!$D$5:$D$3000,MATCH(Q83&amp;"",'Chart of Accounts'!$A$5:$A$3000,0)),"")</f>
        <v/>
      </c>
      <c r="W83" s="23">
        <f>IFERROR(INDEX('Chart of Accounts'!$C$5:$C$3000,MATCH(T83&amp;"",'Chart of Accounts'!$A$5:$A$3000,0))&amp;"|"&amp;INDEX('Chart of Accounts'!$D$5:$D$3000,MATCH(T83&amp;"",'Chart of Accounts'!$A$5:$A$3000,0)),"")</f>
        <v/>
      </c>
      <c r="X83" s="23">
        <f>IFERROR(INDEX('Chart of Accounts'!$C$5:$C$3000,MATCH(R83&amp;"",'Chart of Accounts'!$A$5:$A$3000,0))&amp;"|"&amp;INDEX('Chart of Accounts'!$D$5:$D$3000,MATCH(R83&amp;"",'Chart of Accounts'!$A$5:$A$3000,0)),"")</f>
        <v/>
      </c>
      <c r="Y83" s="23">
        <f>IFERROR(INDEX('Chart of Accounts'!$C$5:$C$3000,MATCH(S83&amp;"",'Chart of Accounts'!$A$5:$A$3000,0))&amp;"|"&amp;INDEX('Chart of Accounts'!$D$5:$D$3000,MATCH(S83&amp;"",'Chart of Accounts'!$A$5:$A$3000,0)),"")</f>
        <v/>
      </c>
      <c r="Z83" s="23">
        <f>IFERROR(INDEX('Chart of Accounts'!$C$5:$C$3000,MATCH(U83&amp;"",'Chart of Accounts'!$A$5:$A$3000,0))&amp;"|"&amp;INDEX('Chart of Accounts'!$D$5:$D$3000,MATCH(U83&amp;"",'Chart of Accounts'!$A$5:$A$3000,0)),"")</f>
        <v/>
      </c>
      <c r="AA83" s="23">
        <f>IF(LEFT(V83,8)="Revenue|",-N(F83),0)+IF(LEFT(W83,8)="Revenue|",-N(M83),0)+IF(LEFT(X83,8)="Revenue|",N(O83),0)+IF(LEFT(Y83,8)="Revenue|",N(P83),0)+IF(LEFT(Z83,8)="Revenue|",N(N83),0)</f>
        <v/>
      </c>
      <c r="AB83" s="23">
        <f>IF(LEFT(V83,5)="COGS|",N(F83),0)+IF(LEFT(W83,5)="COGS|",N(M83),0)+IF(LEFT(X83,5)="COGS|",-N(O83),0)+IF(LEFT(Y83,5)="COGS|",-N(P83),0)+IF(LEFT(Z83,5)="COGS|",-N(N83),0)</f>
        <v/>
      </c>
      <c r="AC83" s="23">
        <f>IF(LEFT(V83,8)="Expense|",N(F83),0)+IF(LEFT(W83,8)="Expense|",N(M83),0)+IF(LEFT(X83,8)="Expense|",-N(O83),0)+IF(LEFT(Y83,8)="Expense|",-N(P83),0)+IF(LEFT(Z83,8)="Expense|",-N(N83),0)</f>
        <v/>
      </c>
      <c r="AD83" s="23">
        <f>IF(ISNUMBER(MATCH(V83,{"Expense|employee","Expense|general_admin","Expense|marketing","Expense|utilities","Expense|other_operating"},0)),N(F83),0)+IF(ISNUMBER(MATCH(W83,{"Expense|employee","Expense|general_admin","Expense|marketing","Expense|utilities","Expense|other_operating"},0)),N(M83),0)+IF(ISNUMBER(MATCH(X83,{"Expense|employee","Expense|general_admin","Expense|marketing","Expense|utilities","Expense|other_operating"},0)),-N(O83),0)+IF(ISNUMBER(MATCH(Y83,{"Expense|employee","Expense|general_admin","Expense|marketing","Expense|utilities","Expense|other_operating"},0)),-N(P83),0)+IF(ISNUMBER(MATCH(Z83,{"Expense|employee","Expense|general_admin","Expense|marketing","Expense|utilities","Expense|other_operating"},0)),-N(N83),0)</f>
        <v/>
      </c>
      <c r="AE83" s="23">
        <f>IF(V83="Liability|payable",-N(F83),0)+IF(W83="Liability|payable",-N(M83),0)+IF(X83="Liability|payable",N(O83),0)+IF(Y83="Liability|payable",N(P83),0)+IF(Z83="Liability|payable",N(N83),0)</f>
        <v/>
      </c>
      <c r="AF83" s="23">
        <f>IF(V83="Liability|accrued",-N(F83),0)+IF(W83="Liability|accrued",-N(M83),0)+IF(X83="Liability|accrued",N(O83),0)+IF(Y83="Liability|accrued",N(P83),0)+IF(Z83="Liability|accrued",N(N83),0)</f>
        <v/>
      </c>
      <c r="AG83" s="23">
        <f>IF(AND(N(F83)&lt;&gt;0,V83=""),1,0)+IF(AND(N(M83)&lt;&gt;0,W83=""),1,0)+IF(AND(N(O83)&lt;&gt;0,X83=""),1,0)+IF(AND(N(P83)&lt;&gt;0,Y83=""),1,0)+IF(AND(N(N83)&lt;&gt;0,Z83=""),1,0)</f>
        <v/>
      </c>
    </row>
    <row r="84">
      <c r="A84" s="19" t="n"/>
      <c r="B84" s="14" t="n"/>
      <c r="C84" s="14" t="n"/>
      <c r="D84" s="14" t="n"/>
      <c r="E84" s="14" t="n"/>
      <c r="F84" s="20" t="n"/>
      <c r="G84" s="20" t="n"/>
      <c r="H84" s="14" t="n"/>
      <c r="I84" s="14" t="n"/>
      <c r="J84" s="14" t="n"/>
      <c r="K84" s="14" t="n"/>
      <c r="L84" s="14" t="n"/>
      <c r="M84" s="21">
        <f>ROUND(N(F84)*IFERROR(VLOOKUP(K84,'Tax Codes'!$A$5:$E$300,5,FALSE),0),2)</f>
        <v/>
      </c>
      <c r="N84" s="21">
        <f>ROUND(N(F84)*IFERROR(VLOOKUP(L84,'Tax Codes'!$A$5:$E$300,5,FALSE),0),2)</f>
        <v/>
      </c>
      <c r="O84" s="21">
        <f>IF(G84="",N(F84)+M84-N84,N(G84))</f>
        <v/>
      </c>
      <c r="P84" s="21">
        <f>N(F84)+M84-N84-O84</f>
        <v/>
      </c>
      <c r="Q84" s="16">
        <f>IF(C84="",INDEX('Chart of Accounts'!$A$5:$A$3000,MATCH("other_overhead",'Chart of Accounts'!$F$5:$F$3000,0)),C84&amp;"")</f>
        <v/>
      </c>
      <c r="R84" s="16">
        <f>IF(I84="",INDEX('Chart of Accounts'!$A$5:$A$3000,MATCH("bank",'Chart of Accounts'!$F$5:$F$3000,0)),I84&amp;"")</f>
        <v/>
      </c>
      <c r="S84" s="16">
        <f>IF(J84="",INDEX('Chart of Accounts'!$A$5:$A$3000,MATCH("ap",'Chart of Accounts'!$F$5:$F$3000,0)),J84&amp;"")</f>
        <v/>
      </c>
      <c r="T84" s="16">
        <f>INDEX('Chart of Accounts'!$A$5:$A$3000,MATCH("vat_input",'Chart of Accounts'!$F$5:$F$3000,0))</f>
        <v/>
      </c>
      <c r="U84" s="16">
        <f>INDEX('Chart of Accounts'!$A$5:$A$3000,MATCH("wht_payable",'Chart of Accounts'!$F$5:$F$3000,0))</f>
        <v/>
      </c>
      <c r="V84" s="23">
        <f>IFERROR(INDEX('Chart of Accounts'!$C$5:$C$3000,MATCH(Q84&amp;"",'Chart of Accounts'!$A$5:$A$3000,0))&amp;"|"&amp;INDEX('Chart of Accounts'!$D$5:$D$3000,MATCH(Q84&amp;"",'Chart of Accounts'!$A$5:$A$3000,0)),"")</f>
        <v/>
      </c>
      <c r="W84" s="23">
        <f>IFERROR(INDEX('Chart of Accounts'!$C$5:$C$3000,MATCH(T84&amp;"",'Chart of Accounts'!$A$5:$A$3000,0))&amp;"|"&amp;INDEX('Chart of Accounts'!$D$5:$D$3000,MATCH(T84&amp;"",'Chart of Accounts'!$A$5:$A$3000,0)),"")</f>
        <v/>
      </c>
      <c r="X84" s="23">
        <f>IFERROR(INDEX('Chart of Accounts'!$C$5:$C$3000,MATCH(R84&amp;"",'Chart of Accounts'!$A$5:$A$3000,0))&amp;"|"&amp;INDEX('Chart of Accounts'!$D$5:$D$3000,MATCH(R84&amp;"",'Chart of Accounts'!$A$5:$A$3000,0)),"")</f>
        <v/>
      </c>
      <c r="Y84" s="23">
        <f>IFERROR(INDEX('Chart of Accounts'!$C$5:$C$3000,MATCH(S84&amp;"",'Chart of Accounts'!$A$5:$A$3000,0))&amp;"|"&amp;INDEX('Chart of Accounts'!$D$5:$D$3000,MATCH(S84&amp;"",'Chart of Accounts'!$A$5:$A$3000,0)),"")</f>
        <v/>
      </c>
      <c r="Z84" s="23">
        <f>IFERROR(INDEX('Chart of Accounts'!$C$5:$C$3000,MATCH(U84&amp;"",'Chart of Accounts'!$A$5:$A$3000,0))&amp;"|"&amp;INDEX('Chart of Accounts'!$D$5:$D$3000,MATCH(U84&amp;"",'Chart of Accounts'!$A$5:$A$3000,0)),"")</f>
        <v/>
      </c>
      <c r="AA84" s="23">
        <f>IF(LEFT(V84,8)="Revenue|",-N(F84),0)+IF(LEFT(W84,8)="Revenue|",-N(M84),0)+IF(LEFT(X84,8)="Revenue|",N(O84),0)+IF(LEFT(Y84,8)="Revenue|",N(P84),0)+IF(LEFT(Z84,8)="Revenue|",N(N84),0)</f>
        <v/>
      </c>
      <c r="AB84" s="23">
        <f>IF(LEFT(V84,5)="COGS|",N(F84),0)+IF(LEFT(W84,5)="COGS|",N(M84),0)+IF(LEFT(X84,5)="COGS|",-N(O84),0)+IF(LEFT(Y84,5)="COGS|",-N(P84),0)+IF(LEFT(Z84,5)="COGS|",-N(N84),0)</f>
        <v/>
      </c>
      <c r="AC84" s="23">
        <f>IF(LEFT(V84,8)="Expense|",N(F84),0)+IF(LEFT(W84,8)="Expense|",N(M84),0)+IF(LEFT(X84,8)="Expense|",-N(O84),0)+IF(LEFT(Y84,8)="Expense|",-N(P84),0)+IF(LEFT(Z84,8)="Expense|",-N(N84),0)</f>
        <v/>
      </c>
      <c r="AD84" s="23">
        <f>IF(ISNUMBER(MATCH(V84,{"Expense|employee","Expense|general_admin","Expense|marketing","Expense|utilities","Expense|other_operating"},0)),N(F84),0)+IF(ISNUMBER(MATCH(W84,{"Expense|employee","Expense|general_admin","Expense|marketing","Expense|utilities","Expense|other_operating"},0)),N(M84),0)+IF(ISNUMBER(MATCH(X84,{"Expense|employee","Expense|general_admin","Expense|marketing","Expense|utilities","Expense|other_operating"},0)),-N(O84),0)+IF(ISNUMBER(MATCH(Y84,{"Expense|employee","Expense|general_admin","Expense|marketing","Expense|utilities","Expense|other_operating"},0)),-N(P84),0)+IF(ISNUMBER(MATCH(Z84,{"Expense|employee","Expense|general_admin","Expense|marketing","Expense|utilities","Expense|other_operating"},0)),-N(N84),0)</f>
        <v/>
      </c>
      <c r="AE84" s="23">
        <f>IF(V84="Liability|payable",-N(F84),0)+IF(W84="Liability|payable",-N(M84),0)+IF(X84="Liability|payable",N(O84),0)+IF(Y84="Liability|payable",N(P84),0)+IF(Z84="Liability|payable",N(N84),0)</f>
        <v/>
      </c>
      <c r="AF84" s="23">
        <f>IF(V84="Liability|accrued",-N(F84),0)+IF(W84="Liability|accrued",-N(M84),0)+IF(X84="Liability|accrued",N(O84),0)+IF(Y84="Liability|accrued",N(P84),0)+IF(Z84="Liability|accrued",N(N84),0)</f>
        <v/>
      </c>
      <c r="AG84" s="23">
        <f>IF(AND(N(F84)&lt;&gt;0,V84=""),1,0)+IF(AND(N(M84)&lt;&gt;0,W84=""),1,0)+IF(AND(N(O84)&lt;&gt;0,X84=""),1,0)+IF(AND(N(P84)&lt;&gt;0,Y84=""),1,0)+IF(AND(N(N84)&lt;&gt;0,Z84=""),1,0)</f>
        <v/>
      </c>
    </row>
    <row r="85">
      <c r="A85" s="19" t="n"/>
      <c r="B85" s="14" t="n"/>
      <c r="C85" s="14" t="n"/>
      <c r="D85" s="14" t="n"/>
      <c r="E85" s="14" t="n"/>
      <c r="F85" s="20" t="n"/>
      <c r="G85" s="20" t="n"/>
      <c r="H85" s="14" t="n"/>
      <c r="I85" s="14" t="n"/>
      <c r="J85" s="14" t="n"/>
      <c r="K85" s="14" t="n"/>
      <c r="L85" s="14" t="n"/>
      <c r="M85" s="21">
        <f>ROUND(N(F85)*IFERROR(VLOOKUP(K85,'Tax Codes'!$A$5:$E$300,5,FALSE),0),2)</f>
        <v/>
      </c>
      <c r="N85" s="21">
        <f>ROUND(N(F85)*IFERROR(VLOOKUP(L85,'Tax Codes'!$A$5:$E$300,5,FALSE),0),2)</f>
        <v/>
      </c>
      <c r="O85" s="21">
        <f>IF(G85="",N(F85)+M85-N85,N(G85))</f>
        <v/>
      </c>
      <c r="P85" s="21">
        <f>N(F85)+M85-N85-O85</f>
        <v/>
      </c>
      <c r="Q85" s="16">
        <f>IF(C85="",INDEX('Chart of Accounts'!$A$5:$A$3000,MATCH("other_overhead",'Chart of Accounts'!$F$5:$F$3000,0)),C85&amp;"")</f>
        <v/>
      </c>
      <c r="R85" s="16">
        <f>IF(I85="",INDEX('Chart of Accounts'!$A$5:$A$3000,MATCH("bank",'Chart of Accounts'!$F$5:$F$3000,0)),I85&amp;"")</f>
        <v/>
      </c>
      <c r="S85" s="16">
        <f>IF(J85="",INDEX('Chart of Accounts'!$A$5:$A$3000,MATCH("ap",'Chart of Accounts'!$F$5:$F$3000,0)),J85&amp;"")</f>
        <v/>
      </c>
      <c r="T85" s="16">
        <f>INDEX('Chart of Accounts'!$A$5:$A$3000,MATCH("vat_input",'Chart of Accounts'!$F$5:$F$3000,0))</f>
        <v/>
      </c>
      <c r="U85" s="16">
        <f>INDEX('Chart of Accounts'!$A$5:$A$3000,MATCH("wht_payable",'Chart of Accounts'!$F$5:$F$3000,0))</f>
        <v/>
      </c>
      <c r="V85" s="23">
        <f>IFERROR(INDEX('Chart of Accounts'!$C$5:$C$3000,MATCH(Q85&amp;"",'Chart of Accounts'!$A$5:$A$3000,0))&amp;"|"&amp;INDEX('Chart of Accounts'!$D$5:$D$3000,MATCH(Q85&amp;"",'Chart of Accounts'!$A$5:$A$3000,0)),"")</f>
        <v/>
      </c>
      <c r="W85" s="23">
        <f>IFERROR(INDEX('Chart of Accounts'!$C$5:$C$3000,MATCH(T85&amp;"",'Chart of Accounts'!$A$5:$A$3000,0))&amp;"|"&amp;INDEX('Chart of Accounts'!$D$5:$D$3000,MATCH(T85&amp;"",'Chart of Accounts'!$A$5:$A$3000,0)),"")</f>
        <v/>
      </c>
      <c r="X85" s="23">
        <f>IFERROR(INDEX('Chart of Accounts'!$C$5:$C$3000,MATCH(R85&amp;"",'Chart of Accounts'!$A$5:$A$3000,0))&amp;"|"&amp;INDEX('Chart of Accounts'!$D$5:$D$3000,MATCH(R85&amp;"",'Chart of Accounts'!$A$5:$A$3000,0)),"")</f>
        <v/>
      </c>
      <c r="Y85" s="23">
        <f>IFERROR(INDEX('Chart of Accounts'!$C$5:$C$3000,MATCH(S85&amp;"",'Chart of Accounts'!$A$5:$A$3000,0))&amp;"|"&amp;INDEX('Chart of Accounts'!$D$5:$D$3000,MATCH(S85&amp;"",'Chart of Accounts'!$A$5:$A$3000,0)),"")</f>
        <v/>
      </c>
      <c r="Z85" s="23">
        <f>IFERROR(INDEX('Chart of Accounts'!$C$5:$C$3000,MATCH(U85&amp;"",'Chart of Accounts'!$A$5:$A$3000,0))&amp;"|"&amp;INDEX('Chart of Accounts'!$D$5:$D$3000,MATCH(U85&amp;"",'Chart of Accounts'!$A$5:$A$3000,0)),"")</f>
        <v/>
      </c>
      <c r="AA85" s="23">
        <f>IF(LEFT(V85,8)="Revenue|",-N(F85),0)+IF(LEFT(W85,8)="Revenue|",-N(M85),0)+IF(LEFT(X85,8)="Revenue|",N(O85),0)+IF(LEFT(Y85,8)="Revenue|",N(P85),0)+IF(LEFT(Z85,8)="Revenue|",N(N85),0)</f>
        <v/>
      </c>
      <c r="AB85" s="23">
        <f>IF(LEFT(V85,5)="COGS|",N(F85),0)+IF(LEFT(W85,5)="COGS|",N(M85),0)+IF(LEFT(X85,5)="COGS|",-N(O85),0)+IF(LEFT(Y85,5)="COGS|",-N(P85),0)+IF(LEFT(Z85,5)="COGS|",-N(N85),0)</f>
        <v/>
      </c>
      <c r="AC85" s="23">
        <f>IF(LEFT(V85,8)="Expense|",N(F85),0)+IF(LEFT(W85,8)="Expense|",N(M85),0)+IF(LEFT(X85,8)="Expense|",-N(O85),0)+IF(LEFT(Y85,8)="Expense|",-N(P85),0)+IF(LEFT(Z85,8)="Expense|",-N(N85),0)</f>
        <v/>
      </c>
      <c r="AD85" s="23">
        <f>IF(ISNUMBER(MATCH(V85,{"Expense|employee","Expense|general_admin","Expense|marketing","Expense|utilities","Expense|other_operating"},0)),N(F85),0)+IF(ISNUMBER(MATCH(W85,{"Expense|employee","Expense|general_admin","Expense|marketing","Expense|utilities","Expense|other_operating"},0)),N(M85),0)+IF(ISNUMBER(MATCH(X85,{"Expense|employee","Expense|general_admin","Expense|marketing","Expense|utilities","Expense|other_operating"},0)),-N(O85),0)+IF(ISNUMBER(MATCH(Y85,{"Expense|employee","Expense|general_admin","Expense|marketing","Expense|utilities","Expense|other_operating"},0)),-N(P85),0)+IF(ISNUMBER(MATCH(Z85,{"Expense|employee","Expense|general_admin","Expense|marketing","Expense|utilities","Expense|other_operating"},0)),-N(N85),0)</f>
        <v/>
      </c>
      <c r="AE85" s="23">
        <f>IF(V85="Liability|payable",-N(F85),0)+IF(W85="Liability|payable",-N(M85),0)+IF(X85="Liability|payable",N(O85),0)+IF(Y85="Liability|payable",N(P85),0)+IF(Z85="Liability|payable",N(N85),0)</f>
        <v/>
      </c>
      <c r="AF85" s="23">
        <f>IF(V85="Liability|accrued",-N(F85),0)+IF(W85="Liability|accrued",-N(M85),0)+IF(X85="Liability|accrued",N(O85),0)+IF(Y85="Liability|accrued",N(P85),0)+IF(Z85="Liability|accrued",N(N85),0)</f>
        <v/>
      </c>
      <c r="AG85" s="23">
        <f>IF(AND(N(F85)&lt;&gt;0,V85=""),1,0)+IF(AND(N(M85)&lt;&gt;0,W85=""),1,0)+IF(AND(N(O85)&lt;&gt;0,X85=""),1,0)+IF(AND(N(P85)&lt;&gt;0,Y85=""),1,0)+IF(AND(N(N85)&lt;&gt;0,Z85=""),1,0)</f>
        <v/>
      </c>
    </row>
    <row r="86">
      <c r="A86" s="19" t="n"/>
      <c r="B86" s="14" t="n"/>
      <c r="C86" s="14" t="n"/>
      <c r="D86" s="14" t="n"/>
      <c r="E86" s="14" t="n"/>
      <c r="F86" s="20" t="n"/>
      <c r="G86" s="20" t="n"/>
      <c r="H86" s="14" t="n"/>
      <c r="I86" s="14" t="n"/>
      <c r="J86" s="14" t="n"/>
      <c r="K86" s="14" t="n"/>
      <c r="L86" s="14" t="n"/>
      <c r="M86" s="21">
        <f>ROUND(N(F86)*IFERROR(VLOOKUP(K86,'Tax Codes'!$A$5:$E$300,5,FALSE),0),2)</f>
        <v/>
      </c>
      <c r="N86" s="21">
        <f>ROUND(N(F86)*IFERROR(VLOOKUP(L86,'Tax Codes'!$A$5:$E$300,5,FALSE),0),2)</f>
        <v/>
      </c>
      <c r="O86" s="21">
        <f>IF(G86="",N(F86)+M86-N86,N(G86))</f>
        <v/>
      </c>
      <c r="P86" s="21">
        <f>N(F86)+M86-N86-O86</f>
        <v/>
      </c>
      <c r="Q86" s="16">
        <f>IF(C86="",INDEX('Chart of Accounts'!$A$5:$A$3000,MATCH("other_overhead",'Chart of Accounts'!$F$5:$F$3000,0)),C86&amp;"")</f>
        <v/>
      </c>
      <c r="R86" s="16">
        <f>IF(I86="",INDEX('Chart of Accounts'!$A$5:$A$3000,MATCH("bank",'Chart of Accounts'!$F$5:$F$3000,0)),I86&amp;"")</f>
        <v/>
      </c>
      <c r="S86" s="16">
        <f>IF(J86="",INDEX('Chart of Accounts'!$A$5:$A$3000,MATCH("ap",'Chart of Accounts'!$F$5:$F$3000,0)),J86&amp;"")</f>
        <v/>
      </c>
      <c r="T86" s="16">
        <f>INDEX('Chart of Accounts'!$A$5:$A$3000,MATCH("vat_input",'Chart of Accounts'!$F$5:$F$3000,0))</f>
        <v/>
      </c>
      <c r="U86" s="16">
        <f>INDEX('Chart of Accounts'!$A$5:$A$3000,MATCH("wht_payable",'Chart of Accounts'!$F$5:$F$3000,0))</f>
        <v/>
      </c>
      <c r="V86" s="23">
        <f>IFERROR(INDEX('Chart of Accounts'!$C$5:$C$3000,MATCH(Q86&amp;"",'Chart of Accounts'!$A$5:$A$3000,0))&amp;"|"&amp;INDEX('Chart of Accounts'!$D$5:$D$3000,MATCH(Q86&amp;"",'Chart of Accounts'!$A$5:$A$3000,0)),"")</f>
        <v/>
      </c>
      <c r="W86" s="23">
        <f>IFERROR(INDEX('Chart of Accounts'!$C$5:$C$3000,MATCH(T86&amp;"",'Chart of Accounts'!$A$5:$A$3000,0))&amp;"|"&amp;INDEX('Chart of Accounts'!$D$5:$D$3000,MATCH(T86&amp;"",'Chart of Accounts'!$A$5:$A$3000,0)),"")</f>
        <v/>
      </c>
      <c r="X86" s="23">
        <f>IFERROR(INDEX('Chart of Accounts'!$C$5:$C$3000,MATCH(R86&amp;"",'Chart of Accounts'!$A$5:$A$3000,0))&amp;"|"&amp;INDEX('Chart of Accounts'!$D$5:$D$3000,MATCH(R86&amp;"",'Chart of Accounts'!$A$5:$A$3000,0)),"")</f>
        <v/>
      </c>
      <c r="Y86" s="23">
        <f>IFERROR(INDEX('Chart of Accounts'!$C$5:$C$3000,MATCH(S86&amp;"",'Chart of Accounts'!$A$5:$A$3000,0))&amp;"|"&amp;INDEX('Chart of Accounts'!$D$5:$D$3000,MATCH(S86&amp;"",'Chart of Accounts'!$A$5:$A$3000,0)),"")</f>
        <v/>
      </c>
      <c r="Z86" s="23">
        <f>IFERROR(INDEX('Chart of Accounts'!$C$5:$C$3000,MATCH(U86&amp;"",'Chart of Accounts'!$A$5:$A$3000,0))&amp;"|"&amp;INDEX('Chart of Accounts'!$D$5:$D$3000,MATCH(U86&amp;"",'Chart of Accounts'!$A$5:$A$3000,0)),"")</f>
        <v/>
      </c>
      <c r="AA86" s="23">
        <f>IF(LEFT(V86,8)="Revenue|",-N(F86),0)+IF(LEFT(W86,8)="Revenue|",-N(M86),0)+IF(LEFT(X86,8)="Revenue|",N(O86),0)+IF(LEFT(Y86,8)="Revenue|",N(P86),0)+IF(LEFT(Z86,8)="Revenue|",N(N86),0)</f>
        <v/>
      </c>
      <c r="AB86" s="23">
        <f>IF(LEFT(V86,5)="COGS|",N(F86),0)+IF(LEFT(W86,5)="COGS|",N(M86),0)+IF(LEFT(X86,5)="COGS|",-N(O86),0)+IF(LEFT(Y86,5)="COGS|",-N(P86),0)+IF(LEFT(Z86,5)="COGS|",-N(N86),0)</f>
        <v/>
      </c>
      <c r="AC86" s="23">
        <f>IF(LEFT(V86,8)="Expense|",N(F86),0)+IF(LEFT(W86,8)="Expense|",N(M86),0)+IF(LEFT(X86,8)="Expense|",-N(O86),0)+IF(LEFT(Y86,8)="Expense|",-N(P86),0)+IF(LEFT(Z86,8)="Expense|",-N(N86),0)</f>
        <v/>
      </c>
      <c r="AD86" s="23">
        <f>IF(ISNUMBER(MATCH(V86,{"Expense|employee","Expense|general_admin","Expense|marketing","Expense|utilities","Expense|other_operating"},0)),N(F86),0)+IF(ISNUMBER(MATCH(W86,{"Expense|employee","Expense|general_admin","Expense|marketing","Expense|utilities","Expense|other_operating"},0)),N(M86),0)+IF(ISNUMBER(MATCH(X86,{"Expense|employee","Expense|general_admin","Expense|marketing","Expense|utilities","Expense|other_operating"},0)),-N(O86),0)+IF(ISNUMBER(MATCH(Y86,{"Expense|employee","Expense|general_admin","Expense|marketing","Expense|utilities","Expense|other_operating"},0)),-N(P86),0)+IF(ISNUMBER(MATCH(Z86,{"Expense|employee","Expense|general_admin","Expense|marketing","Expense|utilities","Expense|other_operating"},0)),-N(N86),0)</f>
        <v/>
      </c>
      <c r="AE86" s="23">
        <f>IF(V86="Liability|payable",-N(F86),0)+IF(W86="Liability|payable",-N(M86),0)+IF(X86="Liability|payable",N(O86),0)+IF(Y86="Liability|payable",N(P86),0)+IF(Z86="Liability|payable",N(N86),0)</f>
        <v/>
      </c>
      <c r="AF86" s="23">
        <f>IF(V86="Liability|accrued",-N(F86),0)+IF(W86="Liability|accrued",-N(M86),0)+IF(X86="Liability|accrued",N(O86),0)+IF(Y86="Liability|accrued",N(P86),0)+IF(Z86="Liability|accrued",N(N86),0)</f>
        <v/>
      </c>
      <c r="AG86" s="23">
        <f>IF(AND(N(F86)&lt;&gt;0,V86=""),1,0)+IF(AND(N(M86)&lt;&gt;0,W86=""),1,0)+IF(AND(N(O86)&lt;&gt;0,X86=""),1,0)+IF(AND(N(P86)&lt;&gt;0,Y86=""),1,0)+IF(AND(N(N86)&lt;&gt;0,Z86=""),1,0)</f>
        <v/>
      </c>
    </row>
    <row r="87">
      <c r="A87" s="19" t="n"/>
      <c r="B87" s="14" t="n"/>
      <c r="C87" s="14" t="n"/>
      <c r="D87" s="14" t="n"/>
      <c r="E87" s="14" t="n"/>
      <c r="F87" s="20" t="n"/>
      <c r="G87" s="20" t="n"/>
      <c r="H87" s="14" t="n"/>
      <c r="I87" s="14" t="n"/>
      <c r="J87" s="14" t="n"/>
      <c r="K87" s="14" t="n"/>
      <c r="L87" s="14" t="n"/>
      <c r="M87" s="21">
        <f>ROUND(N(F87)*IFERROR(VLOOKUP(K87,'Tax Codes'!$A$5:$E$300,5,FALSE),0),2)</f>
        <v/>
      </c>
      <c r="N87" s="21">
        <f>ROUND(N(F87)*IFERROR(VLOOKUP(L87,'Tax Codes'!$A$5:$E$300,5,FALSE),0),2)</f>
        <v/>
      </c>
      <c r="O87" s="21">
        <f>IF(G87="",N(F87)+M87-N87,N(G87))</f>
        <v/>
      </c>
      <c r="P87" s="21">
        <f>N(F87)+M87-N87-O87</f>
        <v/>
      </c>
      <c r="Q87" s="16">
        <f>IF(C87="",INDEX('Chart of Accounts'!$A$5:$A$3000,MATCH("other_overhead",'Chart of Accounts'!$F$5:$F$3000,0)),C87&amp;"")</f>
        <v/>
      </c>
      <c r="R87" s="16">
        <f>IF(I87="",INDEX('Chart of Accounts'!$A$5:$A$3000,MATCH("bank",'Chart of Accounts'!$F$5:$F$3000,0)),I87&amp;"")</f>
        <v/>
      </c>
      <c r="S87" s="16">
        <f>IF(J87="",INDEX('Chart of Accounts'!$A$5:$A$3000,MATCH("ap",'Chart of Accounts'!$F$5:$F$3000,0)),J87&amp;"")</f>
        <v/>
      </c>
      <c r="T87" s="16">
        <f>INDEX('Chart of Accounts'!$A$5:$A$3000,MATCH("vat_input",'Chart of Accounts'!$F$5:$F$3000,0))</f>
        <v/>
      </c>
      <c r="U87" s="16">
        <f>INDEX('Chart of Accounts'!$A$5:$A$3000,MATCH("wht_payable",'Chart of Accounts'!$F$5:$F$3000,0))</f>
        <v/>
      </c>
      <c r="V87" s="23">
        <f>IFERROR(INDEX('Chart of Accounts'!$C$5:$C$3000,MATCH(Q87&amp;"",'Chart of Accounts'!$A$5:$A$3000,0))&amp;"|"&amp;INDEX('Chart of Accounts'!$D$5:$D$3000,MATCH(Q87&amp;"",'Chart of Accounts'!$A$5:$A$3000,0)),"")</f>
        <v/>
      </c>
      <c r="W87" s="23">
        <f>IFERROR(INDEX('Chart of Accounts'!$C$5:$C$3000,MATCH(T87&amp;"",'Chart of Accounts'!$A$5:$A$3000,0))&amp;"|"&amp;INDEX('Chart of Accounts'!$D$5:$D$3000,MATCH(T87&amp;"",'Chart of Accounts'!$A$5:$A$3000,0)),"")</f>
        <v/>
      </c>
      <c r="X87" s="23">
        <f>IFERROR(INDEX('Chart of Accounts'!$C$5:$C$3000,MATCH(R87&amp;"",'Chart of Accounts'!$A$5:$A$3000,0))&amp;"|"&amp;INDEX('Chart of Accounts'!$D$5:$D$3000,MATCH(R87&amp;"",'Chart of Accounts'!$A$5:$A$3000,0)),"")</f>
        <v/>
      </c>
      <c r="Y87" s="23">
        <f>IFERROR(INDEX('Chart of Accounts'!$C$5:$C$3000,MATCH(S87&amp;"",'Chart of Accounts'!$A$5:$A$3000,0))&amp;"|"&amp;INDEX('Chart of Accounts'!$D$5:$D$3000,MATCH(S87&amp;"",'Chart of Accounts'!$A$5:$A$3000,0)),"")</f>
        <v/>
      </c>
      <c r="Z87" s="23">
        <f>IFERROR(INDEX('Chart of Accounts'!$C$5:$C$3000,MATCH(U87&amp;"",'Chart of Accounts'!$A$5:$A$3000,0))&amp;"|"&amp;INDEX('Chart of Accounts'!$D$5:$D$3000,MATCH(U87&amp;"",'Chart of Accounts'!$A$5:$A$3000,0)),"")</f>
        <v/>
      </c>
      <c r="AA87" s="23">
        <f>IF(LEFT(V87,8)="Revenue|",-N(F87),0)+IF(LEFT(W87,8)="Revenue|",-N(M87),0)+IF(LEFT(X87,8)="Revenue|",N(O87),0)+IF(LEFT(Y87,8)="Revenue|",N(P87),0)+IF(LEFT(Z87,8)="Revenue|",N(N87),0)</f>
        <v/>
      </c>
      <c r="AB87" s="23">
        <f>IF(LEFT(V87,5)="COGS|",N(F87),0)+IF(LEFT(W87,5)="COGS|",N(M87),0)+IF(LEFT(X87,5)="COGS|",-N(O87),0)+IF(LEFT(Y87,5)="COGS|",-N(P87),0)+IF(LEFT(Z87,5)="COGS|",-N(N87),0)</f>
        <v/>
      </c>
      <c r="AC87" s="23">
        <f>IF(LEFT(V87,8)="Expense|",N(F87),0)+IF(LEFT(W87,8)="Expense|",N(M87),0)+IF(LEFT(X87,8)="Expense|",-N(O87),0)+IF(LEFT(Y87,8)="Expense|",-N(P87),0)+IF(LEFT(Z87,8)="Expense|",-N(N87),0)</f>
        <v/>
      </c>
      <c r="AD87" s="23">
        <f>IF(ISNUMBER(MATCH(V87,{"Expense|employee","Expense|general_admin","Expense|marketing","Expense|utilities","Expense|other_operating"},0)),N(F87),0)+IF(ISNUMBER(MATCH(W87,{"Expense|employee","Expense|general_admin","Expense|marketing","Expense|utilities","Expense|other_operating"},0)),N(M87),0)+IF(ISNUMBER(MATCH(X87,{"Expense|employee","Expense|general_admin","Expense|marketing","Expense|utilities","Expense|other_operating"},0)),-N(O87),0)+IF(ISNUMBER(MATCH(Y87,{"Expense|employee","Expense|general_admin","Expense|marketing","Expense|utilities","Expense|other_operating"},0)),-N(P87),0)+IF(ISNUMBER(MATCH(Z87,{"Expense|employee","Expense|general_admin","Expense|marketing","Expense|utilities","Expense|other_operating"},0)),-N(N87),0)</f>
        <v/>
      </c>
      <c r="AE87" s="23">
        <f>IF(V87="Liability|payable",-N(F87),0)+IF(W87="Liability|payable",-N(M87),0)+IF(X87="Liability|payable",N(O87),0)+IF(Y87="Liability|payable",N(P87),0)+IF(Z87="Liability|payable",N(N87),0)</f>
        <v/>
      </c>
      <c r="AF87" s="23">
        <f>IF(V87="Liability|accrued",-N(F87),0)+IF(W87="Liability|accrued",-N(M87),0)+IF(X87="Liability|accrued",N(O87),0)+IF(Y87="Liability|accrued",N(P87),0)+IF(Z87="Liability|accrued",N(N87),0)</f>
        <v/>
      </c>
      <c r="AG87" s="23">
        <f>IF(AND(N(F87)&lt;&gt;0,V87=""),1,0)+IF(AND(N(M87)&lt;&gt;0,W87=""),1,0)+IF(AND(N(O87)&lt;&gt;0,X87=""),1,0)+IF(AND(N(P87)&lt;&gt;0,Y87=""),1,0)+IF(AND(N(N87)&lt;&gt;0,Z87=""),1,0)</f>
        <v/>
      </c>
    </row>
    <row r="88">
      <c r="A88" s="19" t="n"/>
      <c r="B88" s="14" t="n"/>
      <c r="C88" s="14" t="n"/>
      <c r="D88" s="14" t="n"/>
      <c r="E88" s="14" t="n"/>
      <c r="F88" s="20" t="n"/>
      <c r="G88" s="20" t="n"/>
      <c r="H88" s="14" t="n"/>
      <c r="I88" s="14" t="n"/>
      <c r="J88" s="14" t="n"/>
      <c r="K88" s="14" t="n"/>
      <c r="L88" s="14" t="n"/>
      <c r="M88" s="21">
        <f>ROUND(N(F88)*IFERROR(VLOOKUP(K88,'Tax Codes'!$A$5:$E$300,5,FALSE),0),2)</f>
        <v/>
      </c>
      <c r="N88" s="21">
        <f>ROUND(N(F88)*IFERROR(VLOOKUP(L88,'Tax Codes'!$A$5:$E$300,5,FALSE),0),2)</f>
        <v/>
      </c>
      <c r="O88" s="21">
        <f>IF(G88="",N(F88)+M88-N88,N(G88))</f>
        <v/>
      </c>
      <c r="P88" s="21">
        <f>N(F88)+M88-N88-O88</f>
        <v/>
      </c>
      <c r="Q88" s="16">
        <f>IF(C88="",INDEX('Chart of Accounts'!$A$5:$A$3000,MATCH("other_overhead",'Chart of Accounts'!$F$5:$F$3000,0)),C88&amp;"")</f>
        <v/>
      </c>
      <c r="R88" s="16">
        <f>IF(I88="",INDEX('Chart of Accounts'!$A$5:$A$3000,MATCH("bank",'Chart of Accounts'!$F$5:$F$3000,0)),I88&amp;"")</f>
        <v/>
      </c>
      <c r="S88" s="16">
        <f>IF(J88="",INDEX('Chart of Accounts'!$A$5:$A$3000,MATCH("ap",'Chart of Accounts'!$F$5:$F$3000,0)),J88&amp;"")</f>
        <v/>
      </c>
      <c r="T88" s="16">
        <f>INDEX('Chart of Accounts'!$A$5:$A$3000,MATCH("vat_input",'Chart of Accounts'!$F$5:$F$3000,0))</f>
        <v/>
      </c>
      <c r="U88" s="16">
        <f>INDEX('Chart of Accounts'!$A$5:$A$3000,MATCH("wht_payable",'Chart of Accounts'!$F$5:$F$3000,0))</f>
        <v/>
      </c>
      <c r="V88" s="23">
        <f>IFERROR(INDEX('Chart of Accounts'!$C$5:$C$3000,MATCH(Q88&amp;"",'Chart of Accounts'!$A$5:$A$3000,0))&amp;"|"&amp;INDEX('Chart of Accounts'!$D$5:$D$3000,MATCH(Q88&amp;"",'Chart of Accounts'!$A$5:$A$3000,0)),"")</f>
        <v/>
      </c>
      <c r="W88" s="23">
        <f>IFERROR(INDEX('Chart of Accounts'!$C$5:$C$3000,MATCH(T88&amp;"",'Chart of Accounts'!$A$5:$A$3000,0))&amp;"|"&amp;INDEX('Chart of Accounts'!$D$5:$D$3000,MATCH(T88&amp;"",'Chart of Accounts'!$A$5:$A$3000,0)),"")</f>
        <v/>
      </c>
      <c r="X88" s="23">
        <f>IFERROR(INDEX('Chart of Accounts'!$C$5:$C$3000,MATCH(R88&amp;"",'Chart of Accounts'!$A$5:$A$3000,0))&amp;"|"&amp;INDEX('Chart of Accounts'!$D$5:$D$3000,MATCH(R88&amp;"",'Chart of Accounts'!$A$5:$A$3000,0)),"")</f>
        <v/>
      </c>
      <c r="Y88" s="23">
        <f>IFERROR(INDEX('Chart of Accounts'!$C$5:$C$3000,MATCH(S88&amp;"",'Chart of Accounts'!$A$5:$A$3000,0))&amp;"|"&amp;INDEX('Chart of Accounts'!$D$5:$D$3000,MATCH(S88&amp;"",'Chart of Accounts'!$A$5:$A$3000,0)),"")</f>
        <v/>
      </c>
      <c r="Z88" s="23">
        <f>IFERROR(INDEX('Chart of Accounts'!$C$5:$C$3000,MATCH(U88&amp;"",'Chart of Accounts'!$A$5:$A$3000,0))&amp;"|"&amp;INDEX('Chart of Accounts'!$D$5:$D$3000,MATCH(U88&amp;"",'Chart of Accounts'!$A$5:$A$3000,0)),"")</f>
        <v/>
      </c>
      <c r="AA88" s="23">
        <f>IF(LEFT(V88,8)="Revenue|",-N(F88),0)+IF(LEFT(W88,8)="Revenue|",-N(M88),0)+IF(LEFT(X88,8)="Revenue|",N(O88),0)+IF(LEFT(Y88,8)="Revenue|",N(P88),0)+IF(LEFT(Z88,8)="Revenue|",N(N88),0)</f>
        <v/>
      </c>
      <c r="AB88" s="23">
        <f>IF(LEFT(V88,5)="COGS|",N(F88),0)+IF(LEFT(W88,5)="COGS|",N(M88),0)+IF(LEFT(X88,5)="COGS|",-N(O88),0)+IF(LEFT(Y88,5)="COGS|",-N(P88),0)+IF(LEFT(Z88,5)="COGS|",-N(N88),0)</f>
        <v/>
      </c>
      <c r="AC88" s="23">
        <f>IF(LEFT(V88,8)="Expense|",N(F88),0)+IF(LEFT(W88,8)="Expense|",N(M88),0)+IF(LEFT(X88,8)="Expense|",-N(O88),0)+IF(LEFT(Y88,8)="Expense|",-N(P88),0)+IF(LEFT(Z88,8)="Expense|",-N(N88),0)</f>
        <v/>
      </c>
      <c r="AD88" s="23">
        <f>IF(ISNUMBER(MATCH(V88,{"Expense|employee","Expense|general_admin","Expense|marketing","Expense|utilities","Expense|other_operating"},0)),N(F88),0)+IF(ISNUMBER(MATCH(W88,{"Expense|employee","Expense|general_admin","Expense|marketing","Expense|utilities","Expense|other_operating"},0)),N(M88),0)+IF(ISNUMBER(MATCH(X88,{"Expense|employee","Expense|general_admin","Expense|marketing","Expense|utilities","Expense|other_operating"},0)),-N(O88),0)+IF(ISNUMBER(MATCH(Y88,{"Expense|employee","Expense|general_admin","Expense|marketing","Expense|utilities","Expense|other_operating"},0)),-N(P88),0)+IF(ISNUMBER(MATCH(Z88,{"Expense|employee","Expense|general_admin","Expense|marketing","Expense|utilities","Expense|other_operating"},0)),-N(N88),0)</f>
        <v/>
      </c>
      <c r="AE88" s="23">
        <f>IF(V88="Liability|payable",-N(F88),0)+IF(W88="Liability|payable",-N(M88),0)+IF(X88="Liability|payable",N(O88),0)+IF(Y88="Liability|payable",N(P88),0)+IF(Z88="Liability|payable",N(N88),0)</f>
        <v/>
      </c>
      <c r="AF88" s="23">
        <f>IF(V88="Liability|accrued",-N(F88),0)+IF(W88="Liability|accrued",-N(M88),0)+IF(X88="Liability|accrued",N(O88),0)+IF(Y88="Liability|accrued",N(P88),0)+IF(Z88="Liability|accrued",N(N88),0)</f>
        <v/>
      </c>
      <c r="AG88" s="23">
        <f>IF(AND(N(F88)&lt;&gt;0,V88=""),1,0)+IF(AND(N(M88)&lt;&gt;0,W88=""),1,0)+IF(AND(N(O88)&lt;&gt;0,X88=""),1,0)+IF(AND(N(P88)&lt;&gt;0,Y88=""),1,0)+IF(AND(N(N88)&lt;&gt;0,Z88=""),1,0)</f>
        <v/>
      </c>
    </row>
    <row r="89">
      <c r="A89" s="19" t="n"/>
      <c r="B89" s="14" t="n"/>
      <c r="C89" s="14" t="n"/>
      <c r="D89" s="14" t="n"/>
      <c r="E89" s="14" t="n"/>
      <c r="F89" s="20" t="n"/>
      <c r="G89" s="20" t="n"/>
      <c r="H89" s="14" t="n"/>
      <c r="I89" s="14" t="n"/>
      <c r="J89" s="14" t="n"/>
      <c r="K89" s="14" t="n"/>
      <c r="L89" s="14" t="n"/>
      <c r="M89" s="21">
        <f>ROUND(N(F89)*IFERROR(VLOOKUP(K89,'Tax Codes'!$A$5:$E$300,5,FALSE),0),2)</f>
        <v/>
      </c>
      <c r="N89" s="21">
        <f>ROUND(N(F89)*IFERROR(VLOOKUP(L89,'Tax Codes'!$A$5:$E$300,5,FALSE),0),2)</f>
        <v/>
      </c>
      <c r="O89" s="21">
        <f>IF(G89="",N(F89)+M89-N89,N(G89))</f>
        <v/>
      </c>
      <c r="P89" s="21">
        <f>N(F89)+M89-N89-O89</f>
        <v/>
      </c>
      <c r="Q89" s="16">
        <f>IF(C89="",INDEX('Chart of Accounts'!$A$5:$A$3000,MATCH("other_overhead",'Chart of Accounts'!$F$5:$F$3000,0)),C89&amp;"")</f>
        <v/>
      </c>
      <c r="R89" s="16">
        <f>IF(I89="",INDEX('Chart of Accounts'!$A$5:$A$3000,MATCH("bank",'Chart of Accounts'!$F$5:$F$3000,0)),I89&amp;"")</f>
        <v/>
      </c>
      <c r="S89" s="16">
        <f>IF(J89="",INDEX('Chart of Accounts'!$A$5:$A$3000,MATCH("ap",'Chart of Accounts'!$F$5:$F$3000,0)),J89&amp;"")</f>
        <v/>
      </c>
      <c r="T89" s="16">
        <f>INDEX('Chart of Accounts'!$A$5:$A$3000,MATCH("vat_input",'Chart of Accounts'!$F$5:$F$3000,0))</f>
        <v/>
      </c>
      <c r="U89" s="16">
        <f>INDEX('Chart of Accounts'!$A$5:$A$3000,MATCH("wht_payable",'Chart of Accounts'!$F$5:$F$3000,0))</f>
        <v/>
      </c>
      <c r="V89" s="23">
        <f>IFERROR(INDEX('Chart of Accounts'!$C$5:$C$3000,MATCH(Q89&amp;"",'Chart of Accounts'!$A$5:$A$3000,0))&amp;"|"&amp;INDEX('Chart of Accounts'!$D$5:$D$3000,MATCH(Q89&amp;"",'Chart of Accounts'!$A$5:$A$3000,0)),"")</f>
        <v/>
      </c>
      <c r="W89" s="23">
        <f>IFERROR(INDEX('Chart of Accounts'!$C$5:$C$3000,MATCH(T89&amp;"",'Chart of Accounts'!$A$5:$A$3000,0))&amp;"|"&amp;INDEX('Chart of Accounts'!$D$5:$D$3000,MATCH(T89&amp;"",'Chart of Accounts'!$A$5:$A$3000,0)),"")</f>
        <v/>
      </c>
      <c r="X89" s="23">
        <f>IFERROR(INDEX('Chart of Accounts'!$C$5:$C$3000,MATCH(R89&amp;"",'Chart of Accounts'!$A$5:$A$3000,0))&amp;"|"&amp;INDEX('Chart of Accounts'!$D$5:$D$3000,MATCH(R89&amp;"",'Chart of Accounts'!$A$5:$A$3000,0)),"")</f>
        <v/>
      </c>
      <c r="Y89" s="23">
        <f>IFERROR(INDEX('Chart of Accounts'!$C$5:$C$3000,MATCH(S89&amp;"",'Chart of Accounts'!$A$5:$A$3000,0))&amp;"|"&amp;INDEX('Chart of Accounts'!$D$5:$D$3000,MATCH(S89&amp;"",'Chart of Accounts'!$A$5:$A$3000,0)),"")</f>
        <v/>
      </c>
      <c r="Z89" s="23">
        <f>IFERROR(INDEX('Chart of Accounts'!$C$5:$C$3000,MATCH(U89&amp;"",'Chart of Accounts'!$A$5:$A$3000,0))&amp;"|"&amp;INDEX('Chart of Accounts'!$D$5:$D$3000,MATCH(U89&amp;"",'Chart of Accounts'!$A$5:$A$3000,0)),"")</f>
        <v/>
      </c>
      <c r="AA89" s="23">
        <f>IF(LEFT(V89,8)="Revenue|",-N(F89),0)+IF(LEFT(W89,8)="Revenue|",-N(M89),0)+IF(LEFT(X89,8)="Revenue|",N(O89),0)+IF(LEFT(Y89,8)="Revenue|",N(P89),0)+IF(LEFT(Z89,8)="Revenue|",N(N89),0)</f>
        <v/>
      </c>
      <c r="AB89" s="23">
        <f>IF(LEFT(V89,5)="COGS|",N(F89),0)+IF(LEFT(W89,5)="COGS|",N(M89),0)+IF(LEFT(X89,5)="COGS|",-N(O89),0)+IF(LEFT(Y89,5)="COGS|",-N(P89),0)+IF(LEFT(Z89,5)="COGS|",-N(N89),0)</f>
        <v/>
      </c>
      <c r="AC89" s="23">
        <f>IF(LEFT(V89,8)="Expense|",N(F89),0)+IF(LEFT(W89,8)="Expense|",N(M89),0)+IF(LEFT(X89,8)="Expense|",-N(O89),0)+IF(LEFT(Y89,8)="Expense|",-N(P89),0)+IF(LEFT(Z89,8)="Expense|",-N(N89),0)</f>
        <v/>
      </c>
      <c r="AD89" s="23">
        <f>IF(ISNUMBER(MATCH(V89,{"Expense|employee","Expense|general_admin","Expense|marketing","Expense|utilities","Expense|other_operating"},0)),N(F89),0)+IF(ISNUMBER(MATCH(W89,{"Expense|employee","Expense|general_admin","Expense|marketing","Expense|utilities","Expense|other_operating"},0)),N(M89),0)+IF(ISNUMBER(MATCH(X89,{"Expense|employee","Expense|general_admin","Expense|marketing","Expense|utilities","Expense|other_operating"},0)),-N(O89),0)+IF(ISNUMBER(MATCH(Y89,{"Expense|employee","Expense|general_admin","Expense|marketing","Expense|utilities","Expense|other_operating"},0)),-N(P89),0)+IF(ISNUMBER(MATCH(Z89,{"Expense|employee","Expense|general_admin","Expense|marketing","Expense|utilities","Expense|other_operating"},0)),-N(N89),0)</f>
        <v/>
      </c>
      <c r="AE89" s="23">
        <f>IF(V89="Liability|payable",-N(F89),0)+IF(W89="Liability|payable",-N(M89),0)+IF(X89="Liability|payable",N(O89),0)+IF(Y89="Liability|payable",N(P89),0)+IF(Z89="Liability|payable",N(N89),0)</f>
        <v/>
      </c>
      <c r="AF89" s="23">
        <f>IF(V89="Liability|accrued",-N(F89),0)+IF(W89="Liability|accrued",-N(M89),0)+IF(X89="Liability|accrued",N(O89),0)+IF(Y89="Liability|accrued",N(P89),0)+IF(Z89="Liability|accrued",N(N89),0)</f>
        <v/>
      </c>
      <c r="AG89" s="23">
        <f>IF(AND(N(F89)&lt;&gt;0,V89=""),1,0)+IF(AND(N(M89)&lt;&gt;0,W89=""),1,0)+IF(AND(N(O89)&lt;&gt;0,X89=""),1,0)+IF(AND(N(P89)&lt;&gt;0,Y89=""),1,0)+IF(AND(N(N89)&lt;&gt;0,Z89=""),1,0)</f>
        <v/>
      </c>
    </row>
    <row r="90">
      <c r="A90" s="19" t="n"/>
      <c r="B90" s="14" t="n"/>
      <c r="C90" s="14" t="n"/>
      <c r="D90" s="14" t="n"/>
      <c r="E90" s="14" t="n"/>
      <c r="F90" s="20" t="n"/>
      <c r="G90" s="20" t="n"/>
      <c r="H90" s="14" t="n"/>
      <c r="I90" s="14" t="n"/>
      <c r="J90" s="14" t="n"/>
      <c r="K90" s="14" t="n"/>
      <c r="L90" s="14" t="n"/>
      <c r="M90" s="21">
        <f>ROUND(N(F90)*IFERROR(VLOOKUP(K90,'Tax Codes'!$A$5:$E$300,5,FALSE),0),2)</f>
        <v/>
      </c>
      <c r="N90" s="21">
        <f>ROUND(N(F90)*IFERROR(VLOOKUP(L90,'Tax Codes'!$A$5:$E$300,5,FALSE),0),2)</f>
        <v/>
      </c>
      <c r="O90" s="21">
        <f>IF(G90="",N(F90)+M90-N90,N(G90))</f>
        <v/>
      </c>
      <c r="P90" s="21">
        <f>N(F90)+M90-N90-O90</f>
        <v/>
      </c>
      <c r="Q90" s="16">
        <f>IF(C90="",INDEX('Chart of Accounts'!$A$5:$A$3000,MATCH("other_overhead",'Chart of Accounts'!$F$5:$F$3000,0)),C90&amp;"")</f>
        <v/>
      </c>
      <c r="R90" s="16">
        <f>IF(I90="",INDEX('Chart of Accounts'!$A$5:$A$3000,MATCH("bank",'Chart of Accounts'!$F$5:$F$3000,0)),I90&amp;"")</f>
        <v/>
      </c>
      <c r="S90" s="16">
        <f>IF(J90="",INDEX('Chart of Accounts'!$A$5:$A$3000,MATCH("ap",'Chart of Accounts'!$F$5:$F$3000,0)),J90&amp;"")</f>
        <v/>
      </c>
      <c r="T90" s="16">
        <f>INDEX('Chart of Accounts'!$A$5:$A$3000,MATCH("vat_input",'Chart of Accounts'!$F$5:$F$3000,0))</f>
        <v/>
      </c>
      <c r="U90" s="16">
        <f>INDEX('Chart of Accounts'!$A$5:$A$3000,MATCH("wht_payable",'Chart of Accounts'!$F$5:$F$3000,0))</f>
        <v/>
      </c>
      <c r="V90" s="23">
        <f>IFERROR(INDEX('Chart of Accounts'!$C$5:$C$3000,MATCH(Q90&amp;"",'Chart of Accounts'!$A$5:$A$3000,0))&amp;"|"&amp;INDEX('Chart of Accounts'!$D$5:$D$3000,MATCH(Q90&amp;"",'Chart of Accounts'!$A$5:$A$3000,0)),"")</f>
        <v/>
      </c>
      <c r="W90" s="23">
        <f>IFERROR(INDEX('Chart of Accounts'!$C$5:$C$3000,MATCH(T90&amp;"",'Chart of Accounts'!$A$5:$A$3000,0))&amp;"|"&amp;INDEX('Chart of Accounts'!$D$5:$D$3000,MATCH(T90&amp;"",'Chart of Accounts'!$A$5:$A$3000,0)),"")</f>
        <v/>
      </c>
      <c r="X90" s="23">
        <f>IFERROR(INDEX('Chart of Accounts'!$C$5:$C$3000,MATCH(R90&amp;"",'Chart of Accounts'!$A$5:$A$3000,0))&amp;"|"&amp;INDEX('Chart of Accounts'!$D$5:$D$3000,MATCH(R90&amp;"",'Chart of Accounts'!$A$5:$A$3000,0)),"")</f>
        <v/>
      </c>
      <c r="Y90" s="23">
        <f>IFERROR(INDEX('Chart of Accounts'!$C$5:$C$3000,MATCH(S90&amp;"",'Chart of Accounts'!$A$5:$A$3000,0))&amp;"|"&amp;INDEX('Chart of Accounts'!$D$5:$D$3000,MATCH(S90&amp;"",'Chart of Accounts'!$A$5:$A$3000,0)),"")</f>
        <v/>
      </c>
      <c r="Z90" s="23">
        <f>IFERROR(INDEX('Chart of Accounts'!$C$5:$C$3000,MATCH(U90&amp;"",'Chart of Accounts'!$A$5:$A$3000,0))&amp;"|"&amp;INDEX('Chart of Accounts'!$D$5:$D$3000,MATCH(U90&amp;"",'Chart of Accounts'!$A$5:$A$3000,0)),"")</f>
        <v/>
      </c>
      <c r="AA90" s="23">
        <f>IF(LEFT(V90,8)="Revenue|",-N(F90),0)+IF(LEFT(W90,8)="Revenue|",-N(M90),0)+IF(LEFT(X90,8)="Revenue|",N(O90),0)+IF(LEFT(Y90,8)="Revenue|",N(P90),0)+IF(LEFT(Z90,8)="Revenue|",N(N90),0)</f>
        <v/>
      </c>
      <c r="AB90" s="23">
        <f>IF(LEFT(V90,5)="COGS|",N(F90),0)+IF(LEFT(W90,5)="COGS|",N(M90),0)+IF(LEFT(X90,5)="COGS|",-N(O90),0)+IF(LEFT(Y90,5)="COGS|",-N(P90),0)+IF(LEFT(Z90,5)="COGS|",-N(N90),0)</f>
        <v/>
      </c>
      <c r="AC90" s="23">
        <f>IF(LEFT(V90,8)="Expense|",N(F90),0)+IF(LEFT(W90,8)="Expense|",N(M90),0)+IF(LEFT(X90,8)="Expense|",-N(O90),0)+IF(LEFT(Y90,8)="Expense|",-N(P90),0)+IF(LEFT(Z90,8)="Expense|",-N(N90),0)</f>
        <v/>
      </c>
      <c r="AD90" s="23">
        <f>IF(ISNUMBER(MATCH(V90,{"Expense|employee","Expense|general_admin","Expense|marketing","Expense|utilities","Expense|other_operating"},0)),N(F90),0)+IF(ISNUMBER(MATCH(W90,{"Expense|employee","Expense|general_admin","Expense|marketing","Expense|utilities","Expense|other_operating"},0)),N(M90),0)+IF(ISNUMBER(MATCH(X90,{"Expense|employee","Expense|general_admin","Expense|marketing","Expense|utilities","Expense|other_operating"},0)),-N(O90),0)+IF(ISNUMBER(MATCH(Y90,{"Expense|employee","Expense|general_admin","Expense|marketing","Expense|utilities","Expense|other_operating"},0)),-N(P90),0)+IF(ISNUMBER(MATCH(Z90,{"Expense|employee","Expense|general_admin","Expense|marketing","Expense|utilities","Expense|other_operating"},0)),-N(N90),0)</f>
        <v/>
      </c>
      <c r="AE90" s="23">
        <f>IF(V90="Liability|payable",-N(F90),0)+IF(W90="Liability|payable",-N(M90),0)+IF(X90="Liability|payable",N(O90),0)+IF(Y90="Liability|payable",N(P90),0)+IF(Z90="Liability|payable",N(N90),0)</f>
        <v/>
      </c>
      <c r="AF90" s="23">
        <f>IF(V90="Liability|accrued",-N(F90),0)+IF(W90="Liability|accrued",-N(M90),0)+IF(X90="Liability|accrued",N(O90),0)+IF(Y90="Liability|accrued",N(P90),0)+IF(Z90="Liability|accrued",N(N90),0)</f>
        <v/>
      </c>
      <c r="AG90" s="23">
        <f>IF(AND(N(F90)&lt;&gt;0,V90=""),1,0)+IF(AND(N(M90)&lt;&gt;0,W90=""),1,0)+IF(AND(N(O90)&lt;&gt;0,X90=""),1,0)+IF(AND(N(P90)&lt;&gt;0,Y90=""),1,0)+IF(AND(N(N90)&lt;&gt;0,Z90=""),1,0)</f>
        <v/>
      </c>
    </row>
    <row r="91">
      <c r="A91" s="19" t="n"/>
      <c r="B91" s="14" t="n"/>
      <c r="C91" s="14" t="n"/>
      <c r="D91" s="14" t="n"/>
      <c r="E91" s="14" t="n"/>
      <c r="F91" s="20" t="n"/>
      <c r="G91" s="20" t="n"/>
      <c r="H91" s="14" t="n"/>
      <c r="I91" s="14" t="n"/>
      <c r="J91" s="14" t="n"/>
      <c r="K91" s="14" t="n"/>
      <c r="L91" s="14" t="n"/>
      <c r="M91" s="21">
        <f>ROUND(N(F91)*IFERROR(VLOOKUP(K91,'Tax Codes'!$A$5:$E$300,5,FALSE),0),2)</f>
        <v/>
      </c>
      <c r="N91" s="21">
        <f>ROUND(N(F91)*IFERROR(VLOOKUP(L91,'Tax Codes'!$A$5:$E$300,5,FALSE),0),2)</f>
        <v/>
      </c>
      <c r="O91" s="21">
        <f>IF(G91="",N(F91)+M91-N91,N(G91))</f>
        <v/>
      </c>
      <c r="P91" s="21">
        <f>N(F91)+M91-N91-O91</f>
        <v/>
      </c>
      <c r="Q91" s="16">
        <f>IF(C91="",INDEX('Chart of Accounts'!$A$5:$A$3000,MATCH("other_overhead",'Chart of Accounts'!$F$5:$F$3000,0)),C91&amp;"")</f>
        <v/>
      </c>
      <c r="R91" s="16">
        <f>IF(I91="",INDEX('Chart of Accounts'!$A$5:$A$3000,MATCH("bank",'Chart of Accounts'!$F$5:$F$3000,0)),I91&amp;"")</f>
        <v/>
      </c>
      <c r="S91" s="16">
        <f>IF(J91="",INDEX('Chart of Accounts'!$A$5:$A$3000,MATCH("ap",'Chart of Accounts'!$F$5:$F$3000,0)),J91&amp;"")</f>
        <v/>
      </c>
      <c r="T91" s="16">
        <f>INDEX('Chart of Accounts'!$A$5:$A$3000,MATCH("vat_input",'Chart of Accounts'!$F$5:$F$3000,0))</f>
        <v/>
      </c>
      <c r="U91" s="16">
        <f>INDEX('Chart of Accounts'!$A$5:$A$3000,MATCH("wht_payable",'Chart of Accounts'!$F$5:$F$3000,0))</f>
        <v/>
      </c>
      <c r="V91" s="23">
        <f>IFERROR(INDEX('Chart of Accounts'!$C$5:$C$3000,MATCH(Q91&amp;"",'Chart of Accounts'!$A$5:$A$3000,0))&amp;"|"&amp;INDEX('Chart of Accounts'!$D$5:$D$3000,MATCH(Q91&amp;"",'Chart of Accounts'!$A$5:$A$3000,0)),"")</f>
        <v/>
      </c>
      <c r="W91" s="23">
        <f>IFERROR(INDEX('Chart of Accounts'!$C$5:$C$3000,MATCH(T91&amp;"",'Chart of Accounts'!$A$5:$A$3000,0))&amp;"|"&amp;INDEX('Chart of Accounts'!$D$5:$D$3000,MATCH(T91&amp;"",'Chart of Accounts'!$A$5:$A$3000,0)),"")</f>
        <v/>
      </c>
      <c r="X91" s="23">
        <f>IFERROR(INDEX('Chart of Accounts'!$C$5:$C$3000,MATCH(R91&amp;"",'Chart of Accounts'!$A$5:$A$3000,0))&amp;"|"&amp;INDEX('Chart of Accounts'!$D$5:$D$3000,MATCH(R91&amp;"",'Chart of Accounts'!$A$5:$A$3000,0)),"")</f>
        <v/>
      </c>
      <c r="Y91" s="23">
        <f>IFERROR(INDEX('Chart of Accounts'!$C$5:$C$3000,MATCH(S91&amp;"",'Chart of Accounts'!$A$5:$A$3000,0))&amp;"|"&amp;INDEX('Chart of Accounts'!$D$5:$D$3000,MATCH(S91&amp;"",'Chart of Accounts'!$A$5:$A$3000,0)),"")</f>
        <v/>
      </c>
      <c r="Z91" s="23">
        <f>IFERROR(INDEX('Chart of Accounts'!$C$5:$C$3000,MATCH(U91&amp;"",'Chart of Accounts'!$A$5:$A$3000,0))&amp;"|"&amp;INDEX('Chart of Accounts'!$D$5:$D$3000,MATCH(U91&amp;"",'Chart of Accounts'!$A$5:$A$3000,0)),"")</f>
        <v/>
      </c>
      <c r="AA91" s="23">
        <f>IF(LEFT(V91,8)="Revenue|",-N(F91),0)+IF(LEFT(W91,8)="Revenue|",-N(M91),0)+IF(LEFT(X91,8)="Revenue|",N(O91),0)+IF(LEFT(Y91,8)="Revenue|",N(P91),0)+IF(LEFT(Z91,8)="Revenue|",N(N91),0)</f>
        <v/>
      </c>
      <c r="AB91" s="23">
        <f>IF(LEFT(V91,5)="COGS|",N(F91),0)+IF(LEFT(W91,5)="COGS|",N(M91),0)+IF(LEFT(X91,5)="COGS|",-N(O91),0)+IF(LEFT(Y91,5)="COGS|",-N(P91),0)+IF(LEFT(Z91,5)="COGS|",-N(N91),0)</f>
        <v/>
      </c>
      <c r="AC91" s="23">
        <f>IF(LEFT(V91,8)="Expense|",N(F91),0)+IF(LEFT(W91,8)="Expense|",N(M91),0)+IF(LEFT(X91,8)="Expense|",-N(O91),0)+IF(LEFT(Y91,8)="Expense|",-N(P91),0)+IF(LEFT(Z91,8)="Expense|",-N(N91),0)</f>
        <v/>
      </c>
      <c r="AD91" s="23">
        <f>IF(ISNUMBER(MATCH(V91,{"Expense|employee","Expense|general_admin","Expense|marketing","Expense|utilities","Expense|other_operating"},0)),N(F91),0)+IF(ISNUMBER(MATCH(W91,{"Expense|employee","Expense|general_admin","Expense|marketing","Expense|utilities","Expense|other_operating"},0)),N(M91),0)+IF(ISNUMBER(MATCH(X91,{"Expense|employee","Expense|general_admin","Expense|marketing","Expense|utilities","Expense|other_operating"},0)),-N(O91),0)+IF(ISNUMBER(MATCH(Y91,{"Expense|employee","Expense|general_admin","Expense|marketing","Expense|utilities","Expense|other_operating"},0)),-N(P91),0)+IF(ISNUMBER(MATCH(Z91,{"Expense|employee","Expense|general_admin","Expense|marketing","Expense|utilities","Expense|other_operating"},0)),-N(N91),0)</f>
        <v/>
      </c>
      <c r="AE91" s="23">
        <f>IF(V91="Liability|payable",-N(F91),0)+IF(W91="Liability|payable",-N(M91),0)+IF(X91="Liability|payable",N(O91),0)+IF(Y91="Liability|payable",N(P91),0)+IF(Z91="Liability|payable",N(N91),0)</f>
        <v/>
      </c>
      <c r="AF91" s="23">
        <f>IF(V91="Liability|accrued",-N(F91),0)+IF(W91="Liability|accrued",-N(M91),0)+IF(X91="Liability|accrued",N(O91),0)+IF(Y91="Liability|accrued",N(P91),0)+IF(Z91="Liability|accrued",N(N91),0)</f>
        <v/>
      </c>
      <c r="AG91" s="23">
        <f>IF(AND(N(F91)&lt;&gt;0,V91=""),1,0)+IF(AND(N(M91)&lt;&gt;0,W91=""),1,0)+IF(AND(N(O91)&lt;&gt;0,X91=""),1,0)+IF(AND(N(P91)&lt;&gt;0,Y91=""),1,0)+IF(AND(N(N91)&lt;&gt;0,Z91=""),1,0)</f>
        <v/>
      </c>
    </row>
    <row r="92">
      <c r="A92" s="19" t="n"/>
      <c r="B92" s="14" t="n"/>
      <c r="C92" s="14" t="n"/>
      <c r="D92" s="14" t="n"/>
      <c r="E92" s="14" t="n"/>
      <c r="F92" s="20" t="n"/>
      <c r="G92" s="20" t="n"/>
      <c r="H92" s="14" t="n"/>
      <c r="I92" s="14" t="n"/>
      <c r="J92" s="14" t="n"/>
      <c r="K92" s="14" t="n"/>
      <c r="L92" s="14" t="n"/>
      <c r="M92" s="21">
        <f>ROUND(N(F92)*IFERROR(VLOOKUP(K92,'Tax Codes'!$A$5:$E$300,5,FALSE),0),2)</f>
        <v/>
      </c>
      <c r="N92" s="21">
        <f>ROUND(N(F92)*IFERROR(VLOOKUP(L92,'Tax Codes'!$A$5:$E$300,5,FALSE),0),2)</f>
        <v/>
      </c>
      <c r="O92" s="21">
        <f>IF(G92="",N(F92)+M92-N92,N(G92))</f>
        <v/>
      </c>
      <c r="P92" s="21">
        <f>N(F92)+M92-N92-O92</f>
        <v/>
      </c>
      <c r="Q92" s="16">
        <f>IF(C92="",INDEX('Chart of Accounts'!$A$5:$A$3000,MATCH("other_overhead",'Chart of Accounts'!$F$5:$F$3000,0)),C92&amp;"")</f>
        <v/>
      </c>
      <c r="R92" s="16">
        <f>IF(I92="",INDEX('Chart of Accounts'!$A$5:$A$3000,MATCH("bank",'Chart of Accounts'!$F$5:$F$3000,0)),I92&amp;"")</f>
        <v/>
      </c>
      <c r="S92" s="16">
        <f>IF(J92="",INDEX('Chart of Accounts'!$A$5:$A$3000,MATCH("ap",'Chart of Accounts'!$F$5:$F$3000,0)),J92&amp;"")</f>
        <v/>
      </c>
      <c r="T92" s="16">
        <f>INDEX('Chart of Accounts'!$A$5:$A$3000,MATCH("vat_input",'Chart of Accounts'!$F$5:$F$3000,0))</f>
        <v/>
      </c>
      <c r="U92" s="16">
        <f>INDEX('Chart of Accounts'!$A$5:$A$3000,MATCH("wht_payable",'Chart of Accounts'!$F$5:$F$3000,0))</f>
        <v/>
      </c>
      <c r="V92" s="23">
        <f>IFERROR(INDEX('Chart of Accounts'!$C$5:$C$3000,MATCH(Q92&amp;"",'Chart of Accounts'!$A$5:$A$3000,0))&amp;"|"&amp;INDEX('Chart of Accounts'!$D$5:$D$3000,MATCH(Q92&amp;"",'Chart of Accounts'!$A$5:$A$3000,0)),"")</f>
        <v/>
      </c>
      <c r="W92" s="23">
        <f>IFERROR(INDEX('Chart of Accounts'!$C$5:$C$3000,MATCH(T92&amp;"",'Chart of Accounts'!$A$5:$A$3000,0))&amp;"|"&amp;INDEX('Chart of Accounts'!$D$5:$D$3000,MATCH(T92&amp;"",'Chart of Accounts'!$A$5:$A$3000,0)),"")</f>
        <v/>
      </c>
      <c r="X92" s="23">
        <f>IFERROR(INDEX('Chart of Accounts'!$C$5:$C$3000,MATCH(R92&amp;"",'Chart of Accounts'!$A$5:$A$3000,0))&amp;"|"&amp;INDEX('Chart of Accounts'!$D$5:$D$3000,MATCH(R92&amp;"",'Chart of Accounts'!$A$5:$A$3000,0)),"")</f>
        <v/>
      </c>
      <c r="Y92" s="23">
        <f>IFERROR(INDEX('Chart of Accounts'!$C$5:$C$3000,MATCH(S92&amp;"",'Chart of Accounts'!$A$5:$A$3000,0))&amp;"|"&amp;INDEX('Chart of Accounts'!$D$5:$D$3000,MATCH(S92&amp;"",'Chart of Accounts'!$A$5:$A$3000,0)),"")</f>
        <v/>
      </c>
      <c r="Z92" s="23">
        <f>IFERROR(INDEX('Chart of Accounts'!$C$5:$C$3000,MATCH(U92&amp;"",'Chart of Accounts'!$A$5:$A$3000,0))&amp;"|"&amp;INDEX('Chart of Accounts'!$D$5:$D$3000,MATCH(U92&amp;"",'Chart of Accounts'!$A$5:$A$3000,0)),"")</f>
        <v/>
      </c>
      <c r="AA92" s="23">
        <f>IF(LEFT(V92,8)="Revenue|",-N(F92),0)+IF(LEFT(W92,8)="Revenue|",-N(M92),0)+IF(LEFT(X92,8)="Revenue|",N(O92),0)+IF(LEFT(Y92,8)="Revenue|",N(P92),0)+IF(LEFT(Z92,8)="Revenue|",N(N92),0)</f>
        <v/>
      </c>
      <c r="AB92" s="23">
        <f>IF(LEFT(V92,5)="COGS|",N(F92),0)+IF(LEFT(W92,5)="COGS|",N(M92),0)+IF(LEFT(X92,5)="COGS|",-N(O92),0)+IF(LEFT(Y92,5)="COGS|",-N(P92),0)+IF(LEFT(Z92,5)="COGS|",-N(N92),0)</f>
        <v/>
      </c>
      <c r="AC92" s="23">
        <f>IF(LEFT(V92,8)="Expense|",N(F92),0)+IF(LEFT(W92,8)="Expense|",N(M92),0)+IF(LEFT(X92,8)="Expense|",-N(O92),0)+IF(LEFT(Y92,8)="Expense|",-N(P92),0)+IF(LEFT(Z92,8)="Expense|",-N(N92),0)</f>
        <v/>
      </c>
      <c r="AD92" s="23">
        <f>IF(ISNUMBER(MATCH(V92,{"Expense|employee","Expense|general_admin","Expense|marketing","Expense|utilities","Expense|other_operating"},0)),N(F92),0)+IF(ISNUMBER(MATCH(W92,{"Expense|employee","Expense|general_admin","Expense|marketing","Expense|utilities","Expense|other_operating"},0)),N(M92),0)+IF(ISNUMBER(MATCH(X92,{"Expense|employee","Expense|general_admin","Expense|marketing","Expense|utilities","Expense|other_operating"},0)),-N(O92),0)+IF(ISNUMBER(MATCH(Y92,{"Expense|employee","Expense|general_admin","Expense|marketing","Expense|utilities","Expense|other_operating"},0)),-N(P92),0)+IF(ISNUMBER(MATCH(Z92,{"Expense|employee","Expense|general_admin","Expense|marketing","Expense|utilities","Expense|other_operating"},0)),-N(N92),0)</f>
        <v/>
      </c>
      <c r="AE92" s="23">
        <f>IF(V92="Liability|payable",-N(F92),0)+IF(W92="Liability|payable",-N(M92),0)+IF(X92="Liability|payable",N(O92),0)+IF(Y92="Liability|payable",N(P92),0)+IF(Z92="Liability|payable",N(N92),0)</f>
        <v/>
      </c>
      <c r="AF92" s="23">
        <f>IF(V92="Liability|accrued",-N(F92),0)+IF(W92="Liability|accrued",-N(M92),0)+IF(X92="Liability|accrued",N(O92),0)+IF(Y92="Liability|accrued",N(P92),0)+IF(Z92="Liability|accrued",N(N92),0)</f>
        <v/>
      </c>
      <c r="AG92" s="23">
        <f>IF(AND(N(F92)&lt;&gt;0,V92=""),1,0)+IF(AND(N(M92)&lt;&gt;0,W92=""),1,0)+IF(AND(N(O92)&lt;&gt;0,X92=""),1,0)+IF(AND(N(P92)&lt;&gt;0,Y92=""),1,0)+IF(AND(N(N92)&lt;&gt;0,Z92=""),1,0)</f>
        <v/>
      </c>
    </row>
    <row r="93">
      <c r="A93" s="19" t="n"/>
      <c r="B93" s="14" t="n"/>
      <c r="C93" s="14" t="n"/>
      <c r="D93" s="14" t="n"/>
      <c r="E93" s="14" t="n"/>
      <c r="F93" s="20" t="n"/>
      <c r="G93" s="20" t="n"/>
      <c r="H93" s="14" t="n"/>
      <c r="I93" s="14" t="n"/>
      <c r="J93" s="14" t="n"/>
      <c r="K93" s="14" t="n"/>
      <c r="L93" s="14" t="n"/>
      <c r="M93" s="21">
        <f>ROUND(N(F93)*IFERROR(VLOOKUP(K93,'Tax Codes'!$A$5:$E$300,5,FALSE),0),2)</f>
        <v/>
      </c>
      <c r="N93" s="21">
        <f>ROUND(N(F93)*IFERROR(VLOOKUP(L93,'Tax Codes'!$A$5:$E$300,5,FALSE),0),2)</f>
        <v/>
      </c>
      <c r="O93" s="21">
        <f>IF(G93="",N(F93)+M93-N93,N(G93))</f>
        <v/>
      </c>
      <c r="P93" s="21">
        <f>N(F93)+M93-N93-O93</f>
        <v/>
      </c>
      <c r="Q93" s="16">
        <f>IF(C93="",INDEX('Chart of Accounts'!$A$5:$A$3000,MATCH("other_overhead",'Chart of Accounts'!$F$5:$F$3000,0)),C93&amp;"")</f>
        <v/>
      </c>
      <c r="R93" s="16">
        <f>IF(I93="",INDEX('Chart of Accounts'!$A$5:$A$3000,MATCH("bank",'Chart of Accounts'!$F$5:$F$3000,0)),I93&amp;"")</f>
        <v/>
      </c>
      <c r="S93" s="16">
        <f>IF(J93="",INDEX('Chart of Accounts'!$A$5:$A$3000,MATCH("ap",'Chart of Accounts'!$F$5:$F$3000,0)),J93&amp;"")</f>
        <v/>
      </c>
      <c r="T93" s="16">
        <f>INDEX('Chart of Accounts'!$A$5:$A$3000,MATCH("vat_input",'Chart of Accounts'!$F$5:$F$3000,0))</f>
        <v/>
      </c>
      <c r="U93" s="16">
        <f>INDEX('Chart of Accounts'!$A$5:$A$3000,MATCH("wht_payable",'Chart of Accounts'!$F$5:$F$3000,0))</f>
        <v/>
      </c>
      <c r="V93" s="23">
        <f>IFERROR(INDEX('Chart of Accounts'!$C$5:$C$3000,MATCH(Q93&amp;"",'Chart of Accounts'!$A$5:$A$3000,0))&amp;"|"&amp;INDEX('Chart of Accounts'!$D$5:$D$3000,MATCH(Q93&amp;"",'Chart of Accounts'!$A$5:$A$3000,0)),"")</f>
        <v/>
      </c>
      <c r="W93" s="23">
        <f>IFERROR(INDEX('Chart of Accounts'!$C$5:$C$3000,MATCH(T93&amp;"",'Chart of Accounts'!$A$5:$A$3000,0))&amp;"|"&amp;INDEX('Chart of Accounts'!$D$5:$D$3000,MATCH(T93&amp;"",'Chart of Accounts'!$A$5:$A$3000,0)),"")</f>
        <v/>
      </c>
      <c r="X93" s="23">
        <f>IFERROR(INDEX('Chart of Accounts'!$C$5:$C$3000,MATCH(R93&amp;"",'Chart of Accounts'!$A$5:$A$3000,0))&amp;"|"&amp;INDEX('Chart of Accounts'!$D$5:$D$3000,MATCH(R93&amp;"",'Chart of Accounts'!$A$5:$A$3000,0)),"")</f>
        <v/>
      </c>
      <c r="Y93" s="23">
        <f>IFERROR(INDEX('Chart of Accounts'!$C$5:$C$3000,MATCH(S93&amp;"",'Chart of Accounts'!$A$5:$A$3000,0))&amp;"|"&amp;INDEX('Chart of Accounts'!$D$5:$D$3000,MATCH(S93&amp;"",'Chart of Accounts'!$A$5:$A$3000,0)),"")</f>
        <v/>
      </c>
      <c r="Z93" s="23">
        <f>IFERROR(INDEX('Chart of Accounts'!$C$5:$C$3000,MATCH(U93&amp;"",'Chart of Accounts'!$A$5:$A$3000,0))&amp;"|"&amp;INDEX('Chart of Accounts'!$D$5:$D$3000,MATCH(U93&amp;"",'Chart of Accounts'!$A$5:$A$3000,0)),"")</f>
        <v/>
      </c>
      <c r="AA93" s="23">
        <f>IF(LEFT(V93,8)="Revenue|",-N(F93),0)+IF(LEFT(W93,8)="Revenue|",-N(M93),0)+IF(LEFT(X93,8)="Revenue|",N(O93),0)+IF(LEFT(Y93,8)="Revenue|",N(P93),0)+IF(LEFT(Z93,8)="Revenue|",N(N93),0)</f>
        <v/>
      </c>
      <c r="AB93" s="23">
        <f>IF(LEFT(V93,5)="COGS|",N(F93),0)+IF(LEFT(W93,5)="COGS|",N(M93),0)+IF(LEFT(X93,5)="COGS|",-N(O93),0)+IF(LEFT(Y93,5)="COGS|",-N(P93),0)+IF(LEFT(Z93,5)="COGS|",-N(N93),0)</f>
        <v/>
      </c>
      <c r="AC93" s="23">
        <f>IF(LEFT(V93,8)="Expense|",N(F93),0)+IF(LEFT(W93,8)="Expense|",N(M93),0)+IF(LEFT(X93,8)="Expense|",-N(O93),0)+IF(LEFT(Y93,8)="Expense|",-N(P93),0)+IF(LEFT(Z93,8)="Expense|",-N(N93),0)</f>
        <v/>
      </c>
      <c r="AD93" s="23">
        <f>IF(ISNUMBER(MATCH(V93,{"Expense|employee","Expense|general_admin","Expense|marketing","Expense|utilities","Expense|other_operating"},0)),N(F93),0)+IF(ISNUMBER(MATCH(W93,{"Expense|employee","Expense|general_admin","Expense|marketing","Expense|utilities","Expense|other_operating"},0)),N(M93),0)+IF(ISNUMBER(MATCH(X93,{"Expense|employee","Expense|general_admin","Expense|marketing","Expense|utilities","Expense|other_operating"},0)),-N(O93),0)+IF(ISNUMBER(MATCH(Y93,{"Expense|employee","Expense|general_admin","Expense|marketing","Expense|utilities","Expense|other_operating"},0)),-N(P93),0)+IF(ISNUMBER(MATCH(Z93,{"Expense|employee","Expense|general_admin","Expense|marketing","Expense|utilities","Expense|other_operating"},0)),-N(N93),0)</f>
        <v/>
      </c>
      <c r="AE93" s="23">
        <f>IF(V93="Liability|payable",-N(F93),0)+IF(W93="Liability|payable",-N(M93),0)+IF(X93="Liability|payable",N(O93),0)+IF(Y93="Liability|payable",N(P93),0)+IF(Z93="Liability|payable",N(N93),0)</f>
        <v/>
      </c>
      <c r="AF93" s="23">
        <f>IF(V93="Liability|accrued",-N(F93),0)+IF(W93="Liability|accrued",-N(M93),0)+IF(X93="Liability|accrued",N(O93),0)+IF(Y93="Liability|accrued",N(P93),0)+IF(Z93="Liability|accrued",N(N93),0)</f>
        <v/>
      </c>
      <c r="AG93" s="23">
        <f>IF(AND(N(F93)&lt;&gt;0,V93=""),1,0)+IF(AND(N(M93)&lt;&gt;0,W93=""),1,0)+IF(AND(N(O93)&lt;&gt;0,X93=""),1,0)+IF(AND(N(P93)&lt;&gt;0,Y93=""),1,0)+IF(AND(N(N93)&lt;&gt;0,Z93=""),1,0)</f>
        <v/>
      </c>
    </row>
    <row r="94">
      <c r="A94" s="19" t="n"/>
      <c r="B94" s="14" t="n"/>
      <c r="C94" s="14" t="n"/>
      <c r="D94" s="14" t="n"/>
      <c r="E94" s="14" t="n"/>
      <c r="F94" s="20" t="n"/>
      <c r="G94" s="20" t="n"/>
      <c r="H94" s="14" t="n"/>
      <c r="I94" s="14" t="n"/>
      <c r="J94" s="14" t="n"/>
      <c r="K94" s="14" t="n"/>
      <c r="L94" s="14" t="n"/>
      <c r="M94" s="21">
        <f>ROUND(N(F94)*IFERROR(VLOOKUP(K94,'Tax Codes'!$A$5:$E$300,5,FALSE),0),2)</f>
        <v/>
      </c>
      <c r="N94" s="21">
        <f>ROUND(N(F94)*IFERROR(VLOOKUP(L94,'Tax Codes'!$A$5:$E$300,5,FALSE),0),2)</f>
        <v/>
      </c>
      <c r="O94" s="21">
        <f>IF(G94="",N(F94)+M94-N94,N(G94))</f>
        <v/>
      </c>
      <c r="P94" s="21">
        <f>N(F94)+M94-N94-O94</f>
        <v/>
      </c>
      <c r="Q94" s="16">
        <f>IF(C94="",INDEX('Chart of Accounts'!$A$5:$A$3000,MATCH("other_overhead",'Chart of Accounts'!$F$5:$F$3000,0)),C94&amp;"")</f>
        <v/>
      </c>
      <c r="R94" s="16">
        <f>IF(I94="",INDEX('Chart of Accounts'!$A$5:$A$3000,MATCH("bank",'Chart of Accounts'!$F$5:$F$3000,0)),I94&amp;"")</f>
        <v/>
      </c>
      <c r="S94" s="16">
        <f>IF(J94="",INDEX('Chart of Accounts'!$A$5:$A$3000,MATCH("ap",'Chart of Accounts'!$F$5:$F$3000,0)),J94&amp;"")</f>
        <v/>
      </c>
      <c r="T94" s="16">
        <f>INDEX('Chart of Accounts'!$A$5:$A$3000,MATCH("vat_input",'Chart of Accounts'!$F$5:$F$3000,0))</f>
        <v/>
      </c>
      <c r="U94" s="16">
        <f>INDEX('Chart of Accounts'!$A$5:$A$3000,MATCH("wht_payable",'Chart of Accounts'!$F$5:$F$3000,0))</f>
        <v/>
      </c>
      <c r="V94" s="23">
        <f>IFERROR(INDEX('Chart of Accounts'!$C$5:$C$3000,MATCH(Q94&amp;"",'Chart of Accounts'!$A$5:$A$3000,0))&amp;"|"&amp;INDEX('Chart of Accounts'!$D$5:$D$3000,MATCH(Q94&amp;"",'Chart of Accounts'!$A$5:$A$3000,0)),"")</f>
        <v/>
      </c>
      <c r="W94" s="23">
        <f>IFERROR(INDEX('Chart of Accounts'!$C$5:$C$3000,MATCH(T94&amp;"",'Chart of Accounts'!$A$5:$A$3000,0))&amp;"|"&amp;INDEX('Chart of Accounts'!$D$5:$D$3000,MATCH(T94&amp;"",'Chart of Accounts'!$A$5:$A$3000,0)),"")</f>
        <v/>
      </c>
      <c r="X94" s="23">
        <f>IFERROR(INDEX('Chart of Accounts'!$C$5:$C$3000,MATCH(R94&amp;"",'Chart of Accounts'!$A$5:$A$3000,0))&amp;"|"&amp;INDEX('Chart of Accounts'!$D$5:$D$3000,MATCH(R94&amp;"",'Chart of Accounts'!$A$5:$A$3000,0)),"")</f>
        <v/>
      </c>
      <c r="Y94" s="23">
        <f>IFERROR(INDEX('Chart of Accounts'!$C$5:$C$3000,MATCH(S94&amp;"",'Chart of Accounts'!$A$5:$A$3000,0))&amp;"|"&amp;INDEX('Chart of Accounts'!$D$5:$D$3000,MATCH(S94&amp;"",'Chart of Accounts'!$A$5:$A$3000,0)),"")</f>
        <v/>
      </c>
      <c r="Z94" s="23">
        <f>IFERROR(INDEX('Chart of Accounts'!$C$5:$C$3000,MATCH(U94&amp;"",'Chart of Accounts'!$A$5:$A$3000,0))&amp;"|"&amp;INDEX('Chart of Accounts'!$D$5:$D$3000,MATCH(U94&amp;"",'Chart of Accounts'!$A$5:$A$3000,0)),"")</f>
        <v/>
      </c>
      <c r="AA94" s="23">
        <f>IF(LEFT(V94,8)="Revenue|",-N(F94),0)+IF(LEFT(W94,8)="Revenue|",-N(M94),0)+IF(LEFT(X94,8)="Revenue|",N(O94),0)+IF(LEFT(Y94,8)="Revenue|",N(P94),0)+IF(LEFT(Z94,8)="Revenue|",N(N94),0)</f>
        <v/>
      </c>
      <c r="AB94" s="23">
        <f>IF(LEFT(V94,5)="COGS|",N(F94),0)+IF(LEFT(W94,5)="COGS|",N(M94),0)+IF(LEFT(X94,5)="COGS|",-N(O94),0)+IF(LEFT(Y94,5)="COGS|",-N(P94),0)+IF(LEFT(Z94,5)="COGS|",-N(N94),0)</f>
        <v/>
      </c>
      <c r="AC94" s="23">
        <f>IF(LEFT(V94,8)="Expense|",N(F94),0)+IF(LEFT(W94,8)="Expense|",N(M94),0)+IF(LEFT(X94,8)="Expense|",-N(O94),0)+IF(LEFT(Y94,8)="Expense|",-N(P94),0)+IF(LEFT(Z94,8)="Expense|",-N(N94),0)</f>
        <v/>
      </c>
      <c r="AD94" s="23">
        <f>IF(ISNUMBER(MATCH(V94,{"Expense|employee","Expense|general_admin","Expense|marketing","Expense|utilities","Expense|other_operating"},0)),N(F94),0)+IF(ISNUMBER(MATCH(W94,{"Expense|employee","Expense|general_admin","Expense|marketing","Expense|utilities","Expense|other_operating"},0)),N(M94),0)+IF(ISNUMBER(MATCH(X94,{"Expense|employee","Expense|general_admin","Expense|marketing","Expense|utilities","Expense|other_operating"},0)),-N(O94),0)+IF(ISNUMBER(MATCH(Y94,{"Expense|employee","Expense|general_admin","Expense|marketing","Expense|utilities","Expense|other_operating"},0)),-N(P94),0)+IF(ISNUMBER(MATCH(Z94,{"Expense|employee","Expense|general_admin","Expense|marketing","Expense|utilities","Expense|other_operating"},0)),-N(N94),0)</f>
        <v/>
      </c>
      <c r="AE94" s="23">
        <f>IF(V94="Liability|payable",-N(F94),0)+IF(W94="Liability|payable",-N(M94),0)+IF(X94="Liability|payable",N(O94),0)+IF(Y94="Liability|payable",N(P94),0)+IF(Z94="Liability|payable",N(N94),0)</f>
        <v/>
      </c>
      <c r="AF94" s="23">
        <f>IF(V94="Liability|accrued",-N(F94),0)+IF(W94="Liability|accrued",-N(M94),0)+IF(X94="Liability|accrued",N(O94),0)+IF(Y94="Liability|accrued",N(P94),0)+IF(Z94="Liability|accrued",N(N94),0)</f>
        <v/>
      </c>
      <c r="AG94" s="23">
        <f>IF(AND(N(F94)&lt;&gt;0,V94=""),1,0)+IF(AND(N(M94)&lt;&gt;0,W94=""),1,0)+IF(AND(N(O94)&lt;&gt;0,X94=""),1,0)+IF(AND(N(P94)&lt;&gt;0,Y94=""),1,0)+IF(AND(N(N94)&lt;&gt;0,Z94=""),1,0)</f>
        <v/>
      </c>
    </row>
    <row r="95">
      <c r="A95" s="19" t="n"/>
      <c r="B95" s="14" t="n"/>
      <c r="C95" s="14" t="n"/>
      <c r="D95" s="14" t="n"/>
      <c r="E95" s="14" t="n"/>
      <c r="F95" s="20" t="n"/>
      <c r="G95" s="20" t="n"/>
      <c r="H95" s="14" t="n"/>
      <c r="I95" s="14" t="n"/>
      <c r="J95" s="14" t="n"/>
      <c r="K95" s="14" t="n"/>
      <c r="L95" s="14" t="n"/>
      <c r="M95" s="21">
        <f>ROUND(N(F95)*IFERROR(VLOOKUP(K95,'Tax Codes'!$A$5:$E$300,5,FALSE),0),2)</f>
        <v/>
      </c>
      <c r="N95" s="21">
        <f>ROUND(N(F95)*IFERROR(VLOOKUP(L95,'Tax Codes'!$A$5:$E$300,5,FALSE),0),2)</f>
        <v/>
      </c>
      <c r="O95" s="21">
        <f>IF(G95="",N(F95)+M95-N95,N(G95))</f>
        <v/>
      </c>
      <c r="P95" s="21">
        <f>N(F95)+M95-N95-O95</f>
        <v/>
      </c>
      <c r="Q95" s="16">
        <f>IF(C95="",INDEX('Chart of Accounts'!$A$5:$A$3000,MATCH("other_overhead",'Chart of Accounts'!$F$5:$F$3000,0)),C95&amp;"")</f>
        <v/>
      </c>
      <c r="R95" s="16">
        <f>IF(I95="",INDEX('Chart of Accounts'!$A$5:$A$3000,MATCH("bank",'Chart of Accounts'!$F$5:$F$3000,0)),I95&amp;"")</f>
        <v/>
      </c>
      <c r="S95" s="16">
        <f>IF(J95="",INDEX('Chart of Accounts'!$A$5:$A$3000,MATCH("ap",'Chart of Accounts'!$F$5:$F$3000,0)),J95&amp;"")</f>
        <v/>
      </c>
      <c r="T95" s="16">
        <f>INDEX('Chart of Accounts'!$A$5:$A$3000,MATCH("vat_input",'Chart of Accounts'!$F$5:$F$3000,0))</f>
        <v/>
      </c>
      <c r="U95" s="16">
        <f>INDEX('Chart of Accounts'!$A$5:$A$3000,MATCH("wht_payable",'Chart of Accounts'!$F$5:$F$3000,0))</f>
        <v/>
      </c>
      <c r="V95" s="23">
        <f>IFERROR(INDEX('Chart of Accounts'!$C$5:$C$3000,MATCH(Q95&amp;"",'Chart of Accounts'!$A$5:$A$3000,0))&amp;"|"&amp;INDEX('Chart of Accounts'!$D$5:$D$3000,MATCH(Q95&amp;"",'Chart of Accounts'!$A$5:$A$3000,0)),"")</f>
        <v/>
      </c>
      <c r="W95" s="23">
        <f>IFERROR(INDEX('Chart of Accounts'!$C$5:$C$3000,MATCH(T95&amp;"",'Chart of Accounts'!$A$5:$A$3000,0))&amp;"|"&amp;INDEX('Chart of Accounts'!$D$5:$D$3000,MATCH(T95&amp;"",'Chart of Accounts'!$A$5:$A$3000,0)),"")</f>
        <v/>
      </c>
      <c r="X95" s="23">
        <f>IFERROR(INDEX('Chart of Accounts'!$C$5:$C$3000,MATCH(R95&amp;"",'Chart of Accounts'!$A$5:$A$3000,0))&amp;"|"&amp;INDEX('Chart of Accounts'!$D$5:$D$3000,MATCH(R95&amp;"",'Chart of Accounts'!$A$5:$A$3000,0)),"")</f>
        <v/>
      </c>
      <c r="Y95" s="23">
        <f>IFERROR(INDEX('Chart of Accounts'!$C$5:$C$3000,MATCH(S95&amp;"",'Chart of Accounts'!$A$5:$A$3000,0))&amp;"|"&amp;INDEX('Chart of Accounts'!$D$5:$D$3000,MATCH(S95&amp;"",'Chart of Accounts'!$A$5:$A$3000,0)),"")</f>
        <v/>
      </c>
      <c r="Z95" s="23">
        <f>IFERROR(INDEX('Chart of Accounts'!$C$5:$C$3000,MATCH(U95&amp;"",'Chart of Accounts'!$A$5:$A$3000,0))&amp;"|"&amp;INDEX('Chart of Accounts'!$D$5:$D$3000,MATCH(U95&amp;"",'Chart of Accounts'!$A$5:$A$3000,0)),"")</f>
        <v/>
      </c>
      <c r="AA95" s="23">
        <f>IF(LEFT(V95,8)="Revenue|",-N(F95),0)+IF(LEFT(W95,8)="Revenue|",-N(M95),0)+IF(LEFT(X95,8)="Revenue|",N(O95),0)+IF(LEFT(Y95,8)="Revenue|",N(P95),0)+IF(LEFT(Z95,8)="Revenue|",N(N95),0)</f>
        <v/>
      </c>
      <c r="AB95" s="23">
        <f>IF(LEFT(V95,5)="COGS|",N(F95),0)+IF(LEFT(W95,5)="COGS|",N(M95),0)+IF(LEFT(X95,5)="COGS|",-N(O95),0)+IF(LEFT(Y95,5)="COGS|",-N(P95),0)+IF(LEFT(Z95,5)="COGS|",-N(N95),0)</f>
        <v/>
      </c>
      <c r="AC95" s="23">
        <f>IF(LEFT(V95,8)="Expense|",N(F95),0)+IF(LEFT(W95,8)="Expense|",N(M95),0)+IF(LEFT(X95,8)="Expense|",-N(O95),0)+IF(LEFT(Y95,8)="Expense|",-N(P95),0)+IF(LEFT(Z95,8)="Expense|",-N(N95),0)</f>
        <v/>
      </c>
      <c r="AD95" s="23">
        <f>IF(ISNUMBER(MATCH(V95,{"Expense|employee","Expense|general_admin","Expense|marketing","Expense|utilities","Expense|other_operating"},0)),N(F95),0)+IF(ISNUMBER(MATCH(W95,{"Expense|employee","Expense|general_admin","Expense|marketing","Expense|utilities","Expense|other_operating"},0)),N(M95),0)+IF(ISNUMBER(MATCH(X95,{"Expense|employee","Expense|general_admin","Expense|marketing","Expense|utilities","Expense|other_operating"},0)),-N(O95),0)+IF(ISNUMBER(MATCH(Y95,{"Expense|employee","Expense|general_admin","Expense|marketing","Expense|utilities","Expense|other_operating"},0)),-N(P95),0)+IF(ISNUMBER(MATCH(Z95,{"Expense|employee","Expense|general_admin","Expense|marketing","Expense|utilities","Expense|other_operating"},0)),-N(N95),0)</f>
        <v/>
      </c>
      <c r="AE95" s="23">
        <f>IF(V95="Liability|payable",-N(F95),0)+IF(W95="Liability|payable",-N(M95),0)+IF(X95="Liability|payable",N(O95),0)+IF(Y95="Liability|payable",N(P95),0)+IF(Z95="Liability|payable",N(N95),0)</f>
        <v/>
      </c>
      <c r="AF95" s="23">
        <f>IF(V95="Liability|accrued",-N(F95),0)+IF(W95="Liability|accrued",-N(M95),0)+IF(X95="Liability|accrued",N(O95),0)+IF(Y95="Liability|accrued",N(P95),0)+IF(Z95="Liability|accrued",N(N95),0)</f>
        <v/>
      </c>
      <c r="AG95" s="23">
        <f>IF(AND(N(F95)&lt;&gt;0,V95=""),1,0)+IF(AND(N(M95)&lt;&gt;0,W95=""),1,0)+IF(AND(N(O95)&lt;&gt;0,X95=""),1,0)+IF(AND(N(P95)&lt;&gt;0,Y95=""),1,0)+IF(AND(N(N95)&lt;&gt;0,Z95=""),1,0)</f>
        <v/>
      </c>
    </row>
    <row r="96">
      <c r="A96" s="19" t="n"/>
      <c r="B96" s="14" t="n"/>
      <c r="C96" s="14" t="n"/>
      <c r="D96" s="14" t="n"/>
      <c r="E96" s="14" t="n"/>
      <c r="F96" s="20" t="n"/>
      <c r="G96" s="20" t="n"/>
      <c r="H96" s="14" t="n"/>
      <c r="I96" s="14" t="n"/>
      <c r="J96" s="14" t="n"/>
      <c r="K96" s="14" t="n"/>
      <c r="L96" s="14" t="n"/>
      <c r="M96" s="21">
        <f>ROUND(N(F96)*IFERROR(VLOOKUP(K96,'Tax Codes'!$A$5:$E$300,5,FALSE),0),2)</f>
        <v/>
      </c>
      <c r="N96" s="21">
        <f>ROUND(N(F96)*IFERROR(VLOOKUP(L96,'Tax Codes'!$A$5:$E$300,5,FALSE),0),2)</f>
        <v/>
      </c>
      <c r="O96" s="21">
        <f>IF(G96="",N(F96)+M96-N96,N(G96))</f>
        <v/>
      </c>
      <c r="P96" s="21">
        <f>N(F96)+M96-N96-O96</f>
        <v/>
      </c>
      <c r="Q96" s="16">
        <f>IF(C96="",INDEX('Chart of Accounts'!$A$5:$A$3000,MATCH("other_overhead",'Chart of Accounts'!$F$5:$F$3000,0)),C96&amp;"")</f>
        <v/>
      </c>
      <c r="R96" s="16">
        <f>IF(I96="",INDEX('Chart of Accounts'!$A$5:$A$3000,MATCH("bank",'Chart of Accounts'!$F$5:$F$3000,0)),I96&amp;"")</f>
        <v/>
      </c>
      <c r="S96" s="16">
        <f>IF(J96="",INDEX('Chart of Accounts'!$A$5:$A$3000,MATCH("ap",'Chart of Accounts'!$F$5:$F$3000,0)),J96&amp;"")</f>
        <v/>
      </c>
      <c r="T96" s="16">
        <f>INDEX('Chart of Accounts'!$A$5:$A$3000,MATCH("vat_input",'Chart of Accounts'!$F$5:$F$3000,0))</f>
        <v/>
      </c>
      <c r="U96" s="16">
        <f>INDEX('Chart of Accounts'!$A$5:$A$3000,MATCH("wht_payable",'Chart of Accounts'!$F$5:$F$3000,0))</f>
        <v/>
      </c>
      <c r="V96" s="23">
        <f>IFERROR(INDEX('Chart of Accounts'!$C$5:$C$3000,MATCH(Q96&amp;"",'Chart of Accounts'!$A$5:$A$3000,0))&amp;"|"&amp;INDEX('Chart of Accounts'!$D$5:$D$3000,MATCH(Q96&amp;"",'Chart of Accounts'!$A$5:$A$3000,0)),"")</f>
        <v/>
      </c>
      <c r="W96" s="23">
        <f>IFERROR(INDEX('Chart of Accounts'!$C$5:$C$3000,MATCH(T96&amp;"",'Chart of Accounts'!$A$5:$A$3000,0))&amp;"|"&amp;INDEX('Chart of Accounts'!$D$5:$D$3000,MATCH(T96&amp;"",'Chart of Accounts'!$A$5:$A$3000,0)),"")</f>
        <v/>
      </c>
      <c r="X96" s="23">
        <f>IFERROR(INDEX('Chart of Accounts'!$C$5:$C$3000,MATCH(R96&amp;"",'Chart of Accounts'!$A$5:$A$3000,0))&amp;"|"&amp;INDEX('Chart of Accounts'!$D$5:$D$3000,MATCH(R96&amp;"",'Chart of Accounts'!$A$5:$A$3000,0)),"")</f>
        <v/>
      </c>
      <c r="Y96" s="23">
        <f>IFERROR(INDEX('Chart of Accounts'!$C$5:$C$3000,MATCH(S96&amp;"",'Chart of Accounts'!$A$5:$A$3000,0))&amp;"|"&amp;INDEX('Chart of Accounts'!$D$5:$D$3000,MATCH(S96&amp;"",'Chart of Accounts'!$A$5:$A$3000,0)),"")</f>
        <v/>
      </c>
      <c r="Z96" s="23">
        <f>IFERROR(INDEX('Chart of Accounts'!$C$5:$C$3000,MATCH(U96&amp;"",'Chart of Accounts'!$A$5:$A$3000,0))&amp;"|"&amp;INDEX('Chart of Accounts'!$D$5:$D$3000,MATCH(U96&amp;"",'Chart of Accounts'!$A$5:$A$3000,0)),"")</f>
        <v/>
      </c>
      <c r="AA96" s="23">
        <f>IF(LEFT(V96,8)="Revenue|",-N(F96),0)+IF(LEFT(W96,8)="Revenue|",-N(M96),0)+IF(LEFT(X96,8)="Revenue|",N(O96),0)+IF(LEFT(Y96,8)="Revenue|",N(P96),0)+IF(LEFT(Z96,8)="Revenue|",N(N96),0)</f>
        <v/>
      </c>
      <c r="AB96" s="23">
        <f>IF(LEFT(V96,5)="COGS|",N(F96),0)+IF(LEFT(W96,5)="COGS|",N(M96),0)+IF(LEFT(X96,5)="COGS|",-N(O96),0)+IF(LEFT(Y96,5)="COGS|",-N(P96),0)+IF(LEFT(Z96,5)="COGS|",-N(N96),0)</f>
        <v/>
      </c>
      <c r="AC96" s="23">
        <f>IF(LEFT(V96,8)="Expense|",N(F96),0)+IF(LEFT(W96,8)="Expense|",N(M96),0)+IF(LEFT(X96,8)="Expense|",-N(O96),0)+IF(LEFT(Y96,8)="Expense|",-N(P96),0)+IF(LEFT(Z96,8)="Expense|",-N(N96),0)</f>
        <v/>
      </c>
      <c r="AD96" s="23">
        <f>IF(ISNUMBER(MATCH(V96,{"Expense|employee","Expense|general_admin","Expense|marketing","Expense|utilities","Expense|other_operating"},0)),N(F96),0)+IF(ISNUMBER(MATCH(W96,{"Expense|employee","Expense|general_admin","Expense|marketing","Expense|utilities","Expense|other_operating"},0)),N(M96),0)+IF(ISNUMBER(MATCH(X96,{"Expense|employee","Expense|general_admin","Expense|marketing","Expense|utilities","Expense|other_operating"},0)),-N(O96),0)+IF(ISNUMBER(MATCH(Y96,{"Expense|employee","Expense|general_admin","Expense|marketing","Expense|utilities","Expense|other_operating"},0)),-N(P96),0)+IF(ISNUMBER(MATCH(Z96,{"Expense|employee","Expense|general_admin","Expense|marketing","Expense|utilities","Expense|other_operating"},0)),-N(N96),0)</f>
        <v/>
      </c>
      <c r="AE96" s="23">
        <f>IF(V96="Liability|payable",-N(F96),0)+IF(W96="Liability|payable",-N(M96),0)+IF(X96="Liability|payable",N(O96),0)+IF(Y96="Liability|payable",N(P96),0)+IF(Z96="Liability|payable",N(N96),0)</f>
        <v/>
      </c>
      <c r="AF96" s="23">
        <f>IF(V96="Liability|accrued",-N(F96),0)+IF(W96="Liability|accrued",-N(M96),0)+IF(X96="Liability|accrued",N(O96),0)+IF(Y96="Liability|accrued",N(P96),0)+IF(Z96="Liability|accrued",N(N96),0)</f>
        <v/>
      </c>
      <c r="AG96" s="23">
        <f>IF(AND(N(F96)&lt;&gt;0,V96=""),1,0)+IF(AND(N(M96)&lt;&gt;0,W96=""),1,0)+IF(AND(N(O96)&lt;&gt;0,X96=""),1,0)+IF(AND(N(P96)&lt;&gt;0,Y96=""),1,0)+IF(AND(N(N96)&lt;&gt;0,Z96=""),1,0)</f>
        <v/>
      </c>
    </row>
    <row r="97">
      <c r="A97" s="19" t="n"/>
      <c r="B97" s="14" t="n"/>
      <c r="C97" s="14" t="n"/>
      <c r="D97" s="14" t="n"/>
      <c r="E97" s="14" t="n"/>
      <c r="F97" s="20" t="n"/>
      <c r="G97" s="20" t="n"/>
      <c r="H97" s="14" t="n"/>
      <c r="I97" s="14" t="n"/>
      <c r="J97" s="14" t="n"/>
      <c r="K97" s="14" t="n"/>
      <c r="L97" s="14" t="n"/>
      <c r="M97" s="21">
        <f>ROUND(N(F97)*IFERROR(VLOOKUP(K97,'Tax Codes'!$A$5:$E$300,5,FALSE),0),2)</f>
        <v/>
      </c>
      <c r="N97" s="21">
        <f>ROUND(N(F97)*IFERROR(VLOOKUP(L97,'Tax Codes'!$A$5:$E$300,5,FALSE),0),2)</f>
        <v/>
      </c>
      <c r="O97" s="21">
        <f>IF(G97="",N(F97)+M97-N97,N(G97))</f>
        <v/>
      </c>
      <c r="P97" s="21">
        <f>N(F97)+M97-N97-O97</f>
        <v/>
      </c>
      <c r="Q97" s="16">
        <f>IF(C97="",INDEX('Chart of Accounts'!$A$5:$A$3000,MATCH("other_overhead",'Chart of Accounts'!$F$5:$F$3000,0)),C97&amp;"")</f>
        <v/>
      </c>
      <c r="R97" s="16">
        <f>IF(I97="",INDEX('Chart of Accounts'!$A$5:$A$3000,MATCH("bank",'Chart of Accounts'!$F$5:$F$3000,0)),I97&amp;"")</f>
        <v/>
      </c>
      <c r="S97" s="16">
        <f>IF(J97="",INDEX('Chart of Accounts'!$A$5:$A$3000,MATCH("ap",'Chart of Accounts'!$F$5:$F$3000,0)),J97&amp;"")</f>
        <v/>
      </c>
      <c r="T97" s="16">
        <f>INDEX('Chart of Accounts'!$A$5:$A$3000,MATCH("vat_input",'Chart of Accounts'!$F$5:$F$3000,0))</f>
        <v/>
      </c>
      <c r="U97" s="16">
        <f>INDEX('Chart of Accounts'!$A$5:$A$3000,MATCH("wht_payable",'Chart of Accounts'!$F$5:$F$3000,0))</f>
        <v/>
      </c>
      <c r="V97" s="23">
        <f>IFERROR(INDEX('Chart of Accounts'!$C$5:$C$3000,MATCH(Q97&amp;"",'Chart of Accounts'!$A$5:$A$3000,0))&amp;"|"&amp;INDEX('Chart of Accounts'!$D$5:$D$3000,MATCH(Q97&amp;"",'Chart of Accounts'!$A$5:$A$3000,0)),"")</f>
        <v/>
      </c>
      <c r="W97" s="23">
        <f>IFERROR(INDEX('Chart of Accounts'!$C$5:$C$3000,MATCH(T97&amp;"",'Chart of Accounts'!$A$5:$A$3000,0))&amp;"|"&amp;INDEX('Chart of Accounts'!$D$5:$D$3000,MATCH(T97&amp;"",'Chart of Accounts'!$A$5:$A$3000,0)),"")</f>
        <v/>
      </c>
      <c r="X97" s="23">
        <f>IFERROR(INDEX('Chart of Accounts'!$C$5:$C$3000,MATCH(R97&amp;"",'Chart of Accounts'!$A$5:$A$3000,0))&amp;"|"&amp;INDEX('Chart of Accounts'!$D$5:$D$3000,MATCH(R97&amp;"",'Chart of Accounts'!$A$5:$A$3000,0)),"")</f>
        <v/>
      </c>
      <c r="Y97" s="23">
        <f>IFERROR(INDEX('Chart of Accounts'!$C$5:$C$3000,MATCH(S97&amp;"",'Chart of Accounts'!$A$5:$A$3000,0))&amp;"|"&amp;INDEX('Chart of Accounts'!$D$5:$D$3000,MATCH(S97&amp;"",'Chart of Accounts'!$A$5:$A$3000,0)),"")</f>
        <v/>
      </c>
      <c r="Z97" s="23">
        <f>IFERROR(INDEX('Chart of Accounts'!$C$5:$C$3000,MATCH(U97&amp;"",'Chart of Accounts'!$A$5:$A$3000,0))&amp;"|"&amp;INDEX('Chart of Accounts'!$D$5:$D$3000,MATCH(U97&amp;"",'Chart of Accounts'!$A$5:$A$3000,0)),"")</f>
        <v/>
      </c>
      <c r="AA97" s="23">
        <f>IF(LEFT(V97,8)="Revenue|",-N(F97),0)+IF(LEFT(W97,8)="Revenue|",-N(M97),0)+IF(LEFT(X97,8)="Revenue|",N(O97),0)+IF(LEFT(Y97,8)="Revenue|",N(P97),0)+IF(LEFT(Z97,8)="Revenue|",N(N97),0)</f>
        <v/>
      </c>
      <c r="AB97" s="23">
        <f>IF(LEFT(V97,5)="COGS|",N(F97),0)+IF(LEFT(W97,5)="COGS|",N(M97),0)+IF(LEFT(X97,5)="COGS|",-N(O97),0)+IF(LEFT(Y97,5)="COGS|",-N(P97),0)+IF(LEFT(Z97,5)="COGS|",-N(N97),0)</f>
        <v/>
      </c>
      <c r="AC97" s="23">
        <f>IF(LEFT(V97,8)="Expense|",N(F97),0)+IF(LEFT(W97,8)="Expense|",N(M97),0)+IF(LEFT(X97,8)="Expense|",-N(O97),0)+IF(LEFT(Y97,8)="Expense|",-N(P97),0)+IF(LEFT(Z97,8)="Expense|",-N(N97),0)</f>
        <v/>
      </c>
      <c r="AD97" s="23">
        <f>IF(ISNUMBER(MATCH(V97,{"Expense|employee","Expense|general_admin","Expense|marketing","Expense|utilities","Expense|other_operating"},0)),N(F97),0)+IF(ISNUMBER(MATCH(W97,{"Expense|employee","Expense|general_admin","Expense|marketing","Expense|utilities","Expense|other_operating"},0)),N(M97),0)+IF(ISNUMBER(MATCH(X97,{"Expense|employee","Expense|general_admin","Expense|marketing","Expense|utilities","Expense|other_operating"},0)),-N(O97),0)+IF(ISNUMBER(MATCH(Y97,{"Expense|employee","Expense|general_admin","Expense|marketing","Expense|utilities","Expense|other_operating"},0)),-N(P97),0)+IF(ISNUMBER(MATCH(Z97,{"Expense|employee","Expense|general_admin","Expense|marketing","Expense|utilities","Expense|other_operating"},0)),-N(N97),0)</f>
        <v/>
      </c>
      <c r="AE97" s="23">
        <f>IF(V97="Liability|payable",-N(F97),0)+IF(W97="Liability|payable",-N(M97),0)+IF(X97="Liability|payable",N(O97),0)+IF(Y97="Liability|payable",N(P97),0)+IF(Z97="Liability|payable",N(N97),0)</f>
        <v/>
      </c>
      <c r="AF97" s="23">
        <f>IF(V97="Liability|accrued",-N(F97),0)+IF(W97="Liability|accrued",-N(M97),0)+IF(X97="Liability|accrued",N(O97),0)+IF(Y97="Liability|accrued",N(P97),0)+IF(Z97="Liability|accrued",N(N97),0)</f>
        <v/>
      </c>
      <c r="AG97" s="23">
        <f>IF(AND(N(F97)&lt;&gt;0,V97=""),1,0)+IF(AND(N(M97)&lt;&gt;0,W97=""),1,0)+IF(AND(N(O97)&lt;&gt;0,X97=""),1,0)+IF(AND(N(P97)&lt;&gt;0,Y97=""),1,0)+IF(AND(N(N97)&lt;&gt;0,Z97=""),1,0)</f>
        <v/>
      </c>
    </row>
    <row r="98">
      <c r="A98" s="19" t="n"/>
      <c r="B98" s="14" t="n"/>
      <c r="C98" s="14" t="n"/>
      <c r="D98" s="14" t="n"/>
      <c r="E98" s="14" t="n"/>
      <c r="F98" s="20" t="n"/>
      <c r="G98" s="20" t="n"/>
      <c r="H98" s="14" t="n"/>
      <c r="I98" s="14" t="n"/>
      <c r="J98" s="14" t="n"/>
      <c r="K98" s="14" t="n"/>
      <c r="L98" s="14" t="n"/>
      <c r="M98" s="21">
        <f>ROUND(N(F98)*IFERROR(VLOOKUP(K98,'Tax Codes'!$A$5:$E$300,5,FALSE),0),2)</f>
        <v/>
      </c>
      <c r="N98" s="21">
        <f>ROUND(N(F98)*IFERROR(VLOOKUP(L98,'Tax Codes'!$A$5:$E$300,5,FALSE),0),2)</f>
        <v/>
      </c>
      <c r="O98" s="21">
        <f>IF(G98="",N(F98)+M98-N98,N(G98))</f>
        <v/>
      </c>
      <c r="P98" s="21">
        <f>N(F98)+M98-N98-O98</f>
        <v/>
      </c>
      <c r="Q98" s="16">
        <f>IF(C98="",INDEX('Chart of Accounts'!$A$5:$A$3000,MATCH("other_overhead",'Chart of Accounts'!$F$5:$F$3000,0)),C98&amp;"")</f>
        <v/>
      </c>
      <c r="R98" s="16">
        <f>IF(I98="",INDEX('Chart of Accounts'!$A$5:$A$3000,MATCH("bank",'Chart of Accounts'!$F$5:$F$3000,0)),I98&amp;"")</f>
        <v/>
      </c>
      <c r="S98" s="16">
        <f>IF(J98="",INDEX('Chart of Accounts'!$A$5:$A$3000,MATCH("ap",'Chart of Accounts'!$F$5:$F$3000,0)),J98&amp;"")</f>
        <v/>
      </c>
      <c r="T98" s="16">
        <f>INDEX('Chart of Accounts'!$A$5:$A$3000,MATCH("vat_input",'Chart of Accounts'!$F$5:$F$3000,0))</f>
        <v/>
      </c>
      <c r="U98" s="16">
        <f>INDEX('Chart of Accounts'!$A$5:$A$3000,MATCH("wht_payable",'Chart of Accounts'!$F$5:$F$3000,0))</f>
        <v/>
      </c>
      <c r="V98" s="23">
        <f>IFERROR(INDEX('Chart of Accounts'!$C$5:$C$3000,MATCH(Q98&amp;"",'Chart of Accounts'!$A$5:$A$3000,0))&amp;"|"&amp;INDEX('Chart of Accounts'!$D$5:$D$3000,MATCH(Q98&amp;"",'Chart of Accounts'!$A$5:$A$3000,0)),"")</f>
        <v/>
      </c>
      <c r="W98" s="23">
        <f>IFERROR(INDEX('Chart of Accounts'!$C$5:$C$3000,MATCH(T98&amp;"",'Chart of Accounts'!$A$5:$A$3000,0))&amp;"|"&amp;INDEX('Chart of Accounts'!$D$5:$D$3000,MATCH(T98&amp;"",'Chart of Accounts'!$A$5:$A$3000,0)),"")</f>
        <v/>
      </c>
      <c r="X98" s="23">
        <f>IFERROR(INDEX('Chart of Accounts'!$C$5:$C$3000,MATCH(R98&amp;"",'Chart of Accounts'!$A$5:$A$3000,0))&amp;"|"&amp;INDEX('Chart of Accounts'!$D$5:$D$3000,MATCH(R98&amp;"",'Chart of Accounts'!$A$5:$A$3000,0)),"")</f>
        <v/>
      </c>
      <c r="Y98" s="23">
        <f>IFERROR(INDEX('Chart of Accounts'!$C$5:$C$3000,MATCH(S98&amp;"",'Chart of Accounts'!$A$5:$A$3000,0))&amp;"|"&amp;INDEX('Chart of Accounts'!$D$5:$D$3000,MATCH(S98&amp;"",'Chart of Accounts'!$A$5:$A$3000,0)),"")</f>
        <v/>
      </c>
      <c r="Z98" s="23">
        <f>IFERROR(INDEX('Chart of Accounts'!$C$5:$C$3000,MATCH(U98&amp;"",'Chart of Accounts'!$A$5:$A$3000,0))&amp;"|"&amp;INDEX('Chart of Accounts'!$D$5:$D$3000,MATCH(U98&amp;"",'Chart of Accounts'!$A$5:$A$3000,0)),"")</f>
        <v/>
      </c>
      <c r="AA98" s="23">
        <f>IF(LEFT(V98,8)="Revenue|",-N(F98),0)+IF(LEFT(W98,8)="Revenue|",-N(M98),0)+IF(LEFT(X98,8)="Revenue|",N(O98),0)+IF(LEFT(Y98,8)="Revenue|",N(P98),0)+IF(LEFT(Z98,8)="Revenue|",N(N98),0)</f>
        <v/>
      </c>
      <c r="AB98" s="23">
        <f>IF(LEFT(V98,5)="COGS|",N(F98),0)+IF(LEFT(W98,5)="COGS|",N(M98),0)+IF(LEFT(X98,5)="COGS|",-N(O98),0)+IF(LEFT(Y98,5)="COGS|",-N(P98),0)+IF(LEFT(Z98,5)="COGS|",-N(N98),0)</f>
        <v/>
      </c>
      <c r="AC98" s="23">
        <f>IF(LEFT(V98,8)="Expense|",N(F98),0)+IF(LEFT(W98,8)="Expense|",N(M98),0)+IF(LEFT(X98,8)="Expense|",-N(O98),0)+IF(LEFT(Y98,8)="Expense|",-N(P98),0)+IF(LEFT(Z98,8)="Expense|",-N(N98),0)</f>
        <v/>
      </c>
      <c r="AD98" s="23">
        <f>IF(ISNUMBER(MATCH(V98,{"Expense|employee","Expense|general_admin","Expense|marketing","Expense|utilities","Expense|other_operating"},0)),N(F98),0)+IF(ISNUMBER(MATCH(W98,{"Expense|employee","Expense|general_admin","Expense|marketing","Expense|utilities","Expense|other_operating"},0)),N(M98),0)+IF(ISNUMBER(MATCH(X98,{"Expense|employee","Expense|general_admin","Expense|marketing","Expense|utilities","Expense|other_operating"},0)),-N(O98),0)+IF(ISNUMBER(MATCH(Y98,{"Expense|employee","Expense|general_admin","Expense|marketing","Expense|utilities","Expense|other_operating"},0)),-N(P98),0)+IF(ISNUMBER(MATCH(Z98,{"Expense|employee","Expense|general_admin","Expense|marketing","Expense|utilities","Expense|other_operating"},0)),-N(N98),0)</f>
        <v/>
      </c>
      <c r="AE98" s="23">
        <f>IF(V98="Liability|payable",-N(F98),0)+IF(W98="Liability|payable",-N(M98),0)+IF(X98="Liability|payable",N(O98),0)+IF(Y98="Liability|payable",N(P98),0)+IF(Z98="Liability|payable",N(N98),0)</f>
        <v/>
      </c>
      <c r="AF98" s="23">
        <f>IF(V98="Liability|accrued",-N(F98),0)+IF(W98="Liability|accrued",-N(M98),0)+IF(X98="Liability|accrued",N(O98),0)+IF(Y98="Liability|accrued",N(P98),0)+IF(Z98="Liability|accrued",N(N98),0)</f>
        <v/>
      </c>
      <c r="AG98" s="23">
        <f>IF(AND(N(F98)&lt;&gt;0,V98=""),1,0)+IF(AND(N(M98)&lt;&gt;0,W98=""),1,0)+IF(AND(N(O98)&lt;&gt;0,X98=""),1,0)+IF(AND(N(P98)&lt;&gt;0,Y98=""),1,0)+IF(AND(N(N98)&lt;&gt;0,Z98=""),1,0)</f>
        <v/>
      </c>
    </row>
    <row r="99">
      <c r="A99" s="19" t="n"/>
      <c r="B99" s="14" t="n"/>
      <c r="C99" s="14" t="n"/>
      <c r="D99" s="14" t="n"/>
      <c r="E99" s="14" t="n"/>
      <c r="F99" s="20" t="n"/>
      <c r="G99" s="20" t="n"/>
      <c r="H99" s="14" t="n"/>
      <c r="I99" s="14" t="n"/>
      <c r="J99" s="14" t="n"/>
      <c r="K99" s="14" t="n"/>
      <c r="L99" s="14" t="n"/>
      <c r="M99" s="21">
        <f>ROUND(N(F99)*IFERROR(VLOOKUP(K99,'Tax Codes'!$A$5:$E$300,5,FALSE),0),2)</f>
        <v/>
      </c>
      <c r="N99" s="21">
        <f>ROUND(N(F99)*IFERROR(VLOOKUP(L99,'Tax Codes'!$A$5:$E$300,5,FALSE),0),2)</f>
        <v/>
      </c>
      <c r="O99" s="21">
        <f>IF(G99="",N(F99)+M99-N99,N(G99))</f>
        <v/>
      </c>
      <c r="P99" s="21">
        <f>N(F99)+M99-N99-O99</f>
        <v/>
      </c>
      <c r="Q99" s="16">
        <f>IF(C99="",INDEX('Chart of Accounts'!$A$5:$A$3000,MATCH("other_overhead",'Chart of Accounts'!$F$5:$F$3000,0)),C99&amp;"")</f>
        <v/>
      </c>
      <c r="R99" s="16">
        <f>IF(I99="",INDEX('Chart of Accounts'!$A$5:$A$3000,MATCH("bank",'Chart of Accounts'!$F$5:$F$3000,0)),I99&amp;"")</f>
        <v/>
      </c>
      <c r="S99" s="16">
        <f>IF(J99="",INDEX('Chart of Accounts'!$A$5:$A$3000,MATCH("ap",'Chart of Accounts'!$F$5:$F$3000,0)),J99&amp;"")</f>
        <v/>
      </c>
      <c r="T99" s="16">
        <f>INDEX('Chart of Accounts'!$A$5:$A$3000,MATCH("vat_input",'Chart of Accounts'!$F$5:$F$3000,0))</f>
        <v/>
      </c>
      <c r="U99" s="16">
        <f>INDEX('Chart of Accounts'!$A$5:$A$3000,MATCH("wht_payable",'Chart of Accounts'!$F$5:$F$3000,0))</f>
        <v/>
      </c>
      <c r="V99" s="23">
        <f>IFERROR(INDEX('Chart of Accounts'!$C$5:$C$3000,MATCH(Q99&amp;"",'Chart of Accounts'!$A$5:$A$3000,0))&amp;"|"&amp;INDEX('Chart of Accounts'!$D$5:$D$3000,MATCH(Q99&amp;"",'Chart of Accounts'!$A$5:$A$3000,0)),"")</f>
        <v/>
      </c>
      <c r="W99" s="23">
        <f>IFERROR(INDEX('Chart of Accounts'!$C$5:$C$3000,MATCH(T99&amp;"",'Chart of Accounts'!$A$5:$A$3000,0))&amp;"|"&amp;INDEX('Chart of Accounts'!$D$5:$D$3000,MATCH(T99&amp;"",'Chart of Accounts'!$A$5:$A$3000,0)),"")</f>
        <v/>
      </c>
      <c r="X99" s="23">
        <f>IFERROR(INDEX('Chart of Accounts'!$C$5:$C$3000,MATCH(R99&amp;"",'Chart of Accounts'!$A$5:$A$3000,0))&amp;"|"&amp;INDEX('Chart of Accounts'!$D$5:$D$3000,MATCH(R99&amp;"",'Chart of Accounts'!$A$5:$A$3000,0)),"")</f>
        <v/>
      </c>
      <c r="Y99" s="23">
        <f>IFERROR(INDEX('Chart of Accounts'!$C$5:$C$3000,MATCH(S99&amp;"",'Chart of Accounts'!$A$5:$A$3000,0))&amp;"|"&amp;INDEX('Chart of Accounts'!$D$5:$D$3000,MATCH(S99&amp;"",'Chart of Accounts'!$A$5:$A$3000,0)),"")</f>
        <v/>
      </c>
      <c r="Z99" s="23">
        <f>IFERROR(INDEX('Chart of Accounts'!$C$5:$C$3000,MATCH(U99&amp;"",'Chart of Accounts'!$A$5:$A$3000,0))&amp;"|"&amp;INDEX('Chart of Accounts'!$D$5:$D$3000,MATCH(U99&amp;"",'Chart of Accounts'!$A$5:$A$3000,0)),"")</f>
        <v/>
      </c>
      <c r="AA99" s="23">
        <f>IF(LEFT(V99,8)="Revenue|",-N(F99),0)+IF(LEFT(W99,8)="Revenue|",-N(M99),0)+IF(LEFT(X99,8)="Revenue|",N(O99),0)+IF(LEFT(Y99,8)="Revenue|",N(P99),0)+IF(LEFT(Z99,8)="Revenue|",N(N99),0)</f>
        <v/>
      </c>
      <c r="AB99" s="23">
        <f>IF(LEFT(V99,5)="COGS|",N(F99),0)+IF(LEFT(W99,5)="COGS|",N(M99),0)+IF(LEFT(X99,5)="COGS|",-N(O99),0)+IF(LEFT(Y99,5)="COGS|",-N(P99),0)+IF(LEFT(Z99,5)="COGS|",-N(N99),0)</f>
        <v/>
      </c>
      <c r="AC99" s="23">
        <f>IF(LEFT(V99,8)="Expense|",N(F99),0)+IF(LEFT(W99,8)="Expense|",N(M99),0)+IF(LEFT(X99,8)="Expense|",-N(O99),0)+IF(LEFT(Y99,8)="Expense|",-N(P99),0)+IF(LEFT(Z99,8)="Expense|",-N(N99),0)</f>
        <v/>
      </c>
      <c r="AD99" s="23">
        <f>IF(ISNUMBER(MATCH(V99,{"Expense|employee","Expense|general_admin","Expense|marketing","Expense|utilities","Expense|other_operating"},0)),N(F99),0)+IF(ISNUMBER(MATCH(W99,{"Expense|employee","Expense|general_admin","Expense|marketing","Expense|utilities","Expense|other_operating"},0)),N(M99),0)+IF(ISNUMBER(MATCH(X99,{"Expense|employee","Expense|general_admin","Expense|marketing","Expense|utilities","Expense|other_operating"},0)),-N(O99),0)+IF(ISNUMBER(MATCH(Y99,{"Expense|employee","Expense|general_admin","Expense|marketing","Expense|utilities","Expense|other_operating"},0)),-N(P99),0)+IF(ISNUMBER(MATCH(Z99,{"Expense|employee","Expense|general_admin","Expense|marketing","Expense|utilities","Expense|other_operating"},0)),-N(N99),0)</f>
        <v/>
      </c>
      <c r="AE99" s="23">
        <f>IF(V99="Liability|payable",-N(F99),0)+IF(W99="Liability|payable",-N(M99),0)+IF(X99="Liability|payable",N(O99),0)+IF(Y99="Liability|payable",N(P99),0)+IF(Z99="Liability|payable",N(N99),0)</f>
        <v/>
      </c>
      <c r="AF99" s="23">
        <f>IF(V99="Liability|accrued",-N(F99),0)+IF(W99="Liability|accrued",-N(M99),0)+IF(X99="Liability|accrued",N(O99),0)+IF(Y99="Liability|accrued",N(P99),0)+IF(Z99="Liability|accrued",N(N99),0)</f>
        <v/>
      </c>
      <c r="AG99" s="23">
        <f>IF(AND(N(F99)&lt;&gt;0,V99=""),1,0)+IF(AND(N(M99)&lt;&gt;0,W99=""),1,0)+IF(AND(N(O99)&lt;&gt;0,X99=""),1,0)+IF(AND(N(P99)&lt;&gt;0,Y99=""),1,0)+IF(AND(N(N99)&lt;&gt;0,Z99=""),1,0)</f>
        <v/>
      </c>
    </row>
    <row r="100">
      <c r="A100" s="19" t="n"/>
      <c r="B100" s="14" t="n"/>
      <c r="C100" s="14" t="n"/>
      <c r="D100" s="14" t="n"/>
      <c r="E100" s="14" t="n"/>
      <c r="F100" s="20" t="n"/>
      <c r="G100" s="20" t="n"/>
      <c r="H100" s="14" t="n"/>
      <c r="I100" s="14" t="n"/>
      <c r="J100" s="14" t="n"/>
      <c r="K100" s="14" t="n"/>
      <c r="L100" s="14" t="n"/>
      <c r="M100" s="21">
        <f>ROUND(N(F100)*IFERROR(VLOOKUP(K100,'Tax Codes'!$A$5:$E$300,5,FALSE),0),2)</f>
        <v/>
      </c>
      <c r="N100" s="21">
        <f>ROUND(N(F100)*IFERROR(VLOOKUP(L100,'Tax Codes'!$A$5:$E$300,5,FALSE),0),2)</f>
        <v/>
      </c>
      <c r="O100" s="21">
        <f>IF(G100="",N(F100)+M100-N100,N(G100))</f>
        <v/>
      </c>
      <c r="P100" s="21">
        <f>N(F100)+M100-N100-O100</f>
        <v/>
      </c>
      <c r="Q100" s="16">
        <f>IF(C100="",INDEX('Chart of Accounts'!$A$5:$A$3000,MATCH("other_overhead",'Chart of Accounts'!$F$5:$F$3000,0)),C100&amp;"")</f>
        <v/>
      </c>
      <c r="R100" s="16">
        <f>IF(I100="",INDEX('Chart of Accounts'!$A$5:$A$3000,MATCH("bank",'Chart of Accounts'!$F$5:$F$3000,0)),I100&amp;"")</f>
        <v/>
      </c>
      <c r="S100" s="16">
        <f>IF(J100="",INDEX('Chart of Accounts'!$A$5:$A$3000,MATCH("ap",'Chart of Accounts'!$F$5:$F$3000,0)),J100&amp;"")</f>
        <v/>
      </c>
      <c r="T100" s="16">
        <f>INDEX('Chart of Accounts'!$A$5:$A$3000,MATCH("vat_input",'Chart of Accounts'!$F$5:$F$3000,0))</f>
        <v/>
      </c>
      <c r="U100" s="16">
        <f>INDEX('Chart of Accounts'!$A$5:$A$3000,MATCH("wht_payable",'Chart of Accounts'!$F$5:$F$3000,0))</f>
        <v/>
      </c>
      <c r="V100" s="23">
        <f>IFERROR(INDEX('Chart of Accounts'!$C$5:$C$3000,MATCH(Q100&amp;"",'Chart of Accounts'!$A$5:$A$3000,0))&amp;"|"&amp;INDEX('Chart of Accounts'!$D$5:$D$3000,MATCH(Q100&amp;"",'Chart of Accounts'!$A$5:$A$3000,0)),"")</f>
        <v/>
      </c>
      <c r="W100" s="23">
        <f>IFERROR(INDEX('Chart of Accounts'!$C$5:$C$3000,MATCH(T100&amp;"",'Chart of Accounts'!$A$5:$A$3000,0))&amp;"|"&amp;INDEX('Chart of Accounts'!$D$5:$D$3000,MATCH(T100&amp;"",'Chart of Accounts'!$A$5:$A$3000,0)),"")</f>
        <v/>
      </c>
      <c r="X100" s="23">
        <f>IFERROR(INDEX('Chart of Accounts'!$C$5:$C$3000,MATCH(R100&amp;"",'Chart of Accounts'!$A$5:$A$3000,0))&amp;"|"&amp;INDEX('Chart of Accounts'!$D$5:$D$3000,MATCH(R100&amp;"",'Chart of Accounts'!$A$5:$A$3000,0)),"")</f>
        <v/>
      </c>
      <c r="Y100" s="23">
        <f>IFERROR(INDEX('Chart of Accounts'!$C$5:$C$3000,MATCH(S100&amp;"",'Chart of Accounts'!$A$5:$A$3000,0))&amp;"|"&amp;INDEX('Chart of Accounts'!$D$5:$D$3000,MATCH(S100&amp;"",'Chart of Accounts'!$A$5:$A$3000,0)),"")</f>
        <v/>
      </c>
      <c r="Z100" s="23">
        <f>IFERROR(INDEX('Chart of Accounts'!$C$5:$C$3000,MATCH(U100&amp;"",'Chart of Accounts'!$A$5:$A$3000,0))&amp;"|"&amp;INDEX('Chart of Accounts'!$D$5:$D$3000,MATCH(U100&amp;"",'Chart of Accounts'!$A$5:$A$3000,0)),"")</f>
        <v/>
      </c>
      <c r="AA100" s="23">
        <f>IF(LEFT(V100,8)="Revenue|",-N(F100),0)+IF(LEFT(W100,8)="Revenue|",-N(M100),0)+IF(LEFT(X100,8)="Revenue|",N(O100),0)+IF(LEFT(Y100,8)="Revenue|",N(P100),0)+IF(LEFT(Z100,8)="Revenue|",N(N100),0)</f>
        <v/>
      </c>
      <c r="AB100" s="23">
        <f>IF(LEFT(V100,5)="COGS|",N(F100),0)+IF(LEFT(W100,5)="COGS|",N(M100),0)+IF(LEFT(X100,5)="COGS|",-N(O100),0)+IF(LEFT(Y100,5)="COGS|",-N(P100),0)+IF(LEFT(Z100,5)="COGS|",-N(N100),0)</f>
        <v/>
      </c>
      <c r="AC100" s="23">
        <f>IF(LEFT(V100,8)="Expense|",N(F100),0)+IF(LEFT(W100,8)="Expense|",N(M100),0)+IF(LEFT(X100,8)="Expense|",-N(O100),0)+IF(LEFT(Y100,8)="Expense|",-N(P100),0)+IF(LEFT(Z100,8)="Expense|",-N(N100),0)</f>
        <v/>
      </c>
      <c r="AD100" s="23">
        <f>IF(ISNUMBER(MATCH(V100,{"Expense|employee","Expense|general_admin","Expense|marketing","Expense|utilities","Expense|other_operating"},0)),N(F100),0)+IF(ISNUMBER(MATCH(W100,{"Expense|employee","Expense|general_admin","Expense|marketing","Expense|utilities","Expense|other_operating"},0)),N(M100),0)+IF(ISNUMBER(MATCH(X100,{"Expense|employee","Expense|general_admin","Expense|marketing","Expense|utilities","Expense|other_operating"},0)),-N(O100),0)+IF(ISNUMBER(MATCH(Y100,{"Expense|employee","Expense|general_admin","Expense|marketing","Expense|utilities","Expense|other_operating"},0)),-N(P100),0)+IF(ISNUMBER(MATCH(Z100,{"Expense|employee","Expense|general_admin","Expense|marketing","Expense|utilities","Expense|other_operating"},0)),-N(N100),0)</f>
        <v/>
      </c>
      <c r="AE100" s="23">
        <f>IF(V100="Liability|payable",-N(F100),0)+IF(W100="Liability|payable",-N(M100),0)+IF(X100="Liability|payable",N(O100),0)+IF(Y100="Liability|payable",N(P100),0)+IF(Z100="Liability|payable",N(N100),0)</f>
        <v/>
      </c>
      <c r="AF100" s="23">
        <f>IF(V100="Liability|accrued",-N(F100),0)+IF(W100="Liability|accrued",-N(M100),0)+IF(X100="Liability|accrued",N(O100),0)+IF(Y100="Liability|accrued",N(P100),0)+IF(Z100="Liability|accrued",N(N100),0)</f>
        <v/>
      </c>
      <c r="AG100" s="23">
        <f>IF(AND(N(F100)&lt;&gt;0,V100=""),1,0)+IF(AND(N(M100)&lt;&gt;0,W100=""),1,0)+IF(AND(N(O100)&lt;&gt;0,X100=""),1,0)+IF(AND(N(P100)&lt;&gt;0,Y100=""),1,0)+IF(AND(N(N100)&lt;&gt;0,Z100=""),1,0)</f>
        <v/>
      </c>
    </row>
    <row r="101">
      <c r="A101" s="19" t="n"/>
      <c r="B101" s="14" t="n"/>
      <c r="C101" s="14" t="n"/>
      <c r="D101" s="14" t="n"/>
      <c r="E101" s="14" t="n"/>
      <c r="F101" s="20" t="n"/>
      <c r="G101" s="20" t="n"/>
      <c r="H101" s="14" t="n"/>
      <c r="I101" s="14" t="n"/>
      <c r="J101" s="14" t="n"/>
      <c r="K101" s="14" t="n"/>
      <c r="L101" s="14" t="n"/>
      <c r="M101" s="21">
        <f>ROUND(N(F101)*IFERROR(VLOOKUP(K101,'Tax Codes'!$A$5:$E$300,5,FALSE),0),2)</f>
        <v/>
      </c>
      <c r="N101" s="21">
        <f>ROUND(N(F101)*IFERROR(VLOOKUP(L101,'Tax Codes'!$A$5:$E$300,5,FALSE),0),2)</f>
        <v/>
      </c>
      <c r="O101" s="21">
        <f>IF(G101="",N(F101)+M101-N101,N(G101))</f>
        <v/>
      </c>
      <c r="P101" s="21">
        <f>N(F101)+M101-N101-O101</f>
        <v/>
      </c>
      <c r="Q101" s="16">
        <f>IF(C101="",INDEX('Chart of Accounts'!$A$5:$A$3000,MATCH("other_overhead",'Chart of Accounts'!$F$5:$F$3000,0)),C101&amp;"")</f>
        <v/>
      </c>
      <c r="R101" s="16">
        <f>IF(I101="",INDEX('Chart of Accounts'!$A$5:$A$3000,MATCH("bank",'Chart of Accounts'!$F$5:$F$3000,0)),I101&amp;"")</f>
        <v/>
      </c>
      <c r="S101" s="16">
        <f>IF(J101="",INDEX('Chart of Accounts'!$A$5:$A$3000,MATCH("ap",'Chart of Accounts'!$F$5:$F$3000,0)),J101&amp;"")</f>
        <v/>
      </c>
      <c r="T101" s="16">
        <f>INDEX('Chart of Accounts'!$A$5:$A$3000,MATCH("vat_input",'Chart of Accounts'!$F$5:$F$3000,0))</f>
        <v/>
      </c>
      <c r="U101" s="16">
        <f>INDEX('Chart of Accounts'!$A$5:$A$3000,MATCH("wht_payable",'Chart of Accounts'!$F$5:$F$3000,0))</f>
        <v/>
      </c>
      <c r="V101" s="23">
        <f>IFERROR(INDEX('Chart of Accounts'!$C$5:$C$3000,MATCH(Q101&amp;"",'Chart of Accounts'!$A$5:$A$3000,0))&amp;"|"&amp;INDEX('Chart of Accounts'!$D$5:$D$3000,MATCH(Q101&amp;"",'Chart of Accounts'!$A$5:$A$3000,0)),"")</f>
        <v/>
      </c>
      <c r="W101" s="23">
        <f>IFERROR(INDEX('Chart of Accounts'!$C$5:$C$3000,MATCH(T101&amp;"",'Chart of Accounts'!$A$5:$A$3000,0))&amp;"|"&amp;INDEX('Chart of Accounts'!$D$5:$D$3000,MATCH(T101&amp;"",'Chart of Accounts'!$A$5:$A$3000,0)),"")</f>
        <v/>
      </c>
      <c r="X101" s="23">
        <f>IFERROR(INDEX('Chart of Accounts'!$C$5:$C$3000,MATCH(R101&amp;"",'Chart of Accounts'!$A$5:$A$3000,0))&amp;"|"&amp;INDEX('Chart of Accounts'!$D$5:$D$3000,MATCH(R101&amp;"",'Chart of Accounts'!$A$5:$A$3000,0)),"")</f>
        <v/>
      </c>
      <c r="Y101" s="23">
        <f>IFERROR(INDEX('Chart of Accounts'!$C$5:$C$3000,MATCH(S101&amp;"",'Chart of Accounts'!$A$5:$A$3000,0))&amp;"|"&amp;INDEX('Chart of Accounts'!$D$5:$D$3000,MATCH(S101&amp;"",'Chart of Accounts'!$A$5:$A$3000,0)),"")</f>
        <v/>
      </c>
      <c r="Z101" s="23">
        <f>IFERROR(INDEX('Chart of Accounts'!$C$5:$C$3000,MATCH(U101&amp;"",'Chart of Accounts'!$A$5:$A$3000,0))&amp;"|"&amp;INDEX('Chart of Accounts'!$D$5:$D$3000,MATCH(U101&amp;"",'Chart of Accounts'!$A$5:$A$3000,0)),"")</f>
        <v/>
      </c>
      <c r="AA101" s="23">
        <f>IF(LEFT(V101,8)="Revenue|",-N(F101),0)+IF(LEFT(W101,8)="Revenue|",-N(M101),0)+IF(LEFT(X101,8)="Revenue|",N(O101),0)+IF(LEFT(Y101,8)="Revenue|",N(P101),0)+IF(LEFT(Z101,8)="Revenue|",N(N101),0)</f>
        <v/>
      </c>
      <c r="AB101" s="23">
        <f>IF(LEFT(V101,5)="COGS|",N(F101),0)+IF(LEFT(W101,5)="COGS|",N(M101),0)+IF(LEFT(X101,5)="COGS|",-N(O101),0)+IF(LEFT(Y101,5)="COGS|",-N(P101),0)+IF(LEFT(Z101,5)="COGS|",-N(N101),0)</f>
        <v/>
      </c>
      <c r="AC101" s="23">
        <f>IF(LEFT(V101,8)="Expense|",N(F101),0)+IF(LEFT(W101,8)="Expense|",N(M101),0)+IF(LEFT(X101,8)="Expense|",-N(O101),0)+IF(LEFT(Y101,8)="Expense|",-N(P101),0)+IF(LEFT(Z101,8)="Expense|",-N(N101),0)</f>
        <v/>
      </c>
      <c r="AD101" s="23">
        <f>IF(ISNUMBER(MATCH(V101,{"Expense|employee","Expense|general_admin","Expense|marketing","Expense|utilities","Expense|other_operating"},0)),N(F101),0)+IF(ISNUMBER(MATCH(W101,{"Expense|employee","Expense|general_admin","Expense|marketing","Expense|utilities","Expense|other_operating"},0)),N(M101),0)+IF(ISNUMBER(MATCH(X101,{"Expense|employee","Expense|general_admin","Expense|marketing","Expense|utilities","Expense|other_operating"},0)),-N(O101),0)+IF(ISNUMBER(MATCH(Y101,{"Expense|employee","Expense|general_admin","Expense|marketing","Expense|utilities","Expense|other_operating"},0)),-N(P101),0)+IF(ISNUMBER(MATCH(Z101,{"Expense|employee","Expense|general_admin","Expense|marketing","Expense|utilities","Expense|other_operating"},0)),-N(N101),0)</f>
        <v/>
      </c>
      <c r="AE101" s="23">
        <f>IF(V101="Liability|payable",-N(F101),0)+IF(W101="Liability|payable",-N(M101),0)+IF(X101="Liability|payable",N(O101),0)+IF(Y101="Liability|payable",N(P101),0)+IF(Z101="Liability|payable",N(N101),0)</f>
        <v/>
      </c>
      <c r="AF101" s="23">
        <f>IF(V101="Liability|accrued",-N(F101),0)+IF(W101="Liability|accrued",-N(M101),0)+IF(X101="Liability|accrued",N(O101),0)+IF(Y101="Liability|accrued",N(P101),0)+IF(Z101="Liability|accrued",N(N101),0)</f>
        <v/>
      </c>
      <c r="AG101" s="23">
        <f>IF(AND(N(F101)&lt;&gt;0,V101=""),1,0)+IF(AND(N(M101)&lt;&gt;0,W101=""),1,0)+IF(AND(N(O101)&lt;&gt;0,X101=""),1,0)+IF(AND(N(P101)&lt;&gt;0,Y101=""),1,0)+IF(AND(N(N101)&lt;&gt;0,Z101=""),1,0)</f>
        <v/>
      </c>
    </row>
    <row r="102">
      <c r="A102" s="19" t="n"/>
      <c r="B102" s="14" t="n"/>
      <c r="C102" s="14" t="n"/>
      <c r="D102" s="14" t="n"/>
      <c r="E102" s="14" t="n"/>
      <c r="F102" s="20" t="n"/>
      <c r="G102" s="20" t="n"/>
      <c r="H102" s="14" t="n"/>
      <c r="I102" s="14" t="n"/>
      <c r="J102" s="14" t="n"/>
      <c r="K102" s="14" t="n"/>
      <c r="L102" s="14" t="n"/>
      <c r="M102" s="21">
        <f>ROUND(N(F102)*IFERROR(VLOOKUP(K102,'Tax Codes'!$A$5:$E$300,5,FALSE),0),2)</f>
        <v/>
      </c>
      <c r="N102" s="21">
        <f>ROUND(N(F102)*IFERROR(VLOOKUP(L102,'Tax Codes'!$A$5:$E$300,5,FALSE),0),2)</f>
        <v/>
      </c>
      <c r="O102" s="21">
        <f>IF(G102="",N(F102)+M102-N102,N(G102))</f>
        <v/>
      </c>
      <c r="P102" s="21">
        <f>N(F102)+M102-N102-O102</f>
        <v/>
      </c>
      <c r="Q102" s="16">
        <f>IF(C102="",INDEX('Chart of Accounts'!$A$5:$A$3000,MATCH("other_overhead",'Chart of Accounts'!$F$5:$F$3000,0)),C102&amp;"")</f>
        <v/>
      </c>
      <c r="R102" s="16">
        <f>IF(I102="",INDEX('Chart of Accounts'!$A$5:$A$3000,MATCH("bank",'Chart of Accounts'!$F$5:$F$3000,0)),I102&amp;"")</f>
        <v/>
      </c>
      <c r="S102" s="16">
        <f>IF(J102="",INDEX('Chart of Accounts'!$A$5:$A$3000,MATCH("ap",'Chart of Accounts'!$F$5:$F$3000,0)),J102&amp;"")</f>
        <v/>
      </c>
      <c r="T102" s="16">
        <f>INDEX('Chart of Accounts'!$A$5:$A$3000,MATCH("vat_input",'Chart of Accounts'!$F$5:$F$3000,0))</f>
        <v/>
      </c>
      <c r="U102" s="16">
        <f>INDEX('Chart of Accounts'!$A$5:$A$3000,MATCH("wht_payable",'Chart of Accounts'!$F$5:$F$3000,0))</f>
        <v/>
      </c>
      <c r="V102" s="23">
        <f>IFERROR(INDEX('Chart of Accounts'!$C$5:$C$3000,MATCH(Q102&amp;"",'Chart of Accounts'!$A$5:$A$3000,0))&amp;"|"&amp;INDEX('Chart of Accounts'!$D$5:$D$3000,MATCH(Q102&amp;"",'Chart of Accounts'!$A$5:$A$3000,0)),"")</f>
        <v/>
      </c>
      <c r="W102" s="23">
        <f>IFERROR(INDEX('Chart of Accounts'!$C$5:$C$3000,MATCH(T102&amp;"",'Chart of Accounts'!$A$5:$A$3000,0))&amp;"|"&amp;INDEX('Chart of Accounts'!$D$5:$D$3000,MATCH(T102&amp;"",'Chart of Accounts'!$A$5:$A$3000,0)),"")</f>
        <v/>
      </c>
      <c r="X102" s="23">
        <f>IFERROR(INDEX('Chart of Accounts'!$C$5:$C$3000,MATCH(R102&amp;"",'Chart of Accounts'!$A$5:$A$3000,0))&amp;"|"&amp;INDEX('Chart of Accounts'!$D$5:$D$3000,MATCH(R102&amp;"",'Chart of Accounts'!$A$5:$A$3000,0)),"")</f>
        <v/>
      </c>
      <c r="Y102" s="23">
        <f>IFERROR(INDEX('Chart of Accounts'!$C$5:$C$3000,MATCH(S102&amp;"",'Chart of Accounts'!$A$5:$A$3000,0))&amp;"|"&amp;INDEX('Chart of Accounts'!$D$5:$D$3000,MATCH(S102&amp;"",'Chart of Accounts'!$A$5:$A$3000,0)),"")</f>
        <v/>
      </c>
      <c r="Z102" s="23">
        <f>IFERROR(INDEX('Chart of Accounts'!$C$5:$C$3000,MATCH(U102&amp;"",'Chart of Accounts'!$A$5:$A$3000,0))&amp;"|"&amp;INDEX('Chart of Accounts'!$D$5:$D$3000,MATCH(U102&amp;"",'Chart of Accounts'!$A$5:$A$3000,0)),"")</f>
        <v/>
      </c>
      <c r="AA102" s="23">
        <f>IF(LEFT(V102,8)="Revenue|",-N(F102),0)+IF(LEFT(W102,8)="Revenue|",-N(M102),0)+IF(LEFT(X102,8)="Revenue|",N(O102),0)+IF(LEFT(Y102,8)="Revenue|",N(P102),0)+IF(LEFT(Z102,8)="Revenue|",N(N102),0)</f>
        <v/>
      </c>
      <c r="AB102" s="23">
        <f>IF(LEFT(V102,5)="COGS|",N(F102),0)+IF(LEFT(W102,5)="COGS|",N(M102),0)+IF(LEFT(X102,5)="COGS|",-N(O102),0)+IF(LEFT(Y102,5)="COGS|",-N(P102),0)+IF(LEFT(Z102,5)="COGS|",-N(N102),0)</f>
        <v/>
      </c>
      <c r="AC102" s="23">
        <f>IF(LEFT(V102,8)="Expense|",N(F102),0)+IF(LEFT(W102,8)="Expense|",N(M102),0)+IF(LEFT(X102,8)="Expense|",-N(O102),0)+IF(LEFT(Y102,8)="Expense|",-N(P102),0)+IF(LEFT(Z102,8)="Expense|",-N(N102),0)</f>
        <v/>
      </c>
      <c r="AD102" s="23">
        <f>IF(ISNUMBER(MATCH(V102,{"Expense|employee","Expense|general_admin","Expense|marketing","Expense|utilities","Expense|other_operating"},0)),N(F102),0)+IF(ISNUMBER(MATCH(W102,{"Expense|employee","Expense|general_admin","Expense|marketing","Expense|utilities","Expense|other_operating"},0)),N(M102),0)+IF(ISNUMBER(MATCH(X102,{"Expense|employee","Expense|general_admin","Expense|marketing","Expense|utilities","Expense|other_operating"},0)),-N(O102),0)+IF(ISNUMBER(MATCH(Y102,{"Expense|employee","Expense|general_admin","Expense|marketing","Expense|utilities","Expense|other_operating"},0)),-N(P102),0)+IF(ISNUMBER(MATCH(Z102,{"Expense|employee","Expense|general_admin","Expense|marketing","Expense|utilities","Expense|other_operating"},0)),-N(N102),0)</f>
        <v/>
      </c>
      <c r="AE102" s="23">
        <f>IF(V102="Liability|payable",-N(F102),0)+IF(W102="Liability|payable",-N(M102),0)+IF(X102="Liability|payable",N(O102),0)+IF(Y102="Liability|payable",N(P102),0)+IF(Z102="Liability|payable",N(N102),0)</f>
        <v/>
      </c>
      <c r="AF102" s="23">
        <f>IF(V102="Liability|accrued",-N(F102),0)+IF(W102="Liability|accrued",-N(M102),0)+IF(X102="Liability|accrued",N(O102),0)+IF(Y102="Liability|accrued",N(P102),0)+IF(Z102="Liability|accrued",N(N102),0)</f>
        <v/>
      </c>
      <c r="AG102" s="23">
        <f>IF(AND(N(F102)&lt;&gt;0,V102=""),1,0)+IF(AND(N(M102)&lt;&gt;0,W102=""),1,0)+IF(AND(N(O102)&lt;&gt;0,X102=""),1,0)+IF(AND(N(P102)&lt;&gt;0,Y102=""),1,0)+IF(AND(N(N102)&lt;&gt;0,Z102=""),1,0)</f>
        <v/>
      </c>
    </row>
    <row r="103">
      <c r="A103" s="19" t="n"/>
      <c r="B103" s="14" t="n"/>
      <c r="C103" s="14" t="n"/>
      <c r="D103" s="14" t="n"/>
      <c r="E103" s="14" t="n"/>
      <c r="F103" s="20" t="n"/>
      <c r="G103" s="20" t="n"/>
      <c r="H103" s="14" t="n"/>
      <c r="I103" s="14" t="n"/>
      <c r="J103" s="14" t="n"/>
      <c r="K103" s="14" t="n"/>
      <c r="L103" s="14" t="n"/>
      <c r="M103" s="21">
        <f>ROUND(N(F103)*IFERROR(VLOOKUP(K103,'Tax Codes'!$A$5:$E$300,5,FALSE),0),2)</f>
        <v/>
      </c>
      <c r="N103" s="21">
        <f>ROUND(N(F103)*IFERROR(VLOOKUP(L103,'Tax Codes'!$A$5:$E$300,5,FALSE),0),2)</f>
        <v/>
      </c>
      <c r="O103" s="21">
        <f>IF(G103="",N(F103)+M103-N103,N(G103))</f>
        <v/>
      </c>
      <c r="P103" s="21">
        <f>N(F103)+M103-N103-O103</f>
        <v/>
      </c>
      <c r="Q103" s="16">
        <f>IF(C103="",INDEX('Chart of Accounts'!$A$5:$A$3000,MATCH("other_overhead",'Chart of Accounts'!$F$5:$F$3000,0)),C103&amp;"")</f>
        <v/>
      </c>
      <c r="R103" s="16">
        <f>IF(I103="",INDEX('Chart of Accounts'!$A$5:$A$3000,MATCH("bank",'Chart of Accounts'!$F$5:$F$3000,0)),I103&amp;"")</f>
        <v/>
      </c>
      <c r="S103" s="16">
        <f>IF(J103="",INDEX('Chart of Accounts'!$A$5:$A$3000,MATCH("ap",'Chart of Accounts'!$F$5:$F$3000,0)),J103&amp;"")</f>
        <v/>
      </c>
      <c r="T103" s="16">
        <f>INDEX('Chart of Accounts'!$A$5:$A$3000,MATCH("vat_input",'Chart of Accounts'!$F$5:$F$3000,0))</f>
        <v/>
      </c>
      <c r="U103" s="16">
        <f>INDEX('Chart of Accounts'!$A$5:$A$3000,MATCH("wht_payable",'Chart of Accounts'!$F$5:$F$3000,0))</f>
        <v/>
      </c>
      <c r="V103" s="23">
        <f>IFERROR(INDEX('Chart of Accounts'!$C$5:$C$3000,MATCH(Q103&amp;"",'Chart of Accounts'!$A$5:$A$3000,0))&amp;"|"&amp;INDEX('Chart of Accounts'!$D$5:$D$3000,MATCH(Q103&amp;"",'Chart of Accounts'!$A$5:$A$3000,0)),"")</f>
        <v/>
      </c>
      <c r="W103" s="23">
        <f>IFERROR(INDEX('Chart of Accounts'!$C$5:$C$3000,MATCH(T103&amp;"",'Chart of Accounts'!$A$5:$A$3000,0))&amp;"|"&amp;INDEX('Chart of Accounts'!$D$5:$D$3000,MATCH(T103&amp;"",'Chart of Accounts'!$A$5:$A$3000,0)),"")</f>
        <v/>
      </c>
      <c r="X103" s="23">
        <f>IFERROR(INDEX('Chart of Accounts'!$C$5:$C$3000,MATCH(R103&amp;"",'Chart of Accounts'!$A$5:$A$3000,0))&amp;"|"&amp;INDEX('Chart of Accounts'!$D$5:$D$3000,MATCH(R103&amp;"",'Chart of Accounts'!$A$5:$A$3000,0)),"")</f>
        <v/>
      </c>
      <c r="Y103" s="23">
        <f>IFERROR(INDEX('Chart of Accounts'!$C$5:$C$3000,MATCH(S103&amp;"",'Chart of Accounts'!$A$5:$A$3000,0))&amp;"|"&amp;INDEX('Chart of Accounts'!$D$5:$D$3000,MATCH(S103&amp;"",'Chart of Accounts'!$A$5:$A$3000,0)),"")</f>
        <v/>
      </c>
      <c r="Z103" s="23">
        <f>IFERROR(INDEX('Chart of Accounts'!$C$5:$C$3000,MATCH(U103&amp;"",'Chart of Accounts'!$A$5:$A$3000,0))&amp;"|"&amp;INDEX('Chart of Accounts'!$D$5:$D$3000,MATCH(U103&amp;"",'Chart of Accounts'!$A$5:$A$3000,0)),"")</f>
        <v/>
      </c>
      <c r="AA103" s="23">
        <f>IF(LEFT(V103,8)="Revenue|",-N(F103),0)+IF(LEFT(W103,8)="Revenue|",-N(M103),0)+IF(LEFT(X103,8)="Revenue|",N(O103),0)+IF(LEFT(Y103,8)="Revenue|",N(P103),0)+IF(LEFT(Z103,8)="Revenue|",N(N103),0)</f>
        <v/>
      </c>
      <c r="AB103" s="23">
        <f>IF(LEFT(V103,5)="COGS|",N(F103),0)+IF(LEFT(W103,5)="COGS|",N(M103),0)+IF(LEFT(X103,5)="COGS|",-N(O103),0)+IF(LEFT(Y103,5)="COGS|",-N(P103),0)+IF(LEFT(Z103,5)="COGS|",-N(N103),0)</f>
        <v/>
      </c>
      <c r="AC103" s="23">
        <f>IF(LEFT(V103,8)="Expense|",N(F103),0)+IF(LEFT(W103,8)="Expense|",N(M103),0)+IF(LEFT(X103,8)="Expense|",-N(O103),0)+IF(LEFT(Y103,8)="Expense|",-N(P103),0)+IF(LEFT(Z103,8)="Expense|",-N(N103),0)</f>
        <v/>
      </c>
      <c r="AD103" s="23">
        <f>IF(ISNUMBER(MATCH(V103,{"Expense|employee","Expense|general_admin","Expense|marketing","Expense|utilities","Expense|other_operating"},0)),N(F103),0)+IF(ISNUMBER(MATCH(W103,{"Expense|employee","Expense|general_admin","Expense|marketing","Expense|utilities","Expense|other_operating"},0)),N(M103),0)+IF(ISNUMBER(MATCH(X103,{"Expense|employee","Expense|general_admin","Expense|marketing","Expense|utilities","Expense|other_operating"},0)),-N(O103),0)+IF(ISNUMBER(MATCH(Y103,{"Expense|employee","Expense|general_admin","Expense|marketing","Expense|utilities","Expense|other_operating"},0)),-N(P103),0)+IF(ISNUMBER(MATCH(Z103,{"Expense|employee","Expense|general_admin","Expense|marketing","Expense|utilities","Expense|other_operating"},0)),-N(N103),0)</f>
        <v/>
      </c>
      <c r="AE103" s="23">
        <f>IF(V103="Liability|payable",-N(F103),0)+IF(W103="Liability|payable",-N(M103),0)+IF(X103="Liability|payable",N(O103),0)+IF(Y103="Liability|payable",N(P103),0)+IF(Z103="Liability|payable",N(N103),0)</f>
        <v/>
      </c>
      <c r="AF103" s="23">
        <f>IF(V103="Liability|accrued",-N(F103),0)+IF(W103="Liability|accrued",-N(M103),0)+IF(X103="Liability|accrued",N(O103),0)+IF(Y103="Liability|accrued",N(P103),0)+IF(Z103="Liability|accrued",N(N103),0)</f>
        <v/>
      </c>
      <c r="AG103" s="23">
        <f>IF(AND(N(F103)&lt;&gt;0,V103=""),1,0)+IF(AND(N(M103)&lt;&gt;0,W103=""),1,0)+IF(AND(N(O103)&lt;&gt;0,X103=""),1,0)+IF(AND(N(P103)&lt;&gt;0,Y103=""),1,0)+IF(AND(N(N103)&lt;&gt;0,Z103=""),1,0)</f>
        <v/>
      </c>
    </row>
    <row r="104">
      <c r="A104" s="19" t="n"/>
      <c r="B104" s="14" t="n"/>
      <c r="C104" s="14" t="n"/>
      <c r="D104" s="14" t="n"/>
      <c r="E104" s="14" t="n"/>
      <c r="F104" s="20" t="n"/>
      <c r="G104" s="20" t="n"/>
      <c r="H104" s="14" t="n"/>
      <c r="I104" s="14" t="n"/>
      <c r="J104" s="14" t="n"/>
      <c r="K104" s="14" t="n"/>
      <c r="L104" s="14" t="n"/>
      <c r="M104" s="21">
        <f>ROUND(N(F104)*IFERROR(VLOOKUP(K104,'Tax Codes'!$A$5:$E$300,5,FALSE),0),2)</f>
        <v/>
      </c>
      <c r="N104" s="21">
        <f>ROUND(N(F104)*IFERROR(VLOOKUP(L104,'Tax Codes'!$A$5:$E$300,5,FALSE),0),2)</f>
        <v/>
      </c>
      <c r="O104" s="21">
        <f>IF(G104="",N(F104)+M104-N104,N(G104))</f>
        <v/>
      </c>
      <c r="P104" s="21">
        <f>N(F104)+M104-N104-O104</f>
        <v/>
      </c>
      <c r="Q104" s="16">
        <f>IF(C104="",INDEX('Chart of Accounts'!$A$5:$A$3000,MATCH("other_overhead",'Chart of Accounts'!$F$5:$F$3000,0)),C104&amp;"")</f>
        <v/>
      </c>
      <c r="R104" s="16">
        <f>IF(I104="",INDEX('Chart of Accounts'!$A$5:$A$3000,MATCH("bank",'Chart of Accounts'!$F$5:$F$3000,0)),I104&amp;"")</f>
        <v/>
      </c>
      <c r="S104" s="16">
        <f>IF(J104="",INDEX('Chart of Accounts'!$A$5:$A$3000,MATCH("ap",'Chart of Accounts'!$F$5:$F$3000,0)),J104&amp;"")</f>
        <v/>
      </c>
      <c r="T104" s="16">
        <f>INDEX('Chart of Accounts'!$A$5:$A$3000,MATCH("vat_input",'Chart of Accounts'!$F$5:$F$3000,0))</f>
        <v/>
      </c>
      <c r="U104" s="16">
        <f>INDEX('Chart of Accounts'!$A$5:$A$3000,MATCH("wht_payable",'Chart of Accounts'!$F$5:$F$3000,0))</f>
        <v/>
      </c>
      <c r="V104" s="23">
        <f>IFERROR(INDEX('Chart of Accounts'!$C$5:$C$3000,MATCH(Q104&amp;"",'Chart of Accounts'!$A$5:$A$3000,0))&amp;"|"&amp;INDEX('Chart of Accounts'!$D$5:$D$3000,MATCH(Q104&amp;"",'Chart of Accounts'!$A$5:$A$3000,0)),"")</f>
        <v/>
      </c>
      <c r="W104" s="23">
        <f>IFERROR(INDEX('Chart of Accounts'!$C$5:$C$3000,MATCH(T104&amp;"",'Chart of Accounts'!$A$5:$A$3000,0))&amp;"|"&amp;INDEX('Chart of Accounts'!$D$5:$D$3000,MATCH(T104&amp;"",'Chart of Accounts'!$A$5:$A$3000,0)),"")</f>
        <v/>
      </c>
      <c r="X104" s="23">
        <f>IFERROR(INDEX('Chart of Accounts'!$C$5:$C$3000,MATCH(R104&amp;"",'Chart of Accounts'!$A$5:$A$3000,0))&amp;"|"&amp;INDEX('Chart of Accounts'!$D$5:$D$3000,MATCH(R104&amp;"",'Chart of Accounts'!$A$5:$A$3000,0)),"")</f>
        <v/>
      </c>
      <c r="Y104" s="23">
        <f>IFERROR(INDEX('Chart of Accounts'!$C$5:$C$3000,MATCH(S104&amp;"",'Chart of Accounts'!$A$5:$A$3000,0))&amp;"|"&amp;INDEX('Chart of Accounts'!$D$5:$D$3000,MATCH(S104&amp;"",'Chart of Accounts'!$A$5:$A$3000,0)),"")</f>
        <v/>
      </c>
      <c r="Z104" s="23">
        <f>IFERROR(INDEX('Chart of Accounts'!$C$5:$C$3000,MATCH(U104&amp;"",'Chart of Accounts'!$A$5:$A$3000,0))&amp;"|"&amp;INDEX('Chart of Accounts'!$D$5:$D$3000,MATCH(U104&amp;"",'Chart of Accounts'!$A$5:$A$3000,0)),"")</f>
        <v/>
      </c>
      <c r="AA104" s="23">
        <f>IF(LEFT(V104,8)="Revenue|",-N(F104),0)+IF(LEFT(W104,8)="Revenue|",-N(M104),0)+IF(LEFT(X104,8)="Revenue|",N(O104),0)+IF(LEFT(Y104,8)="Revenue|",N(P104),0)+IF(LEFT(Z104,8)="Revenue|",N(N104),0)</f>
        <v/>
      </c>
      <c r="AB104" s="23">
        <f>IF(LEFT(V104,5)="COGS|",N(F104),0)+IF(LEFT(W104,5)="COGS|",N(M104),0)+IF(LEFT(X104,5)="COGS|",-N(O104),0)+IF(LEFT(Y104,5)="COGS|",-N(P104),0)+IF(LEFT(Z104,5)="COGS|",-N(N104),0)</f>
        <v/>
      </c>
      <c r="AC104" s="23">
        <f>IF(LEFT(V104,8)="Expense|",N(F104),0)+IF(LEFT(W104,8)="Expense|",N(M104),0)+IF(LEFT(X104,8)="Expense|",-N(O104),0)+IF(LEFT(Y104,8)="Expense|",-N(P104),0)+IF(LEFT(Z104,8)="Expense|",-N(N104),0)</f>
        <v/>
      </c>
      <c r="AD104" s="23">
        <f>IF(ISNUMBER(MATCH(V104,{"Expense|employee","Expense|general_admin","Expense|marketing","Expense|utilities","Expense|other_operating"},0)),N(F104),0)+IF(ISNUMBER(MATCH(W104,{"Expense|employee","Expense|general_admin","Expense|marketing","Expense|utilities","Expense|other_operating"},0)),N(M104),0)+IF(ISNUMBER(MATCH(X104,{"Expense|employee","Expense|general_admin","Expense|marketing","Expense|utilities","Expense|other_operating"},0)),-N(O104),0)+IF(ISNUMBER(MATCH(Y104,{"Expense|employee","Expense|general_admin","Expense|marketing","Expense|utilities","Expense|other_operating"},0)),-N(P104),0)+IF(ISNUMBER(MATCH(Z104,{"Expense|employee","Expense|general_admin","Expense|marketing","Expense|utilities","Expense|other_operating"},0)),-N(N104),0)</f>
        <v/>
      </c>
      <c r="AE104" s="23">
        <f>IF(V104="Liability|payable",-N(F104),0)+IF(W104="Liability|payable",-N(M104),0)+IF(X104="Liability|payable",N(O104),0)+IF(Y104="Liability|payable",N(P104),0)+IF(Z104="Liability|payable",N(N104),0)</f>
        <v/>
      </c>
      <c r="AF104" s="23">
        <f>IF(V104="Liability|accrued",-N(F104),0)+IF(W104="Liability|accrued",-N(M104),0)+IF(X104="Liability|accrued",N(O104),0)+IF(Y104="Liability|accrued",N(P104),0)+IF(Z104="Liability|accrued",N(N104),0)</f>
        <v/>
      </c>
      <c r="AG104" s="23">
        <f>IF(AND(N(F104)&lt;&gt;0,V104=""),1,0)+IF(AND(N(M104)&lt;&gt;0,W104=""),1,0)+IF(AND(N(O104)&lt;&gt;0,X104=""),1,0)+IF(AND(N(P104)&lt;&gt;0,Y104=""),1,0)+IF(AND(N(N104)&lt;&gt;0,Z104=""),1,0)</f>
        <v/>
      </c>
    </row>
    <row r="105">
      <c r="A105" s="19" t="n"/>
      <c r="B105" s="14" t="n"/>
      <c r="C105" s="14" t="n"/>
      <c r="D105" s="14" t="n"/>
      <c r="E105" s="14" t="n"/>
      <c r="F105" s="20" t="n"/>
      <c r="G105" s="20" t="n"/>
      <c r="H105" s="14" t="n"/>
      <c r="I105" s="14" t="n"/>
      <c r="J105" s="14" t="n"/>
      <c r="K105" s="14" t="n"/>
      <c r="L105" s="14" t="n"/>
      <c r="M105" s="21">
        <f>ROUND(N(F105)*IFERROR(VLOOKUP(K105,'Tax Codes'!$A$5:$E$300,5,FALSE),0),2)</f>
        <v/>
      </c>
      <c r="N105" s="21">
        <f>ROUND(N(F105)*IFERROR(VLOOKUP(L105,'Tax Codes'!$A$5:$E$300,5,FALSE),0),2)</f>
        <v/>
      </c>
      <c r="O105" s="21">
        <f>IF(G105="",N(F105)+M105-N105,N(G105))</f>
        <v/>
      </c>
      <c r="P105" s="21">
        <f>N(F105)+M105-N105-O105</f>
        <v/>
      </c>
      <c r="Q105" s="16">
        <f>IF(C105="",INDEX('Chart of Accounts'!$A$5:$A$3000,MATCH("other_overhead",'Chart of Accounts'!$F$5:$F$3000,0)),C105&amp;"")</f>
        <v/>
      </c>
      <c r="R105" s="16">
        <f>IF(I105="",INDEX('Chart of Accounts'!$A$5:$A$3000,MATCH("bank",'Chart of Accounts'!$F$5:$F$3000,0)),I105&amp;"")</f>
        <v/>
      </c>
      <c r="S105" s="16">
        <f>IF(J105="",INDEX('Chart of Accounts'!$A$5:$A$3000,MATCH("ap",'Chart of Accounts'!$F$5:$F$3000,0)),J105&amp;"")</f>
        <v/>
      </c>
      <c r="T105" s="16">
        <f>INDEX('Chart of Accounts'!$A$5:$A$3000,MATCH("vat_input",'Chart of Accounts'!$F$5:$F$3000,0))</f>
        <v/>
      </c>
      <c r="U105" s="16">
        <f>INDEX('Chart of Accounts'!$A$5:$A$3000,MATCH("wht_payable",'Chart of Accounts'!$F$5:$F$3000,0))</f>
        <v/>
      </c>
      <c r="V105" s="23">
        <f>IFERROR(INDEX('Chart of Accounts'!$C$5:$C$3000,MATCH(Q105&amp;"",'Chart of Accounts'!$A$5:$A$3000,0))&amp;"|"&amp;INDEX('Chart of Accounts'!$D$5:$D$3000,MATCH(Q105&amp;"",'Chart of Accounts'!$A$5:$A$3000,0)),"")</f>
        <v/>
      </c>
      <c r="W105" s="23">
        <f>IFERROR(INDEX('Chart of Accounts'!$C$5:$C$3000,MATCH(T105&amp;"",'Chart of Accounts'!$A$5:$A$3000,0))&amp;"|"&amp;INDEX('Chart of Accounts'!$D$5:$D$3000,MATCH(T105&amp;"",'Chart of Accounts'!$A$5:$A$3000,0)),"")</f>
        <v/>
      </c>
      <c r="X105" s="23">
        <f>IFERROR(INDEX('Chart of Accounts'!$C$5:$C$3000,MATCH(R105&amp;"",'Chart of Accounts'!$A$5:$A$3000,0))&amp;"|"&amp;INDEX('Chart of Accounts'!$D$5:$D$3000,MATCH(R105&amp;"",'Chart of Accounts'!$A$5:$A$3000,0)),"")</f>
        <v/>
      </c>
      <c r="Y105" s="23">
        <f>IFERROR(INDEX('Chart of Accounts'!$C$5:$C$3000,MATCH(S105&amp;"",'Chart of Accounts'!$A$5:$A$3000,0))&amp;"|"&amp;INDEX('Chart of Accounts'!$D$5:$D$3000,MATCH(S105&amp;"",'Chart of Accounts'!$A$5:$A$3000,0)),"")</f>
        <v/>
      </c>
      <c r="Z105" s="23">
        <f>IFERROR(INDEX('Chart of Accounts'!$C$5:$C$3000,MATCH(U105&amp;"",'Chart of Accounts'!$A$5:$A$3000,0))&amp;"|"&amp;INDEX('Chart of Accounts'!$D$5:$D$3000,MATCH(U105&amp;"",'Chart of Accounts'!$A$5:$A$3000,0)),"")</f>
        <v/>
      </c>
      <c r="AA105" s="23">
        <f>IF(LEFT(V105,8)="Revenue|",-N(F105),0)+IF(LEFT(W105,8)="Revenue|",-N(M105),0)+IF(LEFT(X105,8)="Revenue|",N(O105),0)+IF(LEFT(Y105,8)="Revenue|",N(P105),0)+IF(LEFT(Z105,8)="Revenue|",N(N105),0)</f>
        <v/>
      </c>
      <c r="AB105" s="23">
        <f>IF(LEFT(V105,5)="COGS|",N(F105),0)+IF(LEFT(W105,5)="COGS|",N(M105),0)+IF(LEFT(X105,5)="COGS|",-N(O105),0)+IF(LEFT(Y105,5)="COGS|",-N(P105),0)+IF(LEFT(Z105,5)="COGS|",-N(N105),0)</f>
        <v/>
      </c>
      <c r="AC105" s="23">
        <f>IF(LEFT(V105,8)="Expense|",N(F105),0)+IF(LEFT(W105,8)="Expense|",N(M105),0)+IF(LEFT(X105,8)="Expense|",-N(O105),0)+IF(LEFT(Y105,8)="Expense|",-N(P105),0)+IF(LEFT(Z105,8)="Expense|",-N(N105),0)</f>
        <v/>
      </c>
      <c r="AD105" s="23">
        <f>IF(ISNUMBER(MATCH(V105,{"Expense|employee","Expense|general_admin","Expense|marketing","Expense|utilities","Expense|other_operating"},0)),N(F105),0)+IF(ISNUMBER(MATCH(W105,{"Expense|employee","Expense|general_admin","Expense|marketing","Expense|utilities","Expense|other_operating"},0)),N(M105),0)+IF(ISNUMBER(MATCH(X105,{"Expense|employee","Expense|general_admin","Expense|marketing","Expense|utilities","Expense|other_operating"},0)),-N(O105),0)+IF(ISNUMBER(MATCH(Y105,{"Expense|employee","Expense|general_admin","Expense|marketing","Expense|utilities","Expense|other_operating"},0)),-N(P105),0)+IF(ISNUMBER(MATCH(Z105,{"Expense|employee","Expense|general_admin","Expense|marketing","Expense|utilities","Expense|other_operating"},0)),-N(N105),0)</f>
        <v/>
      </c>
      <c r="AE105" s="23">
        <f>IF(V105="Liability|payable",-N(F105),0)+IF(W105="Liability|payable",-N(M105),0)+IF(X105="Liability|payable",N(O105),0)+IF(Y105="Liability|payable",N(P105),0)+IF(Z105="Liability|payable",N(N105),0)</f>
        <v/>
      </c>
      <c r="AF105" s="23">
        <f>IF(V105="Liability|accrued",-N(F105),0)+IF(W105="Liability|accrued",-N(M105),0)+IF(X105="Liability|accrued",N(O105),0)+IF(Y105="Liability|accrued",N(P105),0)+IF(Z105="Liability|accrued",N(N105),0)</f>
        <v/>
      </c>
      <c r="AG105" s="23">
        <f>IF(AND(N(F105)&lt;&gt;0,V105=""),1,0)+IF(AND(N(M105)&lt;&gt;0,W105=""),1,0)+IF(AND(N(O105)&lt;&gt;0,X105=""),1,0)+IF(AND(N(P105)&lt;&gt;0,Y105=""),1,0)+IF(AND(N(N105)&lt;&gt;0,Z105=""),1,0)</f>
        <v/>
      </c>
    </row>
    <row r="106">
      <c r="A106" s="19" t="n"/>
      <c r="B106" s="14" t="n"/>
      <c r="C106" s="14" t="n"/>
      <c r="D106" s="14" t="n"/>
      <c r="E106" s="14" t="n"/>
      <c r="F106" s="20" t="n"/>
      <c r="G106" s="20" t="n"/>
      <c r="H106" s="14" t="n"/>
      <c r="I106" s="14" t="n"/>
      <c r="J106" s="14" t="n"/>
      <c r="K106" s="14" t="n"/>
      <c r="L106" s="14" t="n"/>
      <c r="M106" s="21">
        <f>ROUND(N(F106)*IFERROR(VLOOKUP(K106,'Tax Codes'!$A$5:$E$300,5,FALSE),0),2)</f>
        <v/>
      </c>
      <c r="N106" s="21">
        <f>ROUND(N(F106)*IFERROR(VLOOKUP(L106,'Tax Codes'!$A$5:$E$300,5,FALSE),0),2)</f>
        <v/>
      </c>
      <c r="O106" s="21">
        <f>IF(G106="",N(F106)+M106-N106,N(G106))</f>
        <v/>
      </c>
      <c r="P106" s="21">
        <f>N(F106)+M106-N106-O106</f>
        <v/>
      </c>
      <c r="Q106" s="16">
        <f>IF(C106="",INDEX('Chart of Accounts'!$A$5:$A$3000,MATCH("other_overhead",'Chart of Accounts'!$F$5:$F$3000,0)),C106&amp;"")</f>
        <v/>
      </c>
      <c r="R106" s="16">
        <f>IF(I106="",INDEX('Chart of Accounts'!$A$5:$A$3000,MATCH("bank",'Chart of Accounts'!$F$5:$F$3000,0)),I106&amp;"")</f>
        <v/>
      </c>
      <c r="S106" s="16">
        <f>IF(J106="",INDEX('Chart of Accounts'!$A$5:$A$3000,MATCH("ap",'Chart of Accounts'!$F$5:$F$3000,0)),J106&amp;"")</f>
        <v/>
      </c>
      <c r="T106" s="16">
        <f>INDEX('Chart of Accounts'!$A$5:$A$3000,MATCH("vat_input",'Chart of Accounts'!$F$5:$F$3000,0))</f>
        <v/>
      </c>
      <c r="U106" s="16">
        <f>INDEX('Chart of Accounts'!$A$5:$A$3000,MATCH("wht_payable",'Chart of Accounts'!$F$5:$F$3000,0))</f>
        <v/>
      </c>
      <c r="V106" s="23">
        <f>IFERROR(INDEX('Chart of Accounts'!$C$5:$C$3000,MATCH(Q106&amp;"",'Chart of Accounts'!$A$5:$A$3000,0))&amp;"|"&amp;INDEX('Chart of Accounts'!$D$5:$D$3000,MATCH(Q106&amp;"",'Chart of Accounts'!$A$5:$A$3000,0)),"")</f>
        <v/>
      </c>
      <c r="W106" s="23">
        <f>IFERROR(INDEX('Chart of Accounts'!$C$5:$C$3000,MATCH(T106&amp;"",'Chart of Accounts'!$A$5:$A$3000,0))&amp;"|"&amp;INDEX('Chart of Accounts'!$D$5:$D$3000,MATCH(T106&amp;"",'Chart of Accounts'!$A$5:$A$3000,0)),"")</f>
        <v/>
      </c>
      <c r="X106" s="23">
        <f>IFERROR(INDEX('Chart of Accounts'!$C$5:$C$3000,MATCH(R106&amp;"",'Chart of Accounts'!$A$5:$A$3000,0))&amp;"|"&amp;INDEX('Chart of Accounts'!$D$5:$D$3000,MATCH(R106&amp;"",'Chart of Accounts'!$A$5:$A$3000,0)),"")</f>
        <v/>
      </c>
      <c r="Y106" s="23">
        <f>IFERROR(INDEX('Chart of Accounts'!$C$5:$C$3000,MATCH(S106&amp;"",'Chart of Accounts'!$A$5:$A$3000,0))&amp;"|"&amp;INDEX('Chart of Accounts'!$D$5:$D$3000,MATCH(S106&amp;"",'Chart of Accounts'!$A$5:$A$3000,0)),"")</f>
        <v/>
      </c>
      <c r="Z106" s="23">
        <f>IFERROR(INDEX('Chart of Accounts'!$C$5:$C$3000,MATCH(U106&amp;"",'Chart of Accounts'!$A$5:$A$3000,0))&amp;"|"&amp;INDEX('Chart of Accounts'!$D$5:$D$3000,MATCH(U106&amp;"",'Chart of Accounts'!$A$5:$A$3000,0)),"")</f>
        <v/>
      </c>
      <c r="AA106" s="23">
        <f>IF(LEFT(V106,8)="Revenue|",-N(F106),0)+IF(LEFT(W106,8)="Revenue|",-N(M106),0)+IF(LEFT(X106,8)="Revenue|",N(O106),0)+IF(LEFT(Y106,8)="Revenue|",N(P106),0)+IF(LEFT(Z106,8)="Revenue|",N(N106),0)</f>
        <v/>
      </c>
      <c r="AB106" s="23">
        <f>IF(LEFT(V106,5)="COGS|",N(F106),0)+IF(LEFT(W106,5)="COGS|",N(M106),0)+IF(LEFT(X106,5)="COGS|",-N(O106),0)+IF(LEFT(Y106,5)="COGS|",-N(P106),0)+IF(LEFT(Z106,5)="COGS|",-N(N106),0)</f>
        <v/>
      </c>
      <c r="AC106" s="23">
        <f>IF(LEFT(V106,8)="Expense|",N(F106),0)+IF(LEFT(W106,8)="Expense|",N(M106),0)+IF(LEFT(X106,8)="Expense|",-N(O106),0)+IF(LEFT(Y106,8)="Expense|",-N(P106),0)+IF(LEFT(Z106,8)="Expense|",-N(N106),0)</f>
        <v/>
      </c>
      <c r="AD106" s="23">
        <f>IF(ISNUMBER(MATCH(V106,{"Expense|employee","Expense|general_admin","Expense|marketing","Expense|utilities","Expense|other_operating"},0)),N(F106),0)+IF(ISNUMBER(MATCH(W106,{"Expense|employee","Expense|general_admin","Expense|marketing","Expense|utilities","Expense|other_operating"},0)),N(M106),0)+IF(ISNUMBER(MATCH(X106,{"Expense|employee","Expense|general_admin","Expense|marketing","Expense|utilities","Expense|other_operating"},0)),-N(O106),0)+IF(ISNUMBER(MATCH(Y106,{"Expense|employee","Expense|general_admin","Expense|marketing","Expense|utilities","Expense|other_operating"},0)),-N(P106),0)+IF(ISNUMBER(MATCH(Z106,{"Expense|employee","Expense|general_admin","Expense|marketing","Expense|utilities","Expense|other_operating"},0)),-N(N106),0)</f>
        <v/>
      </c>
      <c r="AE106" s="23">
        <f>IF(V106="Liability|payable",-N(F106),0)+IF(W106="Liability|payable",-N(M106),0)+IF(X106="Liability|payable",N(O106),0)+IF(Y106="Liability|payable",N(P106),0)+IF(Z106="Liability|payable",N(N106),0)</f>
        <v/>
      </c>
      <c r="AF106" s="23">
        <f>IF(V106="Liability|accrued",-N(F106),0)+IF(W106="Liability|accrued",-N(M106),0)+IF(X106="Liability|accrued",N(O106),0)+IF(Y106="Liability|accrued",N(P106),0)+IF(Z106="Liability|accrued",N(N106),0)</f>
        <v/>
      </c>
      <c r="AG106" s="23">
        <f>IF(AND(N(F106)&lt;&gt;0,V106=""),1,0)+IF(AND(N(M106)&lt;&gt;0,W106=""),1,0)+IF(AND(N(O106)&lt;&gt;0,X106=""),1,0)+IF(AND(N(P106)&lt;&gt;0,Y106=""),1,0)+IF(AND(N(N106)&lt;&gt;0,Z106=""),1,0)</f>
        <v/>
      </c>
    </row>
    <row r="107">
      <c r="A107" s="19" t="n"/>
      <c r="B107" s="14" t="n"/>
      <c r="C107" s="14" t="n"/>
      <c r="D107" s="14" t="n"/>
      <c r="E107" s="14" t="n"/>
      <c r="F107" s="20" t="n"/>
      <c r="G107" s="20" t="n"/>
      <c r="H107" s="14" t="n"/>
      <c r="I107" s="14" t="n"/>
      <c r="J107" s="14" t="n"/>
      <c r="K107" s="14" t="n"/>
      <c r="L107" s="14" t="n"/>
      <c r="M107" s="21">
        <f>ROUND(N(F107)*IFERROR(VLOOKUP(K107,'Tax Codes'!$A$5:$E$300,5,FALSE),0),2)</f>
        <v/>
      </c>
      <c r="N107" s="21">
        <f>ROUND(N(F107)*IFERROR(VLOOKUP(L107,'Tax Codes'!$A$5:$E$300,5,FALSE),0),2)</f>
        <v/>
      </c>
      <c r="O107" s="21">
        <f>IF(G107="",N(F107)+M107-N107,N(G107))</f>
        <v/>
      </c>
      <c r="P107" s="21">
        <f>N(F107)+M107-N107-O107</f>
        <v/>
      </c>
      <c r="Q107" s="16">
        <f>IF(C107="",INDEX('Chart of Accounts'!$A$5:$A$3000,MATCH("other_overhead",'Chart of Accounts'!$F$5:$F$3000,0)),C107&amp;"")</f>
        <v/>
      </c>
      <c r="R107" s="16">
        <f>IF(I107="",INDEX('Chart of Accounts'!$A$5:$A$3000,MATCH("bank",'Chart of Accounts'!$F$5:$F$3000,0)),I107&amp;"")</f>
        <v/>
      </c>
      <c r="S107" s="16">
        <f>IF(J107="",INDEX('Chart of Accounts'!$A$5:$A$3000,MATCH("ap",'Chart of Accounts'!$F$5:$F$3000,0)),J107&amp;"")</f>
        <v/>
      </c>
      <c r="T107" s="16">
        <f>INDEX('Chart of Accounts'!$A$5:$A$3000,MATCH("vat_input",'Chart of Accounts'!$F$5:$F$3000,0))</f>
        <v/>
      </c>
      <c r="U107" s="16">
        <f>INDEX('Chart of Accounts'!$A$5:$A$3000,MATCH("wht_payable",'Chart of Accounts'!$F$5:$F$3000,0))</f>
        <v/>
      </c>
      <c r="V107" s="23">
        <f>IFERROR(INDEX('Chart of Accounts'!$C$5:$C$3000,MATCH(Q107&amp;"",'Chart of Accounts'!$A$5:$A$3000,0))&amp;"|"&amp;INDEX('Chart of Accounts'!$D$5:$D$3000,MATCH(Q107&amp;"",'Chart of Accounts'!$A$5:$A$3000,0)),"")</f>
        <v/>
      </c>
      <c r="W107" s="23">
        <f>IFERROR(INDEX('Chart of Accounts'!$C$5:$C$3000,MATCH(T107&amp;"",'Chart of Accounts'!$A$5:$A$3000,0))&amp;"|"&amp;INDEX('Chart of Accounts'!$D$5:$D$3000,MATCH(T107&amp;"",'Chart of Accounts'!$A$5:$A$3000,0)),"")</f>
        <v/>
      </c>
      <c r="X107" s="23">
        <f>IFERROR(INDEX('Chart of Accounts'!$C$5:$C$3000,MATCH(R107&amp;"",'Chart of Accounts'!$A$5:$A$3000,0))&amp;"|"&amp;INDEX('Chart of Accounts'!$D$5:$D$3000,MATCH(R107&amp;"",'Chart of Accounts'!$A$5:$A$3000,0)),"")</f>
        <v/>
      </c>
      <c r="Y107" s="23">
        <f>IFERROR(INDEX('Chart of Accounts'!$C$5:$C$3000,MATCH(S107&amp;"",'Chart of Accounts'!$A$5:$A$3000,0))&amp;"|"&amp;INDEX('Chart of Accounts'!$D$5:$D$3000,MATCH(S107&amp;"",'Chart of Accounts'!$A$5:$A$3000,0)),"")</f>
        <v/>
      </c>
      <c r="Z107" s="23">
        <f>IFERROR(INDEX('Chart of Accounts'!$C$5:$C$3000,MATCH(U107&amp;"",'Chart of Accounts'!$A$5:$A$3000,0))&amp;"|"&amp;INDEX('Chart of Accounts'!$D$5:$D$3000,MATCH(U107&amp;"",'Chart of Accounts'!$A$5:$A$3000,0)),"")</f>
        <v/>
      </c>
      <c r="AA107" s="23">
        <f>IF(LEFT(V107,8)="Revenue|",-N(F107),0)+IF(LEFT(W107,8)="Revenue|",-N(M107),0)+IF(LEFT(X107,8)="Revenue|",N(O107),0)+IF(LEFT(Y107,8)="Revenue|",N(P107),0)+IF(LEFT(Z107,8)="Revenue|",N(N107),0)</f>
        <v/>
      </c>
      <c r="AB107" s="23">
        <f>IF(LEFT(V107,5)="COGS|",N(F107),0)+IF(LEFT(W107,5)="COGS|",N(M107),0)+IF(LEFT(X107,5)="COGS|",-N(O107),0)+IF(LEFT(Y107,5)="COGS|",-N(P107),0)+IF(LEFT(Z107,5)="COGS|",-N(N107),0)</f>
        <v/>
      </c>
      <c r="AC107" s="23">
        <f>IF(LEFT(V107,8)="Expense|",N(F107),0)+IF(LEFT(W107,8)="Expense|",N(M107),0)+IF(LEFT(X107,8)="Expense|",-N(O107),0)+IF(LEFT(Y107,8)="Expense|",-N(P107),0)+IF(LEFT(Z107,8)="Expense|",-N(N107),0)</f>
        <v/>
      </c>
      <c r="AD107" s="23">
        <f>IF(ISNUMBER(MATCH(V107,{"Expense|employee","Expense|general_admin","Expense|marketing","Expense|utilities","Expense|other_operating"},0)),N(F107),0)+IF(ISNUMBER(MATCH(W107,{"Expense|employee","Expense|general_admin","Expense|marketing","Expense|utilities","Expense|other_operating"},0)),N(M107),0)+IF(ISNUMBER(MATCH(X107,{"Expense|employee","Expense|general_admin","Expense|marketing","Expense|utilities","Expense|other_operating"},0)),-N(O107),0)+IF(ISNUMBER(MATCH(Y107,{"Expense|employee","Expense|general_admin","Expense|marketing","Expense|utilities","Expense|other_operating"},0)),-N(P107),0)+IF(ISNUMBER(MATCH(Z107,{"Expense|employee","Expense|general_admin","Expense|marketing","Expense|utilities","Expense|other_operating"},0)),-N(N107),0)</f>
        <v/>
      </c>
      <c r="AE107" s="23">
        <f>IF(V107="Liability|payable",-N(F107),0)+IF(W107="Liability|payable",-N(M107),0)+IF(X107="Liability|payable",N(O107),0)+IF(Y107="Liability|payable",N(P107),0)+IF(Z107="Liability|payable",N(N107),0)</f>
        <v/>
      </c>
      <c r="AF107" s="23">
        <f>IF(V107="Liability|accrued",-N(F107),0)+IF(W107="Liability|accrued",-N(M107),0)+IF(X107="Liability|accrued",N(O107),0)+IF(Y107="Liability|accrued",N(P107),0)+IF(Z107="Liability|accrued",N(N107),0)</f>
        <v/>
      </c>
      <c r="AG107" s="23">
        <f>IF(AND(N(F107)&lt;&gt;0,V107=""),1,0)+IF(AND(N(M107)&lt;&gt;0,W107=""),1,0)+IF(AND(N(O107)&lt;&gt;0,X107=""),1,0)+IF(AND(N(P107)&lt;&gt;0,Y107=""),1,0)+IF(AND(N(N107)&lt;&gt;0,Z107=""),1,0)</f>
        <v/>
      </c>
    </row>
    <row r="108">
      <c r="A108" s="19" t="n"/>
      <c r="B108" s="14" t="n"/>
      <c r="C108" s="14" t="n"/>
      <c r="D108" s="14" t="n"/>
      <c r="E108" s="14" t="n"/>
      <c r="F108" s="20" t="n"/>
      <c r="G108" s="20" t="n"/>
      <c r="H108" s="14" t="n"/>
      <c r="I108" s="14" t="n"/>
      <c r="J108" s="14" t="n"/>
      <c r="K108" s="14" t="n"/>
      <c r="L108" s="14" t="n"/>
      <c r="M108" s="21">
        <f>ROUND(N(F108)*IFERROR(VLOOKUP(K108,'Tax Codes'!$A$5:$E$300,5,FALSE),0),2)</f>
        <v/>
      </c>
      <c r="N108" s="21">
        <f>ROUND(N(F108)*IFERROR(VLOOKUP(L108,'Tax Codes'!$A$5:$E$300,5,FALSE),0),2)</f>
        <v/>
      </c>
      <c r="O108" s="21">
        <f>IF(G108="",N(F108)+M108-N108,N(G108))</f>
        <v/>
      </c>
      <c r="P108" s="21">
        <f>N(F108)+M108-N108-O108</f>
        <v/>
      </c>
      <c r="Q108" s="16">
        <f>IF(C108="",INDEX('Chart of Accounts'!$A$5:$A$3000,MATCH("other_overhead",'Chart of Accounts'!$F$5:$F$3000,0)),C108&amp;"")</f>
        <v/>
      </c>
      <c r="R108" s="16">
        <f>IF(I108="",INDEX('Chart of Accounts'!$A$5:$A$3000,MATCH("bank",'Chart of Accounts'!$F$5:$F$3000,0)),I108&amp;"")</f>
        <v/>
      </c>
      <c r="S108" s="16">
        <f>IF(J108="",INDEX('Chart of Accounts'!$A$5:$A$3000,MATCH("ap",'Chart of Accounts'!$F$5:$F$3000,0)),J108&amp;"")</f>
        <v/>
      </c>
      <c r="T108" s="16">
        <f>INDEX('Chart of Accounts'!$A$5:$A$3000,MATCH("vat_input",'Chart of Accounts'!$F$5:$F$3000,0))</f>
        <v/>
      </c>
      <c r="U108" s="16">
        <f>INDEX('Chart of Accounts'!$A$5:$A$3000,MATCH("wht_payable",'Chart of Accounts'!$F$5:$F$3000,0))</f>
        <v/>
      </c>
      <c r="V108" s="23">
        <f>IFERROR(INDEX('Chart of Accounts'!$C$5:$C$3000,MATCH(Q108&amp;"",'Chart of Accounts'!$A$5:$A$3000,0))&amp;"|"&amp;INDEX('Chart of Accounts'!$D$5:$D$3000,MATCH(Q108&amp;"",'Chart of Accounts'!$A$5:$A$3000,0)),"")</f>
        <v/>
      </c>
      <c r="W108" s="23">
        <f>IFERROR(INDEX('Chart of Accounts'!$C$5:$C$3000,MATCH(T108&amp;"",'Chart of Accounts'!$A$5:$A$3000,0))&amp;"|"&amp;INDEX('Chart of Accounts'!$D$5:$D$3000,MATCH(T108&amp;"",'Chart of Accounts'!$A$5:$A$3000,0)),"")</f>
        <v/>
      </c>
      <c r="X108" s="23">
        <f>IFERROR(INDEX('Chart of Accounts'!$C$5:$C$3000,MATCH(R108&amp;"",'Chart of Accounts'!$A$5:$A$3000,0))&amp;"|"&amp;INDEX('Chart of Accounts'!$D$5:$D$3000,MATCH(R108&amp;"",'Chart of Accounts'!$A$5:$A$3000,0)),"")</f>
        <v/>
      </c>
      <c r="Y108" s="23">
        <f>IFERROR(INDEX('Chart of Accounts'!$C$5:$C$3000,MATCH(S108&amp;"",'Chart of Accounts'!$A$5:$A$3000,0))&amp;"|"&amp;INDEX('Chart of Accounts'!$D$5:$D$3000,MATCH(S108&amp;"",'Chart of Accounts'!$A$5:$A$3000,0)),"")</f>
        <v/>
      </c>
      <c r="Z108" s="23">
        <f>IFERROR(INDEX('Chart of Accounts'!$C$5:$C$3000,MATCH(U108&amp;"",'Chart of Accounts'!$A$5:$A$3000,0))&amp;"|"&amp;INDEX('Chart of Accounts'!$D$5:$D$3000,MATCH(U108&amp;"",'Chart of Accounts'!$A$5:$A$3000,0)),"")</f>
        <v/>
      </c>
      <c r="AA108" s="23">
        <f>IF(LEFT(V108,8)="Revenue|",-N(F108),0)+IF(LEFT(W108,8)="Revenue|",-N(M108),0)+IF(LEFT(X108,8)="Revenue|",N(O108),0)+IF(LEFT(Y108,8)="Revenue|",N(P108),0)+IF(LEFT(Z108,8)="Revenue|",N(N108),0)</f>
        <v/>
      </c>
      <c r="AB108" s="23">
        <f>IF(LEFT(V108,5)="COGS|",N(F108),0)+IF(LEFT(W108,5)="COGS|",N(M108),0)+IF(LEFT(X108,5)="COGS|",-N(O108),0)+IF(LEFT(Y108,5)="COGS|",-N(P108),0)+IF(LEFT(Z108,5)="COGS|",-N(N108),0)</f>
        <v/>
      </c>
      <c r="AC108" s="23">
        <f>IF(LEFT(V108,8)="Expense|",N(F108),0)+IF(LEFT(W108,8)="Expense|",N(M108),0)+IF(LEFT(X108,8)="Expense|",-N(O108),0)+IF(LEFT(Y108,8)="Expense|",-N(P108),0)+IF(LEFT(Z108,8)="Expense|",-N(N108),0)</f>
        <v/>
      </c>
      <c r="AD108" s="23">
        <f>IF(ISNUMBER(MATCH(V108,{"Expense|employee","Expense|general_admin","Expense|marketing","Expense|utilities","Expense|other_operating"},0)),N(F108),0)+IF(ISNUMBER(MATCH(W108,{"Expense|employee","Expense|general_admin","Expense|marketing","Expense|utilities","Expense|other_operating"},0)),N(M108),0)+IF(ISNUMBER(MATCH(X108,{"Expense|employee","Expense|general_admin","Expense|marketing","Expense|utilities","Expense|other_operating"},0)),-N(O108),0)+IF(ISNUMBER(MATCH(Y108,{"Expense|employee","Expense|general_admin","Expense|marketing","Expense|utilities","Expense|other_operating"},0)),-N(P108),0)+IF(ISNUMBER(MATCH(Z108,{"Expense|employee","Expense|general_admin","Expense|marketing","Expense|utilities","Expense|other_operating"},0)),-N(N108),0)</f>
        <v/>
      </c>
      <c r="AE108" s="23">
        <f>IF(V108="Liability|payable",-N(F108),0)+IF(W108="Liability|payable",-N(M108),0)+IF(X108="Liability|payable",N(O108),0)+IF(Y108="Liability|payable",N(P108),0)+IF(Z108="Liability|payable",N(N108),0)</f>
        <v/>
      </c>
      <c r="AF108" s="23">
        <f>IF(V108="Liability|accrued",-N(F108),0)+IF(W108="Liability|accrued",-N(M108),0)+IF(X108="Liability|accrued",N(O108),0)+IF(Y108="Liability|accrued",N(P108),0)+IF(Z108="Liability|accrued",N(N108),0)</f>
        <v/>
      </c>
      <c r="AG108" s="23">
        <f>IF(AND(N(F108)&lt;&gt;0,V108=""),1,0)+IF(AND(N(M108)&lt;&gt;0,W108=""),1,0)+IF(AND(N(O108)&lt;&gt;0,X108=""),1,0)+IF(AND(N(P108)&lt;&gt;0,Y108=""),1,0)+IF(AND(N(N108)&lt;&gt;0,Z108=""),1,0)</f>
        <v/>
      </c>
    </row>
    <row r="109">
      <c r="A109" s="19" t="n"/>
      <c r="B109" s="14" t="n"/>
      <c r="C109" s="14" t="n"/>
      <c r="D109" s="14" t="n"/>
      <c r="E109" s="14" t="n"/>
      <c r="F109" s="20" t="n"/>
      <c r="G109" s="20" t="n"/>
      <c r="H109" s="14" t="n"/>
      <c r="I109" s="14" t="n"/>
      <c r="J109" s="14" t="n"/>
      <c r="K109" s="14" t="n"/>
      <c r="L109" s="14" t="n"/>
      <c r="M109" s="21">
        <f>ROUND(N(F109)*IFERROR(VLOOKUP(K109,'Tax Codes'!$A$5:$E$300,5,FALSE),0),2)</f>
        <v/>
      </c>
      <c r="N109" s="21">
        <f>ROUND(N(F109)*IFERROR(VLOOKUP(L109,'Tax Codes'!$A$5:$E$300,5,FALSE),0),2)</f>
        <v/>
      </c>
      <c r="O109" s="21">
        <f>IF(G109="",N(F109)+M109-N109,N(G109))</f>
        <v/>
      </c>
      <c r="P109" s="21">
        <f>N(F109)+M109-N109-O109</f>
        <v/>
      </c>
      <c r="Q109" s="16">
        <f>IF(C109="",INDEX('Chart of Accounts'!$A$5:$A$3000,MATCH("other_overhead",'Chart of Accounts'!$F$5:$F$3000,0)),C109&amp;"")</f>
        <v/>
      </c>
      <c r="R109" s="16">
        <f>IF(I109="",INDEX('Chart of Accounts'!$A$5:$A$3000,MATCH("bank",'Chart of Accounts'!$F$5:$F$3000,0)),I109&amp;"")</f>
        <v/>
      </c>
      <c r="S109" s="16">
        <f>IF(J109="",INDEX('Chart of Accounts'!$A$5:$A$3000,MATCH("ap",'Chart of Accounts'!$F$5:$F$3000,0)),J109&amp;"")</f>
        <v/>
      </c>
      <c r="T109" s="16">
        <f>INDEX('Chart of Accounts'!$A$5:$A$3000,MATCH("vat_input",'Chart of Accounts'!$F$5:$F$3000,0))</f>
        <v/>
      </c>
      <c r="U109" s="16">
        <f>INDEX('Chart of Accounts'!$A$5:$A$3000,MATCH("wht_payable",'Chart of Accounts'!$F$5:$F$3000,0))</f>
        <v/>
      </c>
      <c r="V109" s="23">
        <f>IFERROR(INDEX('Chart of Accounts'!$C$5:$C$3000,MATCH(Q109&amp;"",'Chart of Accounts'!$A$5:$A$3000,0))&amp;"|"&amp;INDEX('Chart of Accounts'!$D$5:$D$3000,MATCH(Q109&amp;"",'Chart of Accounts'!$A$5:$A$3000,0)),"")</f>
        <v/>
      </c>
      <c r="W109" s="23">
        <f>IFERROR(INDEX('Chart of Accounts'!$C$5:$C$3000,MATCH(T109&amp;"",'Chart of Accounts'!$A$5:$A$3000,0))&amp;"|"&amp;INDEX('Chart of Accounts'!$D$5:$D$3000,MATCH(T109&amp;"",'Chart of Accounts'!$A$5:$A$3000,0)),"")</f>
        <v/>
      </c>
      <c r="X109" s="23">
        <f>IFERROR(INDEX('Chart of Accounts'!$C$5:$C$3000,MATCH(R109&amp;"",'Chart of Accounts'!$A$5:$A$3000,0))&amp;"|"&amp;INDEX('Chart of Accounts'!$D$5:$D$3000,MATCH(R109&amp;"",'Chart of Accounts'!$A$5:$A$3000,0)),"")</f>
        <v/>
      </c>
      <c r="Y109" s="23">
        <f>IFERROR(INDEX('Chart of Accounts'!$C$5:$C$3000,MATCH(S109&amp;"",'Chart of Accounts'!$A$5:$A$3000,0))&amp;"|"&amp;INDEX('Chart of Accounts'!$D$5:$D$3000,MATCH(S109&amp;"",'Chart of Accounts'!$A$5:$A$3000,0)),"")</f>
        <v/>
      </c>
      <c r="Z109" s="23">
        <f>IFERROR(INDEX('Chart of Accounts'!$C$5:$C$3000,MATCH(U109&amp;"",'Chart of Accounts'!$A$5:$A$3000,0))&amp;"|"&amp;INDEX('Chart of Accounts'!$D$5:$D$3000,MATCH(U109&amp;"",'Chart of Accounts'!$A$5:$A$3000,0)),"")</f>
        <v/>
      </c>
      <c r="AA109" s="23">
        <f>IF(LEFT(V109,8)="Revenue|",-N(F109),0)+IF(LEFT(W109,8)="Revenue|",-N(M109),0)+IF(LEFT(X109,8)="Revenue|",N(O109),0)+IF(LEFT(Y109,8)="Revenue|",N(P109),0)+IF(LEFT(Z109,8)="Revenue|",N(N109),0)</f>
        <v/>
      </c>
      <c r="AB109" s="23">
        <f>IF(LEFT(V109,5)="COGS|",N(F109),0)+IF(LEFT(W109,5)="COGS|",N(M109),0)+IF(LEFT(X109,5)="COGS|",-N(O109),0)+IF(LEFT(Y109,5)="COGS|",-N(P109),0)+IF(LEFT(Z109,5)="COGS|",-N(N109),0)</f>
        <v/>
      </c>
      <c r="AC109" s="23">
        <f>IF(LEFT(V109,8)="Expense|",N(F109),0)+IF(LEFT(W109,8)="Expense|",N(M109),0)+IF(LEFT(X109,8)="Expense|",-N(O109),0)+IF(LEFT(Y109,8)="Expense|",-N(P109),0)+IF(LEFT(Z109,8)="Expense|",-N(N109),0)</f>
        <v/>
      </c>
      <c r="AD109" s="23">
        <f>IF(ISNUMBER(MATCH(V109,{"Expense|employee","Expense|general_admin","Expense|marketing","Expense|utilities","Expense|other_operating"},0)),N(F109),0)+IF(ISNUMBER(MATCH(W109,{"Expense|employee","Expense|general_admin","Expense|marketing","Expense|utilities","Expense|other_operating"},0)),N(M109),0)+IF(ISNUMBER(MATCH(X109,{"Expense|employee","Expense|general_admin","Expense|marketing","Expense|utilities","Expense|other_operating"},0)),-N(O109),0)+IF(ISNUMBER(MATCH(Y109,{"Expense|employee","Expense|general_admin","Expense|marketing","Expense|utilities","Expense|other_operating"},0)),-N(P109),0)+IF(ISNUMBER(MATCH(Z109,{"Expense|employee","Expense|general_admin","Expense|marketing","Expense|utilities","Expense|other_operating"},0)),-N(N109),0)</f>
        <v/>
      </c>
      <c r="AE109" s="23">
        <f>IF(V109="Liability|payable",-N(F109),0)+IF(W109="Liability|payable",-N(M109),0)+IF(X109="Liability|payable",N(O109),0)+IF(Y109="Liability|payable",N(P109),0)+IF(Z109="Liability|payable",N(N109),0)</f>
        <v/>
      </c>
      <c r="AF109" s="23">
        <f>IF(V109="Liability|accrued",-N(F109),0)+IF(W109="Liability|accrued",-N(M109),0)+IF(X109="Liability|accrued",N(O109),0)+IF(Y109="Liability|accrued",N(P109),0)+IF(Z109="Liability|accrued",N(N109),0)</f>
        <v/>
      </c>
      <c r="AG109" s="23">
        <f>IF(AND(N(F109)&lt;&gt;0,V109=""),1,0)+IF(AND(N(M109)&lt;&gt;0,W109=""),1,0)+IF(AND(N(O109)&lt;&gt;0,X109=""),1,0)+IF(AND(N(P109)&lt;&gt;0,Y109=""),1,0)+IF(AND(N(N109)&lt;&gt;0,Z109=""),1,0)</f>
        <v/>
      </c>
    </row>
    <row r="110">
      <c r="A110" s="19" t="n"/>
      <c r="B110" s="14" t="n"/>
      <c r="C110" s="14" t="n"/>
      <c r="D110" s="14" t="n"/>
      <c r="E110" s="14" t="n"/>
      <c r="F110" s="20" t="n"/>
      <c r="G110" s="20" t="n"/>
      <c r="H110" s="14" t="n"/>
      <c r="I110" s="14" t="n"/>
      <c r="J110" s="14" t="n"/>
      <c r="K110" s="14" t="n"/>
      <c r="L110" s="14" t="n"/>
      <c r="M110" s="21">
        <f>ROUND(N(F110)*IFERROR(VLOOKUP(K110,'Tax Codes'!$A$5:$E$300,5,FALSE),0),2)</f>
        <v/>
      </c>
      <c r="N110" s="21">
        <f>ROUND(N(F110)*IFERROR(VLOOKUP(L110,'Tax Codes'!$A$5:$E$300,5,FALSE),0),2)</f>
        <v/>
      </c>
      <c r="O110" s="21">
        <f>IF(G110="",N(F110)+M110-N110,N(G110))</f>
        <v/>
      </c>
      <c r="P110" s="21">
        <f>N(F110)+M110-N110-O110</f>
        <v/>
      </c>
      <c r="Q110" s="16">
        <f>IF(C110="",INDEX('Chart of Accounts'!$A$5:$A$3000,MATCH("other_overhead",'Chart of Accounts'!$F$5:$F$3000,0)),C110&amp;"")</f>
        <v/>
      </c>
      <c r="R110" s="16">
        <f>IF(I110="",INDEX('Chart of Accounts'!$A$5:$A$3000,MATCH("bank",'Chart of Accounts'!$F$5:$F$3000,0)),I110&amp;"")</f>
        <v/>
      </c>
      <c r="S110" s="16">
        <f>IF(J110="",INDEX('Chart of Accounts'!$A$5:$A$3000,MATCH("ap",'Chart of Accounts'!$F$5:$F$3000,0)),J110&amp;"")</f>
        <v/>
      </c>
      <c r="T110" s="16">
        <f>INDEX('Chart of Accounts'!$A$5:$A$3000,MATCH("vat_input",'Chart of Accounts'!$F$5:$F$3000,0))</f>
        <v/>
      </c>
      <c r="U110" s="16">
        <f>INDEX('Chart of Accounts'!$A$5:$A$3000,MATCH("wht_payable",'Chart of Accounts'!$F$5:$F$3000,0))</f>
        <v/>
      </c>
      <c r="V110" s="23">
        <f>IFERROR(INDEX('Chart of Accounts'!$C$5:$C$3000,MATCH(Q110&amp;"",'Chart of Accounts'!$A$5:$A$3000,0))&amp;"|"&amp;INDEX('Chart of Accounts'!$D$5:$D$3000,MATCH(Q110&amp;"",'Chart of Accounts'!$A$5:$A$3000,0)),"")</f>
        <v/>
      </c>
      <c r="W110" s="23">
        <f>IFERROR(INDEX('Chart of Accounts'!$C$5:$C$3000,MATCH(T110&amp;"",'Chart of Accounts'!$A$5:$A$3000,0))&amp;"|"&amp;INDEX('Chart of Accounts'!$D$5:$D$3000,MATCH(T110&amp;"",'Chart of Accounts'!$A$5:$A$3000,0)),"")</f>
        <v/>
      </c>
      <c r="X110" s="23">
        <f>IFERROR(INDEX('Chart of Accounts'!$C$5:$C$3000,MATCH(R110&amp;"",'Chart of Accounts'!$A$5:$A$3000,0))&amp;"|"&amp;INDEX('Chart of Accounts'!$D$5:$D$3000,MATCH(R110&amp;"",'Chart of Accounts'!$A$5:$A$3000,0)),"")</f>
        <v/>
      </c>
      <c r="Y110" s="23">
        <f>IFERROR(INDEX('Chart of Accounts'!$C$5:$C$3000,MATCH(S110&amp;"",'Chart of Accounts'!$A$5:$A$3000,0))&amp;"|"&amp;INDEX('Chart of Accounts'!$D$5:$D$3000,MATCH(S110&amp;"",'Chart of Accounts'!$A$5:$A$3000,0)),"")</f>
        <v/>
      </c>
      <c r="Z110" s="23">
        <f>IFERROR(INDEX('Chart of Accounts'!$C$5:$C$3000,MATCH(U110&amp;"",'Chart of Accounts'!$A$5:$A$3000,0))&amp;"|"&amp;INDEX('Chart of Accounts'!$D$5:$D$3000,MATCH(U110&amp;"",'Chart of Accounts'!$A$5:$A$3000,0)),"")</f>
        <v/>
      </c>
      <c r="AA110" s="23">
        <f>IF(LEFT(V110,8)="Revenue|",-N(F110),0)+IF(LEFT(W110,8)="Revenue|",-N(M110),0)+IF(LEFT(X110,8)="Revenue|",N(O110),0)+IF(LEFT(Y110,8)="Revenue|",N(P110),0)+IF(LEFT(Z110,8)="Revenue|",N(N110),0)</f>
        <v/>
      </c>
      <c r="AB110" s="23">
        <f>IF(LEFT(V110,5)="COGS|",N(F110),0)+IF(LEFT(W110,5)="COGS|",N(M110),0)+IF(LEFT(X110,5)="COGS|",-N(O110),0)+IF(LEFT(Y110,5)="COGS|",-N(P110),0)+IF(LEFT(Z110,5)="COGS|",-N(N110),0)</f>
        <v/>
      </c>
      <c r="AC110" s="23">
        <f>IF(LEFT(V110,8)="Expense|",N(F110),0)+IF(LEFT(W110,8)="Expense|",N(M110),0)+IF(LEFT(X110,8)="Expense|",-N(O110),0)+IF(LEFT(Y110,8)="Expense|",-N(P110),0)+IF(LEFT(Z110,8)="Expense|",-N(N110),0)</f>
        <v/>
      </c>
      <c r="AD110" s="23">
        <f>IF(ISNUMBER(MATCH(V110,{"Expense|employee","Expense|general_admin","Expense|marketing","Expense|utilities","Expense|other_operating"},0)),N(F110),0)+IF(ISNUMBER(MATCH(W110,{"Expense|employee","Expense|general_admin","Expense|marketing","Expense|utilities","Expense|other_operating"},0)),N(M110),0)+IF(ISNUMBER(MATCH(X110,{"Expense|employee","Expense|general_admin","Expense|marketing","Expense|utilities","Expense|other_operating"},0)),-N(O110),0)+IF(ISNUMBER(MATCH(Y110,{"Expense|employee","Expense|general_admin","Expense|marketing","Expense|utilities","Expense|other_operating"},0)),-N(P110),0)+IF(ISNUMBER(MATCH(Z110,{"Expense|employee","Expense|general_admin","Expense|marketing","Expense|utilities","Expense|other_operating"},0)),-N(N110),0)</f>
        <v/>
      </c>
      <c r="AE110" s="23">
        <f>IF(V110="Liability|payable",-N(F110),0)+IF(W110="Liability|payable",-N(M110),0)+IF(X110="Liability|payable",N(O110),0)+IF(Y110="Liability|payable",N(P110),0)+IF(Z110="Liability|payable",N(N110),0)</f>
        <v/>
      </c>
      <c r="AF110" s="23">
        <f>IF(V110="Liability|accrued",-N(F110),0)+IF(W110="Liability|accrued",-N(M110),0)+IF(X110="Liability|accrued",N(O110),0)+IF(Y110="Liability|accrued",N(P110),0)+IF(Z110="Liability|accrued",N(N110),0)</f>
        <v/>
      </c>
      <c r="AG110" s="23">
        <f>IF(AND(N(F110)&lt;&gt;0,V110=""),1,0)+IF(AND(N(M110)&lt;&gt;0,W110=""),1,0)+IF(AND(N(O110)&lt;&gt;0,X110=""),1,0)+IF(AND(N(P110)&lt;&gt;0,Y110=""),1,0)+IF(AND(N(N110)&lt;&gt;0,Z110=""),1,0)</f>
        <v/>
      </c>
    </row>
    <row r="111">
      <c r="A111" s="19" t="n"/>
      <c r="B111" s="14" t="n"/>
      <c r="C111" s="14" t="n"/>
      <c r="D111" s="14" t="n"/>
      <c r="E111" s="14" t="n"/>
      <c r="F111" s="20" t="n"/>
      <c r="G111" s="20" t="n"/>
      <c r="H111" s="14" t="n"/>
      <c r="I111" s="14" t="n"/>
      <c r="J111" s="14" t="n"/>
      <c r="K111" s="14" t="n"/>
      <c r="L111" s="14" t="n"/>
      <c r="M111" s="21">
        <f>ROUND(N(F111)*IFERROR(VLOOKUP(K111,'Tax Codes'!$A$5:$E$300,5,FALSE),0),2)</f>
        <v/>
      </c>
      <c r="N111" s="21">
        <f>ROUND(N(F111)*IFERROR(VLOOKUP(L111,'Tax Codes'!$A$5:$E$300,5,FALSE),0),2)</f>
        <v/>
      </c>
      <c r="O111" s="21">
        <f>IF(G111="",N(F111)+M111-N111,N(G111))</f>
        <v/>
      </c>
      <c r="P111" s="21">
        <f>N(F111)+M111-N111-O111</f>
        <v/>
      </c>
      <c r="Q111" s="16">
        <f>IF(C111="",INDEX('Chart of Accounts'!$A$5:$A$3000,MATCH("other_overhead",'Chart of Accounts'!$F$5:$F$3000,0)),C111&amp;"")</f>
        <v/>
      </c>
      <c r="R111" s="16">
        <f>IF(I111="",INDEX('Chart of Accounts'!$A$5:$A$3000,MATCH("bank",'Chart of Accounts'!$F$5:$F$3000,0)),I111&amp;"")</f>
        <v/>
      </c>
      <c r="S111" s="16">
        <f>IF(J111="",INDEX('Chart of Accounts'!$A$5:$A$3000,MATCH("ap",'Chart of Accounts'!$F$5:$F$3000,0)),J111&amp;"")</f>
        <v/>
      </c>
      <c r="T111" s="16">
        <f>INDEX('Chart of Accounts'!$A$5:$A$3000,MATCH("vat_input",'Chart of Accounts'!$F$5:$F$3000,0))</f>
        <v/>
      </c>
      <c r="U111" s="16">
        <f>INDEX('Chart of Accounts'!$A$5:$A$3000,MATCH("wht_payable",'Chart of Accounts'!$F$5:$F$3000,0))</f>
        <v/>
      </c>
      <c r="V111" s="23">
        <f>IFERROR(INDEX('Chart of Accounts'!$C$5:$C$3000,MATCH(Q111&amp;"",'Chart of Accounts'!$A$5:$A$3000,0))&amp;"|"&amp;INDEX('Chart of Accounts'!$D$5:$D$3000,MATCH(Q111&amp;"",'Chart of Accounts'!$A$5:$A$3000,0)),"")</f>
        <v/>
      </c>
      <c r="W111" s="23">
        <f>IFERROR(INDEX('Chart of Accounts'!$C$5:$C$3000,MATCH(T111&amp;"",'Chart of Accounts'!$A$5:$A$3000,0))&amp;"|"&amp;INDEX('Chart of Accounts'!$D$5:$D$3000,MATCH(T111&amp;"",'Chart of Accounts'!$A$5:$A$3000,0)),"")</f>
        <v/>
      </c>
      <c r="X111" s="23">
        <f>IFERROR(INDEX('Chart of Accounts'!$C$5:$C$3000,MATCH(R111&amp;"",'Chart of Accounts'!$A$5:$A$3000,0))&amp;"|"&amp;INDEX('Chart of Accounts'!$D$5:$D$3000,MATCH(R111&amp;"",'Chart of Accounts'!$A$5:$A$3000,0)),"")</f>
        <v/>
      </c>
      <c r="Y111" s="23">
        <f>IFERROR(INDEX('Chart of Accounts'!$C$5:$C$3000,MATCH(S111&amp;"",'Chart of Accounts'!$A$5:$A$3000,0))&amp;"|"&amp;INDEX('Chart of Accounts'!$D$5:$D$3000,MATCH(S111&amp;"",'Chart of Accounts'!$A$5:$A$3000,0)),"")</f>
        <v/>
      </c>
      <c r="Z111" s="23">
        <f>IFERROR(INDEX('Chart of Accounts'!$C$5:$C$3000,MATCH(U111&amp;"",'Chart of Accounts'!$A$5:$A$3000,0))&amp;"|"&amp;INDEX('Chart of Accounts'!$D$5:$D$3000,MATCH(U111&amp;"",'Chart of Accounts'!$A$5:$A$3000,0)),"")</f>
        <v/>
      </c>
      <c r="AA111" s="23">
        <f>IF(LEFT(V111,8)="Revenue|",-N(F111),0)+IF(LEFT(W111,8)="Revenue|",-N(M111),0)+IF(LEFT(X111,8)="Revenue|",N(O111),0)+IF(LEFT(Y111,8)="Revenue|",N(P111),0)+IF(LEFT(Z111,8)="Revenue|",N(N111),0)</f>
        <v/>
      </c>
      <c r="AB111" s="23">
        <f>IF(LEFT(V111,5)="COGS|",N(F111),0)+IF(LEFT(W111,5)="COGS|",N(M111),0)+IF(LEFT(X111,5)="COGS|",-N(O111),0)+IF(LEFT(Y111,5)="COGS|",-N(P111),0)+IF(LEFT(Z111,5)="COGS|",-N(N111),0)</f>
        <v/>
      </c>
      <c r="AC111" s="23">
        <f>IF(LEFT(V111,8)="Expense|",N(F111),0)+IF(LEFT(W111,8)="Expense|",N(M111),0)+IF(LEFT(X111,8)="Expense|",-N(O111),0)+IF(LEFT(Y111,8)="Expense|",-N(P111),0)+IF(LEFT(Z111,8)="Expense|",-N(N111),0)</f>
        <v/>
      </c>
      <c r="AD111" s="23">
        <f>IF(ISNUMBER(MATCH(V111,{"Expense|employee","Expense|general_admin","Expense|marketing","Expense|utilities","Expense|other_operating"},0)),N(F111),0)+IF(ISNUMBER(MATCH(W111,{"Expense|employee","Expense|general_admin","Expense|marketing","Expense|utilities","Expense|other_operating"},0)),N(M111),0)+IF(ISNUMBER(MATCH(X111,{"Expense|employee","Expense|general_admin","Expense|marketing","Expense|utilities","Expense|other_operating"},0)),-N(O111),0)+IF(ISNUMBER(MATCH(Y111,{"Expense|employee","Expense|general_admin","Expense|marketing","Expense|utilities","Expense|other_operating"},0)),-N(P111),0)+IF(ISNUMBER(MATCH(Z111,{"Expense|employee","Expense|general_admin","Expense|marketing","Expense|utilities","Expense|other_operating"},0)),-N(N111),0)</f>
        <v/>
      </c>
      <c r="AE111" s="23">
        <f>IF(V111="Liability|payable",-N(F111),0)+IF(W111="Liability|payable",-N(M111),0)+IF(X111="Liability|payable",N(O111),0)+IF(Y111="Liability|payable",N(P111),0)+IF(Z111="Liability|payable",N(N111),0)</f>
        <v/>
      </c>
      <c r="AF111" s="23">
        <f>IF(V111="Liability|accrued",-N(F111),0)+IF(W111="Liability|accrued",-N(M111),0)+IF(X111="Liability|accrued",N(O111),0)+IF(Y111="Liability|accrued",N(P111),0)+IF(Z111="Liability|accrued",N(N111),0)</f>
        <v/>
      </c>
      <c r="AG111" s="23">
        <f>IF(AND(N(F111)&lt;&gt;0,V111=""),1,0)+IF(AND(N(M111)&lt;&gt;0,W111=""),1,0)+IF(AND(N(O111)&lt;&gt;0,X111=""),1,0)+IF(AND(N(P111)&lt;&gt;0,Y111=""),1,0)+IF(AND(N(N111)&lt;&gt;0,Z111=""),1,0)</f>
        <v/>
      </c>
    </row>
    <row r="112">
      <c r="A112" s="19" t="n"/>
      <c r="B112" s="14" t="n"/>
      <c r="C112" s="14" t="n"/>
      <c r="D112" s="14" t="n"/>
      <c r="E112" s="14" t="n"/>
      <c r="F112" s="20" t="n"/>
      <c r="G112" s="20" t="n"/>
      <c r="H112" s="14" t="n"/>
      <c r="I112" s="14" t="n"/>
      <c r="J112" s="14" t="n"/>
      <c r="K112" s="14" t="n"/>
      <c r="L112" s="14" t="n"/>
      <c r="M112" s="21">
        <f>ROUND(N(F112)*IFERROR(VLOOKUP(K112,'Tax Codes'!$A$5:$E$300,5,FALSE),0),2)</f>
        <v/>
      </c>
      <c r="N112" s="21">
        <f>ROUND(N(F112)*IFERROR(VLOOKUP(L112,'Tax Codes'!$A$5:$E$300,5,FALSE),0),2)</f>
        <v/>
      </c>
      <c r="O112" s="21">
        <f>IF(G112="",N(F112)+M112-N112,N(G112))</f>
        <v/>
      </c>
      <c r="P112" s="21">
        <f>N(F112)+M112-N112-O112</f>
        <v/>
      </c>
      <c r="Q112" s="16">
        <f>IF(C112="",INDEX('Chart of Accounts'!$A$5:$A$3000,MATCH("other_overhead",'Chart of Accounts'!$F$5:$F$3000,0)),C112&amp;"")</f>
        <v/>
      </c>
      <c r="R112" s="16">
        <f>IF(I112="",INDEX('Chart of Accounts'!$A$5:$A$3000,MATCH("bank",'Chart of Accounts'!$F$5:$F$3000,0)),I112&amp;"")</f>
        <v/>
      </c>
      <c r="S112" s="16">
        <f>IF(J112="",INDEX('Chart of Accounts'!$A$5:$A$3000,MATCH("ap",'Chart of Accounts'!$F$5:$F$3000,0)),J112&amp;"")</f>
        <v/>
      </c>
      <c r="T112" s="16">
        <f>INDEX('Chart of Accounts'!$A$5:$A$3000,MATCH("vat_input",'Chart of Accounts'!$F$5:$F$3000,0))</f>
        <v/>
      </c>
      <c r="U112" s="16">
        <f>INDEX('Chart of Accounts'!$A$5:$A$3000,MATCH("wht_payable",'Chart of Accounts'!$F$5:$F$3000,0))</f>
        <v/>
      </c>
      <c r="V112" s="23">
        <f>IFERROR(INDEX('Chart of Accounts'!$C$5:$C$3000,MATCH(Q112&amp;"",'Chart of Accounts'!$A$5:$A$3000,0))&amp;"|"&amp;INDEX('Chart of Accounts'!$D$5:$D$3000,MATCH(Q112&amp;"",'Chart of Accounts'!$A$5:$A$3000,0)),"")</f>
        <v/>
      </c>
      <c r="W112" s="23">
        <f>IFERROR(INDEX('Chart of Accounts'!$C$5:$C$3000,MATCH(T112&amp;"",'Chart of Accounts'!$A$5:$A$3000,0))&amp;"|"&amp;INDEX('Chart of Accounts'!$D$5:$D$3000,MATCH(T112&amp;"",'Chart of Accounts'!$A$5:$A$3000,0)),"")</f>
        <v/>
      </c>
      <c r="X112" s="23">
        <f>IFERROR(INDEX('Chart of Accounts'!$C$5:$C$3000,MATCH(R112&amp;"",'Chart of Accounts'!$A$5:$A$3000,0))&amp;"|"&amp;INDEX('Chart of Accounts'!$D$5:$D$3000,MATCH(R112&amp;"",'Chart of Accounts'!$A$5:$A$3000,0)),"")</f>
        <v/>
      </c>
      <c r="Y112" s="23">
        <f>IFERROR(INDEX('Chart of Accounts'!$C$5:$C$3000,MATCH(S112&amp;"",'Chart of Accounts'!$A$5:$A$3000,0))&amp;"|"&amp;INDEX('Chart of Accounts'!$D$5:$D$3000,MATCH(S112&amp;"",'Chart of Accounts'!$A$5:$A$3000,0)),"")</f>
        <v/>
      </c>
      <c r="Z112" s="23">
        <f>IFERROR(INDEX('Chart of Accounts'!$C$5:$C$3000,MATCH(U112&amp;"",'Chart of Accounts'!$A$5:$A$3000,0))&amp;"|"&amp;INDEX('Chart of Accounts'!$D$5:$D$3000,MATCH(U112&amp;"",'Chart of Accounts'!$A$5:$A$3000,0)),"")</f>
        <v/>
      </c>
      <c r="AA112" s="23">
        <f>IF(LEFT(V112,8)="Revenue|",-N(F112),0)+IF(LEFT(W112,8)="Revenue|",-N(M112),0)+IF(LEFT(X112,8)="Revenue|",N(O112),0)+IF(LEFT(Y112,8)="Revenue|",N(P112),0)+IF(LEFT(Z112,8)="Revenue|",N(N112),0)</f>
        <v/>
      </c>
      <c r="AB112" s="23">
        <f>IF(LEFT(V112,5)="COGS|",N(F112),0)+IF(LEFT(W112,5)="COGS|",N(M112),0)+IF(LEFT(X112,5)="COGS|",-N(O112),0)+IF(LEFT(Y112,5)="COGS|",-N(P112),0)+IF(LEFT(Z112,5)="COGS|",-N(N112),0)</f>
        <v/>
      </c>
      <c r="AC112" s="23">
        <f>IF(LEFT(V112,8)="Expense|",N(F112),0)+IF(LEFT(W112,8)="Expense|",N(M112),0)+IF(LEFT(X112,8)="Expense|",-N(O112),0)+IF(LEFT(Y112,8)="Expense|",-N(P112),0)+IF(LEFT(Z112,8)="Expense|",-N(N112),0)</f>
        <v/>
      </c>
      <c r="AD112" s="23">
        <f>IF(ISNUMBER(MATCH(V112,{"Expense|employee","Expense|general_admin","Expense|marketing","Expense|utilities","Expense|other_operating"},0)),N(F112),0)+IF(ISNUMBER(MATCH(W112,{"Expense|employee","Expense|general_admin","Expense|marketing","Expense|utilities","Expense|other_operating"},0)),N(M112),0)+IF(ISNUMBER(MATCH(X112,{"Expense|employee","Expense|general_admin","Expense|marketing","Expense|utilities","Expense|other_operating"},0)),-N(O112),0)+IF(ISNUMBER(MATCH(Y112,{"Expense|employee","Expense|general_admin","Expense|marketing","Expense|utilities","Expense|other_operating"},0)),-N(P112),0)+IF(ISNUMBER(MATCH(Z112,{"Expense|employee","Expense|general_admin","Expense|marketing","Expense|utilities","Expense|other_operating"},0)),-N(N112),0)</f>
        <v/>
      </c>
      <c r="AE112" s="23">
        <f>IF(V112="Liability|payable",-N(F112),0)+IF(W112="Liability|payable",-N(M112),0)+IF(X112="Liability|payable",N(O112),0)+IF(Y112="Liability|payable",N(P112),0)+IF(Z112="Liability|payable",N(N112),0)</f>
        <v/>
      </c>
      <c r="AF112" s="23">
        <f>IF(V112="Liability|accrued",-N(F112),0)+IF(W112="Liability|accrued",-N(M112),0)+IF(X112="Liability|accrued",N(O112),0)+IF(Y112="Liability|accrued",N(P112),0)+IF(Z112="Liability|accrued",N(N112),0)</f>
        <v/>
      </c>
      <c r="AG112" s="23">
        <f>IF(AND(N(F112)&lt;&gt;0,V112=""),1,0)+IF(AND(N(M112)&lt;&gt;0,W112=""),1,0)+IF(AND(N(O112)&lt;&gt;0,X112=""),1,0)+IF(AND(N(P112)&lt;&gt;0,Y112=""),1,0)+IF(AND(N(N112)&lt;&gt;0,Z112=""),1,0)</f>
        <v/>
      </c>
    </row>
    <row r="113">
      <c r="A113" s="19" t="n"/>
      <c r="B113" s="14" t="n"/>
      <c r="C113" s="14" t="n"/>
      <c r="D113" s="14" t="n"/>
      <c r="E113" s="14" t="n"/>
      <c r="F113" s="20" t="n"/>
      <c r="G113" s="20" t="n"/>
      <c r="H113" s="14" t="n"/>
      <c r="I113" s="14" t="n"/>
      <c r="J113" s="14" t="n"/>
      <c r="K113" s="14" t="n"/>
      <c r="L113" s="14" t="n"/>
      <c r="M113" s="21">
        <f>ROUND(N(F113)*IFERROR(VLOOKUP(K113,'Tax Codes'!$A$5:$E$300,5,FALSE),0),2)</f>
        <v/>
      </c>
      <c r="N113" s="21">
        <f>ROUND(N(F113)*IFERROR(VLOOKUP(L113,'Tax Codes'!$A$5:$E$300,5,FALSE),0),2)</f>
        <v/>
      </c>
      <c r="O113" s="21">
        <f>IF(G113="",N(F113)+M113-N113,N(G113))</f>
        <v/>
      </c>
      <c r="P113" s="21">
        <f>N(F113)+M113-N113-O113</f>
        <v/>
      </c>
      <c r="Q113" s="16">
        <f>IF(C113="",INDEX('Chart of Accounts'!$A$5:$A$3000,MATCH("other_overhead",'Chart of Accounts'!$F$5:$F$3000,0)),C113&amp;"")</f>
        <v/>
      </c>
      <c r="R113" s="16">
        <f>IF(I113="",INDEX('Chart of Accounts'!$A$5:$A$3000,MATCH("bank",'Chart of Accounts'!$F$5:$F$3000,0)),I113&amp;"")</f>
        <v/>
      </c>
      <c r="S113" s="16">
        <f>IF(J113="",INDEX('Chart of Accounts'!$A$5:$A$3000,MATCH("ap",'Chart of Accounts'!$F$5:$F$3000,0)),J113&amp;"")</f>
        <v/>
      </c>
      <c r="T113" s="16">
        <f>INDEX('Chart of Accounts'!$A$5:$A$3000,MATCH("vat_input",'Chart of Accounts'!$F$5:$F$3000,0))</f>
        <v/>
      </c>
      <c r="U113" s="16">
        <f>INDEX('Chart of Accounts'!$A$5:$A$3000,MATCH("wht_payable",'Chart of Accounts'!$F$5:$F$3000,0))</f>
        <v/>
      </c>
      <c r="V113" s="23">
        <f>IFERROR(INDEX('Chart of Accounts'!$C$5:$C$3000,MATCH(Q113&amp;"",'Chart of Accounts'!$A$5:$A$3000,0))&amp;"|"&amp;INDEX('Chart of Accounts'!$D$5:$D$3000,MATCH(Q113&amp;"",'Chart of Accounts'!$A$5:$A$3000,0)),"")</f>
        <v/>
      </c>
      <c r="W113" s="23">
        <f>IFERROR(INDEX('Chart of Accounts'!$C$5:$C$3000,MATCH(T113&amp;"",'Chart of Accounts'!$A$5:$A$3000,0))&amp;"|"&amp;INDEX('Chart of Accounts'!$D$5:$D$3000,MATCH(T113&amp;"",'Chart of Accounts'!$A$5:$A$3000,0)),"")</f>
        <v/>
      </c>
      <c r="X113" s="23">
        <f>IFERROR(INDEX('Chart of Accounts'!$C$5:$C$3000,MATCH(R113&amp;"",'Chart of Accounts'!$A$5:$A$3000,0))&amp;"|"&amp;INDEX('Chart of Accounts'!$D$5:$D$3000,MATCH(R113&amp;"",'Chart of Accounts'!$A$5:$A$3000,0)),"")</f>
        <v/>
      </c>
      <c r="Y113" s="23">
        <f>IFERROR(INDEX('Chart of Accounts'!$C$5:$C$3000,MATCH(S113&amp;"",'Chart of Accounts'!$A$5:$A$3000,0))&amp;"|"&amp;INDEX('Chart of Accounts'!$D$5:$D$3000,MATCH(S113&amp;"",'Chart of Accounts'!$A$5:$A$3000,0)),"")</f>
        <v/>
      </c>
      <c r="Z113" s="23">
        <f>IFERROR(INDEX('Chart of Accounts'!$C$5:$C$3000,MATCH(U113&amp;"",'Chart of Accounts'!$A$5:$A$3000,0))&amp;"|"&amp;INDEX('Chart of Accounts'!$D$5:$D$3000,MATCH(U113&amp;"",'Chart of Accounts'!$A$5:$A$3000,0)),"")</f>
        <v/>
      </c>
      <c r="AA113" s="23">
        <f>IF(LEFT(V113,8)="Revenue|",-N(F113),0)+IF(LEFT(W113,8)="Revenue|",-N(M113),0)+IF(LEFT(X113,8)="Revenue|",N(O113),0)+IF(LEFT(Y113,8)="Revenue|",N(P113),0)+IF(LEFT(Z113,8)="Revenue|",N(N113),0)</f>
        <v/>
      </c>
      <c r="AB113" s="23">
        <f>IF(LEFT(V113,5)="COGS|",N(F113),0)+IF(LEFT(W113,5)="COGS|",N(M113),0)+IF(LEFT(X113,5)="COGS|",-N(O113),0)+IF(LEFT(Y113,5)="COGS|",-N(P113),0)+IF(LEFT(Z113,5)="COGS|",-N(N113),0)</f>
        <v/>
      </c>
      <c r="AC113" s="23">
        <f>IF(LEFT(V113,8)="Expense|",N(F113),0)+IF(LEFT(W113,8)="Expense|",N(M113),0)+IF(LEFT(X113,8)="Expense|",-N(O113),0)+IF(LEFT(Y113,8)="Expense|",-N(P113),0)+IF(LEFT(Z113,8)="Expense|",-N(N113),0)</f>
        <v/>
      </c>
      <c r="AD113" s="23">
        <f>IF(ISNUMBER(MATCH(V113,{"Expense|employee","Expense|general_admin","Expense|marketing","Expense|utilities","Expense|other_operating"},0)),N(F113),0)+IF(ISNUMBER(MATCH(W113,{"Expense|employee","Expense|general_admin","Expense|marketing","Expense|utilities","Expense|other_operating"},0)),N(M113),0)+IF(ISNUMBER(MATCH(X113,{"Expense|employee","Expense|general_admin","Expense|marketing","Expense|utilities","Expense|other_operating"},0)),-N(O113),0)+IF(ISNUMBER(MATCH(Y113,{"Expense|employee","Expense|general_admin","Expense|marketing","Expense|utilities","Expense|other_operating"},0)),-N(P113),0)+IF(ISNUMBER(MATCH(Z113,{"Expense|employee","Expense|general_admin","Expense|marketing","Expense|utilities","Expense|other_operating"},0)),-N(N113),0)</f>
        <v/>
      </c>
      <c r="AE113" s="23">
        <f>IF(V113="Liability|payable",-N(F113),0)+IF(W113="Liability|payable",-N(M113),0)+IF(X113="Liability|payable",N(O113),0)+IF(Y113="Liability|payable",N(P113),0)+IF(Z113="Liability|payable",N(N113),0)</f>
        <v/>
      </c>
      <c r="AF113" s="23">
        <f>IF(V113="Liability|accrued",-N(F113),0)+IF(W113="Liability|accrued",-N(M113),0)+IF(X113="Liability|accrued",N(O113),0)+IF(Y113="Liability|accrued",N(P113),0)+IF(Z113="Liability|accrued",N(N113),0)</f>
        <v/>
      </c>
      <c r="AG113" s="23">
        <f>IF(AND(N(F113)&lt;&gt;0,V113=""),1,0)+IF(AND(N(M113)&lt;&gt;0,W113=""),1,0)+IF(AND(N(O113)&lt;&gt;0,X113=""),1,0)+IF(AND(N(P113)&lt;&gt;0,Y113=""),1,0)+IF(AND(N(N113)&lt;&gt;0,Z113=""),1,0)</f>
        <v/>
      </c>
    </row>
    <row r="114">
      <c r="A114" s="19" t="n"/>
      <c r="B114" s="14" t="n"/>
      <c r="C114" s="14" t="n"/>
      <c r="D114" s="14" t="n"/>
      <c r="E114" s="14" t="n"/>
      <c r="F114" s="20" t="n"/>
      <c r="G114" s="20" t="n"/>
      <c r="H114" s="14" t="n"/>
      <c r="I114" s="14" t="n"/>
      <c r="J114" s="14" t="n"/>
      <c r="K114" s="14" t="n"/>
      <c r="L114" s="14" t="n"/>
      <c r="M114" s="21">
        <f>ROUND(N(F114)*IFERROR(VLOOKUP(K114,'Tax Codes'!$A$5:$E$300,5,FALSE),0),2)</f>
        <v/>
      </c>
      <c r="N114" s="21">
        <f>ROUND(N(F114)*IFERROR(VLOOKUP(L114,'Tax Codes'!$A$5:$E$300,5,FALSE),0),2)</f>
        <v/>
      </c>
      <c r="O114" s="21">
        <f>IF(G114="",N(F114)+M114-N114,N(G114))</f>
        <v/>
      </c>
      <c r="P114" s="21">
        <f>N(F114)+M114-N114-O114</f>
        <v/>
      </c>
      <c r="Q114" s="16">
        <f>IF(C114="",INDEX('Chart of Accounts'!$A$5:$A$3000,MATCH("other_overhead",'Chart of Accounts'!$F$5:$F$3000,0)),C114&amp;"")</f>
        <v/>
      </c>
      <c r="R114" s="16">
        <f>IF(I114="",INDEX('Chart of Accounts'!$A$5:$A$3000,MATCH("bank",'Chart of Accounts'!$F$5:$F$3000,0)),I114&amp;"")</f>
        <v/>
      </c>
      <c r="S114" s="16">
        <f>IF(J114="",INDEX('Chart of Accounts'!$A$5:$A$3000,MATCH("ap",'Chart of Accounts'!$F$5:$F$3000,0)),J114&amp;"")</f>
        <v/>
      </c>
      <c r="T114" s="16">
        <f>INDEX('Chart of Accounts'!$A$5:$A$3000,MATCH("vat_input",'Chart of Accounts'!$F$5:$F$3000,0))</f>
        <v/>
      </c>
      <c r="U114" s="16">
        <f>INDEX('Chart of Accounts'!$A$5:$A$3000,MATCH("wht_payable",'Chart of Accounts'!$F$5:$F$3000,0))</f>
        <v/>
      </c>
      <c r="V114" s="23">
        <f>IFERROR(INDEX('Chart of Accounts'!$C$5:$C$3000,MATCH(Q114&amp;"",'Chart of Accounts'!$A$5:$A$3000,0))&amp;"|"&amp;INDEX('Chart of Accounts'!$D$5:$D$3000,MATCH(Q114&amp;"",'Chart of Accounts'!$A$5:$A$3000,0)),"")</f>
        <v/>
      </c>
      <c r="W114" s="23">
        <f>IFERROR(INDEX('Chart of Accounts'!$C$5:$C$3000,MATCH(T114&amp;"",'Chart of Accounts'!$A$5:$A$3000,0))&amp;"|"&amp;INDEX('Chart of Accounts'!$D$5:$D$3000,MATCH(T114&amp;"",'Chart of Accounts'!$A$5:$A$3000,0)),"")</f>
        <v/>
      </c>
      <c r="X114" s="23">
        <f>IFERROR(INDEX('Chart of Accounts'!$C$5:$C$3000,MATCH(R114&amp;"",'Chart of Accounts'!$A$5:$A$3000,0))&amp;"|"&amp;INDEX('Chart of Accounts'!$D$5:$D$3000,MATCH(R114&amp;"",'Chart of Accounts'!$A$5:$A$3000,0)),"")</f>
        <v/>
      </c>
      <c r="Y114" s="23">
        <f>IFERROR(INDEX('Chart of Accounts'!$C$5:$C$3000,MATCH(S114&amp;"",'Chart of Accounts'!$A$5:$A$3000,0))&amp;"|"&amp;INDEX('Chart of Accounts'!$D$5:$D$3000,MATCH(S114&amp;"",'Chart of Accounts'!$A$5:$A$3000,0)),"")</f>
        <v/>
      </c>
      <c r="Z114" s="23">
        <f>IFERROR(INDEX('Chart of Accounts'!$C$5:$C$3000,MATCH(U114&amp;"",'Chart of Accounts'!$A$5:$A$3000,0))&amp;"|"&amp;INDEX('Chart of Accounts'!$D$5:$D$3000,MATCH(U114&amp;"",'Chart of Accounts'!$A$5:$A$3000,0)),"")</f>
        <v/>
      </c>
      <c r="AA114" s="23">
        <f>IF(LEFT(V114,8)="Revenue|",-N(F114),0)+IF(LEFT(W114,8)="Revenue|",-N(M114),0)+IF(LEFT(X114,8)="Revenue|",N(O114),0)+IF(LEFT(Y114,8)="Revenue|",N(P114),0)+IF(LEFT(Z114,8)="Revenue|",N(N114),0)</f>
        <v/>
      </c>
      <c r="AB114" s="23">
        <f>IF(LEFT(V114,5)="COGS|",N(F114),0)+IF(LEFT(W114,5)="COGS|",N(M114),0)+IF(LEFT(X114,5)="COGS|",-N(O114),0)+IF(LEFT(Y114,5)="COGS|",-N(P114),0)+IF(LEFT(Z114,5)="COGS|",-N(N114),0)</f>
        <v/>
      </c>
      <c r="AC114" s="23">
        <f>IF(LEFT(V114,8)="Expense|",N(F114),0)+IF(LEFT(W114,8)="Expense|",N(M114),0)+IF(LEFT(X114,8)="Expense|",-N(O114),0)+IF(LEFT(Y114,8)="Expense|",-N(P114),0)+IF(LEFT(Z114,8)="Expense|",-N(N114),0)</f>
        <v/>
      </c>
      <c r="AD114" s="23">
        <f>IF(ISNUMBER(MATCH(V114,{"Expense|employee","Expense|general_admin","Expense|marketing","Expense|utilities","Expense|other_operating"},0)),N(F114),0)+IF(ISNUMBER(MATCH(W114,{"Expense|employee","Expense|general_admin","Expense|marketing","Expense|utilities","Expense|other_operating"},0)),N(M114),0)+IF(ISNUMBER(MATCH(X114,{"Expense|employee","Expense|general_admin","Expense|marketing","Expense|utilities","Expense|other_operating"},0)),-N(O114),0)+IF(ISNUMBER(MATCH(Y114,{"Expense|employee","Expense|general_admin","Expense|marketing","Expense|utilities","Expense|other_operating"},0)),-N(P114),0)+IF(ISNUMBER(MATCH(Z114,{"Expense|employee","Expense|general_admin","Expense|marketing","Expense|utilities","Expense|other_operating"},0)),-N(N114),0)</f>
        <v/>
      </c>
      <c r="AE114" s="23">
        <f>IF(V114="Liability|payable",-N(F114),0)+IF(W114="Liability|payable",-N(M114),0)+IF(X114="Liability|payable",N(O114),0)+IF(Y114="Liability|payable",N(P114),0)+IF(Z114="Liability|payable",N(N114),0)</f>
        <v/>
      </c>
      <c r="AF114" s="23">
        <f>IF(V114="Liability|accrued",-N(F114),0)+IF(W114="Liability|accrued",-N(M114),0)+IF(X114="Liability|accrued",N(O114),0)+IF(Y114="Liability|accrued",N(P114),0)+IF(Z114="Liability|accrued",N(N114),0)</f>
        <v/>
      </c>
      <c r="AG114" s="23">
        <f>IF(AND(N(F114)&lt;&gt;0,V114=""),1,0)+IF(AND(N(M114)&lt;&gt;0,W114=""),1,0)+IF(AND(N(O114)&lt;&gt;0,X114=""),1,0)+IF(AND(N(P114)&lt;&gt;0,Y114=""),1,0)+IF(AND(N(N114)&lt;&gt;0,Z114=""),1,0)</f>
        <v/>
      </c>
    </row>
    <row r="115">
      <c r="A115" s="19" t="n"/>
      <c r="B115" s="14" t="n"/>
      <c r="C115" s="14" t="n"/>
      <c r="D115" s="14" t="n"/>
      <c r="E115" s="14" t="n"/>
      <c r="F115" s="20" t="n"/>
      <c r="G115" s="20" t="n"/>
      <c r="H115" s="14" t="n"/>
      <c r="I115" s="14" t="n"/>
      <c r="J115" s="14" t="n"/>
      <c r="K115" s="14" t="n"/>
      <c r="L115" s="14" t="n"/>
      <c r="M115" s="21">
        <f>ROUND(N(F115)*IFERROR(VLOOKUP(K115,'Tax Codes'!$A$5:$E$300,5,FALSE),0),2)</f>
        <v/>
      </c>
      <c r="N115" s="21">
        <f>ROUND(N(F115)*IFERROR(VLOOKUP(L115,'Tax Codes'!$A$5:$E$300,5,FALSE),0),2)</f>
        <v/>
      </c>
      <c r="O115" s="21">
        <f>IF(G115="",N(F115)+M115-N115,N(G115))</f>
        <v/>
      </c>
      <c r="P115" s="21">
        <f>N(F115)+M115-N115-O115</f>
        <v/>
      </c>
      <c r="Q115" s="16">
        <f>IF(C115="",INDEX('Chart of Accounts'!$A$5:$A$3000,MATCH("other_overhead",'Chart of Accounts'!$F$5:$F$3000,0)),C115&amp;"")</f>
        <v/>
      </c>
      <c r="R115" s="16">
        <f>IF(I115="",INDEX('Chart of Accounts'!$A$5:$A$3000,MATCH("bank",'Chart of Accounts'!$F$5:$F$3000,0)),I115&amp;"")</f>
        <v/>
      </c>
      <c r="S115" s="16">
        <f>IF(J115="",INDEX('Chart of Accounts'!$A$5:$A$3000,MATCH("ap",'Chart of Accounts'!$F$5:$F$3000,0)),J115&amp;"")</f>
        <v/>
      </c>
      <c r="T115" s="16">
        <f>INDEX('Chart of Accounts'!$A$5:$A$3000,MATCH("vat_input",'Chart of Accounts'!$F$5:$F$3000,0))</f>
        <v/>
      </c>
      <c r="U115" s="16">
        <f>INDEX('Chart of Accounts'!$A$5:$A$3000,MATCH("wht_payable",'Chart of Accounts'!$F$5:$F$3000,0))</f>
        <v/>
      </c>
      <c r="V115" s="23">
        <f>IFERROR(INDEX('Chart of Accounts'!$C$5:$C$3000,MATCH(Q115&amp;"",'Chart of Accounts'!$A$5:$A$3000,0))&amp;"|"&amp;INDEX('Chart of Accounts'!$D$5:$D$3000,MATCH(Q115&amp;"",'Chart of Accounts'!$A$5:$A$3000,0)),"")</f>
        <v/>
      </c>
      <c r="W115" s="23">
        <f>IFERROR(INDEX('Chart of Accounts'!$C$5:$C$3000,MATCH(T115&amp;"",'Chart of Accounts'!$A$5:$A$3000,0))&amp;"|"&amp;INDEX('Chart of Accounts'!$D$5:$D$3000,MATCH(T115&amp;"",'Chart of Accounts'!$A$5:$A$3000,0)),"")</f>
        <v/>
      </c>
      <c r="X115" s="23">
        <f>IFERROR(INDEX('Chart of Accounts'!$C$5:$C$3000,MATCH(R115&amp;"",'Chart of Accounts'!$A$5:$A$3000,0))&amp;"|"&amp;INDEX('Chart of Accounts'!$D$5:$D$3000,MATCH(R115&amp;"",'Chart of Accounts'!$A$5:$A$3000,0)),"")</f>
        <v/>
      </c>
      <c r="Y115" s="23">
        <f>IFERROR(INDEX('Chart of Accounts'!$C$5:$C$3000,MATCH(S115&amp;"",'Chart of Accounts'!$A$5:$A$3000,0))&amp;"|"&amp;INDEX('Chart of Accounts'!$D$5:$D$3000,MATCH(S115&amp;"",'Chart of Accounts'!$A$5:$A$3000,0)),"")</f>
        <v/>
      </c>
      <c r="Z115" s="23">
        <f>IFERROR(INDEX('Chart of Accounts'!$C$5:$C$3000,MATCH(U115&amp;"",'Chart of Accounts'!$A$5:$A$3000,0))&amp;"|"&amp;INDEX('Chart of Accounts'!$D$5:$D$3000,MATCH(U115&amp;"",'Chart of Accounts'!$A$5:$A$3000,0)),"")</f>
        <v/>
      </c>
      <c r="AA115" s="23">
        <f>IF(LEFT(V115,8)="Revenue|",-N(F115),0)+IF(LEFT(W115,8)="Revenue|",-N(M115),0)+IF(LEFT(X115,8)="Revenue|",N(O115),0)+IF(LEFT(Y115,8)="Revenue|",N(P115),0)+IF(LEFT(Z115,8)="Revenue|",N(N115),0)</f>
        <v/>
      </c>
      <c r="AB115" s="23">
        <f>IF(LEFT(V115,5)="COGS|",N(F115),0)+IF(LEFT(W115,5)="COGS|",N(M115),0)+IF(LEFT(X115,5)="COGS|",-N(O115),0)+IF(LEFT(Y115,5)="COGS|",-N(P115),0)+IF(LEFT(Z115,5)="COGS|",-N(N115),0)</f>
        <v/>
      </c>
      <c r="AC115" s="23">
        <f>IF(LEFT(V115,8)="Expense|",N(F115),0)+IF(LEFT(W115,8)="Expense|",N(M115),0)+IF(LEFT(X115,8)="Expense|",-N(O115),0)+IF(LEFT(Y115,8)="Expense|",-N(P115),0)+IF(LEFT(Z115,8)="Expense|",-N(N115),0)</f>
        <v/>
      </c>
      <c r="AD115" s="23">
        <f>IF(ISNUMBER(MATCH(V115,{"Expense|employee","Expense|general_admin","Expense|marketing","Expense|utilities","Expense|other_operating"},0)),N(F115),0)+IF(ISNUMBER(MATCH(W115,{"Expense|employee","Expense|general_admin","Expense|marketing","Expense|utilities","Expense|other_operating"},0)),N(M115),0)+IF(ISNUMBER(MATCH(X115,{"Expense|employee","Expense|general_admin","Expense|marketing","Expense|utilities","Expense|other_operating"},0)),-N(O115),0)+IF(ISNUMBER(MATCH(Y115,{"Expense|employee","Expense|general_admin","Expense|marketing","Expense|utilities","Expense|other_operating"},0)),-N(P115),0)+IF(ISNUMBER(MATCH(Z115,{"Expense|employee","Expense|general_admin","Expense|marketing","Expense|utilities","Expense|other_operating"},0)),-N(N115),0)</f>
        <v/>
      </c>
      <c r="AE115" s="23">
        <f>IF(V115="Liability|payable",-N(F115),0)+IF(W115="Liability|payable",-N(M115),0)+IF(X115="Liability|payable",N(O115),0)+IF(Y115="Liability|payable",N(P115),0)+IF(Z115="Liability|payable",N(N115),0)</f>
        <v/>
      </c>
      <c r="AF115" s="23">
        <f>IF(V115="Liability|accrued",-N(F115),0)+IF(W115="Liability|accrued",-N(M115),0)+IF(X115="Liability|accrued",N(O115),0)+IF(Y115="Liability|accrued",N(P115),0)+IF(Z115="Liability|accrued",N(N115),0)</f>
        <v/>
      </c>
      <c r="AG115" s="23">
        <f>IF(AND(N(F115)&lt;&gt;0,V115=""),1,0)+IF(AND(N(M115)&lt;&gt;0,W115=""),1,0)+IF(AND(N(O115)&lt;&gt;0,X115=""),1,0)+IF(AND(N(P115)&lt;&gt;0,Y115=""),1,0)+IF(AND(N(N115)&lt;&gt;0,Z115=""),1,0)</f>
        <v/>
      </c>
    </row>
    <row r="116">
      <c r="A116" s="19" t="n"/>
      <c r="B116" s="14" t="n"/>
      <c r="C116" s="14" t="n"/>
      <c r="D116" s="14" t="n"/>
      <c r="E116" s="14" t="n"/>
      <c r="F116" s="20" t="n"/>
      <c r="G116" s="20" t="n"/>
      <c r="H116" s="14" t="n"/>
      <c r="I116" s="14" t="n"/>
      <c r="J116" s="14" t="n"/>
      <c r="K116" s="14" t="n"/>
      <c r="L116" s="14" t="n"/>
      <c r="M116" s="21">
        <f>ROUND(N(F116)*IFERROR(VLOOKUP(K116,'Tax Codes'!$A$5:$E$300,5,FALSE),0),2)</f>
        <v/>
      </c>
      <c r="N116" s="21">
        <f>ROUND(N(F116)*IFERROR(VLOOKUP(L116,'Tax Codes'!$A$5:$E$300,5,FALSE),0),2)</f>
        <v/>
      </c>
      <c r="O116" s="21">
        <f>IF(G116="",N(F116)+M116-N116,N(G116))</f>
        <v/>
      </c>
      <c r="P116" s="21">
        <f>N(F116)+M116-N116-O116</f>
        <v/>
      </c>
      <c r="Q116" s="16">
        <f>IF(C116="",INDEX('Chart of Accounts'!$A$5:$A$3000,MATCH("other_overhead",'Chart of Accounts'!$F$5:$F$3000,0)),C116&amp;"")</f>
        <v/>
      </c>
      <c r="R116" s="16">
        <f>IF(I116="",INDEX('Chart of Accounts'!$A$5:$A$3000,MATCH("bank",'Chart of Accounts'!$F$5:$F$3000,0)),I116&amp;"")</f>
        <v/>
      </c>
      <c r="S116" s="16">
        <f>IF(J116="",INDEX('Chart of Accounts'!$A$5:$A$3000,MATCH("ap",'Chart of Accounts'!$F$5:$F$3000,0)),J116&amp;"")</f>
        <v/>
      </c>
      <c r="T116" s="16">
        <f>INDEX('Chart of Accounts'!$A$5:$A$3000,MATCH("vat_input",'Chart of Accounts'!$F$5:$F$3000,0))</f>
        <v/>
      </c>
      <c r="U116" s="16">
        <f>INDEX('Chart of Accounts'!$A$5:$A$3000,MATCH("wht_payable",'Chart of Accounts'!$F$5:$F$3000,0))</f>
        <v/>
      </c>
      <c r="V116" s="23">
        <f>IFERROR(INDEX('Chart of Accounts'!$C$5:$C$3000,MATCH(Q116&amp;"",'Chart of Accounts'!$A$5:$A$3000,0))&amp;"|"&amp;INDEX('Chart of Accounts'!$D$5:$D$3000,MATCH(Q116&amp;"",'Chart of Accounts'!$A$5:$A$3000,0)),"")</f>
        <v/>
      </c>
      <c r="W116" s="23">
        <f>IFERROR(INDEX('Chart of Accounts'!$C$5:$C$3000,MATCH(T116&amp;"",'Chart of Accounts'!$A$5:$A$3000,0))&amp;"|"&amp;INDEX('Chart of Accounts'!$D$5:$D$3000,MATCH(T116&amp;"",'Chart of Accounts'!$A$5:$A$3000,0)),"")</f>
        <v/>
      </c>
      <c r="X116" s="23">
        <f>IFERROR(INDEX('Chart of Accounts'!$C$5:$C$3000,MATCH(R116&amp;"",'Chart of Accounts'!$A$5:$A$3000,0))&amp;"|"&amp;INDEX('Chart of Accounts'!$D$5:$D$3000,MATCH(R116&amp;"",'Chart of Accounts'!$A$5:$A$3000,0)),"")</f>
        <v/>
      </c>
      <c r="Y116" s="23">
        <f>IFERROR(INDEX('Chart of Accounts'!$C$5:$C$3000,MATCH(S116&amp;"",'Chart of Accounts'!$A$5:$A$3000,0))&amp;"|"&amp;INDEX('Chart of Accounts'!$D$5:$D$3000,MATCH(S116&amp;"",'Chart of Accounts'!$A$5:$A$3000,0)),"")</f>
        <v/>
      </c>
      <c r="Z116" s="23">
        <f>IFERROR(INDEX('Chart of Accounts'!$C$5:$C$3000,MATCH(U116&amp;"",'Chart of Accounts'!$A$5:$A$3000,0))&amp;"|"&amp;INDEX('Chart of Accounts'!$D$5:$D$3000,MATCH(U116&amp;"",'Chart of Accounts'!$A$5:$A$3000,0)),"")</f>
        <v/>
      </c>
      <c r="AA116" s="23">
        <f>IF(LEFT(V116,8)="Revenue|",-N(F116),0)+IF(LEFT(W116,8)="Revenue|",-N(M116),0)+IF(LEFT(X116,8)="Revenue|",N(O116),0)+IF(LEFT(Y116,8)="Revenue|",N(P116),0)+IF(LEFT(Z116,8)="Revenue|",N(N116),0)</f>
        <v/>
      </c>
      <c r="AB116" s="23">
        <f>IF(LEFT(V116,5)="COGS|",N(F116),0)+IF(LEFT(W116,5)="COGS|",N(M116),0)+IF(LEFT(X116,5)="COGS|",-N(O116),0)+IF(LEFT(Y116,5)="COGS|",-N(P116),0)+IF(LEFT(Z116,5)="COGS|",-N(N116),0)</f>
        <v/>
      </c>
      <c r="AC116" s="23">
        <f>IF(LEFT(V116,8)="Expense|",N(F116),0)+IF(LEFT(W116,8)="Expense|",N(M116),0)+IF(LEFT(X116,8)="Expense|",-N(O116),0)+IF(LEFT(Y116,8)="Expense|",-N(P116),0)+IF(LEFT(Z116,8)="Expense|",-N(N116),0)</f>
        <v/>
      </c>
      <c r="AD116" s="23">
        <f>IF(ISNUMBER(MATCH(V116,{"Expense|employee","Expense|general_admin","Expense|marketing","Expense|utilities","Expense|other_operating"},0)),N(F116),0)+IF(ISNUMBER(MATCH(W116,{"Expense|employee","Expense|general_admin","Expense|marketing","Expense|utilities","Expense|other_operating"},0)),N(M116),0)+IF(ISNUMBER(MATCH(X116,{"Expense|employee","Expense|general_admin","Expense|marketing","Expense|utilities","Expense|other_operating"},0)),-N(O116),0)+IF(ISNUMBER(MATCH(Y116,{"Expense|employee","Expense|general_admin","Expense|marketing","Expense|utilities","Expense|other_operating"},0)),-N(P116),0)+IF(ISNUMBER(MATCH(Z116,{"Expense|employee","Expense|general_admin","Expense|marketing","Expense|utilities","Expense|other_operating"},0)),-N(N116),0)</f>
        <v/>
      </c>
      <c r="AE116" s="23">
        <f>IF(V116="Liability|payable",-N(F116),0)+IF(W116="Liability|payable",-N(M116),0)+IF(X116="Liability|payable",N(O116),0)+IF(Y116="Liability|payable",N(P116),0)+IF(Z116="Liability|payable",N(N116),0)</f>
        <v/>
      </c>
      <c r="AF116" s="23">
        <f>IF(V116="Liability|accrued",-N(F116),0)+IF(W116="Liability|accrued",-N(M116),0)+IF(X116="Liability|accrued",N(O116),0)+IF(Y116="Liability|accrued",N(P116),0)+IF(Z116="Liability|accrued",N(N116),0)</f>
        <v/>
      </c>
      <c r="AG116" s="23">
        <f>IF(AND(N(F116)&lt;&gt;0,V116=""),1,0)+IF(AND(N(M116)&lt;&gt;0,W116=""),1,0)+IF(AND(N(O116)&lt;&gt;0,X116=""),1,0)+IF(AND(N(P116)&lt;&gt;0,Y116=""),1,0)+IF(AND(N(N116)&lt;&gt;0,Z116=""),1,0)</f>
        <v/>
      </c>
    </row>
    <row r="117">
      <c r="A117" s="19" t="n"/>
      <c r="B117" s="14" t="n"/>
      <c r="C117" s="14" t="n"/>
      <c r="D117" s="14" t="n"/>
      <c r="E117" s="14" t="n"/>
      <c r="F117" s="20" t="n"/>
      <c r="G117" s="20" t="n"/>
      <c r="H117" s="14" t="n"/>
      <c r="I117" s="14" t="n"/>
      <c r="J117" s="14" t="n"/>
      <c r="K117" s="14" t="n"/>
      <c r="L117" s="14" t="n"/>
      <c r="M117" s="21">
        <f>ROUND(N(F117)*IFERROR(VLOOKUP(K117,'Tax Codes'!$A$5:$E$300,5,FALSE),0),2)</f>
        <v/>
      </c>
      <c r="N117" s="21">
        <f>ROUND(N(F117)*IFERROR(VLOOKUP(L117,'Tax Codes'!$A$5:$E$300,5,FALSE),0),2)</f>
        <v/>
      </c>
      <c r="O117" s="21">
        <f>IF(G117="",N(F117)+M117-N117,N(G117))</f>
        <v/>
      </c>
      <c r="P117" s="21">
        <f>N(F117)+M117-N117-O117</f>
        <v/>
      </c>
      <c r="Q117" s="16">
        <f>IF(C117="",INDEX('Chart of Accounts'!$A$5:$A$3000,MATCH("other_overhead",'Chart of Accounts'!$F$5:$F$3000,0)),C117&amp;"")</f>
        <v/>
      </c>
      <c r="R117" s="16">
        <f>IF(I117="",INDEX('Chart of Accounts'!$A$5:$A$3000,MATCH("bank",'Chart of Accounts'!$F$5:$F$3000,0)),I117&amp;"")</f>
        <v/>
      </c>
      <c r="S117" s="16">
        <f>IF(J117="",INDEX('Chart of Accounts'!$A$5:$A$3000,MATCH("ap",'Chart of Accounts'!$F$5:$F$3000,0)),J117&amp;"")</f>
        <v/>
      </c>
      <c r="T117" s="16">
        <f>INDEX('Chart of Accounts'!$A$5:$A$3000,MATCH("vat_input",'Chart of Accounts'!$F$5:$F$3000,0))</f>
        <v/>
      </c>
      <c r="U117" s="16">
        <f>INDEX('Chart of Accounts'!$A$5:$A$3000,MATCH("wht_payable",'Chart of Accounts'!$F$5:$F$3000,0))</f>
        <v/>
      </c>
      <c r="V117" s="23">
        <f>IFERROR(INDEX('Chart of Accounts'!$C$5:$C$3000,MATCH(Q117&amp;"",'Chart of Accounts'!$A$5:$A$3000,0))&amp;"|"&amp;INDEX('Chart of Accounts'!$D$5:$D$3000,MATCH(Q117&amp;"",'Chart of Accounts'!$A$5:$A$3000,0)),"")</f>
        <v/>
      </c>
      <c r="W117" s="23">
        <f>IFERROR(INDEX('Chart of Accounts'!$C$5:$C$3000,MATCH(T117&amp;"",'Chart of Accounts'!$A$5:$A$3000,0))&amp;"|"&amp;INDEX('Chart of Accounts'!$D$5:$D$3000,MATCH(T117&amp;"",'Chart of Accounts'!$A$5:$A$3000,0)),"")</f>
        <v/>
      </c>
      <c r="X117" s="23">
        <f>IFERROR(INDEX('Chart of Accounts'!$C$5:$C$3000,MATCH(R117&amp;"",'Chart of Accounts'!$A$5:$A$3000,0))&amp;"|"&amp;INDEX('Chart of Accounts'!$D$5:$D$3000,MATCH(R117&amp;"",'Chart of Accounts'!$A$5:$A$3000,0)),"")</f>
        <v/>
      </c>
      <c r="Y117" s="23">
        <f>IFERROR(INDEX('Chart of Accounts'!$C$5:$C$3000,MATCH(S117&amp;"",'Chart of Accounts'!$A$5:$A$3000,0))&amp;"|"&amp;INDEX('Chart of Accounts'!$D$5:$D$3000,MATCH(S117&amp;"",'Chart of Accounts'!$A$5:$A$3000,0)),"")</f>
        <v/>
      </c>
      <c r="Z117" s="23">
        <f>IFERROR(INDEX('Chart of Accounts'!$C$5:$C$3000,MATCH(U117&amp;"",'Chart of Accounts'!$A$5:$A$3000,0))&amp;"|"&amp;INDEX('Chart of Accounts'!$D$5:$D$3000,MATCH(U117&amp;"",'Chart of Accounts'!$A$5:$A$3000,0)),"")</f>
        <v/>
      </c>
      <c r="AA117" s="23">
        <f>IF(LEFT(V117,8)="Revenue|",-N(F117),0)+IF(LEFT(W117,8)="Revenue|",-N(M117),0)+IF(LEFT(X117,8)="Revenue|",N(O117),0)+IF(LEFT(Y117,8)="Revenue|",N(P117),0)+IF(LEFT(Z117,8)="Revenue|",N(N117),0)</f>
        <v/>
      </c>
      <c r="AB117" s="23">
        <f>IF(LEFT(V117,5)="COGS|",N(F117),0)+IF(LEFT(W117,5)="COGS|",N(M117),0)+IF(LEFT(X117,5)="COGS|",-N(O117),0)+IF(LEFT(Y117,5)="COGS|",-N(P117),0)+IF(LEFT(Z117,5)="COGS|",-N(N117),0)</f>
        <v/>
      </c>
      <c r="AC117" s="23">
        <f>IF(LEFT(V117,8)="Expense|",N(F117),0)+IF(LEFT(W117,8)="Expense|",N(M117),0)+IF(LEFT(X117,8)="Expense|",-N(O117),0)+IF(LEFT(Y117,8)="Expense|",-N(P117),0)+IF(LEFT(Z117,8)="Expense|",-N(N117),0)</f>
        <v/>
      </c>
      <c r="AD117" s="23">
        <f>IF(ISNUMBER(MATCH(V117,{"Expense|employee","Expense|general_admin","Expense|marketing","Expense|utilities","Expense|other_operating"},0)),N(F117),0)+IF(ISNUMBER(MATCH(W117,{"Expense|employee","Expense|general_admin","Expense|marketing","Expense|utilities","Expense|other_operating"},0)),N(M117),0)+IF(ISNUMBER(MATCH(X117,{"Expense|employee","Expense|general_admin","Expense|marketing","Expense|utilities","Expense|other_operating"},0)),-N(O117),0)+IF(ISNUMBER(MATCH(Y117,{"Expense|employee","Expense|general_admin","Expense|marketing","Expense|utilities","Expense|other_operating"},0)),-N(P117),0)+IF(ISNUMBER(MATCH(Z117,{"Expense|employee","Expense|general_admin","Expense|marketing","Expense|utilities","Expense|other_operating"},0)),-N(N117),0)</f>
        <v/>
      </c>
      <c r="AE117" s="23">
        <f>IF(V117="Liability|payable",-N(F117),0)+IF(W117="Liability|payable",-N(M117),0)+IF(X117="Liability|payable",N(O117),0)+IF(Y117="Liability|payable",N(P117),0)+IF(Z117="Liability|payable",N(N117),0)</f>
        <v/>
      </c>
      <c r="AF117" s="23">
        <f>IF(V117="Liability|accrued",-N(F117),0)+IF(W117="Liability|accrued",-N(M117),0)+IF(X117="Liability|accrued",N(O117),0)+IF(Y117="Liability|accrued",N(P117),0)+IF(Z117="Liability|accrued",N(N117),0)</f>
        <v/>
      </c>
      <c r="AG117" s="23">
        <f>IF(AND(N(F117)&lt;&gt;0,V117=""),1,0)+IF(AND(N(M117)&lt;&gt;0,W117=""),1,0)+IF(AND(N(O117)&lt;&gt;0,X117=""),1,0)+IF(AND(N(P117)&lt;&gt;0,Y117=""),1,0)+IF(AND(N(N117)&lt;&gt;0,Z117=""),1,0)</f>
        <v/>
      </c>
    </row>
    <row r="118">
      <c r="A118" s="19" t="n"/>
      <c r="B118" s="14" t="n"/>
      <c r="C118" s="14" t="n"/>
      <c r="D118" s="14" t="n"/>
      <c r="E118" s="14" t="n"/>
      <c r="F118" s="20" t="n"/>
      <c r="G118" s="20" t="n"/>
      <c r="H118" s="14" t="n"/>
      <c r="I118" s="14" t="n"/>
      <c r="J118" s="14" t="n"/>
      <c r="K118" s="14" t="n"/>
      <c r="L118" s="14" t="n"/>
      <c r="M118" s="21">
        <f>ROUND(N(F118)*IFERROR(VLOOKUP(K118,'Tax Codes'!$A$5:$E$300,5,FALSE),0),2)</f>
        <v/>
      </c>
      <c r="N118" s="21">
        <f>ROUND(N(F118)*IFERROR(VLOOKUP(L118,'Tax Codes'!$A$5:$E$300,5,FALSE),0),2)</f>
        <v/>
      </c>
      <c r="O118" s="21">
        <f>IF(G118="",N(F118)+M118-N118,N(G118))</f>
        <v/>
      </c>
      <c r="P118" s="21">
        <f>N(F118)+M118-N118-O118</f>
        <v/>
      </c>
      <c r="Q118" s="16">
        <f>IF(C118="",INDEX('Chart of Accounts'!$A$5:$A$3000,MATCH("other_overhead",'Chart of Accounts'!$F$5:$F$3000,0)),C118&amp;"")</f>
        <v/>
      </c>
      <c r="R118" s="16">
        <f>IF(I118="",INDEX('Chart of Accounts'!$A$5:$A$3000,MATCH("bank",'Chart of Accounts'!$F$5:$F$3000,0)),I118&amp;"")</f>
        <v/>
      </c>
      <c r="S118" s="16">
        <f>IF(J118="",INDEX('Chart of Accounts'!$A$5:$A$3000,MATCH("ap",'Chart of Accounts'!$F$5:$F$3000,0)),J118&amp;"")</f>
        <v/>
      </c>
      <c r="T118" s="16">
        <f>INDEX('Chart of Accounts'!$A$5:$A$3000,MATCH("vat_input",'Chart of Accounts'!$F$5:$F$3000,0))</f>
        <v/>
      </c>
      <c r="U118" s="16">
        <f>INDEX('Chart of Accounts'!$A$5:$A$3000,MATCH("wht_payable",'Chart of Accounts'!$F$5:$F$3000,0))</f>
        <v/>
      </c>
      <c r="V118" s="23">
        <f>IFERROR(INDEX('Chart of Accounts'!$C$5:$C$3000,MATCH(Q118&amp;"",'Chart of Accounts'!$A$5:$A$3000,0))&amp;"|"&amp;INDEX('Chart of Accounts'!$D$5:$D$3000,MATCH(Q118&amp;"",'Chart of Accounts'!$A$5:$A$3000,0)),"")</f>
        <v/>
      </c>
      <c r="W118" s="23">
        <f>IFERROR(INDEX('Chart of Accounts'!$C$5:$C$3000,MATCH(T118&amp;"",'Chart of Accounts'!$A$5:$A$3000,0))&amp;"|"&amp;INDEX('Chart of Accounts'!$D$5:$D$3000,MATCH(T118&amp;"",'Chart of Accounts'!$A$5:$A$3000,0)),"")</f>
        <v/>
      </c>
      <c r="X118" s="23">
        <f>IFERROR(INDEX('Chart of Accounts'!$C$5:$C$3000,MATCH(R118&amp;"",'Chart of Accounts'!$A$5:$A$3000,0))&amp;"|"&amp;INDEX('Chart of Accounts'!$D$5:$D$3000,MATCH(R118&amp;"",'Chart of Accounts'!$A$5:$A$3000,0)),"")</f>
        <v/>
      </c>
      <c r="Y118" s="23">
        <f>IFERROR(INDEX('Chart of Accounts'!$C$5:$C$3000,MATCH(S118&amp;"",'Chart of Accounts'!$A$5:$A$3000,0))&amp;"|"&amp;INDEX('Chart of Accounts'!$D$5:$D$3000,MATCH(S118&amp;"",'Chart of Accounts'!$A$5:$A$3000,0)),"")</f>
        <v/>
      </c>
      <c r="Z118" s="23">
        <f>IFERROR(INDEX('Chart of Accounts'!$C$5:$C$3000,MATCH(U118&amp;"",'Chart of Accounts'!$A$5:$A$3000,0))&amp;"|"&amp;INDEX('Chart of Accounts'!$D$5:$D$3000,MATCH(U118&amp;"",'Chart of Accounts'!$A$5:$A$3000,0)),"")</f>
        <v/>
      </c>
      <c r="AA118" s="23">
        <f>IF(LEFT(V118,8)="Revenue|",-N(F118),0)+IF(LEFT(W118,8)="Revenue|",-N(M118),0)+IF(LEFT(X118,8)="Revenue|",N(O118),0)+IF(LEFT(Y118,8)="Revenue|",N(P118),0)+IF(LEFT(Z118,8)="Revenue|",N(N118),0)</f>
        <v/>
      </c>
      <c r="AB118" s="23">
        <f>IF(LEFT(V118,5)="COGS|",N(F118),0)+IF(LEFT(W118,5)="COGS|",N(M118),0)+IF(LEFT(X118,5)="COGS|",-N(O118),0)+IF(LEFT(Y118,5)="COGS|",-N(P118),0)+IF(LEFT(Z118,5)="COGS|",-N(N118),0)</f>
        <v/>
      </c>
      <c r="AC118" s="23">
        <f>IF(LEFT(V118,8)="Expense|",N(F118),0)+IF(LEFT(W118,8)="Expense|",N(M118),0)+IF(LEFT(X118,8)="Expense|",-N(O118),0)+IF(LEFT(Y118,8)="Expense|",-N(P118),0)+IF(LEFT(Z118,8)="Expense|",-N(N118),0)</f>
        <v/>
      </c>
      <c r="AD118" s="23">
        <f>IF(ISNUMBER(MATCH(V118,{"Expense|employee","Expense|general_admin","Expense|marketing","Expense|utilities","Expense|other_operating"},0)),N(F118),0)+IF(ISNUMBER(MATCH(W118,{"Expense|employee","Expense|general_admin","Expense|marketing","Expense|utilities","Expense|other_operating"},0)),N(M118),0)+IF(ISNUMBER(MATCH(X118,{"Expense|employee","Expense|general_admin","Expense|marketing","Expense|utilities","Expense|other_operating"},0)),-N(O118),0)+IF(ISNUMBER(MATCH(Y118,{"Expense|employee","Expense|general_admin","Expense|marketing","Expense|utilities","Expense|other_operating"},0)),-N(P118),0)+IF(ISNUMBER(MATCH(Z118,{"Expense|employee","Expense|general_admin","Expense|marketing","Expense|utilities","Expense|other_operating"},0)),-N(N118),0)</f>
        <v/>
      </c>
      <c r="AE118" s="23">
        <f>IF(V118="Liability|payable",-N(F118),0)+IF(W118="Liability|payable",-N(M118),0)+IF(X118="Liability|payable",N(O118),0)+IF(Y118="Liability|payable",N(P118),0)+IF(Z118="Liability|payable",N(N118),0)</f>
        <v/>
      </c>
      <c r="AF118" s="23">
        <f>IF(V118="Liability|accrued",-N(F118),0)+IF(W118="Liability|accrued",-N(M118),0)+IF(X118="Liability|accrued",N(O118),0)+IF(Y118="Liability|accrued",N(P118),0)+IF(Z118="Liability|accrued",N(N118),0)</f>
        <v/>
      </c>
      <c r="AG118" s="23">
        <f>IF(AND(N(F118)&lt;&gt;0,V118=""),1,0)+IF(AND(N(M118)&lt;&gt;0,W118=""),1,0)+IF(AND(N(O118)&lt;&gt;0,X118=""),1,0)+IF(AND(N(P118)&lt;&gt;0,Y118=""),1,0)+IF(AND(N(N118)&lt;&gt;0,Z118=""),1,0)</f>
        <v/>
      </c>
    </row>
    <row r="119">
      <c r="A119" s="19" t="n"/>
      <c r="B119" s="14" t="n"/>
      <c r="C119" s="14" t="n"/>
      <c r="D119" s="14" t="n"/>
      <c r="E119" s="14" t="n"/>
      <c r="F119" s="20" t="n"/>
      <c r="G119" s="20" t="n"/>
      <c r="H119" s="14" t="n"/>
      <c r="I119" s="14" t="n"/>
      <c r="J119" s="14" t="n"/>
      <c r="K119" s="14" t="n"/>
      <c r="L119" s="14" t="n"/>
      <c r="M119" s="21">
        <f>ROUND(N(F119)*IFERROR(VLOOKUP(K119,'Tax Codes'!$A$5:$E$300,5,FALSE),0),2)</f>
        <v/>
      </c>
      <c r="N119" s="21">
        <f>ROUND(N(F119)*IFERROR(VLOOKUP(L119,'Tax Codes'!$A$5:$E$300,5,FALSE),0),2)</f>
        <v/>
      </c>
      <c r="O119" s="21">
        <f>IF(G119="",N(F119)+M119-N119,N(G119))</f>
        <v/>
      </c>
      <c r="P119" s="21">
        <f>N(F119)+M119-N119-O119</f>
        <v/>
      </c>
      <c r="Q119" s="16">
        <f>IF(C119="",INDEX('Chart of Accounts'!$A$5:$A$3000,MATCH("other_overhead",'Chart of Accounts'!$F$5:$F$3000,0)),C119&amp;"")</f>
        <v/>
      </c>
      <c r="R119" s="16">
        <f>IF(I119="",INDEX('Chart of Accounts'!$A$5:$A$3000,MATCH("bank",'Chart of Accounts'!$F$5:$F$3000,0)),I119&amp;"")</f>
        <v/>
      </c>
      <c r="S119" s="16">
        <f>IF(J119="",INDEX('Chart of Accounts'!$A$5:$A$3000,MATCH("ap",'Chart of Accounts'!$F$5:$F$3000,0)),J119&amp;"")</f>
        <v/>
      </c>
      <c r="T119" s="16">
        <f>INDEX('Chart of Accounts'!$A$5:$A$3000,MATCH("vat_input",'Chart of Accounts'!$F$5:$F$3000,0))</f>
        <v/>
      </c>
      <c r="U119" s="16">
        <f>INDEX('Chart of Accounts'!$A$5:$A$3000,MATCH("wht_payable",'Chart of Accounts'!$F$5:$F$3000,0))</f>
        <v/>
      </c>
      <c r="V119" s="23">
        <f>IFERROR(INDEX('Chart of Accounts'!$C$5:$C$3000,MATCH(Q119&amp;"",'Chart of Accounts'!$A$5:$A$3000,0))&amp;"|"&amp;INDEX('Chart of Accounts'!$D$5:$D$3000,MATCH(Q119&amp;"",'Chart of Accounts'!$A$5:$A$3000,0)),"")</f>
        <v/>
      </c>
      <c r="W119" s="23">
        <f>IFERROR(INDEX('Chart of Accounts'!$C$5:$C$3000,MATCH(T119&amp;"",'Chart of Accounts'!$A$5:$A$3000,0))&amp;"|"&amp;INDEX('Chart of Accounts'!$D$5:$D$3000,MATCH(T119&amp;"",'Chart of Accounts'!$A$5:$A$3000,0)),"")</f>
        <v/>
      </c>
      <c r="X119" s="23">
        <f>IFERROR(INDEX('Chart of Accounts'!$C$5:$C$3000,MATCH(R119&amp;"",'Chart of Accounts'!$A$5:$A$3000,0))&amp;"|"&amp;INDEX('Chart of Accounts'!$D$5:$D$3000,MATCH(R119&amp;"",'Chart of Accounts'!$A$5:$A$3000,0)),"")</f>
        <v/>
      </c>
      <c r="Y119" s="23">
        <f>IFERROR(INDEX('Chart of Accounts'!$C$5:$C$3000,MATCH(S119&amp;"",'Chart of Accounts'!$A$5:$A$3000,0))&amp;"|"&amp;INDEX('Chart of Accounts'!$D$5:$D$3000,MATCH(S119&amp;"",'Chart of Accounts'!$A$5:$A$3000,0)),"")</f>
        <v/>
      </c>
      <c r="Z119" s="23">
        <f>IFERROR(INDEX('Chart of Accounts'!$C$5:$C$3000,MATCH(U119&amp;"",'Chart of Accounts'!$A$5:$A$3000,0))&amp;"|"&amp;INDEX('Chart of Accounts'!$D$5:$D$3000,MATCH(U119&amp;"",'Chart of Accounts'!$A$5:$A$3000,0)),"")</f>
        <v/>
      </c>
      <c r="AA119" s="23">
        <f>IF(LEFT(V119,8)="Revenue|",-N(F119),0)+IF(LEFT(W119,8)="Revenue|",-N(M119),0)+IF(LEFT(X119,8)="Revenue|",N(O119),0)+IF(LEFT(Y119,8)="Revenue|",N(P119),0)+IF(LEFT(Z119,8)="Revenue|",N(N119),0)</f>
        <v/>
      </c>
      <c r="AB119" s="23">
        <f>IF(LEFT(V119,5)="COGS|",N(F119),0)+IF(LEFT(W119,5)="COGS|",N(M119),0)+IF(LEFT(X119,5)="COGS|",-N(O119),0)+IF(LEFT(Y119,5)="COGS|",-N(P119),0)+IF(LEFT(Z119,5)="COGS|",-N(N119),0)</f>
        <v/>
      </c>
      <c r="AC119" s="23">
        <f>IF(LEFT(V119,8)="Expense|",N(F119),0)+IF(LEFT(W119,8)="Expense|",N(M119),0)+IF(LEFT(X119,8)="Expense|",-N(O119),0)+IF(LEFT(Y119,8)="Expense|",-N(P119),0)+IF(LEFT(Z119,8)="Expense|",-N(N119),0)</f>
        <v/>
      </c>
      <c r="AD119" s="23">
        <f>IF(ISNUMBER(MATCH(V119,{"Expense|employee","Expense|general_admin","Expense|marketing","Expense|utilities","Expense|other_operating"},0)),N(F119),0)+IF(ISNUMBER(MATCH(W119,{"Expense|employee","Expense|general_admin","Expense|marketing","Expense|utilities","Expense|other_operating"},0)),N(M119),0)+IF(ISNUMBER(MATCH(X119,{"Expense|employee","Expense|general_admin","Expense|marketing","Expense|utilities","Expense|other_operating"},0)),-N(O119),0)+IF(ISNUMBER(MATCH(Y119,{"Expense|employee","Expense|general_admin","Expense|marketing","Expense|utilities","Expense|other_operating"},0)),-N(P119),0)+IF(ISNUMBER(MATCH(Z119,{"Expense|employee","Expense|general_admin","Expense|marketing","Expense|utilities","Expense|other_operating"},0)),-N(N119),0)</f>
        <v/>
      </c>
      <c r="AE119" s="23">
        <f>IF(V119="Liability|payable",-N(F119),0)+IF(W119="Liability|payable",-N(M119),0)+IF(X119="Liability|payable",N(O119),0)+IF(Y119="Liability|payable",N(P119),0)+IF(Z119="Liability|payable",N(N119),0)</f>
        <v/>
      </c>
      <c r="AF119" s="23">
        <f>IF(V119="Liability|accrued",-N(F119),0)+IF(W119="Liability|accrued",-N(M119),0)+IF(X119="Liability|accrued",N(O119),0)+IF(Y119="Liability|accrued",N(P119),0)+IF(Z119="Liability|accrued",N(N119),0)</f>
        <v/>
      </c>
      <c r="AG119" s="23">
        <f>IF(AND(N(F119)&lt;&gt;0,V119=""),1,0)+IF(AND(N(M119)&lt;&gt;0,W119=""),1,0)+IF(AND(N(O119)&lt;&gt;0,X119=""),1,0)+IF(AND(N(P119)&lt;&gt;0,Y119=""),1,0)+IF(AND(N(N119)&lt;&gt;0,Z119=""),1,0)</f>
        <v/>
      </c>
    </row>
    <row r="120">
      <c r="A120" s="19" t="n"/>
      <c r="B120" s="14" t="n"/>
      <c r="C120" s="14" t="n"/>
      <c r="D120" s="14" t="n"/>
      <c r="E120" s="14" t="n"/>
      <c r="F120" s="20" t="n"/>
      <c r="G120" s="20" t="n"/>
      <c r="H120" s="14" t="n"/>
      <c r="I120" s="14" t="n"/>
      <c r="J120" s="14" t="n"/>
      <c r="K120" s="14" t="n"/>
      <c r="L120" s="14" t="n"/>
      <c r="M120" s="21">
        <f>ROUND(N(F120)*IFERROR(VLOOKUP(K120,'Tax Codes'!$A$5:$E$300,5,FALSE),0),2)</f>
        <v/>
      </c>
      <c r="N120" s="21">
        <f>ROUND(N(F120)*IFERROR(VLOOKUP(L120,'Tax Codes'!$A$5:$E$300,5,FALSE),0),2)</f>
        <v/>
      </c>
      <c r="O120" s="21">
        <f>IF(G120="",N(F120)+M120-N120,N(G120))</f>
        <v/>
      </c>
      <c r="P120" s="21">
        <f>N(F120)+M120-N120-O120</f>
        <v/>
      </c>
      <c r="Q120" s="16">
        <f>IF(C120="",INDEX('Chart of Accounts'!$A$5:$A$3000,MATCH("other_overhead",'Chart of Accounts'!$F$5:$F$3000,0)),C120&amp;"")</f>
        <v/>
      </c>
      <c r="R120" s="16">
        <f>IF(I120="",INDEX('Chart of Accounts'!$A$5:$A$3000,MATCH("bank",'Chart of Accounts'!$F$5:$F$3000,0)),I120&amp;"")</f>
        <v/>
      </c>
      <c r="S120" s="16">
        <f>IF(J120="",INDEX('Chart of Accounts'!$A$5:$A$3000,MATCH("ap",'Chart of Accounts'!$F$5:$F$3000,0)),J120&amp;"")</f>
        <v/>
      </c>
      <c r="T120" s="16">
        <f>INDEX('Chart of Accounts'!$A$5:$A$3000,MATCH("vat_input",'Chart of Accounts'!$F$5:$F$3000,0))</f>
        <v/>
      </c>
      <c r="U120" s="16">
        <f>INDEX('Chart of Accounts'!$A$5:$A$3000,MATCH("wht_payable",'Chart of Accounts'!$F$5:$F$3000,0))</f>
        <v/>
      </c>
      <c r="V120" s="23">
        <f>IFERROR(INDEX('Chart of Accounts'!$C$5:$C$3000,MATCH(Q120&amp;"",'Chart of Accounts'!$A$5:$A$3000,0))&amp;"|"&amp;INDEX('Chart of Accounts'!$D$5:$D$3000,MATCH(Q120&amp;"",'Chart of Accounts'!$A$5:$A$3000,0)),"")</f>
        <v/>
      </c>
      <c r="W120" s="23">
        <f>IFERROR(INDEX('Chart of Accounts'!$C$5:$C$3000,MATCH(T120&amp;"",'Chart of Accounts'!$A$5:$A$3000,0))&amp;"|"&amp;INDEX('Chart of Accounts'!$D$5:$D$3000,MATCH(T120&amp;"",'Chart of Accounts'!$A$5:$A$3000,0)),"")</f>
        <v/>
      </c>
      <c r="X120" s="23">
        <f>IFERROR(INDEX('Chart of Accounts'!$C$5:$C$3000,MATCH(R120&amp;"",'Chart of Accounts'!$A$5:$A$3000,0))&amp;"|"&amp;INDEX('Chart of Accounts'!$D$5:$D$3000,MATCH(R120&amp;"",'Chart of Accounts'!$A$5:$A$3000,0)),"")</f>
        <v/>
      </c>
      <c r="Y120" s="23">
        <f>IFERROR(INDEX('Chart of Accounts'!$C$5:$C$3000,MATCH(S120&amp;"",'Chart of Accounts'!$A$5:$A$3000,0))&amp;"|"&amp;INDEX('Chart of Accounts'!$D$5:$D$3000,MATCH(S120&amp;"",'Chart of Accounts'!$A$5:$A$3000,0)),"")</f>
        <v/>
      </c>
      <c r="Z120" s="23">
        <f>IFERROR(INDEX('Chart of Accounts'!$C$5:$C$3000,MATCH(U120&amp;"",'Chart of Accounts'!$A$5:$A$3000,0))&amp;"|"&amp;INDEX('Chart of Accounts'!$D$5:$D$3000,MATCH(U120&amp;"",'Chart of Accounts'!$A$5:$A$3000,0)),"")</f>
        <v/>
      </c>
      <c r="AA120" s="23">
        <f>IF(LEFT(V120,8)="Revenue|",-N(F120),0)+IF(LEFT(W120,8)="Revenue|",-N(M120),0)+IF(LEFT(X120,8)="Revenue|",N(O120),0)+IF(LEFT(Y120,8)="Revenue|",N(P120),0)+IF(LEFT(Z120,8)="Revenue|",N(N120),0)</f>
        <v/>
      </c>
      <c r="AB120" s="23">
        <f>IF(LEFT(V120,5)="COGS|",N(F120),0)+IF(LEFT(W120,5)="COGS|",N(M120),0)+IF(LEFT(X120,5)="COGS|",-N(O120),0)+IF(LEFT(Y120,5)="COGS|",-N(P120),0)+IF(LEFT(Z120,5)="COGS|",-N(N120),0)</f>
        <v/>
      </c>
      <c r="AC120" s="23">
        <f>IF(LEFT(V120,8)="Expense|",N(F120),0)+IF(LEFT(W120,8)="Expense|",N(M120),0)+IF(LEFT(X120,8)="Expense|",-N(O120),0)+IF(LEFT(Y120,8)="Expense|",-N(P120),0)+IF(LEFT(Z120,8)="Expense|",-N(N120),0)</f>
        <v/>
      </c>
      <c r="AD120" s="23">
        <f>IF(ISNUMBER(MATCH(V120,{"Expense|employee","Expense|general_admin","Expense|marketing","Expense|utilities","Expense|other_operating"},0)),N(F120),0)+IF(ISNUMBER(MATCH(W120,{"Expense|employee","Expense|general_admin","Expense|marketing","Expense|utilities","Expense|other_operating"},0)),N(M120),0)+IF(ISNUMBER(MATCH(X120,{"Expense|employee","Expense|general_admin","Expense|marketing","Expense|utilities","Expense|other_operating"},0)),-N(O120),0)+IF(ISNUMBER(MATCH(Y120,{"Expense|employee","Expense|general_admin","Expense|marketing","Expense|utilities","Expense|other_operating"},0)),-N(P120),0)+IF(ISNUMBER(MATCH(Z120,{"Expense|employee","Expense|general_admin","Expense|marketing","Expense|utilities","Expense|other_operating"},0)),-N(N120),0)</f>
        <v/>
      </c>
      <c r="AE120" s="23">
        <f>IF(V120="Liability|payable",-N(F120),0)+IF(W120="Liability|payable",-N(M120),0)+IF(X120="Liability|payable",N(O120),0)+IF(Y120="Liability|payable",N(P120),0)+IF(Z120="Liability|payable",N(N120),0)</f>
        <v/>
      </c>
      <c r="AF120" s="23">
        <f>IF(V120="Liability|accrued",-N(F120),0)+IF(W120="Liability|accrued",-N(M120),0)+IF(X120="Liability|accrued",N(O120),0)+IF(Y120="Liability|accrued",N(P120),0)+IF(Z120="Liability|accrued",N(N120),0)</f>
        <v/>
      </c>
      <c r="AG120" s="23">
        <f>IF(AND(N(F120)&lt;&gt;0,V120=""),1,0)+IF(AND(N(M120)&lt;&gt;0,W120=""),1,0)+IF(AND(N(O120)&lt;&gt;0,X120=""),1,0)+IF(AND(N(P120)&lt;&gt;0,Y120=""),1,0)+IF(AND(N(N120)&lt;&gt;0,Z120=""),1,0)</f>
        <v/>
      </c>
    </row>
    <row r="121">
      <c r="A121" s="19" t="n"/>
      <c r="B121" s="14" t="n"/>
      <c r="C121" s="14" t="n"/>
      <c r="D121" s="14" t="n"/>
      <c r="E121" s="14" t="n"/>
      <c r="F121" s="20" t="n"/>
      <c r="G121" s="20" t="n"/>
      <c r="H121" s="14" t="n"/>
      <c r="I121" s="14" t="n"/>
      <c r="J121" s="14" t="n"/>
      <c r="K121" s="14" t="n"/>
      <c r="L121" s="14" t="n"/>
      <c r="M121" s="21">
        <f>ROUND(N(F121)*IFERROR(VLOOKUP(K121,'Tax Codes'!$A$5:$E$300,5,FALSE),0),2)</f>
        <v/>
      </c>
      <c r="N121" s="21">
        <f>ROUND(N(F121)*IFERROR(VLOOKUP(L121,'Tax Codes'!$A$5:$E$300,5,FALSE),0),2)</f>
        <v/>
      </c>
      <c r="O121" s="21">
        <f>IF(G121="",N(F121)+M121-N121,N(G121))</f>
        <v/>
      </c>
      <c r="P121" s="21">
        <f>N(F121)+M121-N121-O121</f>
        <v/>
      </c>
      <c r="Q121" s="16">
        <f>IF(C121="",INDEX('Chart of Accounts'!$A$5:$A$3000,MATCH("other_overhead",'Chart of Accounts'!$F$5:$F$3000,0)),C121&amp;"")</f>
        <v/>
      </c>
      <c r="R121" s="16">
        <f>IF(I121="",INDEX('Chart of Accounts'!$A$5:$A$3000,MATCH("bank",'Chart of Accounts'!$F$5:$F$3000,0)),I121&amp;"")</f>
        <v/>
      </c>
      <c r="S121" s="16">
        <f>IF(J121="",INDEX('Chart of Accounts'!$A$5:$A$3000,MATCH("ap",'Chart of Accounts'!$F$5:$F$3000,0)),J121&amp;"")</f>
        <v/>
      </c>
      <c r="T121" s="16">
        <f>INDEX('Chart of Accounts'!$A$5:$A$3000,MATCH("vat_input",'Chart of Accounts'!$F$5:$F$3000,0))</f>
        <v/>
      </c>
      <c r="U121" s="16">
        <f>INDEX('Chart of Accounts'!$A$5:$A$3000,MATCH("wht_payable",'Chart of Accounts'!$F$5:$F$3000,0))</f>
        <v/>
      </c>
      <c r="V121" s="23">
        <f>IFERROR(INDEX('Chart of Accounts'!$C$5:$C$3000,MATCH(Q121&amp;"",'Chart of Accounts'!$A$5:$A$3000,0))&amp;"|"&amp;INDEX('Chart of Accounts'!$D$5:$D$3000,MATCH(Q121&amp;"",'Chart of Accounts'!$A$5:$A$3000,0)),"")</f>
        <v/>
      </c>
      <c r="W121" s="23">
        <f>IFERROR(INDEX('Chart of Accounts'!$C$5:$C$3000,MATCH(T121&amp;"",'Chart of Accounts'!$A$5:$A$3000,0))&amp;"|"&amp;INDEX('Chart of Accounts'!$D$5:$D$3000,MATCH(T121&amp;"",'Chart of Accounts'!$A$5:$A$3000,0)),"")</f>
        <v/>
      </c>
      <c r="X121" s="23">
        <f>IFERROR(INDEX('Chart of Accounts'!$C$5:$C$3000,MATCH(R121&amp;"",'Chart of Accounts'!$A$5:$A$3000,0))&amp;"|"&amp;INDEX('Chart of Accounts'!$D$5:$D$3000,MATCH(R121&amp;"",'Chart of Accounts'!$A$5:$A$3000,0)),"")</f>
        <v/>
      </c>
      <c r="Y121" s="23">
        <f>IFERROR(INDEX('Chart of Accounts'!$C$5:$C$3000,MATCH(S121&amp;"",'Chart of Accounts'!$A$5:$A$3000,0))&amp;"|"&amp;INDEX('Chart of Accounts'!$D$5:$D$3000,MATCH(S121&amp;"",'Chart of Accounts'!$A$5:$A$3000,0)),"")</f>
        <v/>
      </c>
      <c r="Z121" s="23">
        <f>IFERROR(INDEX('Chart of Accounts'!$C$5:$C$3000,MATCH(U121&amp;"",'Chart of Accounts'!$A$5:$A$3000,0))&amp;"|"&amp;INDEX('Chart of Accounts'!$D$5:$D$3000,MATCH(U121&amp;"",'Chart of Accounts'!$A$5:$A$3000,0)),"")</f>
        <v/>
      </c>
      <c r="AA121" s="23">
        <f>IF(LEFT(V121,8)="Revenue|",-N(F121),0)+IF(LEFT(W121,8)="Revenue|",-N(M121),0)+IF(LEFT(X121,8)="Revenue|",N(O121),0)+IF(LEFT(Y121,8)="Revenue|",N(P121),0)+IF(LEFT(Z121,8)="Revenue|",N(N121),0)</f>
        <v/>
      </c>
      <c r="AB121" s="23">
        <f>IF(LEFT(V121,5)="COGS|",N(F121),0)+IF(LEFT(W121,5)="COGS|",N(M121),0)+IF(LEFT(X121,5)="COGS|",-N(O121),0)+IF(LEFT(Y121,5)="COGS|",-N(P121),0)+IF(LEFT(Z121,5)="COGS|",-N(N121),0)</f>
        <v/>
      </c>
      <c r="AC121" s="23">
        <f>IF(LEFT(V121,8)="Expense|",N(F121),0)+IF(LEFT(W121,8)="Expense|",N(M121),0)+IF(LEFT(X121,8)="Expense|",-N(O121),0)+IF(LEFT(Y121,8)="Expense|",-N(P121),0)+IF(LEFT(Z121,8)="Expense|",-N(N121),0)</f>
        <v/>
      </c>
      <c r="AD121" s="23">
        <f>IF(ISNUMBER(MATCH(V121,{"Expense|employee","Expense|general_admin","Expense|marketing","Expense|utilities","Expense|other_operating"},0)),N(F121),0)+IF(ISNUMBER(MATCH(W121,{"Expense|employee","Expense|general_admin","Expense|marketing","Expense|utilities","Expense|other_operating"},0)),N(M121),0)+IF(ISNUMBER(MATCH(X121,{"Expense|employee","Expense|general_admin","Expense|marketing","Expense|utilities","Expense|other_operating"},0)),-N(O121),0)+IF(ISNUMBER(MATCH(Y121,{"Expense|employee","Expense|general_admin","Expense|marketing","Expense|utilities","Expense|other_operating"},0)),-N(P121),0)+IF(ISNUMBER(MATCH(Z121,{"Expense|employee","Expense|general_admin","Expense|marketing","Expense|utilities","Expense|other_operating"},0)),-N(N121),0)</f>
        <v/>
      </c>
      <c r="AE121" s="23">
        <f>IF(V121="Liability|payable",-N(F121),0)+IF(W121="Liability|payable",-N(M121),0)+IF(X121="Liability|payable",N(O121),0)+IF(Y121="Liability|payable",N(P121),0)+IF(Z121="Liability|payable",N(N121),0)</f>
        <v/>
      </c>
      <c r="AF121" s="23">
        <f>IF(V121="Liability|accrued",-N(F121),0)+IF(W121="Liability|accrued",-N(M121),0)+IF(X121="Liability|accrued",N(O121),0)+IF(Y121="Liability|accrued",N(P121),0)+IF(Z121="Liability|accrued",N(N121),0)</f>
        <v/>
      </c>
      <c r="AG121" s="23">
        <f>IF(AND(N(F121)&lt;&gt;0,V121=""),1,0)+IF(AND(N(M121)&lt;&gt;0,W121=""),1,0)+IF(AND(N(O121)&lt;&gt;0,X121=""),1,0)+IF(AND(N(P121)&lt;&gt;0,Y121=""),1,0)+IF(AND(N(N121)&lt;&gt;0,Z121=""),1,0)</f>
        <v/>
      </c>
    </row>
    <row r="122">
      <c r="A122" s="19" t="n"/>
      <c r="B122" s="14" t="n"/>
      <c r="C122" s="14" t="n"/>
      <c r="D122" s="14" t="n"/>
      <c r="E122" s="14" t="n"/>
      <c r="F122" s="20" t="n"/>
      <c r="G122" s="20" t="n"/>
      <c r="H122" s="14" t="n"/>
      <c r="I122" s="14" t="n"/>
      <c r="J122" s="14" t="n"/>
      <c r="K122" s="14" t="n"/>
      <c r="L122" s="14" t="n"/>
      <c r="M122" s="21">
        <f>ROUND(N(F122)*IFERROR(VLOOKUP(K122,'Tax Codes'!$A$5:$E$300,5,FALSE),0),2)</f>
        <v/>
      </c>
      <c r="N122" s="21">
        <f>ROUND(N(F122)*IFERROR(VLOOKUP(L122,'Tax Codes'!$A$5:$E$300,5,FALSE),0),2)</f>
        <v/>
      </c>
      <c r="O122" s="21">
        <f>IF(G122="",N(F122)+M122-N122,N(G122))</f>
        <v/>
      </c>
      <c r="P122" s="21">
        <f>N(F122)+M122-N122-O122</f>
        <v/>
      </c>
      <c r="Q122" s="16">
        <f>IF(C122="",INDEX('Chart of Accounts'!$A$5:$A$3000,MATCH("other_overhead",'Chart of Accounts'!$F$5:$F$3000,0)),C122&amp;"")</f>
        <v/>
      </c>
      <c r="R122" s="16">
        <f>IF(I122="",INDEX('Chart of Accounts'!$A$5:$A$3000,MATCH("bank",'Chart of Accounts'!$F$5:$F$3000,0)),I122&amp;"")</f>
        <v/>
      </c>
      <c r="S122" s="16">
        <f>IF(J122="",INDEX('Chart of Accounts'!$A$5:$A$3000,MATCH("ap",'Chart of Accounts'!$F$5:$F$3000,0)),J122&amp;"")</f>
        <v/>
      </c>
      <c r="T122" s="16">
        <f>INDEX('Chart of Accounts'!$A$5:$A$3000,MATCH("vat_input",'Chart of Accounts'!$F$5:$F$3000,0))</f>
        <v/>
      </c>
      <c r="U122" s="16">
        <f>INDEX('Chart of Accounts'!$A$5:$A$3000,MATCH("wht_payable",'Chart of Accounts'!$F$5:$F$3000,0))</f>
        <v/>
      </c>
      <c r="V122" s="23">
        <f>IFERROR(INDEX('Chart of Accounts'!$C$5:$C$3000,MATCH(Q122&amp;"",'Chart of Accounts'!$A$5:$A$3000,0))&amp;"|"&amp;INDEX('Chart of Accounts'!$D$5:$D$3000,MATCH(Q122&amp;"",'Chart of Accounts'!$A$5:$A$3000,0)),"")</f>
        <v/>
      </c>
      <c r="W122" s="23">
        <f>IFERROR(INDEX('Chart of Accounts'!$C$5:$C$3000,MATCH(T122&amp;"",'Chart of Accounts'!$A$5:$A$3000,0))&amp;"|"&amp;INDEX('Chart of Accounts'!$D$5:$D$3000,MATCH(T122&amp;"",'Chart of Accounts'!$A$5:$A$3000,0)),"")</f>
        <v/>
      </c>
      <c r="X122" s="23">
        <f>IFERROR(INDEX('Chart of Accounts'!$C$5:$C$3000,MATCH(R122&amp;"",'Chart of Accounts'!$A$5:$A$3000,0))&amp;"|"&amp;INDEX('Chart of Accounts'!$D$5:$D$3000,MATCH(R122&amp;"",'Chart of Accounts'!$A$5:$A$3000,0)),"")</f>
        <v/>
      </c>
      <c r="Y122" s="23">
        <f>IFERROR(INDEX('Chart of Accounts'!$C$5:$C$3000,MATCH(S122&amp;"",'Chart of Accounts'!$A$5:$A$3000,0))&amp;"|"&amp;INDEX('Chart of Accounts'!$D$5:$D$3000,MATCH(S122&amp;"",'Chart of Accounts'!$A$5:$A$3000,0)),"")</f>
        <v/>
      </c>
      <c r="Z122" s="23">
        <f>IFERROR(INDEX('Chart of Accounts'!$C$5:$C$3000,MATCH(U122&amp;"",'Chart of Accounts'!$A$5:$A$3000,0))&amp;"|"&amp;INDEX('Chart of Accounts'!$D$5:$D$3000,MATCH(U122&amp;"",'Chart of Accounts'!$A$5:$A$3000,0)),"")</f>
        <v/>
      </c>
      <c r="AA122" s="23">
        <f>IF(LEFT(V122,8)="Revenue|",-N(F122),0)+IF(LEFT(W122,8)="Revenue|",-N(M122),0)+IF(LEFT(X122,8)="Revenue|",N(O122),0)+IF(LEFT(Y122,8)="Revenue|",N(P122),0)+IF(LEFT(Z122,8)="Revenue|",N(N122),0)</f>
        <v/>
      </c>
      <c r="AB122" s="23">
        <f>IF(LEFT(V122,5)="COGS|",N(F122),0)+IF(LEFT(W122,5)="COGS|",N(M122),0)+IF(LEFT(X122,5)="COGS|",-N(O122),0)+IF(LEFT(Y122,5)="COGS|",-N(P122),0)+IF(LEFT(Z122,5)="COGS|",-N(N122),0)</f>
        <v/>
      </c>
      <c r="AC122" s="23">
        <f>IF(LEFT(V122,8)="Expense|",N(F122),0)+IF(LEFT(W122,8)="Expense|",N(M122),0)+IF(LEFT(X122,8)="Expense|",-N(O122),0)+IF(LEFT(Y122,8)="Expense|",-N(P122),0)+IF(LEFT(Z122,8)="Expense|",-N(N122),0)</f>
        <v/>
      </c>
      <c r="AD122" s="23">
        <f>IF(ISNUMBER(MATCH(V122,{"Expense|employee","Expense|general_admin","Expense|marketing","Expense|utilities","Expense|other_operating"},0)),N(F122),0)+IF(ISNUMBER(MATCH(W122,{"Expense|employee","Expense|general_admin","Expense|marketing","Expense|utilities","Expense|other_operating"},0)),N(M122),0)+IF(ISNUMBER(MATCH(X122,{"Expense|employee","Expense|general_admin","Expense|marketing","Expense|utilities","Expense|other_operating"},0)),-N(O122),0)+IF(ISNUMBER(MATCH(Y122,{"Expense|employee","Expense|general_admin","Expense|marketing","Expense|utilities","Expense|other_operating"},0)),-N(P122),0)+IF(ISNUMBER(MATCH(Z122,{"Expense|employee","Expense|general_admin","Expense|marketing","Expense|utilities","Expense|other_operating"},0)),-N(N122),0)</f>
        <v/>
      </c>
      <c r="AE122" s="23">
        <f>IF(V122="Liability|payable",-N(F122),0)+IF(W122="Liability|payable",-N(M122),0)+IF(X122="Liability|payable",N(O122),0)+IF(Y122="Liability|payable",N(P122),0)+IF(Z122="Liability|payable",N(N122),0)</f>
        <v/>
      </c>
      <c r="AF122" s="23">
        <f>IF(V122="Liability|accrued",-N(F122),0)+IF(W122="Liability|accrued",-N(M122),0)+IF(X122="Liability|accrued",N(O122),0)+IF(Y122="Liability|accrued",N(P122),0)+IF(Z122="Liability|accrued",N(N122),0)</f>
        <v/>
      </c>
      <c r="AG122" s="23">
        <f>IF(AND(N(F122)&lt;&gt;0,V122=""),1,0)+IF(AND(N(M122)&lt;&gt;0,W122=""),1,0)+IF(AND(N(O122)&lt;&gt;0,X122=""),1,0)+IF(AND(N(P122)&lt;&gt;0,Y122=""),1,0)+IF(AND(N(N122)&lt;&gt;0,Z122=""),1,0)</f>
        <v/>
      </c>
    </row>
    <row r="123">
      <c r="A123" s="19" t="n"/>
      <c r="B123" s="14" t="n"/>
      <c r="C123" s="14" t="n"/>
      <c r="D123" s="14" t="n"/>
      <c r="E123" s="14" t="n"/>
      <c r="F123" s="20" t="n"/>
      <c r="G123" s="20" t="n"/>
      <c r="H123" s="14" t="n"/>
      <c r="I123" s="14" t="n"/>
      <c r="J123" s="14" t="n"/>
      <c r="K123" s="14" t="n"/>
      <c r="L123" s="14" t="n"/>
      <c r="M123" s="21">
        <f>ROUND(N(F123)*IFERROR(VLOOKUP(K123,'Tax Codes'!$A$5:$E$300,5,FALSE),0),2)</f>
        <v/>
      </c>
      <c r="N123" s="21">
        <f>ROUND(N(F123)*IFERROR(VLOOKUP(L123,'Tax Codes'!$A$5:$E$300,5,FALSE),0),2)</f>
        <v/>
      </c>
      <c r="O123" s="21">
        <f>IF(G123="",N(F123)+M123-N123,N(G123))</f>
        <v/>
      </c>
      <c r="P123" s="21">
        <f>N(F123)+M123-N123-O123</f>
        <v/>
      </c>
      <c r="Q123" s="16">
        <f>IF(C123="",INDEX('Chart of Accounts'!$A$5:$A$3000,MATCH("other_overhead",'Chart of Accounts'!$F$5:$F$3000,0)),C123&amp;"")</f>
        <v/>
      </c>
      <c r="R123" s="16">
        <f>IF(I123="",INDEX('Chart of Accounts'!$A$5:$A$3000,MATCH("bank",'Chart of Accounts'!$F$5:$F$3000,0)),I123&amp;"")</f>
        <v/>
      </c>
      <c r="S123" s="16">
        <f>IF(J123="",INDEX('Chart of Accounts'!$A$5:$A$3000,MATCH("ap",'Chart of Accounts'!$F$5:$F$3000,0)),J123&amp;"")</f>
        <v/>
      </c>
      <c r="T123" s="16">
        <f>INDEX('Chart of Accounts'!$A$5:$A$3000,MATCH("vat_input",'Chart of Accounts'!$F$5:$F$3000,0))</f>
        <v/>
      </c>
      <c r="U123" s="16">
        <f>INDEX('Chart of Accounts'!$A$5:$A$3000,MATCH("wht_payable",'Chart of Accounts'!$F$5:$F$3000,0))</f>
        <v/>
      </c>
      <c r="V123" s="23">
        <f>IFERROR(INDEX('Chart of Accounts'!$C$5:$C$3000,MATCH(Q123&amp;"",'Chart of Accounts'!$A$5:$A$3000,0))&amp;"|"&amp;INDEX('Chart of Accounts'!$D$5:$D$3000,MATCH(Q123&amp;"",'Chart of Accounts'!$A$5:$A$3000,0)),"")</f>
        <v/>
      </c>
      <c r="W123" s="23">
        <f>IFERROR(INDEX('Chart of Accounts'!$C$5:$C$3000,MATCH(T123&amp;"",'Chart of Accounts'!$A$5:$A$3000,0))&amp;"|"&amp;INDEX('Chart of Accounts'!$D$5:$D$3000,MATCH(T123&amp;"",'Chart of Accounts'!$A$5:$A$3000,0)),"")</f>
        <v/>
      </c>
      <c r="X123" s="23">
        <f>IFERROR(INDEX('Chart of Accounts'!$C$5:$C$3000,MATCH(R123&amp;"",'Chart of Accounts'!$A$5:$A$3000,0))&amp;"|"&amp;INDEX('Chart of Accounts'!$D$5:$D$3000,MATCH(R123&amp;"",'Chart of Accounts'!$A$5:$A$3000,0)),"")</f>
        <v/>
      </c>
      <c r="Y123" s="23">
        <f>IFERROR(INDEX('Chart of Accounts'!$C$5:$C$3000,MATCH(S123&amp;"",'Chart of Accounts'!$A$5:$A$3000,0))&amp;"|"&amp;INDEX('Chart of Accounts'!$D$5:$D$3000,MATCH(S123&amp;"",'Chart of Accounts'!$A$5:$A$3000,0)),"")</f>
        <v/>
      </c>
      <c r="Z123" s="23">
        <f>IFERROR(INDEX('Chart of Accounts'!$C$5:$C$3000,MATCH(U123&amp;"",'Chart of Accounts'!$A$5:$A$3000,0))&amp;"|"&amp;INDEX('Chart of Accounts'!$D$5:$D$3000,MATCH(U123&amp;"",'Chart of Accounts'!$A$5:$A$3000,0)),"")</f>
        <v/>
      </c>
      <c r="AA123" s="23">
        <f>IF(LEFT(V123,8)="Revenue|",-N(F123),0)+IF(LEFT(W123,8)="Revenue|",-N(M123),0)+IF(LEFT(X123,8)="Revenue|",N(O123),0)+IF(LEFT(Y123,8)="Revenue|",N(P123),0)+IF(LEFT(Z123,8)="Revenue|",N(N123),0)</f>
        <v/>
      </c>
      <c r="AB123" s="23">
        <f>IF(LEFT(V123,5)="COGS|",N(F123),0)+IF(LEFT(W123,5)="COGS|",N(M123),0)+IF(LEFT(X123,5)="COGS|",-N(O123),0)+IF(LEFT(Y123,5)="COGS|",-N(P123),0)+IF(LEFT(Z123,5)="COGS|",-N(N123),0)</f>
        <v/>
      </c>
      <c r="AC123" s="23">
        <f>IF(LEFT(V123,8)="Expense|",N(F123),0)+IF(LEFT(W123,8)="Expense|",N(M123),0)+IF(LEFT(X123,8)="Expense|",-N(O123),0)+IF(LEFT(Y123,8)="Expense|",-N(P123),0)+IF(LEFT(Z123,8)="Expense|",-N(N123),0)</f>
        <v/>
      </c>
      <c r="AD123" s="23">
        <f>IF(ISNUMBER(MATCH(V123,{"Expense|employee","Expense|general_admin","Expense|marketing","Expense|utilities","Expense|other_operating"},0)),N(F123),0)+IF(ISNUMBER(MATCH(W123,{"Expense|employee","Expense|general_admin","Expense|marketing","Expense|utilities","Expense|other_operating"},0)),N(M123),0)+IF(ISNUMBER(MATCH(X123,{"Expense|employee","Expense|general_admin","Expense|marketing","Expense|utilities","Expense|other_operating"},0)),-N(O123),0)+IF(ISNUMBER(MATCH(Y123,{"Expense|employee","Expense|general_admin","Expense|marketing","Expense|utilities","Expense|other_operating"},0)),-N(P123),0)+IF(ISNUMBER(MATCH(Z123,{"Expense|employee","Expense|general_admin","Expense|marketing","Expense|utilities","Expense|other_operating"},0)),-N(N123),0)</f>
        <v/>
      </c>
      <c r="AE123" s="23">
        <f>IF(V123="Liability|payable",-N(F123),0)+IF(W123="Liability|payable",-N(M123),0)+IF(X123="Liability|payable",N(O123),0)+IF(Y123="Liability|payable",N(P123),0)+IF(Z123="Liability|payable",N(N123),0)</f>
        <v/>
      </c>
      <c r="AF123" s="23">
        <f>IF(V123="Liability|accrued",-N(F123),0)+IF(W123="Liability|accrued",-N(M123),0)+IF(X123="Liability|accrued",N(O123),0)+IF(Y123="Liability|accrued",N(P123),0)+IF(Z123="Liability|accrued",N(N123),0)</f>
        <v/>
      </c>
      <c r="AG123" s="23">
        <f>IF(AND(N(F123)&lt;&gt;0,V123=""),1,0)+IF(AND(N(M123)&lt;&gt;0,W123=""),1,0)+IF(AND(N(O123)&lt;&gt;0,X123=""),1,0)+IF(AND(N(P123)&lt;&gt;0,Y123=""),1,0)+IF(AND(N(N123)&lt;&gt;0,Z123=""),1,0)</f>
        <v/>
      </c>
    </row>
    <row r="124">
      <c r="A124" s="19" t="n"/>
      <c r="B124" s="14" t="n"/>
      <c r="C124" s="14" t="n"/>
      <c r="D124" s="14" t="n"/>
      <c r="E124" s="14" t="n"/>
      <c r="F124" s="20" t="n"/>
      <c r="G124" s="20" t="n"/>
      <c r="H124" s="14" t="n"/>
      <c r="I124" s="14" t="n"/>
      <c r="J124" s="14" t="n"/>
      <c r="K124" s="14" t="n"/>
      <c r="L124" s="14" t="n"/>
      <c r="M124" s="21">
        <f>ROUND(N(F124)*IFERROR(VLOOKUP(K124,'Tax Codes'!$A$5:$E$300,5,FALSE),0),2)</f>
        <v/>
      </c>
      <c r="N124" s="21">
        <f>ROUND(N(F124)*IFERROR(VLOOKUP(L124,'Tax Codes'!$A$5:$E$300,5,FALSE),0),2)</f>
        <v/>
      </c>
      <c r="O124" s="21">
        <f>IF(G124="",N(F124)+M124-N124,N(G124))</f>
        <v/>
      </c>
      <c r="P124" s="21">
        <f>N(F124)+M124-N124-O124</f>
        <v/>
      </c>
      <c r="Q124" s="16">
        <f>IF(C124="",INDEX('Chart of Accounts'!$A$5:$A$3000,MATCH("other_overhead",'Chart of Accounts'!$F$5:$F$3000,0)),C124&amp;"")</f>
        <v/>
      </c>
      <c r="R124" s="16">
        <f>IF(I124="",INDEX('Chart of Accounts'!$A$5:$A$3000,MATCH("bank",'Chart of Accounts'!$F$5:$F$3000,0)),I124&amp;"")</f>
        <v/>
      </c>
      <c r="S124" s="16">
        <f>IF(J124="",INDEX('Chart of Accounts'!$A$5:$A$3000,MATCH("ap",'Chart of Accounts'!$F$5:$F$3000,0)),J124&amp;"")</f>
        <v/>
      </c>
      <c r="T124" s="16">
        <f>INDEX('Chart of Accounts'!$A$5:$A$3000,MATCH("vat_input",'Chart of Accounts'!$F$5:$F$3000,0))</f>
        <v/>
      </c>
      <c r="U124" s="16">
        <f>INDEX('Chart of Accounts'!$A$5:$A$3000,MATCH("wht_payable",'Chart of Accounts'!$F$5:$F$3000,0))</f>
        <v/>
      </c>
      <c r="V124" s="23">
        <f>IFERROR(INDEX('Chart of Accounts'!$C$5:$C$3000,MATCH(Q124&amp;"",'Chart of Accounts'!$A$5:$A$3000,0))&amp;"|"&amp;INDEX('Chart of Accounts'!$D$5:$D$3000,MATCH(Q124&amp;"",'Chart of Accounts'!$A$5:$A$3000,0)),"")</f>
        <v/>
      </c>
      <c r="W124" s="23">
        <f>IFERROR(INDEX('Chart of Accounts'!$C$5:$C$3000,MATCH(T124&amp;"",'Chart of Accounts'!$A$5:$A$3000,0))&amp;"|"&amp;INDEX('Chart of Accounts'!$D$5:$D$3000,MATCH(T124&amp;"",'Chart of Accounts'!$A$5:$A$3000,0)),"")</f>
        <v/>
      </c>
      <c r="X124" s="23">
        <f>IFERROR(INDEX('Chart of Accounts'!$C$5:$C$3000,MATCH(R124&amp;"",'Chart of Accounts'!$A$5:$A$3000,0))&amp;"|"&amp;INDEX('Chart of Accounts'!$D$5:$D$3000,MATCH(R124&amp;"",'Chart of Accounts'!$A$5:$A$3000,0)),"")</f>
        <v/>
      </c>
      <c r="Y124" s="23">
        <f>IFERROR(INDEX('Chart of Accounts'!$C$5:$C$3000,MATCH(S124&amp;"",'Chart of Accounts'!$A$5:$A$3000,0))&amp;"|"&amp;INDEX('Chart of Accounts'!$D$5:$D$3000,MATCH(S124&amp;"",'Chart of Accounts'!$A$5:$A$3000,0)),"")</f>
        <v/>
      </c>
      <c r="Z124" s="23">
        <f>IFERROR(INDEX('Chart of Accounts'!$C$5:$C$3000,MATCH(U124&amp;"",'Chart of Accounts'!$A$5:$A$3000,0))&amp;"|"&amp;INDEX('Chart of Accounts'!$D$5:$D$3000,MATCH(U124&amp;"",'Chart of Accounts'!$A$5:$A$3000,0)),"")</f>
        <v/>
      </c>
      <c r="AA124" s="23">
        <f>IF(LEFT(V124,8)="Revenue|",-N(F124),0)+IF(LEFT(W124,8)="Revenue|",-N(M124),0)+IF(LEFT(X124,8)="Revenue|",N(O124),0)+IF(LEFT(Y124,8)="Revenue|",N(P124),0)+IF(LEFT(Z124,8)="Revenue|",N(N124),0)</f>
        <v/>
      </c>
      <c r="AB124" s="23">
        <f>IF(LEFT(V124,5)="COGS|",N(F124),0)+IF(LEFT(W124,5)="COGS|",N(M124),0)+IF(LEFT(X124,5)="COGS|",-N(O124),0)+IF(LEFT(Y124,5)="COGS|",-N(P124),0)+IF(LEFT(Z124,5)="COGS|",-N(N124),0)</f>
        <v/>
      </c>
      <c r="AC124" s="23">
        <f>IF(LEFT(V124,8)="Expense|",N(F124),0)+IF(LEFT(W124,8)="Expense|",N(M124),0)+IF(LEFT(X124,8)="Expense|",-N(O124),0)+IF(LEFT(Y124,8)="Expense|",-N(P124),0)+IF(LEFT(Z124,8)="Expense|",-N(N124),0)</f>
        <v/>
      </c>
      <c r="AD124" s="23">
        <f>IF(ISNUMBER(MATCH(V124,{"Expense|employee","Expense|general_admin","Expense|marketing","Expense|utilities","Expense|other_operating"},0)),N(F124),0)+IF(ISNUMBER(MATCH(W124,{"Expense|employee","Expense|general_admin","Expense|marketing","Expense|utilities","Expense|other_operating"},0)),N(M124),0)+IF(ISNUMBER(MATCH(X124,{"Expense|employee","Expense|general_admin","Expense|marketing","Expense|utilities","Expense|other_operating"},0)),-N(O124),0)+IF(ISNUMBER(MATCH(Y124,{"Expense|employee","Expense|general_admin","Expense|marketing","Expense|utilities","Expense|other_operating"},0)),-N(P124),0)+IF(ISNUMBER(MATCH(Z124,{"Expense|employee","Expense|general_admin","Expense|marketing","Expense|utilities","Expense|other_operating"},0)),-N(N124),0)</f>
        <v/>
      </c>
      <c r="AE124" s="23">
        <f>IF(V124="Liability|payable",-N(F124),0)+IF(W124="Liability|payable",-N(M124),0)+IF(X124="Liability|payable",N(O124),0)+IF(Y124="Liability|payable",N(P124),0)+IF(Z124="Liability|payable",N(N124),0)</f>
        <v/>
      </c>
      <c r="AF124" s="23">
        <f>IF(V124="Liability|accrued",-N(F124),0)+IF(W124="Liability|accrued",-N(M124),0)+IF(X124="Liability|accrued",N(O124),0)+IF(Y124="Liability|accrued",N(P124),0)+IF(Z124="Liability|accrued",N(N124),0)</f>
        <v/>
      </c>
      <c r="AG124" s="23">
        <f>IF(AND(N(F124)&lt;&gt;0,V124=""),1,0)+IF(AND(N(M124)&lt;&gt;0,W124=""),1,0)+IF(AND(N(O124)&lt;&gt;0,X124=""),1,0)+IF(AND(N(P124)&lt;&gt;0,Y124=""),1,0)+IF(AND(N(N124)&lt;&gt;0,Z124=""),1,0)</f>
        <v/>
      </c>
    </row>
    <row r="125">
      <c r="A125" s="19" t="n"/>
      <c r="B125" s="14" t="n"/>
      <c r="C125" s="14" t="n"/>
      <c r="D125" s="14" t="n"/>
      <c r="E125" s="14" t="n"/>
      <c r="F125" s="20" t="n"/>
      <c r="G125" s="20" t="n"/>
      <c r="H125" s="14" t="n"/>
      <c r="I125" s="14" t="n"/>
      <c r="J125" s="14" t="n"/>
      <c r="K125" s="14" t="n"/>
      <c r="L125" s="14" t="n"/>
      <c r="M125" s="21">
        <f>ROUND(N(F125)*IFERROR(VLOOKUP(K125,'Tax Codes'!$A$5:$E$300,5,FALSE),0),2)</f>
        <v/>
      </c>
      <c r="N125" s="21">
        <f>ROUND(N(F125)*IFERROR(VLOOKUP(L125,'Tax Codes'!$A$5:$E$300,5,FALSE),0),2)</f>
        <v/>
      </c>
      <c r="O125" s="21">
        <f>IF(G125="",N(F125)+M125-N125,N(G125))</f>
        <v/>
      </c>
      <c r="P125" s="21">
        <f>N(F125)+M125-N125-O125</f>
        <v/>
      </c>
      <c r="Q125" s="16">
        <f>IF(C125="",INDEX('Chart of Accounts'!$A$5:$A$3000,MATCH("other_overhead",'Chart of Accounts'!$F$5:$F$3000,0)),C125&amp;"")</f>
        <v/>
      </c>
      <c r="R125" s="16">
        <f>IF(I125="",INDEX('Chart of Accounts'!$A$5:$A$3000,MATCH("bank",'Chart of Accounts'!$F$5:$F$3000,0)),I125&amp;"")</f>
        <v/>
      </c>
      <c r="S125" s="16">
        <f>IF(J125="",INDEX('Chart of Accounts'!$A$5:$A$3000,MATCH("ap",'Chart of Accounts'!$F$5:$F$3000,0)),J125&amp;"")</f>
        <v/>
      </c>
      <c r="T125" s="16">
        <f>INDEX('Chart of Accounts'!$A$5:$A$3000,MATCH("vat_input",'Chart of Accounts'!$F$5:$F$3000,0))</f>
        <v/>
      </c>
      <c r="U125" s="16">
        <f>INDEX('Chart of Accounts'!$A$5:$A$3000,MATCH("wht_payable",'Chart of Accounts'!$F$5:$F$3000,0))</f>
        <v/>
      </c>
      <c r="V125" s="23">
        <f>IFERROR(INDEX('Chart of Accounts'!$C$5:$C$3000,MATCH(Q125&amp;"",'Chart of Accounts'!$A$5:$A$3000,0))&amp;"|"&amp;INDEX('Chart of Accounts'!$D$5:$D$3000,MATCH(Q125&amp;"",'Chart of Accounts'!$A$5:$A$3000,0)),"")</f>
        <v/>
      </c>
      <c r="W125" s="23">
        <f>IFERROR(INDEX('Chart of Accounts'!$C$5:$C$3000,MATCH(T125&amp;"",'Chart of Accounts'!$A$5:$A$3000,0))&amp;"|"&amp;INDEX('Chart of Accounts'!$D$5:$D$3000,MATCH(T125&amp;"",'Chart of Accounts'!$A$5:$A$3000,0)),"")</f>
        <v/>
      </c>
      <c r="X125" s="23">
        <f>IFERROR(INDEX('Chart of Accounts'!$C$5:$C$3000,MATCH(R125&amp;"",'Chart of Accounts'!$A$5:$A$3000,0))&amp;"|"&amp;INDEX('Chart of Accounts'!$D$5:$D$3000,MATCH(R125&amp;"",'Chart of Accounts'!$A$5:$A$3000,0)),"")</f>
        <v/>
      </c>
      <c r="Y125" s="23">
        <f>IFERROR(INDEX('Chart of Accounts'!$C$5:$C$3000,MATCH(S125&amp;"",'Chart of Accounts'!$A$5:$A$3000,0))&amp;"|"&amp;INDEX('Chart of Accounts'!$D$5:$D$3000,MATCH(S125&amp;"",'Chart of Accounts'!$A$5:$A$3000,0)),"")</f>
        <v/>
      </c>
      <c r="Z125" s="23">
        <f>IFERROR(INDEX('Chart of Accounts'!$C$5:$C$3000,MATCH(U125&amp;"",'Chart of Accounts'!$A$5:$A$3000,0))&amp;"|"&amp;INDEX('Chart of Accounts'!$D$5:$D$3000,MATCH(U125&amp;"",'Chart of Accounts'!$A$5:$A$3000,0)),"")</f>
        <v/>
      </c>
      <c r="AA125" s="23">
        <f>IF(LEFT(V125,8)="Revenue|",-N(F125),0)+IF(LEFT(W125,8)="Revenue|",-N(M125),0)+IF(LEFT(X125,8)="Revenue|",N(O125),0)+IF(LEFT(Y125,8)="Revenue|",N(P125),0)+IF(LEFT(Z125,8)="Revenue|",N(N125),0)</f>
        <v/>
      </c>
      <c r="AB125" s="23">
        <f>IF(LEFT(V125,5)="COGS|",N(F125),0)+IF(LEFT(W125,5)="COGS|",N(M125),0)+IF(LEFT(X125,5)="COGS|",-N(O125),0)+IF(LEFT(Y125,5)="COGS|",-N(P125),0)+IF(LEFT(Z125,5)="COGS|",-N(N125),0)</f>
        <v/>
      </c>
      <c r="AC125" s="23">
        <f>IF(LEFT(V125,8)="Expense|",N(F125),0)+IF(LEFT(W125,8)="Expense|",N(M125),0)+IF(LEFT(X125,8)="Expense|",-N(O125),0)+IF(LEFT(Y125,8)="Expense|",-N(P125),0)+IF(LEFT(Z125,8)="Expense|",-N(N125),0)</f>
        <v/>
      </c>
      <c r="AD125" s="23">
        <f>IF(ISNUMBER(MATCH(V125,{"Expense|employee","Expense|general_admin","Expense|marketing","Expense|utilities","Expense|other_operating"},0)),N(F125),0)+IF(ISNUMBER(MATCH(W125,{"Expense|employee","Expense|general_admin","Expense|marketing","Expense|utilities","Expense|other_operating"},0)),N(M125),0)+IF(ISNUMBER(MATCH(X125,{"Expense|employee","Expense|general_admin","Expense|marketing","Expense|utilities","Expense|other_operating"},0)),-N(O125),0)+IF(ISNUMBER(MATCH(Y125,{"Expense|employee","Expense|general_admin","Expense|marketing","Expense|utilities","Expense|other_operating"},0)),-N(P125),0)+IF(ISNUMBER(MATCH(Z125,{"Expense|employee","Expense|general_admin","Expense|marketing","Expense|utilities","Expense|other_operating"},0)),-N(N125),0)</f>
        <v/>
      </c>
      <c r="AE125" s="23">
        <f>IF(V125="Liability|payable",-N(F125),0)+IF(W125="Liability|payable",-N(M125),0)+IF(X125="Liability|payable",N(O125),0)+IF(Y125="Liability|payable",N(P125),0)+IF(Z125="Liability|payable",N(N125),0)</f>
        <v/>
      </c>
      <c r="AF125" s="23">
        <f>IF(V125="Liability|accrued",-N(F125),0)+IF(W125="Liability|accrued",-N(M125),0)+IF(X125="Liability|accrued",N(O125),0)+IF(Y125="Liability|accrued",N(P125),0)+IF(Z125="Liability|accrued",N(N125),0)</f>
        <v/>
      </c>
      <c r="AG125" s="23">
        <f>IF(AND(N(F125)&lt;&gt;0,V125=""),1,0)+IF(AND(N(M125)&lt;&gt;0,W125=""),1,0)+IF(AND(N(O125)&lt;&gt;0,X125=""),1,0)+IF(AND(N(P125)&lt;&gt;0,Y125=""),1,0)+IF(AND(N(N125)&lt;&gt;0,Z125=""),1,0)</f>
        <v/>
      </c>
    </row>
    <row r="126">
      <c r="A126" s="19" t="n"/>
      <c r="B126" s="14" t="n"/>
      <c r="C126" s="14" t="n"/>
      <c r="D126" s="14" t="n"/>
      <c r="E126" s="14" t="n"/>
      <c r="F126" s="20" t="n"/>
      <c r="G126" s="20" t="n"/>
      <c r="H126" s="14" t="n"/>
      <c r="I126" s="14" t="n"/>
      <c r="J126" s="14" t="n"/>
      <c r="K126" s="14" t="n"/>
      <c r="L126" s="14" t="n"/>
      <c r="M126" s="21">
        <f>ROUND(N(F126)*IFERROR(VLOOKUP(K126,'Tax Codes'!$A$5:$E$300,5,FALSE),0),2)</f>
        <v/>
      </c>
      <c r="N126" s="21">
        <f>ROUND(N(F126)*IFERROR(VLOOKUP(L126,'Tax Codes'!$A$5:$E$300,5,FALSE),0),2)</f>
        <v/>
      </c>
      <c r="O126" s="21">
        <f>IF(G126="",N(F126)+M126-N126,N(G126))</f>
        <v/>
      </c>
      <c r="P126" s="21">
        <f>N(F126)+M126-N126-O126</f>
        <v/>
      </c>
      <c r="Q126" s="16">
        <f>IF(C126="",INDEX('Chart of Accounts'!$A$5:$A$3000,MATCH("other_overhead",'Chart of Accounts'!$F$5:$F$3000,0)),C126&amp;"")</f>
        <v/>
      </c>
      <c r="R126" s="16">
        <f>IF(I126="",INDEX('Chart of Accounts'!$A$5:$A$3000,MATCH("bank",'Chart of Accounts'!$F$5:$F$3000,0)),I126&amp;"")</f>
        <v/>
      </c>
      <c r="S126" s="16">
        <f>IF(J126="",INDEX('Chart of Accounts'!$A$5:$A$3000,MATCH("ap",'Chart of Accounts'!$F$5:$F$3000,0)),J126&amp;"")</f>
        <v/>
      </c>
      <c r="T126" s="16">
        <f>INDEX('Chart of Accounts'!$A$5:$A$3000,MATCH("vat_input",'Chart of Accounts'!$F$5:$F$3000,0))</f>
        <v/>
      </c>
      <c r="U126" s="16">
        <f>INDEX('Chart of Accounts'!$A$5:$A$3000,MATCH("wht_payable",'Chart of Accounts'!$F$5:$F$3000,0))</f>
        <v/>
      </c>
      <c r="V126" s="23">
        <f>IFERROR(INDEX('Chart of Accounts'!$C$5:$C$3000,MATCH(Q126&amp;"",'Chart of Accounts'!$A$5:$A$3000,0))&amp;"|"&amp;INDEX('Chart of Accounts'!$D$5:$D$3000,MATCH(Q126&amp;"",'Chart of Accounts'!$A$5:$A$3000,0)),"")</f>
        <v/>
      </c>
      <c r="W126" s="23">
        <f>IFERROR(INDEX('Chart of Accounts'!$C$5:$C$3000,MATCH(T126&amp;"",'Chart of Accounts'!$A$5:$A$3000,0))&amp;"|"&amp;INDEX('Chart of Accounts'!$D$5:$D$3000,MATCH(T126&amp;"",'Chart of Accounts'!$A$5:$A$3000,0)),"")</f>
        <v/>
      </c>
      <c r="X126" s="23">
        <f>IFERROR(INDEX('Chart of Accounts'!$C$5:$C$3000,MATCH(R126&amp;"",'Chart of Accounts'!$A$5:$A$3000,0))&amp;"|"&amp;INDEX('Chart of Accounts'!$D$5:$D$3000,MATCH(R126&amp;"",'Chart of Accounts'!$A$5:$A$3000,0)),"")</f>
        <v/>
      </c>
      <c r="Y126" s="23">
        <f>IFERROR(INDEX('Chart of Accounts'!$C$5:$C$3000,MATCH(S126&amp;"",'Chart of Accounts'!$A$5:$A$3000,0))&amp;"|"&amp;INDEX('Chart of Accounts'!$D$5:$D$3000,MATCH(S126&amp;"",'Chart of Accounts'!$A$5:$A$3000,0)),"")</f>
        <v/>
      </c>
      <c r="Z126" s="23">
        <f>IFERROR(INDEX('Chart of Accounts'!$C$5:$C$3000,MATCH(U126&amp;"",'Chart of Accounts'!$A$5:$A$3000,0))&amp;"|"&amp;INDEX('Chart of Accounts'!$D$5:$D$3000,MATCH(U126&amp;"",'Chart of Accounts'!$A$5:$A$3000,0)),"")</f>
        <v/>
      </c>
      <c r="AA126" s="23">
        <f>IF(LEFT(V126,8)="Revenue|",-N(F126),0)+IF(LEFT(W126,8)="Revenue|",-N(M126),0)+IF(LEFT(X126,8)="Revenue|",N(O126),0)+IF(LEFT(Y126,8)="Revenue|",N(P126),0)+IF(LEFT(Z126,8)="Revenue|",N(N126),0)</f>
        <v/>
      </c>
      <c r="AB126" s="23">
        <f>IF(LEFT(V126,5)="COGS|",N(F126),0)+IF(LEFT(W126,5)="COGS|",N(M126),0)+IF(LEFT(X126,5)="COGS|",-N(O126),0)+IF(LEFT(Y126,5)="COGS|",-N(P126),0)+IF(LEFT(Z126,5)="COGS|",-N(N126),0)</f>
        <v/>
      </c>
      <c r="AC126" s="23">
        <f>IF(LEFT(V126,8)="Expense|",N(F126),0)+IF(LEFT(W126,8)="Expense|",N(M126),0)+IF(LEFT(X126,8)="Expense|",-N(O126),0)+IF(LEFT(Y126,8)="Expense|",-N(P126),0)+IF(LEFT(Z126,8)="Expense|",-N(N126),0)</f>
        <v/>
      </c>
      <c r="AD126" s="23">
        <f>IF(ISNUMBER(MATCH(V126,{"Expense|employee","Expense|general_admin","Expense|marketing","Expense|utilities","Expense|other_operating"},0)),N(F126),0)+IF(ISNUMBER(MATCH(W126,{"Expense|employee","Expense|general_admin","Expense|marketing","Expense|utilities","Expense|other_operating"},0)),N(M126),0)+IF(ISNUMBER(MATCH(X126,{"Expense|employee","Expense|general_admin","Expense|marketing","Expense|utilities","Expense|other_operating"},0)),-N(O126),0)+IF(ISNUMBER(MATCH(Y126,{"Expense|employee","Expense|general_admin","Expense|marketing","Expense|utilities","Expense|other_operating"},0)),-N(P126),0)+IF(ISNUMBER(MATCH(Z126,{"Expense|employee","Expense|general_admin","Expense|marketing","Expense|utilities","Expense|other_operating"},0)),-N(N126),0)</f>
        <v/>
      </c>
      <c r="AE126" s="23">
        <f>IF(V126="Liability|payable",-N(F126),0)+IF(W126="Liability|payable",-N(M126),0)+IF(X126="Liability|payable",N(O126),0)+IF(Y126="Liability|payable",N(P126),0)+IF(Z126="Liability|payable",N(N126),0)</f>
        <v/>
      </c>
      <c r="AF126" s="23">
        <f>IF(V126="Liability|accrued",-N(F126),0)+IF(W126="Liability|accrued",-N(M126),0)+IF(X126="Liability|accrued",N(O126),0)+IF(Y126="Liability|accrued",N(P126),0)+IF(Z126="Liability|accrued",N(N126),0)</f>
        <v/>
      </c>
      <c r="AG126" s="23">
        <f>IF(AND(N(F126)&lt;&gt;0,V126=""),1,0)+IF(AND(N(M126)&lt;&gt;0,W126=""),1,0)+IF(AND(N(O126)&lt;&gt;0,X126=""),1,0)+IF(AND(N(P126)&lt;&gt;0,Y126=""),1,0)+IF(AND(N(N126)&lt;&gt;0,Z126=""),1,0)</f>
        <v/>
      </c>
    </row>
    <row r="127">
      <c r="A127" s="19" t="n"/>
      <c r="B127" s="14" t="n"/>
      <c r="C127" s="14" t="n"/>
      <c r="D127" s="14" t="n"/>
      <c r="E127" s="14" t="n"/>
      <c r="F127" s="20" t="n"/>
      <c r="G127" s="20" t="n"/>
      <c r="H127" s="14" t="n"/>
      <c r="I127" s="14" t="n"/>
      <c r="J127" s="14" t="n"/>
      <c r="K127" s="14" t="n"/>
      <c r="L127" s="14" t="n"/>
      <c r="M127" s="21">
        <f>ROUND(N(F127)*IFERROR(VLOOKUP(K127,'Tax Codes'!$A$5:$E$300,5,FALSE),0),2)</f>
        <v/>
      </c>
      <c r="N127" s="21">
        <f>ROUND(N(F127)*IFERROR(VLOOKUP(L127,'Tax Codes'!$A$5:$E$300,5,FALSE),0),2)</f>
        <v/>
      </c>
      <c r="O127" s="21">
        <f>IF(G127="",N(F127)+M127-N127,N(G127))</f>
        <v/>
      </c>
      <c r="P127" s="21">
        <f>N(F127)+M127-N127-O127</f>
        <v/>
      </c>
      <c r="Q127" s="16">
        <f>IF(C127="",INDEX('Chart of Accounts'!$A$5:$A$3000,MATCH("other_overhead",'Chart of Accounts'!$F$5:$F$3000,0)),C127&amp;"")</f>
        <v/>
      </c>
      <c r="R127" s="16">
        <f>IF(I127="",INDEX('Chart of Accounts'!$A$5:$A$3000,MATCH("bank",'Chart of Accounts'!$F$5:$F$3000,0)),I127&amp;"")</f>
        <v/>
      </c>
      <c r="S127" s="16">
        <f>IF(J127="",INDEX('Chart of Accounts'!$A$5:$A$3000,MATCH("ap",'Chart of Accounts'!$F$5:$F$3000,0)),J127&amp;"")</f>
        <v/>
      </c>
      <c r="T127" s="16">
        <f>INDEX('Chart of Accounts'!$A$5:$A$3000,MATCH("vat_input",'Chart of Accounts'!$F$5:$F$3000,0))</f>
        <v/>
      </c>
      <c r="U127" s="16">
        <f>INDEX('Chart of Accounts'!$A$5:$A$3000,MATCH("wht_payable",'Chart of Accounts'!$F$5:$F$3000,0))</f>
        <v/>
      </c>
      <c r="V127" s="23">
        <f>IFERROR(INDEX('Chart of Accounts'!$C$5:$C$3000,MATCH(Q127&amp;"",'Chart of Accounts'!$A$5:$A$3000,0))&amp;"|"&amp;INDEX('Chart of Accounts'!$D$5:$D$3000,MATCH(Q127&amp;"",'Chart of Accounts'!$A$5:$A$3000,0)),"")</f>
        <v/>
      </c>
      <c r="W127" s="23">
        <f>IFERROR(INDEX('Chart of Accounts'!$C$5:$C$3000,MATCH(T127&amp;"",'Chart of Accounts'!$A$5:$A$3000,0))&amp;"|"&amp;INDEX('Chart of Accounts'!$D$5:$D$3000,MATCH(T127&amp;"",'Chart of Accounts'!$A$5:$A$3000,0)),"")</f>
        <v/>
      </c>
      <c r="X127" s="23">
        <f>IFERROR(INDEX('Chart of Accounts'!$C$5:$C$3000,MATCH(R127&amp;"",'Chart of Accounts'!$A$5:$A$3000,0))&amp;"|"&amp;INDEX('Chart of Accounts'!$D$5:$D$3000,MATCH(R127&amp;"",'Chart of Accounts'!$A$5:$A$3000,0)),"")</f>
        <v/>
      </c>
      <c r="Y127" s="23">
        <f>IFERROR(INDEX('Chart of Accounts'!$C$5:$C$3000,MATCH(S127&amp;"",'Chart of Accounts'!$A$5:$A$3000,0))&amp;"|"&amp;INDEX('Chart of Accounts'!$D$5:$D$3000,MATCH(S127&amp;"",'Chart of Accounts'!$A$5:$A$3000,0)),"")</f>
        <v/>
      </c>
      <c r="Z127" s="23">
        <f>IFERROR(INDEX('Chart of Accounts'!$C$5:$C$3000,MATCH(U127&amp;"",'Chart of Accounts'!$A$5:$A$3000,0))&amp;"|"&amp;INDEX('Chart of Accounts'!$D$5:$D$3000,MATCH(U127&amp;"",'Chart of Accounts'!$A$5:$A$3000,0)),"")</f>
        <v/>
      </c>
      <c r="AA127" s="23">
        <f>IF(LEFT(V127,8)="Revenue|",-N(F127),0)+IF(LEFT(W127,8)="Revenue|",-N(M127),0)+IF(LEFT(X127,8)="Revenue|",N(O127),0)+IF(LEFT(Y127,8)="Revenue|",N(P127),0)+IF(LEFT(Z127,8)="Revenue|",N(N127),0)</f>
        <v/>
      </c>
      <c r="AB127" s="23">
        <f>IF(LEFT(V127,5)="COGS|",N(F127),0)+IF(LEFT(W127,5)="COGS|",N(M127),0)+IF(LEFT(X127,5)="COGS|",-N(O127),0)+IF(LEFT(Y127,5)="COGS|",-N(P127),0)+IF(LEFT(Z127,5)="COGS|",-N(N127),0)</f>
        <v/>
      </c>
      <c r="AC127" s="23">
        <f>IF(LEFT(V127,8)="Expense|",N(F127),0)+IF(LEFT(W127,8)="Expense|",N(M127),0)+IF(LEFT(X127,8)="Expense|",-N(O127),0)+IF(LEFT(Y127,8)="Expense|",-N(P127),0)+IF(LEFT(Z127,8)="Expense|",-N(N127),0)</f>
        <v/>
      </c>
      <c r="AD127" s="23">
        <f>IF(ISNUMBER(MATCH(V127,{"Expense|employee","Expense|general_admin","Expense|marketing","Expense|utilities","Expense|other_operating"},0)),N(F127),0)+IF(ISNUMBER(MATCH(W127,{"Expense|employee","Expense|general_admin","Expense|marketing","Expense|utilities","Expense|other_operating"},0)),N(M127),0)+IF(ISNUMBER(MATCH(X127,{"Expense|employee","Expense|general_admin","Expense|marketing","Expense|utilities","Expense|other_operating"},0)),-N(O127),0)+IF(ISNUMBER(MATCH(Y127,{"Expense|employee","Expense|general_admin","Expense|marketing","Expense|utilities","Expense|other_operating"},0)),-N(P127),0)+IF(ISNUMBER(MATCH(Z127,{"Expense|employee","Expense|general_admin","Expense|marketing","Expense|utilities","Expense|other_operating"},0)),-N(N127),0)</f>
        <v/>
      </c>
      <c r="AE127" s="23">
        <f>IF(V127="Liability|payable",-N(F127),0)+IF(W127="Liability|payable",-N(M127),0)+IF(X127="Liability|payable",N(O127),0)+IF(Y127="Liability|payable",N(P127),0)+IF(Z127="Liability|payable",N(N127),0)</f>
        <v/>
      </c>
      <c r="AF127" s="23">
        <f>IF(V127="Liability|accrued",-N(F127),0)+IF(W127="Liability|accrued",-N(M127),0)+IF(X127="Liability|accrued",N(O127),0)+IF(Y127="Liability|accrued",N(P127),0)+IF(Z127="Liability|accrued",N(N127),0)</f>
        <v/>
      </c>
      <c r="AG127" s="23">
        <f>IF(AND(N(F127)&lt;&gt;0,V127=""),1,0)+IF(AND(N(M127)&lt;&gt;0,W127=""),1,0)+IF(AND(N(O127)&lt;&gt;0,X127=""),1,0)+IF(AND(N(P127)&lt;&gt;0,Y127=""),1,0)+IF(AND(N(N127)&lt;&gt;0,Z127=""),1,0)</f>
        <v/>
      </c>
    </row>
    <row r="128">
      <c r="A128" s="19" t="n"/>
      <c r="B128" s="14" t="n"/>
      <c r="C128" s="14" t="n"/>
      <c r="D128" s="14" t="n"/>
      <c r="E128" s="14" t="n"/>
      <c r="F128" s="20" t="n"/>
      <c r="G128" s="20" t="n"/>
      <c r="H128" s="14" t="n"/>
      <c r="I128" s="14" t="n"/>
      <c r="J128" s="14" t="n"/>
      <c r="K128" s="14" t="n"/>
      <c r="L128" s="14" t="n"/>
      <c r="M128" s="21">
        <f>ROUND(N(F128)*IFERROR(VLOOKUP(K128,'Tax Codes'!$A$5:$E$300,5,FALSE),0),2)</f>
        <v/>
      </c>
      <c r="N128" s="21">
        <f>ROUND(N(F128)*IFERROR(VLOOKUP(L128,'Tax Codes'!$A$5:$E$300,5,FALSE),0),2)</f>
        <v/>
      </c>
      <c r="O128" s="21">
        <f>IF(G128="",N(F128)+M128-N128,N(G128))</f>
        <v/>
      </c>
      <c r="P128" s="21">
        <f>N(F128)+M128-N128-O128</f>
        <v/>
      </c>
      <c r="Q128" s="16">
        <f>IF(C128="",INDEX('Chart of Accounts'!$A$5:$A$3000,MATCH("other_overhead",'Chart of Accounts'!$F$5:$F$3000,0)),C128&amp;"")</f>
        <v/>
      </c>
      <c r="R128" s="16">
        <f>IF(I128="",INDEX('Chart of Accounts'!$A$5:$A$3000,MATCH("bank",'Chart of Accounts'!$F$5:$F$3000,0)),I128&amp;"")</f>
        <v/>
      </c>
      <c r="S128" s="16">
        <f>IF(J128="",INDEX('Chart of Accounts'!$A$5:$A$3000,MATCH("ap",'Chart of Accounts'!$F$5:$F$3000,0)),J128&amp;"")</f>
        <v/>
      </c>
      <c r="T128" s="16">
        <f>INDEX('Chart of Accounts'!$A$5:$A$3000,MATCH("vat_input",'Chart of Accounts'!$F$5:$F$3000,0))</f>
        <v/>
      </c>
      <c r="U128" s="16">
        <f>INDEX('Chart of Accounts'!$A$5:$A$3000,MATCH("wht_payable",'Chart of Accounts'!$F$5:$F$3000,0))</f>
        <v/>
      </c>
      <c r="V128" s="23">
        <f>IFERROR(INDEX('Chart of Accounts'!$C$5:$C$3000,MATCH(Q128&amp;"",'Chart of Accounts'!$A$5:$A$3000,0))&amp;"|"&amp;INDEX('Chart of Accounts'!$D$5:$D$3000,MATCH(Q128&amp;"",'Chart of Accounts'!$A$5:$A$3000,0)),"")</f>
        <v/>
      </c>
      <c r="W128" s="23">
        <f>IFERROR(INDEX('Chart of Accounts'!$C$5:$C$3000,MATCH(T128&amp;"",'Chart of Accounts'!$A$5:$A$3000,0))&amp;"|"&amp;INDEX('Chart of Accounts'!$D$5:$D$3000,MATCH(T128&amp;"",'Chart of Accounts'!$A$5:$A$3000,0)),"")</f>
        <v/>
      </c>
      <c r="X128" s="23">
        <f>IFERROR(INDEX('Chart of Accounts'!$C$5:$C$3000,MATCH(R128&amp;"",'Chart of Accounts'!$A$5:$A$3000,0))&amp;"|"&amp;INDEX('Chart of Accounts'!$D$5:$D$3000,MATCH(R128&amp;"",'Chart of Accounts'!$A$5:$A$3000,0)),"")</f>
        <v/>
      </c>
      <c r="Y128" s="23">
        <f>IFERROR(INDEX('Chart of Accounts'!$C$5:$C$3000,MATCH(S128&amp;"",'Chart of Accounts'!$A$5:$A$3000,0))&amp;"|"&amp;INDEX('Chart of Accounts'!$D$5:$D$3000,MATCH(S128&amp;"",'Chart of Accounts'!$A$5:$A$3000,0)),"")</f>
        <v/>
      </c>
      <c r="Z128" s="23">
        <f>IFERROR(INDEX('Chart of Accounts'!$C$5:$C$3000,MATCH(U128&amp;"",'Chart of Accounts'!$A$5:$A$3000,0))&amp;"|"&amp;INDEX('Chart of Accounts'!$D$5:$D$3000,MATCH(U128&amp;"",'Chart of Accounts'!$A$5:$A$3000,0)),"")</f>
        <v/>
      </c>
      <c r="AA128" s="23">
        <f>IF(LEFT(V128,8)="Revenue|",-N(F128),0)+IF(LEFT(W128,8)="Revenue|",-N(M128),0)+IF(LEFT(X128,8)="Revenue|",N(O128),0)+IF(LEFT(Y128,8)="Revenue|",N(P128),0)+IF(LEFT(Z128,8)="Revenue|",N(N128),0)</f>
        <v/>
      </c>
      <c r="AB128" s="23">
        <f>IF(LEFT(V128,5)="COGS|",N(F128),0)+IF(LEFT(W128,5)="COGS|",N(M128),0)+IF(LEFT(X128,5)="COGS|",-N(O128),0)+IF(LEFT(Y128,5)="COGS|",-N(P128),0)+IF(LEFT(Z128,5)="COGS|",-N(N128),0)</f>
        <v/>
      </c>
      <c r="AC128" s="23">
        <f>IF(LEFT(V128,8)="Expense|",N(F128),0)+IF(LEFT(W128,8)="Expense|",N(M128),0)+IF(LEFT(X128,8)="Expense|",-N(O128),0)+IF(LEFT(Y128,8)="Expense|",-N(P128),0)+IF(LEFT(Z128,8)="Expense|",-N(N128),0)</f>
        <v/>
      </c>
      <c r="AD128" s="23">
        <f>IF(ISNUMBER(MATCH(V128,{"Expense|employee","Expense|general_admin","Expense|marketing","Expense|utilities","Expense|other_operating"},0)),N(F128),0)+IF(ISNUMBER(MATCH(W128,{"Expense|employee","Expense|general_admin","Expense|marketing","Expense|utilities","Expense|other_operating"},0)),N(M128),0)+IF(ISNUMBER(MATCH(X128,{"Expense|employee","Expense|general_admin","Expense|marketing","Expense|utilities","Expense|other_operating"},0)),-N(O128),0)+IF(ISNUMBER(MATCH(Y128,{"Expense|employee","Expense|general_admin","Expense|marketing","Expense|utilities","Expense|other_operating"},0)),-N(P128),0)+IF(ISNUMBER(MATCH(Z128,{"Expense|employee","Expense|general_admin","Expense|marketing","Expense|utilities","Expense|other_operating"},0)),-N(N128),0)</f>
        <v/>
      </c>
      <c r="AE128" s="23">
        <f>IF(V128="Liability|payable",-N(F128),0)+IF(W128="Liability|payable",-N(M128),0)+IF(X128="Liability|payable",N(O128),0)+IF(Y128="Liability|payable",N(P128),0)+IF(Z128="Liability|payable",N(N128),0)</f>
        <v/>
      </c>
      <c r="AF128" s="23">
        <f>IF(V128="Liability|accrued",-N(F128),0)+IF(W128="Liability|accrued",-N(M128),0)+IF(X128="Liability|accrued",N(O128),0)+IF(Y128="Liability|accrued",N(P128),0)+IF(Z128="Liability|accrued",N(N128),0)</f>
        <v/>
      </c>
      <c r="AG128" s="23">
        <f>IF(AND(N(F128)&lt;&gt;0,V128=""),1,0)+IF(AND(N(M128)&lt;&gt;0,W128=""),1,0)+IF(AND(N(O128)&lt;&gt;0,X128=""),1,0)+IF(AND(N(P128)&lt;&gt;0,Y128=""),1,0)+IF(AND(N(N128)&lt;&gt;0,Z128=""),1,0)</f>
        <v/>
      </c>
    </row>
    <row r="129">
      <c r="A129" s="19" t="n"/>
      <c r="B129" s="14" t="n"/>
      <c r="C129" s="14" t="n"/>
      <c r="D129" s="14" t="n"/>
      <c r="E129" s="14" t="n"/>
      <c r="F129" s="20" t="n"/>
      <c r="G129" s="20" t="n"/>
      <c r="H129" s="14" t="n"/>
      <c r="I129" s="14" t="n"/>
      <c r="J129" s="14" t="n"/>
      <c r="K129" s="14" t="n"/>
      <c r="L129" s="14" t="n"/>
      <c r="M129" s="21">
        <f>ROUND(N(F129)*IFERROR(VLOOKUP(K129,'Tax Codes'!$A$5:$E$300,5,FALSE),0),2)</f>
        <v/>
      </c>
      <c r="N129" s="21">
        <f>ROUND(N(F129)*IFERROR(VLOOKUP(L129,'Tax Codes'!$A$5:$E$300,5,FALSE),0),2)</f>
        <v/>
      </c>
      <c r="O129" s="21">
        <f>IF(G129="",N(F129)+M129-N129,N(G129))</f>
        <v/>
      </c>
      <c r="P129" s="21">
        <f>N(F129)+M129-N129-O129</f>
        <v/>
      </c>
      <c r="Q129" s="16">
        <f>IF(C129="",INDEX('Chart of Accounts'!$A$5:$A$3000,MATCH("other_overhead",'Chart of Accounts'!$F$5:$F$3000,0)),C129&amp;"")</f>
        <v/>
      </c>
      <c r="R129" s="16">
        <f>IF(I129="",INDEX('Chart of Accounts'!$A$5:$A$3000,MATCH("bank",'Chart of Accounts'!$F$5:$F$3000,0)),I129&amp;"")</f>
        <v/>
      </c>
      <c r="S129" s="16">
        <f>IF(J129="",INDEX('Chart of Accounts'!$A$5:$A$3000,MATCH("ap",'Chart of Accounts'!$F$5:$F$3000,0)),J129&amp;"")</f>
        <v/>
      </c>
      <c r="T129" s="16">
        <f>INDEX('Chart of Accounts'!$A$5:$A$3000,MATCH("vat_input",'Chart of Accounts'!$F$5:$F$3000,0))</f>
        <v/>
      </c>
      <c r="U129" s="16">
        <f>INDEX('Chart of Accounts'!$A$5:$A$3000,MATCH("wht_payable",'Chart of Accounts'!$F$5:$F$3000,0))</f>
        <v/>
      </c>
      <c r="V129" s="23">
        <f>IFERROR(INDEX('Chart of Accounts'!$C$5:$C$3000,MATCH(Q129&amp;"",'Chart of Accounts'!$A$5:$A$3000,0))&amp;"|"&amp;INDEX('Chart of Accounts'!$D$5:$D$3000,MATCH(Q129&amp;"",'Chart of Accounts'!$A$5:$A$3000,0)),"")</f>
        <v/>
      </c>
      <c r="W129" s="23">
        <f>IFERROR(INDEX('Chart of Accounts'!$C$5:$C$3000,MATCH(T129&amp;"",'Chart of Accounts'!$A$5:$A$3000,0))&amp;"|"&amp;INDEX('Chart of Accounts'!$D$5:$D$3000,MATCH(T129&amp;"",'Chart of Accounts'!$A$5:$A$3000,0)),"")</f>
        <v/>
      </c>
      <c r="X129" s="23">
        <f>IFERROR(INDEX('Chart of Accounts'!$C$5:$C$3000,MATCH(R129&amp;"",'Chart of Accounts'!$A$5:$A$3000,0))&amp;"|"&amp;INDEX('Chart of Accounts'!$D$5:$D$3000,MATCH(R129&amp;"",'Chart of Accounts'!$A$5:$A$3000,0)),"")</f>
        <v/>
      </c>
      <c r="Y129" s="23">
        <f>IFERROR(INDEX('Chart of Accounts'!$C$5:$C$3000,MATCH(S129&amp;"",'Chart of Accounts'!$A$5:$A$3000,0))&amp;"|"&amp;INDEX('Chart of Accounts'!$D$5:$D$3000,MATCH(S129&amp;"",'Chart of Accounts'!$A$5:$A$3000,0)),"")</f>
        <v/>
      </c>
      <c r="Z129" s="23">
        <f>IFERROR(INDEX('Chart of Accounts'!$C$5:$C$3000,MATCH(U129&amp;"",'Chart of Accounts'!$A$5:$A$3000,0))&amp;"|"&amp;INDEX('Chart of Accounts'!$D$5:$D$3000,MATCH(U129&amp;"",'Chart of Accounts'!$A$5:$A$3000,0)),"")</f>
        <v/>
      </c>
      <c r="AA129" s="23">
        <f>IF(LEFT(V129,8)="Revenue|",-N(F129),0)+IF(LEFT(W129,8)="Revenue|",-N(M129),0)+IF(LEFT(X129,8)="Revenue|",N(O129),0)+IF(LEFT(Y129,8)="Revenue|",N(P129),0)+IF(LEFT(Z129,8)="Revenue|",N(N129),0)</f>
        <v/>
      </c>
      <c r="AB129" s="23">
        <f>IF(LEFT(V129,5)="COGS|",N(F129),0)+IF(LEFT(W129,5)="COGS|",N(M129),0)+IF(LEFT(X129,5)="COGS|",-N(O129),0)+IF(LEFT(Y129,5)="COGS|",-N(P129),0)+IF(LEFT(Z129,5)="COGS|",-N(N129),0)</f>
        <v/>
      </c>
      <c r="AC129" s="23">
        <f>IF(LEFT(V129,8)="Expense|",N(F129),0)+IF(LEFT(W129,8)="Expense|",N(M129),0)+IF(LEFT(X129,8)="Expense|",-N(O129),0)+IF(LEFT(Y129,8)="Expense|",-N(P129),0)+IF(LEFT(Z129,8)="Expense|",-N(N129),0)</f>
        <v/>
      </c>
      <c r="AD129" s="23">
        <f>IF(ISNUMBER(MATCH(V129,{"Expense|employee","Expense|general_admin","Expense|marketing","Expense|utilities","Expense|other_operating"},0)),N(F129),0)+IF(ISNUMBER(MATCH(W129,{"Expense|employee","Expense|general_admin","Expense|marketing","Expense|utilities","Expense|other_operating"},0)),N(M129),0)+IF(ISNUMBER(MATCH(X129,{"Expense|employee","Expense|general_admin","Expense|marketing","Expense|utilities","Expense|other_operating"},0)),-N(O129),0)+IF(ISNUMBER(MATCH(Y129,{"Expense|employee","Expense|general_admin","Expense|marketing","Expense|utilities","Expense|other_operating"},0)),-N(P129),0)+IF(ISNUMBER(MATCH(Z129,{"Expense|employee","Expense|general_admin","Expense|marketing","Expense|utilities","Expense|other_operating"},0)),-N(N129),0)</f>
        <v/>
      </c>
      <c r="AE129" s="23">
        <f>IF(V129="Liability|payable",-N(F129),0)+IF(W129="Liability|payable",-N(M129),0)+IF(X129="Liability|payable",N(O129),0)+IF(Y129="Liability|payable",N(P129),0)+IF(Z129="Liability|payable",N(N129),0)</f>
        <v/>
      </c>
      <c r="AF129" s="23">
        <f>IF(V129="Liability|accrued",-N(F129),0)+IF(W129="Liability|accrued",-N(M129),0)+IF(X129="Liability|accrued",N(O129),0)+IF(Y129="Liability|accrued",N(P129),0)+IF(Z129="Liability|accrued",N(N129),0)</f>
        <v/>
      </c>
      <c r="AG129" s="23">
        <f>IF(AND(N(F129)&lt;&gt;0,V129=""),1,0)+IF(AND(N(M129)&lt;&gt;0,W129=""),1,0)+IF(AND(N(O129)&lt;&gt;0,X129=""),1,0)+IF(AND(N(P129)&lt;&gt;0,Y129=""),1,0)+IF(AND(N(N129)&lt;&gt;0,Z129=""),1,0)</f>
        <v/>
      </c>
    </row>
    <row r="130">
      <c r="A130" s="19" t="n"/>
      <c r="B130" s="14" t="n"/>
      <c r="C130" s="14" t="n"/>
      <c r="D130" s="14" t="n"/>
      <c r="E130" s="14" t="n"/>
      <c r="F130" s="20" t="n"/>
      <c r="G130" s="20" t="n"/>
      <c r="H130" s="14" t="n"/>
      <c r="I130" s="14" t="n"/>
      <c r="J130" s="14" t="n"/>
      <c r="K130" s="14" t="n"/>
      <c r="L130" s="14" t="n"/>
      <c r="M130" s="21">
        <f>ROUND(N(F130)*IFERROR(VLOOKUP(K130,'Tax Codes'!$A$5:$E$300,5,FALSE),0),2)</f>
        <v/>
      </c>
      <c r="N130" s="21">
        <f>ROUND(N(F130)*IFERROR(VLOOKUP(L130,'Tax Codes'!$A$5:$E$300,5,FALSE),0),2)</f>
        <v/>
      </c>
      <c r="O130" s="21">
        <f>IF(G130="",N(F130)+M130-N130,N(G130))</f>
        <v/>
      </c>
      <c r="P130" s="21">
        <f>N(F130)+M130-N130-O130</f>
        <v/>
      </c>
      <c r="Q130" s="16">
        <f>IF(C130="",INDEX('Chart of Accounts'!$A$5:$A$3000,MATCH("other_overhead",'Chart of Accounts'!$F$5:$F$3000,0)),C130&amp;"")</f>
        <v/>
      </c>
      <c r="R130" s="16">
        <f>IF(I130="",INDEX('Chart of Accounts'!$A$5:$A$3000,MATCH("bank",'Chart of Accounts'!$F$5:$F$3000,0)),I130&amp;"")</f>
        <v/>
      </c>
      <c r="S130" s="16">
        <f>IF(J130="",INDEX('Chart of Accounts'!$A$5:$A$3000,MATCH("ap",'Chart of Accounts'!$F$5:$F$3000,0)),J130&amp;"")</f>
        <v/>
      </c>
      <c r="T130" s="16">
        <f>INDEX('Chart of Accounts'!$A$5:$A$3000,MATCH("vat_input",'Chart of Accounts'!$F$5:$F$3000,0))</f>
        <v/>
      </c>
      <c r="U130" s="16">
        <f>INDEX('Chart of Accounts'!$A$5:$A$3000,MATCH("wht_payable",'Chart of Accounts'!$F$5:$F$3000,0))</f>
        <v/>
      </c>
      <c r="V130" s="23">
        <f>IFERROR(INDEX('Chart of Accounts'!$C$5:$C$3000,MATCH(Q130&amp;"",'Chart of Accounts'!$A$5:$A$3000,0))&amp;"|"&amp;INDEX('Chart of Accounts'!$D$5:$D$3000,MATCH(Q130&amp;"",'Chart of Accounts'!$A$5:$A$3000,0)),"")</f>
        <v/>
      </c>
      <c r="W130" s="23">
        <f>IFERROR(INDEX('Chart of Accounts'!$C$5:$C$3000,MATCH(T130&amp;"",'Chart of Accounts'!$A$5:$A$3000,0))&amp;"|"&amp;INDEX('Chart of Accounts'!$D$5:$D$3000,MATCH(T130&amp;"",'Chart of Accounts'!$A$5:$A$3000,0)),"")</f>
        <v/>
      </c>
      <c r="X130" s="23">
        <f>IFERROR(INDEX('Chart of Accounts'!$C$5:$C$3000,MATCH(R130&amp;"",'Chart of Accounts'!$A$5:$A$3000,0))&amp;"|"&amp;INDEX('Chart of Accounts'!$D$5:$D$3000,MATCH(R130&amp;"",'Chart of Accounts'!$A$5:$A$3000,0)),"")</f>
        <v/>
      </c>
      <c r="Y130" s="23">
        <f>IFERROR(INDEX('Chart of Accounts'!$C$5:$C$3000,MATCH(S130&amp;"",'Chart of Accounts'!$A$5:$A$3000,0))&amp;"|"&amp;INDEX('Chart of Accounts'!$D$5:$D$3000,MATCH(S130&amp;"",'Chart of Accounts'!$A$5:$A$3000,0)),"")</f>
        <v/>
      </c>
      <c r="Z130" s="23">
        <f>IFERROR(INDEX('Chart of Accounts'!$C$5:$C$3000,MATCH(U130&amp;"",'Chart of Accounts'!$A$5:$A$3000,0))&amp;"|"&amp;INDEX('Chart of Accounts'!$D$5:$D$3000,MATCH(U130&amp;"",'Chart of Accounts'!$A$5:$A$3000,0)),"")</f>
        <v/>
      </c>
      <c r="AA130" s="23">
        <f>IF(LEFT(V130,8)="Revenue|",-N(F130),0)+IF(LEFT(W130,8)="Revenue|",-N(M130),0)+IF(LEFT(X130,8)="Revenue|",N(O130),0)+IF(LEFT(Y130,8)="Revenue|",N(P130),0)+IF(LEFT(Z130,8)="Revenue|",N(N130),0)</f>
        <v/>
      </c>
      <c r="AB130" s="23">
        <f>IF(LEFT(V130,5)="COGS|",N(F130),0)+IF(LEFT(W130,5)="COGS|",N(M130),0)+IF(LEFT(X130,5)="COGS|",-N(O130),0)+IF(LEFT(Y130,5)="COGS|",-N(P130),0)+IF(LEFT(Z130,5)="COGS|",-N(N130),0)</f>
        <v/>
      </c>
      <c r="AC130" s="23">
        <f>IF(LEFT(V130,8)="Expense|",N(F130),0)+IF(LEFT(W130,8)="Expense|",N(M130),0)+IF(LEFT(X130,8)="Expense|",-N(O130),0)+IF(LEFT(Y130,8)="Expense|",-N(P130),0)+IF(LEFT(Z130,8)="Expense|",-N(N130),0)</f>
        <v/>
      </c>
      <c r="AD130" s="23">
        <f>IF(ISNUMBER(MATCH(V130,{"Expense|employee","Expense|general_admin","Expense|marketing","Expense|utilities","Expense|other_operating"},0)),N(F130),0)+IF(ISNUMBER(MATCH(W130,{"Expense|employee","Expense|general_admin","Expense|marketing","Expense|utilities","Expense|other_operating"},0)),N(M130),0)+IF(ISNUMBER(MATCH(X130,{"Expense|employee","Expense|general_admin","Expense|marketing","Expense|utilities","Expense|other_operating"},0)),-N(O130),0)+IF(ISNUMBER(MATCH(Y130,{"Expense|employee","Expense|general_admin","Expense|marketing","Expense|utilities","Expense|other_operating"},0)),-N(P130),0)+IF(ISNUMBER(MATCH(Z130,{"Expense|employee","Expense|general_admin","Expense|marketing","Expense|utilities","Expense|other_operating"},0)),-N(N130),0)</f>
        <v/>
      </c>
      <c r="AE130" s="23">
        <f>IF(V130="Liability|payable",-N(F130),0)+IF(W130="Liability|payable",-N(M130),0)+IF(X130="Liability|payable",N(O130),0)+IF(Y130="Liability|payable",N(P130),0)+IF(Z130="Liability|payable",N(N130),0)</f>
        <v/>
      </c>
      <c r="AF130" s="23">
        <f>IF(V130="Liability|accrued",-N(F130),0)+IF(W130="Liability|accrued",-N(M130),0)+IF(X130="Liability|accrued",N(O130),0)+IF(Y130="Liability|accrued",N(P130),0)+IF(Z130="Liability|accrued",N(N130),0)</f>
        <v/>
      </c>
      <c r="AG130" s="23">
        <f>IF(AND(N(F130)&lt;&gt;0,V130=""),1,0)+IF(AND(N(M130)&lt;&gt;0,W130=""),1,0)+IF(AND(N(O130)&lt;&gt;0,X130=""),1,0)+IF(AND(N(P130)&lt;&gt;0,Y130=""),1,0)+IF(AND(N(N130)&lt;&gt;0,Z130=""),1,0)</f>
        <v/>
      </c>
    </row>
    <row r="131">
      <c r="A131" s="19" t="n"/>
      <c r="B131" s="14" t="n"/>
      <c r="C131" s="14" t="n"/>
      <c r="D131" s="14" t="n"/>
      <c r="E131" s="14" t="n"/>
      <c r="F131" s="20" t="n"/>
      <c r="G131" s="20" t="n"/>
      <c r="H131" s="14" t="n"/>
      <c r="I131" s="14" t="n"/>
      <c r="J131" s="14" t="n"/>
      <c r="K131" s="14" t="n"/>
      <c r="L131" s="14" t="n"/>
      <c r="M131" s="21">
        <f>ROUND(N(F131)*IFERROR(VLOOKUP(K131,'Tax Codes'!$A$5:$E$300,5,FALSE),0),2)</f>
        <v/>
      </c>
      <c r="N131" s="21">
        <f>ROUND(N(F131)*IFERROR(VLOOKUP(L131,'Tax Codes'!$A$5:$E$300,5,FALSE),0),2)</f>
        <v/>
      </c>
      <c r="O131" s="21">
        <f>IF(G131="",N(F131)+M131-N131,N(G131))</f>
        <v/>
      </c>
      <c r="P131" s="21">
        <f>N(F131)+M131-N131-O131</f>
        <v/>
      </c>
      <c r="Q131" s="16">
        <f>IF(C131="",INDEX('Chart of Accounts'!$A$5:$A$3000,MATCH("other_overhead",'Chart of Accounts'!$F$5:$F$3000,0)),C131&amp;"")</f>
        <v/>
      </c>
      <c r="R131" s="16">
        <f>IF(I131="",INDEX('Chart of Accounts'!$A$5:$A$3000,MATCH("bank",'Chart of Accounts'!$F$5:$F$3000,0)),I131&amp;"")</f>
        <v/>
      </c>
      <c r="S131" s="16">
        <f>IF(J131="",INDEX('Chart of Accounts'!$A$5:$A$3000,MATCH("ap",'Chart of Accounts'!$F$5:$F$3000,0)),J131&amp;"")</f>
        <v/>
      </c>
      <c r="T131" s="16">
        <f>INDEX('Chart of Accounts'!$A$5:$A$3000,MATCH("vat_input",'Chart of Accounts'!$F$5:$F$3000,0))</f>
        <v/>
      </c>
      <c r="U131" s="16">
        <f>INDEX('Chart of Accounts'!$A$5:$A$3000,MATCH("wht_payable",'Chart of Accounts'!$F$5:$F$3000,0))</f>
        <v/>
      </c>
      <c r="V131" s="23">
        <f>IFERROR(INDEX('Chart of Accounts'!$C$5:$C$3000,MATCH(Q131&amp;"",'Chart of Accounts'!$A$5:$A$3000,0))&amp;"|"&amp;INDEX('Chart of Accounts'!$D$5:$D$3000,MATCH(Q131&amp;"",'Chart of Accounts'!$A$5:$A$3000,0)),"")</f>
        <v/>
      </c>
      <c r="W131" s="23">
        <f>IFERROR(INDEX('Chart of Accounts'!$C$5:$C$3000,MATCH(T131&amp;"",'Chart of Accounts'!$A$5:$A$3000,0))&amp;"|"&amp;INDEX('Chart of Accounts'!$D$5:$D$3000,MATCH(T131&amp;"",'Chart of Accounts'!$A$5:$A$3000,0)),"")</f>
        <v/>
      </c>
      <c r="X131" s="23">
        <f>IFERROR(INDEX('Chart of Accounts'!$C$5:$C$3000,MATCH(R131&amp;"",'Chart of Accounts'!$A$5:$A$3000,0))&amp;"|"&amp;INDEX('Chart of Accounts'!$D$5:$D$3000,MATCH(R131&amp;"",'Chart of Accounts'!$A$5:$A$3000,0)),"")</f>
        <v/>
      </c>
      <c r="Y131" s="23">
        <f>IFERROR(INDEX('Chart of Accounts'!$C$5:$C$3000,MATCH(S131&amp;"",'Chart of Accounts'!$A$5:$A$3000,0))&amp;"|"&amp;INDEX('Chart of Accounts'!$D$5:$D$3000,MATCH(S131&amp;"",'Chart of Accounts'!$A$5:$A$3000,0)),"")</f>
        <v/>
      </c>
      <c r="Z131" s="23">
        <f>IFERROR(INDEX('Chart of Accounts'!$C$5:$C$3000,MATCH(U131&amp;"",'Chart of Accounts'!$A$5:$A$3000,0))&amp;"|"&amp;INDEX('Chart of Accounts'!$D$5:$D$3000,MATCH(U131&amp;"",'Chart of Accounts'!$A$5:$A$3000,0)),"")</f>
        <v/>
      </c>
      <c r="AA131" s="23">
        <f>IF(LEFT(V131,8)="Revenue|",-N(F131),0)+IF(LEFT(W131,8)="Revenue|",-N(M131),0)+IF(LEFT(X131,8)="Revenue|",N(O131),0)+IF(LEFT(Y131,8)="Revenue|",N(P131),0)+IF(LEFT(Z131,8)="Revenue|",N(N131),0)</f>
        <v/>
      </c>
      <c r="AB131" s="23">
        <f>IF(LEFT(V131,5)="COGS|",N(F131),0)+IF(LEFT(W131,5)="COGS|",N(M131),0)+IF(LEFT(X131,5)="COGS|",-N(O131),0)+IF(LEFT(Y131,5)="COGS|",-N(P131),0)+IF(LEFT(Z131,5)="COGS|",-N(N131),0)</f>
        <v/>
      </c>
      <c r="AC131" s="23">
        <f>IF(LEFT(V131,8)="Expense|",N(F131),0)+IF(LEFT(W131,8)="Expense|",N(M131),0)+IF(LEFT(X131,8)="Expense|",-N(O131),0)+IF(LEFT(Y131,8)="Expense|",-N(P131),0)+IF(LEFT(Z131,8)="Expense|",-N(N131),0)</f>
        <v/>
      </c>
      <c r="AD131" s="23">
        <f>IF(ISNUMBER(MATCH(V131,{"Expense|employee","Expense|general_admin","Expense|marketing","Expense|utilities","Expense|other_operating"},0)),N(F131),0)+IF(ISNUMBER(MATCH(W131,{"Expense|employee","Expense|general_admin","Expense|marketing","Expense|utilities","Expense|other_operating"},0)),N(M131),0)+IF(ISNUMBER(MATCH(X131,{"Expense|employee","Expense|general_admin","Expense|marketing","Expense|utilities","Expense|other_operating"},0)),-N(O131),0)+IF(ISNUMBER(MATCH(Y131,{"Expense|employee","Expense|general_admin","Expense|marketing","Expense|utilities","Expense|other_operating"},0)),-N(P131),0)+IF(ISNUMBER(MATCH(Z131,{"Expense|employee","Expense|general_admin","Expense|marketing","Expense|utilities","Expense|other_operating"},0)),-N(N131),0)</f>
        <v/>
      </c>
      <c r="AE131" s="23">
        <f>IF(V131="Liability|payable",-N(F131),0)+IF(W131="Liability|payable",-N(M131),0)+IF(X131="Liability|payable",N(O131),0)+IF(Y131="Liability|payable",N(P131),0)+IF(Z131="Liability|payable",N(N131),0)</f>
        <v/>
      </c>
      <c r="AF131" s="23">
        <f>IF(V131="Liability|accrued",-N(F131),0)+IF(W131="Liability|accrued",-N(M131),0)+IF(X131="Liability|accrued",N(O131),0)+IF(Y131="Liability|accrued",N(P131),0)+IF(Z131="Liability|accrued",N(N131),0)</f>
        <v/>
      </c>
      <c r="AG131" s="23">
        <f>IF(AND(N(F131)&lt;&gt;0,V131=""),1,0)+IF(AND(N(M131)&lt;&gt;0,W131=""),1,0)+IF(AND(N(O131)&lt;&gt;0,X131=""),1,0)+IF(AND(N(P131)&lt;&gt;0,Y131=""),1,0)+IF(AND(N(N131)&lt;&gt;0,Z131=""),1,0)</f>
        <v/>
      </c>
    </row>
    <row r="132">
      <c r="A132" s="19" t="n"/>
      <c r="B132" s="14" t="n"/>
      <c r="C132" s="14" t="n"/>
      <c r="D132" s="14" t="n"/>
      <c r="E132" s="14" t="n"/>
      <c r="F132" s="20" t="n"/>
      <c r="G132" s="20" t="n"/>
      <c r="H132" s="14" t="n"/>
      <c r="I132" s="14" t="n"/>
      <c r="J132" s="14" t="n"/>
      <c r="K132" s="14" t="n"/>
      <c r="L132" s="14" t="n"/>
      <c r="M132" s="21">
        <f>ROUND(N(F132)*IFERROR(VLOOKUP(K132,'Tax Codes'!$A$5:$E$300,5,FALSE),0),2)</f>
        <v/>
      </c>
      <c r="N132" s="21">
        <f>ROUND(N(F132)*IFERROR(VLOOKUP(L132,'Tax Codes'!$A$5:$E$300,5,FALSE),0),2)</f>
        <v/>
      </c>
      <c r="O132" s="21">
        <f>IF(G132="",N(F132)+M132-N132,N(G132))</f>
        <v/>
      </c>
      <c r="P132" s="21">
        <f>N(F132)+M132-N132-O132</f>
        <v/>
      </c>
      <c r="Q132" s="16">
        <f>IF(C132="",INDEX('Chart of Accounts'!$A$5:$A$3000,MATCH("other_overhead",'Chart of Accounts'!$F$5:$F$3000,0)),C132&amp;"")</f>
        <v/>
      </c>
      <c r="R132" s="16">
        <f>IF(I132="",INDEX('Chart of Accounts'!$A$5:$A$3000,MATCH("bank",'Chart of Accounts'!$F$5:$F$3000,0)),I132&amp;"")</f>
        <v/>
      </c>
      <c r="S132" s="16">
        <f>IF(J132="",INDEX('Chart of Accounts'!$A$5:$A$3000,MATCH("ap",'Chart of Accounts'!$F$5:$F$3000,0)),J132&amp;"")</f>
        <v/>
      </c>
      <c r="T132" s="16">
        <f>INDEX('Chart of Accounts'!$A$5:$A$3000,MATCH("vat_input",'Chart of Accounts'!$F$5:$F$3000,0))</f>
        <v/>
      </c>
      <c r="U132" s="16">
        <f>INDEX('Chart of Accounts'!$A$5:$A$3000,MATCH("wht_payable",'Chart of Accounts'!$F$5:$F$3000,0))</f>
        <v/>
      </c>
      <c r="V132" s="23">
        <f>IFERROR(INDEX('Chart of Accounts'!$C$5:$C$3000,MATCH(Q132&amp;"",'Chart of Accounts'!$A$5:$A$3000,0))&amp;"|"&amp;INDEX('Chart of Accounts'!$D$5:$D$3000,MATCH(Q132&amp;"",'Chart of Accounts'!$A$5:$A$3000,0)),"")</f>
        <v/>
      </c>
      <c r="W132" s="23">
        <f>IFERROR(INDEX('Chart of Accounts'!$C$5:$C$3000,MATCH(T132&amp;"",'Chart of Accounts'!$A$5:$A$3000,0))&amp;"|"&amp;INDEX('Chart of Accounts'!$D$5:$D$3000,MATCH(T132&amp;"",'Chart of Accounts'!$A$5:$A$3000,0)),"")</f>
        <v/>
      </c>
      <c r="X132" s="23">
        <f>IFERROR(INDEX('Chart of Accounts'!$C$5:$C$3000,MATCH(R132&amp;"",'Chart of Accounts'!$A$5:$A$3000,0))&amp;"|"&amp;INDEX('Chart of Accounts'!$D$5:$D$3000,MATCH(R132&amp;"",'Chart of Accounts'!$A$5:$A$3000,0)),"")</f>
        <v/>
      </c>
      <c r="Y132" s="23">
        <f>IFERROR(INDEX('Chart of Accounts'!$C$5:$C$3000,MATCH(S132&amp;"",'Chart of Accounts'!$A$5:$A$3000,0))&amp;"|"&amp;INDEX('Chart of Accounts'!$D$5:$D$3000,MATCH(S132&amp;"",'Chart of Accounts'!$A$5:$A$3000,0)),"")</f>
        <v/>
      </c>
      <c r="Z132" s="23">
        <f>IFERROR(INDEX('Chart of Accounts'!$C$5:$C$3000,MATCH(U132&amp;"",'Chart of Accounts'!$A$5:$A$3000,0))&amp;"|"&amp;INDEX('Chart of Accounts'!$D$5:$D$3000,MATCH(U132&amp;"",'Chart of Accounts'!$A$5:$A$3000,0)),"")</f>
        <v/>
      </c>
      <c r="AA132" s="23">
        <f>IF(LEFT(V132,8)="Revenue|",-N(F132),0)+IF(LEFT(W132,8)="Revenue|",-N(M132),0)+IF(LEFT(X132,8)="Revenue|",N(O132),0)+IF(LEFT(Y132,8)="Revenue|",N(P132),0)+IF(LEFT(Z132,8)="Revenue|",N(N132),0)</f>
        <v/>
      </c>
      <c r="AB132" s="23">
        <f>IF(LEFT(V132,5)="COGS|",N(F132),0)+IF(LEFT(W132,5)="COGS|",N(M132),0)+IF(LEFT(X132,5)="COGS|",-N(O132),0)+IF(LEFT(Y132,5)="COGS|",-N(P132),0)+IF(LEFT(Z132,5)="COGS|",-N(N132),0)</f>
        <v/>
      </c>
      <c r="AC132" s="23">
        <f>IF(LEFT(V132,8)="Expense|",N(F132),0)+IF(LEFT(W132,8)="Expense|",N(M132),0)+IF(LEFT(X132,8)="Expense|",-N(O132),0)+IF(LEFT(Y132,8)="Expense|",-N(P132),0)+IF(LEFT(Z132,8)="Expense|",-N(N132),0)</f>
        <v/>
      </c>
      <c r="AD132" s="23">
        <f>IF(ISNUMBER(MATCH(V132,{"Expense|employee","Expense|general_admin","Expense|marketing","Expense|utilities","Expense|other_operating"},0)),N(F132),0)+IF(ISNUMBER(MATCH(W132,{"Expense|employee","Expense|general_admin","Expense|marketing","Expense|utilities","Expense|other_operating"},0)),N(M132),0)+IF(ISNUMBER(MATCH(X132,{"Expense|employee","Expense|general_admin","Expense|marketing","Expense|utilities","Expense|other_operating"},0)),-N(O132),0)+IF(ISNUMBER(MATCH(Y132,{"Expense|employee","Expense|general_admin","Expense|marketing","Expense|utilities","Expense|other_operating"},0)),-N(P132),0)+IF(ISNUMBER(MATCH(Z132,{"Expense|employee","Expense|general_admin","Expense|marketing","Expense|utilities","Expense|other_operating"},0)),-N(N132),0)</f>
        <v/>
      </c>
      <c r="AE132" s="23">
        <f>IF(V132="Liability|payable",-N(F132),0)+IF(W132="Liability|payable",-N(M132),0)+IF(X132="Liability|payable",N(O132),0)+IF(Y132="Liability|payable",N(P132),0)+IF(Z132="Liability|payable",N(N132),0)</f>
        <v/>
      </c>
      <c r="AF132" s="23">
        <f>IF(V132="Liability|accrued",-N(F132),0)+IF(W132="Liability|accrued",-N(M132),0)+IF(X132="Liability|accrued",N(O132),0)+IF(Y132="Liability|accrued",N(P132),0)+IF(Z132="Liability|accrued",N(N132),0)</f>
        <v/>
      </c>
      <c r="AG132" s="23">
        <f>IF(AND(N(F132)&lt;&gt;0,V132=""),1,0)+IF(AND(N(M132)&lt;&gt;0,W132=""),1,0)+IF(AND(N(O132)&lt;&gt;0,X132=""),1,0)+IF(AND(N(P132)&lt;&gt;0,Y132=""),1,0)+IF(AND(N(N132)&lt;&gt;0,Z132=""),1,0)</f>
        <v/>
      </c>
    </row>
    <row r="133">
      <c r="A133" s="19" t="n"/>
      <c r="B133" s="14" t="n"/>
      <c r="C133" s="14" t="n"/>
      <c r="D133" s="14" t="n"/>
      <c r="E133" s="14" t="n"/>
      <c r="F133" s="20" t="n"/>
      <c r="G133" s="20" t="n"/>
      <c r="H133" s="14" t="n"/>
      <c r="I133" s="14" t="n"/>
      <c r="J133" s="14" t="n"/>
      <c r="K133" s="14" t="n"/>
      <c r="L133" s="14" t="n"/>
      <c r="M133" s="21">
        <f>ROUND(N(F133)*IFERROR(VLOOKUP(K133,'Tax Codes'!$A$5:$E$300,5,FALSE),0),2)</f>
        <v/>
      </c>
      <c r="N133" s="21">
        <f>ROUND(N(F133)*IFERROR(VLOOKUP(L133,'Tax Codes'!$A$5:$E$300,5,FALSE),0),2)</f>
        <v/>
      </c>
      <c r="O133" s="21">
        <f>IF(G133="",N(F133)+M133-N133,N(G133))</f>
        <v/>
      </c>
      <c r="P133" s="21">
        <f>N(F133)+M133-N133-O133</f>
        <v/>
      </c>
      <c r="Q133" s="16">
        <f>IF(C133="",INDEX('Chart of Accounts'!$A$5:$A$3000,MATCH("other_overhead",'Chart of Accounts'!$F$5:$F$3000,0)),C133&amp;"")</f>
        <v/>
      </c>
      <c r="R133" s="16">
        <f>IF(I133="",INDEX('Chart of Accounts'!$A$5:$A$3000,MATCH("bank",'Chart of Accounts'!$F$5:$F$3000,0)),I133&amp;"")</f>
        <v/>
      </c>
      <c r="S133" s="16">
        <f>IF(J133="",INDEX('Chart of Accounts'!$A$5:$A$3000,MATCH("ap",'Chart of Accounts'!$F$5:$F$3000,0)),J133&amp;"")</f>
        <v/>
      </c>
      <c r="T133" s="16">
        <f>INDEX('Chart of Accounts'!$A$5:$A$3000,MATCH("vat_input",'Chart of Accounts'!$F$5:$F$3000,0))</f>
        <v/>
      </c>
      <c r="U133" s="16">
        <f>INDEX('Chart of Accounts'!$A$5:$A$3000,MATCH("wht_payable",'Chart of Accounts'!$F$5:$F$3000,0))</f>
        <v/>
      </c>
      <c r="V133" s="23">
        <f>IFERROR(INDEX('Chart of Accounts'!$C$5:$C$3000,MATCH(Q133&amp;"",'Chart of Accounts'!$A$5:$A$3000,0))&amp;"|"&amp;INDEX('Chart of Accounts'!$D$5:$D$3000,MATCH(Q133&amp;"",'Chart of Accounts'!$A$5:$A$3000,0)),"")</f>
        <v/>
      </c>
      <c r="W133" s="23">
        <f>IFERROR(INDEX('Chart of Accounts'!$C$5:$C$3000,MATCH(T133&amp;"",'Chart of Accounts'!$A$5:$A$3000,0))&amp;"|"&amp;INDEX('Chart of Accounts'!$D$5:$D$3000,MATCH(T133&amp;"",'Chart of Accounts'!$A$5:$A$3000,0)),"")</f>
        <v/>
      </c>
      <c r="X133" s="23">
        <f>IFERROR(INDEX('Chart of Accounts'!$C$5:$C$3000,MATCH(R133&amp;"",'Chart of Accounts'!$A$5:$A$3000,0))&amp;"|"&amp;INDEX('Chart of Accounts'!$D$5:$D$3000,MATCH(R133&amp;"",'Chart of Accounts'!$A$5:$A$3000,0)),"")</f>
        <v/>
      </c>
      <c r="Y133" s="23">
        <f>IFERROR(INDEX('Chart of Accounts'!$C$5:$C$3000,MATCH(S133&amp;"",'Chart of Accounts'!$A$5:$A$3000,0))&amp;"|"&amp;INDEX('Chart of Accounts'!$D$5:$D$3000,MATCH(S133&amp;"",'Chart of Accounts'!$A$5:$A$3000,0)),"")</f>
        <v/>
      </c>
      <c r="Z133" s="23">
        <f>IFERROR(INDEX('Chart of Accounts'!$C$5:$C$3000,MATCH(U133&amp;"",'Chart of Accounts'!$A$5:$A$3000,0))&amp;"|"&amp;INDEX('Chart of Accounts'!$D$5:$D$3000,MATCH(U133&amp;"",'Chart of Accounts'!$A$5:$A$3000,0)),"")</f>
        <v/>
      </c>
      <c r="AA133" s="23">
        <f>IF(LEFT(V133,8)="Revenue|",-N(F133),0)+IF(LEFT(W133,8)="Revenue|",-N(M133),0)+IF(LEFT(X133,8)="Revenue|",N(O133),0)+IF(LEFT(Y133,8)="Revenue|",N(P133),0)+IF(LEFT(Z133,8)="Revenue|",N(N133),0)</f>
        <v/>
      </c>
      <c r="AB133" s="23">
        <f>IF(LEFT(V133,5)="COGS|",N(F133),0)+IF(LEFT(W133,5)="COGS|",N(M133),0)+IF(LEFT(X133,5)="COGS|",-N(O133),0)+IF(LEFT(Y133,5)="COGS|",-N(P133),0)+IF(LEFT(Z133,5)="COGS|",-N(N133),0)</f>
        <v/>
      </c>
      <c r="AC133" s="23">
        <f>IF(LEFT(V133,8)="Expense|",N(F133),0)+IF(LEFT(W133,8)="Expense|",N(M133),0)+IF(LEFT(X133,8)="Expense|",-N(O133),0)+IF(LEFT(Y133,8)="Expense|",-N(P133),0)+IF(LEFT(Z133,8)="Expense|",-N(N133),0)</f>
        <v/>
      </c>
      <c r="AD133" s="23">
        <f>IF(ISNUMBER(MATCH(V133,{"Expense|employee","Expense|general_admin","Expense|marketing","Expense|utilities","Expense|other_operating"},0)),N(F133),0)+IF(ISNUMBER(MATCH(W133,{"Expense|employee","Expense|general_admin","Expense|marketing","Expense|utilities","Expense|other_operating"},0)),N(M133),0)+IF(ISNUMBER(MATCH(X133,{"Expense|employee","Expense|general_admin","Expense|marketing","Expense|utilities","Expense|other_operating"},0)),-N(O133),0)+IF(ISNUMBER(MATCH(Y133,{"Expense|employee","Expense|general_admin","Expense|marketing","Expense|utilities","Expense|other_operating"},0)),-N(P133),0)+IF(ISNUMBER(MATCH(Z133,{"Expense|employee","Expense|general_admin","Expense|marketing","Expense|utilities","Expense|other_operating"},0)),-N(N133),0)</f>
        <v/>
      </c>
      <c r="AE133" s="23">
        <f>IF(V133="Liability|payable",-N(F133),0)+IF(W133="Liability|payable",-N(M133),0)+IF(X133="Liability|payable",N(O133),0)+IF(Y133="Liability|payable",N(P133),0)+IF(Z133="Liability|payable",N(N133),0)</f>
        <v/>
      </c>
      <c r="AF133" s="23">
        <f>IF(V133="Liability|accrued",-N(F133),0)+IF(W133="Liability|accrued",-N(M133),0)+IF(X133="Liability|accrued",N(O133),0)+IF(Y133="Liability|accrued",N(P133),0)+IF(Z133="Liability|accrued",N(N133),0)</f>
        <v/>
      </c>
      <c r="AG133" s="23">
        <f>IF(AND(N(F133)&lt;&gt;0,V133=""),1,0)+IF(AND(N(M133)&lt;&gt;0,W133=""),1,0)+IF(AND(N(O133)&lt;&gt;0,X133=""),1,0)+IF(AND(N(P133)&lt;&gt;0,Y133=""),1,0)+IF(AND(N(N133)&lt;&gt;0,Z133=""),1,0)</f>
        <v/>
      </c>
    </row>
    <row r="134">
      <c r="A134" s="19" t="n"/>
      <c r="B134" s="14" t="n"/>
      <c r="C134" s="14" t="n"/>
      <c r="D134" s="14" t="n"/>
      <c r="E134" s="14" t="n"/>
      <c r="F134" s="20" t="n"/>
      <c r="G134" s="20" t="n"/>
      <c r="H134" s="14" t="n"/>
      <c r="I134" s="14" t="n"/>
      <c r="J134" s="14" t="n"/>
      <c r="K134" s="14" t="n"/>
      <c r="L134" s="14" t="n"/>
      <c r="M134" s="21">
        <f>ROUND(N(F134)*IFERROR(VLOOKUP(K134,'Tax Codes'!$A$5:$E$300,5,FALSE),0),2)</f>
        <v/>
      </c>
      <c r="N134" s="21">
        <f>ROUND(N(F134)*IFERROR(VLOOKUP(L134,'Tax Codes'!$A$5:$E$300,5,FALSE),0),2)</f>
        <v/>
      </c>
      <c r="O134" s="21">
        <f>IF(G134="",N(F134)+M134-N134,N(G134))</f>
        <v/>
      </c>
      <c r="P134" s="21">
        <f>N(F134)+M134-N134-O134</f>
        <v/>
      </c>
      <c r="Q134" s="16">
        <f>IF(C134="",INDEX('Chart of Accounts'!$A$5:$A$3000,MATCH("other_overhead",'Chart of Accounts'!$F$5:$F$3000,0)),C134&amp;"")</f>
        <v/>
      </c>
      <c r="R134" s="16">
        <f>IF(I134="",INDEX('Chart of Accounts'!$A$5:$A$3000,MATCH("bank",'Chart of Accounts'!$F$5:$F$3000,0)),I134&amp;"")</f>
        <v/>
      </c>
      <c r="S134" s="16">
        <f>IF(J134="",INDEX('Chart of Accounts'!$A$5:$A$3000,MATCH("ap",'Chart of Accounts'!$F$5:$F$3000,0)),J134&amp;"")</f>
        <v/>
      </c>
      <c r="T134" s="16">
        <f>INDEX('Chart of Accounts'!$A$5:$A$3000,MATCH("vat_input",'Chart of Accounts'!$F$5:$F$3000,0))</f>
        <v/>
      </c>
      <c r="U134" s="16">
        <f>INDEX('Chart of Accounts'!$A$5:$A$3000,MATCH("wht_payable",'Chart of Accounts'!$F$5:$F$3000,0))</f>
        <v/>
      </c>
      <c r="V134" s="23">
        <f>IFERROR(INDEX('Chart of Accounts'!$C$5:$C$3000,MATCH(Q134&amp;"",'Chart of Accounts'!$A$5:$A$3000,0))&amp;"|"&amp;INDEX('Chart of Accounts'!$D$5:$D$3000,MATCH(Q134&amp;"",'Chart of Accounts'!$A$5:$A$3000,0)),"")</f>
        <v/>
      </c>
      <c r="W134" s="23">
        <f>IFERROR(INDEX('Chart of Accounts'!$C$5:$C$3000,MATCH(T134&amp;"",'Chart of Accounts'!$A$5:$A$3000,0))&amp;"|"&amp;INDEX('Chart of Accounts'!$D$5:$D$3000,MATCH(T134&amp;"",'Chart of Accounts'!$A$5:$A$3000,0)),"")</f>
        <v/>
      </c>
      <c r="X134" s="23">
        <f>IFERROR(INDEX('Chart of Accounts'!$C$5:$C$3000,MATCH(R134&amp;"",'Chart of Accounts'!$A$5:$A$3000,0))&amp;"|"&amp;INDEX('Chart of Accounts'!$D$5:$D$3000,MATCH(R134&amp;"",'Chart of Accounts'!$A$5:$A$3000,0)),"")</f>
        <v/>
      </c>
      <c r="Y134" s="23">
        <f>IFERROR(INDEX('Chart of Accounts'!$C$5:$C$3000,MATCH(S134&amp;"",'Chart of Accounts'!$A$5:$A$3000,0))&amp;"|"&amp;INDEX('Chart of Accounts'!$D$5:$D$3000,MATCH(S134&amp;"",'Chart of Accounts'!$A$5:$A$3000,0)),"")</f>
        <v/>
      </c>
      <c r="Z134" s="23">
        <f>IFERROR(INDEX('Chart of Accounts'!$C$5:$C$3000,MATCH(U134&amp;"",'Chart of Accounts'!$A$5:$A$3000,0))&amp;"|"&amp;INDEX('Chart of Accounts'!$D$5:$D$3000,MATCH(U134&amp;"",'Chart of Accounts'!$A$5:$A$3000,0)),"")</f>
        <v/>
      </c>
      <c r="AA134" s="23">
        <f>IF(LEFT(V134,8)="Revenue|",-N(F134),0)+IF(LEFT(W134,8)="Revenue|",-N(M134),0)+IF(LEFT(X134,8)="Revenue|",N(O134),0)+IF(LEFT(Y134,8)="Revenue|",N(P134),0)+IF(LEFT(Z134,8)="Revenue|",N(N134),0)</f>
        <v/>
      </c>
      <c r="AB134" s="23">
        <f>IF(LEFT(V134,5)="COGS|",N(F134),0)+IF(LEFT(W134,5)="COGS|",N(M134),0)+IF(LEFT(X134,5)="COGS|",-N(O134),0)+IF(LEFT(Y134,5)="COGS|",-N(P134),0)+IF(LEFT(Z134,5)="COGS|",-N(N134),0)</f>
        <v/>
      </c>
      <c r="AC134" s="23">
        <f>IF(LEFT(V134,8)="Expense|",N(F134),0)+IF(LEFT(W134,8)="Expense|",N(M134),0)+IF(LEFT(X134,8)="Expense|",-N(O134),0)+IF(LEFT(Y134,8)="Expense|",-N(P134),0)+IF(LEFT(Z134,8)="Expense|",-N(N134),0)</f>
        <v/>
      </c>
      <c r="AD134" s="23">
        <f>IF(ISNUMBER(MATCH(V134,{"Expense|employee","Expense|general_admin","Expense|marketing","Expense|utilities","Expense|other_operating"},0)),N(F134),0)+IF(ISNUMBER(MATCH(W134,{"Expense|employee","Expense|general_admin","Expense|marketing","Expense|utilities","Expense|other_operating"},0)),N(M134),0)+IF(ISNUMBER(MATCH(X134,{"Expense|employee","Expense|general_admin","Expense|marketing","Expense|utilities","Expense|other_operating"},0)),-N(O134),0)+IF(ISNUMBER(MATCH(Y134,{"Expense|employee","Expense|general_admin","Expense|marketing","Expense|utilities","Expense|other_operating"},0)),-N(P134),0)+IF(ISNUMBER(MATCH(Z134,{"Expense|employee","Expense|general_admin","Expense|marketing","Expense|utilities","Expense|other_operating"},0)),-N(N134),0)</f>
        <v/>
      </c>
      <c r="AE134" s="23">
        <f>IF(V134="Liability|payable",-N(F134),0)+IF(W134="Liability|payable",-N(M134),0)+IF(X134="Liability|payable",N(O134),0)+IF(Y134="Liability|payable",N(P134),0)+IF(Z134="Liability|payable",N(N134),0)</f>
        <v/>
      </c>
      <c r="AF134" s="23">
        <f>IF(V134="Liability|accrued",-N(F134),0)+IF(W134="Liability|accrued",-N(M134),0)+IF(X134="Liability|accrued",N(O134),0)+IF(Y134="Liability|accrued",N(P134),0)+IF(Z134="Liability|accrued",N(N134),0)</f>
        <v/>
      </c>
      <c r="AG134" s="23">
        <f>IF(AND(N(F134)&lt;&gt;0,V134=""),1,0)+IF(AND(N(M134)&lt;&gt;0,W134=""),1,0)+IF(AND(N(O134)&lt;&gt;0,X134=""),1,0)+IF(AND(N(P134)&lt;&gt;0,Y134=""),1,0)+IF(AND(N(N134)&lt;&gt;0,Z134=""),1,0)</f>
        <v/>
      </c>
    </row>
    <row r="135">
      <c r="A135" s="19" t="n"/>
      <c r="B135" s="14" t="n"/>
      <c r="C135" s="14" t="n"/>
      <c r="D135" s="14" t="n"/>
      <c r="E135" s="14" t="n"/>
      <c r="F135" s="20" t="n"/>
      <c r="G135" s="20" t="n"/>
      <c r="H135" s="14" t="n"/>
      <c r="I135" s="14" t="n"/>
      <c r="J135" s="14" t="n"/>
      <c r="K135" s="14" t="n"/>
      <c r="L135" s="14" t="n"/>
      <c r="M135" s="21">
        <f>ROUND(N(F135)*IFERROR(VLOOKUP(K135,'Tax Codes'!$A$5:$E$300,5,FALSE),0),2)</f>
        <v/>
      </c>
      <c r="N135" s="21">
        <f>ROUND(N(F135)*IFERROR(VLOOKUP(L135,'Tax Codes'!$A$5:$E$300,5,FALSE),0),2)</f>
        <v/>
      </c>
      <c r="O135" s="21">
        <f>IF(G135="",N(F135)+M135-N135,N(G135))</f>
        <v/>
      </c>
      <c r="P135" s="21">
        <f>N(F135)+M135-N135-O135</f>
        <v/>
      </c>
      <c r="Q135" s="16">
        <f>IF(C135="",INDEX('Chart of Accounts'!$A$5:$A$3000,MATCH("other_overhead",'Chart of Accounts'!$F$5:$F$3000,0)),C135&amp;"")</f>
        <v/>
      </c>
      <c r="R135" s="16">
        <f>IF(I135="",INDEX('Chart of Accounts'!$A$5:$A$3000,MATCH("bank",'Chart of Accounts'!$F$5:$F$3000,0)),I135&amp;"")</f>
        <v/>
      </c>
      <c r="S135" s="16">
        <f>IF(J135="",INDEX('Chart of Accounts'!$A$5:$A$3000,MATCH("ap",'Chart of Accounts'!$F$5:$F$3000,0)),J135&amp;"")</f>
        <v/>
      </c>
      <c r="T135" s="16">
        <f>INDEX('Chart of Accounts'!$A$5:$A$3000,MATCH("vat_input",'Chart of Accounts'!$F$5:$F$3000,0))</f>
        <v/>
      </c>
      <c r="U135" s="16">
        <f>INDEX('Chart of Accounts'!$A$5:$A$3000,MATCH("wht_payable",'Chart of Accounts'!$F$5:$F$3000,0))</f>
        <v/>
      </c>
      <c r="V135" s="23">
        <f>IFERROR(INDEX('Chart of Accounts'!$C$5:$C$3000,MATCH(Q135&amp;"",'Chart of Accounts'!$A$5:$A$3000,0))&amp;"|"&amp;INDEX('Chart of Accounts'!$D$5:$D$3000,MATCH(Q135&amp;"",'Chart of Accounts'!$A$5:$A$3000,0)),"")</f>
        <v/>
      </c>
      <c r="W135" s="23">
        <f>IFERROR(INDEX('Chart of Accounts'!$C$5:$C$3000,MATCH(T135&amp;"",'Chart of Accounts'!$A$5:$A$3000,0))&amp;"|"&amp;INDEX('Chart of Accounts'!$D$5:$D$3000,MATCH(T135&amp;"",'Chart of Accounts'!$A$5:$A$3000,0)),"")</f>
        <v/>
      </c>
      <c r="X135" s="23">
        <f>IFERROR(INDEX('Chart of Accounts'!$C$5:$C$3000,MATCH(R135&amp;"",'Chart of Accounts'!$A$5:$A$3000,0))&amp;"|"&amp;INDEX('Chart of Accounts'!$D$5:$D$3000,MATCH(R135&amp;"",'Chart of Accounts'!$A$5:$A$3000,0)),"")</f>
        <v/>
      </c>
      <c r="Y135" s="23">
        <f>IFERROR(INDEX('Chart of Accounts'!$C$5:$C$3000,MATCH(S135&amp;"",'Chart of Accounts'!$A$5:$A$3000,0))&amp;"|"&amp;INDEX('Chart of Accounts'!$D$5:$D$3000,MATCH(S135&amp;"",'Chart of Accounts'!$A$5:$A$3000,0)),"")</f>
        <v/>
      </c>
      <c r="Z135" s="23">
        <f>IFERROR(INDEX('Chart of Accounts'!$C$5:$C$3000,MATCH(U135&amp;"",'Chart of Accounts'!$A$5:$A$3000,0))&amp;"|"&amp;INDEX('Chart of Accounts'!$D$5:$D$3000,MATCH(U135&amp;"",'Chart of Accounts'!$A$5:$A$3000,0)),"")</f>
        <v/>
      </c>
      <c r="AA135" s="23">
        <f>IF(LEFT(V135,8)="Revenue|",-N(F135),0)+IF(LEFT(W135,8)="Revenue|",-N(M135),0)+IF(LEFT(X135,8)="Revenue|",N(O135),0)+IF(LEFT(Y135,8)="Revenue|",N(P135),0)+IF(LEFT(Z135,8)="Revenue|",N(N135),0)</f>
        <v/>
      </c>
      <c r="AB135" s="23">
        <f>IF(LEFT(V135,5)="COGS|",N(F135),0)+IF(LEFT(W135,5)="COGS|",N(M135),0)+IF(LEFT(X135,5)="COGS|",-N(O135),0)+IF(LEFT(Y135,5)="COGS|",-N(P135),0)+IF(LEFT(Z135,5)="COGS|",-N(N135),0)</f>
        <v/>
      </c>
      <c r="AC135" s="23">
        <f>IF(LEFT(V135,8)="Expense|",N(F135),0)+IF(LEFT(W135,8)="Expense|",N(M135),0)+IF(LEFT(X135,8)="Expense|",-N(O135),0)+IF(LEFT(Y135,8)="Expense|",-N(P135),0)+IF(LEFT(Z135,8)="Expense|",-N(N135),0)</f>
        <v/>
      </c>
      <c r="AD135" s="23">
        <f>IF(ISNUMBER(MATCH(V135,{"Expense|employee","Expense|general_admin","Expense|marketing","Expense|utilities","Expense|other_operating"},0)),N(F135),0)+IF(ISNUMBER(MATCH(W135,{"Expense|employee","Expense|general_admin","Expense|marketing","Expense|utilities","Expense|other_operating"},0)),N(M135),0)+IF(ISNUMBER(MATCH(X135,{"Expense|employee","Expense|general_admin","Expense|marketing","Expense|utilities","Expense|other_operating"},0)),-N(O135),0)+IF(ISNUMBER(MATCH(Y135,{"Expense|employee","Expense|general_admin","Expense|marketing","Expense|utilities","Expense|other_operating"},0)),-N(P135),0)+IF(ISNUMBER(MATCH(Z135,{"Expense|employee","Expense|general_admin","Expense|marketing","Expense|utilities","Expense|other_operating"},0)),-N(N135),0)</f>
        <v/>
      </c>
      <c r="AE135" s="23">
        <f>IF(V135="Liability|payable",-N(F135),0)+IF(W135="Liability|payable",-N(M135),0)+IF(X135="Liability|payable",N(O135),0)+IF(Y135="Liability|payable",N(P135),0)+IF(Z135="Liability|payable",N(N135),0)</f>
        <v/>
      </c>
      <c r="AF135" s="23">
        <f>IF(V135="Liability|accrued",-N(F135),0)+IF(W135="Liability|accrued",-N(M135),0)+IF(X135="Liability|accrued",N(O135),0)+IF(Y135="Liability|accrued",N(P135),0)+IF(Z135="Liability|accrued",N(N135),0)</f>
        <v/>
      </c>
      <c r="AG135" s="23">
        <f>IF(AND(N(F135)&lt;&gt;0,V135=""),1,0)+IF(AND(N(M135)&lt;&gt;0,W135=""),1,0)+IF(AND(N(O135)&lt;&gt;0,X135=""),1,0)+IF(AND(N(P135)&lt;&gt;0,Y135=""),1,0)+IF(AND(N(N135)&lt;&gt;0,Z135=""),1,0)</f>
        <v/>
      </c>
    </row>
    <row r="136">
      <c r="A136" s="19" t="n"/>
      <c r="B136" s="14" t="n"/>
      <c r="C136" s="14" t="n"/>
      <c r="D136" s="14" t="n"/>
      <c r="E136" s="14" t="n"/>
      <c r="F136" s="20" t="n"/>
      <c r="G136" s="20" t="n"/>
      <c r="H136" s="14" t="n"/>
      <c r="I136" s="14" t="n"/>
      <c r="J136" s="14" t="n"/>
      <c r="K136" s="14" t="n"/>
      <c r="L136" s="14" t="n"/>
      <c r="M136" s="21">
        <f>ROUND(N(F136)*IFERROR(VLOOKUP(K136,'Tax Codes'!$A$5:$E$300,5,FALSE),0),2)</f>
        <v/>
      </c>
      <c r="N136" s="21">
        <f>ROUND(N(F136)*IFERROR(VLOOKUP(L136,'Tax Codes'!$A$5:$E$300,5,FALSE),0),2)</f>
        <v/>
      </c>
      <c r="O136" s="21">
        <f>IF(G136="",N(F136)+M136-N136,N(G136))</f>
        <v/>
      </c>
      <c r="P136" s="21">
        <f>N(F136)+M136-N136-O136</f>
        <v/>
      </c>
      <c r="Q136" s="16">
        <f>IF(C136="",INDEX('Chart of Accounts'!$A$5:$A$3000,MATCH("other_overhead",'Chart of Accounts'!$F$5:$F$3000,0)),C136&amp;"")</f>
        <v/>
      </c>
      <c r="R136" s="16">
        <f>IF(I136="",INDEX('Chart of Accounts'!$A$5:$A$3000,MATCH("bank",'Chart of Accounts'!$F$5:$F$3000,0)),I136&amp;"")</f>
        <v/>
      </c>
      <c r="S136" s="16">
        <f>IF(J136="",INDEX('Chart of Accounts'!$A$5:$A$3000,MATCH("ap",'Chart of Accounts'!$F$5:$F$3000,0)),J136&amp;"")</f>
        <v/>
      </c>
      <c r="T136" s="16">
        <f>INDEX('Chart of Accounts'!$A$5:$A$3000,MATCH("vat_input",'Chart of Accounts'!$F$5:$F$3000,0))</f>
        <v/>
      </c>
      <c r="U136" s="16">
        <f>INDEX('Chart of Accounts'!$A$5:$A$3000,MATCH("wht_payable",'Chart of Accounts'!$F$5:$F$3000,0))</f>
        <v/>
      </c>
      <c r="V136" s="23">
        <f>IFERROR(INDEX('Chart of Accounts'!$C$5:$C$3000,MATCH(Q136&amp;"",'Chart of Accounts'!$A$5:$A$3000,0))&amp;"|"&amp;INDEX('Chart of Accounts'!$D$5:$D$3000,MATCH(Q136&amp;"",'Chart of Accounts'!$A$5:$A$3000,0)),"")</f>
        <v/>
      </c>
      <c r="W136" s="23">
        <f>IFERROR(INDEX('Chart of Accounts'!$C$5:$C$3000,MATCH(T136&amp;"",'Chart of Accounts'!$A$5:$A$3000,0))&amp;"|"&amp;INDEX('Chart of Accounts'!$D$5:$D$3000,MATCH(T136&amp;"",'Chart of Accounts'!$A$5:$A$3000,0)),"")</f>
        <v/>
      </c>
      <c r="X136" s="23">
        <f>IFERROR(INDEX('Chart of Accounts'!$C$5:$C$3000,MATCH(R136&amp;"",'Chart of Accounts'!$A$5:$A$3000,0))&amp;"|"&amp;INDEX('Chart of Accounts'!$D$5:$D$3000,MATCH(R136&amp;"",'Chart of Accounts'!$A$5:$A$3000,0)),"")</f>
        <v/>
      </c>
      <c r="Y136" s="23">
        <f>IFERROR(INDEX('Chart of Accounts'!$C$5:$C$3000,MATCH(S136&amp;"",'Chart of Accounts'!$A$5:$A$3000,0))&amp;"|"&amp;INDEX('Chart of Accounts'!$D$5:$D$3000,MATCH(S136&amp;"",'Chart of Accounts'!$A$5:$A$3000,0)),"")</f>
        <v/>
      </c>
      <c r="Z136" s="23">
        <f>IFERROR(INDEX('Chart of Accounts'!$C$5:$C$3000,MATCH(U136&amp;"",'Chart of Accounts'!$A$5:$A$3000,0))&amp;"|"&amp;INDEX('Chart of Accounts'!$D$5:$D$3000,MATCH(U136&amp;"",'Chart of Accounts'!$A$5:$A$3000,0)),"")</f>
        <v/>
      </c>
      <c r="AA136" s="23">
        <f>IF(LEFT(V136,8)="Revenue|",-N(F136),0)+IF(LEFT(W136,8)="Revenue|",-N(M136),0)+IF(LEFT(X136,8)="Revenue|",N(O136),0)+IF(LEFT(Y136,8)="Revenue|",N(P136),0)+IF(LEFT(Z136,8)="Revenue|",N(N136),0)</f>
        <v/>
      </c>
      <c r="AB136" s="23">
        <f>IF(LEFT(V136,5)="COGS|",N(F136),0)+IF(LEFT(W136,5)="COGS|",N(M136),0)+IF(LEFT(X136,5)="COGS|",-N(O136),0)+IF(LEFT(Y136,5)="COGS|",-N(P136),0)+IF(LEFT(Z136,5)="COGS|",-N(N136),0)</f>
        <v/>
      </c>
      <c r="AC136" s="23">
        <f>IF(LEFT(V136,8)="Expense|",N(F136),0)+IF(LEFT(W136,8)="Expense|",N(M136),0)+IF(LEFT(X136,8)="Expense|",-N(O136),0)+IF(LEFT(Y136,8)="Expense|",-N(P136),0)+IF(LEFT(Z136,8)="Expense|",-N(N136),0)</f>
        <v/>
      </c>
      <c r="AD136" s="23">
        <f>IF(ISNUMBER(MATCH(V136,{"Expense|employee","Expense|general_admin","Expense|marketing","Expense|utilities","Expense|other_operating"},0)),N(F136),0)+IF(ISNUMBER(MATCH(W136,{"Expense|employee","Expense|general_admin","Expense|marketing","Expense|utilities","Expense|other_operating"},0)),N(M136),0)+IF(ISNUMBER(MATCH(X136,{"Expense|employee","Expense|general_admin","Expense|marketing","Expense|utilities","Expense|other_operating"},0)),-N(O136),0)+IF(ISNUMBER(MATCH(Y136,{"Expense|employee","Expense|general_admin","Expense|marketing","Expense|utilities","Expense|other_operating"},0)),-N(P136),0)+IF(ISNUMBER(MATCH(Z136,{"Expense|employee","Expense|general_admin","Expense|marketing","Expense|utilities","Expense|other_operating"},0)),-N(N136),0)</f>
        <v/>
      </c>
      <c r="AE136" s="23">
        <f>IF(V136="Liability|payable",-N(F136),0)+IF(W136="Liability|payable",-N(M136),0)+IF(X136="Liability|payable",N(O136),0)+IF(Y136="Liability|payable",N(P136),0)+IF(Z136="Liability|payable",N(N136),0)</f>
        <v/>
      </c>
      <c r="AF136" s="23">
        <f>IF(V136="Liability|accrued",-N(F136),0)+IF(W136="Liability|accrued",-N(M136),0)+IF(X136="Liability|accrued",N(O136),0)+IF(Y136="Liability|accrued",N(P136),0)+IF(Z136="Liability|accrued",N(N136),0)</f>
        <v/>
      </c>
      <c r="AG136" s="23">
        <f>IF(AND(N(F136)&lt;&gt;0,V136=""),1,0)+IF(AND(N(M136)&lt;&gt;0,W136=""),1,0)+IF(AND(N(O136)&lt;&gt;0,X136=""),1,0)+IF(AND(N(P136)&lt;&gt;0,Y136=""),1,0)+IF(AND(N(N136)&lt;&gt;0,Z136=""),1,0)</f>
        <v/>
      </c>
    </row>
    <row r="137">
      <c r="A137" s="19" t="n"/>
      <c r="B137" s="14" t="n"/>
      <c r="C137" s="14" t="n"/>
      <c r="D137" s="14" t="n"/>
      <c r="E137" s="14" t="n"/>
      <c r="F137" s="20" t="n"/>
      <c r="G137" s="20" t="n"/>
      <c r="H137" s="14" t="n"/>
      <c r="I137" s="14" t="n"/>
      <c r="J137" s="14" t="n"/>
      <c r="K137" s="14" t="n"/>
      <c r="L137" s="14" t="n"/>
      <c r="M137" s="21">
        <f>ROUND(N(F137)*IFERROR(VLOOKUP(K137,'Tax Codes'!$A$5:$E$300,5,FALSE),0),2)</f>
        <v/>
      </c>
      <c r="N137" s="21">
        <f>ROUND(N(F137)*IFERROR(VLOOKUP(L137,'Tax Codes'!$A$5:$E$300,5,FALSE),0),2)</f>
        <v/>
      </c>
      <c r="O137" s="21">
        <f>IF(G137="",N(F137)+M137-N137,N(G137))</f>
        <v/>
      </c>
      <c r="P137" s="21">
        <f>N(F137)+M137-N137-O137</f>
        <v/>
      </c>
      <c r="Q137" s="16">
        <f>IF(C137="",INDEX('Chart of Accounts'!$A$5:$A$3000,MATCH("other_overhead",'Chart of Accounts'!$F$5:$F$3000,0)),C137&amp;"")</f>
        <v/>
      </c>
      <c r="R137" s="16">
        <f>IF(I137="",INDEX('Chart of Accounts'!$A$5:$A$3000,MATCH("bank",'Chart of Accounts'!$F$5:$F$3000,0)),I137&amp;"")</f>
        <v/>
      </c>
      <c r="S137" s="16">
        <f>IF(J137="",INDEX('Chart of Accounts'!$A$5:$A$3000,MATCH("ap",'Chart of Accounts'!$F$5:$F$3000,0)),J137&amp;"")</f>
        <v/>
      </c>
      <c r="T137" s="16">
        <f>INDEX('Chart of Accounts'!$A$5:$A$3000,MATCH("vat_input",'Chart of Accounts'!$F$5:$F$3000,0))</f>
        <v/>
      </c>
      <c r="U137" s="16">
        <f>INDEX('Chart of Accounts'!$A$5:$A$3000,MATCH("wht_payable",'Chart of Accounts'!$F$5:$F$3000,0))</f>
        <v/>
      </c>
      <c r="V137" s="23">
        <f>IFERROR(INDEX('Chart of Accounts'!$C$5:$C$3000,MATCH(Q137&amp;"",'Chart of Accounts'!$A$5:$A$3000,0))&amp;"|"&amp;INDEX('Chart of Accounts'!$D$5:$D$3000,MATCH(Q137&amp;"",'Chart of Accounts'!$A$5:$A$3000,0)),"")</f>
        <v/>
      </c>
      <c r="W137" s="23">
        <f>IFERROR(INDEX('Chart of Accounts'!$C$5:$C$3000,MATCH(T137&amp;"",'Chart of Accounts'!$A$5:$A$3000,0))&amp;"|"&amp;INDEX('Chart of Accounts'!$D$5:$D$3000,MATCH(T137&amp;"",'Chart of Accounts'!$A$5:$A$3000,0)),"")</f>
        <v/>
      </c>
      <c r="X137" s="23">
        <f>IFERROR(INDEX('Chart of Accounts'!$C$5:$C$3000,MATCH(R137&amp;"",'Chart of Accounts'!$A$5:$A$3000,0))&amp;"|"&amp;INDEX('Chart of Accounts'!$D$5:$D$3000,MATCH(R137&amp;"",'Chart of Accounts'!$A$5:$A$3000,0)),"")</f>
        <v/>
      </c>
      <c r="Y137" s="23">
        <f>IFERROR(INDEX('Chart of Accounts'!$C$5:$C$3000,MATCH(S137&amp;"",'Chart of Accounts'!$A$5:$A$3000,0))&amp;"|"&amp;INDEX('Chart of Accounts'!$D$5:$D$3000,MATCH(S137&amp;"",'Chart of Accounts'!$A$5:$A$3000,0)),"")</f>
        <v/>
      </c>
      <c r="Z137" s="23">
        <f>IFERROR(INDEX('Chart of Accounts'!$C$5:$C$3000,MATCH(U137&amp;"",'Chart of Accounts'!$A$5:$A$3000,0))&amp;"|"&amp;INDEX('Chart of Accounts'!$D$5:$D$3000,MATCH(U137&amp;"",'Chart of Accounts'!$A$5:$A$3000,0)),"")</f>
        <v/>
      </c>
      <c r="AA137" s="23">
        <f>IF(LEFT(V137,8)="Revenue|",-N(F137),0)+IF(LEFT(W137,8)="Revenue|",-N(M137),0)+IF(LEFT(X137,8)="Revenue|",N(O137),0)+IF(LEFT(Y137,8)="Revenue|",N(P137),0)+IF(LEFT(Z137,8)="Revenue|",N(N137),0)</f>
        <v/>
      </c>
      <c r="AB137" s="23">
        <f>IF(LEFT(V137,5)="COGS|",N(F137),0)+IF(LEFT(W137,5)="COGS|",N(M137),0)+IF(LEFT(X137,5)="COGS|",-N(O137),0)+IF(LEFT(Y137,5)="COGS|",-N(P137),0)+IF(LEFT(Z137,5)="COGS|",-N(N137),0)</f>
        <v/>
      </c>
      <c r="AC137" s="23">
        <f>IF(LEFT(V137,8)="Expense|",N(F137),0)+IF(LEFT(W137,8)="Expense|",N(M137),0)+IF(LEFT(X137,8)="Expense|",-N(O137),0)+IF(LEFT(Y137,8)="Expense|",-N(P137),0)+IF(LEFT(Z137,8)="Expense|",-N(N137),0)</f>
        <v/>
      </c>
      <c r="AD137" s="23">
        <f>IF(ISNUMBER(MATCH(V137,{"Expense|employee","Expense|general_admin","Expense|marketing","Expense|utilities","Expense|other_operating"},0)),N(F137),0)+IF(ISNUMBER(MATCH(W137,{"Expense|employee","Expense|general_admin","Expense|marketing","Expense|utilities","Expense|other_operating"},0)),N(M137),0)+IF(ISNUMBER(MATCH(X137,{"Expense|employee","Expense|general_admin","Expense|marketing","Expense|utilities","Expense|other_operating"},0)),-N(O137),0)+IF(ISNUMBER(MATCH(Y137,{"Expense|employee","Expense|general_admin","Expense|marketing","Expense|utilities","Expense|other_operating"},0)),-N(P137),0)+IF(ISNUMBER(MATCH(Z137,{"Expense|employee","Expense|general_admin","Expense|marketing","Expense|utilities","Expense|other_operating"},0)),-N(N137),0)</f>
        <v/>
      </c>
      <c r="AE137" s="23">
        <f>IF(V137="Liability|payable",-N(F137),0)+IF(W137="Liability|payable",-N(M137),0)+IF(X137="Liability|payable",N(O137),0)+IF(Y137="Liability|payable",N(P137),0)+IF(Z137="Liability|payable",N(N137),0)</f>
        <v/>
      </c>
      <c r="AF137" s="23">
        <f>IF(V137="Liability|accrued",-N(F137),0)+IF(W137="Liability|accrued",-N(M137),0)+IF(X137="Liability|accrued",N(O137),0)+IF(Y137="Liability|accrued",N(P137),0)+IF(Z137="Liability|accrued",N(N137),0)</f>
        <v/>
      </c>
      <c r="AG137" s="23">
        <f>IF(AND(N(F137)&lt;&gt;0,V137=""),1,0)+IF(AND(N(M137)&lt;&gt;0,W137=""),1,0)+IF(AND(N(O137)&lt;&gt;0,X137=""),1,0)+IF(AND(N(P137)&lt;&gt;0,Y137=""),1,0)+IF(AND(N(N137)&lt;&gt;0,Z137=""),1,0)</f>
        <v/>
      </c>
    </row>
    <row r="138">
      <c r="A138" s="19" t="n"/>
      <c r="B138" s="14" t="n"/>
      <c r="C138" s="14" t="n"/>
      <c r="D138" s="14" t="n"/>
      <c r="E138" s="14" t="n"/>
      <c r="F138" s="20" t="n"/>
      <c r="G138" s="20" t="n"/>
      <c r="H138" s="14" t="n"/>
      <c r="I138" s="14" t="n"/>
      <c r="J138" s="14" t="n"/>
      <c r="K138" s="14" t="n"/>
      <c r="L138" s="14" t="n"/>
      <c r="M138" s="21">
        <f>ROUND(N(F138)*IFERROR(VLOOKUP(K138,'Tax Codes'!$A$5:$E$300,5,FALSE),0),2)</f>
        <v/>
      </c>
      <c r="N138" s="21">
        <f>ROUND(N(F138)*IFERROR(VLOOKUP(L138,'Tax Codes'!$A$5:$E$300,5,FALSE),0),2)</f>
        <v/>
      </c>
      <c r="O138" s="21">
        <f>IF(G138="",N(F138)+M138-N138,N(G138))</f>
        <v/>
      </c>
      <c r="P138" s="21">
        <f>N(F138)+M138-N138-O138</f>
        <v/>
      </c>
      <c r="Q138" s="16">
        <f>IF(C138="",INDEX('Chart of Accounts'!$A$5:$A$3000,MATCH("other_overhead",'Chart of Accounts'!$F$5:$F$3000,0)),C138&amp;"")</f>
        <v/>
      </c>
      <c r="R138" s="16">
        <f>IF(I138="",INDEX('Chart of Accounts'!$A$5:$A$3000,MATCH("bank",'Chart of Accounts'!$F$5:$F$3000,0)),I138&amp;"")</f>
        <v/>
      </c>
      <c r="S138" s="16">
        <f>IF(J138="",INDEX('Chart of Accounts'!$A$5:$A$3000,MATCH("ap",'Chart of Accounts'!$F$5:$F$3000,0)),J138&amp;"")</f>
        <v/>
      </c>
      <c r="T138" s="16">
        <f>INDEX('Chart of Accounts'!$A$5:$A$3000,MATCH("vat_input",'Chart of Accounts'!$F$5:$F$3000,0))</f>
        <v/>
      </c>
      <c r="U138" s="16">
        <f>INDEX('Chart of Accounts'!$A$5:$A$3000,MATCH("wht_payable",'Chart of Accounts'!$F$5:$F$3000,0))</f>
        <v/>
      </c>
      <c r="V138" s="23">
        <f>IFERROR(INDEX('Chart of Accounts'!$C$5:$C$3000,MATCH(Q138&amp;"",'Chart of Accounts'!$A$5:$A$3000,0))&amp;"|"&amp;INDEX('Chart of Accounts'!$D$5:$D$3000,MATCH(Q138&amp;"",'Chart of Accounts'!$A$5:$A$3000,0)),"")</f>
        <v/>
      </c>
      <c r="W138" s="23">
        <f>IFERROR(INDEX('Chart of Accounts'!$C$5:$C$3000,MATCH(T138&amp;"",'Chart of Accounts'!$A$5:$A$3000,0))&amp;"|"&amp;INDEX('Chart of Accounts'!$D$5:$D$3000,MATCH(T138&amp;"",'Chart of Accounts'!$A$5:$A$3000,0)),"")</f>
        <v/>
      </c>
      <c r="X138" s="23">
        <f>IFERROR(INDEX('Chart of Accounts'!$C$5:$C$3000,MATCH(R138&amp;"",'Chart of Accounts'!$A$5:$A$3000,0))&amp;"|"&amp;INDEX('Chart of Accounts'!$D$5:$D$3000,MATCH(R138&amp;"",'Chart of Accounts'!$A$5:$A$3000,0)),"")</f>
        <v/>
      </c>
      <c r="Y138" s="23">
        <f>IFERROR(INDEX('Chart of Accounts'!$C$5:$C$3000,MATCH(S138&amp;"",'Chart of Accounts'!$A$5:$A$3000,0))&amp;"|"&amp;INDEX('Chart of Accounts'!$D$5:$D$3000,MATCH(S138&amp;"",'Chart of Accounts'!$A$5:$A$3000,0)),"")</f>
        <v/>
      </c>
      <c r="Z138" s="23">
        <f>IFERROR(INDEX('Chart of Accounts'!$C$5:$C$3000,MATCH(U138&amp;"",'Chart of Accounts'!$A$5:$A$3000,0))&amp;"|"&amp;INDEX('Chart of Accounts'!$D$5:$D$3000,MATCH(U138&amp;"",'Chart of Accounts'!$A$5:$A$3000,0)),"")</f>
        <v/>
      </c>
      <c r="AA138" s="23">
        <f>IF(LEFT(V138,8)="Revenue|",-N(F138),0)+IF(LEFT(W138,8)="Revenue|",-N(M138),0)+IF(LEFT(X138,8)="Revenue|",N(O138),0)+IF(LEFT(Y138,8)="Revenue|",N(P138),0)+IF(LEFT(Z138,8)="Revenue|",N(N138),0)</f>
        <v/>
      </c>
      <c r="AB138" s="23">
        <f>IF(LEFT(V138,5)="COGS|",N(F138),0)+IF(LEFT(W138,5)="COGS|",N(M138),0)+IF(LEFT(X138,5)="COGS|",-N(O138),0)+IF(LEFT(Y138,5)="COGS|",-N(P138),0)+IF(LEFT(Z138,5)="COGS|",-N(N138),0)</f>
        <v/>
      </c>
      <c r="AC138" s="23">
        <f>IF(LEFT(V138,8)="Expense|",N(F138),0)+IF(LEFT(W138,8)="Expense|",N(M138),0)+IF(LEFT(X138,8)="Expense|",-N(O138),0)+IF(LEFT(Y138,8)="Expense|",-N(P138),0)+IF(LEFT(Z138,8)="Expense|",-N(N138),0)</f>
        <v/>
      </c>
      <c r="AD138" s="23">
        <f>IF(ISNUMBER(MATCH(V138,{"Expense|employee","Expense|general_admin","Expense|marketing","Expense|utilities","Expense|other_operating"},0)),N(F138),0)+IF(ISNUMBER(MATCH(W138,{"Expense|employee","Expense|general_admin","Expense|marketing","Expense|utilities","Expense|other_operating"},0)),N(M138),0)+IF(ISNUMBER(MATCH(X138,{"Expense|employee","Expense|general_admin","Expense|marketing","Expense|utilities","Expense|other_operating"},0)),-N(O138),0)+IF(ISNUMBER(MATCH(Y138,{"Expense|employee","Expense|general_admin","Expense|marketing","Expense|utilities","Expense|other_operating"},0)),-N(P138),0)+IF(ISNUMBER(MATCH(Z138,{"Expense|employee","Expense|general_admin","Expense|marketing","Expense|utilities","Expense|other_operating"},0)),-N(N138),0)</f>
        <v/>
      </c>
      <c r="AE138" s="23">
        <f>IF(V138="Liability|payable",-N(F138),0)+IF(W138="Liability|payable",-N(M138),0)+IF(X138="Liability|payable",N(O138),0)+IF(Y138="Liability|payable",N(P138),0)+IF(Z138="Liability|payable",N(N138),0)</f>
        <v/>
      </c>
      <c r="AF138" s="23">
        <f>IF(V138="Liability|accrued",-N(F138),0)+IF(W138="Liability|accrued",-N(M138),0)+IF(X138="Liability|accrued",N(O138),0)+IF(Y138="Liability|accrued",N(P138),0)+IF(Z138="Liability|accrued",N(N138),0)</f>
        <v/>
      </c>
      <c r="AG138" s="23">
        <f>IF(AND(N(F138)&lt;&gt;0,V138=""),1,0)+IF(AND(N(M138)&lt;&gt;0,W138=""),1,0)+IF(AND(N(O138)&lt;&gt;0,X138=""),1,0)+IF(AND(N(P138)&lt;&gt;0,Y138=""),1,0)+IF(AND(N(N138)&lt;&gt;0,Z138=""),1,0)</f>
        <v/>
      </c>
    </row>
    <row r="139">
      <c r="A139" s="19" t="n"/>
      <c r="B139" s="14" t="n"/>
      <c r="C139" s="14" t="n"/>
      <c r="D139" s="14" t="n"/>
      <c r="E139" s="14" t="n"/>
      <c r="F139" s="20" t="n"/>
      <c r="G139" s="20" t="n"/>
      <c r="H139" s="14" t="n"/>
      <c r="I139" s="14" t="n"/>
      <c r="J139" s="14" t="n"/>
      <c r="K139" s="14" t="n"/>
      <c r="L139" s="14" t="n"/>
      <c r="M139" s="21">
        <f>ROUND(N(F139)*IFERROR(VLOOKUP(K139,'Tax Codes'!$A$5:$E$300,5,FALSE),0),2)</f>
        <v/>
      </c>
      <c r="N139" s="21">
        <f>ROUND(N(F139)*IFERROR(VLOOKUP(L139,'Tax Codes'!$A$5:$E$300,5,FALSE),0),2)</f>
        <v/>
      </c>
      <c r="O139" s="21">
        <f>IF(G139="",N(F139)+M139-N139,N(G139))</f>
        <v/>
      </c>
      <c r="P139" s="21">
        <f>N(F139)+M139-N139-O139</f>
        <v/>
      </c>
      <c r="Q139" s="16">
        <f>IF(C139="",INDEX('Chart of Accounts'!$A$5:$A$3000,MATCH("other_overhead",'Chart of Accounts'!$F$5:$F$3000,0)),C139&amp;"")</f>
        <v/>
      </c>
      <c r="R139" s="16">
        <f>IF(I139="",INDEX('Chart of Accounts'!$A$5:$A$3000,MATCH("bank",'Chart of Accounts'!$F$5:$F$3000,0)),I139&amp;"")</f>
        <v/>
      </c>
      <c r="S139" s="16">
        <f>IF(J139="",INDEX('Chart of Accounts'!$A$5:$A$3000,MATCH("ap",'Chart of Accounts'!$F$5:$F$3000,0)),J139&amp;"")</f>
        <v/>
      </c>
      <c r="T139" s="16">
        <f>INDEX('Chart of Accounts'!$A$5:$A$3000,MATCH("vat_input",'Chart of Accounts'!$F$5:$F$3000,0))</f>
        <v/>
      </c>
      <c r="U139" s="16">
        <f>INDEX('Chart of Accounts'!$A$5:$A$3000,MATCH("wht_payable",'Chart of Accounts'!$F$5:$F$3000,0))</f>
        <v/>
      </c>
      <c r="V139" s="23">
        <f>IFERROR(INDEX('Chart of Accounts'!$C$5:$C$3000,MATCH(Q139&amp;"",'Chart of Accounts'!$A$5:$A$3000,0))&amp;"|"&amp;INDEX('Chart of Accounts'!$D$5:$D$3000,MATCH(Q139&amp;"",'Chart of Accounts'!$A$5:$A$3000,0)),"")</f>
        <v/>
      </c>
      <c r="W139" s="23">
        <f>IFERROR(INDEX('Chart of Accounts'!$C$5:$C$3000,MATCH(T139&amp;"",'Chart of Accounts'!$A$5:$A$3000,0))&amp;"|"&amp;INDEX('Chart of Accounts'!$D$5:$D$3000,MATCH(T139&amp;"",'Chart of Accounts'!$A$5:$A$3000,0)),"")</f>
        <v/>
      </c>
      <c r="X139" s="23">
        <f>IFERROR(INDEX('Chart of Accounts'!$C$5:$C$3000,MATCH(R139&amp;"",'Chart of Accounts'!$A$5:$A$3000,0))&amp;"|"&amp;INDEX('Chart of Accounts'!$D$5:$D$3000,MATCH(R139&amp;"",'Chart of Accounts'!$A$5:$A$3000,0)),"")</f>
        <v/>
      </c>
      <c r="Y139" s="23">
        <f>IFERROR(INDEX('Chart of Accounts'!$C$5:$C$3000,MATCH(S139&amp;"",'Chart of Accounts'!$A$5:$A$3000,0))&amp;"|"&amp;INDEX('Chart of Accounts'!$D$5:$D$3000,MATCH(S139&amp;"",'Chart of Accounts'!$A$5:$A$3000,0)),"")</f>
        <v/>
      </c>
      <c r="Z139" s="23">
        <f>IFERROR(INDEX('Chart of Accounts'!$C$5:$C$3000,MATCH(U139&amp;"",'Chart of Accounts'!$A$5:$A$3000,0))&amp;"|"&amp;INDEX('Chart of Accounts'!$D$5:$D$3000,MATCH(U139&amp;"",'Chart of Accounts'!$A$5:$A$3000,0)),"")</f>
        <v/>
      </c>
      <c r="AA139" s="23">
        <f>IF(LEFT(V139,8)="Revenue|",-N(F139),0)+IF(LEFT(W139,8)="Revenue|",-N(M139),0)+IF(LEFT(X139,8)="Revenue|",N(O139),0)+IF(LEFT(Y139,8)="Revenue|",N(P139),0)+IF(LEFT(Z139,8)="Revenue|",N(N139),0)</f>
        <v/>
      </c>
      <c r="AB139" s="23">
        <f>IF(LEFT(V139,5)="COGS|",N(F139),0)+IF(LEFT(W139,5)="COGS|",N(M139),0)+IF(LEFT(X139,5)="COGS|",-N(O139),0)+IF(LEFT(Y139,5)="COGS|",-N(P139),0)+IF(LEFT(Z139,5)="COGS|",-N(N139),0)</f>
        <v/>
      </c>
      <c r="AC139" s="23">
        <f>IF(LEFT(V139,8)="Expense|",N(F139),0)+IF(LEFT(W139,8)="Expense|",N(M139),0)+IF(LEFT(X139,8)="Expense|",-N(O139),0)+IF(LEFT(Y139,8)="Expense|",-N(P139),0)+IF(LEFT(Z139,8)="Expense|",-N(N139),0)</f>
        <v/>
      </c>
      <c r="AD139" s="23">
        <f>IF(ISNUMBER(MATCH(V139,{"Expense|employee","Expense|general_admin","Expense|marketing","Expense|utilities","Expense|other_operating"},0)),N(F139),0)+IF(ISNUMBER(MATCH(W139,{"Expense|employee","Expense|general_admin","Expense|marketing","Expense|utilities","Expense|other_operating"},0)),N(M139),0)+IF(ISNUMBER(MATCH(X139,{"Expense|employee","Expense|general_admin","Expense|marketing","Expense|utilities","Expense|other_operating"},0)),-N(O139),0)+IF(ISNUMBER(MATCH(Y139,{"Expense|employee","Expense|general_admin","Expense|marketing","Expense|utilities","Expense|other_operating"},0)),-N(P139),0)+IF(ISNUMBER(MATCH(Z139,{"Expense|employee","Expense|general_admin","Expense|marketing","Expense|utilities","Expense|other_operating"},0)),-N(N139),0)</f>
        <v/>
      </c>
      <c r="AE139" s="23">
        <f>IF(V139="Liability|payable",-N(F139),0)+IF(W139="Liability|payable",-N(M139),0)+IF(X139="Liability|payable",N(O139),0)+IF(Y139="Liability|payable",N(P139),0)+IF(Z139="Liability|payable",N(N139),0)</f>
        <v/>
      </c>
      <c r="AF139" s="23">
        <f>IF(V139="Liability|accrued",-N(F139),0)+IF(W139="Liability|accrued",-N(M139),0)+IF(X139="Liability|accrued",N(O139),0)+IF(Y139="Liability|accrued",N(P139),0)+IF(Z139="Liability|accrued",N(N139),0)</f>
        <v/>
      </c>
      <c r="AG139" s="23">
        <f>IF(AND(N(F139)&lt;&gt;0,V139=""),1,0)+IF(AND(N(M139)&lt;&gt;0,W139=""),1,0)+IF(AND(N(O139)&lt;&gt;0,X139=""),1,0)+IF(AND(N(P139)&lt;&gt;0,Y139=""),1,0)+IF(AND(N(N139)&lt;&gt;0,Z139=""),1,0)</f>
        <v/>
      </c>
    </row>
    <row r="140">
      <c r="A140" s="19" t="n"/>
      <c r="B140" s="14" t="n"/>
      <c r="C140" s="14" t="n"/>
      <c r="D140" s="14" t="n"/>
      <c r="E140" s="14" t="n"/>
      <c r="F140" s="20" t="n"/>
      <c r="G140" s="20" t="n"/>
      <c r="H140" s="14" t="n"/>
      <c r="I140" s="14" t="n"/>
      <c r="J140" s="14" t="n"/>
      <c r="K140" s="14" t="n"/>
      <c r="L140" s="14" t="n"/>
      <c r="M140" s="21">
        <f>ROUND(N(F140)*IFERROR(VLOOKUP(K140,'Tax Codes'!$A$5:$E$300,5,FALSE),0),2)</f>
        <v/>
      </c>
      <c r="N140" s="21">
        <f>ROUND(N(F140)*IFERROR(VLOOKUP(L140,'Tax Codes'!$A$5:$E$300,5,FALSE),0),2)</f>
        <v/>
      </c>
      <c r="O140" s="21">
        <f>IF(G140="",N(F140)+M140-N140,N(G140))</f>
        <v/>
      </c>
      <c r="P140" s="21">
        <f>N(F140)+M140-N140-O140</f>
        <v/>
      </c>
      <c r="Q140" s="16">
        <f>IF(C140="",INDEX('Chart of Accounts'!$A$5:$A$3000,MATCH("other_overhead",'Chart of Accounts'!$F$5:$F$3000,0)),C140&amp;"")</f>
        <v/>
      </c>
      <c r="R140" s="16">
        <f>IF(I140="",INDEX('Chart of Accounts'!$A$5:$A$3000,MATCH("bank",'Chart of Accounts'!$F$5:$F$3000,0)),I140&amp;"")</f>
        <v/>
      </c>
      <c r="S140" s="16">
        <f>IF(J140="",INDEX('Chart of Accounts'!$A$5:$A$3000,MATCH("ap",'Chart of Accounts'!$F$5:$F$3000,0)),J140&amp;"")</f>
        <v/>
      </c>
      <c r="T140" s="16">
        <f>INDEX('Chart of Accounts'!$A$5:$A$3000,MATCH("vat_input",'Chart of Accounts'!$F$5:$F$3000,0))</f>
        <v/>
      </c>
      <c r="U140" s="16">
        <f>INDEX('Chart of Accounts'!$A$5:$A$3000,MATCH("wht_payable",'Chart of Accounts'!$F$5:$F$3000,0))</f>
        <v/>
      </c>
      <c r="V140" s="23">
        <f>IFERROR(INDEX('Chart of Accounts'!$C$5:$C$3000,MATCH(Q140&amp;"",'Chart of Accounts'!$A$5:$A$3000,0))&amp;"|"&amp;INDEX('Chart of Accounts'!$D$5:$D$3000,MATCH(Q140&amp;"",'Chart of Accounts'!$A$5:$A$3000,0)),"")</f>
        <v/>
      </c>
      <c r="W140" s="23">
        <f>IFERROR(INDEX('Chart of Accounts'!$C$5:$C$3000,MATCH(T140&amp;"",'Chart of Accounts'!$A$5:$A$3000,0))&amp;"|"&amp;INDEX('Chart of Accounts'!$D$5:$D$3000,MATCH(T140&amp;"",'Chart of Accounts'!$A$5:$A$3000,0)),"")</f>
        <v/>
      </c>
      <c r="X140" s="23">
        <f>IFERROR(INDEX('Chart of Accounts'!$C$5:$C$3000,MATCH(R140&amp;"",'Chart of Accounts'!$A$5:$A$3000,0))&amp;"|"&amp;INDEX('Chart of Accounts'!$D$5:$D$3000,MATCH(R140&amp;"",'Chart of Accounts'!$A$5:$A$3000,0)),"")</f>
        <v/>
      </c>
      <c r="Y140" s="23">
        <f>IFERROR(INDEX('Chart of Accounts'!$C$5:$C$3000,MATCH(S140&amp;"",'Chart of Accounts'!$A$5:$A$3000,0))&amp;"|"&amp;INDEX('Chart of Accounts'!$D$5:$D$3000,MATCH(S140&amp;"",'Chart of Accounts'!$A$5:$A$3000,0)),"")</f>
        <v/>
      </c>
      <c r="Z140" s="23">
        <f>IFERROR(INDEX('Chart of Accounts'!$C$5:$C$3000,MATCH(U140&amp;"",'Chart of Accounts'!$A$5:$A$3000,0))&amp;"|"&amp;INDEX('Chart of Accounts'!$D$5:$D$3000,MATCH(U140&amp;"",'Chart of Accounts'!$A$5:$A$3000,0)),"")</f>
        <v/>
      </c>
      <c r="AA140" s="23">
        <f>IF(LEFT(V140,8)="Revenue|",-N(F140),0)+IF(LEFT(W140,8)="Revenue|",-N(M140),0)+IF(LEFT(X140,8)="Revenue|",N(O140),0)+IF(LEFT(Y140,8)="Revenue|",N(P140),0)+IF(LEFT(Z140,8)="Revenue|",N(N140),0)</f>
        <v/>
      </c>
      <c r="AB140" s="23">
        <f>IF(LEFT(V140,5)="COGS|",N(F140),0)+IF(LEFT(W140,5)="COGS|",N(M140),0)+IF(LEFT(X140,5)="COGS|",-N(O140),0)+IF(LEFT(Y140,5)="COGS|",-N(P140),0)+IF(LEFT(Z140,5)="COGS|",-N(N140),0)</f>
        <v/>
      </c>
      <c r="AC140" s="23">
        <f>IF(LEFT(V140,8)="Expense|",N(F140),0)+IF(LEFT(W140,8)="Expense|",N(M140),0)+IF(LEFT(X140,8)="Expense|",-N(O140),0)+IF(LEFT(Y140,8)="Expense|",-N(P140),0)+IF(LEFT(Z140,8)="Expense|",-N(N140),0)</f>
        <v/>
      </c>
      <c r="AD140" s="23">
        <f>IF(ISNUMBER(MATCH(V140,{"Expense|employee","Expense|general_admin","Expense|marketing","Expense|utilities","Expense|other_operating"},0)),N(F140),0)+IF(ISNUMBER(MATCH(W140,{"Expense|employee","Expense|general_admin","Expense|marketing","Expense|utilities","Expense|other_operating"},0)),N(M140),0)+IF(ISNUMBER(MATCH(X140,{"Expense|employee","Expense|general_admin","Expense|marketing","Expense|utilities","Expense|other_operating"},0)),-N(O140),0)+IF(ISNUMBER(MATCH(Y140,{"Expense|employee","Expense|general_admin","Expense|marketing","Expense|utilities","Expense|other_operating"},0)),-N(P140),0)+IF(ISNUMBER(MATCH(Z140,{"Expense|employee","Expense|general_admin","Expense|marketing","Expense|utilities","Expense|other_operating"},0)),-N(N140),0)</f>
        <v/>
      </c>
      <c r="AE140" s="23">
        <f>IF(V140="Liability|payable",-N(F140),0)+IF(W140="Liability|payable",-N(M140),0)+IF(X140="Liability|payable",N(O140),0)+IF(Y140="Liability|payable",N(P140),0)+IF(Z140="Liability|payable",N(N140),0)</f>
        <v/>
      </c>
      <c r="AF140" s="23">
        <f>IF(V140="Liability|accrued",-N(F140),0)+IF(W140="Liability|accrued",-N(M140),0)+IF(X140="Liability|accrued",N(O140),0)+IF(Y140="Liability|accrued",N(P140),0)+IF(Z140="Liability|accrued",N(N140),0)</f>
        <v/>
      </c>
      <c r="AG140" s="23">
        <f>IF(AND(N(F140)&lt;&gt;0,V140=""),1,0)+IF(AND(N(M140)&lt;&gt;0,W140=""),1,0)+IF(AND(N(O140)&lt;&gt;0,X140=""),1,0)+IF(AND(N(P140)&lt;&gt;0,Y140=""),1,0)+IF(AND(N(N140)&lt;&gt;0,Z140=""),1,0)</f>
        <v/>
      </c>
    </row>
    <row r="141">
      <c r="A141" s="19" t="n"/>
      <c r="B141" s="14" t="n"/>
      <c r="C141" s="14" t="n"/>
      <c r="D141" s="14" t="n"/>
      <c r="E141" s="14" t="n"/>
      <c r="F141" s="20" t="n"/>
      <c r="G141" s="20" t="n"/>
      <c r="H141" s="14" t="n"/>
      <c r="I141" s="14" t="n"/>
      <c r="J141" s="14" t="n"/>
      <c r="K141" s="14" t="n"/>
      <c r="L141" s="14" t="n"/>
      <c r="M141" s="21">
        <f>ROUND(N(F141)*IFERROR(VLOOKUP(K141,'Tax Codes'!$A$5:$E$300,5,FALSE),0),2)</f>
        <v/>
      </c>
      <c r="N141" s="21">
        <f>ROUND(N(F141)*IFERROR(VLOOKUP(L141,'Tax Codes'!$A$5:$E$300,5,FALSE),0),2)</f>
        <v/>
      </c>
      <c r="O141" s="21">
        <f>IF(G141="",N(F141)+M141-N141,N(G141))</f>
        <v/>
      </c>
      <c r="P141" s="21">
        <f>N(F141)+M141-N141-O141</f>
        <v/>
      </c>
      <c r="Q141" s="16">
        <f>IF(C141="",INDEX('Chart of Accounts'!$A$5:$A$3000,MATCH("other_overhead",'Chart of Accounts'!$F$5:$F$3000,0)),C141&amp;"")</f>
        <v/>
      </c>
      <c r="R141" s="16">
        <f>IF(I141="",INDEX('Chart of Accounts'!$A$5:$A$3000,MATCH("bank",'Chart of Accounts'!$F$5:$F$3000,0)),I141&amp;"")</f>
        <v/>
      </c>
      <c r="S141" s="16">
        <f>IF(J141="",INDEX('Chart of Accounts'!$A$5:$A$3000,MATCH("ap",'Chart of Accounts'!$F$5:$F$3000,0)),J141&amp;"")</f>
        <v/>
      </c>
      <c r="T141" s="16">
        <f>INDEX('Chart of Accounts'!$A$5:$A$3000,MATCH("vat_input",'Chart of Accounts'!$F$5:$F$3000,0))</f>
        <v/>
      </c>
      <c r="U141" s="16">
        <f>INDEX('Chart of Accounts'!$A$5:$A$3000,MATCH("wht_payable",'Chart of Accounts'!$F$5:$F$3000,0))</f>
        <v/>
      </c>
      <c r="V141" s="23">
        <f>IFERROR(INDEX('Chart of Accounts'!$C$5:$C$3000,MATCH(Q141&amp;"",'Chart of Accounts'!$A$5:$A$3000,0))&amp;"|"&amp;INDEX('Chart of Accounts'!$D$5:$D$3000,MATCH(Q141&amp;"",'Chart of Accounts'!$A$5:$A$3000,0)),"")</f>
        <v/>
      </c>
      <c r="W141" s="23">
        <f>IFERROR(INDEX('Chart of Accounts'!$C$5:$C$3000,MATCH(T141&amp;"",'Chart of Accounts'!$A$5:$A$3000,0))&amp;"|"&amp;INDEX('Chart of Accounts'!$D$5:$D$3000,MATCH(T141&amp;"",'Chart of Accounts'!$A$5:$A$3000,0)),"")</f>
        <v/>
      </c>
      <c r="X141" s="23">
        <f>IFERROR(INDEX('Chart of Accounts'!$C$5:$C$3000,MATCH(R141&amp;"",'Chart of Accounts'!$A$5:$A$3000,0))&amp;"|"&amp;INDEX('Chart of Accounts'!$D$5:$D$3000,MATCH(R141&amp;"",'Chart of Accounts'!$A$5:$A$3000,0)),"")</f>
        <v/>
      </c>
      <c r="Y141" s="23">
        <f>IFERROR(INDEX('Chart of Accounts'!$C$5:$C$3000,MATCH(S141&amp;"",'Chart of Accounts'!$A$5:$A$3000,0))&amp;"|"&amp;INDEX('Chart of Accounts'!$D$5:$D$3000,MATCH(S141&amp;"",'Chart of Accounts'!$A$5:$A$3000,0)),"")</f>
        <v/>
      </c>
      <c r="Z141" s="23">
        <f>IFERROR(INDEX('Chart of Accounts'!$C$5:$C$3000,MATCH(U141&amp;"",'Chart of Accounts'!$A$5:$A$3000,0))&amp;"|"&amp;INDEX('Chart of Accounts'!$D$5:$D$3000,MATCH(U141&amp;"",'Chart of Accounts'!$A$5:$A$3000,0)),"")</f>
        <v/>
      </c>
      <c r="AA141" s="23">
        <f>IF(LEFT(V141,8)="Revenue|",-N(F141),0)+IF(LEFT(W141,8)="Revenue|",-N(M141),0)+IF(LEFT(X141,8)="Revenue|",N(O141),0)+IF(LEFT(Y141,8)="Revenue|",N(P141),0)+IF(LEFT(Z141,8)="Revenue|",N(N141),0)</f>
        <v/>
      </c>
      <c r="AB141" s="23">
        <f>IF(LEFT(V141,5)="COGS|",N(F141),0)+IF(LEFT(W141,5)="COGS|",N(M141),0)+IF(LEFT(X141,5)="COGS|",-N(O141),0)+IF(LEFT(Y141,5)="COGS|",-N(P141),0)+IF(LEFT(Z141,5)="COGS|",-N(N141),0)</f>
        <v/>
      </c>
      <c r="AC141" s="23">
        <f>IF(LEFT(V141,8)="Expense|",N(F141),0)+IF(LEFT(W141,8)="Expense|",N(M141),0)+IF(LEFT(X141,8)="Expense|",-N(O141),0)+IF(LEFT(Y141,8)="Expense|",-N(P141),0)+IF(LEFT(Z141,8)="Expense|",-N(N141),0)</f>
        <v/>
      </c>
      <c r="AD141" s="23">
        <f>IF(ISNUMBER(MATCH(V141,{"Expense|employee","Expense|general_admin","Expense|marketing","Expense|utilities","Expense|other_operating"},0)),N(F141),0)+IF(ISNUMBER(MATCH(W141,{"Expense|employee","Expense|general_admin","Expense|marketing","Expense|utilities","Expense|other_operating"},0)),N(M141),0)+IF(ISNUMBER(MATCH(X141,{"Expense|employee","Expense|general_admin","Expense|marketing","Expense|utilities","Expense|other_operating"},0)),-N(O141),0)+IF(ISNUMBER(MATCH(Y141,{"Expense|employee","Expense|general_admin","Expense|marketing","Expense|utilities","Expense|other_operating"},0)),-N(P141),0)+IF(ISNUMBER(MATCH(Z141,{"Expense|employee","Expense|general_admin","Expense|marketing","Expense|utilities","Expense|other_operating"},0)),-N(N141),0)</f>
        <v/>
      </c>
      <c r="AE141" s="23">
        <f>IF(V141="Liability|payable",-N(F141),0)+IF(W141="Liability|payable",-N(M141),0)+IF(X141="Liability|payable",N(O141),0)+IF(Y141="Liability|payable",N(P141),0)+IF(Z141="Liability|payable",N(N141),0)</f>
        <v/>
      </c>
      <c r="AF141" s="23">
        <f>IF(V141="Liability|accrued",-N(F141),0)+IF(W141="Liability|accrued",-N(M141),0)+IF(X141="Liability|accrued",N(O141),0)+IF(Y141="Liability|accrued",N(P141),0)+IF(Z141="Liability|accrued",N(N141),0)</f>
        <v/>
      </c>
      <c r="AG141" s="23">
        <f>IF(AND(N(F141)&lt;&gt;0,V141=""),1,0)+IF(AND(N(M141)&lt;&gt;0,W141=""),1,0)+IF(AND(N(O141)&lt;&gt;0,X141=""),1,0)+IF(AND(N(P141)&lt;&gt;0,Y141=""),1,0)+IF(AND(N(N141)&lt;&gt;0,Z141=""),1,0)</f>
        <v/>
      </c>
    </row>
    <row r="142">
      <c r="A142" s="19" t="n"/>
      <c r="B142" s="14" t="n"/>
      <c r="C142" s="14" t="n"/>
      <c r="D142" s="14" t="n"/>
      <c r="E142" s="14" t="n"/>
      <c r="F142" s="20" t="n"/>
      <c r="G142" s="20" t="n"/>
      <c r="H142" s="14" t="n"/>
      <c r="I142" s="14" t="n"/>
      <c r="J142" s="14" t="n"/>
      <c r="K142" s="14" t="n"/>
      <c r="L142" s="14" t="n"/>
      <c r="M142" s="21">
        <f>ROUND(N(F142)*IFERROR(VLOOKUP(K142,'Tax Codes'!$A$5:$E$300,5,FALSE),0),2)</f>
        <v/>
      </c>
      <c r="N142" s="21">
        <f>ROUND(N(F142)*IFERROR(VLOOKUP(L142,'Tax Codes'!$A$5:$E$300,5,FALSE),0),2)</f>
        <v/>
      </c>
      <c r="O142" s="21">
        <f>IF(G142="",N(F142)+M142-N142,N(G142))</f>
        <v/>
      </c>
      <c r="P142" s="21">
        <f>N(F142)+M142-N142-O142</f>
        <v/>
      </c>
      <c r="Q142" s="16">
        <f>IF(C142="",INDEX('Chart of Accounts'!$A$5:$A$3000,MATCH("other_overhead",'Chart of Accounts'!$F$5:$F$3000,0)),C142&amp;"")</f>
        <v/>
      </c>
      <c r="R142" s="16">
        <f>IF(I142="",INDEX('Chart of Accounts'!$A$5:$A$3000,MATCH("bank",'Chart of Accounts'!$F$5:$F$3000,0)),I142&amp;"")</f>
        <v/>
      </c>
      <c r="S142" s="16">
        <f>IF(J142="",INDEX('Chart of Accounts'!$A$5:$A$3000,MATCH("ap",'Chart of Accounts'!$F$5:$F$3000,0)),J142&amp;"")</f>
        <v/>
      </c>
      <c r="T142" s="16">
        <f>INDEX('Chart of Accounts'!$A$5:$A$3000,MATCH("vat_input",'Chart of Accounts'!$F$5:$F$3000,0))</f>
        <v/>
      </c>
      <c r="U142" s="16">
        <f>INDEX('Chart of Accounts'!$A$5:$A$3000,MATCH("wht_payable",'Chart of Accounts'!$F$5:$F$3000,0))</f>
        <v/>
      </c>
      <c r="V142" s="23">
        <f>IFERROR(INDEX('Chart of Accounts'!$C$5:$C$3000,MATCH(Q142&amp;"",'Chart of Accounts'!$A$5:$A$3000,0))&amp;"|"&amp;INDEX('Chart of Accounts'!$D$5:$D$3000,MATCH(Q142&amp;"",'Chart of Accounts'!$A$5:$A$3000,0)),"")</f>
        <v/>
      </c>
      <c r="W142" s="23">
        <f>IFERROR(INDEX('Chart of Accounts'!$C$5:$C$3000,MATCH(T142&amp;"",'Chart of Accounts'!$A$5:$A$3000,0))&amp;"|"&amp;INDEX('Chart of Accounts'!$D$5:$D$3000,MATCH(T142&amp;"",'Chart of Accounts'!$A$5:$A$3000,0)),"")</f>
        <v/>
      </c>
      <c r="X142" s="23">
        <f>IFERROR(INDEX('Chart of Accounts'!$C$5:$C$3000,MATCH(R142&amp;"",'Chart of Accounts'!$A$5:$A$3000,0))&amp;"|"&amp;INDEX('Chart of Accounts'!$D$5:$D$3000,MATCH(R142&amp;"",'Chart of Accounts'!$A$5:$A$3000,0)),"")</f>
        <v/>
      </c>
      <c r="Y142" s="23">
        <f>IFERROR(INDEX('Chart of Accounts'!$C$5:$C$3000,MATCH(S142&amp;"",'Chart of Accounts'!$A$5:$A$3000,0))&amp;"|"&amp;INDEX('Chart of Accounts'!$D$5:$D$3000,MATCH(S142&amp;"",'Chart of Accounts'!$A$5:$A$3000,0)),"")</f>
        <v/>
      </c>
      <c r="Z142" s="23">
        <f>IFERROR(INDEX('Chart of Accounts'!$C$5:$C$3000,MATCH(U142&amp;"",'Chart of Accounts'!$A$5:$A$3000,0))&amp;"|"&amp;INDEX('Chart of Accounts'!$D$5:$D$3000,MATCH(U142&amp;"",'Chart of Accounts'!$A$5:$A$3000,0)),"")</f>
        <v/>
      </c>
      <c r="AA142" s="23">
        <f>IF(LEFT(V142,8)="Revenue|",-N(F142),0)+IF(LEFT(W142,8)="Revenue|",-N(M142),0)+IF(LEFT(X142,8)="Revenue|",N(O142),0)+IF(LEFT(Y142,8)="Revenue|",N(P142),0)+IF(LEFT(Z142,8)="Revenue|",N(N142),0)</f>
        <v/>
      </c>
      <c r="AB142" s="23">
        <f>IF(LEFT(V142,5)="COGS|",N(F142),0)+IF(LEFT(W142,5)="COGS|",N(M142),0)+IF(LEFT(X142,5)="COGS|",-N(O142),0)+IF(LEFT(Y142,5)="COGS|",-N(P142),0)+IF(LEFT(Z142,5)="COGS|",-N(N142),0)</f>
        <v/>
      </c>
      <c r="AC142" s="23">
        <f>IF(LEFT(V142,8)="Expense|",N(F142),0)+IF(LEFT(W142,8)="Expense|",N(M142),0)+IF(LEFT(X142,8)="Expense|",-N(O142),0)+IF(LEFT(Y142,8)="Expense|",-N(P142),0)+IF(LEFT(Z142,8)="Expense|",-N(N142),0)</f>
        <v/>
      </c>
      <c r="AD142" s="23">
        <f>IF(ISNUMBER(MATCH(V142,{"Expense|employee","Expense|general_admin","Expense|marketing","Expense|utilities","Expense|other_operating"},0)),N(F142),0)+IF(ISNUMBER(MATCH(W142,{"Expense|employee","Expense|general_admin","Expense|marketing","Expense|utilities","Expense|other_operating"},0)),N(M142),0)+IF(ISNUMBER(MATCH(X142,{"Expense|employee","Expense|general_admin","Expense|marketing","Expense|utilities","Expense|other_operating"},0)),-N(O142),0)+IF(ISNUMBER(MATCH(Y142,{"Expense|employee","Expense|general_admin","Expense|marketing","Expense|utilities","Expense|other_operating"},0)),-N(P142),0)+IF(ISNUMBER(MATCH(Z142,{"Expense|employee","Expense|general_admin","Expense|marketing","Expense|utilities","Expense|other_operating"},0)),-N(N142),0)</f>
        <v/>
      </c>
      <c r="AE142" s="23">
        <f>IF(V142="Liability|payable",-N(F142),0)+IF(W142="Liability|payable",-N(M142),0)+IF(X142="Liability|payable",N(O142),0)+IF(Y142="Liability|payable",N(P142),0)+IF(Z142="Liability|payable",N(N142),0)</f>
        <v/>
      </c>
      <c r="AF142" s="23">
        <f>IF(V142="Liability|accrued",-N(F142),0)+IF(W142="Liability|accrued",-N(M142),0)+IF(X142="Liability|accrued",N(O142),0)+IF(Y142="Liability|accrued",N(P142),0)+IF(Z142="Liability|accrued",N(N142),0)</f>
        <v/>
      </c>
      <c r="AG142" s="23">
        <f>IF(AND(N(F142)&lt;&gt;0,V142=""),1,0)+IF(AND(N(M142)&lt;&gt;0,W142=""),1,0)+IF(AND(N(O142)&lt;&gt;0,X142=""),1,0)+IF(AND(N(P142)&lt;&gt;0,Y142=""),1,0)+IF(AND(N(N142)&lt;&gt;0,Z142=""),1,0)</f>
        <v/>
      </c>
    </row>
    <row r="143">
      <c r="A143" s="19" t="n"/>
      <c r="B143" s="14" t="n"/>
      <c r="C143" s="14" t="n"/>
      <c r="D143" s="14" t="n"/>
      <c r="E143" s="14" t="n"/>
      <c r="F143" s="20" t="n"/>
      <c r="G143" s="20" t="n"/>
      <c r="H143" s="14" t="n"/>
      <c r="I143" s="14" t="n"/>
      <c r="J143" s="14" t="n"/>
      <c r="K143" s="14" t="n"/>
      <c r="L143" s="14" t="n"/>
      <c r="M143" s="21">
        <f>ROUND(N(F143)*IFERROR(VLOOKUP(K143,'Tax Codes'!$A$5:$E$300,5,FALSE),0),2)</f>
        <v/>
      </c>
      <c r="N143" s="21">
        <f>ROUND(N(F143)*IFERROR(VLOOKUP(L143,'Tax Codes'!$A$5:$E$300,5,FALSE),0),2)</f>
        <v/>
      </c>
      <c r="O143" s="21">
        <f>IF(G143="",N(F143)+M143-N143,N(G143))</f>
        <v/>
      </c>
      <c r="P143" s="21">
        <f>N(F143)+M143-N143-O143</f>
        <v/>
      </c>
      <c r="Q143" s="16">
        <f>IF(C143="",INDEX('Chart of Accounts'!$A$5:$A$3000,MATCH("other_overhead",'Chart of Accounts'!$F$5:$F$3000,0)),C143&amp;"")</f>
        <v/>
      </c>
      <c r="R143" s="16">
        <f>IF(I143="",INDEX('Chart of Accounts'!$A$5:$A$3000,MATCH("bank",'Chart of Accounts'!$F$5:$F$3000,0)),I143&amp;"")</f>
        <v/>
      </c>
      <c r="S143" s="16">
        <f>IF(J143="",INDEX('Chart of Accounts'!$A$5:$A$3000,MATCH("ap",'Chart of Accounts'!$F$5:$F$3000,0)),J143&amp;"")</f>
        <v/>
      </c>
      <c r="T143" s="16">
        <f>INDEX('Chart of Accounts'!$A$5:$A$3000,MATCH("vat_input",'Chart of Accounts'!$F$5:$F$3000,0))</f>
        <v/>
      </c>
      <c r="U143" s="16">
        <f>INDEX('Chart of Accounts'!$A$5:$A$3000,MATCH("wht_payable",'Chart of Accounts'!$F$5:$F$3000,0))</f>
        <v/>
      </c>
      <c r="V143" s="23">
        <f>IFERROR(INDEX('Chart of Accounts'!$C$5:$C$3000,MATCH(Q143&amp;"",'Chart of Accounts'!$A$5:$A$3000,0))&amp;"|"&amp;INDEX('Chart of Accounts'!$D$5:$D$3000,MATCH(Q143&amp;"",'Chart of Accounts'!$A$5:$A$3000,0)),"")</f>
        <v/>
      </c>
      <c r="W143" s="23">
        <f>IFERROR(INDEX('Chart of Accounts'!$C$5:$C$3000,MATCH(T143&amp;"",'Chart of Accounts'!$A$5:$A$3000,0))&amp;"|"&amp;INDEX('Chart of Accounts'!$D$5:$D$3000,MATCH(T143&amp;"",'Chart of Accounts'!$A$5:$A$3000,0)),"")</f>
        <v/>
      </c>
      <c r="X143" s="23">
        <f>IFERROR(INDEX('Chart of Accounts'!$C$5:$C$3000,MATCH(R143&amp;"",'Chart of Accounts'!$A$5:$A$3000,0))&amp;"|"&amp;INDEX('Chart of Accounts'!$D$5:$D$3000,MATCH(R143&amp;"",'Chart of Accounts'!$A$5:$A$3000,0)),"")</f>
        <v/>
      </c>
      <c r="Y143" s="23">
        <f>IFERROR(INDEX('Chart of Accounts'!$C$5:$C$3000,MATCH(S143&amp;"",'Chart of Accounts'!$A$5:$A$3000,0))&amp;"|"&amp;INDEX('Chart of Accounts'!$D$5:$D$3000,MATCH(S143&amp;"",'Chart of Accounts'!$A$5:$A$3000,0)),"")</f>
        <v/>
      </c>
      <c r="Z143" s="23">
        <f>IFERROR(INDEX('Chart of Accounts'!$C$5:$C$3000,MATCH(U143&amp;"",'Chart of Accounts'!$A$5:$A$3000,0))&amp;"|"&amp;INDEX('Chart of Accounts'!$D$5:$D$3000,MATCH(U143&amp;"",'Chart of Accounts'!$A$5:$A$3000,0)),"")</f>
        <v/>
      </c>
      <c r="AA143" s="23">
        <f>IF(LEFT(V143,8)="Revenue|",-N(F143),0)+IF(LEFT(W143,8)="Revenue|",-N(M143),0)+IF(LEFT(X143,8)="Revenue|",N(O143),0)+IF(LEFT(Y143,8)="Revenue|",N(P143),0)+IF(LEFT(Z143,8)="Revenue|",N(N143),0)</f>
        <v/>
      </c>
      <c r="AB143" s="23">
        <f>IF(LEFT(V143,5)="COGS|",N(F143),0)+IF(LEFT(W143,5)="COGS|",N(M143),0)+IF(LEFT(X143,5)="COGS|",-N(O143),0)+IF(LEFT(Y143,5)="COGS|",-N(P143),0)+IF(LEFT(Z143,5)="COGS|",-N(N143),0)</f>
        <v/>
      </c>
      <c r="AC143" s="23">
        <f>IF(LEFT(V143,8)="Expense|",N(F143),0)+IF(LEFT(W143,8)="Expense|",N(M143),0)+IF(LEFT(X143,8)="Expense|",-N(O143),0)+IF(LEFT(Y143,8)="Expense|",-N(P143),0)+IF(LEFT(Z143,8)="Expense|",-N(N143),0)</f>
        <v/>
      </c>
      <c r="AD143" s="23">
        <f>IF(ISNUMBER(MATCH(V143,{"Expense|employee","Expense|general_admin","Expense|marketing","Expense|utilities","Expense|other_operating"},0)),N(F143),0)+IF(ISNUMBER(MATCH(W143,{"Expense|employee","Expense|general_admin","Expense|marketing","Expense|utilities","Expense|other_operating"},0)),N(M143),0)+IF(ISNUMBER(MATCH(X143,{"Expense|employee","Expense|general_admin","Expense|marketing","Expense|utilities","Expense|other_operating"},0)),-N(O143),0)+IF(ISNUMBER(MATCH(Y143,{"Expense|employee","Expense|general_admin","Expense|marketing","Expense|utilities","Expense|other_operating"},0)),-N(P143),0)+IF(ISNUMBER(MATCH(Z143,{"Expense|employee","Expense|general_admin","Expense|marketing","Expense|utilities","Expense|other_operating"},0)),-N(N143),0)</f>
        <v/>
      </c>
      <c r="AE143" s="23">
        <f>IF(V143="Liability|payable",-N(F143),0)+IF(W143="Liability|payable",-N(M143),0)+IF(X143="Liability|payable",N(O143),0)+IF(Y143="Liability|payable",N(P143),0)+IF(Z143="Liability|payable",N(N143),0)</f>
        <v/>
      </c>
      <c r="AF143" s="23">
        <f>IF(V143="Liability|accrued",-N(F143),0)+IF(W143="Liability|accrued",-N(M143),0)+IF(X143="Liability|accrued",N(O143),0)+IF(Y143="Liability|accrued",N(P143),0)+IF(Z143="Liability|accrued",N(N143),0)</f>
        <v/>
      </c>
      <c r="AG143" s="23">
        <f>IF(AND(N(F143)&lt;&gt;0,V143=""),1,0)+IF(AND(N(M143)&lt;&gt;0,W143=""),1,0)+IF(AND(N(O143)&lt;&gt;0,X143=""),1,0)+IF(AND(N(P143)&lt;&gt;0,Y143=""),1,0)+IF(AND(N(N143)&lt;&gt;0,Z143=""),1,0)</f>
        <v/>
      </c>
    </row>
    <row r="144">
      <c r="A144" s="19" t="n"/>
      <c r="B144" s="14" t="n"/>
      <c r="C144" s="14" t="n"/>
      <c r="D144" s="14" t="n"/>
      <c r="E144" s="14" t="n"/>
      <c r="F144" s="20" t="n"/>
      <c r="G144" s="20" t="n"/>
      <c r="H144" s="14" t="n"/>
      <c r="I144" s="14" t="n"/>
      <c r="J144" s="14" t="n"/>
      <c r="K144" s="14" t="n"/>
      <c r="L144" s="14" t="n"/>
      <c r="M144" s="21">
        <f>ROUND(N(F144)*IFERROR(VLOOKUP(K144,'Tax Codes'!$A$5:$E$300,5,FALSE),0),2)</f>
        <v/>
      </c>
      <c r="N144" s="21">
        <f>ROUND(N(F144)*IFERROR(VLOOKUP(L144,'Tax Codes'!$A$5:$E$300,5,FALSE),0),2)</f>
        <v/>
      </c>
      <c r="O144" s="21">
        <f>IF(G144="",N(F144)+M144-N144,N(G144))</f>
        <v/>
      </c>
      <c r="P144" s="21">
        <f>N(F144)+M144-N144-O144</f>
        <v/>
      </c>
      <c r="Q144" s="16">
        <f>IF(C144="",INDEX('Chart of Accounts'!$A$5:$A$3000,MATCH("other_overhead",'Chart of Accounts'!$F$5:$F$3000,0)),C144&amp;"")</f>
        <v/>
      </c>
      <c r="R144" s="16">
        <f>IF(I144="",INDEX('Chart of Accounts'!$A$5:$A$3000,MATCH("bank",'Chart of Accounts'!$F$5:$F$3000,0)),I144&amp;"")</f>
        <v/>
      </c>
      <c r="S144" s="16">
        <f>IF(J144="",INDEX('Chart of Accounts'!$A$5:$A$3000,MATCH("ap",'Chart of Accounts'!$F$5:$F$3000,0)),J144&amp;"")</f>
        <v/>
      </c>
      <c r="T144" s="16">
        <f>INDEX('Chart of Accounts'!$A$5:$A$3000,MATCH("vat_input",'Chart of Accounts'!$F$5:$F$3000,0))</f>
        <v/>
      </c>
      <c r="U144" s="16">
        <f>INDEX('Chart of Accounts'!$A$5:$A$3000,MATCH("wht_payable",'Chart of Accounts'!$F$5:$F$3000,0))</f>
        <v/>
      </c>
      <c r="V144" s="23">
        <f>IFERROR(INDEX('Chart of Accounts'!$C$5:$C$3000,MATCH(Q144&amp;"",'Chart of Accounts'!$A$5:$A$3000,0))&amp;"|"&amp;INDEX('Chart of Accounts'!$D$5:$D$3000,MATCH(Q144&amp;"",'Chart of Accounts'!$A$5:$A$3000,0)),"")</f>
        <v/>
      </c>
      <c r="W144" s="23">
        <f>IFERROR(INDEX('Chart of Accounts'!$C$5:$C$3000,MATCH(T144&amp;"",'Chart of Accounts'!$A$5:$A$3000,0))&amp;"|"&amp;INDEX('Chart of Accounts'!$D$5:$D$3000,MATCH(T144&amp;"",'Chart of Accounts'!$A$5:$A$3000,0)),"")</f>
        <v/>
      </c>
      <c r="X144" s="23">
        <f>IFERROR(INDEX('Chart of Accounts'!$C$5:$C$3000,MATCH(R144&amp;"",'Chart of Accounts'!$A$5:$A$3000,0))&amp;"|"&amp;INDEX('Chart of Accounts'!$D$5:$D$3000,MATCH(R144&amp;"",'Chart of Accounts'!$A$5:$A$3000,0)),"")</f>
        <v/>
      </c>
      <c r="Y144" s="23">
        <f>IFERROR(INDEX('Chart of Accounts'!$C$5:$C$3000,MATCH(S144&amp;"",'Chart of Accounts'!$A$5:$A$3000,0))&amp;"|"&amp;INDEX('Chart of Accounts'!$D$5:$D$3000,MATCH(S144&amp;"",'Chart of Accounts'!$A$5:$A$3000,0)),"")</f>
        <v/>
      </c>
      <c r="Z144" s="23">
        <f>IFERROR(INDEX('Chart of Accounts'!$C$5:$C$3000,MATCH(U144&amp;"",'Chart of Accounts'!$A$5:$A$3000,0))&amp;"|"&amp;INDEX('Chart of Accounts'!$D$5:$D$3000,MATCH(U144&amp;"",'Chart of Accounts'!$A$5:$A$3000,0)),"")</f>
        <v/>
      </c>
      <c r="AA144" s="23">
        <f>IF(LEFT(V144,8)="Revenue|",-N(F144),0)+IF(LEFT(W144,8)="Revenue|",-N(M144),0)+IF(LEFT(X144,8)="Revenue|",N(O144),0)+IF(LEFT(Y144,8)="Revenue|",N(P144),0)+IF(LEFT(Z144,8)="Revenue|",N(N144),0)</f>
        <v/>
      </c>
      <c r="AB144" s="23">
        <f>IF(LEFT(V144,5)="COGS|",N(F144),0)+IF(LEFT(W144,5)="COGS|",N(M144),0)+IF(LEFT(X144,5)="COGS|",-N(O144),0)+IF(LEFT(Y144,5)="COGS|",-N(P144),0)+IF(LEFT(Z144,5)="COGS|",-N(N144),0)</f>
        <v/>
      </c>
      <c r="AC144" s="23">
        <f>IF(LEFT(V144,8)="Expense|",N(F144),0)+IF(LEFT(W144,8)="Expense|",N(M144),0)+IF(LEFT(X144,8)="Expense|",-N(O144),0)+IF(LEFT(Y144,8)="Expense|",-N(P144),0)+IF(LEFT(Z144,8)="Expense|",-N(N144),0)</f>
        <v/>
      </c>
      <c r="AD144" s="23">
        <f>IF(ISNUMBER(MATCH(V144,{"Expense|employee","Expense|general_admin","Expense|marketing","Expense|utilities","Expense|other_operating"},0)),N(F144),0)+IF(ISNUMBER(MATCH(W144,{"Expense|employee","Expense|general_admin","Expense|marketing","Expense|utilities","Expense|other_operating"},0)),N(M144),0)+IF(ISNUMBER(MATCH(X144,{"Expense|employee","Expense|general_admin","Expense|marketing","Expense|utilities","Expense|other_operating"},0)),-N(O144),0)+IF(ISNUMBER(MATCH(Y144,{"Expense|employee","Expense|general_admin","Expense|marketing","Expense|utilities","Expense|other_operating"},0)),-N(P144),0)+IF(ISNUMBER(MATCH(Z144,{"Expense|employee","Expense|general_admin","Expense|marketing","Expense|utilities","Expense|other_operating"},0)),-N(N144),0)</f>
        <v/>
      </c>
      <c r="AE144" s="23">
        <f>IF(V144="Liability|payable",-N(F144),0)+IF(W144="Liability|payable",-N(M144),0)+IF(X144="Liability|payable",N(O144),0)+IF(Y144="Liability|payable",N(P144),0)+IF(Z144="Liability|payable",N(N144),0)</f>
        <v/>
      </c>
      <c r="AF144" s="23">
        <f>IF(V144="Liability|accrued",-N(F144),0)+IF(W144="Liability|accrued",-N(M144),0)+IF(X144="Liability|accrued",N(O144),0)+IF(Y144="Liability|accrued",N(P144),0)+IF(Z144="Liability|accrued",N(N144),0)</f>
        <v/>
      </c>
      <c r="AG144" s="23">
        <f>IF(AND(N(F144)&lt;&gt;0,V144=""),1,0)+IF(AND(N(M144)&lt;&gt;0,W144=""),1,0)+IF(AND(N(O144)&lt;&gt;0,X144=""),1,0)+IF(AND(N(P144)&lt;&gt;0,Y144=""),1,0)+IF(AND(N(N144)&lt;&gt;0,Z144=""),1,0)</f>
        <v/>
      </c>
    </row>
    <row r="145">
      <c r="A145" s="19" t="n"/>
      <c r="B145" s="14" t="n"/>
      <c r="C145" s="14" t="n"/>
      <c r="D145" s="14" t="n"/>
      <c r="E145" s="14" t="n"/>
      <c r="F145" s="20" t="n"/>
      <c r="G145" s="20" t="n"/>
      <c r="H145" s="14" t="n"/>
      <c r="I145" s="14" t="n"/>
      <c r="J145" s="14" t="n"/>
      <c r="K145" s="14" t="n"/>
      <c r="L145" s="14" t="n"/>
      <c r="M145" s="21">
        <f>ROUND(N(F145)*IFERROR(VLOOKUP(K145,'Tax Codes'!$A$5:$E$300,5,FALSE),0),2)</f>
        <v/>
      </c>
      <c r="N145" s="21">
        <f>ROUND(N(F145)*IFERROR(VLOOKUP(L145,'Tax Codes'!$A$5:$E$300,5,FALSE),0),2)</f>
        <v/>
      </c>
      <c r="O145" s="21">
        <f>IF(G145="",N(F145)+M145-N145,N(G145))</f>
        <v/>
      </c>
      <c r="P145" s="21">
        <f>N(F145)+M145-N145-O145</f>
        <v/>
      </c>
      <c r="Q145" s="16">
        <f>IF(C145="",INDEX('Chart of Accounts'!$A$5:$A$3000,MATCH("other_overhead",'Chart of Accounts'!$F$5:$F$3000,0)),C145&amp;"")</f>
        <v/>
      </c>
      <c r="R145" s="16">
        <f>IF(I145="",INDEX('Chart of Accounts'!$A$5:$A$3000,MATCH("bank",'Chart of Accounts'!$F$5:$F$3000,0)),I145&amp;"")</f>
        <v/>
      </c>
      <c r="S145" s="16">
        <f>IF(J145="",INDEX('Chart of Accounts'!$A$5:$A$3000,MATCH("ap",'Chart of Accounts'!$F$5:$F$3000,0)),J145&amp;"")</f>
        <v/>
      </c>
      <c r="T145" s="16">
        <f>INDEX('Chart of Accounts'!$A$5:$A$3000,MATCH("vat_input",'Chart of Accounts'!$F$5:$F$3000,0))</f>
        <v/>
      </c>
      <c r="U145" s="16">
        <f>INDEX('Chart of Accounts'!$A$5:$A$3000,MATCH("wht_payable",'Chart of Accounts'!$F$5:$F$3000,0))</f>
        <v/>
      </c>
      <c r="V145" s="23">
        <f>IFERROR(INDEX('Chart of Accounts'!$C$5:$C$3000,MATCH(Q145&amp;"",'Chart of Accounts'!$A$5:$A$3000,0))&amp;"|"&amp;INDEX('Chart of Accounts'!$D$5:$D$3000,MATCH(Q145&amp;"",'Chart of Accounts'!$A$5:$A$3000,0)),"")</f>
        <v/>
      </c>
      <c r="W145" s="23">
        <f>IFERROR(INDEX('Chart of Accounts'!$C$5:$C$3000,MATCH(T145&amp;"",'Chart of Accounts'!$A$5:$A$3000,0))&amp;"|"&amp;INDEX('Chart of Accounts'!$D$5:$D$3000,MATCH(T145&amp;"",'Chart of Accounts'!$A$5:$A$3000,0)),"")</f>
        <v/>
      </c>
      <c r="X145" s="23">
        <f>IFERROR(INDEX('Chart of Accounts'!$C$5:$C$3000,MATCH(R145&amp;"",'Chart of Accounts'!$A$5:$A$3000,0))&amp;"|"&amp;INDEX('Chart of Accounts'!$D$5:$D$3000,MATCH(R145&amp;"",'Chart of Accounts'!$A$5:$A$3000,0)),"")</f>
        <v/>
      </c>
      <c r="Y145" s="23">
        <f>IFERROR(INDEX('Chart of Accounts'!$C$5:$C$3000,MATCH(S145&amp;"",'Chart of Accounts'!$A$5:$A$3000,0))&amp;"|"&amp;INDEX('Chart of Accounts'!$D$5:$D$3000,MATCH(S145&amp;"",'Chart of Accounts'!$A$5:$A$3000,0)),"")</f>
        <v/>
      </c>
      <c r="Z145" s="23">
        <f>IFERROR(INDEX('Chart of Accounts'!$C$5:$C$3000,MATCH(U145&amp;"",'Chart of Accounts'!$A$5:$A$3000,0))&amp;"|"&amp;INDEX('Chart of Accounts'!$D$5:$D$3000,MATCH(U145&amp;"",'Chart of Accounts'!$A$5:$A$3000,0)),"")</f>
        <v/>
      </c>
      <c r="AA145" s="23">
        <f>IF(LEFT(V145,8)="Revenue|",-N(F145),0)+IF(LEFT(W145,8)="Revenue|",-N(M145),0)+IF(LEFT(X145,8)="Revenue|",N(O145),0)+IF(LEFT(Y145,8)="Revenue|",N(P145),0)+IF(LEFT(Z145,8)="Revenue|",N(N145),0)</f>
        <v/>
      </c>
      <c r="AB145" s="23">
        <f>IF(LEFT(V145,5)="COGS|",N(F145),0)+IF(LEFT(W145,5)="COGS|",N(M145),0)+IF(LEFT(X145,5)="COGS|",-N(O145),0)+IF(LEFT(Y145,5)="COGS|",-N(P145),0)+IF(LEFT(Z145,5)="COGS|",-N(N145),0)</f>
        <v/>
      </c>
      <c r="AC145" s="23">
        <f>IF(LEFT(V145,8)="Expense|",N(F145),0)+IF(LEFT(W145,8)="Expense|",N(M145),0)+IF(LEFT(X145,8)="Expense|",-N(O145),0)+IF(LEFT(Y145,8)="Expense|",-N(P145),0)+IF(LEFT(Z145,8)="Expense|",-N(N145),0)</f>
        <v/>
      </c>
      <c r="AD145" s="23">
        <f>IF(ISNUMBER(MATCH(V145,{"Expense|employee","Expense|general_admin","Expense|marketing","Expense|utilities","Expense|other_operating"},0)),N(F145),0)+IF(ISNUMBER(MATCH(W145,{"Expense|employee","Expense|general_admin","Expense|marketing","Expense|utilities","Expense|other_operating"},0)),N(M145),0)+IF(ISNUMBER(MATCH(X145,{"Expense|employee","Expense|general_admin","Expense|marketing","Expense|utilities","Expense|other_operating"},0)),-N(O145),0)+IF(ISNUMBER(MATCH(Y145,{"Expense|employee","Expense|general_admin","Expense|marketing","Expense|utilities","Expense|other_operating"},0)),-N(P145),0)+IF(ISNUMBER(MATCH(Z145,{"Expense|employee","Expense|general_admin","Expense|marketing","Expense|utilities","Expense|other_operating"},0)),-N(N145),0)</f>
        <v/>
      </c>
      <c r="AE145" s="23">
        <f>IF(V145="Liability|payable",-N(F145),0)+IF(W145="Liability|payable",-N(M145),0)+IF(X145="Liability|payable",N(O145),0)+IF(Y145="Liability|payable",N(P145),0)+IF(Z145="Liability|payable",N(N145),0)</f>
        <v/>
      </c>
      <c r="AF145" s="23">
        <f>IF(V145="Liability|accrued",-N(F145),0)+IF(W145="Liability|accrued",-N(M145),0)+IF(X145="Liability|accrued",N(O145),0)+IF(Y145="Liability|accrued",N(P145),0)+IF(Z145="Liability|accrued",N(N145),0)</f>
        <v/>
      </c>
      <c r="AG145" s="23">
        <f>IF(AND(N(F145)&lt;&gt;0,V145=""),1,0)+IF(AND(N(M145)&lt;&gt;0,W145=""),1,0)+IF(AND(N(O145)&lt;&gt;0,X145=""),1,0)+IF(AND(N(P145)&lt;&gt;0,Y145=""),1,0)+IF(AND(N(N145)&lt;&gt;0,Z145=""),1,0)</f>
        <v/>
      </c>
    </row>
    <row r="146">
      <c r="A146" s="19" t="n"/>
      <c r="B146" s="14" t="n"/>
      <c r="C146" s="14" t="n"/>
      <c r="D146" s="14" t="n"/>
      <c r="E146" s="14" t="n"/>
      <c r="F146" s="20" t="n"/>
      <c r="G146" s="20" t="n"/>
      <c r="H146" s="14" t="n"/>
      <c r="I146" s="14" t="n"/>
      <c r="J146" s="14" t="n"/>
      <c r="K146" s="14" t="n"/>
      <c r="L146" s="14" t="n"/>
      <c r="M146" s="21">
        <f>ROUND(N(F146)*IFERROR(VLOOKUP(K146,'Tax Codes'!$A$5:$E$300,5,FALSE),0),2)</f>
        <v/>
      </c>
      <c r="N146" s="21">
        <f>ROUND(N(F146)*IFERROR(VLOOKUP(L146,'Tax Codes'!$A$5:$E$300,5,FALSE),0),2)</f>
        <v/>
      </c>
      <c r="O146" s="21">
        <f>IF(G146="",N(F146)+M146-N146,N(G146))</f>
        <v/>
      </c>
      <c r="P146" s="21">
        <f>N(F146)+M146-N146-O146</f>
        <v/>
      </c>
      <c r="Q146" s="16">
        <f>IF(C146="",INDEX('Chart of Accounts'!$A$5:$A$3000,MATCH("other_overhead",'Chart of Accounts'!$F$5:$F$3000,0)),C146&amp;"")</f>
        <v/>
      </c>
      <c r="R146" s="16">
        <f>IF(I146="",INDEX('Chart of Accounts'!$A$5:$A$3000,MATCH("bank",'Chart of Accounts'!$F$5:$F$3000,0)),I146&amp;"")</f>
        <v/>
      </c>
      <c r="S146" s="16">
        <f>IF(J146="",INDEX('Chart of Accounts'!$A$5:$A$3000,MATCH("ap",'Chart of Accounts'!$F$5:$F$3000,0)),J146&amp;"")</f>
        <v/>
      </c>
      <c r="T146" s="16">
        <f>INDEX('Chart of Accounts'!$A$5:$A$3000,MATCH("vat_input",'Chart of Accounts'!$F$5:$F$3000,0))</f>
        <v/>
      </c>
      <c r="U146" s="16">
        <f>INDEX('Chart of Accounts'!$A$5:$A$3000,MATCH("wht_payable",'Chart of Accounts'!$F$5:$F$3000,0))</f>
        <v/>
      </c>
      <c r="V146" s="23">
        <f>IFERROR(INDEX('Chart of Accounts'!$C$5:$C$3000,MATCH(Q146&amp;"",'Chart of Accounts'!$A$5:$A$3000,0))&amp;"|"&amp;INDEX('Chart of Accounts'!$D$5:$D$3000,MATCH(Q146&amp;"",'Chart of Accounts'!$A$5:$A$3000,0)),"")</f>
        <v/>
      </c>
      <c r="W146" s="23">
        <f>IFERROR(INDEX('Chart of Accounts'!$C$5:$C$3000,MATCH(T146&amp;"",'Chart of Accounts'!$A$5:$A$3000,0))&amp;"|"&amp;INDEX('Chart of Accounts'!$D$5:$D$3000,MATCH(T146&amp;"",'Chart of Accounts'!$A$5:$A$3000,0)),"")</f>
        <v/>
      </c>
      <c r="X146" s="23">
        <f>IFERROR(INDEX('Chart of Accounts'!$C$5:$C$3000,MATCH(R146&amp;"",'Chart of Accounts'!$A$5:$A$3000,0))&amp;"|"&amp;INDEX('Chart of Accounts'!$D$5:$D$3000,MATCH(R146&amp;"",'Chart of Accounts'!$A$5:$A$3000,0)),"")</f>
        <v/>
      </c>
      <c r="Y146" s="23">
        <f>IFERROR(INDEX('Chart of Accounts'!$C$5:$C$3000,MATCH(S146&amp;"",'Chart of Accounts'!$A$5:$A$3000,0))&amp;"|"&amp;INDEX('Chart of Accounts'!$D$5:$D$3000,MATCH(S146&amp;"",'Chart of Accounts'!$A$5:$A$3000,0)),"")</f>
        <v/>
      </c>
      <c r="Z146" s="23">
        <f>IFERROR(INDEX('Chart of Accounts'!$C$5:$C$3000,MATCH(U146&amp;"",'Chart of Accounts'!$A$5:$A$3000,0))&amp;"|"&amp;INDEX('Chart of Accounts'!$D$5:$D$3000,MATCH(U146&amp;"",'Chart of Accounts'!$A$5:$A$3000,0)),"")</f>
        <v/>
      </c>
      <c r="AA146" s="23">
        <f>IF(LEFT(V146,8)="Revenue|",-N(F146),0)+IF(LEFT(W146,8)="Revenue|",-N(M146),0)+IF(LEFT(X146,8)="Revenue|",N(O146),0)+IF(LEFT(Y146,8)="Revenue|",N(P146),0)+IF(LEFT(Z146,8)="Revenue|",N(N146),0)</f>
        <v/>
      </c>
      <c r="AB146" s="23">
        <f>IF(LEFT(V146,5)="COGS|",N(F146),0)+IF(LEFT(W146,5)="COGS|",N(M146),0)+IF(LEFT(X146,5)="COGS|",-N(O146),0)+IF(LEFT(Y146,5)="COGS|",-N(P146),0)+IF(LEFT(Z146,5)="COGS|",-N(N146),0)</f>
        <v/>
      </c>
      <c r="AC146" s="23">
        <f>IF(LEFT(V146,8)="Expense|",N(F146),0)+IF(LEFT(W146,8)="Expense|",N(M146),0)+IF(LEFT(X146,8)="Expense|",-N(O146),0)+IF(LEFT(Y146,8)="Expense|",-N(P146),0)+IF(LEFT(Z146,8)="Expense|",-N(N146),0)</f>
        <v/>
      </c>
      <c r="AD146" s="23">
        <f>IF(ISNUMBER(MATCH(V146,{"Expense|employee","Expense|general_admin","Expense|marketing","Expense|utilities","Expense|other_operating"},0)),N(F146),0)+IF(ISNUMBER(MATCH(W146,{"Expense|employee","Expense|general_admin","Expense|marketing","Expense|utilities","Expense|other_operating"},0)),N(M146),0)+IF(ISNUMBER(MATCH(X146,{"Expense|employee","Expense|general_admin","Expense|marketing","Expense|utilities","Expense|other_operating"},0)),-N(O146),0)+IF(ISNUMBER(MATCH(Y146,{"Expense|employee","Expense|general_admin","Expense|marketing","Expense|utilities","Expense|other_operating"},0)),-N(P146),0)+IF(ISNUMBER(MATCH(Z146,{"Expense|employee","Expense|general_admin","Expense|marketing","Expense|utilities","Expense|other_operating"},0)),-N(N146),0)</f>
        <v/>
      </c>
      <c r="AE146" s="23">
        <f>IF(V146="Liability|payable",-N(F146),0)+IF(W146="Liability|payable",-N(M146),0)+IF(X146="Liability|payable",N(O146),0)+IF(Y146="Liability|payable",N(P146),0)+IF(Z146="Liability|payable",N(N146),0)</f>
        <v/>
      </c>
      <c r="AF146" s="23">
        <f>IF(V146="Liability|accrued",-N(F146),0)+IF(W146="Liability|accrued",-N(M146),0)+IF(X146="Liability|accrued",N(O146),0)+IF(Y146="Liability|accrued",N(P146),0)+IF(Z146="Liability|accrued",N(N146),0)</f>
        <v/>
      </c>
      <c r="AG146" s="23">
        <f>IF(AND(N(F146)&lt;&gt;0,V146=""),1,0)+IF(AND(N(M146)&lt;&gt;0,W146=""),1,0)+IF(AND(N(O146)&lt;&gt;0,X146=""),1,0)+IF(AND(N(P146)&lt;&gt;0,Y146=""),1,0)+IF(AND(N(N146)&lt;&gt;0,Z146=""),1,0)</f>
        <v/>
      </c>
    </row>
    <row r="147">
      <c r="A147" s="19" t="n"/>
      <c r="B147" s="14" t="n"/>
      <c r="C147" s="14" t="n"/>
      <c r="D147" s="14" t="n"/>
      <c r="E147" s="14" t="n"/>
      <c r="F147" s="20" t="n"/>
      <c r="G147" s="20" t="n"/>
      <c r="H147" s="14" t="n"/>
      <c r="I147" s="14" t="n"/>
      <c r="J147" s="14" t="n"/>
      <c r="K147" s="14" t="n"/>
      <c r="L147" s="14" t="n"/>
      <c r="M147" s="21">
        <f>ROUND(N(F147)*IFERROR(VLOOKUP(K147,'Tax Codes'!$A$5:$E$300,5,FALSE),0),2)</f>
        <v/>
      </c>
      <c r="N147" s="21">
        <f>ROUND(N(F147)*IFERROR(VLOOKUP(L147,'Tax Codes'!$A$5:$E$300,5,FALSE),0),2)</f>
        <v/>
      </c>
      <c r="O147" s="21">
        <f>IF(G147="",N(F147)+M147-N147,N(G147))</f>
        <v/>
      </c>
      <c r="P147" s="21">
        <f>N(F147)+M147-N147-O147</f>
        <v/>
      </c>
      <c r="Q147" s="16">
        <f>IF(C147="",INDEX('Chart of Accounts'!$A$5:$A$3000,MATCH("other_overhead",'Chart of Accounts'!$F$5:$F$3000,0)),C147&amp;"")</f>
        <v/>
      </c>
      <c r="R147" s="16">
        <f>IF(I147="",INDEX('Chart of Accounts'!$A$5:$A$3000,MATCH("bank",'Chart of Accounts'!$F$5:$F$3000,0)),I147&amp;"")</f>
        <v/>
      </c>
      <c r="S147" s="16">
        <f>IF(J147="",INDEX('Chart of Accounts'!$A$5:$A$3000,MATCH("ap",'Chart of Accounts'!$F$5:$F$3000,0)),J147&amp;"")</f>
        <v/>
      </c>
      <c r="T147" s="16">
        <f>INDEX('Chart of Accounts'!$A$5:$A$3000,MATCH("vat_input",'Chart of Accounts'!$F$5:$F$3000,0))</f>
        <v/>
      </c>
      <c r="U147" s="16">
        <f>INDEX('Chart of Accounts'!$A$5:$A$3000,MATCH("wht_payable",'Chart of Accounts'!$F$5:$F$3000,0))</f>
        <v/>
      </c>
      <c r="V147" s="23">
        <f>IFERROR(INDEX('Chart of Accounts'!$C$5:$C$3000,MATCH(Q147&amp;"",'Chart of Accounts'!$A$5:$A$3000,0))&amp;"|"&amp;INDEX('Chart of Accounts'!$D$5:$D$3000,MATCH(Q147&amp;"",'Chart of Accounts'!$A$5:$A$3000,0)),"")</f>
        <v/>
      </c>
      <c r="W147" s="23">
        <f>IFERROR(INDEX('Chart of Accounts'!$C$5:$C$3000,MATCH(T147&amp;"",'Chart of Accounts'!$A$5:$A$3000,0))&amp;"|"&amp;INDEX('Chart of Accounts'!$D$5:$D$3000,MATCH(T147&amp;"",'Chart of Accounts'!$A$5:$A$3000,0)),"")</f>
        <v/>
      </c>
      <c r="X147" s="23">
        <f>IFERROR(INDEX('Chart of Accounts'!$C$5:$C$3000,MATCH(R147&amp;"",'Chart of Accounts'!$A$5:$A$3000,0))&amp;"|"&amp;INDEX('Chart of Accounts'!$D$5:$D$3000,MATCH(R147&amp;"",'Chart of Accounts'!$A$5:$A$3000,0)),"")</f>
        <v/>
      </c>
      <c r="Y147" s="23">
        <f>IFERROR(INDEX('Chart of Accounts'!$C$5:$C$3000,MATCH(S147&amp;"",'Chart of Accounts'!$A$5:$A$3000,0))&amp;"|"&amp;INDEX('Chart of Accounts'!$D$5:$D$3000,MATCH(S147&amp;"",'Chart of Accounts'!$A$5:$A$3000,0)),"")</f>
        <v/>
      </c>
      <c r="Z147" s="23">
        <f>IFERROR(INDEX('Chart of Accounts'!$C$5:$C$3000,MATCH(U147&amp;"",'Chart of Accounts'!$A$5:$A$3000,0))&amp;"|"&amp;INDEX('Chart of Accounts'!$D$5:$D$3000,MATCH(U147&amp;"",'Chart of Accounts'!$A$5:$A$3000,0)),"")</f>
        <v/>
      </c>
      <c r="AA147" s="23">
        <f>IF(LEFT(V147,8)="Revenue|",-N(F147),0)+IF(LEFT(W147,8)="Revenue|",-N(M147),0)+IF(LEFT(X147,8)="Revenue|",N(O147),0)+IF(LEFT(Y147,8)="Revenue|",N(P147),0)+IF(LEFT(Z147,8)="Revenue|",N(N147),0)</f>
        <v/>
      </c>
      <c r="AB147" s="23">
        <f>IF(LEFT(V147,5)="COGS|",N(F147),0)+IF(LEFT(W147,5)="COGS|",N(M147),0)+IF(LEFT(X147,5)="COGS|",-N(O147),0)+IF(LEFT(Y147,5)="COGS|",-N(P147),0)+IF(LEFT(Z147,5)="COGS|",-N(N147),0)</f>
        <v/>
      </c>
      <c r="AC147" s="23">
        <f>IF(LEFT(V147,8)="Expense|",N(F147),0)+IF(LEFT(W147,8)="Expense|",N(M147),0)+IF(LEFT(X147,8)="Expense|",-N(O147),0)+IF(LEFT(Y147,8)="Expense|",-N(P147),0)+IF(LEFT(Z147,8)="Expense|",-N(N147),0)</f>
        <v/>
      </c>
      <c r="AD147" s="23">
        <f>IF(ISNUMBER(MATCH(V147,{"Expense|employee","Expense|general_admin","Expense|marketing","Expense|utilities","Expense|other_operating"},0)),N(F147),0)+IF(ISNUMBER(MATCH(W147,{"Expense|employee","Expense|general_admin","Expense|marketing","Expense|utilities","Expense|other_operating"},0)),N(M147),0)+IF(ISNUMBER(MATCH(X147,{"Expense|employee","Expense|general_admin","Expense|marketing","Expense|utilities","Expense|other_operating"},0)),-N(O147),0)+IF(ISNUMBER(MATCH(Y147,{"Expense|employee","Expense|general_admin","Expense|marketing","Expense|utilities","Expense|other_operating"},0)),-N(P147),0)+IF(ISNUMBER(MATCH(Z147,{"Expense|employee","Expense|general_admin","Expense|marketing","Expense|utilities","Expense|other_operating"},0)),-N(N147),0)</f>
        <v/>
      </c>
      <c r="AE147" s="23">
        <f>IF(V147="Liability|payable",-N(F147),0)+IF(W147="Liability|payable",-N(M147),0)+IF(X147="Liability|payable",N(O147),0)+IF(Y147="Liability|payable",N(P147),0)+IF(Z147="Liability|payable",N(N147),0)</f>
        <v/>
      </c>
      <c r="AF147" s="23">
        <f>IF(V147="Liability|accrued",-N(F147),0)+IF(W147="Liability|accrued",-N(M147),0)+IF(X147="Liability|accrued",N(O147),0)+IF(Y147="Liability|accrued",N(P147),0)+IF(Z147="Liability|accrued",N(N147),0)</f>
        <v/>
      </c>
      <c r="AG147" s="23">
        <f>IF(AND(N(F147)&lt;&gt;0,V147=""),1,0)+IF(AND(N(M147)&lt;&gt;0,W147=""),1,0)+IF(AND(N(O147)&lt;&gt;0,X147=""),1,0)+IF(AND(N(P147)&lt;&gt;0,Y147=""),1,0)+IF(AND(N(N147)&lt;&gt;0,Z147=""),1,0)</f>
        <v/>
      </c>
    </row>
    <row r="148">
      <c r="A148" s="19" t="n"/>
      <c r="B148" s="14" t="n"/>
      <c r="C148" s="14" t="n"/>
      <c r="D148" s="14" t="n"/>
      <c r="E148" s="14" t="n"/>
      <c r="F148" s="20" t="n"/>
      <c r="G148" s="20" t="n"/>
      <c r="H148" s="14" t="n"/>
      <c r="I148" s="14" t="n"/>
      <c r="J148" s="14" t="n"/>
      <c r="K148" s="14" t="n"/>
      <c r="L148" s="14" t="n"/>
      <c r="M148" s="21">
        <f>ROUND(N(F148)*IFERROR(VLOOKUP(K148,'Tax Codes'!$A$5:$E$300,5,FALSE),0),2)</f>
        <v/>
      </c>
      <c r="N148" s="21">
        <f>ROUND(N(F148)*IFERROR(VLOOKUP(L148,'Tax Codes'!$A$5:$E$300,5,FALSE),0),2)</f>
        <v/>
      </c>
      <c r="O148" s="21">
        <f>IF(G148="",N(F148)+M148-N148,N(G148))</f>
        <v/>
      </c>
      <c r="P148" s="21">
        <f>N(F148)+M148-N148-O148</f>
        <v/>
      </c>
      <c r="Q148" s="16">
        <f>IF(C148="",INDEX('Chart of Accounts'!$A$5:$A$3000,MATCH("other_overhead",'Chart of Accounts'!$F$5:$F$3000,0)),C148&amp;"")</f>
        <v/>
      </c>
      <c r="R148" s="16">
        <f>IF(I148="",INDEX('Chart of Accounts'!$A$5:$A$3000,MATCH("bank",'Chart of Accounts'!$F$5:$F$3000,0)),I148&amp;"")</f>
        <v/>
      </c>
      <c r="S148" s="16">
        <f>IF(J148="",INDEX('Chart of Accounts'!$A$5:$A$3000,MATCH("ap",'Chart of Accounts'!$F$5:$F$3000,0)),J148&amp;"")</f>
        <v/>
      </c>
      <c r="T148" s="16">
        <f>INDEX('Chart of Accounts'!$A$5:$A$3000,MATCH("vat_input",'Chart of Accounts'!$F$5:$F$3000,0))</f>
        <v/>
      </c>
      <c r="U148" s="16">
        <f>INDEX('Chart of Accounts'!$A$5:$A$3000,MATCH("wht_payable",'Chart of Accounts'!$F$5:$F$3000,0))</f>
        <v/>
      </c>
      <c r="V148" s="23">
        <f>IFERROR(INDEX('Chart of Accounts'!$C$5:$C$3000,MATCH(Q148&amp;"",'Chart of Accounts'!$A$5:$A$3000,0))&amp;"|"&amp;INDEX('Chart of Accounts'!$D$5:$D$3000,MATCH(Q148&amp;"",'Chart of Accounts'!$A$5:$A$3000,0)),"")</f>
        <v/>
      </c>
      <c r="W148" s="23">
        <f>IFERROR(INDEX('Chart of Accounts'!$C$5:$C$3000,MATCH(T148&amp;"",'Chart of Accounts'!$A$5:$A$3000,0))&amp;"|"&amp;INDEX('Chart of Accounts'!$D$5:$D$3000,MATCH(T148&amp;"",'Chart of Accounts'!$A$5:$A$3000,0)),"")</f>
        <v/>
      </c>
      <c r="X148" s="23">
        <f>IFERROR(INDEX('Chart of Accounts'!$C$5:$C$3000,MATCH(R148&amp;"",'Chart of Accounts'!$A$5:$A$3000,0))&amp;"|"&amp;INDEX('Chart of Accounts'!$D$5:$D$3000,MATCH(R148&amp;"",'Chart of Accounts'!$A$5:$A$3000,0)),"")</f>
        <v/>
      </c>
      <c r="Y148" s="23">
        <f>IFERROR(INDEX('Chart of Accounts'!$C$5:$C$3000,MATCH(S148&amp;"",'Chart of Accounts'!$A$5:$A$3000,0))&amp;"|"&amp;INDEX('Chart of Accounts'!$D$5:$D$3000,MATCH(S148&amp;"",'Chart of Accounts'!$A$5:$A$3000,0)),"")</f>
        <v/>
      </c>
      <c r="Z148" s="23">
        <f>IFERROR(INDEX('Chart of Accounts'!$C$5:$C$3000,MATCH(U148&amp;"",'Chart of Accounts'!$A$5:$A$3000,0))&amp;"|"&amp;INDEX('Chart of Accounts'!$D$5:$D$3000,MATCH(U148&amp;"",'Chart of Accounts'!$A$5:$A$3000,0)),"")</f>
        <v/>
      </c>
      <c r="AA148" s="23">
        <f>IF(LEFT(V148,8)="Revenue|",-N(F148),0)+IF(LEFT(W148,8)="Revenue|",-N(M148),0)+IF(LEFT(X148,8)="Revenue|",N(O148),0)+IF(LEFT(Y148,8)="Revenue|",N(P148),0)+IF(LEFT(Z148,8)="Revenue|",N(N148),0)</f>
        <v/>
      </c>
      <c r="AB148" s="23">
        <f>IF(LEFT(V148,5)="COGS|",N(F148),0)+IF(LEFT(W148,5)="COGS|",N(M148),0)+IF(LEFT(X148,5)="COGS|",-N(O148),0)+IF(LEFT(Y148,5)="COGS|",-N(P148),0)+IF(LEFT(Z148,5)="COGS|",-N(N148),0)</f>
        <v/>
      </c>
      <c r="AC148" s="23">
        <f>IF(LEFT(V148,8)="Expense|",N(F148),0)+IF(LEFT(W148,8)="Expense|",N(M148),0)+IF(LEFT(X148,8)="Expense|",-N(O148),0)+IF(LEFT(Y148,8)="Expense|",-N(P148),0)+IF(LEFT(Z148,8)="Expense|",-N(N148),0)</f>
        <v/>
      </c>
      <c r="AD148" s="23">
        <f>IF(ISNUMBER(MATCH(V148,{"Expense|employee","Expense|general_admin","Expense|marketing","Expense|utilities","Expense|other_operating"},0)),N(F148),0)+IF(ISNUMBER(MATCH(W148,{"Expense|employee","Expense|general_admin","Expense|marketing","Expense|utilities","Expense|other_operating"},0)),N(M148),0)+IF(ISNUMBER(MATCH(X148,{"Expense|employee","Expense|general_admin","Expense|marketing","Expense|utilities","Expense|other_operating"},0)),-N(O148),0)+IF(ISNUMBER(MATCH(Y148,{"Expense|employee","Expense|general_admin","Expense|marketing","Expense|utilities","Expense|other_operating"},0)),-N(P148),0)+IF(ISNUMBER(MATCH(Z148,{"Expense|employee","Expense|general_admin","Expense|marketing","Expense|utilities","Expense|other_operating"},0)),-N(N148),0)</f>
        <v/>
      </c>
      <c r="AE148" s="23">
        <f>IF(V148="Liability|payable",-N(F148),0)+IF(W148="Liability|payable",-N(M148),0)+IF(X148="Liability|payable",N(O148),0)+IF(Y148="Liability|payable",N(P148),0)+IF(Z148="Liability|payable",N(N148),0)</f>
        <v/>
      </c>
      <c r="AF148" s="23">
        <f>IF(V148="Liability|accrued",-N(F148),0)+IF(W148="Liability|accrued",-N(M148),0)+IF(X148="Liability|accrued",N(O148),0)+IF(Y148="Liability|accrued",N(P148),0)+IF(Z148="Liability|accrued",N(N148),0)</f>
        <v/>
      </c>
      <c r="AG148" s="23">
        <f>IF(AND(N(F148)&lt;&gt;0,V148=""),1,0)+IF(AND(N(M148)&lt;&gt;0,W148=""),1,0)+IF(AND(N(O148)&lt;&gt;0,X148=""),1,0)+IF(AND(N(P148)&lt;&gt;0,Y148=""),1,0)+IF(AND(N(N148)&lt;&gt;0,Z148=""),1,0)</f>
        <v/>
      </c>
    </row>
    <row r="149">
      <c r="A149" s="19" t="n"/>
      <c r="B149" s="14" t="n"/>
      <c r="C149" s="14" t="n"/>
      <c r="D149" s="14" t="n"/>
      <c r="E149" s="14" t="n"/>
      <c r="F149" s="20" t="n"/>
      <c r="G149" s="20" t="n"/>
      <c r="H149" s="14" t="n"/>
      <c r="I149" s="14" t="n"/>
      <c r="J149" s="14" t="n"/>
      <c r="K149" s="14" t="n"/>
      <c r="L149" s="14" t="n"/>
      <c r="M149" s="21">
        <f>ROUND(N(F149)*IFERROR(VLOOKUP(K149,'Tax Codes'!$A$5:$E$300,5,FALSE),0),2)</f>
        <v/>
      </c>
      <c r="N149" s="21">
        <f>ROUND(N(F149)*IFERROR(VLOOKUP(L149,'Tax Codes'!$A$5:$E$300,5,FALSE),0),2)</f>
        <v/>
      </c>
      <c r="O149" s="21">
        <f>IF(G149="",N(F149)+M149-N149,N(G149))</f>
        <v/>
      </c>
      <c r="P149" s="21">
        <f>N(F149)+M149-N149-O149</f>
        <v/>
      </c>
      <c r="Q149" s="16">
        <f>IF(C149="",INDEX('Chart of Accounts'!$A$5:$A$3000,MATCH("other_overhead",'Chart of Accounts'!$F$5:$F$3000,0)),C149&amp;"")</f>
        <v/>
      </c>
      <c r="R149" s="16">
        <f>IF(I149="",INDEX('Chart of Accounts'!$A$5:$A$3000,MATCH("bank",'Chart of Accounts'!$F$5:$F$3000,0)),I149&amp;"")</f>
        <v/>
      </c>
      <c r="S149" s="16">
        <f>IF(J149="",INDEX('Chart of Accounts'!$A$5:$A$3000,MATCH("ap",'Chart of Accounts'!$F$5:$F$3000,0)),J149&amp;"")</f>
        <v/>
      </c>
      <c r="T149" s="16">
        <f>INDEX('Chart of Accounts'!$A$5:$A$3000,MATCH("vat_input",'Chart of Accounts'!$F$5:$F$3000,0))</f>
        <v/>
      </c>
      <c r="U149" s="16">
        <f>INDEX('Chart of Accounts'!$A$5:$A$3000,MATCH("wht_payable",'Chart of Accounts'!$F$5:$F$3000,0))</f>
        <v/>
      </c>
      <c r="V149" s="23">
        <f>IFERROR(INDEX('Chart of Accounts'!$C$5:$C$3000,MATCH(Q149&amp;"",'Chart of Accounts'!$A$5:$A$3000,0))&amp;"|"&amp;INDEX('Chart of Accounts'!$D$5:$D$3000,MATCH(Q149&amp;"",'Chart of Accounts'!$A$5:$A$3000,0)),"")</f>
        <v/>
      </c>
      <c r="W149" s="23">
        <f>IFERROR(INDEX('Chart of Accounts'!$C$5:$C$3000,MATCH(T149&amp;"",'Chart of Accounts'!$A$5:$A$3000,0))&amp;"|"&amp;INDEX('Chart of Accounts'!$D$5:$D$3000,MATCH(T149&amp;"",'Chart of Accounts'!$A$5:$A$3000,0)),"")</f>
        <v/>
      </c>
      <c r="X149" s="23">
        <f>IFERROR(INDEX('Chart of Accounts'!$C$5:$C$3000,MATCH(R149&amp;"",'Chart of Accounts'!$A$5:$A$3000,0))&amp;"|"&amp;INDEX('Chart of Accounts'!$D$5:$D$3000,MATCH(R149&amp;"",'Chart of Accounts'!$A$5:$A$3000,0)),"")</f>
        <v/>
      </c>
      <c r="Y149" s="23">
        <f>IFERROR(INDEX('Chart of Accounts'!$C$5:$C$3000,MATCH(S149&amp;"",'Chart of Accounts'!$A$5:$A$3000,0))&amp;"|"&amp;INDEX('Chart of Accounts'!$D$5:$D$3000,MATCH(S149&amp;"",'Chart of Accounts'!$A$5:$A$3000,0)),"")</f>
        <v/>
      </c>
      <c r="Z149" s="23">
        <f>IFERROR(INDEX('Chart of Accounts'!$C$5:$C$3000,MATCH(U149&amp;"",'Chart of Accounts'!$A$5:$A$3000,0))&amp;"|"&amp;INDEX('Chart of Accounts'!$D$5:$D$3000,MATCH(U149&amp;"",'Chart of Accounts'!$A$5:$A$3000,0)),"")</f>
        <v/>
      </c>
      <c r="AA149" s="23">
        <f>IF(LEFT(V149,8)="Revenue|",-N(F149),0)+IF(LEFT(W149,8)="Revenue|",-N(M149),0)+IF(LEFT(X149,8)="Revenue|",N(O149),0)+IF(LEFT(Y149,8)="Revenue|",N(P149),0)+IF(LEFT(Z149,8)="Revenue|",N(N149),0)</f>
        <v/>
      </c>
      <c r="AB149" s="23">
        <f>IF(LEFT(V149,5)="COGS|",N(F149),0)+IF(LEFT(W149,5)="COGS|",N(M149),0)+IF(LEFT(X149,5)="COGS|",-N(O149),0)+IF(LEFT(Y149,5)="COGS|",-N(P149),0)+IF(LEFT(Z149,5)="COGS|",-N(N149),0)</f>
        <v/>
      </c>
      <c r="AC149" s="23">
        <f>IF(LEFT(V149,8)="Expense|",N(F149),0)+IF(LEFT(W149,8)="Expense|",N(M149),0)+IF(LEFT(X149,8)="Expense|",-N(O149),0)+IF(LEFT(Y149,8)="Expense|",-N(P149),0)+IF(LEFT(Z149,8)="Expense|",-N(N149),0)</f>
        <v/>
      </c>
      <c r="AD149" s="23">
        <f>IF(ISNUMBER(MATCH(V149,{"Expense|employee","Expense|general_admin","Expense|marketing","Expense|utilities","Expense|other_operating"},0)),N(F149),0)+IF(ISNUMBER(MATCH(W149,{"Expense|employee","Expense|general_admin","Expense|marketing","Expense|utilities","Expense|other_operating"},0)),N(M149),0)+IF(ISNUMBER(MATCH(X149,{"Expense|employee","Expense|general_admin","Expense|marketing","Expense|utilities","Expense|other_operating"},0)),-N(O149),0)+IF(ISNUMBER(MATCH(Y149,{"Expense|employee","Expense|general_admin","Expense|marketing","Expense|utilities","Expense|other_operating"},0)),-N(P149),0)+IF(ISNUMBER(MATCH(Z149,{"Expense|employee","Expense|general_admin","Expense|marketing","Expense|utilities","Expense|other_operating"},0)),-N(N149),0)</f>
        <v/>
      </c>
      <c r="AE149" s="23">
        <f>IF(V149="Liability|payable",-N(F149),0)+IF(W149="Liability|payable",-N(M149),0)+IF(X149="Liability|payable",N(O149),0)+IF(Y149="Liability|payable",N(P149),0)+IF(Z149="Liability|payable",N(N149),0)</f>
        <v/>
      </c>
      <c r="AF149" s="23">
        <f>IF(V149="Liability|accrued",-N(F149),0)+IF(W149="Liability|accrued",-N(M149),0)+IF(X149="Liability|accrued",N(O149),0)+IF(Y149="Liability|accrued",N(P149),0)+IF(Z149="Liability|accrued",N(N149),0)</f>
        <v/>
      </c>
      <c r="AG149" s="23">
        <f>IF(AND(N(F149)&lt;&gt;0,V149=""),1,0)+IF(AND(N(M149)&lt;&gt;0,W149=""),1,0)+IF(AND(N(O149)&lt;&gt;0,X149=""),1,0)+IF(AND(N(P149)&lt;&gt;0,Y149=""),1,0)+IF(AND(N(N149)&lt;&gt;0,Z149=""),1,0)</f>
        <v/>
      </c>
    </row>
    <row r="150">
      <c r="A150" s="19" t="n"/>
      <c r="B150" s="14" t="n"/>
      <c r="C150" s="14" t="n"/>
      <c r="D150" s="14" t="n"/>
      <c r="E150" s="14" t="n"/>
      <c r="F150" s="20" t="n"/>
      <c r="G150" s="20" t="n"/>
      <c r="H150" s="14" t="n"/>
      <c r="I150" s="14" t="n"/>
      <c r="J150" s="14" t="n"/>
      <c r="K150" s="14" t="n"/>
      <c r="L150" s="14" t="n"/>
      <c r="M150" s="21">
        <f>ROUND(N(F150)*IFERROR(VLOOKUP(K150,'Tax Codes'!$A$5:$E$300,5,FALSE),0),2)</f>
        <v/>
      </c>
      <c r="N150" s="21">
        <f>ROUND(N(F150)*IFERROR(VLOOKUP(L150,'Tax Codes'!$A$5:$E$300,5,FALSE),0),2)</f>
        <v/>
      </c>
      <c r="O150" s="21">
        <f>IF(G150="",N(F150)+M150-N150,N(G150))</f>
        <v/>
      </c>
      <c r="P150" s="21">
        <f>N(F150)+M150-N150-O150</f>
        <v/>
      </c>
      <c r="Q150" s="16">
        <f>IF(C150="",INDEX('Chart of Accounts'!$A$5:$A$3000,MATCH("other_overhead",'Chart of Accounts'!$F$5:$F$3000,0)),C150&amp;"")</f>
        <v/>
      </c>
      <c r="R150" s="16">
        <f>IF(I150="",INDEX('Chart of Accounts'!$A$5:$A$3000,MATCH("bank",'Chart of Accounts'!$F$5:$F$3000,0)),I150&amp;"")</f>
        <v/>
      </c>
      <c r="S150" s="16">
        <f>IF(J150="",INDEX('Chart of Accounts'!$A$5:$A$3000,MATCH("ap",'Chart of Accounts'!$F$5:$F$3000,0)),J150&amp;"")</f>
        <v/>
      </c>
      <c r="T150" s="16">
        <f>INDEX('Chart of Accounts'!$A$5:$A$3000,MATCH("vat_input",'Chart of Accounts'!$F$5:$F$3000,0))</f>
        <v/>
      </c>
      <c r="U150" s="16">
        <f>INDEX('Chart of Accounts'!$A$5:$A$3000,MATCH("wht_payable",'Chart of Accounts'!$F$5:$F$3000,0))</f>
        <v/>
      </c>
      <c r="V150" s="23">
        <f>IFERROR(INDEX('Chart of Accounts'!$C$5:$C$3000,MATCH(Q150&amp;"",'Chart of Accounts'!$A$5:$A$3000,0))&amp;"|"&amp;INDEX('Chart of Accounts'!$D$5:$D$3000,MATCH(Q150&amp;"",'Chart of Accounts'!$A$5:$A$3000,0)),"")</f>
        <v/>
      </c>
      <c r="W150" s="23">
        <f>IFERROR(INDEX('Chart of Accounts'!$C$5:$C$3000,MATCH(T150&amp;"",'Chart of Accounts'!$A$5:$A$3000,0))&amp;"|"&amp;INDEX('Chart of Accounts'!$D$5:$D$3000,MATCH(T150&amp;"",'Chart of Accounts'!$A$5:$A$3000,0)),"")</f>
        <v/>
      </c>
      <c r="X150" s="23">
        <f>IFERROR(INDEX('Chart of Accounts'!$C$5:$C$3000,MATCH(R150&amp;"",'Chart of Accounts'!$A$5:$A$3000,0))&amp;"|"&amp;INDEX('Chart of Accounts'!$D$5:$D$3000,MATCH(R150&amp;"",'Chart of Accounts'!$A$5:$A$3000,0)),"")</f>
        <v/>
      </c>
      <c r="Y150" s="23">
        <f>IFERROR(INDEX('Chart of Accounts'!$C$5:$C$3000,MATCH(S150&amp;"",'Chart of Accounts'!$A$5:$A$3000,0))&amp;"|"&amp;INDEX('Chart of Accounts'!$D$5:$D$3000,MATCH(S150&amp;"",'Chart of Accounts'!$A$5:$A$3000,0)),"")</f>
        <v/>
      </c>
      <c r="Z150" s="23">
        <f>IFERROR(INDEX('Chart of Accounts'!$C$5:$C$3000,MATCH(U150&amp;"",'Chart of Accounts'!$A$5:$A$3000,0))&amp;"|"&amp;INDEX('Chart of Accounts'!$D$5:$D$3000,MATCH(U150&amp;"",'Chart of Accounts'!$A$5:$A$3000,0)),"")</f>
        <v/>
      </c>
      <c r="AA150" s="23">
        <f>IF(LEFT(V150,8)="Revenue|",-N(F150),0)+IF(LEFT(W150,8)="Revenue|",-N(M150),0)+IF(LEFT(X150,8)="Revenue|",N(O150),0)+IF(LEFT(Y150,8)="Revenue|",N(P150),0)+IF(LEFT(Z150,8)="Revenue|",N(N150),0)</f>
        <v/>
      </c>
      <c r="AB150" s="23">
        <f>IF(LEFT(V150,5)="COGS|",N(F150),0)+IF(LEFT(W150,5)="COGS|",N(M150),0)+IF(LEFT(X150,5)="COGS|",-N(O150),0)+IF(LEFT(Y150,5)="COGS|",-N(P150),0)+IF(LEFT(Z150,5)="COGS|",-N(N150),0)</f>
        <v/>
      </c>
      <c r="AC150" s="23">
        <f>IF(LEFT(V150,8)="Expense|",N(F150),0)+IF(LEFT(W150,8)="Expense|",N(M150),0)+IF(LEFT(X150,8)="Expense|",-N(O150),0)+IF(LEFT(Y150,8)="Expense|",-N(P150),0)+IF(LEFT(Z150,8)="Expense|",-N(N150),0)</f>
        <v/>
      </c>
      <c r="AD150" s="23">
        <f>IF(ISNUMBER(MATCH(V150,{"Expense|employee","Expense|general_admin","Expense|marketing","Expense|utilities","Expense|other_operating"},0)),N(F150),0)+IF(ISNUMBER(MATCH(W150,{"Expense|employee","Expense|general_admin","Expense|marketing","Expense|utilities","Expense|other_operating"},0)),N(M150),0)+IF(ISNUMBER(MATCH(X150,{"Expense|employee","Expense|general_admin","Expense|marketing","Expense|utilities","Expense|other_operating"},0)),-N(O150),0)+IF(ISNUMBER(MATCH(Y150,{"Expense|employee","Expense|general_admin","Expense|marketing","Expense|utilities","Expense|other_operating"},0)),-N(P150),0)+IF(ISNUMBER(MATCH(Z150,{"Expense|employee","Expense|general_admin","Expense|marketing","Expense|utilities","Expense|other_operating"},0)),-N(N150),0)</f>
        <v/>
      </c>
      <c r="AE150" s="23">
        <f>IF(V150="Liability|payable",-N(F150),0)+IF(W150="Liability|payable",-N(M150),0)+IF(X150="Liability|payable",N(O150),0)+IF(Y150="Liability|payable",N(P150),0)+IF(Z150="Liability|payable",N(N150),0)</f>
        <v/>
      </c>
      <c r="AF150" s="23">
        <f>IF(V150="Liability|accrued",-N(F150),0)+IF(W150="Liability|accrued",-N(M150),0)+IF(X150="Liability|accrued",N(O150),0)+IF(Y150="Liability|accrued",N(P150),0)+IF(Z150="Liability|accrued",N(N150),0)</f>
        <v/>
      </c>
      <c r="AG150" s="23">
        <f>IF(AND(N(F150)&lt;&gt;0,V150=""),1,0)+IF(AND(N(M150)&lt;&gt;0,W150=""),1,0)+IF(AND(N(O150)&lt;&gt;0,X150=""),1,0)+IF(AND(N(P150)&lt;&gt;0,Y150=""),1,0)+IF(AND(N(N150)&lt;&gt;0,Z150=""),1,0)</f>
        <v/>
      </c>
    </row>
    <row r="151">
      <c r="A151" s="19" t="n"/>
      <c r="B151" s="14" t="n"/>
      <c r="C151" s="14" t="n"/>
      <c r="D151" s="14" t="n"/>
      <c r="E151" s="14" t="n"/>
      <c r="F151" s="20" t="n"/>
      <c r="G151" s="20" t="n"/>
      <c r="H151" s="14" t="n"/>
      <c r="I151" s="14" t="n"/>
      <c r="J151" s="14" t="n"/>
      <c r="K151" s="14" t="n"/>
      <c r="L151" s="14" t="n"/>
      <c r="M151" s="21">
        <f>ROUND(N(F151)*IFERROR(VLOOKUP(K151,'Tax Codes'!$A$5:$E$300,5,FALSE),0),2)</f>
        <v/>
      </c>
      <c r="N151" s="21">
        <f>ROUND(N(F151)*IFERROR(VLOOKUP(L151,'Tax Codes'!$A$5:$E$300,5,FALSE),0),2)</f>
        <v/>
      </c>
      <c r="O151" s="21">
        <f>IF(G151="",N(F151)+M151-N151,N(G151))</f>
        <v/>
      </c>
      <c r="P151" s="21">
        <f>N(F151)+M151-N151-O151</f>
        <v/>
      </c>
      <c r="Q151" s="16">
        <f>IF(C151="",INDEX('Chart of Accounts'!$A$5:$A$3000,MATCH("other_overhead",'Chart of Accounts'!$F$5:$F$3000,0)),C151&amp;"")</f>
        <v/>
      </c>
      <c r="R151" s="16">
        <f>IF(I151="",INDEX('Chart of Accounts'!$A$5:$A$3000,MATCH("bank",'Chart of Accounts'!$F$5:$F$3000,0)),I151&amp;"")</f>
        <v/>
      </c>
      <c r="S151" s="16">
        <f>IF(J151="",INDEX('Chart of Accounts'!$A$5:$A$3000,MATCH("ap",'Chart of Accounts'!$F$5:$F$3000,0)),J151&amp;"")</f>
        <v/>
      </c>
      <c r="T151" s="16">
        <f>INDEX('Chart of Accounts'!$A$5:$A$3000,MATCH("vat_input",'Chart of Accounts'!$F$5:$F$3000,0))</f>
        <v/>
      </c>
      <c r="U151" s="16">
        <f>INDEX('Chart of Accounts'!$A$5:$A$3000,MATCH("wht_payable",'Chart of Accounts'!$F$5:$F$3000,0))</f>
        <v/>
      </c>
      <c r="V151" s="23">
        <f>IFERROR(INDEX('Chart of Accounts'!$C$5:$C$3000,MATCH(Q151&amp;"",'Chart of Accounts'!$A$5:$A$3000,0))&amp;"|"&amp;INDEX('Chart of Accounts'!$D$5:$D$3000,MATCH(Q151&amp;"",'Chart of Accounts'!$A$5:$A$3000,0)),"")</f>
        <v/>
      </c>
      <c r="W151" s="23">
        <f>IFERROR(INDEX('Chart of Accounts'!$C$5:$C$3000,MATCH(T151&amp;"",'Chart of Accounts'!$A$5:$A$3000,0))&amp;"|"&amp;INDEX('Chart of Accounts'!$D$5:$D$3000,MATCH(T151&amp;"",'Chart of Accounts'!$A$5:$A$3000,0)),"")</f>
        <v/>
      </c>
      <c r="X151" s="23">
        <f>IFERROR(INDEX('Chart of Accounts'!$C$5:$C$3000,MATCH(R151&amp;"",'Chart of Accounts'!$A$5:$A$3000,0))&amp;"|"&amp;INDEX('Chart of Accounts'!$D$5:$D$3000,MATCH(R151&amp;"",'Chart of Accounts'!$A$5:$A$3000,0)),"")</f>
        <v/>
      </c>
      <c r="Y151" s="23">
        <f>IFERROR(INDEX('Chart of Accounts'!$C$5:$C$3000,MATCH(S151&amp;"",'Chart of Accounts'!$A$5:$A$3000,0))&amp;"|"&amp;INDEX('Chart of Accounts'!$D$5:$D$3000,MATCH(S151&amp;"",'Chart of Accounts'!$A$5:$A$3000,0)),"")</f>
        <v/>
      </c>
      <c r="Z151" s="23">
        <f>IFERROR(INDEX('Chart of Accounts'!$C$5:$C$3000,MATCH(U151&amp;"",'Chart of Accounts'!$A$5:$A$3000,0))&amp;"|"&amp;INDEX('Chart of Accounts'!$D$5:$D$3000,MATCH(U151&amp;"",'Chart of Accounts'!$A$5:$A$3000,0)),"")</f>
        <v/>
      </c>
      <c r="AA151" s="23">
        <f>IF(LEFT(V151,8)="Revenue|",-N(F151),0)+IF(LEFT(W151,8)="Revenue|",-N(M151),0)+IF(LEFT(X151,8)="Revenue|",N(O151),0)+IF(LEFT(Y151,8)="Revenue|",N(P151),0)+IF(LEFT(Z151,8)="Revenue|",N(N151),0)</f>
        <v/>
      </c>
      <c r="AB151" s="23">
        <f>IF(LEFT(V151,5)="COGS|",N(F151),0)+IF(LEFT(W151,5)="COGS|",N(M151),0)+IF(LEFT(X151,5)="COGS|",-N(O151),0)+IF(LEFT(Y151,5)="COGS|",-N(P151),0)+IF(LEFT(Z151,5)="COGS|",-N(N151),0)</f>
        <v/>
      </c>
      <c r="AC151" s="23">
        <f>IF(LEFT(V151,8)="Expense|",N(F151),0)+IF(LEFT(W151,8)="Expense|",N(M151),0)+IF(LEFT(X151,8)="Expense|",-N(O151),0)+IF(LEFT(Y151,8)="Expense|",-N(P151),0)+IF(LEFT(Z151,8)="Expense|",-N(N151),0)</f>
        <v/>
      </c>
      <c r="AD151" s="23">
        <f>IF(ISNUMBER(MATCH(V151,{"Expense|employee","Expense|general_admin","Expense|marketing","Expense|utilities","Expense|other_operating"},0)),N(F151),0)+IF(ISNUMBER(MATCH(W151,{"Expense|employee","Expense|general_admin","Expense|marketing","Expense|utilities","Expense|other_operating"},0)),N(M151),0)+IF(ISNUMBER(MATCH(X151,{"Expense|employee","Expense|general_admin","Expense|marketing","Expense|utilities","Expense|other_operating"},0)),-N(O151),0)+IF(ISNUMBER(MATCH(Y151,{"Expense|employee","Expense|general_admin","Expense|marketing","Expense|utilities","Expense|other_operating"},0)),-N(P151),0)+IF(ISNUMBER(MATCH(Z151,{"Expense|employee","Expense|general_admin","Expense|marketing","Expense|utilities","Expense|other_operating"},0)),-N(N151),0)</f>
        <v/>
      </c>
      <c r="AE151" s="23">
        <f>IF(V151="Liability|payable",-N(F151),0)+IF(W151="Liability|payable",-N(M151),0)+IF(X151="Liability|payable",N(O151),0)+IF(Y151="Liability|payable",N(P151),0)+IF(Z151="Liability|payable",N(N151),0)</f>
        <v/>
      </c>
      <c r="AF151" s="23">
        <f>IF(V151="Liability|accrued",-N(F151),0)+IF(W151="Liability|accrued",-N(M151),0)+IF(X151="Liability|accrued",N(O151),0)+IF(Y151="Liability|accrued",N(P151),0)+IF(Z151="Liability|accrued",N(N151),0)</f>
        <v/>
      </c>
      <c r="AG151" s="23">
        <f>IF(AND(N(F151)&lt;&gt;0,V151=""),1,0)+IF(AND(N(M151)&lt;&gt;0,W151=""),1,0)+IF(AND(N(O151)&lt;&gt;0,X151=""),1,0)+IF(AND(N(P151)&lt;&gt;0,Y151=""),1,0)+IF(AND(N(N151)&lt;&gt;0,Z151=""),1,0)</f>
        <v/>
      </c>
    </row>
    <row r="152">
      <c r="A152" s="19" t="n"/>
      <c r="B152" s="14" t="n"/>
      <c r="C152" s="14" t="n"/>
      <c r="D152" s="14" t="n"/>
      <c r="E152" s="14" t="n"/>
      <c r="F152" s="20" t="n"/>
      <c r="G152" s="20" t="n"/>
      <c r="H152" s="14" t="n"/>
      <c r="I152" s="14" t="n"/>
      <c r="J152" s="14" t="n"/>
      <c r="K152" s="14" t="n"/>
      <c r="L152" s="14" t="n"/>
      <c r="M152" s="21">
        <f>ROUND(N(F152)*IFERROR(VLOOKUP(K152,'Tax Codes'!$A$5:$E$300,5,FALSE),0),2)</f>
        <v/>
      </c>
      <c r="N152" s="21">
        <f>ROUND(N(F152)*IFERROR(VLOOKUP(L152,'Tax Codes'!$A$5:$E$300,5,FALSE),0),2)</f>
        <v/>
      </c>
      <c r="O152" s="21">
        <f>IF(G152="",N(F152)+M152-N152,N(G152))</f>
        <v/>
      </c>
      <c r="P152" s="21">
        <f>N(F152)+M152-N152-O152</f>
        <v/>
      </c>
      <c r="Q152" s="16">
        <f>IF(C152="",INDEX('Chart of Accounts'!$A$5:$A$3000,MATCH("other_overhead",'Chart of Accounts'!$F$5:$F$3000,0)),C152&amp;"")</f>
        <v/>
      </c>
      <c r="R152" s="16">
        <f>IF(I152="",INDEX('Chart of Accounts'!$A$5:$A$3000,MATCH("bank",'Chart of Accounts'!$F$5:$F$3000,0)),I152&amp;"")</f>
        <v/>
      </c>
      <c r="S152" s="16">
        <f>IF(J152="",INDEX('Chart of Accounts'!$A$5:$A$3000,MATCH("ap",'Chart of Accounts'!$F$5:$F$3000,0)),J152&amp;"")</f>
        <v/>
      </c>
      <c r="T152" s="16">
        <f>INDEX('Chart of Accounts'!$A$5:$A$3000,MATCH("vat_input",'Chart of Accounts'!$F$5:$F$3000,0))</f>
        <v/>
      </c>
      <c r="U152" s="16">
        <f>INDEX('Chart of Accounts'!$A$5:$A$3000,MATCH("wht_payable",'Chart of Accounts'!$F$5:$F$3000,0))</f>
        <v/>
      </c>
      <c r="V152" s="23">
        <f>IFERROR(INDEX('Chart of Accounts'!$C$5:$C$3000,MATCH(Q152&amp;"",'Chart of Accounts'!$A$5:$A$3000,0))&amp;"|"&amp;INDEX('Chart of Accounts'!$D$5:$D$3000,MATCH(Q152&amp;"",'Chart of Accounts'!$A$5:$A$3000,0)),"")</f>
        <v/>
      </c>
      <c r="W152" s="23">
        <f>IFERROR(INDEX('Chart of Accounts'!$C$5:$C$3000,MATCH(T152&amp;"",'Chart of Accounts'!$A$5:$A$3000,0))&amp;"|"&amp;INDEX('Chart of Accounts'!$D$5:$D$3000,MATCH(T152&amp;"",'Chart of Accounts'!$A$5:$A$3000,0)),"")</f>
        <v/>
      </c>
      <c r="X152" s="23">
        <f>IFERROR(INDEX('Chart of Accounts'!$C$5:$C$3000,MATCH(R152&amp;"",'Chart of Accounts'!$A$5:$A$3000,0))&amp;"|"&amp;INDEX('Chart of Accounts'!$D$5:$D$3000,MATCH(R152&amp;"",'Chart of Accounts'!$A$5:$A$3000,0)),"")</f>
        <v/>
      </c>
      <c r="Y152" s="23">
        <f>IFERROR(INDEX('Chart of Accounts'!$C$5:$C$3000,MATCH(S152&amp;"",'Chart of Accounts'!$A$5:$A$3000,0))&amp;"|"&amp;INDEX('Chart of Accounts'!$D$5:$D$3000,MATCH(S152&amp;"",'Chart of Accounts'!$A$5:$A$3000,0)),"")</f>
        <v/>
      </c>
      <c r="Z152" s="23">
        <f>IFERROR(INDEX('Chart of Accounts'!$C$5:$C$3000,MATCH(U152&amp;"",'Chart of Accounts'!$A$5:$A$3000,0))&amp;"|"&amp;INDEX('Chart of Accounts'!$D$5:$D$3000,MATCH(U152&amp;"",'Chart of Accounts'!$A$5:$A$3000,0)),"")</f>
        <v/>
      </c>
      <c r="AA152" s="23">
        <f>IF(LEFT(V152,8)="Revenue|",-N(F152),0)+IF(LEFT(W152,8)="Revenue|",-N(M152),0)+IF(LEFT(X152,8)="Revenue|",N(O152),0)+IF(LEFT(Y152,8)="Revenue|",N(P152),0)+IF(LEFT(Z152,8)="Revenue|",N(N152),0)</f>
        <v/>
      </c>
      <c r="AB152" s="23">
        <f>IF(LEFT(V152,5)="COGS|",N(F152),0)+IF(LEFT(W152,5)="COGS|",N(M152),0)+IF(LEFT(X152,5)="COGS|",-N(O152),0)+IF(LEFT(Y152,5)="COGS|",-N(P152),0)+IF(LEFT(Z152,5)="COGS|",-N(N152),0)</f>
        <v/>
      </c>
      <c r="AC152" s="23">
        <f>IF(LEFT(V152,8)="Expense|",N(F152),0)+IF(LEFT(W152,8)="Expense|",N(M152),0)+IF(LEFT(X152,8)="Expense|",-N(O152),0)+IF(LEFT(Y152,8)="Expense|",-N(P152),0)+IF(LEFT(Z152,8)="Expense|",-N(N152),0)</f>
        <v/>
      </c>
      <c r="AD152" s="23">
        <f>IF(ISNUMBER(MATCH(V152,{"Expense|employee","Expense|general_admin","Expense|marketing","Expense|utilities","Expense|other_operating"},0)),N(F152),0)+IF(ISNUMBER(MATCH(W152,{"Expense|employee","Expense|general_admin","Expense|marketing","Expense|utilities","Expense|other_operating"},0)),N(M152),0)+IF(ISNUMBER(MATCH(X152,{"Expense|employee","Expense|general_admin","Expense|marketing","Expense|utilities","Expense|other_operating"},0)),-N(O152),0)+IF(ISNUMBER(MATCH(Y152,{"Expense|employee","Expense|general_admin","Expense|marketing","Expense|utilities","Expense|other_operating"},0)),-N(P152),0)+IF(ISNUMBER(MATCH(Z152,{"Expense|employee","Expense|general_admin","Expense|marketing","Expense|utilities","Expense|other_operating"},0)),-N(N152),0)</f>
        <v/>
      </c>
      <c r="AE152" s="23">
        <f>IF(V152="Liability|payable",-N(F152),0)+IF(W152="Liability|payable",-N(M152),0)+IF(X152="Liability|payable",N(O152),0)+IF(Y152="Liability|payable",N(P152),0)+IF(Z152="Liability|payable",N(N152),0)</f>
        <v/>
      </c>
      <c r="AF152" s="23">
        <f>IF(V152="Liability|accrued",-N(F152),0)+IF(W152="Liability|accrued",-N(M152),0)+IF(X152="Liability|accrued",N(O152),0)+IF(Y152="Liability|accrued",N(P152),0)+IF(Z152="Liability|accrued",N(N152),0)</f>
        <v/>
      </c>
      <c r="AG152" s="23">
        <f>IF(AND(N(F152)&lt;&gt;0,V152=""),1,0)+IF(AND(N(M152)&lt;&gt;0,W152=""),1,0)+IF(AND(N(O152)&lt;&gt;0,X152=""),1,0)+IF(AND(N(P152)&lt;&gt;0,Y152=""),1,0)+IF(AND(N(N152)&lt;&gt;0,Z152=""),1,0)</f>
        <v/>
      </c>
    </row>
    <row r="153">
      <c r="A153" s="19" t="n"/>
      <c r="B153" s="14" t="n"/>
      <c r="C153" s="14" t="n"/>
      <c r="D153" s="14" t="n"/>
      <c r="E153" s="14" t="n"/>
      <c r="F153" s="20" t="n"/>
      <c r="G153" s="20" t="n"/>
      <c r="H153" s="14" t="n"/>
      <c r="I153" s="14" t="n"/>
      <c r="J153" s="14" t="n"/>
      <c r="K153" s="14" t="n"/>
      <c r="L153" s="14" t="n"/>
      <c r="M153" s="21">
        <f>ROUND(N(F153)*IFERROR(VLOOKUP(K153,'Tax Codes'!$A$5:$E$300,5,FALSE),0),2)</f>
        <v/>
      </c>
      <c r="N153" s="21">
        <f>ROUND(N(F153)*IFERROR(VLOOKUP(L153,'Tax Codes'!$A$5:$E$300,5,FALSE),0),2)</f>
        <v/>
      </c>
      <c r="O153" s="21">
        <f>IF(G153="",N(F153)+M153-N153,N(G153))</f>
        <v/>
      </c>
      <c r="P153" s="21">
        <f>N(F153)+M153-N153-O153</f>
        <v/>
      </c>
      <c r="Q153" s="16">
        <f>IF(C153="",INDEX('Chart of Accounts'!$A$5:$A$3000,MATCH("other_overhead",'Chart of Accounts'!$F$5:$F$3000,0)),C153&amp;"")</f>
        <v/>
      </c>
      <c r="R153" s="16">
        <f>IF(I153="",INDEX('Chart of Accounts'!$A$5:$A$3000,MATCH("bank",'Chart of Accounts'!$F$5:$F$3000,0)),I153&amp;"")</f>
        <v/>
      </c>
      <c r="S153" s="16">
        <f>IF(J153="",INDEX('Chart of Accounts'!$A$5:$A$3000,MATCH("ap",'Chart of Accounts'!$F$5:$F$3000,0)),J153&amp;"")</f>
        <v/>
      </c>
      <c r="T153" s="16">
        <f>INDEX('Chart of Accounts'!$A$5:$A$3000,MATCH("vat_input",'Chart of Accounts'!$F$5:$F$3000,0))</f>
        <v/>
      </c>
      <c r="U153" s="16">
        <f>INDEX('Chart of Accounts'!$A$5:$A$3000,MATCH("wht_payable",'Chart of Accounts'!$F$5:$F$3000,0))</f>
        <v/>
      </c>
      <c r="V153" s="23">
        <f>IFERROR(INDEX('Chart of Accounts'!$C$5:$C$3000,MATCH(Q153&amp;"",'Chart of Accounts'!$A$5:$A$3000,0))&amp;"|"&amp;INDEX('Chart of Accounts'!$D$5:$D$3000,MATCH(Q153&amp;"",'Chart of Accounts'!$A$5:$A$3000,0)),"")</f>
        <v/>
      </c>
      <c r="W153" s="23">
        <f>IFERROR(INDEX('Chart of Accounts'!$C$5:$C$3000,MATCH(T153&amp;"",'Chart of Accounts'!$A$5:$A$3000,0))&amp;"|"&amp;INDEX('Chart of Accounts'!$D$5:$D$3000,MATCH(T153&amp;"",'Chart of Accounts'!$A$5:$A$3000,0)),"")</f>
        <v/>
      </c>
      <c r="X153" s="23">
        <f>IFERROR(INDEX('Chart of Accounts'!$C$5:$C$3000,MATCH(R153&amp;"",'Chart of Accounts'!$A$5:$A$3000,0))&amp;"|"&amp;INDEX('Chart of Accounts'!$D$5:$D$3000,MATCH(R153&amp;"",'Chart of Accounts'!$A$5:$A$3000,0)),"")</f>
        <v/>
      </c>
      <c r="Y153" s="23">
        <f>IFERROR(INDEX('Chart of Accounts'!$C$5:$C$3000,MATCH(S153&amp;"",'Chart of Accounts'!$A$5:$A$3000,0))&amp;"|"&amp;INDEX('Chart of Accounts'!$D$5:$D$3000,MATCH(S153&amp;"",'Chart of Accounts'!$A$5:$A$3000,0)),"")</f>
        <v/>
      </c>
      <c r="Z153" s="23">
        <f>IFERROR(INDEX('Chart of Accounts'!$C$5:$C$3000,MATCH(U153&amp;"",'Chart of Accounts'!$A$5:$A$3000,0))&amp;"|"&amp;INDEX('Chart of Accounts'!$D$5:$D$3000,MATCH(U153&amp;"",'Chart of Accounts'!$A$5:$A$3000,0)),"")</f>
        <v/>
      </c>
      <c r="AA153" s="23">
        <f>IF(LEFT(V153,8)="Revenue|",-N(F153),0)+IF(LEFT(W153,8)="Revenue|",-N(M153),0)+IF(LEFT(X153,8)="Revenue|",N(O153),0)+IF(LEFT(Y153,8)="Revenue|",N(P153),0)+IF(LEFT(Z153,8)="Revenue|",N(N153),0)</f>
        <v/>
      </c>
      <c r="AB153" s="23">
        <f>IF(LEFT(V153,5)="COGS|",N(F153),0)+IF(LEFT(W153,5)="COGS|",N(M153),0)+IF(LEFT(X153,5)="COGS|",-N(O153),0)+IF(LEFT(Y153,5)="COGS|",-N(P153),0)+IF(LEFT(Z153,5)="COGS|",-N(N153),0)</f>
        <v/>
      </c>
      <c r="AC153" s="23">
        <f>IF(LEFT(V153,8)="Expense|",N(F153),0)+IF(LEFT(W153,8)="Expense|",N(M153),0)+IF(LEFT(X153,8)="Expense|",-N(O153),0)+IF(LEFT(Y153,8)="Expense|",-N(P153),0)+IF(LEFT(Z153,8)="Expense|",-N(N153),0)</f>
        <v/>
      </c>
      <c r="AD153" s="23">
        <f>IF(ISNUMBER(MATCH(V153,{"Expense|employee","Expense|general_admin","Expense|marketing","Expense|utilities","Expense|other_operating"},0)),N(F153),0)+IF(ISNUMBER(MATCH(W153,{"Expense|employee","Expense|general_admin","Expense|marketing","Expense|utilities","Expense|other_operating"},0)),N(M153),0)+IF(ISNUMBER(MATCH(X153,{"Expense|employee","Expense|general_admin","Expense|marketing","Expense|utilities","Expense|other_operating"},0)),-N(O153),0)+IF(ISNUMBER(MATCH(Y153,{"Expense|employee","Expense|general_admin","Expense|marketing","Expense|utilities","Expense|other_operating"},0)),-N(P153),0)+IF(ISNUMBER(MATCH(Z153,{"Expense|employee","Expense|general_admin","Expense|marketing","Expense|utilities","Expense|other_operating"},0)),-N(N153),0)</f>
        <v/>
      </c>
      <c r="AE153" s="23">
        <f>IF(V153="Liability|payable",-N(F153),0)+IF(W153="Liability|payable",-N(M153),0)+IF(X153="Liability|payable",N(O153),0)+IF(Y153="Liability|payable",N(P153),0)+IF(Z153="Liability|payable",N(N153),0)</f>
        <v/>
      </c>
      <c r="AF153" s="23">
        <f>IF(V153="Liability|accrued",-N(F153),0)+IF(W153="Liability|accrued",-N(M153),0)+IF(X153="Liability|accrued",N(O153),0)+IF(Y153="Liability|accrued",N(P153),0)+IF(Z153="Liability|accrued",N(N153),0)</f>
        <v/>
      </c>
      <c r="AG153" s="23">
        <f>IF(AND(N(F153)&lt;&gt;0,V153=""),1,0)+IF(AND(N(M153)&lt;&gt;0,W153=""),1,0)+IF(AND(N(O153)&lt;&gt;0,X153=""),1,0)+IF(AND(N(P153)&lt;&gt;0,Y153=""),1,0)+IF(AND(N(N153)&lt;&gt;0,Z153=""),1,0)</f>
        <v/>
      </c>
    </row>
    <row r="154">
      <c r="A154" s="19" t="n"/>
      <c r="B154" s="14" t="n"/>
      <c r="C154" s="14" t="n"/>
      <c r="D154" s="14" t="n"/>
      <c r="E154" s="14" t="n"/>
      <c r="F154" s="20" t="n"/>
      <c r="G154" s="20" t="n"/>
      <c r="H154" s="14" t="n"/>
      <c r="I154" s="14" t="n"/>
      <c r="J154" s="14" t="n"/>
      <c r="K154" s="14" t="n"/>
      <c r="L154" s="14" t="n"/>
      <c r="M154" s="21">
        <f>ROUND(N(F154)*IFERROR(VLOOKUP(K154,'Tax Codes'!$A$5:$E$300,5,FALSE),0),2)</f>
        <v/>
      </c>
      <c r="N154" s="21">
        <f>ROUND(N(F154)*IFERROR(VLOOKUP(L154,'Tax Codes'!$A$5:$E$300,5,FALSE),0),2)</f>
        <v/>
      </c>
      <c r="O154" s="21">
        <f>IF(G154="",N(F154)+M154-N154,N(G154))</f>
        <v/>
      </c>
      <c r="P154" s="21">
        <f>N(F154)+M154-N154-O154</f>
        <v/>
      </c>
      <c r="Q154" s="16">
        <f>IF(C154="",INDEX('Chart of Accounts'!$A$5:$A$3000,MATCH("other_overhead",'Chart of Accounts'!$F$5:$F$3000,0)),C154&amp;"")</f>
        <v/>
      </c>
      <c r="R154" s="16">
        <f>IF(I154="",INDEX('Chart of Accounts'!$A$5:$A$3000,MATCH("bank",'Chart of Accounts'!$F$5:$F$3000,0)),I154&amp;"")</f>
        <v/>
      </c>
      <c r="S154" s="16">
        <f>IF(J154="",INDEX('Chart of Accounts'!$A$5:$A$3000,MATCH("ap",'Chart of Accounts'!$F$5:$F$3000,0)),J154&amp;"")</f>
        <v/>
      </c>
      <c r="T154" s="16">
        <f>INDEX('Chart of Accounts'!$A$5:$A$3000,MATCH("vat_input",'Chart of Accounts'!$F$5:$F$3000,0))</f>
        <v/>
      </c>
      <c r="U154" s="16">
        <f>INDEX('Chart of Accounts'!$A$5:$A$3000,MATCH("wht_payable",'Chart of Accounts'!$F$5:$F$3000,0))</f>
        <v/>
      </c>
      <c r="V154" s="23">
        <f>IFERROR(INDEX('Chart of Accounts'!$C$5:$C$3000,MATCH(Q154&amp;"",'Chart of Accounts'!$A$5:$A$3000,0))&amp;"|"&amp;INDEX('Chart of Accounts'!$D$5:$D$3000,MATCH(Q154&amp;"",'Chart of Accounts'!$A$5:$A$3000,0)),"")</f>
        <v/>
      </c>
      <c r="W154" s="23">
        <f>IFERROR(INDEX('Chart of Accounts'!$C$5:$C$3000,MATCH(T154&amp;"",'Chart of Accounts'!$A$5:$A$3000,0))&amp;"|"&amp;INDEX('Chart of Accounts'!$D$5:$D$3000,MATCH(T154&amp;"",'Chart of Accounts'!$A$5:$A$3000,0)),"")</f>
        <v/>
      </c>
      <c r="X154" s="23">
        <f>IFERROR(INDEX('Chart of Accounts'!$C$5:$C$3000,MATCH(R154&amp;"",'Chart of Accounts'!$A$5:$A$3000,0))&amp;"|"&amp;INDEX('Chart of Accounts'!$D$5:$D$3000,MATCH(R154&amp;"",'Chart of Accounts'!$A$5:$A$3000,0)),"")</f>
        <v/>
      </c>
      <c r="Y154" s="23">
        <f>IFERROR(INDEX('Chart of Accounts'!$C$5:$C$3000,MATCH(S154&amp;"",'Chart of Accounts'!$A$5:$A$3000,0))&amp;"|"&amp;INDEX('Chart of Accounts'!$D$5:$D$3000,MATCH(S154&amp;"",'Chart of Accounts'!$A$5:$A$3000,0)),"")</f>
        <v/>
      </c>
      <c r="Z154" s="23">
        <f>IFERROR(INDEX('Chart of Accounts'!$C$5:$C$3000,MATCH(U154&amp;"",'Chart of Accounts'!$A$5:$A$3000,0))&amp;"|"&amp;INDEX('Chart of Accounts'!$D$5:$D$3000,MATCH(U154&amp;"",'Chart of Accounts'!$A$5:$A$3000,0)),"")</f>
        <v/>
      </c>
      <c r="AA154" s="23">
        <f>IF(LEFT(V154,8)="Revenue|",-N(F154),0)+IF(LEFT(W154,8)="Revenue|",-N(M154),0)+IF(LEFT(X154,8)="Revenue|",N(O154),0)+IF(LEFT(Y154,8)="Revenue|",N(P154),0)+IF(LEFT(Z154,8)="Revenue|",N(N154),0)</f>
        <v/>
      </c>
      <c r="AB154" s="23">
        <f>IF(LEFT(V154,5)="COGS|",N(F154),0)+IF(LEFT(W154,5)="COGS|",N(M154),0)+IF(LEFT(X154,5)="COGS|",-N(O154),0)+IF(LEFT(Y154,5)="COGS|",-N(P154),0)+IF(LEFT(Z154,5)="COGS|",-N(N154),0)</f>
        <v/>
      </c>
      <c r="AC154" s="23">
        <f>IF(LEFT(V154,8)="Expense|",N(F154),0)+IF(LEFT(W154,8)="Expense|",N(M154),0)+IF(LEFT(X154,8)="Expense|",-N(O154),0)+IF(LEFT(Y154,8)="Expense|",-N(P154),0)+IF(LEFT(Z154,8)="Expense|",-N(N154),0)</f>
        <v/>
      </c>
      <c r="AD154" s="23">
        <f>IF(ISNUMBER(MATCH(V154,{"Expense|employee","Expense|general_admin","Expense|marketing","Expense|utilities","Expense|other_operating"},0)),N(F154),0)+IF(ISNUMBER(MATCH(W154,{"Expense|employee","Expense|general_admin","Expense|marketing","Expense|utilities","Expense|other_operating"},0)),N(M154),0)+IF(ISNUMBER(MATCH(X154,{"Expense|employee","Expense|general_admin","Expense|marketing","Expense|utilities","Expense|other_operating"},0)),-N(O154),0)+IF(ISNUMBER(MATCH(Y154,{"Expense|employee","Expense|general_admin","Expense|marketing","Expense|utilities","Expense|other_operating"},0)),-N(P154),0)+IF(ISNUMBER(MATCH(Z154,{"Expense|employee","Expense|general_admin","Expense|marketing","Expense|utilities","Expense|other_operating"},0)),-N(N154),0)</f>
        <v/>
      </c>
      <c r="AE154" s="23">
        <f>IF(V154="Liability|payable",-N(F154),0)+IF(W154="Liability|payable",-N(M154),0)+IF(X154="Liability|payable",N(O154),0)+IF(Y154="Liability|payable",N(P154),0)+IF(Z154="Liability|payable",N(N154),0)</f>
        <v/>
      </c>
      <c r="AF154" s="23">
        <f>IF(V154="Liability|accrued",-N(F154),0)+IF(W154="Liability|accrued",-N(M154),0)+IF(X154="Liability|accrued",N(O154),0)+IF(Y154="Liability|accrued",N(P154),0)+IF(Z154="Liability|accrued",N(N154),0)</f>
        <v/>
      </c>
      <c r="AG154" s="23">
        <f>IF(AND(N(F154)&lt;&gt;0,V154=""),1,0)+IF(AND(N(M154)&lt;&gt;0,W154=""),1,0)+IF(AND(N(O154)&lt;&gt;0,X154=""),1,0)+IF(AND(N(P154)&lt;&gt;0,Y154=""),1,0)+IF(AND(N(N154)&lt;&gt;0,Z154=""),1,0)</f>
        <v/>
      </c>
    </row>
    <row r="155">
      <c r="A155" s="19" t="n"/>
      <c r="B155" s="14" t="n"/>
      <c r="C155" s="14" t="n"/>
      <c r="D155" s="14" t="n"/>
      <c r="E155" s="14" t="n"/>
      <c r="F155" s="20" t="n"/>
      <c r="G155" s="20" t="n"/>
      <c r="H155" s="14" t="n"/>
      <c r="I155" s="14" t="n"/>
      <c r="J155" s="14" t="n"/>
      <c r="K155" s="14" t="n"/>
      <c r="L155" s="14" t="n"/>
      <c r="M155" s="21">
        <f>ROUND(N(F155)*IFERROR(VLOOKUP(K155,'Tax Codes'!$A$5:$E$300,5,FALSE),0),2)</f>
        <v/>
      </c>
      <c r="N155" s="21">
        <f>ROUND(N(F155)*IFERROR(VLOOKUP(L155,'Tax Codes'!$A$5:$E$300,5,FALSE),0),2)</f>
        <v/>
      </c>
      <c r="O155" s="21">
        <f>IF(G155="",N(F155)+M155-N155,N(G155))</f>
        <v/>
      </c>
      <c r="P155" s="21">
        <f>N(F155)+M155-N155-O155</f>
        <v/>
      </c>
      <c r="Q155" s="16">
        <f>IF(C155="",INDEX('Chart of Accounts'!$A$5:$A$3000,MATCH("other_overhead",'Chart of Accounts'!$F$5:$F$3000,0)),C155&amp;"")</f>
        <v/>
      </c>
      <c r="R155" s="16">
        <f>IF(I155="",INDEX('Chart of Accounts'!$A$5:$A$3000,MATCH("bank",'Chart of Accounts'!$F$5:$F$3000,0)),I155&amp;"")</f>
        <v/>
      </c>
      <c r="S155" s="16">
        <f>IF(J155="",INDEX('Chart of Accounts'!$A$5:$A$3000,MATCH("ap",'Chart of Accounts'!$F$5:$F$3000,0)),J155&amp;"")</f>
        <v/>
      </c>
      <c r="T155" s="16">
        <f>INDEX('Chart of Accounts'!$A$5:$A$3000,MATCH("vat_input",'Chart of Accounts'!$F$5:$F$3000,0))</f>
        <v/>
      </c>
      <c r="U155" s="16">
        <f>INDEX('Chart of Accounts'!$A$5:$A$3000,MATCH("wht_payable",'Chart of Accounts'!$F$5:$F$3000,0))</f>
        <v/>
      </c>
      <c r="V155" s="23">
        <f>IFERROR(INDEX('Chart of Accounts'!$C$5:$C$3000,MATCH(Q155&amp;"",'Chart of Accounts'!$A$5:$A$3000,0))&amp;"|"&amp;INDEX('Chart of Accounts'!$D$5:$D$3000,MATCH(Q155&amp;"",'Chart of Accounts'!$A$5:$A$3000,0)),"")</f>
        <v/>
      </c>
      <c r="W155" s="23">
        <f>IFERROR(INDEX('Chart of Accounts'!$C$5:$C$3000,MATCH(T155&amp;"",'Chart of Accounts'!$A$5:$A$3000,0))&amp;"|"&amp;INDEX('Chart of Accounts'!$D$5:$D$3000,MATCH(T155&amp;"",'Chart of Accounts'!$A$5:$A$3000,0)),"")</f>
        <v/>
      </c>
      <c r="X155" s="23">
        <f>IFERROR(INDEX('Chart of Accounts'!$C$5:$C$3000,MATCH(R155&amp;"",'Chart of Accounts'!$A$5:$A$3000,0))&amp;"|"&amp;INDEX('Chart of Accounts'!$D$5:$D$3000,MATCH(R155&amp;"",'Chart of Accounts'!$A$5:$A$3000,0)),"")</f>
        <v/>
      </c>
      <c r="Y155" s="23">
        <f>IFERROR(INDEX('Chart of Accounts'!$C$5:$C$3000,MATCH(S155&amp;"",'Chart of Accounts'!$A$5:$A$3000,0))&amp;"|"&amp;INDEX('Chart of Accounts'!$D$5:$D$3000,MATCH(S155&amp;"",'Chart of Accounts'!$A$5:$A$3000,0)),"")</f>
        <v/>
      </c>
      <c r="Z155" s="23">
        <f>IFERROR(INDEX('Chart of Accounts'!$C$5:$C$3000,MATCH(U155&amp;"",'Chart of Accounts'!$A$5:$A$3000,0))&amp;"|"&amp;INDEX('Chart of Accounts'!$D$5:$D$3000,MATCH(U155&amp;"",'Chart of Accounts'!$A$5:$A$3000,0)),"")</f>
        <v/>
      </c>
      <c r="AA155" s="23">
        <f>IF(LEFT(V155,8)="Revenue|",-N(F155),0)+IF(LEFT(W155,8)="Revenue|",-N(M155),0)+IF(LEFT(X155,8)="Revenue|",N(O155),0)+IF(LEFT(Y155,8)="Revenue|",N(P155),0)+IF(LEFT(Z155,8)="Revenue|",N(N155),0)</f>
        <v/>
      </c>
      <c r="AB155" s="23">
        <f>IF(LEFT(V155,5)="COGS|",N(F155),0)+IF(LEFT(W155,5)="COGS|",N(M155),0)+IF(LEFT(X155,5)="COGS|",-N(O155),0)+IF(LEFT(Y155,5)="COGS|",-N(P155),0)+IF(LEFT(Z155,5)="COGS|",-N(N155),0)</f>
        <v/>
      </c>
      <c r="AC155" s="23">
        <f>IF(LEFT(V155,8)="Expense|",N(F155),0)+IF(LEFT(W155,8)="Expense|",N(M155),0)+IF(LEFT(X155,8)="Expense|",-N(O155),0)+IF(LEFT(Y155,8)="Expense|",-N(P155),0)+IF(LEFT(Z155,8)="Expense|",-N(N155),0)</f>
        <v/>
      </c>
      <c r="AD155" s="23">
        <f>IF(ISNUMBER(MATCH(V155,{"Expense|employee","Expense|general_admin","Expense|marketing","Expense|utilities","Expense|other_operating"},0)),N(F155),0)+IF(ISNUMBER(MATCH(W155,{"Expense|employee","Expense|general_admin","Expense|marketing","Expense|utilities","Expense|other_operating"},0)),N(M155),0)+IF(ISNUMBER(MATCH(X155,{"Expense|employee","Expense|general_admin","Expense|marketing","Expense|utilities","Expense|other_operating"},0)),-N(O155),0)+IF(ISNUMBER(MATCH(Y155,{"Expense|employee","Expense|general_admin","Expense|marketing","Expense|utilities","Expense|other_operating"},0)),-N(P155),0)+IF(ISNUMBER(MATCH(Z155,{"Expense|employee","Expense|general_admin","Expense|marketing","Expense|utilities","Expense|other_operating"},0)),-N(N155),0)</f>
        <v/>
      </c>
      <c r="AE155" s="23">
        <f>IF(V155="Liability|payable",-N(F155),0)+IF(W155="Liability|payable",-N(M155),0)+IF(X155="Liability|payable",N(O155),0)+IF(Y155="Liability|payable",N(P155),0)+IF(Z155="Liability|payable",N(N155),0)</f>
        <v/>
      </c>
      <c r="AF155" s="23">
        <f>IF(V155="Liability|accrued",-N(F155),0)+IF(W155="Liability|accrued",-N(M155),0)+IF(X155="Liability|accrued",N(O155),0)+IF(Y155="Liability|accrued",N(P155),0)+IF(Z155="Liability|accrued",N(N155),0)</f>
        <v/>
      </c>
      <c r="AG155" s="23">
        <f>IF(AND(N(F155)&lt;&gt;0,V155=""),1,0)+IF(AND(N(M155)&lt;&gt;0,W155=""),1,0)+IF(AND(N(O155)&lt;&gt;0,X155=""),1,0)+IF(AND(N(P155)&lt;&gt;0,Y155=""),1,0)+IF(AND(N(N155)&lt;&gt;0,Z155=""),1,0)</f>
        <v/>
      </c>
    </row>
    <row r="156">
      <c r="A156" s="19" t="n"/>
      <c r="B156" s="14" t="n"/>
      <c r="C156" s="14" t="n"/>
      <c r="D156" s="14" t="n"/>
      <c r="E156" s="14" t="n"/>
      <c r="F156" s="20" t="n"/>
      <c r="G156" s="20" t="n"/>
      <c r="H156" s="14" t="n"/>
      <c r="I156" s="14" t="n"/>
      <c r="J156" s="14" t="n"/>
      <c r="K156" s="14" t="n"/>
      <c r="L156" s="14" t="n"/>
      <c r="M156" s="21">
        <f>ROUND(N(F156)*IFERROR(VLOOKUP(K156,'Tax Codes'!$A$5:$E$300,5,FALSE),0),2)</f>
        <v/>
      </c>
      <c r="N156" s="21">
        <f>ROUND(N(F156)*IFERROR(VLOOKUP(L156,'Tax Codes'!$A$5:$E$300,5,FALSE),0),2)</f>
        <v/>
      </c>
      <c r="O156" s="21">
        <f>IF(G156="",N(F156)+M156-N156,N(G156))</f>
        <v/>
      </c>
      <c r="P156" s="21">
        <f>N(F156)+M156-N156-O156</f>
        <v/>
      </c>
      <c r="Q156" s="16">
        <f>IF(C156="",INDEX('Chart of Accounts'!$A$5:$A$3000,MATCH("other_overhead",'Chart of Accounts'!$F$5:$F$3000,0)),C156&amp;"")</f>
        <v/>
      </c>
      <c r="R156" s="16">
        <f>IF(I156="",INDEX('Chart of Accounts'!$A$5:$A$3000,MATCH("bank",'Chart of Accounts'!$F$5:$F$3000,0)),I156&amp;"")</f>
        <v/>
      </c>
      <c r="S156" s="16">
        <f>IF(J156="",INDEX('Chart of Accounts'!$A$5:$A$3000,MATCH("ap",'Chart of Accounts'!$F$5:$F$3000,0)),J156&amp;"")</f>
        <v/>
      </c>
      <c r="T156" s="16">
        <f>INDEX('Chart of Accounts'!$A$5:$A$3000,MATCH("vat_input",'Chart of Accounts'!$F$5:$F$3000,0))</f>
        <v/>
      </c>
      <c r="U156" s="16">
        <f>INDEX('Chart of Accounts'!$A$5:$A$3000,MATCH("wht_payable",'Chart of Accounts'!$F$5:$F$3000,0))</f>
        <v/>
      </c>
      <c r="V156" s="23">
        <f>IFERROR(INDEX('Chart of Accounts'!$C$5:$C$3000,MATCH(Q156&amp;"",'Chart of Accounts'!$A$5:$A$3000,0))&amp;"|"&amp;INDEX('Chart of Accounts'!$D$5:$D$3000,MATCH(Q156&amp;"",'Chart of Accounts'!$A$5:$A$3000,0)),"")</f>
        <v/>
      </c>
      <c r="W156" s="23">
        <f>IFERROR(INDEX('Chart of Accounts'!$C$5:$C$3000,MATCH(T156&amp;"",'Chart of Accounts'!$A$5:$A$3000,0))&amp;"|"&amp;INDEX('Chart of Accounts'!$D$5:$D$3000,MATCH(T156&amp;"",'Chart of Accounts'!$A$5:$A$3000,0)),"")</f>
        <v/>
      </c>
      <c r="X156" s="23">
        <f>IFERROR(INDEX('Chart of Accounts'!$C$5:$C$3000,MATCH(R156&amp;"",'Chart of Accounts'!$A$5:$A$3000,0))&amp;"|"&amp;INDEX('Chart of Accounts'!$D$5:$D$3000,MATCH(R156&amp;"",'Chart of Accounts'!$A$5:$A$3000,0)),"")</f>
        <v/>
      </c>
      <c r="Y156" s="23">
        <f>IFERROR(INDEX('Chart of Accounts'!$C$5:$C$3000,MATCH(S156&amp;"",'Chart of Accounts'!$A$5:$A$3000,0))&amp;"|"&amp;INDEX('Chart of Accounts'!$D$5:$D$3000,MATCH(S156&amp;"",'Chart of Accounts'!$A$5:$A$3000,0)),"")</f>
        <v/>
      </c>
      <c r="Z156" s="23">
        <f>IFERROR(INDEX('Chart of Accounts'!$C$5:$C$3000,MATCH(U156&amp;"",'Chart of Accounts'!$A$5:$A$3000,0))&amp;"|"&amp;INDEX('Chart of Accounts'!$D$5:$D$3000,MATCH(U156&amp;"",'Chart of Accounts'!$A$5:$A$3000,0)),"")</f>
        <v/>
      </c>
      <c r="AA156" s="23">
        <f>IF(LEFT(V156,8)="Revenue|",-N(F156),0)+IF(LEFT(W156,8)="Revenue|",-N(M156),0)+IF(LEFT(X156,8)="Revenue|",N(O156),0)+IF(LEFT(Y156,8)="Revenue|",N(P156),0)+IF(LEFT(Z156,8)="Revenue|",N(N156),0)</f>
        <v/>
      </c>
      <c r="AB156" s="23">
        <f>IF(LEFT(V156,5)="COGS|",N(F156),0)+IF(LEFT(W156,5)="COGS|",N(M156),0)+IF(LEFT(X156,5)="COGS|",-N(O156),0)+IF(LEFT(Y156,5)="COGS|",-N(P156),0)+IF(LEFT(Z156,5)="COGS|",-N(N156),0)</f>
        <v/>
      </c>
      <c r="AC156" s="23">
        <f>IF(LEFT(V156,8)="Expense|",N(F156),0)+IF(LEFT(W156,8)="Expense|",N(M156),0)+IF(LEFT(X156,8)="Expense|",-N(O156),0)+IF(LEFT(Y156,8)="Expense|",-N(P156),0)+IF(LEFT(Z156,8)="Expense|",-N(N156),0)</f>
        <v/>
      </c>
      <c r="AD156" s="23">
        <f>IF(ISNUMBER(MATCH(V156,{"Expense|employee","Expense|general_admin","Expense|marketing","Expense|utilities","Expense|other_operating"},0)),N(F156),0)+IF(ISNUMBER(MATCH(W156,{"Expense|employee","Expense|general_admin","Expense|marketing","Expense|utilities","Expense|other_operating"},0)),N(M156),0)+IF(ISNUMBER(MATCH(X156,{"Expense|employee","Expense|general_admin","Expense|marketing","Expense|utilities","Expense|other_operating"},0)),-N(O156),0)+IF(ISNUMBER(MATCH(Y156,{"Expense|employee","Expense|general_admin","Expense|marketing","Expense|utilities","Expense|other_operating"},0)),-N(P156),0)+IF(ISNUMBER(MATCH(Z156,{"Expense|employee","Expense|general_admin","Expense|marketing","Expense|utilities","Expense|other_operating"},0)),-N(N156),0)</f>
        <v/>
      </c>
      <c r="AE156" s="23">
        <f>IF(V156="Liability|payable",-N(F156),0)+IF(W156="Liability|payable",-N(M156),0)+IF(X156="Liability|payable",N(O156),0)+IF(Y156="Liability|payable",N(P156),0)+IF(Z156="Liability|payable",N(N156),0)</f>
        <v/>
      </c>
      <c r="AF156" s="23">
        <f>IF(V156="Liability|accrued",-N(F156),0)+IF(W156="Liability|accrued",-N(M156),0)+IF(X156="Liability|accrued",N(O156),0)+IF(Y156="Liability|accrued",N(P156),0)+IF(Z156="Liability|accrued",N(N156),0)</f>
        <v/>
      </c>
      <c r="AG156" s="23">
        <f>IF(AND(N(F156)&lt;&gt;0,V156=""),1,0)+IF(AND(N(M156)&lt;&gt;0,W156=""),1,0)+IF(AND(N(O156)&lt;&gt;0,X156=""),1,0)+IF(AND(N(P156)&lt;&gt;0,Y156=""),1,0)+IF(AND(N(N156)&lt;&gt;0,Z156=""),1,0)</f>
        <v/>
      </c>
    </row>
    <row r="157">
      <c r="A157" s="19" t="n"/>
      <c r="B157" s="14" t="n"/>
      <c r="C157" s="14" t="n"/>
      <c r="D157" s="14" t="n"/>
      <c r="E157" s="14" t="n"/>
      <c r="F157" s="20" t="n"/>
      <c r="G157" s="20" t="n"/>
      <c r="H157" s="14" t="n"/>
      <c r="I157" s="14" t="n"/>
      <c r="J157" s="14" t="n"/>
      <c r="K157" s="14" t="n"/>
      <c r="L157" s="14" t="n"/>
      <c r="M157" s="21">
        <f>ROUND(N(F157)*IFERROR(VLOOKUP(K157,'Tax Codes'!$A$5:$E$300,5,FALSE),0),2)</f>
        <v/>
      </c>
      <c r="N157" s="21">
        <f>ROUND(N(F157)*IFERROR(VLOOKUP(L157,'Tax Codes'!$A$5:$E$300,5,FALSE),0),2)</f>
        <v/>
      </c>
      <c r="O157" s="21">
        <f>IF(G157="",N(F157)+M157-N157,N(G157))</f>
        <v/>
      </c>
      <c r="P157" s="21">
        <f>N(F157)+M157-N157-O157</f>
        <v/>
      </c>
      <c r="Q157" s="16">
        <f>IF(C157="",INDEX('Chart of Accounts'!$A$5:$A$3000,MATCH("other_overhead",'Chart of Accounts'!$F$5:$F$3000,0)),C157&amp;"")</f>
        <v/>
      </c>
      <c r="R157" s="16">
        <f>IF(I157="",INDEX('Chart of Accounts'!$A$5:$A$3000,MATCH("bank",'Chart of Accounts'!$F$5:$F$3000,0)),I157&amp;"")</f>
        <v/>
      </c>
      <c r="S157" s="16">
        <f>IF(J157="",INDEX('Chart of Accounts'!$A$5:$A$3000,MATCH("ap",'Chart of Accounts'!$F$5:$F$3000,0)),J157&amp;"")</f>
        <v/>
      </c>
      <c r="T157" s="16">
        <f>INDEX('Chart of Accounts'!$A$5:$A$3000,MATCH("vat_input",'Chart of Accounts'!$F$5:$F$3000,0))</f>
        <v/>
      </c>
      <c r="U157" s="16">
        <f>INDEX('Chart of Accounts'!$A$5:$A$3000,MATCH("wht_payable",'Chart of Accounts'!$F$5:$F$3000,0))</f>
        <v/>
      </c>
      <c r="V157" s="23">
        <f>IFERROR(INDEX('Chart of Accounts'!$C$5:$C$3000,MATCH(Q157&amp;"",'Chart of Accounts'!$A$5:$A$3000,0))&amp;"|"&amp;INDEX('Chart of Accounts'!$D$5:$D$3000,MATCH(Q157&amp;"",'Chart of Accounts'!$A$5:$A$3000,0)),"")</f>
        <v/>
      </c>
      <c r="W157" s="23">
        <f>IFERROR(INDEX('Chart of Accounts'!$C$5:$C$3000,MATCH(T157&amp;"",'Chart of Accounts'!$A$5:$A$3000,0))&amp;"|"&amp;INDEX('Chart of Accounts'!$D$5:$D$3000,MATCH(T157&amp;"",'Chart of Accounts'!$A$5:$A$3000,0)),"")</f>
        <v/>
      </c>
      <c r="X157" s="23">
        <f>IFERROR(INDEX('Chart of Accounts'!$C$5:$C$3000,MATCH(R157&amp;"",'Chart of Accounts'!$A$5:$A$3000,0))&amp;"|"&amp;INDEX('Chart of Accounts'!$D$5:$D$3000,MATCH(R157&amp;"",'Chart of Accounts'!$A$5:$A$3000,0)),"")</f>
        <v/>
      </c>
      <c r="Y157" s="23">
        <f>IFERROR(INDEX('Chart of Accounts'!$C$5:$C$3000,MATCH(S157&amp;"",'Chart of Accounts'!$A$5:$A$3000,0))&amp;"|"&amp;INDEX('Chart of Accounts'!$D$5:$D$3000,MATCH(S157&amp;"",'Chart of Accounts'!$A$5:$A$3000,0)),"")</f>
        <v/>
      </c>
      <c r="Z157" s="23">
        <f>IFERROR(INDEX('Chart of Accounts'!$C$5:$C$3000,MATCH(U157&amp;"",'Chart of Accounts'!$A$5:$A$3000,0))&amp;"|"&amp;INDEX('Chart of Accounts'!$D$5:$D$3000,MATCH(U157&amp;"",'Chart of Accounts'!$A$5:$A$3000,0)),"")</f>
        <v/>
      </c>
      <c r="AA157" s="23">
        <f>IF(LEFT(V157,8)="Revenue|",-N(F157),0)+IF(LEFT(W157,8)="Revenue|",-N(M157),0)+IF(LEFT(X157,8)="Revenue|",N(O157),0)+IF(LEFT(Y157,8)="Revenue|",N(P157),0)+IF(LEFT(Z157,8)="Revenue|",N(N157),0)</f>
        <v/>
      </c>
      <c r="AB157" s="23">
        <f>IF(LEFT(V157,5)="COGS|",N(F157),0)+IF(LEFT(W157,5)="COGS|",N(M157),0)+IF(LEFT(X157,5)="COGS|",-N(O157),0)+IF(LEFT(Y157,5)="COGS|",-N(P157),0)+IF(LEFT(Z157,5)="COGS|",-N(N157),0)</f>
        <v/>
      </c>
      <c r="AC157" s="23">
        <f>IF(LEFT(V157,8)="Expense|",N(F157),0)+IF(LEFT(W157,8)="Expense|",N(M157),0)+IF(LEFT(X157,8)="Expense|",-N(O157),0)+IF(LEFT(Y157,8)="Expense|",-N(P157),0)+IF(LEFT(Z157,8)="Expense|",-N(N157),0)</f>
        <v/>
      </c>
      <c r="AD157" s="23">
        <f>IF(ISNUMBER(MATCH(V157,{"Expense|employee","Expense|general_admin","Expense|marketing","Expense|utilities","Expense|other_operating"},0)),N(F157),0)+IF(ISNUMBER(MATCH(W157,{"Expense|employee","Expense|general_admin","Expense|marketing","Expense|utilities","Expense|other_operating"},0)),N(M157),0)+IF(ISNUMBER(MATCH(X157,{"Expense|employee","Expense|general_admin","Expense|marketing","Expense|utilities","Expense|other_operating"},0)),-N(O157),0)+IF(ISNUMBER(MATCH(Y157,{"Expense|employee","Expense|general_admin","Expense|marketing","Expense|utilities","Expense|other_operating"},0)),-N(P157),0)+IF(ISNUMBER(MATCH(Z157,{"Expense|employee","Expense|general_admin","Expense|marketing","Expense|utilities","Expense|other_operating"},0)),-N(N157),0)</f>
        <v/>
      </c>
      <c r="AE157" s="23">
        <f>IF(V157="Liability|payable",-N(F157),0)+IF(W157="Liability|payable",-N(M157),0)+IF(X157="Liability|payable",N(O157),0)+IF(Y157="Liability|payable",N(P157),0)+IF(Z157="Liability|payable",N(N157),0)</f>
        <v/>
      </c>
      <c r="AF157" s="23">
        <f>IF(V157="Liability|accrued",-N(F157),0)+IF(W157="Liability|accrued",-N(M157),0)+IF(X157="Liability|accrued",N(O157),0)+IF(Y157="Liability|accrued",N(P157),0)+IF(Z157="Liability|accrued",N(N157),0)</f>
        <v/>
      </c>
      <c r="AG157" s="23">
        <f>IF(AND(N(F157)&lt;&gt;0,V157=""),1,0)+IF(AND(N(M157)&lt;&gt;0,W157=""),1,0)+IF(AND(N(O157)&lt;&gt;0,X157=""),1,0)+IF(AND(N(P157)&lt;&gt;0,Y157=""),1,0)+IF(AND(N(N157)&lt;&gt;0,Z157=""),1,0)</f>
        <v/>
      </c>
    </row>
    <row r="158">
      <c r="A158" s="19" t="n"/>
      <c r="B158" s="14" t="n"/>
      <c r="C158" s="14" t="n"/>
      <c r="D158" s="14" t="n"/>
      <c r="E158" s="14" t="n"/>
      <c r="F158" s="20" t="n"/>
      <c r="G158" s="20" t="n"/>
      <c r="H158" s="14" t="n"/>
      <c r="I158" s="14" t="n"/>
      <c r="J158" s="14" t="n"/>
      <c r="K158" s="14" t="n"/>
      <c r="L158" s="14" t="n"/>
      <c r="M158" s="21">
        <f>ROUND(N(F158)*IFERROR(VLOOKUP(K158,'Tax Codes'!$A$5:$E$300,5,FALSE),0),2)</f>
        <v/>
      </c>
      <c r="N158" s="21">
        <f>ROUND(N(F158)*IFERROR(VLOOKUP(L158,'Tax Codes'!$A$5:$E$300,5,FALSE),0),2)</f>
        <v/>
      </c>
      <c r="O158" s="21">
        <f>IF(G158="",N(F158)+M158-N158,N(G158))</f>
        <v/>
      </c>
      <c r="P158" s="21">
        <f>N(F158)+M158-N158-O158</f>
        <v/>
      </c>
      <c r="Q158" s="16">
        <f>IF(C158="",INDEX('Chart of Accounts'!$A$5:$A$3000,MATCH("other_overhead",'Chart of Accounts'!$F$5:$F$3000,0)),C158&amp;"")</f>
        <v/>
      </c>
      <c r="R158" s="16">
        <f>IF(I158="",INDEX('Chart of Accounts'!$A$5:$A$3000,MATCH("bank",'Chart of Accounts'!$F$5:$F$3000,0)),I158&amp;"")</f>
        <v/>
      </c>
      <c r="S158" s="16">
        <f>IF(J158="",INDEX('Chart of Accounts'!$A$5:$A$3000,MATCH("ap",'Chart of Accounts'!$F$5:$F$3000,0)),J158&amp;"")</f>
        <v/>
      </c>
      <c r="T158" s="16">
        <f>INDEX('Chart of Accounts'!$A$5:$A$3000,MATCH("vat_input",'Chart of Accounts'!$F$5:$F$3000,0))</f>
        <v/>
      </c>
      <c r="U158" s="16">
        <f>INDEX('Chart of Accounts'!$A$5:$A$3000,MATCH("wht_payable",'Chart of Accounts'!$F$5:$F$3000,0))</f>
        <v/>
      </c>
      <c r="V158" s="23">
        <f>IFERROR(INDEX('Chart of Accounts'!$C$5:$C$3000,MATCH(Q158&amp;"",'Chart of Accounts'!$A$5:$A$3000,0))&amp;"|"&amp;INDEX('Chart of Accounts'!$D$5:$D$3000,MATCH(Q158&amp;"",'Chart of Accounts'!$A$5:$A$3000,0)),"")</f>
        <v/>
      </c>
      <c r="W158" s="23">
        <f>IFERROR(INDEX('Chart of Accounts'!$C$5:$C$3000,MATCH(T158&amp;"",'Chart of Accounts'!$A$5:$A$3000,0))&amp;"|"&amp;INDEX('Chart of Accounts'!$D$5:$D$3000,MATCH(T158&amp;"",'Chart of Accounts'!$A$5:$A$3000,0)),"")</f>
        <v/>
      </c>
      <c r="X158" s="23">
        <f>IFERROR(INDEX('Chart of Accounts'!$C$5:$C$3000,MATCH(R158&amp;"",'Chart of Accounts'!$A$5:$A$3000,0))&amp;"|"&amp;INDEX('Chart of Accounts'!$D$5:$D$3000,MATCH(R158&amp;"",'Chart of Accounts'!$A$5:$A$3000,0)),"")</f>
        <v/>
      </c>
      <c r="Y158" s="23">
        <f>IFERROR(INDEX('Chart of Accounts'!$C$5:$C$3000,MATCH(S158&amp;"",'Chart of Accounts'!$A$5:$A$3000,0))&amp;"|"&amp;INDEX('Chart of Accounts'!$D$5:$D$3000,MATCH(S158&amp;"",'Chart of Accounts'!$A$5:$A$3000,0)),"")</f>
        <v/>
      </c>
      <c r="Z158" s="23">
        <f>IFERROR(INDEX('Chart of Accounts'!$C$5:$C$3000,MATCH(U158&amp;"",'Chart of Accounts'!$A$5:$A$3000,0))&amp;"|"&amp;INDEX('Chart of Accounts'!$D$5:$D$3000,MATCH(U158&amp;"",'Chart of Accounts'!$A$5:$A$3000,0)),"")</f>
        <v/>
      </c>
      <c r="AA158" s="23">
        <f>IF(LEFT(V158,8)="Revenue|",-N(F158),0)+IF(LEFT(W158,8)="Revenue|",-N(M158),0)+IF(LEFT(X158,8)="Revenue|",N(O158),0)+IF(LEFT(Y158,8)="Revenue|",N(P158),0)+IF(LEFT(Z158,8)="Revenue|",N(N158),0)</f>
        <v/>
      </c>
      <c r="AB158" s="23">
        <f>IF(LEFT(V158,5)="COGS|",N(F158),0)+IF(LEFT(W158,5)="COGS|",N(M158),0)+IF(LEFT(X158,5)="COGS|",-N(O158),0)+IF(LEFT(Y158,5)="COGS|",-N(P158),0)+IF(LEFT(Z158,5)="COGS|",-N(N158),0)</f>
        <v/>
      </c>
      <c r="AC158" s="23">
        <f>IF(LEFT(V158,8)="Expense|",N(F158),0)+IF(LEFT(W158,8)="Expense|",N(M158),0)+IF(LEFT(X158,8)="Expense|",-N(O158),0)+IF(LEFT(Y158,8)="Expense|",-N(P158),0)+IF(LEFT(Z158,8)="Expense|",-N(N158),0)</f>
        <v/>
      </c>
      <c r="AD158" s="23">
        <f>IF(ISNUMBER(MATCH(V158,{"Expense|employee","Expense|general_admin","Expense|marketing","Expense|utilities","Expense|other_operating"},0)),N(F158),0)+IF(ISNUMBER(MATCH(W158,{"Expense|employee","Expense|general_admin","Expense|marketing","Expense|utilities","Expense|other_operating"},0)),N(M158),0)+IF(ISNUMBER(MATCH(X158,{"Expense|employee","Expense|general_admin","Expense|marketing","Expense|utilities","Expense|other_operating"},0)),-N(O158),0)+IF(ISNUMBER(MATCH(Y158,{"Expense|employee","Expense|general_admin","Expense|marketing","Expense|utilities","Expense|other_operating"},0)),-N(P158),0)+IF(ISNUMBER(MATCH(Z158,{"Expense|employee","Expense|general_admin","Expense|marketing","Expense|utilities","Expense|other_operating"},0)),-N(N158),0)</f>
        <v/>
      </c>
      <c r="AE158" s="23">
        <f>IF(V158="Liability|payable",-N(F158),0)+IF(W158="Liability|payable",-N(M158),0)+IF(X158="Liability|payable",N(O158),0)+IF(Y158="Liability|payable",N(P158),0)+IF(Z158="Liability|payable",N(N158),0)</f>
        <v/>
      </c>
      <c r="AF158" s="23">
        <f>IF(V158="Liability|accrued",-N(F158),0)+IF(W158="Liability|accrued",-N(M158),0)+IF(X158="Liability|accrued",N(O158),0)+IF(Y158="Liability|accrued",N(P158),0)+IF(Z158="Liability|accrued",N(N158),0)</f>
        <v/>
      </c>
      <c r="AG158" s="23">
        <f>IF(AND(N(F158)&lt;&gt;0,V158=""),1,0)+IF(AND(N(M158)&lt;&gt;0,W158=""),1,0)+IF(AND(N(O158)&lt;&gt;0,X158=""),1,0)+IF(AND(N(P158)&lt;&gt;0,Y158=""),1,0)+IF(AND(N(N158)&lt;&gt;0,Z158=""),1,0)</f>
        <v/>
      </c>
    </row>
    <row r="159">
      <c r="A159" s="19" t="n"/>
      <c r="B159" s="14" t="n"/>
      <c r="C159" s="14" t="n"/>
      <c r="D159" s="14" t="n"/>
      <c r="E159" s="14" t="n"/>
      <c r="F159" s="20" t="n"/>
      <c r="G159" s="20" t="n"/>
      <c r="H159" s="14" t="n"/>
      <c r="I159" s="14" t="n"/>
      <c r="J159" s="14" t="n"/>
      <c r="K159" s="14" t="n"/>
      <c r="L159" s="14" t="n"/>
      <c r="M159" s="21">
        <f>ROUND(N(F159)*IFERROR(VLOOKUP(K159,'Tax Codes'!$A$5:$E$300,5,FALSE),0),2)</f>
        <v/>
      </c>
      <c r="N159" s="21">
        <f>ROUND(N(F159)*IFERROR(VLOOKUP(L159,'Tax Codes'!$A$5:$E$300,5,FALSE),0),2)</f>
        <v/>
      </c>
      <c r="O159" s="21">
        <f>IF(G159="",N(F159)+M159-N159,N(G159))</f>
        <v/>
      </c>
      <c r="P159" s="21">
        <f>N(F159)+M159-N159-O159</f>
        <v/>
      </c>
      <c r="Q159" s="16">
        <f>IF(C159="",INDEX('Chart of Accounts'!$A$5:$A$3000,MATCH("other_overhead",'Chart of Accounts'!$F$5:$F$3000,0)),C159&amp;"")</f>
        <v/>
      </c>
      <c r="R159" s="16">
        <f>IF(I159="",INDEX('Chart of Accounts'!$A$5:$A$3000,MATCH("bank",'Chart of Accounts'!$F$5:$F$3000,0)),I159&amp;"")</f>
        <v/>
      </c>
      <c r="S159" s="16">
        <f>IF(J159="",INDEX('Chart of Accounts'!$A$5:$A$3000,MATCH("ap",'Chart of Accounts'!$F$5:$F$3000,0)),J159&amp;"")</f>
        <v/>
      </c>
      <c r="T159" s="16">
        <f>INDEX('Chart of Accounts'!$A$5:$A$3000,MATCH("vat_input",'Chart of Accounts'!$F$5:$F$3000,0))</f>
        <v/>
      </c>
      <c r="U159" s="16">
        <f>INDEX('Chart of Accounts'!$A$5:$A$3000,MATCH("wht_payable",'Chart of Accounts'!$F$5:$F$3000,0))</f>
        <v/>
      </c>
      <c r="V159" s="23">
        <f>IFERROR(INDEX('Chart of Accounts'!$C$5:$C$3000,MATCH(Q159&amp;"",'Chart of Accounts'!$A$5:$A$3000,0))&amp;"|"&amp;INDEX('Chart of Accounts'!$D$5:$D$3000,MATCH(Q159&amp;"",'Chart of Accounts'!$A$5:$A$3000,0)),"")</f>
        <v/>
      </c>
      <c r="W159" s="23">
        <f>IFERROR(INDEX('Chart of Accounts'!$C$5:$C$3000,MATCH(T159&amp;"",'Chart of Accounts'!$A$5:$A$3000,0))&amp;"|"&amp;INDEX('Chart of Accounts'!$D$5:$D$3000,MATCH(T159&amp;"",'Chart of Accounts'!$A$5:$A$3000,0)),"")</f>
        <v/>
      </c>
      <c r="X159" s="23">
        <f>IFERROR(INDEX('Chart of Accounts'!$C$5:$C$3000,MATCH(R159&amp;"",'Chart of Accounts'!$A$5:$A$3000,0))&amp;"|"&amp;INDEX('Chart of Accounts'!$D$5:$D$3000,MATCH(R159&amp;"",'Chart of Accounts'!$A$5:$A$3000,0)),"")</f>
        <v/>
      </c>
      <c r="Y159" s="23">
        <f>IFERROR(INDEX('Chart of Accounts'!$C$5:$C$3000,MATCH(S159&amp;"",'Chart of Accounts'!$A$5:$A$3000,0))&amp;"|"&amp;INDEX('Chart of Accounts'!$D$5:$D$3000,MATCH(S159&amp;"",'Chart of Accounts'!$A$5:$A$3000,0)),"")</f>
        <v/>
      </c>
      <c r="Z159" s="23">
        <f>IFERROR(INDEX('Chart of Accounts'!$C$5:$C$3000,MATCH(U159&amp;"",'Chart of Accounts'!$A$5:$A$3000,0))&amp;"|"&amp;INDEX('Chart of Accounts'!$D$5:$D$3000,MATCH(U159&amp;"",'Chart of Accounts'!$A$5:$A$3000,0)),"")</f>
        <v/>
      </c>
      <c r="AA159" s="23">
        <f>IF(LEFT(V159,8)="Revenue|",-N(F159),0)+IF(LEFT(W159,8)="Revenue|",-N(M159),0)+IF(LEFT(X159,8)="Revenue|",N(O159),0)+IF(LEFT(Y159,8)="Revenue|",N(P159),0)+IF(LEFT(Z159,8)="Revenue|",N(N159),0)</f>
        <v/>
      </c>
      <c r="AB159" s="23">
        <f>IF(LEFT(V159,5)="COGS|",N(F159),0)+IF(LEFT(W159,5)="COGS|",N(M159),0)+IF(LEFT(X159,5)="COGS|",-N(O159),0)+IF(LEFT(Y159,5)="COGS|",-N(P159),0)+IF(LEFT(Z159,5)="COGS|",-N(N159),0)</f>
        <v/>
      </c>
      <c r="AC159" s="23">
        <f>IF(LEFT(V159,8)="Expense|",N(F159),0)+IF(LEFT(W159,8)="Expense|",N(M159),0)+IF(LEFT(X159,8)="Expense|",-N(O159),0)+IF(LEFT(Y159,8)="Expense|",-N(P159),0)+IF(LEFT(Z159,8)="Expense|",-N(N159),0)</f>
        <v/>
      </c>
      <c r="AD159" s="23">
        <f>IF(ISNUMBER(MATCH(V159,{"Expense|employee","Expense|general_admin","Expense|marketing","Expense|utilities","Expense|other_operating"},0)),N(F159),0)+IF(ISNUMBER(MATCH(W159,{"Expense|employee","Expense|general_admin","Expense|marketing","Expense|utilities","Expense|other_operating"},0)),N(M159),0)+IF(ISNUMBER(MATCH(X159,{"Expense|employee","Expense|general_admin","Expense|marketing","Expense|utilities","Expense|other_operating"},0)),-N(O159),0)+IF(ISNUMBER(MATCH(Y159,{"Expense|employee","Expense|general_admin","Expense|marketing","Expense|utilities","Expense|other_operating"},0)),-N(P159),0)+IF(ISNUMBER(MATCH(Z159,{"Expense|employee","Expense|general_admin","Expense|marketing","Expense|utilities","Expense|other_operating"},0)),-N(N159),0)</f>
        <v/>
      </c>
      <c r="AE159" s="23">
        <f>IF(V159="Liability|payable",-N(F159),0)+IF(W159="Liability|payable",-N(M159),0)+IF(X159="Liability|payable",N(O159),0)+IF(Y159="Liability|payable",N(P159),0)+IF(Z159="Liability|payable",N(N159),0)</f>
        <v/>
      </c>
      <c r="AF159" s="23">
        <f>IF(V159="Liability|accrued",-N(F159),0)+IF(W159="Liability|accrued",-N(M159),0)+IF(X159="Liability|accrued",N(O159),0)+IF(Y159="Liability|accrued",N(P159),0)+IF(Z159="Liability|accrued",N(N159),0)</f>
        <v/>
      </c>
      <c r="AG159" s="23">
        <f>IF(AND(N(F159)&lt;&gt;0,V159=""),1,0)+IF(AND(N(M159)&lt;&gt;0,W159=""),1,0)+IF(AND(N(O159)&lt;&gt;0,X159=""),1,0)+IF(AND(N(P159)&lt;&gt;0,Y159=""),1,0)+IF(AND(N(N159)&lt;&gt;0,Z159=""),1,0)</f>
        <v/>
      </c>
    </row>
    <row r="160">
      <c r="A160" s="19" t="n"/>
      <c r="B160" s="14" t="n"/>
      <c r="C160" s="14" t="n"/>
      <c r="D160" s="14" t="n"/>
      <c r="E160" s="14" t="n"/>
      <c r="F160" s="20" t="n"/>
      <c r="G160" s="20" t="n"/>
      <c r="H160" s="14" t="n"/>
      <c r="I160" s="14" t="n"/>
      <c r="J160" s="14" t="n"/>
      <c r="K160" s="14" t="n"/>
      <c r="L160" s="14" t="n"/>
      <c r="M160" s="21">
        <f>ROUND(N(F160)*IFERROR(VLOOKUP(K160,'Tax Codes'!$A$5:$E$300,5,FALSE),0),2)</f>
        <v/>
      </c>
      <c r="N160" s="21">
        <f>ROUND(N(F160)*IFERROR(VLOOKUP(L160,'Tax Codes'!$A$5:$E$300,5,FALSE),0),2)</f>
        <v/>
      </c>
      <c r="O160" s="21">
        <f>IF(G160="",N(F160)+M160-N160,N(G160))</f>
        <v/>
      </c>
      <c r="P160" s="21">
        <f>N(F160)+M160-N160-O160</f>
        <v/>
      </c>
      <c r="Q160" s="16">
        <f>IF(C160="",INDEX('Chart of Accounts'!$A$5:$A$3000,MATCH("other_overhead",'Chart of Accounts'!$F$5:$F$3000,0)),C160&amp;"")</f>
        <v/>
      </c>
      <c r="R160" s="16">
        <f>IF(I160="",INDEX('Chart of Accounts'!$A$5:$A$3000,MATCH("bank",'Chart of Accounts'!$F$5:$F$3000,0)),I160&amp;"")</f>
        <v/>
      </c>
      <c r="S160" s="16">
        <f>IF(J160="",INDEX('Chart of Accounts'!$A$5:$A$3000,MATCH("ap",'Chart of Accounts'!$F$5:$F$3000,0)),J160&amp;"")</f>
        <v/>
      </c>
      <c r="T160" s="16">
        <f>INDEX('Chart of Accounts'!$A$5:$A$3000,MATCH("vat_input",'Chart of Accounts'!$F$5:$F$3000,0))</f>
        <v/>
      </c>
      <c r="U160" s="16">
        <f>INDEX('Chart of Accounts'!$A$5:$A$3000,MATCH("wht_payable",'Chart of Accounts'!$F$5:$F$3000,0))</f>
        <v/>
      </c>
      <c r="V160" s="23">
        <f>IFERROR(INDEX('Chart of Accounts'!$C$5:$C$3000,MATCH(Q160&amp;"",'Chart of Accounts'!$A$5:$A$3000,0))&amp;"|"&amp;INDEX('Chart of Accounts'!$D$5:$D$3000,MATCH(Q160&amp;"",'Chart of Accounts'!$A$5:$A$3000,0)),"")</f>
        <v/>
      </c>
      <c r="W160" s="23">
        <f>IFERROR(INDEX('Chart of Accounts'!$C$5:$C$3000,MATCH(T160&amp;"",'Chart of Accounts'!$A$5:$A$3000,0))&amp;"|"&amp;INDEX('Chart of Accounts'!$D$5:$D$3000,MATCH(T160&amp;"",'Chart of Accounts'!$A$5:$A$3000,0)),"")</f>
        <v/>
      </c>
      <c r="X160" s="23">
        <f>IFERROR(INDEX('Chart of Accounts'!$C$5:$C$3000,MATCH(R160&amp;"",'Chart of Accounts'!$A$5:$A$3000,0))&amp;"|"&amp;INDEX('Chart of Accounts'!$D$5:$D$3000,MATCH(R160&amp;"",'Chart of Accounts'!$A$5:$A$3000,0)),"")</f>
        <v/>
      </c>
      <c r="Y160" s="23">
        <f>IFERROR(INDEX('Chart of Accounts'!$C$5:$C$3000,MATCH(S160&amp;"",'Chart of Accounts'!$A$5:$A$3000,0))&amp;"|"&amp;INDEX('Chart of Accounts'!$D$5:$D$3000,MATCH(S160&amp;"",'Chart of Accounts'!$A$5:$A$3000,0)),"")</f>
        <v/>
      </c>
      <c r="Z160" s="23">
        <f>IFERROR(INDEX('Chart of Accounts'!$C$5:$C$3000,MATCH(U160&amp;"",'Chart of Accounts'!$A$5:$A$3000,0))&amp;"|"&amp;INDEX('Chart of Accounts'!$D$5:$D$3000,MATCH(U160&amp;"",'Chart of Accounts'!$A$5:$A$3000,0)),"")</f>
        <v/>
      </c>
      <c r="AA160" s="23">
        <f>IF(LEFT(V160,8)="Revenue|",-N(F160),0)+IF(LEFT(W160,8)="Revenue|",-N(M160),0)+IF(LEFT(X160,8)="Revenue|",N(O160),0)+IF(LEFT(Y160,8)="Revenue|",N(P160),0)+IF(LEFT(Z160,8)="Revenue|",N(N160),0)</f>
        <v/>
      </c>
      <c r="AB160" s="23">
        <f>IF(LEFT(V160,5)="COGS|",N(F160),0)+IF(LEFT(W160,5)="COGS|",N(M160),0)+IF(LEFT(X160,5)="COGS|",-N(O160),0)+IF(LEFT(Y160,5)="COGS|",-N(P160),0)+IF(LEFT(Z160,5)="COGS|",-N(N160),0)</f>
        <v/>
      </c>
      <c r="AC160" s="23">
        <f>IF(LEFT(V160,8)="Expense|",N(F160),0)+IF(LEFT(W160,8)="Expense|",N(M160),0)+IF(LEFT(X160,8)="Expense|",-N(O160),0)+IF(LEFT(Y160,8)="Expense|",-N(P160),0)+IF(LEFT(Z160,8)="Expense|",-N(N160),0)</f>
        <v/>
      </c>
      <c r="AD160" s="23">
        <f>IF(ISNUMBER(MATCH(V160,{"Expense|employee","Expense|general_admin","Expense|marketing","Expense|utilities","Expense|other_operating"},0)),N(F160),0)+IF(ISNUMBER(MATCH(W160,{"Expense|employee","Expense|general_admin","Expense|marketing","Expense|utilities","Expense|other_operating"},0)),N(M160),0)+IF(ISNUMBER(MATCH(X160,{"Expense|employee","Expense|general_admin","Expense|marketing","Expense|utilities","Expense|other_operating"},0)),-N(O160),0)+IF(ISNUMBER(MATCH(Y160,{"Expense|employee","Expense|general_admin","Expense|marketing","Expense|utilities","Expense|other_operating"},0)),-N(P160),0)+IF(ISNUMBER(MATCH(Z160,{"Expense|employee","Expense|general_admin","Expense|marketing","Expense|utilities","Expense|other_operating"},0)),-N(N160),0)</f>
        <v/>
      </c>
      <c r="AE160" s="23">
        <f>IF(V160="Liability|payable",-N(F160),0)+IF(W160="Liability|payable",-N(M160),0)+IF(X160="Liability|payable",N(O160),0)+IF(Y160="Liability|payable",N(P160),0)+IF(Z160="Liability|payable",N(N160),0)</f>
        <v/>
      </c>
      <c r="AF160" s="23">
        <f>IF(V160="Liability|accrued",-N(F160),0)+IF(W160="Liability|accrued",-N(M160),0)+IF(X160="Liability|accrued",N(O160),0)+IF(Y160="Liability|accrued",N(P160),0)+IF(Z160="Liability|accrued",N(N160),0)</f>
        <v/>
      </c>
      <c r="AG160" s="23">
        <f>IF(AND(N(F160)&lt;&gt;0,V160=""),1,0)+IF(AND(N(M160)&lt;&gt;0,W160=""),1,0)+IF(AND(N(O160)&lt;&gt;0,X160=""),1,0)+IF(AND(N(P160)&lt;&gt;0,Y160=""),1,0)+IF(AND(N(N160)&lt;&gt;0,Z160=""),1,0)</f>
        <v/>
      </c>
    </row>
    <row r="161">
      <c r="A161" s="19" t="n"/>
      <c r="B161" s="14" t="n"/>
      <c r="C161" s="14" t="n"/>
      <c r="D161" s="14" t="n"/>
      <c r="E161" s="14" t="n"/>
      <c r="F161" s="20" t="n"/>
      <c r="G161" s="20" t="n"/>
      <c r="H161" s="14" t="n"/>
      <c r="I161" s="14" t="n"/>
      <c r="J161" s="14" t="n"/>
      <c r="K161" s="14" t="n"/>
      <c r="L161" s="14" t="n"/>
      <c r="M161" s="21">
        <f>ROUND(N(F161)*IFERROR(VLOOKUP(K161,'Tax Codes'!$A$5:$E$300,5,FALSE),0),2)</f>
        <v/>
      </c>
      <c r="N161" s="21">
        <f>ROUND(N(F161)*IFERROR(VLOOKUP(L161,'Tax Codes'!$A$5:$E$300,5,FALSE),0),2)</f>
        <v/>
      </c>
      <c r="O161" s="21">
        <f>IF(G161="",N(F161)+M161-N161,N(G161))</f>
        <v/>
      </c>
      <c r="P161" s="21">
        <f>N(F161)+M161-N161-O161</f>
        <v/>
      </c>
      <c r="Q161" s="16">
        <f>IF(C161="",INDEX('Chart of Accounts'!$A$5:$A$3000,MATCH("other_overhead",'Chart of Accounts'!$F$5:$F$3000,0)),C161&amp;"")</f>
        <v/>
      </c>
      <c r="R161" s="16">
        <f>IF(I161="",INDEX('Chart of Accounts'!$A$5:$A$3000,MATCH("bank",'Chart of Accounts'!$F$5:$F$3000,0)),I161&amp;"")</f>
        <v/>
      </c>
      <c r="S161" s="16">
        <f>IF(J161="",INDEX('Chart of Accounts'!$A$5:$A$3000,MATCH("ap",'Chart of Accounts'!$F$5:$F$3000,0)),J161&amp;"")</f>
        <v/>
      </c>
      <c r="T161" s="16">
        <f>INDEX('Chart of Accounts'!$A$5:$A$3000,MATCH("vat_input",'Chart of Accounts'!$F$5:$F$3000,0))</f>
        <v/>
      </c>
      <c r="U161" s="16">
        <f>INDEX('Chart of Accounts'!$A$5:$A$3000,MATCH("wht_payable",'Chart of Accounts'!$F$5:$F$3000,0))</f>
        <v/>
      </c>
      <c r="V161" s="23">
        <f>IFERROR(INDEX('Chart of Accounts'!$C$5:$C$3000,MATCH(Q161&amp;"",'Chart of Accounts'!$A$5:$A$3000,0))&amp;"|"&amp;INDEX('Chart of Accounts'!$D$5:$D$3000,MATCH(Q161&amp;"",'Chart of Accounts'!$A$5:$A$3000,0)),"")</f>
        <v/>
      </c>
      <c r="W161" s="23">
        <f>IFERROR(INDEX('Chart of Accounts'!$C$5:$C$3000,MATCH(T161&amp;"",'Chart of Accounts'!$A$5:$A$3000,0))&amp;"|"&amp;INDEX('Chart of Accounts'!$D$5:$D$3000,MATCH(T161&amp;"",'Chart of Accounts'!$A$5:$A$3000,0)),"")</f>
        <v/>
      </c>
      <c r="X161" s="23">
        <f>IFERROR(INDEX('Chart of Accounts'!$C$5:$C$3000,MATCH(R161&amp;"",'Chart of Accounts'!$A$5:$A$3000,0))&amp;"|"&amp;INDEX('Chart of Accounts'!$D$5:$D$3000,MATCH(R161&amp;"",'Chart of Accounts'!$A$5:$A$3000,0)),"")</f>
        <v/>
      </c>
      <c r="Y161" s="23">
        <f>IFERROR(INDEX('Chart of Accounts'!$C$5:$C$3000,MATCH(S161&amp;"",'Chart of Accounts'!$A$5:$A$3000,0))&amp;"|"&amp;INDEX('Chart of Accounts'!$D$5:$D$3000,MATCH(S161&amp;"",'Chart of Accounts'!$A$5:$A$3000,0)),"")</f>
        <v/>
      </c>
      <c r="Z161" s="23">
        <f>IFERROR(INDEX('Chart of Accounts'!$C$5:$C$3000,MATCH(U161&amp;"",'Chart of Accounts'!$A$5:$A$3000,0))&amp;"|"&amp;INDEX('Chart of Accounts'!$D$5:$D$3000,MATCH(U161&amp;"",'Chart of Accounts'!$A$5:$A$3000,0)),"")</f>
        <v/>
      </c>
      <c r="AA161" s="23">
        <f>IF(LEFT(V161,8)="Revenue|",-N(F161),0)+IF(LEFT(W161,8)="Revenue|",-N(M161),0)+IF(LEFT(X161,8)="Revenue|",N(O161),0)+IF(LEFT(Y161,8)="Revenue|",N(P161),0)+IF(LEFT(Z161,8)="Revenue|",N(N161),0)</f>
        <v/>
      </c>
      <c r="AB161" s="23">
        <f>IF(LEFT(V161,5)="COGS|",N(F161),0)+IF(LEFT(W161,5)="COGS|",N(M161),0)+IF(LEFT(X161,5)="COGS|",-N(O161),0)+IF(LEFT(Y161,5)="COGS|",-N(P161),0)+IF(LEFT(Z161,5)="COGS|",-N(N161),0)</f>
        <v/>
      </c>
      <c r="AC161" s="23">
        <f>IF(LEFT(V161,8)="Expense|",N(F161),0)+IF(LEFT(W161,8)="Expense|",N(M161),0)+IF(LEFT(X161,8)="Expense|",-N(O161),0)+IF(LEFT(Y161,8)="Expense|",-N(P161),0)+IF(LEFT(Z161,8)="Expense|",-N(N161),0)</f>
        <v/>
      </c>
      <c r="AD161" s="23">
        <f>IF(ISNUMBER(MATCH(V161,{"Expense|employee","Expense|general_admin","Expense|marketing","Expense|utilities","Expense|other_operating"},0)),N(F161),0)+IF(ISNUMBER(MATCH(W161,{"Expense|employee","Expense|general_admin","Expense|marketing","Expense|utilities","Expense|other_operating"},0)),N(M161),0)+IF(ISNUMBER(MATCH(X161,{"Expense|employee","Expense|general_admin","Expense|marketing","Expense|utilities","Expense|other_operating"},0)),-N(O161),0)+IF(ISNUMBER(MATCH(Y161,{"Expense|employee","Expense|general_admin","Expense|marketing","Expense|utilities","Expense|other_operating"},0)),-N(P161),0)+IF(ISNUMBER(MATCH(Z161,{"Expense|employee","Expense|general_admin","Expense|marketing","Expense|utilities","Expense|other_operating"},0)),-N(N161),0)</f>
        <v/>
      </c>
      <c r="AE161" s="23">
        <f>IF(V161="Liability|payable",-N(F161),0)+IF(W161="Liability|payable",-N(M161),0)+IF(X161="Liability|payable",N(O161),0)+IF(Y161="Liability|payable",N(P161),0)+IF(Z161="Liability|payable",N(N161),0)</f>
        <v/>
      </c>
      <c r="AF161" s="23">
        <f>IF(V161="Liability|accrued",-N(F161),0)+IF(W161="Liability|accrued",-N(M161),0)+IF(X161="Liability|accrued",N(O161),0)+IF(Y161="Liability|accrued",N(P161),0)+IF(Z161="Liability|accrued",N(N161),0)</f>
        <v/>
      </c>
      <c r="AG161" s="23">
        <f>IF(AND(N(F161)&lt;&gt;0,V161=""),1,0)+IF(AND(N(M161)&lt;&gt;0,W161=""),1,0)+IF(AND(N(O161)&lt;&gt;0,X161=""),1,0)+IF(AND(N(P161)&lt;&gt;0,Y161=""),1,0)+IF(AND(N(N161)&lt;&gt;0,Z161=""),1,0)</f>
        <v/>
      </c>
    </row>
    <row r="162">
      <c r="A162" s="19" t="n"/>
      <c r="B162" s="14" t="n"/>
      <c r="C162" s="14" t="n"/>
      <c r="D162" s="14" t="n"/>
      <c r="E162" s="14" t="n"/>
      <c r="F162" s="20" t="n"/>
      <c r="G162" s="20" t="n"/>
      <c r="H162" s="14" t="n"/>
      <c r="I162" s="14" t="n"/>
      <c r="J162" s="14" t="n"/>
      <c r="K162" s="14" t="n"/>
      <c r="L162" s="14" t="n"/>
      <c r="M162" s="21">
        <f>ROUND(N(F162)*IFERROR(VLOOKUP(K162,'Tax Codes'!$A$5:$E$300,5,FALSE),0),2)</f>
        <v/>
      </c>
      <c r="N162" s="21">
        <f>ROUND(N(F162)*IFERROR(VLOOKUP(L162,'Tax Codes'!$A$5:$E$300,5,FALSE),0),2)</f>
        <v/>
      </c>
      <c r="O162" s="21">
        <f>IF(G162="",N(F162)+M162-N162,N(G162))</f>
        <v/>
      </c>
      <c r="P162" s="21">
        <f>N(F162)+M162-N162-O162</f>
        <v/>
      </c>
      <c r="Q162" s="16">
        <f>IF(C162="",INDEX('Chart of Accounts'!$A$5:$A$3000,MATCH("other_overhead",'Chart of Accounts'!$F$5:$F$3000,0)),C162&amp;"")</f>
        <v/>
      </c>
      <c r="R162" s="16">
        <f>IF(I162="",INDEX('Chart of Accounts'!$A$5:$A$3000,MATCH("bank",'Chart of Accounts'!$F$5:$F$3000,0)),I162&amp;"")</f>
        <v/>
      </c>
      <c r="S162" s="16">
        <f>IF(J162="",INDEX('Chart of Accounts'!$A$5:$A$3000,MATCH("ap",'Chart of Accounts'!$F$5:$F$3000,0)),J162&amp;"")</f>
        <v/>
      </c>
      <c r="T162" s="16">
        <f>INDEX('Chart of Accounts'!$A$5:$A$3000,MATCH("vat_input",'Chart of Accounts'!$F$5:$F$3000,0))</f>
        <v/>
      </c>
      <c r="U162" s="16">
        <f>INDEX('Chart of Accounts'!$A$5:$A$3000,MATCH("wht_payable",'Chart of Accounts'!$F$5:$F$3000,0))</f>
        <v/>
      </c>
      <c r="V162" s="23">
        <f>IFERROR(INDEX('Chart of Accounts'!$C$5:$C$3000,MATCH(Q162&amp;"",'Chart of Accounts'!$A$5:$A$3000,0))&amp;"|"&amp;INDEX('Chart of Accounts'!$D$5:$D$3000,MATCH(Q162&amp;"",'Chart of Accounts'!$A$5:$A$3000,0)),"")</f>
        <v/>
      </c>
      <c r="W162" s="23">
        <f>IFERROR(INDEX('Chart of Accounts'!$C$5:$C$3000,MATCH(T162&amp;"",'Chart of Accounts'!$A$5:$A$3000,0))&amp;"|"&amp;INDEX('Chart of Accounts'!$D$5:$D$3000,MATCH(T162&amp;"",'Chart of Accounts'!$A$5:$A$3000,0)),"")</f>
        <v/>
      </c>
      <c r="X162" s="23">
        <f>IFERROR(INDEX('Chart of Accounts'!$C$5:$C$3000,MATCH(R162&amp;"",'Chart of Accounts'!$A$5:$A$3000,0))&amp;"|"&amp;INDEX('Chart of Accounts'!$D$5:$D$3000,MATCH(R162&amp;"",'Chart of Accounts'!$A$5:$A$3000,0)),"")</f>
        <v/>
      </c>
      <c r="Y162" s="23">
        <f>IFERROR(INDEX('Chart of Accounts'!$C$5:$C$3000,MATCH(S162&amp;"",'Chart of Accounts'!$A$5:$A$3000,0))&amp;"|"&amp;INDEX('Chart of Accounts'!$D$5:$D$3000,MATCH(S162&amp;"",'Chart of Accounts'!$A$5:$A$3000,0)),"")</f>
        <v/>
      </c>
      <c r="Z162" s="23">
        <f>IFERROR(INDEX('Chart of Accounts'!$C$5:$C$3000,MATCH(U162&amp;"",'Chart of Accounts'!$A$5:$A$3000,0))&amp;"|"&amp;INDEX('Chart of Accounts'!$D$5:$D$3000,MATCH(U162&amp;"",'Chart of Accounts'!$A$5:$A$3000,0)),"")</f>
        <v/>
      </c>
      <c r="AA162" s="23">
        <f>IF(LEFT(V162,8)="Revenue|",-N(F162),0)+IF(LEFT(W162,8)="Revenue|",-N(M162),0)+IF(LEFT(X162,8)="Revenue|",N(O162),0)+IF(LEFT(Y162,8)="Revenue|",N(P162),0)+IF(LEFT(Z162,8)="Revenue|",N(N162),0)</f>
        <v/>
      </c>
      <c r="AB162" s="23">
        <f>IF(LEFT(V162,5)="COGS|",N(F162),0)+IF(LEFT(W162,5)="COGS|",N(M162),0)+IF(LEFT(X162,5)="COGS|",-N(O162),0)+IF(LEFT(Y162,5)="COGS|",-N(P162),0)+IF(LEFT(Z162,5)="COGS|",-N(N162),0)</f>
        <v/>
      </c>
      <c r="AC162" s="23">
        <f>IF(LEFT(V162,8)="Expense|",N(F162),0)+IF(LEFT(W162,8)="Expense|",N(M162),0)+IF(LEFT(X162,8)="Expense|",-N(O162),0)+IF(LEFT(Y162,8)="Expense|",-N(P162),0)+IF(LEFT(Z162,8)="Expense|",-N(N162),0)</f>
        <v/>
      </c>
      <c r="AD162" s="23">
        <f>IF(ISNUMBER(MATCH(V162,{"Expense|employee","Expense|general_admin","Expense|marketing","Expense|utilities","Expense|other_operating"},0)),N(F162),0)+IF(ISNUMBER(MATCH(W162,{"Expense|employee","Expense|general_admin","Expense|marketing","Expense|utilities","Expense|other_operating"},0)),N(M162),0)+IF(ISNUMBER(MATCH(X162,{"Expense|employee","Expense|general_admin","Expense|marketing","Expense|utilities","Expense|other_operating"},0)),-N(O162),0)+IF(ISNUMBER(MATCH(Y162,{"Expense|employee","Expense|general_admin","Expense|marketing","Expense|utilities","Expense|other_operating"},0)),-N(P162),0)+IF(ISNUMBER(MATCH(Z162,{"Expense|employee","Expense|general_admin","Expense|marketing","Expense|utilities","Expense|other_operating"},0)),-N(N162),0)</f>
        <v/>
      </c>
      <c r="AE162" s="23">
        <f>IF(V162="Liability|payable",-N(F162),0)+IF(W162="Liability|payable",-N(M162),0)+IF(X162="Liability|payable",N(O162),0)+IF(Y162="Liability|payable",N(P162),0)+IF(Z162="Liability|payable",N(N162),0)</f>
        <v/>
      </c>
      <c r="AF162" s="23">
        <f>IF(V162="Liability|accrued",-N(F162),0)+IF(W162="Liability|accrued",-N(M162),0)+IF(X162="Liability|accrued",N(O162),0)+IF(Y162="Liability|accrued",N(P162),0)+IF(Z162="Liability|accrued",N(N162),0)</f>
        <v/>
      </c>
      <c r="AG162" s="23">
        <f>IF(AND(N(F162)&lt;&gt;0,V162=""),1,0)+IF(AND(N(M162)&lt;&gt;0,W162=""),1,0)+IF(AND(N(O162)&lt;&gt;0,X162=""),1,0)+IF(AND(N(P162)&lt;&gt;0,Y162=""),1,0)+IF(AND(N(N162)&lt;&gt;0,Z162=""),1,0)</f>
        <v/>
      </c>
    </row>
    <row r="163">
      <c r="A163" s="19" t="n"/>
      <c r="B163" s="14" t="n"/>
      <c r="C163" s="14" t="n"/>
      <c r="D163" s="14" t="n"/>
      <c r="E163" s="14" t="n"/>
      <c r="F163" s="20" t="n"/>
      <c r="G163" s="20" t="n"/>
      <c r="H163" s="14" t="n"/>
      <c r="I163" s="14" t="n"/>
      <c r="J163" s="14" t="n"/>
      <c r="K163" s="14" t="n"/>
      <c r="L163" s="14" t="n"/>
      <c r="M163" s="21">
        <f>ROUND(N(F163)*IFERROR(VLOOKUP(K163,'Tax Codes'!$A$5:$E$300,5,FALSE),0),2)</f>
        <v/>
      </c>
      <c r="N163" s="21">
        <f>ROUND(N(F163)*IFERROR(VLOOKUP(L163,'Tax Codes'!$A$5:$E$300,5,FALSE),0),2)</f>
        <v/>
      </c>
      <c r="O163" s="21">
        <f>IF(G163="",N(F163)+M163-N163,N(G163))</f>
        <v/>
      </c>
      <c r="P163" s="21">
        <f>N(F163)+M163-N163-O163</f>
        <v/>
      </c>
      <c r="Q163" s="16">
        <f>IF(C163="",INDEX('Chart of Accounts'!$A$5:$A$3000,MATCH("other_overhead",'Chart of Accounts'!$F$5:$F$3000,0)),C163&amp;"")</f>
        <v/>
      </c>
      <c r="R163" s="16">
        <f>IF(I163="",INDEX('Chart of Accounts'!$A$5:$A$3000,MATCH("bank",'Chart of Accounts'!$F$5:$F$3000,0)),I163&amp;"")</f>
        <v/>
      </c>
      <c r="S163" s="16">
        <f>IF(J163="",INDEX('Chart of Accounts'!$A$5:$A$3000,MATCH("ap",'Chart of Accounts'!$F$5:$F$3000,0)),J163&amp;"")</f>
        <v/>
      </c>
      <c r="T163" s="16">
        <f>INDEX('Chart of Accounts'!$A$5:$A$3000,MATCH("vat_input",'Chart of Accounts'!$F$5:$F$3000,0))</f>
        <v/>
      </c>
      <c r="U163" s="16">
        <f>INDEX('Chart of Accounts'!$A$5:$A$3000,MATCH("wht_payable",'Chart of Accounts'!$F$5:$F$3000,0))</f>
        <v/>
      </c>
      <c r="V163" s="23">
        <f>IFERROR(INDEX('Chart of Accounts'!$C$5:$C$3000,MATCH(Q163&amp;"",'Chart of Accounts'!$A$5:$A$3000,0))&amp;"|"&amp;INDEX('Chart of Accounts'!$D$5:$D$3000,MATCH(Q163&amp;"",'Chart of Accounts'!$A$5:$A$3000,0)),"")</f>
        <v/>
      </c>
      <c r="W163" s="23">
        <f>IFERROR(INDEX('Chart of Accounts'!$C$5:$C$3000,MATCH(T163&amp;"",'Chart of Accounts'!$A$5:$A$3000,0))&amp;"|"&amp;INDEX('Chart of Accounts'!$D$5:$D$3000,MATCH(T163&amp;"",'Chart of Accounts'!$A$5:$A$3000,0)),"")</f>
        <v/>
      </c>
      <c r="X163" s="23">
        <f>IFERROR(INDEX('Chart of Accounts'!$C$5:$C$3000,MATCH(R163&amp;"",'Chart of Accounts'!$A$5:$A$3000,0))&amp;"|"&amp;INDEX('Chart of Accounts'!$D$5:$D$3000,MATCH(R163&amp;"",'Chart of Accounts'!$A$5:$A$3000,0)),"")</f>
        <v/>
      </c>
      <c r="Y163" s="23">
        <f>IFERROR(INDEX('Chart of Accounts'!$C$5:$C$3000,MATCH(S163&amp;"",'Chart of Accounts'!$A$5:$A$3000,0))&amp;"|"&amp;INDEX('Chart of Accounts'!$D$5:$D$3000,MATCH(S163&amp;"",'Chart of Accounts'!$A$5:$A$3000,0)),"")</f>
        <v/>
      </c>
      <c r="Z163" s="23">
        <f>IFERROR(INDEX('Chart of Accounts'!$C$5:$C$3000,MATCH(U163&amp;"",'Chart of Accounts'!$A$5:$A$3000,0))&amp;"|"&amp;INDEX('Chart of Accounts'!$D$5:$D$3000,MATCH(U163&amp;"",'Chart of Accounts'!$A$5:$A$3000,0)),"")</f>
        <v/>
      </c>
      <c r="AA163" s="23">
        <f>IF(LEFT(V163,8)="Revenue|",-N(F163),0)+IF(LEFT(W163,8)="Revenue|",-N(M163),0)+IF(LEFT(X163,8)="Revenue|",N(O163),0)+IF(LEFT(Y163,8)="Revenue|",N(P163),0)+IF(LEFT(Z163,8)="Revenue|",N(N163),0)</f>
        <v/>
      </c>
      <c r="AB163" s="23">
        <f>IF(LEFT(V163,5)="COGS|",N(F163),0)+IF(LEFT(W163,5)="COGS|",N(M163),0)+IF(LEFT(X163,5)="COGS|",-N(O163),0)+IF(LEFT(Y163,5)="COGS|",-N(P163),0)+IF(LEFT(Z163,5)="COGS|",-N(N163),0)</f>
        <v/>
      </c>
      <c r="AC163" s="23">
        <f>IF(LEFT(V163,8)="Expense|",N(F163),0)+IF(LEFT(W163,8)="Expense|",N(M163),0)+IF(LEFT(X163,8)="Expense|",-N(O163),0)+IF(LEFT(Y163,8)="Expense|",-N(P163),0)+IF(LEFT(Z163,8)="Expense|",-N(N163),0)</f>
        <v/>
      </c>
      <c r="AD163" s="23">
        <f>IF(ISNUMBER(MATCH(V163,{"Expense|employee","Expense|general_admin","Expense|marketing","Expense|utilities","Expense|other_operating"},0)),N(F163),0)+IF(ISNUMBER(MATCH(W163,{"Expense|employee","Expense|general_admin","Expense|marketing","Expense|utilities","Expense|other_operating"},0)),N(M163),0)+IF(ISNUMBER(MATCH(X163,{"Expense|employee","Expense|general_admin","Expense|marketing","Expense|utilities","Expense|other_operating"},0)),-N(O163),0)+IF(ISNUMBER(MATCH(Y163,{"Expense|employee","Expense|general_admin","Expense|marketing","Expense|utilities","Expense|other_operating"},0)),-N(P163),0)+IF(ISNUMBER(MATCH(Z163,{"Expense|employee","Expense|general_admin","Expense|marketing","Expense|utilities","Expense|other_operating"},0)),-N(N163),0)</f>
        <v/>
      </c>
      <c r="AE163" s="23">
        <f>IF(V163="Liability|payable",-N(F163),0)+IF(W163="Liability|payable",-N(M163),0)+IF(X163="Liability|payable",N(O163),0)+IF(Y163="Liability|payable",N(P163),0)+IF(Z163="Liability|payable",N(N163),0)</f>
        <v/>
      </c>
      <c r="AF163" s="23">
        <f>IF(V163="Liability|accrued",-N(F163),0)+IF(W163="Liability|accrued",-N(M163),0)+IF(X163="Liability|accrued",N(O163),0)+IF(Y163="Liability|accrued",N(P163),0)+IF(Z163="Liability|accrued",N(N163),0)</f>
        <v/>
      </c>
      <c r="AG163" s="23">
        <f>IF(AND(N(F163)&lt;&gt;0,V163=""),1,0)+IF(AND(N(M163)&lt;&gt;0,W163=""),1,0)+IF(AND(N(O163)&lt;&gt;0,X163=""),1,0)+IF(AND(N(P163)&lt;&gt;0,Y163=""),1,0)+IF(AND(N(N163)&lt;&gt;0,Z163=""),1,0)</f>
        <v/>
      </c>
    </row>
    <row r="164">
      <c r="A164" s="19" t="n"/>
      <c r="B164" s="14" t="n"/>
      <c r="C164" s="14" t="n"/>
      <c r="D164" s="14" t="n"/>
      <c r="E164" s="14" t="n"/>
      <c r="F164" s="20" t="n"/>
      <c r="G164" s="20" t="n"/>
      <c r="H164" s="14" t="n"/>
      <c r="I164" s="14" t="n"/>
      <c r="J164" s="14" t="n"/>
      <c r="K164" s="14" t="n"/>
      <c r="L164" s="14" t="n"/>
      <c r="M164" s="21">
        <f>ROUND(N(F164)*IFERROR(VLOOKUP(K164,'Tax Codes'!$A$5:$E$300,5,FALSE),0),2)</f>
        <v/>
      </c>
      <c r="N164" s="21">
        <f>ROUND(N(F164)*IFERROR(VLOOKUP(L164,'Tax Codes'!$A$5:$E$300,5,FALSE),0),2)</f>
        <v/>
      </c>
      <c r="O164" s="21">
        <f>IF(G164="",N(F164)+M164-N164,N(G164))</f>
        <v/>
      </c>
      <c r="P164" s="21">
        <f>N(F164)+M164-N164-O164</f>
        <v/>
      </c>
      <c r="Q164" s="16">
        <f>IF(C164="",INDEX('Chart of Accounts'!$A$5:$A$3000,MATCH("other_overhead",'Chart of Accounts'!$F$5:$F$3000,0)),C164&amp;"")</f>
        <v/>
      </c>
      <c r="R164" s="16">
        <f>IF(I164="",INDEX('Chart of Accounts'!$A$5:$A$3000,MATCH("bank",'Chart of Accounts'!$F$5:$F$3000,0)),I164&amp;"")</f>
        <v/>
      </c>
      <c r="S164" s="16">
        <f>IF(J164="",INDEX('Chart of Accounts'!$A$5:$A$3000,MATCH("ap",'Chart of Accounts'!$F$5:$F$3000,0)),J164&amp;"")</f>
        <v/>
      </c>
      <c r="T164" s="16">
        <f>INDEX('Chart of Accounts'!$A$5:$A$3000,MATCH("vat_input",'Chart of Accounts'!$F$5:$F$3000,0))</f>
        <v/>
      </c>
      <c r="U164" s="16">
        <f>INDEX('Chart of Accounts'!$A$5:$A$3000,MATCH("wht_payable",'Chart of Accounts'!$F$5:$F$3000,0))</f>
        <v/>
      </c>
      <c r="V164" s="23">
        <f>IFERROR(INDEX('Chart of Accounts'!$C$5:$C$3000,MATCH(Q164&amp;"",'Chart of Accounts'!$A$5:$A$3000,0))&amp;"|"&amp;INDEX('Chart of Accounts'!$D$5:$D$3000,MATCH(Q164&amp;"",'Chart of Accounts'!$A$5:$A$3000,0)),"")</f>
        <v/>
      </c>
      <c r="W164" s="23">
        <f>IFERROR(INDEX('Chart of Accounts'!$C$5:$C$3000,MATCH(T164&amp;"",'Chart of Accounts'!$A$5:$A$3000,0))&amp;"|"&amp;INDEX('Chart of Accounts'!$D$5:$D$3000,MATCH(T164&amp;"",'Chart of Accounts'!$A$5:$A$3000,0)),"")</f>
        <v/>
      </c>
      <c r="X164" s="23">
        <f>IFERROR(INDEX('Chart of Accounts'!$C$5:$C$3000,MATCH(R164&amp;"",'Chart of Accounts'!$A$5:$A$3000,0))&amp;"|"&amp;INDEX('Chart of Accounts'!$D$5:$D$3000,MATCH(R164&amp;"",'Chart of Accounts'!$A$5:$A$3000,0)),"")</f>
        <v/>
      </c>
      <c r="Y164" s="23">
        <f>IFERROR(INDEX('Chart of Accounts'!$C$5:$C$3000,MATCH(S164&amp;"",'Chart of Accounts'!$A$5:$A$3000,0))&amp;"|"&amp;INDEX('Chart of Accounts'!$D$5:$D$3000,MATCH(S164&amp;"",'Chart of Accounts'!$A$5:$A$3000,0)),"")</f>
        <v/>
      </c>
      <c r="Z164" s="23">
        <f>IFERROR(INDEX('Chart of Accounts'!$C$5:$C$3000,MATCH(U164&amp;"",'Chart of Accounts'!$A$5:$A$3000,0))&amp;"|"&amp;INDEX('Chart of Accounts'!$D$5:$D$3000,MATCH(U164&amp;"",'Chart of Accounts'!$A$5:$A$3000,0)),"")</f>
        <v/>
      </c>
      <c r="AA164" s="23">
        <f>IF(LEFT(V164,8)="Revenue|",-N(F164),0)+IF(LEFT(W164,8)="Revenue|",-N(M164),0)+IF(LEFT(X164,8)="Revenue|",N(O164),0)+IF(LEFT(Y164,8)="Revenue|",N(P164),0)+IF(LEFT(Z164,8)="Revenue|",N(N164),0)</f>
        <v/>
      </c>
      <c r="AB164" s="23">
        <f>IF(LEFT(V164,5)="COGS|",N(F164),0)+IF(LEFT(W164,5)="COGS|",N(M164),0)+IF(LEFT(X164,5)="COGS|",-N(O164),0)+IF(LEFT(Y164,5)="COGS|",-N(P164),0)+IF(LEFT(Z164,5)="COGS|",-N(N164),0)</f>
        <v/>
      </c>
      <c r="AC164" s="23">
        <f>IF(LEFT(V164,8)="Expense|",N(F164),0)+IF(LEFT(W164,8)="Expense|",N(M164),0)+IF(LEFT(X164,8)="Expense|",-N(O164),0)+IF(LEFT(Y164,8)="Expense|",-N(P164),0)+IF(LEFT(Z164,8)="Expense|",-N(N164),0)</f>
        <v/>
      </c>
      <c r="AD164" s="23">
        <f>IF(ISNUMBER(MATCH(V164,{"Expense|employee","Expense|general_admin","Expense|marketing","Expense|utilities","Expense|other_operating"},0)),N(F164),0)+IF(ISNUMBER(MATCH(W164,{"Expense|employee","Expense|general_admin","Expense|marketing","Expense|utilities","Expense|other_operating"},0)),N(M164),0)+IF(ISNUMBER(MATCH(X164,{"Expense|employee","Expense|general_admin","Expense|marketing","Expense|utilities","Expense|other_operating"},0)),-N(O164),0)+IF(ISNUMBER(MATCH(Y164,{"Expense|employee","Expense|general_admin","Expense|marketing","Expense|utilities","Expense|other_operating"},0)),-N(P164),0)+IF(ISNUMBER(MATCH(Z164,{"Expense|employee","Expense|general_admin","Expense|marketing","Expense|utilities","Expense|other_operating"},0)),-N(N164),0)</f>
        <v/>
      </c>
      <c r="AE164" s="23">
        <f>IF(V164="Liability|payable",-N(F164),0)+IF(W164="Liability|payable",-N(M164),0)+IF(X164="Liability|payable",N(O164),0)+IF(Y164="Liability|payable",N(P164),0)+IF(Z164="Liability|payable",N(N164),0)</f>
        <v/>
      </c>
      <c r="AF164" s="23">
        <f>IF(V164="Liability|accrued",-N(F164),0)+IF(W164="Liability|accrued",-N(M164),0)+IF(X164="Liability|accrued",N(O164),0)+IF(Y164="Liability|accrued",N(P164),0)+IF(Z164="Liability|accrued",N(N164),0)</f>
        <v/>
      </c>
      <c r="AG164" s="23">
        <f>IF(AND(N(F164)&lt;&gt;0,V164=""),1,0)+IF(AND(N(M164)&lt;&gt;0,W164=""),1,0)+IF(AND(N(O164)&lt;&gt;0,X164=""),1,0)+IF(AND(N(P164)&lt;&gt;0,Y164=""),1,0)+IF(AND(N(N164)&lt;&gt;0,Z164=""),1,0)</f>
        <v/>
      </c>
    </row>
    <row r="165">
      <c r="A165" s="19" t="n"/>
      <c r="B165" s="14" t="n"/>
      <c r="C165" s="14" t="n"/>
      <c r="D165" s="14" t="n"/>
      <c r="E165" s="14" t="n"/>
      <c r="F165" s="20" t="n"/>
      <c r="G165" s="20" t="n"/>
      <c r="H165" s="14" t="n"/>
      <c r="I165" s="14" t="n"/>
      <c r="J165" s="14" t="n"/>
      <c r="K165" s="14" t="n"/>
      <c r="L165" s="14" t="n"/>
      <c r="M165" s="21">
        <f>ROUND(N(F165)*IFERROR(VLOOKUP(K165,'Tax Codes'!$A$5:$E$300,5,FALSE),0),2)</f>
        <v/>
      </c>
      <c r="N165" s="21">
        <f>ROUND(N(F165)*IFERROR(VLOOKUP(L165,'Tax Codes'!$A$5:$E$300,5,FALSE),0),2)</f>
        <v/>
      </c>
      <c r="O165" s="21">
        <f>IF(G165="",N(F165)+M165-N165,N(G165))</f>
        <v/>
      </c>
      <c r="P165" s="21">
        <f>N(F165)+M165-N165-O165</f>
        <v/>
      </c>
      <c r="Q165" s="16">
        <f>IF(C165="",INDEX('Chart of Accounts'!$A$5:$A$3000,MATCH("other_overhead",'Chart of Accounts'!$F$5:$F$3000,0)),C165&amp;"")</f>
        <v/>
      </c>
      <c r="R165" s="16">
        <f>IF(I165="",INDEX('Chart of Accounts'!$A$5:$A$3000,MATCH("bank",'Chart of Accounts'!$F$5:$F$3000,0)),I165&amp;"")</f>
        <v/>
      </c>
      <c r="S165" s="16">
        <f>IF(J165="",INDEX('Chart of Accounts'!$A$5:$A$3000,MATCH("ap",'Chart of Accounts'!$F$5:$F$3000,0)),J165&amp;"")</f>
        <v/>
      </c>
      <c r="T165" s="16">
        <f>INDEX('Chart of Accounts'!$A$5:$A$3000,MATCH("vat_input",'Chart of Accounts'!$F$5:$F$3000,0))</f>
        <v/>
      </c>
      <c r="U165" s="16">
        <f>INDEX('Chart of Accounts'!$A$5:$A$3000,MATCH("wht_payable",'Chart of Accounts'!$F$5:$F$3000,0))</f>
        <v/>
      </c>
      <c r="V165" s="23">
        <f>IFERROR(INDEX('Chart of Accounts'!$C$5:$C$3000,MATCH(Q165&amp;"",'Chart of Accounts'!$A$5:$A$3000,0))&amp;"|"&amp;INDEX('Chart of Accounts'!$D$5:$D$3000,MATCH(Q165&amp;"",'Chart of Accounts'!$A$5:$A$3000,0)),"")</f>
        <v/>
      </c>
      <c r="W165" s="23">
        <f>IFERROR(INDEX('Chart of Accounts'!$C$5:$C$3000,MATCH(T165&amp;"",'Chart of Accounts'!$A$5:$A$3000,0))&amp;"|"&amp;INDEX('Chart of Accounts'!$D$5:$D$3000,MATCH(T165&amp;"",'Chart of Accounts'!$A$5:$A$3000,0)),"")</f>
        <v/>
      </c>
      <c r="X165" s="23">
        <f>IFERROR(INDEX('Chart of Accounts'!$C$5:$C$3000,MATCH(R165&amp;"",'Chart of Accounts'!$A$5:$A$3000,0))&amp;"|"&amp;INDEX('Chart of Accounts'!$D$5:$D$3000,MATCH(R165&amp;"",'Chart of Accounts'!$A$5:$A$3000,0)),"")</f>
        <v/>
      </c>
      <c r="Y165" s="23">
        <f>IFERROR(INDEX('Chart of Accounts'!$C$5:$C$3000,MATCH(S165&amp;"",'Chart of Accounts'!$A$5:$A$3000,0))&amp;"|"&amp;INDEX('Chart of Accounts'!$D$5:$D$3000,MATCH(S165&amp;"",'Chart of Accounts'!$A$5:$A$3000,0)),"")</f>
        <v/>
      </c>
      <c r="Z165" s="23">
        <f>IFERROR(INDEX('Chart of Accounts'!$C$5:$C$3000,MATCH(U165&amp;"",'Chart of Accounts'!$A$5:$A$3000,0))&amp;"|"&amp;INDEX('Chart of Accounts'!$D$5:$D$3000,MATCH(U165&amp;"",'Chart of Accounts'!$A$5:$A$3000,0)),"")</f>
        <v/>
      </c>
      <c r="AA165" s="23">
        <f>IF(LEFT(V165,8)="Revenue|",-N(F165),0)+IF(LEFT(W165,8)="Revenue|",-N(M165),0)+IF(LEFT(X165,8)="Revenue|",N(O165),0)+IF(LEFT(Y165,8)="Revenue|",N(P165),0)+IF(LEFT(Z165,8)="Revenue|",N(N165),0)</f>
        <v/>
      </c>
      <c r="AB165" s="23">
        <f>IF(LEFT(V165,5)="COGS|",N(F165),0)+IF(LEFT(W165,5)="COGS|",N(M165),0)+IF(LEFT(X165,5)="COGS|",-N(O165),0)+IF(LEFT(Y165,5)="COGS|",-N(P165),0)+IF(LEFT(Z165,5)="COGS|",-N(N165),0)</f>
        <v/>
      </c>
      <c r="AC165" s="23">
        <f>IF(LEFT(V165,8)="Expense|",N(F165),0)+IF(LEFT(W165,8)="Expense|",N(M165),0)+IF(LEFT(X165,8)="Expense|",-N(O165),0)+IF(LEFT(Y165,8)="Expense|",-N(P165),0)+IF(LEFT(Z165,8)="Expense|",-N(N165),0)</f>
        <v/>
      </c>
      <c r="AD165" s="23">
        <f>IF(ISNUMBER(MATCH(V165,{"Expense|employee","Expense|general_admin","Expense|marketing","Expense|utilities","Expense|other_operating"},0)),N(F165),0)+IF(ISNUMBER(MATCH(W165,{"Expense|employee","Expense|general_admin","Expense|marketing","Expense|utilities","Expense|other_operating"},0)),N(M165),0)+IF(ISNUMBER(MATCH(X165,{"Expense|employee","Expense|general_admin","Expense|marketing","Expense|utilities","Expense|other_operating"},0)),-N(O165),0)+IF(ISNUMBER(MATCH(Y165,{"Expense|employee","Expense|general_admin","Expense|marketing","Expense|utilities","Expense|other_operating"},0)),-N(P165),0)+IF(ISNUMBER(MATCH(Z165,{"Expense|employee","Expense|general_admin","Expense|marketing","Expense|utilities","Expense|other_operating"},0)),-N(N165),0)</f>
        <v/>
      </c>
      <c r="AE165" s="23">
        <f>IF(V165="Liability|payable",-N(F165),0)+IF(W165="Liability|payable",-N(M165),0)+IF(X165="Liability|payable",N(O165),0)+IF(Y165="Liability|payable",N(P165),0)+IF(Z165="Liability|payable",N(N165),0)</f>
        <v/>
      </c>
      <c r="AF165" s="23">
        <f>IF(V165="Liability|accrued",-N(F165),0)+IF(W165="Liability|accrued",-N(M165),0)+IF(X165="Liability|accrued",N(O165),0)+IF(Y165="Liability|accrued",N(P165),0)+IF(Z165="Liability|accrued",N(N165),0)</f>
        <v/>
      </c>
      <c r="AG165" s="23">
        <f>IF(AND(N(F165)&lt;&gt;0,V165=""),1,0)+IF(AND(N(M165)&lt;&gt;0,W165=""),1,0)+IF(AND(N(O165)&lt;&gt;0,X165=""),1,0)+IF(AND(N(P165)&lt;&gt;0,Y165=""),1,0)+IF(AND(N(N165)&lt;&gt;0,Z165=""),1,0)</f>
        <v/>
      </c>
    </row>
    <row r="166">
      <c r="A166" s="19" t="n"/>
      <c r="B166" s="14" t="n"/>
      <c r="C166" s="14" t="n"/>
      <c r="D166" s="14" t="n"/>
      <c r="E166" s="14" t="n"/>
      <c r="F166" s="20" t="n"/>
      <c r="G166" s="20" t="n"/>
      <c r="H166" s="14" t="n"/>
      <c r="I166" s="14" t="n"/>
      <c r="J166" s="14" t="n"/>
      <c r="K166" s="14" t="n"/>
      <c r="L166" s="14" t="n"/>
      <c r="M166" s="21">
        <f>ROUND(N(F166)*IFERROR(VLOOKUP(K166,'Tax Codes'!$A$5:$E$300,5,FALSE),0),2)</f>
        <v/>
      </c>
      <c r="N166" s="21">
        <f>ROUND(N(F166)*IFERROR(VLOOKUP(L166,'Tax Codes'!$A$5:$E$300,5,FALSE),0),2)</f>
        <v/>
      </c>
      <c r="O166" s="21">
        <f>IF(G166="",N(F166)+M166-N166,N(G166))</f>
        <v/>
      </c>
      <c r="P166" s="21">
        <f>N(F166)+M166-N166-O166</f>
        <v/>
      </c>
      <c r="Q166" s="16">
        <f>IF(C166="",INDEX('Chart of Accounts'!$A$5:$A$3000,MATCH("other_overhead",'Chart of Accounts'!$F$5:$F$3000,0)),C166&amp;"")</f>
        <v/>
      </c>
      <c r="R166" s="16">
        <f>IF(I166="",INDEX('Chart of Accounts'!$A$5:$A$3000,MATCH("bank",'Chart of Accounts'!$F$5:$F$3000,0)),I166&amp;"")</f>
        <v/>
      </c>
      <c r="S166" s="16">
        <f>IF(J166="",INDEX('Chart of Accounts'!$A$5:$A$3000,MATCH("ap",'Chart of Accounts'!$F$5:$F$3000,0)),J166&amp;"")</f>
        <v/>
      </c>
      <c r="T166" s="16">
        <f>INDEX('Chart of Accounts'!$A$5:$A$3000,MATCH("vat_input",'Chart of Accounts'!$F$5:$F$3000,0))</f>
        <v/>
      </c>
      <c r="U166" s="16">
        <f>INDEX('Chart of Accounts'!$A$5:$A$3000,MATCH("wht_payable",'Chart of Accounts'!$F$5:$F$3000,0))</f>
        <v/>
      </c>
      <c r="V166" s="23">
        <f>IFERROR(INDEX('Chart of Accounts'!$C$5:$C$3000,MATCH(Q166&amp;"",'Chart of Accounts'!$A$5:$A$3000,0))&amp;"|"&amp;INDEX('Chart of Accounts'!$D$5:$D$3000,MATCH(Q166&amp;"",'Chart of Accounts'!$A$5:$A$3000,0)),"")</f>
        <v/>
      </c>
      <c r="W166" s="23">
        <f>IFERROR(INDEX('Chart of Accounts'!$C$5:$C$3000,MATCH(T166&amp;"",'Chart of Accounts'!$A$5:$A$3000,0))&amp;"|"&amp;INDEX('Chart of Accounts'!$D$5:$D$3000,MATCH(T166&amp;"",'Chart of Accounts'!$A$5:$A$3000,0)),"")</f>
        <v/>
      </c>
      <c r="X166" s="23">
        <f>IFERROR(INDEX('Chart of Accounts'!$C$5:$C$3000,MATCH(R166&amp;"",'Chart of Accounts'!$A$5:$A$3000,0))&amp;"|"&amp;INDEX('Chart of Accounts'!$D$5:$D$3000,MATCH(R166&amp;"",'Chart of Accounts'!$A$5:$A$3000,0)),"")</f>
        <v/>
      </c>
      <c r="Y166" s="23">
        <f>IFERROR(INDEX('Chart of Accounts'!$C$5:$C$3000,MATCH(S166&amp;"",'Chart of Accounts'!$A$5:$A$3000,0))&amp;"|"&amp;INDEX('Chart of Accounts'!$D$5:$D$3000,MATCH(S166&amp;"",'Chart of Accounts'!$A$5:$A$3000,0)),"")</f>
        <v/>
      </c>
      <c r="Z166" s="23">
        <f>IFERROR(INDEX('Chart of Accounts'!$C$5:$C$3000,MATCH(U166&amp;"",'Chart of Accounts'!$A$5:$A$3000,0))&amp;"|"&amp;INDEX('Chart of Accounts'!$D$5:$D$3000,MATCH(U166&amp;"",'Chart of Accounts'!$A$5:$A$3000,0)),"")</f>
        <v/>
      </c>
      <c r="AA166" s="23">
        <f>IF(LEFT(V166,8)="Revenue|",-N(F166),0)+IF(LEFT(W166,8)="Revenue|",-N(M166),0)+IF(LEFT(X166,8)="Revenue|",N(O166),0)+IF(LEFT(Y166,8)="Revenue|",N(P166),0)+IF(LEFT(Z166,8)="Revenue|",N(N166),0)</f>
        <v/>
      </c>
      <c r="AB166" s="23">
        <f>IF(LEFT(V166,5)="COGS|",N(F166),0)+IF(LEFT(W166,5)="COGS|",N(M166),0)+IF(LEFT(X166,5)="COGS|",-N(O166),0)+IF(LEFT(Y166,5)="COGS|",-N(P166),0)+IF(LEFT(Z166,5)="COGS|",-N(N166),0)</f>
        <v/>
      </c>
      <c r="AC166" s="23">
        <f>IF(LEFT(V166,8)="Expense|",N(F166),0)+IF(LEFT(W166,8)="Expense|",N(M166),0)+IF(LEFT(X166,8)="Expense|",-N(O166),0)+IF(LEFT(Y166,8)="Expense|",-N(P166),0)+IF(LEFT(Z166,8)="Expense|",-N(N166),0)</f>
        <v/>
      </c>
      <c r="AD166" s="23">
        <f>IF(ISNUMBER(MATCH(V166,{"Expense|employee","Expense|general_admin","Expense|marketing","Expense|utilities","Expense|other_operating"},0)),N(F166),0)+IF(ISNUMBER(MATCH(W166,{"Expense|employee","Expense|general_admin","Expense|marketing","Expense|utilities","Expense|other_operating"},0)),N(M166),0)+IF(ISNUMBER(MATCH(X166,{"Expense|employee","Expense|general_admin","Expense|marketing","Expense|utilities","Expense|other_operating"},0)),-N(O166),0)+IF(ISNUMBER(MATCH(Y166,{"Expense|employee","Expense|general_admin","Expense|marketing","Expense|utilities","Expense|other_operating"},0)),-N(P166),0)+IF(ISNUMBER(MATCH(Z166,{"Expense|employee","Expense|general_admin","Expense|marketing","Expense|utilities","Expense|other_operating"},0)),-N(N166),0)</f>
        <v/>
      </c>
      <c r="AE166" s="23">
        <f>IF(V166="Liability|payable",-N(F166),0)+IF(W166="Liability|payable",-N(M166),0)+IF(X166="Liability|payable",N(O166),0)+IF(Y166="Liability|payable",N(P166),0)+IF(Z166="Liability|payable",N(N166),0)</f>
        <v/>
      </c>
      <c r="AF166" s="23">
        <f>IF(V166="Liability|accrued",-N(F166),0)+IF(W166="Liability|accrued",-N(M166),0)+IF(X166="Liability|accrued",N(O166),0)+IF(Y166="Liability|accrued",N(P166),0)+IF(Z166="Liability|accrued",N(N166),0)</f>
        <v/>
      </c>
      <c r="AG166" s="23">
        <f>IF(AND(N(F166)&lt;&gt;0,V166=""),1,0)+IF(AND(N(M166)&lt;&gt;0,W166=""),1,0)+IF(AND(N(O166)&lt;&gt;0,X166=""),1,0)+IF(AND(N(P166)&lt;&gt;0,Y166=""),1,0)+IF(AND(N(N166)&lt;&gt;0,Z166=""),1,0)</f>
        <v/>
      </c>
    </row>
    <row r="167">
      <c r="A167" s="19" t="n"/>
      <c r="B167" s="14" t="n"/>
      <c r="C167" s="14" t="n"/>
      <c r="D167" s="14" t="n"/>
      <c r="E167" s="14" t="n"/>
      <c r="F167" s="20" t="n"/>
      <c r="G167" s="20" t="n"/>
      <c r="H167" s="14" t="n"/>
      <c r="I167" s="14" t="n"/>
      <c r="J167" s="14" t="n"/>
      <c r="K167" s="14" t="n"/>
      <c r="L167" s="14" t="n"/>
      <c r="M167" s="21">
        <f>ROUND(N(F167)*IFERROR(VLOOKUP(K167,'Tax Codes'!$A$5:$E$300,5,FALSE),0),2)</f>
        <v/>
      </c>
      <c r="N167" s="21">
        <f>ROUND(N(F167)*IFERROR(VLOOKUP(L167,'Tax Codes'!$A$5:$E$300,5,FALSE),0),2)</f>
        <v/>
      </c>
      <c r="O167" s="21">
        <f>IF(G167="",N(F167)+M167-N167,N(G167))</f>
        <v/>
      </c>
      <c r="P167" s="21">
        <f>N(F167)+M167-N167-O167</f>
        <v/>
      </c>
      <c r="Q167" s="16">
        <f>IF(C167="",INDEX('Chart of Accounts'!$A$5:$A$3000,MATCH("other_overhead",'Chart of Accounts'!$F$5:$F$3000,0)),C167&amp;"")</f>
        <v/>
      </c>
      <c r="R167" s="16">
        <f>IF(I167="",INDEX('Chart of Accounts'!$A$5:$A$3000,MATCH("bank",'Chart of Accounts'!$F$5:$F$3000,0)),I167&amp;"")</f>
        <v/>
      </c>
      <c r="S167" s="16">
        <f>IF(J167="",INDEX('Chart of Accounts'!$A$5:$A$3000,MATCH("ap",'Chart of Accounts'!$F$5:$F$3000,0)),J167&amp;"")</f>
        <v/>
      </c>
      <c r="T167" s="16">
        <f>INDEX('Chart of Accounts'!$A$5:$A$3000,MATCH("vat_input",'Chart of Accounts'!$F$5:$F$3000,0))</f>
        <v/>
      </c>
      <c r="U167" s="16">
        <f>INDEX('Chart of Accounts'!$A$5:$A$3000,MATCH("wht_payable",'Chart of Accounts'!$F$5:$F$3000,0))</f>
        <v/>
      </c>
      <c r="V167" s="23">
        <f>IFERROR(INDEX('Chart of Accounts'!$C$5:$C$3000,MATCH(Q167&amp;"",'Chart of Accounts'!$A$5:$A$3000,0))&amp;"|"&amp;INDEX('Chart of Accounts'!$D$5:$D$3000,MATCH(Q167&amp;"",'Chart of Accounts'!$A$5:$A$3000,0)),"")</f>
        <v/>
      </c>
      <c r="W167" s="23">
        <f>IFERROR(INDEX('Chart of Accounts'!$C$5:$C$3000,MATCH(T167&amp;"",'Chart of Accounts'!$A$5:$A$3000,0))&amp;"|"&amp;INDEX('Chart of Accounts'!$D$5:$D$3000,MATCH(T167&amp;"",'Chart of Accounts'!$A$5:$A$3000,0)),"")</f>
        <v/>
      </c>
      <c r="X167" s="23">
        <f>IFERROR(INDEX('Chart of Accounts'!$C$5:$C$3000,MATCH(R167&amp;"",'Chart of Accounts'!$A$5:$A$3000,0))&amp;"|"&amp;INDEX('Chart of Accounts'!$D$5:$D$3000,MATCH(R167&amp;"",'Chart of Accounts'!$A$5:$A$3000,0)),"")</f>
        <v/>
      </c>
      <c r="Y167" s="23">
        <f>IFERROR(INDEX('Chart of Accounts'!$C$5:$C$3000,MATCH(S167&amp;"",'Chart of Accounts'!$A$5:$A$3000,0))&amp;"|"&amp;INDEX('Chart of Accounts'!$D$5:$D$3000,MATCH(S167&amp;"",'Chart of Accounts'!$A$5:$A$3000,0)),"")</f>
        <v/>
      </c>
      <c r="Z167" s="23">
        <f>IFERROR(INDEX('Chart of Accounts'!$C$5:$C$3000,MATCH(U167&amp;"",'Chart of Accounts'!$A$5:$A$3000,0))&amp;"|"&amp;INDEX('Chart of Accounts'!$D$5:$D$3000,MATCH(U167&amp;"",'Chart of Accounts'!$A$5:$A$3000,0)),"")</f>
        <v/>
      </c>
      <c r="AA167" s="23">
        <f>IF(LEFT(V167,8)="Revenue|",-N(F167),0)+IF(LEFT(W167,8)="Revenue|",-N(M167),0)+IF(LEFT(X167,8)="Revenue|",N(O167),0)+IF(LEFT(Y167,8)="Revenue|",N(P167),0)+IF(LEFT(Z167,8)="Revenue|",N(N167),0)</f>
        <v/>
      </c>
      <c r="AB167" s="23">
        <f>IF(LEFT(V167,5)="COGS|",N(F167),0)+IF(LEFT(W167,5)="COGS|",N(M167),0)+IF(LEFT(X167,5)="COGS|",-N(O167),0)+IF(LEFT(Y167,5)="COGS|",-N(P167),0)+IF(LEFT(Z167,5)="COGS|",-N(N167),0)</f>
        <v/>
      </c>
      <c r="AC167" s="23">
        <f>IF(LEFT(V167,8)="Expense|",N(F167),0)+IF(LEFT(W167,8)="Expense|",N(M167),0)+IF(LEFT(X167,8)="Expense|",-N(O167),0)+IF(LEFT(Y167,8)="Expense|",-N(P167),0)+IF(LEFT(Z167,8)="Expense|",-N(N167),0)</f>
        <v/>
      </c>
      <c r="AD167" s="23">
        <f>IF(ISNUMBER(MATCH(V167,{"Expense|employee","Expense|general_admin","Expense|marketing","Expense|utilities","Expense|other_operating"},0)),N(F167),0)+IF(ISNUMBER(MATCH(W167,{"Expense|employee","Expense|general_admin","Expense|marketing","Expense|utilities","Expense|other_operating"},0)),N(M167),0)+IF(ISNUMBER(MATCH(X167,{"Expense|employee","Expense|general_admin","Expense|marketing","Expense|utilities","Expense|other_operating"},0)),-N(O167),0)+IF(ISNUMBER(MATCH(Y167,{"Expense|employee","Expense|general_admin","Expense|marketing","Expense|utilities","Expense|other_operating"},0)),-N(P167),0)+IF(ISNUMBER(MATCH(Z167,{"Expense|employee","Expense|general_admin","Expense|marketing","Expense|utilities","Expense|other_operating"},0)),-N(N167),0)</f>
        <v/>
      </c>
      <c r="AE167" s="23">
        <f>IF(V167="Liability|payable",-N(F167),0)+IF(W167="Liability|payable",-N(M167),0)+IF(X167="Liability|payable",N(O167),0)+IF(Y167="Liability|payable",N(P167),0)+IF(Z167="Liability|payable",N(N167),0)</f>
        <v/>
      </c>
      <c r="AF167" s="23">
        <f>IF(V167="Liability|accrued",-N(F167),0)+IF(W167="Liability|accrued",-N(M167),0)+IF(X167="Liability|accrued",N(O167),0)+IF(Y167="Liability|accrued",N(P167),0)+IF(Z167="Liability|accrued",N(N167),0)</f>
        <v/>
      </c>
      <c r="AG167" s="23">
        <f>IF(AND(N(F167)&lt;&gt;0,V167=""),1,0)+IF(AND(N(M167)&lt;&gt;0,W167=""),1,0)+IF(AND(N(O167)&lt;&gt;0,X167=""),1,0)+IF(AND(N(P167)&lt;&gt;0,Y167=""),1,0)+IF(AND(N(N167)&lt;&gt;0,Z167=""),1,0)</f>
        <v/>
      </c>
    </row>
    <row r="168">
      <c r="A168" s="19" t="n"/>
      <c r="B168" s="14" t="n"/>
      <c r="C168" s="14" t="n"/>
      <c r="D168" s="14" t="n"/>
      <c r="E168" s="14" t="n"/>
      <c r="F168" s="20" t="n"/>
      <c r="G168" s="20" t="n"/>
      <c r="H168" s="14" t="n"/>
      <c r="I168" s="14" t="n"/>
      <c r="J168" s="14" t="n"/>
      <c r="K168" s="14" t="n"/>
      <c r="L168" s="14" t="n"/>
      <c r="M168" s="21">
        <f>ROUND(N(F168)*IFERROR(VLOOKUP(K168,'Tax Codes'!$A$5:$E$300,5,FALSE),0),2)</f>
        <v/>
      </c>
      <c r="N168" s="21">
        <f>ROUND(N(F168)*IFERROR(VLOOKUP(L168,'Tax Codes'!$A$5:$E$300,5,FALSE),0),2)</f>
        <v/>
      </c>
      <c r="O168" s="21">
        <f>IF(G168="",N(F168)+M168-N168,N(G168))</f>
        <v/>
      </c>
      <c r="P168" s="21">
        <f>N(F168)+M168-N168-O168</f>
        <v/>
      </c>
      <c r="Q168" s="16">
        <f>IF(C168="",INDEX('Chart of Accounts'!$A$5:$A$3000,MATCH("other_overhead",'Chart of Accounts'!$F$5:$F$3000,0)),C168&amp;"")</f>
        <v/>
      </c>
      <c r="R168" s="16">
        <f>IF(I168="",INDEX('Chart of Accounts'!$A$5:$A$3000,MATCH("bank",'Chart of Accounts'!$F$5:$F$3000,0)),I168&amp;"")</f>
        <v/>
      </c>
      <c r="S168" s="16">
        <f>IF(J168="",INDEX('Chart of Accounts'!$A$5:$A$3000,MATCH("ap",'Chart of Accounts'!$F$5:$F$3000,0)),J168&amp;"")</f>
        <v/>
      </c>
      <c r="T168" s="16">
        <f>INDEX('Chart of Accounts'!$A$5:$A$3000,MATCH("vat_input",'Chart of Accounts'!$F$5:$F$3000,0))</f>
        <v/>
      </c>
      <c r="U168" s="16">
        <f>INDEX('Chart of Accounts'!$A$5:$A$3000,MATCH("wht_payable",'Chart of Accounts'!$F$5:$F$3000,0))</f>
        <v/>
      </c>
      <c r="V168" s="23">
        <f>IFERROR(INDEX('Chart of Accounts'!$C$5:$C$3000,MATCH(Q168&amp;"",'Chart of Accounts'!$A$5:$A$3000,0))&amp;"|"&amp;INDEX('Chart of Accounts'!$D$5:$D$3000,MATCH(Q168&amp;"",'Chart of Accounts'!$A$5:$A$3000,0)),"")</f>
        <v/>
      </c>
      <c r="W168" s="23">
        <f>IFERROR(INDEX('Chart of Accounts'!$C$5:$C$3000,MATCH(T168&amp;"",'Chart of Accounts'!$A$5:$A$3000,0))&amp;"|"&amp;INDEX('Chart of Accounts'!$D$5:$D$3000,MATCH(T168&amp;"",'Chart of Accounts'!$A$5:$A$3000,0)),"")</f>
        <v/>
      </c>
      <c r="X168" s="23">
        <f>IFERROR(INDEX('Chart of Accounts'!$C$5:$C$3000,MATCH(R168&amp;"",'Chart of Accounts'!$A$5:$A$3000,0))&amp;"|"&amp;INDEX('Chart of Accounts'!$D$5:$D$3000,MATCH(R168&amp;"",'Chart of Accounts'!$A$5:$A$3000,0)),"")</f>
        <v/>
      </c>
      <c r="Y168" s="23">
        <f>IFERROR(INDEX('Chart of Accounts'!$C$5:$C$3000,MATCH(S168&amp;"",'Chart of Accounts'!$A$5:$A$3000,0))&amp;"|"&amp;INDEX('Chart of Accounts'!$D$5:$D$3000,MATCH(S168&amp;"",'Chart of Accounts'!$A$5:$A$3000,0)),"")</f>
        <v/>
      </c>
      <c r="Z168" s="23">
        <f>IFERROR(INDEX('Chart of Accounts'!$C$5:$C$3000,MATCH(U168&amp;"",'Chart of Accounts'!$A$5:$A$3000,0))&amp;"|"&amp;INDEX('Chart of Accounts'!$D$5:$D$3000,MATCH(U168&amp;"",'Chart of Accounts'!$A$5:$A$3000,0)),"")</f>
        <v/>
      </c>
      <c r="AA168" s="23">
        <f>IF(LEFT(V168,8)="Revenue|",-N(F168),0)+IF(LEFT(W168,8)="Revenue|",-N(M168),0)+IF(LEFT(X168,8)="Revenue|",N(O168),0)+IF(LEFT(Y168,8)="Revenue|",N(P168),0)+IF(LEFT(Z168,8)="Revenue|",N(N168),0)</f>
        <v/>
      </c>
      <c r="AB168" s="23">
        <f>IF(LEFT(V168,5)="COGS|",N(F168),0)+IF(LEFT(W168,5)="COGS|",N(M168),0)+IF(LEFT(X168,5)="COGS|",-N(O168),0)+IF(LEFT(Y168,5)="COGS|",-N(P168),0)+IF(LEFT(Z168,5)="COGS|",-N(N168),0)</f>
        <v/>
      </c>
      <c r="AC168" s="23">
        <f>IF(LEFT(V168,8)="Expense|",N(F168),0)+IF(LEFT(W168,8)="Expense|",N(M168),0)+IF(LEFT(X168,8)="Expense|",-N(O168),0)+IF(LEFT(Y168,8)="Expense|",-N(P168),0)+IF(LEFT(Z168,8)="Expense|",-N(N168),0)</f>
        <v/>
      </c>
      <c r="AD168" s="23">
        <f>IF(ISNUMBER(MATCH(V168,{"Expense|employee","Expense|general_admin","Expense|marketing","Expense|utilities","Expense|other_operating"},0)),N(F168),0)+IF(ISNUMBER(MATCH(W168,{"Expense|employee","Expense|general_admin","Expense|marketing","Expense|utilities","Expense|other_operating"},0)),N(M168),0)+IF(ISNUMBER(MATCH(X168,{"Expense|employee","Expense|general_admin","Expense|marketing","Expense|utilities","Expense|other_operating"},0)),-N(O168),0)+IF(ISNUMBER(MATCH(Y168,{"Expense|employee","Expense|general_admin","Expense|marketing","Expense|utilities","Expense|other_operating"},0)),-N(P168),0)+IF(ISNUMBER(MATCH(Z168,{"Expense|employee","Expense|general_admin","Expense|marketing","Expense|utilities","Expense|other_operating"},0)),-N(N168),0)</f>
        <v/>
      </c>
      <c r="AE168" s="23">
        <f>IF(V168="Liability|payable",-N(F168),0)+IF(W168="Liability|payable",-N(M168),0)+IF(X168="Liability|payable",N(O168),0)+IF(Y168="Liability|payable",N(P168),0)+IF(Z168="Liability|payable",N(N168),0)</f>
        <v/>
      </c>
      <c r="AF168" s="23">
        <f>IF(V168="Liability|accrued",-N(F168),0)+IF(W168="Liability|accrued",-N(M168),0)+IF(X168="Liability|accrued",N(O168),0)+IF(Y168="Liability|accrued",N(P168),0)+IF(Z168="Liability|accrued",N(N168),0)</f>
        <v/>
      </c>
      <c r="AG168" s="23">
        <f>IF(AND(N(F168)&lt;&gt;0,V168=""),1,0)+IF(AND(N(M168)&lt;&gt;0,W168=""),1,0)+IF(AND(N(O168)&lt;&gt;0,X168=""),1,0)+IF(AND(N(P168)&lt;&gt;0,Y168=""),1,0)+IF(AND(N(N168)&lt;&gt;0,Z168=""),1,0)</f>
        <v/>
      </c>
    </row>
    <row r="169">
      <c r="A169" s="19" t="n"/>
      <c r="B169" s="14" t="n"/>
      <c r="C169" s="14" t="n"/>
      <c r="D169" s="14" t="n"/>
      <c r="E169" s="14" t="n"/>
      <c r="F169" s="20" t="n"/>
      <c r="G169" s="20" t="n"/>
      <c r="H169" s="14" t="n"/>
      <c r="I169" s="14" t="n"/>
      <c r="J169" s="14" t="n"/>
      <c r="K169" s="14" t="n"/>
      <c r="L169" s="14" t="n"/>
      <c r="M169" s="21">
        <f>ROUND(N(F169)*IFERROR(VLOOKUP(K169,'Tax Codes'!$A$5:$E$300,5,FALSE),0),2)</f>
        <v/>
      </c>
      <c r="N169" s="21">
        <f>ROUND(N(F169)*IFERROR(VLOOKUP(L169,'Tax Codes'!$A$5:$E$300,5,FALSE),0),2)</f>
        <v/>
      </c>
      <c r="O169" s="21">
        <f>IF(G169="",N(F169)+M169-N169,N(G169))</f>
        <v/>
      </c>
      <c r="P169" s="21">
        <f>N(F169)+M169-N169-O169</f>
        <v/>
      </c>
      <c r="Q169" s="16">
        <f>IF(C169="",INDEX('Chart of Accounts'!$A$5:$A$3000,MATCH("other_overhead",'Chart of Accounts'!$F$5:$F$3000,0)),C169&amp;"")</f>
        <v/>
      </c>
      <c r="R169" s="16">
        <f>IF(I169="",INDEX('Chart of Accounts'!$A$5:$A$3000,MATCH("bank",'Chart of Accounts'!$F$5:$F$3000,0)),I169&amp;"")</f>
        <v/>
      </c>
      <c r="S169" s="16">
        <f>IF(J169="",INDEX('Chart of Accounts'!$A$5:$A$3000,MATCH("ap",'Chart of Accounts'!$F$5:$F$3000,0)),J169&amp;"")</f>
        <v/>
      </c>
      <c r="T169" s="16">
        <f>INDEX('Chart of Accounts'!$A$5:$A$3000,MATCH("vat_input",'Chart of Accounts'!$F$5:$F$3000,0))</f>
        <v/>
      </c>
      <c r="U169" s="16">
        <f>INDEX('Chart of Accounts'!$A$5:$A$3000,MATCH("wht_payable",'Chart of Accounts'!$F$5:$F$3000,0))</f>
        <v/>
      </c>
      <c r="V169" s="23">
        <f>IFERROR(INDEX('Chart of Accounts'!$C$5:$C$3000,MATCH(Q169&amp;"",'Chart of Accounts'!$A$5:$A$3000,0))&amp;"|"&amp;INDEX('Chart of Accounts'!$D$5:$D$3000,MATCH(Q169&amp;"",'Chart of Accounts'!$A$5:$A$3000,0)),"")</f>
        <v/>
      </c>
      <c r="W169" s="23">
        <f>IFERROR(INDEX('Chart of Accounts'!$C$5:$C$3000,MATCH(T169&amp;"",'Chart of Accounts'!$A$5:$A$3000,0))&amp;"|"&amp;INDEX('Chart of Accounts'!$D$5:$D$3000,MATCH(T169&amp;"",'Chart of Accounts'!$A$5:$A$3000,0)),"")</f>
        <v/>
      </c>
      <c r="X169" s="23">
        <f>IFERROR(INDEX('Chart of Accounts'!$C$5:$C$3000,MATCH(R169&amp;"",'Chart of Accounts'!$A$5:$A$3000,0))&amp;"|"&amp;INDEX('Chart of Accounts'!$D$5:$D$3000,MATCH(R169&amp;"",'Chart of Accounts'!$A$5:$A$3000,0)),"")</f>
        <v/>
      </c>
      <c r="Y169" s="23">
        <f>IFERROR(INDEX('Chart of Accounts'!$C$5:$C$3000,MATCH(S169&amp;"",'Chart of Accounts'!$A$5:$A$3000,0))&amp;"|"&amp;INDEX('Chart of Accounts'!$D$5:$D$3000,MATCH(S169&amp;"",'Chart of Accounts'!$A$5:$A$3000,0)),"")</f>
        <v/>
      </c>
      <c r="Z169" s="23">
        <f>IFERROR(INDEX('Chart of Accounts'!$C$5:$C$3000,MATCH(U169&amp;"",'Chart of Accounts'!$A$5:$A$3000,0))&amp;"|"&amp;INDEX('Chart of Accounts'!$D$5:$D$3000,MATCH(U169&amp;"",'Chart of Accounts'!$A$5:$A$3000,0)),"")</f>
        <v/>
      </c>
      <c r="AA169" s="23">
        <f>IF(LEFT(V169,8)="Revenue|",-N(F169),0)+IF(LEFT(W169,8)="Revenue|",-N(M169),0)+IF(LEFT(X169,8)="Revenue|",N(O169),0)+IF(LEFT(Y169,8)="Revenue|",N(P169),0)+IF(LEFT(Z169,8)="Revenue|",N(N169),0)</f>
        <v/>
      </c>
      <c r="AB169" s="23">
        <f>IF(LEFT(V169,5)="COGS|",N(F169),0)+IF(LEFT(W169,5)="COGS|",N(M169),0)+IF(LEFT(X169,5)="COGS|",-N(O169),0)+IF(LEFT(Y169,5)="COGS|",-N(P169),0)+IF(LEFT(Z169,5)="COGS|",-N(N169),0)</f>
        <v/>
      </c>
      <c r="AC169" s="23">
        <f>IF(LEFT(V169,8)="Expense|",N(F169),0)+IF(LEFT(W169,8)="Expense|",N(M169),0)+IF(LEFT(X169,8)="Expense|",-N(O169),0)+IF(LEFT(Y169,8)="Expense|",-N(P169),0)+IF(LEFT(Z169,8)="Expense|",-N(N169),0)</f>
        <v/>
      </c>
      <c r="AD169" s="23">
        <f>IF(ISNUMBER(MATCH(V169,{"Expense|employee","Expense|general_admin","Expense|marketing","Expense|utilities","Expense|other_operating"},0)),N(F169),0)+IF(ISNUMBER(MATCH(W169,{"Expense|employee","Expense|general_admin","Expense|marketing","Expense|utilities","Expense|other_operating"},0)),N(M169),0)+IF(ISNUMBER(MATCH(X169,{"Expense|employee","Expense|general_admin","Expense|marketing","Expense|utilities","Expense|other_operating"},0)),-N(O169),0)+IF(ISNUMBER(MATCH(Y169,{"Expense|employee","Expense|general_admin","Expense|marketing","Expense|utilities","Expense|other_operating"},0)),-N(P169),0)+IF(ISNUMBER(MATCH(Z169,{"Expense|employee","Expense|general_admin","Expense|marketing","Expense|utilities","Expense|other_operating"},0)),-N(N169),0)</f>
        <v/>
      </c>
      <c r="AE169" s="23">
        <f>IF(V169="Liability|payable",-N(F169),0)+IF(W169="Liability|payable",-N(M169),0)+IF(X169="Liability|payable",N(O169),0)+IF(Y169="Liability|payable",N(P169),0)+IF(Z169="Liability|payable",N(N169),0)</f>
        <v/>
      </c>
      <c r="AF169" s="23">
        <f>IF(V169="Liability|accrued",-N(F169),0)+IF(W169="Liability|accrued",-N(M169),0)+IF(X169="Liability|accrued",N(O169),0)+IF(Y169="Liability|accrued",N(P169),0)+IF(Z169="Liability|accrued",N(N169),0)</f>
        <v/>
      </c>
      <c r="AG169" s="23">
        <f>IF(AND(N(F169)&lt;&gt;0,V169=""),1,0)+IF(AND(N(M169)&lt;&gt;0,W169=""),1,0)+IF(AND(N(O169)&lt;&gt;0,X169=""),1,0)+IF(AND(N(P169)&lt;&gt;0,Y169=""),1,0)+IF(AND(N(N169)&lt;&gt;0,Z169=""),1,0)</f>
        <v/>
      </c>
    </row>
    <row r="170">
      <c r="A170" s="19" t="n"/>
      <c r="B170" s="14" t="n"/>
      <c r="C170" s="14" t="n"/>
      <c r="D170" s="14" t="n"/>
      <c r="E170" s="14" t="n"/>
      <c r="F170" s="20" t="n"/>
      <c r="G170" s="20" t="n"/>
      <c r="H170" s="14" t="n"/>
      <c r="I170" s="14" t="n"/>
      <c r="J170" s="14" t="n"/>
      <c r="K170" s="14" t="n"/>
      <c r="L170" s="14" t="n"/>
      <c r="M170" s="21">
        <f>ROUND(N(F170)*IFERROR(VLOOKUP(K170,'Tax Codes'!$A$5:$E$300,5,FALSE),0),2)</f>
        <v/>
      </c>
      <c r="N170" s="21">
        <f>ROUND(N(F170)*IFERROR(VLOOKUP(L170,'Tax Codes'!$A$5:$E$300,5,FALSE),0),2)</f>
        <v/>
      </c>
      <c r="O170" s="21">
        <f>IF(G170="",N(F170)+M170-N170,N(G170))</f>
        <v/>
      </c>
      <c r="P170" s="21">
        <f>N(F170)+M170-N170-O170</f>
        <v/>
      </c>
      <c r="Q170" s="16">
        <f>IF(C170="",INDEX('Chart of Accounts'!$A$5:$A$3000,MATCH("other_overhead",'Chart of Accounts'!$F$5:$F$3000,0)),C170&amp;"")</f>
        <v/>
      </c>
      <c r="R170" s="16">
        <f>IF(I170="",INDEX('Chart of Accounts'!$A$5:$A$3000,MATCH("bank",'Chart of Accounts'!$F$5:$F$3000,0)),I170&amp;"")</f>
        <v/>
      </c>
      <c r="S170" s="16">
        <f>IF(J170="",INDEX('Chart of Accounts'!$A$5:$A$3000,MATCH("ap",'Chart of Accounts'!$F$5:$F$3000,0)),J170&amp;"")</f>
        <v/>
      </c>
      <c r="T170" s="16">
        <f>INDEX('Chart of Accounts'!$A$5:$A$3000,MATCH("vat_input",'Chart of Accounts'!$F$5:$F$3000,0))</f>
        <v/>
      </c>
      <c r="U170" s="16">
        <f>INDEX('Chart of Accounts'!$A$5:$A$3000,MATCH("wht_payable",'Chart of Accounts'!$F$5:$F$3000,0))</f>
        <v/>
      </c>
      <c r="V170" s="23">
        <f>IFERROR(INDEX('Chart of Accounts'!$C$5:$C$3000,MATCH(Q170&amp;"",'Chart of Accounts'!$A$5:$A$3000,0))&amp;"|"&amp;INDEX('Chart of Accounts'!$D$5:$D$3000,MATCH(Q170&amp;"",'Chart of Accounts'!$A$5:$A$3000,0)),"")</f>
        <v/>
      </c>
      <c r="W170" s="23">
        <f>IFERROR(INDEX('Chart of Accounts'!$C$5:$C$3000,MATCH(T170&amp;"",'Chart of Accounts'!$A$5:$A$3000,0))&amp;"|"&amp;INDEX('Chart of Accounts'!$D$5:$D$3000,MATCH(T170&amp;"",'Chart of Accounts'!$A$5:$A$3000,0)),"")</f>
        <v/>
      </c>
      <c r="X170" s="23">
        <f>IFERROR(INDEX('Chart of Accounts'!$C$5:$C$3000,MATCH(R170&amp;"",'Chart of Accounts'!$A$5:$A$3000,0))&amp;"|"&amp;INDEX('Chart of Accounts'!$D$5:$D$3000,MATCH(R170&amp;"",'Chart of Accounts'!$A$5:$A$3000,0)),"")</f>
        <v/>
      </c>
      <c r="Y170" s="23">
        <f>IFERROR(INDEX('Chart of Accounts'!$C$5:$C$3000,MATCH(S170&amp;"",'Chart of Accounts'!$A$5:$A$3000,0))&amp;"|"&amp;INDEX('Chart of Accounts'!$D$5:$D$3000,MATCH(S170&amp;"",'Chart of Accounts'!$A$5:$A$3000,0)),"")</f>
        <v/>
      </c>
      <c r="Z170" s="23">
        <f>IFERROR(INDEX('Chart of Accounts'!$C$5:$C$3000,MATCH(U170&amp;"",'Chart of Accounts'!$A$5:$A$3000,0))&amp;"|"&amp;INDEX('Chart of Accounts'!$D$5:$D$3000,MATCH(U170&amp;"",'Chart of Accounts'!$A$5:$A$3000,0)),"")</f>
        <v/>
      </c>
      <c r="AA170" s="23">
        <f>IF(LEFT(V170,8)="Revenue|",-N(F170),0)+IF(LEFT(W170,8)="Revenue|",-N(M170),0)+IF(LEFT(X170,8)="Revenue|",N(O170),0)+IF(LEFT(Y170,8)="Revenue|",N(P170),0)+IF(LEFT(Z170,8)="Revenue|",N(N170),0)</f>
        <v/>
      </c>
      <c r="AB170" s="23">
        <f>IF(LEFT(V170,5)="COGS|",N(F170),0)+IF(LEFT(W170,5)="COGS|",N(M170),0)+IF(LEFT(X170,5)="COGS|",-N(O170),0)+IF(LEFT(Y170,5)="COGS|",-N(P170),0)+IF(LEFT(Z170,5)="COGS|",-N(N170),0)</f>
        <v/>
      </c>
      <c r="AC170" s="23">
        <f>IF(LEFT(V170,8)="Expense|",N(F170),0)+IF(LEFT(W170,8)="Expense|",N(M170),0)+IF(LEFT(X170,8)="Expense|",-N(O170),0)+IF(LEFT(Y170,8)="Expense|",-N(P170),0)+IF(LEFT(Z170,8)="Expense|",-N(N170),0)</f>
        <v/>
      </c>
      <c r="AD170" s="23">
        <f>IF(ISNUMBER(MATCH(V170,{"Expense|employee","Expense|general_admin","Expense|marketing","Expense|utilities","Expense|other_operating"},0)),N(F170),0)+IF(ISNUMBER(MATCH(W170,{"Expense|employee","Expense|general_admin","Expense|marketing","Expense|utilities","Expense|other_operating"},0)),N(M170),0)+IF(ISNUMBER(MATCH(X170,{"Expense|employee","Expense|general_admin","Expense|marketing","Expense|utilities","Expense|other_operating"},0)),-N(O170),0)+IF(ISNUMBER(MATCH(Y170,{"Expense|employee","Expense|general_admin","Expense|marketing","Expense|utilities","Expense|other_operating"},0)),-N(P170),0)+IF(ISNUMBER(MATCH(Z170,{"Expense|employee","Expense|general_admin","Expense|marketing","Expense|utilities","Expense|other_operating"},0)),-N(N170),0)</f>
        <v/>
      </c>
      <c r="AE170" s="23">
        <f>IF(V170="Liability|payable",-N(F170),0)+IF(W170="Liability|payable",-N(M170),0)+IF(X170="Liability|payable",N(O170),0)+IF(Y170="Liability|payable",N(P170),0)+IF(Z170="Liability|payable",N(N170),0)</f>
        <v/>
      </c>
      <c r="AF170" s="23">
        <f>IF(V170="Liability|accrued",-N(F170),0)+IF(W170="Liability|accrued",-N(M170),0)+IF(X170="Liability|accrued",N(O170),0)+IF(Y170="Liability|accrued",N(P170),0)+IF(Z170="Liability|accrued",N(N170),0)</f>
        <v/>
      </c>
      <c r="AG170" s="23">
        <f>IF(AND(N(F170)&lt;&gt;0,V170=""),1,0)+IF(AND(N(M170)&lt;&gt;0,W170=""),1,0)+IF(AND(N(O170)&lt;&gt;0,X170=""),1,0)+IF(AND(N(P170)&lt;&gt;0,Y170=""),1,0)+IF(AND(N(N170)&lt;&gt;0,Z170=""),1,0)</f>
        <v/>
      </c>
    </row>
    <row r="171">
      <c r="A171" s="19" t="n"/>
      <c r="B171" s="14" t="n"/>
      <c r="C171" s="14" t="n"/>
      <c r="D171" s="14" t="n"/>
      <c r="E171" s="14" t="n"/>
      <c r="F171" s="20" t="n"/>
      <c r="G171" s="20" t="n"/>
      <c r="H171" s="14" t="n"/>
      <c r="I171" s="14" t="n"/>
      <c r="J171" s="14" t="n"/>
      <c r="K171" s="14" t="n"/>
      <c r="L171" s="14" t="n"/>
      <c r="M171" s="21">
        <f>ROUND(N(F171)*IFERROR(VLOOKUP(K171,'Tax Codes'!$A$5:$E$300,5,FALSE),0),2)</f>
        <v/>
      </c>
      <c r="N171" s="21">
        <f>ROUND(N(F171)*IFERROR(VLOOKUP(L171,'Tax Codes'!$A$5:$E$300,5,FALSE),0),2)</f>
        <v/>
      </c>
      <c r="O171" s="21">
        <f>IF(G171="",N(F171)+M171-N171,N(G171))</f>
        <v/>
      </c>
      <c r="P171" s="21">
        <f>N(F171)+M171-N171-O171</f>
        <v/>
      </c>
      <c r="Q171" s="16">
        <f>IF(C171="",INDEX('Chart of Accounts'!$A$5:$A$3000,MATCH("other_overhead",'Chart of Accounts'!$F$5:$F$3000,0)),C171&amp;"")</f>
        <v/>
      </c>
      <c r="R171" s="16">
        <f>IF(I171="",INDEX('Chart of Accounts'!$A$5:$A$3000,MATCH("bank",'Chart of Accounts'!$F$5:$F$3000,0)),I171&amp;"")</f>
        <v/>
      </c>
      <c r="S171" s="16">
        <f>IF(J171="",INDEX('Chart of Accounts'!$A$5:$A$3000,MATCH("ap",'Chart of Accounts'!$F$5:$F$3000,0)),J171&amp;"")</f>
        <v/>
      </c>
      <c r="T171" s="16">
        <f>INDEX('Chart of Accounts'!$A$5:$A$3000,MATCH("vat_input",'Chart of Accounts'!$F$5:$F$3000,0))</f>
        <v/>
      </c>
      <c r="U171" s="16">
        <f>INDEX('Chart of Accounts'!$A$5:$A$3000,MATCH("wht_payable",'Chart of Accounts'!$F$5:$F$3000,0))</f>
        <v/>
      </c>
      <c r="V171" s="23">
        <f>IFERROR(INDEX('Chart of Accounts'!$C$5:$C$3000,MATCH(Q171&amp;"",'Chart of Accounts'!$A$5:$A$3000,0))&amp;"|"&amp;INDEX('Chart of Accounts'!$D$5:$D$3000,MATCH(Q171&amp;"",'Chart of Accounts'!$A$5:$A$3000,0)),"")</f>
        <v/>
      </c>
      <c r="W171" s="23">
        <f>IFERROR(INDEX('Chart of Accounts'!$C$5:$C$3000,MATCH(T171&amp;"",'Chart of Accounts'!$A$5:$A$3000,0))&amp;"|"&amp;INDEX('Chart of Accounts'!$D$5:$D$3000,MATCH(T171&amp;"",'Chart of Accounts'!$A$5:$A$3000,0)),"")</f>
        <v/>
      </c>
      <c r="X171" s="23">
        <f>IFERROR(INDEX('Chart of Accounts'!$C$5:$C$3000,MATCH(R171&amp;"",'Chart of Accounts'!$A$5:$A$3000,0))&amp;"|"&amp;INDEX('Chart of Accounts'!$D$5:$D$3000,MATCH(R171&amp;"",'Chart of Accounts'!$A$5:$A$3000,0)),"")</f>
        <v/>
      </c>
      <c r="Y171" s="23">
        <f>IFERROR(INDEX('Chart of Accounts'!$C$5:$C$3000,MATCH(S171&amp;"",'Chart of Accounts'!$A$5:$A$3000,0))&amp;"|"&amp;INDEX('Chart of Accounts'!$D$5:$D$3000,MATCH(S171&amp;"",'Chart of Accounts'!$A$5:$A$3000,0)),"")</f>
        <v/>
      </c>
      <c r="Z171" s="23">
        <f>IFERROR(INDEX('Chart of Accounts'!$C$5:$C$3000,MATCH(U171&amp;"",'Chart of Accounts'!$A$5:$A$3000,0))&amp;"|"&amp;INDEX('Chart of Accounts'!$D$5:$D$3000,MATCH(U171&amp;"",'Chart of Accounts'!$A$5:$A$3000,0)),"")</f>
        <v/>
      </c>
      <c r="AA171" s="23">
        <f>IF(LEFT(V171,8)="Revenue|",-N(F171),0)+IF(LEFT(W171,8)="Revenue|",-N(M171),0)+IF(LEFT(X171,8)="Revenue|",N(O171),0)+IF(LEFT(Y171,8)="Revenue|",N(P171),0)+IF(LEFT(Z171,8)="Revenue|",N(N171),0)</f>
        <v/>
      </c>
      <c r="AB171" s="23">
        <f>IF(LEFT(V171,5)="COGS|",N(F171),0)+IF(LEFT(W171,5)="COGS|",N(M171),0)+IF(LEFT(X171,5)="COGS|",-N(O171),0)+IF(LEFT(Y171,5)="COGS|",-N(P171),0)+IF(LEFT(Z171,5)="COGS|",-N(N171),0)</f>
        <v/>
      </c>
      <c r="AC171" s="23">
        <f>IF(LEFT(V171,8)="Expense|",N(F171),0)+IF(LEFT(W171,8)="Expense|",N(M171),0)+IF(LEFT(X171,8)="Expense|",-N(O171),0)+IF(LEFT(Y171,8)="Expense|",-N(P171),0)+IF(LEFT(Z171,8)="Expense|",-N(N171),0)</f>
        <v/>
      </c>
      <c r="AD171" s="23">
        <f>IF(ISNUMBER(MATCH(V171,{"Expense|employee","Expense|general_admin","Expense|marketing","Expense|utilities","Expense|other_operating"},0)),N(F171),0)+IF(ISNUMBER(MATCH(W171,{"Expense|employee","Expense|general_admin","Expense|marketing","Expense|utilities","Expense|other_operating"},0)),N(M171),0)+IF(ISNUMBER(MATCH(X171,{"Expense|employee","Expense|general_admin","Expense|marketing","Expense|utilities","Expense|other_operating"},0)),-N(O171),0)+IF(ISNUMBER(MATCH(Y171,{"Expense|employee","Expense|general_admin","Expense|marketing","Expense|utilities","Expense|other_operating"},0)),-N(P171),0)+IF(ISNUMBER(MATCH(Z171,{"Expense|employee","Expense|general_admin","Expense|marketing","Expense|utilities","Expense|other_operating"},0)),-N(N171),0)</f>
        <v/>
      </c>
      <c r="AE171" s="23">
        <f>IF(V171="Liability|payable",-N(F171),0)+IF(W171="Liability|payable",-N(M171),0)+IF(X171="Liability|payable",N(O171),0)+IF(Y171="Liability|payable",N(P171),0)+IF(Z171="Liability|payable",N(N171),0)</f>
        <v/>
      </c>
      <c r="AF171" s="23">
        <f>IF(V171="Liability|accrued",-N(F171),0)+IF(W171="Liability|accrued",-N(M171),0)+IF(X171="Liability|accrued",N(O171),0)+IF(Y171="Liability|accrued",N(P171),0)+IF(Z171="Liability|accrued",N(N171),0)</f>
        <v/>
      </c>
      <c r="AG171" s="23">
        <f>IF(AND(N(F171)&lt;&gt;0,V171=""),1,0)+IF(AND(N(M171)&lt;&gt;0,W171=""),1,0)+IF(AND(N(O171)&lt;&gt;0,X171=""),1,0)+IF(AND(N(P171)&lt;&gt;0,Y171=""),1,0)+IF(AND(N(N171)&lt;&gt;0,Z171=""),1,0)</f>
        <v/>
      </c>
    </row>
    <row r="172">
      <c r="A172" s="19" t="n"/>
      <c r="B172" s="14" t="n"/>
      <c r="C172" s="14" t="n"/>
      <c r="D172" s="14" t="n"/>
      <c r="E172" s="14" t="n"/>
      <c r="F172" s="20" t="n"/>
      <c r="G172" s="20" t="n"/>
      <c r="H172" s="14" t="n"/>
      <c r="I172" s="14" t="n"/>
      <c r="J172" s="14" t="n"/>
      <c r="K172" s="14" t="n"/>
      <c r="L172" s="14" t="n"/>
      <c r="M172" s="21">
        <f>ROUND(N(F172)*IFERROR(VLOOKUP(K172,'Tax Codes'!$A$5:$E$300,5,FALSE),0),2)</f>
        <v/>
      </c>
      <c r="N172" s="21">
        <f>ROUND(N(F172)*IFERROR(VLOOKUP(L172,'Tax Codes'!$A$5:$E$300,5,FALSE),0),2)</f>
        <v/>
      </c>
      <c r="O172" s="21">
        <f>IF(G172="",N(F172)+M172-N172,N(G172))</f>
        <v/>
      </c>
      <c r="P172" s="21">
        <f>N(F172)+M172-N172-O172</f>
        <v/>
      </c>
      <c r="Q172" s="16">
        <f>IF(C172="",INDEX('Chart of Accounts'!$A$5:$A$3000,MATCH("other_overhead",'Chart of Accounts'!$F$5:$F$3000,0)),C172&amp;"")</f>
        <v/>
      </c>
      <c r="R172" s="16">
        <f>IF(I172="",INDEX('Chart of Accounts'!$A$5:$A$3000,MATCH("bank",'Chart of Accounts'!$F$5:$F$3000,0)),I172&amp;"")</f>
        <v/>
      </c>
      <c r="S172" s="16">
        <f>IF(J172="",INDEX('Chart of Accounts'!$A$5:$A$3000,MATCH("ap",'Chart of Accounts'!$F$5:$F$3000,0)),J172&amp;"")</f>
        <v/>
      </c>
      <c r="T172" s="16">
        <f>INDEX('Chart of Accounts'!$A$5:$A$3000,MATCH("vat_input",'Chart of Accounts'!$F$5:$F$3000,0))</f>
        <v/>
      </c>
      <c r="U172" s="16">
        <f>INDEX('Chart of Accounts'!$A$5:$A$3000,MATCH("wht_payable",'Chart of Accounts'!$F$5:$F$3000,0))</f>
        <v/>
      </c>
      <c r="V172" s="23">
        <f>IFERROR(INDEX('Chart of Accounts'!$C$5:$C$3000,MATCH(Q172&amp;"",'Chart of Accounts'!$A$5:$A$3000,0))&amp;"|"&amp;INDEX('Chart of Accounts'!$D$5:$D$3000,MATCH(Q172&amp;"",'Chart of Accounts'!$A$5:$A$3000,0)),"")</f>
        <v/>
      </c>
      <c r="W172" s="23">
        <f>IFERROR(INDEX('Chart of Accounts'!$C$5:$C$3000,MATCH(T172&amp;"",'Chart of Accounts'!$A$5:$A$3000,0))&amp;"|"&amp;INDEX('Chart of Accounts'!$D$5:$D$3000,MATCH(T172&amp;"",'Chart of Accounts'!$A$5:$A$3000,0)),"")</f>
        <v/>
      </c>
      <c r="X172" s="23">
        <f>IFERROR(INDEX('Chart of Accounts'!$C$5:$C$3000,MATCH(R172&amp;"",'Chart of Accounts'!$A$5:$A$3000,0))&amp;"|"&amp;INDEX('Chart of Accounts'!$D$5:$D$3000,MATCH(R172&amp;"",'Chart of Accounts'!$A$5:$A$3000,0)),"")</f>
        <v/>
      </c>
      <c r="Y172" s="23">
        <f>IFERROR(INDEX('Chart of Accounts'!$C$5:$C$3000,MATCH(S172&amp;"",'Chart of Accounts'!$A$5:$A$3000,0))&amp;"|"&amp;INDEX('Chart of Accounts'!$D$5:$D$3000,MATCH(S172&amp;"",'Chart of Accounts'!$A$5:$A$3000,0)),"")</f>
        <v/>
      </c>
      <c r="Z172" s="23">
        <f>IFERROR(INDEX('Chart of Accounts'!$C$5:$C$3000,MATCH(U172&amp;"",'Chart of Accounts'!$A$5:$A$3000,0))&amp;"|"&amp;INDEX('Chart of Accounts'!$D$5:$D$3000,MATCH(U172&amp;"",'Chart of Accounts'!$A$5:$A$3000,0)),"")</f>
        <v/>
      </c>
      <c r="AA172" s="23">
        <f>IF(LEFT(V172,8)="Revenue|",-N(F172),0)+IF(LEFT(W172,8)="Revenue|",-N(M172),0)+IF(LEFT(X172,8)="Revenue|",N(O172),0)+IF(LEFT(Y172,8)="Revenue|",N(P172),0)+IF(LEFT(Z172,8)="Revenue|",N(N172),0)</f>
        <v/>
      </c>
      <c r="AB172" s="23">
        <f>IF(LEFT(V172,5)="COGS|",N(F172),0)+IF(LEFT(W172,5)="COGS|",N(M172),0)+IF(LEFT(X172,5)="COGS|",-N(O172),0)+IF(LEFT(Y172,5)="COGS|",-N(P172),0)+IF(LEFT(Z172,5)="COGS|",-N(N172),0)</f>
        <v/>
      </c>
      <c r="AC172" s="23">
        <f>IF(LEFT(V172,8)="Expense|",N(F172),0)+IF(LEFT(W172,8)="Expense|",N(M172),0)+IF(LEFT(X172,8)="Expense|",-N(O172),0)+IF(LEFT(Y172,8)="Expense|",-N(P172),0)+IF(LEFT(Z172,8)="Expense|",-N(N172),0)</f>
        <v/>
      </c>
      <c r="AD172" s="23">
        <f>IF(ISNUMBER(MATCH(V172,{"Expense|employee","Expense|general_admin","Expense|marketing","Expense|utilities","Expense|other_operating"},0)),N(F172),0)+IF(ISNUMBER(MATCH(W172,{"Expense|employee","Expense|general_admin","Expense|marketing","Expense|utilities","Expense|other_operating"},0)),N(M172),0)+IF(ISNUMBER(MATCH(X172,{"Expense|employee","Expense|general_admin","Expense|marketing","Expense|utilities","Expense|other_operating"},0)),-N(O172),0)+IF(ISNUMBER(MATCH(Y172,{"Expense|employee","Expense|general_admin","Expense|marketing","Expense|utilities","Expense|other_operating"},0)),-N(P172),0)+IF(ISNUMBER(MATCH(Z172,{"Expense|employee","Expense|general_admin","Expense|marketing","Expense|utilities","Expense|other_operating"},0)),-N(N172),0)</f>
        <v/>
      </c>
      <c r="AE172" s="23">
        <f>IF(V172="Liability|payable",-N(F172),0)+IF(W172="Liability|payable",-N(M172),0)+IF(X172="Liability|payable",N(O172),0)+IF(Y172="Liability|payable",N(P172),0)+IF(Z172="Liability|payable",N(N172),0)</f>
        <v/>
      </c>
      <c r="AF172" s="23">
        <f>IF(V172="Liability|accrued",-N(F172),0)+IF(W172="Liability|accrued",-N(M172),0)+IF(X172="Liability|accrued",N(O172),0)+IF(Y172="Liability|accrued",N(P172),0)+IF(Z172="Liability|accrued",N(N172),0)</f>
        <v/>
      </c>
      <c r="AG172" s="23">
        <f>IF(AND(N(F172)&lt;&gt;0,V172=""),1,0)+IF(AND(N(M172)&lt;&gt;0,W172=""),1,0)+IF(AND(N(O172)&lt;&gt;0,X172=""),1,0)+IF(AND(N(P172)&lt;&gt;0,Y172=""),1,0)+IF(AND(N(N172)&lt;&gt;0,Z172=""),1,0)</f>
        <v/>
      </c>
    </row>
    <row r="173">
      <c r="A173" s="19" t="n"/>
      <c r="B173" s="14" t="n"/>
      <c r="C173" s="14" t="n"/>
      <c r="D173" s="14" t="n"/>
      <c r="E173" s="14" t="n"/>
      <c r="F173" s="20" t="n"/>
      <c r="G173" s="20" t="n"/>
      <c r="H173" s="14" t="n"/>
      <c r="I173" s="14" t="n"/>
      <c r="J173" s="14" t="n"/>
      <c r="K173" s="14" t="n"/>
      <c r="L173" s="14" t="n"/>
      <c r="M173" s="21">
        <f>ROUND(N(F173)*IFERROR(VLOOKUP(K173,'Tax Codes'!$A$5:$E$300,5,FALSE),0),2)</f>
        <v/>
      </c>
      <c r="N173" s="21">
        <f>ROUND(N(F173)*IFERROR(VLOOKUP(L173,'Tax Codes'!$A$5:$E$300,5,FALSE),0),2)</f>
        <v/>
      </c>
      <c r="O173" s="21">
        <f>IF(G173="",N(F173)+M173-N173,N(G173))</f>
        <v/>
      </c>
      <c r="P173" s="21">
        <f>N(F173)+M173-N173-O173</f>
        <v/>
      </c>
      <c r="Q173" s="16">
        <f>IF(C173="",INDEX('Chart of Accounts'!$A$5:$A$3000,MATCH("other_overhead",'Chart of Accounts'!$F$5:$F$3000,0)),C173&amp;"")</f>
        <v/>
      </c>
      <c r="R173" s="16">
        <f>IF(I173="",INDEX('Chart of Accounts'!$A$5:$A$3000,MATCH("bank",'Chart of Accounts'!$F$5:$F$3000,0)),I173&amp;"")</f>
        <v/>
      </c>
      <c r="S173" s="16">
        <f>IF(J173="",INDEX('Chart of Accounts'!$A$5:$A$3000,MATCH("ap",'Chart of Accounts'!$F$5:$F$3000,0)),J173&amp;"")</f>
        <v/>
      </c>
      <c r="T173" s="16">
        <f>INDEX('Chart of Accounts'!$A$5:$A$3000,MATCH("vat_input",'Chart of Accounts'!$F$5:$F$3000,0))</f>
        <v/>
      </c>
      <c r="U173" s="16">
        <f>INDEX('Chart of Accounts'!$A$5:$A$3000,MATCH("wht_payable",'Chart of Accounts'!$F$5:$F$3000,0))</f>
        <v/>
      </c>
      <c r="V173" s="23">
        <f>IFERROR(INDEX('Chart of Accounts'!$C$5:$C$3000,MATCH(Q173&amp;"",'Chart of Accounts'!$A$5:$A$3000,0))&amp;"|"&amp;INDEX('Chart of Accounts'!$D$5:$D$3000,MATCH(Q173&amp;"",'Chart of Accounts'!$A$5:$A$3000,0)),"")</f>
        <v/>
      </c>
      <c r="W173" s="23">
        <f>IFERROR(INDEX('Chart of Accounts'!$C$5:$C$3000,MATCH(T173&amp;"",'Chart of Accounts'!$A$5:$A$3000,0))&amp;"|"&amp;INDEX('Chart of Accounts'!$D$5:$D$3000,MATCH(T173&amp;"",'Chart of Accounts'!$A$5:$A$3000,0)),"")</f>
        <v/>
      </c>
      <c r="X173" s="23">
        <f>IFERROR(INDEX('Chart of Accounts'!$C$5:$C$3000,MATCH(R173&amp;"",'Chart of Accounts'!$A$5:$A$3000,0))&amp;"|"&amp;INDEX('Chart of Accounts'!$D$5:$D$3000,MATCH(R173&amp;"",'Chart of Accounts'!$A$5:$A$3000,0)),"")</f>
        <v/>
      </c>
      <c r="Y173" s="23">
        <f>IFERROR(INDEX('Chart of Accounts'!$C$5:$C$3000,MATCH(S173&amp;"",'Chart of Accounts'!$A$5:$A$3000,0))&amp;"|"&amp;INDEX('Chart of Accounts'!$D$5:$D$3000,MATCH(S173&amp;"",'Chart of Accounts'!$A$5:$A$3000,0)),"")</f>
        <v/>
      </c>
      <c r="Z173" s="23">
        <f>IFERROR(INDEX('Chart of Accounts'!$C$5:$C$3000,MATCH(U173&amp;"",'Chart of Accounts'!$A$5:$A$3000,0))&amp;"|"&amp;INDEX('Chart of Accounts'!$D$5:$D$3000,MATCH(U173&amp;"",'Chart of Accounts'!$A$5:$A$3000,0)),"")</f>
        <v/>
      </c>
      <c r="AA173" s="23">
        <f>IF(LEFT(V173,8)="Revenue|",-N(F173),0)+IF(LEFT(W173,8)="Revenue|",-N(M173),0)+IF(LEFT(X173,8)="Revenue|",N(O173),0)+IF(LEFT(Y173,8)="Revenue|",N(P173),0)+IF(LEFT(Z173,8)="Revenue|",N(N173),0)</f>
        <v/>
      </c>
      <c r="AB173" s="23">
        <f>IF(LEFT(V173,5)="COGS|",N(F173),0)+IF(LEFT(W173,5)="COGS|",N(M173),0)+IF(LEFT(X173,5)="COGS|",-N(O173),0)+IF(LEFT(Y173,5)="COGS|",-N(P173),0)+IF(LEFT(Z173,5)="COGS|",-N(N173),0)</f>
        <v/>
      </c>
      <c r="AC173" s="23">
        <f>IF(LEFT(V173,8)="Expense|",N(F173),0)+IF(LEFT(W173,8)="Expense|",N(M173),0)+IF(LEFT(X173,8)="Expense|",-N(O173),0)+IF(LEFT(Y173,8)="Expense|",-N(P173),0)+IF(LEFT(Z173,8)="Expense|",-N(N173),0)</f>
        <v/>
      </c>
      <c r="AD173" s="23">
        <f>IF(ISNUMBER(MATCH(V173,{"Expense|employee","Expense|general_admin","Expense|marketing","Expense|utilities","Expense|other_operating"},0)),N(F173),0)+IF(ISNUMBER(MATCH(W173,{"Expense|employee","Expense|general_admin","Expense|marketing","Expense|utilities","Expense|other_operating"},0)),N(M173),0)+IF(ISNUMBER(MATCH(X173,{"Expense|employee","Expense|general_admin","Expense|marketing","Expense|utilities","Expense|other_operating"},0)),-N(O173),0)+IF(ISNUMBER(MATCH(Y173,{"Expense|employee","Expense|general_admin","Expense|marketing","Expense|utilities","Expense|other_operating"},0)),-N(P173),0)+IF(ISNUMBER(MATCH(Z173,{"Expense|employee","Expense|general_admin","Expense|marketing","Expense|utilities","Expense|other_operating"},0)),-N(N173),0)</f>
        <v/>
      </c>
      <c r="AE173" s="23">
        <f>IF(V173="Liability|payable",-N(F173),0)+IF(W173="Liability|payable",-N(M173),0)+IF(X173="Liability|payable",N(O173),0)+IF(Y173="Liability|payable",N(P173),0)+IF(Z173="Liability|payable",N(N173),0)</f>
        <v/>
      </c>
      <c r="AF173" s="23">
        <f>IF(V173="Liability|accrued",-N(F173),0)+IF(W173="Liability|accrued",-N(M173),0)+IF(X173="Liability|accrued",N(O173),0)+IF(Y173="Liability|accrued",N(P173),0)+IF(Z173="Liability|accrued",N(N173),0)</f>
        <v/>
      </c>
      <c r="AG173" s="23">
        <f>IF(AND(N(F173)&lt;&gt;0,V173=""),1,0)+IF(AND(N(M173)&lt;&gt;0,W173=""),1,0)+IF(AND(N(O173)&lt;&gt;0,X173=""),1,0)+IF(AND(N(P173)&lt;&gt;0,Y173=""),1,0)+IF(AND(N(N173)&lt;&gt;0,Z173=""),1,0)</f>
        <v/>
      </c>
    </row>
    <row r="174">
      <c r="A174" s="19" t="n"/>
      <c r="B174" s="14" t="n"/>
      <c r="C174" s="14" t="n"/>
      <c r="D174" s="14" t="n"/>
      <c r="E174" s="14" t="n"/>
      <c r="F174" s="20" t="n"/>
      <c r="G174" s="20" t="n"/>
      <c r="H174" s="14" t="n"/>
      <c r="I174" s="14" t="n"/>
      <c r="J174" s="14" t="n"/>
      <c r="K174" s="14" t="n"/>
      <c r="L174" s="14" t="n"/>
      <c r="M174" s="21">
        <f>ROUND(N(F174)*IFERROR(VLOOKUP(K174,'Tax Codes'!$A$5:$E$300,5,FALSE),0),2)</f>
        <v/>
      </c>
      <c r="N174" s="21">
        <f>ROUND(N(F174)*IFERROR(VLOOKUP(L174,'Tax Codes'!$A$5:$E$300,5,FALSE),0),2)</f>
        <v/>
      </c>
      <c r="O174" s="21">
        <f>IF(G174="",N(F174)+M174-N174,N(G174))</f>
        <v/>
      </c>
      <c r="P174" s="21">
        <f>N(F174)+M174-N174-O174</f>
        <v/>
      </c>
      <c r="Q174" s="16">
        <f>IF(C174="",INDEX('Chart of Accounts'!$A$5:$A$3000,MATCH("other_overhead",'Chart of Accounts'!$F$5:$F$3000,0)),C174&amp;"")</f>
        <v/>
      </c>
      <c r="R174" s="16">
        <f>IF(I174="",INDEX('Chart of Accounts'!$A$5:$A$3000,MATCH("bank",'Chart of Accounts'!$F$5:$F$3000,0)),I174&amp;"")</f>
        <v/>
      </c>
      <c r="S174" s="16">
        <f>IF(J174="",INDEX('Chart of Accounts'!$A$5:$A$3000,MATCH("ap",'Chart of Accounts'!$F$5:$F$3000,0)),J174&amp;"")</f>
        <v/>
      </c>
      <c r="T174" s="16">
        <f>INDEX('Chart of Accounts'!$A$5:$A$3000,MATCH("vat_input",'Chart of Accounts'!$F$5:$F$3000,0))</f>
        <v/>
      </c>
      <c r="U174" s="16">
        <f>INDEX('Chart of Accounts'!$A$5:$A$3000,MATCH("wht_payable",'Chart of Accounts'!$F$5:$F$3000,0))</f>
        <v/>
      </c>
      <c r="V174" s="23">
        <f>IFERROR(INDEX('Chart of Accounts'!$C$5:$C$3000,MATCH(Q174&amp;"",'Chart of Accounts'!$A$5:$A$3000,0))&amp;"|"&amp;INDEX('Chart of Accounts'!$D$5:$D$3000,MATCH(Q174&amp;"",'Chart of Accounts'!$A$5:$A$3000,0)),"")</f>
        <v/>
      </c>
      <c r="W174" s="23">
        <f>IFERROR(INDEX('Chart of Accounts'!$C$5:$C$3000,MATCH(T174&amp;"",'Chart of Accounts'!$A$5:$A$3000,0))&amp;"|"&amp;INDEX('Chart of Accounts'!$D$5:$D$3000,MATCH(T174&amp;"",'Chart of Accounts'!$A$5:$A$3000,0)),"")</f>
        <v/>
      </c>
      <c r="X174" s="23">
        <f>IFERROR(INDEX('Chart of Accounts'!$C$5:$C$3000,MATCH(R174&amp;"",'Chart of Accounts'!$A$5:$A$3000,0))&amp;"|"&amp;INDEX('Chart of Accounts'!$D$5:$D$3000,MATCH(R174&amp;"",'Chart of Accounts'!$A$5:$A$3000,0)),"")</f>
        <v/>
      </c>
      <c r="Y174" s="23">
        <f>IFERROR(INDEX('Chart of Accounts'!$C$5:$C$3000,MATCH(S174&amp;"",'Chart of Accounts'!$A$5:$A$3000,0))&amp;"|"&amp;INDEX('Chart of Accounts'!$D$5:$D$3000,MATCH(S174&amp;"",'Chart of Accounts'!$A$5:$A$3000,0)),"")</f>
        <v/>
      </c>
      <c r="Z174" s="23">
        <f>IFERROR(INDEX('Chart of Accounts'!$C$5:$C$3000,MATCH(U174&amp;"",'Chart of Accounts'!$A$5:$A$3000,0))&amp;"|"&amp;INDEX('Chart of Accounts'!$D$5:$D$3000,MATCH(U174&amp;"",'Chart of Accounts'!$A$5:$A$3000,0)),"")</f>
        <v/>
      </c>
      <c r="AA174" s="23">
        <f>IF(LEFT(V174,8)="Revenue|",-N(F174),0)+IF(LEFT(W174,8)="Revenue|",-N(M174),0)+IF(LEFT(X174,8)="Revenue|",N(O174),0)+IF(LEFT(Y174,8)="Revenue|",N(P174),0)+IF(LEFT(Z174,8)="Revenue|",N(N174),0)</f>
        <v/>
      </c>
      <c r="AB174" s="23">
        <f>IF(LEFT(V174,5)="COGS|",N(F174),0)+IF(LEFT(W174,5)="COGS|",N(M174),0)+IF(LEFT(X174,5)="COGS|",-N(O174),0)+IF(LEFT(Y174,5)="COGS|",-N(P174),0)+IF(LEFT(Z174,5)="COGS|",-N(N174),0)</f>
        <v/>
      </c>
      <c r="AC174" s="23">
        <f>IF(LEFT(V174,8)="Expense|",N(F174),0)+IF(LEFT(W174,8)="Expense|",N(M174),0)+IF(LEFT(X174,8)="Expense|",-N(O174),0)+IF(LEFT(Y174,8)="Expense|",-N(P174),0)+IF(LEFT(Z174,8)="Expense|",-N(N174),0)</f>
        <v/>
      </c>
      <c r="AD174" s="23">
        <f>IF(ISNUMBER(MATCH(V174,{"Expense|employee","Expense|general_admin","Expense|marketing","Expense|utilities","Expense|other_operating"},0)),N(F174),0)+IF(ISNUMBER(MATCH(W174,{"Expense|employee","Expense|general_admin","Expense|marketing","Expense|utilities","Expense|other_operating"},0)),N(M174),0)+IF(ISNUMBER(MATCH(X174,{"Expense|employee","Expense|general_admin","Expense|marketing","Expense|utilities","Expense|other_operating"},0)),-N(O174),0)+IF(ISNUMBER(MATCH(Y174,{"Expense|employee","Expense|general_admin","Expense|marketing","Expense|utilities","Expense|other_operating"},0)),-N(P174),0)+IF(ISNUMBER(MATCH(Z174,{"Expense|employee","Expense|general_admin","Expense|marketing","Expense|utilities","Expense|other_operating"},0)),-N(N174),0)</f>
        <v/>
      </c>
      <c r="AE174" s="23">
        <f>IF(V174="Liability|payable",-N(F174),0)+IF(W174="Liability|payable",-N(M174),0)+IF(X174="Liability|payable",N(O174),0)+IF(Y174="Liability|payable",N(P174),0)+IF(Z174="Liability|payable",N(N174),0)</f>
        <v/>
      </c>
      <c r="AF174" s="23">
        <f>IF(V174="Liability|accrued",-N(F174),0)+IF(W174="Liability|accrued",-N(M174),0)+IF(X174="Liability|accrued",N(O174),0)+IF(Y174="Liability|accrued",N(P174),0)+IF(Z174="Liability|accrued",N(N174),0)</f>
        <v/>
      </c>
      <c r="AG174" s="23">
        <f>IF(AND(N(F174)&lt;&gt;0,V174=""),1,0)+IF(AND(N(M174)&lt;&gt;0,W174=""),1,0)+IF(AND(N(O174)&lt;&gt;0,X174=""),1,0)+IF(AND(N(P174)&lt;&gt;0,Y174=""),1,0)+IF(AND(N(N174)&lt;&gt;0,Z174=""),1,0)</f>
        <v/>
      </c>
    </row>
    <row r="175">
      <c r="A175" s="19" t="n"/>
      <c r="B175" s="14" t="n"/>
      <c r="C175" s="14" t="n"/>
      <c r="D175" s="14" t="n"/>
      <c r="E175" s="14" t="n"/>
      <c r="F175" s="20" t="n"/>
      <c r="G175" s="20" t="n"/>
      <c r="H175" s="14" t="n"/>
      <c r="I175" s="14" t="n"/>
      <c r="J175" s="14" t="n"/>
      <c r="K175" s="14" t="n"/>
      <c r="L175" s="14" t="n"/>
      <c r="M175" s="21">
        <f>ROUND(N(F175)*IFERROR(VLOOKUP(K175,'Tax Codes'!$A$5:$E$300,5,FALSE),0),2)</f>
        <v/>
      </c>
      <c r="N175" s="21">
        <f>ROUND(N(F175)*IFERROR(VLOOKUP(L175,'Tax Codes'!$A$5:$E$300,5,FALSE),0),2)</f>
        <v/>
      </c>
      <c r="O175" s="21">
        <f>IF(G175="",N(F175)+M175-N175,N(G175))</f>
        <v/>
      </c>
      <c r="P175" s="21">
        <f>N(F175)+M175-N175-O175</f>
        <v/>
      </c>
      <c r="Q175" s="16">
        <f>IF(C175="",INDEX('Chart of Accounts'!$A$5:$A$3000,MATCH("other_overhead",'Chart of Accounts'!$F$5:$F$3000,0)),C175&amp;"")</f>
        <v/>
      </c>
      <c r="R175" s="16">
        <f>IF(I175="",INDEX('Chart of Accounts'!$A$5:$A$3000,MATCH("bank",'Chart of Accounts'!$F$5:$F$3000,0)),I175&amp;"")</f>
        <v/>
      </c>
      <c r="S175" s="16">
        <f>IF(J175="",INDEX('Chart of Accounts'!$A$5:$A$3000,MATCH("ap",'Chart of Accounts'!$F$5:$F$3000,0)),J175&amp;"")</f>
        <v/>
      </c>
      <c r="T175" s="16">
        <f>INDEX('Chart of Accounts'!$A$5:$A$3000,MATCH("vat_input",'Chart of Accounts'!$F$5:$F$3000,0))</f>
        <v/>
      </c>
      <c r="U175" s="16">
        <f>INDEX('Chart of Accounts'!$A$5:$A$3000,MATCH("wht_payable",'Chart of Accounts'!$F$5:$F$3000,0))</f>
        <v/>
      </c>
      <c r="V175" s="23">
        <f>IFERROR(INDEX('Chart of Accounts'!$C$5:$C$3000,MATCH(Q175&amp;"",'Chart of Accounts'!$A$5:$A$3000,0))&amp;"|"&amp;INDEX('Chart of Accounts'!$D$5:$D$3000,MATCH(Q175&amp;"",'Chart of Accounts'!$A$5:$A$3000,0)),"")</f>
        <v/>
      </c>
      <c r="W175" s="23">
        <f>IFERROR(INDEX('Chart of Accounts'!$C$5:$C$3000,MATCH(T175&amp;"",'Chart of Accounts'!$A$5:$A$3000,0))&amp;"|"&amp;INDEX('Chart of Accounts'!$D$5:$D$3000,MATCH(T175&amp;"",'Chart of Accounts'!$A$5:$A$3000,0)),"")</f>
        <v/>
      </c>
      <c r="X175" s="23">
        <f>IFERROR(INDEX('Chart of Accounts'!$C$5:$C$3000,MATCH(R175&amp;"",'Chart of Accounts'!$A$5:$A$3000,0))&amp;"|"&amp;INDEX('Chart of Accounts'!$D$5:$D$3000,MATCH(R175&amp;"",'Chart of Accounts'!$A$5:$A$3000,0)),"")</f>
        <v/>
      </c>
      <c r="Y175" s="23">
        <f>IFERROR(INDEX('Chart of Accounts'!$C$5:$C$3000,MATCH(S175&amp;"",'Chart of Accounts'!$A$5:$A$3000,0))&amp;"|"&amp;INDEX('Chart of Accounts'!$D$5:$D$3000,MATCH(S175&amp;"",'Chart of Accounts'!$A$5:$A$3000,0)),"")</f>
        <v/>
      </c>
      <c r="Z175" s="23">
        <f>IFERROR(INDEX('Chart of Accounts'!$C$5:$C$3000,MATCH(U175&amp;"",'Chart of Accounts'!$A$5:$A$3000,0))&amp;"|"&amp;INDEX('Chart of Accounts'!$D$5:$D$3000,MATCH(U175&amp;"",'Chart of Accounts'!$A$5:$A$3000,0)),"")</f>
        <v/>
      </c>
      <c r="AA175" s="23">
        <f>IF(LEFT(V175,8)="Revenue|",-N(F175),0)+IF(LEFT(W175,8)="Revenue|",-N(M175),0)+IF(LEFT(X175,8)="Revenue|",N(O175),0)+IF(LEFT(Y175,8)="Revenue|",N(P175),0)+IF(LEFT(Z175,8)="Revenue|",N(N175),0)</f>
        <v/>
      </c>
      <c r="AB175" s="23">
        <f>IF(LEFT(V175,5)="COGS|",N(F175),0)+IF(LEFT(W175,5)="COGS|",N(M175),0)+IF(LEFT(X175,5)="COGS|",-N(O175),0)+IF(LEFT(Y175,5)="COGS|",-N(P175),0)+IF(LEFT(Z175,5)="COGS|",-N(N175),0)</f>
        <v/>
      </c>
      <c r="AC175" s="23">
        <f>IF(LEFT(V175,8)="Expense|",N(F175),0)+IF(LEFT(W175,8)="Expense|",N(M175),0)+IF(LEFT(X175,8)="Expense|",-N(O175),0)+IF(LEFT(Y175,8)="Expense|",-N(P175),0)+IF(LEFT(Z175,8)="Expense|",-N(N175),0)</f>
        <v/>
      </c>
      <c r="AD175" s="23">
        <f>IF(ISNUMBER(MATCH(V175,{"Expense|employee","Expense|general_admin","Expense|marketing","Expense|utilities","Expense|other_operating"},0)),N(F175),0)+IF(ISNUMBER(MATCH(W175,{"Expense|employee","Expense|general_admin","Expense|marketing","Expense|utilities","Expense|other_operating"},0)),N(M175),0)+IF(ISNUMBER(MATCH(X175,{"Expense|employee","Expense|general_admin","Expense|marketing","Expense|utilities","Expense|other_operating"},0)),-N(O175),0)+IF(ISNUMBER(MATCH(Y175,{"Expense|employee","Expense|general_admin","Expense|marketing","Expense|utilities","Expense|other_operating"},0)),-N(P175),0)+IF(ISNUMBER(MATCH(Z175,{"Expense|employee","Expense|general_admin","Expense|marketing","Expense|utilities","Expense|other_operating"},0)),-N(N175),0)</f>
        <v/>
      </c>
      <c r="AE175" s="23">
        <f>IF(V175="Liability|payable",-N(F175),0)+IF(W175="Liability|payable",-N(M175),0)+IF(X175="Liability|payable",N(O175),0)+IF(Y175="Liability|payable",N(P175),0)+IF(Z175="Liability|payable",N(N175),0)</f>
        <v/>
      </c>
      <c r="AF175" s="23">
        <f>IF(V175="Liability|accrued",-N(F175),0)+IF(W175="Liability|accrued",-N(M175),0)+IF(X175="Liability|accrued",N(O175),0)+IF(Y175="Liability|accrued",N(P175),0)+IF(Z175="Liability|accrued",N(N175),0)</f>
        <v/>
      </c>
      <c r="AG175" s="23">
        <f>IF(AND(N(F175)&lt;&gt;0,V175=""),1,0)+IF(AND(N(M175)&lt;&gt;0,W175=""),1,0)+IF(AND(N(O175)&lt;&gt;0,X175=""),1,0)+IF(AND(N(P175)&lt;&gt;0,Y175=""),1,0)+IF(AND(N(N175)&lt;&gt;0,Z175=""),1,0)</f>
        <v/>
      </c>
    </row>
    <row r="176">
      <c r="A176" s="19" t="n"/>
      <c r="B176" s="14" t="n"/>
      <c r="C176" s="14" t="n"/>
      <c r="D176" s="14" t="n"/>
      <c r="E176" s="14" t="n"/>
      <c r="F176" s="20" t="n"/>
      <c r="G176" s="20" t="n"/>
      <c r="H176" s="14" t="n"/>
      <c r="I176" s="14" t="n"/>
      <c r="J176" s="14" t="n"/>
      <c r="K176" s="14" t="n"/>
      <c r="L176" s="14" t="n"/>
      <c r="M176" s="21">
        <f>ROUND(N(F176)*IFERROR(VLOOKUP(K176,'Tax Codes'!$A$5:$E$300,5,FALSE),0),2)</f>
        <v/>
      </c>
      <c r="N176" s="21">
        <f>ROUND(N(F176)*IFERROR(VLOOKUP(L176,'Tax Codes'!$A$5:$E$300,5,FALSE),0),2)</f>
        <v/>
      </c>
      <c r="O176" s="21">
        <f>IF(G176="",N(F176)+M176-N176,N(G176))</f>
        <v/>
      </c>
      <c r="P176" s="21">
        <f>N(F176)+M176-N176-O176</f>
        <v/>
      </c>
      <c r="Q176" s="16">
        <f>IF(C176="",INDEX('Chart of Accounts'!$A$5:$A$3000,MATCH("other_overhead",'Chart of Accounts'!$F$5:$F$3000,0)),C176&amp;"")</f>
        <v/>
      </c>
      <c r="R176" s="16">
        <f>IF(I176="",INDEX('Chart of Accounts'!$A$5:$A$3000,MATCH("bank",'Chart of Accounts'!$F$5:$F$3000,0)),I176&amp;"")</f>
        <v/>
      </c>
      <c r="S176" s="16">
        <f>IF(J176="",INDEX('Chart of Accounts'!$A$5:$A$3000,MATCH("ap",'Chart of Accounts'!$F$5:$F$3000,0)),J176&amp;"")</f>
        <v/>
      </c>
      <c r="T176" s="16">
        <f>INDEX('Chart of Accounts'!$A$5:$A$3000,MATCH("vat_input",'Chart of Accounts'!$F$5:$F$3000,0))</f>
        <v/>
      </c>
      <c r="U176" s="16">
        <f>INDEX('Chart of Accounts'!$A$5:$A$3000,MATCH("wht_payable",'Chart of Accounts'!$F$5:$F$3000,0))</f>
        <v/>
      </c>
      <c r="V176" s="23">
        <f>IFERROR(INDEX('Chart of Accounts'!$C$5:$C$3000,MATCH(Q176&amp;"",'Chart of Accounts'!$A$5:$A$3000,0))&amp;"|"&amp;INDEX('Chart of Accounts'!$D$5:$D$3000,MATCH(Q176&amp;"",'Chart of Accounts'!$A$5:$A$3000,0)),"")</f>
        <v/>
      </c>
      <c r="W176" s="23">
        <f>IFERROR(INDEX('Chart of Accounts'!$C$5:$C$3000,MATCH(T176&amp;"",'Chart of Accounts'!$A$5:$A$3000,0))&amp;"|"&amp;INDEX('Chart of Accounts'!$D$5:$D$3000,MATCH(T176&amp;"",'Chart of Accounts'!$A$5:$A$3000,0)),"")</f>
        <v/>
      </c>
      <c r="X176" s="23">
        <f>IFERROR(INDEX('Chart of Accounts'!$C$5:$C$3000,MATCH(R176&amp;"",'Chart of Accounts'!$A$5:$A$3000,0))&amp;"|"&amp;INDEX('Chart of Accounts'!$D$5:$D$3000,MATCH(R176&amp;"",'Chart of Accounts'!$A$5:$A$3000,0)),"")</f>
        <v/>
      </c>
      <c r="Y176" s="23">
        <f>IFERROR(INDEX('Chart of Accounts'!$C$5:$C$3000,MATCH(S176&amp;"",'Chart of Accounts'!$A$5:$A$3000,0))&amp;"|"&amp;INDEX('Chart of Accounts'!$D$5:$D$3000,MATCH(S176&amp;"",'Chart of Accounts'!$A$5:$A$3000,0)),"")</f>
        <v/>
      </c>
      <c r="Z176" s="23">
        <f>IFERROR(INDEX('Chart of Accounts'!$C$5:$C$3000,MATCH(U176&amp;"",'Chart of Accounts'!$A$5:$A$3000,0))&amp;"|"&amp;INDEX('Chart of Accounts'!$D$5:$D$3000,MATCH(U176&amp;"",'Chart of Accounts'!$A$5:$A$3000,0)),"")</f>
        <v/>
      </c>
      <c r="AA176" s="23">
        <f>IF(LEFT(V176,8)="Revenue|",-N(F176),0)+IF(LEFT(W176,8)="Revenue|",-N(M176),0)+IF(LEFT(X176,8)="Revenue|",N(O176),0)+IF(LEFT(Y176,8)="Revenue|",N(P176),0)+IF(LEFT(Z176,8)="Revenue|",N(N176),0)</f>
        <v/>
      </c>
      <c r="AB176" s="23">
        <f>IF(LEFT(V176,5)="COGS|",N(F176),0)+IF(LEFT(W176,5)="COGS|",N(M176),0)+IF(LEFT(X176,5)="COGS|",-N(O176),0)+IF(LEFT(Y176,5)="COGS|",-N(P176),0)+IF(LEFT(Z176,5)="COGS|",-N(N176),0)</f>
        <v/>
      </c>
      <c r="AC176" s="23">
        <f>IF(LEFT(V176,8)="Expense|",N(F176),0)+IF(LEFT(W176,8)="Expense|",N(M176),0)+IF(LEFT(X176,8)="Expense|",-N(O176),0)+IF(LEFT(Y176,8)="Expense|",-N(P176),0)+IF(LEFT(Z176,8)="Expense|",-N(N176),0)</f>
        <v/>
      </c>
      <c r="AD176" s="23">
        <f>IF(ISNUMBER(MATCH(V176,{"Expense|employee","Expense|general_admin","Expense|marketing","Expense|utilities","Expense|other_operating"},0)),N(F176),0)+IF(ISNUMBER(MATCH(W176,{"Expense|employee","Expense|general_admin","Expense|marketing","Expense|utilities","Expense|other_operating"},0)),N(M176),0)+IF(ISNUMBER(MATCH(X176,{"Expense|employee","Expense|general_admin","Expense|marketing","Expense|utilities","Expense|other_operating"},0)),-N(O176),0)+IF(ISNUMBER(MATCH(Y176,{"Expense|employee","Expense|general_admin","Expense|marketing","Expense|utilities","Expense|other_operating"},0)),-N(P176),0)+IF(ISNUMBER(MATCH(Z176,{"Expense|employee","Expense|general_admin","Expense|marketing","Expense|utilities","Expense|other_operating"},0)),-N(N176),0)</f>
        <v/>
      </c>
      <c r="AE176" s="23">
        <f>IF(V176="Liability|payable",-N(F176),0)+IF(W176="Liability|payable",-N(M176),0)+IF(X176="Liability|payable",N(O176),0)+IF(Y176="Liability|payable",N(P176),0)+IF(Z176="Liability|payable",N(N176),0)</f>
        <v/>
      </c>
      <c r="AF176" s="23">
        <f>IF(V176="Liability|accrued",-N(F176),0)+IF(W176="Liability|accrued",-N(M176),0)+IF(X176="Liability|accrued",N(O176),0)+IF(Y176="Liability|accrued",N(P176),0)+IF(Z176="Liability|accrued",N(N176),0)</f>
        <v/>
      </c>
      <c r="AG176" s="23">
        <f>IF(AND(N(F176)&lt;&gt;0,V176=""),1,0)+IF(AND(N(M176)&lt;&gt;0,W176=""),1,0)+IF(AND(N(O176)&lt;&gt;0,X176=""),1,0)+IF(AND(N(P176)&lt;&gt;0,Y176=""),1,0)+IF(AND(N(N176)&lt;&gt;0,Z176=""),1,0)</f>
        <v/>
      </c>
    </row>
    <row r="177">
      <c r="A177" s="19" t="n"/>
      <c r="B177" s="14" t="n"/>
      <c r="C177" s="14" t="n"/>
      <c r="D177" s="14" t="n"/>
      <c r="E177" s="14" t="n"/>
      <c r="F177" s="20" t="n"/>
      <c r="G177" s="20" t="n"/>
      <c r="H177" s="14" t="n"/>
      <c r="I177" s="14" t="n"/>
      <c r="J177" s="14" t="n"/>
      <c r="K177" s="14" t="n"/>
      <c r="L177" s="14" t="n"/>
      <c r="M177" s="21">
        <f>ROUND(N(F177)*IFERROR(VLOOKUP(K177,'Tax Codes'!$A$5:$E$300,5,FALSE),0),2)</f>
        <v/>
      </c>
      <c r="N177" s="21">
        <f>ROUND(N(F177)*IFERROR(VLOOKUP(L177,'Tax Codes'!$A$5:$E$300,5,FALSE),0),2)</f>
        <v/>
      </c>
      <c r="O177" s="21">
        <f>IF(G177="",N(F177)+M177-N177,N(G177))</f>
        <v/>
      </c>
      <c r="P177" s="21">
        <f>N(F177)+M177-N177-O177</f>
        <v/>
      </c>
      <c r="Q177" s="16">
        <f>IF(C177="",INDEX('Chart of Accounts'!$A$5:$A$3000,MATCH("other_overhead",'Chart of Accounts'!$F$5:$F$3000,0)),C177&amp;"")</f>
        <v/>
      </c>
      <c r="R177" s="16">
        <f>IF(I177="",INDEX('Chart of Accounts'!$A$5:$A$3000,MATCH("bank",'Chart of Accounts'!$F$5:$F$3000,0)),I177&amp;"")</f>
        <v/>
      </c>
      <c r="S177" s="16">
        <f>IF(J177="",INDEX('Chart of Accounts'!$A$5:$A$3000,MATCH("ap",'Chart of Accounts'!$F$5:$F$3000,0)),J177&amp;"")</f>
        <v/>
      </c>
      <c r="T177" s="16">
        <f>INDEX('Chart of Accounts'!$A$5:$A$3000,MATCH("vat_input",'Chart of Accounts'!$F$5:$F$3000,0))</f>
        <v/>
      </c>
      <c r="U177" s="16">
        <f>INDEX('Chart of Accounts'!$A$5:$A$3000,MATCH("wht_payable",'Chart of Accounts'!$F$5:$F$3000,0))</f>
        <v/>
      </c>
      <c r="V177" s="23">
        <f>IFERROR(INDEX('Chart of Accounts'!$C$5:$C$3000,MATCH(Q177&amp;"",'Chart of Accounts'!$A$5:$A$3000,0))&amp;"|"&amp;INDEX('Chart of Accounts'!$D$5:$D$3000,MATCH(Q177&amp;"",'Chart of Accounts'!$A$5:$A$3000,0)),"")</f>
        <v/>
      </c>
      <c r="W177" s="23">
        <f>IFERROR(INDEX('Chart of Accounts'!$C$5:$C$3000,MATCH(T177&amp;"",'Chart of Accounts'!$A$5:$A$3000,0))&amp;"|"&amp;INDEX('Chart of Accounts'!$D$5:$D$3000,MATCH(T177&amp;"",'Chart of Accounts'!$A$5:$A$3000,0)),"")</f>
        <v/>
      </c>
      <c r="X177" s="23">
        <f>IFERROR(INDEX('Chart of Accounts'!$C$5:$C$3000,MATCH(R177&amp;"",'Chart of Accounts'!$A$5:$A$3000,0))&amp;"|"&amp;INDEX('Chart of Accounts'!$D$5:$D$3000,MATCH(R177&amp;"",'Chart of Accounts'!$A$5:$A$3000,0)),"")</f>
        <v/>
      </c>
      <c r="Y177" s="23">
        <f>IFERROR(INDEX('Chart of Accounts'!$C$5:$C$3000,MATCH(S177&amp;"",'Chart of Accounts'!$A$5:$A$3000,0))&amp;"|"&amp;INDEX('Chart of Accounts'!$D$5:$D$3000,MATCH(S177&amp;"",'Chart of Accounts'!$A$5:$A$3000,0)),"")</f>
        <v/>
      </c>
      <c r="Z177" s="23">
        <f>IFERROR(INDEX('Chart of Accounts'!$C$5:$C$3000,MATCH(U177&amp;"",'Chart of Accounts'!$A$5:$A$3000,0))&amp;"|"&amp;INDEX('Chart of Accounts'!$D$5:$D$3000,MATCH(U177&amp;"",'Chart of Accounts'!$A$5:$A$3000,0)),"")</f>
        <v/>
      </c>
      <c r="AA177" s="23">
        <f>IF(LEFT(V177,8)="Revenue|",-N(F177),0)+IF(LEFT(W177,8)="Revenue|",-N(M177),0)+IF(LEFT(X177,8)="Revenue|",N(O177),0)+IF(LEFT(Y177,8)="Revenue|",N(P177),0)+IF(LEFT(Z177,8)="Revenue|",N(N177),0)</f>
        <v/>
      </c>
      <c r="AB177" s="23">
        <f>IF(LEFT(V177,5)="COGS|",N(F177),0)+IF(LEFT(W177,5)="COGS|",N(M177),0)+IF(LEFT(X177,5)="COGS|",-N(O177),0)+IF(LEFT(Y177,5)="COGS|",-N(P177),0)+IF(LEFT(Z177,5)="COGS|",-N(N177),0)</f>
        <v/>
      </c>
      <c r="AC177" s="23">
        <f>IF(LEFT(V177,8)="Expense|",N(F177),0)+IF(LEFT(W177,8)="Expense|",N(M177),0)+IF(LEFT(X177,8)="Expense|",-N(O177),0)+IF(LEFT(Y177,8)="Expense|",-N(P177),0)+IF(LEFT(Z177,8)="Expense|",-N(N177),0)</f>
        <v/>
      </c>
      <c r="AD177" s="23">
        <f>IF(ISNUMBER(MATCH(V177,{"Expense|employee","Expense|general_admin","Expense|marketing","Expense|utilities","Expense|other_operating"},0)),N(F177),0)+IF(ISNUMBER(MATCH(W177,{"Expense|employee","Expense|general_admin","Expense|marketing","Expense|utilities","Expense|other_operating"},0)),N(M177),0)+IF(ISNUMBER(MATCH(X177,{"Expense|employee","Expense|general_admin","Expense|marketing","Expense|utilities","Expense|other_operating"},0)),-N(O177),0)+IF(ISNUMBER(MATCH(Y177,{"Expense|employee","Expense|general_admin","Expense|marketing","Expense|utilities","Expense|other_operating"},0)),-N(P177),0)+IF(ISNUMBER(MATCH(Z177,{"Expense|employee","Expense|general_admin","Expense|marketing","Expense|utilities","Expense|other_operating"},0)),-N(N177),0)</f>
        <v/>
      </c>
      <c r="AE177" s="23">
        <f>IF(V177="Liability|payable",-N(F177),0)+IF(W177="Liability|payable",-N(M177),0)+IF(X177="Liability|payable",N(O177),0)+IF(Y177="Liability|payable",N(P177),0)+IF(Z177="Liability|payable",N(N177),0)</f>
        <v/>
      </c>
      <c r="AF177" s="23">
        <f>IF(V177="Liability|accrued",-N(F177),0)+IF(W177="Liability|accrued",-N(M177),0)+IF(X177="Liability|accrued",N(O177),0)+IF(Y177="Liability|accrued",N(P177),0)+IF(Z177="Liability|accrued",N(N177),0)</f>
        <v/>
      </c>
      <c r="AG177" s="23">
        <f>IF(AND(N(F177)&lt;&gt;0,V177=""),1,0)+IF(AND(N(M177)&lt;&gt;0,W177=""),1,0)+IF(AND(N(O177)&lt;&gt;0,X177=""),1,0)+IF(AND(N(P177)&lt;&gt;0,Y177=""),1,0)+IF(AND(N(N177)&lt;&gt;0,Z177=""),1,0)</f>
        <v/>
      </c>
    </row>
    <row r="178">
      <c r="A178" s="19" t="n"/>
      <c r="B178" s="14" t="n"/>
      <c r="C178" s="14" t="n"/>
      <c r="D178" s="14" t="n"/>
      <c r="E178" s="14" t="n"/>
      <c r="F178" s="20" t="n"/>
      <c r="G178" s="20" t="n"/>
      <c r="H178" s="14" t="n"/>
      <c r="I178" s="14" t="n"/>
      <c r="J178" s="14" t="n"/>
      <c r="K178" s="14" t="n"/>
      <c r="L178" s="14" t="n"/>
      <c r="M178" s="21">
        <f>ROUND(N(F178)*IFERROR(VLOOKUP(K178,'Tax Codes'!$A$5:$E$300,5,FALSE),0),2)</f>
        <v/>
      </c>
      <c r="N178" s="21">
        <f>ROUND(N(F178)*IFERROR(VLOOKUP(L178,'Tax Codes'!$A$5:$E$300,5,FALSE),0),2)</f>
        <v/>
      </c>
      <c r="O178" s="21">
        <f>IF(G178="",N(F178)+M178-N178,N(G178))</f>
        <v/>
      </c>
      <c r="P178" s="21">
        <f>N(F178)+M178-N178-O178</f>
        <v/>
      </c>
      <c r="Q178" s="16">
        <f>IF(C178="",INDEX('Chart of Accounts'!$A$5:$A$3000,MATCH("other_overhead",'Chart of Accounts'!$F$5:$F$3000,0)),C178&amp;"")</f>
        <v/>
      </c>
      <c r="R178" s="16">
        <f>IF(I178="",INDEX('Chart of Accounts'!$A$5:$A$3000,MATCH("bank",'Chart of Accounts'!$F$5:$F$3000,0)),I178&amp;"")</f>
        <v/>
      </c>
      <c r="S178" s="16">
        <f>IF(J178="",INDEX('Chart of Accounts'!$A$5:$A$3000,MATCH("ap",'Chart of Accounts'!$F$5:$F$3000,0)),J178&amp;"")</f>
        <v/>
      </c>
      <c r="T178" s="16">
        <f>INDEX('Chart of Accounts'!$A$5:$A$3000,MATCH("vat_input",'Chart of Accounts'!$F$5:$F$3000,0))</f>
        <v/>
      </c>
      <c r="U178" s="16">
        <f>INDEX('Chart of Accounts'!$A$5:$A$3000,MATCH("wht_payable",'Chart of Accounts'!$F$5:$F$3000,0))</f>
        <v/>
      </c>
      <c r="V178" s="23">
        <f>IFERROR(INDEX('Chart of Accounts'!$C$5:$C$3000,MATCH(Q178&amp;"",'Chart of Accounts'!$A$5:$A$3000,0))&amp;"|"&amp;INDEX('Chart of Accounts'!$D$5:$D$3000,MATCH(Q178&amp;"",'Chart of Accounts'!$A$5:$A$3000,0)),"")</f>
        <v/>
      </c>
      <c r="W178" s="23">
        <f>IFERROR(INDEX('Chart of Accounts'!$C$5:$C$3000,MATCH(T178&amp;"",'Chart of Accounts'!$A$5:$A$3000,0))&amp;"|"&amp;INDEX('Chart of Accounts'!$D$5:$D$3000,MATCH(T178&amp;"",'Chart of Accounts'!$A$5:$A$3000,0)),"")</f>
        <v/>
      </c>
      <c r="X178" s="23">
        <f>IFERROR(INDEX('Chart of Accounts'!$C$5:$C$3000,MATCH(R178&amp;"",'Chart of Accounts'!$A$5:$A$3000,0))&amp;"|"&amp;INDEX('Chart of Accounts'!$D$5:$D$3000,MATCH(R178&amp;"",'Chart of Accounts'!$A$5:$A$3000,0)),"")</f>
        <v/>
      </c>
      <c r="Y178" s="23">
        <f>IFERROR(INDEX('Chart of Accounts'!$C$5:$C$3000,MATCH(S178&amp;"",'Chart of Accounts'!$A$5:$A$3000,0))&amp;"|"&amp;INDEX('Chart of Accounts'!$D$5:$D$3000,MATCH(S178&amp;"",'Chart of Accounts'!$A$5:$A$3000,0)),"")</f>
        <v/>
      </c>
      <c r="Z178" s="23">
        <f>IFERROR(INDEX('Chart of Accounts'!$C$5:$C$3000,MATCH(U178&amp;"",'Chart of Accounts'!$A$5:$A$3000,0))&amp;"|"&amp;INDEX('Chart of Accounts'!$D$5:$D$3000,MATCH(U178&amp;"",'Chart of Accounts'!$A$5:$A$3000,0)),"")</f>
        <v/>
      </c>
      <c r="AA178" s="23">
        <f>IF(LEFT(V178,8)="Revenue|",-N(F178),0)+IF(LEFT(W178,8)="Revenue|",-N(M178),0)+IF(LEFT(X178,8)="Revenue|",N(O178),0)+IF(LEFT(Y178,8)="Revenue|",N(P178),0)+IF(LEFT(Z178,8)="Revenue|",N(N178),0)</f>
        <v/>
      </c>
      <c r="AB178" s="23">
        <f>IF(LEFT(V178,5)="COGS|",N(F178),0)+IF(LEFT(W178,5)="COGS|",N(M178),0)+IF(LEFT(X178,5)="COGS|",-N(O178),0)+IF(LEFT(Y178,5)="COGS|",-N(P178),0)+IF(LEFT(Z178,5)="COGS|",-N(N178),0)</f>
        <v/>
      </c>
      <c r="AC178" s="23">
        <f>IF(LEFT(V178,8)="Expense|",N(F178),0)+IF(LEFT(W178,8)="Expense|",N(M178),0)+IF(LEFT(X178,8)="Expense|",-N(O178),0)+IF(LEFT(Y178,8)="Expense|",-N(P178),0)+IF(LEFT(Z178,8)="Expense|",-N(N178),0)</f>
        <v/>
      </c>
      <c r="AD178" s="23">
        <f>IF(ISNUMBER(MATCH(V178,{"Expense|employee","Expense|general_admin","Expense|marketing","Expense|utilities","Expense|other_operating"},0)),N(F178),0)+IF(ISNUMBER(MATCH(W178,{"Expense|employee","Expense|general_admin","Expense|marketing","Expense|utilities","Expense|other_operating"},0)),N(M178),0)+IF(ISNUMBER(MATCH(X178,{"Expense|employee","Expense|general_admin","Expense|marketing","Expense|utilities","Expense|other_operating"},0)),-N(O178),0)+IF(ISNUMBER(MATCH(Y178,{"Expense|employee","Expense|general_admin","Expense|marketing","Expense|utilities","Expense|other_operating"},0)),-N(P178),0)+IF(ISNUMBER(MATCH(Z178,{"Expense|employee","Expense|general_admin","Expense|marketing","Expense|utilities","Expense|other_operating"},0)),-N(N178),0)</f>
        <v/>
      </c>
      <c r="AE178" s="23">
        <f>IF(V178="Liability|payable",-N(F178),0)+IF(W178="Liability|payable",-N(M178),0)+IF(X178="Liability|payable",N(O178),0)+IF(Y178="Liability|payable",N(P178),0)+IF(Z178="Liability|payable",N(N178),0)</f>
        <v/>
      </c>
      <c r="AF178" s="23">
        <f>IF(V178="Liability|accrued",-N(F178),0)+IF(W178="Liability|accrued",-N(M178),0)+IF(X178="Liability|accrued",N(O178),0)+IF(Y178="Liability|accrued",N(P178),0)+IF(Z178="Liability|accrued",N(N178),0)</f>
        <v/>
      </c>
      <c r="AG178" s="23">
        <f>IF(AND(N(F178)&lt;&gt;0,V178=""),1,0)+IF(AND(N(M178)&lt;&gt;0,W178=""),1,0)+IF(AND(N(O178)&lt;&gt;0,X178=""),1,0)+IF(AND(N(P178)&lt;&gt;0,Y178=""),1,0)+IF(AND(N(N178)&lt;&gt;0,Z178=""),1,0)</f>
        <v/>
      </c>
    </row>
    <row r="179">
      <c r="A179" s="19" t="n"/>
      <c r="B179" s="14" t="n"/>
      <c r="C179" s="14" t="n"/>
      <c r="D179" s="14" t="n"/>
      <c r="E179" s="14" t="n"/>
      <c r="F179" s="20" t="n"/>
      <c r="G179" s="20" t="n"/>
      <c r="H179" s="14" t="n"/>
      <c r="I179" s="14" t="n"/>
      <c r="J179" s="14" t="n"/>
      <c r="K179" s="14" t="n"/>
      <c r="L179" s="14" t="n"/>
      <c r="M179" s="21">
        <f>ROUND(N(F179)*IFERROR(VLOOKUP(K179,'Tax Codes'!$A$5:$E$300,5,FALSE),0),2)</f>
        <v/>
      </c>
      <c r="N179" s="21">
        <f>ROUND(N(F179)*IFERROR(VLOOKUP(L179,'Tax Codes'!$A$5:$E$300,5,FALSE),0),2)</f>
        <v/>
      </c>
      <c r="O179" s="21">
        <f>IF(G179="",N(F179)+M179-N179,N(G179))</f>
        <v/>
      </c>
      <c r="P179" s="21">
        <f>N(F179)+M179-N179-O179</f>
        <v/>
      </c>
      <c r="Q179" s="16">
        <f>IF(C179="",INDEX('Chart of Accounts'!$A$5:$A$3000,MATCH("other_overhead",'Chart of Accounts'!$F$5:$F$3000,0)),C179&amp;"")</f>
        <v/>
      </c>
      <c r="R179" s="16">
        <f>IF(I179="",INDEX('Chart of Accounts'!$A$5:$A$3000,MATCH("bank",'Chart of Accounts'!$F$5:$F$3000,0)),I179&amp;"")</f>
        <v/>
      </c>
      <c r="S179" s="16">
        <f>IF(J179="",INDEX('Chart of Accounts'!$A$5:$A$3000,MATCH("ap",'Chart of Accounts'!$F$5:$F$3000,0)),J179&amp;"")</f>
        <v/>
      </c>
      <c r="T179" s="16">
        <f>INDEX('Chart of Accounts'!$A$5:$A$3000,MATCH("vat_input",'Chart of Accounts'!$F$5:$F$3000,0))</f>
        <v/>
      </c>
      <c r="U179" s="16">
        <f>INDEX('Chart of Accounts'!$A$5:$A$3000,MATCH("wht_payable",'Chart of Accounts'!$F$5:$F$3000,0))</f>
        <v/>
      </c>
      <c r="V179" s="23">
        <f>IFERROR(INDEX('Chart of Accounts'!$C$5:$C$3000,MATCH(Q179&amp;"",'Chart of Accounts'!$A$5:$A$3000,0))&amp;"|"&amp;INDEX('Chart of Accounts'!$D$5:$D$3000,MATCH(Q179&amp;"",'Chart of Accounts'!$A$5:$A$3000,0)),"")</f>
        <v/>
      </c>
      <c r="W179" s="23">
        <f>IFERROR(INDEX('Chart of Accounts'!$C$5:$C$3000,MATCH(T179&amp;"",'Chart of Accounts'!$A$5:$A$3000,0))&amp;"|"&amp;INDEX('Chart of Accounts'!$D$5:$D$3000,MATCH(T179&amp;"",'Chart of Accounts'!$A$5:$A$3000,0)),"")</f>
        <v/>
      </c>
      <c r="X179" s="23">
        <f>IFERROR(INDEX('Chart of Accounts'!$C$5:$C$3000,MATCH(R179&amp;"",'Chart of Accounts'!$A$5:$A$3000,0))&amp;"|"&amp;INDEX('Chart of Accounts'!$D$5:$D$3000,MATCH(R179&amp;"",'Chart of Accounts'!$A$5:$A$3000,0)),"")</f>
        <v/>
      </c>
      <c r="Y179" s="23">
        <f>IFERROR(INDEX('Chart of Accounts'!$C$5:$C$3000,MATCH(S179&amp;"",'Chart of Accounts'!$A$5:$A$3000,0))&amp;"|"&amp;INDEX('Chart of Accounts'!$D$5:$D$3000,MATCH(S179&amp;"",'Chart of Accounts'!$A$5:$A$3000,0)),"")</f>
        <v/>
      </c>
      <c r="Z179" s="23">
        <f>IFERROR(INDEX('Chart of Accounts'!$C$5:$C$3000,MATCH(U179&amp;"",'Chart of Accounts'!$A$5:$A$3000,0))&amp;"|"&amp;INDEX('Chart of Accounts'!$D$5:$D$3000,MATCH(U179&amp;"",'Chart of Accounts'!$A$5:$A$3000,0)),"")</f>
        <v/>
      </c>
      <c r="AA179" s="23">
        <f>IF(LEFT(V179,8)="Revenue|",-N(F179),0)+IF(LEFT(W179,8)="Revenue|",-N(M179),0)+IF(LEFT(X179,8)="Revenue|",N(O179),0)+IF(LEFT(Y179,8)="Revenue|",N(P179),0)+IF(LEFT(Z179,8)="Revenue|",N(N179),0)</f>
        <v/>
      </c>
      <c r="AB179" s="23">
        <f>IF(LEFT(V179,5)="COGS|",N(F179),0)+IF(LEFT(W179,5)="COGS|",N(M179),0)+IF(LEFT(X179,5)="COGS|",-N(O179),0)+IF(LEFT(Y179,5)="COGS|",-N(P179),0)+IF(LEFT(Z179,5)="COGS|",-N(N179),0)</f>
        <v/>
      </c>
      <c r="AC179" s="23">
        <f>IF(LEFT(V179,8)="Expense|",N(F179),0)+IF(LEFT(W179,8)="Expense|",N(M179),0)+IF(LEFT(X179,8)="Expense|",-N(O179),0)+IF(LEFT(Y179,8)="Expense|",-N(P179),0)+IF(LEFT(Z179,8)="Expense|",-N(N179),0)</f>
        <v/>
      </c>
      <c r="AD179" s="23">
        <f>IF(ISNUMBER(MATCH(V179,{"Expense|employee","Expense|general_admin","Expense|marketing","Expense|utilities","Expense|other_operating"},0)),N(F179),0)+IF(ISNUMBER(MATCH(W179,{"Expense|employee","Expense|general_admin","Expense|marketing","Expense|utilities","Expense|other_operating"},0)),N(M179),0)+IF(ISNUMBER(MATCH(X179,{"Expense|employee","Expense|general_admin","Expense|marketing","Expense|utilities","Expense|other_operating"},0)),-N(O179),0)+IF(ISNUMBER(MATCH(Y179,{"Expense|employee","Expense|general_admin","Expense|marketing","Expense|utilities","Expense|other_operating"},0)),-N(P179),0)+IF(ISNUMBER(MATCH(Z179,{"Expense|employee","Expense|general_admin","Expense|marketing","Expense|utilities","Expense|other_operating"},0)),-N(N179),0)</f>
        <v/>
      </c>
      <c r="AE179" s="23">
        <f>IF(V179="Liability|payable",-N(F179),0)+IF(W179="Liability|payable",-N(M179),0)+IF(X179="Liability|payable",N(O179),0)+IF(Y179="Liability|payable",N(P179),0)+IF(Z179="Liability|payable",N(N179),0)</f>
        <v/>
      </c>
      <c r="AF179" s="23">
        <f>IF(V179="Liability|accrued",-N(F179),0)+IF(W179="Liability|accrued",-N(M179),0)+IF(X179="Liability|accrued",N(O179),0)+IF(Y179="Liability|accrued",N(P179),0)+IF(Z179="Liability|accrued",N(N179),0)</f>
        <v/>
      </c>
      <c r="AG179" s="23">
        <f>IF(AND(N(F179)&lt;&gt;0,V179=""),1,0)+IF(AND(N(M179)&lt;&gt;0,W179=""),1,0)+IF(AND(N(O179)&lt;&gt;0,X179=""),1,0)+IF(AND(N(P179)&lt;&gt;0,Y179=""),1,0)+IF(AND(N(N179)&lt;&gt;0,Z179=""),1,0)</f>
        <v/>
      </c>
    </row>
    <row r="180">
      <c r="A180" s="19" t="n"/>
      <c r="B180" s="14" t="n"/>
      <c r="C180" s="14" t="n"/>
      <c r="D180" s="14" t="n"/>
      <c r="E180" s="14" t="n"/>
      <c r="F180" s="20" t="n"/>
      <c r="G180" s="20" t="n"/>
      <c r="H180" s="14" t="n"/>
      <c r="I180" s="14" t="n"/>
      <c r="J180" s="14" t="n"/>
      <c r="K180" s="14" t="n"/>
      <c r="L180" s="14" t="n"/>
      <c r="M180" s="21">
        <f>ROUND(N(F180)*IFERROR(VLOOKUP(K180,'Tax Codes'!$A$5:$E$300,5,FALSE),0),2)</f>
        <v/>
      </c>
      <c r="N180" s="21">
        <f>ROUND(N(F180)*IFERROR(VLOOKUP(L180,'Tax Codes'!$A$5:$E$300,5,FALSE),0),2)</f>
        <v/>
      </c>
      <c r="O180" s="21">
        <f>IF(G180="",N(F180)+M180-N180,N(G180))</f>
        <v/>
      </c>
      <c r="P180" s="21">
        <f>N(F180)+M180-N180-O180</f>
        <v/>
      </c>
      <c r="Q180" s="16">
        <f>IF(C180="",INDEX('Chart of Accounts'!$A$5:$A$3000,MATCH("other_overhead",'Chart of Accounts'!$F$5:$F$3000,0)),C180&amp;"")</f>
        <v/>
      </c>
      <c r="R180" s="16">
        <f>IF(I180="",INDEX('Chart of Accounts'!$A$5:$A$3000,MATCH("bank",'Chart of Accounts'!$F$5:$F$3000,0)),I180&amp;"")</f>
        <v/>
      </c>
      <c r="S180" s="16">
        <f>IF(J180="",INDEX('Chart of Accounts'!$A$5:$A$3000,MATCH("ap",'Chart of Accounts'!$F$5:$F$3000,0)),J180&amp;"")</f>
        <v/>
      </c>
      <c r="T180" s="16">
        <f>INDEX('Chart of Accounts'!$A$5:$A$3000,MATCH("vat_input",'Chart of Accounts'!$F$5:$F$3000,0))</f>
        <v/>
      </c>
      <c r="U180" s="16">
        <f>INDEX('Chart of Accounts'!$A$5:$A$3000,MATCH("wht_payable",'Chart of Accounts'!$F$5:$F$3000,0))</f>
        <v/>
      </c>
      <c r="V180" s="23">
        <f>IFERROR(INDEX('Chart of Accounts'!$C$5:$C$3000,MATCH(Q180&amp;"",'Chart of Accounts'!$A$5:$A$3000,0))&amp;"|"&amp;INDEX('Chart of Accounts'!$D$5:$D$3000,MATCH(Q180&amp;"",'Chart of Accounts'!$A$5:$A$3000,0)),"")</f>
        <v/>
      </c>
      <c r="W180" s="23">
        <f>IFERROR(INDEX('Chart of Accounts'!$C$5:$C$3000,MATCH(T180&amp;"",'Chart of Accounts'!$A$5:$A$3000,0))&amp;"|"&amp;INDEX('Chart of Accounts'!$D$5:$D$3000,MATCH(T180&amp;"",'Chart of Accounts'!$A$5:$A$3000,0)),"")</f>
        <v/>
      </c>
      <c r="X180" s="23">
        <f>IFERROR(INDEX('Chart of Accounts'!$C$5:$C$3000,MATCH(R180&amp;"",'Chart of Accounts'!$A$5:$A$3000,0))&amp;"|"&amp;INDEX('Chart of Accounts'!$D$5:$D$3000,MATCH(R180&amp;"",'Chart of Accounts'!$A$5:$A$3000,0)),"")</f>
        <v/>
      </c>
      <c r="Y180" s="23">
        <f>IFERROR(INDEX('Chart of Accounts'!$C$5:$C$3000,MATCH(S180&amp;"",'Chart of Accounts'!$A$5:$A$3000,0))&amp;"|"&amp;INDEX('Chart of Accounts'!$D$5:$D$3000,MATCH(S180&amp;"",'Chart of Accounts'!$A$5:$A$3000,0)),"")</f>
        <v/>
      </c>
      <c r="Z180" s="23">
        <f>IFERROR(INDEX('Chart of Accounts'!$C$5:$C$3000,MATCH(U180&amp;"",'Chart of Accounts'!$A$5:$A$3000,0))&amp;"|"&amp;INDEX('Chart of Accounts'!$D$5:$D$3000,MATCH(U180&amp;"",'Chart of Accounts'!$A$5:$A$3000,0)),"")</f>
        <v/>
      </c>
      <c r="AA180" s="23">
        <f>IF(LEFT(V180,8)="Revenue|",-N(F180),0)+IF(LEFT(W180,8)="Revenue|",-N(M180),0)+IF(LEFT(X180,8)="Revenue|",N(O180),0)+IF(LEFT(Y180,8)="Revenue|",N(P180),0)+IF(LEFT(Z180,8)="Revenue|",N(N180),0)</f>
        <v/>
      </c>
      <c r="AB180" s="23">
        <f>IF(LEFT(V180,5)="COGS|",N(F180),0)+IF(LEFT(W180,5)="COGS|",N(M180),0)+IF(LEFT(X180,5)="COGS|",-N(O180),0)+IF(LEFT(Y180,5)="COGS|",-N(P180),0)+IF(LEFT(Z180,5)="COGS|",-N(N180),0)</f>
        <v/>
      </c>
      <c r="AC180" s="23">
        <f>IF(LEFT(V180,8)="Expense|",N(F180),0)+IF(LEFT(W180,8)="Expense|",N(M180),0)+IF(LEFT(X180,8)="Expense|",-N(O180),0)+IF(LEFT(Y180,8)="Expense|",-N(P180),0)+IF(LEFT(Z180,8)="Expense|",-N(N180),0)</f>
        <v/>
      </c>
      <c r="AD180" s="23">
        <f>IF(ISNUMBER(MATCH(V180,{"Expense|employee","Expense|general_admin","Expense|marketing","Expense|utilities","Expense|other_operating"},0)),N(F180),0)+IF(ISNUMBER(MATCH(W180,{"Expense|employee","Expense|general_admin","Expense|marketing","Expense|utilities","Expense|other_operating"},0)),N(M180),0)+IF(ISNUMBER(MATCH(X180,{"Expense|employee","Expense|general_admin","Expense|marketing","Expense|utilities","Expense|other_operating"},0)),-N(O180),0)+IF(ISNUMBER(MATCH(Y180,{"Expense|employee","Expense|general_admin","Expense|marketing","Expense|utilities","Expense|other_operating"},0)),-N(P180),0)+IF(ISNUMBER(MATCH(Z180,{"Expense|employee","Expense|general_admin","Expense|marketing","Expense|utilities","Expense|other_operating"},0)),-N(N180),0)</f>
        <v/>
      </c>
      <c r="AE180" s="23">
        <f>IF(V180="Liability|payable",-N(F180),0)+IF(W180="Liability|payable",-N(M180),0)+IF(X180="Liability|payable",N(O180),0)+IF(Y180="Liability|payable",N(P180),0)+IF(Z180="Liability|payable",N(N180),0)</f>
        <v/>
      </c>
      <c r="AF180" s="23">
        <f>IF(V180="Liability|accrued",-N(F180),0)+IF(W180="Liability|accrued",-N(M180),0)+IF(X180="Liability|accrued",N(O180),0)+IF(Y180="Liability|accrued",N(P180),0)+IF(Z180="Liability|accrued",N(N180),0)</f>
        <v/>
      </c>
      <c r="AG180" s="23">
        <f>IF(AND(N(F180)&lt;&gt;0,V180=""),1,0)+IF(AND(N(M180)&lt;&gt;0,W180=""),1,0)+IF(AND(N(O180)&lt;&gt;0,X180=""),1,0)+IF(AND(N(P180)&lt;&gt;0,Y180=""),1,0)+IF(AND(N(N180)&lt;&gt;0,Z180=""),1,0)</f>
        <v/>
      </c>
    </row>
    <row r="181">
      <c r="A181" s="19" t="n"/>
      <c r="B181" s="14" t="n"/>
      <c r="C181" s="14" t="n"/>
      <c r="D181" s="14" t="n"/>
      <c r="E181" s="14" t="n"/>
      <c r="F181" s="20" t="n"/>
      <c r="G181" s="20" t="n"/>
      <c r="H181" s="14" t="n"/>
      <c r="I181" s="14" t="n"/>
      <c r="J181" s="14" t="n"/>
      <c r="K181" s="14" t="n"/>
      <c r="L181" s="14" t="n"/>
      <c r="M181" s="21">
        <f>ROUND(N(F181)*IFERROR(VLOOKUP(K181,'Tax Codes'!$A$5:$E$300,5,FALSE),0),2)</f>
        <v/>
      </c>
      <c r="N181" s="21">
        <f>ROUND(N(F181)*IFERROR(VLOOKUP(L181,'Tax Codes'!$A$5:$E$300,5,FALSE),0),2)</f>
        <v/>
      </c>
      <c r="O181" s="21">
        <f>IF(G181="",N(F181)+M181-N181,N(G181))</f>
        <v/>
      </c>
      <c r="P181" s="21">
        <f>N(F181)+M181-N181-O181</f>
        <v/>
      </c>
      <c r="Q181" s="16">
        <f>IF(C181="",INDEX('Chart of Accounts'!$A$5:$A$3000,MATCH("other_overhead",'Chart of Accounts'!$F$5:$F$3000,0)),C181&amp;"")</f>
        <v/>
      </c>
      <c r="R181" s="16">
        <f>IF(I181="",INDEX('Chart of Accounts'!$A$5:$A$3000,MATCH("bank",'Chart of Accounts'!$F$5:$F$3000,0)),I181&amp;"")</f>
        <v/>
      </c>
      <c r="S181" s="16">
        <f>IF(J181="",INDEX('Chart of Accounts'!$A$5:$A$3000,MATCH("ap",'Chart of Accounts'!$F$5:$F$3000,0)),J181&amp;"")</f>
        <v/>
      </c>
      <c r="T181" s="16">
        <f>INDEX('Chart of Accounts'!$A$5:$A$3000,MATCH("vat_input",'Chart of Accounts'!$F$5:$F$3000,0))</f>
        <v/>
      </c>
      <c r="U181" s="16">
        <f>INDEX('Chart of Accounts'!$A$5:$A$3000,MATCH("wht_payable",'Chart of Accounts'!$F$5:$F$3000,0))</f>
        <v/>
      </c>
      <c r="V181" s="23">
        <f>IFERROR(INDEX('Chart of Accounts'!$C$5:$C$3000,MATCH(Q181&amp;"",'Chart of Accounts'!$A$5:$A$3000,0))&amp;"|"&amp;INDEX('Chart of Accounts'!$D$5:$D$3000,MATCH(Q181&amp;"",'Chart of Accounts'!$A$5:$A$3000,0)),"")</f>
        <v/>
      </c>
      <c r="W181" s="23">
        <f>IFERROR(INDEX('Chart of Accounts'!$C$5:$C$3000,MATCH(T181&amp;"",'Chart of Accounts'!$A$5:$A$3000,0))&amp;"|"&amp;INDEX('Chart of Accounts'!$D$5:$D$3000,MATCH(T181&amp;"",'Chart of Accounts'!$A$5:$A$3000,0)),"")</f>
        <v/>
      </c>
      <c r="X181" s="23">
        <f>IFERROR(INDEX('Chart of Accounts'!$C$5:$C$3000,MATCH(R181&amp;"",'Chart of Accounts'!$A$5:$A$3000,0))&amp;"|"&amp;INDEX('Chart of Accounts'!$D$5:$D$3000,MATCH(R181&amp;"",'Chart of Accounts'!$A$5:$A$3000,0)),"")</f>
        <v/>
      </c>
      <c r="Y181" s="23">
        <f>IFERROR(INDEX('Chart of Accounts'!$C$5:$C$3000,MATCH(S181&amp;"",'Chart of Accounts'!$A$5:$A$3000,0))&amp;"|"&amp;INDEX('Chart of Accounts'!$D$5:$D$3000,MATCH(S181&amp;"",'Chart of Accounts'!$A$5:$A$3000,0)),"")</f>
        <v/>
      </c>
      <c r="Z181" s="23">
        <f>IFERROR(INDEX('Chart of Accounts'!$C$5:$C$3000,MATCH(U181&amp;"",'Chart of Accounts'!$A$5:$A$3000,0))&amp;"|"&amp;INDEX('Chart of Accounts'!$D$5:$D$3000,MATCH(U181&amp;"",'Chart of Accounts'!$A$5:$A$3000,0)),"")</f>
        <v/>
      </c>
      <c r="AA181" s="23">
        <f>IF(LEFT(V181,8)="Revenue|",-N(F181),0)+IF(LEFT(W181,8)="Revenue|",-N(M181),0)+IF(LEFT(X181,8)="Revenue|",N(O181),0)+IF(LEFT(Y181,8)="Revenue|",N(P181),0)+IF(LEFT(Z181,8)="Revenue|",N(N181),0)</f>
        <v/>
      </c>
      <c r="AB181" s="23">
        <f>IF(LEFT(V181,5)="COGS|",N(F181),0)+IF(LEFT(W181,5)="COGS|",N(M181),0)+IF(LEFT(X181,5)="COGS|",-N(O181),0)+IF(LEFT(Y181,5)="COGS|",-N(P181),0)+IF(LEFT(Z181,5)="COGS|",-N(N181),0)</f>
        <v/>
      </c>
      <c r="AC181" s="23">
        <f>IF(LEFT(V181,8)="Expense|",N(F181),0)+IF(LEFT(W181,8)="Expense|",N(M181),0)+IF(LEFT(X181,8)="Expense|",-N(O181),0)+IF(LEFT(Y181,8)="Expense|",-N(P181),0)+IF(LEFT(Z181,8)="Expense|",-N(N181),0)</f>
        <v/>
      </c>
      <c r="AD181" s="23">
        <f>IF(ISNUMBER(MATCH(V181,{"Expense|employee","Expense|general_admin","Expense|marketing","Expense|utilities","Expense|other_operating"},0)),N(F181),0)+IF(ISNUMBER(MATCH(W181,{"Expense|employee","Expense|general_admin","Expense|marketing","Expense|utilities","Expense|other_operating"},0)),N(M181),0)+IF(ISNUMBER(MATCH(X181,{"Expense|employee","Expense|general_admin","Expense|marketing","Expense|utilities","Expense|other_operating"},0)),-N(O181),0)+IF(ISNUMBER(MATCH(Y181,{"Expense|employee","Expense|general_admin","Expense|marketing","Expense|utilities","Expense|other_operating"},0)),-N(P181),0)+IF(ISNUMBER(MATCH(Z181,{"Expense|employee","Expense|general_admin","Expense|marketing","Expense|utilities","Expense|other_operating"},0)),-N(N181),0)</f>
        <v/>
      </c>
      <c r="AE181" s="23">
        <f>IF(V181="Liability|payable",-N(F181),0)+IF(W181="Liability|payable",-N(M181),0)+IF(X181="Liability|payable",N(O181),0)+IF(Y181="Liability|payable",N(P181),0)+IF(Z181="Liability|payable",N(N181),0)</f>
        <v/>
      </c>
      <c r="AF181" s="23">
        <f>IF(V181="Liability|accrued",-N(F181),0)+IF(W181="Liability|accrued",-N(M181),0)+IF(X181="Liability|accrued",N(O181),0)+IF(Y181="Liability|accrued",N(P181),0)+IF(Z181="Liability|accrued",N(N181),0)</f>
        <v/>
      </c>
      <c r="AG181" s="23">
        <f>IF(AND(N(F181)&lt;&gt;0,V181=""),1,0)+IF(AND(N(M181)&lt;&gt;0,W181=""),1,0)+IF(AND(N(O181)&lt;&gt;0,X181=""),1,0)+IF(AND(N(P181)&lt;&gt;0,Y181=""),1,0)+IF(AND(N(N181)&lt;&gt;0,Z181=""),1,0)</f>
        <v/>
      </c>
    </row>
    <row r="182">
      <c r="A182" s="19" t="n"/>
      <c r="B182" s="14" t="n"/>
      <c r="C182" s="14" t="n"/>
      <c r="D182" s="14" t="n"/>
      <c r="E182" s="14" t="n"/>
      <c r="F182" s="20" t="n"/>
      <c r="G182" s="20" t="n"/>
      <c r="H182" s="14" t="n"/>
      <c r="I182" s="14" t="n"/>
      <c r="J182" s="14" t="n"/>
      <c r="K182" s="14" t="n"/>
      <c r="L182" s="14" t="n"/>
      <c r="M182" s="21">
        <f>ROUND(N(F182)*IFERROR(VLOOKUP(K182,'Tax Codes'!$A$5:$E$300,5,FALSE),0),2)</f>
        <v/>
      </c>
      <c r="N182" s="21">
        <f>ROUND(N(F182)*IFERROR(VLOOKUP(L182,'Tax Codes'!$A$5:$E$300,5,FALSE),0),2)</f>
        <v/>
      </c>
      <c r="O182" s="21">
        <f>IF(G182="",N(F182)+M182-N182,N(G182))</f>
        <v/>
      </c>
      <c r="P182" s="21">
        <f>N(F182)+M182-N182-O182</f>
        <v/>
      </c>
      <c r="Q182" s="16">
        <f>IF(C182="",INDEX('Chart of Accounts'!$A$5:$A$3000,MATCH("other_overhead",'Chart of Accounts'!$F$5:$F$3000,0)),C182&amp;"")</f>
        <v/>
      </c>
      <c r="R182" s="16">
        <f>IF(I182="",INDEX('Chart of Accounts'!$A$5:$A$3000,MATCH("bank",'Chart of Accounts'!$F$5:$F$3000,0)),I182&amp;"")</f>
        <v/>
      </c>
      <c r="S182" s="16">
        <f>IF(J182="",INDEX('Chart of Accounts'!$A$5:$A$3000,MATCH("ap",'Chart of Accounts'!$F$5:$F$3000,0)),J182&amp;"")</f>
        <v/>
      </c>
      <c r="T182" s="16">
        <f>INDEX('Chart of Accounts'!$A$5:$A$3000,MATCH("vat_input",'Chart of Accounts'!$F$5:$F$3000,0))</f>
        <v/>
      </c>
      <c r="U182" s="16">
        <f>INDEX('Chart of Accounts'!$A$5:$A$3000,MATCH("wht_payable",'Chart of Accounts'!$F$5:$F$3000,0))</f>
        <v/>
      </c>
      <c r="V182" s="23">
        <f>IFERROR(INDEX('Chart of Accounts'!$C$5:$C$3000,MATCH(Q182&amp;"",'Chart of Accounts'!$A$5:$A$3000,0))&amp;"|"&amp;INDEX('Chart of Accounts'!$D$5:$D$3000,MATCH(Q182&amp;"",'Chart of Accounts'!$A$5:$A$3000,0)),"")</f>
        <v/>
      </c>
      <c r="W182" s="23">
        <f>IFERROR(INDEX('Chart of Accounts'!$C$5:$C$3000,MATCH(T182&amp;"",'Chart of Accounts'!$A$5:$A$3000,0))&amp;"|"&amp;INDEX('Chart of Accounts'!$D$5:$D$3000,MATCH(T182&amp;"",'Chart of Accounts'!$A$5:$A$3000,0)),"")</f>
        <v/>
      </c>
      <c r="X182" s="23">
        <f>IFERROR(INDEX('Chart of Accounts'!$C$5:$C$3000,MATCH(R182&amp;"",'Chart of Accounts'!$A$5:$A$3000,0))&amp;"|"&amp;INDEX('Chart of Accounts'!$D$5:$D$3000,MATCH(R182&amp;"",'Chart of Accounts'!$A$5:$A$3000,0)),"")</f>
        <v/>
      </c>
      <c r="Y182" s="23">
        <f>IFERROR(INDEX('Chart of Accounts'!$C$5:$C$3000,MATCH(S182&amp;"",'Chart of Accounts'!$A$5:$A$3000,0))&amp;"|"&amp;INDEX('Chart of Accounts'!$D$5:$D$3000,MATCH(S182&amp;"",'Chart of Accounts'!$A$5:$A$3000,0)),"")</f>
        <v/>
      </c>
      <c r="Z182" s="23">
        <f>IFERROR(INDEX('Chart of Accounts'!$C$5:$C$3000,MATCH(U182&amp;"",'Chart of Accounts'!$A$5:$A$3000,0))&amp;"|"&amp;INDEX('Chart of Accounts'!$D$5:$D$3000,MATCH(U182&amp;"",'Chart of Accounts'!$A$5:$A$3000,0)),"")</f>
        <v/>
      </c>
      <c r="AA182" s="23">
        <f>IF(LEFT(V182,8)="Revenue|",-N(F182),0)+IF(LEFT(W182,8)="Revenue|",-N(M182),0)+IF(LEFT(X182,8)="Revenue|",N(O182),0)+IF(LEFT(Y182,8)="Revenue|",N(P182),0)+IF(LEFT(Z182,8)="Revenue|",N(N182),0)</f>
        <v/>
      </c>
      <c r="AB182" s="23">
        <f>IF(LEFT(V182,5)="COGS|",N(F182),0)+IF(LEFT(W182,5)="COGS|",N(M182),0)+IF(LEFT(X182,5)="COGS|",-N(O182),0)+IF(LEFT(Y182,5)="COGS|",-N(P182),0)+IF(LEFT(Z182,5)="COGS|",-N(N182),0)</f>
        <v/>
      </c>
      <c r="AC182" s="23">
        <f>IF(LEFT(V182,8)="Expense|",N(F182),0)+IF(LEFT(W182,8)="Expense|",N(M182),0)+IF(LEFT(X182,8)="Expense|",-N(O182),0)+IF(LEFT(Y182,8)="Expense|",-N(P182),0)+IF(LEFT(Z182,8)="Expense|",-N(N182),0)</f>
        <v/>
      </c>
      <c r="AD182" s="23">
        <f>IF(ISNUMBER(MATCH(V182,{"Expense|employee","Expense|general_admin","Expense|marketing","Expense|utilities","Expense|other_operating"},0)),N(F182),0)+IF(ISNUMBER(MATCH(W182,{"Expense|employee","Expense|general_admin","Expense|marketing","Expense|utilities","Expense|other_operating"},0)),N(M182),0)+IF(ISNUMBER(MATCH(X182,{"Expense|employee","Expense|general_admin","Expense|marketing","Expense|utilities","Expense|other_operating"},0)),-N(O182),0)+IF(ISNUMBER(MATCH(Y182,{"Expense|employee","Expense|general_admin","Expense|marketing","Expense|utilities","Expense|other_operating"},0)),-N(P182),0)+IF(ISNUMBER(MATCH(Z182,{"Expense|employee","Expense|general_admin","Expense|marketing","Expense|utilities","Expense|other_operating"},0)),-N(N182),0)</f>
        <v/>
      </c>
      <c r="AE182" s="23">
        <f>IF(V182="Liability|payable",-N(F182),0)+IF(W182="Liability|payable",-N(M182),0)+IF(X182="Liability|payable",N(O182),0)+IF(Y182="Liability|payable",N(P182),0)+IF(Z182="Liability|payable",N(N182),0)</f>
        <v/>
      </c>
      <c r="AF182" s="23">
        <f>IF(V182="Liability|accrued",-N(F182),0)+IF(W182="Liability|accrued",-N(M182),0)+IF(X182="Liability|accrued",N(O182),0)+IF(Y182="Liability|accrued",N(P182),0)+IF(Z182="Liability|accrued",N(N182),0)</f>
        <v/>
      </c>
      <c r="AG182" s="23">
        <f>IF(AND(N(F182)&lt;&gt;0,V182=""),1,0)+IF(AND(N(M182)&lt;&gt;0,W182=""),1,0)+IF(AND(N(O182)&lt;&gt;0,X182=""),1,0)+IF(AND(N(P182)&lt;&gt;0,Y182=""),1,0)+IF(AND(N(N182)&lt;&gt;0,Z182=""),1,0)</f>
        <v/>
      </c>
    </row>
    <row r="183">
      <c r="A183" s="19" t="n"/>
      <c r="B183" s="14" t="n"/>
      <c r="C183" s="14" t="n"/>
      <c r="D183" s="14" t="n"/>
      <c r="E183" s="14" t="n"/>
      <c r="F183" s="20" t="n"/>
      <c r="G183" s="20" t="n"/>
      <c r="H183" s="14" t="n"/>
      <c r="I183" s="14" t="n"/>
      <c r="J183" s="14" t="n"/>
      <c r="K183" s="14" t="n"/>
      <c r="L183" s="14" t="n"/>
      <c r="M183" s="21">
        <f>ROUND(N(F183)*IFERROR(VLOOKUP(K183,'Tax Codes'!$A$5:$E$300,5,FALSE),0),2)</f>
        <v/>
      </c>
      <c r="N183" s="21">
        <f>ROUND(N(F183)*IFERROR(VLOOKUP(L183,'Tax Codes'!$A$5:$E$300,5,FALSE),0),2)</f>
        <v/>
      </c>
      <c r="O183" s="21">
        <f>IF(G183="",N(F183)+M183-N183,N(G183))</f>
        <v/>
      </c>
      <c r="P183" s="21">
        <f>N(F183)+M183-N183-O183</f>
        <v/>
      </c>
      <c r="Q183" s="16">
        <f>IF(C183="",INDEX('Chart of Accounts'!$A$5:$A$3000,MATCH("other_overhead",'Chart of Accounts'!$F$5:$F$3000,0)),C183&amp;"")</f>
        <v/>
      </c>
      <c r="R183" s="16">
        <f>IF(I183="",INDEX('Chart of Accounts'!$A$5:$A$3000,MATCH("bank",'Chart of Accounts'!$F$5:$F$3000,0)),I183&amp;"")</f>
        <v/>
      </c>
      <c r="S183" s="16">
        <f>IF(J183="",INDEX('Chart of Accounts'!$A$5:$A$3000,MATCH("ap",'Chart of Accounts'!$F$5:$F$3000,0)),J183&amp;"")</f>
        <v/>
      </c>
      <c r="T183" s="16">
        <f>INDEX('Chart of Accounts'!$A$5:$A$3000,MATCH("vat_input",'Chart of Accounts'!$F$5:$F$3000,0))</f>
        <v/>
      </c>
      <c r="U183" s="16">
        <f>INDEX('Chart of Accounts'!$A$5:$A$3000,MATCH("wht_payable",'Chart of Accounts'!$F$5:$F$3000,0))</f>
        <v/>
      </c>
      <c r="V183" s="23">
        <f>IFERROR(INDEX('Chart of Accounts'!$C$5:$C$3000,MATCH(Q183&amp;"",'Chart of Accounts'!$A$5:$A$3000,0))&amp;"|"&amp;INDEX('Chart of Accounts'!$D$5:$D$3000,MATCH(Q183&amp;"",'Chart of Accounts'!$A$5:$A$3000,0)),"")</f>
        <v/>
      </c>
      <c r="W183" s="23">
        <f>IFERROR(INDEX('Chart of Accounts'!$C$5:$C$3000,MATCH(T183&amp;"",'Chart of Accounts'!$A$5:$A$3000,0))&amp;"|"&amp;INDEX('Chart of Accounts'!$D$5:$D$3000,MATCH(T183&amp;"",'Chart of Accounts'!$A$5:$A$3000,0)),"")</f>
        <v/>
      </c>
      <c r="X183" s="23">
        <f>IFERROR(INDEX('Chart of Accounts'!$C$5:$C$3000,MATCH(R183&amp;"",'Chart of Accounts'!$A$5:$A$3000,0))&amp;"|"&amp;INDEX('Chart of Accounts'!$D$5:$D$3000,MATCH(R183&amp;"",'Chart of Accounts'!$A$5:$A$3000,0)),"")</f>
        <v/>
      </c>
      <c r="Y183" s="23">
        <f>IFERROR(INDEX('Chart of Accounts'!$C$5:$C$3000,MATCH(S183&amp;"",'Chart of Accounts'!$A$5:$A$3000,0))&amp;"|"&amp;INDEX('Chart of Accounts'!$D$5:$D$3000,MATCH(S183&amp;"",'Chart of Accounts'!$A$5:$A$3000,0)),"")</f>
        <v/>
      </c>
      <c r="Z183" s="23">
        <f>IFERROR(INDEX('Chart of Accounts'!$C$5:$C$3000,MATCH(U183&amp;"",'Chart of Accounts'!$A$5:$A$3000,0))&amp;"|"&amp;INDEX('Chart of Accounts'!$D$5:$D$3000,MATCH(U183&amp;"",'Chart of Accounts'!$A$5:$A$3000,0)),"")</f>
        <v/>
      </c>
      <c r="AA183" s="23">
        <f>IF(LEFT(V183,8)="Revenue|",-N(F183),0)+IF(LEFT(W183,8)="Revenue|",-N(M183),0)+IF(LEFT(X183,8)="Revenue|",N(O183),0)+IF(LEFT(Y183,8)="Revenue|",N(P183),0)+IF(LEFT(Z183,8)="Revenue|",N(N183),0)</f>
        <v/>
      </c>
      <c r="AB183" s="23">
        <f>IF(LEFT(V183,5)="COGS|",N(F183),0)+IF(LEFT(W183,5)="COGS|",N(M183),0)+IF(LEFT(X183,5)="COGS|",-N(O183),0)+IF(LEFT(Y183,5)="COGS|",-N(P183),0)+IF(LEFT(Z183,5)="COGS|",-N(N183),0)</f>
        <v/>
      </c>
      <c r="AC183" s="23">
        <f>IF(LEFT(V183,8)="Expense|",N(F183),0)+IF(LEFT(W183,8)="Expense|",N(M183),0)+IF(LEFT(X183,8)="Expense|",-N(O183),0)+IF(LEFT(Y183,8)="Expense|",-N(P183),0)+IF(LEFT(Z183,8)="Expense|",-N(N183),0)</f>
        <v/>
      </c>
      <c r="AD183" s="23">
        <f>IF(ISNUMBER(MATCH(V183,{"Expense|employee","Expense|general_admin","Expense|marketing","Expense|utilities","Expense|other_operating"},0)),N(F183),0)+IF(ISNUMBER(MATCH(W183,{"Expense|employee","Expense|general_admin","Expense|marketing","Expense|utilities","Expense|other_operating"},0)),N(M183),0)+IF(ISNUMBER(MATCH(X183,{"Expense|employee","Expense|general_admin","Expense|marketing","Expense|utilities","Expense|other_operating"},0)),-N(O183),0)+IF(ISNUMBER(MATCH(Y183,{"Expense|employee","Expense|general_admin","Expense|marketing","Expense|utilities","Expense|other_operating"},0)),-N(P183),0)+IF(ISNUMBER(MATCH(Z183,{"Expense|employee","Expense|general_admin","Expense|marketing","Expense|utilities","Expense|other_operating"},0)),-N(N183),0)</f>
        <v/>
      </c>
      <c r="AE183" s="23">
        <f>IF(V183="Liability|payable",-N(F183),0)+IF(W183="Liability|payable",-N(M183),0)+IF(X183="Liability|payable",N(O183),0)+IF(Y183="Liability|payable",N(P183),0)+IF(Z183="Liability|payable",N(N183),0)</f>
        <v/>
      </c>
      <c r="AF183" s="23">
        <f>IF(V183="Liability|accrued",-N(F183),0)+IF(W183="Liability|accrued",-N(M183),0)+IF(X183="Liability|accrued",N(O183),0)+IF(Y183="Liability|accrued",N(P183),0)+IF(Z183="Liability|accrued",N(N183),0)</f>
        <v/>
      </c>
      <c r="AG183" s="23">
        <f>IF(AND(N(F183)&lt;&gt;0,V183=""),1,0)+IF(AND(N(M183)&lt;&gt;0,W183=""),1,0)+IF(AND(N(O183)&lt;&gt;0,X183=""),1,0)+IF(AND(N(P183)&lt;&gt;0,Y183=""),1,0)+IF(AND(N(N183)&lt;&gt;0,Z183=""),1,0)</f>
        <v/>
      </c>
    </row>
    <row r="184">
      <c r="A184" s="19" t="n"/>
      <c r="B184" s="14" t="n"/>
      <c r="C184" s="14" t="n"/>
      <c r="D184" s="14" t="n"/>
      <c r="E184" s="14" t="n"/>
      <c r="F184" s="20" t="n"/>
      <c r="G184" s="20" t="n"/>
      <c r="H184" s="14" t="n"/>
      <c r="I184" s="14" t="n"/>
      <c r="J184" s="14" t="n"/>
      <c r="K184" s="14" t="n"/>
      <c r="L184" s="14" t="n"/>
      <c r="M184" s="21">
        <f>ROUND(N(F184)*IFERROR(VLOOKUP(K184,'Tax Codes'!$A$5:$E$300,5,FALSE),0),2)</f>
        <v/>
      </c>
      <c r="N184" s="21">
        <f>ROUND(N(F184)*IFERROR(VLOOKUP(L184,'Tax Codes'!$A$5:$E$300,5,FALSE),0),2)</f>
        <v/>
      </c>
      <c r="O184" s="21">
        <f>IF(G184="",N(F184)+M184-N184,N(G184))</f>
        <v/>
      </c>
      <c r="P184" s="21">
        <f>N(F184)+M184-N184-O184</f>
        <v/>
      </c>
      <c r="Q184" s="16">
        <f>IF(C184="",INDEX('Chart of Accounts'!$A$5:$A$3000,MATCH("other_overhead",'Chart of Accounts'!$F$5:$F$3000,0)),C184&amp;"")</f>
        <v/>
      </c>
      <c r="R184" s="16">
        <f>IF(I184="",INDEX('Chart of Accounts'!$A$5:$A$3000,MATCH("bank",'Chart of Accounts'!$F$5:$F$3000,0)),I184&amp;"")</f>
        <v/>
      </c>
      <c r="S184" s="16">
        <f>IF(J184="",INDEX('Chart of Accounts'!$A$5:$A$3000,MATCH("ap",'Chart of Accounts'!$F$5:$F$3000,0)),J184&amp;"")</f>
        <v/>
      </c>
      <c r="T184" s="16">
        <f>INDEX('Chart of Accounts'!$A$5:$A$3000,MATCH("vat_input",'Chart of Accounts'!$F$5:$F$3000,0))</f>
        <v/>
      </c>
      <c r="U184" s="16">
        <f>INDEX('Chart of Accounts'!$A$5:$A$3000,MATCH("wht_payable",'Chart of Accounts'!$F$5:$F$3000,0))</f>
        <v/>
      </c>
      <c r="V184" s="23">
        <f>IFERROR(INDEX('Chart of Accounts'!$C$5:$C$3000,MATCH(Q184&amp;"",'Chart of Accounts'!$A$5:$A$3000,0))&amp;"|"&amp;INDEX('Chart of Accounts'!$D$5:$D$3000,MATCH(Q184&amp;"",'Chart of Accounts'!$A$5:$A$3000,0)),"")</f>
        <v/>
      </c>
      <c r="W184" s="23">
        <f>IFERROR(INDEX('Chart of Accounts'!$C$5:$C$3000,MATCH(T184&amp;"",'Chart of Accounts'!$A$5:$A$3000,0))&amp;"|"&amp;INDEX('Chart of Accounts'!$D$5:$D$3000,MATCH(T184&amp;"",'Chart of Accounts'!$A$5:$A$3000,0)),"")</f>
        <v/>
      </c>
      <c r="X184" s="23">
        <f>IFERROR(INDEX('Chart of Accounts'!$C$5:$C$3000,MATCH(R184&amp;"",'Chart of Accounts'!$A$5:$A$3000,0))&amp;"|"&amp;INDEX('Chart of Accounts'!$D$5:$D$3000,MATCH(R184&amp;"",'Chart of Accounts'!$A$5:$A$3000,0)),"")</f>
        <v/>
      </c>
      <c r="Y184" s="23">
        <f>IFERROR(INDEX('Chart of Accounts'!$C$5:$C$3000,MATCH(S184&amp;"",'Chart of Accounts'!$A$5:$A$3000,0))&amp;"|"&amp;INDEX('Chart of Accounts'!$D$5:$D$3000,MATCH(S184&amp;"",'Chart of Accounts'!$A$5:$A$3000,0)),"")</f>
        <v/>
      </c>
      <c r="Z184" s="23">
        <f>IFERROR(INDEX('Chart of Accounts'!$C$5:$C$3000,MATCH(U184&amp;"",'Chart of Accounts'!$A$5:$A$3000,0))&amp;"|"&amp;INDEX('Chart of Accounts'!$D$5:$D$3000,MATCH(U184&amp;"",'Chart of Accounts'!$A$5:$A$3000,0)),"")</f>
        <v/>
      </c>
      <c r="AA184" s="23">
        <f>IF(LEFT(V184,8)="Revenue|",-N(F184),0)+IF(LEFT(W184,8)="Revenue|",-N(M184),0)+IF(LEFT(X184,8)="Revenue|",N(O184),0)+IF(LEFT(Y184,8)="Revenue|",N(P184),0)+IF(LEFT(Z184,8)="Revenue|",N(N184),0)</f>
        <v/>
      </c>
      <c r="AB184" s="23">
        <f>IF(LEFT(V184,5)="COGS|",N(F184),0)+IF(LEFT(W184,5)="COGS|",N(M184),0)+IF(LEFT(X184,5)="COGS|",-N(O184),0)+IF(LEFT(Y184,5)="COGS|",-N(P184),0)+IF(LEFT(Z184,5)="COGS|",-N(N184),0)</f>
        <v/>
      </c>
      <c r="AC184" s="23">
        <f>IF(LEFT(V184,8)="Expense|",N(F184),0)+IF(LEFT(W184,8)="Expense|",N(M184),0)+IF(LEFT(X184,8)="Expense|",-N(O184),0)+IF(LEFT(Y184,8)="Expense|",-N(P184),0)+IF(LEFT(Z184,8)="Expense|",-N(N184),0)</f>
        <v/>
      </c>
      <c r="AD184" s="23">
        <f>IF(ISNUMBER(MATCH(V184,{"Expense|employee","Expense|general_admin","Expense|marketing","Expense|utilities","Expense|other_operating"},0)),N(F184),0)+IF(ISNUMBER(MATCH(W184,{"Expense|employee","Expense|general_admin","Expense|marketing","Expense|utilities","Expense|other_operating"},0)),N(M184),0)+IF(ISNUMBER(MATCH(X184,{"Expense|employee","Expense|general_admin","Expense|marketing","Expense|utilities","Expense|other_operating"},0)),-N(O184),0)+IF(ISNUMBER(MATCH(Y184,{"Expense|employee","Expense|general_admin","Expense|marketing","Expense|utilities","Expense|other_operating"},0)),-N(P184),0)+IF(ISNUMBER(MATCH(Z184,{"Expense|employee","Expense|general_admin","Expense|marketing","Expense|utilities","Expense|other_operating"},0)),-N(N184),0)</f>
        <v/>
      </c>
      <c r="AE184" s="23">
        <f>IF(V184="Liability|payable",-N(F184),0)+IF(W184="Liability|payable",-N(M184),0)+IF(X184="Liability|payable",N(O184),0)+IF(Y184="Liability|payable",N(P184),0)+IF(Z184="Liability|payable",N(N184),0)</f>
        <v/>
      </c>
      <c r="AF184" s="23">
        <f>IF(V184="Liability|accrued",-N(F184),0)+IF(W184="Liability|accrued",-N(M184),0)+IF(X184="Liability|accrued",N(O184),0)+IF(Y184="Liability|accrued",N(P184),0)+IF(Z184="Liability|accrued",N(N184),0)</f>
        <v/>
      </c>
      <c r="AG184" s="23">
        <f>IF(AND(N(F184)&lt;&gt;0,V184=""),1,0)+IF(AND(N(M184)&lt;&gt;0,W184=""),1,0)+IF(AND(N(O184)&lt;&gt;0,X184=""),1,0)+IF(AND(N(P184)&lt;&gt;0,Y184=""),1,0)+IF(AND(N(N184)&lt;&gt;0,Z184=""),1,0)</f>
        <v/>
      </c>
    </row>
    <row r="185">
      <c r="A185" s="19" t="n"/>
      <c r="B185" s="14" t="n"/>
      <c r="C185" s="14" t="n"/>
      <c r="D185" s="14" t="n"/>
      <c r="E185" s="14" t="n"/>
      <c r="F185" s="20" t="n"/>
      <c r="G185" s="20" t="n"/>
      <c r="H185" s="14" t="n"/>
      <c r="I185" s="14" t="n"/>
      <c r="J185" s="14" t="n"/>
      <c r="K185" s="14" t="n"/>
      <c r="L185" s="14" t="n"/>
      <c r="M185" s="21">
        <f>ROUND(N(F185)*IFERROR(VLOOKUP(K185,'Tax Codes'!$A$5:$E$300,5,FALSE),0),2)</f>
        <v/>
      </c>
      <c r="N185" s="21">
        <f>ROUND(N(F185)*IFERROR(VLOOKUP(L185,'Tax Codes'!$A$5:$E$300,5,FALSE),0),2)</f>
        <v/>
      </c>
      <c r="O185" s="21">
        <f>IF(G185="",N(F185)+M185-N185,N(G185))</f>
        <v/>
      </c>
      <c r="P185" s="21">
        <f>N(F185)+M185-N185-O185</f>
        <v/>
      </c>
      <c r="Q185" s="16">
        <f>IF(C185="",INDEX('Chart of Accounts'!$A$5:$A$3000,MATCH("other_overhead",'Chart of Accounts'!$F$5:$F$3000,0)),C185&amp;"")</f>
        <v/>
      </c>
      <c r="R185" s="16">
        <f>IF(I185="",INDEX('Chart of Accounts'!$A$5:$A$3000,MATCH("bank",'Chart of Accounts'!$F$5:$F$3000,0)),I185&amp;"")</f>
        <v/>
      </c>
      <c r="S185" s="16">
        <f>IF(J185="",INDEX('Chart of Accounts'!$A$5:$A$3000,MATCH("ap",'Chart of Accounts'!$F$5:$F$3000,0)),J185&amp;"")</f>
        <v/>
      </c>
      <c r="T185" s="16">
        <f>INDEX('Chart of Accounts'!$A$5:$A$3000,MATCH("vat_input",'Chart of Accounts'!$F$5:$F$3000,0))</f>
        <v/>
      </c>
      <c r="U185" s="16">
        <f>INDEX('Chart of Accounts'!$A$5:$A$3000,MATCH("wht_payable",'Chart of Accounts'!$F$5:$F$3000,0))</f>
        <v/>
      </c>
      <c r="V185" s="23">
        <f>IFERROR(INDEX('Chart of Accounts'!$C$5:$C$3000,MATCH(Q185&amp;"",'Chart of Accounts'!$A$5:$A$3000,0))&amp;"|"&amp;INDEX('Chart of Accounts'!$D$5:$D$3000,MATCH(Q185&amp;"",'Chart of Accounts'!$A$5:$A$3000,0)),"")</f>
        <v/>
      </c>
      <c r="W185" s="23">
        <f>IFERROR(INDEX('Chart of Accounts'!$C$5:$C$3000,MATCH(T185&amp;"",'Chart of Accounts'!$A$5:$A$3000,0))&amp;"|"&amp;INDEX('Chart of Accounts'!$D$5:$D$3000,MATCH(T185&amp;"",'Chart of Accounts'!$A$5:$A$3000,0)),"")</f>
        <v/>
      </c>
      <c r="X185" s="23">
        <f>IFERROR(INDEX('Chart of Accounts'!$C$5:$C$3000,MATCH(R185&amp;"",'Chart of Accounts'!$A$5:$A$3000,0))&amp;"|"&amp;INDEX('Chart of Accounts'!$D$5:$D$3000,MATCH(R185&amp;"",'Chart of Accounts'!$A$5:$A$3000,0)),"")</f>
        <v/>
      </c>
      <c r="Y185" s="23">
        <f>IFERROR(INDEX('Chart of Accounts'!$C$5:$C$3000,MATCH(S185&amp;"",'Chart of Accounts'!$A$5:$A$3000,0))&amp;"|"&amp;INDEX('Chart of Accounts'!$D$5:$D$3000,MATCH(S185&amp;"",'Chart of Accounts'!$A$5:$A$3000,0)),"")</f>
        <v/>
      </c>
      <c r="Z185" s="23">
        <f>IFERROR(INDEX('Chart of Accounts'!$C$5:$C$3000,MATCH(U185&amp;"",'Chart of Accounts'!$A$5:$A$3000,0))&amp;"|"&amp;INDEX('Chart of Accounts'!$D$5:$D$3000,MATCH(U185&amp;"",'Chart of Accounts'!$A$5:$A$3000,0)),"")</f>
        <v/>
      </c>
      <c r="AA185" s="23">
        <f>IF(LEFT(V185,8)="Revenue|",-N(F185),0)+IF(LEFT(W185,8)="Revenue|",-N(M185),0)+IF(LEFT(X185,8)="Revenue|",N(O185),0)+IF(LEFT(Y185,8)="Revenue|",N(P185),0)+IF(LEFT(Z185,8)="Revenue|",N(N185),0)</f>
        <v/>
      </c>
      <c r="AB185" s="23">
        <f>IF(LEFT(V185,5)="COGS|",N(F185),0)+IF(LEFT(W185,5)="COGS|",N(M185),0)+IF(LEFT(X185,5)="COGS|",-N(O185),0)+IF(LEFT(Y185,5)="COGS|",-N(P185),0)+IF(LEFT(Z185,5)="COGS|",-N(N185),0)</f>
        <v/>
      </c>
      <c r="AC185" s="23">
        <f>IF(LEFT(V185,8)="Expense|",N(F185),0)+IF(LEFT(W185,8)="Expense|",N(M185),0)+IF(LEFT(X185,8)="Expense|",-N(O185),0)+IF(LEFT(Y185,8)="Expense|",-N(P185),0)+IF(LEFT(Z185,8)="Expense|",-N(N185),0)</f>
        <v/>
      </c>
      <c r="AD185" s="23">
        <f>IF(ISNUMBER(MATCH(V185,{"Expense|employee","Expense|general_admin","Expense|marketing","Expense|utilities","Expense|other_operating"},0)),N(F185),0)+IF(ISNUMBER(MATCH(W185,{"Expense|employee","Expense|general_admin","Expense|marketing","Expense|utilities","Expense|other_operating"},0)),N(M185),0)+IF(ISNUMBER(MATCH(X185,{"Expense|employee","Expense|general_admin","Expense|marketing","Expense|utilities","Expense|other_operating"},0)),-N(O185),0)+IF(ISNUMBER(MATCH(Y185,{"Expense|employee","Expense|general_admin","Expense|marketing","Expense|utilities","Expense|other_operating"},0)),-N(P185),0)+IF(ISNUMBER(MATCH(Z185,{"Expense|employee","Expense|general_admin","Expense|marketing","Expense|utilities","Expense|other_operating"},0)),-N(N185),0)</f>
        <v/>
      </c>
      <c r="AE185" s="23">
        <f>IF(V185="Liability|payable",-N(F185),0)+IF(W185="Liability|payable",-N(M185),0)+IF(X185="Liability|payable",N(O185),0)+IF(Y185="Liability|payable",N(P185),0)+IF(Z185="Liability|payable",N(N185),0)</f>
        <v/>
      </c>
      <c r="AF185" s="23">
        <f>IF(V185="Liability|accrued",-N(F185),0)+IF(W185="Liability|accrued",-N(M185),0)+IF(X185="Liability|accrued",N(O185),0)+IF(Y185="Liability|accrued",N(P185),0)+IF(Z185="Liability|accrued",N(N185),0)</f>
        <v/>
      </c>
      <c r="AG185" s="23">
        <f>IF(AND(N(F185)&lt;&gt;0,V185=""),1,0)+IF(AND(N(M185)&lt;&gt;0,W185=""),1,0)+IF(AND(N(O185)&lt;&gt;0,X185=""),1,0)+IF(AND(N(P185)&lt;&gt;0,Y185=""),1,0)+IF(AND(N(N185)&lt;&gt;0,Z185=""),1,0)</f>
        <v/>
      </c>
    </row>
    <row r="186">
      <c r="A186" s="19" t="n"/>
      <c r="B186" s="14" t="n"/>
      <c r="C186" s="14" t="n"/>
      <c r="D186" s="14" t="n"/>
      <c r="E186" s="14" t="n"/>
      <c r="F186" s="20" t="n"/>
      <c r="G186" s="20" t="n"/>
      <c r="H186" s="14" t="n"/>
      <c r="I186" s="14" t="n"/>
      <c r="J186" s="14" t="n"/>
      <c r="K186" s="14" t="n"/>
      <c r="L186" s="14" t="n"/>
      <c r="M186" s="21">
        <f>ROUND(N(F186)*IFERROR(VLOOKUP(K186,'Tax Codes'!$A$5:$E$300,5,FALSE),0),2)</f>
        <v/>
      </c>
      <c r="N186" s="21">
        <f>ROUND(N(F186)*IFERROR(VLOOKUP(L186,'Tax Codes'!$A$5:$E$300,5,FALSE),0),2)</f>
        <v/>
      </c>
      <c r="O186" s="21">
        <f>IF(G186="",N(F186)+M186-N186,N(G186))</f>
        <v/>
      </c>
      <c r="P186" s="21">
        <f>N(F186)+M186-N186-O186</f>
        <v/>
      </c>
      <c r="Q186" s="16">
        <f>IF(C186="",INDEX('Chart of Accounts'!$A$5:$A$3000,MATCH("other_overhead",'Chart of Accounts'!$F$5:$F$3000,0)),C186&amp;"")</f>
        <v/>
      </c>
      <c r="R186" s="16">
        <f>IF(I186="",INDEX('Chart of Accounts'!$A$5:$A$3000,MATCH("bank",'Chart of Accounts'!$F$5:$F$3000,0)),I186&amp;"")</f>
        <v/>
      </c>
      <c r="S186" s="16">
        <f>IF(J186="",INDEX('Chart of Accounts'!$A$5:$A$3000,MATCH("ap",'Chart of Accounts'!$F$5:$F$3000,0)),J186&amp;"")</f>
        <v/>
      </c>
      <c r="T186" s="16">
        <f>INDEX('Chart of Accounts'!$A$5:$A$3000,MATCH("vat_input",'Chart of Accounts'!$F$5:$F$3000,0))</f>
        <v/>
      </c>
      <c r="U186" s="16">
        <f>INDEX('Chart of Accounts'!$A$5:$A$3000,MATCH("wht_payable",'Chart of Accounts'!$F$5:$F$3000,0))</f>
        <v/>
      </c>
      <c r="V186" s="23">
        <f>IFERROR(INDEX('Chart of Accounts'!$C$5:$C$3000,MATCH(Q186&amp;"",'Chart of Accounts'!$A$5:$A$3000,0))&amp;"|"&amp;INDEX('Chart of Accounts'!$D$5:$D$3000,MATCH(Q186&amp;"",'Chart of Accounts'!$A$5:$A$3000,0)),"")</f>
        <v/>
      </c>
      <c r="W186" s="23">
        <f>IFERROR(INDEX('Chart of Accounts'!$C$5:$C$3000,MATCH(T186&amp;"",'Chart of Accounts'!$A$5:$A$3000,0))&amp;"|"&amp;INDEX('Chart of Accounts'!$D$5:$D$3000,MATCH(T186&amp;"",'Chart of Accounts'!$A$5:$A$3000,0)),"")</f>
        <v/>
      </c>
      <c r="X186" s="23">
        <f>IFERROR(INDEX('Chart of Accounts'!$C$5:$C$3000,MATCH(R186&amp;"",'Chart of Accounts'!$A$5:$A$3000,0))&amp;"|"&amp;INDEX('Chart of Accounts'!$D$5:$D$3000,MATCH(R186&amp;"",'Chart of Accounts'!$A$5:$A$3000,0)),"")</f>
        <v/>
      </c>
      <c r="Y186" s="23">
        <f>IFERROR(INDEX('Chart of Accounts'!$C$5:$C$3000,MATCH(S186&amp;"",'Chart of Accounts'!$A$5:$A$3000,0))&amp;"|"&amp;INDEX('Chart of Accounts'!$D$5:$D$3000,MATCH(S186&amp;"",'Chart of Accounts'!$A$5:$A$3000,0)),"")</f>
        <v/>
      </c>
      <c r="Z186" s="23">
        <f>IFERROR(INDEX('Chart of Accounts'!$C$5:$C$3000,MATCH(U186&amp;"",'Chart of Accounts'!$A$5:$A$3000,0))&amp;"|"&amp;INDEX('Chart of Accounts'!$D$5:$D$3000,MATCH(U186&amp;"",'Chart of Accounts'!$A$5:$A$3000,0)),"")</f>
        <v/>
      </c>
      <c r="AA186" s="23">
        <f>IF(LEFT(V186,8)="Revenue|",-N(F186),0)+IF(LEFT(W186,8)="Revenue|",-N(M186),0)+IF(LEFT(X186,8)="Revenue|",N(O186),0)+IF(LEFT(Y186,8)="Revenue|",N(P186),0)+IF(LEFT(Z186,8)="Revenue|",N(N186),0)</f>
        <v/>
      </c>
      <c r="AB186" s="23">
        <f>IF(LEFT(V186,5)="COGS|",N(F186),0)+IF(LEFT(W186,5)="COGS|",N(M186),0)+IF(LEFT(X186,5)="COGS|",-N(O186),0)+IF(LEFT(Y186,5)="COGS|",-N(P186),0)+IF(LEFT(Z186,5)="COGS|",-N(N186),0)</f>
        <v/>
      </c>
      <c r="AC186" s="23">
        <f>IF(LEFT(V186,8)="Expense|",N(F186),0)+IF(LEFT(W186,8)="Expense|",N(M186),0)+IF(LEFT(X186,8)="Expense|",-N(O186),0)+IF(LEFT(Y186,8)="Expense|",-N(P186),0)+IF(LEFT(Z186,8)="Expense|",-N(N186),0)</f>
        <v/>
      </c>
      <c r="AD186" s="23">
        <f>IF(ISNUMBER(MATCH(V186,{"Expense|employee","Expense|general_admin","Expense|marketing","Expense|utilities","Expense|other_operating"},0)),N(F186),0)+IF(ISNUMBER(MATCH(W186,{"Expense|employee","Expense|general_admin","Expense|marketing","Expense|utilities","Expense|other_operating"},0)),N(M186),0)+IF(ISNUMBER(MATCH(X186,{"Expense|employee","Expense|general_admin","Expense|marketing","Expense|utilities","Expense|other_operating"},0)),-N(O186),0)+IF(ISNUMBER(MATCH(Y186,{"Expense|employee","Expense|general_admin","Expense|marketing","Expense|utilities","Expense|other_operating"},0)),-N(P186),0)+IF(ISNUMBER(MATCH(Z186,{"Expense|employee","Expense|general_admin","Expense|marketing","Expense|utilities","Expense|other_operating"},0)),-N(N186),0)</f>
        <v/>
      </c>
      <c r="AE186" s="23">
        <f>IF(V186="Liability|payable",-N(F186),0)+IF(W186="Liability|payable",-N(M186),0)+IF(X186="Liability|payable",N(O186),0)+IF(Y186="Liability|payable",N(P186),0)+IF(Z186="Liability|payable",N(N186),0)</f>
        <v/>
      </c>
      <c r="AF186" s="23">
        <f>IF(V186="Liability|accrued",-N(F186),0)+IF(W186="Liability|accrued",-N(M186),0)+IF(X186="Liability|accrued",N(O186),0)+IF(Y186="Liability|accrued",N(P186),0)+IF(Z186="Liability|accrued",N(N186),0)</f>
        <v/>
      </c>
      <c r="AG186" s="23">
        <f>IF(AND(N(F186)&lt;&gt;0,V186=""),1,0)+IF(AND(N(M186)&lt;&gt;0,W186=""),1,0)+IF(AND(N(O186)&lt;&gt;0,X186=""),1,0)+IF(AND(N(P186)&lt;&gt;0,Y186=""),1,0)+IF(AND(N(N186)&lt;&gt;0,Z186=""),1,0)</f>
        <v/>
      </c>
    </row>
    <row r="187">
      <c r="A187" s="19" t="n"/>
      <c r="B187" s="14" t="n"/>
      <c r="C187" s="14" t="n"/>
      <c r="D187" s="14" t="n"/>
      <c r="E187" s="14" t="n"/>
      <c r="F187" s="20" t="n"/>
      <c r="G187" s="20" t="n"/>
      <c r="H187" s="14" t="n"/>
      <c r="I187" s="14" t="n"/>
      <c r="J187" s="14" t="n"/>
      <c r="K187" s="14" t="n"/>
      <c r="L187" s="14" t="n"/>
      <c r="M187" s="21">
        <f>ROUND(N(F187)*IFERROR(VLOOKUP(K187,'Tax Codes'!$A$5:$E$300,5,FALSE),0),2)</f>
        <v/>
      </c>
      <c r="N187" s="21">
        <f>ROUND(N(F187)*IFERROR(VLOOKUP(L187,'Tax Codes'!$A$5:$E$300,5,FALSE),0),2)</f>
        <v/>
      </c>
      <c r="O187" s="21">
        <f>IF(G187="",N(F187)+M187-N187,N(G187))</f>
        <v/>
      </c>
      <c r="P187" s="21">
        <f>N(F187)+M187-N187-O187</f>
        <v/>
      </c>
      <c r="Q187" s="16">
        <f>IF(C187="",INDEX('Chart of Accounts'!$A$5:$A$3000,MATCH("other_overhead",'Chart of Accounts'!$F$5:$F$3000,0)),C187&amp;"")</f>
        <v/>
      </c>
      <c r="R187" s="16">
        <f>IF(I187="",INDEX('Chart of Accounts'!$A$5:$A$3000,MATCH("bank",'Chart of Accounts'!$F$5:$F$3000,0)),I187&amp;"")</f>
        <v/>
      </c>
      <c r="S187" s="16">
        <f>IF(J187="",INDEX('Chart of Accounts'!$A$5:$A$3000,MATCH("ap",'Chart of Accounts'!$F$5:$F$3000,0)),J187&amp;"")</f>
        <v/>
      </c>
      <c r="T187" s="16">
        <f>INDEX('Chart of Accounts'!$A$5:$A$3000,MATCH("vat_input",'Chart of Accounts'!$F$5:$F$3000,0))</f>
        <v/>
      </c>
      <c r="U187" s="16">
        <f>INDEX('Chart of Accounts'!$A$5:$A$3000,MATCH("wht_payable",'Chart of Accounts'!$F$5:$F$3000,0))</f>
        <v/>
      </c>
      <c r="V187" s="23">
        <f>IFERROR(INDEX('Chart of Accounts'!$C$5:$C$3000,MATCH(Q187&amp;"",'Chart of Accounts'!$A$5:$A$3000,0))&amp;"|"&amp;INDEX('Chart of Accounts'!$D$5:$D$3000,MATCH(Q187&amp;"",'Chart of Accounts'!$A$5:$A$3000,0)),"")</f>
        <v/>
      </c>
      <c r="W187" s="23">
        <f>IFERROR(INDEX('Chart of Accounts'!$C$5:$C$3000,MATCH(T187&amp;"",'Chart of Accounts'!$A$5:$A$3000,0))&amp;"|"&amp;INDEX('Chart of Accounts'!$D$5:$D$3000,MATCH(T187&amp;"",'Chart of Accounts'!$A$5:$A$3000,0)),"")</f>
        <v/>
      </c>
      <c r="X187" s="23">
        <f>IFERROR(INDEX('Chart of Accounts'!$C$5:$C$3000,MATCH(R187&amp;"",'Chart of Accounts'!$A$5:$A$3000,0))&amp;"|"&amp;INDEX('Chart of Accounts'!$D$5:$D$3000,MATCH(R187&amp;"",'Chart of Accounts'!$A$5:$A$3000,0)),"")</f>
        <v/>
      </c>
      <c r="Y187" s="23">
        <f>IFERROR(INDEX('Chart of Accounts'!$C$5:$C$3000,MATCH(S187&amp;"",'Chart of Accounts'!$A$5:$A$3000,0))&amp;"|"&amp;INDEX('Chart of Accounts'!$D$5:$D$3000,MATCH(S187&amp;"",'Chart of Accounts'!$A$5:$A$3000,0)),"")</f>
        <v/>
      </c>
      <c r="Z187" s="23">
        <f>IFERROR(INDEX('Chart of Accounts'!$C$5:$C$3000,MATCH(U187&amp;"",'Chart of Accounts'!$A$5:$A$3000,0))&amp;"|"&amp;INDEX('Chart of Accounts'!$D$5:$D$3000,MATCH(U187&amp;"",'Chart of Accounts'!$A$5:$A$3000,0)),"")</f>
        <v/>
      </c>
      <c r="AA187" s="23">
        <f>IF(LEFT(V187,8)="Revenue|",-N(F187),0)+IF(LEFT(W187,8)="Revenue|",-N(M187),0)+IF(LEFT(X187,8)="Revenue|",N(O187),0)+IF(LEFT(Y187,8)="Revenue|",N(P187),0)+IF(LEFT(Z187,8)="Revenue|",N(N187),0)</f>
        <v/>
      </c>
      <c r="AB187" s="23">
        <f>IF(LEFT(V187,5)="COGS|",N(F187),0)+IF(LEFT(W187,5)="COGS|",N(M187),0)+IF(LEFT(X187,5)="COGS|",-N(O187),0)+IF(LEFT(Y187,5)="COGS|",-N(P187),0)+IF(LEFT(Z187,5)="COGS|",-N(N187),0)</f>
        <v/>
      </c>
      <c r="AC187" s="23">
        <f>IF(LEFT(V187,8)="Expense|",N(F187),0)+IF(LEFT(W187,8)="Expense|",N(M187),0)+IF(LEFT(X187,8)="Expense|",-N(O187),0)+IF(LEFT(Y187,8)="Expense|",-N(P187),0)+IF(LEFT(Z187,8)="Expense|",-N(N187),0)</f>
        <v/>
      </c>
      <c r="AD187" s="23">
        <f>IF(ISNUMBER(MATCH(V187,{"Expense|employee","Expense|general_admin","Expense|marketing","Expense|utilities","Expense|other_operating"},0)),N(F187),0)+IF(ISNUMBER(MATCH(W187,{"Expense|employee","Expense|general_admin","Expense|marketing","Expense|utilities","Expense|other_operating"},0)),N(M187),0)+IF(ISNUMBER(MATCH(X187,{"Expense|employee","Expense|general_admin","Expense|marketing","Expense|utilities","Expense|other_operating"},0)),-N(O187),0)+IF(ISNUMBER(MATCH(Y187,{"Expense|employee","Expense|general_admin","Expense|marketing","Expense|utilities","Expense|other_operating"},0)),-N(P187),0)+IF(ISNUMBER(MATCH(Z187,{"Expense|employee","Expense|general_admin","Expense|marketing","Expense|utilities","Expense|other_operating"},0)),-N(N187),0)</f>
        <v/>
      </c>
      <c r="AE187" s="23">
        <f>IF(V187="Liability|payable",-N(F187),0)+IF(W187="Liability|payable",-N(M187),0)+IF(X187="Liability|payable",N(O187),0)+IF(Y187="Liability|payable",N(P187),0)+IF(Z187="Liability|payable",N(N187),0)</f>
        <v/>
      </c>
      <c r="AF187" s="23">
        <f>IF(V187="Liability|accrued",-N(F187),0)+IF(W187="Liability|accrued",-N(M187),0)+IF(X187="Liability|accrued",N(O187),0)+IF(Y187="Liability|accrued",N(P187),0)+IF(Z187="Liability|accrued",N(N187),0)</f>
        <v/>
      </c>
      <c r="AG187" s="23">
        <f>IF(AND(N(F187)&lt;&gt;0,V187=""),1,0)+IF(AND(N(M187)&lt;&gt;0,W187=""),1,0)+IF(AND(N(O187)&lt;&gt;0,X187=""),1,0)+IF(AND(N(P187)&lt;&gt;0,Y187=""),1,0)+IF(AND(N(N187)&lt;&gt;0,Z187=""),1,0)</f>
        <v/>
      </c>
    </row>
    <row r="188">
      <c r="A188" s="19" t="n"/>
      <c r="B188" s="14" t="n"/>
      <c r="C188" s="14" t="n"/>
      <c r="D188" s="14" t="n"/>
      <c r="E188" s="14" t="n"/>
      <c r="F188" s="20" t="n"/>
      <c r="G188" s="20" t="n"/>
      <c r="H188" s="14" t="n"/>
      <c r="I188" s="14" t="n"/>
      <c r="J188" s="14" t="n"/>
      <c r="K188" s="14" t="n"/>
      <c r="L188" s="14" t="n"/>
      <c r="M188" s="21">
        <f>ROUND(N(F188)*IFERROR(VLOOKUP(K188,'Tax Codes'!$A$5:$E$300,5,FALSE),0),2)</f>
        <v/>
      </c>
      <c r="N188" s="21">
        <f>ROUND(N(F188)*IFERROR(VLOOKUP(L188,'Tax Codes'!$A$5:$E$300,5,FALSE),0),2)</f>
        <v/>
      </c>
      <c r="O188" s="21">
        <f>IF(G188="",N(F188)+M188-N188,N(G188))</f>
        <v/>
      </c>
      <c r="P188" s="21">
        <f>N(F188)+M188-N188-O188</f>
        <v/>
      </c>
      <c r="Q188" s="16">
        <f>IF(C188="",INDEX('Chart of Accounts'!$A$5:$A$3000,MATCH("other_overhead",'Chart of Accounts'!$F$5:$F$3000,0)),C188&amp;"")</f>
        <v/>
      </c>
      <c r="R188" s="16">
        <f>IF(I188="",INDEX('Chart of Accounts'!$A$5:$A$3000,MATCH("bank",'Chart of Accounts'!$F$5:$F$3000,0)),I188&amp;"")</f>
        <v/>
      </c>
      <c r="S188" s="16">
        <f>IF(J188="",INDEX('Chart of Accounts'!$A$5:$A$3000,MATCH("ap",'Chart of Accounts'!$F$5:$F$3000,0)),J188&amp;"")</f>
        <v/>
      </c>
      <c r="T188" s="16">
        <f>INDEX('Chart of Accounts'!$A$5:$A$3000,MATCH("vat_input",'Chart of Accounts'!$F$5:$F$3000,0))</f>
        <v/>
      </c>
      <c r="U188" s="16">
        <f>INDEX('Chart of Accounts'!$A$5:$A$3000,MATCH("wht_payable",'Chart of Accounts'!$F$5:$F$3000,0))</f>
        <v/>
      </c>
      <c r="V188" s="23">
        <f>IFERROR(INDEX('Chart of Accounts'!$C$5:$C$3000,MATCH(Q188&amp;"",'Chart of Accounts'!$A$5:$A$3000,0))&amp;"|"&amp;INDEX('Chart of Accounts'!$D$5:$D$3000,MATCH(Q188&amp;"",'Chart of Accounts'!$A$5:$A$3000,0)),"")</f>
        <v/>
      </c>
      <c r="W188" s="23">
        <f>IFERROR(INDEX('Chart of Accounts'!$C$5:$C$3000,MATCH(T188&amp;"",'Chart of Accounts'!$A$5:$A$3000,0))&amp;"|"&amp;INDEX('Chart of Accounts'!$D$5:$D$3000,MATCH(T188&amp;"",'Chart of Accounts'!$A$5:$A$3000,0)),"")</f>
        <v/>
      </c>
      <c r="X188" s="23">
        <f>IFERROR(INDEX('Chart of Accounts'!$C$5:$C$3000,MATCH(R188&amp;"",'Chart of Accounts'!$A$5:$A$3000,0))&amp;"|"&amp;INDEX('Chart of Accounts'!$D$5:$D$3000,MATCH(R188&amp;"",'Chart of Accounts'!$A$5:$A$3000,0)),"")</f>
        <v/>
      </c>
      <c r="Y188" s="23">
        <f>IFERROR(INDEX('Chart of Accounts'!$C$5:$C$3000,MATCH(S188&amp;"",'Chart of Accounts'!$A$5:$A$3000,0))&amp;"|"&amp;INDEX('Chart of Accounts'!$D$5:$D$3000,MATCH(S188&amp;"",'Chart of Accounts'!$A$5:$A$3000,0)),"")</f>
        <v/>
      </c>
      <c r="Z188" s="23">
        <f>IFERROR(INDEX('Chart of Accounts'!$C$5:$C$3000,MATCH(U188&amp;"",'Chart of Accounts'!$A$5:$A$3000,0))&amp;"|"&amp;INDEX('Chart of Accounts'!$D$5:$D$3000,MATCH(U188&amp;"",'Chart of Accounts'!$A$5:$A$3000,0)),"")</f>
        <v/>
      </c>
      <c r="AA188" s="23">
        <f>IF(LEFT(V188,8)="Revenue|",-N(F188),0)+IF(LEFT(W188,8)="Revenue|",-N(M188),0)+IF(LEFT(X188,8)="Revenue|",N(O188),0)+IF(LEFT(Y188,8)="Revenue|",N(P188),0)+IF(LEFT(Z188,8)="Revenue|",N(N188),0)</f>
        <v/>
      </c>
      <c r="AB188" s="23">
        <f>IF(LEFT(V188,5)="COGS|",N(F188),0)+IF(LEFT(W188,5)="COGS|",N(M188),0)+IF(LEFT(X188,5)="COGS|",-N(O188),0)+IF(LEFT(Y188,5)="COGS|",-N(P188),0)+IF(LEFT(Z188,5)="COGS|",-N(N188),0)</f>
        <v/>
      </c>
      <c r="AC188" s="23">
        <f>IF(LEFT(V188,8)="Expense|",N(F188),0)+IF(LEFT(W188,8)="Expense|",N(M188),0)+IF(LEFT(X188,8)="Expense|",-N(O188),0)+IF(LEFT(Y188,8)="Expense|",-N(P188),0)+IF(LEFT(Z188,8)="Expense|",-N(N188),0)</f>
        <v/>
      </c>
      <c r="AD188" s="23">
        <f>IF(ISNUMBER(MATCH(V188,{"Expense|employee","Expense|general_admin","Expense|marketing","Expense|utilities","Expense|other_operating"},0)),N(F188),0)+IF(ISNUMBER(MATCH(W188,{"Expense|employee","Expense|general_admin","Expense|marketing","Expense|utilities","Expense|other_operating"},0)),N(M188),0)+IF(ISNUMBER(MATCH(X188,{"Expense|employee","Expense|general_admin","Expense|marketing","Expense|utilities","Expense|other_operating"},0)),-N(O188),0)+IF(ISNUMBER(MATCH(Y188,{"Expense|employee","Expense|general_admin","Expense|marketing","Expense|utilities","Expense|other_operating"},0)),-N(P188),0)+IF(ISNUMBER(MATCH(Z188,{"Expense|employee","Expense|general_admin","Expense|marketing","Expense|utilities","Expense|other_operating"},0)),-N(N188),0)</f>
        <v/>
      </c>
      <c r="AE188" s="23">
        <f>IF(V188="Liability|payable",-N(F188),0)+IF(W188="Liability|payable",-N(M188),0)+IF(X188="Liability|payable",N(O188),0)+IF(Y188="Liability|payable",N(P188),0)+IF(Z188="Liability|payable",N(N188),0)</f>
        <v/>
      </c>
      <c r="AF188" s="23">
        <f>IF(V188="Liability|accrued",-N(F188),0)+IF(W188="Liability|accrued",-N(M188),0)+IF(X188="Liability|accrued",N(O188),0)+IF(Y188="Liability|accrued",N(P188),0)+IF(Z188="Liability|accrued",N(N188),0)</f>
        <v/>
      </c>
      <c r="AG188" s="23">
        <f>IF(AND(N(F188)&lt;&gt;0,V188=""),1,0)+IF(AND(N(M188)&lt;&gt;0,W188=""),1,0)+IF(AND(N(O188)&lt;&gt;0,X188=""),1,0)+IF(AND(N(P188)&lt;&gt;0,Y188=""),1,0)+IF(AND(N(N188)&lt;&gt;0,Z188=""),1,0)</f>
        <v/>
      </c>
    </row>
    <row r="189">
      <c r="A189" s="19" t="n"/>
      <c r="B189" s="14" t="n"/>
      <c r="C189" s="14" t="n"/>
      <c r="D189" s="14" t="n"/>
      <c r="E189" s="14" t="n"/>
      <c r="F189" s="20" t="n"/>
      <c r="G189" s="20" t="n"/>
      <c r="H189" s="14" t="n"/>
      <c r="I189" s="14" t="n"/>
      <c r="J189" s="14" t="n"/>
      <c r="K189" s="14" t="n"/>
      <c r="L189" s="14" t="n"/>
      <c r="M189" s="21">
        <f>ROUND(N(F189)*IFERROR(VLOOKUP(K189,'Tax Codes'!$A$5:$E$300,5,FALSE),0),2)</f>
        <v/>
      </c>
      <c r="N189" s="21">
        <f>ROUND(N(F189)*IFERROR(VLOOKUP(L189,'Tax Codes'!$A$5:$E$300,5,FALSE),0),2)</f>
        <v/>
      </c>
      <c r="O189" s="21">
        <f>IF(G189="",N(F189)+M189-N189,N(G189))</f>
        <v/>
      </c>
      <c r="P189" s="21">
        <f>N(F189)+M189-N189-O189</f>
        <v/>
      </c>
      <c r="Q189" s="16">
        <f>IF(C189="",INDEX('Chart of Accounts'!$A$5:$A$3000,MATCH("other_overhead",'Chart of Accounts'!$F$5:$F$3000,0)),C189&amp;"")</f>
        <v/>
      </c>
      <c r="R189" s="16">
        <f>IF(I189="",INDEX('Chart of Accounts'!$A$5:$A$3000,MATCH("bank",'Chart of Accounts'!$F$5:$F$3000,0)),I189&amp;"")</f>
        <v/>
      </c>
      <c r="S189" s="16">
        <f>IF(J189="",INDEX('Chart of Accounts'!$A$5:$A$3000,MATCH("ap",'Chart of Accounts'!$F$5:$F$3000,0)),J189&amp;"")</f>
        <v/>
      </c>
      <c r="T189" s="16">
        <f>INDEX('Chart of Accounts'!$A$5:$A$3000,MATCH("vat_input",'Chart of Accounts'!$F$5:$F$3000,0))</f>
        <v/>
      </c>
      <c r="U189" s="16">
        <f>INDEX('Chart of Accounts'!$A$5:$A$3000,MATCH("wht_payable",'Chart of Accounts'!$F$5:$F$3000,0))</f>
        <v/>
      </c>
      <c r="V189" s="23">
        <f>IFERROR(INDEX('Chart of Accounts'!$C$5:$C$3000,MATCH(Q189&amp;"",'Chart of Accounts'!$A$5:$A$3000,0))&amp;"|"&amp;INDEX('Chart of Accounts'!$D$5:$D$3000,MATCH(Q189&amp;"",'Chart of Accounts'!$A$5:$A$3000,0)),"")</f>
        <v/>
      </c>
      <c r="W189" s="23">
        <f>IFERROR(INDEX('Chart of Accounts'!$C$5:$C$3000,MATCH(T189&amp;"",'Chart of Accounts'!$A$5:$A$3000,0))&amp;"|"&amp;INDEX('Chart of Accounts'!$D$5:$D$3000,MATCH(T189&amp;"",'Chart of Accounts'!$A$5:$A$3000,0)),"")</f>
        <v/>
      </c>
      <c r="X189" s="23">
        <f>IFERROR(INDEX('Chart of Accounts'!$C$5:$C$3000,MATCH(R189&amp;"",'Chart of Accounts'!$A$5:$A$3000,0))&amp;"|"&amp;INDEX('Chart of Accounts'!$D$5:$D$3000,MATCH(R189&amp;"",'Chart of Accounts'!$A$5:$A$3000,0)),"")</f>
        <v/>
      </c>
      <c r="Y189" s="23">
        <f>IFERROR(INDEX('Chart of Accounts'!$C$5:$C$3000,MATCH(S189&amp;"",'Chart of Accounts'!$A$5:$A$3000,0))&amp;"|"&amp;INDEX('Chart of Accounts'!$D$5:$D$3000,MATCH(S189&amp;"",'Chart of Accounts'!$A$5:$A$3000,0)),"")</f>
        <v/>
      </c>
      <c r="Z189" s="23">
        <f>IFERROR(INDEX('Chart of Accounts'!$C$5:$C$3000,MATCH(U189&amp;"",'Chart of Accounts'!$A$5:$A$3000,0))&amp;"|"&amp;INDEX('Chart of Accounts'!$D$5:$D$3000,MATCH(U189&amp;"",'Chart of Accounts'!$A$5:$A$3000,0)),"")</f>
        <v/>
      </c>
      <c r="AA189" s="23">
        <f>IF(LEFT(V189,8)="Revenue|",-N(F189),0)+IF(LEFT(W189,8)="Revenue|",-N(M189),0)+IF(LEFT(X189,8)="Revenue|",N(O189),0)+IF(LEFT(Y189,8)="Revenue|",N(P189),0)+IF(LEFT(Z189,8)="Revenue|",N(N189),0)</f>
        <v/>
      </c>
      <c r="AB189" s="23">
        <f>IF(LEFT(V189,5)="COGS|",N(F189),0)+IF(LEFT(W189,5)="COGS|",N(M189),0)+IF(LEFT(X189,5)="COGS|",-N(O189),0)+IF(LEFT(Y189,5)="COGS|",-N(P189),0)+IF(LEFT(Z189,5)="COGS|",-N(N189),0)</f>
        <v/>
      </c>
      <c r="AC189" s="23">
        <f>IF(LEFT(V189,8)="Expense|",N(F189),0)+IF(LEFT(W189,8)="Expense|",N(M189),0)+IF(LEFT(X189,8)="Expense|",-N(O189),0)+IF(LEFT(Y189,8)="Expense|",-N(P189),0)+IF(LEFT(Z189,8)="Expense|",-N(N189),0)</f>
        <v/>
      </c>
      <c r="AD189" s="23">
        <f>IF(ISNUMBER(MATCH(V189,{"Expense|employee","Expense|general_admin","Expense|marketing","Expense|utilities","Expense|other_operating"},0)),N(F189),0)+IF(ISNUMBER(MATCH(W189,{"Expense|employee","Expense|general_admin","Expense|marketing","Expense|utilities","Expense|other_operating"},0)),N(M189),0)+IF(ISNUMBER(MATCH(X189,{"Expense|employee","Expense|general_admin","Expense|marketing","Expense|utilities","Expense|other_operating"},0)),-N(O189),0)+IF(ISNUMBER(MATCH(Y189,{"Expense|employee","Expense|general_admin","Expense|marketing","Expense|utilities","Expense|other_operating"},0)),-N(P189),0)+IF(ISNUMBER(MATCH(Z189,{"Expense|employee","Expense|general_admin","Expense|marketing","Expense|utilities","Expense|other_operating"},0)),-N(N189),0)</f>
        <v/>
      </c>
      <c r="AE189" s="23">
        <f>IF(V189="Liability|payable",-N(F189),0)+IF(W189="Liability|payable",-N(M189),0)+IF(X189="Liability|payable",N(O189),0)+IF(Y189="Liability|payable",N(P189),0)+IF(Z189="Liability|payable",N(N189),0)</f>
        <v/>
      </c>
      <c r="AF189" s="23">
        <f>IF(V189="Liability|accrued",-N(F189),0)+IF(W189="Liability|accrued",-N(M189),0)+IF(X189="Liability|accrued",N(O189),0)+IF(Y189="Liability|accrued",N(P189),0)+IF(Z189="Liability|accrued",N(N189),0)</f>
        <v/>
      </c>
      <c r="AG189" s="23">
        <f>IF(AND(N(F189)&lt;&gt;0,V189=""),1,0)+IF(AND(N(M189)&lt;&gt;0,W189=""),1,0)+IF(AND(N(O189)&lt;&gt;0,X189=""),1,0)+IF(AND(N(P189)&lt;&gt;0,Y189=""),1,0)+IF(AND(N(N189)&lt;&gt;0,Z189=""),1,0)</f>
        <v/>
      </c>
    </row>
    <row r="190">
      <c r="A190" s="19" t="n"/>
      <c r="B190" s="14" t="n"/>
      <c r="C190" s="14" t="n"/>
      <c r="D190" s="14" t="n"/>
      <c r="E190" s="14" t="n"/>
      <c r="F190" s="20" t="n"/>
      <c r="G190" s="20" t="n"/>
      <c r="H190" s="14" t="n"/>
      <c r="I190" s="14" t="n"/>
      <c r="J190" s="14" t="n"/>
      <c r="K190" s="14" t="n"/>
      <c r="L190" s="14" t="n"/>
      <c r="M190" s="21">
        <f>ROUND(N(F190)*IFERROR(VLOOKUP(K190,'Tax Codes'!$A$5:$E$300,5,FALSE),0),2)</f>
        <v/>
      </c>
      <c r="N190" s="21">
        <f>ROUND(N(F190)*IFERROR(VLOOKUP(L190,'Tax Codes'!$A$5:$E$300,5,FALSE),0),2)</f>
        <v/>
      </c>
      <c r="O190" s="21">
        <f>IF(G190="",N(F190)+M190-N190,N(G190))</f>
        <v/>
      </c>
      <c r="P190" s="21">
        <f>N(F190)+M190-N190-O190</f>
        <v/>
      </c>
      <c r="Q190" s="16">
        <f>IF(C190="",INDEX('Chart of Accounts'!$A$5:$A$3000,MATCH("other_overhead",'Chart of Accounts'!$F$5:$F$3000,0)),C190&amp;"")</f>
        <v/>
      </c>
      <c r="R190" s="16">
        <f>IF(I190="",INDEX('Chart of Accounts'!$A$5:$A$3000,MATCH("bank",'Chart of Accounts'!$F$5:$F$3000,0)),I190&amp;"")</f>
        <v/>
      </c>
      <c r="S190" s="16">
        <f>IF(J190="",INDEX('Chart of Accounts'!$A$5:$A$3000,MATCH("ap",'Chart of Accounts'!$F$5:$F$3000,0)),J190&amp;"")</f>
        <v/>
      </c>
      <c r="T190" s="16">
        <f>INDEX('Chart of Accounts'!$A$5:$A$3000,MATCH("vat_input",'Chart of Accounts'!$F$5:$F$3000,0))</f>
        <v/>
      </c>
      <c r="U190" s="16">
        <f>INDEX('Chart of Accounts'!$A$5:$A$3000,MATCH("wht_payable",'Chart of Accounts'!$F$5:$F$3000,0))</f>
        <v/>
      </c>
      <c r="V190" s="23">
        <f>IFERROR(INDEX('Chart of Accounts'!$C$5:$C$3000,MATCH(Q190&amp;"",'Chart of Accounts'!$A$5:$A$3000,0))&amp;"|"&amp;INDEX('Chart of Accounts'!$D$5:$D$3000,MATCH(Q190&amp;"",'Chart of Accounts'!$A$5:$A$3000,0)),"")</f>
        <v/>
      </c>
      <c r="W190" s="23">
        <f>IFERROR(INDEX('Chart of Accounts'!$C$5:$C$3000,MATCH(T190&amp;"",'Chart of Accounts'!$A$5:$A$3000,0))&amp;"|"&amp;INDEX('Chart of Accounts'!$D$5:$D$3000,MATCH(T190&amp;"",'Chart of Accounts'!$A$5:$A$3000,0)),"")</f>
        <v/>
      </c>
      <c r="X190" s="23">
        <f>IFERROR(INDEX('Chart of Accounts'!$C$5:$C$3000,MATCH(R190&amp;"",'Chart of Accounts'!$A$5:$A$3000,0))&amp;"|"&amp;INDEX('Chart of Accounts'!$D$5:$D$3000,MATCH(R190&amp;"",'Chart of Accounts'!$A$5:$A$3000,0)),"")</f>
        <v/>
      </c>
      <c r="Y190" s="23">
        <f>IFERROR(INDEX('Chart of Accounts'!$C$5:$C$3000,MATCH(S190&amp;"",'Chart of Accounts'!$A$5:$A$3000,0))&amp;"|"&amp;INDEX('Chart of Accounts'!$D$5:$D$3000,MATCH(S190&amp;"",'Chart of Accounts'!$A$5:$A$3000,0)),"")</f>
        <v/>
      </c>
      <c r="Z190" s="23">
        <f>IFERROR(INDEX('Chart of Accounts'!$C$5:$C$3000,MATCH(U190&amp;"",'Chart of Accounts'!$A$5:$A$3000,0))&amp;"|"&amp;INDEX('Chart of Accounts'!$D$5:$D$3000,MATCH(U190&amp;"",'Chart of Accounts'!$A$5:$A$3000,0)),"")</f>
        <v/>
      </c>
      <c r="AA190" s="23">
        <f>IF(LEFT(V190,8)="Revenue|",-N(F190),0)+IF(LEFT(W190,8)="Revenue|",-N(M190),0)+IF(LEFT(X190,8)="Revenue|",N(O190),0)+IF(LEFT(Y190,8)="Revenue|",N(P190),0)+IF(LEFT(Z190,8)="Revenue|",N(N190),0)</f>
        <v/>
      </c>
      <c r="AB190" s="23">
        <f>IF(LEFT(V190,5)="COGS|",N(F190),0)+IF(LEFT(W190,5)="COGS|",N(M190),0)+IF(LEFT(X190,5)="COGS|",-N(O190),0)+IF(LEFT(Y190,5)="COGS|",-N(P190),0)+IF(LEFT(Z190,5)="COGS|",-N(N190),0)</f>
        <v/>
      </c>
      <c r="AC190" s="23">
        <f>IF(LEFT(V190,8)="Expense|",N(F190),0)+IF(LEFT(W190,8)="Expense|",N(M190),0)+IF(LEFT(X190,8)="Expense|",-N(O190),0)+IF(LEFT(Y190,8)="Expense|",-N(P190),0)+IF(LEFT(Z190,8)="Expense|",-N(N190),0)</f>
        <v/>
      </c>
      <c r="AD190" s="23">
        <f>IF(ISNUMBER(MATCH(V190,{"Expense|employee","Expense|general_admin","Expense|marketing","Expense|utilities","Expense|other_operating"},0)),N(F190),0)+IF(ISNUMBER(MATCH(W190,{"Expense|employee","Expense|general_admin","Expense|marketing","Expense|utilities","Expense|other_operating"},0)),N(M190),0)+IF(ISNUMBER(MATCH(X190,{"Expense|employee","Expense|general_admin","Expense|marketing","Expense|utilities","Expense|other_operating"},0)),-N(O190),0)+IF(ISNUMBER(MATCH(Y190,{"Expense|employee","Expense|general_admin","Expense|marketing","Expense|utilities","Expense|other_operating"},0)),-N(P190),0)+IF(ISNUMBER(MATCH(Z190,{"Expense|employee","Expense|general_admin","Expense|marketing","Expense|utilities","Expense|other_operating"},0)),-N(N190),0)</f>
        <v/>
      </c>
      <c r="AE190" s="23">
        <f>IF(V190="Liability|payable",-N(F190),0)+IF(W190="Liability|payable",-N(M190),0)+IF(X190="Liability|payable",N(O190),0)+IF(Y190="Liability|payable",N(P190),0)+IF(Z190="Liability|payable",N(N190),0)</f>
        <v/>
      </c>
      <c r="AF190" s="23">
        <f>IF(V190="Liability|accrued",-N(F190),0)+IF(W190="Liability|accrued",-N(M190),0)+IF(X190="Liability|accrued",N(O190),0)+IF(Y190="Liability|accrued",N(P190),0)+IF(Z190="Liability|accrued",N(N190),0)</f>
        <v/>
      </c>
      <c r="AG190" s="23">
        <f>IF(AND(N(F190)&lt;&gt;0,V190=""),1,0)+IF(AND(N(M190)&lt;&gt;0,W190=""),1,0)+IF(AND(N(O190)&lt;&gt;0,X190=""),1,0)+IF(AND(N(P190)&lt;&gt;0,Y190=""),1,0)+IF(AND(N(N190)&lt;&gt;0,Z190=""),1,0)</f>
        <v/>
      </c>
    </row>
    <row r="191">
      <c r="A191" s="19" t="n"/>
      <c r="B191" s="14" t="n"/>
      <c r="C191" s="14" t="n"/>
      <c r="D191" s="14" t="n"/>
      <c r="E191" s="14" t="n"/>
      <c r="F191" s="20" t="n"/>
      <c r="G191" s="20" t="n"/>
      <c r="H191" s="14" t="n"/>
      <c r="I191" s="14" t="n"/>
      <c r="J191" s="14" t="n"/>
      <c r="K191" s="14" t="n"/>
      <c r="L191" s="14" t="n"/>
      <c r="M191" s="21">
        <f>ROUND(N(F191)*IFERROR(VLOOKUP(K191,'Tax Codes'!$A$5:$E$300,5,FALSE),0),2)</f>
        <v/>
      </c>
      <c r="N191" s="21">
        <f>ROUND(N(F191)*IFERROR(VLOOKUP(L191,'Tax Codes'!$A$5:$E$300,5,FALSE),0),2)</f>
        <v/>
      </c>
      <c r="O191" s="21">
        <f>IF(G191="",N(F191)+M191-N191,N(G191))</f>
        <v/>
      </c>
      <c r="P191" s="21">
        <f>N(F191)+M191-N191-O191</f>
        <v/>
      </c>
      <c r="Q191" s="16">
        <f>IF(C191="",INDEX('Chart of Accounts'!$A$5:$A$3000,MATCH("other_overhead",'Chart of Accounts'!$F$5:$F$3000,0)),C191&amp;"")</f>
        <v/>
      </c>
      <c r="R191" s="16">
        <f>IF(I191="",INDEX('Chart of Accounts'!$A$5:$A$3000,MATCH("bank",'Chart of Accounts'!$F$5:$F$3000,0)),I191&amp;"")</f>
        <v/>
      </c>
      <c r="S191" s="16">
        <f>IF(J191="",INDEX('Chart of Accounts'!$A$5:$A$3000,MATCH("ap",'Chart of Accounts'!$F$5:$F$3000,0)),J191&amp;"")</f>
        <v/>
      </c>
      <c r="T191" s="16">
        <f>INDEX('Chart of Accounts'!$A$5:$A$3000,MATCH("vat_input",'Chart of Accounts'!$F$5:$F$3000,0))</f>
        <v/>
      </c>
      <c r="U191" s="16">
        <f>INDEX('Chart of Accounts'!$A$5:$A$3000,MATCH("wht_payable",'Chart of Accounts'!$F$5:$F$3000,0))</f>
        <v/>
      </c>
      <c r="V191" s="23">
        <f>IFERROR(INDEX('Chart of Accounts'!$C$5:$C$3000,MATCH(Q191&amp;"",'Chart of Accounts'!$A$5:$A$3000,0))&amp;"|"&amp;INDEX('Chart of Accounts'!$D$5:$D$3000,MATCH(Q191&amp;"",'Chart of Accounts'!$A$5:$A$3000,0)),"")</f>
        <v/>
      </c>
      <c r="W191" s="23">
        <f>IFERROR(INDEX('Chart of Accounts'!$C$5:$C$3000,MATCH(T191&amp;"",'Chart of Accounts'!$A$5:$A$3000,0))&amp;"|"&amp;INDEX('Chart of Accounts'!$D$5:$D$3000,MATCH(T191&amp;"",'Chart of Accounts'!$A$5:$A$3000,0)),"")</f>
        <v/>
      </c>
      <c r="X191" s="23">
        <f>IFERROR(INDEX('Chart of Accounts'!$C$5:$C$3000,MATCH(R191&amp;"",'Chart of Accounts'!$A$5:$A$3000,0))&amp;"|"&amp;INDEX('Chart of Accounts'!$D$5:$D$3000,MATCH(R191&amp;"",'Chart of Accounts'!$A$5:$A$3000,0)),"")</f>
        <v/>
      </c>
      <c r="Y191" s="23">
        <f>IFERROR(INDEX('Chart of Accounts'!$C$5:$C$3000,MATCH(S191&amp;"",'Chart of Accounts'!$A$5:$A$3000,0))&amp;"|"&amp;INDEX('Chart of Accounts'!$D$5:$D$3000,MATCH(S191&amp;"",'Chart of Accounts'!$A$5:$A$3000,0)),"")</f>
        <v/>
      </c>
      <c r="Z191" s="23">
        <f>IFERROR(INDEX('Chart of Accounts'!$C$5:$C$3000,MATCH(U191&amp;"",'Chart of Accounts'!$A$5:$A$3000,0))&amp;"|"&amp;INDEX('Chart of Accounts'!$D$5:$D$3000,MATCH(U191&amp;"",'Chart of Accounts'!$A$5:$A$3000,0)),"")</f>
        <v/>
      </c>
      <c r="AA191" s="23">
        <f>IF(LEFT(V191,8)="Revenue|",-N(F191),0)+IF(LEFT(W191,8)="Revenue|",-N(M191),0)+IF(LEFT(X191,8)="Revenue|",N(O191),0)+IF(LEFT(Y191,8)="Revenue|",N(P191),0)+IF(LEFT(Z191,8)="Revenue|",N(N191),0)</f>
        <v/>
      </c>
      <c r="AB191" s="23">
        <f>IF(LEFT(V191,5)="COGS|",N(F191),0)+IF(LEFT(W191,5)="COGS|",N(M191),0)+IF(LEFT(X191,5)="COGS|",-N(O191),0)+IF(LEFT(Y191,5)="COGS|",-N(P191),0)+IF(LEFT(Z191,5)="COGS|",-N(N191),0)</f>
        <v/>
      </c>
      <c r="AC191" s="23">
        <f>IF(LEFT(V191,8)="Expense|",N(F191),0)+IF(LEFT(W191,8)="Expense|",N(M191),0)+IF(LEFT(X191,8)="Expense|",-N(O191),0)+IF(LEFT(Y191,8)="Expense|",-N(P191),0)+IF(LEFT(Z191,8)="Expense|",-N(N191),0)</f>
        <v/>
      </c>
      <c r="AD191" s="23">
        <f>IF(ISNUMBER(MATCH(V191,{"Expense|employee","Expense|general_admin","Expense|marketing","Expense|utilities","Expense|other_operating"},0)),N(F191),0)+IF(ISNUMBER(MATCH(W191,{"Expense|employee","Expense|general_admin","Expense|marketing","Expense|utilities","Expense|other_operating"},0)),N(M191),0)+IF(ISNUMBER(MATCH(X191,{"Expense|employee","Expense|general_admin","Expense|marketing","Expense|utilities","Expense|other_operating"},0)),-N(O191),0)+IF(ISNUMBER(MATCH(Y191,{"Expense|employee","Expense|general_admin","Expense|marketing","Expense|utilities","Expense|other_operating"},0)),-N(P191),0)+IF(ISNUMBER(MATCH(Z191,{"Expense|employee","Expense|general_admin","Expense|marketing","Expense|utilities","Expense|other_operating"},0)),-N(N191),0)</f>
        <v/>
      </c>
      <c r="AE191" s="23">
        <f>IF(V191="Liability|payable",-N(F191),0)+IF(W191="Liability|payable",-N(M191),0)+IF(X191="Liability|payable",N(O191),0)+IF(Y191="Liability|payable",N(P191),0)+IF(Z191="Liability|payable",N(N191),0)</f>
        <v/>
      </c>
      <c r="AF191" s="23">
        <f>IF(V191="Liability|accrued",-N(F191),0)+IF(W191="Liability|accrued",-N(M191),0)+IF(X191="Liability|accrued",N(O191),0)+IF(Y191="Liability|accrued",N(P191),0)+IF(Z191="Liability|accrued",N(N191),0)</f>
        <v/>
      </c>
      <c r="AG191" s="23">
        <f>IF(AND(N(F191)&lt;&gt;0,V191=""),1,0)+IF(AND(N(M191)&lt;&gt;0,W191=""),1,0)+IF(AND(N(O191)&lt;&gt;0,X191=""),1,0)+IF(AND(N(P191)&lt;&gt;0,Y191=""),1,0)+IF(AND(N(N191)&lt;&gt;0,Z191=""),1,0)</f>
        <v/>
      </c>
    </row>
    <row r="192">
      <c r="A192" s="19" t="n"/>
      <c r="B192" s="14" t="n"/>
      <c r="C192" s="14" t="n"/>
      <c r="D192" s="14" t="n"/>
      <c r="E192" s="14" t="n"/>
      <c r="F192" s="20" t="n"/>
      <c r="G192" s="20" t="n"/>
      <c r="H192" s="14" t="n"/>
      <c r="I192" s="14" t="n"/>
      <c r="J192" s="14" t="n"/>
      <c r="K192" s="14" t="n"/>
      <c r="L192" s="14" t="n"/>
      <c r="M192" s="21">
        <f>ROUND(N(F192)*IFERROR(VLOOKUP(K192,'Tax Codes'!$A$5:$E$300,5,FALSE),0),2)</f>
        <v/>
      </c>
      <c r="N192" s="21">
        <f>ROUND(N(F192)*IFERROR(VLOOKUP(L192,'Tax Codes'!$A$5:$E$300,5,FALSE),0),2)</f>
        <v/>
      </c>
      <c r="O192" s="21">
        <f>IF(G192="",N(F192)+M192-N192,N(G192))</f>
        <v/>
      </c>
      <c r="P192" s="21">
        <f>N(F192)+M192-N192-O192</f>
        <v/>
      </c>
      <c r="Q192" s="16">
        <f>IF(C192="",INDEX('Chart of Accounts'!$A$5:$A$3000,MATCH("other_overhead",'Chart of Accounts'!$F$5:$F$3000,0)),C192&amp;"")</f>
        <v/>
      </c>
      <c r="R192" s="16">
        <f>IF(I192="",INDEX('Chart of Accounts'!$A$5:$A$3000,MATCH("bank",'Chart of Accounts'!$F$5:$F$3000,0)),I192&amp;"")</f>
        <v/>
      </c>
      <c r="S192" s="16">
        <f>IF(J192="",INDEX('Chart of Accounts'!$A$5:$A$3000,MATCH("ap",'Chart of Accounts'!$F$5:$F$3000,0)),J192&amp;"")</f>
        <v/>
      </c>
      <c r="T192" s="16">
        <f>INDEX('Chart of Accounts'!$A$5:$A$3000,MATCH("vat_input",'Chart of Accounts'!$F$5:$F$3000,0))</f>
        <v/>
      </c>
      <c r="U192" s="16">
        <f>INDEX('Chart of Accounts'!$A$5:$A$3000,MATCH("wht_payable",'Chart of Accounts'!$F$5:$F$3000,0))</f>
        <v/>
      </c>
      <c r="V192" s="23">
        <f>IFERROR(INDEX('Chart of Accounts'!$C$5:$C$3000,MATCH(Q192&amp;"",'Chart of Accounts'!$A$5:$A$3000,0))&amp;"|"&amp;INDEX('Chart of Accounts'!$D$5:$D$3000,MATCH(Q192&amp;"",'Chart of Accounts'!$A$5:$A$3000,0)),"")</f>
        <v/>
      </c>
      <c r="W192" s="23">
        <f>IFERROR(INDEX('Chart of Accounts'!$C$5:$C$3000,MATCH(T192&amp;"",'Chart of Accounts'!$A$5:$A$3000,0))&amp;"|"&amp;INDEX('Chart of Accounts'!$D$5:$D$3000,MATCH(T192&amp;"",'Chart of Accounts'!$A$5:$A$3000,0)),"")</f>
        <v/>
      </c>
      <c r="X192" s="23">
        <f>IFERROR(INDEX('Chart of Accounts'!$C$5:$C$3000,MATCH(R192&amp;"",'Chart of Accounts'!$A$5:$A$3000,0))&amp;"|"&amp;INDEX('Chart of Accounts'!$D$5:$D$3000,MATCH(R192&amp;"",'Chart of Accounts'!$A$5:$A$3000,0)),"")</f>
        <v/>
      </c>
      <c r="Y192" s="23">
        <f>IFERROR(INDEX('Chart of Accounts'!$C$5:$C$3000,MATCH(S192&amp;"",'Chart of Accounts'!$A$5:$A$3000,0))&amp;"|"&amp;INDEX('Chart of Accounts'!$D$5:$D$3000,MATCH(S192&amp;"",'Chart of Accounts'!$A$5:$A$3000,0)),"")</f>
        <v/>
      </c>
      <c r="Z192" s="23">
        <f>IFERROR(INDEX('Chart of Accounts'!$C$5:$C$3000,MATCH(U192&amp;"",'Chart of Accounts'!$A$5:$A$3000,0))&amp;"|"&amp;INDEX('Chart of Accounts'!$D$5:$D$3000,MATCH(U192&amp;"",'Chart of Accounts'!$A$5:$A$3000,0)),"")</f>
        <v/>
      </c>
      <c r="AA192" s="23">
        <f>IF(LEFT(V192,8)="Revenue|",-N(F192),0)+IF(LEFT(W192,8)="Revenue|",-N(M192),0)+IF(LEFT(X192,8)="Revenue|",N(O192),0)+IF(LEFT(Y192,8)="Revenue|",N(P192),0)+IF(LEFT(Z192,8)="Revenue|",N(N192),0)</f>
        <v/>
      </c>
      <c r="AB192" s="23">
        <f>IF(LEFT(V192,5)="COGS|",N(F192),0)+IF(LEFT(W192,5)="COGS|",N(M192),0)+IF(LEFT(X192,5)="COGS|",-N(O192),0)+IF(LEFT(Y192,5)="COGS|",-N(P192),0)+IF(LEFT(Z192,5)="COGS|",-N(N192),0)</f>
        <v/>
      </c>
      <c r="AC192" s="23">
        <f>IF(LEFT(V192,8)="Expense|",N(F192),0)+IF(LEFT(W192,8)="Expense|",N(M192),0)+IF(LEFT(X192,8)="Expense|",-N(O192),0)+IF(LEFT(Y192,8)="Expense|",-N(P192),0)+IF(LEFT(Z192,8)="Expense|",-N(N192),0)</f>
        <v/>
      </c>
      <c r="AD192" s="23">
        <f>IF(ISNUMBER(MATCH(V192,{"Expense|employee","Expense|general_admin","Expense|marketing","Expense|utilities","Expense|other_operating"},0)),N(F192),0)+IF(ISNUMBER(MATCH(W192,{"Expense|employee","Expense|general_admin","Expense|marketing","Expense|utilities","Expense|other_operating"},0)),N(M192),0)+IF(ISNUMBER(MATCH(X192,{"Expense|employee","Expense|general_admin","Expense|marketing","Expense|utilities","Expense|other_operating"},0)),-N(O192),0)+IF(ISNUMBER(MATCH(Y192,{"Expense|employee","Expense|general_admin","Expense|marketing","Expense|utilities","Expense|other_operating"},0)),-N(P192),0)+IF(ISNUMBER(MATCH(Z192,{"Expense|employee","Expense|general_admin","Expense|marketing","Expense|utilities","Expense|other_operating"},0)),-N(N192),0)</f>
        <v/>
      </c>
      <c r="AE192" s="23">
        <f>IF(V192="Liability|payable",-N(F192),0)+IF(W192="Liability|payable",-N(M192),0)+IF(X192="Liability|payable",N(O192),0)+IF(Y192="Liability|payable",N(P192),0)+IF(Z192="Liability|payable",N(N192),0)</f>
        <v/>
      </c>
      <c r="AF192" s="23">
        <f>IF(V192="Liability|accrued",-N(F192),0)+IF(W192="Liability|accrued",-N(M192),0)+IF(X192="Liability|accrued",N(O192),0)+IF(Y192="Liability|accrued",N(P192),0)+IF(Z192="Liability|accrued",N(N192),0)</f>
        <v/>
      </c>
      <c r="AG192" s="23">
        <f>IF(AND(N(F192)&lt;&gt;0,V192=""),1,0)+IF(AND(N(M192)&lt;&gt;0,W192=""),1,0)+IF(AND(N(O192)&lt;&gt;0,X192=""),1,0)+IF(AND(N(P192)&lt;&gt;0,Y192=""),1,0)+IF(AND(N(N192)&lt;&gt;0,Z192=""),1,0)</f>
        <v/>
      </c>
    </row>
    <row r="193">
      <c r="A193" s="19" t="n"/>
      <c r="B193" s="14" t="n"/>
      <c r="C193" s="14" t="n"/>
      <c r="D193" s="14" t="n"/>
      <c r="E193" s="14" t="n"/>
      <c r="F193" s="20" t="n"/>
      <c r="G193" s="20" t="n"/>
      <c r="H193" s="14" t="n"/>
      <c r="I193" s="14" t="n"/>
      <c r="J193" s="14" t="n"/>
      <c r="K193" s="14" t="n"/>
      <c r="L193" s="14" t="n"/>
      <c r="M193" s="21">
        <f>ROUND(N(F193)*IFERROR(VLOOKUP(K193,'Tax Codes'!$A$5:$E$300,5,FALSE),0),2)</f>
        <v/>
      </c>
      <c r="N193" s="21">
        <f>ROUND(N(F193)*IFERROR(VLOOKUP(L193,'Tax Codes'!$A$5:$E$300,5,FALSE),0),2)</f>
        <v/>
      </c>
      <c r="O193" s="21">
        <f>IF(G193="",N(F193)+M193-N193,N(G193))</f>
        <v/>
      </c>
      <c r="P193" s="21">
        <f>N(F193)+M193-N193-O193</f>
        <v/>
      </c>
      <c r="Q193" s="16">
        <f>IF(C193="",INDEX('Chart of Accounts'!$A$5:$A$3000,MATCH("other_overhead",'Chart of Accounts'!$F$5:$F$3000,0)),C193&amp;"")</f>
        <v/>
      </c>
      <c r="R193" s="16">
        <f>IF(I193="",INDEX('Chart of Accounts'!$A$5:$A$3000,MATCH("bank",'Chart of Accounts'!$F$5:$F$3000,0)),I193&amp;"")</f>
        <v/>
      </c>
      <c r="S193" s="16">
        <f>IF(J193="",INDEX('Chart of Accounts'!$A$5:$A$3000,MATCH("ap",'Chart of Accounts'!$F$5:$F$3000,0)),J193&amp;"")</f>
        <v/>
      </c>
      <c r="T193" s="16">
        <f>INDEX('Chart of Accounts'!$A$5:$A$3000,MATCH("vat_input",'Chart of Accounts'!$F$5:$F$3000,0))</f>
        <v/>
      </c>
      <c r="U193" s="16">
        <f>INDEX('Chart of Accounts'!$A$5:$A$3000,MATCH("wht_payable",'Chart of Accounts'!$F$5:$F$3000,0))</f>
        <v/>
      </c>
      <c r="V193" s="23">
        <f>IFERROR(INDEX('Chart of Accounts'!$C$5:$C$3000,MATCH(Q193&amp;"",'Chart of Accounts'!$A$5:$A$3000,0))&amp;"|"&amp;INDEX('Chart of Accounts'!$D$5:$D$3000,MATCH(Q193&amp;"",'Chart of Accounts'!$A$5:$A$3000,0)),"")</f>
        <v/>
      </c>
      <c r="W193" s="23">
        <f>IFERROR(INDEX('Chart of Accounts'!$C$5:$C$3000,MATCH(T193&amp;"",'Chart of Accounts'!$A$5:$A$3000,0))&amp;"|"&amp;INDEX('Chart of Accounts'!$D$5:$D$3000,MATCH(T193&amp;"",'Chart of Accounts'!$A$5:$A$3000,0)),"")</f>
        <v/>
      </c>
      <c r="X193" s="23">
        <f>IFERROR(INDEX('Chart of Accounts'!$C$5:$C$3000,MATCH(R193&amp;"",'Chart of Accounts'!$A$5:$A$3000,0))&amp;"|"&amp;INDEX('Chart of Accounts'!$D$5:$D$3000,MATCH(R193&amp;"",'Chart of Accounts'!$A$5:$A$3000,0)),"")</f>
        <v/>
      </c>
      <c r="Y193" s="23">
        <f>IFERROR(INDEX('Chart of Accounts'!$C$5:$C$3000,MATCH(S193&amp;"",'Chart of Accounts'!$A$5:$A$3000,0))&amp;"|"&amp;INDEX('Chart of Accounts'!$D$5:$D$3000,MATCH(S193&amp;"",'Chart of Accounts'!$A$5:$A$3000,0)),"")</f>
        <v/>
      </c>
      <c r="Z193" s="23">
        <f>IFERROR(INDEX('Chart of Accounts'!$C$5:$C$3000,MATCH(U193&amp;"",'Chart of Accounts'!$A$5:$A$3000,0))&amp;"|"&amp;INDEX('Chart of Accounts'!$D$5:$D$3000,MATCH(U193&amp;"",'Chart of Accounts'!$A$5:$A$3000,0)),"")</f>
        <v/>
      </c>
      <c r="AA193" s="23">
        <f>IF(LEFT(V193,8)="Revenue|",-N(F193),0)+IF(LEFT(W193,8)="Revenue|",-N(M193),0)+IF(LEFT(X193,8)="Revenue|",N(O193),0)+IF(LEFT(Y193,8)="Revenue|",N(P193),0)+IF(LEFT(Z193,8)="Revenue|",N(N193),0)</f>
        <v/>
      </c>
      <c r="AB193" s="23">
        <f>IF(LEFT(V193,5)="COGS|",N(F193),0)+IF(LEFT(W193,5)="COGS|",N(M193),0)+IF(LEFT(X193,5)="COGS|",-N(O193),0)+IF(LEFT(Y193,5)="COGS|",-N(P193),0)+IF(LEFT(Z193,5)="COGS|",-N(N193),0)</f>
        <v/>
      </c>
      <c r="AC193" s="23">
        <f>IF(LEFT(V193,8)="Expense|",N(F193),0)+IF(LEFT(W193,8)="Expense|",N(M193),0)+IF(LEFT(X193,8)="Expense|",-N(O193),0)+IF(LEFT(Y193,8)="Expense|",-N(P193),0)+IF(LEFT(Z193,8)="Expense|",-N(N193),0)</f>
        <v/>
      </c>
      <c r="AD193" s="23">
        <f>IF(ISNUMBER(MATCH(V193,{"Expense|employee","Expense|general_admin","Expense|marketing","Expense|utilities","Expense|other_operating"},0)),N(F193),0)+IF(ISNUMBER(MATCH(W193,{"Expense|employee","Expense|general_admin","Expense|marketing","Expense|utilities","Expense|other_operating"},0)),N(M193),0)+IF(ISNUMBER(MATCH(X193,{"Expense|employee","Expense|general_admin","Expense|marketing","Expense|utilities","Expense|other_operating"},0)),-N(O193),0)+IF(ISNUMBER(MATCH(Y193,{"Expense|employee","Expense|general_admin","Expense|marketing","Expense|utilities","Expense|other_operating"},0)),-N(P193),0)+IF(ISNUMBER(MATCH(Z193,{"Expense|employee","Expense|general_admin","Expense|marketing","Expense|utilities","Expense|other_operating"},0)),-N(N193),0)</f>
        <v/>
      </c>
      <c r="AE193" s="23">
        <f>IF(V193="Liability|payable",-N(F193),0)+IF(W193="Liability|payable",-N(M193),0)+IF(X193="Liability|payable",N(O193),0)+IF(Y193="Liability|payable",N(P193),0)+IF(Z193="Liability|payable",N(N193),0)</f>
        <v/>
      </c>
      <c r="AF193" s="23">
        <f>IF(V193="Liability|accrued",-N(F193),0)+IF(W193="Liability|accrued",-N(M193),0)+IF(X193="Liability|accrued",N(O193),0)+IF(Y193="Liability|accrued",N(P193),0)+IF(Z193="Liability|accrued",N(N193),0)</f>
        <v/>
      </c>
      <c r="AG193" s="23">
        <f>IF(AND(N(F193)&lt;&gt;0,V193=""),1,0)+IF(AND(N(M193)&lt;&gt;0,W193=""),1,0)+IF(AND(N(O193)&lt;&gt;0,X193=""),1,0)+IF(AND(N(P193)&lt;&gt;0,Y193=""),1,0)+IF(AND(N(N193)&lt;&gt;0,Z193=""),1,0)</f>
        <v/>
      </c>
    </row>
    <row r="194">
      <c r="A194" s="19" t="n"/>
      <c r="B194" s="14" t="n"/>
      <c r="C194" s="14" t="n"/>
      <c r="D194" s="14" t="n"/>
      <c r="E194" s="14" t="n"/>
      <c r="F194" s="20" t="n"/>
      <c r="G194" s="20" t="n"/>
      <c r="H194" s="14" t="n"/>
      <c r="I194" s="14" t="n"/>
      <c r="J194" s="14" t="n"/>
      <c r="K194" s="14" t="n"/>
      <c r="L194" s="14" t="n"/>
      <c r="M194" s="21">
        <f>ROUND(N(F194)*IFERROR(VLOOKUP(K194,'Tax Codes'!$A$5:$E$300,5,FALSE),0),2)</f>
        <v/>
      </c>
      <c r="N194" s="21">
        <f>ROUND(N(F194)*IFERROR(VLOOKUP(L194,'Tax Codes'!$A$5:$E$300,5,FALSE),0),2)</f>
        <v/>
      </c>
      <c r="O194" s="21">
        <f>IF(G194="",N(F194)+M194-N194,N(G194))</f>
        <v/>
      </c>
      <c r="P194" s="21">
        <f>N(F194)+M194-N194-O194</f>
        <v/>
      </c>
      <c r="Q194" s="16">
        <f>IF(C194="",INDEX('Chart of Accounts'!$A$5:$A$3000,MATCH("other_overhead",'Chart of Accounts'!$F$5:$F$3000,0)),C194&amp;"")</f>
        <v/>
      </c>
      <c r="R194" s="16">
        <f>IF(I194="",INDEX('Chart of Accounts'!$A$5:$A$3000,MATCH("bank",'Chart of Accounts'!$F$5:$F$3000,0)),I194&amp;"")</f>
        <v/>
      </c>
      <c r="S194" s="16">
        <f>IF(J194="",INDEX('Chart of Accounts'!$A$5:$A$3000,MATCH("ap",'Chart of Accounts'!$F$5:$F$3000,0)),J194&amp;"")</f>
        <v/>
      </c>
      <c r="T194" s="16">
        <f>INDEX('Chart of Accounts'!$A$5:$A$3000,MATCH("vat_input",'Chart of Accounts'!$F$5:$F$3000,0))</f>
        <v/>
      </c>
      <c r="U194" s="16">
        <f>INDEX('Chart of Accounts'!$A$5:$A$3000,MATCH("wht_payable",'Chart of Accounts'!$F$5:$F$3000,0))</f>
        <v/>
      </c>
      <c r="V194" s="23">
        <f>IFERROR(INDEX('Chart of Accounts'!$C$5:$C$3000,MATCH(Q194&amp;"",'Chart of Accounts'!$A$5:$A$3000,0))&amp;"|"&amp;INDEX('Chart of Accounts'!$D$5:$D$3000,MATCH(Q194&amp;"",'Chart of Accounts'!$A$5:$A$3000,0)),"")</f>
        <v/>
      </c>
      <c r="W194" s="23">
        <f>IFERROR(INDEX('Chart of Accounts'!$C$5:$C$3000,MATCH(T194&amp;"",'Chart of Accounts'!$A$5:$A$3000,0))&amp;"|"&amp;INDEX('Chart of Accounts'!$D$5:$D$3000,MATCH(T194&amp;"",'Chart of Accounts'!$A$5:$A$3000,0)),"")</f>
        <v/>
      </c>
      <c r="X194" s="23">
        <f>IFERROR(INDEX('Chart of Accounts'!$C$5:$C$3000,MATCH(R194&amp;"",'Chart of Accounts'!$A$5:$A$3000,0))&amp;"|"&amp;INDEX('Chart of Accounts'!$D$5:$D$3000,MATCH(R194&amp;"",'Chart of Accounts'!$A$5:$A$3000,0)),"")</f>
        <v/>
      </c>
      <c r="Y194" s="23">
        <f>IFERROR(INDEX('Chart of Accounts'!$C$5:$C$3000,MATCH(S194&amp;"",'Chart of Accounts'!$A$5:$A$3000,0))&amp;"|"&amp;INDEX('Chart of Accounts'!$D$5:$D$3000,MATCH(S194&amp;"",'Chart of Accounts'!$A$5:$A$3000,0)),"")</f>
        <v/>
      </c>
      <c r="Z194" s="23">
        <f>IFERROR(INDEX('Chart of Accounts'!$C$5:$C$3000,MATCH(U194&amp;"",'Chart of Accounts'!$A$5:$A$3000,0))&amp;"|"&amp;INDEX('Chart of Accounts'!$D$5:$D$3000,MATCH(U194&amp;"",'Chart of Accounts'!$A$5:$A$3000,0)),"")</f>
        <v/>
      </c>
      <c r="AA194" s="23">
        <f>IF(LEFT(V194,8)="Revenue|",-N(F194),0)+IF(LEFT(W194,8)="Revenue|",-N(M194),0)+IF(LEFT(X194,8)="Revenue|",N(O194),0)+IF(LEFT(Y194,8)="Revenue|",N(P194),0)+IF(LEFT(Z194,8)="Revenue|",N(N194),0)</f>
        <v/>
      </c>
      <c r="AB194" s="23">
        <f>IF(LEFT(V194,5)="COGS|",N(F194),0)+IF(LEFT(W194,5)="COGS|",N(M194),0)+IF(LEFT(X194,5)="COGS|",-N(O194),0)+IF(LEFT(Y194,5)="COGS|",-N(P194),0)+IF(LEFT(Z194,5)="COGS|",-N(N194),0)</f>
        <v/>
      </c>
      <c r="AC194" s="23">
        <f>IF(LEFT(V194,8)="Expense|",N(F194),0)+IF(LEFT(W194,8)="Expense|",N(M194),0)+IF(LEFT(X194,8)="Expense|",-N(O194),0)+IF(LEFT(Y194,8)="Expense|",-N(P194),0)+IF(LEFT(Z194,8)="Expense|",-N(N194),0)</f>
        <v/>
      </c>
      <c r="AD194" s="23">
        <f>IF(ISNUMBER(MATCH(V194,{"Expense|employee","Expense|general_admin","Expense|marketing","Expense|utilities","Expense|other_operating"},0)),N(F194),0)+IF(ISNUMBER(MATCH(W194,{"Expense|employee","Expense|general_admin","Expense|marketing","Expense|utilities","Expense|other_operating"},0)),N(M194),0)+IF(ISNUMBER(MATCH(X194,{"Expense|employee","Expense|general_admin","Expense|marketing","Expense|utilities","Expense|other_operating"},0)),-N(O194),0)+IF(ISNUMBER(MATCH(Y194,{"Expense|employee","Expense|general_admin","Expense|marketing","Expense|utilities","Expense|other_operating"},0)),-N(P194),0)+IF(ISNUMBER(MATCH(Z194,{"Expense|employee","Expense|general_admin","Expense|marketing","Expense|utilities","Expense|other_operating"},0)),-N(N194),0)</f>
        <v/>
      </c>
      <c r="AE194" s="23">
        <f>IF(V194="Liability|payable",-N(F194),0)+IF(W194="Liability|payable",-N(M194),0)+IF(X194="Liability|payable",N(O194),0)+IF(Y194="Liability|payable",N(P194),0)+IF(Z194="Liability|payable",N(N194),0)</f>
        <v/>
      </c>
      <c r="AF194" s="23">
        <f>IF(V194="Liability|accrued",-N(F194),0)+IF(W194="Liability|accrued",-N(M194),0)+IF(X194="Liability|accrued",N(O194),0)+IF(Y194="Liability|accrued",N(P194),0)+IF(Z194="Liability|accrued",N(N194),0)</f>
        <v/>
      </c>
      <c r="AG194" s="23">
        <f>IF(AND(N(F194)&lt;&gt;0,V194=""),1,0)+IF(AND(N(M194)&lt;&gt;0,W194=""),1,0)+IF(AND(N(O194)&lt;&gt;0,X194=""),1,0)+IF(AND(N(P194)&lt;&gt;0,Y194=""),1,0)+IF(AND(N(N194)&lt;&gt;0,Z194=""),1,0)</f>
        <v/>
      </c>
    </row>
    <row r="195">
      <c r="A195" s="19" t="n"/>
      <c r="B195" s="14" t="n"/>
      <c r="C195" s="14" t="n"/>
      <c r="D195" s="14" t="n"/>
      <c r="E195" s="14" t="n"/>
      <c r="F195" s="20" t="n"/>
      <c r="G195" s="20" t="n"/>
      <c r="H195" s="14" t="n"/>
      <c r="I195" s="14" t="n"/>
      <c r="J195" s="14" t="n"/>
      <c r="K195" s="14" t="n"/>
      <c r="L195" s="14" t="n"/>
      <c r="M195" s="21">
        <f>ROUND(N(F195)*IFERROR(VLOOKUP(K195,'Tax Codes'!$A$5:$E$300,5,FALSE),0),2)</f>
        <v/>
      </c>
      <c r="N195" s="21">
        <f>ROUND(N(F195)*IFERROR(VLOOKUP(L195,'Tax Codes'!$A$5:$E$300,5,FALSE),0),2)</f>
        <v/>
      </c>
      <c r="O195" s="21">
        <f>IF(G195="",N(F195)+M195-N195,N(G195))</f>
        <v/>
      </c>
      <c r="P195" s="21">
        <f>N(F195)+M195-N195-O195</f>
        <v/>
      </c>
      <c r="Q195" s="16">
        <f>IF(C195="",INDEX('Chart of Accounts'!$A$5:$A$3000,MATCH("other_overhead",'Chart of Accounts'!$F$5:$F$3000,0)),C195&amp;"")</f>
        <v/>
      </c>
      <c r="R195" s="16">
        <f>IF(I195="",INDEX('Chart of Accounts'!$A$5:$A$3000,MATCH("bank",'Chart of Accounts'!$F$5:$F$3000,0)),I195&amp;"")</f>
        <v/>
      </c>
      <c r="S195" s="16">
        <f>IF(J195="",INDEX('Chart of Accounts'!$A$5:$A$3000,MATCH("ap",'Chart of Accounts'!$F$5:$F$3000,0)),J195&amp;"")</f>
        <v/>
      </c>
      <c r="T195" s="16">
        <f>INDEX('Chart of Accounts'!$A$5:$A$3000,MATCH("vat_input",'Chart of Accounts'!$F$5:$F$3000,0))</f>
        <v/>
      </c>
      <c r="U195" s="16">
        <f>INDEX('Chart of Accounts'!$A$5:$A$3000,MATCH("wht_payable",'Chart of Accounts'!$F$5:$F$3000,0))</f>
        <v/>
      </c>
      <c r="V195" s="23">
        <f>IFERROR(INDEX('Chart of Accounts'!$C$5:$C$3000,MATCH(Q195&amp;"",'Chart of Accounts'!$A$5:$A$3000,0))&amp;"|"&amp;INDEX('Chart of Accounts'!$D$5:$D$3000,MATCH(Q195&amp;"",'Chart of Accounts'!$A$5:$A$3000,0)),"")</f>
        <v/>
      </c>
      <c r="W195" s="23">
        <f>IFERROR(INDEX('Chart of Accounts'!$C$5:$C$3000,MATCH(T195&amp;"",'Chart of Accounts'!$A$5:$A$3000,0))&amp;"|"&amp;INDEX('Chart of Accounts'!$D$5:$D$3000,MATCH(T195&amp;"",'Chart of Accounts'!$A$5:$A$3000,0)),"")</f>
        <v/>
      </c>
      <c r="X195" s="23">
        <f>IFERROR(INDEX('Chart of Accounts'!$C$5:$C$3000,MATCH(R195&amp;"",'Chart of Accounts'!$A$5:$A$3000,0))&amp;"|"&amp;INDEX('Chart of Accounts'!$D$5:$D$3000,MATCH(R195&amp;"",'Chart of Accounts'!$A$5:$A$3000,0)),"")</f>
        <v/>
      </c>
      <c r="Y195" s="23">
        <f>IFERROR(INDEX('Chart of Accounts'!$C$5:$C$3000,MATCH(S195&amp;"",'Chart of Accounts'!$A$5:$A$3000,0))&amp;"|"&amp;INDEX('Chart of Accounts'!$D$5:$D$3000,MATCH(S195&amp;"",'Chart of Accounts'!$A$5:$A$3000,0)),"")</f>
        <v/>
      </c>
      <c r="Z195" s="23">
        <f>IFERROR(INDEX('Chart of Accounts'!$C$5:$C$3000,MATCH(U195&amp;"",'Chart of Accounts'!$A$5:$A$3000,0))&amp;"|"&amp;INDEX('Chart of Accounts'!$D$5:$D$3000,MATCH(U195&amp;"",'Chart of Accounts'!$A$5:$A$3000,0)),"")</f>
        <v/>
      </c>
      <c r="AA195" s="23">
        <f>IF(LEFT(V195,8)="Revenue|",-N(F195),0)+IF(LEFT(W195,8)="Revenue|",-N(M195),0)+IF(LEFT(X195,8)="Revenue|",N(O195),0)+IF(LEFT(Y195,8)="Revenue|",N(P195),0)+IF(LEFT(Z195,8)="Revenue|",N(N195),0)</f>
        <v/>
      </c>
      <c r="AB195" s="23">
        <f>IF(LEFT(V195,5)="COGS|",N(F195),0)+IF(LEFT(W195,5)="COGS|",N(M195),0)+IF(LEFT(X195,5)="COGS|",-N(O195),0)+IF(LEFT(Y195,5)="COGS|",-N(P195),0)+IF(LEFT(Z195,5)="COGS|",-N(N195),0)</f>
        <v/>
      </c>
      <c r="AC195" s="23">
        <f>IF(LEFT(V195,8)="Expense|",N(F195),0)+IF(LEFT(W195,8)="Expense|",N(M195),0)+IF(LEFT(X195,8)="Expense|",-N(O195),0)+IF(LEFT(Y195,8)="Expense|",-N(P195),0)+IF(LEFT(Z195,8)="Expense|",-N(N195),0)</f>
        <v/>
      </c>
      <c r="AD195" s="23">
        <f>IF(ISNUMBER(MATCH(V195,{"Expense|employee","Expense|general_admin","Expense|marketing","Expense|utilities","Expense|other_operating"},0)),N(F195),0)+IF(ISNUMBER(MATCH(W195,{"Expense|employee","Expense|general_admin","Expense|marketing","Expense|utilities","Expense|other_operating"},0)),N(M195),0)+IF(ISNUMBER(MATCH(X195,{"Expense|employee","Expense|general_admin","Expense|marketing","Expense|utilities","Expense|other_operating"},0)),-N(O195),0)+IF(ISNUMBER(MATCH(Y195,{"Expense|employee","Expense|general_admin","Expense|marketing","Expense|utilities","Expense|other_operating"},0)),-N(P195),0)+IF(ISNUMBER(MATCH(Z195,{"Expense|employee","Expense|general_admin","Expense|marketing","Expense|utilities","Expense|other_operating"},0)),-N(N195),0)</f>
        <v/>
      </c>
      <c r="AE195" s="23">
        <f>IF(V195="Liability|payable",-N(F195),0)+IF(W195="Liability|payable",-N(M195),0)+IF(X195="Liability|payable",N(O195),0)+IF(Y195="Liability|payable",N(P195),0)+IF(Z195="Liability|payable",N(N195),0)</f>
        <v/>
      </c>
      <c r="AF195" s="23">
        <f>IF(V195="Liability|accrued",-N(F195),0)+IF(W195="Liability|accrued",-N(M195),0)+IF(X195="Liability|accrued",N(O195),0)+IF(Y195="Liability|accrued",N(P195),0)+IF(Z195="Liability|accrued",N(N195),0)</f>
        <v/>
      </c>
      <c r="AG195" s="23">
        <f>IF(AND(N(F195)&lt;&gt;0,V195=""),1,0)+IF(AND(N(M195)&lt;&gt;0,W195=""),1,0)+IF(AND(N(O195)&lt;&gt;0,X195=""),1,0)+IF(AND(N(P195)&lt;&gt;0,Y195=""),1,0)+IF(AND(N(N195)&lt;&gt;0,Z195=""),1,0)</f>
        <v/>
      </c>
    </row>
    <row r="196">
      <c r="A196" s="19" t="n"/>
      <c r="B196" s="14" t="n"/>
      <c r="C196" s="14" t="n"/>
      <c r="D196" s="14" t="n"/>
      <c r="E196" s="14" t="n"/>
      <c r="F196" s="20" t="n"/>
      <c r="G196" s="20" t="n"/>
      <c r="H196" s="14" t="n"/>
      <c r="I196" s="14" t="n"/>
      <c r="J196" s="14" t="n"/>
      <c r="K196" s="14" t="n"/>
      <c r="L196" s="14" t="n"/>
      <c r="M196" s="21">
        <f>ROUND(N(F196)*IFERROR(VLOOKUP(K196,'Tax Codes'!$A$5:$E$300,5,FALSE),0),2)</f>
        <v/>
      </c>
      <c r="N196" s="21">
        <f>ROUND(N(F196)*IFERROR(VLOOKUP(L196,'Tax Codes'!$A$5:$E$300,5,FALSE),0),2)</f>
        <v/>
      </c>
      <c r="O196" s="21">
        <f>IF(G196="",N(F196)+M196-N196,N(G196))</f>
        <v/>
      </c>
      <c r="P196" s="21">
        <f>N(F196)+M196-N196-O196</f>
        <v/>
      </c>
      <c r="Q196" s="16">
        <f>IF(C196="",INDEX('Chart of Accounts'!$A$5:$A$3000,MATCH("other_overhead",'Chart of Accounts'!$F$5:$F$3000,0)),C196&amp;"")</f>
        <v/>
      </c>
      <c r="R196" s="16">
        <f>IF(I196="",INDEX('Chart of Accounts'!$A$5:$A$3000,MATCH("bank",'Chart of Accounts'!$F$5:$F$3000,0)),I196&amp;"")</f>
        <v/>
      </c>
      <c r="S196" s="16">
        <f>IF(J196="",INDEX('Chart of Accounts'!$A$5:$A$3000,MATCH("ap",'Chart of Accounts'!$F$5:$F$3000,0)),J196&amp;"")</f>
        <v/>
      </c>
      <c r="T196" s="16">
        <f>INDEX('Chart of Accounts'!$A$5:$A$3000,MATCH("vat_input",'Chart of Accounts'!$F$5:$F$3000,0))</f>
        <v/>
      </c>
      <c r="U196" s="16">
        <f>INDEX('Chart of Accounts'!$A$5:$A$3000,MATCH("wht_payable",'Chart of Accounts'!$F$5:$F$3000,0))</f>
        <v/>
      </c>
      <c r="V196" s="23">
        <f>IFERROR(INDEX('Chart of Accounts'!$C$5:$C$3000,MATCH(Q196&amp;"",'Chart of Accounts'!$A$5:$A$3000,0))&amp;"|"&amp;INDEX('Chart of Accounts'!$D$5:$D$3000,MATCH(Q196&amp;"",'Chart of Accounts'!$A$5:$A$3000,0)),"")</f>
        <v/>
      </c>
      <c r="W196" s="23">
        <f>IFERROR(INDEX('Chart of Accounts'!$C$5:$C$3000,MATCH(T196&amp;"",'Chart of Accounts'!$A$5:$A$3000,0))&amp;"|"&amp;INDEX('Chart of Accounts'!$D$5:$D$3000,MATCH(T196&amp;"",'Chart of Accounts'!$A$5:$A$3000,0)),"")</f>
        <v/>
      </c>
      <c r="X196" s="23">
        <f>IFERROR(INDEX('Chart of Accounts'!$C$5:$C$3000,MATCH(R196&amp;"",'Chart of Accounts'!$A$5:$A$3000,0))&amp;"|"&amp;INDEX('Chart of Accounts'!$D$5:$D$3000,MATCH(R196&amp;"",'Chart of Accounts'!$A$5:$A$3000,0)),"")</f>
        <v/>
      </c>
      <c r="Y196" s="23">
        <f>IFERROR(INDEX('Chart of Accounts'!$C$5:$C$3000,MATCH(S196&amp;"",'Chart of Accounts'!$A$5:$A$3000,0))&amp;"|"&amp;INDEX('Chart of Accounts'!$D$5:$D$3000,MATCH(S196&amp;"",'Chart of Accounts'!$A$5:$A$3000,0)),"")</f>
        <v/>
      </c>
      <c r="Z196" s="23">
        <f>IFERROR(INDEX('Chart of Accounts'!$C$5:$C$3000,MATCH(U196&amp;"",'Chart of Accounts'!$A$5:$A$3000,0))&amp;"|"&amp;INDEX('Chart of Accounts'!$D$5:$D$3000,MATCH(U196&amp;"",'Chart of Accounts'!$A$5:$A$3000,0)),"")</f>
        <v/>
      </c>
      <c r="AA196" s="23">
        <f>IF(LEFT(V196,8)="Revenue|",-N(F196),0)+IF(LEFT(W196,8)="Revenue|",-N(M196),0)+IF(LEFT(X196,8)="Revenue|",N(O196),0)+IF(LEFT(Y196,8)="Revenue|",N(P196),0)+IF(LEFT(Z196,8)="Revenue|",N(N196),0)</f>
        <v/>
      </c>
      <c r="AB196" s="23">
        <f>IF(LEFT(V196,5)="COGS|",N(F196),0)+IF(LEFT(W196,5)="COGS|",N(M196),0)+IF(LEFT(X196,5)="COGS|",-N(O196),0)+IF(LEFT(Y196,5)="COGS|",-N(P196),0)+IF(LEFT(Z196,5)="COGS|",-N(N196),0)</f>
        <v/>
      </c>
      <c r="AC196" s="23">
        <f>IF(LEFT(V196,8)="Expense|",N(F196),0)+IF(LEFT(W196,8)="Expense|",N(M196),0)+IF(LEFT(X196,8)="Expense|",-N(O196),0)+IF(LEFT(Y196,8)="Expense|",-N(P196),0)+IF(LEFT(Z196,8)="Expense|",-N(N196),0)</f>
        <v/>
      </c>
      <c r="AD196" s="23">
        <f>IF(ISNUMBER(MATCH(V196,{"Expense|employee","Expense|general_admin","Expense|marketing","Expense|utilities","Expense|other_operating"},0)),N(F196),0)+IF(ISNUMBER(MATCH(W196,{"Expense|employee","Expense|general_admin","Expense|marketing","Expense|utilities","Expense|other_operating"},0)),N(M196),0)+IF(ISNUMBER(MATCH(X196,{"Expense|employee","Expense|general_admin","Expense|marketing","Expense|utilities","Expense|other_operating"},0)),-N(O196),0)+IF(ISNUMBER(MATCH(Y196,{"Expense|employee","Expense|general_admin","Expense|marketing","Expense|utilities","Expense|other_operating"},0)),-N(P196),0)+IF(ISNUMBER(MATCH(Z196,{"Expense|employee","Expense|general_admin","Expense|marketing","Expense|utilities","Expense|other_operating"},0)),-N(N196),0)</f>
        <v/>
      </c>
      <c r="AE196" s="23">
        <f>IF(V196="Liability|payable",-N(F196),0)+IF(W196="Liability|payable",-N(M196),0)+IF(X196="Liability|payable",N(O196),0)+IF(Y196="Liability|payable",N(P196),0)+IF(Z196="Liability|payable",N(N196),0)</f>
        <v/>
      </c>
      <c r="AF196" s="23">
        <f>IF(V196="Liability|accrued",-N(F196),0)+IF(W196="Liability|accrued",-N(M196),0)+IF(X196="Liability|accrued",N(O196),0)+IF(Y196="Liability|accrued",N(P196),0)+IF(Z196="Liability|accrued",N(N196),0)</f>
        <v/>
      </c>
      <c r="AG196" s="23">
        <f>IF(AND(N(F196)&lt;&gt;0,V196=""),1,0)+IF(AND(N(M196)&lt;&gt;0,W196=""),1,0)+IF(AND(N(O196)&lt;&gt;0,X196=""),1,0)+IF(AND(N(P196)&lt;&gt;0,Y196=""),1,0)+IF(AND(N(N196)&lt;&gt;0,Z196=""),1,0)</f>
        <v/>
      </c>
    </row>
    <row r="197">
      <c r="A197" s="19" t="n"/>
      <c r="B197" s="14" t="n"/>
      <c r="C197" s="14" t="n"/>
      <c r="D197" s="14" t="n"/>
      <c r="E197" s="14" t="n"/>
      <c r="F197" s="20" t="n"/>
      <c r="G197" s="20" t="n"/>
      <c r="H197" s="14" t="n"/>
      <c r="I197" s="14" t="n"/>
      <c r="J197" s="14" t="n"/>
      <c r="K197" s="14" t="n"/>
      <c r="L197" s="14" t="n"/>
      <c r="M197" s="21">
        <f>ROUND(N(F197)*IFERROR(VLOOKUP(K197,'Tax Codes'!$A$5:$E$300,5,FALSE),0),2)</f>
        <v/>
      </c>
      <c r="N197" s="21">
        <f>ROUND(N(F197)*IFERROR(VLOOKUP(L197,'Tax Codes'!$A$5:$E$300,5,FALSE),0),2)</f>
        <v/>
      </c>
      <c r="O197" s="21">
        <f>IF(G197="",N(F197)+M197-N197,N(G197))</f>
        <v/>
      </c>
      <c r="P197" s="21">
        <f>N(F197)+M197-N197-O197</f>
        <v/>
      </c>
      <c r="Q197" s="16">
        <f>IF(C197="",INDEX('Chart of Accounts'!$A$5:$A$3000,MATCH("other_overhead",'Chart of Accounts'!$F$5:$F$3000,0)),C197&amp;"")</f>
        <v/>
      </c>
      <c r="R197" s="16">
        <f>IF(I197="",INDEX('Chart of Accounts'!$A$5:$A$3000,MATCH("bank",'Chart of Accounts'!$F$5:$F$3000,0)),I197&amp;"")</f>
        <v/>
      </c>
      <c r="S197" s="16">
        <f>IF(J197="",INDEX('Chart of Accounts'!$A$5:$A$3000,MATCH("ap",'Chart of Accounts'!$F$5:$F$3000,0)),J197&amp;"")</f>
        <v/>
      </c>
      <c r="T197" s="16">
        <f>INDEX('Chart of Accounts'!$A$5:$A$3000,MATCH("vat_input",'Chart of Accounts'!$F$5:$F$3000,0))</f>
        <v/>
      </c>
      <c r="U197" s="16">
        <f>INDEX('Chart of Accounts'!$A$5:$A$3000,MATCH("wht_payable",'Chart of Accounts'!$F$5:$F$3000,0))</f>
        <v/>
      </c>
      <c r="V197" s="23">
        <f>IFERROR(INDEX('Chart of Accounts'!$C$5:$C$3000,MATCH(Q197&amp;"",'Chart of Accounts'!$A$5:$A$3000,0))&amp;"|"&amp;INDEX('Chart of Accounts'!$D$5:$D$3000,MATCH(Q197&amp;"",'Chart of Accounts'!$A$5:$A$3000,0)),"")</f>
        <v/>
      </c>
      <c r="W197" s="23">
        <f>IFERROR(INDEX('Chart of Accounts'!$C$5:$C$3000,MATCH(T197&amp;"",'Chart of Accounts'!$A$5:$A$3000,0))&amp;"|"&amp;INDEX('Chart of Accounts'!$D$5:$D$3000,MATCH(T197&amp;"",'Chart of Accounts'!$A$5:$A$3000,0)),"")</f>
        <v/>
      </c>
      <c r="X197" s="23">
        <f>IFERROR(INDEX('Chart of Accounts'!$C$5:$C$3000,MATCH(R197&amp;"",'Chart of Accounts'!$A$5:$A$3000,0))&amp;"|"&amp;INDEX('Chart of Accounts'!$D$5:$D$3000,MATCH(R197&amp;"",'Chart of Accounts'!$A$5:$A$3000,0)),"")</f>
        <v/>
      </c>
      <c r="Y197" s="23">
        <f>IFERROR(INDEX('Chart of Accounts'!$C$5:$C$3000,MATCH(S197&amp;"",'Chart of Accounts'!$A$5:$A$3000,0))&amp;"|"&amp;INDEX('Chart of Accounts'!$D$5:$D$3000,MATCH(S197&amp;"",'Chart of Accounts'!$A$5:$A$3000,0)),"")</f>
        <v/>
      </c>
      <c r="Z197" s="23">
        <f>IFERROR(INDEX('Chart of Accounts'!$C$5:$C$3000,MATCH(U197&amp;"",'Chart of Accounts'!$A$5:$A$3000,0))&amp;"|"&amp;INDEX('Chart of Accounts'!$D$5:$D$3000,MATCH(U197&amp;"",'Chart of Accounts'!$A$5:$A$3000,0)),"")</f>
        <v/>
      </c>
      <c r="AA197" s="23">
        <f>IF(LEFT(V197,8)="Revenue|",-N(F197),0)+IF(LEFT(W197,8)="Revenue|",-N(M197),0)+IF(LEFT(X197,8)="Revenue|",N(O197),0)+IF(LEFT(Y197,8)="Revenue|",N(P197),0)+IF(LEFT(Z197,8)="Revenue|",N(N197),0)</f>
        <v/>
      </c>
      <c r="AB197" s="23">
        <f>IF(LEFT(V197,5)="COGS|",N(F197),0)+IF(LEFT(W197,5)="COGS|",N(M197),0)+IF(LEFT(X197,5)="COGS|",-N(O197),0)+IF(LEFT(Y197,5)="COGS|",-N(P197),0)+IF(LEFT(Z197,5)="COGS|",-N(N197),0)</f>
        <v/>
      </c>
      <c r="AC197" s="23">
        <f>IF(LEFT(V197,8)="Expense|",N(F197),0)+IF(LEFT(W197,8)="Expense|",N(M197),0)+IF(LEFT(X197,8)="Expense|",-N(O197),0)+IF(LEFT(Y197,8)="Expense|",-N(P197),0)+IF(LEFT(Z197,8)="Expense|",-N(N197),0)</f>
        <v/>
      </c>
      <c r="AD197" s="23">
        <f>IF(ISNUMBER(MATCH(V197,{"Expense|employee","Expense|general_admin","Expense|marketing","Expense|utilities","Expense|other_operating"},0)),N(F197),0)+IF(ISNUMBER(MATCH(W197,{"Expense|employee","Expense|general_admin","Expense|marketing","Expense|utilities","Expense|other_operating"},0)),N(M197),0)+IF(ISNUMBER(MATCH(X197,{"Expense|employee","Expense|general_admin","Expense|marketing","Expense|utilities","Expense|other_operating"},0)),-N(O197),0)+IF(ISNUMBER(MATCH(Y197,{"Expense|employee","Expense|general_admin","Expense|marketing","Expense|utilities","Expense|other_operating"},0)),-N(P197),0)+IF(ISNUMBER(MATCH(Z197,{"Expense|employee","Expense|general_admin","Expense|marketing","Expense|utilities","Expense|other_operating"},0)),-N(N197),0)</f>
        <v/>
      </c>
      <c r="AE197" s="23">
        <f>IF(V197="Liability|payable",-N(F197),0)+IF(W197="Liability|payable",-N(M197),0)+IF(X197="Liability|payable",N(O197),0)+IF(Y197="Liability|payable",N(P197),0)+IF(Z197="Liability|payable",N(N197),0)</f>
        <v/>
      </c>
      <c r="AF197" s="23">
        <f>IF(V197="Liability|accrued",-N(F197),0)+IF(W197="Liability|accrued",-N(M197),0)+IF(X197="Liability|accrued",N(O197),0)+IF(Y197="Liability|accrued",N(P197),0)+IF(Z197="Liability|accrued",N(N197),0)</f>
        <v/>
      </c>
      <c r="AG197" s="23">
        <f>IF(AND(N(F197)&lt;&gt;0,V197=""),1,0)+IF(AND(N(M197)&lt;&gt;0,W197=""),1,0)+IF(AND(N(O197)&lt;&gt;0,X197=""),1,0)+IF(AND(N(P197)&lt;&gt;0,Y197=""),1,0)+IF(AND(N(N197)&lt;&gt;0,Z197=""),1,0)</f>
        <v/>
      </c>
    </row>
    <row r="198">
      <c r="A198" s="19" t="n"/>
      <c r="B198" s="14" t="n"/>
      <c r="C198" s="14" t="n"/>
      <c r="D198" s="14" t="n"/>
      <c r="E198" s="14" t="n"/>
      <c r="F198" s="20" t="n"/>
      <c r="G198" s="20" t="n"/>
      <c r="H198" s="14" t="n"/>
      <c r="I198" s="14" t="n"/>
      <c r="J198" s="14" t="n"/>
      <c r="K198" s="14" t="n"/>
      <c r="L198" s="14" t="n"/>
      <c r="M198" s="21">
        <f>ROUND(N(F198)*IFERROR(VLOOKUP(K198,'Tax Codes'!$A$5:$E$300,5,FALSE),0),2)</f>
        <v/>
      </c>
      <c r="N198" s="21">
        <f>ROUND(N(F198)*IFERROR(VLOOKUP(L198,'Tax Codes'!$A$5:$E$300,5,FALSE),0),2)</f>
        <v/>
      </c>
      <c r="O198" s="21">
        <f>IF(G198="",N(F198)+M198-N198,N(G198))</f>
        <v/>
      </c>
      <c r="P198" s="21">
        <f>N(F198)+M198-N198-O198</f>
        <v/>
      </c>
      <c r="Q198" s="16">
        <f>IF(C198="",INDEX('Chart of Accounts'!$A$5:$A$3000,MATCH("other_overhead",'Chart of Accounts'!$F$5:$F$3000,0)),C198&amp;"")</f>
        <v/>
      </c>
      <c r="R198" s="16">
        <f>IF(I198="",INDEX('Chart of Accounts'!$A$5:$A$3000,MATCH("bank",'Chart of Accounts'!$F$5:$F$3000,0)),I198&amp;"")</f>
        <v/>
      </c>
      <c r="S198" s="16">
        <f>IF(J198="",INDEX('Chart of Accounts'!$A$5:$A$3000,MATCH("ap",'Chart of Accounts'!$F$5:$F$3000,0)),J198&amp;"")</f>
        <v/>
      </c>
      <c r="T198" s="16">
        <f>INDEX('Chart of Accounts'!$A$5:$A$3000,MATCH("vat_input",'Chart of Accounts'!$F$5:$F$3000,0))</f>
        <v/>
      </c>
      <c r="U198" s="16">
        <f>INDEX('Chart of Accounts'!$A$5:$A$3000,MATCH("wht_payable",'Chart of Accounts'!$F$5:$F$3000,0))</f>
        <v/>
      </c>
      <c r="V198" s="23">
        <f>IFERROR(INDEX('Chart of Accounts'!$C$5:$C$3000,MATCH(Q198&amp;"",'Chart of Accounts'!$A$5:$A$3000,0))&amp;"|"&amp;INDEX('Chart of Accounts'!$D$5:$D$3000,MATCH(Q198&amp;"",'Chart of Accounts'!$A$5:$A$3000,0)),"")</f>
        <v/>
      </c>
      <c r="W198" s="23">
        <f>IFERROR(INDEX('Chart of Accounts'!$C$5:$C$3000,MATCH(T198&amp;"",'Chart of Accounts'!$A$5:$A$3000,0))&amp;"|"&amp;INDEX('Chart of Accounts'!$D$5:$D$3000,MATCH(T198&amp;"",'Chart of Accounts'!$A$5:$A$3000,0)),"")</f>
        <v/>
      </c>
      <c r="X198" s="23">
        <f>IFERROR(INDEX('Chart of Accounts'!$C$5:$C$3000,MATCH(R198&amp;"",'Chart of Accounts'!$A$5:$A$3000,0))&amp;"|"&amp;INDEX('Chart of Accounts'!$D$5:$D$3000,MATCH(R198&amp;"",'Chart of Accounts'!$A$5:$A$3000,0)),"")</f>
        <v/>
      </c>
      <c r="Y198" s="23">
        <f>IFERROR(INDEX('Chart of Accounts'!$C$5:$C$3000,MATCH(S198&amp;"",'Chart of Accounts'!$A$5:$A$3000,0))&amp;"|"&amp;INDEX('Chart of Accounts'!$D$5:$D$3000,MATCH(S198&amp;"",'Chart of Accounts'!$A$5:$A$3000,0)),"")</f>
        <v/>
      </c>
      <c r="Z198" s="23">
        <f>IFERROR(INDEX('Chart of Accounts'!$C$5:$C$3000,MATCH(U198&amp;"",'Chart of Accounts'!$A$5:$A$3000,0))&amp;"|"&amp;INDEX('Chart of Accounts'!$D$5:$D$3000,MATCH(U198&amp;"",'Chart of Accounts'!$A$5:$A$3000,0)),"")</f>
        <v/>
      </c>
      <c r="AA198" s="23">
        <f>IF(LEFT(V198,8)="Revenue|",-N(F198),0)+IF(LEFT(W198,8)="Revenue|",-N(M198),0)+IF(LEFT(X198,8)="Revenue|",N(O198),0)+IF(LEFT(Y198,8)="Revenue|",N(P198),0)+IF(LEFT(Z198,8)="Revenue|",N(N198),0)</f>
        <v/>
      </c>
      <c r="AB198" s="23">
        <f>IF(LEFT(V198,5)="COGS|",N(F198),0)+IF(LEFT(W198,5)="COGS|",N(M198),0)+IF(LEFT(X198,5)="COGS|",-N(O198),0)+IF(LEFT(Y198,5)="COGS|",-N(P198),0)+IF(LEFT(Z198,5)="COGS|",-N(N198),0)</f>
        <v/>
      </c>
      <c r="AC198" s="23">
        <f>IF(LEFT(V198,8)="Expense|",N(F198),0)+IF(LEFT(W198,8)="Expense|",N(M198),0)+IF(LEFT(X198,8)="Expense|",-N(O198),0)+IF(LEFT(Y198,8)="Expense|",-N(P198),0)+IF(LEFT(Z198,8)="Expense|",-N(N198),0)</f>
        <v/>
      </c>
      <c r="AD198" s="23">
        <f>IF(ISNUMBER(MATCH(V198,{"Expense|employee","Expense|general_admin","Expense|marketing","Expense|utilities","Expense|other_operating"},0)),N(F198),0)+IF(ISNUMBER(MATCH(W198,{"Expense|employee","Expense|general_admin","Expense|marketing","Expense|utilities","Expense|other_operating"},0)),N(M198),0)+IF(ISNUMBER(MATCH(X198,{"Expense|employee","Expense|general_admin","Expense|marketing","Expense|utilities","Expense|other_operating"},0)),-N(O198),0)+IF(ISNUMBER(MATCH(Y198,{"Expense|employee","Expense|general_admin","Expense|marketing","Expense|utilities","Expense|other_operating"},0)),-N(P198),0)+IF(ISNUMBER(MATCH(Z198,{"Expense|employee","Expense|general_admin","Expense|marketing","Expense|utilities","Expense|other_operating"},0)),-N(N198),0)</f>
        <v/>
      </c>
      <c r="AE198" s="23">
        <f>IF(V198="Liability|payable",-N(F198),0)+IF(W198="Liability|payable",-N(M198),0)+IF(X198="Liability|payable",N(O198),0)+IF(Y198="Liability|payable",N(P198),0)+IF(Z198="Liability|payable",N(N198),0)</f>
        <v/>
      </c>
      <c r="AF198" s="23">
        <f>IF(V198="Liability|accrued",-N(F198),0)+IF(W198="Liability|accrued",-N(M198),0)+IF(X198="Liability|accrued",N(O198),0)+IF(Y198="Liability|accrued",N(P198),0)+IF(Z198="Liability|accrued",N(N198),0)</f>
        <v/>
      </c>
      <c r="AG198" s="23">
        <f>IF(AND(N(F198)&lt;&gt;0,V198=""),1,0)+IF(AND(N(M198)&lt;&gt;0,W198=""),1,0)+IF(AND(N(O198)&lt;&gt;0,X198=""),1,0)+IF(AND(N(P198)&lt;&gt;0,Y198=""),1,0)+IF(AND(N(N198)&lt;&gt;0,Z198=""),1,0)</f>
        <v/>
      </c>
    </row>
    <row r="199">
      <c r="A199" s="19" t="n"/>
      <c r="B199" s="14" t="n"/>
      <c r="C199" s="14" t="n"/>
      <c r="D199" s="14" t="n"/>
      <c r="E199" s="14" t="n"/>
      <c r="F199" s="20" t="n"/>
      <c r="G199" s="20" t="n"/>
      <c r="H199" s="14" t="n"/>
      <c r="I199" s="14" t="n"/>
      <c r="J199" s="14" t="n"/>
      <c r="K199" s="14" t="n"/>
      <c r="L199" s="14" t="n"/>
      <c r="M199" s="21">
        <f>ROUND(N(F199)*IFERROR(VLOOKUP(K199,'Tax Codes'!$A$5:$E$300,5,FALSE),0),2)</f>
        <v/>
      </c>
      <c r="N199" s="21">
        <f>ROUND(N(F199)*IFERROR(VLOOKUP(L199,'Tax Codes'!$A$5:$E$300,5,FALSE),0),2)</f>
        <v/>
      </c>
      <c r="O199" s="21">
        <f>IF(G199="",N(F199)+M199-N199,N(G199))</f>
        <v/>
      </c>
      <c r="P199" s="21">
        <f>N(F199)+M199-N199-O199</f>
        <v/>
      </c>
      <c r="Q199" s="16">
        <f>IF(C199="",INDEX('Chart of Accounts'!$A$5:$A$3000,MATCH("other_overhead",'Chart of Accounts'!$F$5:$F$3000,0)),C199&amp;"")</f>
        <v/>
      </c>
      <c r="R199" s="16">
        <f>IF(I199="",INDEX('Chart of Accounts'!$A$5:$A$3000,MATCH("bank",'Chart of Accounts'!$F$5:$F$3000,0)),I199&amp;"")</f>
        <v/>
      </c>
      <c r="S199" s="16">
        <f>IF(J199="",INDEX('Chart of Accounts'!$A$5:$A$3000,MATCH("ap",'Chart of Accounts'!$F$5:$F$3000,0)),J199&amp;"")</f>
        <v/>
      </c>
      <c r="T199" s="16">
        <f>INDEX('Chart of Accounts'!$A$5:$A$3000,MATCH("vat_input",'Chart of Accounts'!$F$5:$F$3000,0))</f>
        <v/>
      </c>
      <c r="U199" s="16">
        <f>INDEX('Chart of Accounts'!$A$5:$A$3000,MATCH("wht_payable",'Chart of Accounts'!$F$5:$F$3000,0))</f>
        <v/>
      </c>
      <c r="V199" s="23">
        <f>IFERROR(INDEX('Chart of Accounts'!$C$5:$C$3000,MATCH(Q199&amp;"",'Chart of Accounts'!$A$5:$A$3000,0))&amp;"|"&amp;INDEX('Chart of Accounts'!$D$5:$D$3000,MATCH(Q199&amp;"",'Chart of Accounts'!$A$5:$A$3000,0)),"")</f>
        <v/>
      </c>
      <c r="W199" s="23">
        <f>IFERROR(INDEX('Chart of Accounts'!$C$5:$C$3000,MATCH(T199&amp;"",'Chart of Accounts'!$A$5:$A$3000,0))&amp;"|"&amp;INDEX('Chart of Accounts'!$D$5:$D$3000,MATCH(T199&amp;"",'Chart of Accounts'!$A$5:$A$3000,0)),"")</f>
        <v/>
      </c>
      <c r="X199" s="23">
        <f>IFERROR(INDEX('Chart of Accounts'!$C$5:$C$3000,MATCH(R199&amp;"",'Chart of Accounts'!$A$5:$A$3000,0))&amp;"|"&amp;INDEX('Chart of Accounts'!$D$5:$D$3000,MATCH(R199&amp;"",'Chart of Accounts'!$A$5:$A$3000,0)),"")</f>
        <v/>
      </c>
      <c r="Y199" s="23">
        <f>IFERROR(INDEX('Chart of Accounts'!$C$5:$C$3000,MATCH(S199&amp;"",'Chart of Accounts'!$A$5:$A$3000,0))&amp;"|"&amp;INDEX('Chart of Accounts'!$D$5:$D$3000,MATCH(S199&amp;"",'Chart of Accounts'!$A$5:$A$3000,0)),"")</f>
        <v/>
      </c>
      <c r="Z199" s="23">
        <f>IFERROR(INDEX('Chart of Accounts'!$C$5:$C$3000,MATCH(U199&amp;"",'Chart of Accounts'!$A$5:$A$3000,0))&amp;"|"&amp;INDEX('Chart of Accounts'!$D$5:$D$3000,MATCH(U199&amp;"",'Chart of Accounts'!$A$5:$A$3000,0)),"")</f>
        <v/>
      </c>
      <c r="AA199" s="23">
        <f>IF(LEFT(V199,8)="Revenue|",-N(F199),0)+IF(LEFT(W199,8)="Revenue|",-N(M199),0)+IF(LEFT(X199,8)="Revenue|",N(O199),0)+IF(LEFT(Y199,8)="Revenue|",N(P199),0)+IF(LEFT(Z199,8)="Revenue|",N(N199),0)</f>
        <v/>
      </c>
      <c r="AB199" s="23">
        <f>IF(LEFT(V199,5)="COGS|",N(F199),0)+IF(LEFT(W199,5)="COGS|",N(M199),0)+IF(LEFT(X199,5)="COGS|",-N(O199),0)+IF(LEFT(Y199,5)="COGS|",-N(P199),0)+IF(LEFT(Z199,5)="COGS|",-N(N199),0)</f>
        <v/>
      </c>
      <c r="AC199" s="23">
        <f>IF(LEFT(V199,8)="Expense|",N(F199),0)+IF(LEFT(W199,8)="Expense|",N(M199),0)+IF(LEFT(X199,8)="Expense|",-N(O199),0)+IF(LEFT(Y199,8)="Expense|",-N(P199),0)+IF(LEFT(Z199,8)="Expense|",-N(N199),0)</f>
        <v/>
      </c>
      <c r="AD199" s="23">
        <f>IF(ISNUMBER(MATCH(V199,{"Expense|employee","Expense|general_admin","Expense|marketing","Expense|utilities","Expense|other_operating"},0)),N(F199),0)+IF(ISNUMBER(MATCH(W199,{"Expense|employee","Expense|general_admin","Expense|marketing","Expense|utilities","Expense|other_operating"},0)),N(M199),0)+IF(ISNUMBER(MATCH(X199,{"Expense|employee","Expense|general_admin","Expense|marketing","Expense|utilities","Expense|other_operating"},0)),-N(O199),0)+IF(ISNUMBER(MATCH(Y199,{"Expense|employee","Expense|general_admin","Expense|marketing","Expense|utilities","Expense|other_operating"},0)),-N(P199),0)+IF(ISNUMBER(MATCH(Z199,{"Expense|employee","Expense|general_admin","Expense|marketing","Expense|utilities","Expense|other_operating"},0)),-N(N199),0)</f>
        <v/>
      </c>
      <c r="AE199" s="23">
        <f>IF(V199="Liability|payable",-N(F199),0)+IF(W199="Liability|payable",-N(M199),0)+IF(X199="Liability|payable",N(O199),0)+IF(Y199="Liability|payable",N(P199),0)+IF(Z199="Liability|payable",N(N199),0)</f>
        <v/>
      </c>
      <c r="AF199" s="23">
        <f>IF(V199="Liability|accrued",-N(F199),0)+IF(W199="Liability|accrued",-N(M199),0)+IF(X199="Liability|accrued",N(O199),0)+IF(Y199="Liability|accrued",N(P199),0)+IF(Z199="Liability|accrued",N(N199),0)</f>
        <v/>
      </c>
      <c r="AG199" s="23">
        <f>IF(AND(N(F199)&lt;&gt;0,V199=""),1,0)+IF(AND(N(M199)&lt;&gt;0,W199=""),1,0)+IF(AND(N(O199)&lt;&gt;0,X199=""),1,0)+IF(AND(N(P199)&lt;&gt;0,Y199=""),1,0)+IF(AND(N(N199)&lt;&gt;0,Z199=""),1,0)</f>
        <v/>
      </c>
    </row>
    <row r="200">
      <c r="A200" s="19" t="n"/>
      <c r="B200" s="14" t="n"/>
      <c r="C200" s="14" t="n"/>
      <c r="D200" s="14" t="n"/>
      <c r="E200" s="14" t="n"/>
      <c r="F200" s="20" t="n"/>
      <c r="G200" s="20" t="n"/>
      <c r="H200" s="14" t="n"/>
      <c r="I200" s="14" t="n"/>
      <c r="J200" s="14" t="n"/>
      <c r="K200" s="14" t="n"/>
      <c r="L200" s="14" t="n"/>
      <c r="M200" s="21">
        <f>ROUND(N(F200)*IFERROR(VLOOKUP(K200,'Tax Codes'!$A$5:$E$300,5,FALSE),0),2)</f>
        <v/>
      </c>
      <c r="N200" s="21">
        <f>ROUND(N(F200)*IFERROR(VLOOKUP(L200,'Tax Codes'!$A$5:$E$300,5,FALSE),0),2)</f>
        <v/>
      </c>
      <c r="O200" s="21">
        <f>IF(G200="",N(F200)+M200-N200,N(G200))</f>
        <v/>
      </c>
      <c r="P200" s="21">
        <f>N(F200)+M200-N200-O200</f>
        <v/>
      </c>
      <c r="Q200" s="16">
        <f>IF(C200="",INDEX('Chart of Accounts'!$A$5:$A$3000,MATCH("other_overhead",'Chart of Accounts'!$F$5:$F$3000,0)),C200&amp;"")</f>
        <v/>
      </c>
      <c r="R200" s="16">
        <f>IF(I200="",INDEX('Chart of Accounts'!$A$5:$A$3000,MATCH("bank",'Chart of Accounts'!$F$5:$F$3000,0)),I200&amp;"")</f>
        <v/>
      </c>
      <c r="S200" s="16">
        <f>IF(J200="",INDEX('Chart of Accounts'!$A$5:$A$3000,MATCH("ap",'Chart of Accounts'!$F$5:$F$3000,0)),J200&amp;"")</f>
        <v/>
      </c>
      <c r="T200" s="16">
        <f>INDEX('Chart of Accounts'!$A$5:$A$3000,MATCH("vat_input",'Chart of Accounts'!$F$5:$F$3000,0))</f>
        <v/>
      </c>
      <c r="U200" s="16">
        <f>INDEX('Chart of Accounts'!$A$5:$A$3000,MATCH("wht_payable",'Chart of Accounts'!$F$5:$F$3000,0))</f>
        <v/>
      </c>
      <c r="V200" s="23">
        <f>IFERROR(INDEX('Chart of Accounts'!$C$5:$C$3000,MATCH(Q200&amp;"",'Chart of Accounts'!$A$5:$A$3000,0))&amp;"|"&amp;INDEX('Chart of Accounts'!$D$5:$D$3000,MATCH(Q200&amp;"",'Chart of Accounts'!$A$5:$A$3000,0)),"")</f>
        <v/>
      </c>
      <c r="W200" s="23">
        <f>IFERROR(INDEX('Chart of Accounts'!$C$5:$C$3000,MATCH(T200&amp;"",'Chart of Accounts'!$A$5:$A$3000,0))&amp;"|"&amp;INDEX('Chart of Accounts'!$D$5:$D$3000,MATCH(T200&amp;"",'Chart of Accounts'!$A$5:$A$3000,0)),"")</f>
        <v/>
      </c>
      <c r="X200" s="23">
        <f>IFERROR(INDEX('Chart of Accounts'!$C$5:$C$3000,MATCH(R200&amp;"",'Chart of Accounts'!$A$5:$A$3000,0))&amp;"|"&amp;INDEX('Chart of Accounts'!$D$5:$D$3000,MATCH(R200&amp;"",'Chart of Accounts'!$A$5:$A$3000,0)),"")</f>
        <v/>
      </c>
      <c r="Y200" s="23">
        <f>IFERROR(INDEX('Chart of Accounts'!$C$5:$C$3000,MATCH(S200&amp;"",'Chart of Accounts'!$A$5:$A$3000,0))&amp;"|"&amp;INDEX('Chart of Accounts'!$D$5:$D$3000,MATCH(S200&amp;"",'Chart of Accounts'!$A$5:$A$3000,0)),"")</f>
        <v/>
      </c>
      <c r="Z200" s="23">
        <f>IFERROR(INDEX('Chart of Accounts'!$C$5:$C$3000,MATCH(U200&amp;"",'Chart of Accounts'!$A$5:$A$3000,0))&amp;"|"&amp;INDEX('Chart of Accounts'!$D$5:$D$3000,MATCH(U200&amp;"",'Chart of Accounts'!$A$5:$A$3000,0)),"")</f>
        <v/>
      </c>
      <c r="AA200" s="23">
        <f>IF(LEFT(V200,8)="Revenue|",-N(F200),0)+IF(LEFT(W200,8)="Revenue|",-N(M200),0)+IF(LEFT(X200,8)="Revenue|",N(O200),0)+IF(LEFT(Y200,8)="Revenue|",N(P200),0)+IF(LEFT(Z200,8)="Revenue|",N(N200),0)</f>
        <v/>
      </c>
      <c r="AB200" s="23">
        <f>IF(LEFT(V200,5)="COGS|",N(F200),0)+IF(LEFT(W200,5)="COGS|",N(M200),0)+IF(LEFT(X200,5)="COGS|",-N(O200),0)+IF(LEFT(Y200,5)="COGS|",-N(P200),0)+IF(LEFT(Z200,5)="COGS|",-N(N200),0)</f>
        <v/>
      </c>
      <c r="AC200" s="23">
        <f>IF(LEFT(V200,8)="Expense|",N(F200),0)+IF(LEFT(W200,8)="Expense|",N(M200),0)+IF(LEFT(X200,8)="Expense|",-N(O200),0)+IF(LEFT(Y200,8)="Expense|",-N(P200),0)+IF(LEFT(Z200,8)="Expense|",-N(N200),0)</f>
        <v/>
      </c>
      <c r="AD200" s="23">
        <f>IF(ISNUMBER(MATCH(V200,{"Expense|employee","Expense|general_admin","Expense|marketing","Expense|utilities","Expense|other_operating"},0)),N(F200),0)+IF(ISNUMBER(MATCH(W200,{"Expense|employee","Expense|general_admin","Expense|marketing","Expense|utilities","Expense|other_operating"},0)),N(M200),0)+IF(ISNUMBER(MATCH(X200,{"Expense|employee","Expense|general_admin","Expense|marketing","Expense|utilities","Expense|other_operating"},0)),-N(O200),0)+IF(ISNUMBER(MATCH(Y200,{"Expense|employee","Expense|general_admin","Expense|marketing","Expense|utilities","Expense|other_operating"},0)),-N(P200),0)+IF(ISNUMBER(MATCH(Z200,{"Expense|employee","Expense|general_admin","Expense|marketing","Expense|utilities","Expense|other_operating"},0)),-N(N200),0)</f>
        <v/>
      </c>
      <c r="AE200" s="23">
        <f>IF(V200="Liability|payable",-N(F200),0)+IF(W200="Liability|payable",-N(M200),0)+IF(X200="Liability|payable",N(O200),0)+IF(Y200="Liability|payable",N(P200),0)+IF(Z200="Liability|payable",N(N200),0)</f>
        <v/>
      </c>
      <c r="AF200" s="23">
        <f>IF(V200="Liability|accrued",-N(F200),0)+IF(W200="Liability|accrued",-N(M200),0)+IF(X200="Liability|accrued",N(O200),0)+IF(Y200="Liability|accrued",N(P200),0)+IF(Z200="Liability|accrued",N(N200),0)</f>
        <v/>
      </c>
      <c r="AG200" s="23">
        <f>IF(AND(N(F200)&lt;&gt;0,V200=""),1,0)+IF(AND(N(M200)&lt;&gt;0,W200=""),1,0)+IF(AND(N(O200)&lt;&gt;0,X200=""),1,0)+IF(AND(N(P200)&lt;&gt;0,Y200=""),1,0)+IF(AND(N(N200)&lt;&gt;0,Z200=""),1,0)</f>
        <v/>
      </c>
    </row>
    <row r="201">
      <c r="A201" s="19" t="n"/>
      <c r="B201" s="14" t="n"/>
      <c r="C201" s="14" t="n"/>
      <c r="D201" s="14" t="n"/>
      <c r="E201" s="14" t="n"/>
      <c r="F201" s="20" t="n"/>
      <c r="G201" s="20" t="n"/>
      <c r="H201" s="14" t="n"/>
      <c r="I201" s="14" t="n"/>
      <c r="J201" s="14" t="n"/>
      <c r="K201" s="14" t="n"/>
      <c r="L201" s="14" t="n"/>
      <c r="M201" s="21">
        <f>ROUND(N(F201)*IFERROR(VLOOKUP(K201,'Tax Codes'!$A$5:$E$300,5,FALSE),0),2)</f>
        <v/>
      </c>
      <c r="N201" s="21">
        <f>ROUND(N(F201)*IFERROR(VLOOKUP(L201,'Tax Codes'!$A$5:$E$300,5,FALSE),0),2)</f>
        <v/>
      </c>
      <c r="O201" s="21">
        <f>IF(G201="",N(F201)+M201-N201,N(G201))</f>
        <v/>
      </c>
      <c r="P201" s="21">
        <f>N(F201)+M201-N201-O201</f>
        <v/>
      </c>
      <c r="Q201" s="16">
        <f>IF(C201="",INDEX('Chart of Accounts'!$A$5:$A$3000,MATCH("other_overhead",'Chart of Accounts'!$F$5:$F$3000,0)),C201&amp;"")</f>
        <v/>
      </c>
      <c r="R201" s="16">
        <f>IF(I201="",INDEX('Chart of Accounts'!$A$5:$A$3000,MATCH("bank",'Chart of Accounts'!$F$5:$F$3000,0)),I201&amp;"")</f>
        <v/>
      </c>
      <c r="S201" s="16">
        <f>IF(J201="",INDEX('Chart of Accounts'!$A$5:$A$3000,MATCH("ap",'Chart of Accounts'!$F$5:$F$3000,0)),J201&amp;"")</f>
        <v/>
      </c>
      <c r="T201" s="16">
        <f>INDEX('Chart of Accounts'!$A$5:$A$3000,MATCH("vat_input",'Chart of Accounts'!$F$5:$F$3000,0))</f>
        <v/>
      </c>
      <c r="U201" s="16">
        <f>INDEX('Chart of Accounts'!$A$5:$A$3000,MATCH("wht_payable",'Chart of Accounts'!$F$5:$F$3000,0))</f>
        <v/>
      </c>
      <c r="V201" s="23">
        <f>IFERROR(INDEX('Chart of Accounts'!$C$5:$C$3000,MATCH(Q201&amp;"",'Chart of Accounts'!$A$5:$A$3000,0))&amp;"|"&amp;INDEX('Chart of Accounts'!$D$5:$D$3000,MATCH(Q201&amp;"",'Chart of Accounts'!$A$5:$A$3000,0)),"")</f>
        <v/>
      </c>
      <c r="W201" s="23">
        <f>IFERROR(INDEX('Chart of Accounts'!$C$5:$C$3000,MATCH(T201&amp;"",'Chart of Accounts'!$A$5:$A$3000,0))&amp;"|"&amp;INDEX('Chart of Accounts'!$D$5:$D$3000,MATCH(T201&amp;"",'Chart of Accounts'!$A$5:$A$3000,0)),"")</f>
        <v/>
      </c>
      <c r="X201" s="23">
        <f>IFERROR(INDEX('Chart of Accounts'!$C$5:$C$3000,MATCH(R201&amp;"",'Chart of Accounts'!$A$5:$A$3000,0))&amp;"|"&amp;INDEX('Chart of Accounts'!$D$5:$D$3000,MATCH(R201&amp;"",'Chart of Accounts'!$A$5:$A$3000,0)),"")</f>
        <v/>
      </c>
      <c r="Y201" s="23">
        <f>IFERROR(INDEX('Chart of Accounts'!$C$5:$C$3000,MATCH(S201&amp;"",'Chart of Accounts'!$A$5:$A$3000,0))&amp;"|"&amp;INDEX('Chart of Accounts'!$D$5:$D$3000,MATCH(S201&amp;"",'Chart of Accounts'!$A$5:$A$3000,0)),"")</f>
        <v/>
      </c>
      <c r="Z201" s="23">
        <f>IFERROR(INDEX('Chart of Accounts'!$C$5:$C$3000,MATCH(U201&amp;"",'Chart of Accounts'!$A$5:$A$3000,0))&amp;"|"&amp;INDEX('Chart of Accounts'!$D$5:$D$3000,MATCH(U201&amp;"",'Chart of Accounts'!$A$5:$A$3000,0)),"")</f>
        <v/>
      </c>
      <c r="AA201" s="23">
        <f>IF(LEFT(V201,8)="Revenue|",-N(F201),0)+IF(LEFT(W201,8)="Revenue|",-N(M201),0)+IF(LEFT(X201,8)="Revenue|",N(O201),0)+IF(LEFT(Y201,8)="Revenue|",N(P201),0)+IF(LEFT(Z201,8)="Revenue|",N(N201),0)</f>
        <v/>
      </c>
      <c r="AB201" s="23">
        <f>IF(LEFT(V201,5)="COGS|",N(F201),0)+IF(LEFT(W201,5)="COGS|",N(M201),0)+IF(LEFT(X201,5)="COGS|",-N(O201),0)+IF(LEFT(Y201,5)="COGS|",-N(P201),0)+IF(LEFT(Z201,5)="COGS|",-N(N201),0)</f>
        <v/>
      </c>
      <c r="AC201" s="23">
        <f>IF(LEFT(V201,8)="Expense|",N(F201),0)+IF(LEFT(W201,8)="Expense|",N(M201),0)+IF(LEFT(X201,8)="Expense|",-N(O201),0)+IF(LEFT(Y201,8)="Expense|",-N(P201),0)+IF(LEFT(Z201,8)="Expense|",-N(N201),0)</f>
        <v/>
      </c>
      <c r="AD201" s="23">
        <f>IF(ISNUMBER(MATCH(V201,{"Expense|employee","Expense|general_admin","Expense|marketing","Expense|utilities","Expense|other_operating"},0)),N(F201),0)+IF(ISNUMBER(MATCH(W201,{"Expense|employee","Expense|general_admin","Expense|marketing","Expense|utilities","Expense|other_operating"},0)),N(M201),0)+IF(ISNUMBER(MATCH(X201,{"Expense|employee","Expense|general_admin","Expense|marketing","Expense|utilities","Expense|other_operating"},0)),-N(O201),0)+IF(ISNUMBER(MATCH(Y201,{"Expense|employee","Expense|general_admin","Expense|marketing","Expense|utilities","Expense|other_operating"},0)),-N(P201),0)+IF(ISNUMBER(MATCH(Z201,{"Expense|employee","Expense|general_admin","Expense|marketing","Expense|utilities","Expense|other_operating"},0)),-N(N201),0)</f>
        <v/>
      </c>
      <c r="AE201" s="23">
        <f>IF(V201="Liability|payable",-N(F201),0)+IF(W201="Liability|payable",-N(M201),0)+IF(X201="Liability|payable",N(O201),0)+IF(Y201="Liability|payable",N(P201),0)+IF(Z201="Liability|payable",N(N201),0)</f>
        <v/>
      </c>
      <c r="AF201" s="23">
        <f>IF(V201="Liability|accrued",-N(F201),0)+IF(W201="Liability|accrued",-N(M201),0)+IF(X201="Liability|accrued",N(O201),0)+IF(Y201="Liability|accrued",N(P201),0)+IF(Z201="Liability|accrued",N(N201),0)</f>
        <v/>
      </c>
      <c r="AG201" s="23">
        <f>IF(AND(N(F201)&lt;&gt;0,V201=""),1,0)+IF(AND(N(M201)&lt;&gt;0,W201=""),1,0)+IF(AND(N(O201)&lt;&gt;0,X201=""),1,0)+IF(AND(N(P201)&lt;&gt;0,Y201=""),1,0)+IF(AND(N(N201)&lt;&gt;0,Z201=""),1,0)</f>
        <v/>
      </c>
    </row>
    <row r="202">
      <c r="A202" s="19" t="n"/>
      <c r="B202" s="14" t="n"/>
      <c r="C202" s="14" t="n"/>
      <c r="D202" s="14" t="n"/>
      <c r="E202" s="14" t="n"/>
      <c r="F202" s="20" t="n"/>
      <c r="G202" s="20" t="n"/>
      <c r="H202" s="14" t="n"/>
      <c r="I202" s="14" t="n"/>
      <c r="J202" s="14" t="n"/>
      <c r="K202" s="14" t="n"/>
      <c r="L202" s="14" t="n"/>
      <c r="M202" s="21">
        <f>ROUND(N(F202)*IFERROR(VLOOKUP(K202,'Tax Codes'!$A$5:$E$300,5,FALSE),0),2)</f>
        <v/>
      </c>
      <c r="N202" s="21">
        <f>ROUND(N(F202)*IFERROR(VLOOKUP(L202,'Tax Codes'!$A$5:$E$300,5,FALSE),0),2)</f>
        <v/>
      </c>
      <c r="O202" s="21">
        <f>IF(G202="",N(F202)+M202-N202,N(G202))</f>
        <v/>
      </c>
      <c r="P202" s="21">
        <f>N(F202)+M202-N202-O202</f>
        <v/>
      </c>
      <c r="Q202" s="16">
        <f>IF(C202="",INDEX('Chart of Accounts'!$A$5:$A$3000,MATCH("other_overhead",'Chart of Accounts'!$F$5:$F$3000,0)),C202&amp;"")</f>
        <v/>
      </c>
      <c r="R202" s="16">
        <f>IF(I202="",INDEX('Chart of Accounts'!$A$5:$A$3000,MATCH("bank",'Chart of Accounts'!$F$5:$F$3000,0)),I202&amp;"")</f>
        <v/>
      </c>
      <c r="S202" s="16">
        <f>IF(J202="",INDEX('Chart of Accounts'!$A$5:$A$3000,MATCH("ap",'Chart of Accounts'!$F$5:$F$3000,0)),J202&amp;"")</f>
        <v/>
      </c>
      <c r="T202" s="16">
        <f>INDEX('Chart of Accounts'!$A$5:$A$3000,MATCH("vat_input",'Chart of Accounts'!$F$5:$F$3000,0))</f>
        <v/>
      </c>
      <c r="U202" s="16">
        <f>INDEX('Chart of Accounts'!$A$5:$A$3000,MATCH("wht_payable",'Chart of Accounts'!$F$5:$F$3000,0))</f>
        <v/>
      </c>
      <c r="V202" s="23">
        <f>IFERROR(INDEX('Chart of Accounts'!$C$5:$C$3000,MATCH(Q202&amp;"",'Chart of Accounts'!$A$5:$A$3000,0))&amp;"|"&amp;INDEX('Chart of Accounts'!$D$5:$D$3000,MATCH(Q202&amp;"",'Chart of Accounts'!$A$5:$A$3000,0)),"")</f>
        <v/>
      </c>
      <c r="W202" s="23">
        <f>IFERROR(INDEX('Chart of Accounts'!$C$5:$C$3000,MATCH(T202&amp;"",'Chart of Accounts'!$A$5:$A$3000,0))&amp;"|"&amp;INDEX('Chart of Accounts'!$D$5:$D$3000,MATCH(T202&amp;"",'Chart of Accounts'!$A$5:$A$3000,0)),"")</f>
        <v/>
      </c>
      <c r="X202" s="23">
        <f>IFERROR(INDEX('Chart of Accounts'!$C$5:$C$3000,MATCH(R202&amp;"",'Chart of Accounts'!$A$5:$A$3000,0))&amp;"|"&amp;INDEX('Chart of Accounts'!$D$5:$D$3000,MATCH(R202&amp;"",'Chart of Accounts'!$A$5:$A$3000,0)),"")</f>
        <v/>
      </c>
      <c r="Y202" s="23">
        <f>IFERROR(INDEX('Chart of Accounts'!$C$5:$C$3000,MATCH(S202&amp;"",'Chart of Accounts'!$A$5:$A$3000,0))&amp;"|"&amp;INDEX('Chart of Accounts'!$D$5:$D$3000,MATCH(S202&amp;"",'Chart of Accounts'!$A$5:$A$3000,0)),"")</f>
        <v/>
      </c>
      <c r="Z202" s="23">
        <f>IFERROR(INDEX('Chart of Accounts'!$C$5:$C$3000,MATCH(U202&amp;"",'Chart of Accounts'!$A$5:$A$3000,0))&amp;"|"&amp;INDEX('Chart of Accounts'!$D$5:$D$3000,MATCH(U202&amp;"",'Chart of Accounts'!$A$5:$A$3000,0)),"")</f>
        <v/>
      </c>
      <c r="AA202" s="23">
        <f>IF(LEFT(V202,8)="Revenue|",-N(F202),0)+IF(LEFT(W202,8)="Revenue|",-N(M202),0)+IF(LEFT(X202,8)="Revenue|",N(O202),0)+IF(LEFT(Y202,8)="Revenue|",N(P202),0)+IF(LEFT(Z202,8)="Revenue|",N(N202),0)</f>
        <v/>
      </c>
      <c r="AB202" s="23">
        <f>IF(LEFT(V202,5)="COGS|",N(F202),0)+IF(LEFT(W202,5)="COGS|",N(M202),0)+IF(LEFT(X202,5)="COGS|",-N(O202),0)+IF(LEFT(Y202,5)="COGS|",-N(P202),0)+IF(LEFT(Z202,5)="COGS|",-N(N202),0)</f>
        <v/>
      </c>
      <c r="AC202" s="23">
        <f>IF(LEFT(V202,8)="Expense|",N(F202),0)+IF(LEFT(W202,8)="Expense|",N(M202),0)+IF(LEFT(X202,8)="Expense|",-N(O202),0)+IF(LEFT(Y202,8)="Expense|",-N(P202),0)+IF(LEFT(Z202,8)="Expense|",-N(N202),0)</f>
        <v/>
      </c>
      <c r="AD202" s="23">
        <f>IF(ISNUMBER(MATCH(V202,{"Expense|employee","Expense|general_admin","Expense|marketing","Expense|utilities","Expense|other_operating"},0)),N(F202),0)+IF(ISNUMBER(MATCH(W202,{"Expense|employee","Expense|general_admin","Expense|marketing","Expense|utilities","Expense|other_operating"},0)),N(M202),0)+IF(ISNUMBER(MATCH(X202,{"Expense|employee","Expense|general_admin","Expense|marketing","Expense|utilities","Expense|other_operating"},0)),-N(O202),0)+IF(ISNUMBER(MATCH(Y202,{"Expense|employee","Expense|general_admin","Expense|marketing","Expense|utilities","Expense|other_operating"},0)),-N(P202),0)+IF(ISNUMBER(MATCH(Z202,{"Expense|employee","Expense|general_admin","Expense|marketing","Expense|utilities","Expense|other_operating"},0)),-N(N202),0)</f>
        <v/>
      </c>
      <c r="AE202" s="23">
        <f>IF(V202="Liability|payable",-N(F202),0)+IF(W202="Liability|payable",-N(M202),0)+IF(X202="Liability|payable",N(O202),0)+IF(Y202="Liability|payable",N(P202),0)+IF(Z202="Liability|payable",N(N202),0)</f>
        <v/>
      </c>
      <c r="AF202" s="23">
        <f>IF(V202="Liability|accrued",-N(F202),0)+IF(W202="Liability|accrued",-N(M202),0)+IF(X202="Liability|accrued",N(O202),0)+IF(Y202="Liability|accrued",N(P202),0)+IF(Z202="Liability|accrued",N(N202),0)</f>
        <v/>
      </c>
      <c r="AG202" s="23">
        <f>IF(AND(N(F202)&lt;&gt;0,V202=""),1,0)+IF(AND(N(M202)&lt;&gt;0,W202=""),1,0)+IF(AND(N(O202)&lt;&gt;0,X202=""),1,0)+IF(AND(N(P202)&lt;&gt;0,Y202=""),1,0)+IF(AND(N(N202)&lt;&gt;0,Z202=""),1,0)</f>
        <v/>
      </c>
    </row>
    <row r="203">
      <c r="A203" s="19" t="n"/>
      <c r="B203" s="14" t="n"/>
      <c r="C203" s="14" t="n"/>
      <c r="D203" s="14" t="n"/>
      <c r="E203" s="14" t="n"/>
      <c r="F203" s="20" t="n"/>
      <c r="G203" s="20" t="n"/>
      <c r="H203" s="14" t="n"/>
      <c r="I203" s="14" t="n"/>
      <c r="J203" s="14" t="n"/>
      <c r="K203" s="14" t="n"/>
      <c r="L203" s="14" t="n"/>
      <c r="M203" s="21">
        <f>ROUND(N(F203)*IFERROR(VLOOKUP(K203,'Tax Codes'!$A$5:$E$300,5,FALSE),0),2)</f>
        <v/>
      </c>
      <c r="N203" s="21">
        <f>ROUND(N(F203)*IFERROR(VLOOKUP(L203,'Tax Codes'!$A$5:$E$300,5,FALSE),0),2)</f>
        <v/>
      </c>
      <c r="O203" s="21">
        <f>IF(G203="",N(F203)+M203-N203,N(G203))</f>
        <v/>
      </c>
      <c r="P203" s="21">
        <f>N(F203)+M203-N203-O203</f>
        <v/>
      </c>
      <c r="Q203" s="16">
        <f>IF(C203="",INDEX('Chart of Accounts'!$A$5:$A$3000,MATCH("other_overhead",'Chart of Accounts'!$F$5:$F$3000,0)),C203&amp;"")</f>
        <v/>
      </c>
      <c r="R203" s="16">
        <f>IF(I203="",INDEX('Chart of Accounts'!$A$5:$A$3000,MATCH("bank",'Chart of Accounts'!$F$5:$F$3000,0)),I203&amp;"")</f>
        <v/>
      </c>
      <c r="S203" s="16">
        <f>IF(J203="",INDEX('Chart of Accounts'!$A$5:$A$3000,MATCH("ap",'Chart of Accounts'!$F$5:$F$3000,0)),J203&amp;"")</f>
        <v/>
      </c>
      <c r="T203" s="16">
        <f>INDEX('Chart of Accounts'!$A$5:$A$3000,MATCH("vat_input",'Chart of Accounts'!$F$5:$F$3000,0))</f>
        <v/>
      </c>
      <c r="U203" s="16">
        <f>INDEX('Chart of Accounts'!$A$5:$A$3000,MATCH("wht_payable",'Chart of Accounts'!$F$5:$F$3000,0))</f>
        <v/>
      </c>
      <c r="V203" s="23">
        <f>IFERROR(INDEX('Chart of Accounts'!$C$5:$C$3000,MATCH(Q203&amp;"",'Chart of Accounts'!$A$5:$A$3000,0))&amp;"|"&amp;INDEX('Chart of Accounts'!$D$5:$D$3000,MATCH(Q203&amp;"",'Chart of Accounts'!$A$5:$A$3000,0)),"")</f>
        <v/>
      </c>
      <c r="W203" s="23">
        <f>IFERROR(INDEX('Chart of Accounts'!$C$5:$C$3000,MATCH(T203&amp;"",'Chart of Accounts'!$A$5:$A$3000,0))&amp;"|"&amp;INDEX('Chart of Accounts'!$D$5:$D$3000,MATCH(T203&amp;"",'Chart of Accounts'!$A$5:$A$3000,0)),"")</f>
        <v/>
      </c>
      <c r="X203" s="23">
        <f>IFERROR(INDEX('Chart of Accounts'!$C$5:$C$3000,MATCH(R203&amp;"",'Chart of Accounts'!$A$5:$A$3000,0))&amp;"|"&amp;INDEX('Chart of Accounts'!$D$5:$D$3000,MATCH(R203&amp;"",'Chart of Accounts'!$A$5:$A$3000,0)),"")</f>
        <v/>
      </c>
      <c r="Y203" s="23">
        <f>IFERROR(INDEX('Chart of Accounts'!$C$5:$C$3000,MATCH(S203&amp;"",'Chart of Accounts'!$A$5:$A$3000,0))&amp;"|"&amp;INDEX('Chart of Accounts'!$D$5:$D$3000,MATCH(S203&amp;"",'Chart of Accounts'!$A$5:$A$3000,0)),"")</f>
        <v/>
      </c>
      <c r="Z203" s="23">
        <f>IFERROR(INDEX('Chart of Accounts'!$C$5:$C$3000,MATCH(U203&amp;"",'Chart of Accounts'!$A$5:$A$3000,0))&amp;"|"&amp;INDEX('Chart of Accounts'!$D$5:$D$3000,MATCH(U203&amp;"",'Chart of Accounts'!$A$5:$A$3000,0)),"")</f>
        <v/>
      </c>
      <c r="AA203" s="23">
        <f>IF(LEFT(V203,8)="Revenue|",-N(F203),0)+IF(LEFT(W203,8)="Revenue|",-N(M203),0)+IF(LEFT(X203,8)="Revenue|",N(O203),0)+IF(LEFT(Y203,8)="Revenue|",N(P203),0)+IF(LEFT(Z203,8)="Revenue|",N(N203),0)</f>
        <v/>
      </c>
      <c r="AB203" s="23">
        <f>IF(LEFT(V203,5)="COGS|",N(F203),0)+IF(LEFT(W203,5)="COGS|",N(M203),0)+IF(LEFT(X203,5)="COGS|",-N(O203),0)+IF(LEFT(Y203,5)="COGS|",-N(P203),0)+IF(LEFT(Z203,5)="COGS|",-N(N203),0)</f>
        <v/>
      </c>
      <c r="AC203" s="23">
        <f>IF(LEFT(V203,8)="Expense|",N(F203),0)+IF(LEFT(W203,8)="Expense|",N(M203),0)+IF(LEFT(X203,8)="Expense|",-N(O203),0)+IF(LEFT(Y203,8)="Expense|",-N(P203),0)+IF(LEFT(Z203,8)="Expense|",-N(N203),0)</f>
        <v/>
      </c>
      <c r="AD203" s="23">
        <f>IF(ISNUMBER(MATCH(V203,{"Expense|employee","Expense|general_admin","Expense|marketing","Expense|utilities","Expense|other_operating"},0)),N(F203),0)+IF(ISNUMBER(MATCH(W203,{"Expense|employee","Expense|general_admin","Expense|marketing","Expense|utilities","Expense|other_operating"},0)),N(M203),0)+IF(ISNUMBER(MATCH(X203,{"Expense|employee","Expense|general_admin","Expense|marketing","Expense|utilities","Expense|other_operating"},0)),-N(O203),0)+IF(ISNUMBER(MATCH(Y203,{"Expense|employee","Expense|general_admin","Expense|marketing","Expense|utilities","Expense|other_operating"},0)),-N(P203),0)+IF(ISNUMBER(MATCH(Z203,{"Expense|employee","Expense|general_admin","Expense|marketing","Expense|utilities","Expense|other_operating"},0)),-N(N203),0)</f>
        <v/>
      </c>
      <c r="AE203" s="23">
        <f>IF(V203="Liability|payable",-N(F203),0)+IF(W203="Liability|payable",-N(M203),0)+IF(X203="Liability|payable",N(O203),0)+IF(Y203="Liability|payable",N(P203),0)+IF(Z203="Liability|payable",N(N203),0)</f>
        <v/>
      </c>
      <c r="AF203" s="23">
        <f>IF(V203="Liability|accrued",-N(F203),0)+IF(W203="Liability|accrued",-N(M203),0)+IF(X203="Liability|accrued",N(O203),0)+IF(Y203="Liability|accrued",N(P203),0)+IF(Z203="Liability|accrued",N(N203),0)</f>
        <v/>
      </c>
      <c r="AG203" s="23">
        <f>IF(AND(N(F203)&lt;&gt;0,V203=""),1,0)+IF(AND(N(M203)&lt;&gt;0,W203=""),1,0)+IF(AND(N(O203)&lt;&gt;0,X203=""),1,0)+IF(AND(N(P203)&lt;&gt;0,Y203=""),1,0)+IF(AND(N(N203)&lt;&gt;0,Z203=""),1,0)</f>
        <v/>
      </c>
    </row>
    <row r="204">
      <c r="A204" s="19" t="n"/>
      <c r="B204" s="14" t="n"/>
      <c r="C204" s="14" t="n"/>
      <c r="D204" s="14" t="n"/>
      <c r="E204" s="14" t="n"/>
      <c r="F204" s="20" t="n"/>
      <c r="G204" s="20" t="n"/>
      <c r="H204" s="14" t="n"/>
      <c r="I204" s="14" t="n"/>
      <c r="J204" s="14" t="n"/>
      <c r="K204" s="14" t="n"/>
      <c r="L204" s="14" t="n"/>
      <c r="M204" s="21">
        <f>ROUND(N(F204)*IFERROR(VLOOKUP(K204,'Tax Codes'!$A$5:$E$300,5,FALSE),0),2)</f>
        <v/>
      </c>
      <c r="N204" s="21">
        <f>ROUND(N(F204)*IFERROR(VLOOKUP(L204,'Tax Codes'!$A$5:$E$300,5,FALSE),0),2)</f>
        <v/>
      </c>
      <c r="O204" s="21">
        <f>IF(G204="",N(F204)+M204-N204,N(G204))</f>
        <v/>
      </c>
      <c r="P204" s="21">
        <f>N(F204)+M204-N204-O204</f>
        <v/>
      </c>
      <c r="Q204" s="16">
        <f>IF(C204="",INDEX('Chart of Accounts'!$A$5:$A$3000,MATCH("other_overhead",'Chart of Accounts'!$F$5:$F$3000,0)),C204&amp;"")</f>
        <v/>
      </c>
      <c r="R204" s="16">
        <f>IF(I204="",INDEX('Chart of Accounts'!$A$5:$A$3000,MATCH("bank",'Chart of Accounts'!$F$5:$F$3000,0)),I204&amp;"")</f>
        <v/>
      </c>
      <c r="S204" s="16">
        <f>IF(J204="",INDEX('Chart of Accounts'!$A$5:$A$3000,MATCH("ap",'Chart of Accounts'!$F$5:$F$3000,0)),J204&amp;"")</f>
        <v/>
      </c>
      <c r="T204" s="16">
        <f>INDEX('Chart of Accounts'!$A$5:$A$3000,MATCH("vat_input",'Chart of Accounts'!$F$5:$F$3000,0))</f>
        <v/>
      </c>
      <c r="U204" s="16">
        <f>INDEX('Chart of Accounts'!$A$5:$A$3000,MATCH("wht_payable",'Chart of Accounts'!$F$5:$F$3000,0))</f>
        <v/>
      </c>
      <c r="V204" s="23">
        <f>IFERROR(INDEX('Chart of Accounts'!$C$5:$C$3000,MATCH(Q204&amp;"",'Chart of Accounts'!$A$5:$A$3000,0))&amp;"|"&amp;INDEX('Chart of Accounts'!$D$5:$D$3000,MATCH(Q204&amp;"",'Chart of Accounts'!$A$5:$A$3000,0)),"")</f>
        <v/>
      </c>
      <c r="W204" s="23">
        <f>IFERROR(INDEX('Chart of Accounts'!$C$5:$C$3000,MATCH(T204&amp;"",'Chart of Accounts'!$A$5:$A$3000,0))&amp;"|"&amp;INDEX('Chart of Accounts'!$D$5:$D$3000,MATCH(T204&amp;"",'Chart of Accounts'!$A$5:$A$3000,0)),"")</f>
        <v/>
      </c>
      <c r="X204" s="23">
        <f>IFERROR(INDEX('Chart of Accounts'!$C$5:$C$3000,MATCH(R204&amp;"",'Chart of Accounts'!$A$5:$A$3000,0))&amp;"|"&amp;INDEX('Chart of Accounts'!$D$5:$D$3000,MATCH(R204&amp;"",'Chart of Accounts'!$A$5:$A$3000,0)),"")</f>
        <v/>
      </c>
      <c r="Y204" s="23">
        <f>IFERROR(INDEX('Chart of Accounts'!$C$5:$C$3000,MATCH(S204&amp;"",'Chart of Accounts'!$A$5:$A$3000,0))&amp;"|"&amp;INDEX('Chart of Accounts'!$D$5:$D$3000,MATCH(S204&amp;"",'Chart of Accounts'!$A$5:$A$3000,0)),"")</f>
        <v/>
      </c>
      <c r="Z204" s="23">
        <f>IFERROR(INDEX('Chart of Accounts'!$C$5:$C$3000,MATCH(U204&amp;"",'Chart of Accounts'!$A$5:$A$3000,0))&amp;"|"&amp;INDEX('Chart of Accounts'!$D$5:$D$3000,MATCH(U204&amp;"",'Chart of Accounts'!$A$5:$A$3000,0)),"")</f>
        <v/>
      </c>
      <c r="AA204" s="23">
        <f>IF(LEFT(V204,8)="Revenue|",-N(F204),0)+IF(LEFT(W204,8)="Revenue|",-N(M204),0)+IF(LEFT(X204,8)="Revenue|",N(O204),0)+IF(LEFT(Y204,8)="Revenue|",N(P204),0)+IF(LEFT(Z204,8)="Revenue|",N(N204),0)</f>
        <v/>
      </c>
      <c r="AB204" s="23">
        <f>IF(LEFT(V204,5)="COGS|",N(F204),0)+IF(LEFT(W204,5)="COGS|",N(M204),0)+IF(LEFT(X204,5)="COGS|",-N(O204),0)+IF(LEFT(Y204,5)="COGS|",-N(P204),0)+IF(LEFT(Z204,5)="COGS|",-N(N204),0)</f>
        <v/>
      </c>
      <c r="AC204" s="23">
        <f>IF(LEFT(V204,8)="Expense|",N(F204),0)+IF(LEFT(W204,8)="Expense|",N(M204),0)+IF(LEFT(X204,8)="Expense|",-N(O204),0)+IF(LEFT(Y204,8)="Expense|",-N(P204),0)+IF(LEFT(Z204,8)="Expense|",-N(N204),0)</f>
        <v/>
      </c>
      <c r="AD204" s="23">
        <f>IF(ISNUMBER(MATCH(V204,{"Expense|employee","Expense|general_admin","Expense|marketing","Expense|utilities","Expense|other_operating"},0)),N(F204),0)+IF(ISNUMBER(MATCH(W204,{"Expense|employee","Expense|general_admin","Expense|marketing","Expense|utilities","Expense|other_operating"},0)),N(M204),0)+IF(ISNUMBER(MATCH(X204,{"Expense|employee","Expense|general_admin","Expense|marketing","Expense|utilities","Expense|other_operating"},0)),-N(O204),0)+IF(ISNUMBER(MATCH(Y204,{"Expense|employee","Expense|general_admin","Expense|marketing","Expense|utilities","Expense|other_operating"},0)),-N(P204),0)+IF(ISNUMBER(MATCH(Z204,{"Expense|employee","Expense|general_admin","Expense|marketing","Expense|utilities","Expense|other_operating"},0)),-N(N204),0)</f>
        <v/>
      </c>
      <c r="AE204" s="23">
        <f>IF(V204="Liability|payable",-N(F204),0)+IF(W204="Liability|payable",-N(M204),0)+IF(X204="Liability|payable",N(O204),0)+IF(Y204="Liability|payable",N(P204),0)+IF(Z204="Liability|payable",N(N204),0)</f>
        <v/>
      </c>
      <c r="AF204" s="23">
        <f>IF(V204="Liability|accrued",-N(F204),0)+IF(W204="Liability|accrued",-N(M204),0)+IF(X204="Liability|accrued",N(O204),0)+IF(Y204="Liability|accrued",N(P204),0)+IF(Z204="Liability|accrued",N(N204),0)</f>
        <v/>
      </c>
      <c r="AG204" s="23">
        <f>IF(AND(N(F204)&lt;&gt;0,V204=""),1,0)+IF(AND(N(M204)&lt;&gt;0,W204=""),1,0)+IF(AND(N(O204)&lt;&gt;0,X204=""),1,0)+IF(AND(N(P204)&lt;&gt;0,Y204=""),1,0)+IF(AND(N(N204)&lt;&gt;0,Z204=""),1,0)</f>
        <v/>
      </c>
    </row>
  </sheetData>
  <autoFilter ref="A4:U204"/>
  <dataValidations count="8">
    <dataValidation sqref="A5:A205" showDropDown="0" showInputMessage="0" showErrorMessage="1" allowBlank="1" error="Enter a date (YYYY-MM-DD)" type="date" operator="greaterThan">
      <formula1>DATE(2000,1,1)</formula1>
    </dataValidation>
    <dataValidation sqref="B5:B205" showDropDown="0" showInputMessage="0" showErrorMessage="1" allowBlank="1" type="list">
      <formula1>'Business Units'!$A$5:$A$3000</formula1>
    </dataValidation>
    <dataValidation sqref="C5:C205" showDropDown="0" showInputMessage="0" showErrorMessage="0" allowBlank="1" type="list">
      <formula1>'Chart of Accounts'!$A$5:$A$3000</formula1>
    </dataValidation>
    <dataValidation sqref="H5:H205" showDropDown="0" showInputMessage="0" showErrorMessage="1" allowBlank="1" type="list">
      <formula1>Lists!$N$1:$N$5</formula1>
    </dataValidation>
    <dataValidation sqref="I5:I205" showDropDown="0" showInputMessage="0" showErrorMessage="0" allowBlank="1" type="list">
      <formula1>'Chart of Accounts'!$A$5:$A$3000</formula1>
    </dataValidation>
    <dataValidation sqref="J5:J205" showDropDown="0" showInputMessage="0" showErrorMessage="0" allowBlank="1" type="list">
      <formula1>'Chart of Accounts'!$A$5:$A$3000</formula1>
    </dataValidation>
    <dataValidation sqref="K5:K205" showDropDown="0" showInputMessage="0" showErrorMessage="1" allowBlank="1" type="list">
      <formula1>'Tax Codes'!$A$5:$A$300</formula1>
    </dataValidation>
    <dataValidation sqref="L5:L205" showDropDown="0" showInputMessage="0" showErrorMessage="1" allowBlank="1" type="list">
      <formula1>'Tax Codes'!$A$5:$A$300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0"/>
    <pageSetUpPr/>
  </sheetPr>
  <dimension ref="A1:AC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14" customWidth="1" min="6" max="6"/>
    <col width="9" customWidth="1" min="7" max="7"/>
    <col width="1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hidden="1" outlineLevel="1" width="10" customWidth="1" min="17" max="17"/>
    <col hidden="1" outlineLevel="1" width="10" customWidth="1" min="18" max="18"/>
    <col hidden="1" outlineLevel="1" width="10" customWidth="1" min="19" max="19"/>
    <col hidden="1" outlineLevel="1" width="10" customWidth="1" min="20" max="20"/>
    <col hidden="1" outlineLevel="1" width="10" customWidth="1" min="21" max="21"/>
    <col hidden="1" outlineLevel="1" width="10" customWidth="1" min="22" max="22"/>
    <col hidden="1" outlineLevel="1" width="10" customWidth="1" min="23" max="23"/>
    <col hidden="1" outlineLevel="1" width="10" customWidth="1" min="24" max="24"/>
    <col hidden="1" outlineLevel="1" width="10" customWidth="1" min="25" max="25"/>
    <col hidden="1" outlineLevel="1" width="10" customWidth="1" min="26" max="26"/>
    <col hidden="1" outlineLevel="1" width="10" customWidth="1" min="27" max="27"/>
    <col hidden="1" outlineLevel="1" width="10" customWidth="1" min="28" max="28"/>
    <col hidden="1" outlineLevel="1" width="10" customWidth="1" min="29" max="29"/>
  </cols>
  <sheetData>
    <row r="1" ht="24" customHeight="1">
      <c r="A1" s="8" t="inlineStr">
        <is>
          <t>BEYOND DESIGN | PAYROLL</t>
        </is>
      </c>
    </row>
    <row r="2">
      <c r="A2" s="9" t="inlineStr">
        <is>
          <t>Payroll accruals — wages earned (and paid now) per worker</t>
        </is>
      </c>
    </row>
    <row r="3">
      <c r="A3" s="10" t="inlineStr">
        <is>
          <t>e.g. 2026-10-31</t>
        </is>
      </c>
      <c r="B3" s="10" t="inlineStr">
        <is>
          <t>PRJ-2026-004</t>
        </is>
      </c>
      <c r="C3" s="10" t="inlineStr">
        <is>
          <t>Ahmed Ali</t>
        </is>
      </c>
      <c r="D3" s="10" t="inlineStr">
        <is>
          <t>Site engineer</t>
        </is>
      </c>
      <c r="E3" s="10" t="inlineStr">
        <is>
          <t>Direct Labour (Cost of Revenue)</t>
        </is>
      </c>
      <c r="G3" s="10" t="inlineStr">
        <is>
          <t>2026-10</t>
        </is>
      </c>
      <c r="H3" s="10" t="inlineStr">
        <is>
          <t>Monthly</t>
        </is>
      </c>
      <c r="I3" s="10" t="n">
        <v>1</v>
      </c>
      <c r="J3" s="10" t="n">
        <v>12000</v>
      </c>
      <c r="K3" s="10" t="n">
        <v>12000</v>
      </c>
    </row>
    <row r="4" ht="30" customHeight="1">
      <c r="A4" s="11" t="inlineStr">
        <is>
          <t>Date</t>
        </is>
      </c>
      <c r="B4" s="11" t="inlineStr">
        <is>
          <t>Business Unit</t>
        </is>
      </c>
      <c r="C4" s="11" t="inlineStr">
        <is>
          <t>Employee / Worker</t>
        </is>
      </c>
      <c r="D4" s="11" t="inlineStr">
        <is>
          <t>Position</t>
        </is>
      </c>
      <c r="E4" s="11" t="inlineStr">
        <is>
          <t>Cost Classification</t>
        </is>
      </c>
      <c r="F4" s="11" t="inlineStr">
        <is>
          <t>Expense Account</t>
        </is>
      </c>
      <c r="G4" s="11" t="inlineStr">
        <is>
          <t>Period</t>
        </is>
      </c>
      <c r="H4" s="11" t="inlineStr">
        <is>
          <t>Rate Basis</t>
        </is>
      </c>
      <c r="I4" s="11" t="inlineStr">
        <is>
          <t>Days / Months</t>
        </is>
      </c>
      <c r="J4" s="11" t="inlineStr">
        <is>
          <t>Rate</t>
        </is>
      </c>
      <c r="K4" s="11" t="inlineStr">
        <is>
          <t>Paid Now</t>
        </is>
      </c>
      <c r="L4" s="11" t="inlineStr">
        <is>
          <t>Payment Method</t>
        </is>
      </c>
      <c r="M4" s="11" t="inlineStr">
        <is>
          <t>Paid From</t>
        </is>
      </c>
      <c r="N4" s="11" t="inlineStr">
        <is>
          <t>Payroll Payable Account</t>
        </is>
      </c>
      <c r="O4" s="15" t="inlineStr">
        <is>
          <t>Gross Pay</t>
        </is>
      </c>
      <c r="P4" s="15" t="inlineStr">
        <is>
          <t>Unpaid</t>
        </is>
      </c>
      <c r="Q4" s="15" t="inlineStr">
        <is>
          <t>account (effective)</t>
        </is>
      </c>
      <c r="R4" s="15" t="inlineStr">
        <is>
          <t>paid_from (effective)</t>
        </is>
      </c>
      <c r="S4" s="15" t="inlineStr">
        <is>
          <t>payable_account (effective)</t>
        </is>
      </c>
      <c r="T4" s="22" t="inlineStr">
        <is>
          <t>leg 1 type</t>
        </is>
      </c>
      <c r="U4" s="22" t="inlineStr">
        <is>
          <t>leg 2 type</t>
        </is>
      </c>
      <c r="V4" s="22" t="inlineStr">
        <is>
          <t>leg 3 type</t>
        </is>
      </c>
      <c r="W4" s="22" t="inlineStr">
        <is>
          <t>revenue</t>
        </is>
      </c>
      <c r="X4" s="22" t="inlineStr">
        <is>
          <t>cost of sales</t>
        </is>
      </c>
      <c r="Y4" s="22" t="inlineStr">
        <is>
          <t>expenses</t>
        </is>
      </c>
      <c r="Z4" s="22" t="inlineStr">
        <is>
          <t>operating expenses</t>
        </is>
      </c>
      <c r="AA4" s="22" t="inlineStr">
        <is>
          <t>payables</t>
        </is>
      </c>
      <c r="AB4" s="22" t="inlineStr">
        <is>
          <t>accruals</t>
        </is>
      </c>
      <c r="AC4" s="22" t="inlineStr">
        <is>
          <t>unknown account</t>
        </is>
      </c>
    </row>
    <row r="5">
      <c r="A5" s="19" t="n"/>
      <c r="B5" s="14" t="n"/>
      <c r="C5" s="14" t="n"/>
      <c r="D5" s="14" t="n"/>
      <c r="E5" s="14" t="n"/>
      <c r="F5" s="14" t="n"/>
      <c r="G5" s="14" t="n"/>
      <c r="H5" s="14" t="n"/>
      <c r="I5" s="14" t="n"/>
      <c r="J5" s="20" t="n"/>
      <c r="K5" s="20" t="n"/>
      <c r="L5" s="14" t="n"/>
      <c r="M5" s="14" t="n"/>
      <c r="N5" s="14" t="n"/>
      <c r="O5" s="21">
        <f>ROUND(N(I5)*N(J5),2)</f>
        <v/>
      </c>
      <c r="P5" s="21">
        <f>O5-N(K5)</f>
        <v/>
      </c>
      <c r="Q5" s="16">
        <f>IF(F5&lt;&gt;"",F5&amp;"",IF(LEFT(E5,6)="Indire",INDEX('Chart of Accounts'!$A$5:$A$3000,MATCH("project_overhead",'Chart of Accounts'!$F$5:$F$3000,0)),IF(LEFT(E5,6)="Admini",INDEX('Chart of Accounts'!$A$5:$A$3000,MATCH("admin_salaries",'Chart of Accounts'!$F$5:$F$3000,0)),INDEX('Chart of Accounts'!$A$5:$A$3000,MATCH("direct_labour",'Chart of Accounts'!$F$5:$F$3000,0)))))</f>
        <v/>
      </c>
      <c r="R5" s="16">
        <f>IF(M5="",INDEX('Chart of Accounts'!$A$5:$A$3000,MATCH("bank",'Chart of Accounts'!$F$5:$F$3000,0)),M5&amp;"")</f>
        <v/>
      </c>
      <c r="S5" s="16">
        <f>IF(N5="",INDEX('Chart of Accounts'!$A$5:$A$3000,MATCH("accrued_payroll",'Chart of Accounts'!$F$5:$F$3000,0)),N5&amp;"")</f>
        <v/>
      </c>
      <c r="T5" s="23">
        <f>IFERROR(INDEX('Chart of Accounts'!$C$5:$C$3000,MATCH(Q5&amp;"",'Chart of Accounts'!$A$5:$A$3000,0))&amp;"|"&amp;INDEX('Chart of Accounts'!$D$5:$D$3000,MATCH(Q5&amp;"",'Chart of Accounts'!$A$5:$A$3000,0)),"")</f>
        <v/>
      </c>
      <c r="U5" s="23">
        <f>IFERROR(INDEX('Chart of Accounts'!$C$5:$C$3000,MATCH(R5&amp;"",'Chart of Accounts'!$A$5:$A$3000,0))&amp;"|"&amp;INDEX('Chart of Accounts'!$D$5:$D$3000,MATCH(R5&amp;"",'Chart of Accounts'!$A$5:$A$3000,0)),"")</f>
        <v/>
      </c>
      <c r="V5" s="23">
        <f>IFERROR(INDEX('Chart of Accounts'!$C$5:$C$3000,MATCH(S5&amp;"",'Chart of Accounts'!$A$5:$A$3000,0))&amp;"|"&amp;INDEX('Chart of Accounts'!$D$5:$D$3000,MATCH(S5&amp;"",'Chart of Accounts'!$A$5:$A$3000,0)),"")</f>
        <v/>
      </c>
      <c r="W5" s="23">
        <f>IF(LEFT(T5,8)="Revenue|",-N(O5),0)+IF(LEFT(U5,8)="Revenue|",N(K5),0)+IF(LEFT(V5,8)="Revenue|",N(P5),0)</f>
        <v/>
      </c>
      <c r="X5" s="23">
        <f>IF(LEFT(T5,5)="COGS|",N(O5),0)+IF(LEFT(U5,5)="COGS|",-N(K5),0)+IF(LEFT(V5,5)="COGS|",-N(P5),0)</f>
        <v/>
      </c>
      <c r="Y5" s="23">
        <f>IF(LEFT(T5,8)="Expense|",N(O5),0)+IF(LEFT(U5,8)="Expense|",-N(K5),0)+IF(LEFT(V5,8)="Expense|",-N(P5),0)</f>
        <v/>
      </c>
      <c r="Z5" s="23">
        <f>IF(ISNUMBER(MATCH(T5,{"Expense|employee","Expense|general_admin","Expense|marketing","Expense|utilities","Expense|other_operating"},0)),N(O5),0)+IF(ISNUMBER(MATCH(U5,{"Expense|employee","Expense|general_admin","Expense|marketing","Expense|utilities","Expense|other_operating"},0)),-N(K5),0)+IF(ISNUMBER(MATCH(V5,{"Expense|employee","Expense|general_admin","Expense|marketing","Expense|utilities","Expense|other_operating"},0)),-N(P5),0)</f>
        <v/>
      </c>
      <c r="AA5" s="23">
        <f>IF(T5="Liability|payable",-N(O5),0)+IF(U5="Liability|payable",N(K5),0)+IF(V5="Liability|payable",N(P5),0)</f>
        <v/>
      </c>
      <c r="AB5" s="23">
        <f>IF(T5="Liability|accrued",-N(O5),0)+IF(U5="Liability|accrued",N(K5),0)+IF(V5="Liability|accrued",N(P5),0)</f>
        <v/>
      </c>
      <c r="AC5" s="23">
        <f>IF(AND(N(O5)&lt;&gt;0,T5=""),1,0)+IF(AND(N(K5)&lt;&gt;0,U5=""),1,0)+IF(AND(N(P5)&lt;&gt;0,V5=""),1,0)</f>
        <v/>
      </c>
    </row>
    <row r="6">
      <c r="A6" s="19" t="n"/>
      <c r="B6" s="14" t="n"/>
      <c r="C6" s="14" t="n"/>
      <c r="D6" s="14" t="n"/>
      <c r="E6" s="14" t="n"/>
      <c r="F6" s="14" t="n"/>
      <c r="G6" s="14" t="n"/>
      <c r="H6" s="14" t="n"/>
      <c r="I6" s="14" t="n"/>
      <c r="J6" s="20" t="n"/>
      <c r="K6" s="20" t="n"/>
      <c r="L6" s="14" t="n"/>
      <c r="M6" s="14" t="n"/>
      <c r="N6" s="14" t="n"/>
      <c r="O6" s="21">
        <f>ROUND(N(I6)*N(J6),2)</f>
        <v/>
      </c>
      <c r="P6" s="21">
        <f>O6-N(K6)</f>
        <v/>
      </c>
      <c r="Q6" s="16">
        <f>IF(F6&lt;&gt;"",F6&amp;"",IF(LEFT(E6,6)="Indire",INDEX('Chart of Accounts'!$A$5:$A$3000,MATCH("project_overhead",'Chart of Accounts'!$F$5:$F$3000,0)),IF(LEFT(E6,6)="Admini",INDEX('Chart of Accounts'!$A$5:$A$3000,MATCH("admin_salaries",'Chart of Accounts'!$F$5:$F$3000,0)),INDEX('Chart of Accounts'!$A$5:$A$3000,MATCH("direct_labour",'Chart of Accounts'!$F$5:$F$3000,0)))))</f>
        <v/>
      </c>
      <c r="R6" s="16">
        <f>IF(M6="",INDEX('Chart of Accounts'!$A$5:$A$3000,MATCH("bank",'Chart of Accounts'!$F$5:$F$3000,0)),M6&amp;"")</f>
        <v/>
      </c>
      <c r="S6" s="16">
        <f>IF(N6="",INDEX('Chart of Accounts'!$A$5:$A$3000,MATCH("accrued_payroll",'Chart of Accounts'!$F$5:$F$3000,0)),N6&amp;"")</f>
        <v/>
      </c>
      <c r="T6" s="23">
        <f>IFERROR(INDEX('Chart of Accounts'!$C$5:$C$3000,MATCH(Q6&amp;"",'Chart of Accounts'!$A$5:$A$3000,0))&amp;"|"&amp;INDEX('Chart of Accounts'!$D$5:$D$3000,MATCH(Q6&amp;"",'Chart of Accounts'!$A$5:$A$3000,0)),"")</f>
        <v/>
      </c>
      <c r="U6" s="23">
        <f>IFERROR(INDEX('Chart of Accounts'!$C$5:$C$3000,MATCH(R6&amp;"",'Chart of Accounts'!$A$5:$A$3000,0))&amp;"|"&amp;INDEX('Chart of Accounts'!$D$5:$D$3000,MATCH(R6&amp;"",'Chart of Accounts'!$A$5:$A$3000,0)),"")</f>
        <v/>
      </c>
      <c r="V6" s="23">
        <f>IFERROR(INDEX('Chart of Accounts'!$C$5:$C$3000,MATCH(S6&amp;"",'Chart of Accounts'!$A$5:$A$3000,0))&amp;"|"&amp;INDEX('Chart of Accounts'!$D$5:$D$3000,MATCH(S6&amp;"",'Chart of Accounts'!$A$5:$A$3000,0)),"")</f>
        <v/>
      </c>
      <c r="W6" s="23">
        <f>IF(LEFT(T6,8)="Revenue|",-N(O6),0)+IF(LEFT(U6,8)="Revenue|",N(K6),0)+IF(LEFT(V6,8)="Revenue|",N(P6),0)</f>
        <v/>
      </c>
      <c r="X6" s="23">
        <f>IF(LEFT(T6,5)="COGS|",N(O6),0)+IF(LEFT(U6,5)="COGS|",-N(K6),0)+IF(LEFT(V6,5)="COGS|",-N(P6),0)</f>
        <v/>
      </c>
      <c r="Y6" s="23">
        <f>IF(LEFT(T6,8)="Expense|",N(O6),0)+IF(LEFT(U6,8)="Expense|",-N(K6),0)+IF(LEFT(V6,8)="Expense|",-N(P6),0)</f>
        <v/>
      </c>
      <c r="Z6" s="23">
        <f>IF(ISNUMBER(MATCH(T6,{"Expense|employee","Expense|general_admin","Expense|marketing","Expense|utilities","Expense|other_operating"},0)),N(O6),0)+IF(ISNUMBER(MATCH(U6,{"Expense|employee","Expense|general_admin","Expense|marketing","Expense|utilities","Expense|other_operating"},0)),-N(K6),0)+IF(ISNUMBER(MATCH(V6,{"Expense|employee","Expense|general_admin","Expense|marketing","Expense|utilities","Expense|other_operating"},0)),-N(P6),0)</f>
        <v/>
      </c>
      <c r="AA6" s="23">
        <f>IF(T6="Liability|payable",-N(O6),0)+IF(U6="Liability|payable",N(K6),0)+IF(V6="Liability|payable",N(P6),0)</f>
        <v/>
      </c>
      <c r="AB6" s="23">
        <f>IF(T6="Liability|accrued",-N(O6),0)+IF(U6="Liability|accrued",N(K6),0)+IF(V6="Liability|accrued",N(P6),0)</f>
        <v/>
      </c>
      <c r="AC6" s="23">
        <f>IF(AND(N(O6)&lt;&gt;0,T6=""),1,0)+IF(AND(N(K6)&lt;&gt;0,U6=""),1,0)+IF(AND(N(P6)&lt;&gt;0,V6=""),1,0)</f>
        <v/>
      </c>
    </row>
    <row r="7">
      <c r="A7" s="19" t="n"/>
      <c r="B7" s="14" t="n"/>
      <c r="C7" s="14" t="n"/>
      <c r="D7" s="14" t="n"/>
      <c r="E7" s="14" t="n"/>
      <c r="F7" s="14" t="n"/>
      <c r="G7" s="14" t="n"/>
      <c r="H7" s="14" t="n"/>
      <c r="I7" s="14" t="n"/>
      <c r="J7" s="20" t="n"/>
      <c r="K7" s="20" t="n"/>
      <c r="L7" s="14" t="n"/>
      <c r="M7" s="14" t="n"/>
      <c r="N7" s="14" t="n"/>
      <c r="O7" s="21">
        <f>ROUND(N(I7)*N(J7),2)</f>
        <v/>
      </c>
      <c r="P7" s="21">
        <f>O7-N(K7)</f>
        <v/>
      </c>
      <c r="Q7" s="16">
        <f>IF(F7&lt;&gt;"",F7&amp;"",IF(LEFT(E7,6)="Indire",INDEX('Chart of Accounts'!$A$5:$A$3000,MATCH("project_overhead",'Chart of Accounts'!$F$5:$F$3000,0)),IF(LEFT(E7,6)="Admini",INDEX('Chart of Accounts'!$A$5:$A$3000,MATCH("admin_salaries",'Chart of Accounts'!$F$5:$F$3000,0)),INDEX('Chart of Accounts'!$A$5:$A$3000,MATCH("direct_labour",'Chart of Accounts'!$F$5:$F$3000,0)))))</f>
        <v/>
      </c>
      <c r="R7" s="16">
        <f>IF(M7="",INDEX('Chart of Accounts'!$A$5:$A$3000,MATCH("bank",'Chart of Accounts'!$F$5:$F$3000,0)),M7&amp;"")</f>
        <v/>
      </c>
      <c r="S7" s="16">
        <f>IF(N7="",INDEX('Chart of Accounts'!$A$5:$A$3000,MATCH("accrued_payroll",'Chart of Accounts'!$F$5:$F$3000,0)),N7&amp;"")</f>
        <v/>
      </c>
      <c r="T7" s="23">
        <f>IFERROR(INDEX('Chart of Accounts'!$C$5:$C$3000,MATCH(Q7&amp;"",'Chart of Accounts'!$A$5:$A$3000,0))&amp;"|"&amp;INDEX('Chart of Accounts'!$D$5:$D$3000,MATCH(Q7&amp;"",'Chart of Accounts'!$A$5:$A$3000,0)),"")</f>
        <v/>
      </c>
      <c r="U7" s="23">
        <f>IFERROR(INDEX('Chart of Accounts'!$C$5:$C$3000,MATCH(R7&amp;"",'Chart of Accounts'!$A$5:$A$3000,0))&amp;"|"&amp;INDEX('Chart of Accounts'!$D$5:$D$3000,MATCH(R7&amp;"",'Chart of Accounts'!$A$5:$A$3000,0)),"")</f>
        <v/>
      </c>
      <c r="V7" s="23">
        <f>IFERROR(INDEX('Chart of Accounts'!$C$5:$C$3000,MATCH(S7&amp;"",'Chart of Accounts'!$A$5:$A$3000,0))&amp;"|"&amp;INDEX('Chart of Accounts'!$D$5:$D$3000,MATCH(S7&amp;"",'Chart of Accounts'!$A$5:$A$3000,0)),"")</f>
        <v/>
      </c>
      <c r="W7" s="23">
        <f>IF(LEFT(T7,8)="Revenue|",-N(O7),0)+IF(LEFT(U7,8)="Revenue|",N(K7),0)+IF(LEFT(V7,8)="Revenue|",N(P7),0)</f>
        <v/>
      </c>
      <c r="X7" s="23">
        <f>IF(LEFT(T7,5)="COGS|",N(O7),0)+IF(LEFT(U7,5)="COGS|",-N(K7),0)+IF(LEFT(V7,5)="COGS|",-N(P7),0)</f>
        <v/>
      </c>
      <c r="Y7" s="23">
        <f>IF(LEFT(T7,8)="Expense|",N(O7),0)+IF(LEFT(U7,8)="Expense|",-N(K7),0)+IF(LEFT(V7,8)="Expense|",-N(P7),0)</f>
        <v/>
      </c>
      <c r="Z7" s="23">
        <f>IF(ISNUMBER(MATCH(T7,{"Expense|employee","Expense|general_admin","Expense|marketing","Expense|utilities","Expense|other_operating"},0)),N(O7),0)+IF(ISNUMBER(MATCH(U7,{"Expense|employee","Expense|general_admin","Expense|marketing","Expense|utilities","Expense|other_operating"},0)),-N(K7),0)+IF(ISNUMBER(MATCH(V7,{"Expense|employee","Expense|general_admin","Expense|marketing","Expense|utilities","Expense|other_operating"},0)),-N(P7),0)</f>
        <v/>
      </c>
      <c r="AA7" s="23">
        <f>IF(T7="Liability|payable",-N(O7),0)+IF(U7="Liability|payable",N(K7),0)+IF(V7="Liability|payable",N(P7),0)</f>
        <v/>
      </c>
      <c r="AB7" s="23">
        <f>IF(T7="Liability|accrued",-N(O7),0)+IF(U7="Liability|accrued",N(K7),0)+IF(V7="Liability|accrued",N(P7),0)</f>
        <v/>
      </c>
      <c r="AC7" s="23">
        <f>IF(AND(N(O7)&lt;&gt;0,T7=""),1,0)+IF(AND(N(K7)&lt;&gt;0,U7=""),1,0)+IF(AND(N(P7)&lt;&gt;0,V7=""),1,0)</f>
        <v/>
      </c>
    </row>
    <row r="8">
      <c r="A8" s="19" t="n"/>
      <c r="B8" s="14" t="n"/>
      <c r="C8" s="14" t="n"/>
      <c r="D8" s="14" t="n"/>
      <c r="E8" s="14" t="n"/>
      <c r="F8" s="14" t="n"/>
      <c r="G8" s="14" t="n"/>
      <c r="H8" s="14" t="n"/>
      <c r="I8" s="14" t="n"/>
      <c r="J8" s="20" t="n"/>
      <c r="K8" s="20" t="n"/>
      <c r="L8" s="14" t="n"/>
      <c r="M8" s="14" t="n"/>
      <c r="N8" s="14" t="n"/>
      <c r="O8" s="21">
        <f>ROUND(N(I8)*N(J8),2)</f>
        <v/>
      </c>
      <c r="P8" s="21">
        <f>O8-N(K8)</f>
        <v/>
      </c>
      <c r="Q8" s="16">
        <f>IF(F8&lt;&gt;"",F8&amp;"",IF(LEFT(E8,6)="Indire",INDEX('Chart of Accounts'!$A$5:$A$3000,MATCH("project_overhead",'Chart of Accounts'!$F$5:$F$3000,0)),IF(LEFT(E8,6)="Admini",INDEX('Chart of Accounts'!$A$5:$A$3000,MATCH("admin_salaries",'Chart of Accounts'!$F$5:$F$3000,0)),INDEX('Chart of Accounts'!$A$5:$A$3000,MATCH("direct_labour",'Chart of Accounts'!$F$5:$F$3000,0)))))</f>
        <v/>
      </c>
      <c r="R8" s="16">
        <f>IF(M8="",INDEX('Chart of Accounts'!$A$5:$A$3000,MATCH("bank",'Chart of Accounts'!$F$5:$F$3000,0)),M8&amp;"")</f>
        <v/>
      </c>
      <c r="S8" s="16">
        <f>IF(N8="",INDEX('Chart of Accounts'!$A$5:$A$3000,MATCH("accrued_payroll",'Chart of Accounts'!$F$5:$F$3000,0)),N8&amp;"")</f>
        <v/>
      </c>
      <c r="T8" s="23">
        <f>IFERROR(INDEX('Chart of Accounts'!$C$5:$C$3000,MATCH(Q8&amp;"",'Chart of Accounts'!$A$5:$A$3000,0))&amp;"|"&amp;INDEX('Chart of Accounts'!$D$5:$D$3000,MATCH(Q8&amp;"",'Chart of Accounts'!$A$5:$A$3000,0)),"")</f>
        <v/>
      </c>
      <c r="U8" s="23">
        <f>IFERROR(INDEX('Chart of Accounts'!$C$5:$C$3000,MATCH(R8&amp;"",'Chart of Accounts'!$A$5:$A$3000,0))&amp;"|"&amp;INDEX('Chart of Accounts'!$D$5:$D$3000,MATCH(R8&amp;"",'Chart of Accounts'!$A$5:$A$3000,0)),"")</f>
        <v/>
      </c>
      <c r="V8" s="23">
        <f>IFERROR(INDEX('Chart of Accounts'!$C$5:$C$3000,MATCH(S8&amp;"",'Chart of Accounts'!$A$5:$A$3000,0))&amp;"|"&amp;INDEX('Chart of Accounts'!$D$5:$D$3000,MATCH(S8&amp;"",'Chart of Accounts'!$A$5:$A$3000,0)),"")</f>
        <v/>
      </c>
      <c r="W8" s="23">
        <f>IF(LEFT(T8,8)="Revenue|",-N(O8),0)+IF(LEFT(U8,8)="Revenue|",N(K8),0)+IF(LEFT(V8,8)="Revenue|",N(P8),0)</f>
        <v/>
      </c>
      <c r="X8" s="23">
        <f>IF(LEFT(T8,5)="COGS|",N(O8),0)+IF(LEFT(U8,5)="COGS|",-N(K8),0)+IF(LEFT(V8,5)="COGS|",-N(P8),0)</f>
        <v/>
      </c>
      <c r="Y8" s="23">
        <f>IF(LEFT(T8,8)="Expense|",N(O8),0)+IF(LEFT(U8,8)="Expense|",-N(K8),0)+IF(LEFT(V8,8)="Expense|",-N(P8),0)</f>
        <v/>
      </c>
      <c r="Z8" s="23">
        <f>IF(ISNUMBER(MATCH(T8,{"Expense|employee","Expense|general_admin","Expense|marketing","Expense|utilities","Expense|other_operating"},0)),N(O8),0)+IF(ISNUMBER(MATCH(U8,{"Expense|employee","Expense|general_admin","Expense|marketing","Expense|utilities","Expense|other_operating"},0)),-N(K8),0)+IF(ISNUMBER(MATCH(V8,{"Expense|employee","Expense|general_admin","Expense|marketing","Expense|utilities","Expense|other_operating"},0)),-N(P8),0)</f>
        <v/>
      </c>
      <c r="AA8" s="23">
        <f>IF(T8="Liability|payable",-N(O8),0)+IF(U8="Liability|payable",N(K8),0)+IF(V8="Liability|payable",N(P8),0)</f>
        <v/>
      </c>
      <c r="AB8" s="23">
        <f>IF(T8="Liability|accrued",-N(O8),0)+IF(U8="Liability|accrued",N(K8),0)+IF(V8="Liability|accrued",N(P8),0)</f>
        <v/>
      </c>
      <c r="AC8" s="23">
        <f>IF(AND(N(O8)&lt;&gt;0,T8=""),1,0)+IF(AND(N(K8)&lt;&gt;0,U8=""),1,0)+IF(AND(N(P8)&lt;&gt;0,V8=""),1,0)</f>
        <v/>
      </c>
    </row>
    <row r="9">
      <c r="A9" s="19" t="n"/>
      <c r="B9" s="14" t="n"/>
      <c r="C9" s="14" t="n"/>
      <c r="D9" s="14" t="n"/>
      <c r="E9" s="14" t="n"/>
      <c r="F9" s="14" t="n"/>
      <c r="G9" s="14" t="n"/>
      <c r="H9" s="14" t="n"/>
      <c r="I9" s="14" t="n"/>
      <c r="J9" s="20" t="n"/>
      <c r="K9" s="20" t="n"/>
      <c r="L9" s="14" t="n"/>
      <c r="M9" s="14" t="n"/>
      <c r="N9" s="14" t="n"/>
      <c r="O9" s="21">
        <f>ROUND(N(I9)*N(J9),2)</f>
        <v/>
      </c>
      <c r="P9" s="21">
        <f>O9-N(K9)</f>
        <v/>
      </c>
      <c r="Q9" s="16">
        <f>IF(F9&lt;&gt;"",F9&amp;"",IF(LEFT(E9,6)="Indire",INDEX('Chart of Accounts'!$A$5:$A$3000,MATCH("project_overhead",'Chart of Accounts'!$F$5:$F$3000,0)),IF(LEFT(E9,6)="Admini",INDEX('Chart of Accounts'!$A$5:$A$3000,MATCH("admin_salaries",'Chart of Accounts'!$F$5:$F$3000,0)),INDEX('Chart of Accounts'!$A$5:$A$3000,MATCH("direct_labour",'Chart of Accounts'!$F$5:$F$3000,0)))))</f>
        <v/>
      </c>
      <c r="R9" s="16">
        <f>IF(M9="",INDEX('Chart of Accounts'!$A$5:$A$3000,MATCH("bank",'Chart of Accounts'!$F$5:$F$3000,0)),M9&amp;"")</f>
        <v/>
      </c>
      <c r="S9" s="16">
        <f>IF(N9="",INDEX('Chart of Accounts'!$A$5:$A$3000,MATCH("accrued_payroll",'Chart of Accounts'!$F$5:$F$3000,0)),N9&amp;"")</f>
        <v/>
      </c>
      <c r="T9" s="23">
        <f>IFERROR(INDEX('Chart of Accounts'!$C$5:$C$3000,MATCH(Q9&amp;"",'Chart of Accounts'!$A$5:$A$3000,0))&amp;"|"&amp;INDEX('Chart of Accounts'!$D$5:$D$3000,MATCH(Q9&amp;"",'Chart of Accounts'!$A$5:$A$3000,0)),"")</f>
        <v/>
      </c>
      <c r="U9" s="23">
        <f>IFERROR(INDEX('Chart of Accounts'!$C$5:$C$3000,MATCH(R9&amp;"",'Chart of Accounts'!$A$5:$A$3000,0))&amp;"|"&amp;INDEX('Chart of Accounts'!$D$5:$D$3000,MATCH(R9&amp;"",'Chart of Accounts'!$A$5:$A$3000,0)),"")</f>
        <v/>
      </c>
      <c r="V9" s="23">
        <f>IFERROR(INDEX('Chart of Accounts'!$C$5:$C$3000,MATCH(S9&amp;"",'Chart of Accounts'!$A$5:$A$3000,0))&amp;"|"&amp;INDEX('Chart of Accounts'!$D$5:$D$3000,MATCH(S9&amp;"",'Chart of Accounts'!$A$5:$A$3000,0)),"")</f>
        <v/>
      </c>
      <c r="W9" s="23">
        <f>IF(LEFT(T9,8)="Revenue|",-N(O9),0)+IF(LEFT(U9,8)="Revenue|",N(K9),0)+IF(LEFT(V9,8)="Revenue|",N(P9),0)</f>
        <v/>
      </c>
      <c r="X9" s="23">
        <f>IF(LEFT(T9,5)="COGS|",N(O9),0)+IF(LEFT(U9,5)="COGS|",-N(K9),0)+IF(LEFT(V9,5)="COGS|",-N(P9),0)</f>
        <v/>
      </c>
      <c r="Y9" s="23">
        <f>IF(LEFT(T9,8)="Expense|",N(O9),0)+IF(LEFT(U9,8)="Expense|",-N(K9),0)+IF(LEFT(V9,8)="Expense|",-N(P9),0)</f>
        <v/>
      </c>
      <c r="Z9" s="23">
        <f>IF(ISNUMBER(MATCH(T9,{"Expense|employee","Expense|general_admin","Expense|marketing","Expense|utilities","Expense|other_operating"},0)),N(O9),0)+IF(ISNUMBER(MATCH(U9,{"Expense|employee","Expense|general_admin","Expense|marketing","Expense|utilities","Expense|other_operating"},0)),-N(K9),0)+IF(ISNUMBER(MATCH(V9,{"Expense|employee","Expense|general_admin","Expense|marketing","Expense|utilities","Expense|other_operating"},0)),-N(P9),0)</f>
        <v/>
      </c>
      <c r="AA9" s="23">
        <f>IF(T9="Liability|payable",-N(O9),0)+IF(U9="Liability|payable",N(K9),0)+IF(V9="Liability|payable",N(P9),0)</f>
        <v/>
      </c>
      <c r="AB9" s="23">
        <f>IF(T9="Liability|accrued",-N(O9),0)+IF(U9="Liability|accrued",N(K9),0)+IF(V9="Liability|accrued",N(P9),0)</f>
        <v/>
      </c>
      <c r="AC9" s="23">
        <f>IF(AND(N(O9)&lt;&gt;0,T9=""),1,0)+IF(AND(N(K9)&lt;&gt;0,U9=""),1,0)+IF(AND(N(P9)&lt;&gt;0,V9=""),1,0)</f>
        <v/>
      </c>
    </row>
    <row r="10">
      <c r="A10" s="19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20" t="n"/>
      <c r="K10" s="20" t="n"/>
      <c r="L10" s="14" t="n"/>
      <c r="M10" s="14" t="n"/>
      <c r="N10" s="14" t="n"/>
      <c r="O10" s="21">
        <f>ROUND(N(I10)*N(J10),2)</f>
        <v/>
      </c>
      <c r="P10" s="21">
        <f>O10-N(K10)</f>
        <v/>
      </c>
      <c r="Q10" s="16">
        <f>IF(F10&lt;&gt;"",F10&amp;"",IF(LEFT(E10,6)="Indire",INDEX('Chart of Accounts'!$A$5:$A$3000,MATCH("project_overhead",'Chart of Accounts'!$F$5:$F$3000,0)),IF(LEFT(E10,6)="Admini",INDEX('Chart of Accounts'!$A$5:$A$3000,MATCH("admin_salaries",'Chart of Accounts'!$F$5:$F$3000,0)),INDEX('Chart of Accounts'!$A$5:$A$3000,MATCH("direct_labour",'Chart of Accounts'!$F$5:$F$3000,0)))))</f>
        <v/>
      </c>
      <c r="R10" s="16">
        <f>IF(M10="",INDEX('Chart of Accounts'!$A$5:$A$3000,MATCH("bank",'Chart of Accounts'!$F$5:$F$3000,0)),M10&amp;"")</f>
        <v/>
      </c>
      <c r="S10" s="16">
        <f>IF(N10="",INDEX('Chart of Accounts'!$A$5:$A$3000,MATCH("accrued_payroll",'Chart of Accounts'!$F$5:$F$3000,0)),N10&amp;"")</f>
        <v/>
      </c>
      <c r="T10" s="23">
        <f>IFERROR(INDEX('Chart of Accounts'!$C$5:$C$3000,MATCH(Q10&amp;"",'Chart of Accounts'!$A$5:$A$3000,0))&amp;"|"&amp;INDEX('Chart of Accounts'!$D$5:$D$3000,MATCH(Q10&amp;"",'Chart of Accounts'!$A$5:$A$3000,0)),"")</f>
        <v/>
      </c>
      <c r="U10" s="23">
        <f>IFERROR(INDEX('Chart of Accounts'!$C$5:$C$3000,MATCH(R10&amp;"",'Chart of Accounts'!$A$5:$A$3000,0))&amp;"|"&amp;INDEX('Chart of Accounts'!$D$5:$D$3000,MATCH(R10&amp;"",'Chart of Accounts'!$A$5:$A$3000,0)),"")</f>
        <v/>
      </c>
      <c r="V10" s="23">
        <f>IFERROR(INDEX('Chart of Accounts'!$C$5:$C$3000,MATCH(S10&amp;"",'Chart of Accounts'!$A$5:$A$3000,0))&amp;"|"&amp;INDEX('Chart of Accounts'!$D$5:$D$3000,MATCH(S10&amp;"",'Chart of Accounts'!$A$5:$A$3000,0)),"")</f>
        <v/>
      </c>
      <c r="W10" s="23">
        <f>IF(LEFT(T10,8)="Revenue|",-N(O10),0)+IF(LEFT(U10,8)="Revenue|",N(K10),0)+IF(LEFT(V10,8)="Revenue|",N(P10),0)</f>
        <v/>
      </c>
      <c r="X10" s="23">
        <f>IF(LEFT(T10,5)="COGS|",N(O10),0)+IF(LEFT(U10,5)="COGS|",-N(K10),0)+IF(LEFT(V10,5)="COGS|",-N(P10),0)</f>
        <v/>
      </c>
      <c r="Y10" s="23">
        <f>IF(LEFT(T10,8)="Expense|",N(O10),0)+IF(LEFT(U10,8)="Expense|",-N(K10),0)+IF(LEFT(V10,8)="Expense|",-N(P10),0)</f>
        <v/>
      </c>
      <c r="Z10" s="23">
        <f>IF(ISNUMBER(MATCH(T10,{"Expense|employee","Expense|general_admin","Expense|marketing","Expense|utilities","Expense|other_operating"},0)),N(O10),0)+IF(ISNUMBER(MATCH(U10,{"Expense|employee","Expense|general_admin","Expense|marketing","Expense|utilities","Expense|other_operating"},0)),-N(K10),0)+IF(ISNUMBER(MATCH(V10,{"Expense|employee","Expense|general_admin","Expense|marketing","Expense|utilities","Expense|other_operating"},0)),-N(P10),0)</f>
        <v/>
      </c>
      <c r="AA10" s="23">
        <f>IF(T10="Liability|payable",-N(O10),0)+IF(U10="Liability|payable",N(K10),0)+IF(V10="Liability|payable",N(P10),0)</f>
        <v/>
      </c>
      <c r="AB10" s="23">
        <f>IF(T10="Liability|accrued",-N(O10),0)+IF(U10="Liability|accrued",N(K10),0)+IF(V10="Liability|accrued",N(P10),0)</f>
        <v/>
      </c>
      <c r="AC10" s="23">
        <f>IF(AND(N(O10)&lt;&gt;0,T10=""),1,0)+IF(AND(N(K10)&lt;&gt;0,U10=""),1,0)+IF(AND(N(P10)&lt;&gt;0,V10=""),1,0)</f>
        <v/>
      </c>
    </row>
    <row r="11">
      <c r="A11" s="19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20" t="n"/>
      <c r="K11" s="20" t="n"/>
      <c r="L11" s="14" t="n"/>
      <c r="M11" s="14" t="n"/>
      <c r="N11" s="14" t="n"/>
      <c r="O11" s="21">
        <f>ROUND(N(I11)*N(J11),2)</f>
        <v/>
      </c>
      <c r="P11" s="21">
        <f>O11-N(K11)</f>
        <v/>
      </c>
      <c r="Q11" s="16">
        <f>IF(F11&lt;&gt;"",F11&amp;"",IF(LEFT(E11,6)="Indire",INDEX('Chart of Accounts'!$A$5:$A$3000,MATCH("project_overhead",'Chart of Accounts'!$F$5:$F$3000,0)),IF(LEFT(E11,6)="Admini",INDEX('Chart of Accounts'!$A$5:$A$3000,MATCH("admin_salaries",'Chart of Accounts'!$F$5:$F$3000,0)),INDEX('Chart of Accounts'!$A$5:$A$3000,MATCH("direct_labour",'Chart of Accounts'!$F$5:$F$3000,0)))))</f>
        <v/>
      </c>
      <c r="R11" s="16">
        <f>IF(M11="",INDEX('Chart of Accounts'!$A$5:$A$3000,MATCH("bank",'Chart of Accounts'!$F$5:$F$3000,0)),M11&amp;"")</f>
        <v/>
      </c>
      <c r="S11" s="16">
        <f>IF(N11="",INDEX('Chart of Accounts'!$A$5:$A$3000,MATCH("accrued_payroll",'Chart of Accounts'!$F$5:$F$3000,0)),N11&amp;"")</f>
        <v/>
      </c>
      <c r="T11" s="23">
        <f>IFERROR(INDEX('Chart of Accounts'!$C$5:$C$3000,MATCH(Q11&amp;"",'Chart of Accounts'!$A$5:$A$3000,0))&amp;"|"&amp;INDEX('Chart of Accounts'!$D$5:$D$3000,MATCH(Q11&amp;"",'Chart of Accounts'!$A$5:$A$3000,0)),"")</f>
        <v/>
      </c>
      <c r="U11" s="23">
        <f>IFERROR(INDEX('Chart of Accounts'!$C$5:$C$3000,MATCH(R11&amp;"",'Chart of Accounts'!$A$5:$A$3000,0))&amp;"|"&amp;INDEX('Chart of Accounts'!$D$5:$D$3000,MATCH(R11&amp;"",'Chart of Accounts'!$A$5:$A$3000,0)),"")</f>
        <v/>
      </c>
      <c r="V11" s="23">
        <f>IFERROR(INDEX('Chart of Accounts'!$C$5:$C$3000,MATCH(S11&amp;"",'Chart of Accounts'!$A$5:$A$3000,0))&amp;"|"&amp;INDEX('Chart of Accounts'!$D$5:$D$3000,MATCH(S11&amp;"",'Chart of Accounts'!$A$5:$A$3000,0)),"")</f>
        <v/>
      </c>
      <c r="W11" s="23">
        <f>IF(LEFT(T11,8)="Revenue|",-N(O11),0)+IF(LEFT(U11,8)="Revenue|",N(K11),0)+IF(LEFT(V11,8)="Revenue|",N(P11),0)</f>
        <v/>
      </c>
      <c r="X11" s="23">
        <f>IF(LEFT(T11,5)="COGS|",N(O11),0)+IF(LEFT(U11,5)="COGS|",-N(K11),0)+IF(LEFT(V11,5)="COGS|",-N(P11),0)</f>
        <v/>
      </c>
      <c r="Y11" s="23">
        <f>IF(LEFT(T11,8)="Expense|",N(O11),0)+IF(LEFT(U11,8)="Expense|",-N(K11),0)+IF(LEFT(V11,8)="Expense|",-N(P11),0)</f>
        <v/>
      </c>
      <c r="Z11" s="23">
        <f>IF(ISNUMBER(MATCH(T11,{"Expense|employee","Expense|general_admin","Expense|marketing","Expense|utilities","Expense|other_operating"},0)),N(O11),0)+IF(ISNUMBER(MATCH(U11,{"Expense|employee","Expense|general_admin","Expense|marketing","Expense|utilities","Expense|other_operating"},0)),-N(K11),0)+IF(ISNUMBER(MATCH(V11,{"Expense|employee","Expense|general_admin","Expense|marketing","Expense|utilities","Expense|other_operating"},0)),-N(P11),0)</f>
        <v/>
      </c>
      <c r="AA11" s="23">
        <f>IF(T11="Liability|payable",-N(O11),0)+IF(U11="Liability|payable",N(K11),0)+IF(V11="Liability|payable",N(P11),0)</f>
        <v/>
      </c>
      <c r="AB11" s="23">
        <f>IF(T11="Liability|accrued",-N(O11),0)+IF(U11="Liability|accrued",N(K11),0)+IF(V11="Liability|accrued",N(P11),0)</f>
        <v/>
      </c>
      <c r="AC11" s="23">
        <f>IF(AND(N(O11)&lt;&gt;0,T11=""),1,0)+IF(AND(N(K11)&lt;&gt;0,U11=""),1,0)+IF(AND(N(P11)&lt;&gt;0,V11=""),1,0)</f>
        <v/>
      </c>
    </row>
    <row r="12">
      <c r="A12" s="19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20" t="n"/>
      <c r="K12" s="20" t="n"/>
      <c r="L12" s="14" t="n"/>
      <c r="M12" s="14" t="n"/>
      <c r="N12" s="14" t="n"/>
      <c r="O12" s="21">
        <f>ROUND(N(I12)*N(J12),2)</f>
        <v/>
      </c>
      <c r="P12" s="21">
        <f>O12-N(K12)</f>
        <v/>
      </c>
      <c r="Q12" s="16">
        <f>IF(F12&lt;&gt;"",F12&amp;"",IF(LEFT(E12,6)="Indire",INDEX('Chart of Accounts'!$A$5:$A$3000,MATCH("project_overhead",'Chart of Accounts'!$F$5:$F$3000,0)),IF(LEFT(E12,6)="Admini",INDEX('Chart of Accounts'!$A$5:$A$3000,MATCH("admin_salaries",'Chart of Accounts'!$F$5:$F$3000,0)),INDEX('Chart of Accounts'!$A$5:$A$3000,MATCH("direct_labour",'Chart of Accounts'!$F$5:$F$3000,0)))))</f>
        <v/>
      </c>
      <c r="R12" s="16">
        <f>IF(M12="",INDEX('Chart of Accounts'!$A$5:$A$3000,MATCH("bank",'Chart of Accounts'!$F$5:$F$3000,0)),M12&amp;"")</f>
        <v/>
      </c>
      <c r="S12" s="16">
        <f>IF(N12="",INDEX('Chart of Accounts'!$A$5:$A$3000,MATCH("accrued_payroll",'Chart of Accounts'!$F$5:$F$3000,0)),N12&amp;"")</f>
        <v/>
      </c>
      <c r="T12" s="23">
        <f>IFERROR(INDEX('Chart of Accounts'!$C$5:$C$3000,MATCH(Q12&amp;"",'Chart of Accounts'!$A$5:$A$3000,0))&amp;"|"&amp;INDEX('Chart of Accounts'!$D$5:$D$3000,MATCH(Q12&amp;"",'Chart of Accounts'!$A$5:$A$3000,0)),"")</f>
        <v/>
      </c>
      <c r="U12" s="23">
        <f>IFERROR(INDEX('Chart of Accounts'!$C$5:$C$3000,MATCH(R12&amp;"",'Chart of Accounts'!$A$5:$A$3000,0))&amp;"|"&amp;INDEX('Chart of Accounts'!$D$5:$D$3000,MATCH(R12&amp;"",'Chart of Accounts'!$A$5:$A$3000,0)),"")</f>
        <v/>
      </c>
      <c r="V12" s="23">
        <f>IFERROR(INDEX('Chart of Accounts'!$C$5:$C$3000,MATCH(S12&amp;"",'Chart of Accounts'!$A$5:$A$3000,0))&amp;"|"&amp;INDEX('Chart of Accounts'!$D$5:$D$3000,MATCH(S12&amp;"",'Chart of Accounts'!$A$5:$A$3000,0)),"")</f>
        <v/>
      </c>
      <c r="W12" s="23">
        <f>IF(LEFT(T12,8)="Revenue|",-N(O12),0)+IF(LEFT(U12,8)="Revenue|",N(K12),0)+IF(LEFT(V12,8)="Revenue|",N(P12),0)</f>
        <v/>
      </c>
      <c r="X12" s="23">
        <f>IF(LEFT(T12,5)="COGS|",N(O12),0)+IF(LEFT(U12,5)="COGS|",-N(K12),0)+IF(LEFT(V12,5)="COGS|",-N(P12),0)</f>
        <v/>
      </c>
      <c r="Y12" s="23">
        <f>IF(LEFT(T12,8)="Expense|",N(O12),0)+IF(LEFT(U12,8)="Expense|",-N(K12),0)+IF(LEFT(V12,8)="Expense|",-N(P12),0)</f>
        <v/>
      </c>
      <c r="Z12" s="23">
        <f>IF(ISNUMBER(MATCH(T12,{"Expense|employee","Expense|general_admin","Expense|marketing","Expense|utilities","Expense|other_operating"},0)),N(O12),0)+IF(ISNUMBER(MATCH(U12,{"Expense|employee","Expense|general_admin","Expense|marketing","Expense|utilities","Expense|other_operating"},0)),-N(K12),0)+IF(ISNUMBER(MATCH(V12,{"Expense|employee","Expense|general_admin","Expense|marketing","Expense|utilities","Expense|other_operating"},0)),-N(P12),0)</f>
        <v/>
      </c>
      <c r="AA12" s="23">
        <f>IF(T12="Liability|payable",-N(O12),0)+IF(U12="Liability|payable",N(K12),0)+IF(V12="Liability|payable",N(P12),0)</f>
        <v/>
      </c>
      <c r="AB12" s="23">
        <f>IF(T12="Liability|accrued",-N(O12),0)+IF(U12="Liability|accrued",N(K12),0)+IF(V12="Liability|accrued",N(P12),0)</f>
        <v/>
      </c>
      <c r="AC12" s="23">
        <f>IF(AND(N(O12)&lt;&gt;0,T12=""),1,0)+IF(AND(N(K12)&lt;&gt;0,U12=""),1,0)+IF(AND(N(P12)&lt;&gt;0,V12=""),1,0)</f>
        <v/>
      </c>
    </row>
    <row r="13">
      <c r="A13" s="19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20" t="n"/>
      <c r="K13" s="20" t="n"/>
      <c r="L13" s="14" t="n"/>
      <c r="M13" s="14" t="n"/>
      <c r="N13" s="14" t="n"/>
      <c r="O13" s="21">
        <f>ROUND(N(I13)*N(J13),2)</f>
        <v/>
      </c>
      <c r="P13" s="21">
        <f>O13-N(K13)</f>
        <v/>
      </c>
      <c r="Q13" s="16">
        <f>IF(F13&lt;&gt;"",F13&amp;"",IF(LEFT(E13,6)="Indire",INDEX('Chart of Accounts'!$A$5:$A$3000,MATCH("project_overhead",'Chart of Accounts'!$F$5:$F$3000,0)),IF(LEFT(E13,6)="Admini",INDEX('Chart of Accounts'!$A$5:$A$3000,MATCH("admin_salaries",'Chart of Accounts'!$F$5:$F$3000,0)),INDEX('Chart of Accounts'!$A$5:$A$3000,MATCH("direct_labour",'Chart of Accounts'!$F$5:$F$3000,0)))))</f>
        <v/>
      </c>
      <c r="R13" s="16">
        <f>IF(M13="",INDEX('Chart of Accounts'!$A$5:$A$3000,MATCH("bank",'Chart of Accounts'!$F$5:$F$3000,0)),M13&amp;"")</f>
        <v/>
      </c>
      <c r="S13" s="16">
        <f>IF(N13="",INDEX('Chart of Accounts'!$A$5:$A$3000,MATCH("accrued_payroll",'Chart of Accounts'!$F$5:$F$3000,0)),N13&amp;"")</f>
        <v/>
      </c>
      <c r="T13" s="23">
        <f>IFERROR(INDEX('Chart of Accounts'!$C$5:$C$3000,MATCH(Q13&amp;"",'Chart of Accounts'!$A$5:$A$3000,0))&amp;"|"&amp;INDEX('Chart of Accounts'!$D$5:$D$3000,MATCH(Q13&amp;"",'Chart of Accounts'!$A$5:$A$3000,0)),"")</f>
        <v/>
      </c>
      <c r="U13" s="23">
        <f>IFERROR(INDEX('Chart of Accounts'!$C$5:$C$3000,MATCH(R13&amp;"",'Chart of Accounts'!$A$5:$A$3000,0))&amp;"|"&amp;INDEX('Chart of Accounts'!$D$5:$D$3000,MATCH(R13&amp;"",'Chart of Accounts'!$A$5:$A$3000,0)),"")</f>
        <v/>
      </c>
      <c r="V13" s="23">
        <f>IFERROR(INDEX('Chart of Accounts'!$C$5:$C$3000,MATCH(S13&amp;"",'Chart of Accounts'!$A$5:$A$3000,0))&amp;"|"&amp;INDEX('Chart of Accounts'!$D$5:$D$3000,MATCH(S13&amp;"",'Chart of Accounts'!$A$5:$A$3000,0)),"")</f>
        <v/>
      </c>
      <c r="W13" s="23">
        <f>IF(LEFT(T13,8)="Revenue|",-N(O13),0)+IF(LEFT(U13,8)="Revenue|",N(K13),0)+IF(LEFT(V13,8)="Revenue|",N(P13),0)</f>
        <v/>
      </c>
      <c r="X13" s="23">
        <f>IF(LEFT(T13,5)="COGS|",N(O13),0)+IF(LEFT(U13,5)="COGS|",-N(K13),0)+IF(LEFT(V13,5)="COGS|",-N(P13),0)</f>
        <v/>
      </c>
      <c r="Y13" s="23">
        <f>IF(LEFT(T13,8)="Expense|",N(O13),0)+IF(LEFT(U13,8)="Expense|",-N(K13),0)+IF(LEFT(V13,8)="Expense|",-N(P13),0)</f>
        <v/>
      </c>
      <c r="Z13" s="23">
        <f>IF(ISNUMBER(MATCH(T13,{"Expense|employee","Expense|general_admin","Expense|marketing","Expense|utilities","Expense|other_operating"},0)),N(O13),0)+IF(ISNUMBER(MATCH(U13,{"Expense|employee","Expense|general_admin","Expense|marketing","Expense|utilities","Expense|other_operating"},0)),-N(K13),0)+IF(ISNUMBER(MATCH(V13,{"Expense|employee","Expense|general_admin","Expense|marketing","Expense|utilities","Expense|other_operating"},0)),-N(P13),0)</f>
        <v/>
      </c>
      <c r="AA13" s="23">
        <f>IF(T13="Liability|payable",-N(O13),0)+IF(U13="Liability|payable",N(K13),0)+IF(V13="Liability|payable",N(P13),0)</f>
        <v/>
      </c>
      <c r="AB13" s="23">
        <f>IF(T13="Liability|accrued",-N(O13),0)+IF(U13="Liability|accrued",N(K13),0)+IF(V13="Liability|accrued",N(P13),0)</f>
        <v/>
      </c>
      <c r="AC13" s="23">
        <f>IF(AND(N(O13)&lt;&gt;0,T13=""),1,0)+IF(AND(N(K13)&lt;&gt;0,U13=""),1,0)+IF(AND(N(P13)&lt;&gt;0,V13=""),1,0)</f>
        <v/>
      </c>
    </row>
    <row r="14">
      <c r="A14" s="19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20" t="n"/>
      <c r="K14" s="20" t="n"/>
      <c r="L14" s="14" t="n"/>
      <c r="M14" s="14" t="n"/>
      <c r="N14" s="14" t="n"/>
      <c r="O14" s="21">
        <f>ROUND(N(I14)*N(J14),2)</f>
        <v/>
      </c>
      <c r="P14" s="21">
        <f>O14-N(K14)</f>
        <v/>
      </c>
      <c r="Q14" s="16">
        <f>IF(F14&lt;&gt;"",F14&amp;"",IF(LEFT(E14,6)="Indire",INDEX('Chart of Accounts'!$A$5:$A$3000,MATCH("project_overhead",'Chart of Accounts'!$F$5:$F$3000,0)),IF(LEFT(E14,6)="Admini",INDEX('Chart of Accounts'!$A$5:$A$3000,MATCH("admin_salaries",'Chart of Accounts'!$F$5:$F$3000,0)),INDEX('Chart of Accounts'!$A$5:$A$3000,MATCH("direct_labour",'Chart of Accounts'!$F$5:$F$3000,0)))))</f>
        <v/>
      </c>
      <c r="R14" s="16">
        <f>IF(M14="",INDEX('Chart of Accounts'!$A$5:$A$3000,MATCH("bank",'Chart of Accounts'!$F$5:$F$3000,0)),M14&amp;"")</f>
        <v/>
      </c>
      <c r="S14" s="16">
        <f>IF(N14="",INDEX('Chart of Accounts'!$A$5:$A$3000,MATCH("accrued_payroll",'Chart of Accounts'!$F$5:$F$3000,0)),N14&amp;"")</f>
        <v/>
      </c>
      <c r="T14" s="23">
        <f>IFERROR(INDEX('Chart of Accounts'!$C$5:$C$3000,MATCH(Q14&amp;"",'Chart of Accounts'!$A$5:$A$3000,0))&amp;"|"&amp;INDEX('Chart of Accounts'!$D$5:$D$3000,MATCH(Q14&amp;"",'Chart of Accounts'!$A$5:$A$3000,0)),"")</f>
        <v/>
      </c>
      <c r="U14" s="23">
        <f>IFERROR(INDEX('Chart of Accounts'!$C$5:$C$3000,MATCH(R14&amp;"",'Chart of Accounts'!$A$5:$A$3000,0))&amp;"|"&amp;INDEX('Chart of Accounts'!$D$5:$D$3000,MATCH(R14&amp;"",'Chart of Accounts'!$A$5:$A$3000,0)),"")</f>
        <v/>
      </c>
      <c r="V14" s="23">
        <f>IFERROR(INDEX('Chart of Accounts'!$C$5:$C$3000,MATCH(S14&amp;"",'Chart of Accounts'!$A$5:$A$3000,0))&amp;"|"&amp;INDEX('Chart of Accounts'!$D$5:$D$3000,MATCH(S14&amp;"",'Chart of Accounts'!$A$5:$A$3000,0)),"")</f>
        <v/>
      </c>
      <c r="W14" s="23">
        <f>IF(LEFT(T14,8)="Revenue|",-N(O14),0)+IF(LEFT(U14,8)="Revenue|",N(K14),0)+IF(LEFT(V14,8)="Revenue|",N(P14),0)</f>
        <v/>
      </c>
      <c r="X14" s="23">
        <f>IF(LEFT(T14,5)="COGS|",N(O14),0)+IF(LEFT(U14,5)="COGS|",-N(K14),0)+IF(LEFT(V14,5)="COGS|",-N(P14),0)</f>
        <v/>
      </c>
      <c r="Y14" s="23">
        <f>IF(LEFT(T14,8)="Expense|",N(O14),0)+IF(LEFT(U14,8)="Expense|",-N(K14),0)+IF(LEFT(V14,8)="Expense|",-N(P14),0)</f>
        <v/>
      </c>
      <c r="Z14" s="23">
        <f>IF(ISNUMBER(MATCH(T14,{"Expense|employee","Expense|general_admin","Expense|marketing","Expense|utilities","Expense|other_operating"},0)),N(O14),0)+IF(ISNUMBER(MATCH(U14,{"Expense|employee","Expense|general_admin","Expense|marketing","Expense|utilities","Expense|other_operating"},0)),-N(K14),0)+IF(ISNUMBER(MATCH(V14,{"Expense|employee","Expense|general_admin","Expense|marketing","Expense|utilities","Expense|other_operating"},0)),-N(P14),0)</f>
        <v/>
      </c>
      <c r="AA14" s="23">
        <f>IF(T14="Liability|payable",-N(O14),0)+IF(U14="Liability|payable",N(K14),0)+IF(V14="Liability|payable",N(P14),0)</f>
        <v/>
      </c>
      <c r="AB14" s="23">
        <f>IF(T14="Liability|accrued",-N(O14),0)+IF(U14="Liability|accrued",N(K14),0)+IF(V14="Liability|accrued",N(P14),0)</f>
        <v/>
      </c>
      <c r="AC14" s="23">
        <f>IF(AND(N(O14)&lt;&gt;0,T14=""),1,0)+IF(AND(N(K14)&lt;&gt;0,U14=""),1,0)+IF(AND(N(P14)&lt;&gt;0,V14=""),1,0)</f>
        <v/>
      </c>
    </row>
    <row r="15">
      <c r="A15" s="19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20" t="n"/>
      <c r="K15" s="20" t="n"/>
      <c r="L15" s="14" t="n"/>
      <c r="M15" s="14" t="n"/>
      <c r="N15" s="14" t="n"/>
      <c r="O15" s="21">
        <f>ROUND(N(I15)*N(J15),2)</f>
        <v/>
      </c>
      <c r="P15" s="21">
        <f>O15-N(K15)</f>
        <v/>
      </c>
      <c r="Q15" s="16">
        <f>IF(F15&lt;&gt;"",F15&amp;"",IF(LEFT(E15,6)="Indire",INDEX('Chart of Accounts'!$A$5:$A$3000,MATCH("project_overhead",'Chart of Accounts'!$F$5:$F$3000,0)),IF(LEFT(E15,6)="Admini",INDEX('Chart of Accounts'!$A$5:$A$3000,MATCH("admin_salaries",'Chart of Accounts'!$F$5:$F$3000,0)),INDEX('Chart of Accounts'!$A$5:$A$3000,MATCH("direct_labour",'Chart of Accounts'!$F$5:$F$3000,0)))))</f>
        <v/>
      </c>
      <c r="R15" s="16">
        <f>IF(M15="",INDEX('Chart of Accounts'!$A$5:$A$3000,MATCH("bank",'Chart of Accounts'!$F$5:$F$3000,0)),M15&amp;"")</f>
        <v/>
      </c>
      <c r="S15" s="16">
        <f>IF(N15="",INDEX('Chart of Accounts'!$A$5:$A$3000,MATCH("accrued_payroll",'Chart of Accounts'!$F$5:$F$3000,0)),N15&amp;"")</f>
        <v/>
      </c>
      <c r="T15" s="23">
        <f>IFERROR(INDEX('Chart of Accounts'!$C$5:$C$3000,MATCH(Q15&amp;"",'Chart of Accounts'!$A$5:$A$3000,0))&amp;"|"&amp;INDEX('Chart of Accounts'!$D$5:$D$3000,MATCH(Q15&amp;"",'Chart of Accounts'!$A$5:$A$3000,0)),"")</f>
        <v/>
      </c>
      <c r="U15" s="23">
        <f>IFERROR(INDEX('Chart of Accounts'!$C$5:$C$3000,MATCH(R15&amp;"",'Chart of Accounts'!$A$5:$A$3000,0))&amp;"|"&amp;INDEX('Chart of Accounts'!$D$5:$D$3000,MATCH(R15&amp;"",'Chart of Accounts'!$A$5:$A$3000,0)),"")</f>
        <v/>
      </c>
      <c r="V15" s="23">
        <f>IFERROR(INDEX('Chart of Accounts'!$C$5:$C$3000,MATCH(S15&amp;"",'Chart of Accounts'!$A$5:$A$3000,0))&amp;"|"&amp;INDEX('Chart of Accounts'!$D$5:$D$3000,MATCH(S15&amp;"",'Chart of Accounts'!$A$5:$A$3000,0)),"")</f>
        <v/>
      </c>
      <c r="W15" s="23">
        <f>IF(LEFT(T15,8)="Revenue|",-N(O15),0)+IF(LEFT(U15,8)="Revenue|",N(K15),0)+IF(LEFT(V15,8)="Revenue|",N(P15),0)</f>
        <v/>
      </c>
      <c r="X15" s="23">
        <f>IF(LEFT(T15,5)="COGS|",N(O15),0)+IF(LEFT(U15,5)="COGS|",-N(K15),0)+IF(LEFT(V15,5)="COGS|",-N(P15),0)</f>
        <v/>
      </c>
      <c r="Y15" s="23">
        <f>IF(LEFT(T15,8)="Expense|",N(O15),0)+IF(LEFT(U15,8)="Expense|",-N(K15),0)+IF(LEFT(V15,8)="Expense|",-N(P15),0)</f>
        <v/>
      </c>
      <c r="Z15" s="23">
        <f>IF(ISNUMBER(MATCH(T15,{"Expense|employee","Expense|general_admin","Expense|marketing","Expense|utilities","Expense|other_operating"},0)),N(O15),0)+IF(ISNUMBER(MATCH(U15,{"Expense|employee","Expense|general_admin","Expense|marketing","Expense|utilities","Expense|other_operating"},0)),-N(K15),0)+IF(ISNUMBER(MATCH(V15,{"Expense|employee","Expense|general_admin","Expense|marketing","Expense|utilities","Expense|other_operating"},0)),-N(P15),0)</f>
        <v/>
      </c>
      <c r="AA15" s="23">
        <f>IF(T15="Liability|payable",-N(O15),0)+IF(U15="Liability|payable",N(K15),0)+IF(V15="Liability|payable",N(P15),0)</f>
        <v/>
      </c>
      <c r="AB15" s="23">
        <f>IF(T15="Liability|accrued",-N(O15),0)+IF(U15="Liability|accrued",N(K15),0)+IF(V15="Liability|accrued",N(P15),0)</f>
        <v/>
      </c>
      <c r="AC15" s="23">
        <f>IF(AND(N(O15)&lt;&gt;0,T15=""),1,0)+IF(AND(N(K15)&lt;&gt;0,U15=""),1,0)+IF(AND(N(P15)&lt;&gt;0,V15=""),1,0)</f>
        <v/>
      </c>
    </row>
    <row r="16">
      <c r="A16" s="19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20" t="n"/>
      <c r="K16" s="20" t="n"/>
      <c r="L16" s="14" t="n"/>
      <c r="M16" s="14" t="n"/>
      <c r="N16" s="14" t="n"/>
      <c r="O16" s="21">
        <f>ROUND(N(I16)*N(J16),2)</f>
        <v/>
      </c>
      <c r="P16" s="21">
        <f>O16-N(K16)</f>
        <v/>
      </c>
      <c r="Q16" s="16">
        <f>IF(F16&lt;&gt;"",F16&amp;"",IF(LEFT(E16,6)="Indire",INDEX('Chart of Accounts'!$A$5:$A$3000,MATCH("project_overhead",'Chart of Accounts'!$F$5:$F$3000,0)),IF(LEFT(E16,6)="Admini",INDEX('Chart of Accounts'!$A$5:$A$3000,MATCH("admin_salaries",'Chart of Accounts'!$F$5:$F$3000,0)),INDEX('Chart of Accounts'!$A$5:$A$3000,MATCH("direct_labour",'Chart of Accounts'!$F$5:$F$3000,0)))))</f>
        <v/>
      </c>
      <c r="R16" s="16">
        <f>IF(M16="",INDEX('Chart of Accounts'!$A$5:$A$3000,MATCH("bank",'Chart of Accounts'!$F$5:$F$3000,0)),M16&amp;"")</f>
        <v/>
      </c>
      <c r="S16" s="16">
        <f>IF(N16="",INDEX('Chart of Accounts'!$A$5:$A$3000,MATCH("accrued_payroll",'Chart of Accounts'!$F$5:$F$3000,0)),N16&amp;"")</f>
        <v/>
      </c>
      <c r="T16" s="23">
        <f>IFERROR(INDEX('Chart of Accounts'!$C$5:$C$3000,MATCH(Q16&amp;"",'Chart of Accounts'!$A$5:$A$3000,0))&amp;"|"&amp;INDEX('Chart of Accounts'!$D$5:$D$3000,MATCH(Q16&amp;"",'Chart of Accounts'!$A$5:$A$3000,0)),"")</f>
        <v/>
      </c>
      <c r="U16" s="23">
        <f>IFERROR(INDEX('Chart of Accounts'!$C$5:$C$3000,MATCH(R16&amp;"",'Chart of Accounts'!$A$5:$A$3000,0))&amp;"|"&amp;INDEX('Chart of Accounts'!$D$5:$D$3000,MATCH(R16&amp;"",'Chart of Accounts'!$A$5:$A$3000,0)),"")</f>
        <v/>
      </c>
      <c r="V16" s="23">
        <f>IFERROR(INDEX('Chart of Accounts'!$C$5:$C$3000,MATCH(S16&amp;"",'Chart of Accounts'!$A$5:$A$3000,0))&amp;"|"&amp;INDEX('Chart of Accounts'!$D$5:$D$3000,MATCH(S16&amp;"",'Chart of Accounts'!$A$5:$A$3000,0)),"")</f>
        <v/>
      </c>
      <c r="W16" s="23">
        <f>IF(LEFT(T16,8)="Revenue|",-N(O16),0)+IF(LEFT(U16,8)="Revenue|",N(K16),0)+IF(LEFT(V16,8)="Revenue|",N(P16),0)</f>
        <v/>
      </c>
      <c r="X16" s="23">
        <f>IF(LEFT(T16,5)="COGS|",N(O16),0)+IF(LEFT(U16,5)="COGS|",-N(K16),0)+IF(LEFT(V16,5)="COGS|",-N(P16),0)</f>
        <v/>
      </c>
      <c r="Y16" s="23">
        <f>IF(LEFT(T16,8)="Expense|",N(O16),0)+IF(LEFT(U16,8)="Expense|",-N(K16),0)+IF(LEFT(V16,8)="Expense|",-N(P16),0)</f>
        <v/>
      </c>
      <c r="Z16" s="23">
        <f>IF(ISNUMBER(MATCH(T16,{"Expense|employee","Expense|general_admin","Expense|marketing","Expense|utilities","Expense|other_operating"},0)),N(O16),0)+IF(ISNUMBER(MATCH(U16,{"Expense|employee","Expense|general_admin","Expense|marketing","Expense|utilities","Expense|other_operating"},0)),-N(K16),0)+IF(ISNUMBER(MATCH(V16,{"Expense|employee","Expense|general_admin","Expense|marketing","Expense|utilities","Expense|other_operating"},0)),-N(P16),0)</f>
        <v/>
      </c>
      <c r="AA16" s="23">
        <f>IF(T16="Liability|payable",-N(O16),0)+IF(U16="Liability|payable",N(K16),0)+IF(V16="Liability|payable",N(P16),0)</f>
        <v/>
      </c>
      <c r="AB16" s="23">
        <f>IF(T16="Liability|accrued",-N(O16),0)+IF(U16="Liability|accrued",N(K16),0)+IF(V16="Liability|accrued",N(P16),0)</f>
        <v/>
      </c>
      <c r="AC16" s="23">
        <f>IF(AND(N(O16)&lt;&gt;0,T16=""),1,0)+IF(AND(N(K16)&lt;&gt;0,U16=""),1,0)+IF(AND(N(P16)&lt;&gt;0,V16=""),1,0)</f>
        <v/>
      </c>
    </row>
    <row r="17">
      <c r="A17" s="19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20" t="n"/>
      <c r="K17" s="20" t="n"/>
      <c r="L17" s="14" t="n"/>
      <c r="M17" s="14" t="n"/>
      <c r="N17" s="14" t="n"/>
      <c r="O17" s="21">
        <f>ROUND(N(I17)*N(J17),2)</f>
        <v/>
      </c>
      <c r="P17" s="21">
        <f>O17-N(K17)</f>
        <v/>
      </c>
      <c r="Q17" s="16">
        <f>IF(F17&lt;&gt;"",F17&amp;"",IF(LEFT(E17,6)="Indire",INDEX('Chart of Accounts'!$A$5:$A$3000,MATCH("project_overhead",'Chart of Accounts'!$F$5:$F$3000,0)),IF(LEFT(E17,6)="Admini",INDEX('Chart of Accounts'!$A$5:$A$3000,MATCH("admin_salaries",'Chart of Accounts'!$F$5:$F$3000,0)),INDEX('Chart of Accounts'!$A$5:$A$3000,MATCH("direct_labour",'Chart of Accounts'!$F$5:$F$3000,0)))))</f>
        <v/>
      </c>
      <c r="R17" s="16">
        <f>IF(M17="",INDEX('Chart of Accounts'!$A$5:$A$3000,MATCH("bank",'Chart of Accounts'!$F$5:$F$3000,0)),M17&amp;"")</f>
        <v/>
      </c>
      <c r="S17" s="16">
        <f>IF(N17="",INDEX('Chart of Accounts'!$A$5:$A$3000,MATCH("accrued_payroll",'Chart of Accounts'!$F$5:$F$3000,0)),N17&amp;"")</f>
        <v/>
      </c>
      <c r="T17" s="23">
        <f>IFERROR(INDEX('Chart of Accounts'!$C$5:$C$3000,MATCH(Q17&amp;"",'Chart of Accounts'!$A$5:$A$3000,0))&amp;"|"&amp;INDEX('Chart of Accounts'!$D$5:$D$3000,MATCH(Q17&amp;"",'Chart of Accounts'!$A$5:$A$3000,0)),"")</f>
        <v/>
      </c>
      <c r="U17" s="23">
        <f>IFERROR(INDEX('Chart of Accounts'!$C$5:$C$3000,MATCH(R17&amp;"",'Chart of Accounts'!$A$5:$A$3000,0))&amp;"|"&amp;INDEX('Chart of Accounts'!$D$5:$D$3000,MATCH(R17&amp;"",'Chart of Accounts'!$A$5:$A$3000,0)),"")</f>
        <v/>
      </c>
      <c r="V17" s="23">
        <f>IFERROR(INDEX('Chart of Accounts'!$C$5:$C$3000,MATCH(S17&amp;"",'Chart of Accounts'!$A$5:$A$3000,0))&amp;"|"&amp;INDEX('Chart of Accounts'!$D$5:$D$3000,MATCH(S17&amp;"",'Chart of Accounts'!$A$5:$A$3000,0)),"")</f>
        <v/>
      </c>
      <c r="W17" s="23">
        <f>IF(LEFT(T17,8)="Revenue|",-N(O17),0)+IF(LEFT(U17,8)="Revenue|",N(K17),0)+IF(LEFT(V17,8)="Revenue|",N(P17),0)</f>
        <v/>
      </c>
      <c r="X17" s="23">
        <f>IF(LEFT(T17,5)="COGS|",N(O17),0)+IF(LEFT(U17,5)="COGS|",-N(K17),0)+IF(LEFT(V17,5)="COGS|",-N(P17),0)</f>
        <v/>
      </c>
      <c r="Y17" s="23">
        <f>IF(LEFT(T17,8)="Expense|",N(O17),0)+IF(LEFT(U17,8)="Expense|",-N(K17),0)+IF(LEFT(V17,8)="Expense|",-N(P17),0)</f>
        <v/>
      </c>
      <c r="Z17" s="23">
        <f>IF(ISNUMBER(MATCH(T17,{"Expense|employee","Expense|general_admin","Expense|marketing","Expense|utilities","Expense|other_operating"},0)),N(O17),0)+IF(ISNUMBER(MATCH(U17,{"Expense|employee","Expense|general_admin","Expense|marketing","Expense|utilities","Expense|other_operating"},0)),-N(K17),0)+IF(ISNUMBER(MATCH(V17,{"Expense|employee","Expense|general_admin","Expense|marketing","Expense|utilities","Expense|other_operating"},0)),-N(P17),0)</f>
        <v/>
      </c>
      <c r="AA17" s="23">
        <f>IF(T17="Liability|payable",-N(O17),0)+IF(U17="Liability|payable",N(K17),0)+IF(V17="Liability|payable",N(P17),0)</f>
        <v/>
      </c>
      <c r="AB17" s="23">
        <f>IF(T17="Liability|accrued",-N(O17),0)+IF(U17="Liability|accrued",N(K17),0)+IF(V17="Liability|accrued",N(P17),0)</f>
        <v/>
      </c>
      <c r="AC17" s="23">
        <f>IF(AND(N(O17)&lt;&gt;0,T17=""),1,0)+IF(AND(N(K17)&lt;&gt;0,U17=""),1,0)+IF(AND(N(P17)&lt;&gt;0,V17=""),1,0)</f>
        <v/>
      </c>
    </row>
    <row r="18">
      <c r="A18" s="19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20" t="n"/>
      <c r="K18" s="20" t="n"/>
      <c r="L18" s="14" t="n"/>
      <c r="M18" s="14" t="n"/>
      <c r="N18" s="14" t="n"/>
      <c r="O18" s="21">
        <f>ROUND(N(I18)*N(J18),2)</f>
        <v/>
      </c>
      <c r="P18" s="21">
        <f>O18-N(K18)</f>
        <v/>
      </c>
      <c r="Q18" s="16">
        <f>IF(F18&lt;&gt;"",F18&amp;"",IF(LEFT(E18,6)="Indire",INDEX('Chart of Accounts'!$A$5:$A$3000,MATCH("project_overhead",'Chart of Accounts'!$F$5:$F$3000,0)),IF(LEFT(E18,6)="Admini",INDEX('Chart of Accounts'!$A$5:$A$3000,MATCH("admin_salaries",'Chart of Accounts'!$F$5:$F$3000,0)),INDEX('Chart of Accounts'!$A$5:$A$3000,MATCH("direct_labour",'Chart of Accounts'!$F$5:$F$3000,0)))))</f>
        <v/>
      </c>
      <c r="R18" s="16">
        <f>IF(M18="",INDEX('Chart of Accounts'!$A$5:$A$3000,MATCH("bank",'Chart of Accounts'!$F$5:$F$3000,0)),M18&amp;"")</f>
        <v/>
      </c>
      <c r="S18" s="16">
        <f>IF(N18="",INDEX('Chart of Accounts'!$A$5:$A$3000,MATCH("accrued_payroll",'Chart of Accounts'!$F$5:$F$3000,0)),N18&amp;"")</f>
        <v/>
      </c>
      <c r="T18" s="23">
        <f>IFERROR(INDEX('Chart of Accounts'!$C$5:$C$3000,MATCH(Q18&amp;"",'Chart of Accounts'!$A$5:$A$3000,0))&amp;"|"&amp;INDEX('Chart of Accounts'!$D$5:$D$3000,MATCH(Q18&amp;"",'Chart of Accounts'!$A$5:$A$3000,0)),"")</f>
        <v/>
      </c>
      <c r="U18" s="23">
        <f>IFERROR(INDEX('Chart of Accounts'!$C$5:$C$3000,MATCH(R18&amp;"",'Chart of Accounts'!$A$5:$A$3000,0))&amp;"|"&amp;INDEX('Chart of Accounts'!$D$5:$D$3000,MATCH(R18&amp;"",'Chart of Accounts'!$A$5:$A$3000,0)),"")</f>
        <v/>
      </c>
      <c r="V18" s="23">
        <f>IFERROR(INDEX('Chart of Accounts'!$C$5:$C$3000,MATCH(S18&amp;"",'Chart of Accounts'!$A$5:$A$3000,0))&amp;"|"&amp;INDEX('Chart of Accounts'!$D$5:$D$3000,MATCH(S18&amp;"",'Chart of Accounts'!$A$5:$A$3000,0)),"")</f>
        <v/>
      </c>
      <c r="W18" s="23">
        <f>IF(LEFT(T18,8)="Revenue|",-N(O18),0)+IF(LEFT(U18,8)="Revenue|",N(K18),0)+IF(LEFT(V18,8)="Revenue|",N(P18),0)</f>
        <v/>
      </c>
      <c r="X18" s="23">
        <f>IF(LEFT(T18,5)="COGS|",N(O18),0)+IF(LEFT(U18,5)="COGS|",-N(K18),0)+IF(LEFT(V18,5)="COGS|",-N(P18),0)</f>
        <v/>
      </c>
      <c r="Y18" s="23">
        <f>IF(LEFT(T18,8)="Expense|",N(O18),0)+IF(LEFT(U18,8)="Expense|",-N(K18),0)+IF(LEFT(V18,8)="Expense|",-N(P18),0)</f>
        <v/>
      </c>
      <c r="Z18" s="23">
        <f>IF(ISNUMBER(MATCH(T18,{"Expense|employee","Expense|general_admin","Expense|marketing","Expense|utilities","Expense|other_operating"},0)),N(O18),0)+IF(ISNUMBER(MATCH(U18,{"Expense|employee","Expense|general_admin","Expense|marketing","Expense|utilities","Expense|other_operating"},0)),-N(K18),0)+IF(ISNUMBER(MATCH(V18,{"Expense|employee","Expense|general_admin","Expense|marketing","Expense|utilities","Expense|other_operating"},0)),-N(P18),0)</f>
        <v/>
      </c>
      <c r="AA18" s="23">
        <f>IF(T18="Liability|payable",-N(O18),0)+IF(U18="Liability|payable",N(K18),0)+IF(V18="Liability|payable",N(P18),0)</f>
        <v/>
      </c>
      <c r="AB18" s="23">
        <f>IF(T18="Liability|accrued",-N(O18),0)+IF(U18="Liability|accrued",N(K18),0)+IF(V18="Liability|accrued",N(P18),0)</f>
        <v/>
      </c>
      <c r="AC18" s="23">
        <f>IF(AND(N(O18)&lt;&gt;0,T18=""),1,0)+IF(AND(N(K18)&lt;&gt;0,U18=""),1,0)+IF(AND(N(P18)&lt;&gt;0,V18=""),1,0)</f>
        <v/>
      </c>
    </row>
    <row r="19">
      <c r="A19" s="19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20" t="n"/>
      <c r="K19" s="20" t="n"/>
      <c r="L19" s="14" t="n"/>
      <c r="M19" s="14" t="n"/>
      <c r="N19" s="14" t="n"/>
      <c r="O19" s="21">
        <f>ROUND(N(I19)*N(J19),2)</f>
        <v/>
      </c>
      <c r="P19" s="21">
        <f>O19-N(K19)</f>
        <v/>
      </c>
      <c r="Q19" s="16">
        <f>IF(F19&lt;&gt;"",F19&amp;"",IF(LEFT(E19,6)="Indire",INDEX('Chart of Accounts'!$A$5:$A$3000,MATCH("project_overhead",'Chart of Accounts'!$F$5:$F$3000,0)),IF(LEFT(E19,6)="Admini",INDEX('Chart of Accounts'!$A$5:$A$3000,MATCH("admin_salaries",'Chart of Accounts'!$F$5:$F$3000,0)),INDEX('Chart of Accounts'!$A$5:$A$3000,MATCH("direct_labour",'Chart of Accounts'!$F$5:$F$3000,0)))))</f>
        <v/>
      </c>
      <c r="R19" s="16">
        <f>IF(M19="",INDEX('Chart of Accounts'!$A$5:$A$3000,MATCH("bank",'Chart of Accounts'!$F$5:$F$3000,0)),M19&amp;"")</f>
        <v/>
      </c>
      <c r="S19" s="16">
        <f>IF(N19="",INDEX('Chart of Accounts'!$A$5:$A$3000,MATCH("accrued_payroll",'Chart of Accounts'!$F$5:$F$3000,0)),N19&amp;"")</f>
        <v/>
      </c>
      <c r="T19" s="23">
        <f>IFERROR(INDEX('Chart of Accounts'!$C$5:$C$3000,MATCH(Q19&amp;"",'Chart of Accounts'!$A$5:$A$3000,0))&amp;"|"&amp;INDEX('Chart of Accounts'!$D$5:$D$3000,MATCH(Q19&amp;"",'Chart of Accounts'!$A$5:$A$3000,0)),"")</f>
        <v/>
      </c>
      <c r="U19" s="23">
        <f>IFERROR(INDEX('Chart of Accounts'!$C$5:$C$3000,MATCH(R19&amp;"",'Chart of Accounts'!$A$5:$A$3000,0))&amp;"|"&amp;INDEX('Chart of Accounts'!$D$5:$D$3000,MATCH(R19&amp;"",'Chart of Accounts'!$A$5:$A$3000,0)),"")</f>
        <v/>
      </c>
      <c r="V19" s="23">
        <f>IFERROR(INDEX('Chart of Accounts'!$C$5:$C$3000,MATCH(S19&amp;"",'Chart of Accounts'!$A$5:$A$3000,0))&amp;"|"&amp;INDEX('Chart of Accounts'!$D$5:$D$3000,MATCH(S19&amp;"",'Chart of Accounts'!$A$5:$A$3000,0)),"")</f>
        <v/>
      </c>
      <c r="W19" s="23">
        <f>IF(LEFT(T19,8)="Revenue|",-N(O19),0)+IF(LEFT(U19,8)="Revenue|",N(K19),0)+IF(LEFT(V19,8)="Revenue|",N(P19),0)</f>
        <v/>
      </c>
      <c r="X19" s="23">
        <f>IF(LEFT(T19,5)="COGS|",N(O19),0)+IF(LEFT(U19,5)="COGS|",-N(K19),0)+IF(LEFT(V19,5)="COGS|",-N(P19),0)</f>
        <v/>
      </c>
      <c r="Y19" s="23">
        <f>IF(LEFT(T19,8)="Expense|",N(O19),0)+IF(LEFT(U19,8)="Expense|",-N(K19),0)+IF(LEFT(V19,8)="Expense|",-N(P19),0)</f>
        <v/>
      </c>
      <c r="Z19" s="23">
        <f>IF(ISNUMBER(MATCH(T19,{"Expense|employee","Expense|general_admin","Expense|marketing","Expense|utilities","Expense|other_operating"},0)),N(O19),0)+IF(ISNUMBER(MATCH(U19,{"Expense|employee","Expense|general_admin","Expense|marketing","Expense|utilities","Expense|other_operating"},0)),-N(K19),0)+IF(ISNUMBER(MATCH(V19,{"Expense|employee","Expense|general_admin","Expense|marketing","Expense|utilities","Expense|other_operating"},0)),-N(P19),0)</f>
        <v/>
      </c>
      <c r="AA19" s="23">
        <f>IF(T19="Liability|payable",-N(O19),0)+IF(U19="Liability|payable",N(K19),0)+IF(V19="Liability|payable",N(P19),0)</f>
        <v/>
      </c>
      <c r="AB19" s="23">
        <f>IF(T19="Liability|accrued",-N(O19),0)+IF(U19="Liability|accrued",N(K19),0)+IF(V19="Liability|accrued",N(P19),0)</f>
        <v/>
      </c>
      <c r="AC19" s="23">
        <f>IF(AND(N(O19)&lt;&gt;0,T19=""),1,0)+IF(AND(N(K19)&lt;&gt;0,U19=""),1,0)+IF(AND(N(P19)&lt;&gt;0,V19=""),1,0)</f>
        <v/>
      </c>
    </row>
    <row r="20">
      <c r="A20" s="19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20" t="n"/>
      <c r="K20" s="20" t="n"/>
      <c r="L20" s="14" t="n"/>
      <c r="M20" s="14" t="n"/>
      <c r="N20" s="14" t="n"/>
      <c r="O20" s="21">
        <f>ROUND(N(I20)*N(J20),2)</f>
        <v/>
      </c>
      <c r="P20" s="21">
        <f>O20-N(K20)</f>
        <v/>
      </c>
      <c r="Q20" s="16">
        <f>IF(F20&lt;&gt;"",F20&amp;"",IF(LEFT(E20,6)="Indire",INDEX('Chart of Accounts'!$A$5:$A$3000,MATCH("project_overhead",'Chart of Accounts'!$F$5:$F$3000,0)),IF(LEFT(E20,6)="Admini",INDEX('Chart of Accounts'!$A$5:$A$3000,MATCH("admin_salaries",'Chart of Accounts'!$F$5:$F$3000,0)),INDEX('Chart of Accounts'!$A$5:$A$3000,MATCH("direct_labour",'Chart of Accounts'!$F$5:$F$3000,0)))))</f>
        <v/>
      </c>
      <c r="R20" s="16">
        <f>IF(M20="",INDEX('Chart of Accounts'!$A$5:$A$3000,MATCH("bank",'Chart of Accounts'!$F$5:$F$3000,0)),M20&amp;"")</f>
        <v/>
      </c>
      <c r="S20" s="16">
        <f>IF(N20="",INDEX('Chart of Accounts'!$A$5:$A$3000,MATCH("accrued_payroll",'Chart of Accounts'!$F$5:$F$3000,0)),N20&amp;"")</f>
        <v/>
      </c>
      <c r="T20" s="23">
        <f>IFERROR(INDEX('Chart of Accounts'!$C$5:$C$3000,MATCH(Q20&amp;"",'Chart of Accounts'!$A$5:$A$3000,0))&amp;"|"&amp;INDEX('Chart of Accounts'!$D$5:$D$3000,MATCH(Q20&amp;"",'Chart of Accounts'!$A$5:$A$3000,0)),"")</f>
        <v/>
      </c>
      <c r="U20" s="23">
        <f>IFERROR(INDEX('Chart of Accounts'!$C$5:$C$3000,MATCH(R20&amp;"",'Chart of Accounts'!$A$5:$A$3000,0))&amp;"|"&amp;INDEX('Chart of Accounts'!$D$5:$D$3000,MATCH(R20&amp;"",'Chart of Accounts'!$A$5:$A$3000,0)),"")</f>
        <v/>
      </c>
      <c r="V20" s="23">
        <f>IFERROR(INDEX('Chart of Accounts'!$C$5:$C$3000,MATCH(S20&amp;"",'Chart of Accounts'!$A$5:$A$3000,0))&amp;"|"&amp;INDEX('Chart of Accounts'!$D$5:$D$3000,MATCH(S20&amp;"",'Chart of Accounts'!$A$5:$A$3000,0)),"")</f>
        <v/>
      </c>
      <c r="W20" s="23">
        <f>IF(LEFT(T20,8)="Revenue|",-N(O20),0)+IF(LEFT(U20,8)="Revenue|",N(K20),0)+IF(LEFT(V20,8)="Revenue|",N(P20),0)</f>
        <v/>
      </c>
      <c r="X20" s="23">
        <f>IF(LEFT(T20,5)="COGS|",N(O20),0)+IF(LEFT(U20,5)="COGS|",-N(K20),0)+IF(LEFT(V20,5)="COGS|",-N(P20),0)</f>
        <v/>
      </c>
      <c r="Y20" s="23">
        <f>IF(LEFT(T20,8)="Expense|",N(O20),0)+IF(LEFT(U20,8)="Expense|",-N(K20),0)+IF(LEFT(V20,8)="Expense|",-N(P20),0)</f>
        <v/>
      </c>
      <c r="Z20" s="23">
        <f>IF(ISNUMBER(MATCH(T20,{"Expense|employee","Expense|general_admin","Expense|marketing","Expense|utilities","Expense|other_operating"},0)),N(O20),0)+IF(ISNUMBER(MATCH(U20,{"Expense|employee","Expense|general_admin","Expense|marketing","Expense|utilities","Expense|other_operating"},0)),-N(K20),0)+IF(ISNUMBER(MATCH(V20,{"Expense|employee","Expense|general_admin","Expense|marketing","Expense|utilities","Expense|other_operating"},0)),-N(P20),0)</f>
        <v/>
      </c>
      <c r="AA20" s="23">
        <f>IF(T20="Liability|payable",-N(O20),0)+IF(U20="Liability|payable",N(K20),0)+IF(V20="Liability|payable",N(P20),0)</f>
        <v/>
      </c>
      <c r="AB20" s="23">
        <f>IF(T20="Liability|accrued",-N(O20),0)+IF(U20="Liability|accrued",N(K20),0)+IF(V20="Liability|accrued",N(P20),0)</f>
        <v/>
      </c>
      <c r="AC20" s="23">
        <f>IF(AND(N(O20)&lt;&gt;0,T20=""),1,0)+IF(AND(N(K20)&lt;&gt;0,U20=""),1,0)+IF(AND(N(P20)&lt;&gt;0,V20=""),1,0)</f>
        <v/>
      </c>
    </row>
    <row r="21">
      <c r="A21" s="19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20" t="n"/>
      <c r="K21" s="20" t="n"/>
      <c r="L21" s="14" t="n"/>
      <c r="M21" s="14" t="n"/>
      <c r="N21" s="14" t="n"/>
      <c r="O21" s="21">
        <f>ROUND(N(I21)*N(J21),2)</f>
        <v/>
      </c>
      <c r="P21" s="21">
        <f>O21-N(K21)</f>
        <v/>
      </c>
      <c r="Q21" s="16">
        <f>IF(F21&lt;&gt;"",F21&amp;"",IF(LEFT(E21,6)="Indire",INDEX('Chart of Accounts'!$A$5:$A$3000,MATCH("project_overhead",'Chart of Accounts'!$F$5:$F$3000,0)),IF(LEFT(E21,6)="Admini",INDEX('Chart of Accounts'!$A$5:$A$3000,MATCH("admin_salaries",'Chart of Accounts'!$F$5:$F$3000,0)),INDEX('Chart of Accounts'!$A$5:$A$3000,MATCH("direct_labour",'Chart of Accounts'!$F$5:$F$3000,0)))))</f>
        <v/>
      </c>
      <c r="R21" s="16">
        <f>IF(M21="",INDEX('Chart of Accounts'!$A$5:$A$3000,MATCH("bank",'Chart of Accounts'!$F$5:$F$3000,0)),M21&amp;"")</f>
        <v/>
      </c>
      <c r="S21" s="16">
        <f>IF(N21="",INDEX('Chart of Accounts'!$A$5:$A$3000,MATCH("accrued_payroll",'Chart of Accounts'!$F$5:$F$3000,0)),N21&amp;"")</f>
        <v/>
      </c>
      <c r="T21" s="23">
        <f>IFERROR(INDEX('Chart of Accounts'!$C$5:$C$3000,MATCH(Q21&amp;"",'Chart of Accounts'!$A$5:$A$3000,0))&amp;"|"&amp;INDEX('Chart of Accounts'!$D$5:$D$3000,MATCH(Q21&amp;"",'Chart of Accounts'!$A$5:$A$3000,0)),"")</f>
        <v/>
      </c>
      <c r="U21" s="23">
        <f>IFERROR(INDEX('Chart of Accounts'!$C$5:$C$3000,MATCH(R21&amp;"",'Chart of Accounts'!$A$5:$A$3000,0))&amp;"|"&amp;INDEX('Chart of Accounts'!$D$5:$D$3000,MATCH(R21&amp;"",'Chart of Accounts'!$A$5:$A$3000,0)),"")</f>
        <v/>
      </c>
      <c r="V21" s="23">
        <f>IFERROR(INDEX('Chart of Accounts'!$C$5:$C$3000,MATCH(S21&amp;"",'Chart of Accounts'!$A$5:$A$3000,0))&amp;"|"&amp;INDEX('Chart of Accounts'!$D$5:$D$3000,MATCH(S21&amp;"",'Chart of Accounts'!$A$5:$A$3000,0)),"")</f>
        <v/>
      </c>
      <c r="W21" s="23">
        <f>IF(LEFT(T21,8)="Revenue|",-N(O21),0)+IF(LEFT(U21,8)="Revenue|",N(K21),0)+IF(LEFT(V21,8)="Revenue|",N(P21),0)</f>
        <v/>
      </c>
      <c r="X21" s="23">
        <f>IF(LEFT(T21,5)="COGS|",N(O21),0)+IF(LEFT(U21,5)="COGS|",-N(K21),0)+IF(LEFT(V21,5)="COGS|",-N(P21),0)</f>
        <v/>
      </c>
      <c r="Y21" s="23">
        <f>IF(LEFT(T21,8)="Expense|",N(O21),0)+IF(LEFT(U21,8)="Expense|",-N(K21),0)+IF(LEFT(V21,8)="Expense|",-N(P21),0)</f>
        <v/>
      </c>
      <c r="Z21" s="23">
        <f>IF(ISNUMBER(MATCH(T21,{"Expense|employee","Expense|general_admin","Expense|marketing","Expense|utilities","Expense|other_operating"},0)),N(O21),0)+IF(ISNUMBER(MATCH(U21,{"Expense|employee","Expense|general_admin","Expense|marketing","Expense|utilities","Expense|other_operating"},0)),-N(K21),0)+IF(ISNUMBER(MATCH(V21,{"Expense|employee","Expense|general_admin","Expense|marketing","Expense|utilities","Expense|other_operating"},0)),-N(P21),0)</f>
        <v/>
      </c>
      <c r="AA21" s="23">
        <f>IF(T21="Liability|payable",-N(O21),0)+IF(U21="Liability|payable",N(K21),0)+IF(V21="Liability|payable",N(P21),0)</f>
        <v/>
      </c>
      <c r="AB21" s="23">
        <f>IF(T21="Liability|accrued",-N(O21),0)+IF(U21="Liability|accrued",N(K21),0)+IF(V21="Liability|accrued",N(P21),0)</f>
        <v/>
      </c>
      <c r="AC21" s="23">
        <f>IF(AND(N(O21)&lt;&gt;0,T21=""),1,0)+IF(AND(N(K21)&lt;&gt;0,U21=""),1,0)+IF(AND(N(P21)&lt;&gt;0,V21=""),1,0)</f>
        <v/>
      </c>
    </row>
    <row r="22">
      <c r="A22" s="19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20" t="n"/>
      <c r="K22" s="20" t="n"/>
      <c r="L22" s="14" t="n"/>
      <c r="M22" s="14" t="n"/>
      <c r="N22" s="14" t="n"/>
      <c r="O22" s="21">
        <f>ROUND(N(I22)*N(J22),2)</f>
        <v/>
      </c>
      <c r="P22" s="21">
        <f>O22-N(K22)</f>
        <v/>
      </c>
      <c r="Q22" s="16">
        <f>IF(F22&lt;&gt;"",F22&amp;"",IF(LEFT(E22,6)="Indire",INDEX('Chart of Accounts'!$A$5:$A$3000,MATCH("project_overhead",'Chart of Accounts'!$F$5:$F$3000,0)),IF(LEFT(E22,6)="Admini",INDEX('Chart of Accounts'!$A$5:$A$3000,MATCH("admin_salaries",'Chart of Accounts'!$F$5:$F$3000,0)),INDEX('Chart of Accounts'!$A$5:$A$3000,MATCH("direct_labour",'Chart of Accounts'!$F$5:$F$3000,0)))))</f>
        <v/>
      </c>
      <c r="R22" s="16">
        <f>IF(M22="",INDEX('Chart of Accounts'!$A$5:$A$3000,MATCH("bank",'Chart of Accounts'!$F$5:$F$3000,0)),M22&amp;"")</f>
        <v/>
      </c>
      <c r="S22" s="16">
        <f>IF(N22="",INDEX('Chart of Accounts'!$A$5:$A$3000,MATCH("accrued_payroll",'Chart of Accounts'!$F$5:$F$3000,0)),N22&amp;"")</f>
        <v/>
      </c>
      <c r="T22" s="23">
        <f>IFERROR(INDEX('Chart of Accounts'!$C$5:$C$3000,MATCH(Q22&amp;"",'Chart of Accounts'!$A$5:$A$3000,0))&amp;"|"&amp;INDEX('Chart of Accounts'!$D$5:$D$3000,MATCH(Q22&amp;"",'Chart of Accounts'!$A$5:$A$3000,0)),"")</f>
        <v/>
      </c>
      <c r="U22" s="23">
        <f>IFERROR(INDEX('Chart of Accounts'!$C$5:$C$3000,MATCH(R22&amp;"",'Chart of Accounts'!$A$5:$A$3000,0))&amp;"|"&amp;INDEX('Chart of Accounts'!$D$5:$D$3000,MATCH(R22&amp;"",'Chart of Accounts'!$A$5:$A$3000,0)),"")</f>
        <v/>
      </c>
      <c r="V22" s="23">
        <f>IFERROR(INDEX('Chart of Accounts'!$C$5:$C$3000,MATCH(S22&amp;"",'Chart of Accounts'!$A$5:$A$3000,0))&amp;"|"&amp;INDEX('Chart of Accounts'!$D$5:$D$3000,MATCH(S22&amp;"",'Chart of Accounts'!$A$5:$A$3000,0)),"")</f>
        <v/>
      </c>
      <c r="W22" s="23">
        <f>IF(LEFT(T22,8)="Revenue|",-N(O22),0)+IF(LEFT(U22,8)="Revenue|",N(K22),0)+IF(LEFT(V22,8)="Revenue|",N(P22),0)</f>
        <v/>
      </c>
      <c r="X22" s="23">
        <f>IF(LEFT(T22,5)="COGS|",N(O22),0)+IF(LEFT(U22,5)="COGS|",-N(K22),0)+IF(LEFT(V22,5)="COGS|",-N(P22),0)</f>
        <v/>
      </c>
      <c r="Y22" s="23">
        <f>IF(LEFT(T22,8)="Expense|",N(O22),0)+IF(LEFT(U22,8)="Expense|",-N(K22),0)+IF(LEFT(V22,8)="Expense|",-N(P22),0)</f>
        <v/>
      </c>
      <c r="Z22" s="23">
        <f>IF(ISNUMBER(MATCH(T22,{"Expense|employee","Expense|general_admin","Expense|marketing","Expense|utilities","Expense|other_operating"},0)),N(O22),0)+IF(ISNUMBER(MATCH(U22,{"Expense|employee","Expense|general_admin","Expense|marketing","Expense|utilities","Expense|other_operating"},0)),-N(K22),0)+IF(ISNUMBER(MATCH(V22,{"Expense|employee","Expense|general_admin","Expense|marketing","Expense|utilities","Expense|other_operating"},0)),-N(P22),0)</f>
        <v/>
      </c>
      <c r="AA22" s="23">
        <f>IF(T22="Liability|payable",-N(O22),0)+IF(U22="Liability|payable",N(K22),0)+IF(V22="Liability|payable",N(P22),0)</f>
        <v/>
      </c>
      <c r="AB22" s="23">
        <f>IF(T22="Liability|accrued",-N(O22),0)+IF(U22="Liability|accrued",N(K22),0)+IF(V22="Liability|accrued",N(P22),0)</f>
        <v/>
      </c>
      <c r="AC22" s="23">
        <f>IF(AND(N(O22)&lt;&gt;0,T22=""),1,0)+IF(AND(N(K22)&lt;&gt;0,U22=""),1,0)+IF(AND(N(P22)&lt;&gt;0,V22=""),1,0)</f>
        <v/>
      </c>
    </row>
    <row r="23">
      <c r="A23" s="19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20" t="n"/>
      <c r="K23" s="20" t="n"/>
      <c r="L23" s="14" t="n"/>
      <c r="M23" s="14" t="n"/>
      <c r="N23" s="14" t="n"/>
      <c r="O23" s="21">
        <f>ROUND(N(I23)*N(J23),2)</f>
        <v/>
      </c>
      <c r="P23" s="21">
        <f>O23-N(K23)</f>
        <v/>
      </c>
      <c r="Q23" s="16">
        <f>IF(F23&lt;&gt;"",F23&amp;"",IF(LEFT(E23,6)="Indire",INDEX('Chart of Accounts'!$A$5:$A$3000,MATCH("project_overhead",'Chart of Accounts'!$F$5:$F$3000,0)),IF(LEFT(E23,6)="Admini",INDEX('Chart of Accounts'!$A$5:$A$3000,MATCH("admin_salaries",'Chart of Accounts'!$F$5:$F$3000,0)),INDEX('Chart of Accounts'!$A$5:$A$3000,MATCH("direct_labour",'Chart of Accounts'!$F$5:$F$3000,0)))))</f>
        <v/>
      </c>
      <c r="R23" s="16">
        <f>IF(M23="",INDEX('Chart of Accounts'!$A$5:$A$3000,MATCH("bank",'Chart of Accounts'!$F$5:$F$3000,0)),M23&amp;"")</f>
        <v/>
      </c>
      <c r="S23" s="16">
        <f>IF(N23="",INDEX('Chart of Accounts'!$A$5:$A$3000,MATCH("accrued_payroll",'Chart of Accounts'!$F$5:$F$3000,0)),N23&amp;"")</f>
        <v/>
      </c>
      <c r="T23" s="23">
        <f>IFERROR(INDEX('Chart of Accounts'!$C$5:$C$3000,MATCH(Q23&amp;"",'Chart of Accounts'!$A$5:$A$3000,0))&amp;"|"&amp;INDEX('Chart of Accounts'!$D$5:$D$3000,MATCH(Q23&amp;"",'Chart of Accounts'!$A$5:$A$3000,0)),"")</f>
        <v/>
      </c>
      <c r="U23" s="23">
        <f>IFERROR(INDEX('Chart of Accounts'!$C$5:$C$3000,MATCH(R23&amp;"",'Chart of Accounts'!$A$5:$A$3000,0))&amp;"|"&amp;INDEX('Chart of Accounts'!$D$5:$D$3000,MATCH(R23&amp;"",'Chart of Accounts'!$A$5:$A$3000,0)),"")</f>
        <v/>
      </c>
      <c r="V23" s="23">
        <f>IFERROR(INDEX('Chart of Accounts'!$C$5:$C$3000,MATCH(S23&amp;"",'Chart of Accounts'!$A$5:$A$3000,0))&amp;"|"&amp;INDEX('Chart of Accounts'!$D$5:$D$3000,MATCH(S23&amp;"",'Chart of Accounts'!$A$5:$A$3000,0)),"")</f>
        <v/>
      </c>
      <c r="W23" s="23">
        <f>IF(LEFT(T23,8)="Revenue|",-N(O23),0)+IF(LEFT(U23,8)="Revenue|",N(K23),0)+IF(LEFT(V23,8)="Revenue|",N(P23),0)</f>
        <v/>
      </c>
      <c r="X23" s="23">
        <f>IF(LEFT(T23,5)="COGS|",N(O23),0)+IF(LEFT(U23,5)="COGS|",-N(K23),0)+IF(LEFT(V23,5)="COGS|",-N(P23),0)</f>
        <v/>
      </c>
      <c r="Y23" s="23">
        <f>IF(LEFT(T23,8)="Expense|",N(O23),0)+IF(LEFT(U23,8)="Expense|",-N(K23),0)+IF(LEFT(V23,8)="Expense|",-N(P23),0)</f>
        <v/>
      </c>
      <c r="Z23" s="23">
        <f>IF(ISNUMBER(MATCH(T23,{"Expense|employee","Expense|general_admin","Expense|marketing","Expense|utilities","Expense|other_operating"},0)),N(O23),0)+IF(ISNUMBER(MATCH(U23,{"Expense|employee","Expense|general_admin","Expense|marketing","Expense|utilities","Expense|other_operating"},0)),-N(K23),0)+IF(ISNUMBER(MATCH(V23,{"Expense|employee","Expense|general_admin","Expense|marketing","Expense|utilities","Expense|other_operating"},0)),-N(P23),0)</f>
        <v/>
      </c>
      <c r="AA23" s="23">
        <f>IF(T23="Liability|payable",-N(O23),0)+IF(U23="Liability|payable",N(K23),0)+IF(V23="Liability|payable",N(P23),0)</f>
        <v/>
      </c>
      <c r="AB23" s="23">
        <f>IF(T23="Liability|accrued",-N(O23),0)+IF(U23="Liability|accrued",N(K23),0)+IF(V23="Liability|accrued",N(P23),0)</f>
        <v/>
      </c>
      <c r="AC23" s="23">
        <f>IF(AND(N(O23)&lt;&gt;0,T23=""),1,0)+IF(AND(N(K23)&lt;&gt;0,U23=""),1,0)+IF(AND(N(P23)&lt;&gt;0,V23=""),1,0)</f>
        <v/>
      </c>
    </row>
    <row r="24">
      <c r="A24" s="19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20" t="n"/>
      <c r="K24" s="20" t="n"/>
      <c r="L24" s="14" t="n"/>
      <c r="M24" s="14" t="n"/>
      <c r="N24" s="14" t="n"/>
      <c r="O24" s="21">
        <f>ROUND(N(I24)*N(J24),2)</f>
        <v/>
      </c>
      <c r="P24" s="21">
        <f>O24-N(K24)</f>
        <v/>
      </c>
      <c r="Q24" s="16">
        <f>IF(F24&lt;&gt;"",F24&amp;"",IF(LEFT(E24,6)="Indire",INDEX('Chart of Accounts'!$A$5:$A$3000,MATCH("project_overhead",'Chart of Accounts'!$F$5:$F$3000,0)),IF(LEFT(E24,6)="Admini",INDEX('Chart of Accounts'!$A$5:$A$3000,MATCH("admin_salaries",'Chart of Accounts'!$F$5:$F$3000,0)),INDEX('Chart of Accounts'!$A$5:$A$3000,MATCH("direct_labour",'Chart of Accounts'!$F$5:$F$3000,0)))))</f>
        <v/>
      </c>
      <c r="R24" s="16">
        <f>IF(M24="",INDEX('Chart of Accounts'!$A$5:$A$3000,MATCH("bank",'Chart of Accounts'!$F$5:$F$3000,0)),M24&amp;"")</f>
        <v/>
      </c>
      <c r="S24" s="16">
        <f>IF(N24="",INDEX('Chart of Accounts'!$A$5:$A$3000,MATCH("accrued_payroll",'Chart of Accounts'!$F$5:$F$3000,0)),N24&amp;"")</f>
        <v/>
      </c>
      <c r="T24" s="23">
        <f>IFERROR(INDEX('Chart of Accounts'!$C$5:$C$3000,MATCH(Q24&amp;"",'Chart of Accounts'!$A$5:$A$3000,0))&amp;"|"&amp;INDEX('Chart of Accounts'!$D$5:$D$3000,MATCH(Q24&amp;"",'Chart of Accounts'!$A$5:$A$3000,0)),"")</f>
        <v/>
      </c>
      <c r="U24" s="23">
        <f>IFERROR(INDEX('Chart of Accounts'!$C$5:$C$3000,MATCH(R24&amp;"",'Chart of Accounts'!$A$5:$A$3000,0))&amp;"|"&amp;INDEX('Chart of Accounts'!$D$5:$D$3000,MATCH(R24&amp;"",'Chart of Accounts'!$A$5:$A$3000,0)),"")</f>
        <v/>
      </c>
      <c r="V24" s="23">
        <f>IFERROR(INDEX('Chart of Accounts'!$C$5:$C$3000,MATCH(S24&amp;"",'Chart of Accounts'!$A$5:$A$3000,0))&amp;"|"&amp;INDEX('Chart of Accounts'!$D$5:$D$3000,MATCH(S24&amp;"",'Chart of Accounts'!$A$5:$A$3000,0)),"")</f>
        <v/>
      </c>
      <c r="W24" s="23">
        <f>IF(LEFT(T24,8)="Revenue|",-N(O24),0)+IF(LEFT(U24,8)="Revenue|",N(K24),0)+IF(LEFT(V24,8)="Revenue|",N(P24),0)</f>
        <v/>
      </c>
      <c r="X24" s="23">
        <f>IF(LEFT(T24,5)="COGS|",N(O24),0)+IF(LEFT(U24,5)="COGS|",-N(K24),0)+IF(LEFT(V24,5)="COGS|",-N(P24),0)</f>
        <v/>
      </c>
      <c r="Y24" s="23">
        <f>IF(LEFT(T24,8)="Expense|",N(O24),0)+IF(LEFT(U24,8)="Expense|",-N(K24),0)+IF(LEFT(V24,8)="Expense|",-N(P24),0)</f>
        <v/>
      </c>
      <c r="Z24" s="23">
        <f>IF(ISNUMBER(MATCH(T24,{"Expense|employee","Expense|general_admin","Expense|marketing","Expense|utilities","Expense|other_operating"},0)),N(O24),0)+IF(ISNUMBER(MATCH(U24,{"Expense|employee","Expense|general_admin","Expense|marketing","Expense|utilities","Expense|other_operating"},0)),-N(K24),0)+IF(ISNUMBER(MATCH(V24,{"Expense|employee","Expense|general_admin","Expense|marketing","Expense|utilities","Expense|other_operating"},0)),-N(P24),0)</f>
        <v/>
      </c>
      <c r="AA24" s="23">
        <f>IF(T24="Liability|payable",-N(O24),0)+IF(U24="Liability|payable",N(K24),0)+IF(V24="Liability|payable",N(P24),0)</f>
        <v/>
      </c>
      <c r="AB24" s="23">
        <f>IF(T24="Liability|accrued",-N(O24),0)+IF(U24="Liability|accrued",N(K24),0)+IF(V24="Liability|accrued",N(P24),0)</f>
        <v/>
      </c>
      <c r="AC24" s="23">
        <f>IF(AND(N(O24)&lt;&gt;0,T24=""),1,0)+IF(AND(N(K24)&lt;&gt;0,U24=""),1,0)+IF(AND(N(P24)&lt;&gt;0,V24=""),1,0)</f>
        <v/>
      </c>
    </row>
    <row r="25">
      <c r="A25" s="19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20" t="n"/>
      <c r="K25" s="20" t="n"/>
      <c r="L25" s="14" t="n"/>
      <c r="M25" s="14" t="n"/>
      <c r="N25" s="14" t="n"/>
      <c r="O25" s="21">
        <f>ROUND(N(I25)*N(J25),2)</f>
        <v/>
      </c>
      <c r="P25" s="21">
        <f>O25-N(K25)</f>
        <v/>
      </c>
      <c r="Q25" s="16">
        <f>IF(F25&lt;&gt;"",F25&amp;"",IF(LEFT(E25,6)="Indire",INDEX('Chart of Accounts'!$A$5:$A$3000,MATCH("project_overhead",'Chart of Accounts'!$F$5:$F$3000,0)),IF(LEFT(E25,6)="Admini",INDEX('Chart of Accounts'!$A$5:$A$3000,MATCH("admin_salaries",'Chart of Accounts'!$F$5:$F$3000,0)),INDEX('Chart of Accounts'!$A$5:$A$3000,MATCH("direct_labour",'Chart of Accounts'!$F$5:$F$3000,0)))))</f>
        <v/>
      </c>
      <c r="R25" s="16">
        <f>IF(M25="",INDEX('Chart of Accounts'!$A$5:$A$3000,MATCH("bank",'Chart of Accounts'!$F$5:$F$3000,0)),M25&amp;"")</f>
        <v/>
      </c>
      <c r="S25" s="16">
        <f>IF(N25="",INDEX('Chart of Accounts'!$A$5:$A$3000,MATCH("accrued_payroll",'Chart of Accounts'!$F$5:$F$3000,0)),N25&amp;"")</f>
        <v/>
      </c>
      <c r="T25" s="23">
        <f>IFERROR(INDEX('Chart of Accounts'!$C$5:$C$3000,MATCH(Q25&amp;"",'Chart of Accounts'!$A$5:$A$3000,0))&amp;"|"&amp;INDEX('Chart of Accounts'!$D$5:$D$3000,MATCH(Q25&amp;"",'Chart of Accounts'!$A$5:$A$3000,0)),"")</f>
        <v/>
      </c>
      <c r="U25" s="23">
        <f>IFERROR(INDEX('Chart of Accounts'!$C$5:$C$3000,MATCH(R25&amp;"",'Chart of Accounts'!$A$5:$A$3000,0))&amp;"|"&amp;INDEX('Chart of Accounts'!$D$5:$D$3000,MATCH(R25&amp;"",'Chart of Accounts'!$A$5:$A$3000,0)),"")</f>
        <v/>
      </c>
      <c r="V25" s="23">
        <f>IFERROR(INDEX('Chart of Accounts'!$C$5:$C$3000,MATCH(S25&amp;"",'Chart of Accounts'!$A$5:$A$3000,0))&amp;"|"&amp;INDEX('Chart of Accounts'!$D$5:$D$3000,MATCH(S25&amp;"",'Chart of Accounts'!$A$5:$A$3000,0)),"")</f>
        <v/>
      </c>
      <c r="W25" s="23">
        <f>IF(LEFT(T25,8)="Revenue|",-N(O25),0)+IF(LEFT(U25,8)="Revenue|",N(K25),0)+IF(LEFT(V25,8)="Revenue|",N(P25),0)</f>
        <v/>
      </c>
      <c r="X25" s="23">
        <f>IF(LEFT(T25,5)="COGS|",N(O25),0)+IF(LEFT(U25,5)="COGS|",-N(K25),0)+IF(LEFT(V25,5)="COGS|",-N(P25),0)</f>
        <v/>
      </c>
      <c r="Y25" s="23">
        <f>IF(LEFT(T25,8)="Expense|",N(O25),0)+IF(LEFT(U25,8)="Expense|",-N(K25),0)+IF(LEFT(V25,8)="Expense|",-N(P25),0)</f>
        <v/>
      </c>
      <c r="Z25" s="23">
        <f>IF(ISNUMBER(MATCH(T25,{"Expense|employee","Expense|general_admin","Expense|marketing","Expense|utilities","Expense|other_operating"},0)),N(O25),0)+IF(ISNUMBER(MATCH(U25,{"Expense|employee","Expense|general_admin","Expense|marketing","Expense|utilities","Expense|other_operating"},0)),-N(K25),0)+IF(ISNUMBER(MATCH(V25,{"Expense|employee","Expense|general_admin","Expense|marketing","Expense|utilities","Expense|other_operating"},0)),-N(P25),0)</f>
        <v/>
      </c>
      <c r="AA25" s="23">
        <f>IF(T25="Liability|payable",-N(O25),0)+IF(U25="Liability|payable",N(K25),0)+IF(V25="Liability|payable",N(P25),0)</f>
        <v/>
      </c>
      <c r="AB25" s="23">
        <f>IF(T25="Liability|accrued",-N(O25),0)+IF(U25="Liability|accrued",N(K25),0)+IF(V25="Liability|accrued",N(P25),0)</f>
        <v/>
      </c>
      <c r="AC25" s="23">
        <f>IF(AND(N(O25)&lt;&gt;0,T25=""),1,0)+IF(AND(N(K25)&lt;&gt;0,U25=""),1,0)+IF(AND(N(P25)&lt;&gt;0,V25=""),1,0)</f>
        <v/>
      </c>
    </row>
    <row r="26">
      <c r="A26" s="19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20" t="n"/>
      <c r="K26" s="20" t="n"/>
      <c r="L26" s="14" t="n"/>
      <c r="M26" s="14" t="n"/>
      <c r="N26" s="14" t="n"/>
      <c r="O26" s="21">
        <f>ROUND(N(I26)*N(J26),2)</f>
        <v/>
      </c>
      <c r="P26" s="21">
        <f>O26-N(K26)</f>
        <v/>
      </c>
      <c r="Q26" s="16">
        <f>IF(F26&lt;&gt;"",F26&amp;"",IF(LEFT(E26,6)="Indire",INDEX('Chart of Accounts'!$A$5:$A$3000,MATCH("project_overhead",'Chart of Accounts'!$F$5:$F$3000,0)),IF(LEFT(E26,6)="Admini",INDEX('Chart of Accounts'!$A$5:$A$3000,MATCH("admin_salaries",'Chart of Accounts'!$F$5:$F$3000,0)),INDEX('Chart of Accounts'!$A$5:$A$3000,MATCH("direct_labour",'Chart of Accounts'!$F$5:$F$3000,0)))))</f>
        <v/>
      </c>
      <c r="R26" s="16">
        <f>IF(M26="",INDEX('Chart of Accounts'!$A$5:$A$3000,MATCH("bank",'Chart of Accounts'!$F$5:$F$3000,0)),M26&amp;"")</f>
        <v/>
      </c>
      <c r="S26" s="16">
        <f>IF(N26="",INDEX('Chart of Accounts'!$A$5:$A$3000,MATCH("accrued_payroll",'Chart of Accounts'!$F$5:$F$3000,0)),N26&amp;"")</f>
        <v/>
      </c>
      <c r="T26" s="23">
        <f>IFERROR(INDEX('Chart of Accounts'!$C$5:$C$3000,MATCH(Q26&amp;"",'Chart of Accounts'!$A$5:$A$3000,0))&amp;"|"&amp;INDEX('Chart of Accounts'!$D$5:$D$3000,MATCH(Q26&amp;"",'Chart of Accounts'!$A$5:$A$3000,0)),"")</f>
        <v/>
      </c>
      <c r="U26" s="23">
        <f>IFERROR(INDEX('Chart of Accounts'!$C$5:$C$3000,MATCH(R26&amp;"",'Chart of Accounts'!$A$5:$A$3000,0))&amp;"|"&amp;INDEX('Chart of Accounts'!$D$5:$D$3000,MATCH(R26&amp;"",'Chart of Accounts'!$A$5:$A$3000,0)),"")</f>
        <v/>
      </c>
      <c r="V26" s="23">
        <f>IFERROR(INDEX('Chart of Accounts'!$C$5:$C$3000,MATCH(S26&amp;"",'Chart of Accounts'!$A$5:$A$3000,0))&amp;"|"&amp;INDEX('Chart of Accounts'!$D$5:$D$3000,MATCH(S26&amp;"",'Chart of Accounts'!$A$5:$A$3000,0)),"")</f>
        <v/>
      </c>
      <c r="W26" s="23">
        <f>IF(LEFT(T26,8)="Revenue|",-N(O26),0)+IF(LEFT(U26,8)="Revenue|",N(K26),0)+IF(LEFT(V26,8)="Revenue|",N(P26),0)</f>
        <v/>
      </c>
      <c r="X26" s="23">
        <f>IF(LEFT(T26,5)="COGS|",N(O26),0)+IF(LEFT(U26,5)="COGS|",-N(K26),0)+IF(LEFT(V26,5)="COGS|",-N(P26),0)</f>
        <v/>
      </c>
      <c r="Y26" s="23">
        <f>IF(LEFT(T26,8)="Expense|",N(O26),0)+IF(LEFT(U26,8)="Expense|",-N(K26),0)+IF(LEFT(V26,8)="Expense|",-N(P26),0)</f>
        <v/>
      </c>
      <c r="Z26" s="23">
        <f>IF(ISNUMBER(MATCH(T26,{"Expense|employee","Expense|general_admin","Expense|marketing","Expense|utilities","Expense|other_operating"},0)),N(O26),0)+IF(ISNUMBER(MATCH(U26,{"Expense|employee","Expense|general_admin","Expense|marketing","Expense|utilities","Expense|other_operating"},0)),-N(K26),0)+IF(ISNUMBER(MATCH(V26,{"Expense|employee","Expense|general_admin","Expense|marketing","Expense|utilities","Expense|other_operating"},0)),-N(P26),0)</f>
        <v/>
      </c>
      <c r="AA26" s="23">
        <f>IF(T26="Liability|payable",-N(O26),0)+IF(U26="Liability|payable",N(K26),0)+IF(V26="Liability|payable",N(P26),0)</f>
        <v/>
      </c>
      <c r="AB26" s="23">
        <f>IF(T26="Liability|accrued",-N(O26),0)+IF(U26="Liability|accrued",N(K26),0)+IF(V26="Liability|accrued",N(P26),0)</f>
        <v/>
      </c>
      <c r="AC26" s="23">
        <f>IF(AND(N(O26)&lt;&gt;0,T26=""),1,0)+IF(AND(N(K26)&lt;&gt;0,U26=""),1,0)+IF(AND(N(P26)&lt;&gt;0,V26=""),1,0)</f>
        <v/>
      </c>
    </row>
    <row r="27">
      <c r="A27" s="19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20" t="n"/>
      <c r="K27" s="20" t="n"/>
      <c r="L27" s="14" t="n"/>
      <c r="M27" s="14" t="n"/>
      <c r="N27" s="14" t="n"/>
      <c r="O27" s="21">
        <f>ROUND(N(I27)*N(J27),2)</f>
        <v/>
      </c>
      <c r="P27" s="21">
        <f>O27-N(K27)</f>
        <v/>
      </c>
      <c r="Q27" s="16">
        <f>IF(F27&lt;&gt;"",F27&amp;"",IF(LEFT(E27,6)="Indire",INDEX('Chart of Accounts'!$A$5:$A$3000,MATCH("project_overhead",'Chart of Accounts'!$F$5:$F$3000,0)),IF(LEFT(E27,6)="Admini",INDEX('Chart of Accounts'!$A$5:$A$3000,MATCH("admin_salaries",'Chart of Accounts'!$F$5:$F$3000,0)),INDEX('Chart of Accounts'!$A$5:$A$3000,MATCH("direct_labour",'Chart of Accounts'!$F$5:$F$3000,0)))))</f>
        <v/>
      </c>
      <c r="R27" s="16">
        <f>IF(M27="",INDEX('Chart of Accounts'!$A$5:$A$3000,MATCH("bank",'Chart of Accounts'!$F$5:$F$3000,0)),M27&amp;"")</f>
        <v/>
      </c>
      <c r="S27" s="16">
        <f>IF(N27="",INDEX('Chart of Accounts'!$A$5:$A$3000,MATCH("accrued_payroll",'Chart of Accounts'!$F$5:$F$3000,0)),N27&amp;"")</f>
        <v/>
      </c>
      <c r="T27" s="23">
        <f>IFERROR(INDEX('Chart of Accounts'!$C$5:$C$3000,MATCH(Q27&amp;"",'Chart of Accounts'!$A$5:$A$3000,0))&amp;"|"&amp;INDEX('Chart of Accounts'!$D$5:$D$3000,MATCH(Q27&amp;"",'Chart of Accounts'!$A$5:$A$3000,0)),"")</f>
        <v/>
      </c>
      <c r="U27" s="23">
        <f>IFERROR(INDEX('Chart of Accounts'!$C$5:$C$3000,MATCH(R27&amp;"",'Chart of Accounts'!$A$5:$A$3000,0))&amp;"|"&amp;INDEX('Chart of Accounts'!$D$5:$D$3000,MATCH(R27&amp;"",'Chart of Accounts'!$A$5:$A$3000,0)),"")</f>
        <v/>
      </c>
      <c r="V27" s="23">
        <f>IFERROR(INDEX('Chart of Accounts'!$C$5:$C$3000,MATCH(S27&amp;"",'Chart of Accounts'!$A$5:$A$3000,0))&amp;"|"&amp;INDEX('Chart of Accounts'!$D$5:$D$3000,MATCH(S27&amp;"",'Chart of Accounts'!$A$5:$A$3000,0)),"")</f>
        <v/>
      </c>
      <c r="W27" s="23">
        <f>IF(LEFT(T27,8)="Revenue|",-N(O27),0)+IF(LEFT(U27,8)="Revenue|",N(K27),0)+IF(LEFT(V27,8)="Revenue|",N(P27),0)</f>
        <v/>
      </c>
      <c r="X27" s="23">
        <f>IF(LEFT(T27,5)="COGS|",N(O27),0)+IF(LEFT(U27,5)="COGS|",-N(K27),0)+IF(LEFT(V27,5)="COGS|",-N(P27),0)</f>
        <v/>
      </c>
      <c r="Y27" s="23">
        <f>IF(LEFT(T27,8)="Expense|",N(O27),0)+IF(LEFT(U27,8)="Expense|",-N(K27),0)+IF(LEFT(V27,8)="Expense|",-N(P27),0)</f>
        <v/>
      </c>
      <c r="Z27" s="23">
        <f>IF(ISNUMBER(MATCH(T27,{"Expense|employee","Expense|general_admin","Expense|marketing","Expense|utilities","Expense|other_operating"},0)),N(O27),0)+IF(ISNUMBER(MATCH(U27,{"Expense|employee","Expense|general_admin","Expense|marketing","Expense|utilities","Expense|other_operating"},0)),-N(K27),0)+IF(ISNUMBER(MATCH(V27,{"Expense|employee","Expense|general_admin","Expense|marketing","Expense|utilities","Expense|other_operating"},0)),-N(P27),0)</f>
        <v/>
      </c>
      <c r="AA27" s="23">
        <f>IF(T27="Liability|payable",-N(O27),0)+IF(U27="Liability|payable",N(K27),0)+IF(V27="Liability|payable",N(P27),0)</f>
        <v/>
      </c>
      <c r="AB27" s="23">
        <f>IF(T27="Liability|accrued",-N(O27),0)+IF(U27="Liability|accrued",N(K27),0)+IF(V27="Liability|accrued",N(P27),0)</f>
        <v/>
      </c>
      <c r="AC27" s="23">
        <f>IF(AND(N(O27)&lt;&gt;0,T27=""),1,0)+IF(AND(N(K27)&lt;&gt;0,U27=""),1,0)+IF(AND(N(P27)&lt;&gt;0,V27=""),1,0)</f>
        <v/>
      </c>
    </row>
    <row r="28">
      <c r="A28" s="19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20" t="n"/>
      <c r="K28" s="20" t="n"/>
      <c r="L28" s="14" t="n"/>
      <c r="M28" s="14" t="n"/>
      <c r="N28" s="14" t="n"/>
      <c r="O28" s="21">
        <f>ROUND(N(I28)*N(J28),2)</f>
        <v/>
      </c>
      <c r="P28" s="21">
        <f>O28-N(K28)</f>
        <v/>
      </c>
      <c r="Q28" s="16">
        <f>IF(F28&lt;&gt;"",F28&amp;"",IF(LEFT(E28,6)="Indire",INDEX('Chart of Accounts'!$A$5:$A$3000,MATCH("project_overhead",'Chart of Accounts'!$F$5:$F$3000,0)),IF(LEFT(E28,6)="Admini",INDEX('Chart of Accounts'!$A$5:$A$3000,MATCH("admin_salaries",'Chart of Accounts'!$F$5:$F$3000,0)),INDEX('Chart of Accounts'!$A$5:$A$3000,MATCH("direct_labour",'Chart of Accounts'!$F$5:$F$3000,0)))))</f>
        <v/>
      </c>
      <c r="R28" s="16">
        <f>IF(M28="",INDEX('Chart of Accounts'!$A$5:$A$3000,MATCH("bank",'Chart of Accounts'!$F$5:$F$3000,0)),M28&amp;"")</f>
        <v/>
      </c>
      <c r="S28" s="16">
        <f>IF(N28="",INDEX('Chart of Accounts'!$A$5:$A$3000,MATCH("accrued_payroll",'Chart of Accounts'!$F$5:$F$3000,0)),N28&amp;"")</f>
        <v/>
      </c>
      <c r="T28" s="23">
        <f>IFERROR(INDEX('Chart of Accounts'!$C$5:$C$3000,MATCH(Q28&amp;"",'Chart of Accounts'!$A$5:$A$3000,0))&amp;"|"&amp;INDEX('Chart of Accounts'!$D$5:$D$3000,MATCH(Q28&amp;"",'Chart of Accounts'!$A$5:$A$3000,0)),"")</f>
        <v/>
      </c>
      <c r="U28" s="23">
        <f>IFERROR(INDEX('Chart of Accounts'!$C$5:$C$3000,MATCH(R28&amp;"",'Chart of Accounts'!$A$5:$A$3000,0))&amp;"|"&amp;INDEX('Chart of Accounts'!$D$5:$D$3000,MATCH(R28&amp;"",'Chart of Accounts'!$A$5:$A$3000,0)),"")</f>
        <v/>
      </c>
      <c r="V28" s="23">
        <f>IFERROR(INDEX('Chart of Accounts'!$C$5:$C$3000,MATCH(S28&amp;"",'Chart of Accounts'!$A$5:$A$3000,0))&amp;"|"&amp;INDEX('Chart of Accounts'!$D$5:$D$3000,MATCH(S28&amp;"",'Chart of Accounts'!$A$5:$A$3000,0)),"")</f>
        <v/>
      </c>
      <c r="W28" s="23">
        <f>IF(LEFT(T28,8)="Revenue|",-N(O28),0)+IF(LEFT(U28,8)="Revenue|",N(K28),0)+IF(LEFT(V28,8)="Revenue|",N(P28),0)</f>
        <v/>
      </c>
      <c r="X28" s="23">
        <f>IF(LEFT(T28,5)="COGS|",N(O28),0)+IF(LEFT(U28,5)="COGS|",-N(K28),0)+IF(LEFT(V28,5)="COGS|",-N(P28),0)</f>
        <v/>
      </c>
      <c r="Y28" s="23">
        <f>IF(LEFT(T28,8)="Expense|",N(O28),0)+IF(LEFT(U28,8)="Expense|",-N(K28),0)+IF(LEFT(V28,8)="Expense|",-N(P28),0)</f>
        <v/>
      </c>
      <c r="Z28" s="23">
        <f>IF(ISNUMBER(MATCH(T28,{"Expense|employee","Expense|general_admin","Expense|marketing","Expense|utilities","Expense|other_operating"},0)),N(O28),0)+IF(ISNUMBER(MATCH(U28,{"Expense|employee","Expense|general_admin","Expense|marketing","Expense|utilities","Expense|other_operating"},0)),-N(K28),0)+IF(ISNUMBER(MATCH(V28,{"Expense|employee","Expense|general_admin","Expense|marketing","Expense|utilities","Expense|other_operating"},0)),-N(P28),0)</f>
        <v/>
      </c>
      <c r="AA28" s="23">
        <f>IF(T28="Liability|payable",-N(O28),0)+IF(U28="Liability|payable",N(K28),0)+IF(V28="Liability|payable",N(P28),0)</f>
        <v/>
      </c>
      <c r="AB28" s="23">
        <f>IF(T28="Liability|accrued",-N(O28),0)+IF(U28="Liability|accrued",N(K28),0)+IF(V28="Liability|accrued",N(P28),0)</f>
        <v/>
      </c>
      <c r="AC28" s="23">
        <f>IF(AND(N(O28)&lt;&gt;0,T28=""),1,0)+IF(AND(N(K28)&lt;&gt;0,U28=""),1,0)+IF(AND(N(P28)&lt;&gt;0,V28=""),1,0)</f>
        <v/>
      </c>
    </row>
    <row r="29">
      <c r="A29" s="19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20" t="n"/>
      <c r="K29" s="20" t="n"/>
      <c r="L29" s="14" t="n"/>
      <c r="M29" s="14" t="n"/>
      <c r="N29" s="14" t="n"/>
      <c r="O29" s="21">
        <f>ROUND(N(I29)*N(J29),2)</f>
        <v/>
      </c>
      <c r="P29" s="21">
        <f>O29-N(K29)</f>
        <v/>
      </c>
      <c r="Q29" s="16">
        <f>IF(F29&lt;&gt;"",F29&amp;"",IF(LEFT(E29,6)="Indire",INDEX('Chart of Accounts'!$A$5:$A$3000,MATCH("project_overhead",'Chart of Accounts'!$F$5:$F$3000,0)),IF(LEFT(E29,6)="Admini",INDEX('Chart of Accounts'!$A$5:$A$3000,MATCH("admin_salaries",'Chart of Accounts'!$F$5:$F$3000,0)),INDEX('Chart of Accounts'!$A$5:$A$3000,MATCH("direct_labour",'Chart of Accounts'!$F$5:$F$3000,0)))))</f>
        <v/>
      </c>
      <c r="R29" s="16">
        <f>IF(M29="",INDEX('Chart of Accounts'!$A$5:$A$3000,MATCH("bank",'Chart of Accounts'!$F$5:$F$3000,0)),M29&amp;"")</f>
        <v/>
      </c>
      <c r="S29" s="16">
        <f>IF(N29="",INDEX('Chart of Accounts'!$A$5:$A$3000,MATCH("accrued_payroll",'Chart of Accounts'!$F$5:$F$3000,0)),N29&amp;"")</f>
        <v/>
      </c>
      <c r="T29" s="23">
        <f>IFERROR(INDEX('Chart of Accounts'!$C$5:$C$3000,MATCH(Q29&amp;"",'Chart of Accounts'!$A$5:$A$3000,0))&amp;"|"&amp;INDEX('Chart of Accounts'!$D$5:$D$3000,MATCH(Q29&amp;"",'Chart of Accounts'!$A$5:$A$3000,0)),"")</f>
        <v/>
      </c>
      <c r="U29" s="23">
        <f>IFERROR(INDEX('Chart of Accounts'!$C$5:$C$3000,MATCH(R29&amp;"",'Chart of Accounts'!$A$5:$A$3000,0))&amp;"|"&amp;INDEX('Chart of Accounts'!$D$5:$D$3000,MATCH(R29&amp;"",'Chart of Accounts'!$A$5:$A$3000,0)),"")</f>
        <v/>
      </c>
      <c r="V29" s="23">
        <f>IFERROR(INDEX('Chart of Accounts'!$C$5:$C$3000,MATCH(S29&amp;"",'Chart of Accounts'!$A$5:$A$3000,0))&amp;"|"&amp;INDEX('Chart of Accounts'!$D$5:$D$3000,MATCH(S29&amp;"",'Chart of Accounts'!$A$5:$A$3000,0)),"")</f>
        <v/>
      </c>
      <c r="W29" s="23">
        <f>IF(LEFT(T29,8)="Revenue|",-N(O29),0)+IF(LEFT(U29,8)="Revenue|",N(K29),0)+IF(LEFT(V29,8)="Revenue|",N(P29),0)</f>
        <v/>
      </c>
      <c r="X29" s="23">
        <f>IF(LEFT(T29,5)="COGS|",N(O29),0)+IF(LEFT(U29,5)="COGS|",-N(K29),0)+IF(LEFT(V29,5)="COGS|",-N(P29),0)</f>
        <v/>
      </c>
      <c r="Y29" s="23">
        <f>IF(LEFT(T29,8)="Expense|",N(O29),0)+IF(LEFT(U29,8)="Expense|",-N(K29),0)+IF(LEFT(V29,8)="Expense|",-N(P29),0)</f>
        <v/>
      </c>
      <c r="Z29" s="23">
        <f>IF(ISNUMBER(MATCH(T29,{"Expense|employee","Expense|general_admin","Expense|marketing","Expense|utilities","Expense|other_operating"},0)),N(O29),0)+IF(ISNUMBER(MATCH(U29,{"Expense|employee","Expense|general_admin","Expense|marketing","Expense|utilities","Expense|other_operating"},0)),-N(K29),0)+IF(ISNUMBER(MATCH(V29,{"Expense|employee","Expense|general_admin","Expense|marketing","Expense|utilities","Expense|other_operating"},0)),-N(P29),0)</f>
        <v/>
      </c>
      <c r="AA29" s="23">
        <f>IF(T29="Liability|payable",-N(O29),0)+IF(U29="Liability|payable",N(K29),0)+IF(V29="Liability|payable",N(P29),0)</f>
        <v/>
      </c>
      <c r="AB29" s="23">
        <f>IF(T29="Liability|accrued",-N(O29),0)+IF(U29="Liability|accrued",N(K29),0)+IF(V29="Liability|accrued",N(P29),0)</f>
        <v/>
      </c>
      <c r="AC29" s="23">
        <f>IF(AND(N(O29)&lt;&gt;0,T29=""),1,0)+IF(AND(N(K29)&lt;&gt;0,U29=""),1,0)+IF(AND(N(P29)&lt;&gt;0,V29=""),1,0)</f>
        <v/>
      </c>
    </row>
    <row r="30">
      <c r="A30" s="19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20" t="n"/>
      <c r="K30" s="20" t="n"/>
      <c r="L30" s="14" t="n"/>
      <c r="M30" s="14" t="n"/>
      <c r="N30" s="14" t="n"/>
      <c r="O30" s="21">
        <f>ROUND(N(I30)*N(J30),2)</f>
        <v/>
      </c>
      <c r="P30" s="21">
        <f>O30-N(K30)</f>
        <v/>
      </c>
      <c r="Q30" s="16">
        <f>IF(F30&lt;&gt;"",F30&amp;"",IF(LEFT(E30,6)="Indire",INDEX('Chart of Accounts'!$A$5:$A$3000,MATCH("project_overhead",'Chart of Accounts'!$F$5:$F$3000,0)),IF(LEFT(E30,6)="Admini",INDEX('Chart of Accounts'!$A$5:$A$3000,MATCH("admin_salaries",'Chart of Accounts'!$F$5:$F$3000,0)),INDEX('Chart of Accounts'!$A$5:$A$3000,MATCH("direct_labour",'Chart of Accounts'!$F$5:$F$3000,0)))))</f>
        <v/>
      </c>
      <c r="R30" s="16">
        <f>IF(M30="",INDEX('Chart of Accounts'!$A$5:$A$3000,MATCH("bank",'Chart of Accounts'!$F$5:$F$3000,0)),M30&amp;"")</f>
        <v/>
      </c>
      <c r="S30" s="16">
        <f>IF(N30="",INDEX('Chart of Accounts'!$A$5:$A$3000,MATCH("accrued_payroll",'Chart of Accounts'!$F$5:$F$3000,0)),N30&amp;"")</f>
        <v/>
      </c>
      <c r="T30" s="23">
        <f>IFERROR(INDEX('Chart of Accounts'!$C$5:$C$3000,MATCH(Q30&amp;"",'Chart of Accounts'!$A$5:$A$3000,0))&amp;"|"&amp;INDEX('Chart of Accounts'!$D$5:$D$3000,MATCH(Q30&amp;"",'Chart of Accounts'!$A$5:$A$3000,0)),"")</f>
        <v/>
      </c>
      <c r="U30" s="23">
        <f>IFERROR(INDEX('Chart of Accounts'!$C$5:$C$3000,MATCH(R30&amp;"",'Chart of Accounts'!$A$5:$A$3000,0))&amp;"|"&amp;INDEX('Chart of Accounts'!$D$5:$D$3000,MATCH(R30&amp;"",'Chart of Accounts'!$A$5:$A$3000,0)),"")</f>
        <v/>
      </c>
      <c r="V30" s="23">
        <f>IFERROR(INDEX('Chart of Accounts'!$C$5:$C$3000,MATCH(S30&amp;"",'Chart of Accounts'!$A$5:$A$3000,0))&amp;"|"&amp;INDEX('Chart of Accounts'!$D$5:$D$3000,MATCH(S30&amp;"",'Chart of Accounts'!$A$5:$A$3000,0)),"")</f>
        <v/>
      </c>
      <c r="W30" s="23">
        <f>IF(LEFT(T30,8)="Revenue|",-N(O30),0)+IF(LEFT(U30,8)="Revenue|",N(K30),0)+IF(LEFT(V30,8)="Revenue|",N(P30),0)</f>
        <v/>
      </c>
      <c r="X30" s="23">
        <f>IF(LEFT(T30,5)="COGS|",N(O30),0)+IF(LEFT(U30,5)="COGS|",-N(K30),0)+IF(LEFT(V30,5)="COGS|",-N(P30),0)</f>
        <v/>
      </c>
      <c r="Y30" s="23">
        <f>IF(LEFT(T30,8)="Expense|",N(O30),0)+IF(LEFT(U30,8)="Expense|",-N(K30),0)+IF(LEFT(V30,8)="Expense|",-N(P30),0)</f>
        <v/>
      </c>
      <c r="Z30" s="23">
        <f>IF(ISNUMBER(MATCH(T30,{"Expense|employee","Expense|general_admin","Expense|marketing","Expense|utilities","Expense|other_operating"},0)),N(O30),0)+IF(ISNUMBER(MATCH(U30,{"Expense|employee","Expense|general_admin","Expense|marketing","Expense|utilities","Expense|other_operating"},0)),-N(K30),0)+IF(ISNUMBER(MATCH(V30,{"Expense|employee","Expense|general_admin","Expense|marketing","Expense|utilities","Expense|other_operating"},0)),-N(P30),0)</f>
        <v/>
      </c>
      <c r="AA30" s="23">
        <f>IF(T30="Liability|payable",-N(O30),0)+IF(U30="Liability|payable",N(K30),0)+IF(V30="Liability|payable",N(P30),0)</f>
        <v/>
      </c>
      <c r="AB30" s="23">
        <f>IF(T30="Liability|accrued",-N(O30),0)+IF(U30="Liability|accrued",N(K30),0)+IF(V30="Liability|accrued",N(P30),0)</f>
        <v/>
      </c>
      <c r="AC30" s="23">
        <f>IF(AND(N(O30)&lt;&gt;0,T30=""),1,0)+IF(AND(N(K30)&lt;&gt;0,U30=""),1,0)+IF(AND(N(P30)&lt;&gt;0,V30=""),1,0)</f>
        <v/>
      </c>
    </row>
    <row r="31">
      <c r="A31" s="19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20" t="n"/>
      <c r="K31" s="20" t="n"/>
      <c r="L31" s="14" t="n"/>
      <c r="M31" s="14" t="n"/>
      <c r="N31" s="14" t="n"/>
      <c r="O31" s="21">
        <f>ROUND(N(I31)*N(J31),2)</f>
        <v/>
      </c>
      <c r="P31" s="21">
        <f>O31-N(K31)</f>
        <v/>
      </c>
      <c r="Q31" s="16">
        <f>IF(F31&lt;&gt;"",F31&amp;"",IF(LEFT(E31,6)="Indire",INDEX('Chart of Accounts'!$A$5:$A$3000,MATCH("project_overhead",'Chart of Accounts'!$F$5:$F$3000,0)),IF(LEFT(E31,6)="Admini",INDEX('Chart of Accounts'!$A$5:$A$3000,MATCH("admin_salaries",'Chart of Accounts'!$F$5:$F$3000,0)),INDEX('Chart of Accounts'!$A$5:$A$3000,MATCH("direct_labour",'Chart of Accounts'!$F$5:$F$3000,0)))))</f>
        <v/>
      </c>
      <c r="R31" s="16">
        <f>IF(M31="",INDEX('Chart of Accounts'!$A$5:$A$3000,MATCH("bank",'Chart of Accounts'!$F$5:$F$3000,0)),M31&amp;"")</f>
        <v/>
      </c>
      <c r="S31" s="16">
        <f>IF(N31="",INDEX('Chart of Accounts'!$A$5:$A$3000,MATCH("accrued_payroll",'Chart of Accounts'!$F$5:$F$3000,0)),N31&amp;"")</f>
        <v/>
      </c>
      <c r="T31" s="23">
        <f>IFERROR(INDEX('Chart of Accounts'!$C$5:$C$3000,MATCH(Q31&amp;"",'Chart of Accounts'!$A$5:$A$3000,0))&amp;"|"&amp;INDEX('Chart of Accounts'!$D$5:$D$3000,MATCH(Q31&amp;"",'Chart of Accounts'!$A$5:$A$3000,0)),"")</f>
        <v/>
      </c>
      <c r="U31" s="23">
        <f>IFERROR(INDEX('Chart of Accounts'!$C$5:$C$3000,MATCH(R31&amp;"",'Chart of Accounts'!$A$5:$A$3000,0))&amp;"|"&amp;INDEX('Chart of Accounts'!$D$5:$D$3000,MATCH(R31&amp;"",'Chart of Accounts'!$A$5:$A$3000,0)),"")</f>
        <v/>
      </c>
      <c r="V31" s="23">
        <f>IFERROR(INDEX('Chart of Accounts'!$C$5:$C$3000,MATCH(S31&amp;"",'Chart of Accounts'!$A$5:$A$3000,0))&amp;"|"&amp;INDEX('Chart of Accounts'!$D$5:$D$3000,MATCH(S31&amp;"",'Chart of Accounts'!$A$5:$A$3000,0)),"")</f>
        <v/>
      </c>
      <c r="W31" s="23">
        <f>IF(LEFT(T31,8)="Revenue|",-N(O31),0)+IF(LEFT(U31,8)="Revenue|",N(K31),0)+IF(LEFT(V31,8)="Revenue|",N(P31),0)</f>
        <v/>
      </c>
      <c r="X31" s="23">
        <f>IF(LEFT(T31,5)="COGS|",N(O31),0)+IF(LEFT(U31,5)="COGS|",-N(K31),0)+IF(LEFT(V31,5)="COGS|",-N(P31),0)</f>
        <v/>
      </c>
      <c r="Y31" s="23">
        <f>IF(LEFT(T31,8)="Expense|",N(O31),0)+IF(LEFT(U31,8)="Expense|",-N(K31),0)+IF(LEFT(V31,8)="Expense|",-N(P31),0)</f>
        <v/>
      </c>
      <c r="Z31" s="23">
        <f>IF(ISNUMBER(MATCH(T31,{"Expense|employee","Expense|general_admin","Expense|marketing","Expense|utilities","Expense|other_operating"},0)),N(O31),0)+IF(ISNUMBER(MATCH(U31,{"Expense|employee","Expense|general_admin","Expense|marketing","Expense|utilities","Expense|other_operating"},0)),-N(K31),0)+IF(ISNUMBER(MATCH(V31,{"Expense|employee","Expense|general_admin","Expense|marketing","Expense|utilities","Expense|other_operating"},0)),-N(P31),0)</f>
        <v/>
      </c>
      <c r="AA31" s="23">
        <f>IF(T31="Liability|payable",-N(O31),0)+IF(U31="Liability|payable",N(K31),0)+IF(V31="Liability|payable",N(P31),0)</f>
        <v/>
      </c>
      <c r="AB31" s="23">
        <f>IF(T31="Liability|accrued",-N(O31),0)+IF(U31="Liability|accrued",N(K31),0)+IF(V31="Liability|accrued",N(P31),0)</f>
        <v/>
      </c>
      <c r="AC31" s="23">
        <f>IF(AND(N(O31)&lt;&gt;0,T31=""),1,0)+IF(AND(N(K31)&lt;&gt;0,U31=""),1,0)+IF(AND(N(P31)&lt;&gt;0,V31=""),1,0)</f>
        <v/>
      </c>
    </row>
    <row r="32">
      <c r="A32" s="19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20" t="n"/>
      <c r="K32" s="20" t="n"/>
      <c r="L32" s="14" t="n"/>
      <c r="M32" s="14" t="n"/>
      <c r="N32" s="14" t="n"/>
      <c r="O32" s="21">
        <f>ROUND(N(I32)*N(J32),2)</f>
        <v/>
      </c>
      <c r="P32" s="21">
        <f>O32-N(K32)</f>
        <v/>
      </c>
      <c r="Q32" s="16">
        <f>IF(F32&lt;&gt;"",F32&amp;"",IF(LEFT(E32,6)="Indire",INDEX('Chart of Accounts'!$A$5:$A$3000,MATCH("project_overhead",'Chart of Accounts'!$F$5:$F$3000,0)),IF(LEFT(E32,6)="Admini",INDEX('Chart of Accounts'!$A$5:$A$3000,MATCH("admin_salaries",'Chart of Accounts'!$F$5:$F$3000,0)),INDEX('Chart of Accounts'!$A$5:$A$3000,MATCH("direct_labour",'Chart of Accounts'!$F$5:$F$3000,0)))))</f>
        <v/>
      </c>
      <c r="R32" s="16">
        <f>IF(M32="",INDEX('Chart of Accounts'!$A$5:$A$3000,MATCH("bank",'Chart of Accounts'!$F$5:$F$3000,0)),M32&amp;"")</f>
        <v/>
      </c>
      <c r="S32" s="16">
        <f>IF(N32="",INDEX('Chart of Accounts'!$A$5:$A$3000,MATCH("accrued_payroll",'Chart of Accounts'!$F$5:$F$3000,0)),N32&amp;"")</f>
        <v/>
      </c>
      <c r="T32" s="23">
        <f>IFERROR(INDEX('Chart of Accounts'!$C$5:$C$3000,MATCH(Q32&amp;"",'Chart of Accounts'!$A$5:$A$3000,0))&amp;"|"&amp;INDEX('Chart of Accounts'!$D$5:$D$3000,MATCH(Q32&amp;"",'Chart of Accounts'!$A$5:$A$3000,0)),"")</f>
        <v/>
      </c>
      <c r="U32" s="23">
        <f>IFERROR(INDEX('Chart of Accounts'!$C$5:$C$3000,MATCH(R32&amp;"",'Chart of Accounts'!$A$5:$A$3000,0))&amp;"|"&amp;INDEX('Chart of Accounts'!$D$5:$D$3000,MATCH(R32&amp;"",'Chart of Accounts'!$A$5:$A$3000,0)),"")</f>
        <v/>
      </c>
      <c r="V32" s="23">
        <f>IFERROR(INDEX('Chart of Accounts'!$C$5:$C$3000,MATCH(S32&amp;"",'Chart of Accounts'!$A$5:$A$3000,0))&amp;"|"&amp;INDEX('Chart of Accounts'!$D$5:$D$3000,MATCH(S32&amp;"",'Chart of Accounts'!$A$5:$A$3000,0)),"")</f>
        <v/>
      </c>
      <c r="W32" s="23">
        <f>IF(LEFT(T32,8)="Revenue|",-N(O32),0)+IF(LEFT(U32,8)="Revenue|",N(K32),0)+IF(LEFT(V32,8)="Revenue|",N(P32),0)</f>
        <v/>
      </c>
      <c r="X32" s="23">
        <f>IF(LEFT(T32,5)="COGS|",N(O32),0)+IF(LEFT(U32,5)="COGS|",-N(K32),0)+IF(LEFT(V32,5)="COGS|",-N(P32),0)</f>
        <v/>
      </c>
      <c r="Y32" s="23">
        <f>IF(LEFT(T32,8)="Expense|",N(O32),0)+IF(LEFT(U32,8)="Expense|",-N(K32),0)+IF(LEFT(V32,8)="Expense|",-N(P32),0)</f>
        <v/>
      </c>
      <c r="Z32" s="23">
        <f>IF(ISNUMBER(MATCH(T32,{"Expense|employee","Expense|general_admin","Expense|marketing","Expense|utilities","Expense|other_operating"},0)),N(O32),0)+IF(ISNUMBER(MATCH(U32,{"Expense|employee","Expense|general_admin","Expense|marketing","Expense|utilities","Expense|other_operating"},0)),-N(K32),0)+IF(ISNUMBER(MATCH(V32,{"Expense|employee","Expense|general_admin","Expense|marketing","Expense|utilities","Expense|other_operating"},0)),-N(P32),0)</f>
        <v/>
      </c>
      <c r="AA32" s="23">
        <f>IF(T32="Liability|payable",-N(O32),0)+IF(U32="Liability|payable",N(K32),0)+IF(V32="Liability|payable",N(P32),0)</f>
        <v/>
      </c>
      <c r="AB32" s="23">
        <f>IF(T32="Liability|accrued",-N(O32),0)+IF(U32="Liability|accrued",N(K32),0)+IF(V32="Liability|accrued",N(P32),0)</f>
        <v/>
      </c>
      <c r="AC32" s="23">
        <f>IF(AND(N(O32)&lt;&gt;0,T32=""),1,0)+IF(AND(N(K32)&lt;&gt;0,U32=""),1,0)+IF(AND(N(P32)&lt;&gt;0,V32=""),1,0)</f>
        <v/>
      </c>
    </row>
    <row r="33">
      <c r="A33" s="19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20" t="n"/>
      <c r="K33" s="20" t="n"/>
      <c r="L33" s="14" t="n"/>
      <c r="M33" s="14" t="n"/>
      <c r="N33" s="14" t="n"/>
      <c r="O33" s="21">
        <f>ROUND(N(I33)*N(J33),2)</f>
        <v/>
      </c>
      <c r="P33" s="21">
        <f>O33-N(K33)</f>
        <v/>
      </c>
      <c r="Q33" s="16">
        <f>IF(F33&lt;&gt;"",F33&amp;"",IF(LEFT(E33,6)="Indire",INDEX('Chart of Accounts'!$A$5:$A$3000,MATCH("project_overhead",'Chart of Accounts'!$F$5:$F$3000,0)),IF(LEFT(E33,6)="Admini",INDEX('Chart of Accounts'!$A$5:$A$3000,MATCH("admin_salaries",'Chart of Accounts'!$F$5:$F$3000,0)),INDEX('Chart of Accounts'!$A$5:$A$3000,MATCH("direct_labour",'Chart of Accounts'!$F$5:$F$3000,0)))))</f>
        <v/>
      </c>
      <c r="R33" s="16">
        <f>IF(M33="",INDEX('Chart of Accounts'!$A$5:$A$3000,MATCH("bank",'Chart of Accounts'!$F$5:$F$3000,0)),M33&amp;"")</f>
        <v/>
      </c>
      <c r="S33" s="16">
        <f>IF(N33="",INDEX('Chart of Accounts'!$A$5:$A$3000,MATCH("accrued_payroll",'Chart of Accounts'!$F$5:$F$3000,0)),N33&amp;"")</f>
        <v/>
      </c>
      <c r="T33" s="23">
        <f>IFERROR(INDEX('Chart of Accounts'!$C$5:$C$3000,MATCH(Q33&amp;"",'Chart of Accounts'!$A$5:$A$3000,0))&amp;"|"&amp;INDEX('Chart of Accounts'!$D$5:$D$3000,MATCH(Q33&amp;"",'Chart of Accounts'!$A$5:$A$3000,0)),"")</f>
        <v/>
      </c>
      <c r="U33" s="23">
        <f>IFERROR(INDEX('Chart of Accounts'!$C$5:$C$3000,MATCH(R33&amp;"",'Chart of Accounts'!$A$5:$A$3000,0))&amp;"|"&amp;INDEX('Chart of Accounts'!$D$5:$D$3000,MATCH(R33&amp;"",'Chart of Accounts'!$A$5:$A$3000,0)),"")</f>
        <v/>
      </c>
      <c r="V33" s="23">
        <f>IFERROR(INDEX('Chart of Accounts'!$C$5:$C$3000,MATCH(S33&amp;"",'Chart of Accounts'!$A$5:$A$3000,0))&amp;"|"&amp;INDEX('Chart of Accounts'!$D$5:$D$3000,MATCH(S33&amp;"",'Chart of Accounts'!$A$5:$A$3000,0)),"")</f>
        <v/>
      </c>
      <c r="W33" s="23">
        <f>IF(LEFT(T33,8)="Revenue|",-N(O33),0)+IF(LEFT(U33,8)="Revenue|",N(K33),0)+IF(LEFT(V33,8)="Revenue|",N(P33),0)</f>
        <v/>
      </c>
      <c r="X33" s="23">
        <f>IF(LEFT(T33,5)="COGS|",N(O33),0)+IF(LEFT(U33,5)="COGS|",-N(K33),0)+IF(LEFT(V33,5)="COGS|",-N(P33),0)</f>
        <v/>
      </c>
      <c r="Y33" s="23">
        <f>IF(LEFT(T33,8)="Expense|",N(O33),0)+IF(LEFT(U33,8)="Expense|",-N(K33),0)+IF(LEFT(V33,8)="Expense|",-N(P33),0)</f>
        <v/>
      </c>
      <c r="Z33" s="23">
        <f>IF(ISNUMBER(MATCH(T33,{"Expense|employee","Expense|general_admin","Expense|marketing","Expense|utilities","Expense|other_operating"},0)),N(O33),0)+IF(ISNUMBER(MATCH(U33,{"Expense|employee","Expense|general_admin","Expense|marketing","Expense|utilities","Expense|other_operating"},0)),-N(K33),0)+IF(ISNUMBER(MATCH(V33,{"Expense|employee","Expense|general_admin","Expense|marketing","Expense|utilities","Expense|other_operating"},0)),-N(P33),0)</f>
        <v/>
      </c>
      <c r="AA33" s="23">
        <f>IF(T33="Liability|payable",-N(O33),0)+IF(U33="Liability|payable",N(K33),0)+IF(V33="Liability|payable",N(P33),0)</f>
        <v/>
      </c>
      <c r="AB33" s="23">
        <f>IF(T33="Liability|accrued",-N(O33),0)+IF(U33="Liability|accrued",N(K33),0)+IF(V33="Liability|accrued",N(P33),0)</f>
        <v/>
      </c>
      <c r="AC33" s="23">
        <f>IF(AND(N(O33)&lt;&gt;0,T33=""),1,0)+IF(AND(N(K33)&lt;&gt;0,U33=""),1,0)+IF(AND(N(P33)&lt;&gt;0,V33=""),1,0)</f>
        <v/>
      </c>
    </row>
    <row r="34">
      <c r="A34" s="19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20" t="n"/>
      <c r="K34" s="20" t="n"/>
      <c r="L34" s="14" t="n"/>
      <c r="M34" s="14" t="n"/>
      <c r="N34" s="14" t="n"/>
      <c r="O34" s="21">
        <f>ROUND(N(I34)*N(J34),2)</f>
        <v/>
      </c>
      <c r="P34" s="21">
        <f>O34-N(K34)</f>
        <v/>
      </c>
      <c r="Q34" s="16">
        <f>IF(F34&lt;&gt;"",F34&amp;"",IF(LEFT(E34,6)="Indire",INDEX('Chart of Accounts'!$A$5:$A$3000,MATCH("project_overhead",'Chart of Accounts'!$F$5:$F$3000,0)),IF(LEFT(E34,6)="Admini",INDEX('Chart of Accounts'!$A$5:$A$3000,MATCH("admin_salaries",'Chart of Accounts'!$F$5:$F$3000,0)),INDEX('Chart of Accounts'!$A$5:$A$3000,MATCH("direct_labour",'Chart of Accounts'!$F$5:$F$3000,0)))))</f>
        <v/>
      </c>
      <c r="R34" s="16">
        <f>IF(M34="",INDEX('Chart of Accounts'!$A$5:$A$3000,MATCH("bank",'Chart of Accounts'!$F$5:$F$3000,0)),M34&amp;"")</f>
        <v/>
      </c>
      <c r="S34" s="16">
        <f>IF(N34="",INDEX('Chart of Accounts'!$A$5:$A$3000,MATCH("accrued_payroll",'Chart of Accounts'!$F$5:$F$3000,0)),N34&amp;"")</f>
        <v/>
      </c>
      <c r="T34" s="23">
        <f>IFERROR(INDEX('Chart of Accounts'!$C$5:$C$3000,MATCH(Q34&amp;"",'Chart of Accounts'!$A$5:$A$3000,0))&amp;"|"&amp;INDEX('Chart of Accounts'!$D$5:$D$3000,MATCH(Q34&amp;"",'Chart of Accounts'!$A$5:$A$3000,0)),"")</f>
        <v/>
      </c>
      <c r="U34" s="23">
        <f>IFERROR(INDEX('Chart of Accounts'!$C$5:$C$3000,MATCH(R34&amp;"",'Chart of Accounts'!$A$5:$A$3000,0))&amp;"|"&amp;INDEX('Chart of Accounts'!$D$5:$D$3000,MATCH(R34&amp;"",'Chart of Accounts'!$A$5:$A$3000,0)),"")</f>
        <v/>
      </c>
      <c r="V34" s="23">
        <f>IFERROR(INDEX('Chart of Accounts'!$C$5:$C$3000,MATCH(S34&amp;"",'Chart of Accounts'!$A$5:$A$3000,0))&amp;"|"&amp;INDEX('Chart of Accounts'!$D$5:$D$3000,MATCH(S34&amp;"",'Chart of Accounts'!$A$5:$A$3000,0)),"")</f>
        <v/>
      </c>
      <c r="W34" s="23">
        <f>IF(LEFT(T34,8)="Revenue|",-N(O34),0)+IF(LEFT(U34,8)="Revenue|",N(K34),0)+IF(LEFT(V34,8)="Revenue|",N(P34),0)</f>
        <v/>
      </c>
      <c r="X34" s="23">
        <f>IF(LEFT(T34,5)="COGS|",N(O34),0)+IF(LEFT(U34,5)="COGS|",-N(K34),0)+IF(LEFT(V34,5)="COGS|",-N(P34),0)</f>
        <v/>
      </c>
      <c r="Y34" s="23">
        <f>IF(LEFT(T34,8)="Expense|",N(O34),0)+IF(LEFT(U34,8)="Expense|",-N(K34),0)+IF(LEFT(V34,8)="Expense|",-N(P34),0)</f>
        <v/>
      </c>
      <c r="Z34" s="23">
        <f>IF(ISNUMBER(MATCH(T34,{"Expense|employee","Expense|general_admin","Expense|marketing","Expense|utilities","Expense|other_operating"},0)),N(O34),0)+IF(ISNUMBER(MATCH(U34,{"Expense|employee","Expense|general_admin","Expense|marketing","Expense|utilities","Expense|other_operating"},0)),-N(K34),0)+IF(ISNUMBER(MATCH(V34,{"Expense|employee","Expense|general_admin","Expense|marketing","Expense|utilities","Expense|other_operating"},0)),-N(P34),0)</f>
        <v/>
      </c>
      <c r="AA34" s="23">
        <f>IF(T34="Liability|payable",-N(O34),0)+IF(U34="Liability|payable",N(K34),0)+IF(V34="Liability|payable",N(P34),0)</f>
        <v/>
      </c>
      <c r="AB34" s="23">
        <f>IF(T34="Liability|accrued",-N(O34),0)+IF(U34="Liability|accrued",N(K34),0)+IF(V34="Liability|accrued",N(P34),0)</f>
        <v/>
      </c>
      <c r="AC34" s="23">
        <f>IF(AND(N(O34)&lt;&gt;0,T34=""),1,0)+IF(AND(N(K34)&lt;&gt;0,U34=""),1,0)+IF(AND(N(P34)&lt;&gt;0,V34=""),1,0)</f>
        <v/>
      </c>
    </row>
    <row r="35">
      <c r="A35" s="19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20" t="n"/>
      <c r="K35" s="20" t="n"/>
      <c r="L35" s="14" t="n"/>
      <c r="M35" s="14" t="n"/>
      <c r="N35" s="14" t="n"/>
      <c r="O35" s="21">
        <f>ROUND(N(I35)*N(J35),2)</f>
        <v/>
      </c>
      <c r="P35" s="21">
        <f>O35-N(K35)</f>
        <v/>
      </c>
      <c r="Q35" s="16">
        <f>IF(F35&lt;&gt;"",F35&amp;"",IF(LEFT(E35,6)="Indire",INDEX('Chart of Accounts'!$A$5:$A$3000,MATCH("project_overhead",'Chart of Accounts'!$F$5:$F$3000,0)),IF(LEFT(E35,6)="Admini",INDEX('Chart of Accounts'!$A$5:$A$3000,MATCH("admin_salaries",'Chart of Accounts'!$F$5:$F$3000,0)),INDEX('Chart of Accounts'!$A$5:$A$3000,MATCH("direct_labour",'Chart of Accounts'!$F$5:$F$3000,0)))))</f>
        <v/>
      </c>
      <c r="R35" s="16">
        <f>IF(M35="",INDEX('Chart of Accounts'!$A$5:$A$3000,MATCH("bank",'Chart of Accounts'!$F$5:$F$3000,0)),M35&amp;"")</f>
        <v/>
      </c>
      <c r="S35" s="16">
        <f>IF(N35="",INDEX('Chart of Accounts'!$A$5:$A$3000,MATCH("accrued_payroll",'Chart of Accounts'!$F$5:$F$3000,0)),N35&amp;"")</f>
        <v/>
      </c>
      <c r="T35" s="23">
        <f>IFERROR(INDEX('Chart of Accounts'!$C$5:$C$3000,MATCH(Q35&amp;"",'Chart of Accounts'!$A$5:$A$3000,0))&amp;"|"&amp;INDEX('Chart of Accounts'!$D$5:$D$3000,MATCH(Q35&amp;"",'Chart of Accounts'!$A$5:$A$3000,0)),"")</f>
        <v/>
      </c>
      <c r="U35" s="23">
        <f>IFERROR(INDEX('Chart of Accounts'!$C$5:$C$3000,MATCH(R35&amp;"",'Chart of Accounts'!$A$5:$A$3000,0))&amp;"|"&amp;INDEX('Chart of Accounts'!$D$5:$D$3000,MATCH(R35&amp;"",'Chart of Accounts'!$A$5:$A$3000,0)),"")</f>
        <v/>
      </c>
      <c r="V35" s="23">
        <f>IFERROR(INDEX('Chart of Accounts'!$C$5:$C$3000,MATCH(S35&amp;"",'Chart of Accounts'!$A$5:$A$3000,0))&amp;"|"&amp;INDEX('Chart of Accounts'!$D$5:$D$3000,MATCH(S35&amp;"",'Chart of Accounts'!$A$5:$A$3000,0)),"")</f>
        <v/>
      </c>
      <c r="W35" s="23">
        <f>IF(LEFT(T35,8)="Revenue|",-N(O35),0)+IF(LEFT(U35,8)="Revenue|",N(K35),0)+IF(LEFT(V35,8)="Revenue|",N(P35),0)</f>
        <v/>
      </c>
      <c r="X35" s="23">
        <f>IF(LEFT(T35,5)="COGS|",N(O35),0)+IF(LEFT(U35,5)="COGS|",-N(K35),0)+IF(LEFT(V35,5)="COGS|",-N(P35),0)</f>
        <v/>
      </c>
      <c r="Y35" s="23">
        <f>IF(LEFT(T35,8)="Expense|",N(O35),0)+IF(LEFT(U35,8)="Expense|",-N(K35),0)+IF(LEFT(V35,8)="Expense|",-N(P35),0)</f>
        <v/>
      </c>
      <c r="Z35" s="23">
        <f>IF(ISNUMBER(MATCH(T35,{"Expense|employee","Expense|general_admin","Expense|marketing","Expense|utilities","Expense|other_operating"},0)),N(O35),0)+IF(ISNUMBER(MATCH(U35,{"Expense|employee","Expense|general_admin","Expense|marketing","Expense|utilities","Expense|other_operating"},0)),-N(K35),0)+IF(ISNUMBER(MATCH(V35,{"Expense|employee","Expense|general_admin","Expense|marketing","Expense|utilities","Expense|other_operating"},0)),-N(P35),0)</f>
        <v/>
      </c>
      <c r="AA35" s="23">
        <f>IF(T35="Liability|payable",-N(O35),0)+IF(U35="Liability|payable",N(K35),0)+IF(V35="Liability|payable",N(P35),0)</f>
        <v/>
      </c>
      <c r="AB35" s="23">
        <f>IF(T35="Liability|accrued",-N(O35),0)+IF(U35="Liability|accrued",N(K35),0)+IF(V35="Liability|accrued",N(P35),0)</f>
        <v/>
      </c>
      <c r="AC35" s="23">
        <f>IF(AND(N(O35)&lt;&gt;0,T35=""),1,0)+IF(AND(N(K35)&lt;&gt;0,U35=""),1,0)+IF(AND(N(P35)&lt;&gt;0,V35=""),1,0)</f>
        <v/>
      </c>
    </row>
    <row r="36">
      <c r="A36" s="19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20" t="n"/>
      <c r="K36" s="20" t="n"/>
      <c r="L36" s="14" t="n"/>
      <c r="M36" s="14" t="n"/>
      <c r="N36" s="14" t="n"/>
      <c r="O36" s="21">
        <f>ROUND(N(I36)*N(J36),2)</f>
        <v/>
      </c>
      <c r="P36" s="21">
        <f>O36-N(K36)</f>
        <v/>
      </c>
      <c r="Q36" s="16">
        <f>IF(F36&lt;&gt;"",F36&amp;"",IF(LEFT(E36,6)="Indire",INDEX('Chart of Accounts'!$A$5:$A$3000,MATCH("project_overhead",'Chart of Accounts'!$F$5:$F$3000,0)),IF(LEFT(E36,6)="Admini",INDEX('Chart of Accounts'!$A$5:$A$3000,MATCH("admin_salaries",'Chart of Accounts'!$F$5:$F$3000,0)),INDEX('Chart of Accounts'!$A$5:$A$3000,MATCH("direct_labour",'Chart of Accounts'!$F$5:$F$3000,0)))))</f>
        <v/>
      </c>
      <c r="R36" s="16">
        <f>IF(M36="",INDEX('Chart of Accounts'!$A$5:$A$3000,MATCH("bank",'Chart of Accounts'!$F$5:$F$3000,0)),M36&amp;"")</f>
        <v/>
      </c>
      <c r="S36" s="16">
        <f>IF(N36="",INDEX('Chart of Accounts'!$A$5:$A$3000,MATCH("accrued_payroll",'Chart of Accounts'!$F$5:$F$3000,0)),N36&amp;"")</f>
        <v/>
      </c>
      <c r="T36" s="23">
        <f>IFERROR(INDEX('Chart of Accounts'!$C$5:$C$3000,MATCH(Q36&amp;"",'Chart of Accounts'!$A$5:$A$3000,0))&amp;"|"&amp;INDEX('Chart of Accounts'!$D$5:$D$3000,MATCH(Q36&amp;"",'Chart of Accounts'!$A$5:$A$3000,0)),"")</f>
        <v/>
      </c>
      <c r="U36" s="23">
        <f>IFERROR(INDEX('Chart of Accounts'!$C$5:$C$3000,MATCH(R36&amp;"",'Chart of Accounts'!$A$5:$A$3000,0))&amp;"|"&amp;INDEX('Chart of Accounts'!$D$5:$D$3000,MATCH(R36&amp;"",'Chart of Accounts'!$A$5:$A$3000,0)),"")</f>
        <v/>
      </c>
      <c r="V36" s="23">
        <f>IFERROR(INDEX('Chart of Accounts'!$C$5:$C$3000,MATCH(S36&amp;"",'Chart of Accounts'!$A$5:$A$3000,0))&amp;"|"&amp;INDEX('Chart of Accounts'!$D$5:$D$3000,MATCH(S36&amp;"",'Chart of Accounts'!$A$5:$A$3000,0)),"")</f>
        <v/>
      </c>
      <c r="W36" s="23">
        <f>IF(LEFT(T36,8)="Revenue|",-N(O36),0)+IF(LEFT(U36,8)="Revenue|",N(K36),0)+IF(LEFT(V36,8)="Revenue|",N(P36),0)</f>
        <v/>
      </c>
      <c r="X36" s="23">
        <f>IF(LEFT(T36,5)="COGS|",N(O36),0)+IF(LEFT(U36,5)="COGS|",-N(K36),0)+IF(LEFT(V36,5)="COGS|",-N(P36),0)</f>
        <v/>
      </c>
      <c r="Y36" s="23">
        <f>IF(LEFT(T36,8)="Expense|",N(O36),0)+IF(LEFT(U36,8)="Expense|",-N(K36),0)+IF(LEFT(V36,8)="Expense|",-N(P36),0)</f>
        <v/>
      </c>
      <c r="Z36" s="23">
        <f>IF(ISNUMBER(MATCH(T36,{"Expense|employee","Expense|general_admin","Expense|marketing","Expense|utilities","Expense|other_operating"},0)),N(O36),0)+IF(ISNUMBER(MATCH(U36,{"Expense|employee","Expense|general_admin","Expense|marketing","Expense|utilities","Expense|other_operating"},0)),-N(K36),0)+IF(ISNUMBER(MATCH(V36,{"Expense|employee","Expense|general_admin","Expense|marketing","Expense|utilities","Expense|other_operating"},0)),-N(P36),0)</f>
        <v/>
      </c>
      <c r="AA36" s="23">
        <f>IF(T36="Liability|payable",-N(O36),0)+IF(U36="Liability|payable",N(K36),0)+IF(V36="Liability|payable",N(P36),0)</f>
        <v/>
      </c>
      <c r="AB36" s="23">
        <f>IF(T36="Liability|accrued",-N(O36),0)+IF(U36="Liability|accrued",N(K36),0)+IF(V36="Liability|accrued",N(P36),0)</f>
        <v/>
      </c>
      <c r="AC36" s="23">
        <f>IF(AND(N(O36)&lt;&gt;0,T36=""),1,0)+IF(AND(N(K36)&lt;&gt;0,U36=""),1,0)+IF(AND(N(P36)&lt;&gt;0,V36=""),1,0)</f>
        <v/>
      </c>
    </row>
    <row r="37">
      <c r="A37" s="19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20" t="n"/>
      <c r="K37" s="20" t="n"/>
      <c r="L37" s="14" t="n"/>
      <c r="M37" s="14" t="n"/>
      <c r="N37" s="14" t="n"/>
      <c r="O37" s="21">
        <f>ROUND(N(I37)*N(J37),2)</f>
        <v/>
      </c>
      <c r="P37" s="21">
        <f>O37-N(K37)</f>
        <v/>
      </c>
      <c r="Q37" s="16">
        <f>IF(F37&lt;&gt;"",F37&amp;"",IF(LEFT(E37,6)="Indire",INDEX('Chart of Accounts'!$A$5:$A$3000,MATCH("project_overhead",'Chart of Accounts'!$F$5:$F$3000,0)),IF(LEFT(E37,6)="Admini",INDEX('Chart of Accounts'!$A$5:$A$3000,MATCH("admin_salaries",'Chart of Accounts'!$F$5:$F$3000,0)),INDEX('Chart of Accounts'!$A$5:$A$3000,MATCH("direct_labour",'Chart of Accounts'!$F$5:$F$3000,0)))))</f>
        <v/>
      </c>
      <c r="R37" s="16">
        <f>IF(M37="",INDEX('Chart of Accounts'!$A$5:$A$3000,MATCH("bank",'Chart of Accounts'!$F$5:$F$3000,0)),M37&amp;"")</f>
        <v/>
      </c>
      <c r="S37" s="16">
        <f>IF(N37="",INDEX('Chart of Accounts'!$A$5:$A$3000,MATCH("accrued_payroll",'Chart of Accounts'!$F$5:$F$3000,0)),N37&amp;"")</f>
        <v/>
      </c>
      <c r="T37" s="23">
        <f>IFERROR(INDEX('Chart of Accounts'!$C$5:$C$3000,MATCH(Q37&amp;"",'Chart of Accounts'!$A$5:$A$3000,0))&amp;"|"&amp;INDEX('Chart of Accounts'!$D$5:$D$3000,MATCH(Q37&amp;"",'Chart of Accounts'!$A$5:$A$3000,0)),"")</f>
        <v/>
      </c>
      <c r="U37" s="23">
        <f>IFERROR(INDEX('Chart of Accounts'!$C$5:$C$3000,MATCH(R37&amp;"",'Chart of Accounts'!$A$5:$A$3000,0))&amp;"|"&amp;INDEX('Chart of Accounts'!$D$5:$D$3000,MATCH(R37&amp;"",'Chart of Accounts'!$A$5:$A$3000,0)),"")</f>
        <v/>
      </c>
      <c r="V37" s="23">
        <f>IFERROR(INDEX('Chart of Accounts'!$C$5:$C$3000,MATCH(S37&amp;"",'Chart of Accounts'!$A$5:$A$3000,0))&amp;"|"&amp;INDEX('Chart of Accounts'!$D$5:$D$3000,MATCH(S37&amp;"",'Chart of Accounts'!$A$5:$A$3000,0)),"")</f>
        <v/>
      </c>
      <c r="W37" s="23">
        <f>IF(LEFT(T37,8)="Revenue|",-N(O37),0)+IF(LEFT(U37,8)="Revenue|",N(K37),0)+IF(LEFT(V37,8)="Revenue|",N(P37),0)</f>
        <v/>
      </c>
      <c r="X37" s="23">
        <f>IF(LEFT(T37,5)="COGS|",N(O37),0)+IF(LEFT(U37,5)="COGS|",-N(K37),0)+IF(LEFT(V37,5)="COGS|",-N(P37),0)</f>
        <v/>
      </c>
      <c r="Y37" s="23">
        <f>IF(LEFT(T37,8)="Expense|",N(O37),0)+IF(LEFT(U37,8)="Expense|",-N(K37),0)+IF(LEFT(V37,8)="Expense|",-N(P37),0)</f>
        <v/>
      </c>
      <c r="Z37" s="23">
        <f>IF(ISNUMBER(MATCH(T37,{"Expense|employee","Expense|general_admin","Expense|marketing","Expense|utilities","Expense|other_operating"},0)),N(O37),0)+IF(ISNUMBER(MATCH(U37,{"Expense|employee","Expense|general_admin","Expense|marketing","Expense|utilities","Expense|other_operating"},0)),-N(K37),0)+IF(ISNUMBER(MATCH(V37,{"Expense|employee","Expense|general_admin","Expense|marketing","Expense|utilities","Expense|other_operating"},0)),-N(P37),0)</f>
        <v/>
      </c>
      <c r="AA37" s="23">
        <f>IF(T37="Liability|payable",-N(O37),0)+IF(U37="Liability|payable",N(K37),0)+IF(V37="Liability|payable",N(P37),0)</f>
        <v/>
      </c>
      <c r="AB37" s="23">
        <f>IF(T37="Liability|accrued",-N(O37),0)+IF(U37="Liability|accrued",N(K37),0)+IF(V37="Liability|accrued",N(P37),0)</f>
        <v/>
      </c>
      <c r="AC37" s="23">
        <f>IF(AND(N(O37)&lt;&gt;0,T37=""),1,0)+IF(AND(N(K37)&lt;&gt;0,U37=""),1,0)+IF(AND(N(P37)&lt;&gt;0,V37=""),1,0)</f>
        <v/>
      </c>
    </row>
    <row r="38">
      <c r="A38" s="19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20" t="n"/>
      <c r="K38" s="20" t="n"/>
      <c r="L38" s="14" t="n"/>
      <c r="M38" s="14" t="n"/>
      <c r="N38" s="14" t="n"/>
      <c r="O38" s="21">
        <f>ROUND(N(I38)*N(J38),2)</f>
        <v/>
      </c>
      <c r="P38" s="21">
        <f>O38-N(K38)</f>
        <v/>
      </c>
      <c r="Q38" s="16">
        <f>IF(F38&lt;&gt;"",F38&amp;"",IF(LEFT(E38,6)="Indire",INDEX('Chart of Accounts'!$A$5:$A$3000,MATCH("project_overhead",'Chart of Accounts'!$F$5:$F$3000,0)),IF(LEFT(E38,6)="Admini",INDEX('Chart of Accounts'!$A$5:$A$3000,MATCH("admin_salaries",'Chart of Accounts'!$F$5:$F$3000,0)),INDEX('Chart of Accounts'!$A$5:$A$3000,MATCH("direct_labour",'Chart of Accounts'!$F$5:$F$3000,0)))))</f>
        <v/>
      </c>
      <c r="R38" s="16">
        <f>IF(M38="",INDEX('Chart of Accounts'!$A$5:$A$3000,MATCH("bank",'Chart of Accounts'!$F$5:$F$3000,0)),M38&amp;"")</f>
        <v/>
      </c>
      <c r="S38" s="16">
        <f>IF(N38="",INDEX('Chart of Accounts'!$A$5:$A$3000,MATCH("accrued_payroll",'Chart of Accounts'!$F$5:$F$3000,0)),N38&amp;"")</f>
        <v/>
      </c>
      <c r="T38" s="23">
        <f>IFERROR(INDEX('Chart of Accounts'!$C$5:$C$3000,MATCH(Q38&amp;"",'Chart of Accounts'!$A$5:$A$3000,0))&amp;"|"&amp;INDEX('Chart of Accounts'!$D$5:$D$3000,MATCH(Q38&amp;"",'Chart of Accounts'!$A$5:$A$3000,0)),"")</f>
        <v/>
      </c>
      <c r="U38" s="23">
        <f>IFERROR(INDEX('Chart of Accounts'!$C$5:$C$3000,MATCH(R38&amp;"",'Chart of Accounts'!$A$5:$A$3000,0))&amp;"|"&amp;INDEX('Chart of Accounts'!$D$5:$D$3000,MATCH(R38&amp;"",'Chart of Accounts'!$A$5:$A$3000,0)),"")</f>
        <v/>
      </c>
      <c r="V38" s="23">
        <f>IFERROR(INDEX('Chart of Accounts'!$C$5:$C$3000,MATCH(S38&amp;"",'Chart of Accounts'!$A$5:$A$3000,0))&amp;"|"&amp;INDEX('Chart of Accounts'!$D$5:$D$3000,MATCH(S38&amp;"",'Chart of Accounts'!$A$5:$A$3000,0)),"")</f>
        <v/>
      </c>
      <c r="W38" s="23">
        <f>IF(LEFT(T38,8)="Revenue|",-N(O38),0)+IF(LEFT(U38,8)="Revenue|",N(K38),0)+IF(LEFT(V38,8)="Revenue|",N(P38),0)</f>
        <v/>
      </c>
      <c r="X38" s="23">
        <f>IF(LEFT(T38,5)="COGS|",N(O38),0)+IF(LEFT(U38,5)="COGS|",-N(K38),0)+IF(LEFT(V38,5)="COGS|",-N(P38),0)</f>
        <v/>
      </c>
      <c r="Y38" s="23">
        <f>IF(LEFT(T38,8)="Expense|",N(O38),0)+IF(LEFT(U38,8)="Expense|",-N(K38),0)+IF(LEFT(V38,8)="Expense|",-N(P38),0)</f>
        <v/>
      </c>
      <c r="Z38" s="23">
        <f>IF(ISNUMBER(MATCH(T38,{"Expense|employee","Expense|general_admin","Expense|marketing","Expense|utilities","Expense|other_operating"},0)),N(O38),0)+IF(ISNUMBER(MATCH(U38,{"Expense|employee","Expense|general_admin","Expense|marketing","Expense|utilities","Expense|other_operating"},0)),-N(K38),0)+IF(ISNUMBER(MATCH(V38,{"Expense|employee","Expense|general_admin","Expense|marketing","Expense|utilities","Expense|other_operating"},0)),-N(P38),0)</f>
        <v/>
      </c>
      <c r="AA38" s="23">
        <f>IF(T38="Liability|payable",-N(O38),0)+IF(U38="Liability|payable",N(K38),0)+IF(V38="Liability|payable",N(P38),0)</f>
        <v/>
      </c>
      <c r="AB38" s="23">
        <f>IF(T38="Liability|accrued",-N(O38),0)+IF(U38="Liability|accrued",N(K38),0)+IF(V38="Liability|accrued",N(P38),0)</f>
        <v/>
      </c>
      <c r="AC38" s="23">
        <f>IF(AND(N(O38)&lt;&gt;0,T38=""),1,0)+IF(AND(N(K38)&lt;&gt;0,U38=""),1,0)+IF(AND(N(P38)&lt;&gt;0,V38=""),1,0)</f>
        <v/>
      </c>
    </row>
    <row r="39">
      <c r="A39" s="19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20" t="n"/>
      <c r="K39" s="20" t="n"/>
      <c r="L39" s="14" t="n"/>
      <c r="M39" s="14" t="n"/>
      <c r="N39" s="14" t="n"/>
      <c r="O39" s="21">
        <f>ROUND(N(I39)*N(J39),2)</f>
        <v/>
      </c>
      <c r="P39" s="21">
        <f>O39-N(K39)</f>
        <v/>
      </c>
      <c r="Q39" s="16">
        <f>IF(F39&lt;&gt;"",F39&amp;"",IF(LEFT(E39,6)="Indire",INDEX('Chart of Accounts'!$A$5:$A$3000,MATCH("project_overhead",'Chart of Accounts'!$F$5:$F$3000,0)),IF(LEFT(E39,6)="Admini",INDEX('Chart of Accounts'!$A$5:$A$3000,MATCH("admin_salaries",'Chart of Accounts'!$F$5:$F$3000,0)),INDEX('Chart of Accounts'!$A$5:$A$3000,MATCH("direct_labour",'Chart of Accounts'!$F$5:$F$3000,0)))))</f>
        <v/>
      </c>
      <c r="R39" s="16">
        <f>IF(M39="",INDEX('Chart of Accounts'!$A$5:$A$3000,MATCH("bank",'Chart of Accounts'!$F$5:$F$3000,0)),M39&amp;"")</f>
        <v/>
      </c>
      <c r="S39" s="16">
        <f>IF(N39="",INDEX('Chart of Accounts'!$A$5:$A$3000,MATCH("accrued_payroll",'Chart of Accounts'!$F$5:$F$3000,0)),N39&amp;"")</f>
        <v/>
      </c>
      <c r="T39" s="23">
        <f>IFERROR(INDEX('Chart of Accounts'!$C$5:$C$3000,MATCH(Q39&amp;"",'Chart of Accounts'!$A$5:$A$3000,0))&amp;"|"&amp;INDEX('Chart of Accounts'!$D$5:$D$3000,MATCH(Q39&amp;"",'Chart of Accounts'!$A$5:$A$3000,0)),"")</f>
        <v/>
      </c>
      <c r="U39" s="23">
        <f>IFERROR(INDEX('Chart of Accounts'!$C$5:$C$3000,MATCH(R39&amp;"",'Chart of Accounts'!$A$5:$A$3000,0))&amp;"|"&amp;INDEX('Chart of Accounts'!$D$5:$D$3000,MATCH(R39&amp;"",'Chart of Accounts'!$A$5:$A$3000,0)),"")</f>
        <v/>
      </c>
      <c r="V39" s="23">
        <f>IFERROR(INDEX('Chart of Accounts'!$C$5:$C$3000,MATCH(S39&amp;"",'Chart of Accounts'!$A$5:$A$3000,0))&amp;"|"&amp;INDEX('Chart of Accounts'!$D$5:$D$3000,MATCH(S39&amp;"",'Chart of Accounts'!$A$5:$A$3000,0)),"")</f>
        <v/>
      </c>
      <c r="W39" s="23">
        <f>IF(LEFT(T39,8)="Revenue|",-N(O39),0)+IF(LEFT(U39,8)="Revenue|",N(K39),0)+IF(LEFT(V39,8)="Revenue|",N(P39),0)</f>
        <v/>
      </c>
      <c r="X39" s="23">
        <f>IF(LEFT(T39,5)="COGS|",N(O39),0)+IF(LEFT(U39,5)="COGS|",-N(K39),0)+IF(LEFT(V39,5)="COGS|",-N(P39),0)</f>
        <v/>
      </c>
      <c r="Y39" s="23">
        <f>IF(LEFT(T39,8)="Expense|",N(O39),0)+IF(LEFT(U39,8)="Expense|",-N(K39),0)+IF(LEFT(V39,8)="Expense|",-N(P39),0)</f>
        <v/>
      </c>
      <c r="Z39" s="23">
        <f>IF(ISNUMBER(MATCH(T39,{"Expense|employee","Expense|general_admin","Expense|marketing","Expense|utilities","Expense|other_operating"},0)),N(O39),0)+IF(ISNUMBER(MATCH(U39,{"Expense|employee","Expense|general_admin","Expense|marketing","Expense|utilities","Expense|other_operating"},0)),-N(K39),0)+IF(ISNUMBER(MATCH(V39,{"Expense|employee","Expense|general_admin","Expense|marketing","Expense|utilities","Expense|other_operating"},0)),-N(P39),0)</f>
        <v/>
      </c>
      <c r="AA39" s="23">
        <f>IF(T39="Liability|payable",-N(O39),0)+IF(U39="Liability|payable",N(K39),0)+IF(V39="Liability|payable",N(P39),0)</f>
        <v/>
      </c>
      <c r="AB39" s="23">
        <f>IF(T39="Liability|accrued",-N(O39),0)+IF(U39="Liability|accrued",N(K39),0)+IF(V39="Liability|accrued",N(P39),0)</f>
        <v/>
      </c>
      <c r="AC39" s="23">
        <f>IF(AND(N(O39)&lt;&gt;0,T39=""),1,0)+IF(AND(N(K39)&lt;&gt;0,U39=""),1,0)+IF(AND(N(P39)&lt;&gt;0,V39=""),1,0)</f>
        <v/>
      </c>
    </row>
    <row r="40">
      <c r="A40" s="19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20" t="n"/>
      <c r="K40" s="20" t="n"/>
      <c r="L40" s="14" t="n"/>
      <c r="M40" s="14" t="n"/>
      <c r="N40" s="14" t="n"/>
      <c r="O40" s="21">
        <f>ROUND(N(I40)*N(J40),2)</f>
        <v/>
      </c>
      <c r="P40" s="21">
        <f>O40-N(K40)</f>
        <v/>
      </c>
      <c r="Q40" s="16">
        <f>IF(F40&lt;&gt;"",F40&amp;"",IF(LEFT(E40,6)="Indire",INDEX('Chart of Accounts'!$A$5:$A$3000,MATCH("project_overhead",'Chart of Accounts'!$F$5:$F$3000,0)),IF(LEFT(E40,6)="Admini",INDEX('Chart of Accounts'!$A$5:$A$3000,MATCH("admin_salaries",'Chart of Accounts'!$F$5:$F$3000,0)),INDEX('Chart of Accounts'!$A$5:$A$3000,MATCH("direct_labour",'Chart of Accounts'!$F$5:$F$3000,0)))))</f>
        <v/>
      </c>
      <c r="R40" s="16">
        <f>IF(M40="",INDEX('Chart of Accounts'!$A$5:$A$3000,MATCH("bank",'Chart of Accounts'!$F$5:$F$3000,0)),M40&amp;"")</f>
        <v/>
      </c>
      <c r="S40" s="16">
        <f>IF(N40="",INDEX('Chart of Accounts'!$A$5:$A$3000,MATCH("accrued_payroll",'Chart of Accounts'!$F$5:$F$3000,0)),N40&amp;"")</f>
        <v/>
      </c>
      <c r="T40" s="23">
        <f>IFERROR(INDEX('Chart of Accounts'!$C$5:$C$3000,MATCH(Q40&amp;"",'Chart of Accounts'!$A$5:$A$3000,0))&amp;"|"&amp;INDEX('Chart of Accounts'!$D$5:$D$3000,MATCH(Q40&amp;"",'Chart of Accounts'!$A$5:$A$3000,0)),"")</f>
        <v/>
      </c>
      <c r="U40" s="23">
        <f>IFERROR(INDEX('Chart of Accounts'!$C$5:$C$3000,MATCH(R40&amp;"",'Chart of Accounts'!$A$5:$A$3000,0))&amp;"|"&amp;INDEX('Chart of Accounts'!$D$5:$D$3000,MATCH(R40&amp;"",'Chart of Accounts'!$A$5:$A$3000,0)),"")</f>
        <v/>
      </c>
      <c r="V40" s="23">
        <f>IFERROR(INDEX('Chart of Accounts'!$C$5:$C$3000,MATCH(S40&amp;"",'Chart of Accounts'!$A$5:$A$3000,0))&amp;"|"&amp;INDEX('Chart of Accounts'!$D$5:$D$3000,MATCH(S40&amp;"",'Chart of Accounts'!$A$5:$A$3000,0)),"")</f>
        <v/>
      </c>
      <c r="W40" s="23">
        <f>IF(LEFT(T40,8)="Revenue|",-N(O40),0)+IF(LEFT(U40,8)="Revenue|",N(K40),0)+IF(LEFT(V40,8)="Revenue|",N(P40),0)</f>
        <v/>
      </c>
      <c r="X40" s="23">
        <f>IF(LEFT(T40,5)="COGS|",N(O40),0)+IF(LEFT(U40,5)="COGS|",-N(K40),0)+IF(LEFT(V40,5)="COGS|",-N(P40),0)</f>
        <v/>
      </c>
      <c r="Y40" s="23">
        <f>IF(LEFT(T40,8)="Expense|",N(O40),0)+IF(LEFT(U40,8)="Expense|",-N(K40),0)+IF(LEFT(V40,8)="Expense|",-N(P40),0)</f>
        <v/>
      </c>
      <c r="Z40" s="23">
        <f>IF(ISNUMBER(MATCH(T40,{"Expense|employee","Expense|general_admin","Expense|marketing","Expense|utilities","Expense|other_operating"},0)),N(O40),0)+IF(ISNUMBER(MATCH(U40,{"Expense|employee","Expense|general_admin","Expense|marketing","Expense|utilities","Expense|other_operating"},0)),-N(K40),0)+IF(ISNUMBER(MATCH(V40,{"Expense|employee","Expense|general_admin","Expense|marketing","Expense|utilities","Expense|other_operating"},0)),-N(P40),0)</f>
        <v/>
      </c>
      <c r="AA40" s="23">
        <f>IF(T40="Liability|payable",-N(O40),0)+IF(U40="Liability|payable",N(K40),0)+IF(V40="Liability|payable",N(P40),0)</f>
        <v/>
      </c>
      <c r="AB40" s="23">
        <f>IF(T40="Liability|accrued",-N(O40),0)+IF(U40="Liability|accrued",N(K40),0)+IF(V40="Liability|accrued",N(P40),0)</f>
        <v/>
      </c>
      <c r="AC40" s="23">
        <f>IF(AND(N(O40)&lt;&gt;0,T40=""),1,0)+IF(AND(N(K40)&lt;&gt;0,U40=""),1,0)+IF(AND(N(P40)&lt;&gt;0,V40=""),1,0)</f>
        <v/>
      </c>
    </row>
    <row r="41">
      <c r="A41" s="19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20" t="n"/>
      <c r="K41" s="20" t="n"/>
      <c r="L41" s="14" t="n"/>
      <c r="M41" s="14" t="n"/>
      <c r="N41" s="14" t="n"/>
      <c r="O41" s="21">
        <f>ROUND(N(I41)*N(J41),2)</f>
        <v/>
      </c>
      <c r="P41" s="21">
        <f>O41-N(K41)</f>
        <v/>
      </c>
      <c r="Q41" s="16">
        <f>IF(F41&lt;&gt;"",F41&amp;"",IF(LEFT(E41,6)="Indire",INDEX('Chart of Accounts'!$A$5:$A$3000,MATCH("project_overhead",'Chart of Accounts'!$F$5:$F$3000,0)),IF(LEFT(E41,6)="Admini",INDEX('Chart of Accounts'!$A$5:$A$3000,MATCH("admin_salaries",'Chart of Accounts'!$F$5:$F$3000,0)),INDEX('Chart of Accounts'!$A$5:$A$3000,MATCH("direct_labour",'Chart of Accounts'!$F$5:$F$3000,0)))))</f>
        <v/>
      </c>
      <c r="R41" s="16">
        <f>IF(M41="",INDEX('Chart of Accounts'!$A$5:$A$3000,MATCH("bank",'Chart of Accounts'!$F$5:$F$3000,0)),M41&amp;"")</f>
        <v/>
      </c>
      <c r="S41" s="16">
        <f>IF(N41="",INDEX('Chart of Accounts'!$A$5:$A$3000,MATCH("accrued_payroll",'Chart of Accounts'!$F$5:$F$3000,0)),N41&amp;"")</f>
        <v/>
      </c>
      <c r="T41" s="23">
        <f>IFERROR(INDEX('Chart of Accounts'!$C$5:$C$3000,MATCH(Q41&amp;"",'Chart of Accounts'!$A$5:$A$3000,0))&amp;"|"&amp;INDEX('Chart of Accounts'!$D$5:$D$3000,MATCH(Q41&amp;"",'Chart of Accounts'!$A$5:$A$3000,0)),"")</f>
        <v/>
      </c>
      <c r="U41" s="23">
        <f>IFERROR(INDEX('Chart of Accounts'!$C$5:$C$3000,MATCH(R41&amp;"",'Chart of Accounts'!$A$5:$A$3000,0))&amp;"|"&amp;INDEX('Chart of Accounts'!$D$5:$D$3000,MATCH(R41&amp;"",'Chart of Accounts'!$A$5:$A$3000,0)),"")</f>
        <v/>
      </c>
      <c r="V41" s="23">
        <f>IFERROR(INDEX('Chart of Accounts'!$C$5:$C$3000,MATCH(S41&amp;"",'Chart of Accounts'!$A$5:$A$3000,0))&amp;"|"&amp;INDEX('Chart of Accounts'!$D$5:$D$3000,MATCH(S41&amp;"",'Chart of Accounts'!$A$5:$A$3000,0)),"")</f>
        <v/>
      </c>
      <c r="W41" s="23">
        <f>IF(LEFT(T41,8)="Revenue|",-N(O41),0)+IF(LEFT(U41,8)="Revenue|",N(K41),0)+IF(LEFT(V41,8)="Revenue|",N(P41),0)</f>
        <v/>
      </c>
      <c r="X41" s="23">
        <f>IF(LEFT(T41,5)="COGS|",N(O41),0)+IF(LEFT(U41,5)="COGS|",-N(K41),0)+IF(LEFT(V41,5)="COGS|",-N(P41),0)</f>
        <v/>
      </c>
      <c r="Y41" s="23">
        <f>IF(LEFT(T41,8)="Expense|",N(O41),0)+IF(LEFT(U41,8)="Expense|",-N(K41),0)+IF(LEFT(V41,8)="Expense|",-N(P41),0)</f>
        <v/>
      </c>
      <c r="Z41" s="23">
        <f>IF(ISNUMBER(MATCH(T41,{"Expense|employee","Expense|general_admin","Expense|marketing","Expense|utilities","Expense|other_operating"},0)),N(O41),0)+IF(ISNUMBER(MATCH(U41,{"Expense|employee","Expense|general_admin","Expense|marketing","Expense|utilities","Expense|other_operating"},0)),-N(K41),0)+IF(ISNUMBER(MATCH(V41,{"Expense|employee","Expense|general_admin","Expense|marketing","Expense|utilities","Expense|other_operating"},0)),-N(P41),0)</f>
        <v/>
      </c>
      <c r="AA41" s="23">
        <f>IF(T41="Liability|payable",-N(O41),0)+IF(U41="Liability|payable",N(K41),0)+IF(V41="Liability|payable",N(P41),0)</f>
        <v/>
      </c>
      <c r="AB41" s="23">
        <f>IF(T41="Liability|accrued",-N(O41),0)+IF(U41="Liability|accrued",N(K41),0)+IF(V41="Liability|accrued",N(P41),0)</f>
        <v/>
      </c>
      <c r="AC41" s="23">
        <f>IF(AND(N(O41)&lt;&gt;0,T41=""),1,0)+IF(AND(N(K41)&lt;&gt;0,U41=""),1,0)+IF(AND(N(P41)&lt;&gt;0,V41=""),1,0)</f>
        <v/>
      </c>
    </row>
    <row r="42">
      <c r="A42" s="19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20" t="n"/>
      <c r="K42" s="20" t="n"/>
      <c r="L42" s="14" t="n"/>
      <c r="M42" s="14" t="n"/>
      <c r="N42" s="14" t="n"/>
      <c r="O42" s="21">
        <f>ROUND(N(I42)*N(J42),2)</f>
        <v/>
      </c>
      <c r="P42" s="21">
        <f>O42-N(K42)</f>
        <v/>
      </c>
      <c r="Q42" s="16">
        <f>IF(F42&lt;&gt;"",F42&amp;"",IF(LEFT(E42,6)="Indire",INDEX('Chart of Accounts'!$A$5:$A$3000,MATCH("project_overhead",'Chart of Accounts'!$F$5:$F$3000,0)),IF(LEFT(E42,6)="Admini",INDEX('Chart of Accounts'!$A$5:$A$3000,MATCH("admin_salaries",'Chart of Accounts'!$F$5:$F$3000,0)),INDEX('Chart of Accounts'!$A$5:$A$3000,MATCH("direct_labour",'Chart of Accounts'!$F$5:$F$3000,0)))))</f>
        <v/>
      </c>
      <c r="R42" s="16">
        <f>IF(M42="",INDEX('Chart of Accounts'!$A$5:$A$3000,MATCH("bank",'Chart of Accounts'!$F$5:$F$3000,0)),M42&amp;"")</f>
        <v/>
      </c>
      <c r="S42" s="16">
        <f>IF(N42="",INDEX('Chart of Accounts'!$A$5:$A$3000,MATCH("accrued_payroll",'Chart of Accounts'!$F$5:$F$3000,0)),N42&amp;"")</f>
        <v/>
      </c>
      <c r="T42" s="23">
        <f>IFERROR(INDEX('Chart of Accounts'!$C$5:$C$3000,MATCH(Q42&amp;"",'Chart of Accounts'!$A$5:$A$3000,0))&amp;"|"&amp;INDEX('Chart of Accounts'!$D$5:$D$3000,MATCH(Q42&amp;"",'Chart of Accounts'!$A$5:$A$3000,0)),"")</f>
        <v/>
      </c>
      <c r="U42" s="23">
        <f>IFERROR(INDEX('Chart of Accounts'!$C$5:$C$3000,MATCH(R42&amp;"",'Chart of Accounts'!$A$5:$A$3000,0))&amp;"|"&amp;INDEX('Chart of Accounts'!$D$5:$D$3000,MATCH(R42&amp;"",'Chart of Accounts'!$A$5:$A$3000,0)),"")</f>
        <v/>
      </c>
      <c r="V42" s="23">
        <f>IFERROR(INDEX('Chart of Accounts'!$C$5:$C$3000,MATCH(S42&amp;"",'Chart of Accounts'!$A$5:$A$3000,0))&amp;"|"&amp;INDEX('Chart of Accounts'!$D$5:$D$3000,MATCH(S42&amp;"",'Chart of Accounts'!$A$5:$A$3000,0)),"")</f>
        <v/>
      </c>
      <c r="W42" s="23">
        <f>IF(LEFT(T42,8)="Revenue|",-N(O42),0)+IF(LEFT(U42,8)="Revenue|",N(K42),0)+IF(LEFT(V42,8)="Revenue|",N(P42),0)</f>
        <v/>
      </c>
      <c r="X42" s="23">
        <f>IF(LEFT(T42,5)="COGS|",N(O42),0)+IF(LEFT(U42,5)="COGS|",-N(K42),0)+IF(LEFT(V42,5)="COGS|",-N(P42),0)</f>
        <v/>
      </c>
      <c r="Y42" s="23">
        <f>IF(LEFT(T42,8)="Expense|",N(O42),0)+IF(LEFT(U42,8)="Expense|",-N(K42),0)+IF(LEFT(V42,8)="Expense|",-N(P42),0)</f>
        <v/>
      </c>
      <c r="Z42" s="23">
        <f>IF(ISNUMBER(MATCH(T42,{"Expense|employee","Expense|general_admin","Expense|marketing","Expense|utilities","Expense|other_operating"},0)),N(O42),0)+IF(ISNUMBER(MATCH(U42,{"Expense|employee","Expense|general_admin","Expense|marketing","Expense|utilities","Expense|other_operating"},0)),-N(K42),0)+IF(ISNUMBER(MATCH(V42,{"Expense|employee","Expense|general_admin","Expense|marketing","Expense|utilities","Expense|other_operating"},0)),-N(P42),0)</f>
        <v/>
      </c>
      <c r="AA42" s="23">
        <f>IF(T42="Liability|payable",-N(O42),0)+IF(U42="Liability|payable",N(K42),0)+IF(V42="Liability|payable",N(P42),0)</f>
        <v/>
      </c>
      <c r="AB42" s="23">
        <f>IF(T42="Liability|accrued",-N(O42),0)+IF(U42="Liability|accrued",N(K42),0)+IF(V42="Liability|accrued",N(P42),0)</f>
        <v/>
      </c>
      <c r="AC42" s="23">
        <f>IF(AND(N(O42)&lt;&gt;0,T42=""),1,0)+IF(AND(N(K42)&lt;&gt;0,U42=""),1,0)+IF(AND(N(P42)&lt;&gt;0,V42=""),1,0)</f>
        <v/>
      </c>
    </row>
    <row r="43">
      <c r="A43" s="19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20" t="n"/>
      <c r="K43" s="20" t="n"/>
      <c r="L43" s="14" t="n"/>
      <c r="M43" s="14" t="n"/>
      <c r="N43" s="14" t="n"/>
      <c r="O43" s="21">
        <f>ROUND(N(I43)*N(J43),2)</f>
        <v/>
      </c>
      <c r="P43" s="21">
        <f>O43-N(K43)</f>
        <v/>
      </c>
      <c r="Q43" s="16">
        <f>IF(F43&lt;&gt;"",F43&amp;"",IF(LEFT(E43,6)="Indire",INDEX('Chart of Accounts'!$A$5:$A$3000,MATCH("project_overhead",'Chart of Accounts'!$F$5:$F$3000,0)),IF(LEFT(E43,6)="Admini",INDEX('Chart of Accounts'!$A$5:$A$3000,MATCH("admin_salaries",'Chart of Accounts'!$F$5:$F$3000,0)),INDEX('Chart of Accounts'!$A$5:$A$3000,MATCH("direct_labour",'Chart of Accounts'!$F$5:$F$3000,0)))))</f>
        <v/>
      </c>
      <c r="R43" s="16">
        <f>IF(M43="",INDEX('Chart of Accounts'!$A$5:$A$3000,MATCH("bank",'Chart of Accounts'!$F$5:$F$3000,0)),M43&amp;"")</f>
        <v/>
      </c>
      <c r="S43" s="16">
        <f>IF(N43="",INDEX('Chart of Accounts'!$A$5:$A$3000,MATCH("accrued_payroll",'Chart of Accounts'!$F$5:$F$3000,0)),N43&amp;"")</f>
        <v/>
      </c>
      <c r="T43" s="23">
        <f>IFERROR(INDEX('Chart of Accounts'!$C$5:$C$3000,MATCH(Q43&amp;"",'Chart of Accounts'!$A$5:$A$3000,0))&amp;"|"&amp;INDEX('Chart of Accounts'!$D$5:$D$3000,MATCH(Q43&amp;"",'Chart of Accounts'!$A$5:$A$3000,0)),"")</f>
        <v/>
      </c>
      <c r="U43" s="23">
        <f>IFERROR(INDEX('Chart of Accounts'!$C$5:$C$3000,MATCH(R43&amp;"",'Chart of Accounts'!$A$5:$A$3000,0))&amp;"|"&amp;INDEX('Chart of Accounts'!$D$5:$D$3000,MATCH(R43&amp;"",'Chart of Accounts'!$A$5:$A$3000,0)),"")</f>
        <v/>
      </c>
      <c r="V43" s="23">
        <f>IFERROR(INDEX('Chart of Accounts'!$C$5:$C$3000,MATCH(S43&amp;"",'Chart of Accounts'!$A$5:$A$3000,0))&amp;"|"&amp;INDEX('Chart of Accounts'!$D$5:$D$3000,MATCH(S43&amp;"",'Chart of Accounts'!$A$5:$A$3000,0)),"")</f>
        <v/>
      </c>
      <c r="W43" s="23">
        <f>IF(LEFT(T43,8)="Revenue|",-N(O43),0)+IF(LEFT(U43,8)="Revenue|",N(K43),0)+IF(LEFT(V43,8)="Revenue|",N(P43),0)</f>
        <v/>
      </c>
      <c r="X43" s="23">
        <f>IF(LEFT(T43,5)="COGS|",N(O43),0)+IF(LEFT(U43,5)="COGS|",-N(K43),0)+IF(LEFT(V43,5)="COGS|",-N(P43),0)</f>
        <v/>
      </c>
      <c r="Y43" s="23">
        <f>IF(LEFT(T43,8)="Expense|",N(O43),0)+IF(LEFT(U43,8)="Expense|",-N(K43),0)+IF(LEFT(V43,8)="Expense|",-N(P43),0)</f>
        <v/>
      </c>
      <c r="Z43" s="23">
        <f>IF(ISNUMBER(MATCH(T43,{"Expense|employee","Expense|general_admin","Expense|marketing","Expense|utilities","Expense|other_operating"},0)),N(O43),0)+IF(ISNUMBER(MATCH(U43,{"Expense|employee","Expense|general_admin","Expense|marketing","Expense|utilities","Expense|other_operating"},0)),-N(K43),0)+IF(ISNUMBER(MATCH(V43,{"Expense|employee","Expense|general_admin","Expense|marketing","Expense|utilities","Expense|other_operating"},0)),-N(P43),0)</f>
        <v/>
      </c>
      <c r="AA43" s="23">
        <f>IF(T43="Liability|payable",-N(O43),0)+IF(U43="Liability|payable",N(K43),0)+IF(V43="Liability|payable",N(P43),0)</f>
        <v/>
      </c>
      <c r="AB43" s="23">
        <f>IF(T43="Liability|accrued",-N(O43),0)+IF(U43="Liability|accrued",N(K43),0)+IF(V43="Liability|accrued",N(P43),0)</f>
        <v/>
      </c>
      <c r="AC43" s="23">
        <f>IF(AND(N(O43)&lt;&gt;0,T43=""),1,0)+IF(AND(N(K43)&lt;&gt;0,U43=""),1,0)+IF(AND(N(P43)&lt;&gt;0,V43=""),1,0)</f>
        <v/>
      </c>
    </row>
    <row r="44">
      <c r="A44" s="19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20" t="n"/>
      <c r="K44" s="20" t="n"/>
      <c r="L44" s="14" t="n"/>
      <c r="M44" s="14" t="n"/>
      <c r="N44" s="14" t="n"/>
      <c r="O44" s="21">
        <f>ROUND(N(I44)*N(J44),2)</f>
        <v/>
      </c>
      <c r="P44" s="21">
        <f>O44-N(K44)</f>
        <v/>
      </c>
      <c r="Q44" s="16">
        <f>IF(F44&lt;&gt;"",F44&amp;"",IF(LEFT(E44,6)="Indire",INDEX('Chart of Accounts'!$A$5:$A$3000,MATCH("project_overhead",'Chart of Accounts'!$F$5:$F$3000,0)),IF(LEFT(E44,6)="Admini",INDEX('Chart of Accounts'!$A$5:$A$3000,MATCH("admin_salaries",'Chart of Accounts'!$F$5:$F$3000,0)),INDEX('Chart of Accounts'!$A$5:$A$3000,MATCH("direct_labour",'Chart of Accounts'!$F$5:$F$3000,0)))))</f>
        <v/>
      </c>
      <c r="R44" s="16">
        <f>IF(M44="",INDEX('Chart of Accounts'!$A$5:$A$3000,MATCH("bank",'Chart of Accounts'!$F$5:$F$3000,0)),M44&amp;"")</f>
        <v/>
      </c>
      <c r="S44" s="16">
        <f>IF(N44="",INDEX('Chart of Accounts'!$A$5:$A$3000,MATCH("accrued_payroll",'Chart of Accounts'!$F$5:$F$3000,0)),N44&amp;"")</f>
        <v/>
      </c>
      <c r="T44" s="23">
        <f>IFERROR(INDEX('Chart of Accounts'!$C$5:$C$3000,MATCH(Q44&amp;"",'Chart of Accounts'!$A$5:$A$3000,0))&amp;"|"&amp;INDEX('Chart of Accounts'!$D$5:$D$3000,MATCH(Q44&amp;"",'Chart of Accounts'!$A$5:$A$3000,0)),"")</f>
        <v/>
      </c>
      <c r="U44" s="23">
        <f>IFERROR(INDEX('Chart of Accounts'!$C$5:$C$3000,MATCH(R44&amp;"",'Chart of Accounts'!$A$5:$A$3000,0))&amp;"|"&amp;INDEX('Chart of Accounts'!$D$5:$D$3000,MATCH(R44&amp;"",'Chart of Accounts'!$A$5:$A$3000,0)),"")</f>
        <v/>
      </c>
      <c r="V44" s="23">
        <f>IFERROR(INDEX('Chart of Accounts'!$C$5:$C$3000,MATCH(S44&amp;"",'Chart of Accounts'!$A$5:$A$3000,0))&amp;"|"&amp;INDEX('Chart of Accounts'!$D$5:$D$3000,MATCH(S44&amp;"",'Chart of Accounts'!$A$5:$A$3000,0)),"")</f>
        <v/>
      </c>
      <c r="W44" s="23">
        <f>IF(LEFT(T44,8)="Revenue|",-N(O44),0)+IF(LEFT(U44,8)="Revenue|",N(K44),0)+IF(LEFT(V44,8)="Revenue|",N(P44),0)</f>
        <v/>
      </c>
      <c r="X44" s="23">
        <f>IF(LEFT(T44,5)="COGS|",N(O44),0)+IF(LEFT(U44,5)="COGS|",-N(K44),0)+IF(LEFT(V44,5)="COGS|",-N(P44),0)</f>
        <v/>
      </c>
      <c r="Y44" s="23">
        <f>IF(LEFT(T44,8)="Expense|",N(O44),0)+IF(LEFT(U44,8)="Expense|",-N(K44),0)+IF(LEFT(V44,8)="Expense|",-N(P44),0)</f>
        <v/>
      </c>
      <c r="Z44" s="23">
        <f>IF(ISNUMBER(MATCH(T44,{"Expense|employee","Expense|general_admin","Expense|marketing","Expense|utilities","Expense|other_operating"},0)),N(O44),0)+IF(ISNUMBER(MATCH(U44,{"Expense|employee","Expense|general_admin","Expense|marketing","Expense|utilities","Expense|other_operating"},0)),-N(K44),0)+IF(ISNUMBER(MATCH(V44,{"Expense|employee","Expense|general_admin","Expense|marketing","Expense|utilities","Expense|other_operating"},0)),-N(P44),0)</f>
        <v/>
      </c>
      <c r="AA44" s="23">
        <f>IF(T44="Liability|payable",-N(O44),0)+IF(U44="Liability|payable",N(K44),0)+IF(V44="Liability|payable",N(P44),0)</f>
        <v/>
      </c>
      <c r="AB44" s="23">
        <f>IF(T44="Liability|accrued",-N(O44),0)+IF(U44="Liability|accrued",N(K44),0)+IF(V44="Liability|accrued",N(P44),0)</f>
        <v/>
      </c>
      <c r="AC44" s="23">
        <f>IF(AND(N(O44)&lt;&gt;0,T44=""),1,0)+IF(AND(N(K44)&lt;&gt;0,U44=""),1,0)+IF(AND(N(P44)&lt;&gt;0,V44=""),1,0)</f>
        <v/>
      </c>
    </row>
    <row r="45">
      <c r="A45" s="19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20" t="n"/>
      <c r="K45" s="20" t="n"/>
      <c r="L45" s="14" t="n"/>
      <c r="M45" s="14" t="n"/>
      <c r="N45" s="14" t="n"/>
      <c r="O45" s="21">
        <f>ROUND(N(I45)*N(J45),2)</f>
        <v/>
      </c>
      <c r="P45" s="21">
        <f>O45-N(K45)</f>
        <v/>
      </c>
      <c r="Q45" s="16">
        <f>IF(F45&lt;&gt;"",F45&amp;"",IF(LEFT(E45,6)="Indire",INDEX('Chart of Accounts'!$A$5:$A$3000,MATCH("project_overhead",'Chart of Accounts'!$F$5:$F$3000,0)),IF(LEFT(E45,6)="Admini",INDEX('Chart of Accounts'!$A$5:$A$3000,MATCH("admin_salaries",'Chart of Accounts'!$F$5:$F$3000,0)),INDEX('Chart of Accounts'!$A$5:$A$3000,MATCH("direct_labour",'Chart of Accounts'!$F$5:$F$3000,0)))))</f>
        <v/>
      </c>
      <c r="R45" s="16">
        <f>IF(M45="",INDEX('Chart of Accounts'!$A$5:$A$3000,MATCH("bank",'Chart of Accounts'!$F$5:$F$3000,0)),M45&amp;"")</f>
        <v/>
      </c>
      <c r="S45" s="16">
        <f>IF(N45="",INDEX('Chart of Accounts'!$A$5:$A$3000,MATCH("accrued_payroll",'Chart of Accounts'!$F$5:$F$3000,0)),N45&amp;"")</f>
        <v/>
      </c>
      <c r="T45" s="23">
        <f>IFERROR(INDEX('Chart of Accounts'!$C$5:$C$3000,MATCH(Q45&amp;"",'Chart of Accounts'!$A$5:$A$3000,0))&amp;"|"&amp;INDEX('Chart of Accounts'!$D$5:$D$3000,MATCH(Q45&amp;"",'Chart of Accounts'!$A$5:$A$3000,0)),"")</f>
        <v/>
      </c>
      <c r="U45" s="23">
        <f>IFERROR(INDEX('Chart of Accounts'!$C$5:$C$3000,MATCH(R45&amp;"",'Chart of Accounts'!$A$5:$A$3000,0))&amp;"|"&amp;INDEX('Chart of Accounts'!$D$5:$D$3000,MATCH(R45&amp;"",'Chart of Accounts'!$A$5:$A$3000,0)),"")</f>
        <v/>
      </c>
      <c r="V45" s="23">
        <f>IFERROR(INDEX('Chart of Accounts'!$C$5:$C$3000,MATCH(S45&amp;"",'Chart of Accounts'!$A$5:$A$3000,0))&amp;"|"&amp;INDEX('Chart of Accounts'!$D$5:$D$3000,MATCH(S45&amp;"",'Chart of Accounts'!$A$5:$A$3000,0)),"")</f>
        <v/>
      </c>
      <c r="W45" s="23">
        <f>IF(LEFT(T45,8)="Revenue|",-N(O45),0)+IF(LEFT(U45,8)="Revenue|",N(K45),0)+IF(LEFT(V45,8)="Revenue|",N(P45),0)</f>
        <v/>
      </c>
      <c r="X45" s="23">
        <f>IF(LEFT(T45,5)="COGS|",N(O45),0)+IF(LEFT(U45,5)="COGS|",-N(K45),0)+IF(LEFT(V45,5)="COGS|",-N(P45),0)</f>
        <v/>
      </c>
      <c r="Y45" s="23">
        <f>IF(LEFT(T45,8)="Expense|",N(O45),0)+IF(LEFT(U45,8)="Expense|",-N(K45),0)+IF(LEFT(V45,8)="Expense|",-N(P45),0)</f>
        <v/>
      </c>
      <c r="Z45" s="23">
        <f>IF(ISNUMBER(MATCH(T45,{"Expense|employee","Expense|general_admin","Expense|marketing","Expense|utilities","Expense|other_operating"},0)),N(O45),0)+IF(ISNUMBER(MATCH(U45,{"Expense|employee","Expense|general_admin","Expense|marketing","Expense|utilities","Expense|other_operating"},0)),-N(K45),0)+IF(ISNUMBER(MATCH(V45,{"Expense|employee","Expense|general_admin","Expense|marketing","Expense|utilities","Expense|other_operating"},0)),-N(P45),0)</f>
        <v/>
      </c>
      <c r="AA45" s="23">
        <f>IF(T45="Liability|payable",-N(O45),0)+IF(U45="Liability|payable",N(K45),0)+IF(V45="Liability|payable",N(P45),0)</f>
        <v/>
      </c>
      <c r="AB45" s="23">
        <f>IF(T45="Liability|accrued",-N(O45),0)+IF(U45="Liability|accrued",N(K45),0)+IF(V45="Liability|accrued",N(P45),0)</f>
        <v/>
      </c>
      <c r="AC45" s="23">
        <f>IF(AND(N(O45)&lt;&gt;0,T45=""),1,0)+IF(AND(N(K45)&lt;&gt;0,U45=""),1,0)+IF(AND(N(P45)&lt;&gt;0,V45=""),1,0)</f>
        <v/>
      </c>
    </row>
    <row r="46">
      <c r="A46" s="19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20" t="n"/>
      <c r="K46" s="20" t="n"/>
      <c r="L46" s="14" t="n"/>
      <c r="M46" s="14" t="n"/>
      <c r="N46" s="14" t="n"/>
      <c r="O46" s="21">
        <f>ROUND(N(I46)*N(J46),2)</f>
        <v/>
      </c>
      <c r="P46" s="21">
        <f>O46-N(K46)</f>
        <v/>
      </c>
      <c r="Q46" s="16">
        <f>IF(F46&lt;&gt;"",F46&amp;"",IF(LEFT(E46,6)="Indire",INDEX('Chart of Accounts'!$A$5:$A$3000,MATCH("project_overhead",'Chart of Accounts'!$F$5:$F$3000,0)),IF(LEFT(E46,6)="Admini",INDEX('Chart of Accounts'!$A$5:$A$3000,MATCH("admin_salaries",'Chart of Accounts'!$F$5:$F$3000,0)),INDEX('Chart of Accounts'!$A$5:$A$3000,MATCH("direct_labour",'Chart of Accounts'!$F$5:$F$3000,0)))))</f>
        <v/>
      </c>
      <c r="R46" s="16">
        <f>IF(M46="",INDEX('Chart of Accounts'!$A$5:$A$3000,MATCH("bank",'Chart of Accounts'!$F$5:$F$3000,0)),M46&amp;"")</f>
        <v/>
      </c>
      <c r="S46" s="16">
        <f>IF(N46="",INDEX('Chart of Accounts'!$A$5:$A$3000,MATCH("accrued_payroll",'Chart of Accounts'!$F$5:$F$3000,0)),N46&amp;"")</f>
        <v/>
      </c>
      <c r="T46" s="23">
        <f>IFERROR(INDEX('Chart of Accounts'!$C$5:$C$3000,MATCH(Q46&amp;"",'Chart of Accounts'!$A$5:$A$3000,0))&amp;"|"&amp;INDEX('Chart of Accounts'!$D$5:$D$3000,MATCH(Q46&amp;"",'Chart of Accounts'!$A$5:$A$3000,0)),"")</f>
        <v/>
      </c>
      <c r="U46" s="23">
        <f>IFERROR(INDEX('Chart of Accounts'!$C$5:$C$3000,MATCH(R46&amp;"",'Chart of Accounts'!$A$5:$A$3000,0))&amp;"|"&amp;INDEX('Chart of Accounts'!$D$5:$D$3000,MATCH(R46&amp;"",'Chart of Accounts'!$A$5:$A$3000,0)),"")</f>
        <v/>
      </c>
      <c r="V46" s="23">
        <f>IFERROR(INDEX('Chart of Accounts'!$C$5:$C$3000,MATCH(S46&amp;"",'Chart of Accounts'!$A$5:$A$3000,0))&amp;"|"&amp;INDEX('Chart of Accounts'!$D$5:$D$3000,MATCH(S46&amp;"",'Chart of Accounts'!$A$5:$A$3000,0)),"")</f>
        <v/>
      </c>
      <c r="W46" s="23">
        <f>IF(LEFT(T46,8)="Revenue|",-N(O46),0)+IF(LEFT(U46,8)="Revenue|",N(K46),0)+IF(LEFT(V46,8)="Revenue|",N(P46),0)</f>
        <v/>
      </c>
      <c r="X46" s="23">
        <f>IF(LEFT(T46,5)="COGS|",N(O46),0)+IF(LEFT(U46,5)="COGS|",-N(K46),0)+IF(LEFT(V46,5)="COGS|",-N(P46),0)</f>
        <v/>
      </c>
      <c r="Y46" s="23">
        <f>IF(LEFT(T46,8)="Expense|",N(O46),0)+IF(LEFT(U46,8)="Expense|",-N(K46),0)+IF(LEFT(V46,8)="Expense|",-N(P46),0)</f>
        <v/>
      </c>
      <c r="Z46" s="23">
        <f>IF(ISNUMBER(MATCH(T46,{"Expense|employee","Expense|general_admin","Expense|marketing","Expense|utilities","Expense|other_operating"},0)),N(O46),0)+IF(ISNUMBER(MATCH(U46,{"Expense|employee","Expense|general_admin","Expense|marketing","Expense|utilities","Expense|other_operating"},0)),-N(K46),0)+IF(ISNUMBER(MATCH(V46,{"Expense|employee","Expense|general_admin","Expense|marketing","Expense|utilities","Expense|other_operating"},0)),-N(P46),0)</f>
        <v/>
      </c>
      <c r="AA46" s="23">
        <f>IF(T46="Liability|payable",-N(O46),0)+IF(U46="Liability|payable",N(K46),0)+IF(V46="Liability|payable",N(P46),0)</f>
        <v/>
      </c>
      <c r="AB46" s="23">
        <f>IF(T46="Liability|accrued",-N(O46),0)+IF(U46="Liability|accrued",N(K46),0)+IF(V46="Liability|accrued",N(P46),0)</f>
        <v/>
      </c>
      <c r="AC46" s="23">
        <f>IF(AND(N(O46)&lt;&gt;0,T46=""),1,0)+IF(AND(N(K46)&lt;&gt;0,U46=""),1,0)+IF(AND(N(P46)&lt;&gt;0,V46=""),1,0)</f>
        <v/>
      </c>
    </row>
    <row r="47">
      <c r="A47" s="19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20" t="n"/>
      <c r="K47" s="20" t="n"/>
      <c r="L47" s="14" t="n"/>
      <c r="M47" s="14" t="n"/>
      <c r="N47" s="14" t="n"/>
      <c r="O47" s="21">
        <f>ROUND(N(I47)*N(J47),2)</f>
        <v/>
      </c>
      <c r="P47" s="21">
        <f>O47-N(K47)</f>
        <v/>
      </c>
      <c r="Q47" s="16">
        <f>IF(F47&lt;&gt;"",F47&amp;"",IF(LEFT(E47,6)="Indire",INDEX('Chart of Accounts'!$A$5:$A$3000,MATCH("project_overhead",'Chart of Accounts'!$F$5:$F$3000,0)),IF(LEFT(E47,6)="Admini",INDEX('Chart of Accounts'!$A$5:$A$3000,MATCH("admin_salaries",'Chart of Accounts'!$F$5:$F$3000,0)),INDEX('Chart of Accounts'!$A$5:$A$3000,MATCH("direct_labour",'Chart of Accounts'!$F$5:$F$3000,0)))))</f>
        <v/>
      </c>
      <c r="R47" s="16">
        <f>IF(M47="",INDEX('Chart of Accounts'!$A$5:$A$3000,MATCH("bank",'Chart of Accounts'!$F$5:$F$3000,0)),M47&amp;"")</f>
        <v/>
      </c>
      <c r="S47" s="16">
        <f>IF(N47="",INDEX('Chart of Accounts'!$A$5:$A$3000,MATCH("accrued_payroll",'Chart of Accounts'!$F$5:$F$3000,0)),N47&amp;"")</f>
        <v/>
      </c>
      <c r="T47" s="23">
        <f>IFERROR(INDEX('Chart of Accounts'!$C$5:$C$3000,MATCH(Q47&amp;"",'Chart of Accounts'!$A$5:$A$3000,0))&amp;"|"&amp;INDEX('Chart of Accounts'!$D$5:$D$3000,MATCH(Q47&amp;"",'Chart of Accounts'!$A$5:$A$3000,0)),"")</f>
        <v/>
      </c>
      <c r="U47" s="23">
        <f>IFERROR(INDEX('Chart of Accounts'!$C$5:$C$3000,MATCH(R47&amp;"",'Chart of Accounts'!$A$5:$A$3000,0))&amp;"|"&amp;INDEX('Chart of Accounts'!$D$5:$D$3000,MATCH(R47&amp;"",'Chart of Accounts'!$A$5:$A$3000,0)),"")</f>
        <v/>
      </c>
      <c r="V47" s="23">
        <f>IFERROR(INDEX('Chart of Accounts'!$C$5:$C$3000,MATCH(S47&amp;"",'Chart of Accounts'!$A$5:$A$3000,0))&amp;"|"&amp;INDEX('Chart of Accounts'!$D$5:$D$3000,MATCH(S47&amp;"",'Chart of Accounts'!$A$5:$A$3000,0)),"")</f>
        <v/>
      </c>
      <c r="W47" s="23">
        <f>IF(LEFT(T47,8)="Revenue|",-N(O47),0)+IF(LEFT(U47,8)="Revenue|",N(K47),0)+IF(LEFT(V47,8)="Revenue|",N(P47),0)</f>
        <v/>
      </c>
      <c r="X47" s="23">
        <f>IF(LEFT(T47,5)="COGS|",N(O47),0)+IF(LEFT(U47,5)="COGS|",-N(K47),0)+IF(LEFT(V47,5)="COGS|",-N(P47),0)</f>
        <v/>
      </c>
      <c r="Y47" s="23">
        <f>IF(LEFT(T47,8)="Expense|",N(O47),0)+IF(LEFT(U47,8)="Expense|",-N(K47),0)+IF(LEFT(V47,8)="Expense|",-N(P47),0)</f>
        <v/>
      </c>
      <c r="Z47" s="23">
        <f>IF(ISNUMBER(MATCH(T47,{"Expense|employee","Expense|general_admin","Expense|marketing","Expense|utilities","Expense|other_operating"},0)),N(O47),0)+IF(ISNUMBER(MATCH(U47,{"Expense|employee","Expense|general_admin","Expense|marketing","Expense|utilities","Expense|other_operating"},0)),-N(K47),0)+IF(ISNUMBER(MATCH(V47,{"Expense|employee","Expense|general_admin","Expense|marketing","Expense|utilities","Expense|other_operating"},0)),-N(P47),0)</f>
        <v/>
      </c>
      <c r="AA47" s="23">
        <f>IF(T47="Liability|payable",-N(O47),0)+IF(U47="Liability|payable",N(K47),0)+IF(V47="Liability|payable",N(P47),0)</f>
        <v/>
      </c>
      <c r="AB47" s="23">
        <f>IF(T47="Liability|accrued",-N(O47),0)+IF(U47="Liability|accrued",N(K47),0)+IF(V47="Liability|accrued",N(P47),0)</f>
        <v/>
      </c>
      <c r="AC47" s="23">
        <f>IF(AND(N(O47)&lt;&gt;0,T47=""),1,0)+IF(AND(N(K47)&lt;&gt;0,U47=""),1,0)+IF(AND(N(P47)&lt;&gt;0,V47=""),1,0)</f>
        <v/>
      </c>
    </row>
    <row r="48">
      <c r="A48" s="19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20" t="n"/>
      <c r="K48" s="20" t="n"/>
      <c r="L48" s="14" t="n"/>
      <c r="M48" s="14" t="n"/>
      <c r="N48" s="14" t="n"/>
      <c r="O48" s="21">
        <f>ROUND(N(I48)*N(J48),2)</f>
        <v/>
      </c>
      <c r="P48" s="21">
        <f>O48-N(K48)</f>
        <v/>
      </c>
      <c r="Q48" s="16">
        <f>IF(F48&lt;&gt;"",F48&amp;"",IF(LEFT(E48,6)="Indire",INDEX('Chart of Accounts'!$A$5:$A$3000,MATCH("project_overhead",'Chart of Accounts'!$F$5:$F$3000,0)),IF(LEFT(E48,6)="Admini",INDEX('Chart of Accounts'!$A$5:$A$3000,MATCH("admin_salaries",'Chart of Accounts'!$F$5:$F$3000,0)),INDEX('Chart of Accounts'!$A$5:$A$3000,MATCH("direct_labour",'Chart of Accounts'!$F$5:$F$3000,0)))))</f>
        <v/>
      </c>
      <c r="R48" s="16">
        <f>IF(M48="",INDEX('Chart of Accounts'!$A$5:$A$3000,MATCH("bank",'Chart of Accounts'!$F$5:$F$3000,0)),M48&amp;"")</f>
        <v/>
      </c>
      <c r="S48" s="16">
        <f>IF(N48="",INDEX('Chart of Accounts'!$A$5:$A$3000,MATCH("accrued_payroll",'Chart of Accounts'!$F$5:$F$3000,0)),N48&amp;"")</f>
        <v/>
      </c>
      <c r="T48" s="23">
        <f>IFERROR(INDEX('Chart of Accounts'!$C$5:$C$3000,MATCH(Q48&amp;"",'Chart of Accounts'!$A$5:$A$3000,0))&amp;"|"&amp;INDEX('Chart of Accounts'!$D$5:$D$3000,MATCH(Q48&amp;"",'Chart of Accounts'!$A$5:$A$3000,0)),"")</f>
        <v/>
      </c>
      <c r="U48" s="23">
        <f>IFERROR(INDEX('Chart of Accounts'!$C$5:$C$3000,MATCH(R48&amp;"",'Chart of Accounts'!$A$5:$A$3000,0))&amp;"|"&amp;INDEX('Chart of Accounts'!$D$5:$D$3000,MATCH(R48&amp;"",'Chart of Accounts'!$A$5:$A$3000,0)),"")</f>
        <v/>
      </c>
      <c r="V48" s="23">
        <f>IFERROR(INDEX('Chart of Accounts'!$C$5:$C$3000,MATCH(S48&amp;"",'Chart of Accounts'!$A$5:$A$3000,0))&amp;"|"&amp;INDEX('Chart of Accounts'!$D$5:$D$3000,MATCH(S48&amp;"",'Chart of Accounts'!$A$5:$A$3000,0)),"")</f>
        <v/>
      </c>
      <c r="W48" s="23">
        <f>IF(LEFT(T48,8)="Revenue|",-N(O48),0)+IF(LEFT(U48,8)="Revenue|",N(K48),0)+IF(LEFT(V48,8)="Revenue|",N(P48),0)</f>
        <v/>
      </c>
      <c r="X48" s="23">
        <f>IF(LEFT(T48,5)="COGS|",N(O48),0)+IF(LEFT(U48,5)="COGS|",-N(K48),0)+IF(LEFT(V48,5)="COGS|",-N(P48),0)</f>
        <v/>
      </c>
      <c r="Y48" s="23">
        <f>IF(LEFT(T48,8)="Expense|",N(O48),0)+IF(LEFT(U48,8)="Expense|",-N(K48),0)+IF(LEFT(V48,8)="Expense|",-N(P48),0)</f>
        <v/>
      </c>
      <c r="Z48" s="23">
        <f>IF(ISNUMBER(MATCH(T48,{"Expense|employee","Expense|general_admin","Expense|marketing","Expense|utilities","Expense|other_operating"},0)),N(O48),0)+IF(ISNUMBER(MATCH(U48,{"Expense|employee","Expense|general_admin","Expense|marketing","Expense|utilities","Expense|other_operating"},0)),-N(K48),0)+IF(ISNUMBER(MATCH(V48,{"Expense|employee","Expense|general_admin","Expense|marketing","Expense|utilities","Expense|other_operating"},0)),-N(P48),0)</f>
        <v/>
      </c>
      <c r="AA48" s="23">
        <f>IF(T48="Liability|payable",-N(O48),0)+IF(U48="Liability|payable",N(K48),0)+IF(V48="Liability|payable",N(P48),0)</f>
        <v/>
      </c>
      <c r="AB48" s="23">
        <f>IF(T48="Liability|accrued",-N(O48),0)+IF(U48="Liability|accrued",N(K48),0)+IF(V48="Liability|accrued",N(P48),0)</f>
        <v/>
      </c>
      <c r="AC48" s="23">
        <f>IF(AND(N(O48)&lt;&gt;0,T48=""),1,0)+IF(AND(N(K48)&lt;&gt;0,U48=""),1,0)+IF(AND(N(P48)&lt;&gt;0,V48=""),1,0)</f>
        <v/>
      </c>
    </row>
    <row r="49">
      <c r="A49" s="19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20" t="n"/>
      <c r="K49" s="20" t="n"/>
      <c r="L49" s="14" t="n"/>
      <c r="M49" s="14" t="n"/>
      <c r="N49" s="14" t="n"/>
      <c r="O49" s="21">
        <f>ROUND(N(I49)*N(J49),2)</f>
        <v/>
      </c>
      <c r="P49" s="21">
        <f>O49-N(K49)</f>
        <v/>
      </c>
      <c r="Q49" s="16">
        <f>IF(F49&lt;&gt;"",F49&amp;"",IF(LEFT(E49,6)="Indire",INDEX('Chart of Accounts'!$A$5:$A$3000,MATCH("project_overhead",'Chart of Accounts'!$F$5:$F$3000,0)),IF(LEFT(E49,6)="Admini",INDEX('Chart of Accounts'!$A$5:$A$3000,MATCH("admin_salaries",'Chart of Accounts'!$F$5:$F$3000,0)),INDEX('Chart of Accounts'!$A$5:$A$3000,MATCH("direct_labour",'Chart of Accounts'!$F$5:$F$3000,0)))))</f>
        <v/>
      </c>
      <c r="R49" s="16">
        <f>IF(M49="",INDEX('Chart of Accounts'!$A$5:$A$3000,MATCH("bank",'Chart of Accounts'!$F$5:$F$3000,0)),M49&amp;"")</f>
        <v/>
      </c>
      <c r="S49" s="16">
        <f>IF(N49="",INDEX('Chart of Accounts'!$A$5:$A$3000,MATCH("accrued_payroll",'Chart of Accounts'!$F$5:$F$3000,0)),N49&amp;"")</f>
        <v/>
      </c>
      <c r="T49" s="23">
        <f>IFERROR(INDEX('Chart of Accounts'!$C$5:$C$3000,MATCH(Q49&amp;"",'Chart of Accounts'!$A$5:$A$3000,0))&amp;"|"&amp;INDEX('Chart of Accounts'!$D$5:$D$3000,MATCH(Q49&amp;"",'Chart of Accounts'!$A$5:$A$3000,0)),"")</f>
        <v/>
      </c>
      <c r="U49" s="23">
        <f>IFERROR(INDEX('Chart of Accounts'!$C$5:$C$3000,MATCH(R49&amp;"",'Chart of Accounts'!$A$5:$A$3000,0))&amp;"|"&amp;INDEX('Chart of Accounts'!$D$5:$D$3000,MATCH(R49&amp;"",'Chart of Accounts'!$A$5:$A$3000,0)),"")</f>
        <v/>
      </c>
      <c r="V49" s="23">
        <f>IFERROR(INDEX('Chart of Accounts'!$C$5:$C$3000,MATCH(S49&amp;"",'Chart of Accounts'!$A$5:$A$3000,0))&amp;"|"&amp;INDEX('Chart of Accounts'!$D$5:$D$3000,MATCH(S49&amp;"",'Chart of Accounts'!$A$5:$A$3000,0)),"")</f>
        <v/>
      </c>
      <c r="W49" s="23">
        <f>IF(LEFT(T49,8)="Revenue|",-N(O49),0)+IF(LEFT(U49,8)="Revenue|",N(K49),0)+IF(LEFT(V49,8)="Revenue|",N(P49),0)</f>
        <v/>
      </c>
      <c r="X49" s="23">
        <f>IF(LEFT(T49,5)="COGS|",N(O49),0)+IF(LEFT(U49,5)="COGS|",-N(K49),0)+IF(LEFT(V49,5)="COGS|",-N(P49),0)</f>
        <v/>
      </c>
      <c r="Y49" s="23">
        <f>IF(LEFT(T49,8)="Expense|",N(O49),0)+IF(LEFT(U49,8)="Expense|",-N(K49),0)+IF(LEFT(V49,8)="Expense|",-N(P49),0)</f>
        <v/>
      </c>
      <c r="Z49" s="23">
        <f>IF(ISNUMBER(MATCH(T49,{"Expense|employee","Expense|general_admin","Expense|marketing","Expense|utilities","Expense|other_operating"},0)),N(O49),0)+IF(ISNUMBER(MATCH(U49,{"Expense|employee","Expense|general_admin","Expense|marketing","Expense|utilities","Expense|other_operating"},0)),-N(K49),0)+IF(ISNUMBER(MATCH(V49,{"Expense|employee","Expense|general_admin","Expense|marketing","Expense|utilities","Expense|other_operating"},0)),-N(P49),0)</f>
        <v/>
      </c>
      <c r="AA49" s="23">
        <f>IF(T49="Liability|payable",-N(O49),0)+IF(U49="Liability|payable",N(K49),0)+IF(V49="Liability|payable",N(P49),0)</f>
        <v/>
      </c>
      <c r="AB49" s="23">
        <f>IF(T49="Liability|accrued",-N(O49),0)+IF(U49="Liability|accrued",N(K49),0)+IF(V49="Liability|accrued",N(P49),0)</f>
        <v/>
      </c>
      <c r="AC49" s="23">
        <f>IF(AND(N(O49)&lt;&gt;0,T49=""),1,0)+IF(AND(N(K49)&lt;&gt;0,U49=""),1,0)+IF(AND(N(P49)&lt;&gt;0,V49=""),1,0)</f>
        <v/>
      </c>
    </row>
    <row r="50">
      <c r="A50" s="19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20" t="n"/>
      <c r="K50" s="20" t="n"/>
      <c r="L50" s="14" t="n"/>
      <c r="M50" s="14" t="n"/>
      <c r="N50" s="14" t="n"/>
      <c r="O50" s="21">
        <f>ROUND(N(I50)*N(J50),2)</f>
        <v/>
      </c>
      <c r="P50" s="21">
        <f>O50-N(K50)</f>
        <v/>
      </c>
      <c r="Q50" s="16">
        <f>IF(F50&lt;&gt;"",F50&amp;"",IF(LEFT(E50,6)="Indire",INDEX('Chart of Accounts'!$A$5:$A$3000,MATCH("project_overhead",'Chart of Accounts'!$F$5:$F$3000,0)),IF(LEFT(E50,6)="Admini",INDEX('Chart of Accounts'!$A$5:$A$3000,MATCH("admin_salaries",'Chart of Accounts'!$F$5:$F$3000,0)),INDEX('Chart of Accounts'!$A$5:$A$3000,MATCH("direct_labour",'Chart of Accounts'!$F$5:$F$3000,0)))))</f>
        <v/>
      </c>
      <c r="R50" s="16">
        <f>IF(M50="",INDEX('Chart of Accounts'!$A$5:$A$3000,MATCH("bank",'Chart of Accounts'!$F$5:$F$3000,0)),M50&amp;"")</f>
        <v/>
      </c>
      <c r="S50" s="16">
        <f>IF(N50="",INDEX('Chart of Accounts'!$A$5:$A$3000,MATCH("accrued_payroll",'Chart of Accounts'!$F$5:$F$3000,0)),N50&amp;"")</f>
        <v/>
      </c>
      <c r="T50" s="23">
        <f>IFERROR(INDEX('Chart of Accounts'!$C$5:$C$3000,MATCH(Q50&amp;"",'Chart of Accounts'!$A$5:$A$3000,0))&amp;"|"&amp;INDEX('Chart of Accounts'!$D$5:$D$3000,MATCH(Q50&amp;"",'Chart of Accounts'!$A$5:$A$3000,0)),"")</f>
        <v/>
      </c>
      <c r="U50" s="23">
        <f>IFERROR(INDEX('Chart of Accounts'!$C$5:$C$3000,MATCH(R50&amp;"",'Chart of Accounts'!$A$5:$A$3000,0))&amp;"|"&amp;INDEX('Chart of Accounts'!$D$5:$D$3000,MATCH(R50&amp;"",'Chart of Accounts'!$A$5:$A$3000,0)),"")</f>
        <v/>
      </c>
      <c r="V50" s="23">
        <f>IFERROR(INDEX('Chart of Accounts'!$C$5:$C$3000,MATCH(S50&amp;"",'Chart of Accounts'!$A$5:$A$3000,0))&amp;"|"&amp;INDEX('Chart of Accounts'!$D$5:$D$3000,MATCH(S50&amp;"",'Chart of Accounts'!$A$5:$A$3000,0)),"")</f>
        <v/>
      </c>
      <c r="W50" s="23">
        <f>IF(LEFT(T50,8)="Revenue|",-N(O50),0)+IF(LEFT(U50,8)="Revenue|",N(K50),0)+IF(LEFT(V50,8)="Revenue|",N(P50),0)</f>
        <v/>
      </c>
      <c r="X50" s="23">
        <f>IF(LEFT(T50,5)="COGS|",N(O50),0)+IF(LEFT(U50,5)="COGS|",-N(K50),0)+IF(LEFT(V50,5)="COGS|",-N(P50),0)</f>
        <v/>
      </c>
      <c r="Y50" s="23">
        <f>IF(LEFT(T50,8)="Expense|",N(O50),0)+IF(LEFT(U50,8)="Expense|",-N(K50),0)+IF(LEFT(V50,8)="Expense|",-N(P50),0)</f>
        <v/>
      </c>
      <c r="Z50" s="23">
        <f>IF(ISNUMBER(MATCH(T50,{"Expense|employee","Expense|general_admin","Expense|marketing","Expense|utilities","Expense|other_operating"},0)),N(O50),0)+IF(ISNUMBER(MATCH(U50,{"Expense|employee","Expense|general_admin","Expense|marketing","Expense|utilities","Expense|other_operating"},0)),-N(K50),0)+IF(ISNUMBER(MATCH(V50,{"Expense|employee","Expense|general_admin","Expense|marketing","Expense|utilities","Expense|other_operating"},0)),-N(P50),0)</f>
        <v/>
      </c>
      <c r="AA50" s="23">
        <f>IF(T50="Liability|payable",-N(O50),0)+IF(U50="Liability|payable",N(K50),0)+IF(V50="Liability|payable",N(P50),0)</f>
        <v/>
      </c>
      <c r="AB50" s="23">
        <f>IF(T50="Liability|accrued",-N(O50),0)+IF(U50="Liability|accrued",N(K50),0)+IF(V50="Liability|accrued",N(P50),0)</f>
        <v/>
      </c>
      <c r="AC50" s="23">
        <f>IF(AND(N(O50)&lt;&gt;0,T50=""),1,0)+IF(AND(N(K50)&lt;&gt;0,U50=""),1,0)+IF(AND(N(P50)&lt;&gt;0,V50=""),1,0)</f>
        <v/>
      </c>
    </row>
    <row r="51">
      <c r="A51" s="19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20" t="n"/>
      <c r="K51" s="20" t="n"/>
      <c r="L51" s="14" t="n"/>
      <c r="M51" s="14" t="n"/>
      <c r="N51" s="14" t="n"/>
      <c r="O51" s="21">
        <f>ROUND(N(I51)*N(J51),2)</f>
        <v/>
      </c>
      <c r="P51" s="21">
        <f>O51-N(K51)</f>
        <v/>
      </c>
      <c r="Q51" s="16">
        <f>IF(F51&lt;&gt;"",F51&amp;"",IF(LEFT(E51,6)="Indire",INDEX('Chart of Accounts'!$A$5:$A$3000,MATCH("project_overhead",'Chart of Accounts'!$F$5:$F$3000,0)),IF(LEFT(E51,6)="Admini",INDEX('Chart of Accounts'!$A$5:$A$3000,MATCH("admin_salaries",'Chart of Accounts'!$F$5:$F$3000,0)),INDEX('Chart of Accounts'!$A$5:$A$3000,MATCH("direct_labour",'Chart of Accounts'!$F$5:$F$3000,0)))))</f>
        <v/>
      </c>
      <c r="R51" s="16">
        <f>IF(M51="",INDEX('Chart of Accounts'!$A$5:$A$3000,MATCH("bank",'Chart of Accounts'!$F$5:$F$3000,0)),M51&amp;"")</f>
        <v/>
      </c>
      <c r="S51" s="16">
        <f>IF(N51="",INDEX('Chart of Accounts'!$A$5:$A$3000,MATCH("accrued_payroll",'Chart of Accounts'!$F$5:$F$3000,0)),N51&amp;"")</f>
        <v/>
      </c>
      <c r="T51" s="23">
        <f>IFERROR(INDEX('Chart of Accounts'!$C$5:$C$3000,MATCH(Q51&amp;"",'Chart of Accounts'!$A$5:$A$3000,0))&amp;"|"&amp;INDEX('Chart of Accounts'!$D$5:$D$3000,MATCH(Q51&amp;"",'Chart of Accounts'!$A$5:$A$3000,0)),"")</f>
        <v/>
      </c>
      <c r="U51" s="23">
        <f>IFERROR(INDEX('Chart of Accounts'!$C$5:$C$3000,MATCH(R51&amp;"",'Chart of Accounts'!$A$5:$A$3000,0))&amp;"|"&amp;INDEX('Chart of Accounts'!$D$5:$D$3000,MATCH(R51&amp;"",'Chart of Accounts'!$A$5:$A$3000,0)),"")</f>
        <v/>
      </c>
      <c r="V51" s="23">
        <f>IFERROR(INDEX('Chart of Accounts'!$C$5:$C$3000,MATCH(S51&amp;"",'Chart of Accounts'!$A$5:$A$3000,0))&amp;"|"&amp;INDEX('Chart of Accounts'!$D$5:$D$3000,MATCH(S51&amp;"",'Chart of Accounts'!$A$5:$A$3000,0)),"")</f>
        <v/>
      </c>
      <c r="W51" s="23">
        <f>IF(LEFT(T51,8)="Revenue|",-N(O51),0)+IF(LEFT(U51,8)="Revenue|",N(K51),0)+IF(LEFT(V51,8)="Revenue|",N(P51),0)</f>
        <v/>
      </c>
      <c r="X51" s="23">
        <f>IF(LEFT(T51,5)="COGS|",N(O51),0)+IF(LEFT(U51,5)="COGS|",-N(K51),0)+IF(LEFT(V51,5)="COGS|",-N(P51),0)</f>
        <v/>
      </c>
      <c r="Y51" s="23">
        <f>IF(LEFT(T51,8)="Expense|",N(O51),0)+IF(LEFT(U51,8)="Expense|",-N(K51),0)+IF(LEFT(V51,8)="Expense|",-N(P51),0)</f>
        <v/>
      </c>
      <c r="Z51" s="23">
        <f>IF(ISNUMBER(MATCH(T51,{"Expense|employee","Expense|general_admin","Expense|marketing","Expense|utilities","Expense|other_operating"},0)),N(O51),0)+IF(ISNUMBER(MATCH(U51,{"Expense|employee","Expense|general_admin","Expense|marketing","Expense|utilities","Expense|other_operating"},0)),-N(K51),0)+IF(ISNUMBER(MATCH(V51,{"Expense|employee","Expense|general_admin","Expense|marketing","Expense|utilities","Expense|other_operating"},0)),-N(P51),0)</f>
        <v/>
      </c>
      <c r="AA51" s="23">
        <f>IF(T51="Liability|payable",-N(O51),0)+IF(U51="Liability|payable",N(K51),0)+IF(V51="Liability|payable",N(P51),0)</f>
        <v/>
      </c>
      <c r="AB51" s="23">
        <f>IF(T51="Liability|accrued",-N(O51),0)+IF(U51="Liability|accrued",N(K51),0)+IF(V51="Liability|accrued",N(P51),0)</f>
        <v/>
      </c>
      <c r="AC51" s="23">
        <f>IF(AND(N(O51)&lt;&gt;0,T51=""),1,0)+IF(AND(N(K51)&lt;&gt;0,U51=""),1,0)+IF(AND(N(P51)&lt;&gt;0,V51=""),1,0)</f>
        <v/>
      </c>
    </row>
    <row r="52">
      <c r="A52" s="19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20" t="n"/>
      <c r="K52" s="20" t="n"/>
      <c r="L52" s="14" t="n"/>
      <c r="M52" s="14" t="n"/>
      <c r="N52" s="14" t="n"/>
      <c r="O52" s="21">
        <f>ROUND(N(I52)*N(J52),2)</f>
        <v/>
      </c>
      <c r="P52" s="21">
        <f>O52-N(K52)</f>
        <v/>
      </c>
      <c r="Q52" s="16">
        <f>IF(F52&lt;&gt;"",F52&amp;"",IF(LEFT(E52,6)="Indire",INDEX('Chart of Accounts'!$A$5:$A$3000,MATCH("project_overhead",'Chart of Accounts'!$F$5:$F$3000,0)),IF(LEFT(E52,6)="Admini",INDEX('Chart of Accounts'!$A$5:$A$3000,MATCH("admin_salaries",'Chart of Accounts'!$F$5:$F$3000,0)),INDEX('Chart of Accounts'!$A$5:$A$3000,MATCH("direct_labour",'Chart of Accounts'!$F$5:$F$3000,0)))))</f>
        <v/>
      </c>
      <c r="R52" s="16">
        <f>IF(M52="",INDEX('Chart of Accounts'!$A$5:$A$3000,MATCH("bank",'Chart of Accounts'!$F$5:$F$3000,0)),M52&amp;"")</f>
        <v/>
      </c>
      <c r="S52" s="16">
        <f>IF(N52="",INDEX('Chart of Accounts'!$A$5:$A$3000,MATCH("accrued_payroll",'Chart of Accounts'!$F$5:$F$3000,0)),N52&amp;"")</f>
        <v/>
      </c>
      <c r="T52" s="23">
        <f>IFERROR(INDEX('Chart of Accounts'!$C$5:$C$3000,MATCH(Q52&amp;"",'Chart of Accounts'!$A$5:$A$3000,0))&amp;"|"&amp;INDEX('Chart of Accounts'!$D$5:$D$3000,MATCH(Q52&amp;"",'Chart of Accounts'!$A$5:$A$3000,0)),"")</f>
        <v/>
      </c>
      <c r="U52" s="23">
        <f>IFERROR(INDEX('Chart of Accounts'!$C$5:$C$3000,MATCH(R52&amp;"",'Chart of Accounts'!$A$5:$A$3000,0))&amp;"|"&amp;INDEX('Chart of Accounts'!$D$5:$D$3000,MATCH(R52&amp;"",'Chart of Accounts'!$A$5:$A$3000,0)),"")</f>
        <v/>
      </c>
      <c r="V52" s="23">
        <f>IFERROR(INDEX('Chart of Accounts'!$C$5:$C$3000,MATCH(S52&amp;"",'Chart of Accounts'!$A$5:$A$3000,0))&amp;"|"&amp;INDEX('Chart of Accounts'!$D$5:$D$3000,MATCH(S52&amp;"",'Chart of Accounts'!$A$5:$A$3000,0)),"")</f>
        <v/>
      </c>
      <c r="W52" s="23">
        <f>IF(LEFT(T52,8)="Revenue|",-N(O52),0)+IF(LEFT(U52,8)="Revenue|",N(K52),0)+IF(LEFT(V52,8)="Revenue|",N(P52),0)</f>
        <v/>
      </c>
      <c r="X52" s="23">
        <f>IF(LEFT(T52,5)="COGS|",N(O52),0)+IF(LEFT(U52,5)="COGS|",-N(K52),0)+IF(LEFT(V52,5)="COGS|",-N(P52),0)</f>
        <v/>
      </c>
      <c r="Y52" s="23">
        <f>IF(LEFT(T52,8)="Expense|",N(O52),0)+IF(LEFT(U52,8)="Expense|",-N(K52),0)+IF(LEFT(V52,8)="Expense|",-N(P52),0)</f>
        <v/>
      </c>
      <c r="Z52" s="23">
        <f>IF(ISNUMBER(MATCH(T52,{"Expense|employee","Expense|general_admin","Expense|marketing","Expense|utilities","Expense|other_operating"},0)),N(O52),0)+IF(ISNUMBER(MATCH(U52,{"Expense|employee","Expense|general_admin","Expense|marketing","Expense|utilities","Expense|other_operating"},0)),-N(K52),0)+IF(ISNUMBER(MATCH(V52,{"Expense|employee","Expense|general_admin","Expense|marketing","Expense|utilities","Expense|other_operating"},0)),-N(P52),0)</f>
        <v/>
      </c>
      <c r="AA52" s="23">
        <f>IF(T52="Liability|payable",-N(O52),0)+IF(U52="Liability|payable",N(K52),0)+IF(V52="Liability|payable",N(P52),0)</f>
        <v/>
      </c>
      <c r="AB52" s="23">
        <f>IF(T52="Liability|accrued",-N(O52),0)+IF(U52="Liability|accrued",N(K52),0)+IF(V52="Liability|accrued",N(P52),0)</f>
        <v/>
      </c>
      <c r="AC52" s="23">
        <f>IF(AND(N(O52)&lt;&gt;0,T52=""),1,0)+IF(AND(N(K52)&lt;&gt;0,U52=""),1,0)+IF(AND(N(P52)&lt;&gt;0,V52=""),1,0)</f>
        <v/>
      </c>
    </row>
    <row r="53">
      <c r="A53" s="19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20" t="n"/>
      <c r="K53" s="20" t="n"/>
      <c r="L53" s="14" t="n"/>
      <c r="M53" s="14" t="n"/>
      <c r="N53" s="14" t="n"/>
      <c r="O53" s="21">
        <f>ROUND(N(I53)*N(J53),2)</f>
        <v/>
      </c>
      <c r="P53" s="21">
        <f>O53-N(K53)</f>
        <v/>
      </c>
      <c r="Q53" s="16">
        <f>IF(F53&lt;&gt;"",F53&amp;"",IF(LEFT(E53,6)="Indire",INDEX('Chart of Accounts'!$A$5:$A$3000,MATCH("project_overhead",'Chart of Accounts'!$F$5:$F$3000,0)),IF(LEFT(E53,6)="Admini",INDEX('Chart of Accounts'!$A$5:$A$3000,MATCH("admin_salaries",'Chart of Accounts'!$F$5:$F$3000,0)),INDEX('Chart of Accounts'!$A$5:$A$3000,MATCH("direct_labour",'Chart of Accounts'!$F$5:$F$3000,0)))))</f>
        <v/>
      </c>
      <c r="R53" s="16">
        <f>IF(M53="",INDEX('Chart of Accounts'!$A$5:$A$3000,MATCH("bank",'Chart of Accounts'!$F$5:$F$3000,0)),M53&amp;"")</f>
        <v/>
      </c>
      <c r="S53" s="16">
        <f>IF(N53="",INDEX('Chart of Accounts'!$A$5:$A$3000,MATCH("accrued_payroll",'Chart of Accounts'!$F$5:$F$3000,0)),N53&amp;"")</f>
        <v/>
      </c>
      <c r="T53" s="23">
        <f>IFERROR(INDEX('Chart of Accounts'!$C$5:$C$3000,MATCH(Q53&amp;"",'Chart of Accounts'!$A$5:$A$3000,0))&amp;"|"&amp;INDEX('Chart of Accounts'!$D$5:$D$3000,MATCH(Q53&amp;"",'Chart of Accounts'!$A$5:$A$3000,0)),"")</f>
        <v/>
      </c>
      <c r="U53" s="23">
        <f>IFERROR(INDEX('Chart of Accounts'!$C$5:$C$3000,MATCH(R53&amp;"",'Chart of Accounts'!$A$5:$A$3000,0))&amp;"|"&amp;INDEX('Chart of Accounts'!$D$5:$D$3000,MATCH(R53&amp;"",'Chart of Accounts'!$A$5:$A$3000,0)),"")</f>
        <v/>
      </c>
      <c r="V53" s="23">
        <f>IFERROR(INDEX('Chart of Accounts'!$C$5:$C$3000,MATCH(S53&amp;"",'Chart of Accounts'!$A$5:$A$3000,0))&amp;"|"&amp;INDEX('Chart of Accounts'!$D$5:$D$3000,MATCH(S53&amp;"",'Chart of Accounts'!$A$5:$A$3000,0)),"")</f>
        <v/>
      </c>
      <c r="W53" s="23">
        <f>IF(LEFT(T53,8)="Revenue|",-N(O53),0)+IF(LEFT(U53,8)="Revenue|",N(K53),0)+IF(LEFT(V53,8)="Revenue|",N(P53),0)</f>
        <v/>
      </c>
      <c r="X53" s="23">
        <f>IF(LEFT(T53,5)="COGS|",N(O53),0)+IF(LEFT(U53,5)="COGS|",-N(K53),0)+IF(LEFT(V53,5)="COGS|",-N(P53),0)</f>
        <v/>
      </c>
      <c r="Y53" s="23">
        <f>IF(LEFT(T53,8)="Expense|",N(O53),0)+IF(LEFT(U53,8)="Expense|",-N(K53),0)+IF(LEFT(V53,8)="Expense|",-N(P53),0)</f>
        <v/>
      </c>
      <c r="Z53" s="23">
        <f>IF(ISNUMBER(MATCH(T53,{"Expense|employee","Expense|general_admin","Expense|marketing","Expense|utilities","Expense|other_operating"},0)),N(O53),0)+IF(ISNUMBER(MATCH(U53,{"Expense|employee","Expense|general_admin","Expense|marketing","Expense|utilities","Expense|other_operating"},0)),-N(K53),0)+IF(ISNUMBER(MATCH(V53,{"Expense|employee","Expense|general_admin","Expense|marketing","Expense|utilities","Expense|other_operating"},0)),-N(P53),0)</f>
        <v/>
      </c>
      <c r="AA53" s="23">
        <f>IF(T53="Liability|payable",-N(O53),0)+IF(U53="Liability|payable",N(K53),0)+IF(V53="Liability|payable",N(P53),0)</f>
        <v/>
      </c>
      <c r="AB53" s="23">
        <f>IF(T53="Liability|accrued",-N(O53),0)+IF(U53="Liability|accrued",N(K53),0)+IF(V53="Liability|accrued",N(P53),0)</f>
        <v/>
      </c>
      <c r="AC53" s="23">
        <f>IF(AND(N(O53)&lt;&gt;0,T53=""),1,0)+IF(AND(N(K53)&lt;&gt;0,U53=""),1,0)+IF(AND(N(P53)&lt;&gt;0,V53=""),1,0)</f>
        <v/>
      </c>
    </row>
    <row r="54">
      <c r="A54" s="19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20" t="n"/>
      <c r="K54" s="20" t="n"/>
      <c r="L54" s="14" t="n"/>
      <c r="M54" s="14" t="n"/>
      <c r="N54" s="14" t="n"/>
      <c r="O54" s="21">
        <f>ROUND(N(I54)*N(J54),2)</f>
        <v/>
      </c>
      <c r="P54" s="21">
        <f>O54-N(K54)</f>
        <v/>
      </c>
      <c r="Q54" s="16">
        <f>IF(F54&lt;&gt;"",F54&amp;"",IF(LEFT(E54,6)="Indire",INDEX('Chart of Accounts'!$A$5:$A$3000,MATCH("project_overhead",'Chart of Accounts'!$F$5:$F$3000,0)),IF(LEFT(E54,6)="Admini",INDEX('Chart of Accounts'!$A$5:$A$3000,MATCH("admin_salaries",'Chart of Accounts'!$F$5:$F$3000,0)),INDEX('Chart of Accounts'!$A$5:$A$3000,MATCH("direct_labour",'Chart of Accounts'!$F$5:$F$3000,0)))))</f>
        <v/>
      </c>
      <c r="R54" s="16">
        <f>IF(M54="",INDEX('Chart of Accounts'!$A$5:$A$3000,MATCH("bank",'Chart of Accounts'!$F$5:$F$3000,0)),M54&amp;"")</f>
        <v/>
      </c>
      <c r="S54" s="16">
        <f>IF(N54="",INDEX('Chart of Accounts'!$A$5:$A$3000,MATCH("accrued_payroll",'Chart of Accounts'!$F$5:$F$3000,0)),N54&amp;"")</f>
        <v/>
      </c>
      <c r="T54" s="23">
        <f>IFERROR(INDEX('Chart of Accounts'!$C$5:$C$3000,MATCH(Q54&amp;"",'Chart of Accounts'!$A$5:$A$3000,0))&amp;"|"&amp;INDEX('Chart of Accounts'!$D$5:$D$3000,MATCH(Q54&amp;"",'Chart of Accounts'!$A$5:$A$3000,0)),"")</f>
        <v/>
      </c>
      <c r="U54" s="23">
        <f>IFERROR(INDEX('Chart of Accounts'!$C$5:$C$3000,MATCH(R54&amp;"",'Chart of Accounts'!$A$5:$A$3000,0))&amp;"|"&amp;INDEX('Chart of Accounts'!$D$5:$D$3000,MATCH(R54&amp;"",'Chart of Accounts'!$A$5:$A$3000,0)),"")</f>
        <v/>
      </c>
      <c r="V54" s="23">
        <f>IFERROR(INDEX('Chart of Accounts'!$C$5:$C$3000,MATCH(S54&amp;"",'Chart of Accounts'!$A$5:$A$3000,0))&amp;"|"&amp;INDEX('Chart of Accounts'!$D$5:$D$3000,MATCH(S54&amp;"",'Chart of Accounts'!$A$5:$A$3000,0)),"")</f>
        <v/>
      </c>
      <c r="W54" s="23">
        <f>IF(LEFT(T54,8)="Revenue|",-N(O54),0)+IF(LEFT(U54,8)="Revenue|",N(K54),0)+IF(LEFT(V54,8)="Revenue|",N(P54),0)</f>
        <v/>
      </c>
      <c r="X54" s="23">
        <f>IF(LEFT(T54,5)="COGS|",N(O54),0)+IF(LEFT(U54,5)="COGS|",-N(K54),0)+IF(LEFT(V54,5)="COGS|",-N(P54),0)</f>
        <v/>
      </c>
      <c r="Y54" s="23">
        <f>IF(LEFT(T54,8)="Expense|",N(O54),0)+IF(LEFT(U54,8)="Expense|",-N(K54),0)+IF(LEFT(V54,8)="Expense|",-N(P54),0)</f>
        <v/>
      </c>
      <c r="Z54" s="23">
        <f>IF(ISNUMBER(MATCH(T54,{"Expense|employee","Expense|general_admin","Expense|marketing","Expense|utilities","Expense|other_operating"},0)),N(O54),0)+IF(ISNUMBER(MATCH(U54,{"Expense|employee","Expense|general_admin","Expense|marketing","Expense|utilities","Expense|other_operating"},0)),-N(K54),0)+IF(ISNUMBER(MATCH(V54,{"Expense|employee","Expense|general_admin","Expense|marketing","Expense|utilities","Expense|other_operating"},0)),-N(P54),0)</f>
        <v/>
      </c>
      <c r="AA54" s="23">
        <f>IF(T54="Liability|payable",-N(O54),0)+IF(U54="Liability|payable",N(K54),0)+IF(V54="Liability|payable",N(P54),0)</f>
        <v/>
      </c>
      <c r="AB54" s="23">
        <f>IF(T54="Liability|accrued",-N(O54),0)+IF(U54="Liability|accrued",N(K54),0)+IF(V54="Liability|accrued",N(P54),0)</f>
        <v/>
      </c>
      <c r="AC54" s="23">
        <f>IF(AND(N(O54)&lt;&gt;0,T54=""),1,0)+IF(AND(N(K54)&lt;&gt;0,U54=""),1,0)+IF(AND(N(P54)&lt;&gt;0,V54=""),1,0)</f>
        <v/>
      </c>
    </row>
    <row r="55">
      <c r="A55" s="19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20" t="n"/>
      <c r="K55" s="20" t="n"/>
      <c r="L55" s="14" t="n"/>
      <c r="M55" s="14" t="n"/>
      <c r="N55" s="14" t="n"/>
      <c r="O55" s="21">
        <f>ROUND(N(I55)*N(J55),2)</f>
        <v/>
      </c>
      <c r="P55" s="21">
        <f>O55-N(K55)</f>
        <v/>
      </c>
      <c r="Q55" s="16">
        <f>IF(F55&lt;&gt;"",F55&amp;"",IF(LEFT(E55,6)="Indire",INDEX('Chart of Accounts'!$A$5:$A$3000,MATCH("project_overhead",'Chart of Accounts'!$F$5:$F$3000,0)),IF(LEFT(E55,6)="Admini",INDEX('Chart of Accounts'!$A$5:$A$3000,MATCH("admin_salaries",'Chart of Accounts'!$F$5:$F$3000,0)),INDEX('Chart of Accounts'!$A$5:$A$3000,MATCH("direct_labour",'Chart of Accounts'!$F$5:$F$3000,0)))))</f>
        <v/>
      </c>
      <c r="R55" s="16">
        <f>IF(M55="",INDEX('Chart of Accounts'!$A$5:$A$3000,MATCH("bank",'Chart of Accounts'!$F$5:$F$3000,0)),M55&amp;"")</f>
        <v/>
      </c>
      <c r="S55" s="16">
        <f>IF(N55="",INDEX('Chart of Accounts'!$A$5:$A$3000,MATCH("accrued_payroll",'Chart of Accounts'!$F$5:$F$3000,0)),N55&amp;"")</f>
        <v/>
      </c>
      <c r="T55" s="23">
        <f>IFERROR(INDEX('Chart of Accounts'!$C$5:$C$3000,MATCH(Q55&amp;"",'Chart of Accounts'!$A$5:$A$3000,0))&amp;"|"&amp;INDEX('Chart of Accounts'!$D$5:$D$3000,MATCH(Q55&amp;"",'Chart of Accounts'!$A$5:$A$3000,0)),"")</f>
        <v/>
      </c>
      <c r="U55" s="23">
        <f>IFERROR(INDEX('Chart of Accounts'!$C$5:$C$3000,MATCH(R55&amp;"",'Chart of Accounts'!$A$5:$A$3000,0))&amp;"|"&amp;INDEX('Chart of Accounts'!$D$5:$D$3000,MATCH(R55&amp;"",'Chart of Accounts'!$A$5:$A$3000,0)),"")</f>
        <v/>
      </c>
      <c r="V55" s="23">
        <f>IFERROR(INDEX('Chart of Accounts'!$C$5:$C$3000,MATCH(S55&amp;"",'Chart of Accounts'!$A$5:$A$3000,0))&amp;"|"&amp;INDEX('Chart of Accounts'!$D$5:$D$3000,MATCH(S55&amp;"",'Chart of Accounts'!$A$5:$A$3000,0)),"")</f>
        <v/>
      </c>
      <c r="W55" s="23">
        <f>IF(LEFT(T55,8)="Revenue|",-N(O55),0)+IF(LEFT(U55,8)="Revenue|",N(K55),0)+IF(LEFT(V55,8)="Revenue|",N(P55),0)</f>
        <v/>
      </c>
      <c r="X55" s="23">
        <f>IF(LEFT(T55,5)="COGS|",N(O55),0)+IF(LEFT(U55,5)="COGS|",-N(K55),0)+IF(LEFT(V55,5)="COGS|",-N(P55),0)</f>
        <v/>
      </c>
      <c r="Y55" s="23">
        <f>IF(LEFT(T55,8)="Expense|",N(O55),0)+IF(LEFT(U55,8)="Expense|",-N(K55),0)+IF(LEFT(V55,8)="Expense|",-N(P55),0)</f>
        <v/>
      </c>
      <c r="Z55" s="23">
        <f>IF(ISNUMBER(MATCH(T55,{"Expense|employee","Expense|general_admin","Expense|marketing","Expense|utilities","Expense|other_operating"},0)),N(O55),0)+IF(ISNUMBER(MATCH(U55,{"Expense|employee","Expense|general_admin","Expense|marketing","Expense|utilities","Expense|other_operating"},0)),-N(K55),0)+IF(ISNUMBER(MATCH(V55,{"Expense|employee","Expense|general_admin","Expense|marketing","Expense|utilities","Expense|other_operating"},0)),-N(P55),0)</f>
        <v/>
      </c>
      <c r="AA55" s="23">
        <f>IF(T55="Liability|payable",-N(O55),0)+IF(U55="Liability|payable",N(K55),0)+IF(V55="Liability|payable",N(P55),0)</f>
        <v/>
      </c>
      <c r="AB55" s="23">
        <f>IF(T55="Liability|accrued",-N(O55),0)+IF(U55="Liability|accrued",N(K55),0)+IF(V55="Liability|accrued",N(P55),0)</f>
        <v/>
      </c>
      <c r="AC55" s="23">
        <f>IF(AND(N(O55)&lt;&gt;0,T55=""),1,0)+IF(AND(N(K55)&lt;&gt;0,U55=""),1,0)+IF(AND(N(P55)&lt;&gt;0,V55=""),1,0)</f>
        <v/>
      </c>
    </row>
    <row r="56">
      <c r="A56" s="19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20" t="n"/>
      <c r="K56" s="20" t="n"/>
      <c r="L56" s="14" t="n"/>
      <c r="M56" s="14" t="n"/>
      <c r="N56" s="14" t="n"/>
      <c r="O56" s="21">
        <f>ROUND(N(I56)*N(J56),2)</f>
        <v/>
      </c>
      <c r="P56" s="21">
        <f>O56-N(K56)</f>
        <v/>
      </c>
      <c r="Q56" s="16">
        <f>IF(F56&lt;&gt;"",F56&amp;"",IF(LEFT(E56,6)="Indire",INDEX('Chart of Accounts'!$A$5:$A$3000,MATCH("project_overhead",'Chart of Accounts'!$F$5:$F$3000,0)),IF(LEFT(E56,6)="Admini",INDEX('Chart of Accounts'!$A$5:$A$3000,MATCH("admin_salaries",'Chart of Accounts'!$F$5:$F$3000,0)),INDEX('Chart of Accounts'!$A$5:$A$3000,MATCH("direct_labour",'Chart of Accounts'!$F$5:$F$3000,0)))))</f>
        <v/>
      </c>
      <c r="R56" s="16">
        <f>IF(M56="",INDEX('Chart of Accounts'!$A$5:$A$3000,MATCH("bank",'Chart of Accounts'!$F$5:$F$3000,0)),M56&amp;"")</f>
        <v/>
      </c>
      <c r="S56" s="16">
        <f>IF(N56="",INDEX('Chart of Accounts'!$A$5:$A$3000,MATCH("accrued_payroll",'Chart of Accounts'!$F$5:$F$3000,0)),N56&amp;"")</f>
        <v/>
      </c>
      <c r="T56" s="23">
        <f>IFERROR(INDEX('Chart of Accounts'!$C$5:$C$3000,MATCH(Q56&amp;"",'Chart of Accounts'!$A$5:$A$3000,0))&amp;"|"&amp;INDEX('Chart of Accounts'!$D$5:$D$3000,MATCH(Q56&amp;"",'Chart of Accounts'!$A$5:$A$3000,0)),"")</f>
        <v/>
      </c>
      <c r="U56" s="23">
        <f>IFERROR(INDEX('Chart of Accounts'!$C$5:$C$3000,MATCH(R56&amp;"",'Chart of Accounts'!$A$5:$A$3000,0))&amp;"|"&amp;INDEX('Chart of Accounts'!$D$5:$D$3000,MATCH(R56&amp;"",'Chart of Accounts'!$A$5:$A$3000,0)),"")</f>
        <v/>
      </c>
      <c r="V56" s="23">
        <f>IFERROR(INDEX('Chart of Accounts'!$C$5:$C$3000,MATCH(S56&amp;"",'Chart of Accounts'!$A$5:$A$3000,0))&amp;"|"&amp;INDEX('Chart of Accounts'!$D$5:$D$3000,MATCH(S56&amp;"",'Chart of Accounts'!$A$5:$A$3000,0)),"")</f>
        <v/>
      </c>
      <c r="W56" s="23">
        <f>IF(LEFT(T56,8)="Revenue|",-N(O56),0)+IF(LEFT(U56,8)="Revenue|",N(K56),0)+IF(LEFT(V56,8)="Revenue|",N(P56),0)</f>
        <v/>
      </c>
      <c r="X56" s="23">
        <f>IF(LEFT(T56,5)="COGS|",N(O56),0)+IF(LEFT(U56,5)="COGS|",-N(K56),0)+IF(LEFT(V56,5)="COGS|",-N(P56),0)</f>
        <v/>
      </c>
      <c r="Y56" s="23">
        <f>IF(LEFT(T56,8)="Expense|",N(O56),0)+IF(LEFT(U56,8)="Expense|",-N(K56),0)+IF(LEFT(V56,8)="Expense|",-N(P56),0)</f>
        <v/>
      </c>
      <c r="Z56" s="23">
        <f>IF(ISNUMBER(MATCH(T56,{"Expense|employee","Expense|general_admin","Expense|marketing","Expense|utilities","Expense|other_operating"},0)),N(O56),0)+IF(ISNUMBER(MATCH(U56,{"Expense|employee","Expense|general_admin","Expense|marketing","Expense|utilities","Expense|other_operating"},0)),-N(K56),0)+IF(ISNUMBER(MATCH(V56,{"Expense|employee","Expense|general_admin","Expense|marketing","Expense|utilities","Expense|other_operating"},0)),-N(P56),0)</f>
        <v/>
      </c>
      <c r="AA56" s="23">
        <f>IF(T56="Liability|payable",-N(O56),0)+IF(U56="Liability|payable",N(K56),0)+IF(V56="Liability|payable",N(P56),0)</f>
        <v/>
      </c>
      <c r="AB56" s="23">
        <f>IF(T56="Liability|accrued",-N(O56),0)+IF(U56="Liability|accrued",N(K56),0)+IF(V56="Liability|accrued",N(P56),0)</f>
        <v/>
      </c>
      <c r="AC56" s="23">
        <f>IF(AND(N(O56)&lt;&gt;0,T56=""),1,0)+IF(AND(N(K56)&lt;&gt;0,U56=""),1,0)+IF(AND(N(P56)&lt;&gt;0,V56=""),1,0)</f>
        <v/>
      </c>
    </row>
    <row r="57">
      <c r="A57" s="19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20" t="n"/>
      <c r="K57" s="20" t="n"/>
      <c r="L57" s="14" t="n"/>
      <c r="M57" s="14" t="n"/>
      <c r="N57" s="14" t="n"/>
      <c r="O57" s="21">
        <f>ROUND(N(I57)*N(J57),2)</f>
        <v/>
      </c>
      <c r="P57" s="21">
        <f>O57-N(K57)</f>
        <v/>
      </c>
      <c r="Q57" s="16">
        <f>IF(F57&lt;&gt;"",F57&amp;"",IF(LEFT(E57,6)="Indire",INDEX('Chart of Accounts'!$A$5:$A$3000,MATCH("project_overhead",'Chart of Accounts'!$F$5:$F$3000,0)),IF(LEFT(E57,6)="Admini",INDEX('Chart of Accounts'!$A$5:$A$3000,MATCH("admin_salaries",'Chart of Accounts'!$F$5:$F$3000,0)),INDEX('Chart of Accounts'!$A$5:$A$3000,MATCH("direct_labour",'Chart of Accounts'!$F$5:$F$3000,0)))))</f>
        <v/>
      </c>
      <c r="R57" s="16">
        <f>IF(M57="",INDEX('Chart of Accounts'!$A$5:$A$3000,MATCH("bank",'Chart of Accounts'!$F$5:$F$3000,0)),M57&amp;"")</f>
        <v/>
      </c>
      <c r="S57" s="16">
        <f>IF(N57="",INDEX('Chart of Accounts'!$A$5:$A$3000,MATCH("accrued_payroll",'Chart of Accounts'!$F$5:$F$3000,0)),N57&amp;"")</f>
        <v/>
      </c>
      <c r="T57" s="23">
        <f>IFERROR(INDEX('Chart of Accounts'!$C$5:$C$3000,MATCH(Q57&amp;"",'Chart of Accounts'!$A$5:$A$3000,0))&amp;"|"&amp;INDEX('Chart of Accounts'!$D$5:$D$3000,MATCH(Q57&amp;"",'Chart of Accounts'!$A$5:$A$3000,0)),"")</f>
        <v/>
      </c>
      <c r="U57" s="23">
        <f>IFERROR(INDEX('Chart of Accounts'!$C$5:$C$3000,MATCH(R57&amp;"",'Chart of Accounts'!$A$5:$A$3000,0))&amp;"|"&amp;INDEX('Chart of Accounts'!$D$5:$D$3000,MATCH(R57&amp;"",'Chart of Accounts'!$A$5:$A$3000,0)),"")</f>
        <v/>
      </c>
      <c r="V57" s="23">
        <f>IFERROR(INDEX('Chart of Accounts'!$C$5:$C$3000,MATCH(S57&amp;"",'Chart of Accounts'!$A$5:$A$3000,0))&amp;"|"&amp;INDEX('Chart of Accounts'!$D$5:$D$3000,MATCH(S57&amp;"",'Chart of Accounts'!$A$5:$A$3000,0)),"")</f>
        <v/>
      </c>
      <c r="W57" s="23">
        <f>IF(LEFT(T57,8)="Revenue|",-N(O57),0)+IF(LEFT(U57,8)="Revenue|",N(K57),0)+IF(LEFT(V57,8)="Revenue|",N(P57),0)</f>
        <v/>
      </c>
      <c r="X57" s="23">
        <f>IF(LEFT(T57,5)="COGS|",N(O57),0)+IF(LEFT(U57,5)="COGS|",-N(K57),0)+IF(LEFT(V57,5)="COGS|",-N(P57),0)</f>
        <v/>
      </c>
      <c r="Y57" s="23">
        <f>IF(LEFT(T57,8)="Expense|",N(O57),0)+IF(LEFT(U57,8)="Expense|",-N(K57),0)+IF(LEFT(V57,8)="Expense|",-N(P57),0)</f>
        <v/>
      </c>
      <c r="Z57" s="23">
        <f>IF(ISNUMBER(MATCH(T57,{"Expense|employee","Expense|general_admin","Expense|marketing","Expense|utilities","Expense|other_operating"},0)),N(O57),0)+IF(ISNUMBER(MATCH(U57,{"Expense|employee","Expense|general_admin","Expense|marketing","Expense|utilities","Expense|other_operating"},0)),-N(K57),0)+IF(ISNUMBER(MATCH(V57,{"Expense|employee","Expense|general_admin","Expense|marketing","Expense|utilities","Expense|other_operating"},0)),-N(P57),0)</f>
        <v/>
      </c>
      <c r="AA57" s="23">
        <f>IF(T57="Liability|payable",-N(O57),0)+IF(U57="Liability|payable",N(K57),0)+IF(V57="Liability|payable",N(P57),0)</f>
        <v/>
      </c>
      <c r="AB57" s="23">
        <f>IF(T57="Liability|accrued",-N(O57),0)+IF(U57="Liability|accrued",N(K57),0)+IF(V57="Liability|accrued",N(P57),0)</f>
        <v/>
      </c>
      <c r="AC57" s="23">
        <f>IF(AND(N(O57)&lt;&gt;0,T57=""),1,0)+IF(AND(N(K57)&lt;&gt;0,U57=""),1,0)+IF(AND(N(P57)&lt;&gt;0,V57=""),1,0)</f>
        <v/>
      </c>
    </row>
    <row r="58">
      <c r="A58" s="19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20" t="n"/>
      <c r="K58" s="20" t="n"/>
      <c r="L58" s="14" t="n"/>
      <c r="M58" s="14" t="n"/>
      <c r="N58" s="14" t="n"/>
      <c r="O58" s="21">
        <f>ROUND(N(I58)*N(J58),2)</f>
        <v/>
      </c>
      <c r="P58" s="21">
        <f>O58-N(K58)</f>
        <v/>
      </c>
      <c r="Q58" s="16">
        <f>IF(F58&lt;&gt;"",F58&amp;"",IF(LEFT(E58,6)="Indire",INDEX('Chart of Accounts'!$A$5:$A$3000,MATCH("project_overhead",'Chart of Accounts'!$F$5:$F$3000,0)),IF(LEFT(E58,6)="Admini",INDEX('Chart of Accounts'!$A$5:$A$3000,MATCH("admin_salaries",'Chart of Accounts'!$F$5:$F$3000,0)),INDEX('Chart of Accounts'!$A$5:$A$3000,MATCH("direct_labour",'Chart of Accounts'!$F$5:$F$3000,0)))))</f>
        <v/>
      </c>
      <c r="R58" s="16">
        <f>IF(M58="",INDEX('Chart of Accounts'!$A$5:$A$3000,MATCH("bank",'Chart of Accounts'!$F$5:$F$3000,0)),M58&amp;"")</f>
        <v/>
      </c>
      <c r="S58" s="16">
        <f>IF(N58="",INDEX('Chart of Accounts'!$A$5:$A$3000,MATCH("accrued_payroll",'Chart of Accounts'!$F$5:$F$3000,0)),N58&amp;"")</f>
        <v/>
      </c>
      <c r="T58" s="23">
        <f>IFERROR(INDEX('Chart of Accounts'!$C$5:$C$3000,MATCH(Q58&amp;"",'Chart of Accounts'!$A$5:$A$3000,0))&amp;"|"&amp;INDEX('Chart of Accounts'!$D$5:$D$3000,MATCH(Q58&amp;"",'Chart of Accounts'!$A$5:$A$3000,0)),"")</f>
        <v/>
      </c>
      <c r="U58" s="23">
        <f>IFERROR(INDEX('Chart of Accounts'!$C$5:$C$3000,MATCH(R58&amp;"",'Chart of Accounts'!$A$5:$A$3000,0))&amp;"|"&amp;INDEX('Chart of Accounts'!$D$5:$D$3000,MATCH(R58&amp;"",'Chart of Accounts'!$A$5:$A$3000,0)),"")</f>
        <v/>
      </c>
      <c r="V58" s="23">
        <f>IFERROR(INDEX('Chart of Accounts'!$C$5:$C$3000,MATCH(S58&amp;"",'Chart of Accounts'!$A$5:$A$3000,0))&amp;"|"&amp;INDEX('Chart of Accounts'!$D$5:$D$3000,MATCH(S58&amp;"",'Chart of Accounts'!$A$5:$A$3000,0)),"")</f>
        <v/>
      </c>
      <c r="W58" s="23">
        <f>IF(LEFT(T58,8)="Revenue|",-N(O58),0)+IF(LEFT(U58,8)="Revenue|",N(K58),0)+IF(LEFT(V58,8)="Revenue|",N(P58),0)</f>
        <v/>
      </c>
      <c r="X58" s="23">
        <f>IF(LEFT(T58,5)="COGS|",N(O58),0)+IF(LEFT(U58,5)="COGS|",-N(K58),0)+IF(LEFT(V58,5)="COGS|",-N(P58),0)</f>
        <v/>
      </c>
      <c r="Y58" s="23">
        <f>IF(LEFT(T58,8)="Expense|",N(O58),0)+IF(LEFT(U58,8)="Expense|",-N(K58),0)+IF(LEFT(V58,8)="Expense|",-N(P58),0)</f>
        <v/>
      </c>
      <c r="Z58" s="23">
        <f>IF(ISNUMBER(MATCH(T58,{"Expense|employee","Expense|general_admin","Expense|marketing","Expense|utilities","Expense|other_operating"},0)),N(O58),0)+IF(ISNUMBER(MATCH(U58,{"Expense|employee","Expense|general_admin","Expense|marketing","Expense|utilities","Expense|other_operating"},0)),-N(K58),0)+IF(ISNUMBER(MATCH(V58,{"Expense|employee","Expense|general_admin","Expense|marketing","Expense|utilities","Expense|other_operating"},0)),-N(P58),0)</f>
        <v/>
      </c>
      <c r="AA58" s="23">
        <f>IF(T58="Liability|payable",-N(O58),0)+IF(U58="Liability|payable",N(K58),0)+IF(V58="Liability|payable",N(P58),0)</f>
        <v/>
      </c>
      <c r="AB58" s="23">
        <f>IF(T58="Liability|accrued",-N(O58),0)+IF(U58="Liability|accrued",N(K58),0)+IF(V58="Liability|accrued",N(P58),0)</f>
        <v/>
      </c>
      <c r="AC58" s="23">
        <f>IF(AND(N(O58)&lt;&gt;0,T58=""),1,0)+IF(AND(N(K58)&lt;&gt;0,U58=""),1,0)+IF(AND(N(P58)&lt;&gt;0,V58=""),1,0)</f>
        <v/>
      </c>
    </row>
    <row r="59">
      <c r="A59" s="19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20" t="n"/>
      <c r="K59" s="20" t="n"/>
      <c r="L59" s="14" t="n"/>
      <c r="M59" s="14" t="n"/>
      <c r="N59" s="14" t="n"/>
      <c r="O59" s="21">
        <f>ROUND(N(I59)*N(J59),2)</f>
        <v/>
      </c>
      <c r="P59" s="21">
        <f>O59-N(K59)</f>
        <v/>
      </c>
      <c r="Q59" s="16">
        <f>IF(F59&lt;&gt;"",F59&amp;"",IF(LEFT(E59,6)="Indire",INDEX('Chart of Accounts'!$A$5:$A$3000,MATCH("project_overhead",'Chart of Accounts'!$F$5:$F$3000,0)),IF(LEFT(E59,6)="Admini",INDEX('Chart of Accounts'!$A$5:$A$3000,MATCH("admin_salaries",'Chart of Accounts'!$F$5:$F$3000,0)),INDEX('Chart of Accounts'!$A$5:$A$3000,MATCH("direct_labour",'Chart of Accounts'!$F$5:$F$3000,0)))))</f>
        <v/>
      </c>
      <c r="R59" s="16">
        <f>IF(M59="",INDEX('Chart of Accounts'!$A$5:$A$3000,MATCH("bank",'Chart of Accounts'!$F$5:$F$3000,0)),M59&amp;"")</f>
        <v/>
      </c>
      <c r="S59" s="16">
        <f>IF(N59="",INDEX('Chart of Accounts'!$A$5:$A$3000,MATCH("accrued_payroll",'Chart of Accounts'!$F$5:$F$3000,0)),N59&amp;"")</f>
        <v/>
      </c>
      <c r="T59" s="23">
        <f>IFERROR(INDEX('Chart of Accounts'!$C$5:$C$3000,MATCH(Q59&amp;"",'Chart of Accounts'!$A$5:$A$3000,0))&amp;"|"&amp;INDEX('Chart of Accounts'!$D$5:$D$3000,MATCH(Q59&amp;"",'Chart of Accounts'!$A$5:$A$3000,0)),"")</f>
        <v/>
      </c>
      <c r="U59" s="23">
        <f>IFERROR(INDEX('Chart of Accounts'!$C$5:$C$3000,MATCH(R59&amp;"",'Chart of Accounts'!$A$5:$A$3000,0))&amp;"|"&amp;INDEX('Chart of Accounts'!$D$5:$D$3000,MATCH(R59&amp;"",'Chart of Accounts'!$A$5:$A$3000,0)),"")</f>
        <v/>
      </c>
      <c r="V59" s="23">
        <f>IFERROR(INDEX('Chart of Accounts'!$C$5:$C$3000,MATCH(S59&amp;"",'Chart of Accounts'!$A$5:$A$3000,0))&amp;"|"&amp;INDEX('Chart of Accounts'!$D$5:$D$3000,MATCH(S59&amp;"",'Chart of Accounts'!$A$5:$A$3000,0)),"")</f>
        <v/>
      </c>
      <c r="W59" s="23">
        <f>IF(LEFT(T59,8)="Revenue|",-N(O59),0)+IF(LEFT(U59,8)="Revenue|",N(K59),0)+IF(LEFT(V59,8)="Revenue|",N(P59),0)</f>
        <v/>
      </c>
      <c r="X59" s="23">
        <f>IF(LEFT(T59,5)="COGS|",N(O59),0)+IF(LEFT(U59,5)="COGS|",-N(K59),0)+IF(LEFT(V59,5)="COGS|",-N(P59),0)</f>
        <v/>
      </c>
      <c r="Y59" s="23">
        <f>IF(LEFT(T59,8)="Expense|",N(O59),0)+IF(LEFT(U59,8)="Expense|",-N(K59),0)+IF(LEFT(V59,8)="Expense|",-N(P59),0)</f>
        <v/>
      </c>
      <c r="Z59" s="23">
        <f>IF(ISNUMBER(MATCH(T59,{"Expense|employee","Expense|general_admin","Expense|marketing","Expense|utilities","Expense|other_operating"},0)),N(O59),0)+IF(ISNUMBER(MATCH(U59,{"Expense|employee","Expense|general_admin","Expense|marketing","Expense|utilities","Expense|other_operating"},0)),-N(K59),0)+IF(ISNUMBER(MATCH(V59,{"Expense|employee","Expense|general_admin","Expense|marketing","Expense|utilities","Expense|other_operating"},0)),-N(P59),0)</f>
        <v/>
      </c>
      <c r="AA59" s="23">
        <f>IF(T59="Liability|payable",-N(O59),0)+IF(U59="Liability|payable",N(K59),0)+IF(V59="Liability|payable",N(P59),0)</f>
        <v/>
      </c>
      <c r="AB59" s="23">
        <f>IF(T59="Liability|accrued",-N(O59),0)+IF(U59="Liability|accrued",N(K59),0)+IF(V59="Liability|accrued",N(P59),0)</f>
        <v/>
      </c>
      <c r="AC59" s="23">
        <f>IF(AND(N(O59)&lt;&gt;0,T59=""),1,0)+IF(AND(N(K59)&lt;&gt;0,U59=""),1,0)+IF(AND(N(P59)&lt;&gt;0,V59=""),1,0)</f>
        <v/>
      </c>
    </row>
    <row r="60">
      <c r="A60" s="19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20" t="n"/>
      <c r="K60" s="20" t="n"/>
      <c r="L60" s="14" t="n"/>
      <c r="M60" s="14" t="n"/>
      <c r="N60" s="14" t="n"/>
      <c r="O60" s="21">
        <f>ROUND(N(I60)*N(J60),2)</f>
        <v/>
      </c>
      <c r="P60" s="21">
        <f>O60-N(K60)</f>
        <v/>
      </c>
      <c r="Q60" s="16">
        <f>IF(F60&lt;&gt;"",F60&amp;"",IF(LEFT(E60,6)="Indire",INDEX('Chart of Accounts'!$A$5:$A$3000,MATCH("project_overhead",'Chart of Accounts'!$F$5:$F$3000,0)),IF(LEFT(E60,6)="Admini",INDEX('Chart of Accounts'!$A$5:$A$3000,MATCH("admin_salaries",'Chart of Accounts'!$F$5:$F$3000,0)),INDEX('Chart of Accounts'!$A$5:$A$3000,MATCH("direct_labour",'Chart of Accounts'!$F$5:$F$3000,0)))))</f>
        <v/>
      </c>
      <c r="R60" s="16">
        <f>IF(M60="",INDEX('Chart of Accounts'!$A$5:$A$3000,MATCH("bank",'Chart of Accounts'!$F$5:$F$3000,0)),M60&amp;"")</f>
        <v/>
      </c>
      <c r="S60" s="16">
        <f>IF(N60="",INDEX('Chart of Accounts'!$A$5:$A$3000,MATCH("accrued_payroll",'Chart of Accounts'!$F$5:$F$3000,0)),N60&amp;"")</f>
        <v/>
      </c>
      <c r="T60" s="23">
        <f>IFERROR(INDEX('Chart of Accounts'!$C$5:$C$3000,MATCH(Q60&amp;"",'Chart of Accounts'!$A$5:$A$3000,0))&amp;"|"&amp;INDEX('Chart of Accounts'!$D$5:$D$3000,MATCH(Q60&amp;"",'Chart of Accounts'!$A$5:$A$3000,0)),"")</f>
        <v/>
      </c>
      <c r="U60" s="23">
        <f>IFERROR(INDEX('Chart of Accounts'!$C$5:$C$3000,MATCH(R60&amp;"",'Chart of Accounts'!$A$5:$A$3000,0))&amp;"|"&amp;INDEX('Chart of Accounts'!$D$5:$D$3000,MATCH(R60&amp;"",'Chart of Accounts'!$A$5:$A$3000,0)),"")</f>
        <v/>
      </c>
      <c r="V60" s="23">
        <f>IFERROR(INDEX('Chart of Accounts'!$C$5:$C$3000,MATCH(S60&amp;"",'Chart of Accounts'!$A$5:$A$3000,0))&amp;"|"&amp;INDEX('Chart of Accounts'!$D$5:$D$3000,MATCH(S60&amp;"",'Chart of Accounts'!$A$5:$A$3000,0)),"")</f>
        <v/>
      </c>
      <c r="W60" s="23">
        <f>IF(LEFT(T60,8)="Revenue|",-N(O60),0)+IF(LEFT(U60,8)="Revenue|",N(K60),0)+IF(LEFT(V60,8)="Revenue|",N(P60),0)</f>
        <v/>
      </c>
      <c r="X60" s="23">
        <f>IF(LEFT(T60,5)="COGS|",N(O60),0)+IF(LEFT(U60,5)="COGS|",-N(K60),0)+IF(LEFT(V60,5)="COGS|",-N(P60),0)</f>
        <v/>
      </c>
      <c r="Y60" s="23">
        <f>IF(LEFT(T60,8)="Expense|",N(O60),0)+IF(LEFT(U60,8)="Expense|",-N(K60),0)+IF(LEFT(V60,8)="Expense|",-N(P60),0)</f>
        <v/>
      </c>
      <c r="Z60" s="23">
        <f>IF(ISNUMBER(MATCH(T60,{"Expense|employee","Expense|general_admin","Expense|marketing","Expense|utilities","Expense|other_operating"},0)),N(O60),0)+IF(ISNUMBER(MATCH(U60,{"Expense|employee","Expense|general_admin","Expense|marketing","Expense|utilities","Expense|other_operating"},0)),-N(K60),0)+IF(ISNUMBER(MATCH(V60,{"Expense|employee","Expense|general_admin","Expense|marketing","Expense|utilities","Expense|other_operating"},0)),-N(P60),0)</f>
        <v/>
      </c>
      <c r="AA60" s="23">
        <f>IF(T60="Liability|payable",-N(O60),0)+IF(U60="Liability|payable",N(K60),0)+IF(V60="Liability|payable",N(P60),0)</f>
        <v/>
      </c>
      <c r="AB60" s="23">
        <f>IF(T60="Liability|accrued",-N(O60),0)+IF(U60="Liability|accrued",N(K60),0)+IF(V60="Liability|accrued",N(P60),0)</f>
        <v/>
      </c>
      <c r="AC60" s="23">
        <f>IF(AND(N(O60)&lt;&gt;0,T60=""),1,0)+IF(AND(N(K60)&lt;&gt;0,U60=""),1,0)+IF(AND(N(P60)&lt;&gt;0,V60=""),1,0)</f>
        <v/>
      </c>
    </row>
    <row r="61">
      <c r="A61" s="19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20" t="n"/>
      <c r="K61" s="20" t="n"/>
      <c r="L61" s="14" t="n"/>
      <c r="M61" s="14" t="n"/>
      <c r="N61" s="14" t="n"/>
      <c r="O61" s="21">
        <f>ROUND(N(I61)*N(J61),2)</f>
        <v/>
      </c>
      <c r="P61" s="21">
        <f>O61-N(K61)</f>
        <v/>
      </c>
      <c r="Q61" s="16">
        <f>IF(F61&lt;&gt;"",F61&amp;"",IF(LEFT(E61,6)="Indire",INDEX('Chart of Accounts'!$A$5:$A$3000,MATCH("project_overhead",'Chart of Accounts'!$F$5:$F$3000,0)),IF(LEFT(E61,6)="Admini",INDEX('Chart of Accounts'!$A$5:$A$3000,MATCH("admin_salaries",'Chart of Accounts'!$F$5:$F$3000,0)),INDEX('Chart of Accounts'!$A$5:$A$3000,MATCH("direct_labour",'Chart of Accounts'!$F$5:$F$3000,0)))))</f>
        <v/>
      </c>
      <c r="R61" s="16">
        <f>IF(M61="",INDEX('Chart of Accounts'!$A$5:$A$3000,MATCH("bank",'Chart of Accounts'!$F$5:$F$3000,0)),M61&amp;"")</f>
        <v/>
      </c>
      <c r="S61" s="16">
        <f>IF(N61="",INDEX('Chart of Accounts'!$A$5:$A$3000,MATCH("accrued_payroll",'Chart of Accounts'!$F$5:$F$3000,0)),N61&amp;"")</f>
        <v/>
      </c>
      <c r="T61" s="23">
        <f>IFERROR(INDEX('Chart of Accounts'!$C$5:$C$3000,MATCH(Q61&amp;"",'Chart of Accounts'!$A$5:$A$3000,0))&amp;"|"&amp;INDEX('Chart of Accounts'!$D$5:$D$3000,MATCH(Q61&amp;"",'Chart of Accounts'!$A$5:$A$3000,0)),"")</f>
        <v/>
      </c>
      <c r="U61" s="23">
        <f>IFERROR(INDEX('Chart of Accounts'!$C$5:$C$3000,MATCH(R61&amp;"",'Chart of Accounts'!$A$5:$A$3000,0))&amp;"|"&amp;INDEX('Chart of Accounts'!$D$5:$D$3000,MATCH(R61&amp;"",'Chart of Accounts'!$A$5:$A$3000,0)),"")</f>
        <v/>
      </c>
      <c r="V61" s="23">
        <f>IFERROR(INDEX('Chart of Accounts'!$C$5:$C$3000,MATCH(S61&amp;"",'Chart of Accounts'!$A$5:$A$3000,0))&amp;"|"&amp;INDEX('Chart of Accounts'!$D$5:$D$3000,MATCH(S61&amp;"",'Chart of Accounts'!$A$5:$A$3000,0)),"")</f>
        <v/>
      </c>
      <c r="W61" s="23">
        <f>IF(LEFT(T61,8)="Revenue|",-N(O61),0)+IF(LEFT(U61,8)="Revenue|",N(K61),0)+IF(LEFT(V61,8)="Revenue|",N(P61),0)</f>
        <v/>
      </c>
      <c r="X61" s="23">
        <f>IF(LEFT(T61,5)="COGS|",N(O61),0)+IF(LEFT(U61,5)="COGS|",-N(K61),0)+IF(LEFT(V61,5)="COGS|",-N(P61),0)</f>
        <v/>
      </c>
      <c r="Y61" s="23">
        <f>IF(LEFT(T61,8)="Expense|",N(O61),0)+IF(LEFT(U61,8)="Expense|",-N(K61),0)+IF(LEFT(V61,8)="Expense|",-N(P61),0)</f>
        <v/>
      </c>
      <c r="Z61" s="23">
        <f>IF(ISNUMBER(MATCH(T61,{"Expense|employee","Expense|general_admin","Expense|marketing","Expense|utilities","Expense|other_operating"},0)),N(O61),0)+IF(ISNUMBER(MATCH(U61,{"Expense|employee","Expense|general_admin","Expense|marketing","Expense|utilities","Expense|other_operating"},0)),-N(K61),0)+IF(ISNUMBER(MATCH(V61,{"Expense|employee","Expense|general_admin","Expense|marketing","Expense|utilities","Expense|other_operating"},0)),-N(P61),0)</f>
        <v/>
      </c>
      <c r="AA61" s="23">
        <f>IF(T61="Liability|payable",-N(O61),0)+IF(U61="Liability|payable",N(K61),0)+IF(V61="Liability|payable",N(P61),0)</f>
        <v/>
      </c>
      <c r="AB61" s="23">
        <f>IF(T61="Liability|accrued",-N(O61),0)+IF(U61="Liability|accrued",N(K61),0)+IF(V61="Liability|accrued",N(P61),0)</f>
        <v/>
      </c>
      <c r="AC61" s="23">
        <f>IF(AND(N(O61)&lt;&gt;0,T61=""),1,0)+IF(AND(N(K61)&lt;&gt;0,U61=""),1,0)+IF(AND(N(P61)&lt;&gt;0,V61=""),1,0)</f>
        <v/>
      </c>
    </row>
    <row r="62">
      <c r="A62" s="19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20" t="n"/>
      <c r="K62" s="20" t="n"/>
      <c r="L62" s="14" t="n"/>
      <c r="M62" s="14" t="n"/>
      <c r="N62" s="14" t="n"/>
      <c r="O62" s="21">
        <f>ROUND(N(I62)*N(J62),2)</f>
        <v/>
      </c>
      <c r="P62" s="21">
        <f>O62-N(K62)</f>
        <v/>
      </c>
      <c r="Q62" s="16">
        <f>IF(F62&lt;&gt;"",F62&amp;"",IF(LEFT(E62,6)="Indire",INDEX('Chart of Accounts'!$A$5:$A$3000,MATCH("project_overhead",'Chart of Accounts'!$F$5:$F$3000,0)),IF(LEFT(E62,6)="Admini",INDEX('Chart of Accounts'!$A$5:$A$3000,MATCH("admin_salaries",'Chart of Accounts'!$F$5:$F$3000,0)),INDEX('Chart of Accounts'!$A$5:$A$3000,MATCH("direct_labour",'Chart of Accounts'!$F$5:$F$3000,0)))))</f>
        <v/>
      </c>
      <c r="R62" s="16">
        <f>IF(M62="",INDEX('Chart of Accounts'!$A$5:$A$3000,MATCH("bank",'Chart of Accounts'!$F$5:$F$3000,0)),M62&amp;"")</f>
        <v/>
      </c>
      <c r="S62" s="16">
        <f>IF(N62="",INDEX('Chart of Accounts'!$A$5:$A$3000,MATCH("accrued_payroll",'Chart of Accounts'!$F$5:$F$3000,0)),N62&amp;"")</f>
        <v/>
      </c>
      <c r="T62" s="23">
        <f>IFERROR(INDEX('Chart of Accounts'!$C$5:$C$3000,MATCH(Q62&amp;"",'Chart of Accounts'!$A$5:$A$3000,0))&amp;"|"&amp;INDEX('Chart of Accounts'!$D$5:$D$3000,MATCH(Q62&amp;"",'Chart of Accounts'!$A$5:$A$3000,0)),"")</f>
        <v/>
      </c>
      <c r="U62" s="23">
        <f>IFERROR(INDEX('Chart of Accounts'!$C$5:$C$3000,MATCH(R62&amp;"",'Chart of Accounts'!$A$5:$A$3000,0))&amp;"|"&amp;INDEX('Chart of Accounts'!$D$5:$D$3000,MATCH(R62&amp;"",'Chart of Accounts'!$A$5:$A$3000,0)),"")</f>
        <v/>
      </c>
      <c r="V62" s="23">
        <f>IFERROR(INDEX('Chart of Accounts'!$C$5:$C$3000,MATCH(S62&amp;"",'Chart of Accounts'!$A$5:$A$3000,0))&amp;"|"&amp;INDEX('Chart of Accounts'!$D$5:$D$3000,MATCH(S62&amp;"",'Chart of Accounts'!$A$5:$A$3000,0)),"")</f>
        <v/>
      </c>
      <c r="W62" s="23">
        <f>IF(LEFT(T62,8)="Revenue|",-N(O62),0)+IF(LEFT(U62,8)="Revenue|",N(K62),0)+IF(LEFT(V62,8)="Revenue|",N(P62),0)</f>
        <v/>
      </c>
      <c r="X62" s="23">
        <f>IF(LEFT(T62,5)="COGS|",N(O62),0)+IF(LEFT(U62,5)="COGS|",-N(K62),0)+IF(LEFT(V62,5)="COGS|",-N(P62),0)</f>
        <v/>
      </c>
      <c r="Y62" s="23">
        <f>IF(LEFT(T62,8)="Expense|",N(O62),0)+IF(LEFT(U62,8)="Expense|",-N(K62),0)+IF(LEFT(V62,8)="Expense|",-N(P62),0)</f>
        <v/>
      </c>
      <c r="Z62" s="23">
        <f>IF(ISNUMBER(MATCH(T62,{"Expense|employee","Expense|general_admin","Expense|marketing","Expense|utilities","Expense|other_operating"},0)),N(O62),0)+IF(ISNUMBER(MATCH(U62,{"Expense|employee","Expense|general_admin","Expense|marketing","Expense|utilities","Expense|other_operating"},0)),-N(K62),0)+IF(ISNUMBER(MATCH(V62,{"Expense|employee","Expense|general_admin","Expense|marketing","Expense|utilities","Expense|other_operating"},0)),-N(P62),0)</f>
        <v/>
      </c>
      <c r="AA62" s="23">
        <f>IF(T62="Liability|payable",-N(O62),0)+IF(U62="Liability|payable",N(K62),0)+IF(V62="Liability|payable",N(P62),0)</f>
        <v/>
      </c>
      <c r="AB62" s="23">
        <f>IF(T62="Liability|accrued",-N(O62),0)+IF(U62="Liability|accrued",N(K62),0)+IF(V62="Liability|accrued",N(P62),0)</f>
        <v/>
      </c>
      <c r="AC62" s="23">
        <f>IF(AND(N(O62)&lt;&gt;0,T62=""),1,0)+IF(AND(N(K62)&lt;&gt;0,U62=""),1,0)+IF(AND(N(P62)&lt;&gt;0,V62=""),1,0)</f>
        <v/>
      </c>
    </row>
    <row r="63">
      <c r="A63" s="19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20" t="n"/>
      <c r="K63" s="20" t="n"/>
      <c r="L63" s="14" t="n"/>
      <c r="M63" s="14" t="n"/>
      <c r="N63" s="14" t="n"/>
      <c r="O63" s="21">
        <f>ROUND(N(I63)*N(J63),2)</f>
        <v/>
      </c>
      <c r="P63" s="21">
        <f>O63-N(K63)</f>
        <v/>
      </c>
      <c r="Q63" s="16">
        <f>IF(F63&lt;&gt;"",F63&amp;"",IF(LEFT(E63,6)="Indire",INDEX('Chart of Accounts'!$A$5:$A$3000,MATCH("project_overhead",'Chart of Accounts'!$F$5:$F$3000,0)),IF(LEFT(E63,6)="Admini",INDEX('Chart of Accounts'!$A$5:$A$3000,MATCH("admin_salaries",'Chart of Accounts'!$F$5:$F$3000,0)),INDEX('Chart of Accounts'!$A$5:$A$3000,MATCH("direct_labour",'Chart of Accounts'!$F$5:$F$3000,0)))))</f>
        <v/>
      </c>
      <c r="R63" s="16">
        <f>IF(M63="",INDEX('Chart of Accounts'!$A$5:$A$3000,MATCH("bank",'Chart of Accounts'!$F$5:$F$3000,0)),M63&amp;"")</f>
        <v/>
      </c>
      <c r="S63" s="16">
        <f>IF(N63="",INDEX('Chart of Accounts'!$A$5:$A$3000,MATCH("accrued_payroll",'Chart of Accounts'!$F$5:$F$3000,0)),N63&amp;"")</f>
        <v/>
      </c>
      <c r="T63" s="23">
        <f>IFERROR(INDEX('Chart of Accounts'!$C$5:$C$3000,MATCH(Q63&amp;"",'Chart of Accounts'!$A$5:$A$3000,0))&amp;"|"&amp;INDEX('Chart of Accounts'!$D$5:$D$3000,MATCH(Q63&amp;"",'Chart of Accounts'!$A$5:$A$3000,0)),"")</f>
        <v/>
      </c>
      <c r="U63" s="23">
        <f>IFERROR(INDEX('Chart of Accounts'!$C$5:$C$3000,MATCH(R63&amp;"",'Chart of Accounts'!$A$5:$A$3000,0))&amp;"|"&amp;INDEX('Chart of Accounts'!$D$5:$D$3000,MATCH(R63&amp;"",'Chart of Accounts'!$A$5:$A$3000,0)),"")</f>
        <v/>
      </c>
      <c r="V63" s="23">
        <f>IFERROR(INDEX('Chart of Accounts'!$C$5:$C$3000,MATCH(S63&amp;"",'Chart of Accounts'!$A$5:$A$3000,0))&amp;"|"&amp;INDEX('Chart of Accounts'!$D$5:$D$3000,MATCH(S63&amp;"",'Chart of Accounts'!$A$5:$A$3000,0)),"")</f>
        <v/>
      </c>
      <c r="W63" s="23">
        <f>IF(LEFT(T63,8)="Revenue|",-N(O63),0)+IF(LEFT(U63,8)="Revenue|",N(K63),0)+IF(LEFT(V63,8)="Revenue|",N(P63),0)</f>
        <v/>
      </c>
      <c r="X63" s="23">
        <f>IF(LEFT(T63,5)="COGS|",N(O63),0)+IF(LEFT(U63,5)="COGS|",-N(K63),0)+IF(LEFT(V63,5)="COGS|",-N(P63),0)</f>
        <v/>
      </c>
      <c r="Y63" s="23">
        <f>IF(LEFT(T63,8)="Expense|",N(O63),0)+IF(LEFT(U63,8)="Expense|",-N(K63),0)+IF(LEFT(V63,8)="Expense|",-N(P63),0)</f>
        <v/>
      </c>
      <c r="Z63" s="23">
        <f>IF(ISNUMBER(MATCH(T63,{"Expense|employee","Expense|general_admin","Expense|marketing","Expense|utilities","Expense|other_operating"},0)),N(O63),0)+IF(ISNUMBER(MATCH(U63,{"Expense|employee","Expense|general_admin","Expense|marketing","Expense|utilities","Expense|other_operating"},0)),-N(K63),0)+IF(ISNUMBER(MATCH(V63,{"Expense|employee","Expense|general_admin","Expense|marketing","Expense|utilities","Expense|other_operating"},0)),-N(P63),0)</f>
        <v/>
      </c>
      <c r="AA63" s="23">
        <f>IF(T63="Liability|payable",-N(O63),0)+IF(U63="Liability|payable",N(K63),0)+IF(V63="Liability|payable",N(P63),0)</f>
        <v/>
      </c>
      <c r="AB63" s="23">
        <f>IF(T63="Liability|accrued",-N(O63),0)+IF(U63="Liability|accrued",N(K63),0)+IF(V63="Liability|accrued",N(P63),0)</f>
        <v/>
      </c>
      <c r="AC63" s="23">
        <f>IF(AND(N(O63)&lt;&gt;0,T63=""),1,0)+IF(AND(N(K63)&lt;&gt;0,U63=""),1,0)+IF(AND(N(P63)&lt;&gt;0,V63=""),1,0)</f>
        <v/>
      </c>
    </row>
    <row r="64">
      <c r="A64" s="19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20" t="n"/>
      <c r="K64" s="20" t="n"/>
      <c r="L64" s="14" t="n"/>
      <c r="M64" s="14" t="n"/>
      <c r="N64" s="14" t="n"/>
      <c r="O64" s="21">
        <f>ROUND(N(I64)*N(J64),2)</f>
        <v/>
      </c>
      <c r="P64" s="21">
        <f>O64-N(K64)</f>
        <v/>
      </c>
      <c r="Q64" s="16">
        <f>IF(F64&lt;&gt;"",F64&amp;"",IF(LEFT(E64,6)="Indire",INDEX('Chart of Accounts'!$A$5:$A$3000,MATCH("project_overhead",'Chart of Accounts'!$F$5:$F$3000,0)),IF(LEFT(E64,6)="Admini",INDEX('Chart of Accounts'!$A$5:$A$3000,MATCH("admin_salaries",'Chart of Accounts'!$F$5:$F$3000,0)),INDEX('Chart of Accounts'!$A$5:$A$3000,MATCH("direct_labour",'Chart of Accounts'!$F$5:$F$3000,0)))))</f>
        <v/>
      </c>
      <c r="R64" s="16">
        <f>IF(M64="",INDEX('Chart of Accounts'!$A$5:$A$3000,MATCH("bank",'Chart of Accounts'!$F$5:$F$3000,0)),M64&amp;"")</f>
        <v/>
      </c>
      <c r="S64" s="16">
        <f>IF(N64="",INDEX('Chart of Accounts'!$A$5:$A$3000,MATCH("accrued_payroll",'Chart of Accounts'!$F$5:$F$3000,0)),N64&amp;"")</f>
        <v/>
      </c>
      <c r="T64" s="23">
        <f>IFERROR(INDEX('Chart of Accounts'!$C$5:$C$3000,MATCH(Q64&amp;"",'Chart of Accounts'!$A$5:$A$3000,0))&amp;"|"&amp;INDEX('Chart of Accounts'!$D$5:$D$3000,MATCH(Q64&amp;"",'Chart of Accounts'!$A$5:$A$3000,0)),"")</f>
        <v/>
      </c>
      <c r="U64" s="23">
        <f>IFERROR(INDEX('Chart of Accounts'!$C$5:$C$3000,MATCH(R64&amp;"",'Chart of Accounts'!$A$5:$A$3000,0))&amp;"|"&amp;INDEX('Chart of Accounts'!$D$5:$D$3000,MATCH(R64&amp;"",'Chart of Accounts'!$A$5:$A$3000,0)),"")</f>
        <v/>
      </c>
      <c r="V64" s="23">
        <f>IFERROR(INDEX('Chart of Accounts'!$C$5:$C$3000,MATCH(S64&amp;"",'Chart of Accounts'!$A$5:$A$3000,0))&amp;"|"&amp;INDEX('Chart of Accounts'!$D$5:$D$3000,MATCH(S64&amp;"",'Chart of Accounts'!$A$5:$A$3000,0)),"")</f>
        <v/>
      </c>
      <c r="W64" s="23">
        <f>IF(LEFT(T64,8)="Revenue|",-N(O64),0)+IF(LEFT(U64,8)="Revenue|",N(K64),0)+IF(LEFT(V64,8)="Revenue|",N(P64),0)</f>
        <v/>
      </c>
      <c r="X64" s="23">
        <f>IF(LEFT(T64,5)="COGS|",N(O64),0)+IF(LEFT(U64,5)="COGS|",-N(K64),0)+IF(LEFT(V64,5)="COGS|",-N(P64),0)</f>
        <v/>
      </c>
      <c r="Y64" s="23">
        <f>IF(LEFT(T64,8)="Expense|",N(O64),0)+IF(LEFT(U64,8)="Expense|",-N(K64),0)+IF(LEFT(V64,8)="Expense|",-N(P64),0)</f>
        <v/>
      </c>
      <c r="Z64" s="23">
        <f>IF(ISNUMBER(MATCH(T64,{"Expense|employee","Expense|general_admin","Expense|marketing","Expense|utilities","Expense|other_operating"},0)),N(O64),0)+IF(ISNUMBER(MATCH(U64,{"Expense|employee","Expense|general_admin","Expense|marketing","Expense|utilities","Expense|other_operating"},0)),-N(K64),0)+IF(ISNUMBER(MATCH(V64,{"Expense|employee","Expense|general_admin","Expense|marketing","Expense|utilities","Expense|other_operating"},0)),-N(P64),0)</f>
        <v/>
      </c>
      <c r="AA64" s="23">
        <f>IF(T64="Liability|payable",-N(O64),0)+IF(U64="Liability|payable",N(K64),0)+IF(V64="Liability|payable",N(P64),0)</f>
        <v/>
      </c>
      <c r="AB64" s="23">
        <f>IF(T64="Liability|accrued",-N(O64),0)+IF(U64="Liability|accrued",N(K64),0)+IF(V64="Liability|accrued",N(P64),0)</f>
        <v/>
      </c>
      <c r="AC64" s="23">
        <f>IF(AND(N(O64)&lt;&gt;0,T64=""),1,0)+IF(AND(N(K64)&lt;&gt;0,U64=""),1,0)+IF(AND(N(P64)&lt;&gt;0,V64=""),1,0)</f>
        <v/>
      </c>
    </row>
    <row r="65">
      <c r="A65" s="19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20" t="n"/>
      <c r="K65" s="20" t="n"/>
      <c r="L65" s="14" t="n"/>
      <c r="M65" s="14" t="n"/>
      <c r="N65" s="14" t="n"/>
      <c r="O65" s="21">
        <f>ROUND(N(I65)*N(J65),2)</f>
        <v/>
      </c>
      <c r="P65" s="21">
        <f>O65-N(K65)</f>
        <v/>
      </c>
      <c r="Q65" s="16">
        <f>IF(F65&lt;&gt;"",F65&amp;"",IF(LEFT(E65,6)="Indire",INDEX('Chart of Accounts'!$A$5:$A$3000,MATCH("project_overhead",'Chart of Accounts'!$F$5:$F$3000,0)),IF(LEFT(E65,6)="Admini",INDEX('Chart of Accounts'!$A$5:$A$3000,MATCH("admin_salaries",'Chart of Accounts'!$F$5:$F$3000,0)),INDEX('Chart of Accounts'!$A$5:$A$3000,MATCH("direct_labour",'Chart of Accounts'!$F$5:$F$3000,0)))))</f>
        <v/>
      </c>
      <c r="R65" s="16">
        <f>IF(M65="",INDEX('Chart of Accounts'!$A$5:$A$3000,MATCH("bank",'Chart of Accounts'!$F$5:$F$3000,0)),M65&amp;"")</f>
        <v/>
      </c>
      <c r="S65" s="16">
        <f>IF(N65="",INDEX('Chart of Accounts'!$A$5:$A$3000,MATCH("accrued_payroll",'Chart of Accounts'!$F$5:$F$3000,0)),N65&amp;"")</f>
        <v/>
      </c>
      <c r="T65" s="23">
        <f>IFERROR(INDEX('Chart of Accounts'!$C$5:$C$3000,MATCH(Q65&amp;"",'Chart of Accounts'!$A$5:$A$3000,0))&amp;"|"&amp;INDEX('Chart of Accounts'!$D$5:$D$3000,MATCH(Q65&amp;"",'Chart of Accounts'!$A$5:$A$3000,0)),"")</f>
        <v/>
      </c>
      <c r="U65" s="23">
        <f>IFERROR(INDEX('Chart of Accounts'!$C$5:$C$3000,MATCH(R65&amp;"",'Chart of Accounts'!$A$5:$A$3000,0))&amp;"|"&amp;INDEX('Chart of Accounts'!$D$5:$D$3000,MATCH(R65&amp;"",'Chart of Accounts'!$A$5:$A$3000,0)),"")</f>
        <v/>
      </c>
      <c r="V65" s="23">
        <f>IFERROR(INDEX('Chart of Accounts'!$C$5:$C$3000,MATCH(S65&amp;"",'Chart of Accounts'!$A$5:$A$3000,0))&amp;"|"&amp;INDEX('Chart of Accounts'!$D$5:$D$3000,MATCH(S65&amp;"",'Chart of Accounts'!$A$5:$A$3000,0)),"")</f>
        <v/>
      </c>
      <c r="W65" s="23">
        <f>IF(LEFT(T65,8)="Revenue|",-N(O65),0)+IF(LEFT(U65,8)="Revenue|",N(K65),0)+IF(LEFT(V65,8)="Revenue|",N(P65),0)</f>
        <v/>
      </c>
      <c r="X65" s="23">
        <f>IF(LEFT(T65,5)="COGS|",N(O65),0)+IF(LEFT(U65,5)="COGS|",-N(K65),0)+IF(LEFT(V65,5)="COGS|",-N(P65),0)</f>
        <v/>
      </c>
      <c r="Y65" s="23">
        <f>IF(LEFT(T65,8)="Expense|",N(O65),0)+IF(LEFT(U65,8)="Expense|",-N(K65),0)+IF(LEFT(V65,8)="Expense|",-N(P65),0)</f>
        <v/>
      </c>
      <c r="Z65" s="23">
        <f>IF(ISNUMBER(MATCH(T65,{"Expense|employee","Expense|general_admin","Expense|marketing","Expense|utilities","Expense|other_operating"},0)),N(O65),0)+IF(ISNUMBER(MATCH(U65,{"Expense|employee","Expense|general_admin","Expense|marketing","Expense|utilities","Expense|other_operating"},0)),-N(K65),0)+IF(ISNUMBER(MATCH(V65,{"Expense|employee","Expense|general_admin","Expense|marketing","Expense|utilities","Expense|other_operating"},0)),-N(P65),0)</f>
        <v/>
      </c>
      <c r="AA65" s="23">
        <f>IF(T65="Liability|payable",-N(O65),0)+IF(U65="Liability|payable",N(K65),0)+IF(V65="Liability|payable",N(P65),0)</f>
        <v/>
      </c>
      <c r="AB65" s="23">
        <f>IF(T65="Liability|accrued",-N(O65),0)+IF(U65="Liability|accrued",N(K65),0)+IF(V65="Liability|accrued",N(P65),0)</f>
        <v/>
      </c>
      <c r="AC65" s="23">
        <f>IF(AND(N(O65)&lt;&gt;0,T65=""),1,0)+IF(AND(N(K65)&lt;&gt;0,U65=""),1,0)+IF(AND(N(P65)&lt;&gt;0,V65=""),1,0)</f>
        <v/>
      </c>
    </row>
    <row r="66">
      <c r="A66" s="19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20" t="n"/>
      <c r="K66" s="20" t="n"/>
      <c r="L66" s="14" t="n"/>
      <c r="M66" s="14" t="n"/>
      <c r="N66" s="14" t="n"/>
      <c r="O66" s="21">
        <f>ROUND(N(I66)*N(J66),2)</f>
        <v/>
      </c>
      <c r="P66" s="21">
        <f>O66-N(K66)</f>
        <v/>
      </c>
      <c r="Q66" s="16">
        <f>IF(F66&lt;&gt;"",F66&amp;"",IF(LEFT(E66,6)="Indire",INDEX('Chart of Accounts'!$A$5:$A$3000,MATCH("project_overhead",'Chart of Accounts'!$F$5:$F$3000,0)),IF(LEFT(E66,6)="Admini",INDEX('Chart of Accounts'!$A$5:$A$3000,MATCH("admin_salaries",'Chart of Accounts'!$F$5:$F$3000,0)),INDEX('Chart of Accounts'!$A$5:$A$3000,MATCH("direct_labour",'Chart of Accounts'!$F$5:$F$3000,0)))))</f>
        <v/>
      </c>
      <c r="R66" s="16">
        <f>IF(M66="",INDEX('Chart of Accounts'!$A$5:$A$3000,MATCH("bank",'Chart of Accounts'!$F$5:$F$3000,0)),M66&amp;"")</f>
        <v/>
      </c>
      <c r="S66" s="16">
        <f>IF(N66="",INDEX('Chart of Accounts'!$A$5:$A$3000,MATCH("accrued_payroll",'Chart of Accounts'!$F$5:$F$3000,0)),N66&amp;"")</f>
        <v/>
      </c>
      <c r="T66" s="23">
        <f>IFERROR(INDEX('Chart of Accounts'!$C$5:$C$3000,MATCH(Q66&amp;"",'Chart of Accounts'!$A$5:$A$3000,0))&amp;"|"&amp;INDEX('Chart of Accounts'!$D$5:$D$3000,MATCH(Q66&amp;"",'Chart of Accounts'!$A$5:$A$3000,0)),"")</f>
        <v/>
      </c>
      <c r="U66" s="23">
        <f>IFERROR(INDEX('Chart of Accounts'!$C$5:$C$3000,MATCH(R66&amp;"",'Chart of Accounts'!$A$5:$A$3000,0))&amp;"|"&amp;INDEX('Chart of Accounts'!$D$5:$D$3000,MATCH(R66&amp;"",'Chart of Accounts'!$A$5:$A$3000,0)),"")</f>
        <v/>
      </c>
      <c r="V66" s="23">
        <f>IFERROR(INDEX('Chart of Accounts'!$C$5:$C$3000,MATCH(S66&amp;"",'Chart of Accounts'!$A$5:$A$3000,0))&amp;"|"&amp;INDEX('Chart of Accounts'!$D$5:$D$3000,MATCH(S66&amp;"",'Chart of Accounts'!$A$5:$A$3000,0)),"")</f>
        <v/>
      </c>
      <c r="W66" s="23">
        <f>IF(LEFT(T66,8)="Revenue|",-N(O66),0)+IF(LEFT(U66,8)="Revenue|",N(K66),0)+IF(LEFT(V66,8)="Revenue|",N(P66),0)</f>
        <v/>
      </c>
      <c r="X66" s="23">
        <f>IF(LEFT(T66,5)="COGS|",N(O66),0)+IF(LEFT(U66,5)="COGS|",-N(K66),0)+IF(LEFT(V66,5)="COGS|",-N(P66),0)</f>
        <v/>
      </c>
      <c r="Y66" s="23">
        <f>IF(LEFT(T66,8)="Expense|",N(O66),0)+IF(LEFT(U66,8)="Expense|",-N(K66),0)+IF(LEFT(V66,8)="Expense|",-N(P66),0)</f>
        <v/>
      </c>
      <c r="Z66" s="23">
        <f>IF(ISNUMBER(MATCH(T66,{"Expense|employee","Expense|general_admin","Expense|marketing","Expense|utilities","Expense|other_operating"},0)),N(O66),0)+IF(ISNUMBER(MATCH(U66,{"Expense|employee","Expense|general_admin","Expense|marketing","Expense|utilities","Expense|other_operating"},0)),-N(K66),0)+IF(ISNUMBER(MATCH(V66,{"Expense|employee","Expense|general_admin","Expense|marketing","Expense|utilities","Expense|other_operating"},0)),-N(P66),0)</f>
        <v/>
      </c>
      <c r="AA66" s="23">
        <f>IF(T66="Liability|payable",-N(O66),0)+IF(U66="Liability|payable",N(K66),0)+IF(V66="Liability|payable",N(P66),0)</f>
        <v/>
      </c>
      <c r="AB66" s="23">
        <f>IF(T66="Liability|accrued",-N(O66),0)+IF(U66="Liability|accrued",N(K66),0)+IF(V66="Liability|accrued",N(P66),0)</f>
        <v/>
      </c>
      <c r="AC66" s="23">
        <f>IF(AND(N(O66)&lt;&gt;0,T66=""),1,0)+IF(AND(N(K66)&lt;&gt;0,U66=""),1,0)+IF(AND(N(P66)&lt;&gt;0,V66=""),1,0)</f>
        <v/>
      </c>
    </row>
    <row r="67">
      <c r="A67" s="19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20" t="n"/>
      <c r="K67" s="20" t="n"/>
      <c r="L67" s="14" t="n"/>
      <c r="M67" s="14" t="n"/>
      <c r="N67" s="14" t="n"/>
      <c r="O67" s="21">
        <f>ROUND(N(I67)*N(J67),2)</f>
        <v/>
      </c>
      <c r="P67" s="21">
        <f>O67-N(K67)</f>
        <v/>
      </c>
      <c r="Q67" s="16">
        <f>IF(F67&lt;&gt;"",F67&amp;"",IF(LEFT(E67,6)="Indire",INDEX('Chart of Accounts'!$A$5:$A$3000,MATCH("project_overhead",'Chart of Accounts'!$F$5:$F$3000,0)),IF(LEFT(E67,6)="Admini",INDEX('Chart of Accounts'!$A$5:$A$3000,MATCH("admin_salaries",'Chart of Accounts'!$F$5:$F$3000,0)),INDEX('Chart of Accounts'!$A$5:$A$3000,MATCH("direct_labour",'Chart of Accounts'!$F$5:$F$3000,0)))))</f>
        <v/>
      </c>
      <c r="R67" s="16">
        <f>IF(M67="",INDEX('Chart of Accounts'!$A$5:$A$3000,MATCH("bank",'Chart of Accounts'!$F$5:$F$3000,0)),M67&amp;"")</f>
        <v/>
      </c>
      <c r="S67" s="16">
        <f>IF(N67="",INDEX('Chart of Accounts'!$A$5:$A$3000,MATCH("accrued_payroll",'Chart of Accounts'!$F$5:$F$3000,0)),N67&amp;"")</f>
        <v/>
      </c>
      <c r="T67" s="23">
        <f>IFERROR(INDEX('Chart of Accounts'!$C$5:$C$3000,MATCH(Q67&amp;"",'Chart of Accounts'!$A$5:$A$3000,0))&amp;"|"&amp;INDEX('Chart of Accounts'!$D$5:$D$3000,MATCH(Q67&amp;"",'Chart of Accounts'!$A$5:$A$3000,0)),"")</f>
        <v/>
      </c>
      <c r="U67" s="23">
        <f>IFERROR(INDEX('Chart of Accounts'!$C$5:$C$3000,MATCH(R67&amp;"",'Chart of Accounts'!$A$5:$A$3000,0))&amp;"|"&amp;INDEX('Chart of Accounts'!$D$5:$D$3000,MATCH(R67&amp;"",'Chart of Accounts'!$A$5:$A$3000,0)),"")</f>
        <v/>
      </c>
      <c r="V67" s="23">
        <f>IFERROR(INDEX('Chart of Accounts'!$C$5:$C$3000,MATCH(S67&amp;"",'Chart of Accounts'!$A$5:$A$3000,0))&amp;"|"&amp;INDEX('Chart of Accounts'!$D$5:$D$3000,MATCH(S67&amp;"",'Chart of Accounts'!$A$5:$A$3000,0)),"")</f>
        <v/>
      </c>
      <c r="W67" s="23">
        <f>IF(LEFT(T67,8)="Revenue|",-N(O67),0)+IF(LEFT(U67,8)="Revenue|",N(K67),0)+IF(LEFT(V67,8)="Revenue|",N(P67),0)</f>
        <v/>
      </c>
      <c r="X67" s="23">
        <f>IF(LEFT(T67,5)="COGS|",N(O67),0)+IF(LEFT(U67,5)="COGS|",-N(K67),0)+IF(LEFT(V67,5)="COGS|",-N(P67),0)</f>
        <v/>
      </c>
      <c r="Y67" s="23">
        <f>IF(LEFT(T67,8)="Expense|",N(O67),0)+IF(LEFT(U67,8)="Expense|",-N(K67),0)+IF(LEFT(V67,8)="Expense|",-N(P67),0)</f>
        <v/>
      </c>
      <c r="Z67" s="23">
        <f>IF(ISNUMBER(MATCH(T67,{"Expense|employee","Expense|general_admin","Expense|marketing","Expense|utilities","Expense|other_operating"},0)),N(O67),0)+IF(ISNUMBER(MATCH(U67,{"Expense|employee","Expense|general_admin","Expense|marketing","Expense|utilities","Expense|other_operating"},0)),-N(K67),0)+IF(ISNUMBER(MATCH(V67,{"Expense|employee","Expense|general_admin","Expense|marketing","Expense|utilities","Expense|other_operating"},0)),-N(P67),0)</f>
        <v/>
      </c>
      <c r="AA67" s="23">
        <f>IF(T67="Liability|payable",-N(O67),0)+IF(U67="Liability|payable",N(K67),0)+IF(V67="Liability|payable",N(P67),0)</f>
        <v/>
      </c>
      <c r="AB67" s="23">
        <f>IF(T67="Liability|accrued",-N(O67),0)+IF(U67="Liability|accrued",N(K67),0)+IF(V67="Liability|accrued",N(P67),0)</f>
        <v/>
      </c>
      <c r="AC67" s="23">
        <f>IF(AND(N(O67)&lt;&gt;0,T67=""),1,0)+IF(AND(N(K67)&lt;&gt;0,U67=""),1,0)+IF(AND(N(P67)&lt;&gt;0,V67=""),1,0)</f>
        <v/>
      </c>
    </row>
    <row r="68">
      <c r="A68" s="19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20" t="n"/>
      <c r="K68" s="20" t="n"/>
      <c r="L68" s="14" t="n"/>
      <c r="M68" s="14" t="n"/>
      <c r="N68" s="14" t="n"/>
      <c r="O68" s="21">
        <f>ROUND(N(I68)*N(J68),2)</f>
        <v/>
      </c>
      <c r="P68" s="21">
        <f>O68-N(K68)</f>
        <v/>
      </c>
      <c r="Q68" s="16">
        <f>IF(F68&lt;&gt;"",F68&amp;"",IF(LEFT(E68,6)="Indire",INDEX('Chart of Accounts'!$A$5:$A$3000,MATCH("project_overhead",'Chart of Accounts'!$F$5:$F$3000,0)),IF(LEFT(E68,6)="Admini",INDEX('Chart of Accounts'!$A$5:$A$3000,MATCH("admin_salaries",'Chart of Accounts'!$F$5:$F$3000,0)),INDEX('Chart of Accounts'!$A$5:$A$3000,MATCH("direct_labour",'Chart of Accounts'!$F$5:$F$3000,0)))))</f>
        <v/>
      </c>
      <c r="R68" s="16">
        <f>IF(M68="",INDEX('Chart of Accounts'!$A$5:$A$3000,MATCH("bank",'Chart of Accounts'!$F$5:$F$3000,0)),M68&amp;"")</f>
        <v/>
      </c>
      <c r="S68" s="16">
        <f>IF(N68="",INDEX('Chart of Accounts'!$A$5:$A$3000,MATCH("accrued_payroll",'Chart of Accounts'!$F$5:$F$3000,0)),N68&amp;"")</f>
        <v/>
      </c>
      <c r="T68" s="23">
        <f>IFERROR(INDEX('Chart of Accounts'!$C$5:$C$3000,MATCH(Q68&amp;"",'Chart of Accounts'!$A$5:$A$3000,0))&amp;"|"&amp;INDEX('Chart of Accounts'!$D$5:$D$3000,MATCH(Q68&amp;"",'Chart of Accounts'!$A$5:$A$3000,0)),"")</f>
        <v/>
      </c>
      <c r="U68" s="23">
        <f>IFERROR(INDEX('Chart of Accounts'!$C$5:$C$3000,MATCH(R68&amp;"",'Chart of Accounts'!$A$5:$A$3000,0))&amp;"|"&amp;INDEX('Chart of Accounts'!$D$5:$D$3000,MATCH(R68&amp;"",'Chart of Accounts'!$A$5:$A$3000,0)),"")</f>
        <v/>
      </c>
      <c r="V68" s="23">
        <f>IFERROR(INDEX('Chart of Accounts'!$C$5:$C$3000,MATCH(S68&amp;"",'Chart of Accounts'!$A$5:$A$3000,0))&amp;"|"&amp;INDEX('Chart of Accounts'!$D$5:$D$3000,MATCH(S68&amp;"",'Chart of Accounts'!$A$5:$A$3000,0)),"")</f>
        <v/>
      </c>
      <c r="W68" s="23">
        <f>IF(LEFT(T68,8)="Revenue|",-N(O68),0)+IF(LEFT(U68,8)="Revenue|",N(K68),0)+IF(LEFT(V68,8)="Revenue|",N(P68),0)</f>
        <v/>
      </c>
      <c r="X68" s="23">
        <f>IF(LEFT(T68,5)="COGS|",N(O68),0)+IF(LEFT(U68,5)="COGS|",-N(K68),0)+IF(LEFT(V68,5)="COGS|",-N(P68),0)</f>
        <v/>
      </c>
      <c r="Y68" s="23">
        <f>IF(LEFT(T68,8)="Expense|",N(O68),0)+IF(LEFT(U68,8)="Expense|",-N(K68),0)+IF(LEFT(V68,8)="Expense|",-N(P68),0)</f>
        <v/>
      </c>
      <c r="Z68" s="23">
        <f>IF(ISNUMBER(MATCH(T68,{"Expense|employee","Expense|general_admin","Expense|marketing","Expense|utilities","Expense|other_operating"},0)),N(O68),0)+IF(ISNUMBER(MATCH(U68,{"Expense|employee","Expense|general_admin","Expense|marketing","Expense|utilities","Expense|other_operating"},0)),-N(K68),0)+IF(ISNUMBER(MATCH(V68,{"Expense|employee","Expense|general_admin","Expense|marketing","Expense|utilities","Expense|other_operating"},0)),-N(P68),0)</f>
        <v/>
      </c>
      <c r="AA68" s="23">
        <f>IF(T68="Liability|payable",-N(O68),0)+IF(U68="Liability|payable",N(K68),0)+IF(V68="Liability|payable",N(P68),0)</f>
        <v/>
      </c>
      <c r="AB68" s="23">
        <f>IF(T68="Liability|accrued",-N(O68),0)+IF(U68="Liability|accrued",N(K68),0)+IF(V68="Liability|accrued",N(P68),0)</f>
        <v/>
      </c>
      <c r="AC68" s="23">
        <f>IF(AND(N(O68)&lt;&gt;0,T68=""),1,0)+IF(AND(N(K68)&lt;&gt;0,U68=""),1,0)+IF(AND(N(P68)&lt;&gt;0,V68=""),1,0)</f>
        <v/>
      </c>
    </row>
    <row r="69">
      <c r="A69" s="19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20" t="n"/>
      <c r="K69" s="20" t="n"/>
      <c r="L69" s="14" t="n"/>
      <c r="M69" s="14" t="n"/>
      <c r="N69" s="14" t="n"/>
      <c r="O69" s="21">
        <f>ROUND(N(I69)*N(J69),2)</f>
        <v/>
      </c>
      <c r="P69" s="21">
        <f>O69-N(K69)</f>
        <v/>
      </c>
      <c r="Q69" s="16">
        <f>IF(F69&lt;&gt;"",F69&amp;"",IF(LEFT(E69,6)="Indire",INDEX('Chart of Accounts'!$A$5:$A$3000,MATCH("project_overhead",'Chart of Accounts'!$F$5:$F$3000,0)),IF(LEFT(E69,6)="Admini",INDEX('Chart of Accounts'!$A$5:$A$3000,MATCH("admin_salaries",'Chart of Accounts'!$F$5:$F$3000,0)),INDEX('Chart of Accounts'!$A$5:$A$3000,MATCH("direct_labour",'Chart of Accounts'!$F$5:$F$3000,0)))))</f>
        <v/>
      </c>
      <c r="R69" s="16">
        <f>IF(M69="",INDEX('Chart of Accounts'!$A$5:$A$3000,MATCH("bank",'Chart of Accounts'!$F$5:$F$3000,0)),M69&amp;"")</f>
        <v/>
      </c>
      <c r="S69" s="16">
        <f>IF(N69="",INDEX('Chart of Accounts'!$A$5:$A$3000,MATCH("accrued_payroll",'Chart of Accounts'!$F$5:$F$3000,0)),N69&amp;"")</f>
        <v/>
      </c>
      <c r="T69" s="23">
        <f>IFERROR(INDEX('Chart of Accounts'!$C$5:$C$3000,MATCH(Q69&amp;"",'Chart of Accounts'!$A$5:$A$3000,0))&amp;"|"&amp;INDEX('Chart of Accounts'!$D$5:$D$3000,MATCH(Q69&amp;"",'Chart of Accounts'!$A$5:$A$3000,0)),"")</f>
        <v/>
      </c>
      <c r="U69" s="23">
        <f>IFERROR(INDEX('Chart of Accounts'!$C$5:$C$3000,MATCH(R69&amp;"",'Chart of Accounts'!$A$5:$A$3000,0))&amp;"|"&amp;INDEX('Chart of Accounts'!$D$5:$D$3000,MATCH(R69&amp;"",'Chart of Accounts'!$A$5:$A$3000,0)),"")</f>
        <v/>
      </c>
      <c r="V69" s="23">
        <f>IFERROR(INDEX('Chart of Accounts'!$C$5:$C$3000,MATCH(S69&amp;"",'Chart of Accounts'!$A$5:$A$3000,0))&amp;"|"&amp;INDEX('Chart of Accounts'!$D$5:$D$3000,MATCH(S69&amp;"",'Chart of Accounts'!$A$5:$A$3000,0)),"")</f>
        <v/>
      </c>
      <c r="W69" s="23">
        <f>IF(LEFT(T69,8)="Revenue|",-N(O69),0)+IF(LEFT(U69,8)="Revenue|",N(K69),0)+IF(LEFT(V69,8)="Revenue|",N(P69),0)</f>
        <v/>
      </c>
      <c r="X69" s="23">
        <f>IF(LEFT(T69,5)="COGS|",N(O69),0)+IF(LEFT(U69,5)="COGS|",-N(K69),0)+IF(LEFT(V69,5)="COGS|",-N(P69),0)</f>
        <v/>
      </c>
      <c r="Y69" s="23">
        <f>IF(LEFT(T69,8)="Expense|",N(O69),0)+IF(LEFT(U69,8)="Expense|",-N(K69),0)+IF(LEFT(V69,8)="Expense|",-N(P69),0)</f>
        <v/>
      </c>
      <c r="Z69" s="23">
        <f>IF(ISNUMBER(MATCH(T69,{"Expense|employee","Expense|general_admin","Expense|marketing","Expense|utilities","Expense|other_operating"},0)),N(O69),0)+IF(ISNUMBER(MATCH(U69,{"Expense|employee","Expense|general_admin","Expense|marketing","Expense|utilities","Expense|other_operating"},0)),-N(K69),0)+IF(ISNUMBER(MATCH(V69,{"Expense|employee","Expense|general_admin","Expense|marketing","Expense|utilities","Expense|other_operating"},0)),-N(P69),0)</f>
        <v/>
      </c>
      <c r="AA69" s="23">
        <f>IF(T69="Liability|payable",-N(O69),0)+IF(U69="Liability|payable",N(K69),0)+IF(V69="Liability|payable",N(P69),0)</f>
        <v/>
      </c>
      <c r="AB69" s="23">
        <f>IF(T69="Liability|accrued",-N(O69),0)+IF(U69="Liability|accrued",N(K69),0)+IF(V69="Liability|accrued",N(P69),0)</f>
        <v/>
      </c>
      <c r="AC69" s="23">
        <f>IF(AND(N(O69)&lt;&gt;0,T69=""),1,0)+IF(AND(N(K69)&lt;&gt;0,U69=""),1,0)+IF(AND(N(P69)&lt;&gt;0,V69=""),1,0)</f>
        <v/>
      </c>
    </row>
    <row r="70">
      <c r="A70" s="19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20" t="n"/>
      <c r="K70" s="20" t="n"/>
      <c r="L70" s="14" t="n"/>
      <c r="M70" s="14" t="n"/>
      <c r="N70" s="14" t="n"/>
      <c r="O70" s="21">
        <f>ROUND(N(I70)*N(J70),2)</f>
        <v/>
      </c>
      <c r="P70" s="21">
        <f>O70-N(K70)</f>
        <v/>
      </c>
      <c r="Q70" s="16">
        <f>IF(F70&lt;&gt;"",F70&amp;"",IF(LEFT(E70,6)="Indire",INDEX('Chart of Accounts'!$A$5:$A$3000,MATCH("project_overhead",'Chart of Accounts'!$F$5:$F$3000,0)),IF(LEFT(E70,6)="Admini",INDEX('Chart of Accounts'!$A$5:$A$3000,MATCH("admin_salaries",'Chart of Accounts'!$F$5:$F$3000,0)),INDEX('Chart of Accounts'!$A$5:$A$3000,MATCH("direct_labour",'Chart of Accounts'!$F$5:$F$3000,0)))))</f>
        <v/>
      </c>
      <c r="R70" s="16">
        <f>IF(M70="",INDEX('Chart of Accounts'!$A$5:$A$3000,MATCH("bank",'Chart of Accounts'!$F$5:$F$3000,0)),M70&amp;"")</f>
        <v/>
      </c>
      <c r="S70" s="16">
        <f>IF(N70="",INDEX('Chart of Accounts'!$A$5:$A$3000,MATCH("accrued_payroll",'Chart of Accounts'!$F$5:$F$3000,0)),N70&amp;"")</f>
        <v/>
      </c>
      <c r="T70" s="23">
        <f>IFERROR(INDEX('Chart of Accounts'!$C$5:$C$3000,MATCH(Q70&amp;"",'Chart of Accounts'!$A$5:$A$3000,0))&amp;"|"&amp;INDEX('Chart of Accounts'!$D$5:$D$3000,MATCH(Q70&amp;"",'Chart of Accounts'!$A$5:$A$3000,0)),"")</f>
        <v/>
      </c>
      <c r="U70" s="23">
        <f>IFERROR(INDEX('Chart of Accounts'!$C$5:$C$3000,MATCH(R70&amp;"",'Chart of Accounts'!$A$5:$A$3000,0))&amp;"|"&amp;INDEX('Chart of Accounts'!$D$5:$D$3000,MATCH(R70&amp;"",'Chart of Accounts'!$A$5:$A$3000,0)),"")</f>
        <v/>
      </c>
      <c r="V70" s="23">
        <f>IFERROR(INDEX('Chart of Accounts'!$C$5:$C$3000,MATCH(S70&amp;"",'Chart of Accounts'!$A$5:$A$3000,0))&amp;"|"&amp;INDEX('Chart of Accounts'!$D$5:$D$3000,MATCH(S70&amp;"",'Chart of Accounts'!$A$5:$A$3000,0)),"")</f>
        <v/>
      </c>
      <c r="W70" s="23">
        <f>IF(LEFT(T70,8)="Revenue|",-N(O70),0)+IF(LEFT(U70,8)="Revenue|",N(K70),0)+IF(LEFT(V70,8)="Revenue|",N(P70),0)</f>
        <v/>
      </c>
      <c r="X70" s="23">
        <f>IF(LEFT(T70,5)="COGS|",N(O70),0)+IF(LEFT(U70,5)="COGS|",-N(K70),0)+IF(LEFT(V70,5)="COGS|",-N(P70),0)</f>
        <v/>
      </c>
      <c r="Y70" s="23">
        <f>IF(LEFT(T70,8)="Expense|",N(O70),0)+IF(LEFT(U70,8)="Expense|",-N(K70),0)+IF(LEFT(V70,8)="Expense|",-N(P70),0)</f>
        <v/>
      </c>
      <c r="Z70" s="23">
        <f>IF(ISNUMBER(MATCH(T70,{"Expense|employee","Expense|general_admin","Expense|marketing","Expense|utilities","Expense|other_operating"},0)),N(O70),0)+IF(ISNUMBER(MATCH(U70,{"Expense|employee","Expense|general_admin","Expense|marketing","Expense|utilities","Expense|other_operating"},0)),-N(K70),0)+IF(ISNUMBER(MATCH(V70,{"Expense|employee","Expense|general_admin","Expense|marketing","Expense|utilities","Expense|other_operating"},0)),-N(P70),0)</f>
        <v/>
      </c>
      <c r="AA70" s="23">
        <f>IF(T70="Liability|payable",-N(O70),0)+IF(U70="Liability|payable",N(K70),0)+IF(V70="Liability|payable",N(P70),0)</f>
        <v/>
      </c>
      <c r="AB70" s="23">
        <f>IF(T70="Liability|accrued",-N(O70),0)+IF(U70="Liability|accrued",N(K70),0)+IF(V70="Liability|accrued",N(P70),0)</f>
        <v/>
      </c>
      <c r="AC70" s="23">
        <f>IF(AND(N(O70)&lt;&gt;0,T70=""),1,0)+IF(AND(N(K70)&lt;&gt;0,U70=""),1,0)+IF(AND(N(P70)&lt;&gt;0,V70=""),1,0)</f>
        <v/>
      </c>
    </row>
    <row r="71">
      <c r="A71" s="19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20" t="n"/>
      <c r="K71" s="20" t="n"/>
      <c r="L71" s="14" t="n"/>
      <c r="M71" s="14" t="n"/>
      <c r="N71" s="14" t="n"/>
      <c r="O71" s="21">
        <f>ROUND(N(I71)*N(J71),2)</f>
        <v/>
      </c>
      <c r="P71" s="21">
        <f>O71-N(K71)</f>
        <v/>
      </c>
      <c r="Q71" s="16">
        <f>IF(F71&lt;&gt;"",F71&amp;"",IF(LEFT(E71,6)="Indire",INDEX('Chart of Accounts'!$A$5:$A$3000,MATCH("project_overhead",'Chart of Accounts'!$F$5:$F$3000,0)),IF(LEFT(E71,6)="Admini",INDEX('Chart of Accounts'!$A$5:$A$3000,MATCH("admin_salaries",'Chart of Accounts'!$F$5:$F$3000,0)),INDEX('Chart of Accounts'!$A$5:$A$3000,MATCH("direct_labour",'Chart of Accounts'!$F$5:$F$3000,0)))))</f>
        <v/>
      </c>
      <c r="R71" s="16">
        <f>IF(M71="",INDEX('Chart of Accounts'!$A$5:$A$3000,MATCH("bank",'Chart of Accounts'!$F$5:$F$3000,0)),M71&amp;"")</f>
        <v/>
      </c>
      <c r="S71" s="16">
        <f>IF(N71="",INDEX('Chart of Accounts'!$A$5:$A$3000,MATCH("accrued_payroll",'Chart of Accounts'!$F$5:$F$3000,0)),N71&amp;"")</f>
        <v/>
      </c>
      <c r="T71" s="23">
        <f>IFERROR(INDEX('Chart of Accounts'!$C$5:$C$3000,MATCH(Q71&amp;"",'Chart of Accounts'!$A$5:$A$3000,0))&amp;"|"&amp;INDEX('Chart of Accounts'!$D$5:$D$3000,MATCH(Q71&amp;"",'Chart of Accounts'!$A$5:$A$3000,0)),"")</f>
        <v/>
      </c>
      <c r="U71" s="23">
        <f>IFERROR(INDEX('Chart of Accounts'!$C$5:$C$3000,MATCH(R71&amp;"",'Chart of Accounts'!$A$5:$A$3000,0))&amp;"|"&amp;INDEX('Chart of Accounts'!$D$5:$D$3000,MATCH(R71&amp;"",'Chart of Accounts'!$A$5:$A$3000,0)),"")</f>
        <v/>
      </c>
      <c r="V71" s="23">
        <f>IFERROR(INDEX('Chart of Accounts'!$C$5:$C$3000,MATCH(S71&amp;"",'Chart of Accounts'!$A$5:$A$3000,0))&amp;"|"&amp;INDEX('Chart of Accounts'!$D$5:$D$3000,MATCH(S71&amp;"",'Chart of Accounts'!$A$5:$A$3000,0)),"")</f>
        <v/>
      </c>
      <c r="W71" s="23">
        <f>IF(LEFT(T71,8)="Revenue|",-N(O71),0)+IF(LEFT(U71,8)="Revenue|",N(K71),0)+IF(LEFT(V71,8)="Revenue|",N(P71),0)</f>
        <v/>
      </c>
      <c r="X71" s="23">
        <f>IF(LEFT(T71,5)="COGS|",N(O71),0)+IF(LEFT(U71,5)="COGS|",-N(K71),0)+IF(LEFT(V71,5)="COGS|",-N(P71),0)</f>
        <v/>
      </c>
      <c r="Y71" s="23">
        <f>IF(LEFT(T71,8)="Expense|",N(O71),0)+IF(LEFT(U71,8)="Expense|",-N(K71),0)+IF(LEFT(V71,8)="Expense|",-N(P71),0)</f>
        <v/>
      </c>
      <c r="Z71" s="23">
        <f>IF(ISNUMBER(MATCH(T71,{"Expense|employee","Expense|general_admin","Expense|marketing","Expense|utilities","Expense|other_operating"},0)),N(O71),0)+IF(ISNUMBER(MATCH(U71,{"Expense|employee","Expense|general_admin","Expense|marketing","Expense|utilities","Expense|other_operating"},0)),-N(K71),0)+IF(ISNUMBER(MATCH(V71,{"Expense|employee","Expense|general_admin","Expense|marketing","Expense|utilities","Expense|other_operating"},0)),-N(P71),0)</f>
        <v/>
      </c>
      <c r="AA71" s="23">
        <f>IF(T71="Liability|payable",-N(O71),0)+IF(U71="Liability|payable",N(K71),0)+IF(V71="Liability|payable",N(P71),0)</f>
        <v/>
      </c>
      <c r="AB71" s="23">
        <f>IF(T71="Liability|accrued",-N(O71),0)+IF(U71="Liability|accrued",N(K71),0)+IF(V71="Liability|accrued",N(P71),0)</f>
        <v/>
      </c>
      <c r="AC71" s="23">
        <f>IF(AND(N(O71)&lt;&gt;0,T71=""),1,0)+IF(AND(N(K71)&lt;&gt;0,U71=""),1,0)+IF(AND(N(P71)&lt;&gt;0,V71=""),1,0)</f>
        <v/>
      </c>
    </row>
    <row r="72">
      <c r="A72" s="19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20" t="n"/>
      <c r="K72" s="20" t="n"/>
      <c r="L72" s="14" t="n"/>
      <c r="M72" s="14" t="n"/>
      <c r="N72" s="14" t="n"/>
      <c r="O72" s="21">
        <f>ROUND(N(I72)*N(J72),2)</f>
        <v/>
      </c>
      <c r="P72" s="21">
        <f>O72-N(K72)</f>
        <v/>
      </c>
      <c r="Q72" s="16">
        <f>IF(F72&lt;&gt;"",F72&amp;"",IF(LEFT(E72,6)="Indire",INDEX('Chart of Accounts'!$A$5:$A$3000,MATCH("project_overhead",'Chart of Accounts'!$F$5:$F$3000,0)),IF(LEFT(E72,6)="Admini",INDEX('Chart of Accounts'!$A$5:$A$3000,MATCH("admin_salaries",'Chart of Accounts'!$F$5:$F$3000,0)),INDEX('Chart of Accounts'!$A$5:$A$3000,MATCH("direct_labour",'Chart of Accounts'!$F$5:$F$3000,0)))))</f>
        <v/>
      </c>
      <c r="R72" s="16">
        <f>IF(M72="",INDEX('Chart of Accounts'!$A$5:$A$3000,MATCH("bank",'Chart of Accounts'!$F$5:$F$3000,0)),M72&amp;"")</f>
        <v/>
      </c>
      <c r="S72" s="16">
        <f>IF(N72="",INDEX('Chart of Accounts'!$A$5:$A$3000,MATCH("accrued_payroll",'Chart of Accounts'!$F$5:$F$3000,0)),N72&amp;"")</f>
        <v/>
      </c>
      <c r="T72" s="23">
        <f>IFERROR(INDEX('Chart of Accounts'!$C$5:$C$3000,MATCH(Q72&amp;"",'Chart of Accounts'!$A$5:$A$3000,0))&amp;"|"&amp;INDEX('Chart of Accounts'!$D$5:$D$3000,MATCH(Q72&amp;"",'Chart of Accounts'!$A$5:$A$3000,0)),"")</f>
        <v/>
      </c>
      <c r="U72" s="23">
        <f>IFERROR(INDEX('Chart of Accounts'!$C$5:$C$3000,MATCH(R72&amp;"",'Chart of Accounts'!$A$5:$A$3000,0))&amp;"|"&amp;INDEX('Chart of Accounts'!$D$5:$D$3000,MATCH(R72&amp;"",'Chart of Accounts'!$A$5:$A$3000,0)),"")</f>
        <v/>
      </c>
      <c r="V72" s="23">
        <f>IFERROR(INDEX('Chart of Accounts'!$C$5:$C$3000,MATCH(S72&amp;"",'Chart of Accounts'!$A$5:$A$3000,0))&amp;"|"&amp;INDEX('Chart of Accounts'!$D$5:$D$3000,MATCH(S72&amp;"",'Chart of Accounts'!$A$5:$A$3000,0)),"")</f>
        <v/>
      </c>
      <c r="W72" s="23">
        <f>IF(LEFT(T72,8)="Revenue|",-N(O72),0)+IF(LEFT(U72,8)="Revenue|",N(K72),0)+IF(LEFT(V72,8)="Revenue|",N(P72),0)</f>
        <v/>
      </c>
      <c r="X72" s="23">
        <f>IF(LEFT(T72,5)="COGS|",N(O72),0)+IF(LEFT(U72,5)="COGS|",-N(K72),0)+IF(LEFT(V72,5)="COGS|",-N(P72),0)</f>
        <v/>
      </c>
      <c r="Y72" s="23">
        <f>IF(LEFT(T72,8)="Expense|",N(O72),0)+IF(LEFT(U72,8)="Expense|",-N(K72),0)+IF(LEFT(V72,8)="Expense|",-N(P72),0)</f>
        <v/>
      </c>
      <c r="Z72" s="23">
        <f>IF(ISNUMBER(MATCH(T72,{"Expense|employee","Expense|general_admin","Expense|marketing","Expense|utilities","Expense|other_operating"},0)),N(O72),0)+IF(ISNUMBER(MATCH(U72,{"Expense|employee","Expense|general_admin","Expense|marketing","Expense|utilities","Expense|other_operating"},0)),-N(K72),0)+IF(ISNUMBER(MATCH(V72,{"Expense|employee","Expense|general_admin","Expense|marketing","Expense|utilities","Expense|other_operating"},0)),-N(P72),0)</f>
        <v/>
      </c>
      <c r="AA72" s="23">
        <f>IF(T72="Liability|payable",-N(O72),0)+IF(U72="Liability|payable",N(K72),0)+IF(V72="Liability|payable",N(P72),0)</f>
        <v/>
      </c>
      <c r="AB72" s="23">
        <f>IF(T72="Liability|accrued",-N(O72),0)+IF(U72="Liability|accrued",N(K72),0)+IF(V72="Liability|accrued",N(P72),0)</f>
        <v/>
      </c>
      <c r="AC72" s="23">
        <f>IF(AND(N(O72)&lt;&gt;0,T72=""),1,0)+IF(AND(N(K72)&lt;&gt;0,U72=""),1,0)+IF(AND(N(P72)&lt;&gt;0,V72=""),1,0)</f>
        <v/>
      </c>
    </row>
    <row r="73">
      <c r="A73" s="19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20" t="n"/>
      <c r="K73" s="20" t="n"/>
      <c r="L73" s="14" t="n"/>
      <c r="M73" s="14" t="n"/>
      <c r="N73" s="14" t="n"/>
      <c r="O73" s="21">
        <f>ROUND(N(I73)*N(J73),2)</f>
        <v/>
      </c>
      <c r="P73" s="21">
        <f>O73-N(K73)</f>
        <v/>
      </c>
      <c r="Q73" s="16">
        <f>IF(F73&lt;&gt;"",F73&amp;"",IF(LEFT(E73,6)="Indire",INDEX('Chart of Accounts'!$A$5:$A$3000,MATCH("project_overhead",'Chart of Accounts'!$F$5:$F$3000,0)),IF(LEFT(E73,6)="Admini",INDEX('Chart of Accounts'!$A$5:$A$3000,MATCH("admin_salaries",'Chart of Accounts'!$F$5:$F$3000,0)),INDEX('Chart of Accounts'!$A$5:$A$3000,MATCH("direct_labour",'Chart of Accounts'!$F$5:$F$3000,0)))))</f>
        <v/>
      </c>
      <c r="R73" s="16">
        <f>IF(M73="",INDEX('Chart of Accounts'!$A$5:$A$3000,MATCH("bank",'Chart of Accounts'!$F$5:$F$3000,0)),M73&amp;"")</f>
        <v/>
      </c>
      <c r="S73" s="16">
        <f>IF(N73="",INDEX('Chart of Accounts'!$A$5:$A$3000,MATCH("accrued_payroll",'Chart of Accounts'!$F$5:$F$3000,0)),N73&amp;"")</f>
        <v/>
      </c>
      <c r="T73" s="23">
        <f>IFERROR(INDEX('Chart of Accounts'!$C$5:$C$3000,MATCH(Q73&amp;"",'Chart of Accounts'!$A$5:$A$3000,0))&amp;"|"&amp;INDEX('Chart of Accounts'!$D$5:$D$3000,MATCH(Q73&amp;"",'Chart of Accounts'!$A$5:$A$3000,0)),"")</f>
        <v/>
      </c>
      <c r="U73" s="23">
        <f>IFERROR(INDEX('Chart of Accounts'!$C$5:$C$3000,MATCH(R73&amp;"",'Chart of Accounts'!$A$5:$A$3000,0))&amp;"|"&amp;INDEX('Chart of Accounts'!$D$5:$D$3000,MATCH(R73&amp;"",'Chart of Accounts'!$A$5:$A$3000,0)),"")</f>
        <v/>
      </c>
      <c r="V73" s="23">
        <f>IFERROR(INDEX('Chart of Accounts'!$C$5:$C$3000,MATCH(S73&amp;"",'Chart of Accounts'!$A$5:$A$3000,0))&amp;"|"&amp;INDEX('Chart of Accounts'!$D$5:$D$3000,MATCH(S73&amp;"",'Chart of Accounts'!$A$5:$A$3000,0)),"")</f>
        <v/>
      </c>
      <c r="W73" s="23">
        <f>IF(LEFT(T73,8)="Revenue|",-N(O73),0)+IF(LEFT(U73,8)="Revenue|",N(K73),0)+IF(LEFT(V73,8)="Revenue|",N(P73),0)</f>
        <v/>
      </c>
      <c r="X73" s="23">
        <f>IF(LEFT(T73,5)="COGS|",N(O73),0)+IF(LEFT(U73,5)="COGS|",-N(K73),0)+IF(LEFT(V73,5)="COGS|",-N(P73),0)</f>
        <v/>
      </c>
      <c r="Y73" s="23">
        <f>IF(LEFT(T73,8)="Expense|",N(O73),0)+IF(LEFT(U73,8)="Expense|",-N(K73),0)+IF(LEFT(V73,8)="Expense|",-N(P73),0)</f>
        <v/>
      </c>
      <c r="Z73" s="23">
        <f>IF(ISNUMBER(MATCH(T73,{"Expense|employee","Expense|general_admin","Expense|marketing","Expense|utilities","Expense|other_operating"},0)),N(O73),0)+IF(ISNUMBER(MATCH(U73,{"Expense|employee","Expense|general_admin","Expense|marketing","Expense|utilities","Expense|other_operating"},0)),-N(K73),0)+IF(ISNUMBER(MATCH(V73,{"Expense|employee","Expense|general_admin","Expense|marketing","Expense|utilities","Expense|other_operating"},0)),-N(P73),0)</f>
        <v/>
      </c>
      <c r="AA73" s="23">
        <f>IF(T73="Liability|payable",-N(O73),0)+IF(U73="Liability|payable",N(K73),0)+IF(V73="Liability|payable",N(P73),0)</f>
        <v/>
      </c>
      <c r="AB73" s="23">
        <f>IF(T73="Liability|accrued",-N(O73),0)+IF(U73="Liability|accrued",N(K73),0)+IF(V73="Liability|accrued",N(P73),0)</f>
        <v/>
      </c>
      <c r="AC73" s="23">
        <f>IF(AND(N(O73)&lt;&gt;0,T73=""),1,0)+IF(AND(N(K73)&lt;&gt;0,U73=""),1,0)+IF(AND(N(P73)&lt;&gt;0,V73=""),1,0)</f>
        <v/>
      </c>
    </row>
    <row r="74">
      <c r="A74" s="19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20" t="n"/>
      <c r="K74" s="20" t="n"/>
      <c r="L74" s="14" t="n"/>
      <c r="M74" s="14" t="n"/>
      <c r="N74" s="14" t="n"/>
      <c r="O74" s="21">
        <f>ROUND(N(I74)*N(J74),2)</f>
        <v/>
      </c>
      <c r="P74" s="21">
        <f>O74-N(K74)</f>
        <v/>
      </c>
      <c r="Q74" s="16">
        <f>IF(F74&lt;&gt;"",F74&amp;"",IF(LEFT(E74,6)="Indire",INDEX('Chart of Accounts'!$A$5:$A$3000,MATCH("project_overhead",'Chart of Accounts'!$F$5:$F$3000,0)),IF(LEFT(E74,6)="Admini",INDEX('Chart of Accounts'!$A$5:$A$3000,MATCH("admin_salaries",'Chart of Accounts'!$F$5:$F$3000,0)),INDEX('Chart of Accounts'!$A$5:$A$3000,MATCH("direct_labour",'Chart of Accounts'!$F$5:$F$3000,0)))))</f>
        <v/>
      </c>
      <c r="R74" s="16">
        <f>IF(M74="",INDEX('Chart of Accounts'!$A$5:$A$3000,MATCH("bank",'Chart of Accounts'!$F$5:$F$3000,0)),M74&amp;"")</f>
        <v/>
      </c>
      <c r="S74" s="16">
        <f>IF(N74="",INDEX('Chart of Accounts'!$A$5:$A$3000,MATCH("accrued_payroll",'Chart of Accounts'!$F$5:$F$3000,0)),N74&amp;"")</f>
        <v/>
      </c>
      <c r="T74" s="23">
        <f>IFERROR(INDEX('Chart of Accounts'!$C$5:$C$3000,MATCH(Q74&amp;"",'Chart of Accounts'!$A$5:$A$3000,0))&amp;"|"&amp;INDEX('Chart of Accounts'!$D$5:$D$3000,MATCH(Q74&amp;"",'Chart of Accounts'!$A$5:$A$3000,0)),"")</f>
        <v/>
      </c>
      <c r="U74" s="23">
        <f>IFERROR(INDEX('Chart of Accounts'!$C$5:$C$3000,MATCH(R74&amp;"",'Chart of Accounts'!$A$5:$A$3000,0))&amp;"|"&amp;INDEX('Chart of Accounts'!$D$5:$D$3000,MATCH(R74&amp;"",'Chart of Accounts'!$A$5:$A$3000,0)),"")</f>
        <v/>
      </c>
      <c r="V74" s="23">
        <f>IFERROR(INDEX('Chart of Accounts'!$C$5:$C$3000,MATCH(S74&amp;"",'Chart of Accounts'!$A$5:$A$3000,0))&amp;"|"&amp;INDEX('Chart of Accounts'!$D$5:$D$3000,MATCH(S74&amp;"",'Chart of Accounts'!$A$5:$A$3000,0)),"")</f>
        <v/>
      </c>
      <c r="W74" s="23">
        <f>IF(LEFT(T74,8)="Revenue|",-N(O74),0)+IF(LEFT(U74,8)="Revenue|",N(K74),0)+IF(LEFT(V74,8)="Revenue|",N(P74),0)</f>
        <v/>
      </c>
      <c r="X74" s="23">
        <f>IF(LEFT(T74,5)="COGS|",N(O74),0)+IF(LEFT(U74,5)="COGS|",-N(K74),0)+IF(LEFT(V74,5)="COGS|",-N(P74),0)</f>
        <v/>
      </c>
      <c r="Y74" s="23">
        <f>IF(LEFT(T74,8)="Expense|",N(O74),0)+IF(LEFT(U74,8)="Expense|",-N(K74),0)+IF(LEFT(V74,8)="Expense|",-N(P74),0)</f>
        <v/>
      </c>
      <c r="Z74" s="23">
        <f>IF(ISNUMBER(MATCH(T74,{"Expense|employee","Expense|general_admin","Expense|marketing","Expense|utilities","Expense|other_operating"},0)),N(O74),0)+IF(ISNUMBER(MATCH(U74,{"Expense|employee","Expense|general_admin","Expense|marketing","Expense|utilities","Expense|other_operating"},0)),-N(K74),0)+IF(ISNUMBER(MATCH(V74,{"Expense|employee","Expense|general_admin","Expense|marketing","Expense|utilities","Expense|other_operating"},0)),-N(P74),0)</f>
        <v/>
      </c>
      <c r="AA74" s="23">
        <f>IF(T74="Liability|payable",-N(O74),0)+IF(U74="Liability|payable",N(K74),0)+IF(V74="Liability|payable",N(P74),0)</f>
        <v/>
      </c>
      <c r="AB74" s="23">
        <f>IF(T74="Liability|accrued",-N(O74),0)+IF(U74="Liability|accrued",N(K74),0)+IF(V74="Liability|accrued",N(P74),0)</f>
        <v/>
      </c>
      <c r="AC74" s="23">
        <f>IF(AND(N(O74)&lt;&gt;0,T74=""),1,0)+IF(AND(N(K74)&lt;&gt;0,U74=""),1,0)+IF(AND(N(P74)&lt;&gt;0,V74=""),1,0)</f>
        <v/>
      </c>
    </row>
    <row r="75">
      <c r="A75" s="19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20" t="n"/>
      <c r="K75" s="20" t="n"/>
      <c r="L75" s="14" t="n"/>
      <c r="M75" s="14" t="n"/>
      <c r="N75" s="14" t="n"/>
      <c r="O75" s="21">
        <f>ROUND(N(I75)*N(J75),2)</f>
        <v/>
      </c>
      <c r="P75" s="21">
        <f>O75-N(K75)</f>
        <v/>
      </c>
      <c r="Q75" s="16">
        <f>IF(F75&lt;&gt;"",F75&amp;"",IF(LEFT(E75,6)="Indire",INDEX('Chart of Accounts'!$A$5:$A$3000,MATCH("project_overhead",'Chart of Accounts'!$F$5:$F$3000,0)),IF(LEFT(E75,6)="Admini",INDEX('Chart of Accounts'!$A$5:$A$3000,MATCH("admin_salaries",'Chart of Accounts'!$F$5:$F$3000,0)),INDEX('Chart of Accounts'!$A$5:$A$3000,MATCH("direct_labour",'Chart of Accounts'!$F$5:$F$3000,0)))))</f>
        <v/>
      </c>
      <c r="R75" s="16">
        <f>IF(M75="",INDEX('Chart of Accounts'!$A$5:$A$3000,MATCH("bank",'Chart of Accounts'!$F$5:$F$3000,0)),M75&amp;"")</f>
        <v/>
      </c>
      <c r="S75" s="16">
        <f>IF(N75="",INDEX('Chart of Accounts'!$A$5:$A$3000,MATCH("accrued_payroll",'Chart of Accounts'!$F$5:$F$3000,0)),N75&amp;"")</f>
        <v/>
      </c>
      <c r="T75" s="23">
        <f>IFERROR(INDEX('Chart of Accounts'!$C$5:$C$3000,MATCH(Q75&amp;"",'Chart of Accounts'!$A$5:$A$3000,0))&amp;"|"&amp;INDEX('Chart of Accounts'!$D$5:$D$3000,MATCH(Q75&amp;"",'Chart of Accounts'!$A$5:$A$3000,0)),"")</f>
        <v/>
      </c>
      <c r="U75" s="23">
        <f>IFERROR(INDEX('Chart of Accounts'!$C$5:$C$3000,MATCH(R75&amp;"",'Chart of Accounts'!$A$5:$A$3000,0))&amp;"|"&amp;INDEX('Chart of Accounts'!$D$5:$D$3000,MATCH(R75&amp;"",'Chart of Accounts'!$A$5:$A$3000,0)),"")</f>
        <v/>
      </c>
      <c r="V75" s="23">
        <f>IFERROR(INDEX('Chart of Accounts'!$C$5:$C$3000,MATCH(S75&amp;"",'Chart of Accounts'!$A$5:$A$3000,0))&amp;"|"&amp;INDEX('Chart of Accounts'!$D$5:$D$3000,MATCH(S75&amp;"",'Chart of Accounts'!$A$5:$A$3000,0)),"")</f>
        <v/>
      </c>
      <c r="W75" s="23">
        <f>IF(LEFT(T75,8)="Revenue|",-N(O75),0)+IF(LEFT(U75,8)="Revenue|",N(K75),0)+IF(LEFT(V75,8)="Revenue|",N(P75),0)</f>
        <v/>
      </c>
      <c r="X75" s="23">
        <f>IF(LEFT(T75,5)="COGS|",N(O75),0)+IF(LEFT(U75,5)="COGS|",-N(K75),0)+IF(LEFT(V75,5)="COGS|",-N(P75),0)</f>
        <v/>
      </c>
      <c r="Y75" s="23">
        <f>IF(LEFT(T75,8)="Expense|",N(O75),0)+IF(LEFT(U75,8)="Expense|",-N(K75),0)+IF(LEFT(V75,8)="Expense|",-N(P75),0)</f>
        <v/>
      </c>
      <c r="Z75" s="23">
        <f>IF(ISNUMBER(MATCH(T75,{"Expense|employee","Expense|general_admin","Expense|marketing","Expense|utilities","Expense|other_operating"},0)),N(O75),0)+IF(ISNUMBER(MATCH(U75,{"Expense|employee","Expense|general_admin","Expense|marketing","Expense|utilities","Expense|other_operating"},0)),-N(K75),0)+IF(ISNUMBER(MATCH(V75,{"Expense|employee","Expense|general_admin","Expense|marketing","Expense|utilities","Expense|other_operating"},0)),-N(P75),0)</f>
        <v/>
      </c>
      <c r="AA75" s="23">
        <f>IF(T75="Liability|payable",-N(O75),0)+IF(U75="Liability|payable",N(K75),0)+IF(V75="Liability|payable",N(P75),0)</f>
        <v/>
      </c>
      <c r="AB75" s="23">
        <f>IF(T75="Liability|accrued",-N(O75),0)+IF(U75="Liability|accrued",N(K75),0)+IF(V75="Liability|accrued",N(P75),0)</f>
        <v/>
      </c>
      <c r="AC75" s="23">
        <f>IF(AND(N(O75)&lt;&gt;0,T75=""),1,0)+IF(AND(N(K75)&lt;&gt;0,U75=""),1,0)+IF(AND(N(P75)&lt;&gt;0,V75=""),1,0)</f>
        <v/>
      </c>
    </row>
    <row r="76">
      <c r="A76" s="19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20" t="n"/>
      <c r="K76" s="20" t="n"/>
      <c r="L76" s="14" t="n"/>
      <c r="M76" s="14" t="n"/>
      <c r="N76" s="14" t="n"/>
      <c r="O76" s="21">
        <f>ROUND(N(I76)*N(J76),2)</f>
        <v/>
      </c>
      <c r="P76" s="21">
        <f>O76-N(K76)</f>
        <v/>
      </c>
      <c r="Q76" s="16">
        <f>IF(F76&lt;&gt;"",F76&amp;"",IF(LEFT(E76,6)="Indire",INDEX('Chart of Accounts'!$A$5:$A$3000,MATCH("project_overhead",'Chart of Accounts'!$F$5:$F$3000,0)),IF(LEFT(E76,6)="Admini",INDEX('Chart of Accounts'!$A$5:$A$3000,MATCH("admin_salaries",'Chart of Accounts'!$F$5:$F$3000,0)),INDEX('Chart of Accounts'!$A$5:$A$3000,MATCH("direct_labour",'Chart of Accounts'!$F$5:$F$3000,0)))))</f>
        <v/>
      </c>
      <c r="R76" s="16">
        <f>IF(M76="",INDEX('Chart of Accounts'!$A$5:$A$3000,MATCH("bank",'Chart of Accounts'!$F$5:$F$3000,0)),M76&amp;"")</f>
        <v/>
      </c>
      <c r="S76" s="16">
        <f>IF(N76="",INDEX('Chart of Accounts'!$A$5:$A$3000,MATCH("accrued_payroll",'Chart of Accounts'!$F$5:$F$3000,0)),N76&amp;"")</f>
        <v/>
      </c>
      <c r="T76" s="23">
        <f>IFERROR(INDEX('Chart of Accounts'!$C$5:$C$3000,MATCH(Q76&amp;"",'Chart of Accounts'!$A$5:$A$3000,0))&amp;"|"&amp;INDEX('Chart of Accounts'!$D$5:$D$3000,MATCH(Q76&amp;"",'Chart of Accounts'!$A$5:$A$3000,0)),"")</f>
        <v/>
      </c>
      <c r="U76" s="23">
        <f>IFERROR(INDEX('Chart of Accounts'!$C$5:$C$3000,MATCH(R76&amp;"",'Chart of Accounts'!$A$5:$A$3000,0))&amp;"|"&amp;INDEX('Chart of Accounts'!$D$5:$D$3000,MATCH(R76&amp;"",'Chart of Accounts'!$A$5:$A$3000,0)),"")</f>
        <v/>
      </c>
      <c r="V76" s="23">
        <f>IFERROR(INDEX('Chart of Accounts'!$C$5:$C$3000,MATCH(S76&amp;"",'Chart of Accounts'!$A$5:$A$3000,0))&amp;"|"&amp;INDEX('Chart of Accounts'!$D$5:$D$3000,MATCH(S76&amp;"",'Chart of Accounts'!$A$5:$A$3000,0)),"")</f>
        <v/>
      </c>
      <c r="W76" s="23">
        <f>IF(LEFT(T76,8)="Revenue|",-N(O76),0)+IF(LEFT(U76,8)="Revenue|",N(K76),0)+IF(LEFT(V76,8)="Revenue|",N(P76),0)</f>
        <v/>
      </c>
      <c r="X76" s="23">
        <f>IF(LEFT(T76,5)="COGS|",N(O76),0)+IF(LEFT(U76,5)="COGS|",-N(K76),0)+IF(LEFT(V76,5)="COGS|",-N(P76),0)</f>
        <v/>
      </c>
      <c r="Y76" s="23">
        <f>IF(LEFT(T76,8)="Expense|",N(O76),0)+IF(LEFT(U76,8)="Expense|",-N(K76),0)+IF(LEFT(V76,8)="Expense|",-N(P76),0)</f>
        <v/>
      </c>
      <c r="Z76" s="23">
        <f>IF(ISNUMBER(MATCH(T76,{"Expense|employee","Expense|general_admin","Expense|marketing","Expense|utilities","Expense|other_operating"},0)),N(O76),0)+IF(ISNUMBER(MATCH(U76,{"Expense|employee","Expense|general_admin","Expense|marketing","Expense|utilities","Expense|other_operating"},0)),-N(K76),0)+IF(ISNUMBER(MATCH(V76,{"Expense|employee","Expense|general_admin","Expense|marketing","Expense|utilities","Expense|other_operating"},0)),-N(P76),0)</f>
        <v/>
      </c>
      <c r="AA76" s="23">
        <f>IF(T76="Liability|payable",-N(O76),0)+IF(U76="Liability|payable",N(K76),0)+IF(V76="Liability|payable",N(P76),0)</f>
        <v/>
      </c>
      <c r="AB76" s="23">
        <f>IF(T76="Liability|accrued",-N(O76),0)+IF(U76="Liability|accrued",N(K76),0)+IF(V76="Liability|accrued",N(P76),0)</f>
        <v/>
      </c>
      <c r="AC76" s="23">
        <f>IF(AND(N(O76)&lt;&gt;0,T76=""),1,0)+IF(AND(N(K76)&lt;&gt;0,U76=""),1,0)+IF(AND(N(P76)&lt;&gt;0,V76=""),1,0)</f>
        <v/>
      </c>
    </row>
    <row r="77">
      <c r="A77" s="19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20" t="n"/>
      <c r="K77" s="20" t="n"/>
      <c r="L77" s="14" t="n"/>
      <c r="M77" s="14" t="n"/>
      <c r="N77" s="14" t="n"/>
      <c r="O77" s="21">
        <f>ROUND(N(I77)*N(J77),2)</f>
        <v/>
      </c>
      <c r="P77" s="21">
        <f>O77-N(K77)</f>
        <v/>
      </c>
      <c r="Q77" s="16">
        <f>IF(F77&lt;&gt;"",F77&amp;"",IF(LEFT(E77,6)="Indire",INDEX('Chart of Accounts'!$A$5:$A$3000,MATCH("project_overhead",'Chart of Accounts'!$F$5:$F$3000,0)),IF(LEFT(E77,6)="Admini",INDEX('Chart of Accounts'!$A$5:$A$3000,MATCH("admin_salaries",'Chart of Accounts'!$F$5:$F$3000,0)),INDEX('Chart of Accounts'!$A$5:$A$3000,MATCH("direct_labour",'Chart of Accounts'!$F$5:$F$3000,0)))))</f>
        <v/>
      </c>
      <c r="R77" s="16">
        <f>IF(M77="",INDEX('Chart of Accounts'!$A$5:$A$3000,MATCH("bank",'Chart of Accounts'!$F$5:$F$3000,0)),M77&amp;"")</f>
        <v/>
      </c>
      <c r="S77" s="16">
        <f>IF(N77="",INDEX('Chart of Accounts'!$A$5:$A$3000,MATCH("accrued_payroll",'Chart of Accounts'!$F$5:$F$3000,0)),N77&amp;"")</f>
        <v/>
      </c>
      <c r="T77" s="23">
        <f>IFERROR(INDEX('Chart of Accounts'!$C$5:$C$3000,MATCH(Q77&amp;"",'Chart of Accounts'!$A$5:$A$3000,0))&amp;"|"&amp;INDEX('Chart of Accounts'!$D$5:$D$3000,MATCH(Q77&amp;"",'Chart of Accounts'!$A$5:$A$3000,0)),"")</f>
        <v/>
      </c>
      <c r="U77" s="23">
        <f>IFERROR(INDEX('Chart of Accounts'!$C$5:$C$3000,MATCH(R77&amp;"",'Chart of Accounts'!$A$5:$A$3000,0))&amp;"|"&amp;INDEX('Chart of Accounts'!$D$5:$D$3000,MATCH(R77&amp;"",'Chart of Accounts'!$A$5:$A$3000,0)),"")</f>
        <v/>
      </c>
      <c r="V77" s="23">
        <f>IFERROR(INDEX('Chart of Accounts'!$C$5:$C$3000,MATCH(S77&amp;"",'Chart of Accounts'!$A$5:$A$3000,0))&amp;"|"&amp;INDEX('Chart of Accounts'!$D$5:$D$3000,MATCH(S77&amp;"",'Chart of Accounts'!$A$5:$A$3000,0)),"")</f>
        <v/>
      </c>
      <c r="W77" s="23">
        <f>IF(LEFT(T77,8)="Revenue|",-N(O77),0)+IF(LEFT(U77,8)="Revenue|",N(K77),0)+IF(LEFT(V77,8)="Revenue|",N(P77),0)</f>
        <v/>
      </c>
      <c r="X77" s="23">
        <f>IF(LEFT(T77,5)="COGS|",N(O77),0)+IF(LEFT(U77,5)="COGS|",-N(K77),0)+IF(LEFT(V77,5)="COGS|",-N(P77),0)</f>
        <v/>
      </c>
      <c r="Y77" s="23">
        <f>IF(LEFT(T77,8)="Expense|",N(O77),0)+IF(LEFT(U77,8)="Expense|",-N(K77),0)+IF(LEFT(V77,8)="Expense|",-N(P77),0)</f>
        <v/>
      </c>
      <c r="Z77" s="23">
        <f>IF(ISNUMBER(MATCH(T77,{"Expense|employee","Expense|general_admin","Expense|marketing","Expense|utilities","Expense|other_operating"},0)),N(O77),0)+IF(ISNUMBER(MATCH(U77,{"Expense|employee","Expense|general_admin","Expense|marketing","Expense|utilities","Expense|other_operating"},0)),-N(K77),0)+IF(ISNUMBER(MATCH(V77,{"Expense|employee","Expense|general_admin","Expense|marketing","Expense|utilities","Expense|other_operating"},0)),-N(P77),0)</f>
        <v/>
      </c>
      <c r="AA77" s="23">
        <f>IF(T77="Liability|payable",-N(O77),0)+IF(U77="Liability|payable",N(K77),0)+IF(V77="Liability|payable",N(P77),0)</f>
        <v/>
      </c>
      <c r="AB77" s="23">
        <f>IF(T77="Liability|accrued",-N(O77),0)+IF(U77="Liability|accrued",N(K77),0)+IF(V77="Liability|accrued",N(P77),0)</f>
        <v/>
      </c>
      <c r="AC77" s="23">
        <f>IF(AND(N(O77)&lt;&gt;0,T77=""),1,0)+IF(AND(N(K77)&lt;&gt;0,U77=""),1,0)+IF(AND(N(P77)&lt;&gt;0,V77=""),1,0)</f>
        <v/>
      </c>
    </row>
    <row r="78">
      <c r="A78" s="19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20" t="n"/>
      <c r="K78" s="20" t="n"/>
      <c r="L78" s="14" t="n"/>
      <c r="M78" s="14" t="n"/>
      <c r="N78" s="14" t="n"/>
      <c r="O78" s="21">
        <f>ROUND(N(I78)*N(J78),2)</f>
        <v/>
      </c>
      <c r="P78" s="21">
        <f>O78-N(K78)</f>
        <v/>
      </c>
      <c r="Q78" s="16">
        <f>IF(F78&lt;&gt;"",F78&amp;"",IF(LEFT(E78,6)="Indire",INDEX('Chart of Accounts'!$A$5:$A$3000,MATCH("project_overhead",'Chart of Accounts'!$F$5:$F$3000,0)),IF(LEFT(E78,6)="Admini",INDEX('Chart of Accounts'!$A$5:$A$3000,MATCH("admin_salaries",'Chart of Accounts'!$F$5:$F$3000,0)),INDEX('Chart of Accounts'!$A$5:$A$3000,MATCH("direct_labour",'Chart of Accounts'!$F$5:$F$3000,0)))))</f>
        <v/>
      </c>
      <c r="R78" s="16">
        <f>IF(M78="",INDEX('Chart of Accounts'!$A$5:$A$3000,MATCH("bank",'Chart of Accounts'!$F$5:$F$3000,0)),M78&amp;"")</f>
        <v/>
      </c>
      <c r="S78" s="16">
        <f>IF(N78="",INDEX('Chart of Accounts'!$A$5:$A$3000,MATCH("accrued_payroll",'Chart of Accounts'!$F$5:$F$3000,0)),N78&amp;"")</f>
        <v/>
      </c>
      <c r="T78" s="23">
        <f>IFERROR(INDEX('Chart of Accounts'!$C$5:$C$3000,MATCH(Q78&amp;"",'Chart of Accounts'!$A$5:$A$3000,0))&amp;"|"&amp;INDEX('Chart of Accounts'!$D$5:$D$3000,MATCH(Q78&amp;"",'Chart of Accounts'!$A$5:$A$3000,0)),"")</f>
        <v/>
      </c>
      <c r="U78" s="23">
        <f>IFERROR(INDEX('Chart of Accounts'!$C$5:$C$3000,MATCH(R78&amp;"",'Chart of Accounts'!$A$5:$A$3000,0))&amp;"|"&amp;INDEX('Chart of Accounts'!$D$5:$D$3000,MATCH(R78&amp;"",'Chart of Accounts'!$A$5:$A$3000,0)),"")</f>
        <v/>
      </c>
      <c r="V78" s="23">
        <f>IFERROR(INDEX('Chart of Accounts'!$C$5:$C$3000,MATCH(S78&amp;"",'Chart of Accounts'!$A$5:$A$3000,0))&amp;"|"&amp;INDEX('Chart of Accounts'!$D$5:$D$3000,MATCH(S78&amp;"",'Chart of Accounts'!$A$5:$A$3000,0)),"")</f>
        <v/>
      </c>
      <c r="W78" s="23">
        <f>IF(LEFT(T78,8)="Revenue|",-N(O78),0)+IF(LEFT(U78,8)="Revenue|",N(K78),0)+IF(LEFT(V78,8)="Revenue|",N(P78),0)</f>
        <v/>
      </c>
      <c r="X78" s="23">
        <f>IF(LEFT(T78,5)="COGS|",N(O78),0)+IF(LEFT(U78,5)="COGS|",-N(K78),0)+IF(LEFT(V78,5)="COGS|",-N(P78),0)</f>
        <v/>
      </c>
      <c r="Y78" s="23">
        <f>IF(LEFT(T78,8)="Expense|",N(O78),0)+IF(LEFT(U78,8)="Expense|",-N(K78),0)+IF(LEFT(V78,8)="Expense|",-N(P78),0)</f>
        <v/>
      </c>
      <c r="Z78" s="23">
        <f>IF(ISNUMBER(MATCH(T78,{"Expense|employee","Expense|general_admin","Expense|marketing","Expense|utilities","Expense|other_operating"},0)),N(O78),0)+IF(ISNUMBER(MATCH(U78,{"Expense|employee","Expense|general_admin","Expense|marketing","Expense|utilities","Expense|other_operating"},0)),-N(K78),0)+IF(ISNUMBER(MATCH(V78,{"Expense|employee","Expense|general_admin","Expense|marketing","Expense|utilities","Expense|other_operating"},0)),-N(P78),0)</f>
        <v/>
      </c>
      <c r="AA78" s="23">
        <f>IF(T78="Liability|payable",-N(O78),0)+IF(U78="Liability|payable",N(K78),0)+IF(V78="Liability|payable",N(P78),0)</f>
        <v/>
      </c>
      <c r="AB78" s="23">
        <f>IF(T78="Liability|accrued",-N(O78),0)+IF(U78="Liability|accrued",N(K78),0)+IF(V78="Liability|accrued",N(P78),0)</f>
        <v/>
      </c>
      <c r="AC78" s="23">
        <f>IF(AND(N(O78)&lt;&gt;0,T78=""),1,0)+IF(AND(N(K78)&lt;&gt;0,U78=""),1,0)+IF(AND(N(P78)&lt;&gt;0,V78=""),1,0)</f>
        <v/>
      </c>
    </row>
    <row r="79">
      <c r="A79" s="19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20" t="n"/>
      <c r="K79" s="20" t="n"/>
      <c r="L79" s="14" t="n"/>
      <c r="M79" s="14" t="n"/>
      <c r="N79" s="14" t="n"/>
      <c r="O79" s="21">
        <f>ROUND(N(I79)*N(J79),2)</f>
        <v/>
      </c>
      <c r="P79" s="21">
        <f>O79-N(K79)</f>
        <v/>
      </c>
      <c r="Q79" s="16">
        <f>IF(F79&lt;&gt;"",F79&amp;"",IF(LEFT(E79,6)="Indire",INDEX('Chart of Accounts'!$A$5:$A$3000,MATCH("project_overhead",'Chart of Accounts'!$F$5:$F$3000,0)),IF(LEFT(E79,6)="Admini",INDEX('Chart of Accounts'!$A$5:$A$3000,MATCH("admin_salaries",'Chart of Accounts'!$F$5:$F$3000,0)),INDEX('Chart of Accounts'!$A$5:$A$3000,MATCH("direct_labour",'Chart of Accounts'!$F$5:$F$3000,0)))))</f>
        <v/>
      </c>
      <c r="R79" s="16">
        <f>IF(M79="",INDEX('Chart of Accounts'!$A$5:$A$3000,MATCH("bank",'Chart of Accounts'!$F$5:$F$3000,0)),M79&amp;"")</f>
        <v/>
      </c>
      <c r="S79" s="16">
        <f>IF(N79="",INDEX('Chart of Accounts'!$A$5:$A$3000,MATCH("accrued_payroll",'Chart of Accounts'!$F$5:$F$3000,0)),N79&amp;"")</f>
        <v/>
      </c>
      <c r="T79" s="23">
        <f>IFERROR(INDEX('Chart of Accounts'!$C$5:$C$3000,MATCH(Q79&amp;"",'Chart of Accounts'!$A$5:$A$3000,0))&amp;"|"&amp;INDEX('Chart of Accounts'!$D$5:$D$3000,MATCH(Q79&amp;"",'Chart of Accounts'!$A$5:$A$3000,0)),"")</f>
        <v/>
      </c>
      <c r="U79" s="23">
        <f>IFERROR(INDEX('Chart of Accounts'!$C$5:$C$3000,MATCH(R79&amp;"",'Chart of Accounts'!$A$5:$A$3000,0))&amp;"|"&amp;INDEX('Chart of Accounts'!$D$5:$D$3000,MATCH(R79&amp;"",'Chart of Accounts'!$A$5:$A$3000,0)),"")</f>
        <v/>
      </c>
      <c r="V79" s="23">
        <f>IFERROR(INDEX('Chart of Accounts'!$C$5:$C$3000,MATCH(S79&amp;"",'Chart of Accounts'!$A$5:$A$3000,0))&amp;"|"&amp;INDEX('Chart of Accounts'!$D$5:$D$3000,MATCH(S79&amp;"",'Chart of Accounts'!$A$5:$A$3000,0)),"")</f>
        <v/>
      </c>
      <c r="W79" s="23">
        <f>IF(LEFT(T79,8)="Revenue|",-N(O79),0)+IF(LEFT(U79,8)="Revenue|",N(K79),0)+IF(LEFT(V79,8)="Revenue|",N(P79),0)</f>
        <v/>
      </c>
      <c r="X79" s="23">
        <f>IF(LEFT(T79,5)="COGS|",N(O79),0)+IF(LEFT(U79,5)="COGS|",-N(K79),0)+IF(LEFT(V79,5)="COGS|",-N(P79),0)</f>
        <v/>
      </c>
      <c r="Y79" s="23">
        <f>IF(LEFT(T79,8)="Expense|",N(O79),0)+IF(LEFT(U79,8)="Expense|",-N(K79),0)+IF(LEFT(V79,8)="Expense|",-N(P79),0)</f>
        <v/>
      </c>
      <c r="Z79" s="23">
        <f>IF(ISNUMBER(MATCH(T79,{"Expense|employee","Expense|general_admin","Expense|marketing","Expense|utilities","Expense|other_operating"},0)),N(O79),0)+IF(ISNUMBER(MATCH(U79,{"Expense|employee","Expense|general_admin","Expense|marketing","Expense|utilities","Expense|other_operating"},0)),-N(K79),0)+IF(ISNUMBER(MATCH(V79,{"Expense|employee","Expense|general_admin","Expense|marketing","Expense|utilities","Expense|other_operating"},0)),-N(P79),0)</f>
        <v/>
      </c>
      <c r="AA79" s="23">
        <f>IF(T79="Liability|payable",-N(O79),0)+IF(U79="Liability|payable",N(K79),0)+IF(V79="Liability|payable",N(P79),0)</f>
        <v/>
      </c>
      <c r="AB79" s="23">
        <f>IF(T79="Liability|accrued",-N(O79),0)+IF(U79="Liability|accrued",N(K79),0)+IF(V79="Liability|accrued",N(P79),0)</f>
        <v/>
      </c>
      <c r="AC79" s="23">
        <f>IF(AND(N(O79)&lt;&gt;0,T79=""),1,0)+IF(AND(N(K79)&lt;&gt;0,U79=""),1,0)+IF(AND(N(P79)&lt;&gt;0,V79=""),1,0)</f>
        <v/>
      </c>
    </row>
    <row r="80">
      <c r="A80" s="19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20" t="n"/>
      <c r="K80" s="20" t="n"/>
      <c r="L80" s="14" t="n"/>
      <c r="M80" s="14" t="n"/>
      <c r="N80" s="14" t="n"/>
      <c r="O80" s="21">
        <f>ROUND(N(I80)*N(J80),2)</f>
        <v/>
      </c>
      <c r="P80" s="21">
        <f>O80-N(K80)</f>
        <v/>
      </c>
      <c r="Q80" s="16">
        <f>IF(F80&lt;&gt;"",F80&amp;"",IF(LEFT(E80,6)="Indire",INDEX('Chart of Accounts'!$A$5:$A$3000,MATCH("project_overhead",'Chart of Accounts'!$F$5:$F$3000,0)),IF(LEFT(E80,6)="Admini",INDEX('Chart of Accounts'!$A$5:$A$3000,MATCH("admin_salaries",'Chart of Accounts'!$F$5:$F$3000,0)),INDEX('Chart of Accounts'!$A$5:$A$3000,MATCH("direct_labour",'Chart of Accounts'!$F$5:$F$3000,0)))))</f>
        <v/>
      </c>
      <c r="R80" s="16">
        <f>IF(M80="",INDEX('Chart of Accounts'!$A$5:$A$3000,MATCH("bank",'Chart of Accounts'!$F$5:$F$3000,0)),M80&amp;"")</f>
        <v/>
      </c>
      <c r="S80" s="16">
        <f>IF(N80="",INDEX('Chart of Accounts'!$A$5:$A$3000,MATCH("accrued_payroll",'Chart of Accounts'!$F$5:$F$3000,0)),N80&amp;"")</f>
        <v/>
      </c>
      <c r="T80" s="23">
        <f>IFERROR(INDEX('Chart of Accounts'!$C$5:$C$3000,MATCH(Q80&amp;"",'Chart of Accounts'!$A$5:$A$3000,0))&amp;"|"&amp;INDEX('Chart of Accounts'!$D$5:$D$3000,MATCH(Q80&amp;"",'Chart of Accounts'!$A$5:$A$3000,0)),"")</f>
        <v/>
      </c>
      <c r="U80" s="23">
        <f>IFERROR(INDEX('Chart of Accounts'!$C$5:$C$3000,MATCH(R80&amp;"",'Chart of Accounts'!$A$5:$A$3000,0))&amp;"|"&amp;INDEX('Chart of Accounts'!$D$5:$D$3000,MATCH(R80&amp;"",'Chart of Accounts'!$A$5:$A$3000,0)),"")</f>
        <v/>
      </c>
      <c r="V80" s="23">
        <f>IFERROR(INDEX('Chart of Accounts'!$C$5:$C$3000,MATCH(S80&amp;"",'Chart of Accounts'!$A$5:$A$3000,0))&amp;"|"&amp;INDEX('Chart of Accounts'!$D$5:$D$3000,MATCH(S80&amp;"",'Chart of Accounts'!$A$5:$A$3000,0)),"")</f>
        <v/>
      </c>
      <c r="W80" s="23">
        <f>IF(LEFT(T80,8)="Revenue|",-N(O80),0)+IF(LEFT(U80,8)="Revenue|",N(K80),0)+IF(LEFT(V80,8)="Revenue|",N(P80),0)</f>
        <v/>
      </c>
      <c r="X80" s="23">
        <f>IF(LEFT(T80,5)="COGS|",N(O80),0)+IF(LEFT(U80,5)="COGS|",-N(K80),0)+IF(LEFT(V80,5)="COGS|",-N(P80),0)</f>
        <v/>
      </c>
      <c r="Y80" s="23">
        <f>IF(LEFT(T80,8)="Expense|",N(O80),0)+IF(LEFT(U80,8)="Expense|",-N(K80),0)+IF(LEFT(V80,8)="Expense|",-N(P80),0)</f>
        <v/>
      </c>
      <c r="Z80" s="23">
        <f>IF(ISNUMBER(MATCH(T80,{"Expense|employee","Expense|general_admin","Expense|marketing","Expense|utilities","Expense|other_operating"},0)),N(O80),0)+IF(ISNUMBER(MATCH(U80,{"Expense|employee","Expense|general_admin","Expense|marketing","Expense|utilities","Expense|other_operating"},0)),-N(K80),0)+IF(ISNUMBER(MATCH(V80,{"Expense|employee","Expense|general_admin","Expense|marketing","Expense|utilities","Expense|other_operating"},0)),-N(P80),0)</f>
        <v/>
      </c>
      <c r="AA80" s="23">
        <f>IF(T80="Liability|payable",-N(O80),0)+IF(U80="Liability|payable",N(K80),0)+IF(V80="Liability|payable",N(P80),0)</f>
        <v/>
      </c>
      <c r="AB80" s="23">
        <f>IF(T80="Liability|accrued",-N(O80),0)+IF(U80="Liability|accrued",N(K80),0)+IF(V80="Liability|accrued",N(P80),0)</f>
        <v/>
      </c>
      <c r="AC80" s="23">
        <f>IF(AND(N(O80)&lt;&gt;0,T80=""),1,0)+IF(AND(N(K80)&lt;&gt;0,U80=""),1,0)+IF(AND(N(P80)&lt;&gt;0,V80=""),1,0)</f>
        <v/>
      </c>
    </row>
    <row r="81">
      <c r="A81" s="19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20" t="n"/>
      <c r="K81" s="20" t="n"/>
      <c r="L81" s="14" t="n"/>
      <c r="M81" s="14" t="n"/>
      <c r="N81" s="14" t="n"/>
      <c r="O81" s="21">
        <f>ROUND(N(I81)*N(J81),2)</f>
        <v/>
      </c>
      <c r="P81" s="21">
        <f>O81-N(K81)</f>
        <v/>
      </c>
      <c r="Q81" s="16">
        <f>IF(F81&lt;&gt;"",F81&amp;"",IF(LEFT(E81,6)="Indire",INDEX('Chart of Accounts'!$A$5:$A$3000,MATCH("project_overhead",'Chart of Accounts'!$F$5:$F$3000,0)),IF(LEFT(E81,6)="Admini",INDEX('Chart of Accounts'!$A$5:$A$3000,MATCH("admin_salaries",'Chart of Accounts'!$F$5:$F$3000,0)),INDEX('Chart of Accounts'!$A$5:$A$3000,MATCH("direct_labour",'Chart of Accounts'!$F$5:$F$3000,0)))))</f>
        <v/>
      </c>
      <c r="R81" s="16">
        <f>IF(M81="",INDEX('Chart of Accounts'!$A$5:$A$3000,MATCH("bank",'Chart of Accounts'!$F$5:$F$3000,0)),M81&amp;"")</f>
        <v/>
      </c>
      <c r="S81" s="16">
        <f>IF(N81="",INDEX('Chart of Accounts'!$A$5:$A$3000,MATCH("accrued_payroll",'Chart of Accounts'!$F$5:$F$3000,0)),N81&amp;"")</f>
        <v/>
      </c>
      <c r="T81" s="23">
        <f>IFERROR(INDEX('Chart of Accounts'!$C$5:$C$3000,MATCH(Q81&amp;"",'Chart of Accounts'!$A$5:$A$3000,0))&amp;"|"&amp;INDEX('Chart of Accounts'!$D$5:$D$3000,MATCH(Q81&amp;"",'Chart of Accounts'!$A$5:$A$3000,0)),"")</f>
        <v/>
      </c>
      <c r="U81" s="23">
        <f>IFERROR(INDEX('Chart of Accounts'!$C$5:$C$3000,MATCH(R81&amp;"",'Chart of Accounts'!$A$5:$A$3000,0))&amp;"|"&amp;INDEX('Chart of Accounts'!$D$5:$D$3000,MATCH(R81&amp;"",'Chart of Accounts'!$A$5:$A$3000,0)),"")</f>
        <v/>
      </c>
      <c r="V81" s="23">
        <f>IFERROR(INDEX('Chart of Accounts'!$C$5:$C$3000,MATCH(S81&amp;"",'Chart of Accounts'!$A$5:$A$3000,0))&amp;"|"&amp;INDEX('Chart of Accounts'!$D$5:$D$3000,MATCH(S81&amp;"",'Chart of Accounts'!$A$5:$A$3000,0)),"")</f>
        <v/>
      </c>
      <c r="W81" s="23">
        <f>IF(LEFT(T81,8)="Revenue|",-N(O81),0)+IF(LEFT(U81,8)="Revenue|",N(K81),0)+IF(LEFT(V81,8)="Revenue|",N(P81),0)</f>
        <v/>
      </c>
      <c r="X81" s="23">
        <f>IF(LEFT(T81,5)="COGS|",N(O81),0)+IF(LEFT(U81,5)="COGS|",-N(K81),0)+IF(LEFT(V81,5)="COGS|",-N(P81),0)</f>
        <v/>
      </c>
      <c r="Y81" s="23">
        <f>IF(LEFT(T81,8)="Expense|",N(O81),0)+IF(LEFT(U81,8)="Expense|",-N(K81),0)+IF(LEFT(V81,8)="Expense|",-N(P81),0)</f>
        <v/>
      </c>
      <c r="Z81" s="23">
        <f>IF(ISNUMBER(MATCH(T81,{"Expense|employee","Expense|general_admin","Expense|marketing","Expense|utilities","Expense|other_operating"},0)),N(O81),0)+IF(ISNUMBER(MATCH(U81,{"Expense|employee","Expense|general_admin","Expense|marketing","Expense|utilities","Expense|other_operating"},0)),-N(K81),0)+IF(ISNUMBER(MATCH(V81,{"Expense|employee","Expense|general_admin","Expense|marketing","Expense|utilities","Expense|other_operating"},0)),-N(P81),0)</f>
        <v/>
      </c>
      <c r="AA81" s="23">
        <f>IF(T81="Liability|payable",-N(O81),0)+IF(U81="Liability|payable",N(K81),0)+IF(V81="Liability|payable",N(P81),0)</f>
        <v/>
      </c>
      <c r="AB81" s="23">
        <f>IF(T81="Liability|accrued",-N(O81),0)+IF(U81="Liability|accrued",N(K81),0)+IF(V81="Liability|accrued",N(P81),0)</f>
        <v/>
      </c>
      <c r="AC81" s="23">
        <f>IF(AND(N(O81)&lt;&gt;0,T81=""),1,0)+IF(AND(N(K81)&lt;&gt;0,U81=""),1,0)+IF(AND(N(P81)&lt;&gt;0,V81=""),1,0)</f>
        <v/>
      </c>
    </row>
    <row r="82">
      <c r="A82" s="19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20" t="n"/>
      <c r="K82" s="20" t="n"/>
      <c r="L82" s="14" t="n"/>
      <c r="M82" s="14" t="n"/>
      <c r="N82" s="14" t="n"/>
      <c r="O82" s="21">
        <f>ROUND(N(I82)*N(J82),2)</f>
        <v/>
      </c>
      <c r="P82" s="21">
        <f>O82-N(K82)</f>
        <v/>
      </c>
      <c r="Q82" s="16">
        <f>IF(F82&lt;&gt;"",F82&amp;"",IF(LEFT(E82,6)="Indire",INDEX('Chart of Accounts'!$A$5:$A$3000,MATCH("project_overhead",'Chart of Accounts'!$F$5:$F$3000,0)),IF(LEFT(E82,6)="Admini",INDEX('Chart of Accounts'!$A$5:$A$3000,MATCH("admin_salaries",'Chart of Accounts'!$F$5:$F$3000,0)),INDEX('Chart of Accounts'!$A$5:$A$3000,MATCH("direct_labour",'Chart of Accounts'!$F$5:$F$3000,0)))))</f>
        <v/>
      </c>
      <c r="R82" s="16">
        <f>IF(M82="",INDEX('Chart of Accounts'!$A$5:$A$3000,MATCH("bank",'Chart of Accounts'!$F$5:$F$3000,0)),M82&amp;"")</f>
        <v/>
      </c>
      <c r="S82" s="16">
        <f>IF(N82="",INDEX('Chart of Accounts'!$A$5:$A$3000,MATCH("accrued_payroll",'Chart of Accounts'!$F$5:$F$3000,0)),N82&amp;"")</f>
        <v/>
      </c>
      <c r="T82" s="23">
        <f>IFERROR(INDEX('Chart of Accounts'!$C$5:$C$3000,MATCH(Q82&amp;"",'Chart of Accounts'!$A$5:$A$3000,0))&amp;"|"&amp;INDEX('Chart of Accounts'!$D$5:$D$3000,MATCH(Q82&amp;"",'Chart of Accounts'!$A$5:$A$3000,0)),"")</f>
        <v/>
      </c>
      <c r="U82" s="23">
        <f>IFERROR(INDEX('Chart of Accounts'!$C$5:$C$3000,MATCH(R82&amp;"",'Chart of Accounts'!$A$5:$A$3000,0))&amp;"|"&amp;INDEX('Chart of Accounts'!$D$5:$D$3000,MATCH(R82&amp;"",'Chart of Accounts'!$A$5:$A$3000,0)),"")</f>
        <v/>
      </c>
      <c r="V82" s="23">
        <f>IFERROR(INDEX('Chart of Accounts'!$C$5:$C$3000,MATCH(S82&amp;"",'Chart of Accounts'!$A$5:$A$3000,0))&amp;"|"&amp;INDEX('Chart of Accounts'!$D$5:$D$3000,MATCH(S82&amp;"",'Chart of Accounts'!$A$5:$A$3000,0)),"")</f>
        <v/>
      </c>
      <c r="W82" s="23">
        <f>IF(LEFT(T82,8)="Revenue|",-N(O82),0)+IF(LEFT(U82,8)="Revenue|",N(K82),0)+IF(LEFT(V82,8)="Revenue|",N(P82),0)</f>
        <v/>
      </c>
      <c r="X82" s="23">
        <f>IF(LEFT(T82,5)="COGS|",N(O82),0)+IF(LEFT(U82,5)="COGS|",-N(K82),0)+IF(LEFT(V82,5)="COGS|",-N(P82),0)</f>
        <v/>
      </c>
      <c r="Y82" s="23">
        <f>IF(LEFT(T82,8)="Expense|",N(O82),0)+IF(LEFT(U82,8)="Expense|",-N(K82),0)+IF(LEFT(V82,8)="Expense|",-N(P82),0)</f>
        <v/>
      </c>
      <c r="Z82" s="23">
        <f>IF(ISNUMBER(MATCH(T82,{"Expense|employee","Expense|general_admin","Expense|marketing","Expense|utilities","Expense|other_operating"},0)),N(O82),0)+IF(ISNUMBER(MATCH(U82,{"Expense|employee","Expense|general_admin","Expense|marketing","Expense|utilities","Expense|other_operating"},0)),-N(K82),0)+IF(ISNUMBER(MATCH(V82,{"Expense|employee","Expense|general_admin","Expense|marketing","Expense|utilities","Expense|other_operating"},0)),-N(P82),0)</f>
        <v/>
      </c>
      <c r="AA82" s="23">
        <f>IF(T82="Liability|payable",-N(O82),0)+IF(U82="Liability|payable",N(K82),0)+IF(V82="Liability|payable",N(P82),0)</f>
        <v/>
      </c>
      <c r="AB82" s="23">
        <f>IF(T82="Liability|accrued",-N(O82),0)+IF(U82="Liability|accrued",N(K82),0)+IF(V82="Liability|accrued",N(P82),0)</f>
        <v/>
      </c>
      <c r="AC82" s="23">
        <f>IF(AND(N(O82)&lt;&gt;0,T82=""),1,0)+IF(AND(N(K82)&lt;&gt;0,U82=""),1,0)+IF(AND(N(P82)&lt;&gt;0,V82=""),1,0)</f>
        <v/>
      </c>
    </row>
    <row r="83">
      <c r="A83" s="19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20" t="n"/>
      <c r="K83" s="20" t="n"/>
      <c r="L83" s="14" t="n"/>
      <c r="M83" s="14" t="n"/>
      <c r="N83" s="14" t="n"/>
      <c r="O83" s="21">
        <f>ROUND(N(I83)*N(J83),2)</f>
        <v/>
      </c>
      <c r="P83" s="21">
        <f>O83-N(K83)</f>
        <v/>
      </c>
      <c r="Q83" s="16">
        <f>IF(F83&lt;&gt;"",F83&amp;"",IF(LEFT(E83,6)="Indire",INDEX('Chart of Accounts'!$A$5:$A$3000,MATCH("project_overhead",'Chart of Accounts'!$F$5:$F$3000,0)),IF(LEFT(E83,6)="Admini",INDEX('Chart of Accounts'!$A$5:$A$3000,MATCH("admin_salaries",'Chart of Accounts'!$F$5:$F$3000,0)),INDEX('Chart of Accounts'!$A$5:$A$3000,MATCH("direct_labour",'Chart of Accounts'!$F$5:$F$3000,0)))))</f>
        <v/>
      </c>
      <c r="R83" s="16">
        <f>IF(M83="",INDEX('Chart of Accounts'!$A$5:$A$3000,MATCH("bank",'Chart of Accounts'!$F$5:$F$3000,0)),M83&amp;"")</f>
        <v/>
      </c>
      <c r="S83" s="16">
        <f>IF(N83="",INDEX('Chart of Accounts'!$A$5:$A$3000,MATCH("accrued_payroll",'Chart of Accounts'!$F$5:$F$3000,0)),N83&amp;"")</f>
        <v/>
      </c>
      <c r="T83" s="23">
        <f>IFERROR(INDEX('Chart of Accounts'!$C$5:$C$3000,MATCH(Q83&amp;"",'Chart of Accounts'!$A$5:$A$3000,0))&amp;"|"&amp;INDEX('Chart of Accounts'!$D$5:$D$3000,MATCH(Q83&amp;"",'Chart of Accounts'!$A$5:$A$3000,0)),"")</f>
        <v/>
      </c>
      <c r="U83" s="23">
        <f>IFERROR(INDEX('Chart of Accounts'!$C$5:$C$3000,MATCH(R83&amp;"",'Chart of Accounts'!$A$5:$A$3000,0))&amp;"|"&amp;INDEX('Chart of Accounts'!$D$5:$D$3000,MATCH(R83&amp;"",'Chart of Accounts'!$A$5:$A$3000,0)),"")</f>
        <v/>
      </c>
      <c r="V83" s="23">
        <f>IFERROR(INDEX('Chart of Accounts'!$C$5:$C$3000,MATCH(S83&amp;"",'Chart of Accounts'!$A$5:$A$3000,0))&amp;"|"&amp;INDEX('Chart of Accounts'!$D$5:$D$3000,MATCH(S83&amp;"",'Chart of Accounts'!$A$5:$A$3000,0)),"")</f>
        <v/>
      </c>
      <c r="W83" s="23">
        <f>IF(LEFT(T83,8)="Revenue|",-N(O83),0)+IF(LEFT(U83,8)="Revenue|",N(K83),0)+IF(LEFT(V83,8)="Revenue|",N(P83),0)</f>
        <v/>
      </c>
      <c r="X83" s="23">
        <f>IF(LEFT(T83,5)="COGS|",N(O83),0)+IF(LEFT(U83,5)="COGS|",-N(K83),0)+IF(LEFT(V83,5)="COGS|",-N(P83),0)</f>
        <v/>
      </c>
      <c r="Y83" s="23">
        <f>IF(LEFT(T83,8)="Expense|",N(O83),0)+IF(LEFT(U83,8)="Expense|",-N(K83),0)+IF(LEFT(V83,8)="Expense|",-N(P83),0)</f>
        <v/>
      </c>
      <c r="Z83" s="23">
        <f>IF(ISNUMBER(MATCH(T83,{"Expense|employee","Expense|general_admin","Expense|marketing","Expense|utilities","Expense|other_operating"},0)),N(O83),0)+IF(ISNUMBER(MATCH(U83,{"Expense|employee","Expense|general_admin","Expense|marketing","Expense|utilities","Expense|other_operating"},0)),-N(K83),0)+IF(ISNUMBER(MATCH(V83,{"Expense|employee","Expense|general_admin","Expense|marketing","Expense|utilities","Expense|other_operating"},0)),-N(P83),0)</f>
        <v/>
      </c>
      <c r="AA83" s="23">
        <f>IF(T83="Liability|payable",-N(O83),0)+IF(U83="Liability|payable",N(K83),0)+IF(V83="Liability|payable",N(P83),0)</f>
        <v/>
      </c>
      <c r="AB83" s="23">
        <f>IF(T83="Liability|accrued",-N(O83),0)+IF(U83="Liability|accrued",N(K83),0)+IF(V83="Liability|accrued",N(P83),0)</f>
        <v/>
      </c>
      <c r="AC83" s="23">
        <f>IF(AND(N(O83)&lt;&gt;0,T83=""),1,0)+IF(AND(N(K83)&lt;&gt;0,U83=""),1,0)+IF(AND(N(P83)&lt;&gt;0,V83=""),1,0)</f>
        <v/>
      </c>
    </row>
    <row r="84">
      <c r="A84" s="19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20" t="n"/>
      <c r="K84" s="20" t="n"/>
      <c r="L84" s="14" t="n"/>
      <c r="M84" s="14" t="n"/>
      <c r="N84" s="14" t="n"/>
      <c r="O84" s="21">
        <f>ROUND(N(I84)*N(J84),2)</f>
        <v/>
      </c>
      <c r="P84" s="21">
        <f>O84-N(K84)</f>
        <v/>
      </c>
      <c r="Q84" s="16">
        <f>IF(F84&lt;&gt;"",F84&amp;"",IF(LEFT(E84,6)="Indire",INDEX('Chart of Accounts'!$A$5:$A$3000,MATCH("project_overhead",'Chart of Accounts'!$F$5:$F$3000,0)),IF(LEFT(E84,6)="Admini",INDEX('Chart of Accounts'!$A$5:$A$3000,MATCH("admin_salaries",'Chart of Accounts'!$F$5:$F$3000,0)),INDEX('Chart of Accounts'!$A$5:$A$3000,MATCH("direct_labour",'Chart of Accounts'!$F$5:$F$3000,0)))))</f>
        <v/>
      </c>
      <c r="R84" s="16">
        <f>IF(M84="",INDEX('Chart of Accounts'!$A$5:$A$3000,MATCH("bank",'Chart of Accounts'!$F$5:$F$3000,0)),M84&amp;"")</f>
        <v/>
      </c>
      <c r="S84" s="16">
        <f>IF(N84="",INDEX('Chart of Accounts'!$A$5:$A$3000,MATCH("accrued_payroll",'Chart of Accounts'!$F$5:$F$3000,0)),N84&amp;"")</f>
        <v/>
      </c>
      <c r="T84" s="23">
        <f>IFERROR(INDEX('Chart of Accounts'!$C$5:$C$3000,MATCH(Q84&amp;"",'Chart of Accounts'!$A$5:$A$3000,0))&amp;"|"&amp;INDEX('Chart of Accounts'!$D$5:$D$3000,MATCH(Q84&amp;"",'Chart of Accounts'!$A$5:$A$3000,0)),"")</f>
        <v/>
      </c>
      <c r="U84" s="23">
        <f>IFERROR(INDEX('Chart of Accounts'!$C$5:$C$3000,MATCH(R84&amp;"",'Chart of Accounts'!$A$5:$A$3000,0))&amp;"|"&amp;INDEX('Chart of Accounts'!$D$5:$D$3000,MATCH(R84&amp;"",'Chart of Accounts'!$A$5:$A$3000,0)),"")</f>
        <v/>
      </c>
      <c r="V84" s="23">
        <f>IFERROR(INDEX('Chart of Accounts'!$C$5:$C$3000,MATCH(S84&amp;"",'Chart of Accounts'!$A$5:$A$3000,0))&amp;"|"&amp;INDEX('Chart of Accounts'!$D$5:$D$3000,MATCH(S84&amp;"",'Chart of Accounts'!$A$5:$A$3000,0)),"")</f>
        <v/>
      </c>
      <c r="W84" s="23">
        <f>IF(LEFT(T84,8)="Revenue|",-N(O84),0)+IF(LEFT(U84,8)="Revenue|",N(K84),0)+IF(LEFT(V84,8)="Revenue|",N(P84),0)</f>
        <v/>
      </c>
      <c r="X84" s="23">
        <f>IF(LEFT(T84,5)="COGS|",N(O84),0)+IF(LEFT(U84,5)="COGS|",-N(K84),0)+IF(LEFT(V84,5)="COGS|",-N(P84),0)</f>
        <v/>
      </c>
      <c r="Y84" s="23">
        <f>IF(LEFT(T84,8)="Expense|",N(O84),0)+IF(LEFT(U84,8)="Expense|",-N(K84),0)+IF(LEFT(V84,8)="Expense|",-N(P84),0)</f>
        <v/>
      </c>
      <c r="Z84" s="23">
        <f>IF(ISNUMBER(MATCH(T84,{"Expense|employee","Expense|general_admin","Expense|marketing","Expense|utilities","Expense|other_operating"},0)),N(O84),0)+IF(ISNUMBER(MATCH(U84,{"Expense|employee","Expense|general_admin","Expense|marketing","Expense|utilities","Expense|other_operating"},0)),-N(K84),0)+IF(ISNUMBER(MATCH(V84,{"Expense|employee","Expense|general_admin","Expense|marketing","Expense|utilities","Expense|other_operating"},0)),-N(P84),0)</f>
        <v/>
      </c>
      <c r="AA84" s="23">
        <f>IF(T84="Liability|payable",-N(O84),0)+IF(U84="Liability|payable",N(K84),0)+IF(V84="Liability|payable",N(P84),0)</f>
        <v/>
      </c>
      <c r="AB84" s="23">
        <f>IF(T84="Liability|accrued",-N(O84),0)+IF(U84="Liability|accrued",N(K84),0)+IF(V84="Liability|accrued",N(P84),0)</f>
        <v/>
      </c>
      <c r="AC84" s="23">
        <f>IF(AND(N(O84)&lt;&gt;0,T84=""),1,0)+IF(AND(N(K84)&lt;&gt;0,U84=""),1,0)+IF(AND(N(P84)&lt;&gt;0,V84=""),1,0)</f>
        <v/>
      </c>
    </row>
    <row r="85">
      <c r="A85" s="19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20" t="n"/>
      <c r="K85" s="20" t="n"/>
      <c r="L85" s="14" t="n"/>
      <c r="M85" s="14" t="n"/>
      <c r="N85" s="14" t="n"/>
      <c r="O85" s="21">
        <f>ROUND(N(I85)*N(J85),2)</f>
        <v/>
      </c>
      <c r="P85" s="21">
        <f>O85-N(K85)</f>
        <v/>
      </c>
      <c r="Q85" s="16">
        <f>IF(F85&lt;&gt;"",F85&amp;"",IF(LEFT(E85,6)="Indire",INDEX('Chart of Accounts'!$A$5:$A$3000,MATCH("project_overhead",'Chart of Accounts'!$F$5:$F$3000,0)),IF(LEFT(E85,6)="Admini",INDEX('Chart of Accounts'!$A$5:$A$3000,MATCH("admin_salaries",'Chart of Accounts'!$F$5:$F$3000,0)),INDEX('Chart of Accounts'!$A$5:$A$3000,MATCH("direct_labour",'Chart of Accounts'!$F$5:$F$3000,0)))))</f>
        <v/>
      </c>
      <c r="R85" s="16">
        <f>IF(M85="",INDEX('Chart of Accounts'!$A$5:$A$3000,MATCH("bank",'Chart of Accounts'!$F$5:$F$3000,0)),M85&amp;"")</f>
        <v/>
      </c>
      <c r="S85" s="16">
        <f>IF(N85="",INDEX('Chart of Accounts'!$A$5:$A$3000,MATCH("accrued_payroll",'Chart of Accounts'!$F$5:$F$3000,0)),N85&amp;"")</f>
        <v/>
      </c>
      <c r="T85" s="23">
        <f>IFERROR(INDEX('Chart of Accounts'!$C$5:$C$3000,MATCH(Q85&amp;"",'Chart of Accounts'!$A$5:$A$3000,0))&amp;"|"&amp;INDEX('Chart of Accounts'!$D$5:$D$3000,MATCH(Q85&amp;"",'Chart of Accounts'!$A$5:$A$3000,0)),"")</f>
        <v/>
      </c>
      <c r="U85" s="23">
        <f>IFERROR(INDEX('Chart of Accounts'!$C$5:$C$3000,MATCH(R85&amp;"",'Chart of Accounts'!$A$5:$A$3000,0))&amp;"|"&amp;INDEX('Chart of Accounts'!$D$5:$D$3000,MATCH(R85&amp;"",'Chart of Accounts'!$A$5:$A$3000,0)),"")</f>
        <v/>
      </c>
      <c r="V85" s="23">
        <f>IFERROR(INDEX('Chart of Accounts'!$C$5:$C$3000,MATCH(S85&amp;"",'Chart of Accounts'!$A$5:$A$3000,0))&amp;"|"&amp;INDEX('Chart of Accounts'!$D$5:$D$3000,MATCH(S85&amp;"",'Chart of Accounts'!$A$5:$A$3000,0)),"")</f>
        <v/>
      </c>
      <c r="W85" s="23">
        <f>IF(LEFT(T85,8)="Revenue|",-N(O85),0)+IF(LEFT(U85,8)="Revenue|",N(K85),0)+IF(LEFT(V85,8)="Revenue|",N(P85),0)</f>
        <v/>
      </c>
      <c r="X85" s="23">
        <f>IF(LEFT(T85,5)="COGS|",N(O85),0)+IF(LEFT(U85,5)="COGS|",-N(K85),0)+IF(LEFT(V85,5)="COGS|",-N(P85),0)</f>
        <v/>
      </c>
      <c r="Y85" s="23">
        <f>IF(LEFT(T85,8)="Expense|",N(O85),0)+IF(LEFT(U85,8)="Expense|",-N(K85),0)+IF(LEFT(V85,8)="Expense|",-N(P85),0)</f>
        <v/>
      </c>
      <c r="Z85" s="23">
        <f>IF(ISNUMBER(MATCH(T85,{"Expense|employee","Expense|general_admin","Expense|marketing","Expense|utilities","Expense|other_operating"},0)),N(O85),0)+IF(ISNUMBER(MATCH(U85,{"Expense|employee","Expense|general_admin","Expense|marketing","Expense|utilities","Expense|other_operating"},0)),-N(K85),0)+IF(ISNUMBER(MATCH(V85,{"Expense|employee","Expense|general_admin","Expense|marketing","Expense|utilities","Expense|other_operating"},0)),-N(P85),0)</f>
        <v/>
      </c>
      <c r="AA85" s="23">
        <f>IF(T85="Liability|payable",-N(O85),0)+IF(U85="Liability|payable",N(K85),0)+IF(V85="Liability|payable",N(P85),0)</f>
        <v/>
      </c>
      <c r="AB85" s="23">
        <f>IF(T85="Liability|accrued",-N(O85),0)+IF(U85="Liability|accrued",N(K85),0)+IF(V85="Liability|accrued",N(P85),0)</f>
        <v/>
      </c>
      <c r="AC85" s="23">
        <f>IF(AND(N(O85)&lt;&gt;0,T85=""),1,0)+IF(AND(N(K85)&lt;&gt;0,U85=""),1,0)+IF(AND(N(P85)&lt;&gt;0,V85=""),1,0)</f>
        <v/>
      </c>
    </row>
    <row r="86">
      <c r="A86" s="19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20" t="n"/>
      <c r="K86" s="20" t="n"/>
      <c r="L86" s="14" t="n"/>
      <c r="M86" s="14" t="n"/>
      <c r="N86" s="14" t="n"/>
      <c r="O86" s="21">
        <f>ROUND(N(I86)*N(J86),2)</f>
        <v/>
      </c>
      <c r="P86" s="21">
        <f>O86-N(K86)</f>
        <v/>
      </c>
      <c r="Q86" s="16">
        <f>IF(F86&lt;&gt;"",F86&amp;"",IF(LEFT(E86,6)="Indire",INDEX('Chart of Accounts'!$A$5:$A$3000,MATCH("project_overhead",'Chart of Accounts'!$F$5:$F$3000,0)),IF(LEFT(E86,6)="Admini",INDEX('Chart of Accounts'!$A$5:$A$3000,MATCH("admin_salaries",'Chart of Accounts'!$F$5:$F$3000,0)),INDEX('Chart of Accounts'!$A$5:$A$3000,MATCH("direct_labour",'Chart of Accounts'!$F$5:$F$3000,0)))))</f>
        <v/>
      </c>
      <c r="R86" s="16">
        <f>IF(M86="",INDEX('Chart of Accounts'!$A$5:$A$3000,MATCH("bank",'Chart of Accounts'!$F$5:$F$3000,0)),M86&amp;"")</f>
        <v/>
      </c>
      <c r="S86" s="16">
        <f>IF(N86="",INDEX('Chart of Accounts'!$A$5:$A$3000,MATCH("accrued_payroll",'Chart of Accounts'!$F$5:$F$3000,0)),N86&amp;"")</f>
        <v/>
      </c>
      <c r="T86" s="23">
        <f>IFERROR(INDEX('Chart of Accounts'!$C$5:$C$3000,MATCH(Q86&amp;"",'Chart of Accounts'!$A$5:$A$3000,0))&amp;"|"&amp;INDEX('Chart of Accounts'!$D$5:$D$3000,MATCH(Q86&amp;"",'Chart of Accounts'!$A$5:$A$3000,0)),"")</f>
        <v/>
      </c>
      <c r="U86" s="23">
        <f>IFERROR(INDEX('Chart of Accounts'!$C$5:$C$3000,MATCH(R86&amp;"",'Chart of Accounts'!$A$5:$A$3000,0))&amp;"|"&amp;INDEX('Chart of Accounts'!$D$5:$D$3000,MATCH(R86&amp;"",'Chart of Accounts'!$A$5:$A$3000,0)),"")</f>
        <v/>
      </c>
      <c r="V86" s="23">
        <f>IFERROR(INDEX('Chart of Accounts'!$C$5:$C$3000,MATCH(S86&amp;"",'Chart of Accounts'!$A$5:$A$3000,0))&amp;"|"&amp;INDEX('Chart of Accounts'!$D$5:$D$3000,MATCH(S86&amp;"",'Chart of Accounts'!$A$5:$A$3000,0)),"")</f>
        <v/>
      </c>
      <c r="W86" s="23">
        <f>IF(LEFT(T86,8)="Revenue|",-N(O86),0)+IF(LEFT(U86,8)="Revenue|",N(K86),0)+IF(LEFT(V86,8)="Revenue|",N(P86),0)</f>
        <v/>
      </c>
      <c r="X86" s="23">
        <f>IF(LEFT(T86,5)="COGS|",N(O86),0)+IF(LEFT(U86,5)="COGS|",-N(K86),0)+IF(LEFT(V86,5)="COGS|",-N(P86),0)</f>
        <v/>
      </c>
      <c r="Y86" s="23">
        <f>IF(LEFT(T86,8)="Expense|",N(O86),0)+IF(LEFT(U86,8)="Expense|",-N(K86),0)+IF(LEFT(V86,8)="Expense|",-N(P86),0)</f>
        <v/>
      </c>
      <c r="Z86" s="23">
        <f>IF(ISNUMBER(MATCH(T86,{"Expense|employee","Expense|general_admin","Expense|marketing","Expense|utilities","Expense|other_operating"},0)),N(O86),0)+IF(ISNUMBER(MATCH(U86,{"Expense|employee","Expense|general_admin","Expense|marketing","Expense|utilities","Expense|other_operating"},0)),-N(K86),0)+IF(ISNUMBER(MATCH(V86,{"Expense|employee","Expense|general_admin","Expense|marketing","Expense|utilities","Expense|other_operating"},0)),-N(P86),0)</f>
        <v/>
      </c>
      <c r="AA86" s="23">
        <f>IF(T86="Liability|payable",-N(O86),0)+IF(U86="Liability|payable",N(K86),0)+IF(V86="Liability|payable",N(P86),0)</f>
        <v/>
      </c>
      <c r="AB86" s="23">
        <f>IF(T86="Liability|accrued",-N(O86),0)+IF(U86="Liability|accrued",N(K86),0)+IF(V86="Liability|accrued",N(P86),0)</f>
        <v/>
      </c>
      <c r="AC86" s="23">
        <f>IF(AND(N(O86)&lt;&gt;0,T86=""),1,0)+IF(AND(N(K86)&lt;&gt;0,U86=""),1,0)+IF(AND(N(P86)&lt;&gt;0,V86=""),1,0)</f>
        <v/>
      </c>
    </row>
    <row r="87">
      <c r="A87" s="19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20" t="n"/>
      <c r="K87" s="20" t="n"/>
      <c r="L87" s="14" t="n"/>
      <c r="M87" s="14" t="n"/>
      <c r="N87" s="14" t="n"/>
      <c r="O87" s="21">
        <f>ROUND(N(I87)*N(J87),2)</f>
        <v/>
      </c>
      <c r="P87" s="21">
        <f>O87-N(K87)</f>
        <v/>
      </c>
      <c r="Q87" s="16">
        <f>IF(F87&lt;&gt;"",F87&amp;"",IF(LEFT(E87,6)="Indire",INDEX('Chart of Accounts'!$A$5:$A$3000,MATCH("project_overhead",'Chart of Accounts'!$F$5:$F$3000,0)),IF(LEFT(E87,6)="Admini",INDEX('Chart of Accounts'!$A$5:$A$3000,MATCH("admin_salaries",'Chart of Accounts'!$F$5:$F$3000,0)),INDEX('Chart of Accounts'!$A$5:$A$3000,MATCH("direct_labour",'Chart of Accounts'!$F$5:$F$3000,0)))))</f>
        <v/>
      </c>
      <c r="R87" s="16">
        <f>IF(M87="",INDEX('Chart of Accounts'!$A$5:$A$3000,MATCH("bank",'Chart of Accounts'!$F$5:$F$3000,0)),M87&amp;"")</f>
        <v/>
      </c>
      <c r="S87" s="16">
        <f>IF(N87="",INDEX('Chart of Accounts'!$A$5:$A$3000,MATCH("accrued_payroll",'Chart of Accounts'!$F$5:$F$3000,0)),N87&amp;"")</f>
        <v/>
      </c>
      <c r="T87" s="23">
        <f>IFERROR(INDEX('Chart of Accounts'!$C$5:$C$3000,MATCH(Q87&amp;"",'Chart of Accounts'!$A$5:$A$3000,0))&amp;"|"&amp;INDEX('Chart of Accounts'!$D$5:$D$3000,MATCH(Q87&amp;"",'Chart of Accounts'!$A$5:$A$3000,0)),"")</f>
        <v/>
      </c>
      <c r="U87" s="23">
        <f>IFERROR(INDEX('Chart of Accounts'!$C$5:$C$3000,MATCH(R87&amp;"",'Chart of Accounts'!$A$5:$A$3000,0))&amp;"|"&amp;INDEX('Chart of Accounts'!$D$5:$D$3000,MATCH(R87&amp;"",'Chart of Accounts'!$A$5:$A$3000,0)),"")</f>
        <v/>
      </c>
      <c r="V87" s="23">
        <f>IFERROR(INDEX('Chart of Accounts'!$C$5:$C$3000,MATCH(S87&amp;"",'Chart of Accounts'!$A$5:$A$3000,0))&amp;"|"&amp;INDEX('Chart of Accounts'!$D$5:$D$3000,MATCH(S87&amp;"",'Chart of Accounts'!$A$5:$A$3000,0)),"")</f>
        <v/>
      </c>
      <c r="W87" s="23">
        <f>IF(LEFT(T87,8)="Revenue|",-N(O87),0)+IF(LEFT(U87,8)="Revenue|",N(K87),0)+IF(LEFT(V87,8)="Revenue|",N(P87),0)</f>
        <v/>
      </c>
      <c r="X87" s="23">
        <f>IF(LEFT(T87,5)="COGS|",N(O87),0)+IF(LEFT(U87,5)="COGS|",-N(K87),0)+IF(LEFT(V87,5)="COGS|",-N(P87),0)</f>
        <v/>
      </c>
      <c r="Y87" s="23">
        <f>IF(LEFT(T87,8)="Expense|",N(O87),0)+IF(LEFT(U87,8)="Expense|",-N(K87),0)+IF(LEFT(V87,8)="Expense|",-N(P87),0)</f>
        <v/>
      </c>
      <c r="Z87" s="23">
        <f>IF(ISNUMBER(MATCH(T87,{"Expense|employee","Expense|general_admin","Expense|marketing","Expense|utilities","Expense|other_operating"},0)),N(O87),0)+IF(ISNUMBER(MATCH(U87,{"Expense|employee","Expense|general_admin","Expense|marketing","Expense|utilities","Expense|other_operating"},0)),-N(K87),0)+IF(ISNUMBER(MATCH(V87,{"Expense|employee","Expense|general_admin","Expense|marketing","Expense|utilities","Expense|other_operating"},0)),-N(P87),0)</f>
        <v/>
      </c>
      <c r="AA87" s="23">
        <f>IF(T87="Liability|payable",-N(O87),0)+IF(U87="Liability|payable",N(K87),0)+IF(V87="Liability|payable",N(P87),0)</f>
        <v/>
      </c>
      <c r="AB87" s="23">
        <f>IF(T87="Liability|accrued",-N(O87),0)+IF(U87="Liability|accrued",N(K87),0)+IF(V87="Liability|accrued",N(P87),0)</f>
        <v/>
      </c>
      <c r="AC87" s="23">
        <f>IF(AND(N(O87)&lt;&gt;0,T87=""),1,0)+IF(AND(N(K87)&lt;&gt;0,U87=""),1,0)+IF(AND(N(P87)&lt;&gt;0,V87=""),1,0)</f>
        <v/>
      </c>
    </row>
    <row r="88">
      <c r="A88" s="19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20" t="n"/>
      <c r="K88" s="20" t="n"/>
      <c r="L88" s="14" t="n"/>
      <c r="M88" s="14" t="n"/>
      <c r="N88" s="14" t="n"/>
      <c r="O88" s="21">
        <f>ROUND(N(I88)*N(J88),2)</f>
        <v/>
      </c>
      <c r="P88" s="21">
        <f>O88-N(K88)</f>
        <v/>
      </c>
      <c r="Q88" s="16">
        <f>IF(F88&lt;&gt;"",F88&amp;"",IF(LEFT(E88,6)="Indire",INDEX('Chart of Accounts'!$A$5:$A$3000,MATCH("project_overhead",'Chart of Accounts'!$F$5:$F$3000,0)),IF(LEFT(E88,6)="Admini",INDEX('Chart of Accounts'!$A$5:$A$3000,MATCH("admin_salaries",'Chart of Accounts'!$F$5:$F$3000,0)),INDEX('Chart of Accounts'!$A$5:$A$3000,MATCH("direct_labour",'Chart of Accounts'!$F$5:$F$3000,0)))))</f>
        <v/>
      </c>
      <c r="R88" s="16">
        <f>IF(M88="",INDEX('Chart of Accounts'!$A$5:$A$3000,MATCH("bank",'Chart of Accounts'!$F$5:$F$3000,0)),M88&amp;"")</f>
        <v/>
      </c>
      <c r="S88" s="16">
        <f>IF(N88="",INDEX('Chart of Accounts'!$A$5:$A$3000,MATCH("accrued_payroll",'Chart of Accounts'!$F$5:$F$3000,0)),N88&amp;"")</f>
        <v/>
      </c>
      <c r="T88" s="23">
        <f>IFERROR(INDEX('Chart of Accounts'!$C$5:$C$3000,MATCH(Q88&amp;"",'Chart of Accounts'!$A$5:$A$3000,0))&amp;"|"&amp;INDEX('Chart of Accounts'!$D$5:$D$3000,MATCH(Q88&amp;"",'Chart of Accounts'!$A$5:$A$3000,0)),"")</f>
        <v/>
      </c>
      <c r="U88" s="23">
        <f>IFERROR(INDEX('Chart of Accounts'!$C$5:$C$3000,MATCH(R88&amp;"",'Chart of Accounts'!$A$5:$A$3000,0))&amp;"|"&amp;INDEX('Chart of Accounts'!$D$5:$D$3000,MATCH(R88&amp;"",'Chart of Accounts'!$A$5:$A$3000,0)),"")</f>
        <v/>
      </c>
      <c r="V88" s="23">
        <f>IFERROR(INDEX('Chart of Accounts'!$C$5:$C$3000,MATCH(S88&amp;"",'Chart of Accounts'!$A$5:$A$3000,0))&amp;"|"&amp;INDEX('Chart of Accounts'!$D$5:$D$3000,MATCH(S88&amp;"",'Chart of Accounts'!$A$5:$A$3000,0)),"")</f>
        <v/>
      </c>
      <c r="W88" s="23">
        <f>IF(LEFT(T88,8)="Revenue|",-N(O88),0)+IF(LEFT(U88,8)="Revenue|",N(K88),0)+IF(LEFT(V88,8)="Revenue|",N(P88),0)</f>
        <v/>
      </c>
      <c r="X88" s="23">
        <f>IF(LEFT(T88,5)="COGS|",N(O88),0)+IF(LEFT(U88,5)="COGS|",-N(K88),0)+IF(LEFT(V88,5)="COGS|",-N(P88),0)</f>
        <v/>
      </c>
      <c r="Y88" s="23">
        <f>IF(LEFT(T88,8)="Expense|",N(O88),0)+IF(LEFT(U88,8)="Expense|",-N(K88),0)+IF(LEFT(V88,8)="Expense|",-N(P88),0)</f>
        <v/>
      </c>
      <c r="Z88" s="23">
        <f>IF(ISNUMBER(MATCH(T88,{"Expense|employee","Expense|general_admin","Expense|marketing","Expense|utilities","Expense|other_operating"},0)),N(O88),0)+IF(ISNUMBER(MATCH(U88,{"Expense|employee","Expense|general_admin","Expense|marketing","Expense|utilities","Expense|other_operating"},0)),-N(K88),0)+IF(ISNUMBER(MATCH(V88,{"Expense|employee","Expense|general_admin","Expense|marketing","Expense|utilities","Expense|other_operating"},0)),-N(P88),0)</f>
        <v/>
      </c>
      <c r="AA88" s="23">
        <f>IF(T88="Liability|payable",-N(O88),0)+IF(U88="Liability|payable",N(K88),0)+IF(V88="Liability|payable",N(P88),0)</f>
        <v/>
      </c>
      <c r="AB88" s="23">
        <f>IF(T88="Liability|accrued",-N(O88),0)+IF(U88="Liability|accrued",N(K88),0)+IF(V88="Liability|accrued",N(P88),0)</f>
        <v/>
      </c>
      <c r="AC88" s="23">
        <f>IF(AND(N(O88)&lt;&gt;0,T88=""),1,0)+IF(AND(N(K88)&lt;&gt;0,U88=""),1,0)+IF(AND(N(P88)&lt;&gt;0,V88=""),1,0)</f>
        <v/>
      </c>
    </row>
    <row r="89">
      <c r="A89" s="19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20" t="n"/>
      <c r="K89" s="20" t="n"/>
      <c r="L89" s="14" t="n"/>
      <c r="M89" s="14" t="n"/>
      <c r="N89" s="14" t="n"/>
      <c r="O89" s="21">
        <f>ROUND(N(I89)*N(J89),2)</f>
        <v/>
      </c>
      <c r="P89" s="21">
        <f>O89-N(K89)</f>
        <v/>
      </c>
      <c r="Q89" s="16">
        <f>IF(F89&lt;&gt;"",F89&amp;"",IF(LEFT(E89,6)="Indire",INDEX('Chart of Accounts'!$A$5:$A$3000,MATCH("project_overhead",'Chart of Accounts'!$F$5:$F$3000,0)),IF(LEFT(E89,6)="Admini",INDEX('Chart of Accounts'!$A$5:$A$3000,MATCH("admin_salaries",'Chart of Accounts'!$F$5:$F$3000,0)),INDEX('Chart of Accounts'!$A$5:$A$3000,MATCH("direct_labour",'Chart of Accounts'!$F$5:$F$3000,0)))))</f>
        <v/>
      </c>
      <c r="R89" s="16">
        <f>IF(M89="",INDEX('Chart of Accounts'!$A$5:$A$3000,MATCH("bank",'Chart of Accounts'!$F$5:$F$3000,0)),M89&amp;"")</f>
        <v/>
      </c>
      <c r="S89" s="16">
        <f>IF(N89="",INDEX('Chart of Accounts'!$A$5:$A$3000,MATCH("accrued_payroll",'Chart of Accounts'!$F$5:$F$3000,0)),N89&amp;"")</f>
        <v/>
      </c>
      <c r="T89" s="23">
        <f>IFERROR(INDEX('Chart of Accounts'!$C$5:$C$3000,MATCH(Q89&amp;"",'Chart of Accounts'!$A$5:$A$3000,0))&amp;"|"&amp;INDEX('Chart of Accounts'!$D$5:$D$3000,MATCH(Q89&amp;"",'Chart of Accounts'!$A$5:$A$3000,0)),"")</f>
        <v/>
      </c>
      <c r="U89" s="23">
        <f>IFERROR(INDEX('Chart of Accounts'!$C$5:$C$3000,MATCH(R89&amp;"",'Chart of Accounts'!$A$5:$A$3000,0))&amp;"|"&amp;INDEX('Chart of Accounts'!$D$5:$D$3000,MATCH(R89&amp;"",'Chart of Accounts'!$A$5:$A$3000,0)),"")</f>
        <v/>
      </c>
      <c r="V89" s="23">
        <f>IFERROR(INDEX('Chart of Accounts'!$C$5:$C$3000,MATCH(S89&amp;"",'Chart of Accounts'!$A$5:$A$3000,0))&amp;"|"&amp;INDEX('Chart of Accounts'!$D$5:$D$3000,MATCH(S89&amp;"",'Chart of Accounts'!$A$5:$A$3000,0)),"")</f>
        <v/>
      </c>
      <c r="W89" s="23">
        <f>IF(LEFT(T89,8)="Revenue|",-N(O89),0)+IF(LEFT(U89,8)="Revenue|",N(K89),0)+IF(LEFT(V89,8)="Revenue|",N(P89),0)</f>
        <v/>
      </c>
      <c r="X89" s="23">
        <f>IF(LEFT(T89,5)="COGS|",N(O89),0)+IF(LEFT(U89,5)="COGS|",-N(K89),0)+IF(LEFT(V89,5)="COGS|",-N(P89),0)</f>
        <v/>
      </c>
      <c r="Y89" s="23">
        <f>IF(LEFT(T89,8)="Expense|",N(O89),0)+IF(LEFT(U89,8)="Expense|",-N(K89),0)+IF(LEFT(V89,8)="Expense|",-N(P89),0)</f>
        <v/>
      </c>
      <c r="Z89" s="23">
        <f>IF(ISNUMBER(MATCH(T89,{"Expense|employee","Expense|general_admin","Expense|marketing","Expense|utilities","Expense|other_operating"},0)),N(O89),0)+IF(ISNUMBER(MATCH(U89,{"Expense|employee","Expense|general_admin","Expense|marketing","Expense|utilities","Expense|other_operating"},0)),-N(K89),0)+IF(ISNUMBER(MATCH(V89,{"Expense|employee","Expense|general_admin","Expense|marketing","Expense|utilities","Expense|other_operating"},0)),-N(P89),0)</f>
        <v/>
      </c>
      <c r="AA89" s="23">
        <f>IF(T89="Liability|payable",-N(O89),0)+IF(U89="Liability|payable",N(K89),0)+IF(V89="Liability|payable",N(P89),0)</f>
        <v/>
      </c>
      <c r="AB89" s="23">
        <f>IF(T89="Liability|accrued",-N(O89),0)+IF(U89="Liability|accrued",N(K89),0)+IF(V89="Liability|accrued",N(P89),0)</f>
        <v/>
      </c>
      <c r="AC89" s="23">
        <f>IF(AND(N(O89)&lt;&gt;0,T89=""),1,0)+IF(AND(N(K89)&lt;&gt;0,U89=""),1,0)+IF(AND(N(P89)&lt;&gt;0,V89=""),1,0)</f>
        <v/>
      </c>
    </row>
    <row r="90">
      <c r="A90" s="19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20" t="n"/>
      <c r="K90" s="20" t="n"/>
      <c r="L90" s="14" t="n"/>
      <c r="M90" s="14" t="n"/>
      <c r="N90" s="14" t="n"/>
      <c r="O90" s="21">
        <f>ROUND(N(I90)*N(J90),2)</f>
        <v/>
      </c>
      <c r="P90" s="21">
        <f>O90-N(K90)</f>
        <v/>
      </c>
      <c r="Q90" s="16">
        <f>IF(F90&lt;&gt;"",F90&amp;"",IF(LEFT(E90,6)="Indire",INDEX('Chart of Accounts'!$A$5:$A$3000,MATCH("project_overhead",'Chart of Accounts'!$F$5:$F$3000,0)),IF(LEFT(E90,6)="Admini",INDEX('Chart of Accounts'!$A$5:$A$3000,MATCH("admin_salaries",'Chart of Accounts'!$F$5:$F$3000,0)),INDEX('Chart of Accounts'!$A$5:$A$3000,MATCH("direct_labour",'Chart of Accounts'!$F$5:$F$3000,0)))))</f>
        <v/>
      </c>
      <c r="R90" s="16">
        <f>IF(M90="",INDEX('Chart of Accounts'!$A$5:$A$3000,MATCH("bank",'Chart of Accounts'!$F$5:$F$3000,0)),M90&amp;"")</f>
        <v/>
      </c>
      <c r="S90" s="16">
        <f>IF(N90="",INDEX('Chart of Accounts'!$A$5:$A$3000,MATCH("accrued_payroll",'Chart of Accounts'!$F$5:$F$3000,0)),N90&amp;"")</f>
        <v/>
      </c>
      <c r="T90" s="23">
        <f>IFERROR(INDEX('Chart of Accounts'!$C$5:$C$3000,MATCH(Q90&amp;"",'Chart of Accounts'!$A$5:$A$3000,0))&amp;"|"&amp;INDEX('Chart of Accounts'!$D$5:$D$3000,MATCH(Q90&amp;"",'Chart of Accounts'!$A$5:$A$3000,0)),"")</f>
        <v/>
      </c>
      <c r="U90" s="23">
        <f>IFERROR(INDEX('Chart of Accounts'!$C$5:$C$3000,MATCH(R90&amp;"",'Chart of Accounts'!$A$5:$A$3000,0))&amp;"|"&amp;INDEX('Chart of Accounts'!$D$5:$D$3000,MATCH(R90&amp;"",'Chart of Accounts'!$A$5:$A$3000,0)),"")</f>
        <v/>
      </c>
      <c r="V90" s="23">
        <f>IFERROR(INDEX('Chart of Accounts'!$C$5:$C$3000,MATCH(S90&amp;"",'Chart of Accounts'!$A$5:$A$3000,0))&amp;"|"&amp;INDEX('Chart of Accounts'!$D$5:$D$3000,MATCH(S90&amp;"",'Chart of Accounts'!$A$5:$A$3000,0)),"")</f>
        <v/>
      </c>
      <c r="W90" s="23">
        <f>IF(LEFT(T90,8)="Revenue|",-N(O90),0)+IF(LEFT(U90,8)="Revenue|",N(K90),0)+IF(LEFT(V90,8)="Revenue|",N(P90),0)</f>
        <v/>
      </c>
      <c r="X90" s="23">
        <f>IF(LEFT(T90,5)="COGS|",N(O90),0)+IF(LEFT(U90,5)="COGS|",-N(K90),0)+IF(LEFT(V90,5)="COGS|",-N(P90),0)</f>
        <v/>
      </c>
      <c r="Y90" s="23">
        <f>IF(LEFT(T90,8)="Expense|",N(O90),0)+IF(LEFT(U90,8)="Expense|",-N(K90),0)+IF(LEFT(V90,8)="Expense|",-N(P90),0)</f>
        <v/>
      </c>
      <c r="Z90" s="23">
        <f>IF(ISNUMBER(MATCH(T90,{"Expense|employee","Expense|general_admin","Expense|marketing","Expense|utilities","Expense|other_operating"},0)),N(O90),0)+IF(ISNUMBER(MATCH(U90,{"Expense|employee","Expense|general_admin","Expense|marketing","Expense|utilities","Expense|other_operating"},0)),-N(K90),0)+IF(ISNUMBER(MATCH(V90,{"Expense|employee","Expense|general_admin","Expense|marketing","Expense|utilities","Expense|other_operating"},0)),-N(P90),0)</f>
        <v/>
      </c>
      <c r="AA90" s="23">
        <f>IF(T90="Liability|payable",-N(O90),0)+IF(U90="Liability|payable",N(K90),0)+IF(V90="Liability|payable",N(P90),0)</f>
        <v/>
      </c>
      <c r="AB90" s="23">
        <f>IF(T90="Liability|accrued",-N(O90),0)+IF(U90="Liability|accrued",N(K90),0)+IF(V90="Liability|accrued",N(P90),0)</f>
        <v/>
      </c>
      <c r="AC90" s="23">
        <f>IF(AND(N(O90)&lt;&gt;0,T90=""),1,0)+IF(AND(N(K90)&lt;&gt;0,U90=""),1,0)+IF(AND(N(P90)&lt;&gt;0,V90=""),1,0)</f>
        <v/>
      </c>
    </row>
    <row r="91">
      <c r="A91" s="19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20" t="n"/>
      <c r="K91" s="20" t="n"/>
      <c r="L91" s="14" t="n"/>
      <c r="M91" s="14" t="n"/>
      <c r="N91" s="14" t="n"/>
      <c r="O91" s="21">
        <f>ROUND(N(I91)*N(J91),2)</f>
        <v/>
      </c>
      <c r="P91" s="21">
        <f>O91-N(K91)</f>
        <v/>
      </c>
      <c r="Q91" s="16">
        <f>IF(F91&lt;&gt;"",F91&amp;"",IF(LEFT(E91,6)="Indire",INDEX('Chart of Accounts'!$A$5:$A$3000,MATCH("project_overhead",'Chart of Accounts'!$F$5:$F$3000,0)),IF(LEFT(E91,6)="Admini",INDEX('Chart of Accounts'!$A$5:$A$3000,MATCH("admin_salaries",'Chart of Accounts'!$F$5:$F$3000,0)),INDEX('Chart of Accounts'!$A$5:$A$3000,MATCH("direct_labour",'Chart of Accounts'!$F$5:$F$3000,0)))))</f>
        <v/>
      </c>
      <c r="R91" s="16">
        <f>IF(M91="",INDEX('Chart of Accounts'!$A$5:$A$3000,MATCH("bank",'Chart of Accounts'!$F$5:$F$3000,0)),M91&amp;"")</f>
        <v/>
      </c>
      <c r="S91" s="16">
        <f>IF(N91="",INDEX('Chart of Accounts'!$A$5:$A$3000,MATCH("accrued_payroll",'Chart of Accounts'!$F$5:$F$3000,0)),N91&amp;"")</f>
        <v/>
      </c>
      <c r="T91" s="23">
        <f>IFERROR(INDEX('Chart of Accounts'!$C$5:$C$3000,MATCH(Q91&amp;"",'Chart of Accounts'!$A$5:$A$3000,0))&amp;"|"&amp;INDEX('Chart of Accounts'!$D$5:$D$3000,MATCH(Q91&amp;"",'Chart of Accounts'!$A$5:$A$3000,0)),"")</f>
        <v/>
      </c>
      <c r="U91" s="23">
        <f>IFERROR(INDEX('Chart of Accounts'!$C$5:$C$3000,MATCH(R91&amp;"",'Chart of Accounts'!$A$5:$A$3000,0))&amp;"|"&amp;INDEX('Chart of Accounts'!$D$5:$D$3000,MATCH(R91&amp;"",'Chart of Accounts'!$A$5:$A$3000,0)),"")</f>
        <v/>
      </c>
      <c r="V91" s="23">
        <f>IFERROR(INDEX('Chart of Accounts'!$C$5:$C$3000,MATCH(S91&amp;"",'Chart of Accounts'!$A$5:$A$3000,0))&amp;"|"&amp;INDEX('Chart of Accounts'!$D$5:$D$3000,MATCH(S91&amp;"",'Chart of Accounts'!$A$5:$A$3000,0)),"")</f>
        <v/>
      </c>
      <c r="W91" s="23">
        <f>IF(LEFT(T91,8)="Revenue|",-N(O91),0)+IF(LEFT(U91,8)="Revenue|",N(K91),0)+IF(LEFT(V91,8)="Revenue|",N(P91),0)</f>
        <v/>
      </c>
      <c r="X91" s="23">
        <f>IF(LEFT(T91,5)="COGS|",N(O91),0)+IF(LEFT(U91,5)="COGS|",-N(K91),0)+IF(LEFT(V91,5)="COGS|",-N(P91),0)</f>
        <v/>
      </c>
      <c r="Y91" s="23">
        <f>IF(LEFT(T91,8)="Expense|",N(O91),0)+IF(LEFT(U91,8)="Expense|",-N(K91),0)+IF(LEFT(V91,8)="Expense|",-N(P91),0)</f>
        <v/>
      </c>
      <c r="Z91" s="23">
        <f>IF(ISNUMBER(MATCH(T91,{"Expense|employee","Expense|general_admin","Expense|marketing","Expense|utilities","Expense|other_operating"},0)),N(O91),0)+IF(ISNUMBER(MATCH(U91,{"Expense|employee","Expense|general_admin","Expense|marketing","Expense|utilities","Expense|other_operating"},0)),-N(K91),0)+IF(ISNUMBER(MATCH(V91,{"Expense|employee","Expense|general_admin","Expense|marketing","Expense|utilities","Expense|other_operating"},0)),-N(P91),0)</f>
        <v/>
      </c>
      <c r="AA91" s="23">
        <f>IF(T91="Liability|payable",-N(O91),0)+IF(U91="Liability|payable",N(K91),0)+IF(V91="Liability|payable",N(P91),0)</f>
        <v/>
      </c>
      <c r="AB91" s="23">
        <f>IF(T91="Liability|accrued",-N(O91),0)+IF(U91="Liability|accrued",N(K91),0)+IF(V91="Liability|accrued",N(P91),0)</f>
        <v/>
      </c>
      <c r="AC91" s="23">
        <f>IF(AND(N(O91)&lt;&gt;0,T91=""),1,0)+IF(AND(N(K91)&lt;&gt;0,U91=""),1,0)+IF(AND(N(P91)&lt;&gt;0,V91=""),1,0)</f>
        <v/>
      </c>
    </row>
    <row r="92">
      <c r="A92" s="19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20" t="n"/>
      <c r="K92" s="20" t="n"/>
      <c r="L92" s="14" t="n"/>
      <c r="M92" s="14" t="n"/>
      <c r="N92" s="14" t="n"/>
      <c r="O92" s="21">
        <f>ROUND(N(I92)*N(J92),2)</f>
        <v/>
      </c>
      <c r="P92" s="21">
        <f>O92-N(K92)</f>
        <v/>
      </c>
      <c r="Q92" s="16">
        <f>IF(F92&lt;&gt;"",F92&amp;"",IF(LEFT(E92,6)="Indire",INDEX('Chart of Accounts'!$A$5:$A$3000,MATCH("project_overhead",'Chart of Accounts'!$F$5:$F$3000,0)),IF(LEFT(E92,6)="Admini",INDEX('Chart of Accounts'!$A$5:$A$3000,MATCH("admin_salaries",'Chart of Accounts'!$F$5:$F$3000,0)),INDEX('Chart of Accounts'!$A$5:$A$3000,MATCH("direct_labour",'Chart of Accounts'!$F$5:$F$3000,0)))))</f>
        <v/>
      </c>
      <c r="R92" s="16">
        <f>IF(M92="",INDEX('Chart of Accounts'!$A$5:$A$3000,MATCH("bank",'Chart of Accounts'!$F$5:$F$3000,0)),M92&amp;"")</f>
        <v/>
      </c>
      <c r="S92" s="16">
        <f>IF(N92="",INDEX('Chart of Accounts'!$A$5:$A$3000,MATCH("accrued_payroll",'Chart of Accounts'!$F$5:$F$3000,0)),N92&amp;"")</f>
        <v/>
      </c>
      <c r="T92" s="23">
        <f>IFERROR(INDEX('Chart of Accounts'!$C$5:$C$3000,MATCH(Q92&amp;"",'Chart of Accounts'!$A$5:$A$3000,0))&amp;"|"&amp;INDEX('Chart of Accounts'!$D$5:$D$3000,MATCH(Q92&amp;"",'Chart of Accounts'!$A$5:$A$3000,0)),"")</f>
        <v/>
      </c>
      <c r="U92" s="23">
        <f>IFERROR(INDEX('Chart of Accounts'!$C$5:$C$3000,MATCH(R92&amp;"",'Chart of Accounts'!$A$5:$A$3000,0))&amp;"|"&amp;INDEX('Chart of Accounts'!$D$5:$D$3000,MATCH(R92&amp;"",'Chart of Accounts'!$A$5:$A$3000,0)),"")</f>
        <v/>
      </c>
      <c r="V92" s="23">
        <f>IFERROR(INDEX('Chart of Accounts'!$C$5:$C$3000,MATCH(S92&amp;"",'Chart of Accounts'!$A$5:$A$3000,0))&amp;"|"&amp;INDEX('Chart of Accounts'!$D$5:$D$3000,MATCH(S92&amp;"",'Chart of Accounts'!$A$5:$A$3000,0)),"")</f>
        <v/>
      </c>
      <c r="W92" s="23">
        <f>IF(LEFT(T92,8)="Revenue|",-N(O92),0)+IF(LEFT(U92,8)="Revenue|",N(K92),0)+IF(LEFT(V92,8)="Revenue|",N(P92),0)</f>
        <v/>
      </c>
      <c r="X92" s="23">
        <f>IF(LEFT(T92,5)="COGS|",N(O92),0)+IF(LEFT(U92,5)="COGS|",-N(K92),0)+IF(LEFT(V92,5)="COGS|",-N(P92),0)</f>
        <v/>
      </c>
      <c r="Y92" s="23">
        <f>IF(LEFT(T92,8)="Expense|",N(O92),0)+IF(LEFT(U92,8)="Expense|",-N(K92),0)+IF(LEFT(V92,8)="Expense|",-N(P92),0)</f>
        <v/>
      </c>
      <c r="Z92" s="23">
        <f>IF(ISNUMBER(MATCH(T92,{"Expense|employee","Expense|general_admin","Expense|marketing","Expense|utilities","Expense|other_operating"},0)),N(O92),0)+IF(ISNUMBER(MATCH(U92,{"Expense|employee","Expense|general_admin","Expense|marketing","Expense|utilities","Expense|other_operating"},0)),-N(K92),0)+IF(ISNUMBER(MATCH(V92,{"Expense|employee","Expense|general_admin","Expense|marketing","Expense|utilities","Expense|other_operating"},0)),-N(P92),0)</f>
        <v/>
      </c>
      <c r="AA92" s="23">
        <f>IF(T92="Liability|payable",-N(O92),0)+IF(U92="Liability|payable",N(K92),0)+IF(V92="Liability|payable",N(P92),0)</f>
        <v/>
      </c>
      <c r="AB92" s="23">
        <f>IF(T92="Liability|accrued",-N(O92),0)+IF(U92="Liability|accrued",N(K92),0)+IF(V92="Liability|accrued",N(P92),0)</f>
        <v/>
      </c>
      <c r="AC92" s="23">
        <f>IF(AND(N(O92)&lt;&gt;0,T92=""),1,0)+IF(AND(N(K92)&lt;&gt;0,U92=""),1,0)+IF(AND(N(P92)&lt;&gt;0,V92=""),1,0)</f>
        <v/>
      </c>
    </row>
    <row r="93">
      <c r="A93" s="19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20" t="n"/>
      <c r="K93" s="20" t="n"/>
      <c r="L93" s="14" t="n"/>
      <c r="M93" s="14" t="n"/>
      <c r="N93" s="14" t="n"/>
      <c r="O93" s="21">
        <f>ROUND(N(I93)*N(J93),2)</f>
        <v/>
      </c>
      <c r="P93" s="21">
        <f>O93-N(K93)</f>
        <v/>
      </c>
      <c r="Q93" s="16">
        <f>IF(F93&lt;&gt;"",F93&amp;"",IF(LEFT(E93,6)="Indire",INDEX('Chart of Accounts'!$A$5:$A$3000,MATCH("project_overhead",'Chart of Accounts'!$F$5:$F$3000,0)),IF(LEFT(E93,6)="Admini",INDEX('Chart of Accounts'!$A$5:$A$3000,MATCH("admin_salaries",'Chart of Accounts'!$F$5:$F$3000,0)),INDEX('Chart of Accounts'!$A$5:$A$3000,MATCH("direct_labour",'Chart of Accounts'!$F$5:$F$3000,0)))))</f>
        <v/>
      </c>
      <c r="R93" s="16">
        <f>IF(M93="",INDEX('Chart of Accounts'!$A$5:$A$3000,MATCH("bank",'Chart of Accounts'!$F$5:$F$3000,0)),M93&amp;"")</f>
        <v/>
      </c>
      <c r="S93" s="16">
        <f>IF(N93="",INDEX('Chart of Accounts'!$A$5:$A$3000,MATCH("accrued_payroll",'Chart of Accounts'!$F$5:$F$3000,0)),N93&amp;"")</f>
        <v/>
      </c>
      <c r="T93" s="23">
        <f>IFERROR(INDEX('Chart of Accounts'!$C$5:$C$3000,MATCH(Q93&amp;"",'Chart of Accounts'!$A$5:$A$3000,0))&amp;"|"&amp;INDEX('Chart of Accounts'!$D$5:$D$3000,MATCH(Q93&amp;"",'Chart of Accounts'!$A$5:$A$3000,0)),"")</f>
        <v/>
      </c>
      <c r="U93" s="23">
        <f>IFERROR(INDEX('Chart of Accounts'!$C$5:$C$3000,MATCH(R93&amp;"",'Chart of Accounts'!$A$5:$A$3000,0))&amp;"|"&amp;INDEX('Chart of Accounts'!$D$5:$D$3000,MATCH(R93&amp;"",'Chart of Accounts'!$A$5:$A$3000,0)),"")</f>
        <v/>
      </c>
      <c r="V93" s="23">
        <f>IFERROR(INDEX('Chart of Accounts'!$C$5:$C$3000,MATCH(S93&amp;"",'Chart of Accounts'!$A$5:$A$3000,0))&amp;"|"&amp;INDEX('Chart of Accounts'!$D$5:$D$3000,MATCH(S93&amp;"",'Chart of Accounts'!$A$5:$A$3000,0)),"")</f>
        <v/>
      </c>
      <c r="W93" s="23">
        <f>IF(LEFT(T93,8)="Revenue|",-N(O93),0)+IF(LEFT(U93,8)="Revenue|",N(K93),0)+IF(LEFT(V93,8)="Revenue|",N(P93),0)</f>
        <v/>
      </c>
      <c r="X93" s="23">
        <f>IF(LEFT(T93,5)="COGS|",N(O93),0)+IF(LEFT(U93,5)="COGS|",-N(K93),0)+IF(LEFT(V93,5)="COGS|",-N(P93),0)</f>
        <v/>
      </c>
      <c r="Y93" s="23">
        <f>IF(LEFT(T93,8)="Expense|",N(O93),0)+IF(LEFT(U93,8)="Expense|",-N(K93),0)+IF(LEFT(V93,8)="Expense|",-N(P93),0)</f>
        <v/>
      </c>
      <c r="Z93" s="23">
        <f>IF(ISNUMBER(MATCH(T93,{"Expense|employee","Expense|general_admin","Expense|marketing","Expense|utilities","Expense|other_operating"},0)),N(O93),0)+IF(ISNUMBER(MATCH(U93,{"Expense|employee","Expense|general_admin","Expense|marketing","Expense|utilities","Expense|other_operating"},0)),-N(K93),0)+IF(ISNUMBER(MATCH(V93,{"Expense|employee","Expense|general_admin","Expense|marketing","Expense|utilities","Expense|other_operating"},0)),-N(P93),0)</f>
        <v/>
      </c>
      <c r="AA93" s="23">
        <f>IF(T93="Liability|payable",-N(O93),0)+IF(U93="Liability|payable",N(K93),0)+IF(V93="Liability|payable",N(P93),0)</f>
        <v/>
      </c>
      <c r="AB93" s="23">
        <f>IF(T93="Liability|accrued",-N(O93),0)+IF(U93="Liability|accrued",N(K93),0)+IF(V93="Liability|accrued",N(P93),0)</f>
        <v/>
      </c>
      <c r="AC93" s="23">
        <f>IF(AND(N(O93)&lt;&gt;0,T93=""),1,0)+IF(AND(N(K93)&lt;&gt;0,U93=""),1,0)+IF(AND(N(P93)&lt;&gt;0,V93=""),1,0)</f>
        <v/>
      </c>
    </row>
    <row r="94">
      <c r="A94" s="19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20" t="n"/>
      <c r="K94" s="20" t="n"/>
      <c r="L94" s="14" t="n"/>
      <c r="M94" s="14" t="n"/>
      <c r="N94" s="14" t="n"/>
      <c r="O94" s="21">
        <f>ROUND(N(I94)*N(J94),2)</f>
        <v/>
      </c>
      <c r="P94" s="21">
        <f>O94-N(K94)</f>
        <v/>
      </c>
      <c r="Q94" s="16">
        <f>IF(F94&lt;&gt;"",F94&amp;"",IF(LEFT(E94,6)="Indire",INDEX('Chart of Accounts'!$A$5:$A$3000,MATCH("project_overhead",'Chart of Accounts'!$F$5:$F$3000,0)),IF(LEFT(E94,6)="Admini",INDEX('Chart of Accounts'!$A$5:$A$3000,MATCH("admin_salaries",'Chart of Accounts'!$F$5:$F$3000,0)),INDEX('Chart of Accounts'!$A$5:$A$3000,MATCH("direct_labour",'Chart of Accounts'!$F$5:$F$3000,0)))))</f>
        <v/>
      </c>
      <c r="R94" s="16">
        <f>IF(M94="",INDEX('Chart of Accounts'!$A$5:$A$3000,MATCH("bank",'Chart of Accounts'!$F$5:$F$3000,0)),M94&amp;"")</f>
        <v/>
      </c>
      <c r="S94" s="16">
        <f>IF(N94="",INDEX('Chart of Accounts'!$A$5:$A$3000,MATCH("accrued_payroll",'Chart of Accounts'!$F$5:$F$3000,0)),N94&amp;"")</f>
        <v/>
      </c>
      <c r="T94" s="23">
        <f>IFERROR(INDEX('Chart of Accounts'!$C$5:$C$3000,MATCH(Q94&amp;"",'Chart of Accounts'!$A$5:$A$3000,0))&amp;"|"&amp;INDEX('Chart of Accounts'!$D$5:$D$3000,MATCH(Q94&amp;"",'Chart of Accounts'!$A$5:$A$3000,0)),"")</f>
        <v/>
      </c>
      <c r="U94" s="23">
        <f>IFERROR(INDEX('Chart of Accounts'!$C$5:$C$3000,MATCH(R94&amp;"",'Chart of Accounts'!$A$5:$A$3000,0))&amp;"|"&amp;INDEX('Chart of Accounts'!$D$5:$D$3000,MATCH(R94&amp;"",'Chart of Accounts'!$A$5:$A$3000,0)),"")</f>
        <v/>
      </c>
      <c r="V94" s="23">
        <f>IFERROR(INDEX('Chart of Accounts'!$C$5:$C$3000,MATCH(S94&amp;"",'Chart of Accounts'!$A$5:$A$3000,0))&amp;"|"&amp;INDEX('Chart of Accounts'!$D$5:$D$3000,MATCH(S94&amp;"",'Chart of Accounts'!$A$5:$A$3000,0)),"")</f>
        <v/>
      </c>
      <c r="W94" s="23">
        <f>IF(LEFT(T94,8)="Revenue|",-N(O94),0)+IF(LEFT(U94,8)="Revenue|",N(K94),0)+IF(LEFT(V94,8)="Revenue|",N(P94),0)</f>
        <v/>
      </c>
      <c r="X94" s="23">
        <f>IF(LEFT(T94,5)="COGS|",N(O94),0)+IF(LEFT(U94,5)="COGS|",-N(K94),0)+IF(LEFT(V94,5)="COGS|",-N(P94),0)</f>
        <v/>
      </c>
      <c r="Y94" s="23">
        <f>IF(LEFT(T94,8)="Expense|",N(O94),0)+IF(LEFT(U94,8)="Expense|",-N(K94),0)+IF(LEFT(V94,8)="Expense|",-N(P94),0)</f>
        <v/>
      </c>
      <c r="Z94" s="23">
        <f>IF(ISNUMBER(MATCH(T94,{"Expense|employee","Expense|general_admin","Expense|marketing","Expense|utilities","Expense|other_operating"},0)),N(O94),0)+IF(ISNUMBER(MATCH(U94,{"Expense|employee","Expense|general_admin","Expense|marketing","Expense|utilities","Expense|other_operating"},0)),-N(K94),0)+IF(ISNUMBER(MATCH(V94,{"Expense|employee","Expense|general_admin","Expense|marketing","Expense|utilities","Expense|other_operating"},0)),-N(P94),0)</f>
        <v/>
      </c>
      <c r="AA94" s="23">
        <f>IF(T94="Liability|payable",-N(O94),0)+IF(U94="Liability|payable",N(K94),0)+IF(V94="Liability|payable",N(P94),0)</f>
        <v/>
      </c>
      <c r="AB94" s="23">
        <f>IF(T94="Liability|accrued",-N(O94),0)+IF(U94="Liability|accrued",N(K94),0)+IF(V94="Liability|accrued",N(P94),0)</f>
        <v/>
      </c>
      <c r="AC94" s="23">
        <f>IF(AND(N(O94)&lt;&gt;0,T94=""),1,0)+IF(AND(N(K94)&lt;&gt;0,U94=""),1,0)+IF(AND(N(P94)&lt;&gt;0,V94=""),1,0)</f>
        <v/>
      </c>
    </row>
    <row r="95">
      <c r="A95" s="19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20" t="n"/>
      <c r="K95" s="20" t="n"/>
      <c r="L95" s="14" t="n"/>
      <c r="M95" s="14" t="n"/>
      <c r="N95" s="14" t="n"/>
      <c r="O95" s="21">
        <f>ROUND(N(I95)*N(J95),2)</f>
        <v/>
      </c>
      <c r="P95" s="21">
        <f>O95-N(K95)</f>
        <v/>
      </c>
      <c r="Q95" s="16">
        <f>IF(F95&lt;&gt;"",F95&amp;"",IF(LEFT(E95,6)="Indire",INDEX('Chart of Accounts'!$A$5:$A$3000,MATCH("project_overhead",'Chart of Accounts'!$F$5:$F$3000,0)),IF(LEFT(E95,6)="Admini",INDEX('Chart of Accounts'!$A$5:$A$3000,MATCH("admin_salaries",'Chart of Accounts'!$F$5:$F$3000,0)),INDEX('Chart of Accounts'!$A$5:$A$3000,MATCH("direct_labour",'Chart of Accounts'!$F$5:$F$3000,0)))))</f>
        <v/>
      </c>
      <c r="R95" s="16">
        <f>IF(M95="",INDEX('Chart of Accounts'!$A$5:$A$3000,MATCH("bank",'Chart of Accounts'!$F$5:$F$3000,0)),M95&amp;"")</f>
        <v/>
      </c>
      <c r="S95" s="16">
        <f>IF(N95="",INDEX('Chart of Accounts'!$A$5:$A$3000,MATCH("accrued_payroll",'Chart of Accounts'!$F$5:$F$3000,0)),N95&amp;"")</f>
        <v/>
      </c>
      <c r="T95" s="23">
        <f>IFERROR(INDEX('Chart of Accounts'!$C$5:$C$3000,MATCH(Q95&amp;"",'Chart of Accounts'!$A$5:$A$3000,0))&amp;"|"&amp;INDEX('Chart of Accounts'!$D$5:$D$3000,MATCH(Q95&amp;"",'Chart of Accounts'!$A$5:$A$3000,0)),"")</f>
        <v/>
      </c>
      <c r="U95" s="23">
        <f>IFERROR(INDEX('Chart of Accounts'!$C$5:$C$3000,MATCH(R95&amp;"",'Chart of Accounts'!$A$5:$A$3000,0))&amp;"|"&amp;INDEX('Chart of Accounts'!$D$5:$D$3000,MATCH(R95&amp;"",'Chart of Accounts'!$A$5:$A$3000,0)),"")</f>
        <v/>
      </c>
      <c r="V95" s="23">
        <f>IFERROR(INDEX('Chart of Accounts'!$C$5:$C$3000,MATCH(S95&amp;"",'Chart of Accounts'!$A$5:$A$3000,0))&amp;"|"&amp;INDEX('Chart of Accounts'!$D$5:$D$3000,MATCH(S95&amp;"",'Chart of Accounts'!$A$5:$A$3000,0)),"")</f>
        <v/>
      </c>
      <c r="W95" s="23">
        <f>IF(LEFT(T95,8)="Revenue|",-N(O95),0)+IF(LEFT(U95,8)="Revenue|",N(K95),0)+IF(LEFT(V95,8)="Revenue|",N(P95),0)</f>
        <v/>
      </c>
      <c r="X95" s="23">
        <f>IF(LEFT(T95,5)="COGS|",N(O95),0)+IF(LEFT(U95,5)="COGS|",-N(K95),0)+IF(LEFT(V95,5)="COGS|",-N(P95),0)</f>
        <v/>
      </c>
      <c r="Y95" s="23">
        <f>IF(LEFT(T95,8)="Expense|",N(O95),0)+IF(LEFT(U95,8)="Expense|",-N(K95),0)+IF(LEFT(V95,8)="Expense|",-N(P95),0)</f>
        <v/>
      </c>
      <c r="Z95" s="23">
        <f>IF(ISNUMBER(MATCH(T95,{"Expense|employee","Expense|general_admin","Expense|marketing","Expense|utilities","Expense|other_operating"},0)),N(O95),0)+IF(ISNUMBER(MATCH(U95,{"Expense|employee","Expense|general_admin","Expense|marketing","Expense|utilities","Expense|other_operating"},0)),-N(K95),0)+IF(ISNUMBER(MATCH(V95,{"Expense|employee","Expense|general_admin","Expense|marketing","Expense|utilities","Expense|other_operating"},0)),-N(P95),0)</f>
        <v/>
      </c>
      <c r="AA95" s="23">
        <f>IF(T95="Liability|payable",-N(O95),0)+IF(U95="Liability|payable",N(K95),0)+IF(V95="Liability|payable",N(P95),0)</f>
        <v/>
      </c>
      <c r="AB95" s="23">
        <f>IF(T95="Liability|accrued",-N(O95),0)+IF(U95="Liability|accrued",N(K95),0)+IF(V95="Liability|accrued",N(P95),0)</f>
        <v/>
      </c>
      <c r="AC95" s="23">
        <f>IF(AND(N(O95)&lt;&gt;0,T95=""),1,0)+IF(AND(N(K95)&lt;&gt;0,U95=""),1,0)+IF(AND(N(P95)&lt;&gt;0,V95=""),1,0)</f>
        <v/>
      </c>
    </row>
    <row r="96">
      <c r="A96" s="19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20" t="n"/>
      <c r="K96" s="20" t="n"/>
      <c r="L96" s="14" t="n"/>
      <c r="M96" s="14" t="n"/>
      <c r="N96" s="14" t="n"/>
      <c r="O96" s="21">
        <f>ROUND(N(I96)*N(J96),2)</f>
        <v/>
      </c>
      <c r="P96" s="21">
        <f>O96-N(K96)</f>
        <v/>
      </c>
      <c r="Q96" s="16">
        <f>IF(F96&lt;&gt;"",F96&amp;"",IF(LEFT(E96,6)="Indire",INDEX('Chart of Accounts'!$A$5:$A$3000,MATCH("project_overhead",'Chart of Accounts'!$F$5:$F$3000,0)),IF(LEFT(E96,6)="Admini",INDEX('Chart of Accounts'!$A$5:$A$3000,MATCH("admin_salaries",'Chart of Accounts'!$F$5:$F$3000,0)),INDEX('Chart of Accounts'!$A$5:$A$3000,MATCH("direct_labour",'Chart of Accounts'!$F$5:$F$3000,0)))))</f>
        <v/>
      </c>
      <c r="R96" s="16">
        <f>IF(M96="",INDEX('Chart of Accounts'!$A$5:$A$3000,MATCH("bank",'Chart of Accounts'!$F$5:$F$3000,0)),M96&amp;"")</f>
        <v/>
      </c>
      <c r="S96" s="16">
        <f>IF(N96="",INDEX('Chart of Accounts'!$A$5:$A$3000,MATCH("accrued_payroll",'Chart of Accounts'!$F$5:$F$3000,0)),N96&amp;"")</f>
        <v/>
      </c>
      <c r="T96" s="23">
        <f>IFERROR(INDEX('Chart of Accounts'!$C$5:$C$3000,MATCH(Q96&amp;"",'Chart of Accounts'!$A$5:$A$3000,0))&amp;"|"&amp;INDEX('Chart of Accounts'!$D$5:$D$3000,MATCH(Q96&amp;"",'Chart of Accounts'!$A$5:$A$3000,0)),"")</f>
        <v/>
      </c>
      <c r="U96" s="23">
        <f>IFERROR(INDEX('Chart of Accounts'!$C$5:$C$3000,MATCH(R96&amp;"",'Chart of Accounts'!$A$5:$A$3000,0))&amp;"|"&amp;INDEX('Chart of Accounts'!$D$5:$D$3000,MATCH(R96&amp;"",'Chart of Accounts'!$A$5:$A$3000,0)),"")</f>
        <v/>
      </c>
      <c r="V96" s="23">
        <f>IFERROR(INDEX('Chart of Accounts'!$C$5:$C$3000,MATCH(S96&amp;"",'Chart of Accounts'!$A$5:$A$3000,0))&amp;"|"&amp;INDEX('Chart of Accounts'!$D$5:$D$3000,MATCH(S96&amp;"",'Chart of Accounts'!$A$5:$A$3000,0)),"")</f>
        <v/>
      </c>
      <c r="W96" s="23">
        <f>IF(LEFT(T96,8)="Revenue|",-N(O96),0)+IF(LEFT(U96,8)="Revenue|",N(K96),0)+IF(LEFT(V96,8)="Revenue|",N(P96),0)</f>
        <v/>
      </c>
      <c r="X96" s="23">
        <f>IF(LEFT(T96,5)="COGS|",N(O96),0)+IF(LEFT(U96,5)="COGS|",-N(K96),0)+IF(LEFT(V96,5)="COGS|",-N(P96),0)</f>
        <v/>
      </c>
      <c r="Y96" s="23">
        <f>IF(LEFT(T96,8)="Expense|",N(O96),0)+IF(LEFT(U96,8)="Expense|",-N(K96),0)+IF(LEFT(V96,8)="Expense|",-N(P96),0)</f>
        <v/>
      </c>
      <c r="Z96" s="23">
        <f>IF(ISNUMBER(MATCH(T96,{"Expense|employee","Expense|general_admin","Expense|marketing","Expense|utilities","Expense|other_operating"},0)),N(O96),0)+IF(ISNUMBER(MATCH(U96,{"Expense|employee","Expense|general_admin","Expense|marketing","Expense|utilities","Expense|other_operating"},0)),-N(K96),0)+IF(ISNUMBER(MATCH(V96,{"Expense|employee","Expense|general_admin","Expense|marketing","Expense|utilities","Expense|other_operating"},0)),-N(P96),0)</f>
        <v/>
      </c>
      <c r="AA96" s="23">
        <f>IF(T96="Liability|payable",-N(O96),0)+IF(U96="Liability|payable",N(K96),0)+IF(V96="Liability|payable",N(P96),0)</f>
        <v/>
      </c>
      <c r="AB96" s="23">
        <f>IF(T96="Liability|accrued",-N(O96),0)+IF(U96="Liability|accrued",N(K96),0)+IF(V96="Liability|accrued",N(P96),0)</f>
        <v/>
      </c>
      <c r="AC96" s="23">
        <f>IF(AND(N(O96)&lt;&gt;0,T96=""),1,0)+IF(AND(N(K96)&lt;&gt;0,U96=""),1,0)+IF(AND(N(P96)&lt;&gt;0,V96=""),1,0)</f>
        <v/>
      </c>
    </row>
    <row r="97">
      <c r="A97" s="19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20" t="n"/>
      <c r="K97" s="20" t="n"/>
      <c r="L97" s="14" t="n"/>
      <c r="M97" s="14" t="n"/>
      <c r="N97" s="14" t="n"/>
      <c r="O97" s="21">
        <f>ROUND(N(I97)*N(J97),2)</f>
        <v/>
      </c>
      <c r="P97" s="21">
        <f>O97-N(K97)</f>
        <v/>
      </c>
      <c r="Q97" s="16">
        <f>IF(F97&lt;&gt;"",F97&amp;"",IF(LEFT(E97,6)="Indire",INDEX('Chart of Accounts'!$A$5:$A$3000,MATCH("project_overhead",'Chart of Accounts'!$F$5:$F$3000,0)),IF(LEFT(E97,6)="Admini",INDEX('Chart of Accounts'!$A$5:$A$3000,MATCH("admin_salaries",'Chart of Accounts'!$F$5:$F$3000,0)),INDEX('Chart of Accounts'!$A$5:$A$3000,MATCH("direct_labour",'Chart of Accounts'!$F$5:$F$3000,0)))))</f>
        <v/>
      </c>
      <c r="R97" s="16">
        <f>IF(M97="",INDEX('Chart of Accounts'!$A$5:$A$3000,MATCH("bank",'Chart of Accounts'!$F$5:$F$3000,0)),M97&amp;"")</f>
        <v/>
      </c>
      <c r="S97" s="16">
        <f>IF(N97="",INDEX('Chart of Accounts'!$A$5:$A$3000,MATCH("accrued_payroll",'Chart of Accounts'!$F$5:$F$3000,0)),N97&amp;"")</f>
        <v/>
      </c>
      <c r="T97" s="23">
        <f>IFERROR(INDEX('Chart of Accounts'!$C$5:$C$3000,MATCH(Q97&amp;"",'Chart of Accounts'!$A$5:$A$3000,0))&amp;"|"&amp;INDEX('Chart of Accounts'!$D$5:$D$3000,MATCH(Q97&amp;"",'Chart of Accounts'!$A$5:$A$3000,0)),"")</f>
        <v/>
      </c>
      <c r="U97" s="23">
        <f>IFERROR(INDEX('Chart of Accounts'!$C$5:$C$3000,MATCH(R97&amp;"",'Chart of Accounts'!$A$5:$A$3000,0))&amp;"|"&amp;INDEX('Chart of Accounts'!$D$5:$D$3000,MATCH(R97&amp;"",'Chart of Accounts'!$A$5:$A$3000,0)),"")</f>
        <v/>
      </c>
      <c r="V97" s="23">
        <f>IFERROR(INDEX('Chart of Accounts'!$C$5:$C$3000,MATCH(S97&amp;"",'Chart of Accounts'!$A$5:$A$3000,0))&amp;"|"&amp;INDEX('Chart of Accounts'!$D$5:$D$3000,MATCH(S97&amp;"",'Chart of Accounts'!$A$5:$A$3000,0)),"")</f>
        <v/>
      </c>
      <c r="W97" s="23">
        <f>IF(LEFT(T97,8)="Revenue|",-N(O97),0)+IF(LEFT(U97,8)="Revenue|",N(K97),0)+IF(LEFT(V97,8)="Revenue|",N(P97),0)</f>
        <v/>
      </c>
      <c r="X97" s="23">
        <f>IF(LEFT(T97,5)="COGS|",N(O97),0)+IF(LEFT(U97,5)="COGS|",-N(K97),0)+IF(LEFT(V97,5)="COGS|",-N(P97),0)</f>
        <v/>
      </c>
      <c r="Y97" s="23">
        <f>IF(LEFT(T97,8)="Expense|",N(O97),0)+IF(LEFT(U97,8)="Expense|",-N(K97),0)+IF(LEFT(V97,8)="Expense|",-N(P97),0)</f>
        <v/>
      </c>
      <c r="Z97" s="23">
        <f>IF(ISNUMBER(MATCH(T97,{"Expense|employee","Expense|general_admin","Expense|marketing","Expense|utilities","Expense|other_operating"},0)),N(O97),0)+IF(ISNUMBER(MATCH(U97,{"Expense|employee","Expense|general_admin","Expense|marketing","Expense|utilities","Expense|other_operating"},0)),-N(K97),0)+IF(ISNUMBER(MATCH(V97,{"Expense|employee","Expense|general_admin","Expense|marketing","Expense|utilities","Expense|other_operating"},0)),-N(P97),0)</f>
        <v/>
      </c>
      <c r="AA97" s="23">
        <f>IF(T97="Liability|payable",-N(O97),0)+IF(U97="Liability|payable",N(K97),0)+IF(V97="Liability|payable",N(P97),0)</f>
        <v/>
      </c>
      <c r="AB97" s="23">
        <f>IF(T97="Liability|accrued",-N(O97),0)+IF(U97="Liability|accrued",N(K97),0)+IF(V97="Liability|accrued",N(P97),0)</f>
        <v/>
      </c>
      <c r="AC97" s="23">
        <f>IF(AND(N(O97)&lt;&gt;0,T97=""),1,0)+IF(AND(N(K97)&lt;&gt;0,U97=""),1,0)+IF(AND(N(P97)&lt;&gt;0,V97=""),1,0)</f>
        <v/>
      </c>
    </row>
    <row r="98">
      <c r="A98" s="19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20" t="n"/>
      <c r="K98" s="20" t="n"/>
      <c r="L98" s="14" t="n"/>
      <c r="M98" s="14" t="n"/>
      <c r="N98" s="14" t="n"/>
      <c r="O98" s="21">
        <f>ROUND(N(I98)*N(J98),2)</f>
        <v/>
      </c>
      <c r="P98" s="21">
        <f>O98-N(K98)</f>
        <v/>
      </c>
      <c r="Q98" s="16">
        <f>IF(F98&lt;&gt;"",F98&amp;"",IF(LEFT(E98,6)="Indire",INDEX('Chart of Accounts'!$A$5:$A$3000,MATCH("project_overhead",'Chart of Accounts'!$F$5:$F$3000,0)),IF(LEFT(E98,6)="Admini",INDEX('Chart of Accounts'!$A$5:$A$3000,MATCH("admin_salaries",'Chart of Accounts'!$F$5:$F$3000,0)),INDEX('Chart of Accounts'!$A$5:$A$3000,MATCH("direct_labour",'Chart of Accounts'!$F$5:$F$3000,0)))))</f>
        <v/>
      </c>
      <c r="R98" s="16">
        <f>IF(M98="",INDEX('Chart of Accounts'!$A$5:$A$3000,MATCH("bank",'Chart of Accounts'!$F$5:$F$3000,0)),M98&amp;"")</f>
        <v/>
      </c>
      <c r="S98" s="16">
        <f>IF(N98="",INDEX('Chart of Accounts'!$A$5:$A$3000,MATCH("accrued_payroll",'Chart of Accounts'!$F$5:$F$3000,0)),N98&amp;"")</f>
        <v/>
      </c>
      <c r="T98" s="23">
        <f>IFERROR(INDEX('Chart of Accounts'!$C$5:$C$3000,MATCH(Q98&amp;"",'Chart of Accounts'!$A$5:$A$3000,0))&amp;"|"&amp;INDEX('Chart of Accounts'!$D$5:$D$3000,MATCH(Q98&amp;"",'Chart of Accounts'!$A$5:$A$3000,0)),"")</f>
        <v/>
      </c>
      <c r="U98" s="23">
        <f>IFERROR(INDEX('Chart of Accounts'!$C$5:$C$3000,MATCH(R98&amp;"",'Chart of Accounts'!$A$5:$A$3000,0))&amp;"|"&amp;INDEX('Chart of Accounts'!$D$5:$D$3000,MATCH(R98&amp;"",'Chart of Accounts'!$A$5:$A$3000,0)),"")</f>
        <v/>
      </c>
      <c r="V98" s="23">
        <f>IFERROR(INDEX('Chart of Accounts'!$C$5:$C$3000,MATCH(S98&amp;"",'Chart of Accounts'!$A$5:$A$3000,0))&amp;"|"&amp;INDEX('Chart of Accounts'!$D$5:$D$3000,MATCH(S98&amp;"",'Chart of Accounts'!$A$5:$A$3000,0)),"")</f>
        <v/>
      </c>
      <c r="W98" s="23">
        <f>IF(LEFT(T98,8)="Revenue|",-N(O98),0)+IF(LEFT(U98,8)="Revenue|",N(K98),0)+IF(LEFT(V98,8)="Revenue|",N(P98),0)</f>
        <v/>
      </c>
      <c r="X98" s="23">
        <f>IF(LEFT(T98,5)="COGS|",N(O98),0)+IF(LEFT(U98,5)="COGS|",-N(K98),0)+IF(LEFT(V98,5)="COGS|",-N(P98),0)</f>
        <v/>
      </c>
      <c r="Y98" s="23">
        <f>IF(LEFT(T98,8)="Expense|",N(O98),0)+IF(LEFT(U98,8)="Expense|",-N(K98),0)+IF(LEFT(V98,8)="Expense|",-N(P98),0)</f>
        <v/>
      </c>
      <c r="Z98" s="23">
        <f>IF(ISNUMBER(MATCH(T98,{"Expense|employee","Expense|general_admin","Expense|marketing","Expense|utilities","Expense|other_operating"},0)),N(O98),0)+IF(ISNUMBER(MATCH(U98,{"Expense|employee","Expense|general_admin","Expense|marketing","Expense|utilities","Expense|other_operating"},0)),-N(K98),0)+IF(ISNUMBER(MATCH(V98,{"Expense|employee","Expense|general_admin","Expense|marketing","Expense|utilities","Expense|other_operating"},0)),-N(P98),0)</f>
        <v/>
      </c>
      <c r="AA98" s="23">
        <f>IF(T98="Liability|payable",-N(O98),0)+IF(U98="Liability|payable",N(K98),0)+IF(V98="Liability|payable",N(P98),0)</f>
        <v/>
      </c>
      <c r="AB98" s="23">
        <f>IF(T98="Liability|accrued",-N(O98),0)+IF(U98="Liability|accrued",N(K98),0)+IF(V98="Liability|accrued",N(P98),0)</f>
        <v/>
      </c>
      <c r="AC98" s="23">
        <f>IF(AND(N(O98)&lt;&gt;0,T98=""),1,0)+IF(AND(N(K98)&lt;&gt;0,U98=""),1,0)+IF(AND(N(P98)&lt;&gt;0,V98=""),1,0)</f>
        <v/>
      </c>
    </row>
    <row r="99">
      <c r="A99" s="19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20" t="n"/>
      <c r="K99" s="20" t="n"/>
      <c r="L99" s="14" t="n"/>
      <c r="M99" s="14" t="n"/>
      <c r="N99" s="14" t="n"/>
      <c r="O99" s="21">
        <f>ROUND(N(I99)*N(J99),2)</f>
        <v/>
      </c>
      <c r="P99" s="21">
        <f>O99-N(K99)</f>
        <v/>
      </c>
      <c r="Q99" s="16">
        <f>IF(F99&lt;&gt;"",F99&amp;"",IF(LEFT(E99,6)="Indire",INDEX('Chart of Accounts'!$A$5:$A$3000,MATCH("project_overhead",'Chart of Accounts'!$F$5:$F$3000,0)),IF(LEFT(E99,6)="Admini",INDEX('Chart of Accounts'!$A$5:$A$3000,MATCH("admin_salaries",'Chart of Accounts'!$F$5:$F$3000,0)),INDEX('Chart of Accounts'!$A$5:$A$3000,MATCH("direct_labour",'Chart of Accounts'!$F$5:$F$3000,0)))))</f>
        <v/>
      </c>
      <c r="R99" s="16">
        <f>IF(M99="",INDEX('Chart of Accounts'!$A$5:$A$3000,MATCH("bank",'Chart of Accounts'!$F$5:$F$3000,0)),M99&amp;"")</f>
        <v/>
      </c>
      <c r="S99" s="16">
        <f>IF(N99="",INDEX('Chart of Accounts'!$A$5:$A$3000,MATCH("accrued_payroll",'Chart of Accounts'!$F$5:$F$3000,0)),N99&amp;"")</f>
        <v/>
      </c>
      <c r="T99" s="23">
        <f>IFERROR(INDEX('Chart of Accounts'!$C$5:$C$3000,MATCH(Q99&amp;"",'Chart of Accounts'!$A$5:$A$3000,0))&amp;"|"&amp;INDEX('Chart of Accounts'!$D$5:$D$3000,MATCH(Q99&amp;"",'Chart of Accounts'!$A$5:$A$3000,0)),"")</f>
        <v/>
      </c>
      <c r="U99" s="23">
        <f>IFERROR(INDEX('Chart of Accounts'!$C$5:$C$3000,MATCH(R99&amp;"",'Chart of Accounts'!$A$5:$A$3000,0))&amp;"|"&amp;INDEX('Chart of Accounts'!$D$5:$D$3000,MATCH(R99&amp;"",'Chart of Accounts'!$A$5:$A$3000,0)),"")</f>
        <v/>
      </c>
      <c r="V99" s="23">
        <f>IFERROR(INDEX('Chart of Accounts'!$C$5:$C$3000,MATCH(S99&amp;"",'Chart of Accounts'!$A$5:$A$3000,0))&amp;"|"&amp;INDEX('Chart of Accounts'!$D$5:$D$3000,MATCH(S99&amp;"",'Chart of Accounts'!$A$5:$A$3000,0)),"")</f>
        <v/>
      </c>
      <c r="W99" s="23">
        <f>IF(LEFT(T99,8)="Revenue|",-N(O99),0)+IF(LEFT(U99,8)="Revenue|",N(K99),0)+IF(LEFT(V99,8)="Revenue|",N(P99),0)</f>
        <v/>
      </c>
      <c r="X99" s="23">
        <f>IF(LEFT(T99,5)="COGS|",N(O99),0)+IF(LEFT(U99,5)="COGS|",-N(K99),0)+IF(LEFT(V99,5)="COGS|",-N(P99),0)</f>
        <v/>
      </c>
      <c r="Y99" s="23">
        <f>IF(LEFT(T99,8)="Expense|",N(O99),0)+IF(LEFT(U99,8)="Expense|",-N(K99),0)+IF(LEFT(V99,8)="Expense|",-N(P99),0)</f>
        <v/>
      </c>
      <c r="Z99" s="23">
        <f>IF(ISNUMBER(MATCH(T99,{"Expense|employee","Expense|general_admin","Expense|marketing","Expense|utilities","Expense|other_operating"},0)),N(O99),0)+IF(ISNUMBER(MATCH(U99,{"Expense|employee","Expense|general_admin","Expense|marketing","Expense|utilities","Expense|other_operating"},0)),-N(K99),0)+IF(ISNUMBER(MATCH(V99,{"Expense|employee","Expense|general_admin","Expense|marketing","Expense|utilities","Expense|other_operating"},0)),-N(P99),0)</f>
        <v/>
      </c>
      <c r="AA99" s="23">
        <f>IF(T99="Liability|payable",-N(O99),0)+IF(U99="Liability|payable",N(K99),0)+IF(V99="Liability|payable",N(P99),0)</f>
        <v/>
      </c>
      <c r="AB99" s="23">
        <f>IF(T99="Liability|accrued",-N(O99),0)+IF(U99="Liability|accrued",N(K99),0)+IF(V99="Liability|accrued",N(P99),0)</f>
        <v/>
      </c>
      <c r="AC99" s="23">
        <f>IF(AND(N(O99)&lt;&gt;0,T99=""),1,0)+IF(AND(N(K99)&lt;&gt;0,U99=""),1,0)+IF(AND(N(P99)&lt;&gt;0,V99=""),1,0)</f>
        <v/>
      </c>
    </row>
    <row r="100">
      <c r="A100" s="19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20" t="n"/>
      <c r="K100" s="20" t="n"/>
      <c r="L100" s="14" t="n"/>
      <c r="M100" s="14" t="n"/>
      <c r="N100" s="14" t="n"/>
      <c r="O100" s="21">
        <f>ROUND(N(I100)*N(J100),2)</f>
        <v/>
      </c>
      <c r="P100" s="21">
        <f>O100-N(K100)</f>
        <v/>
      </c>
      <c r="Q100" s="16">
        <f>IF(F100&lt;&gt;"",F100&amp;"",IF(LEFT(E100,6)="Indire",INDEX('Chart of Accounts'!$A$5:$A$3000,MATCH("project_overhead",'Chart of Accounts'!$F$5:$F$3000,0)),IF(LEFT(E100,6)="Admini",INDEX('Chart of Accounts'!$A$5:$A$3000,MATCH("admin_salaries",'Chart of Accounts'!$F$5:$F$3000,0)),INDEX('Chart of Accounts'!$A$5:$A$3000,MATCH("direct_labour",'Chart of Accounts'!$F$5:$F$3000,0)))))</f>
        <v/>
      </c>
      <c r="R100" s="16">
        <f>IF(M100="",INDEX('Chart of Accounts'!$A$5:$A$3000,MATCH("bank",'Chart of Accounts'!$F$5:$F$3000,0)),M100&amp;"")</f>
        <v/>
      </c>
      <c r="S100" s="16">
        <f>IF(N100="",INDEX('Chart of Accounts'!$A$5:$A$3000,MATCH("accrued_payroll",'Chart of Accounts'!$F$5:$F$3000,0)),N100&amp;"")</f>
        <v/>
      </c>
      <c r="T100" s="23">
        <f>IFERROR(INDEX('Chart of Accounts'!$C$5:$C$3000,MATCH(Q100&amp;"",'Chart of Accounts'!$A$5:$A$3000,0))&amp;"|"&amp;INDEX('Chart of Accounts'!$D$5:$D$3000,MATCH(Q100&amp;"",'Chart of Accounts'!$A$5:$A$3000,0)),"")</f>
        <v/>
      </c>
      <c r="U100" s="23">
        <f>IFERROR(INDEX('Chart of Accounts'!$C$5:$C$3000,MATCH(R100&amp;"",'Chart of Accounts'!$A$5:$A$3000,0))&amp;"|"&amp;INDEX('Chart of Accounts'!$D$5:$D$3000,MATCH(R100&amp;"",'Chart of Accounts'!$A$5:$A$3000,0)),"")</f>
        <v/>
      </c>
      <c r="V100" s="23">
        <f>IFERROR(INDEX('Chart of Accounts'!$C$5:$C$3000,MATCH(S100&amp;"",'Chart of Accounts'!$A$5:$A$3000,0))&amp;"|"&amp;INDEX('Chart of Accounts'!$D$5:$D$3000,MATCH(S100&amp;"",'Chart of Accounts'!$A$5:$A$3000,0)),"")</f>
        <v/>
      </c>
      <c r="W100" s="23">
        <f>IF(LEFT(T100,8)="Revenue|",-N(O100),0)+IF(LEFT(U100,8)="Revenue|",N(K100),0)+IF(LEFT(V100,8)="Revenue|",N(P100),0)</f>
        <v/>
      </c>
      <c r="X100" s="23">
        <f>IF(LEFT(T100,5)="COGS|",N(O100),0)+IF(LEFT(U100,5)="COGS|",-N(K100),0)+IF(LEFT(V100,5)="COGS|",-N(P100),0)</f>
        <v/>
      </c>
      <c r="Y100" s="23">
        <f>IF(LEFT(T100,8)="Expense|",N(O100),0)+IF(LEFT(U100,8)="Expense|",-N(K100),0)+IF(LEFT(V100,8)="Expense|",-N(P100),0)</f>
        <v/>
      </c>
      <c r="Z100" s="23">
        <f>IF(ISNUMBER(MATCH(T100,{"Expense|employee","Expense|general_admin","Expense|marketing","Expense|utilities","Expense|other_operating"},0)),N(O100),0)+IF(ISNUMBER(MATCH(U100,{"Expense|employee","Expense|general_admin","Expense|marketing","Expense|utilities","Expense|other_operating"},0)),-N(K100),0)+IF(ISNUMBER(MATCH(V100,{"Expense|employee","Expense|general_admin","Expense|marketing","Expense|utilities","Expense|other_operating"},0)),-N(P100),0)</f>
        <v/>
      </c>
      <c r="AA100" s="23">
        <f>IF(T100="Liability|payable",-N(O100),0)+IF(U100="Liability|payable",N(K100),0)+IF(V100="Liability|payable",N(P100),0)</f>
        <v/>
      </c>
      <c r="AB100" s="23">
        <f>IF(T100="Liability|accrued",-N(O100),0)+IF(U100="Liability|accrued",N(K100),0)+IF(V100="Liability|accrued",N(P100),0)</f>
        <v/>
      </c>
      <c r="AC100" s="23">
        <f>IF(AND(N(O100)&lt;&gt;0,T100=""),1,0)+IF(AND(N(K100)&lt;&gt;0,U100=""),1,0)+IF(AND(N(P100)&lt;&gt;0,V100=""),1,0)</f>
        <v/>
      </c>
    </row>
    <row r="101">
      <c r="A101" s="19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20" t="n"/>
      <c r="K101" s="20" t="n"/>
      <c r="L101" s="14" t="n"/>
      <c r="M101" s="14" t="n"/>
      <c r="N101" s="14" t="n"/>
      <c r="O101" s="21">
        <f>ROUND(N(I101)*N(J101),2)</f>
        <v/>
      </c>
      <c r="P101" s="21">
        <f>O101-N(K101)</f>
        <v/>
      </c>
      <c r="Q101" s="16">
        <f>IF(F101&lt;&gt;"",F101&amp;"",IF(LEFT(E101,6)="Indire",INDEX('Chart of Accounts'!$A$5:$A$3000,MATCH("project_overhead",'Chart of Accounts'!$F$5:$F$3000,0)),IF(LEFT(E101,6)="Admini",INDEX('Chart of Accounts'!$A$5:$A$3000,MATCH("admin_salaries",'Chart of Accounts'!$F$5:$F$3000,0)),INDEX('Chart of Accounts'!$A$5:$A$3000,MATCH("direct_labour",'Chart of Accounts'!$F$5:$F$3000,0)))))</f>
        <v/>
      </c>
      <c r="R101" s="16">
        <f>IF(M101="",INDEX('Chart of Accounts'!$A$5:$A$3000,MATCH("bank",'Chart of Accounts'!$F$5:$F$3000,0)),M101&amp;"")</f>
        <v/>
      </c>
      <c r="S101" s="16">
        <f>IF(N101="",INDEX('Chart of Accounts'!$A$5:$A$3000,MATCH("accrued_payroll",'Chart of Accounts'!$F$5:$F$3000,0)),N101&amp;"")</f>
        <v/>
      </c>
      <c r="T101" s="23">
        <f>IFERROR(INDEX('Chart of Accounts'!$C$5:$C$3000,MATCH(Q101&amp;"",'Chart of Accounts'!$A$5:$A$3000,0))&amp;"|"&amp;INDEX('Chart of Accounts'!$D$5:$D$3000,MATCH(Q101&amp;"",'Chart of Accounts'!$A$5:$A$3000,0)),"")</f>
        <v/>
      </c>
      <c r="U101" s="23">
        <f>IFERROR(INDEX('Chart of Accounts'!$C$5:$C$3000,MATCH(R101&amp;"",'Chart of Accounts'!$A$5:$A$3000,0))&amp;"|"&amp;INDEX('Chart of Accounts'!$D$5:$D$3000,MATCH(R101&amp;"",'Chart of Accounts'!$A$5:$A$3000,0)),"")</f>
        <v/>
      </c>
      <c r="V101" s="23">
        <f>IFERROR(INDEX('Chart of Accounts'!$C$5:$C$3000,MATCH(S101&amp;"",'Chart of Accounts'!$A$5:$A$3000,0))&amp;"|"&amp;INDEX('Chart of Accounts'!$D$5:$D$3000,MATCH(S101&amp;"",'Chart of Accounts'!$A$5:$A$3000,0)),"")</f>
        <v/>
      </c>
      <c r="W101" s="23">
        <f>IF(LEFT(T101,8)="Revenue|",-N(O101),0)+IF(LEFT(U101,8)="Revenue|",N(K101),0)+IF(LEFT(V101,8)="Revenue|",N(P101),0)</f>
        <v/>
      </c>
      <c r="X101" s="23">
        <f>IF(LEFT(T101,5)="COGS|",N(O101),0)+IF(LEFT(U101,5)="COGS|",-N(K101),0)+IF(LEFT(V101,5)="COGS|",-N(P101),0)</f>
        <v/>
      </c>
      <c r="Y101" s="23">
        <f>IF(LEFT(T101,8)="Expense|",N(O101),0)+IF(LEFT(U101,8)="Expense|",-N(K101),0)+IF(LEFT(V101,8)="Expense|",-N(P101),0)</f>
        <v/>
      </c>
      <c r="Z101" s="23">
        <f>IF(ISNUMBER(MATCH(T101,{"Expense|employee","Expense|general_admin","Expense|marketing","Expense|utilities","Expense|other_operating"},0)),N(O101),0)+IF(ISNUMBER(MATCH(U101,{"Expense|employee","Expense|general_admin","Expense|marketing","Expense|utilities","Expense|other_operating"},0)),-N(K101),0)+IF(ISNUMBER(MATCH(V101,{"Expense|employee","Expense|general_admin","Expense|marketing","Expense|utilities","Expense|other_operating"},0)),-N(P101),0)</f>
        <v/>
      </c>
      <c r="AA101" s="23">
        <f>IF(T101="Liability|payable",-N(O101),0)+IF(U101="Liability|payable",N(K101),0)+IF(V101="Liability|payable",N(P101),0)</f>
        <v/>
      </c>
      <c r="AB101" s="23">
        <f>IF(T101="Liability|accrued",-N(O101),0)+IF(U101="Liability|accrued",N(K101),0)+IF(V101="Liability|accrued",N(P101),0)</f>
        <v/>
      </c>
      <c r="AC101" s="23">
        <f>IF(AND(N(O101)&lt;&gt;0,T101=""),1,0)+IF(AND(N(K101)&lt;&gt;0,U101=""),1,0)+IF(AND(N(P101)&lt;&gt;0,V101=""),1,0)</f>
        <v/>
      </c>
    </row>
    <row r="102">
      <c r="A102" s="19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20" t="n"/>
      <c r="K102" s="20" t="n"/>
      <c r="L102" s="14" t="n"/>
      <c r="M102" s="14" t="n"/>
      <c r="N102" s="14" t="n"/>
      <c r="O102" s="21">
        <f>ROUND(N(I102)*N(J102),2)</f>
        <v/>
      </c>
      <c r="P102" s="21">
        <f>O102-N(K102)</f>
        <v/>
      </c>
      <c r="Q102" s="16">
        <f>IF(F102&lt;&gt;"",F102&amp;"",IF(LEFT(E102,6)="Indire",INDEX('Chart of Accounts'!$A$5:$A$3000,MATCH("project_overhead",'Chart of Accounts'!$F$5:$F$3000,0)),IF(LEFT(E102,6)="Admini",INDEX('Chart of Accounts'!$A$5:$A$3000,MATCH("admin_salaries",'Chart of Accounts'!$F$5:$F$3000,0)),INDEX('Chart of Accounts'!$A$5:$A$3000,MATCH("direct_labour",'Chart of Accounts'!$F$5:$F$3000,0)))))</f>
        <v/>
      </c>
      <c r="R102" s="16">
        <f>IF(M102="",INDEX('Chart of Accounts'!$A$5:$A$3000,MATCH("bank",'Chart of Accounts'!$F$5:$F$3000,0)),M102&amp;"")</f>
        <v/>
      </c>
      <c r="S102" s="16">
        <f>IF(N102="",INDEX('Chart of Accounts'!$A$5:$A$3000,MATCH("accrued_payroll",'Chart of Accounts'!$F$5:$F$3000,0)),N102&amp;"")</f>
        <v/>
      </c>
      <c r="T102" s="23">
        <f>IFERROR(INDEX('Chart of Accounts'!$C$5:$C$3000,MATCH(Q102&amp;"",'Chart of Accounts'!$A$5:$A$3000,0))&amp;"|"&amp;INDEX('Chart of Accounts'!$D$5:$D$3000,MATCH(Q102&amp;"",'Chart of Accounts'!$A$5:$A$3000,0)),"")</f>
        <v/>
      </c>
      <c r="U102" s="23">
        <f>IFERROR(INDEX('Chart of Accounts'!$C$5:$C$3000,MATCH(R102&amp;"",'Chart of Accounts'!$A$5:$A$3000,0))&amp;"|"&amp;INDEX('Chart of Accounts'!$D$5:$D$3000,MATCH(R102&amp;"",'Chart of Accounts'!$A$5:$A$3000,0)),"")</f>
        <v/>
      </c>
      <c r="V102" s="23">
        <f>IFERROR(INDEX('Chart of Accounts'!$C$5:$C$3000,MATCH(S102&amp;"",'Chart of Accounts'!$A$5:$A$3000,0))&amp;"|"&amp;INDEX('Chart of Accounts'!$D$5:$D$3000,MATCH(S102&amp;"",'Chart of Accounts'!$A$5:$A$3000,0)),"")</f>
        <v/>
      </c>
      <c r="W102" s="23">
        <f>IF(LEFT(T102,8)="Revenue|",-N(O102),0)+IF(LEFT(U102,8)="Revenue|",N(K102),0)+IF(LEFT(V102,8)="Revenue|",N(P102),0)</f>
        <v/>
      </c>
      <c r="X102" s="23">
        <f>IF(LEFT(T102,5)="COGS|",N(O102),0)+IF(LEFT(U102,5)="COGS|",-N(K102),0)+IF(LEFT(V102,5)="COGS|",-N(P102),0)</f>
        <v/>
      </c>
      <c r="Y102" s="23">
        <f>IF(LEFT(T102,8)="Expense|",N(O102),0)+IF(LEFT(U102,8)="Expense|",-N(K102),0)+IF(LEFT(V102,8)="Expense|",-N(P102),0)</f>
        <v/>
      </c>
      <c r="Z102" s="23">
        <f>IF(ISNUMBER(MATCH(T102,{"Expense|employee","Expense|general_admin","Expense|marketing","Expense|utilities","Expense|other_operating"},0)),N(O102),0)+IF(ISNUMBER(MATCH(U102,{"Expense|employee","Expense|general_admin","Expense|marketing","Expense|utilities","Expense|other_operating"},0)),-N(K102),0)+IF(ISNUMBER(MATCH(V102,{"Expense|employee","Expense|general_admin","Expense|marketing","Expense|utilities","Expense|other_operating"},0)),-N(P102),0)</f>
        <v/>
      </c>
      <c r="AA102" s="23">
        <f>IF(T102="Liability|payable",-N(O102),0)+IF(U102="Liability|payable",N(K102),0)+IF(V102="Liability|payable",N(P102),0)</f>
        <v/>
      </c>
      <c r="AB102" s="23">
        <f>IF(T102="Liability|accrued",-N(O102),0)+IF(U102="Liability|accrued",N(K102),0)+IF(V102="Liability|accrued",N(P102),0)</f>
        <v/>
      </c>
      <c r="AC102" s="23">
        <f>IF(AND(N(O102)&lt;&gt;0,T102=""),1,0)+IF(AND(N(K102)&lt;&gt;0,U102=""),1,0)+IF(AND(N(P102)&lt;&gt;0,V102=""),1,0)</f>
        <v/>
      </c>
    </row>
    <row r="103">
      <c r="A103" s="19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20" t="n"/>
      <c r="K103" s="20" t="n"/>
      <c r="L103" s="14" t="n"/>
      <c r="M103" s="14" t="n"/>
      <c r="N103" s="14" t="n"/>
      <c r="O103" s="21">
        <f>ROUND(N(I103)*N(J103),2)</f>
        <v/>
      </c>
      <c r="P103" s="21">
        <f>O103-N(K103)</f>
        <v/>
      </c>
      <c r="Q103" s="16">
        <f>IF(F103&lt;&gt;"",F103&amp;"",IF(LEFT(E103,6)="Indire",INDEX('Chart of Accounts'!$A$5:$A$3000,MATCH("project_overhead",'Chart of Accounts'!$F$5:$F$3000,0)),IF(LEFT(E103,6)="Admini",INDEX('Chart of Accounts'!$A$5:$A$3000,MATCH("admin_salaries",'Chart of Accounts'!$F$5:$F$3000,0)),INDEX('Chart of Accounts'!$A$5:$A$3000,MATCH("direct_labour",'Chart of Accounts'!$F$5:$F$3000,0)))))</f>
        <v/>
      </c>
      <c r="R103" s="16">
        <f>IF(M103="",INDEX('Chart of Accounts'!$A$5:$A$3000,MATCH("bank",'Chart of Accounts'!$F$5:$F$3000,0)),M103&amp;"")</f>
        <v/>
      </c>
      <c r="S103" s="16">
        <f>IF(N103="",INDEX('Chart of Accounts'!$A$5:$A$3000,MATCH("accrued_payroll",'Chart of Accounts'!$F$5:$F$3000,0)),N103&amp;"")</f>
        <v/>
      </c>
      <c r="T103" s="23">
        <f>IFERROR(INDEX('Chart of Accounts'!$C$5:$C$3000,MATCH(Q103&amp;"",'Chart of Accounts'!$A$5:$A$3000,0))&amp;"|"&amp;INDEX('Chart of Accounts'!$D$5:$D$3000,MATCH(Q103&amp;"",'Chart of Accounts'!$A$5:$A$3000,0)),"")</f>
        <v/>
      </c>
      <c r="U103" s="23">
        <f>IFERROR(INDEX('Chart of Accounts'!$C$5:$C$3000,MATCH(R103&amp;"",'Chart of Accounts'!$A$5:$A$3000,0))&amp;"|"&amp;INDEX('Chart of Accounts'!$D$5:$D$3000,MATCH(R103&amp;"",'Chart of Accounts'!$A$5:$A$3000,0)),"")</f>
        <v/>
      </c>
      <c r="V103" s="23">
        <f>IFERROR(INDEX('Chart of Accounts'!$C$5:$C$3000,MATCH(S103&amp;"",'Chart of Accounts'!$A$5:$A$3000,0))&amp;"|"&amp;INDEX('Chart of Accounts'!$D$5:$D$3000,MATCH(S103&amp;"",'Chart of Accounts'!$A$5:$A$3000,0)),"")</f>
        <v/>
      </c>
      <c r="W103" s="23">
        <f>IF(LEFT(T103,8)="Revenue|",-N(O103),0)+IF(LEFT(U103,8)="Revenue|",N(K103),0)+IF(LEFT(V103,8)="Revenue|",N(P103),0)</f>
        <v/>
      </c>
      <c r="X103" s="23">
        <f>IF(LEFT(T103,5)="COGS|",N(O103),0)+IF(LEFT(U103,5)="COGS|",-N(K103),0)+IF(LEFT(V103,5)="COGS|",-N(P103),0)</f>
        <v/>
      </c>
      <c r="Y103" s="23">
        <f>IF(LEFT(T103,8)="Expense|",N(O103),0)+IF(LEFT(U103,8)="Expense|",-N(K103),0)+IF(LEFT(V103,8)="Expense|",-N(P103),0)</f>
        <v/>
      </c>
      <c r="Z103" s="23">
        <f>IF(ISNUMBER(MATCH(T103,{"Expense|employee","Expense|general_admin","Expense|marketing","Expense|utilities","Expense|other_operating"},0)),N(O103),0)+IF(ISNUMBER(MATCH(U103,{"Expense|employee","Expense|general_admin","Expense|marketing","Expense|utilities","Expense|other_operating"},0)),-N(K103),0)+IF(ISNUMBER(MATCH(V103,{"Expense|employee","Expense|general_admin","Expense|marketing","Expense|utilities","Expense|other_operating"},0)),-N(P103),0)</f>
        <v/>
      </c>
      <c r="AA103" s="23">
        <f>IF(T103="Liability|payable",-N(O103),0)+IF(U103="Liability|payable",N(K103),0)+IF(V103="Liability|payable",N(P103),0)</f>
        <v/>
      </c>
      <c r="AB103" s="23">
        <f>IF(T103="Liability|accrued",-N(O103),0)+IF(U103="Liability|accrued",N(K103),0)+IF(V103="Liability|accrued",N(P103),0)</f>
        <v/>
      </c>
      <c r="AC103" s="23">
        <f>IF(AND(N(O103)&lt;&gt;0,T103=""),1,0)+IF(AND(N(K103)&lt;&gt;0,U103=""),1,0)+IF(AND(N(P103)&lt;&gt;0,V103=""),1,0)</f>
        <v/>
      </c>
    </row>
    <row r="104">
      <c r="A104" s="19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20" t="n"/>
      <c r="K104" s="20" t="n"/>
      <c r="L104" s="14" t="n"/>
      <c r="M104" s="14" t="n"/>
      <c r="N104" s="14" t="n"/>
      <c r="O104" s="21">
        <f>ROUND(N(I104)*N(J104),2)</f>
        <v/>
      </c>
      <c r="P104" s="21">
        <f>O104-N(K104)</f>
        <v/>
      </c>
      <c r="Q104" s="16">
        <f>IF(F104&lt;&gt;"",F104&amp;"",IF(LEFT(E104,6)="Indire",INDEX('Chart of Accounts'!$A$5:$A$3000,MATCH("project_overhead",'Chart of Accounts'!$F$5:$F$3000,0)),IF(LEFT(E104,6)="Admini",INDEX('Chart of Accounts'!$A$5:$A$3000,MATCH("admin_salaries",'Chart of Accounts'!$F$5:$F$3000,0)),INDEX('Chart of Accounts'!$A$5:$A$3000,MATCH("direct_labour",'Chart of Accounts'!$F$5:$F$3000,0)))))</f>
        <v/>
      </c>
      <c r="R104" s="16">
        <f>IF(M104="",INDEX('Chart of Accounts'!$A$5:$A$3000,MATCH("bank",'Chart of Accounts'!$F$5:$F$3000,0)),M104&amp;"")</f>
        <v/>
      </c>
      <c r="S104" s="16">
        <f>IF(N104="",INDEX('Chart of Accounts'!$A$5:$A$3000,MATCH("accrued_payroll",'Chart of Accounts'!$F$5:$F$3000,0)),N104&amp;"")</f>
        <v/>
      </c>
      <c r="T104" s="23">
        <f>IFERROR(INDEX('Chart of Accounts'!$C$5:$C$3000,MATCH(Q104&amp;"",'Chart of Accounts'!$A$5:$A$3000,0))&amp;"|"&amp;INDEX('Chart of Accounts'!$D$5:$D$3000,MATCH(Q104&amp;"",'Chart of Accounts'!$A$5:$A$3000,0)),"")</f>
        <v/>
      </c>
      <c r="U104" s="23">
        <f>IFERROR(INDEX('Chart of Accounts'!$C$5:$C$3000,MATCH(R104&amp;"",'Chart of Accounts'!$A$5:$A$3000,0))&amp;"|"&amp;INDEX('Chart of Accounts'!$D$5:$D$3000,MATCH(R104&amp;"",'Chart of Accounts'!$A$5:$A$3000,0)),"")</f>
        <v/>
      </c>
      <c r="V104" s="23">
        <f>IFERROR(INDEX('Chart of Accounts'!$C$5:$C$3000,MATCH(S104&amp;"",'Chart of Accounts'!$A$5:$A$3000,0))&amp;"|"&amp;INDEX('Chart of Accounts'!$D$5:$D$3000,MATCH(S104&amp;"",'Chart of Accounts'!$A$5:$A$3000,0)),"")</f>
        <v/>
      </c>
      <c r="W104" s="23">
        <f>IF(LEFT(T104,8)="Revenue|",-N(O104),0)+IF(LEFT(U104,8)="Revenue|",N(K104),0)+IF(LEFT(V104,8)="Revenue|",N(P104),0)</f>
        <v/>
      </c>
      <c r="X104" s="23">
        <f>IF(LEFT(T104,5)="COGS|",N(O104),0)+IF(LEFT(U104,5)="COGS|",-N(K104),0)+IF(LEFT(V104,5)="COGS|",-N(P104),0)</f>
        <v/>
      </c>
      <c r="Y104" s="23">
        <f>IF(LEFT(T104,8)="Expense|",N(O104),0)+IF(LEFT(U104,8)="Expense|",-N(K104),0)+IF(LEFT(V104,8)="Expense|",-N(P104),0)</f>
        <v/>
      </c>
      <c r="Z104" s="23">
        <f>IF(ISNUMBER(MATCH(T104,{"Expense|employee","Expense|general_admin","Expense|marketing","Expense|utilities","Expense|other_operating"},0)),N(O104),0)+IF(ISNUMBER(MATCH(U104,{"Expense|employee","Expense|general_admin","Expense|marketing","Expense|utilities","Expense|other_operating"},0)),-N(K104),0)+IF(ISNUMBER(MATCH(V104,{"Expense|employee","Expense|general_admin","Expense|marketing","Expense|utilities","Expense|other_operating"},0)),-N(P104),0)</f>
        <v/>
      </c>
      <c r="AA104" s="23">
        <f>IF(T104="Liability|payable",-N(O104),0)+IF(U104="Liability|payable",N(K104),0)+IF(V104="Liability|payable",N(P104),0)</f>
        <v/>
      </c>
      <c r="AB104" s="23">
        <f>IF(T104="Liability|accrued",-N(O104),0)+IF(U104="Liability|accrued",N(K104),0)+IF(V104="Liability|accrued",N(P104),0)</f>
        <v/>
      </c>
      <c r="AC104" s="23">
        <f>IF(AND(N(O104)&lt;&gt;0,T104=""),1,0)+IF(AND(N(K104)&lt;&gt;0,U104=""),1,0)+IF(AND(N(P104)&lt;&gt;0,V104=""),1,0)</f>
        <v/>
      </c>
    </row>
    <row r="105">
      <c r="A105" s="19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20" t="n"/>
      <c r="K105" s="20" t="n"/>
      <c r="L105" s="14" t="n"/>
      <c r="M105" s="14" t="n"/>
      <c r="N105" s="14" t="n"/>
      <c r="O105" s="21">
        <f>ROUND(N(I105)*N(J105),2)</f>
        <v/>
      </c>
      <c r="P105" s="21">
        <f>O105-N(K105)</f>
        <v/>
      </c>
      <c r="Q105" s="16">
        <f>IF(F105&lt;&gt;"",F105&amp;"",IF(LEFT(E105,6)="Indire",INDEX('Chart of Accounts'!$A$5:$A$3000,MATCH("project_overhead",'Chart of Accounts'!$F$5:$F$3000,0)),IF(LEFT(E105,6)="Admini",INDEX('Chart of Accounts'!$A$5:$A$3000,MATCH("admin_salaries",'Chart of Accounts'!$F$5:$F$3000,0)),INDEX('Chart of Accounts'!$A$5:$A$3000,MATCH("direct_labour",'Chart of Accounts'!$F$5:$F$3000,0)))))</f>
        <v/>
      </c>
      <c r="R105" s="16">
        <f>IF(M105="",INDEX('Chart of Accounts'!$A$5:$A$3000,MATCH("bank",'Chart of Accounts'!$F$5:$F$3000,0)),M105&amp;"")</f>
        <v/>
      </c>
      <c r="S105" s="16">
        <f>IF(N105="",INDEX('Chart of Accounts'!$A$5:$A$3000,MATCH("accrued_payroll",'Chart of Accounts'!$F$5:$F$3000,0)),N105&amp;"")</f>
        <v/>
      </c>
      <c r="T105" s="23">
        <f>IFERROR(INDEX('Chart of Accounts'!$C$5:$C$3000,MATCH(Q105&amp;"",'Chart of Accounts'!$A$5:$A$3000,0))&amp;"|"&amp;INDEX('Chart of Accounts'!$D$5:$D$3000,MATCH(Q105&amp;"",'Chart of Accounts'!$A$5:$A$3000,0)),"")</f>
        <v/>
      </c>
      <c r="U105" s="23">
        <f>IFERROR(INDEX('Chart of Accounts'!$C$5:$C$3000,MATCH(R105&amp;"",'Chart of Accounts'!$A$5:$A$3000,0))&amp;"|"&amp;INDEX('Chart of Accounts'!$D$5:$D$3000,MATCH(R105&amp;"",'Chart of Accounts'!$A$5:$A$3000,0)),"")</f>
        <v/>
      </c>
      <c r="V105" s="23">
        <f>IFERROR(INDEX('Chart of Accounts'!$C$5:$C$3000,MATCH(S105&amp;"",'Chart of Accounts'!$A$5:$A$3000,0))&amp;"|"&amp;INDEX('Chart of Accounts'!$D$5:$D$3000,MATCH(S105&amp;"",'Chart of Accounts'!$A$5:$A$3000,0)),"")</f>
        <v/>
      </c>
      <c r="W105" s="23">
        <f>IF(LEFT(T105,8)="Revenue|",-N(O105),0)+IF(LEFT(U105,8)="Revenue|",N(K105),0)+IF(LEFT(V105,8)="Revenue|",N(P105),0)</f>
        <v/>
      </c>
      <c r="X105" s="23">
        <f>IF(LEFT(T105,5)="COGS|",N(O105),0)+IF(LEFT(U105,5)="COGS|",-N(K105),0)+IF(LEFT(V105,5)="COGS|",-N(P105),0)</f>
        <v/>
      </c>
      <c r="Y105" s="23">
        <f>IF(LEFT(T105,8)="Expense|",N(O105),0)+IF(LEFT(U105,8)="Expense|",-N(K105),0)+IF(LEFT(V105,8)="Expense|",-N(P105),0)</f>
        <v/>
      </c>
      <c r="Z105" s="23">
        <f>IF(ISNUMBER(MATCH(T105,{"Expense|employee","Expense|general_admin","Expense|marketing","Expense|utilities","Expense|other_operating"},0)),N(O105),0)+IF(ISNUMBER(MATCH(U105,{"Expense|employee","Expense|general_admin","Expense|marketing","Expense|utilities","Expense|other_operating"},0)),-N(K105),0)+IF(ISNUMBER(MATCH(V105,{"Expense|employee","Expense|general_admin","Expense|marketing","Expense|utilities","Expense|other_operating"},0)),-N(P105),0)</f>
        <v/>
      </c>
      <c r="AA105" s="23">
        <f>IF(T105="Liability|payable",-N(O105),0)+IF(U105="Liability|payable",N(K105),0)+IF(V105="Liability|payable",N(P105),0)</f>
        <v/>
      </c>
      <c r="AB105" s="23">
        <f>IF(T105="Liability|accrued",-N(O105),0)+IF(U105="Liability|accrued",N(K105),0)+IF(V105="Liability|accrued",N(P105),0)</f>
        <v/>
      </c>
      <c r="AC105" s="23">
        <f>IF(AND(N(O105)&lt;&gt;0,T105=""),1,0)+IF(AND(N(K105)&lt;&gt;0,U105=""),1,0)+IF(AND(N(P105)&lt;&gt;0,V105=""),1,0)</f>
        <v/>
      </c>
    </row>
    <row r="106">
      <c r="A106" s="19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20" t="n"/>
      <c r="K106" s="20" t="n"/>
      <c r="L106" s="14" t="n"/>
      <c r="M106" s="14" t="n"/>
      <c r="N106" s="14" t="n"/>
      <c r="O106" s="21">
        <f>ROUND(N(I106)*N(J106),2)</f>
        <v/>
      </c>
      <c r="P106" s="21">
        <f>O106-N(K106)</f>
        <v/>
      </c>
      <c r="Q106" s="16">
        <f>IF(F106&lt;&gt;"",F106&amp;"",IF(LEFT(E106,6)="Indire",INDEX('Chart of Accounts'!$A$5:$A$3000,MATCH("project_overhead",'Chart of Accounts'!$F$5:$F$3000,0)),IF(LEFT(E106,6)="Admini",INDEX('Chart of Accounts'!$A$5:$A$3000,MATCH("admin_salaries",'Chart of Accounts'!$F$5:$F$3000,0)),INDEX('Chart of Accounts'!$A$5:$A$3000,MATCH("direct_labour",'Chart of Accounts'!$F$5:$F$3000,0)))))</f>
        <v/>
      </c>
      <c r="R106" s="16">
        <f>IF(M106="",INDEX('Chart of Accounts'!$A$5:$A$3000,MATCH("bank",'Chart of Accounts'!$F$5:$F$3000,0)),M106&amp;"")</f>
        <v/>
      </c>
      <c r="S106" s="16">
        <f>IF(N106="",INDEX('Chart of Accounts'!$A$5:$A$3000,MATCH("accrued_payroll",'Chart of Accounts'!$F$5:$F$3000,0)),N106&amp;"")</f>
        <v/>
      </c>
      <c r="T106" s="23">
        <f>IFERROR(INDEX('Chart of Accounts'!$C$5:$C$3000,MATCH(Q106&amp;"",'Chart of Accounts'!$A$5:$A$3000,0))&amp;"|"&amp;INDEX('Chart of Accounts'!$D$5:$D$3000,MATCH(Q106&amp;"",'Chart of Accounts'!$A$5:$A$3000,0)),"")</f>
        <v/>
      </c>
      <c r="U106" s="23">
        <f>IFERROR(INDEX('Chart of Accounts'!$C$5:$C$3000,MATCH(R106&amp;"",'Chart of Accounts'!$A$5:$A$3000,0))&amp;"|"&amp;INDEX('Chart of Accounts'!$D$5:$D$3000,MATCH(R106&amp;"",'Chart of Accounts'!$A$5:$A$3000,0)),"")</f>
        <v/>
      </c>
      <c r="V106" s="23">
        <f>IFERROR(INDEX('Chart of Accounts'!$C$5:$C$3000,MATCH(S106&amp;"",'Chart of Accounts'!$A$5:$A$3000,0))&amp;"|"&amp;INDEX('Chart of Accounts'!$D$5:$D$3000,MATCH(S106&amp;"",'Chart of Accounts'!$A$5:$A$3000,0)),"")</f>
        <v/>
      </c>
      <c r="W106" s="23">
        <f>IF(LEFT(T106,8)="Revenue|",-N(O106),0)+IF(LEFT(U106,8)="Revenue|",N(K106),0)+IF(LEFT(V106,8)="Revenue|",N(P106),0)</f>
        <v/>
      </c>
      <c r="X106" s="23">
        <f>IF(LEFT(T106,5)="COGS|",N(O106),0)+IF(LEFT(U106,5)="COGS|",-N(K106),0)+IF(LEFT(V106,5)="COGS|",-N(P106),0)</f>
        <v/>
      </c>
      <c r="Y106" s="23">
        <f>IF(LEFT(T106,8)="Expense|",N(O106),0)+IF(LEFT(U106,8)="Expense|",-N(K106),0)+IF(LEFT(V106,8)="Expense|",-N(P106),0)</f>
        <v/>
      </c>
      <c r="Z106" s="23">
        <f>IF(ISNUMBER(MATCH(T106,{"Expense|employee","Expense|general_admin","Expense|marketing","Expense|utilities","Expense|other_operating"},0)),N(O106),0)+IF(ISNUMBER(MATCH(U106,{"Expense|employee","Expense|general_admin","Expense|marketing","Expense|utilities","Expense|other_operating"},0)),-N(K106),0)+IF(ISNUMBER(MATCH(V106,{"Expense|employee","Expense|general_admin","Expense|marketing","Expense|utilities","Expense|other_operating"},0)),-N(P106),0)</f>
        <v/>
      </c>
      <c r="AA106" s="23">
        <f>IF(T106="Liability|payable",-N(O106),0)+IF(U106="Liability|payable",N(K106),0)+IF(V106="Liability|payable",N(P106),0)</f>
        <v/>
      </c>
      <c r="AB106" s="23">
        <f>IF(T106="Liability|accrued",-N(O106),0)+IF(U106="Liability|accrued",N(K106),0)+IF(V106="Liability|accrued",N(P106),0)</f>
        <v/>
      </c>
      <c r="AC106" s="23">
        <f>IF(AND(N(O106)&lt;&gt;0,T106=""),1,0)+IF(AND(N(K106)&lt;&gt;0,U106=""),1,0)+IF(AND(N(P106)&lt;&gt;0,V106=""),1,0)</f>
        <v/>
      </c>
    </row>
    <row r="107">
      <c r="A107" s="19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20" t="n"/>
      <c r="K107" s="20" t="n"/>
      <c r="L107" s="14" t="n"/>
      <c r="M107" s="14" t="n"/>
      <c r="N107" s="14" t="n"/>
      <c r="O107" s="21">
        <f>ROUND(N(I107)*N(J107),2)</f>
        <v/>
      </c>
      <c r="P107" s="21">
        <f>O107-N(K107)</f>
        <v/>
      </c>
      <c r="Q107" s="16">
        <f>IF(F107&lt;&gt;"",F107&amp;"",IF(LEFT(E107,6)="Indire",INDEX('Chart of Accounts'!$A$5:$A$3000,MATCH("project_overhead",'Chart of Accounts'!$F$5:$F$3000,0)),IF(LEFT(E107,6)="Admini",INDEX('Chart of Accounts'!$A$5:$A$3000,MATCH("admin_salaries",'Chart of Accounts'!$F$5:$F$3000,0)),INDEX('Chart of Accounts'!$A$5:$A$3000,MATCH("direct_labour",'Chart of Accounts'!$F$5:$F$3000,0)))))</f>
        <v/>
      </c>
      <c r="R107" s="16">
        <f>IF(M107="",INDEX('Chart of Accounts'!$A$5:$A$3000,MATCH("bank",'Chart of Accounts'!$F$5:$F$3000,0)),M107&amp;"")</f>
        <v/>
      </c>
      <c r="S107" s="16">
        <f>IF(N107="",INDEX('Chart of Accounts'!$A$5:$A$3000,MATCH("accrued_payroll",'Chart of Accounts'!$F$5:$F$3000,0)),N107&amp;"")</f>
        <v/>
      </c>
      <c r="T107" s="23">
        <f>IFERROR(INDEX('Chart of Accounts'!$C$5:$C$3000,MATCH(Q107&amp;"",'Chart of Accounts'!$A$5:$A$3000,0))&amp;"|"&amp;INDEX('Chart of Accounts'!$D$5:$D$3000,MATCH(Q107&amp;"",'Chart of Accounts'!$A$5:$A$3000,0)),"")</f>
        <v/>
      </c>
      <c r="U107" s="23">
        <f>IFERROR(INDEX('Chart of Accounts'!$C$5:$C$3000,MATCH(R107&amp;"",'Chart of Accounts'!$A$5:$A$3000,0))&amp;"|"&amp;INDEX('Chart of Accounts'!$D$5:$D$3000,MATCH(R107&amp;"",'Chart of Accounts'!$A$5:$A$3000,0)),"")</f>
        <v/>
      </c>
      <c r="V107" s="23">
        <f>IFERROR(INDEX('Chart of Accounts'!$C$5:$C$3000,MATCH(S107&amp;"",'Chart of Accounts'!$A$5:$A$3000,0))&amp;"|"&amp;INDEX('Chart of Accounts'!$D$5:$D$3000,MATCH(S107&amp;"",'Chart of Accounts'!$A$5:$A$3000,0)),"")</f>
        <v/>
      </c>
      <c r="W107" s="23">
        <f>IF(LEFT(T107,8)="Revenue|",-N(O107),0)+IF(LEFT(U107,8)="Revenue|",N(K107),0)+IF(LEFT(V107,8)="Revenue|",N(P107),0)</f>
        <v/>
      </c>
      <c r="X107" s="23">
        <f>IF(LEFT(T107,5)="COGS|",N(O107),0)+IF(LEFT(U107,5)="COGS|",-N(K107),0)+IF(LEFT(V107,5)="COGS|",-N(P107),0)</f>
        <v/>
      </c>
      <c r="Y107" s="23">
        <f>IF(LEFT(T107,8)="Expense|",N(O107),0)+IF(LEFT(U107,8)="Expense|",-N(K107),0)+IF(LEFT(V107,8)="Expense|",-N(P107),0)</f>
        <v/>
      </c>
      <c r="Z107" s="23">
        <f>IF(ISNUMBER(MATCH(T107,{"Expense|employee","Expense|general_admin","Expense|marketing","Expense|utilities","Expense|other_operating"},0)),N(O107),0)+IF(ISNUMBER(MATCH(U107,{"Expense|employee","Expense|general_admin","Expense|marketing","Expense|utilities","Expense|other_operating"},0)),-N(K107),0)+IF(ISNUMBER(MATCH(V107,{"Expense|employee","Expense|general_admin","Expense|marketing","Expense|utilities","Expense|other_operating"},0)),-N(P107),0)</f>
        <v/>
      </c>
      <c r="AA107" s="23">
        <f>IF(T107="Liability|payable",-N(O107),0)+IF(U107="Liability|payable",N(K107),0)+IF(V107="Liability|payable",N(P107),0)</f>
        <v/>
      </c>
      <c r="AB107" s="23">
        <f>IF(T107="Liability|accrued",-N(O107),0)+IF(U107="Liability|accrued",N(K107),0)+IF(V107="Liability|accrued",N(P107),0)</f>
        <v/>
      </c>
      <c r="AC107" s="23">
        <f>IF(AND(N(O107)&lt;&gt;0,T107=""),1,0)+IF(AND(N(K107)&lt;&gt;0,U107=""),1,0)+IF(AND(N(P107)&lt;&gt;0,V107=""),1,0)</f>
        <v/>
      </c>
    </row>
    <row r="108">
      <c r="A108" s="19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20" t="n"/>
      <c r="K108" s="20" t="n"/>
      <c r="L108" s="14" t="n"/>
      <c r="M108" s="14" t="n"/>
      <c r="N108" s="14" t="n"/>
      <c r="O108" s="21">
        <f>ROUND(N(I108)*N(J108),2)</f>
        <v/>
      </c>
      <c r="P108" s="21">
        <f>O108-N(K108)</f>
        <v/>
      </c>
      <c r="Q108" s="16">
        <f>IF(F108&lt;&gt;"",F108&amp;"",IF(LEFT(E108,6)="Indire",INDEX('Chart of Accounts'!$A$5:$A$3000,MATCH("project_overhead",'Chart of Accounts'!$F$5:$F$3000,0)),IF(LEFT(E108,6)="Admini",INDEX('Chart of Accounts'!$A$5:$A$3000,MATCH("admin_salaries",'Chart of Accounts'!$F$5:$F$3000,0)),INDEX('Chart of Accounts'!$A$5:$A$3000,MATCH("direct_labour",'Chart of Accounts'!$F$5:$F$3000,0)))))</f>
        <v/>
      </c>
      <c r="R108" s="16">
        <f>IF(M108="",INDEX('Chart of Accounts'!$A$5:$A$3000,MATCH("bank",'Chart of Accounts'!$F$5:$F$3000,0)),M108&amp;"")</f>
        <v/>
      </c>
      <c r="S108" s="16">
        <f>IF(N108="",INDEX('Chart of Accounts'!$A$5:$A$3000,MATCH("accrued_payroll",'Chart of Accounts'!$F$5:$F$3000,0)),N108&amp;"")</f>
        <v/>
      </c>
      <c r="T108" s="23">
        <f>IFERROR(INDEX('Chart of Accounts'!$C$5:$C$3000,MATCH(Q108&amp;"",'Chart of Accounts'!$A$5:$A$3000,0))&amp;"|"&amp;INDEX('Chart of Accounts'!$D$5:$D$3000,MATCH(Q108&amp;"",'Chart of Accounts'!$A$5:$A$3000,0)),"")</f>
        <v/>
      </c>
      <c r="U108" s="23">
        <f>IFERROR(INDEX('Chart of Accounts'!$C$5:$C$3000,MATCH(R108&amp;"",'Chart of Accounts'!$A$5:$A$3000,0))&amp;"|"&amp;INDEX('Chart of Accounts'!$D$5:$D$3000,MATCH(R108&amp;"",'Chart of Accounts'!$A$5:$A$3000,0)),"")</f>
        <v/>
      </c>
      <c r="V108" s="23">
        <f>IFERROR(INDEX('Chart of Accounts'!$C$5:$C$3000,MATCH(S108&amp;"",'Chart of Accounts'!$A$5:$A$3000,0))&amp;"|"&amp;INDEX('Chart of Accounts'!$D$5:$D$3000,MATCH(S108&amp;"",'Chart of Accounts'!$A$5:$A$3000,0)),"")</f>
        <v/>
      </c>
      <c r="W108" s="23">
        <f>IF(LEFT(T108,8)="Revenue|",-N(O108),0)+IF(LEFT(U108,8)="Revenue|",N(K108),0)+IF(LEFT(V108,8)="Revenue|",N(P108),0)</f>
        <v/>
      </c>
      <c r="X108" s="23">
        <f>IF(LEFT(T108,5)="COGS|",N(O108),0)+IF(LEFT(U108,5)="COGS|",-N(K108),0)+IF(LEFT(V108,5)="COGS|",-N(P108),0)</f>
        <v/>
      </c>
      <c r="Y108" s="23">
        <f>IF(LEFT(T108,8)="Expense|",N(O108),0)+IF(LEFT(U108,8)="Expense|",-N(K108),0)+IF(LEFT(V108,8)="Expense|",-N(P108),0)</f>
        <v/>
      </c>
      <c r="Z108" s="23">
        <f>IF(ISNUMBER(MATCH(T108,{"Expense|employee","Expense|general_admin","Expense|marketing","Expense|utilities","Expense|other_operating"},0)),N(O108),0)+IF(ISNUMBER(MATCH(U108,{"Expense|employee","Expense|general_admin","Expense|marketing","Expense|utilities","Expense|other_operating"},0)),-N(K108),0)+IF(ISNUMBER(MATCH(V108,{"Expense|employee","Expense|general_admin","Expense|marketing","Expense|utilities","Expense|other_operating"},0)),-N(P108),0)</f>
        <v/>
      </c>
      <c r="AA108" s="23">
        <f>IF(T108="Liability|payable",-N(O108),0)+IF(U108="Liability|payable",N(K108),0)+IF(V108="Liability|payable",N(P108),0)</f>
        <v/>
      </c>
      <c r="AB108" s="23">
        <f>IF(T108="Liability|accrued",-N(O108),0)+IF(U108="Liability|accrued",N(K108),0)+IF(V108="Liability|accrued",N(P108),0)</f>
        <v/>
      </c>
      <c r="AC108" s="23">
        <f>IF(AND(N(O108)&lt;&gt;0,T108=""),1,0)+IF(AND(N(K108)&lt;&gt;0,U108=""),1,0)+IF(AND(N(P108)&lt;&gt;0,V108=""),1,0)</f>
        <v/>
      </c>
    </row>
    <row r="109">
      <c r="A109" s="19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20" t="n"/>
      <c r="K109" s="20" t="n"/>
      <c r="L109" s="14" t="n"/>
      <c r="M109" s="14" t="n"/>
      <c r="N109" s="14" t="n"/>
      <c r="O109" s="21">
        <f>ROUND(N(I109)*N(J109),2)</f>
        <v/>
      </c>
      <c r="P109" s="21">
        <f>O109-N(K109)</f>
        <v/>
      </c>
      <c r="Q109" s="16">
        <f>IF(F109&lt;&gt;"",F109&amp;"",IF(LEFT(E109,6)="Indire",INDEX('Chart of Accounts'!$A$5:$A$3000,MATCH("project_overhead",'Chart of Accounts'!$F$5:$F$3000,0)),IF(LEFT(E109,6)="Admini",INDEX('Chart of Accounts'!$A$5:$A$3000,MATCH("admin_salaries",'Chart of Accounts'!$F$5:$F$3000,0)),INDEX('Chart of Accounts'!$A$5:$A$3000,MATCH("direct_labour",'Chart of Accounts'!$F$5:$F$3000,0)))))</f>
        <v/>
      </c>
      <c r="R109" s="16">
        <f>IF(M109="",INDEX('Chart of Accounts'!$A$5:$A$3000,MATCH("bank",'Chart of Accounts'!$F$5:$F$3000,0)),M109&amp;"")</f>
        <v/>
      </c>
      <c r="S109" s="16">
        <f>IF(N109="",INDEX('Chart of Accounts'!$A$5:$A$3000,MATCH("accrued_payroll",'Chart of Accounts'!$F$5:$F$3000,0)),N109&amp;"")</f>
        <v/>
      </c>
      <c r="T109" s="23">
        <f>IFERROR(INDEX('Chart of Accounts'!$C$5:$C$3000,MATCH(Q109&amp;"",'Chart of Accounts'!$A$5:$A$3000,0))&amp;"|"&amp;INDEX('Chart of Accounts'!$D$5:$D$3000,MATCH(Q109&amp;"",'Chart of Accounts'!$A$5:$A$3000,0)),"")</f>
        <v/>
      </c>
      <c r="U109" s="23">
        <f>IFERROR(INDEX('Chart of Accounts'!$C$5:$C$3000,MATCH(R109&amp;"",'Chart of Accounts'!$A$5:$A$3000,0))&amp;"|"&amp;INDEX('Chart of Accounts'!$D$5:$D$3000,MATCH(R109&amp;"",'Chart of Accounts'!$A$5:$A$3000,0)),"")</f>
        <v/>
      </c>
      <c r="V109" s="23">
        <f>IFERROR(INDEX('Chart of Accounts'!$C$5:$C$3000,MATCH(S109&amp;"",'Chart of Accounts'!$A$5:$A$3000,0))&amp;"|"&amp;INDEX('Chart of Accounts'!$D$5:$D$3000,MATCH(S109&amp;"",'Chart of Accounts'!$A$5:$A$3000,0)),"")</f>
        <v/>
      </c>
      <c r="W109" s="23">
        <f>IF(LEFT(T109,8)="Revenue|",-N(O109),0)+IF(LEFT(U109,8)="Revenue|",N(K109),0)+IF(LEFT(V109,8)="Revenue|",N(P109),0)</f>
        <v/>
      </c>
      <c r="X109" s="23">
        <f>IF(LEFT(T109,5)="COGS|",N(O109),0)+IF(LEFT(U109,5)="COGS|",-N(K109),0)+IF(LEFT(V109,5)="COGS|",-N(P109),0)</f>
        <v/>
      </c>
      <c r="Y109" s="23">
        <f>IF(LEFT(T109,8)="Expense|",N(O109),0)+IF(LEFT(U109,8)="Expense|",-N(K109),0)+IF(LEFT(V109,8)="Expense|",-N(P109),0)</f>
        <v/>
      </c>
      <c r="Z109" s="23">
        <f>IF(ISNUMBER(MATCH(T109,{"Expense|employee","Expense|general_admin","Expense|marketing","Expense|utilities","Expense|other_operating"},0)),N(O109),0)+IF(ISNUMBER(MATCH(U109,{"Expense|employee","Expense|general_admin","Expense|marketing","Expense|utilities","Expense|other_operating"},0)),-N(K109),0)+IF(ISNUMBER(MATCH(V109,{"Expense|employee","Expense|general_admin","Expense|marketing","Expense|utilities","Expense|other_operating"},0)),-N(P109),0)</f>
        <v/>
      </c>
      <c r="AA109" s="23">
        <f>IF(T109="Liability|payable",-N(O109),0)+IF(U109="Liability|payable",N(K109),0)+IF(V109="Liability|payable",N(P109),0)</f>
        <v/>
      </c>
      <c r="AB109" s="23">
        <f>IF(T109="Liability|accrued",-N(O109),0)+IF(U109="Liability|accrued",N(K109),0)+IF(V109="Liability|accrued",N(P109),0)</f>
        <v/>
      </c>
      <c r="AC109" s="23">
        <f>IF(AND(N(O109)&lt;&gt;0,T109=""),1,0)+IF(AND(N(K109)&lt;&gt;0,U109=""),1,0)+IF(AND(N(P109)&lt;&gt;0,V109=""),1,0)</f>
        <v/>
      </c>
    </row>
    <row r="110">
      <c r="A110" s="19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20" t="n"/>
      <c r="K110" s="20" t="n"/>
      <c r="L110" s="14" t="n"/>
      <c r="M110" s="14" t="n"/>
      <c r="N110" s="14" t="n"/>
      <c r="O110" s="21">
        <f>ROUND(N(I110)*N(J110),2)</f>
        <v/>
      </c>
      <c r="P110" s="21">
        <f>O110-N(K110)</f>
        <v/>
      </c>
      <c r="Q110" s="16">
        <f>IF(F110&lt;&gt;"",F110&amp;"",IF(LEFT(E110,6)="Indire",INDEX('Chart of Accounts'!$A$5:$A$3000,MATCH("project_overhead",'Chart of Accounts'!$F$5:$F$3000,0)),IF(LEFT(E110,6)="Admini",INDEX('Chart of Accounts'!$A$5:$A$3000,MATCH("admin_salaries",'Chart of Accounts'!$F$5:$F$3000,0)),INDEX('Chart of Accounts'!$A$5:$A$3000,MATCH("direct_labour",'Chart of Accounts'!$F$5:$F$3000,0)))))</f>
        <v/>
      </c>
      <c r="R110" s="16">
        <f>IF(M110="",INDEX('Chart of Accounts'!$A$5:$A$3000,MATCH("bank",'Chart of Accounts'!$F$5:$F$3000,0)),M110&amp;"")</f>
        <v/>
      </c>
      <c r="S110" s="16">
        <f>IF(N110="",INDEX('Chart of Accounts'!$A$5:$A$3000,MATCH("accrued_payroll",'Chart of Accounts'!$F$5:$F$3000,0)),N110&amp;"")</f>
        <v/>
      </c>
      <c r="T110" s="23">
        <f>IFERROR(INDEX('Chart of Accounts'!$C$5:$C$3000,MATCH(Q110&amp;"",'Chart of Accounts'!$A$5:$A$3000,0))&amp;"|"&amp;INDEX('Chart of Accounts'!$D$5:$D$3000,MATCH(Q110&amp;"",'Chart of Accounts'!$A$5:$A$3000,0)),"")</f>
        <v/>
      </c>
      <c r="U110" s="23">
        <f>IFERROR(INDEX('Chart of Accounts'!$C$5:$C$3000,MATCH(R110&amp;"",'Chart of Accounts'!$A$5:$A$3000,0))&amp;"|"&amp;INDEX('Chart of Accounts'!$D$5:$D$3000,MATCH(R110&amp;"",'Chart of Accounts'!$A$5:$A$3000,0)),"")</f>
        <v/>
      </c>
      <c r="V110" s="23">
        <f>IFERROR(INDEX('Chart of Accounts'!$C$5:$C$3000,MATCH(S110&amp;"",'Chart of Accounts'!$A$5:$A$3000,0))&amp;"|"&amp;INDEX('Chart of Accounts'!$D$5:$D$3000,MATCH(S110&amp;"",'Chart of Accounts'!$A$5:$A$3000,0)),"")</f>
        <v/>
      </c>
      <c r="W110" s="23">
        <f>IF(LEFT(T110,8)="Revenue|",-N(O110),0)+IF(LEFT(U110,8)="Revenue|",N(K110),0)+IF(LEFT(V110,8)="Revenue|",N(P110),0)</f>
        <v/>
      </c>
      <c r="X110" s="23">
        <f>IF(LEFT(T110,5)="COGS|",N(O110),0)+IF(LEFT(U110,5)="COGS|",-N(K110),0)+IF(LEFT(V110,5)="COGS|",-N(P110),0)</f>
        <v/>
      </c>
      <c r="Y110" s="23">
        <f>IF(LEFT(T110,8)="Expense|",N(O110),0)+IF(LEFT(U110,8)="Expense|",-N(K110),0)+IF(LEFT(V110,8)="Expense|",-N(P110),0)</f>
        <v/>
      </c>
      <c r="Z110" s="23">
        <f>IF(ISNUMBER(MATCH(T110,{"Expense|employee","Expense|general_admin","Expense|marketing","Expense|utilities","Expense|other_operating"},0)),N(O110),0)+IF(ISNUMBER(MATCH(U110,{"Expense|employee","Expense|general_admin","Expense|marketing","Expense|utilities","Expense|other_operating"},0)),-N(K110),0)+IF(ISNUMBER(MATCH(V110,{"Expense|employee","Expense|general_admin","Expense|marketing","Expense|utilities","Expense|other_operating"},0)),-N(P110),0)</f>
        <v/>
      </c>
      <c r="AA110" s="23">
        <f>IF(T110="Liability|payable",-N(O110),0)+IF(U110="Liability|payable",N(K110),0)+IF(V110="Liability|payable",N(P110),0)</f>
        <v/>
      </c>
      <c r="AB110" s="23">
        <f>IF(T110="Liability|accrued",-N(O110),0)+IF(U110="Liability|accrued",N(K110),0)+IF(V110="Liability|accrued",N(P110),0)</f>
        <v/>
      </c>
      <c r="AC110" s="23">
        <f>IF(AND(N(O110)&lt;&gt;0,T110=""),1,0)+IF(AND(N(K110)&lt;&gt;0,U110=""),1,0)+IF(AND(N(P110)&lt;&gt;0,V110=""),1,0)</f>
        <v/>
      </c>
    </row>
    <row r="111">
      <c r="A111" s="19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20" t="n"/>
      <c r="K111" s="20" t="n"/>
      <c r="L111" s="14" t="n"/>
      <c r="M111" s="14" t="n"/>
      <c r="N111" s="14" t="n"/>
      <c r="O111" s="21">
        <f>ROUND(N(I111)*N(J111),2)</f>
        <v/>
      </c>
      <c r="P111" s="21">
        <f>O111-N(K111)</f>
        <v/>
      </c>
      <c r="Q111" s="16">
        <f>IF(F111&lt;&gt;"",F111&amp;"",IF(LEFT(E111,6)="Indire",INDEX('Chart of Accounts'!$A$5:$A$3000,MATCH("project_overhead",'Chart of Accounts'!$F$5:$F$3000,0)),IF(LEFT(E111,6)="Admini",INDEX('Chart of Accounts'!$A$5:$A$3000,MATCH("admin_salaries",'Chart of Accounts'!$F$5:$F$3000,0)),INDEX('Chart of Accounts'!$A$5:$A$3000,MATCH("direct_labour",'Chart of Accounts'!$F$5:$F$3000,0)))))</f>
        <v/>
      </c>
      <c r="R111" s="16">
        <f>IF(M111="",INDEX('Chart of Accounts'!$A$5:$A$3000,MATCH("bank",'Chart of Accounts'!$F$5:$F$3000,0)),M111&amp;"")</f>
        <v/>
      </c>
      <c r="S111" s="16">
        <f>IF(N111="",INDEX('Chart of Accounts'!$A$5:$A$3000,MATCH("accrued_payroll",'Chart of Accounts'!$F$5:$F$3000,0)),N111&amp;"")</f>
        <v/>
      </c>
      <c r="T111" s="23">
        <f>IFERROR(INDEX('Chart of Accounts'!$C$5:$C$3000,MATCH(Q111&amp;"",'Chart of Accounts'!$A$5:$A$3000,0))&amp;"|"&amp;INDEX('Chart of Accounts'!$D$5:$D$3000,MATCH(Q111&amp;"",'Chart of Accounts'!$A$5:$A$3000,0)),"")</f>
        <v/>
      </c>
      <c r="U111" s="23">
        <f>IFERROR(INDEX('Chart of Accounts'!$C$5:$C$3000,MATCH(R111&amp;"",'Chart of Accounts'!$A$5:$A$3000,0))&amp;"|"&amp;INDEX('Chart of Accounts'!$D$5:$D$3000,MATCH(R111&amp;"",'Chart of Accounts'!$A$5:$A$3000,0)),"")</f>
        <v/>
      </c>
      <c r="V111" s="23">
        <f>IFERROR(INDEX('Chart of Accounts'!$C$5:$C$3000,MATCH(S111&amp;"",'Chart of Accounts'!$A$5:$A$3000,0))&amp;"|"&amp;INDEX('Chart of Accounts'!$D$5:$D$3000,MATCH(S111&amp;"",'Chart of Accounts'!$A$5:$A$3000,0)),"")</f>
        <v/>
      </c>
      <c r="W111" s="23">
        <f>IF(LEFT(T111,8)="Revenue|",-N(O111),0)+IF(LEFT(U111,8)="Revenue|",N(K111),0)+IF(LEFT(V111,8)="Revenue|",N(P111),0)</f>
        <v/>
      </c>
      <c r="X111" s="23">
        <f>IF(LEFT(T111,5)="COGS|",N(O111),0)+IF(LEFT(U111,5)="COGS|",-N(K111),0)+IF(LEFT(V111,5)="COGS|",-N(P111),0)</f>
        <v/>
      </c>
      <c r="Y111" s="23">
        <f>IF(LEFT(T111,8)="Expense|",N(O111),0)+IF(LEFT(U111,8)="Expense|",-N(K111),0)+IF(LEFT(V111,8)="Expense|",-N(P111),0)</f>
        <v/>
      </c>
      <c r="Z111" s="23">
        <f>IF(ISNUMBER(MATCH(T111,{"Expense|employee","Expense|general_admin","Expense|marketing","Expense|utilities","Expense|other_operating"},0)),N(O111),0)+IF(ISNUMBER(MATCH(U111,{"Expense|employee","Expense|general_admin","Expense|marketing","Expense|utilities","Expense|other_operating"},0)),-N(K111),0)+IF(ISNUMBER(MATCH(V111,{"Expense|employee","Expense|general_admin","Expense|marketing","Expense|utilities","Expense|other_operating"},0)),-N(P111),0)</f>
        <v/>
      </c>
      <c r="AA111" s="23">
        <f>IF(T111="Liability|payable",-N(O111),0)+IF(U111="Liability|payable",N(K111),0)+IF(V111="Liability|payable",N(P111),0)</f>
        <v/>
      </c>
      <c r="AB111" s="23">
        <f>IF(T111="Liability|accrued",-N(O111),0)+IF(U111="Liability|accrued",N(K111),0)+IF(V111="Liability|accrued",N(P111),0)</f>
        <v/>
      </c>
      <c r="AC111" s="23">
        <f>IF(AND(N(O111)&lt;&gt;0,T111=""),1,0)+IF(AND(N(K111)&lt;&gt;0,U111=""),1,0)+IF(AND(N(P111)&lt;&gt;0,V111=""),1,0)</f>
        <v/>
      </c>
    </row>
    <row r="112">
      <c r="A112" s="19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20" t="n"/>
      <c r="K112" s="20" t="n"/>
      <c r="L112" s="14" t="n"/>
      <c r="M112" s="14" t="n"/>
      <c r="N112" s="14" t="n"/>
      <c r="O112" s="21">
        <f>ROUND(N(I112)*N(J112),2)</f>
        <v/>
      </c>
      <c r="P112" s="21">
        <f>O112-N(K112)</f>
        <v/>
      </c>
      <c r="Q112" s="16">
        <f>IF(F112&lt;&gt;"",F112&amp;"",IF(LEFT(E112,6)="Indire",INDEX('Chart of Accounts'!$A$5:$A$3000,MATCH("project_overhead",'Chart of Accounts'!$F$5:$F$3000,0)),IF(LEFT(E112,6)="Admini",INDEX('Chart of Accounts'!$A$5:$A$3000,MATCH("admin_salaries",'Chart of Accounts'!$F$5:$F$3000,0)),INDEX('Chart of Accounts'!$A$5:$A$3000,MATCH("direct_labour",'Chart of Accounts'!$F$5:$F$3000,0)))))</f>
        <v/>
      </c>
      <c r="R112" s="16">
        <f>IF(M112="",INDEX('Chart of Accounts'!$A$5:$A$3000,MATCH("bank",'Chart of Accounts'!$F$5:$F$3000,0)),M112&amp;"")</f>
        <v/>
      </c>
      <c r="S112" s="16">
        <f>IF(N112="",INDEX('Chart of Accounts'!$A$5:$A$3000,MATCH("accrued_payroll",'Chart of Accounts'!$F$5:$F$3000,0)),N112&amp;"")</f>
        <v/>
      </c>
      <c r="T112" s="23">
        <f>IFERROR(INDEX('Chart of Accounts'!$C$5:$C$3000,MATCH(Q112&amp;"",'Chart of Accounts'!$A$5:$A$3000,0))&amp;"|"&amp;INDEX('Chart of Accounts'!$D$5:$D$3000,MATCH(Q112&amp;"",'Chart of Accounts'!$A$5:$A$3000,0)),"")</f>
        <v/>
      </c>
      <c r="U112" s="23">
        <f>IFERROR(INDEX('Chart of Accounts'!$C$5:$C$3000,MATCH(R112&amp;"",'Chart of Accounts'!$A$5:$A$3000,0))&amp;"|"&amp;INDEX('Chart of Accounts'!$D$5:$D$3000,MATCH(R112&amp;"",'Chart of Accounts'!$A$5:$A$3000,0)),"")</f>
        <v/>
      </c>
      <c r="V112" s="23">
        <f>IFERROR(INDEX('Chart of Accounts'!$C$5:$C$3000,MATCH(S112&amp;"",'Chart of Accounts'!$A$5:$A$3000,0))&amp;"|"&amp;INDEX('Chart of Accounts'!$D$5:$D$3000,MATCH(S112&amp;"",'Chart of Accounts'!$A$5:$A$3000,0)),"")</f>
        <v/>
      </c>
      <c r="W112" s="23">
        <f>IF(LEFT(T112,8)="Revenue|",-N(O112),0)+IF(LEFT(U112,8)="Revenue|",N(K112),0)+IF(LEFT(V112,8)="Revenue|",N(P112),0)</f>
        <v/>
      </c>
      <c r="X112" s="23">
        <f>IF(LEFT(T112,5)="COGS|",N(O112),0)+IF(LEFT(U112,5)="COGS|",-N(K112),0)+IF(LEFT(V112,5)="COGS|",-N(P112),0)</f>
        <v/>
      </c>
      <c r="Y112" s="23">
        <f>IF(LEFT(T112,8)="Expense|",N(O112),0)+IF(LEFT(U112,8)="Expense|",-N(K112),0)+IF(LEFT(V112,8)="Expense|",-N(P112),0)</f>
        <v/>
      </c>
      <c r="Z112" s="23">
        <f>IF(ISNUMBER(MATCH(T112,{"Expense|employee","Expense|general_admin","Expense|marketing","Expense|utilities","Expense|other_operating"},0)),N(O112),0)+IF(ISNUMBER(MATCH(U112,{"Expense|employee","Expense|general_admin","Expense|marketing","Expense|utilities","Expense|other_operating"},0)),-N(K112),0)+IF(ISNUMBER(MATCH(V112,{"Expense|employee","Expense|general_admin","Expense|marketing","Expense|utilities","Expense|other_operating"},0)),-N(P112),0)</f>
        <v/>
      </c>
      <c r="AA112" s="23">
        <f>IF(T112="Liability|payable",-N(O112),0)+IF(U112="Liability|payable",N(K112),0)+IF(V112="Liability|payable",N(P112),0)</f>
        <v/>
      </c>
      <c r="AB112" s="23">
        <f>IF(T112="Liability|accrued",-N(O112),0)+IF(U112="Liability|accrued",N(K112),0)+IF(V112="Liability|accrued",N(P112),0)</f>
        <v/>
      </c>
      <c r="AC112" s="23">
        <f>IF(AND(N(O112)&lt;&gt;0,T112=""),1,0)+IF(AND(N(K112)&lt;&gt;0,U112=""),1,0)+IF(AND(N(P112)&lt;&gt;0,V112=""),1,0)</f>
        <v/>
      </c>
    </row>
    <row r="113">
      <c r="A113" s="19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20" t="n"/>
      <c r="K113" s="20" t="n"/>
      <c r="L113" s="14" t="n"/>
      <c r="M113" s="14" t="n"/>
      <c r="N113" s="14" t="n"/>
      <c r="O113" s="21">
        <f>ROUND(N(I113)*N(J113),2)</f>
        <v/>
      </c>
      <c r="P113" s="21">
        <f>O113-N(K113)</f>
        <v/>
      </c>
      <c r="Q113" s="16">
        <f>IF(F113&lt;&gt;"",F113&amp;"",IF(LEFT(E113,6)="Indire",INDEX('Chart of Accounts'!$A$5:$A$3000,MATCH("project_overhead",'Chart of Accounts'!$F$5:$F$3000,0)),IF(LEFT(E113,6)="Admini",INDEX('Chart of Accounts'!$A$5:$A$3000,MATCH("admin_salaries",'Chart of Accounts'!$F$5:$F$3000,0)),INDEX('Chart of Accounts'!$A$5:$A$3000,MATCH("direct_labour",'Chart of Accounts'!$F$5:$F$3000,0)))))</f>
        <v/>
      </c>
      <c r="R113" s="16">
        <f>IF(M113="",INDEX('Chart of Accounts'!$A$5:$A$3000,MATCH("bank",'Chart of Accounts'!$F$5:$F$3000,0)),M113&amp;"")</f>
        <v/>
      </c>
      <c r="S113" s="16">
        <f>IF(N113="",INDEX('Chart of Accounts'!$A$5:$A$3000,MATCH("accrued_payroll",'Chart of Accounts'!$F$5:$F$3000,0)),N113&amp;"")</f>
        <v/>
      </c>
      <c r="T113" s="23">
        <f>IFERROR(INDEX('Chart of Accounts'!$C$5:$C$3000,MATCH(Q113&amp;"",'Chart of Accounts'!$A$5:$A$3000,0))&amp;"|"&amp;INDEX('Chart of Accounts'!$D$5:$D$3000,MATCH(Q113&amp;"",'Chart of Accounts'!$A$5:$A$3000,0)),"")</f>
        <v/>
      </c>
      <c r="U113" s="23">
        <f>IFERROR(INDEX('Chart of Accounts'!$C$5:$C$3000,MATCH(R113&amp;"",'Chart of Accounts'!$A$5:$A$3000,0))&amp;"|"&amp;INDEX('Chart of Accounts'!$D$5:$D$3000,MATCH(R113&amp;"",'Chart of Accounts'!$A$5:$A$3000,0)),"")</f>
        <v/>
      </c>
      <c r="V113" s="23">
        <f>IFERROR(INDEX('Chart of Accounts'!$C$5:$C$3000,MATCH(S113&amp;"",'Chart of Accounts'!$A$5:$A$3000,0))&amp;"|"&amp;INDEX('Chart of Accounts'!$D$5:$D$3000,MATCH(S113&amp;"",'Chart of Accounts'!$A$5:$A$3000,0)),"")</f>
        <v/>
      </c>
      <c r="W113" s="23">
        <f>IF(LEFT(T113,8)="Revenue|",-N(O113),0)+IF(LEFT(U113,8)="Revenue|",N(K113),0)+IF(LEFT(V113,8)="Revenue|",N(P113),0)</f>
        <v/>
      </c>
      <c r="X113" s="23">
        <f>IF(LEFT(T113,5)="COGS|",N(O113),0)+IF(LEFT(U113,5)="COGS|",-N(K113),0)+IF(LEFT(V113,5)="COGS|",-N(P113),0)</f>
        <v/>
      </c>
      <c r="Y113" s="23">
        <f>IF(LEFT(T113,8)="Expense|",N(O113),0)+IF(LEFT(U113,8)="Expense|",-N(K113),0)+IF(LEFT(V113,8)="Expense|",-N(P113),0)</f>
        <v/>
      </c>
      <c r="Z113" s="23">
        <f>IF(ISNUMBER(MATCH(T113,{"Expense|employee","Expense|general_admin","Expense|marketing","Expense|utilities","Expense|other_operating"},0)),N(O113),0)+IF(ISNUMBER(MATCH(U113,{"Expense|employee","Expense|general_admin","Expense|marketing","Expense|utilities","Expense|other_operating"},0)),-N(K113),0)+IF(ISNUMBER(MATCH(V113,{"Expense|employee","Expense|general_admin","Expense|marketing","Expense|utilities","Expense|other_operating"},0)),-N(P113),0)</f>
        <v/>
      </c>
      <c r="AA113" s="23">
        <f>IF(T113="Liability|payable",-N(O113),0)+IF(U113="Liability|payable",N(K113),0)+IF(V113="Liability|payable",N(P113),0)</f>
        <v/>
      </c>
      <c r="AB113" s="23">
        <f>IF(T113="Liability|accrued",-N(O113),0)+IF(U113="Liability|accrued",N(K113),0)+IF(V113="Liability|accrued",N(P113),0)</f>
        <v/>
      </c>
      <c r="AC113" s="23">
        <f>IF(AND(N(O113)&lt;&gt;0,T113=""),1,0)+IF(AND(N(K113)&lt;&gt;0,U113=""),1,0)+IF(AND(N(P113)&lt;&gt;0,V113=""),1,0)</f>
        <v/>
      </c>
    </row>
    <row r="114">
      <c r="A114" s="19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20" t="n"/>
      <c r="K114" s="20" t="n"/>
      <c r="L114" s="14" t="n"/>
      <c r="M114" s="14" t="n"/>
      <c r="N114" s="14" t="n"/>
      <c r="O114" s="21">
        <f>ROUND(N(I114)*N(J114),2)</f>
        <v/>
      </c>
      <c r="P114" s="21">
        <f>O114-N(K114)</f>
        <v/>
      </c>
      <c r="Q114" s="16">
        <f>IF(F114&lt;&gt;"",F114&amp;"",IF(LEFT(E114,6)="Indire",INDEX('Chart of Accounts'!$A$5:$A$3000,MATCH("project_overhead",'Chart of Accounts'!$F$5:$F$3000,0)),IF(LEFT(E114,6)="Admini",INDEX('Chart of Accounts'!$A$5:$A$3000,MATCH("admin_salaries",'Chart of Accounts'!$F$5:$F$3000,0)),INDEX('Chart of Accounts'!$A$5:$A$3000,MATCH("direct_labour",'Chart of Accounts'!$F$5:$F$3000,0)))))</f>
        <v/>
      </c>
      <c r="R114" s="16">
        <f>IF(M114="",INDEX('Chart of Accounts'!$A$5:$A$3000,MATCH("bank",'Chart of Accounts'!$F$5:$F$3000,0)),M114&amp;"")</f>
        <v/>
      </c>
      <c r="S114" s="16">
        <f>IF(N114="",INDEX('Chart of Accounts'!$A$5:$A$3000,MATCH("accrued_payroll",'Chart of Accounts'!$F$5:$F$3000,0)),N114&amp;"")</f>
        <v/>
      </c>
      <c r="T114" s="23">
        <f>IFERROR(INDEX('Chart of Accounts'!$C$5:$C$3000,MATCH(Q114&amp;"",'Chart of Accounts'!$A$5:$A$3000,0))&amp;"|"&amp;INDEX('Chart of Accounts'!$D$5:$D$3000,MATCH(Q114&amp;"",'Chart of Accounts'!$A$5:$A$3000,0)),"")</f>
        <v/>
      </c>
      <c r="U114" s="23">
        <f>IFERROR(INDEX('Chart of Accounts'!$C$5:$C$3000,MATCH(R114&amp;"",'Chart of Accounts'!$A$5:$A$3000,0))&amp;"|"&amp;INDEX('Chart of Accounts'!$D$5:$D$3000,MATCH(R114&amp;"",'Chart of Accounts'!$A$5:$A$3000,0)),"")</f>
        <v/>
      </c>
      <c r="V114" s="23">
        <f>IFERROR(INDEX('Chart of Accounts'!$C$5:$C$3000,MATCH(S114&amp;"",'Chart of Accounts'!$A$5:$A$3000,0))&amp;"|"&amp;INDEX('Chart of Accounts'!$D$5:$D$3000,MATCH(S114&amp;"",'Chart of Accounts'!$A$5:$A$3000,0)),"")</f>
        <v/>
      </c>
      <c r="W114" s="23">
        <f>IF(LEFT(T114,8)="Revenue|",-N(O114),0)+IF(LEFT(U114,8)="Revenue|",N(K114),0)+IF(LEFT(V114,8)="Revenue|",N(P114),0)</f>
        <v/>
      </c>
      <c r="X114" s="23">
        <f>IF(LEFT(T114,5)="COGS|",N(O114),0)+IF(LEFT(U114,5)="COGS|",-N(K114),0)+IF(LEFT(V114,5)="COGS|",-N(P114),0)</f>
        <v/>
      </c>
      <c r="Y114" s="23">
        <f>IF(LEFT(T114,8)="Expense|",N(O114),0)+IF(LEFT(U114,8)="Expense|",-N(K114),0)+IF(LEFT(V114,8)="Expense|",-N(P114),0)</f>
        <v/>
      </c>
      <c r="Z114" s="23">
        <f>IF(ISNUMBER(MATCH(T114,{"Expense|employee","Expense|general_admin","Expense|marketing","Expense|utilities","Expense|other_operating"},0)),N(O114),0)+IF(ISNUMBER(MATCH(U114,{"Expense|employee","Expense|general_admin","Expense|marketing","Expense|utilities","Expense|other_operating"},0)),-N(K114),0)+IF(ISNUMBER(MATCH(V114,{"Expense|employee","Expense|general_admin","Expense|marketing","Expense|utilities","Expense|other_operating"},0)),-N(P114),0)</f>
        <v/>
      </c>
      <c r="AA114" s="23">
        <f>IF(T114="Liability|payable",-N(O114),0)+IF(U114="Liability|payable",N(K114),0)+IF(V114="Liability|payable",N(P114),0)</f>
        <v/>
      </c>
      <c r="AB114" s="23">
        <f>IF(T114="Liability|accrued",-N(O114),0)+IF(U114="Liability|accrued",N(K114),0)+IF(V114="Liability|accrued",N(P114),0)</f>
        <v/>
      </c>
      <c r="AC114" s="23">
        <f>IF(AND(N(O114)&lt;&gt;0,T114=""),1,0)+IF(AND(N(K114)&lt;&gt;0,U114=""),1,0)+IF(AND(N(P114)&lt;&gt;0,V114=""),1,0)</f>
        <v/>
      </c>
    </row>
    <row r="115">
      <c r="A115" s="19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20" t="n"/>
      <c r="K115" s="20" t="n"/>
      <c r="L115" s="14" t="n"/>
      <c r="M115" s="14" t="n"/>
      <c r="N115" s="14" t="n"/>
      <c r="O115" s="21">
        <f>ROUND(N(I115)*N(J115),2)</f>
        <v/>
      </c>
      <c r="P115" s="21">
        <f>O115-N(K115)</f>
        <v/>
      </c>
      <c r="Q115" s="16">
        <f>IF(F115&lt;&gt;"",F115&amp;"",IF(LEFT(E115,6)="Indire",INDEX('Chart of Accounts'!$A$5:$A$3000,MATCH("project_overhead",'Chart of Accounts'!$F$5:$F$3000,0)),IF(LEFT(E115,6)="Admini",INDEX('Chart of Accounts'!$A$5:$A$3000,MATCH("admin_salaries",'Chart of Accounts'!$F$5:$F$3000,0)),INDEX('Chart of Accounts'!$A$5:$A$3000,MATCH("direct_labour",'Chart of Accounts'!$F$5:$F$3000,0)))))</f>
        <v/>
      </c>
      <c r="R115" s="16">
        <f>IF(M115="",INDEX('Chart of Accounts'!$A$5:$A$3000,MATCH("bank",'Chart of Accounts'!$F$5:$F$3000,0)),M115&amp;"")</f>
        <v/>
      </c>
      <c r="S115" s="16">
        <f>IF(N115="",INDEX('Chart of Accounts'!$A$5:$A$3000,MATCH("accrued_payroll",'Chart of Accounts'!$F$5:$F$3000,0)),N115&amp;"")</f>
        <v/>
      </c>
      <c r="T115" s="23">
        <f>IFERROR(INDEX('Chart of Accounts'!$C$5:$C$3000,MATCH(Q115&amp;"",'Chart of Accounts'!$A$5:$A$3000,0))&amp;"|"&amp;INDEX('Chart of Accounts'!$D$5:$D$3000,MATCH(Q115&amp;"",'Chart of Accounts'!$A$5:$A$3000,0)),"")</f>
        <v/>
      </c>
      <c r="U115" s="23">
        <f>IFERROR(INDEX('Chart of Accounts'!$C$5:$C$3000,MATCH(R115&amp;"",'Chart of Accounts'!$A$5:$A$3000,0))&amp;"|"&amp;INDEX('Chart of Accounts'!$D$5:$D$3000,MATCH(R115&amp;"",'Chart of Accounts'!$A$5:$A$3000,0)),"")</f>
        <v/>
      </c>
      <c r="V115" s="23">
        <f>IFERROR(INDEX('Chart of Accounts'!$C$5:$C$3000,MATCH(S115&amp;"",'Chart of Accounts'!$A$5:$A$3000,0))&amp;"|"&amp;INDEX('Chart of Accounts'!$D$5:$D$3000,MATCH(S115&amp;"",'Chart of Accounts'!$A$5:$A$3000,0)),"")</f>
        <v/>
      </c>
      <c r="W115" s="23">
        <f>IF(LEFT(T115,8)="Revenue|",-N(O115),0)+IF(LEFT(U115,8)="Revenue|",N(K115),0)+IF(LEFT(V115,8)="Revenue|",N(P115),0)</f>
        <v/>
      </c>
      <c r="X115" s="23">
        <f>IF(LEFT(T115,5)="COGS|",N(O115),0)+IF(LEFT(U115,5)="COGS|",-N(K115),0)+IF(LEFT(V115,5)="COGS|",-N(P115),0)</f>
        <v/>
      </c>
      <c r="Y115" s="23">
        <f>IF(LEFT(T115,8)="Expense|",N(O115),0)+IF(LEFT(U115,8)="Expense|",-N(K115),0)+IF(LEFT(V115,8)="Expense|",-N(P115),0)</f>
        <v/>
      </c>
      <c r="Z115" s="23">
        <f>IF(ISNUMBER(MATCH(T115,{"Expense|employee","Expense|general_admin","Expense|marketing","Expense|utilities","Expense|other_operating"},0)),N(O115),0)+IF(ISNUMBER(MATCH(U115,{"Expense|employee","Expense|general_admin","Expense|marketing","Expense|utilities","Expense|other_operating"},0)),-N(K115),0)+IF(ISNUMBER(MATCH(V115,{"Expense|employee","Expense|general_admin","Expense|marketing","Expense|utilities","Expense|other_operating"},0)),-N(P115),0)</f>
        <v/>
      </c>
      <c r="AA115" s="23">
        <f>IF(T115="Liability|payable",-N(O115),0)+IF(U115="Liability|payable",N(K115),0)+IF(V115="Liability|payable",N(P115),0)</f>
        <v/>
      </c>
      <c r="AB115" s="23">
        <f>IF(T115="Liability|accrued",-N(O115),0)+IF(U115="Liability|accrued",N(K115),0)+IF(V115="Liability|accrued",N(P115),0)</f>
        <v/>
      </c>
      <c r="AC115" s="23">
        <f>IF(AND(N(O115)&lt;&gt;0,T115=""),1,0)+IF(AND(N(K115)&lt;&gt;0,U115=""),1,0)+IF(AND(N(P115)&lt;&gt;0,V115=""),1,0)</f>
        <v/>
      </c>
    </row>
    <row r="116">
      <c r="A116" s="19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20" t="n"/>
      <c r="K116" s="20" t="n"/>
      <c r="L116" s="14" t="n"/>
      <c r="M116" s="14" t="n"/>
      <c r="N116" s="14" t="n"/>
      <c r="O116" s="21">
        <f>ROUND(N(I116)*N(J116),2)</f>
        <v/>
      </c>
      <c r="P116" s="21">
        <f>O116-N(K116)</f>
        <v/>
      </c>
      <c r="Q116" s="16">
        <f>IF(F116&lt;&gt;"",F116&amp;"",IF(LEFT(E116,6)="Indire",INDEX('Chart of Accounts'!$A$5:$A$3000,MATCH("project_overhead",'Chart of Accounts'!$F$5:$F$3000,0)),IF(LEFT(E116,6)="Admini",INDEX('Chart of Accounts'!$A$5:$A$3000,MATCH("admin_salaries",'Chart of Accounts'!$F$5:$F$3000,0)),INDEX('Chart of Accounts'!$A$5:$A$3000,MATCH("direct_labour",'Chart of Accounts'!$F$5:$F$3000,0)))))</f>
        <v/>
      </c>
      <c r="R116" s="16">
        <f>IF(M116="",INDEX('Chart of Accounts'!$A$5:$A$3000,MATCH("bank",'Chart of Accounts'!$F$5:$F$3000,0)),M116&amp;"")</f>
        <v/>
      </c>
      <c r="S116" s="16">
        <f>IF(N116="",INDEX('Chart of Accounts'!$A$5:$A$3000,MATCH("accrued_payroll",'Chart of Accounts'!$F$5:$F$3000,0)),N116&amp;"")</f>
        <v/>
      </c>
      <c r="T116" s="23">
        <f>IFERROR(INDEX('Chart of Accounts'!$C$5:$C$3000,MATCH(Q116&amp;"",'Chart of Accounts'!$A$5:$A$3000,0))&amp;"|"&amp;INDEX('Chart of Accounts'!$D$5:$D$3000,MATCH(Q116&amp;"",'Chart of Accounts'!$A$5:$A$3000,0)),"")</f>
        <v/>
      </c>
      <c r="U116" s="23">
        <f>IFERROR(INDEX('Chart of Accounts'!$C$5:$C$3000,MATCH(R116&amp;"",'Chart of Accounts'!$A$5:$A$3000,0))&amp;"|"&amp;INDEX('Chart of Accounts'!$D$5:$D$3000,MATCH(R116&amp;"",'Chart of Accounts'!$A$5:$A$3000,0)),"")</f>
        <v/>
      </c>
      <c r="V116" s="23">
        <f>IFERROR(INDEX('Chart of Accounts'!$C$5:$C$3000,MATCH(S116&amp;"",'Chart of Accounts'!$A$5:$A$3000,0))&amp;"|"&amp;INDEX('Chart of Accounts'!$D$5:$D$3000,MATCH(S116&amp;"",'Chart of Accounts'!$A$5:$A$3000,0)),"")</f>
        <v/>
      </c>
      <c r="W116" s="23">
        <f>IF(LEFT(T116,8)="Revenue|",-N(O116),0)+IF(LEFT(U116,8)="Revenue|",N(K116),0)+IF(LEFT(V116,8)="Revenue|",N(P116),0)</f>
        <v/>
      </c>
      <c r="X116" s="23">
        <f>IF(LEFT(T116,5)="COGS|",N(O116),0)+IF(LEFT(U116,5)="COGS|",-N(K116),0)+IF(LEFT(V116,5)="COGS|",-N(P116),0)</f>
        <v/>
      </c>
      <c r="Y116" s="23">
        <f>IF(LEFT(T116,8)="Expense|",N(O116),0)+IF(LEFT(U116,8)="Expense|",-N(K116),0)+IF(LEFT(V116,8)="Expense|",-N(P116),0)</f>
        <v/>
      </c>
      <c r="Z116" s="23">
        <f>IF(ISNUMBER(MATCH(T116,{"Expense|employee","Expense|general_admin","Expense|marketing","Expense|utilities","Expense|other_operating"},0)),N(O116),0)+IF(ISNUMBER(MATCH(U116,{"Expense|employee","Expense|general_admin","Expense|marketing","Expense|utilities","Expense|other_operating"},0)),-N(K116),0)+IF(ISNUMBER(MATCH(V116,{"Expense|employee","Expense|general_admin","Expense|marketing","Expense|utilities","Expense|other_operating"},0)),-N(P116),0)</f>
        <v/>
      </c>
      <c r="AA116" s="23">
        <f>IF(T116="Liability|payable",-N(O116),0)+IF(U116="Liability|payable",N(K116),0)+IF(V116="Liability|payable",N(P116),0)</f>
        <v/>
      </c>
      <c r="AB116" s="23">
        <f>IF(T116="Liability|accrued",-N(O116),0)+IF(U116="Liability|accrued",N(K116),0)+IF(V116="Liability|accrued",N(P116),0)</f>
        <v/>
      </c>
      <c r="AC116" s="23">
        <f>IF(AND(N(O116)&lt;&gt;0,T116=""),1,0)+IF(AND(N(K116)&lt;&gt;0,U116=""),1,0)+IF(AND(N(P116)&lt;&gt;0,V116=""),1,0)</f>
        <v/>
      </c>
    </row>
    <row r="117">
      <c r="A117" s="19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20" t="n"/>
      <c r="K117" s="20" t="n"/>
      <c r="L117" s="14" t="n"/>
      <c r="M117" s="14" t="n"/>
      <c r="N117" s="14" t="n"/>
      <c r="O117" s="21">
        <f>ROUND(N(I117)*N(J117),2)</f>
        <v/>
      </c>
      <c r="P117" s="21">
        <f>O117-N(K117)</f>
        <v/>
      </c>
      <c r="Q117" s="16">
        <f>IF(F117&lt;&gt;"",F117&amp;"",IF(LEFT(E117,6)="Indire",INDEX('Chart of Accounts'!$A$5:$A$3000,MATCH("project_overhead",'Chart of Accounts'!$F$5:$F$3000,0)),IF(LEFT(E117,6)="Admini",INDEX('Chart of Accounts'!$A$5:$A$3000,MATCH("admin_salaries",'Chart of Accounts'!$F$5:$F$3000,0)),INDEX('Chart of Accounts'!$A$5:$A$3000,MATCH("direct_labour",'Chart of Accounts'!$F$5:$F$3000,0)))))</f>
        <v/>
      </c>
      <c r="R117" s="16">
        <f>IF(M117="",INDEX('Chart of Accounts'!$A$5:$A$3000,MATCH("bank",'Chart of Accounts'!$F$5:$F$3000,0)),M117&amp;"")</f>
        <v/>
      </c>
      <c r="S117" s="16">
        <f>IF(N117="",INDEX('Chart of Accounts'!$A$5:$A$3000,MATCH("accrued_payroll",'Chart of Accounts'!$F$5:$F$3000,0)),N117&amp;"")</f>
        <v/>
      </c>
      <c r="T117" s="23">
        <f>IFERROR(INDEX('Chart of Accounts'!$C$5:$C$3000,MATCH(Q117&amp;"",'Chart of Accounts'!$A$5:$A$3000,0))&amp;"|"&amp;INDEX('Chart of Accounts'!$D$5:$D$3000,MATCH(Q117&amp;"",'Chart of Accounts'!$A$5:$A$3000,0)),"")</f>
        <v/>
      </c>
      <c r="U117" s="23">
        <f>IFERROR(INDEX('Chart of Accounts'!$C$5:$C$3000,MATCH(R117&amp;"",'Chart of Accounts'!$A$5:$A$3000,0))&amp;"|"&amp;INDEX('Chart of Accounts'!$D$5:$D$3000,MATCH(R117&amp;"",'Chart of Accounts'!$A$5:$A$3000,0)),"")</f>
        <v/>
      </c>
      <c r="V117" s="23">
        <f>IFERROR(INDEX('Chart of Accounts'!$C$5:$C$3000,MATCH(S117&amp;"",'Chart of Accounts'!$A$5:$A$3000,0))&amp;"|"&amp;INDEX('Chart of Accounts'!$D$5:$D$3000,MATCH(S117&amp;"",'Chart of Accounts'!$A$5:$A$3000,0)),"")</f>
        <v/>
      </c>
      <c r="W117" s="23">
        <f>IF(LEFT(T117,8)="Revenue|",-N(O117),0)+IF(LEFT(U117,8)="Revenue|",N(K117),0)+IF(LEFT(V117,8)="Revenue|",N(P117),0)</f>
        <v/>
      </c>
      <c r="X117" s="23">
        <f>IF(LEFT(T117,5)="COGS|",N(O117),0)+IF(LEFT(U117,5)="COGS|",-N(K117),0)+IF(LEFT(V117,5)="COGS|",-N(P117),0)</f>
        <v/>
      </c>
      <c r="Y117" s="23">
        <f>IF(LEFT(T117,8)="Expense|",N(O117),0)+IF(LEFT(U117,8)="Expense|",-N(K117),0)+IF(LEFT(V117,8)="Expense|",-N(P117),0)</f>
        <v/>
      </c>
      <c r="Z117" s="23">
        <f>IF(ISNUMBER(MATCH(T117,{"Expense|employee","Expense|general_admin","Expense|marketing","Expense|utilities","Expense|other_operating"},0)),N(O117),0)+IF(ISNUMBER(MATCH(U117,{"Expense|employee","Expense|general_admin","Expense|marketing","Expense|utilities","Expense|other_operating"},0)),-N(K117),0)+IF(ISNUMBER(MATCH(V117,{"Expense|employee","Expense|general_admin","Expense|marketing","Expense|utilities","Expense|other_operating"},0)),-N(P117),0)</f>
        <v/>
      </c>
      <c r="AA117" s="23">
        <f>IF(T117="Liability|payable",-N(O117),0)+IF(U117="Liability|payable",N(K117),0)+IF(V117="Liability|payable",N(P117),0)</f>
        <v/>
      </c>
      <c r="AB117" s="23">
        <f>IF(T117="Liability|accrued",-N(O117),0)+IF(U117="Liability|accrued",N(K117),0)+IF(V117="Liability|accrued",N(P117),0)</f>
        <v/>
      </c>
      <c r="AC117" s="23">
        <f>IF(AND(N(O117)&lt;&gt;0,T117=""),1,0)+IF(AND(N(K117)&lt;&gt;0,U117=""),1,0)+IF(AND(N(P117)&lt;&gt;0,V117=""),1,0)</f>
        <v/>
      </c>
    </row>
    <row r="118">
      <c r="A118" s="19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20" t="n"/>
      <c r="K118" s="20" t="n"/>
      <c r="L118" s="14" t="n"/>
      <c r="M118" s="14" t="n"/>
      <c r="N118" s="14" t="n"/>
      <c r="O118" s="21">
        <f>ROUND(N(I118)*N(J118),2)</f>
        <v/>
      </c>
      <c r="P118" s="21">
        <f>O118-N(K118)</f>
        <v/>
      </c>
      <c r="Q118" s="16">
        <f>IF(F118&lt;&gt;"",F118&amp;"",IF(LEFT(E118,6)="Indire",INDEX('Chart of Accounts'!$A$5:$A$3000,MATCH("project_overhead",'Chart of Accounts'!$F$5:$F$3000,0)),IF(LEFT(E118,6)="Admini",INDEX('Chart of Accounts'!$A$5:$A$3000,MATCH("admin_salaries",'Chart of Accounts'!$F$5:$F$3000,0)),INDEX('Chart of Accounts'!$A$5:$A$3000,MATCH("direct_labour",'Chart of Accounts'!$F$5:$F$3000,0)))))</f>
        <v/>
      </c>
      <c r="R118" s="16">
        <f>IF(M118="",INDEX('Chart of Accounts'!$A$5:$A$3000,MATCH("bank",'Chart of Accounts'!$F$5:$F$3000,0)),M118&amp;"")</f>
        <v/>
      </c>
      <c r="S118" s="16">
        <f>IF(N118="",INDEX('Chart of Accounts'!$A$5:$A$3000,MATCH("accrued_payroll",'Chart of Accounts'!$F$5:$F$3000,0)),N118&amp;"")</f>
        <v/>
      </c>
      <c r="T118" s="23">
        <f>IFERROR(INDEX('Chart of Accounts'!$C$5:$C$3000,MATCH(Q118&amp;"",'Chart of Accounts'!$A$5:$A$3000,0))&amp;"|"&amp;INDEX('Chart of Accounts'!$D$5:$D$3000,MATCH(Q118&amp;"",'Chart of Accounts'!$A$5:$A$3000,0)),"")</f>
        <v/>
      </c>
      <c r="U118" s="23">
        <f>IFERROR(INDEX('Chart of Accounts'!$C$5:$C$3000,MATCH(R118&amp;"",'Chart of Accounts'!$A$5:$A$3000,0))&amp;"|"&amp;INDEX('Chart of Accounts'!$D$5:$D$3000,MATCH(R118&amp;"",'Chart of Accounts'!$A$5:$A$3000,0)),"")</f>
        <v/>
      </c>
      <c r="V118" s="23">
        <f>IFERROR(INDEX('Chart of Accounts'!$C$5:$C$3000,MATCH(S118&amp;"",'Chart of Accounts'!$A$5:$A$3000,0))&amp;"|"&amp;INDEX('Chart of Accounts'!$D$5:$D$3000,MATCH(S118&amp;"",'Chart of Accounts'!$A$5:$A$3000,0)),"")</f>
        <v/>
      </c>
      <c r="W118" s="23">
        <f>IF(LEFT(T118,8)="Revenue|",-N(O118),0)+IF(LEFT(U118,8)="Revenue|",N(K118),0)+IF(LEFT(V118,8)="Revenue|",N(P118),0)</f>
        <v/>
      </c>
      <c r="X118" s="23">
        <f>IF(LEFT(T118,5)="COGS|",N(O118),0)+IF(LEFT(U118,5)="COGS|",-N(K118),0)+IF(LEFT(V118,5)="COGS|",-N(P118),0)</f>
        <v/>
      </c>
      <c r="Y118" s="23">
        <f>IF(LEFT(T118,8)="Expense|",N(O118),0)+IF(LEFT(U118,8)="Expense|",-N(K118),0)+IF(LEFT(V118,8)="Expense|",-N(P118),0)</f>
        <v/>
      </c>
      <c r="Z118" s="23">
        <f>IF(ISNUMBER(MATCH(T118,{"Expense|employee","Expense|general_admin","Expense|marketing","Expense|utilities","Expense|other_operating"},0)),N(O118),0)+IF(ISNUMBER(MATCH(U118,{"Expense|employee","Expense|general_admin","Expense|marketing","Expense|utilities","Expense|other_operating"},0)),-N(K118),0)+IF(ISNUMBER(MATCH(V118,{"Expense|employee","Expense|general_admin","Expense|marketing","Expense|utilities","Expense|other_operating"},0)),-N(P118),0)</f>
        <v/>
      </c>
      <c r="AA118" s="23">
        <f>IF(T118="Liability|payable",-N(O118),0)+IF(U118="Liability|payable",N(K118),0)+IF(V118="Liability|payable",N(P118),0)</f>
        <v/>
      </c>
      <c r="AB118" s="23">
        <f>IF(T118="Liability|accrued",-N(O118),0)+IF(U118="Liability|accrued",N(K118),0)+IF(V118="Liability|accrued",N(P118),0)</f>
        <v/>
      </c>
      <c r="AC118" s="23">
        <f>IF(AND(N(O118)&lt;&gt;0,T118=""),1,0)+IF(AND(N(K118)&lt;&gt;0,U118=""),1,0)+IF(AND(N(P118)&lt;&gt;0,V118=""),1,0)</f>
        <v/>
      </c>
    </row>
    <row r="119">
      <c r="A119" s="19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20" t="n"/>
      <c r="K119" s="20" t="n"/>
      <c r="L119" s="14" t="n"/>
      <c r="M119" s="14" t="n"/>
      <c r="N119" s="14" t="n"/>
      <c r="O119" s="21">
        <f>ROUND(N(I119)*N(J119),2)</f>
        <v/>
      </c>
      <c r="P119" s="21">
        <f>O119-N(K119)</f>
        <v/>
      </c>
      <c r="Q119" s="16">
        <f>IF(F119&lt;&gt;"",F119&amp;"",IF(LEFT(E119,6)="Indire",INDEX('Chart of Accounts'!$A$5:$A$3000,MATCH("project_overhead",'Chart of Accounts'!$F$5:$F$3000,0)),IF(LEFT(E119,6)="Admini",INDEX('Chart of Accounts'!$A$5:$A$3000,MATCH("admin_salaries",'Chart of Accounts'!$F$5:$F$3000,0)),INDEX('Chart of Accounts'!$A$5:$A$3000,MATCH("direct_labour",'Chart of Accounts'!$F$5:$F$3000,0)))))</f>
        <v/>
      </c>
      <c r="R119" s="16">
        <f>IF(M119="",INDEX('Chart of Accounts'!$A$5:$A$3000,MATCH("bank",'Chart of Accounts'!$F$5:$F$3000,0)),M119&amp;"")</f>
        <v/>
      </c>
      <c r="S119" s="16">
        <f>IF(N119="",INDEX('Chart of Accounts'!$A$5:$A$3000,MATCH("accrued_payroll",'Chart of Accounts'!$F$5:$F$3000,0)),N119&amp;"")</f>
        <v/>
      </c>
      <c r="T119" s="23">
        <f>IFERROR(INDEX('Chart of Accounts'!$C$5:$C$3000,MATCH(Q119&amp;"",'Chart of Accounts'!$A$5:$A$3000,0))&amp;"|"&amp;INDEX('Chart of Accounts'!$D$5:$D$3000,MATCH(Q119&amp;"",'Chart of Accounts'!$A$5:$A$3000,0)),"")</f>
        <v/>
      </c>
      <c r="U119" s="23">
        <f>IFERROR(INDEX('Chart of Accounts'!$C$5:$C$3000,MATCH(R119&amp;"",'Chart of Accounts'!$A$5:$A$3000,0))&amp;"|"&amp;INDEX('Chart of Accounts'!$D$5:$D$3000,MATCH(R119&amp;"",'Chart of Accounts'!$A$5:$A$3000,0)),"")</f>
        <v/>
      </c>
      <c r="V119" s="23">
        <f>IFERROR(INDEX('Chart of Accounts'!$C$5:$C$3000,MATCH(S119&amp;"",'Chart of Accounts'!$A$5:$A$3000,0))&amp;"|"&amp;INDEX('Chart of Accounts'!$D$5:$D$3000,MATCH(S119&amp;"",'Chart of Accounts'!$A$5:$A$3000,0)),"")</f>
        <v/>
      </c>
      <c r="W119" s="23">
        <f>IF(LEFT(T119,8)="Revenue|",-N(O119),0)+IF(LEFT(U119,8)="Revenue|",N(K119),0)+IF(LEFT(V119,8)="Revenue|",N(P119),0)</f>
        <v/>
      </c>
      <c r="X119" s="23">
        <f>IF(LEFT(T119,5)="COGS|",N(O119),0)+IF(LEFT(U119,5)="COGS|",-N(K119),0)+IF(LEFT(V119,5)="COGS|",-N(P119),0)</f>
        <v/>
      </c>
      <c r="Y119" s="23">
        <f>IF(LEFT(T119,8)="Expense|",N(O119),0)+IF(LEFT(U119,8)="Expense|",-N(K119),0)+IF(LEFT(V119,8)="Expense|",-N(P119),0)</f>
        <v/>
      </c>
      <c r="Z119" s="23">
        <f>IF(ISNUMBER(MATCH(T119,{"Expense|employee","Expense|general_admin","Expense|marketing","Expense|utilities","Expense|other_operating"},0)),N(O119),0)+IF(ISNUMBER(MATCH(U119,{"Expense|employee","Expense|general_admin","Expense|marketing","Expense|utilities","Expense|other_operating"},0)),-N(K119),0)+IF(ISNUMBER(MATCH(V119,{"Expense|employee","Expense|general_admin","Expense|marketing","Expense|utilities","Expense|other_operating"},0)),-N(P119),0)</f>
        <v/>
      </c>
      <c r="AA119" s="23">
        <f>IF(T119="Liability|payable",-N(O119),0)+IF(U119="Liability|payable",N(K119),0)+IF(V119="Liability|payable",N(P119),0)</f>
        <v/>
      </c>
      <c r="AB119" s="23">
        <f>IF(T119="Liability|accrued",-N(O119),0)+IF(U119="Liability|accrued",N(K119),0)+IF(V119="Liability|accrued",N(P119),0)</f>
        <v/>
      </c>
      <c r="AC119" s="23">
        <f>IF(AND(N(O119)&lt;&gt;0,T119=""),1,0)+IF(AND(N(K119)&lt;&gt;0,U119=""),1,0)+IF(AND(N(P119)&lt;&gt;0,V119=""),1,0)</f>
        <v/>
      </c>
    </row>
    <row r="120">
      <c r="A120" s="19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20" t="n"/>
      <c r="K120" s="20" t="n"/>
      <c r="L120" s="14" t="n"/>
      <c r="M120" s="14" t="n"/>
      <c r="N120" s="14" t="n"/>
      <c r="O120" s="21">
        <f>ROUND(N(I120)*N(J120),2)</f>
        <v/>
      </c>
      <c r="P120" s="21">
        <f>O120-N(K120)</f>
        <v/>
      </c>
      <c r="Q120" s="16">
        <f>IF(F120&lt;&gt;"",F120&amp;"",IF(LEFT(E120,6)="Indire",INDEX('Chart of Accounts'!$A$5:$A$3000,MATCH("project_overhead",'Chart of Accounts'!$F$5:$F$3000,0)),IF(LEFT(E120,6)="Admini",INDEX('Chart of Accounts'!$A$5:$A$3000,MATCH("admin_salaries",'Chart of Accounts'!$F$5:$F$3000,0)),INDEX('Chart of Accounts'!$A$5:$A$3000,MATCH("direct_labour",'Chart of Accounts'!$F$5:$F$3000,0)))))</f>
        <v/>
      </c>
      <c r="R120" s="16">
        <f>IF(M120="",INDEX('Chart of Accounts'!$A$5:$A$3000,MATCH("bank",'Chart of Accounts'!$F$5:$F$3000,0)),M120&amp;"")</f>
        <v/>
      </c>
      <c r="S120" s="16">
        <f>IF(N120="",INDEX('Chart of Accounts'!$A$5:$A$3000,MATCH("accrued_payroll",'Chart of Accounts'!$F$5:$F$3000,0)),N120&amp;"")</f>
        <v/>
      </c>
      <c r="T120" s="23">
        <f>IFERROR(INDEX('Chart of Accounts'!$C$5:$C$3000,MATCH(Q120&amp;"",'Chart of Accounts'!$A$5:$A$3000,0))&amp;"|"&amp;INDEX('Chart of Accounts'!$D$5:$D$3000,MATCH(Q120&amp;"",'Chart of Accounts'!$A$5:$A$3000,0)),"")</f>
        <v/>
      </c>
      <c r="U120" s="23">
        <f>IFERROR(INDEX('Chart of Accounts'!$C$5:$C$3000,MATCH(R120&amp;"",'Chart of Accounts'!$A$5:$A$3000,0))&amp;"|"&amp;INDEX('Chart of Accounts'!$D$5:$D$3000,MATCH(R120&amp;"",'Chart of Accounts'!$A$5:$A$3000,0)),"")</f>
        <v/>
      </c>
      <c r="V120" s="23">
        <f>IFERROR(INDEX('Chart of Accounts'!$C$5:$C$3000,MATCH(S120&amp;"",'Chart of Accounts'!$A$5:$A$3000,0))&amp;"|"&amp;INDEX('Chart of Accounts'!$D$5:$D$3000,MATCH(S120&amp;"",'Chart of Accounts'!$A$5:$A$3000,0)),"")</f>
        <v/>
      </c>
      <c r="W120" s="23">
        <f>IF(LEFT(T120,8)="Revenue|",-N(O120),0)+IF(LEFT(U120,8)="Revenue|",N(K120),0)+IF(LEFT(V120,8)="Revenue|",N(P120),0)</f>
        <v/>
      </c>
      <c r="X120" s="23">
        <f>IF(LEFT(T120,5)="COGS|",N(O120),0)+IF(LEFT(U120,5)="COGS|",-N(K120),0)+IF(LEFT(V120,5)="COGS|",-N(P120),0)</f>
        <v/>
      </c>
      <c r="Y120" s="23">
        <f>IF(LEFT(T120,8)="Expense|",N(O120),0)+IF(LEFT(U120,8)="Expense|",-N(K120),0)+IF(LEFT(V120,8)="Expense|",-N(P120),0)</f>
        <v/>
      </c>
      <c r="Z120" s="23">
        <f>IF(ISNUMBER(MATCH(T120,{"Expense|employee","Expense|general_admin","Expense|marketing","Expense|utilities","Expense|other_operating"},0)),N(O120),0)+IF(ISNUMBER(MATCH(U120,{"Expense|employee","Expense|general_admin","Expense|marketing","Expense|utilities","Expense|other_operating"},0)),-N(K120),0)+IF(ISNUMBER(MATCH(V120,{"Expense|employee","Expense|general_admin","Expense|marketing","Expense|utilities","Expense|other_operating"},0)),-N(P120),0)</f>
        <v/>
      </c>
      <c r="AA120" s="23">
        <f>IF(T120="Liability|payable",-N(O120),0)+IF(U120="Liability|payable",N(K120),0)+IF(V120="Liability|payable",N(P120),0)</f>
        <v/>
      </c>
      <c r="AB120" s="23">
        <f>IF(T120="Liability|accrued",-N(O120),0)+IF(U120="Liability|accrued",N(K120),0)+IF(V120="Liability|accrued",N(P120),0)</f>
        <v/>
      </c>
      <c r="AC120" s="23">
        <f>IF(AND(N(O120)&lt;&gt;0,T120=""),1,0)+IF(AND(N(K120)&lt;&gt;0,U120=""),1,0)+IF(AND(N(P120)&lt;&gt;0,V120=""),1,0)</f>
        <v/>
      </c>
    </row>
    <row r="121">
      <c r="A121" s="19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20" t="n"/>
      <c r="K121" s="20" t="n"/>
      <c r="L121" s="14" t="n"/>
      <c r="M121" s="14" t="n"/>
      <c r="N121" s="14" t="n"/>
      <c r="O121" s="21">
        <f>ROUND(N(I121)*N(J121),2)</f>
        <v/>
      </c>
      <c r="P121" s="21">
        <f>O121-N(K121)</f>
        <v/>
      </c>
      <c r="Q121" s="16">
        <f>IF(F121&lt;&gt;"",F121&amp;"",IF(LEFT(E121,6)="Indire",INDEX('Chart of Accounts'!$A$5:$A$3000,MATCH("project_overhead",'Chart of Accounts'!$F$5:$F$3000,0)),IF(LEFT(E121,6)="Admini",INDEX('Chart of Accounts'!$A$5:$A$3000,MATCH("admin_salaries",'Chart of Accounts'!$F$5:$F$3000,0)),INDEX('Chart of Accounts'!$A$5:$A$3000,MATCH("direct_labour",'Chart of Accounts'!$F$5:$F$3000,0)))))</f>
        <v/>
      </c>
      <c r="R121" s="16">
        <f>IF(M121="",INDEX('Chart of Accounts'!$A$5:$A$3000,MATCH("bank",'Chart of Accounts'!$F$5:$F$3000,0)),M121&amp;"")</f>
        <v/>
      </c>
      <c r="S121" s="16">
        <f>IF(N121="",INDEX('Chart of Accounts'!$A$5:$A$3000,MATCH("accrued_payroll",'Chart of Accounts'!$F$5:$F$3000,0)),N121&amp;"")</f>
        <v/>
      </c>
      <c r="T121" s="23">
        <f>IFERROR(INDEX('Chart of Accounts'!$C$5:$C$3000,MATCH(Q121&amp;"",'Chart of Accounts'!$A$5:$A$3000,0))&amp;"|"&amp;INDEX('Chart of Accounts'!$D$5:$D$3000,MATCH(Q121&amp;"",'Chart of Accounts'!$A$5:$A$3000,0)),"")</f>
        <v/>
      </c>
      <c r="U121" s="23">
        <f>IFERROR(INDEX('Chart of Accounts'!$C$5:$C$3000,MATCH(R121&amp;"",'Chart of Accounts'!$A$5:$A$3000,0))&amp;"|"&amp;INDEX('Chart of Accounts'!$D$5:$D$3000,MATCH(R121&amp;"",'Chart of Accounts'!$A$5:$A$3000,0)),"")</f>
        <v/>
      </c>
      <c r="V121" s="23">
        <f>IFERROR(INDEX('Chart of Accounts'!$C$5:$C$3000,MATCH(S121&amp;"",'Chart of Accounts'!$A$5:$A$3000,0))&amp;"|"&amp;INDEX('Chart of Accounts'!$D$5:$D$3000,MATCH(S121&amp;"",'Chart of Accounts'!$A$5:$A$3000,0)),"")</f>
        <v/>
      </c>
      <c r="W121" s="23">
        <f>IF(LEFT(T121,8)="Revenue|",-N(O121),0)+IF(LEFT(U121,8)="Revenue|",N(K121),0)+IF(LEFT(V121,8)="Revenue|",N(P121),0)</f>
        <v/>
      </c>
      <c r="X121" s="23">
        <f>IF(LEFT(T121,5)="COGS|",N(O121),0)+IF(LEFT(U121,5)="COGS|",-N(K121),0)+IF(LEFT(V121,5)="COGS|",-N(P121),0)</f>
        <v/>
      </c>
      <c r="Y121" s="23">
        <f>IF(LEFT(T121,8)="Expense|",N(O121),0)+IF(LEFT(U121,8)="Expense|",-N(K121),0)+IF(LEFT(V121,8)="Expense|",-N(P121),0)</f>
        <v/>
      </c>
      <c r="Z121" s="23">
        <f>IF(ISNUMBER(MATCH(T121,{"Expense|employee","Expense|general_admin","Expense|marketing","Expense|utilities","Expense|other_operating"},0)),N(O121),0)+IF(ISNUMBER(MATCH(U121,{"Expense|employee","Expense|general_admin","Expense|marketing","Expense|utilities","Expense|other_operating"},0)),-N(K121),0)+IF(ISNUMBER(MATCH(V121,{"Expense|employee","Expense|general_admin","Expense|marketing","Expense|utilities","Expense|other_operating"},0)),-N(P121),0)</f>
        <v/>
      </c>
      <c r="AA121" s="23">
        <f>IF(T121="Liability|payable",-N(O121),0)+IF(U121="Liability|payable",N(K121),0)+IF(V121="Liability|payable",N(P121),0)</f>
        <v/>
      </c>
      <c r="AB121" s="23">
        <f>IF(T121="Liability|accrued",-N(O121),0)+IF(U121="Liability|accrued",N(K121),0)+IF(V121="Liability|accrued",N(P121),0)</f>
        <v/>
      </c>
      <c r="AC121" s="23">
        <f>IF(AND(N(O121)&lt;&gt;0,T121=""),1,0)+IF(AND(N(K121)&lt;&gt;0,U121=""),1,0)+IF(AND(N(P121)&lt;&gt;0,V121=""),1,0)</f>
        <v/>
      </c>
    </row>
    <row r="122">
      <c r="A122" s="19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20" t="n"/>
      <c r="K122" s="20" t="n"/>
      <c r="L122" s="14" t="n"/>
      <c r="M122" s="14" t="n"/>
      <c r="N122" s="14" t="n"/>
      <c r="O122" s="21">
        <f>ROUND(N(I122)*N(J122),2)</f>
        <v/>
      </c>
      <c r="P122" s="21">
        <f>O122-N(K122)</f>
        <v/>
      </c>
      <c r="Q122" s="16">
        <f>IF(F122&lt;&gt;"",F122&amp;"",IF(LEFT(E122,6)="Indire",INDEX('Chart of Accounts'!$A$5:$A$3000,MATCH("project_overhead",'Chart of Accounts'!$F$5:$F$3000,0)),IF(LEFT(E122,6)="Admini",INDEX('Chart of Accounts'!$A$5:$A$3000,MATCH("admin_salaries",'Chart of Accounts'!$F$5:$F$3000,0)),INDEX('Chart of Accounts'!$A$5:$A$3000,MATCH("direct_labour",'Chart of Accounts'!$F$5:$F$3000,0)))))</f>
        <v/>
      </c>
      <c r="R122" s="16">
        <f>IF(M122="",INDEX('Chart of Accounts'!$A$5:$A$3000,MATCH("bank",'Chart of Accounts'!$F$5:$F$3000,0)),M122&amp;"")</f>
        <v/>
      </c>
      <c r="S122" s="16">
        <f>IF(N122="",INDEX('Chart of Accounts'!$A$5:$A$3000,MATCH("accrued_payroll",'Chart of Accounts'!$F$5:$F$3000,0)),N122&amp;"")</f>
        <v/>
      </c>
      <c r="T122" s="23">
        <f>IFERROR(INDEX('Chart of Accounts'!$C$5:$C$3000,MATCH(Q122&amp;"",'Chart of Accounts'!$A$5:$A$3000,0))&amp;"|"&amp;INDEX('Chart of Accounts'!$D$5:$D$3000,MATCH(Q122&amp;"",'Chart of Accounts'!$A$5:$A$3000,0)),"")</f>
        <v/>
      </c>
      <c r="U122" s="23">
        <f>IFERROR(INDEX('Chart of Accounts'!$C$5:$C$3000,MATCH(R122&amp;"",'Chart of Accounts'!$A$5:$A$3000,0))&amp;"|"&amp;INDEX('Chart of Accounts'!$D$5:$D$3000,MATCH(R122&amp;"",'Chart of Accounts'!$A$5:$A$3000,0)),"")</f>
        <v/>
      </c>
      <c r="V122" s="23">
        <f>IFERROR(INDEX('Chart of Accounts'!$C$5:$C$3000,MATCH(S122&amp;"",'Chart of Accounts'!$A$5:$A$3000,0))&amp;"|"&amp;INDEX('Chart of Accounts'!$D$5:$D$3000,MATCH(S122&amp;"",'Chart of Accounts'!$A$5:$A$3000,0)),"")</f>
        <v/>
      </c>
      <c r="W122" s="23">
        <f>IF(LEFT(T122,8)="Revenue|",-N(O122),0)+IF(LEFT(U122,8)="Revenue|",N(K122),0)+IF(LEFT(V122,8)="Revenue|",N(P122),0)</f>
        <v/>
      </c>
      <c r="X122" s="23">
        <f>IF(LEFT(T122,5)="COGS|",N(O122),0)+IF(LEFT(U122,5)="COGS|",-N(K122),0)+IF(LEFT(V122,5)="COGS|",-N(P122),0)</f>
        <v/>
      </c>
      <c r="Y122" s="23">
        <f>IF(LEFT(T122,8)="Expense|",N(O122),0)+IF(LEFT(U122,8)="Expense|",-N(K122),0)+IF(LEFT(V122,8)="Expense|",-N(P122),0)</f>
        <v/>
      </c>
      <c r="Z122" s="23">
        <f>IF(ISNUMBER(MATCH(T122,{"Expense|employee","Expense|general_admin","Expense|marketing","Expense|utilities","Expense|other_operating"},0)),N(O122),0)+IF(ISNUMBER(MATCH(U122,{"Expense|employee","Expense|general_admin","Expense|marketing","Expense|utilities","Expense|other_operating"},0)),-N(K122),0)+IF(ISNUMBER(MATCH(V122,{"Expense|employee","Expense|general_admin","Expense|marketing","Expense|utilities","Expense|other_operating"},0)),-N(P122),0)</f>
        <v/>
      </c>
      <c r="AA122" s="23">
        <f>IF(T122="Liability|payable",-N(O122),0)+IF(U122="Liability|payable",N(K122),0)+IF(V122="Liability|payable",N(P122),0)</f>
        <v/>
      </c>
      <c r="AB122" s="23">
        <f>IF(T122="Liability|accrued",-N(O122),0)+IF(U122="Liability|accrued",N(K122),0)+IF(V122="Liability|accrued",N(P122),0)</f>
        <v/>
      </c>
      <c r="AC122" s="23">
        <f>IF(AND(N(O122)&lt;&gt;0,T122=""),1,0)+IF(AND(N(K122)&lt;&gt;0,U122=""),1,0)+IF(AND(N(P122)&lt;&gt;0,V122=""),1,0)</f>
        <v/>
      </c>
    </row>
    <row r="123">
      <c r="A123" s="19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20" t="n"/>
      <c r="K123" s="20" t="n"/>
      <c r="L123" s="14" t="n"/>
      <c r="M123" s="14" t="n"/>
      <c r="N123" s="14" t="n"/>
      <c r="O123" s="21">
        <f>ROUND(N(I123)*N(J123),2)</f>
        <v/>
      </c>
      <c r="P123" s="21">
        <f>O123-N(K123)</f>
        <v/>
      </c>
      <c r="Q123" s="16">
        <f>IF(F123&lt;&gt;"",F123&amp;"",IF(LEFT(E123,6)="Indire",INDEX('Chart of Accounts'!$A$5:$A$3000,MATCH("project_overhead",'Chart of Accounts'!$F$5:$F$3000,0)),IF(LEFT(E123,6)="Admini",INDEX('Chart of Accounts'!$A$5:$A$3000,MATCH("admin_salaries",'Chart of Accounts'!$F$5:$F$3000,0)),INDEX('Chart of Accounts'!$A$5:$A$3000,MATCH("direct_labour",'Chart of Accounts'!$F$5:$F$3000,0)))))</f>
        <v/>
      </c>
      <c r="R123" s="16">
        <f>IF(M123="",INDEX('Chart of Accounts'!$A$5:$A$3000,MATCH("bank",'Chart of Accounts'!$F$5:$F$3000,0)),M123&amp;"")</f>
        <v/>
      </c>
      <c r="S123" s="16">
        <f>IF(N123="",INDEX('Chart of Accounts'!$A$5:$A$3000,MATCH("accrued_payroll",'Chart of Accounts'!$F$5:$F$3000,0)),N123&amp;"")</f>
        <v/>
      </c>
      <c r="T123" s="23">
        <f>IFERROR(INDEX('Chart of Accounts'!$C$5:$C$3000,MATCH(Q123&amp;"",'Chart of Accounts'!$A$5:$A$3000,0))&amp;"|"&amp;INDEX('Chart of Accounts'!$D$5:$D$3000,MATCH(Q123&amp;"",'Chart of Accounts'!$A$5:$A$3000,0)),"")</f>
        <v/>
      </c>
      <c r="U123" s="23">
        <f>IFERROR(INDEX('Chart of Accounts'!$C$5:$C$3000,MATCH(R123&amp;"",'Chart of Accounts'!$A$5:$A$3000,0))&amp;"|"&amp;INDEX('Chart of Accounts'!$D$5:$D$3000,MATCH(R123&amp;"",'Chart of Accounts'!$A$5:$A$3000,0)),"")</f>
        <v/>
      </c>
      <c r="V123" s="23">
        <f>IFERROR(INDEX('Chart of Accounts'!$C$5:$C$3000,MATCH(S123&amp;"",'Chart of Accounts'!$A$5:$A$3000,0))&amp;"|"&amp;INDEX('Chart of Accounts'!$D$5:$D$3000,MATCH(S123&amp;"",'Chart of Accounts'!$A$5:$A$3000,0)),"")</f>
        <v/>
      </c>
      <c r="W123" s="23">
        <f>IF(LEFT(T123,8)="Revenue|",-N(O123),0)+IF(LEFT(U123,8)="Revenue|",N(K123),0)+IF(LEFT(V123,8)="Revenue|",N(P123),0)</f>
        <v/>
      </c>
      <c r="X123" s="23">
        <f>IF(LEFT(T123,5)="COGS|",N(O123),0)+IF(LEFT(U123,5)="COGS|",-N(K123),0)+IF(LEFT(V123,5)="COGS|",-N(P123),0)</f>
        <v/>
      </c>
      <c r="Y123" s="23">
        <f>IF(LEFT(T123,8)="Expense|",N(O123),0)+IF(LEFT(U123,8)="Expense|",-N(K123),0)+IF(LEFT(V123,8)="Expense|",-N(P123),0)</f>
        <v/>
      </c>
      <c r="Z123" s="23">
        <f>IF(ISNUMBER(MATCH(T123,{"Expense|employee","Expense|general_admin","Expense|marketing","Expense|utilities","Expense|other_operating"},0)),N(O123),0)+IF(ISNUMBER(MATCH(U123,{"Expense|employee","Expense|general_admin","Expense|marketing","Expense|utilities","Expense|other_operating"},0)),-N(K123),0)+IF(ISNUMBER(MATCH(V123,{"Expense|employee","Expense|general_admin","Expense|marketing","Expense|utilities","Expense|other_operating"},0)),-N(P123),0)</f>
        <v/>
      </c>
      <c r="AA123" s="23">
        <f>IF(T123="Liability|payable",-N(O123),0)+IF(U123="Liability|payable",N(K123),0)+IF(V123="Liability|payable",N(P123),0)</f>
        <v/>
      </c>
      <c r="AB123" s="23">
        <f>IF(T123="Liability|accrued",-N(O123),0)+IF(U123="Liability|accrued",N(K123),0)+IF(V123="Liability|accrued",N(P123),0)</f>
        <v/>
      </c>
      <c r="AC123" s="23">
        <f>IF(AND(N(O123)&lt;&gt;0,T123=""),1,0)+IF(AND(N(K123)&lt;&gt;0,U123=""),1,0)+IF(AND(N(P123)&lt;&gt;0,V123=""),1,0)</f>
        <v/>
      </c>
    </row>
    <row r="124">
      <c r="A124" s="19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20" t="n"/>
      <c r="K124" s="20" t="n"/>
      <c r="L124" s="14" t="n"/>
      <c r="M124" s="14" t="n"/>
      <c r="N124" s="14" t="n"/>
      <c r="O124" s="21">
        <f>ROUND(N(I124)*N(J124),2)</f>
        <v/>
      </c>
      <c r="P124" s="21">
        <f>O124-N(K124)</f>
        <v/>
      </c>
      <c r="Q124" s="16">
        <f>IF(F124&lt;&gt;"",F124&amp;"",IF(LEFT(E124,6)="Indire",INDEX('Chart of Accounts'!$A$5:$A$3000,MATCH("project_overhead",'Chart of Accounts'!$F$5:$F$3000,0)),IF(LEFT(E124,6)="Admini",INDEX('Chart of Accounts'!$A$5:$A$3000,MATCH("admin_salaries",'Chart of Accounts'!$F$5:$F$3000,0)),INDEX('Chart of Accounts'!$A$5:$A$3000,MATCH("direct_labour",'Chart of Accounts'!$F$5:$F$3000,0)))))</f>
        <v/>
      </c>
      <c r="R124" s="16">
        <f>IF(M124="",INDEX('Chart of Accounts'!$A$5:$A$3000,MATCH("bank",'Chart of Accounts'!$F$5:$F$3000,0)),M124&amp;"")</f>
        <v/>
      </c>
      <c r="S124" s="16">
        <f>IF(N124="",INDEX('Chart of Accounts'!$A$5:$A$3000,MATCH("accrued_payroll",'Chart of Accounts'!$F$5:$F$3000,0)),N124&amp;"")</f>
        <v/>
      </c>
      <c r="T124" s="23">
        <f>IFERROR(INDEX('Chart of Accounts'!$C$5:$C$3000,MATCH(Q124&amp;"",'Chart of Accounts'!$A$5:$A$3000,0))&amp;"|"&amp;INDEX('Chart of Accounts'!$D$5:$D$3000,MATCH(Q124&amp;"",'Chart of Accounts'!$A$5:$A$3000,0)),"")</f>
        <v/>
      </c>
      <c r="U124" s="23">
        <f>IFERROR(INDEX('Chart of Accounts'!$C$5:$C$3000,MATCH(R124&amp;"",'Chart of Accounts'!$A$5:$A$3000,0))&amp;"|"&amp;INDEX('Chart of Accounts'!$D$5:$D$3000,MATCH(R124&amp;"",'Chart of Accounts'!$A$5:$A$3000,0)),"")</f>
        <v/>
      </c>
      <c r="V124" s="23">
        <f>IFERROR(INDEX('Chart of Accounts'!$C$5:$C$3000,MATCH(S124&amp;"",'Chart of Accounts'!$A$5:$A$3000,0))&amp;"|"&amp;INDEX('Chart of Accounts'!$D$5:$D$3000,MATCH(S124&amp;"",'Chart of Accounts'!$A$5:$A$3000,0)),"")</f>
        <v/>
      </c>
      <c r="W124" s="23">
        <f>IF(LEFT(T124,8)="Revenue|",-N(O124),0)+IF(LEFT(U124,8)="Revenue|",N(K124),0)+IF(LEFT(V124,8)="Revenue|",N(P124),0)</f>
        <v/>
      </c>
      <c r="X124" s="23">
        <f>IF(LEFT(T124,5)="COGS|",N(O124),0)+IF(LEFT(U124,5)="COGS|",-N(K124),0)+IF(LEFT(V124,5)="COGS|",-N(P124),0)</f>
        <v/>
      </c>
      <c r="Y124" s="23">
        <f>IF(LEFT(T124,8)="Expense|",N(O124),0)+IF(LEFT(U124,8)="Expense|",-N(K124),0)+IF(LEFT(V124,8)="Expense|",-N(P124),0)</f>
        <v/>
      </c>
      <c r="Z124" s="23">
        <f>IF(ISNUMBER(MATCH(T124,{"Expense|employee","Expense|general_admin","Expense|marketing","Expense|utilities","Expense|other_operating"},0)),N(O124),0)+IF(ISNUMBER(MATCH(U124,{"Expense|employee","Expense|general_admin","Expense|marketing","Expense|utilities","Expense|other_operating"},0)),-N(K124),0)+IF(ISNUMBER(MATCH(V124,{"Expense|employee","Expense|general_admin","Expense|marketing","Expense|utilities","Expense|other_operating"},0)),-N(P124),0)</f>
        <v/>
      </c>
      <c r="AA124" s="23">
        <f>IF(T124="Liability|payable",-N(O124),0)+IF(U124="Liability|payable",N(K124),0)+IF(V124="Liability|payable",N(P124),0)</f>
        <v/>
      </c>
      <c r="AB124" s="23">
        <f>IF(T124="Liability|accrued",-N(O124),0)+IF(U124="Liability|accrued",N(K124),0)+IF(V124="Liability|accrued",N(P124),0)</f>
        <v/>
      </c>
      <c r="AC124" s="23">
        <f>IF(AND(N(O124)&lt;&gt;0,T124=""),1,0)+IF(AND(N(K124)&lt;&gt;0,U124=""),1,0)+IF(AND(N(P124)&lt;&gt;0,V124=""),1,0)</f>
        <v/>
      </c>
    </row>
    <row r="125">
      <c r="A125" s="19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20" t="n"/>
      <c r="K125" s="20" t="n"/>
      <c r="L125" s="14" t="n"/>
      <c r="M125" s="14" t="n"/>
      <c r="N125" s="14" t="n"/>
      <c r="O125" s="21">
        <f>ROUND(N(I125)*N(J125),2)</f>
        <v/>
      </c>
      <c r="P125" s="21">
        <f>O125-N(K125)</f>
        <v/>
      </c>
      <c r="Q125" s="16">
        <f>IF(F125&lt;&gt;"",F125&amp;"",IF(LEFT(E125,6)="Indire",INDEX('Chart of Accounts'!$A$5:$A$3000,MATCH("project_overhead",'Chart of Accounts'!$F$5:$F$3000,0)),IF(LEFT(E125,6)="Admini",INDEX('Chart of Accounts'!$A$5:$A$3000,MATCH("admin_salaries",'Chart of Accounts'!$F$5:$F$3000,0)),INDEX('Chart of Accounts'!$A$5:$A$3000,MATCH("direct_labour",'Chart of Accounts'!$F$5:$F$3000,0)))))</f>
        <v/>
      </c>
      <c r="R125" s="16">
        <f>IF(M125="",INDEX('Chart of Accounts'!$A$5:$A$3000,MATCH("bank",'Chart of Accounts'!$F$5:$F$3000,0)),M125&amp;"")</f>
        <v/>
      </c>
      <c r="S125" s="16">
        <f>IF(N125="",INDEX('Chart of Accounts'!$A$5:$A$3000,MATCH("accrued_payroll",'Chart of Accounts'!$F$5:$F$3000,0)),N125&amp;"")</f>
        <v/>
      </c>
      <c r="T125" s="23">
        <f>IFERROR(INDEX('Chart of Accounts'!$C$5:$C$3000,MATCH(Q125&amp;"",'Chart of Accounts'!$A$5:$A$3000,0))&amp;"|"&amp;INDEX('Chart of Accounts'!$D$5:$D$3000,MATCH(Q125&amp;"",'Chart of Accounts'!$A$5:$A$3000,0)),"")</f>
        <v/>
      </c>
      <c r="U125" s="23">
        <f>IFERROR(INDEX('Chart of Accounts'!$C$5:$C$3000,MATCH(R125&amp;"",'Chart of Accounts'!$A$5:$A$3000,0))&amp;"|"&amp;INDEX('Chart of Accounts'!$D$5:$D$3000,MATCH(R125&amp;"",'Chart of Accounts'!$A$5:$A$3000,0)),"")</f>
        <v/>
      </c>
      <c r="V125" s="23">
        <f>IFERROR(INDEX('Chart of Accounts'!$C$5:$C$3000,MATCH(S125&amp;"",'Chart of Accounts'!$A$5:$A$3000,0))&amp;"|"&amp;INDEX('Chart of Accounts'!$D$5:$D$3000,MATCH(S125&amp;"",'Chart of Accounts'!$A$5:$A$3000,0)),"")</f>
        <v/>
      </c>
      <c r="W125" s="23">
        <f>IF(LEFT(T125,8)="Revenue|",-N(O125),0)+IF(LEFT(U125,8)="Revenue|",N(K125),0)+IF(LEFT(V125,8)="Revenue|",N(P125),0)</f>
        <v/>
      </c>
      <c r="X125" s="23">
        <f>IF(LEFT(T125,5)="COGS|",N(O125),0)+IF(LEFT(U125,5)="COGS|",-N(K125),0)+IF(LEFT(V125,5)="COGS|",-N(P125),0)</f>
        <v/>
      </c>
      <c r="Y125" s="23">
        <f>IF(LEFT(T125,8)="Expense|",N(O125),0)+IF(LEFT(U125,8)="Expense|",-N(K125),0)+IF(LEFT(V125,8)="Expense|",-N(P125),0)</f>
        <v/>
      </c>
      <c r="Z125" s="23">
        <f>IF(ISNUMBER(MATCH(T125,{"Expense|employee","Expense|general_admin","Expense|marketing","Expense|utilities","Expense|other_operating"},0)),N(O125),0)+IF(ISNUMBER(MATCH(U125,{"Expense|employee","Expense|general_admin","Expense|marketing","Expense|utilities","Expense|other_operating"},0)),-N(K125),0)+IF(ISNUMBER(MATCH(V125,{"Expense|employee","Expense|general_admin","Expense|marketing","Expense|utilities","Expense|other_operating"},0)),-N(P125),0)</f>
        <v/>
      </c>
      <c r="AA125" s="23">
        <f>IF(T125="Liability|payable",-N(O125),0)+IF(U125="Liability|payable",N(K125),0)+IF(V125="Liability|payable",N(P125),0)</f>
        <v/>
      </c>
      <c r="AB125" s="23">
        <f>IF(T125="Liability|accrued",-N(O125),0)+IF(U125="Liability|accrued",N(K125),0)+IF(V125="Liability|accrued",N(P125),0)</f>
        <v/>
      </c>
      <c r="AC125" s="23">
        <f>IF(AND(N(O125)&lt;&gt;0,T125=""),1,0)+IF(AND(N(K125)&lt;&gt;0,U125=""),1,0)+IF(AND(N(P125)&lt;&gt;0,V125=""),1,0)</f>
        <v/>
      </c>
    </row>
    <row r="126">
      <c r="A126" s="19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20" t="n"/>
      <c r="K126" s="20" t="n"/>
      <c r="L126" s="14" t="n"/>
      <c r="M126" s="14" t="n"/>
      <c r="N126" s="14" t="n"/>
      <c r="O126" s="21">
        <f>ROUND(N(I126)*N(J126),2)</f>
        <v/>
      </c>
      <c r="P126" s="21">
        <f>O126-N(K126)</f>
        <v/>
      </c>
      <c r="Q126" s="16">
        <f>IF(F126&lt;&gt;"",F126&amp;"",IF(LEFT(E126,6)="Indire",INDEX('Chart of Accounts'!$A$5:$A$3000,MATCH("project_overhead",'Chart of Accounts'!$F$5:$F$3000,0)),IF(LEFT(E126,6)="Admini",INDEX('Chart of Accounts'!$A$5:$A$3000,MATCH("admin_salaries",'Chart of Accounts'!$F$5:$F$3000,0)),INDEX('Chart of Accounts'!$A$5:$A$3000,MATCH("direct_labour",'Chart of Accounts'!$F$5:$F$3000,0)))))</f>
        <v/>
      </c>
      <c r="R126" s="16">
        <f>IF(M126="",INDEX('Chart of Accounts'!$A$5:$A$3000,MATCH("bank",'Chart of Accounts'!$F$5:$F$3000,0)),M126&amp;"")</f>
        <v/>
      </c>
      <c r="S126" s="16">
        <f>IF(N126="",INDEX('Chart of Accounts'!$A$5:$A$3000,MATCH("accrued_payroll",'Chart of Accounts'!$F$5:$F$3000,0)),N126&amp;"")</f>
        <v/>
      </c>
      <c r="T126" s="23">
        <f>IFERROR(INDEX('Chart of Accounts'!$C$5:$C$3000,MATCH(Q126&amp;"",'Chart of Accounts'!$A$5:$A$3000,0))&amp;"|"&amp;INDEX('Chart of Accounts'!$D$5:$D$3000,MATCH(Q126&amp;"",'Chart of Accounts'!$A$5:$A$3000,0)),"")</f>
        <v/>
      </c>
      <c r="U126" s="23">
        <f>IFERROR(INDEX('Chart of Accounts'!$C$5:$C$3000,MATCH(R126&amp;"",'Chart of Accounts'!$A$5:$A$3000,0))&amp;"|"&amp;INDEX('Chart of Accounts'!$D$5:$D$3000,MATCH(R126&amp;"",'Chart of Accounts'!$A$5:$A$3000,0)),"")</f>
        <v/>
      </c>
      <c r="V126" s="23">
        <f>IFERROR(INDEX('Chart of Accounts'!$C$5:$C$3000,MATCH(S126&amp;"",'Chart of Accounts'!$A$5:$A$3000,0))&amp;"|"&amp;INDEX('Chart of Accounts'!$D$5:$D$3000,MATCH(S126&amp;"",'Chart of Accounts'!$A$5:$A$3000,0)),"")</f>
        <v/>
      </c>
      <c r="W126" s="23">
        <f>IF(LEFT(T126,8)="Revenue|",-N(O126),0)+IF(LEFT(U126,8)="Revenue|",N(K126),0)+IF(LEFT(V126,8)="Revenue|",N(P126),0)</f>
        <v/>
      </c>
      <c r="X126" s="23">
        <f>IF(LEFT(T126,5)="COGS|",N(O126),0)+IF(LEFT(U126,5)="COGS|",-N(K126),0)+IF(LEFT(V126,5)="COGS|",-N(P126),0)</f>
        <v/>
      </c>
      <c r="Y126" s="23">
        <f>IF(LEFT(T126,8)="Expense|",N(O126),0)+IF(LEFT(U126,8)="Expense|",-N(K126),0)+IF(LEFT(V126,8)="Expense|",-N(P126),0)</f>
        <v/>
      </c>
      <c r="Z126" s="23">
        <f>IF(ISNUMBER(MATCH(T126,{"Expense|employee","Expense|general_admin","Expense|marketing","Expense|utilities","Expense|other_operating"},0)),N(O126),0)+IF(ISNUMBER(MATCH(U126,{"Expense|employee","Expense|general_admin","Expense|marketing","Expense|utilities","Expense|other_operating"},0)),-N(K126),0)+IF(ISNUMBER(MATCH(V126,{"Expense|employee","Expense|general_admin","Expense|marketing","Expense|utilities","Expense|other_operating"},0)),-N(P126),0)</f>
        <v/>
      </c>
      <c r="AA126" s="23">
        <f>IF(T126="Liability|payable",-N(O126),0)+IF(U126="Liability|payable",N(K126),0)+IF(V126="Liability|payable",N(P126),0)</f>
        <v/>
      </c>
      <c r="AB126" s="23">
        <f>IF(T126="Liability|accrued",-N(O126),0)+IF(U126="Liability|accrued",N(K126),0)+IF(V126="Liability|accrued",N(P126),0)</f>
        <v/>
      </c>
      <c r="AC126" s="23">
        <f>IF(AND(N(O126)&lt;&gt;0,T126=""),1,0)+IF(AND(N(K126)&lt;&gt;0,U126=""),1,0)+IF(AND(N(P126)&lt;&gt;0,V126=""),1,0)</f>
        <v/>
      </c>
    </row>
    <row r="127">
      <c r="A127" s="19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20" t="n"/>
      <c r="K127" s="20" t="n"/>
      <c r="L127" s="14" t="n"/>
      <c r="M127" s="14" t="n"/>
      <c r="N127" s="14" t="n"/>
      <c r="O127" s="21">
        <f>ROUND(N(I127)*N(J127),2)</f>
        <v/>
      </c>
      <c r="P127" s="21">
        <f>O127-N(K127)</f>
        <v/>
      </c>
      <c r="Q127" s="16">
        <f>IF(F127&lt;&gt;"",F127&amp;"",IF(LEFT(E127,6)="Indire",INDEX('Chart of Accounts'!$A$5:$A$3000,MATCH("project_overhead",'Chart of Accounts'!$F$5:$F$3000,0)),IF(LEFT(E127,6)="Admini",INDEX('Chart of Accounts'!$A$5:$A$3000,MATCH("admin_salaries",'Chart of Accounts'!$F$5:$F$3000,0)),INDEX('Chart of Accounts'!$A$5:$A$3000,MATCH("direct_labour",'Chart of Accounts'!$F$5:$F$3000,0)))))</f>
        <v/>
      </c>
      <c r="R127" s="16">
        <f>IF(M127="",INDEX('Chart of Accounts'!$A$5:$A$3000,MATCH("bank",'Chart of Accounts'!$F$5:$F$3000,0)),M127&amp;"")</f>
        <v/>
      </c>
      <c r="S127" s="16">
        <f>IF(N127="",INDEX('Chart of Accounts'!$A$5:$A$3000,MATCH("accrued_payroll",'Chart of Accounts'!$F$5:$F$3000,0)),N127&amp;"")</f>
        <v/>
      </c>
      <c r="T127" s="23">
        <f>IFERROR(INDEX('Chart of Accounts'!$C$5:$C$3000,MATCH(Q127&amp;"",'Chart of Accounts'!$A$5:$A$3000,0))&amp;"|"&amp;INDEX('Chart of Accounts'!$D$5:$D$3000,MATCH(Q127&amp;"",'Chart of Accounts'!$A$5:$A$3000,0)),"")</f>
        <v/>
      </c>
      <c r="U127" s="23">
        <f>IFERROR(INDEX('Chart of Accounts'!$C$5:$C$3000,MATCH(R127&amp;"",'Chart of Accounts'!$A$5:$A$3000,0))&amp;"|"&amp;INDEX('Chart of Accounts'!$D$5:$D$3000,MATCH(R127&amp;"",'Chart of Accounts'!$A$5:$A$3000,0)),"")</f>
        <v/>
      </c>
      <c r="V127" s="23">
        <f>IFERROR(INDEX('Chart of Accounts'!$C$5:$C$3000,MATCH(S127&amp;"",'Chart of Accounts'!$A$5:$A$3000,0))&amp;"|"&amp;INDEX('Chart of Accounts'!$D$5:$D$3000,MATCH(S127&amp;"",'Chart of Accounts'!$A$5:$A$3000,0)),"")</f>
        <v/>
      </c>
      <c r="W127" s="23">
        <f>IF(LEFT(T127,8)="Revenue|",-N(O127),0)+IF(LEFT(U127,8)="Revenue|",N(K127),0)+IF(LEFT(V127,8)="Revenue|",N(P127),0)</f>
        <v/>
      </c>
      <c r="X127" s="23">
        <f>IF(LEFT(T127,5)="COGS|",N(O127),0)+IF(LEFT(U127,5)="COGS|",-N(K127),0)+IF(LEFT(V127,5)="COGS|",-N(P127),0)</f>
        <v/>
      </c>
      <c r="Y127" s="23">
        <f>IF(LEFT(T127,8)="Expense|",N(O127),0)+IF(LEFT(U127,8)="Expense|",-N(K127),0)+IF(LEFT(V127,8)="Expense|",-N(P127),0)</f>
        <v/>
      </c>
      <c r="Z127" s="23">
        <f>IF(ISNUMBER(MATCH(T127,{"Expense|employee","Expense|general_admin","Expense|marketing","Expense|utilities","Expense|other_operating"},0)),N(O127),0)+IF(ISNUMBER(MATCH(U127,{"Expense|employee","Expense|general_admin","Expense|marketing","Expense|utilities","Expense|other_operating"},0)),-N(K127),0)+IF(ISNUMBER(MATCH(V127,{"Expense|employee","Expense|general_admin","Expense|marketing","Expense|utilities","Expense|other_operating"},0)),-N(P127),0)</f>
        <v/>
      </c>
      <c r="AA127" s="23">
        <f>IF(T127="Liability|payable",-N(O127),0)+IF(U127="Liability|payable",N(K127),0)+IF(V127="Liability|payable",N(P127),0)</f>
        <v/>
      </c>
      <c r="AB127" s="23">
        <f>IF(T127="Liability|accrued",-N(O127),0)+IF(U127="Liability|accrued",N(K127),0)+IF(V127="Liability|accrued",N(P127),0)</f>
        <v/>
      </c>
      <c r="AC127" s="23">
        <f>IF(AND(N(O127)&lt;&gt;0,T127=""),1,0)+IF(AND(N(K127)&lt;&gt;0,U127=""),1,0)+IF(AND(N(P127)&lt;&gt;0,V127=""),1,0)</f>
        <v/>
      </c>
    </row>
    <row r="128">
      <c r="A128" s="19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20" t="n"/>
      <c r="K128" s="20" t="n"/>
      <c r="L128" s="14" t="n"/>
      <c r="M128" s="14" t="n"/>
      <c r="N128" s="14" t="n"/>
      <c r="O128" s="21">
        <f>ROUND(N(I128)*N(J128),2)</f>
        <v/>
      </c>
      <c r="P128" s="21">
        <f>O128-N(K128)</f>
        <v/>
      </c>
      <c r="Q128" s="16">
        <f>IF(F128&lt;&gt;"",F128&amp;"",IF(LEFT(E128,6)="Indire",INDEX('Chart of Accounts'!$A$5:$A$3000,MATCH("project_overhead",'Chart of Accounts'!$F$5:$F$3000,0)),IF(LEFT(E128,6)="Admini",INDEX('Chart of Accounts'!$A$5:$A$3000,MATCH("admin_salaries",'Chart of Accounts'!$F$5:$F$3000,0)),INDEX('Chart of Accounts'!$A$5:$A$3000,MATCH("direct_labour",'Chart of Accounts'!$F$5:$F$3000,0)))))</f>
        <v/>
      </c>
      <c r="R128" s="16">
        <f>IF(M128="",INDEX('Chart of Accounts'!$A$5:$A$3000,MATCH("bank",'Chart of Accounts'!$F$5:$F$3000,0)),M128&amp;"")</f>
        <v/>
      </c>
      <c r="S128" s="16">
        <f>IF(N128="",INDEX('Chart of Accounts'!$A$5:$A$3000,MATCH("accrued_payroll",'Chart of Accounts'!$F$5:$F$3000,0)),N128&amp;"")</f>
        <v/>
      </c>
      <c r="T128" s="23">
        <f>IFERROR(INDEX('Chart of Accounts'!$C$5:$C$3000,MATCH(Q128&amp;"",'Chart of Accounts'!$A$5:$A$3000,0))&amp;"|"&amp;INDEX('Chart of Accounts'!$D$5:$D$3000,MATCH(Q128&amp;"",'Chart of Accounts'!$A$5:$A$3000,0)),"")</f>
        <v/>
      </c>
      <c r="U128" s="23">
        <f>IFERROR(INDEX('Chart of Accounts'!$C$5:$C$3000,MATCH(R128&amp;"",'Chart of Accounts'!$A$5:$A$3000,0))&amp;"|"&amp;INDEX('Chart of Accounts'!$D$5:$D$3000,MATCH(R128&amp;"",'Chart of Accounts'!$A$5:$A$3000,0)),"")</f>
        <v/>
      </c>
      <c r="V128" s="23">
        <f>IFERROR(INDEX('Chart of Accounts'!$C$5:$C$3000,MATCH(S128&amp;"",'Chart of Accounts'!$A$5:$A$3000,0))&amp;"|"&amp;INDEX('Chart of Accounts'!$D$5:$D$3000,MATCH(S128&amp;"",'Chart of Accounts'!$A$5:$A$3000,0)),"")</f>
        <v/>
      </c>
      <c r="W128" s="23">
        <f>IF(LEFT(T128,8)="Revenue|",-N(O128),0)+IF(LEFT(U128,8)="Revenue|",N(K128),0)+IF(LEFT(V128,8)="Revenue|",N(P128),0)</f>
        <v/>
      </c>
      <c r="X128" s="23">
        <f>IF(LEFT(T128,5)="COGS|",N(O128),0)+IF(LEFT(U128,5)="COGS|",-N(K128),0)+IF(LEFT(V128,5)="COGS|",-N(P128),0)</f>
        <v/>
      </c>
      <c r="Y128" s="23">
        <f>IF(LEFT(T128,8)="Expense|",N(O128),0)+IF(LEFT(U128,8)="Expense|",-N(K128),0)+IF(LEFT(V128,8)="Expense|",-N(P128),0)</f>
        <v/>
      </c>
      <c r="Z128" s="23">
        <f>IF(ISNUMBER(MATCH(T128,{"Expense|employee","Expense|general_admin","Expense|marketing","Expense|utilities","Expense|other_operating"},0)),N(O128),0)+IF(ISNUMBER(MATCH(U128,{"Expense|employee","Expense|general_admin","Expense|marketing","Expense|utilities","Expense|other_operating"},0)),-N(K128),0)+IF(ISNUMBER(MATCH(V128,{"Expense|employee","Expense|general_admin","Expense|marketing","Expense|utilities","Expense|other_operating"},0)),-N(P128),0)</f>
        <v/>
      </c>
      <c r="AA128" s="23">
        <f>IF(T128="Liability|payable",-N(O128),0)+IF(U128="Liability|payable",N(K128),0)+IF(V128="Liability|payable",N(P128),0)</f>
        <v/>
      </c>
      <c r="AB128" s="23">
        <f>IF(T128="Liability|accrued",-N(O128),0)+IF(U128="Liability|accrued",N(K128),0)+IF(V128="Liability|accrued",N(P128),0)</f>
        <v/>
      </c>
      <c r="AC128" s="23">
        <f>IF(AND(N(O128)&lt;&gt;0,T128=""),1,0)+IF(AND(N(K128)&lt;&gt;0,U128=""),1,0)+IF(AND(N(P128)&lt;&gt;0,V128=""),1,0)</f>
        <v/>
      </c>
    </row>
    <row r="129">
      <c r="A129" s="19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20" t="n"/>
      <c r="K129" s="20" t="n"/>
      <c r="L129" s="14" t="n"/>
      <c r="M129" s="14" t="n"/>
      <c r="N129" s="14" t="n"/>
      <c r="O129" s="21">
        <f>ROUND(N(I129)*N(J129),2)</f>
        <v/>
      </c>
      <c r="P129" s="21">
        <f>O129-N(K129)</f>
        <v/>
      </c>
      <c r="Q129" s="16">
        <f>IF(F129&lt;&gt;"",F129&amp;"",IF(LEFT(E129,6)="Indire",INDEX('Chart of Accounts'!$A$5:$A$3000,MATCH("project_overhead",'Chart of Accounts'!$F$5:$F$3000,0)),IF(LEFT(E129,6)="Admini",INDEX('Chart of Accounts'!$A$5:$A$3000,MATCH("admin_salaries",'Chart of Accounts'!$F$5:$F$3000,0)),INDEX('Chart of Accounts'!$A$5:$A$3000,MATCH("direct_labour",'Chart of Accounts'!$F$5:$F$3000,0)))))</f>
        <v/>
      </c>
      <c r="R129" s="16">
        <f>IF(M129="",INDEX('Chart of Accounts'!$A$5:$A$3000,MATCH("bank",'Chart of Accounts'!$F$5:$F$3000,0)),M129&amp;"")</f>
        <v/>
      </c>
      <c r="S129" s="16">
        <f>IF(N129="",INDEX('Chart of Accounts'!$A$5:$A$3000,MATCH("accrued_payroll",'Chart of Accounts'!$F$5:$F$3000,0)),N129&amp;"")</f>
        <v/>
      </c>
      <c r="T129" s="23">
        <f>IFERROR(INDEX('Chart of Accounts'!$C$5:$C$3000,MATCH(Q129&amp;"",'Chart of Accounts'!$A$5:$A$3000,0))&amp;"|"&amp;INDEX('Chart of Accounts'!$D$5:$D$3000,MATCH(Q129&amp;"",'Chart of Accounts'!$A$5:$A$3000,0)),"")</f>
        <v/>
      </c>
      <c r="U129" s="23">
        <f>IFERROR(INDEX('Chart of Accounts'!$C$5:$C$3000,MATCH(R129&amp;"",'Chart of Accounts'!$A$5:$A$3000,0))&amp;"|"&amp;INDEX('Chart of Accounts'!$D$5:$D$3000,MATCH(R129&amp;"",'Chart of Accounts'!$A$5:$A$3000,0)),"")</f>
        <v/>
      </c>
      <c r="V129" s="23">
        <f>IFERROR(INDEX('Chart of Accounts'!$C$5:$C$3000,MATCH(S129&amp;"",'Chart of Accounts'!$A$5:$A$3000,0))&amp;"|"&amp;INDEX('Chart of Accounts'!$D$5:$D$3000,MATCH(S129&amp;"",'Chart of Accounts'!$A$5:$A$3000,0)),"")</f>
        <v/>
      </c>
      <c r="W129" s="23">
        <f>IF(LEFT(T129,8)="Revenue|",-N(O129),0)+IF(LEFT(U129,8)="Revenue|",N(K129),0)+IF(LEFT(V129,8)="Revenue|",N(P129),0)</f>
        <v/>
      </c>
      <c r="X129" s="23">
        <f>IF(LEFT(T129,5)="COGS|",N(O129),0)+IF(LEFT(U129,5)="COGS|",-N(K129),0)+IF(LEFT(V129,5)="COGS|",-N(P129),0)</f>
        <v/>
      </c>
      <c r="Y129" s="23">
        <f>IF(LEFT(T129,8)="Expense|",N(O129),0)+IF(LEFT(U129,8)="Expense|",-N(K129),0)+IF(LEFT(V129,8)="Expense|",-N(P129),0)</f>
        <v/>
      </c>
      <c r="Z129" s="23">
        <f>IF(ISNUMBER(MATCH(T129,{"Expense|employee","Expense|general_admin","Expense|marketing","Expense|utilities","Expense|other_operating"},0)),N(O129),0)+IF(ISNUMBER(MATCH(U129,{"Expense|employee","Expense|general_admin","Expense|marketing","Expense|utilities","Expense|other_operating"},0)),-N(K129),0)+IF(ISNUMBER(MATCH(V129,{"Expense|employee","Expense|general_admin","Expense|marketing","Expense|utilities","Expense|other_operating"},0)),-N(P129),0)</f>
        <v/>
      </c>
      <c r="AA129" s="23">
        <f>IF(T129="Liability|payable",-N(O129),0)+IF(U129="Liability|payable",N(K129),0)+IF(V129="Liability|payable",N(P129),0)</f>
        <v/>
      </c>
      <c r="AB129" s="23">
        <f>IF(T129="Liability|accrued",-N(O129),0)+IF(U129="Liability|accrued",N(K129),0)+IF(V129="Liability|accrued",N(P129),0)</f>
        <v/>
      </c>
      <c r="AC129" s="23">
        <f>IF(AND(N(O129)&lt;&gt;0,T129=""),1,0)+IF(AND(N(K129)&lt;&gt;0,U129=""),1,0)+IF(AND(N(P129)&lt;&gt;0,V129=""),1,0)</f>
        <v/>
      </c>
    </row>
    <row r="130">
      <c r="A130" s="19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20" t="n"/>
      <c r="K130" s="20" t="n"/>
      <c r="L130" s="14" t="n"/>
      <c r="M130" s="14" t="n"/>
      <c r="N130" s="14" t="n"/>
      <c r="O130" s="21">
        <f>ROUND(N(I130)*N(J130),2)</f>
        <v/>
      </c>
      <c r="P130" s="21">
        <f>O130-N(K130)</f>
        <v/>
      </c>
      <c r="Q130" s="16">
        <f>IF(F130&lt;&gt;"",F130&amp;"",IF(LEFT(E130,6)="Indire",INDEX('Chart of Accounts'!$A$5:$A$3000,MATCH("project_overhead",'Chart of Accounts'!$F$5:$F$3000,0)),IF(LEFT(E130,6)="Admini",INDEX('Chart of Accounts'!$A$5:$A$3000,MATCH("admin_salaries",'Chart of Accounts'!$F$5:$F$3000,0)),INDEX('Chart of Accounts'!$A$5:$A$3000,MATCH("direct_labour",'Chart of Accounts'!$F$5:$F$3000,0)))))</f>
        <v/>
      </c>
      <c r="R130" s="16">
        <f>IF(M130="",INDEX('Chart of Accounts'!$A$5:$A$3000,MATCH("bank",'Chart of Accounts'!$F$5:$F$3000,0)),M130&amp;"")</f>
        <v/>
      </c>
      <c r="S130" s="16">
        <f>IF(N130="",INDEX('Chart of Accounts'!$A$5:$A$3000,MATCH("accrued_payroll",'Chart of Accounts'!$F$5:$F$3000,0)),N130&amp;"")</f>
        <v/>
      </c>
      <c r="T130" s="23">
        <f>IFERROR(INDEX('Chart of Accounts'!$C$5:$C$3000,MATCH(Q130&amp;"",'Chart of Accounts'!$A$5:$A$3000,0))&amp;"|"&amp;INDEX('Chart of Accounts'!$D$5:$D$3000,MATCH(Q130&amp;"",'Chart of Accounts'!$A$5:$A$3000,0)),"")</f>
        <v/>
      </c>
      <c r="U130" s="23">
        <f>IFERROR(INDEX('Chart of Accounts'!$C$5:$C$3000,MATCH(R130&amp;"",'Chart of Accounts'!$A$5:$A$3000,0))&amp;"|"&amp;INDEX('Chart of Accounts'!$D$5:$D$3000,MATCH(R130&amp;"",'Chart of Accounts'!$A$5:$A$3000,0)),"")</f>
        <v/>
      </c>
      <c r="V130" s="23">
        <f>IFERROR(INDEX('Chart of Accounts'!$C$5:$C$3000,MATCH(S130&amp;"",'Chart of Accounts'!$A$5:$A$3000,0))&amp;"|"&amp;INDEX('Chart of Accounts'!$D$5:$D$3000,MATCH(S130&amp;"",'Chart of Accounts'!$A$5:$A$3000,0)),"")</f>
        <v/>
      </c>
      <c r="W130" s="23">
        <f>IF(LEFT(T130,8)="Revenue|",-N(O130),0)+IF(LEFT(U130,8)="Revenue|",N(K130),0)+IF(LEFT(V130,8)="Revenue|",N(P130),0)</f>
        <v/>
      </c>
      <c r="X130" s="23">
        <f>IF(LEFT(T130,5)="COGS|",N(O130),0)+IF(LEFT(U130,5)="COGS|",-N(K130),0)+IF(LEFT(V130,5)="COGS|",-N(P130),0)</f>
        <v/>
      </c>
      <c r="Y130" s="23">
        <f>IF(LEFT(T130,8)="Expense|",N(O130),0)+IF(LEFT(U130,8)="Expense|",-N(K130),0)+IF(LEFT(V130,8)="Expense|",-N(P130),0)</f>
        <v/>
      </c>
      <c r="Z130" s="23">
        <f>IF(ISNUMBER(MATCH(T130,{"Expense|employee","Expense|general_admin","Expense|marketing","Expense|utilities","Expense|other_operating"},0)),N(O130),0)+IF(ISNUMBER(MATCH(U130,{"Expense|employee","Expense|general_admin","Expense|marketing","Expense|utilities","Expense|other_operating"},0)),-N(K130),0)+IF(ISNUMBER(MATCH(V130,{"Expense|employee","Expense|general_admin","Expense|marketing","Expense|utilities","Expense|other_operating"},0)),-N(P130),0)</f>
        <v/>
      </c>
      <c r="AA130" s="23">
        <f>IF(T130="Liability|payable",-N(O130),0)+IF(U130="Liability|payable",N(K130),0)+IF(V130="Liability|payable",N(P130),0)</f>
        <v/>
      </c>
      <c r="AB130" s="23">
        <f>IF(T130="Liability|accrued",-N(O130),0)+IF(U130="Liability|accrued",N(K130),0)+IF(V130="Liability|accrued",N(P130),0)</f>
        <v/>
      </c>
      <c r="AC130" s="23">
        <f>IF(AND(N(O130)&lt;&gt;0,T130=""),1,0)+IF(AND(N(K130)&lt;&gt;0,U130=""),1,0)+IF(AND(N(P130)&lt;&gt;0,V130=""),1,0)</f>
        <v/>
      </c>
    </row>
    <row r="131">
      <c r="A131" s="19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20" t="n"/>
      <c r="K131" s="20" t="n"/>
      <c r="L131" s="14" t="n"/>
      <c r="M131" s="14" t="n"/>
      <c r="N131" s="14" t="n"/>
      <c r="O131" s="21">
        <f>ROUND(N(I131)*N(J131),2)</f>
        <v/>
      </c>
      <c r="P131" s="21">
        <f>O131-N(K131)</f>
        <v/>
      </c>
      <c r="Q131" s="16">
        <f>IF(F131&lt;&gt;"",F131&amp;"",IF(LEFT(E131,6)="Indire",INDEX('Chart of Accounts'!$A$5:$A$3000,MATCH("project_overhead",'Chart of Accounts'!$F$5:$F$3000,0)),IF(LEFT(E131,6)="Admini",INDEX('Chart of Accounts'!$A$5:$A$3000,MATCH("admin_salaries",'Chart of Accounts'!$F$5:$F$3000,0)),INDEX('Chart of Accounts'!$A$5:$A$3000,MATCH("direct_labour",'Chart of Accounts'!$F$5:$F$3000,0)))))</f>
        <v/>
      </c>
      <c r="R131" s="16">
        <f>IF(M131="",INDEX('Chart of Accounts'!$A$5:$A$3000,MATCH("bank",'Chart of Accounts'!$F$5:$F$3000,0)),M131&amp;"")</f>
        <v/>
      </c>
      <c r="S131" s="16">
        <f>IF(N131="",INDEX('Chart of Accounts'!$A$5:$A$3000,MATCH("accrued_payroll",'Chart of Accounts'!$F$5:$F$3000,0)),N131&amp;"")</f>
        <v/>
      </c>
      <c r="T131" s="23">
        <f>IFERROR(INDEX('Chart of Accounts'!$C$5:$C$3000,MATCH(Q131&amp;"",'Chart of Accounts'!$A$5:$A$3000,0))&amp;"|"&amp;INDEX('Chart of Accounts'!$D$5:$D$3000,MATCH(Q131&amp;"",'Chart of Accounts'!$A$5:$A$3000,0)),"")</f>
        <v/>
      </c>
      <c r="U131" s="23">
        <f>IFERROR(INDEX('Chart of Accounts'!$C$5:$C$3000,MATCH(R131&amp;"",'Chart of Accounts'!$A$5:$A$3000,0))&amp;"|"&amp;INDEX('Chart of Accounts'!$D$5:$D$3000,MATCH(R131&amp;"",'Chart of Accounts'!$A$5:$A$3000,0)),"")</f>
        <v/>
      </c>
      <c r="V131" s="23">
        <f>IFERROR(INDEX('Chart of Accounts'!$C$5:$C$3000,MATCH(S131&amp;"",'Chart of Accounts'!$A$5:$A$3000,0))&amp;"|"&amp;INDEX('Chart of Accounts'!$D$5:$D$3000,MATCH(S131&amp;"",'Chart of Accounts'!$A$5:$A$3000,0)),"")</f>
        <v/>
      </c>
      <c r="W131" s="23">
        <f>IF(LEFT(T131,8)="Revenue|",-N(O131),0)+IF(LEFT(U131,8)="Revenue|",N(K131),0)+IF(LEFT(V131,8)="Revenue|",N(P131),0)</f>
        <v/>
      </c>
      <c r="X131" s="23">
        <f>IF(LEFT(T131,5)="COGS|",N(O131),0)+IF(LEFT(U131,5)="COGS|",-N(K131),0)+IF(LEFT(V131,5)="COGS|",-N(P131),0)</f>
        <v/>
      </c>
      <c r="Y131" s="23">
        <f>IF(LEFT(T131,8)="Expense|",N(O131),0)+IF(LEFT(U131,8)="Expense|",-N(K131),0)+IF(LEFT(V131,8)="Expense|",-N(P131),0)</f>
        <v/>
      </c>
      <c r="Z131" s="23">
        <f>IF(ISNUMBER(MATCH(T131,{"Expense|employee","Expense|general_admin","Expense|marketing","Expense|utilities","Expense|other_operating"},0)),N(O131),0)+IF(ISNUMBER(MATCH(U131,{"Expense|employee","Expense|general_admin","Expense|marketing","Expense|utilities","Expense|other_operating"},0)),-N(K131),0)+IF(ISNUMBER(MATCH(V131,{"Expense|employee","Expense|general_admin","Expense|marketing","Expense|utilities","Expense|other_operating"},0)),-N(P131),0)</f>
        <v/>
      </c>
      <c r="AA131" s="23">
        <f>IF(T131="Liability|payable",-N(O131),0)+IF(U131="Liability|payable",N(K131),0)+IF(V131="Liability|payable",N(P131),0)</f>
        <v/>
      </c>
      <c r="AB131" s="23">
        <f>IF(T131="Liability|accrued",-N(O131),0)+IF(U131="Liability|accrued",N(K131),0)+IF(V131="Liability|accrued",N(P131),0)</f>
        <v/>
      </c>
      <c r="AC131" s="23">
        <f>IF(AND(N(O131)&lt;&gt;0,T131=""),1,0)+IF(AND(N(K131)&lt;&gt;0,U131=""),1,0)+IF(AND(N(P131)&lt;&gt;0,V131=""),1,0)</f>
        <v/>
      </c>
    </row>
    <row r="132">
      <c r="A132" s="19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20" t="n"/>
      <c r="K132" s="20" t="n"/>
      <c r="L132" s="14" t="n"/>
      <c r="M132" s="14" t="n"/>
      <c r="N132" s="14" t="n"/>
      <c r="O132" s="21">
        <f>ROUND(N(I132)*N(J132),2)</f>
        <v/>
      </c>
      <c r="P132" s="21">
        <f>O132-N(K132)</f>
        <v/>
      </c>
      <c r="Q132" s="16">
        <f>IF(F132&lt;&gt;"",F132&amp;"",IF(LEFT(E132,6)="Indire",INDEX('Chart of Accounts'!$A$5:$A$3000,MATCH("project_overhead",'Chart of Accounts'!$F$5:$F$3000,0)),IF(LEFT(E132,6)="Admini",INDEX('Chart of Accounts'!$A$5:$A$3000,MATCH("admin_salaries",'Chart of Accounts'!$F$5:$F$3000,0)),INDEX('Chart of Accounts'!$A$5:$A$3000,MATCH("direct_labour",'Chart of Accounts'!$F$5:$F$3000,0)))))</f>
        <v/>
      </c>
      <c r="R132" s="16">
        <f>IF(M132="",INDEX('Chart of Accounts'!$A$5:$A$3000,MATCH("bank",'Chart of Accounts'!$F$5:$F$3000,0)),M132&amp;"")</f>
        <v/>
      </c>
      <c r="S132" s="16">
        <f>IF(N132="",INDEX('Chart of Accounts'!$A$5:$A$3000,MATCH("accrued_payroll",'Chart of Accounts'!$F$5:$F$3000,0)),N132&amp;"")</f>
        <v/>
      </c>
      <c r="T132" s="23">
        <f>IFERROR(INDEX('Chart of Accounts'!$C$5:$C$3000,MATCH(Q132&amp;"",'Chart of Accounts'!$A$5:$A$3000,0))&amp;"|"&amp;INDEX('Chart of Accounts'!$D$5:$D$3000,MATCH(Q132&amp;"",'Chart of Accounts'!$A$5:$A$3000,0)),"")</f>
        <v/>
      </c>
      <c r="U132" s="23">
        <f>IFERROR(INDEX('Chart of Accounts'!$C$5:$C$3000,MATCH(R132&amp;"",'Chart of Accounts'!$A$5:$A$3000,0))&amp;"|"&amp;INDEX('Chart of Accounts'!$D$5:$D$3000,MATCH(R132&amp;"",'Chart of Accounts'!$A$5:$A$3000,0)),"")</f>
        <v/>
      </c>
      <c r="V132" s="23">
        <f>IFERROR(INDEX('Chart of Accounts'!$C$5:$C$3000,MATCH(S132&amp;"",'Chart of Accounts'!$A$5:$A$3000,0))&amp;"|"&amp;INDEX('Chart of Accounts'!$D$5:$D$3000,MATCH(S132&amp;"",'Chart of Accounts'!$A$5:$A$3000,0)),"")</f>
        <v/>
      </c>
      <c r="W132" s="23">
        <f>IF(LEFT(T132,8)="Revenue|",-N(O132),0)+IF(LEFT(U132,8)="Revenue|",N(K132),0)+IF(LEFT(V132,8)="Revenue|",N(P132),0)</f>
        <v/>
      </c>
      <c r="X132" s="23">
        <f>IF(LEFT(T132,5)="COGS|",N(O132),0)+IF(LEFT(U132,5)="COGS|",-N(K132),0)+IF(LEFT(V132,5)="COGS|",-N(P132),0)</f>
        <v/>
      </c>
      <c r="Y132" s="23">
        <f>IF(LEFT(T132,8)="Expense|",N(O132),0)+IF(LEFT(U132,8)="Expense|",-N(K132),0)+IF(LEFT(V132,8)="Expense|",-N(P132),0)</f>
        <v/>
      </c>
      <c r="Z132" s="23">
        <f>IF(ISNUMBER(MATCH(T132,{"Expense|employee","Expense|general_admin","Expense|marketing","Expense|utilities","Expense|other_operating"},0)),N(O132),0)+IF(ISNUMBER(MATCH(U132,{"Expense|employee","Expense|general_admin","Expense|marketing","Expense|utilities","Expense|other_operating"},0)),-N(K132),0)+IF(ISNUMBER(MATCH(V132,{"Expense|employee","Expense|general_admin","Expense|marketing","Expense|utilities","Expense|other_operating"},0)),-N(P132),0)</f>
        <v/>
      </c>
      <c r="AA132" s="23">
        <f>IF(T132="Liability|payable",-N(O132),0)+IF(U132="Liability|payable",N(K132),0)+IF(V132="Liability|payable",N(P132),0)</f>
        <v/>
      </c>
      <c r="AB132" s="23">
        <f>IF(T132="Liability|accrued",-N(O132),0)+IF(U132="Liability|accrued",N(K132),0)+IF(V132="Liability|accrued",N(P132),0)</f>
        <v/>
      </c>
      <c r="AC132" s="23">
        <f>IF(AND(N(O132)&lt;&gt;0,T132=""),1,0)+IF(AND(N(K132)&lt;&gt;0,U132=""),1,0)+IF(AND(N(P132)&lt;&gt;0,V132=""),1,0)</f>
        <v/>
      </c>
    </row>
    <row r="133">
      <c r="A133" s="19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20" t="n"/>
      <c r="K133" s="20" t="n"/>
      <c r="L133" s="14" t="n"/>
      <c r="M133" s="14" t="n"/>
      <c r="N133" s="14" t="n"/>
      <c r="O133" s="21">
        <f>ROUND(N(I133)*N(J133),2)</f>
        <v/>
      </c>
      <c r="P133" s="21">
        <f>O133-N(K133)</f>
        <v/>
      </c>
      <c r="Q133" s="16">
        <f>IF(F133&lt;&gt;"",F133&amp;"",IF(LEFT(E133,6)="Indire",INDEX('Chart of Accounts'!$A$5:$A$3000,MATCH("project_overhead",'Chart of Accounts'!$F$5:$F$3000,0)),IF(LEFT(E133,6)="Admini",INDEX('Chart of Accounts'!$A$5:$A$3000,MATCH("admin_salaries",'Chart of Accounts'!$F$5:$F$3000,0)),INDEX('Chart of Accounts'!$A$5:$A$3000,MATCH("direct_labour",'Chart of Accounts'!$F$5:$F$3000,0)))))</f>
        <v/>
      </c>
      <c r="R133" s="16">
        <f>IF(M133="",INDEX('Chart of Accounts'!$A$5:$A$3000,MATCH("bank",'Chart of Accounts'!$F$5:$F$3000,0)),M133&amp;"")</f>
        <v/>
      </c>
      <c r="S133" s="16">
        <f>IF(N133="",INDEX('Chart of Accounts'!$A$5:$A$3000,MATCH("accrued_payroll",'Chart of Accounts'!$F$5:$F$3000,0)),N133&amp;"")</f>
        <v/>
      </c>
      <c r="T133" s="23">
        <f>IFERROR(INDEX('Chart of Accounts'!$C$5:$C$3000,MATCH(Q133&amp;"",'Chart of Accounts'!$A$5:$A$3000,0))&amp;"|"&amp;INDEX('Chart of Accounts'!$D$5:$D$3000,MATCH(Q133&amp;"",'Chart of Accounts'!$A$5:$A$3000,0)),"")</f>
        <v/>
      </c>
      <c r="U133" s="23">
        <f>IFERROR(INDEX('Chart of Accounts'!$C$5:$C$3000,MATCH(R133&amp;"",'Chart of Accounts'!$A$5:$A$3000,0))&amp;"|"&amp;INDEX('Chart of Accounts'!$D$5:$D$3000,MATCH(R133&amp;"",'Chart of Accounts'!$A$5:$A$3000,0)),"")</f>
        <v/>
      </c>
      <c r="V133" s="23">
        <f>IFERROR(INDEX('Chart of Accounts'!$C$5:$C$3000,MATCH(S133&amp;"",'Chart of Accounts'!$A$5:$A$3000,0))&amp;"|"&amp;INDEX('Chart of Accounts'!$D$5:$D$3000,MATCH(S133&amp;"",'Chart of Accounts'!$A$5:$A$3000,0)),"")</f>
        <v/>
      </c>
      <c r="W133" s="23">
        <f>IF(LEFT(T133,8)="Revenue|",-N(O133),0)+IF(LEFT(U133,8)="Revenue|",N(K133),0)+IF(LEFT(V133,8)="Revenue|",N(P133),0)</f>
        <v/>
      </c>
      <c r="X133" s="23">
        <f>IF(LEFT(T133,5)="COGS|",N(O133),0)+IF(LEFT(U133,5)="COGS|",-N(K133),0)+IF(LEFT(V133,5)="COGS|",-N(P133),0)</f>
        <v/>
      </c>
      <c r="Y133" s="23">
        <f>IF(LEFT(T133,8)="Expense|",N(O133),0)+IF(LEFT(U133,8)="Expense|",-N(K133),0)+IF(LEFT(V133,8)="Expense|",-N(P133),0)</f>
        <v/>
      </c>
      <c r="Z133" s="23">
        <f>IF(ISNUMBER(MATCH(T133,{"Expense|employee","Expense|general_admin","Expense|marketing","Expense|utilities","Expense|other_operating"},0)),N(O133),0)+IF(ISNUMBER(MATCH(U133,{"Expense|employee","Expense|general_admin","Expense|marketing","Expense|utilities","Expense|other_operating"},0)),-N(K133),0)+IF(ISNUMBER(MATCH(V133,{"Expense|employee","Expense|general_admin","Expense|marketing","Expense|utilities","Expense|other_operating"},0)),-N(P133),0)</f>
        <v/>
      </c>
      <c r="AA133" s="23">
        <f>IF(T133="Liability|payable",-N(O133),0)+IF(U133="Liability|payable",N(K133),0)+IF(V133="Liability|payable",N(P133),0)</f>
        <v/>
      </c>
      <c r="AB133" s="23">
        <f>IF(T133="Liability|accrued",-N(O133),0)+IF(U133="Liability|accrued",N(K133),0)+IF(V133="Liability|accrued",N(P133),0)</f>
        <v/>
      </c>
      <c r="AC133" s="23">
        <f>IF(AND(N(O133)&lt;&gt;0,T133=""),1,0)+IF(AND(N(K133)&lt;&gt;0,U133=""),1,0)+IF(AND(N(P133)&lt;&gt;0,V133=""),1,0)</f>
        <v/>
      </c>
    </row>
    <row r="134">
      <c r="A134" s="19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20" t="n"/>
      <c r="K134" s="20" t="n"/>
      <c r="L134" s="14" t="n"/>
      <c r="M134" s="14" t="n"/>
      <c r="N134" s="14" t="n"/>
      <c r="O134" s="21">
        <f>ROUND(N(I134)*N(J134),2)</f>
        <v/>
      </c>
      <c r="P134" s="21">
        <f>O134-N(K134)</f>
        <v/>
      </c>
      <c r="Q134" s="16">
        <f>IF(F134&lt;&gt;"",F134&amp;"",IF(LEFT(E134,6)="Indire",INDEX('Chart of Accounts'!$A$5:$A$3000,MATCH("project_overhead",'Chart of Accounts'!$F$5:$F$3000,0)),IF(LEFT(E134,6)="Admini",INDEX('Chart of Accounts'!$A$5:$A$3000,MATCH("admin_salaries",'Chart of Accounts'!$F$5:$F$3000,0)),INDEX('Chart of Accounts'!$A$5:$A$3000,MATCH("direct_labour",'Chart of Accounts'!$F$5:$F$3000,0)))))</f>
        <v/>
      </c>
      <c r="R134" s="16">
        <f>IF(M134="",INDEX('Chart of Accounts'!$A$5:$A$3000,MATCH("bank",'Chart of Accounts'!$F$5:$F$3000,0)),M134&amp;"")</f>
        <v/>
      </c>
      <c r="S134" s="16">
        <f>IF(N134="",INDEX('Chart of Accounts'!$A$5:$A$3000,MATCH("accrued_payroll",'Chart of Accounts'!$F$5:$F$3000,0)),N134&amp;"")</f>
        <v/>
      </c>
      <c r="T134" s="23">
        <f>IFERROR(INDEX('Chart of Accounts'!$C$5:$C$3000,MATCH(Q134&amp;"",'Chart of Accounts'!$A$5:$A$3000,0))&amp;"|"&amp;INDEX('Chart of Accounts'!$D$5:$D$3000,MATCH(Q134&amp;"",'Chart of Accounts'!$A$5:$A$3000,0)),"")</f>
        <v/>
      </c>
      <c r="U134" s="23">
        <f>IFERROR(INDEX('Chart of Accounts'!$C$5:$C$3000,MATCH(R134&amp;"",'Chart of Accounts'!$A$5:$A$3000,0))&amp;"|"&amp;INDEX('Chart of Accounts'!$D$5:$D$3000,MATCH(R134&amp;"",'Chart of Accounts'!$A$5:$A$3000,0)),"")</f>
        <v/>
      </c>
      <c r="V134" s="23">
        <f>IFERROR(INDEX('Chart of Accounts'!$C$5:$C$3000,MATCH(S134&amp;"",'Chart of Accounts'!$A$5:$A$3000,0))&amp;"|"&amp;INDEX('Chart of Accounts'!$D$5:$D$3000,MATCH(S134&amp;"",'Chart of Accounts'!$A$5:$A$3000,0)),"")</f>
        <v/>
      </c>
      <c r="W134" s="23">
        <f>IF(LEFT(T134,8)="Revenue|",-N(O134),0)+IF(LEFT(U134,8)="Revenue|",N(K134),0)+IF(LEFT(V134,8)="Revenue|",N(P134),0)</f>
        <v/>
      </c>
      <c r="X134" s="23">
        <f>IF(LEFT(T134,5)="COGS|",N(O134),0)+IF(LEFT(U134,5)="COGS|",-N(K134),0)+IF(LEFT(V134,5)="COGS|",-N(P134),0)</f>
        <v/>
      </c>
      <c r="Y134" s="23">
        <f>IF(LEFT(T134,8)="Expense|",N(O134),0)+IF(LEFT(U134,8)="Expense|",-N(K134),0)+IF(LEFT(V134,8)="Expense|",-N(P134),0)</f>
        <v/>
      </c>
      <c r="Z134" s="23">
        <f>IF(ISNUMBER(MATCH(T134,{"Expense|employee","Expense|general_admin","Expense|marketing","Expense|utilities","Expense|other_operating"},0)),N(O134),0)+IF(ISNUMBER(MATCH(U134,{"Expense|employee","Expense|general_admin","Expense|marketing","Expense|utilities","Expense|other_operating"},0)),-N(K134),0)+IF(ISNUMBER(MATCH(V134,{"Expense|employee","Expense|general_admin","Expense|marketing","Expense|utilities","Expense|other_operating"},0)),-N(P134),0)</f>
        <v/>
      </c>
      <c r="AA134" s="23">
        <f>IF(T134="Liability|payable",-N(O134),0)+IF(U134="Liability|payable",N(K134),0)+IF(V134="Liability|payable",N(P134),0)</f>
        <v/>
      </c>
      <c r="AB134" s="23">
        <f>IF(T134="Liability|accrued",-N(O134),0)+IF(U134="Liability|accrued",N(K134),0)+IF(V134="Liability|accrued",N(P134),0)</f>
        <v/>
      </c>
      <c r="AC134" s="23">
        <f>IF(AND(N(O134)&lt;&gt;0,T134=""),1,0)+IF(AND(N(K134)&lt;&gt;0,U134=""),1,0)+IF(AND(N(P134)&lt;&gt;0,V134=""),1,0)</f>
        <v/>
      </c>
    </row>
    <row r="135">
      <c r="A135" s="19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20" t="n"/>
      <c r="K135" s="20" t="n"/>
      <c r="L135" s="14" t="n"/>
      <c r="M135" s="14" t="n"/>
      <c r="N135" s="14" t="n"/>
      <c r="O135" s="21">
        <f>ROUND(N(I135)*N(J135),2)</f>
        <v/>
      </c>
      <c r="P135" s="21">
        <f>O135-N(K135)</f>
        <v/>
      </c>
      <c r="Q135" s="16">
        <f>IF(F135&lt;&gt;"",F135&amp;"",IF(LEFT(E135,6)="Indire",INDEX('Chart of Accounts'!$A$5:$A$3000,MATCH("project_overhead",'Chart of Accounts'!$F$5:$F$3000,0)),IF(LEFT(E135,6)="Admini",INDEX('Chart of Accounts'!$A$5:$A$3000,MATCH("admin_salaries",'Chart of Accounts'!$F$5:$F$3000,0)),INDEX('Chart of Accounts'!$A$5:$A$3000,MATCH("direct_labour",'Chart of Accounts'!$F$5:$F$3000,0)))))</f>
        <v/>
      </c>
      <c r="R135" s="16">
        <f>IF(M135="",INDEX('Chart of Accounts'!$A$5:$A$3000,MATCH("bank",'Chart of Accounts'!$F$5:$F$3000,0)),M135&amp;"")</f>
        <v/>
      </c>
      <c r="S135" s="16">
        <f>IF(N135="",INDEX('Chart of Accounts'!$A$5:$A$3000,MATCH("accrued_payroll",'Chart of Accounts'!$F$5:$F$3000,0)),N135&amp;"")</f>
        <v/>
      </c>
      <c r="T135" s="23">
        <f>IFERROR(INDEX('Chart of Accounts'!$C$5:$C$3000,MATCH(Q135&amp;"",'Chart of Accounts'!$A$5:$A$3000,0))&amp;"|"&amp;INDEX('Chart of Accounts'!$D$5:$D$3000,MATCH(Q135&amp;"",'Chart of Accounts'!$A$5:$A$3000,0)),"")</f>
        <v/>
      </c>
      <c r="U135" s="23">
        <f>IFERROR(INDEX('Chart of Accounts'!$C$5:$C$3000,MATCH(R135&amp;"",'Chart of Accounts'!$A$5:$A$3000,0))&amp;"|"&amp;INDEX('Chart of Accounts'!$D$5:$D$3000,MATCH(R135&amp;"",'Chart of Accounts'!$A$5:$A$3000,0)),"")</f>
        <v/>
      </c>
      <c r="V135" s="23">
        <f>IFERROR(INDEX('Chart of Accounts'!$C$5:$C$3000,MATCH(S135&amp;"",'Chart of Accounts'!$A$5:$A$3000,0))&amp;"|"&amp;INDEX('Chart of Accounts'!$D$5:$D$3000,MATCH(S135&amp;"",'Chart of Accounts'!$A$5:$A$3000,0)),"")</f>
        <v/>
      </c>
      <c r="W135" s="23">
        <f>IF(LEFT(T135,8)="Revenue|",-N(O135),0)+IF(LEFT(U135,8)="Revenue|",N(K135),0)+IF(LEFT(V135,8)="Revenue|",N(P135),0)</f>
        <v/>
      </c>
      <c r="X135" s="23">
        <f>IF(LEFT(T135,5)="COGS|",N(O135),0)+IF(LEFT(U135,5)="COGS|",-N(K135),0)+IF(LEFT(V135,5)="COGS|",-N(P135),0)</f>
        <v/>
      </c>
      <c r="Y135" s="23">
        <f>IF(LEFT(T135,8)="Expense|",N(O135),0)+IF(LEFT(U135,8)="Expense|",-N(K135),0)+IF(LEFT(V135,8)="Expense|",-N(P135),0)</f>
        <v/>
      </c>
      <c r="Z135" s="23">
        <f>IF(ISNUMBER(MATCH(T135,{"Expense|employee","Expense|general_admin","Expense|marketing","Expense|utilities","Expense|other_operating"},0)),N(O135),0)+IF(ISNUMBER(MATCH(U135,{"Expense|employee","Expense|general_admin","Expense|marketing","Expense|utilities","Expense|other_operating"},0)),-N(K135),0)+IF(ISNUMBER(MATCH(V135,{"Expense|employee","Expense|general_admin","Expense|marketing","Expense|utilities","Expense|other_operating"},0)),-N(P135),0)</f>
        <v/>
      </c>
      <c r="AA135" s="23">
        <f>IF(T135="Liability|payable",-N(O135),0)+IF(U135="Liability|payable",N(K135),0)+IF(V135="Liability|payable",N(P135),0)</f>
        <v/>
      </c>
      <c r="AB135" s="23">
        <f>IF(T135="Liability|accrued",-N(O135),0)+IF(U135="Liability|accrued",N(K135),0)+IF(V135="Liability|accrued",N(P135),0)</f>
        <v/>
      </c>
      <c r="AC135" s="23">
        <f>IF(AND(N(O135)&lt;&gt;0,T135=""),1,0)+IF(AND(N(K135)&lt;&gt;0,U135=""),1,0)+IF(AND(N(P135)&lt;&gt;0,V135=""),1,0)</f>
        <v/>
      </c>
    </row>
    <row r="136">
      <c r="A136" s="19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20" t="n"/>
      <c r="K136" s="20" t="n"/>
      <c r="L136" s="14" t="n"/>
      <c r="M136" s="14" t="n"/>
      <c r="N136" s="14" t="n"/>
      <c r="O136" s="21">
        <f>ROUND(N(I136)*N(J136),2)</f>
        <v/>
      </c>
      <c r="P136" s="21">
        <f>O136-N(K136)</f>
        <v/>
      </c>
      <c r="Q136" s="16">
        <f>IF(F136&lt;&gt;"",F136&amp;"",IF(LEFT(E136,6)="Indire",INDEX('Chart of Accounts'!$A$5:$A$3000,MATCH("project_overhead",'Chart of Accounts'!$F$5:$F$3000,0)),IF(LEFT(E136,6)="Admini",INDEX('Chart of Accounts'!$A$5:$A$3000,MATCH("admin_salaries",'Chart of Accounts'!$F$5:$F$3000,0)),INDEX('Chart of Accounts'!$A$5:$A$3000,MATCH("direct_labour",'Chart of Accounts'!$F$5:$F$3000,0)))))</f>
        <v/>
      </c>
      <c r="R136" s="16">
        <f>IF(M136="",INDEX('Chart of Accounts'!$A$5:$A$3000,MATCH("bank",'Chart of Accounts'!$F$5:$F$3000,0)),M136&amp;"")</f>
        <v/>
      </c>
      <c r="S136" s="16">
        <f>IF(N136="",INDEX('Chart of Accounts'!$A$5:$A$3000,MATCH("accrued_payroll",'Chart of Accounts'!$F$5:$F$3000,0)),N136&amp;"")</f>
        <v/>
      </c>
      <c r="T136" s="23">
        <f>IFERROR(INDEX('Chart of Accounts'!$C$5:$C$3000,MATCH(Q136&amp;"",'Chart of Accounts'!$A$5:$A$3000,0))&amp;"|"&amp;INDEX('Chart of Accounts'!$D$5:$D$3000,MATCH(Q136&amp;"",'Chart of Accounts'!$A$5:$A$3000,0)),"")</f>
        <v/>
      </c>
      <c r="U136" s="23">
        <f>IFERROR(INDEX('Chart of Accounts'!$C$5:$C$3000,MATCH(R136&amp;"",'Chart of Accounts'!$A$5:$A$3000,0))&amp;"|"&amp;INDEX('Chart of Accounts'!$D$5:$D$3000,MATCH(R136&amp;"",'Chart of Accounts'!$A$5:$A$3000,0)),"")</f>
        <v/>
      </c>
      <c r="V136" s="23">
        <f>IFERROR(INDEX('Chart of Accounts'!$C$5:$C$3000,MATCH(S136&amp;"",'Chart of Accounts'!$A$5:$A$3000,0))&amp;"|"&amp;INDEX('Chart of Accounts'!$D$5:$D$3000,MATCH(S136&amp;"",'Chart of Accounts'!$A$5:$A$3000,0)),"")</f>
        <v/>
      </c>
      <c r="W136" s="23">
        <f>IF(LEFT(T136,8)="Revenue|",-N(O136),0)+IF(LEFT(U136,8)="Revenue|",N(K136),0)+IF(LEFT(V136,8)="Revenue|",N(P136),0)</f>
        <v/>
      </c>
      <c r="X136" s="23">
        <f>IF(LEFT(T136,5)="COGS|",N(O136),0)+IF(LEFT(U136,5)="COGS|",-N(K136),0)+IF(LEFT(V136,5)="COGS|",-N(P136),0)</f>
        <v/>
      </c>
      <c r="Y136" s="23">
        <f>IF(LEFT(T136,8)="Expense|",N(O136),0)+IF(LEFT(U136,8)="Expense|",-N(K136),0)+IF(LEFT(V136,8)="Expense|",-N(P136),0)</f>
        <v/>
      </c>
      <c r="Z136" s="23">
        <f>IF(ISNUMBER(MATCH(T136,{"Expense|employee","Expense|general_admin","Expense|marketing","Expense|utilities","Expense|other_operating"},0)),N(O136),0)+IF(ISNUMBER(MATCH(U136,{"Expense|employee","Expense|general_admin","Expense|marketing","Expense|utilities","Expense|other_operating"},0)),-N(K136),0)+IF(ISNUMBER(MATCH(V136,{"Expense|employee","Expense|general_admin","Expense|marketing","Expense|utilities","Expense|other_operating"},0)),-N(P136),0)</f>
        <v/>
      </c>
      <c r="AA136" s="23">
        <f>IF(T136="Liability|payable",-N(O136),0)+IF(U136="Liability|payable",N(K136),0)+IF(V136="Liability|payable",N(P136),0)</f>
        <v/>
      </c>
      <c r="AB136" s="23">
        <f>IF(T136="Liability|accrued",-N(O136),0)+IF(U136="Liability|accrued",N(K136),0)+IF(V136="Liability|accrued",N(P136),0)</f>
        <v/>
      </c>
      <c r="AC136" s="23">
        <f>IF(AND(N(O136)&lt;&gt;0,T136=""),1,0)+IF(AND(N(K136)&lt;&gt;0,U136=""),1,0)+IF(AND(N(P136)&lt;&gt;0,V136=""),1,0)</f>
        <v/>
      </c>
    </row>
    <row r="137">
      <c r="A137" s="19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20" t="n"/>
      <c r="K137" s="20" t="n"/>
      <c r="L137" s="14" t="n"/>
      <c r="M137" s="14" t="n"/>
      <c r="N137" s="14" t="n"/>
      <c r="O137" s="21">
        <f>ROUND(N(I137)*N(J137),2)</f>
        <v/>
      </c>
      <c r="P137" s="21">
        <f>O137-N(K137)</f>
        <v/>
      </c>
      <c r="Q137" s="16">
        <f>IF(F137&lt;&gt;"",F137&amp;"",IF(LEFT(E137,6)="Indire",INDEX('Chart of Accounts'!$A$5:$A$3000,MATCH("project_overhead",'Chart of Accounts'!$F$5:$F$3000,0)),IF(LEFT(E137,6)="Admini",INDEX('Chart of Accounts'!$A$5:$A$3000,MATCH("admin_salaries",'Chart of Accounts'!$F$5:$F$3000,0)),INDEX('Chart of Accounts'!$A$5:$A$3000,MATCH("direct_labour",'Chart of Accounts'!$F$5:$F$3000,0)))))</f>
        <v/>
      </c>
      <c r="R137" s="16">
        <f>IF(M137="",INDEX('Chart of Accounts'!$A$5:$A$3000,MATCH("bank",'Chart of Accounts'!$F$5:$F$3000,0)),M137&amp;"")</f>
        <v/>
      </c>
      <c r="S137" s="16">
        <f>IF(N137="",INDEX('Chart of Accounts'!$A$5:$A$3000,MATCH("accrued_payroll",'Chart of Accounts'!$F$5:$F$3000,0)),N137&amp;"")</f>
        <v/>
      </c>
      <c r="T137" s="23">
        <f>IFERROR(INDEX('Chart of Accounts'!$C$5:$C$3000,MATCH(Q137&amp;"",'Chart of Accounts'!$A$5:$A$3000,0))&amp;"|"&amp;INDEX('Chart of Accounts'!$D$5:$D$3000,MATCH(Q137&amp;"",'Chart of Accounts'!$A$5:$A$3000,0)),"")</f>
        <v/>
      </c>
      <c r="U137" s="23">
        <f>IFERROR(INDEX('Chart of Accounts'!$C$5:$C$3000,MATCH(R137&amp;"",'Chart of Accounts'!$A$5:$A$3000,0))&amp;"|"&amp;INDEX('Chart of Accounts'!$D$5:$D$3000,MATCH(R137&amp;"",'Chart of Accounts'!$A$5:$A$3000,0)),"")</f>
        <v/>
      </c>
      <c r="V137" s="23">
        <f>IFERROR(INDEX('Chart of Accounts'!$C$5:$C$3000,MATCH(S137&amp;"",'Chart of Accounts'!$A$5:$A$3000,0))&amp;"|"&amp;INDEX('Chart of Accounts'!$D$5:$D$3000,MATCH(S137&amp;"",'Chart of Accounts'!$A$5:$A$3000,0)),"")</f>
        <v/>
      </c>
      <c r="W137" s="23">
        <f>IF(LEFT(T137,8)="Revenue|",-N(O137),0)+IF(LEFT(U137,8)="Revenue|",N(K137),0)+IF(LEFT(V137,8)="Revenue|",N(P137),0)</f>
        <v/>
      </c>
      <c r="X137" s="23">
        <f>IF(LEFT(T137,5)="COGS|",N(O137),0)+IF(LEFT(U137,5)="COGS|",-N(K137),0)+IF(LEFT(V137,5)="COGS|",-N(P137),0)</f>
        <v/>
      </c>
      <c r="Y137" s="23">
        <f>IF(LEFT(T137,8)="Expense|",N(O137),0)+IF(LEFT(U137,8)="Expense|",-N(K137),0)+IF(LEFT(V137,8)="Expense|",-N(P137),0)</f>
        <v/>
      </c>
      <c r="Z137" s="23">
        <f>IF(ISNUMBER(MATCH(T137,{"Expense|employee","Expense|general_admin","Expense|marketing","Expense|utilities","Expense|other_operating"},0)),N(O137),0)+IF(ISNUMBER(MATCH(U137,{"Expense|employee","Expense|general_admin","Expense|marketing","Expense|utilities","Expense|other_operating"},0)),-N(K137),0)+IF(ISNUMBER(MATCH(V137,{"Expense|employee","Expense|general_admin","Expense|marketing","Expense|utilities","Expense|other_operating"},0)),-N(P137),0)</f>
        <v/>
      </c>
      <c r="AA137" s="23">
        <f>IF(T137="Liability|payable",-N(O137),0)+IF(U137="Liability|payable",N(K137),0)+IF(V137="Liability|payable",N(P137),0)</f>
        <v/>
      </c>
      <c r="AB137" s="23">
        <f>IF(T137="Liability|accrued",-N(O137),0)+IF(U137="Liability|accrued",N(K137),0)+IF(V137="Liability|accrued",N(P137),0)</f>
        <v/>
      </c>
      <c r="AC137" s="23">
        <f>IF(AND(N(O137)&lt;&gt;0,T137=""),1,0)+IF(AND(N(K137)&lt;&gt;0,U137=""),1,0)+IF(AND(N(P137)&lt;&gt;0,V137=""),1,0)</f>
        <v/>
      </c>
    </row>
    <row r="138">
      <c r="A138" s="19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20" t="n"/>
      <c r="K138" s="20" t="n"/>
      <c r="L138" s="14" t="n"/>
      <c r="M138" s="14" t="n"/>
      <c r="N138" s="14" t="n"/>
      <c r="O138" s="21">
        <f>ROUND(N(I138)*N(J138),2)</f>
        <v/>
      </c>
      <c r="P138" s="21">
        <f>O138-N(K138)</f>
        <v/>
      </c>
      <c r="Q138" s="16">
        <f>IF(F138&lt;&gt;"",F138&amp;"",IF(LEFT(E138,6)="Indire",INDEX('Chart of Accounts'!$A$5:$A$3000,MATCH("project_overhead",'Chart of Accounts'!$F$5:$F$3000,0)),IF(LEFT(E138,6)="Admini",INDEX('Chart of Accounts'!$A$5:$A$3000,MATCH("admin_salaries",'Chart of Accounts'!$F$5:$F$3000,0)),INDEX('Chart of Accounts'!$A$5:$A$3000,MATCH("direct_labour",'Chart of Accounts'!$F$5:$F$3000,0)))))</f>
        <v/>
      </c>
      <c r="R138" s="16">
        <f>IF(M138="",INDEX('Chart of Accounts'!$A$5:$A$3000,MATCH("bank",'Chart of Accounts'!$F$5:$F$3000,0)),M138&amp;"")</f>
        <v/>
      </c>
      <c r="S138" s="16">
        <f>IF(N138="",INDEX('Chart of Accounts'!$A$5:$A$3000,MATCH("accrued_payroll",'Chart of Accounts'!$F$5:$F$3000,0)),N138&amp;"")</f>
        <v/>
      </c>
      <c r="T138" s="23">
        <f>IFERROR(INDEX('Chart of Accounts'!$C$5:$C$3000,MATCH(Q138&amp;"",'Chart of Accounts'!$A$5:$A$3000,0))&amp;"|"&amp;INDEX('Chart of Accounts'!$D$5:$D$3000,MATCH(Q138&amp;"",'Chart of Accounts'!$A$5:$A$3000,0)),"")</f>
        <v/>
      </c>
      <c r="U138" s="23">
        <f>IFERROR(INDEX('Chart of Accounts'!$C$5:$C$3000,MATCH(R138&amp;"",'Chart of Accounts'!$A$5:$A$3000,0))&amp;"|"&amp;INDEX('Chart of Accounts'!$D$5:$D$3000,MATCH(R138&amp;"",'Chart of Accounts'!$A$5:$A$3000,0)),"")</f>
        <v/>
      </c>
      <c r="V138" s="23">
        <f>IFERROR(INDEX('Chart of Accounts'!$C$5:$C$3000,MATCH(S138&amp;"",'Chart of Accounts'!$A$5:$A$3000,0))&amp;"|"&amp;INDEX('Chart of Accounts'!$D$5:$D$3000,MATCH(S138&amp;"",'Chart of Accounts'!$A$5:$A$3000,0)),"")</f>
        <v/>
      </c>
      <c r="W138" s="23">
        <f>IF(LEFT(T138,8)="Revenue|",-N(O138),0)+IF(LEFT(U138,8)="Revenue|",N(K138),0)+IF(LEFT(V138,8)="Revenue|",N(P138),0)</f>
        <v/>
      </c>
      <c r="X138" s="23">
        <f>IF(LEFT(T138,5)="COGS|",N(O138),0)+IF(LEFT(U138,5)="COGS|",-N(K138),0)+IF(LEFT(V138,5)="COGS|",-N(P138),0)</f>
        <v/>
      </c>
      <c r="Y138" s="23">
        <f>IF(LEFT(T138,8)="Expense|",N(O138),0)+IF(LEFT(U138,8)="Expense|",-N(K138),0)+IF(LEFT(V138,8)="Expense|",-N(P138),0)</f>
        <v/>
      </c>
      <c r="Z138" s="23">
        <f>IF(ISNUMBER(MATCH(T138,{"Expense|employee","Expense|general_admin","Expense|marketing","Expense|utilities","Expense|other_operating"},0)),N(O138),0)+IF(ISNUMBER(MATCH(U138,{"Expense|employee","Expense|general_admin","Expense|marketing","Expense|utilities","Expense|other_operating"},0)),-N(K138),0)+IF(ISNUMBER(MATCH(V138,{"Expense|employee","Expense|general_admin","Expense|marketing","Expense|utilities","Expense|other_operating"},0)),-N(P138),0)</f>
        <v/>
      </c>
      <c r="AA138" s="23">
        <f>IF(T138="Liability|payable",-N(O138),0)+IF(U138="Liability|payable",N(K138),0)+IF(V138="Liability|payable",N(P138),0)</f>
        <v/>
      </c>
      <c r="AB138" s="23">
        <f>IF(T138="Liability|accrued",-N(O138),0)+IF(U138="Liability|accrued",N(K138),0)+IF(V138="Liability|accrued",N(P138),0)</f>
        <v/>
      </c>
      <c r="AC138" s="23">
        <f>IF(AND(N(O138)&lt;&gt;0,T138=""),1,0)+IF(AND(N(K138)&lt;&gt;0,U138=""),1,0)+IF(AND(N(P138)&lt;&gt;0,V138=""),1,0)</f>
        <v/>
      </c>
    </row>
    <row r="139">
      <c r="A139" s="19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20" t="n"/>
      <c r="K139" s="20" t="n"/>
      <c r="L139" s="14" t="n"/>
      <c r="M139" s="14" t="n"/>
      <c r="N139" s="14" t="n"/>
      <c r="O139" s="21">
        <f>ROUND(N(I139)*N(J139),2)</f>
        <v/>
      </c>
      <c r="P139" s="21">
        <f>O139-N(K139)</f>
        <v/>
      </c>
      <c r="Q139" s="16">
        <f>IF(F139&lt;&gt;"",F139&amp;"",IF(LEFT(E139,6)="Indire",INDEX('Chart of Accounts'!$A$5:$A$3000,MATCH("project_overhead",'Chart of Accounts'!$F$5:$F$3000,0)),IF(LEFT(E139,6)="Admini",INDEX('Chart of Accounts'!$A$5:$A$3000,MATCH("admin_salaries",'Chart of Accounts'!$F$5:$F$3000,0)),INDEX('Chart of Accounts'!$A$5:$A$3000,MATCH("direct_labour",'Chart of Accounts'!$F$5:$F$3000,0)))))</f>
        <v/>
      </c>
      <c r="R139" s="16">
        <f>IF(M139="",INDEX('Chart of Accounts'!$A$5:$A$3000,MATCH("bank",'Chart of Accounts'!$F$5:$F$3000,0)),M139&amp;"")</f>
        <v/>
      </c>
      <c r="S139" s="16">
        <f>IF(N139="",INDEX('Chart of Accounts'!$A$5:$A$3000,MATCH("accrued_payroll",'Chart of Accounts'!$F$5:$F$3000,0)),N139&amp;"")</f>
        <v/>
      </c>
      <c r="T139" s="23">
        <f>IFERROR(INDEX('Chart of Accounts'!$C$5:$C$3000,MATCH(Q139&amp;"",'Chart of Accounts'!$A$5:$A$3000,0))&amp;"|"&amp;INDEX('Chart of Accounts'!$D$5:$D$3000,MATCH(Q139&amp;"",'Chart of Accounts'!$A$5:$A$3000,0)),"")</f>
        <v/>
      </c>
      <c r="U139" s="23">
        <f>IFERROR(INDEX('Chart of Accounts'!$C$5:$C$3000,MATCH(R139&amp;"",'Chart of Accounts'!$A$5:$A$3000,0))&amp;"|"&amp;INDEX('Chart of Accounts'!$D$5:$D$3000,MATCH(R139&amp;"",'Chart of Accounts'!$A$5:$A$3000,0)),"")</f>
        <v/>
      </c>
      <c r="V139" s="23">
        <f>IFERROR(INDEX('Chart of Accounts'!$C$5:$C$3000,MATCH(S139&amp;"",'Chart of Accounts'!$A$5:$A$3000,0))&amp;"|"&amp;INDEX('Chart of Accounts'!$D$5:$D$3000,MATCH(S139&amp;"",'Chart of Accounts'!$A$5:$A$3000,0)),"")</f>
        <v/>
      </c>
      <c r="W139" s="23">
        <f>IF(LEFT(T139,8)="Revenue|",-N(O139),0)+IF(LEFT(U139,8)="Revenue|",N(K139),0)+IF(LEFT(V139,8)="Revenue|",N(P139),0)</f>
        <v/>
      </c>
      <c r="X139" s="23">
        <f>IF(LEFT(T139,5)="COGS|",N(O139),0)+IF(LEFT(U139,5)="COGS|",-N(K139),0)+IF(LEFT(V139,5)="COGS|",-N(P139),0)</f>
        <v/>
      </c>
      <c r="Y139" s="23">
        <f>IF(LEFT(T139,8)="Expense|",N(O139),0)+IF(LEFT(U139,8)="Expense|",-N(K139),0)+IF(LEFT(V139,8)="Expense|",-N(P139),0)</f>
        <v/>
      </c>
      <c r="Z139" s="23">
        <f>IF(ISNUMBER(MATCH(T139,{"Expense|employee","Expense|general_admin","Expense|marketing","Expense|utilities","Expense|other_operating"},0)),N(O139),0)+IF(ISNUMBER(MATCH(U139,{"Expense|employee","Expense|general_admin","Expense|marketing","Expense|utilities","Expense|other_operating"},0)),-N(K139),0)+IF(ISNUMBER(MATCH(V139,{"Expense|employee","Expense|general_admin","Expense|marketing","Expense|utilities","Expense|other_operating"},0)),-N(P139),0)</f>
        <v/>
      </c>
      <c r="AA139" s="23">
        <f>IF(T139="Liability|payable",-N(O139),0)+IF(U139="Liability|payable",N(K139),0)+IF(V139="Liability|payable",N(P139),0)</f>
        <v/>
      </c>
      <c r="AB139" s="23">
        <f>IF(T139="Liability|accrued",-N(O139),0)+IF(U139="Liability|accrued",N(K139),0)+IF(V139="Liability|accrued",N(P139),0)</f>
        <v/>
      </c>
      <c r="AC139" s="23">
        <f>IF(AND(N(O139)&lt;&gt;0,T139=""),1,0)+IF(AND(N(K139)&lt;&gt;0,U139=""),1,0)+IF(AND(N(P139)&lt;&gt;0,V139=""),1,0)</f>
        <v/>
      </c>
    </row>
    <row r="140">
      <c r="A140" s="19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20" t="n"/>
      <c r="K140" s="20" t="n"/>
      <c r="L140" s="14" t="n"/>
      <c r="M140" s="14" t="n"/>
      <c r="N140" s="14" t="n"/>
      <c r="O140" s="21">
        <f>ROUND(N(I140)*N(J140),2)</f>
        <v/>
      </c>
      <c r="P140" s="21">
        <f>O140-N(K140)</f>
        <v/>
      </c>
      <c r="Q140" s="16">
        <f>IF(F140&lt;&gt;"",F140&amp;"",IF(LEFT(E140,6)="Indire",INDEX('Chart of Accounts'!$A$5:$A$3000,MATCH("project_overhead",'Chart of Accounts'!$F$5:$F$3000,0)),IF(LEFT(E140,6)="Admini",INDEX('Chart of Accounts'!$A$5:$A$3000,MATCH("admin_salaries",'Chart of Accounts'!$F$5:$F$3000,0)),INDEX('Chart of Accounts'!$A$5:$A$3000,MATCH("direct_labour",'Chart of Accounts'!$F$5:$F$3000,0)))))</f>
        <v/>
      </c>
      <c r="R140" s="16">
        <f>IF(M140="",INDEX('Chart of Accounts'!$A$5:$A$3000,MATCH("bank",'Chart of Accounts'!$F$5:$F$3000,0)),M140&amp;"")</f>
        <v/>
      </c>
      <c r="S140" s="16">
        <f>IF(N140="",INDEX('Chart of Accounts'!$A$5:$A$3000,MATCH("accrued_payroll",'Chart of Accounts'!$F$5:$F$3000,0)),N140&amp;"")</f>
        <v/>
      </c>
      <c r="T140" s="23">
        <f>IFERROR(INDEX('Chart of Accounts'!$C$5:$C$3000,MATCH(Q140&amp;"",'Chart of Accounts'!$A$5:$A$3000,0))&amp;"|"&amp;INDEX('Chart of Accounts'!$D$5:$D$3000,MATCH(Q140&amp;"",'Chart of Accounts'!$A$5:$A$3000,0)),"")</f>
        <v/>
      </c>
      <c r="U140" s="23">
        <f>IFERROR(INDEX('Chart of Accounts'!$C$5:$C$3000,MATCH(R140&amp;"",'Chart of Accounts'!$A$5:$A$3000,0))&amp;"|"&amp;INDEX('Chart of Accounts'!$D$5:$D$3000,MATCH(R140&amp;"",'Chart of Accounts'!$A$5:$A$3000,0)),"")</f>
        <v/>
      </c>
      <c r="V140" s="23">
        <f>IFERROR(INDEX('Chart of Accounts'!$C$5:$C$3000,MATCH(S140&amp;"",'Chart of Accounts'!$A$5:$A$3000,0))&amp;"|"&amp;INDEX('Chart of Accounts'!$D$5:$D$3000,MATCH(S140&amp;"",'Chart of Accounts'!$A$5:$A$3000,0)),"")</f>
        <v/>
      </c>
      <c r="W140" s="23">
        <f>IF(LEFT(T140,8)="Revenue|",-N(O140),0)+IF(LEFT(U140,8)="Revenue|",N(K140),0)+IF(LEFT(V140,8)="Revenue|",N(P140),0)</f>
        <v/>
      </c>
      <c r="X140" s="23">
        <f>IF(LEFT(T140,5)="COGS|",N(O140),0)+IF(LEFT(U140,5)="COGS|",-N(K140),0)+IF(LEFT(V140,5)="COGS|",-N(P140),0)</f>
        <v/>
      </c>
      <c r="Y140" s="23">
        <f>IF(LEFT(T140,8)="Expense|",N(O140),0)+IF(LEFT(U140,8)="Expense|",-N(K140),0)+IF(LEFT(V140,8)="Expense|",-N(P140),0)</f>
        <v/>
      </c>
      <c r="Z140" s="23">
        <f>IF(ISNUMBER(MATCH(T140,{"Expense|employee","Expense|general_admin","Expense|marketing","Expense|utilities","Expense|other_operating"},0)),N(O140),0)+IF(ISNUMBER(MATCH(U140,{"Expense|employee","Expense|general_admin","Expense|marketing","Expense|utilities","Expense|other_operating"},0)),-N(K140),0)+IF(ISNUMBER(MATCH(V140,{"Expense|employee","Expense|general_admin","Expense|marketing","Expense|utilities","Expense|other_operating"},0)),-N(P140),0)</f>
        <v/>
      </c>
      <c r="AA140" s="23">
        <f>IF(T140="Liability|payable",-N(O140),0)+IF(U140="Liability|payable",N(K140),0)+IF(V140="Liability|payable",N(P140),0)</f>
        <v/>
      </c>
      <c r="AB140" s="23">
        <f>IF(T140="Liability|accrued",-N(O140),0)+IF(U140="Liability|accrued",N(K140),0)+IF(V140="Liability|accrued",N(P140),0)</f>
        <v/>
      </c>
      <c r="AC140" s="23">
        <f>IF(AND(N(O140)&lt;&gt;0,T140=""),1,0)+IF(AND(N(K140)&lt;&gt;0,U140=""),1,0)+IF(AND(N(P140)&lt;&gt;0,V140=""),1,0)</f>
        <v/>
      </c>
    </row>
    <row r="141">
      <c r="A141" s="19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20" t="n"/>
      <c r="K141" s="20" t="n"/>
      <c r="L141" s="14" t="n"/>
      <c r="M141" s="14" t="n"/>
      <c r="N141" s="14" t="n"/>
      <c r="O141" s="21">
        <f>ROUND(N(I141)*N(J141),2)</f>
        <v/>
      </c>
      <c r="P141" s="21">
        <f>O141-N(K141)</f>
        <v/>
      </c>
      <c r="Q141" s="16">
        <f>IF(F141&lt;&gt;"",F141&amp;"",IF(LEFT(E141,6)="Indire",INDEX('Chart of Accounts'!$A$5:$A$3000,MATCH("project_overhead",'Chart of Accounts'!$F$5:$F$3000,0)),IF(LEFT(E141,6)="Admini",INDEX('Chart of Accounts'!$A$5:$A$3000,MATCH("admin_salaries",'Chart of Accounts'!$F$5:$F$3000,0)),INDEX('Chart of Accounts'!$A$5:$A$3000,MATCH("direct_labour",'Chart of Accounts'!$F$5:$F$3000,0)))))</f>
        <v/>
      </c>
      <c r="R141" s="16">
        <f>IF(M141="",INDEX('Chart of Accounts'!$A$5:$A$3000,MATCH("bank",'Chart of Accounts'!$F$5:$F$3000,0)),M141&amp;"")</f>
        <v/>
      </c>
      <c r="S141" s="16">
        <f>IF(N141="",INDEX('Chart of Accounts'!$A$5:$A$3000,MATCH("accrued_payroll",'Chart of Accounts'!$F$5:$F$3000,0)),N141&amp;"")</f>
        <v/>
      </c>
      <c r="T141" s="23">
        <f>IFERROR(INDEX('Chart of Accounts'!$C$5:$C$3000,MATCH(Q141&amp;"",'Chart of Accounts'!$A$5:$A$3000,0))&amp;"|"&amp;INDEX('Chart of Accounts'!$D$5:$D$3000,MATCH(Q141&amp;"",'Chart of Accounts'!$A$5:$A$3000,0)),"")</f>
        <v/>
      </c>
      <c r="U141" s="23">
        <f>IFERROR(INDEX('Chart of Accounts'!$C$5:$C$3000,MATCH(R141&amp;"",'Chart of Accounts'!$A$5:$A$3000,0))&amp;"|"&amp;INDEX('Chart of Accounts'!$D$5:$D$3000,MATCH(R141&amp;"",'Chart of Accounts'!$A$5:$A$3000,0)),"")</f>
        <v/>
      </c>
      <c r="V141" s="23">
        <f>IFERROR(INDEX('Chart of Accounts'!$C$5:$C$3000,MATCH(S141&amp;"",'Chart of Accounts'!$A$5:$A$3000,0))&amp;"|"&amp;INDEX('Chart of Accounts'!$D$5:$D$3000,MATCH(S141&amp;"",'Chart of Accounts'!$A$5:$A$3000,0)),"")</f>
        <v/>
      </c>
      <c r="W141" s="23">
        <f>IF(LEFT(T141,8)="Revenue|",-N(O141),0)+IF(LEFT(U141,8)="Revenue|",N(K141),0)+IF(LEFT(V141,8)="Revenue|",N(P141),0)</f>
        <v/>
      </c>
      <c r="X141" s="23">
        <f>IF(LEFT(T141,5)="COGS|",N(O141),0)+IF(LEFT(U141,5)="COGS|",-N(K141),0)+IF(LEFT(V141,5)="COGS|",-N(P141),0)</f>
        <v/>
      </c>
      <c r="Y141" s="23">
        <f>IF(LEFT(T141,8)="Expense|",N(O141),0)+IF(LEFT(U141,8)="Expense|",-N(K141),0)+IF(LEFT(V141,8)="Expense|",-N(P141),0)</f>
        <v/>
      </c>
      <c r="Z141" s="23">
        <f>IF(ISNUMBER(MATCH(T141,{"Expense|employee","Expense|general_admin","Expense|marketing","Expense|utilities","Expense|other_operating"},0)),N(O141),0)+IF(ISNUMBER(MATCH(U141,{"Expense|employee","Expense|general_admin","Expense|marketing","Expense|utilities","Expense|other_operating"},0)),-N(K141),0)+IF(ISNUMBER(MATCH(V141,{"Expense|employee","Expense|general_admin","Expense|marketing","Expense|utilities","Expense|other_operating"},0)),-N(P141),0)</f>
        <v/>
      </c>
      <c r="AA141" s="23">
        <f>IF(T141="Liability|payable",-N(O141),0)+IF(U141="Liability|payable",N(K141),0)+IF(V141="Liability|payable",N(P141),0)</f>
        <v/>
      </c>
      <c r="AB141" s="23">
        <f>IF(T141="Liability|accrued",-N(O141),0)+IF(U141="Liability|accrued",N(K141),0)+IF(V141="Liability|accrued",N(P141),0)</f>
        <v/>
      </c>
      <c r="AC141" s="23">
        <f>IF(AND(N(O141)&lt;&gt;0,T141=""),1,0)+IF(AND(N(K141)&lt;&gt;0,U141=""),1,0)+IF(AND(N(P141)&lt;&gt;0,V141=""),1,0)</f>
        <v/>
      </c>
    </row>
    <row r="142">
      <c r="A142" s="19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20" t="n"/>
      <c r="K142" s="20" t="n"/>
      <c r="L142" s="14" t="n"/>
      <c r="M142" s="14" t="n"/>
      <c r="N142" s="14" t="n"/>
      <c r="O142" s="21">
        <f>ROUND(N(I142)*N(J142),2)</f>
        <v/>
      </c>
      <c r="P142" s="21">
        <f>O142-N(K142)</f>
        <v/>
      </c>
      <c r="Q142" s="16">
        <f>IF(F142&lt;&gt;"",F142&amp;"",IF(LEFT(E142,6)="Indire",INDEX('Chart of Accounts'!$A$5:$A$3000,MATCH("project_overhead",'Chart of Accounts'!$F$5:$F$3000,0)),IF(LEFT(E142,6)="Admini",INDEX('Chart of Accounts'!$A$5:$A$3000,MATCH("admin_salaries",'Chart of Accounts'!$F$5:$F$3000,0)),INDEX('Chart of Accounts'!$A$5:$A$3000,MATCH("direct_labour",'Chart of Accounts'!$F$5:$F$3000,0)))))</f>
        <v/>
      </c>
      <c r="R142" s="16">
        <f>IF(M142="",INDEX('Chart of Accounts'!$A$5:$A$3000,MATCH("bank",'Chart of Accounts'!$F$5:$F$3000,0)),M142&amp;"")</f>
        <v/>
      </c>
      <c r="S142" s="16">
        <f>IF(N142="",INDEX('Chart of Accounts'!$A$5:$A$3000,MATCH("accrued_payroll",'Chart of Accounts'!$F$5:$F$3000,0)),N142&amp;"")</f>
        <v/>
      </c>
      <c r="T142" s="23">
        <f>IFERROR(INDEX('Chart of Accounts'!$C$5:$C$3000,MATCH(Q142&amp;"",'Chart of Accounts'!$A$5:$A$3000,0))&amp;"|"&amp;INDEX('Chart of Accounts'!$D$5:$D$3000,MATCH(Q142&amp;"",'Chart of Accounts'!$A$5:$A$3000,0)),"")</f>
        <v/>
      </c>
      <c r="U142" s="23">
        <f>IFERROR(INDEX('Chart of Accounts'!$C$5:$C$3000,MATCH(R142&amp;"",'Chart of Accounts'!$A$5:$A$3000,0))&amp;"|"&amp;INDEX('Chart of Accounts'!$D$5:$D$3000,MATCH(R142&amp;"",'Chart of Accounts'!$A$5:$A$3000,0)),"")</f>
        <v/>
      </c>
      <c r="V142" s="23">
        <f>IFERROR(INDEX('Chart of Accounts'!$C$5:$C$3000,MATCH(S142&amp;"",'Chart of Accounts'!$A$5:$A$3000,0))&amp;"|"&amp;INDEX('Chart of Accounts'!$D$5:$D$3000,MATCH(S142&amp;"",'Chart of Accounts'!$A$5:$A$3000,0)),"")</f>
        <v/>
      </c>
      <c r="W142" s="23">
        <f>IF(LEFT(T142,8)="Revenue|",-N(O142),0)+IF(LEFT(U142,8)="Revenue|",N(K142),0)+IF(LEFT(V142,8)="Revenue|",N(P142),0)</f>
        <v/>
      </c>
      <c r="X142" s="23">
        <f>IF(LEFT(T142,5)="COGS|",N(O142),0)+IF(LEFT(U142,5)="COGS|",-N(K142),0)+IF(LEFT(V142,5)="COGS|",-N(P142),0)</f>
        <v/>
      </c>
      <c r="Y142" s="23">
        <f>IF(LEFT(T142,8)="Expense|",N(O142),0)+IF(LEFT(U142,8)="Expense|",-N(K142),0)+IF(LEFT(V142,8)="Expense|",-N(P142),0)</f>
        <v/>
      </c>
      <c r="Z142" s="23">
        <f>IF(ISNUMBER(MATCH(T142,{"Expense|employee","Expense|general_admin","Expense|marketing","Expense|utilities","Expense|other_operating"},0)),N(O142),0)+IF(ISNUMBER(MATCH(U142,{"Expense|employee","Expense|general_admin","Expense|marketing","Expense|utilities","Expense|other_operating"},0)),-N(K142),0)+IF(ISNUMBER(MATCH(V142,{"Expense|employee","Expense|general_admin","Expense|marketing","Expense|utilities","Expense|other_operating"},0)),-N(P142),0)</f>
        <v/>
      </c>
      <c r="AA142" s="23">
        <f>IF(T142="Liability|payable",-N(O142),0)+IF(U142="Liability|payable",N(K142),0)+IF(V142="Liability|payable",N(P142),0)</f>
        <v/>
      </c>
      <c r="AB142" s="23">
        <f>IF(T142="Liability|accrued",-N(O142),0)+IF(U142="Liability|accrued",N(K142),0)+IF(V142="Liability|accrued",N(P142),0)</f>
        <v/>
      </c>
      <c r="AC142" s="23">
        <f>IF(AND(N(O142)&lt;&gt;0,T142=""),1,0)+IF(AND(N(K142)&lt;&gt;0,U142=""),1,0)+IF(AND(N(P142)&lt;&gt;0,V142=""),1,0)</f>
        <v/>
      </c>
    </row>
    <row r="143">
      <c r="A143" s="19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20" t="n"/>
      <c r="K143" s="20" t="n"/>
      <c r="L143" s="14" t="n"/>
      <c r="M143" s="14" t="n"/>
      <c r="N143" s="14" t="n"/>
      <c r="O143" s="21">
        <f>ROUND(N(I143)*N(J143),2)</f>
        <v/>
      </c>
      <c r="P143" s="21">
        <f>O143-N(K143)</f>
        <v/>
      </c>
      <c r="Q143" s="16">
        <f>IF(F143&lt;&gt;"",F143&amp;"",IF(LEFT(E143,6)="Indire",INDEX('Chart of Accounts'!$A$5:$A$3000,MATCH("project_overhead",'Chart of Accounts'!$F$5:$F$3000,0)),IF(LEFT(E143,6)="Admini",INDEX('Chart of Accounts'!$A$5:$A$3000,MATCH("admin_salaries",'Chart of Accounts'!$F$5:$F$3000,0)),INDEX('Chart of Accounts'!$A$5:$A$3000,MATCH("direct_labour",'Chart of Accounts'!$F$5:$F$3000,0)))))</f>
        <v/>
      </c>
      <c r="R143" s="16">
        <f>IF(M143="",INDEX('Chart of Accounts'!$A$5:$A$3000,MATCH("bank",'Chart of Accounts'!$F$5:$F$3000,0)),M143&amp;"")</f>
        <v/>
      </c>
      <c r="S143" s="16">
        <f>IF(N143="",INDEX('Chart of Accounts'!$A$5:$A$3000,MATCH("accrued_payroll",'Chart of Accounts'!$F$5:$F$3000,0)),N143&amp;"")</f>
        <v/>
      </c>
      <c r="T143" s="23">
        <f>IFERROR(INDEX('Chart of Accounts'!$C$5:$C$3000,MATCH(Q143&amp;"",'Chart of Accounts'!$A$5:$A$3000,0))&amp;"|"&amp;INDEX('Chart of Accounts'!$D$5:$D$3000,MATCH(Q143&amp;"",'Chart of Accounts'!$A$5:$A$3000,0)),"")</f>
        <v/>
      </c>
      <c r="U143" s="23">
        <f>IFERROR(INDEX('Chart of Accounts'!$C$5:$C$3000,MATCH(R143&amp;"",'Chart of Accounts'!$A$5:$A$3000,0))&amp;"|"&amp;INDEX('Chart of Accounts'!$D$5:$D$3000,MATCH(R143&amp;"",'Chart of Accounts'!$A$5:$A$3000,0)),"")</f>
        <v/>
      </c>
      <c r="V143" s="23">
        <f>IFERROR(INDEX('Chart of Accounts'!$C$5:$C$3000,MATCH(S143&amp;"",'Chart of Accounts'!$A$5:$A$3000,0))&amp;"|"&amp;INDEX('Chart of Accounts'!$D$5:$D$3000,MATCH(S143&amp;"",'Chart of Accounts'!$A$5:$A$3000,0)),"")</f>
        <v/>
      </c>
      <c r="W143" s="23">
        <f>IF(LEFT(T143,8)="Revenue|",-N(O143),0)+IF(LEFT(U143,8)="Revenue|",N(K143),0)+IF(LEFT(V143,8)="Revenue|",N(P143),0)</f>
        <v/>
      </c>
      <c r="X143" s="23">
        <f>IF(LEFT(T143,5)="COGS|",N(O143),0)+IF(LEFT(U143,5)="COGS|",-N(K143),0)+IF(LEFT(V143,5)="COGS|",-N(P143),0)</f>
        <v/>
      </c>
      <c r="Y143" s="23">
        <f>IF(LEFT(T143,8)="Expense|",N(O143),0)+IF(LEFT(U143,8)="Expense|",-N(K143),0)+IF(LEFT(V143,8)="Expense|",-N(P143),0)</f>
        <v/>
      </c>
      <c r="Z143" s="23">
        <f>IF(ISNUMBER(MATCH(T143,{"Expense|employee","Expense|general_admin","Expense|marketing","Expense|utilities","Expense|other_operating"},0)),N(O143),0)+IF(ISNUMBER(MATCH(U143,{"Expense|employee","Expense|general_admin","Expense|marketing","Expense|utilities","Expense|other_operating"},0)),-N(K143),0)+IF(ISNUMBER(MATCH(V143,{"Expense|employee","Expense|general_admin","Expense|marketing","Expense|utilities","Expense|other_operating"},0)),-N(P143),0)</f>
        <v/>
      </c>
      <c r="AA143" s="23">
        <f>IF(T143="Liability|payable",-N(O143),0)+IF(U143="Liability|payable",N(K143),0)+IF(V143="Liability|payable",N(P143),0)</f>
        <v/>
      </c>
      <c r="AB143" s="23">
        <f>IF(T143="Liability|accrued",-N(O143),0)+IF(U143="Liability|accrued",N(K143),0)+IF(V143="Liability|accrued",N(P143),0)</f>
        <v/>
      </c>
      <c r="AC143" s="23">
        <f>IF(AND(N(O143)&lt;&gt;0,T143=""),1,0)+IF(AND(N(K143)&lt;&gt;0,U143=""),1,0)+IF(AND(N(P143)&lt;&gt;0,V143=""),1,0)</f>
        <v/>
      </c>
    </row>
    <row r="144">
      <c r="A144" s="19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20" t="n"/>
      <c r="K144" s="20" t="n"/>
      <c r="L144" s="14" t="n"/>
      <c r="M144" s="14" t="n"/>
      <c r="N144" s="14" t="n"/>
      <c r="O144" s="21">
        <f>ROUND(N(I144)*N(J144),2)</f>
        <v/>
      </c>
      <c r="P144" s="21">
        <f>O144-N(K144)</f>
        <v/>
      </c>
      <c r="Q144" s="16">
        <f>IF(F144&lt;&gt;"",F144&amp;"",IF(LEFT(E144,6)="Indire",INDEX('Chart of Accounts'!$A$5:$A$3000,MATCH("project_overhead",'Chart of Accounts'!$F$5:$F$3000,0)),IF(LEFT(E144,6)="Admini",INDEX('Chart of Accounts'!$A$5:$A$3000,MATCH("admin_salaries",'Chart of Accounts'!$F$5:$F$3000,0)),INDEX('Chart of Accounts'!$A$5:$A$3000,MATCH("direct_labour",'Chart of Accounts'!$F$5:$F$3000,0)))))</f>
        <v/>
      </c>
      <c r="R144" s="16">
        <f>IF(M144="",INDEX('Chart of Accounts'!$A$5:$A$3000,MATCH("bank",'Chart of Accounts'!$F$5:$F$3000,0)),M144&amp;"")</f>
        <v/>
      </c>
      <c r="S144" s="16">
        <f>IF(N144="",INDEX('Chart of Accounts'!$A$5:$A$3000,MATCH("accrued_payroll",'Chart of Accounts'!$F$5:$F$3000,0)),N144&amp;"")</f>
        <v/>
      </c>
      <c r="T144" s="23">
        <f>IFERROR(INDEX('Chart of Accounts'!$C$5:$C$3000,MATCH(Q144&amp;"",'Chart of Accounts'!$A$5:$A$3000,0))&amp;"|"&amp;INDEX('Chart of Accounts'!$D$5:$D$3000,MATCH(Q144&amp;"",'Chart of Accounts'!$A$5:$A$3000,0)),"")</f>
        <v/>
      </c>
      <c r="U144" s="23">
        <f>IFERROR(INDEX('Chart of Accounts'!$C$5:$C$3000,MATCH(R144&amp;"",'Chart of Accounts'!$A$5:$A$3000,0))&amp;"|"&amp;INDEX('Chart of Accounts'!$D$5:$D$3000,MATCH(R144&amp;"",'Chart of Accounts'!$A$5:$A$3000,0)),"")</f>
        <v/>
      </c>
      <c r="V144" s="23">
        <f>IFERROR(INDEX('Chart of Accounts'!$C$5:$C$3000,MATCH(S144&amp;"",'Chart of Accounts'!$A$5:$A$3000,0))&amp;"|"&amp;INDEX('Chart of Accounts'!$D$5:$D$3000,MATCH(S144&amp;"",'Chart of Accounts'!$A$5:$A$3000,0)),"")</f>
        <v/>
      </c>
      <c r="W144" s="23">
        <f>IF(LEFT(T144,8)="Revenue|",-N(O144),0)+IF(LEFT(U144,8)="Revenue|",N(K144),0)+IF(LEFT(V144,8)="Revenue|",N(P144),0)</f>
        <v/>
      </c>
      <c r="X144" s="23">
        <f>IF(LEFT(T144,5)="COGS|",N(O144),0)+IF(LEFT(U144,5)="COGS|",-N(K144),0)+IF(LEFT(V144,5)="COGS|",-N(P144),0)</f>
        <v/>
      </c>
      <c r="Y144" s="23">
        <f>IF(LEFT(T144,8)="Expense|",N(O144),0)+IF(LEFT(U144,8)="Expense|",-N(K144),0)+IF(LEFT(V144,8)="Expense|",-N(P144),0)</f>
        <v/>
      </c>
      <c r="Z144" s="23">
        <f>IF(ISNUMBER(MATCH(T144,{"Expense|employee","Expense|general_admin","Expense|marketing","Expense|utilities","Expense|other_operating"},0)),N(O144),0)+IF(ISNUMBER(MATCH(U144,{"Expense|employee","Expense|general_admin","Expense|marketing","Expense|utilities","Expense|other_operating"},0)),-N(K144),0)+IF(ISNUMBER(MATCH(V144,{"Expense|employee","Expense|general_admin","Expense|marketing","Expense|utilities","Expense|other_operating"},0)),-N(P144),0)</f>
        <v/>
      </c>
      <c r="AA144" s="23">
        <f>IF(T144="Liability|payable",-N(O144),0)+IF(U144="Liability|payable",N(K144),0)+IF(V144="Liability|payable",N(P144),0)</f>
        <v/>
      </c>
      <c r="AB144" s="23">
        <f>IF(T144="Liability|accrued",-N(O144),0)+IF(U144="Liability|accrued",N(K144),0)+IF(V144="Liability|accrued",N(P144),0)</f>
        <v/>
      </c>
      <c r="AC144" s="23">
        <f>IF(AND(N(O144)&lt;&gt;0,T144=""),1,0)+IF(AND(N(K144)&lt;&gt;0,U144=""),1,0)+IF(AND(N(P144)&lt;&gt;0,V144=""),1,0)</f>
        <v/>
      </c>
    </row>
    <row r="145">
      <c r="A145" s="19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20" t="n"/>
      <c r="K145" s="20" t="n"/>
      <c r="L145" s="14" t="n"/>
      <c r="M145" s="14" t="n"/>
      <c r="N145" s="14" t="n"/>
      <c r="O145" s="21">
        <f>ROUND(N(I145)*N(J145),2)</f>
        <v/>
      </c>
      <c r="P145" s="21">
        <f>O145-N(K145)</f>
        <v/>
      </c>
      <c r="Q145" s="16">
        <f>IF(F145&lt;&gt;"",F145&amp;"",IF(LEFT(E145,6)="Indire",INDEX('Chart of Accounts'!$A$5:$A$3000,MATCH("project_overhead",'Chart of Accounts'!$F$5:$F$3000,0)),IF(LEFT(E145,6)="Admini",INDEX('Chart of Accounts'!$A$5:$A$3000,MATCH("admin_salaries",'Chart of Accounts'!$F$5:$F$3000,0)),INDEX('Chart of Accounts'!$A$5:$A$3000,MATCH("direct_labour",'Chart of Accounts'!$F$5:$F$3000,0)))))</f>
        <v/>
      </c>
      <c r="R145" s="16">
        <f>IF(M145="",INDEX('Chart of Accounts'!$A$5:$A$3000,MATCH("bank",'Chart of Accounts'!$F$5:$F$3000,0)),M145&amp;"")</f>
        <v/>
      </c>
      <c r="S145" s="16">
        <f>IF(N145="",INDEX('Chart of Accounts'!$A$5:$A$3000,MATCH("accrued_payroll",'Chart of Accounts'!$F$5:$F$3000,0)),N145&amp;"")</f>
        <v/>
      </c>
      <c r="T145" s="23">
        <f>IFERROR(INDEX('Chart of Accounts'!$C$5:$C$3000,MATCH(Q145&amp;"",'Chart of Accounts'!$A$5:$A$3000,0))&amp;"|"&amp;INDEX('Chart of Accounts'!$D$5:$D$3000,MATCH(Q145&amp;"",'Chart of Accounts'!$A$5:$A$3000,0)),"")</f>
        <v/>
      </c>
      <c r="U145" s="23">
        <f>IFERROR(INDEX('Chart of Accounts'!$C$5:$C$3000,MATCH(R145&amp;"",'Chart of Accounts'!$A$5:$A$3000,0))&amp;"|"&amp;INDEX('Chart of Accounts'!$D$5:$D$3000,MATCH(R145&amp;"",'Chart of Accounts'!$A$5:$A$3000,0)),"")</f>
        <v/>
      </c>
      <c r="V145" s="23">
        <f>IFERROR(INDEX('Chart of Accounts'!$C$5:$C$3000,MATCH(S145&amp;"",'Chart of Accounts'!$A$5:$A$3000,0))&amp;"|"&amp;INDEX('Chart of Accounts'!$D$5:$D$3000,MATCH(S145&amp;"",'Chart of Accounts'!$A$5:$A$3000,0)),"")</f>
        <v/>
      </c>
      <c r="W145" s="23">
        <f>IF(LEFT(T145,8)="Revenue|",-N(O145),0)+IF(LEFT(U145,8)="Revenue|",N(K145),0)+IF(LEFT(V145,8)="Revenue|",N(P145),0)</f>
        <v/>
      </c>
      <c r="X145" s="23">
        <f>IF(LEFT(T145,5)="COGS|",N(O145),0)+IF(LEFT(U145,5)="COGS|",-N(K145),0)+IF(LEFT(V145,5)="COGS|",-N(P145),0)</f>
        <v/>
      </c>
      <c r="Y145" s="23">
        <f>IF(LEFT(T145,8)="Expense|",N(O145),0)+IF(LEFT(U145,8)="Expense|",-N(K145),0)+IF(LEFT(V145,8)="Expense|",-N(P145),0)</f>
        <v/>
      </c>
      <c r="Z145" s="23">
        <f>IF(ISNUMBER(MATCH(T145,{"Expense|employee","Expense|general_admin","Expense|marketing","Expense|utilities","Expense|other_operating"},0)),N(O145),0)+IF(ISNUMBER(MATCH(U145,{"Expense|employee","Expense|general_admin","Expense|marketing","Expense|utilities","Expense|other_operating"},0)),-N(K145),0)+IF(ISNUMBER(MATCH(V145,{"Expense|employee","Expense|general_admin","Expense|marketing","Expense|utilities","Expense|other_operating"},0)),-N(P145),0)</f>
        <v/>
      </c>
      <c r="AA145" s="23">
        <f>IF(T145="Liability|payable",-N(O145),0)+IF(U145="Liability|payable",N(K145),0)+IF(V145="Liability|payable",N(P145),0)</f>
        <v/>
      </c>
      <c r="AB145" s="23">
        <f>IF(T145="Liability|accrued",-N(O145),0)+IF(U145="Liability|accrued",N(K145),0)+IF(V145="Liability|accrued",N(P145),0)</f>
        <v/>
      </c>
      <c r="AC145" s="23">
        <f>IF(AND(N(O145)&lt;&gt;0,T145=""),1,0)+IF(AND(N(K145)&lt;&gt;0,U145=""),1,0)+IF(AND(N(P145)&lt;&gt;0,V145=""),1,0)</f>
        <v/>
      </c>
    </row>
    <row r="146">
      <c r="A146" s="19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20" t="n"/>
      <c r="K146" s="20" t="n"/>
      <c r="L146" s="14" t="n"/>
      <c r="M146" s="14" t="n"/>
      <c r="N146" s="14" t="n"/>
      <c r="O146" s="21">
        <f>ROUND(N(I146)*N(J146),2)</f>
        <v/>
      </c>
      <c r="P146" s="21">
        <f>O146-N(K146)</f>
        <v/>
      </c>
      <c r="Q146" s="16">
        <f>IF(F146&lt;&gt;"",F146&amp;"",IF(LEFT(E146,6)="Indire",INDEX('Chart of Accounts'!$A$5:$A$3000,MATCH("project_overhead",'Chart of Accounts'!$F$5:$F$3000,0)),IF(LEFT(E146,6)="Admini",INDEX('Chart of Accounts'!$A$5:$A$3000,MATCH("admin_salaries",'Chart of Accounts'!$F$5:$F$3000,0)),INDEX('Chart of Accounts'!$A$5:$A$3000,MATCH("direct_labour",'Chart of Accounts'!$F$5:$F$3000,0)))))</f>
        <v/>
      </c>
      <c r="R146" s="16">
        <f>IF(M146="",INDEX('Chart of Accounts'!$A$5:$A$3000,MATCH("bank",'Chart of Accounts'!$F$5:$F$3000,0)),M146&amp;"")</f>
        <v/>
      </c>
      <c r="S146" s="16">
        <f>IF(N146="",INDEX('Chart of Accounts'!$A$5:$A$3000,MATCH("accrued_payroll",'Chart of Accounts'!$F$5:$F$3000,0)),N146&amp;"")</f>
        <v/>
      </c>
      <c r="T146" s="23">
        <f>IFERROR(INDEX('Chart of Accounts'!$C$5:$C$3000,MATCH(Q146&amp;"",'Chart of Accounts'!$A$5:$A$3000,0))&amp;"|"&amp;INDEX('Chart of Accounts'!$D$5:$D$3000,MATCH(Q146&amp;"",'Chart of Accounts'!$A$5:$A$3000,0)),"")</f>
        <v/>
      </c>
      <c r="U146" s="23">
        <f>IFERROR(INDEX('Chart of Accounts'!$C$5:$C$3000,MATCH(R146&amp;"",'Chart of Accounts'!$A$5:$A$3000,0))&amp;"|"&amp;INDEX('Chart of Accounts'!$D$5:$D$3000,MATCH(R146&amp;"",'Chart of Accounts'!$A$5:$A$3000,0)),"")</f>
        <v/>
      </c>
      <c r="V146" s="23">
        <f>IFERROR(INDEX('Chart of Accounts'!$C$5:$C$3000,MATCH(S146&amp;"",'Chart of Accounts'!$A$5:$A$3000,0))&amp;"|"&amp;INDEX('Chart of Accounts'!$D$5:$D$3000,MATCH(S146&amp;"",'Chart of Accounts'!$A$5:$A$3000,0)),"")</f>
        <v/>
      </c>
      <c r="W146" s="23">
        <f>IF(LEFT(T146,8)="Revenue|",-N(O146),0)+IF(LEFT(U146,8)="Revenue|",N(K146),0)+IF(LEFT(V146,8)="Revenue|",N(P146),0)</f>
        <v/>
      </c>
      <c r="X146" s="23">
        <f>IF(LEFT(T146,5)="COGS|",N(O146),0)+IF(LEFT(U146,5)="COGS|",-N(K146),0)+IF(LEFT(V146,5)="COGS|",-N(P146),0)</f>
        <v/>
      </c>
      <c r="Y146" s="23">
        <f>IF(LEFT(T146,8)="Expense|",N(O146),0)+IF(LEFT(U146,8)="Expense|",-N(K146),0)+IF(LEFT(V146,8)="Expense|",-N(P146),0)</f>
        <v/>
      </c>
      <c r="Z146" s="23">
        <f>IF(ISNUMBER(MATCH(T146,{"Expense|employee","Expense|general_admin","Expense|marketing","Expense|utilities","Expense|other_operating"},0)),N(O146),0)+IF(ISNUMBER(MATCH(U146,{"Expense|employee","Expense|general_admin","Expense|marketing","Expense|utilities","Expense|other_operating"},0)),-N(K146),0)+IF(ISNUMBER(MATCH(V146,{"Expense|employee","Expense|general_admin","Expense|marketing","Expense|utilities","Expense|other_operating"},0)),-N(P146),0)</f>
        <v/>
      </c>
      <c r="AA146" s="23">
        <f>IF(T146="Liability|payable",-N(O146),0)+IF(U146="Liability|payable",N(K146),0)+IF(V146="Liability|payable",N(P146),0)</f>
        <v/>
      </c>
      <c r="AB146" s="23">
        <f>IF(T146="Liability|accrued",-N(O146),0)+IF(U146="Liability|accrued",N(K146),0)+IF(V146="Liability|accrued",N(P146),0)</f>
        <v/>
      </c>
      <c r="AC146" s="23">
        <f>IF(AND(N(O146)&lt;&gt;0,T146=""),1,0)+IF(AND(N(K146)&lt;&gt;0,U146=""),1,0)+IF(AND(N(P146)&lt;&gt;0,V146=""),1,0)</f>
        <v/>
      </c>
    </row>
    <row r="147">
      <c r="A147" s="19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20" t="n"/>
      <c r="K147" s="20" t="n"/>
      <c r="L147" s="14" t="n"/>
      <c r="M147" s="14" t="n"/>
      <c r="N147" s="14" t="n"/>
      <c r="O147" s="21">
        <f>ROUND(N(I147)*N(J147),2)</f>
        <v/>
      </c>
      <c r="P147" s="21">
        <f>O147-N(K147)</f>
        <v/>
      </c>
      <c r="Q147" s="16">
        <f>IF(F147&lt;&gt;"",F147&amp;"",IF(LEFT(E147,6)="Indire",INDEX('Chart of Accounts'!$A$5:$A$3000,MATCH("project_overhead",'Chart of Accounts'!$F$5:$F$3000,0)),IF(LEFT(E147,6)="Admini",INDEX('Chart of Accounts'!$A$5:$A$3000,MATCH("admin_salaries",'Chart of Accounts'!$F$5:$F$3000,0)),INDEX('Chart of Accounts'!$A$5:$A$3000,MATCH("direct_labour",'Chart of Accounts'!$F$5:$F$3000,0)))))</f>
        <v/>
      </c>
      <c r="R147" s="16">
        <f>IF(M147="",INDEX('Chart of Accounts'!$A$5:$A$3000,MATCH("bank",'Chart of Accounts'!$F$5:$F$3000,0)),M147&amp;"")</f>
        <v/>
      </c>
      <c r="S147" s="16">
        <f>IF(N147="",INDEX('Chart of Accounts'!$A$5:$A$3000,MATCH("accrued_payroll",'Chart of Accounts'!$F$5:$F$3000,0)),N147&amp;"")</f>
        <v/>
      </c>
      <c r="T147" s="23">
        <f>IFERROR(INDEX('Chart of Accounts'!$C$5:$C$3000,MATCH(Q147&amp;"",'Chart of Accounts'!$A$5:$A$3000,0))&amp;"|"&amp;INDEX('Chart of Accounts'!$D$5:$D$3000,MATCH(Q147&amp;"",'Chart of Accounts'!$A$5:$A$3000,0)),"")</f>
        <v/>
      </c>
      <c r="U147" s="23">
        <f>IFERROR(INDEX('Chart of Accounts'!$C$5:$C$3000,MATCH(R147&amp;"",'Chart of Accounts'!$A$5:$A$3000,0))&amp;"|"&amp;INDEX('Chart of Accounts'!$D$5:$D$3000,MATCH(R147&amp;"",'Chart of Accounts'!$A$5:$A$3000,0)),"")</f>
        <v/>
      </c>
      <c r="V147" s="23">
        <f>IFERROR(INDEX('Chart of Accounts'!$C$5:$C$3000,MATCH(S147&amp;"",'Chart of Accounts'!$A$5:$A$3000,0))&amp;"|"&amp;INDEX('Chart of Accounts'!$D$5:$D$3000,MATCH(S147&amp;"",'Chart of Accounts'!$A$5:$A$3000,0)),"")</f>
        <v/>
      </c>
      <c r="W147" s="23">
        <f>IF(LEFT(T147,8)="Revenue|",-N(O147),0)+IF(LEFT(U147,8)="Revenue|",N(K147),0)+IF(LEFT(V147,8)="Revenue|",N(P147),0)</f>
        <v/>
      </c>
      <c r="X147" s="23">
        <f>IF(LEFT(T147,5)="COGS|",N(O147),0)+IF(LEFT(U147,5)="COGS|",-N(K147),0)+IF(LEFT(V147,5)="COGS|",-N(P147),0)</f>
        <v/>
      </c>
      <c r="Y147" s="23">
        <f>IF(LEFT(T147,8)="Expense|",N(O147),0)+IF(LEFT(U147,8)="Expense|",-N(K147),0)+IF(LEFT(V147,8)="Expense|",-N(P147),0)</f>
        <v/>
      </c>
      <c r="Z147" s="23">
        <f>IF(ISNUMBER(MATCH(T147,{"Expense|employee","Expense|general_admin","Expense|marketing","Expense|utilities","Expense|other_operating"},0)),N(O147),0)+IF(ISNUMBER(MATCH(U147,{"Expense|employee","Expense|general_admin","Expense|marketing","Expense|utilities","Expense|other_operating"},0)),-N(K147),0)+IF(ISNUMBER(MATCH(V147,{"Expense|employee","Expense|general_admin","Expense|marketing","Expense|utilities","Expense|other_operating"},0)),-N(P147),0)</f>
        <v/>
      </c>
      <c r="AA147" s="23">
        <f>IF(T147="Liability|payable",-N(O147),0)+IF(U147="Liability|payable",N(K147),0)+IF(V147="Liability|payable",N(P147),0)</f>
        <v/>
      </c>
      <c r="AB147" s="23">
        <f>IF(T147="Liability|accrued",-N(O147),0)+IF(U147="Liability|accrued",N(K147),0)+IF(V147="Liability|accrued",N(P147),0)</f>
        <v/>
      </c>
      <c r="AC147" s="23">
        <f>IF(AND(N(O147)&lt;&gt;0,T147=""),1,0)+IF(AND(N(K147)&lt;&gt;0,U147=""),1,0)+IF(AND(N(P147)&lt;&gt;0,V147=""),1,0)</f>
        <v/>
      </c>
    </row>
    <row r="148">
      <c r="A148" s="19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20" t="n"/>
      <c r="K148" s="20" t="n"/>
      <c r="L148" s="14" t="n"/>
      <c r="M148" s="14" t="n"/>
      <c r="N148" s="14" t="n"/>
      <c r="O148" s="21">
        <f>ROUND(N(I148)*N(J148),2)</f>
        <v/>
      </c>
      <c r="P148" s="21">
        <f>O148-N(K148)</f>
        <v/>
      </c>
      <c r="Q148" s="16">
        <f>IF(F148&lt;&gt;"",F148&amp;"",IF(LEFT(E148,6)="Indire",INDEX('Chart of Accounts'!$A$5:$A$3000,MATCH("project_overhead",'Chart of Accounts'!$F$5:$F$3000,0)),IF(LEFT(E148,6)="Admini",INDEX('Chart of Accounts'!$A$5:$A$3000,MATCH("admin_salaries",'Chart of Accounts'!$F$5:$F$3000,0)),INDEX('Chart of Accounts'!$A$5:$A$3000,MATCH("direct_labour",'Chart of Accounts'!$F$5:$F$3000,0)))))</f>
        <v/>
      </c>
      <c r="R148" s="16">
        <f>IF(M148="",INDEX('Chart of Accounts'!$A$5:$A$3000,MATCH("bank",'Chart of Accounts'!$F$5:$F$3000,0)),M148&amp;"")</f>
        <v/>
      </c>
      <c r="S148" s="16">
        <f>IF(N148="",INDEX('Chart of Accounts'!$A$5:$A$3000,MATCH("accrued_payroll",'Chart of Accounts'!$F$5:$F$3000,0)),N148&amp;"")</f>
        <v/>
      </c>
      <c r="T148" s="23">
        <f>IFERROR(INDEX('Chart of Accounts'!$C$5:$C$3000,MATCH(Q148&amp;"",'Chart of Accounts'!$A$5:$A$3000,0))&amp;"|"&amp;INDEX('Chart of Accounts'!$D$5:$D$3000,MATCH(Q148&amp;"",'Chart of Accounts'!$A$5:$A$3000,0)),"")</f>
        <v/>
      </c>
      <c r="U148" s="23">
        <f>IFERROR(INDEX('Chart of Accounts'!$C$5:$C$3000,MATCH(R148&amp;"",'Chart of Accounts'!$A$5:$A$3000,0))&amp;"|"&amp;INDEX('Chart of Accounts'!$D$5:$D$3000,MATCH(R148&amp;"",'Chart of Accounts'!$A$5:$A$3000,0)),"")</f>
        <v/>
      </c>
      <c r="V148" s="23">
        <f>IFERROR(INDEX('Chart of Accounts'!$C$5:$C$3000,MATCH(S148&amp;"",'Chart of Accounts'!$A$5:$A$3000,0))&amp;"|"&amp;INDEX('Chart of Accounts'!$D$5:$D$3000,MATCH(S148&amp;"",'Chart of Accounts'!$A$5:$A$3000,0)),"")</f>
        <v/>
      </c>
      <c r="W148" s="23">
        <f>IF(LEFT(T148,8)="Revenue|",-N(O148),0)+IF(LEFT(U148,8)="Revenue|",N(K148),0)+IF(LEFT(V148,8)="Revenue|",N(P148),0)</f>
        <v/>
      </c>
      <c r="X148" s="23">
        <f>IF(LEFT(T148,5)="COGS|",N(O148),0)+IF(LEFT(U148,5)="COGS|",-N(K148),0)+IF(LEFT(V148,5)="COGS|",-N(P148),0)</f>
        <v/>
      </c>
      <c r="Y148" s="23">
        <f>IF(LEFT(T148,8)="Expense|",N(O148),0)+IF(LEFT(U148,8)="Expense|",-N(K148),0)+IF(LEFT(V148,8)="Expense|",-N(P148),0)</f>
        <v/>
      </c>
      <c r="Z148" s="23">
        <f>IF(ISNUMBER(MATCH(T148,{"Expense|employee","Expense|general_admin","Expense|marketing","Expense|utilities","Expense|other_operating"},0)),N(O148),0)+IF(ISNUMBER(MATCH(U148,{"Expense|employee","Expense|general_admin","Expense|marketing","Expense|utilities","Expense|other_operating"},0)),-N(K148),0)+IF(ISNUMBER(MATCH(V148,{"Expense|employee","Expense|general_admin","Expense|marketing","Expense|utilities","Expense|other_operating"},0)),-N(P148),0)</f>
        <v/>
      </c>
      <c r="AA148" s="23">
        <f>IF(T148="Liability|payable",-N(O148),0)+IF(U148="Liability|payable",N(K148),0)+IF(V148="Liability|payable",N(P148),0)</f>
        <v/>
      </c>
      <c r="AB148" s="23">
        <f>IF(T148="Liability|accrued",-N(O148),0)+IF(U148="Liability|accrued",N(K148),0)+IF(V148="Liability|accrued",N(P148),0)</f>
        <v/>
      </c>
      <c r="AC148" s="23">
        <f>IF(AND(N(O148)&lt;&gt;0,T148=""),1,0)+IF(AND(N(K148)&lt;&gt;0,U148=""),1,0)+IF(AND(N(P148)&lt;&gt;0,V148=""),1,0)</f>
        <v/>
      </c>
    </row>
    <row r="149">
      <c r="A149" s="19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20" t="n"/>
      <c r="K149" s="20" t="n"/>
      <c r="L149" s="14" t="n"/>
      <c r="M149" s="14" t="n"/>
      <c r="N149" s="14" t="n"/>
      <c r="O149" s="21">
        <f>ROUND(N(I149)*N(J149),2)</f>
        <v/>
      </c>
      <c r="P149" s="21">
        <f>O149-N(K149)</f>
        <v/>
      </c>
      <c r="Q149" s="16">
        <f>IF(F149&lt;&gt;"",F149&amp;"",IF(LEFT(E149,6)="Indire",INDEX('Chart of Accounts'!$A$5:$A$3000,MATCH("project_overhead",'Chart of Accounts'!$F$5:$F$3000,0)),IF(LEFT(E149,6)="Admini",INDEX('Chart of Accounts'!$A$5:$A$3000,MATCH("admin_salaries",'Chart of Accounts'!$F$5:$F$3000,0)),INDEX('Chart of Accounts'!$A$5:$A$3000,MATCH("direct_labour",'Chart of Accounts'!$F$5:$F$3000,0)))))</f>
        <v/>
      </c>
      <c r="R149" s="16">
        <f>IF(M149="",INDEX('Chart of Accounts'!$A$5:$A$3000,MATCH("bank",'Chart of Accounts'!$F$5:$F$3000,0)),M149&amp;"")</f>
        <v/>
      </c>
      <c r="S149" s="16">
        <f>IF(N149="",INDEX('Chart of Accounts'!$A$5:$A$3000,MATCH("accrued_payroll",'Chart of Accounts'!$F$5:$F$3000,0)),N149&amp;"")</f>
        <v/>
      </c>
      <c r="T149" s="23">
        <f>IFERROR(INDEX('Chart of Accounts'!$C$5:$C$3000,MATCH(Q149&amp;"",'Chart of Accounts'!$A$5:$A$3000,0))&amp;"|"&amp;INDEX('Chart of Accounts'!$D$5:$D$3000,MATCH(Q149&amp;"",'Chart of Accounts'!$A$5:$A$3000,0)),"")</f>
        <v/>
      </c>
      <c r="U149" s="23">
        <f>IFERROR(INDEX('Chart of Accounts'!$C$5:$C$3000,MATCH(R149&amp;"",'Chart of Accounts'!$A$5:$A$3000,0))&amp;"|"&amp;INDEX('Chart of Accounts'!$D$5:$D$3000,MATCH(R149&amp;"",'Chart of Accounts'!$A$5:$A$3000,0)),"")</f>
        <v/>
      </c>
      <c r="V149" s="23">
        <f>IFERROR(INDEX('Chart of Accounts'!$C$5:$C$3000,MATCH(S149&amp;"",'Chart of Accounts'!$A$5:$A$3000,0))&amp;"|"&amp;INDEX('Chart of Accounts'!$D$5:$D$3000,MATCH(S149&amp;"",'Chart of Accounts'!$A$5:$A$3000,0)),"")</f>
        <v/>
      </c>
      <c r="W149" s="23">
        <f>IF(LEFT(T149,8)="Revenue|",-N(O149),0)+IF(LEFT(U149,8)="Revenue|",N(K149),0)+IF(LEFT(V149,8)="Revenue|",N(P149),0)</f>
        <v/>
      </c>
      <c r="X149" s="23">
        <f>IF(LEFT(T149,5)="COGS|",N(O149),0)+IF(LEFT(U149,5)="COGS|",-N(K149),0)+IF(LEFT(V149,5)="COGS|",-N(P149),0)</f>
        <v/>
      </c>
      <c r="Y149" s="23">
        <f>IF(LEFT(T149,8)="Expense|",N(O149),0)+IF(LEFT(U149,8)="Expense|",-N(K149),0)+IF(LEFT(V149,8)="Expense|",-N(P149),0)</f>
        <v/>
      </c>
      <c r="Z149" s="23">
        <f>IF(ISNUMBER(MATCH(T149,{"Expense|employee","Expense|general_admin","Expense|marketing","Expense|utilities","Expense|other_operating"},0)),N(O149),0)+IF(ISNUMBER(MATCH(U149,{"Expense|employee","Expense|general_admin","Expense|marketing","Expense|utilities","Expense|other_operating"},0)),-N(K149),0)+IF(ISNUMBER(MATCH(V149,{"Expense|employee","Expense|general_admin","Expense|marketing","Expense|utilities","Expense|other_operating"},0)),-N(P149),0)</f>
        <v/>
      </c>
      <c r="AA149" s="23">
        <f>IF(T149="Liability|payable",-N(O149),0)+IF(U149="Liability|payable",N(K149),0)+IF(V149="Liability|payable",N(P149),0)</f>
        <v/>
      </c>
      <c r="AB149" s="23">
        <f>IF(T149="Liability|accrued",-N(O149),0)+IF(U149="Liability|accrued",N(K149),0)+IF(V149="Liability|accrued",N(P149),0)</f>
        <v/>
      </c>
      <c r="AC149" s="23">
        <f>IF(AND(N(O149)&lt;&gt;0,T149=""),1,0)+IF(AND(N(K149)&lt;&gt;0,U149=""),1,0)+IF(AND(N(P149)&lt;&gt;0,V149=""),1,0)</f>
        <v/>
      </c>
    </row>
    <row r="150">
      <c r="A150" s="19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20" t="n"/>
      <c r="K150" s="20" t="n"/>
      <c r="L150" s="14" t="n"/>
      <c r="M150" s="14" t="n"/>
      <c r="N150" s="14" t="n"/>
      <c r="O150" s="21">
        <f>ROUND(N(I150)*N(J150),2)</f>
        <v/>
      </c>
      <c r="P150" s="21">
        <f>O150-N(K150)</f>
        <v/>
      </c>
      <c r="Q150" s="16">
        <f>IF(F150&lt;&gt;"",F150&amp;"",IF(LEFT(E150,6)="Indire",INDEX('Chart of Accounts'!$A$5:$A$3000,MATCH("project_overhead",'Chart of Accounts'!$F$5:$F$3000,0)),IF(LEFT(E150,6)="Admini",INDEX('Chart of Accounts'!$A$5:$A$3000,MATCH("admin_salaries",'Chart of Accounts'!$F$5:$F$3000,0)),INDEX('Chart of Accounts'!$A$5:$A$3000,MATCH("direct_labour",'Chart of Accounts'!$F$5:$F$3000,0)))))</f>
        <v/>
      </c>
      <c r="R150" s="16">
        <f>IF(M150="",INDEX('Chart of Accounts'!$A$5:$A$3000,MATCH("bank",'Chart of Accounts'!$F$5:$F$3000,0)),M150&amp;"")</f>
        <v/>
      </c>
      <c r="S150" s="16">
        <f>IF(N150="",INDEX('Chart of Accounts'!$A$5:$A$3000,MATCH("accrued_payroll",'Chart of Accounts'!$F$5:$F$3000,0)),N150&amp;"")</f>
        <v/>
      </c>
      <c r="T150" s="23">
        <f>IFERROR(INDEX('Chart of Accounts'!$C$5:$C$3000,MATCH(Q150&amp;"",'Chart of Accounts'!$A$5:$A$3000,0))&amp;"|"&amp;INDEX('Chart of Accounts'!$D$5:$D$3000,MATCH(Q150&amp;"",'Chart of Accounts'!$A$5:$A$3000,0)),"")</f>
        <v/>
      </c>
      <c r="U150" s="23">
        <f>IFERROR(INDEX('Chart of Accounts'!$C$5:$C$3000,MATCH(R150&amp;"",'Chart of Accounts'!$A$5:$A$3000,0))&amp;"|"&amp;INDEX('Chart of Accounts'!$D$5:$D$3000,MATCH(R150&amp;"",'Chart of Accounts'!$A$5:$A$3000,0)),"")</f>
        <v/>
      </c>
      <c r="V150" s="23">
        <f>IFERROR(INDEX('Chart of Accounts'!$C$5:$C$3000,MATCH(S150&amp;"",'Chart of Accounts'!$A$5:$A$3000,0))&amp;"|"&amp;INDEX('Chart of Accounts'!$D$5:$D$3000,MATCH(S150&amp;"",'Chart of Accounts'!$A$5:$A$3000,0)),"")</f>
        <v/>
      </c>
      <c r="W150" s="23">
        <f>IF(LEFT(T150,8)="Revenue|",-N(O150),0)+IF(LEFT(U150,8)="Revenue|",N(K150),0)+IF(LEFT(V150,8)="Revenue|",N(P150),0)</f>
        <v/>
      </c>
      <c r="X150" s="23">
        <f>IF(LEFT(T150,5)="COGS|",N(O150),0)+IF(LEFT(U150,5)="COGS|",-N(K150),0)+IF(LEFT(V150,5)="COGS|",-N(P150),0)</f>
        <v/>
      </c>
      <c r="Y150" s="23">
        <f>IF(LEFT(T150,8)="Expense|",N(O150),0)+IF(LEFT(U150,8)="Expense|",-N(K150),0)+IF(LEFT(V150,8)="Expense|",-N(P150),0)</f>
        <v/>
      </c>
      <c r="Z150" s="23">
        <f>IF(ISNUMBER(MATCH(T150,{"Expense|employee","Expense|general_admin","Expense|marketing","Expense|utilities","Expense|other_operating"},0)),N(O150),0)+IF(ISNUMBER(MATCH(U150,{"Expense|employee","Expense|general_admin","Expense|marketing","Expense|utilities","Expense|other_operating"},0)),-N(K150),0)+IF(ISNUMBER(MATCH(V150,{"Expense|employee","Expense|general_admin","Expense|marketing","Expense|utilities","Expense|other_operating"},0)),-N(P150),0)</f>
        <v/>
      </c>
      <c r="AA150" s="23">
        <f>IF(T150="Liability|payable",-N(O150),0)+IF(U150="Liability|payable",N(K150),0)+IF(V150="Liability|payable",N(P150),0)</f>
        <v/>
      </c>
      <c r="AB150" s="23">
        <f>IF(T150="Liability|accrued",-N(O150),0)+IF(U150="Liability|accrued",N(K150),0)+IF(V150="Liability|accrued",N(P150),0)</f>
        <v/>
      </c>
      <c r="AC150" s="23">
        <f>IF(AND(N(O150)&lt;&gt;0,T150=""),1,0)+IF(AND(N(K150)&lt;&gt;0,U150=""),1,0)+IF(AND(N(P150)&lt;&gt;0,V150=""),1,0)</f>
        <v/>
      </c>
    </row>
    <row r="151">
      <c r="A151" s="19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20" t="n"/>
      <c r="K151" s="20" t="n"/>
      <c r="L151" s="14" t="n"/>
      <c r="M151" s="14" t="n"/>
      <c r="N151" s="14" t="n"/>
      <c r="O151" s="21">
        <f>ROUND(N(I151)*N(J151),2)</f>
        <v/>
      </c>
      <c r="P151" s="21">
        <f>O151-N(K151)</f>
        <v/>
      </c>
      <c r="Q151" s="16">
        <f>IF(F151&lt;&gt;"",F151&amp;"",IF(LEFT(E151,6)="Indire",INDEX('Chart of Accounts'!$A$5:$A$3000,MATCH("project_overhead",'Chart of Accounts'!$F$5:$F$3000,0)),IF(LEFT(E151,6)="Admini",INDEX('Chart of Accounts'!$A$5:$A$3000,MATCH("admin_salaries",'Chart of Accounts'!$F$5:$F$3000,0)),INDEX('Chart of Accounts'!$A$5:$A$3000,MATCH("direct_labour",'Chart of Accounts'!$F$5:$F$3000,0)))))</f>
        <v/>
      </c>
      <c r="R151" s="16">
        <f>IF(M151="",INDEX('Chart of Accounts'!$A$5:$A$3000,MATCH("bank",'Chart of Accounts'!$F$5:$F$3000,0)),M151&amp;"")</f>
        <v/>
      </c>
      <c r="S151" s="16">
        <f>IF(N151="",INDEX('Chart of Accounts'!$A$5:$A$3000,MATCH("accrued_payroll",'Chart of Accounts'!$F$5:$F$3000,0)),N151&amp;"")</f>
        <v/>
      </c>
      <c r="T151" s="23">
        <f>IFERROR(INDEX('Chart of Accounts'!$C$5:$C$3000,MATCH(Q151&amp;"",'Chart of Accounts'!$A$5:$A$3000,0))&amp;"|"&amp;INDEX('Chart of Accounts'!$D$5:$D$3000,MATCH(Q151&amp;"",'Chart of Accounts'!$A$5:$A$3000,0)),"")</f>
        <v/>
      </c>
      <c r="U151" s="23">
        <f>IFERROR(INDEX('Chart of Accounts'!$C$5:$C$3000,MATCH(R151&amp;"",'Chart of Accounts'!$A$5:$A$3000,0))&amp;"|"&amp;INDEX('Chart of Accounts'!$D$5:$D$3000,MATCH(R151&amp;"",'Chart of Accounts'!$A$5:$A$3000,0)),"")</f>
        <v/>
      </c>
      <c r="V151" s="23">
        <f>IFERROR(INDEX('Chart of Accounts'!$C$5:$C$3000,MATCH(S151&amp;"",'Chart of Accounts'!$A$5:$A$3000,0))&amp;"|"&amp;INDEX('Chart of Accounts'!$D$5:$D$3000,MATCH(S151&amp;"",'Chart of Accounts'!$A$5:$A$3000,0)),"")</f>
        <v/>
      </c>
      <c r="W151" s="23">
        <f>IF(LEFT(T151,8)="Revenue|",-N(O151),0)+IF(LEFT(U151,8)="Revenue|",N(K151),0)+IF(LEFT(V151,8)="Revenue|",N(P151),0)</f>
        <v/>
      </c>
      <c r="X151" s="23">
        <f>IF(LEFT(T151,5)="COGS|",N(O151),0)+IF(LEFT(U151,5)="COGS|",-N(K151),0)+IF(LEFT(V151,5)="COGS|",-N(P151),0)</f>
        <v/>
      </c>
      <c r="Y151" s="23">
        <f>IF(LEFT(T151,8)="Expense|",N(O151),0)+IF(LEFT(U151,8)="Expense|",-N(K151),0)+IF(LEFT(V151,8)="Expense|",-N(P151),0)</f>
        <v/>
      </c>
      <c r="Z151" s="23">
        <f>IF(ISNUMBER(MATCH(T151,{"Expense|employee","Expense|general_admin","Expense|marketing","Expense|utilities","Expense|other_operating"},0)),N(O151),0)+IF(ISNUMBER(MATCH(U151,{"Expense|employee","Expense|general_admin","Expense|marketing","Expense|utilities","Expense|other_operating"},0)),-N(K151),0)+IF(ISNUMBER(MATCH(V151,{"Expense|employee","Expense|general_admin","Expense|marketing","Expense|utilities","Expense|other_operating"},0)),-N(P151),0)</f>
        <v/>
      </c>
      <c r="AA151" s="23">
        <f>IF(T151="Liability|payable",-N(O151),0)+IF(U151="Liability|payable",N(K151),0)+IF(V151="Liability|payable",N(P151),0)</f>
        <v/>
      </c>
      <c r="AB151" s="23">
        <f>IF(T151="Liability|accrued",-N(O151),0)+IF(U151="Liability|accrued",N(K151),0)+IF(V151="Liability|accrued",N(P151),0)</f>
        <v/>
      </c>
      <c r="AC151" s="23">
        <f>IF(AND(N(O151)&lt;&gt;0,T151=""),1,0)+IF(AND(N(K151)&lt;&gt;0,U151=""),1,0)+IF(AND(N(P151)&lt;&gt;0,V151=""),1,0)</f>
        <v/>
      </c>
    </row>
    <row r="152">
      <c r="A152" s="19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20" t="n"/>
      <c r="K152" s="20" t="n"/>
      <c r="L152" s="14" t="n"/>
      <c r="M152" s="14" t="n"/>
      <c r="N152" s="14" t="n"/>
      <c r="O152" s="21">
        <f>ROUND(N(I152)*N(J152),2)</f>
        <v/>
      </c>
      <c r="P152" s="21">
        <f>O152-N(K152)</f>
        <v/>
      </c>
      <c r="Q152" s="16">
        <f>IF(F152&lt;&gt;"",F152&amp;"",IF(LEFT(E152,6)="Indire",INDEX('Chart of Accounts'!$A$5:$A$3000,MATCH("project_overhead",'Chart of Accounts'!$F$5:$F$3000,0)),IF(LEFT(E152,6)="Admini",INDEX('Chart of Accounts'!$A$5:$A$3000,MATCH("admin_salaries",'Chart of Accounts'!$F$5:$F$3000,0)),INDEX('Chart of Accounts'!$A$5:$A$3000,MATCH("direct_labour",'Chart of Accounts'!$F$5:$F$3000,0)))))</f>
        <v/>
      </c>
      <c r="R152" s="16">
        <f>IF(M152="",INDEX('Chart of Accounts'!$A$5:$A$3000,MATCH("bank",'Chart of Accounts'!$F$5:$F$3000,0)),M152&amp;"")</f>
        <v/>
      </c>
      <c r="S152" s="16">
        <f>IF(N152="",INDEX('Chart of Accounts'!$A$5:$A$3000,MATCH("accrued_payroll",'Chart of Accounts'!$F$5:$F$3000,0)),N152&amp;"")</f>
        <v/>
      </c>
      <c r="T152" s="23">
        <f>IFERROR(INDEX('Chart of Accounts'!$C$5:$C$3000,MATCH(Q152&amp;"",'Chart of Accounts'!$A$5:$A$3000,0))&amp;"|"&amp;INDEX('Chart of Accounts'!$D$5:$D$3000,MATCH(Q152&amp;"",'Chart of Accounts'!$A$5:$A$3000,0)),"")</f>
        <v/>
      </c>
      <c r="U152" s="23">
        <f>IFERROR(INDEX('Chart of Accounts'!$C$5:$C$3000,MATCH(R152&amp;"",'Chart of Accounts'!$A$5:$A$3000,0))&amp;"|"&amp;INDEX('Chart of Accounts'!$D$5:$D$3000,MATCH(R152&amp;"",'Chart of Accounts'!$A$5:$A$3000,0)),"")</f>
        <v/>
      </c>
      <c r="V152" s="23">
        <f>IFERROR(INDEX('Chart of Accounts'!$C$5:$C$3000,MATCH(S152&amp;"",'Chart of Accounts'!$A$5:$A$3000,0))&amp;"|"&amp;INDEX('Chart of Accounts'!$D$5:$D$3000,MATCH(S152&amp;"",'Chart of Accounts'!$A$5:$A$3000,0)),"")</f>
        <v/>
      </c>
      <c r="W152" s="23">
        <f>IF(LEFT(T152,8)="Revenue|",-N(O152),0)+IF(LEFT(U152,8)="Revenue|",N(K152),0)+IF(LEFT(V152,8)="Revenue|",N(P152),0)</f>
        <v/>
      </c>
      <c r="X152" s="23">
        <f>IF(LEFT(T152,5)="COGS|",N(O152),0)+IF(LEFT(U152,5)="COGS|",-N(K152),0)+IF(LEFT(V152,5)="COGS|",-N(P152),0)</f>
        <v/>
      </c>
      <c r="Y152" s="23">
        <f>IF(LEFT(T152,8)="Expense|",N(O152),0)+IF(LEFT(U152,8)="Expense|",-N(K152),0)+IF(LEFT(V152,8)="Expense|",-N(P152),0)</f>
        <v/>
      </c>
      <c r="Z152" s="23">
        <f>IF(ISNUMBER(MATCH(T152,{"Expense|employee","Expense|general_admin","Expense|marketing","Expense|utilities","Expense|other_operating"},0)),N(O152),0)+IF(ISNUMBER(MATCH(U152,{"Expense|employee","Expense|general_admin","Expense|marketing","Expense|utilities","Expense|other_operating"},0)),-N(K152),0)+IF(ISNUMBER(MATCH(V152,{"Expense|employee","Expense|general_admin","Expense|marketing","Expense|utilities","Expense|other_operating"},0)),-N(P152),0)</f>
        <v/>
      </c>
      <c r="AA152" s="23">
        <f>IF(T152="Liability|payable",-N(O152),0)+IF(U152="Liability|payable",N(K152),0)+IF(V152="Liability|payable",N(P152),0)</f>
        <v/>
      </c>
      <c r="AB152" s="23">
        <f>IF(T152="Liability|accrued",-N(O152),0)+IF(U152="Liability|accrued",N(K152),0)+IF(V152="Liability|accrued",N(P152),0)</f>
        <v/>
      </c>
      <c r="AC152" s="23">
        <f>IF(AND(N(O152)&lt;&gt;0,T152=""),1,0)+IF(AND(N(K152)&lt;&gt;0,U152=""),1,0)+IF(AND(N(P152)&lt;&gt;0,V152=""),1,0)</f>
        <v/>
      </c>
    </row>
    <row r="153">
      <c r="A153" s="19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20" t="n"/>
      <c r="K153" s="20" t="n"/>
      <c r="L153" s="14" t="n"/>
      <c r="M153" s="14" t="n"/>
      <c r="N153" s="14" t="n"/>
      <c r="O153" s="21">
        <f>ROUND(N(I153)*N(J153),2)</f>
        <v/>
      </c>
      <c r="P153" s="21">
        <f>O153-N(K153)</f>
        <v/>
      </c>
      <c r="Q153" s="16">
        <f>IF(F153&lt;&gt;"",F153&amp;"",IF(LEFT(E153,6)="Indire",INDEX('Chart of Accounts'!$A$5:$A$3000,MATCH("project_overhead",'Chart of Accounts'!$F$5:$F$3000,0)),IF(LEFT(E153,6)="Admini",INDEX('Chart of Accounts'!$A$5:$A$3000,MATCH("admin_salaries",'Chart of Accounts'!$F$5:$F$3000,0)),INDEX('Chart of Accounts'!$A$5:$A$3000,MATCH("direct_labour",'Chart of Accounts'!$F$5:$F$3000,0)))))</f>
        <v/>
      </c>
      <c r="R153" s="16">
        <f>IF(M153="",INDEX('Chart of Accounts'!$A$5:$A$3000,MATCH("bank",'Chart of Accounts'!$F$5:$F$3000,0)),M153&amp;"")</f>
        <v/>
      </c>
      <c r="S153" s="16">
        <f>IF(N153="",INDEX('Chart of Accounts'!$A$5:$A$3000,MATCH("accrued_payroll",'Chart of Accounts'!$F$5:$F$3000,0)),N153&amp;"")</f>
        <v/>
      </c>
      <c r="T153" s="23">
        <f>IFERROR(INDEX('Chart of Accounts'!$C$5:$C$3000,MATCH(Q153&amp;"",'Chart of Accounts'!$A$5:$A$3000,0))&amp;"|"&amp;INDEX('Chart of Accounts'!$D$5:$D$3000,MATCH(Q153&amp;"",'Chart of Accounts'!$A$5:$A$3000,0)),"")</f>
        <v/>
      </c>
      <c r="U153" s="23">
        <f>IFERROR(INDEX('Chart of Accounts'!$C$5:$C$3000,MATCH(R153&amp;"",'Chart of Accounts'!$A$5:$A$3000,0))&amp;"|"&amp;INDEX('Chart of Accounts'!$D$5:$D$3000,MATCH(R153&amp;"",'Chart of Accounts'!$A$5:$A$3000,0)),"")</f>
        <v/>
      </c>
      <c r="V153" s="23">
        <f>IFERROR(INDEX('Chart of Accounts'!$C$5:$C$3000,MATCH(S153&amp;"",'Chart of Accounts'!$A$5:$A$3000,0))&amp;"|"&amp;INDEX('Chart of Accounts'!$D$5:$D$3000,MATCH(S153&amp;"",'Chart of Accounts'!$A$5:$A$3000,0)),"")</f>
        <v/>
      </c>
      <c r="W153" s="23">
        <f>IF(LEFT(T153,8)="Revenue|",-N(O153),0)+IF(LEFT(U153,8)="Revenue|",N(K153),0)+IF(LEFT(V153,8)="Revenue|",N(P153),0)</f>
        <v/>
      </c>
      <c r="X153" s="23">
        <f>IF(LEFT(T153,5)="COGS|",N(O153),0)+IF(LEFT(U153,5)="COGS|",-N(K153),0)+IF(LEFT(V153,5)="COGS|",-N(P153),0)</f>
        <v/>
      </c>
      <c r="Y153" s="23">
        <f>IF(LEFT(T153,8)="Expense|",N(O153),0)+IF(LEFT(U153,8)="Expense|",-N(K153),0)+IF(LEFT(V153,8)="Expense|",-N(P153),0)</f>
        <v/>
      </c>
      <c r="Z153" s="23">
        <f>IF(ISNUMBER(MATCH(T153,{"Expense|employee","Expense|general_admin","Expense|marketing","Expense|utilities","Expense|other_operating"},0)),N(O153),0)+IF(ISNUMBER(MATCH(U153,{"Expense|employee","Expense|general_admin","Expense|marketing","Expense|utilities","Expense|other_operating"},0)),-N(K153),0)+IF(ISNUMBER(MATCH(V153,{"Expense|employee","Expense|general_admin","Expense|marketing","Expense|utilities","Expense|other_operating"},0)),-N(P153),0)</f>
        <v/>
      </c>
      <c r="AA153" s="23">
        <f>IF(T153="Liability|payable",-N(O153),0)+IF(U153="Liability|payable",N(K153),0)+IF(V153="Liability|payable",N(P153),0)</f>
        <v/>
      </c>
      <c r="AB153" s="23">
        <f>IF(T153="Liability|accrued",-N(O153),0)+IF(U153="Liability|accrued",N(K153),0)+IF(V153="Liability|accrued",N(P153),0)</f>
        <v/>
      </c>
      <c r="AC153" s="23">
        <f>IF(AND(N(O153)&lt;&gt;0,T153=""),1,0)+IF(AND(N(K153)&lt;&gt;0,U153=""),1,0)+IF(AND(N(P153)&lt;&gt;0,V153=""),1,0)</f>
        <v/>
      </c>
    </row>
    <row r="154">
      <c r="A154" s="19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20" t="n"/>
      <c r="K154" s="20" t="n"/>
      <c r="L154" s="14" t="n"/>
      <c r="M154" s="14" t="n"/>
      <c r="N154" s="14" t="n"/>
      <c r="O154" s="21">
        <f>ROUND(N(I154)*N(J154),2)</f>
        <v/>
      </c>
      <c r="P154" s="21">
        <f>O154-N(K154)</f>
        <v/>
      </c>
      <c r="Q154" s="16">
        <f>IF(F154&lt;&gt;"",F154&amp;"",IF(LEFT(E154,6)="Indire",INDEX('Chart of Accounts'!$A$5:$A$3000,MATCH("project_overhead",'Chart of Accounts'!$F$5:$F$3000,0)),IF(LEFT(E154,6)="Admini",INDEX('Chart of Accounts'!$A$5:$A$3000,MATCH("admin_salaries",'Chart of Accounts'!$F$5:$F$3000,0)),INDEX('Chart of Accounts'!$A$5:$A$3000,MATCH("direct_labour",'Chart of Accounts'!$F$5:$F$3000,0)))))</f>
        <v/>
      </c>
      <c r="R154" s="16">
        <f>IF(M154="",INDEX('Chart of Accounts'!$A$5:$A$3000,MATCH("bank",'Chart of Accounts'!$F$5:$F$3000,0)),M154&amp;"")</f>
        <v/>
      </c>
      <c r="S154" s="16">
        <f>IF(N154="",INDEX('Chart of Accounts'!$A$5:$A$3000,MATCH("accrued_payroll",'Chart of Accounts'!$F$5:$F$3000,0)),N154&amp;"")</f>
        <v/>
      </c>
      <c r="T154" s="23">
        <f>IFERROR(INDEX('Chart of Accounts'!$C$5:$C$3000,MATCH(Q154&amp;"",'Chart of Accounts'!$A$5:$A$3000,0))&amp;"|"&amp;INDEX('Chart of Accounts'!$D$5:$D$3000,MATCH(Q154&amp;"",'Chart of Accounts'!$A$5:$A$3000,0)),"")</f>
        <v/>
      </c>
      <c r="U154" s="23">
        <f>IFERROR(INDEX('Chart of Accounts'!$C$5:$C$3000,MATCH(R154&amp;"",'Chart of Accounts'!$A$5:$A$3000,0))&amp;"|"&amp;INDEX('Chart of Accounts'!$D$5:$D$3000,MATCH(R154&amp;"",'Chart of Accounts'!$A$5:$A$3000,0)),"")</f>
        <v/>
      </c>
      <c r="V154" s="23">
        <f>IFERROR(INDEX('Chart of Accounts'!$C$5:$C$3000,MATCH(S154&amp;"",'Chart of Accounts'!$A$5:$A$3000,0))&amp;"|"&amp;INDEX('Chart of Accounts'!$D$5:$D$3000,MATCH(S154&amp;"",'Chart of Accounts'!$A$5:$A$3000,0)),"")</f>
        <v/>
      </c>
      <c r="W154" s="23">
        <f>IF(LEFT(T154,8)="Revenue|",-N(O154),0)+IF(LEFT(U154,8)="Revenue|",N(K154),0)+IF(LEFT(V154,8)="Revenue|",N(P154),0)</f>
        <v/>
      </c>
      <c r="X154" s="23">
        <f>IF(LEFT(T154,5)="COGS|",N(O154),0)+IF(LEFT(U154,5)="COGS|",-N(K154),0)+IF(LEFT(V154,5)="COGS|",-N(P154),0)</f>
        <v/>
      </c>
      <c r="Y154" s="23">
        <f>IF(LEFT(T154,8)="Expense|",N(O154),0)+IF(LEFT(U154,8)="Expense|",-N(K154),0)+IF(LEFT(V154,8)="Expense|",-N(P154),0)</f>
        <v/>
      </c>
      <c r="Z154" s="23">
        <f>IF(ISNUMBER(MATCH(T154,{"Expense|employee","Expense|general_admin","Expense|marketing","Expense|utilities","Expense|other_operating"},0)),N(O154),0)+IF(ISNUMBER(MATCH(U154,{"Expense|employee","Expense|general_admin","Expense|marketing","Expense|utilities","Expense|other_operating"},0)),-N(K154),0)+IF(ISNUMBER(MATCH(V154,{"Expense|employee","Expense|general_admin","Expense|marketing","Expense|utilities","Expense|other_operating"},0)),-N(P154),0)</f>
        <v/>
      </c>
      <c r="AA154" s="23">
        <f>IF(T154="Liability|payable",-N(O154),0)+IF(U154="Liability|payable",N(K154),0)+IF(V154="Liability|payable",N(P154),0)</f>
        <v/>
      </c>
      <c r="AB154" s="23">
        <f>IF(T154="Liability|accrued",-N(O154),0)+IF(U154="Liability|accrued",N(K154),0)+IF(V154="Liability|accrued",N(P154),0)</f>
        <v/>
      </c>
      <c r="AC154" s="23">
        <f>IF(AND(N(O154)&lt;&gt;0,T154=""),1,0)+IF(AND(N(K154)&lt;&gt;0,U154=""),1,0)+IF(AND(N(P154)&lt;&gt;0,V154=""),1,0)</f>
        <v/>
      </c>
    </row>
    <row r="155">
      <c r="A155" s="19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20" t="n"/>
      <c r="K155" s="20" t="n"/>
      <c r="L155" s="14" t="n"/>
      <c r="M155" s="14" t="n"/>
      <c r="N155" s="14" t="n"/>
      <c r="O155" s="21">
        <f>ROUND(N(I155)*N(J155),2)</f>
        <v/>
      </c>
      <c r="P155" s="21">
        <f>O155-N(K155)</f>
        <v/>
      </c>
      <c r="Q155" s="16">
        <f>IF(F155&lt;&gt;"",F155&amp;"",IF(LEFT(E155,6)="Indire",INDEX('Chart of Accounts'!$A$5:$A$3000,MATCH("project_overhead",'Chart of Accounts'!$F$5:$F$3000,0)),IF(LEFT(E155,6)="Admini",INDEX('Chart of Accounts'!$A$5:$A$3000,MATCH("admin_salaries",'Chart of Accounts'!$F$5:$F$3000,0)),INDEX('Chart of Accounts'!$A$5:$A$3000,MATCH("direct_labour",'Chart of Accounts'!$F$5:$F$3000,0)))))</f>
        <v/>
      </c>
      <c r="R155" s="16">
        <f>IF(M155="",INDEX('Chart of Accounts'!$A$5:$A$3000,MATCH("bank",'Chart of Accounts'!$F$5:$F$3000,0)),M155&amp;"")</f>
        <v/>
      </c>
      <c r="S155" s="16">
        <f>IF(N155="",INDEX('Chart of Accounts'!$A$5:$A$3000,MATCH("accrued_payroll",'Chart of Accounts'!$F$5:$F$3000,0)),N155&amp;"")</f>
        <v/>
      </c>
      <c r="T155" s="23">
        <f>IFERROR(INDEX('Chart of Accounts'!$C$5:$C$3000,MATCH(Q155&amp;"",'Chart of Accounts'!$A$5:$A$3000,0))&amp;"|"&amp;INDEX('Chart of Accounts'!$D$5:$D$3000,MATCH(Q155&amp;"",'Chart of Accounts'!$A$5:$A$3000,0)),"")</f>
        <v/>
      </c>
      <c r="U155" s="23">
        <f>IFERROR(INDEX('Chart of Accounts'!$C$5:$C$3000,MATCH(R155&amp;"",'Chart of Accounts'!$A$5:$A$3000,0))&amp;"|"&amp;INDEX('Chart of Accounts'!$D$5:$D$3000,MATCH(R155&amp;"",'Chart of Accounts'!$A$5:$A$3000,0)),"")</f>
        <v/>
      </c>
      <c r="V155" s="23">
        <f>IFERROR(INDEX('Chart of Accounts'!$C$5:$C$3000,MATCH(S155&amp;"",'Chart of Accounts'!$A$5:$A$3000,0))&amp;"|"&amp;INDEX('Chart of Accounts'!$D$5:$D$3000,MATCH(S155&amp;"",'Chart of Accounts'!$A$5:$A$3000,0)),"")</f>
        <v/>
      </c>
      <c r="W155" s="23">
        <f>IF(LEFT(T155,8)="Revenue|",-N(O155),0)+IF(LEFT(U155,8)="Revenue|",N(K155),0)+IF(LEFT(V155,8)="Revenue|",N(P155),0)</f>
        <v/>
      </c>
      <c r="X155" s="23">
        <f>IF(LEFT(T155,5)="COGS|",N(O155),0)+IF(LEFT(U155,5)="COGS|",-N(K155),0)+IF(LEFT(V155,5)="COGS|",-N(P155),0)</f>
        <v/>
      </c>
      <c r="Y155" s="23">
        <f>IF(LEFT(T155,8)="Expense|",N(O155),0)+IF(LEFT(U155,8)="Expense|",-N(K155),0)+IF(LEFT(V155,8)="Expense|",-N(P155),0)</f>
        <v/>
      </c>
      <c r="Z155" s="23">
        <f>IF(ISNUMBER(MATCH(T155,{"Expense|employee","Expense|general_admin","Expense|marketing","Expense|utilities","Expense|other_operating"},0)),N(O155),0)+IF(ISNUMBER(MATCH(U155,{"Expense|employee","Expense|general_admin","Expense|marketing","Expense|utilities","Expense|other_operating"},0)),-N(K155),0)+IF(ISNUMBER(MATCH(V155,{"Expense|employee","Expense|general_admin","Expense|marketing","Expense|utilities","Expense|other_operating"},0)),-N(P155),0)</f>
        <v/>
      </c>
      <c r="AA155" s="23">
        <f>IF(T155="Liability|payable",-N(O155),0)+IF(U155="Liability|payable",N(K155),0)+IF(V155="Liability|payable",N(P155),0)</f>
        <v/>
      </c>
      <c r="AB155" s="23">
        <f>IF(T155="Liability|accrued",-N(O155),0)+IF(U155="Liability|accrued",N(K155),0)+IF(V155="Liability|accrued",N(P155),0)</f>
        <v/>
      </c>
      <c r="AC155" s="23">
        <f>IF(AND(N(O155)&lt;&gt;0,T155=""),1,0)+IF(AND(N(K155)&lt;&gt;0,U155=""),1,0)+IF(AND(N(P155)&lt;&gt;0,V155=""),1,0)</f>
        <v/>
      </c>
    </row>
    <row r="156">
      <c r="A156" s="19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20" t="n"/>
      <c r="K156" s="20" t="n"/>
      <c r="L156" s="14" t="n"/>
      <c r="M156" s="14" t="n"/>
      <c r="N156" s="14" t="n"/>
      <c r="O156" s="21">
        <f>ROUND(N(I156)*N(J156),2)</f>
        <v/>
      </c>
      <c r="P156" s="21">
        <f>O156-N(K156)</f>
        <v/>
      </c>
      <c r="Q156" s="16">
        <f>IF(F156&lt;&gt;"",F156&amp;"",IF(LEFT(E156,6)="Indire",INDEX('Chart of Accounts'!$A$5:$A$3000,MATCH("project_overhead",'Chart of Accounts'!$F$5:$F$3000,0)),IF(LEFT(E156,6)="Admini",INDEX('Chart of Accounts'!$A$5:$A$3000,MATCH("admin_salaries",'Chart of Accounts'!$F$5:$F$3000,0)),INDEX('Chart of Accounts'!$A$5:$A$3000,MATCH("direct_labour",'Chart of Accounts'!$F$5:$F$3000,0)))))</f>
        <v/>
      </c>
      <c r="R156" s="16">
        <f>IF(M156="",INDEX('Chart of Accounts'!$A$5:$A$3000,MATCH("bank",'Chart of Accounts'!$F$5:$F$3000,0)),M156&amp;"")</f>
        <v/>
      </c>
      <c r="S156" s="16">
        <f>IF(N156="",INDEX('Chart of Accounts'!$A$5:$A$3000,MATCH("accrued_payroll",'Chart of Accounts'!$F$5:$F$3000,0)),N156&amp;"")</f>
        <v/>
      </c>
      <c r="T156" s="23">
        <f>IFERROR(INDEX('Chart of Accounts'!$C$5:$C$3000,MATCH(Q156&amp;"",'Chart of Accounts'!$A$5:$A$3000,0))&amp;"|"&amp;INDEX('Chart of Accounts'!$D$5:$D$3000,MATCH(Q156&amp;"",'Chart of Accounts'!$A$5:$A$3000,0)),"")</f>
        <v/>
      </c>
      <c r="U156" s="23">
        <f>IFERROR(INDEX('Chart of Accounts'!$C$5:$C$3000,MATCH(R156&amp;"",'Chart of Accounts'!$A$5:$A$3000,0))&amp;"|"&amp;INDEX('Chart of Accounts'!$D$5:$D$3000,MATCH(R156&amp;"",'Chart of Accounts'!$A$5:$A$3000,0)),"")</f>
        <v/>
      </c>
      <c r="V156" s="23">
        <f>IFERROR(INDEX('Chart of Accounts'!$C$5:$C$3000,MATCH(S156&amp;"",'Chart of Accounts'!$A$5:$A$3000,0))&amp;"|"&amp;INDEX('Chart of Accounts'!$D$5:$D$3000,MATCH(S156&amp;"",'Chart of Accounts'!$A$5:$A$3000,0)),"")</f>
        <v/>
      </c>
      <c r="W156" s="23">
        <f>IF(LEFT(T156,8)="Revenue|",-N(O156),0)+IF(LEFT(U156,8)="Revenue|",N(K156),0)+IF(LEFT(V156,8)="Revenue|",N(P156),0)</f>
        <v/>
      </c>
      <c r="X156" s="23">
        <f>IF(LEFT(T156,5)="COGS|",N(O156),0)+IF(LEFT(U156,5)="COGS|",-N(K156),0)+IF(LEFT(V156,5)="COGS|",-N(P156),0)</f>
        <v/>
      </c>
      <c r="Y156" s="23">
        <f>IF(LEFT(T156,8)="Expense|",N(O156),0)+IF(LEFT(U156,8)="Expense|",-N(K156),0)+IF(LEFT(V156,8)="Expense|",-N(P156),0)</f>
        <v/>
      </c>
      <c r="Z156" s="23">
        <f>IF(ISNUMBER(MATCH(T156,{"Expense|employee","Expense|general_admin","Expense|marketing","Expense|utilities","Expense|other_operating"},0)),N(O156),0)+IF(ISNUMBER(MATCH(U156,{"Expense|employee","Expense|general_admin","Expense|marketing","Expense|utilities","Expense|other_operating"},0)),-N(K156),0)+IF(ISNUMBER(MATCH(V156,{"Expense|employee","Expense|general_admin","Expense|marketing","Expense|utilities","Expense|other_operating"},0)),-N(P156),0)</f>
        <v/>
      </c>
      <c r="AA156" s="23">
        <f>IF(T156="Liability|payable",-N(O156),0)+IF(U156="Liability|payable",N(K156),0)+IF(V156="Liability|payable",N(P156),0)</f>
        <v/>
      </c>
      <c r="AB156" s="23">
        <f>IF(T156="Liability|accrued",-N(O156),0)+IF(U156="Liability|accrued",N(K156),0)+IF(V156="Liability|accrued",N(P156),0)</f>
        <v/>
      </c>
      <c r="AC156" s="23">
        <f>IF(AND(N(O156)&lt;&gt;0,T156=""),1,0)+IF(AND(N(K156)&lt;&gt;0,U156=""),1,0)+IF(AND(N(P156)&lt;&gt;0,V156=""),1,0)</f>
        <v/>
      </c>
    </row>
    <row r="157">
      <c r="A157" s="19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20" t="n"/>
      <c r="K157" s="20" t="n"/>
      <c r="L157" s="14" t="n"/>
      <c r="M157" s="14" t="n"/>
      <c r="N157" s="14" t="n"/>
      <c r="O157" s="21">
        <f>ROUND(N(I157)*N(J157),2)</f>
        <v/>
      </c>
      <c r="P157" s="21">
        <f>O157-N(K157)</f>
        <v/>
      </c>
      <c r="Q157" s="16">
        <f>IF(F157&lt;&gt;"",F157&amp;"",IF(LEFT(E157,6)="Indire",INDEX('Chart of Accounts'!$A$5:$A$3000,MATCH("project_overhead",'Chart of Accounts'!$F$5:$F$3000,0)),IF(LEFT(E157,6)="Admini",INDEX('Chart of Accounts'!$A$5:$A$3000,MATCH("admin_salaries",'Chart of Accounts'!$F$5:$F$3000,0)),INDEX('Chart of Accounts'!$A$5:$A$3000,MATCH("direct_labour",'Chart of Accounts'!$F$5:$F$3000,0)))))</f>
        <v/>
      </c>
      <c r="R157" s="16">
        <f>IF(M157="",INDEX('Chart of Accounts'!$A$5:$A$3000,MATCH("bank",'Chart of Accounts'!$F$5:$F$3000,0)),M157&amp;"")</f>
        <v/>
      </c>
      <c r="S157" s="16">
        <f>IF(N157="",INDEX('Chart of Accounts'!$A$5:$A$3000,MATCH("accrued_payroll",'Chart of Accounts'!$F$5:$F$3000,0)),N157&amp;"")</f>
        <v/>
      </c>
      <c r="T157" s="23">
        <f>IFERROR(INDEX('Chart of Accounts'!$C$5:$C$3000,MATCH(Q157&amp;"",'Chart of Accounts'!$A$5:$A$3000,0))&amp;"|"&amp;INDEX('Chart of Accounts'!$D$5:$D$3000,MATCH(Q157&amp;"",'Chart of Accounts'!$A$5:$A$3000,0)),"")</f>
        <v/>
      </c>
      <c r="U157" s="23">
        <f>IFERROR(INDEX('Chart of Accounts'!$C$5:$C$3000,MATCH(R157&amp;"",'Chart of Accounts'!$A$5:$A$3000,0))&amp;"|"&amp;INDEX('Chart of Accounts'!$D$5:$D$3000,MATCH(R157&amp;"",'Chart of Accounts'!$A$5:$A$3000,0)),"")</f>
        <v/>
      </c>
      <c r="V157" s="23">
        <f>IFERROR(INDEX('Chart of Accounts'!$C$5:$C$3000,MATCH(S157&amp;"",'Chart of Accounts'!$A$5:$A$3000,0))&amp;"|"&amp;INDEX('Chart of Accounts'!$D$5:$D$3000,MATCH(S157&amp;"",'Chart of Accounts'!$A$5:$A$3000,0)),"")</f>
        <v/>
      </c>
      <c r="W157" s="23">
        <f>IF(LEFT(T157,8)="Revenue|",-N(O157),0)+IF(LEFT(U157,8)="Revenue|",N(K157),0)+IF(LEFT(V157,8)="Revenue|",N(P157),0)</f>
        <v/>
      </c>
      <c r="X157" s="23">
        <f>IF(LEFT(T157,5)="COGS|",N(O157),0)+IF(LEFT(U157,5)="COGS|",-N(K157),0)+IF(LEFT(V157,5)="COGS|",-N(P157),0)</f>
        <v/>
      </c>
      <c r="Y157" s="23">
        <f>IF(LEFT(T157,8)="Expense|",N(O157),0)+IF(LEFT(U157,8)="Expense|",-N(K157),0)+IF(LEFT(V157,8)="Expense|",-N(P157),0)</f>
        <v/>
      </c>
      <c r="Z157" s="23">
        <f>IF(ISNUMBER(MATCH(T157,{"Expense|employee","Expense|general_admin","Expense|marketing","Expense|utilities","Expense|other_operating"},0)),N(O157),0)+IF(ISNUMBER(MATCH(U157,{"Expense|employee","Expense|general_admin","Expense|marketing","Expense|utilities","Expense|other_operating"},0)),-N(K157),0)+IF(ISNUMBER(MATCH(V157,{"Expense|employee","Expense|general_admin","Expense|marketing","Expense|utilities","Expense|other_operating"},0)),-N(P157),0)</f>
        <v/>
      </c>
      <c r="AA157" s="23">
        <f>IF(T157="Liability|payable",-N(O157),0)+IF(U157="Liability|payable",N(K157),0)+IF(V157="Liability|payable",N(P157),0)</f>
        <v/>
      </c>
      <c r="AB157" s="23">
        <f>IF(T157="Liability|accrued",-N(O157),0)+IF(U157="Liability|accrued",N(K157),0)+IF(V157="Liability|accrued",N(P157),0)</f>
        <v/>
      </c>
      <c r="AC157" s="23">
        <f>IF(AND(N(O157)&lt;&gt;0,T157=""),1,0)+IF(AND(N(K157)&lt;&gt;0,U157=""),1,0)+IF(AND(N(P157)&lt;&gt;0,V157=""),1,0)</f>
        <v/>
      </c>
    </row>
    <row r="158">
      <c r="A158" s="19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20" t="n"/>
      <c r="K158" s="20" t="n"/>
      <c r="L158" s="14" t="n"/>
      <c r="M158" s="14" t="n"/>
      <c r="N158" s="14" t="n"/>
      <c r="O158" s="21">
        <f>ROUND(N(I158)*N(J158),2)</f>
        <v/>
      </c>
      <c r="P158" s="21">
        <f>O158-N(K158)</f>
        <v/>
      </c>
      <c r="Q158" s="16">
        <f>IF(F158&lt;&gt;"",F158&amp;"",IF(LEFT(E158,6)="Indire",INDEX('Chart of Accounts'!$A$5:$A$3000,MATCH("project_overhead",'Chart of Accounts'!$F$5:$F$3000,0)),IF(LEFT(E158,6)="Admini",INDEX('Chart of Accounts'!$A$5:$A$3000,MATCH("admin_salaries",'Chart of Accounts'!$F$5:$F$3000,0)),INDEX('Chart of Accounts'!$A$5:$A$3000,MATCH("direct_labour",'Chart of Accounts'!$F$5:$F$3000,0)))))</f>
        <v/>
      </c>
      <c r="R158" s="16">
        <f>IF(M158="",INDEX('Chart of Accounts'!$A$5:$A$3000,MATCH("bank",'Chart of Accounts'!$F$5:$F$3000,0)),M158&amp;"")</f>
        <v/>
      </c>
      <c r="S158" s="16">
        <f>IF(N158="",INDEX('Chart of Accounts'!$A$5:$A$3000,MATCH("accrued_payroll",'Chart of Accounts'!$F$5:$F$3000,0)),N158&amp;"")</f>
        <v/>
      </c>
      <c r="T158" s="23">
        <f>IFERROR(INDEX('Chart of Accounts'!$C$5:$C$3000,MATCH(Q158&amp;"",'Chart of Accounts'!$A$5:$A$3000,0))&amp;"|"&amp;INDEX('Chart of Accounts'!$D$5:$D$3000,MATCH(Q158&amp;"",'Chart of Accounts'!$A$5:$A$3000,0)),"")</f>
        <v/>
      </c>
      <c r="U158" s="23">
        <f>IFERROR(INDEX('Chart of Accounts'!$C$5:$C$3000,MATCH(R158&amp;"",'Chart of Accounts'!$A$5:$A$3000,0))&amp;"|"&amp;INDEX('Chart of Accounts'!$D$5:$D$3000,MATCH(R158&amp;"",'Chart of Accounts'!$A$5:$A$3000,0)),"")</f>
        <v/>
      </c>
      <c r="V158" s="23">
        <f>IFERROR(INDEX('Chart of Accounts'!$C$5:$C$3000,MATCH(S158&amp;"",'Chart of Accounts'!$A$5:$A$3000,0))&amp;"|"&amp;INDEX('Chart of Accounts'!$D$5:$D$3000,MATCH(S158&amp;"",'Chart of Accounts'!$A$5:$A$3000,0)),"")</f>
        <v/>
      </c>
      <c r="W158" s="23">
        <f>IF(LEFT(T158,8)="Revenue|",-N(O158),0)+IF(LEFT(U158,8)="Revenue|",N(K158),0)+IF(LEFT(V158,8)="Revenue|",N(P158),0)</f>
        <v/>
      </c>
      <c r="X158" s="23">
        <f>IF(LEFT(T158,5)="COGS|",N(O158),0)+IF(LEFT(U158,5)="COGS|",-N(K158),0)+IF(LEFT(V158,5)="COGS|",-N(P158),0)</f>
        <v/>
      </c>
      <c r="Y158" s="23">
        <f>IF(LEFT(T158,8)="Expense|",N(O158),0)+IF(LEFT(U158,8)="Expense|",-N(K158),0)+IF(LEFT(V158,8)="Expense|",-N(P158),0)</f>
        <v/>
      </c>
      <c r="Z158" s="23">
        <f>IF(ISNUMBER(MATCH(T158,{"Expense|employee","Expense|general_admin","Expense|marketing","Expense|utilities","Expense|other_operating"},0)),N(O158),0)+IF(ISNUMBER(MATCH(U158,{"Expense|employee","Expense|general_admin","Expense|marketing","Expense|utilities","Expense|other_operating"},0)),-N(K158),0)+IF(ISNUMBER(MATCH(V158,{"Expense|employee","Expense|general_admin","Expense|marketing","Expense|utilities","Expense|other_operating"},0)),-N(P158),0)</f>
        <v/>
      </c>
      <c r="AA158" s="23">
        <f>IF(T158="Liability|payable",-N(O158),0)+IF(U158="Liability|payable",N(K158),0)+IF(V158="Liability|payable",N(P158),0)</f>
        <v/>
      </c>
      <c r="AB158" s="23">
        <f>IF(T158="Liability|accrued",-N(O158),0)+IF(U158="Liability|accrued",N(K158),0)+IF(V158="Liability|accrued",N(P158),0)</f>
        <v/>
      </c>
      <c r="AC158" s="23">
        <f>IF(AND(N(O158)&lt;&gt;0,T158=""),1,0)+IF(AND(N(K158)&lt;&gt;0,U158=""),1,0)+IF(AND(N(P158)&lt;&gt;0,V158=""),1,0)</f>
        <v/>
      </c>
    </row>
    <row r="159">
      <c r="A159" s="19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20" t="n"/>
      <c r="K159" s="20" t="n"/>
      <c r="L159" s="14" t="n"/>
      <c r="M159" s="14" t="n"/>
      <c r="N159" s="14" t="n"/>
      <c r="O159" s="21">
        <f>ROUND(N(I159)*N(J159),2)</f>
        <v/>
      </c>
      <c r="P159" s="21">
        <f>O159-N(K159)</f>
        <v/>
      </c>
      <c r="Q159" s="16">
        <f>IF(F159&lt;&gt;"",F159&amp;"",IF(LEFT(E159,6)="Indire",INDEX('Chart of Accounts'!$A$5:$A$3000,MATCH("project_overhead",'Chart of Accounts'!$F$5:$F$3000,0)),IF(LEFT(E159,6)="Admini",INDEX('Chart of Accounts'!$A$5:$A$3000,MATCH("admin_salaries",'Chart of Accounts'!$F$5:$F$3000,0)),INDEX('Chart of Accounts'!$A$5:$A$3000,MATCH("direct_labour",'Chart of Accounts'!$F$5:$F$3000,0)))))</f>
        <v/>
      </c>
      <c r="R159" s="16">
        <f>IF(M159="",INDEX('Chart of Accounts'!$A$5:$A$3000,MATCH("bank",'Chart of Accounts'!$F$5:$F$3000,0)),M159&amp;"")</f>
        <v/>
      </c>
      <c r="S159" s="16">
        <f>IF(N159="",INDEX('Chart of Accounts'!$A$5:$A$3000,MATCH("accrued_payroll",'Chart of Accounts'!$F$5:$F$3000,0)),N159&amp;"")</f>
        <v/>
      </c>
      <c r="T159" s="23">
        <f>IFERROR(INDEX('Chart of Accounts'!$C$5:$C$3000,MATCH(Q159&amp;"",'Chart of Accounts'!$A$5:$A$3000,0))&amp;"|"&amp;INDEX('Chart of Accounts'!$D$5:$D$3000,MATCH(Q159&amp;"",'Chart of Accounts'!$A$5:$A$3000,0)),"")</f>
        <v/>
      </c>
      <c r="U159" s="23">
        <f>IFERROR(INDEX('Chart of Accounts'!$C$5:$C$3000,MATCH(R159&amp;"",'Chart of Accounts'!$A$5:$A$3000,0))&amp;"|"&amp;INDEX('Chart of Accounts'!$D$5:$D$3000,MATCH(R159&amp;"",'Chart of Accounts'!$A$5:$A$3000,0)),"")</f>
        <v/>
      </c>
      <c r="V159" s="23">
        <f>IFERROR(INDEX('Chart of Accounts'!$C$5:$C$3000,MATCH(S159&amp;"",'Chart of Accounts'!$A$5:$A$3000,0))&amp;"|"&amp;INDEX('Chart of Accounts'!$D$5:$D$3000,MATCH(S159&amp;"",'Chart of Accounts'!$A$5:$A$3000,0)),"")</f>
        <v/>
      </c>
      <c r="W159" s="23">
        <f>IF(LEFT(T159,8)="Revenue|",-N(O159),0)+IF(LEFT(U159,8)="Revenue|",N(K159),0)+IF(LEFT(V159,8)="Revenue|",N(P159),0)</f>
        <v/>
      </c>
      <c r="X159" s="23">
        <f>IF(LEFT(T159,5)="COGS|",N(O159),0)+IF(LEFT(U159,5)="COGS|",-N(K159),0)+IF(LEFT(V159,5)="COGS|",-N(P159),0)</f>
        <v/>
      </c>
      <c r="Y159" s="23">
        <f>IF(LEFT(T159,8)="Expense|",N(O159),0)+IF(LEFT(U159,8)="Expense|",-N(K159),0)+IF(LEFT(V159,8)="Expense|",-N(P159),0)</f>
        <v/>
      </c>
      <c r="Z159" s="23">
        <f>IF(ISNUMBER(MATCH(T159,{"Expense|employee","Expense|general_admin","Expense|marketing","Expense|utilities","Expense|other_operating"},0)),N(O159),0)+IF(ISNUMBER(MATCH(U159,{"Expense|employee","Expense|general_admin","Expense|marketing","Expense|utilities","Expense|other_operating"},0)),-N(K159),0)+IF(ISNUMBER(MATCH(V159,{"Expense|employee","Expense|general_admin","Expense|marketing","Expense|utilities","Expense|other_operating"},0)),-N(P159),0)</f>
        <v/>
      </c>
      <c r="AA159" s="23">
        <f>IF(T159="Liability|payable",-N(O159),0)+IF(U159="Liability|payable",N(K159),0)+IF(V159="Liability|payable",N(P159),0)</f>
        <v/>
      </c>
      <c r="AB159" s="23">
        <f>IF(T159="Liability|accrued",-N(O159),0)+IF(U159="Liability|accrued",N(K159),0)+IF(V159="Liability|accrued",N(P159),0)</f>
        <v/>
      </c>
      <c r="AC159" s="23">
        <f>IF(AND(N(O159)&lt;&gt;0,T159=""),1,0)+IF(AND(N(K159)&lt;&gt;0,U159=""),1,0)+IF(AND(N(P159)&lt;&gt;0,V159=""),1,0)</f>
        <v/>
      </c>
    </row>
    <row r="160">
      <c r="A160" s="19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20" t="n"/>
      <c r="K160" s="20" t="n"/>
      <c r="L160" s="14" t="n"/>
      <c r="M160" s="14" t="n"/>
      <c r="N160" s="14" t="n"/>
      <c r="O160" s="21">
        <f>ROUND(N(I160)*N(J160),2)</f>
        <v/>
      </c>
      <c r="P160" s="21">
        <f>O160-N(K160)</f>
        <v/>
      </c>
      <c r="Q160" s="16">
        <f>IF(F160&lt;&gt;"",F160&amp;"",IF(LEFT(E160,6)="Indire",INDEX('Chart of Accounts'!$A$5:$A$3000,MATCH("project_overhead",'Chart of Accounts'!$F$5:$F$3000,0)),IF(LEFT(E160,6)="Admini",INDEX('Chart of Accounts'!$A$5:$A$3000,MATCH("admin_salaries",'Chart of Accounts'!$F$5:$F$3000,0)),INDEX('Chart of Accounts'!$A$5:$A$3000,MATCH("direct_labour",'Chart of Accounts'!$F$5:$F$3000,0)))))</f>
        <v/>
      </c>
      <c r="R160" s="16">
        <f>IF(M160="",INDEX('Chart of Accounts'!$A$5:$A$3000,MATCH("bank",'Chart of Accounts'!$F$5:$F$3000,0)),M160&amp;"")</f>
        <v/>
      </c>
      <c r="S160" s="16">
        <f>IF(N160="",INDEX('Chart of Accounts'!$A$5:$A$3000,MATCH("accrued_payroll",'Chart of Accounts'!$F$5:$F$3000,0)),N160&amp;"")</f>
        <v/>
      </c>
      <c r="T160" s="23">
        <f>IFERROR(INDEX('Chart of Accounts'!$C$5:$C$3000,MATCH(Q160&amp;"",'Chart of Accounts'!$A$5:$A$3000,0))&amp;"|"&amp;INDEX('Chart of Accounts'!$D$5:$D$3000,MATCH(Q160&amp;"",'Chart of Accounts'!$A$5:$A$3000,0)),"")</f>
        <v/>
      </c>
      <c r="U160" s="23">
        <f>IFERROR(INDEX('Chart of Accounts'!$C$5:$C$3000,MATCH(R160&amp;"",'Chart of Accounts'!$A$5:$A$3000,0))&amp;"|"&amp;INDEX('Chart of Accounts'!$D$5:$D$3000,MATCH(R160&amp;"",'Chart of Accounts'!$A$5:$A$3000,0)),"")</f>
        <v/>
      </c>
      <c r="V160" s="23">
        <f>IFERROR(INDEX('Chart of Accounts'!$C$5:$C$3000,MATCH(S160&amp;"",'Chart of Accounts'!$A$5:$A$3000,0))&amp;"|"&amp;INDEX('Chart of Accounts'!$D$5:$D$3000,MATCH(S160&amp;"",'Chart of Accounts'!$A$5:$A$3000,0)),"")</f>
        <v/>
      </c>
      <c r="W160" s="23">
        <f>IF(LEFT(T160,8)="Revenue|",-N(O160),0)+IF(LEFT(U160,8)="Revenue|",N(K160),0)+IF(LEFT(V160,8)="Revenue|",N(P160),0)</f>
        <v/>
      </c>
      <c r="X160" s="23">
        <f>IF(LEFT(T160,5)="COGS|",N(O160),0)+IF(LEFT(U160,5)="COGS|",-N(K160),0)+IF(LEFT(V160,5)="COGS|",-N(P160),0)</f>
        <v/>
      </c>
      <c r="Y160" s="23">
        <f>IF(LEFT(T160,8)="Expense|",N(O160),0)+IF(LEFT(U160,8)="Expense|",-N(K160),0)+IF(LEFT(V160,8)="Expense|",-N(P160),0)</f>
        <v/>
      </c>
      <c r="Z160" s="23">
        <f>IF(ISNUMBER(MATCH(T160,{"Expense|employee","Expense|general_admin","Expense|marketing","Expense|utilities","Expense|other_operating"},0)),N(O160),0)+IF(ISNUMBER(MATCH(U160,{"Expense|employee","Expense|general_admin","Expense|marketing","Expense|utilities","Expense|other_operating"},0)),-N(K160),0)+IF(ISNUMBER(MATCH(V160,{"Expense|employee","Expense|general_admin","Expense|marketing","Expense|utilities","Expense|other_operating"},0)),-N(P160),0)</f>
        <v/>
      </c>
      <c r="AA160" s="23">
        <f>IF(T160="Liability|payable",-N(O160),0)+IF(U160="Liability|payable",N(K160),0)+IF(V160="Liability|payable",N(P160),0)</f>
        <v/>
      </c>
      <c r="AB160" s="23">
        <f>IF(T160="Liability|accrued",-N(O160),0)+IF(U160="Liability|accrued",N(K160),0)+IF(V160="Liability|accrued",N(P160),0)</f>
        <v/>
      </c>
      <c r="AC160" s="23">
        <f>IF(AND(N(O160)&lt;&gt;0,T160=""),1,0)+IF(AND(N(K160)&lt;&gt;0,U160=""),1,0)+IF(AND(N(P160)&lt;&gt;0,V160=""),1,0)</f>
        <v/>
      </c>
    </row>
    <row r="161">
      <c r="A161" s="19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20" t="n"/>
      <c r="K161" s="20" t="n"/>
      <c r="L161" s="14" t="n"/>
      <c r="M161" s="14" t="n"/>
      <c r="N161" s="14" t="n"/>
      <c r="O161" s="21">
        <f>ROUND(N(I161)*N(J161),2)</f>
        <v/>
      </c>
      <c r="P161" s="21">
        <f>O161-N(K161)</f>
        <v/>
      </c>
      <c r="Q161" s="16">
        <f>IF(F161&lt;&gt;"",F161&amp;"",IF(LEFT(E161,6)="Indire",INDEX('Chart of Accounts'!$A$5:$A$3000,MATCH("project_overhead",'Chart of Accounts'!$F$5:$F$3000,0)),IF(LEFT(E161,6)="Admini",INDEX('Chart of Accounts'!$A$5:$A$3000,MATCH("admin_salaries",'Chart of Accounts'!$F$5:$F$3000,0)),INDEX('Chart of Accounts'!$A$5:$A$3000,MATCH("direct_labour",'Chart of Accounts'!$F$5:$F$3000,0)))))</f>
        <v/>
      </c>
      <c r="R161" s="16">
        <f>IF(M161="",INDEX('Chart of Accounts'!$A$5:$A$3000,MATCH("bank",'Chart of Accounts'!$F$5:$F$3000,0)),M161&amp;"")</f>
        <v/>
      </c>
      <c r="S161" s="16">
        <f>IF(N161="",INDEX('Chart of Accounts'!$A$5:$A$3000,MATCH("accrued_payroll",'Chart of Accounts'!$F$5:$F$3000,0)),N161&amp;"")</f>
        <v/>
      </c>
      <c r="T161" s="23">
        <f>IFERROR(INDEX('Chart of Accounts'!$C$5:$C$3000,MATCH(Q161&amp;"",'Chart of Accounts'!$A$5:$A$3000,0))&amp;"|"&amp;INDEX('Chart of Accounts'!$D$5:$D$3000,MATCH(Q161&amp;"",'Chart of Accounts'!$A$5:$A$3000,0)),"")</f>
        <v/>
      </c>
      <c r="U161" s="23">
        <f>IFERROR(INDEX('Chart of Accounts'!$C$5:$C$3000,MATCH(R161&amp;"",'Chart of Accounts'!$A$5:$A$3000,0))&amp;"|"&amp;INDEX('Chart of Accounts'!$D$5:$D$3000,MATCH(R161&amp;"",'Chart of Accounts'!$A$5:$A$3000,0)),"")</f>
        <v/>
      </c>
      <c r="V161" s="23">
        <f>IFERROR(INDEX('Chart of Accounts'!$C$5:$C$3000,MATCH(S161&amp;"",'Chart of Accounts'!$A$5:$A$3000,0))&amp;"|"&amp;INDEX('Chart of Accounts'!$D$5:$D$3000,MATCH(S161&amp;"",'Chart of Accounts'!$A$5:$A$3000,0)),"")</f>
        <v/>
      </c>
      <c r="W161" s="23">
        <f>IF(LEFT(T161,8)="Revenue|",-N(O161),0)+IF(LEFT(U161,8)="Revenue|",N(K161),0)+IF(LEFT(V161,8)="Revenue|",N(P161),0)</f>
        <v/>
      </c>
      <c r="X161" s="23">
        <f>IF(LEFT(T161,5)="COGS|",N(O161),0)+IF(LEFT(U161,5)="COGS|",-N(K161),0)+IF(LEFT(V161,5)="COGS|",-N(P161),0)</f>
        <v/>
      </c>
      <c r="Y161" s="23">
        <f>IF(LEFT(T161,8)="Expense|",N(O161),0)+IF(LEFT(U161,8)="Expense|",-N(K161),0)+IF(LEFT(V161,8)="Expense|",-N(P161),0)</f>
        <v/>
      </c>
      <c r="Z161" s="23">
        <f>IF(ISNUMBER(MATCH(T161,{"Expense|employee","Expense|general_admin","Expense|marketing","Expense|utilities","Expense|other_operating"},0)),N(O161),0)+IF(ISNUMBER(MATCH(U161,{"Expense|employee","Expense|general_admin","Expense|marketing","Expense|utilities","Expense|other_operating"},0)),-N(K161),0)+IF(ISNUMBER(MATCH(V161,{"Expense|employee","Expense|general_admin","Expense|marketing","Expense|utilities","Expense|other_operating"},0)),-N(P161),0)</f>
        <v/>
      </c>
      <c r="AA161" s="23">
        <f>IF(T161="Liability|payable",-N(O161),0)+IF(U161="Liability|payable",N(K161),0)+IF(V161="Liability|payable",N(P161),0)</f>
        <v/>
      </c>
      <c r="AB161" s="23">
        <f>IF(T161="Liability|accrued",-N(O161),0)+IF(U161="Liability|accrued",N(K161),0)+IF(V161="Liability|accrued",N(P161),0)</f>
        <v/>
      </c>
      <c r="AC161" s="23">
        <f>IF(AND(N(O161)&lt;&gt;0,T161=""),1,0)+IF(AND(N(K161)&lt;&gt;0,U161=""),1,0)+IF(AND(N(P161)&lt;&gt;0,V161=""),1,0)</f>
        <v/>
      </c>
    </row>
    <row r="162">
      <c r="A162" s="19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20" t="n"/>
      <c r="K162" s="20" t="n"/>
      <c r="L162" s="14" t="n"/>
      <c r="M162" s="14" t="n"/>
      <c r="N162" s="14" t="n"/>
      <c r="O162" s="21">
        <f>ROUND(N(I162)*N(J162),2)</f>
        <v/>
      </c>
      <c r="P162" s="21">
        <f>O162-N(K162)</f>
        <v/>
      </c>
      <c r="Q162" s="16">
        <f>IF(F162&lt;&gt;"",F162&amp;"",IF(LEFT(E162,6)="Indire",INDEX('Chart of Accounts'!$A$5:$A$3000,MATCH("project_overhead",'Chart of Accounts'!$F$5:$F$3000,0)),IF(LEFT(E162,6)="Admini",INDEX('Chart of Accounts'!$A$5:$A$3000,MATCH("admin_salaries",'Chart of Accounts'!$F$5:$F$3000,0)),INDEX('Chart of Accounts'!$A$5:$A$3000,MATCH("direct_labour",'Chart of Accounts'!$F$5:$F$3000,0)))))</f>
        <v/>
      </c>
      <c r="R162" s="16">
        <f>IF(M162="",INDEX('Chart of Accounts'!$A$5:$A$3000,MATCH("bank",'Chart of Accounts'!$F$5:$F$3000,0)),M162&amp;"")</f>
        <v/>
      </c>
      <c r="S162" s="16">
        <f>IF(N162="",INDEX('Chart of Accounts'!$A$5:$A$3000,MATCH("accrued_payroll",'Chart of Accounts'!$F$5:$F$3000,0)),N162&amp;"")</f>
        <v/>
      </c>
      <c r="T162" s="23">
        <f>IFERROR(INDEX('Chart of Accounts'!$C$5:$C$3000,MATCH(Q162&amp;"",'Chart of Accounts'!$A$5:$A$3000,0))&amp;"|"&amp;INDEX('Chart of Accounts'!$D$5:$D$3000,MATCH(Q162&amp;"",'Chart of Accounts'!$A$5:$A$3000,0)),"")</f>
        <v/>
      </c>
      <c r="U162" s="23">
        <f>IFERROR(INDEX('Chart of Accounts'!$C$5:$C$3000,MATCH(R162&amp;"",'Chart of Accounts'!$A$5:$A$3000,0))&amp;"|"&amp;INDEX('Chart of Accounts'!$D$5:$D$3000,MATCH(R162&amp;"",'Chart of Accounts'!$A$5:$A$3000,0)),"")</f>
        <v/>
      </c>
      <c r="V162" s="23">
        <f>IFERROR(INDEX('Chart of Accounts'!$C$5:$C$3000,MATCH(S162&amp;"",'Chart of Accounts'!$A$5:$A$3000,0))&amp;"|"&amp;INDEX('Chart of Accounts'!$D$5:$D$3000,MATCH(S162&amp;"",'Chart of Accounts'!$A$5:$A$3000,0)),"")</f>
        <v/>
      </c>
      <c r="W162" s="23">
        <f>IF(LEFT(T162,8)="Revenue|",-N(O162),0)+IF(LEFT(U162,8)="Revenue|",N(K162),0)+IF(LEFT(V162,8)="Revenue|",N(P162),0)</f>
        <v/>
      </c>
      <c r="X162" s="23">
        <f>IF(LEFT(T162,5)="COGS|",N(O162),0)+IF(LEFT(U162,5)="COGS|",-N(K162),0)+IF(LEFT(V162,5)="COGS|",-N(P162),0)</f>
        <v/>
      </c>
      <c r="Y162" s="23">
        <f>IF(LEFT(T162,8)="Expense|",N(O162),0)+IF(LEFT(U162,8)="Expense|",-N(K162),0)+IF(LEFT(V162,8)="Expense|",-N(P162),0)</f>
        <v/>
      </c>
      <c r="Z162" s="23">
        <f>IF(ISNUMBER(MATCH(T162,{"Expense|employee","Expense|general_admin","Expense|marketing","Expense|utilities","Expense|other_operating"},0)),N(O162),0)+IF(ISNUMBER(MATCH(U162,{"Expense|employee","Expense|general_admin","Expense|marketing","Expense|utilities","Expense|other_operating"},0)),-N(K162),0)+IF(ISNUMBER(MATCH(V162,{"Expense|employee","Expense|general_admin","Expense|marketing","Expense|utilities","Expense|other_operating"},0)),-N(P162),0)</f>
        <v/>
      </c>
      <c r="AA162" s="23">
        <f>IF(T162="Liability|payable",-N(O162),0)+IF(U162="Liability|payable",N(K162),0)+IF(V162="Liability|payable",N(P162),0)</f>
        <v/>
      </c>
      <c r="AB162" s="23">
        <f>IF(T162="Liability|accrued",-N(O162),0)+IF(U162="Liability|accrued",N(K162),0)+IF(V162="Liability|accrued",N(P162),0)</f>
        <v/>
      </c>
      <c r="AC162" s="23">
        <f>IF(AND(N(O162)&lt;&gt;0,T162=""),1,0)+IF(AND(N(K162)&lt;&gt;0,U162=""),1,0)+IF(AND(N(P162)&lt;&gt;0,V162=""),1,0)</f>
        <v/>
      </c>
    </row>
    <row r="163">
      <c r="A163" s="19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20" t="n"/>
      <c r="K163" s="20" t="n"/>
      <c r="L163" s="14" t="n"/>
      <c r="M163" s="14" t="n"/>
      <c r="N163" s="14" t="n"/>
      <c r="O163" s="21">
        <f>ROUND(N(I163)*N(J163),2)</f>
        <v/>
      </c>
      <c r="P163" s="21">
        <f>O163-N(K163)</f>
        <v/>
      </c>
      <c r="Q163" s="16">
        <f>IF(F163&lt;&gt;"",F163&amp;"",IF(LEFT(E163,6)="Indire",INDEX('Chart of Accounts'!$A$5:$A$3000,MATCH("project_overhead",'Chart of Accounts'!$F$5:$F$3000,0)),IF(LEFT(E163,6)="Admini",INDEX('Chart of Accounts'!$A$5:$A$3000,MATCH("admin_salaries",'Chart of Accounts'!$F$5:$F$3000,0)),INDEX('Chart of Accounts'!$A$5:$A$3000,MATCH("direct_labour",'Chart of Accounts'!$F$5:$F$3000,0)))))</f>
        <v/>
      </c>
      <c r="R163" s="16">
        <f>IF(M163="",INDEX('Chart of Accounts'!$A$5:$A$3000,MATCH("bank",'Chart of Accounts'!$F$5:$F$3000,0)),M163&amp;"")</f>
        <v/>
      </c>
      <c r="S163" s="16">
        <f>IF(N163="",INDEX('Chart of Accounts'!$A$5:$A$3000,MATCH("accrued_payroll",'Chart of Accounts'!$F$5:$F$3000,0)),N163&amp;"")</f>
        <v/>
      </c>
      <c r="T163" s="23">
        <f>IFERROR(INDEX('Chart of Accounts'!$C$5:$C$3000,MATCH(Q163&amp;"",'Chart of Accounts'!$A$5:$A$3000,0))&amp;"|"&amp;INDEX('Chart of Accounts'!$D$5:$D$3000,MATCH(Q163&amp;"",'Chart of Accounts'!$A$5:$A$3000,0)),"")</f>
        <v/>
      </c>
      <c r="U163" s="23">
        <f>IFERROR(INDEX('Chart of Accounts'!$C$5:$C$3000,MATCH(R163&amp;"",'Chart of Accounts'!$A$5:$A$3000,0))&amp;"|"&amp;INDEX('Chart of Accounts'!$D$5:$D$3000,MATCH(R163&amp;"",'Chart of Accounts'!$A$5:$A$3000,0)),"")</f>
        <v/>
      </c>
      <c r="V163" s="23">
        <f>IFERROR(INDEX('Chart of Accounts'!$C$5:$C$3000,MATCH(S163&amp;"",'Chart of Accounts'!$A$5:$A$3000,0))&amp;"|"&amp;INDEX('Chart of Accounts'!$D$5:$D$3000,MATCH(S163&amp;"",'Chart of Accounts'!$A$5:$A$3000,0)),"")</f>
        <v/>
      </c>
      <c r="W163" s="23">
        <f>IF(LEFT(T163,8)="Revenue|",-N(O163),0)+IF(LEFT(U163,8)="Revenue|",N(K163),0)+IF(LEFT(V163,8)="Revenue|",N(P163),0)</f>
        <v/>
      </c>
      <c r="X163" s="23">
        <f>IF(LEFT(T163,5)="COGS|",N(O163),0)+IF(LEFT(U163,5)="COGS|",-N(K163),0)+IF(LEFT(V163,5)="COGS|",-N(P163),0)</f>
        <v/>
      </c>
      <c r="Y163" s="23">
        <f>IF(LEFT(T163,8)="Expense|",N(O163),0)+IF(LEFT(U163,8)="Expense|",-N(K163),0)+IF(LEFT(V163,8)="Expense|",-N(P163),0)</f>
        <v/>
      </c>
      <c r="Z163" s="23">
        <f>IF(ISNUMBER(MATCH(T163,{"Expense|employee","Expense|general_admin","Expense|marketing","Expense|utilities","Expense|other_operating"},0)),N(O163),0)+IF(ISNUMBER(MATCH(U163,{"Expense|employee","Expense|general_admin","Expense|marketing","Expense|utilities","Expense|other_operating"},0)),-N(K163),0)+IF(ISNUMBER(MATCH(V163,{"Expense|employee","Expense|general_admin","Expense|marketing","Expense|utilities","Expense|other_operating"},0)),-N(P163),0)</f>
        <v/>
      </c>
      <c r="AA163" s="23">
        <f>IF(T163="Liability|payable",-N(O163),0)+IF(U163="Liability|payable",N(K163),0)+IF(V163="Liability|payable",N(P163),0)</f>
        <v/>
      </c>
      <c r="AB163" s="23">
        <f>IF(T163="Liability|accrued",-N(O163),0)+IF(U163="Liability|accrued",N(K163),0)+IF(V163="Liability|accrued",N(P163),0)</f>
        <v/>
      </c>
      <c r="AC163" s="23">
        <f>IF(AND(N(O163)&lt;&gt;0,T163=""),1,0)+IF(AND(N(K163)&lt;&gt;0,U163=""),1,0)+IF(AND(N(P163)&lt;&gt;0,V163=""),1,0)</f>
        <v/>
      </c>
    </row>
    <row r="164">
      <c r="A164" s="19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20" t="n"/>
      <c r="K164" s="20" t="n"/>
      <c r="L164" s="14" t="n"/>
      <c r="M164" s="14" t="n"/>
      <c r="N164" s="14" t="n"/>
      <c r="O164" s="21">
        <f>ROUND(N(I164)*N(J164),2)</f>
        <v/>
      </c>
      <c r="P164" s="21">
        <f>O164-N(K164)</f>
        <v/>
      </c>
      <c r="Q164" s="16">
        <f>IF(F164&lt;&gt;"",F164&amp;"",IF(LEFT(E164,6)="Indire",INDEX('Chart of Accounts'!$A$5:$A$3000,MATCH("project_overhead",'Chart of Accounts'!$F$5:$F$3000,0)),IF(LEFT(E164,6)="Admini",INDEX('Chart of Accounts'!$A$5:$A$3000,MATCH("admin_salaries",'Chart of Accounts'!$F$5:$F$3000,0)),INDEX('Chart of Accounts'!$A$5:$A$3000,MATCH("direct_labour",'Chart of Accounts'!$F$5:$F$3000,0)))))</f>
        <v/>
      </c>
      <c r="R164" s="16">
        <f>IF(M164="",INDEX('Chart of Accounts'!$A$5:$A$3000,MATCH("bank",'Chart of Accounts'!$F$5:$F$3000,0)),M164&amp;"")</f>
        <v/>
      </c>
      <c r="S164" s="16">
        <f>IF(N164="",INDEX('Chart of Accounts'!$A$5:$A$3000,MATCH("accrued_payroll",'Chart of Accounts'!$F$5:$F$3000,0)),N164&amp;"")</f>
        <v/>
      </c>
      <c r="T164" s="23">
        <f>IFERROR(INDEX('Chart of Accounts'!$C$5:$C$3000,MATCH(Q164&amp;"",'Chart of Accounts'!$A$5:$A$3000,0))&amp;"|"&amp;INDEX('Chart of Accounts'!$D$5:$D$3000,MATCH(Q164&amp;"",'Chart of Accounts'!$A$5:$A$3000,0)),"")</f>
        <v/>
      </c>
      <c r="U164" s="23">
        <f>IFERROR(INDEX('Chart of Accounts'!$C$5:$C$3000,MATCH(R164&amp;"",'Chart of Accounts'!$A$5:$A$3000,0))&amp;"|"&amp;INDEX('Chart of Accounts'!$D$5:$D$3000,MATCH(R164&amp;"",'Chart of Accounts'!$A$5:$A$3000,0)),"")</f>
        <v/>
      </c>
      <c r="V164" s="23">
        <f>IFERROR(INDEX('Chart of Accounts'!$C$5:$C$3000,MATCH(S164&amp;"",'Chart of Accounts'!$A$5:$A$3000,0))&amp;"|"&amp;INDEX('Chart of Accounts'!$D$5:$D$3000,MATCH(S164&amp;"",'Chart of Accounts'!$A$5:$A$3000,0)),"")</f>
        <v/>
      </c>
      <c r="W164" s="23">
        <f>IF(LEFT(T164,8)="Revenue|",-N(O164),0)+IF(LEFT(U164,8)="Revenue|",N(K164),0)+IF(LEFT(V164,8)="Revenue|",N(P164),0)</f>
        <v/>
      </c>
      <c r="X164" s="23">
        <f>IF(LEFT(T164,5)="COGS|",N(O164),0)+IF(LEFT(U164,5)="COGS|",-N(K164),0)+IF(LEFT(V164,5)="COGS|",-N(P164),0)</f>
        <v/>
      </c>
      <c r="Y164" s="23">
        <f>IF(LEFT(T164,8)="Expense|",N(O164),0)+IF(LEFT(U164,8)="Expense|",-N(K164),0)+IF(LEFT(V164,8)="Expense|",-N(P164),0)</f>
        <v/>
      </c>
      <c r="Z164" s="23">
        <f>IF(ISNUMBER(MATCH(T164,{"Expense|employee","Expense|general_admin","Expense|marketing","Expense|utilities","Expense|other_operating"},0)),N(O164),0)+IF(ISNUMBER(MATCH(U164,{"Expense|employee","Expense|general_admin","Expense|marketing","Expense|utilities","Expense|other_operating"},0)),-N(K164),0)+IF(ISNUMBER(MATCH(V164,{"Expense|employee","Expense|general_admin","Expense|marketing","Expense|utilities","Expense|other_operating"},0)),-N(P164),0)</f>
        <v/>
      </c>
      <c r="AA164" s="23">
        <f>IF(T164="Liability|payable",-N(O164),0)+IF(U164="Liability|payable",N(K164),0)+IF(V164="Liability|payable",N(P164),0)</f>
        <v/>
      </c>
      <c r="AB164" s="23">
        <f>IF(T164="Liability|accrued",-N(O164),0)+IF(U164="Liability|accrued",N(K164),0)+IF(V164="Liability|accrued",N(P164),0)</f>
        <v/>
      </c>
      <c r="AC164" s="23">
        <f>IF(AND(N(O164)&lt;&gt;0,T164=""),1,0)+IF(AND(N(K164)&lt;&gt;0,U164=""),1,0)+IF(AND(N(P164)&lt;&gt;0,V164=""),1,0)</f>
        <v/>
      </c>
    </row>
    <row r="165">
      <c r="A165" s="19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20" t="n"/>
      <c r="K165" s="20" t="n"/>
      <c r="L165" s="14" t="n"/>
      <c r="M165" s="14" t="n"/>
      <c r="N165" s="14" t="n"/>
      <c r="O165" s="21">
        <f>ROUND(N(I165)*N(J165),2)</f>
        <v/>
      </c>
      <c r="P165" s="21">
        <f>O165-N(K165)</f>
        <v/>
      </c>
      <c r="Q165" s="16">
        <f>IF(F165&lt;&gt;"",F165&amp;"",IF(LEFT(E165,6)="Indire",INDEX('Chart of Accounts'!$A$5:$A$3000,MATCH("project_overhead",'Chart of Accounts'!$F$5:$F$3000,0)),IF(LEFT(E165,6)="Admini",INDEX('Chart of Accounts'!$A$5:$A$3000,MATCH("admin_salaries",'Chart of Accounts'!$F$5:$F$3000,0)),INDEX('Chart of Accounts'!$A$5:$A$3000,MATCH("direct_labour",'Chart of Accounts'!$F$5:$F$3000,0)))))</f>
        <v/>
      </c>
      <c r="R165" s="16">
        <f>IF(M165="",INDEX('Chart of Accounts'!$A$5:$A$3000,MATCH("bank",'Chart of Accounts'!$F$5:$F$3000,0)),M165&amp;"")</f>
        <v/>
      </c>
      <c r="S165" s="16">
        <f>IF(N165="",INDEX('Chart of Accounts'!$A$5:$A$3000,MATCH("accrued_payroll",'Chart of Accounts'!$F$5:$F$3000,0)),N165&amp;"")</f>
        <v/>
      </c>
      <c r="T165" s="23">
        <f>IFERROR(INDEX('Chart of Accounts'!$C$5:$C$3000,MATCH(Q165&amp;"",'Chart of Accounts'!$A$5:$A$3000,0))&amp;"|"&amp;INDEX('Chart of Accounts'!$D$5:$D$3000,MATCH(Q165&amp;"",'Chart of Accounts'!$A$5:$A$3000,0)),"")</f>
        <v/>
      </c>
      <c r="U165" s="23">
        <f>IFERROR(INDEX('Chart of Accounts'!$C$5:$C$3000,MATCH(R165&amp;"",'Chart of Accounts'!$A$5:$A$3000,0))&amp;"|"&amp;INDEX('Chart of Accounts'!$D$5:$D$3000,MATCH(R165&amp;"",'Chart of Accounts'!$A$5:$A$3000,0)),"")</f>
        <v/>
      </c>
      <c r="V165" s="23">
        <f>IFERROR(INDEX('Chart of Accounts'!$C$5:$C$3000,MATCH(S165&amp;"",'Chart of Accounts'!$A$5:$A$3000,0))&amp;"|"&amp;INDEX('Chart of Accounts'!$D$5:$D$3000,MATCH(S165&amp;"",'Chart of Accounts'!$A$5:$A$3000,0)),"")</f>
        <v/>
      </c>
      <c r="W165" s="23">
        <f>IF(LEFT(T165,8)="Revenue|",-N(O165),0)+IF(LEFT(U165,8)="Revenue|",N(K165),0)+IF(LEFT(V165,8)="Revenue|",N(P165),0)</f>
        <v/>
      </c>
      <c r="X165" s="23">
        <f>IF(LEFT(T165,5)="COGS|",N(O165),0)+IF(LEFT(U165,5)="COGS|",-N(K165),0)+IF(LEFT(V165,5)="COGS|",-N(P165),0)</f>
        <v/>
      </c>
      <c r="Y165" s="23">
        <f>IF(LEFT(T165,8)="Expense|",N(O165),0)+IF(LEFT(U165,8)="Expense|",-N(K165),0)+IF(LEFT(V165,8)="Expense|",-N(P165),0)</f>
        <v/>
      </c>
      <c r="Z165" s="23">
        <f>IF(ISNUMBER(MATCH(T165,{"Expense|employee","Expense|general_admin","Expense|marketing","Expense|utilities","Expense|other_operating"},0)),N(O165),0)+IF(ISNUMBER(MATCH(U165,{"Expense|employee","Expense|general_admin","Expense|marketing","Expense|utilities","Expense|other_operating"},0)),-N(K165),0)+IF(ISNUMBER(MATCH(V165,{"Expense|employee","Expense|general_admin","Expense|marketing","Expense|utilities","Expense|other_operating"},0)),-N(P165),0)</f>
        <v/>
      </c>
      <c r="AA165" s="23">
        <f>IF(T165="Liability|payable",-N(O165),0)+IF(U165="Liability|payable",N(K165),0)+IF(V165="Liability|payable",N(P165),0)</f>
        <v/>
      </c>
      <c r="AB165" s="23">
        <f>IF(T165="Liability|accrued",-N(O165),0)+IF(U165="Liability|accrued",N(K165),0)+IF(V165="Liability|accrued",N(P165),0)</f>
        <v/>
      </c>
      <c r="AC165" s="23">
        <f>IF(AND(N(O165)&lt;&gt;0,T165=""),1,0)+IF(AND(N(K165)&lt;&gt;0,U165=""),1,0)+IF(AND(N(P165)&lt;&gt;0,V165=""),1,0)</f>
        <v/>
      </c>
    </row>
    <row r="166">
      <c r="A166" s="19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20" t="n"/>
      <c r="K166" s="20" t="n"/>
      <c r="L166" s="14" t="n"/>
      <c r="M166" s="14" t="n"/>
      <c r="N166" s="14" t="n"/>
      <c r="O166" s="21">
        <f>ROUND(N(I166)*N(J166),2)</f>
        <v/>
      </c>
      <c r="P166" s="21">
        <f>O166-N(K166)</f>
        <v/>
      </c>
      <c r="Q166" s="16">
        <f>IF(F166&lt;&gt;"",F166&amp;"",IF(LEFT(E166,6)="Indire",INDEX('Chart of Accounts'!$A$5:$A$3000,MATCH("project_overhead",'Chart of Accounts'!$F$5:$F$3000,0)),IF(LEFT(E166,6)="Admini",INDEX('Chart of Accounts'!$A$5:$A$3000,MATCH("admin_salaries",'Chart of Accounts'!$F$5:$F$3000,0)),INDEX('Chart of Accounts'!$A$5:$A$3000,MATCH("direct_labour",'Chart of Accounts'!$F$5:$F$3000,0)))))</f>
        <v/>
      </c>
      <c r="R166" s="16">
        <f>IF(M166="",INDEX('Chart of Accounts'!$A$5:$A$3000,MATCH("bank",'Chart of Accounts'!$F$5:$F$3000,0)),M166&amp;"")</f>
        <v/>
      </c>
      <c r="S166" s="16">
        <f>IF(N166="",INDEX('Chart of Accounts'!$A$5:$A$3000,MATCH("accrued_payroll",'Chart of Accounts'!$F$5:$F$3000,0)),N166&amp;"")</f>
        <v/>
      </c>
      <c r="T166" s="23">
        <f>IFERROR(INDEX('Chart of Accounts'!$C$5:$C$3000,MATCH(Q166&amp;"",'Chart of Accounts'!$A$5:$A$3000,0))&amp;"|"&amp;INDEX('Chart of Accounts'!$D$5:$D$3000,MATCH(Q166&amp;"",'Chart of Accounts'!$A$5:$A$3000,0)),"")</f>
        <v/>
      </c>
      <c r="U166" s="23">
        <f>IFERROR(INDEX('Chart of Accounts'!$C$5:$C$3000,MATCH(R166&amp;"",'Chart of Accounts'!$A$5:$A$3000,0))&amp;"|"&amp;INDEX('Chart of Accounts'!$D$5:$D$3000,MATCH(R166&amp;"",'Chart of Accounts'!$A$5:$A$3000,0)),"")</f>
        <v/>
      </c>
      <c r="V166" s="23">
        <f>IFERROR(INDEX('Chart of Accounts'!$C$5:$C$3000,MATCH(S166&amp;"",'Chart of Accounts'!$A$5:$A$3000,0))&amp;"|"&amp;INDEX('Chart of Accounts'!$D$5:$D$3000,MATCH(S166&amp;"",'Chart of Accounts'!$A$5:$A$3000,0)),"")</f>
        <v/>
      </c>
      <c r="W166" s="23">
        <f>IF(LEFT(T166,8)="Revenue|",-N(O166),0)+IF(LEFT(U166,8)="Revenue|",N(K166),0)+IF(LEFT(V166,8)="Revenue|",N(P166),0)</f>
        <v/>
      </c>
      <c r="X166" s="23">
        <f>IF(LEFT(T166,5)="COGS|",N(O166),0)+IF(LEFT(U166,5)="COGS|",-N(K166),0)+IF(LEFT(V166,5)="COGS|",-N(P166),0)</f>
        <v/>
      </c>
      <c r="Y166" s="23">
        <f>IF(LEFT(T166,8)="Expense|",N(O166),0)+IF(LEFT(U166,8)="Expense|",-N(K166),0)+IF(LEFT(V166,8)="Expense|",-N(P166),0)</f>
        <v/>
      </c>
      <c r="Z166" s="23">
        <f>IF(ISNUMBER(MATCH(T166,{"Expense|employee","Expense|general_admin","Expense|marketing","Expense|utilities","Expense|other_operating"},0)),N(O166),0)+IF(ISNUMBER(MATCH(U166,{"Expense|employee","Expense|general_admin","Expense|marketing","Expense|utilities","Expense|other_operating"},0)),-N(K166),0)+IF(ISNUMBER(MATCH(V166,{"Expense|employee","Expense|general_admin","Expense|marketing","Expense|utilities","Expense|other_operating"},0)),-N(P166),0)</f>
        <v/>
      </c>
      <c r="AA166" s="23">
        <f>IF(T166="Liability|payable",-N(O166),0)+IF(U166="Liability|payable",N(K166),0)+IF(V166="Liability|payable",N(P166),0)</f>
        <v/>
      </c>
      <c r="AB166" s="23">
        <f>IF(T166="Liability|accrued",-N(O166),0)+IF(U166="Liability|accrued",N(K166),0)+IF(V166="Liability|accrued",N(P166),0)</f>
        <v/>
      </c>
      <c r="AC166" s="23">
        <f>IF(AND(N(O166)&lt;&gt;0,T166=""),1,0)+IF(AND(N(K166)&lt;&gt;0,U166=""),1,0)+IF(AND(N(P166)&lt;&gt;0,V166=""),1,0)</f>
        <v/>
      </c>
    </row>
    <row r="167">
      <c r="A167" s="19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20" t="n"/>
      <c r="K167" s="20" t="n"/>
      <c r="L167" s="14" t="n"/>
      <c r="M167" s="14" t="n"/>
      <c r="N167" s="14" t="n"/>
      <c r="O167" s="21">
        <f>ROUND(N(I167)*N(J167),2)</f>
        <v/>
      </c>
      <c r="P167" s="21">
        <f>O167-N(K167)</f>
        <v/>
      </c>
      <c r="Q167" s="16">
        <f>IF(F167&lt;&gt;"",F167&amp;"",IF(LEFT(E167,6)="Indire",INDEX('Chart of Accounts'!$A$5:$A$3000,MATCH("project_overhead",'Chart of Accounts'!$F$5:$F$3000,0)),IF(LEFT(E167,6)="Admini",INDEX('Chart of Accounts'!$A$5:$A$3000,MATCH("admin_salaries",'Chart of Accounts'!$F$5:$F$3000,0)),INDEX('Chart of Accounts'!$A$5:$A$3000,MATCH("direct_labour",'Chart of Accounts'!$F$5:$F$3000,0)))))</f>
        <v/>
      </c>
      <c r="R167" s="16">
        <f>IF(M167="",INDEX('Chart of Accounts'!$A$5:$A$3000,MATCH("bank",'Chart of Accounts'!$F$5:$F$3000,0)),M167&amp;"")</f>
        <v/>
      </c>
      <c r="S167" s="16">
        <f>IF(N167="",INDEX('Chart of Accounts'!$A$5:$A$3000,MATCH("accrued_payroll",'Chart of Accounts'!$F$5:$F$3000,0)),N167&amp;"")</f>
        <v/>
      </c>
      <c r="T167" s="23">
        <f>IFERROR(INDEX('Chart of Accounts'!$C$5:$C$3000,MATCH(Q167&amp;"",'Chart of Accounts'!$A$5:$A$3000,0))&amp;"|"&amp;INDEX('Chart of Accounts'!$D$5:$D$3000,MATCH(Q167&amp;"",'Chart of Accounts'!$A$5:$A$3000,0)),"")</f>
        <v/>
      </c>
      <c r="U167" s="23">
        <f>IFERROR(INDEX('Chart of Accounts'!$C$5:$C$3000,MATCH(R167&amp;"",'Chart of Accounts'!$A$5:$A$3000,0))&amp;"|"&amp;INDEX('Chart of Accounts'!$D$5:$D$3000,MATCH(R167&amp;"",'Chart of Accounts'!$A$5:$A$3000,0)),"")</f>
        <v/>
      </c>
      <c r="V167" s="23">
        <f>IFERROR(INDEX('Chart of Accounts'!$C$5:$C$3000,MATCH(S167&amp;"",'Chart of Accounts'!$A$5:$A$3000,0))&amp;"|"&amp;INDEX('Chart of Accounts'!$D$5:$D$3000,MATCH(S167&amp;"",'Chart of Accounts'!$A$5:$A$3000,0)),"")</f>
        <v/>
      </c>
      <c r="W167" s="23">
        <f>IF(LEFT(T167,8)="Revenue|",-N(O167),0)+IF(LEFT(U167,8)="Revenue|",N(K167),0)+IF(LEFT(V167,8)="Revenue|",N(P167),0)</f>
        <v/>
      </c>
      <c r="X167" s="23">
        <f>IF(LEFT(T167,5)="COGS|",N(O167),0)+IF(LEFT(U167,5)="COGS|",-N(K167),0)+IF(LEFT(V167,5)="COGS|",-N(P167),0)</f>
        <v/>
      </c>
      <c r="Y167" s="23">
        <f>IF(LEFT(T167,8)="Expense|",N(O167),0)+IF(LEFT(U167,8)="Expense|",-N(K167),0)+IF(LEFT(V167,8)="Expense|",-N(P167),0)</f>
        <v/>
      </c>
      <c r="Z167" s="23">
        <f>IF(ISNUMBER(MATCH(T167,{"Expense|employee","Expense|general_admin","Expense|marketing","Expense|utilities","Expense|other_operating"},0)),N(O167),0)+IF(ISNUMBER(MATCH(U167,{"Expense|employee","Expense|general_admin","Expense|marketing","Expense|utilities","Expense|other_operating"},0)),-N(K167),0)+IF(ISNUMBER(MATCH(V167,{"Expense|employee","Expense|general_admin","Expense|marketing","Expense|utilities","Expense|other_operating"},0)),-N(P167),0)</f>
        <v/>
      </c>
      <c r="AA167" s="23">
        <f>IF(T167="Liability|payable",-N(O167),0)+IF(U167="Liability|payable",N(K167),0)+IF(V167="Liability|payable",N(P167),0)</f>
        <v/>
      </c>
      <c r="AB167" s="23">
        <f>IF(T167="Liability|accrued",-N(O167),0)+IF(U167="Liability|accrued",N(K167),0)+IF(V167="Liability|accrued",N(P167),0)</f>
        <v/>
      </c>
      <c r="AC167" s="23">
        <f>IF(AND(N(O167)&lt;&gt;0,T167=""),1,0)+IF(AND(N(K167)&lt;&gt;0,U167=""),1,0)+IF(AND(N(P167)&lt;&gt;0,V167=""),1,0)</f>
        <v/>
      </c>
    </row>
    <row r="168">
      <c r="A168" s="19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20" t="n"/>
      <c r="K168" s="20" t="n"/>
      <c r="L168" s="14" t="n"/>
      <c r="M168" s="14" t="n"/>
      <c r="N168" s="14" t="n"/>
      <c r="O168" s="21">
        <f>ROUND(N(I168)*N(J168),2)</f>
        <v/>
      </c>
      <c r="P168" s="21">
        <f>O168-N(K168)</f>
        <v/>
      </c>
      <c r="Q168" s="16">
        <f>IF(F168&lt;&gt;"",F168&amp;"",IF(LEFT(E168,6)="Indire",INDEX('Chart of Accounts'!$A$5:$A$3000,MATCH("project_overhead",'Chart of Accounts'!$F$5:$F$3000,0)),IF(LEFT(E168,6)="Admini",INDEX('Chart of Accounts'!$A$5:$A$3000,MATCH("admin_salaries",'Chart of Accounts'!$F$5:$F$3000,0)),INDEX('Chart of Accounts'!$A$5:$A$3000,MATCH("direct_labour",'Chart of Accounts'!$F$5:$F$3000,0)))))</f>
        <v/>
      </c>
      <c r="R168" s="16">
        <f>IF(M168="",INDEX('Chart of Accounts'!$A$5:$A$3000,MATCH("bank",'Chart of Accounts'!$F$5:$F$3000,0)),M168&amp;"")</f>
        <v/>
      </c>
      <c r="S168" s="16">
        <f>IF(N168="",INDEX('Chart of Accounts'!$A$5:$A$3000,MATCH("accrued_payroll",'Chart of Accounts'!$F$5:$F$3000,0)),N168&amp;"")</f>
        <v/>
      </c>
      <c r="T168" s="23">
        <f>IFERROR(INDEX('Chart of Accounts'!$C$5:$C$3000,MATCH(Q168&amp;"",'Chart of Accounts'!$A$5:$A$3000,0))&amp;"|"&amp;INDEX('Chart of Accounts'!$D$5:$D$3000,MATCH(Q168&amp;"",'Chart of Accounts'!$A$5:$A$3000,0)),"")</f>
        <v/>
      </c>
      <c r="U168" s="23">
        <f>IFERROR(INDEX('Chart of Accounts'!$C$5:$C$3000,MATCH(R168&amp;"",'Chart of Accounts'!$A$5:$A$3000,0))&amp;"|"&amp;INDEX('Chart of Accounts'!$D$5:$D$3000,MATCH(R168&amp;"",'Chart of Accounts'!$A$5:$A$3000,0)),"")</f>
        <v/>
      </c>
      <c r="V168" s="23">
        <f>IFERROR(INDEX('Chart of Accounts'!$C$5:$C$3000,MATCH(S168&amp;"",'Chart of Accounts'!$A$5:$A$3000,0))&amp;"|"&amp;INDEX('Chart of Accounts'!$D$5:$D$3000,MATCH(S168&amp;"",'Chart of Accounts'!$A$5:$A$3000,0)),"")</f>
        <v/>
      </c>
      <c r="W168" s="23">
        <f>IF(LEFT(T168,8)="Revenue|",-N(O168),0)+IF(LEFT(U168,8)="Revenue|",N(K168),0)+IF(LEFT(V168,8)="Revenue|",N(P168),0)</f>
        <v/>
      </c>
      <c r="X168" s="23">
        <f>IF(LEFT(T168,5)="COGS|",N(O168),0)+IF(LEFT(U168,5)="COGS|",-N(K168),0)+IF(LEFT(V168,5)="COGS|",-N(P168),0)</f>
        <v/>
      </c>
      <c r="Y168" s="23">
        <f>IF(LEFT(T168,8)="Expense|",N(O168),0)+IF(LEFT(U168,8)="Expense|",-N(K168),0)+IF(LEFT(V168,8)="Expense|",-N(P168),0)</f>
        <v/>
      </c>
      <c r="Z168" s="23">
        <f>IF(ISNUMBER(MATCH(T168,{"Expense|employee","Expense|general_admin","Expense|marketing","Expense|utilities","Expense|other_operating"},0)),N(O168),0)+IF(ISNUMBER(MATCH(U168,{"Expense|employee","Expense|general_admin","Expense|marketing","Expense|utilities","Expense|other_operating"},0)),-N(K168),0)+IF(ISNUMBER(MATCH(V168,{"Expense|employee","Expense|general_admin","Expense|marketing","Expense|utilities","Expense|other_operating"},0)),-N(P168),0)</f>
        <v/>
      </c>
      <c r="AA168" s="23">
        <f>IF(T168="Liability|payable",-N(O168),0)+IF(U168="Liability|payable",N(K168),0)+IF(V168="Liability|payable",N(P168),0)</f>
        <v/>
      </c>
      <c r="AB168" s="23">
        <f>IF(T168="Liability|accrued",-N(O168),0)+IF(U168="Liability|accrued",N(K168),0)+IF(V168="Liability|accrued",N(P168),0)</f>
        <v/>
      </c>
      <c r="AC168" s="23">
        <f>IF(AND(N(O168)&lt;&gt;0,T168=""),1,0)+IF(AND(N(K168)&lt;&gt;0,U168=""),1,0)+IF(AND(N(P168)&lt;&gt;0,V168=""),1,0)</f>
        <v/>
      </c>
    </row>
    <row r="169">
      <c r="A169" s="19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20" t="n"/>
      <c r="K169" s="20" t="n"/>
      <c r="L169" s="14" t="n"/>
      <c r="M169" s="14" t="n"/>
      <c r="N169" s="14" t="n"/>
      <c r="O169" s="21">
        <f>ROUND(N(I169)*N(J169),2)</f>
        <v/>
      </c>
      <c r="P169" s="21">
        <f>O169-N(K169)</f>
        <v/>
      </c>
      <c r="Q169" s="16">
        <f>IF(F169&lt;&gt;"",F169&amp;"",IF(LEFT(E169,6)="Indire",INDEX('Chart of Accounts'!$A$5:$A$3000,MATCH("project_overhead",'Chart of Accounts'!$F$5:$F$3000,0)),IF(LEFT(E169,6)="Admini",INDEX('Chart of Accounts'!$A$5:$A$3000,MATCH("admin_salaries",'Chart of Accounts'!$F$5:$F$3000,0)),INDEX('Chart of Accounts'!$A$5:$A$3000,MATCH("direct_labour",'Chart of Accounts'!$F$5:$F$3000,0)))))</f>
        <v/>
      </c>
      <c r="R169" s="16">
        <f>IF(M169="",INDEX('Chart of Accounts'!$A$5:$A$3000,MATCH("bank",'Chart of Accounts'!$F$5:$F$3000,0)),M169&amp;"")</f>
        <v/>
      </c>
      <c r="S169" s="16">
        <f>IF(N169="",INDEX('Chart of Accounts'!$A$5:$A$3000,MATCH("accrued_payroll",'Chart of Accounts'!$F$5:$F$3000,0)),N169&amp;"")</f>
        <v/>
      </c>
      <c r="T169" s="23">
        <f>IFERROR(INDEX('Chart of Accounts'!$C$5:$C$3000,MATCH(Q169&amp;"",'Chart of Accounts'!$A$5:$A$3000,0))&amp;"|"&amp;INDEX('Chart of Accounts'!$D$5:$D$3000,MATCH(Q169&amp;"",'Chart of Accounts'!$A$5:$A$3000,0)),"")</f>
        <v/>
      </c>
      <c r="U169" s="23">
        <f>IFERROR(INDEX('Chart of Accounts'!$C$5:$C$3000,MATCH(R169&amp;"",'Chart of Accounts'!$A$5:$A$3000,0))&amp;"|"&amp;INDEX('Chart of Accounts'!$D$5:$D$3000,MATCH(R169&amp;"",'Chart of Accounts'!$A$5:$A$3000,0)),"")</f>
        <v/>
      </c>
      <c r="V169" s="23">
        <f>IFERROR(INDEX('Chart of Accounts'!$C$5:$C$3000,MATCH(S169&amp;"",'Chart of Accounts'!$A$5:$A$3000,0))&amp;"|"&amp;INDEX('Chart of Accounts'!$D$5:$D$3000,MATCH(S169&amp;"",'Chart of Accounts'!$A$5:$A$3000,0)),"")</f>
        <v/>
      </c>
      <c r="W169" s="23">
        <f>IF(LEFT(T169,8)="Revenue|",-N(O169),0)+IF(LEFT(U169,8)="Revenue|",N(K169),0)+IF(LEFT(V169,8)="Revenue|",N(P169),0)</f>
        <v/>
      </c>
      <c r="X169" s="23">
        <f>IF(LEFT(T169,5)="COGS|",N(O169),0)+IF(LEFT(U169,5)="COGS|",-N(K169),0)+IF(LEFT(V169,5)="COGS|",-N(P169),0)</f>
        <v/>
      </c>
      <c r="Y169" s="23">
        <f>IF(LEFT(T169,8)="Expense|",N(O169),0)+IF(LEFT(U169,8)="Expense|",-N(K169),0)+IF(LEFT(V169,8)="Expense|",-N(P169),0)</f>
        <v/>
      </c>
      <c r="Z169" s="23">
        <f>IF(ISNUMBER(MATCH(T169,{"Expense|employee","Expense|general_admin","Expense|marketing","Expense|utilities","Expense|other_operating"},0)),N(O169),0)+IF(ISNUMBER(MATCH(U169,{"Expense|employee","Expense|general_admin","Expense|marketing","Expense|utilities","Expense|other_operating"},0)),-N(K169),0)+IF(ISNUMBER(MATCH(V169,{"Expense|employee","Expense|general_admin","Expense|marketing","Expense|utilities","Expense|other_operating"},0)),-N(P169),0)</f>
        <v/>
      </c>
      <c r="AA169" s="23">
        <f>IF(T169="Liability|payable",-N(O169),0)+IF(U169="Liability|payable",N(K169),0)+IF(V169="Liability|payable",N(P169),0)</f>
        <v/>
      </c>
      <c r="AB169" s="23">
        <f>IF(T169="Liability|accrued",-N(O169),0)+IF(U169="Liability|accrued",N(K169),0)+IF(V169="Liability|accrued",N(P169),0)</f>
        <v/>
      </c>
      <c r="AC169" s="23">
        <f>IF(AND(N(O169)&lt;&gt;0,T169=""),1,0)+IF(AND(N(K169)&lt;&gt;0,U169=""),1,0)+IF(AND(N(P169)&lt;&gt;0,V169=""),1,0)</f>
        <v/>
      </c>
    </row>
    <row r="170">
      <c r="A170" s="19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20" t="n"/>
      <c r="K170" s="20" t="n"/>
      <c r="L170" s="14" t="n"/>
      <c r="M170" s="14" t="n"/>
      <c r="N170" s="14" t="n"/>
      <c r="O170" s="21">
        <f>ROUND(N(I170)*N(J170),2)</f>
        <v/>
      </c>
      <c r="P170" s="21">
        <f>O170-N(K170)</f>
        <v/>
      </c>
      <c r="Q170" s="16">
        <f>IF(F170&lt;&gt;"",F170&amp;"",IF(LEFT(E170,6)="Indire",INDEX('Chart of Accounts'!$A$5:$A$3000,MATCH("project_overhead",'Chart of Accounts'!$F$5:$F$3000,0)),IF(LEFT(E170,6)="Admini",INDEX('Chart of Accounts'!$A$5:$A$3000,MATCH("admin_salaries",'Chart of Accounts'!$F$5:$F$3000,0)),INDEX('Chart of Accounts'!$A$5:$A$3000,MATCH("direct_labour",'Chart of Accounts'!$F$5:$F$3000,0)))))</f>
        <v/>
      </c>
      <c r="R170" s="16">
        <f>IF(M170="",INDEX('Chart of Accounts'!$A$5:$A$3000,MATCH("bank",'Chart of Accounts'!$F$5:$F$3000,0)),M170&amp;"")</f>
        <v/>
      </c>
      <c r="S170" s="16">
        <f>IF(N170="",INDEX('Chart of Accounts'!$A$5:$A$3000,MATCH("accrued_payroll",'Chart of Accounts'!$F$5:$F$3000,0)),N170&amp;"")</f>
        <v/>
      </c>
      <c r="T170" s="23">
        <f>IFERROR(INDEX('Chart of Accounts'!$C$5:$C$3000,MATCH(Q170&amp;"",'Chart of Accounts'!$A$5:$A$3000,0))&amp;"|"&amp;INDEX('Chart of Accounts'!$D$5:$D$3000,MATCH(Q170&amp;"",'Chart of Accounts'!$A$5:$A$3000,0)),"")</f>
        <v/>
      </c>
      <c r="U170" s="23">
        <f>IFERROR(INDEX('Chart of Accounts'!$C$5:$C$3000,MATCH(R170&amp;"",'Chart of Accounts'!$A$5:$A$3000,0))&amp;"|"&amp;INDEX('Chart of Accounts'!$D$5:$D$3000,MATCH(R170&amp;"",'Chart of Accounts'!$A$5:$A$3000,0)),"")</f>
        <v/>
      </c>
      <c r="V170" s="23">
        <f>IFERROR(INDEX('Chart of Accounts'!$C$5:$C$3000,MATCH(S170&amp;"",'Chart of Accounts'!$A$5:$A$3000,0))&amp;"|"&amp;INDEX('Chart of Accounts'!$D$5:$D$3000,MATCH(S170&amp;"",'Chart of Accounts'!$A$5:$A$3000,0)),"")</f>
        <v/>
      </c>
      <c r="W170" s="23">
        <f>IF(LEFT(T170,8)="Revenue|",-N(O170),0)+IF(LEFT(U170,8)="Revenue|",N(K170),0)+IF(LEFT(V170,8)="Revenue|",N(P170),0)</f>
        <v/>
      </c>
      <c r="X170" s="23">
        <f>IF(LEFT(T170,5)="COGS|",N(O170),0)+IF(LEFT(U170,5)="COGS|",-N(K170),0)+IF(LEFT(V170,5)="COGS|",-N(P170),0)</f>
        <v/>
      </c>
      <c r="Y170" s="23">
        <f>IF(LEFT(T170,8)="Expense|",N(O170),0)+IF(LEFT(U170,8)="Expense|",-N(K170),0)+IF(LEFT(V170,8)="Expense|",-N(P170),0)</f>
        <v/>
      </c>
      <c r="Z170" s="23">
        <f>IF(ISNUMBER(MATCH(T170,{"Expense|employee","Expense|general_admin","Expense|marketing","Expense|utilities","Expense|other_operating"},0)),N(O170),0)+IF(ISNUMBER(MATCH(U170,{"Expense|employee","Expense|general_admin","Expense|marketing","Expense|utilities","Expense|other_operating"},0)),-N(K170),0)+IF(ISNUMBER(MATCH(V170,{"Expense|employee","Expense|general_admin","Expense|marketing","Expense|utilities","Expense|other_operating"},0)),-N(P170),0)</f>
        <v/>
      </c>
      <c r="AA170" s="23">
        <f>IF(T170="Liability|payable",-N(O170),0)+IF(U170="Liability|payable",N(K170),0)+IF(V170="Liability|payable",N(P170),0)</f>
        <v/>
      </c>
      <c r="AB170" s="23">
        <f>IF(T170="Liability|accrued",-N(O170),0)+IF(U170="Liability|accrued",N(K170),0)+IF(V170="Liability|accrued",N(P170),0)</f>
        <v/>
      </c>
      <c r="AC170" s="23">
        <f>IF(AND(N(O170)&lt;&gt;0,T170=""),1,0)+IF(AND(N(K170)&lt;&gt;0,U170=""),1,0)+IF(AND(N(P170)&lt;&gt;0,V170=""),1,0)</f>
        <v/>
      </c>
    </row>
    <row r="171">
      <c r="A171" s="19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20" t="n"/>
      <c r="K171" s="20" t="n"/>
      <c r="L171" s="14" t="n"/>
      <c r="M171" s="14" t="n"/>
      <c r="N171" s="14" t="n"/>
      <c r="O171" s="21">
        <f>ROUND(N(I171)*N(J171),2)</f>
        <v/>
      </c>
      <c r="P171" s="21">
        <f>O171-N(K171)</f>
        <v/>
      </c>
      <c r="Q171" s="16">
        <f>IF(F171&lt;&gt;"",F171&amp;"",IF(LEFT(E171,6)="Indire",INDEX('Chart of Accounts'!$A$5:$A$3000,MATCH("project_overhead",'Chart of Accounts'!$F$5:$F$3000,0)),IF(LEFT(E171,6)="Admini",INDEX('Chart of Accounts'!$A$5:$A$3000,MATCH("admin_salaries",'Chart of Accounts'!$F$5:$F$3000,0)),INDEX('Chart of Accounts'!$A$5:$A$3000,MATCH("direct_labour",'Chart of Accounts'!$F$5:$F$3000,0)))))</f>
        <v/>
      </c>
      <c r="R171" s="16">
        <f>IF(M171="",INDEX('Chart of Accounts'!$A$5:$A$3000,MATCH("bank",'Chart of Accounts'!$F$5:$F$3000,0)),M171&amp;"")</f>
        <v/>
      </c>
      <c r="S171" s="16">
        <f>IF(N171="",INDEX('Chart of Accounts'!$A$5:$A$3000,MATCH("accrued_payroll",'Chart of Accounts'!$F$5:$F$3000,0)),N171&amp;"")</f>
        <v/>
      </c>
      <c r="T171" s="23">
        <f>IFERROR(INDEX('Chart of Accounts'!$C$5:$C$3000,MATCH(Q171&amp;"",'Chart of Accounts'!$A$5:$A$3000,0))&amp;"|"&amp;INDEX('Chart of Accounts'!$D$5:$D$3000,MATCH(Q171&amp;"",'Chart of Accounts'!$A$5:$A$3000,0)),"")</f>
        <v/>
      </c>
      <c r="U171" s="23">
        <f>IFERROR(INDEX('Chart of Accounts'!$C$5:$C$3000,MATCH(R171&amp;"",'Chart of Accounts'!$A$5:$A$3000,0))&amp;"|"&amp;INDEX('Chart of Accounts'!$D$5:$D$3000,MATCH(R171&amp;"",'Chart of Accounts'!$A$5:$A$3000,0)),"")</f>
        <v/>
      </c>
      <c r="V171" s="23">
        <f>IFERROR(INDEX('Chart of Accounts'!$C$5:$C$3000,MATCH(S171&amp;"",'Chart of Accounts'!$A$5:$A$3000,0))&amp;"|"&amp;INDEX('Chart of Accounts'!$D$5:$D$3000,MATCH(S171&amp;"",'Chart of Accounts'!$A$5:$A$3000,0)),"")</f>
        <v/>
      </c>
      <c r="W171" s="23">
        <f>IF(LEFT(T171,8)="Revenue|",-N(O171),0)+IF(LEFT(U171,8)="Revenue|",N(K171),0)+IF(LEFT(V171,8)="Revenue|",N(P171),0)</f>
        <v/>
      </c>
      <c r="X171" s="23">
        <f>IF(LEFT(T171,5)="COGS|",N(O171),0)+IF(LEFT(U171,5)="COGS|",-N(K171),0)+IF(LEFT(V171,5)="COGS|",-N(P171),0)</f>
        <v/>
      </c>
      <c r="Y171" s="23">
        <f>IF(LEFT(T171,8)="Expense|",N(O171),0)+IF(LEFT(U171,8)="Expense|",-N(K171),0)+IF(LEFT(V171,8)="Expense|",-N(P171),0)</f>
        <v/>
      </c>
      <c r="Z171" s="23">
        <f>IF(ISNUMBER(MATCH(T171,{"Expense|employee","Expense|general_admin","Expense|marketing","Expense|utilities","Expense|other_operating"},0)),N(O171),0)+IF(ISNUMBER(MATCH(U171,{"Expense|employee","Expense|general_admin","Expense|marketing","Expense|utilities","Expense|other_operating"},0)),-N(K171),0)+IF(ISNUMBER(MATCH(V171,{"Expense|employee","Expense|general_admin","Expense|marketing","Expense|utilities","Expense|other_operating"},0)),-N(P171),0)</f>
        <v/>
      </c>
      <c r="AA171" s="23">
        <f>IF(T171="Liability|payable",-N(O171),0)+IF(U171="Liability|payable",N(K171),0)+IF(V171="Liability|payable",N(P171),0)</f>
        <v/>
      </c>
      <c r="AB171" s="23">
        <f>IF(T171="Liability|accrued",-N(O171),0)+IF(U171="Liability|accrued",N(K171),0)+IF(V171="Liability|accrued",N(P171),0)</f>
        <v/>
      </c>
      <c r="AC171" s="23">
        <f>IF(AND(N(O171)&lt;&gt;0,T171=""),1,0)+IF(AND(N(K171)&lt;&gt;0,U171=""),1,0)+IF(AND(N(P171)&lt;&gt;0,V171=""),1,0)</f>
        <v/>
      </c>
    </row>
    <row r="172">
      <c r="A172" s="19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20" t="n"/>
      <c r="K172" s="20" t="n"/>
      <c r="L172" s="14" t="n"/>
      <c r="M172" s="14" t="n"/>
      <c r="N172" s="14" t="n"/>
      <c r="O172" s="21">
        <f>ROUND(N(I172)*N(J172),2)</f>
        <v/>
      </c>
      <c r="P172" s="21">
        <f>O172-N(K172)</f>
        <v/>
      </c>
      <c r="Q172" s="16">
        <f>IF(F172&lt;&gt;"",F172&amp;"",IF(LEFT(E172,6)="Indire",INDEX('Chart of Accounts'!$A$5:$A$3000,MATCH("project_overhead",'Chart of Accounts'!$F$5:$F$3000,0)),IF(LEFT(E172,6)="Admini",INDEX('Chart of Accounts'!$A$5:$A$3000,MATCH("admin_salaries",'Chart of Accounts'!$F$5:$F$3000,0)),INDEX('Chart of Accounts'!$A$5:$A$3000,MATCH("direct_labour",'Chart of Accounts'!$F$5:$F$3000,0)))))</f>
        <v/>
      </c>
      <c r="R172" s="16">
        <f>IF(M172="",INDEX('Chart of Accounts'!$A$5:$A$3000,MATCH("bank",'Chart of Accounts'!$F$5:$F$3000,0)),M172&amp;"")</f>
        <v/>
      </c>
      <c r="S172" s="16">
        <f>IF(N172="",INDEX('Chart of Accounts'!$A$5:$A$3000,MATCH("accrued_payroll",'Chart of Accounts'!$F$5:$F$3000,0)),N172&amp;"")</f>
        <v/>
      </c>
      <c r="T172" s="23">
        <f>IFERROR(INDEX('Chart of Accounts'!$C$5:$C$3000,MATCH(Q172&amp;"",'Chart of Accounts'!$A$5:$A$3000,0))&amp;"|"&amp;INDEX('Chart of Accounts'!$D$5:$D$3000,MATCH(Q172&amp;"",'Chart of Accounts'!$A$5:$A$3000,0)),"")</f>
        <v/>
      </c>
      <c r="U172" s="23">
        <f>IFERROR(INDEX('Chart of Accounts'!$C$5:$C$3000,MATCH(R172&amp;"",'Chart of Accounts'!$A$5:$A$3000,0))&amp;"|"&amp;INDEX('Chart of Accounts'!$D$5:$D$3000,MATCH(R172&amp;"",'Chart of Accounts'!$A$5:$A$3000,0)),"")</f>
        <v/>
      </c>
      <c r="V172" s="23">
        <f>IFERROR(INDEX('Chart of Accounts'!$C$5:$C$3000,MATCH(S172&amp;"",'Chart of Accounts'!$A$5:$A$3000,0))&amp;"|"&amp;INDEX('Chart of Accounts'!$D$5:$D$3000,MATCH(S172&amp;"",'Chart of Accounts'!$A$5:$A$3000,0)),"")</f>
        <v/>
      </c>
      <c r="W172" s="23">
        <f>IF(LEFT(T172,8)="Revenue|",-N(O172),0)+IF(LEFT(U172,8)="Revenue|",N(K172),0)+IF(LEFT(V172,8)="Revenue|",N(P172),0)</f>
        <v/>
      </c>
      <c r="X172" s="23">
        <f>IF(LEFT(T172,5)="COGS|",N(O172),0)+IF(LEFT(U172,5)="COGS|",-N(K172),0)+IF(LEFT(V172,5)="COGS|",-N(P172),0)</f>
        <v/>
      </c>
      <c r="Y172" s="23">
        <f>IF(LEFT(T172,8)="Expense|",N(O172),0)+IF(LEFT(U172,8)="Expense|",-N(K172),0)+IF(LEFT(V172,8)="Expense|",-N(P172),0)</f>
        <v/>
      </c>
      <c r="Z172" s="23">
        <f>IF(ISNUMBER(MATCH(T172,{"Expense|employee","Expense|general_admin","Expense|marketing","Expense|utilities","Expense|other_operating"},0)),N(O172),0)+IF(ISNUMBER(MATCH(U172,{"Expense|employee","Expense|general_admin","Expense|marketing","Expense|utilities","Expense|other_operating"},0)),-N(K172),0)+IF(ISNUMBER(MATCH(V172,{"Expense|employee","Expense|general_admin","Expense|marketing","Expense|utilities","Expense|other_operating"},0)),-N(P172),0)</f>
        <v/>
      </c>
      <c r="AA172" s="23">
        <f>IF(T172="Liability|payable",-N(O172),0)+IF(U172="Liability|payable",N(K172),0)+IF(V172="Liability|payable",N(P172),0)</f>
        <v/>
      </c>
      <c r="AB172" s="23">
        <f>IF(T172="Liability|accrued",-N(O172),0)+IF(U172="Liability|accrued",N(K172),0)+IF(V172="Liability|accrued",N(P172),0)</f>
        <v/>
      </c>
      <c r="AC172" s="23">
        <f>IF(AND(N(O172)&lt;&gt;0,T172=""),1,0)+IF(AND(N(K172)&lt;&gt;0,U172=""),1,0)+IF(AND(N(P172)&lt;&gt;0,V172=""),1,0)</f>
        <v/>
      </c>
    </row>
    <row r="173">
      <c r="A173" s="19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20" t="n"/>
      <c r="K173" s="20" t="n"/>
      <c r="L173" s="14" t="n"/>
      <c r="M173" s="14" t="n"/>
      <c r="N173" s="14" t="n"/>
      <c r="O173" s="21">
        <f>ROUND(N(I173)*N(J173),2)</f>
        <v/>
      </c>
      <c r="P173" s="21">
        <f>O173-N(K173)</f>
        <v/>
      </c>
      <c r="Q173" s="16">
        <f>IF(F173&lt;&gt;"",F173&amp;"",IF(LEFT(E173,6)="Indire",INDEX('Chart of Accounts'!$A$5:$A$3000,MATCH("project_overhead",'Chart of Accounts'!$F$5:$F$3000,0)),IF(LEFT(E173,6)="Admini",INDEX('Chart of Accounts'!$A$5:$A$3000,MATCH("admin_salaries",'Chart of Accounts'!$F$5:$F$3000,0)),INDEX('Chart of Accounts'!$A$5:$A$3000,MATCH("direct_labour",'Chart of Accounts'!$F$5:$F$3000,0)))))</f>
        <v/>
      </c>
      <c r="R173" s="16">
        <f>IF(M173="",INDEX('Chart of Accounts'!$A$5:$A$3000,MATCH("bank",'Chart of Accounts'!$F$5:$F$3000,0)),M173&amp;"")</f>
        <v/>
      </c>
      <c r="S173" s="16">
        <f>IF(N173="",INDEX('Chart of Accounts'!$A$5:$A$3000,MATCH("accrued_payroll",'Chart of Accounts'!$F$5:$F$3000,0)),N173&amp;"")</f>
        <v/>
      </c>
      <c r="T173" s="23">
        <f>IFERROR(INDEX('Chart of Accounts'!$C$5:$C$3000,MATCH(Q173&amp;"",'Chart of Accounts'!$A$5:$A$3000,0))&amp;"|"&amp;INDEX('Chart of Accounts'!$D$5:$D$3000,MATCH(Q173&amp;"",'Chart of Accounts'!$A$5:$A$3000,0)),"")</f>
        <v/>
      </c>
      <c r="U173" s="23">
        <f>IFERROR(INDEX('Chart of Accounts'!$C$5:$C$3000,MATCH(R173&amp;"",'Chart of Accounts'!$A$5:$A$3000,0))&amp;"|"&amp;INDEX('Chart of Accounts'!$D$5:$D$3000,MATCH(R173&amp;"",'Chart of Accounts'!$A$5:$A$3000,0)),"")</f>
        <v/>
      </c>
      <c r="V173" s="23">
        <f>IFERROR(INDEX('Chart of Accounts'!$C$5:$C$3000,MATCH(S173&amp;"",'Chart of Accounts'!$A$5:$A$3000,0))&amp;"|"&amp;INDEX('Chart of Accounts'!$D$5:$D$3000,MATCH(S173&amp;"",'Chart of Accounts'!$A$5:$A$3000,0)),"")</f>
        <v/>
      </c>
      <c r="W173" s="23">
        <f>IF(LEFT(T173,8)="Revenue|",-N(O173),0)+IF(LEFT(U173,8)="Revenue|",N(K173),0)+IF(LEFT(V173,8)="Revenue|",N(P173),0)</f>
        <v/>
      </c>
      <c r="X173" s="23">
        <f>IF(LEFT(T173,5)="COGS|",N(O173),0)+IF(LEFT(U173,5)="COGS|",-N(K173),0)+IF(LEFT(V173,5)="COGS|",-N(P173),0)</f>
        <v/>
      </c>
      <c r="Y173" s="23">
        <f>IF(LEFT(T173,8)="Expense|",N(O173),0)+IF(LEFT(U173,8)="Expense|",-N(K173),0)+IF(LEFT(V173,8)="Expense|",-N(P173),0)</f>
        <v/>
      </c>
      <c r="Z173" s="23">
        <f>IF(ISNUMBER(MATCH(T173,{"Expense|employee","Expense|general_admin","Expense|marketing","Expense|utilities","Expense|other_operating"},0)),N(O173),0)+IF(ISNUMBER(MATCH(U173,{"Expense|employee","Expense|general_admin","Expense|marketing","Expense|utilities","Expense|other_operating"},0)),-N(K173),0)+IF(ISNUMBER(MATCH(V173,{"Expense|employee","Expense|general_admin","Expense|marketing","Expense|utilities","Expense|other_operating"},0)),-N(P173),0)</f>
        <v/>
      </c>
      <c r="AA173" s="23">
        <f>IF(T173="Liability|payable",-N(O173),0)+IF(U173="Liability|payable",N(K173),0)+IF(V173="Liability|payable",N(P173),0)</f>
        <v/>
      </c>
      <c r="AB173" s="23">
        <f>IF(T173="Liability|accrued",-N(O173),0)+IF(U173="Liability|accrued",N(K173),0)+IF(V173="Liability|accrued",N(P173),0)</f>
        <v/>
      </c>
      <c r="AC173" s="23">
        <f>IF(AND(N(O173)&lt;&gt;0,T173=""),1,0)+IF(AND(N(K173)&lt;&gt;0,U173=""),1,0)+IF(AND(N(P173)&lt;&gt;0,V173=""),1,0)</f>
        <v/>
      </c>
    </row>
    <row r="174">
      <c r="A174" s="19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20" t="n"/>
      <c r="K174" s="20" t="n"/>
      <c r="L174" s="14" t="n"/>
      <c r="M174" s="14" t="n"/>
      <c r="N174" s="14" t="n"/>
      <c r="O174" s="21">
        <f>ROUND(N(I174)*N(J174),2)</f>
        <v/>
      </c>
      <c r="P174" s="21">
        <f>O174-N(K174)</f>
        <v/>
      </c>
      <c r="Q174" s="16">
        <f>IF(F174&lt;&gt;"",F174&amp;"",IF(LEFT(E174,6)="Indire",INDEX('Chart of Accounts'!$A$5:$A$3000,MATCH("project_overhead",'Chart of Accounts'!$F$5:$F$3000,0)),IF(LEFT(E174,6)="Admini",INDEX('Chart of Accounts'!$A$5:$A$3000,MATCH("admin_salaries",'Chart of Accounts'!$F$5:$F$3000,0)),INDEX('Chart of Accounts'!$A$5:$A$3000,MATCH("direct_labour",'Chart of Accounts'!$F$5:$F$3000,0)))))</f>
        <v/>
      </c>
      <c r="R174" s="16">
        <f>IF(M174="",INDEX('Chart of Accounts'!$A$5:$A$3000,MATCH("bank",'Chart of Accounts'!$F$5:$F$3000,0)),M174&amp;"")</f>
        <v/>
      </c>
      <c r="S174" s="16">
        <f>IF(N174="",INDEX('Chart of Accounts'!$A$5:$A$3000,MATCH("accrued_payroll",'Chart of Accounts'!$F$5:$F$3000,0)),N174&amp;"")</f>
        <v/>
      </c>
      <c r="T174" s="23">
        <f>IFERROR(INDEX('Chart of Accounts'!$C$5:$C$3000,MATCH(Q174&amp;"",'Chart of Accounts'!$A$5:$A$3000,0))&amp;"|"&amp;INDEX('Chart of Accounts'!$D$5:$D$3000,MATCH(Q174&amp;"",'Chart of Accounts'!$A$5:$A$3000,0)),"")</f>
        <v/>
      </c>
      <c r="U174" s="23">
        <f>IFERROR(INDEX('Chart of Accounts'!$C$5:$C$3000,MATCH(R174&amp;"",'Chart of Accounts'!$A$5:$A$3000,0))&amp;"|"&amp;INDEX('Chart of Accounts'!$D$5:$D$3000,MATCH(R174&amp;"",'Chart of Accounts'!$A$5:$A$3000,0)),"")</f>
        <v/>
      </c>
      <c r="V174" s="23">
        <f>IFERROR(INDEX('Chart of Accounts'!$C$5:$C$3000,MATCH(S174&amp;"",'Chart of Accounts'!$A$5:$A$3000,0))&amp;"|"&amp;INDEX('Chart of Accounts'!$D$5:$D$3000,MATCH(S174&amp;"",'Chart of Accounts'!$A$5:$A$3000,0)),"")</f>
        <v/>
      </c>
      <c r="W174" s="23">
        <f>IF(LEFT(T174,8)="Revenue|",-N(O174),0)+IF(LEFT(U174,8)="Revenue|",N(K174),0)+IF(LEFT(V174,8)="Revenue|",N(P174),0)</f>
        <v/>
      </c>
      <c r="X174" s="23">
        <f>IF(LEFT(T174,5)="COGS|",N(O174),0)+IF(LEFT(U174,5)="COGS|",-N(K174),0)+IF(LEFT(V174,5)="COGS|",-N(P174),0)</f>
        <v/>
      </c>
      <c r="Y174" s="23">
        <f>IF(LEFT(T174,8)="Expense|",N(O174),0)+IF(LEFT(U174,8)="Expense|",-N(K174),0)+IF(LEFT(V174,8)="Expense|",-N(P174),0)</f>
        <v/>
      </c>
      <c r="Z174" s="23">
        <f>IF(ISNUMBER(MATCH(T174,{"Expense|employee","Expense|general_admin","Expense|marketing","Expense|utilities","Expense|other_operating"},0)),N(O174),0)+IF(ISNUMBER(MATCH(U174,{"Expense|employee","Expense|general_admin","Expense|marketing","Expense|utilities","Expense|other_operating"},0)),-N(K174),0)+IF(ISNUMBER(MATCH(V174,{"Expense|employee","Expense|general_admin","Expense|marketing","Expense|utilities","Expense|other_operating"},0)),-N(P174),0)</f>
        <v/>
      </c>
      <c r="AA174" s="23">
        <f>IF(T174="Liability|payable",-N(O174),0)+IF(U174="Liability|payable",N(K174),0)+IF(V174="Liability|payable",N(P174),0)</f>
        <v/>
      </c>
      <c r="AB174" s="23">
        <f>IF(T174="Liability|accrued",-N(O174),0)+IF(U174="Liability|accrued",N(K174),0)+IF(V174="Liability|accrued",N(P174),0)</f>
        <v/>
      </c>
      <c r="AC174" s="23">
        <f>IF(AND(N(O174)&lt;&gt;0,T174=""),1,0)+IF(AND(N(K174)&lt;&gt;0,U174=""),1,0)+IF(AND(N(P174)&lt;&gt;0,V174=""),1,0)</f>
        <v/>
      </c>
    </row>
    <row r="175">
      <c r="A175" s="19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20" t="n"/>
      <c r="K175" s="20" t="n"/>
      <c r="L175" s="14" t="n"/>
      <c r="M175" s="14" t="n"/>
      <c r="N175" s="14" t="n"/>
      <c r="O175" s="21">
        <f>ROUND(N(I175)*N(J175),2)</f>
        <v/>
      </c>
      <c r="P175" s="21">
        <f>O175-N(K175)</f>
        <v/>
      </c>
      <c r="Q175" s="16">
        <f>IF(F175&lt;&gt;"",F175&amp;"",IF(LEFT(E175,6)="Indire",INDEX('Chart of Accounts'!$A$5:$A$3000,MATCH("project_overhead",'Chart of Accounts'!$F$5:$F$3000,0)),IF(LEFT(E175,6)="Admini",INDEX('Chart of Accounts'!$A$5:$A$3000,MATCH("admin_salaries",'Chart of Accounts'!$F$5:$F$3000,0)),INDEX('Chart of Accounts'!$A$5:$A$3000,MATCH("direct_labour",'Chart of Accounts'!$F$5:$F$3000,0)))))</f>
        <v/>
      </c>
      <c r="R175" s="16">
        <f>IF(M175="",INDEX('Chart of Accounts'!$A$5:$A$3000,MATCH("bank",'Chart of Accounts'!$F$5:$F$3000,0)),M175&amp;"")</f>
        <v/>
      </c>
      <c r="S175" s="16">
        <f>IF(N175="",INDEX('Chart of Accounts'!$A$5:$A$3000,MATCH("accrued_payroll",'Chart of Accounts'!$F$5:$F$3000,0)),N175&amp;"")</f>
        <v/>
      </c>
      <c r="T175" s="23">
        <f>IFERROR(INDEX('Chart of Accounts'!$C$5:$C$3000,MATCH(Q175&amp;"",'Chart of Accounts'!$A$5:$A$3000,0))&amp;"|"&amp;INDEX('Chart of Accounts'!$D$5:$D$3000,MATCH(Q175&amp;"",'Chart of Accounts'!$A$5:$A$3000,0)),"")</f>
        <v/>
      </c>
      <c r="U175" s="23">
        <f>IFERROR(INDEX('Chart of Accounts'!$C$5:$C$3000,MATCH(R175&amp;"",'Chart of Accounts'!$A$5:$A$3000,0))&amp;"|"&amp;INDEX('Chart of Accounts'!$D$5:$D$3000,MATCH(R175&amp;"",'Chart of Accounts'!$A$5:$A$3000,0)),"")</f>
        <v/>
      </c>
      <c r="V175" s="23">
        <f>IFERROR(INDEX('Chart of Accounts'!$C$5:$C$3000,MATCH(S175&amp;"",'Chart of Accounts'!$A$5:$A$3000,0))&amp;"|"&amp;INDEX('Chart of Accounts'!$D$5:$D$3000,MATCH(S175&amp;"",'Chart of Accounts'!$A$5:$A$3000,0)),"")</f>
        <v/>
      </c>
      <c r="W175" s="23">
        <f>IF(LEFT(T175,8)="Revenue|",-N(O175),0)+IF(LEFT(U175,8)="Revenue|",N(K175),0)+IF(LEFT(V175,8)="Revenue|",N(P175),0)</f>
        <v/>
      </c>
      <c r="X175" s="23">
        <f>IF(LEFT(T175,5)="COGS|",N(O175),0)+IF(LEFT(U175,5)="COGS|",-N(K175),0)+IF(LEFT(V175,5)="COGS|",-N(P175),0)</f>
        <v/>
      </c>
      <c r="Y175" s="23">
        <f>IF(LEFT(T175,8)="Expense|",N(O175),0)+IF(LEFT(U175,8)="Expense|",-N(K175),0)+IF(LEFT(V175,8)="Expense|",-N(P175),0)</f>
        <v/>
      </c>
      <c r="Z175" s="23">
        <f>IF(ISNUMBER(MATCH(T175,{"Expense|employee","Expense|general_admin","Expense|marketing","Expense|utilities","Expense|other_operating"},0)),N(O175),0)+IF(ISNUMBER(MATCH(U175,{"Expense|employee","Expense|general_admin","Expense|marketing","Expense|utilities","Expense|other_operating"},0)),-N(K175),0)+IF(ISNUMBER(MATCH(V175,{"Expense|employee","Expense|general_admin","Expense|marketing","Expense|utilities","Expense|other_operating"},0)),-N(P175),0)</f>
        <v/>
      </c>
      <c r="AA175" s="23">
        <f>IF(T175="Liability|payable",-N(O175),0)+IF(U175="Liability|payable",N(K175),0)+IF(V175="Liability|payable",N(P175),0)</f>
        <v/>
      </c>
      <c r="AB175" s="23">
        <f>IF(T175="Liability|accrued",-N(O175),0)+IF(U175="Liability|accrued",N(K175),0)+IF(V175="Liability|accrued",N(P175),0)</f>
        <v/>
      </c>
      <c r="AC175" s="23">
        <f>IF(AND(N(O175)&lt;&gt;0,T175=""),1,0)+IF(AND(N(K175)&lt;&gt;0,U175=""),1,0)+IF(AND(N(P175)&lt;&gt;0,V175=""),1,0)</f>
        <v/>
      </c>
    </row>
    <row r="176">
      <c r="A176" s="19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20" t="n"/>
      <c r="K176" s="20" t="n"/>
      <c r="L176" s="14" t="n"/>
      <c r="M176" s="14" t="n"/>
      <c r="N176" s="14" t="n"/>
      <c r="O176" s="21">
        <f>ROUND(N(I176)*N(J176),2)</f>
        <v/>
      </c>
      <c r="P176" s="21">
        <f>O176-N(K176)</f>
        <v/>
      </c>
      <c r="Q176" s="16">
        <f>IF(F176&lt;&gt;"",F176&amp;"",IF(LEFT(E176,6)="Indire",INDEX('Chart of Accounts'!$A$5:$A$3000,MATCH("project_overhead",'Chart of Accounts'!$F$5:$F$3000,0)),IF(LEFT(E176,6)="Admini",INDEX('Chart of Accounts'!$A$5:$A$3000,MATCH("admin_salaries",'Chart of Accounts'!$F$5:$F$3000,0)),INDEX('Chart of Accounts'!$A$5:$A$3000,MATCH("direct_labour",'Chart of Accounts'!$F$5:$F$3000,0)))))</f>
        <v/>
      </c>
      <c r="R176" s="16">
        <f>IF(M176="",INDEX('Chart of Accounts'!$A$5:$A$3000,MATCH("bank",'Chart of Accounts'!$F$5:$F$3000,0)),M176&amp;"")</f>
        <v/>
      </c>
      <c r="S176" s="16">
        <f>IF(N176="",INDEX('Chart of Accounts'!$A$5:$A$3000,MATCH("accrued_payroll",'Chart of Accounts'!$F$5:$F$3000,0)),N176&amp;"")</f>
        <v/>
      </c>
      <c r="T176" s="23">
        <f>IFERROR(INDEX('Chart of Accounts'!$C$5:$C$3000,MATCH(Q176&amp;"",'Chart of Accounts'!$A$5:$A$3000,0))&amp;"|"&amp;INDEX('Chart of Accounts'!$D$5:$D$3000,MATCH(Q176&amp;"",'Chart of Accounts'!$A$5:$A$3000,0)),"")</f>
        <v/>
      </c>
      <c r="U176" s="23">
        <f>IFERROR(INDEX('Chart of Accounts'!$C$5:$C$3000,MATCH(R176&amp;"",'Chart of Accounts'!$A$5:$A$3000,0))&amp;"|"&amp;INDEX('Chart of Accounts'!$D$5:$D$3000,MATCH(R176&amp;"",'Chart of Accounts'!$A$5:$A$3000,0)),"")</f>
        <v/>
      </c>
      <c r="V176" s="23">
        <f>IFERROR(INDEX('Chart of Accounts'!$C$5:$C$3000,MATCH(S176&amp;"",'Chart of Accounts'!$A$5:$A$3000,0))&amp;"|"&amp;INDEX('Chart of Accounts'!$D$5:$D$3000,MATCH(S176&amp;"",'Chart of Accounts'!$A$5:$A$3000,0)),"")</f>
        <v/>
      </c>
      <c r="W176" s="23">
        <f>IF(LEFT(T176,8)="Revenue|",-N(O176),0)+IF(LEFT(U176,8)="Revenue|",N(K176),0)+IF(LEFT(V176,8)="Revenue|",N(P176),0)</f>
        <v/>
      </c>
      <c r="X176" s="23">
        <f>IF(LEFT(T176,5)="COGS|",N(O176),0)+IF(LEFT(U176,5)="COGS|",-N(K176),0)+IF(LEFT(V176,5)="COGS|",-N(P176),0)</f>
        <v/>
      </c>
      <c r="Y176" s="23">
        <f>IF(LEFT(T176,8)="Expense|",N(O176),0)+IF(LEFT(U176,8)="Expense|",-N(K176),0)+IF(LEFT(V176,8)="Expense|",-N(P176),0)</f>
        <v/>
      </c>
      <c r="Z176" s="23">
        <f>IF(ISNUMBER(MATCH(T176,{"Expense|employee","Expense|general_admin","Expense|marketing","Expense|utilities","Expense|other_operating"},0)),N(O176),0)+IF(ISNUMBER(MATCH(U176,{"Expense|employee","Expense|general_admin","Expense|marketing","Expense|utilities","Expense|other_operating"},0)),-N(K176),0)+IF(ISNUMBER(MATCH(V176,{"Expense|employee","Expense|general_admin","Expense|marketing","Expense|utilities","Expense|other_operating"},0)),-N(P176),0)</f>
        <v/>
      </c>
      <c r="AA176" s="23">
        <f>IF(T176="Liability|payable",-N(O176),0)+IF(U176="Liability|payable",N(K176),0)+IF(V176="Liability|payable",N(P176),0)</f>
        <v/>
      </c>
      <c r="AB176" s="23">
        <f>IF(T176="Liability|accrued",-N(O176),0)+IF(U176="Liability|accrued",N(K176),0)+IF(V176="Liability|accrued",N(P176),0)</f>
        <v/>
      </c>
      <c r="AC176" s="23">
        <f>IF(AND(N(O176)&lt;&gt;0,T176=""),1,0)+IF(AND(N(K176)&lt;&gt;0,U176=""),1,0)+IF(AND(N(P176)&lt;&gt;0,V176=""),1,0)</f>
        <v/>
      </c>
    </row>
    <row r="177">
      <c r="A177" s="19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20" t="n"/>
      <c r="K177" s="20" t="n"/>
      <c r="L177" s="14" t="n"/>
      <c r="M177" s="14" t="n"/>
      <c r="N177" s="14" t="n"/>
      <c r="O177" s="21">
        <f>ROUND(N(I177)*N(J177),2)</f>
        <v/>
      </c>
      <c r="P177" s="21">
        <f>O177-N(K177)</f>
        <v/>
      </c>
      <c r="Q177" s="16">
        <f>IF(F177&lt;&gt;"",F177&amp;"",IF(LEFT(E177,6)="Indire",INDEX('Chart of Accounts'!$A$5:$A$3000,MATCH("project_overhead",'Chart of Accounts'!$F$5:$F$3000,0)),IF(LEFT(E177,6)="Admini",INDEX('Chart of Accounts'!$A$5:$A$3000,MATCH("admin_salaries",'Chart of Accounts'!$F$5:$F$3000,0)),INDEX('Chart of Accounts'!$A$5:$A$3000,MATCH("direct_labour",'Chart of Accounts'!$F$5:$F$3000,0)))))</f>
        <v/>
      </c>
      <c r="R177" s="16">
        <f>IF(M177="",INDEX('Chart of Accounts'!$A$5:$A$3000,MATCH("bank",'Chart of Accounts'!$F$5:$F$3000,0)),M177&amp;"")</f>
        <v/>
      </c>
      <c r="S177" s="16">
        <f>IF(N177="",INDEX('Chart of Accounts'!$A$5:$A$3000,MATCH("accrued_payroll",'Chart of Accounts'!$F$5:$F$3000,0)),N177&amp;"")</f>
        <v/>
      </c>
      <c r="T177" s="23">
        <f>IFERROR(INDEX('Chart of Accounts'!$C$5:$C$3000,MATCH(Q177&amp;"",'Chart of Accounts'!$A$5:$A$3000,0))&amp;"|"&amp;INDEX('Chart of Accounts'!$D$5:$D$3000,MATCH(Q177&amp;"",'Chart of Accounts'!$A$5:$A$3000,0)),"")</f>
        <v/>
      </c>
      <c r="U177" s="23">
        <f>IFERROR(INDEX('Chart of Accounts'!$C$5:$C$3000,MATCH(R177&amp;"",'Chart of Accounts'!$A$5:$A$3000,0))&amp;"|"&amp;INDEX('Chart of Accounts'!$D$5:$D$3000,MATCH(R177&amp;"",'Chart of Accounts'!$A$5:$A$3000,0)),"")</f>
        <v/>
      </c>
      <c r="V177" s="23">
        <f>IFERROR(INDEX('Chart of Accounts'!$C$5:$C$3000,MATCH(S177&amp;"",'Chart of Accounts'!$A$5:$A$3000,0))&amp;"|"&amp;INDEX('Chart of Accounts'!$D$5:$D$3000,MATCH(S177&amp;"",'Chart of Accounts'!$A$5:$A$3000,0)),"")</f>
        <v/>
      </c>
      <c r="W177" s="23">
        <f>IF(LEFT(T177,8)="Revenue|",-N(O177),0)+IF(LEFT(U177,8)="Revenue|",N(K177),0)+IF(LEFT(V177,8)="Revenue|",N(P177),0)</f>
        <v/>
      </c>
      <c r="X177" s="23">
        <f>IF(LEFT(T177,5)="COGS|",N(O177),0)+IF(LEFT(U177,5)="COGS|",-N(K177),0)+IF(LEFT(V177,5)="COGS|",-N(P177),0)</f>
        <v/>
      </c>
      <c r="Y177" s="23">
        <f>IF(LEFT(T177,8)="Expense|",N(O177),0)+IF(LEFT(U177,8)="Expense|",-N(K177),0)+IF(LEFT(V177,8)="Expense|",-N(P177),0)</f>
        <v/>
      </c>
      <c r="Z177" s="23">
        <f>IF(ISNUMBER(MATCH(T177,{"Expense|employee","Expense|general_admin","Expense|marketing","Expense|utilities","Expense|other_operating"},0)),N(O177),0)+IF(ISNUMBER(MATCH(U177,{"Expense|employee","Expense|general_admin","Expense|marketing","Expense|utilities","Expense|other_operating"},0)),-N(K177),0)+IF(ISNUMBER(MATCH(V177,{"Expense|employee","Expense|general_admin","Expense|marketing","Expense|utilities","Expense|other_operating"},0)),-N(P177),0)</f>
        <v/>
      </c>
      <c r="AA177" s="23">
        <f>IF(T177="Liability|payable",-N(O177),0)+IF(U177="Liability|payable",N(K177),0)+IF(V177="Liability|payable",N(P177),0)</f>
        <v/>
      </c>
      <c r="AB177" s="23">
        <f>IF(T177="Liability|accrued",-N(O177),0)+IF(U177="Liability|accrued",N(K177),0)+IF(V177="Liability|accrued",N(P177),0)</f>
        <v/>
      </c>
      <c r="AC177" s="23">
        <f>IF(AND(N(O177)&lt;&gt;0,T177=""),1,0)+IF(AND(N(K177)&lt;&gt;0,U177=""),1,0)+IF(AND(N(P177)&lt;&gt;0,V177=""),1,0)</f>
        <v/>
      </c>
    </row>
    <row r="178">
      <c r="A178" s="19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20" t="n"/>
      <c r="K178" s="20" t="n"/>
      <c r="L178" s="14" t="n"/>
      <c r="M178" s="14" t="n"/>
      <c r="N178" s="14" t="n"/>
      <c r="O178" s="21">
        <f>ROUND(N(I178)*N(J178),2)</f>
        <v/>
      </c>
      <c r="P178" s="21">
        <f>O178-N(K178)</f>
        <v/>
      </c>
      <c r="Q178" s="16">
        <f>IF(F178&lt;&gt;"",F178&amp;"",IF(LEFT(E178,6)="Indire",INDEX('Chart of Accounts'!$A$5:$A$3000,MATCH("project_overhead",'Chart of Accounts'!$F$5:$F$3000,0)),IF(LEFT(E178,6)="Admini",INDEX('Chart of Accounts'!$A$5:$A$3000,MATCH("admin_salaries",'Chart of Accounts'!$F$5:$F$3000,0)),INDEX('Chart of Accounts'!$A$5:$A$3000,MATCH("direct_labour",'Chart of Accounts'!$F$5:$F$3000,0)))))</f>
        <v/>
      </c>
      <c r="R178" s="16">
        <f>IF(M178="",INDEX('Chart of Accounts'!$A$5:$A$3000,MATCH("bank",'Chart of Accounts'!$F$5:$F$3000,0)),M178&amp;"")</f>
        <v/>
      </c>
      <c r="S178" s="16">
        <f>IF(N178="",INDEX('Chart of Accounts'!$A$5:$A$3000,MATCH("accrued_payroll",'Chart of Accounts'!$F$5:$F$3000,0)),N178&amp;"")</f>
        <v/>
      </c>
      <c r="T178" s="23">
        <f>IFERROR(INDEX('Chart of Accounts'!$C$5:$C$3000,MATCH(Q178&amp;"",'Chart of Accounts'!$A$5:$A$3000,0))&amp;"|"&amp;INDEX('Chart of Accounts'!$D$5:$D$3000,MATCH(Q178&amp;"",'Chart of Accounts'!$A$5:$A$3000,0)),"")</f>
        <v/>
      </c>
      <c r="U178" s="23">
        <f>IFERROR(INDEX('Chart of Accounts'!$C$5:$C$3000,MATCH(R178&amp;"",'Chart of Accounts'!$A$5:$A$3000,0))&amp;"|"&amp;INDEX('Chart of Accounts'!$D$5:$D$3000,MATCH(R178&amp;"",'Chart of Accounts'!$A$5:$A$3000,0)),"")</f>
        <v/>
      </c>
      <c r="V178" s="23">
        <f>IFERROR(INDEX('Chart of Accounts'!$C$5:$C$3000,MATCH(S178&amp;"",'Chart of Accounts'!$A$5:$A$3000,0))&amp;"|"&amp;INDEX('Chart of Accounts'!$D$5:$D$3000,MATCH(S178&amp;"",'Chart of Accounts'!$A$5:$A$3000,0)),"")</f>
        <v/>
      </c>
      <c r="W178" s="23">
        <f>IF(LEFT(T178,8)="Revenue|",-N(O178),0)+IF(LEFT(U178,8)="Revenue|",N(K178),0)+IF(LEFT(V178,8)="Revenue|",N(P178),0)</f>
        <v/>
      </c>
      <c r="X178" s="23">
        <f>IF(LEFT(T178,5)="COGS|",N(O178),0)+IF(LEFT(U178,5)="COGS|",-N(K178),0)+IF(LEFT(V178,5)="COGS|",-N(P178),0)</f>
        <v/>
      </c>
      <c r="Y178" s="23">
        <f>IF(LEFT(T178,8)="Expense|",N(O178),0)+IF(LEFT(U178,8)="Expense|",-N(K178),0)+IF(LEFT(V178,8)="Expense|",-N(P178),0)</f>
        <v/>
      </c>
      <c r="Z178" s="23">
        <f>IF(ISNUMBER(MATCH(T178,{"Expense|employee","Expense|general_admin","Expense|marketing","Expense|utilities","Expense|other_operating"},0)),N(O178),0)+IF(ISNUMBER(MATCH(U178,{"Expense|employee","Expense|general_admin","Expense|marketing","Expense|utilities","Expense|other_operating"},0)),-N(K178),0)+IF(ISNUMBER(MATCH(V178,{"Expense|employee","Expense|general_admin","Expense|marketing","Expense|utilities","Expense|other_operating"},0)),-N(P178),0)</f>
        <v/>
      </c>
      <c r="AA178" s="23">
        <f>IF(T178="Liability|payable",-N(O178),0)+IF(U178="Liability|payable",N(K178),0)+IF(V178="Liability|payable",N(P178),0)</f>
        <v/>
      </c>
      <c r="AB178" s="23">
        <f>IF(T178="Liability|accrued",-N(O178),0)+IF(U178="Liability|accrued",N(K178),0)+IF(V178="Liability|accrued",N(P178),0)</f>
        <v/>
      </c>
      <c r="AC178" s="23">
        <f>IF(AND(N(O178)&lt;&gt;0,T178=""),1,0)+IF(AND(N(K178)&lt;&gt;0,U178=""),1,0)+IF(AND(N(P178)&lt;&gt;0,V178=""),1,0)</f>
        <v/>
      </c>
    </row>
    <row r="179">
      <c r="A179" s="19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20" t="n"/>
      <c r="K179" s="20" t="n"/>
      <c r="L179" s="14" t="n"/>
      <c r="M179" s="14" t="n"/>
      <c r="N179" s="14" t="n"/>
      <c r="O179" s="21">
        <f>ROUND(N(I179)*N(J179),2)</f>
        <v/>
      </c>
      <c r="P179" s="21">
        <f>O179-N(K179)</f>
        <v/>
      </c>
      <c r="Q179" s="16">
        <f>IF(F179&lt;&gt;"",F179&amp;"",IF(LEFT(E179,6)="Indire",INDEX('Chart of Accounts'!$A$5:$A$3000,MATCH("project_overhead",'Chart of Accounts'!$F$5:$F$3000,0)),IF(LEFT(E179,6)="Admini",INDEX('Chart of Accounts'!$A$5:$A$3000,MATCH("admin_salaries",'Chart of Accounts'!$F$5:$F$3000,0)),INDEX('Chart of Accounts'!$A$5:$A$3000,MATCH("direct_labour",'Chart of Accounts'!$F$5:$F$3000,0)))))</f>
        <v/>
      </c>
      <c r="R179" s="16">
        <f>IF(M179="",INDEX('Chart of Accounts'!$A$5:$A$3000,MATCH("bank",'Chart of Accounts'!$F$5:$F$3000,0)),M179&amp;"")</f>
        <v/>
      </c>
      <c r="S179" s="16">
        <f>IF(N179="",INDEX('Chart of Accounts'!$A$5:$A$3000,MATCH("accrued_payroll",'Chart of Accounts'!$F$5:$F$3000,0)),N179&amp;"")</f>
        <v/>
      </c>
      <c r="T179" s="23">
        <f>IFERROR(INDEX('Chart of Accounts'!$C$5:$C$3000,MATCH(Q179&amp;"",'Chart of Accounts'!$A$5:$A$3000,0))&amp;"|"&amp;INDEX('Chart of Accounts'!$D$5:$D$3000,MATCH(Q179&amp;"",'Chart of Accounts'!$A$5:$A$3000,0)),"")</f>
        <v/>
      </c>
      <c r="U179" s="23">
        <f>IFERROR(INDEX('Chart of Accounts'!$C$5:$C$3000,MATCH(R179&amp;"",'Chart of Accounts'!$A$5:$A$3000,0))&amp;"|"&amp;INDEX('Chart of Accounts'!$D$5:$D$3000,MATCH(R179&amp;"",'Chart of Accounts'!$A$5:$A$3000,0)),"")</f>
        <v/>
      </c>
      <c r="V179" s="23">
        <f>IFERROR(INDEX('Chart of Accounts'!$C$5:$C$3000,MATCH(S179&amp;"",'Chart of Accounts'!$A$5:$A$3000,0))&amp;"|"&amp;INDEX('Chart of Accounts'!$D$5:$D$3000,MATCH(S179&amp;"",'Chart of Accounts'!$A$5:$A$3000,0)),"")</f>
        <v/>
      </c>
      <c r="W179" s="23">
        <f>IF(LEFT(T179,8)="Revenue|",-N(O179),0)+IF(LEFT(U179,8)="Revenue|",N(K179),0)+IF(LEFT(V179,8)="Revenue|",N(P179),0)</f>
        <v/>
      </c>
      <c r="X179" s="23">
        <f>IF(LEFT(T179,5)="COGS|",N(O179),0)+IF(LEFT(U179,5)="COGS|",-N(K179),0)+IF(LEFT(V179,5)="COGS|",-N(P179),0)</f>
        <v/>
      </c>
      <c r="Y179" s="23">
        <f>IF(LEFT(T179,8)="Expense|",N(O179),0)+IF(LEFT(U179,8)="Expense|",-N(K179),0)+IF(LEFT(V179,8)="Expense|",-N(P179),0)</f>
        <v/>
      </c>
      <c r="Z179" s="23">
        <f>IF(ISNUMBER(MATCH(T179,{"Expense|employee","Expense|general_admin","Expense|marketing","Expense|utilities","Expense|other_operating"},0)),N(O179),0)+IF(ISNUMBER(MATCH(U179,{"Expense|employee","Expense|general_admin","Expense|marketing","Expense|utilities","Expense|other_operating"},0)),-N(K179),0)+IF(ISNUMBER(MATCH(V179,{"Expense|employee","Expense|general_admin","Expense|marketing","Expense|utilities","Expense|other_operating"},0)),-N(P179),0)</f>
        <v/>
      </c>
      <c r="AA179" s="23">
        <f>IF(T179="Liability|payable",-N(O179),0)+IF(U179="Liability|payable",N(K179),0)+IF(V179="Liability|payable",N(P179),0)</f>
        <v/>
      </c>
      <c r="AB179" s="23">
        <f>IF(T179="Liability|accrued",-N(O179),0)+IF(U179="Liability|accrued",N(K179),0)+IF(V179="Liability|accrued",N(P179),0)</f>
        <v/>
      </c>
      <c r="AC179" s="23">
        <f>IF(AND(N(O179)&lt;&gt;0,T179=""),1,0)+IF(AND(N(K179)&lt;&gt;0,U179=""),1,0)+IF(AND(N(P179)&lt;&gt;0,V179=""),1,0)</f>
        <v/>
      </c>
    </row>
    <row r="180">
      <c r="A180" s="19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20" t="n"/>
      <c r="K180" s="20" t="n"/>
      <c r="L180" s="14" t="n"/>
      <c r="M180" s="14" t="n"/>
      <c r="N180" s="14" t="n"/>
      <c r="O180" s="21">
        <f>ROUND(N(I180)*N(J180),2)</f>
        <v/>
      </c>
      <c r="P180" s="21">
        <f>O180-N(K180)</f>
        <v/>
      </c>
      <c r="Q180" s="16">
        <f>IF(F180&lt;&gt;"",F180&amp;"",IF(LEFT(E180,6)="Indire",INDEX('Chart of Accounts'!$A$5:$A$3000,MATCH("project_overhead",'Chart of Accounts'!$F$5:$F$3000,0)),IF(LEFT(E180,6)="Admini",INDEX('Chart of Accounts'!$A$5:$A$3000,MATCH("admin_salaries",'Chart of Accounts'!$F$5:$F$3000,0)),INDEX('Chart of Accounts'!$A$5:$A$3000,MATCH("direct_labour",'Chart of Accounts'!$F$5:$F$3000,0)))))</f>
        <v/>
      </c>
      <c r="R180" s="16">
        <f>IF(M180="",INDEX('Chart of Accounts'!$A$5:$A$3000,MATCH("bank",'Chart of Accounts'!$F$5:$F$3000,0)),M180&amp;"")</f>
        <v/>
      </c>
      <c r="S180" s="16">
        <f>IF(N180="",INDEX('Chart of Accounts'!$A$5:$A$3000,MATCH("accrued_payroll",'Chart of Accounts'!$F$5:$F$3000,0)),N180&amp;"")</f>
        <v/>
      </c>
      <c r="T180" s="23">
        <f>IFERROR(INDEX('Chart of Accounts'!$C$5:$C$3000,MATCH(Q180&amp;"",'Chart of Accounts'!$A$5:$A$3000,0))&amp;"|"&amp;INDEX('Chart of Accounts'!$D$5:$D$3000,MATCH(Q180&amp;"",'Chart of Accounts'!$A$5:$A$3000,0)),"")</f>
        <v/>
      </c>
      <c r="U180" s="23">
        <f>IFERROR(INDEX('Chart of Accounts'!$C$5:$C$3000,MATCH(R180&amp;"",'Chart of Accounts'!$A$5:$A$3000,0))&amp;"|"&amp;INDEX('Chart of Accounts'!$D$5:$D$3000,MATCH(R180&amp;"",'Chart of Accounts'!$A$5:$A$3000,0)),"")</f>
        <v/>
      </c>
      <c r="V180" s="23">
        <f>IFERROR(INDEX('Chart of Accounts'!$C$5:$C$3000,MATCH(S180&amp;"",'Chart of Accounts'!$A$5:$A$3000,0))&amp;"|"&amp;INDEX('Chart of Accounts'!$D$5:$D$3000,MATCH(S180&amp;"",'Chart of Accounts'!$A$5:$A$3000,0)),"")</f>
        <v/>
      </c>
      <c r="W180" s="23">
        <f>IF(LEFT(T180,8)="Revenue|",-N(O180),0)+IF(LEFT(U180,8)="Revenue|",N(K180),0)+IF(LEFT(V180,8)="Revenue|",N(P180),0)</f>
        <v/>
      </c>
      <c r="X180" s="23">
        <f>IF(LEFT(T180,5)="COGS|",N(O180),0)+IF(LEFT(U180,5)="COGS|",-N(K180),0)+IF(LEFT(V180,5)="COGS|",-N(P180),0)</f>
        <v/>
      </c>
      <c r="Y180" s="23">
        <f>IF(LEFT(T180,8)="Expense|",N(O180),0)+IF(LEFT(U180,8)="Expense|",-N(K180),0)+IF(LEFT(V180,8)="Expense|",-N(P180),0)</f>
        <v/>
      </c>
      <c r="Z180" s="23">
        <f>IF(ISNUMBER(MATCH(T180,{"Expense|employee","Expense|general_admin","Expense|marketing","Expense|utilities","Expense|other_operating"},0)),N(O180),0)+IF(ISNUMBER(MATCH(U180,{"Expense|employee","Expense|general_admin","Expense|marketing","Expense|utilities","Expense|other_operating"},0)),-N(K180),0)+IF(ISNUMBER(MATCH(V180,{"Expense|employee","Expense|general_admin","Expense|marketing","Expense|utilities","Expense|other_operating"},0)),-N(P180),0)</f>
        <v/>
      </c>
      <c r="AA180" s="23">
        <f>IF(T180="Liability|payable",-N(O180),0)+IF(U180="Liability|payable",N(K180),0)+IF(V180="Liability|payable",N(P180),0)</f>
        <v/>
      </c>
      <c r="AB180" s="23">
        <f>IF(T180="Liability|accrued",-N(O180),0)+IF(U180="Liability|accrued",N(K180),0)+IF(V180="Liability|accrued",N(P180),0)</f>
        <v/>
      </c>
      <c r="AC180" s="23">
        <f>IF(AND(N(O180)&lt;&gt;0,T180=""),1,0)+IF(AND(N(K180)&lt;&gt;0,U180=""),1,0)+IF(AND(N(P180)&lt;&gt;0,V180=""),1,0)</f>
        <v/>
      </c>
    </row>
    <row r="181">
      <c r="A181" s="19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20" t="n"/>
      <c r="K181" s="20" t="n"/>
      <c r="L181" s="14" t="n"/>
      <c r="M181" s="14" t="n"/>
      <c r="N181" s="14" t="n"/>
      <c r="O181" s="21">
        <f>ROUND(N(I181)*N(J181),2)</f>
        <v/>
      </c>
      <c r="P181" s="21">
        <f>O181-N(K181)</f>
        <v/>
      </c>
      <c r="Q181" s="16">
        <f>IF(F181&lt;&gt;"",F181&amp;"",IF(LEFT(E181,6)="Indire",INDEX('Chart of Accounts'!$A$5:$A$3000,MATCH("project_overhead",'Chart of Accounts'!$F$5:$F$3000,0)),IF(LEFT(E181,6)="Admini",INDEX('Chart of Accounts'!$A$5:$A$3000,MATCH("admin_salaries",'Chart of Accounts'!$F$5:$F$3000,0)),INDEX('Chart of Accounts'!$A$5:$A$3000,MATCH("direct_labour",'Chart of Accounts'!$F$5:$F$3000,0)))))</f>
        <v/>
      </c>
      <c r="R181" s="16">
        <f>IF(M181="",INDEX('Chart of Accounts'!$A$5:$A$3000,MATCH("bank",'Chart of Accounts'!$F$5:$F$3000,0)),M181&amp;"")</f>
        <v/>
      </c>
      <c r="S181" s="16">
        <f>IF(N181="",INDEX('Chart of Accounts'!$A$5:$A$3000,MATCH("accrued_payroll",'Chart of Accounts'!$F$5:$F$3000,0)),N181&amp;"")</f>
        <v/>
      </c>
      <c r="T181" s="23">
        <f>IFERROR(INDEX('Chart of Accounts'!$C$5:$C$3000,MATCH(Q181&amp;"",'Chart of Accounts'!$A$5:$A$3000,0))&amp;"|"&amp;INDEX('Chart of Accounts'!$D$5:$D$3000,MATCH(Q181&amp;"",'Chart of Accounts'!$A$5:$A$3000,0)),"")</f>
        <v/>
      </c>
      <c r="U181" s="23">
        <f>IFERROR(INDEX('Chart of Accounts'!$C$5:$C$3000,MATCH(R181&amp;"",'Chart of Accounts'!$A$5:$A$3000,0))&amp;"|"&amp;INDEX('Chart of Accounts'!$D$5:$D$3000,MATCH(R181&amp;"",'Chart of Accounts'!$A$5:$A$3000,0)),"")</f>
        <v/>
      </c>
      <c r="V181" s="23">
        <f>IFERROR(INDEX('Chart of Accounts'!$C$5:$C$3000,MATCH(S181&amp;"",'Chart of Accounts'!$A$5:$A$3000,0))&amp;"|"&amp;INDEX('Chart of Accounts'!$D$5:$D$3000,MATCH(S181&amp;"",'Chart of Accounts'!$A$5:$A$3000,0)),"")</f>
        <v/>
      </c>
      <c r="W181" s="23">
        <f>IF(LEFT(T181,8)="Revenue|",-N(O181),0)+IF(LEFT(U181,8)="Revenue|",N(K181),0)+IF(LEFT(V181,8)="Revenue|",N(P181),0)</f>
        <v/>
      </c>
      <c r="X181" s="23">
        <f>IF(LEFT(T181,5)="COGS|",N(O181),0)+IF(LEFT(U181,5)="COGS|",-N(K181),0)+IF(LEFT(V181,5)="COGS|",-N(P181),0)</f>
        <v/>
      </c>
      <c r="Y181" s="23">
        <f>IF(LEFT(T181,8)="Expense|",N(O181),0)+IF(LEFT(U181,8)="Expense|",-N(K181),0)+IF(LEFT(V181,8)="Expense|",-N(P181),0)</f>
        <v/>
      </c>
      <c r="Z181" s="23">
        <f>IF(ISNUMBER(MATCH(T181,{"Expense|employee","Expense|general_admin","Expense|marketing","Expense|utilities","Expense|other_operating"},0)),N(O181),0)+IF(ISNUMBER(MATCH(U181,{"Expense|employee","Expense|general_admin","Expense|marketing","Expense|utilities","Expense|other_operating"},0)),-N(K181),0)+IF(ISNUMBER(MATCH(V181,{"Expense|employee","Expense|general_admin","Expense|marketing","Expense|utilities","Expense|other_operating"},0)),-N(P181),0)</f>
        <v/>
      </c>
      <c r="AA181" s="23">
        <f>IF(T181="Liability|payable",-N(O181),0)+IF(U181="Liability|payable",N(K181),0)+IF(V181="Liability|payable",N(P181),0)</f>
        <v/>
      </c>
      <c r="AB181" s="23">
        <f>IF(T181="Liability|accrued",-N(O181),0)+IF(U181="Liability|accrued",N(K181),0)+IF(V181="Liability|accrued",N(P181),0)</f>
        <v/>
      </c>
      <c r="AC181" s="23">
        <f>IF(AND(N(O181)&lt;&gt;0,T181=""),1,0)+IF(AND(N(K181)&lt;&gt;0,U181=""),1,0)+IF(AND(N(P181)&lt;&gt;0,V181=""),1,0)</f>
        <v/>
      </c>
    </row>
    <row r="182">
      <c r="A182" s="19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20" t="n"/>
      <c r="K182" s="20" t="n"/>
      <c r="L182" s="14" t="n"/>
      <c r="M182" s="14" t="n"/>
      <c r="N182" s="14" t="n"/>
      <c r="O182" s="21">
        <f>ROUND(N(I182)*N(J182),2)</f>
        <v/>
      </c>
      <c r="P182" s="21">
        <f>O182-N(K182)</f>
        <v/>
      </c>
      <c r="Q182" s="16">
        <f>IF(F182&lt;&gt;"",F182&amp;"",IF(LEFT(E182,6)="Indire",INDEX('Chart of Accounts'!$A$5:$A$3000,MATCH("project_overhead",'Chart of Accounts'!$F$5:$F$3000,0)),IF(LEFT(E182,6)="Admini",INDEX('Chart of Accounts'!$A$5:$A$3000,MATCH("admin_salaries",'Chart of Accounts'!$F$5:$F$3000,0)),INDEX('Chart of Accounts'!$A$5:$A$3000,MATCH("direct_labour",'Chart of Accounts'!$F$5:$F$3000,0)))))</f>
        <v/>
      </c>
      <c r="R182" s="16">
        <f>IF(M182="",INDEX('Chart of Accounts'!$A$5:$A$3000,MATCH("bank",'Chart of Accounts'!$F$5:$F$3000,0)),M182&amp;"")</f>
        <v/>
      </c>
      <c r="S182" s="16">
        <f>IF(N182="",INDEX('Chart of Accounts'!$A$5:$A$3000,MATCH("accrued_payroll",'Chart of Accounts'!$F$5:$F$3000,0)),N182&amp;"")</f>
        <v/>
      </c>
      <c r="T182" s="23">
        <f>IFERROR(INDEX('Chart of Accounts'!$C$5:$C$3000,MATCH(Q182&amp;"",'Chart of Accounts'!$A$5:$A$3000,0))&amp;"|"&amp;INDEX('Chart of Accounts'!$D$5:$D$3000,MATCH(Q182&amp;"",'Chart of Accounts'!$A$5:$A$3000,0)),"")</f>
        <v/>
      </c>
      <c r="U182" s="23">
        <f>IFERROR(INDEX('Chart of Accounts'!$C$5:$C$3000,MATCH(R182&amp;"",'Chart of Accounts'!$A$5:$A$3000,0))&amp;"|"&amp;INDEX('Chart of Accounts'!$D$5:$D$3000,MATCH(R182&amp;"",'Chart of Accounts'!$A$5:$A$3000,0)),"")</f>
        <v/>
      </c>
      <c r="V182" s="23">
        <f>IFERROR(INDEX('Chart of Accounts'!$C$5:$C$3000,MATCH(S182&amp;"",'Chart of Accounts'!$A$5:$A$3000,0))&amp;"|"&amp;INDEX('Chart of Accounts'!$D$5:$D$3000,MATCH(S182&amp;"",'Chart of Accounts'!$A$5:$A$3000,0)),"")</f>
        <v/>
      </c>
      <c r="W182" s="23">
        <f>IF(LEFT(T182,8)="Revenue|",-N(O182),0)+IF(LEFT(U182,8)="Revenue|",N(K182),0)+IF(LEFT(V182,8)="Revenue|",N(P182),0)</f>
        <v/>
      </c>
      <c r="X182" s="23">
        <f>IF(LEFT(T182,5)="COGS|",N(O182),0)+IF(LEFT(U182,5)="COGS|",-N(K182),0)+IF(LEFT(V182,5)="COGS|",-N(P182),0)</f>
        <v/>
      </c>
      <c r="Y182" s="23">
        <f>IF(LEFT(T182,8)="Expense|",N(O182),0)+IF(LEFT(U182,8)="Expense|",-N(K182),0)+IF(LEFT(V182,8)="Expense|",-N(P182),0)</f>
        <v/>
      </c>
      <c r="Z182" s="23">
        <f>IF(ISNUMBER(MATCH(T182,{"Expense|employee","Expense|general_admin","Expense|marketing","Expense|utilities","Expense|other_operating"},0)),N(O182),0)+IF(ISNUMBER(MATCH(U182,{"Expense|employee","Expense|general_admin","Expense|marketing","Expense|utilities","Expense|other_operating"},0)),-N(K182),0)+IF(ISNUMBER(MATCH(V182,{"Expense|employee","Expense|general_admin","Expense|marketing","Expense|utilities","Expense|other_operating"},0)),-N(P182),0)</f>
        <v/>
      </c>
      <c r="AA182" s="23">
        <f>IF(T182="Liability|payable",-N(O182),0)+IF(U182="Liability|payable",N(K182),0)+IF(V182="Liability|payable",N(P182),0)</f>
        <v/>
      </c>
      <c r="AB182" s="23">
        <f>IF(T182="Liability|accrued",-N(O182),0)+IF(U182="Liability|accrued",N(K182),0)+IF(V182="Liability|accrued",N(P182),0)</f>
        <v/>
      </c>
      <c r="AC182" s="23">
        <f>IF(AND(N(O182)&lt;&gt;0,T182=""),1,0)+IF(AND(N(K182)&lt;&gt;0,U182=""),1,0)+IF(AND(N(P182)&lt;&gt;0,V182=""),1,0)</f>
        <v/>
      </c>
    </row>
    <row r="183">
      <c r="A183" s="19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20" t="n"/>
      <c r="K183" s="20" t="n"/>
      <c r="L183" s="14" t="n"/>
      <c r="M183" s="14" t="n"/>
      <c r="N183" s="14" t="n"/>
      <c r="O183" s="21">
        <f>ROUND(N(I183)*N(J183),2)</f>
        <v/>
      </c>
      <c r="P183" s="21">
        <f>O183-N(K183)</f>
        <v/>
      </c>
      <c r="Q183" s="16">
        <f>IF(F183&lt;&gt;"",F183&amp;"",IF(LEFT(E183,6)="Indire",INDEX('Chart of Accounts'!$A$5:$A$3000,MATCH("project_overhead",'Chart of Accounts'!$F$5:$F$3000,0)),IF(LEFT(E183,6)="Admini",INDEX('Chart of Accounts'!$A$5:$A$3000,MATCH("admin_salaries",'Chart of Accounts'!$F$5:$F$3000,0)),INDEX('Chart of Accounts'!$A$5:$A$3000,MATCH("direct_labour",'Chart of Accounts'!$F$5:$F$3000,0)))))</f>
        <v/>
      </c>
      <c r="R183" s="16">
        <f>IF(M183="",INDEX('Chart of Accounts'!$A$5:$A$3000,MATCH("bank",'Chart of Accounts'!$F$5:$F$3000,0)),M183&amp;"")</f>
        <v/>
      </c>
      <c r="S183" s="16">
        <f>IF(N183="",INDEX('Chart of Accounts'!$A$5:$A$3000,MATCH("accrued_payroll",'Chart of Accounts'!$F$5:$F$3000,0)),N183&amp;"")</f>
        <v/>
      </c>
      <c r="T183" s="23">
        <f>IFERROR(INDEX('Chart of Accounts'!$C$5:$C$3000,MATCH(Q183&amp;"",'Chart of Accounts'!$A$5:$A$3000,0))&amp;"|"&amp;INDEX('Chart of Accounts'!$D$5:$D$3000,MATCH(Q183&amp;"",'Chart of Accounts'!$A$5:$A$3000,0)),"")</f>
        <v/>
      </c>
      <c r="U183" s="23">
        <f>IFERROR(INDEX('Chart of Accounts'!$C$5:$C$3000,MATCH(R183&amp;"",'Chart of Accounts'!$A$5:$A$3000,0))&amp;"|"&amp;INDEX('Chart of Accounts'!$D$5:$D$3000,MATCH(R183&amp;"",'Chart of Accounts'!$A$5:$A$3000,0)),"")</f>
        <v/>
      </c>
      <c r="V183" s="23">
        <f>IFERROR(INDEX('Chart of Accounts'!$C$5:$C$3000,MATCH(S183&amp;"",'Chart of Accounts'!$A$5:$A$3000,0))&amp;"|"&amp;INDEX('Chart of Accounts'!$D$5:$D$3000,MATCH(S183&amp;"",'Chart of Accounts'!$A$5:$A$3000,0)),"")</f>
        <v/>
      </c>
      <c r="W183" s="23">
        <f>IF(LEFT(T183,8)="Revenue|",-N(O183),0)+IF(LEFT(U183,8)="Revenue|",N(K183),0)+IF(LEFT(V183,8)="Revenue|",N(P183),0)</f>
        <v/>
      </c>
      <c r="X183" s="23">
        <f>IF(LEFT(T183,5)="COGS|",N(O183),0)+IF(LEFT(U183,5)="COGS|",-N(K183),0)+IF(LEFT(V183,5)="COGS|",-N(P183),0)</f>
        <v/>
      </c>
      <c r="Y183" s="23">
        <f>IF(LEFT(T183,8)="Expense|",N(O183),0)+IF(LEFT(U183,8)="Expense|",-N(K183),0)+IF(LEFT(V183,8)="Expense|",-N(P183),0)</f>
        <v/>
      </c>
      <c r="Z183" s="23">
        <f>IF(ISNUMBER(MATCH(T183,{"Expense|employee","Expense|general_admin","Expense|marketing","Expense|utilities","Expense|other_operating"},0)),N(O183),0)+IF(ISNUMBER(MATCH(U183,{"Expense|employee","Expense|general_admin","Expense|marketing","Expense|utilities","Expense|other_operating"},0)),-N(K183),0)+IF(ISNUMBER(MATCH(V183,{"Expense|employee","Expense|general_admin","Expense|marketing","Expense|utilities","Expense|other_operating"},0)),-N(P183),0)</f>
        <v/>
      </c>
      <c r="AA183" s="23">
        <f>IF(T183="Liability|payable",-N(O183),0)+IF(U183="Liability|payable",N(K183),0)+IF(V183="Liability|payable",N(P183),0)</f>
        <v/>
      </c>
      <c r="AB183" s="23">
        <f>IF(T183="Liability|accrued",-N(O183),0)+IF(U183="Liability|accrued",N(K183),0)+IF(V183="Liability|accrued",N(P183),0)</f>
        <v/>
      </c>
      <c r="AC183" s="23">
        <f>IF(AND(N(O183)&lt;&gt;0,T183=""),1,0)+IF(AND(N(K183)&lt;&gt;0,U183=""),1,0)+IF(AND(N(P183)&lt;&gt;0,V183=""),1,0)</f>
        <v/>
      </c>
    </row>
    <row r="184">
      <c r="A184" s="19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20" t="n"/>
      <c r="K184" s="20" t="n"/>
      <c r="L184" s="14" t="n"/>
      <c r="M184" s="14" t="n"/>
      <c r="N184" s="14" t="n"/>
      <c r="O184" s="21">
        <f>ROUND(N(I184)*N(J184),2)</f>
        <v/>
      </c>
      <c r="P184" s="21">
        <f>O184-N(K184)</f>
        <v/>
      </c>
      <c r="Q184" s="16">
        <f>IF(F184&lt;&gt;"",F184&amp;"",IF(LEFT(E184,6)="Indire",INDEX('Chart of Accounts'!$A$5:$A$3000,MATCH("project_overhead",'Chart of Accounts'!$F$5:$F$3000,0)),IF(LEFT(E184,6)="Admini",INDEX('Chart of Accounts'!$A$5:$A$3000,MATCH("admin_salaries",'Chart of Accounts'!$F$5:$F$3000,0)),INDEX('Chart of Accounts'!$A$5:$A$3000,MATCH("direct_labour",'Chart of Accounts'!$F$5:$F$3000,0)))))</f>
        <v/>
      </c>
      <c r="R184" s="16">
        <f>IF(M184="",INDEX('Chart of Accounts'!$A$5:$A$3000,MATCH("bank",'Chart of Accounts'!$F$5:$F$3000,0)),M184&amp;"")</f>
        <v/>
      </c>
      <c r="S184" s="16">
        <f>IF(N184="",INDEX('Chart of Accounts'!$A$5:$A$3000,MATCH("accrued_payroll",'Chart of Accounts'!$F$5:$F$3000,0)),N184&amp;"")</f>
        <v/>
      </c>
      <c r="T184" s="23">
        <f>IFERROR(INDEX('Chart of Accounts'!$C$5:$C$3000,MATCH(Q184&amp;"",'Chart of Accounts'!$A$5:$A$3000,0))&amp;"|"&amp;INDEX('Chart of Accounts'!$D$5:$D$3000,MATCH(Q184&amp;"",'Chart of Accounts'!$A$5:$A$3000,0)),"")</f>
        <v/>
      </c>
      <c r="U184" s="23">
        <f>IFERROR(INDEX('Chart of Accounts'!$C$5:$C$3000,MATCH(R184&amp;"",'Chart of Accounts'!$A$5:$A$3000,0))&amp;"|"&amp;INDEX('Chart of Accounts'!$D$5:$D$3000,MATCH(R184&amp;"",'Chart of Accounts'!$A$5:$A$3000,0)),"")</f>
        <v/>
      </c>
      <c r="V184" s="23">
        <f>IFERROR(INDEX('Chart of Accounts'!$C$5:$C$3000,MATCH(S184&amp;"",'Chart of Accounts'!$A$5:$A$3000,0))&amp;"|"&amp;INDEX('Chart of Accounts'!$D$5:$D$3000,MATCH(S184&amp;"",'Chart of Accounts'!$A$5:$A$3000,0)),"")</f>
        <v/>
      </c>
      <c r="W184" s="23">
        <f>IF(LEFT(T184,8)="Revenue|",-N(O184),0)+IF(LEFT(U184,8)="Revenue|",N(K184),0)+IF(LEFT(V184,8)="Revenue|",N(P184),0)</f>
        <v/>
      </c>
      <c r="X184" s="23">
        <f>IF(LEFT(T184,5)="COGS|",N(O184),0)+IF(LEFT(U184,5)="COGS|",-N(K184),0)+IF(LEFT(V184,5)="COGS|",-N(P184),0)</f>
        <v/>
      </c>
      <c r="Y184" s="23">
        <f>IF(LEFT(T184,8)="Expense|",N(O184),0)+IF(LEFT(U184,8)="Expense|",-N(K184),0)+IF(LEFT(V184,8)="Expense|",-N(P184),0)</f>
        <v/>
      </c>
      <c r="Z184" s="23">
        <f>IF(ISNUMBER(MATCH(T184,{"Expense|employee","Expense|general_admin","Expense|marketing","Expense|utilities","Expense|other_operating"},0)),N(O184),0)+IF(ISNUMBER(MATCH(U184,{"Expense|employee","Expense|general_admin","Expense|marketing","Expense|utilities","Expense|other_operating"},0)),-N(K184),0)+IF(ISNUMBER(MATCH(V184,{"Expense|employee","Expense|general_admin","Expense|marketing","Expense|utilities","Expense|other_operating"},0)),-N(P184),0)</f>
        <v/>
      </c>
      <c r="AA184" s="23">
        <f>IF(T184="Liability|payable",-N(O184),0)+IF(U184="Liability|payable",N(K184),0)+IF(V184="Liability|payable",N(P184),0)</f>
        <v/>
      </c>
      <c r="AB184" s="23">
        <f>IF(T184="Liability|accrued",-N(O184),0)+IF(U184="Liability|accrued",N(K184),0)+IF(V184="Liability|accrued",N(P184),0)</f>
        <v/>
      </c>
      <c r="AC184" s="23">
        <f>IF(AND(N(O184)&lt;&gt;0,T184=""),1,0)+IF(AND(N(K184)&lt;&gt;0,U184=""),1,0)+IF(AND(N(P184)&lt;&gt;0,V184=""),1,0)</f>
        <v/>
      </c>
    </row>
    <row r="185">
      <c r="A185" s="19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20" t="n"/>
      <c r="K185" s="20" t="n"/>
      <c r="L185" s="14" t="n"/>
      <c r="M185" s="14" t="n"/>
      <c r="N185" s="14" t="n"/>
      <c r="O185" s="21">
        <f>ROUND(N(I185)*N(J185),2)</f>
        <v/>
      </c>
      <c r="P185" s="21">
        <f>O185-N(K185)</f>
        <v/>
      </c>
      <c r="Q185" s="16">
        <f>IF(F185&lt;&gt;"",F185&amp;"",IF(LEFT(E185,6)="Indire",INDEX('Chart of Accounts'!$A$5:$A$3000,MATCH("project_overhead",'Chart of Accounts'!$F$5:$F$3000,0)),IF(LEFT(E185,6)="Admini",INDEX('Chart of Accounts'!$A$5:$A$3000,MATCH("admin_salaries",'Chart of Accounts'!$F$5:$F$3000,0)),INDEX('Chart of Accounts'!$A$5:$A$3000,MATCH("direct_labour",'Chart of Accounts'!$F$5:$F$3000,0)))))</f>
        <v/>
      </c>
      <c r="R185" s="16">
        <f>IF(M185="",INDEX('Chart of Accounts'!$A$5:$A$3000,MATCH("bank",'Chart of Accounts'!$F$5:$F$3000,0)),M185&amp;"")</f>
        <v/>
      </c>
      <c r="S185" s="16">
        <f>IF(N185="",INDEX('Chart of Accounts'!$A$5:$A$3000,MATCH("accrued_payroll",'Chart of Accounts'!$F$5:$F$3000,0)),N185&amp;"")</f>
        <v/>
      </c>
      <c r="T185" s="23">
        <f>IFERROR(INDEX('Chart of Accounts'!$C$5:$C$3000,MATCH(Q185&amp;"",'Chart of Accounts'!$A$5:$A$3000,0))&amp;"|"&amp;INDEX('Chart of Accounts'!$D$5:$D$3000,MATCH(Q185&amp;"",'Chart of Accounts'!$A$5:$A$3000,0)),"")</f>
        <v/>
      </c>
      <c r="U185" s="23">
        <f>IFERROR(INDEX('Chart of Accounts'!$C$5:$C$3000,MATCH(R185&amp;"",'Chart of Accounts'!$A$5:$A$3000,0))&amp;"|"&amp;INDEX('Chart of Accounts'!$D$5:$D$3000,MATCH(R185&amp;"",'Chart of Accounts'!$A$5:$A$3000,0)),"")</f>
        <v/>
      </c>
      <c r="V185" s="23">
        <f>IFERROR(INDEX('Chart of Accounts'!$C$5:$C$3000,MATCH(S185&amp;"",'Chart of Accounts'!$A$5:$A$3000,0))&amp;"|"&amp;INDEX('Chart of Accounts'!$D$5:$D$3000,MATCH(S185&amp;"",'Chart of Accounts'!$A$5:$A$3000,0)),"")</f>
        <v/>
      </c>
      <c r="W185" s="23">
        <f>IF(LEFT(T185,8)="Revenue|",-N(O185),0)+IF(LEFT(U185,8)="Revenue|",N(K185),0)+IF(LEFT(V185,8)="Revenue|",N(P185),0)</f>
        <v/>
      </c>
      <c r="X185" s="23">
        <f>IF(LEFT(T185,5)="COGS|",N(O185),0)+IF(LEFT(U185,5)="COGS|",-N(K185),0)+IF(LEFT(V185,5)="COGS|",-N(P185),0)</f>
        <v/>
      </c>
      <c r="Y185" s="23">
        <f>IF(LEFT(T185,8)="Expense|",N(O185),0)+IF(LEFT(U185,8)="Expense|",-N(K185),0)+IF(LEFT(V185,8)="Expense|",-N(P185),0)</f>
        <v/>
      </c>
      <c r="Z185" s="23">
        <f>IF(ISNUMBER(MATCH(T185,{"Expense|employee","Expense|general_admin","Expense|marketing","Expense|utilities","Expense|other_operating"},0)),N(O185),0)+IF(ISNUMBER(MATCH(U185,{"Expense|employee","Expense|general_admin","Expense|marketing","Expense|utilities","Expense|other_operating"},0)),-N(K185),0)+IF(ISNUMBER(MATCH(V185,{"Expense|employee","Expense|general_admin","Expense|marketing","Expense|utilities","Expense|other_operating"},0)),-N(P185),0)</f>
        <v/>
      </c>
      <c r="AA185" s="23">
        <f>IF(T185="Liability|payable",-N(O185),0)+IF(U185="Liability|payable",N(K185),0)+IF(V185="Liability|payable",N(P185),0)</f>
        <v/>
      </c>
      <c r="AB185" s="23">
        <f>IF(T185="Liability|accrued",-N(O185),0)+IF(U185="Liability|accrued",N(K185),0)+IF(V185="Liability|accrued",N(P185),0)</f>
        <v/>
      </c>
      <c r="AC185" s="23">
        <f>IF(AND(N(O185)&lt;&gt;0,T185=""),1,0)+IF(AND(N(K185)&lt;&gt;0,U185=""),1,0)+IF(AND(N(P185)&lt;&gt;0,V185=""),1,0)</f>
        <v/>
      </c>
    </row>
    <row r="186">
      <c r="A186" s="19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20" t="n"/>
      <c r="K186" s="20" t="n"/>
      <c r="L186" s="14" t="n"/>
      <c r="M186" s="14" t="n"/>
      <c r="N186" s="14" t="n"/>
      <c r="O186" s="21">
        <f>ROUND(N(I186)*N(J186),2)</f>
        <v/>
      </c>
      <c r="P186" s="21">
        <f>O186-N(K186)</f>
        <v/>
      </c>
      <c r="Q186" s="16">
        <f>IF(F186&lt;&gt;"",F186&amp;"",IF(LEFT(E186,6)="Indire",INDEX('Chart of Accounts'!$A$5:$A$3000,MATCH("project_overhead",'Chart of Accounts'!$F$5:$F$3000,0)),IF(LEFT(E186,6)="Admini",INDEX('Chart of Accounts'!$A$5:$A$3000,MATCH("admin_salaries",'Chart of Accounts'!$F$5:$F$3000,0)),INDEX('Chart of Accounts'!$A$5:$A$3000,MATCH("direct_labour",'Chart of Accounts'!$F$5:$F$3000,0)))))</f>
        <v/>
      </c>
      <c r="R186" s="16">
        <f>IF(M186="",INDEX('Chart of Accounts'!$A$5:$A$3000,MATCH("bank",'Chart of Accounts'!$F$5:$F$3000,0)),M186&amp;"")</f>
        <v/>
      </c>
      <c r="S186" s="16">
        <f>IF(N186="",INDEX('Chart of Accounts'!$A$5:$A$3000,MATCH("accrued_payroll",'Chart of Accounts'!$F$5:$F$3000,0)),N186&amp;"")</f>
        <v/>
      </c>
      <c r="T186" s="23">
        <f>IFERROR(INDEX('Chart of Accounts'!$C$5:$C$3000,MATCH(Q186&amp;"",'Chart of Accounts'!$A$5:$A$3000,0))&amp;"|"&amp;INDEX('Chart of Accounts'!$D$5:$D$3000,MATCH(Q186&amp;"",'Chart of Accounts'!$A$5:$A$3000,0)),"")</f>
        <v/>
      </c>
      <c r="U186" s="23">
        <f>IFERROR(INDEX('Chart of Accounts'!$C$5:$C$3000,MATCH(R186&amp;"",'Chart of Accounts'!$A$5:$A$3000,0))&amp;"|"&amp;INDEX('Chart of Accounts'!$D$5:$D$3000,MATCH(R186&amp;"",'Chart of Accounts'!$A$5:$A$3000,0)),"")</f>
        <v/>
      </c>
      <c r="V186" s="23">
        <f>IFERROR(INDEX('Chart of Accounts'!$C$5:$C$3000,MATCH(S186&amp;"",'Chart of Accounts'!$A$5:$A$3000,0))&amp;"|"&amp;INDEX('Chart of Accounts'!$D$5:$D$3000,MATCH(S186&amp;"",'Chart of Accounts'!$A$5:$A$3000,0)),"")</f>
        <v/>
      </c>
      <c r="W186" s="23">
        <f>IF(LEFT(T186,8)="Revenue|",-N(O186),0)+IF(LEFT(U186,8)="Revenue|",N(K186),0)+IF(LEFT(V186,8)="Revenue|",N(P186),0)</f>
        <v/>
      </c>
      <c r="X186" s="23">
        <f>IF(LEFT(T186,5)="COGS|",N(O186),0)+IF(LEFT(U186,5)="COGS|",-N(K186),0)+IF(LEFT(V186,5)="COGS|",-N(P186),0)</f>
        <v/>
      </c>
      <c r="Y186" s="23">
        <f>IF(LEFT(T186,8)="Expense|",N(O186),0)+IF(LEFT(U186,8)="Expense|",-N(K186),0)+IF(LEFT(V186,8)="Expense|",-N(P186),0)</f>
        <v/>
      </c>
      <c r="Z186" s="23">
        <f>IF(ISNUMBER(MATCH(T186,{"Expense|employee","Expense|general_admin","Expense|marketing","Expense|utilities","Expense|other_operating"},0)),N(O186),0)+IF(ISNUMBER(MATCH(U186,{"Expense|employee","Expense|general_admin","Expense|marketing","Expense|utilities","Expense|other_operating"},0)),-N(K186),0)+IF(ISNUMBER(MATCH(V186,{"Expense|employee","Expense|general_admin","Expense|marketing","Expense|utilities","Expense|other_operating"},0)),-N(P186),0)</f>
        <v/>
      </c>
      <c r="AA186" s="23">
        <f>IF(T186="Liability|payable",-N(O186),0)+IF(U186="Liability|payable",N(K186),0)+IF(V186="Liability|payable",N(P186),0)</f>
        <v/>
      </c>
      <c r="AB186" s="23">
        <f>IF(T186="Liability|accrued",-N(O186),0)+IF(U186="Liability|accrued",N(K186),0)+IF(V186="Liability|accrued",N(P186),0)</f>
        <v/>
      </c>
      <c r="AC186" s="23">
        <f>IF(AND(N(O186)&lt;&gt;0,T186=""),1,0)+IF(AND(N(K186)&lt;&gt;0,U186=""),1,0)+IF(AND(N(P186)&lt;&gt;0,V186=""),1,0)</f>
        <v/>
      </c>
    </row>
    <row r="187">
      <c r="A187" s="19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20" t="n"/>
      <c r="K187" s="20" t="n"/>
      <c r="L187" s="14" t="n"/>
      <c r="M187" s="14" t="n"/>
      <c r="N187" s="14" t="n"/>
      <c r="O187" s="21">
        <f>ROUND(N(I187)*N(J187),2)</f>
        <v/>
      </c>
      <c r="P187" s="21">
        <f>O187-N(K187)</f>
        <v/>
      </c>
      <c r="Q187" s="16">
        <f>IF(F187&lt;&gt;"",F187&amp;"",IF(LEFT(E187,6)="Indire",INDEX('Chart of Accounts'!$A$5:$A$3000,MATCH("project_overhead",'Chart of Accounts'!$F$5:$F$3000,0)),IF(LEFT(E187,6)="Admini",INDEX('Chart of Accounts'!$A$5:$A$3000,MATCH("admin_salaries",'Chart of Accounts'!$F$5:$F$3000,0)),INDEX('Chart of Accounts'!$A$5:$A$3000,MATCH("direct_labour",'Chart of Accounts'!$F$5:$F$3000,0)))))</f>
        <v/>
      </c>
      <c r="R187" s="16">
        <f>IF(M187="",INDEX('Chart of Accounts'!$A$5:$A$3000,MATCH("bank",'Chart of Accounts'!$F$5:$F$3000,0)),M187&amp;"")</f>
        <v/>
      </c>
      <c r="S187" s="16">
        <f>IF(N187="",INDEX('Chart of Accounts'!$A$5:$A$3000,MATCH("accrued_payroll",'Chart of Accounts'!$F$5:$F$3000,0)),N187&amp;"")</f>
        <v/>
      </c>
      <c r="T187" s="23">
        <f>IFERROR(INDEX('Chart of Accounts'!$C$5:$C$3000,MATCH(Q187&amp;"",'Chart of Accounts'!$A$5:$A$3000,0))&amp;"|"&amp;INDEX('Chart of Accounts'!$D$5:$D$3000,MATCH(Q187&amp;"",'Chart of Accounts'!$A$5:$A$3000,0)),"")</f>
        <v/>
      </c>
      <c r="U187" s="23">
        <f>IFERROR(INDEX('Chart of Accounts'!$C$5:$C$3000,MATCH(R187&amp;"",'Chart of Accounts'!$A$5:$A$3000,0))&amp;"|"&amp;INDEX('Chart of Accounts'!$D$5:$D$3000,MATCH(R187&amp;"",'Chart of Accounts'!$A$5:$A$3000,0)),"")</f>
        <v/>
      </c>
      <c r="V187" s="23">
        <f>IFERROR(INDEX('Chart of Accounts'!$C$5:$C$3000,MATCH(S187&amp;"",'Chart of Accounts'!$A$5:$A$3000,0))&amp;"|"&amp;INDEX('Chart of Accounts'!$D$5:$D$3000,MATCH(S187&amp;"",'Chart of Accounts'!$A$5:$A$3000,0)),"")</f>
        <v/>
      </c>
      <c r="W187" s="23">
        <f>IF(LEFT(T187,8)="Revenue|",-N(O187),0)+IF(LEFT(U187,8)="Revenue|",N(K187),0)+IF(LEFT(V187,8)="Revenue|",N(P187),0)</f>
        <v/>
      </c>
      <c r="X187" s="23">
        <f>IF(LEFT(T187,5)="COGS|",N(O187),0)+IF(LEFT(U187,5)="COGS|",-N(K187),0)+IF(LEFT(V187,5)="COGS|",-N(P187),0)</f>
        <v/>
      </c>
      <c r="Y187" s="23">
        <f>IF(LEFT(T187,8)="Expense|",N(O187),0)+IF(LEFT(U187,8)="Expense|",-N(K187),0)+IF(LEFT(V187,8)="Expense|",-N(P187),0)</f>
        <v/>
      </c>
      <c r="Z187" s="23">
        <f>IF(ISNUMBER(MATCH(T187,{"Expense|employee","Expense|general_admin","Expense|marketing","Expense|utilities","Expense|other_operating"},0)),N(O187),0)+IF(ISNUMBER(MATCH(U187,{"Expense|employee","Expense|general_admin","Expense|marketing","Expense|utilities","Expense|other_operating"},0)),-N(K187),0)+IF(ISNUMBER(MATCH(V187,{"Expense|employee","Expense|general_admin","Expense|marketing","Expense|utilities","Expense|other_operating"},0)),-N(P187),0)</f>
        <v/>
      </c>
      <c r="AA187" s="23">
        <f>IF(T187="Liability|payable",-N(O187),0)+IF(U187="Liability|payable",N(K187),0)+IF(V187="Liability|payable",N(P187),0)</f>
        <v/>
      </c>
      <c r="AB187" s="23">
        <f>IF(T187="Liability|accrued",-N(O187),0)+IF(U187="Liability|accrued",N(K187),0)+IF(V187="Liability|accrued",N(P187),0)</f>
        <v/>
      </c>
      <c r="AC187" s="23">
        <f>IF(AND(N(O187)&lt;&gt;0,T187=""),1,0)+IF(AND(N(K187)&lt;&gt;0,U187=""),1,0)+IF(AND(N(P187)&lt;&gt;0,V187=""),1,0)</f>
        <v/>
      </c>
    </row>
    <row r="188">
      <c r="A188" s="19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20" t="n"/>
      <c r="K188" s="20" t="n"/>
      <c r="L188" s="14" t="n"/>
      <c r="M188" s="14" t="n"/>
      <c r="N188" s="14" t="n"/>
      <c r="O188" s="21">
        <f>ROUND(N(I188)*N(J188),2)</f>
        <v/>
      </c>
      <c r="P188" s="21">
        <f>O188-N(K188)</f>
        <v/>
      </c>
      <c r="Q188" s="16">
        <f>IF(F188&lt;&gt;"",F188&amp;"",IF(LEFT(E188,6)="Indire",INDEX('Chart of Accounts'!$A$5:$A$3000,MATCH("project_overhead",'Chart of Accounts'!$F$5:$F$3000,0)),IF(LEFT(E188,6)="Admini",INDEX('Chart of Accounts'!$A$5:$A$3000,MATCH("admin_salaries",'Chart of Accounts'!$F$5:$F$3000,0)),INDEX('Chart of Accounts'!$A$5:$A$3000,MATCH("direct_labour",'Chart of Accounts'!$F$5:$F$3000,0)))))</f>
        <v/>
      </c>
      <c r="R188" s="16">
        <f>IF(M188="",INDEX('Chart of Accounts'!$A$5:$A$3000,MATCH("bank",'Chart of Accounts'!$F$5:$F$3000,0)),M188&amp;"")</f>
        <v/>
      </c>
      <c r="S188" s="16">
        <f>IF(N188="",INDEX('Chart of Accounts'!$A$5:$A$3000,MATCH("accrued_payroll",'Chart of Accounts'!$F$5:$F$3000,0)),N188&amp;"")</f>
        <v/>
      </c>
      <c r="T188" s="23">
        <f>IFERROR(INDEX('Chart of Accounts'!$C$5:$C$3000,MATCH(Q188&amp;"",'Chart of Accounts'!$A$5:$A$3000,0))&amp;"|"&amp;INDEX('Chart of Accounts'!$D$5:$D$3000,MATCH(Q188&amp;"",'Chart of Accounts'!$A$5:$A$3000,0)),"")</f>
        <v/>
      </c>
      <c r="U188" s="23">
        <f>IFERROR(INDEX('Chart of Accounts'!$C$5:$C$3000,MATCH(R188&amp;"",'Chart of Accounts'!$A$5:$A$3000,0))&amp;"|"&amp;INDEX('Chart of Accounts'!$D$5:$D$3000,MATCH(R188&amp;"",'Chart of Accounts'!$A$5:$A$3000,0)),"")</f>
        <v/>
      </c>
      <c r="V188" s="23">
        <f>IFERROR(INDEX('Chart of Accounts'!$C$5:$C$3000,MATCH(S188&amp;"",'Chart of Accounts'!$A$5:$A$3000,0))&amp;"|"&amp;INDEX('Chart of Accounts'!$D$5:$D$3000,MATCH(S188&amp;"",'Chart of Accounts'!$A$5:$A$3000,0)),"")</f>
        <v/>
      </c>
      <c r="W188" s="23">
        <f>IF(LEFT(T188,8)="Revenue|",-N(O188),0)+IF(LEFT(U188,8)="Revenue|",N(K188),0)+IF(LEFT(V188,8)="Revenue|",N(P188),0)</f>
        <v/>
      </c>
      <c r="X188" s="23">
        <f>IF(LEFT(T188,5)="COGS|",N(O188),0)+IF(LEFT(U188,5)="COGS|",-N(K188),0)+IF(LEFT(V188,5)="COGS|",-N(P188),0)</f>
        <v/>
      </c>
      <c r="Y188" s="23">
        <f>IF(LEFT(T188,8)="Expense|",N(O188),0)+IF(LEFT(U188,8)="Expense|",-N(K188),0)+IF(LEFT(V188,8)="Expense|",-N(P188),0)</f>
        <v/>
      </c>
      <c r="Z188" s="23">
        <f>IF(ISNUMBER(MATCH(T188,{"Expense|employee","Expense|general_admin","Expense|marketing","Expense|utilities","Expense|other_operating"},0)),N(O188),0)+IF(ISNUMBER(MATCH(U188,{"Expense|employee","Expense|general_admin","Expense|marketing","Expense|utilities","Expense|other_operating"},0)),-N(K188),0)+IF(ISNUMBER(MATCH(V188,{"Expense|employee","Expense|general_admin","Expense|marketing","Expense|utilities","Expense|other_operating"},0)),-N(P188),0)</f>
        <v/>
      </c>
      <c r="AA188" s="23">
        <f>IF(T188="Liability|payable",-N(O188),0)+IF(U188="Liability|payable",N(K188),0)+IF(V188="Liability|payable",N(P188),0)</f>
        <v/>
      </c>
      <c r="AB188" s="23">
        <f>IF(T188="Liability|accrued",-N(O188),0)+IF(U188="Liability|accrued",N(K188),0)+IF(V188="Liability|accrued",N(P188),0)</f>
        <v/>
      </c>
      <c r="AC188" s="23">
        <f>IF(AND(N(O188)&lt;&gt;0,T188=""),1,0)+IF(AND(N(K188)&lt;&gt;0,U188=""),1,0)+IF(AND(N(P188)&lt;&gt;0,V188=""),1,0)</f>
        <v/>
      </c>
    </row>
    <row r="189">
      <c r="A189" s="19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20" t="n"/>
      <c r="K189" s="20" t="n"/>
      <c r="L189" s="14" t="n"/>
      <c r="M189" s="14" t="n"/>
      <c r="N189" s="14" t="n"/>
      <c r="O189" s="21">
        <f>ROUND(N(I189)*N(J189),2)</f>
        <v/>
      </c>
      <c r="P189" s="21">
        <f>O189-N(K189)</f>
        <v/>
      </c>
      <c r="Q189" s="16">
        <f>IF(F189&lt;&gt;"",F189&amp;"",IF(LEFT(E189,6)="Indire",INDEX('Chart of Accounts'!$A$5:$A$3000,MATCH("project_overhead",'Chart of Accounts'!$F$5:$F$3000,0)),IF(LEFT(E189,6)="Admini",INDEX('Chart of Accounts'!$A$5:$A$3000,MATCH("admin_salaries",'Chart of Accounts'!$F$5:$F$3000,0)),INDEX('Chart of Accounts'!$A$5:$A$3000,MATCH("direct_labour",'Chart of Accounts'!$F$5:$F$3000,0)))))</f>
        <v/>
      </c>
      <c r="R189" s="16">
        <f>IF(M189="",INDEX('Chart of Accounts'!$A$5:$A$3000,MATCH("bank",'Chart of Accounts'!$F$5:$F$3000,0)),M189&amp;"")</f>
        <v/>
      </c>
      <c r="S189" s="16">
        <f>IF(N189="",INDEX('Chart of Accounts'!$A$5:$A$3000,MATCH("accrued_payroll",'Chart of Accounts'!$F$5:$F$3000,0)),N189&amp;"")</f>
        <v/>
      </c>
      <c r="T189" s="23">
        <f>IFERROR(INDEX('Chart of Accounts'!$C$5:$C$3000,MATCH(Q189&amp;"",'Chart of Accounts'!$A$5:$A$3000,0))&amp;"|"&amp;INDEX('Chart of Accounts'!$D$5:$D$3000,MATCH(Q189&amp;"",'Chart of Accounts'!$A$5:$A$3000,0)),"")</f>
        <v/>
      </c>
      <c r="U189" s="23">
        <f>IFERROR(INDEX('Chart of Accounts'!$C$5:$C$3000,MATCH(R189&amp;"",'Chart of Accounts'!$A$5:$A$3000,0))&amp;"|"&amp;INDEX('Chart of Accounts'!$D$5:$D$3000,MATCH(R189&amp;"",'Chart of Accounts'!$A$5:$A$3000,0)),"")</f>
        <v/>
      </c>
      <c r="V189" s="23">
        <f>IFERROR(INDEX('Chart of Accounts'!$C$5:$C$3000,MATCH(S189&amp;"",'Chart of Accounts'!$A$5:$A$3000,0))&amp;"|"&amp;INDEX('Chart of Accounts'!$D$5:$D$3000,MATCH(S189&amp;"",'Chart of Accounts'!$A$5:$A$3000,0)),"")</f>
        <v/>
      </c>
      <c r="W189" s="23">
        <f>IF(LEFT(T189,8)="Revenue|",-N(O189),0)+IF(LEFT(U189,8)="Revenue|",N(K189),0)+IF(LEFT(V189,8)="Revenue|",N(P189),0)</f>
        <v/>
      </c>
      <c r="X189" s="23">
        <f>IF(LEFT(T189,5)="COGS|",N(O189),0)+IF(LEFT(U189,5)="COGS|",-N(K189),0)+IF(LEFT(V189,5)="COGS|",-N(P189),0)</f>
        <v/>
      </c>
      <c r="Y189" s="23">
        <f>IF(LEFT(T189,8)="Expense|",N(O189),0)+IF(LEFT(U189,8)="Expense|",-N(K189),0)+IF(LEFT(V189,8)="Expense|",-N(P189),0)</f>
        <v/>
      </c>
      <c r="Z189" s="23">
        <f>IF(ISNUMBER(MATCH(T189,{"Expense|employee","Expense|general_admin","Expense|marketing","Expense|utilities","Expense|other_operating"},0)),N(O189),0)+IF(ISNUMBER(MATCH(U189,{"Expense|employee","Expense|general_admin","Expense|marketing","Expense|utilities","Expense|other_operating"},0)),-N(K189),0)+IF(ISNUMBER(MATCH(V189,{"Expense|employee","Expense|general_admin","Expense|marketing","Expense|utilities","Expense|other_operating"},0)),-N(P189),0)</f>
        <v/>
      </c>
      <c r="AA189" s="23">
        <f>IF(T189="Liability|payable",-N(O189),0)+IF(U189="Liability|payable",N(K189),0)+IF(V189="Liability|payable",N(P189),0)</f>
        <v/>
      </c>
      <c r="AB189" s="23">
        <f>IF(T189="Liability|accrued",-N(O189),0)+IF(U189="Liability|accrued",N(K189),0)+IF(V189="Liability|accrued",N(P189),0)</f>
        <v/>
      </c>
      <c r="AC189" s="23">
        <f>IF(AND(N(O189)&lt;&gt;0,T189=""),1,0)+IF(AND(N(K189)&lt;&gt;0,U189=""),1,0)+IF(AND(N(P189)&lt;&gt;0,V189=""),1,0)</f>
        <v/>
      </c>
    </row>
    <row r="190">
      <c r="A190" s="19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20" t="n"/>
      <c r="K190" s="20" t="n"/>
      <c r="L190" s="14" t="n"/>
      <c r="M190" s="14" t="n"/>
      <c r="N190" s="14" t="n"/>
      <c r="O190" s="21">
        <f>ROUND(N(I190)*N(J190),2)</f>
        <v/>
      </c>
      <c r="P190" s="21">
        <f>O190-N(K190)</f>
        <v/>
      </c>
      <c r="Q190" s="16">
        <f>IF(F190&lt;&gt;"",F190&amp;"",IF(LEFT(E190,6)="Indire",INDEX('Chart of Accounts'!$A$5:$A$3000,MATCH("project_overhead",'Chart of Accounts'!$F$5:$F$3000,0)),IF(LEFT(E190,6)="Admini",INDEX('Chart of Accounts'!$A$5:$A$3000,MATCH("admin_salaries",'Chart of Accounts'!$F$5:$F$3000,0)),INDEX('Chart of Accounts'!$A$5:$A$3000,MATCH("direct_labour",'Chart of Accounts'!$F$5:$F$3000,0)))))</f>
        <v/>
      </c>
      <c r="R190" s="16">
        <f>IF(M190="",INDEX('Chart of Accounts'!$A$5:$A$3000,MATCH("bank",'Chart of Accounts'!$F$5:$F$3000,0)),M190&amp;"")</f>
        <v/>
      </c>
      <c r="S190" s="16">
        <f>IF(N190="",INDEX('Chart of Accounts'!$A$5:$A$3000,MATCH("accrued_payroll",'Chart of Accounts'!$F$5:$F$3000,0)),N190&amp;"")</f>
        <v/>
      </c>
      <c r="T190" s="23">
        <f>IFERROR(INDEX('Chart of Accounts'!$C$5:$C$3000,MATCH(Q190&amp;"",'Chart of Accounts'!$A$5:$A$3000,0))&amp;"|"&amp;INDEX('Chart of Accounts'!$D$5:$D$3000,MATCH(Q190&amp;"",'Chart of Accounts'!$A$5:$A$3000,0)),"")</f>
        <v/>
      </c>
      <c r="U190" s="23">
        <f>IFERROR(INDEX('Chart of Accounts'!$C$5:$C$3000,MATCH(R190&amp;"",'Chart of Accounts'!$A$5:$A$3000,0))&amp;"|"&amp;INDEX('Chart of Accounts'!$D$5:$D$3000,MATCH(R190&amp;"",'Chart of Accounts'!$A$5:$A$3000,0)),"")</f>
        <v/>
      </c>
      <c r="V190" s="23">
        <f>IFERROR(INDEX('Chart of Accounts'!$C$5:$C$3000,MATCH(S190&amp;"",'Chart of Accounts'!$A$5:$A$3000,0))&amp;"|"&amp;INDEX('Chart of Accounts'!$D$5:$D$3000,MATCH(S190&amp;"",'Chart of Accounts'!$A$5:$A$3000,0)),"")</f>
        <v/>
      </c>
      <c r="W190" s="23">
        <f>IF(LEFT(T190,8)="Revenue|",-N(O190),0)+IF(LEFT(U190,8)="Revenue|",N(K190),0)+IF(LEFT(V190,8)="Revenue|",N(P190),0)</f>
        <v/>
      </c>
      <c r="X190" s="23">
        <f>IF(LEFT(T190,5)="COGS|",N(O190),0)+IF(LEFT(U190,5)="COGS|",-N(K190),0)+IF(LEFT(V190,5)="COGS|",-N(P190),0)</f>
        <v/>
      </c>
      <c r="Y190" s="23">
        <f>IF(LEFT(T190,8)="Expense|",N(O190),0)+IF(LEFT(U190,8)="Expense|",-N(K190),0)+IF(LEFT(V190,8)="Expense|",-N(P190),0)</f>
        <v/>
      </c>
      <c r="Z190" s="23">
        <f>IF(ISNUMBER(MATCH(T190,{"Expense|employee","Expense|general_admin","Expense|marketing","Expense|utilities","Expense|other_operating"},0)),N(O190),0)+IF(ISNUMBER(MATCH(U190,{"Expense|employee","Expense|general_admin","Expense|marketing","Expense|utilities","Expense|other_operating"},0)),-N(K190),0)+IF(ISNUMBER(MATCH(V190,{"Expense|employee","Expense|general_admin","Expense|marketing","Expense|utilities","Expense|other_operating"},0)),-N(P190),0)</f>
        <v/>
      </c>
      <c r="AA190" s="23">
        <f>IF(T190="Liability|payable",-N(O190),0)+IF(U190="Liability|payable",N(K190),0)+IF(V190="Liability|payable",N(P190),0)</f>
        <v/>
      </c>
      <c r="AB190" s="23">
        <f>IF(T190="Liability|accrued",-N(O190),0)+IF(U190="Liability|accrued",N(K190),0)+IF(V190="Liability|accrued",N(P190),0)</f>
        <v/>
      </c>
      <c r="AC190" s="23">
        <f>IF(AND(N(O190)&lt;&gt;0,T190=""),1,0)+IF(AND(N(K190)&lt;&gt;0,U190=""),1,0)+IF(AND(N(P190)&lt;&gt;0,V190=""),1,0)</f>
        <v/>
      </c>
    </row>
    <row r="191">
      <c r="A191" s="19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20" t="n"/>
      <c r="K191" s="20" t="n"/>
      <c r="L191" s="14" t="n"/>
      <c r="M191" s="14" t="n"/>
      <c r="N191" s="14" t="n"/>
      <c r="O191" s="21">
        <f>ROUND(N(I191)*N(J191),2)</f>
        <v/>
      </c>
      <c r="P191" s="21">
        <f>O191-N(K191)</f>
        <v/>
      </c>
      <c r="Q191" s="16">
        <f>IF(F191&lt;&gt;"",F191&amp;"",IF(LEFT(E191,6)="Indire",INDEX('Chart of Accounts'!$A$5:$A$3000,MATCH("project_overhead",'Chart of Accounts'!$F$5:$F$3000,0)),IF(LEFT(E191,6)="Admini",INDEX('Chart of Accounts'!$A$5:$A$3000,MATCH("admin_salaries",'Chart of Accounts'!$F$5:$F$3000,0)),INDEX('Chart of Accounts'!$A$5:$A$3000,MATCH("direct_labour",'Chart of Accounts'!$F$5:$F$3000,0)))))</f>
        <v/>
      </c>
      <c r="R191" s="16">
        <f>IF(M191="",INDEX('Chart of Accounts'!$A$5:$A$3000,MATCH("bank",'Chart of Accounts'!$F$5:$F$3000,0)),M191&amp;"")</f>
        <v/>
      </c>
      <c r="S191" s="16">
        <f>IF(N191="",INDEX('Chart of Accounts'!$A$5:$A$3000,MATCH("accrued_payroll",'Chart of Accounts'!$F$5:$F$3000,0)),N191&amp;"")</f>
        <v/>
      </c>
      <c r="T191" s="23">
        <f>IFERROR(INDEX('Chart of Accounts'!$C$5:$C$3000,MATCH(Q191&amp;"",'Chart of Accounts'!$A$5:$A$3000,0))&amp;"|"&amp;INDEX('Chart of Accounts'!$D$5:$D$3000,MATCH(Q191&amp;"",'Chart of Accounts'!$A$5:$A$3000,0)),"")</f>
        <v/>
      </c>
      <c r="U191" s="23">
        <f>IFERROR(INDEX('Chart of Accounts'!$C$5:$C$3000,MATCH(R191&amp;"",'Chart of Accounts'!$A$5:$A$3000,0))&amp;"|"&amp;INDEX('Chart of Accounts'!$D$5:$D$3000,MATCH(R191&amp;"",'Chart of Accounts'!$A$5:$A$3000,0)),"")</f>
        <v/>
      </c>
      <c r="V191" s="23">
        <f>IFERROR(INDEX('Chart of Accounts'!$C$5:$C$3000,MATCH(S191&amp;"",'Chart of Accounts'!$A$5:$A$3000,0))&amp;"|"&amp;INDEX('Chart of Accounts'!$D$5:$D$3000,MATCH(S191&amp;"",'Chart of Accounts'!$A$5:$A$3000,0)),"")</f>
        <v/>
      </c>
      <c r="W191" s="23">
        <f>IF(LEFT(T191,8)="Revenue|",-N(O191),0)+IF(LEFT(U191,8)="Revenue|",N(K191),0)+IF(LEFT(V191,8)="Revenue|",N(P191),0)</f>
        <v/>
      </c>
      <c r="X191" s="23">
        <f>IF(LEFT(T191,5)="COGS|",N(O191),0)+IF(LEFT(U191,5)="COGS|",-N(K191),0)+IF(LEFT(V191,5)="COGS|",-N(P191),0)</f>
        <v/>
      </c>
      <c r="Y191" s="23">
        <f>IF(LEFT(T191,8)="Expense|",N(O191),0)+IF(LEFT(U191,8)="Expense|",-N(K191),0)+IF(LEFT(V191,8)="Expense|",-N(P191),0)</f>
        <v/>
      </c>
      <c r="Z191" s="23">
        <f>IF(ISNUMBER(MATCH(T191,{"Expense|employee","Expense|general_admin","Expense|marketing","Expense|utilities","Expense|other_operating"},0)),N(O191),0)+IF(ISNUMBER(MATCH(U191,{"Expense|employee","Expense|general_admin","Expense|marketing","Expense|utilities","Expense|other_operating"},0)),-N(K191),0)+IF(ISNUMBER(MATCH(V191,{"Expense|employee","Expense|general_admin","Expense|marketing","Expense|utilities","Expense|other_operating"},0)),-N(P191),0)</f>
        <v/>
      </c>
      <c r="AA191" s="23">
        <f>IF(T191="Liability|payable",-N(O191),0)+IF(U191="Liability|payable",N(K191),0)+IF(V191="Liability|payable",N(P191),0)</f>
        <v/>
      </c>
      <c r="AB191" s="23">
        <f>IF(T191="Liability|accrued",-N(O191),0)+IF(U191="Liability|accrued",N(K191),0)+IF(V191="Liability|accrued",N(P191),0)</f>
        <v/>
      </c>
      <c r="AC191" s="23">
        <f>IF(AND(N(O191)&lt;&gt;0,T191=""),1,0)+IF(AND(N(K191)&lt;&gt;0,U191=""),1,0)+IF(AND(N(P191)&lt;&gt;0,V191=""),1,0)</f>
        <v/>
      </c>
    </row>
    <row r="192">
      <c r="A192" s="19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20" t="n"/>
      <c r="K192" s="20" t="n"/>
      <c r="L192" s="14" t="n"/>
      <c r="M192" s="14" t="n"/>
      <c r="N192" s="14" t="n"/>
      <c r="O192" s="21">
        <f>ROUND(N(I192)*N(J192),2)</f>
        <v/>
      </c>
      <c r="P192" s="21">
        <f>O192-N(K192)</f>
        <v/>
      </c>
      <c r="Q192" s="16">
        <f>IF(F192&lt;&gt;"",F192&amp;"",IF(LEFT(E192,6)="Indire",INDEX('Chart of Accounts'!$A$5:$A$3000,MATCH("project_overhead",'Chart of Accounts'!$F$5:$F$3000,0)),IF(LEFT(E192,6)="Admini",INDEX('Chart of Accounts'!$A$5:$A$3000,MATCH("admin_salaries",'Chart of Accounts'!$F$5:$F$3000,0)),INDEX('Chart of Accounts'!$A$5:$A$3000,MATCH("direct_labour",'Chart of Accounts'!$F$5:$F$3000,0)))))</f>
        <v/>
      </c>
      <c r="R192" s="16">
        <f>IF(M192="",INDEX('Chart of Accounts'!$A$5:$A$3000,MATCH("bank",'Chart of Accounts'!$F$5:$F$3000,0)),M192&amp;"")</f>
        <v/>
      </c>
      <c r="S192" s="16">
        <f>IF(N192="",INDEX('Chart of Accounts'!$A$5:$A$3000,MATCH("accrued_payroll",'Chart of Accounts'!$F$5:$F$3000,0)),N192&amp;"")</f>
        <v/>
      </c>
      <c r="T192" s="23">
        <f>IFERROR(INDEX('Chart of Accounts'!$C$5:$C$3000,MATCH(Q192&amp;"",'Chart of Accounts'!$A$5:$A$3000,0))&amp;"|"&amp;INDEX('Chart of Accounts'!$D$5:$D$3000,MATCH(Q192&amp;"",'Chart of Accounts'!$A$5:$A$3000,0)),"")</f>
        <v/>
      </c>
      <c r="U192" s="23">
        <f>IFERROR(INDEX('Chart of Accounts'!$C$5:$C$3000,MATCH(R192&amp;"",'Chart of Accounts'!$A$5:$A$3000,0))&amp;"|"&amp;INDEX('Chart of Accounts'!$D$5:$D$3000,MATCH(R192&amp;"",'Chart of Accounts'!$A$5:$A$3000,0)),"")</f>
        <v/>
      </c>
      <c r="V192" s="23">
        <f>IFERROR(INDEX('Chart of Accounts'!$C$5:$C$3000,MATCH(S192&amp;"",'Chart of Accounts'!$A$5:$A$3000,0))&amp;"|"&amp;INDEX('Chart of Accounts'!$D$5:$D$3000,MATCH(S192&amp;"",'Chart of Accounts'!$A$5:$A$3000,0)),"")</f>
        <v/>
      </c>
      <c r="W192" s="23">
        <f>IF(LEFT(T192,8)="Revenue|",-N(O192),0)+IF(LEFT(U192,8)="Revenue|",N(K192),0)+IF(LEFT(V192,8)="Revenue|",N(P192),0)</f>
        <v/>
      </c>
      <c r="X192" s="23">
        <f>IF(LEFT(T192,5)="COGS|",N(O192),0)+IF(LEFT(U192,5)="COGS|",-N(K192),0)+IF(LEFT(V192,5)="COGS|",-N(P192),0)</f>
        <v/>
      </c>
      <c r="Y192" s="23">
        <f>IF(LEFT(T192,8)="Expense|",N(O192),0)+IF(LEFT(U192,8)="Expense|",-N(K192),0)+IF(LEFT(V192,8)="Expense|",-N(P192),0)</f>
        <v/>
      </c>
      <c r="Z192" s="23">
        <f>IF(ISNUMBER(MATCH(T192,{"Expense|employee","Expense|general_admin","Expense|marketing","Expense|utilities","Expense|other_operating"},0)),N(O192),0)+IF(ISNUMBER(MATCH(U192,{"Expense|employee","Expense|general_admin","Expense|marketing","Expense|utilities","Expense|other_operating"},0)),-N(K192),0)+IF(ISNUMBER(MATCH(V192,{"Expense|employee","Expense|general_admin","Expense|marketing","Expense|utilities","Expense|other_operating"},0)),-N(P192),0)</f>
        <v/>
      </c>
      <c r="AA192" s="23">
        <f>IF(T192="Liability|payable",-N(O192),0)+IF(U192="Liability|payable",N(K192),0)+IF(V192="Liability|payable",N(P192),0)</f>
        <v/>
      </c>
      <c r="AB192" s="23">
        <f>IF(T192="Liability|accrued",-N(O192),0)+IF(U192="Liability|accrued",N(K192),0)+IF(V192="Liability|accrued",N(P192),0)</f>
        <v/>
      </c>
      <c r="AC192" s="23">
        <f>IF(AND(N(O192)&lt;&gt;0,T192=""),1,0)+IF(AND(N(K192)&lt;&gt;0,U192=""),1,0)+IF(AND(N(P192)&lt;&gt;0,V192=""),1,0)</f>
        <v/>
      </c>
    </row>
    <row r="193">
      <c r="A193" s="19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20" t="n"/>
      <c r="K193" s="20" t="n"/>
      <c r="L193" s="14" t="n"/>
      <c r="M193" s="14" t="n"/>
      <c r="N193" s="14" t="n"/>
      <c r="O193" s="21">
        <f>ROUND(N(I193)*N(J193),2)</f>
        <v/>
      </c>
      <c r="P193" s="21">
        <f>O193-N(K193)</f>
        <v/>
      </c>
      <c r="Q193" s="16">
        <f>IF(F193&lt;&gt;"",F193&amp;"",IF(LEFT(E193,6)="Indire",INDEX('Chart of Accounts'!$A$5:$A$3000,MATCH("project_overhead",'Chart of Accounts'!$F$5:$F$3000,0)),IF(LEFT(E193,6)="Admini",INDEX('Chart of Accounts'!$A$5:$A$3000,MATCH("admin_salaries",'Chart of Accounts'!$F$5:$F$3000,0)),INDEX('Chart of Accounts'!$A$5:$A$3000,MATCH("direct_labour",'Chart of Accounts'!$F$5:$F$3000,0)))))</f>
        <v/>
      </c>
      <c r="R193" s="16">
        <f>IF(M193="",INDEX('Chart of Accounts'!$A$5:$A$3000,MATCH("bank",'Chart of Accounts'!$F$5:$F$3000,0)),M193&amp;"")</f>
        <v/>
      </c>
      <c r="S193" s="16">
        <f>IF(N193="",INDEX('Chart of Accounts'!$A$5:$A$3000,MATCH("accrued_payroll",'Chart of Accounts'!$F$5:$F$3000,0)),N193&amp;"")</f>
        <v/>
      </c>
      <c r="T193" s="23">
        <f>IFERROR(INDEX('Chart of Accounts'!$C$5:$C$3000,MATCH(Q193&amp;"",'Chart of Accounts'!$A$5:$A$3000,0))&amp;"|"&amp;INDEX('Chart of Accounts'!$D$5:$D$3000,MATCH(Q193&amp;"",'Chart of Accounts'!$A$5:$A$3000,0)),"")</f>
        <v/>
      </c>
      <c r="U193" s="23">
        <f>IFERROR(INDEX('Chart of Accounts'!$C$5:$C$3000,MATCH(R193&amp;"",'Chart of Accounts'!$A$5:$A$3000,0))&amp;"|"&amp;INDEX('Chart of Accounts'!$D$5:$D$3000,MATCH(R193&amp;"",'Chart of Accounts'!$A$5:$A$3000,0)),"")</f>
        <v/>
      </c>
      <c r="V193" s="23">
        <f>IFERROR(INDEX('Chart of Accounts'!$C$5:$C$3000,MATCH(S193&amp;"",'Chart of Accounts'!$A$5:$A$3000,0))&amp;"|"&amp;INDEX('Chart of Accounts'!$D$5:$D$3000,MATCH(S193&amp;"",'Chart of Accounts'!$A$5:$A$3000,0)),"")</f>
        <v/>
      </c>
      <c r="W193" s="23">
        <f>IF(LEFT(T193,8)="Revenue|",-N(O193),0)+IF(LEFT(U193,8)="Revenue|",N(K193),0)+IF(LEFT(V193,8)="Revenue|",N(P193),0)</f>
        <v/>
      </c>
      <c r="X193" s="23">
        <f>IF(LEFT(T193,5)="COGS|",N(O193),0)+IF(LEFT(U193,5)="COGS|",-N(K193),0)+IF(LEFT(V193,5)="COGS|",-N(P193),0)</f>
        <v/>
      </c>
      <c r="Y193" s="23">
        <f>IF(LEFT(T193,8)="Expense|",N(O193),0)+IF(LEFT(U193,8)="Expense|",-N(K193),0)+IF(LEFT(V193,8)="Expense|",-N(P193),0)</f>
        <v/>
      </c>
      <c r="Z193" s="23">
        <f>IF(ISNUMBER(MATCH(T193,{"Expense|employee","Expense|general_admin","Expense|marketing","Expense|utilities","Expense|other_operating"},0)),N(O193),0)+IF(ISNUMBER(MATCH(U193,{"Expense|employee","Expense|general_admin","Expense|marketing","Expense|utilities","Expense|other_operating"},0)),-N(K193),0)+IF(ISNUMBER(MATCH(V193,{"Expense|employee","Expense|general_admin","Expense|marketing","Expense|utilities","Expense|other_operating"},0)),-N(P193),0)</f>
        <v/>
      </c>
      <c r="AA193" s="23">
        <f>IF(T193="Liability|payable",-N(O193),0)+IF(U193="Liability|payable",N(K193),0)+IF(V193="Liability|payable",N(P193),0)</f>
        <v/>
      </c>
      <c r="AB193" s="23">
        <f>IF(T193="Liability|accrued",-N(O193),0)+IF(U193="Liability|accrued",N(K193),0)+IF(V193="Liability|accrued",N(P193),0)</f>
        <v/>
      </c>
      <c r="AC193" s="23">
        <f>IF(AND(N(O193)&lt;&gt;0,T193=""),1,0)+IF(AND(N(K193)&lt;&gt;0,U193=""),1,0)+IF(AND(N(P193)&lt;&gt;0,V193=""),1,0)</f>
        <v/>
      </c>
    </row>
    <row r="194">
      <c r="A194" s="19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20" t="n"/>
      <c r="K194" s="20" t="n"/>
      <c r="L194" s="14" t="n"/>
      <c r="M194" s="14" t="n"/>
      <c r="N194" s="14" t="n"/>
      <c r="O194" s="21">
        <f>ROUND(N(I194)*N(J194),2)</f>
        <v/>
      </c>
      <c r="P194" s="21">
        <f>O194-N(K194)</f>
        <v/>
      </c>
      <c r="Q194" s="16">
        <f>IF(F194&lt;&gt;"",F194&amp;"",IF(LEFT(E194,6)="Indire",INDEX('Chart of Accounts'!$A$5:$A$3000,MATCH("project_overhead",'Chart of Accounts'!$F$5:$F$3000,0)),IF(LEFT(E194,6)="Admini",INDEX('Chart of Accounts'!$A$5:$A$3000,MATCH("admin_salaries",'Chart of Accounts'!$F$5:$F$3000,0)),INDEX('Chart of Accounts'!$A$5:$A$3000,MATCH("direct_labour",'Chart of Accounts'!$F$5:$F$3000,0)))))</f>
        <v/>
      </c>
      <c r="R194" s="16">
        <f>IF(M194="",INDEX('Chart of Accounts'!$A$5:$A$3000,MATCH("bank",'Chart of Accounts'!$F$5:$F$3000,0)),M194&amp;"")</f>
        <v/>
      </c>
      <c r="S194" s="16">
        <f>IF(N194="",INDEX('Chart of Accounts'!$A$5:$A$3000,MATCH("accrued_payroll",'Chart of Accounts'!$F$5:$F$3000,0)),N194&amp;"")</f>
        <v/>
      </c>
      <c r="T194" s="23">
        <f>IFERROR(INDEX('Chart of Accounts'!$C$5:$C$3000,MATCH(Q194&amp;"",'Chart of Accounts'!$A$5:$A$3000,0))&amp;"|"&amp;INDEX('Chart of Accounts'!$D$5:$D$3000,MATCH(Q194&amp;"",'Chart of Accounts'!$A$5:$A$3000,0)),"")</f>
        <v/>
      </c>
      <c r="U194" s="23">
        <f>IFERROR(INDEX('Chart of Accounts'!$C$5:$C$3000,MATCH(R194&amp;"",'Chart of Accounts'!$A$5:$A$3000,0))&amp;"|"&amp;INDEX('Chart of Accounts'!$D$5:$D$3000,MATCH(R194&amp;"",'Chart of Accounts'!$A$5:$A$3000,0)),"")</f>
        <v/>
      </c>
      <c r="V194" s="23">
        <f>IFERROR(INDEX('Chart of Accounts'!$C$5:$C$3000,MATCH(S194&amp;"",'Chart of Accounts'!$A$5:$A$3000,0))&amp;"|"&amp;INDEX('Chart of Accounts'!$D$5:$D$3000,MATCH(S194&amp;"",'Chart of Accounts'!$A$5:$A$3000,0)),"")</f>
        <v/>
      </c>
      <c r="W194" s="23">
        <f>IF(LEFT(T194,8)="Revenue|",-N(O194),0)+IF(LEFT(U194,8)="Revenue|",N(K194),0)+IF(LEFT(V194,8)="Revenue|",N(P194),0)</f>
        <v/>
      </c>
      <c r="X194" s="23">
        <f>IF(LEFT(T194,5)="COGS|",N(O194),0)+IF(LEFT(U194,5)="COGS|",-N(K194),0)+IF(LEFT(V194,5)="COGS|",-N(P194),0)</f>
        <v/>
      </c>
      <c r="Y194" s="23">
        <f>IF(LEFT(T194,8)="Expense|",N(O194),0)+IF(LEFT(U194,8)="Expense|",-N(K194),0)+IF(LEFT(V194,8)="Expense|",-N(P194),0)</f>
        <v/>
      </c>
      <c r="Z194" s="23">
        <f>IF(ISNUMBER(MATCH(T194,{"Expense|employee","Expense|general_admin","Expense|marketing","Expense|utilities","Expense|other_operating"},0)),N(O194),0)+IF(ISNUMBER(MATCH(U194,{"Expense|employee","Expense|general_admin","Expense|marketing","Expense|utilities","Expense|other_operating"},0)),-N(K194),0)+IF(ISNUMBER(MATCH(V194,{"Expense|employee","Expense|general_admin","Expense|marketing","Expense|utilities","Expense|other_operating"},0)),-N(P194),0)</f>
        <v/>
      </c>
      <c r="AA194" s="23">
        <f>IF(T194="Liability|payable",-N(O194),0)+IF(U194="Liability|payable",N(K194),0)+IF(V194="Liability|payable",N(P194),0)</f>
        <v/>
      </c>
      <c r="AB194" s="23">
        <f>IF(T194="Liability|accrued",-N(O194),0)+IF(U194="Liability|accrued",N(K194),0)+IF(V194="Liability|accrued",N(P194),0)</f>
        <v/>
      </c>
      <c r="AC194" s="23">
        <f>IF(AND(N(O194)&lt;&gt;0,T194=""),1,0)+IF(AND(N(K194)&lt;&gt;0,U194=""),1,0)+IF(AND(N(P194)&lt;&gt;0,V194=""),1,0)</f>
        <v/>
      </c>
    </row>
    <row r="195">
      <c r="A195" s="19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20" t="n"/>
      <c r="K195" s="20" t="n"/>
      <c r="L195" s="14" t="n"/>
      <c r="M195" s="14" t="n"/>
      <c r="N195" s="14" t="n"/>
      <c r="O195" s="21">
        <f>ROUND(N(I195)*N(J195),2)</f>
        <v/>
      </c>
      <c r="P195" s="21">
        <f>O195-N(K195)</f>
        <v/>
      </c>
      <c r="Q195" s="16">
        <f>IF(F195&lt;&gt;"",F195&amp;"",IF(LEFT(E195,6)="Indire",INDEX('Chart of Accounts'!$A$5:$A$3000,MATCH("project_overhead",'Chart of Accounts'!$F$5:$F$3000,0)),IF(LEFT(E195,6)="Admini",INDEX('Chart of Accounts'!$A$5:$A$3000,MATCH("admin_salaries",'Chart of Accounts'!$F$5:$F$3000,0)),INDEX('Chart of Accounts'!$A$5:$A$3000,MATCH("direct_labour",'Chart of Accounts'!$F$5:$F$3000,0)))))</f>
        <v/>
      </c>
      <c r="R195" s="16">
        <f>IF(M195="",INDEX('Chart of Accounts'!$A$5:$A$3000,MATCH("bank",'Chart of Accounts'!$F$5:$F$3000,0)),M195&amp;"")</f>
        <v/>
      </c>
      <c r="S195" s="16">
        <f>IF(N195="",INDEX('Chart of Accounts'!$A$5:$A$3000,MATCH("accrued_payroll",'Chart of Accounts'!$F$5:$F$3000,0)),N195&amp;"")</f>
        <v/>
      </c>
      <c r="T195" s="23">
        <f>IFERROR(INDEX('Chart of Accounts'!$C$5:$C$3000,MATCH(Q195&amp;"",'Chart of Accounts'!$A$5:$A$3000,0))&amp;"|"&amp;INDEX('Chart of Accounts'!$D$5:$D$3000,MATCH(Q195&amp;"",'Chart of Accounts'!$A$5:$A$3000,0)),"")</f>
        <v/>
      </c>
      <c r="U195" s="23">
        <f>IFERROR(INDEX('Chart of Accounts'!$C$5:$C$3000,MATCH(R195&amp;"",'Chart of Accounts'!$A$5:$A$3000,0))&amp;"|"&amp;INDEX('Chart of Accounts'!$D$5:$D$3000,MATCH(R195&amp;"",'Chart of Accounts'!$A$5:$A$3000,0)),"")</f>
        <v/>
      </c>
      <c r="V195" s="23">
        <f>IFERROR(INDEX('Chart of Accounts'!$C$5:$C$3000,MATCH(S195&amp;"",'Chart of Accounts'!$A$5:$A$3000,0))&amp;"|"&amp;INDEX('Chart of Accounts'!$D$5:$D$3000,MATCH(S195&amp;"",'Chart of Accounts'!$A$5:$A$3000,0)),"")</f>
        <v/>
      </c>
      <c r="W195" s="23">
        <f>IF(LEFT(T195,8)="Revenue|",-N(O195),0)+IF(LEFT(U195,8)="Revenue|",N(K195),0)+IF(LEFT(V195,8)="Revenue|",N(P195),0)</f>
        <v/>
      </c>
      <c r="X195" s="23">
        <f>IF(LEFT(T195,5)="COGS|",N(O195),0)+IF(LEFT(U195,5)="COGS|",-N(K195),0)+IF(LEFT(V195,5)="COGS|",-N(P195),0)</f>
        <v/>
      </c>
      <c r="Y195" s="23">
        <f>IF(LEFT(T195,8)="Expense|",N(O195),0)+IF(LEFT(U195,8)="Expense|",-N(K195),0)+IF(LEFT(V195,8)="Expense|",-N(P195),0)</f>
        <v/>
      </c>
      <c r="Z195" s="23">
        <f>IF(ISNUMBER(MATCH(T195,{"Expense|employee","Expense|general_admin","Expense|marketing","Expense|utilities","Expense|other_operating"},0)),N(O195),0)+IF(ISNUMBER(MATCH(U195,{"Expense|employee","Expense|general_admin","Expense|marketing","Expense|utilities","Expense|other_operating"},0)),-N(K195),0)+IF(ISNUMBER(MATCH(V195,{"Expense|employee","Expense|general_admin","Expense|marketing","Expense|utilities","Expense|other_operating"},0)),-N(P195),0)</f>
        <v/>
      </c>
      <c r="AA195" s="23">
        <f>IF(T195="Liability|payable",-N(O195),0)+IF(U195="Liability|payable",N(K195),0)+IF(V195="Liability|payable",N(P195),0)</f>
        <v/>
      </c>
      <c r="AB195" s="23">
        <f>IF(T195="Liability|accrued",-N(O195),0)+IF(U195="Liability|accrued",N(K195),0)+IF(V195="Liability|accrued",N(P195),0)</f>
        <v/>
      </c>
      <c r="AC195" s="23">
        <f>IF(AND(N(O195)&lt;&gt;0,T195=""),1,0)+IF(AND(N(K195)&lt;&gt;0,U195=""),1,0)+IF(AND(N(P195)&lt;&gt;0,V195=""),1,0)</f>
        <v/>
      </c>
    </row>
    <row r="196">
      <c r="A196" s="19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20" t="n"/>
      <c r="K196" s="20" t="n"/>
      <c r="L196" s="14" t="n"/>
      <c r="M196" s="14" t="n"/>
      <c r="N196" s="14" t="n"/>
      <c r="O196" s="21">
        <f>ROUND(N(I196)*N(J196),2)</f>
        <v/>
      </c>
      <c r="P196" s="21">
        <f>O196-N(K196)</f>
        <v/>
      </c>
      <c r="Q196" s="16">
        <f>IF(F196&lt;&gt;"",F196&amp;"",IF(LEFT(E196,6)="Indire",INDEX('Chart of Accounts'!$A$5:$A$3000,MATCH("project_overhead",'Chart of Accounts'!$F$5:$F$3000,0)),IF(LEFT(E196,6)="Admini",INDEX('Chart of Accounts'!$A$5:$A$3000,MATCH("admin_salaries",'Chart of Accounts'!$F$5:$F$3000,0)),INDEX('Chart of Accounts'!$A$5:$A$3000,MATCH("direct_labour",'Chart of Accounts'!$F$5:$F$3000,0)))))</f>
        <v/>
      </c>
      <c r="R196" s="16">
        <f>IF(M196="",INDEX('Chart of Accounts'!$A$5:$A$3000,MATCH("bank",'Chart of Accounts'!$F$5:$F$3000,0)),M196&amp;"")</f>
        <v/>
      </c>
      <c r="S196" s="16">
        <f>IF(N196="",INDEX('Chart of Accounts'!$A$5:$A$3000,MATCH("accrued_payroll",'Chart of Accounts'!$F$5:$F$3000,0)),N196&amp;"")</f>
        <v/>
      </c>
      <c r="T196" s="23">
        <f>IFERROR(INDEX('Chart of Accounts'!$C$5:$C$3000,MATCH(Q196&amp;"",'Chart of Accounts'!$A$5:$A$3000,0))&amp;"|"&amp;INDEX('Chart of Accounts'!$D$5:$D$3000,MATCH(Q196&amp;"",'Chart of Accounts'!$A$5:$A$3000,0)),"")</f>
        <v/>
      </c>
      <c r="U196" s="23">
        <f>IFERROR(INDEX('Chart of Accounts'!$C$5:$C$3000,MATCH(R196&amp;"",'Chart of Accounts'!$A$5:$A$3000,0))&amp;"|"&amp;INDEX('Chart of Accounts'!$D$5:$D$3000,MATCH(R196&amp;"",'Chart of Accounts'!$A$5:$A$3000,0)),"")</f>
        <v/>
      </c>
      <c r="V196" s="23">
        <f>IFERROR(INDEX('Chart of Accounts'!$C$5:$C$3000,MATCH(S196&amp;"",'Chart of Accounts'!$A$5:$A$3000,0))&amp;"|"&amp;INDEX('Chart of Accounts'!$D$5:$D$3000,MATCH(S196&amp;"",'Chart of Accounts'!$A$5:$A$3000,0)),"")</f>
        <v/>
      </c>
      <c r="W196" s="23">
        <f>IF(LEFT(T196,8)="Revenue|",-N(O196),0)+IF(LEFT(U196,8)="Revenue|",N(K196),0)+IF(LEFT(V196,8)="Revenue|",N(P196),0)</f>
        <v/>
      </c>
      <c r="X196" s="23">
        <f>IF(LEFT(T196,5)="COGS|",N(O196),0)+IF(LEFT(U196,5)="COGS|",-N(K196),0)+IF(LEFT(V196,5)="COGS|",-N(P196),0)</f>
        <v/>
      </c>
      <c r="Y196" s="23">
        <f>IF(LEFT(T196,8)="Expense|",N(O196),0)+IF(LEFT(U196,8)="Expense|",-N(K196),0)+IF(LEFT(V196,8)="Expense|",-N(P196),0)</f>
        <v/>
      </c>
      <c r="Z196" s="23">
        <f>IF(ISNUMBER(MATCH(T196,{"Expense|employee","Expense|general_admin","Expense|marketing","Expense|utilities","Expense|other_operating"},0)),N(O196),0)+IF(ISNUMBER(MATCH(U196,{"Expense|employee","Expense|general_admin","Expense|marketing","Expense|utilities","Expense|other_operating"},0)),-N(K196),0)+IF(ISNUMBER(MATCH(V196,{"Expense|employee","Expense|general_admin","Expense|marketing","Expense|utilities","Expense|other_operating"},0)),-N(P196),0)</f>
        <v/>
      </c>
      <c r="AA196" s="23">
        <f>IF(T196="Liability|payable",-N(O196),0)+IF(U196="Liability|payable",N(K196),0)+IF(V196="Liability|payable",N(P196),0)</f>
        <v/>
      </c>
      <c r="AB196" s="23">
        <f>IF(T196="Liability|accrued",-N(O196),0)+IF(U196="Liability|accrued",N(K196),0)+IF(V196="Liability|accrued",N(P196),0)</f>
        <v/>
      </c>
      <c r="AC196" s="23">
        <f>IF(AND(N(O196)&lt;&gt;0,T196=""),1,0)+IF(AND(N(K196)&lt;&gt;0,U196=""),1,0)+IF(AND(N(P196)&lt;&gt;0,V196=""),1,0)</f>
        <v/>
      </c>
    </row>
    <row r="197">
      <c r="A197" s="19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20" t="n"/>
      <c r="K197" s="20" t="n"/>
      <c r="L197" s="14" t="n"/>
      <c r="M197" s="14" t="n"/>
      <c r="N197" s="14" t="n"/>
      <c r="O197" s="21">
        <f>ROUND(N(I197)*N(J197),2)</f>
        <v/>
      </c>
      <c r="P197" s="21">
        <f>O197-N(K197)</f>
        <v/>
      </c>
      <c r="Q197" s="16">
        <f>IF(F197&lt;&gt;"",F197&amp;"",IF(LEFT(E197,6)="Indire",INDEX('Chart of Accounts'!$A$5:$A$3000,MATCH("project_overhead",'Chart of Accounts'!$F$5:$F$3000,0)),IF(LEFT(E197,6)="Admini",INDEX('Chart of Accounts'!$A$5:$A$3000,MATCH("admin_salaries",'Chart of Accounts'!$F$5:$F$3000,0)),INDEX('Chart of Accounts'!$A$5:$A$3000,MATCH("direct_labour",'Chart of Accounts'!$F$5:$F$3000,0)))))</f>
        <v/>
      </c>
      <c r="R197" s="16">
        <f>IF(M197="",INDEX('Chart of Accounts'!$A$5:$A$3000,MATCH("bank",'Chart of Accounts'!$F$5:$F$3000,0)),M197&amp;"")</f>
        <v/>
      </c>
      <c r="S197" s="16">
        <f>IF(N197="",INDEX('Chart of Accounts'!$A$5:$A$3000,MATCH("accrued_payroll",'Chart of Accounts'!$F$5:$F$3000,0)),N197&amp;"")</f>
        <v/>
      </c>
      <c r="T197" s="23">
        <f>IFERROR(INDEX('Chart of Accounts'!$C$5:$C$3000,MATCH(Q197&amp;"",'Chart of Accounts'!$A$5:$A$3000,0))&amp;"|"&amp;INDEX('Chart of Accounts'!$D$5:$D$3000,MATCH(Q197&amp;"",'Chart of Accounts'!$A$5:$A$3000,0)),"")</f>
        <v/>
      </c>
      <c r="U197" s="23">
        <f>IFERROR(INDEX('Chart of Accounts'!$C$5:$C$3000,MATCH(R197&amp;"",'Chart of Accounts'!$A$5:$A$3000,0))&amp;"|"&amp;INDEX('Chart of Accounts'!$D$5:$D$3000,MATCH(R197&amp;"",'Chart of Accounts'!$A$5:$A$3000,0)),"")</f>
        <v/>
      </c>
      <c r="V197" s="23">
        <f>IFERROR(INDEX('Chart of Accounts'!$C$5:$C$3000,MATCH(S197&amp;"",'Chart of Accounts'!$A$5:$A$3000,0))&amp;"|"&amp;INDEX('Chart of Accounts'!$D$5:$D$3000,MATCH(S197&amp;"",'Chart of Accounts'!$A$5:$A$3000,0)),"")</f>
        <v/>
      </c>
      <c r="W197" s="23">
        <f>IF(LEFT(T197,8)="Revenue|",-N(O197),0)+IF(LEFT(U197,8)="Revenue|",N(K197),0)+IF(LEFT(V197,8)="Revenue|",N(P197),0)</f>
        <v/>
      </c>
      <c r="X197" s="23">
        <f>IF(LEFT(T197,5)="COGS|",N(O197),0)+IF(LEFT(U197,5)="COGS|",-N(K197),0)+IF(LEFT(V197,5)="COGS|",-N(P197),0)</f>
        <v/>
      </c>
      <c r="Y197" s="23">
        <f>IF(LEFT(T197,8)="Expense|",N(O197),0)+IF(LEFT(U197,8)="Expense|",-N(K197),0)+IF(LEFT(V197,8)="Expense|",-N(P197),0)</f>
        <v/>
      </c>
      <c r="Z197" s="23">
        <f>IF(ISNUMBER(MATCH(T197,{"Expense|employee","Expense|general_admin","Expense|marketing","Expense|utilities","Expense|other_operating"},0)),N(O197),0)+IF(ISNUMBER(MATCH(U197,{"Expense|employee","Expense|general_admin","Expense|marketing","Expense|utilities","Expense|other_operating"},0)),-N(K197),0)+IF(ISNUMBER(MATCH(V197,{"Expense|employee","Expense|general_admin","Expense|marketing","Expense|utilities","Expense|other_operating"},0)),-N(P197),0)</f>
        <v/>
      </c>
      <c r="AA197" s="23">
        <f>IF(T197="Liability|payable",-N(O197),0)+IF(U197="Liability|payable",N(K197),0)+IF(V197="Liability|payable",N(P197),0)</f>
        <v/>
      </c>
      <c r="AB197" s="23">
        <f>IF(T197="Liability|accrued",-N(O197),0)+IF(U197="Liability|accrued",N(K197),0)+IF(V197="Liability|accrued",N(P197),0)</f>
        <v/>
      </c>
      <c r="AC197" s="23">
        <f>IF(AND(N(O197)&lt;&gt;0,T197=""),1,0)+IF(AND(N(K197)&lt;&gt;0,U197=""),1,0)+IF(AND(N(P197)&lt;&gt;0,V197=""),1,0)</f>
        <v/>
      </c>
    </row>
    <row r="198">
      <c r="A198" s="19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20" t="n"/>
      <c r="K198" s="20" t="n"/>
      <c r="L198" s="14" t="n"/>
      <c r="M198" s="14" t="n"/>
      <c r="N198" s="14" t="n"/>
      <c r="O198" s="21">
        <f>ROUND(N(I198)*N(J198),2)</f>
        <v/>
      </c>
      <c r="P198" s="21">
        <f>O198-N(K198)</f>
        <v/>
      </c>
      <c r="Q198" s="16">
        <f>IF(F198&lt;&gt;"",F198&amp;"",IF(LEFT(E198,6)="Indire",INDEX('Chart of Accounts'!$A$5:$A$3000,MATCH("project_overhead",'Chart of Accounts'!$F$5:$F$3000,0)),IF(LEFT(E198,6)="Admini",INDEX('Chart of Accounts'!$A$5:$A$3000,MATCH("admin_salaries",'Chart of Accounts'!$F$5:$F$3000,0)),INDEX('Chart of Accounts'!$A$5:$A$3000,MATCH("direct_labour",'Chart of Accounts'!$F$5:$F$3000,0)))))</f>
        <v/>
      </c>
      <c r="R198" s="16">
        <f>IF(M198="",INDEX('Chart of Accounts'!$A$5:$A$3000,MATCH("bank",'Chart of Accounts'!$F$5:$F$3000,0)),M198&amp;"")</f>
        <v/>
      </c>
      <c r="S198" s="16">
        <f>IF(N198="",INDEX('Chart of Accounts'!$A$5:$A$3000,MATCH("accrued_payroll",'Chart of Accounts'!$F$5:$F$3000,0)),N198&amp;"")</f>
        <v/>
      </c>
      <c r="T198" s="23">
        <f>IFERROR(INDEX('Chart of Accounts'!$C$5:$C$3000,MATCH(Q198&amp;"",'Chart of Accounts'!$A$5:$A$3000,0))&amp;"|"&amp;INDEX('Chart of Accounts'!$D$5:$D$3000,MATCH(Q198&amp;"",'Chart of Accounts'!$A$5:$A$3000,0)),"")</f>
        <v/>
      </c>
      <c r="U198" s="23">
        <f>IFERROR(INDEX('Chart of Accounts'!$C$5:$C$3000,MATCH(R198&amp;"",'Chart of Accounts'!$A$5:$A$3000,0))&amp;"|"&amp;INDEX('Chart of Accounts'!$D$5:$D$3000,MATCH(R198&amp;"",'Chart of Accounts'!$A$5:$A$3000,0)),"")</f>
        <v/>
      </c>
      <c r="V198" s="23">
        <f>IFERROR(INDEX('Chart of Accounts'!$C$5:$C$3000,MATCH(S198&amp;"",'Chart of Accounts'!$A$5:$A$3000,0))&amp;"|"&amp;INDEX('Chart of Accounts'!$D$5:$D$3000,MATCH(S198&amp;"",'Chart of Accounts'!$A$5:$A$3000,0)),"")</f>
        <v/>
      </c>
      <c r="W198" s="23">
        <f>IF(LEFT(T198,8)="Revenue|",-N(O198),0)+IF(LEFT(U198,8)="Revenue|",N(K198),0)+IF(LEFT(V198,8)="Revenue|",N(P198),0)</f>
        <v/>
      </c>
      <c r="X198" s="23">
        <f>IF(LEFT(T198,5)="COGS|",N(O198),0)+IF(LEFT(U198,5)="COGS|",-N(K198),0)+IF(LEFT(V198,5)="COGS|",-N(P198),0)</f>
        <v/>
      </c>
      <c r="Y198" s="23">
        <f>IF(LEFT(T198,8)="Expense|",N(O198),0)+IF(LEFT(U198,8)="Expense|",-N(K198),0)+IF(LEFT(V198,8)="Expense|",-N(P198),0)</f>
        <v/>
      </c>
      <c r="Z198" s="23">
        <f>IF(ISNUMBER(MATCH(T198,{"Expense|employee","Expense|general_admin","Expense|marketing","Expense|utilities","Expense|other_operating"},0)),N(O198),0)+IF(ISNUMBER(MATCH(U198,{"Expense|employee","Expense|general_admin","Expense|marketing","Expense|utilities","Expense|other_operating"},0)),-N(K198),0)+IF(ISNUMBER(MATCH(V198,{"Expense|employee","Expense|general_admin","Expense|marketing","Expense|utilities","Expense|other_operating"},0)),-N(P198),0)</f>
        <v/>
      </c>
      <c r="AA198" s="23">
        <f>IF(T198="Liability|payable",-N(O198),0)+IF(U198="Liability|payable",N(K198),0)+IF(V198="Liability|payable",N(P198),0)</f>
        <v/>
      </c>
      <c r="AB198" s="23">
        <f>IF(T198="Liability|accrued",-N(O198),0)+IF(U198="Liability|accrued",N(K198),0)+IF(V198="Liability|accrued",N(P198),0)</f>
        <v/>
      </c>
      <c r="AC198" s="23">
        <f>IF(AND(N(O198)&lt;&gt;0,T198=""),1,0)+IF(AND(N(K198)&lt;&gt;0,U198=""),1,0)+IF(AND(N(P198)&lt;&gt;0,V198=""),1,0)</f>
        <v/>
      </c>
    </row>
    <row r="199">
      <c r="A199" s="19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20" t="n"/>
      <c r="K199" s="20" t="n"/>
      <c r="L199" s="14" t="n"/>
      <c r="M199" s="14" t="n"/>
      <c r="N199" s="14" t="n"/>
      <c r="O199" s="21">
        <f>ROUND(N(I199)*N(J199),2)</f>
        <v/>
      </c>
      <c r="P199" s="21">
        <f>O199-N(K199)</f>
        <v/>
      </c>
      <c r="Q199" s="16">
        <f>IF(F199&lt;&gt;"",F199&amp;"",IF(LEFT(E199,6)="Indire",INDEX('Chart of Accounts'!$A$5:$A$3000,MATCH("project_overhead",'Chart of Accounts'!$F$5:$F$3000,0)),IF(LEFT(E199,6)="Admini",INDEX('Chart of Accounts'!$A$5:$A$3000,MATCH("admin_salaries",'Chart of Accounts'!$F$5:$F$3000,0)),INDEX('Chart of Accounts'!$A$5:$A$3000,MATCH("direct_labour",'Chart of Accounts'!$F$5:$F$3000,0)))))</f>
        <v/>
      </c>
      <c r="R199" s="16">
        <f>IF(M199="",INDEX('Chart of Accounts'!$A$5:$A$3000,MATCH("bank",'Chart of Accounts'!$F$5:$F$3000,0)),M199&amp;"")</f>
        <v/>
      </c>
      <c r="S199" s="16">
        <f>IF(N199="",INDEX('Chart of Accounts'!$A$5:$A$3000,MATCH("accrued_payroll",'Chart of Accounts'!$F$5:$F$3000,0)),N199&amp;"")</f>
        <v/>
      </c>
      <c r="T199" s="23">
        <f>IFERROR(INDEX('Chart of Accounts'!$C$5:$C$3000,MATCH(Q199&amp;"",'Chart of Accounts'!$A$5:$A$3000,0))&amp;"|"&amp;INDEX('Chart of Accounts'!$D$5:$D$3000,MATCH(Q199&amp;"",'Chart of Accounts'!$A$5:$A$3000,0)),"")</f>
        <v/>
      </c>
      <c r="U199" s="23">
        <f>IFERROR(INDEX('Chart of Accounts'!$C$5:$C$3000,MATCH(R199&amp;"",'Chart of Accounts'!$A$5:$A$3000,0))&amp;"|"&amp;INDEX('Chart of Accounts'!$D$5:$D$3000,MATCH(R199&amp;"",'Chart of Accounts'!$A$5:$A$3000,0)),"")</f>
        <v/>
      </c>
      <c r="V199" s="23">
        <f>IFERROR(INDEX('Chart of Accounts'!$C$5:$C$3000,MATCH(S199&amp;"",'Chart of Accounts'!$A$5:$A$3000,0))&amp;"|"&amp;INDEX('Chart of Accounts'!$D$5:$D$3000,MATCH(S199&amp;"",'Chart of Accounts'!$A$5:$A$3000,0)),"")</f>
        <v/>
      </c>
      <c r="W199" s="23">
        <f>IF(LEFT(T199,8)="Revenue|",-N(O199),0)+IF(LEFT(U199,8)="Revenue|",N(K199),0)+IF(LEFT(V199,8)="Revenue|",N(P199),0)</f>
        <v/>
      </c>
      <c r="X199" s="23">
        <f>IF(LEFT(T199,5)="COGS|",N(O199),0)+IF(LEFT(U199,5)="COGS|",-N(K199),0)+IF(LEFT(V199,5)="COGS|",-N(P199),0)</f>
        <v/>
      </c>
      <c r="Y199" s="23">
        <f>IF(LEFT(T199,8)="Expense|",N(O199),0)+IF(LEFT(U199,8)="Expense|",-N(K199),0)+IF(LEFT(V199,8)="Expense|",-N(P199),0)</f>
        <v/>
      </c>
      <c r="Z199" s="23">
        <f>IF(ISNUMBER(MATCH(T199,{"Expense|employee","Expense|general_admin","Expense|marketing","Expense|utilities","Expense|other_operating"},0)),N(O199),0)+IF(ISNUMBER(MATCH(U199,{"Expense|employee","Expense|general_admin","Expense|marketing","Expense|utilities","Expense|other_operating"},0)),-N(K199),0)+IF(ISNUMBER(MATCH(V199,{"Expense|employee","Expense|general_admin","Expense|marketing","Expense|utilities","Expense|other_operating"},0)),-N(P199),0)</f>
        <v/>
      </c>
      <c r="AA199" s="23">
        <f>IF(T199="Liability|payable",-N(O199),0)+IF(U199="Liability|payable",N(K199),0)+IF(V199="Liability|payable",N(P199),0)</f>
        <v/>
      </c>
      <c r="AB199" s="23">
        <f>IF(T199="Liability|accrued",-N(O199),0)+IF(U199="Liability|accrued",N(K199),0)+IF(V199="Liability|accrued",N(P199),0)</f>
        <v/>
      </c>
      <c r="AC199" s="23">
        <f>IF(AND(N(O199)&lt;&gt;0,T199=""),1,0)+IF(AND(N(K199)&lt;&gt;0,U199=""),1,0)+IF(AND(N(P199)&lt;&gt;0,V199=""),1,0)</f>
        <v/>
      </c>
    </row>
    <row r="200">
      <c r="A200" s="19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20" t="n"/>
      <c r="K200" s="20" t="n"/>
      <c r="L200" s="14" t="n"/>
      <c r="M200" s="14" t="n"/>
      <c r="N200" s="14" t="n"/>
      <c r="O200" s="21">
        <f>ROUND(N(I200)*N(J200),2)</f>
        <v/>
      </c>
      <c r="P200" s="21">
        <f>O200-N(K200)</f>
        <v/>
      </c>
      <c r="Q200" s="16">
        <f>IF(F200&lt;&gt;"",F200&amp;"",IF(LEFT(E200,6)="Indire",INDEX('Chart of Accounts'!$A$5:$A$3000,MATCH("project_overhead",'Chart of Accounts'!$F$5:$F$3000,0)),IF(LEFT(E200,6)="Admini",INDEX('Chart of Accounts'!$A$5:$A$3000,MATCH("admin_salaries",'Chart of Accounts'!$F$5:$F$3000,0)),INDEX('Chart of Accounts'!$A$5:$A$3000,MATCH("direct_labour",'Chart of Accounts'!$F$5:$F$3000,0)))))</f>
        <v/>
      </c>
      <c r="R200" s="16">
        <f>IF(M200="",INDEX('Chart of Accounts'!$A$5:$A$3000,MATCH("bank",'Chart of Accounts'!$F$5:$F$3000,0)),M200&amp;"")</f>
        <v/>
      </c>
      <c r="S200" s="16">
        <f>IF(N200="",INDEX('Chart of Accounts'!$A$5:$A$3000,MATCH("accrued_payroll",'Chart of Accounts'!$F$5:$F$3000,0)),N200&amp;"")</f>
        <v/>
      </c>
      <c r="T200" s="23">
        <f>IFERROR(INDEX('Chart of Accounts'!$C$5:$C$3000,MATCH(Q200&amp;"",'Chart of Accounts'!$A$5:$A$3000,0))&amp;"|"&amp;INDEX('Chart of Accounts'!$D$5:$D$3000,MATCH(Q200&amp;"",'Chart of Accounts'!$A$5:$A$3000,0)),"")</f>
        <v/>
      </c>
      <c r="U200" s="23">
        <f>IFERROR(INDEX('Chart of Accounts'!$C$5:$C$3000,MATCH(R200&amp;"",'Chart of Accounts'!$A$5:$A$3000,0))&amp;"|"&amp;INDEX('Chart of Accounts'!$D$5:$D$3000,MATCH(R200&amp;"",'Chart of Accounts'!$A$5:$A$3000,0)),"")</f>
        <v/>
      </c>
      <c r="V200" s="23">
        <f>IFERROR(INDEX('Chart of Accounts'!$C$5:$C$3000,MATCH(S200&amp;"",'Chart of Accounts'!$A$5:$A$3000,0))&amp;"|"&amp;INDEX('Chart of Accounts'!$D$5:$D$3000,MATCH(S200&amp;"",'Chart of Accounts'!$A$5:$A$3000,0)),"")</f>
        <v/>
      </c>
      <c r="W200" s="23">
        <f>IF(LEFT(T200,8)="Revenue|",-N(O200),0)+IF(LEFT(U200,8)="Revenue|",N(K200),0)+IF(LEFT(V200,8)="Revenue|",N(P200),0)</f>
        <v/>
      </c>
      <c r="X200" s="23">
        <f>IF(LEFT(T200,5)="COGS|",N(O200),0)+IF(LEFT(U200,5)="COGS|",-N(K200),0)+IF(LEFT(V200,5)="COGS|",-N(P200),0)</f>
        <v/>
      </c>
      <c r="Y200" s="23">
        <f>IF(LEFT(T200,8)="Expense|",N(O200),0)+IF(LEFT(U200,8)="Expense|",-N(K200),0)+IF(LEFT(V200,8)="Expense|",-N(P200),0)</f>
        <v/>
      </c>
      <c r="Z200" s="23">
        <f>IF(ISNUMBER(MATCH(T200,{"Expense|employee","Expense|general_admin","Expense|marketing","Expense|utilities","Expense|other_operating"},0)),N(O200),0)+IF(ISNUMBER(MATCH(U200,{"Expense|employee","Expense|general_admin","Expense|marketing","Expense|utilities","Expense|other_operating"},0)),-N(K200),0)+IF(ISNUMBER(MATCH(V200,{"Expense|employee","Expense|general_admin","Expense|marketing","Expense|utilities","Expense|other_operating"},0)),-N(P200),0)</f>
        <v/>
      </c>
      <c r="AA200" s="23">
        <f>IF(T200="Liability|payable",-N(O200),0)+IF(U200="Liability|payable",N(K200),0)+IF(V200="Liability|payable",N(P200),0)</f>
        <v/>
      </c>
      <c r="AB200" s="23">
        <f>IF(T200="Liability|accrued",-N(O200),0)+IF(U200="Liability|accrued",N(K200),0)+IF(V200="Liability|accrued",N(P200),0)</f>
        <v/>
      </c>
      <c r="AC200" s="23">
        <f>IF(AND(N(O200)&lt;&gt;0,T200=""),1,0)+IF(AND(N(K200)&lt;&gt;0,U200=""),1,0)+IF(AND(N(P200)&lt;&gt;0,V200=""),1,0)</f>
        <v/>
      </c>
    </row>
    <row r="201">
      <c r="A201" s="19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20" t="n"/>
      <c r="K201" s="20" t="n"/>
      <c r="L201" s="14" t="n"/>
      <c r="M201" s="14" t="n"/>
      <c r="N201" s="14" t="n"/>
      <c r="O201" s="21">
        <f>ROUND(N(I201)*N(J201),2)</f>
        <v/>
      </c>
      <c r="P201" s="21">
        <f>O201-N(K201)</f>
        <v/>
      </c>
      <c r="Q201" s="16">
        <f>IF(F201&lt;&gt;"",F201&amp;"",IF(LEFT(E201,6)="Indire",INDEX('Chart of Accounts'!$A$5:$A$3000,MATCH("project_overhead",'Chart of Accounts'!$F$5:$F$3000,0)),IF(LEFT(E201,6)="Admini",INDEX('Chart of Accounts'!$A$5:$A$3000,MATCH("admin_salaries",'Chart of Accounts'!$F$5:$F$3000,0)),INDEX('Chart of Accounts'!$A$5:$A$3000,MATCH("direct_labour",'Chart of Accounts'!$F$5:$F$3000,0)))))</f>
        <v/>
      </c>
      <c r="R201" s="16">
        <f>IF(M201="",INDEX('Chart of Accounts'!$A$5:$A$3000,MATCH("bank",'Chart of Accounts'!$F$5:$F$3000,0)),M201&amp;"")</f>
        <v/>
      </c>
      <c r="S201" s="16">
        <f>IF(N201="",INDEX('Chart of Accounts'!$A$5:$A$3000,MATCH("accrued_payroll",'Chart of Accounts'!$F$5:$F$3000,0)),N201&amp;"")</f>
        <v/>
      </c>
      <c r="T201" s="23">
        <f>IFERROR(INDEX('Chart of Accounts'!$C$5:$C$3000,MATCH(Q201&amp;"",'Chart of Accounts'!$A$5:$A$3000,0))&amp;"|"&amp;INDEX('Chart of Accounts'!$D$5:$D$3000,MATCH(Q201&amp;"",'Chart of Accounts'!$A$5:$A$3000,0)),"")</f>
        <v/>
      </c>
      <c r="U201" s="23">
        <f>IFERROR(INDEX('Chart of Accounts'!$C$5:$C$3000,MATCH(R201&amp;"",'Chart of Accounts'!$A$5:$A$3000,0))&amp;"|"&amp;INDEX('Chart of Accounts'!$D$5:$D$3000,MATCH(R201&amp;"",'Chart of Accounts'!$A$5:$A$3000,0)),"")</f>
        <v/>
      </c>
      <c r="V201" s="23">
        <f>IFERROR(INDEX('Chart of Accounts'!$C$5:$C$3000,MATCH(S201&amp;"",'Chart of Accounts'!$A$5:$A$3000,0))&amp;"|"&amp;INDEX('Chart of Accounts'!$D$5:$D$3000,MATCH(S201&amp;"",'Chart of Accounts'!$A$5:$A$3000,0)),"")</f>
        <v/>
      </c>
      <c r="W201" s="23">
        <f>IF(LEFT(T201,8)="Revenue|",-N(O201),0)+IF(LEFT(U201,8)="Revenue|",N(K201),0)+IF(LEFT(V201,8)="Revenue|",N(P201),0)</f>
        <v/>
      </c>
      <c r="X201" s="23">
        <f>IF(LEFT(T201,5)="COGS|",N(O201),0)+IF(LEFT(U201,5)="COGS|",-N(K201),0)+IF(LEFT(V201,5)="COGS|",-N(P201),0)</f>
        <v/>
      </c>
      <c r="Y201" s="23">
        <f>IF(LEFT(T201,8)="Expense|",N(O201),0)+IF(LEFT(U201,8)="Expense|",-N(K201),0)+IF(LEFT(V201,8)="Expense|",-N(P201),0)</f>
        <v/>
      </c>
      <c r="Z201" s="23">
        <f>IF(ISNUMBER(MATCH(T201,{"Expense|employee","Expense|general_admin","Expense|marketing","Expense|utilities","Expense|other_operating"},0)),N(O201),0)+IF(ISNUMBER(MATCH(U201,{"Expense|employee","Expense|general_admin","Expense|marketing","Expense|utilities","Expense|other_operating"},0)),-N(K201),0)+IF(ISNUMBER(MATCH(V201,{"Expense|employee","Expense|general_admin","Expense|marketing","Expense|utilities","Expense|other_operating"},0)),-N(P201),0)</f>
        <v/>
      </c>
      <c r="AA201" s="23">
        <f>IF(T201="Liability|payable",-N(O201),0)+IF(U201="Liability|payable",N(K201),0)+IF(V201="Liability|payable",N(P201),0)</f>
        <v/>
      </c>
      <c r="AB201" s="23">
        <f>IF(T201="Liability|accrued",-N(O201),0)+IF(U201="Liability|accrued",N(K201),0)+IF(V201="Liability|accrued",N(P201),0)</f>
        <v/>
      </c>
      <c r="AC201" s="23">
        <f>IF(AND(N(O201)&lt;&gt;0,T201=""),1,0)+IF(AND(N(K201)&lt;&gt;0,U201=""),1,0)+IF(AND(N(P201)&lt;&gt;0,V201=""),1,0)</f>
        <v/>
      </c>
    </row>
    <row r="202">
      <c r="A202" s="19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20" t="n"/>
      <c r="K202" s="20" t="n"/>
      <c r="L202" s="14" t="n"/>
      <c r="M202" s="14" t="n"/>
      <c r="N202" s="14" t="n"/>
      <c r="O202" s="21">
        <f>ROUND(N(I202)*N(J202),2)</f>
        <v/>
      </c>
      <c r="P202" s="21">
        <f>O202-N(K202)</f>
        <v/>
      </c>
      <c r="Q202" s="16">
        <f>IF(F202&lt;&gt;"",F202&amp;"",IF(LEFT(E202,6)="Indire",INDEX('Chart of Accounts'!$A$5:$A$3000,MATCH("project_overhead",'Chart of Accounts'!$F$5:$F$3000,0)),IF(LEFT(E202,6)="Admini",INDEX('Chart of Accounts'!$A$5:$A$3000,MATCH("admin_salaries",'Chart of Accounts'!$F$5:$F$3000,0)),INDEX('Chart of Accounts'!$A$5:$A$3000,MATCH("direct_labour",'Chart of Accounts'!$F$5:$F$3000,0)))))</f>
        <v/>
      </c>
      <c r="R202" s="16">
        <f>IF(M202="",INDEX('Chart of Accounts'!$A$5:$A$3000,MATCH("bank",'Chart of Accounts'!$F$5:$F$3000,0)),M202&amp;"")</f>
        <v/>
      </c>
      <c r="S202" s="16">
        <f>IF(N202="",INDEX('Chart of Accounts'!$A$5:$A$3000,MATCH("accrued_payroll",'Chart of Accounts'!$F$5:$F$3000,0)),N202&amp;"")</f>
        <v/>
      </c>
      <c r="T202" s="23">
        <f>IFERROR(INDEX('Chart of Accounts'!$C$5:$C$3000,MATCH(Q202&amp;"",'Chart of Accounts'!$A$5:$A$3000,0))&amp;"|"&amp;INDEX('Chart of Accounts'!$D$5:$D$3000,MATCH(Q202&amp;"",'Chart of Accounts'!$A$5:$A$3000,0)),"")</f>
        <v/>
      </c>
      <c r="U202" s="23">
        <f>IFERROR(INDEX('Chart of Accounts'!$C$5:$C$3000,MATCH(R202&amp;"",'Chart of Accounts'!$A$5:$A$3000,0))&amp;"|"&amp;INDEX('Chart of Accounts'!$D$5:$D$3000,MATCH(R202&amp;"",'Chart of Accounts'!$A$5:$A$3000,0)),"")</f>
        <v/>
      </c>
      <c r="V202" s="23">
        <f>IFERROR(INDEX('Chart of Accounts'!$C$5:$C$3000,MATCH(S202&amp;"",'Chart of Accounts'!$A$5:$A$3000,0))&amp;"|"&amp;INDEX('Chart of Accounts'!$D$5:$D$3000,MATCH(S202&amp;"",'Chart of Accounts'!$A$5:$A$3000,0)),"")</f>
        <v/>
      </c>
      <c r="W202" s="23">
        <f>IF(LEFT(T202,8)="Revenue|",-N(O202),0)+IF(LEFT(U202,8)="Revenue|",N(K202),0)+IF(LEFT(V202,8)="Revenue|",N(P202),0)</f>
        <v/>
      </c>
      <c r="X202" s="23">
        <f>IF(LEFT(T202,5)="COGS|",N(O202),0)+IF(LEFT(U202,5)="COGS|",-N(K202),0)+IF(LEFT(V202,5)="COGS|",-N(P202),0)</f>
        <v/>
      </c>
      <c r="Y202" s="23">
        <f>IF(LEFT(T202,8)="Expense|",N(O202),0)+IF(LEFT(U202,8)="Expense|",-N(K202),0)+IF(LEFT(V202,8)="Expense|",-N(P202),0)</f>
        <v/>
      </c>
      <c r="Z202" s="23">
        <f>IF(ISNUMBER(MATCH(T202,{"Expense|employee","Expense|general_admin","Expense|marketing","Expense|utilities","Expense|other_operating"},0)),N(O202),0)+IF(ISNUMBER(MATCH(U202,{"Expense|employee","Expense|general_admin","Expense|marketing","Expense|utilities","Expense|other_operating"},0)),-N(K202),0)+IF(ISNUMBER(MATCH(V202,{"Expense|employee","Expense|general_admin","Expense|marketing","Expense|utilities","Expense|other_operating"},0)),-N(P202),0)</f>
        <v/>
      </c>
      <c r="AA202" s="23">
        <f>IF(T202="Liability|payable",-N(O202),0)+IF(U202="Liability|payable",N(K202),0)+IF(V202="Liability|payable",N(P202),0)</f>
        <v/>
      </c>
      <c r="AB202" s="23">
        <f>IF(T202="Liability|accrued",-N(O202),0)+IF(U202="Liability|accrued",N(K202),0)+IF(V202="Liability|accrued",N(P202),0)</f>
        <v/>
      </c>
      <c r="AC202" s="23">
        <f>IF(AND(N(O202)&lt;&gt;0,T202=""),1,0)+IF(AND(N(K202)&lt;&gt;0,U202=""),1,0)+IF(AND(N(P202)&lt;&gt;0,V202=""),1,0)</f>
        <v/>
      </c>
    </row>
    <row r="203">
      <c r="A203" s="19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20" t="n"/>
      <c r="K203" s="20" t="n"/>
      <c r="L203" s="14" t="n"/>
      <c r="M203" s="14" t="n"/>
      <c r="N203" s="14" t="n"/>
      <c r="O203" s="21">
        <f>ROUND(N(I203)*N(J203),2)</f>
        <v/>
      </c>
      <c r="P203" s="21">
        <f>O203-N(K203)</f>
        <v/>
      </c>
      <c r="Q203" s="16">
        <f>IF(F203&lt;&gt;"",F203&amp;"",IF(LEFT(E203,6)="Indire",INDEX('Chart of Accounts'!$A$5:$A$3000,MATCH("project_overhead",'Chart of Accounts'!$F$5:$F$3000,0)),IF(LEFT(E203,6)="Admini",INDEX('Chart of Accounts'!$A$5:$A$3000,MATCH("admin_salaries",'Chart of Accounts'!$F$5:$F$3000,0)),INDEX('Chart of Accounts'!$A$5:$A$3000,MATCH("direct_labour",'Chart of Accounts'!$F$5:$F$3000,0)))))</f>
        <v/>
      </c>
      <c r="R203" s="16">
        <f>IF(M203="",INDEX('Chart of Accounts'!$A$5:$A$3000,MATCH("bank",'Chart of Accounts'!$F$5:$F$3000,0)),M203&amp;"")</f>
        <v/>
      </c>
      <c r="S203" s="16">
        <f>IF(N203="",INDEX('Chart of Accounts'!$A$5:$A$3000,MATCH("accrued_payroll",'Chart of Accounts'!$F$5:$F$3000,0)),N203&amp;"")</f>
        <v/>
      </c>
      <c r="T203" s="23">
        <f>IFERROR(INDEX('Chart of Accounts'!$C$5:$C$3000,MATCH(Q203&amp;"",'Chart of Accounts'!$A$5:$A$3000,0))&amp;"|"&amp;INDEX('Chart of Accounts'!$D$5:$D$3000,MATCH(Q203&amp;"",'Chart of Accounts'!$A$5:$A$3000,0)),"")</f>
        <v/>
      </c>
      <c r="U203" s="23">
        <f>IFERROR(INDEX('Chart of Accounts'!$C$5:$C$3000,MATCH(R203&amp;"",'Chart of Accounts'!$A$5:$A$3000,0))&amp;"|"&amp;INDEX('Chart of Accounts'!$D$5:$D$3000,MATCH(R203&amp;"",'Chart of Accounts'!$A$5:$A$3000,0)),"")</f>
        <v/>
      </c>
      <c r="V203" s="23">
        <f>IFERROR(INDEX('Chart of Accounts'!$C$5:$C$3000,MATCH(S203&amp;"",'Chart of Accounts'!$A$5:$A$3000,0))&amp;"|"&amp;INDEX('Chart of Accounts'!$D$5:$D$3000,MATCH(S203&amp;"",'Chart of Accounts'!$A$5:$A$3000,0)),"")</f>
        <v/>
      </c>
      <c r="W203" s="23">
        <f>IF(LEFT(T203,8)="Revenue|",-N(O203),0)+IF(LEFT(U203,8)="Revenue|",N(K203),0)+IF(LEFT(V203,8)="Revenue|",N(P203),0)</f>
        <v/>
      </c>
      <c r="X203" s="23">
        <f>IF(LEFT(T203,5)="COGS|",N(O203),0)+IF(LEFT(U203,5)="COGS|",-N(K203),0)+IF(LEFT(V203,5)="COGS|",-N(P203),0)</f>
        <v/>
      </c>
      <c r="Y203" s="23">
        <f>IF(LEFT(T203,8)="Expense|",N(O203),0)+IF(LEFT(U203,8)="Expense|",-N(K203),0)+IF(LEFT(V203,8)="Expense|",-N(P203),0)</f>
        <v/>
      </c>
      <c r="Z203" s="23">
        <f>IF(ISNUMBER(MATCH(T203,{"Expense|employee","Expense|general_admin","Expense|marketing","Expense|utilities","Expense|other_operating"},0)),N(O203),0)+IF(ISNUMBER(MATCH(U203,{"Expense|employee","Expense|general_admin","Expense|marketing","Expense|utilities","Expense|other_operating"},0)),-N(K203),0)+IF(ISNUMBER(MATCH(V203,{"Expense|employee","Expense|general_admin","Expense|marketing","Expense|utilities","Expense|other_operating"},0)),-N(P203),0)</f>
        <v/>
      </c>
      <c r="AA203" s="23">
        <f>IF(T203="Liability|payable",-N(O203),0)+IF(U203="Liability|payable",N(K203),0)+IF(V203="Liability|payable",N(P203),0)</f>
        <v/>
      </c>
      <c r="AB203" s="23">
        <f>IF(T203="Liability|accrued",-N(O203),0)+IF(U203="Liability|accrued",N(K203),0)+IF(V203="Liability|accrued",N(P203),0)</f>
        <v/>
      </c>
      <c r="AC203" s="23">
        <f>IF(AND(N(O203)&lt;&gt;0,T203=""),1,0)+IF(AND(N(K203)&lt;&gt;0,U203=""),1,0)+IF(AND(N(P203)&lt;&gt;0,V203=""),1,0)</f>
        <v/>
      </c>
    </row>
    <row r="204">
      <c r="A204" s="19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20" t="n"/>
      <c r="K204" s="20" t="n"/>
      <c r="L204" s="14" t="n"/>
      <c r="M204" s="14" t="n"/>
      <c r="N204" s="14" t="n"/>
      <c r="O204" s="21">
        <f>ROUND(N(I204)*N(J204),2)</f>
        <v/>
      </c>
      <c r="P204" s="21">
        <f>O204-N(K204)</f>
        <v/>
      </c>
      <c r="Q204" s="16">
        <f>IF(F204&lt;&gt;"",F204&amp;"",IF(LEFT(E204,6)="Indire",INDEX('Chart of Accounts'!$A$5:$A$3000,MATCH("project_overhead",'Chart of Accounts'!$F$5:$F$3000,0)),IF(LEFT(E204,6)="Admini",INDEX('Chart of Accounts'!$A$5:$A$3000,MATCH("admin_salaries",'Chart of Accounts'!$F$5:$F$3000,0)),INDEX('Chart of Accounts'!$A$5:$A$3000,MATCH("direct_labour",'Chart of Accounts'!$F$5:$F$3000,0)))))</f>
        <v/>
      </c>
      <c r="R204" s="16">
        <f>IF(M204="",INDEX('Chart of Accounts'!$A$5:$A$3000,MATCH("bank",'Chart of Accounts'!$F$5:$F$3000,0)),M204&amp;"")</f>
        <v/>
      </c>
      <c r="S204" s="16">
        <f>IF(N204="",INDEX('Chart of Accounts'!$A$5:$A$3000,MATCH("accrued_payroll",'Chart of Accounts'!$F$5:$F$3000,0)),N204&amp;"")</f>
        <v/>
      </c>
      <c r="T204" s="23">
        <f>IFERROR(INDEX('Chart of Accounts'!$C$5:$C$3000,MATCH(Q204&amp;"",'Chart of Accounts'!$A$5:$A$3000,0))&amp;"|"&amp;INDEX('Chart of Accounts'!$D$5:$D$3000,MATCH(Q204&amp;"",'Chart of Accounts'!$A$5:$A$3000,0)),"")</f>
        <v/>
      </c>
      <c r="U204" s="23">
        <f>IFERROR(INDEX('Chart of Accounts'!$C$5:$C$3000,MATCH(R204&amp;"",'Chart of Accounts'!$A$5:$A$3000,0))&amp;"|"&amp;INDEX('Chart of Accounts'!$D$5:$D$3000,MATCH(R204&amp;"",'Chart of Accounts'!$A$5:$A$3000,0)),"")</f>
        <v/>
      </c>
      <c r="V204" s="23">
        <f>IFERROR(INDEX('Chart of Accounts'!$C$5:$C$3000,MATCH(S204&amp;"",'Chart of Accounts'!$A$5:$A$3000,0))&amp;"|"&amp;INDEX('Chart of Accounts'!$D$5:$D$3000,MATCH(S204&amp;"",'Chart of Accounts'!$A$5:$A$3000,0)),"")</f>
        <v/>
      </c>
      <c r="W204" s="23">
        <f>IF(LEFT(T204,8)="Revenue|",-N(O204),0)+IF(LEFT(U204,8)="Revenue|",N(K204),0)+IF(LEFT(V204,8)="Revenue|",N(P204),0)</f>
        <v/>
      </c>
      <c r="X204" s="23">
        <f>IF(LEFT(T204,5)="COGS|",N(O204),0)+IF(LEFT(U204,5)="COGS|",-N(K204),0)+IF(LEFT(V204,5)="COGS|",-N(P204),0)</f>
        <v/>
      </c>
      <c r="Y204" s="23">
        <f>IF(LEFT(T204,8)="Expense|",N(O204),0)+IF(LEFT(U204,8)="Expense|",-N(K204),0)+IF(LEFT(V204,8)="Expense|",-N(P204),0)</f>
        <v/>
      </c>
      <c r="Z204" s="23">
        <f>IF(ISNUMBER(MATCH(T204,{"Expense|employee","Expense|general_admin","Expense|marketing","Expense|utilities","Expense|other_operating"},0)),N(O204),0)+IF(ISNUMBER(MATCH(U204,{"Expense|employee","Expense|general_admin","Expense|marketing","Expense|utilities","Expense|other_operating"},0)),-N(K204),0)+IF(ISNUMBER(MATCH(V204,{"Expense|employee","Expense|general_admin","Expense|marketing","Expense|utilities","Expense|other_operating"},0)),-N(P204),0)</f>
        <v/>
      </c>
      <c r="AA204" s="23">
        <f>IF(T204="Liability|payable",-N(O204),0)+IF(U204="Liability|payable",N(K204),0)+IF(V204="Liability|payable",N(P204),0)</f>
        <v/>
      </c>
      <c r="AB204" s="23">
        <f>IF(T204="Liability|accrued",-N(O204),0)+IF(U204="Liability|accrued",N(K204),0)+IF(V204="Liability|accrued",N(P204),0)</f>
        <v/>
      </c>
      <c r="AC204" s="23">
        <f>IF(AND(N(O204)&lt;&gt;0,T204=""),1,0)+IF(AND(N(K204)&lt;&gt;0,U204=""),1,0)+IF(AND(N(P204)&lt;&gt;0,V204=""),1,0)</f>
        <v/>
      </c>
    </row>
  </sheetData>
  <autoFilter ref="A4:S204"/>
  <dataValidations count="8">
    <dataValidation sqref="A5:A205" showDropDown="0" showInputMessage="0" showErrorMessage="1" allowBlank="1" error="Enter a date (YYYY-MM-DD)" type="date" operator="greaterThan">
      <formula1>DATE(2000,1,1)</formula1>
    </dataValidation>
    <dataValidation sqref="B5:B205" showDropDown="0" showInputMessage="0" showErrorMessage="1" allowBlank="1" type="list">
      <formula1>'Business Units'!$A$5:$A$3000</formula1>
    </dataValidation>
    <dataValidation sqref="E5:E205" showDropDown="0" showInputMessage="0" showErrorMessage="1" allowBlank="1" type="list">
      <formula1>Lists!$O$1:$O$3</formula1>
    </dataValidation>
    <dataValidation sqref="F5:F205" showDropDown="0" showInputMessage="0" showErrorMessage="0" allowBlank="1" type="list">
      <formula1>'Chart of Accounts'!$A$5:$A$3000</formula1>
    </dataValidation>
    <dataValidation sqref="H5:H205" showDropDown="0" showInputMessage="0" showErrorMessage="1" allowBlank="1" type="list">
      <formula1>Lists!$P$1:$P$4</formula1>
    </dataValidation>
    <dataValidation sqref="L5:L205" showDropDown="0" showInputMessage="0" showErrorMessage="1" allowBlank="1" type="list">
      <formula1>Lists!$Q$1:$Q$5</formula1>
    </dataValidation>
    <dataValidation sqref="M5:M205" showDropDown="0" showInputMessage="0" showErrorMessage="0" allowBlank="1" type="list">
      <formula1>'Chart of Accounts'!$A$5:$A$3000</formula1>
    </dataValidation>
    <dataValidation sqref="N5:N205" showDropDown="0" showInputMessage="0" showErrorMessage="0" allowBlank="1" type="list">
      <formula1>'Chart of Accounts'!$A$5:$A$3000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0"/>
    <pageSetUpPr/>
  </sheetPr>
  <dimension ref="A1:AC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8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4" customWidth="1" min="14" max="14"/>
    <col hidden="1" outlineLevel="1" width="10" customWidth="1" min="15" max="15"/>
    <col hidden="1" outlineLevel="1" width="10" customWidth="1" min="16" max="16"/>
    <col hidden="1" outlineLevel="1" width="9" customWidth="1" min="17" max="17"/>
    <col hidden="1" outlineLevel="1" width="9" customWidth="1" min="18" max="18"/>
    <col hidden="1" outlineLevel="1" width="10" customWidth="1" min="19" max="19"/>
    <col hidden="1" outlineLevel="1" width="10" customWidth="1" min="20" max="20"/>
    <col hidden="1" outlineLevel="1" width="10" customWidth="1" min="21" max="21"/>
    <col hidden="1" outlineLevel="1" width="10" customWidth="1" min="22" max="22"/>
    <col hidden="1" outlineLevel="1" width="10" customWidth="1" min="23" max="23"/>
    <col hidden="1" outlineLevel="1" width="10" customWidth="1" min="24" max="24"/>
    <col hidden="1" outlineLevel="1" width="10" customWidth="1" min="25" max="25"/>
    <col hidden="1" outlineLevel="1" width="10" customWidth="1" min="26" max="26"/>
    <col hidden="1" outlineLevel="1" width="10" customWidth="1" min="27" max="27"/>
    <col hidden="1" outlineLevel="1" width="10" customWidth="1" min="28" max="28"/>
    <col hidden="1" outlineLevel="1" width="10" customWidth="1" min="29" max="29"/>
  </cols>
  <sheetData>
    <row r="1" ht="24" customHeight="1">
      <c r="A1" s="8" t="inlineStr">
        <is>
          <t>BEYOND DESIGN | RECEIPT VOUCHERS</t>
        </is>
      </c>
    </row>
    <row r="2">
      <c r="A2" s="9" t="inlineStr">
        <is>
          <t>Money received from clients. Credit Account: revenue (cash basis), receivables (against an invoice) or client advances</t>
        </is>
      </c>
    </row>
    <row r="3">
      <c r="A3" s="10" t="inlineStr">
        <is>
          <t>e.g. 2026-10-05</t>
        </is>
      </c>
      <c r="B3" s="10" t="inlineStr">
        <is>
          <t>PRJ-2026-004</t>
        </is>
      </c>
      <c r="C3" s="10" t="inlineStr">
        <is>
          <t>RV-001</t>
        </is>
      </c>
      <c r="D3" s="10" t="inlineStr">
        <is>
          <t>Advance payment</t>
        </is>
      </c>
      <c r="F3" s="10" t="n">
        <v>100000</v>
      </c>
      <c r="G3" s="10" t="inlineStr">
        <is>
          <t>Bank Transfer</t>
        </is>
      </c>
      <c r="I3" s="10" t="inlineStr">
        <is>
          <t>2100</t>
        </is>
      </c>
    </row>
    <row r="4" ht="30" customHeight="1">
      <c r="A4" s="11" t="inlineStr">
        <is>
          <t>Date</t>
        </is>
      </c>
      <c r="B4" s="11" t="inlineStr">
        <is>
          <t>Business Unit</t>
        </is>
      </c>
      <c r="C4" s="11" t="inlineStr">
        <is>
          <t>Receipt No.</t>
        </is>
      </c>
      <c r="D4" s="11" t="inlineStr">
        <is>
          <t>Description</t>
        </is>
      </c>
      <c r="E4" s="11" t="inlineStr">
        <is>
          <t>Received From</t>
        </is>
      </c>
      <c r="F4" s="11" t="inlineStr">
        <is>
          <t>Amount</t>
        </is>
      </c>
      <c r="G4" s="11" t="inlineStr">
        <is>
          <t>Payment Method</t>
        </is>
      </c>
      <c r="H4" s="11" t="inlineStr">
        <is>
          <t>Received Into</t>
        </is>
      </c>
      <c r="I4" s="11" t="inlineStr">
        <is>
          <t>Credit Account</t>
        </is>
      </c>
      <c r="J4" s="11" t="inlineStr">
        <is>
          <t>Tax Withheld by Client</t>
        </is>
      </c>
      <c r="K4" s="11" t="inlineStr">
        <is>
          <t>VAT Code (cash revenue)</t>
        </is>
      </c>
      <c r="L4" s="15" t="inlineStr">
        <is>
          <t>Gross</t>
        </is>
      </c>
      <c r="M4" s="15" t="inlineStr">
        <is>
          <t>Output VAT</t>
        </is>
      </c>
      <c r="N4" s="15" t="inlineStr">
        <is>
          <t>Net Credit</t>
        </is>
      </c>
      <c r="O4" s="15" t="inlineStr">
        <is>
          <t>received_into (effective)</t>
        </is>
      </c>
      <c r="P4" s="15" t="inlineStr">
        <is>
          <t>credit_account (effective)</t>
        </is>
      </c>
      <c r="Q4" s="15" t="inlineStr">
        <is>
          <t>wht_receivable account</t>
        </is>
      </c>
      <c r="R4" s="15" t="inlineStr">
        <is>
          <t>vat_output account</t>
        </is>
      </c>
      <c r="S4" s="22" t="inlineStr">
        <is>
          <t>leg 1 type</t>
        </is>
      </c>
      <c r="T4" s="22" t="inlineStr">
        <is>
          <t>leg 2 type</t>
        </is>
      </c>
      <c r="U4" s="22" t="inlineStr">
        <is>
          <t>leg 3 type</t>
        </is>
      </c>
      <c r="V4" s="22" t="inlineStr">
        <is>
          <t>leg 4 type</t>
        </is>
      </c>
      <c r="W4" s="22" t="inlineStr">
        <is>
          <t>revenue</t>
        </is>
      </c>
      <c r="X4" s="22" t="inlineStr">
        <is>
          <t>cost of sales</t>
        </is>
      </c>
      <c r="Y4" s="22" t="inlineStr">
        <is>
          <t>expenses</t>
        </is>
      </c>
      <c r="Z4" s="22" t="inlineStr">
        <is>
          <t>operating expenses</t>
        </is>
      </c>
      <c r="AA4" s="22" t="inlineStr">
        <is>
          <t>payables</t>
        </is>
      </c>
      <c r="AB4" s="22" t="inlineStr">
        <is>
          <t>accruals</t>
        </is>
      </c>
      <c r="AC4" s="22" t="inlineStr">
        <is>
          <t>unknown account</t>
        </is>
      </c>
    </row>
    <row r="5">
      <c r="A5" s="19" t="n"/>
      <c r="B5" s="14" t="n"/>
      <c r="C5" s="14" t="n"/>
      <c r="D5" s="14" t="n"/>
      <c r="E5" s="14" t="n"/>
      <c r="F5" s="20" t="n"/>
      <c r="G5" s="14" t="n"/>
      <c r="H5" s="14" t="n"/>
      <c r="I5" s="14" t="n"/>
      <c r="J5" s="20" t="n"/>
      <c r="K5" s="14" t="n"/>
      <c r="L5" s="21">
        <f>N(F5)+N(J5)</f>
        <v/>
      </c>
      <c r="M5" s="21">
        <f>IF(K5="",0,L5-ROUND(L5/(1+IFERROR(VLOOKUP(K5,'Tax Codes'!$A$5:$E$300,5,FALSE),0)),2))</f>
        <v/>
      </c>
      <c r="N5" s="21">
        <f>L5-M5</f>
        <v/>
      </c>
      <c r="O5" s="16">
        <f>IF(H5="",INDEX('Chart of Accounts'!$A$5:$A$3000,MATCH("bank",'Chart of Accounts'!$F$5:$F$3000,0)),H5&amp;"")</f>
        <v/>
      </c>
      <c r="P5" s="16">
        <f>IF(I5="",INDEX('Chart of Accounts'!$A$5:$A$3000,MATCH("revenue",'Chart of Accounts'!$F$5:$F$3000,0)),I5&amp;"")</f>
        <v/>
      </c>
      <c r="Q5" s="16">
        <f>INDEX('Chart of Accounts'!$A$5:$A$3000,MATCH("wht_receivable",'Chart of Accounts'!$F$5:$F$3000,0))</f>
        <v/>
      </c>
      <c r="R5" s="16">
        <f>INDEX('Chart of Accounts'!$A$5:$A$3000,MATCH("vat_output",'Chart of Accounts'!$F$5:$F$3000,0))</f>
        <v/>
      </c>
      <c r="S5" s="23">
        <f>IFERROR(INDEX('Chart of Accounts'!$C$5:$C$3000,MATCH(O5&amp;"",'Chart of Accounts'!$A$5:$A$3000,0))&amp;"|"&amp;INDEX('Chart of Accounts'!$D$5:$D$3000,MATCH(O5&amp;"",'Chart of Accounts'!$A$5:$A$3000,0)),"")</f>
        <v/>
      </c>
      <c r="T5" s="23">
        <f>IFERROR(INDEX('Chart of Accounts'!$C$5:$C$3000,MATCH(Q5&amp;"",'Chart of Accounts'!$A$5:$A$3000,0))&amp;"|"&amp;INDEX('Chart of Accounts'!$D$5:$D$3000,MATCH(Q5&amp;"",'Chart of Accounts'!$A$5:$A$3000,0)),"")</f>
        <v/>
      </c>
      <c r="U5" s="23">
        <f>IFERROR(INDEX('Chart of Accounts'!$C$5:$C$3000,MATCH(P5&amp;"",'Chart of Accounts'!$A$5:$A$3000,0))&amp;"|"&amp;INDEX('Chart of Accounts'!$D$5:$D$3000,MATCH(P5&amp;"",'Chart of Accounts'!$A$5:$A$3000,0)),"")</f>
        <v/>
      </c>
      <c r="V5" s="23">
        <f>IFERROR(INDEX('Chart of Accounts'!$C$5:$C$3000,MATCH(R5&amp;"",'Chart of Accounts'!$A$5:$A$3000,0))&amp;"|"&amp;INDEX('Chart of Accounts'!$D$5:$D$3000,MATCH(R5&amp;"",'Chart of Accounts'!$A$5:$A$3000,0)),"")</f>
        <v/>
      </c>
      <c r="W5" s="23">
        <f>IF(LEFT(S5,8)="Revenue|",-N(F5),0)+IF(LEFT(T5,8)="Revenue|",-N(J5),0)+IF(LEFT(U5,8)="Revenue|",N(N5),0)+IF(LEFT(V5,8)="Revenue|",N(M5),0)</f>
        <v/>
      </c>
      <c r="X5" s="23">
        <f>IF(LEFT(S5,5)="COGS|",N(F5),0)+IF(LEFT(T5,5)="COGS|",N(J5),0)+IF(LEFT(U5,5)="COGS|",-N(N5),0)+IF(LEFT(V5,5)="COGS|",-N(M5),0)</f>
        <v/>
      </c>
      <c r="Y5" s="23">
        <f>IF(LEFT(S5,8)="Expense|",N(F5),0)+IF(LEFT(T5,8)="Expense|",N(J5),0)+IF(LEFT(U5,8)="Expense|",-N(N5),0)+IF(LEFT(V5,8)="Expense|",-N(M5),0)</f>
        <v/>
      </c>
      <c r="Z5" s="23">
        <f>IF(ISNUMBER(MATCH(S5,{"Expense|employee","Expense|general_admin","Expense|marketing","Expense|utilities","Expense|other_operating"},0)),N(F5),0)+IF(ISNUMBER(MATCH(T5,{"Expense|employee","Expense|general_admin","Expense|marketing","Expense|utilities","Expense|other_operating"},0)),N(J5),0)+IF(ISNUMBER(MATCH(U5,{"Expense|employee","Expense|general_admin","Expense|marketing","Expense|utilities","Expense|other_operating"},0)),-N(N5),0)+IF(ISNUMBER(MATCH(V5,{"Expense|employee","Expense|general_admin","Expense|marketing","Expense|utilities","Expense|other_operating"},0)),-N(M5),0)</f>
        <v/>
      </c>
      <c r="AA5" s="23">
        <f>IF(S5="Liability|payable",-N(F5),0)+IF(T5="Liability|payable",-N(J5),0)+IF(U5="Liability|payable",N(N5),0)+IF(V5="Liability|payable",N(M5),0)</f>
        <v/>
      </c>
      <c r="AB5" s="23">
        <f>IF(S5="Liability|accrued",-N(F5),0)+IF(T5="Liability|accrued",-N(J5),0)+IF(U5="Liability|accrued",N(N5),0)+IF(V5="Liability|accrued",N(M5),0)</f>
        <v/>
      </c>
      <c r="AC5" s="23">
        <f>IF(AND(N(F5)&lt;&gt;0,S5=""),1,0)+IF(AND(N(J5)&lt;&gt;0,T5=""),1,0)+IF(AND(N(N5)&lt;&gt;0,U5=""),1,0)+IF(AND(N(M5)&lt;&gt;0,V5=""),1,0)</f>
        <v/>
      </c>
    </row>
    <row r="6">
      <c r="A6" s="19" t="n"/>
      <c r="B6" s="14" t="n"/>
      <c r="C6" s="14" t="n"/>
      <c r="D6" s="14" t="n"/>
      <c r="E6" s="14" t="n"/>
      <c r="F6" s="20" t="n"/>
      <c r="G6" s="14" t="n"/>
      <c r="H6" s="14" t="n"/>
      <c r="I6" s="14" t="n"/>
      <c r="J6" s="20" t="n"/>
      <c r="K6" s="14" t="n"/>
      <c r="L6" s="21">
        <f>N(F6)+N(J6)</f>
        <v/>
      </c>
      <c r="M6" s="21">
        <f>IF(K6="",0,L6-ROUND(L6/(1+IFERROR(VLOOKUP(K6,'Tax Codes'!$A$5:$E$300,5,FALSE),0)),2))</f>
        <v/>
      </c>
      <c r="N6" s="21">
        <f>L6-M6</f>
        <v/>
      </c>
      <c r="O6" s="16">
        <f>IF(H6="",INDEX('Chart of Accounts'!$A$5:$A$3000,MATCH("bank",'Chart of Accounts'!$F$5:$F$3000,0)),H6&amp;"")</f>
        <v/>
      </c>
      <c r="P6" s="16">
        <f>IF(I6="",INDEX('Chart of Accounts'!$A$5:$A$3000,MATCH("revenue",'Chart of Accounts'!$F$5:$F$3000,0)),I6&amp;"")</f>
        <v/>
      </c>
      <c r="Q6" s="16">
        <f>INDEX('Chart of Accounts'!$A$5:$A$3000,MATCH("wht_receivable",'Chart of Accounts'!$F$5:$F$3000,0))</f>
        <v/>
      </c>
      <c r="R6" s="16">
        <f>INDEX('Chart of Accounts'!$A$5:$A$3000,MATCH("vat_output",'Chart of Accounts'!$F$5:$F$3000,0))</f>
        <v/>
      </c>
      <c r="S6" s="23">
        <f>IFERROR(INDEX('Chart of Accounts'!$C$5:$C$3000,MATCH(O6&amp;"",'Chart of Accounts'!$A$5:$A$3000,0))&amp;"|"&amp;INDEX('Chart of Accounts'!$D$5:$D$3000,MATCH(O6&amp;"",'Chart of Accounts'!$A$5:$A$3000,0)),"")</f>
        <v/>
      </c>
      <c r="T6" s="23">
        <f>IFERROR(INDEX('Chart of Accounts'!$C$5:$C$3000,MATCH(Q6&amp;"",'Chart of Accounts'!$A$5:$A$3000,0))&amp;"|"&amp;INDEX('Chart of Accounts'!$D$5:$D$3000,MATCH(Q6&amp;"",'Chart of Accounts'!$A$5:$A$3000,0)),"")</f>
        <v/>
      </c>
      <c r="U6" s="23">
        <f>IFERROR(INDEX('Chart of Accounts'!$C$5:$C$3000,MATCH(P6&amp;"",'Chart of Accounts'!$A$5:$A$3000,0))&amp;"|"&amp;INDEX('Chart of Accounts'!$D$5:$D$3000,MATCH(P6&amp;"",'Chart of Accounts'!$A$5:$A$3000,0)),"")</f>
        <v/>
      </c>
      <c r="V6" s="23">
        <f>IFERROR(INDEX('Chart of Accounts'!$C$5:$C$3000,MATCH(R6&amp;"",'Chart of Accounts'!$A$5:$A$3000,0))&amp;"|"&amp;INDEX('Chart of Accounts'!$D$5:$D$3000,MATCH(R6&amp;"",'Chart of Accounts'!$A$5:$A$3000,0)),"")</f>
        <v/>
      </c>
      <c r="W6" s="23">
        <f>IF(LEFT(S6,8)="Revenue|",-N(F6),0)+IF(LEFT(T6,8)="Revenue|",-N(J6),0)+IF(LEFT(U6,8)="Revenue|",N(N6),0)+IF(LEFT(V6,8)="Revenue|",N(M6),0)</f>
        <v/>
      </c>
      <c r="X6" s="23">
        <f>IF(LEFT(S6,5)="COGS|",N(F6),0)+IF(LEFT(T6,5)="COGS|",N(J6),0)+IF(LEFT(U6,5)="COGS|",-N(N6),0)+IF(LEFT(V6,5)="COGS|",-N(M6),0)</f>
        <v/>
      </c>
      <c r="Y6" s="23">
        <f>IF(LEFT(S6,8)="Expense|",N(F6),0)+IF(LEFT(T6,8)="Expense|",N(J6),0)+IF(LEFT(U6,8)="Expense|",-N(N6),0)+IF(LEFT(V6,8)="Expense|",-N(M6),0)</f>
        <v/>
      </c>
      <c r="Z6" s="23">
        <f>IF(ISNUMBER(MATCH(S6,{"Expense|employee","Expense|general_admin","Expense|marketing","Expense|utilities","Expense|other_operating"},0)),N(F6),0)+IF(ISNUMBER(MATCH(T6,{"Expense|employee","Expense|general_admin","Expense|marketing","Expense|utilities","Expense|other_operating"},0)),N(J6),0)+IF(ISNUMBER(MATCH(U6,{"Expense|employee","Expense|general_admin","Expense|marketing","Expense|utilities","Expense|other_operating"},0)),-N(N6),0)+IF(ISNUMBER(MATCH(V6,{"Expense|employee","Expense|general_admin","Expense|marketing","Expense|utilities","Expense|other_operating"},0)),-N(M6),0)</f>
        <v/>
      </c>
      <c r="AA6" s="23">
        <f>IF(S6="Liability|payable",-N(F6),0)+IF(T6="Liability|payable",-N(J6),0)+IF(U6="Liability|payable",N(N6),0)+IF(V6="Liability|payable",N(M6),0)</f>
        <v/>
      </c>
      <c r="AB6" s="23">
        <f>IF(S6="Liability|accrued",-N(F6),0)+IF(T6="Liability|accrued",-N(J6),0)+IF(U6="Liability|accrued",N(N6),0)+IF(V6="Liability|accrued",N(M6),0)</f>
        <v/>
      </c>
      <c r="AC6" s="23">
        <f>IF(AND(N(F6)&lt;&gt;0,S6=""),1,0)+IF(AND(N(J6)&lt;&gt;0,T6=""),1,0)+IF(AND(N(N6)&lt;&gt;0,U6=""),1,0)+IF(AND(N(M6)&lt;&gt;0,V6=""),1,0)</f>
        <v/>
      </c>
    </row>
    <row r="7">
      <c r="A7" s="19" t="n"/>
      <c r="B7" s="14" t="n"/>
      <c r="C7" s="14" t="n"/>
      <c r="D7" s="14" t="n"/>
      <c r="E7" s="14" t="n"/>
      <c r="F7" s="20" t="n"/>
      <c r="G7" s="14" t="n"/>
      <c r="H7" s="14" t="n"/>
      <c r="I7" s="14" t="n"/>
      <c r="J7" s="20" t="n"/>
      <c r="K7" s="14" t="n"/>
      <c r="L7" s="21">
        <f>N(F7)+N(J7)</f>
        <v/>
      </c>
      <c r="M7" s="21">
        <f>IF(K7="",0,L7-ROUND(L7/(1+IFERROR(VLOOKUP(K7,'Tax Codes'!$A$5:$E$300,5,FALSE),0)),2))</f>
        <v/>
      </c>
      <c r="N7" s="21">
        <f>L7-M7</f>
        <v/>
      </c>
      <c r="O7" s="16">
        <f>IF(H7="",INDEX('Chart of Accounts'!$A$5:$A$3000,MATCH("bank",'Chart of Accounts'!$F$5:$F$3000,0)),H7&amp;"")</f>
        <v/>
      </c>
      <c r="P7" s="16">
        <f>IF(I7="",INDEX('Chart of Accounts'!$A$5:$A$3000,MATCH("revenue",'Chart of Accounts'!$F$5:$F$3000,0)),I7&amp;"")</f>
        <v/>
      </c>
      <c r="Q7" s="16">
        <f>INDEX('Chart of Accounts'!$A$5:$A$3000,MATCH("wht_receivable",'Chart of Accounts'!$F$5:$F$3000,0))</f>
        <v/>
      </c>
      <c r="R7" s="16">
        <f>INDEX('Chart of Accounts'!$A$5:$A$3000,MATCH("vat_output",'Chart of Accounts'!$F$5:$F$3000,0))</f>
        <v/>
      </c>
      <c r="S7" s="23">
        <f>IFERROR(INDEX('Chart of Accounts'!$C$5:$C$3000,MATCH(O7&amp;"",'Chart of Accounts'!$A$5:$A$3000,0))&amp;"|"&amp;INDEX('Chart of Accounts'!$D$5:$D$3000,MATCH(O7&amp;"",'Chart of Accounts'!$A$5:$A$3000,0)),"")</f>
        <v/>
      </c>
      <c r="T7" s="23">
        <f>IFERROR(INDEX('Chart of Accounts'!$C$5:$C$3000,MATCH(Q7&amp;"",'Chart of Accounts'!$A$5:$A$3000,0))&amp;"|"&amp;INDEX('Chart of Accounts'!$D$5:$D$3000,MATCH(Q7&amp;"",'Chart of Accounts'!$A$5:$A$3000,0)),"")</f>
        <v/>
      </c>
      <c r="U7" s="23">
        <f>IFERROR(INDEX('Chart of Accounts'!$C$5:$C$3000,MATCH(P7&amp;"",'Chart of Accounts'!$A$5:$A$3000,0))&amp;"|"&amp;INDEX('Chart of Accounts'!$D$5:$D$3000,MATCH(P7&amp;"",'Chart of Accounts'!$A$5:$A$3000,0)),"")</f>
        <v/>
      </c>
      <c r="V7" s="23">
        <f>IFERROR(INDEX('Chart of Accounts'!$C$5:$C$3000,MATCH(R7&amp;"",'Chart of Accounts'!$A$5:$A$3000,0))&amp;"|"&amp;INDEX('Chart of Accounts'!$D$5:$D$3000,MATCH(R7&amp;"",'Chart of Accounts'!$A$5:$A$3000,0)),"")</f>
        <v/>
      </c>
      <c r="W7" s="23">
        <f>IF(LEFT(S7,8)="Revenue|",-N(F7),0)+IF(LEFT(T7,8)="Revenue|",-N(J7),0)+IF(LEFT(U7,8)="Revenue|",N(N7),0)+IF(LEFT(V7,8)="Revenue|",N(M7),0)</f>
        <v/>
      </c>
      <c r="X7" s="23">
        <f>IF(LEFT(S7,5)="COGS|",N(F7),0)+IF(LEFT(T7,5)="COGS|",N(J7),0)+IF(LEFT(U7,5)="COGS|",-N(N7),0)+IF(LEFT(V7,5)="COGS|",-N(M7),0)</f>
        <v/>
      </c>
      <c r="Y7" s="23">
        <f>IF(LEFT(S7,8)="Expense|",N(F7),0)+IF(LEFT(T7,8)="Expense|",N(J7),0)+IF(LEFT(U7,8)="Expense|",-N(N7),0)+IF(LEFT(V7,8)="Expense|",-N(M7),0)</f>
        <v/>
      </c>
      <c r="Z7" s="23">
        <f>IF(ISNUMBER(MATCH(S7,{"Expense|employee","Expense|general_admin","Expense|marketing","Expense|utilities","Expense|other_operating"},0)),N(F7),0)+IF(ISNUMBER(MATCH(T7,{"Expense|employee","Expense|general_admin","Expense|marketing","Expense|utilities","Expense|other_operating"},0)),N(J7),0)+IF(ISNUMBER(MATCH(U7,{"Expense|employee","Expense|general_admin","Expense|marketing","Expense|utilities","Expense|other_operating"},0)),-N(N7),0)+IF(ISNUMBER(MATCH(V7,{"Expense|employee","Expense|general_admin","Expense|marketing","Expense|utilities","Expense|other_operating"},0)),-N(M7),0)</f>
        <v/>
      </c>
      <c r="AA7" s="23">
        <f>IF(S7="Liability|payable",-N(F7),0)+IF(T7="Liability|payable",-N(J7),0)+IF(U7="Liability|payable",N(N7),0)+IF(V7="Liability|payable",N(M7),0)</f>
        <v/>
      </c>
      <c r="AB7" s="23">
        <f>IF(S7="Liability|accrued",-N(F7),0)+IF(T7="Liability|accrued",-N(J7),0)+IF(U7="Liability|accrued",N(N7),0)+IF(V7="Liability|accrued",N(M7),0)</f>
        <v/>
      </c>
      <c r="AC7" s="23">
        <f>IF(AND(N(F7)&lt;&gt;0,S7=""),1,0)+IF(AND(N(J7)&lt;&gt;0,T7=""),1,0)+IF(AND(N(N7)&lt;&gt;0,U7=""),1,0)+IF(AND(N(M7)&lt;&gt;0,V7=""),1,0)</f>
        <v/>
      </c>
    </row>
    <row r="8">
      <c r="A8" s="19" t="n"/>
      <c r="B8" s="14" t="n"/>
      <c r="C8" s="14" t="n"/>
      <c r="D8" s="14" t="n"/>
      <c r="E8" s="14" t="n"/>
      <c r="F8" s="20" t="n"/>
      <c r="G8" s="14" t="n"/>
      <c r="H8" s="14" t="n"/>
      <c r="I8" s="14" t="n"/>
      <c r="J8" s="20" t="n"/>
      <c r="K8" s="14" t="n"/>
      <c r="L8" s="21">
        <f>N(F8)+N(J8)</f>
        <v/>
      </c>
      <c r="M8" s="21">
        <f>IF(K8="",0,L8-ROUND(L8/(1+IFERROR(VLOOKUP(K8,'Tax Codes'!$A$5:$E$300,5,FALSE),0)),2))</f>
        <v/>
      </c>
      <c r="N8" s="21">
        <f>L8-M8</f>
        <v/>
      </c>
      <c r="O8" s="16">
        <f>IF(H8="",INDEX('Chart of Accounts'!$A$5:$A$3000,MATCH("bank",'Chart of Accounts'!$F$5:$F$3000,0)),H8&amp;"")</f>
        <v/>
      </c>
      <c r="P8" s="16">
        <f>IF(I8="",INDEX('Chart of Accounts'!$A$5:$A$3000,MATCH("revenue",'Chart of Accounts'!$F$5:$F$3000,0)),I8&amp;"")</f>
        <v/>
      </c>
      <c r="Q8" s="16">
        <f>INDEX('Chart of Accounts'!$A$5:$A$3000,MATCH("wht_receivable",'Chart of Accounts'!$F$5:$F$3000,0))</f>
        <v/>
      </c>
      <c r="R8" s="16">
        <f>INDEX('Chart of Accounts'!$A$5:$A$3000,MATCH("vat_output",'Chart of Accounts'!$F$5:$F$3000,0))</f>
        <v/>
      </c>
      <c r="S8" s="23">
        <f>IFERROR(INDEX('Chart of Accounts'!$C$5:$C$3000,MATCH(O8&amp;"",'Chart of Accounts'!$A$5:$A$3000,0))&amp;"|"&amp;INDEX('Chart of Accounts'!$D$5:$D$3000,MATCH(O8&amp;"",'Chart of Accounts'!$A$5:$A$3000,0)),"")</f>
        <v/>
      </c>
      <c r="T8" s="23">
        <f>IFERROR(INDEX('Chart of Accounts'!$C$5:$C$3000,MATCH(Q8&amp;"",'Chart of Accounts'!$A$5:$A$3000,0))&amp;"|"&amp;INDEX('Chart of Accounts'!$D$5:$D$3000,MATCH(Q8&amp;"",'Chart of Accounts'!$A$5:$A$3000,0)),"")</f>
        <v/>
      </c>
      <c r="U8" s="23">
        <f>IFERROR(INDEX('Chart of Accounts'!$C$5:$C$3000,MATCH(P8&amp;"",'Chart of Accounts'!$A$5:$A$3000,0))&amp;"|"&amp;INDEX('Chart of Accounts'!$D$5:$D$3000,MATCH(P8&amp;"",'Chart of Accounts'!$A$5:$A$3000,0)),"")</f>
        <v/>
      </c>
      <c r="V8" s="23">
        <f>IFERROR(INDEX('Chart of Accounts'!$C$5:$C$3000,MATCH(R8&amp;"",'Chart of Accounts'!$A$5:$A$3000,0))&amp;"|"&amp;INDEX('Chart of Accounts'!$D$5:$D$3000,MATCH(R8&amp;"",'Chart of Accounts'!$A$5:$A$3000,0)),"")</f>
        <v/>
      </c>
      <c r="W8" s="23">
        <f>IF(LEFT(S8,8)="Revenue|",-N(F8),0)+IF(LEFT(T8,8)="Revenue|",-N(J8),0)+IF(LEFT(U8,8)="Revenue|",N(N8),0)+IF(LEFT(V8,8)="Revenue|",N(M8),0)</f>
        <v/>
      </c>
      <c r="X8" s="23">
        <f>IF(LEFT(S8,5)="COGS|",N(F8),0)+IF(LEFT(T8,5)="COGS|",N(J8),0)+IF(LEFT(U8,5)="COGS|",-N(N8),0)+IF(LEFT(V8,5)="COGS|",-N(M8),0)</f>
        <v/>
      </c>
      <c r="Y8" s="23">
        <f>IF(LEFT(S8,8)="Expense|",N(F8),0)+IF(LEFT(T8,8)="Expense|",N(J8),0)+IF(LEFT(U8,8)="Expense|",-N(N8),0)+IF(LEFT(V8,8)="Expense|",-N(M8),0)</f>
        <v/>
      </c>
      <c r="Z8" s="23">
        <f>IF(ISNUMBER(MATCH(S8,{"Expense|employee","Expense|general_admin","Expense|marketing","Expense|utilities","Expense|other_operating"},0)),N(F8),0)+IF(ISNUMBER(MATCH(T8,{"Expense|employee","Expense|general_admin","Expense|marketing","Expense|utilities","Expense|other_operating"},0)),N(J8),0)+IF(ISNUMBER(MATCH(U8,{"Expense|employee","Expense|general_admin","Expense|marketing","Expense|utilities","Expense|other_operating"},0)),-N(N8),0)+IF(ISNUMBER(MATCH(V8,{"Expense|employee","Expense|general_admin","Expense|marketing","Expense|utilities","Expense|other_operating"},0)),-N(M8),0)</f>
        <v/>
      </c>
      <c r="AA8" s="23">
        <f>IF(S8="Liability|payable",-N(F8),0)+IF(T8="Liability|payable",-N(J8),0)+IF(U8="Liability|payable",N(N8),0)+IF(V8="Liability|payable",N(M8),0)</f>
        <v/>
      </c>
      <c r="AB8" s="23">
        <f>IF(S8="Liability|accrued",-N(F8),0)+IF(T8="Liability|accrued",-N(J8),0)+IF(U8="Liability|accrued",N(N8),0)+IF(V8="Liability|accrued",N(M8),0)</f>
        <v/>
      </c>
      <c r="AC8" s="23">
        <f>IF(AND(N(F8)&lt;&gt;0,S8=""),1,0)+IF(AND(N(J8)&lt;&gt;0,T8=""),1,0)+IF(AND(N(N8)&lt;&gt;0,U8=""),1,0)+IF(AND(N(M8)&lt;&gt;0,V8=""),1,0)</f>
        <v/>
      </c>
    </row>
    <row r="9">
      <c r="A9" s="19" t="n"/>
      <c r="B9" s="14" t="n"/>
      <c r="C9" s="14" t="n"/>
      <c r="D9" s="14" t="n"/>
      <c r="E9" s="14" t="n"/>
      <c r="F9" s="20" t="n"/>
      <c r="G9" s="14" t="n"/>
      <c r="H9" s="14" t="n"/>
      <c r="I9" s="14" t="n"/>
      <c r="J9" s="20" t="n"/>
      <c r="K9" s="14" t="n"/>
      <c r="L9" s="21">
        <f>N(F9)+N(J9)</f>
        <v/>
      </c>
      <c r="M9" s="21">
        <f>IF(K9="",0,L9-ROUND(L9/(1+IFERROR(VLOOKUP(K9,'Tax Codes'!$A$5:$E$300,5,FALSE),0)),2))</f>
        <v/>
      </c>
      <c r="N9" s="21">
        <f>L9-M9</f>
        <v/>
      </c>
      <c r="O9" s="16">
        <f>IF(H9="",INDEX('Chart of Accounts'!$A$5:$A$3000,MATCH("bank",'Chart of Accounts'!$F$5:$F$3000,0)),H9&amp;"")</f>
        <v/>
      </c>
      <c r="P9" s="16">
        <f>IF(I9="",INDEX('Chart of Accounts'!$A$5:$A$3000,MATCH("revenue",'Chart of Accounts'!$F$5:$F$3000,0)),I9&amp;"")</f>
        <v/>
      </c>
      <c r="Q9" s="16">
        <f>INDEX('Chart of Accounts'!$A$5:$A$3000,MATCH("wht_receivable",'Chart of Accounts'!$F$5:$F$3000,0))</f>
        <v/>
      </c>
      <c r="R9" s="16">
        <f>INDEX('Chart of Accounts'!$A$5:$A$3000,MATCH("vat_output",'Chart of Accounts'!$F$5:$F$3000,0))</f>
        <v/>
      </c>
      <c r="S9" s="23">
        <f>IFERROR(INDEX('Chart of Accounts'!$C$5:$C$3000,MATCH(O9&amp;"",'Chart of Accounts'!$A$5:$A$3000,0))&amp;"|"&amp;INDEX('Chart of Accounts'!$D$5:$D$3000,MATCH(O9&amp;"",'Chart of Accounts'!$A$5:$A$3000,0)),"")</f>
        <v/>
      </c>
      <c r="T9" s="23">
        <f>IFERROR(INDEX('Chart of Accounts'!$C$5:$C$3000,MATCH(Q9&amp;"",'Chart of Accounts'!$A$5:$A$3000,0))&amp;"|"&amp;INDEX('Chart of Accounts'!$D$5:$D$3000,MATCH(Q9&amp;"",'Chart of Accounts'!$A$5:$A$3000,0)),"")</f>
        <v/>
      </c>
      <c r="U9" s="23">
        <f>IFERROR(INDEX('Chart of Accounts'!$C$5:$C$3000,MATCH(P9&amp;"",'Chart of Accounts'!$A$5:$A$3000,0))&amp;"|"&amp;INDEX('Chart of Accounts'!$D$5:$D$3000,MATCH(P9&amp;"",'Chart of Accounts'!$A$5:$A$3000,0)),"")</f>
        <v/>
      </c>
      <c r="V9" s="23">
        <f>IFERROR(INDEX('Chart of Accounts'!$C$5:$C$3000,MATCH(R9&amp;"",'Chart of Accounts'!$A$5:$A$3000,0))&amp;"|"&amp;INDEX('Chart of Accounts'!$D$5:$D$3000,MATCH(R9&amp;"",'Chart of Accounts'!$A$5:$A$3000,0)),"")</f>
        <v/>
      </c>
      <c r="W9" s="23">
        <f>IF(LEFT(S9,8)="Revenue|",-N(F9),0)+IF(LEFT(T9,8)="Revenue|",-N(J9),0)+IF(LEFT(U9,8)="Revenue|",N(N9),0)+IF(LEFT(V9,8)="Revenue|",N(M9),0)</f>
        <v/>
      </c>
      <c r="X9" s="23">
        <f>IF(LEFT(S9,5)="COGS|",N(F9),0)+IF(LEFT(T9,5)="COGS|",N(J9),0)+IF(LEFT(U9,5)="COGS|",-N(N9),0)+IF(LEFT(V9,5)="COGS|",-N(M9),0)</f>
        <v/>
      </c>
      <c r="Y9" s="23">
        <f>IF(LEFT(S9,8)="Expense|",N(F9),0)+IF(LEFT(T9,8)="Expense|",N(J9),0)+IF(LEFT(U9,8)="Expense|",-N(N9),0)+IF(LEFT(V9,8)="Expense|",-N(M9),0)</f>
        <v/>
      </c>
      <c r="Z9" s="23">
        <f>IF(ISNUMBER(MATCH(S9,{"Expense|employee","Expense|general_admin","Expense|marketing","Expense|utilities","Expense|other_operating"},0)),N(F9),0)+IF(ISNUMBER(MATCH(T9,{"Expense|employee","Expense|general_admin","Expense|marketing","Expense|utilities","Expense|other_operating"},0)),N(J9),0)+IF(ISNUMBER(MATCH(U9,{"Expense|employee","Expense|general_admin","Expense|marketing","Expense|utilities","Expense|other_operating"},0)),-N(N9),0)+IF(ISNUMBER(MATCH(V9,{"Expense|employee","Expense|general_admin","Expense|marketing","Expense|utilities","Expense|other_operating"},0)),-N(M9),0)</f>
        <v/>
      </c>
      <c r="AA9" s="23">
        <f>IF(S9="Liability|payable",-N(F9),0)+IF(T9="Liability|payable",-N(J9),0)+IF(U9="Liability|payable",N(N9),0)+IF(V9="Liability|payable",N(M9),0)</f>
        <v/>
      </c>
      <c r="AB9" s="23">
        <f>IF(S9="Liability|accrued",-N(F9),0)+IF(T9="Liability|accrued",-N(J9),0)+IF(U9="Liability|accrued",N(N9),0)+IF(V9="Liability|accrued",N(M9),0)</f>
        <v/>
      </c>
      <c r="AC9" s="23">
        <f>IF(AND(N(F9)&lt;&gt;0,S9=""),1,0)+IF(AND(N(J9)&lt;&gt;0,T9=""),1,0)+IF(AND(N(N9)&lt;&gt;0,U9=""),1,0)+IF(AND(N(M9)&lt;&gt;0,V9=""),1,0)</f>
        <v/>
      </c>
    </row>
    <row r="10">
      <c r="A10" s="19" t="n"/>
      <c r="B10" s="14" t="n"/>
      <c r="C10" s="14" t="n"/>
      <c r="D10" s="14" t="n"/>
      <c r="E10" s="14" t="n"/>
      <c r="F10" s="20" t="n"/>
      <c r="G10" s="14" t="n"/>
      <c r="H10" s="14" t="n"/>
      <c r="I10" s="14" t="n"/>
      <c r="J10" s="20" t="n"/>
      <c r="K10" s="14" t="n"/>
      <c r="L10" s="21">
        <f>N(F10)+N(J10)</f>
        <v/>
      </c>
      <c r="M10" s="21">
        <f>IF(K10="",0,L10-ROUND(L10/(1+IFERROR(VLOOKUP(K10,'Tax Codes'!$A$5:$E$300,5,FALSE),0)),2))</f>
        <v/>
      </c>
      <c r="N10" s="21">
        <f>L10-M10</f>
        <v/>
      </c>
      <c r="O10" s="16">
        <f>IF(H10="",INDEX('Chart of Accounts'!$A$5:$A$3000,MATCH("bank",'Chart of Accounts'!$F$5:$F$3000,0)),H10&amp;"")</f>
        <v/>
      </c>
      <c r="P10" s="16">
        <f>IF(I10="",INDEX('Chart of Accounts'!$A$5:$A$3000,MATCH("revenue",'Chart of Accounts'!$F$5:$F$3000,0)),I10&amp;"")</f>
        <v/>
      </c>
      <c r="Q10" s="16">
        <f>INDEX('Chart of Accounts'!$A$5:$A$3000,MATCH("wht_receivable",'Chart of Accounts'!$F$5:$F$3000,0))</f>
        <v/>
      </c>
      <c r="R10" s="16">
        <f>INDEX('Chart of Accounts'!$A$5:$A$3000,MATCH("vat_output",'Chart of Accounts'!$F$5:$F$3000,0))</f>
        <v/>
      </c>
      <c r="S10" s="23">
        <f>IFERROR(INDEX('Chart of Accounts'!$C$5:$C$3000,MATCH(O10&amp;"",'Chart of Accounts'!$A$5:$A$3000,0))&amp;"|"&amp;INDEX('Chart of Accounts'!$D$5:$D$3000,MATCH(O10&amp;"",'Chart of Accounts'!$A$5:$A$3000,0)),"")</f>
        <v/>
      </c>
      <c r="T10" s="23">
        <f>IFERROR(INDEX('Chart of Accounts'!$C$5:$C$3000,MATCH(Q10&amp;"",'Chart of Accounts'!$A$5:$A$3000,0))&amp;"|"&amp;INDEX('Chart of Accounts'!$D$5:$D$3000,MATCH(Q10&amp;"",'Chart of Accounts'!$A$5:$A$3000,0)),"")</f>
        <v/>
      </c>
      <c r="U10" s="23">
        <f>IFERROR(INDEX('Chart of Accounts'!$C$5:$C$3000,MATCH(P10&amp;"",'Chart of Accounts'!$A$5:$A$3000,0))&amp;"|"&amp;INDEX('Chart of Accounts'!$D$5:$D$3000,MATCH(P10&amp;"",'Chart of Accounts'!$A$5:$A$3000,0)),"")</f>
        <v/>
      </c>
      <c r="V10" s="23">
        <f>IFERROR(INDEX('Chart of Accounts'!$C$5:$C$3000,MATCH(R10&amp;"",'Chart of Accounts'!$A$5:$A$3000,0))&amp;"|"&amp;INDEX('Chart of Accounts'!$D$5:$D$3000,MATCH(R10&amp;"",'Chart of Accounts'!$A$5:$A$3000,0)),"")</f>
        <v/>
      </c>
      <c r="W10" s="23">
        <f>IF(LEFT(S10,8)="Revenue|",-N(F10),0)+IF(LEFT(T10,8)="Revenue|",-N(J10),0)+IF(LEFT(U10,8)="Revenue|",N(N10),0)+IF(LEFT(V10,8)="Revenue|",N(M10),0)</f>
        <v/>
      </c>
      <c r="X10" s="23">
        <f>IF(LEFT(S10,5)="COGS|",N(F10),0)+IF(LEFT(T10,5)="COGS|",N(J10),0)+IF(LEFT(U10,5)="COGS|",-N(N10),0)+IF(LEFT(V10,5)="COGS|",-N(M10),0)</f>
        <v/>
      </c>
      <c r="Y10" s="23">
        <f>IF(LEFT(S10,8)="Expense|",N(F10),0)+IF(LEFT(T10,8)="Expense|",N(J10),0)+IF(LEFT(U10,8)="Expense|",-N(N10),0)+IF(LEFT(V10,8)="Expense|",-N(M10),0)</f>
        <v/>
      </c>
      <c r="Z10" s="23">
        <f>IF(ISNUMBER(MATCH(S10,{"Expense|employee","Expense|general_admin","Expense|marketing","Expense|utilities","Expense|other_operating"},0)),N(F10),0)+IF(ISNUMBER(MATCH(T10,{"Expense|employee","Expense|general_admin","Expense|marketing","Expense|utilities","Expense|other_operating"},0)),N(J10),0)+IF(ISNUMBER(MATCH(U10,{"Expense|employee","Expense|general_admin","Expense|marketing","Expense|utilities","Expense|other_operating"},0)),-N(N10),0)+IF(ISNUMBER(MATCH(V10,{"Expense|employee","Expense|general_admin","Expense|marketing","Expense|utilities","Expense|other_operating"},0)),-N(M10),0)</f>
        <v/>
      </c>
      <c r="AA10" s="23">
        <f>IF(S10="Liability|payable",-N(F10),0)+IF(T10="Liability|payable",-N(J10),0)+IF(U10="Liability|payable",N(N10),0)+IF(V10="Liability|payable",N(M10),0)</f>
        <v/>
      </c>
      <c r="AB10" s="23">
        <f>IF(S10="Liability|accrued",-N(F10),0)+IF(T10="Liability|accrued",-N(J10),0)+IF(U10="Liability|accrued",N(N10),0)+IF(V10="Liability|accrued",N(M10),0)</f>
        <v/>
      </c>
      <c r="AC10" s="23">
        <f>IF(AND(N(F10)&lt;&gt;0,S10=""),1,0)+IF(AND(N(J10)&lt;&gt;0,T10=""),1,0)+IF(AND(N(N10)&lt;&gt;0,U10=""),1,0)+IF(AND(N(M10)&lt;&gt;0,V10=""),1,0)</f>
        <v/>
      </c>
    </row>
    <row r="11">
      <c r="A11" s="19" t="n"/>
      <c r="B11" s="14" t="n"/>
      <c r="C11" s="14" t="n"/>
      <c r="D11" s="14" t="n"/>
      <c r="E11" s="14" t="n"/>
      <c r="F11" s="20" t="n"/>
      <c r="G11" s="14" t="n"/>
      <c r="H11" s="14" t="n"/>
      <c r="I11" s="14" t="n"/>
      <c r="J11" s="20" t="n"/>
      <c r="K11" s="14" t="n"/>
      <c r="L11" s="21">
        <f>N(F11)+N(J11)</f>
        <v/>
      </c>
      <c r="M11" s="21">
        <f>IF(K11="",0,L11-ROUND(L11/(1+IFERROR(VLOOKUP(K11,'Tax Codes'!$A$5:$E$300,5,FALSE),0)),2))</f>
        <v/>
      </c>
      <c r="N11" s="21">
        <f>L11-M11</f>
        <v/>
      </c>
      <c r="O11" s="16">
        <f>IF(H11="",INDEX('Chart of Accounts'!$A$5:$A$3000,MATCH("bank",'Chart of Accounts'!$F$5:$F$3000,0)),H11&amp;"")</f>
        <v/>
      </c>
      <c r="P11" s="16">
        <f>IF(I11="",INDEX('Chart of Accounts'!$A$5:$A$3000,MATCH("revenue",'Chart of Accounts'!$F$5:$F$3000,0)),I11&amp;"")</f>
        <v/>
      </c>
      <c r="Q11" s="16">
        <f>INDEX('Chart of Accounts'!$A$5:$A$3000,MATCH("wht_receivable",'Chart of Accounts'!$F$5:$F$3000,0))</f>
        <v/>
      </c>
      <c r="R11" s="16">
        <f>INDEX('Chart of Accounts'!$A$5:$A$3000,MATCH("vat_output",'Chart of Accounts'!$F$5:$F$3000,0))</f>
        <v/>
      </c>
      <c r="S11" s="23">
        <f>IFERROR(INDEX('Chart of Accounts'!$C$5:$C$3000,MATCH(O11&amp;"",'Chart of Accounts'!$A$5:$A$3000,0))&amp;"|"&amp;INDEX('Chart of Accounts'!$D$5:$D$3000,MATCH(O11&amp;"",'Chart of Accounts'!$A$5:$A$3000,0)),"")</f>
        <v/>
      </c>
      <c r="T11" s="23">
        <f>IFERROR(INDEX('Chart of Accounts'!$C$5:$C$3000,MATCH(Q11&amp;"",'Chart of Accounts'!$A$5:$A$3000,0))&amp;"|"&amp;INDEX('Chart of Accounts'!$D$5:$D$3000,MATCH(Q11&amp;"",'Chart of Accounts'!$A$5:$A$3000,0)),"")</f>
        <v/>
      </c>
      <c r="U11" s="23">
        <f>IFERROR(INDEX('Chart of Accounts'!$C$5:$C$3000,MATCH(P11&amp;"",'Chart of Accounts'!$A$5:$A$3000,0))&amp;"|"&amp;INDEX('Chart of Accounts'!$D$5:$D$3000,MATCH(P11&amp;"",'Chart of Accounts'!$A$5:$A$3000,0)),"")</f>
        <v/>
      </c>
      <c r="V11" s="23">
        <f>IFERROR(INDEX('Chart of Accounts'!$C$5:$C$3000,MATCH(R11&amp;"",'Chart of Accounts'!$A$5:$A$3000,0))&amp;"|"&amp;INDEX('Chart of Accounts'!$D$5:$D$3000,MATCH(R11&amp;"",'Chart of Accounts'!$A$5:$A$3000,0)),"")</f>
        <v/>
      </c>
      <c r="W11" s="23">
        <f>IF(LEFT(S11,8)="Revenue|",-N(F11),0)+IF(LEFT(T11,8)="Revenue|",-N(J11),0)+IF(LEFT(U11,8)="Revenue|",N(N11),0)+IF(LEFT(V11,8)="Revenue|",N(M11),0)</f>
        <v/>
      </c>
      <c r="X11" s="23">
        <f>IF(LEFT(S11,5)="COGS|",N(F11),0)+IF(LEFT(T11,5)="COGS|",N(J11),0)+IF(LEFT(U11,5)="COGS|",-N(N11),0)+IF(LEFT(V11,5)="COGS|",-N(M11),0)</f>
        <v/>
      </c>
      <c r="Y11" s="23">
        <f>IF(LEFT(S11,8)="Expense|",N(F11),0)+IF(LEFT(T11,8)="Expense|",N(J11),0)+IF(LEFT(U11,8)="Expense|",-N(N11),0)+IF(LEFT(V11,8)="Expense|",-N(M11),0)</f>
        <v/>
      </c>
      <c r="Z11" s="23">
        <f>IF(ISNUMBER(MATCH(S11,{"Expense|employee","Expense|general_admin","Expense|marketing","Expense|utilities","Expense|other_operating"},0)),N(F11),0)+IF(ISNUMBER(MATCH(T11,{"Expense|employee","Expense|general_admin","Expense|marketing","Expense|utilities","Expense|other_operating"},0)),N(J11),0)+IF(ISNUMBER(MATCH(U11,{"Expense|employee","Expense|general_admin","Expense|marketing","Expense|utilities","Expense|other_operating"},0)),-N(N11),0)+IF(ISNUMBER(MATCH(V11,{"Expense|employee","Expense|general_admin","Expense|marketing","Expense|utilities","Expense|other_operating"},0)),-N(M11),0)</f>
        <v/>
      </c>
      <c r="AA11" s="23">
        <f>IF(S11="Liability|payable",-N(F11),0)+IF(T11="Liability|payable",-N(J11),0)+IF(U11="Liability|payable",N(N11),0)+IF(V11="Liability|payable",N(M11),0)</f>
        <v/>
      </c>
      <c r="AB11" s="23">
        <f>IF(S11="Liability|accrued",-N(F11),0)+IF(T11="Liability|accrued",-N(J11),0)+IF(U11="Liability|accrued",N(N11),0)+IF(V11="Liability|accrued",N(M11),0)</f>
        <v/>
      </c>
      <c r="AC11" s="23">
        <f>IF(AND(N(F11)&lt;&gt;0,S11=""),1,0)+IF(AND(N(J11)&lt;&gt;0,T11=""),1,0)+IF(AND(N(N11)&lt;&gt;0,U11=""),1,0)+IF(AND(N(M11)&lt;&gt;0,V11=""),1,0)</f>
        <v/>
      </c>
    </row>
    <row r="12">
      <c r="A12" s="19" t="n"/>
      <c r="B12" s="14" t="n"/>
      <c r="C12" s="14" t="n"/>
      <c r="D12" s="14" t="n"/>
      <c r="E12" s="14" t="n"/>
      <c r="F12" s="20" t="n"/>
      <c r="G12" s="14" t="n"/>
      <c r="H12" s="14" t="n"/>
      <c r="I12" s="14" t="n"/>
      <c r="J12" s="20" t="n"/>
      <c r="K12" s="14" t="n"/>
      <c r="L12" s="21">
        <f>N(F12)+N(J12)</f>
        <v/>
      </c>
      <c r="M12" s="21">
        <f>IF(K12="",0,L12-ROUND(L12/(1+IFERROR(VLOOKUP(K12,'Tax Codes'!$A$5:$E$300,5,FALSE),0)),2))</f>
        <v/>
      </c>
      <c r="N12" s="21">
        <f>L12-M12</f>
        <v/>
      </c>
      <c r="O12" s="16">
        <f>IF(H12="",INDEX('Chart of Accounts'!$A$5:$A$3000,MATCH("bank",'Chart of Accounts'!$F$5:$F$3000,0)),H12&amp;"")</f>
        <v/>
      </c>
      <c r="P12" s="16">
        <f>IF(I12="",INDEX('Chart of Accounts'!$A$5:$A$3000,MATCH("revenue",'Chart of Accounts'!$F$5:$F$3000,0)),I12&amp;"")</f>
        <v/>
      </c>
      <c r="Q12" s="16">
        <f>INDEX('Chart of Accounts'!$A$5:$A$3000,MATCH("wht_receivable",'Chart of Accounts'!$F$5:$F$3000,0))</f>
        <v/>
      </c>
      <c r="R12" s="16">
        <f>INDEX('Chart of Accounts'!$A$5:$A$3000,MATCH("vat_output",'Chart of Accounts'!$F$5:$F$3000,0))</f>
        <v/>
      </c>
      <c r="S12" s="23">
        <f>IFERROR(INDEX('Chart of Accounts'!$C$5:$C$3000,MATCH(O12&amp;"",'Chart of Accounts'!$A$5:$A$3000,0))&amp;"|"&amp;INDEX('Chart of Accounts'!$D$5:$D$3000,MATCH(O12&amp;"",'Chart of Accounts'!$A$5:$A$3000,0)),"")</f>
        <v/>
      </c>
      <c r="T12" s="23">
        <f>IFERROR(INDEX('Chart of Accounts'!$C$5:$C$3000,MATCH(Q12&amp;"",'Chart of Accounts'!$A$5:$A$3000,0))&amp;"|"&amp;INDEX('Chart of Accounts'!$D$5:$D$3000,MATCH(Q12&amp;"",'Chart of Accounts'!$A$5:$A$3000,0)),"")</f>
        <v/>
      </c>
      <c r="U12" s="23">
        <f>IFERROR(INDEX('Chart of Accounts'!$C$5:$C$3000,MATCH(P12&amp;"",'Chart of Accounts'!$A$5:$A$3000,0))&amp;"|"&amp;INDEX('Chart of Accounts'!$D$5:$D$3000,MATCH(P12&amp;"",'Chart of Accounts'!$A$5:$A$3000,0)),"")</f>
        <v/>
      </c>
      <c r="V12" s="23">
        <f>IFERROR(INDEX('Chart of Accounts'!$C$5:$C$3000,MATCH(R12&amp;"",'Chart of Accounts'!$A$5:$A$3000,0))&amp;"|"&amp;INDEX('Chart of Accounts'!$D$5:$D$3000,MATCH(R12&amp;"",'Chart of Accounts'!$A$5:$A$3000,0)),"")</f>
        <v/>
      </c>
      <c r="W12" s="23">
        <f>IF(LEFT(S12,8)="Revenue|",-N(F12),0)+IF(LEFT(T12,8)="Revenue|",-N(J12),0)+IF(LEFT(U12,8)="Revenue|",N(N12),0)+IF(LEFT(V12,8)="Revenue|",N(M12),0)</f>
        <v/>
      </c>
      <c r="X12" s="23">
        <f>IF(LEFT(S12,5)="COGS|",N(F12),0)+IF(LEFT(T12,5)="COGS|",N(J12),0)+IF(LEFT(U12,5)="COGS|",-N(N12),0)+IF(LEFT(V12,5)="COGS|",-N(M12),0)</f>
        <v/>
      </c>
      <c r="Y12" s="23">
        <f>IF(LEFT(S12,8)="Expense|",N(F12),0)+IF(LEFT(T12,8)="Expense|",N(J12),0)+IF(LEFT(U12,8)="Expense|",-N(N12),0)+IF(LEFT(V12,8)="Expense|",-N(M12),0)</f>
        <v/>
      </c>
      <c r="Z12" s="23">
        <f>IF(ISNUMBER(MATCH(S12,{"Expense|employee","Expense|general_admin","Expense|marketing","Expense|utilities","Expense|other_operating"},0)),N(F12),0)+IF(ISNUMBER(MATCH(T12,{"Expense|employee","Expense|general_admin","Expense|marketing","Expense|utilities","Expense|other_operating"},0)),N(J12),0)+IF(ISNUMBER(MATCH(U12,{"Expense|employee","Expense|general_admin","Expense|marketing","Expense|utilities","Expense|other_operating"},0)),-N(N12),0)+IF(ISNUMBER(MATCH(V12,{"Expense|employee","Expense|general_admin","Expense|marketing","Expense|utilities","Expense|other_operating"},0)),-N(M12),0)</f>
        <v/>
      </c>
      <c r="AA12" s="23">
        <f>IF(S12="Liability|payable",-N(F12),0)+IF(T12="Liability|payable",-N(J12),0)+IF(U12="Liability|payable",N(N12),0)+IF(V12="Liability|payable",N(M12),0)</f>
        <v/>
      </c>
      <c r="AB12" s="23">
        <f>IF(S12="Liability|accrued",-N(F12),0)+IF(T12="Liability|accrued",-N(J12),0)+IF(U12="Liability|accrued",N(N12),0)+IF(V12="Liability|accrued",N(M12),0)</f>
        <v/>
      </c>
      <c r="AC12" s="23">
        <f>IF(AND(N(F12)&lt;&gt;0,S12=""),1,0)+IF(AND(N(J12)&lt;&gt;0,T12=""),1,0)+IF(AND(N(N12)&lt;&gt;0,U12=""),1,0)+IF(AND(N(M12)&lt;&gt;0,V12=""),1,0)</f>
        <v/>
      </c>
    </row>
    <row r="13">
      <c r="A13" s="19" t="n"/>
      <c r="B13" s="14" t="n"/>
      <c r="C13" s="14" t="n"/>
      <c r="D13" s="14" t="n"/>
      <c r="E13" s="14" t="n"/>
      <c r="F13" s="20" t="n"/>
      <c r="G13" s="14" t="n"/>
      <c r="H13" s="14" t="n"/>
      <c r="I13" s="14" t="n"/>
      <c r="J13" s="20" t="n"/>
      <c r="K13" s="14" t="n"/>
      <c r="L13" s="21">
        <f>N(F13)+N(J13)</f>
        <v/>
      </c>
      <c r="M13" s="21">
        <f>IF(K13="",0,L13-ROUND(L13/(1+IFERROR(VLOOKUP(K13,'Tax Codes'!$A$5:$E$300,5,FALSE),0)),2))</f>
        <v/>
      </c>
      <c r="N13" s="21">
        <f>L13-M13</f>
        <v/>
      </c>
      <c r="O13" s="16">
        <f>IF(H13="",INDEX('Chart of Accounts'!$A$5:$A$3000,MATCH("bank",'Chart of Accounts'!$F$5:$F$3000,0)),H13&amp;"")</f>
        <v/>
      </c>
      <c r="P13" s="16">
        <f>IF(I13="",INDEX('Chart of Accounts'!$A$5:$A$3000,MATCH("revenue",'Chart of Accounts'!$F$5:$F$3000,0)),I13&amp;"")</f>
        <v/>
      </c>
      <c r="Q13" s="16">
        <f>INDEX('Chart of Accounts'!$A$5:$A$3000,MATCH("wht_receivable",'Chart of Accounts'!$F$5:$F$3000,0))</f>
        <v/>
      </c>
      <c r="R13" s="16">
        <f>INDEX('Chart of Accounts'!$A$5:$A$3000,MATCH("vat_output",'Chart of Accounts'!$F$5:$F$3000,0))</f>
        <v/>
      </c>
      <c r="S13" s="23">
        <f>IFERROR(INDEX('Chart of Accounts'!$C$5:$C$3000,MATCH(O13&amp;"",'Chart of Accounts'!$A$5:$A$3000,0))&amp;"|"&amp;INDEX('Chart of Accounts'!$D$5:$D$3000,MATCH(O13&amp;"",'Chart of Accounts'!$A$5:$A$3000,0)),"")</f>
        <v/>
      </c>
      <c r="T13" s="23">
        <f>IFERROR(INDEX('Chart of Accounts'!$C$5:$C$3000,MATCH(Q13&amp;"",'Chart of Accounts'!$A$5:$A$3000,0))&amp;"|"&amp;INDEX('Chart of Accounts'!$D$5:$D$3000,MATCH(Q13&amp;"",'Chart of Accounts'!$A$5:$A$3000,0)),"")</f>
        <v/>
      </c>
      <c r="U13" s="23">
        <f>IFERROR(INDEX('Chart of Accounts'!$C$5:$C$3000,MATCH(P13&amp;"",'Chart of Accounts'!$A$5:$A$3000,0))&amp;"|"&amp;INDEX('Chart of Accounts'!$D$5:$D$3000,MATCH(P13&amp;"",'Chart of Accounts'!$A$5:$A$3000,0)),"")</f>
        <v/>
      </c>
      <c r="V13" s="23">
        <f>IFERROR(INDEX('Chart of Accounts'!$C$5:$C$3000,MATCH(R13&amp;"",'Chart of Accounts'!$A$5:$A$3000,0))&amp;"|"&amp;INDEX('Chart of Accounts'!$D$5:$D$3000,MATCH(R13&amp;"",'Chart of Accounts'!$A$5:$A$3000,0)),"")</f>
        <v/>
      </c>
      <c r="W13" s="23">
        <f>IF(LEFT(S13,8)="Revenue|",-N(F13),0)+IF(LEFT(T13,8)="Revenue|",-N(J13),0)+IF(LEFT(U13,8)="Revenue|",N(N13),0)+IF(LEFT(V13,8)="Revenue|",N(M13),0)</f>
        <v/>
      </c>
      <c r="X13" s="23">
        <f>IF(LEFT(S13,5)="COGS|",N(F13),0)+IF(LEFT(T13,5)="COGS|",N(J13),0)+IF(LEFT(U13,5)="COGS|",-N(N13),0)+IF(LEFT(V13,5)="COGS|",-N(M13),0)</f>
        <v/>
      </c>
      <c r="Y13" s="23">
        <f>IF(LEFT(S13,8)="Expense|",N(F13),0)+IF(LEFT(T13,8)="Expense|",N(J13),0)+IF(LEFT(U13,8)="Expense|",-N(N13),0)+IF(LEFT(V13,8)="Expense|",-N(M13),0)</f>
        <v/>
      </c>
      <c r="Z13" s="23">
        <f>IF(ISNUMBER(MATCH(S13,{"Expense|employee","Expense|general_admin","Expense|marketing","Expense|utilities","Expense|other_operating"},0)),N(F13),0)+IF(ISNUMBER(MATCH(T13,{"Expense|employee","Expense|general_admin","Expense|marketing","Expense|utilities","Expense|other_operating"},0)),N(J13),0)+IF(ISNUMBER(MATCH(U13,{"Expense|employee","Expense|general_admin","Expense|marketing","Expense|utilities","Expense|other_operating"},0)),-N(N13),0)+IF(ISNUMBER(MATCH(V13,{"Expense|employee","Expense|general_admin","Expense|marketing","Expense|utilities","Expense|other_operating"},0)),-N(M13),0)</f>
        <v/>
      </c>
      <c r="AA13" s="23">
        <f>IF(S13="Liability|payable",-N(F13),0)+IF(T13="Liability|payable",-N(J13),0)+IF(U13="Liability|payable",N(N13),0)+IF(V13="Liability|payable",N(M13),0)</f>
        <v/>
      </c>
      <c r="AB13" s="23">
        <f>IF(S13="Liability|accrued",-N(F13),0)+IF(T13="Liability|accrued",-N(J13),0)+IF(U13="Liability|accrued",N(N13),0)+IF(V13="Liability|accrued",N(M13),0)</f>
        <v/>
      </c>
      <c r="AC13" s="23">
        <f>IF(AND(N(F13)&lt;&gt;0,S13=""),1,0)+IF(AND(N(J13)&lt;&gt;0,T13=""),1,0)+IF(AND(N(N13)&lt;&gt;0,U13=""),1,0)+IF(AND(N(M13)&lt;&gt;0,V13=""),1,0)</f>
        <v/>
      </c>
    </row>
    <row r="14">
      <c r="A14" s="19" t="n"/>
      <c r="B14" s="14" t="n"/>
      <c r="C14" s="14" t="n"/>
      <c r="D14" s="14" t="n"/>
      <c r="E14" s="14" t="n"/>
      <c r="F14" s="20" t="n"/>
      <c r="G14" s="14" t="n"/>
      <c r="H14" s="14" t="n"/>
      <c r="I14" s="14" t="n"/>
      <c r="J14" s="20" t="n"/>
      <c r="K14" s="14" t="n"/>
      <c r="L14" s="21">
        <f>N(F14)+N(J14)</f>
        <v/>
      </c>
      <c r="M14" s="21">
        <f>IF(K14="",0,L14-ROUND(L14/(1+IFERROR(VLOOKUP(K14,'Tax Codes'!$A$5:$E$300,5,FALSE),0)),2))</f>
        <v/>
      </c>
      <c r="N14" s="21">
        <f>L14-M14</f>
        <v/>
      </c>
      <c r="O14" s="16">
        <f>IF(H14="",INDEX('Chart of Accounts'!$A$5:$A$3000,MATCH("bank",'Chart of Accounts'!$F$5:$F$3000,0)),H14&amp;"")</f>
        <v/>
      </c>
      <c r="P14" s="16">
        <f>IF(I14="",INDEX('Chart of Accounts'!$A$5:$A$3000,MATCH("revenue",'Chart of Accounts'!$F$5:$F$3000,0)),I14&amp;"")</f>
        <v/>
      </c>
      <c r="Q14" s="16">
        <f>INDEX('Chart of Accounts'!$A$5:$A$3000,MATCH("wht_receivable",'Chart of Accounts'!$F$5:$F$3000,0))</f>
        <v/>
      </c>
      <c r="R14" s="16">
        <f>INDEX('Chart of Accounts'!$A$5:$A$3000,MATCH("vat_output",'Chart of Accounts'!$F$5:$F$3000,0))</f>
        <v/>
      </c>
      <c r="S14" s="23">
        <f>IFERROR(INDEX('Chart of Accounts'!$C$5:$C$3000,MATCH(O14&amp;"",'Chart of Accounts'!$A$5:$A$3000,0))&amp;"|"&amp;INDEX('Chart of Accounts'!$D$5:$D$3000,MATCH(O14&amp;"",'Chart of Accounts'!$A$5:$A$3000,0)),"")</f>
        <v/>
      </c>
      <c r="T14" s="23">
        <f>IFERROR(INDEX('Chart of Accounts'!$C$5:$C$3000,MATCH(Q14&amp;"",'Chart of Accounts'!$A$5:$A$3000,0))&amp;"|"&amp;INDEX('Chart of Accounts'!$D$5:$D$3000,MATCH(Q14&amp;"",'Chart of Accounts'!$A$5:$A$3000,0)),"")</f>
        <v/>
      </c>
      <c r="U14" s="23">
        <f>IFERROR(INDEX('Chart of Accounts'!$C$5:$C$3000,MATCH(P14&amp;"",'Chart of Accounts'!$A$5:$A$3000,0))&amp;"|"&amp;INDEX('Chart of Accounts'!$D$5:$D$3000,MATCH(P14&amp;"",'Chart of Accounts'!$A$5:$A$3000,0)),"")</f>
        <v/>
      </c>
      <c r="V14" s="23">
        <f>IFERROR(INDEX('Chart of Accounts'!$C$5:$C$3000,MATCH(R14&amp;"",'Chart of Accounts'!$A$5:$A$3000,0))&amp;"|"&amp;INDEX('Chart of Accounts'!$D$5:$D$3000,MATCH(R14&amp;"",'Chart of Accounts'!$A$5:$A$3000,0)),"")</f>
        <v/>
      </c>
      <c r="W14" s="23">
        <f>IF(LEFT(S14,8)="Revenue|",-N(F14),0)+IF(LEFT(T14,8)="Revenue|",-N(J14),0)+IF(LEFT(U14,8)="Revenue|",N(N14),0)+IF(LEFT(V14,8)="Revenue|",N(M14),0)</f>
        <v/>
      </c>
      <c r="X14" s="23">
        <f>IF(LEFT(S14,5)="COGS|",N(F14),0)+IF(LEFT(T14,5)="COGS|",N(J14),0)+IF(LEFT(U14,5)="COGS|",-N(N14),0)+IF(LEFT(V14,5)="COGS|",-N(M14),0)</f>
        <v/>
      </c>
      <c r="Y14" s="23">
        <f>IF(LEFT(S14,8)="Expense|",N(F14),0)+IF(LEFT(T14,8)="Expense|",N(J14),0)+IF(LEFT(U14,8)="Expense|",-N(N14),0)+IF(LEFT(V14,8)="Expense|",-N(M14),0)</f>
        <v/>
      </c>
      <c r="Z14" s="23">
        <f>IF(ISNUMBER(MATCH(S14,{"Expense|employee","Expense|general_admin","Expense|marketing","Expense|utilities","Expense|other_operating"},0)),N(F14),0)+IF(ISNUMBER(MATCH(T14,{"Expense|employee","Expense|general_admin","Expense|marketing","Expense|utilities","Expense|other_operating"},0)),N(J14),0)+IF(ISNUMBER(MATCH(U14,{"Expense|employee","Expense|general_admin","Expense|marketing","Expense|utilities","Expense|other_operating"},0)),-N(N14),0)+IF(ISNUMBER(MATCH(V14,{"Expense|employee","Expense|general_admin","Expense|marketing","Expense|utilities","Expense|other_operating"},0)),-N(M14),0)</f>
        <v/>
      </c>
      <c r="AA14" s="23">
        <f>IF(S14="Liability|payable",-N(F14),0)+IF(T14="Liability|payable",-N(J14),0)+IF(U14="Liability|payable",N(N14),0)+IF(V14="Liability|payable",N(M14),0)</f>
        <v/>
      </c>
      <c r="AB14" s="23">
        <f>IF(S14="Liability|accrued",-N(F14),0)+IF(T14="Liability|accrued",-N(J14),0)+IF(U14="Liability|accrued",N(N14),0)+IF(V14="Liability|accrued",N(M14),0)</f>
        <v/>
      </c>
      <c r="AC14" s="23">
        <f>IF(AND(N(F14)&lt;&gt;0,S14=""),1,0)+IF(AND(N(J14)&lt;&gt;0,T14=""),1,0)+IF(AND(N(N14)&lt;&gt;0,U14=""),1,0)+IF(AND(N(M14)&lt;&gt;0,V14=""),1,0)</f>
        <v/>
      </c>
    </row>
    <row r="15">
      <c r="A15" s="19" t="n"/>
      <c r="B15" s="14" t="n"/>
      <c r="C15" s="14" t="n"/>
      <c r="D15" s="14" t="n"/>
      <c r="E15" s="14" t="n"/>
      <c r="F15" s="20" t="n"/>
      <c r="G15" s="14" t="n"/>
      <c r="H15" s="14" t="n"/>
      <c r="I15" s="14" t="n"/>
      <c r="J15" s="20" t="n"/>
      <c r="K15" s="14" t="n"/>
      <c r="L15" s="21">
        <f>N(F15)+N(J15)</f>
        <v/>
      </c>
      <c r="M15" s="21">
        <f>IF(K15="",0,L15-ROUND(L15/(1+IFERROR(VLOOKUP(K15,'Tax Codes'!$A$5:$E$300,5,FALSE),0)),2))</f>
        <v/>
      </c>
      <c r="N15" s="21">
        <f>L15-M15</f>
        <v/>
      </c>
      <c r="O15" s="16">
        <f>IF(H15="",INDEX('Chart of Accounts'!$A$5:$A$3000,MATCH("bank",'Chart of Accounts'!$F$5:$F$3000,0)),H15&amp;"")</f>
        <v/>
      </c>
      <c r="P15" s="16">
        <f>IF(I15="",INDEX('Chart of Accounts'!$A$5:$A$3000,MATCH("revenue",'Chart of Accounts'!$F$5:$F$3000,0)),I15&amp;"")</f>
        <v/>
      </c>
      <c r="Q15" s="16">
        <f>INDEX('Chart of Accounts'!$A$5:$A$3000,MATCH("wht_receivable",'Chart of Accounts'!$F$5:$F$3000,0))</f>
        <v/>
      </c>
      <c r="R15" s="16">
        <f>INDEX('Chart of Accounts'!$A$5:$A$3000,MATCH("vat_output",'Chart of Accounts'!$F$5:$F$3000,0))</f>
        <v/>
      </c>
      <c r="S15" s="23">
        <f>IFERROR(INDEX('Chart of Accounts'!$C$5:$C$3000,MATCH(O15&amp;"",'Chart of Accounts'!$A$5:$A$3000,0))&amp;"|"&amp;INDEX('Chart of Accounts'!$D$5:$D$3000,MATCH(O15&amp;"",'Chart of Accounts'!$A$5:$A$3000,0)),"")</f>
        <v/>
      </c>
      <c r="T15" s="23">
        <f>IFERROR(INDEX('Chart of Accounts'!$C$5:$C$3000,MATCH(Q15&amp;"",'Chart of Accounts'!$A$5:$A$3000,0))&amp;"|"&amp;INDEX('Chart of Accounts'!$D$5:$D$3000,MATCH(Q15&amp;"",'Chart of Accounts'!$A$5:$A$3000,0)),"")</f>
        <v/>
      </c>
      <c r="U15" s="23">
        <f>IFERROR(INDEX('Chart of Accounts'!$C$5:$C$3000,MATCH(P15&amp;"",'Chart of Accounts'!$A$5:$A$3000,0))&amp;"|"&amp;INDEX('Chart of Accounts'!$D$5:$D$3000,MATCH(P15&amp;"",'Chart of Accounts'!$A$5:$A$3000,0)),"")</f>
        <v/>
      </c>
      <c r="V15" s="23">
        <f>IFERROR(INDEX('Chart of Accounts'!$C$5:$C$3000,MATCH(R15&amp;"",'Chart of Accounts'!$A$5:$A$3000,0))&amp;"|"&amp;INDEX('Chart of Accounts'!$D$5:$D$3000,MATCH(R15&amp;"",'Chart of Accounts'!$A$5:$A$3000,0)),"")</f>
        <v/>
      </c>
      <c r="W15" s="23">
        <f>IF(LEFT(S15,8)="Revenue|",-N(F15),0)+IF(LEFT(T15,8)="Revenue|",-N(J15),0)+IF(LEFT(U15,8)="Revenue|",N(N15),0)+IF(LEFT(V15,8)="Revenue|",N(M15),0)</f>
        <v/>
      </c>
      <c r="X15" s="23">
        <f>IF(LEFT(S15,5)="COGS|",N(F15),0)+IF(LEFT(T15,5)="COGS|",N(J15),0)+IF(LEFT(U15,5)="COGS|",-N(N15),0)+IF(LEFT(V15,5)="COGS|",-N(M15),0)</f>
        <v/>
      </c>
      <c r="Y15" s="23">
        <f>IF(LEFT(S15,8)="Expense|",N(F15),0)+IF(LEFT(T15,8)="Expense|",N(J15),0)+IF(LEFT(U15,8)="Expense|",-N(N15),0)+IF(LEFT(V15,8)="Expense|",-N(M15),0)</f>
        <v/>
      </c>
      <c r="Z15" s="23">
        <f>IF(ISNUMBER(MATCH(S15,{"Expense|employee","Expense|general_admin","Expense|marketing","Expense|utilities","Expense|other_operating"},0)),N(F15),0)+IF(ISNUMBER(MATCH(T15,{"Expense|employee","Expense|general_admin","Expense|marketing","Expense|utilities","Expense|other_operating"},0)),N(J15),0)+IF(ISNUMBER(MATCH(U15,{"Expense|employee","Expense|general_admin","Expense|marketing","Expense|utilities","Expense|other_operating"},0)),-N(N15),0)+IF(ISNUMBER(MATCH(V15,{"Expense|employee","Expense|general_admin","Expense|marketing","Expense|utilities","Expense|other_operating"},0)),-N(M15),0)</f>
        <v/>
      </c>
      <c r="AA15" s="23">
        <f>IF(S15="Liability|payable",-N(F15),0)+IF(T15="Liability|payable",-N(J15),0)+IF(U15="Liability|payable",N(N15),0)+IF(V15="Liability|payable",N(M15),0)</f>
        <v/>
      </c>
      <c r="AB15" s="23">
        <f>IF(S15="Liability|accrued",-N(F15),0)+IF(T15="Liability|accrued",-N(J15),0)+IF(U15="Liability|accrued",N(N15),0)+IF(V15="Liability|accrued",N(M15),0)</f>
        <v/>
      </c>
      <c r="AC15" s="23">
        <f>IF(AND(N(F15)&lt;&gt;0,S15=""),1,0)+IF(AND(N(J15)&lt;&gt;0,T15=""),1,0)+IF(AND(N(N15)&lt;&gt;0,U15=""),1,0)+IF(AND(N(M15)&lt;&gt;0,V15=""),1,0)</f>
        <v/>
      </c>
    </row>
    <row r="16">
      <c r="A16" s="19" t="n"/>
      <c r="B16" s="14" t="n"/>
      <c r="C16" s="14" t="n"/>
      <c r="D16" s="14" t="n"/>
      <c r="E16" s="14" t="n"/>
      <c r="F16" s="20" t="n"/>
      <c r="G16" s="14" t="n"/>
      <c r="H16" s="14" t="n"/>
      <c r="I16" s="14" t="n"/>
      <c r="J16" s="20" t="n"/>
      <c r="K16" s="14" t="n"/>
      <c r="L16" s="21">
        <f>N(F16)+N(J16)</f>
        <v/>
      </c>
      <c r="M16" s="21">
        <f>IF(K16="",0,L16-ROUND(L16/(1+IFERROR(VLOOKUP(K16,'Tax Codes'!$A$5:$E$300,5,FALSE),0)),2))</f>
        <v/>
      </c>
      <c r="N16" s="21">
        <f>L16-M16</f>
        <v/>
      </c>
      <c r="O16" s="16">
        <f>IF(H16="",INDEX('Chart of Accounts'!$A$5:$A$3000,MATCH("bank",'Chart of Accounts'!$F$5:$F$3000,0)),H16&amp;"")</f>
        <v/>
      </c>
      <c r="P16" s="16">
        <f>IF(I16="",INDEX('Chart of Accounts'!$A$5:$A$3000,MATCH("revenue",'Chart of Accounts'!$F$5:$F$3000,0)),I16&amp;"")</f>
        <v/>
      </c>
      <c r="Q16" s="16">
        <f>INDEX('Chart of Accounts'!$A$5:$A$3000,MATCH("wht_receivable",'Chart of Accounts'!$F$5:$F$3000,0))</f>
        <v/>
      </c>
      <c r="R16" s="16">
        <f>INDEX('Chart of Accounts'!$A$5:$A$3000,MATCH("vat_output",'Chart of Accounts'!$F$5:$F$3000,0))</f>
        <v/>
      </c>
      <c r="S16" s="23">
        <f>IFERROR(INDEX('Chart of Accounts'!$C$5:$C$3000,MATCH(O16&amp;"",'Chart of Accounts'!$A$5:$A$3000,0))&amp;"|"&amp;INDEX('Chart of Accounts'!$D$5:$D$3000,MATCH(O16&amp;"",'Chart of Accounts'!$A$5:$A$3000,0)),"")</f>
        <v/>
      </c>
      <c r="T16" s="23">
        <f>IFERROR(INDEX('Chart of Accounts'!$C$5:$C$3000,MATCH(Q16&amp;"",'Chart of Accounts'!$A$5:$A$3000,0))&amp;"|"&amp;INDEX('Chart of Accounts'!$D$5:$D$3000,MATCH(Q16&amp;"",'Chart of Accounts'!$A$5:$A$3000,0)),"")</f>
        <v/>
      </c>
      <c r="U16" s="23">
        <f>IFERROR(INDEX('Chart of Accounts'!$C$5:$C$3000,MATCH(P16&amp;"",'Chart of Accounts'!$A$5:$A$3000,0))&amp;"|"&amp;INDEX('Chart of Accounts'!$D$5:$D$3000,MATCH(P16&amp;"",'Chart of Accounts'!$A$5:$A$3000,0)),"")</f>
        <v/>
      </c>
      <c r="V16" s="23">
        <f>IFERROR(INDEX('Chart of Accounts'!$C$5:$C$3000,MATCH(R16&amp;"",'Chart of Accounts'!$A$5:$A$3000,0))&amp;"|"&amp;INDEX('Chart of Accounts'!$D$5:$D$3000,MATCH(R16&amp;"",'Chart of Accounts'!$A$5:$A$3000,0)),"")</f>
        <v/>
      </c>
      <c r="W16" s="23">
        <f>IF(LEFT(S16,8)="Revenue|",-N(F16),0)+IF(LEFT(T16,8)="Revenue|",-N(J16),0)+IF(LEFT(U16,8)="Revenue|",N(N16),0)+IF(LEFT(V16,8)="Revenue|",N(M16),0)</f>
        <v/>
      </c>
      <c r="X16" s="23">
        <f>IF(LEFT(S16,5)="COGS|",N(F16),0)+IF(LEFT(T16,5)="COGS|",N(J16),0)+IF(LEFT(U16,5)="COGS|",-N(N16),0)+IF(LEFT(V16,5)="COGS|",-N(M16),0)</f>
        <v/>
      </c>
      <c r="Y16" s="23">
        <f>IF(LEFT(S16,8)="Expense|",N(F16),0)+IF(LEFT(T16,8)="Expense|",N(J16),0)+IF(LEFT(U16,8)="Expense|",-N(N16),0)+IF(LEFT(V16,8)="Expense|",-N(M16),0)</f>
        <v/>
      </c>
      <c r="Z16" s="23">
        <f>IF(ISNUMBER(MATCH(S16,{"Expense|employee","Expense|general_admin","Expense|marketing","Expense|utilities","Expense|other_operating"},0)),N(F16),0)+IF(ISNUMBER(MATCH(T16,{"Expense|employee","Expense|general_admin","Expense|marketing","Expense|utilities","Expense|other_operating"},0)),N(J16),0)+IF(ISNUMBER(MATCH(U16,{"Expense|employee","Expense|general_admin","Expense|marketing","Expense|utilities","Expense|other_operating"},0)),-N(N16),0)+IF(ISNUMBER(MATCH(V16,{"Expense|employee","Expense|general_admin","Expense|marketing","Expense|utilities","Expense|other_operating"},0)),-N(M16),0)</f>
        <v/>
      </c>
      <c r="AA16" s="23">
        <f>IF(S16="Liability|payable",-N(F16),0)+IF(T16="Liability|payable",-N(J16),0)+IF(U16="Liability|payable",N(N16),0)+IF(V16="Liability|payable",N(M16),0)</f>
        <v/>
      </c>
      <c r="AB16" s="23">
        <f>IF(S16="Liability|accrued",-N(F16),0)+IF(T16="Liability|accrued",-N(J16),0)+IF(U16="Liability|accrued",N(N16),0)+IF(V16="Liability|accrued",N(M16),0)</f>
        <v/>
      </c>
      <c r="AC16" s="23">
        <f>IF(AND(N(F16)&lt;&gt;0,S16=""),1,0)+IF(AND(N(J16)&lt;&gt;0,T16=""),1,0)+IF(AND(N(N16)&lt;&gt;0,U16=""),1,0)+IF(AND(N(M16)&lt;&gt;0,V16=""),1,0)</f>
        <v/>
      </c>
    </row>
    <row r="17">
      <c r="A17" s="19" t="n"/>
      <c r="B17" s="14" t="n"/>
      <c r="C17" s="14" t="n"/>
      <c r="D17" s="14" t="n"/>
      <c r="E17" s="14" t="n"/>
      <c r="F17" s="20" t="n"/>
      <c r="G17" s="14" t="n"/>
      <c r="H17" s="14" t="n"/>
      <c r="I17" s="14" t="n"/>
      <c r="J17" s="20" t="n"/>
      <c r="K17" s="14" t="n"/>
      <c r="L17" s="21">
        <f>N(F17)+N(J17)</f>
        <v/>
      </c>
      <c r="M17" s="21">
        <f>IF(K17="",0,L17-ROUND(L17/(1+IFERROR(VLOOKUP(K17,'Tax Codes'!$A$5:$E$300,5,FALSE),0)),2))</f>
        <v/>
      </c>
      <c r="N17" s="21">
        <f>L17-M17</f>
        <v/>
      </c>
      <c r="O17" s="16">
        <f>IF(H17="",INDEX('Chart of Accounts'!$A$5:$A$3000,MATCH("bank",'Chart of Accounts'!$F$5:$F$3000,0)),H17&amp;"")</f>
        <v/>
      </c>
      <c r="P17" s="16">
        <f>IF(I17="",INDEX('Chart of Accounts'!$A$5:$A$3000,MATCH("revenue",'Chart of Accounts'!$F$5:$F$3000,0)),I17&amp;"")</f>
        <v/>
      </c>
      <c r="Q17" s="16">
        <f>INDEX('Chart of Accounts'!$A$5:$A$3000,MATCH("wht_receivable",'Chart of Accounts'!$F$5:$F$3000,0))</f>
        <v/>
      </c>
      <c r="R17" s="16">
        <f>INDEX('Chart of Accounts'!$A$5:$A$3000,MATCH("vat_output",'Chart of Accounts'!$F$5:$F$3000,0))</f>
        <v/>
      </c>
      <c r="S17" s="23">
        <f>IFERROR(INDEX('Chart of Accounts'!$C$5:$C$3000,MATCH(O17&amp;"",'Chart of Accounts'!$A$5:$A$3000,0))&amp;"|"&amp;INDEX('Chart of Accounts'!$D$5:$D$3000,MATCH(O17&amp;"",'Chart of Accounts'!$A$5:$A$3000,0)),"")</f>
        <v/>
      </c>
      <c r="T17" s="23">
        <f>IFERROR(INDEX('Chart of Accounts'!$C$5:$C$3000,MATCH(Q17&amp;"",'Chart of Accounts'!$A$5:$A$3000,0))&amp;"|"&amp;INDEX('Chart of Accounts'!$D$5:$D$3000,MATCH(Q17&amp;"",'Chart of Accounts'!$A$5:$A$3000,0)),"")</f>
        <v/>
      </c>
      <c r="U17" s="23">
        <f>IFERROR(INDEX('Chart of Accounts'!$C$5:$C$3000,MATCH(P17&amp;"",'Chart of Accounts'!$A$5:$A$3000,0))&amp;"|"&amp;INDEX('Chart of Accounts'!$D$5:$D$3000,MATCH(P17&amp;"",'Chart of Accounts'!$A$5:$A$3000,0)),"")</f>
        <v/>
      </c>
      <c r="V17" s="23">
        <f>IFERROR(INDEX('Chart of Accounts'!$C$5:$C$3000,MATCH(R17&amp;"",'Chart of Accounts'!$A$5:$A$3000,0))&amp;"|"&amp;INDEX('Chart of Accounts'!$D$5:$D$3000,MATCH(R17&amp;"",'Chart of Accounts'!$A$5:$A$3000,0)),"")</f>
        <v/>
      </c>
      <c r="W17" s="23">
        <f>IF(LEFT(S17,8)="Revenue|",-N(F17),0)+IF(LEFT(T17,8)="Revenue|",-N(J17),0)+IF(LEFT(U17,8)="Revenue|",N(N17),0)+IF(LEFT(V17,8)="Revenue|",N(M17),0)</f>
        <v/>
      </c>
      <c r="X17" s="23">
        <f>IF(LEFT(S17,5)="COGS|",N(F17),0)+IF(LEFT(T17,5)="COGS|",N(J17),0)+IF(LEFT(U17,5)="COGS|",-N(N17),0)+IF(LEFT(V17,5)="COGS|",-N(M17),0)</f>
        <v/>
      </c>
      <c r="Y17" s="23">
        <f>IF(LEFT(S17,8)="Expense|",N(F17),0)+IF(LEFT(T17,8)="Expense|",N(J17),0)+IF(LEFT(U17,8)="Expense|",-N(N17),0)+IF(LEFT(V17,8)="Expense|",-N(M17),0)</f>
        <v/>
      </c>
      <c r="Z17" s="23">
        <f>IF(ISNUMBER(MATCH(S17,{"Expense|employee","Expense|general_admin","Expense|marketing","Expense|utilities","Expense|other_operating"},0)),N(F17),0)+IF(ISNUMBER(MATCH(T17,{"Expense|employee","Expense|general_admin","Expense|marketing","Expense|utilities","Expense|other_operating"},0)),N(J17),0)+IF(ISNUMBER(MATCH(U17,{"Expense|employee","Expense|general_admin","Expense|marketing","Expense|utilities","Expense|other_operating"},0)),-N(N17),0)+IF(ISNUMBER(MATCH(V17,{"Expense|employee","Expense|general_admin","Expense|marketing","Expense|utilities","Expense|other_operating"},0)),-N(M17),0)</f>
        <v/>
      </c>
      <c r="AA17" s="23">
        <f>IF(S17="Liability|payable",-N(F17),0)+IF(T17="Liability|payable",-N(J17),0)+IF(U17="Liability|payable",N(N17),0)+IF(V17="Liability|payable",N(M17),0)</f>
        <v/>
      </c>
      <c r="AB17" s="23">
        <f>IF(S17="Liability|accrued",-N(F17),0)+IF(T17="Liability|accrued",-N(J17),0)+IF(U17="Liability|accrued",N(N17),0)+IF(V17="Liability|accrued",N(M17),0)</f>
        <v/>
      </c>
      <c r="AC17" s="23">
        <f>IF(AND(N(F17)&lt;&gt;0,S17=""),1,0)+IF(AND(N(J17)&lt;&gt;0,T17=""),1,0)+IF(AND(N(N17)&lt;&gt;0,U17=""),1,0)+IF(AND(N(M17)&lt;&gt;0,V17=""),1,0)</f>
        <v/>
      </c>
    </row>
    <row r="18">
      <c r="A18" s="19" t="n"/>
      <c r="B18" s="14" t="n"/>
      <c r="C18" s="14" t="n"/>
      <c r="D18" s="14" t="n"/>
      <c r="E18" s="14" t="n"/>
      <c r="F18" s="20" t="n"/>
      <c r="G18" s="14" t="n"/>
      <c r="H18" s="14" t="n"/>
      <c r="I18" s="14" t="n"/>
      <c r="J18" s="20" t="n"/>
      <c r="K18" s="14" t="n"/>
      <c r="L18" s="21">
        <f>N(F18)+N(J18)</f>
        <v/>
      </c>
      <c r="M18" s="21">
        <f>IF(K18="",0,L18-ROUND(L18/(1+IFERROR(VLOOKUP(K18,'Tax Codes'!$A$5:$E$300,5,FALSE),0)),2))</f>
        <v/>
      </c>
      <c r="N18" s="21">
        <f>L18-M18</f>
        <v/>
      </c>
      <c r="O18" s="16">
        <f>IF(H18="",INDEX('Chart of Accounts'!$A$5:$A$3000,MATCH("bank",'Chart of Accounts'!$F$5:$F$3000,0)),H18&amp;"")</f>
        <v/>
      </c>
      <c r="P18" s="16">
        <f>IF(I18="",INDEX('Chart of Accounts'!$A$5:$A$3000,MATCH("revenue",'Chart of Accounts'!$F$5:$F$3000,0)),I18&amp;"")</f>
        <v/>
      </c>
      <c r="Q18" s="16">
        <f>INDEX('Chart of Accounts'!$A$5:$A$3000,MATCH("wht_receivable",'Chart of Accounts'!$F$5:$F$3000,0))</f>
        <v/>
      </c>
      <c r="R18" s="16">
        <f>INDEX('Chart of Accounts'!$A$5:$A$3000,MATCH("vat_output",'Chart of Accounts'!$F$5:$F$3000,0))</f>
        <v/>
      </c>
      <c r="S18" s="23">
        <f>IFERROR(INDEX('Chart of Accounts'!$C$5:$C$3000,MATCH(O18&amp;"",'Chart of Accounts'!$A$5:$A$3000,0))&amp;"|"&amp;INDEX('Chart of Accounts'!$D$5:$D$3000,MATCH(O18&amp;"",'Chart of Accounts'!$A$5:$A$3000,0)),"")</f>
        <v/>
      </c>
      <c r="T18" s="23">
        <f>IFERROR(INDEX('Chart of Accounts'!$C$5:$C$3000,MATCH(Q18&amp;"",'Chart of Accounts'!$A$5:$A$3000,0))&amp;"|"&amp;INDEX('Chart of Accounts'!$D$5:$D$3000,MATCH(Q18&amp;"",'Chart of Accounts'!$A$5:$A$3000,0)),"")</f>
        <v/>
      </c>
      <c r="U18" s="23">
        <f>IFERROR(INDEX('Chart of Accounts'!$C$5:$C$3000,MATCH(P18&amp;"",'Chart of Accounts'!$A$5:$A$3000,0))&amp;"|"&amp;INDEX('Chart of Accounts'!$D$5:$D$3000,MATCH(P18&amp;"",'Chart of Accounts'!$A$5:$A$3000,0)),"")</f>
        <v/>
      </c>
      <c r="V18" s="23">
        <f>IFERROR(INDEX('Chart of Accounts'!$C$5:$C$3000,MATCH(R18&amp;"",'Chart of Accounts'!$A$5:$A$3000,0))&amp;"|"&amp;INDEX('Chart of Accounts'!$D$5:$D$3000,MATCH(R18&amp;"",'Chart of Accounts'!$A$5:$A$3000,0)),"")</f>
        <v/>
      </c>
      <c r="W18" s="23">
        <f>IF(LEFT(S18,8)="Revenue|",-N(F18),0)+IF(LEFT(T18,8)="Revenue|",-N(J18),0)+IF(LEFT(U18,8)="Revenue|",N(N18),0)+IF(LEFT(V18,8)="Revenue|",N(M18),0)</f>
        <v/>
      </c>
      <c r="X18" s="23">
        <f>IF(LEFT(S18,5)="COGS|",N(F18),0)+IF(LEFT(T18,5)="COGS|",N(J18),0)+IF(LEFT(U18,5)="COGS|",-N(N18),0)+IF(LEFT(V18,5)="COGS|",-N(M18),0)</f>
        <v/>
      </c>
      <c r="Y18" s="23">
        <f>IF(LEFT(S18,8)="Expense|",N(F18),0)+IF(LEFT(T18,8)="Expense|",N(J18),0)+IF(LEFT(U18,8)="Expense|",-N(N18),0)+IF(LEFT(V18,8)="Expense|",-N(M18),0)</f>
        <v/>
      </c>
      <c r="Z18" s="23">
        <f>IF(ISNUMBER(MATCH(S18,{"Expense|employee","Expense|general_admin","Expense|marketing","Expense|utilities","Expense|other_operating"},0)),N(F18),0)+IF(ISNUMBER(MATCH(T18,{"Expense|employee","Expense|general_admin","Expense|marketing","Expense|utilities","Expense|other_operating"},0)),N(J18),0)+IF(ISNUMBER(MATCH(U18,{"Expense|employee","Expense|general_admin","Expense|marketing","Expense|utilities","Expense|other_operating"},0)),-N(N18),0)+IF(ISNUMBER(MATCH(V18,{"Expense|employee","Expense|general_admin","Expense|marketing","Expense|utilities","Expense|other_operating"},0)),-N(M18),0)</f>
        <v/>
      </c>
      <c r="AA18" s="23">
        <f>IF(S18="Liability|payable",-N(F18),0)+IF(T18="Liability|payable",-N(J18),0)+IF(U18="Liability|payable",N(N18),0)+IF(V18="Liability|payable",N(M18),0)</f>
        <v/>
      </c>
      <c r="AB18" s="23">
        <f>IF(S18="Liability|accrued",-N(F18),0)+IF(T18="Liability|accrued",-N(J18),0)+IF(U18="Liability|accrued",N(N18),0)+IF(V18="Liability|accrued",N(M18),0)</f>
        <v/>
      </c>
      <c r="AC18" s="23">
        <f>IF(AND(N(F18)&lt;&gt;0,S18=""),1,0)+IF(AND(N(J18)&lt;&gt;0,T18=""),1,0)+IF(AND(N(N18)&lt;&gt;0,U18=""),1,0)+IF(AND(N(M18)&lt;&gt;0,V18=""),1,0)</f>
        <v/>
      </c>
    </row>
    <row r="19">
      <c r="A19" s="19" t="n"/>
      <c r="B19" s="14" t="n"/>
      <c r="C19" s="14" t="n"/>
      <c r="D19" s="14" t="n"/>
      <c r="E19" s="14" t="n"/>
      <c r="F19" s="20" t="n"/>
      <c r="G19" s="14" t="n"/>
      <c r="H19" s="14" t="n"/>
      <c r="I19" s="14" t="n"/>
      <c r="J19" s="20" t="n"/>
      <c r="K19" s="14" t="n"/>
      <c r="L19" s="21">
        <f>N(F19)+N(J19)</f>
        <v/>
      </c>
      <c r="M19" s="21">
        <f>IF(K19="",0,L19-ROUND(L19/(1+IFERROR(VLOOKUP(K19,'Tax Codes'!$A$5:$E$300,5,FALSE),0)),2))</f>
        <v/>
      </c>
      <c r="N19" s="21">
        <f>L19-M19</f>
        <v/>
      </c>
      <c r="O19" s="16">
        <f>IF(H19="",INDEX('Chart of Accounts'!$A$5:$A$3000,MATCH("bank",'Chart of Accounts'!$F$5:$F$3000,0)),H19&amp;"")</f>
        <v/>
      </c>
      <c r="P19" s="16">
        <f>IF(I19="",INDEX('Chart of Accounts'!$A$5:$A$3000,MATCH("revenue",'Chart of Accounts'!$F$5:$F$3000,0)),I19&amp;"")</f>
        <v/>
      </c>
      <c r="Q19" s="16">
        <f>INDEX('Chart of Accounts'!$A$5:$A$3000,MATCH("wht_receivable",'Chart of Accounts'!$F$5:$F$3000,0))</f>
        <v/>
      </c>
      <c r="R19" s="16">
        <f>INDEX('Chart of Accounts'!$A$5:$A$3000,MATCH("vat_output",'Chart of Accounts'!$F$5:$F$3000,0))</f>
        <v/>
      </c>
      <c r="S19" s="23">
        <f>IFERROR(INDEX('Chart of Accounts'!$C$5:$C$3000,MATCH(O19&amp;"",'Chart of Accounts'!$A$5:$A$3000,0))&amp;"|"&amp;INDEX('Chart of Accounts'!$D$5:$D$3000,MATCH(O19&amp;"",'Chart of Accounts'!$A$5:$A$3000,0)),"")</f>
        <v/>
      </c>
      <c r="T19" s="23">
        <f>IFERROR(INDEX('Chart of Accounts'!$C$5:$C$3000,MATCH(Q19&amp;"",'Chart of Accounts'!$A$5:$A$3000,0))&amp;"|"&amp;INDEX('Chart of Accounts'!$D$5:$D$3000,MATCH(Q19&amp;"",'Chart of Accounts'!$A$5:$A$3000,0)),"")</f>
        <v/>
      </c>
      <c r="U19" s="23">
        <f>IFERROR(INDEX('Chart of Accounts'!$C$5:$C$3000,MATCH(P19&amp;"",'Chart of Accounts'!$A$5:$A$3000,0))&amp;"|"&amp;INDEX('Chart of Accounts'!$D$5:$D$3000,MATCH(P19&amp;"",'Chart of Accounts'!$A$5:$A$3000,0)),"")</f>
        <v/>
      </c>
      <c r="V19" s="23">
        <f>IFERROR(INDEX('Chart of Accounts'!$C$5:$C$3000,MATCH(R19&amp;"",'Chart of Accounts'!$A$5:$A$3000,0))&amp;"|"&amp;INDEX('Chart of Accounts'!$D$5:$D$3000,MATCH(R19&amp;"",'Chart of Accounts'!$A$5:$A$3000,0)),"")</f>
        <v/>
      </c>
      <c r="W19" s="23">
        <f>IF(LEFT(S19,8)="Revenue|",-N(F19),0)+IF(LEFT(T19,8)="Revenue|",-N(J19),0)+IF(LEFT(U19,8)="Revenue|",N(N19),0)+IF(LEFT(V19,8)="Revenue|",N(M19),0)</f>
        <v/>
      </c>
      <c r="X19" s="23">
        <f>IF(LEFT(S19,5)="COGS|",N(F19),0)+IF(LEFT(T19,5)="COGS|",N(J19),0)+IF(LEFT(U19,5)="COGS|",-N(N19),0)+IF(LEFT(V19,5)="COGS|",-N(M19),0)</f>
        <v/>
      </c>
      <c r="Y19" s="23">
        <f>IF(LEFT(S19,8)="Expense|",N(F19),0)+IF(LEFT(T19,8)="Expense|",N(J19),0)+IF(LEFT(U19,8)="Expense|",-N(N19),0)+IF(LEFT(V19,8)="Expense|",-N(M19),0)</f>
        <v/>
      </c>
      <c r="Z19" s="23">
        <f>IF(ISNUMBER(MATCH(S19,{"Expense|employee","Expense|general_admin","Expense|marketing","Expense|utilities","Expense|other_operating"},0)),N(F19),0)+IF(ISNUMBER(MATCH(T19,{"Expense|employee","Expense|general_admin","Expense|marketing","Expense|utilities","Expense|other_operating"},0)),N(J19),0)+IF(ISNUMBER(MATCH(U19,{"Expense|employee","Expense|general_admin","Expense|marketing","Expense|utilities","Expense|other_operating"},0)),-N(N19),0)+IF(ISNUMBER(MATCH(V19,{"Expense|employee","Expense|general_admin","Expense|marketing","Expense|utilities","Expense|other_operating"},0)),-N(M19),0)</f>
        <v/>
      </c>
      <c r="AA19" s="23">
        <f>IF(S19="Liability|payable",-N(F19),0)+IF(T19="Liability|payable",-N(J19),0)+IF(U19="Liability|payable",N(N19),0)+IF(V19="Liability|payable",N(M19),0)</f>
        <v/>
      </c>
      <c r="AB19" s="23">
        <f>IF(S19="Liability|accrued",-N(F19),0)+IF(T19="Liability|accrued",-N(J19),0)+IF(U19="Liability|accrued",N(N19),0)+IF(V19="Liability|accrued",N(M19),0)</f>
        <v/>
      </c>
      <c r="AC19" s="23">
        <f>IF(AND(N(F19)&lt;&gt;0,S19=""),1,0)+IF(AND(N(J19)&lt;&gt;0,T19=""),1,0)+IF(AND(N(N19)&lt;&gt;0,U19=""),1,0)+IF(AND(N(M19)&lt;&gt;0,V19=""),1,0)</f>
        <v/>
      </c>
    </row>
    <row r="20">
      <c r="A20" s="19" t="n"/>
      <c r="B20" s="14" t="n"/>
      <c r="C20" s="14" t="n"/>
      <c r="D20" s="14" t="n"/>
      <c r="E20" s="14" t="n"/>
      <c r="F20" s="20" t="n"/>
      <c r="G20" s="14" t="n"/>
      <c r="H20" s="14" t="n"/>
      <c r="I20" s="14" t="n"/>
      <c r="J20" s="20" t="n"/>
      <c r="K20" s="14" t="n"/>
      <c r="L20" s="21">
        <f>N(F20)+N(J20)</f>
        <v/>
      </c>
      <c r="M20" s="21">
        <f>IF(K20="",0,L20-ROUND(L20/(1+IFERROR(VLOOKUP(K20,'Tax Codes'!$A$5:$E$300,5,FALSE),0)),2))</f>
        <v/>
      </c>
      <c r="N20" s="21">
        <f>L20-M20</f>
        <v/>
      </c>
      <c r="O20" s="16">
        <f>IF(H20="",INDEX('Chart of Accounts'!$A$5:$A$3000,MATCH("bank",'Chart of Accounts'!$F$5:$F$3000,0)),H20&amp;"")</f>
        <v/>
      </c>
      <c r="P20" s="16">
        <f>IF(I20="",INDEX('Chart of Accounts'!$A$5:$A$3000,MATCH("revenue",'Chart of Accounts'!$F$5:$F$3000,0)),I20&amp;"")</f>
        <v/>
      </c>
      <c r="Q20" s="16">
        <f>INDEX('Chart of Accounts'!$A$5:$A$3000,MATCH("wht_receivable",'Chart of Accounts'!$F$5:$F$3000,0))</f>
        <v/>
      </c>
      <c r="R20" s="16">
        <f>INDEX('Chart of Accounts'!$A$5:$A$3000,MATCH("vat_output",'Chart of Accounts'!$F$5:$F$3000,0))</f>
        <v/>
      </c>
      <c r="S20" s="23">
        <f>IFERROR(INDEX('Chart of Accounts'!$C$5:$C$3000,MATCH(O20&amp;"",'Chart of Accounts'!$A$5:$A$3000,0))&amp;"|"&amp;INDEX('Chart of Accounts'!$D$5:$D$3000,MATCH(O20&amp;"",'Chart of Accounts'!$A$5:$A$3000,0)),"")</f>
        <v/>
      </c>
      <c r="T20" s="23">
        <f>IFERROR(INDEX('Chart of Accounts'!$C$5:$C$3000,MATCH(Q20&amp;"",'Chart of Accounts'!$A$5:$A$3000,0))&amp;"|"&amp;INDEX('Chart of Accounts'!$D$5:$D$3000,MATCH(Q20&amp;"",'Chart of Accounts'!$A$5:$A$3000,0)),"")</f>
        <v/>
      </c>
      <c r="U20" s="23">
        <f>IFERROR(INDEX('Chart of Accounts'!$C$5:$C$3000,MATCH(P20&amp;"",'Chart of Accounts'!$A$5:$A$3000,0))&amp;"|"&amp;INDEX('Chart of Accounts'!$D$5:$D$3000,MATCH(P20&amp;"",'Chart of Accounts'!$A$5:$A$3000,0)),"")</f>
        <v/>
      </c>
      <c r="V20" s="23">
        <f>IFERROR(INDEX('Chart of Accounts'!$C$5:$C$3000,MATCH(R20&amp;"",'Chart of Accounts'!$A$5:$A$3000,0))&amp;"|"&amp;INDEX('Chart of Accounts'!$D$5:$D$3000,MATCH(R20&amp;"",'Chart of Accounts'!$A$5:$A$3000,0)),"")</f>
        <v/>
      </c>
      <c r="W20" s="23">
        <f>IF(LEFT(S20,8)="Revenue|",-N(F20),0)+IF(LEFT(T20,8)="Revenue|",-N(J20),0)+IF(LEFT(U20,8)="Revenue|",N(N20),0)+IF(LEFT(V20,8)="Revenue|",N(M20),0)</f>
        <v/>
      </c>
      <c r="X20" s="23">
        <f>IF(LEFT(S20,5)="COGS|",N(F20),0)+IF(LEFT(T20,5)="COGS|",N(J20),0)+IF(LEFT(U20,5)="COGS|",-N(N20),0)+IF(LEFT(V20,5)="COGS|",-N(M20),0)</f>
        <v/>
      </c>
      <c r="Y20" s="23">
        <f>IF(LEFT(S20,8)="Expense|",N(F20),0)+IF(LEFT(T20,8)="Expense|",N(J20),0)+IF(LEFT(U20,8)="Expense|",-N(N20),0)+IF(LEFT(V20,8)="Expense|",-N(M20),0)</f>
        <v/>
      </c>
      <c r="Z20" s="23">
        <f>IF(ISNUMBER(MATCH(S20,{"Expense|employee","Expense|general_admin","Expense|marketing","Expense|utilities","Expense|other_operating"},0)),N(F20),0)+IF(ISNUMBER(MATCH(T20,{"Expense|employee","Expense|general_admin","Expense|marketing","Expense|utilities","Expense|other_operating"},0)),N(J20),0)+IF(ISNUMBER(MATCH(U20,{"Expense|employee","Expense|general_admin","Expense|marketing","Expense|utilities","Expense|other_operating"},0)),-N(N20),0)+IF(ISNUMBER(MATCH(V20,{"Expense|employee","Expense|general_admin","Expense|marketing","Expense|utilities","Expense|other_operating"},0)),-N(M20),0)</f>
        <v/>
      </c>
      <c r="AA20" s="23">
        <f>IF(S20="Liability|payable",-N(F20),0)+IF(T20="Liability|payable",-N(J20),0)+IF(U20="Liability|payable",N(N20),0)+IF(V20="Liability|payable",N(M20),0)</f>
        <v/>
      </c>
      <c r="AB20" s="23">
        <f>IF(S20="Liability|accrued",-N(F20),0)+IF(T20="Liability|accrued",-N(J20),0)+IF(U20="Liability|accrued",N(N20),0)+IF(V20="Liability|accrued",N(M20),0)</f>
        <v/>
      </c>
      <c r="AC20" s="23">
        <f>IF(AND(N(F20)&lt;&gt;0,S20=""),1,0)+IF(AND(N(J20)&lt;&gt;0,T20=""),1,0)+IF(AND(N(N20)&lt;&gt;0,U20=""),1,0)+IF(AND(N(M20)&lt;&gt;0,V20=""),1,0)</f>
        <v/>
      </c>
    </row>
    <row r="21">
      <c r="A21" s="19" t="n"/>
      <c r="B21" s="14" t="n"/>
      <c r="C21" s="14" t="n"/>
      <c r="D21" s="14" t="n"/>
      <c r="E21" s="14" t="n"/>
      <c r="F21" s="20" t="n"/>
      <c r="G21" s="14" t="n"/>
      <c r="H21" s="14" t="n"/>
      <c r="I21" s="14" t="n"/>
      <c r="J21" s="20" t="n"/>
      <c r="K21" s="14" t="n"/>
      <c r="L21" s="21">
        <f>N(F21)+N(J21)</f>
        <v/>
      </c>
      <c r="M21" s="21">
        <f>IF(K21="",0,L21-ROUND(L21/(1+IFERROR(VLOOKUP(K21,'Tax Codes'!$A$5:$E$300,5,FALSE),0)),2))</f>
        <v/>
      </c>
      <c r="N21" s="21">
        <f>L21-M21</f>
        <v/>
      </c>
      <c r="O21" s="16">
        <f>IF(H21="",INDEX('Chart of Accounts'!$A$5:$A$3000,MATCH("bank",'Chart of Accounts'!$F$5:$F$3000,0)),H21&amp;"")</f>
        <v/>
      </c>
      <c r="P21" s="16">
        <f>IF(I21="",INDEX('Chart of Accounts'!$A$5:$A$3000,MATCH("revenue",'Chart of Accounts'!$F$5:$F$3000,0)),I21&amp;"")</f>
        <v/>
      </c>
      <c r="Q21" s="16">
        <f>INDEX('Chart of Accounts'!$A$5:$A$3000,MATCH("wht_receivable",'Chart of Accounts'!$F$5:$F$3000,0))</f>
        <v/>
      </c>
      <c r="R21" s="16">
        <f>INDEX('Chart of Accounts'!$A$5:$A$3000,MATCH("vat_output",'Chart of Accounts'!$F$5:$F$3000,0))</f>
        <v/>
      </c>
      <c r="S21" s="23">
        <f>IFERROR(INDEX('Chart of Accounts'!$C$5:$C$3000,MATCH(O21&amp;"",'Chart of Accounts'!$A$5:$A$3000,0))&amp;"|"&amp;INDEX('Chart of Accounts'!$D$5:$D$3000,MATCH(O21&amp;"",'Chart of Accounts'!$A$5:$A$3000,0)),"")</f>
        <v/>
      </c>
      <c r="T21" s="23">
        <f>IFERROR(INDEX('Chart of Accounts'!$C$5:$C$3000,MATCH(Q21&amp;"",'Chart of Accounts'!$A$5:$A$3000,0))&amp;"|"&amp;INDEX('Chart of Accounts'!$D$5:$D$3000,MATCH(Q21&amp;"",'Chart of Accounts'!$A$5:$A$3000,0)),"")</f>
        <v/>
      </c>
      <c r="U21" s="23">
        <f>IFERROR(INDEX('Chart of Accounts'!$C$5:$C$3000,MATCH(P21&amp;"",'Chart of Accounts'!$A$5:$A$3000,0))&amp;"|"&amp;INDEX('Chart of Accounts'!$D$5:$D$3000,MATCH(P21&amp;"",'Chart of Accounts'!$A$5:$A$3000,0)),"")</f>
        <v/>
      </c>
      <c r="V21" s="23">
        <f>IFERROR(INDEX('Chart of Accounts'!$C$5:$C$3000,MATCH(R21&amp;"",'Chart of Accounts'!$A$5:$A$3000,0))&amp;"|"&amp;INDEX('Chart of Accounts'!$D$5:$D$3000,MATCH(R21&amp;"",'Chart of Accounts'!$A$5:$A$3000,0)),"")</f>
        <v/>
      </c>
      <c r="W21" s="23">
        <f>IF(LEFT(S21,8)="Revenue|",-N(F21),0)+IF(LEFT(T21,8)="Revenue|",-N(J21),0)+IF(LEFT(U21,8)="Revenue|",N(N21),0)+IF(LEFT(V21,8)="Revenue|",N(M21),0)</f>
        <v/>
      </c>
      <c r="X21" s="23">
        <f>IF(LEFT(S21,5)="COGS|",N(F21),0)+IF(LEFT(T21,5)="COGS|",N(J21),0)+IF(LEFT(U21,5)="COGS|",-N(N21),0)+IF(LEFT(V21,5)="COGS|",-N(M21),0)</f>
        <v/>
      </c>
      <c r="Y21" s="23">
        <f>IF(LEFT(S21,8)="Expense|",N(F21),0)+IF(LEFT(T21,8)="Expense|",N(J21),0)+IF(LEFT(U21,8)="Expense|",-N(N21),0)+IF(LEFT(V21,8)="Expense|",-N(M21),0)</f>
        <v/>
      </c>
      <c r="Z21" s="23">
        <f>IF(ISNUMBER(MATCH(S21,{"Expense|employee","Expense|general_admin","Expense|marketing","Expense|utilities","Expense|other_operating"},0)),N(F21),0)+IF(ISNUMBER(MATCH(T21,{"Expense|employee","Expense|general_admin","Expense|marketing","Expense|utilities","Expense|other_operating"},0)),N(J21),0)+IF(ISNUMBER(MATCH(U21,{"Expense|employee","Expense|general_admin","Expense|marketing","Expense|utilities","Expense|other_operating"},0)),-N(N21),0)+IF(ISNUMBER(MATCH(V21,{"Expense|employee","Expense|general_admin","Expense|marketing","Expense|utilities","Expense|other_operating"},0)),-N(M21),0)</f>
        <v/>
      </c>
      <c r="AA21" s="23">
        <f>IF(S21="Liability|payable",-N(F21),0)+IF(T21="Liability|payable",-N(J21),0)+IF(U21="Liability|payable",N(N21),0)+IF(V21="Liability|payable",N(M21),0)</f>
        <v/>
      </c>
      <c r="AB21" s="23">
        <f>IF(S21="Liability|accrued",-N(F21),0)+IF(T21="Liability|accrued",-N(J21),0)+IF(U21="Liability|accrued",N(N21),0)+IF(V21="Liability|accrued",N(M21),0)</f>
        <v/>
      </c>
      <c r="AC21" s="23">
        <f>IF(AND(N(F21)&lt;&gt;0,S21=""),1,0)+IF(AND(N(J21)&lt;&gt;0,T21=""),1,0)+IF(AND(N(N21)&lt;&gt;0,U21=""),1,0)+IF(AND(N(M21)&lt;&gt;0,V21=""),1,0)</f>
        <v/>
      </c>
    </row>
    <row r="22">
      <c r="A22" s="19" t="n"/>
      <c r="B22" s="14" t="n"/>
      <c r="C22" s="14" t="n"/>
      <c r="D22" s="14" t="n"/>
      <c r="E22" s="14" t="n"/>
      <c r="F22" s="20" t="n"/>
      <c r="G22" s="14" t="n"/>
      <c r="H22" s="14" t="n"/>
      <c r="I22" s="14" t="n"/>
      <c r="J22" s="20" t="n"/>
      <c r="K22" s="14" t="n"/>
      <c r="L22" s="21">
        <f>N(F22)+N(J22)</f>
        <v/>
      </c>
      <c r="M22" s="21">
        <f>IF(K22="",0,L22-ROUND(L22/(1+IFERROR(VLOOKUP(K22,'Tax Codes'!$A$5:$E$300,5,FALSE),0)),2))</f>
        <v/>
      </c>
      <c r="N22" s="21">
        <f>L22-M22</f>
        <v/>
      </c>
      <c r="O22" s="16">
        <f>IF(H22="",INDEX('Chart of Accounts'!$A$5:$A$3000,MATCH("bank",'Chart of Accounts'!$F$5:$F$3000,0)),H22&amp;"")</f>
        <v/>
      </c>
      <c r="P22" s="16">
        <f>IF(I22="",INDEX('Chart of Accounts'!$A$5:$A$3000,MATCH("revenue",'Chart of Accounts'!$F$5:$F$3000,0)),I22&amp;"")</f>
        <v/>
      </c>
      <c r="Q22" s="16">
        <f>INDEX('Chart of Accounts'!$A$5:$A$3000,MATCH("wht_receivable",'Chart of Accounts'!$F$5:$F$3000,0))</f>
        <v/>
      </c>
      <c r="R22" s="16">
        <f>INDEX('Chart of Accounts'!$A$5:$A$3000,MATCH("vat_output",'Chart of Accounts'!$F$5:$F$3000,0))</f>
        <v/>
      </c>
      <c r="S22" s="23">
        <f>IFERROR(INDEX('Chart of Accounts'!$C$5:$C$3000,MATCH(O22&amp;"",'Chart of Accounts'!$A$5:$A$3000,0))&amp;"|"&amp;INDEX('Chart of Accounts'!$D$5:$D$3000,MATCH(O22&amp;"",'Chart of Accounts'!$A$5:$A$3000,0)),"")</f>
        <v/>
      </c>
      <c r="T22" s="23">
        <f>IFERROR(INDEX('Chart of Accounts'!$C$5:$C$3000,MATCH(Q22&amp;"",'Chart of Accounts'!$A$5:$A$3000,0))&amp;"|"&amp;INDEX('Chart of Accounts'!$D$5:$D$3000,MATCH(Q22&amp;"",'Chart of Accounts'!$A$5:$A$3000,0)),"")</f>
        <v/>
      </c>
      <c r="U22" s="23">
        <f>IFERROR(INDEX('Chart of Accounts'!$C$5:$C$3000,MATCH(P22&amp;"",'Chart of Accounts'!$A$5:$A$3000,0))&amp;"|"&amp;INDEX('Chart of Accounts'!$D$5:$D$3000,MATCH(P22&amp;"",'Chart of Accounts'!$A$5:$A$3000,0)),"")</f>
        <v/>
      </c>
      <c r="V22" s="23">
        <f>IFERROR(INDEX('Chart of Accounts'!$C$5:$C$3000,MATCH(R22&amp;"",'Chart of Accounts'!$A$5:$A$3000,0))&amp;"|"&amp;INDEX('Chart of Accounts'!$D$5:$D$3000,MATCH(R22&amp;"",'Chart of Accounts'!$A$5:$A$3000,0)),"")</f>
        <v/>
      </c>
      <c r="W22" s="23">
        <f>IF(LEFT(S22,8)="Revenue|",-N(F22),0)+IF(LEFT(T22,8)="Revenue|",-N(J22),0)+IF(LEFT(U22,8)="Revenue|",N(N22),0)+IF(LEFT(V22,8)="Revenue|",N(M22),0)</f>
        <v/>
      </c>
      <c r="X22" s="23">
        <f>IF(LEFT(S22,5)="COGS|",N(F22),0)+IF(LEFT(T22,5)="COGS|",N(J22),0)+IF(LEFT(U22,5)="COGS|",-N(N22),0)+IF(LEFT(V22,5)="COGS|",-N(M22),0)</f>
        <v/>
      </c>
      <c r="Y22" s="23">
        <f>IF(LEFT(S22,8)="Expense|",N(F22),0)+IF(LEFT(T22,8)="Expense|",N(J22),0)+IF(LEFT(U22,8)="Expense|",-N(N22),0)+IF(LEFT(V22,8)="Expense|",-N(M22),0)</f>
        <v/>
      </c>
      <c r="Z22" s="23">
        <f>IF(ISNUMBER(MATCH(S22,{"Expense|employee","Expense|general_admin","Expense|marketing","Expense|utilities","Expense|other_operating"},0)),N(F22),0)+IF(ISNUMBER(MATCH(T22,{"Expense|employee","Expense|general_admin","Expense|marketing","Expense|utilities","Expense|other_operating"},0)),N(J22),0)+IF(ISNUMBER(MATCH(U22,{"Expense|employee","Expense|general_admin","Expense|marketing","Expense|utilities","Expense|other_operating"},0)),-N(N22),0)+IF(ISNUMBER(MATCH(V22,{"Expense|employee","Expense|general_admin","Expense|marketing","Expense|utilities","Expense|other_operating"},0)),-N(M22),0)</f>
        <v/>
      </c>
      <c r="AA22" s="23">
        <f>IF(S22="Liability|payable",-N(F22),0)+IF(T22="Liability|payable",-N(J22),0)+IF(U22="Liability|payable",N(N22),0)+IF(V22="Liability|payable",N(M22),0)</f>
        <v/>
      </c>
      <c r="AB22" s="23">
        <f>IF(S22="Liability|accrued",-N(F22),0)+IF(T22="Liability|accrued",-N(J22),0)+IF(U22="Liability|accrued",N(N22),0)+IF(V22="Liability|accrued",N(M22),0)</f>
        <v/>
      </c>
      <c r="AC22" s="23">
        <f>IF(AND(N(F22)&lt;&gt;0,S22=""),1,0)+IF(AND(N(J22)&lt;&gt;0,T22=""),1,0)+IF(AND(N(N22)&lt;&gt;0,U22=""),1,0)+IF(AND(N(M22)&lt;&gt;0,V22=""),1,0)</f>
        <v/>
      </c>
    </row>
    <row r="23">
      <c r="A23" s="19" t="n"/>
      <c r="B23" s="14" t="n"/>
      <c r="C23" s="14" t="n"/>
      <c r="D23" s="14" t="n"/>
      <c r="E23" s="14" t="n"/>
      <c r="F23" s="20" t="n"/>
      <c r="G23" s="14" t="n"/>
      <c r="H23" s="14" t="n"/>
      <c r="I23" s="14" t="n"/>
      <c r="J23" s="20" t="n"/>
      <c r="K23" s="14" t="n"/>
      <c r="L23" s="21">
        <f>N(F23)+N(J23)</f>
        <v/>
      </c>
      <c r="M23" s="21">
        <f>IF(K23="",0,L23-ROUND(L23/(1+IFERROR(VLOOKUP(K23,'Tax Codes'!$A$5:$E$300,5,FALSE),0)),2))</f>
        <v/>
      </c>
      <c r="N23" s="21">
        <f>L23-M23</f>
        <v/>
      </c>
      <c r="O23" s="16">
        <f>IF(H23="",INDEX('Chart of Accounts'!$A$5:$A$3000,MATCH("bank",'Chart of Accounts'!$F$5:$F$3000,0)),H23&amp;"")</f>
        <v/>
      </c>
      <c r="P23" s="16">
        <f>IF(I23="",INDEX('Chart of Accounts'!$A$5:$A$3000,MATCH("revenue",'Chart of Accounts'!$F$5:$F$3000,0)),I23&amp;"")</f>
        <v/>
      </c>
      <c r="Q23" s="16">
        <f>INDEX('Chart of Accounts'!$A$5:$A$3000,MATCH("wht_receivable",'Chart of Accounts'!$F$5:$F$3000,0))</f>
        <v/>
      </c>
      <c r="R23" s="16">
        <f>INDEX('Chart of Accounts'!$A$5:$A$3000,MATCH("vat_output",'Chart of Accounts'!$F$5:$F$3000,0))</f>
        <v/>
      </c>
      <c r="S23" s="23">
        <f>IFERROR(INDEX('Chart of Accounts'!$C$5:$C$3000,MATCH(O23&amp;"",'Chart of Accounts'!$A$5:$A$3000,0))&amp;"|"&amp;INDEX('Chart of Accounts'!$D$5:$D$3000,MATCH(O23&amp;"",'Chart of Accounts'!$A$5:$A$3000,0)),"")</f>
        <v/>
      </c>
      <c r="T23" s="23">
        <f>IFERROR(INDEX('Chart of Accounts'!$C$5:$C$3000,MATCH(Q23&amp;"",'Chart of Accounts'!$A$5:$A$3000,0))&amp;"|"&amp;INDEX('Chart of Accounts'!$D$5:$D$3000,MATCH(Q23&amp;"",'Chart of Accounts'!$A$5:$A$3000,0)),"")</f>
        <v/>
      </c>
      <c r="U23" s="23">
        <f>IFERROR(INDEX('Chart of Accounts'!$C$5:$C$3000,MATCH(P23&amp;"",'Chart of Accounts'!$A$5:$A$3000,0))&amp;"|"&amp;INDEX('Chart of Accounts'!$D$5:$D$3000,MATCH(P23&amp;"",'Chart of Accounts'!$A$5:$A$3000,0)),"")</f>
        <v/>
      </c>
      <c r="V23" s="23">
        <f>IFERROR(INDEX('Chart of Accounts'!$C$5:$C$3000,MATCH(R23&amp;"",'Chart of Accounts'!$A$5:$A$3000,0))&amp;"|"&amp;INDEX('Chart of Accounts'!$D$5:$D$3000,MATCH(R23&amp;"",'Chart of Accounts'!$A$5:$A$3000,0)),"")</f>
        <v/>
      </c>
      <c r="W23" s="23">
        <f>IF(LEFT(S23,8)="Revenue|",-N(F23),0)+IF(LEFT(T23,8)="Revenue|",-N(J23),0)+IF(LEFT(U23,8)="Revenue|",N(N23),0)+IF(LEFT(V23,8)="Revenue|",N(M23),0)</f>
        <v/>
      </c>
      <c r="X23" s="23">
        <f>IF(LEFT(S23,5)="COGS|",N(F23),0)+IF(LEFT(T23,5)="COGS|",N(J23),0)+IF(LEFT(U23,5)="COGS|",-N(N23),0)+IF(LEFT(V23,5)="COGS|",-N(M23),0)</f>
        <v/>
      </c>
      <c r="Y23" s="23">
        <f>IF(LEFT(S23,8)="Expense|",N(F23),0)+IF(LEFT(T23,8)="Expense|",N(J23),0)+IF(LEFT(U23,8)="Expense|",-N(N23),0)+IF(LEFT(V23,8)="Expense|",-N(M23),0)</f>
        <v/>
      </c>
      <c r="Z23" s="23">
        <f>IF(ISNUMBER(MATCH(S23,{"Expense|employee","Expense|general_admin","Expense|marketing","Expense|utilities","Expense|other_operating"},0)),N(F23),0)+IF(ISNUMBER(MATCH(T23,{"Expense|employee","Expense|general_admin","Expense|marketing","Expense|utilities","Expense|other_operating"},0)),N(J23),0)+IF(ISNUMBER(MATCH(U23,{"Expense|employee","Expense|general_admin","Expense|marketing","Expense|utilities","Expense|other_operating"},0)),-N(N23),0)+IF(ISNUMBER(MATCH(V23,{"Expense|employee","Expense|general_admin","Expense|marketing","Expense|utilities","Expense|other_operating"},0)),-N(M23),0)</f>
        <v/>
      </c>
      <c r="AA23" s="23">
        <f>IF(S23="Liability|payable",-N(F23),0)+IF(T23="Liability|payable",-N(J23),0)+IF(U23="Liability|payable",N(N23),0)+IF(V23="Liability|payable",N(M23),0)</f>
        <v/>
      </c>
      <c r="AB23" s="23">
        <f>IF(S23="Liability|accrued",-N(F23),0)+IF(T23="Liability|accrued",-N(J23),0)+IF(U23="Liability|accrued",N(N23),0)+IF(V23="Liability|accrued",N(M23),0)</f>
        <v/>
      </c>
      <c r="AC23" s="23">
        <f>IF(AND(N(F23)&lt;&gt;0,S23=""),1,0)+IF(AND(N(J23)&lt;&gt;0,T23=""),1,0)+IF(AND(N(N23)&lt;&gt;0,U23=""),1,0)+IF(AND(N(M23)&lt;&gt;0,V23=""),1,0)</f>
        <v/>
      </c>
    </row>
    <row r="24">
      <c r="A24" s="19" t="n"/>
      <c r="B24" s="14" t="n"/>
      <c r="C24" s="14" t="n"/>
      <c r="D24" s="14" t="n"/>
      <c r="E24" s="14" t="n"/>
      <c r="F24" s="20" t="n"/>
      <c r="G24" s="14" t="n"/>
      <c r="H24" s="14" t="n"/>
      <c r="I24" s="14" t="n"/>
      <c r="J24" s="20" t="n"/>
      <c r="K24" s="14" t="n"/>
      <c r="L24" s="21">
        <f>N(F24)+N(J24)</f>
        <v/>
      </c>
      <c r="M24" s="21">
        <f>IF(K24="",0,L24-ROUND(L24/(1+IFERROR(VLOOKUP(K24,'Tax Codes'!$A$5:$E$300,5,FALSE),0)),2))</f>
        <v/>
      </c>
      <c r="N24" s="21">
        <f>L24-M24</f>
        <v/>
      </c>
      <c r="O24" s="16">
        <f>IF(H24="",INDEX('Chart of Accounts'!$A$5:$A$3000,MATCH("bank",'Chart of Accounts'!$F$5:$F$3000,0)),H24&amp;"")</f>
        <v/>
      </c>
      <c r="P24" s="16">
        <f>IF(I24="",INDEX('Chart of Accounts'!$A$5:$A$3000,MATCH("revenue",'Chart of Accounts'!$F$5:$F$3000,0)),I24&amp;"")</f>
        <v/>
      </c>
      <c r="Q24" s="16">
        <f>INDEX('Chart of Accounts'!$A$5:$A$3000,MATCH("wht_receivable",'Chart of Accounts'!$F$5:$F$3000,0))</f>
        <v/>
      </c>
      <c r="R24" s="16">
        <f>INDEX('Chart of Accounts'!$A$5:$A$3000,MATCH("vat_output",'Chart of Accounts'!$F$5:$F$3000,0))</f>
        <v/>
      </c>
      <c r="S24" s="23">
        <f>IFERROR(INDEX('Chart of Accounts'!$C$5:$C$3000,MATCH(O24&amp;"",'Chart of Accounts'!$A$5:$A$3000,0))&amp;"|"&amp;INDEX('Chart of Accounts'!$D$5:$D$3000,MATCH(O24&amp;"",'Chart of Accounts'!$A$5:$A$3000,0)),"")</f>
        <v/>
      </c>
      <c r="T24" s="23">
        <f>IFERROR(INDEX('Chart of Accounts'!$C$5:$C$3000,MATCH(Q24&amp;"",'Chart of Accounts'!$A$5:$A$3000,0))&amp;"|"&amp;INDEX('Chart of Accounts'!$D$5:$D$3000,MATCH(Q24&amp;"",'Chart of Accounts'!$A$5:$A$3000,0)),"")</f>
        <v/>
      </c>
      <c r="U24" s="23">
        <f>IFERROR(INDEX('Chart of Accounts'!$C$5:$C$3000,MATCH(P24&amp;"",'Chart of Accounts'!$A$5:$A$3000,0))&amp;"|"&amp;INDEX('Chart of Accounts'!$D$5:$D$3000,MATCH(P24&amp;"",'Chart of Accounts'!$A$5:$A$3000,0)),"")</f>
        <v/>
      </c>
      <c r="V24" s="23">
        <f>IFERROR(INDEX('Chart of Accounts'!$C$5:$C$3000,MATCH(R24&amp;"",'Chart of Accounts'!$A$5:$A$3000,0))&amp;"|"&amp;INDEX('Chart of Accounts'!$D$5:$D$3000,MATCH(R24&amp;"",'Chart of Accounts'!$A$5:$A$3000,0)),"")</f>
        <v/>
      </c>
      <c r="W24" s="23">
        <f>IF(LEFT(S24,8)="Revenue|",-N(F24),0)+IF(LEFT(T24,8)="Revenue|",-N(J24),0)+IF(LEFT(U24,8)="Revenue|",N(N24),0)+IF(LEFT(V24,8)="Revenue|",N(M24),0)</f>
        <v/>
      </c>
      <c r="X24" s="23">
        <f>IF(LEFT(S24,5)="COGS|",N(F24),0)+IF(LEFT(T24,5)="COGS|",N(J24),0)+IF(LEFT(U24,5)="COGS|",-N(N24),0)+IF(LEFT(V24,5)="COGS|",-N(M24),0)</f>
        <v/>
      </c>
      <c r="Y24" s="23">
        <f>IF(LEFT(S24,8)="Expense|",N(F24),0)+IF(LEFT(T24,8)="Expense|",N(J24),0)+IF(LEFT(U24,8)="Expense|",-N(N24),0)+IF(LEFT(V24,8)="Expense|",-N(M24),0)</f>
        <v/>
      </c>
      <c r="Z24" s="23">
        <f>IF(ISNUMBER(MATCH(S24,{"Expense|employee","Expense|general_admin","Expense|marketing","Expense|utilities","Expense|other_operating"},0)),N(F24),0)+IF(ISNUMBER(MATCH(T24,{"Expense|employee","Expense|general_admin","Expense|marketing","Expense|utilities","Expense|other_operating"},0)),N(J24),0)+IF(ISNUMBER(MATCH(U24,{"Expense|employee","Expense|general_admin","Expense|marketing","Expense|utilities","Expense|other_operating"},0)),-N(N24),0)+IF(ISNUMBER(MATCH(V24,{"Expense|employee","Expense|general_admin","Expense|marketing","Expense|utilities","Expense|other_operating"},0)),-N(M24),0)</f>
        <v/>
      </c>
      <c r="AA24" s="23">
        <f>IF(S24="Liability|payable",-N(F24),0)+IF(T24="Liability|payable",-N(J24),0)+IF(U24="Liability|payable",N(N24),0)+IF(V24="Liability|payable",N(M24),0)</f>
        <v/>
      </c>
      <c r="AB24" s="23">
        <f>IF(S24="Liability|accrued",-N(F24),0)+IF(T24="Liability|accrued",-N(J24),0)+IF(U24="Liability|accrued",N(N24),0)+IF(V24="Liability|accrued",N(M24),0)</f>
        <v/>
      </c>
      <c r="AC24" s="23">
        <f>IF(AND(N(F24)&lt;&gt;0,S24=""),1,0)+IF(AND(N(J24)&lt;&gt;0,T24=""),1,0)+IF(AND(N(N24)&lt;&gt;0,U24=""),1,0)+IF(AND(N(M24)&lt;&gt;0,V24=""),1,0)</f>
        <v/>
      </c>
    </row>
    <row r="25">
      <c r="A25" s="19" t="n"/>
      <c r="B25" s="14" t="n"/>
      <c r="C25" s="14" t="n"/>
      <c r="D25" s="14" t="n"/>
      <c r="E25" s="14" t="n"/>
      <c r="F25" s="20" t="n"/>
      <c r="G25" s="14" t="n"/>
      <c r="H25" s="14" t="n"/>
      <c r="I25" s="14" t="n"/>
      <c r="J25" s="20" t="n"/>
      <c r="K25" s="14" t="n"/>
      <c r="L25" s="21">
        <f>N(F25)+N(J25)</f>
        <v/>
      </c>
      <c r="M25" s="21">
        <f>IF(K25="",0,L25-ROUND(L25/(1+IFERROR(VLOOKUP(K25,'Tax Codes'!$A$5:$E$300,5,FALSE),0)),2))</f>
        <v/>
      </c>
      <c r="N25" s="21">
        <f>L25-M25</f>
        <v/>
      </c>
      <c r="O25" s="16">
        <f>IF(H25="",INDEX('Chart of Accounts'!$A$5:$A$3000,MATCH("bank",'Chart of Accounts'!$F$5:$F$3000,0)),H25&amp;"")</f>
        <v/>
      </c>
      <c r="P25" s="16">
        <f>IF(I25="",INDEX('Chart of Accounts'!$A$5:$A$3000,MATCH("revenue",'Chart of Accounts'!$F$5:$F$3000,0)),I25&amp;"")</f>
        <v/>
      </c>
      <c r="Q25" s="16">
        <f>INDEX('Chart of Accounts'!$A$5:$A$3000,MATCH("wht_receivable",'Chart of Accounts'!$F$5:$F$3000,0))</f>
        <v/>
      </c>
      <c r="R25" s="16">
        <f>INDEX('Chart of Accounts'!$A$5:$A$3000,MATCH("vat_output",'Chart of Accounts'!$F$5:$F$3000,0))</f>
        <v/>
      </c>
      <c r="S25" s="23">
        <f>IFERROR(INDEX('Chart of Accounts'!$C$5:$C$3000,MATCH(O25&amp;"",'Chart of Accounts'!$A$5:$A$3000,0))&amp;"|"&amp;INDEX('Chart of Accounts'!$D$5:$D$3000,MATCH(O25&amp;"",'Chart of Accounts'!$A$5:$A$3000,0)),"")</f>
        <v/>
      </c>
      <c r="T25" s="23">
        <f>IFERROR(INDEX('Chart of Accounts'!$C$5:$C$3000,MATCH(Q25&amp;"",'Chart of Accounts'!$A$5:$A$3000,0))&amp;"|"&amp;INDEX('Chart of Accounts'!$D$5:$D$3000,MATCH(Q25&amp;"",'Chart of Accounts'!$A$5:$A$3000,0)),"")</f>
        <v/>
      </c>
      <c r="U25" s="23">
        <f>IFERROR(INDEX('Chart of Accounts'!$C$5:$C$3000,MATCH(P25&amp;"",'Chart of Accounts'!$A$5:$A$3000,0))&amp;"|"&amp;INDEX('Chart of Accounts'!$D$5:$D$3000,MATCH(P25&amp;"",'Chart of Accounts'!$A$5:$A$3000,0)),"")</f>
        <v/>
      </c>
      <c r="V25" s="23">
        <f>IFERROR(INDEX('Chart of Accounts'!$C$5:$C$3000,MATCH(R25&amp;"",'Chart of Accounts'!$A$5:$A$3000,0))&amp;"|"&amp;INDEX('Chart of Accounts'!$D$5:$D$3000,MATCH(R25&amp;"",'Chart of Accounts'!$A$5:$A$3000,0)),"")</f>
        <v/>
      </c>
      <c r="W25" s="23">
        <f>IF(LEFT(S25,8)="Revenue|",-N(F25),0)+IF(LEFT(T25,8)="Revenue|",-N(J25),0)+IF(LEFT(U25,8)="Revenue|",N(N25),0)+IF(LEFT(V25,8)="Revenue|",N(M25),0)</f>
        <v/>
      </c>
      <c r="X25" s="23">
        <f>IF(LEFT(S25,5)="COGS|",N(F25),0)+IF(LEFT(T25,5)="COGS|",N(J25),0)+IF(LEFT(U25,5)="COGS|",-N(N25),0)+IF(LEFT(V25,5)="COGS|",-N(M25),0)</f>
        <v/>
      </c>
      <c r="Y25" s="23">
        <f>IF(LEFT(S25,8)="Expense|",N(F25),0)+IF(LEFT(T25,8)="Expense|",N(J25),0)+IF(LEFT(U25,8)="Expense|",-N(N25),0)+IF(LEFT(V25,8)="Expense|",-N(M25),0)</f>
        <v/>
      </c>
      <c r="Z25" s="23">
        <f>IF(ISNUMBER(MATCH(S25,{"Expense|employee","Expense|general_admin","Expense|marketing","Expense|utilities","Expense|other_operating"},0)),N(F25),0)+IF(ISNUMBER(MATCH(T25,{"Expense|employee","Expense|general_admin","Expense|marketing","Expense|utilities","Expense|other_operating"},0)),N(J25),0)+IF(ISNUMBER(MATCH(U25,{"Expense|employee","Expense|general_admin","Expense|marketing","Expense|utilities","Expense|other_operating"},0)),-N(N25),0)+IF(ISNUMBER(MATCH(V25,{"Expense|employee","Expense|general_admin","Expense|marketing","Expense|utilities","Expense|other_operating"},0)),-N(M25),0)</f>
        <v/>
      </c>
      <c r="AA25" s="23">
        <f>IF(S25="Liability|payable",-N(F25),0)+IF(T25="Liability|payable",-N(J25),0)+IF(U25="Liability|payable",N(N25),0)+IF(V25="Liability|payable",N(M25),0)</f>
        <v/>
      </c>
      <c r="AB25" s="23">
        <f>IF(S25="Liability|accrued",-N(F25),0)+IF(T25="Liability|accrued",-N(J25),0)+IF(U25="Liability|accrued",N(N25),0)+IF(V25="Liability|accrued",N(M25),0)</f>
        <v/>
      </c>
      <c r="AC25" s="23">
        <f>IF(AND(N(F25)&lt;&gt;0,S25=""),1,0)+IF(AND(N(J25)&lt;&gt;0,T25=""),1,0)+IF(AND(N(N25)&lt;&gt;0,U25=""),1,0)+IF(AND(N(M25)&lt;&gt;0,V25=""),1,0)</f>
        <v/>
      </c>
    </row>
    <row r="26">
      <c r="A26" s="19" t="n"/>
      <c r="B26" s="14" t="n"/>
      <c r="C26" s="14" t="n"/>
      <c r="D26" s="14" t="n"/>
      <c r="E26" s="14" t="n"/>
      <c r="F26" s="20" t="n"/>
      <c r="G26" s="14" t="n"/>
      <c r="H26" s="14" t="n"/>
      <c r="I26" s="14" t="n"/>
      <c r="J26" s="20" t="n"/>
      <c r="K26" s="14" t="n"/>
      <c r="L26" s="21">
        <f>N(F26)+N(J26)</f>
        <v/>
      </c>
      <c r="M26" s="21">
        <f>IF(K26="",0,L26-ROUND(L26/(1+IFERROR(VLOOKUP(K26,'Tax Codes'!$A$5:$E$300,5,FALSE),0)),2))</f>
        <v/>
      </c>
      <c r="N26" s="21">
        <f>L26-M26</f>
        <v/>
      </c>
      <c r="O26" s="16">
        <f>IF(H26="",INDEX('Chart of Accounts'!$A$5:$A$3000,MATCH("bank",'Chart of Accounts'!$F$5:$F$3000,0)),H26&amp;"")</f>
        <v/>
      </c>
      <c r="P26" s="16">
        <f>IF(I26="",INDEX('Chart of Accounts'!$A$5:$A$3000,MATCH("revenue",'Chart of Accounts'!$F$5:$F$3000,0)),I26&amp;"")</f>
        <v/>
      </c>
      <c r="Q26" s="16">
        <f>INDEX('Chart of Accounts'!$A$5:$A$3000,MATCH("wht_receivable",'Chart of Accounts'!$F$5:$F$3000,0))</f>
        <v/>
      </c>
      <c r="R26" s="16">
        <f>INDEX('Chart of Accounts'!$A$5:$A$3000,MATCH("vat_output",'Chart of Accounts'!$F$5:$F$3000,0))</f>
        <v/>
      </c>
      <c r="S26" s="23">
        <f>IFERROR(INDEX('Chart of Accounts'!$C$5:$C$3000,MATCH(O26&amp;"",'Chart of Accounts'!$A$5:$A$3000,0))&amp;"|"&amp;INDEX('Chart of Accounts'!$D$5:$D$3000,MATCH(O26&amp;"",'Chart of Accounts'!$A$5:$A$3000,0)),"")</f>
        <v/>
      </c>
      <c r="T26" s="23">
        <f>IFERROR(INDEX('Chart of Accounts'!$C$5:$C$3000,MATCH(Q26&amp;"",'Chart of Accounts'!$A$5:$A$3000,0))&amp;"|"&amp;INDEX('Chart of Accounts'!$D$5:$D$3000,MATCH(Q26&amp;"",'Chart of Accounts'!$A$5:$A$3000,0)),"")</f>
        <v/>
      </c>
      <c r="U26" s="23">
        <f>IFERROR(INDEX('Chart of Accounts'!$C$5:$C$3000,MATCH(P26&amp;"",'Chart of Accounts'!$A$5:$A$3000,0))&amp;"|"&amp;INDEX('Chart of Accounts'!$D$5:$D$3000,MATCH(P26&amp;"",'Chart of Accounts'!$A$5:$A$3000,0)),"")</f>
        <v/>
      </c>
      <c r="V26" s="23">
        <f>IFERROR(INDEX('Chart of Accounts'!$C$5:$C$3000,MATCH(R26&amp;"",'Chart of Accounts'!$A$5:$A$3000,0))&amp;"|"&amp;INDEX('Chart of Accounts'!$D$5:$D$3000,MATCH(R26&amp;"",'Chart of Accounts'!$A$5:$A$3000,0)),"")</f>
        <v/>
      </c>
      <c r="W26" s="23">
        <f>IF(LEFT(S26,8)="Revenue|",-N(F26),0)+IF(LEFT(T26,8)="Revenue|",-N(J26),0)+IF(LEFT(U26,8)="Revenue|",N(N26),0)+IF(LEFT(V26,8)="Revenue|",N(M26),0)</f>
        <v/>
      </c>
      <c r="X26" s="23">
        <f>IF(LEFT(S26,5)="COGS|",N(F26),0)+IF(LEFT(T26,5)="COGS|",N(J26),0)+IF(LEFT(U26,5)="COGS|",-N(N26),0)+IF(LEFT(V26,5)="COGS|",-N(M26),0)</f>
        <v/>
      </c>
      <c r="Y26" s="23">
        <f>IF(LEFT(S26,8)="Expense|",N(F26),0)+IF(LEFT(T26,8)="Expense|",N(J26),0)+IF(LEFT(U26,8)="Expense|",-N(N26),0)+IF(LEFT(V26,8)="Expense|",-N(M26),0)</f>
        <v/>
      </c>
      <c r="Z26" s="23">
        <f>IF(ISNUMBER(MATCH(S26,{"Expense|employee","Expense|general_admin","Expense|marketing","Expense|utilities","Expense|other_operating"},0)),N(F26),0)+IF(ISNUMBER(MATCH(T26,{"Expense|employee","Expense|general_admin","Expense|marketing","Expense|utilities","Expense|other_operating"},0)),N(J26),0)+IF(ISNUMBER(MATCH(U26,{"Expense|employee","Expense|general_admin","Expense|marketing","Expense|utilities","Expense|other_operating"},0)),-N(N26),0)+IF(ISNUMBER(MATCH(V26,{"Expense|employee","Expense|general_admin","Expense|marketing","Expense|utilities","Expense|other_operating"},0)),-N(M26),0)</f>
        <v/>
      </c>
      <c r="AA26" s="23">
        <f>IF(S26="Liability|payable",-N(F26),0)+IF(T26="Liability|payable",-N(J26),0)+IF(U26="Liability|payable",N(N26),0)+IF(V26="Liability|payable",N(M26),0)</f>
        <v/>
      </c>
      <c r="AB26" s="23">
        <f>IF(S26="Liability|accrued",-N(F26),0)+IF(T26="Liability|accrued",-N(J26),0)+IF(U26="Liability|accrued",N(N26),0)+IF(V26="Liability|accrued",N(M26),0)</f>
        <v/>
      </c>
      <c r="AC26" s="23">
        <f>IF(AND(N(F26)&lt;&gt;0,S26=""),1,0)+IF(AND(N(J26)&lt;&gt;0,T26=""),1,0)+IF(AND(N(N26)&lt;&gt;0,U26=""),1,0)+IF(AND(N(M26)&lt;&gt;0,V26=""),1,0)</f>
        <v/>
      </c>
    </row>
    <row r="27">
      <c r="A27" s="19" t="n"/>
      <c r="B27" s="14" t="n"/>
      <c r="C27" s="14" t="n"/>
      <c r="D27" s="14" t="n"/>
      <c r="E27" s="14" t="n"/>
      <c r="F27" s="20" t="n"/>
      <c r="G27" s="14" t="n"/>
      <c r="H27" s="14" t="n"/>
      <c r="I27" s="14" t="n"/>
      <c r="J27" s="20" t="n"/>
      <c r="K27" s="14" t="n"/>
      <c r="L27" s="21">
        <f>N(F27)+N(J27)</f>
        <v/>
      </c>
      <c r="M27" s="21">
        <f>IF(K27="",0,L27-ROUND(L27/(1+IFERROR(VLOOKUP(K27,'Tax Codes'!$A$5:$E$300,5,FALSE),0)),2))</f>
        <v/>
      </c>
      <c r="N27" s="21">
        <f>L27-M27</f>
        <v/>
      </c>
      <c r="O27" s="16">
        <f>IF(H27="",INDEX('Chart of Accounts'!$A$5:$A$3000,MATCH("bank",'Chart of Accounts'!$F$5:$F$3000,0)),H27&amp;"")</f>
        <v/>
      </c>
      <c r="P27" s="16">
        <f>IF(I27="",INDEX('Chart of Accounts'!$A$5:$A$3000,MATCH("revenue",'Chart of Accounts'!$F$5:$F$3000,0)),I27&amp;"")</f>
        <v/>
      </c>
      <c r="Q27" s="16">
        <f>INDEX('Chart of Accounts'!$A$5:$A$3000,MATCH("wht_receivable",'Chart of Accounts'!$F$5:$F$3000,0))</f>
        <v/>
      </c>
      <c r="R27" s="16">
        <f>INDEX('Chart of Accounts'!$A$5:$A$3000,MATCH("vat_output",'Chart of Accounts'!$F$5:$F$3000,0))</f>
        <v/>
      </c>
      <c r="S27" s="23">
        <f>IFERROR(INDEX('Chart of Accounts'!$C$5:$C$3000,MATCH(O27&amp;"",'Chart of Accounts'!$A$5:$A$3000,0))&amp;"|"&amp;INDEX('Chart of Accounts'!$D$5:$D$3000,MATCH(O27&amp;"",'Chart of Accounts'!$A$5:$A$3000,0)),"")</f>
        <v/>
      </c>
      <c r="T27" s="23">
        <f>IFERROR(INDEX('Chart of Accounts'!$C$5:$C$3000,MATCH(Q27&amp;"",'Chart of Accounts'!$A$5:$A$3000,0))&amp;"|"&amp;INDEX('Chart of Accounts'!$D$5:$D$3000,MATCH(Q27&amp;"",'Chart of Accounts'!$A$5:$A$3000,0)),"")</f>
        <v/>
      </c>
      <c r="U27" s="23">
        <f>IFERROR(INDEX('Chart of Accounts'!$C$5:$C$3000,MATCH(P27&amp;"",'Chart of Accounts'!$A$5:$A$3000,0))&amp;"|"&amp;INDEX('Chart of Accounts'!$D$5:$D$3000,MATCH(P27&amp;"",'Chart of Accounts'!$A$5:$A$3000,0)),"")</f>
        <v/>
      </c>
      <c r="V27" s="23">
        <f>IFERROR(INDEX('Chart of Accounts'!$C$5:$C$3000,MATCH(R27&amp;"",'Chart of Accounts'!$A$5:$A$3000,0))&amp;"|"&amp;INDEX('Chart of Accounts'!$D$5:$D$3000,MATCH(R27&amp;"",'Chart of Accounts'!$A$5:$A$3000,0)),"")</f>
        <v/>
      </c>
      <c r="W27" s="23">
        <f>IF(LEFT(S27,8)="Revenue|",-N(F27),0)+IF(LEFT(T27,8)="Revenue|",-N(J27),0)+IF(LEFT(U27,8)="Revenue|",N(N27),0)+IF(LEFT(V27,8)="Revenue|",N(M27),0)</f>
        <v/>
      </c>
      <c r="X27" s="23">
        <f>IF(LEFT(S27,5)="COGS|",N(F27),0)+IF(LEFT(T27,5)="COGS|",N(J27),0)+IF(LEFT(U27,5)="COGS|",-N(N27),0)+IF(LEFT(V27,5)="COGS|",-N(M27),0)</f>
        <v/>
      </c>
      <c r="Y27" s="23">
        <f>IF(LEFT(S27,8)="Expense|",N(F27),0)+IF(LEFT(T27,8)="Expense|",N(J27),0)+IF(LEFT(U27,8)="Expense|",-N(N27),0)+IF(LEFT(V27,8)="Expense|",-N(M27),0)</f>
        <v/>
      </c>
      <c r="Z27" s="23">
        <f>IF(ISNUMBER(MATCH(S27,{"Expense|employee","Expense|general_admin","Expense|marketing","Expense|utilities","Expense|other_operating"},0)),N(F27),0)+IF(ISNUMBER(MATCH(T27,{"Expense|employee","Expense|general_admin","Expense|marketing","Expense|utilities","Expense|other_operating"},0)),N(J27),0)+IF(ISNUMBER(MATCH(U27,{"Expense|employee","Expense|general_admin","Expense|marketing","Expense|utilities","Expense|other_operating"},0)),-N(N27),0)+IF(ISNUMBER(MATCH(V27,{"Expense|employee","Expense|general_admin","Expense|marketing","Expense|utilities","Expense|other_operating"},0)),-N(M27),0)</f>
        <v/>
      </c>
      <c r="AA27" s="23">
        <f>IF(S27="Liability|payable",-N(F27),0)+IF(T27="Liability|payable",-N(J27),0)+IF(U27="Liability|payable",N(N27),0)+IF(V27="Liability|payable",N(M27),0)</f>
        <v/>
      </c>
      <c r="AB27" s="23">
        <f>IF(S27="Liability|accrued",-N(F27),0)+IF(T27="Liability|accrued",-N(J27),0)+IF(U27="Liability|accrued",N(N27),0)+IF(V27="Liability|accrued",N(M27),0)</f>
        <v/>
      </c>
      <c r="AC27" s="23">
        <f>IF(AND(N(F27)&lt;&gt;0,S27=""),1,0)+IF(AND(N(J27)&lt;&gt;0,T27=""),1,0)+IF(AND(N(N27)&lt;&gt;0,U27=""),1,0)+IF(AND(N(M27)&lt;&gt;0,V27=""),1,0)</f>
        <v/>
      </c>
    </row>
    <row r="28">
      <c r="A28" s="19" t="n"/>
      <c r="B28" s="14" t="n"/>
      <c r="C28" s="14" t="n"/>
      <c r="D28" s="14" t="n"/>
      <c r="E28" s="14" t="n"/>
      <c r="F28" s="20" t="n"/>
      <c r="G28" s="14" t="n"/>
      <c r="H28" s="14" t="n"/>
      <c r="I28" s="14" t="n"/>
      <c r="J28" s="20" t="n"/>
      <c r="K28" s="14" t="n"/>
      <c r="L28" s="21">
        <f>N(F28)+N(J28)</f>
        <v/>
      </c>
      <c r="M28" s="21">
        <f>IF(K28="",0,L28-ROUND(L28/(1+IFERROR(VLOOKUP(K28,'Tax Codes'!$A$5:$E$300,5,FALSE),0)),2))</f>
        <v/>
      </c>
      <c r="N28" s="21">
        <f>L28-M28</f>
        <v/>
      </c>
      <c r="O28" s="16">
        <f>IF(H28="",INDEX('Chart of Accounts'!$A$5:$A$3000,MATCH("bank",'Chart of Accounts'!$F$5:$F$3000,0)),H28&amp;"")</f>
        <v/>
      </c>
      <c r="P28" s="16">
        <f>IF(I28="",INDEX('Chart of Accounts'!$A$5:$A$3000,MATCH("revenue",'Chart of Accounts'!$F$5:$F$3000,0)),I28&amp;"")</f>
        <v/>
      </c>
      <c r="Q28" s="16">
        <f>INDEX('Chart of Accounts'!$A$5:$A$3000,MATCH("wht_receivable",'Chart of Accounts'!$F$5:$F$3000,0))</f>
        <v/>
      </c>
      <c r="R28" s="16">
        <f>INDEX('Chart of Accounts'!$A$5:$A$3000,MATCH("vat_output",'Chart of Accounts'!$F$5:$F$3000,0))</f>
        <v/>
      </c>
      <c r="S28" s="23">
        <f>IFERROR(INDEX('Chart of Accounts'!$C$5:$C$3000,MATCH(O28&amp;"",'Chart of Accounts'!$A$5:$A$3000,0))&amp;"|"&amp;INDEX('Chart of Accounts'!$D$5:$D$3000,MATCH(O28&amp;"",'Chart of Accounts'!$A$5:$A$3000,0)),"")</f>
        <v/>
      </c>
      <c r="T28" s="23">
        <f>IFERROR(INDEX('Chart of Accounts'!$C$5:$C$3000,MATCH(Q28&amp;"",'Chart of Accounts'!$A$5:$A$3000,0))&amp;"|"&amp;INDEX('Chart of Accounts'!$D$5:$D$3000,MATCH(Q28&amp;"",'Chart of Accounts'!$A$5:$A$3000,0)),"")</f>
        <v/>
      </c>
      <c r="U28" s="23">
        <f>IFERROR(INDEX('Chart of Accounts'!$C$5:$C$3000,MATCH(P28&amp;"",'Chart of Accounts'!$A$5:$A$3000,0))&amp;"|"&amp;INDEX('Chart of Accounts'!$D$5:$D$3000,MATCH(P28&amp;"",'Chart of Accounts'!$A$5:$A$3000,0)),"")</f>
        <v/>
      </c>
      <c r="V28" s="23">
        <f>IFERROR(INDEX('Chart of Accounts'!$C$5:$C$3000,MATCH(R28&amp;"",'Chart of Accounts'!$A$5:$A$3000,0))&amp;"|"&amp;INDEX('Chart of Accounts'!$D$5:$D$3000,MATCH(R28&amp;"",'Chart of Accounts'!$A$5:$A$3000,0)),"")</f>
        <v/>
      </c>
      <c r="W28" s="23">
        <f>IF(LEFT(S28,8)="Revenue|",-N(F28),0)+IF(LEFT(T28,8)="Revenue|",-N(J28),0)+IF(LEFT(U28,8)="Revenue|",N(N28),0)+IF(LEFT(V28,8)="Revenue|",N(M28),0)</f>
        <v/>
      </c>
      <c r="X28" s="23">
        <f>IF(LEFT(S28,5)="COGS|",N(F28),0)+IF(LEFT(T28,5)="COGS|",N(J28),0)+IF(LEFT(U28,5)="COGS|",-N(N28),0)+IF(LEFT(V28,5)="COGS|",-N(M28),0)</f>
        <v/>
      </c>
      <c r="Y28" s="23">
        <f>IF(LEFT(S28,8)="Expense|",N(F28),0)+IF(LEFT(T28,8)="Expense|",N(J28),0)+IF(LEFT(U28,8)="Expense|",-N(N28),0)+IF(LEFT(V28,8)="Expense|",-N(M28),0)</f>
        <v/>
      </c>
      <c r="Z28" s="23">
        <f>IF(ISNUMBER(MATCH(S28,{"Expense|employee","Expense|general_admin","Expense|marketing","Expense|utilities","Expense|other_operating"},0)),N(F28),0)+IF(ISNUMBER(MATCH(T28,{"Expense|employee","Expense|general_admin","Expense|marketing","Expense|utilities","Expense|other_operating"},0)),N(J28),0)+IF(ISNUMBER(MATCH(U28,{"Expense|employee","Expense|general_admin","Expense|marketing","Expense|utilities","Expense|other_operating"},0)),-N(N28),0)+IF(ISNUMBER(MATCH(V28,{"Expense|employee","Expense|general_admin","Expense|marketing","Expense|utilities","Expense|other_operating"},0)),-N(M28),0)</f>
        <v/>
      </c>
      <c r="AA28" s="23">
        <f>IF(S28="Liability|payable",-N(F28),0)+IF(T28="Liability|payable",-N(J28),0)+IF(U28="Liability|payable",N(N28),0)+IF(V28="Liability|payable",N(M28),0)</f>
        <v/>
      </c>
      <c r="AB28" s="23">
        <f>IF(S28="Liability|accrued",-N(F28),0)+IF(T28="Liability|accrued",-N(J28),0)+IF(U28="Liability|accrued",N(N28),0)+IF(V28="Liability|accrued",N(M28),0)</f>
        <v/>
      </c>
      <c r="AC28" s="23">
        <f>IF(AND(N(F28)&lt;&gt;0,S28=""),1,0)+IF(AND(N(J28)&lt;&gt;0,T28=""),1,0)+IF(AND(N(N28)&lt;&gt;0,U28=""),1,0)+IF(AND(N(M28)&lt;&gt;0,V28=""),1,0)</f>
        <v/>
      </c>
    </row>
    <row r="29">
      <c r="A29" s="19" t="n"/>
      <c r="B29" s="14" t="n"/>
      <c r="C29" s="14" t="n"/>
      <c r="D29" s="14" t="n"/>
      <c r="E29" s="14" t="n"/>
      <c r="F29" s="20" t="n"/>
      <c r="G29" s="14" t="n"/>
      <c r="H29" s="14" t="n"/>
      <c r="I29" s="14" t="n"/>
      <c r="J29" s="20" t="n"/>
      <c r="K29" s="14" t="n"/>
      <c r="L29" s="21">
        <f>N(F29)+N(J29)</f>
        <v/>
      </c>
      <c r="M29" s="21">
        <f>IF(K29="",0,L29-ROUND(L29/(1+IFERROR(VLOOKUP(K29,'Tax Codes'!$A$5:$E$300,5,FALSE),0)),2))</f>
        <v/>
      </c>
      <c r="N29" s="21">
        <f>L29-M29</f>
        <v/>
      </c>
      <c r="O29" s="16">
        <f>IF(H29="",INDEX('Chart of Accounts'!$A$5:$A$3000,MATCH("bank",'Chart of Accounts'!$F$5:$F$3000,0)),H29&amp;"")</f>
        <v/>
      </c>
      <c r="P29" s="16">
        <f>IF(I29="",INDEX('Chart of Accounts'!$A$5:$A$3000,MATCH("revenue",'Chart of Accounts'!$F$5:$F$3000,0)),I29&amp;"")</f>
        <v/>
      </c>
      <c r="Q29" s="16">
        <f>INDEX('Chart of Accounts'!$A$5:$A$3000,MATCH("wht_receivable",'Chart of Accounts'!$F$5:$F$3000,0))</f>
        <v/>
      </c>
      <c r="R29" s="16">
        <f>INDEX('Chart of Accounts'!$A$5:$A$3000,MATCH("vat_output",'Chart of Accounts'!$F$5:$F$3000,0))</f>
        <v/>
      </c>
      <c r="S29" s="23">
        <f>IFERROR(INDEX('Chart of Accounts'!$C$5:$C$3000,MATCH(O29&amp;"",'Chart of Accounts'!$A$5:$A$3000,0))&amp;"|"&amp;INDEX('Chart of Accounts'!$D$5:$D$3000,MATCH(O29&amp;"",'Chart of Accounts'!$A$5:$A$3000,0)),"")</f>
        <v/>
      </c>
      <c r="T29" s="23">
        <f>IFERROR(INDEX('Chart of Accounts'!$C$5:$C$3000,MATCH(Q29&amp;"",'Chart of Accounts'!$A$5:$A$3000,0))&amp;"|"&amp;INDEX('Chart of Accounts'!$D$5:$D$3000,MATCH(Q29&amp;"",'Chart of Accounts'!$A$5:$A$3000,0)),"")</f>
        <v/>
      </c>
      <c r="U29" s="23">
        <f>IFERROR(INDEX('Chart of Accounts'!$C$5:$C$3000,MATCH(P29&amp;"",'Chart of Accounts'!$A$5:$A$3000,0))&amp;"|"&amp;INDEX('Chart of Accounts'!$D$5:$D$3000,MATCH(P29&amp;"",'Chart of Accounts'!$A$5:$A$3000,0)),"")</f>
        <v/>
      </c>
      <c r="V29" s="23">
        <f>IFERROR(INDEX('Chart of Accounts'!$C$5:$C$3000,MATCH(R29&amp;"",'Chart of Accounts'!$A$5:$A$3000,0))&amp;"|"&amp;INDEX('Chart of Accounts'!$D$5:$D$3000,MATCH(R29&amp;"",'Chart of Accounts'!$A$5:$A$3000,0)),"")</f>
        <v/>
      </c>
      <c r="W29" s="23">
        <f>IF(LEFT(S29,8)="Revenue|",-N(F29),0)+IF(LEFT(T29,8)="Revenue|",-N(J29),0)+IF(LEFT(U29,8)="Revenue|",N(N29),0)+IF(LEFT(V29,8)="Revenue|",N(M29),0)</f>
        <v/>
      </c>
      <c r="X29" s="23">
        <f>IF(LEFT(S29,5)="COGS|",N(F29),0)+IF(LEFT(T29,5)="COGS|",N(J29),0)+IF(LEFT(U29,5)="COGS|",-N(N29),0)+IF(LEFT(V29,5)="COGS|",-N(M29),0)</f>
        <v/>
      </c>
      <c r="Y29" s="23">
        <f>IF(LEFT(S29,8)="Expense|",N(F29),0)+IF(LEFT(T29,8)="Expense|",N(J29),0)+IF(LEFT(U29,8)="Expense|",-N(N29),0)+IF(LEFT(V29,8)="Expense|",-N(M29),0)</f>
        <v/>
      </c>
      <c r="Z29" s="23">
        <f>IF(ISNUMBER(MATCH(S29,{"Expense|employee","Expense|general_admin","Expense|marketing","Expense|utilities","Expense|other_operating"},0)),N(F29),0)+IF(ISNUMBER(MATCH(T29,{"Expense|employee","Expense|general_admin","Expense|marketing","Expense|utilities","Expense|other_operating"},0)),N(J29),0)+IF(ISNUMBER(MATCH(U29,{"Expense|employee","Expense|general_admin","Expense|marketing","Expense|utilities","Expense|other_operating"},0)),-N(N29),0)+IF(ISNUMBER(MATCH(V29,{"Expense|employee","Expense|general_admin","Expense|marketing","Expense|utilities","Expense|other_operating"},0)),-N(M29),0)</f>
        <v/>
      </c>
      <c r="AA29" s="23">
        <f>IF(S29="Liability|payable",-N(F29),0)+IF(T29="Liability|payable",-N(J29),0)+IF(U29="Liability|payable",N(N29),0)+IF(V29="Liability|payable",N(M29),0)</f>
        <v/>
      </c>
      <c r="AB29" s="23">
        <f>IF(S29="Liability|accrued",-N(F29),0)+IF(T29="Liability|accrued",-N(J29),0)+IF(U29="Liability|accrued",N(N29),0)+IF(V29="Liability|accrued",N(M29),0)</f>
        <v/>
      </c>
      <c r="AC29" s="23">
        <f>IF(AND(N(F29)&lt;&gt;0,S29=""),1,0)+IF(AND(N(J29)&lt;&gt;0,T29=""),1,0)+IF(AND(N(N29)&lt;&gt;0,U29=""),1,0)+IF(AND(N(M29)&lt;&gt;0,V29=""),1,0)</f>
        <v/>
      </c>
    </row>
    <row r="30">
      <c r="A30" s="19" t="n"/>
      <c r="B30" s="14" t="n"/>
      <c r="C30" s="14" t="n"/>
      <c r="D30" s="14" t="n"/>
      <c r="E30" s="14" t="n"/>
      <c r="F30" s="20" t="n"/>
      <c r="G30" s="14" t="n"/>
      <c r="H30" s="14" t="n"/>
      <c r="I30" s="14" t="n"/>
      <c r="J30" s="20" t="n"/>
      <c r="K30" s="14" t="n"/>
      <c r="L30" s="21">
        <f>N(F30)+N(J30)</f>
        <v/>
      </c>
      <c r="M30" s="21">
        <f>IF(K30="",0,L30-ROUND(L30/(1+IFERROR(VLOOKUP(K30,'Tax Codes'!$A$5:$E$300,5,FALSE),0)),2))</f>
        <v/>
      </c>
      <c r="N30" s="21">
        <f>L30-M30</f>
        <v/>
      </c>
      <c r="O30" s="16">
        <f>IF(H30="",INDEX('Chart of Accounts'!$A$5:$A$3000,MATCH("bank",'Chart of Accounts'!$F$5:$F$3000,0)),H30&amp;"")</f>
        <v/>
      </c>
      <c r="P30" s="16">
        <f>IF(I30="",INDEX('Chart of Accounts'!$A$5:$A$3000,MATCH("revenue",'Chart of Accounts'!$F$5:$F$3000,0)),I30&amp;"")</f>
        <v/>
      </c>
      <c r="Q30" s="16">
        <f>INDEX('Chart of Accounts'!$A$5:$A$3000,MATCH("wht_receivable",'Chart of Accounts'!$F$5:$F$3000,0))</f>
        <v/>
      </c>
      <c r="R30" s="16">
        <f>INDEX('Chart of Accounts'!$A$5:$A$3000,MATCH("vat_output",'Chart of Accounts'!$F$5:$F$3000,0))</f>
        <v/>
      </c>
      <c r="S30" s="23">
        <f>IFERROR(INDEX('Chart of Accounts'!$C$5:$C$3000,MATCH(O30&amp;"",'Chart of Accounts'!$A$5:$A$3000,0))&amp;"|"&amp;INDEX('Chart of Accounts'!$D$5:$D$3000,MATCH(O30&amp;"",'Chart of Accounts'!$A$5:$A$3000,0)),"")</f>
        <v/>
      </c>
      <c r="T30" s="23">
        <f>IFERROR(INDEX('Chart of Accounts'!$C$5:$C$3000,MATCH(Q30&amp;"",'Chart of Accounts'!$A$5:$A$3000,0))&amp;"|"&amp;INDEX('Chart of Accounts'!$D$5:$D$3000,MATCH(Q30&amp;"",'Chart of Accounts'!$A$5:$A$3000,0)),"")</f>
        <v/>
      </c>
      <c r="U30" s="23">
        <f>IFERROR(INDEX('Chart of Accounts'!$C$5:$C$3000,MATCH(P30&amp;"",'Chart of Accounts'!$A$5:$A$3000,0))&amp;"|"&amp;INDEX('Chart of Accounts'!$D$5:$D$3000,MATCH(P30&amp;"",'Chart of Accounts'!$A$5:$A$3000,0)),"")</f>
        <v/>
      </c>
      <c r="V30" s="23">
        <f>IFERROR(INDEX('Chart of Accounts'!$C$5:$C$3000,MATCH(R30&amp;"",'Chart of Accounts'!$A$5:$A$3000,0))&amp;"|"&amp;INDEX('Chart of Accounts'!$D$5:$D$3000,MATCH(R30&amp;"",'Chart of Accounts'!$A$5:$A$3000,0)),"")</f>
        <v/>
      </c>
      <c r="W30" s="23">
        <f>IF(LEFT(S30,8)="Revenue|",-N(F30),0)+IF(LEFT(T30,8)="Revenue|",-N(J30),0)+IF(LEFT(U30,8)="Revenue|",N(N30),0)+IF(LEFT(V30,8)="Revenue|",N(M30),0)</f>
        <v/>
      </c>
      <c r="X30" s="23">
        <f>IF(LEFT(S30,5)="COGS|",N(F30),0)+IF(LEFT(T30,5)="COGS|",N(J30),0)+IF(LEFT(U30,5)="COGS|",-N(N30),0)+IF(LEFT(V30,5)="COGS|",-N(M30),0)</f>
        <v/>
      </c>
      <c r="Y30" s="23">
        <f>IF(LEFT(S30,8)="Expense|",N(F30),0)+IF(LEFT(T30,8)="Expense|",N(J30),0)+IF(LEFT(U30,8)="Expense|",-N(N30),0)+IF(LEFT(V30,8)="Expense|",-N(M30),0)</f>
        <v/>
      </c>
      <c r="Z30" s="23">
        <f>IF(ISNUMBER(MATCH(S30,{"Expense|employee","Expense|general_admin","Expense|marketing","Expense|utilities","Expense|other_operating"},0)),N(F30),0)+IF(ISNUMBER(MATCH(T30,{"Expense|employee","Expense|general_admin","Expense|marketing","Expense|utilities","Expense|other_operating"},0)),N(J30),0)+IF(ISNUMBER(MATCH(U30,{"Expense|employee","Expense|general_admin","Expense|marketing","Expense|utilities","Expense|other_operating"},0)),-N(N30),0)+IF(ISNUMBER(MATCH(V30,{"Expense|employee","Expense|general_admin","Expense|marketing","Expense|utilities","Expense|other_operating"},0)),-N(M30),0)</f>
        <v/>
      </c>
      <c r="AA30" s="23">
        <f>IF(S30="Liability|payable",-N(F30),0)+IF(T30="Liability|payable",-N(J30),0)+IF(U30="Liability|payable",N(N30),0)+IF(V30="Liability|payable",N(M30),0)</f>
        <v/>
      </c>
      <c r="AB30" s="23">
        <f>IF(S30="Liability|accrued",-N(F30),0)+IF(T30="Liability|accrued",-N(J30),0)+IF(U30="Liability|accrued",N(N30),0)+IF(V30="Liability|accrued",N(M30),0)</f>
        <v/>
      </c>
      <c r="AC30" s="23">
        <f>IF(AND(N(F30)&lt;&gt;0,S30=""),1,0)+IF(AND(N(J30)&lt;&gt;0,T30=""),1,0)+IF(AND(N(N30)&lt;&gt;0,U30=""),1,0)+IF(AND(N(M30)&lt;&gt;0,V30=""),1,0)</f>
        <v/>
      </c>
    </row>
    <row r="31">
      <c r="A31" s="19" t="n"/>
      <c r="B31" s="14" t="n"/>
      <c r="C31" s="14" t="n"/>
      <c r="D31" s="14" t="n"/>
      <c r="E31" s="14" t="n"/>
      <c r="F31" s="20" t="n"/>
      <c r="G31" s="14" t="n"/>
      <c r="H31" s="14" t="n"/>
      <c r="I31" s="14" t="n"/>
      <c r="J31" s="20" t="n"/>
      <c r="K31" s="14" t="n"/>
      <c r="L31" s="21">
        <f>N(F31)+N(J31)</f>
        <v/>
      </c>
      <c r="M31" s="21">
        <f>IF(K31="",0,L31-ROUND(L31/(1+IFERROR(VLOOKUP(K31,'Tax Codes'!$A$5:$E$300,5,FALSE),0)),2))</f>
        <v/>
      </c>
      <c r="N31" s="21">
        <f>L31-M31</f>
        <v/>
      </c>
      <c r="O31" s="16">
        <f>IF(H31="",INDEX('Chart of Accounts'!$A$5:$A$3000,MATCH("bank",'Chart of Accounts'!$F$5:$F$3000,0)),H31&amp;"")</f>
        <v/>
      </c>
      <c r="P31" s="16">
        <f>IF(I31="",INDEX('Chart of Accounts'!$A$5:$A$3000,MATCH("revenue",'Chart of Accounts'!$F$5:$F$3000,0)),I31&amp;"")</f>
        <v/>
      </c>
      <c r="Q31" s="16">
        <f>INDEX('Chart of Accounts'!$A$5:$A$3000,MATCH("wht_receivable",'Chart of Accounts'!$F$5:$F$3000,0))</f>
        <v/>
      </c>
      <c r="R31" s="16">
        <f>INDEX('Chart of Accounts'!$A$5:$A$3000,MATCH("vat_output",'Chart of Accounts'!$F$5:$F$3000,0))</f>
        <v/>
      </c>
      <c r="S31" s="23">
        <f>IFERROR(INDEX('Chart of Accounts'!$C$5:$C$3000,MATCH(O31&amp;"",'Chart of Accounts'!$A$5:$A$3000,0))&amp;"|"&amp;INDEX('Chart of Accounts'!$D$5:$D$3000,MATCH(O31&amp;"",'Chart of Accounts'!$A$5:$A$3000,0)),"")</f>
        <v/>
      </c>
      <c r="T31" s="23">
        <f>IFERROR(INDEX('Chart of Accounts'!$C$5:$C$3000,MATCH(Q31&amp;"",'Chart of Accounts'!$A$5:$A$3000,0))&amp;"|"&amp;INDEX('Chart of Accounts'!$D$5:$D$3000,MATCH(Q31&amp;"",'Chart of Accounts'!$A$5:$A$3000,0)),"")</f>
        <v/>
      </c>
      <c r="U31" s="23">
        <f>IFERROR(INDEX('Chart of Accounts'!$C$5:$C$3000,MATCH(P31&amp;"",'Chart of Accounts'!$A$5:$A$3000,0))&amp;"|"&amp;INDEX('Chart of Accounts'!$D$5:$D$3000,MATCH(P31&amp;"",'Chart of Accounts'!$A$5:$A$3000,0)),"")</f>
        <v/>
      </c>
      <c r="V31" s="23">
        <f>IFERROR(INDEX('Chart of Accounts'!$C$5:$C$3000,MATCH(R31&amp;"",'Chart of Accounts'!$A$5:$A$3000,0))&amp;"|"&amp;INDEX('Chart of Accounts'!$D$5:$D$3000,MATCH(R31&amp;"",'Chart of Accounts'!$A$5:$A$3000,0)),"")</f>
        <v/>
      </c>
      <c r="W31" s="23">
        <f>IF(LEFT(S31,8)="Revenue|",-N(F31),0)+IF(LEFT(T31,8)="Revenue|",-N(J31),0)+IF(LEFT(U31,8)="Revenue|",N(N31),0)+IF(LEFT(V31,8)="Revenue|",N(M31),0)</f>
        <v/>
      </c>
      <c r="X31" s="23">
        <f>IF(LEFT(S31,5)="COGS|",N(F31),0)+IF(LEFT(T31,5)="COGS|",N(J31),0)+IF(LEFT(U31,5)="COGS|",-N(N31),0)+IF(LEFT(V31,5)="COGS|",-N(M31),0)</f>
        <v/>
      </c>
      <c r="Y31" s="23">
        <f>IF(LEFT(S31,8)="Expense|",N(F31),0)+IF(LEFT(T31,8)="Expense|",N(J31),0)+IF(LEFT(U31,8)="Expense|",-N(N31),0)+IF(LEFT(V31,8)="Expense|",-N(M31),0)</f>
        <v/>
      </c>
      <c r="Z31" s="23">
        <f>IF(ISNUMBER(MATCH(S31,{"Expense|employee","Expense|general_admin","Expense|marketing","Expense|utilities","Expense|other_operating"},0)),N(F31),0)+IF(ISNUMBER(MATCH(T31,{"Expense|employee","Expense|general_admin","Expense|marketing","Expense|utilities","Expense|other_operating"},0)),N(J31),0)+IF(ISNUMBER(MATCH(U31,{"Expense|employee","Expense|general_admin","Expense|marketing","Expense|utilities","Expense|other_operating"},0)),-N(N31),0)+IF(ISNUMBER(MATCH(V31,{"Expense|employee","Expense|general_admin","Expense|marketing","Expense|utilities","Expense|other_operating"},0)),-N(M31),0)</f>
        <v/>
      </c>
      <c r="AA31" s="23">
        <f>IF(S31="Liability|payable",-N(F31),0)+IF(T31="Liability|payable",-N(J31),0)+IF(U31="Liability|payable",N(N31),0)+IF(V31="Liability|payable",N(M31),0)</f>
        <v/>
      </c>
      <c r="AB31" s="23">
        <f>IF(S31="Liability|accrued",-N(F31),0)+IF(T31="Liability|accrued",-N(J31),0)+IF(U31="Liability|accrued",N(N31),0)+IF(V31="Liability|accrued",N(M31),0)</f>
        <v/>
      </c>
      <c r="AC31" s="23">
        <f>IF(AND(N(F31)&lt;&gt;0,S31=""),1,0)+IF(AND(N(J31)&lt;&gt;0,T31=""),1,0)+IF(AND(N(N31)&lt;&gt;0,U31=""),1,0)+IF(AND(N(M31)&lt;&gt;0,V31=""),1,0)</f>
        <v/>
      </c>
    </row>
    <row r="32">
      <c r="A32" s="19" t="n"/>
      <c r="B32" s="14" t="n"/>
      <c r="C32" s="14" t="n"/>
      <c r="D32" s="14" t="n"/>
      <c r="E32" s="14" t="n"/>
      <c r="F32" s="20" t="n"/>
      <c r="G32" s="14" t="n"/>
      <c r="H32" s="14" t="n"/>
      <c r="I32" s="14" t="n"/>
      <c r="J32" s="20" t="n"/>
      <c r="K32" s="14" t="n"/>
      <c r="L32" s="21">
        <f>N(F32)+N(J32)</f>
        <v/>
      </c>
      <c r="M32" s="21">
        <f>IF(K32="",0,L32-ROUND(L32/(1+IFERROR(VLOOKUP(K32,'Tax Codes'!$A$5:$E$300,5,FALSE),0)),2))</f>
        <v/>
      </c>
      <c r="N32" s="21">
        <f>L32-M32</f>
        <v/>
      </c>
      <c r="O32" s="16">
        <f>IF(H32="",INDEX('Chart of Accounts'!$A$5:$A$3000,MATCH("bank",'Chart of Accounts'!$F$5:$F$3000,0)),H32&amp;"")</f>
        <v/>
      </c>
      <c r="P32" s="16">
        <f>IF(I32="",INDEX('Chart of Accounts'!$A$5:$A$3000,MATCH("revenue",'Chart of Accounts'!$F$5:$F$3000,0)),I32&amp;"")</f>
        <v/>
      </c>
      <c r="Q32" s="16">
        <f>INDEX('Chart of Accounts'!$A$5:$A$3000,MATCH("wht_receivable",'Chart of Accounts'!$F$5:$F$3000,0))</f>
        <v/>
      </c>
      <c r="R32" s="16">
        <f>INDEX('Chart of Accounts'!$A$5:$A$3000,MATCH("vat_output",'Chart of Accounts'!$F$5:$F$3000,0))</f>
        <v/>
      </c>
      <c r="S32" s="23">
        <f>IFERROR(INDEX('Chart of Accounts'!$C$5:$C$3000,MATCH(O32&amp;"",'Chart of Accounts'!$A$5:$A$3000,0))&amp;"|"&amp;INDEX('Chart of Accounts'!$D$5:$D$3000,MATCH(O32&amp;"",'Chart of Accounts'!$A$5:$A$3000,0)),"")</f>
        <v/>
      </c>
      <c r="T32" s="23">
        <f>IFERROR(INDEX('Chart of Accounts'!$C$5:$C$3000,MATCH(Q32&amp;"",'Chart of Accounts'!$A$5:$A$3000,0))&amp;"|"&amp;INDEX('Chart of Accounts'!$D$5:$D$3000,MATCH(Q32&amp;"",'Chart of Accounts'!$A$5:$A$3000,0)),"")</f>
        <v/>
      </c>
      <c r="U32" s="23">
        <f>IFERROR(INDEX('Chart of Accounts'!$C$5:$C$3000,MATCH(P32&amp;"",'Chart of Accounts'!$A$5:$A$3000,0))&amp;"|"&amp;INDEX('Chart of Accounts'!$D$5:$D$3000,MATCH(P32&amp;"",'Chart of Accounts'!$A$5:$A$3000,0)),"")</f>
        <v/>
      </c>
      <c r="V32" s="23">
        <f>IFERROR(INDEX('Chart of Accounts'!$C$5:$C$3000,MATCH(R32&amp;"",'Chart of Accounts'!$A$5:$A$3000,0))&amp;"|"&amp;INDEX('Chart of Accounts'!$D$5:$D$3000,MATCH(R32&amp;"",'Chart of Accounts'!$A$5:$A$3000,0)),"")</f>
        <v/>
      </c>
      <c r="W32" s="23">
        <f>IF(LEFT(S32,8)="Revenue|",-N(F32),0)+IF(LEFT(T32,8)="Revenue|",-N(J32),0)+IF(LEFT(U32,8)="Revenue|",N(N32),0)+IF(LEFT(V32,8)="Revenue|",N(M32),0)</f>
        <v/>
      </c>
      <c r="X32" s="23">
        <f>IF(LEFT(S32,5)="COGS|",N(F32),0)+IF(LEFT(T32,5)="COGS|",N(J32),0)+IF(LEFT(U32,5)="COGS|",-N(N32),0)+IF(LEFT(V32,5)="COGS|",-N(M32),0)</f>
        <v/>
      </c>
      <c r="Y32" s="23">
        <f>IF(LEFT(S32,8)="Expense|",N(F32),0)+IF(LEFT(T32,8)="Expense|",N(J32),0)+IF(LEFT(U32,8)="Expense|",-N(N32),0)+IF(LEFT(V32,8)="Expense|",-N(M32),0)</f>
        <v/>
      </c>
      <c r="Z32" s="23">
        <f>IF(ISNUMBER(MATCH(S32,{"Expense|employee","Expense|general_admin","Expense|marketing","Expense|utilities","Expense|other_operating"},0)),N(F32),0)+IF(ISNUMBER(MATCH(T32,{"Expense|employee","Expense|general_admin","Expense|marketing","Expense|utilities","Expense|other_operating"},0)),N(J32),0)+IF(ISNUMBER(MATCH(U32,{"Expense|employee","Expense|general_admin","Expense|marketing","Expense|utilities","Expense|other_operating"},0)),-N(N32),0)+IF(ISNUMBER(MATCH(V32,{"Expense|employee","Expense|general_admin","Expense|marketing","Expense|utilities","Expense|other_operating"},0)),-N(M32),0)</f>
        <v/>
      </c>
      <c r="AA32" s="23">
        <f>IF(S32="Liability|payable",-N(F32),0)+IF(T32="Liability|payable",-N(J32),0)+IF(U32="Liability|payable",N(N32),0)+IF(V32="Liability|payable",N(M32),0)</f>
        <v/>
      </c>
      <c r="AB32" s="23">
        <f>IF(S32="Liability|accrued",-N(F32),0)+IF(T32="Liability|accrued",-N(J32),0)+IF(U32="Liability|accrued",N(N32),0)+IF(V32="Liability|accrued",N(M32),0)</f>
        <v/>
      </c>
      <c r="AC32" s="23">
        <f>IF(AND(N(F32)&lt;&gt;0,S32=""),1,0)+IF(AND(N(J32)&lt;&gt;0,T32=""),1,0)+IF(AND(N(N32)&lt;&gt;0,U32=""),1,0)+IF(AND(N(M32)&lt;&gt;0,V32=""),1,0)</f>
        <v/>
      </c>
    </row>
    <row r="33">
      <c r="A33" s="19" t="n"/>
      <c r="B33" s="14" t="n"/>
      <c r="C33" s="14" t="n"/>
      <c r="D33" s="14" t="n"/>
      <c r="E33" s="14" t="n"/>
      <c r="F33" s="20" t="n"/>
      <c r="G33" s="14" t="n"/>
      <c r="H33" s="14" t="n"/>
      <c r="I33" s="14" t="n"/>
      <c r="J33" s="20" t="n"/>
      <c r="K33" s="14" t="n"/>
      <c r="L33" s="21">
        <f>N(F33)+N(J33)</f>
        <v/>
      </c>
      <c r="M33" s="21">
        <f>IF(K33="",0,L33-ROUND(L33/(1+IFERROR(VLOOKUP(K33,'Tax Codes'!$A$5:$E$300,5,FALSE),0)),2))</f>
        <v/>
      </c>
      <c r="N33" s="21">
        <f>L33-M33</f>
        <v/>
      </c>
      <c r="O33" s="16">
        <f>IF(H33="",INDEX('Chart of Accounts'!$A$5:$A$3000,MATCH("bank",'Chart of Accounts'!$F$5:$F$3000,0)),H33&amp;"")</f>
        <v/>
      </c>
      <c r="P33" s="16">
        <f>IF(I33="",INDEX('Chart of Accounts'!$A$5:$A$3000,MATCH("revenue",'Chart of Accounts'!$F$5:$F$3000,0)),I33&amp;"")</f>
        <v/>
      </c>
      <c r="Q33" s="16">
        <f>INDEX('Chart of Accounts'!$A$5:$A$3000,MATCH("wht_receivable",'Chart of Accounts'!$F$5:$F$3000,0))</f>
        <v/>
      </c>
      <c r="R33" s="16">
        <f>INDEX('Chart of Accounts'!$A$5:$A$3000,MATCH("vat_output",'Chart of Accounts'!$F$5:$F$3000,0))</f>
        <v/>
      </c>
      <c r="S33" s="23">
        <f>IFERROR(INDEX('Chart of Accounts'!$C$5:$C$3000,MATCH(O33&amp;"",'Chart of Accounts'!$A$5:$A$3000,0))&amp;"|"&amp;INDEX('Chart of Accounts'!$D$5:$D$3000,MATCH(O33&amp;"",'Chart of Accounts'!$A$5:$A$3000,0)),"")</f>
        <v/>
      </c>
      <c r="T33" s="23">
        <f>IFERROR(INDEX('Chart of Accounts'!$C$5:$C$3000,MATCH(Q33&amp;"",'Chart of Accounts'!$A$5:$A$3000,0))&amp;"|"&amp;INDEX('Chart of Accounts'!$D$5:$D$3000,MATCH(Q33&amp;"",'Chart of Accounts'!$A$5:$A$3000,0)),"")</f>
        <v/>
      </c>
      <c r="U33" s="23">
        <f>IFERROR(INDEX('Chart of Accounts'!$C$5:$C$3000,MATCH(P33&amp;"",'Chart of Accounts'!$A$5:$A$3000,0))&amp;"|"&amp;INDEX('Chart of Accounts'!$D$5:$D$3000,MATCH(P33&amp;"",'Chart of Accounts'!$A$5:$A$3000,0)),"")</f>
        <v/>
      </c>
      <c r="V33" s="23">
        <f>IFERROR(INDEX('Chart of Accounts'!$C$5:$C$3000,MATCH(R33&amp;"",'Chart of Accounts'!$A$5:$A$3000,0))&amp;"|"&amp;INDEX('Chart of Accounts'!$D$5:$D$3000,MATCH(R33&amp;"",'Chart of Accounts'!$A$5:$A$3000,0)),"")</f>
        <v/>
      </c>
      <c r="W33" s="23">
        <f>IF(LEFT(S33,8)="Revenue|",-N(F33),0)+IF(LEFT(T33,8)="Revenue|",-N(J33),0)+IF(LEFT(U33,8)="Revenue|",N(N33),0)+IF(LEFT(V33,8)="Revenue|",N(M33),0)</f>
        <v/>
      </c>
      <c r="X33" s="23">
        <f>IF(LEFT(S33,5)="COGS|",N(F33),0)+IF(LEFT(T33,5)="COGS|",N(J33),0)+IF(LEFT(U33,5)="COGS|",-N(N33),0)+IF(LEFT(V33,5)="COGS|",-N(M33),0)</f>
        <v/>
      </c>
      <c r="Y33" s="23">
        <f>IF(LEFT(S33,8)="Expense|",N(F33),0)+IF(LEFT(T33,8)="Expense|",N(J33),0)+IF(LEFT(U33,8)="Expense|",-N(N33),0)+IF(LEFT(V33,8)="Expense|",-N(M33),0)</f>
        <v/>
      </c>
      <c r="Z33" s="23">
        <f>IF(ISNUMBER(MATCH(S33,{"Expense|employee","Expense|general_admin","Expense|marketing","Expense|utilities","Expense|other_operating"},0)),N(F33),0)+IF(ISNUMBER(MATCH(T33,{"Expense|employee","Expense|general_admin","Expense|marketing","Expense|utilities","Expense|other_operating"},0)),N(J33),0)+IF(ISNUMBER(MATCH(U33,{"Expense|employee","Expense|general_admin","Expense|marketing","Expense|utilities","Expense|other_operating"},0)),-N(N33),0)+IF(ISNUMBER(MATCH(V33,{"Expense|employee","Expense|general_admin","Expense|marketing","Expense|utilities","Expense|other_operating"},0)),-N(M33),0)</f>
        <v/>
      </c>
      <c r="AA33" s="23">
        <f>IF(S33="Liability|payable",-N(F33),0)+IF(T33="Liability|payable",-N(J33),0)+IF(U33="Liability|payable",N(N33),0)+IF(V33="Liability|payable",N(M33),0)</f>
        <v/>
      </c>
      <c r="AB33" s="23">
        <f>IF(S33="Liability|accrued",-N(F33),0)+IF(T33="Liability|accrued",-N(J33),0)+IF(U33="Liability|accrued",N(N33),0)+IF(V33="Liability|accrued",N(M33),0)</f>
        <v/>
      </c>
      <c r="AC33" s="23">
        <f>IF(AND(N(F33)&lt;&gt;0,S33=""),1,0)+IF(AND(N(J33)&lt;&gt;0,T33=""),1,0)+IF(AND(N(N33)&lt;&gt;0,U33=""),1,0)+IF(AND(N(M33)&lt;&gt;0,V33=""),1,0)</f>
        <v/>
      </c>
    </row>
    <row r="34">
      <c r="A34" s="19" t="n"/>
      <c r="B34" s="14" t="n"/>
      <c r="C34" s="14" t="n"/>
      <c r="D34" s="14" t="n"/>
      <c r="E34" s="14" t="n"/>
      <c r="F34" s="20" t="n"/>
      <c r="G34" s="14" t="n"/>
      <c r="H34" s="14" t="n"/>
      <c r="I34" s="14" t="n"/>
      <c r="J34" s="20" t="n"/>
      <c r="K34" s="14" t="n"/>
      <c r="L34" s="21">
        <f>N(F34)+N(J34)</f>
        <v/>
      </c>
      <c r="M34" s="21">
        <f>IF(K34="",0,L34-ROUND(L34/(1+IFERROR(VLOOKUP(K34,'Tax Codes'!$A$5:$E$300,5,FALSE),0)),2))</f>
        <v/>
      </c>
      <c r="N34" s="21">
        <f>L34-M34</f>
        <v/>
      </c>
      <c r="O34" s="16">
        <f>IF(H34="",INDEX('Chart of Accounts'!$A$5:$A$3000,MATCH("bank",'Chart of Accounts'!$F$5:$F$3000,0)),H34&amp;"")</f>
        <v/>
      </c>
      <c r="P34" s="16">
        <f>IF(I34="",INDEX('Chart of Accounts'!$A$5:$A$3000,MATCH("revenue",'Chart of Accounts'!$F$5:$F$3000,0)),I34&amp;"")</f>
        <v/>
      </c>
      <c r="Q34" s="16">
        <f>INDEX('Chart of Accounts'!$A$5:$A$3000,MATCH("wht_receivable",'Chart of Accounts'!$F$5:$F$3000,0))</f>
        <v/>
      </c>
      <c r="R34" s="16">
        <f>INDEX('Chart of Accounts'!$A$5:$A$3000,MATCH("vat_output",'Chart of Accounts'!$F$5:$F$3000,0))</f>
        <v/>
      </c>
      <c r="S34" s="23">
        <f>IFERROR(INDEX('Chart of Accounts'!$C$5:$C$3000,MATCH(O34&amp;"",'Chart of Accounts'!$A$5:$A$3000,0))&amp;"|"&amp;INDEX('Chart of Accounts'!$D$5:$D$3000,MATCH(O34&amp;"",'Chart of Accounts'!$A$5:$A$3000,0)),"")</f>
        <v/>
      </c>
      <c r="T34" s="23">
        <f>IFERROR(INDEX('Chart of Accounts'!$C$5:$C$3000,MATCH(Q34&amp;"",'Chart of Accounts'!$A$5:$A$3000,0))&amp;"|"&amp;INDEX('Chart of Accounts'!$D$5:$D$3000,MATCH(Q34&amp;"",'Chart of Accounts'!$A$5:$A$3000,0)),"")</f>
        <v/>
      </c>
      <c r="U34" s="23">
        <f>IFERROR(INDEX('Chart of Accounts'!$C$5:$C$3000,MATCH(P34&amp;"",'Chart of Accounts'!$A$5:$A$3000,0))&amp;"|"&amp;INDEX('Chart of Accounts'!$D$5:$D$3000,MATCH(P34&amp;"",'Chart of Accounts'!$A$5:$A$3000,0)),"")</f>
        <v/>
      </c>
      <c r="V34" s="23">
        <f>IFERROR(INDEX('Chart of Accounts'!$C$5:$C$3000,MATCH(R34&amp;"",'Chart of Accounts'!$A$5:$A$3000,0))&amp;"|"&amp;INDEX('Chart of Accounts'!$D$5:$D$3000,MATCH(R34&amp;"",'Chart of Accounts'!$A$5:$A$3000,0)),"")</f>
        <v/>
      </c>
      <c r="W34" s="23">
        <f>IF(LEFT(S34,8)="Revenue|",-N(F34),0)+IF(LEFT(T34,8)="Revenue|",-N(J34),0)+IF(LEFT(U34,8)="Revenue|",N(N34),0)+IF(LEFT(V34,8)="Revenue|",N(M34),0)</f>
        <v/>
      </c>
      <c r="X34" s="23">
        <f>IF(LEFT(S34,5)="COGS|",N(F34),0)+IF(LEFT(T34,5)="COGS|",N(J34),0)+IF(LEFT(U34,5)="COGS|",-N(N34),0)+IF(LEFT(V34,5)="COGS|",-N(M34),0)</f>
        <v/>
      </c>
      <c r="Y34" s="23">
        <f>IF(LEFT(S34,8)="Expense|",N(F34),0)+IF(LEFT(T34,8)="Expense|",N(J34),0)+IF(LEFT(U34,8)="Expense|",-N(N34),0)+IF(LEFT(V34,8)="Expense|",-N(M34),0)</f>
        <v/>
      </c>
      <c r="Z34" s="23">
        <f>IF(ISNUMBER(MATCH(S34,{"Expense|employee","Expense|general_admin","Expense|marketing","Expense|utilities","Expense|other_operating"},0)),N(F34),0)+IF(ISNUMBER(MATCH(T34,{"Expense|employee","Expense|general_admin","Expense|marketing","Expense|utilities","Expense|other_operating"},0)),N(J34),0)+IF(ISNUMBER(MATCH(U34,{"Expense|employee","Expense|general_admin","Expense|marketing","Expense|utilities","Expense|other_operating"},0)),-N(N34),0)+IF(ISNUMBER(MATCH(V34,{"Expense|employee","Expense|general_admin","Expense|marketing","Expense|utilities","Expense|other_operating"},0)),-N(M34),0)</f>
        <v/>
      </c>
      <c r="AA34" s="23">
        <f>IF(S34="Liability|payable",-N(F34),0)+IF(T34="Liability|payable",-N(J34),0)+IF(U34="Liability|payable",N(N34),0)+IF(V34="Liability|payable",N(M34),0)</f>
        <v/>
      </c>
      <c r="AB34" s="23">
        <f>IF(S34="Liability|accrued",-N(F34),0)+IF(T34="Liability|accrued",-N(J34),0)+IF(U34="Liability|accrued",N(N34),0)+IF(V34="Liability|accrued",N(M34),0)</f>
        <v/>
      </c>
      <c r="AC34" s="23">
        <f>IF(AND(N(F34)&lt;&gt;0,S34=""),1,0)+IF(AND(N(J34)&lt;&gt;0,T34=""),1,0)+IF(AND(N(N34)&lt;&gt;0,U34=""),1,0)+IF(AND(N(M34)&lt;&gt;0,V34=""),1,0)</f>
        <v/>
      </c>
    </row>
    <row r="35">
      <c r="A35" s="19" t="n"/>
      <c r="B35" s="14" t="n"/>
      <c r="C35" s="14" t="n"/>
      <c r="D35" s="14" t="n"/>
      <c r="E35" s="14" t="n"/>
      <c r="F35" s="20" t="n"/>
      <c r="G35" s="14" t="n"/>
      <c r="H35" s="14" t="n"/>
      <c r="I35" s="14" t="n"/>
      <c r="J35" s="20" t="n"/>
      <c r="K35" s="14" t="n"/>
      <c r="L35" s="21">
        <f>N(F35)+N(J35)</f>
        <v/>
      </c>
      <c r="M35" s="21">
        <f>IF(K35="",0,L35-ROUND(L35/(1+IFERROR(VLOOKUP(K35,'Tax Codes'!$A$5:$E$300,5,FALSE),0)),2))</f>
        <v/>
      </c>
      <c r="N35" s="21">
        <f>L35-M35</f>
        <v/>
      </c>
      <c r="O35" s="16">
        <f>IF(H35="",INDEX('Chart of Accounts'!$A$5:$A$3000,MATCH("bank",'Chart of Accounts'!$F$5:$F$3000,0)),H35&amp;"")</f>
        <v/>
      </c>
      <c r="P35" s="16">
        <f>IF(I35="",INDEX('Chart of Accounts'!$A$5:$A$3000,MATCH("revenue",'Chart of Accounts'!$F$5:$F$3000,0)),I35&amp;"")</f>
        <v/>
      </c>
      <c r="Q35" s="16">
        <f>INDEX('Chart of Accounts'!$A$5:$A$3000,MATCH("wht_receivable",'Chart of Accounts'!$F$5:$F$3000,0))</f>
        <v/>
      </c>
      <c r="R35" s="16">
        <f>INDEX('Chart of Accounts'!$A$5:$A$3000,MATCH("vat_output",'Chart of Accounts'!$F$5:$F$3000,0))</f>
        <v/>
      </c>
      <c r="S35" s="23">
        <f>IFERROR(INDEX('Chart of Accounts'!$C$5:$C$3000,MATCH(O35&amp;"",'Chart of Accounts'!$A$5:$A$3000,0))&amp;"|"&amp;INDEX('Chart of Accounts'!$D$5:$D$3000,MATCH(O35&amp;"",'Chart of Accounts'!$A$5:$A$3000,0)),"")</f>
        <v/>
      </c>
      <c r="T35" s="23">
        <f>IFERROR(INDEX('Chart of Accounts'!$C$5:$C$3000,MATCH(Q35&amp;"",'Chart of Accounts'!$A$5:$A$3000,0))&amp;"|"&amp;INDEX('Chart of Accounts'!$D$5:$D$3000,MATCH(Q35&amp;"",'Chart of Accounts'!$A$5:$A$3000,0)),"")</f>
        <v/>
      </c>
      <c r="U35" s="23">
        <f>IFERROR(INDEX('Chart of Accounts'!$C$5:$C$3000,MATCH(P35&amp;"",'Chart of Accounts'!$A$5:$A$3000,0))&amp;"|"&amp;INDEX('Chart of Accounts'!$D$5:$D$3000,MATCH(P35&amp;"",'Chart of Accounts'!$A$5:$A$3000,0)),"")</f>
        <v/>
      </c>
      <c r="V35" s="23">
        <f>IFERROR(INDEX('Chart of Accounts'!$C$5:$C$3000,MATCH(R35&amp;"",'Chart of Accounts'!$A$5:$A$3000,0))&amp;"|"&amp;INDEX('Chart of Accounts'!$D$5:$D$3000,MATCH(R35&amp;"",'Chart of Accounts'!$A$5:$A$3000,0)),"")</f>
        <v/>
      </c>
      <c r="W35" s="23">
        <f>IF(LEFT(S35,8)="Revenue|",-N(F35),0)+IF(LEFT(T35,8)="Revenue|",-N(J35),0)+IF(LEFT(U35,8)="Revenue|",N(N35),0)+IF(LEFT(V35,8)="Revenue|",N(M35),0)</f>
        <v/>
      </c>
      <c r="X35" s="23">
        <f>IF(LEFT(S35,5)="COGS|",N(F35),0)+IF(LEFT(T35,5)="COGS|",N(J35),0)+IF(LEFT(U35,5)="COGS|",-N(N35),0)+IF(LEFT(V35,5)="COGS|",-N(M35),0)</f>
        <v/>
      </c>
      <c r="Y35" s="23">
        <f>IF(LEFT(S35,8)="Expense|",N(F35),0)+IF(LEFT(T35,8)="Expense|",N(J35),0)+IF(LEFT(U35,8)="Expense|",-N(N35),0)+IF(LEFT(V35,8)="Expense|",-N(M35),0)</f>
        <v/>
      </c>
      <c r="Z35" s="23">
        <f>IF(ISNUMBER(MATCH(S35,{"Expense|employee","Expense|general_admin","Expense|marketing","Expense|utilities","Expense|other_operating"},0)),N(F35),0)+IF(ISNUMBER(MATCH(T35,{"Expense|employee","Expense|general_admin","Expense|marketing","Expense|utilities","Expense|other_operating"},0)),N(J35),0)+IF(ISNUMBER(MATCH(U35,{"Expense|employee","Expense|general_admin","Expense|marketing","Expense|utilities","Expense|other_operating"},0)),-N(N35),0)+IF(ISNUMBER(MATCH(V35,{"Expense|employee","Expense|general_admin","Expense|marketing","Expense|utilities","Expense|other_operating"},0)),-N(M35),0)</f>
        <v/>
      </c>
      <c r="AA35" s="23">
        <f>IF(S35="Liability|payable",-N(F35),0)+IF(T35="Liability|payable",-N(J35),0)+IF(U35="Liability|payable",N(N35),0)+IF(V35="Liability|payable",N(M35),0)</f>
        <v/>
      </c>
      <c r="AB35" s="23">
        <f>IF(S35="Liability|accrued",-N(F35),0)+IF(T35="Liability|accrued",-N(J35),0)+IF(U35="Liability|accrued",N(N35),0)+IF(V35="Liability|accrued",N(M35),0)</f>
        <v/>
      </c>
      <c r="AC35" s="23">
        <f>IF(AND(N(F35)&lt;&gt;0,S35=""),1,0)+IF(AND(N(J35)&lt;&gt;0,T35=""),1,0)+IF(AND(N(N35)&lt;&gt;0,U35=""),1,0)+IF(AND(N(M35)&lt;&gt;0,V35=""),1,0)</f>
        <v/>
      </c>
    </row>
    <row r="36">
      <c r="A36" s="19" t="n"/>
      <c r="B36" s="14" t="n"/>
      <c r="C36" s="14" t="n"/>
      <c r="D36" s="14" t="n"/>
      <c r="E36" s="14" t="n"/>
      <c r="F36" s="20" t="n"/>
      <c r="G36" s="14" t="n"/>
      <c r="H36" s="14" t="n"/>
      <c r="I36" s="14" t="n"/>
      <c r="J36" s="20" t="n"/>
      <c r="K36" s="14" t="n"/>
      <c r="L36" s="21">
        <f>N(F36)+N(J36)</f>
        <v/>
      </c>
      <c r="M36" s="21">
        <f>IF(K36="",0,L36-ROUND(L36/(1+IFERROR(VLOOKUP(K36,'Tax Codes'!$A$5:$E$300,5,FALSE),0)),2))</f>
        <v/>
      </c>
      <c r="N36" s="21">
        <f>L36-M36</f>
        <v/>
      </c>
      <c r="O36" s="16">
        <f>IF(H36="",INDEX('Chart of Accounts'!$A$5:$A$3000,MATCH("bank",'Chart of Accounts'!$F$5:$F$3000,0)),H36&amp;"")</f>
        <v/>
      </c>
      <c r="P36" s="16">
        <f>IF(I36="",INDEX('Chart of Accounts'!$A$5:$A$3000,MATCH("revenue",'Chart of Accounts'!$F$5:$F$3000,0)),I36&amp;"")</f>
        <v/>
      </c>
      <c r="Q36" s="16">
        <f>INDEX('Chart of Accounts'!$A$5:$A$3000,MATCH("wht_receivable",'Chart of Accounts'!$F$5:$F$3000,0))</f>
        <v/>
      </c>
      <c r="R36" s="16">
        <f>INDEX('Chart of Accounts'!$A$5:$A$3000,MATCH("vat_output",'Chart of Accounts'!$F$5:$F$3000,0))</f>
        <v/>
      </c>
      <c r="S36" s="23">
        <f>IFERROR(INDEX('Chart of Accounts'!$C$5:$C$3000,MATCH(O36&amp;"",'Chart of Accounts'!$A$5:$A$3000,0))&amp;"|"&amp;INDEX('Chart of Accounts'!$D$5:$D$3000,MATCH(O36&amp;"",'Chart of Accounts'!$A$5:$A$3000,0)),"")</f>
        <v/>
      </c>
      <c r="T36" s="23">
        <f>IFERROR(INDEX('Chart of Accounts'!$C$5:$C$3000,MATCH(Q36&amp;"",'Chart of Accounts'!$A$5:$A$3000,0))&amp;"|"&amp;INDEX('Chart of Accounts'!$D$5:$D$3000,MATCH(Q36&amp;"",'Chart of Accounts'!$A$5:$A$3000,0)),"")</f>
        <v/>
      </c>
      <c r="U36" s="23">
        <f>IFERROR(INDEX('Chart of Accounts'!$C$5:$C$3000,MATCH(P36&amp;"",'Chart of Accounts'!$A$5:$A$3000,0))&amp;"|"&amp;INDEX('Chart of Accounts'!$D$5:$D$3000,MATCH(P36&amp;"",'Chart of Accounts'!$A$5:$A$3000,0)),"")</f>
        <v/>
      </c>
      <c r="V36" s="23">
        <f>IFERROR(INDEX('Chart of Accounts'!$C$5:$C$3000,MATCH(R36&amp;"",'Chart of Accounts'!$A$5:$A$3000,0))&amp;"|"&amp;INDEX('Chart of Accounts'!$D$5:$D$3000,MATCH(R36&amp;"",'Chart of Accounts'!$A$5:$A$3000,0)),"")</f>
        <v/>
      </c>
      <c r="W36" s="23">
        <f>IF(LEFT(S36,8)="Revenue|",-N(F36),0)+IF(LEFT(T36,8)="Revenue|",-N(J36),0)+IF(LEFT(U36,8)="Revenue|",N(N36),0)+IF(LEFT(V36,8)="Revenue|",N(M36),0)</f>
        <v/>
      </c>
      <c r="X36" s="23">
        <f>IF(LEFT(S36,5)="COGS|",N(F36),0)+IF(LEFT(T36,5)="COGS|",N(J36),0)+IF(LEFT(U36,5)="COGS|",-N(N36),0)+IF(LEFT(V36,5)="COGS|",-N(M36),0)</f>
        <v/>
      </c>
      <c r="Y36" s="23">
        <f>IF(LEFT(S36,8)="Expense|",N(F36),0)+IF(LEFT(T36,8)="Expense|",N(J36),0)+IF(LEFT(U36,8)="Expense|",-N(N36),0)+IF(LEFT(V36,8)="Expense|",-N(M36),0)</f>
        <v/>
      </c>
      <c r="Z36" s="23">
        <f>IF(ISNUMBER(MATCH(S36,{"Expense|employee","Expense|general_admin","Expense|marketing","Expense|utilities","Expense|other_operating"},0)),N(F36),0)+IF(ISNUMBER(MATCH(T36,{"Expense|employee","Expense|general_admin","Expense|marketing","Expense|utilities","Expense|other_operating"},0)),N(J36),0)+IF(ISNUMBER(MATCH(U36,{"Expense|employee","Expense|general_admin","Expense|marketing","Expense|utilities","Expense|other_operating"},0)),-N(N36),0)+IF(ISNUMBER(MATCH(V36,{"Expense|employee","Expense|general_admin","Expense|marketing","Expense|utilities","Expense|other_operating"},0)),-N(M36),0)</f>
        <v/>
      </c>
      <c r="AA36" s="23">
        <f>IF(S36="Liability|payable",-N(F36),0)+IF(T36="Liability|payable",-N(J36),0)+IF(U36="Liability|payable",N(N36),0)+IF(V36="Liability|payable",N(M36),0)</f>
        <v/>
      </c>
      <c r="AB36" s="23">
        <f>IF(S36="Liability|accrued",-N(F36),0)+IF(T36="Liability|accrued",-N(J36),0)+IF(U36="Liability|accrued",N(N36),0)+IF(V36="Liability|accrued",N(M36),0)</f>
        <v/>
      </c>
      <c r="AC36" s="23">
        <f>IF(AND(N(F36)&lt;&gt;0,S36=""),1,0)+IF(AND(N(J36)&lt;&gt;0,T36=""),1,0)+IF(AND(N(N36)&lt;&gt;0,U36=""),1,0)+IF(AND(N(M36)&lt;&gt;0,V36=""),1,0)</f>
        <v/>
      </c>
    </row>
    <row r="37">
      <c r="A37" s="19" t="n"/>
      <c r="B37" s="14" t="n"/>
      <c r="C37" s="14" t="n"/>
      <c r="D37" s="14" t="n"/>
      <c r="E37" s="14" t="n"/>
      <c r="F37" s="20" t="n"/>
      <c r="G37" s="14" t="n"/>
      <c r="H37" s="14" t="n"/>
      <c r="I37" s="14" t="n"/>
      <c r="J37" s="20" t="n"/>
      <c r="K37" s="14" t="n"/>
      <c r="L37" s="21">
        <f>N(F37)+N(J37)</f>
        <v/>
      </c>
      <c r="M37" s="21">
        <f>IF(K37="",0,L37-ROUND(L37/(1+IFERROR(VLOOKUP(K37,'Tax Codes'!$A$5:$E$300,5,FALSE),0)),2))</f>
        <v/>
      </c>
      <c r="N37" s="21">
        <f>L37-M37</f>
        <v/>
      </c>
      <c r="O37" s="16">
        <f>IF(H37="",INDEX('Chart of Accounts'!$A$5:$A$3000,MATCH("bank",'Chart of Accounts'!$F$5:$F$3000,0)),H37&amp;"")</f>
        <v/>
      </c>
      <c r="P37" s="16">
        <f>IF(I37="",INDEX('Chart of Accounts'!$A$5:$A$3000,MATCH("revenue",'Chart of Accounts'!$F$5:$F$3000,0)),I37&amp;"")</f>
        <v/>
      </c>
      <c r="Q37" s="16">
        <f>INDEX('Chart of Accounts'!$A$5:$A$3000,MATCH("wht_receivable",'Chart of Accounts'!$F$5:$F$3000,0))</f>
        <v/>
      </c>
      <c r="R37" s="16">
        <f>INDEX('Chart of Accounts'!$A$5:$A$3000,MATCH("vat_output",'Chart of Accounts'!$F$5:$F$3000,0))</f>
        <v/>
      </c>
      <c r="S37" s="23">
        <f>IFERROR(INDEX('Chart of Accounts'!$C$5:$C$3000,MATCH(O37&amp;"",'Chart of Accounts'!$A$5:$A$3000,0))&amp;"|"&amp;INDEX('Chart of Accounts'!$D$5:$D$3000,MATCH(O37&amp;"",'Chart of Accounts'!$A$5:$A$3000,0)),"")</f>
        <v/>
      </c>
      <c r="T37" s="23">
        <f>IFERROR(INDEX('Chart of Accounts'!$C$5:$C$3000,MATCH(Q37&amp;"",'Chart of Accounts'!$A$5:$A$3000,0))&amp;"|"&amp;INDEX('Chart of Accounts'!$D$5:$D$3000,MATCH(Q37&amp;"",'Chart of Accounts'!$A$5:$A$3000,0)),"")</f>
        <v/>
      </c>
      <c r="U37" s="23">
        <f>IFERROR(INDEX('Chart of Accounts'!$C$5:$C$3000,MATCH(P37&amp;"",'Chart of Accounts'!$A$5:$A$3000,0))&amp;"|"&amp;INDEX('Chart of Accounts'!$D$5:$D$3000,MATCH(P37&amp;"",'Chart of Accounts'!$A$5:$A$3000,0)),"")</f>
        <v/>
      </c>
      <c r="V37" s="23">
        <f>IFERROR(INDEX('Chart of Accounts'!$C$5:$C$3000,MATCH(R37&amp;"",'Chart of Accounts'!$A$5:$A$3000,0))&amp;"|"&amp;INDEX('Chart of Accounts'!$D$5:$D$3000,MATCH(R37&amp;"",'Chart of Accounts'!$A$5:$A$3000,0)),"")</f>
        <v/>
      </c>
      <c r="W37" s="23">
        <f>IF(LEFT(S37,8)="Revenue|",-N(F37),0)+IF(LEFT(T37,8)="Revenue|",-N(J37),0)+IF(LEFT(U37,8)="Revenue|",N(N37),0)+IF(LEFT(V37,8)="Revenue|",N(M37),0)</f>
        <v/>
      </c>
      <c r="X37" s="23">
        <f>IF(LEFT(S37,5)="COGS|",N(F37),0)+IF(LEFT(T37,5)="COGS|",N(J37),0)+IF(LEFT(U37,5)="COGS|",-N(N37),0)+IF(LEFT(V37,5)="COGS|",-N(M37),0)</f>
        <v/>
      </c>
      <c r="Y37" s="23">
        <f>IF(LEFT(S37,8)="Expense|",N(F37),0)+IF(LEFT(T37,8)="Expense|",N(J37),0)+IF(LEFT(U37,8)="Expense|",-N(N37),0)+IF(LEFT(V37,8)="Expense|",-N(M37),0)</f>
        <v/>
      </c>
      <c r="Z37" s="23">
        <f>IF(ISNUMBER(MATCH(S37,{"Expense|employee","Expense|general_admin","Expense|marketing","Expense|utilities","Expense|other_operating"},0)),N(F37),0)+IF(ISNUMBER(MATCH(T37,{"Expense|employee","Expense|general_admin","Expense|marketing","Expense|utilities","Expense|other_operating"},0)),N(J37),0)+IF(ISNUMBER(MATCH(U37,{"Expense|employee","Expense|general_admin","Expense|marketing","Expense|utilities","Expense|other_operating"},0)),-N(N37),0)+IF(ISNUMBER(MATCH(V37,{"Expense|employee","Expense|general_admin","Expense|marketing","Expense|utilities","Expense|other_operating"},0)),-N(M37),0)</f>
        <v/>
      </c>
      <c r="AA37" s="23">
        <f>IF(S37="Liability|payable",-N(F37),0)+IF(T37="Liability|payable",-N(J37),0)+IF(U37="Liability|payable",N(N37),0)+IF(V37="Liability|payable",N(M37),0)</f>
        <v/>
      </c>
      <c r="AB37" s="23">
        <f>IF(S37="Liability|accrued",-N(F37),0)+IF(T37="Liability|accrued",-N(J37),0)+IF(U37="Liability|accrued",N(N37),0)+IF(V37="Liability|accrued",N(M37),0)</f>
        <v/>
      </c>
      <c r="AC37" s="23">
        <f>IF(AND(N(F37)&lt;&gt;0,S37=""),1,0)+IF(AND(N(J37)&lt;&gt;0,T37=""),1,0)+IF(AND(N(N37)&lt;&gt;0,U37=""),1,0)+IF(AND(N(M37)&lt;&gt;0,V37=""),1,0)</f>
        <v/>
      </c>
    </row>
    <row r="38">
      <c r="A38" s="19" t="n"/>
      <c r="B38" s="14" t="n"/>
      <c r="C38" s="14" t="n"/>
      <c r="D38" s="14" t="n"/>
      <c r="E38" s="14" t="n"/>
      <c r="F38" s="20" t="n"/>
      <c r="G38" s="14" t="n"/>
      <c r="H38" s="14" t="n"/>
      <c r="I38" s="14" t="n"/>
      <c r="J38" s="20" t="n"/>
      <c r="K38" s="14" t="n"/>
      <c r="L38" s="21">
        <f>N(F38)+N(J38)</f>
        <v/>
      </c>
      <c r="M38" s="21">
        <f>IF(K38="",0,L38-ROUND(L38/(1+IFERROR(VLOOKUP(K38,'Tax Codes'!$A$5:$E$300,5,FALSE),0)),2))</f>
        <v/>
      </c>
      <c r="N38" s="21">
        <f>L38-M38</f>
        <v/>
      </c>
      <c r="O38" s="16">
        <f>IF(H38="",INDEX('Chart of Accounts'!$A$5:$A$3000,MATCH("bank",'Chart of Accounts'!$F$5:$F$3000,0)),H38&amp;"")</f>
        <v/>
      </c>
      <c r="P38" s="16">
        <f>IF(I38="",INDEX('Chart of Accounts'!$A$5:$A$3000,MATCH("revenue",'Chart of Accounts'!$F$5:$F$3000,0)),I38&amp;"")</f>
        <v/>
      </c>
      <c r="Q38" s="16">
        <f>INDEX('Chart of Accounts'!$A$5:$A$3000,MATCH("wht_receivable",'Chart of Accounts'!$F$5:$F$3000,0))</f>
        <v/>
      </c>
      <c r="R38" s="16">
        <f>INDEX('Chart of Accounts'!$A$5:$A$3000,MATCH("vat_output",'Chart of Accounts'!$F$5:$F$3000,0))</f>
        <v/>
      </c>
      <c r="S38" s="23">
        <f>IFERROR(INDEX('Chart of Accounts'!$C$5:$C$3000,MATCH(O38&amp;"",'Chart of Accounts'!$A$5:$A$3000,0))&amp;"|"&amp;INDEX('Chart of Accounts'!$D$5:$D$3000,MATCH(O38&amp;"",'Chart of Accounts'!$A$5:$A$3000,0)),"")</f>
        <v/>
      </c>
      <c r="T38" s="23">
        <f>IFERROR(INDEX('Chart of Accounts'!$C$5:$C$3000,MATCH(Q38&amp;"",'Chart of Accounts'!$A$5:$A$3000,0))&amp;"|"&amp;INDEX('Chart of Accounts'!$D$5:$D$3000,MATCH(Q38&amp;"",'Chart of Accounts'!$A$5:$A$3000,0)),"")</f>
        <v/>
      </c>
      <c r="U38" s="23">
        <f>IFERROR(INDEX('Chart of Accounts'!$C$5:$C$3000,MATCH(P38&amp;"",'Chart of Accounts'!$A$5:$A$3000,0))&amp;"|"&amp;INDEX('Chart of Accounts'!$D$5:$D$3000,MATCH(P38&amp;"",'Chart of Accounts'!$A$5:$A$3000,0)),"")</f>
        <v/>
      </c>
      <c r="V38" s="23">
        <f>IFERROR(INDEX('Chart of Accounts'!$C$5:$C$3000,MATCH(R38&amp;"",'Chart of Accounts'!$A$5:$A$3000,0))&amp;"|"&amp;INDEX('Chart of Accounts'!$D$5:$D$3000,MATCH(R38&amp;"",'Chart of Accounts'!$A$5:$A$3000,0)),"")</f>
        <v/>
      </c>
      <c r="W38" s="23">
        <f>IF(LEFT(S38,8)="Revenue|",-N(F38),0)+IF(LEFT(T38,8)="Revenue|",-N(J38),0)+IF(LEFT(U38,8)="Revenue|",N(N38),0)+IF(LEFT(V38,8)="Revenue|",N(M38),0)</f>
        <v/>
      </c>
      <c r="X38" s="23">
        <f>IF(LEFT(S38,5)="COGS|",N(F38),0)+IF(LEFT(T38,5)="COGS|",N(J38),0)+IF(LEFT(U38,5)="COGS|",-N(N38),0)+IF(LEFT(V38,5)="COGS|",-N(M38),0)</f>
        <v/>
      </c>
      <c r="Y38" s="23">
        <f>IF(LEFT(S38,8)="Expense|",N(F38),0)+IF(LEFT(T38,8)="Expense|",N(J38),0)+IF(LEFT(U38,8)="Expense|",-N(N38),0)+IF(LEFT(V38,8)="Expense|",-N(M38),0)</f>
        <v/>
      </c>
      <c r="Z38" s="23">
        <f>IF(ISNUMBER(MATCH(S38,{"Expense|employee","Expense|general_admin","Expense|marketing","Expense|utilities","Expense|other_operating"},0)),N(F38),0)+IF(ISNUMBER(MATCH(T38,{"Expense|employee","Expense|general_admin","Expense|marketing","Expense|utilities","Expense|other_operating"},0)),N(J38),0)+IF(ISNUMBER(MATCH(U38,{"Expense|employee","Expense|general_admin","Expense|marketing","Expense|utilities","Expense|other_operating"},0)),-N(N38),0)+IF(ISNUMBER(MATCH(V38,{"Expense|employee","Expense|general_admin","Expense|marketing","Expense|utilities","Expense|other_operating"},0)),-N(M38),0)</f>
        <v/>
      </c>
      <c r="AA38" s="23">
        <f>IF(S38="Liability|payable",-N(F38),0)+IF(T38="Liability|payable",-N(J38),0)+IF(U38="Liability|payable",N(N38),0)+IF(V38="Liability|payable",N(M38),0)</f>
        <v/>
      </c>
      <c r="AB38" s="23">
        <f>IF(S38="Liability|accrued",-N(F38),0)+IF(T38="Liability|accrued",-N(J38),0)+IF(U38="Liability|accrued",N(N38),0)+IF(V38="Liability|accrued",N(M38),0)</f>
        <v/>
      </c>
      <c r="AC38" s="23">
        <f>IF(AND(N(F38)&lt;&gt;0,S38=""),1,0)+IF(AND(N(J38)&lt;&gt;0,T38=""),1,0)+IF(AND(N(N38)&lt;&gt;0,U38=""),1,0)+IF(AND(N(M38)&lt;&gt;0,V38=""),1,0)</f>
        <v/>
      </c>
    </row>
    <row r="39">
      <c r="A39" s="19" t="n"/>
      <c r="B39" s="14" t="n"/>
      <c r="C39" s="14" t="n"/>
      <c r="D39" s="14" t="n"/>
      <c r="E39" s="14" t="n"/>
      <c r="F39" s="20" t="n"/>
      <c r="G39" s="14" t="n"/>
      <c r="H39" s="14" t="n"/>
      <c r="I39" s="14" t="n"/>
      <c r="J39" s="20" t="n"/>
      <c r="K39" s="14" t="n"/>
      <c r="L39" s="21">
        <f>N(F39)+N(J39)</f>
        <v/>
      </c>
      <c r="M39" s="21">
        <f>IF(K39="",0,L39-ROUND(L39/(1+IFERROR(VLOOKUP(K39,'Tax Codes'!$A$5:$E$300,5,FALSE),0)),2))</f>
        <v/>
      </c>
      <c r="N39" s="21">
        <f>L39-M39</f>
        <v/>
      </c>
      <c r="O39" s="16">
        <f>IF(H39="",INDEX('Chart of Accounts'!$A$5:$A$3000,MATCH("bank",'Chart of Accounts'!$F$5:$F$3000,0)),H39&amp;"")</f>
        <v/>
      </c>
      <c r="P39" s="16">
        <f>IF(I39="",INDEX('Chart of Accounts'!$A$5:$A$3000,MATCH("revenue",'Chart of Accounts'!$F$5:$F$3000,0)),I39&amp;"")</f>
        <v/>
      </c>
      <c r="Q39" s="16">
        <f>INDEX('Chart of Accounts'!$A$5:$A$3000,MATCH("wht_receivable",'Chart of Accounts'!$F$5:$F$3000,0))</f>
        <v/>
      </c>
      <c r="R39" s="16">
        <f>INDEX('Chart of Accounts'!$A$5:$A$3000,MATCH("vat_output",'Chart of Accounts'!$F$5:$F$3000,0))</f>
        <v/>
      </c>
      <c r="S39" s="23">
        <f>IFERROR(INDEX('Chart of Accounts'!$C$5:$C$3000,MATCH(O39&amp;"",'Chart of Accounts'!$A$5:$A$3000,0))&amp;"|"&amp;INDEX('Chart of Accounts'!$D$5:$D$3000,MATCH(O39&amp;"",'Chart of Accounts'!$A$5:$A$3000,0)),"")</f>
        <v/>
      </c>
      <c r="T39" s="23">
        <f>IFERROR(INDEX('Chart of Accounts'!$C$5:$C$3000,MATCH(Q39&amp;"",'Chart of Accounts'!$A$5:$A$3000,0))&amp;"|"&amp;INDEX('Chart of Accounts'!$D$5:$D$3000,MATCH(Q39&amp;"",'Chart of Accounts'!$A$5:$A$3000,0)),"")</f>
        <v/>
      </c>
      <c r="U39" s="23">
        <f>IFERROR(INDEX('Chart of Accounts'!$C$5:$C$3000,MATCH(P39&amp;"",'Chart of Accounts'!$A$5:$A$3000,0))&amp;"|"&amp;INDEX('Chart of Accounts'!$D$5:$D$3000,MATCH(P39&amp;"",'Chart of Accounts'!$A$5:$A$3000,0)),"")</f>
        <v/>
      </c>
      <c r="V39" s="23">
        <f>IFERROR(INDEX('Chart of Accounts'!$C$5:$C$3000,MATCH(R39&amp;"",'Chart of Accounts'!$A$5:$A$3000,0))&amp;"|"&amp;INDEX('Chart of Accounts'!$D$5:$D$3000,MATCH(R39&amp;"",'Chart of Accounts'!$A$5:$A$3000,0)),"")</f>
        <v/>
      </c>
      <c r="W39" s="23">
        <f>IF(LEFT(S39,8)="Revenue|",-N(F39),0)+IF(LEFT(T39,8)="Revenue|",-N(J39),0)+IF(LEFT(U39,8)="Revenue|",N(N39),0)+IF(LEFT(V39,8)="Revenue|",N(M39),0)</f>
        <v/>
      </c>
      <c r="X39" s="23">
        <f>IF(LEFT(S39,5)="COGS|",N(F39),0)+IF(LEFT(T39,5)="COGS|",N(J39),0)+IF(LEFT(U39,5)="COGS|",-N(N39),0)+IF(LEFT(V39,5)="COGS|",-N(M39),0)</f>
        <v/>
      </c>
      <c r="Y39" s="23">
        <f>IF(LEFT(S39,8)="Expense|",N(F39),0)+IF(LEFT(T39,8)="Expense|",N(J39),0)+IF(LEFT(U39,8)="Expense|",-N(N39),0)+IF(LEFT(V39,8)="Expense|",-N(M39),0)</f>
        <v/>
      </c>
      <c r="Z39" s="23">
        <f>IF(ISNUMBER(MATCH(S39,{"Expense|employee","Expense|general_admin","Expense|marketing","Expense|utilities","Expense|other_operating"},0)),N(F39),0)+IF(ISNUMBER(MATCH(T39,{"Expense|employee","Expense|general_admin","Expense|marketing","Expense|utilities","Expense|other_operating"},0)),N(J39),0)+IF(ISNUMBER(MATCH(U39,{"Expense|employee","Expense|general_admin","Expense|marketing","Expense|utilities","Expense|other_operating"},0)),-N(N39),0)+IF(ISNUMBER(MATCH(V39,{"Expense|employee","Expense|general_admin","Expense|marketing","Expense|utilities","Expense|other_operating"},0)),-N(M39),0)</f>
        <v/>
      </c>
      <c r="AA39" s="23">
        <f>IF(S39="Liability|payable",-N(F39),0)+IF(T39="Liability|payable",-N(J39),0)+IF(U39="Liability|payable",N(N39),0)+IF(V39="Liability|payable",N(M39),0)</f>
        <v/>
      </c>
      <c r="AB39" s="23">
        <f>IF(S39="Liability|accrued",-N(F39),0)+IF(T39="Liability|accrued",-N(J39),0)+IF(U39="Liability|accrued",N(N39),0)+IF(V39="Liability|accrued",N(M39),0)</f>
        <v/>
      </c>
      <c r="AC39" s="23">
        <f>IF(AND(N(F39)&lt;&gt;0,S39=""),1,0)+IF(AND(N(J39)&lt;&gt;0,T39=""),1,0)+IF(AND(N(N39)&lt;&gt;0,U39=""),1,0)+IF(AND(N(M39)&lt;&gt;0,V39=""),1,0)</f>
        <v/>
      </c>
    </row>
    <row r="40">
      <c r="A40" s="19" t="n"/>
      <c r="B40" s="14" t="n"/>
      <c r="C40" s="14" t="n"/>
      <c r="D40" s="14" t="n"/>
      <c r="E40" s="14" t="n"/>
      <c r="F40" s="20" t="n"/>
      <c r="G40" s="14" t="n"/>
      <c r="H40" s="14" t="n"/>
      <c r="I40" s="14" t="n"/>
      <c r="J40" s="20" t="n"/>
      <c r="K40" s="14" t="n"/>
      <c r="L40" s="21">
        <f>N(F40)+N(J40)</f>
        <v/>
      </c>
      <c r="M40" s="21">
        <f>IF(K40="",0,L40-ROUND(L40/(1+IFERROR(VLOOKUP(K40,'Tax Codes'!$A$5:$E$300,5,FALSE),0)),2))</f>
        <v/>
      </c>
      <c r="N40" s="21">
        <f>L40-M40</f>
        <v/>
      </c>
      <c r="O40" s="16">
        <f>IF(H40="",INDEX('Chart of Accounts'!$A$5:$A$3000,MATCH("bank",'Chart of Accounts'!$F$5:$F$3000,0)),H40&amp;"")</f>
        <v/>
      </c>
      <c r="P40" s="16">
        <f>IF(I40="",INDEX('Chart of Accounts'!$A$5:$A$3000,MATCH("revenue",'Chart of Accounts'!$F$5:$F$3000,0)),I40&amp;"")</f>
        <v/>
      </c>
      <c r="Q40" s="16">
        <f>INDEX('Chart of Accounts'!$A$5:$A$3000,MATCH("wht_receivable",'Chart of Accounts'!$F$5:$F$3000,0))</f>
        <v/>
      </c>
      <c r="R40" s="16">
        <f>INDEX('Chart of Accounts'!$A$5:$A$3000,MATCH("vat_output",'Chart of Accounts'!$F$5:$F$3000,0))</f>
        <v/>
      </c>
      <c r="S40" s="23">
        <f>IFERROR(INDEX('Chart of Accounts'!$C$5:$C$3000,MATCH(O40&amp;"",'Chart of Accounts'!$A$5:$A$3000,0))&amp;"|"&amp;INDEX('Chart of Accounts'!$D$5:$D$3000,MATCH(O40&amp;"",'Chart of Accounts'!$A$5:$A$3000,0)),"")</f>
        <v/>
      </c>
      <c r="T40" s="23">
        <f>IFERROR(INDEX('Chart of Accounts'!$C$5:$C$3000,MATCH(Q40&amp;"",'Chart of Accounts'!$A$5:$A$3000,0))&amp;"|"&amp;INDEX('Chart of Accounts'!$D$5:$D$3000,MATCH(Q40&amp;"",'Chart of Accounts'!$A$5:$A$3000,0)),"")</f>
        <v/>
      </c>
      <c r="U40" s="23">
        <f>IFERROR(INDEX('Chart of Accounts'!$C$5:$C$3000,MATCH(P40&amp;"",'Chart of Accounts'!$A$5:$A$3000,0))&amp;"|"&amp;INDEX('Chart of Accounts'!$D$5:$D$3000,MATCH(P40&amp;"",'Chart of Accounts'!$A$5:$A$3000,0)),"")</f>
        <v/>
      </c>
      <c r="V40" s="23">
        <f>IFERROR(INDEX('Chart of Accounts'!$C$5:$C$3000,MATCH(R40&amp;"",'Chart of Accounts'!$A$5:$A$3000,0))&amp;"|"&amp;INDEX('Chart of Accounts'!$D$5:$D$3000,MATCH(R40&amp;"",'Chart of Accounts'!$A$5:$A$3000,0)),"")</f>
        <v/>
      </c>
      <c r="W40" s="23">
        <f>IF(LEFT(S40,8)="Revenue|",-N(F40),0)+IF(LEFT(T40,8)="Revenue|",-N(J40),0)+IF(LEFT(U40,8)="Revenue|",N(N40),0)+IF(LEFT(V40,8)="Revenue|",N(M40),0)</f>
        <v/>
      </c>
      <c r="X40" s="23">
        <f>IF(LEFT(S40,5)="COGS|",N(F40),0)+IF(LEFT(T40,5)="COGS|",N(J40),0)+IF(LEFT(U40,5)="COGS|",-N(N40),0)+IF(LEFT(V40,5)="COGS|",-N(M40),0)</f>
        <v/>
      </c>
      <c r="Y40" s="23">
        <f>IF(LEFT(S40,8)="Expense|",N(F40),0)+IF(LEFT(T40,8)="Expense|",N(J40),0)+IF(LEFT(U40,8)="Expense|",-N(N40),0)+IF(LEFT(V40,8)="Expense|",-N(M40),0)</f>
        <v/>
      </c>
      <c r="Z40" s="23">
        <f>IF(ISNUMBER(MATCH(S40,{"Expense|employee","Expense|general_admin","Expense|marketing","Expense|utilities","Expense|other_operating"},0)),N(F40),0)+IF(ISNUMBER(MATCH(T40,{"Expense|employee","Expense|general_admin","Expense|marketing","Expense|utilities","Expense|other_operating"},0)),N(J40),0)+IF(ISNUMBER(MATCH(U40,{"Expense|employee","Expense|general_admin","Expense|marketing","Expense|utilities","Expense|other_operating"},0)),-N(N40),0)+IF(ISNUMBER(MATCH(V40,{"Expense|employee","Expense|general_admin","Expense|marketing","Expense|utilities","Expense|other_operating"},0)),-N(M40),0)</f>
        <v/>
      </c>
      <c r="AA40" s="23">
        <f>IF(S40="Liability|payable",-N(F40),0)+IF(T40="Liability|payable",-N(J40),0)+IF(U40="Liability|payable",N(N40),0)+IF(V40="Liability|payable",N(M40),0)</f>
        <v/>
      </c>
      <c r="AB40" s="23">
        <f>IF(S40="Liability|accrued",-N(F40),0)+IF(T40="Liability|accrued",-N(J40),0)+IF(U40="Liability|accrued",N(N40),0)+IF(V40="Liability|accrued",N(M40),0)</f>
        <v/>
      </c>
      <c r="AC40" s="23">
        <f>IF(AND(N(F40)&lt;&gt;0,S40=""),1,0)+IF(AND(N(J40)&lt;&gt;0,T40=""),1,0)+IF(AND(N(N40)&lt;&gt;0,U40=""),1,0)+IF(AND(N(M40)&lt;&gt;0,V40=""),1,0)</f>
        <v/>
      </c>
    </row>
    <row r="41">
      <c r="A41" s="19" t="n"/>
      <c r="B41" s="14" t="n"/>
      <c r="C41" s="14" t="n"/>
      <c r="D41" s="14" t="n"/>
      <c r="E41" s="14" t="n"/>
      <c r="F41" s="20" t="n"/>
      <c r="G41" s="14" t="n"/>
      <c r="H41" s="14" t="n"/>
      <c r="I41" s="14" t="n"/>
      <c r="J41" s="20" t="n"/>
      <c r="K41" s="14" t="n"/>
      <c r="L41" s="21">
        <f>N(F41)+N(J41)</f>
        <v/>
      </c>
      <c r="M41" s="21">
        <f>IF(K41="",0,L41-ROUND(L41/(1+IFERROR(VLOOKUP(K41,'Tax Codes'!$A$5:$E$300,5,FALSE),0)),2))</f>
        <v/>
      </c>
      <c r="N41" s="21">
        <f>L41-M41</f>
        <v/>
      </c>
      <c r="O41" s="16">
        <f>IF(H41="",INDEX('Chart of Accounts'!$A$5:$A$3000,MATCH("bank",'Chart of Accounts'!$F$5:$F$3000,0)),H41&amp;"")</f>
        <v/>
      </c>
      <c r="P41" s="16">
        <f>IF(I41="",INDEX('Chart of Accounts'!$A$5:$A$3000,MATCH("revenue",'Chart of Accounts'!$F$5:$F$3000,0)),I41&amp;"")</f>
        <v/>
      </c>
      <c r="Q41" s="16">
        <f>INDEX('Chart of Accounts'!$A$5:$A$3000,MATCH("wht_receivable",'Chart of Accounts'!$F$5:$F$3000,0))</f>
        <v/>
      </c>
      <c r="R41" s="16">
        <f>INDEX('Chart of Accounts'!$A$5:$A$3000,MATCH("vat_output",'Chart of Accounts'!$F$5:$F$3000,0))</f>
        <v/>
      </c>
      <c r="S41" s="23">
        <f>IFERROR(INDEX('Chart of Accounts'!$C$5:$C$3000,MATCH(O41&amp;"",'Chart of Accounts'!$A$5:$A$3000,0))&amp;"|"&amp;INDEX('Chart of Accounts'!$D$5:$D$3000,MATCH(O41&amp;"",'Chart of Accounts'!$A$5:$A$3000,0)),"")</f>
        <v/>
      </c>
      <c r="T41" s="23">
        <f>IFERROR(INDEX('Chart of Accounts'!$C$5:$C$3000,MATCH(Q41&amp;"",'Chart of Accounts'!$A$5:$A$3000,0))&amp;"|"&amp;INDEX('Chart of Accounts'!$D$5:$D$3000,MATCH(Q41&amp;"",'Chart of Accounts'!$A$5:$A$3000,0)),"")</f>
        <v/>
      </c>
      <c r="U41" s="23">
        <f>IFERROR(INDEX('Chart of Accounts'!$C$5:$C$3000,MATCH(P41&amp;"",'Chart of Accounts'!$A$5:$A$3000,0))&amp;"|"&amp;INDEX('Chart of Accounts'!$D$5:$D$3000,MATCH(P41&amp;"",'Chart of Accounts'!$A$5:$A$3000,0)),"")</f>
        <v/>
      </c>
      <c r="V41" s="23">
        <f>IFERROR(INDEX('Chart of Accounts'!$C$5:$C$3000,MATCH(R41&amp;"",'Chart of Accounts'!$A$5:$A$3000,0))&amp;"|"&amp;INDEX('Chart of Accounts'!$D$5:$D$3000,MATCH(R41&amp;"",'Chart of Accounts'!$A$5:$A$3000,0)),"")</f>
        <v/>
      </c>
      <c r="W41" s="23">
        <f>IF(LEFT(S41,8)="Revenue|",-N(F41),0)+IF(LEFT(T41,8)="Revenue|",-N(J41),0)+IF(LEFT(U41,8)="Revenue|",N(N41),0)+IF(LEFT(V41,8)="Revenue|",N(M41),0)</f>
        <v/>
      </c>
      <c r="X41" s="23">
        <f>IF(LEFT(S41,5)="COGS|",N(F41),0)+IF(LEFT(T41,5)="COGS|",N(J41),0)+IF(LEFT(U41,5)="COGS|",-N(N41),0)+IF(LEFT(V41,5)="COGS|",-N(M41),0)</f>
        <v/>
      </c>
      <c r="Y41" s="23">
        <f>IF(LEFT(S41,8)="Expense|",N(F41),0)+IF(LEFT(T41,8)="Expense|",N(J41),0)+IF(LEFT(U41,8)="Expense|",-N(N41),0)+IF(LEFT(V41,8)="Expense|",-N(M41),0)</f>
        <v/>
      </c>
      <c r="Z41" s="23">
        <f>IF(ISNUMBER(MATCH(S41,{"Expense|employee","Expense|general_admin","Expense|marketing","Expense|utilities","Expense|other_operating"},0)),N(F41),0)+IF(ISNUMBER(MATCH(T41,{"Expense|employee","Expense|general_admin","Expense|marketing","Expense|utilities","Expense|other_operating"},0)),N(J41),0)+IF(ISNUMBER(MATCH(U41,{"Expense|employee","Expense|general_admin","Expense|marketing","Expense|utilities","Expense|other_operating"},0)),-N(N41),0)+IF(ISNUMBER(MATCH(V41,{"Expense|employee","Expense|general_admin","Expense|marketing","Expense|utilities","Expense|other_operating"},0)),-N(M41),0)</f>
        <v/>
      </c>
      <c r="AA41" s="23">
        <f>IF(S41="Liability|payable",-N(F41),0)+IF(T41="Liability|payable",-N(J41),0)+IF(U41="Liability|payable",N(N41),0)+IF(V41="Liability|payable",N(M41),0)</f>
        <v/>
      </c>
      <c r="AB41" s="23">
        <f>IF(S41="Liability|accrued",-N(F41),0)+IF(T41="Liability|accrued",-N(J41),0)+IF(U41="Liability|accrued",N(N41),0)+IF(V41="Liability|accrued",N(M41),0)</f>
        <v/>
      </c>
      <c r="AC41" s="23">
        <f>IF(AND(N(F41)&lt;&gt;0,S41=""),1,0)+IF(AND(N(J41)&lt;&gt;0,T41=""),1,0)+IF(AND(N(N41)&lt;&gt;0,U41=""),1,0)+IF(AND(N(M41)&lt;&gt;0,V41=""),1,0)</f>
        <v/>
      </c>
    </row>
    <row r="42">
      <c r="A42" s="19" t="n"/>
      <c r="B42" s="14" t="n"/>
      <c r="C42" s="14" t="n"/>
      <c r="D42" s="14" t="n"/>
      <c r="E42" s="14" t="n"/>
      <c r="F42" s="20" t="n"/>
      <c r="G42" s="14" t="n"/>
      <c r="H42" s="14" t="n"/>
      <c r="I42" s="14" t="n"/>
      <c r="J42" s="20" t="n"/>
      <c r="K42" s="14" t="n"/>
      <c r="L42" s="21">
        <f>N(F42)+N(J42)</f>
        <v/>
      </c>
      <c r="M42" s="21">
        <f>IF(K42="",0,L42-ROUND(L42/(1+IFERROR(VLOOKUP(K42,'Tax Codes'!$A$5:$E$300,5,FALSE),0)),2))</f>
        <v/>
      </c>
      <c r="N42" s="21">
        <f>L42-M42</f>
        <v/>
      </c>
      <c r="O42" s="16">
        <f>IF(H42="",INDEX('Chart of Accounts'!$A$5:$A$3000,MATCH("bank",'Chart of Accounts'!$F$5:$F$3000,0)),H42&amp;"")</f>
        <v/>
      </c>
      <c r="P42" s="16">
        <f>IF(I42="",INDEX('Chart of Accounts'!$A$5:$A$3000,MATCH("revenue",'Chart of Accounts'!$F$5:$F$3000,0)),I42&amp;"")</f>
        <v/>
      </c>
      <c r="Q42" s="16">
        <f>INDEX('Chart of Accounts'!$A$5:$A$3000,MATCH("wht_receivable",'Chart of Accounts'!$F$5:$F$3000,0))</f>
        <v/>
      </c>
      <c r="R42" s="16">
        <f>INDEX('Chart of Accounts'!$A$5:$A$3000,MATCH("vat_output",'Chart of Accounts'!$F$5:$F$3000,0))</f>
        <v/>
      </c>
      <c r="S42" s="23">
        <f>IFERROR(INDEX('Chart of Accounts'!$C$5:$C$3000,MATCH(O42&amp;"",'Chart of Accounts'!$A$5:$A$3000,0))&amp;"|"&amp;INDEX('Chart of Accounts'!$D$5:$D$3000,MATCH(O42&amp;"",'Chart of Accounts'!$A$5:$A$3000,0)),"")</f>
        <v/>
      </c>
      <c r="T42" s="23">
        <f>IFERROR(INDEX('Chart of Accounts'!$C$5:$C$3000,MATCH(Q42&amp;"",'Chart of Accounts'!$A$5:$A$3000,0))&amp;"|"&amp;INDEX('Chart of Accounts'!$D$5:$D$3000,MATCH(Q42&amp;"",'Chart of Accounts'!$A$5:$A$3000,0)),"")</f>
        <v/>
      </c>
      <c r="U42" s="23">
        <f>IFERROR(INDEX('Chart of Accounts'!$C$5:$C$3000,MATCH(P42&amp;"",'Chart of Accounts'!$A$5:$A$3000,0))&amp;"|"&amp;INDEX('Chart of Accounts'!$D$5:$D$3000,MATCH(P42&amp;"",'Chart of Accounts'!$A$5:$A$3000,0)),"")</f>
        <v/>
      </c>
      <c r="V42" s="23">
        <f>IFERROR(INDEX('Chart of Accounts'!$C$5:$C$3000,MATCH(R42&amp;"",'Chart of Accounts'!$A$5:$A$3000,0))&amp;"|"&amp;INDEX('Chart of Accounts'!$D$5:$D$3000,MATCH(R42&amp;"",'Chart of Accounts'!$A$5:$A$3000,0)),"")</f>
        <v/>
      </c>
      <c r="W42" s="23">
        <f>IF(LEFT(S42,8)="Revenue|",-N(F42),0)+IF(LEFT(T42,8)="Revenue|",-N(J42),0)+IF(LEFT(U42,8)="Revenue|",N(N42),0)+IF(LEFT(V42,8)="Revenue|",N(M42),0)</f>
        <v/>
      </c>
      <c r="X42" s="23">
        <f>IF(LEFT(S42,5)="COGS|",N(F42),0)+IF(LEFT(T42,5)="COGS|",N(J42),0)+IF(LEFT(U42,5)="COGS|",-N(N42),0)+IF(LEFT(V42,5)="COGS|",-N(M42),0)</f>
        <v/>
      </c>
      <c r="Y42" s="23">
        <f>IF(LEFT(S42,8)="Expense|",N(F42),0)+IF(LEFT(T42,8)="Expense|",N(J42),0)+IF(LEFT(U42,8)="Expense|",-N(N42),0)+IF(LEFT(V42,8)="Expense|",-N(M42),0)</f>
        <v/>
      </c>
      <c r="Z42" s="23">
        <f>IF(ISNUMBER(MATCH(S42,{"Expense|employee","Expense|general_admin","Expense|marketing","Expense|utilities","Expense|other_operating"},0)),N(F42),0)+IF(ISNUMBER(MATCH(T42,{"Expense|employee","Expense|general_admin","Expense|marketing","Expense|utilities","Expense|other_operating"},0)),N(J42),0)+IF(ISNUMBER(MATCH(U42,{"Expense|employee","Expense|general_admin","Expense|marketing","Expense|utilities","Expense|other_operating"},0)),-N(N42),0)+IF(ISNUMBER(MATCH(V42,{"Expense|employee","Expense|general_admin","Expense|marketing","Expense|utilities","Expense|other_operating"},0)),-N(M42),0)</f>
        <v/>
      </c>
      <c r="AA42" s="23">
        <f>IF(S42="Liability|payable",-N(F42),0)+IF(T42="Liability|payable",-N(J42),0)+IF(U42="Liability|payable",N(N42),0)+IF(V42="Liability|payable",N(M42),0)</f>
        <v/>
      </c>
      <c r="AB42" s="23">
        <f>IF(S42="Liability|accrued",-N(F42),0)+IF(T42="Liability|accrued",-N(J42),0)+IF(U42="Liability|accrued",N(N42),0)+IF(V42="Liability|accrued",N(M42),0)</f>
        <v/>
      </c>
      <c r="AC42" s="23">
        <f>IF(AND(N(F42)&lt;&gt;0,S42=""),1,0)+IF(AND(N(J42)&lt;&gt;0,T42=""),1,0)+IF(AND(N(N42)&lt;&gt;0,U42=""),1,0)+IF(AND(N(M42)&lt;&gt;0,V42=""),1,0)</f>
        <v/>
      </c>
    </row>
    <row r="43">
      <c r="A43" s="19" t="n"/>
      <c r="B43" s="14" t="n"/>
      <c r="C43" s="14" t="n"/>
      <c r="D43" s="14" t="n"/>
      <c r="E43" s="14" t="n"/>
      <c r="F43" s="20" t="n"/>
      <c r="G43" s="14" t="n"/>
      <c r="H43" s="14" t="n"/>
      <c r="I43" s="14" t="n"/>
      <c r="J43" s="20" t="n"/>
      <c r="K43" s="14" t="n"/>
      <c r="L43" s="21">
        <f>N(F43)+N(J43)</f>
        <v/>
      </c>
      <c r="M43" s="21">
        <f>IF(K43="",0,L43-ROUND(L43/(1+IFERROR(VLOOKUP(K43,'Tax Codes'!$A$5:$E$300,5,FALSE),0)),2))</f>
        <v/>
      </c>
      <c r="N43" s="21">
        <f>L43-M43</f>
        <v/>
      </c>
      <c r="O43" s="16">
        <f>IF(H43="",INDEX('Chart of Accounts'!$A$5:$A$3000,MATCH("bank",'Chart of Accounts'!$F$5:$F$3000,0)),H43&amp;"")</f>
        <v/>
      </c>
      <c r="P43" s="16">
        <f>IF(I43="",INDEX('Chart of Accounts'!$A$5:$A$3000,MATCH("revenue",'Chart of Accounts'!$F$5:$F$3000,0)),I43&amp;"")</f>
        <v/>
      </c>
      <c r="Q43" s="16">
        <f>INDEX('Chart of Accounts'!$A$5:$A$3000,MATCH("wht_receivable",'Chart of Accounts'!$F$5:$F$3000,0))</f>
        <v/>
      </c>
      <c r="R43" s="16">
        <f>INDEX('Chart of Accounts'!$A$5:$A$3000,MATCH("vat_output",'Chart of Accounts'!$F$5:$F$3000,0))</f>
        <v/>
      </c>
      <c r="S43" s="23">
        <f>IFERROR(INDEX('Chart of Accounts'!$C$5:$C$3000,MATCH(O43&amp;"",'Chart of Accounts'!$A$5:$A$3000,0))&amp;"|"&amp;INDEX('Chart of Accounts'!$D$5:$D$3000,MATCH(O43&amp;"",'Chart of Accounts'!$A$5:$A$3000,0)),"")</f>
        <v/>
      </c>
      <c r="T43" s="23">
        <f>IFERROR(INDEX('Chart of Accounts'!$C$5:$C$3000,MATCH(Q43&amp;"",'Chart of Accounts'!$A$5:$A$3000,0))&amp;"|"&amp;INDEX('Chart of Accounts'!$D$5:$D$3000,MATCH(Q43&amp;"",'Chart of Accounts'!$A$5:$A$3000,0)),"")</f>
        <v/>
      </c>
      <c r="U43" s="23">
        <f>IFERROR(INDEX('Chart of Accounts'!$C$5:$C$3000,MATCH(P43&amp;"",'Chart of Accounts'!$A$5:$A$3000,0))&amp;"|"&amp;INDEX('Chart of Accounts'!$D$5:$D$3000,MATCH(P43&amp;"",'Chart of Accounts'!$A$5:$A$3000,0)),"")</f>
        <v/>
      </c>
      <c r="V43" s="23">
        <f>IFERROR(INDEX('Chart of Accounts'!$C$5:$C$3000,MATCH(R43&amp;"",'Chart of Accounts'!$A$5:$A$3000,0))&amp;"|"&amp;INDEX('Chart of Accounts'!$D$5:$D$3000,MATCH(R43&amp;"",'Chart of Accounts'!$A$5:$A$3000,0)),"")</f>
        <v/>
      </c>
      <c r="W43" s="23">
        <f>IF(LEFT(S43,8)="Revenue|",-N(F43),0)+IF(LEFT(T43,8)="Revenue|",-N(J43),0)+IF(LEFT(U43,8)="Revenue|",N(N43),0)+IF(LEFT(V43,8)="Revenue|",N(M43),0)</f>
        <v/>
      </c>
      <c r="X43" s="23">
        <f>IF(LEFT(S43,5)="COGS|",N(F43),0)+IF(LEFT(T43,5)="COGS|",N(J43),0)+IF(LEFT(U43,5)="COGS|",-N(N43),0)+IF(LEFT(V43,5)="COGS|",-N(M43),0)</f>
        <v/>
      </c>
      <c r="Y43" s="23">
        <f>IF(LEFT(S43,8)="Expense|",N(F43),0)+IF(LEFT(T43,8)="Expense|",N(J43),0)+IF(LEFT(U43,8)="Expense|",-N(N43),0)+IF(LEFT(V43,8)="Expense|",-N(M43),0)</f>
        <v/>
      </c>
      <c r="Z43" s="23">
        <f>IF(ISNUMBER(MATCH(S43,{"Expense|employee","Expense|general_admin","Expense|marketing","Expense|utilities","Expense|other_operating"},0)),N(F43),0)+IF(ISNUMBER(MATCH(T43,{"Expense|employee","Expense|general_admin","Expense|marketing","Expense|utilities","Expense|other_operating"},0)),N(J43),0)+IF(ISNUMBER(MATCH(U43,{"Expense|employee","Expense|general_admin","Expense|marketing","Expense|utilities","Expense|other_operating"},0)),-N(N43),0)+IF(ISNUMBER(MATCH(V43,{"Expense|employee","Expense|general_admin","Expense|marketing","Expense|utilities","Expense|other_operating"},0)),-N(M43),0)</f>
        <v/>
      </c>
      <c r="AA43" s="23">
        <f>IF(S43="Liability|payable",-N(F43),0)+IF(T43="Liability|payable",-N(J43),0)+IF(U43="Liability|payable",N(N43),0)+IF(V43="Liability|payable",N(M43),0)</f>
        <v/>
      </c>
      <c r="AB43" s="23">
        <f>IF(S43="Liability|accrued",-N(F43),0)+IF(T43="Liability|accrued",-N(J43),0)+IF(U43="Liability|accrued",N(N43),0)+IF(V43="Liability|accrued",N(M43),0)</f>
        <v/>
      </c>
      <c r="AC43" s="23">
        <f>IF(AND(N(F43)&lt;&gt;0,S43=""),1,0)+IF(AND(N(J43)&lt;&gt;0,T43=""),1,0)+IF(AND(N(N43)&lt;&gt;0,U43=""),1,0)+IF(AND(N(M43)&lt;&gt;0,V43=""),1,0)</f>
        <v/>
      </c>
    </row>
    <row r="44">
      <c r="A44" s="19" t="n"/>
      <c r="B44" s="14" t="n"/>
      <c r="C44" s="14" t="n"/>
      <c r="D44" s="14" t="n"/>
      <c r="E44" s="14" t="n"/>
      <c r="F44" s="20" t="n"/>
      <c r="G44" s="14" t="n"/>
      <c r="H44" s="14" t="n"/>
      <c r="I44" s="14" t="n"/>
      <c r="J44" s="20" t="n"/>
      <c r="K44" s="14" t="n"/>
      <c r="L44" s="21">
        <f>N(F44)+N(J44)</f>
        <v/>
      </c>
      <c r="M44" s="21">
        <f>IF(K44="",0,L44-ROUND(L44/(1+IFERROR(VLOOKUP(K44,'Tax Codes'!$A$5:$E$300,5,FALSE),0)),2))</f>
        <v/>
      </c>
      <c r="N44" s="21">
        <f>L44-M44</f>
        <v/>
      </c>
      <c r="O44" s="16">
        <f>IF(H44="",INDEX('Chart of Accounts'!$A$5:$A$3000,MATCH("bank",'Chart of Accounts'!$F$5:$F$3000,0)),H44&amp;"")</f>
        <v/>
      </c>
      <c r="P44" s="16">
        <f>IF(I44="",INDEX('Chart of Accounts'!$A$5:$A$3000,MATCH("revenue",'Chart of Accounts'!$F$5:$F$3000,0)),I44&amp;"")</f>
        <v/>
      </c>
      <c r="Q44" s="16">
        <f>INDEX('Chart of Accounts'!$A$5:$A$3000,MATCH("wht_receivable",'Chart of Accounts'!$F$5:$F$3000,0))</f>
        <v/>
      </c>
      <c r="R44" s="16">
        <f>INDEX('Chart of Accounts'!$A$5:$A$3000,MATCH("vat_output",'Chart of Accounts'!$F$5:$F$3000,0))</f>
        <v/>
      </c>
      <c r="S44" s="23">
        <f>IFERROR(INDEX('Chart of Accounts'!$C$5:$C$3000,MATCH(O44&amp;"",'Chart of Accounts'!$A$5:$A$3000,0))&amp;"|"&amp;INDEX('Chart of Accounts'!$D$5:$D$3000,MATCH(O44&amp;"",'Chart of Accounts'!$A$5:$A$3000,0)),"")</f>
        <v/>
      </c>
      <c r="T44" s="23">
        <f>IFERROR(INDEX('Chart of Accounts'!$C$5:$C$3000,MATCH(Q44&amp;"",'Chart of Accounts'!$A$5:$A$3000,0))&amp;"|"&amp;INDEX('Chart of Accounts'!$D$5:$D$3000,MATCH(Q44&amp;"",'Chart of Accounts'!$A$5:$A$3000,0)),"")</f>
        <v/>
      </c>
      <c r="U44" s="23">
        <f>IFERROR(INDEX('Chart of Accounts'!$C$5:$C$3000,MATCH(P44&amp;"",'Chart of Accounts'!$A$5:$A$3000,0))&amp;"|"&amp;INDEX('Chart of Accounts'!$D$5:$D$3000,MATCH(P44&amp;"",'Chart of Accounts'!$A$5:$A$3000,0)),"")</f>
        <v/>
      </c>
      <c r="V44" s="23">
        <f>IFERROR(INDEX('Chart of Accounts'!$C$5:$C$3000,MATCH(R44&amp;"",'Chart of Accounts'!$A$5:$A$3000,0))&amp;"|"&amp;INDEX('Chart of Accounts'!$D$5:$D$3000,MATCH(R44&amp;"",'Chart of Accounts'!$A$5:$A$3000,0)),"")</f>
        <v/>
      </c>
      <c r="W44" s="23">
        <f>IF(LEFT(S44,8)="Revenue|",-N(F44),0)+IF(LEFT(T44,8)="Revenue|",-N(J44),0)+IF(LEFT(U44,8)="Revenue|",N(N44),0)+IF(LEFT(V44,8)="Revenue|",N(M44),0)</f>
        <v/>
      </c>
      <c r="X44" s="23">
        <f>IF(LEFT(S44,5)="COGS|",N(F44),0)+IF(LEFT(T44,5)="COGS|",N(J44),0)+IF(LEFT(U44,5)="COGS|",-N(N44),0)+IF(LEFT(V44,5)="COGS|",-N(M44),0)</f>
        <v/>
      </c>
      <c r="Y44" s="23">
        <f>IF(LEFT(S44,8)="Expense|",N(F44),0)+IF(LEFT(T44,8)="Expense|",N(J44),0)+IF(LEFT(U44,8)="Expense|",-N(N44),0)+IF(LEFT(V44,8)="Expense|",-N(M44),0)</f>
        <v/>
      </c>
      <c r="Z44" s="23">
        <f>IF(ISNUMBER(MATCH(S44,{"Expense|employee","Expense|general_admin","Expense|marketing","Expense|utilities","Expense|other_operating"},0)),N(F44),0)+IF(ISNUMBER(MATCH(T44,{"Expense|employee","Expense|general_admin","Expense|marketing","Expense|utilities","Expense|other_operating"},0)),N(J44),0)+IF(ISNUMBER(MATCH(U44,{"Expense|employee","Expense|general_admin","Expense|marketing","Expense|utilities","Expense|other_operating"},0)),-N(N44),0)+IF(ISNUMBER(MATCH(V44,{"Expense|employee","Expense|general_admin","Expense|marketing","Expense|utilities","Expense|other_operating"},0)),-N(M44),0)</f>
        <v/>
      </c>
      <c r="AA44" s="23">
        <f>IF(S44="Liability|payable",-N(F44),0)+IF(T44="Liability|payable",-N(J44),0)+IF(U44="Liability|payable",N(N44),0)+IF(V44="Liability|payable",N(M44),0)</f>
        <v/>
      </c>
      <c r="AB44" s="23">
        <f>IF(S44="Liability|accrued",-N(F44),0)+IF(T44="Liability|accrued",-N(J44),0)+IF(U44="Liability|accrued",N(N44),0)+IF(V44="Liability|accrued",N(M44),0)</f>
        <v/>
      </c>
      <c r="AC44" s="23">
        <f>IF(AND(N(F44)&lt;&gt;0,S44=""),1,0)+IF(AND(N(J44)&lt;&gt;0,T44=""),1,0)+IF(AND(N(N44)&lt;&gt;0,U44=""),1,0)+IF(AND(N(M44)&lt;&gt;0,V44=""),1,0)</f>
        <v/>
      </c>
    </row>
    <row r="45">
      <c r="A45" s="19" t="n"/>
      <c r="B45" s="14" t="n"/>
      <c r="C45" s="14" t="n"/>
      <c r="D45" s="14" t="n"/>
      <c r="E45" s="14" t="n"/>
      <c r="F45" s="20" t="n"/>
      <c r="G45" s="14" t="n"/>
      <c r="H45" s="14" t="n"/>
      <c r="I45" s="14" t="n"/>
      <c r="J45" s="20" t="n"/>
      <c r="K45" s="14" t="n"/>
      <c r="L45" s="21">
        <f>N(F45)+N(J45)</f>
        <v/>
      </c>
      <c r="M45" s="21">
        <f>IF(K45="",0,L45-ROUND(L45/(1+IFERROR(VLOOKUP(K45,'Tax Codes'!$A$5:$E$300,5,FALSE),0)),2))</f>
        <v/>
      </c>
      <c r="N45" s="21">
        <f>L45-M45</f>
        <v/>
      </c>
      <c r="O45" s="16">
        <f>IF(H45="",INDEX('Chart of Accounts'!$A$5:$A$3000,MATCH("bank",'Chart of Accounts'!$F$5:$F$3000,0)),H45&amp;"")</f>
        <v/>
      </c>
      <c r="P45" s="16">
        <f>IF(I45="",INDEX('Chart of Accounts'!$A$5:$A$3000,MATCH("revenue",'Chart of Accounts'!$F$5:$F$3000,0)),I45&amp;"")</f>
        <v/>
      </c>
      <c r="Q45" s="16">
        <f>INDEX('Chart of Accounts'!$A$5:$A$3000,MATCH("wht_receivable",'Chart of Accounts'!$F$5:$F$3000,0))</f>
        <v/>
      </c>
      <c r="R45" s="16">
        <f>INDEX('Chart of Accounts'!$A$5:$A$3000,MATCH("vat_output",'Chart of Accounts'!$F$5:$F$3000,0))</f>
        <v/>
      </c>
      <c r="S45" s="23">
        <f>IFERROR(INDEX('Chart of Accounts'!$C$5:$C$3000,MATCH(O45&amp;"",'Chart of Accounts'!$A$5:$A$3000,0))&amp;"|"&amp;INDEX('Chart of Accounts'!$D$5:$D$3000,MATCH(O45&amp;"",'Chart of Accounts'!$A$5:$A$3000,0)),"")</f>
        <v/>
      </c>
      <c r="T45" s="23">
        <f>IFERROR(INDEX('Chart of Accounts'!$C$5:$C$3000,MATCH(Q45&amp;"",'Chart of Accounts'!$A$5:$A$3000,0))&amp;"|"&amp;INDEX('Chart of Accounts'!$D$5:$D$3000,MATCH(Q45&amp;"",'Chart of Accounts'!$A$5:$A$3000,0)),"")</f>
        <v/>
      </c>
      <c r="U45" s="23">
        <f>IFERROR(INDEX('Chart of Accounts'!$C$5:$C$3000,MATCH(P45&amp;"",'Chart of Accounts'!$A$5:$A$3000,0))&amp;"|"&amp;INDEX('Chart of Accounts'!$D$5:$D$3000,MATCH(P45&amp;"",'Chart of Accounts'!$A$5:$A$3000,0)),"")</f>
        <v/>
      </c>
      <c r="V45" s="23">
        <f>IFERROR(INDEX('Chart of Accounts'!$C$5:$C$3000,MATCH(R45&amp;"",'Chart of Accounts'!$A$5:$A$3000,0))&amp;"|"&amp;INDEX('Chart of Accounts'!$D$5:$D$3000,MATCH(R45&amp;"",'Chart of Accounts'!$A$5:$A$3000,0)),"")</f>
        <v/>
      </c>
      <c r="W45" s="23">
        <f>IF(LEFT(S45,8)="Revenue|",-N(F45),0)+IF(LEFT(T45,8)="Revenue|",-N(J45),0)+IF(LEFT(U45,8)="Revenue|",N(N45),0)+IF(LEFT(V45,8)="Revenue|",N(M45),0)</f>
        <v/>
      </c>
      <c r="X45" s="23">
        <f>IF(LEFT(S45,5)="COGS|",N(F45),0)+IF(LEFT(T45,5)="COGS|",N(J45),0)+IF(LEFT(U45,5)="COGS|",-N(N45),0)+IF(LEFT(V45,5)="COGS|",-N(M45),0)</f>
        <v/>
      </c>
      <c r="Y45" s="23">
        <f>IF(LEFT(S45,8)="Expense|",N(F45),0)+IF(LEFT(T45,8)="Expense|",N(J45),0)+IF(LEFT(U45,8)="Expense|",-N(N45),0)+IF(LEFT(V45,8)="Expense|",-N(M45),0)</f>
        <v/>
      </c>
      <c r="Z45" s="23">
        <f>IF(ISNUMBER(MATCH(S45,{"Expense|employee","Expense|general_admin","Expense|marketing","Expense|utilities","Expense|other_operating"},0)),N(F45),0)+IF(ISNUMBER(MATCH(T45,{"Expense|employee","Expense|general_admin","Expense|marketing","Expense|utilities","Expense|other_operating"},0)),N(J45),0)+IF(ISNUMBER(MATCH(U45,{"Expense|employee","Expense|general_admin","Expense|marketing","Expense|utilities","Expense|other_operating"},0)),-N(N45),0)+IF(ISNUMBER(MATCH(V45,{"Expense|employee","Expense|general_admin","Expense|marketing","Expense|utilities","Expense|other_operating"},0)),-N(M45),0)</f>
        <v/>
      </c>
      <c r="AA45" s="23">
        <f>IF(S45="Liability|payable",-N(F45),0)+IF(T45="Liability|payable",-N(J45),0)+IF(U45="Liability|payable",N(N45),0)+IF(V45="Liability|payable",N(M45),0)</f>
        <v/>
      </c>
      <c r="AB45" s="23">
        <f>IF(S45="Liability|accrued",-N(F45),0)+IF(T45="Liability|accrued",-N(J45),0)+IF(U45="Liability|accrued",N(N45),0)+IF(V45="Liability|accrued",N(M45),0)</f>
        <v/>
      </c>
      <c r="AC45" s="23">
        <f>IF(AND(N(F45)&lt;&gt;0,S45=""),1,0)+IF(AND(N(J45)&lt;&gt;0,T45=""),1,0)+IF(AND(N(N45)&lt;&gt;0,U45=""),1,0)+IF(AND(N(M45)&lt;&gt;0,V45=""),1,0)</f>
        <v/>
      </c>
    </row>
    <row r="46">
      <c r="A46" s="19" t="n"/>
      <c r="B46" s="14" t="n"/>
      <c r="C46" s="14" t="n"/>
      <c r="D46" s="14" t="n"/>
      <c r="E46" s="14" t="n"/>
      <c r="F46" s="20" t="n"/>
      <c r="G46" s="14" t="n"/>
      <c r="H46" s="14" t="n"/>
      <c r="I46" s="14" t="n"/>
      <c r="J46" s="20" t="n"/>
      <c r="K46" s="14" t="n"/>
      <c r="L46" s="21">
        <f>N(F46)+N(J46)</f>
        <v/>
      </c>
      <c r="M46" s="21">
        <f>IF(K46="",0,L46-ROUND(L46/(1+IFERROR(VLOOKUP(K46,'Tax Codes'!$A$5:$E$300,5,FALSE),0)),2))</f>
        <v/>
      </c>
      <c r="N46" s="21">
        <f>L46-M46</f>
        <v/>
      </c>
      <c r="O46" s="16">
        <f>IF(H46="",INDEX('Chart of Accounts'!$A$5:$A$3000,MATCH("bank",'Chart of Accounts'!$F$5:$F$3000,0)),H46&amp;"")</f>
        <v/>
      </c>
      <c r="P46" s="16">
        <f>IF(I46="",INDEX('Chart of Accounts'!$A$5:$A$3000,MATCH("revenue",'Chart of Accounts'!$F$5:$F$3000,0)),I46&amp;"")</f>
        <v/>
      </c>
      <c r="Q46" s="16">
        <f>INDEX('Chart of Accounts'!$A$5:$A$3000,MATCH("wht_receivable",'Chart of Accounts'!$F$5:$F$3000,0))</f>
        <v/>
      </c>
      <c r="R46" s="16">
        <f>INDEX('Chart of Accounts'!$A$5:$A$3000,MATCH("vat_output",'Chart of Accounts'!$F$5:$F$3000,0))</f>
        <v/>
      </c>
      <c r="S46" s="23">
        <f>IFERROR(INDEX('Chart of Accounts'!$C$5:$C$3000,MATCH(O46&amp;"",'Chart of Accounts'!$A$5:$A$3000,0))&amp;"|"&amp;INDEX('Chart of Accounts'!$D$5:$D$3000,MATCH(O46&amp;"",'Chart of Accounts'!$A$5:$A$3000,0)),"")</f>
        <v/>
      </c>
      <c r="T46" s="23">
        <f>IFERROR(INDEX('Chart of Accounts'!$C$5:$C$3000,MATCH(Q46&amp;"",'Chart of Accounts'!$A$5:$A$3000,0))&amp;"|"&amp;INDEX('Chart of Accounts'!$D$5:$D$3000,MATCH(Q46&amp;"",'Chart of Accounts'!$A$5:$A$3000,0)),"")</f>
        <v/>
      </c>
      <c r="U46" s="23">
        <f>IFERROR(INDEX('Chart of Accounts'!$C$5:$C$3000,MATCH(P46&amp;"",'Chart of Accounts'!$A$5:$A$3000,0))&amp;"|"&amp;INDEX('Chart of Accounts'!$D$5:$D$3000,MATCH(P46&amp;"",'Chart of Accounts'!$A$5:$A$3000,0)),"")</f>
        <v/>
      </c>
      <c r="V46" s="23">
        <f>IFERROR(INDEX('Chart of Accounts'!$C$5:$C$3000,MATCH(R46&amp;"",'Chart of Accounts'!$A$5:$A$3000,0))&amp;"|"&amp;INDEX('Chart of Accounts'!$D$5:$D$3000,MATCH(R46&amp;"",'Chart of Accounts'!$A$5:$A$3000,0)),"")</f>
        <v/>
      </c>
      <c r="W46" s="23">
        <f>IF(LEFT(S46,8)="Revenue|",-N(F46),0)+IF(LEFT(T46,8)="Revenue|",-N(J46),0)+IF(LEFT(U46,8)="Revenue|",N(N46),0)+IF(LEFT(V46,8)="Revenue|",N(M46),0)</f>
        <v/>
      </c>
      <c r="X46" s="23">
        <f>IF(LEFT(S46,5)="COGS|",N(F46),0)+IF(LEFT(T46,5)="COGS|",N(J46),0)+IF(LEFT(U46,5)="COGS|",-N(N46),0)+IF(LEFT(V46,5)="COGS|",-N(M46),0)</f>
        <v/>
      </c>
      <c r="Y46" s="23">
        <f>IF(LEFT(S46,8)="Expense|",N(F46),0)+IF(LEFT(T46,8)="Expense|",N(J46),0)+IF(LEFT(U46,8)="Expense|",-N(N46),0)+IF(LEFT(V46,8)="Expense|",-N(M46),0)</f>
        <v/>
      </c>
      <c r="Z46" s="23">
        <f>IF(ISNUMBER(MATCH(S46,{"Expense|employee","Expense|general_admin","Expense|marketing","Expense|utilities","Expense|other_operating"},0)),N(F46),0)+IF(ISNUMBER(MATCH(T46,{"Expense|employee","Expense|general_admin","Expense|marketing","Expense|utilities","Expense|other_operating"},0)),N(J46),0)+IF(ISNUMBER(MATCH(U46,{"Expense|employee","Expense|general_admin","Expense|marketing","Expense|utilities","Expense|other_operating"},0)),-N(N46),0)+IF(ISNUMBER(MATCH(V46,{"Expense|employee","Expense|general_admin","Expense|marketing","Expense|utilities","Expense|other_operating"},0)),-N(M46),0)</f>
        <v/>
      </c>
      <c r="AA46" s="23">
        <f>IF(S46="Liability|payable",-N(F46),0)+IF(T46="Liability|payable",-N(J46),0)+IF(U46="Liability|payable",N(N46),0)+IF(V46="Liability|payable",N(M46),0)</f>
        <v/>
      </c>
      <c r="AB46" s="23">
        <f>IF(S46="Liability|accrued",-N(F46),0)+IF(T46="Liability|accrued",-N(J46),0)+IF(U46="Liability|accrued",N(N46),0)+IF(V46="Liability|accrued",N(M46),0)</f>
        <v/>
      </c>
      <c r="AC46" s="23">
        <f>IF(AND(N(F46)&lt;&gt;0,S46=""),1,0)+IF(AND(N(J46)&lt;&gt;0,T46=""),1,0)+IF(AND(N(N46)&lt;&gt;0,U46=""),1,0)+IF(AND(N(M46)&lt;&gt;0,V46=""),1,0)</f>
        <v/>
      </c>
    </row>
    <row r="47">
      <c r="A47" s="19" t="n"/>
      <c r="B47" s="14" t="n"/>
      <c r="C47" s="14" t="n"/>
      <c r="D47" s="14" t="n"/>
      <c r="E47" s="14" t="n"/>
      <c r="F47" s="20" t="n"/>
      <c r="G47" s="14" t="n"/>
      <c r="H47" s="14" t="n"/>
      <c r="I47" s="14" t="n"/>
      <c r="J47" s="20" t="n"/>
      <c r="K47" s="14" t="n"/>
      <c r="L47" s="21">
        <f>N(F47)+N(J47)</f>
        <v/>
      </c>
      <c r="M47" s="21">
        <f>IF(K47="",0,L47-ROUND(L47/(1+IFERROR(VLOOKUP(K47,'Tax Codes'!$A$5:$E$300,5,FALSE),0)),2))</f>
        <v/>
      </c>
      <c r="N47" s="21">
        <f>L47-M47</f>
        <v/>
      </c>
      <c r="O47" s="16">
        <f>IF(H47="",INDEX('Chart of Accounts'!$A$5:$A$3000,MATCH("bank",'Chart of Accounts'!$F$5:$F$3000,0)),H47&amp;"")</f>
        <v/>
      </c>
      <c r="P47" s="16">
        <f>IF(I47="",INDEX('Chart of Accounts'!$A$5:$A$3000,MATCH("revenue",'Chart of Accounts'!$F$5:$F$3000,0)),I47&amp;"")</f>
        <v/>
      </c>
      <c r="Q47" s="16">
        <f>INDEX('Chart of Accounts'!$A$5:$A$3000,MATCH("wht_receivable",'Chart of Accounts'!$F$5:$F$3000,0))</f>
        <v/>
      </c>
      <c r="R47" s="16">
        <f>INDEX('Chart of Accounts'!$A$5:$A$3000,MATCH("vat_output",'Chart of Accounts'!$F$5:$F$3000,0))</f>
        <v/>
      </c>
      <c r="S47" s="23">
        <f>IFERROR(INDEX('Chart of Accounts'!$C$5:$C$3000,MATCH(O47&amp;"",'Chart of Accounts'!$A$5:$A$3000,0))&amp;"|"&amp;INDEX('Chart of Accounts'!$D$5:$D$3000,MATCH(O47&amp;"",'Chart of Accounts'!$A$5:$A$3000,0)),"")</f>
        <v/>
      </c>
      <c r="T47" s="23">
        <f>IFERROR(INDEX('Chart of Accounts'!$C$5:$C$3000,MATCH(Q47&amp;"",'Chart of Accounts'!$A$5:$A$3000,0))&amp;"|"&amp;INDEX('Chart of Accounts'!$D$5:$D$3000,MATCH(Q47&amp;"",'Chart of Accounts'!$A$5:$A$3000,0)),"")</f>
        <v/>
      </c>
      <c r="U47" s="23">
        <f>IFERROR(INDEX('Chart of Accounts'!$C$5:$C$3000,MATCH(P47&amp;"",'Chart of Accounts'!$A$5:$A$3000,0))&amp;"|"&amp;INDEX('Chart of Accounts'!$D$5:$D$3000,MATCH(P47&amp;"",'Chart of Accounts'!$A$5:$A$3000,0)),"")</f>
        <v/>
      </c>
      <c r="V47" s="23">
        <f>IFERROR(INDEX('Chart of Accounts'!$C$5:$C$3000,MATCH(R47&amp;"",'Chart of Accounts'!$A$5:$A$3000,0))&amp;"|"&amp;INDEX('Chart of Accounts'!$D$5:$D$3000,MATCH(R47&amp;"",'Chart of Accounts'!$A$5:$A$3000,0)),"")</f>
        <v/>
      </c>
      <c r="W47" s="23">
        <f>IF(LEFT(S47,8)="Revenue|",-N(F47),0)+IF(LEFT(T47,8)="Revenue|",-N(J47),0)+IF(LEFT(U47,8)="Revenue|",N(N47),0)+IF(LEFT(V47,8)="Revenue|",N(M47),0)</f>
        <v/>
      </c>
      <c r="X47" s="23">
        <f>IF(LEFT(S47,5)="COGS|",N(F47),0)+IF(LEFT(T47,5)="COGS|",N(J47),0)+IF(LEFT(U47,5)="COGS|",-N(N47),0)+IF(LEFT(V47,5)="COGS|",-N(M47),0)</f>
        <v/>
      </c>
      <c r="Y47" s="23">
        <f>IF(LEFT(S47,8)="Expense|",N(F47),0)+IF(LEFT(T47,8)="Expense|",N(J47),0)+IF(LEFT(U47,8)="Expense|",-N(N47),0)+IF(LEFT(V47,8)="Expense|",-N(M47),0)</f>
        <v/>
      </c>
      <c r="Z47" s="23">
        <f>IF(ISNUMBER(MATCH(S47,{"Expense|employee","Expense|general_admin","Expense|marketing","Expense|utilities","Expense|other_operating"},0)),N(F47),0)+IF(ISNUMBER(MATCH(T47,{"Expense|employee","Expense|general_admin","Expense|marketing","Expense|utilities","Expense|other_operating"},0)),N(J47),0)+IF(ISNUMBER(MATCH(U47,{"Expense|employee","Expense|general_admin","Expense|marketing","Expense|utilities","Expense|other_operating"},0)),-N(N47),0)+IF(ISNUMBER(MATCH(V47,{"Expense|employee","Expense|general_admin","Expense|marketing","Expense|utilities","Expense|other_operating"},0)),-N(M47),0)</f>
        <v/>
      </c>
      <c r="AA47" s="23">
        <f>IF(S47="Liability|payable",-N(F47),0)+IF(T47="Liability|payable",-N(J47),0)+IF(U47="Liability|payable",N(N47),0)+IF(V47="Liability|payable",N(M47),0)</f>
        <v/>
      </c>
      <c r="AB47" s="23">
        <f>IF(S47="Liability|accrued",-N(F47),0)+IF(T47="Liability|accrued",-N(J47),0)+IF(U47="Liability|accrued",N(N47),0)+IF(V47="Liability|accrued",N(M47),0)</f>
        <v/>
      </c>
      <c r="AC47" s="23">
        <f>IF(AND(N(F47)&lt;&gt;0,S47=""),1,0)+IF(AND(N(J47)&lt;&gt;0,T47=""),1,0)+IF(AND(N(N47)&lt;&gt;0,U47=""),1,0)+IF(AND(N(M47)&lt;&gt;0,V47=""),1,0)</f>
        <v/>
      </c>
    </row>
    <row r="48">
      <c r="A48" s="19" t="n"/>
      <c r="B48" s="14" t="n"/>
      <c r="C48" s="14" t="n"/>
      <c r="D48" s="14" t="n"/>
      <c r="E48" s="14" t="n"/>
      <c r="F48" s="20" t="n"/>
      <c r="G48" s="14" t="n"/>
      <c r="H48" s="14" t="n"/>
      <c r="I48" s="14" t="n"/>
      <c r="J48" s="20" t="n"/>
      <c r="K48" s="14" t="n"/>
      <c r="L48" s="21">
        <f>N(F48)+N(J48)</f>
        <v/>
      </c>
      <c r="M48" s="21">
        <f>IF(K48="",0,L48-ROUND(L48/(1+IFERROR(VLOOKUP(K48,'Tax Codes'!$A$5:$E$300,5,FALSE),0)),2))</f>
        <v/>
      </c>
      <c r="N48" s="21">
        <f>L48-M48</f>
        <v/>
      </c>
      <c r="O48" s="16">
        <f>IF(H48="",INDEX('Chart of Accounts'!$A$5:$A$3000,MATCH("bank",'Chart of Accounts'!$F$5:$F$3000,0)),H48&amp;"")</f>
        <v/>
      </c>
      <c r="P48" s="16">
        <f>IF(I48="",INDEX('Chart of Accounts'!$A$5:$A$3000,MATCH("revenue",'Chart of Accounts'!$F$5:$F$3000,0)),I48&amp;"")</f>
        <v/>
      </c>
      <c r="Q48" s="16">
        <f>INDEX('Chart of Accounts'!$A$5:$A$3000,MATCH("wht_receivable",'Chart of Accounts'!$F$5:$F$3000,0))</f>
        <v/>
      </c>
      <c r="R48" s="16">
        <f>INDEX('Chart of Accounts'!$A$5:$A$3000,MATCH("vat_output",'Chart of Accounts'!$F$5:$F$3000,0))</f>
        <v/>
      </c>
      <c r="S48" s="23">
        <f>IFERROR(INDEX('Chart of Accounts'!$C$5:$C$3000,MATCH(O48&amp;"",'Chart of Accounts'!$A$5:$A$3000,0))&amp;"|"&amp;INDEX('Chart of Accounts'!$D$5:$D$3000,MATCH(O48&amp;"",'Chart of Accounts'!$A$5:$A$3000,0)),"")</f>
        <v/>
      </c>
      <c r="T48" s="23">
        <f>IFERROR(INDEX('Chart of Accounts'!$C$5:$C$3000,MATCH(Q48&amp;"",'Chart of Accounts'!$A$5:$A$3000,0))&amp;"|"&amp;INDEX('Chart of Accounts'!$D$5:$D$3000,MATCH(Q48&amp;"",'Chart of Accounts'!$A$5:$A$3000,0)),"")</f>
        <v/>
      </c>
      <c r="U48" s="23">
        <f>IFERROR(INDEX('Chart of Accounts'!$C$5:$C$3000,MATCH(P48&amp;"",'Chart of Accounts'!$A$5:$A$3000,0))&amp;"|"&amp;INDEX('Chart of Accounts'!$D$5:$D$3000,MATCH(P48&amp;"",'Chart of Accounts'!$A$5:$A$3000,0)),"")</f>
        <v/>
      </c>
      <c r="V48" s="23">
        <f>IFERROR(INDEX('Chart of Accounts'!$C$5:$C$3000,MATCH(R48&amp;"",'Chart of Accounts'!$A$5:$A$3000,0))&amp;"|"&amp;INDEX('Chart of Accounts'!$D$5:$D$3000,MATCH(R48&amp;"",'Chart of Accounts'!$A$5:$A$3000,0)),"")</f>
        <v/>
      </c>
      <c r="W48" s="23">
        <f>IF(LEFT(S48,8)="Revenue|",-N(F48),0)+IF(LEFT(T48,8)="Revenue|",-N(J48),0)+IF(LEFT(U48,8)="Revenue|",N(N48),0)+IF(LEFT(V48,8)="Revenue|",N(M48),0)</f>
        <v/>
      </c>
      <c r="X48" s="23">
        <f>IF(LEFT(S48,5)="COGS|",N(F48),0)+IF(LEFT(T48,5)="COGS|",N(J48),0)+IF(LEFT(U48,5)="COGS|",-N(N48),0)+IF(LEFT(V48,5)="COGS|",-N(M48),0)</f>
        <v/>
      </c>
      <c r="Y48" s="23">
        <f>IF(LEFT(S48,8)="Expense|",N(F48),0)+IF(LEFT(T48,8)="Expense|",N(J48),0)+IF(LEFT(U48,8)="Expense|",-N(N48),0)+IF(LEFT(V48,8)="Expense|",-N(M48),0)</f>
        <v/>
      </c>
      <c r="Z48" s="23">
        <f>IF(ISNUMBER(MATCH(S48,{"Expense|employee","Expense|general_admin","Expense|marketing","Expense|utilities","Expense|other_operating"},0)),N(F48),0)+IF(ISNUMBER(MATCH(T48,{"Expense|employee","Expense|general_admin","Expense|marketing","Expense|utilities","Expense|other_operating"},0)),N(J48),0)+IF(ISNUMBER(MATCH(U48,{"Expense|employee","Expense|general_admin","Expense|marketing","Expense|utilities","Expense|other_operating"},0)),-N(N48),0)+IF(ISNUMBER(MATCH(V48,{"Expense|employee","Expense|general_admin","Expense|marketing","Expense|utilities","Expense|other_operating"},0)),-N(M48),0)</f>
        <v/>
      </c>
      <c r="AA48" s="23">
        <f>IF(S48="Liability|payable",-N(F48),0)+IF(T48="Liability|payable",-N(J48),0)+IF(U48="Liability|payable",N(N48),0)+IF(V48="Liability|payable",N(M48),0)</f>
        <v/>
      </c>
      <c r="AB48" s="23">
        <f>IF(S48="Liability|accrued",-N(F48),0)+IF(T48="Liability|accrued",-N(J48),0)+IF(U48="Liability|accrued",N(N48),0)+IF(V48="Liability|accrued",N(M48),0)</f>
        <v/>
      </c>
      <c r="AC48" s="23">
        <f>IF(AND(N(F48)&lt;&gt;0,S48=""),1,0)+IF(AND(N(J48)&lt;&gt;0,T48=""),1,0)+IF(AND(N(N48)&lt;&gt;0,U48=""),1,0)+IF(AND(N(M48)&lt;&gt;0,V48=""),1,0)</f>
        <v/>
      </c>
    </row>
    <row r="49">
      <c r="A49" s="19" t="n"/>
      <c r="B49" s="14" t="n"/>
      <c r="C49" s="14" t="n"/>
      <c r="D49" s="14" t="n"/>
      <c r="E49" s="14" t="n"/>
      <c r="F49" s="20" t="n"/>
      <c r="G49" s="14" t="n"/>
      <c r="H49" s="14" t="n"/>
      <c r="I49" s="14" t="n"/>
      <c r="J49" s="20" t="n"/>
      <c r="K49" s="14" t="n"/>
      <c r="L49" s="21">
        <f>N(F49)+N(J49)</f>
        <v/>
      </c>
      <c r="M49" s="21">
        <f>IF(K49="",0,L49-ROUND(L49/(1+IFERROR(VLOOKUP(K49,'Tax Codes'!$A$5:$E$300,5,FALSE),0)),2))</f>
        <v/>
      </c>
      <c r="N49" s="21">
        <f>L49-M49</f>
        <v/>
      </c>
      <c r="O49" s="16">
        <f>IF(H49="",INDEX('Chart of Accounts'!$A$5:$A$3000,MATCH("bank",'Chart of Accounts'!$F$5:$F$3000,0)),H49&amp;"")</f>
        <v/>
      </c>
      <c r="P49" s="16">
        <f>IF(I49="",INDEX('Chart of Accounts'!$A$5:$A$3000,MATCH("revenue",'Chart of Accounts'!$F$5:$F$3000,0)),I49&amp;"")</f>
        <v/>
      </c>
      <c r="Q49" s="16">
        <f>INDEX('Chart of Accounts'!$A$5:$A$3000,MATCH("wht_receivable",'Chart of Accounts'!$F$5:$F$3000,0))</f>
        <v/>
      </c>
      <c r="R49" s="16">
        <f>INDEX('Chart of Accounts'!$A$5:$A$3000,MATCH("vat_output",'Chart of Accounts'!$F$5:$F$3000,0))</f>
        <v/>
      </c>
      <c r="S49" s="23">
        <f>IFERROR(INDEX('Chart of Accounts'!$C$5:$C$3000,MATCH(O49&amp;"",'Chart of Accounts'!$A$5:$A$3000,0))&amp;"|"&amp;INDEX('Chart of Accounts'!$D$5:$D$3000,MATCH(O49&amp;"",'Chart of Accounts'!$A$5:$A$3000,0)),"")</f>
        <v/>
      </c>
      <c r="T49" s="23">
        <f>IFERROR(INDEX('Chart of Accounts'!$C$5:$C$3000,MATCH(Q49&amp;"",'Chart of Accounts'!$A$5:$A$3000,0))&amp;"|"&amp;INDEX('Chart of Accounts'!$D$5:$D$3000,MATCH(Q49&amp;"",'Chart of Accounts'!$A$5:$A$3000,0)),"")</f>
        <v/>
      </c>
      <c r="U49" s="23">
        <f>IFERROR(INDEX('Chart of Accounts'!$C$5:$C$3000,MATCH(P49&amp;"",'Chart of Accounts'!$A$5:$A$3000,0))&amp;"|"&amp;INDEX('Chart of Accounts'!$D$5:$D$3000,MATCH(P49&amp;"",'Chart of Accounts'!$A$5:$A$3000,0)),"")</f>
        <v/>
      </c>
      <c r="V49" s="23">
        <f>IFERROR(INDEX('Chart of Accounts'!$C$5:$C$3000,MATCH(R49&amp;"",'Chart of Accounts'!$A$5:$A$3000,0))&amp;"|"&amp;INDEX('Chart of Accounts'!$D$5:$D$3000,MATCH(R49&amp;"",'Chart of Accounts'!$A$5:$A$3000,0)),"")</f>
        <v/>
      </c>
      <c r="W49" s="23">
        <f>IF(LEFT(S49,8)="Revenue|",-N(F49),0)+IF(LEFT(T49,8)="Revenue|",-N(J49),0)+IF(LEFT(U49,8)="Revenue|",N(N49),0)+IF(LEFT(V49,8)="Revenue|",N(M49),0)</f>
        <v/>
      </c>
      <c r="X49" s="23">
        <f>IF(LEFT(S49,5)="COGS|",N(F49),0)+IF(LEFT(T49,5)="COGS|",N(J49),0)+IF(LEFT(U49,5)="COGS|",-N(N49),0)+IF(LEFT(V49,5)="COGS|",-N(M49),0)</f>
        <v/>
      </c>
      <c r="Y49" s="23">
        <f>IF(LEFT(S49,8)="Expense|",N(F49),0)+IF(LEFT(T49,8)="Expense|",N(J49),0)+IF(LEFT(U49,8)="Expense|",-N(N49),0)+IF(LEFT(V49,8)="Expense|",-N(M49),0)</f>
        <v/>
      </c>
      <c r="Z49" s="23">
        <f>IF(ISNUMBER(MATCH(S49,{"Expense|employee","Expense|general_admin","Expense|marketing","Expense|utilities","Expense|other_operating"},0)),N(F49),0)+IF(ISNUMBER(MATCH(T49,{"Expense|employee","Expense|general_admin","Expense|marketing","Expense|utilities","Expense|other_operating"},0)),N(J49),0)+IF(ISNUMBER(MATCH(U49,{"Expense|employee","Expense|general_admin","Expense|marketing","Expense|utilities","Expense|other_operating"},0)),-N(N49),0)+IF(ISNUMBER(MATCH(V49,{"Expense|employee","Expense|general_admin","Expense|marketing","Expense|utilities","Expense|other_operating"},0)),-N(M49),0)</f>
        <v/>
      </c>
      <c r="AA49" s="23">
        <f>IF(S49="Liability|payable",-N(F49),0)+IF(T49="Liability|payable",-N(J49),0)+IF(U49="Liability|payable",N(N49),0)+IF(V49="Liability|payable",N(M49),0)</f>
        <v/>
      </c>
      <c r="AB49" s="23">
        <f>IF(S49="Liability|accrued",-N(F49),0)+IF(T49="Liability|accrued",-N(J49),0)+IF(U49="Liability|accrued",N(N49),0)+IF(V49="Liability|accrued",N(M49),0)</f>
        <v/>
      </c>
      <c r="AC49" s="23">
        <f>IF(AND(N(F49)&lt;&gt;0,S49=""),1,0)+IF(AND(N(J49)&lt;&gt;0,T49=""),1,0)+IF(AND(N(N49)&lt;&gt;0,U49=""),1,0)+IF(AND(N(M49)&lt;&gt;0,V49=""),1,0)</f>
        <v/>
      </c>
    </row>
    <row r="50">
      <c r="A50" s="19" t="n"/>
      <c r="B50" s="14" t="n"/>
      <c r="C50" s="14" t="n"/>
      <c r="D50" s="14" t="n"/>
      <c r="E50" s="14" t="n"/>
      <c r="F50" s="20" t="n"/>
      <c r="G50" s="14" t="n"/>
      <c r="H50" s="14" t="n"/>
      <c r="I50" s="14" t="n"/>
      <c r="J50" s="20" t="n"/>
      <c r="K50" s="14" t="n"/>
      <c r="L50" s="21">
        <f>N(F50)+N(J50)</f>
        <v/>
      </c>
      <c r="M50" s="21">
        <f>IF(K50="",0,L50-ROUND(L50/(1+IFERROR(VLOOKUP(K50,'Tax Codes'!$A$5:$E$300,5,FALSE),0)),2))</f>
        <v/>
      </c>
      <c r="N50" s="21">
        <f>L50-M50</f>
        <v/>
      </c>
      <c r="O50" s="16">
        <f>IF(H50="",INDEX('Chart of Accounts'!$A$5:$A$3000,MATCH("bank",'Chart of Accounts'!$F$5:$F$3000,0)),H50&amp;"")</f>
        <v/>
      </c>
      <c r="P50" s="16">
        <f>IF(I50="",INDEX('Chart of Accounts'!$A$5:$A$3000,MATCH("revenue",'Chart of Accounts'!$F$5:$F$3000,0)),I50&amp;"")</f>
        <v/>
      </c>
      <c r="Q50" s="16">
        <f>INDEX('Chart of Accounts'!$A$5:$A$3000,MATCH("wht_receivable",'Chart of Accounts'!$F$5:$F$3000,0))</f>
        <v/>
      </c>
      <c r="R50" s="16">
        <f>INDEX('Chart of Accounts'!$A$5:$A$3000,MATCH("vat_output",'Chart of Accounts'!$F$5:$F$3000,0))</f>
        <v/>
      </c>
      <c r="S50" s="23">
        <f>IFERROR(INDEX('Chart of Accounts'!$C$5:$C$3000,MATCH(O50&amp;"",'Chart of Accounts'!$A$5:$A$3000,0))&amp;"|"&amp;INDEX('Chart of Accounts'!$D$5:$D$3000,MATCH(O50&amp;"",'Chart of Accounts'!$A$5:$A$3000,0)),"")</f>
        <v/>
      </c>
      <c r="T50" s="23">
        <f>IFERROR(INDEX('Chart of Accounts'!$C$5:$C$3000,MATCH(Q50&amp;"",'Chart of Accounts'!$A$5:$A$3000,0))&amp;"|"&amp;INDEX('Chart of Accounts'!$D$5:$D$3000,MATCH(Q50&amp;"",'Chart of Accounts'!$A$5:$A$3000,0)),"")</f>
        <v/>
      </c>
      <c r="U50" s="23">
        <f>IFERROR(INDEX('Chart of Accounts'!$C$5:$C$3000,MATCH(P50&amp;"",'Chart of Accounts'!$A$5:$A$3000,0))&amp;"|"&amp;INDEX('Chart of Accounts'!$D$5:$D$3000,MATCH(P50&amp;"",'Chart of Accounts'!$A$5:$A$3000,0)),"")</f>
        <v/>
      </c>
      <c r="V50" s="23">
        <f>IFERROR(INDEX('Chart of Accounts'!$C$5:$C$3000,MATCH(R50&amp;"",'Chart of Accounts'!$A$5:$A$3000,0))&amp;"|"&amp;INDEX('Chart of Accounts'!$D$5:$D$3000,MATCH(R50&amp;"",'Chart of Accounts'!$A$5:$A$3000,0)),"")</f>
        <v/>
      </c>
      <c r="W50" s="23">
        <f>IF(LEFT(S50,8)="Revenue|",-N(F50),0)+IF(LEFT(T50,8)="Revenue|",-N(J50),0)+IF(LEFT(U50,8)="Revenue|",N(N50),0)+IF(LEFT(V50,8)="Revenue|",N(M50),0)</f>
        <v/>
      </c>
      <c r="X50" s="23">
        <f>IF(LEFT(S50,5)="COGS|",N(F50),0)+IF(LEFT(T50,5)="COGS|",N(J50),0)+IF(LEFT(U50,5)="COGS|",-N(N50),0)+IF(LEFT(V50,5)="COGS|",-N(M50),0)</f>
        <v/>
      </c>
      <c r="Y50" s="23">
        <f>IF(LEFT(S50,8)="Expense|",N(F50),0)+IF(LEFT(T50,8)="Expense|",N(J50),0)+IF(LEFT(U50,8)="Expense|",-N(N50),0)+IF(LEFT(V50,8)="Expense|",-N(M50),0)</f>
        <v/>
      </c>
      <c r="Z50" s="23">
        <f>IF(ISNUMBER(MATCH(S50,{"Expense|employee","Expense|general_admin","Expense|marketing","Expense|utilities","Expense|other_operating"},0)),N(F50),0)+IF(ISNUMBER(MATCH(T50,{"Expense|employee","Expense|general_admin","Expense|marketing","Expense|utilities","Expense|other_operating"},0)),N(J50),0)+IF(ISNUMBER(MATCH(U50,{"Expense|employee","Expense|general_admin","Expense|marketing","Expense|utilities","Expense|other_operating"},0)),-N(N50),0)+IF(ISNUMBER(MATCH(V50,{"Expense|employee","Expense|general_admin","Expense|marketing","Expense|utilities","Expense|other_operating"},0)),-N(M50),0)</f>
        <v/>
      </c>
      <c r="AA50" s="23">
        <f>IF(S50="Liability|payable",-N(F50),0)+IF(T50="Liability|payable",-N(J50),0)+IF(U50="Liability|payable",N(N50),0)+IF(V50="Liability|payable",N(M50),0)</f>
        <v/>
      </c>
      <c r="AB50" s="23">
        <f>IF(S50="Liability|accrued",-N(F50),0)+IF(T50="Liability|accrued",-N(J50),0)+IF(U50="Liability|accrued",N(N50),0)+IF(V50="Liability|accrued",N(M50),0)</f>
        <v/>
      </c>
      <c r="AC50" s="23">
        <f>IF(AND(N(F50)&lt;&gt;0,S50=""),1,0)+IF(AND(N(J50)&lt;&gt;0,T50=""),1,0)+IF(AND(N(N50)&lt;&gt;0,U50=""),1,0)+IF(AND(N(M50)&lt;&gt;0,V50=""),1,0)</f>
        <v/>
      </c>
    </row>
    <row r="51">
      <c r="A51" s="19" t="n"/>
      <c r="B51" s="14" t="n"/>
      <c r="C51" s="14" t="n"/>
      <c r="D51" s="14" t="n"/>
      <c r="E51" s="14" t="n"/>
      <c r="F51" s="20" t="n"/>
      <c r="G51" s="14" t="n"/>
      <c r="H51" s="14" t="n"/>
      <c r="I51" s="14" t="n"/>
      <c r="J51" s="20" t="n"/>
      <c r="K51" s="14" t="n"/>
      <c r="L51" s="21">
        <f>N(F51)+N(J51)</f>
        <v/>
      </c>
      <c r="M51" s="21">
        <f>IF(K51="",0,L51-ROUND(L51/(1+IFERROR(VLOOKUP(K51,'Tax Codes'!$A$5:$E$300,5,FALSE),0)),2))</f>
        <v/>
      </c>
      <c r="N51" s="21">
        <f>L51-M51</f>
        <v/>
      </c>
      <c r="O51" s="16">
        <f>IF(H51="",INDEX('Chart of Accounts'!$A$5:$A$3000,MATCH("bank",'Chart of Accounts'!$F$5:$F$3000,0)),H51&amp;"")</f>
        <v/>
      </c>
      <c r="P51" s="16">
        <f>IF(I51="",INDEX('Chart of Accounts'!$A$5:$A$3000,MATCH("revenue",'Chart of Accounts'!$F$5:$F$3000,0)),I51&amp;"")</f>
        <v/>
      </c>
      <c r="Q51" s="16">
        <f>INDEX('Chart of Accounts'!$A$5:$A$3000,MATCH("wht_receivable",'Chart of Accounts'!$F$5:$F$3000,0))</f>
        <v/>
      </c>
      <c r="R51" s="16">
        <f>INDEX('Chart of Accounts'!$A$5:$A$3000,MATCH("vat_output",'Chart of Accounts'!$F$5:$F$3000,0))</f>
        <v/>
      </c>
      <c r="S51" s="23">
        <f>IFERROR(INDEX('Chart of Accounts'!$C$5:$C$3000,MATCH(O51&amp;"",'Chart of Accounts'!$A$5:$A$3000,0))&amp;"|"&amp;INDEX('Chart of Accounts'!$D$5:$D$3000,MATCH(O51&amp;"",'Chart of Accounts'!$A$5:$A$3000,0)),"")</f>
        <v/>
      </c>
      <c r="T51" s="23">
        <f>IFERROR(INDEX('Chart of Accounts'!$C$5:$C$3000,MATCH(Q51&amp;"",'Chart of Accounts'!$A$5:$A$3000,0))&amp;"|"&amp;INDEX('Chart of Accounts'!$D$5:$D$3000,MATCH(Q51&amp;"",'Chart of Accounts'!$A$5:$A$3000,0)),"")</f>
        <v/>
      </c>
      <c r="U51" s="23">
        <f>IFERROR(INDEX('Chart of Accounts'!$C$5:$C$3000,MATCH(P51&amp;"",'Chart of Accounts'!$A$5:$A$3000,0))&amp;"|"&amp;INDEX('Chart of Accounts'!$D$5:$D$3000,MATCH(P51&amp;"",'Chart of Accounts'!$A$5:$A$3000,0)),"")</f>
        <v/>
      </c>
      <c r="V51" s="23">
        <f>IFERROR(INDEX('Chart of Accounts'!$C$5:$C$3000,MATCH(R51&amp;"",'Chart of Accounts'!$A$5:$A$3000,0))&amp;"|"&amp;INDEX('Chart of Accounts'!$D$5:$D$3000,MATCH(R51&amp;"",'Chart of Accounts'!$A$5:$A$3000,0)),"")</f>
        <v/>
      </c>
      <c r="W51" s="23">
        <f>IF(LEFT(S51,8)="Revenue|",-N(F51),0)+IF(LEFT(T51,8)="Revenue|",-N(J51),0)+IF(LEFT(U51,8)="Revenue|",N(N51),0)+IF(LEFT(V51,8)="Revenue|",N(M51),0)</f>
        <v/>
      </c>
      <c r="X51" s="23">
        <f>IF(LEFT(S51,5)="COGS|",N(F51),0)+IF(LEFT(T51,5)="COGS|",N(J51),0)+IF(LEFT(U51,5)="COGS|",-N(N51),0)+IF(LEFT(V51,5)="COGS|",-N(M51),0)</f>
        <v/>
      </c>
      <c r="Y51" s="23">
        <f>IF(LEFT(S51,8)="Expense|",N(F51),0)+IF(LEFT(T51,8)="Expense|",N(J51),0)+IF(LEFT(U51,8)="Expense|",-N(N51),0)+IF(LEFT(V51,8)="Expense|",-N(M51),0)</f>
        <v/>
      </c>
      <c r="Z51" s="23">
        <f>IF(ISNUMBER(MATCH(S51,{"Expense|employee","Expense|general_admin","Expense|marketing","Expense|utilities","Expense|other_operating"},0)),N(F51),0)+IF(ISNUMBER(MATCH(T51,{"Expense|employee","Expense|general_admin","Expense|marketing","Expense|utilities","Expense|other_operating"},0)),N(J51),0)+IF(ISNUMBER(MATCH(U51,{"Expense|employee","Expense|general_admin","Expense|marketing","Expense|utilities","Expense|other_operating"},0)),-N(N51),0)+IF(ISNUMBER(MATCH(V51,{"Expense|employee","Expense|general_admin","Expense|marketing","Expense|utilities","Expense|other_operating"},0)),-N(M51),0)</f>
        <v/>
      </c>
      <c r="AA51" s="23">
        <f>IF(S51="Liability|payable",-N(F51),0)+IF(T51="Liability|payable",-N(J51),0)+IF(U51="Liability|payable",N(N51),0)+IF(V51="Liability|payable",N(M51),0)</f>
        <v/>
      </c>
      <c r="AB51" s="23">
        <f>IF(S51="Liability|accrued",-N(F51),0)+IF(T51="Liability|accrued",-N(J51),0)+IF(U51="Liability|accrued",N(N51),0)+IF(V51="Liability|accrued",N(M51),0)</f>
        <v/>
      </c>
      <c r="AC51" s="23">
        <f>IF(AND(N(F51)&lt;&gt;0,S51=""),1,0)+IF(AND(N(J51)&lt;&gt;0,T51=""),1,0)+IF(AND(N(N51)&lt;&gt;0,U51=""),1,0)+IF(AND(N(M51)&lt;&gt;0,V51=""),1,0)</f>
        <v/>
      </c>
    </row>
    <row r="52">
      <c r="A52" s="19" t="n"/>
      <c r="B52" s="14" t="n"/>
      <c r="C52" s="14" t="n"/>
      <c r="D52" s="14" t="n"/>
      <c r="E52" s="14" t="n"/>
      <c r="F52" s="20" t="n"/>
      <c r="G52" s="14" t="n"/>
      <c r="H52" s="14" t="n"/>
      <c r="I52" s="14" t="n"/>
      <c r="J52" s="20" t="n"/>
      <c r="K52" s="14" t="n"/>
      <c r="L52" s="21">
        <f>N(F52)+N(J52)</f>
        <v/>
      </c>
      <c r="M52" s="21">
        <f>IF(K52="",0,L52-ROUND(L52/(1+IFERROR(VLOOKUP(K52,'Tax Codes'!$A$5:$E$300,5,FALSE),0)),2))</f>
        <v/>
      </c>
      <c r="N52" s="21">
        <f>L52-M52</f>
        <v/>
      </c>
      <c r="O52" s="16">
        <f>IF(H52="",INDEX('Chart of Accounts'!$A$5:$A$3000,MATCH("bank",'Chart of Accounts'!$F$5:$F$3000,0)),H52&amp;"")</f>
        <v/>
      </c>
      <c r="P52" s="16">
        <f>IF(I52="",INDEX('Chart of Accounts'!$A$5:$A$3000,MATCH("revenue",'Chart of Accounts'!$F$5:$F$3000,0)),I52&amp;"")</f>
        <v/>
      </c>
      <c r="Q52" s="16">
        <f>INDEX('Chart of Accounts'!$A$5:$A$3000,MATCH("wht_receivable",'Chart of Accounts'!$F$5:$F$3000,0))</f>
        <v/>
      </c>
      <c r="R52" s="16">
        <f>INDEX('Chart of Accounts'!$A$5:$A$3000,MATCH("vat_output",'Chart of Accounts'!$F$5:$F$3000,0))</f>
        <v/>
      </c>
      <c r="S52" s="23">
        <f>IFERROR(INDEX('Chart of Accounts'!$C$5:$C$3000,MATCH(O52&amp;"",'Chart of Accounts'!$A$5:$A$3000,0))&amp;"|"&amp;INDEX('Chart of Accounts'!$D$5:$D$3000,MATCH(O52&amp;"",'Chart of Accounts'!$A$5:$A$3000,0)),"")</f>
        <v/>
      </c>
      <c r="T52" s="23">
        <f>IFERROR(INDEX('Chart of Accounts'!$C$5:$C$3000,MATCH(Q52&amp;"",'Chart of Accounts'!$A$5:$A$3000,0))&amp;"|"&amp;INDEX('Chart of Accounts'!$D$5:$D$3000,MATCH(Q52&amp;"",'Chart of Accounts'!$A$5:$A$3000,0)),"")</f>
        <v/>
      </c>
      <c r="U52" s="23">
        <f>IFERROR(INDEX('Chart of Accounts'!$C$5:$C$3000,MATCH(P52&amp;"",'Chart of Accounts'!$A$5:$A$3000,0))&amp;"|"&amp;INDEX('Chart of Accounts'!$D$5:$D$3000,MATCH(P52&amp;"",'Chart of Accounts'!$A$5:$A$3000,0)),"")</f>
        <v/>
      </c>
      <c r="V52" s="23">
        <f>IFERROR(INDEX('Chart of Accounts'!$C$5:$C$3000,MATCH(R52&amp;"",'Chart of Accounts'!$A$5:$A$3000,0))&amp;"|"&amp;INDEX('Chart of Accounts'!$D$5:$D$3000,MATCH(R52&amp;"",'Chart of Accounts'!$A$5:$A$3000,0)),"")</f>
        <v/>
      </c>
      <c r="W52" s="23">
        <f>IF(LEFT(S52,8)="Revenue|",-N(F52),0)+IF(LEFT(T52,8)="Revenue|",-N(J52),0)+IF(LEFT(U52,8)="Revenue|",N(N52),0)+IF(LEFT(V52,8)="Revenue|",N(M52),0)</f>
        <v/>
      </c>
      <c r="X52" s="23">
        <f>IF(LEFT(S52,5)="COGS|",N(F52),0)+IF(LEFT(T52,5)="COGS|",N(J52),0)+IF(LEFT(U52,5)="COGS|",-N(N52),0)+IF(LEFT(V52,5)="COGS|",-N(M52),0)</f>
        <v/>
      </c>
      <c r="Y52" s="23">
        <f>IF(LEFT(S52,8)="Expense|",N(F52),0)+IF(LEFT(T52,8)="Expense|",N(J52),0)+IF(LEFT(U52,8)="Expense|",-N(N52),0)+IF(LEFT(V52,8)="Expense|",-N(M52),0)</f>
        <v/>
      </c>
      <c r="Z52" s="23">
        <f>IF(ISNUMBER(MATCH(S52,{"Expense|employee","Expense|general_admin","Expense|marketing","Expense|utilities","Expense|other_operating"},0)),N(F52),0)+IF(ISNUMBER(MATCH(T52,{"Expense|employee","Expense|general_admin","Expense|marketing","Expense|utilities","Expense|other_operating"},0)),N(J52),0)+IF(ISNUMBER(MATCH(U52,{"Expense|employee","Expense|general_admin","Expense|marketing","Expense|utilities","Expense|other_operating"},0)),-N(N52),0)+IF(ISNUMBER(MATCH(V52,{"Expense|employee","Expense|general_admin","Expense|marketing","Expense|utilities","Expense|other_operating"},0)),-N(M52),0)</f>
        <v/>
      </c>
      <c r="AA52" s="23">
        <f>IF(S52="Liability|payable",-N(F52),0)+IF(T52="Liability|payable",-N(J52),0)+IF(U52="Liability|payable",N(N52),0)+IF(V52="Liability|payable",N(M52),0)</f>
        <v/>
      </c>
      <c r="AB52" s="23">
        <f>IF(S52="Liability|accrued",-N(F52),0)+IF(T52="Liability|accrued",-N(J52),0)+IF(U52="Liability|accrued",N(N52),0)+IF(V52="Liability|accrued",N(M52),0)</f>
        <v/>
      </c>
      <c r="AC52" s="23">
        <f>IF(AND(N(F52)&lt;&gt;0,S52=""),1,0)+IF(AND(N(J52)&lt;&gt;0,T52=""),1,0)+IF(AND(N(N52)&lt;&gt;0,U52=""),1,0)+IF(AND(N(M52)&lt;&gt;0,V52=""),1,0)</f>
        <v/>
      </c>
    </row>
    <row r="53">
      <c r="A53" s="19" t="n"/>
      <c r="B53" s="14" t="n"/>
      <c r="C53" s="14" t="n"/>
      <c r="D53" s="14" t="n"/>
      <c r="E53" s="14" t="n"/>
      <c r="F53" s="20" t="n"/>
      <c r="G53" s="14" t="n"/>
      <c r="H53" s="14" t="n"/>
      <c r="I53" s="14" t="n"/>
      <c r="J53" s="20" t="n"/>
      <c r="K53" s="14" t="n"/>
      <c r="L53" s="21">
        <f>N(F53)+N(J53)</f>
        <v/>
      </c>
      <c r="M53" s="21">
        <f>IF(K53="",0,L53-ROUND(L53/(1+IFERROR(VLOOKUP(K53,'Tax Codes'!$A$5:$E$300,5,FALSE),0)),2))</f>
        <v/>
      </c>
      <c r="N53" s="21">
        <f>L53-M53</f>
        <v/>
      </c>
      <c r="O53" s="16">
        <f>IF(H53="",INDEX('Chart of Accounts'!$A$5:$A$3000,MATCH("bank",'Chart of Accounts'!$F$5:$F$3000,0)),H53&amp;"")</f>
        <v/>
      </c>
      <c r="P53" s="16">
        <f>IF(I53="",INDEX('Chart of Accounts'!$A$5:$A$3000,MATCH("revenue",'Chart of Accounts'!$F$5:$F$3000,0)),I53&amp;"")</f>
        <v/>
      </c>
      <c r="Q53" s="16">
        <f>INDEX('Chart of Accounts'!$A$5:$A$3000,MATCH("wht_receivable",'Chart of Accounts'!$F$5:$F$3000,0))</f>
        <v/>
      </c>
      <c r="R53" s="16">
        <f>INDEX('Chart of Accounts'!$A$5:$A$3000,MATCH("vat_output",'Chart of Accounts'!$F$5:$F$3000,0))</f>
        <v/>
      </c>
      <c r="S53" s="23">
        <f>IFERROR(INDEX('Chart of Accounts'!$C$5:$C$3000,MATCH(O53&amp;"",'Chart of Accounts'!$A$5:$A$3000,0))&amp;"|"&amp;INDEX('Chart of Accounts'!$D$5:$D$3000,MATCH(O53&amp;"",'Chart of Accounts'!$A$5:$A$3000,0)),"")</f>
        <v/>
      </c>
      <c r="T53" s="23">
        <f>IFERROR(INDEX('Chart of Accounts'!$C$5:$C$3000,MATCH(Q53&amp;"",'Chart of Accounts'!$A$5:$A$3000,0))&amp;"|"&amp;INDEX('Chart of Accounts'!$D$5:$D$3000,MATCH(Q53&amp;"",'Chart of Accounts'!$A$5:$A$3000,0)),"")</f>
        <v/>
      </c>
      <c r="U53" s="23">
        <f>IFERROR(INDEX('Chart of Accounts'!$C$5:$C$3000,MATCH(P53&amp;"",'Chart of Accounts'!$A$5:$A$3000,0))&amp;"|"&amp;INDEX('Chart of Accounts'!$D$5:$D$3000,MATCH(P53&amp;"",'Chart of Accounts'!$A$5:$A$3000,0)),"")</f>
        <v/>
      </c>
      <c r="V53" s="23">
        <f>IFERROR(INDEX('Chart of Accounts'!$C$5:$C$3000,MATCH(R53&amp;"",'Chart of Accounts'!$A$5:$A$3000,0))&amp;"|"&amp;INDEX('Chart of Accounts'!$D$5:$D$3000,MATCH(R53&amp;"",'Chart of Accounts'!$A$5:$A$3000,0)),"")</f>
        <v/>
      </c>
      <c r="W53" s="23">
        <f>IF(LEFT(S53,8)="Revenue|",-N(F53),0)+IF(LEFT(T53,8)="Revenue|",-N(J53),0)+IF(LEFT(U53,8)="Revenue|",N(N53),0)+IF(LEFT(V53,8)="Revenue|",N(M53),0)</f>
        <v/>
      </c>
      <c r="X53" s="23">
        <f>IF(LEFT(S53,5)="COGS|",N(F53),0)+IF(LEFT(T53,5)="COGS|",N(J53),0)+IF(LEFT(U53,5)="COGS|",-N(N53),0)+IF(LEFT(V53,5)="COGS|",-N(M53),0)</f>
        <v/>
      </c>
      <c r="Y53" s="23">
        <f>IF(LEFT(S53,8)="Expense|",N(F53),0)+IF(LEFT(T53,8)="Expense|",N(J53),0)+IF(LEFT(U53,8)="Expense|",-N(N53),0)+IF(LEFT(V53,8)="Expense|",-N(M53),0)</f>
        <v/>
      </c>
      <c r="Z53" s="23">
        <f>IF(ISNUMBER(MATCH(S53,{"Expense|employee","Expense|general_admin","Expense|marketing","Expense|utilities","Expense|other_operating"},0)),N(F53),0)+IF(ISNUMBER(MATCH(T53,{"Expense|employee","Expense|general_admin","Expense|marketing","Expense|utilities","Expense|other_operating"},0)),N(J53),0)+IF(ISNUMBER(MATCH(U53,{"Expense|employee","Expense|general_admin","Expense|marketing","Expense|utilities","Expense|other_operating"},0)),-N(N53),0)+IF(ISNUMBER(MATCH(V53,{"Expense|employee","Expense|general_admin","Expense|marketing","Expense|utilities","Expense|other_operating"},0)),-N(M53),0)</f>
        <v/>
      </c>
      <c r="AA53" s="23">
        <f>IF(S53="Liability|payable",-N(F53),0)+IF(T53="Liability|payable",-N(J53),0)+IF(U53="Liability|payable",N(N53),0)+IF(V53="Liability|payable",N(M53),0)</f>
        <v/>
      </c>
      <c r="AB53" s="23">
        <f>IF(S53="Liability|accrued",-N(F53),0)+IF(T53="Liability|accrued",-N(J53),0)+IF(U53="Liability|accrued",N(N53),0)+IF(V53="Liability|accrued",N(M53),0)</f>
        <v/>
      </c>
      <c r="AC53" s="23">
        <f>IF(AND(N(F53)&lt;&gt;0,S53=""),1,0)+IF(AND(N(J53)&lt;&gt;0,T53=""),1,0)+IF(AND(N(N53)&lt;&gt;0,U53=""),1,0)+IF(AND(N(M53)&lt;&gt;0,V53=""),1,0)</f>
        <v/>
      </c>
    </row>
    <row r="54">
      <c r="A54" s="19" t="n"/>
      <c r="B54" s="14" t="n"/>
      <c r="C54" s="14" t="n"/>
      <c r="D54" s="14" t="n"/>
      <c r="E54" s="14" t="n"/>
      <c r="F54" s="20" t="n"/>
      <c r="G54" s="14" t="n"/>
      <c r="H54" s="14" t="n"/>
      <c r="I54" s="14" t="n"/>
      <c r="J54" s="20" t="n"/>
      <c r="K54" s="14" t="n"/>
      <c r="L54" s="21">
        <f>N(F54)+N(J54)</f>
        <v/>
      </c>
      <c r="M54" s="21">
        <f>IF(K54="",0,L54-ROUND(L54/(1+IFERROR(VLOOKUP(K54,'Tax Codes'!$A$5:$E$300,5,FALSE),0)),2))</f>
        <v/>
      </c>
      <c r="N54" s="21">
        <f>L54-M54</f>
        <v/>
      </c>
      <c r="O54" s="16">
        <f>IF(H54="",INDEX('Chart of Accounts'!$A$5:$A$3000,MATCH("bank",'Chart of Accounts'!$F$5:$F$3000,0)),H54&amp;"")</f>
        <v/>
      </c>
      <c r="P54" s="16">
        <f>IF(I54="",INDEX('Chart of Accounts'!$A$5:$A$3000,MATCH("revenue",'Chart of Accounts'!$F$5:$F$3000,0)),I54&amp;"")</f>
        <v/>
      </c>
      <c r="Q54" s="16">
        <f>INDEX('Chart of Accounts'!$A$5:$A$3000,MATCH("wht_receivable",'Chart of Accounts'!$F$5:$F$3000,0))</f>
        <v/>
      </c>
      <c r="R54" s="16">
        <f>INDEX('Chart of Accounts'!$A$5:$A$3000,MATCH("vat_output",'Chart of Accounts'!$F$5:$F$3000,0))</f>
        <v/>
      </c>
      <c r="S54" s="23">
        <f>IFERROR(INDEX('Chart of Accounts'!$C$5:$C$3000,MATCH(O54&amp;"",'Chart of Accounts'!$A$5:$A$3000,0))&amp;"|"&amp;INDEX('Chart of Accounts'!$D$5:$D$3000,MATCH(O54&amp;"",'Chart of Accounts'!$A$5:$A$3000,0)),"")</f>
        <v/>
      </c>
      <c r="T54" s="23">
        <f>IFERROR(INDEX('Chart of Accounts'!$C$5:$C$3000,MATCH(Q54&amp;"",'Chart of Accounts'!$A$5:$A$3000,0))&amp;"|"&amp;INDEX('Chart of Accounts'!$D$5:$D$3000,MATCH(Q54&amp;"",'Chart of Accounts'!$A$5:$A$3000,0)),"")</f>
        <v/>
      </c>
      <c r="U54" s="23">
        <f>IFERROR(INDEX('Chart of Accounts'!$C$5:$C$3000,MATCH(P54&amp;"",'Chart of Accounts'!$A$5:$A$3000,0))&amp;"|"&amp;INDEX('Chart of Accounts'!$D$5:$D$3000,MATCH(P54&amp;"",'Chart of Accounts'!$A$5:$A$3000,0)),"")</f>
        <v/>
      </c>
      <c r="V54" s="23">
        <f>IFERROR(INDEX('Chart of Accounts'!$C$5:$C$3000,MATCH(R54&amp;"",'Chart of Accounts'!$A$5:$A$3000,0))&amp;"|"&amp;INDEX('Chart of Accounts'!$D$5:$D$3000,MATCH(R54&amp;"",'Chart of Accounts'!$A$5:$A$3000,0)),"")</f>
        <v/>
      </c>
      <c r="W54" s="23">
        <f>IF(LEFT(S54,8)="Revenue|",-N(F54),0)+IF(LEFT(T54,8)="Revenue|",-N(J54),0)+IF(LEFT(U54,8)="Revenue|",N(N54),0)+IF(LEFT(V54,8)="Revenue|",N(M54),0)</f>
        <v/>
      </c>
      <c r="X54" s="23">
        <f>IF(LEFT(S54,5)="COGS|",N(F54),0)+IF(LEFT(T54,5)="COGS|",N(J54),0)+IF(LEFT(U54,5)="COGS|",-N(N54),0)+IF(LEFT(V54,5)="COGS|",-N(M54),0)</f>
        <v/>
      </c>
      <c r="Y54" s="23">
        <f>IF(LEFT(S54,8)="Expense|",N(F54),0)+IF(LEFT(T54,8)="Expense|",N(J54),0)+IF(LEFT(U54,8)="Expense|",-N(N54),0)+IF(LEFT(V54,8)="Expense|",-N(M54),0)</f>
        <v/>
      </c>
      <c r="Z54" s="23">
        <f>IF(ISNUMBER(MATCH(S54,{"Expense|employee","Expense|general_admin","Expense|marketing","Expense|utilities","Expense|other_operating"},0)),N(F54),0)+IF(ISNUMBER(MATCH(T54,{"Expense|employee","Expense|general_admin","Expense|marketing","Expense|utilities","Expense|other_operating"},0)),N(J54),0)+IF(ISNUMBER(MATCH(U54,{"Expense|employee","Expense|general_admin","Expense|marketing","Expense|utilities","Expense|other_operating"},0)),-N(N54),0)+IF(ISNUMBER(MATCH(V54,{"Expense|employee","Expense|general_admin","Expense|marketing","Expense|utilities","Expense|other_operating"},0)),-N(M54),0)</f>
        <v/>
      </c>
      <c r="AA54" s="23">
        <f>IF(S54="Liability|payable",-N(F54),0)+IF(T54="Liability|payable",-N(J54),0)+IF(U54="Liability|payable",N(N54),0)+IF(V54="Liability|payable",N(M54),0)</f>
        <v/>
      </c>
      <c r="AB54" s="23">
        <f>IF(S54="Liability|accrued",-N(F54),0)+IF(T54="Liability|accrued",-N(J54),0)+IF(U54="Liability|accrued",N(N54),0)+IF(V54="Liability|accrued",N(M54),0)</f>
        <v/>
      </c>
      <c r="AC54" s="23">
        <f>IF(AND(N(F54)&lt;&gt;0,S54=""),1,0)+IF(AND(N(J54)&lt;&gt;0,T54=""),1,0)+IF(AND(N(N54)&lt;&gt;0,U54=""),1,0)+IF(AND(N(M54)&lt;&gt;0,V54=""),1,0)</f>
        <v/>
      </c>
    </row>
    <row r="55">
      <c r="A55" s="19" t="n"/>
      <c r="B55" s="14" t="n"/>
      <c r="C55" s="14" t="n"/>
      <c r="D55" s="14" t="n"/>
      <c r="E55" s="14" t="n"/>
      <c r="F55" s="20" t="n"/>
      <c r="G55" s="14" t="n"/>
      <c r="H55" s="14" t="n"/>
      <c r="I55" s="14" t="n"/>
      <c r="J55" s="20" t="n"/>
      <c r="K55" s="14" t="n"/>
      <c r="L55" s="21">
        <f>N(F55)+N(J55)</f>
        <v/>
      </c>
      <c r="M55" s="21">
        <f>IF(K55="",0,L55-ROUND(L55/(1+IFERROR(VLOOKUP(K55,'Tax Codes'!$A$5:$E$300,5,FALSE),0)),2))</f>
        <v/>
      </c>
      <c r="N55" s="21">
        <f>L55-M55</f>
        <v/>
      </c>
      <c r="O55" s="16">
        <f>IF(H55="",INDEX('Chart of Accounts'!$A$5:$A$3000,MATCH("bank",'Chart of Accounts'!$F$5:$F$3000,0)),H55&amp;"")</f>
        <v/>
      </c>
      <c r="P55" s="16">
        <f>IF(I55="",INDEX('Chart of Accounts'!$A$5:$A$3000,MATCH("revenue",'Chart of Accounts'!$F$5:$F$3000,0)),I55&amp;"")</f>
        <v/>
      </c>
      <c r="Q55" s="16">
        <f>INDEX('Chart of Accounts'!$A$5:$A$3000,MATCH("wht_receivable",'Chart of Accounts'!$F$5:$F$3000,0))</f>
        <v/>
      </c>
      <c r="R55" s="16">
        <f>INDEX('Chart of Accounts'!$A$5:$A$3000,MATCH("vat_output",'Chart of Accounts'!$F$5:$F$3000,0))</f>
        <v/>
      </c>
      <c r="S55" s="23">
        <f>IFERROR(INDEX('Chart of Accounts'!$C$5:$C$3000,MATCH(O55&amp;"",'Chart of Accounts'!$A$5:$A$3000,0))&amp;"|"&amp;INDEX('Chart of Accounts'!$D$5:$D$3000,MATCH(O55&amp;"",'Chart of Accounts'!$A$5:$A$3000,0)),"")</f>
        <v/>
      </c>
      <c r="T55" s="23">
        <f>IFERROR(INDEX('Chart of Accounts'!$C$5:$C$3000,MATCH(Q55&amp;"",'Chart of Accounts'!$A$5:$A$3000,0))&amp;"|"&amp;INDEX('Chart of Accounts'!$D$5:$D$3000,MATCH(Q55&amp;"",'Chart of Accounts'!$A$5:$A$3000,0)),"")</f>
        <v/>
      </c>
      <c r="U55" s="23">
        <f>IFERROR(INDEX('Chart of Accounts'!$C$5:$C$3000,MATCH(P55&amp;"",'Chart of Accounts'!$A$5:$A$3000,0))&amp;"|"&amp;INDEX('Chart of Accounts'!$D$5:$D$3000,MATCH(P55&amp;"",'Chart of Accounts'!$A$5:$A$3000,0)),"")</f>
        <v/>
      </c>
      <c r="V55" s="23">
        <f>IFERROR(INDEX('Chart of Accounts'!$C$5:$C$3000,MATCH(R55&amp;"",'Chart of Accounts'!$A$5:$A$3000,0))&amp;"|"&amp;INDEX('Chart of Accounts'!$D$5:$D$3000,MATCH(R55&amp;"",'Chart of Accounts'!$A$5:$A$3000,0)),"")</f>
        <v/>
      </c>
      <c r="W55" s="23">
        <f>IF(LEFT(S55,8)="Revenue|",-N(F55),0)+IF(LEFT(T55,8)="Revenue|",-N(J55),0)+IF(LEFT(U55,8)="Revenue|",N(N55),0)+IF(LEFT(V55,8)="Revenue|",N(M55),0)</f>
        <v/>
      </c>
      <c r="X55" s="23">
        <f>IF(LEFT(S55,5)="COGS|",N(F55),0)+IF(LEFT(T55,5)="COGS|",N(J55),0)+IF(LEFT(U55,5)="COGS|",-N(N55),0)+IF(LEFT(V55,5)="COGS|",-N(M55),0)</f>
        <v/>
      </c>
      <c r="Y55" s="23">
        <f>IF(LEFT(S55,8)="Expense|",N(F55),0)+IF(LEFT(T55,8)="Expense|",N(J55),0)+IF(LEFT(U55,8)="Expense|",-N(N55),0)+IF(LEFT(V55,8)="Expense|",-N(M55),0)</f>
        <v/>
      </c>
      <c r="Z55" s="23">
        <f>IF(ISNUMBER(MATCH(S55,{"Expense|employee","Expense|general_admin","Expense|marketing","Expense|utilities","Expense|other_operating"},0)),N(F55),0)+IF(ISNUMBER(MATCH(T55,{"Expense|employee","Expense|general_admin","Expense|marketing","Expense|utilities","Expense|other_operating"},0)),N(J55),0)+IF(ISNUMBER(MATCH(U55,{"Expense|employee","Expense|general_admin","Expense|marketing","Expense|utilities","Expense|other_operating"},0)),-N(N55),0)+IF(ISNUMBER(MATCH(V55,{"Expense|employee","Expense|general_admin","Expense|marketing","Expense|utilities","Expense|other_operating"},0)),-N(M55),0)</f>
        <v/>
      </c>
      <c r="AA55" s="23">
        <f>IF(S55="Liability|payable",-N(F55),0)+IF(T55="Liability|payable",-N(J55),0)+IF(U55="Liability|payable",N(N55),0)+IF(V55="Liability|payable",N(M55),0)</f>
        <v/>
      </c>
      <c r="AB55" s="23">
        <f>IF(S55="Liability|accrued",-N(F55),0)+IF(T55="Liability|accrued",-N(J55),0)+IF(U55="Liability|accrued",N(N55),0)+IF(V55="Liability|accrued",N(M55),0)</f>
        <v/>
      </c>
      <c r="AC55" s="23">
        <f>IF(AND(N(F55)&lt;&gt;0,S55=""),1,0)+IF(AND(N(J55)&lt;&gt;0,T55=""),1,0)+IF(AND(N(N55)&lt;&gt;0,U55=""),1,0)+IF(AND(N(M55)&lt;&gt;0,V55=""),1,0)</f>
        <v/>
      </c>
    </row>
    <row r="56">
      <c r="A56" s="19" t="n"/>
      <c r="B56" s="14" t="n"/>
      <c r="C56" s="14" t="n"/>
      <c r="D56" s="14" t="n"/>
      <c r="E56" s="14" t="n"/>
      <c r="F56" s="20" t="n"/>
      <c r="G56" s="14" t="n"/>
      <c r="H56" s="14" t="n"/>
      <c r="I56" s="14" t="n"/>
      <c r="J56" s="20" t="n"/>
      <c r="K56" s="14" t="n"/>
      <c r="L56" s="21">
        <f>N(F56)+N(J56)</f>
        <v/>
      </c>
      <c r="M56" s="21">
        <f>IF(K56="",0,L56-ROUND(L56/(1+IFERROR(VLOOKUP(K56,'Tax Codes'!$A$5:$E$300,5,FALSE),0)),2))</f>
        <v/>
      </c>
      <c r="N56" s="21">
        <f>L56-M56</f>
        <v/>
      </c>
      <c r="O56" s="16">
        <f>IF(H56="",INDEX('Chart of Accounts'!$A$5:$A$3000,MATCH("bank",'Chart of Accounts'!$F$5:$F$3000,0)),H56&amp;"")</f>
        <v/>
      </c>
      <c r="P56" s="16">
        <f>IF(I56="",INDEX('Chart of Accounts'!$A$5:$A$3000,MATCH("revenue",'Chart of Accounts'!$F$5:$F$3000,0)),I56&amp;"")</f>
        <v/>
      </c>
      <c r="Q56" s="16">
        <f>INDEX('Chart of Accounts'!$A$5:$A$3000,MATCH("wht_receivable",'Chart of Accounts'!$F$5:$F$3000,0))</f>
        <v/>
      </c>
      <c r="R56" s="16">
        <f>INDEX('Chart of Accounts'!$A$5:$A$3000,MATCH("vat_output",'Chart of Accounts'!$F$5:$F$3000,0))</f>
        <v/>
      </c>
      <c r="S56" s="23">
        <f>IFERROR(INDEX('Chart of Accounts'!$C$5:$C$3000,MATCH(O56&amp;"",'Chart of Accounts'!$A$5:$A$3000,0))&amp;"|"&amp;INDEX('Chart of Accounts'!$D$5:$D$3000,MATCH(O56&amp;"",'Chart of Accounts'!$A$5:$A$3000,0)),"")</f>
        <v/>
      </c>
      <c r="T56" s="23">
        <f>IFERROR(INDEX('Chart of Accounts'!$C$5:$C$3000,MATCH(Q56&amp;"",'Chart of Accounts'!$A$5:$A$3000,0))&amp;"|"&amp;INDEX('Chart of Accounts'!$D$5:$D$3000,MATCH(Q56&amp;"",'Chart of Accounts'!$A$5:$A$3000,0)),"")</f>
        <v/>
      </c>
      <c r="U56" s="23">
        <f>IFERROR(INDEX('Chart of Accounts'!$C$5:$C$3000,MATCH(P56&amp;"",'Chart of Accounts'!$A$5:$A$3000,0))&amp;"|"&amp;INDEX('Chart of Accounts'!$D$5:$D$3000,MATCH(P56&amp;"",'Chart of Accounts'!$A$5:$A$3000,0)),"")</f>
        <v/>
      </c>
      <c r="V56" s="23">
        <f>IFERROR(INDEX('Chart of Accounts'!$C$5:$C$3000,MATCH(R56&amp;"",'Chart of Accounts'!$A$5:$A$3000,0))&amp;"|"&amp;INDEX('Chart of Accounts'!$D$5:$D$3000,MATCH(R56&amp;"",'Chart of Accounts'!$A$5:$A$3000,0)),"")</f>
        <v/>
      </c>
      <c r="W56" s="23">
        <f>IF(LEFT(S56,8)="Revenue|",-N(F56),0)+IF(LEFT(T56,8)="Revenue|",-N(J56),0)+IF(LEFT(U56,8)="Revenue|",N(N56),0)+IF(LEFT(V56,8)="Revenue|",N(M56),0)</f>
        <v/>
      </c>
      <c r="X56" s="23">
        <f>IF(LEFT(S56,5)="COGS|",N(F56),0)+IF(LEFT(T56,5)="COGS|",N(J56),0)+IF(LEFT(U56,5)="COGS|",-N(N56),0)+IF(LEFT(V56,5)="COGS|",-N(M56),0)</f>
        <v/>
      </c>
      <c r="Y56" s="23">
        <f>IF(LEFT(S56,8)="Expense|",N(F56),0)+IF(LEFT(T56,8)="Expense|",N(J56),0)+IF(LEFT(U56,8)="Expense|",-N(N56),0)+IF(LEFT(V56,8)="Expense|",-N(M56),0)</f>
        <v/>
      </c>
      <c r="Z56" s="23">
        <f>IF(ISNUMBER(MATCH(S56,{"Expense|employee","Expense|general_admin","Expense|marketing","Expense|utilities","Expense|other_operating"},0)),N(F56),0)+IF(ISNUMBER(MATCH(T56,{"Expense|employee","Expense|general_admin","Expense|marketing","Expense|utilities","Expense|other_operating"},0)),N(J56),0)+IF(ISNUMBER(MATCH(U56,{"Expense|employee","Expense|general_admin","Expense|marketing","Expense|utilities","Expense|other_operating"},0)),-N(N56),0)+IF(ISNUMBER(MATCH(V56,{"Expense|employee","Expense|general_admin","Expense|marketing","Expense|utilities","Expense|other_operating"},0)),-N(M56),0)</f>
        <v/>
      </c>
      <c r="AA56" s="23">
        <f>IF(S56="Liability|payable",-N(F56),0)+IF(T56="Liability|payable",-N(J56),0)+IF(U56="Liability|payable",N(N56),0)+IF(V56="Liability|payable",N(M56),0)</f>
        <v/>
      </c>
      <c r="AB56" s="23">
        <f>IF(S56="Liability|accrued",-N(F56),0)+IF(T56="Liability|accrued",-N(J56),0)+IF(U56="Liability|accrued",N(N56),0)+IF(V56="Liability|accrued",N(M56),0)</f>
        <v/>
      </c>
      <c r="AC56" s="23">
        <f>IF(AND(N(F56)&lt;&gt;0,S56=""),1,0)+IF(AND(N(J56)&lt;&gt;0,T56=""),1,0)+IF(AND(N(N56)&lt;&gt;0,U56=""),1,0)+IF(AND(N(M56)&lt;&gt;0,V56=""),1,0)</f>
        <v/>
      </c>
    </row>
    <row r="57">
      <c r="A57" s="19" t="n"/>
      <c r="B57" s="14" t="n"/>
      <c r="C57" s="14" t="n"/>
      <c r="D57" s="14" t="n"/>
      <c r="E57" s="14" t="n"/>
      <c r="F57" s="20" t="n"/>
      <c r="G57" s="14" t="n"/>
      <c r="H57" s="14" t="n"/>
      <c r="I57" s="14" t="n"/>
      <c r="J57" s="20" t="n"/>
      <c r="K57" s="14" t="n"/>
      <c r="L57" s="21">
        <f>N(F57)+N(J57)</f>
        <v/>
      </c>
      <c r="M57" s="21">
        <f>IF(K57="",0,L57-ROUND(L57/(1+IFERROR(VLOOKUP(K57,'Tax Codes'!$A$5:$E$300,5,FALSE),0)),2))</f>
        <v/>
      </c>
      <c r="N57" s="21">
        <f>L57-M57</f>
        <v/>
      </c>
      <c r="O57" s="16">
        <f>IF(H57="",INDEX('Chart of Accounts'!$A$5:$A$3000,MATCH("bank",'Chart of Accounts'!$F$5:$F$3000,0)),H57&amp;"")</f>
        <v/>
      </c>
      <c r="P57" s="16">
        <f>IF(I57="",INDEX('Chart of Accounts'!$A$5:$A$3000,MATCH("revenue",'Chart of Accounts'!$F$5:$F$3000,0)),I57&amp;"")</f>
        <v/>
      </c>
      <c r="Q57" s="16">
        <f>INDEX('Chart of Accounts'!$A$5:$A$3000,MATCH("wht_receivable",'Chart of Accounts'!$F$5:$F$3000,0))</f>
        <v/>
      </c>
      <c r="R57" s="16">
        <f>INDEX('Chart of Accounts'!$A$5:$A$3000,MATCH("vat_output",'Chart of Accounts'!$F$5:$F$3000,0))</f>
        <v/>
      </c>
      <c r="S57" s="23">
        <f>IFERROR(INDEX('Chart of Accounts'!$C$5:$C$3000,MATCH(O57&amp;"",'Chart of Accounts'!$A$5:$A$3000,0))&amp;"|"&amp;INDEX('Chart of Accounts'!$D$5:$D$3000,MATCH(O57&amp;"",'Chart of Accounts'!$A$5:$A$3000,0)),"")</f>
        <v/>
      </c>
      <c r="T57" s="23">
        <f>IFERROR(INDEX('Chart of Accounts'!$C$5:$C$3000,MATCH(Q57&amp;"",'Chart of Accounts'!$A$5:$A$3000,0))&amp;"|"&amp;INDEX('Chart of Accounts'!$D$5:$D$3000,MATCH(Q57&amp;"",'Chart of Accounts'!$A$5:$A$3000,0)),"")</f>
        <v/>
      </c>
      <c r="U57" s="23">
        <f>IFERROR(INDEX('Chart of Accounts'!$C$5:$C$3000,MATCH(P57&amp;"",'Chart of Accounts'!$A$5:$A$3000,0))&amp;"|"&amp;INDEX('Chart of Accounts'!$D$5:$D$3000,MATCH(P57&amp;"",'Chart of Accounts'!$A$5:$A$3000,0)),"")</f>
        <v/>
      </c>
      <c r="V57" s="23">
        <f>IFERROR(INDEX('Chart of Accounts'!$C$5:$C$3000,MATCH(R57&amp;"",'Chart of Accounts'!$A$5:$A$3000,0))&amp;"|"&amp;INDEX('Chart of Accounts'!$D$5:$D$3000,MATCH(R57&amp;"",'Chart of Accounts'!$A$5:$A$3000,0)),"")</f>
        <v/>
      </c>
      <c r="W57" s="23">
        <f>IF(LEFT(S57,8)="Revenue|",-N(F57),0)+IF(LEFT(T57,8)="Revenue|",-N(J57),0)+IF(LEFT(U57,8)="Revenue|",N(N57),0)+IF(LEFT(V57,8)="Revenue|",N(M57),0)</f>
        <v/>
      </c>
      <c r="X57" s="23">
        <f>IF(LEFT(S57,5)="COGS|",N(F57),0)+IF(LEFT(T57,5)="COGS|",N(J57),0)+IF(LEFT(U57,5)="COGS|",-N(N57),0)+IF(LEFT(V57,5)="COGS|",-N(M57),0)</f>
        <v/>
      </c>
      <c r="Y57" s="23">
        <f>IF(LEFT(S57,8)="Expense|",N(F57),0)+IF(LEFT(T57,8)="Expense|",N(J57),0)+IF(LEFT(U57,8)="Expense|",-N(N57),0)+IF(LEFT(V57,8)="Expense|",-N(M57),0)</f>
        <v/>
      </c>
      <c r="Z57" s="23">
        <f>IF(ISNUMBER(MATCH(S57,{"Expense|employee","Expense|general_admin","Expense|marketing","Expense|utilities","Expense|other_operating"},0)),N(F57),0)+IF(ISNUMBER(MATCH(T57,{"Expense|employee","Expense|general_admin","Expense|marketing","Expense|utilities","Expense|other_operating"},0)),N(J57),0)+IF(ISNUMBER(MATCH(U57,{"Expense|employee","Expense|general_admin","Expense|marketing","Expense|utilities","Expense|other_operating"},0)),-N(N57),0)+IF(ISNUMBER(MATCH(V57,{"Expense|employee","Expense|general_admin","Expense|marketing","Expense|utilities","Expense|other_operating"},0)),-N(M57),0)</f>
        <v/>
      </c>
      <c r="AA57" s="23">
        <f>IF(S57="Liability|payable",-N(F57),0)+IF(T57="Liability|payable",-N(J57),0)+IF(U57="Liability|payable",N(N57),0)+IF(V57="Liability|payable",N(M57),0)</f>
        <v/>
      </c>
      <c r="AB57" s="23">
        <f>IF(S57="Liability|accrued",-N(F57),0)+IF(T57="Liability|accrued",-N(J57),0)+IF(U57="Liability|accrued",N(N57),0)+IF(V57="Liability|accrued",N(M57),0)</f>
        <v/>
      </c>
      <c r="AC57" s="23">
        <f>IF(AND(N(F57)&lt;&gt;0,S57=""),1,0)+IF(AND(N(J57)&lt;&gt;0,T57=""),1,0)+IF(AND(N(N57)&lt;&gt;0,U57=""),1,0)+IF(AND(N(M57)&lt;&gt;0,V57=""),1,0)</f>
        <v/>
      </c>
    </row>
    <row r="58">
      <c r="A58" s="19" t="n"/>
      <c r="B58" s="14" t="n"/>
      <c r="C58" s="14" t="n"/>
      <c r="D58" s="14" t="n"/>
      <c r="E58" s="14" t="n"/>
      <c r="F58" s="20" t="n"/>
      <c r="G58" s="14" t="n"/>
      <c r="H58" s="14" t="n"/>
      <c r="I58" s="14" t="n"/>
      <c r="J58" s="20" t="n"/>
      <c r="K58" s="14" t="n"/>
      <c r="L58" s="21">
        <f>N(F58)+N(J58)</f>
        <v/>
      </c>
      <c r="M58" s="21">
        <f>IF(K58="",0,L58-ROUND(L58/(1+IFERROR(VLOOKUP(K58,'Tax Codes'!$A$5:$E$300,5,FALSE),0)),2))</f>
        <v/>
      </c>
      <c r="N58" s="21">
        <f>L58-M58</f>
        <v/>
      </c>
      <c r="O58" s="16">
        <f>IF(H58="",INDEX('Chart of Accounts'!$A$5:$A$3000,MATCH("bank",'Chart of Accounts'!$F$5:$F$3000,0)),H58&amp;"")</f>
        <v/>
      </c>
      <c r="P58" s="16">
        <f>IF(I58="",INDEX('Chart of Accounts'!$A$5:$A$3000,MATCH("revenue",'Chart of Accounts'!$F$5:$F$3000,0)),I58&amp;"")</f>
        <v/>
      </c>
      <c r="Q58" s="16">
        <f>INDEX('Chart of Accounts'!$A$5:$A$3000,MATCH("wht_receivable",'Chart of Accounts'!$F$5:$F$3000,0))</f>
        <v/>
      </c>
      <c r="R58" s="16">
        <f>INDEX('Chart of Accounts'!$A$5:$A$3000,MATCH("vat_output",'Chart of Accounts'!$F$5:$F$3000,0))</f>
        <v/>
      </c>
      <c r="S58" s="23">
        <f>IFERROR(INDEX('Chart of Accounts'!$C$5:$C$3000,MATCH(O58&amp;"",'Chart of Accounts'!$A$5:$A$3000,0))&amp;"|"&amp;INDEX('Chart of Accounts'!$D$5:$D$3000,MATCH(O58&amp;"",'Chart of Accounts'!$A$5:$A$3000,0)),"")</f>
        <v/>
      </c>
      <c r="T58" s="23">
        <f>IFERROR(INDEX('Chart of Accounts'!$C$5:$C$3000,MATCH(Q58&amp;"",'Chart of Accounts'!$A$5:$A$3000,0))&amp;"|"&amp;INDEX('Chart of Accounts'!$D$5:$D$3000,MATCH(Q58&amp;"",'Chart of Accounts'!$A$5:$A$3000,0)),"")</f>
        <v/>
      </c>
      <c r="U58" s="23">
        <f>IFERROR(INDEX('Chart of Accounts'!$C$5:$C$3000,MATCH(P58&amp;"",'Chart of Accounts'!$A$5:$A$3000,0))&amp;"|"&amp;INDEX('Chart of Accounts'!$D$5:$D$3000,MATCH(P58&amp;"",'Chart of Accounts'!$A$5:$A$3000,0)),"")</f>
        <v/>
      </c>
      <c r="V58" s="23">
        <f>IFERROR(INDEX('Chart of Accounts'!$C$5:$C$3000,MATCH(R58&amp;"",'Chart of Accounts'!$A$5:$A$3000,0))&amp;"|"&amp;INDEX('Chart of Accounts'!$D$5:$D$3000,MATCH(R58&amp;"",'Chart of Accounts'!$A$5:$A$3000,0)),"")</f>
        <v/>
      </c>
      <c r="W58" s="23">
        <f>IF(LEFT(S58,8)="Revenue|",-N(F58),0)+IF(LEFT(T58,8)="Revenue|",-N(J58),0)+IF(LEFT(U58,8)="Revenue|",N(N58),0)+IF(LEFT(V58,8)="Revenue|",N(M58),0)</f>
        <v/>
      </c>
      <c r="X58" s="23">
        <f>IF(LEFT(S58,5)="COGS|",N(F58),0)+IF(LEFT(T58,5)="COGS|",N(J58),0)+IF(LEFT(U58,5)="COGS|",-N(N58),0)+IF(LEFT(V58,5)="COGS|",-N(M58),0)</f>
        <v/>
      </c>
      <c r="Y58" s="23">
        <f>IF(LEFT(S58,8)="Expense|",N(F58),0)+IF(LEFT(T58,8)="Expense|",N(J58),0)+IF(LEFT(U58,8)="Expense|",-N(N58),0)+IF(LEFT(V58,8)="Expense|",-N(M58),0)</f>
        <v/>
      </c>
      <c r="Z58" s="23">
        <f>IF(ISNUMBER(MATCH(S58,{"Expense|employee","Expense|general_admin","Expense|marketing","Expense|utilities","Expense|other_operating"},0)),N(F58),0)+IF(ISNUMBER(MATCH(T58,{"Expense|employee","Expense|general_admin","Expense|marketing","Expense|utilities","Expense|other_operating"},0)),N(J58),0)+IF(ISNUMBER(MATCH(U58,{"Expense|employee","Expense|general_admin","Expense|marketing","Expense|utilities","Expense|other_operating"},0)),-N(N58),0)+IF(ISNUMBER(MATCH(V58,{"Expense|employee","Expense|general_admin","Expense|marketing","Expense|utilities","Expense|other_operating"},0)),-N(M58),0)</f>
        <v/>
      </c>
      <c r="AA58" s="23">
        <f>IF(S58="Liability|payable",-N(F58),0)+IF(T58="Liability|payable",-N(J58),0)+IF(U58="Liability|payable",N(N58),0)+IF(V58="Liability|payable",N(M58),0)</f>
        <v/>
      </c>
      <c r="AB58" s="23">
        <f>IF(S58="Liability|accrued",-N(F58),0)+IF(T58="Liability|accrued",-N(J58),0)+IF(U58="Liability|accrued",N(N58),0)+IF(V58="Liability|accrued",N(M58),0)</f>
        <v/>
      </c>
      <c r="AC58" s="23">
        <f>IF(AND(N(F58)&lt;&gt;0,S58=""),1,0)+IF(AND(N(J58)&lt;&gt;0,T58=""),1,0)+IF(AND(N(N58)&lt;&gt;0,U58=""),1,0)+IF(AND(N(M58)&lt;&gt;0,V58=""),1,0)</f>
        <v/>
      </c>
    </row>
    <row r="59">
      <c r="A59" s="19" t="n"/>
      <c r="B59" s="14" t="n"/>
      <c r="C59" s="14" t="n"/>
      <c r="D59" s="14" t="n"/>
      <c r="E59" s="14" t="n"/>
      <c r="F59" s="20" t="n"/>
      <c r="G59" s="14" t="n"/>
      <c r="H59" s="14" t="n"/>
      <c r="I59" s="14" t="n"/>
      <c r="J59" s="20" t="n"/>
      <c r="K59" s="14" t="n"/>
      <c r="L59" s="21">
        <f>N(F59)+N(J59)</f>
        <v/>
      </c>
      <c r="M59" s="21">
        <f>IF(K59="",0,L59-ROUND(L59/(1+IFERROR(VLOOKUP(K59,'Tax Codes'!$A$5:$E$300,5,FALSE),0)),2))</f>
        <v/>
      </c>
      <c r="N59" s="21">
        <f>L59-M59</f>
        <v/>
      </c>
      <c r="O59" s="16">
        <f>IF(H59="",INDEX('Chart of Accounts'!$A$5:$A$3000,MATCH("bank",'Chart of Accounts'!$F$5:$F$3000,0)),H59&amp;"")</f>
        <v/>
      </c>
      <c r="P59" s="16">
        <f>IF(I59="",INDEX('Chart of Accounts'!$A$5:$A$3000,MATCH("revenue",'Chart of Accounts'!$F$5:$F$3000,0)),I59&amp;"")</f>
        <v/>
      </c>
      <c r="Q59" s="16">
        <f>INDEX('Chart of Accounts'!$A$5:$A$3000,MATCH("wht_receivable",'Chart of Accounts'!$F$5:$F$3000,0))</f>
        <v/>
      </c>
      <c r="R59" s="16">
        <f>INDEX('Chart of Accounts'!$A$5:$A$3000,MATCH("vat_output",'Chart of Accounts'!$F$5:$F$3000,0))</f>
        <v/>
      </c>
      <c r="S59" s="23">
        <f>IFERROR(INDEX('Chart of Accounts'!$C$5:$C$3000,MATCH(O59&amp;"",'Chart of Accounts'!$A$5:$A$3000,0))&amp;"|"&amp;INDEX('Chart of Accounts'!$D$5:$D$3000,MATCH(O59&amp;"",'Chart of Accounts'!$A$5:$A$3000,0)),"")</f>
        <v/>
      </c>
      <c r="T59" s="23">
        <f>IFERROR(INDEX('Chart of Accounts'!$C$5:$C$3000,MATCH(Q59&amp;"",'Chart of Accounts'!$A$5:$A$3000,0))&amp;"|"&amp;INDEX('Chart of Accounts'!$D$5:$D$3000,MATCH(Q59&amp;"",'Chart of Accounts'!$A$5:$A$3000,0)),"")</f>
        <v/>
      </c>
      <c r="U59" s="23">
        <f>IFERROR(INDEX('Chart of Accounts'!$C$5:$C$3000,MATCH(P59&amp;"",'Chart of Accounts'!$A$5:$A$3000,0))&amp;"|"&amp;INDEX('Chart of Accounts'!$D$5:$D$3000,MATCH(P59&amp;"",'Chart of Accounts'!$A$5:$A$3000,0)),"")</f>
        <v/>
      </c>
      <c r="V59" s="23">
        <f>IFERROR(INDEX('Chart of Accounts'!$C$5:$C$3000,MATCH(R59&amp;"",'Chart of Accounts'!$A$5:$A$3000,0))&amp;"|"&amp;INDEX('Chart of Accounts'!$D$5:$D$3000,MATCH(R59&amp;"",'Chart of Accounts'!$A$5:$A$3000,0)),"")</f>
        <v/>
      </c>
      <c r="W59" s="23">
        <f>IF(LEFT(S59,8)="Revenue|",-N(F59),0)+IF(LEFT(T59,8)="Revenue|",-N(J59),0)+IF(LEFT(U59,8)="Revenue|",N(N59),0)+IF(LEFT(V59,8)="Revenue|",N(M59),0)</f>
        <v/>
      </c>
      <c r="X59" s="23">
        <f>IF(LEFT(S59,5)="COGS|",N(F59),0)+IF(LEFT(T59,5)="COGS|",N(J59),0)+IF(LEFT(U59,5)="COGS|",-N(N59),0)+IF(LEFT(V59,5)="COGS|",-N(M59),0)</f>
        <v/>
      </c>
      <c r="Y59" s="23">
        <f>IF(LEFT(S59,8)="Expense|",N(F59),0)+IF(LEFT(T59,8)="Expense|",N(J59),0)+IF(LEFT(U59,8)="Expense|",-N(N59),0)+IF(LEFT(V59,8)="Expense|",-N(M59),0)</f>
        <v/>
      </c>
      <c r="Z59" s="23">
        <f>IF(ISNUMBER(MATCH(S59,{"Expense|employee","Expense|general_admin","Expense|marketing","Expense|utilities","Expense|other_operating"},0)),N(F59),0)+IF(ISNUMBER(MATCH(T59,{"Expense|employee","Expense|general_admin","Expense|marketing","Expense|utilities","Expense|other_operating"},0)),N(J59),0)+IF(ISNUMBER(MATCH(U59,{"Expense|employee","Expense|general_admin","Expense|marketing","Expense|utilities","Expense|other_operating"},0)),-N(N59),0)+IF(ISNUMBER(MATCH(V59,{"Expense|employee","Expense|general_admin","Expense|marketing","Expense|utilities","Expense|other_operating"},0)),-N(M59),0)</f>
        <v/>
      </c>
      <c r="AA59" s="23">
        <f>IF(S59="Liability|payable",-N(F59),0)+IF(T59="Liability|payable",-N(J59),0)+IF(U59="Liability|payable",N(N59),0)+IF(V59="Liability|payable",N(M59),0)</f>
        <v/>
      </c>
      <c r="AB59" s="23">
        <f>IF(S59="Liability|accrued",-N(F59),0)+IF(T59="Liability|accrued",-N(J59),0)+IF(U59="Liability|accrued",N(N59),0)+IF(V59="Liability|accrued",N(M59),0)</f>
        <v/>
      </c>
      <c r="AC59" s="23">
        <f>IF(AND(N(F59)&lt;&gt;0,S59=""),1,0)+IF(AND(N(J59)&lt;&gt;0,T59=""),1,0)+IF(AND(N(N59)&lt;&gt;0,U59=""),1,0)+IF(AND(N(M59)&lt;&gt;0,V59=""),1,0)</f>
        <v/>
      </c>
    </row>
    <row r="60">
      <c r="A60" s="19" t="n"/>
      <c r="B60" s="14" t="n"/>
      <c r="C60" s="14" t="n"/>
      <c r="D60" s="14" t="n"/>
      <c r="E60" s="14" t="n"/>
      <c r="F60" s="20" t="n"/>
      <c r="G60" s="14" t="n"/>
      <c r="H60" s="14" t="n"/>
      <c r="I60" s="14" t="n"/>
      <c r="J60" s="20" t="n"/>
      <c r="K60" s="14" t="n"/>
      <c r="L60" s="21">
        <f>N(F60)+N(J60)</f>
        <v/>
      </c>
      <c r="M60" s="21">
        <f>IF(K60="",0,L60-ROUND(L60/(1+IFERROR(VLOOKUP(K60,'Tax Codes'!$A$5:$E$300,5,FALSE),0)),2))</f>
        <v/>
      </c>
      <c r="N60" s="21">
        <f>L60-M60</f>
        <v/>
      </c>
      <c r="O60" s="16">
        <f>IF(H60="",INDEX('Chart of Accounts'!$A$5:$A$3000,MATCH("bank",'Chart of Accounts'!$F$5:$F$3000,0)),H60&amp;"")</f>
        <v/>
      </c>
      <c r="P60" s="16">
        <f>IF(I60="",INDEX('Chart of Accounts'!$A$5:$A$3000,MATCH("revenue",'Chart of Accounts'!$F$5:$F$3000,0)),I60&amp;"")</f>
        <v/>
      </c>
      <c r="Q60" s="16">
        <f>INDEX('Chart of Accounts'!$A$5:$A$3000,MATCH("wht_receivable",'Chart of Accounts'!$F$5:$F$3000,0))</f>
        <v/>
      </c>
      <c r="R60" s="16">
        <f>INDEX('Chart of Accounts'!$A$5:$A$3000,MATCH("vat_output",'Chart of Accounts'!$F$5:$F$3000,0))</f>
        <v/>
      </c>
      <c r="S60" s="23">
        <f>IFERROR(INDEX('Chart of Accounts'!$C$5:$C$3000,MATCH(O60&amp;"",'Chart of Accounts'!$A$5:$A$3000,0))&amp;"|"&amp;INDEX('Chart of Accounts'!$D$5:$D$3000,MATCH(O60&amp;"",'Chart of Accounts'!$A$5:$A$3000,0)),"")</f>
        <v/>
      </c>
      <c r="T60" s="23">
        <f>IFERROR(INDEX('Chart of Accounts'!$C$5:$C$3000,MATCH(Q60&amp;"",'Chart of Accounts'!$A$5:$A$3000,0))&amp;"|"&amp;INDEX('Chart of Accounts'!$D$5:$D$3000,MATCH(Q60&amp;"",'Chart of Accounts'!$A$5:$A$3000,0)),"")</f>
        <v/>
      </c>
      <c r="U60" s="23">
        <f>IFERROR(INDEX('Chart of Accounts'!$C$5:$C$3000,MATCH(P60&amp;"",'Chart of Accounts'!$A$5:$A$3000,0))&amp;"|"&amp;INDEX('Chart of Accounts'!$D$5:$D$3000,MATCH(P60&amp;"",'Chart of Accounts'!$A$5:$A$3000,0)),"")</f>
        <v/>
      </c>
      <c r="V60" s="23">
        <f>IFERROR(INDEX('Chart of Accounts'!$C$5:$C$3000,MATCH(R60&amp;"",'Chart of Accounts'!$A$5:$A$3000,0))&amp;"|"&amp;INDEX('Chart of Accounts'!$D$5:$D$3000,MATCH(R60&amp;"",'Chart of Accounts'!$A$5:$A$3000,0)),"")</f>
        <v/>
      </c>
      <c r="W60" s="23">
        <f>IF(LEFT(S60,8)="Revenue|",-N(F60),0)+IF(LEFT(T60,8)="Revenue|",-N(J60),0)+IF(LEFT(U60,8)="Revenue|",N(N60),0)+IF(LEFT(V60,8)="Revenue|",N(M60),0)</f>
        <v/>
      </c>
      <c r="X60" s="23">
        <f>IF(LEFT(S60,5)="COGS|",N(F60),0)+IF(LEFT(T60,5)="COGS|",N(J60),0)+IF(LEFT(U60,5)="COGS|",-N(N60),0)+IF(LEFT(V60,5)="COGS|",-N(M60),0)</f>
        <v/>
      </c>
      <c r="Y60" s="23">
        <f>IF(LEFT(S60,8)="Expense|",N(F60),0)+IF(LEFT(T60,8)="Expense|",N(J60),0)+IF(LEFT(U60,8)="Expense|",-N(N60),0)+IF(LEFT(V60,8)="Expense|",-N(M60),0)</f>
        <v/>
      </c>
      <c r="Z60" s="23">
        <f>IF(ISNUMBER(MATCH(S60,{"Expense|employee","Expense|general_admin","Expense|marketing","Expense|utilities","Expense|other_operating"},0)),N(F60),0)+IF(ISNUMBER(MATCH(T60,{"Expense|employee","Expense|general_admin","Expense|marketing","Expense|utilities","Expense|other_operating"},0)),N(J60),0)+IF(ISNUMBER(MATCH(U60,{"Expense|employee","Expense|general_admin","Expense|marketing","Expense|utilities","Expense|other_operating"},0)),-N(N60),0)+IF(ISNUMBER(MATCH(V60,{"Expense|employee","Expense|general_admin","Expense|marketing","Expense|utilities","Expense|other_operating"},0)),-N(M60),0)</f>
        <v/>
      </c>
      <c r="AA60" s="23">
        <f>IF(S60="Liability|payable",-N(F60),0)+IF(T60="Liability|payable",-N(J60),0)+IF(U60="Liability|payable",N(N60),0)+IF(V60="Liability|payable",N(M60),0)</f>
        <v/>
      </c>
      <c r="AB60" s="23">
        <f>IF(S60="Liability|accrued",-N(F60),0)+IF(T60="Liability|accrued",-N(J60),0)+IF(U60="Liability|accrued",N(N60),0)+IF(V60="Liability|accrued",N(M60),0)</f>
        <v/>
      </c>
      <c r="AC60" s="23">
        <f>IF(AND(N(F60)&lt;&gt;0,S60=""),1,0)+IF(AND(N(J60)&lt;&gt;0,T60=""),1,0)+IF(AND(N(N60)&lt;&gt;0,U60=""),1,0)+IF(AND(N(M60)&lt;&gt;0,V60=""),1,0)</f>
        <v/>
      </c>
    </row>
    <row r="61">
      <c r="A61" s="19" t="n"/>
      <c r="B61" s="14" t="n"/>
      <c r="C61" s="14" t="n"/>
      <c r="D61" s="14" t="n"/>
      <c r="E61" s="14" t="n"/>
      <c r="F61" s="20" t="n"/>
      <c r="G61" s="14" t="n"/>
      <c r="H61" s="14" t="n"/>
      <c r="I61" s="14" t="n"/>
      <c r="J61" s="20" t="n"/>
      <c r="K61" s="14" t="n"/>
      <c r="L61" s="21">
        <f>N(F61)+N(J61)</f>
        <v/>
      </c>
      <c r="M61" s="21">
        <f>IF(K61="",0,L61-ROUND(L61/(1+IFERROR(VLOOKUP(K61,'Tax Codes'!$A$5:$E$300,5,FALSE),0)),2))</f>
        <v/>
      </c>
      <c r="N61" s="21">
        <f>L61-M61</f>
        <v/>
      </c>
      <c r="O61" s="16">
        <f>IF(H61="",INDEX('Chart of Accounts'!$A$5:$A$3000,MATCH("bank",'Chart of Accounts'!$F$5:$F$3000,0)),H61&amp;"")</f>
        <v/>
      </c>
      <c r="P61" s="16">
        <f>IF(I61="",INDEX('Chart of Accounts'!$A$5:$A$3000,MATCH("revenue",'Chart of Accounts'!$F$5:$F$3000,0)),I61&amp;"")</f>
        <v/>
      </c>
      <c r="Q61" s="16">
        <f>INDEX('Chart of Accounts'!$A$5:$A$3000,MATCH("wht_receivable",'Chart of Accounts'!$F$5:$F$3000,0))</f>
        <v/>
      </c>
      <c r="R61" s="16">
        <f>INDEX('Chart of Accounts'!$A$5:$A$3000,MATCH("vat_output",'Chart of Accounts'!$F$5:$F$3000,0))</f>
        <v/>
      </c>
      <c r="S61" s="23">
        <f>IFERROR(INDEX('Chart of Accounts'!$C$5:$C$3000,MATCH(O61&amp;"",'Chart of Accounts'!$A$5:$A$3000,0))&amp;"|"&amp;INDEX('Chart of Accounts'!$D$5:$D$3000,MATCH(O61&amp;"",'Chart of Accounts'!$A$5:$A$3000,0)),"")</f>
        <v/>
      </c>
      <c r="T61" s="23">
        <f>IFERROR(INDEX('Chart of Accounts'!$C$5:$C$3000,MATCH(Q61&amp;"",'Chart of Accounts'!$A$5:$A$3000,0))&amp;"|"&amp;INDEX('Chart of Accounts'!$D$5:$D$3000,MATCH(Q61&amp;"",'Chart of Accounts'!$A$5:$A$3000,0)),"")</f>
        <v/>
      </c>
      <c r="U61" s="23">
        <f>IFERROR(INDEX('Chart of Accounts'!$C$5:$C$3000,MATCH(P61&amp;"",'Chart of Accounts'!$A$5:$A$3000,0))&amp;"|"&amp;INDEX('Chart of Accounts'!$D$5:$D$3000,MATCH(P61&amp;"",'Chart of Accounts'!$A$5:$A$3000,0)),"")</f>
        <v/>
      </c>
      <c r="V61" s="23">
        <f>IFERROR(INDEX('Chart of Accounts'!$C$5:$C$3000,MATCH(R61&amp;"",'Chart of Accounts'!$A$5:$A$3000,0))&amp;"|"&amp;INDEX('Chart of Accounts'!$D$5:$D$3000,MATCH(R61&amp;"",'Chart of Accounts'!$A$5:$A$3000,0)),"")</f>
        <v/>
      </c>
      <c r="W61" s="23">
        <f>IF(LEFT(S61,8)="Revenue|",-N(F61),0)+IF(LEFT(T61,8)="Revenue|",-N(J61),0)+IF(LEFT(U61,8)="Revenue|",N(N61),0)+IF(LEFT(V61,8)="Revenue|",N(M61),0)</f>
        <v/>
      </c>
      <c r="X61" s="23">
        <f>IF(LEFT(S61,5)="COGS|",N(F61),0)+IF(LEFT(T61,5)="COGS|",N(J61),0)+IF(LEFT(U61,5)="COGS|",-N(N61),0)+IF(LEFT(V61,5)="COGS|",-N(M61),0)</f>
        <v/>
      </c>
      <c r="Y61" s="23">
        <f>IF(LEFT(S61,8)="Expense|",N(F61),0)+IF(LEFT(T61,8)="Expense|",N(J61),0)+IF(LEFT(U61,8)="Expense|",-N(N61),0)+IF(LEFT(V61,8)="Expense|",-N(M61),0)</f>
        <v/>
      </c>
      <c r="Z61" s="23">
        <f>IF(ISNUMBER(MATCH(S61,{"Expense|employee","Expense|general_admin","Expense|marketing","Expense|utilities","Expense|other_operating"},0)),N(F61),0)+IF(ISNUMBER(MATCH(T61,{"Expense|employee","Expense|general_admin","Expense|marketing","Expense|utilities","Expense|other_operating"},0)),N(J61),0)+IF(ISNUMBER(MATCH(U61,{"Expense|employee","Expense|general_admin","Expense|marketing","Expense|utilities","Expense|other_operating"},0)),-N(N61),0)+IF(ISNUMBER(MATCH(V61,{"Expense|employee","Expense|general_admin","Expense|marketing","Expense|utilities","Expense|other_operating"},0)),-N(M61),0)</f>
        <v/>
      </c>
      <c r="AA61" s="23">
        <f>IF(S61="Liability|payable",-N(F61),0)+IF(T61="Liability|payable",-N(J61),0)+IF(U61="Liability|payable",N(N61),0)+IF(V61="Liability|payable",N(M61),0)</f>
        <v/>
      </c>
      <c r="AB61" s="23">
        <f>IF(S61="Liability|accrued",-N(F61),0)+IF(T61="Liability|accrued",-N(J61),0)+IF(U61="Liability|accrued",N(N61),0)+IF(V61="Liability|accrued",N(M61),0)</f>
        <v/>
      </c>
      <c r="AC61" s="23">
        <f>IF(AND(N(F61)&lt;&gt;0,S61=""),1,0)+IF(AND(N(J61)&lt;&gt;0,T61=""),1,0)+IF(AND(N(N61)&lt;&gt;0,U61=""),1,0)+IF(AND(N(M61)&lt;&gt;0,V61=""),1,0)</f>
        <v/>
      </c>
    </row>
    <row r="62">
      <c r="A62" s="19" t="n"/>
      <c r="B62" s="14" t="n"/>
      <c r="C62" s="14" t="n"/>
      <c r="D62" s="14" t="n"/>
      <c r="E62" s="14" t="n"/>
      <c r="F62" s="20" t="n"/>
      <c r="G62" s="14" t="n"/>
      <c r="H62" s="14" t="n"/>
      <c r="I62" s="14" t="n"/>
      <c r="J62" s="20" t="n"/>
      <c r="K62" s="14" t="n"/>
      <c r="L62" s="21">
        <f>N(F62)+N(J62)</f>
        <v/>
      </c>
      <c r="M62" s="21">
        <f>IF(K62="",0,L62-ROUND(L62/(1+IFERROR(VLOOKUP(K62,'Tax Codes'!$A$5:$E$300,5,FALSE),0)),2))</f>
        <v/>
      </c>
      <c r="N62" s="21">
        <f>L62-M62</f>
        <v/>
      </c>
      <c r="O62" s="16">
        <f>IF(H62="",INDEX('Chart of Accounts'!$A$5:$A$3000,MATCH("bank",'Chart of Accounts'!$F$5:$F$3000,0)),H62&amp;"")</f>
        <v/>
      </c>
      <c r="P62" s="16">
        <f>IF(I62="",INDEX('Chart of Accounts'!$A$5:$A$3000,MATCH("revenue",'Chart of Accounts'!$F$5:$F$3000,0)),I62&amp;"")</f>
        <v/>
      </c>
      <c r="Q62" s="16">
        <f>INDEX('Chart of Accounts'!$A$5:$A$3000,MATCH("wht_receivable",'Chart of Accounts'!$F$5:$F$3000,0))</f>
        <v/>
      </c>
      <c r="R62" s="16">
        <f>INDEX('Chart of Accounts'!$A$5:$A$3000,MATCH("vat_output",'Chart of Accounts'!$F$5:$F$3000,0))</f>
        <v/>
      </c>
      <c r="S62" s="23">
        <f>IFERROR(INDEX('Chart of Accounts'!$C$5:$C$3000,MATCH(O62&amp;"",'Chart of Accounts'!$A$5:$A$3000,0))&amp;"|"&amp;INDEX('Chart of Accounts'!$D$5:$D$3000,MATCH(O62&amp;"",'Chart of Accounts'!$A$5:$A$3000,0)),"")</f>
        <v/>
      </c>
      <c r="T62" s="23">
        <f>IFERROR(INDEX('Chart of Accounts'!$C$5:$C$3000,MATCH(Q62&amp;"",'Chart of Accounts'!$A$5:$A$3000,0))&amp;"|"&amp;INDEX('Chart of Accounts'!$D$5:$D$3000,MATCH(Q62&amp;"",'Chart of Accounts'!$A$5:$A$3000,0)),"")</f>
        <v/>
      </c>
      <c r="U62" s="23">
        <f>IFERROR(INDEX('Chart of Accounts'!$C$5:$C$3000,MATCH(P62&amp;"",'Chart of Accounts'!$A$5:$A$3000,0))&amp;"|"&amp;INDEX('Chart of Accounts'!$D$5:$D$3000,MATCH(P62&amp;"",'Chart of Accounts'!$A$5:$A$3000,0)),"")</f>
        <v/>
      </c>
      <c r="V62" s="23">
        <f>IFERROR(INDEX('Chart of Accounts'!$C$5:$C$3000,MATCH(R62&amp;"",'Chart of Accounts'!$A$5:$A$3000,0))&amp;"|"&amp;INDEX('Chart of Accounts'!$D$5:$D$3000,MATCH(R62&amp;"",'Chart of Accounts'!$A$5:$A$3000,0)),"")</f>
        <v/>
      </c>
      <c r="W62" s="23">
        <f>IF(LEFT(S62,8)="Revenue|",-N(F62),0)+IF(LEFT(T62,8)="Revenue|",-N(J62),0)+IF(LEFT(U62,8)="Revenue|",N(N62),0)+IF(LEFT(V62,8)="Revenue|",N(M62),0)</f>
        <v/>
      </c>
      <c r="X62" s="23">
        <f>IF(LEFT(S62,5)="COGS|",N(F62),0)+IF(LEFT(T62,5)="COGS|",N(J62),0)+IF(LEFT(U62,5)="COGS|",-N(N62),0)+IF(LEFT(V62,5)="COGS|",-N(M62),0)</f>
        <v/>
      </c>
      <c r="Y62" s="23">
        <f>IF(LEFT(S62,8)="Expense|",N(F62),0)+IF(LEFT(T62,8)="Expense|",N(J62),0)+IF(LEFT(U62,8)="Expense|",-N(N62),0)+IF(LEFT(V62,8)="Expense|",-N(M62),0)</f>
        <v/>
      </c>
      <c r="Z62" s="23">
        <f>IF(ISNUMBER(MATCH(S62,{"Expense|employee","Expense|general_admin","Expense|marketing","Expense|utilities","Expense|other_operating"},0)),N(F62),0)+IF(ISNUMBER(MATCH(T62,{"Expense|employee","Expense|general_admin","Expense|marketing","Expense|utilities","Expense|other_operating"},0)),N(J62),0)+IF(ISNUMBER(MATCH(U62,{"Expense|employee","Expense|general_admin","Expense|marketing","Expense|utilities","Expense|other_operating"},0)),-N(N62),0)+IF(ISNUMBER(MATCH(V62,{"Expense|employee","Expense|general_admin","Expense|marketing","Expense|utilities","Expense|other_operating"},0)),-N(M62),0)</f>
        <v/>
      </c>
      <c r="AA62" s="23">
        <f>IF(S62="Liability|payable",-N(F62),0)+IF(T62="Liability|payable",-N(J62),0)+IF(U62="Liability|payable",N(N62),0)+IF(V62="Liability|payable",N(M62),0)</f>
        <v/>
      </c>
      <c r="AB62" s="23">
        <f>IF(S62="Liability|accrued",-N(F62),0)+IF(T62="Liability|accrued",-N(J62),0)+IF(U62="Liability|accrued",N(N62),0)+IF(V62="Liability|accrued",N(M62),0)</f>
        <v/>
      </c>
      <c r="AC62" s="23">
        <f>IF(AND(N(F62)&lt;&gt;0,S62=""),1,0)+IF(AND(N(J62)&lt;&gt;0,T62=""),1,0)+IF(AND(N(N62)&lt;&gt;0,U62=""),1,0)+IF(AND(N(M62)&lt;&gt;0,V62=""),1,0)</f>
        <v/>
      </c>
    </row>
    <row r="63">
      <c r="A63" s="19" t="n"/>
      <c r="B63" s="14" t="n"/>
      <c r="C63" s="14" t="n"/>
      <c r="D63" s="14" t="n"/>
      <c r="E63" s="14" t="n"/>
      <c r="F63" s="20" t="n"/>
      <c r="G63" s="14" t="n"/>
      <c r="H63" s="14" t="n"/>
      <c r="I63" s="14" t="n"/>
      <c r="J63" s="20" t="n"/>
      <c r="K63" s="14" t="n"/>
      <c r="L63" s="21">
        <f>N(F63)+N(J63)</f>
        <v/>
      </c>
      <c r="M63" s="21">
        <f>IF(K63="",0,L63-ROUND(L63/(1+IFERROR(VLOOKUP(K63,'Tax Codes'!$A$5:$E$300,5,FALSE),0)),2))</f>
        <v/>
      </c>
      <c r="N63" s="21">
        <f>L63-M63</f>
        <v/>
      </c>
      <c r="O63" s="16">
        <f>IF(H63="",INDEX('Chart of Accounts'!$A$5:$A$3000,MATCH("bank",'Chart of Accounts'!$F$5:$F$3000,0)),H63&amp;"")</f>
        <v/>
      </c>
      <c r="P63" s="16">
        <f>IF(I63="",INDEX('Chart of Accounts'!$A$5:$A$3000,MATCH("revenue",'Chart of Accounts'!$F$5:$F$3000,0)),I63&amp;"")</f>
        <v/>
      </c>
      <c r="Q63" s="16">
        <f>INDEX('Chart of Accounts'!$A$5:$A$3000,MATCH("wht_receivable",'Chart of Accounts'!$F$5:$F$3000,0))</f>
        <v/>
      </c>
      <c r="R63" s="16">
        <f>INDEX('Chart of Accounts'!$A$5:$A$3000,MATCH("vat_output",'Chart of Accounts'!$F$5:$F$3000,0))</f>
        <v/>
      </c>
      <c r="S63" s="23">
        <f>IFERROR(INDEX('Chart of Accounts'!$C$5:$C$3000,MATCH(O63&amp;"",'Chart of Accounts'!$A$5:$A$3000,0))&amp;"|"&amp;INDEX('Chart of Accounts'!$D$5:$D$3000,MATCH(O63&amp;"",'Chart of Accounts'!$A$5:$A$3000,0)),"")</f>
        <v/>
      </c>
      <c r="T63" s="23">
        <f>IFERROR(INDEX('Chart of Accounts'!$C$5:$C$3000,MATCH(Q63&amp;"",'Chart of Accounts'!$A$5:$A$3000,0))&amp;"|"&amp;INDEX('Chart of Accounts'!$D$5:$D$3000,MATCH(Q63&amp;"",'Chart of Accounts'!$A$5:$A$3000,0)),"")</f>
        <v/>
      </c>
      <c r="U63" s="23">
        <f>IFERROR(INDEX('Chart of Accounts'!$C$5:$C$3000,MATCH(P63&amp;"",'Chart of Accounts'!$A$5:$A$3000,0))&amp;"|"&amp;INDEX('Chart of Accounts'!$D$5:$D$3000,MATCH(P63&amp;"",'Chart of Accounts'!$A$5:$A$3000,0)),"")</f>
        <v/>
      </c>
      <c r="V63" s="23">
        <f>IFERROR(INDEX('Chart of Accounts'!$C$5:$C$3000,MATCH(R63&amp;"",'Chart of Accounts'!$A$5:$A$3000,0))&amp;"|"&amp;INDEX('Chart of Accounts'!$D$5:$D$3000,MATCH(R63&amp;"",'Chart of Accounts'!$A$5:$A$3000,0)),"")</f>
        <v/>
      </c>
      <c r="W63" s="23">
        <f>IF(LEFT(S63,8)="Revenue|",-N(F63),0)+IF(LEFT(T63,8)="Revenue|",-N(J63),0)+IF(LEFT(U63,8)="Revenue|",N(N63),0)+IF(LEFT(V63,8)="Revenue|",N(M63),0)</f>
        <v/>
      </c>
      <c r="X63" s="23">
        <f>IF(LEFT(S63,5)="COGS|",N(F63),0)+IF(LEFT(T63,5)="COGS|",N(J63),0)+IF(LEFT(U63,5)="COGS|",-N(N63),0)+IF(LEFT(V63,5)="COGS|",-N(M63),0)</f>
        <v/>
      </c>
      <c r="Y63" s="23">
        <f>IF(LEFT(S63,8)="Expense|",N(F63),0)+IF(LEFT(T63,8)="Expense|",N(J63),0)+IF(LEFT(U63,8)="Expense|",-N(N63),0)+IF(LEFT(V63,8)="Expense|",-N(M63),0)</f>
        <v/>
      </c>
      <c r="Z63" s="23">
        <f>IF(ISNUMBER(MATCH(S63,{"Expense|employee","Expense|general_admin","Expense|marketing","Expense|utilities","Expense|other_operating"},0)),N(F63),0)+IF(ISNUMBER(MATCH(T63,{"Expense|employee","Expense|general_admin","Expense|marketing","Expense|utilities","Expense|other_operating"},0)),N(J63),0)+IF(ISNUMBER(MATCH(U63,{"Expense|employee","Expense|general_admin","Expense|marketing","Expense|utilities","Expense|other_operating"},0)),-N(N63),0)+IF(ISNUMBER(MATCH(V63,{"Expense|employee","Expense|general_admin","Expense|marketing","Expense|utilities","Expense|other_operating"},0)),-N(M63),0)</f>
        <v/>
      </c>
      <c r="AA63" s="23">
        <f>IF(S63="Liability|payable",-N(F63),0)+IF(T63="Liability|payable",-N(J63),0)+IF(U63="Liability|payable",N(N63),0)+IF(V63="Liability|payable",N(M63),0)</f>
        <v/>
      </c>
      <c r="AB63" s="23">
        <f>IF(S63="Liability|accrued",-N(F63),0)+IF(T63="Liability|accrued",-N(J63),0)+IF(U63="Liability|accrued",N(N63),0)+IF(V63="Liability|accrued",N(M63),0)</f>
        <v/>
      </c>
      <c r="AC63" s="23">
        <f>IF(AND(N(F63)&lt;&gt;0,S63=""),1,0)+IF(AND(N(J63)&lt;&gt;0,T63=""),1,0)+IF(AND(N(N63)&lt;&gt;0,U63=""),1,0)+IF(AND(N(M63)&lt;&gt;0,V63=""),1,0)</f>
        <v/>
      </c>
    </row>
    <row r="64">
      <c r="A64" s="19" t="n"/>
      <c r="B64" s="14" t="n"/>
      <c r="C64" s="14" t="n"/>
      <c r="D64" s="14" t="n"/>
      <c r="E64" s="14" t="n"/>
      <c r="F64" s="20" t="n"/>
      <c r="G64" s="14" t="n"/>
      <c r="H64" s="14" t="n"/>
      <c r="I64" s="14" t="n"/>
      <c r="J64" s="20" t="n"/>
      <c r="K64" s="14" t="n"/>
      <c r="L64" s="21">
        <f>N(F64)+N(J64)</f>
        <v/>
      </c>
      <c r="M64" s="21">
        <f>IF(K64="",0,L64-ROUND(L64/(1+IFERROR(VLOOKUP(K64,'Tax Codes'!$A$5:$E$300,5,FALSE),0)),2))</f>
        <v/>
      </c>
      <c r="N64" s="21">
        <f>L64-M64</f>
        <v/>
      </c>
      <c r="O64" s="16">
        <f>IF(H64="",INDEX('Chart of Accounts'!$A$5:$A$3000,MATCH("bank",'Chart of Accounts'!$F$5:$F$3000,0)),H64&amp;"")</f>
        <v/>
      </c>
      <c r="P64" s="16">
        <f>IF(I64="",INDEX('Chart of Accounts'!$A$5:$A$3000,MATCH("revenue",'Chart of Accounts'!$F$5:$F$3000,0)),I64&amp;"")</f>
        <v/>
      </c>
      <c r="Q64" s="16">
        <f>INDEX('Chart of Accounts'!$A$5:$A$3000,MATCH("wht_receivable",'Chart of Accounts'!$F$5:$F$3000,0))</f>
        <v/>
      </c>
      <c r="R64" s="16">
        <f>INDEX('Chart of Accounts'!$A$5:$A$3000,MATCH("vat_output",'Chart of Accounts'!$F$5:$F$3000,0))</f>
        <v/>
      </c>
      <c r="S64" s="23">
        <f>IFERROR(INDEX('Chart of Accounts'!$C$5:$C$3000,MATCH(O64&amp;"",'Chart of Accounts'!$A$5:$A$3000,0))&amp;"|"&amp;INDEX('Chart of Accounts'!$D$5:$D$3000,MATCH(O64&amp;"",'Chart of Accounts'!$A$5:$A$3000,0)),"")</f>
        <v/>
      </c>
      <c r="T64" s="23">
        <f>IFERROR(INDEX('Chart of Accounts'!$C$5:$C$3000,MATCH(Q64&amp;"",'Chart of Accounts'!$A$5:$A$3000,0))&amp;"|"&amp;INDEX('Chart of Accounts'!$D$5:$D$3000,MATCH(Q64&amp;"",'Chart of Accounts'!$A$5:$A$3000,0)),"")</f>
        <v/>
      </c>
      <c r="U64" s="23">
        <f>IFERROR(INDEX('Chart of Accounts'!$C$5:$C$3000,MATCH(P64&amp;"",'Chart of Accounts'!$A$5:$A$3000,0))&amp;"|"&amp;INDEX('Chart of Accounts'!$D$5:$D$3000,MATCH(P64&amp;"",'Chart of Accounts'!$A$5:$A$3000,0)),"")</f>
        <v/>
      </c>
      <c r="V64" s="23">
        <f>IFERROR(INDEX('Chart of Accounts'!$C$5:$C$3000,MATCH(R64&amp;"",'Chart of Accounts'!$A$5:$A$3000,0))&amp;"|"&amp;INDEX('Chart of Accounts'!$D$5:$D$3000,MATCH(R64&amp;"",'Chart of Accounts'!$A$5:$A$3000,0)),"")</f>
        <v/>
      </c>
      <c r="W64" s="23">
        <f>IF(LEFT(S64,8)="Revenue|",-N(F64),0)+IF(LEFT(T64,8)="Revenue|",-N(J64),0)+IF(LEFT(U64,8)="Revenue|",N(N64),0)+IF(LEFT(V64,8)="Revenue|",N(M64),0)</f>
        <v/>
      </c>
      <c r="X64" s="23">
        <f>IF(LEFT(S64,5)="COGS|",N(F64),0)+IF(LEFT(T64,5)="COGS|",N(J64),0)+IF(LEFT(U64,5)="COGS|",-N(N64),0)+IF(LEFT(V64,5)="COGS|",-N(M64),0)</f>
        <v/>
      </c>
      <c r="Y64" s="23">
        <f>IF(LEFT(S64,8)="Expense|",N(F64),0)+IF(LEFT(T64,8)="Expense|",N(J64),0)+IF(LEFT(U64,8)="Expense|",-N(N64),0)+IF(LEFT(V64,8)="Expense|",-N(M64),0)</f>
        <v/>
      </c>
      <c r="Z64" s="23">
        <f>IF(ISNUMBER(MATCH(S64,{"Expense|employee","Expense|general_admin","Expense|marketing","Expense|utilities","Expense|other_operating"},0)),N(F64),0)+IF(ISNUMBER(MATCH(T64,{"Expense|employee","Expense|general_admin","Expense|marketing","Expense|utilities","Expense|other_operating"},0)),N(J64),0)+IF(ISNUMBER(MATCH(U64,{"Expense|employee","Expense|general_admin","Expense|marketing","Expense|utilities","Expense|other_operating"},0)),-N(N64),0)+IF(ISNUMBER(MATCH(V64,{"Expense|employee","Expense|general_admin","Expense|marketing","Expense|utilities","Expense|other_operating"},0)),-N(M64),0)</f>
        <v/>
      </c>
      <c r="AA64" s="23">
        <f>IF(S64="Liability|payable",-N(F64),0)+IF(T64="Liability|payable",-N(J64),0)+IF(U64="Liability|payable",N(N64),0)+IF(V64="Liability|payable",N(M64),0)</f>
        <v/>
      </c>
      <c r="AB64" s="23">
        <f>IF(S64="Liability|accrued",-N(F64),0)+IF(T64="Liability|accrued",-N(J64),0)+IF(U64="Liability|accrued",N(N64),0)+IF(V64="Liability|accrued",N(M64),0)</f>
        <v/>
      </c>
      <c r="AC64" s="23">
        <f>IF(AND(N(F64)&lt;&gt;0,S64=""),1,0)+IF(AND(N(J64)&lt;&gt;0,T64=""),1,0)+IF(AND(N(N64)&lt;&gt;0,U64=""),1,0)+IF(AND(N(M64)&lt;&gt;0,V64=""),1,0)</f>
        <v/>
      </c>
    </row>
    <row r="65">
      <c r="A65" s="19" t="n"/>
      <c r="B65" s="14" t="n"/>
      <c r="C65" s="14" t="n"/>
      <c r="D65" s="14" t="n"/>
      <c r="E65" s="14" t="n"/>
      <c r="F65" s="20" t="n"/>
      <c r="G65" s="14" t="n"/>
      <c r="H65" s="14" t="n"/>
      <c r="I65" s="14" t="n"/>
      <c r="J65" s="20" t="n"/>
      <c r="K65" s="14" t="n"/>
      <c r="L65" s="21">
        <f>N(F65)+N(J65)</f>
        <v/>
      </c>
      <c r="M65" s="21">
        <f>IF(K65="",0,L65-ROUND(L65/(1+IFERROR(VLOOKUP(K65,'Tax Codes'!$A$5:$E$300,5,FALSE),0)),2))</f>
        <v/>
      </c>
      <c r="N65" s="21">
        <f>L65-M65</f>
        <v/>
      </c>
      <c r="O65" s="16">
        <f>IF(H65="",INDEX('Chart of Accounts'!$A$5:$A$3000,MATCH("bank",'Chart of Accounts'!$F$5:$F$3000,0)),H65&amp;"")</f>
        <v/>
      </c>
      <c r="P65" s="16">
        <f>IF(I65="",INDEX('Chart of Accounts'!$A$5:$A$3000,MATCH("revenue",'Chart of Accounts'!$F$5:$F$3000,0)),I65&amp;"")</f>
        <v/>
      </c>
      <c r="Q65" s="16">
        <f>INDEX('Chart of Accounts'!$A$5:$A$3000,MATCH("wht_receivable",'Chart of Accounts'!$F$5:$F$3000,0))</f>
        <v/>
      </c>
      <c r="R65" s="16">
        <f>INDEX('Chart of Accounts'!$A$5:$A$3000,MATCH("vat_output",'Chart of Accounts'!$F$5:$F$3000,0))</f>
        <v/>
      </c>
      <c r="S65" s="23">
        <f>IFERROR(INDEX('Chart of Accounts'!$C$5:$C$3000,MATCH(O65&amp;"",'Chart of Accounts'!$A$5:$A$3000,0))&amp;"|"&amp;INDEX('Chart of Accounts'!$D$5:$D$3000,MATCH(O65&amp;"",'Chart of Accounts'!$A$5:$A$3000,0)),"")</f>
        <v/>
      </c>
      <c r="T65" s="23">
        <f>IFERROR(INDEX('Chart of Accounts'!$C$5:$C$3000,MATCH(Q65&amp;"",'Chart of Accounts'!$A$5:$A$3000,0))&amp;"|"&amp;INDEX('Chart of Accounts'!$D$5:$D$3000,MATCH(Q65&amp;"",'Chart of Accounts'!$A$5:$A$3000,0)),"")</f>
        <v/>
      </c>
      <c r="U65" s="23">
        <f>IFERROR(INDEX('Chart of Accounts'!$C$5:$C$3000,MATCH(P65&amp;"",'Chart of Accounts'!$A$5:$A$3000,0))&amp;"|"&amp;INDEX('Chart of Accounts'!$D$5:$D$3000,MATCH(P65&amp;"",'Chart of Accounts'!$A$5:$A$3000,0)),"")</f>
        <v/>
      </c>
      <c r="V65" s="23">
        <f>IFERROR(INDEX('Chart of Accounts'!$C$5:$C$3000,MATCH(R65&amp;"",'Chart of Accounts'!$A$5:$A$3000,0))&amp;"|"&amp;INDEX('Chart of Accounts'!$D$5:$D$3000,MATCH(R65&amp;"",'Chart of Accounts'!$A$5:$A$3000,0)),"")</f>
        <v/>
      </c>
      <c r="W65" s="23">
        <f>IF(LEFT(S65,8)="Revenue|",-N(F65),0)+IF(LEFT(T65,8)="Revenue|",-N(J65),0)+IF(LEFT(U65,8)="Revenue|",N(N65),0)+IF(LEFT(V65,8)="Revenue|",N(M65),0)</f>
        <v/>
      </c>
      <c r="X65" s="23">
        <f>IF(LEFT(S65,5)="COGS|",N(F65),0)+IF(LEFT(T65,5)="COGS|",N(J65),0)+IF(LEFT(U65,5)="COGS|",-N(N65),0)+IF(LEFT(V65,5)="COGS|",-N(M65),0)</f>
        <v/>
      </c>
      <c r="Y65" s="23">
        <f>IF(LEFT(S65,8)="Expense|",N(F65),0)+IF(LEFT(T65,8)="Expense|",N(J65),0)+IF(LEFT(U65,8)="Expense|",-N(N65),0)+IF(LEFT(V65,8)="Expense|",-N(M65),0)</f>
        <v/>
      </c>
      <c r="Z65" s="23">
        <f>IF(ISNUMBER(MATCH(S65,{"Expense|employee","Expense|general_admin","Expense|marketing","Expense|utilities","Expense|other_operating"},0)),N(F65),0)+IF(ISNUMBER(MATCH(T65,{"Expense|employee","Expense|general_admin","Expense|marketing","Expense|utilities","Expense|other_operating"},0)),N(J65),0)+IF(ISNUMBER(MATCH(U65,{"Expense|employee","Expense|general_admin","Expense|marketing","Expense|utilities","Expense|other_operating"},0)),-N(N65),0)+IF(ISNUMBER(MATCH(V65,{"Expense|employee","Expense|general_admin","Expense|marketing","Expense|utilities","Expense|other_operating"},0)),-N(M65),0)</f>
        <v/>
      </c>
      <c r="AA65" s="23">
        <f>IF(S65="Liability|payable",-N(F65),0)+IF(T65="Liability|payable",-N(J65),0)+IF(U65="Liability|payable",N(N65),0)+IF(V65="Liability|payable",N(M65),0)</f>
        <v/>
      </c>
      <c r="AB65" s="23">
        <f>IF(S65="Liability|accrued",-N(F65),0)+IF(T65="Liability|accrued",-N(J65),0)+IF(U65="Liability|accrued",N(N65),0)+IF(V65="Liability|accrued",N(M65),0)</f>
        <v/>
      </c>
      <c r="AC65" s="23">
        <f>IF(AND(N(F65)&lt;&gt;0,S65=""),1,0)+IF(AND(N(J65)&lt;&gt;0,T65=""),1,0)+IF(AND(N(N65)&lt;&gt;0,U65=""),1,0)+IF(AND(N(M65)&lt;&gt;0,V65=""),1,0)</f>
        <v/>
      </c>
    </row>
    <row r="66">
      <c r="A66" s="19" t="n"/>
      <c r="B66" s="14" t="n"/>
      <c r="C66" s="14" t="n"/>
      <c r="D66" s="14" t="n"/>
      <c r="E66" s="14" t="n"/>
      <c r="F66" s="20" t="n"/>
      <c r="G66" s="14" t="n"/>
      <c r="H66" s="14" t="n"/>
      <c r="I66" s="14" t="n"/>
      <c r="J66" s="20" t="n"/>
      <c r="K66" s="14" t="n"/>
      <c r="L66" s="21">
        <f>N(F66)+N(J66)</f>
        <v/>
      </c>
      <c r="M66" s="21">
        <f>IF(K66="",0,L66-ROUND(L66/(1+IFERROR(VLOOKUP(K66,'Tax Codes'!$A$5:$E$300,5,FALSE),0)),2))</f>
        <v/>
      </c>
      <c r="N66" s="21">
        <f>L66-M66</f>
        <v/>
      </c>
      <c r="O66" s="16">
        <f>IF(H66="",INDEX('Chart of Accounts'!$A$5:$A$3000,MATCH("bank",'Chart of Accounts'!$F$5:$F$3000,0)),H66&amp;"")</f>
        <v/>
      </c>
      <c r="P66" s="16">
        <f>IF(I66="",INDEX('Chart of Accounts'!$A$5:$A$3000,MATCH("revenue",'Chart of Accounts'!$F$5:$F$3000,0)),I66&amp;"")</f>
        <v/>
      </c>
      <c r="Q66" s="16">
        <f>INDEX('Chart of Accounts'!$A$5:$A$3000,MATCH("wht_receivable",'Chart of Accounts'!$F$5:$F$3000,0))</f>
        <v/>
      </c>
      <c r="R66" s="16">
        <f>INDEX('Chart of Accounts'!$A$5:$A$3000,MATCH("vat_output",'Chart of Accounts'!$F$5:$F$3000,0))</f>
        <v/>
      </c>
      <c r="S66" s="23">
        <f>IFERROR(INDEX('Chart of Accounts'!$C$5:$C$3000,MATCH(O66&amp;"",'Chart of Accounts'!$A$5:$A$3000,0))&amp;"|"&amp;INDEX('Chart of Accounts'!$D$5:$D$3000,MATCH(O66&amp;"",'Chart of Accounts'!$A$5:$A$3000,0)),"")</f>
        <v/>
      </c>
      <c r="T66" s="23">
        <f>IFERROR(INDEX('Chart of Accounts'!$C$5:$C$3000,MATCH(Q66&amp;"",'Chart of Accounts'!$A$5:$A$3000,0))&amp;"|"&amp;INDEX('Chart of Accounts'!$D$5:$D$3000,MATCH(Q66&amp;"",'Chart of Accounts'!$A$5:$A$3000,0)),"")</f>
        <v/>
      </c>
      <c r="U66" s="23">
        <f>IFERROR(INDEX('Chart of Accounts'!$C$5:$C$3000,MATCH(P66&amp;"",'Chart of Accounts'!$A$5:$A$3000,0))&amp;"|"&amp;INDEX('Chart of Accounts'!$D$5:$D$3000,MATCH(P66&amp;"",'Chart of Accounts'!$A$5:$A$3000,0)),"")</f>
        <v/>
      </c>
      <c r="V66" s="23">
        <f>IFERROR(INDEX('Chart of Accounts'!$C$5:$C$3000,MATCH(R66&amp;"",'Chart of Accounts'!$A$5:$A$3000,0))&amp;"|"&amp;INDEX('Chart of Accounts'!$D$5:$D$3000,MATCH(R66&amp;"",'Chart of Accounts'!$A$5:$A$3000,0)),"")</f>
        <v/>
      </c>
      <c r="W66" s="23">
        <f>IF(LEFT(S66,8)="Revenue|",-N(F66),0)+IF(LEFT(T66,8)="Revenue|",-N(J66),0)+IF(LEFT(U66,8)="Revenue|",N(N66),0)+IF(LEFT(V66,8)="Revenue|",N(M66),0)</f>
        <v/>
      </c>
      <c r="X66" s="23">
        <f>IF(LEFT(S66,5)="COGS|",N(F66),0)+IF(LEFT(T66,5)="COGS|",N(J66),0)+IF(LEFT(U66,5)="COGS|",-N(N66),0)+IF(LEFT(V66,5)="COGS|",-N(M66),0)</f>
        <v/>
      </c>
      <c r="Y66" s="23">
        <f>IF(LEFT(S66,8)="Expense|",N(F66),0)+IF(LEFT(T66,8)="Expense|",N(J66),0)+IF(LEFT(U66,8)="Expense|",-N(N66),0)+IF(LEFT(V66,8)="Expense|",-N(M66),0)</f>
        <v/>
      </c>
      <c r="Z66" s="23">
        <f>IF(ISNUMBER(MATCH(S66,{"Expense|employee","Expense|general_admin","Expense|marketing","Expense|utilities","Expense|other_operating"},0)),N(F66),0)+IF(ISNUMBER(MATCH(T66,{"Expense|employee","Expense|general_admin","Expense|marketing","Expense|utilities","Expense|other_operating"},0)),N(J66),0)+IF(ISNUMBER(MATCH(U66,{"Expense|employee","Expense|general_admin","Expense|marketing","Expense|utilities","Expense|other_operating"},0)),-N(N66),0)+IF(ISNUMBER(MATCH(V66,{"Expense|employee","Expense|general_admin","Expense|marketing","Expense|utilities","Expense|other_operating"},0)),-N(M66),0)</f>
        <v/>
      </c>
      <c r="AA66" s="23">
        <f>IF(S66="Liability|payable",-N(F66),0)+IF(T66="Liability|payable",-N(J66),0)+IF(U66="Liability|payable",N(N66),0)+IF(V66="Liability|payable",N(M66),0)</f>
        <v/>
      </c>
      <c r="AB66" s="23">
        <f>IF(S66="Liability|accrued",-N(F66),0)+IF(T66="Liability|accrued",-N(J66),0)+IF(U66="Liability|accrued",N(N66),0)+IF(V66="Liability|accrued",N(M66),0)</f>
        <v/>
      </c>
      <c r="AC66" s="23">
        <f>IF(AND(N(F66)&lt;&gt;0,S66=""),1,0)+IF(AND(N(J66)&lt;&gt;0,T66=""),1,0)+IF(AND(N(N66)&lt;&gt;0,U66=""),1,0)+IF(AND(N(M66)&lt;&gt;0,V66=""),1,0)</f>
        <v/>
      </c>
    </row>
    <row r="67">
      <c r="A67" s="19" t="n"/>
      <c r="B67" s="14" t="n"/>
      <c r="C67" s="14" t="n"/>
      <c r="D67" s="14" t="n"/>
      <c r="E67" s="14" t="n"/>
      <c r="F67" s="20" t="n"/>
      <c r="G67" s="14" t="n"/>
      <c r="H67" s="14" t="n"/>
      <c r="I67" s="14" t="n"/>
      <c r="J67" s="20" t="n"/>
      <c r="K67" s="14" t="n"/>
      <c r="L67" s="21">
        <f>N(F67)+N(J67)</f>
        <v/>
      </c>
      <c r="M67" s="21">
        <f>IF(K67="",0,L67-ROUND(L67/(1+IFERROR(VLOOKUP(K67,'Tax Codes'!$A$5:$E$300,5,FALSE),0)),2))</f>
        <v/>
      </c>
      <c r="N67" s="21">
        <f>L67-M67</f>
        <v/>
      </c>
      <c r="O67" s="16">
        <f>IF(H67="",INDEX('Chart of Accounts'!$A$5:$A$3000,MATCH("bank",'Chart of Accounts'!$F$5:$F$3000,0)),H67&amp;"")</f>
        <v/>
      </c>
      <c r="P67" s="16">
        <f>IF(I67="",INDEX('Chart of Accounts'!$A$5:$A$3000,MATCH("revenue",'Chart of Accounts'!$F$5:$F$3000,0)),I67&amp;"")</f>
        <v/>
      </c>
      <c r="Q67" s="16">
        <f>INDEX('Chart of Accounts'!$A$5:$A$3000,MATCH("wht_receivable",'Chart of Accounts'!$F$5:$F$3000,0))</f>
        <v/>
      </c>
      <c r="R67" s="16">
        <f>INDEX('Chart of Accounts'!$A$5:$A$3000,MATCH("vat_output",'Chart of Accounts'!$F$5:$F$3000,0))</f>
        <v/>
      </c>
      <c r="S67" s="23">
        <f>IFERROR(INDEX('Chart of Accounts'!$C$5:$C$3000,MATCH(O67&amp;"",'Chart of Accounts'!$A$5:$A$3000,0))&amp;"|"&amp;INDEX('Chart of Accounts'!$D$5:$D$3000,MATCH(O67&amp;"",'Chart of Accounts'!$A$5:$A$3000,0)),"")</f>
        <v/>
      </c>
      <c r="T67" s="23">
        <f>IFERROR(INDEX('Chart of Accounts'!$C$5:$C$3000,MATCH(Q67&amp;"",'Chart of Accounts'!$A$5:$A$3000,0))&amp;"|"&amp;INDEX('Chart of Accounts'!$D$5:$D$3000,MATCH(Q67&amp;"",'Chart of Accounts'!$A$5:$A$3000,0)),"")</f>
        <v/>
      </c>
      <c r="U67" s="23">
        <f>IFERROR(INDEX('Chart of Accounts'!$C$5:$C$3000,MATCH(P67&amp;"",'Chart of Accounts'!$A$5:$A$3000,0))&amp;"|"&amp;INDEX('Chart of Accounts'!$D$5:$D$3000,MATCH(P67&amp;"",'Chart of Accounts'!$A$5:$A$3000,0)),"")</f>
        <v/>
      </c>
      <c r="V67" s="23">
        <f>IFERROR(INDEX('Chart of Accounts'!$C$5:$C$3000,MATCH(R67&amp;"",'Chart of Accounts'!$A$5:$A$3000,0))&amp;"|"&amp;INDEX('Chart of Accounts'!$D$5:$D$3000,MATCH(R67&amp;"",'Chart of Accounts'!$A$5:$A$3000,0)),"")</f>
        <v/>
      </c>
      <c r="W67" s="23">
        <f>IF(LEFT(S67,8)="Revenue|",-N(F67),0)+IF(LEFT(T67,8)="Revenue|",-N(J67),0)+IF(LEFT(U67,8)="Revenue|",N(N67),0)+IF(LEFT(V67,8)="Revenue|",N(M67),0)</f>
        <v/>
      </c>
      <c r="X67" s="23">
        <f>IF(LEFT(S67,5)="COGS|",N(F67),0)+IF(LEFT(T67,5)="COGS|",N(J67),0)+IF(LEFT(U67,5)="COGS|",-N(N67),0)+IF(LEFT(V67,5)="COGS|",-N(M67),0)</f>
        <v/>
      </c>
      <c r="Y67" s="23">
        <f>IF(LEFT(S67,8)="Expense|",N(F67),0)+IF(LEFT(T67,8)="Expense|",N(J67),0)+IF(LEFT(U67,8)="Expense|",-N(N67),0)+IF(LEFT(V67,8)="Expense|",-N(M67),0)</f>
        <v/>
      </c>
      <c r="Z67" s="23">
        <f>IF(ISNUMBER(MATCH(S67,{"Expense|employee","Expense|general_admin","Expense|marketing","Expense|utilities","Expense|other_operating"},0)),N(F67),0)+IF(ISNUMBER(MATCH(T67,{"Expense|employee","Expense|general_admin","Expense|marketing","Expense|utilities","Expense|other_operating"},0)),N(J67),0)+IF(ISNUMBER(MATCH(U67,{"Expense|employee","Expense|general_admin","Expense|marketing","Expense|utilities","Expense|other_operating"},0)),-N(N67),0)+IF(ISNUMBER(MATCH(V67,{"Expense|employee","Expense|general_admin","Expense|marketing","Expense|utilities","Expense|other_operating"},0)),-N(M67),0)</f>
        <v/>
      </c>
      <c r="AA67" s="23">
        <f>IF(S67="Liability|payable",-N(F67),0)+IF(T67="Liability|payable",-N(J67),0)+IF(U67="Liability|payable",N(N67),0)+IF(V67="Liability|payable",N(M67),0)</f>
        <v/>
      </c>
      <c r="AB67" s="23">
        <f>IF(S67="Liability|accrued",-N(F67),0)+IF(T67="Liability|accrued",-N(J67),0)+IF(U67="Liability|accrued",N(N67),0)+IF(V67="Liability|accrued",N(M67),0)</f>
        <v/>
      </c>
      <c r="AC67" s="23">
        <f>IF(AND(N(F67)&lt;&gt;0,S67=""),1,0)+IF(AND(N(J67)&lt;&gt;0,T67=""),1,0)+IF(AND(N(N67)&lt;&gt;0,U67=""),1,0)+IF(AND(N(M67)&lt;&gt;0,V67=""),1,0)</f>
        <v/>
      </c>
    </row>
    <row r="68">
      <c r="A68" s="19" t="n"/>
      <c r="B68" s="14" t="n"/>
      <c r="C68" s="14" t="n"/>
      <c r="D68" s="14" t="n"/>
      <c r="E68" s="14" t="n"/>
      <c r="F68" s="20" t="n"/>
      <c r="G68" s="14" t="n"/>
      <c r="H68" s="14" t="n"/>
      <c r="I68" s="14" t="n"/>
      <c r="J68" s="20" t="n"/>
      <c r="K68" s="14" t="n"/>
      <c r="L68" s="21">
        <f>N(F68)+N(J68)</f>
        <v/>
      </c>
      <c r="M68" s="21">
        <f>IF(K68="",0,L68-ROUND(L68/(1+IFERROR(VLOOKUP(K68,'Tax Codes'!$A$5:$E$300,5,FALSE),0)),2))</f>
        <v/>
      </c>
      <c r="N68" s="21">
        <f>L68-M68</f>
        <v/>
      </c>
      <c r="O68" s="16">
        <f>IF(H68="",INDEX('Chart of Accounts'!$A$5:$A$3000,MATCH("bank",'Chart of Accounts'!$F$5:$F$3000,0)),H68&amp;"")</f>
        <v/>
      </c>
      <c r="P68" s="16">
        <f>IF(I68="",INDEX('Chart of Accounts'!$A$5:$A$3000,MATCH("revenue",'Chart of Accounts'!$F$5:$F$3000,0)),I68&amp;"")</f>
        <v/>
      </c>
      <c r="Q68" s="16">
        <f>INDEX('Chart of Accounts'!$A$5:$A$3000,MATCH("wht_receivable",'Chart of Accounts'!$F$5:$F$3000,0))</f>
        <v/>
      </c>
      <c r="R68" s="16">
        <f>INDEX('Chart of Accounts'!$A$5:$A$3000,MATCH("vat_output",'Chart of Accounts'!$F$5:$F$3000,0))</f>
        <v/>
      </c>
      <c r="S68" s="23">
        <f>IFERROR(INDEX('Chart of Accounts'!$C$5:$C$3000,MATCH(O68&amp;"",'Chart of Accounts'!$A$5:$A$3000,0))&amp;"|"&amp;INDEX('Chart of Accounts'!$D$5:$D$3000,MATCH(O68&amp;"",'Chart of Accounts'!$A$5:$A$3000,0)),"")</f>
        <v/>
      </c>
      <c r="T68" s="23">
        <f>IFERROR(INDEX('Chart of Accounts'!$C$5:$C$3000,MATCH(Q68&amp;"",'Chart of Accounts'!$A$5:$A$3000,0))&amp;"|"&amp;INDEX('Chart of Accounts'!$D$5:$D$3000,MATCH(Q68&amp;"",'Chart of Accounts'!$A$5:$A$3000,0)),"")</f>
        <v/>
      </c>
      <c r="U68" s="23">
        <f>IFERROR(INDEX('Chart of Accounts'!$C$5:$C$3000,MATCH(P68&amp;"",'Chart of Accounts'!$A$5:$A$3000,0))&amp;"|"&amp;INDEX('Chart of Accounts'!$D$5:$D$3000,MATCH(P68&amp;"",'Chart of Accounts'!$A$5:$A$3000,0)),"")</f>
        <v/>
      </c>
      <c r="V68" s="23">
        <f>IFERROR(INDEX('Chart of Accounts'!$C$5:$C$3000,MATCH(R68&amp;"",'Chart of Accounts'!$A$5:$A$3000,0))&amp;"|"&amp;INDEX('Chart of Accounts'!$D$5:$D$3000,MATCH(R68&amp;"",'Chart of Accounts'!$A$5:$A$3000,0)),"")</f>
        <v/>
      </c>
      <c r="W68" s="23">
        <f>IF(LEFT(S68,8)="Revenue|",-N(F68),0)+IF(LEFT(T68,8)="Revenue|",-N(J68),0)+IF(LEFT(U68,8)="Revenue|",N(N68),0)+IF(LEFT(V68,8)="Revenue|",N(M68),0)</f>
        <v/>
      </c>
      <c r="X68" s="23">
        <f>IF(LEFT(S68,5)="COGS|",N(F68),0)+IF(LEFT(T68,5)="COGS|",N(J68),0)+IF(LEFT(U68,5)="COGS|",-N(N68),0)+IF(LEFT(V68,5)="COGS|",-N(M68),0)</f>
        <v/>
      </c>
      <c r="Y68" s="23">
        <f>IF(LEFT(S68,8)="Expense|",N(F68),0)+IF(LEFT(T68,8)="Expense|",N(J68),0)+IF(LEFT(U68,8)="Expense|",-N(N68),0)+IF(LEFT(V68,8)="Expense|",-N(M68),0)</f>
        <v/>
      </c>
      <c r="Z68" s="23">
        <f>IF(ISNUMBER(MATCH(S68,{"Expense|employee","Expense|general_admin","Expense|marketing","Expense|utilities","Expense|other_operating"},0)),N(F68),0)+IF(ISNUMBER(MATCH(T68,{"Expense|employee","Expense|general_admin","Expense|marketing","Expense|utilities","Expense|other_operating"},0)),N(J68),0)+IF(ISNUMBER(MATCH(U68,{"Expense|employee","Expense|general_admin","Expense|marketing","Expense|utilities","Expense|other_operating"},0)),-N(N68),0)+IF(ISNUMBER(MATCH(V68,{"Expense|employee","Expense|general_admin","Expense|marketing","Expense|utilities","Expense|other_operating"},0)),-N(M68),0)</f>
        <v/>
      </c>
      <c r="AA68" s="23">
        <f>IF(S68="Liability|payable",-N(F68),0)+IF(T68="Liability|payable",-N(J68),0)+IF(U68="Liability|payable",N(N68),0)+IF(V68="Liability|payable",N(M68),0)</f>
        <v/>
      </c>
      <c r="AB68" s="23">
        <f>IF(S68="Liability|accrued",-N(F68),0)+IF(T68="Liability|accrued",-N(J68),0)+IF(U68="Liability|accrued",N(N68),0)+IF(V68="Liability|accrued",N(M68),0)</f>
        <v/>
      </c>
      <c r="AC68" s="23">
        <f>IF(AND(N(F68)&lt;&gt;0,S68=""),1,0)+IF(AND(N(J68)&lt;&gt;0,T68=""),1,0)+IF(AND(N(N68)&lt;&gt;0,U68=""),1,0)+IF(AND(N(M68)&lt;&gt;0,V68=""),1,0)</f>
        <v/>
      </c>
    </row>
    <row r="69">
      <c r="A69" s="19" t="n"/>
      <c r="B69" s="14" t="n"/>
      <c r="C69" s="14" t="n"/>
      <c r="D69" s="14" t="n"/>
      <c r="E69" s="14" t="n"/>
      <c r="F69" s="20" t="n"/>
      <c r="G69" s="14" t="n"/>
      <c r="H69" s="14" t="n"/>
      <c r="I69" s="14" t="n"/>
      <c r="J69" s="20" t="n"/>
      <c r="K69" s="14" t="n"/>
      <c r="L69" s="21">
        <f>N(F69)+N(J69)</f>
        <v/>
      </c>
      <c r="M69" s="21">
        <f>IF(K69="",0,L69-ROUND(L69/(1+IFERROR(VLOOKUP(K69,'Tax Codes'!$A$5:$E$300,5,FALSE),0)),2))</f>
        <v/>
      </c>
      <c r="N69" s="21">
        <f>L69-M69</f>
        <v/>
      </c>
      <c r="O69" s="16">
        <f>IF(H69="",INDEX('Chart of Accounts'!$A$5:$A$3000,MATCH("bank",'Chart of Accounts'!$F$5:$F$3000,0)),H69&amp;"")</f>
        <v/>
      </c>
      <c r="P69" s="16">
        <f>IF(I69="",INDEX('Chart of Accounts'!$A$5:$A$3000,MATCH("revenue",'Chart of Accounts'!$F$5:$F$3000,0)),I69&amp;"")</f>
        <v/>
      </c>
      <c r="Q69" s="16">
        <f>INDEX('Chart of Accounts'!$A$5:$A$3000,MATCH("wht_receivable",'Chart of Accounts'!$F$5:$F$3000,0))</f>
        <v/>
      </c>
      <c r="R69" s="16">
        <f>INDEX('Chart of Accounts'!$A$5:$A$3000,MATCH("vat_output",'Chart of Accounts'!$F$5:$F$3000,0))</f>
        <v/>
      </c>
      <c r="S69" s="23">
        <f>IFERROR(INDEX('Chart of Accounts'!$C$5:$C$3000,MATCH(O69&amp;"",'Chart of Accounts'!$A$5:$A$3000,0))&amp;"|"&amp;INDEX('Chart of Accounts'!$D$5:$D$3000,MATCH(O69&amp;"",'Chart of Accounts'!$A$5:$A$3000,0)),"")</f>
        <v/>
      </c>
      <c r="T69" s="23">
        <f>IFERROR(INDEX('Chart of Accounts'!$C$5:$C$3000,MATCH(Q69&amp;"",'Chart of Accounts'!$A$5:$A$3000,0))&amp;"|"&amp;INDEX('Chart of Accounts'!$D$5:$D$3000,MATCH(Q69&amp;"",'Chart of Accounts'!$A$5:$A$3000,0)),"")</f>
        <v/>
      </c>
      <c r="U69" s="23">
        <f>IFERROR(INDEX('Chart of Accounts'!$C$5:$C$3000,MATCH(P69&amp;"",'Chart of Accounts'!$A$5:$A$3000,0))&amp;"|"&amp;INDEX('Chart of Accounts'!$D$5:$D$3000,MATCH(P69&amp;"",'Chart of Accounts'!$A$5:$A$3000,0)),"")</f>
        <v/>
      </c>
      <c r="V69" s="23">
        <f>IFERROR(INDEX('Chart of Accounts'!$C$5:$C$3000,MATCH(R69&amp;"",'Chart of Accounts'!$A$5:$A$3000,0))&amp;"|"&amp;INDEX('Chart of Accounts'!$D$5:$D$3000,MATCH(R69&amp;"",'Chart of Accounts'!$A$5:$A$3000,0)),"")</f>
        <v/>
      </c>
      <c r="W69" s="23">
        <f>IF(LEFT(S69,8)="Revenue|",-N(F69),0)+IF(LEFT(T69,8)="Revenue|",-N(J69),0)+IF(LEFT(U69,8)="Revenue|",N(N69),0)+IF(LEFT(V69,8)="Revenue|",N(M69),0)</f>
        <v/>
      </c>
      <c r="X69" s="23">
        <f>IF(LEFT(S69,5)="COGS|",N(F69),0)+IF(LEFT(T69,5)="COGS|",N(J69),0)+IF(LEFT(U69,5)="COGS|",-N(N69),0)+IF(LEFT(V69,5)="COGS|",-N(M69),0)</f>
        <v/>
      </c>
      <c r="Y69" s="23">
        <f>IF(LEFT(S69,8)="Expense|",N(F69),0)+IF(LEFT(T69,8)="Expense|",N(J69),0)+IF(LEFT(U69,8)="Expense|",-N(N69),0)+IF(LEFT(V69,8)="Expense|",-N(M69),0)</f>
        <v/>
      </c>
      <c r="Z69" s="23">
        <f>IF(ISNUMBER(MATCH(S69,{"Expense|employee","Expense|general_admin","Expense|marketing","Expense|utilities","Expense|other_operating"},0)),N(F69),0)+IF(ISNUMBER(MATCH(T69,{"Expense|employee","Expense|general_admin","Expense|marketing","Expense|utilities","Expense|other_operating"},0)),N(J69),0)+IF(ISNUMBER(MATCH(U69,{"Expense|employee","Expense|general_admin","Expense|marketing","Expense|utilities","Expense|other_operating"},0)),-N(N69),0)+IF(ISNUMBER(MATCH(V69,{"Expense|employee","Expense|general_admin","Expense|marketing","Expense|utilities","Expense|other_operating"},0)),-N(M69),0)</f>
        <v/>
      </c>
      <c r="AA69" s="23">
        <f>IF(S69="Liability|payable",-N(F69),0)+IF(T69="Liability|payable",-N(J69),0)+IF(U69="Liability|payable",N(N69),0)+IF(V69="Liability|payable",N(M69),0)</f>
        <v/>
      </c>
      <c r="AB69" s="23">
        <f>IF(S69="Liability|accrued",-N(F69),0)+IF(T69="Liability|accrued",-N(J69),0)+IF(U69="Liability|accrued",N(N69),0)+IF(V69="Liability|accrued",N(M69),0)</f>
        <v/>
      </c>
      <c r="AC69" s="23">
        <f>IF(AND(N(F69)&lt;&gt;0,S69=""),1,0)+IF(AND(N(J69)&lt;&gt;0,T69=""),1,0)+IF(AND(N(N69)&lt;&gt;0,U69=""),1,0)+IF(AND(N(M69)&lt;&gt;0,V69=""),1,0)</f>
        <v/>
      </c>
    </row>
    <row r="70">
      <c r="A70" s="19" t="n"/>
      <c r="B70" s="14" t="n"/>
      <c r="C70" s="14" t="n"/>
      <c r="D70" s="14" t="n"/>
      <c r="E70" s="14" t="n"/>
      <c r="F70" s="20" t="n"/>
      <c r="G70" s="14" t="n"/>
      <c r="H70" s="14" t="n"/>
      <c r="I70" s="14" t="n"/>
      <c r="J70" s="20" t="n"/>
      <c r="K70" s="14" t="n"/>
      <c r="L70" s="21">
        <f>N(F70)+N(J70)</f>
        <v/>
      </c>
      <c r="M70" s="21">
        <f>IF(K70="",0,L70-ROUND(L70/(1+IFERROR(VLOOKUP(K70,'Tax Codes'!$A$5:$E$300,5,FALSE),0)),2))</f>
        <v/>
      </c>
      <c r="N70" s="21">
        <f>L70-M70</f>
        <v/>
      </c>
      <c r="O70" s="16">
        <f>IF(H70="",INDEX('Chart of Accounts'!$A$5:$A$3000,MATCH("bank",'Chart of Accounts'!$F$5:$F$3000,0)),H70&amp;"")</f>
        <v/>
      </c>
      <c r="P70" s="16">
        <f>IF(I70="",INDEX('Chart of Accounts'!$A$5:$A$3000,MATCH("revenue",'Chart of Accounts'!$F$5:$F$3000,0)),I70&amp;"")</f>
        <v/>
      </c>
      <c r="Q70" s="16">
        <f>INDEX('Chart of Accounts'!$A$5:$A$3000,MATCH("wht_receivable",'Chart of Accounts'!$F$5:$F$3000,0))</f>
        <v/>
      </c>
      <c r="R70" s="16">
        <f>INDEX('Chart of Accounts'!$A$5:$A$3000,MATCH("vat_output",'Chart of Accounts'!$F$5:$F$3000,0))</f>
        <v/>
      </c>
      <c r="S70" s="23">
        <f>IFERROR(INDEX('Chart of Accounts'!$C$5:$C$3000,MATCH(O70&amp;"",'Chart of Accounts'!$A$5:$A$3000,0))&amp;"|"&amp;INDEX('Chart of Accounts'!$D$5:$D$3000,MATCH(O70&amp;"",'Chart of Accounts'!$A$5:$A$3000,0)),"")</f>
        <v/>
      </c>
      <c r="T70" s="23">
        <f>IFERROR(INDEX('Chart of Accounts'!$C$5:$C$3000,MATCH(Q70&amp;"",'Chart of Accounts'!$A$5:$A$3000,0))&amp;"|"&amp;INDEX('Chart of Accounts'!$D$5:$D$3000,MATCH(Q70&amp;"",'Chart of Accounts'!$A$5:$A$3000,0)),"")</f>
        <v/>
      </c>
      <c r="U70" s="23">
        <f>IFERROR(INDEX('Chart of Accounts'!$C$5:$C$3000,MATCH(P70&amp;"",'Chart of Accounts'!$A$5:$A$3000,0))&amp;"|"&amp;INDEX('Chart of Accounts'!$D$5:$D$3000,MATCH(P70&amp;"",'Chart of Accounts'!$A$5:$A$3000,0)),"")</f>
        <v/>
      </c>
      <c r="V70" s="23">
        <f>IFERROR(INDEX('Chart of Accounts'!$C$5:$C$3000,MATCH(R70&amp;"",'Chart of Accounts'!$A$5:$A$3000,0))&amp;"|"&amp;INDEX('Chart of Accounts'!$D$5:$D$3000,MATCH(R70&amp;"",'Chart of Accounts'!$A$5:$A$3000,0)),"")</f>
        <v/>
      </c>
      <c r="W70" s="23">
        <f>IF(LEFT(S70,8)="Revenue|",-N(F70),0)+IF(LEFT(T70,8)="Revenue|",-N(J70),0)+IF(LEFT(U70,8)="Revenue|",N(N70),0)+IF(LEFT(V70,8)="Revenue|",N(M70),0)</f>
        <v/>
      </c>
      <c r="X70" s="23">
        <f>IF(LEFT(S70,5)="COGS|",N(F70),0)+IF(LEFT(T70,5)="COGS|",N(J70),0)+IF(LEFT(U70,5)="COGS|",-N(N70),0)+IF(LEFT(V70,5)="COGS|",-N(M70),0)</f>
        <v/>
      </c>
      <c r="Y70" s="23">
        <f>IF(LEFT(S70,8)="Expense|",N(F70),0)+IF(LEFT(T70,8)="Expense|",N(J70),0)+IF(LEFT(U70,8)="Expense|",-N(N70),0)+IF(LEFT(V70,8)="Expense|",-N(M70),0)</f>
        <v/>
      </c>
      <c r="Z70" s="23">
        <f>IF(ISNUMBER(MATCH(S70,{"Expense|employee","Expense|general_admin","Expense|marketing","Expense|utilities","Expense|other_operating"},0)),N(F70),0)+IF(ISNUMBER(MATCH(T70,{"Expense|employee","Expense|general_admin","Expense|marketing","Expense|utilities","Expense|other_operating"},0)),N(J70),0)+IF(ISNUMBER(MATCH(U70,{"Expense|employee","Expense|general_admin","Expense|marketing","Expense|utilities","Expense|other_operating"},0)),-N(N70),0)+IF(ISNUMBER(MATCH(V70,{"Expense|employee","Expense|general_admin","Expense|marketing","Expense|utilities","Expense|other_operating"},0)),-N(M70),0)</f>
        <v/>
      </c>
      <c r="AA70" s="23">
        <f>IF(S70="Liability|payable",-N(F70),0)+IF(T70="Liability|payable",-N(J70),0)+IF(U70="Liability|payable",N(N70),0)+IF(V70="Liability|payable",N(M70),0)</f>
        <v/>
      </c>
      <c r="AB70" s="23">
        <f>IF(S70="Liability|accrued",-N(F70),0)+IF(T70="Liability|accrued",-N(J70),0)+IF(U70="Liability|accrued",N(N70),0)+IF(V70="Liability|accrued",N(M70),0)</f>
        <v/>
      </c>
      <c r="AC70" s="23">
        <f>IF(AND(N(F70)&lt;&gt;0,S70=""),1,0)+IF(AND(N(J70)&lt;&gt;0,T70=""),1,0)+IF(AND(N(N70)&lt;&gt;0,U70=""),1,0)+IF(AND(N(M70)&lt;&gt;0,V70=""),1,0)</f>
        <v/>
      </c>
    </row>
    <row r="71">
      <c r="A71" s="19" t="n"/>
      <c r="B71" s="14" t="n"/>
      <c r="C71" s="14" t="n"/>
      <c r="D71" s="14" t="n"/>
      <c r="E71" s="14" t="n"/>
      <c r="F71" s="20" t="n"/>
      <c r="G71" s="14" t="n"/>
      <c r="H71" s="14" t="n"/>
      <c r="I71" s="14" t="n"/>
      <c r="J71" s="20" t="n"/>
      <c r="K71" s="14" t="n"/>
      <c r="L71" s="21">
        <f>N(F71)+N(J71)</f>
        <v/>
      </c>
      <c r="M71" s="21">
        <f>IF(K71="",0,L71-ROUND(L71/(1+IFERROR(VLOOKUP(K71,'Tax Codes'!$A$5:$E$300,5,FALSE),0)),2))</f>
        <v/>
      </c>
      <c r="N71" s="21">
        <f>L71-M71</f>
        <v/>
      </c>
      <c r="O71" s="16">
        <f>IF(H71="",INDEX('Chart of Accounts'!$A$5:$A$3000,MATCH("bank",'Chart of Accounts'!$F$5:$F$3000,0)),H71&amp;"")</f>
        <v/>
      </c>
      <c r="P71" s="16">
        <f>IF(I71="",INDEX('Chart of Accounts'!$A$5:$A$3000,MATCH("revenue",'Chart of Accounts'!$F$5:$F$3000,0)),I71&amp;"")</f>
        <v/>
      </c>
      <c r="Q71" s="16">
        <f>INDEX('Chart of Accounts'!$A$5:$A$3000,MATCH("wht_receivable",'Chart of Accounts'!$F$5:$F$3000,0))</f>
        <v/>
      </c>
      <c r="R71" s="16">
        <f>INDEX('Chart of Accounts'!$A$5:$A$3000,MATCH("vat_output",'Chart of Accounts'!$F$5:$F$3000,0))</f>
        <v/>
      </c>
      <c r="S71" s="23">
        <f>IFERROR(INDEX('Chart of Accounts'!$C$5:$C$3000,MATCH(O71&amp;"",'Chart of Accounts'!$A$5:$A$3000,0))&amp;"|"&amp;INDEX('Chart of Accounts'!$D$5:$D$3000,MATCH(O71&amp;"",'Chart of Accounts'!$A$5:$A$3000,0)),"")</f>
        <v/>
      </c>
      <c r="T71" s="23">
        <f>IFERROR(INDEX('Chart of Accounts'!$C$5:$C$3000,MATCH(Q71&amp;"",'Chart of Accounts'!$A$5:$A$3000,0))&amp;"|"&amp;INDEX('Chart of Accounts'!$D$5:$D$3000,MATCH(Q71&amp;"",'Chart of Accounts'!$A$5:$A$3000,0)),"")</f>
        <v/>
      </c>
      <c r="U71" s="23">
        <f>IFERROR(INDEX('Chart of Accounts'!$C$5:$C$3000,MATCH(P71&amp;"",'Chart of Accounts'!$A$5:$A$3000,0))&amp;"|"&amp;INDEX('Chart of Accounts'!$D$5:$D$3000,MATCH(P71&amp;"",'Chart of Accounts'!$A$5:$A$3000,0)),"")</f>
        <v/>
      </c>
      <c r="V71" s="23">
        <f>IFERROR(INDEX('Chart of Accounts'!$C$5:$C$3000,MATCH(R71&amp;"",'Chart of Accounts'!$A$5:$A$3000,0))&amp;"|"&amp;INDEX('Chart of Accounts'!$D$5:$D$3000,MATCH(R71&amp;"",'Chart of Accounts'!$A$5:$A$3000,0)),"")</f>
        <v/>
      </c>
      <c r="W71" s="23">
        <f>IF(LEFT(S71,8)="Revenue|",-N(F71),0)+IF(LEFT(T71,8)="Revenue|",-N(J71),0)+IF(LEFT(U71,8)="Revenue|",N(N71),0)+IF(LEFT(V71,8)="Revenue|",N(M71),0)</f>
        <v/>
      </c>
      <c r="X71" s="23">
        <f>IF(LEFT(S71,5)="COGS|",N(F71),0)+IF(LEFT(T71,5)="COGS|",N(J71),0)+IF(LEFT(U71,5)="COGS|",-N(N71),0)+IF(LEFT(V71,5)="COGS|",-N(M71),0)</f>
        <v/>
      </c>
      <c r="Y71" s="23">
        <f>IF(LEFT(S71,8)="Expense|",N(F71),0)+IF(LEFT(T71,8)="Expense|",N(J71),0)+IF(LEFT(U71,8)="Expense|",-N(N71),0)+IF(LEFT(V71,8)="Expense|",-N(M71),0)</f>
        <v/>
      </c>
      <c r="Z71" s="23">
        <f>IF(ISNUMBER(MATCH(S71,{"Expense|employee","Expense|general_admin","Expense|marketing","Expense|utilities","Expense|other_operating"},0)),N(F71),0)+IF(ISNUMBER(MATCH(T71,{"Expense|employee","Expense|general_admin","Expense|marketing","Expense|utilities","Expense|other_operating"},0)),N(J71),0)+IF(ISNUMBER(MATCH(U71,{"Expense|employee","Expense|general_admin","Expense|marketing","Expense|utilities","Expense|other_operating"},0)),-N(N71),0)+IF(ISNUMBER(MATCH(V71,{"Expense|employee","Expense|general_admin","Expense|marketing","Expense|utilities","Expense|other_operating"},0)),-N(M71),0)</f>
        <v/>
      </c>
      <c r="AA71" s="23">
        <f>IF(S71="Liability|payable",-N(F71),0)+IF(T71="Liability|payable",-N(J71),0)+IF(U71="Liability|payable",N(N71),0)+IF(V71="Liability|payable",N(M71),0)</f>
        <v/>
      </c>
      <c r="AB71" s="23">
        <f>IF(S71="Liability|accrued",-N(F71),0)+IF(T71="Liability|accrued",-N(J71),0)+IF(U71="Liability|accrued",N(N71),0)+IF(V71="Liability|accrued",N(M71),0)</f>
        <v/>
      </c>
      <c r="AC71" s="23">
        <f>IF(AND(N(F71)&lt;&gt;0,S71=""),1,0)+IF(AND(N(J71)&lt;&gt;0,T71=""),1,0)+IF(AND(N(N71)&lt;&gt;0,U71=""),1,0)+IF(AND(N(M71)&lt;&gt;0,V71=""),1,0)</f>
        <v/>
      </c>
    </row>
    <row r="72">
      <c r="A72" s="19" t="n"/>
      <c r="B72" s="14" t="n"/>
      <c r="C72" s="14" t="n"/>
      <c r="D72" s="14" t="n"/>
      <c r="E72" s="14" t="n"/>
      <c r="F72" s="20" t="n"/>
      <c r="G72" s="14" t="n"/>
      <c r="H72" s="14" t="n"/>
      <c r="I72" s="14" t="n"/>
      <c r="J72" s="20" t="n"/>
      <c r="K72" s="14" t="n"/>
      <c r="L72" s="21">
        <f>N(F72)+N(J72)</f>
        <v/>
      </c>
      <c r="M72" s="21">
        <f>IF(K72="",0,L72-ROUND(L72/(1+IFERROR(VLOOKUP(K72,'Tax Codes'!$A$5:$E$300,5,FALSE),0)),2))</f>
        <v/>
      </c>
      <c r="N72" s="21">
        <f>L72-M72</f>
        <v/>
      </c>
      <c r="O72" s="16">
        <f>IF(H72="",INDEX('Chart of Accounts'!$A$5:$A$3000,MATCH("bank",'Chart of Accounts'!$F$5:$F$3000,0)),H72&amp;"")</f>
        <v/>
      </c>
      <c r="P72" s="16">
        <f>IF(I72="",INDEX('Chart of Accounts'!$A$5:$A$3000,MATCH("revenue",'Chart of Accounts'!$F$5:$F$3000,0)),I72&amp;"")</f>
        <v/>
      </c>
      <c r="Q72" s="16">
        <f>INDEX('Chart of Accounts'!$A$5:$A$3000,MATCH("wht_receivable",'Chart of Accounts'!$F$5:$F$3000,0))</f>
        <v/>
      </c>
      <c r="R72" s="16">
        <f>INDEX('Chart of Accounts'!$A$5:$A$3000,MATCH("vat_output",'Chart of Accounts'!$F$5:$F$3000,0))</f>
        <v/>
      </c>
      <c r="S72" s="23">
        <f>IFERROR(INDEX('Chart of Accounts'!$C$5:$C$3000,MATCH(O72&amp;"",'Chart of Accounts'!$A$5:$A$3000,0))&amp;"|"&amp;INDEX('Chart of Accounts'!$D$5:$D$3000,MATCH(O72&amp;"",'Chart of Accounts'!$A$5:$A$3000,0)),"")</f>
        <v/>
      </c>
      <c r="T72" s="23">
        <f>IFERROR(INDEX('Chart of Accounts'!$C$5:$C$3000,MATCH(Q72&amp;"",'Chart of Accounts'!$A$5:$A$3000,0))&amp;"|"&amp;INDEX('Chart of Accounts'!$D$5:$D$3000,MATCH(Q72&amp;"",'Chart of Accounts'!$A$5:$A$3000,0)),"")</f>
        <v/>
      </c>
      <c r="U72" s="23">
        <f>IFERROR(INDEX('Chart of Accounts'!$C$5:$C$3000,MATCH(P72&amp;"",'Chart of Accounts'!$A$5:$A$3000,0))&amp;"|"&amp;INDEX('Chart of Accounts'!$D$5:$D$3000,MATCH(P72&amp;"",'Chart of Accounts'!$A$5:$A$3000,0)),"")</f>
        <v/>
      </c>
      <c r="V72" s="23">
        <f>IFERROR(INDEX('Chart of Accounts'!$C$5:$C$3000,MATCH(R72&amp;"",'Chart of Accounts'!$A$5:$A$3000,0))&amp;"|"&amp;INDEX('Chart of Accounts'!$D$5:$D$3000,MATCH(R72&amp;"",'Chart of Accounts'!$A$5:$A$3000,0)),"")</f>
        <v/>
      </c>
      <c r="W72" s="23">
        <f>IF(LEFT(S72,8)="Revenue|",-N(F72),0)+IF(LEFT(T72,8)="Revenue|",-N(J72),0)+IF(LEFT(U72,8)="Revenue|",N(N72),0)+IF(LEFT(V72,8)="Revenue|",N(M72),0)</f>
        <v/>
      </c>
      <c r="X72" s="23">
        <f>IF(LEFT(S72,5)="COGS|",N(F72),0)+IF(LEFT(T72,5)="COGS|",N(J72),0)+IF(LEFT(U72,5)="COGS|",-N(N72),0)+IF(LEFT(V72,5)="COGS|",-N(M72),0)</f>
        <v/>
      </c>
      <c r="Y72" s="23">
        <f>IF(LEFT(S72,8)="Expense|",N(F72),0)+IF(LEFT(T72,8)="Expense|",N(J72),0)+IF(LEFT(U72,8)="Expense|",-N(N72),0)+IF(LEFT(V72,8)="Expense|",-N(M72),0)</f>
        <v/>
      </c>
      <c r="Z72" s="23">
        <f>IF(ISNUMBER(MATCH(S72,{"Expense|employee","Expense|general_admin","Expense|marketing","Expense|utilities","Expense|other_operating"},0)),N(F72),0)+IF(ISNUMBER(MATCH(T72,{"Expense|employee","Expense|general_admin","Expense|marketing","Expense|utilities","Expense|other_operating"},0)),N(J72),0)+IF(ISNUMBER(MATCH(U72,{"Expense|employee","Expense|general_admin","Expense|marketing","Expense|utilities","Expense|other_operating"},0)),-N(N72),0)+IF(ISNUMBER(MATCH(V72,{"Expense|employee","Expense|general_admin","Expense|marketing","Expense|utilities","Expense|other_operating"},0)),-N(M72),0)</f>
        <v/>
      </c>
      <c r="AA72" s="23">
        <f>IF(S72="Liability|payable",-N(F72),0)+IF(T72="Liability|payable",-N(J72),0)+IF(U72="Liability|payable",N(N72),0)+IF(V72="Liability|payable",N(M72),0)</f>
        <v/>
      </c>
      <c r="AB72" s="23">
        <f>IF(S72="Liability|accrued",-N(F72),0)+IF(T72="Liability|accrued",-N(J72),0)+IF(U72="Liability|accrued",N(N72),0)+IF(V72="Liability|accrued",N(M72),0)</f>
        <v/>
      </c>
      <c r="AC72" s="23">
        <f>IF(AND(N(F72)&lt;&gt;0,S72=""),1,0)+IF(AND(N(J72)&lt;&gt;0,T72=""),1,0)+IF(AND(N(N72)&lt;&gt;0,U72=""),1,0)+IF(AND(N(M72)&lt;&gt;0,V72=""),1,0)</f>
        <v/>
      </c>
    </row>
    <row r="73">
      <c r="A73" s="19" t="n"/>
      <c r="B73" s="14" t="n"/>
      <c r="C73" s="14" t="n"/>
      <c r="D73" s="14" t="n"/>
      <c r="E73" s="14" t="n"/>
      <c r="F73" s="20" t="n"/>
      <c r="G73" s="14" t="n"/>
      <c r="H73" s="14" t="n"/>
      <c r="I73" s="14" t="n"/>
      <c r="J73" s="20" t="n"/>
      <c r="K73" s="14" t="n"/>
      <c r="L73" s="21">
        <f>N(F73)+N(J73)</f>
        <v/>
      </c>
      <c r="M73" s="21">
        <f>IF(K73="",0,L73-ROUND(L73/(1+IFERROR(VLOOKUP(K73,'Tax Codes'!$A$5:$E$300,5,FALSE),0)),2))</f>
        <v/>
      </c>
      <c r="N73" s="21">
        <f>L73-M73</f>
        <v/>
      </c>
      <c r="O73" s="16">
        <f>IF(H73="",INDEX('Chart of Accounts'!$A$5:$A$3000,MATCH("bank",'Chart of Accounts'!$F$5:$F$3000,0)),H73&amp;"")</f>
        <v/>
      </c>
      <c r="P73" s="16">
        <f>IF(I73="",INDEX('Chart of Accounts'!$A$5:$A$3000,MATCH("revenue",'Chart of Accounts'!$F$5:$F$3000,0)),I73&amp;"")</f>
        <v/>
      </c>
      <c r="Q73" s="16">
        <f>INDEX('Chart of Accounts'!$A$5:$A$3000,MATCH("wht_receivable",'Chart of Accounts'!$F$5:$F$3000,0))</f>
        <v/>
      </c>
      <c r="R73" s="16">
        <f>INDEX('Chart of Accounts'!$A$5:$A$3000,MATCH("vat_output",'Chart of Accounts'!$F$5:$F$3000,0))</f>
        <v/>
      </c>
      <c r="S73" s="23">
        <f>IFERROR(INDEX('Chart of Accounts'!$C$5:$C$3000,MATCH(O73&amp;"",'Chart of Accounts'!$A$5:$A$3000,0))&amp;"|"&amp;INDEX('Chart of Accounts'!$D$5:$D$3000,MATCH(O73&amp;"",'Chart of Accounts'!$A$5:$A$3000,0)),"")</f>
        <v/>
      </c>
      <c r="T73" s="23">
        <f>IFERROR(INDEX('Chart of Accounts'!$C$5:$C$3000,MATCH(Q73&amp;"",'Chart of Accounts'!$A$5:$A$3000,0))&amp;"|"&amp;INDEX('Chart of Accounts'!$D$5:$D$3000,MATCH(Q73&amp;"",'Chart of Accounts'!$A$5:$A$3000,0)),"")</f>
        <v/>
      </c>
      <c r="U73" s="23">
        <f>IFERROR(INDEX('Chart of Accounts'!$C$5:$C$3000,MATCH(P73&amp;"",'Chart of Accounts'!$A$5:$A$3000,0))&amp;"|"&amp;INDEX('Chart of Accounts'!$D$5:$D$3000,MATCH(P73&amp;"",'Chart of Accounts'!$A$5:$A$3000,0)),"")</f>
        <v/>
      </c>
      <c r="V73" s="23">
        <f>IFERROR(INDEX('Chart of Accounts'!$C$5:$C$3000,MATCH(R73&amp;"",'Chart of Accounts'!$A$5:$A$3000,0))&amp;"|"&amp;INDEX('Chart of Accounts'!$D$5:$D$3000,MATCH(R73&amp;"",'Chart of Accounts'!$A$5:$A$3000,0)),"")</f>
        <v/>
      </c>
      <c r="W73" s="23">
        <f>IF(LEFT(S73,8)="Revenue|",-N(F73),0)+IF(LEFT(T73,8)="Revenue|",-N(J73),0)+IF(LEFT(U73,8)="Revenue|",N(N73),0)+IF(LEFT(V73,8)="Revenue|",N(M73),0)</f>
        <v/>
      </c>
      <c r="X73" s="23">
        <f>IF(LEFT(S73,5)="COGS|",N(F73),0)+IF(LEFT(T73,5)="COGS|",N(J73),0)+IF(LEFT(U73,5)="COGS|",-N(N73),0)+IF(LEFT(V73,5)="COGS|",-N(M73),0)</f>
        <v/>
      </c>
      <c r="Y73" s="23">
        <f>IF(LEFT(S73,8)="Expense|",N(F73),0)+IF(LEFT(T73,8)="Expense|",N(J73),0)+IF(LEFT(U73,8)="Expense|",-N(N73),0)+IF(LEFT(V73,8)="Expense|",-N(M73),0)</f>
        <v/>
      </c>
      <c r="Z73" s="23">
        <f>IF(ISNUMBER(MATCH(S73,{"Expense|employee","Expense|general_admin","Expense|marketing","Expense|utilities","Expense|other_operating"},0)),N(F73),0)+IF(ISNUMBER(MATCH(T73,{"Expense|employee","Expense|general_admin","Expense|marketing","Expense|utilities","Expense|other_operating"},0)),N(J73),0)+IF(ISNUMBER(MATCH(U73,{"Expense|employee","Expense|general_admin","Expense|marketing","Expense|utilities","Expense|other_operating"},0)),-N(N73),0)+IF(ISNUMBER(MATCH(V73,{"Expense|employee","Expense|general_admin","Expense|marketing","Expense|utilities","Expense|other_operating"},0)),-N(M73),0)</f>
        <v/>
      </c>
      <c r="AA73" s="23">
        <f>IF(S73="Liability|payable",-N(F73),0)+IF(T73="Liability|payable",-N(J73),0)+IF(U73="Liability|payable",N(N73),0)+IF(V73="Liability|payable",N(M73),0)</f>
        <v/>
      </c>
      <c r="AB73" s="23">
        <f>IF(S73="Liability|accrued",-N(F73),0)+IF(T73="Liability|accrued",-N(J73),0)+IF(U73="Liability|accrued",N(N73),0)+IF(V73="Liability|accrued",N(M73),0)</f>
        <v/>
      </c>
      <c r="AC73" s="23">
        <f>IF(AND(N(F73)&lt;&gt;0,S73=""),1,0)+IF(AND(N(J73)&lt;&gt;0,T73=""),1,0)+IF(AND(N(N73)&lt;&gt;0,U73=""),1,0)+IF(AND(N(M73)&lt;&gt;0,V73=""),1,0)</f>
        <v/>
      </c>
    </row>
    <row r="74">
      <c r="A74" s="19" t="n"/>
      <c r="B74" s="14" t="n"/>
      <c r="C74" s="14" t="n"/>
      <c r="D74" s="14" t="n"/>
      <c r="E74" s="14" t="n"/>
      <c r="F74" s="20" t="n"/>
      <c r="G74" s="14" t="n"/>
      <c r="H74" s="14" t="n"/>
      <c r="I74" s="14" t="n"/>
      <c r="J74" s="20" t="n"/>
      <c r="K74" s="14" t="n"/>
      <c r="L74" s="21">
        <f>N(F74)+N(J74)</f>
        <v/>
      </c>
      <c r="M74" s="21">
        <f>IF(K74="",0,L74-ROUND(L74/(1+IFERROR(VLOOKUP(K74,'Tax Codes'!$A$5:$E$300,5,FALSE),0)),2))</f>
        <v/>
      </c>
      <c r="N74" s="21">
        <f>L74-M74</f>
        <v/>
      </c>
      <c r="O74" s="16">
        <f>IF(H74="",INDEX('Chart of Accounts'!$A$5:$A$3000,MATCH("bank",'Chart of Accounts'!$F$5:$F$3000,0)),H74&amp;"")</f>
        <v/>
      </c>
      <c r="P74" s="16">
        <f>IF(I74="",INDEX('Chart of Accounts'!$A$5:$A$3000,MATCH("revenue",'Chart of Accounts'!$F$5:$F$3000,0)),I74&amp;"")</f>
        <v/>
      </c>
      <c r="Q74" s="16">
        <f>INDEX('Chart of Accounts'!$A$5:$A$3000,MATCH("wht_receivable",'Chart of Accounts'!$F$5:$F$3000,0))</f>
        <v/>
      </c>
      <c r="R74" s="16">
        <f>INDEX('Chart of Accounts'!$A$5:$A$3000,MATCH("vat_output",'Chart of Accounts'!$F$5:$F$3000,0))</f>
        <v/>
      </c>
      <c r="S74" s="23">
        <f>IFERROR(INDEX('Chart of Accounts'!$C$5:$C$3000,MATCH(O74&amp;"",'Chart of Accounts'!$A$5:$A$3000,0))&amp;"|"&amp;INDEX('Chart of Accounts'!$D$5:$D$3000,MATCH(O74&amp;"",'Chart of Accounts'!$A$5:$A$3000,0)),"")</f>
        <v/>
      </c>
      <c r="T74" s="23">
        <f>IFERROR(INDEX('Chart of Accounts'!$C$5:$C$3000,MATCH(Q74&amp;"",'Chart of Accounts'!$A$5:$A$3000,0))&amp;"|"&amp;INDEX('Chart of Accounts'!$D$5:$D$3000,MATCH(Q74&amp;"",'Chart of Accounts'!$A$5:$A$3000,0)),"")</f>
        <v/>
      </c>
      <c r="U74" s="23">
        <f>IFERROR(INDEX('Chart of Accounts'!$C$5:$C$3000,MATCH(P74&amp;"",'Chart of Accounts'!$A$5:$A$3000,0))&amp;"|"&amp;INDEX('Chart of Accounts'!$D$5:$D$3000,MATCH(P74&amp;"",'Chart of Accounts'!$A$5:$A$3000,0)),"")</f>
        <v/>
      </c>
      <c r="V74" s="23">
        <f>IFERROR(INDEX('Chart of Accounts'!$C$5:$C$3000,MATCH(R74&amp;"",'Chart of Accounts'!$A$5:$A$3000,0))&amp;"|"&amp;INDEX('Chart of Accounts'!$D$5:$D$3000,MATCH(R74&amp;"",'Chart of Accounts'!$A$5:$A$3000,0)),"")</f>
        <v/>
      </c>
      <c r="W74" s="23">
        <f>IF(LEFT(S74,8)="Revenue|",-N(F74),0)+IF(LEFT(T74,8)="Revenue|",-N(J74),0)+IF(LEFT(U74,8)="Revenue|",N(N74),0)+IF(LEFT(V74,8)="Revenue|",N(M74),0)</f>
        <v/>
      </c>
      <c r="X74" s="23">
        <f>IF(LEFT(S74,5)="COGS|",N(F74),0)+IF(LEFT(T74,5)="COGS|",N(J74),0)+IF(LEFT(U74,5)="COGS|",-N(N74),0)+IF(LEFT(V74,5)="COGS|",-N(M74),0)</f>
        <v/>
      </c>
      <c r="Y74" s="23">
        <f>IF(LEFT(S74,8)="Expense|",N(F74),0)+IF(LEFT(T74,8)="Expense|",N(J74),0)+IF(LEFT(U74,8)="Expense|",-N(N74),0)+IF(LEFT(V74,8)="Expense|",-N(M74),0)</f>
        <v/>
      </c>
      <c r="Z74" s="23">
        <f>IF(ISNUMBER(MATCH(S74,{"Expense|employee","Expense|general_admin","Expense|marketing","Expense|utilities","Expense|other_operating"},0)),N(F74),0)+IF(ISNUMBER(MATCH(T74,{"Expense|employee","Expense|general_admin","Expense|marketing","Expense|utilities","Expense|other_operating"},0)),N(J74),0)+IF(ISNUMBER(MATCH(U74,{"Expense|employee","Expense|general_admin","Expense|marketing","Expense|utilities","Expense|other_operating"},0)),-N(N74),0)+IF(ISNUMBER(MATCH(V74,{"Expense|employee","Expense|general_admin","Expense|marketing","Expense|utilities","Expense|other_operating"},0)),-N(M74),0)</f>
        <v/>
      </c>
      <c r="AA74" s="23">
        <f>IF(S74="Liability|payable",-N(F74),0)+IF(T74="Liability|payable",-N(J74),0)+IF(U74="Liability|payable",N(N74),0)+IF(V74="Liability|payable",N(M74),0)</f>
        <v/>
      </c>
      <c r="AB74" s="23">
        <f>IF(S74="Liability|accrued",-N(F74),0)+IF(T74="Liability|accrued",-N(J74),0)+IF(U74="Liability|accrued",N(N74),0)+IF(V74="Liability|accrued",N(M74),0)</f>
        <v/>
      </c>
      <c r="AC74" s="23">
        <f>IF(AND(N(F74)&lt;&gt;0,S74=""),1,0)+IF(AND(N(J74)&lt;&gt;0,T74=""),1,0)+IF(AND(N(N74)&lt;&gt;0,U74=""),1,0)+IF(AND(N(M74)&lt;&gt;0,V74=""),1,0)</f>
        <v/>
      </c>
    </row>
    <row r="75">
      <c r="A75" s="19" t="n"/>
      <c r="B75" s="14" t="n"/>
      <c r="C75" s="14" t="n"/>
      <c r="D75" s="14" t="n"/>
      <c r="E75" s="14" t="n"/>
      <c r="F75" s="20" t="n"/>
      <c r="G75" s="14" t="n"/>
      <c r="H75" s="14" t="n"/>
      <c r="I75" s="14" t="n"/>
      <c r="J75" s="20" t="n"/>
      <c r="K75" s="14" t="n"/>
      <c r="L75" s="21">
        <f>N(F75)+N(J75)</f>
        <v/>
      </c>
      <c r="M75" s="21">
        <f>IF(K75="",0,L75-ROUND(L75/(1+IFERROR(VLOOKUP(K75,'Tax Codes'!$A$5:$E$300,5,FALSE),0)),2))</f>
        <v/>
      </c>
      <c r="N75" s="21">
        <f>L75-M75</f>
        <v/>
      </c>
      <c r="O75" s="16">
        <f>IF(H75="",INDEX('Chart of Accounts'!$A$5:$A$3000,MATCH("bank",'Chart of Accounts'!$F$5:$F$3000,0)),H75&amp;"")</f>
        <v/>
      </c>
      <c r="P75" s="16">
        <f>IF(I75="",INDEX('Chart of Accounts'!$A$5:$A$3000,MATCH("revenue",'Chart of Accounts'!$F$5:$F$3000,0)),I75&amp;"")</f>
        <v/>
      </c>
      <c r="Q75" s="16">
        <f>INDEX('Chart of Accounts'!$A$5:$A$3000,MATCH("wht_receivable",'Chart of Accounts'!$F$5:$F$3000,0))</f>
        <v/>
      </c>
      <c r="R75" s="16">
        <f>INDEX('Chart of Accounts'!$A$5:$A$3000,MATCH("vat_output",'Chart of Accounts'!$F$5:$F$3000,0))</f>
        <v/>
      </c>
      <c r="S75" s="23">
        <f>IFERROR(INDEX('Chart of Accounts'!$C$5:$C$3000,MATCH(O75&amp;"",'Chart of Accounts'!$A$5:$A$3000,0))&amp;"|"&amp;INDEX('Chart of Accounts'!$D$5:$D$3000,MATCH(O75&amp;"",'Chart of Accounts'!$A$5:$A$3000,0)),"")</f>
        <v/>
      </c>
      <c r="T75" s="23">
        <f>IFERROR(INDEX('Chart of Accounts'!$C$5:$C$3000,MATCH(Q75&amp;"",'Chart of Accounts'!$A$5:$A$3000,0))&amp;"|"&amp;INDEX('Chart of Accounts'!$D$5:$D$3000,MATCH(Q75&amp;"",'Chart of Accounts'!$A$5:$A$3000,0)),"")</f>
        <v/>
      </c>
      <c r="U75" s="23">
        <f>IFERROR(INDEX('Chart of Accounts'!$C$5:$C$3000,MATCH(P75&amp;"",'Chart of Accounts'!$A$5:$A$3000,0))&amp;"|"&amp;INDEX('Chart of Accounts'!$D$5:$D$3000,MATCH(P75&amp;"",'Chart of Accounts'!$A$5:$A$3000,0)),"")</f>
        <v/>
      </c>
      <c r="V75" s="23">
        <f>IFERROR(INDEX('Chart of Accounts'!$C$5:$C$3000,MATCH(R75&amp;"",'Chart of Accounts'!$A$5:$A$3000,0))&amp;"|"&amp;INDEX('Chart of Accounts'!$D$5:$D$3000,MATCH(R75&amp;"",'Chart of Accounts'!$A$5:$A$3000,0)),"")</f>
        <v/>
      </c>
      <c r="W75" s="23">
        <f>IF(LEFT(S75,8)="Revenue|",-N(F75),0)+IF(LEFT(T75,8)="Revenue|",-N(J75),0)+IF(LEFT(U75,8)="Revenue|",N(N75),0)+IF(LEFT(V75,8)="Revenue|",N(M75),0)</f>
        <v/>
      </c>
      <c r="X75" s="23">
        <f>IF(LEFT(S75,5)="COGS|",N(F75),0)+IF(LEFT(T75,5)="COGS|",N(J75),0)+IF(LEFT(U75,5)="COGS|",-N(N75),0)+IF(LEFT(V75,5)="COGS|",-N(M75),0)</f>
        <v/>
      </c>
      <c r="Y75" s="23">
        <f>IF(LEFT(S75,8)="Expense|",N(F75),0)+IF(LEFT(T75,8)="Expense|",N(J75),0)+IF(LEFT(U75,8)="Expense|",-N(N75),0)+IF(LEFT(V75,8)="Expense|",-N(M75),0)</f>
        <v/>
      </c>
      <c r="Z75" s="23">
        <f>IF(ISNUMBER(MATCH(S75,{"Expense|employee","Expense|general_admin","Expense|marketing","Expense|utilities","Expense|other_operating"},0)),N(F75),0)+IF(ISNUMBER(MATCH(T75,{"Expense|employee","Expense|general_admin","Expense|marketing","Expense|utilities","Expense|other_operating"},0)),N(J75),0)+IF(ISNUMBER(MATCH(U75,{"Expense|employee","Expense|general_admin","Expense|marketing","Expense|utilities","Expense|other_operating"},0)),-N(N75),0)+IF(ISNUMBER(MATCH(V75,{"Expense|employee","Expense|general_admin","Expense|marketing","Expense|utilities","Expense|other_operating"},0)),-N(M75),0)</f>
        <v/>
      </c>
      <c r="AA75" s="23">
        <f>IF(S75="Liability|payable",-N(F75),0)+IF(T75="Liability|payable",-N(J75),0)+IF(U75="Liability|payable",N(N75),0)+IF(V75="Liability|payable",N(M75),0)</f>
        <v/>
      </c>
      <c r="AB75" s="23">
        <f>IF(S75="Liability|accrued",-N(F75),0)+IF(T75="Liability|accrued",-N(J75),0)+IF(U75="Liability|accrued",N(N75),0)+IF(V75="Liability|accrued",N(M75),0)</f>
        <v/>
      </c>
      <c r="AC75" s="23">
        <f>IF(AND(N(F75)&lt;&gt;0,S75=""),1,0)+IF(AND(N(J75)&lt;&gt;0,T75=""),1,0)+IF(AND(N(N75)&lt;&gt;0,U75=""),1,0)+IF(AND(N(M75)&lt;&gt;0,V75=""),1,0)</f>
        <v/>
      </c>
    </row>
    <row r="76">
      <c r="A76" s="19" t="n"/>
      <c r="B76" s="14" t="n"/>
      <c r="C76" s="14" t="n"/>
      <c r="D76" s="14" t="n"/>
      <c r="E76" s="14" t="n"/>
      <c r="F76" s="20" t="n"/>
      <c r="G76" s="14" t="n"/>
      <c r="H76" s="14" t="n"/>
      <c r="I76" s="14" t="n"/>
      <c r="J76" s="20" t="n"/>
      <c r="K76" s="14" t="n"/>
      <c r="L76" s="21">
        <f>N(F76)+N(J76)</f>
        <v/>
      </c>
      <c r="M76" s="21">
        <f>IF(K76="",0,L76-ROUND(L76/(1+IFERROR(VLOOKUP(K76,'Tax Codes'!$A$5:$E$300,5,FALSE),0)),2))</f>
        <v/>
      </c>
      <c r="N76" s="21">
        <f>L76-M76</f>
        <v/>
      </c>
      <c r="O76" s="16">
        <f>IF(H76="",INDEX('Chart of Accounts'!$A$5:$A$3000,MATCH("bank",'Chart of Accounts'!$F$5:$F$3000,0)),H76&amp;"")</f>
        <v/>
      </c>
      <c r="P76" s="16">
        <f>IF(I76="",INDEX('Chart of Accounts'!$A$5:$A$3000,MATCH("revenue",'Chart of Accounts'!$F$5:$F$3000,0)),I76&amp;"")</f>
        <v/>
      </c>
      <c r="Q76" s="16">
        <f>INDEX('Chart of Accounts'!$A$5:$A$3000,MATCH("wht_receivable",'Chart of Accounts'!$F$5:$F$3000,0))</f>
        <v/>
      </c>
      <c r="R76" s="16">
        <f>INDEX('Chart of Accounts'!$A$5:$A$3000,MATCH("vat_output",'Chart of Accounts'!$F$5:$F$3000,0))</f>
        <v/>
      </c>
      <c r="S76" s="23">
        <f>IFERROR(INDEX('Chart of Accounts'!$C$5:$C$3000,MATCH(O76&amp;"",'Chart of Accounts'!$A$5:$A$3000,0))&amp;"|"&amp;INDEX('Chart of Accounts'!$D$5:$D$3000,MATCH(O76&amp;"",'Chart of Accounts'!$A$5:$A$3000,0)),"")</f>
        <v/>
      </c>
      <c r="T76" s="23">
        <f>IFERROR(INDEX('Chart of Accounts'!$C$5:$C$3000,MATCH(Q76&amp;"",'Chart of Accounts'!$A$5:$A$3000,0))&amp;"|"&amp;INDEX('Chart of Accounts'!$D$5:$D$3000,MATCH(Q76&amp;"",'Chart of Accounts'!$A$5:$A$3000,0)),"")</f>
        <v/>
      </c>
      <c r="U76" s="23">
        <f>IFERROR(INDEX('Chart of Accounts'!$C$5:$C$3000,MATCH(P76&amp;"",'Chart of Accounts'!$A$5:$A$3000,0))&amp;"|"&amp;INDEX('Chart of Accounts'!$D$5:$D$3000,MATCH(P76&amp;"",'Chart of Accounts'!$A$5:$A$3000,0)),"")</f>
        <v/>
      </c>
      <c r="V76" s="23">
        <f>IFERROR(INDEX('Chart of Accounts'!$C$5:$C$3000,MATCH(R76&amp;"",'Chart of Accounts'!$A$5:$A$3000,0))&amp;"|"&amp;INDEX('Chart of Accounts'!$D$5:$D$3000,MATCH(R76&amp;"",'Chart of Accounts'!$A$5:$A$3000,0)),"")</f>
        <v/>
      </c>
      <c r="W76" s="23">
        <f>IF(LEFT(S76,8)="Revenue|",-N(F76),0)+IF(LEFT(T76,8)="Revenue|",-N(J76),0)+IF(LEFT(U76,8)="Revenue|",N(N76),0)+IF(LEFT(V76,8)="Revenue|",N(M76),0)</f>
        <v/>
      </c>
      <c r="X76" s="23">
        <f>IF(LEFT(S76,5)="COGS|",N(F76),0)+IF(LEFT(T76,5)="COGS|",N(J76),0)+IF(LEFT(U76,5)="COGS|",-N(N76),0)+IF(LEFT(V76,5)="COGS|",-N(M76),0)</f>
        <v/>
      </c>
      <c r="Y76" s="23">
        <f>IF(LEFT(S76,8)="Expense|",N(F76),0)+IF(LEFT(T76,8)="Expense|",N(J76),0)+IF(LEFT(U76,8)="Expense|",-N(N76),0)+IF(LEFT(V76,8)="Expense|",-N(M76),0)</f>
        <v/>
      </c>
      <c r="Z76" s="23">
        <f>IF(ISNUMBER(MATCH(S76,{"Expense|employee","Expense|general_admin","Expense|marketing","Expense|utilities","Expense|other_operating"},0)),N(F76),0)+IF(ISNUMBER(MATCH(T76,{"Expense|employee","Expense|general_admin","Expense|marketing","Expense|utilities","Expense|other_operating"},0)),N(J76),0)+IF(ISNUMBER(MATCH(U76,{"Expense|employee","Expense|general_admin","Expense|marketing","Expense|utilities","Expense|other_operating"},0)),-N(N76),0)+IF(ISNUMBER(MATCH(V76,{"Expense|employee","Expense|general_admin","Expense|marketing","Expense|utilities","Expense|other_operating"},0)),-N(M76),0)</f>
        <v/>
      </c>
      <c r="AA76" s="23">
        <f>IF(S76="Liability|payable",-N(F76),0)+IF(T76="Liability|payable",-N(J76),0)+IF(U76="Liability|payable",N(N76),0)+IF(V76="Liability|payable",N(M76),0)</f>
        <v/>
      </c>
      <c r="AB76" s="23">
        <f>IF(S76="Liability|accrued",-N(F76),0)+IF(T76="Liability|accrued",-N(J76),0)+IF(U76="Liability|accrued",N(N76),0)+IF(V76="Liability|accrued",N(M76),0)</f>
        <v/>
      </c>
      <c r="AC76" s="23">
        <f>IF(AND(N(F76)&lt;&gt;0,S76=""),1,0)+IF(AND(N(J76)&lt;&gt;0,T76=""),1,0)+IF(AND(N(N76)&lt;&gt;0,U76=""),1,0)+IF(AND(N(M76)&lt;&gt;0,V76=""),1,0)</f>
        <v/>
      </c>
    </row>
    <row r="77">
      <c r="A77" s="19" t="n"/>
      <c r="B77" s="14" t="n"/>
      <c r="C77" s="14" t="n"/>
      <c r="D77" s="14" t="n"/>
      <c r="E77" s="14" t="n"/>
      <c r="F77" s="20" t="n"/>
      <c r="G77" s="14" t="n"/>
      <c r="H77" s="14" t="n"/>
      <c r="I77" s="14" t="n"/>
      <c r="J77" s="20" t="n"/>
      <c r="K77" s="14" t="n"/>
      <c r="L77" s="21">
        <f>N(F77)+N(J77)</f>
        <v/>
      </c>
      <c r="M77" s="21">
        <f>IF(K77="",0,L77-ROUND(L77/(1+IFERROR(VLOOKUP(K77,'Tax Codes'!$A$5:$E$300,5,FALSE),0)),2))</f>
        <v/>
      </c>
      <c r="N77" s="21">
        <f>L77-M77</f>
        <v/>
      </c>
      <c r="O77" s="16">
        <f>IF(H77="",INDEX('Chart of Accounts'!$A$5:$A$3000,MATCH("bank",'Chart of Accounts'!$F$5:$F$3000,0)),H77&amp;"")</f>
        <v/>
      </c>
      <c r="P77" s="16">
        <f>IF(I77="",INDEX('Chart of Accounts'!$A$5:$A$3000,MATCH("revenue",'Chart of Accounts'!$F$5:$F$3000,0)),I77&amp;"")</f>
        <v/>
      </c>
      <c r="Q77" s="16">
        <f>INDEX('Chart of Accounts'!$A$5:$A$3000,MATCH("wht_receivable",'Chart of Accounts'!$F$5:$F$3000,0))</f>
        <v/>
      </c>
      <c r="R77" s="16">
        <f>INDEX('Chart of Accounts'!$A$5:$A$3000,MATCH("vat_output",'Chart of Accounts'!$F$5:$F$3000,0))</f>
        <v/>
      </c>
      <c r="S77" s="23">
        <f>IFERROR(INDEX('Chart of Accounts'!$C$5:$C$3000,MATCH(O77&amp;"",'Chart of Accounts'!$A$5:$A$3000,0))&amp;"|"&amp;INDEX('Chart of Accounts'!$D$5:$D$3000,MATCH(O77&amp;"",'Chart of Accounts'!$A$5:$A$3000,0)),"")</f>
        <v/>
      </c>
      <c r="T77" s="23">
        <f>IFERROR(INDEX('Chart of Accounts'!$C$5:$C$3000,MATCH(Q77&amp;"",'Chart of Accounts'!$A$5:$A$3000,0))&amp;"|"&amp;INDEX('Chart of Accounts'!$D$5:$D$3000,MATCH(Q77&amp;"",'Chart of Accounts'!$A$5:$A$3000,0)),"")</f>
        <v/>
      </c>
      <c r="U77" s="23">
        <f>IFERROR(INDEX('Chart of Accounts'!$C$5:$C$3000,MATCH(P77&amp;"",'Chart of Accounts'!$A$5:$A$3000,0))&amp;"|"&amp;INDEX('Chart of Accounts'!$D$5:$D$3000,MATCH(P77&amp;"",'Chart of Accounts'!$A$5:$A$3000,0)),"")</f>
        <v/>
      </c>
      <c r="V77" s="23">
        <f>IFERROR(INDEX('Chart of Accounts'!$C$5:$C$3000,MATCH(R77&amp;"",'Chart of Accounts'!$A$5:$A$3000,0))&amp;"|"&amp;INDEX('Chart of Accounts'!$D$5:$D$3000,MATCH(R77&amp;"",'Chart of Accounts'!$A$5:$A$3000,0)),"")</f>
        <v/>
      </c>
      <c r="W77" s="23">
        <f>IF(LEFT(S77,8)="Revenue|",-N(F77),0)+IF(LEFT(T77,8)="Revenue|",-N(J77),0)+IF(LEFT(U77,8)="Revenue|",N(N77),0)+IF(LEFT(V77,8)="Revenue|",N(M77),0)</f>
        <v/>
      </c>
      <c r="X77" s="23">
        <f>IF(LEFT(S77,5)="COGS|",N(F77),0)+IF(LEFT(T77,5)="COGS|",N(J77),0)+IF(LEFT(U77,5)="COGS|",-N(N77),0)+IF(LEFT(V77,5)="COGS|",-N(M77),0)</f>
        <v/>
      </c>
      <c r="Y77" s="23">
        <f>IF(LEFT(S77,8)="Expense|",N(F77),0)+IF(LEFT(T77,8)="Expense|",N(J77),0)+IF(LEFT(U77,8)="Expense|",-N(N77),0)+IF(LEFT(V77,8)="Expense|",-N(M77),0)</f>
        <v/>
      </c>
      <c r="Z77" s="23">
        <f>IF(ISNUMBER(MATCH(S77,{"Expense|employee","Expense|general_admin","Expense|marketing","Expense|utilities","Expense|other_operating"},0)),N(F77),0)+IF(ISNUMBER(MATCH(T77,{"Expense|employee","Expense|general_admin","Expense|marketing","Expense|utilities","Expense|other_operating"},0)),N(J77),0)+IF(ISNUMBER(MATCH(U77,{"Expense|employee","Expense|general_admin","Expense|marketing","Expense|utilities","Expense|other_operating"},0)),-N(N77),0)+IF(ISNUMBER(MATCH(V77,{"Expense|employee","Expense|general_admin","Expense|marketing","Expense|utilities","Expense|other_operating"},0)),-N(M77),0)</f>
        <v/>
      </c>
      <c r="AA77" s="23">
        <f>IF(S77="Liability|payable",-N(F77),0)+IF(T77="Liability|payable",-N(J77),0)+IF(U77="Liability|payable",N(N77),0)+IF(V77="Liability|payable",N(M77),0)</f>
        <v/>
      </c>
      <c r="AB77" s="23">
        <f>IF(S77="Liability|accrued",-N(F77),0)+IF(T77="Liability|accrued",-N(J77),0)+IF(U77="Liability|accrued",N(N77),0)+IF(V77="Liability|accrued",N(M77),0)</f>
        <v/>
      </c>
      <c r="AC77" s="23">
        <f>IF(AND(N(F77)&lt;&gt;0,S77=""),1,0)+IF(AND(N(J77)&lt;&gt;0,T77=""),1,0)+IF(AND(N(N77)&lt;&gt;0,U77=""),1,0)+IF(AND(N(M77)&lt;&gt;0,V77=""),1,0)</f>
        <v/>
      </c>
    </row>
    <row r="78">
      <c r="A78" s="19" t="n"/>
      <c r="B78" s="14" t="n"/>
      <c r="C78" s="14" t="n"/>
      <c r="D78" s="14" t="n"/>
      <c r="E78" s="14" t="n"/>
      <c r="F78" s="20" t="n"/>
      <c r="G78" s="14" t="n"/>
      <c r="H78" s="14" t="n"/>
      <c r="I78" s="14" t="n"/>
      <c r="J78" s="20" t="n"/>
      <c r="K78" s="14" t="n"/>
      <c r="L78" s="21">
        <f>N(F78)+N(J78)</f>
        <v/>
      </c>
      <c r="M78" s="21">
        <f>IF(K78="",0,L78-ROUND(L78/(1+IFERROR(VLOOKUP(K78,'Tax Codes'!$A$5:$E$300,5,FALSE),0)),2))</f>
        <v/>
      </c>
      <c r="N78" s="21">
        <f>L78-M78</f>
        <v/>
      </c>
      <c r="O78" s="16">
        <f>IF(H78="",INDEX('Chart of Accounts'!$A$5:$A$3000,MATCH("bank",'Chart of Accounts'!$F$5:$F$3000,0)),H78&amp;"")</f>
        <v/>
      </c>
      <c r="P78" s="16">
        <f>IF(I78="",INDEX('Chart of Accounts'!$A$5:$A$3000,MATCH("revenue",'Chart of Accounts'!$F$5:$F$3000,0)),I78&amp;"")</f>
        <v/>
      </c>
      <c r="Q78" s="16">
        <f>INDEX('Chart of Accounts'!$A$5:$A$3000,MATCH("wht_receivable",'Chart of Accounts'!$F$5:$F$3000,0))</f>
        <v/>
      </c>
      <c r="R78" s="16">
        <f>INDEX('Chart of Accounts'!$A$5:$A$3000,MATCH("vat_output",'Chart of Accounts'!$F$5:$F$3000,0))</f>
        <v/>
      </c>
      <c r="S78" s="23">
        <f>IFERROR(INDEX('Chart of Accounts'!$C$5:$C$3000,MATCH(O78&amp;"",'Chart of Accounts'!$A$5:$A$3000,0))&amp;"|"&amp;INDEX('Chart of Accounts'!$D$5:$D$3000,MATCH(O78&amp;"",'Chart of Accounts'!$A$5:$A$3000,0)),"")</f>
        <v/>
      </c>
      <c r="T78" s="23">
        <f>IFERROR(INDEX('Chart of Accounts'!$C$5:$C$3000,MATCH(Q78&amp;"",'Chart of Accounts'!$A$5:$A$3000,0))&amp;"|"&amp;INDEX('Chart of Accounts'!$D$5:$D$3000,MATCH(Q78&amp;"",'Chart of Accounts'!$A$5:$A$3000,0)),"")</f>
        <v/>
      </c>
      <c r="U78" s="23">
        <f>IFERROR(INDEX('Chart of Accounts'!$C$5:$C$3000,MATCH(P78&amp;"",'Chart of Accounts'!$A$5:$A$3000,0))&amp;"|"&amp;INDEX('Chart of Accounts'!$D$5:$D$3000,MATCH(P78&amp;"",'Chart of Accounts'!$A$5:$A$3000,0)),"")</f>
        <v/>
      </c>
      <c r="V78" s="23">
        <f>IFERROR(INDEX('Chart of Accounts'!$C$5:$C$3000,MATCH(R78&amp;"",'Chart of Accounts'!$A$5:$A$3000,0))&amp;"|"&amp;INDEX('Chart of Accounts'!$D$5:$D$3000,MATCH(R78&amp;"",'Chart of Accounts'!$A$5:$A$3000,0)),"")</f>
        <v/>
      </c>
      <c r="W78" s="23">
        <f>IF(LEFT(S78,8)="Revenue|",-N(F78),0)+IF(LEFT(T78,8)="Revenue|",-N(J78),0)+IF(LEFT(U78,8)="Revenue|",N(N78),0)+IF(LEFT(V78,8)="Revenue|",N(M78),0)</f>
        <v/>
      </c>
      <c r="X78" s="23">
        <f>IF(LEFT(S78,5)="COGS|",N(F78),0)+IF(LEFT(T78,5)="COGS|",N(J78),0)+IF(LEFT(U78,5)="COGS|",-N(N78),0)+IF(LEFT(V78,5)="COGS|",-N(M78),0)</f>
        <v/>
      </c>
      <c r="Y78" s="23">
        <f>IF(LEFT(S78,8)="Expense|",N(F78),0)+IF(LEFT(T78,8)="Expense|",N(J78),0)+IF(LEFT(U78,8)="Expense|",-N(N78),0)+IF(LEFT(V78,8)="Expense|",-N(M78),0)</f>
        <v/>
      </c>
      <c r="Z78" s="23">
        <f>IF(ISNUMBER(MATCH(S78,{"Expense|employee","Expense|general_admin","Expense|marketing","Expense|utilities","Expense|other_operating"},0)),N(F78),0)+IF(ISNUMBER(MATCH(T78,{"Expense|employee","Expense|general_admin","Expense|marketing","Expense|utilities","Expense|other_operating"},0)),N(J78),0)+IF(ISNUMBER(MATCH(U78,{"Expense|employee","Expense|general_admin","Expense|marketing","Expense|utilities","Expense|other_operating"},0)),-N(N78),0)+IF(ISNUMBER(MATCH(V78,{"Expense|employee","Expense|general_admin","Expense|marketing","Expense|utilities","Expense|other_operating"},0)),-N(M78),0)</f>
        <v/>
      </c>
      <c r="AA78" s="23">
        <f>IF(S78="Liability|payable",-N(F78),0)+IF(T78="Liability|payable",-N(J78),0)+IF(U78="Liability|payable",N(N78),0)+IF(V78="Liability|payable",N(M78),0)</f>
        <v/>
      </c>
      <c r="AB78" s="23">
        <f>IF(S78="Liability|accrued",-N(F78),0)+IF(T78="Liability|accrued",-N(J78),0)+IF(U78="Liability|accrued",N(N78),0)+IF(V78="Liability|accrued",N(M78),0)</f>
        <v/>
      </c>
      <c r="AC78" s="23">
        <f>IF(AND(N(F78)&lt;&gt;0,S78=""),1,0)+IF(AND(N(J78)&lt;&gt;0,T78=""),1,0)+IF(AND(N(N78)&lt;&gt;0,U78=""),1,0)+IF(AND(N(M78)&lt;&gt;0,V78=""),1,0)</f>
        <v/>
      </c>
    </row>
    <row r="79">
      <c r="A79" s="19" t="n"/>
      <c r="B79" s="14" t="n"/>
      <c r="C79" s="14" t="n"/>
      <c r="D79" s="14" t="n"/>
      <c r="E79" s="14" t="n"/>
      <c r="F79" s="20" t="n"/>
      <c r="G79" s="14" t="n"/>
      <c r="H79" s="14" t="n"/>
      <c r="I79" s="14" t="n"/>
      <c r="J79" s="20" t="n"/>
      <c r="K79" s="14" t="n"/>
      <c r="L79" s="21">
        <f>N(F79)+N(J79)</f>
        <v/>
      </c>
      <c r="M79" s="21">
        <f>IF(K79="",0,L79-ROUND(L79/(1+IFERROR(VLOOKUP(K79,'Tax Codes'!$A$5:$E$300,5,FALSE),0)),2))</f>
        <v/>
      </c>
      <c r="N79" s="21">
        <f>L79-M79</f>
        <v/>
      </c>
      <c r="O79" s="16">
        <f>IF(H79="",INDEX('Chart of Accounts'!$A$5:$A$3000,MATCH("bank",'Chart of Accounts'!$F$5:$F$3000,0)),H79&amp;"")</f>
        <v/>
      </c>
      <c r="P79" s="16">
        <f>IF(I79="",INDEX('Chart of Accounts'!$A$5:$A$3000,MATCH("revenue",'Chart of Accounts'!$F$5:$F$3000,0)),I79&amp;"")</f>
        <v/>
      </c>
      <c r="Q79" s="16">
        <f>INDEX('Chart of Accounts'!$A$5:$A$3000,MATCH("wht_receivable",'Chart of Accounts'!$F$5:$F$3000,0))</f>
        <v/>
      </c>
      <c r="R79" s="16">
        <f>INDEX('Chart of Accounts'!$A$5:$A$3000,MATCH("vat_output",'Chart of Accounts'!$F$5:$F$3000,0))</f>
        <v/>
      </c>
      <c r="S79" s="23">
        <f>IFERROR(INDEX('Chart of Accounts'!$C$5:$C$3000,MATCH(O79&amp;"",'Chart of Accounts'!$A$5:$A$3000,0))&amp;"|"&amp;INDEX('Chart of Accounts'!$D$5:$D$3000,MATCH(O79&amp;"",'Chart of Accounts'!$A$5:$A$3000,0)),"")</f>
        <v/>
      </c>
      <c r="T79" s="23">
        <f>IFERROR(INDEX('Chart of Accounts'!$C$5:$C$3000,MATCH(Q79&amp;"",'Chart of Accounts'!$A$5:$A$3000,0))&amp;"|"&amp;INDEX('Chart of Accounts'!$D$5:$D$3000,MATCH(Q79&amp;"",'Chart of Accounts'!$A$5:$A$3000,0)),"")</f>
        <v/>
      </c>
      <c r="U79" s="23">
        <f>IFERROR(INDEX('Chart of Accounts'!$C$5:$C$3000,MATCH(P79&amp;"",'Chart of Accounts'!$A$5:$A$3000,0))&amp;"|"&amp;INDEX('Chart of Accounts'!$D$5:$D$3000,MATCH(P79&amp;"",'Chart of Accounts'!$A$5:$A$3000,0)),"")</f>
        <v/>
      </c>
      <c r="V79" s="23">
        <f>IFERROR(INDEX('Chart of Accounts'!$C$5:$C$3000,MATCH(R79&amp;"",'Chart of Accounts'!$A$5:$A$3000,0))&amp;"|"&amp;INDEX('Chart of Accounts'!$D$5:$D$3000,MATCH(R79&amp;"",'Chart of Accounts'!$A$5:$A$3000,0)),"")</f>
        <v/>
      </c>
      <c r="W79" s="23">
        <f>IF(LEFT(S79,8)="Revenue|",-N(F79),0)+IF(LEFT(T79,8)="Revenue|",-N(J79),0)+IF(LEFT(U79,8)="Revenue|",N(N79),0)+IF(LEFT(V79,8)="Revenue|",N(M79),0)</f>
        <v/>
      </c>
      <c r="X79" s="23">
        <f>IF(LEFT(S79,5)="COGS|",N(F79),0)+IF(LEFT(T79,5)="COGS|",N(J79),0)+IF(LEFT(U79,5)="COGS|",-N(N79),0)+IF(LEFT(V79,5)="COGS|",-N(M79),0)</f>
        <v/>
      </c>
      <c r="Y79" s="23">
        <f>IF(LEFT(S79,8)="Expense|",N(F79),0)+IF(LEFT(T79,8)="Expense|",N(J79),0)+IF(LEFT(U79,8)="Expense|",-N(N79),0)+IF(LEFT(V79,8)="Expense|",-N(M79),0)</f>
        <v/>
      </c>
      <c r="Z79" s="23">
        <f>IF(ISNUMBER(MATCH(S79,{"Expense|employee","Expense|general_admin","Expense|marketing","Expense|utilities","Expense|other_operating"},0)),N(F79),0)+IF(ISNUMBER(MATCH(T79,{"Expense|employee","Expense|general_admin","Expense|marketing","Expense|utilities","Expense|other_operating"},0)),N(J79),0)+IF(ISNUMBER(MATCH(U79,{"Expense|employee","Expense|general_admin","Expense|marketing","Expense|utilities","Expense|other_operating"},0)),-N(N79),0)+IF(ISNUMBER(MATCH(V79,{"Expense|employee","Expense|general_admin","Expense|marketing","Expense|utilities","Expense|other_operating"},0)),-N(M79),0)</f>
        <v/>
      </c>
      <c r="AA79" s="23">
        <f>IF(S79="Liability|payable",-N(F79),0)+IF(T79="Liability|payable",-N(J79),0)+IF(U79="Liability|payable",N(N79),0)+IF(V79="Liability|payable",N(M79),0)</f>
        <v/>
      </c>
      <c r="AB79" s="23">
        <f>IF(S79="Liability|accrued",-N(F79),0)+IF(T79="Liability|accrued",-N(J79),0)+IF(U79="Liability|accrued",N(N79),0)+IF(V79="Liability|accrued",N(M79),0)</f>
        <v/>
      </c>
      <c r="AC79" s="23">
        <f>IF(AND(N(F79)&lt;&gt;0,S79=""),1,0)+IF(AND(N(J79)&lt;&gt;0,T79=""),1,0)+IF(AND(N(N79)&lt;&gt;0,U79=""),1,0)+IF(AND(N(M79)&lt;&gt;0,V79=""),1,0)</f>
        <v/>
      </c>
    </row>
    <row r="80">
      <c r="A80" s="19" t="n"/>
      <c r="B80" s="14" t="n"/>
      <c r="C80" s="14" t="n"/>
      <c r="D80" s="14" t="n"/>
      <c r="E80" s="14" t="n"/>
      <c r="F80" s="20" t="n"/>
      <c r="G80" s="14" t="n"/>
      <c r="H80" s="14" t="n"/>
      <c r="I80" s="14" t="n"/>
      <c r="J80" s="20" t="n"/>
      <c r="K80" s="14" t="n"/>
      <c r="L80" s="21">
        <f>N(F80)+N(J80)</f>
        <v/>
      </c>
      <c r="M80" s="21">
        <f>IF(K80="",0,L80-ROUND(L80/(1+IFERROR(VLOOKUP(K80,'Tax Codes'!$A$5:$E$300,5,FALSE),0)),2))</f>
        <v/>
      </c>
      <c r="N80" s="21">
        <f>L80-M80</f>
        <v/>
      </c>
      <c r="O80" s="16">
        <f>IF(H80="",INDEX('Chart of Accounts'!$A$5:$A$3000,MATCH("bank",'Chart of Accounts'!$F$5:$F$3000,0)),H80&amp;"")</f>
        <v/>
      </c>
      <c r="P80" s="16">
        <f>IF(I80="",INDEX('Chart of Accounts'!$A$5:$A$3000,MATCH("revenue",'Chart of Accounts'!$F$5:$F$3000,0)),I80&amp;"")</f>
        <v/>
      </c>
      <c r="Q80" s="16">
        <f>INDEX('Chart of Accounts'!$A$5:$A$3000,MATCH("wht_receivable",'Chart of Accounts'!$F$5:$F$3000,0))</f>
        <v/>
      </c>
      <c r="R80" s="16">
        <f>INDEX('Chart of Accounts'!$A$5:$A$3000,MATCH("vat_output",'Chart of Accounts'!$F$5:$F$3000,0))</f>
        <v/>
      </c>
      <c r="S80" s="23">
        <f>IFERROR(INDEX('Chart of Accounts'!$C$5:$C$3000,MATCH(O80&amp;"",'Chart of Accounts'!$A$5:$A$3000,0))&amp;"|"&amp;INDEX('Chart of Accounts'!$D$5:$D$3000,MATCH(O80&amp;"",'Chart of Accounts'!$A$5:$A$3000,0)),"")</f>
        <v/>
      </c>
      <c r="T80" s="23">
        <f>IFERROR(INDEX('Chart of Accounts'!$C$5:$C$3000,MATCH(Q80&amp;"",'Chart of Accounts'!$A$5:$A$3000,0))&amp;"|"&amp;INDEX('Chart of Accounts'!$D$5:$D$3000,MATCH(Q80&amp;"",'Chart of Accounts'!$A$5:$A$3000,0)),"")</f>
        <v/>
      </c>
      <c r="U80" s="23">
        <f>IFERROR(INDEX('Chart of Accounts'!$C$5:$C$3000,MATCH(P80&amp;"",'Chart of Accounts'!$A$5:$A$3000,0))&amp;"|"&amp;INDEX('Chart of Accounts'!$D$5:$D$3000,MATCH(P80&amp;"",'Chart of Accounts'!$A$5:$A$3000,0)),"")</f>
        <v/>
      </c>
      <c r="V80" s="23">
        <f>IFERROR(INDEX('Chart of Accounts'!$C$5:$C$3000,MATCH(R80&amp;"",'Chart of Accounts'!$A$5:$A$3000,0))&amp;"|"&amp;INDEX('Chart of Accounts'!$D$5:$D$3000,MATCH(R80&amp;"",'Chart of Accounts'!$A$5:$A$3000,0)),"")</f>
        <v/>
      </c>
      <c r="W80" s="23">
        <f>IF(LEFT(S80,8)="Revenue|",-N(F80),0)+IF(LEFT(T80,8)="Revenue|",-N(J80),0)+IF(LEFT(U80,8)="Revenue|",N(N80),0)+IF(LEFT(V80,8)="Revenue|",N(M80),0)</f>
        <v/>
      </c>
      <c r="X80" s="23">
        <f>IF(LEFT(S80,5)="COGS|",N(F80),0)+IF(LEFT(T80,5)="COGS|",N(J80),0)+IF(LEFT(U80,5)="COGS|",-N(N80),0)+IF(LEFT(V80,5)="COGS|",-N(M80),0)</f>
        <v/>
      </c>
      <c r="Y80" s="23">
        <f>IF(LEFT(S80,8)="Expense|",N(F80),0)+IF(LEFT(T80,8)="Expense|",N(J80),0)+IF(LEFT(U80,8)="Expense|",-N(N80),0)+IF(LEFT(V80,8)="Expense|",-N(M80),0)</f>
        <v/>
      </c>
      <c r="Z80" s="23">
        <f>IF(ISNUMBER(MATCH(S80,{"Expense|employee","Expense|general_admin","Expense|marketing","Expense|utilities","Expense|other_operating"},0)),N(F80),0)+IF(ISNUMBER(MATCH(T80,{"Expense|employee","Expense|general_admin","Expense|marketing","Expense|utilities","Expense|other_operating"},0)),N(J80),0)+IF(ISNUMBER(MATCH(U80,{"Expense|employee","Expense|general_admin","Expense|marketing","Expense|utilities","Expense|other_operating"},0)),-N(N80),0)+IF(ISNUMBER(MATCH(V80,{"Expense|employee","Expense|general_admin","Expense|marketing","Expense|utilities","Expense|other_operating"},0)),-N(M80),0)</f>
        <v/>
      </c>
      <c r="AA80" s="23">
        <f>IF(S80="Liability|payable",-N(F80),0)+IF(T80="Liability|payable",-N(J80),0)+IF(U80="Liability|payable",N(N80),0)+IF(V80="Liability|payable",N(M80),0)</f>
        <v/>
      </c>
      <c r="AB80" s="23">
        <f>IF(S80="Liability|accrued",-N(F80),0)+IF(T80="Liability|accrued",-N(J80),0)+IF(U80="Liability|accrued",N(N80),0)+IF(V80="Liability|accrued",N(M80),0)</f>
        <v/>
      </c>
      <c r="AC80" s="23">
        <f>IF(AND(N(F80)&lt;&gt;0,S80=""),1,0)+IF(AND(N(J80)&lt;&gt;0,T80=""),1,0)+IF(AND(N(N80)&lt;&gt;0,U80=""),1,0)+IF(AND(N(M80)&lt;&gt;0,V80=""),1,0)</f>
        <v/>
      </c>
    </row>
    <row r="81">
      <c r="A81" s="19" t="n"/>
      <c r="B81" s="14" t="n"/>
      <c r="C81" s="14" t="n"/>
      <c r="D81" s="14" t="n"/>
      <c r="E81" s="14" t="n"/>
      <c r="F81" s="20" t="n"/>
      <c r="G81" s="14" t="n"/>
      <c r="H81" s="14" t="n"/>
      <c r="I81" s="14" t="n"/>
      <c r="J81" s="20" t="n"/>
      <c r="K81" s="14" t="n"/>
      <c r="L81" s="21">
        <f>N(F81)+N(J81)</f>
        <v/>
      </c>
      <c r="M81" s="21">
        <f>IF(K81="",0,L81-ROUND(L81/(1+IFERROR(VLOOKUP(K81,'Tax Codes'!$A$5:$E$300,5,FALSE),0)),2))</f>
        <v/>
      </c>
      <c r="N81" s="21">
        <f>L81-M81</f>
        <v/>
      </c>
      <c r="O81" s="16">
        <f>IF(H81="",INDEX('Chart of Accounts'!$A$5:$A$3000,MATCH("bank",'Chart of Accounts'!$F$5:$F$3000,0)),H81&amp;"")</f>
        <v/>
      </c>
      <c r="P81" s="16">
        <f>IF(I81="",INDEX('Chart of Accounts'!$A$5:$A$3000,MATCH("revenue",'Chart of Accounts'!$F$5:$F$3000,0)),I81&amp;"")</f>
        <v/>
      </c>
      <c r="Q81" s="16">
        <f>INDEX('Chart of Accounts'!$A$5:$A$3000,MATCH("wht_receivable",'Chart of Accounts'!$F$5:$F$3000,0))</f>
        <v/>
      </c>
      <c r="R81" s="16">
        <f>INDEX('Chart of Accounts'!$A$5:$A$3000,MATCH("vat_output",'Chart of Accounts'!$F$5:$F$3000,0))</f>
        <v/>
      </c>
      <c r="S81" s="23">
        <f>IFERROR(INDEX('Chart of Accounts'!$C$5:$C$3000,MATCH(O81&amp;"",'Chart of Accounts'!$A$5:$A$3000,0))&amp;"|"&amp;INDEX('Chart of Accounts'!$D$5:$D$3000,MATCH(O81&amp;"",'Chart of Accounts'!$A$5:$A$3000,0)),"")</f>
        <v/>
      </c>
      <c r="T81" s="23">
        <f>IFERROR(INDEX('Chart of Accounts'!$C$5:$C$3000,MATCH(Q81&amp;"",'Chart of Accounts'!$A$5:$A$3000,0))&amp;"|"&amp;INDEX('Chart of Accounts'!$D$5:$D$3000,MATCH(Q81&amp;"",'Chart of Accounts'!$A$5:$A$3000,0)),"")</f>
        <v/>
      </c>
      <c r="U81" s="23">
        <f>IFERROR(INDEX('Chart of Accounts'!$C$5:$C$3000,MATCH(P81&amp;"",'Chart of Accounts'!$A$5:$A$3000,0))&amp;"|"&amp;INDEX('Chart of Accounts'!$D$5:$D$3000,MATCH(P81&amp;"",'Chart of Accounts'!$A$5:$A$3000,0)),"")</f>
        <v/>
      </c>
      <c r="V81" s="23">
        <f>IFERROR(INDEX('Chart of Accounts'!$C$5:$C$3000,MATCH(R81&amp;"",'Chart of Accounts'!$A$5:$A$3000,0))&amp;"|"&amp;INDEX('Chart of Accounts'!$D$5:$D$3000,MATCH(R81&amp;"",'Chart of Accounts'!$A$5:$A$3000,0)),"")</f>
        <v/>
      </c>
      <c r="W81" s="23">
        <f>IF(LEFT(S81,8)="Revenue|",-N(F81),0)+IF(LEFT(T81,8)="Revenue|",-N(J81),0)+IF(LEFT(U81,8)="Revenue|",N(N81),0)+IF(LEFT(V81,8)="Revenue|",N(M81),0)</f>
        <v/>
      </c>
      <c r="X81" s="23">
        <f>IF(LEFT(S81,5)="COGS|",N(F81),0)+IF(LEFT(T81,5)="COGS|",N(J81),0)+IF(LEFT(U81,5)="COGS|",-N(N81),0)+IF(LEFT(V81,5)="COGS|",-N(M81),0)</f>
        <v/>
      </c>
      <c r="Y81" s="23">
        <f>IF(LEFT(S81,8)="Expense|",N(F81),0)+IF(LEFT(T81,8)="Expense|",N(J81),0)+IF(LEFT(U81,8)="Expense|",-N(N81),0)+IF(LEFT(V81,8)="Expense|",-N(M81),0)</f>
        <v/>
      </c>
      <c r="Z81" s="23">
        <f>IF(ISNUMBER(MATCH(S81,{"Expense|employee","Expense|general_admin","Expense|marketing","Expense|utilities","Expense|other_operating"},0)),N(F81),0)+IF(ISNUMBER(MATCH(T81,{"Expense|employee","Expense|general_admin","Expense|marketing","Expense|utilities","Expense|other_operating"},0)),N(J81),0)+IF(ISNUMBER(MATCH(U81,{"Expense|employee","Expense|general_admin","Expense|marketing","Expense|utilities","Expense|other_operating"},0)),-N(N81),0)+IF(ISNUMBER(MATCH(V81,{"Expense|employee","Expense|general_admin","Expense|marketing","Expense|utilities","Expense|other_operating"},0)),-N(M81),0)</f>
        <v/>
      </c>
      <c r="AA81" s="23">
        <f>IF(S81="Liability|payable",-N(F81),0)+IF(T81="Liability|payable",-N(J81),0)+IF(U81="Liability|payable",N(N81),0)+IF(V81="Liability|payable",N(M81),0)</f>
        <v/>
      </c>
      <c r="AB81" s="23">
        <f>IF(S81="Liability|accrued",-N(F81),0)+IF(T81="Liability|accrued",-N(J81),0)+IF(U81="Liability|accrued",N(N81),0)+IF(V81="Liability|accrued",N(M81),0)</f>
        <v/>
      </c>
      <c r="AC81" s="23">
        <f>IF(AND(N(F81)&lt;&gt;0,S81=""),1,0)+IF(AND(N(J81)&lt;&gt;0,T81=""),1,0)+IF(AND(N(N81)&lt;&gt;0,U81=""),1,0)+IF(AND(N(M81)&lt;&gt;0,V81=""),1,0)</f>
        <v/>
      </c>
    </row>
    <row r="82">
      <c r="A82" s="19" t="n"/>
      <c r="B82" s="14" t="n"/>
      <c r="C82" s="14" t="n"/>
      <c r="D82" s="14" t="n"/>
      <c r="E82" s="14" t="n"/>
      <c r="F82" s="20" t="n"/>
      <c r="G82" s="14" t="n"/>
      <c r="H82" s="14" t="n"/>
      <c r="I82" s="14" t="n"/>
      <c r="J82" s="20" t="n"/>
      <c r="K82" s="14" t="n"/>
      <c r="L82" s="21">
        <f>N(F82)+N(J82)</f>
        <v/>
      </c>
      <c r="M82" s="21">
        <f>IF(K82="",0,L82-ROUND(L82/(1+IFERROR(VLOOKUP(K82,'Tax Codes'!$A$5:$E$300,5,FALSE),0)),2))</f>
        <v/>
      </c>
      <c r="N82" s="21">
        <f>L82-M82</f>
        <v/>
      </c>
      <c r="O82" s="16">
        <f>IF(H82="",INDEX('Chart of Accounts'!$A$5:$A$3000,MATCH("bank",'Chart of Accounts'!$F$5:$F$3000,0)),H82&amp;"")</f>
        <v/>
      </c>
      <c r="P82" s="16">
        <f>IF(I82="",INDEX('Chart of Accounts'!$A$5:$A$3000,MATCH("revenue",'Chart of Accounts'!$F$5:$F$3000,0)),I82&amp;"")</f>
        <v/>
      </c>
      <c r="Q82" s="16">
        <f>INDEX('Chart of Accounts'!$A$5:$A$3000,MATCH("wht_receivable",'Chart of Accounts'!$F$5:$F$3000,0))</f>
        <v/>
      </c>
      <c r="R82" s="16">
        <f>INDEX('Chart of Accounts'!$A$5:$A$3000,MATCH("vat_output",'Chart of Accounts'!$F$5:$F$3000,0))</f>
        <v/>
      </c>
      <c r="S82" s="23">
        <f>IFERROR(INDEX('Chart of Accounts'!$C$5:$C$3000,MATCH(O82&amp;"",'Chart of Accounts'!$A$5:$A$3000,0))&amp;"|"&amp;INDEX('Chart of Accounts'!$D$5:$D$3000,MATCH(O82&amp;"",'Chart of Accounts'!$A$5:$A$3000,0)),"")</f>
        <v/>
      </c>
      <c r="T82" s="23">
        <f>IFERROR(INDEX('Chart of Accounts'!$C$5:$C$3000,MATCH(Q82&amp;"",'Chart of Accounts'!$A$5:$A$3000,0))&amp;"|"&amp;INDEX('Chart of Accounts'!$D$5:$D$3000,MATCH(Q82&amp;"",'Chart of Accounts'!$A$5:$A$3000,0)),"")</f>
        <v/>
      </c>
      <c r="U82" s="23">
        <f>IFERROR(INDEX('Chart of Accounts'!$C$5:$C$3000,MATCH(P82&amp;"",'Chart of Accounts'!$A$5:$A$3000,0))&amp;"|"&amp;INDEX('Chart of Accounts'!$D$5:$D$3000,MATCH(P82&amp;"",'Chart of Accounts'!$A$5:$A$3000,0)),"")</f>
        <v/>
      </c>
      <c r="V82" s="23">
        <f>IFERROR(INDEX('Chart of Accounts'!$C$5:$C$3000,MATCH(R82&amp;"",'Chart of Accounts'!$A$5:$A$3000,0))&amp;"|"&amp;INDEX('Chart of Accounts'!$D$5:$D$3000,MATCH(R82&amp;"",'Chart of Accounts'!$A$5:$A$3000,0)),"")</f>
        <v/>
      </c>
      <c r="W82" s="23">
        <f>IF(LEFT(S82,8)="Revenue|",-N(F82),0)+IF(LEFT(T82,8)="Revenue|",-N(J82),0)+IF(LEFT(U82,8)="Revenue|",N(N82),0)+IF(LEFT(V82,8)="Revenue|",N(M82),0)</f>
        <v/>
      </c>
      <c r="X82" s="23">
        <f>IF(LEFT(S82,5)="COGS|",N(F82),0)+IF(LEFT(T82,5)="COGS|",N(J82),0)+IF(LEFT(U82,5)="COGS|",-N(N82),0)+IF(LEFT(V82,5)="COGS|",-N(M82),0)</f>
        <v/>
      </c>
      <c r="Y82" s="23">
        <f>IF(LEFT(S82,8)="Expense|",N(F82),0)+IF(LEFT(T82,8)="Expense|",N(J82),0)+IF(LEFT(U82,8)="Expense|",-N(N82),0)+IF(LEFT(V82,8)="Expense|",-N(M82),0)</f>
        <v/>
      </c>
      <c r="Z82" s="23">
        <f>IF(ISNUMBER(MATCH(S82,{"Expense|employee","Expense|general_admin","Expense|marketing","Expense|utilities","Expense|other_operating"},0)),N(F82),0)+IF(ISNUMBER(MATCH(T82,{"Expense|employee","Expense|general_admin","Expense|marketing","Expense|utilities","Expense|other_operating"},0)),N(J82),0)+IF(ISNUMBER(MATCH(U82,{"Expense|employee","Expense|general_admin","Expense|marketing","Expense|utilities","Expense|other_operating"},0)),-N(N82),0)+IF(ISNUMBER(MATCH(V82,{"Expense|employee","Expense|general_admin","Expense|marketing","Expense|utilities","Expense|other_operating"},0)),-N(M82),0)</f>
        <v/>
      </c>
      <c r="AA82" s="23">
        <f>IF(S82="Liability|payable",-N(F82),0)+IF(T82="Liability|payable",-N(J82),0)+IF(U82="Liability|payable",N(N82),0)+IF(V82="Liability|payable",N(M82),0)</f>
        <v/>
      </c>
      <c r="AB82" s="23">
        <f>IF(S82="Liability|accrued",-N(F82),0)+IF(T82="Liability|accrued",-N(J82),0)+IF(U82="Liability|accrued",N(N82),0)+IF(V82="Liability|accrued",N(M82),0)</f>
        <v/>
      </c>
      <c r="AC82" s="23">
        <f>IF(AND(N(F82)&lt;&gt;0,S82=""),1,0)+IF(AND(N(J82)&lt;&gt;0,T82=""),1,0)+IF(AND(N(N82)&lt;&gt;0,U82=""),1,0)+IF(AND(N(M82)&lt;&gt;0,V82=""),1,0)</f>
        <v/>
      </c>
    </row>
    <row r="83">
      <c r="A83" s="19" t="n"/>
      <c r="B83" s="14" t="n"/>
      <c r="C83" s="14" t="n"/>
      <c r="D83" s="14" t="n"/>
      <c r="E83" s="14" t="n"/>
      <c r="F83" s="20" t="n"/>
      <c r="G83" s="14" t="n"/>
      <c r="H83" s="14" t="n"/>
      <c r="I83" s="14" t="n"/>
      <c r="J83" s="20" t="n"/>
      <c r="K83" s="14" t="n"/>
      <c r="L83" s="21">
        <f>N(F83)+N(J83)</f>
        <v/>
      </c>
      <c r="M83" s="21">
        <f>IF(K83="",0,L83-ROUND(L83/(1+IFERROR(VLOOKUP(K83,'Tax Codes'!$A$5:$E$300,5,FALSE),0)),2))</f>
        <v/>
      </c>
      <c r="N83" s="21">
        <f>L83-M83</f>
        <v/>
      </c>
      <c r="O83" s="16">
        <f>IF(H83="",INDEX('Chart of Accounts'!$A$5:$A$3000,MATCH("bank",'Chart of Accounts'!$F$5:$F$3000,0)),H83&amp;"")</f>
        <v/>
      </c>
      <c r="P83" s="16">
        <f>IF(I83="",INDEX('Chart of Accounts'!$A$5:$A$3000,MATCH("revenue",'Chart of Accounts'!$F$5:$F$3000,0)),I83&amp;"")</f>
        <v/>
      </c>
      <c r="Q83" s="16">
        <f>INDEX('Chart of Accounts'!$A$5:$A$3000,MATCH("wht_receivable",'Chart of Accounts'!$F$5:$F$3000,0))</f>
        <v/>
      </c>
      <c r="R83" s="16">
        <f>INDEX('Chart of Accounts'!$A$5:$A$3000,MATCH("vat_output",'Chart of Accounts'!$F$5:$F$3000,0))</f>
        <v/>
      </c>
      <c r="S83" s="23">
        <f>IFERROR(INDEX('Chart of Accounts'!$C$5:$C$3000,MATCH(O83&amp;"",'Chart of Accounts'!$A$5:$A$3000,0))&amp;"|"&amp;INDEX('Chart of Accounts'!$D$5:$D$3000,MATCH(O83&amp;"",'Chart of Accounts'!$A$5:$A$3000,0)),"")</f>
        <v/>
      </c>
      <c r="T83" s="23">
        <f>IFERROR(INDEX('Chart of Accounts'!$C$5:$C$3000,MATCH(Q83&amp;"",'Chart of Accounts'!$A$5:$A$3000,0))&amp;"|"&amp;INDEX('Chart of Accounts'!$D$5:$D$3000,MATCH(Q83&amp;"",'Chart of Accounts'!$A$5:$A$3000,0)),"")</f>
        <v/>
      </c>
      <c r="U83" s="23">
        <f>IFERROR(INDEX('Chart of Accounts'!$C$5:$C$3000,MATCH(P83&amp;"",'Chart of Accounts'!$A$5:$A$3000,0))&amp;"|"&amp;INDEX('Chart of Accounts'!$D$5:$D$3000,MATCH(P83&amp;"",'Chart of Accounts'!$A$5:$A$3000,0)),"")</f>
        <v/>
      </c>
      <c r="V83" s="23">
        <f>IFERROR(INDEX('Chart of Accounts'!$C$5:$C$3000,MATCH(R83&amp;"",'Chart of Accounts'!$A$5:$A$3000,0))&amp;"|"&amp;INDEX('Chart of Accounts'!$D$5:$D$3000,MATCH(R83&amp;"",'Chart of Accounts'!$A$5:$A$3000,0)),"")</f>
        <v/>
      </c>
      <c r="W83" s="23">
        <f>IF(LEFT(S83,8)="Revenue|",-N(F83),0)+IF(LEFT(T83,8)="Revenue|",-N(J83),0)+IF(LEFT(U83,8)="Revenue|",N(N83),0)+IF(LEFT(V83,8)="Revenue|",N(M83),0)</f>
        <v/>
      </c>
      <c r="X83" s="23">
        <f>IF(LEFT(S83,5)="COGS|",N(F83),0)+IF(LEFT(T83,5)="COGS|",N(J83),0)+IF(LEFT(U83,5)="COGS|",-N(N83),0)+IF(LEFT(V83,5)="COGS|",-N(M83),0)</f>
        <v/>
      </c>
      <c r="Y83" s="23">
        <f>IF(LEFT(S83,8)="Expense|",N(F83),0)+IF(LEFT(T83,8)="Expense|",N(J83),0)+IF(LEFT(U83,8)="Expense|",-N(N83),0)+IF(LEFT(V83,8)="Expense|",-N(M83),0)</f>
        <v/>
      </c>
      <c r="Z83" s="23">
        <f>IF(ISNUMBER(MATCH(S83,{"Expense|employee","Expense|general_admin","Expense|marketing","Expense|utilities","Expense|other_operating"},0)),N(F83),0)+IF(ISNUMBER(MATCH(T83,{"Expense|employee","Expense|general_admin","Expense|marketing","Expense|utilities","Expense|other_operating"},0)),N(J83),0)+IF(ISNUMBER(MATCH(U83,{"Expense|employee","Expense|general_admin","Expense|marketing","Expense|utilities","Expense|other_operating"},0)),-N(N83),0)+IF(ISNUMBER(MATCH(V83,{"Expense|employee","Expense|general_admin","Expense|marketing","Expense|utilities","Expense|other_operating"},0)),-N(M83),0)</f>
        <v/>
      </c>
      <c r="AA83" s="23">
        <f>IF(S83="Liability|payable",-N(F83),0)+IF(T83="Liability|payable",-N(J83),0)+IF(U83="Liability|payable",N(N83),0)+IF(V83="Liability|payable",N(M83),0)</f>
        <v/>
      </c>
      <c r="AB83" s="23">
        <f>IF(S83="Liability|accrued",-N(F83),0)+IF(T83="Liability|accrued",-N(J83),0)+IF(U83="Liability|accrued",N(N83),0)+IF(V83="Liability|accrued",N(M83),0)</f>
        <v/>
      </c>
      <c r="AC83" s="23">
        <f>IF(AND(N(F83)&lt;&gt;0,S83=""),1,0)+IF(AND(N(J83)&lt;&gt;0,T83=""),1,0)+IF(AND(N(N83)&lt;&gt;0,U83=""),1,0)+IF(AND(N(M83)&lt;&gt;0,V83=""),1,0)</f>
        <v/>
      </c>
    </row>
    <row r="84">
      <c r="A84" s="19" t="n"/>
      <c r="B84" s="14" t="n"/>
      <c r="C84" s="14" t="n"/>
      <c r="D84" s="14" t="n"/>
      <c r="E84" s="14" t="n"/>
      <c r="F84" s="20" t="n"/>
      <c r="G84" s="14" t="n"/>
      <c r="H84" s="14" t="n"/>
      <c r="I84" s="14" t="n"/>
      <c r="J84" s="20" t="n"/>
      <c r="K84" s="14" t="n"/>
      <c r="L84" s="21">
        <f>N(F84)+N(J84)</f>
        <v/>
      </c>
      <c r="M84" s="21">
        <f>IF(K84="",0,L84-ROUND(L84/(1+IFERROR(VLOOKUP(K84,'Tax Codes'!$A$5:$E$300,5,FALSE),0)),2))</f>
        <v/>
      </c>
      <c r="N84" s="21">
        <f>L84-M84</f>
        <v/>
      </c>
      <c r="O84" s="16">
        <f>IF(H84="",INDEX('Chart of Accounts'!$A$5:$A$3000,MATCH("bank",'Chart of Accounts'!$F$5:$F$3000,0)),H84&amp;"")</f>
        <v/>
      </c>
      <c r="P84" s="16">
        <f>IF(I84="",INDEX('Chart of Accounts'!$A$5:$A$3000,MATCH("revenue",'Chart of Accounts'!$F$5:$F$3000,0)),I84&amp;"")</f>
        <v/>
      </c>
      <c r="Q84" s="16">
        <f>INDEX('Chart of Accounts'!$A$5:$A$3000,MATCH("wht_receivable",'Chart of Accounts'!$F$5:$F$3000,0))</f>
        <v/>
      </c>
      <c r="R84" s="16">
        <f>INDEX('Chart of Accounts'!$A$5:$A$3000,MATCH("vat_output",'Chart of Accounts'!$F$5:$F$3000,0))</f>
        <v/>
      </c>
      <c r="S84" s="23">
        <f>IFERROR(INDEX('Chart of Accounts'!$C$5:$C$3000,MATCH(O84&amp;"",'Chart of Accounts'!$A$5:$A$3000,0))&amp;"|"&amp;INDEX('Chart of Accounts'!$D$5:$D$3000,MATCH(O84&amp;"",'Chart of Accounts'!$A$5:$A$3000,0)),"")</f>
        <v/>
      </c>
      <c r="T84" s="23">
        <f>IFERROR(INDEX('Chart of Accounts'!$C$5:$C$3000,MATCH(Q84&amp;"",'Chart of Accounts'!$A$5:$A$3000,0))&amp;"|"&amp;INDEX('Chart of Accounts'!$D$5:$D$3000,MATCH(Q84&amp;"",'Chart of Accounts'!$A$5:$A$3000,0)),"")</f>
        <v/>
      </c>
      <c r="U84" s="23">
        <f>IFERROR(INDEX('Chart of Accounts'!$C$5:$C$3000,MATCH(P84&amp;"",'Chart of Accounts'!$A$5:$A$3000,0))&amp;"|"&amp;INDEX('Chart of Accounts'!$D$5:$D$3000,MATCH(P84&amp;"",'Chart of Accounts'!$A$5:$A$3000,0)),"")</f>
        <v/>
      </c>
      <c r="V84" s="23">
        <f>IFERROR(INDEX('Chart of Accounts'!$C$5:$C$3000,MATCH(R84&amp;"",'Chart of Accounts'!$A$5:$A$3000,0))&amp;"|"&amp;INDEX('Chart of Accounts'!$D$5:$D$3000,MATCH(R84&amp;"",'Chart of Accounts'!$A$5:$A$3000,0)),"")</f>
        <v/>
      </c>
      <c r="W84" s="23">
        <f>IF(LEFT(S84,8)="Revenue|",-N(F84),0)+IF(LEFT(T84,8)="Revenue|",-N(J84),0)+IF(LEFT(U84,8)="Revenue|",N(N84),0)+IF(LEFT(V84,8)="Revenue|",N(M84),0)</f>
        <v/>
      </c>
      <c r="X84" s="23">
        <f>IF(LEFT(S84,5)="COGS|",N(F84),0)+IF(LEFT(T84,5)="COGS|",N(J84),0)+IF(LEFT(U84,5)="COGS|",-N(N84),0)+IF(LEFT(V84,5)="COGS|",-N(M84),0)</f>
        <v/>
      </c>
      <c r="Y84" s="23">
        <f>IF(LEFT(S84,8)="Expense|",N(F84),0)+IF(LEFT(T84,8)="Expense|",N(J84),0)+IF(LEFT(U84,8)="Expense|",-N(N84),0)+IF(LEFT(V84,8)="Expense|",-N(M84),0)</f>
        <v/>
      </c>
      <c r="Z84" s="23">
        <f>IF(ISNUMBER(MATCH(S84,{"Expense|employee","Expense|general_admin","Expense|marketing","Expense|utilities","Expense|other_operating"},0)),N(F84),0)+IF(ISNUMBER(MATCH(T84,{"Expense|employee","Expense|general_admin","Expense|marketing","Expense|utilities","Expense|other_operating"},0)),N(J84),0)+IF(ISNUMBER(MATCH(U84,{"Expense|employee","Expense|general_admin","Expense|marketing","Expense|utilities","Expense|other_operating"},0)),-N(N84),0)+IF(ISNUMBER(MATCH(V84,{"Expense|employee","Expense|general_admin","Expense|marketing","Expense|utilities","Expense|other_operating"},0)),-N(M84),0)</f>
        <v/>
      </c>
      <c r="AA84" s="23">
        <f>IF(S84="Liability|payable",-N(F84),0)+IF(T84="Liability|payable",-N(J84),0)+IF(U84="Liability|payable",N(N84),0)+IF(V84="Liability|payable",N(M84),0)</f>
        <v/>
      </c>
      <c r="AB84" s="23">
        <f>IF(S84="Liability|accrued",-N(F84),0)+IF(T84="Liability|accrued",-N(J84),0)+IF(U84="Liability|accrued",N(N84),0)+IF(V84="Liability|accrued",N(M84),0)</f>
        <v/>
      </c>
      <c r="AC84" s="23">
        <f>IF(AND(N(F84)&lt;&gt;0,S84=""),1,0)+IF(AND(N(J84)&lt;&gt;0,T84=""),1,0)+IF(AND(N(N84)&lt;&gt;0,U84=""),1,0)+IF(AND(N(M84)&lt;&gt;0,V84=""),1,0)</f>
        <v/>
      </c>
    </row>
    <row r="85">
      <c r="A85" s="19" t="n"/>
      <c r="B85" s="14" t="n"/>
      <c r="C85" s="14" t="n"/>
      <c r="D85" s="14" t="n"/>
      <c r="E85" s="14" t="n"/>
      <c r="F85" s="20" t="n"/>
      <c r="G85" s="14" t="n"/>
      <c r="H85" s="14" t="n"/>
      <c r="I85" s="14" t="n"/>
      <c r="J85" s="20" t="n"/>
      <c r="K85" s="14" t="n"/>
      <c r="L85" s="21">
        <f>N(F85)+N(J85)</f>
        <v/>
      </c>
      <c r="M85" s="21">
        <f>IF(K85="",0,L85-ROUND(L85/(1+IFERROR(VLOOKUP(K85,'Tax Codes'!$A$5:$E$300,5,FALSE),0)),2))</f>
        <v/>
      </c>
      <c r="N85" s="21">
        <f>L85-M85</f>
        <v/>
      </c>
      <c r="O85" s="16">
        <f>IF(H85="",INDEX('Chart of Accounts'!$A$5:$A$3000,MATCH("bank",'Chart of Accounts'!$F$5:$F$3000,0)),H85&amp;"")</f>
        <v/>
      </c>
      <c r="P85" s="16">
        <f>IF(I85="",INDEX('Chart of Accounts'!$A$5:$A$3000,MATCH("revenue",'Chart of Accounts'!$F$5:$F$3000,0)),I85&amp;"")</f>
        <v/>
      </c>
      <c r="Q85" s="16">
        <f>INDEX('Chart of Accounts'!$A$5:$A$3000,MATCH("wht_receivable",'Chart of Accounts'!$F$5:$F$3000,0))</f>
        <v/>
      </c>
      <c r="R85" s="16">
        <f>INDEX('Chart of Accounts'!$A$5:$A$3000,MATCH("vat_output",'Chart of Accounts'!$F$5:$F$3000,0))</f>
        <v/>
      </c>
      <c r="S85" s="23">
        <f>IFERROR(INDEX('Chart of Accounts'!$C$5:$C$3000,MATCH(O85&amp;"",'Chart of Accounts'!$A$5:$A$3000,0))&amp;"|"&amp;INDEX('Chart of Accounts'!$D$5:$D$3000,MATCH(O85&amp;"",'Chart of Accounts'!$A$5:$A$3000,0)),"")</f>
        <v/>
      </c>
      <c r="T85" s="23">
        <f>IFERROR(INDEX('Chart of Accounts'!$C$5:$C$3000,MATCH(Q85&amp;"",'Chart of Accounts'!$A$5:$A$3000,0))&amp;"|"&amp;INDEX('Chart of Accounts'!$D$5:$D$3000,MATCH(Q85&amp;"",'Chart of Accounts'!$A$5:$A$3000,0)),"")</f>
        <v/>
      </c>
      <c r="U85" s="23">
        <f>IFERROR(INDEX('Chart of Accounts'!$C$5:$C$3000,MATCH(P85&amp;"",'Chart of Accounts'!$A$5:$A$3000,0))&amp;"|"&amp;INDEX('Chart of Accounts'!$D$5:$D$3000,MATCH(P85&amp;"",'Chart of Accounts'!$A$5:$A$3000,0)),"")</f>
        <v/>
      </c>
      <c r="V85" s="23">
        <f>IFERROR(INDEX('Chart of Accounts'!$C$5:$C$3000,MATCH(R85&amp;"",'Chart of Accounts'!$A$5:$A$3000,0))&amp;"|"&amp;INDEX('Chart of Accounts'!$D$5:$D$3000,MATCH(R85&amp;"",'Chart of Accounts'!$A$5:$A$3000,0)),"")</f>
        <v/>
      </c>
      <c r="W85" s="23">
        <f>IF(LEFT(S85,8)="Revenue|",-N(F85),0)+IF(LEFT(T85,8)="Revenue|",-N(J85),0)+IF(LEFT(U85,8)="Revenue|",N(N85),0)+IF(LEFT(V85,8)="Revenue|",N(M85),0)</f>
        <v/>
      </c>
      <c r="X85" s="23">
        <f>IF(LEFT(S85,5)="COGS|",N(F85),0)+IF(LEFT(T85,5)="COGS|",N(J85),0)+IF(LEFT(U85,5)="COGS|",-N(N85),0)+IF(LEFT(V85,5)="COGS|",-N(M85),0)</f>
        <v/>
      </c>
      <c r="Y85" s="23">
        <f>IF(LEFT(S85,8)="Expense|",N(F85),0)+IF(LEFT(T85,8)="Expense|",N(J85),0)+IF(LEFT(U85,8)="Expense|",-N(N85),0)+IF(LEFT(V85,8)="Expense|",-N(M85),0)</f>
        <v/>
      </c>
      <c r="Z85" s="23">
        <f>IF(ISNUMBER(MATCH(S85,{"Expense|employee","Expense|general_admin","Expense|marketing","Expense|utilities","Expense|other_operating"},0)),N(F85),0)+IF(ISNUMBER(MATCH(T85,{"Expense|employee","Expense|general_admin","Expense|marketing","Expense|utilities","Expense|other_operating"},0)),N(J85),0)+IF(ISNUMBER(MATCH(U85,{"Expense|employee","Expense|general_admin","Expense|marketing","Expense|utilities","Expense|other_operating"},0)),-N(N85),0)+IF(ISNUMBER(MATCH(V85,{"Expense|employee","Expense|general_admin","Expense|marketing","Expense|utilities","Expense|other_operating"},0)),-N(M85),0)</f>
        <v/>
      </c>
      <c r="AA85" s="23">
        <f>IF(S85="Liability|payable",-N(F85),0)+IF(T85="Liability|payable",-N(J85),0)+IF(U85="Liability|payable",N(N85),0)+IF(V85="Liability|payable",N(M85),0)</f>
        <v/>
      </c>
      <c r="AB85" s="23">
        <f>IF(S85="Liability|accrued",-N(F85),0)+IF(T85="Liability|accrued",-N(J85),0)+IF(U85="Liability|accrued",N(N85),0)+IF(V85="Liability|accrued",N(M85),0)</f>
        <v/>
      </c>
      <c r="AC85" s="23">
        <f>IF(AND(N(F85)&lt;&gt;0,S85=""),1,0)+IF(AND(N(J85)&lt;&gt;0,T85=""),1,0)+IF(AND(N(N85)&lt;&gt;0,U85=""),1,0)+IF(AND(N(M85)&lt;&gt;0,V85=""),1,0)</f>
        <v/>
      </c>
    </row>
    <row r="86">
      <c r="A86" s="19" t="n"/>
      <c r="B86" s="14" t="n"/>
      <c r="C86" s="14" t="n"/>
      <c r="D86" s="14" t="n"/>
      <c r="E86" s="14" t="n"/>
      <c r="F86" s="20" t="n"/>
      <c r="G86" s="14" t="n"/>
      <c r="H86" s="14" t="n"/>
      <c r="I86" s="14" t="n"/>
      <c r="J86" s="20" t="n"/>
      <c r="K86" s="14" t="n"/>
      <c r="L86" s="21">
        <f>N(F86)+N(J86)</f>
        <v/>
      </c>
      <c r="M86" s="21">
        <f>IF(K86="",0,L86-ROUND(L86/(1+IFERROR(VLOOKUP(K86,'Tax Codes'!$A$5:$E$300,5,FALSE),0)),2))</f>
        <v/>
      </c>
      <c r="N86" s="21">
        <f>L86-M86</f>
        <v/>
      </c>
      <c r="O86" s="16">
        <f>IF(H86="",INDEX('Chart of Accounts'!$A$5:$A$3000,MATCH("bank",'Chart of Accounts'!$F$5:$F$3000,0)),H86&amp;"")</f>
        <v/>
      </c>
      <c r="P86" s="16">
        <f>IF(I86="",INDEX('Chart of Accounts'!$A$5:$A$3000,MATCH("revenue",'Chart of Accounts'!$F$5:$F$3000,0)),I86&amp;"")</f>
        <v/>
      </c>
      <c r="Q86" s="16">
        <f>INDEX('Chart of Accounts'!$A$5:$A$3000,MATCH("wht_receivable",'Chart of Accounts'!$F$5:$F$3000,0))</f>
        <v/>
      </c>
      <c r="R86" s="16">
        <f>INDEX('Chart of Accounts'!$A$5:$A$3000,MATCH("vat_output",'Chart of Accounts'!$F$5:$F$3000,0))</f>
        <v/>
      </c>
      <c r="S86" s="23">
        <f>IFERROR(INDEX('Chart of Accounts'!$C$5:$C$3000,MATCH(O86&amp;"",'Chart of Accounts'!$A$5:$A$3000,0))&amp;"|"&amp;INDEX('Chart of Accounts'!$D$5:$D$3000,MATCH(O86&amp;"",'Chart of Accounts'!$A$5:$A$3000,0)),"")</f>
        <v/>
      </c>
      <c r="T86" s="23">
        <f>IFERROR(INDEX('Chart of Accounts'!$C$5:$C$3000,MATCH(Q86&amp;"",'Chart of Accounts'!$A$5:$A$3000,0))&amp;"|"&amp;INDEX('Chart of Accounts'!$D$5:$D$3000,MATCH(Q86&amp;"",'Chart of Accounts'!$A$5:$A$3000,0)),"")</f>
        <v/>
      </c>
      <c r="U86" s="23">
        <f>IFERROR(INDEX('Chart of Accounts'!$C$5:$C$3000,MATCH(P86&amp;"",'Chart of Accounts'!$A$5:$A$3000,0))&amp;"|"&amp;INDEX('Chart of Accounts'!$D$5:$D$3000,MATCH(P86&amp;"",'Chart of Accounts'!$A$5:$A$3000,0)),"")</f>
        <v/>
      </c>
      <c r="V86" s="23">
        <f>IFERROR(INDEX('Chart of Accounts'!$C$5:$C$3000,MATCH(R86&amp;"",'Chart of Accounts'!$A$5:$A$3000,0))&amp;"|"&amp;INDEX('Chart of Accounts'!$D$5:$D$3000,MATCH(R86&amp;"",'Chart of Accounts'!$A$5:$A$3000,0)),"")</f>
        <v/>
      </c>
      <c r="W86" s="23">
        <f>IF(LEFT(S86,8)="Revenue|",-N(F86),0)+IF(LEFT(T86,8)="Revenue|",-N(J86),0)+IF(LEFT(U86,8)="Revenue|",N(N86),0)+IF(LEFT(V86,8)="Revenue|",N(M86),0)</f>
        <v/>
      </c>
      <c r="X86" s="23">
        <f>IF(LEFT(S86,5)="COGS|",N(F86),0)+IF(LEFT(T86,5)="COGS|",N(J86),0)+IF(LEFT(U86,5)="COGS|",-N(N86),0)+IF(LEFT(V86,5)="COGS|",-N(M86),0)</f>
        <v/>
      </c>
      <c r="Y86" s="23">
        <f>IF(LEFT(S86,8)="Expense|",N(F86),0)+IF(LEFT(T86,8)="Expense|",N(J86),0)+IF(LEFT(U86,8)="Expense|",-N(N86),0)+IF(LEFT(V86,8)="Expense|",-N(M86),0)</f>
        <v/>
      </c>
      <c r="Z86" s="23">
        <f>IF(ISNUMBER(MATCH(S86,{"Expense|employee","Expense|general_admin","Expense|marketing","Expense|utilities","Expense|other_operating"},0)),N(F86),0)+IF(ISNUMBER(MATCH(T86,{"Expense|employee","Expense|general_admin","Expense|marketing","Expense|utilities","Expense|other_operating"},0)),N(J86),0)+IF(ISNUMBER(MATCH(U86,{"Expense|employee","Expense|general_admin","Expense|marketing","Expense|utilities","Expense|other_operating"},0)),-N(N86),0)+IF(ISNUMBER(MATCH(V86,{"Expense|employee","Expense|general_admin","Expense|marketing","Expense|utilities","Expense|other_operating"},0)),-N(M86),0)</f>
        <v/>
      </c>
      <c r="AA86" s="23">
        <f>IF(S86="Liability|payable",-N(F86),0)+IF(T86="Liability|payable",-N(J86),0)+IF(U86="Liability|payable",N(N86),0)+IF(V86="Liability|payable",N(M86),0)</f>
        <v/>
      </c>
      <c r="AB86" s="23">
        <f>IF(S86="Liability|accrued",-N(F86),0)+IF(T86="Liability|accrued",-N(J86),0)+IF(U86="Liability|accrued",N(N86),0)+IF(V86="Liability|accrued",N(M86),0)</f>
        <v/>
      </c>
      <c r="AC86" s="23">
        <f>IF(AND(N(F86)&lt;&gt;0,S86=""),1,0)+IF(AND(N(J86)&lt;&gt;0,T86=""),1,0)+IF(AND(N(N86)&lt;&gt;0,U86=""),1,0)+IF(AND(N(M86)&lt;&gt;0,V86=""),1,0)</f>
        <v/>
      </c>
    </row>
    <row r="87">
      <c r="A87" s="19" t="n"/>
      <c r="B87" s="14" t="n"/>
      <c r="C87" s="14" t="n"/>
      <c r="D87" s="14" t="n"/>
      <c r="E87" s="14" t="n"/>
      <c r="F87" s="20" t="n"/>
      <c r="G87" s="14" t="n"/>
      <c r="H87" s="14" t="n"/>
      <c r="I87" s="14" t="n"/>
      <c r="J87" s="20" t="n"/>
      <c r="K87" s="14" t="n"/>
      <c r="L87" s="21">
        <f>N(F87)+N(J87)</f>
        <v/>
      </c>
      <c r="M87" s="21">
        <f>IF(K87="",0,L87-ROUND(L87/(1+IFERROR(VLOOKUP(K87,'Tax Codes'!$A$5:$E$300,5,FALSE),0)),2))</f>
        <v/>
      </c>
      <c r="N87" s="21">
        <f>L87-M87</f>
        <v/>
      </c>
      <c r="O87" s="16">
        <f>IF(H87="",INDEX('Chart of Accounts'!$A$5:$A$3000,MATCH("bank",'Chart of Accounts'!$F$5:$F$3000,0)),H87&amp;"")</f>
        <v/>
      </c>
      <c r="P87" s="16">
        <f>IF(I87="",INDEX('Chart of Accounts'!$A$5:$A$3000,MATCH("revenue",'Chart of Accounts'!$F$5:$F$3000,0)),I87&amp;"")</f>
        <v/>
      </c>
      <c r="Q87" s="16">
        <f>INDEX('Chart of Accounts'!$A$5:$A$3000,MATCH("wht_receivable",'Chart of Accounts'!$F$5:$F$3000,0))</f>
        <v/>
      </c>
      <c r="R87" s="16">
        <f>INDEX('Chart of Accounts'!$A$5:$A$3000,MATCH("vat_output",'Chart of Accounts'!$F$5:$F$3000,0))</f>
        <v/>
      </c>
      <c r="S87" s="23">
        <f>IFERROR(INDEX('Chart of Accounts'!$C$5:$C$3000,MATCH(O87&amp;"",'Chart of Accounts'!$A$5:$A$3000,0))&amp;"|"&amp;INDEX('Chart of Accounts'!$D$5:$D$3000,MATCH(O87&amp;"",'Chart of Accounts'!$A$5:$A$3000,0)),"")</f>
        <v/>
      </c>
      <c r="T87" s="23">
        <f>IFERROR(INDEX('Chart of Accounts'!$C$5:$C$3000,MATCH(Q87&amp;"",'Chart of Accounts'!$A$5:$A$3000,0))&amp;"|"&amp;INDEX('Chart of Accounts'!$D$5:$D$3000,MATCH(Q87&amp;"",'Chart of Accounts'!$A$5:$A$3000,0)),"")</f>
        <v/>
      </c>
      <c r="U87" s="23">
        <f>IFERROR(INDEX('Chart of Accounts'!$C$5:$C$3000,MATCH(P87&amp;"",'Chart of Accounts'!$A$5:$A$3000,0))&amp;"|"&amp;INDEX('Chart of Accounts'!$D$5:$D$3000,MATCH(P87&amp;"",'Chart of Accounts'!$A$5:$A$3000,0)),"")</f>
        <v/>
      </c>
      <c r="V87" s="23">
        <f>IFERROR(INDEX('Chart of Accounts'!$C$5:$C$3000,MATCH(R87&amp;"",'Chart of Accounts'!$A$5:$A$3000,0))&amp;"|"&amp;INDEX('Chart of Accounts'!$D$5:$D$3000,MATCH(R87&amp;"",'Chart of Accounts'!$A$5:$A$3000,0)),"")</f>
        <v/>
      </c>
      <c r="W87" s="23">
        <f>IF(LEFT(S87,8)="Revenue|",-N(F87),0)+IF(LEFT(T87,8)="Revenue|",-N(J87),0)+IF(LEFT(U87,8)="Revenue|",N(N87),0)+IF(LEFT(V87,8)="Revenue|",N(M87),0)</f>
        <v/>
      </c>
      <c r="X87" s="23">
        <f>IF(LEFT(S87,5)="COGS|",N(F87),0)+IF(LEFT(T87,5)="COGS|",N(J87),0)+IF(LEFT(U87,5)="COGS|",-N(N87),0)+IF(LEFT(V87,5)="COGS|",-N(M87),0)</f>
        <v/>
      </c>
      <c r="Y87" s="23">
        <f>IF(LEFT(S87,8)="Expense|",N(F87),0)+IF(LEFT(T87,8)="Expense|",N(J87),0)+IF(LEFT(U87,8)="Expense|",-N(N87),0)+IF(LEFT(V87,8)="Expense|",-N(M87),0)</f>
        <v/>
      </c>
      <c r="Z87" s="23">
        <f>IF(ISNUMBER(MATCH(S87,{"Expense|employee","Expense|general_admin","Expense|marketing","Expense|utilities","Expense|other_operating"},0)),N(F87),0)+IF(ISNUMBER(MATCH(T87,{"Expense|employee","Expense|general_admin","Expense|marketing","Expense|utilities","Expense|other_operating"},0)),N(J87),0)+IF(ISNUMBER(MATCH(U87,{"Expense|employee","Expense|general_admin","Expense|marketing","Expense|utilities","Expense|other_operating"},0)),-N(N87),0)+IF(ISNUMBER(MATCH(V87,{"Expense|employee","Expense|general_admin","Expense|marketing","Expense|utilities","Expense|other_operating"},0)),-N(M87),0)</f>
        <v/>
      </c>
      <c r="AA87" s="23">
        <f>IF(S87="Liability|payable",-N(F87),0)+IF(T87="Liability|payable",-N(J87),0)+IF(U87="Liability|payable",N(N87),0)+IF(V87="Liability|payable",N(M87),0)</f>
        <v/>
      </c>
      <c r="AB87" s="23">
        <f>IF(S87="Liability|accrued",-N(F87),0)+IF(T87="Liability|accrued",-N(J87),0)+IF(U87="Liability|accrued",N(N87),0)+IF(V87="Liability|accrued",N(M87),0)</f>
        <v/>
      </c>
      <c r="AC87" s="23">
        <f>IF(AND(N(F87)&lt;&gt;0,S87=""),1,0)+IF(AND(N(J87)&lt;&gt;0,T87=""),1,0)+IF(AND(N(N87)&lt;&gt;0,U87=""),1,0)+IF(AND(N(M87)&lt;&gt;0,V87=""),1,0)</f>
        <v/>
      </c>
    </row>
    <row r="88">
      <c r="A88" s="19" t="n"/>
      <c r="B88" s="14" t="n"/>
      <c r="C88" s="14" t="n"/>
      <c r="D88" s="14" t="n"/>
      <c r="E88" s="14" t="n"/>
      <c r="F88" s="20" t="n"/>
      <c r="G88" s="14" t="n"/>
      <c r="H88" s="14" t="n"/>
      <c r="I88" s="14" t="n"/>
      <c r="J88" s="20" t="n"/>
      <c r="K88" s="14" t="n"/>
      <c r="L88" s="21">
        <f>N(F88)+N(J88)</f>
        <v/>
      </c>
      <c r="M88" s="21">
        <f>IF(K88="",0,L88-ROUND(L88/(1+IFERROR(VLOOKUP(K88,'Tax Codes'!$A$5:$E$300,5,FALSE),0)),2))</f>
        <v/>
      </c>
      <c r="N88" s="21">
        <f>L88-M88</f>
        <v/>
      </c>
      <c r="O88" s="16">
        <f>IF(H88="",INDEX('Chart of Accounts'!$A$5:$A$3000,MATCH("bank",'Chart of Accounts'!$F$5:$F$3000,0)),H88&amp;"")</f>
        <v/>
      </c>
      <c r="P88" s="16">
        <f>IF(I88="",INDEX('Chart of Accounts'!$A$5:$A$3000,MATCH("revenue",'Chart of Accounts'!$F$5:$F$3000,0)),I88&amp;"")</f>
        <v/>
      </c>
      <c r="Q88" s="16">
        <f>INDEX('Chart of Accounts'!$A$5:$A$3000,MATCH("wht_receivable",'Chart of Accounts'!$F$5:$F$3000,0))</f>
        <v/>
      </c>
      <c r="R88" s="16">
        <f>INDEX('Chart of Accounts'!$A$5:$A$3000,MATCH("vat_output",'Chart of Accounts'!$F$5:$F$3000,0))</f>
        <v/>
      </c>
      <c r="S88" s="23">
        <f>IFERROR(INDEX('Chart of Accounts'!$C$5:$C$3000,MATCH(O88&amp;"",'Chart of Accounts'!$A$5:$A$3000,0))&amp;"|"&amp;INDEX('Chart of Accounts'!$D$5:$D$3000,MATCH(O88&amp;"",'Chart of Accounts'!$A$5:$A$3000,0)),"")</f>
        <v/>
      </c>
      <c r="T88" s="23">
        <f>IFERROR(INDEX('Chart of Accounts'!$C$5:$C$3000,MATCH(Q88&amp;"",'Chart of Accounts'!$A$5:$A$3000,0))&amp;"|"&amp;INDEX('Chart of Accounts'!$D$5:$D$3000,MATCH(Q88&amp;"",'Chart of Accounts'!$A$5:$A$3000,0)),"")</f>
        <v/>
      </c>
      <c r="U88" s="23">
        <f>IFERROR(INDEX('Chart of Accounts'!$C$5:$C$3000,MATCH(P88&amp;"",'Chart of Accounts'!$A$5:$A$3000,0))&amp;"|"&amp;INDEX('Chart of Accounts'!$D$5:$D$3000,MATCH(P88&amp;"",'Chart of Accounts'!$A$5:$A$3000,0)),"")</f>
        <v/>
      </c>
      <c r="V88" s="23">
        <f>IFERROR(INDEX('Chart of Accounts'!$C$5:$C$3000,MATCH(R88&amp;"",'Chart of Accounts'!$A$5:$A$3000,0))&amp;"|"&amp;INDEX('Chart of Accounts'!$D$5:$D$3000,MATCH(R88&amp;"",'Chart of Accounts'!$A$5:$A$3000,0)),"")</f>
        <v/>
      </c>
      <c r="W88" s="23">
        <f>IF(LEFT(S88,8)="Revenue|",-N(F88),0)+IF(LEFT(T88,8)="Revenue|",-N(J88),0)+IF(LEFT(U88,8)="Revenue|",N(N88),0)+IF(LEFT(V88,8)="Revenue|",N(M88),0)</f>
        <v/>
      </c>
      <c r="X88" s="23">
        <f>IF(LEFT(S88,5)="COGS|",N(F88),0)+IF(LEFT(T88,5)="COGS|",N(J88),0)+IF(LEFT(U88,5)="COGS|",-N(N88),0)+IF(LEFT(V88,5)="COGS|",-N(M88),0)</f>
        <v/>
      </c>
      <c r="Y88" s="23">
        <f>IF(LEFT(S88,8)="Expense|",N(F88),0)+IF(LEFT(T88,8)="Expense|",N(J88),0)+IF(LEFT(U88,8)="Expense|",-N(N88),0)+IF(LEFT(V88,8)="Expense|",-N(M88),0)</f>
        <v/>
      </c>
      <c r="Z88" s="23">
        <f>IF(ISNUMBER(MATCH(S88,{"Expense|employee","Expense|general_admin","Expense|marketing","Expense|utilities","Expense|other_operating"},0)),N(F88),0)+IF(ISNUMBER(MATCH(T88,{"Expense|employee","Expense|general_admin","Expense|marketing","Expense|utilities","Expense|other_operating"},0)),N(J88),0)+IF(ISNUMBER(MATCH(U88,{"Expense|employee","Expense|general_admin","Expense|marketing","Expense|utilities","Expense|other_operating"},0)),-N(N88),0)+IF(ISNUMBER(MATCH(V88,{"Expense|employee","Expense|general_admin","Expense|marketing","Expense|utilities","Expense|other_operating"},0)),-N(M88),0)</f>
        <v/>
      </c>
      <c r="AA88" s="23">
        <f>IF(S88="Liability|payable",-N(F88),0)+IF(T88="Liability|payable",-N(J88),0)+IF(U88="Liability|payable",N(N88),0)+IF(V88="Liability|payable",N(M88),0)</f>
        <v/>
      </c>
      <c r="AB88" s="23">
        <f>IF(S88="Liability|accrued",-N(F88),0)+IF(T88="Liability|accrued",-N(J88),0)+IF(U88="Liability|accrued",N(N88),0)+IF(V88="Liability|accrued",N(M88),0)</f>
        <v/>
      </c>
      <c r="AC88" s="23">
        <f>IF(AND(N(F88)&lt;&gt;0,S88=""),1,0)+IF(AND(N(J88)&lt;&gt;0,T88=""),1,0)+IF(AND(N(N88)&lt;&gt;0,U88=""),1,0)+IF(AND(N(M88)&lt;&gt;0,V88=""),1,0)</f>
        <v/>
      </c>
    </row>
    <row r="89">
      <c r="A89" s="19" t="n"/>
      <c r="B89" s="14" t="n"/>
      <c r="C89" s="14" t="n"/>
      <c r="D89" s="14" t="n"/>
      <c r="E89" s="14" t="n"/>
      <c r="F89" s="20" t="n"/>
      <c r="G89" s="14" t="n"/>
      <c r="H89" s="14" t="n"/>
      <c r="I89" s="14" t="n"/>
      <c r="J89" s="20" t="n"/>
      <c r="K89" s="14" t="n"/>
      <c r="L89" s="21">
        <f>N(F89)+N(J89)</f>
        <v/>
      </c>
      <c r="M89" s="21">
        <f>IF(K89="",0,L89-ROUND(L89/(1+IFERROR(VLOOKUP(K89,'Tax Codes'!$A$5:$E$300,5,FALSE),0)),2))</f>
        <v/>
      </c>
      <c r="N89" s="21">
        <f>L89-M89</f>
        <v/>
      </c>
      <c r="O89" s="16">
        <f>IF(H89="",INDEX('Chart of Accounts'!$A$5:$A$3000,MATCH("bank",'Chart of Accounts'!$F$5:$F$3000,0)),H89&amp;"")</f>
        <v/>
      </c>
      <c r="P89" s="16">
        <f>IF(I89="",INDEX('Chart of Accounts'!$A$5:$A$3000,MATCH("revenue",'Chart of Accounts'!$F$5:$F$3000,0)),I89&amp;"")</f>
        <v/>
      </c>
      <c r="Q89" s="16">
        <f>INDEX('Chart of Accounts'!$A$5:$A$3000,MATCH("wht_receivable",'Chart of Accounts'!$F$5:$F$3000,0))</f>
        <v/>
      </c>
      <c r="R89" s="16">
        <f>INDEX('Chart of Accounts'!$A$5:$A$3000,MATCH("vat_output",'Chart of Accounts'!$F$5:$F$3000,0))</f>
        <v/>
      </c>
      <c r="S89" s="23">
        <f>IFERROR(INDEX('Chart of Accounts'!$C$5:$C$3000,MATCH(O89&amp;"",'Chart of Accounts'!$A$5:$A$3000,0))&amp;"|"&amp;INDEX('Chart of Accounts'!$D$5:$D$3000,MATCH(O89&amp;"",'Chart of Accounts'!$A$5:$A$3000,0)),"")</f>
        <v/>
      </c>
      <c r="T89" s="23">
        <f>IFERROR(INDEX('Chart of Accounts'!$C$5:$C$3000,MATCH(Q89&amp;"",'Chart of Accounts'!$A$5:$A$3000,0))&amp;"|"&amp;INDEX('Chart of Accounts'!$D$5:$D$3000,MATCH(Q89&amp;"",'Chart of Accounts'!$A$5:$A$3000,0)),"")</f>
        <v/>
      </c>
      <c r="U89" s="23">
        <f>IFERROR(INDEX('Chart of Accounts'!$C$5:$C$3000,MATCH(P89&amp;"",'Chart of Accounts'!$A$5:$A$3000,0))&amp;"|"&amp;INDEX('Chart of Accounts'!$D$5:$D$3000,MATCH(P89&amp;"",'Chart of Accounts'!$A$5:$A$3000,0)),"")</f>
        <v/>
      </c>
      <c r="V89" s="23">
        <f>IFERROR(INDEX('Chart of Accounts'!$C$5:$C$3000,MATCH(R89&amp;"",'Chart of Accounts'!$A$5:$A$3000,0))&amp;"|"&amp;INDEX('Chart of Accounts'!$D$5:$D$3000,MATCH(R89&amp;"",'Chart of Accounts'!$A$5:$A$3000,0)),"")</f>
        <v/>
      </c>
      <c r="W89" s="23">
        <f>IF(LEFT(S89,8)="Revenue|",-N(F89),0)+IF(LEFT(T89,8)="Revenue|",-N(J89),0)+IF(LEFT(U89,8)="Revenue|",N(N89),0)+IF(LEFT(V89,8)="Revenue|",N(M89),0)</f>
        <v/>
      </c>
      <c r="X89" s="23">
        <f>IF(LEFT(S89,5)="COGS|",N(F89),0)+IF(LEFT(T89,5)="COGS|",N(J89),0)+IF(LEFT(U89,5)="COGS|",-N(N89),0)+IF(LEFT(V89,5)="COGS|",-N(M89),0)</f>
        <v/>
      </c>
      <c r="Y89" s="23">
        <f>IF(LEFT(S89,8)="Expense|",N(F89),0)+IF(LEFT(T89,8)="Expense|",N(J89),0)+IF(LEFT(U89,8)="Expense|",-N(N89),0)+IF(LEFT(V89,8)="Expense|",-N(M89),0)</f>
        <v/>
      </c>
      <c r="Z89" s="23">
        <f>IF(ISNUMBER(MATCH(S89,{"Expense|employee","Expense|general_admin","Expense|marketing","Expense|utilities","Expense|other_operating"},0)),N(F89),0)+IF(ISNUMBER(MATCH(T89,{"Expense|employee","Expense|general_admin","Expense|marketing","Expense|utilities","Expense|other_operating"},0)),N(J89),0)+IF(ISNUMBER(MATCH(U89,{"Expense|employee","Expense|general_admin","Expense|marketing","Expense|utilities","Expense|other_operating"},0)),-N(N89),0)+IF(ISNUMBER(MATCH(V89,{"Expense|employee","Expense|general_admin","Expense|marketing","Expense|utilities","Expense|other_operating"},0)),-N(M89),0)</f>
        <v/>
      </c>
      <c r="AA89" s="23">
        <f>IF(S89="Liability|payable",-N(F89),0)+IF(T89="Liability|payable",-N(J89),0)+IF(U89="Liability|payable",N(N89),0)+IF(V89="Liability|payable",N(M89),0)</f>
        <v/>
      </c>
      <c r="AB89" s="23">
        <f>IF(S89="Liability|accrued",-N(F89),0)+IF(T89="Liability|accrued",-N(J89),0)+IF(U89="Liability|accrued",N(N89),0)+IF(V89="Liability|accrued",N(M89),0)</f>
        <v/>
      </c>
      <c r="AC89" s="23">
        <f>IF(AND(N(F89)&lt;&gt;0,S89=""),1,0)+IF(AND(N(J89)&lt;&gt;0,T89=""),1,0)+IF(AND(N(N89)&lt;&gt;0,U89=""),1,0)+IF(AND(N(M89)&lt;&gt;0,V89=""),1,0)</f>
        <v/>
      </c>
    </row>
    <row r="90">
      <c r="A90" s="19" t="n"/>
      <c r="B90" s="14" t="n"/>
      <c r="C90" s="14" t="n"/>
      <c r="D90" s="14" t="n"/>
      <c r="E90" s="14" t="n"/>
      <c r="F90" s="20" t="n"/>
      <c r="G90" s="14" t="n"/>
      <c r="H90" s="14" t="n"/>
      <c r="I90" s="14" t="n"/>
      <c r="J90" s="20" t="n"/>
      <c r="K90" s="14" t="n"/>
      <c r="L90" s="21">
        <f>N(F90)+N(J90)</f>
        <v/>
      </c>
      <c r="M90" s="21">
        <f>IF(K90="",0,L90-ROUND(L90/(1+IFERROR(VLOOKUP(K90,'Tax Codes'!$A$5:$E$300,5,FALSE),0)),2))</f>
        <v/>
      </c>
      <c r="N90" s="21">
        <f>L90-M90</f>
        <v/>
      </c>
      <c r="O90" s="16">
        <f>IF(H90="",INDEX('Chart of Accounts'!$A$5:$A$3000,MATCH("bank",'Chart of Accounts'!$F$5:$F$3000,0)),H90&amp;"")</f>
        <v/>
      </c>
      <c r="P90" s="16">
        <f>IF(I90="",INDEX('Chart of Accounts'!$A$5:$A$3000,MATCH("revenue",'Chart of Accounts'!$F$5:$F$3000,0)),I90&amp;"")</f>
        <v/>
      </c>
      <c r="Q90" s="16">
        <f>INDEX('Chart of Accounts'!$A$5:$A$3000,MATCH("wht_receivable",'Chart of Accounts'!$F$5:$F$3000,0))</f>
        <v/>
      </c>
      <c r="R90" s="16">
        <f>INDEX('Chart of Accounts'!$A$5:$A$3000,MATCH("vat_output",'Chart of Accounts'!$F$5:$F$3000,0))</f>
        <v/>
      </c>
      <c r="S90" s="23">
        <f>IFERROR(INDEX('Chart of Accounts'!$C$5:$C$3000,MATCH(O90&amp;"",'Chart of Accounts'!$A$5:$A$3000,0))&amp;"|"&amp;INDEX('Chart of Accounts'!$D$5:$D$3000,MATCH(O90&amp;"",'Chart of Accounts'!$A$5:$A$3000,0)),"")</f>
        <v/>
      </c>
      <c r="T90" s="23">
        <f>IFERROR(INDEX('Chart of Accounts'!$C$5:$C$3000,MATCH(Q90&amp;"",'Chart of Accounts'!$A$5:$A$3000,0))&amp;"|"&amp;INDEX('Chart of Accounts'!$D$5:$D$3000,MATCH(Q90&amp;"",'Chart of Accounts'!$A$5:$A$3000,0)),"")</f>
        <v/>
      </c>
      <c r="U90" s="23">
        <f>IFERROR(INDEX('Chart of Accounts'!$C$5:$C$3000,MATCH(P90&amp;"",'Chart of Accounts'!$A$5:$A$3000,0))&amp;"|"&amp;INDEX('Chart of Accounts'!$D$5:$D$3000,MATCH(P90&amp;"",'Chart of Accounts'!$A$5:$A$3000,0)),"")</f>
        <v/>
      </c>
      <c r="V90" s="23">
        <f>IFERROR(INDEX('Chart of Accounts'!$C$5:$C$3000,MATCH(R90&amp;"",'Chart of Accounts'!$A$5:$A$3000,0))&amp;"|"&amp;INDEX('Chart of Accounts'!$D$5:$D$3000,MATCH(R90&amp;"",'Chart of Accounts'!$A$5:$A$3000,0)),"")</f>
        <v/>
      </c>
      <c r="W90" s="23">
        <f>IF(LEFT(S90,8)="Revenue|",-N(F90),0)+IF(LEFT(T90,8)="Revenue|",-N(J90),0)+IF(LEFT(U90,8)="Revenue|",N(N90),0)+IF(LEFT(V90,8)="Revenue|",N(M90),0)</f>
        <v/>
      </c>
      <c r="X90" s="23">
        <f>IF(LEFT(S90,5)="COGS|",N(F90),0)+IF(LEFT(T90,5)="COGS|",N(J90),0)+IF(LEFT(U90,5)="COGS|",-N(N90),0)+IF(LEFT(V90,5)="COGS|",-N(M90),0)</f>
        <v/>
      </c>
      <c r="Y90" s="23">
        <f>IF(LEFT(S90,8)="Expense|",N(F90),0)+IF(LEFT(T90,8)="Expense|",N(J90),0)+IF(LEFT(U90,8)="Expense|",-N(N90),0)+IF(LEFT(V90,8)="Expense|",-N(M90),0)</f>
        <v/>
      </c>
      <c r="Z90" s="23">
        <f>IF(ISNUMBER(MATCH(S90,{"Expense|employee","Expense|general_admin","Expense|marketing","Expense|utilities","Expense|other_operating"},0)),N(F90),0)+IF(ISNUMBER(MATCH(T90,{"Expense|employee","Expense|general_admin","Expense|marketing","Expense|utilities","Expense|other_operating"},0)),N(J90),0)+IF(ISNUMBER(MATCH(U90,{"Expense|employee","Expense|general_admin","Expense|marketing","Expense|utilities","Expense|other_operating"},0)),-N(N90),0)+IF(ISNUMBER(MATCH(V90,{"Expense|employee","Expense|general_admin","Expense|marketing","Expense|utilities","Expense|other_operating"},0)),-N(M90),0)</f>
        <v/>
      </c>
      <c r="AA90" s="23">
        <f>IF(S90="Liability|payable",-N(F90),0)+IF(T90="Liability|payable",-N(J90),0)+IF(U90="Liability|payable",N(N90),0)+IF(V90="Liability|payable",N(M90),0)</f>
        <v/>
      </c>
      <c r="AB90" s="23">
        <f>IF(S90="Liability|accrued",-N(F90),0)+IF(T90="Liability|accrued",-N(J90),0)+IF(U90="Liability|accrued",N(N90),0)+IF(V90="Liability|accrued",N(M90),0)</f>
        <v/>
      </c>
      <c r="AC90" s="23">
        <f>IF(AND(N(F90)&lt;&gt;0,S90=""),1,0)+IF(AND(N(J90)&lt;&gt;0,T90=""),1,0)+IF(AND(N(N90)&lt;&gt;0,U90=""),1,0)+IF(AND(N(M90)&lt;&gt;0,V90=""),1,0)</f>
        <v/>
      </c>
    </row>
    <row r="91">
      <c r="A91" s="19" t="n"/>
      <c r="B91" s="14" t="n"/>
      <c r="C91" s="14" t="n"/>
      <c r="D91" s="14" t="n"/>
      <c r="E91" s="14" t="n"/>
      <c r="F91" s="20" t="n"/>
      <c r="G91" s="14" t="n"/>
      <c r="H91" s="14" t="n"/>
      <c r="I91" s="14" t="n"/>
      <c r="J91" s="20" t="n"/>
      <c r="K91" s="14" t="n"/>
      <c r="L91" s="21">
        <f>N(F91)+N(J91)</f>
        <v/>
      </c>
      <c r="M91" s="21">
        <f>IF(K91="",0,L91-ROUND(L91/(1+IFERROR(VLOOKUP(K91,'Tax Codes'!$A$5:$E$300,5,FALSE),0)),2))</f>
        <v/>
      </c>
      <c r="N91" s="21">
        <f>L91-M91</f>
        <v/>
      </c>
      <c r="O91" s="16">
        <f>IF(H91="",INDEX('Chart of Accounts'!$A$5:$A$3000,MATCH("bank",'Chart of Accounts'!$F$5:$F$3000,0)),H91&amp;"")</f>
        <v/>
      </c>
      <c r="P91" s="16">
        <f>IF(I91="",INDEX('Chart of Accounts'!$A$5:$A$3000,MATCH("revenue",'Chart of Accounts'!$F$5:$F$3000,0)),I91&amp;"")</f>
        <v/>
      </c>
      <c r="Q91" s="16">
        <f>INDEX('Chart of Accounts'!$A$5:$A$3000,MATCH("wht_receivable",'Chart of Accounts'!$F$5:$F$3000,0))</f>
        <v/>
      </c>
      <c r="R91" s="16">
        <f>INDEX('Chart of Accounts'!$A$5:$A$3000,MATCH("vat_output",'Chart of Accounts'!$F$5:$F$3000,0))</f>
        <v/>
      </c>
      <c r="S91" s="23">
        <f>IFERROR(INDEX('Chart of Accounts'!$C$5:$C$3000,MATCH(O91&amp;"",'Chart of Accounts'!$A$5:$A$3000,0))&amp;"|"&amp;INDEX('Chart of Accounts'!$D$5:$D$3000,MATCH(O91&amp;"",'Chart of Accounts'!$A$5:$A$3000,0)),"")</f>
        <v/>
      </c>
      <c r="T91" s="23">
        <f>IFERROR(INDEX('Chart of Accounts'!$C$5:$C$3000,MATCH(Q91&amp;"",'Chart of Accounts'!$A$5:$A$3000,0))&amp;"|"&amp;INDEX('Chart of Accounts'!$D$5:$D$3000,MATCH(Q91&amp;"",'Chart of Accounts'!$A$5:$A$3000,0)),"")</f>
        <v/>
      </c>
      <c r="U91" s="23">
        <f>IFERROR(INDEX('Chart of Accounts'!$C$5:$C$3000,MATCH(P91&amp;"",'Chart of Accounts'!$A$5:$A$3000,0))&amp;"|"&amp;INDEX('Chart of Accounts'!$D$5:$D$3000,MATCH(P91&amp;"",'Chart of Accounts'!$A$5:$A$3000,0)),"")</f>
        <v/>
      </c>
      <c r="V91" s="23">
        <f>IFERROR(INDEX('Chart of Accounts'!$C$5:$C$3000,MATCH(R91&amp;"",'Chart of Accounts'!$A$5:$A$3000,0))&amp;"|"&amp;INDEX('Chart of Accounts'!$D$5:$D$3000,MATCH(R91&amp;"",'Chart of Accounts'!$A$5:$A$3000,0)),"")</f>
        <v/>
      </c>
      <c r="W91" s="23">
        <f>IF(LEFT(S91,8)="Revenue|",-N(F91),0)+IF(LEFT(T91,8)="Revenue|",-N(J91),0)+IF(LEFT(U91,8)="Revenue|",N(N91),0)+IF(LEFT(V91,8)="Revenue|",N(M91),0)</f>
        <v/>
      </c>
      <c r="X91" s="23">
        <f>IF(LEFT(S91,5)="COGS|",N(F91),0)+IF(LEFT(T91,5)="COGS|",N(J91),0)+IF(LEFT(U91,5)="COGS|",-N(N91),0)+IF(LEFT(V91,5)="COGS|",-N(M91),0)</f>
        <v/>
      </c>
      <c r="Y91" s="23">
        <f>IF(LEFT(S91,8)="Expense|",N(F91),0)+IF(LEFT(T91,8)="Expense|",N(J91),0)+IF(LEFT(U91,8)="Expense|",-N(N91),0)+IF(LEFT(V91,8)="Expense|",-N(M91),0)</f>
        <v/>
      </c>
      <c r="Z91" s="23">
        <f>IF(ISNUMBER(MATCH(S91,{"Expense|employee","Expense|general_admin","Expense|marketing","Expense|utilities","Expense|other_operating"},0)),N(F91),0)+IF(ISNUMBER(MATCH(T91,{"Expense|employee","Expense|general_admin","Expense|marketing","Expense|utilities","Expense|other_operating"},0)),N(J91),0)+IF(ISNUMBER(MATCH(U91,{"Expense|employee","Expense|general_admin","Expense|marketing","Expense|utilities","Expense|other_operating"},0)),-N(N91),0)+IF(ISNUMBER(MATCH(V91,{"Expense|employee","Expense|general_admin","Expense|marketing","Expense|utilities","Expense|other_operating"},0)),-N(M91),0)</f>
        <v/>
      </c>
      <c r="AA91" s="23">
        <f>IF(S91="Liability|payable",-N(F91),0)+IF(T91="Liability|payable",-N(J91),0)+IF(U91="Liability|payable",N(N91),0)+IF(V91="Liability|payable",N(M91),0)</f>
        <v/>
      </c>
      <c r="AB91" s="23">
        <f>IF(S91="Liability|accrued",-N(F91),0)+IF(T91="Liability|accrued",-N(J91),0)+IF(U91="Liability|accrued",N(N91),0)+IF(V91="Liability|accrued",N(M91),0)</f>
        <v/>
      </c>
      <c r="AC91" s="23">
        <f>IF(AND(N(F91)&lt;&gt;0,S91=""),1,0)+IF(AND(N(J91)&lt;&gt;0,T91=""),1,0)+IF(AND(N(N91)&lt;&gt;0,U91=""),1,0)+IF(AND(N(M91)&lt;&gt;0,V91=""),1,0)</f>
        <v/>
      </c>
    </row>
    <row r="92">
      <c r="A92" s="19" t="n"/>
      <c r="B92" s="14" t="n"/>
      <c r="C92" s="14" t="n"/>
      <c r="D92" s="14" t="n"/>
      <c r="E92" s="14" t="n"/>
      <c r="F92" s="20" t="n"/>
      <c r="G92" s="14" t="n"/>
      <c r="H92" s="14" t="n"/>
      <c r="I92" s="14" t="n"/>
      <c r="J92" s="20" t="n"/>
      <c r="K92" s="14" t="n"/>
      <c r="L92" s="21">
        <f>N(F92)+N(J92)</f>
        <v/>
      </c>
      <c r="M92" s="21">
        <f>IF(K92="",0,L92-ROUND(L92/(1+IFERROR(VLOOKUP(K92,'Tax Codes'!$A$5:$E$300,5,FALSE),0)),2))</f>
        <v/>
      </c>
      <c r="N92" s="21">
        <f>L92-M92</f>
        <v/>
      </c>
      <c r="O92" s="16">
        <f>IF(H92="",INDEX('Chart of Accounts'!$A$5:$A$3000,MATCH("bank",'Chart of Accounts'!$F$5:$F$3000,0)),H92&amp;"")</f>
        <v/>
      </c>
      <c r="P92" s="16">
        <f>IF(I92="",INDEX('Chart of Accounts'!$A$5:$A$3000,MATCH("revenue",'Chart of Accounts'!$F$5:$F$3000,0)),I92&amp;"")</f>
        <v/>
      </c>
      <c r="Q92" s="16">
        <f>INDEX('Chart of Accounts'!$A$5:$A$3000,MATCH("wht_receivable",'Chart of Accounts'!$F$5:$F$3000,0))</f>
        <v/>
      </c>
      <c r="R92" s="16">
        <f>INDEX('Chart of Accounts'!$A$5:$A$3000,MATCH("vat_output",'Chart of Accounts'!$F$5:$F$3000,0))</f>
        <v/>
      </c>
      <c r="S92" s="23">
        <f>IFERROR(INDEX('Chart of Accounts'!$C$5:$C$3000,MATCH(O92&amp;"",'Chart of Accounts'!$A$5:$A$3000,0))&amp;"|"&amp;INDEX('Chart of Accounts'!$D$5:$D$3000,MATCH(O92&amp;"",'Chart of Accounts'!$A$5:$A$3000,0)),"")</f>
        <v/>
      </c>
      <c r="T92" s="23">
        <f>IFERROR(INDEX('Chart of Accounts'!$C$5:$C$3000,MATCH(Q92&amp;"",'Chart of Accounts'!$A$5:$A$3000,0))&amp;"|"&amp;INDEX('Chart of Accounts'!$D$5:$D$3000,MATCH(Q92&amp;"",'Chart of Accounts'!$A$5:$A$3000,0)),"")</f>
        <v/>
      </c>
      <c r="U92" s="23">
        <f>IFERROR(INDEX('Chart of Accounts'!$C$5:$C$3000,MATCH(P92&amp;"",'Chart of Accounts'!$A$5:$A$3000,0))&amp;"|"&amp;INDEX('Chart of Accounts'!$D$5:$D$3000,MATCH(P92&amp;"",'Chart of Accounts'!$A$5:$A$3000,0)),"")</f>
        <v/>
      </c>
      <c r="V92" s="23">
        <f>IFERROR(INDEX('Chart of Accounts'!$C$5:$C$3000,MATCH(R92&amp;"",'Chart of Accounts'!$A$5:$A$3000,0))&amp;"|"&amp;INDEX('Chart of Accounts'!$D$5:$D$3000,MATCH(R92&amp;"",'Chart of Accounts'!$A$5:$A$3000,0)),"")</f>
        <v/>
      </c>
      <c r="W92" s="23">
        <f>IF(LEFT(S92,8)="Revenue|",-N(F92),0)+IF(LEFT(T92,8)="Revenue|",-N(J92),0)+IF(LEFT(U92,8)="Revenue|",N(N92),0)+IF(LEFT(V92,8)="Revenue|",N(M92),0)</f>
        <v/>
      </c>
      <c r="X92" s="23">
        <f>IF(LEFT(S92,5)="COGS|",N(F92),0)+IF(LEFT(T92,5)="COGS|",N(J92),0)+IF(LEFT(U92,5)="COGS|",-N(N92),0)+IF(LEFT(V92,5)="COGS|",-N(M92),0)</f>
        <v/>
      </c>
      <c r="Y92" s="23">
        <f>IF(LEFT(S92,8)="Expense|",N(F92),0)+IF(LEFT(T92,8)="Expense|",N(J92),0)+IF(LEFT(U92,8)="Expense|",-N(N92),0)+IF(LEFT(V92,8)="Expense|",-N(M92),0)</f>
        <v/>
      </c>
      <c r="Z92" s="23">
        <f>IF(ISNUMBER(MATCH(S92,{"Expense|employee","Expense|general_admin","Expense|marketing","Expense|utilities","Expense|other_operating"},0)),N(F92),0)+IF(ISNUMBER(MATCH(T92,{"Expense|employee","Expense|general_admin","Expense|marketing","Expense|utilities","Expense|other_operating"},0)),N(J92),0)+IF(ISNUMBER(MATCH(U92,{"Expense|employee","Expense|general_admin","Expense|marketing","Expense|utilities","Expense|other_operating"},0)),-N(N92),0)+IF(ISNUMBER(MATCH(V92,{"Expense|employee","Expense|general_admin","Expense|marketing","Expense|utilities","Expense|other_operating"},0)),-N(M92),0)</f>
        <v/>
      </c>
      <c r="AA92" s="23">
        <f>IF(S92="Liability|payable",-N(F92),0)+IF(T92="Liability|payable",-N(J92),0)+IF(U92="Liability|payable",N(N92),0)+IF(V92="Liability|payable",N(M92),0)</f>
        <v/>
      </c>
      <c r="AB92" s="23">
        <f>IF(S92="Liability|accrued",-N(F92),0)+IF(T92="Liability|accrued",-N(J92),0)+IF(U92="Liability|accrued",N(N92),0)+IF(V92="Liability|accrued",N(M92),0)</f>
        <v/>
      </c>
      <c r="AC92" s="23">
        <f>IF(AND(N(F92)&lt;&gt;0,S92=""),1,0)+IF(AND(N(J92)&lt;&gt;0,T92=""),1,0)+IF(AND(N(N92)&lt;&gt;0,U92=""),1,0)+IF(AND(N(M92)&lt;&gt;0,V92=""),1,0)</f>
        <v/>
      </c>
    </row>
    <row r="93">
      <c r="A93" s="19" t="n"/>
      <c r="B93" s="14" t="n"/>
      <c r="C93" s="14" t="n"/>
      <c r="D93" s="14" t="n"/>
      <c r="E93" s="14" t="n"/>
      <c r="F93" s="20" t="n"/>
      <c r="G93" s="14" t="n"/>
      <c r="H93" s="14" t="n"/>
      <c r="I93" s="14" t="n"/>
      <c r="J93" s="20" t="n"/>
      <c r="K93" s="14" t="n"/>
      <c r="L93" s="21">
        <f>N(F93)+N(J93)</f>
        <v/>
      </c>
      <c r="M93" s="21">
        <f>IF(K93="",0,L93-ROUND(L93/(1+IFERROR(VLOOKUP(K93,'Tax Codes'!$A$5:$E$300,5,FALSE),0)),2))</f>
        <v/>
      </c>
      <c r="N93" s="21">
        <f>L93-M93</f>
        <v/>
      </c>
      <c r="O93" s="16">
        <f>IF(H93="",INDEX('Chart of Accounts'!$A$5:$A$3000,MATCH("bank",'Chart of Accounts'!$F$5:$F$3000,0)),H93&amp;"")</f>
        <v/>
      </c>
      <c r="P93" s="16">
        <f>IF(I93="",INDEX('Chart of Accounts'!$A$5:$A$3000,MATCH("revenue",'Chart of Accounts'!$F$5:$F$3000,0)),I93&amp;"")</f>
        <v/>
      </c>
      <c r="Q93" s="16">
        <f>INDEX('Chart of Accounts'!$A$5:$A$3000,MATCH("wht_receivable",'Chart of Accounts'!$F$5:$F$3000,0))</f>
        <v/>
      </c>
      <c r="R93" s="16">
        <f>INDEX('Chart of Accounts'!$A$5:$A$3000,MATCH("vat_output",'Chart of Accounts'!$F$5:$F$3000,0))</f>
        <v/>
      </c>
      <c r="S93" s="23">
        <f>IFERROR(INDEX('Chart of Accounts'!$C$5:$C$3000,MATCH(O93&amp;"",'Chart of Accounts'!$A$5:$A$3000,0))&amp;"|"&amp;INDEX('Chart of Accounts'!$D$5:$D$3000,MATCH(O93&amp;"",'Chart of Accounts'!$A$5:$A$3000,0)),"")</f>
        <v/>
      </c>
      <c r="T93" s="23">
        <f>IFERROR(INDEX('Chart of Accounts'!$C$5:$C$3000,MATCH(Q93&amp;"",'Chart of Accounts'!$A$5:$A$3000,0))&amp;"|"&amp;INDEX('Chart of Accounts'!$D$5:$D$3000,MATCH(Q93&amp;"",'Chart of Accounts'!$A$5:$A$3000,0)),"")</f>
        <v/>
      </c>
      <c r="U93" s="23">
        <f>IFERROR(INDEX('Chart of Accounts'!$C$5:$C$3000,MATCH(P93&amp;"",'Chart of Accounts'!$A$5:$A$3000,0))&amp;"|"&amp;INDEX('Chart of Accounts'!$D$5:$D$3000,MATCH(P93&amp;"",'Chart of Accounts'!$A$5:$A$3000,0)),"")</f>
        <v/>
      </c>
      <c r="V93" s="23">
        <f>IFERROR(INDEX('Chart of Accounts'!$C$5:$C$3000,MATCH(R93&amp;"",'Chart of Accounts'!$A$5:$A$3000,0))&amp;"|"&amp;INDEX('Chart of Accounts'!$D$5:$D$3000,MATCH(R93&amp;"",'Chart of Accounts'!$A$5:$A$3000,0)),"")</f>
        <v/>
      </c>
      <c r="W93" s="23">
        <f>IF(LEFT(S93,8)="Revenue|",-N(F93),0)+IF(LEFT(T93,8)="Revenue|",-N(J93),0)+IF(LEFT(U93,8)="Revenue|",N(N93),0)+IF(LEFT(V93,8)="Revenue|",N(M93),0)</f>
        <v/>
      </c>
      <c r="X93" s="23">
        <f>IF(LEFT(S93,5)="COGS|",N(F93),0)+IF(LEFT(T93,5)="COGS|",N(J93),0)+IF(LEFT(U93,5)="COGS|",-N(N93),0)+IF(LEFT(V93,5)="COGS|",-N(M93),0)</f>
        <v/>
      </c>
      <c r="Y93" s="23">
        <f>IF(LEFT(S93,8)="Expense|",N(F93),0)+IF(LEFT(T93,8)="Expense|",N(J93),0)+IF(LEFT(U93,8)="Expense|",-N(N93),0)+IF(LEFT(V93,8)="Expense|",-N(M93),0)</f>
        <v/>
      </c>
      <c r="Z93" s="23">
        <f>IF(ISNUMBER(MATCH(S93,{"Expense|employee","Expense|general_admin","Expense|marketing","Expense|utilities","Expense|other_operating"},0)),N(F93),0)+IF(ISNUMBER(MATCH(T93,{"Expense|employee","Expense|general_admin","Expense|marketing","Expense|utilities","Expense|other_operating"},0)),N(J93),0)+IF(ISNUMBER(MATCH(U93,{"Expense|employee","Expense|general_admin","Expense|marketing","Expense|utilities","Expense|other_operating"},0)),-N(N93),0)+IF(ISNUMBER(MATCH(V93,{"Expense|employee","Expense|general_admin","Expense|marketing","Expense|utilities","Expense|other_operating"},0)),-N(M93),0)</f>
        <v/>
      </c>
      <c r="AA93" s="23">
        <f>IF(S93="Liability|payable",-N(F93),0)+IF(T93="Liability|payable",-N(J93),0)+IF(U93="Liability|payable",N(N93),0)+IF(V93="Liability|payable",N(M93),0)</f>
        <v/>
      </c>
      <c r="AB93" s="23">
        <f>IF(S93="Liability|accrued",-N(F93),0)+IF(T93="Liability|accrued",-N(J93),0)+IF(U93="Liability|accrued",N(N93),0)+IF(V93="Liability|accrued",N(M93),0)</f>
        <v/>
      </c>
      <c r="AC93" s="23">
        <f>IF(AND(N(F93)&lt;&gt;0,S93=""),1,0)+IF(AND(N(J93)&lt;&gt;0,T93=""),1,0)+IF(AND(N(N93)&lt;&gt;0,U93=""),1,0)+IF(AND(N(M93)&lt;&gt;0,V93=""),1,0)</f>
        <v/>
      </c>
    </row>
    <row r="94">
      <c r="A94" s="19" t="n"/>
      <c r="B94" s="14" t="n"/>
      <c r="C94" s="14" t="n"/>
      <c r="D94" s="14" t="n"/>
      <c r="E94" s="14" t="n"/>
      <c r="F94" s="20" t="n"/>
      <c r="G94" s="14" t="n"/>
      <c r="H94" s="14" t="n"/>
      <c r="I94" s="14" t="n"/>
      <c r="J94" s="20" t="n"/>
      <c r="K94" s="14" t="n"/>
      <c r="L94" s="21">
        <f>N(F94)+N(J94)</f>
        <v/>
      </c>
      <c r="M94" s="21">
        <f>IF(K94="",0,L94-ROUND(L94/(1+IFERROR(VLOOKUP(K94,'Tax Codes'!$A$5:$E$300,5,FALSE),0)),2))</f>
        <v/>
      </c>
      <c r="N94" s="21">
        <f>L94-M94</f>
        <v/>
      </c>
      <c r="O94" s="16">
        <f>IF(H94="",INDEX('Chart of Accounts'!$A$5:$A$3000,MATCH("bank",'Chart of Accounts'!$F$5:$F$3000,0)),H94&amp;"")</f>
        <v/>
      </c>
      <c r="P94" s="16">
        <f>IF(I94="",INDEX('Chart of Accounts'!$A$5:$A$3000,MATCH("revenue",'Chart of Accounts'!$F$5:$F$3000,0)),I94&amp;"")</f>
        <v/>
      </c>
      <c r="Q94" s="16">
        <f>INDEX('Chart of Accounts'!$A$5:$A$3000,MATCH("wht_receivable",'Chart of Accounts'!$F$5:$F$3000,0))</f>
        <v/>
      </c>
      <c r="R94" s="16">
        <f>INDEX('Chart of Accounts'!$A$5:$A$3000,MATCH("vat_output",'Chart of Accounts'!$F$5:$F$3000,0))</f>
        <v/>
      </c>
      <c r="S94" s="23">
        <f>IFERROR(INDEX('Chart of Accounts'!$C$5:$C$3000,MATCH(O94&amp;"",'Chart of Accounts'!$A$5:$A$3000,0))&amp;"|"&amp;INDEX('Chart of Accounts'!$D$5:$D$3000,MATCH(O94&amp;"",'Chart of Accounts'!$A$5:$A$3000,0)),"")</f>
        <v/>
      </c>
      <c r="T94" s="23">
        <f>IFERROR(INDEX('Chart of Accounts'!$C$5:$C$3000,MATCH(Q94&amp;"",'Chart of Accounts'!$A$5:$A$3000,0))&amp;"|"&amp;INDEX('Chart of Accounts'!$D$5:$D$3000,MATCH(Q94&amp;"",'Chart of Accounts'!$A$5:$A$3000,0)),"")</f>
        <v/>
      </c>
      <c r="U94" s="23">
        <f>IFERROR(INDEX('Chart of Accounts'!$C$5:$C$3000,MATCH(P94&amp;"",'Chart of Accounts'!$A$5:$A$3000,0))&amp;"|"&amp;INDEX('Chart of Accounts'!$D$5:$D$3000,MATCH(P94&amp;"",'Chart of Accounts'!$A$5:$A$3000,0)),"")</f>
        <v/>
      </c>
      <c r="V94" s="23">
        <f>IFERROR(INDEX('Chart of Accounts'!$C$5:$C$3000,MATCH(R94&amp;"",'Chart of Accounts'!$A$5:$A$3000,0))&amp;"|"&amp;INDEX('Chart of Accounts'!$D$5:$D$3000,MATCH(R94&amp;"",'Chart of Accounts'!$A$5:$A$3000,0)),"")</f>
        <v/>
      </c>
      <c r="W94" s="23">
        <f>IF(LEFT(S94,8)="Revenue|",-N(F94),0)+IF(LEFT(T94,8)="Revenue|",-N(J94),0)+IF(LEFT(U94,8)="Revenue|",N(N94),0)+IF(LEFT(V94,8)="Revenue|",N(M94),0)</f>
        <v/>
      </c>
      <c r="X94" s="23">
        <f>IF(LEFT(S94,5)="COGS|",N(F94),0)+IF(LEFT(T94,5)="COGS|",N(J94),0)+IF(LEFT(U94,5)="COGS|",-N(N94),0)+IF(LEFT(V94,5)="COGS|",-N(M94),0)</f>
        <v/>
      </c>
      <c r="Y94" s="23">
        <f>IF(LEFT(S94,8)="Expense|",N(F94),0)+IF(LEFT(T94,8)="Expense|",N(J94),0)+IF(LEFT(U94,8)="Expense|",-N(N94),0)+IF(LEFT(V94,8)="Expense|",-N(M94),0)</f>
        <v/>
      </c>
      <c r="Z94" s="23">
        <f>IF(ISNUMBER(MATCH(S94,{"Expense|employee","Expense|general_admin","Expense|marketing","Expense|utilities","Expense|other_operating"},0)),N(F94),0)+IF(ISNUMBER(MATCH(T94,{"Expense|employee","Expense|general_admin","Expense|marketing","Expense|utilities","Expense|other_operating"},0)),N(J94),0)+IF(ISNUMBER(MATCH(U94,{"Expense|employee","Expense|general_admin","Expense|marketing","Expense|utilities","Expense|other_operating"},0)),-N(N94),0)+IF(ISNUMBER(MATCH(V94,{"Expense|employee","Expense|general_admin","Expense|marketing","Expense|utilities","Expense|other_operating"},0)),-N(M94),0)</f>
        <v/>
      </c>
      <c r="AA94" s="23">
        <f>IF(S94="Liability|payable",-N(F94),0)+IF(T94="Liability|payable",-N(J94),0)+IF(U94="Liability|payable",N(N94),0)+IF(V94="Liability|payable",N(M94),0)</f>
        <v/>
      </c>
      <c r="AB94" s="23">
        <f>IF(S94="Liability|accrued",-N(F94),0)+IF(T94="Liability|accrued",-N(J94),0)+IF(U94="Liability|accrued",N(N94),0)+IF(V94="Liability|accrued",N(M94),0)</f>
        <v/>
      </c>
      <c r="AC94" s="23">
        <f>IF(AND(N(F94)&lt;&gt;0,S94=""),1,0)+IF(AND(N(J94)&lt;&gt;0,T94=""),1,0)+IF(AND(N(N94)&lt;&gt;0,U94=""),1,0)+IF(AND(N(M94)&lt;&gt;0,V94=""),1,0)</f>
        <v/>
      </c>
    </row>
    <row r="95">
      <c r="A95" s="19" t="n"/>
      <c r="B95" s="14" t="n"/>
      <c r="C95" s="14" t="n"/>
      <c r="D95" s="14" t="n"/>
      <c r="E95" s="14" t="n"/>
      <c r="F95" s="20" t="n"/>
      <c r="G95" s="14" t="n"/>
      <c r="H95" s="14" t="n"/>
      <c r="I95" s="14" t="n"/>
      <c r="J95" s="20" t="n"/>
      <c r="K95" s="14" t="n"/>
      <c r="L95" s="21">
        <f>N(F95)+N(J95)</f>
        <v/>
      </c>
      <c r="M95" s="21">
        <f>IF(K95="",0,L95-ROUND(L95/(1+IFERROR(VLOOKUP(K95,'Tax Codes'!$A$5:$E$300,5,FALSE),0)),2))</f>
        <v/>
      </c>
      <c r="N95" s="21">
        <f>L95-M95</f>
        <v/>
      </c>
      <c r="O95" s="16">
        <f>IF(H95="",INDEX('Chart of Accounts'!$A$5:$A$3000,MATCH("bank",'Chart of Accounts'!$F$5:$F$3000,0)),H95&amp;"")</f>
        <v/>
      </c>
      <c r="P95" s="16">
        <f>IF(I95="",INDEX('Chart of Accounts'!$A$5:$A$3000,MATCH("revenue",'Chart of Accounts'!$F$5:$F$3000,0)),I95&amp;"")</f>
        <v/>
      </c>
      <c r="Q95" s="16">
        <f>INDEX('Chart of Accounts'!$A$5:$A$3000,MATCH("wht_receivable",'Chart of Accounts'!$F$5:$F$3000,0))</f>
        <v/>
      </c>
      <c r="R95" s="16">
        <f>INDEX('Chart of Accounts'!$A$5:$A$3000,MATCH("vat_output",'Chart of Accounts'!$F$5:$F$3000,0))</f>
        <v/>
      </c>
      <c r="S95" s="23">
        <f>IFERROR(INDEX('Chart of Accounts'!$C$5:$C$3000,MATCH(O95&amp;"",'Chart of Accounts'!$A$5:$A$3000,0))&amp;"|"&amp;INDEX('Chart of Accounts'!$D$5:$D$3000,MATCH(O95&amp;"",'Chart of Accounts'!$A$5:$A$3000,0)),"")</f>
        <v/>
      </c>
      <c r="T95" s="23">
        <f>IFERROR(INDEX('Chart of Accounts'!$C$5:$C$3000,MATCH(Q95&amp;"",'Chart of Accounts'!$A$5:$A$3000,0))&amp;"|"&amp;INDEX('Chart of Accounts'!$D$5:$D$3000,MATCH(Q95&amp;"",'Chart of Accounts'!$A$5:$A$3000,0)),"")</f>
        <v/>
      </c>
      <c r="U95" s="23">
        <f>IFERROR(INDEX('Chart of Accounts'!$C$5:$C$3000,MATCH(P95&amp;"",'Chart of Accounts'!$A$5:$A$3000,0))&amp;"|"&amp;INDEX('Chart of Accounts'!$D$5:$D$3000,MATCH(P95&amp;"",'Chart of Accounts'!$A$5:$A$3000,0)),"")</f>
        <v/>
      </c>
      <c r="V95" s="23">
        <f>IFERROR(INDEX('Chart of Accounts'!$C$5:$C$3000,MATCH(R95&amp;"",'Chart of Accounts'!$A$5:$A$3000,0))&amp;"|"&amp;INDEX('Chart of Accounts'!$D$5:$D$3000,MATCH(R95&amp;"",'Chart of Accounts'!$A$5:$A$3000,0)),"")</f>
        <v/>
      </c>
      <c r="W95" s="23">
        <f>IF(LEFT(S95,8)="Revenue|",-N(F95),0)+IF(LEFT(T95,8)="Revenue|",-N(J95),0)+IF(LEFT(U95,8)="Revenue|",N(N95),0)+IF(LEFT(V95,8)="Revenue|",N(M95),0)</f>
        <v/>
      </c>
      <c r="X95" s="23">
        <f>IF(LEFT(S95,5)="COGS|",N(F95),0)+IF(LEFT(T95,5)="COGS|",N(J95),0)+IF(LEFT(U95,5)="COGS|",-N(N95),0)+IF(LEFT(V95,5)="COGS|",-N(M95),0)</f>
        <v/>
      </c>
      <c r="Y95" s="23">
        <f>IF(LEFT(S95,8)="Expense|",N(F95),0)+IF(LEFT(T95,8)="Expense|",N(J95),0)+IF(LEFT(U95,8)="Expense|",-N(N95),0)+IF(LEFT(V95,8)="Expense|",-N(M95),0)</f>
        <v/>
      </c>
      <c r="Z95" s="23">
        <f>IF(ISNUMBER(MATCH(S95,{"Expense|employee","Expense|general_admin","Expense|marketing","Expense|utilities","Expense|other_operating"},0)),N(F95),0)+IF(ISNUMBER(MATCH(T95,{"Expense|employee","Expense|general_admin","Expense|marketing","Expense|utilities","Expense|other_operating"},0)),N(J95),0)+IF(ISNUMBER(MATCH(U95,{"Expense|employee","Expense|general_admin","Expense|marketing","Expense|utilities","Expense|other_operating"},0)),-N(N95),0)+IF(ISNUMBER(MATCH(V95,{"Expense|employee","Expense|general_admin","Expense|marketing","Expense|utilities","Expense|other_operating"},0)),-N(M95),0)</f>
        <v/>
      </c>
      <c r="AA95" s="23">
        <f>IF(S95="Liability|payable",-N(F95),0)+IF(T95="Liability|payable",-N(J95),0)+IF(U95="Liability|payable",N(N95),0)+IF(V95="Liability|payable",N(M95),0)</f>
        <v/>
      </c>
      <c r="AB95" s="23">
        <f>IF(S95="Liability|accrued",-N(F95),0)+IF(T95="Liability|accrued",-N(J95),0)+IF(U95="Liability|accrued",N(N95),0)+IF(V95="Liability|accrued",N(M95),0)</f>
        <v/>
      </c>
      <c r="AC95" s="23">
        <f>IF(AND(N(F95)&lt;&gt;0,S95=""),1,0)+IF(AND(N(J95)&lt;&gt;0,T95=""),1,0)+IF(AND(N(N95)&lt;&gt;0,U95=""),1,0)+IF(AND(N(M95)&lt;&gt;0,V95=""),1,0)</f>
        <v/>
      </c>
    </row>
    <row r="96">
      <c r="A96" s="19" t="n"/>
      <c r="B96" s="14" t="n"/>
      <c r="C96" s="14" t="n"/>
      <c r="D96" s="14" t="n"/>
      <c r="E96" s="14" t="n"/>
      <c r="F96" s="20" t="n"/>
      <c r="G96" s="14" t="n"/>
      <c r="H96" s="14" t="n"/>
      <c r="I96" s="14" t="n"/>
      <c r="J96" s="20" t="n"/>
      <c r="K96" s="14" t="n"/>
      <c r="L96" s="21">
        <f>N(F96)+N(J96)</f>
        <v/>
      </c>
      <c r="M96" s="21">
        <f>IF(K96="",0,L96-ROUND(L96/(1+IFERROR(VLOOKUP(K96,'Tax Codes'!$A$5:$E$300,5,FALSE),0)),2))</f>
        <v/>
      </c>
      <c r="N96" s="21">
        <f>L96-M96</f>
        <v/>
      </c>
      <c r="O96" s="16">
        <f>IF(H96="",INDEX('Chart of Accounts'!$A$5:$A$3000,MATCH("bank",'Chart of Accounts'!$F$5:$F$3000,0)),H96&amp;"")</f>
        <v/>
      </c>
      <c r="P96" s="16">
        <f>IF(I96="",INDEX('Chart of Accounts'!$A$5:$A$3000,MATCH("revenue",'Chart of Accounts'!$F$5:$F$3000,0)),I96&amp;"")</f>
        <v/>
      </c>
      <c r="Q96" s="16">
        <f>INDEX('Chart of Accounts'!$A$5:$A$3000,MATCH("wht_receivable",'Chart of Accounts'!$F$5:$F$3000,0))</f>
        <v/>
      </c>
      <c r="R96" s="16">
        <f>INDEX('Chart of Accounts'!$A$5:$A$3000,MATCH("vat_output",'Chart of Accounts'!$F$5:$F$3000,0))</f>
        <v/>
      </c>
      <c r="S96" s="23">
        <f>IFERROR(INDEX('Chart of Accounts'!$C$5:$C$3000,MATCH(O96&amp;"",'Chart of Accounts'!$A$5:$A$3000,0))&amp;"|"&amp;INDEX('Chart of Accounts'!$D$5:$D$3000,MATCH(O96&amp;"",'Chart of Accounts'!$A$5:$A$3000,0)),"")</f>
        <v/>
      </c>
      <c r="T96" s="23">
        <f>IFERROR(INDEX('Chart of Accounts'!$C$5:$C$3000,MATCH(Q96&amp;"",'Chart of Accounts'!$A$5:$A$3000,0))&amp;"|"&amp;INDEX('Chart of Accounts'!$D$5:$D$3000,MATCH(Q96&amp;"",'Chart of Accounts'!$A$5:$A$3000,0)),"")</f>
        <v/>
      </c>
      <c r="U96" s="23">
        <f>IFERROR(INDEX('Chart of Accounts'!$C$5:$C$3000,MATCH(P96&amp;"",'Chart of Accounts'!$A$5:$A$3000,0))&amp;"|"&amp;INDEX('Chart of Accounts'!$D$5:$D$3000,MATCH(P96&amp;"",'Chart of Accounts'!$A$5:$A$3000,0)),"")</f>
        <v/>
      </c>
      <c r="V96" s="23">
        <f>IFERROR(INDEX('Chart of Accounts'!$C$5:$C$3000,MATCH(R96&amp;"",'Chart of Accounts'!$A$5:$A$3000,0))&amp;"|"&amp;INDEX('Chart of Accounts'!$D$5:$D$3000,MATCH(R96&amp;"",'Chart of Accounts'!$A$5:$A$3000,0)),"")</f>
        <v/>
      </c>
      <c r="W96" s="23">
        <f>IF(LEFT(S96,8)="Revenue|",-N(F96),0)+IF(LEFT(T96,8)="Revenue|",-N(J96),0)+IF(LEFT(U96,8)="Revenue|",N(N96),0)+IF(LEFT(V96,8)="Revenue|",N(M96),0)</f>
        <v/>
      </c>
      <c r="X96" s="23">
        <f>IF(LEFT(S96,5)="COGS|",N(F96),0)+IF(LEFT(T96,5)="COGS|",N(J96),0)+IF(LEFT(U96,5)="COGS|",-N(N96),0)+IF(LEFT(V96,5)="COGS|",-N(M96),0)</f>
        <v/>
      </c>
      <c r="Y96" s="23">
        <f>IF(LEFT(S96,8)="Expense|",N(F96),0)+IF(LEFT(T96,8)="Expense|",N(J96),0)+IF(LEFT(U96,8)="Expense|",-N(N96),0)+IF(LEFT(V96,8)="Expense|",-N(M96),0)</f>
        <v/>
      </c>
      <c r="Z96" s="23">
        <f>IF(ISNUMBER(MATCH(S96,{"Expense|employee","Expense|general_admin","Expense|marketing","Expense|utilities","Expense|other_operating"},0)),N(F96),0)+IF(ISNUMBER(MATCH(T96,{"Expense|employee","Expense|general_admin","Expense|marketing","Expense|utilities","Expense|other_operating"},0)),N(J96),0)+IF(ISNUMBER(MATCH(U96,{"Expense|employee","Expense|general_admin","Expense|marketing","Expense|utilities","Expense|other_operating"},0)),-N(N96),0)+IF(ISNUMBER(MATCH(V96,{"Expense|employee","Expense|general_admin","Expense|marketing","Expense|utilities","Expense|other_operating"},0)),-N(M96),0)</f>
        <v/>
      </c>
      <c r="AA96" s="23">
        <f>IF(S96="Liability|payable",-N(F96),0)+IF(T96="Liability|payable",-N(J96),0)+IF(U96="Liability|payable",N(N96),0)+IF(V96="Liability|payable",N(M96),0)</f>
        <v/>
      </c>
      <c r="AB96" s="23">
        <f>IF(S96="Liability|accrued",-N(F96),0)+IF(T96="Liability|accrued",-N(J96),0)+IF(U96="Liability|accrued",N(N96),0)+IF(V96="Liability|accrued",N(M96),0)</f>
        <v/>
      </c>
      <c r="AC96" s="23">
        <f>IF(AND(N(F96)&lt;&gt;0,S96=""),1,0)+IF(AND(N(J96)&lt;&gt;0,T96=""),1,0)+IF(AND(N(N96)&lt;&gt;0,U96=""),1,0)+IF(AND(N(M96)&lt;&gt;0,V96=""),1,0)</f>
        <v/>
      </c>
    </row>
    <row r="97">
      <c r="A97" s="19" t="n"/>
      <c r="B97" s="14" t="n"/>
      <c r="C97" s="14" t="n"/>
      <c r="D97" s="14" t="n"/>
      <c r="E97" s="14" t="n"/>
      <c r="F97" s="20" t="n"/>
      <c r="G97" s="14" t="n"/>
      <c r="H97" s="14" t="n"/>
      <c r="I97" s="14" t="n"/>
      <c r="J97" s="20" t="n"/>
      <c r="K97" s="14" t="n"/>
      <c r="L97" s="21">
        <f>N(F97)+N(J97)</f>
        <v/>
      </c>
      <c r="M97" s="21">
        <f>IF(K97="",0,L97-ROUND(L97/(1+IFERROR(VLOOKUP(K97,'Tax Codes'!$A$5:$E$300,5,FALSE),0)),2))</f>
        <v/>
      </c>
      <c r="N97" s="21">
        <f>L97-M97</f>
        <v/>
      </c>
      <c r="O97" s="16">
        <f>IF(H97="",INDEX('Chart of Accounts'!$A$5:$A$3000,MATCH("bank",'Chart of Accounts'!$F$5:$F$3000,0)),H97&amp;"")</f>
        <v/>
      </c>
      <c r="P97" s="16">
        <f>IF(I97="",INDEX('Chart of Accounts'!$A$5:$A$3000,MATCH("revenue",'Chart of Accounts'!$F$5:$F$3000,0)),I97&amp;"")</f>
        <v/>
      </c>
      <c r="Q97" s="16">
        <f>INDEX('Chart of Accounts'!$A$5:$A$3000,MATCH("wht_receivable",'Chart of Accounts'!$F$5:$F$3000,0))</f>
        <v/>
      </c>
      <c r="R97" s="16">
        <f>INDEX('Chart of Accounts'!$A$5:$A$3000,MATCH("vat_output",'Chart of Accounts'!$F$5:$F$3000,0))</f>
        <v/>
      </c>
      <c r="S97" s="23">
        <f>IFERROR(INDEX('Chart of Accounts'!$C$5:$C$3000,MATCH(O97&amp;"",'Chart of Accounts'!$A$5:$A$3000,0))&amp;"|"&amp;INDEX('Chart of Accounts'!$D$5:$D$3000,MATCH(O97&amp;"",'Chart of Accounts'!$A$5:$A$3000,0)),"")</f>
        <v/>
      </c>
      <c r="T97" s="23">
        <f>IFERROR(INDEX('Chart of Accounts'!$C$5:$C$3000,MATCH(Q97&amp;"",'Chart of Accounts'!$A$5:$A$3000,0))&amp;"|"&amp;INDEX('Chart of Accounts'!$D$5:$D$3000,MATCH(Q97&amp;"",'Chart of Accounts'!$A$5:$A$3000,0)),"")</f>
        <v/>
      </c>
      <c r="U97" s="23">
        <f>IFERROR(INDEX('Chart of Accounts'!$C$5:$C$3000,MATCH(P97&amp;"",'Chart of Accounts'!$A$5:$A$3000,0))&amp;"|"&amp;INDEX('Chart of Accounts'!$D$5:$D$3000,MATCH(P97&amp;"",'Chart of Accounts'!$A$5:$A$3000,0)),"")</f>
        <v/>
      </c>
      <c r="V97" s="23">
        <f>IFERROR(INDEX('Chart of Accounts'!$C$5:$C$3000,MATCH(R97&amp;"",'Chart of Accounts'!$A$5:$A$3000,0))&amp;"|"&amp;INDEX('Chart of Accounts'!$D$5:$D$3000,MATCH(R97&amp;"",'Chart of Accounts'!$A$5:$A$3000,0)),"")</f>
        <v/>
      </c>
      <c r="W97" s="23">
        <f>IF(LEFT(S97,8)="Revenue|",-N(F97),0)+IF(LEFT(T97,8)="Revenue|",-N(J97),0)+IF(LEFT(U97,8)="Revenue|",N(N97),0)+IF(LEFT(V97,8)="Revenue|",N(M97),0)</f>
        <v/>
      </c>
      <c r="X97" s="23">
        <f>IF(LEFT(S97,5)="COGS|",N(F97),0)+IF(LEFT(T97,5)="COGS|",N(J97),0)+IF(LEFT(U97,5)="COGS|",-N(N97),0)+IF(LEFT(V97,5)="COGS|",-N(M97),0)</f>
        <v/>
      </c>
      <c r="Y97" s="23">
        <f>IF(LEFT(S97,8)="Expense|",N(F97),0)+IF(LEFT(T97,8)="Expense|",N(J97),0)+IF(LEFT(U97,8)="Expense|",-N(N97),0)+IF(LEFT(V97,8)="Expense|",-N(M97),0)</f>
        <v/>
      </c>
      <c r="Z97" s="23">
        <f>IF(ISNUMBER(MATCH(S97,{"Expense|employee","Expense|general_admin","Expense|marketing","Expense|utilities","Expense|other_operating"},0)),N(F97),0)+IF(ISNUMBER(MATCH(T97,{"Expense|employee","Expense|general_admin","Expense|marketing","Expense|utilities","Expense|other_operating"},0)),N(J97),0)+IF(ISNUMBER(MATCH(U97,{"Expense|employee","Expense|general_admin","Expense|marketing","Expense|utilities","Expense|other_operating"},0)),-N(N97),0)+IF(ISNUMBER(MATCH(V97,{"Expense|employee","Expense|general_admin","Expense|marketing","Expense|utilities","Expense|other_operating"},0)),-N(M97),0)</f>
        <v/>
      </c>
      <c r="AA97" s="23">
        <f>IF(S97="Liability|payable",-N(F97),0)+IF(T97="Liability|payable",-N(J97),0)+IF(U97="Liability|payable",N(N97),0)+IF(V97="Liability|payable",N(M97),0)</f>
        <v/>
      </c>
      <c r="AB97" s="23">
        <f>IF(S97="Liability|accrued",-N(F97),0)+IF(T97="Liability|accrued",-N(J97),0)+IF(U97="Liability|accrued",N(N97),0)+IF(V97="Liability|accrued",N(M97),0)</f>
        <v/>
      </c>
      <c r="AC97" s="23">
        <f>IF(AND(N(F97)&lt;&gt;0,S97=""),1,0)+IF(AND(N(J97)&lt;&gt;0,T97=""),1,0)+IF(AND(N(N97)&lt;&gt;0,U97=""),1,0)+IF(AND(N(M97)&lt;&gt;0,V97=""),1,0)</f>
        <v/>
      </c>
    </row>
    <row r="98">
      <c r="A98" s="19" t="n"/>
      <c r="B98" s="14" t="n"/>
      <c r="C98" s="14" t="n"/>
      <c r="D98" s="14" t="n"/>
      <c r="E98" s="14" t="n"/>
      <c r="F98" s="20" t="n"/>
      <c r="G98" s="14" t="n"/>
      <c r="H98" s="14" t="n"/>
      <c r="I98" s="14" t="n"/>
      <c r="J98" s="20" t="n"/>
      <c r="K98" s="14" t="n"/>
      <c r="L98" s="21">
        <f>N(F98)+N(J98)</f>
        <v/>
      </c>
      <c r="M98" s="21">
        <f>IF(K98="",0,L98-ROUND(L98/(1+IFERROR(VLOOKUP(K98,'Tax Codes'!$A$5:$E$300,5,FALSE),0)),2))</f>
        <v/>
      </c>
      <c r="N98" s="21">
        <f>L98-M98</f>
        <v/>
      </c>
      <c r="O98" s="16">
        <f>IF(H98="",INDEX('Chart of Accounts'!$A$5:$A$3000,MATCH("bank",'Chart of Accounts'!$F$5:$F$3000,0)),H98&amp;"")</f>
        <v/>
      </c>
      <c r="P98" s="16">
        <f>IF(I98="",INDEX('Chart of Accounts'!$A$5:$A$3000,MATCH("revenue",'Chart of Accounts'!$F$5:$F$3000,0)),I98&amp;"")</f>
        <v/>
      </c>
      <c r="Q98" s="16">
        <f>INDEX('Chart of Accounts'!$A$5:$A$3000,MATCH("wht_receivable",'Chart of Accounts'!$F$5:$F$3000,0))</f>
        <v/>
      </c>
      <c r="R98" s="16">
        <f>INDEX('Chart of Accounts'!$A$5:$A$3000,MATCH("vat_output",'Chart of Accounts'!$F$5:$F$3000,0))</f>
        <v/>
      </c>
      <c r="S98" s="23">
        <f>IFERROR(INDEX('Chart of Accounts'!$C$5:$C$3000,MATCH(O98&amp;"",'Chart of Accounts'!$A$5:$A$3000,0))&amp;"|"&amp;INDEX('Chart of Accounts'!$D$5:$D$3000,MATCH(O98&amp;"",'Chart of Accounts'!$A$5:$A$3000,0)),"")</f>
        <v/>
      </c>
      <c r="T98" s="23">
        <f>IFERROR(INDEX('Chart of Accounts'!$C$5:$C$3000,MATCH(Q98&amp;"",'Chart of Accounts'!$A$5:$A$3000,0))&amp;"|"&amp;INDEX('Chart of Accounts'!$D$5:$D$3000,MATCH(Q98&amp;"",'Chart of Accounts'!$A$5:$A$3000,0)),"")</f>
        <v/>
      </c>
      <c r="U98" s="23">
        <f>IFERROR(INDEX('Chart of Accounts'!$C$5:$C$3000,MATCH(P98&amp;"",'Chart of Accounts'!$A$5:$A$3000,0))&amp;"|"&amp;INDEX('Chart of Accounts'!$D$5:$D$3000,MATCH(P98&amp;"",'Chart of Accounts'!$A$5:$A$3000,0)),"")</f>
        <v/>
      </c>
      <c r="V98" s="23">
        <f>IFERROR(INDEX('Chart of Accounts'!$C$5:$C$3000,MATCH(R98&amp;"",'Chart of Accounts'!$A$5:$A$3000,0))&amp;"|"&amp;INDEX('Chart of Accounts'!$D$5:$D$3000,MATCH(R98&amp;"",'Chart of Accounts'!$A$5:$A$3000,0)),"")</f>
        <v/>
      </c>
      <c r="W98" s="23">
        <f>IF(LEFT(S98,8)="Revenue|",-N(F98),0)+IF(LEFT(T98,8)="Revenue|",-N(J98),0)+IF(LEFT(U98,8)="Revenue|",N(N98),0)+IF(LEFT(V98,8)="Revenue|",N(M98),0)</f>
        <v/>
      </c>
      <c r="X98" s="23">
        <f>IF(LEFT(S98,5)="COGS|",N(F98),0)+IF(LEFT(T98,5)="COGS|",N(J98),0)+IF(LEFT(U98,5)="COGS|",-N(N98),0)+IF(LEFT(V98,5)="COGS|",-N(M98),0)</f>
        <v/>
      </c>
      <c r="Y98" s="23">
        <f>IF(LEFT(S98,8)="Expense|",N(F98),0)+IF(LEFT(T98,8)="Expense|",N(J98),0)+IF(LEFT(U98,8)="Expense|",-N(N98),0)+IF(LEFT(V98,8)="Expense|",-N(M98),0)</f>
        <v/>
      </c>
      <c r="Z98" s="23">
        <f>IF(ISNUMBER(MATCH(S98,{"Expense|employee","Expense|general_admin","Expense|marketing","Expense|utilities","Expense|other_operating"},0)),N(F98),0)+IF(ISNUMBER(MATCH(T98,{"Expense|employee","Expense|general_admin","Expense|marketing","Expense|utilities","Expense|other_operating"},0)),N(J98),0)+IF(ISNUMBER(MATCH(U98,{"Expense|employee","Expense|general_admin","Expense|marketing","Expense|utilities","Expense|other_operating"},0)),-N(N98),0)+IF(ISNUMBER(MATCH(V98,{"Expense|employee","Expense|general_admin","Expense|marketing","Expense|utilities","Expense|other_operating"},0)),-N(M98),0)</f>
        <v/>
      </c>
      <c r="AA98" s="23">
        <f>IF(S98="Liability|payable",-N(F98),0)+IF(T98="Liability|payable",-N(J98),0)+IF(U98="Liability|payable",N(N98),0)+IF(V98="Liability|payable",N(M98),0)</f>
        <v/>
      </c>
      <c r="AB98" s="23">
        <f>IF(S98="Liability|accrued",-N(F98),0)+IF(T98="Liability|accrued",-N(J98),0)+IF(U98="Liability|accrued",N(N98),0)+IF(V98="Liability|accrued",N(M98),0)</f>
        <v/>
      </c>
      <c r="AC98" s="23">
        <f>IF(AND(N(F98)&lt;&gt;0,S98=""),1,0)+IF(AND(N(J98)&lt;&gt;0,T98=""),1,0)+IF(AND(N(N98)&lt;&gt;0,U98=""),1,0)+IF(AND(N(M98)&lt;&gt;0,V98=""),1,0)</f>
        <v/>
      </c>
    </row>
    <row r="99">
      <c r="A99" s="19" t="n"/>
      <c r="B99" s="14" t="n"/>
      <c r="C99" s="14" t="n"/>
      <c r="D99" s="14" t="n"/>
      <c r="E99" s="14" t="n"/>
      <c r="F99" s="20" t="n"/>
      <c r="G99" s="14" t="n"/>
      <c r="H99" s="14" t="n"/>
      <c r="I99" s="14" t="n"/>
      <c r="J99" s="20" t="n"/>
      <c r="K99" s="14" t="n"/>
      <c r="L99" s="21">
        <f>N(F99)+N(J99)</f>
        <v/>
      </c>
      <c r="M99" s="21">
        <f>IF(K99="",0,L99-ROUND(L99/(1+IFERROR(VLOOKUP(K99,'Tax Codes'!$A$5:$E$300,5,FALSE),0)),2))</f>
        <v/>
      </c>
      <c r="N99" s="21">
        <f>L99-M99</f>
        <v/>
      </c>
      <c r="O99" s="16">
        <f>IF(H99="",INDEX('Chart of Accounts'!$A$5:$A$3000,MATCH("bank",'Chart of Accounts'!$F$5:$F$3000,0)),H99&amp;"")</f>
        <v/>
      </c>
      <c r="P99" s="16">
        <f>IF(I99="",INDEX('Chart of Accounts'!$A$5:$A$3000,MATCH("revenue",'Chart of Accounts'!$F$5:$F$3000,0)),I99&amp;"")</f>
        <v/>
      </c>
      <c r="Q99" s="16">
        <f>INDEX('Chart of Accounts'!$A$5:$A$3000,MATCH("wht_receivable",'Chart of Accounts'!$F$5:$F$3000,0))</f>
        <v/>
      </c>
      <c r="R99" s="16">
        <f>INDEX('Chart of Accounts'!$A$5:$A$3000,MATCH("vat_output",'Chart of Accounts'!$F$5:$F$3000,0))</f>
        <v/>
      </c>
      <c r="S99" s="23">
        <f>IFERROR(INDEX('Chart of Accounts'!$C$5:$C$3000,MATCH(O99&amp;"",'Chart of Accounts'!$A$5:$A$3000,0))&amp;"|"&amp;INDEX('Chart of Accounts'!$D$5:$D$3000,MATCH(O99&amp;"",'Chart of Accounts'!$A$5:$A$3000,0)),"")</f>
        <v/>
      </c>
      <c r="T99" s="23">
        <f>IFERROR(INDEX('Chart of Accounts'!$C$5:$C$3000,MATCH(Q99&amp;"",'Chart of Accounts'!$A$5:$A$3000,0))&amp;"|"&amp;INDEX('Chart of Accounts'!$D$5:$D$3000,MATCH(Q99&amp;"",'Chart of Accounts'!$A$5:$A$3000,0)),"")</f>
        <v/>
      </c>
      <c r="U99" s="23">
        <f>IFERROR(INDEX('Chart of Accounts'!$C$5:$C$3000,MATCH(P99&amp;"",'Chart of Accounts'!$A$5:$A$3000,0))&amp;"|"&amp;INDEX('Chart of Accounts'!$D$5:$D$3000,MATCH(P99&amp;"",'Chart of Accounts'!$A$5:$A$3000,0)),"")</f>
        <v/>
      </c>
      <c r="V99" s="23">
        <f>IFERROR(INDEX('Chart of Accounts'!$C$5:$C$3000,MATCH(R99&amp;"",'Chart of Accounts'!$A$5:$A$3000,0))&amp;"|"&amp;INDEX('Chart of Accounts'!$D$5:$D$3000,MATCH(R99&amp;"",'Chart of Accounts'!$A$5:$A$3000,0)),"")</f>
        <v/>
      </c>
      <c r="W99" s="23">
        <f>IF(LEFT(S99,8)="Revenue|",-N(F99),0)+IF(LEFT(T99,8)="Revenue|",-N(J99),0)+IF(LEFT(U99,8)="Revenue|",N(N99),0)+IF(LEFT(V99,8)="Revenue|",N(M99),0)</f>
        <v/>
      </c>
      <c r="X99" s="23">
        <f>IF(LEFT(S99,5)="COGS|",N(F99),0)+IF(LEFT(T99,5)="COGS|",N(J99),0)+IF(LEFT(U99,5)="COGS|",-N(N99),0)+IF(LEFT(V99,5)="COGS|",-N(M99),0)</f>
        <v/>
      </c>
      <c r="Y99" s="23">
        <f>IF(LEFT(S99,8)="Expense|",N(F99),0)+IF(LEFT(T99,8)="Expense|",N(J99),0)+IF(LEFT(U99,8)="Expense|",-N(N99),0)+IF(LEFT(V99,8)="Expense|",-N(M99),0)</f>
        <v/>
      </c>
      <c r="Z99" s="23">
        <f>IF(ISNUMBER(MATCH(S99,{"Expense|employee","Expense|general_admin","Expense|marketing","Expense|utilities","Expense|other_operating"},0)),N(F99),0)+IF(ISNUMBER(MATCH(T99,{"Expense|employee","Expense|general_admin","Expense|marketing","Expense|utilities","Expense|other_operating"},0)),N(J99),0)+IF(ISNUMBER(MATCH(U99,{"Expense|employee","Expense|general_admin","Expense|marketing","Expense|utilities","Expense|other_operating"},0)),-N(N99),0)+IF(ISNUMBER(MATCH(V99,{"Expense|employee","Expense|general_admin","Expense|marketing","Expense|utilities","Expense|other_operating"},0)),-N(M99),0)</f>
        <v/>
      </c>
      <c r="AA99" s="23">
        <f>IF(S99="Liability|payable",-N(F99),0)+IF(T99="Liability|payable",-N(J99),0)+IF(U99="Liability|payable",N(N99),0)+IF(V99="Liability|payable",N(M99),0)</f>
        <v/>
      </c>
      <c r="AB99" s="23">
        <f>IF(S99="Liability|accrued",-N(F99),0)+IF(T99="Liability|accrued",-N(J99),0)+IF(U99="Liability|accrued",N(N99),0)+IF(V99="Liability|accrued",N(M99),0)</f>
        <v/>
      </c>
      <c r="AC99" s="23">
        <f>IF(AND(N(F99)&lt;&gt;0,S99=""),1,0)+IF(AND(N(J99)&lt;&gt;0,T99=""),1,0)+IF(AND(N(N99)&lt;&gt;0,U99=""),1,0)+IF(AND(N(M99)&lt;&gt;0,V99=""),1,0)</f>
        <v/>
      </c>
    </row>
    <row r="100">
      <c r="A100" s="19" t="n"/>
      <c r="B100" s="14" t="n"/>
      <c r="C100" s="14" t="n"/>
      <c r="D100" s="14" t="n"/>
      <c r="E100" s="14" t="n"/>
      <c r="F100" s="20" t="n"/>
      <c r="G100" s="14" t="n"/>
      <c r="H100" s="14" t="n"/>
      <c r="I100" s="14" t="n"/>
      <c r="J100" s="20" t="n"/>
      <c r="K100" s="14" t="n"/>
      <c r="L100" s="21">
        <f>N(F100)+N(J100)</f>
        <v/>
      </c>
      <c r="M100" s="21">
        <f>IF(K100="",0,L100-ROUND(L100/(1+IFERROR(VLOOKUP(K100,'Tax Codes'!$A$5:$E$300,5,FALSE),0)),2))</f>
        <v/>
      </c>
      <c r="N100" s="21">
        <f>L100-M100</f>
        <v/>
      </c>
      <c r="O100" s="16">
        <f>IF(H100="",INDEX('Chart of Accounts'!$A$5:$A$3000,MATCH("bank",'Chart of Accounts'!$F$5:$F$3000,0)),H100&amp;"")</f>
        <v/>
      </c>
      <c r="P100" s="16">
        <f>IF(I100="",INDEX('Chart of Accounts'!$A$5:$A$3000,MATCH("revenue",'Chart of Accounts'!$F$5:$F$3000,0)),I100&amp;"")</f>
        <v/>
      </c>
      <c r="Q100" s="16">
        <f>INDEX('Chart of Accounts'!$A$5:$A$3000,MATCH("wht_receivable",'Chart of Accounts'!$F$5:$F$3000,0))</f>
        <v/>
      </c>
      <c r="R100" s="16">
        <f>INDEX('Chart of Accounts'!$A$5:$A$3000,MATCH("vat_output",'Chart of Accounts'!$F$5:$F$3000,0))</f>
        <v/>
      </c>
      <c r="S100" s="23">
        <f>IFERROR(INDEX('Chart of Accounts'!$C$5:$C$3000,MATCH(O100&amp;"",'Chart of Accounts'!$A$5:$A$3000,0))&amp;"|"&amp;INDEX('Chart of Accounts'!$D$5:$D$3000,MATCH(O100&amp;"",'Chart of Accounts'!$A$5:$A$3000,0)),"")</f>
        <v/>
      </c>
      <c r="T100" s="23">
        <f>IFERROR(INDEX('Chart of Accounts'!$C$5:$C$3000,MATCH(Q100&amp;"",'Chart of Accounts'!$A$5:$A$3000,0))&amp;"|"&amp;INDEX('Chart of Accounts'!$D$5:$D$3000,MATCH(Q100&amp;"",'Chart of Accounts'!$A$5:$A$3000,0)),"")</f>
        <v/>
      </c>
      <c r="U100" s="23">
        <f>IFERROR(INDEX('Chart of Accounts'!$C$5:$C$3000,MATCH(P100&amp;"",'Chart of Accounts'!$A$5:$A$3000,0))&amp;"|"&amp;INDEX('Chart of Accounts'!$D$5:$D$3000,MATCH(P100&amp;"",'Chart of Accounts'!$A$5:$A$3000,0)),"")</f>
        <v/>
      </c>
      <c r="V100" s="23">
        <f>IFERROR(INDEX('Chart of Accounts'!$C$5:$C$3000,MATCH(R100&amp;"",'Chart of Accounts'!$A$5:$A$3000,0))&amp;"|"&amp;INDEX('Chart of Accounts'!$D$5:$D$3000,MATCH(R100&amp;"",'Chart of Accounts'!$A$5:$A$3000,0)),"")</f>
        <v/>
      </c>
      <c r="W100" s="23">
        <f>IF(LEFT(S100,8)="Revenue|",-N(F100),0)+IF(LEFT(T100,8)="Revenue|",-N(J100),0)+IF(LEFT(U100,8)="Revenue|",N(N100),0)+IF(LEFT(V100,8)="Revenue|",N(M100),0)</f>
        <v/>
      </c>
      <c r="X100" s="23">
        <f>IF(LEFT(S100,5)="COGS|",N(F100),0)+IF(LEFT(T100,5)="COGS|",N(J100),0)+IF(LEFT(U100,5)="COGS|",-N(N100),0)+IF(LEFT(V100,5)="COGS|",-N(M100),0)</f>
        <v/>
      </c>
      <c r="Y100" s="23">
        <f>IF(LEFT(S100,8)="Expense|",N(F100),0)+IF(LEFT(T100,8)="Expense|",N(J100),0)+IF(LEFT(U100,8)="Expense|",-N(N100),0)+IF(LEFT(V100,8)="Expense|",-N(M100),0)</f>
        <v/>
      </c>
      <c r="Z100" s="23">
        <f>IF(ISNUMBER(MATCH(S100,{"Expense|employee","Expense|general_admin","Expense|marketing","Expense|utilities","Expense|other_operating"},0)),N(F100),0)+IF(ISNUMBER(MATCH(T100,{"Expense|employee","Expense|general_admin","Expense|marketing","Expense|utilities","Expense|other_operating"},0)),N(J100),0)+IF(ISNUMBER(MATCH(U100,{"Expense|employee","Expense|general_admin","Expense|marketing","Expense|utilities","Expense|other_operating"},0)),-N(N100),0)+IF(ISNUMBER(MATCH(V100,{"Expense|employee","Expense|general_admin","Expense|marketing","Expense|utilities","Expense|other_operating"},0)),-N(M100),0)</f>
        <v/>
      </c>
      <c r="AA100" s="23">
        <f>IF(S100="Liability|payable",-N(F100),0)+IF(T100="Liability|payable",-N(J100),0)+IF(U100="Liability|payable",N(N100),0)+IF(V100="Liability|payable",N(M100),0)</f>
        <v/>
      </c>
      <c r="AB100" s="23">
        <f>IF(S100="Liability|accrued",-N(F100),0)+IF(T100="Liability|accrued",-N(J100),0)+IF(U100="Liability|accrued",N(N100),0)+IF(V100="Liability|accrued",N(M100),0)</f>
        <v/>
      </c>
      <c r="AC100" s="23">
        <f>IF(AND(N(F100)&lt;&gt;0,S100=""),1,0)+IF(AND(N(J100)&lt;&gt;0,T100=""),1,0)+IF(AND(N(N100)&lt;&gt;0,U100=""),1,0)+IF(AND(N(M100)&lt;&gt;0,V100=""),1,0)</f>
        <v/>
      </c>
    </row>
    <row r="101">
      <c r="A101" s="19" t="n"/>
      <c r="B101" s="14" t="n"/>
      <c r="C101" s="14" t="n"/>
      <c r="D101" s="14" t="n"/>
      <c r="E101" s="14" t="n"/>
      <c r="F101" s="20" t="n"/>
      <c r="G101" s="14" t="n"/>
      <c r="H101" s="14" t="n"/>
      <c r="I101" s="14" t="n"/>
      <c r="J101" s="20" t="n"/>
      <c r="K101" s="14" t="n"/>
      <c r="L101" s="21">
        <f>N(F101)+N(J101)</f>
        <v/>
      </c>
      <c r="M101" s="21">
        <f>IF(K101="",0,L101-ROUND(L101/(1+IFERROR(VLOOKUP(K101,'Tax Codes'!$A$5:$E$300,5,FALSE),0)),2))</f>
        <v/>
      </c>
      <c r="N101" s="21">
        <f>L101-M101</f>
        <v/>
      </c>
      <c r="O101" s="16">
        <f>IF(H101="",INDEX('Chart of Accounts'!$A$5:$A$3000,MATCH("bank",'Chart of Accounts'!$F$5:$F$3000,0)),H101&amp;"")</f>
        <v/>
      </c>
      <c r="P101" s="16">
        <f>IF(I101="",INDEX('Chart of Accounts'!$A$5:$A$3000,MATCH("revenue",'Chart of Accounts'!$F$5:$F$3000,0)),I101&amp;"")</f>
        <v/>
      </c>
      <c r="Q101" s="16">
        <f>INDEX('Chart of Accounts'!$A$5:$A$3000,MATCH("wht_receivable",'Chart of Accounts'!$F$5:$F$3000,0))</f>
        <v/>
      </c>
      <c r="R101" s="16">
        <f>INDEX('Chart of Accounts'!$A$5:$A$3000,MATCH("vat_output",'Chart of Accounts'!$F$5:$F$3000,0))</f>
        <v/>
      </c>
      <c r="S101" s="23">
        <f>IFERROR(INDEX('Chart of Accounts'!$C$5:$C$3000,MATCH(O101&amp;"",'Chart of Accounts'!$A$5:$A$3000,0))&amp;"|"&amp;INDEX('Chart of Accounts'!$D$5:$D$3000,MATCH(O101&amp;"",'Chart of Accounts'!$A$5:$A$3000,0)),"")</f>
        <v/>
      </c>
      <c r="T101" s="23">
        <f>IFERROR(INDEX('Chart of Accounts'!$C$5:$C$3000,MATCH(Q101&amp;"",'Chart of Accounts'!$A$5:$A$3000,0))&amp;"|"&amp;INDEX('Chart of Accounts'!$D$5:$D$3000,MATCH(Q101&amp;"",'Chart of Accounts'!$A$5:$A$3000,0)),"")</f>
        <v/>
      </c>
      <c r="U101" s="23">
        <f>IFERROR(INDEX('Chart of Accounts'!$C$5:$C$3000,MATCH(P101&amp;"",'Chart of Accounts'!$A$5:$A$3000,0))&amp;"|"&amp;INDEX('Chart of Accounts'!$D$5:$D$3000,MATCH(P101&amp;"",'Chart of Accounts'!$A$5:$A$3000,0)),"")</f>
        <v/>
      </c>
      <c r="V101" s="23">
        <f>IFERROR(INDEX('Chart of Accounts'!$C$5:$C$3000,MATCH(R101&amp;"",'Chart of Accounts'!$A$5:$A$3000,0))&amp;"|"&amp;INDEX('Chart of Accounts'!$D$5:$D$3000,MATCH(R101&amp;"",'Chart of Accounts'!$A$5:$A$3000,0)),"")</f>
        <v/>
      </c>
      <c r="W101" s="23">
        <f>IF(LEFT(S101,8)="Revenue|",-N(F101),0)+IF(LEFT(T101,8)="Revenue|",-N(J101),0)+IF(LEFT(U101,8)="Revenue|",N(N101),0)+IF(LEFT(V101,8)="Revenue|",N(M101),0)</f>
        <v/>
      </c>
      <c r="X101" s="23">
        <f>IF(LEFT(S101,5)="COGS|",N(F101),0)+IF(LEFT(T101,5)="COGS|",N(J101),0)+IF(LEFT(U101,5)="COGS|",-N(N101),0)+IF(LEFT(V101,5)="COGS|",-N(M101),0)</f>
        <v/>
      </c>
      <c r="Y101" s="23">
        <f>IF(LEFT(S101,8)="Expense|",N(F101),0)+IF(LEFT(T101,8)="Expense|",N(J101),0)+IF(LEFT(U101,8)="Expense|",-N(N101),0)+IF(LEFT(V101,8)="Expense|",-N(M101),0)</f>
        <v/>
      </c>
      <c r="Z101" s="23">
        <f>IF(ISNUMBER(MATCH(S101,{"Expense|employee","Expense|general_admin","Expense|marketing","Expense|utilities","Expense|other_operating"},0)),N(F101),0)+IF(ISNUMBER(MATCH(T101,{"Expense|employee","Expense|general_admin","Expense|marketing","Expense|utilities","Expense|other_operating"},0)),N(J101),0)+IF(ISNUMBER(MATCH(U101,{"Expense|employee","Expense|general_admin","Expense|marketing","Expense|utilities","Expense|other_operating"},0)),-N(N101),0)+IF(ISNUMBER(MATCH(V101,{"Expense|employee","Expense|general_admin","Expense|marketing","Expense|utilities","Expense|other_operating"},0)),-N(M101),0)</f>
        <v/>
      </c>
      <c r="AA101" s="23">
        <f>IF(S101="Liability|payable",-N(F101),0)+IF(T101="Liability|payable",-N(J101),0)+IF(U101="Liability|payable",N(N101),0)+IF(V101="Liability|payable",N(M101),0)</f>
        <v/>
      </c>
      <c r="AB101" s="23">
        <f>IF(S101="Liability|accrued",-N(F101),0)+IF(T101="Liability|accrued",-N(J101),0)+IF(U101="Liability|accrued",N(N101),0)+IF(V101="Liability|accrued",N(M101),0)</f>
        <v/>
      </c>
      <c r="AC101" s="23">
        <f>IF(AND(N(F101)&lt;&gt;0,S101=""),1,0)+IF(AND(N(J101)&lt;&gt;0,T101=""),1,0)+IF(AND(N(N101)&lt;&gt;0,U101=""),1,0)+IF(AND(N(M101)&lt;&gt;0,V101=""),1,0)</f>
        <v/>
      </c>
    </row>
    <row r="102">
      <c r="A102" s="19" t="n"/>
      <c r="B102" s="14" t="n"/>
      <c r="C102" s="14" t="n"/>
      <c r="D102" s="14" t="n"/>
      <c r="E102" s="14" t="n"/>
      <c r="F102" s="20" t="n"/>
      <c r="G102" s="14" t="n"/>
      <c r="H102" s="14" t="n"/>
      <c r="I102" s="14" t="n"/>
      <c r="J102" s="20" t="n"/>
      <c r="K102" s="14" t="n"/>
      <c r="L102" s="21">
        <f>N(F102)+N(J102)</f>
        <v/>
      </c>
      <c r="M102" s="21">
        <f>IF(K102="",0,L102-ROUND(L102/(1+IFERROR(VLOOKUP(K102,'Tax Codes'!$A$5:$E$300,5,FALSE),0)),2))</f>
        <v/>
      </c>
      <c r="N102" s="21">
        <f>L102-M102</f>
        <v/>
      </c>
      <c r="O102" s="16">
        <f>IF(H102="",INDEX('Chart of Accounts'!$A$5:$A$3000,MATCH("bank",'Chart of Accounts'!$F$5:$F$3000,0)),H102&amp;"")</f>
        <v/>
      </c>
      <c r="P102" s="16">
        <f>IF(I102="",INDEX('Chart of Accounts'!$A$5:$A$3000,MATCH("revenue",'Chart of Accounts'!$F$5:$F$3000,0)),I102&amp;"")</f>
        <v/>
      </c>
      <c r="Q102" s="16">
        <f>INDEX('Chart of Accounts'!$A$5:$A$3000,MATCH("wht_receivable",'Chart of Accounts'!$F$5:$F$3000,0))</f>
        <v/>
      </c>
      <c r="R102" s="16">
        <f>INDEX('Chart of Accounts'!$A$5:$A$3000,MATCH("vat_output",'Chart of Accounts'!$F$5:$F$3000,0))</f>
        <v/>
      </c>
      <c r="S102" s="23">
        <f>IFERROR(INDEX('Chart of Accounts'!$C$5:$C$3000,MATCH(O102&amp;"",'Chart of Accounts'!$A$5:$A$3000,0))&amp;"|"&amp;INDEX('Chart of Accounts'!$D$5:$D$3000,MATCH(O102&amp;"",'Chart of Accounts'!$A$5:$A$3000,0)),"")</f>
        <v/>
      </c>
      <c r="T102" s="23">
        <f>IFERROR(INDEX('Chart of Accounts'!$C$5:$C$3000,MATCH(Q102&amp;"",'Chart of Accounts'!$A$5:$A$3000,0))&amp;"|"&amp;INDEX('Chart of Accounts'!$D$5:$D$3000,MATCH(Q102&amp;"",'Chart of Accounts'!$A$5:$A$3000,0)),"")</f>
        <v/>
      </c>
      <c r="U102" s="23">
        <f>IFERROR(INDEX('Chart of Accounts'!$C$5:$C$3000,MATCH(P102&amp;"",'Chart of Accounts'!$A$5:$A$3000,0))&amp;"|"&amp;INDEX('Chart of Accounts'!$D$5:$D$3000,MATCH(P102&amp;"",'Chart of Accounts'!$A$5:$A$3000,0)),"")</f>
        <v/>
      </c>
      <c r="V102" s="23">
        <f>IFERROR(INDEX('Chart of Accounts'!$C$5:$C$3000,MATCH(R102&amp;"",'Chart of Accounts'!$A$5:$A$3000,0))&amp;"|"&amp;INDEX('Chart of Accounts'!$D$5:$D$3000,MATCH(R102&amp;"",'Chart of Accounts'!$A$5:$A$3000,0)),"")</f>
        <v/>
      </c>
      <c r="W102" s="23">
        <f>IF(LEFT(S102,8)="Revenue|",-N(F102),0)+IF(LEFT(T102,8)="Revenue|",-N(J102),0)+IF(LEFT(U102,8)="Revenue|",N(N102),0)+IF(LEFT(V102,8)="Revenue|",N(M102),0)</f>
        <v/>
      </c>
      <c r="X102" s="23">
        <f>IF(LEFT(S102,5)="COGS|",N(F102),0)+IF(LEFT(T102,5)="COGS|",N(J102),0)+IF(LEFT(U102,5)="COGS|",-N(N102),0)+IF(LEFT(V102,5)="COGS|",-N(M102),0)</f>
        <v/>
      </c>
      <c r="Y102" s="23">
        <f>IF(LEFT(S102,8)="Expense|",N(F102),0)+IF(LEFT(T102,8)="Expense|",N(J102),0)+IF(LEFT(U102,8)="Expense|",-N(N102),0)+IF(LEFT(V102,8)="Expense|",-N(M102),0)</f>
        <v/>
      </c>
      <c r="Z102" s="23">
        <f>IF(ISNUMBER(MATCH(S102,{"Expense|employee","Expense|general_admin","Expense|marketing","Expense|utilities","Expense|other_operating"},0)),N(F102),0)+IF(ISNUMBER(MATCH(T102,{"Expense|employee","Expense|general_admin","Expense|marketing","Expense|utilities","Expense|other_operating"},0)),N(J102),0)+IF(ISNUMBER(MATCH(U102,{"Expense|employee","Expense|general_admin","Expense|marketing","Expense|utilities","Expense|other_operating"},0)),-N(N102),0)+IF(ISNUMBER(MATCH(V102,{"Expense|employee","Expense|general_admin","Expense|marketing","Expense|utilities","Expense|other_operating"},0)),-N(M102),0)</f>
        <v/>
      </c>
      <c r="AA102" s="23">
        <f>IF(S102="Liability|payable",-N(F102),0)+IF(T102="Liability|payable",-N(J102),0)+IF(U102="Liability|payable",N(N102),0)+IF(V102="Liability|payable",N(M102),0)</f>
        <v/>
      </c>
      <c r="AB102" s="23">
        <f>IF(S102="Liability|accrued",-N(F102),0)+IF(T102="Liability|accrued",-N(J102),0)+IF(U102="Liability|accrued",N(N102),0)+IF(V102="Liability|accrued",N(M102),0)</f>
        <v/>
      </c>
      <c r="AC102" s="23">
        <f>IF(AND(N(F102)&lt;&gt;0,S102=""),1,0)+IF(AND(N(J102)&lt;&gt;0,T102=""),1,0)+IF(AND(N(N102)&lt;&gt;0,U102=""),1,0)+IF(AND(N(M102)&lt;&gt;0,V102=""),1,0)</f>
        <v/>
      </c>
    </row>
    <row r="103">
      <c r="A103" s="19" t="n"/>
      <c r="B103" s="14" t="n"/>
      <c r="C103" s="14" t="n"/>
      <c r="D103" s="14" t="n"/>
      <c r="E103" s="14" t="n"/>
      <c r="F103" s="20" t="n"/>
      <c r="G103" s="14" t="n"/>
      <c r="H103" s="14" t="n"/>
      <c r="I103" s="14" t="n"/>
      <c r="J103" s="20" t="n"/>
      <c r="K103" s="14" t="n"/>
      <c r="L103" s="21">
        <f>N(F103)+N(J103)</f>
        <v/>
      </c>
      <c r="M103" s="21">
        <f>IF(K103="",0,L103-ROUND(L103/(1+IFERROR(VLOOKUP(K103,'Tax Codes'!$A$5:$E$300,5,FALSE),0)),2))</f>
        <v/>
      </c>
      <c r="N103" s="21">
        <f>L103-M103</f>
        <v/>
      </c>
      <c r="O103" s="16">
        <f>IF(H103="",INDEX('Chart of Accounts'!$A$5:$A$3000,MATCH("bank",'Chart of Accounts'!$F$5:$F$3000,0)),H103&amp;"")</f>
        <v/>
      </c>
      <c r="P103" s="16">
        <f>IF(I103="",INDEX('Chart of Accounts'!$A$5:$A$3000,MATCH("revenue",'Chart of Accounts'!$F$5:$F$3000,0)),I103&amp;"")</f>
        <v/>
      </c>
      <c r="Q103" s="16">
        <f>INDEX('Chart of Accounts'!$A$5:$A$3000,MATCH("wht_receivable",'Chart of Accounts'!$F$5:$F$3000,0))</f>
        <v/>
      </c>
      <c r="R103" s="16">
        <f>INDEX('Chart of Accounts'!$A$5:$A$3000,MATCH("vat_output",'Chart of Accounts'!$F$5:$F$3000,0))</f>
        <v/>
      </c>
      <c r="S103" s="23">
        <f>IFERROR(INDEX('Chart of Accounts'!$C$5:$C$3000,MATCH(O103&amp;"",'Chart of Accounts'!$A$5:$A$3000,0))&amp;"|"&amp;INDEX('Chart of Accounts'!$D$5:$D$3000,MATCH(O103&amp;"",'Chart of Accounts'!$A$5:$A$3000,0)),"")</f>
        <v/>
      </c>
      <c r="T103" s="23">
        <f>IFERROR(INDEX('Chart of Accounts'!$C$5:$C$3000,MATCH(Q103&amp;"",'Chart of Accounts'!$A$5:$A$3000,0))&amp;"|"&amp;INDEX('Chart of Accounts'!$D$5:$D$3000,MATCH(Q103&amp;"",'Chart of Accounts'!$A$5:$A$3000,0)),"")</f>
        <v/>
      </c>
      <c r="U103" s="23">
        <f>IFERROR(INDEX('Chart of Accounts'!$C$5:$C$3000,MATCH(P103&amp;"",'Chart of Accounts'!$A$5:$A$3000,0))&amp;"|"&amp;INDEX('Chart of Accounts'!$D$5:$D$3000,MATCH(P103&amp;"",'Chart of Accounts'!$A$5:$A$3000,0)),"")</f>
        <v/>
      </c>
      <c r="V103" s="23">
        <f>IFERROR(INDEX('Chart of Accounts'!$C$5:$C$3000,MATCH(R103&amp;"",'Chart of Accounts'!$A$5:$A$3000,0))&amp;"|"&amp;INDEX('Chart of Accounts'!$D$5:$D$3000,MATCH(R103&amp;"",'Chart of Accounts'!$A$5:$A$3000,0)),"")</f>
        <v/>
      </c>
      <c r="W103" s="23">
        <f>IF(LEFT(S103,8)="Revenue|",-N(F103),0)+IF(LEFT(T103,8)="Revenue|",-N(J103),0)+IF(LEFT(U103,8)="Revenue|",N(N103),0)+IF(LEFT(V103,8)="Revenue|",N(M103),0)</f>
        <v/>
      </c>
      <c r="X103" s="23">
        <f>IF(LEFT(S103,5)="COGS|",N(F103),0)+IF(LEFT(T103,5)="COGS|",N(J103),0)+IF(LEFT(U103,5)="COGS|",-N(N103),0)+IF(LEFT(V103,5)="COGS|",-N(M103),0)</f>
        <v/>
      </c>
      <c r="Y103" s="23">
        <f>IF(LEFT(S103,8)="Expense|",N(F103),0)+IF(LEFT(T103,8)="Expense|",N(J103),0)+IF(LEFT(U103,8)="Expense|",-N(N103),0)+IF(LEFT(V103,8)="Expense|",-N(M103),0)</f>
        <v/>
      </c>
      <c r="Z103" s="23">
        <f>IF(ISNUMBER(MATCH(S103,{"Expense|employee","Expense|general_admin","Expense|marketing","Expense|utilities","Expense|other_operating"},0)),N(F103),0)+IF(ISNUMBER(MATCH(T103,{"Expense|employee","Expense|general_admin","Expense|marketing","Expense|utilities","Expense|other_operating"},0)),N(J103),0)+IF(ISNUMBER(MATCH(U103,{"Expense|employee","Expense|general_admin","Expense|marketing","Expense|utilities","Expense|other_operating"},0)),-N(N103),0)+IF(ISNUMBER(MATCH(V103,{"Expense|employee","Expense|general_admin","Expense|marketing","Expense|utilities","Expense|other_operating"},0)),-N(M103),0)</f>
        <v/>
      </c>
      <c r="AA103" s="23">
        <f>IF(S103="Liability|payable",-N(F103),0)+IF(T103="Liability|payable",-N(J103),0)+IF(U103="Liability|payable",N(N103),0)+IF(V103="Liability|payable",N(M103),0)</f>
        <v/>
      </c>
      <c r="AB103" s="23">
        <f>IF(S103="Liability|accrued",-N(F103),0)+IF(T103="Liability|accrued",-N(J103),0)+IF(U103="Liability|accrued",N(N103),0)+IF(V103="Liability|accrued",N(M103),0)</f>
        <v/>
      </c>
      <c r="AC103" s="23">
        <f>IF(AND(N(F103)&lt;&gt;0,S103=""),1,0)+IF(AND(N(J103)&lt;&gt;0,T103=""),1,0)+IF(AND(N(N103)&lt;&gt;0,U103=""),1,0)+IF(AND(N(M103)&lt;&gt;0,V103=""),1,0)</f>
        <v/>
      </c>
    </row>
    <row r="104">
      <c r="A104" s="19" t="n"/>
      <c r="B104" s="14" t="n"/>
      <c r="C104" s="14" t="n"/>
      <c r="D104" s="14" t="n"/>
      <c r="E104" s="14" t="n"/>
      <c r="F104" s="20" t="n"/>
      <c r="G104" s="14" t="n"/>
      <c r="H104" s="14" t="n"/>
      <c r="I104" s="14" t="n"/>
      <c r="J104" s="20" t="n"/>
      <c r="K104" s="14" t="n"/>
      <c r="L104" s="21">
        <f>N(F104)+N(J104)</f>
        <v/>
      </c>
      <c r="M104" s="21">
        <f>IF(K104="",0,L104-ROUND(L104/(1+IFERROR(VLOOKUP(K104,'Tax Codes'!$A$5:$E$300,5,FALSE),0)),2))</f>
        <v/>
      </c>
      <c r="N104" s="21">
        <f>L104-M104</f>
        <v/>
      </c>
      <c r="O104" s="16">
        <f>IF(H104="",INDEX('Chart of Accounts'!$A$5:$A$3000,MATCH("bank",'Chart of Accounts'!$F$5:$F$3000,0)),H104&amp;"")</f>
        <v/>
      </c>
      <c r="P104" s="16">
        <f>IF(I104="",INDEX('Chart of Accounts'!$A$5:$A$3000,MATCH("revenue",'Chart of Accounts'!$F$5:$F$3000,0)),I104&amp;"")</f>
        <v/>
      </c>
      <c r="Q104" s="16">
        <f>INDEX('Chart of Accounts'!$A$5:$A$3000,MATCH("wht_receivable",'Chart of Accounts'!$F$5:$F$3000,0))</f>
        <v/>
      </c>
      <c r="R104" s="16">
        <f>INDEX('Chart of Accounts'!$A$5:$A$3000,MATCH("vat_output",'Chart of Accounts'!$F$5:$F$3000,0))</f>
        <v/>
      </c>
      <c r="S104" s="23">
        <f>IFERROR(INDEX('Chart of Accounts'!$C$5:$C$3000,MATCH(O104&amp;"",'Chart of Accounts'!$A$5:$A$3000,0))&amp;"|"&amp;INDEX('Chart of Accounts'!$D$5:$D$3000,MATCH(O104&amp;"",'Chart of Accounts'!$A$5:$A$3000,0)),"")</f>
        <v/>
      </c>
      <c r="T104" s="23">
        <f>IFERROR(INDEX('Chart of Accounts'!$C$5:$C$3000,MATCH(Q104&amp;"",'Chart of Accounts'!$A$5:$A$3000,0))&amp;"|"&amp;INDEX('Chart of Accounts'!$D$5:$D$3000,MATCH(Q104&amp;"",'Chart of Accounts'!$A$5:$A$3000,0)),"")</f>
        <v/>
      </c>
      <c r="U104" s="23">
        <f>IFERROR(INDEX('Chart of Accounts'!$C$5:$C$3000,MATCH(P104&amp;"",'Chart of Accounts'!$A$5:$A$3000,0))&amp;"|"&amp;INDEX('Chart of Accounts'!$D$5:$D$3000,MATCH(P104&amp;"",'Chart of Accounts'!$A$5:$A$3000,0)),"")</f>
        <v/>
      </c>
      <c r="V104" s="23">
        <f>IFERROR(INDEX('Chart of Accounts'!$C$5:$C$3000,MATCH(R104&amp;"",'Chart of Accounts'!$A$5:$A$3000,0))&amp;"|"&amp;INDEX('Chart of Accounts'!$D$5:$D$3000,MATCH(R104&amp;"",'Chart of Accounts'!$A$5:$A$3000,0)),"")</f>
        <v/>
      </c>
      <c r="W104" s="23">
        <f>IF(LEFT(S104,8)="Revenue|",-N(F104),0)+IF(LEFT(T104,8)="Revenue|",-N(J104),0)+IF(LEFT(U104,8)="Revenue|",N(N104),0)+IF(LEFT(V104,8)="Revenue|",N(M104),0)</f>
        <v/>
      </c>
      <c r="X104" s="23">
        <f>IF(LEFT(S104,5)="COGS|",N(F104),0)+IF(LEFT(T104,5)="COGS|",N(J104),0)+IF(LEFT(U104,5)="COGS|",-N(N104),0)+IF(LEFT(V104,5)="COGS|",-N(M104),0)</f>
        <v/>
      </c>
      <c r="Y104" s="23">
        <f>IF(LEFT(S104,8)="Expense|",N(F104),0)+IF(LEFT(T104,8)="Expense|",N(J104),0)+IF(LEFT(U104,8)="Expense|",-N(N104),0)+IF(LEFT(V104,8)="Expense|",-N(M104),0)</f>
        <v/>
      </c>
      <c r="Z104" s="23">
        <f>IF(ISNUMBER(MATCH(S104,{"Expense|employee","Expense|general_admin","Expense|marketing","Expense|utilities","Expense|other_operating"},0)),N(F104),0)+IF(ISNUMBER(MATCH(T104,{"Expense|employee","Expense|general_admin","Expense|marketing","Expense|utilities","Expense|other_operating"},0)),N(J104),0)+IF(ISNUMBER(MATCH(U104,{"Expense|employee","Expense|general_admin","Expense|marketing","Expense|utilities","Expense|other_operating"},0)),-N(N104),0)+IF(ISNUMBER(MATCH(V104,{"Expense|employee","Expense|general_admin","Expense|marketing","Expense|utilities","Expense|other_operating"},0)),-N(M104),0)</f>
        <v/>
      </c>
      <c r="AA104" s="23">
        <f>IF(S104="Liability|payable",-N(F104),0)+IF(T104="Liability|payable",-N(J104),0)+IF(U104="Liability|payable",N(N104),0)+IF(V104="Liability|payable",N(M104),0)</f>
        <v/>
      </c>
      <c r="AB104" s="23">
        <f>IF(S104="Liability|accrued",-N(F104),0)+IF(T104="Liability|accrued",-N(J104),0)+IF(U104="Liability|accrued",N(N104),0)+IF(V104="Liability|accrued",N(M104),0)</f>
        <v/>
      </c>
      <c r="AC104" s="23">
        <f>IF(AND(N(F104)&lt;&gt;0,S104=""),1,0)+IF(AND(N(J104)&lt;&gt;0,T104=""),1,0)+IF(AND(N(N104)&lt;&gt;0,U104=""),1,0)+IF(AND(N(M104)&lt;&gt;0,V104=""),1,0)</f>
        <v/>
      </c>
    </row>
    <row r="105">
      <c r="A105" s="19" t="n"/>
      <c r="B105" s="14" t="n"/>
      <c r="C105" s="14" t="n"/>
      <c r="D105" s="14" t="n"/>
      <c r="E105" s="14" t="n"/>
      <c r="F105" s="20" t="n"/>
      <c r="G105" s="14" t="n"/>
      <c r="H105" s="14" t="n"/>
      <c r="I105" s="14" t="n"/>
      <c r="J105" s="20" t="n"/>
      <c r="K105" s="14" t="n"/>
      <c r="L105" s="21">
        <f>N(F105)+N(J105)</f>
        <v/>
      </c>
      <c r="M105" s="21">
        <f>IF(K105="",0,L105-ROUND(L105/(1+IFERROR(VLOOKUP(K105,'Tax Codes'!$A$5:$E$300,5,FALSE),0)),2))</f>
        <v/>
      </c>
      <c r="N105" s="21">
        <f>L105-M105</f>
        <v/>
      </c>
      <c r="O105" s="16">
        <f>IF(H105="",INDEX('Chart of Accounts'!$A$5:$A$3000,MATCH("bank",'Chart of Accounts'!$F$5:$F$3000,0)),H105&amp;"")</f>
        <v/>
      </c>
      <c r="P105" s="16">
        <f>IF(I105="",INDEX('Chart of Accounts'!$A$5:$A$3000,MATCH("revenue",'Chart of Accounts'!$F$5:$F$3000,0)),I105&amp;"")</f>
        <v/>
      </c>
      <c r="Q105" s="16">
        <f>INDEX('Chart of Accounts'!$A$5:$A$3000,MATCH("wht_receivable",'Chart of Accounts'!$F$5:$F$3000,0))</f>
        <v/>
      </c>
      <c r="R105" s="16">
        <f>INDEX('Chart of Accounts'!$A$5:$A$3000,MATCH("vat_output",'Chart of Accounts'!$F$5:$F$3000,0))</f>
        <v/>
      </c>
      <c r="S105" s="23">
        <f>IFERROR(INDEX('Chart of Accounts'!$C$5:$C$3000,MATCH(O105&amp;"",'Chart of Accounts'!$A$5:$A$3000,0))&amp;"|"&amp;INDEX('Chart of Accounts'!$D$5:$D$3000,MATCH(O105&amp;"",'Chart of Accounts'!$A$5:$A$3000,0)),"")</f>
        <v/>
      </c>
      <c r="T105" s="23">
        <f>IFERROR(INDEX('Chart of Accounts'!$C$5:$C$3000,MATCH(Q105&amp;"",'Chart of Accounts'!$A$5:$A$3000,0))&amp;"|"&amp;INDEX('Chart of Accounts'!$D$5:$D$3000,MATCH(Q105&amp;"",'Chart of Accounts'!$A$5:$A$3000,0)),"")</f>
        <v/>
      </c>
      <c r="U105" s="23">
        <f>IFERROR(INDEX('Chart of Accounts'!$C$5:$C$3000,MATCH(P105&amp;"",'Chart of Accounts'!$A$5:$A$3000,0))&amp;"|"&amp;INDEX('Chart of Accounts'!$D$5:$D$3000,MATCH(P105&amp;"",'Chart of Accounts'!$A$5:$A$3000,0)),"")</f>
        <v/>
      </c>
      <c r="V105" s="23">
        <f>IFERROR(INDEX('Chart of Accounts'!$C$5:$C$3000,MATCH(R105&amp;"",'Chart of Accounts'!$A$5:$A$3000,0))&amp;"|"&amp;INDEX('Chart of Accounts'!$D$5:$D$3000,MATCH(R105&amp;"",'Chart of Accounts'!$A$5:$A$3000,0)),"")</f>
        <v/>
      </c>
      <c r="W105" s="23">
        <f>IF(LEFT(S105,8)="Revenue|",-N(F105),0)+IF(LEFT(T105,8)="Revenue|",-N(J105),0)+IF(LEFT(U105,8)="Revenue|",N(N105),0)+IF(LEFT(V105,8)="Revenue|",N(M105),0)</f>
        <v/>
      </c>
      <c r="X105" s="23">
        <f>IF(LEFT(S105,5)="COGS|",N(F105),0)+IF(LEFT(T105,5)="COGS|",N(J105),0)+IF(LEFT(U105,5)="COGS|",-N(N105),0)+IF(LEFT(V105,5)="COGS|",-N(M105),0)</f>
        <v/>
      </c>
      <c r="Y105" s="23">
        <f>IF(LEFT(S105,8)="Expense|",N(F105),0)+IF(LEFT(T105,8)="Expense|",N(J105),0)+IF(LEFT(U105,8)="Expense|",-N(N105),0)+IF(LEFT(V105,8)="Expense|",-N(M105),0)</f>
        <v/>
      </c>
      <c r="Z105" s="23">
        <f>IF(ISNUMBER(MATCH(S105,{"Expense|employee","Expense|general_admin","Expense|marketing","Expense|utilities","Expense|other_operating"},0)),N(F105),0)+IF(ISNUMBER(MATCH(T105,{"Expense|employee","Expense|general_admin","Expense|marketing","Expense|utilities","Expense|other_operating"},0)),N(J105),0)+IF(ISNUMBER(MATCH(U105,{"Expense|employee","Expense|general_admin","Expense|marketing","Expense|utilities","Expense|other_operating"},0)),-N(N105),0)+IF(ISNUMBER(MATCH(V105,{"Expense|employee","Expense|general_admin","Expense|marketing","Expense|utilities","Expense|other_operating"},0)),-N(M105),0)</f>
        <v/>
      </c>
      <c r="AA105" s="23">
        <f>IF(S105="Liability|payable",-N(F105),0)+IF(T105="Liability|payable",-N(J105),0)+IF(U105="Liability|payable",N(N105),0)+IF(V105="Liability|payable",N(M105),0)</f>
        <v/>
      </c>
      <c r="AB105" s="23">
        <f>IF(S105="Liability|accrued",-N(F105),0)+IF(T105="Liability|accrued",-N(J105),0)+IF(U105="Liability|accrued",N(N105),0)+IF(V105="Liability|accrued",N(M105),0)</f>
        <v/>
      </c>
      <c r="AC105" s="23">
        <f>IF(AND(N(F105)&lt;&gt;0,S105=""),1,0)+IF(AND(N(J105)&lt;&gt;0,T105=""),1,0)+IF(AND(N(N105)&lt;&gt;0,U105=""),1,0)+IF(AND(N(M105)&lt;&gt;0,V105=""),1,0)</f>
        <v/>
      </c>
    </row>
    <row r="106">
      <c r="A106" s="19" t="n"/>
      <c r="B106" s="14" t="n"/>
      <c r="C106" s="14" t="n"/>
      <c r="D106" s="14" t="n"/>
      <c r="E106" s="14" t="n"/>
      <c r="F106" s="20" t="n"/>
      <c r="G106" s="14" t="n"/>
      <c r="H106" s="14" t="n"/>
      <c r="I106" s="14" t="n"/>
      <c r="J106" s="20" t="n"/>
      <c r="K106" s="14" t="n"/>
      <c r="L106" s="21">
        <f>N(F106)+N(J106)</f>
        <v/>
      </c>
      <c r="M106" s="21">
        <f>IF(K106="",0,L106-ROUND(L106/(1+IFERROR(VLOOKUP(K106,'Tax Codes'!$A$5:$E$300,5,FALSE),0)),2))</f>
        <v/>
      </c>
      <c r="N106" s="21">
        <f>L106-M106</f>
        <v/>
      </c>
      <c r="O106" s="16">
        <f>IF(H106="",INDEX('Chart of Accounts'!$A$5:$A$3000,MATCH("bank",'Chart of Accounts'!$F$5:$F$3000,0)),H106&amp;"")</f>
        <v/>
      </c>
      <c r="P106" s="16">
        <f>IF(I106="",INDEX('Chart of Accounts'!$A$5:$A$3000,MATCH("revenue",'Chart of Accounts'!$F$5:$F$3000,0)),I106&amp;"")</f>
        <v/>
      </c>
      <c r="Q106" s="16">
        <f>INDEX('Chart of Accounts'!$A$5:$A$3000,MATCH("wht_receivable",'Chart of Accounts'!$F$5:$F$3000,0))</f>
        <v/>
      </c>
      <c r="R106" s="16">
        <f>INDEX('Chart of Accounts'!$A$5:$A$3000,MATCH("vat_output",'Chart of Accounts'!$F$5:$F$3000,0))</f>
        <v/>
      </c>
      <c r="S106" s="23">
        <f>IFERROR(INDEX('Chart of Accounts'!$C$5:$C$3000,MATCH(O106&amp;"",'Chart of Accounts'!$A$5:$A$3000,0))&amp;"|"&amp;INDEX('Chart of Accounts'!$D$5:$D$3000,MATCH(O106&amp;"",'Chart of Accounts'!$A$5:$A$3000,0)),"")</f>
        <v/>
      </c>
      <c r="T106" s="23">
        <f>IFERROR(INDEX('Chart of Accounts'!$C$5:$C$3000,MATCH(Q106&amp;"",'Chart of Accounts'!$A$5:$A$3000,0))&amp;"|"&amp;INDEX('Chart of Accounts'!$D$5:$D$3000,MATCH(Q106&amp;"",'Chart of Accounts'!$A$5:$A$3000,0)),"")</f>
        <v/>
      </c>
      <c r="U106" s="23">
        <f>IFERROR(INDEX('Chart of Accounts'!$C$5:$C$3000,MATCH(P106&amp;"",'Chart of Accounts'!$A$5:$A$3000,0))&amp;"|"&amp;INDEX('Chart of Accounts'!$D$5:$D$3000,MATCH(P106&amp;"",'Chart of Accounts'!$A$5:$A$3000,0)),"")</f>
        <v/>
      </c>
      <c r="V106" s="23">
        <f>IFERROR(INDEX('Chart of Accounts'!$C$5:$C$3000,MATCH(R106&amp;"",'Chart of Accounts'!$A$5:$A$3000,0))&amp;"|"&amp;INDEX('Chart of Accounts'!$D$5:$D$3000,MATCH(R106&amp;"",'Chart of Accounts'!$A$5:$A$3000,0)),"")</f>
        <v/>
      </c>
      <c r="W106" s="23">
        <f>IF(LEFT(S106,8)="Revenue|",-N(F106),0)+IF(LEFT(T106,8)="Revenue|",-N(J106),0)+IF(LEFT(U106,8)="Revenue|",N(N106),0)+IF(LEFT(V106,8)="Revenue|",N(M106),0)</f>
        <v/>
      </c>
      <c r="X106" s="23">
        <f>IF(LEFT(S106,5)="COGS|",N(F106),0)+IF(LEFT(T106,5)="COGS|",N(J106),0)+IF(LEFT(U106,5)="COGS|",-N(N106),0)+IF(LEFT(V106,5)="COGS|",-N(M106),0)</f>
        <v/>
      </c>
      <c r="Y106" s="23">
        <f>IF(LEFT(S106,8)="Expense|",N(F106),0)+IF(LEFT(T106,8)="Expense|",N(J106),0)+IF(LEFT(U106,8)="Expense|",-N(N106),0)+IF(LEFT(V106,8)="Expense|",-N(M106),0)</f>
        <v/>
      </c>
      <c r="Z106" s="23">
        <f>IF(ISNUMBER(MATCH(S106,{"Expense|employee","Expense|general_admin","Expense|marketing","Expense|utilities","Expense|other_operating"},0)),N(F106),0)+IF(ISNUMBER(MATCH(T106,{"Expense|employee","Expense|general_admin","Expense|marketing","Expense|utilities","Expense|other_operating"},0)),N(J106),0)+IF(ISNUMBER(MATCH(U106,{"Expense|employee","Expense|general_admin","Expense|marketing","Expense|utilities","Expense|other_operating"},0)),-N(N106),0)+IF(ISNUMBER(MATCH(V106,{"Expense|employee","Expense|general_admin","Expense|marketing","Expense|utilities","Expense|other_operating"},0)),-N(M106),0)</f>
        <v/>
      </c>
      <c r="AA106" s="23">
        <f>IF(S106="Liability|payable",-N(F106),0)+IF(T106="Liability|payable",-N(J106),0)+IF(U106="Liability|payable",N(N106),0)+IF(V106="Liability|payable",N(M106),0)</f>
        <v/>
      </c>
      <c r="AB106" s="23">
        <f>IF(S106="Liability|accrued",-N(F106),0)+IF(T106="Liability|accrued",-N(J106),0)+IF(U106="Liability|accrued",N(N106),0)+IF(V106="Liability|accrued",N(M106),0)</f>
        <v/>
      </c>
      <c r="AC106" s="23">
        <f>IF(AND(N(F106)&lt;&gt;0,S106=""),1,0)+IF(AND(N(J106)&lt;&gt;0,T106=""),1,0)+IF(AND(N(N106)&lt;&gt;0,U106=""),1,0)+IF(AND(N(M106)&lt;&gt;0,V106=""),1,0)</f>
        <v/>
      </c>
    </row>
    <row r="107">
      <c r="A107" s="19" t="n"/>
      <c r="B107" s="14" t="n"/>
      <c r="C107" s="14" t="n"/>
      <c r="D107" s="14" t="n"/>
      <c r="E107" s="14" t="n"/>
      <c r="F107" s="20" t="n"/>
      <c r="G107" s="14" t="n"/>
      <c r="H107" s="14" t="n"/>
      <c r="I107" s="14" t="n"/>
      <c r="J107" s="20" t="n"/>
      <c r="K107" s="14" t="n"/>
      <c r="L107" s="21">
        <f>N(F107)+N(J107)</f>
        <v/>
      </c>
      <c r="M107" s="21">
        <f>IF(K107="",0,L107-ROUND(L107/(1+IFERROR(VLOOKUP(K107,'Tax Codes'!$A$5:$E$300,5,FALSE),0)),2))</f>
        <v/>
      </c>
      <c r="N107" s="21">
        <f>L107-M107</f>
        <v/>
      </c>
      <c r="O107" s="16">
        <f>IF(H107="",INDEX('Chart of Accounts'!$A$5:$A$3000,MATCH("bank",'Chart of Accounts'!$F$5:$F$3000,0)),H107&amp;"")</f>
        <v/>
      </c>
      <c r="P107" s="16">
        <f>IF(I107="",INDEX('Chart of Accounts'!$A$5:$A$3000,MATCH("revenue",'Chart of Accounts'!$F$5:$F$3000,0)),I107&amp;"")</f>
        <v/>
      </c>
      <c r="Q107" s="16">
        <f>INDEX('Chart of Accounts'!$A$5:$A$3000,MATCH("wht_receivable",'Chart of Accounts'!$F$5:$F$3000,0))</f>
        <v/>
      </c>
      <c r="R107" s="16">
        <f>INDEX('Chart of Accounts'!$A$5:$A$3000,MATCH("vat_output",'Chart of Accounts'!$F$5:$F$3000,0))</f>
        <v/>
      </c>
      <c r="S107" s="23">
        <f>IFERROR(INDEX('Chart of Accounts'!$C$5:$C$3000,MATCH(O107&amp;"",'Chart of Accounts'!$A$5:$A$3000,0))&amp;"|"&amp;INDEX('Chart of Accounts'!$D$5:$D$3000,MATCH(O107&amp;"",'Chart of Accounts'!$A$5:$A$3000,0)),"")</f>
        <v/>
      </c>
      <c r="T107" s="23">
        <f>IFERROR(INDEX('Chart of Accounts'!$C$5:$C$3000,MATCH(Q107&amp;"",'Chart of Accounts'!$A$5:$A$3000,0))&amp;"|"&amp;INDEX('Chart of Accounts'!$D$5:$D$3000,MATCH(Q107&amp;"",'Chart of Accounts'!$A$5:$A$3000,0)),"")</f>
        <v/>
      </c>
      <c r="U107" s="23">
        <f>IFERROR(INDEX('Chart of Accounts'!$C$5:$C$3000,MATCH(P107&amp;"",'Chart of Accounts'!$A$5:$A$3000,0))&amp;"|"&amp;INDEX('Chart of Accounts'!$D$5:$D$3000,MATCH(P107&amp;"",'Chart of Accounts'!$A$5:$A$3000,0)),"")</f>
        <v/>
      </c>
      <c r="V107" s="23">
        <f>IFERROR(INDEX('Chart of Accounts'!$C$5:$C$3000,MATCH(R107&amp;"",'Chart of Accounts'!$A$5:$A$3000,0))&amp;"|"&amp;INDEX('Chart of Accounts'!$D$5:$D$3000,MATCH(R107&amp;"",'Chart of Accounts'!$A$5:$A$3000,0)),"")</f>
        <v/>
      </c>
      <c r="W107" s="23">
        <f>IF(LEFT(S107,8)="Revenue|",-N(F107),0)+IF(LEFT(T107,8)="Revenue|",-N(J107),0)+IF(LEFT(U107,8)="Revenue|",N(N107),0)+IF(LEFT(V107,8)="Revenue|",N(M107),0)</f>
        <v/>
      </c>
      <c r="X107" s="23">
        <f>IF(LEFT(S107,5)="COGS|",N(F107),0)+IF(LEFT(T107,5)="COGS|",N(J107),0)+IF(LEFT(U107,5)="COGS|",-N(N107),0)+IF(LEFT(V107,5)="COGS|",-N(M107),0)</f>
        <v/>
      </c>
      <c r="Y107" s="23">
        <f>IF(LEFT(S107,8)="Expense|",N(F107),0)+IF(LEFT(T107,8)="Expense|",N(J107),0)+IF(LEFT(U107,8)="Expense|",-N(N107),0)+IF(LEFT(V107,8)="Expense|",-N(M107),0)</f>
        <v/>
      </c>
      <c r="Z107" s="23">
        <f>IF(ISNUMBER(MATCH(S107,{"Expense|employee","Expense|general_admin","Expense|marketing","Expense|utilities","Expense|other_operating"},0)),N(F107),0)+IF(ISNUMBER(MATCH(T107,{"Expense|employee","Expense|general_admin","Expense|marketing","Expense|utilities","Expense|other_operating"},0)),N(J107),0)+IF(ISNUMBER(MATCH(U107,{"Expense|employee","Expense|general_admin","Expense|marketing","Expense|utilities","Expense|other_operating"},0)),-N(N107),0)+IF(ISNUMBER(MATCH(V107,{"Expense|employee","Expense|general_admin","Expense|marketing","Expense|utilities","Expense|other_operating"},0)),-N(M107),0)</f>
        <v/>
      </c>
      <c r="AA107" s="23">
        <f>IF(S107="Liability|payable",-N(F107),0)+IF(T107="Liability|payable",-N(J107),0)+IF(U107="Liability|payable",N(N107),0)+IF(V107="Liability|payable",N(M107),0)</f>
        <v/>
      </c>
      <c r="AB107" s="23">
        <f>IF(S107="Liability|accrued",-N(F107),0)+IF(T107="Liability|accrued",-N(J107),0)+IF(U107="Liability|accrued",N(N107),0)+IF(V107="Liability|accrued",N(M107),0)</f>
        <v/>
      </c>
      <c r="AC107" s="23">
        <f>IF(AND(N(F107)&lt;&gt;0,S107=""),1,0)+IF(AND(N(J107)&lt;&gt;0,T107=""),1,0)+IF(AND(N(N107)&lt;&gt;0,U107=""),1,0)+IF(AND(N(M107)&lt;&gt;0,V107=""),1,0)</f>
        <v/>
      </c>
    </row>
    <row r="108">
      <c r="A108" s="19" t="n"/>
      <c r="B108" s="14" t="n"/>
      <c r="C108" s="14" t="n"/>
      <c r="D108" s="14" t="n"/>
      <c r="E108" s="14" t="n"/>
      <c r="F108" s="20" t="n"/>
      <c r="G108" s="14" t="n"/>
      <c r="H108" s="14" t="n"/>
      <c r="I108" s="14" t="n"/>
      <c r="J108" s="20" t="n"/>
      <c r="K108" s="14" t="n"/>
      <c r="L108" s="21">
        <f>N(F108)+N(J108)</f>
        <v/>
      </c>
      <c r="M108" s="21">
        <f>IF(K108="",0,L108-ROUND(L108/(1+IFERROR(VLOOKUP(K108,'Tax Codes'!$A$5:$E$300,5,FALSE),0)),2))</f>
        <v/>
      </c>
      <c r="N108" s="21">
        <f>L108-M108</f>
        <v/>
      </c>
      <c r="O108" s="16">
        <f>IF(H108="",INDEX('Chart of Accounts'!$A$5:$A$3000,MATCH("bank",'Chart of Accounts'!$F$5:$F$3000,0)),H108&amp;"")</f>
        <v/>
      </c>
      <c r="P108" s="16">
        <f>IF(I108="",INDEX('Chart of Accounts'!$A$5:$A$3000,MATCH("revenue",'Chart of Accounts'!$F$5:$F$3000,0)),I108&amp;"")</f>
        <v/>
      </c>
      <c r="Q108" s="16">
        <f>INDEX('Chart of Accounts'!$A$5:$A$3000,MATCH("wht_receivable",'Chart of Accounts'!$F$5:$F$3000,0))</f>
        <v/>
      </c>
      <c r="R108" s="16">
        <f>INDEX('Chart of Accounts'!$A$5:$A$3000,MATCH("vat_output",'Chart of Accounts'!$F$5:$F$3000,0))</f>
        <v/>
      </c>
      <c r="S108" s="23">
        <f>IFERROR(INDEX('Chart of Accounts'!$C$5:$C$3000,MATCH(O108&amp;"",'Chart of Accounts'!$A$5:$A$3000,0))&amp;"|"&amp;INDEX('Chart of Accounts'!$D$5:$D$3000,MATCH(O108&amp;"",'Chart of Accounts'!$A$5:$A$3000,0)),"")</f>
        <v/>
      </c>
      <c r="T108" s="23">
        <f>IFERROR(INDEX('Chart of Accounts'!$C$5:$C$3000,MATCH(Q108&amp;"",'Chart of Accounts'!$A$5:$A$3000,0))&amp;"|"&amp;INDEX('Chart of Accounts'!$D$5:$D$3000,MATCH(Q108&amp;"",'Chart of Accounts'!$A$5:$A$3000,0)),"")</f>
        <v/>
      </c>
      <c r="U108" s="23">
        <f>IFERROR(INDEX('Chart of Accounts'!$C$5:$C$3000,MATCH(P108&amp;"",'Chart of Accounts'!$A$5:$A$3000,0))&amp;"|"&amp;INDEX('Chart of Accounts'!$D$5:$D$3000,MATCH(P108&amp;"",'Chart of Accounts'!$A$5:$A$3000,0)),"")</f>
        <v/>
      </c>
      <c r="V108" s="23">
        <f>IFERROR(INDEX('Chart of Accounts'!$C$5:$C$3000,MATCH(R108&amp;"",'Chart of Accounts'!$A$5:$A$3000,0))&amp;"|"&amp;INDEX('Chart of Accounts'!$D$5:$D$3000,MATCH(R108&amp;"",'Chart of Accounts'!$A$5:$A$3000,0)),"")</f>
        <v/>
      </c>
      <c r="W108" s="23">
        <f>IF(LEFT(S108,8)="Revenue|",-N(F108),0)+IF(LEFT(T108,8)="Revenue|",-N(J108),0)+IF(LEFT(U108,8)="Revenue|",N(N108),0)+IF(LEFT(V108,8)="Revenue|",N(M108),0)</f>
        <v/>
      </c>
      <c r="X108" s="23">
        <f>IF(LEFT(S108,5)="COGS|",N(F108),0)+IF(LEFT(T108,5)="COGS|",N(J108),0)+IF(LEFT(U108,5)="COGS|",-N(N108),0)+IF(LEFT(V108,5)="COGS|",-N(M108),0)</f>
        <v/>
      </c>
      <c r="Y108" s="23">
        <f>IF(LEFT(S108,8)="Expense|",N(F108),0)+IF(LEFT(T108,8)="Expense|",N(J108),0)+IF(LEFT(U108,8)="Expense|",-N(N108),0)+IF(LEFT(V108,8)="Expense|",-N(M108),0)</f>
        <v/>
      </c>
      <c r="Z108" s="23">
        <f>IF(ISNUMBER(MATCH(S108,{"Expense|employee","Expense|general_admin","Expense|marketing","Expense|utilities","Expense|other_operating"},0)),N(F108),0)+IF(ISNUMBER(MATCH(T108,{"Expense|employee","Expense|general_admin","Expense|marketing","Expense|utilities","Expense|other_operating"},0)),N(J108),0)+IF(ISNUMBER(MATCH(U108,{"Expense|employee","Expense|general_admin","Expense|marketing","Expense|utilities","Expense|other_operating"},0)),-N(N108),0)+IF(ISNUMBER(MATCH(V108,{"Expense|employee","Expense|general_admin","Expense|marketing","Expense|utilities","Expense|other_operating"},0)),-N(M108),0)</f>
        <v/>
      </c>
      <c r="AA108" s="23">
        <f>IF(S108="Liability|payable",-N(F108),0)+IF(T108="Liability|payable",-N(J108),0)+IF(U108="Liability|payable",N(N108),0)+IF(V108="Liability|payable",N(M108),0)</f>
        <v/>
      </c>
      <c r="AB108" s="23">
        <f>IF(S108="Liability|accrued",-N(F108),0)+IF(T108="Liability|accrued",-N(J108),0)+IF(U108="Liability|accrued",N(N108),0)+IF(V108="Liability|accrued",N(M108),0)</f>
        <v/>
      </c>
      <c r="AC108" s="23">
        <f>IF(AND(N(F108)&lt;&gt;0,S108=""),1,0)+IF(AND(N(J108)&lt;&gt;0,T108=""),1,0)+IF(AND(N(N108)&lt;&gt;0,U108=""),1,0)+IF(AND(N(M108)&lt;&gt;0,V108=""),1,0)</f>
        <v/>
      </c>
    </row>
    <row r="109">
      <c r="A109" s="19" t="n"/>
      <c r="B109" s="14" t="n"/>
      <c r="C109" s="14" t="n"/>
      <c r="D109" s="14" t="n"/>
      <c r="E109" s="14" t="n"/>
      <c r="F109" s="20" t="n"/>
      <c r="G109" s="14" t="n"/>
      <c r="H109" s="14" t="n"/>
      <c r="I109" s="14" t="n"/>
      <c r="J109" s="20" t="n"/>
      <c r="K109" s="14" t="n"/>
      <c r="L109" s="21">
        <f>N(F109)+N(J109)</f>
        <v/>
      </c>
      <c r="M109" s="21">
        <f>IF(K109="",0,L109-ROUND(L109/(1+IFERROR(VLOOKUP(K109,'Tax Codes'!$A$5:$E$300,5,FALSE),0)),2))</f>
        <v/>
      </c>
      <c r="N109" s="21">
        <f>L109-M109</f>
        <v/>
      </c>
      <c r="O109" s="16">
        <f>IF(H109="",INDEX('Chart of Accounts'!$A$5:$A$3000,MATCH("bank",'Chart of Accounts'!$F$5:$F$3000,0)),H109&amp;"")</f>
        <v/>
      </c>
      <c r="P109" s="16">
        <f>IF(I109="",INDEX('Chart of Accounts'!$A$5:$A$3000,MATCH("revenue",'Chart of Accounts'!$F$5:$F$3000,0)),I109&amp;"")</f>
        <v/>
      </c>
      <c r="Q109" s="16">
        <f>INDEX('Chart of Accounts'!$A$5:$A$3000,MATCH("wht_receivable",'Chart of Accounts'!$F$5:$F$3000,0))</f>
        <v/>
      </c>
      <c r="R109" s="16">
        <f>INDEX('Chart of Accounts'!$A$5:$A$3000,MATCH("vat_output",'Chart of Accounts'!$F$5:$F$3000,0))</f>
        <v/>
      </c>
      <c r="S109" s="23">
        <f>IFERROR(INDEX('Chart of Accounts'!$C$5:$C$3000,MATCH(O109&amp;"",'Chart of Accounts'!$A$5:$A$3000,0))&amp;"|"&amp;INDEX('Chart of Accounts'!$D$5:$D$3000,MATCH(O109&amp;"",'Chart of Accounts'!$A$5:$A$3000,0)),"")</f>
        <v/>
      </c>
      <c r="T109" s="23">
        <f>IFERROR(INDEX('Chart of Accounts'!$C$5:$C$3000,MATCH(Q109&amp;"",'Chart of Accounts'!$A$5:$A$3000,0))&amp;"|"&amp;INDEX('Chart of Accounts'!$D$5:$D$3000,MATCH(Q109&amp;"",'Chart of Accounts'!$A$5:$A$3000,0)),"")</f>
        <v/>
      </c>
      <c r="U109" s="23">
        <f>IFERROR(INDEX('Chart of Accounts'!$C$5:$C$3000,MATCH(P109&amp;"",'Chart of Accounts'!$A$5:$A$3000,0))&amp;"|"&amp;INDEX('Chart of Accounts'!$D$5:$D$3000,MATCH(P109&amp;"",'Chart of Accounts'!$A$5:$A$3000,0)),"")</f>
        <v/>
      </c>
      <c r="V109" s="23">
        <f>IFERROR(INDEX('Chart of Accounts'!$C$5:$C$3000,MATCH(R109&amp;"",'Chart of Accounts'!$A$5:$A$3000,0))&amp;"|"&amp;INDEX('Chart of Accounts'!$D$5:$D$3000,MATCH(R109&amp;"",'Chart of Accounts'!$A$5:$A$3000,0)),"")</f>
        <v/>
      </c>
      <c r="W109" s="23">
        <f>IF(LEFT(S109,8)="Revenue|",-N(F109),0)+IF(LEFT(T109,8)="Revenue|",-N(J109),0)+IF(LEFT(U109,8)="Revenue|",N(N109),0)+IF(LEFT(V109,8)="Revenue|",N(M109),0)</f>
        <v/>
      </c>
      <c r="X109" s="23">
        <f>IF(LEFT(S109,5)="COGS|",N(F109),0)+IF(LEFT(T109,5)="COGS|",N(J109),0)+IF(LEFT(U109,5)="COGS|",-N(N109),0)+IF(LEFT(V109,5)="COGS|",-N(M109),0)</f>
        <v/>
      </c>
      <c r="Y109" s="23">
        <f>IF(LEFT(S109,8)="Expense|",N(F109),0)+IF(LEFT(T109,8)="Expense|",N(J109),0)+IF(LEFT(U109,8)="Expense|",-N(N109),0)+IF(LEFT(V109,8)="Expense|",-N(M109),0)</f>
        <v/>
      </c>
      <c r="Z109" s="23">
        <f>IF(ISNUMBER(MATCH(S109,{"Expense|employee","Expense|general_admin","Expense|marketing","Expense|utilities","Expense|other_operating"},0)),N(F109),0)+IF(ISNUMBER(MATCH(T109,{"Expense|employee","Expense|general_admin","Expense|marketing","Expense|utilities","Expense|other_operating"},0)),N(J109),0)+IF(ISNUMBER(MATCH(U109,{"Expense|employee","Expense|general_admin","Expense|marketing","Expense|utilities","Expense|other_operating"},0)),-N(N109),0)+IF(ISNUMBER(MATCH(V109,{"Expense|employee","Expense|general_admin","Expense|marketing","Expense|utilities","Expense|other_operating"},0)),-N(M109),0)</f>
        <v/>
      </c>
      <c r="AA109" s="23">
        <f>IF(S109="Liability|payable",-N(F109),0)+IF(T109="Liability|payable",-N(J109),0)+IF(U109="Liability|payable",N(N109),0)+IF(V109="Liability|payable",N(M109),0)</f>
        <v/>
      </c>
      <c r="AB109" s="23">
        <f>IF(S109="Liability|accrued",-N(F109),0)+IF(T109="Liability|accrued",-N(J109),0)+IF(U109="Liability|accrued",N(N109),0)+IF(V109="Liability|accrued",N(M109),0)</f>
        <v/>
      </c>
      <c r="AC109" s="23">
        <f>IF(AND(N(F109)&lt;&gt;0,S109=""),1,0)+IF(AND(N(J109)&lt;&gt;0,T109=""),1,0)+IF(AND(N(N109)&lt;&gt;0,U109=""),1,0)+IF(AND(N(M109)&lt;&gt;0,V109=""),1,0)</f>
        <v/>
      </c>
    </row>
    <row r="110">
      <c r="A110" s="19" t="n"/>
      <c r="B110" s="14" t="n"/>
      <c r="C110" s="14" t="n"/>
      <c r="D110" s="14" t="n"/>
      <c r="E110" s="14" t="n"/>
      <c r="F110" s="20" t="n"/>
      <c r="G110" s="14" t="n"/>
      <c r="H110" s="14" t="n"/>
      <c r="I110" s="14" t="n"/>
      <c r="J110" s="20" t="n"/>
      <c r="K110" s="14" t="n"/>
      <c r="L110" s="21">
        <f>N(F110)+N(J110)</f>
        <v/>
      </c>
      <c r="M110" s="21">
        <f>IF(K110="",0,L110-ROUND(L110/(1+IFERROR(VLOOKUP(K110,'Tax Codes'!$A$5:$E$300,5,FALSE),0)),2))</f>
        <v/>
      </c>
      <c r="N110" s="21">
        <f>L110-M110</f>
        <v/>
      </c>
      <c r="O110" s="16">
        <f>IF(H110="",INDEX('Chart of Accounts'!$A$5:$A$3000,MATCH("bank",'Chart of Accounts'!$F$5:$F$3000,0)),H110&amp;"")</f>
        <v/>
      </c>
      <c r="P110" s="16">
        <f>IF(I110="",INDEX('Chart of Accounts'!$A$5:$A$3000,MATCH("revenue",'Chart of Accounts'!$F$5:$F$3000,0)),I110&amp;"")</f>
        <v/>
      </c>
      <c r="Q110" s="16">
        <f>INDEX('Chart of Accounts'!$A$5:$A$3000,MATCH("wht_receivable",'Chart of Accounts'!$F$5:$F$3000,0))</f>
        <v/>
      </c>
      <c r="R110" s="16">
        <f>INDEX('Chart of Accounts'!$A$5:$A$3000,MATCH("vat_output",'Chart of Accounts'!$F$5:$F$3000,0))</f>
        <v/>
      </c>
      <c r="S110" s="23">
        <f>IFERROR(INDEX('Chart of Accounts'!$C$5:$C$3000,MATCH(O110&amp;"",'Chart of Accounts'!$A$5:$A$3000,0))&amp;"|"&amp;INDEX('Chart of Accounts'!$D$5:$D$3000,MATCH(O110&amp;"",'Chart of Accounts'!$A$5:$A$3000,0)),"")</f>
        <v/>
      </c>
      <c r="T110" s="23">
        <f>IFERROR(INDEX('Chart of Accounts'!$C$5:$C$3000,MATCH(Q110&amp;"",'Chart of Accounts'!$A$5:$A$3000,0))&amp;"|"&amp;INDEX('Chart of Accounts'!$D$5:$D$3000,MATCH(Q110&amp;"",'Chart of Accounts'!$A$5:$A$3000,0)),"")</f>
        <v/>
      </c>
      <c r="U110" s="23">
        <f>IFERROR(INDEX('Chart of Accounts'!$C$5:$C$3000,MATCH(P110&amp;"",'Chart of Accounts'!$A$5:$A$3000,0))&amp;"|"&amp;INDEX('Chart of Accounts'!$D$5:$D$3000,MATCH(P110&amp;"",'Chart of Accounts'!$A$5:$A$3000,0)),"")</f>
        <v/>
      </c>
      <c r="V110" s="23">
        <f>IFERROR(INDEX('Chart of Accounts'!$C$5:$C$3000,MATCH(R110&amp;"",'Chart of Accounts'!$A$5:$A$3000,0))&amp;"|"&amp;INDEX('Chart of Accounts'!$D$5:$D$3000,MATCH(R110&amp;"",'Chart of Accounts'!$A$5:$A$3000,0)),"")</f>
        <v/>
      </c>
      <c r="W110" s="23">
        <f>IF(LEFT(S110,8)="Revenue|",-N(F110),0)+IF(LEFT(T110,8)="Revenue|",-N(J110),0)+IF(LEFT(U110,8)="Revenue|",N(N110),0)+IF(LEFT(V110,8)="Revenue|",N(M110),0)</f>
        <v/>
      </c>
      <c r="X110" s="23">
        <f>IF(LEFT(S110,5)="COGS|",N(F110),0)+IF(LEFT(T110,5)="COGS|",N(J110),0)+IF(LEFT(U110,5)="COGS|",-N(N110),0)+IF(LEFT(V110,5)="COGS|",-N(M110),0)</f>
        <v/>
      </c>
      <c r="Y110" s="23">
        <f>IF(LEFT(S110,8)="Expense|",N(F110),0)+IF(LEFT(T110,8)="Expense|",N(J110),0)+IF(LEFT(U110,8)="Expense|",-N(N110),0)+IF(LEFT(V110,8)="Expense|",-N(M110),0)</f>
        <v/>
      </c>
      <c r="Z110" s="23">
        <f>IF(ISNUMBER(MATCH(S110,{"Expense|employee","Expense|general_admin","Expense|marketing","Expense|utilities","Expense|other_operating"},0)),N(F110),0)+IF(ISNUMBER(MATCH(T110,{"Expense|employee","Expense|general_admin","Expense|marketing","Expense|utilities","Expense|other_operating"},0)),N(J110),0)+IF(ISNUMBER(MATCH(U110,{"Expense|employee","Expense|general_admin","Expense|marketing","Expense|utilities","Expense|other_operating"},0)),-N(N110),0)+IF(ISNUMBER(MATCH(V110,{"Expense|employee","Expense|general_admin","Expense|marketing","Expense|utilities","Expense|other_operating"},0)),-N(M110),0)</f>
        <v/>
      </c>
      <c r="AA110" s="23">
        <f>IF(S110="Liability|payable",-N(F110),0)+IF(T110="Liability|payable",-N(J110),0)+IF(U110="Liability|payable",N(N110),0)+IF(V110="Liability|payable",N(M110),0)</f>
        <v/>
      </c>
      <c r="AB110" s="23">
        <f>IF(S110="Liability|accrued",-N(F110),0)+IF(T110="Liability|accrued",-N(J110),0)+IF(U110="Liability|accrued",N(N110),0)+IF(V110="Liability|accrued",N(M110),0)</f>
        <v/>
      </c>
      <c r="AC110" s="23">
        <f>IF(AND(N(F110)&lt;&gt;0,S110=""),1,0)+IF(AND(N(J110)&lt;&gt;0,T110=""),1,0)+IF(AND(N(N110)&lt;&gt;0,U110=""),1,0)+IF(AND(N(M110)&lt;&gt;0,V110=""),1,0)</f>
        <v/>
      </c>
    </row>
    <row r="111">
      <c r="A111" s="19" t="n"/>
      <c r="B111" s="14" t="n"/>
      <c r="C111" s="14" t="n"/>
      <c r="D111" s="14" t="n"/>
      <c r="E111" s="14" t="n"/>
      <c r="F111" s="20" t="n"/>
      <c r="G111" s="14" t="n"/>
      <c r="H111" s="14" t="n"/>
      <c r="I111" s="14" t="n"/>
      <c r="J111" s="20" t="n"/>
      <c r="K111" s="14" t="n"/>
      <c r="L111" s="21">
        <f>N(F111)+N(J111)</f>
        <v/>
      </c>
      <c r="M111" s="21">
        <f>IF(K111="",0,L111-ROUND(L111/(1+IFERROR(VLOOKUP(K111,'Tax Codes'!$A$5:$E$300,5,FALSE),0)),2))</f>
        <v/>
      </c>
      <c r="N111" s="21">
        <f>L111-M111</f>
        <v/>
      </c>
      <c r="O111" s="16">
        <f>IF(H111="",INDEX('Chart of Accounts'!$A$5:$A$3000,MATCH("bank",'Chart of Accounts'!$F$5:$F$3000,0)),H111&amp;"")</f>
        <v/>
      </c>
      <c r="P111" s="16">
        <f>IF(I111="",INDEX('Chart of Accounts'!$A$5:$A$3000,MATCH("revenue",'Chart of Accounts'!$F$5:$F$3000,0)),I111&amp;"")</f>
        <v/>
      </c>
      <c r="Q111" s="16">
        <f>INDEX('Chart of Accounts'!$A$5:$A$3000,MATCH("wht_receivable",'Chart of Accounts'!$F$5:$F$3000,0))</f>
        <v/>
      </c>
      <c r="R111" s="16">
        <f>INDEX('Chart of Accounts'!$A$5:$A$3000,MATCH("vat_output",'Chart of Accounts'!$F$5:$F$3000,0))</f>
        <v/>
      </c>
      <c r="S111" s="23">
        <f>IFERROR(INDEX('Chart of Accounts'!$C$5:$C$3000,MATCH(O111&amp;"",'Chart of Accounts'!$A$5:$A$3000,0))&amp;"|"&amp;INDEX('Chart of Accounts'!$D$5:$D$3000,MATCH(O111&amp;"",'Chart of Accounts'!$A$5:$A$3000,0)),"")</f>
        <v/>
      </c>
      <c r="T111" s="23">
        <f>IFERROR(INDEX('Chart of Accounts'!$C$5:$C$3000,MATCH(Q111&amp;"",'Chart of Accounts'!$A$5:$A$3000,0))&amp;"|"&amp;INDEX('Chart of Accounts'!$D$5:$D$3000,MATCH(Q111&amp;"",'Chart of Accounts'!$A$5:$A$3000,0)),"")</f>
        <v/>
      </c>
      <c r="U111" s="23">
        <f>IFERROR(INDEX('Chart of Accounts'!$C$5:$C$3000,MATCH(P111&amp;"",'Chart of Accounts'!$A$5:$A$3000,0))&amp;"|"&amp;INDEX('Chart of Accounts'!$D$5:$D$3000,MATCH(P111&amp;"",'Chart of Accounts'!$A$5:$A$3000,0)),"")</f>
        <v/>
      </c>
      <c r="V111" s="23">
        <f>IFERROR(INDEX('Chart of Accounts'!$C$5:$C$3000,MATCH(R111&amp;"",'Chart of Accounts'!$A$5:$A$3000,0))&amp;"|"&amp;INDEX('Chart of Accounts'!$D$5:$D$3000,MATCH(R111&amp;"",'Chart of Accounts'!$A$5:$A$3000,0)),"")</f>
        <v/>
      </c>
      <c r="W111" s="23">
        <f>IF(LEFT(S111,8)="Revenue|",-N(F111),0)+IF(LEFT(T111,8)="Revenue|",-N(J111),0)+IF(LEFT(U111,8)="Revenue|",N(N111),0)+IF(LEFT(V111,8)="Revenue|",N(M111),0)</f>
        <v/>
      </c>
      <c r="X111" s="23">
        <f>IF(LEFT(S111,5)="COGS|",N(F111),0)+IF(LEFT(T111,5)="COGS|",N(J111),0)+IF(LEFT(U111,5)="COGS|",-N(N111),0)+IF(LEFT(V111,5)="COGS|",-N(M111),0)</f>
        <v/>
      </c>
      <c r="Y111" s="23">
        <f>IF(LEFT(S111,8)="Expense|",N(F111),0)+IF(LEFT(T111,8)="Expense|",N(J111),0)+IF(LEFT(U111,8)="Expense|",-N(N111),0)+IF(LEFT(V111,8)="Expense|",-N(M111),0)</f>
        <v/>
      </c>
      <c r="Z111" s="23">
        <f>IF(ISNUMBER(MATCH(S111,{"Expense|employee","Expense|general_admin","Expense|marketing","Expense|utilities","Expense|other_operating"},0)),N(F111),0)+IF(ISNUMBER(MATCH(T111,{"Expense|employee","Expense|general_admin","Expense|marketing","Expense|utilities","Expense|other_operating"},0)),N(J111),0)+IF(ISNUMBER(MATCH(U111,{"Expense|employee","Expense|general_admin","Expense|marketing","Expense|utilities","Expense|other_operating"},0)),-N(N111),0)+IF(ISNUMBER(MATCH(V111,{"Expense|employee","Expense|general_admin","Expense|marketing","Expense|utilities","Expense|other_operating"},0)),-N(M111),0)</f>
        <v/>
      </c>
      <c r="AA111" s="23">
        <f>IF(S111="Liability|payable",-N(F111),0)+IF(T111="Liability|payable",-N(J111),0)+IF(U111="Liability|payable",N(N111),0)+IF(V111="Liability|payable",N(M111),0)</f>
        <v/>
      </c>
      <c r="AB111" s="23">
        <f>IF(S111="Liability|accrued",-N(F111),0)+IF(T111="Liability|accrued",-N(J111),0)+IF(U111="Liability|accrued",N(N111),0)+IF(V111="Liability|accrued",N(M111),0)</f>
        <v/>
      </c>
      <c r="AC111" s="23">
        <f>IF(AND(N(F111)&lt;&gt;0,S111=""),1,0)+IF(AND(N(J111)&lt;&gt;0,T111=""),1,0)+IF(AND(N(N111)&lt;&gt;0,U111=""),1,0)+IF(AND(N(M111)&lt;&gt;0,V111=""),1,0)</f>
        <v/>
      </c>
    </row>
    <row r="112">
      <c r="A112" s="19" t="n"/>
      <c r="B112" s="14" t="n"/>
      <c r="C112" s="14" t="n"/>
      <c r="D112" s="14" t="n"/>
      <c r="E112" s="14" t="n"/>
      <c r="F112" s="20" t="n"/>
      <c r="G112" s="14" t="n"/>
      <c r="H112" s="14" t="n"/>
      <c r="I112" s="14" t="n"/>
      <c r="J112" s="20" t="n"/>
      <c r="K112" s="14" t="n"/>
      <c r="L112" s="21">
        <f>N(F112)+N(J112)</f>
        <v/>
      </c>
      <c r="M112" s="21">
        <f>IF(K112="",0,L112-ROUND(L112/(1+IFERROR(VLOOKUP(K112,'Tax Codes'!$A$5:$E$300,5,FALSE),0)),2))</f>
        <v/>
      </c>
      <c r="N112" s="21">
        <f>L112-M112</f>
        <v/>
      </c>
      <c r="O112" s="16">
        <f>IF(H112="",INDEX('Chart of Accounts'!$A$5:$A$3000,MATCH("bank",'Chart of Accounts'!$F$5:$F$3000,0)),H112&amp;"")</f>
        <v/>
      </c>
      <c r="P112" s="16">
        <f>IF(I112="",INDEX('Chart of Accounts'!$A$5:$A$3000,MATCH("revenue",'Chart of Accounts'!$F$5:$F$3000,0)),I112&amp;"")</f>
        <v/>
      </c>
      <c r="Q112" s="16">
        <f>INDEX('Chart of Accounts'!$A$5:$A$3000,MATCH("wht_receivable",'Chart of Accounts'!$F$5:$F$3000,0))</f>
        <v/>
      </c>
      <c r="R112" s="16">
        <f>INDEX('Chart of Accounts'!$A$5:$A$3000,MATCH("vat_output",'Chart of Accounts'!$F$5:$F$3000,0))</f>
        <v/>
      </c>
      <c r="S112" s="23">
        <f>IFERROR(INDEX('Chart of Accounts'!$C$5:$C$3000,MATCH(O112&amp;"",'Chart of Accounts'!$A$5:$A$3000,0))&amp;"|"&amp;INDEX('Chart of Accounts'!$D$5:$D$3000,MATCH(O112&amp;"",'Chart of Accounts'!$A$5:$A$3000,0)),"")</f>
        <v/>
      </c>
      <c r="T112" s="23">
        <f>IFERROR(INDEX('Chart of Accounts'!$C$5:$C$3000,MATCH(Q112&amp;"",'Chart of Accounts'!$A$5:$A$3000,0))&amp;"|"&amp;INDEX('Chart of Accounts'!$D$5:$D$3000,MATCH(Q112&amp;"",'Chart of Accounts'!$A$5:$A$3000,0)),"")</f>
        <v/>
      </c>
      <c r="U112" s="23">
        <f>IFERROR(INDEX('Chart of Accounts'!$C$5:$C$3000,MATCH(P112&amp;"",'Chart of Accounts'!$A$5:$A$3000,0))&amp;"|"&amp;INDEX('Chart of Accounts'!$D$5:$D$3000,MATCH(P112&amp;"",'Chart of Accounts'!$A$5:$A$3000,0)),"")</f>
        <v/>
      </c>
      <c r="V112" s="23">
        <f>IFERROR(INDEX('Chart of Accounts'!$C$5:$C$3000,MATCH(R112&amp;"",'Chart of Accounts'!$A$5:$A$3000,0))&amp;"|"&amp;INDEX('Chart of Accounts'!$D$5:$D$3000,MATCH(R112&amp;"",'Chart of Accounts'!$A$5:$A$3000,0)),"")</f>
        <v/>
      </c>
      <c r="W112" s="23">
        <f>IF(LEFT(S112,8)="Revenue|",-N(F112),0)+IF(LEFT(T112,8)="Revenue|",-N(J112),0)+IF(LEFT(U112,8)="Revenue|",N(N112),0)+IF(LEFT(V112,8)="Revenue|",N(M112),0)</f>
        <v/>
      </c>
      <c r="X112" s="23">
        <f>IF(LEFT(S112,5)="COGS|",N(F112),0)+IF(LEFT(T112,5)="COGS|",N(J112),0)+IF(LEFT(U112,5)="COGS|",-N(N112),0)+IF(LEFT(V112,5)="COGS|",-N(M112),0)</f>
        <v/>
      </c>
      <c r="Y112" s="23">
        <f>IF(LEFT(S112,8)="Expense|",N(F112),0)+IF(LEFT(T112,8)="Expense|",N(J112),0)+IF(LEFT(U112,8)="Expense|",-N(N112),0)+IF(LEFT(V112,8)="Expense|",-N(M112),0)</f>
        <v/>
      </c>
      <c r="Z112" s="23">
        <f>IF(ISNUMBER(MATCH(S112,{"Expense|employee","Expense|general_admin","Expense|marketing","Expense|utilities","Expense|other_operating"},0)),N(F112),0)+IF(ISNUMBER(MATCH(T112,{"Expense|employee","Expense|general_admin","Expense|marketing","Expense|utilities","Expense|other_operating"},0)),N(J112),0)+IF(ISNUMBER(MATCH(U112,{"Expense|employee","Expense|general_admin","Expense|marketing","Expense|utilities","Expense|other_operating"},0)),-N(N112),0)+IF(ISNUMBER(MATCH(V112,{"Expense|employee","Expense|general_admin","Expense|marketing","Expense|utilities","Expense|other_operating"},0)),-N(M112),0)</f>
        <v/>
      </c>
      <c r="AA112" s="23">
        <f>IF(S112="Liability|payable",-N(F112),0)+IF(T112="Liability|payable",-N(J112),0)+IF(U112="Liability|payable",N(N112),0)+IF(V112="Liability|payable",N(M112),0)</f>
        <v/>
      </c>
      <c r="AB112" s="23">
        <f>IF(S112="Liability|accrued",-N(F112),0)+IF(T112="Liability|accrued",-N(J112),0)+IF(U112="Liability|accrued",N(N112),0)+IF(V112="Liability|accrued",N(M112),0)</f>
        <v/>
      </c>
      <c r="AC112" s="23">
        <f>IF(AND(N(F112)&lt;&gt;0,S112=""),1,0)+IF(AND(N(J112)&lt;&gt;0,T112=""),1,0)+IF(AND(N(N112)&lt;&gt;0,U112=""),1,0)+IF(AND(N(M112)&lt;&gt;0,V112=""),1,0)</f>
        <v/>
      </c>
    </row>
    <row r="113">
      <c r="A113" s="19" t="n"/>
      <c r="B113" s="14" t="n"/>
      <c r="C113" s="14" t="n"/>
      <c r="D113" s="14" t="n"/>
      <c r="E113" s="14" t="n"/>
      <c r="F113" s="20" t="n"/>
      <c r="G113" s="14" t="n"/>
      <c r="H113" s="14" t="n"/>
      <c r="I113" s="14" t="n"/>
      <c r="J113" s="20" t="n"/>
      <c r="K113" s="14" t="n"/>
      <c r="L113" s="21">
        <f>N(F113)+N(J113)</f>
        <v/>
      </c>
      <c r="M113" s="21">
        <f>IF(K113="",0,L113-ROUND(L113/(1+IFERROR(VLOOKUP(K113,'Tax Codes'!$A$5:$E$300,5,FALSE),0)),2))</f>
        <v/>
      </c>
      <c r="N113" s="21">
        <f>L113-M113</f>
        <v/>
      </c>
      <c r="O113" s="16">
        <f>IF(H113="",INDEX('Chart of Accounts'!$A$5:$A$3000,MATCH("bank",'Chart of Accounts'!$F$5:$F$3000,0)),H113&amp;"")</f>
        <v/>
      </c>
      <c r="P113" s="16">
        <f>IF(I113="",INDEX('Chart of Accounts'!$A$5:$A$3000,MATCH("revenue",'Chart of Accounts'!$F$5:$F$3000,0)),I113&amp;"")</f>
        <v/>
      </c>
      <c r="Q113" s="16">
        <f>INDEX('Chart of Accounts'!$A$5:$A$3000,MATCH("wht_receivable",'Chart of Accounts'!$F$5:$F$3000,0))</f>
        <v/>
      </c>
      <c r="R113" s="16">
        <f>INDEX('Chart of Accounts'!$A$5:$A$3000,MATCH("vat_output",'Chart of Accounts'!$F$5:$F$3000,0))</f>
        <v/>
      </c>
      <c r="S113" s="23">
        <f>IFERROR(INDEX('Chart of Accounts'!$C$5:$C$3000,MATCH(O113&amp;"",'Chart of Accounts'!$A$5:$A$3000,0))&amp;"|"&amp;INDEX('Chart of Accounts'!$D$5:$D$3000,MATCH(O113&amp;"",'Chart of Accounts'!$A$5:$A$3000,0)),"")</f>
        <v/>
      </c>
      <c r="T113" s="23">
        <f>IFERROR(INDEX('Chart of Accounts'!$C$5:$C$3000,MATCH(Q113&amp;"",'Chart of Accounts'!$A$5:$A$3000,0))&amp;"|"&amp;INDEX('Chart of Accounts'!$D$5:$D$3000,MATCH(Q113&amp;"",'Chart of Accounts'!$A$5:$A$3000,0)),"")</f>
        <v/>
      </c>
      <c r="U113" s="23">
        <f>IFERROR(INDEX('Chart of Accounts'!$C$5:$C$3000,MATCH(P113&amp;"",'Chart of Accounts'!$A$5:$A$3000,0))&amp;"|"&amp;INDEX('Chart of Accounts'!$D$5:$D$3000,MATCH(P113&amp;"",'Chart of Accounts'!$A$5:$A$3000,0)),"")</f>
        <v/>
      </c>
      <c r="V113" s="23">
        <f>IFERROR(INDEX('Chart of Accounts'!$C$5:$C$3000,MATCH(R113&amp;"",'Chart of Accounts'!$A$5:$A$3000,0))&amp;"|"&amp;INDEX('Chart of Accounts'!$D$5:$D$3000,MATCH(R113&amp;"",'Chart of Accounts'!$A$5:$A$3000,0)),"")</f>
        <v/>
      </c>
      <c r="W113" s="23">
        <f>IF(LEFT(S113,8)="Revenue|",-N(F113),0)+IF(LEFT(T113,8)="Revenue|",-N(J113),0)+IF(LEFT(U113,8)="Revenue|",N(N113),0)+IF(LEFT(V113,8)="Revenue|",N(M113),0)</f>
        <v/>
      </c>
      <c r="X113" s="23">
        <f>IF(LEFT(S113,5)="COGS|",N(F113),0)+IF(LEFT(T113,5)="COGS|",N(J113),0)+IF(LEFT(U113,5)="COGS|",-N(N113),0)+IF(LEFT(V113,5)="COGS|",-N(M113),0)</f>
        <v/>
      </c>
      <c r="Y113" s="23">
        <f>IF(LEFT(S113,8)="Expense|",N(F113),0)+IF(LEFT(T113,8)="Expense|",N(J113),0)+IF(LEFT(U113,8)="Expense|",-N(N113),0)+IF(LEFT(V113,8)="Expense|",-N(M113),0)</f>
        <v/>
      </c>
      <c r="Z113" s="23">
        <f>IF(ISNUMBER(MATCH(S113,{"Expense|employee","Expense|general_admin","Expense|marketing","Expense|utilities","Expense|other_operating"},0)),N(F113),0)+IF(ISNUMBER(MATCH(T113,{"Expense|employee","Expense|general_admin","Expense|marketing","Expense|utilities","Expense|other_operating"},0)),N(J113),0)+IF(ISNUMBER(MATCH(U113,{"Expense|employee","Expense|general_admin","Expense|marketing","Expense|utilities","Expense|other_operating"},0)),-N(N113),0)+IF(ISNUMBER(MATCH(V113,{"Expense|employee","Expense|general_admin","Expense|marketing","Expense|utilities","Expense|other_operating"},0)),-N(M113),0)</f>
        <v/>
      </c>
      <c r="AA113" s="23">
        <f>IF(S113="Liability|payable",-N(F113),0)+IF(T113="Liability|payable",-N(J113),0)+IF(U113="Liability|payable",N(N113),0)+IF(V113="Liability|payable",N(M113),0)</f>
        <v/>
      </c>
      <c r="AB113" s="23">
        <f>IF(S113="Liability|accrued",-N(F113),0)+IF(T113="Liability|accrued",-N(J113),0)+IF(U113="Liability|accrued",N(N113),0)+IF(V113="Liability|accrued",N(M113),0)</f>
        <v/>
      </c>
      <c r="AC113" s="23">
        <f>IF(AND(N(F113)&lt;&gt;0,S113=""),1,0)+IF(AND(N(J113)&lt;&gt;0,T113=""),1,0)+IF(AND(N(N113)&lt;&gt;0,U113=""),1,0)+IF(AND(N(M113)&lt;&gt;0,V113=""),1,0)</f>
        <v/>
      </c>
    </row>
    <row r="114">
      <c r="A114" s="19" t="n"/>
      <c r="B114" s="14" t="n"/>
      <c r="C114" s="14" t="n"/>
      <c r="D114" s="14" t="n"/>
      <c r="E114" s="14" t="n"/>
      <c r="F114" s="20" t="n"/>
      <c r="G114" s="14" t="n"/>
      <c r="H114" s="14" t="n"/>
      <c r="I114" s="14" t="n"/>
      <c r="J114" s="20" t="n"/>
      <c r="K114" s="14" t="n"/>
      <c r="L114" s="21">
        <f>N(F114)+N(J114)</f>
        <v/>
      </c>
      <c r="M114" s="21">
        <f>IF(K114="",0,L114-ROUND(L114/(1+IFERROR(VLOOKUP(K114,'Tax Codes'!$A$5:$E$300,5,FALSE),0)),2))</f>
        <v/>
      </c>
      <c r="N114" s="21">
        <f>L114-M114</f>
        <v/>
      </c>
      <c r="O114" s="16">
        <f>IF(H114="",INDEX('Chart of Accounts'!$A$5:$A$3000,MATCH("bank",'Chart of Accounts'!$F$5:$F$3000,0)),H114&amp;"")</f>
        <v/>
      </c>
      <c r="P114" s="16">
        <f>IF(I114="",INDEX('Chart of Accounts'!$A$5:$A$3000,MATCH("revenue",'Chart of Accounts'!$F$5:$F$3000,0)),I114&amp;"")</f>
        <v/>
      </c>
      <c r="Q114" s="16">
        <f>INDEX('Chart of Accounts'!$A$5:$A$3000,MATCH("wht_receivable",'Chart of Accounts'!$F$5:$F$3000,0))</f>
        <v/>
      </c>
      <c r="R114" s="16">
        <f>INDEX('Chart of Accounts'!$A$5:$A$3000,MATCH("vat_output",'Chart of Accounts'!$F$5:$F$3000,0))</f>
        <v/>
      </c>
      <c r="S114" s="23">
        <f>IFERROR(INDEX('Chart of Accounts'!$C$5:$C$3000,MATCH(O114&amp;"",'Chart of Accounts'!$A$5:$A$3000,0))&amp;"|"&amp;INDEX('Chart of Accounts'!$D$5:$D$3000,MATCH(O114&amp;"",'Chart of Accounts'!$A$5:$A$3000,0)),"")</f>
        <v/>
      </c>
      <c r="T114" s="23">
        <f>IFERROR(INDEX('Chart of Accounts'!$C$5:$C$3000,MATCH(Q114&amp;"",'Chart of Accounts'!$A$5:$A$3000,0))&amp;"|"&amp;INDEX('Chart of Accounts'!$D$5:$D$3000,MATCH(Q114&amp;"",'Chart of Accounts'!$A$5:$A$3000,0)),"")</f>
        <v/>
      </c>
      <c r="U114" s="23">
        <f>IFERROR(INDEX('Chart of Accounts'!$C$5:$C$3000,MATCH(P114&amp;"",'Chart of Accounts'!$A$5:$A$3000,0))&amp;"|"&amp;INDEX('Chart of Accounts'!$D$5:$D$3000,MATCH(P114&amp;"",'Chart of Accounts'!$A$5:$A$3000,0)),"")</f>
        <v/>
      </c>
      <c r="V114" s="23">
        <f>IFERROR(INDEX('Chart of Accounts'!$C$5:$C$3000,MATCH(R114&amp;"",'Chart of Accounts'!$A$5:$A$3000,0))&amp;"|"&amp;INDEX('Chart of Accounts'!$D$5:$D$3000,MATCH(R114&amp;"",'Chart of Accounts'!$A$5:$A$3000,0)),"")</f>
        <v/>
      </c>
      <c r="W114" s="23">
        <f>IF(LEFT(S114,8)="Revenue|",-N(F114),0)+IF(LEFT(T114,8)="Revenue|",-N(J114),0)+IF(LEFT(U114,8)="Revenue|",N(N114),0)+IF(LEFT(V114,8)="Revenue|",N(M114),0)</f>
        <v/>
      </c>
      <c r="X114" s="23">
        <f>IF(LEFT(S114,5)="COGS|",N(F114),0)+IF(LEFT(T114,5)="COGS|",N(J114),0)+IF(LEFT(U114,5)="COGS|",-N(N114),0)+IF(LEFT(V114,5)="COGS|",-N(M114),0)</f>
        <v/>
      </c>
      <c r="Y114" s="23">
        <f>IF(LEFT(S114,8)="Expense|",N(F114),0)+IF(LEFT(T114,8)="Expense|",N(J114),0)+IF(LEFT(U114,8)="Expense|",-N(N114),0)+IF(LEFT(V114,8)="Expense|",-N(M114),0)</f>
        <v/>
      </c>
      <c r="Z114" s="23">
        <f>IF(ISNUMBER(MATCH(S114,{"Expense|employee","Expense|general_admin","Expense|marketing","Expense|utilities","Expense|other_operating"},0)),N(F114),0)+IF(ISNUMBER(MATCH(T114,{"Expense|employee","Expense|general_admin","Expense|marketing","Expense|utilities","Expense|other_operating"},0)),N(J114),0)+IF(ISNUMBER(MATCH(U114,{"Expense|employee","Expense|general_admin","Expense|marketing","Expense|utilities","Expense|other_operating"},0)),-N(N114),0)+IF(ISNUMBER(MATCH(V114,{"Expense|employee","Expense|general_admin","Expense|marketing","Expense|utilities","Expense|other_operating"},0)),-N(M114),0)</f>
        <v/>
      </c>
      <c r="AA114" s="23">
        <f>IF(S114="Liability|payable",-N(F114),0)+IF(T114="Liability|payable",-N(J114),0)+IF(U114="Liability|payable",N(N114),0)+IF(V114="Liability|payable",N(M114),0)</f>
        <v/>
      </c>
      <c r="AB114" s="23">
        <f>IF(S114="Liability|accrued",-N(F114),0)+IF(T114="Liability|accrued",-N(J114),0)+IF(U114="Liability|accrued",N(N114),0)+IF(V114="Liability|accrued",N(M114),0)</f>
        <v/>
      </c>
      <c r="AC114" s="23">
        <f>IF(AND(N(F114)&lt;&gt;0,S114=""),1,0)+IF(AND(N(J114)&lt;&gt;0,T114=""),1,0)+IF(AND(N(N114)&lt;&gt;0,U114=""),1,0)+IF(AND(N(M114)&lt;&gt;0,V114=""),1,0)</f>
        <v/>
      </c>
    </row>
    <row r="115">
      <c r="A115" s="19" t="n"/>
      <c r="B115" s="14" t="n"/>
      <c r="C115" s="14" t="n"/>
      <c r="D115" s="14" t="n"/>
      <c r="E115" s="14" t="n"/>
      <c r="F115" s="20" t="n"/>
      <c r="G115" s="14" t="n"/>
      <c r="H115" s="14" t="n"/>
      <c r="I115" s="14" t="n"/>
      <c r="J115" s="20" t="n"/>
      <c r="K115" s="14" t="n"/>
      <c r="L115" s="21">
        <f>N(F115)+N(J115)</f>
        <v/>
      </c>
      <c r="M115" s="21">
        <f>IF(K115="",0,L115-ROUND(L115/(1+IFERROR(VLOOKUP(K115,'Tax Codes'!$A$5:$E$300,5,FALSE),0)),2))</f>
        <v/>
      </c>
      <c r="N115" s="21">
        <f>L115-M115</f>
        <v/>
      </c>
      <c r="O115" s="16">
        <f>IF(H115="",INDEX('Chart of Accounts'!$A$5:$A$3000,MATCH("bank",'Chart of Accounts'!$F$5:$F$3000,0)),H115&amp;"")</f>
        <v/>
      </c>
      <c r="P115" s="16">
        <f>IF(I115="",INDEX('Chart of Accounts'!$A$5:$A$3000,MATCH("revenue",'Chart of Accounts'!$F$5:$F$3000,0)),I115&amp;"")</f>
        <v/>
      </c>
      <c r="Q115" s="16">
        <f>INDEX('Chart of Accounts'!$A$5:$A$3000,MATCH("wht_receivable",'Chart of Accounts'!$F$5:$F$3000,0))</f>
        <v/>
      </c>
      <c r="R115" s="16">
        <f>INDEX('Chart of Accounts'!$A$5:$A$3000,MATCH("vat_output",'Chart of Accounts'!$F$5:$F$3000,0))</f>
        <v/>
      </c>
      <c r="S115" s="23">
        <f>IFERROR(INDEX('Chart of Accounts'!$C$5:$C$3000,MATCH(O115&amp;"",'Chart of Accounts'!$A$5:$A$3000,0))&amp;"|"&amp;INDEX('Chart of Accounts'!$D$5:$D$3000,MATCH(O115&amp;"",'Chart of Accounts'!$A$5:$A$3000,0)),"")</f>
        <v/>
      </c>
      <c r="T115" s="23">
        <f>IFERROR(INDEX('Chart of Accounts'!$C$5:$C$3000,MATCH(Q115&amp;"",'Chart of Accounts'!$A$5:$A$3000,0))&amp;"|"&amp;INDEX('Chart of Accounts'!$D$5:$D$3000,MATCH(Q115&amp;"",'Chart of Accounts'!$A$5:$A$3000,0)),"")</f>
        <v/>
      </c>
      <c r="U115" s="23">
        <f>IFERROR(INDEX('Chart of Accounts'!$C$5:$C$3000,MATCH(P115&amp;"",'Chart of Accounts'!$A$5:$A$3000,0))&amp;"|"&amp;INDEX('Chart of Accounts'!$D$5:$D$3000,MATCH(P115&amp;"",'Chart of Accounts'!$A$5:$A$3000,0)),"")</f>
        <v/>
      </c>
      <c r="V115" s="23">
        <f>IFERROR(INDEX('Chart of Accounts'!$C$5:$C$3000,MATCH(R115&amp;"",'Chart of Accounts'!$A$5:$A$3000,0))&amp;"|"&amp;INDEX('Chart of Accounts'!$D$5:$D$3000,MATCH(R115&amp;"",'Chart of Accounts'!$A$5:$A$3000,0)),"")</f>
        <v/>
      </c>
      <c r="W115" s="23">
        <f>IF(LEFT(S115,8)="Revenue|",-N(F115),0)+IF(LEFT(T115,8)="Revenue|",-N(J115),0)+IF(LEFT(U115,8)="Revenue|",N(N115),0)+IF(LEFT(V115,8)="Revenue|",N(M115),0)</f>
        <v/>
      </c>
      <c r="X115" s="23">
        <f>IF(LEFT(S115,5)="COGS|",N(F115),0)+IF(LEFT(T115,5)="COGS|",N(J115),0)+IF(LEFT(U115,5)="COGS|",-N(N115),0)+IF(LEFT(V115,5)="COGS|",-N(M115),0)</f>
        <v/>
      </c>
      <c r="Y115" s="23">
        <f>IF(LEFT(S115,8)="Expense|",N(F115),0)+IF(LEFT(T115,8)="Expense|",N(J115),0)+IF(LEFT(U115,8)="Expense|",-N(N115),0)+IF(LEFT(V115,8)="Expense|",-N(M115),0)</f>
        <v/>
      </c>
      <c r="Z115" s="23">
        <f>IF(ISNUMBER(MATCH(S115,{"Expense|employee","Expense|general_admin","Expense|marketing","Expense|utilities","Expense|other_operating"},0)),N(F115),0)+IF(ISNUMBER(MATCH(T115,{"Expense|employee","Expense|general_admin","Expense|marketing","Expense|utilities","Expense|other_operating"},0)),N(J115),0)+IF(ISNUMBER(MATCH(U115,{"Expense|employee","Expense|general_admin","Expense|marketing","Expense|utilities","Expense|other_operating"},0)),-N(N115),0)+IF(ISNUMBER(MATCH(V115,{"Expense|employee","Expense|general_admin","Expense|marketing","Expense|utilities","Expense|other_operating"},0)),-N(M115),0)</f>
        <v/>
      </c>
      <c r="AA115" s="23">
        <f>IF(S115="Liability|payable",-N(F115),0)+IF(T115="Liability|payable",-N(J115),0)+IF(U115="Liability|payable",N(N115),0)+IF(V115="Liability|payable",N(M115),0)</f>
        <v/>
      </c>
      <c r="AB115" s="23">
        <f>IF(S115="Liability|accrued",-N(F115),0)+IF(T115="Liability|accrued",-N(J115),0)+IF(U115="Liability|accrued",N(N115),0)+IF(V115="Liability|accrued",N(M115),0)</f>
        <v/>
      </c>
      <c r="AC115" s="23">
        <f>IF(AND(N(F115)&lt;&gt;0,S115=""),1,0)+IF(AND(N(J115)&lt;&gt;0,T115=""),1,0)+IF(AND(N(N115)&lt;&gt;0,U115=""),1,0)+IF(AND(N(M115)&lt;&gt;0,V115=""),1,0)</f>
        <v/>
      </c>
    </row>
    <row r="116">
      <c r="A116" s="19" t="n"/>
      <c r="B116" s="14" t="n"/>
      <c r="C116" s="14" t="n"/>
      <c r="D116" s="14" t="n"/>
      <c r="E116" s="14" t="n"/>
      <c r="F116" s="20" t="n"/>
      <c r="G116" s="14" t="n"/>
      <c r="H116" s="14" t="n"/>
      <c r="I116" s="14" t="n"/>
      <c r="J116" s="20" t="n"/>
      <c r="K116" s="14" t="n"/>
      <c r="L116" s="21">
        <f>N(F116)+N(J116)</f>
        <v/>
      </c>
      <c r="M116" s="21">
        <f>IF(K116="",0,L116-ROUND(L116/(1+IFERROR(VLOOKUP(K116,'Tax Codes'!$A$5:$E$300,5,FALSE),0)),2))</f>
        <v/>
      </c>
      <c r="N116" s="21">
        <f>L116-M116</f>
        <v/>
      </c>
      <c r="O116" s="16">
        <f>IF(H116="",INDEX('Chart of Accounts'!$A$5:$A$3000,MATCH("bank",'Chart of Accounts'!$F$5:$F$3000,0)),H116&amp;"")</f>
        <v/>
      </c>
      <c r="P116" s="16">
        <f>IF(I116="",INDEX('Chart of Accounts'!$A$5:$A$3000,MATCH("revenue",'Chart of Accounts'!$F$5:$F$3000,0)),I116&amp;"")</f>
        <v/>
      </c>
      <c r="Q116" s="16">
        <f>INDEX('Chart of Accounts'!$A$5:$A$3000,MATCH("wht_receivable",'Chart of Accounts'!$F$5:$F$3000,0))</f>
        <v/>
      </c>
      <c r="R116" s="16">
        <f>INDEX('Chart of Accounts'!$A$5:$A$3000,MATCH("vat_output",'Chart of Accounts'!$F$5:$F$3000,0))</f>
        <v/>
      </c>
      <c r="S116" s="23">
        <f>IFERROR(INDEX('Chart of Accounts'!$C$5:$C$3000,MATCH(O116&amp;"",'Chart of Accounts'!$A$5:$A$3000,0))&amp;"|"&amp;INDEX('Chart of Accounts'!$D$5:$D$3000,MATCH(O116&amp;"",'Chart of Accounts'!$A$5:$A$3000,0)),"")</f>
        <v/>
      </c>
      <c r="T116" s="23">
        <f>IFERROR(INDEX('Chart of Accounts'!$C$5:$C$3000,MATCH(Q116&amp;"",'Chart of Accounts'!$A$5:$A$3000,0))&amp;"|"&amp;INDEX('Chart of Accounts'!$D$5:$D$3000,MATCH(Q116&amp;"",'Chart of Accounts'!$A$5:$A$3000,0)),"")</f>
        <v/>
      </c>
      <c r="U116" s="23">
        <f>IFERROR(INDEX('Chart of Accounts'!$C$5:$C$3000,MATCH(P116&amp;"",'Chart of Accounts'!$A$5:$A$3000,0))&amp;"|"&amp;INDEX('Chart of Accounts'!$D$5:$D$3000,MATCH(P116&amp;"",'Chart of Accounts'!$A$5:$A$3000,0)),"")</f>
        <v/>
      </c>
      <c r="V116" s="23">
        <f>IFERROR(INDEX('Chart of Accounts'!$C$5:$C$3000,MATCH(R116&amp;"",'Chart of Accounts'!$A$5:$A$3000,0))&amp;"|"&amp;INDEX('Chart of Accounts'!$D$5:$D$3000,MATCH(R116&amp;"",'Chart of Accounts'!$A$5:$A$3000,0)),"")</f>
        <v/>
      </c>
      <c r="W116" s="23">
        <f>IF(LEFT(S116,8)="Revenue|",-N(F116),0)+IF(LEFT(T116,8)="Revenue|",-N(J116),0)+IF(LEFT(U116,8)="Revenue|",N(N116),0)+IF(LEFT(V116,8)="Revenue|",N(M116),0)</f>
        <v/>
      </c>
      <c r="X116" s="23">
        <f>IF(LEFT(S116,5)="COGS|",N(F116),0)+IF(LEFT(T116,5)="COGS|",N(J116),0)+IF(LEFT(U116,5)="COGS|",-N(N116),0)+IF(LEFT(V116,5)="COGS|",-N(M116),0)</f>
        <v/>
      </c>
      <c r="Y116" s="23">
        <f>IF(LEFT(S116,8)="Expense|",N(F116),0)+IF(LEFT(T116,8)="Expense|",N(J116),0)+IF(LEFT(U116,8)="Expense|",-N(N116),0)+IF(LEFT(V116,8)="Expense|",-N(M116),0)</f>
        <v/>
      </c>
      <c r="Z116" s="23">
        <f>IF(ISNUMBER(MATCH(S116,{"Expense|employee","Expense|general_admin","Expense|marketing","Expense|utilities","Expense|other_operating"},0)),N(F116),0)+IF(ISNUMBER(MATCH(T116,{"Expense|employee","Expense|general_admin","Expense|marketing","Expense|utilities","Expense|other_operating"},0)),N(J116),0)+IF(ISNUMBER(MATCH(U116,{"Expense|employee","Expense|general_admin","Expense|marketing","Expense|utilities","Expense|other_operating"},0)),-N(N116),0)+IF(ISNUMBER(MATCH(V116,{"Expense|employee","Expense|general_admin","Expense|marketing","Expense|utilities","Expense|other_operating"},0)),-N(M116),0)</f>
        <v/>
      </c>
      <c r="AA116" s="23">
        <f>IF(S116="Liability|payable",-N(F116),0)+IF(T116="Liability|payable",-N(J116),0)+IF(U116="Liability|payable",N(N116),0)+IF(V116="Liability|payable",N(M116),0)</f>
        <v/>
      </c>
      <c r="AB116" s="23">
        <f>IF(S116="Liability|accrued",-N(F116),0)+IF(T116="Liability|accrued",-N(J116),0)+IF(U116="Liability|accrued",N(N116),0)+IF(V116="Liability|accrued",N(M116),0)</f>
        <v/>
      </c>
      <c r="AC116" s="23">
        <f>IF(AND(N(F116)&lt;&gt;0,S116=""),1,0)+IF(AND(N(J116)&lt;&gt;0,T116=""),1,0)+IF(AND(N(N116)&lt;&gt;0,U116=""),1,0)+IF(AND(N(M116)&lt;&gt;0,V116=""),1,0)</f>
        <v/>
      </c>
    </row>
    <row r="117">
      <c r="A117" s="19" t="n"/>
      <c r="B117" s="14" t="n"/>
      <c r="C117" s="14" t="n"/>
      <c r="D117" s="14" t="n"/>
      <c r="E117" s="14" t="n"/>
      <c r="F117" s="20" t="n"/>
      <c r="G117" s="14" t="n"/>
      <c r="H117" s="14" t="n"/>
      <c r="I117" s="14" t="n"/>
      <c r="J117" s="20" t="n"/>
      <c r="K117" s="14" t="n"/>
      <c r="L117" s="21">
        <f>N(F117)+N(J117)</f>
        <v/>
      </c>
      <c r="M117" s="21">
        <f>IF(K117="",0,L117-ROUND(L117/(1+IFERROR(VLOOKUP(K117,'Tax Codes'!$A$5:$E$300,5,FALSE),0)),2))</f>
        <v/>
      </c>
      <c r="N117" s="21">
        <f>L117-M117</f>
        <v/>
      </c>
      <c r="O117" s="16">
        <f>IF(H117="",INDEX('Chart of Accounts'!$A$5:$A$3000,MATCH("bank",'Chart of Accounts'!$F$5:$F$3000,0)),H117&amp;"")</f>
        <v/>
      </c>
      <c r="P117" s="16">
        <f>IF(I117="",INDEX('Chart of Accounts'!$A$5:$A$3000,MATCH("revenue",'Chart of Accounts'!$F$5:$F$3000,0)),I117&amp;"")</f>
        <v/>
      </c>
      <c r="Q117" s="16">
        <f>INDEX('Chart of Accounts'!$A$5:$A$3000,MATCH("wht_receivable",'Chart of Accounts'!$F$5:$F$3000,0))</f>
        <v/>
      </c>
      <c r="R117" s="16">
        <f>INDEX('Chart of Accounts'!$A$5:$A$3000,MATCH("vat_output",'Chart of Accounts'!$F$5:$F$3000,0))</f>
        <v/>
      </c>
      <c r="S117" s="23">
        <f>IFERROR(INDEX('Chart of Accounts'!$C$5:$C$3000,MATCH(O117&amp;"",'Chart of Accounts'!$A$5:$A$3000,0))&amp;"|"&amp;INDEX('Chart of Accounts'!$D$5:$D$3000,MATCH(O117&amp;"",'Chart of Accounts'!$A$5:$A$3000,0)),"")</f>
        <v/>
      </c>
      <c r="T117" s="23">
        <f>IFERROR(INDEX('Chart of Accounts'!$C$5:$C$3000,MATCH(Q117&amp;"",'Chart of Accounts'!$A$5:$A$3000,0))&amp;"|"&amp;INDEX('Chart of Accounts'!$D$5:$D$3000,MATCH(Q117&amp;"",'Chart of Accounts'!$A$5:$A$3000,0)),"")</f>
        <v/>
      </c>
      <c r="U117" s="23">
        <f>IFERROR(INDEX('Chart of Accounts'!$C$5:$C$3000,MATCH(P117&amp;"",'Chart of Accounts'!$A$5:$A$3000,0))&amp;"|"&amp;INDEX('Chart of Accounts'!$D$5:$D$3000,MATCH(P117&amp;"",'Chart of Accounts'!$A$5:$A$3000,0)),"")</f>
        <v/>
      </c>
      <c r="V117" s="23">
        <f>IFERROR(INDEX('Chart of Accounts'!$C$5:$C$3000,MATCH(R117&amp;"",'Chart of Accounts'!$A$5:$A$3000,0))&amp;"|"&amp;INDEX('Chart of Accounts'!$D$5:$D$3000,MATCH(R117&amp;"",'Chart of Accounts'!$A$5:$A$3000,0)),"")</f>
        <v/>
      </c>
      <c r="W117" s="23">
        <f>IF(LEFT(S117,8)="Revenue|",-N(F117),0)+IF(LEFT(T117,8)="Revenue|",-N(J117),0)+IF(LEFT(U117,8)="Revenue|",N(N117),0)+IF(LEFT(V117,8)="Revenue|",N(M117),0)</f>
        <v/>
      </c>
      <c r="X117" s="23">
        <f>IF(LEFT(S117,5)="COGS|",N(F117),0)+IF(LEFT(T117,5)="COGS|",N(J117),0)+IF(LEFT(U117,5)="COGS|",-N(N117),0)+IF(LEFT(V117,5)="COGS|",-N(M117),0)</f>
        <v/>
      </c>
      <c r="Y117" s="23">
        <f>IF(LEFT(S117,8)="Expense|",N(F117),0)+IF(LEFT(T117,8)="Expense|",N(J117),0)+IF(LEFT(U117,8)="Expense|",-N(N117),0)+IF(LEFT(V117,8)="Expense|",-N(M117),0)</f>
        <v/>
      </c>
      <c r="Z117" s="23">
        <f>IF(ISNUMBER(MATCH(S117,{"Expense|employee","Expense|general_admin","Expense|marketing","Expense|utilities","Expense|other_operating"},0)),N(F117),0)+IF(ISNUMBER(MATCH(T117,{"Expense|employee","Expense|general_admin","Expense|marketing","Expense|utilities","Expense|other_operating"},0)),N(J117),0)+IF(ISNUMBER(MATCH(U117,{"Expense|employee","Expense|general_admin","Expense|marketing","Expense|utilities","Expense|other_operating"},0)),-N(N117),0)+IF(ISNUMBER(MATCH(V117,{"Expense|employee","Expense|general_admin","Expense|marketing","Expense|utilities","Expense|other_operating"},0)),-N(M117),0)</f>
        <v/>
      </c>
      <c r="AA117" s="23">
        <f>IF(S117="Liability|payable",-N(F117),0)+IF(T117="Liability|payable",-N(J117),0)+IF(U117="Liability|payable",N(N117),0)+IF(V117="Liability|payable",N(M117),0)</f>
        <v/>
      </c>
      <c r="AB117" s="23">
        <f>IF(S117="Liability|accrued",-N(F117),0)+IF(T117="Liability|accrued",-N(J117),0)+IF(U117="Liability|accrued",N(N117),0)+IF(V117="Liability|accrued",N(M117),0)</f>
        <v/>
      </c>
      <c r="AC117" s="23">
        <f>IF(AND(N(F117)&lt;&gt;0,S117=""),1,0)+IF(AND(N(J117)&lt;&gt;0,T117=""),1,0)+IF(AND(N(N117)&lt;&gt;0,U117=""),1,0)+IF(AND(N(M117)&lt;&gt;0,V117=""),1,0)</f>
        <v/>
      </c>
    </row>
    <row r="118">
      <c r="A118" s="19" t="n"/>
      <c r="B118" s="14" t="n"/>
      <c r="C118" s="14" t="n"/>
      <c r="D118" s="14" t="n"/>
      <c r="E118" s="14" t="n"/>
      <c r="F118" s="20" t="n"/>
      <c r="G118" s="14" t="n"/>
      <c r="H118" s="14" t="n"/>
      <c r="I118" s="14" t="n"/>
      <c r="J118" s="20" t="n"/>
      <c r="K118" s="14" t="n"/>
      <c r="L118" s="21">
        <f>N(F118)+N(J118)</f>
        <v/>
      </c>
      <c r="M118" s="21">
        <f>IF(K118="",0,L118-ROUND(L118/(1+IFERROR(VLOOKUP(K118,'Tax Codes'!$A$5:$E$300,5,FALSE),0)),2))</f>
        <v/>
      </c>
      <c r="N118" s="21">
        <f>L118-M118</f>
        <v/>
      </c>
      <c r="O118" s="16">
        <f>IF(H118="",INDEX('Chart of Accounts'!$A$5:$A$3000,MATCH("bank",'Chart of Accounts'!$F$5:$F$3000,0)),H118&amp;"")</f>
        <v/>
      </c>
      <c r="P118" s="16">
        <f>IF(I118="",INDEX('Chart of Accounts'!$A$5:$A$3000,MATCH("revenue",'Chart of Accounts'!$F$5:$F$3000,0)),I118&amp;"")</f>
        <v/>
      </c>
      <c r="Q118" s="16">
        <f>INDEX('Chart of Accounts'!$A$5:$A$3000,MATCH("wht_receivable",'Chart of Accounts'!$F$5:$F$3000,0))</f>
        <v/>
      </c>
      <c r="R118" s="16">
        <f>INDEX('Chart of Accounts'!$A$5:$A$3000,MATCH("vat_output",'Chart of Accounts'!$F$5:$F$3000,0))</f>
        <v/>
      </c>
      <c r="S118" s="23">
        <f>IFERROR(INDEX('Chart of Accounts'!$C$5:$C$3000,MATCH(O118&amp;"",'Chart of Accounts'!$A$5:$A$3000,0))&amp;"|"&amp;INDEX('Chart of Accounts'!$D$5:$D$3000,MATCH(O118&amp;"",'Chart of Accounts'!$A$5:$A$3000,0)),"")</f>
        <v/>
      </c>
      <c r="T118" s="23">
        <f>IFERROR(INDEX('Chart of Accounts'!$C$5:$C$3000,MATCH(Q118&amp;"",'Chart of Accounts'!$A$5:$A$3000,0))&amp;"|"&amp;INDEX('Chart of Accounts'!$D$5:$D$3000,MATCH(Q118&amp;"",'Chart of Accounts'!$A$5:$A$3000,0)),"")</f>
        <v/>
      </c>
      <c r="U118" s="23">
        <f>IFERROR(INDEX('Chart of Accounts'!$C$5:$C$3000,MATCH(P118&amp;"",'Chart of Accounts'!$A$5:$A$3000,0))&amp;"|"&amp;INDEX('Chart of Accounts'!$D$5:$D$3000,MATCH(P118&amp;"",'Chart of Accounts'!$A$5:$A$3000,0)),"")</f>
        <v/>
      </c>
      <c r="V118" s="23">
        <f>IFERROR(INDEX('Chart of Accounts'!$C$5:$C$3000,MATCH(R118&amp;"",'Chart of Accounts'!$A$5:$A$3000,0))&amp;"|"&amp;INDEX('Chart of Accounts'!$D$5:$D$3000,MATCH(R118&amp;"",'Chart of Accounts'!$A$5:$A$3000,0)),"")</f>
        <v/>
      </c>
      <c r="W118" s="23">
        <f>IF(LEFT(S118,8)="Revenue|",-N(F118),0)+IF(LEFT(T118,8)="Revenue|",-N(J118),0)+IF(LEFT(U118,8)="Revenue|",N(N118),0)+IF(LEFT(V118,8)="Revenue|",N(M118),0)</f>
        <v/>
      </c>
      <c r="X118" s="23">
        <f>IF(LEFT(S118,5)="COGS|",N(F118),0)+IF(LEFT(T118,5)="COGS|",N(J118),0)+IF(LEFT(U118,5)="COGS|",-N(N118),0)+IF(LEFT(V118,5)="COGS|",-N(M118),0)</f>
        <v/>
      </c>
      <c r="Y118" s="23">
        <f>IF(LEFT(S118,8)="Expense|",N(F118),0)+IF(LEFT(T118,8)="Expense|",N(J118),0)+IF(LEFT(U118,8)="Expense|",-N(N118),0)+IF(LEFT(V118,8)="Expense|",-N(M118),0)</f>
        <v/>
      </c>
      <c r="Z118" s="23">
        <f>IF(ISNUMBER(MATCH(S118,{"Expense|employee","Expense|general_admin","Expense|marketing","Expense|utilities","Expense|other_operating"},0)),N(F118),0)+IF(ISNUMBER(MATCH(T118,{"Expense|employee","Expense|general_admin","Expense|marketing","Expense|utilities","Expense|other_operating"},0)),N(J118),0)+IF(ISNUMBER(MATCH(U118,{"Expense|employee","Expense|general_admin","Expense|marketing","Expense|utilities","Expense|other_operating"},0)),-N(N118),0)+IF(ISNUMBER(MATCH(V118,{"Expense|employee","Expense|general_admin","Expense|marketing","Expense|utilities","Expense|other_operating"},0)),-N(M118),0)</f>
        <v/>
      </c>
      <c r="AA118" s="23">
        <f>IF(S118="Liability|payable",-N(F118),0)+IF(T118="Liability|payable",-N(J118),0)+IF(U118="Liability|payable",N(N118),0)+IF(V118="Liability|payable",N(M118),0)</f>
        <v/>
      </c>
      <c r="AB118" s="23">
        <f>IF(S118="Liability|accrued",-N(F118),0)+IF(T118="Liability|accrued",-N(J118),0)+IF(U118="Liability|accrued",N(N118),0)+IF(V118="Liability|accrued",N(M118),0)</f>
        <v/>
      </c>
      <c r="AC118" s="23">
        <f>IF(AND(N(F118)&lt;&gt;0,S118=""),1,0)+IF(AND(N(J118)&lt;&gt;0,T118=""),1,0)+IF(AND(N(N118)&lt;&gt;0,U118=""),1,0)+IF(AND(N(M118)&lt;&gt;0,V118=""),1,0)</f>
        <v/>
      </c>
    </row>
    <row r="119">
      <c r="A119" s="19" t="n"/>
      <c r="B119" s="14" t="n"/>
      <c r="C119" s="14" t="n"/>
      <c r="D119" s="14" t="n"/>
      <c r="E119" s="14" t="n"/>
      <c r="F119" s="20" t="n"/>
      <c r="G119" s="14" t="n"/>
      <c r="H119" s="14" t="n"/>
      <c r="I119" s="14" t="n"/>
      <c r="J119" s="20" t="n"/>
      <c r="K119" s="14" t="n"/>
      <c r="L119" s="21">
        <f>N(F119)+N(J119)</f>
        <v/>
      </c>
      <c r="M119" s="21">
        <f>IF(K119="",0,L119-ROUND(L119/(1+IFERROR(VLOOKUP(K119,'Tax Codes'!$A$5:$E$300,5,FALSE),0)),2))</f>
        <v/>
      </c>
      <c r="N119" s="21">
        <f>L119-M119</f>
        <v/>
      </c>
      <c r="O119" s="16">
        <f>IF(H119="",INDEX('Chart of Accounts'!$A$5:$A$3000,MATCH("bank",'Chart of Accounts'!$F$5:$F$3000,0)),H119&amp;"")</f>
        <v/>
      </c>
      <c r="P119" s="16">
        <f>IF(I119="",INDEX('Chart of Accounts'!$A$5:$A$3000,MATCH("revenue",'Chart of Accounts'!$F$5:$F$3000,0)),I119&amp;"")</f>
        <v/>
      </c>
      <c r="Q119" s="16">
        <f>INDEX('Chart of Accounts'!$A$5:$A$3000,MATCH("wht_receivable",'Chart of Accounts'!$F$5:$F$3000,0))</f>
        <v/>
      </c>
      <c r="R119" s="16">
        <f>INDEX('Chart of Accounts'!$A$5:$A$3000,MATCH("vat_output",'Chart of Accounts'!$F$5:$F$3000,0))</f>
        <v/>
      </c>
      <c r="S119" s="23">
        <f>IFERROR(INDEX('Chart of Accounts'!$C$5:$C$3000,MATCH(O119&amp;"",'Chart of Accounts'!$A$5:$A$3000,0))&amp;"|"&amp;INDEX('Chart of Accounts'!$D$5:$D$3000,MATCH(O119&amp;"",'Chart of Accounts'!$A$5:$A$3000,0)),"")</f>
        <v/>
      </c>
      <c r="T119" s="23">
        <f>IFERROR(INDEX('Chart of Accounts'!$C$5:$C$3000,MATCH(Q119&amp;"",'Chart of Accounts'!$A$5:$A$3000,0))&amp;"|"&amp;INDEX('Chart of Accounts'!$D$5:$D$3000,MATCH(Q119&amp;"",'Chart of Accounts'!$A$5:$A$3000,0)),"")</f>
        <v/>
      </c>
      <c r="U119" s="23">
        <f>IFERROR(INDEX('Chart of Accounts'!$C$5:$C$3000,MATCH(P119&amp;"",'Chart of Accounts'!$A$5:$A$3000,0))&amp;"|"&amp;INDEX('Chart of Accounts'!$D$5:$D$3000,MATCH(P119&amp;"",'Chart of Accounts'!$A$5:$A$3000,0)),"")</f>
        <v/>
      </c>
      <c r="V119" s="23">
        <f>IFERROR(INDEX('Chart of Accounts'!$C$5:$C$3000,MATCH(R119&amp;"",'Chart of Accounts'!$A$5:$A$3000,0))&amp;"|"&amp;INDEX('Chart of Accounts'!$D$5:$D$3000,MATCH(R119&amp;"",'Chart of Accounts'!$A$5:$A$3000,0)),"")</f>
        <v/>
      </c>
      <c r="W119" s="23">
        <f>IF(LEFT(S119,8)="Revenue|",-N(F119),0)+IF(LEFT(T119,8)="Revenue|",-N(J119),0)+IF(LEFT(U119,8)="Revenue|",N(N119),0)+IF(LEFT(V119,8)="Revenue|",N(M119),0)</f>
        <v/>
      </c>
      <c r="X119" s="23">
        <f>IF(LEFT(S119,5)="COGS|",N(F119),0)+IF(LEFT(T119,5)="COGS|",N(J119),0)+IF(LEFT(U119,5)="COGS|",-N(N119),0)+IF(LEFT(V119,5)="COGS|",-N(M119),0)</f>
        <v/>
      </c>
      <c r="Y119" s="23">
        <f>IF(LEFT(S119,8)="Expense|",N(F119),0)+IF(LEFT(T119,8)="Expense|",N(J119),0)+IF(LEFT(U119,8)="Expense|",-N(N119),0)+IF(LEFT(V119,8)="Expense|",-N(M119),0)</f>
        <v/>
      </c>
      <c r="Z119" s="23">
        <f>IF(ISNUMBER(MATCH(S119,{"Expense|employee","Expense|general_admin","Expense|marketing","Expense|utilities","Expense|other_operating"},0)),N(F119),0)+IF(ISNUMBER(MATCH(T119,{"Expense|employee","Expense|general_admin","Expense|marketing","Expense|utilities","Expense|other_operating"},0)),N(J119),0)+IF(ISNUMBER(MATCH(U119,{"Expense|employee","Expense|general_admin","Expense|marketing","Expense|utilities","Expense|other_operating"},0)),-N(N119),0)+IF(ISNUMBER(MATCH(V119,{"Expense|employee","Expense|general_admin","Expense|marketing","Expense|utilities","Expense|other_operating"},0)),-N(M119),0)</f>
        <v/>
      </c>
      <c r="AA119" s="23">
        <f>IF(S119="Liability|payable",-N(F119),0)+IF(T119="Liability|payable",-N(J119),0)+IF(U119="Liability|payable",N(N119),0)+IF(V119="Liability|payable",N(M119),0)</f>
        <v/>
      </c>
      <c r="AB119" s="23">
        <f>IF(S119="Liability|accrued",-N(F119),0)+IF(T119="Liability|accrued",-N(J119),0)+IF(U119="Liability|accrued",N(N119),0)+IF(V119="Liability|accrued",N(M119),0)</f>
        <v/>
      </c>
      <c r="AC119" s="23">
        <f>IF(AND(N(F119)&lt;&gt;0,S119=""),1,0)+IF(AND(N(J119)&lt;&gt;0,T119=""),1,0)+IF(AND(N(N119)&lt;&gt;0,U119=""),1,0)+IF(AND(N(M119)&lt;&gt;0,V119=""),1,0)</f>
        <v/>
      </c>
    </row>
    <row r="120">
      <c r="A120" s="19" t="n"/>
      <c r="B120" s="14" t="n"/>
      <c r="C120" s="14" t="n"/>
      <c r="D120" s="14" t="n"/>
      <c r="E120" s="14" t="n"/>
      <c r="F120" s="20" t="n"/>
      <c r="G120" s="14" t="n"/>
      <c r="H120" s="14" t="n"/>
      <c r="I120" s="14" t="n"/>
      <c r="J120" s="20" t="n"/>
      <c r="K120" s="14" t="n"/>
      <c r="L120" s="21">
        <f>N(F120)+N(J120)</f>
        <v/>
      </c>
      <c r="M120" s="21">
        <f>IF(K120="",0,L120-ROUND(L120/(1+IFERROR(VLOOKUP(K120,'Tax Codes'!$A$5:$E$300,5,FALSE),0)),2))</f>
        <v/>
      </c>
      <c r="N120" s="21">
        <f>L120-M120</f>
        <v/>
      </c>
      <c r="O120" s="16">
        <f>IF(H120="",INDEX('Chart of Accounts'!$A$5:$A$3000,MATCH("bank",'Chart of Accounts'!$F$5:$F$3000,0)),H120&amp;"")</f>
        <v/>
      </c>
      <c r="P120" s="16">
        <f>IF(I120="",INDEX('Chart of Accounts'!$A$5:$A$3000,MATCH("revenue",'Chart of Accounts'!$F$5:$F$3000,0)),I120&amp;"")</f>
        <v/>
      </c>
      <c r="Q120" s="16">
        <f>INDEX('Chart of Accounts'!$A$5:$A$3000,MATCH("wht_receivable",'Chart of Accounts'!$F$5:$F$3000,0))</f>
        <v/>
      </c>
      <c r="R120" s="16">
        <f>INDEX('Chart of Accounts'!$A$5:$A$3000,MATCH("vat_output",'Chart of Accounts'!$F$5:$F$3000,0))</f>
        <v/>
      </c>
      <c r="S120" s="23">
        <f>IFERROR(INDEX('Chart of Accounts'!$C$5:$C$3000,MATCH(O120&amp;"",'Chart of Accounts'!$A$5:$A$3000,0))&amp;"|"&amp;INDEX('Chart of Accounts'!$D$5:$D$3000,MATCH(O120&amp;"",'Chart of Accounts'!$A$5:$A$3000,0)),"")</f>
        <v/>
      </c>
      <c r="T120" s="23">
        <f>IFERROR(INDEX('Chart of Accounts'!$C$5:$C$3000,MATCH(Q120&amp;"",'Chart of Accounts'!$A$5:$A$3000,0))&amp;"|"&amp;INDEX('Chart of Accounts'!$D$5:$D$3000,MATCH(Q120&amp;"",'Chart of Accounts'!$A$5:$A$3000,0)),"")</f>
        <v/>
      </c>
      <c r="U120" s="23">
        <f>IFERROR(INDEX('Chart of Accounts'!$C$5:$C$3000,MATCH(P120&amp;"",'Chart of Accounts'!$A$5:$A$3000,0))&amp;"|"&amp;INDEX('Chart of Accounts'!$D$5:$D$3000,MATCH(P120&amp;"",'Chart of Accounts'!$A$5:$A$3000,0)),"")</f>
        <v/>
      </c>
      <c r="V120" s="23">
        <f>IFERROR(INDEX('Chart of Accounts'!$C$5:$C$3000,MATCH(R120&amp;"",'Chart of Accounts'!$A$5:$A$3000,0))&amp;"|"&amp;INDEX('Chart of Accounts'!$D$5:$D$3000,MATCH(R120&amp;"",'Chart of Accounts'!$A$5:$A$3000,0)),"")</f>
        <v/>
      </c>
      <c r="W120" s="23">
        <f>IF(LEFT(S120,8)="Revenue|",-N(F120),0)+IF(LEFT(T120,8)="Revenue|",-N(J120),0)+IF(LEFT(U120,8)="Revenue|",N(N120),0)+IF(LEFT(V120,8)="Revenue|",N(M120),0)</f>
        <v/>
      </c>
      <c r="X120" s="23">
        <f>IF(LEFT(S120,5)="COGS|",N(F120),0)+IF(LEFT(T120,5)="COGS|",N(J120),0)+IF(LEFT(U120,5)="COGS|",-N(N120),0)+IF(LEFT(V120,5)="COGS|",-N(M120),0)</f>
        <v/>
      </c>
      <c r="Y120" s="23">
        <f>IF(LEFT(S120,8)="Expense|",N(F120),0)+IF(LEFT(T120,8)="Expense|",N(J120),0)+IF(LEFT(U120,8)="Expense|",-N(N120),0)+IF(LEFT(V120,8)="Expense|",-N(M120),0)</f>
        <v/>
      </c>
      <c r="Z120" s="23">
        <f>IF(ISNUMBER(MATCH(S120,{"Expense|employee","Expense|general_admin","Expense|marketing","Expense|utilities","Expense|other_operating"},0)),N(F120),0)+IF(ISNUMBER(MATCH(T120,{"Expense|employee","Expense|general_admin","Expense|marketing","Expense|utilities","Expense|other_operating"},0)),N(J120),0)+IF(ISNUMBER(MATCH(U120,{"Expense|employee","Expense|general_admin","Expense|marketing","Expense|utilities","Expense|other_operating"},0)),-N(N120),0)+IF(ISNUMBER(MATCH(V120,{"Expense|employee","Expense|general_admin","Expense|marketing","Expense|utilities","Expense|other_operating"},0)),-N(M120),0)</f>
        <v/>
      </c>
      <c r="AA120" s="23">
        <f>IF(S120="Liability|payable",-N(F120),0)+IF(T120="Liability|payable",-N(J120),0)+IF(U120="Liability|payable",N(N120),0)+IF(V120="Liability|payable",N(M120),0)</f>
        <v/>
      </c>
      <c r="AB120" s="23">
        <f>IF(S120="Liability|accrued",-N(F120),0)+IF(T120="Liability|accrued",-N(J120),0)+IF(U120="Liability|accrued",N(N120),0)+IF(V120="Liability|accrued",N(M120),0)</f>
        <v/>
      </c>
      <c r="AC120" s="23">
        <f>IF(AND(N(F120)&lt;&gt;0,S120=""),1,0)+IF(AND(N(J120)&lt;&gt;0,T120=""),1,0)+IF(AND(N(N120)&lt;&gt;0,U120=""),1,0)+IF(AND(N(M120)&lt;&gt;0,V120=""),1,0)</f>
        <v/>
      </c>
    </row>
    <row r="121">
      <c r="A121" s="19" t="n"/>
      <c r="B121" s="14" t="n"/>
      <c r="C121" s="14" t="n"/>
      <c r="D121" s="14" t="n"/>
      <c r="E121" s="14" t="n"/>
      <c r="F121" s="20" t="n"/>
      <c r="G121" s="14" t="n"/>
      <c r="H121" s="14" t="n"/>
      <c r="I121" s="14" t="n"/>
      <c r="J121" s="20" t="n"/>
      <c r="K121" s="14" t="n"/>
      <c r="L121" s="21">
        <f>N(F121)+N(J121)</f>
        <v/>
      </c>
      <c r="M121" s="21">
        <f>IF(K121="",0,L121-ROUND(L121/(1+IFERROR(VLOOKUP(K121,'Tax Codes'!$A$5:$E$300,5,FALSE),0)),2))</f>
        <v/>
      </c>
      <c r="N121" s="21">
        <f>L121-M121</f>
        <v/>
      </c>
      <c r="O121" s="16">
        <f>IF(H121="",INDEX('Chart of Accounts'!$A$5:$A$3000,MATCH("bank",'Chart of Accounts'!$F$5:$F$3000,0)),H121&amp;"")</f>
        <v/>
      </c>
      <c r="P121" s="16">
        <f>IF(I121="",INDEX('Chart of Accounts'!$A$5:$A$3000,MATCH("revenue",'Chart of Accounts'!$F$5:$F$3000,0)),I121&amp;"")</f>
        <v/>
      </c>
      <c r="Q121" s="16">
        <f>INDEX('Chart of Accounts'!$A$5:$A$3000,MATCH("wht_receivable",'Chart of Accounts'!$F$5:$F$3000,0))</f>
        <v/>
      </c>
      <c r="R121" s="16">
        <f>INDEX('Chart of Accounts'!$A$5:$A$3000,MATCH("vat_output",'Chart of Accounts'!$F$5:$F$3000,0))</f>
        <v/>
      </c>
      <c r="S121" s="23">
        <f>IFERROR(INDEX('Chart of Accounts'!$C$5:$C$3000,MATCH(O121&amp;"",'Chart of Accounts'!$A$5:$A$3000,0))&amp;"|"&amp;INDEX('Chart of Accounts'!$D$5:$D$3000,MATCH(O121&amp;"",'Chart of Accounts'!$A$5:$A$3000,0)),"")</f>
        <v/>
      </c>
      <c r="T121" s="23">
        <f>IFERROR(INDEX('Chart of Accounts'!$C$5:$C$3000,MATCH(Q121&amp;"",'Chart of Accounts'!$A$5:$A$3000,0))&amp;"|"&amp;INDEX('Chart of Accounts'!$D$5:$D$3000,MATCH(Q121&amp;"",'Chart of Accounts'!$A$5:$A$3000,0)),"")</f>
        <v/>
      </c>
      <c r="U121" s="23">
        <f>IFERROR(INDEX('Chart of Accounts'!$C$5:$C$3000,MATCH(P121&amp;"",'Chart of Accounts'!$A$5:$A$3000,0))&amp;"|"&amp;INDEX('Chart of Accounts'!$D$5:$D$3000,MATCH(P121&amp;"",'Chart of Accounts'!$A$5:$A$3000,0)),"")</f>
        <v/>
      </c>
      <c r="V121" s="23">
        <f>IFERROR(INDEX('Chart of Accounts'!$C$5:$C$3000,MATCH(R121&amp;"",'Chart of Accounts'!$A$5:$A$3000,0))&amp;"|"&amp;INDEX('Chart of Accounts'!$D$5:$D$3000,MATCH(R121&amp;"",'Chart of Accounts'!$A$5:$A$3000,0)),"")</f>
        <v/>
      </c>
      <c r="W121" s="23">
        <f>IF(LEFT(S121,8)="Revenue|",-N(F121),0)+IF(LEFT(T121,8)="Revenue|",-N(J121),0)+IF(LEFT(U121,8)="Revenue|",N(N121),0)+IF(LEFT(V121,8)="Revenue|",N(M121),0)</f>
        <v/>
      </c>
      <c r="X121" s="23">
        <f>IF(LEFT(S121,5)="COGS|",N(F121),0)+IF(LEFT(T121,5)="COGS|",N(J121),0)+IF(LEFT(U121,5)="COGS|",-N(N121),0)+IF(LEFT(V121,5)="COGS|",-N(M121),0)</f>
        <v/>
      </c>
      <c r="Y121" s="23">
        <f>IF(LEFT(S121,8)="Expense|",N(F121),0)+IF(LEFT(T121,8)="Expense|",N(J121),0)+IF(LEFT(U121,8)="Expense|",-N(N121),0)+IF(LEFT(V121,8)="Expense|",-N(M121),0)</f>
        <v/>
      </c>
      <c r="Z121" s="23">
        <f>IF(ISNUMBER(MATCH(S121,{"Expense|employee","Expense|general_admin","Expense|marketing","Expense|utilities","Expense|other_operating"},0)),N(F121),0)+IF(ISNUMBER(MATCH(T121,{"Expense|employee","Expense|general_admin","Expense|marketing","Expense|utilities","Expense|other_operating"},0)),N(J121),0)+IF(ISNUMBER(MATCH(U121,{"Expense|employee","Expense|general_admin","Expense|marketing","Expense|utilities","Expense|other_operating"},0)),-N(N121),0)+IF(ISNUMBER(MATCH(V121,{"Expense|employee","Expense|general_admin","Expense|marketing","Expense|utilities","Expense|other_operating"},0)),-N(M121),0)</f>
        <v/>
      </c>
      <c r="AA121" s="23">
        <f>IF(S121="Liability|payable",-N(F121),0)+IF(T121="Liability|payable",-N(J121),0)+IF(U121="Liability|payable",N(N121),0)+IF(V121="Liability|payable",N(M121),0)</f>
        <v/>
      </c>
      <c r="AB121" s="23">
        <f>IF(S121="Liability|accrued",-N(F121),0)+IF(T121="Liability|accrued",-N(J121),0)+IF(U121="Liability|accrued",N(N121),0)+IF(V121="Liability|accrued",N(M121),0)</f>
        <v/>
      </c>
      <c r="AC121" s="23">
        <f>IF(AND(N(F121)&lt;&gt;0,S121=""),1,0)+IF(AND(N(J121)&lt;&gt;0,T121=""),1,0)+IF(AND(N(N121)&lt;&gt;0,U121=""),1,0)+IF(AND(N(M121)&lt;&gt;0,V121=""),1,0)</f>
        <v/>
      </c>
    </row>
    <row r="122">
      <c r="A122" s="19" t="n"/>
      <c r="B122" s="14" t="n"/>
      <c r="C122" s="14" t="n"/>
      <c r="D122" s="14" t="n"/>
      <c r="E122" s="14" t="n"/>
      <c r="F122" s="20" t="n"/>
      <c r="G122" s="14" t="n"/>
      <c r="H122" s="14" t="n"/>
      <c r="I122" s="14" t="n"/>
      <c r="J122" s="20" t="n"/>
      <c r="K122" s="14" t="n"/>
      <c r="L122" s="21">
        <f>N(F122)+N(J122)</f>
        <v/>
      </c>
      <c r="M122" s="21">
        <f>IF(K122="",0,L122-ROUND(L122/(1+IFERROR(VLOOKUP(K122,'Tax Codes'!$A$5:$E$300,5,FALSE),0)),2))</f>
        <v/>
      </c>
      <c r="N122" s="21">
        <f>L122-M122</f>
        <v/>
      </c>
      <c r="O122" s="16">
        <f>IF(H122="",INDEX('Chart of Accounts'!$A$5:$A$3000,MATCH("bank",'Chart of Accounts'!$F$5:$F$3000,0)),H122&amp;"")</f>
        <v/>
      </c>
      <c r="P122" s="16">
        <f>IF(I122="",INDEX('Chart of Accounts'!$A$5:$A$3000,MATCH("revenue",'Chart of Accounts'!$F$5:$F$3000,0)),I122&amp;"")</f>
        <v/>
      </c>
      <c r="Q122" s="16">
        <f>INDEX('Chart of Accounts'!$A$5:$A$3000,MATCH("wht_receivable",'Chart of Accounts'!$F$5:$F$3000,0))</f>
        <v/>
      </c>
      <c r="R122" s="16">
        <f>INDEX('Chart of Accounts'!$A$5:$A$3000,MATCH("vat_output",'Chart of Accounts'!$F$5:$F$3000,0))</f>
        <v/>
      </c>
      <c r="S122" s="23">
        <f>IFERROR(INDEX('Chart of Accounts'!$C$5:$C$3000,MATCH(O122&amp;"",'Chart of Accounts'!$A$5:$A$3000,0))&amp;"|"&amp;INDEX('Chart of Accounts'!$D$5:$D$3000,MATCH(O122&amp;"",'Chart of Accounts'!$A$5:$A$3000,0)),"")</f>
        <v/>
      </c>
      <c r="T122" s="23">
        <f>IFERROR(INDEX('Chart of Accounts'!$C$5:$C$3000,MATCH(Q122&amp;"",'Chart of Accounts'!$A$5:$A$3000,0))&amp;"|"&amp;INDEX('Chart of Accounts'!$D$5:$D$3000,MATCH(Q122&amp;"",'Chart of Accounts'!$A$5:$A$3000,0)),"")</f>
        <v/>
      </c>
      <c r="U122" s="23">
        <f>IFERROR(INDEX('Chart of Accounts'!$C$5:$C$3000,MATCH(P122&amp;"",'Chart of Accounts'!$A$5:$A$3000,0))&amp;"|"&amp;INDEX('Chart of Accounts'!$D$5:$D$3000,MATCH(P122&amp;"",'Chart of Accounts'!$A$5:$A$3000,0)),"")</f>
        <v/>
      </c>
      <c r="V122" s="23">
        <f>IFERROR(INDEX('Chart of Accounts'!$C$5:$C$3000,MATCH(R122&amp;"",'Chart of Accounts'!$A$5:$A$3000,0))&amp;"|"&amp;INDEX('Chart of Accounts'!$D$5:$D$3000,MATCH(R122&amp;"",'Chart of Accounts'!$A$5:$A$3000,0)),"")</f>
        <v/>
      </c>
      <c r="W122" s="23">
        <f>IF(LEFT(S122,8)="Revenue|",-N(F122),0)+IF(LEFT(T122,8)="Revenue|",-N(J122),0)+IF(LEFT(U122,8)="Revenue|",N(N122),0)+IF(LEFT(V122,8)="Revenue|",N(M122),0)</f>
        <v/>
      </c>
      <c r="X122" s="23">
        <f>IF(LEFT(S122,5)="COGS|",N(F122),0)+IF(LEFT(T122,5)="COGS|",N(J122),0)+IF(LEFT(U122,5)="COGS|",-N(N122),0)+IF(LEFT(V122,5)="COGS|",-N(M122),0)</f>
        <v/>
      </c>
      <c r="Y122" s="23">
        <f>IF(LEFT(S122,8)="Expense|",N(F122),0)+IF(LEFT(T122,8)="Expense|",N(J122),0)+IF(LEFT(U122,8)="Expense|",-N(N122),0)+IF(LEFT(V122,8)="Expense|",-N(M122),0)</f>
        <v/>
      </c>
      <c r="Z122" s="23">
        <f>IF(ISNUMBER(MATCH(S122,{"Expense|employee","Expense|general_admin","Expense|marketing","Expense|utilities","Expense|other_operating"},0)),N(F122),0)+IF(ISNUMBER(MATCH(T122,{"Expense|employee","Expense|general_admin","Expense|marketing","Expense|utilities","Expense|other_operating"},0)),N(J122),0)+IF(ISNUMBER(MATCH(U122,{"Expense|employee","Expense|general_admin","Expense|marketing","Expense|utilities","Expense|other_operating"},0)),-N(N122),0)+IF(ISNUMBER(MATCH(V122,{"Expense|employee","Expense|general_admin","Expense|marketing","Expense|utilities","Expense|other_operating"},0)),-N(M122),0)</f>
        <v/>
      </c>
      <c r="AA122" s="23">
        <f>IF(S122="Liability|payable",-N(F122),0)+IF(T122="Liability|payable",-N(J122),0)+IF(U122="Liability|payable",N(N122),0)+IF(V122="Liability|payable",N(M122),0)</f>
        <v/>
      </c>
      <c r="AB122" s="23">
        <f>IF(S122="Liability|accrued",-N(F122),0)+IF(T122="Liability|accrued",-N(J122),0)+IF(U122="Liability|accrued",N(N122),0)+IF(V122="Liability|accrued",N(M122),0)</f>
        <v/>
      </c>
      <c r="AC122" s="23">
        <f>IF(AND(N(F122)&lt;&gt;0,S122=""),1,0)+IF(AND(N(J122)&lt;&gt;0,T122=""),1,0)+IF(AND(N(N122)&lt;&gt;0,U122=""),1,0)+IF(AND(N(M122)&lt;&gt;0,V122=""),1,0)</f>
        <v/>
      </c>
    </row>
    <row r="123">
      <c r="A123" s="19" t="n"/>
      <c r="B123" s="14" t="n"/>
      <c r="C123" s="14" t="n"/>
      <c r="D123" s="14" t="n"/>
      <c r="E123" s="14" t="n"/>
      <c r="F123" s="20" t="n"/>
      <c r="G123" s="14" t="n"/>
      <c r="H123" s="14" t="n"/>
      <c r="I123" s="14" t="n"/>
      <c r="J123" s="20" t="n"/>
      <c r="K123" s="14" t="n"/>
      <c r="L123" s="21">
        <f>N(F123)+N(J123)</f>
        <v/>
      </c>
      <c r="M123" s="21">
        <f>IF(K123="",0,L123-ROUND(L123/(1+IFERROR(VLOOKUP(K123,'Tax Codes'!$A$5:$E$300,5,FALSE),0)),2))</f>
        <v/>
      </c>
      <c r="N123" s="21">
        <f>L123-M123</f>
        <v/>
      </c>
      <c r="O123" s="16">
        <f>IF(H123="",INDEX('Chart of Accounts'!$A$5:$A$3000,MATCH("bank",'Chart of Accounts'!$F$5:$F$3000,0)),H123&amp;"")</f>
        <v/>
      </c>
      <c r="P123" s="16">
        <f>IF(I123="",INDEX('Chart of Accounts'!$A$5:$A$3000,MATCH("revenue",'Chart of Accounts'!$F$5:$F$3000,0)),I123&amp;"")</f>
        <v/>
      </c>
      <c r="Q123" s="16">
        <f>INDEX('Chart of Accounts'!$A$5:$A$3000,MATCH("wht_receivable",'Chart of Accounts'!$F$5:$F$3000,0))</f>
        <v/>
      </c>
      <c r="R123" s="16">
        <f>INDEX('Chart of Accounts'!$A$5:$A$3000,MATCH("vat_output",'Chart of Accounts'!$F$5:$F$3000,0))</f>
        <v/>
      </c>
      <c r="S123" s="23">
        <f>IFERROR(INDEX('Chart of Accounts'!$C$5:$C$3000,MATCH(O123&amp;"",'Chart of Accounts'!$A$5:$A$3000,0))&amp;"|"&amp;INDEX('Chart of Accounts'!$D$5:$D$3000,MATCH(O123&amp;"",'Chart of Accounts'!$A$5:$A$3000,0)),"")</f>
        <v/>
      </c>
      <c r="T123" s="23">
        <f>IFERROR(INDEX('Chart of Accounts'!$C$5:$C$3000,MATCH(Q123&amp;"",'Chart of Accounts'!$A$5:$A$3000,0))&amp;"|"&amp;INDEX('Chart of Accounts'!$D$5:$D$3000,MATCH(Q123&amp;"",'Chart of Accounts'!$A$5:$A$3000,0)),"")</f>
        <v/>
      </c>
      <c r="U123" s="23">
        <f>IFERROR(INDEX('Chart of Accounts'!$C$5:$C$3000,MATCH(P123&amp;"",'Chart of Accounts'!$A$5:$A$3000,0))&amp;"|"&amp;INDEX('Chart of Accounts'!$D$5:$D$3000,MATCH(P123&amp;"",'Chart of Accounts'!$A$5:$A$3000,0)),"")</f>
        <v/>
      </c>
      <c r="V123" s="23">
        <f>IFERROR(INDEX('Chart of Accounts'!$C$5:$C$3000,MATCH(R123&amp;"",'Chart of Accounts'!$A$5:$A$3000,0))&amp;"|"&amp;INDEX('Chart of Accounts'!$D$5:$D$3000,MATCH(R123&amp;"",'Chart of Accounts'!$A$5:$A$3000,0)),"")</f>
        <v/>
      </c>
      <c r="W123" s="23">
        <f>IF(LEFT(S123,8)="Revenue|",-N(F123),0)+IF(LEFT(T123,8)="Revenue|",-N(J123),0)+IF(LEFT(U123,8)="Revenue|",N(N123),0)+IF(LEFT(V123,8)="Revenue|",N(M123),0)</f>
        <v/>
      </c>
      <c r="X123" s="23">
        <f>IF(LEFT(S123,5)="COGS|",N(F123),0)+IF(LEFT(T123,5)="COGS|",N(J123),0)+IF(LEFT(U123,5)="COGS|",-N(N123),0)+IF(LEFT(V123,5)="COGS|",-N(M123),0)</f>
        <v/>
      </c>
      <c r="Y123" s="23">
        <f>IF(LEFT(S123,8)="Expense|",N(F123),0)+IF(LEFT(T123,8)="Expense|",N(J123),0)+IF(LEFT(U123,8)="Expense|",-N(N123),0)+IF(LEFT(V123,8)="Expense|",-N(M123),0)</f>
        <v/>
      </c>
      <c r="Z123" s="23">
        <f>IF(ISNUMBER(MATCH(S123,{"Expense|employee","Expense|general_admin","Expense|marketing","Expense|utilities","Expense|other_operating"},0)),N(F123),0)+IF(ISNUMBER(MATCH(T123,{"Expense|employee","Expense|general_admin","Expense|marketing","Expense|utilities","Expense|other_operating"},0)),N(J123),0)+IF(ISNUMBER(MATCH(U123,{"Expense|employee","Expense|general_admin","Expense|marketing","Expense|utilities","Expense|other_operating"},0)),-N(N123),0)+IF(ISNUMBER(MATCH(V123,{"Expense|employee","Expense|general_admin","Expense|marketing","Expense|utilities","Expense|other_operating"},0)),-N(M123),0)</f>
        <v/>
      </c>
      <c r="AA123" s="23">
        <f>IF(S123="Liability|payable",-N(F123),0)+IF(T123="Liability|payable",-N(J123),0)+IF(U123="Liability|payable",N(N123),0)+IF(V123="Liability|payable",N(M123),0)</f>
        <v/>
      </c>
      <c r="AB123" s="23">
        <f>IF(S123="Liability|accrued",-N(F123),0)+IF(T123="Liability|accrued",-N(J123),0)+IF(U123="Liability|accrued",N(N123),0)+IF(V123="Liability|accrued",N(M123),0)</f>
        <v/>
      </c>
      <c r="AC123" s="23">
        <f>IF(AND(N(F123)&lt;&gt;0,S123=""),1,0)+IF(AND(N(J123)&lt;&gt;0,T123=""),1,0)+IF(AND(N(N123)&lt;&gt;0,U123=""),1,0)+IF(AND(N(M123)&lt;&gt;0,V123=""),1,0)</f>
        <v/>
      </c>
    </row>
    <row r="124">
      <c r="A124" s="19" t="n"/>
      <c r="B124" s="14" t="n"/>
      <c r="C124" s="14" t="n"/>
      <c r="D124" s="14" t="n"/>
      <c r="E124" s="14" t="n"/>
      <c r="F124" s="20" t="n"/>
      <c r="G124" s="14" t="n"/>
      <c r="H124" s="14" t="n"/>
      <c r="I124" s="14" t="n"/>
      <c r="J124" s="20" t="n"/>
      <c r="K124" s="14" t="n"/>
      <c r="L124" s="21">
        <f>N(F124)+N(J124)</f>
        <v/>
      </c>
      <c r="M124" s="21">
        <f>IF(K124="",0,L124-ROUND(L124/(1+IFERROR(VLOOKUP(K124,'Tax Codes'!$A$5:$E$300,5,FALSE),0)),2))</f>
        <v/>
      </c>
      <c r="N124" s="21">
        <f>L124-M124</f>
        <v/>
      </c>
      <c r="O124" s="16">
        <f>IF(H124="",INDEX('Chart of Accounts'!$A$5:$A$3000,MATCH("bank",'Chart of Accounts'!$F$5:$F$3000,0)),H124&amp;"")</f>
        <v/>
      </c>
      <c r="P124" s="16">
        <f>IF(I124="",INDEX('Chart of Accounts'!$A$5:$A$3000,MATCH("revenue",'Chart of Accounts'!$F$5:$F$3000,0)),I124&amp;"")</f>
        <v/>
      </c>
      <c r="Q124" s="16">
        <f>INDEX('Chart of Accounts'!$A$5:$A$3000,MATCH("wht_receivable",'Chart of Accounts'!$F$5:$F$3000,0))</f>
        <v/>
      </c>
      <c r="R124" s="16">
        <f>INDEX('Chart of Accounts'!$A$5:$A$3000,MATCH("vat_output",'Chart of Accounts'!$F$5:$F$3000,0))</f>
        <v/>
      </c>
      <c r="S124" s="23">
        <f>IFERROR(INDEX('Chart of Accounts'!$C$5:$C$3000,MATCH(O124&amp;"",'Chart of Accounts'!$A$5:$A$3000,0))&amp;"|"&amp;INDEX('Chart of Accounts'!$D$5:$D$3000,MATCH(O124&amp;"",'Chart of Accounts'!$A$5:$A$3000,0)),"")</f>
        <v/>
      </c>
      <c r="T124" s="23">
        <f>IFERROR(INDEX('Chart of Accounts'!$C$5:$C$3000,MATCH(Q124&amp;"",'Chart of Accounts'!$A$5:$A$3000,0))&amp;"|"&amp;INDEX('Chart of Accounts'!$D$5:$D$3000,MATCH(Q124&amp;"",'Chart of Accounts'!$A$5:$A$3000,0)),"")</f>
        <v/>
      </c>
      <c r="U124" s="23">
        <f>IFERROR(INDEX('Chart of Accounts'!$C$5:$C$3000,MATCH(P124&amp;"",'Chart of Accounts'!$A$5:$A$3000,0))&amp;"|"&amp;INDEX('Chart of Accounts'!$D$5:$D$3000,MATCH(P124&amp;"",'Chart of Accounts'!$A$5:$A$3000,0)),"")</f>
        <v/>
      </c>
      <c r="V124" s="23">
        <f>IFERROR(INDEX('Chart of Accounts'!$C$5:$C$3000,MATCH(R124&amp;"",'Chart of Accounts'!$A$5:$A$3000,0))&amp;"|"&amp;INDEX('Chart of Accounts'!$D$5:$D$3000,MATCH(R124&amp;"",'Chart of Accounts'!$A$5:$A$3000,0)),"")</f>
        <v/>
      </c>
      <c r="W124" s="23">
        <f>IF(LEFT(S124,8)="Revenue|",-N(F124),0)+IF(LEFT(T124,8)="Revenue|",-N(J124),0)+IF(LEFT(U124,8)="Revenue|",N(N124),0)+IF(LEFT(V124,8)="Revenue|",N(M124),0)</f>
        <v/>
      </c>
      <c r="X124" s="23">
        <f>IF(LEFT(S124,5)="COGS|",N(F124),0)+IF(LEFT(T124,5)="COGS|",N(J124),0)+IF(LEFT(U124,5)="COGS|",-N(N124),0)+IF(LEFT(V124,5)="COGS|",-N(M124),0)</f>
        <v/>
      </c>
      <c r="Y124" s="23">
        <f>IF(LEFT(S124,8)="Expense|",N(F124),0)+IF(LEFT(T124,8)="Expense|",N(J124),0)+IF(LEFT(U124,8)="Expense|",-N(N124),0)+IF(LEFT(V124,8)="Expense|",-N(M124),0)</f>
        <v/>
      </c>
      <c r="Z124" s="23">
        <f>IF(ISNUMBER(MATCH(S124,{"Expense|employee","Expense|general_admin","Expense|marketing","Expense|utilities","Expense|other_operating"},0)),N(F124),0)+IF(ISNUMBER(MATCH(T124,{"Expense|employee","Expense|general_admin","Expense|marketing","Expense|utilities","Expense|other_operating"},0)),N(J124),0)+IF(ISNUMBER(MATCH(U124,{"Expense|employee","Expense|general_admin","Expense|marketing","Expense|utilities","Expense|other_operating"},0)),-N(N124),0)+IF(ISNUMBER(MATCH(V124,{"Expense|employee","Expense|general_admin","Expense|marketing","Expense|utilities","Expense|other_operating"},0)),-N(M124),0)</f>
        <v/>
      </c>
      <c r="AA124" s="23">
        <f>IF(S124="Liability|payable",-N(F124),0)+IF(T124="Liability|payable",-N(J124),0)+IF(U124="Liability|payable",N(N124),0)+IF(V124="Liability|payable",N(M124),0)</f>
        <v/>
      </c>
      <c r="AB124" s="23">
        <f>IF(S124="Liability|accrued",-N(F124),0)+IF(T124="Liability|accrued",-N(J124),0)+IF(U124="Liability|accrued",N(N124),0)+IF(V124="Liability|accrued",N(M124),0)</f>
        <v/>
      </c>
      <c r="AC124" s="23">
        <f>IF(AND(N(F124)&lt;&gt;0,S124=""),1,0)+IF(AND(N(J124)&lt;&gt;0,T124=""),1,0)+IF(AND(N(N124)&lt;&gt;0,U124=""),1,0)+IF(AND(N(M124)&lt;&gt;0,V124=""),1,0)</f>
        <v/>
      </c>
    </row>
    <row r="125">
      <c r="A125" s="19" t="n"/>
      <c r="B125" s="14" t="n"/>
      <c r="C125" s="14" t="n"/>
      <c r="D125" s="14" t="n"/>
      <c r="E125" s="14" t="n"/>
      <c r="F125" s="20" t="n"/>
      <c r="G125" s="14" t="n"/>
      <c r="H125" s="14" t="n"/>
      <c r="I125" s="14" t="n"/>
      <c r="J125" s="20" t="n"/>
      <c r="K125" s="14" t="n"/>
      <c r="L125" s="21">
        <f>N(F125)+N(J125)</f>
        <v/>
      </c>
      <c r="M125" s="21">
        <f>IF(K125="",0,L125-ROUND(L125/(1+IFERROR(VLOOKUP(K125,'Tax Codes'!$A$5:$E$300,5,FALSE),0)),2))</f>
        <v/>
      </c>
      <c r="N125" s="21">
        <f>L125-M125</f>
        <v/>
      </c>
      <c r="O125" s="16">
        <f>IF(H125="",INDEX('Chart of Accounts'!$A$5:$A$3000,MATCH("bank",'Chart of Accounts'!$F$5:$F$3000,0)),H125&amp;"")</f>
        <v/>
      </c>
      <c r="P125" s="16">
        <f>IF(I125="",INDEX('Chart of Accounts'!$A$5:$A$3000,MATCH("revenue",'Chart of Accounts'!$F$5:$F$3000,0)),I125&amp;"")</f>
        <v/>
      </c>
      <c r="Q125" s="16">
        <f>INDEX('Chart of Accounts'!$A$5:$A$3000,MATCH("wht_receivable",'Chart of Accounts'!$F$5:$F$3000,0))</f>
        <v/>
      </c>
      <c r="R125" s="16">
        <f>INDEX('Chart of Accounts'!$A$5:$A$3000,MATCH("vat_output",'Chart of Accounts'!$F$5:$F$3000,0))</f>
        <v/>
      </c>
      <c r="S125" s="23">
        <f>IFERROR(INDEX('Chart of Accounts'!$C$5:$C$3000,MATCH(O125&amp;"",'Chart of Accounts'!$A$5:$A$3000,0))&amp;"|"&amp;INDEX('Chart of Accounts'!$D$5:$D$3000,MATCH(O125&amp;"",'Chart of Accounts'!$A$5:$A$3000,0)),"")</f>
        <v/>
      </c>
      <c r="T125" s="23">
        <f>IFERROR(INDEX('Chart of Accounts'!$C$5:$C$3000,MATCH(Q125&amp;"",'Chart of Accounts'!$A$5:$A$3000,0))&amp;"|"&amp;INDEX('Chart of Accounts'!$D$5:$D$3000,MATCH(Q125&amp;"",'Chart of Accounts'!$A$5:$A$3000,0)),"")</f>
        <v/>
      </c>
      <c r="U125" s="23">
        <f>IFERROR(INDEX('Chart of Accounts'!$C$5:$C$3000,MATCH(P125&amp;"",'Chart of Accounts'!$A$5:$A$3000,0))&amp;"|"&amp;INDEX('Chart of Accounts'!$D$5:$D$3000,MATCH(P125&amp;"",'Chart of Accounts'!$A$5:$A$3000,0)),"")</f>
        <v/>
      </c>
      <c r="V125" s="23">
        <f>IFERROR(INDEX('Chart of Accounts'!$C$5:$C$3000,MATCH(R125&amp;"",'Chart of Accounts'!$A$5:$A$3000,0))&amp;"|"&amp;INDEX('Chart of Accounts'!$D$5:$D$3000,MATCH(R125&amp;"",'Chart of Accounts'!$A$5:$A$3000,0)),"")</f>
        <v/>
      </c>
      <c r="W125" s="23">
        <f>IF(LEFT(S125,8)="Revenue|",-N(F125),0)+IF(LEFT(T125,8)="Revenue|",-N(J125),0)+IF(LEFT(U125,8)="Revenue|",N(N125),0)+IF(LEFT(V125,8)="Revenue|",N(M125),0)</f>
        <v/>
      </c>
      <c r="X125" s="23">
        <f>IF(LEFT(S125,5)="COGS|",N(F125),0)+IF(LEFT(T125,5)="COGS|",N(J125),0)+IF(LEFT(U125,5)="COGS|",-N(N125),0)+IF(LEFT(V125,5)="COGS|",-N(M125),0)</f>
        <v/>
      </c>
      <c r="Y125" s="23">
        <f>IF(LEFT(S125,8)="Expense|",N(F125),0)+IF(LEFT(T125,8)="Expense|",N(J125),0)+IF(LEFT(U125,8)="Expense|",-N(N125),0)+IF(LEFT(V125,8)="Expense|",-N(M125),0)</f>
        <v/>
      </c>
      <c r="Z125" s="23">
        <f>IF(ISNUMBER(MATCH(S125,{"Expense|employee","Expense|general_admin","Expense|marketing","Expense|utilities","Expense|other_operating"},0)),N(F125),0)+IF(ISNUMBER(MATCH(T125,{"Expense|employee","Expense|general_admin","Expense|marketing","Expense|utilities","Expense|other_operating"},0)),N(J125),0)+IF(ISNUMBER(MATCH(U125,{"Expense|employee","Expense|general_admin","Expense|marketing","Expense|utilities","Expense|other_operating"},0)),-N(N125),0)+IF(ISNUMBER(MATCH(V125,{"Expense|employee","Expense|general_admin","Expense|marketing","Expense|utilities","Expense|other_operating"},0)),-N(M125),0)</f>
        <v/>
      </c>
      <c r="AA125" s="23">
        <f>IF(S125="Liability|payable",-N(F125),0)+IF(T125="Liability|payable",-N(J125),0)+IF(U125="Liability|payable",N(N125),0)+IF(V125="Liability|payable",N(M125),0)</f>
        <v/>
      </c>
      <c r="AB125" s="23">
        <f>IF(S125="Liability|accrued",-N(F125),0)+IF(T125="Liability|accrued",-N(J125),0)+IF(U125="Liability|accrued",N(N125),0)+IF(V125="Liability|accrued",N(M125),0)</f>
        <v/>
      </c>
      <c r="AC125" s="23">
        <f>IF(AND(N(F125)&lt;&gt;0,S125=""),1,0)+IF(AND(N(J125)&lt;&gt;0,T125=""),1,0)+IF(AND(N(N125)&lt;&gt;0,U125=""),1,0)+IF(AND(N(M125)&lt;&gt;0,V125=""),1,0)</f>
        <v/>
      </c>
    </row>
    <row r="126">
      <c r="A126" s="19" t="n"/>
      <c r="B126" s="14" t="n"/>
      <c r="C126" s="14" t="n"/>
      <c r="D126" s="14" t="n"/>
      <c r="E126" s="14" t="n"/>
      <c r="F126" s="20" t="n"/>
      <c r="G126" s="14" t="n"/>
      <c r="H126" s="14" t="n"/>
      <c r="I126" s="14" t="n"/>
      <c r="J126" s="20" t="n"/>
      <c r="K126" s="14" t="n"/>
      <c r="L126" s="21">
        <f>N(F126)+N(J126)</f>
        <v/>
      </c>
      <c r="M126" s="21">
        <f>IF(K126="",0,L126-ROUND(L126/(1+IFERROR(VLOOKUP(K126,'Tax Codes'!$A$5:$E$300,5,FALSE),0)),2))</f>
        <v/>
      </c>
      <c r="N126" s="21">
        <f>L126-M126</f>
        <v/>
      </c>
      <c r="O126" s="16">
        <f>IF(H126="",INDEX('Chart of Accounts'!$A$5:$A$3000,MATCH("bank",'Chart of Accounts'!$F$5:$F$3000,0)),H126&amp;"")</f>
        <v/>
      </c>
      <c r="P126" s="16">
        <f>IF(I126="",INDEX('Chart of Accounts'!$A$5:$A$3000,MATCH("revenue",'Chart of Accounts'!$F$5:$F$3000,0)),I126&amp;"")</f>
        <v/>
      </c>
      <c r="Q126" s="16">
        <f>INDEX('Chart of Accounts'!$A$5:$A$3000,MATCH("wht_receivable",'Chart of Accounts'!$F$5:$F$3000,0))</f>
        <v/>
      </c>
      <c r="R126" s="16">
        <f>INDEX('Chart of Accounts'!$A$5:$A$3000,MATCH("vat_output",'Chart of Accounts'!$F$5:$F$3000,0))</f>
        <v/>
      </c>
      <c r="S126" s="23">
        <f>IFERROR(INDEX('Chart of Accounts'!$C$5:$C$3000,MATCH(O126&amp;"",'Chart of Accounts'!$A$5:$A$3000,0))&amp;"|"&amp;INDEX('Chart of Accounts'!$D$5:$D$3000,MATCH(O126&amp;"",'Chart of Accounts'!$A$5:$A$3000,0)),"")</f>
        <v/>
      </c>
      <c r="T126" s="23">
        <f>IFERROR(INDEX('Chart of Accounts'!$C$5:$C$3000,MATCH(Q126&amp;"",'Chart of Accounts'!$A$5:$A$3000,0))&amp;"|"&amp;INDEX('Chart of Accounts'!$D$5:$D$3000,MATCH(Q126&amp;"",'Chart of Accounts'!$A$5:$A$3000,0)),"")</f>
        <v/>
      </c>
      <c r="U126" s="23">
        <f>IFERROR(INDEX('Chart of Accounts'!$C$5:$C$3000,MATCH(P126&amp;"",'Chart of Accounts'!$A$5:$A$3000,0))&amp;"|"&amp;INDEX('Chart of Accounts'!$D$5:$D$3000,MATCH(P126&amp;"",'Chart of Accounts'!$A$5:$A$3000,0)),"")</f>
        <v/>
      </c>
      <c r="V126" s="23">
        <f>IFERROR(INDEX('Chart of Accounts'!$C$5:$C$3000,MATCH(R126&amp;"",'Chart of Accounts'!$A$5:$A$3000,0))&amp;"|"&amp;INDEX('Chart of Accounts'!$D$5:$D$3000,MATCH(R126&amp;"",'Chart of Accounts'!$A$5:$A$3000,0)),"")</f>
        <v/>
      </c>
      <c r="W126" s="23">
        <f>IF(LEFT(S126,8)="Revenue|",-N(F126),0)+IF(LEFT(T126,8)="Revenue|",-N(J126),0)+IF(LEFT(U126,8)="Revenue|",N(N126),0)+IF(LEFT(V126,8)="Revenue|",N(M126),0)</f>
        <v/>
      </c>
      <c r="X126" s="23">
        <f>IF(LEFT(S126,5)="COGS|",N(F126),0)+IF(LEFT(T126,5)="COGS|",N(J126),0)+IF(LEFT(U126,5)="COGS|",-N(N126),0)+IF(LEFT(V126,5)="COGS|",-N(M126),0)</f>
        <v/>
      </c>
      <c r="Y126" s="23">
        <f>IF(LEFT(S126,8)="Expense|",N(F126),0)+IF(LEFT(T126,8)="Expense|",N(J126),0)+IF(LEFT(U126,8)="Expense|",-N(N126),0)+IF(LEFT(V126,8)="Expense|",-N(M126),0)</f>
        <v/>
      </c>
      <c r="Z126" s="23">
        <f>IF(ISNUMBER(MATCH(S126,{"Expense|employee","Expense|general_admin","Expense|marketing","Expense|utilities","Expense|other_operating"},0)),N(F126),0)+IF(ISNUMBER(MATCH(T126,{"Expense|employee","Expense|general_admin","Expense|marketing","Expense|utilities","Expense|other_operating"},0)),N(J126),0)+IF(ISNUMBER(MATCH(U126,{"Expense|employee","Expense|general_admin","Expense|marketing","Expense|utilities","Expense|other_operating"},0)),-N(N126),0)+IF(ISNUMBER(MATCH(V126,{"Expense|employee","Expense|general_admin","Expense|marketing","Expense|utilities","Expense|other_operating"},0)),-N(M126),0)</f>
        <v/>
      </c>
      <c r="AA126" s="23">
        <f>IF(S126="Liability|payable",-N(F126),0)+IF(T126="Liability|payable",-N(J126),0)+IF(U126="Liability|payable",N(N126),0)+IF(V126="Liability|payable",N(M126),0)</f>
        <v/>
      </c>
      <c r="AB126" s="23">
        <f>IF(S126="Liability|accrued",-N(F126),0)+IF(T126="Liability|accrued",-N(J126),0)+IF(U126="Liability|accrued",N(N126),0)+IF(V126="Liability|accrued",N(M126),0)</f>
        <v/>
      </c>
      <c r="AC126" s="23">
        <f>IF(AND(N(F126)&lt;&gt;0,S126=""),1,0)+IF(AND(N(J126)&lt;&gt;0,T126=""),1,0)+IF(AND(N(N126)&lt;&gt;0,U126=""),1,0)+IF(AND(N(M126)&lt;&gt;0,V126=""),1,0)</f>
        <v/>
      </c>
    </row>
    <row r="127">
      <c r="A127" s="19" t="n"/>
      <c r="B127" s="14" t="n"/>
      <c r="C127" s="14" t="n"/>
      <c r="D127" s="14" t="n"/>
      <c r="E127" s="14" t="n"/>
      <c r="F127" s="20" t="n"/>
      <c r="G127" s="14" t="n"/>
      <c r="H127" s="14" t="n"/>
      <c r="I127" s="14" t="n"/>
      <c r="J127" s="20" t="n"/>
      <c r="K127" s="14" t="n"/>
      <c r="L127" s="21">
        <f>N(F127)+N(J127)</f>
        <v/>
      </c>
      <c r="M127" s="21">
        <f>IF(K127="",0,L127-ROUND(L127/(1+IFERROR(VLOOKUP(K127,'Tax Codes'!$A$5:$E$300,5,FALSE),0)),2))</f>
        <v/>
      </c>
      <c r="N127" s="21">
        <f>L127-M127</f>
        <v/>
      </c>
      <c r="O127" s="16">
        <f>IF(H127="",INDEX('Chart of Accounts'!$A$5:$A$3000,MATCH("bank",'Chart of Accounts'!$F$5:$F$3000,0)),H127&amp;"")</f>
        <v/>
      </c>
      <c r="P127" s="16">
        <f>IF(I127="",INDEX('Chart of Accounts'!$A$5:$A$3000,MATCH("revenue",'Chart of Accounts'!$F$5:$F$3000,0)),I127&amp;"")</f>
        <v/>
      </c>
      <c r="Q127" s="16">
        <f>INDEX('Chart of Accounts'!$A$5:$A$3000,MATCH("wht_receivable",'Chart of Accounts'!$F$5:$F$3000,0))</f>
        <v/>
      </c>
      <c r="R127" s="16">
        <f>INDEX('Chart of Accounts'!$A$5:$A$3000,MATCH("vat_output",'Chart of Accounts'!$F$5:$F$3000,0))</f>
        <v/>
      </c>
      <c r="S127" s="23">
        <f>IFERROR(INDEX('Chart of Accounts'!$C$5:$C$3000,MATCH(O127&amp;"",'Chart of Accounts'!$A$5:$A$3000,0))&amp;"|"&amp;INDEX('Chart of Accounts'!$D$5:$D$3000,MATCH(O127&amp;"",'Chart of Accounts'!$A$5:$A$3000,0)),"")</f>
        <v/>
      </c>
      <c r="T127" s="23">
        <f>IFERROR(INDEX('Chart of Accounts'!$C$5:$C$3000,MATCH(Q127&amp;"",'Chart of Accounts'!$A$5:$A$3000,0))&amp;"|"&amp;INDEX('Chart of Accounts'!$D$5:$D$3000,MATCH(Q127&amp;"",'Chart of Accounts'!$A$5:$A$3000,0)),"")</f>
        <v/>
      </c>
      <c r="U127" s="23">
        <f>IFERROR(INDEX('Chart of Accounts'!$C$5:$C$3000,MATCH(P127&amp;"",'Chart of Accounts'!$A$5:$A$3000,0))&amp;"|"&amp;INDEX('Chart of Accounts'!$D$5:$D$3000,MATCH(P127&amp;"",'Chart of Accounts'!$A$5:$A$3000,0)),"")</f>
        <v/>
      </c>
      <c r="V127" s="23">
        <f>IFERROR(INDEX('Chart of Accounts'!$C$5:$C$3000,MATCH(R127&amp;"",'Chart of Accounts'!$A$5:$A$3000,0))&amp;"|"&amp;INDEX('Chart of Accounts'!$D$5:$D$3000,MATCH(R127&amp;"",'Chart of Accounts'!$A$5:$A$3000,0)),"")</f>
        <v/>
      </c>
      <c r="W127" s="23">
        <f>IF(LEFT(S127,8)="Revenue|",-N(F127),0)+IF(LEFT(T127,8)="Revenue|",-N(J127),0)+IF(LEFT(U127,8)="Revenue|",N(N127),0)+IF(LEFT(V127,8)="Revenue|",N(M127),0)</f>
        <v/>
      </c>
      <c r="X127" s="23">
        <f>IF(LEFT(S127,5)="COGS|",N(F127),0)+IF(LEFT(T127,5)="COGS|",N(J127),0)+IF(LEFT(U127,5)="COGS|",-N(N127),0)+IF(LEFT(V127,5)="COGS|",-N(M127),0)</f>
        <v/>
      </c>
      <c r="Y127" s="23">
        <f>IF(LEFT(S127,8)="Expense|",N(F127),0)+IF(LEFT(T127,8)="Expense|",N(J127),0)+IF(LEFT(U127,8)="Expense|",-N(N127),0)+IF(LEFT(V127,8)="Expense|",-N(M127),0)</f>
        <v/>
      </c>
      <c r="Z127" s="23">
        <f>IF(ISNUMBER(MATCH(S127,{"Expense|employee","Expense|general_admin","Expense|marketing","Expense|utilities","Expense|other_operating"},0)),N(F127),0)+IF(ISNUMBER(MATCH(T127,{"Expense|employee","Expense|general_admin","Expense|marketing","Expense|utilities","Expense|other_operating"},0)),N(J127),0)+IF(ISNUMBER(MATCH(U127,{"Expense|employee","Expense|general_admin","Expense|marketing","Expense|utilities","Expense|other_operating"},0)),-N(N127),0)+IF(ISNUMBER(MATCH(V127,{"Expense|employee","Expense|general_admin","Expense|marketing","Expense|utilities","Expense|other_operating"},0)),-N(M127),0)</f>
        <v/>
      </c>
      <c r="AA127" s="23">
        <f>IF(S127="Liability|payable",-N(F127),0)+IF(T127="Liability|payable",-N(J127),0)+IF(U127="Liability|payable",N(N127),0)+IF(V127="Liability|payable",N(M127),0)</f>
        <v/>
      </c>
      <c r="AB127" s="23">
        <f>IF(S127="Liability|accrued",-N(F127),0)+IF(T127="Liability|accrued",-N(J127),0)+IF(U127="Liability|accrued",N(N127),0)+IF(V127="Liability|accrued",N(M127),0)</f>
        <v/>
      </c>
      <c r="AC127" s="23">
        <f>IF(AND(N(F127)&lt;&gt;0,S127=""),1,0)+IF(AND(N(J127)&lt;&gt;0,T127=""),1,0)+IF(AND(N(N127)&lt;&gt;0,U127=""),1,0)+IF(AND(N(M127)&lt;&gt;0,V127=""),1,0)</f>
        <v/>
      </c>
    </row>
    <row r="128">
      <c r="A128" s="19" t="n"/>
      <c r="B128" s="14" t="n"/>
      <c r="C128" s="14" t="n"/>
      <c r="D128" s="14" t="n"/>
      <c r="E128" s="14" t="n"/>
      <c r="F128" s="20" t="n"/>
      <c r="G128" s="14" t="n"/>
      <c r="H128" s="14" t="n"/>
      <c r="I128" s="14" t="n"/>
      <c r="J128" s="20" t="n"/>
      <c r="K128" s="14" t="n"/>
      <c r="L128" s="21">
        <f>N(F128)+N(J128)</f>
        <v/>
      </c>
      <c r="M128" s="21">
        <f>IF(K128="",0,L128-ROUND(L128/(1+IFERROR(VLOOKUP(K128,'Tax Codes'!$A$5:$E$300,5,FALSE),0)),2))</f>
        <v/>
      </c>
      <c r="N128" s="21">
        <f>L128-M128</f>
        <v/>
      </c>
      <c r="O128" s="16">
        <f>IF(H128="",INDEX('Chart of Accounts'!$A$5:$A$3000,MATCH("bank",'Chart of Accounts'!$F$5:$F$3000,0)),H128&amp;"")</f>
        <v/>
      </c>
      <c r="P128" s="16">
        <f>IF(I128="",INDEX('Chart of Accounts'!$A$5:$A$3000,MATCH("revenue",'Chart of Accounts'!$F$5:$F$3000,0)),I128&amp;"")</f>
        <v/>
      </c>
      <c r="Q128" s="16">
        <f>INDEX('Chart of Accounts'!$A$5:$A$3000,MATCH("wht_receivable",'Chart of Accounts'!$F$5:$F$3000,0))</f>
        <v/>
      </c>
      <c r="R128" s="16">
        <f>INDEX('Chart of Accounts'!$A$5:$A$3000,MATCH("vat_output",'Chart of Accounts'!$F$5:$F$3000,0))</f>
        <v/>
      </c>
      <c r="S128" s="23">
        <f>IFERROR(INDEX('Chart of Accounts'!$C$5:$C$3000,MATCH(O128&amp;"",'Chart of Accounts'!$A$5:$A$3000,0))&amp;"|"&amp;INDEX('Chart of Accounts'!$D$5:$D$3000,MATCH(O128&amp;"",'Chart of Accounts'!$A$5:$A$3000,0)),"")</f>
        <v/>
      </c>
      <c r="T128" s="23">
        <f>IFERROR(INDEX('Chart of Accounts'!$C$5:$C$3000,MATCH(Q128&amp;"",'Chart of Accounts'!$A$5:$A$3000,0))&amp;"|"&amp;INDEX('Chart of Accounts'!$D$5:$D$3000,MATCH(Q128&amp;"",'Chart of Accounts'!$A$5:$A$3000,0)),"")</f>
        <v/>
      </c>
      <c r="U128" s="23">
        <f>IFERROR(INDEX('Chart of Accounts'!$C$5:$C$3000,MATCH(P128&amp;"",'Chart of Accounts'!$A$5:$A$3000,0))&amp;"|"&amp;INDEX('Chart of Accounts'!$D$5:$D$3000,MATCH(P128&amp;"",'Chart of Accounts'!$A$5:$A$3000,0)),"")</f>
        <v/>
      </c>
      <c r="V128" s="23">
        <f>IFERROR(INDEX('Chart of Accounts'!$C$5:$C$3000,MATCH(R128&amp;"",'Chart of Accounts'!$A$5:$A$3000,0))&amp;"|"&amp;INDEX('Chart of Accounts'!$D$5:$D$3000,MATCH(R128&amp;"",'Chart of Accounts'!$A$5:$A$3000,0)),"")</f>
        <v/>
      </c>
      <c r="W128" s="23">
        <f>IF(LEFT(S128,8)="Revenue|",-N(F128),0)+IF(LEFT(T128,8)="Revenue|",-N(J128),0)+IF(LEFT(U128,8)="Revenue|",N(N128),0)+IF(LEFT(V128,8)="Revenue|",N(M128),0)</f>
        <v/>
      </c>
      <c r="X128" s="23">
        <f>IF(LEFT(S128,5)="COGS|",N(F128),0)+IF(LEFT(T128,5)="COGS|",N(J128),0)+IF(LEFT(U128,5)="COGS|",-N(N128),0)+IF(LEFT(V128,5)="COGS|",-N(M128),0)</f>
        <v/>
      </c>
      <c r="Y128" s="23">
        <f>IF(LEFT(S128,8)="Expense|",N(F128),0)+IF(LEFT(T128,8)="Expense|",N(J128),0)+IF(LEFT(U128,8)="Expense|",-N(N128),0)+IF(LEFT(V128,8)="Expense|",-N(M128),0)</f>
        <v/>
      </c>
      <c r="Z128" s="23">
        <f>IF(ISNUMBER(MATCH(S128,{"Expense|employee","Expense|general_admin","Expense|marketing","Expense|utilities","Expense|other_operating"},0)),N(F128),0)+IF(ISNUMBER(MATCH(T128,{"Expense|employee","Expense|general_admin","Expense|marketing","Expense|utilities","Expense|other_operating"},0)),N(J128),0)+IF(ISNUMBER(MATCH(U128,{"Expense|employee","Expense|general_admin","Expense|marketing","Expense|utilities","Expense|other_operating"},0)),-N(N128),0)+IF(ISNUMBER(MATCH(V128,{"Expense|employee","Expense|general_admin","Expense|marketing","Expense|utilities","Expense|other_operating"},0)),-N(M128),0)</f>
        <v/>
      </c>
      <c r="AA128" s="23">
        <f>IF(S128="Liability|payable",-N(F128),0)+IF(T128="Liability|payable",-N(J128),0)+IF(U128="Liability|payable",N(N128),0)+IF(V128="Liability|payable",N(M128),0)</f>
        <v/>
      </c>
      <c r="AB128" s="23">
        <f>IF(S128="Liability|accrued",-N(F128),0)+IF(T128="Liability|accrued",-N(J128),0)+IF(U128="Liability|accrued",N(N128),0)+IF(V128="Liability|accrued",N(M128),0)</f>
        <v/>
      </c>
      <c r="AC128" s="23">
        <f>IF(AND(N(F128)&lt;&gt;0,S128=""),1,0)+IF(AND(N(J128)&lt;&gt;0,T128=""),1,0)+IF(AND(N(N128)&lt;&gt;0,U128=""),1,0)+IF(AND(N(M128)&lt;&gt;0,V128=""),1,0)</f>
        <v/>
      </c>
    </row>
    <row r="129">
      <c r="A129" s="19" t="n"/>
      <c r="B129" s="14" t="n"/>
      <c r="C129" s="14" t="n"/>
      <c r="D129" s="14" t="n"/>
      <c r="E129" s="14" t="n"/>
      <c r="F129" s="20" t="n"/>
      <c r="G129" s="14" t="n"/>
      <c r="H129" s="14" t="n"/>
      <c r="I129" s="14" t="n"/>
      <c r="J129" s="20" t="n"/>
      <c r="K129" s="14" t="n"/>
      <c r="L129" s="21">
        <f>N(F129)+N(J129)</f>
        <v/>
      </c>
      <c r="M129" s="21">
        <f>IF(K129="",0,L129-ROUND(L129/(1+IFERROR(VLOOKUP(K129,'Tax Codes'!$A$5:$E$300,5,FALSE),0)),2))</f>
        <v/>
      </c>
      <c r="N129" s="21">
        <f>L129-M129</f>
        <v/>
      </c>
      <c r="O129" s="16">
        <f>IF(H129="",INDEX('Chart of Accounts'!$A$5:$A$3000,MATCH("bank",'Chart of Accounts'!$F$5:$F$3000,0)),H129&amp;"")</f>
        <v/>
      </c>
      <c r="P129" s="16">
        <f>IF(I129="",INDEX('Chart of Accounts'!$A$5:$A$3000,MATCH("revenue",'Chart of Accounts'!$F$5:$F$3000,0)),I129&amp;"")</f>
        <v/>
      </c>
      <c r="Q129" s="16">
        <f>INDEX('Chart of Accounts'!$A$5:$A$3000,MATCH("wht_receivable",'Chart of Accounts'!$F$5:$F$3000,0))</f>
        <v/>
      </c>
      <c r="R129" s="16">
        <f>INDEX('Chart of Accounts'!$A$5:$A$3000,MATCH("vat_output",'Chart of Accounts'!$F$5:$F$3000,0))</f>
        <v/>
      </c>
      <c r="S129" s="23">
        <f>IFERROR(INDEX('Chart of Accounts'!$C$5:$C$3000,MATCH(O129&amp;"",'Chart of Accounts'!$A$5:$A$3000,0))&amp;"|"&amp;INDEX('Chart of Accounts'!$D$5:$D$3000,MATCH(O129&amp;"",'Chart of Accounts'!$A$5:$A$3000,0)),"")</f>
        <v/>
      </c>
      <c r="T129" s="23">
        <f>IFERROR(INDEX('Chart of Accounts'!$C$5:$C$3000,MATCH(Q129&amp;"",'Chart of Accounts'!$A$5:$A$3000,0))&amp;"|"&amp;INDEX('Chart of Accounts'!$D$5:$D$3000,MATCH(Q129&amp;"",'Chart of Accounts'!$A$5:$A$3000,0)),"")</f>
        <v/>
      </c>
      <c r="U129" s="23">
        <f>IFERROR(INDEX('Chart of Accounts'!$C$5:$C$3000,MATCH(P129&amp;"",'Chart of Accounts'!$A$5:$A$3000,0))&amp;"|"&amp;INDEX('Chart of Accounts'!$D$5:$D$3000,MATCH(P129&amp;"",'Chart of Accounts'!$A$5:$A$3000,0)),"")</f>
        <v/>
      </c>
      <c r="V129" s="23">
        <f>IFERROR(INDEX('Chart of Accounts'!$C$5:$C$3000,MATCH(R129&amp;"",'Chart of Accounts'!$A$5:$A$3000,0))&amp;"|"&amp;INDEX('Chart of Accounts'!$D$5:$D$3000,MATCH(R129&amp;"",'Chart of Accounts'!$A$5:$A$3000,0)),"")</f>
        <v/>
      </c>
      <c r="W129" s="23">
        <f>IF(LEFT(S129,8)="Revenue|",-N(F129),0)+IF(LEFT(T129,8)="Revenue|",-N(J129),0)+IF(LEFT(U129,8)="Revenue|",N(N129),0)+IF(LEFT(V129,8)="Revenue|",N(M129),0)</f>
        <v/>
      </c>
      <c r="X129" s="23">
        <f>IF(LEFT(S129,5)="COGS|",N(F129),0)+IF(LEFT(T129,5)="COGS|",N(J129),0)+IF(LEFT(U129,5)="COGS|",-N(N129),0)+IF(LEFT(V129,5)="COGS|",-N(M129),0)</f>
        <v/>
      </c>
      <c r="Y129" s="23">
        <f>IF(LEFT(S129,8)="Expense|",N(F129),0)+IF(LEFT(T129,8)="Expense|",N(J129),0)+IF(LEFT(U129,8)="Expense|",-N(N129),0)+IF(LEFT(V129,8)="Expense|",-N(M129),0)</f>
        <v/>
      </c>
      <c r="Z129" s="23">
        <f>IF(ISNUMBER(MATCH(S129,{"Expense|employee","Expense|general_admin","Expense|marketing","Expense|utilities","Expense|other_operating"},0)),N(F129),0)+IF(ISNUMBER(MATCH(T129,{"Expense|employee","Expense|general_admin","Expense|marketing","Expense|utilities","Expense|other_operating"},0)),N(J129),0)+IF(ISNUMBER(MATCH(U129,{"Expense|employee","Expense|general_admin","Expense|marketing","Expense|utilities","Expense|other_operating"},0)),-N(N129),0)+IF(ISNUMBER(MATCH(V129,{"Expense|employee","Expense|general_admin","Expense|marketing","Expense|utilities","Expense|other_operating"},0)),-N(M129),0)</f>
        <v/>
      </c>
      <c r="AA129" s="23">
        <f>IF(S129="Liability|payable",-N(F129),0)+IF(T129="Liability|payable",-N(J129),0)+IF(U129="Liability|payable",N(N129),0)+IF(V129="Liability|payable",N(M129),0)</f>
        <v/>
      </c>
      <c r="AB129" s="23">
        <f>IF(S129="Liability|accrued",-N(F129),0)+IF(T129="Liability|accrued",-N(J129),0)+IF(U129="Liability|accrued",N(N129),0)+IF(V129="Liability|accrued",N(M129),0)</f>
        <v/>
      </c>
      <c r="AC129" s="23">
        <f>IF(AND(N(F129)&lt;&gt;0,S129=""),1,0)+IF(AND(N(J129)&lt;&gt;0,T129=""),1,0)+IF(AND(N(N129)&lt;&gt;0,U129=""),1,0)+IF(AND(N(M129)&lt;&gt;0,V129=""),1,0)</f>
        <v/>
      </c>
    </row>
    <row r="130">
      <c r="A130" s="19" t="n"/>
      <c r="B130" s="14" t="n"/>
      <c r="C130" s="14" t="n"/>
      <c r="D130" s="14" t="n"/>
      <c r="E130" s="14" t="n"/>
      <c r="F130" s="20" t="n"/>
      <c r="G130" s="14" t="n"/>
      <c r="H130" s="14" t="n"/>
      <c r="I130" s="14" t="n"/>
      <c r="J130" s="20" t="n"/>
      <c r="K130" s="14" t="n"/>
      <c r="L130" s="21">
        <f>N(F130)+N(J130)</f>
        <v/>
      </c>
      <c r="M130" s="21">
        <f>IF(K130="",0,L130-ROUND(L130/(1+IFERROR(VLOOKUP(K130,'Tax Codes'!$A$5:$E$300,5,FALSE),0)),2))</f>
        <v/>
      </c>
      <c r="N130" s="21">
        <f>L130-M130</f>
        <v/>
      </c>
      <c r="O130" s="16">
        <f>IF(H130="",INDEX('Chart of Accounts'!$A$5:$A$3000,MATCH("bank",'Chart of Accounts'!$F$5:$F$3000,0)),H130&amp;"")</f>
        <v/>
      </c>
      <c r="P130" s="16">
        <f>IF(I130="",INDEX('Chart of Accounts'!$A$5:$A$3000,MATCH("revenue",'Chart of Accounts'!$F$5:$F$3000,0)),I130&amp;"")</f>
        <v/>
      </c>
      <c r="Q130" s="16">
        <f>INDEX('Chart of Accounts'!$A$5:$A$3000,MATCH("wht_receivable",'Chart of Accounts'!$F$5:$F$3000,0))</f>
        <v/>
      </c>
      <c r="R130" s="16">
        <f>INDEX('Chart of Accounts'!$A$5:$A$3000,MATCH("vat_output",'Chart of Accounts'!$F$5:$F$3000,0))</f>
        <v/>
      </c>
      <c r="S130" s="23">
        <f>IFERROR(INDEX('Chart of Accounts'!$C$5:$C$3000,MATCH(O130&amp;"",'Chart of Accounts'!$A$5:$A$3000,0))&amp;"|"&amp;INDEX('Chart of Accounts'!$D$5:$D$3000,MATCH(O130&amp;"",'Chart of Accounts'!$A$5:$A$3000,0)),"")</f>
        <v/>
      </c>
      <c r="T130" s="23">
        <f>IFERROR(INDEX('Chart of Accounts'!$C$5:$C$3000,MATCH(Q130&amp;"",'Chart of Accounts'!$A$5:$A$3000,0))&amp;"|"&amp;INDEX('Chart of Accounts'!$D$5:$D$3000,MATCH(Q130&amp;"",'Chart of Accounts'!$A$5:$A$3000,0)),"")</f>
        <v/>
      </c>
      <c r="U130" s="23">
        <f>IFERROR(INDEX('Chart of Accounts'!$C$5:$C$3000,MATCH(P130&amp;"",'Chart of Accounts'!$A$5:$A$3000,0))&amp;"|"&amp;INDEX('Chart of Accounts'!$D$5:$D$3000,MATCH(P130&amp;"",'Chart of Accounts'!$A$5:$A$3000,0)),"")</f>
        <v/>
      </c>
      <c r="V130" s="23">
        <f>IFERROR(INDEX('Chart of Accounts'!$C$5:$C$3000,MATCH(R130&amp;"",'Chart of Accounts'!$A$5:$A$3000,0))&amp;"|"&amp;INDEX('Chart of Accounts'!$D$5:$D$3000,MATCH(R130&amp;"",'Chart of Accounts'!$A$5:$A$3000,0)),"")</f>
        <v/>
      </c>
      <c r="W130" s="23">
        <f>IF(LEFT(S130,8)="Revenue|",-N(F130),0)+IF(LEFT(T130,8)="Revenue|",-N(J130),0)+IF(LEFT(U130,8)="Revenue|",N(N130),0)+IF(LEFT(V130,8)="Revenue|",N(M130),0)</f>
        <v/>
      </c>
      <c r="X130" s="23">
        <f>IF(LEFT(S130,5)="COGS|",N(F130),0)+IF(LEFT(T130,5)="COGS|",N(J130),0)+IF(LEFT(U130,5)="COGS|",-N(N130),0)+IF(LEFT(V130,5)="COGS|",-N(M130),0)</f>
        <v/>
      </c>
      <c r="Y130" s="23">
        <f>IF(LEFT(S130,8)="Expense|",N(F130),0)+IF(LEFT(T130,8)="Expense|",N(J130),0)+IF(LEFT(U130,8)="Expense|",-N(N130),0)+IF(LEFT(V130,8)="Expense|",-N(M130),0)</f>
        <v/>
      </c>
      <c r="Z130" s="23">
        <f>IF(ISNUMBER(MATCH(S130,{"Expense|employee","Expense|general_admin","Expense|marketing","Expense|utilities","Expense|other_operating"},0)),N(F130),0)+IF(ISNUMBER(MATCH(T130,{"Expense|employee","Expense|general_admin","Expense|marketing","Expense|utilities","Expense|other_operating"},0)),N(J130),0)+IF(ISNUMBER(MATCH(U130,{"Expense|employee","Expense|general_admin","Expense|marketing","Expense|utilities","Expense|other_operating"},0)),-N(N130),0)+IF(ISNUMBER(MATCH(V130,{"Expense|employee","Expense|general_admin","Expense|marketing","Expense|utilities","Expense|other_operating"},0)),-N(M130),0)</f>
        <v/>
      </c>
      <c r="AA130" s="23">
        <f>IF(S130="Liability|payable",-N(F130),0)+IF(T130="Liability|payable",-N(J130),0)+IF(U130="Liability|payable",N(N130),0)+IF(V130="Liability|payable",N(M130),0)</f>
        <v/>
      </c>
      <c r="AB130" s="23">
        <f>IF(S130="Liability|accrued",-N(F130),0)+IF(T130="Liability|accrued",-N(J130),0)+IF(U130="Liability|accrued",N(N130),0)+IF(V130="Liability|accrued",N(M130),0)</f>
        <v/>
      </c>
      <c r="AC130" s="23">
        <f>IF(AND(N(F130)&lt;&gt;0,S130=""),1,0)+IF(AND(N(J130)&lt;&gt;0,T130=""),1,0)+IF(AND(N(N130)&lt;&gt;0,U130=""),1,0)+IF(AND(N(M130)&lt;&gt;0,V130=""),1,0)</f>
        <v/>
      </c>
    </row>
    <row r="131">
      <c r="A131" s="19" t="n"/>
      <c r="B131" s="14" t="n"/>
      <c r="C131" s="14" t="n"/>
      <c r="D131" s="14" t="n"/>
      <c r="E131" s="14" t="n"/>
      <c r="F131" s="20" t="n"/>
      <c r="G131" s="14" t="n"/>
      <c r="H131" s="14" t="n"/>
      <c r="I131" s="14" t="n"/>
      <c r="J131" s="20" t="n"/>
      <c r="K131" s="14" t="n"/>
      <c r="L131" s="21">
        <f>N(F131)+N(J131)</f>
        <v/>
      </c>
      <c r="M131" s="21">
        <f>IF(K131="",0,L131-ROUND(L131/(1+IFERROR(VLOOKUP(K131,'Tax Codes'!$A$5:$E$300,5,FALSE),0)),2))</f>
        <v/>
      </c>
      <c r="N131" s="21">
        <f>L131-M131</f>
        <v/>
      </c>
      <c r="O131" s="16">
        <f>IF(H131="",INDEX('Chart of Accounts'!$A$5:$A$3000,MATCH("bank",'Chart of Accounts'!$F$5:$F$3000,0)),H131&amp;"")</f>
        <v/>
      </c>
      <c r="P131" s="16">
        <f>IF(I131="",INDEX('Chart of Accounts'!$A$5:$A$3000,MATCH("revenue",'Chart of Accounts'!$F$5:$F$3000,0)),I131&amp;"")</f>
        <v/>
      </c>
      <c r="Q131" s="16">
        <f>INDEX('Chart of Accounts'!$A$5:$A$3000,MATCH("wht_receivable",'Chart of Accounts'!$F$5:$F$3000,0))</f>
        <v/>
      </c>
      <c r="R131" s="16">
        <f>INDEX('Chart of Accounts'!$A$5:$A$3000,MATCH("vat_output",'Chart of Accounts'!$F$5:$F$3000,0))</f>
        <v/>
      </c>
      <c r="S131" s="23">
        <f>IFERROR(INDEX('Chart of Accounts'!$C$5:$C$3000,MATCH(O131&amp;"",'Chart of Accounts'!$A$5:$A$3000,0))&amp;"|"&amp;INDEX('Chart of Accounts'!$D$5:$D$3000,MATCH(O131&amp;"",'Chart of Accounts'!$A$5:$A$3000,0)),"")</f>
        <v/>
      </c>
      <c r="T131" s="23">
        <f>IFERROR(INDEX('Chart of Accounts'!$C$5:$C$3000,MATCH(Q131&amp;"",'Chart of Accounts'!$A$5:$A$3000,0))&amp;"|"&amp;INDEX('Chart of Accounts'!$D$5:$D$3000,MATCH(Q131&amp;"",'Chart of Accounts'!$A$5:$A$3000,0)),"")</f>
        <v/>
      </c>
      <c r="U131" s="23">
        <f>IFERROR(INDEX('Chart of Accounts'!$C$5:$C$3000,MATCH(P131&amp;"",'Chart of Accounts'!$A$5:$A$3000,0))&amp;"|"&amp;INDEX('Chart of Accounts'!$D$5:$D$3000,MATCH(P131&amp;"",'Chart of Accounts'!$A$5:$A$3000,0)),"")</f>
        <v/>
      </c>
      <c r="V131" s="23">
        <f>IFERROR(INDEX('Chart of Accounts'!$C$5:$C$3000,MATCH(R131&amp;"",'Chart of Accounts'!$A$5:$A$3000,0))&amp;"|"&amp;INDEX('Chart of Accounts'!$D$5:$D$3000,MATCH(R131&amp;"",'Chart of Accounts'!$A$5:$A$3000,0)),"")</f>
        <v/>
      </c>
      <c r="W131" s="23">
        <f>IF(LEFT(S131,8)="Revenue|",-N(F131),0)+IF(LEFT(T131,8)="Revenue|",-N(J131),0)+IF(LEFT(U131,8)="Revenue|",N(N131),0)+IF(LEFT(V131,8)="Revenue|",N(M131),0)</f>
        <v/>
      </c>
      <c r="X131" s="23">
        <f>IF(LEFT(S131,5)="COGS|",N(F131),0)+IF(LEFT(T131,5)="COGS|",N(J131),0)+IF(LEFT(U131,5)="COGS|",-N(N131),0)+IF(LEFT(V131,5)="COGS|",-N(M131),0)</f>
        <v/>
      </c>
      <c r="Y131" s="23">
        <f>IF(LEFT(S131,8)="Expense|",N(F131),0)+IF(LEFT(T131,8)="Expense|",N(J131),0)+IF(LEFT(U131,8)="Expense|",-N(N131),0)+IF(LEFT(V131,8)="Expense|",-N(M131),0)</f>
        <v/>
      </c>
      <c r="Z131" s="23">
        <f>IF(ISNUMBER(MATCH(S131,{"Expense|employee","Expense|general_admin","Expense|marketing","Expense|utilities","Expense|other_operating"},0)),N(F131),0)+IF(ISNUMBER(MATCH(T131,{"Expense|employee","Expense|general_admin","Expense|marketing","Expense|utilities","Expense|other_operating"},0)),N(J131),0)+IF(ISNUMBER(MATCH(U131,{"Expense|employee","Expense|general_admin","Expense|marketing","Expense|utilities","Expense|other_operating"},0)),-N(N131),0)+IF(ISNUMBER(MATCH(V131,{"Expense|employee","Expense|general_admin","Expense|marketing","Expense|utilities","Expense|other_operating"},0)),-N(M131),0)</f>
        <v/>
      </c>
      <c r="AA131" s="23">
        <f>IF(S131="Liability|payable",-N(F131),0)+IF(T131="Liability|payable",-N(J131),0)+IF(U131="Liability|payable",N(N131),0)+IF(V131="Liability|payable",N(M131),0)</f>
        <v/>
      </c>
      <c r="AB131" s="23">
        <f>IF(S131="Liability|accrued",-N(F131),0)+IF(T131="Liability|accrued",-N(J131),0)+IF(U131="Liability|accrued",N(N131),0)+IF(V131="Liability|accrued",N(M131),0)</f>
        <v/>
      </c>
      <c r="AC131" s="23">
        <f>IF(AND(N(F131)&lt;&gt;0,S131=""),1,0)+IF(AND(N(J131)&lt;&gt;0,T131=""),1,0)+IF(AND(N(N131)&lt;&gt;0,U131=""),1,0)+IF(AND(N(M131)&lt;&gt;0,V131=""),1,0)</f>
        <v/>
      </c>
    </row>
    <row r="132">
      <c r="A132" s="19" t="n"/>
      <c r="B132" s="14" t="n"/>
      <c r="C132" s="14" t="n"/>
      <c r="D132" s="14" t="n"/>
      <c r="E132" s="14" t="n"/>
      <c r="F132" s="20" t="n"/>
      <c r="G132" s="14" t="n"/>
      <c r="H132" s="14" t="n"/>
      <c r="I132" s="14" t="n"/>
      <c r="J132" s="20" t="n"/>
      <c r="K132" s="14" t="n"/>
      <c r="L132" s="21">
        <f>N(F132)+N(J132)</f>
        <v/>
      </c>
      <c r="M132" s="21">
        <f>IF(K132="",0,L132-ROUND(L132/(1+IFERROR(VLOOKUP(K132,'Tax Codes'!$A$5:$E$300,5,FALSE),0)),2))</f>
        <v/>
      </c>
      <c r="N132" s="21">
        <f>L132-M132</f>
        <v/>
      </c>
      <c r="O132" s="16">
        <f>IF(H132="",INDEX('Chart of Accounts'!$A$5:$A$3000,MATCH("bank",'Chart of Accounts'!$F$5:$F$3000,0)),H132&amp;"")</f>
        <v/>
      </c>
      <c r="P132" s="16">
        <f>IF(I132="",INDEX('Chart of Accounts'!$A$5:$A$3000,MATCH("revenue",'Chart of Accounts'!$F$5:$F$3000,0)),I132&amp;"")</f>
        <v/>
      </c>
      <c r="Q132" s="16">
        <f>INDEX('Chart of Accounts'!$A$5:$A$3000,MATCH("wht_receivable",'Chart of Accounts'!$F$5:$F$3000,0))</f>
        <v/>
      </c>
      <c r="R132" s="16">
        <f>INDEX('Chart of Accounts'!$A$5:$A$3000,MATCH("vat_output",'Chart of Accounts'!$F$5:$F$3000,0))</f>
        <v/>
      </c>
      <c r="S132" s="23">
        <f>IFERROR(INDEX('Chart of Accounts'!$C$5:$C$3000,MATCH(O132&amp;"",'Chart of Accounts'!$A$5:$A$3000,0))&amp;"|"&amp;INDEX('Chart of Accounts'!$D$5:$D$3000,MATCH(O132&amp;"",'Chart of Accounts'!$A$5:$A$3000,0)),"")</f>
        <v/>
      </c>
      <c r="T132" s="23">
        <f>IFERROR(INDEX('Chart of Accounts'!$C$5:$C$3000,MATCH(Q132&amp;"",'Chart of Accounts'!$A$5:$A$3000,0))&amp;"|"&amp;INDEX('Chart of Accounts'!$D$5:$D$3000,MATCH(Q132&amp;"",'Chart of Accounts'!$A$5:$A$3000,0)),"")</f>
        <v/>
      </c>
      <c r="U132" s="23">
        <f>IFERROR(INDEX('Chart of Accounts'!$C$5:$C$3000,MATCH(P132&amp;"",'Chart of Accounts'!$A$5:$A$3000,0))&amp;"|"&amp;INDEX('Chart of Accounts'!$D$5:$D$3000,MATCH(P132&amp;"",'Chart of Accounts'!$A$5:$A$3000,0)),"")</f>
        <v/>
      </c>
      <c r="V132" s="23">
        <f>IFERROR(INDEX('Chart of Accounts'!$C$5:$C$3000,MATCH(R132&amp;"",'Chart of Accounts'!$A$5:$A$3000,0))&amp;"|"&amp;INDEX('Chart of Accounts'!$D$5:$D$3000,MATCH(R132&amp;"",'Chart of Accounts'!$A$5:$A$3000,0)),"")</f>
        <v/>
      </c>
      <c r="W132" s="23">
        <f>IF(LEFT(S132,8)="Revenue|",-N(F132),0)+IF(LEFT(T132,8)="Revenue|",-N(J132),0)+IF(LEFT(U132,8)="Revenue|",N(N132),0)+IF(LEFT(V132,8)="Revenue|",N(M132),0)</f>
        <v/>
      </c>
      <c r="X132" s="23">
        <f>IF(LEFT(S132,5)="COGS|",N(F132),0)+IF(LEFT(T132,5)="COGS|",N(J132),0)+IF(LEFT(U132,5)="COGS|",-N(N132),0)+IF(LEFT(V132,5)="COGS|",-N(M132),0)</f>
        <v/>
      </c>
      <c r="Y132" s="23">
        <f>IF(LEFT(S132,8)="Expense|",N(F132),0)+IF(LEFT(T132,8)="Expense|",N(J132),0)+IF(LEFT(U132,8)="Expense|",-N(N132),0)+IF(LEFT(V132,8)="Expense|",-N(M132),0)</f>
        <v/>
      </c>
      <c r="Z132" s="23">
        <f>IF(ISNUMBER(MATCH(S132,{"Expense|employee","Expense|general_admin","Expense|marketing","Expense|utilities","Expense|other_operating"},0)),N(F132),0)+IF(ISNUMBER(MATCH(T132,{"Expense|employee","Expense|general_admin","Expense|marketing","Expense|utilities","Expense|other_operating"},0)),N(J132),0)+IF(ISNUMBER(MATCH(U132,{"Expense|employee","Expense|general_admin","Expense|marketing","Expense|utilities","Expense|other_operating"},0)),-N(N132),0)+IF(ISNUMBER(MATCH(V132,{"Expense|employee","Expense|general_admin","Expense|marketing","Expense|utilities","Expense|other_operating"},0)),-N(M132),0)</f>
        <v/>
      </c>
      <c r="AA132" s="23">
        <f>IF(S132="Liability|payable",-N(F132),0)+IF(T132="Liability|payable",-N(J132),0)+IF(U132="Liability|payable",N(N132),0)+IF(V132="Liability|payable",N(M132),0)</f>
        <v/>
      </c>
      <c r="AB132" s="23">
        <f>IF(S132="Liability|accrued",-N(F132),0)+IF(T132="Liability|accrued",-N(J132),0)+IF(U132="Liability|accrued",N(N132),0)+IF(V132="Liability|accrued",N(M132),0)</f>
        <v/>
      </c>
      <c r="AC132" s="23">
        <f>IF(AND(N(F132)&lt;&gt;0,S132=""),1,0)+IF(AND(N(J132)&lt;&gt;0,T132=""),1,0)+IF(AND(N(N132)&lt;&gt;0,U132=""),1,0)+IF(AND(N(M132)&lt;&gt;0,V132=""),1,0)</f>
        <v/>
      </c>
    </row>
    <row r="133">
      <c r="A133" s="19" t="n"/>
      <c r="B133" s="14" t="n"/>
      <c r="C133" s="14" t="n"/>
      <c r="D133" s="14" t="n"/>
      <c r="E133" s="14" t="n"/>
      <c r="F133" s="20" t="n"/>
      <c r="G133" s="14" t="n"/>
      <c r="H133" s="14" t="n"/>
      <c r="I133" s="14" t="n"/>
      <c r="J133" s="20" t="n"/>
      <c r="K133" s="14" t="n"/>
      <c r="L133" s="21">
        <f>N(F133)+N(J133)</f>
        <v/>
      </c>
      <c r="M133" s="21">
        <f>IF(K133="",0,L133-ROUND(L133/(1+IFERROR(VLOOKUP(K133,'Tax Codes'!$A$5:$E$300,5,FALSE),0)),2))</f>
        <v/>
      </c>
      <c r="N133" s="21">
        <f>L133-M133</f>
        <v/>
      </c>
      <c r="O133" s="16">
        <f>IF(H133="",INDEX('Chart of Accounts'!$A$5:$A$3000,MATCH("bank",'Chart of Accounts'!$F$5:$F$3000,0)),H133&amp;"")</f>
        <v/>
      </c>
      <c r="P133" s="16">
        <f>IF(I133="",INDEX('Chart of Accounts'!$A$5:$A$3000,MATCH("revenue",'Chart of Accounts'!$F$5:$F$3000,0)),I133&amp;"")</f>
        <v/>
      </c>
      <c r="Q133" s="16">
        <f>INDEX('Chart of Accounts'!$A$5:$A$3000,MATCH("wht_receivable",'Chart of Accounts'!$F$5:$F$3000,0))</f>
        <v/>
      </c>
      <c r="R133" s="16">
        <f>INDEX('Chart of Accounts'!$A$5:$A$3000,MATCH("vat_output",'Chart of Accounts'!$F$5:$F$3000,0))</f>
        <v/>
      </c>
      <c r="S133" s="23">
        <f>IFERROR(INDEX('Chart of Accounts'!$C$5:$C$3000,MATCH(O133&amp;"",'Chart of Accounts'!$A$5:$A$3000,0))&amp;"|"&amp;INDEX('Chart of Accounts'!$D$5:$D$3000,MATCH(O133&amp;"",'Chart of Accounts'!$A$5:$A$3000,0)),"")</f>
        <v/>
      </c>
      <c r="T133" s="23">
        <f>IFERROR(INDEX('Chart of Accounts'!$C$5:$C$3000,MATCH(Q133&amp;"",'Chart of Accounts'!$A$5:$A$3000,0))&amp;"|"&amp;INDEX('Chart of Accounts'!$D$5:$D$3000,MATCH(Q133&amp;"",'Chart of Accounts'!$A$5:$A$3000,0)),"")</f>
        <v/>
      </c>
      <c r="U133" s="23">
        <f>IFERROR(INDEX('Chart of Accounts'!$C$5:$C$3000,MATCH(P133&amp;"",'Chart of Accounts'!$A$5:$A$3000,0))&amp;"|"&amp;INDEX('Chart of Accounts'!$D$5:$D$3000,MATCH(P133&amp;"",'Chart of Accounts'!$A$5:$A$3000,0)),"")</f>
        <v/>
      </c>
      <c r="V133" s="23">
        <f>IFERROR(INDEX('Chart of Accounts'!$C$5:$C$3000,MATCH(R133&amp;"",'Chart of Accounts'!$A$5:$A$3000,0))&amp;"|"&amp;INDEX('Chart of Accounts'!$D$5:$D$3000,MATCH(R133&amp;"",'Chart of Accounts'!$A$5:$A$3000,0)),"")</f>
        <v/>
      </c>
      <c r="W133" s="23">
        <f>IF(LEFT(S133,8)="Revenue|",-N(F133),0)+IF(LEFT(T133,8)="Revenue|",-N(J133),0)+IF(LEFT(U133,8)="Revenue|",N(N133),0)+IF(LEFT(V133,8)="Revenue|",N(M133),0)</f>
        <v/>
      </c>
      <c r="X133" s="23">
        <f>IF(LEFT(S133,5)="COGS|",N(F133),0)+IF(LEFT(T133,5)="COGS|",N(J133),0)+IF(LEFT(U133,5)="COGS|",-N(N133),0)+IF(LEFT(V133,5)="COGS|",-N(M133),0)</f>
        <v/>
      </c>
      <c r="Y133" s="23">
        <f>IF(LEFT(S133,8)="Expense|",N(F133),0)+IF(LEFT(T133,8)="Expense|",N(J133),0)+IF(LEFT(U133,8)="Expense|",-N(N133),0)+IF(LEFT(V133,8)="Expense|",-N(M133),0)</f>
        <v/>
      </c>
      <c r="Z133" s="23">
        <f>IF(ISNUMBER(MATCH(S133,{"Expense|employee","Expense|general_admin","Expense|marketing","Expense|utilities","Expense|other_operating"},0)),N(F133),0)+IF(ISNUMBER(MATCH(T133,{"Expense|employee","Expense|general_admin","Expense|marketing","Expense|utilities","Expense|other_operating"},0)),N(J133),0)+IF(ISNUMBER(MATCH(U133,{"Expense|employee","Expense|general_admin","Expense|marketing","Expense|utilities","Expense|other_operating"},0)),-N(N133),0)+IF(ISNUMBER(MATCH(V133,{"Expense|employee","Expense|general_admin","Expense|marketing","Expense|utilities","Expense|other_operating"},0)),-N(M133),0)</f>
        <v/>
      </c>
      <c r="AA133" s="23">
        <f>IF(S133="Liability|payable",-N(F133),0)+IF(T133="Liability|payable",-N(J133),0)+IF(U133="Liability|payable",N(N133),0)+IF(V133="Liability|payable",N(M133),0)</f>
        <v/>
      </c>
      <c r="AB133" s="23">
        <f>IF(S133="Liability|accrued",-N(F133),0)+IF(T133="Liability|accrued",-N(J133),0)+IF(U133="Liability|accrued",N(N133),0)+IF(V133="Liability|accrued",N(M133),0)</f>
        <v/>
      </c>
      <c r="AC133" s="23">
        <f>IF(AND(N(F133)&lt;&gt;0,S133=""),1,0)+IF(AND(N(J133)&lt;&gt;0,T133=""),1,0)+IF(AND(N(N133)&lt;&gt;0,U133=""),1,0)+IF(AND(N(M133)&lt;&gt;0,V133=""),1,0)</f>
        <v/>
      </c>
    </row>
    <row r="134">
      <c r="A134" s="19" t="n"/>
      <c r="B134" s="14" t="n"/>
      <c r="C134" s="14" t="n"/>
      <c r="D134" s="14" t="n"/>
      <c r="E134" s="14" t="n"/>
      <c r="F134" s="20" t="n"/>
      <c r="G134" s="14" t="n"/>
      <c r="H134" s="14" t="n"/>
      <c r="I134" s="14" t="n"/>
      <c r="J134" s="20" t="n"/>
      <c r="K134" s="14" t="n"/>
      <c r="L134" s="21">
        <f>N(F134)+N(J134)</f>
        <v/>
      </c>
      <c r="M134" s="21">
        <f>IF(K134="",0,L134-ROUND(L134/(1+IFERROR(VLOOKUP(K134,'Tax Codes'!$A$5:$E$300,5,FALSE),0)),2))</f>
        <v/>
      </c>
      <c r="N134" s="21">
        <f>L134-M134</f>
        <v/>
      </c>
      <c r="O134" s="16">
        <f>IF(H134="",INDEX('Chart of Accounts'!$A$5:$A$3000,MATCH("bank",'Chart of Accounts'!$F$5:$F$3000,0)),H134&amp;"")</f>
        <v/>
      </c>
      <c r="P134" s="16">
        <f>IF(I134="",INDEX('Chart of Accounts'!$A$5:$A$3000,MATCH("revenue",'Chart of Accounts'!$F$5:$F$3000,0)),I134&amp;"")</f>
        <v/>
      </c>
      <c r="Q134" s="16">
        <f>INDEX('Chart of Accounts'!$A$5:$A$3000,MATCH("wht_receivable",'Chart of Accounts'!$F$5:$F$3000,0))</f>
        <v/>
      </c>
      <c r="R134" s="16">
        <f>INDEX('Chart of Accounts'!$A$5:$A$3000,MATCH("vat_output",'Chart of Accounts'!$F$5:$F$3000,0))</f>
        <v/>
      </c>
      <c r="S134" s="23">
        <f>IFERROR(INDEX('Chart of Accounts'!$C$5:$C$3000,MATCH(O134&amp;"",'Chart of Accounts'!$A$5:$A$3000,0))&amp;"|"&amp;INDEX('Chart of Accounts'!$D$5:$D$3000,MATCH(O134&amp;"",'Chart of Accounts'!$A$5:$A$3000,0)),"")</f>
        <v/>
      </c>
      <c r="T134" s="23">
        <f>IFERROR(INDEX('Chart of Accounts'!$C$5:$C$3000,MATCH(Q134&amp;"",'Chart of Accounts'!$A$5:$A$3000,0))&amp;"|"&amp;INDEX('Chart of Accounts'!$D$5:$D$3000,MATCH(Q134&amp;"",'Chart of Accounts'!$A$5:$A$3000,0)),"")</f>
        <v/>
      </c>
      <c r="U134" s="23">
        <f>IFERROR(INDEX('Chart of Accounts'!$C$5:$C$3000,MATCH(P134&amp;"",'Chart of Accounts'!$A$5:$A$3000,0))&amp;"|"&amp;INDEX('Chart of Accounts'!$D$5:$D$3000,MATCH(P134&amp;"",'Chart of Accounts'!$A$5:$A$3000,0)),"")</f>
        <v/>
      </c>
      <c r="V134" s="23">
        <f>IFERROR(INDEX('Chart of Accounts'!$C$5:$C$3000,MATCH(R134&amp;"",'Chart of Accounts'!$A$5:$A$3000,0))&amp;"|"&amp;INDEX('Chart of Accounts'!$D$5:$D$3000,MATCH(R134&amp;"",'Chart of Accounts'!$A$5:$A$3000,0)),"")</f>
        <v/>
      </c>
      <c r="W134" s="23">
        <f>IF(LEFT(S134,8)="Revenue|",-N(F134),0)+IF(LEFT(T134,8)="Revenue|",-N(J134),0)+IF(LEFT(U134,8)="Revenue|",N(N134),0)+IF(LEFT(V134,8)="Revenue|",N(M134),0)</f>
        <v/>
      </c>
      <c r="X134" s="23">
        <f>IF(LEFT(S134,5)="COGS|",N(F134),0)+IF(LEFT(T134,5)="COGS|",N(J134),0)+IF(LEFT(U134,5)="COGS|",-N(N134),0)+IF(LEFT(V134,5)="COGS|",-N(M134),0)</f>
        <v/>
      </c>
      <c r="Y134" s="23">
        <f>IF(LEFT(S134,8)="Expense|",N(F134),0)+IF(LEFT(T134,8)="Expense|",N(J134),0)+IF(LEFT(U134,8)="Expense|",-N(N134),0)+IF(LEFT(V134,8)="Expense|",-N(M134),0)</f>
        <v/>
      </c>
      <c r="Z134" s="23">
        <f>IF(ISNUMBER(MATCH(S134,{"Expense|employee","Expense|general_admin","Expense|marketing","Expense|utilities","Expense|other_operating"},0)),N(F134),0)+IF(ISNUMBER(MATCH(T134,{"Expense|employee","Expense|general_admin","Expense|marketing","Expense|utilities","Expense|other_operating"},0)),N(J134),0)+IF(ISNUMBER(MATCH(U134,{"Expense|employee","Expense|general_admin","Expense|marketing","Expense|utilities","Expense|other_operating"},0)),-N(N134),0)+IF(ISNUMBER(MATCH(V134,{"Expense|employee","Expense|general_admin","Expense|marketing","Expense|utilities","Expense|other_operating"},0)),-N(M134),0)</f>
        <v/>
      </c>
      <c r="AA134" s="23">
        <f>IF(S134="Liability|payable",-N(F134),0)+IF(T134="Liability|payable",-N(J134),0)+IF(U134="Liability|payable",N(N134),0)+IF(V134="Liability|payable",N(M134),0)</f>
        <v/>
      </c>
      <c r="AB134" s="23">
        <f>IF(S134="Liability|accrued",-N(F134),0)+IF(T134="Liability|accrued",-N(J134),0)+IF(U134="Liability|accrued",N(N134),0)+IF(V134="Liability|accrued",N(M134),0)</f>
        <v/>
      </c>
      <c r="AC134" s="23">
        <f>IF(AND(N(F134)&lt;&gt;0,S134=""),1,0)+IF(AND(N(J134)&lt;&gt;0,T134=""),1,0)+IF(AND(N(N134)&lt;&gt;0,U134=""),1,0)+IF(AND(N(M134)&lt;&gt;0,V134=""),1,0)</f>
        <v/>
      </c>
    </row>
    <row r="135">
      <c r="A135" s="19" t="n"/>
      <c r="B135" s="14" t="n"/>
      <c r="C135" s="14" t="n"/>
      <c r="D135" s="14" t="n"/>
      <c r="E135" s="14" t="n"/>
      <c r="F135" s="20" t="n"/>
      <c r="G135" s="14" t="n"/>
      <c r="H135" s="14" t="n"/>
      <c r="I135" s="14" t="n"/>
      <c r="J135" s="20" t="n"/>
      <c r="K135" s="14" t="n"/>
      <c r="L135" s="21">
        <f>N(F135)+N(J135)</f>
        <v/>
      </c>
      <c r="M135" s="21">
        <f>IF(K135="",0,L135-ROUND(L135/(1+IFERROR(VLOOKUP(K135,'Tax Codes'!$A$5:$E$300,5,FALSE),0)),2))</f>
        <v/>
      </c>
      <c r="N135" s="21">
        <f>L135-M135</f>
        <v/>
      </c>
      <c r="O135" s="16">
        <f>IF(H135="",INDEX('Chart of Accounts'!$A$5:$A$3000,MATCH("bank",'Chart of Accounts'!$F$5:$F$3000,0)),H135&amp;"")</f>
        <v/>
      </c>
      <c r="P135" s="16">
        <f>IF(I135="",INDEX('Chart of Accounts'!$A$5:$A$3000,MATCH("revenue",'Chart of Accounts'!$F$5:$F$3000,0)),I135&amp;"")</f>
        <v/>
      </c>
      <c r="Q135" s="16">
        <f>INDEX('Chart of Accounts'!$A$5:$A$3000,MATCH("wht_receivable",'Chart of Accounts'!$F$5:$F$3000,0))</f>
        <v/>
      </c>
      <c r="R135" s="16">
        <f>INDEX('Chart of Accounts'!$A$5:$A$3000,MATCH("vat_output",'Chart of Accounts'!$F$5:$F$3000,0))</f>
        <v/>
      </c>
      <c r="S135" s="23">
        <f>IFERROR(INDEX('Chart of Accounts'!$C$5:$C$3000,MATCH(O135&amp;"",'Chart of Accounts'!$A$5:$A$3000,0))&amp;"|"&amp;INDEX('Chart of Accounts'!$D$5:$D$3000,MATCH(O135&amp;"",'Chart of Accounts'!$A$5:$A$3000,0)),"")</f>
        <v/>
      </c>
      <c r="T135" s="23">
        <f>IFERROR(INDEX('Chart of Accounts'!$C$5:$C$3000,MATCH(Q135&amp;"",'Chart of Accounts'!$A$5:$A$3000,0))&amp;"|"&amp;INDEX('Chart of Accounts'!$D$5:$D$3000,MATCH(Q135&amp;"",'Chart of Accounts'!$A$5:$A$3000,0)),"")</f>
        <v/>
      </c>
      <c r="U135" s="23">
        <f>IFERROR(INDEX('Chart of Accounts'!$C$5:$C$3000,MATCH(P135&amp;"",'Chart of Accounts'!$A$5:$A$3000,0))&amp;"|"&amp;INDEX('Chart of Accounts'!$D$5:$D$3000,MATCH(P135&amp;"",'Chart of Accounts'!$A$5:$A$3000,0)),"")</f>
        <v/>
      </c>
      <c r="V135" s="23">
        <f>IFERROR(INDEX('Chart of Accounts'!$C$5:$C$3000,MATCH(R135&amp;"",'Chart of Accounts'!$A$5:$A$3000,0))&amp;"|"&amp;INDEX('Chart of Accounts'!$D$5:$D$3000,MATCH(R135&amp;"",'Chart of Accounts'!$A$5:$A$3000,0)),"")</f>
        <v/>
      </c>
      <c r="W135" s="23">
        <f>IF(LEFT(S135,8)="Revenue|",-N(F135),0)+IF(LEFT(T135,8)="Revenue|",-N(J135),0)+IF(LEFT(U135,8)="Revenue|",N(N135),0)+IF(LEFT(V135,8)="Revenue|",N(M135),0)</f>
        <v/>
      </c>
      <c r="X135" s="23">
        <f>IF(LEFT(S135,5)="COGS|",N(F135),0)+IF(LEFT(T135,5)="COGS|",N(J135),0)+IF(LEFT(U135,5)="COGS|",-N(N135),0)+IF(LEFT(V135,5)="COGS|",-N(M135),0)</f>
        <v/>
      </c>
      <c r="Y135" s="23">
        <f>IF(LEFT(S135,8)="Expense|",N(F135),0)+IF(LEFT(T135,8)="Expense|",N(J135),0)+IF(LEFT(U135,8)="Expense|",-N(N135),0)+IF(LEFT(V135,8)="Expense|",-N(M135),0)</f>
        <v/>
      </c>
      <c r="Z135" s="23">
        <f>IF(ISNUMBER(MATCH(S135,{"Expense|employee","Expense|general_admin","Expense|marketing","Expense|utilities","Expense|other_operating"},0)),N(F135),0)+IF(ISNUMBER(MATCH(T135,{"Expense|employee","Expense|general_admin","Expense|marketing","Expense|utilities","Expense|other_operating"},0)),N(J135),0)+IF(ISNUMBER(MATCH(U135,{"Expense|employee","Expense|general_admin","Expense|marketing","Expense|utilities","Expense|other_operating"},0)),-N(N135),0)+IF(ISNUMBER(MATCH(V135,{"Expense|employee","Expense|general_admin","Expense|marketing","Expense|utilities","Expense|other_operating"},0)),-N(M135),0)</f>
        <v/>
      </c>
      <c r="AA135" s="23">
        <f>IF(S135="Liability|payable",-N(F135),0)+IF(T135="Liability|payable",-N(J135),0)+IF(U135="Liability|payable",N(N135),0)+IF(V135="Liability|payable",N(M135),0)</f>
        <v/>
      </c>
      <c r="AB135" s="23">
        <f>IF(S135="Liability|accrued",-N(F135),0)+IF(T135="Liability|accrued",-N(J135),0)+IF(U135="Liability|accrued",N(N135),0)+IF(V135="Liability|accrued",N(M135),0)</f>
        <v/>
      </c>
      <c r="AC135" s="23">
        <f>IF(AND(N(F135)&lt;&gt;0,S135=""),1,0)+IF(AND(N(J135)&lt;&gt;0,T135=""),1,0)+IF(AND(N(N135)&lt;&gt;0,U135=""),1,0)+IF(AND(N(M135)&lt;&gt;0,V135=""),1,0)</f>
        <v/>
      </c>
    </row>
    <row r="136">
      <c r="A136" s="19" t="n"/>
      <c r="B136" s="14" t="n"/>
      <c r="C136" s="14" t="n"/>
      <c r="D136" s="14" t="n"/>
      <c r="E136" s="14" t="n"/>
      <c r="F136" s="20" t="n"/>
      <c r="G136" s="14" t="n"/>
      <c r="H136" s="14" t="n"/>
      <c r="I136" s="14" t="n"/>
      <c r="J136" s="20" t="n"/>
      <c r="K136" s="14" t="n"/>
      <c r="L136" s="21">
        <f>N(F136)+N(J136)</f>
        <v/>
      </c>
      <c r="M136" s="21">
        <f>IF(K136="",0,L136-ROUND(L136/(1+IFERROR(VLOOKUP(K136,'Tax Codes'!$A$5:$E$300,5,FALSE),0)),2))</f>
        <v/>
      </c>
      <c r="N136" s="21">
        <f>L136-M136</f>
        <v/>
      </c>
      <c r="O136" s="16">
        <f>IF(H136="",INDEX('Chart of Accounts'!$A$5:$A$3000,MATCH("bank",'Chart of Accounts'!$F$5:$F$3000,0)),H136&amp;"")</f>
        <v/>
      </c>
      <c r="P136" s="16">
        <f>IF(I136="",INDEX('Chart of Accounts'!$A$5:$A$3000,MATCH("revenue",'Chart of Accounts'!$F$5:$F$3000,0)),I136&amp;"")</f>
        <v/>
      </c>
      <c r="Q136" s="16">
        <f>INDEX('Chart of Accounts'!$A$5:$A$3000,MATCH("wht_receivable",'Chart of Accounts'!$F$5:$F$3000,0))</f>
        <v/>
      </c>
      <c r="R136" s="16">
        <f>INDEX('Chart of Accounts'!$A$5:$A$3000,MATCH("vat_output",'Chart of Accounts'!$F$5:$F$3000,0))</f>
        <v/>
      </c>
      <c r="S136" s="23">
        <f>IFERROR(INDEX('Chart of Accounts'!$C$5:$C$3000,MATCH(O136&amp;"",'Chart of Accounts'!$A$5:$A$3000,0))&amp;"|"&amp;INDEX('Chart of Accounts'!$D$5:$D$3000,MATCH(O136&amp;"",'Chart of Accounts'!$A$5:$A$3000,0)),"")</f>
        <v/>
      </c>
      <c r="T136" s="23">
        <f>IFERROR(INDEX('Chart of Accounts'!$C$5:$C$3000,MATCH(Q136&amp;"",'Chart of Accounts'!$A$5:$A$3000,0))&amp;"|"&amp;INDEX('Chart of Accounts'!$D$5:$D$3000,MATCH(Q136&amp;"",'Chart of Accounts'!$A$5:$A$3000,0)),"")</f>
        <v/>
      </c>
      <c r="U136" s="23">
        <f>IFERROR(INDEX('Chart of Accounts'!$C$5:$C$3000,MATCH(P136&amp;"",'Chart of Accounts'!$A$5:$A$3000,0))&amp;"|"&amp;INDEX('Chart of Accounts'!$D$5:$D$3000,MATCH(P136&amp;"",'Chart of Accounts'!$A$5:$A$3000,0)),"")</f>
        <v/>
      </c>
      <c r="V136" s="23">
        <f>IFERROR(INDEX('Chart of Accounts'!$C$5:$C$3000,MATCH(R136&amp;"",'Chart of Accounts'!$A$5:$A$3000,0))&amp;"|"&amp;INDEX('Chart of Accounts'!$D$5:$D$3000,MATCH(R136&amp;"",'Chart of Accounts'!$A$5:$A$3000,0)),"")</f>
        <v/>
      </c>
      <c r="W136" s="23">
        <f>IF(LEFT(S136,8)="Revenue|",-N(F136),0)+IF(LEFT(T136,8)="Revenue|",-N(J136),0)+IF(LEFT(U136,8)="Revenue|",N(N136),0)+IF(LEFT(V136,8)="Revenue|",N(M136),0)</f>
        <v/>
      </c>
      <c r="X136" s="23">
        <f>IF(LEFT(S136,5)="COGS|",N(F136),0)+IF(LEFT(T136,5)="COGS|",N(J136),0)+IF(LEFT(U136,5)="COGS|",-N(N136),0)+IF(LEFT(V136,5)="COGS|",-N(M136),0)</f>
        <v/>
      </c>
      <c r="Y136" s="23">
        <f>IF(LEFT(S136,8)="Expense|",N(F136),0)+IF(LEFT(T136,8)="Expense|",N(J136),0)+IF(LEFT(U136,8)="Expense|",-N(N136),0)+IF(LEFT(V136,8)="Expense|",-N(M136),0)</f>
        <v/>
      </c>
      <c r="Z136" s="23">
        <f>IF(ISNUMBER(MATCH(S136,{"Expense|employee","Expense|general_admin","Expense|marketing","Expense|utilities","Expense|other_operating"},0)),N(F136),0)+IF(ISNUMBER(MATCH(T136,{"Expense|employee","Expense|general_admin","Expense|marketing","Expense|utilities","Expense|other_operating"},0)),N(J136),0)+IF(ISNUMBER(MATCH(U136,{"Expense|employee","Expense|general_admin","Expense|marketing","Expense|utilities","Expense|other_operating"},0)),-N(N136),0)+IF(ISNUMBER(MATCH(V136,{"Expense|employee","Expense|general_admin","Expense|marketing","Expense|utilities","Expense|other_operating"},0)),-N(M136),0)</f>
        <v/>
      </c>
      <c r="AA136" s="23">
        <f>IF(S136="Liability|payable",-N(F136),0)+IF(T136="Liability|payable",-N(J136),0)+IF(U136="Liability|payable",N(N136),0)+IF(V136="Liability|payable",N(M136),0)</f>
        <v/>
      </c>
      <c r="AB136" s="23">
        <f>IF(S136="Liability|accrued",-N(F136),0)+IF(T136="Liability|accrued",-N(J136),0)+IF(U136="Liability|accrued",N(N136),0)+IF(V136="Liability|accrued",N(M136),0)</f>
        <v/>
      </c>
      <c r="AC136" s="23">
        <f>IF(AND(N(F136)&lt;&gt;0,S136=""),1,0)+IF(AND(N(J136)&lt;&gt;0,T136=""),1,0)+IF(AND(N(N136)&lt;&gt;0,U136=""),1,0)+IF(AND(N(M136)&lt;&gt;0,V136=""),1,0)</f>
        <v/>
      </c>
    </row>
    <row r="137">
      <c r="A137" s="19" t="n"/>
      <c r="B137" s="14" t="n"/>
      <c r="C137" s="14" t="n"/>
      <c r="D137" s="14" t="n"/>
      <c r="E137" s="14" t="n"/>
      <c r="F137" s="20" t="n"/>
      <c r="G137" s="14" t="n"/>
      <c r="H137" s="14" t="n"/>
      <c r="I137" s="14" t="n"/>
      <c r="J137" s="20" t="n"/>
      <c r="K137" s="14" t="n"/>
      <c r="L137" s="21">
        <f>N(F137)+N(J137)</f>
        <v/>
      </c>
      <c r="M137" s="21">
        <f>IF(K137="",0,L137-ROUND(L137/(1+IFERROR(VLOOKUP(K137,'Tax Codes'!$A$5:$E$300,5,FALSE),0)),2))</f>
        <v/>
      </c>
      <c r="N137" s="21">
        <f>L137-M137</f>
        <v/>
      </c>
      <c r="O137" s="16">
        <f>IF(H137="",INDEX('Chart of Accounts'!$A$5:$A$3000,MATCH("bank",'Chart of Accounts'!$F$5:$F$3000,0)),H137&amp;"")</f>
        <v/>
      </c>
      <c r="P137" s="16">
        <f>IF(I137="",INDEX('Chart of Accounts'!$A$5:$A$3000,MATCH("revenue",'Chart of Accounts'!$F$5:$F$3000,0)),I137&amp;"")</f>
        <v/>
      </c>
      <c r="Q137" s="16">
        <f>INDEX('Chart of Accounts'!$A$5:$A$3000,MATCH("wht_receivable",'Chart of Accounts'!$F$5:$F$3000,0))</f>
        <v/>
      </c>
      <c r="R137" s="16">
        <f>INDEX('Chart of Accounts'!$A$5:$A$3000,MATCH("vat_output",'Chart of Accounts'!$F$5:$F$3000,0))</f>
        <v/>
      </c>
      <c r="S137" s="23">
        <f>IFERROR(INDEX('Chart of Accounts'!$C$5:$C$3000,MATCH(O137&amp;"",'Chart of Accounts'!$A$5:$A$3000,0))&amp;"|"&amp;INDEX('Chart of Accounts'!$D$5:$D$3000,MATCH(O137&amp;"",'Chart of Accounts'!$A$5:$A$3000,0)),"")</f>
        <v/>
      </c>
      <c r="T137" s="23">
        <f>IFERROR(INDEX('Chart of Accounts'!$C$5:$C$3000,MATCH(Q137&amp;"",'Chart of Accounts'!$A$5:$A$3000,0))&amp;"|"&amp;INDEX('Chart of Accounts'!$D$5:$D$3000,MATCH(Q137&amp;"",'Chart of Accounts'!$A$5:$A$3000,0)),"")</f>
        <v/>
      </c>
      <c r="U137" s="23">
        <f>IFERROR(INDEX('Chart of Accounts'!$C$5:$C$3000,MATCH(P137&amp;"",'Chart of Accounts'!$A$5:$A$3000,0))&amp;"|"&amp;INDEX('Chart of Accounts'!$D$5:$D$3000,MATCH(P137&amp;"",'Chart of Accounts'!$A$5:$A$3000,0)),"")</f>
        <v/>
      </c>
      <c r="V137" s="23">
        <f>IFERROR(INDEX('Chart of Accounts'!$C$5:$C$3000,MATCH(R137&amp;"",'Chart of Accounts'!$A$5:$A$3000,0))&amp;"|"&amp;INDEX('Chart of Accounts'!$D$5:$D$3000,MATCH(R137&amp;"",'Chart of Accounts'!$A$5:$A$3000,0)),"")</f>
        <v/>
      </c>
      <c r="W137" s="23">
        <f>IF(LEFT(S137,8)="Revenue|",-N(F137),0)+IF(LEFT(T137,8)="Revenue|",-N(J137),0)+IF(LEFT(U137,8)="Revenue|",N(N137),0)+IF(LEFT(V137,8)="Revenue|",N(M137),0)</f>
        <v/>
      </c>
      <c r="X137" s="23">
        <f>IF(LEFT(S137,5)="COGS|",N(F137),0)+IF(LEFT(T137,5)="COGS|",N(J137),0)+IF(LEFT(U137,5)="COGS|",-N(N137),0)+IF(LEFT(V137,5)="COGS|",-N(M137),0)</f>
        <v/>
      </c>
      <c r="Y137" s="23">
        <f>IF(LEFT(S137,8)="Expense|",N(F137),0)+IF(LEFT(T137,8)="Expense|",N(J137),0)+IF(LEFT(U137,8)="Expense|",-N(N137),0)+IF(LEFT(V137,8)="Expense|",-N(M137),0)</f>
        <v/>
      </c>
      <c r="Z137" s="23">
        <f>IF(ISNUMBER(MATCH(S137,{"Expense|employee","Expense|general_admin","Expense|marketing","Expense|utilities","Expense|other_operating"},0)),N(F137),0)+IF(ISNUMBER(MATCH(T137,{"Expense|employee","Expense|general_admin","Expense|marketing","Expense|utilities","Expense|other_operating"},0)),N(J137),0)+IF(ISNUMBER(MATCH(U137,{"Expense|employee","Expense|general_admin","Expense|marketing","Expense|utilities","Expense|other_operating"},0)),-N(N137),0)+IF(ISNUMBER(MATCH(V137,{"Expense|employee","Expense|general_admin","Expense|marketing","Expense|utilities","Expense|other_operating"},0)),-N(M137),0)</f>
        <v/>
      </c>
      <c r="AA137" s="23">
        <f>IF(S137="Liability|payable",-N(F137),0)+IF(T137="Liability|payable",-N(J137),0)+IF(U137="Liability|payable",N(N137),0)+IF(V137="Liability|payable",N(M137),0)</f>
        <v/>
      </c>
      <c r="AB137" s="23">
        <f>IF(S137="Liability|accrued",-N(F137),0)+IF(T137="Liability|accrued",-N(J137),0)+IF(U137="Liability|accrued",N(N137),0)+IF(V137="Liability|accrued",N(M137),0)</f>
        <v/>
      </c>
      <c r="AC137" s="23">
        <f>IF(AND(N(F137)&lt;&gt;0,S137=""),1,0)+IF(AND(N(J137)&lt;&gt;0,T137=""),1,0)+IF(AND(N(N137)&lt;&gt;0,U137=""),1,0)+IF(AND(N(M137)&lt;&gt;0,V137=""),1,0)</f>
        <v/>
      </c>
    </row>
    <row r="138">
      <c r="A138" s="19" t="n"/>
      <c r="B138" s="14" t="n"/>
      <c r="C138" s="14" t="n"/>
      <c r="D138" s="14" t="n"/>
      <c r="E138" s="14" t="n"/>
      <c r="F138" s="20" t="n"/>
      <c r="G138" s="14" t="n"/>
      <c r="H138" s="14" t="n"/>
      <c r="I138" s="14" t="n"/>
      <c r="J138" s="20" t="n"/>
      <c r="K138" s="14" t="n"/>
      <c r="L138" s="21">
        <f>N(F138)+N(J138)</f>
        <v/>
      </c>
      <c r="M138" s="21">
        <f>IF(K138="",0,L138-ROUND(L138/(1+IFERROR(VLOOKUP(K138,'Tax Codes'!$A$5:$E$300,5,FALSE),0)),2))</f>
        <v/>
      </c>
      <c r="N138" s="21">
        <f>L138-M138</f>
        <v/>
      </c>
      <c r="O138" s="16">
        <f>IF(H138="",INDEX('Chart of Accounts'!$A$5:$A$3000,MATCH("bank",'Chart of Accounts'!$F$5:$F$3000,0)),H138&amp;"")</f>
        <v/>
      </c>
      <c r="P138" s="16">
        <f>IF(I138="",INDEX('Chart of Accounts'!$A$5:$A$3000,MATCH("revenue",'Chart of Accounts'!$F$5:$F$3000,0)),I138&amp;"")</f>
        <v/>
      </c>
      <c r="Q138" s="16">
        <f>INDEX('Chart of Accounts'!$A$5:$A$3000,MATCH("wht_receivable",'Chart of Accounts'!$F$5:$F$3000,0))</f>
        <v/>
      </c>
      <c r="R138" s="16">
        <f>INDEX('Chart of Accounts'!$A$5:$A$3000,MATCH("vat_output",'Chart of Accounts'!$F$5:$F$3000,0))</f>
        <v/>
      </c>
      <c r="S138" s="23">
        <f>IFERROR(INDEX('Chart of Accounts'!$C$5:$C$3000,MATCH(O138&amp;"",'Chart of Accounts'!$A$5:$A$3000,0))&amp;"|"&amp;INDEX('Chart of Accounts'!$D$5:$D$3000,MATCH(O138&amp;"",'Chart of Accounts'!$A$5:$A$3000,0)),"")</f>
        <v/>
      </c>
      <c r="T138" s="23">
        <f>IFERROR(INDEX('Chart of Accounts'!$C$5:$C$3000,MATCH(Q138&amp;"",'Chart of Accounts'!$A$5:$A$3000,0))&amp;"|"&amp;INDEX('Chart of Accounts'!$D$5:$D$3000,MATCH(Q138&amp;"",'Chart of Accounts'!$A$5:$A$3000,0)),"")</f>
        <v/>
      </c>
      <c r="U138" s="23">
        <f>IFERROR(INDEX('Chart of Accounts'!$C$5:$C$3000,MATCH(P138&amp;"",'Chart of Accounts'!$A$5:$A$3000,0))&amp;"|"&amp;INDEX('Chart of Accounts'!$D$5:$D$3000,MATCH(P138&amp;"",'Chart of Accounts'!$A$5:$A$3000,0)),"")</f>
        <v/>
      </c>
      <c r="V138" s="23">
        <f>IFERROR(INDEX('Chart of Accounts'!$C$5:$C$3000,MATCH(R138&amp;"",'Chart of Accounts'!$A$5:$A$3000,0))&amp;"|"&amp;INDEX('Chart of Accounts'!$D$5:$D$3000,MATCH(R138&amp;"",'Chart of Accounts'!$A$5:$A$3000,0)),"")</f>
        <v/>
      </c>
      <c r="W138" s="23">
        <f>IF(LEFT(S138,8)="Revenue|",-N(F138),0)+IF(LEFT(T138,8)="Revenue|",-N(J138),0)+IF(LEFT(U138,8)="Revenue|",N(N138),0)+IF(LEFT(V138,8)="Revenue|",N(M138),0)</f>
        <v/>
      </c>
      <c r="X138" s="23">
        <f>IF(LEFT(S138,5)="COGS|",N(F138),0)+IF(LEFT(T138,5)="COGS|",N(J138),0)+IF(LEFT(U138,5)="COGS|",-N(N138),0)+IF(LEFT(V138,5)="COGS|",-N(M138),0)</f>
        <v/>
      </c>
      <c r="Y138" s="23">
        <f>IF(LEFT(S138,8)="Expense|",N(F138),0)+IF(LEFT(T138,8)="Expense|",N(J138),0)+IF(LEFT(U138,8)="Expense|",-N(N138),0)+IF(LEFT(V138,8)="Expense|",-N(M138),0)</f>
        <v/>
      </c>
      <c r="Z138" s="23">
        <f>IF(ISNUMBER(MATCH(S138,{"Expense|employee","Expense|general_admin","Expense|marketing","Expense|utilities","Expense|other_operating"},0)),N(F138),0)+IF(ISNUMBER(MATCH(T138,{"Expense|employee","Expense|general_admin","Expense|marketing","Expense|utilities","Expense|other_operating"},0)),N(J138),0)+IF(ISNUMBER(MATCH(U138,{"Expense|employee","Expense|general_admin","Expense|marketing","Expense|utilities","Expense|other_operating"},0)),-N(N138),0)+IF(ISNUMBER(MATCH(V138,{"Expense|employee","Expense|general_admin","Expense|marketing","Expense|utilities","Expense|other_operating"},0)),-N(M138),0)</f>
        <v/>
      </c>
      <c r="AA138" s="23">
        <f>IF(S138="Liability|payable",-N(F138),0)+IF(T138="Liability|payable",-N(J138),0)+IF(U138="Liability|payable",N(N138),0)+IF(V138="Liability|payable",N(M138),0)</f>
        <v/>
      </c>
      <c r="AB138" s="23">
        <f>IF(S138="Liability|accrued",-N(F138),0)+IF(T138="Liability|accrued",-N(J138),0)+IF(U138="Liability|accrued",N(N138),0)+IF(V138="Liability|accrued",N(M138),0)</f>
        <v/>
      </c>
      <c r="AC138" s="23">
        <f>IF(AND(N(F138)&lt;&gt;0,S138=""),1,0)+IF(AND(N(J138)&lt;&gt;0,T138=""),1,0)+IF(AND(N(N138)&lt;&gt;0,U138=""),1,0)+IF(AND(N(M138)&lt;&gt;0,V138=""),1,0)</f>
        <v/>
      </c>
    </row>
    <row r="139">
      <c r="A139" s="19" t="n"/>
      <c r="B139" s="14" t="n"/>
      <c r="C139" s="14" t="n"/>
      <c r="D139" s="14" t="n"/>
      <c r="E139" s="14" t="n"/>
      <c r="F139" s="20" t="n"/>
      <c r="G139" s="14" t="n"/>
      <c r="H139" s="14" t="n"/>
      <c r="I139" s="14" t="n"/>
      <c r="J139" s="20" t="n"/>
      <c r="K139" s="14" t="n"/>
      <c r="L139" s="21">
        <f>N(F139)+N(J139)</f>
        <v/>
      </c>
      <c r="M139" s="21">
        <f>IF(K139="",0,L139-ROUND(L139/(1+IFERROR(VLOOKUP(K139,'Tax Codes'!$A$5:$E$300,5,FALSE),0)),2))</f>
        <v/>
      </c>
      <c r="N139" s="21">
        <f>L139-M139</f>
        <v/>
      </c>
      <c r="O139" s="16">
        <f>IF(H139="",INDEX('Chart of Accounts'!$A$5:$A$3000,MATCH("bank",'Chart of Accounts'!$F$5:$F$3000,0)),H139&amp;"")</f>
        <v/>
      </c>
      <c r="P139" s="16">
        <f>IF(I139="",INDEX('Chart of Accounts'!$A$5:$A$3000,MATCH("revenue",'Chart of Accounts'!$F$5:$F$3000,0)),I139&amp;"")</f>
        <v/>
      </c>
      <c r="Q139" s="16">
        <f>INDEX('Chart of Accounts'!$A$5:$A$3000,MATCH("wht_receivable",'Chart of Accounts'!$F$5:$F$3000,0))</f>
        <v/>
      </c>
      <c r="R139" s="16">
        <f>INDEX('Chart of Accounts'!$A$5:$A$3000,MATCH("vat_output",'Chart of Accounts'!$F$5:$F$3000,0))</f>
        <v/>
      </c>
      <c r="S139" s="23">
        <f>IFERROR(INDEX('Chart of Accounts'!$C$5:$C$3000,MATCH(O139&amp;"",'Chart of Accounts'!$A$5:$A$3000,0))&amp;"|"&amp;INDEX('Chart of Accounts'!$D$5:$D$3000,MATCH(O139&amp;"",'Chart of Accounts'!$A$5:$A$3000,0)),"")</f>
        <v/>
      </c>
      <c r="T139" s="23">
        <f>IFERROR(INDEX('Chart of Accounts'!$C$5:$C$3000,MATCH(Q139&amp;"",'Chart of Accounts'!$A$5:$A$3000,0))&amp;"|"&amp;INDEX('Chart of Accounts'!$D$5:$D$3000,MATCH(Q139&amp;"",'Chart of Accounts'!$A$5:$A$3000,0)),"")</f>
        <v/>
      </c>
      <c r="U139" s="23">
        <f>IFERROR(INDEX('Chart of Accounts'!$C$5:$C$3000,MATCH(P139&amp;"",'Chart of Accounts'!$A$5:$A$3000,0))&amp;"|"&amp;INDEX('Chart of Accounts'!$D$5:$D$3000,MATCH(P139&amp;"",'Chart of Accounts'!$A$5:$A$3000,0)),"")</f>
        <v/>
      </c>
      <c r="V139" s="23">
        <f>IFERROR(INDEX('Chart of Accounts'!$C$5:$C$3000,MATCH(R139&amp;"",'Chart of Accounts'!$A$5:$A$3000,0))&amp;"|"&amp;INDEX('Chart of Accounts'!$D$5:$D$3000,MATCH(R139&amp;"",'Chart of Accounts'!$A$5:$A$3000,0)),"")</f>
        <v/>
      </c>
      <c r="W139" s="23">
        <f>IF(LEFT(S139,8)="Revenue|",-N(F139),0)+IF(LEFT(T139,8)="Revenue|",-N(J139),0)+IF(LEFT(U139,8)="Revenue|",N(N139),0)+IF(LEFT(V139,8)="Revenue|",N(M139),0)</f>
        <v/>
      </c>
      <c r="X139" s="23">
        <f>IF(LEFT(S139,5)="COGS|",N(F139),0)+IF(LEFT(T139,5)="COGS|",N(J139),0)+IF(LEFT(U139,5)="COGS|",-N(N139),0)+IF(LEFT(V139,5)="COGS|",-N(M139),0)</f>
        <v/>
      </c>
      <c r="Y139" s="23">
        <f>IF(LEFT(S139,8)="Expense|",N(F139),0)+IF(LEFT(T139,8)="Expense|",N(J139),0)+IF(LEFT(U139,8)="Expense|",-N(N139),0)+IF(LEFT(V139,8)="Expense|",-N(M139),0)</f>
        <v/>
      </c>
      <c r="Z139" s="23">
        <f>IF(ISNUMBER(MATCH(S139,{"Expense|employee","Expense|general_admin","Expense|marketing","Expense|utilities","Expense|other_operating"},0)),N(F139),0)+IF(ISNUMBER(MATCH(T139,{"Expense|employee","Expense|general_admin","Expense|marketing","Expense|utilities","Expense|other_operating"},0)),N(J139),0)+IF(ISNUMBER(MATCH(U139,{"Expense|employee","Expense|general_admin","Expense|marketing","Expense|utilities","Expense|other_operating"},0)),-N(N139),0)+IF(ISNUMBER(MATCH(V139,{"Expense|employee","Expense|general_admin","Expense|marketing","Expense|utilities","Expense|other_operating"},0)),-N(M139),0)</f>
        <v/>
      </c>
      <c r="AA139" s="23">
        <f>IF(S139="Liability|payable",-N(F139),0)+IF(T139="Liability|payable",-N(J139),0)+IF(U139="Liability|payable",N(N139),0)+IF(V139="Liability|payable",N(M139),0)</f>
        <v/>
      </c>
      <c r="AB139" s="23">
        <f>IF(S139="Liability|accrued",-N(F139),0)+IF(T139="Liability|accrued",-N(J139),0)+IF(U139="Liability|accrued",N(N139),0)+IF(V139="Liability|accrued",N(M139),0)</f>
        <v/>
      </c>
      <c r="AC139" s="23">
        <f>IF(AND(N(F139)&lt;&gt;0,S139=""),1,0)+IF(AND(N(J139)&lt;&gt;0,T139=""),1,0)+IF(AND(N(N139)&lt;&gt;0,U139=""),1,0)+IF(AND(N(M139)&lt;&gt;0,V139=""),1,0)</f>
        <v/>
      </c>
    </row>
    <row r="140">
      <c r="A140" s="19" t="n"/>
      <c r="B140" s="14" t="n"/>
      <c r="C140" s="14" t="n"/>
      <c r="D140" s="14" t="n"/>
      <c r="E140" s="14" t="n"/>
      <c r="F140" s="20" t="n"/>
      <c r="G140" s="14" t="n"/>
      <c r="H140" s="14" t="n"/>
      <c r="I140" s="14" t="n"/>
      <c r="J140" s="20" t="n"/>
      <c r="K140" s="14" t="n"/>
      <c r="L140" s="21">
        <f>N(F140)+N(J140)</f>
        <v/>
      </c>
      <c r="M140" s="21">
        <f>IF(K140="",0,L140-ROUND(L140/(1+IFERROR(VLOOKUP(K140,'Tax Codes'!$A$5:$E$300,5,FALSE),0)),2))</f>
        <v/>
      </c>
      <c r="N140" s="21">
        <f>L140-M140</f>
        <v/>
      </c>
      <c r="O140" s="16">
        <f>IF(H140="",INDEX('Chart of Accounts'!$A$5:$A$3000,MATCH("bank",'Chart of Accounts'!$F$5:$F$3000,0)),H140&amp;"")</f>
        <v/>
      </c>
      <c r="P140" s="16">
        <f>IF(I140="",INDEX('Chart of Accounts'!$A$5:$A$3000,MATCH("revenue",'Chart of Accounts'!$F$5:$F$3000,0)),I140&amp;"")</f>
        <v/>
      </c>
      <c r="Q140" s="16">
        <f>INDEX('Chart of Accounts'!$A$5:$A$3000,MATCH("wht_receivable",'Chart of Accounts'!$F$5:$F$3000,0))</f>
        <v/>
      </c>
      <c r="R140" s="16">
        <f>INDEX('Chart of Accounts'!$A$5:$A$3000,MATCH("vat_output",'Chart of Accounts'!$F$5:$F$3000,0))</f>
        <v/>
      </c>
      <c r="S140" s="23">
        <f>IFERROR(INDEX('Chart of Accounts'!$C$5:$C$3000,MATCH(O140&amp;"",'Chart of Accounts'!$A$5:$A$3000,0))&amp;"|"&amp;INDEX('Chart of Accounts'!$D$5:$D$3000,MATCH(O140&amp;"",'Chart of Accounts'!$A$5:$A$3000,0)),"")</f>
        <v/>
      </c>
      <c r="T140" s="23">
        <f>IFERROR(INDEX('Chart of Accounts'!$C$5:$C$3000,MATCH(Q140&amp;"",'Chart of Accounts'!$A$5:$A$3000,0))&amp;"|"&amp;INDEX('Chart of Accounts'!$D$5:$D$3000,MATCH(Q140&amp;"",'Chart of Accounts'!$A$5:$A$3000,0)),"")</f>
        <v/>
      </c>
      <c r="U140" s="23">
        <f>IFERROR(INDEX('Chart of Accounts'!$C$5:$C$3000,MATCH(P140&amp;"",'Chart of Accounts'!$A$5:$A$3000,0))&amp;"|"&amp;INDEX('Chart of Accounts'!$D$5:$D$3000,MATCH(P140&amp;"",'Chart of Accounts'!$A$5:$A$3000,0)),"")</f>
        <v/>
      </c>
      <c r="V140" s="23">
        <f>IFERROR(INDEX('Chart of Accounts'!$C$5:$C$3000,MATCH(R140&amp;"",'Chart of Accounts'!$A$5:$A$3000,0))&amp;"|"&amp;INDEX('Chart of Accounts'!$D$5:$D$3000,MATCH(R140&amp;"",'Chart of Accounts'!$A$5:$A$3000,0)),"")</f>
        <v/>
      </c>
      <c r="W140" s="23">
        <f>IF(LEFT(S140,8)="Revenue|",-N(F140),0)+IF(LEFT(T140,8)="Revenue|",-N(J140),0)+IF(LEFT(U140,8)="Revenue|",N(N140),0)+IF(LEFT(V140,8)="Revenue|",N(M140),0)</f>
        <v/>
      </c>
      <c r="X140" s="23">
        <f>IF(LEFT(S140,5)="COGS|",N(F140),0)+IF(LEFT(T140,5)="COGS|",N(J140),0)+IF(LEFT(U140,5)="COGS|",-N(N140),0)+IF(LEFT(V140,5)="COGS|",-N(M140),0)</f>
        <v/>
      </c>
      <c r="Y140" s="23">
        <f>IF(LEFT(S140,8)="Expense|",N(F140),0)+IF(LEFT(T140,8)="Expense|",N(J140),0)+IF(LEFT(U140,8)="Expense|",-N(N140),0)+IF(LEFT(V140,8)="Expense|",-N(M140),0)</f>
        <v/>
      </c>
      <c r="Z140" s="23">
        <f>IF(ISNUMBER(MATCH(S140,{"Expense|employee","Expense|general_admin","Expense|marketing","Expense|utilities","Expense|other_operating"},0)),N(F140),0)+IF(ISNUMBER(MATCH(T140,{"Expense|employee","Expense|general_admin","Expense|marketing","Expense|utilities","Expense|other_operating"},0)),N(J140),0)+IF(ISNUMBER(MATCH(U140,{"Expense|employee","Expense|general_admin","Expense|marketing","Expense|utilities","Expense|other_operating"},0)),-N(N140),0)+IF(ISNUMBER(MATCH(V140,{"Expense|employee","Expense|general_admin","Expense|marketing","Expense|utilities","Expense|other_operating"},0)),-N(M140),0)</f>
        <v/>
      </c>
      <c r="AA140" s="23">
        <f>IF(S140="Liability|payable",-N(F140),0)+IF(T140="Liability|payable",-N(J140),0)+IF(U140="Liability|payable",N(N140),0)+IF(V140="Liability|payable",N(M140),0)</f>
        <v/>
      </c>
      <c r="AB140" s="23">
        <f>IF(S140="Liability|accrued",-N(F140),0)+IF(T140="Liability|accrued",-N(J140),0)+IF(U140="Liability|accrued",N(N140),0)+IF(V140="Liability|accrued",N(M140),0)</f>
        <v/>
      </c>
      <c r="AC140" s="23">
        <f>IF(AND(N(F140)&lt;&gt;0,S140=""),1,0)+IF(AND(N(J140)&lt;&gt;0,T140=""),1,0)+IF(AND(N(N140)&lt;&gt;0,U140=""),1,0)+IF(AND(N(M140)&lt;&gt;0,V140=""),1,0)</f>
        <v/>
      </c>
    </row>
    <row r="141">
      <c r="A141" s="19" t="n"/>
      <c r="B141" s="14" t="n"/>
      <c r="C141" s="14" t="n"/>
      <c r="D141" s="14" t="n"/>
      <c r="E141" s="14" t="n"/>
      <c r="F141" s="20" t="n"/>
      <c r="G141" s="14" t="n"/>
      <c r="H141" s="14" t="n"/>
      <c r="I141" s="14" t="n"/>
      <c r="J141" s="20" t="n"/>
      <c r="K141" s="14" t="n"/>
      <c r="L141" s="21">
        <f>N(F141)+N(J141)</f>
        <v/>
      </c>
      <c r="M141" s="21">
        <f>IF(K141="",0,L141-ROUND(L141/(1+IFERROR(VLOOKUP(K141,'Tax Codes'!$A$5:$E$300,5,FALSE),0)),2))</f>
        <v/>
      </c>
      <c r="N141" s="21">
        <f>L141-M141</f>
        <v/>
      </c>
      <c r="O141" s="16">
        <f>IF(H141="",INDEX('Chart of Accounts'!$A$5:$A$3000,MATCH("bank",'Chart of Accounts'!$F$5:$F$3000,0)),H141&amp;"")</f>
        <v/>
      </c>
      <c r="P141" s="16">
        <f>IF(I141="",INDEX('Chart of Accounts'!$A$5:$A$3000,MATCH("revenue",'Chart of Accounts'!$F$5:$F$3000,0)),I141&amp;"")</f>
        <v/>
      </c>
      <c r="Q141" s="16">
        <f>INDEX('Chart of Accounts'!$A$5:$A$3000,MATCH("wht_receivable",'Chart of Accounts'!$F$5:$F$3000,0))</f>
        <v/>
      </c>
      <c r="R141" s="16">
        <f>INDEX('Chart of Accounts'!$A$5:$A$3000,MATCH("vat_output",'Chart of Accounts'!$F$5:$F$3000,0))</f>
        <v/>
      </c>
      <c r="S141" s="23">
        <f>IFERROR(INDEX('Chart of Accounts'!$C$5:$C$3000,MATCH(O141&amp;"",'Chart of Accounts'!$A$5:$A$3000,0))&amp;"|"&amp;INDEX('Chart of Accounts'!$D$5:$D$3000,MATCH(O141&amp;"",'Chart of Accounts'!$A$5:$A$3000,0)),"")</f>
        <v/>
      </c>
      <c r="T141" s="23">
        <f>IFERROR(INDEX('Chart of Accounts'!$C$5:$C$3000,MATCH(Q141&amp;"",'Chart of Accounts'!$A$5:$A$3000,0))&amp;"|"&amp;INDEX('Chart of Accounts'!$D$5:$D$3000,MATCH(Q141&amp;"",'Chart of Accounts'!$A$5:$A$3000,0)),"")</f>
        <v/>
      </c>
      <c r="U141" s="23">
        <f>IFERROR(INDEX('Chart of Accounts'!$C$5:$C$3000,MATCH(P141&amp;"",'Chart of Accounts'!$A$5:$A$3000,0))&amp;"|"&amp;INDEX('Chart of Accounts'!$D$5:$D$3000,MATCH(P141&amp;"",'Chart of Accounts'!$A$5:$A$3000,0)),"")</f>
        <v/>
      </c>
      <c r="V141" s="23">
        <f>IFERROR(INDEX('Chart of Accounts'!$C$5:$C$3000,MATCH(R141&amp;"",'Chart of Accounts'!$A$5:$A$3000,0))&amp;"|"&amp;INDEX('Chart of Accounts'!$D$5:$D$3000,MATCH(R141&amp;"",'Chart of Accounts'!$A$5:$A$3000,0)),"")</f>
        <v/>
      </c>
      <c r="W141" s="23">
        <f>IF(LEFT(S141,8)="Revenue|",-N(F141),0)+IF(LEFT(T141,8)="Revenue|",-N(J141),0)+IF(LEFT(U141,8)="Revenue|",N(N141),0)+IF(LEFT(V141,8)="Revenue|",N(M141),0)</f>
        <v/>
      </c>
      <c r="X141" s="23">
        <f>IF(LEFT(S141,5)="COGS|",N(F141),0)+IF(LEFT(T141,5)="COGS|",N(J141),0)+IF(LEFT(U141,5)="COGS|",-N(N141),0)+IF(LEFT(V141,5)="COGS|",-N(M141),0)</f>
        <v/>
      </c>
      <c r="Y141" s="23">
        <f>IF(LEFT(S141,8)="Expense|",N(F141),0)+IF(LEFT(T141,8)="Expense|",N(J141),0)+IF(LEFT(U141,8)="Expense|",-N(N141),0)+IF(LEFT(V141,8)="Expense|",-N(M141),0)</f>
        <v/>
      </c>
      <c r="Z141" s="23">
        <f>IF(ISNUMBER(MATCH(S141,{"Expense|employee","Expense|general_admin","Expense|marketing","Expense|utilities","Expense|other_operating"},0)),N(F141),0)+IF(ISNUMBER(MATCH(T141,{"Expense|employee","Expense|general_admin","Expense|marketing","Expense|utilities","Expense|other_operating"},0)),N(J141),0)+IF(ISNUMBER(MATCH(U141,{"Expense|employee","Expense|general_admin","Expense|marketing","Expense|utilities","Expense|other_operating"},0)),-N(N141),0)+IF(ISNUMBER(MATCH(V141,{"Expense|employee","Expense|general_admin","Expense|marketing","Expense|utilities","Expense|other_operating"},0)),-N(M141),0)</f>
        <v/>
      </c>
      <c r="AA141" s="23">
        <f>IF(S141="Liability|payable",-N(F141),0)+IF(T141="Liability|payable",-N(J141),0)+IF(U141="Liability|payable",N(N141),0)+IF(V141="Liability|payable",N(M141),0)</f>
        <v/>
      </c>
      <c r="AB141" s="23">
        <f>IF(S141="Liability|accrued",-N(F141),0)+IF(T141="Liability|accrued",-N(J141),0)+IF(U141="Liability|accrued",N(N141),0)+IF(V141="Liability|accrued",N(M141),0)</f>
        <v/>
      </c>
      <c r="AC141" s="23">
        <f>IF(AND(N(F141)&lt;&gt;0,S141=""),1,0)+IF(AND(N(J141)&lt;&gt;0,T141=""),1,0)+IF(AND(N(N141)&lt;&gt;0,U141=""),1,0)+IF(AND(N(M141)&lt;&gt;0,V141=""),1,0)</f>
        <v/>
      </c>
    </row>
    <row r="142">
      <c r="A142" s="19" t="n"/>
      <c r="B142" s="14" t="n"/>
      <c r="C142" s="14" t="n"/>
      <c r="D142" s="14" t="n"/>
      <c r="E142" s="14" t="n"/>
      <c r="F142" s="20" t="n"/>
      <c r="G142" s="14" t="n"/>
      <c r="H142" s="14" t="n"/>
      <c r="I142" s="14" t="n"/>
      <c r="J142" s="20" t="n"/>
      <c r="K142" s="14" t="n"/>
      <c r="L142" s="21">
        <f>N(F142)+N(J142)</f>
        <v/>
      </c>
      <c r="M142" s="21">
        <f>IF(K142="",0,L142-ROUND(L142/(1+IFERROR(VLOOKUP(K142,'Tax Codes'!$A$5:$E$300,5,FALSE),0)),2))</f>
        <v/>
      </c>
      <c r="N142" s="21">
        <f>L142-M142</f>
        <v/>
      </c>
      <c r="O142" s="16">
        <f>IF(H142="",INDEX('Chart of Accounts'!$A$5:$A$3000,MATCH("bank",'Chart of Accounts'!$F$5:$F$3000,0)),H142&amp;"")</f>
        <v/>
      </c>
      <c r="P142" s="16">
        <f>IF(I142="",INDEX('Chart of Accounts'!$A$5:$A$3000,MATCH("revenue",'Chart of Accounts'!$F$5:$F$3000,0)),I142&amp;"")</f>
        <v/>
      </c>
      <c r="Q142" s="16">
        <f>INDEX('Chart of Accounts'!$A$5:$A$3000,MATCH("wht_receivable",'Chart of Accounts'!$F$5:$F$3000,0))</f>
        <v/>
      </c>
      <c r="R142" s="16">
        <f>INDEX('Chart of Accounts'!$A$5:$A$3000,MATCH("vat_output",'Chart of Accounts'!$F$5:$F$3000,0))</f>
        <v/>
      </c>
      <c r="S142" s="23">
        <f>IFERROR(INDEX('Chart of Accounts'!$C$5:$C$3000,MATCH(O142&amp;"",'Chart of Accounts'!$A$5:$A$3000,0))&amp;"|"&amp;INDEX('Chart of Accounts'!$D$5:$D$3000,MATCH(O142&amp;"",'Chart of Accounts'!$A$5:$A$3000,0)),"")</f>
        <v/>
      </c>
      <c r="T142" s="23">
        <f>IFERROR(INDEX('Chart of Accounts'!$C$5:$C$3000,MATCH(Q142&amp;"",'Chart of Accounts'!$A$5:$A$3000,0))&amp;"|"&amp;INDEX('Chart of Accounts'!$D$5:$D$3000,MATCH(Q142&amp;"",'Chart of Accounts'!$A$5:$A$3000,0)),"")</f>
        <v/>
      </c>
      <c r="U142" s="23">
        <f>IFERROR(INDEX('Chart of Accounts'!$C$5:$C$3000,MATCH(P142&amp;"",'Chart of Accounts'!$A$5:$A$3000,0))&amp;"|"&amp;INDEX('Chart of Accounts'!$D$5:$D$3000,MATCH(P142&amp;"",'Chart of Accounts'!$A$5:$A$3000,0)),"")</f>
        <v/>
      </c>
      <c r="V142" s="23">
        <f>IFERROR(INDEX('Chart of Accounts'!$C$5:$C$3000,MATCH(R142&amp;"",'Chart of Accounts'!$A$5:$A$3000,0))&amp;"|"&amp;INDEX('Chart of Accounts'!$D$5:$D$3000,MATCH(R142&amp;"",'Chart of Accounts'!$A$5:$A$3000,0)),"")</f>
        <v/>
      </c>
      <c r="W142" s="23">
        <f>IF(LEFT(S142,8)="Revenue|",-N(F142),0)+IF(LEFT(T142,8)="Revenue|",-N(J142),0)+IF(LEFT(U142,8)="Revenue|",N(N142),0)+IF(LEFT(V142,8)="Revenue|",N(M142),0)</f>
        <v/>
      </c>
      <c r="X142" s="23">
        <f>IF(LEFT(S142,5)="COGS|",N(F142),0)+IF(LEFT(T142,5)="COGS|",N(J142),0)+IF(LEFT(U142,5)="COGS|",-N(N142),0)+IF(LEFT(V142,5)="COGS|",-N(M142),0)</f>
        <v/>
      </c>
      <c r="Y142" s="23">
        <f>IF(LEFT(S142,8)="Expense|",N(F142),0)+IF(LEFT(T142,8)="Expense|",N(J142),0)+IF(LEFT(U142,8)="Expense|",-N(N142),0)+IF(LEFT(V142,8)="Expense|",-N(M142),0)</f>
        <v/>
      </c>
      <c r="Z142" s="23">
        <f>IF(ISNUMBER(MATCH(S142,{"Expense|employee","Expense|general_admin","Expense|marketing","Expense|utilities","Expense|other_operating"},0)),N(F142),0)+IF(ISNUMBER(MATCH(T142,{"Expense|employee","Expense|general_admin","Expense|marketing","Expense|utilities","Expense|other_operating"},0)),N(J142),0)+IF(ISNUMBER(MATCH(U142,{"Expense|employee","Expense|general_admin","Expense|marketing","Expense|utilities","Expense|other_operating"},0)),-N(N142),0)+IF(ISNUMBER(MATCH(V142,{"Expense|employee","Expense|general_admin","Expense|marketing","Expense|utilities","Expense|other_operating"},0)),-N(M142),0)</f>
        <v/>
      </c>
      <c r="AA142" s="23">
        <f>IF(S142="Liability|payable",-N(F142),0)+IF(T142="Liability|payable",-N(J142),0)+IF(U142="Liability|payable",N(N142),0)+IF(V142="Liability|payable",N(M142),0)</f>
        <v/>
      </c>
      <c r="AB142" s="23">
        <f>IF(S142="Liability|accrued",-N(F142),0)+IF(T142="Liability|accrued",-N(J142),0)+IF(U142="Liability|accrued",N(N142),0)+IF(V142="Liability|accrued",N(M142),0)</f>
        <v/>
      </c>
      <c r="AC142" s="23">
        <f>IF(AND(N(F142)&lt;&gt;0,S142=""),1,0)+IF(AND(N(J142)&lt;&gt;0,T142=""),1,0)+IF(AND(N(N142)&lt;&gt;0,U142=""),1,0)+IF(AND(N(M142)&lt;&gt;0,V142=""),1,0)</f>
        <v/>
      </c>
    </row>
    <row r="143">
      <c r="A143" s="19" t="n"/>
      <c r="B143" s="14" t="n"/>
      <c r="C143" s="14" t="n"/>
      <c r="D143" s="14" t="n"/>
      <c r="E143" s="14" t="n"/>
      <c r="F143" s="20" t="n"/>
      <c r="G143" s="14" t="n"/>
      <c r="H143" s="14" t="n"/>
      <c r="I143" s="14" t="n"/>
      <c r="J143" s="20" t="n"/>
      <c r="K143" s="14" t="n"/>
      <c r="L143" s="21">
        <f>N(F143)+N(J143)</f>
        <v/>
      </c>
      <c r="M143" s="21">
        <f>IF(K143="",0,L143-ROUND(L143/(1+IFERROR(VLOOKUP(K143,'Tax Codes'!$A$5:$E$300,5,FALSE),0)),2))</f>
        <v/>
      </c>
      <c r="N143" s="21">
        <f>L143-M143</f>
        <v/>
      </c>
      <c r="O143" s="16">
        <f>IF(H143="",INDEX('Chart of Accounts'!$A$5:$A$3000,MATCH("bank",'Chart of Accounts'!$F$5:$F$3000,0)),H143&amp;"")</f>
        <v/>
      </c>
      <c r="P143" s="16">
        <f>IF(I143="",INDEX('Chart of Accounts'!$A$5:$A$3000,MATCH("revenue",'Chart of Accounts'!$F$5:$F$3000,0)),I143&amp;"")</f>
        <v/>
      </c>
      <c r="Q143" s="16">
        <f>INDEX('Chart of Accounts'!$A$5:$A$3000,MATCH("wht_receivable",'Chart of Accounts'!$F$5:$F$3000,0))</f>
        <v/>
      </c>
      <c r="R143" s="16">
        <f>INDEX('Chart of Accounts'!$A$5:$A$3000,MATCH("vat_output",'Chart of Accounts'!$F$5:$F$3000,0))</f>
        <v/>
      </c>
      <c r="S143" s="23">
        <f>IFERROR(INDEX('Chart of Accounts'!$C$5:$C$3000,MATCH(O143&amp;"",'Chart of Accounts'!$A$5:$A$3000,0))&amp;"|"&amp;INDEX('Chart of Accounts'!$D$5:$D$3000,MATCH(O143&amp;"",'Chart of Accounts'!$A$5:$A$3000,0)),"")</f>
        <v/>
      </c>
      <c r="T143" s="23">
        <f>IFERROR(INDEX('Chart of Accounts'!$C$5:$C$3000,MATCH(Q143&amp;"",'Chart of Accounts'!$A$5:$A$3000,0))&amp;"|"&amp;INDEX('Chart of Accounts'!$D$5:$D$3000,MATCH(Q143&amp;"",'Chart of Accounts'!$A$5:$A$3000,0)),"")</f>
        <v/>
      </c>
      <c r="U143" s="23">
        <f>IFERROR(INDEX('Chart of Accounts'!$C$5:$C$3000,MATCH(P143&amp;"",'Chart of Accounts'!$A$5:$A$3000,0))&amp;"|"&amp;INDEX('Chart of Accounts'!$D$5:$D$3000,MATCH(P143&amp;"",'Chart of Accounts'!$A$5:$A$3000,0)),"")</f>
        <v/>
      </c>
      <c r="V143" s="23">
        <f>IFERROR(INDEX('Chart of Accounts'!$C$5:$C$3000,MATCH(R143&amp;"",'Chart of Accounts'!$A$5:$A$3000,0))&amp;"|"&amp;INDEX('Chart of Accounts'!$D$5:$D$3000,MATCH(R143&amp;"",'Chart of Accounts'!$A$5:$A$3000,0)),"")</f>
        <v/>
      </c>
      <c r="W143" s="23">
        <f>IF(LEFT(S143,8)="Revenue|",-N(F143),0)+IF(LEFT(T143,8)="Revenue|",-N(J143),0)+IF(LEFT(U143,8)="Revenue|",N(N143),0)+IF(LEFT(V143,8)="Revenue|",N(M143),0)</f>
        <v/>
      </c>
      <c r="X143" s="23">
        <f>IF(LEFT(S143,5)="COGS|",N(F143),0)+IF(LEFT(T143,5)="COGS|",N(J143),0)+IF(LEFT(U143,5)="COGS|",-N(N143),0)+IF(LEFT(V143,5)="COGS|",-N(M143),0)</f>
        <v/>
      </c>
      <c r="Y143" s="23">
        <f>IF(LEFT(S143,8)="Expense|",N(F143),0)+IF(LEFT(T143,8)="Expense|",N(J143),0)+IF(LEFT(U143,8)="Expense|",-N(N143),0)+IF(LEFT(V143,8)="Expense|",-N(M143),0)</f>
        <v/>
      </c>
      <c r="Z143" s="23">
        <f>IF(ISNUMBER(MATCH(S143,{"Expense|employee","Expense|general_admin","Expense|marketing","Expense|utilities","Expense|other_operating"},0)),N(F143),0)+IF(ISNUMBER(MATCH(T143,{"Expense|employee","Expense|general_admin","Expense|marketing","Expense|utilities","Expense|other_operating"},0)),N(J143),0)+IF(ISNUMBER(MATCH(U143,{"Expense|employee","Expense|general_admin","Expense|marketing","Expense|utilities","Expense|other_operating"},0)),-N(N143),0)+IF(ISNUMBER(MATCH(V143,{"Expense|employee","Expense|general_admin","Expense|marketing","Expense|utilities","Expense|other_operating"},0)),-N(M143),0)</f>
        <v/>
      </c>
      <c r="AA143" s="23">
        <f>IF(S143="Liability|payable",-N(F143),0)+IF(T143="Liability|payable",-N(J143),0)+IF(U143="Liability|payable",N(N143),0)+IF(V143="Liability|payable",N(M143),0)</f>
        <v/>
      </c>
      <c r="AB143" s="23">
        <f>IF(S143="Liability|accrued",-N(F143),0)+IF(T143="Liability|accrued",-N(J143),0)+IF(U143="Liability|accrued",N(N143),0)+IF(V143="Liability|accrued",N(M143),0)</f>
        <v/>
      </c>
      <c r="AC143" s="23">
        <f>IF(AND(N(F143)&lt;&gt;0,S143=""),1,0)+IF(AND(N(J143)&lt;&gt;0,T143=""),1,0)+IF(AND(N(N143)&lt;&gt;0,U143=""),1,0)+IF(AND(N(M143)&lt;&gt;0,V143=""),1,0)</f>
        <v/>
      </c>
    </row>
    <row r="144">
      <c r="A144" s="19" t="n"/>
      <c r="B144" s="14" t="n"/>
      <c r="C144" s="14" t="n"/>
      <c r="D144" s="14" t="n"/>
      <c r="E144" s="14" t="n"/>
      <c r="F144" s="20" t="n"/>
      <c r="G144" s="14" t="n"/>
      <c r="H144" s="14" t="n"/>
      <c r="I144" s="14" t="n"/>
      <c r="J144" s="20" t="n"/>
      <c r="K144" s="14" t="n"/>
      <c r="L144" s="21">
        <f>N(F144)+N(J144)</f>
        <v/>
      </c>
      <c r="M144" s="21">
        <f>IF(K144="",0,L144-ROUND(L144/(1+IFERROR(VLOOKUP(K144,'Tax Codes'!$A$5:$E$300,5,FALSE),0)),2))</f>
        <v/>
      </c>
      <c r="N144" s="21">
        <f>L144-M144</f>
        <v/>
      </c>
      <c r="O144" s="16">
        <f>IF(H144="",INDEX('Chart of Accounts'!$A$5:$A$3000,MATCH("bank",'Chart of Accounts'!$F$5:$F$3000,0)),H144&amp;"")</f>
        <v/>
      </c>
      <c r="P144" s="16">
        <f>IF(I144="",INDEX('Chart of Accounts'!$A$5:$A$3000,MATCH("revenue",'Chart of Accounts'!$F$5:$F$3000,0)),I144&amp;"")</f>
        <v/>
      </c>
      <c r="Q144" s="16">
        <f>INDEX('Chart of Accounts'!$A$5:$A$3000,MATCH("wht_receivable",'Chart of Accounts'!$F$5:$F$3000,0))</f>
        <v/>
      </c>
      <c r="R144" s="16">
        <f>INDEX('Chart of Accounts'!$A$5:$A$3000,MATCH("vat_output",'Chart of Accounts'!$F$5:$F$3000,0))</f>
        <v/>
      </c>
      <c r="S144" s="23">
        <f>IFERROR(INDEX('Chart of Accounts'!$C$5:$C$3000,MATCH(O144&amp;"",'Chart of Accounts'!$A$5:$A$3000,0))&amp;"|"&amp;INDEX('Chart of Accounts'!$D$5:$D$3000,MATCH(O144&amp;"",'Chart of Accounts'!$A$5:$A$3000,0)),"")</f>
        <v/>
      </c>
      <c r="T144" s="23">
        <f>IFERROR(INDEX('Chart of Accounts'!$C$5:$C$3000,MATCH(Q144&amp;"",'Chart of Accounts'!$A$5:$A$3000,0))&amp;"|"&amp;INDEX('Chart of Accounts'!$D$5:$D$3000,MATCH(Q144&amp;"",'Chart of Accounts'!$A$5:$A$3000,0)),"")</f>
        <v/>
      </c>
      <c r="U144" s="23">
        <f>IFERROR(INDEX('Chart of Accounts'!$C$5:$C$3000,MATCH(P144&amp;"",'Chart of Accounts'!$A$5:$A$3000,0))&amp;"|"&amp;INDEX('Chart of Accounts'!$D$5:$D$3000,MATCH(P144&amp;"",'Chart of Accounts'!$A$5:$A$3000,0)),"")</f>
        <v/>
      </c>
      <c r="V144" s="23">
        <f>IFERROR(INDEX('Chart of Accounts'!$C$5:$C$3000,MATCH(R144&amp;"",'Chart of Accounts'!$A$5:$A$3000,0))&amp;"|"&amp;INDEX('Chart of Accounts'!$D$5:$D$3000,MATCH(R144&amp;"",'Chart of Accounts'!$A$5:$A$3000,0)),"")</f>
        <v/>
      </c>
      <c r="W144" s="23">
        <f>IF(LEFT(S144,8)="Revenue|",-N(F144),0)+IF(LEFT(T144,8)="Revenue|",-N(J144),0)+IF(LEFT(U144,8)="Revenue|",N(N144),0)+IF(LEFT(V144,8)="Revenue|",N(M144),0)</f>
        <v/>
      </c>
      <c r="X144" s="23">
        <f>IF(LEFT(S144,5)="COGS|",N(F144),0)+IF(LEFT(T144,5)="COGS|",N(J144),0)+IF(LEFT(U144,5)="COGS|",-N(N144),0)+IF(LEFT(V144,5)="COGS|",-N(M144),0)</f>
        <v/>
      </c>
      <c r="Y144" s="23">
        <f>IF(LEFT(S144,8)="Expense|",N(F144),0)+IF(LEFT(T144,8)="Expense|",N(J144),0)+IF(LEFT(U144,8)="Expense|",-N(N144),0)+IF(LEFT(V144,8)="Expense|",-N(M144),0)</f>
        <v/>
      </c>
      <c r="Z144" s="23">
        <f>IF(ISNUMBER(MATCH(S144,{"Expense|employee","Expense|general_admin","Expense|marketing","Expense|utilities","Expense|other_operating"},0)),N(F144),0)+IF(ISNUMBER(MATCH(T144,{"Expense|employee","Expense|general_admin","Expense|marketing","Expense|utilities","Expense|other_operating"},0)),N(J144),0)+IF(ISNUMBER(MATCH(U144,{"Expense|employee","Expense|general_admin","Expense|marketing","Expense|utilities","Expense|other_operating"},0)),-N(N144),0)+IF(ISNUMBER(MATCH(V144,{"Expense|employee","Expense|general_admin","Expense|marketing","Expense|utilities","Expense|other_operating"},0)),-N(M144),0)</f>
        <v/>
      </c>
      <c r="AA144" s="23">
        <f>IF(S144="Liability|payable",-N(F144),0)+IF(T144="Liability|payable",-N(J144),0)+IF(U144="Liability|payable",N(N144),0)+IF(V144="Liability|payable",N(M144),0)</f>
        <v/>
      </c>
      <c r="AB144" s="23">
        <f>IF(S144="Liability|accrued",-N(F144),0)+IF(T144="Liability|accrued",-N(J144),0)+IF(U144="Liability|accrued",N(N144),0)+IF(V144="Liability|accrued",N(M144),0)</f>
        <v/>
      </c>
      <c r="AC144" s="23">
        <f>IF(AND(N(F144)&lt;&gt;0,S144=""),1,0)+IF(AND(N(J144)&lt;&gt;0,T144=""),1,0)+IF(AND(N(N144)&lt;&gt;0,U144=""),1,0)+IF(AND(N(M144)&lt;&gt;0,V144=""),1,0)</f>
        <v/>
      </c>
    </row>
    <row r="145">
      <c r="A145" s="19" t="n"/>
      <c r="B145" s="14" t="n"/>
      <c r="C145" s="14" t="n"/>
      <c r="D145" s="14" t="n"/>
      <c r="E145" s="14" t="n"/>
      <c r="F145" s="20" t="n"/>
      <c r="G145" s="14" t="n"/>
      <c r="H145" s="14" t="n"/>
      <c r="I145" s="14" t="n"/>
      <c r="J145" s="20" t="n"/>
      <c r="K145" s="14" t="n"/>
      <c r="L145" s="21">
        <f>N(F145)+N(J145)</f>
        <v/>
      </c>
      <c r="M145" s="21">
        <f>IF(K145="",0,L145-ROUND(L145/(1+IFERROR(VLOOKUP(K145,'Tax Codes'!$A$5:$E$300,5,FALSE),0)),2))</f>
        <v/>
      </c>
      <c r="N145" s="21">
        <f>L145-M145</f>
        <v/>
      </c>
      <c r="O145" s="16">
        <f>IF(H145="",INDEX('Chart of Accounts'!$A$5:$A$3000,MATCH("bank",'Chart of Accounts'!$F$5:$F$3000,0)),H145&amp;"")</f>
        <v/>
      </c>
      <c r="P145" s="16">
        <f>IF(I145="",INDEX('Chart of Accounts'!$A$5:$A$3000,MATCH("revenue",'Chart of Accounts'!$F$5:$F$3000,0)),I145&amp;"")</f>
        <v/>
      </c>
      <c r="Q145" s="16">
        <f>INDEX('Chart of Accounts'!$A$5:$A$3000,MATCH("wht_receivable",'Chart of Accounts'!$F$5:$F$3000,0))</f>
        <v/>
      </c>
      <c r="R145" s="16">
        <f>INDEX('Chart of Accounts'!$A$5:$A$3000,MATCH("vat_output",'Chart of Accounts'!$F$5:$F$3000,0))</f>
        <v/>
      </c>
      <c r="S145" s="23">
        <f>IFERROR(INDEX('Chart of Accounts'!$C$5:$C$3000,MATCH(O145&amp;"",'Chart of Accounts'!$A$5:$A$3000,0))&amp;"|"&amp;INDEX('Chart of Accounts'!$D$5:$D$3000,MATCH(O145&amp;"",'Chart of Accounts'!$A$5:$A$3000,0)),"")</f>
        <v/>
      </c>
      <c r="T145" s="23">
        <f>IFERROR(INDEX('Chart of Accounts'!$C$5:$C$3000,MATCH(Q145&amp;"",'Chart of Accounts'!$A$5:$A$3000,0))&amp;"|"&amp;INDEX('Chart of Accounts'!$D$5:$D$3000,MATCH(Q145&amp;"",'Chart of Accounts'!$A$5:$A$3000,0)),"")</f>
        <v/>
      </c>
      <c r="U145" s="23">
        <f>IFERROR(INDEX('Chart of Accounts'!$C$5:$C$3000,MATCH(P145&amp;"",'Chart of Accounts'!$A$5:$A$3000,0))&amp;"|"&amp;INDEX('Chart of Accounts'!$D$5:$D$3000,MATCH(P145&amp;"",'Chart of Accounts'!$A$5:$A$3000,0)),"")</f>
        <v/>
      </c>
      <c r="V145" s="23">
        <f>IFERROR(INDEX('Chart of Accounts'!$C$5:$C$3000,MATCH(R145&amp;"",'Chart of Accounts'!$A$5:$A$3000,0))&amp;"|"&amp;INDEX('Chart of Accounts'!$D$5:$D$3000,MATCH(R145&amp;"",'Chart of Accounts'!$A$5:$A$3000,0)),"")</f>
        <v/>
      </c>
      <c r="W145" s="23">
        <f>IF(LEFT(S145,8)="Revenue|",-N(F145),0)+IF(LEFT(T145,8)="Revenue|",-N(J145),0)+IF(LEFT(U145,8)="Revenue|",N(N145),0)+IF(LEFT(V145,8)="Revenue|",N(M145),0)</f>
        <v/>
      </c>
      <c r="X145" s="23">
        <f>IF(LEFT(S145,5)="COGS|",N(F145),0)+IF(LEFT(T145,5)="COGS|",N(J145),0)+IF(LEFT(U145,5)="COGS|",-N(N145),0)+IF(LEFT(V145,5)="COGS|",-N(M145),0)</f>
        <v/>
      </c>
      <c r="Y145" s="23">
        <f>IF(LEFT(S145,8)="Expense|",N(F145),0)+IF(LEFT(T145,8)="Expense|",N(J145),0)+IF(LEFT(U145,8)="Expense|",-N(N145),0)+IF(LEFT(V145,8)="Expense|",-N(M145),0)</f>
        <v/>
      </c>
      <c r="Z145" s="23">
        <f>IF(ISNUMBER(MATCH(S145,{"Expense|employee","Expense|general_admin","Expense|marketing","Expense|utilities","Expense|other_operating"},0)),N(F145),0)+IF(ISNUMBER(MATCH(T145,{"Expense|employee","Expense|general_admin","Expense|marketing","Expense|utilities","Expense|other_operating"},0)),N(J145),0)+IF(ISNUMBER(MATCH(U145,{"Expense|employee","Expense|general_admin","Expense|marketing","Expense|utilities","Expense|other_operating"},0)),-N(N145),0)+IF(ISNUMBER(MATCH(V145,{"Expense|employee","Expense|general_admin","Expense|marketing","Expense|utilities","Expense|other_operating"},0)),-N(M145),0)</f>
        <v/>
      </c>
      <c r="AA145" s="23">
        <f>IF(S145="Liability|payable",-N(F145),0)+IF(T145="Liability|payable",-N(J145),0)+IF(U145="Liability|payable",N(N145),0)+IF(V145="Liability|payable",N(M145),0)</f>
        <v/>
      </c>
      <c r="AB145" s="23">
        <f>IF(S145="Liability|accrued",-N(F145),0)+IF(T145="Liability|accrued",-N(J145),0)+IF(U145="Liability|accrued",N(N145),0)+IF(V145="Liability|accrued",N(M145),0)</f>
        <v/>
      </c>
      <c r="AC145" s="23">
        <f>IF(AND(N(F145)&lt;&gt;0,S145=""),1,0)+IF(AND(N(J145)&lt;&gt;0,T145=""),1,0)+IF(AND(N(N145)&lt;&gt;0,U145=""),1,0)+IF(AND(N(M145)&lt;&gt;0,V145=""),1,0)</f>
        <v/>
      </c>
    </row>
    <row r="146">
      <c r="A146" s="19" t="n"/>
      <c r="B146" s="14" t="n"/>
      <c r="C146" s="14" t="n"/>
      <c r="D146" s="14" t="n"/>
      <c r="E146" s="14" t="n"/>
      <c r="F146" s="20" t="n"/>
      <c r="G146" s="14" t="n"/>
      <c r="H146" s="14" t="n"/>
      <c r="I146" s="14" t="n"/>
      <c r="J146" s="20" t="n"/>
      <c r="K146" s="14" t="n"/>
      <c r="L146" s="21">
        <f>N(F146)+N(J146)</f>
        <v/>
      </c>
      <c r="M146" s="21">
        <f>IF(K146="",0,L146-ROUND(L146/(1+IFERROR(VLOOKUP(K146,'Tax Codes'!$A$5:$E$300,5,FALSE),0)),2))</f>
        <v/>
      </c>
      <c r="N146" s="21">
        <f>L146-M146</f>
        <v/>
      </c>
      <c r="O146" s="16">
        <f>IF(H146="",INDEX('Chart of Accounts'!$A$5:$A$3000,MATCH("bank",'Chart of Accounts'!$F$5:$F$3000,0)),H146&amp;"")</f>
        <v/>
      </c>
      <c r="P146" s="16">
        <f>IF(I146="",INDEX('Chart of Accounts'!$A$5:$A$3000,MATCH("revenue",'Chart of Accounts'!$F$5:$F$3000,0)),I146&amp;"")</f>
        <v/>
      </c>
      <c r="Q146" s="16">
        <f>INDEX('Chart of Accounts'!$A$5:$A$3000,MATCH("wht_receivable",'Chart of Accounts'!$F$5:$F$3000,0))</f>
        <v/>
      </c>
      <c r="R146" s="16">
        <f>INDEX('Chart of Accounts'!$A$5:$A$3000,MATCH("vat_output",'Chart of Accounts'!$F$5:$F$3000,0))</f>
        <v/>
      </c>
      <c r="S146" s="23">
        <f>IFERROR(INDEX('Chart of Accounts'!$C$5:$C$3000,MATCH(O146&amp;"",'Chart of Accounts'!$A$5:$A$3000,0))&amp;"|"&amp;INDEX('Chart of Accounts'!$D$5:$D$3000,MATCH(O146&amp;"",'Chart of Accounts'!$A$5:$A$3000,0)),"")</f>
        <v/>
      </c>
      <c r="T146" s="23">
        <f>IFERROR(INDEX('Chart of Accounts'!$C$5:$C$3000,MATCH(Q146&amp;"",'Chart of Accounts'!$A$5:$A$3000,0))&amp;"|"&amp;INDEX('Chart of Accounts'!$D$5:$D$3000,MATCH(Q146&amp;"",'Chart of Accounts'!$A$5:$A$3000,0)),"")</f>
        <v/>
      </c>
      <c r="U146" s="23">
        <f>IFERROR(INDEX('Chart of Accounts'!$C$5:$C$3000,MATCH(P146&amp;"",'Chart of Accounts'!$A$5:$A$3000,0))&amp;"|"&amp;INDEX('Chart of Accounts'!$D$5:$D$3000,MATCH(P146&amp;"",'Chart of Accounts'!$A$5:$A$3000,0)),"")</f>
        <v/>
      </c>
      <c r="V146" s="23">
        <f>IFERROR(INDEX('Chart of Accounts'!$C$5:$C$3000,MATCH(R146&amp;"",'Chart of Accounts'!$A$5:$A$3000,0))&amp;"|"&amp;INDEX('Chart of Accounts'!$D$5:$D$3000,MATCH(R146&amp;"",'Chart of Accounts'!$A$5:$A$3000,0)),"")</f>
        <v/>
      </c>
      <c r="W146" s="23">
        <f>IF(LEFT(S146,8)="Revenue|",-N(F146),0)+IF(LEFT(T146,8)="Revenue|",-N(J146),0)+IF(LEFT(U146,8)="Revenue|",N(N146),0)+IF(LEFT(V146,8)="Revenue|",N(M146),0)</f>
        <v/>
      </c>
      <c r="X146" s="23">
        <f>IF(LEFT(S146,5)="COGS|",N(F146),0)+IF(LEFT(T146,5)="COGS|",N(J146),0)+IF(LEFT(U146,5)="COGS|",-N(N146),0)+IF(LEFT(V146,5)="COGS|",-N(M146),0)</f>
        <v/>
      </c>
      <c r="Y146" s="23">
        <f>IF(LEFT(S146,8)="Expense|",N(F146),0)+IF(LEFT(T146,8)="Expense|",N(J146),0)+IF(LEFT(U146,8)="Expense|",-N(N146),0)+IF(LEFT(V146,8)="Expense|",-N(M146),0)</f>
        <v/>
      </c>
      <c r="Z146" s="23">
        <f>IF(ISNUMBER(MATCH(S146,{"Expense|employee","Expense|general_admin","Expense|marketing","Expense|utilities","Expense|other_operating"},0)),N(F146),0)+IF(ISNUMBER(MATCH(T146,{"Expense|employee","Expense|general_admin","Expense|marketing","Expense|utilities","Expense|other_operating"},0)),N(J146),0)+IF(ISNUMBER(MATCH(U146,{"Expense|employee","Expense|general_admin","Expense|marketing","Expense|utilities","Expense|other_operating"},0)),-N(N146),0)+IF(ISNUMBER(MATCH(V146,{"Expense|employee","Expense|general_admin","Expense|marketing","Expense|utilities","Expense|other_operating"},0)),-N(M146),0)</f>
        <v/>
      </c>
      <c r="AA146" s="23">
        <f>IF(S146="Liability|payable",-N(F146),0)+IF(T146="Liability|payable",-N(J146),0)+IF(U146="Liability|payable",N(N146),0)+IF(V146="Liability|payable",N(M146),0)</f>
        <v/>
      </c>
      <c r="AB146" s="23">
        <f>IF(S146="Liability|accrued",-N(F146),0)+IF(T146="Liability|accrued",-N(J146),0)+IF(U146="Liability|accrued",N(N146),0)+IF(V146="Liability|accrued",N(M146),0)</f>
        <v/>
      </c>
      <c r="AC146" s="23">
        <f>IF(AND(N(F146)&lt;&gt;0,S146=""),1,0)+IF(AND(N(J146)&lt;&gt;0,T146=""),1,0)+IF(AND(N(N146)&lt;&gt;0,U146=""),1,0)+IF(AND(N(M146)&lt;&gt;0,V146=""),1,0)</f>
        <v/>
      </c>
    </row>
    <row r="147">
      <c r="A147" s="19" t="n"/>
      <c r="B147" s="14" t="n"/>
      <c r="C147" s="14" t="n"/>
      <c r="D147" s="14" t="n"/>
      <c r="E147" s="14" t="n"/>
      <c r="F147" s="20" t="n"/>
      <c r="G147" s="14" t="n"/>
      <c r="H147" s="14" t="n"/>
      <c r="I147" s="14" t="n"/>
      <c r="J147" s="20" t="n"/>
      <c r="K147" s="14" t="n"/>
      <c r="L147" s="21">
        <f>N(F147)+N(J147)</f>
        <v/>
      </c>
      <c r="M147" s="21">
        <f>IF(K147="",0,L147-ROUND(L147/(1+IFERROR(VLOOKUP(K147,'Tax Codes'!$A$5:$E$300,5,FALSE),0)),2))</f>
        <v/>
      </c>
      <c r="N147" s="21">
        <f>L147-M147</f>
        <v/>
      </c>
      <c r="O147" s="16">
        <f>IF(H147="",INDEX('Chart of Accounts'!$A$5:$A$3000,MATCH("bank",'Chart of Accounts'!$F$5:$F$3000,0)),H147&amp;"")</f>
        <v/>
      </c>
      <c r="P147" s="16">
        <f>IF(I147="",INDEX('Chart of Accounts'!$A$5:$A$3000,MATCH("revenue",'Chart of Accounts'!$F$5:$F$3000,0)),I147&amp;"")</f>
        <v/>
      </c>
      <c r="Q147" s="16">
        <f>INDEX('Chart of Accounts'!$A$5:$A$3000,MATCH("wht_receivable",'Chart of Accounts'!$F$5:$F$3000,0))</f>
        <v/>
      </c>
      <c r="R147" s="16">
        <f>INDEX('Chart of Accounts'!$A$5:$A$3000,MATCH("vat_output",'Chart of Accounts'!$F$5:$F$3000,0))</f>
        <v/>
      </c>
      <c r="S147" s="23">
        <f>IFERROR(INDEX('Chart of Accounts'!$C$5:$C$3000,MATCH(O147&amp;"",'Chart of Accounts'!$A$5:$A$3000,0))&amp;"|"&amp;INDEX('Chart of Accounts'!$D$5:$D$3000,MATCH(O147&amp;"",'Chart of Accounts'!$A$5:$A$3000,0)),"")</f>
        <v/>
      </c>
      <c r="T147" s="23">
        <f>IFERROR(INDEX('Chart of Accounts'!$C$5:$C$3000,MATCH(Q147&amp;"",'Chart of Accounts'!$A$5:$A$3000,0))&amp;"|"&amp;INDEX('Chart of Accounts'!$D$5:$D$3000,MATCH(Q147&amp;"",'Chart of Accounts'!$A$5:$A$3000,0)),"")</f>
        <v/>
      </c>
      <c r="U147" s="23">
        <f>IFERROR(INDEX('Chart of Accounts'!$C$5:$C$3000,MATCH(P147&amp;"",'Chart of Accounts'!$A$5:$A$3000,0))&amp;"|"&amp;INDEX('Chart of Accounts'!$D$5:$D$3000,MATCH(P147&amp;"",'Chart of Accounts'!$A$5:$A$3000,0)),"")</f>
        <v/>
      </c>
      <c r="V147" s="23">
        <f>IFERROR(INDEX('Chart of Accounts'!$C$5:$C$3000,MATCH(R147&amp;"",'Chart of Accounts'!$A$5:$A$3000,0))&amp;"|"&amp;INDEX('Chart of Accounts'!$D$5:$D$3000,MATCH(R147&amp;"",'Chart of Accounts'!$A$5:$A$3000,0)),"")</f>
        <v/>
      </c>
      <c r="W147" s="23">
        <f>IF(LEFT(S147,8)="Revenue|",-N(F147),0)+IF(LEFT(T147,8)="Revenue|",-N(J147),0)+IF(LEFT(U147,8)="Revenue|",N(N147),0)+IF(LEFT(V147,8)="Revenue|",N(M147),0)</f>
        <v/>
      </c>
      <c r="X147" s="23">
        <f>IF(LEFT(S147,5)="COGS|",N(F147),0)+IF(LEFT(T147,5)="COGS|",N(J147),0)+IF(LEFT(U147,5)="COGS|",-N(N147),0)+IF(LEFT(V147,5)="COGS|",-N(M147),0)</f>
        <v/>
      </c>
      <c r="Y147" s="23">
        <f>IF(LEFT(S147,8)="Expense|",N(F147),0)+IF(LEFT(T147,8)="Expense|",N(J147),0)+IF(LEFT(U147,8)="Expense|",-N(N147),0)+IF(LEFT(V147,8)="Expense|",-N(M147),0)</f>
        <v/>
      </c>
      <c r="Z147" s="23">
        <f>IF(ISNUMBER(MATCH(S147,{"Expense|employee","Expense|general_admin","Expense|marketing","Expense|utilities","Expense|other_operating"},0)),N(F147),0)+IF(ISNUMBER(MATCH(T147,{"Expense|employee","Expense|general_admin","Expense|marketing","Expense|utilities","Expense|other_operating"},0)),N(J147),0)+IF(ISNUMBER(MATCH(U147,{"Expense|employee","Expense|general_admin","Expense|marketing","Expense|utilities","Expense|other_operating"},0)),-N(N147),0)+IF(ISNUMBER(MATCH(V147,{"Expense|employee","Expense|general_admin","Expense|marketing","Expense|utilities","Expense|other_operating"},0)),-N(M147),0)</f>
        <v/>
      </c>
      <c r="AA147" s="23">
        <f>IF(S147="Liability|payable",-N(F147),0)+IF(T147="Liability|payable",-N(J147),0)+IF(U147="Liability|payable",N(N147),0)+IF(V147="Liability|payable",N(M147),0)</f>
        <v/>
      </c>
      <c r="AB147" s="23">
        <f>IF(S147="Liability|accrued",-N(F147),0)+IF(T147="Liability|accrued",-N(J147),0)+IF(U147="Liability|accrued",N(N147),0)+IF(V147="Liability|accrued",N(M147),0)</f>
        <v/>
      </c>
      <c r="AC147" s="23">
        <f>IF(AND(N(F147)&lt;&gt;0,S147=""),1,0)+IF(AND(N(J147)&lt;&gt;0,T147=""),1,0)+IF(AND(N(N147)&lt;&gt;0,U147=""),1,0)+IF(AND(N(M147)&lt;&gt;0,V147=""),1,0)</f>
        <v/>
      </c>
    </row>
    <row r="148">
      <c r="A148" s="19" t="n"/>
      <c r="B148" s="14" t="n"/>
      <c r="C148" s="14" t="n"/>
      <c r="D148" s="14" t="n"/>
      <c r="E148" s="14" t="n"/>
      <c r="F148" s="20" t="n"/>
      <c r="G148" s="14" t="n"/>
      <c r="H148" s="14" t="n"/>
      <c r="I148" s="14" t="n"/>
      <c r="J148" s="20" t="n"/>
      <c r="K148" s="14" t="n"/>
      <c r="L148" s="21">
        <f>N(F148)+N(J148)</f>
        <v/>
      </c>
      <c r="M148" s="21">
        <f>IF(K148="",0,L148-ROUND(L148/(1+IFERROR(VLOOKUP(K148,'Tax Codes'!$A$5:$E$300,5,FALSE),0)),2))</f>
        <v/>
      </c>
      <c r="N148" s="21">
        <f>L148-M148</f>
        <v/>
      </c>
      <c r="O148" s="16">
        <f>IF(H148="",INDEX('Chart of Accounts'!$A$5:$A$3000,MATCH("bank",'Chart of Accounts'!$F$5:$F$3000,0)),H148&amp;"")</f>
        <v/>
      </c>
      <c r="P148" s="16">
        <f>IF(I148="",INDEX('Chart of Accounts'!$A$5:$A$3000,MATCH("revenue",'Chart of Accounts'!$F$5:$F$3000,0)),I148&amp;"")</f>
        <v/>
      </c>
      <c r="Q148" s="16">
        <f>INDEX('Chart of Accounts'!$A$5:$A$3000,MATCH("wht_receivable",'Chart of Accounts'!$F$5:$F$3000,0))</f>
        <v/>
      </c>
      <c r="R148" s="16">
        <f>INDEX('Chart of Accounts'!$A$5:$A$3000,MATCH("vat_output",'Chart of Accounts'!$F$5:$F$3000,0))</f>
        <v/>
      </c>
      <c r="S148" s="23">
        <f>IFERROR(INDEX('Chart of Accounts'!$C$5:$C$3000,MATCH(O148&amp;"",'Chart of Accounts'!$A$5:$A$3000,0))&amp;"|"&amp;INDEX('Chart of Accounts'!$D$5:$D$3000,MATCH(O148&amp;"",'Chart of Accounts'!$A$5:$A$3000,0)),"")</f>
        <v/>
      </c>
      <c r="T148" s="23">
        <f>IFERROR(INDEX('Chart of Accounts'!$C$5:$C$3000,MATCH(Q148&amp;"",'Chart of Accounts'!$A$5:$A$3000,0))&amp;"|"&amp;INDEX('Chart of Accounts'!$D$5:$D$3000,MATCH(Q148&amp;"",'Chart of Accounts'!$A$5:$A$3000,0)),"")</f>
        <v/>
      </c>
      <c r="U148" s="23">
        <f>IFERROR(INDEX('Chart of Accounts'!$C$5:$C$3000,MATCH(P148&amp;"",'Chart of Accounts'!$A$5:$A$3000,0))&amp;"|"&amp;INDEX('Chart of Accounts'!$D$5:$D$3000,MATCH(P148&amp;"",'Chart of Accounts'!$A$5:$A$3000,0)),"")</f>
        <v/>
      </c>
      <c r="V148" s="23">
        <f>IFERROR(INDEX('Chart of Accounts'!$C$5:$C$3000,MATCH(R148&amp;"",'Chart of Accounts'!$A$5:$A$3000,0))&amp;"|"&amp;INDEX('Chart of Accounts'!$D$5:$D$3000,MATCH(R148&amp;"",'Chart of Accounts'!$A$5:$A$3000,0)),"")</f>
        <v/>
      </c>
      <c r="W148" s="23">
        <f>IF(LEFT(S148,8)="Revenue|",-N(F148),0)+IF(LEFT(T148,8)="Revenue|",-N(J148),0)+IF(LEFT(U148,8)="Revenue|",N(N148),0)+IF(LEFT(V148,8)="Revenue|",N(M148),0)</f>
        <v/>
      </c>
      <c r="X148" s="23">
        <f>IF(LEFT(S148,5)="COGS|",N(F148),0)+IF(LEFT(T148,5)="COGS|",N(J148),0)+IF(LEFT(U148,5)="COGS|",-N(N148),0)+IF(LEFT(V148,5)="COGS|",-N(M148),0)</f>
        <v/>
      </c>
      <c r="Y148" s="23">
        <f>IF(LEFT(S148,8)="Expense|",N(F148),0)+IF(LEFT(T148,8)="Expense|",N(J148),0)+IF(LEFT(U148,8)="Expense|",-N(N148),0)+IF(LEFT(V148,8)="Expense|",-N(M148),0)</f>
        <v/>
      </c>
      <c r="Z148" s="23">
        <f>IF(ISNUMBER(MATCH(S148,{"Expense|employee","Expense|general_admin","Expense|marketing","Expense|utilities","Expense|other_operating"},0)),N(F148),0)+IF(ISNUMBER(MATCH(T148,{"Expense|employee","Expense|general_admin","Expense|marketing","Expense|utilities","Expense|other_operating"},0)),N(J148),0)+IF(ISNUMBER(MATCH(U148,{"Expense|employee","Expense|general_admin","Expense|marketing","Expense|utilities","Expense|other_operating"},0)),-N(N148),0)+IF(ISNUMBER(MATCH(V148,{"Expense|employee","Expense|general_admin","Expense|marketing","Expense|utilities","Expense|other_operating"},0)),-N(M148),0)</f>
        <v/>
      </c>
      <c r="AA148" s="23">
        <f>IF(S148="Liability|payable",-N(F148),0)+IF(T148="Liability|payable",-N(J148),0)+IF(U148="Liability|payable",N(N148),0)+IF(V148="Liability|payable",N(M148),0)</f>
        <v/>
      </c>
      <c r="AB148" s="23">
        <f>IF(S148="Liability|accrued",-N(F148),0)+IF(T148="Liability|accrued",-N(J148),0)+IF(U148="Liability|accrued",N(N148),0)+IF(V148="Liability|accrued",N(M148),0)</f>
        <v/>
      </c>
      <c r="AC148" s="23">
        <f>IF(AND(N(F148)&lt;&gt;0,S148=""),1,0)+IF(AND(N(J148)&lt;&gt;0,T148=""),1,0)+IF(AND(N(N148)&lt;&gt;0,U148=""),1,0)+IF(AND(N(M148)&lt;&gt;0,V148=""),1,0)</f>
        <v/>
      </c>
    </row>
    <row r="149">
      <c r="A149" s="19" t="n"/>
      <c r="B149" s="14" t="n"/>
      <c r="C149" s="14" t="n"/>
      <c r="D149" s="14" t="n"/>
      <c r="E149" s="14" t="n"/>
      <c r="F149" s="20" t="n"/>
      <c r="G149" s="14" t="n"/>
      <c r="H149" s="14" t="n"/>
      <c r="I149" s="14" t="n"/>
      <c r="J149" s="20" t="n"/>
      <c r="K149" s="14" t="n"/>
      <c r="L149" s="21">
        <f>N(F149)+N(J149)</f>
        <v/>
      </c>
      <c r="M149" s="21">
        <f>IF(K149="",0,L149-ROUND(L149/(1+IFERROR(VLOOKUP(K149,'Tax Codes'!$A$5:$E$300,5,FALSE),0)),2))</f>
        <v/>
      </c>
      <c r="N149" s="21">
        <f>L149-M149</f>
        <v/>
      </c>
      <c r="O149" s="16">
        <f>IF(H149="",INDEX('Chart of Accounts'!$A$5:$A$3000,MATCH("bank",'Chart of Accounts'!$F$5:$F$3000,0)),H149&amp;"")</f>
        <v/>
      </c>
      <c r="P149" s="16">
        <f>IF(I149="",INDEX('Chart of Accounts'!$A$5:$A$3000,MATCH("revenue",'Chart of Accounts'!$F$5:$F$3000,0)),I149&amp;"")</f>
        <v/>
      </c>
      <c r="Q149" s="16">
        <f>INDEX('Chart of Accounts'!$A$5:$A$3000,MATCH("wht_receivable",'Chart of Accounts'!$F$5:$F$3000,0))</f>
        <v/>
      </c>
      <c r="R149" s="16">
        <f>INDEX('Chart of Accounts'!$A$5:$A$3000,MATCH("vat_output",'Chart of Accounts'!$F$5:$F$3000,0))</f>
        <v/>
      </c>
      <c r="S149" s="23">
        <f>IFERROR(INDEX('Chart of Accounts'!$C$5:$C$3000,MATCH(O149&amp;"",'Chart of Accounts'!$A$5:$A$3000,0))&amp;"|"&amp;INDEX('Chart of Accounts'!$D$5:$D$3000,MATCH(O149&amp;"",'Chart of Accounts'!$A$5:$A$3000,0)),"")</f>
        <v/>
      </c>
      <c r="T149" s="23">
        <f>IFERROR(INDEX('Chart of Accounts'!$C$5:$C$3000,MATCH(Q149&amp;"",'Chart of Accounts'!$A$5:$A$3000,0))&amp;"|"&amp;INDEX('Chart of Accounts'!$D$5:$D$3000,MATCH(Q149&amp;"",'Chart of Accounts'!$A$5:$A$3000,0)),"")</f>
        <v/>
      </c>
      <c r="U149" s="23">
        <f>IFERROR(INDEX('Chart of Accounts'!$C$5:$C$3000,MATCH(P149&amp;"",'Chart of Accounts'!$A$5:$A$3000,0))&amp;"|"&amp;INDEX('Chart of Accounts'!$D$5:$D$3000,MATCH(P149&amp;"",'Chart of Accounts'!$A$5:$A$3000,0)),"")</f>
        <v/>
      </c>
      <c r="V149" s="23">
        <f>IFERROR(INDEX('Chart of Accounts'!$C$5:$C$3000,MATCH(R149&amp;"",'Chart of Accounts'!$A$5:$A$3000,0))&amp;"|"&amp;INDEX('Chart of Accounts'!$D$5:$D$3000,MATCH(R149&amp;"",'Chart of Accounts'!$A$5:$A$3000,0)),"")</f>
        <v/>
      </c>
      <c r="W149" s="23">
        <f>IF(LEFT(S149,8)="Revenue|",-N(F149),0)+IF(LEFT(T149,8)="Revenue|",-N(J149),0)+IF(LEFT(U149,8)="Revenue|",N(N149),0)+IF(LEFT(V149,8)="Revenue|",N(M149),0)</f>
        <v/>
      </c>
      <c r="X149" s="23">
        <f>IF(LEFT(S149,5)="COGS|",N(F149),0)+IF(LEFT(T149,5)="COGS|",N(J149),0)+IF(LEFT(U149,5)="COGS|",-N(N149),0)+IF(LEFT(V149,5)="COGS|",-N(M149),0)</f>
        <v/>
      </c>
      <c r="Y149" s="23">
        <f>IF(LEFT(S149,8)="Expense|",N(F149),0)+IF(LEFT(T149,8)="Expense|",N(J149),0)+IF(LEFT(U149,8)="Expense|",-N(N149),0)+IF(LEFT(V149,8)="Expense|",-N(M149),0)</f>
        <v/>
      </c>
      <c r="Z149" s="23">
        <f>IF(ISNUMBER(MATCH(S149,{"Expense|employee","Expense|general_admin","Expense|marketing","Expense|utilities","Expense|other_operating"},0)),N(F149),0)+IF(ISNUMBER(MATCH(T149,{"Expense|employee","Expense|general_admin","Expense|marketing","Expense|utilities","Expense|other_operating"},0)),N(J149),0)+IF(ISNUMBER(MATCH(U149,{"Expense|employee","Expense|general_admin","Expense|marketing","Expense|utilities","Expense|other_operating"},0)),-N(N149),0)+IF(ISNUMBER(MATCH(V149,{"Expense|employee","Expense|general_admin","Expense|marketing","Expense|utilities","Expense|other_operating"},0)),-N(M149),0)</f>
        <v/>
      </c>
      <c r="AA149" s="23">
        <f>IF(S149="Liability|payable",-N(F149),0)+IF(T149="Liability|payable",-N(J149),0)+IF(U149="Liability|payable",N(N149),0)+IF(V149="Liability|payable",N(M149),0)</f>
        <v/>
      </c>
      <c r="AB149" s="23">
        <f>IF(S149="Liability|accrued",-N(F149),0)+IF(T149="Liability|accrued",-N(J149),0)+IF(U149="Liability|accrued",N(N149),0)+IF(V149="Liability|accrued",N(M149),0)</f>
        <v/>
      </c>
      <c r="AC149" s="23">
        <f>IF(AND(N(F149)&lt;&gt;0,S149=""),1,0)+IF(AND(N(J149)&lt;&gt;0,T149=""),1,0)+IF(AND(N(N149)&lt;&gt;0,U149=""),1,0)+IF(AND(N(M149)&lt;&gt;0,V149=""),1,0)</f>
        <v/>
      </c>
    </row>
    <row r="150">
      <c r="A150" s="19" t="n"/>
      <c r="B150" s="14" t="n"/>
      <c r="C150" s="14" t="n"/>
      <c r="D150" s="14" t="n"/>
      <c r="E150" s="14" t="n"/>
      <c r="F150" s="20" t="n"/>
      <c r="G150" s="14" t="n"/>
      <c r="H150" s="14" t="n"/>
      <c r="I150" s="14" t="n"/>
      <c r="J150" s="20" t="n"/>
      <c r="K150" s="14" t="n"/>
      <c r="L150" s="21">
        <f>N(F150)+N(J150)</f>
        <v/>
      </c>
      <c r="M150" s="21">
        <f>IF(K150="",0,L150-ROUND(L150/(1+IFERROR(VLOOKUP(K150,'Tax Codes'!$A$5:$E$300,5,FALSE),0)),2))</f>
        <v/>
      </c>
      <c r="N150" s="21">
        <f>L150-M150</f>
        <v/>
      </c>
      <c r="O150" s="16">
        <f>IF(H150="",INDEX('Chart of Accounts'!$A$5:$A$3000,MATCH("bank",'Chart of Accounts'!$F$5:$F$3000,0)),H150&amp;"")</f>
        <v/>
      </c>
      <c r="P150" s="16">
        <f>IF(I150="",INDEX('Chart of Accounts'!$A$5:$A$3000,MATCH("revenue",'Chart of Accounts'!$F$5:$F$3000,0)),I150&amp;"")</f>
        <v/>
      </c>
      <c r="Q150" s="16">
        <f>INDEX('Chart of Accounts'!$A$5:$A$3000,MATCH("wht_receivable",'Chart of Accounts'!$F$5:$F$3000,0))</f>
        <v/>
      </c>
      <c r="R150" s="16">
        <f>INDEX('Chart of Accounts'!$A$5:$A$3000,MATCH("vat_output",'Chart of Accounts'!$F$5:$F$3000,0))</f>
        <v/>
      </c>
      <c r="S150" s="23">
        <f>IFERROR(INDEX('Chart of Accounts'!$C$5:$C$3000,MATCH(O150&amp;"",'Chart of Accounts'!$A$5:$A$3000,0))&amp;"|"&amp;INDEX('Chart of Accounts'!$D$5:$D$3000,MATCH(O150&amp;"",'Chart of Accounts'!$A$5:$A$3000,0)),"")</f>
        <v/>
      </c>
      <c r="T150" s="23">
        <f>IFERROR(INDEX('Chart of Accounts'!$C$5:$C$3000,MATCH(Q150&amp;"",'Chart of Accounts'!$A$5:$A$3000,0))&amp;"|"&amp;INDEX('Chart of Accounts'!$D$5:$D$3000,MATCH(Q150&amp;"",'Chart of Accounts'!$A$5:$A$3000,0)),"")</f>
        <v/>
      </c>
      <c r="U150" s="23">
        <f>IFERROR(INDEX('Chart of Accounts'!$C$5:$C$3000,MATCH(P150&amp;"",'Chart of Accounts'!$A$5:$A$3000,0))&amp;"|"&amp;INDEX('Chart of Accounts'!$D$5:$D$3000,MATCH(P150&amp;"",'Chart of Accounts'!$A$5:$A$3000,0)),"")</f>
        <v/>
      </c>
      <c r="V150" s="23">
        <f>IFERROR(INDEX('Chart of Accounts'!$C$5:$C$3000,MATCH(R150&amp;"",'Chart of Accounts'!$A$5:$A$3000,0))&amp;"|"&amp;INDEX('Chart of Accounts'!$D$5:$D$3000,MATCH(R150&amp;"",'Chart of Accounts'!$A$5:$A$3000,0)),"")</f>
        <v/>
      </c>
      <c r="W150" s="23">
        <f>IF(LEFT(S150,8)="Revenue|",-N(F150),0)+IF(LEFT(T150,8)="Revenue|",-N(J150),0)+IF(LEFT(U150,8)="Revenue|",N(N150),0)+IF(LEFT(V150,8)="Revenue|",N(M150),0)</f>
        <v/>
      </c>
      <c r="X150" s="23">
        <f>IF(LEFT(S150,5)="COGS|",N(F150),0)+IF(LEFT(T150,5)="COGS|",N(J150),0)+IF(LEFT(U150,5)="COGS|",-N(N150),0)+IF(LEFT(V150,5)="COGS|",-N(M150),0)</f>
        <v/>
      </c>
      <c r="Y150" s="23">
        <f>IF(LEFT(S150,8)="Expense|",N(F150),0)+IF(LEFT(T150,8)="Expense|",N(J150),0)+IF(LEFT(U150,8)="Expense|",-N(N150),0)+IF(LEFT(V150,8)="Expense|",-N(M150),0)</f>
        <v/>
      </c>
      <c r="Z150" s="23">
        <f>IF(ISNUMBER(MATCH(S150,{"Expense|employee","Expense|general_admin","Expense|marketing","Expense|utilities","Expense|other_operating"},0)),N(F150),0)+IF(ISNUMBER(MATCH(T150,{"Expense|employee","Expense|general_admin","Expense|marketing","Expense|utilities","Expense|other_operating"},0)),N(J150),0)+IF(ISNUMBER(MATCH(U150,{"Expense|employee","Expense|general_admin","Expense|marketing","Expense|utilities","Expense|other_operating"},0)),-N(N150),0)+IF(ISNUMBER(MATCH(V150,{"Expense|employee","Expense|general_admin","Expense|marketing","Expense|utilities","Expense|other_operating"},0)),-N(M150),0)</f>
        <v/>
      </c>
      <c r="AA150" s="23">
        <f>IF(S150="Liability|payable",-N(F150),0)+IF(T150="Liability|payable",-N(J150),0)+IF(U150="Liability|payable",N(N150),0)+IF(V150="Liability|payable",N(M150),0)</f>
        <v/>
      </c>
      <c r="AB150" s="23">
        <f>IF(S150="Liability|accrued",-N(F150),0)+IF(T150="Liability|accrued",-N(J150),0)+IF(U150="Liability|accrued",N(N150),0)+IF(V150="Liability|accrued",N(M150),0)</f>
        <v/>
      </c>
      <c r="AC150" s="23">
        <f>IF(AND(N(F150)&lt;&gt;0,S150=""),1,0)+IF(AND(N(J150)&lt;&gt;0,T150=""),1,0)+IF(AND(N(N150)&lt;&gt;0,U150=""),1,0)+IF(AND(N(M150)&lt;&gt;0,V150=""),1,0)</f>
        <v/>
      </c>
    </row>
    <row r="151">
      <c r="A151" s="19" t="n"/>
      <c r="B151" s="14" t="n"/>
      <c r="C151" s="14" t="n"/>
      <c r="D151" s="14" t="n"/>
      <c r="E151" s="14" t="n"/>
      <c r="F151" s="20" t="n"/>
      <c r="G151" s="14" t="n"/>
      <c r="H151" s="14" t="n"/>
      <c r="I151" s="14" t="n"/>
      <c r="J151" s="20" t="n"/>
      <c r="K151" s="14" t="n"/>
      <c r="L151" s="21">
        <f>N(F151)+N(J151)</f>
        <v/>
      </c>
      <c r="M151" s="21">
        <f>IF(K151="",0,L151-ROUND(L151/(1+IFERROR(VLOOKUP(K151,'Tax Codes'!$A$5:$E$300,5,FALSE),0)),2))</f>
        <v/>
      </c>
      <c r="N151" s="21">
        <f>L151-M151</f>
        <v/>
      </c>
      <c r="O151" s="16">
        <f>IF(H151="",INDEX('Chart of Accounts'!$A$5:$A$3000,MATCH("bank",'Chart of Accounts'!$F$5:$F$3000,0)),H151&amp;"")</f>
        <v/>
      </c>
      <c r="P151" s="16">
        <f>IF(I151="",INDEX('Chart of Accounts'!$A$5:$A$3000,MATCH("revenue",'Chart of Accounts'!$F$5:$F$3000,0)),I151&amp;"")</f>
        <v/>
      </c>
      <c r="Q151" s="16">
        <f>INDEX('Chart of Accounts'!$A$5:$A$3000,MATCH("wht_receivable",'Chart of Accounts'!$F$5:$F$3000,0))</f>
        <v/>
      </c>
      <c r="R151" s="16">
        <f>INDEX('Chart of Accounts'!$A$5:$A$3000,MATCH("vat_output",'Chart of Accounts'!$F$5:$F$3000,0))</f>
        <v/>
      </c>
      <c r="S151" s="23">
        <f>IFERROR(INDEX('Chart of Accounts'!$C$5:$C$3000,MATCH(O151&amp;"",'Chart of Accounts'!$A$5:$A$3000,0))&amp;"|"&amp;INDEX('Chart of Accounts'!$D$5:$D$3000,MATCH(O151&amp;"",'Chart of Accounts'!$A$5:$A$3000,0)),"")</f>
        <v/>
      </c>
      <c r="T151" s="23">
        <f>IFERROR(INDEX('Chart of Accounts'!$C$5:$C$3000,MATCH(Q151&amp;"",'Chart of Accounts'!$A$5:$A$3000,0))&amp;"|"&amp;INDEX('Chart of Accounts'!$D$5:$D$3000,MATCH(Q151&amp;"",'Chart of Accounts'!$A$5:$A$3000,0)),"")</f>
        <v/>
      </c>
      <c r="U151" s="23">
        <f>IFERROR(INDEX('Chart of Accounts'!$C$5:$C$3000,MATCH(P151&amp;"",'Chart of Accounts'!$A$5:$A$3000,0))&amp;"|"&amp;INDEX('Chart of Accounts'!$D$5:$D$3000,MATCH(P151&amp;"",'Chart of Accounts'!$A$5:$A$3000,0)),"")</f>
        <v/>
      </c>
      <c r="V151" s="23">
        <f>IFERROR(INDEX('Chart of Accounts'!$C$5:$C$3000,MATCH(R151&amp;"",'Chart of Accounts'!$A$5:$A$3000,0))&amp;"|"&amp;INDEX('Chart of Accounts'!$D$5:$D$3000,MATCH(R151&amp;"",'Chart of Accounts'!$A$5:$A$3000,0)),"")</f>
        <v/>
      </c>
      <c r="W151" s="23">
        <f>IF(LEFT(S151,8)="Revenue|",-N(F151),0)+IF(LEFT(T151,8)="Revenue|",-N(J151),0)+IF(LEFT(U151,8)="Revenue|",N(N151),0)+IF(LEFT(V151,8)="Revenue|",N(M151),0)</f>
        <v/>
      </c>
      <c r="X151" s="23">
        <f>IF(LEFT(S151,5)="COGS|",N(F151),0)+IF(LEFT(T151,5)="COGS|",N(J151),0)+IF(LEFT(U151,5)="COGS|",-N(N151),0)+IF(LEFT(V151,5)="COGS|",-N(M151),0)</f>
        <v/>
      </c>
      <c r="Y151" s="23">
        <f>IF(LEFT(S151,8)="Expense|",N(F151),0)+IF(LEFT(T151,8)="Expense|",N(J151),0)+IF(LEFT(U151,8)="Expense|",-N(N151),0)+IF(LEFT(V151,8)="Expense|",-N(M151),0)</f>
        <v/>
      </c>
      <c r="Z151" s="23">
        <f>IF(ISNUMBER(MATCH(S151,{"Expense|employee","Expense|general_admin","Expense|marketing","Expense|utilities","Expense|other_operating"},0)),N(F151),0)+IF(ISNUMBER(MATCH(T151,{"Expense|employee","Expense|general_admin","Expense|marketing","Expense|utilities","Expense|other_operating"},0)),N(J151),0)+IF(ISNUMBER(MATCH(U151,{"Expense|employee","Expense|general_admin","Expense|marketing","Expense|utilities","Expense|other_operating"},0)),-N(N151),0)+IF(ISNUMBER(MATCH(V151,{"Expense|employee","Expense|general_admin","Expense|marketing","Expense|utilities","Expense|other_operating"},0)),-N(M151),0)</f>
        <v/>
      </c>
      <c r="AA151" s="23">
        <f>IF(S151="Liability|payable",-N(F151),0)+IF(T151="Liability|payable",-N(J151),0)+IF(U151="Liability|payable",N(N151),0)+IF(V151="Liability|payable",N(M151),0)</f>
        <v/>
      </c>
      <c r="AB151" s="23">
        <f>IF(S151="Liability|accrued",-N(F151),0)+IF(T151="Liability|accrued",-N(J151),0)+IF(U151="Liability|accrued",N(N151),0)+IF(V151="Liability|accrued",N(M151),0)</f>
        <v/>
      </c>
      <c r="AC151" s="23">
        <f>IF(AND(N(F151)&lt;&gt;0,S151=""),1,0)+IF(AND(N(J151)&lt;&gt;0,T151=""),1,0)+IF(AND(N(N151)&lt;&gt;0,U151=""),1,0)+IF(AND(N(M151)&lt;&gt;0,V151=""),1,0)</f>
        <v/>
      </c>
    </row>
    <row r="152">
      <c r="A152" s="19" t="n"/>
      <c r="B152" s="14" t="n"/>
      <c r="C152" s="14" t="n"/>
      <c r="D152" s="14" t="n"/>
      <c r="E152" s="14" t="n"/>
      <c r="F152" s="20" t="n"/>
      <c r="G152" s="14" t="n"/>
      <c r="H152" s="14" t="n"/>
      <c r="I152" s="14" t="n"/>
      <c r="J152" s="20" t="n"/>
      <c r="K152" s="14" t="n"/>
      <c r="L152" s="21">
        <f>N(F152)+N(J152)</f>
        <v/>
      </c>
      <c r="M152" s="21">
        <f>IF(K152="",0,L152-ROUND(L152/(1+IFERROR(VLOOKUP(K152,'Tax Codes'!$A$5:$E$300,5,FALSE),0)),2))</f>
        <v/>
      </c>
      <c r="N152" s="21">
        <f>L152-M152</f>
        <v/>
      </c>
      <c r="O152" s="16">
        <f>IF(H152="",INDEX('Chart of Accounts'!$A$5:$A$3000,MATCH("bank",'Chart of Accounts'!$F$5:$F$3000,0)),H152&amp;"")</f>
        <v/>
      </c>
      <c r="P152" s="16">
        <f>IF(I152="",INDEX('Chart of Accounts'!$A$5:$A$3000,MATCH("revenue",'Chart of Accounts'!$F$5:$F$3000,0)),I152&amp;"")</f>
        <v/>
      </c>
      <c r="Q152" s="16">
        <f>INDEX('Chart of Accounts'!$A$5:$A$3000,MATCH("wht_receivable",'Chart of Accounts'!$F$5:$F$3000,0))</f>
        <v/>
      </c>
      <c r="R152" s="16">
        <f>INDEX('Chart of Accounts'!$A$5:$A$3000,MATCH("vat_output",'Chart of Accounts'!$F$5:$F$3000,0))</f>
        <v/>
      </c>
      <c r="S152" s="23">
        <f>IFERROR(INDEX('Chart of Accounts'!$C$5:$C$3000,MATCH(O152&amp;"",'Chart of Accounts'!$A$5:$A$3000,0))&amp;"|"&amp;INDEX('Chart of Accounts'!$D$5:$D$3000,MATCH(O152&amp;"",'Chart of Accounts'!$A$5:$A$3000,0)),"")</f>
        <v/>
      </c>
      <c r="T152" s="23">
        <f>IFERROR(INDEX('Chart of Accounts'!$C$5:$C$3000,MATCH(Q152&amp;"",'Chart of Accounts'!$A$5:$A$3000,0))&amp;"|"&amp;INDEX('Chart of Accounts'!$D$5:$D$3000,MATCH(Q152&amp;"",'Chart of Accounts'!$A$5:$A$3000,0)),"")</f>
        <v/>
      </c>
      <c r="U152" s="23">
        <f>IFERROR(INDEX('Chart of Accounts'!$C$5:$C$3000,MATCH(P152&amp;"",'Chart of Accounts'!$A$5:$A$3000,0))&amp;"|"&amp;INDEX('Chart of Accounts'!$D$5:$D$3000,MATCH(P152&amp;"",'Chart of Accounts'!$A$5:$A$3000,0)),"")</f>
        <v/>
      </c>
      <c r="V152" s="23">
        <f>IFERROR(INDEX('Chart of Accounts'!$C$5:$C$3000,MATCH(R152&amp;"",'Chart of Accounts'!$A$5:$A$3000,0))&amp;"|"&amp;INDEX('Chart of Accounts'!$D$5:$D$3000,MATCH(R152&amp;"",'Chart of Accounts'!$A$5:$A$3000,0)),"")</f>
        <v/>
      </c>
      <c r="W152" s="23">
        <f>IF(LEFT(S152,8)="Revenue|",-N(F152),0)+IF(LEFT(T152,8)="Revenue|",-N(J152),0)+IF(LEFT(U152,8)="Revenue|",N(N152),0)+IF(LEFT(V152,8)="Revenue|",N(M152),0)</f>
        <v/>
      </c>
      <c r="X152" s="23">
        <f>IF(LEFT(S152,5)="COGS|",N(F152),0)+IF(LEFT(T152,5)="COGS|",N(J152),0)+IF(LEFT(U152,5)="COGS|",-N(N152),0)+IF(LEFT(V152,5)="COGS|",-N(M152),0)</f>
        <v/>
      </c>
      <c r="Y152" s="23">
        <f>IF(LEFT(S152,8)="Expense|",N(F152),0)+IF(LEFT(T152,8)="Expense|",N(J152),0)+IF(LEFT(U152,8)="Expense|",-N(N152),0)+IF(LEFT(V152,8)="Expense|",-N(M152),0)</f>
        <v/>
      </c>
      <c r="Z152" s="23">
        <f>IF(ISNUMBER(MATCH(S152,{"Expense|employee","Expense|general_admin","Expense|marketing","Expense|utilities","Expense|other_operating"},0)),N(F152),0)+IF(ISNUMBER(MATCH(T152,{"Expense|employee","Expense|general_admin","Expense|marketing","Expense|utilities","Expense|other_operating"},0)),N(J152),0)+IF(ISNUMBER(MATCH(U152,{"Expense|employee","Expense|general_admin","Expense|marketing","Expense|utilities","Expense|other_operating"},0)),-N(N152),0)+IF(ISNUMBER(MATCH(V152,{"Expense|employee","Expense|general_admin","Expense|marketing","Expense|utilities","Expense|other_operating"},0)),-N(M152),0)</f>
        <v/>
      </c>
      <c r="AA152" s="23">
        <f>IF(S152="Liability|payable",-N(F152),0)+IF(T152="Liability|payable",-N(J152),0)+IF(U152="Liability|payable",N(N152),0)+IF(V152="Liability|payable",N(M152),0)</f>
        <v/>
      </c>
      <c r="AB152" s="23">
        <f>IF(S152="Liability|accrued",-N(F152),0)+IF(T152="Liability|accrued",-N(J152),0)+IF(U152="Liability|accrued",N(N152),0)+IF(V152="Liability|accrued",N(M152),0)</f>
        <v/>
      </c>
      <c r="AC152" s="23">
        <f>IF(AND(N(F152)&lt;&gt;0,S152=""),1,0)+IF(AND(N(J152)&lt;&gt;0,T152=""),1,0)+IF(AND(N(N152)&lt;&gt;0,U152=""),1,0)+IF(AND(N(M152)&lt;&gt;0,V152=""),1,0)</f>
        <v/>
      </c>
    </row>
    <row r="153">
      <c r="A153" s="19" t="n"/>
      <c r="B153" s="14" t="n"/>
      <c r="C153" s="14" t="n"/>
      <c r="D153" s="14" t="n"/>
      <c r="E153" s="14" t="n"/>
      <c r="F153" s="20" t="n"/>
      <c r="G153" s="14" t="n"/>
      <c r="H153" s="14" t="n"/>
      <c r="I153" s="14" t="n"/>
      <c r="J153" s="20" t="n"/>
      <c r="K153" s="14" t="n"/>
      <c r="L153" s="21">
        <f>N(F153)+N(J153)</f>
        <v/>
      </c>
      <c r="M153" s="21">
        <f>IF(K153="",0,L153-ROUND(L153/(1+IFERROR(VLOOKUP(K153,'Tax Codes'!$A$5:$E$300,5,FALSE),0)),2))</f>
        <v/>
      </c>
      <c r="N153" s="21">
        <f>L153-M153</f>
        <v/>
      </c>
      <c r="O153" s="16">
        <f>IF(H153="",INDEX('Chart of Accounts'!$A$5:$A$3000,MATCH("bank",'Chart of Accounts'!$F$5:$F$3000,0)),H153&amp;"")</f>
        <v/>
      </c>
      <c r="P153" s="16">
        <f>IF(I153="",INDEX('Chart of Accounts'!$A$5:$A$3000,MATCH("revenue",'Chart of Accounts'!$F$5:$F$3000,0)),I153&amp;"")</f>
        <v/>
      </c>
      <c r="Q153" s="16">
        <f>INDEX('Chart of Accounts'!$A$5:$A$3000,MATCH("wht_receivable",'Chart of Accounts'!$F$5:$F$3000,0))</f>
        <v/>
      </c>
      <c r="R153" s="16">
        <f>INDEX('Chart of Accounts'!$A$5:$A$3000,MATCH("vat_output",'Chart of Accounts'!$F$5:$F$3000,0))</f>
        <v/>
      </c>
      <c r="S153" s="23">
        <f>IFERROR(INDEX('Chart of Accounts'!$C$5:$C$3000,MATCH(O153&amp;"",'Chart of Accounts'!$A$5:$A$3000,0))&amp;"|"&amp;INDEX('Chart of Accounts'!$D$5:$D$3000,MATCH(O153&amp;"",'Chart of Accounts'!$A$5:$A$3000,0)),"")</f>
        <v/>
      </c>
      <c r="T153" s="23">
        <f>IFERROR(INDEX('Chart of Accounts'!$C$5:$C$3000,MATCH(Q153&amp;"",'Chart of Accounts'!$A$5:$A$3000,0))&amp;"|"&amp;INDEX('Chart of Accounts'!$D$5:$D$3000,MATCH(Q153&amp;"",'Chart of Accounts'!$A$5:$A$3000,0)),"")</f>
        <v/>
      </c>
      <c r="U153" s="23">
        <f>IFERROR(INDEX('Chart of Accounts'!$C$5:$C$3000,MATCH(P153&amp;"",'Chart of Accounts'!$A$5:$A$3000,0))&amp;"|"&amp;INDEX('Chart of Accounts'!$D$5:$D$3000,MATCH(P153&amp;"",'Chart of Accounts'!$A$5:$A$3000,0)),"")</f>
        <v/>
      </c>
      <c r="V153" s="23">
        <f>IFERROR(INDEX('Chart of Accounts'!$C$5:$C$3000,MATCH(R153&amp;"",'Chart of Accounts'!$A$5:$A$3000,0))&amp;"|"&amp;INDEX('Chart of Accounts'!$D$5:$D$3000,MATCH(R153&amp;"",'Chart of Accounts'!$A$5:$A$3000,0)),"")</f>
        <v/>
      </c>
      <c r="W153" s="23">
        <f>IF(LEFT(S153,8)="Revenue|",-N(F153),0)+IF(LEFT(T153,8)="Revenue|",-N(J153),0)+IF(LEFT(U153,8)="Revenue|",N(N153),0)+IF(LEFT(V153,8)="Revenue|",N(M153),0)</f>
        <v/>
      </c>
      <c r="X153" s="23">
        <f>IF(LEFT(S153,5)="COGS|",N(F153),0)+IF(LEFT(T153,5)="COGS|",N(J153),0)+IF(LEFT(U153,5)="COGS|",-N(N153),0)+IF(LEFT(V153,5)="COGS|",-N(M153),0)</f>
        <v/>
      </c>
      <c r="Y153" s="23">
        <f>IF(LEFT(S153,8)="Expense|",N(F153),0)+IF(LEFT(T153,8)="Expense|",N(J153),0)+IF(LEFT(U153,8)="Expense|",-N(N153),0)+IF(LEFT(V153,8)="Expense|",-N(M153),0)</f>
        <v/>
      </c>
      <c r="Z153" s="23">
        <f>IF(ISNUMBER(MATCH(S153,{"Expense|employee","Expense|general_admin","Expense|marketing","Expense|utilities","Expense|other_operating"},0)),N(F153),0)+IF(ISNUMBER(MATCH(T153,{"Expense|employee","Expense|general_admin","Expense|marketing","Expense|utilities","Expense|other_operating"},0)),N(J153),0)+IF(ISNUMBER(MATCH(U153,{"Expense|employee","Expense|general_admin","Expense|marketing","Expense|utilities","Expense|other_operating"},0)),-N(N153),0)+IF(ISNUMBER(MATCH(V153,{"Expense|employee","Expense|general_admin","Expense|marketing","Expense|utilities","Expense|other_operating"},0)),-N(M153),0)</f>
        <v/>
      </c>
      <c r="AA153" s="23">
        <f>IF(S153="Liability|payable",-N(F153),0)+IF(T153="Liability|payable",-N(J153),0)+IF(U153="Liability|payable",N(N153),0)+IF(V153="Liability|payable",N(M153),0)</f>
        <v/>
      </c>
      <c r="AB153" s="23">
        <f>IF(S153="Liability|accrued",-N(F153),0)+IF(T153="Liability|accrued",-N(J153),0)+IF(U153="Liability|accrued",N(N153),0)+IF(V153="Liability|accrued",N(M153),0)</f>
        <v/>
      </c>
      <c r="AC153" s="23">
        <f>IF(AND(N(F153)&lt;&gt;0,S153=""),1,0)+IF(AND(N(J153)&lt;&gt;0,T153=""),1,0)+IF(AND(N(N153)&lt;&gt;0,U153=""),1,0)+IF(AND(N(M153)&lt;&gt;0,V153=""),1,0)</f>
        <v/>
      </c>
    </row>
    <row r="154">
      <c r="A154" s="19" t="n"/>
      <c r="B154" s="14" t="n"/>
      <c r="C154" s="14" t="n"/>
      <c r="D154" s="14" t="n"/>
      <c r="E154" s="14" t="n"/>
      <c r="F154" s="20" t="n"/>
      <c r="G154" s="14" t="n"/>
      <c r="H154" s="14" t="n"/>
      <c r="I154" s="14" t="n"/>
      <c r="J154" s="20" t="n"/>
      <c r="K154" s="14" t="n"/>
      <c r="L154" s="21">
        <f>N(F154)+N(J154)</f>
        <v/>
      </c>
      <c r="M154" s="21">
        <f>IF(K154="",0,L154-ROUND(L154/(1+IFERROR(VLOOKUP(K154,'Tax Codes'!$A$5:$E$300,5,FALSE),0)),2))</f>
        <v/>
      </c>
      <c r="N154" s="21">
        <f>L154-M154</f>
        <v/>
      </c>
      <c r="O154" s="16">
        <f>IF(H154="",INDEX('Chart of Accounts'!$A$5:$A$3000,MATCH("bank",'Chart of Accounts'!$F$5:$F$3000,0)),H154&amp;"")</f>
        <v/>
      </c>
      <c r="P154" s="16">
        <f>IF(I154="",INDEX('Chart of Accounts'!$A$5:$A$3000,MATCH("revenue",'Chart of Accounts'!$F$5:$F$3000,0)),I154&amp;"")</f>
        <v/>
      </c>
      <c r="Q154" s="16">
        <f>INDEX('Chart of Accounts'!$A$5:$A$3000,MATCH("wht_receivable",'Chart of Accounts'!$F$5:$F$3000,0))</f>
        <v/>
      </c>
      <c r="R154" s="16">
        <f>INDEX('Chart of Accounts'!$A$5:$A$3000,MATCH("vat_output",'Chart of Accounts'!$F$5:$F$3000,0))</f>
        <v/>
      </c>
      <c r="S154" s="23">
        <f>IFERROR(INDEX('Chart of Accounts'!$C$5:$C$3000,MATCH(O154&amp;"",'Chart of Accounts'!$A$5:$A$3000,0))&amp;"|"&amp;INDEX('Chart of Accounts'!$D$5:$D$3000,MATCH(O154&amp;"",'Chart of Accounts'!$A$5:$A$3000,0)),"")</f>
        <v/>
      </c>
      <c r="T154" s="23">
        <f>IFERROR(INDEX('Chart of Accounts'!$C$5:$C$3000,MATCH(Q154&amp;"",'Chart of Accounts'!$A$5:$A$3000,0))&amp;"|"&amp;INDEX('Chart of Accounts'!$D$5:$D$3000,MATCH(Q154&amp;"",'Chart of Accounts'!$A$5:$A$3000,0)),"")</f>
        <v/>
      </c>
      <c r="U154" s="23">
        <f>IFERROR(INDEX('Chart of Accounts'!$C$5:$C$3000,MATCH(P154&amp;"",'Chart of Accounts'!$A$5:$A$3000,0))&amp;"|"&amp;INDEX('Chart of Accounts'!$D$5:$D$3000,MATCH(P154&amp;"",'Chart of Accounts'!$A$5:$A$3000,0)),"")</f>
        <v/>
      </c>
      <c r="V154" s="23">
        <f>IFERROR(INDEX('Chart of Accounts'!$C$5:$C$3000,MATCH(R154&amp;"",'Chart of Accounts'!$A$5:$A$3000,0))&amp;"|"&amp;INDEX('Chart of Accounts'!$D$5:$D$3000,MATCH(R154&amp;"",'Chart of Accounts'!$A$5:$A$3000,0)),"")</f>
        <v/>
      </c>
      <c r="W154" s="23">
        <f>IF(LEFT(S154,8)="Revenue|",-N(F154),0)+IF(LEFT(T154,8)="Revenue|",-N(J154),0)+IF(LEFT(U154,8)="Revenue|",N(N154),0)+IF(LEFT(V154,8)="Revenue|",N(M154),0)</f>
        <v/>
      </c>
      <c r="X154" s="23">
        <f>IF(LEFT(S154,5)="COGS|",N(F154),0)+IF(LEFT(T154,5)="COGS|",N(J154),0)+IF(LEFT(U154,5)="COGS|",-N(N154),0)+IF(LEFT(V154,5)="COGS|",-N(M154),0)</f>
        <v/>
      </c>
      <c r="Y154" s="23">
        <f>IF(LEFT(S154,8)="Expense|",N(F154),0)+IF(LEFT(T154,8)="Expense|",N(J154),0)+IF(LEFT(U154,8)="Expense|",-N(N154),0)+IF(LEFT(V154,8)="Expense|",-N(M154),0)</f>
        <v/>
      </c>
      <c r="Z154" s="23">
        <f>IF(ISNUMBER(MATCH(S154,{"Expense|employee","Expense|general_admin","Expense|marketing","Expense|utilities","Expense|other_operating"},0)),N(F154),0)+IF(ISNUMBER(MATCH(T154,{"Expense|employee","Expense|general_admin","Expense|marketing","Expense|utilities","Expense|other_operating"},0)),N(J154),0)+IF(ISNUMBER(MATCH(U154,{"Expense|employee","Expense|general_admin","Expense|marketing","Expense|utilities","Expense|other_operating"},0)),-N(N154),0)+IF(ISNUMBER(MATCH(V154,{"Expense|employee","Expense|general_admin","Expense|marketing","Expense|utilities","Expense|other_operating"},0)),-N(M154),0)</f>
        <v/>
      </c>
      <c r="AA154" s="23">
        <f>IF(S154="Liability|payable",-N(F154),0)+IF(T154="Liability|payable",-N(J154),0)+IF(U154="Liability|payable",N(N154),0)+IF(V154="Liability|payable",N(M154),0)</f>
        <v/>
      </c>
      <c r="AB154" s="23">
        <f>IF(S154="Liability|accrued",-N(F154),0)+IF(T154="Liability|accrued",-N(J154),0)+IF(U154="Liability|accrued",N(N154),0)+IF(V154="Liability|accrued",N(M154),0)</f>
        <v/>
      </c>
      <c r="AC154" s="23">
        <f>IF(AND(N(F154)&lt;&gt;0,S154=""),1,0)+IF(AND(N(J154)&lt;&gt;0,T154=""),1,0)+IF(AND(N(N154)&lt;&gt;0,U154=""),1,0)+IF(AND(N(M154)&lt;&gt;0,V154=""),1,0)</f>
        <v/>
      </c>
    </row>
    <row r="155">
      <c r="A155" s="19" t="n"/>
      <c r="B155" s="14" t="n"/>
      <c r="C155" s="14" t="n"/>
      <c r="D155" s="14" t="n"/>
      <c r="E155" s="14" t="n"/>
      <c r="F155" s="20" t="n"/>
      <c r="G155" s="14" t="n"/>
      <c r="H155" s="14" t="n"/>
      <c r="I155" s="14" t="n"/>
      <c r="J155" s="20" t="n"/>
      <c r="K155" s="14" t="n"/>
      <c r="L155" s="21">
        <f>N(F155)+N(J155)</f>
        <v/>
      </c>
      <c r="M155" s="21">
        <f>IF(K155="",0,L155-ROUND(L155/(1+IFERROR(VLOOKUP(K155,'Tax Codes'!$A$5:$E$300,5,FALSE),0)),2))</f>
        <v/>
      </c>
      <c r="N155" s="21">
        <f>L155-M155</f>
        <v/>
      </c>
      <c r="O155" s="16">
        <f>IF(H155="",INDEX('Chart of Accounts'!$A$5:$A$3000,MATCH("bank",'Chart of Accounts'!$F$5:$F$3000,0)),H155&amp;"")</f>
        <v/>
      </c>
      <c r="P155" s="16">
        <f>IF(I155="",INDEX('Chart of Accounts'!$A$5:$A$3000,MATCH("revenue",'Chart of Accounts'!$F$5:$F$3000,0)),I155&amp;"")</f>
        <v/>
      </c>
      <c r="Q155" s="16">
        <f>INDEX('Chart of Accounts'!$A$5:$A$3000,MATCH("wht_receivable",'Chart of Accounts'!$F$5:$F$3000,0))</f>
        <v/>
      </c>
      <c r="R155" s="16">
        <f>INDEX('Chart of Accounts'!$A$5:$A$3000,MATCH("vat_output",'Chart of Accounts'!$F$5:$F$3000,0))</f>
        <v/>
      </c>
      <c r="S155" s="23">
        <f>IFERROR(INDEX('Chart of Accounts'!$C$5:$C$3000,MATCH(O155&amp;"",'Chart of Accounts'!$A$5:$A$3000,0))&amp;"|"&amp;INDEX('Chart of Accounts'!$D$5:$D$3000,MATCH(O155&amp;"",'Chart of Accounts'!$A$5:$A$3000,0)),"")</f>
        <v/>
      </c>
      <c r="T155" s="23">
        <f>IFERROR(INDEX('Chart of Accounts'!$C$5:$C$3000,MATCH(Q155&amp;"",'Chart of Accounts'!$A$5:$A$3000,0))&amp;"|"&amp;INDEX('Chart of Accounts'!$D$5:$D$3000,MATCH(Q155&amp;"",'Chart of Accounts'!$A$5:$A$3000,0)),"")</f>
        <v/>
      </c>
      <c r="U155" s="23">
        <f>IFERROR(INDEX('Chart of Accounts'!$C$5:$C$3000,MATCH(P155&amp;"",'Chart of Accounts'!$A$5:$A$3000,0))&amp;"|"&amp;INDEX('Chart of Accounts'!$D$5:$D$3000,MATCH(P155&amp;"",'Chart of Accounts'!$A$5:$A$3000,0)),"")</f>
        <v/>
      </c>
      <c r="V155" s="23">
        <f>IFERROR(INDEX('Chart of Accounts'!$C$5:$C$3000,MATCH(R155&amp;"",'Chart of Accounts'!$A$5:$A$3000,0))&amp;"|"&amp;INDEX('Chart of Accounts'!$D$5:$D$3000,MATCH(R155&amp;"",'Chart of Accounts'!$A$5:$A$3000,0)),"")</f>
        <v/>
      </c>
      <c r="W155" s="23">
        <f>IF(LEFT(S155,8)="Revenue|",-N(F155),0)+IF(LEFT(T155,8)="Revenue|",-N(J155),0)+IF(LEFT(U155,8)="Revenue|",N(N155),0)+IF(LEFT(V155,8)="Revenue|",N(M155),0)</f>
        <v/>
      </c>
      <c r="X155" s="23">
        <f>IF(LEFT(S155,5)="COGS|",N(F155),0)+IF(LEFT(T155,5)="COGS|",N(J155),0)+IF(LEFT(U155,5)="COGS|",-N(N155),0)+IF(LEFT(V155,5)="COGS|",-N(M155),0)</f>
        <v/>
      </c>
      <c r="Y155" s="23">
        <f>IF(LEFT(S155,8)="Expense|",N(F155),0)+IF(LEFT(T155,8)="Expense|",N(J155),0)+IF(LEFT(U155,8)="Expense|",-N(N155),0)+IF(LEFT(V155,8)="Expense|",-N(M155),0)</f>
        <v/>
      </c>
      <c r="Z155" s="23">
        <f>IF(ISNUMBER(MATCH(S155,{"Expense|employee","Expense|general_admin","Expense|marketing","Expense|utilities","Expense|other_operating"},0)),N(F155),0)+IF(ISNUMBER(MATCH(T155,{"Expense|employee","Expense|general_admin","Expense|marketing","Expense|utilities","Expense|other_operating"},0)),N(J155),0)+IF(ISNUMBER(MATCH(U155,{"Expense|employee","Expense|general_admin","Expense|marketing","Expense|utilities","Expense|other_operating"},0)),-N(N155),0)+IF(ISNUMBER(MATCH(V155,{"Expense|employee","Expense|general_admin","Expense|marketing","Expense|utilities","Expense|other_operating"},0)),-N(M155),0)</f>
        <v/>
      </c>
      <c r="AA155" s="23">
        <f>IF(S155="Liability|payable",-N(F155),0)+IF(T155="Liability|payable",-N(J155),0)+IF(U155="Liability|payable",N(N155),0)+IF(V155="Liability|payable",N(M155),0)</f>
        <v/>
      </c>
      <c r="AB155" s="23">
        <f>IF(S155="Liability|accrued",-N(F155),0)+IF(T155="Liability|accrued",-N(J155),0)+IF(U155="Liability|accrued",N(N155),0)+IF(V155="Liability|accrued",N(M155),0)</f>
        <v/>
      </c>
      <c r="AC155" s="23">
        <f>IF(AND(N(F155)&lt;&gt;0,S155=""),1,0)+IF(AND(N(J155)&lt;&gt;0,T155=""),1,0)+IF(AND(N(N155)&lt;&gt;0,U155=""),1,0)+IF(AND(N(M155)&lt;&gt;0,V155=""),1,0)</f>
        <v/>
      </c>
    </row>
    <row r="156">
      <c r="A156" s="19" t="n"/>
      <c r="B156" s="14" t="n"/>
      <c r="C156" s="14" t="n"/>
      <c r="D156" s="14" t="n"/>
      <c r="E156" s="14" t="n"/>
      <c r="F156" s="20" t="n"/>
      <c r="G156" s="14" t="n"/>
      <c r="H156" s="14" t="n"/>
      <c r="I156" s="14" t="n"/>
      <c r="J156" s="20" t="n"/>
      <c r="K156" s="14" t="n"/>
      <c r="L156" s="21">
        <f>N(F156)+N(J156)</f>
        <v/>
      </c>
      <c r="M156" s="21">
        <f>IF(K156="",0,L156-ROUND(L156/(1+IFERROR(VLOOKUP(K156,'Tax Codes'!$A$5:$E$300,5,FALSE),0)),2))</f>
        <v/>
      </c>
      <c r="N156" s="21">
        <f>L156-M156</f>
        <v/>
      </c>
      <c r="O156" s="16">
        <f>IF(H156="",INDEX('Chart of Accounts'!$A$5:$A$3000,MATCH("bank",'Chart of Accounts'!$F$5:$F$3000,0)),H156&amp;"")</f>
        <v/>
      </c>
      <c r="P156" s="16">
        <f>IF(I156="",INDEX('Chart of Accounts'!$A$5:$A$3000,MATCH("revenue",'Chart of Accounts'!$F$5:$F$3000,0)),I156&amp;"")</f>
        <v/>
      </c>
      <c r="Q156" s="16">
        <f>INDEX('Chart of Accounts'!$A$5:$A$3000,MATCH("wht_receivable",'Chart of Accounts'!$F$5:$F$3000,0))</f>
        <v/>
      </c>
      <c r="R156" s="16">
        <f>INDEX('Chart of Accounts'!$A$5:$A$3000,MATCH("vat_output",'Chart of Accounts'!$F$5:$F$3000,0))</f>
        <v/>
      </c>
      <c r="S156" s="23">
        <f>IFERROR(INDEX('Chart of Accounts'!$C$5:$C$3000,MATCH(O156&amp;"",'Chart of Accounts'!$A$5:$A$3000,0))&amp;"|"&amp;INDEX('Chart of Accounts'!$D$5:$D$3000,MATCH(O156&amp;"",'Chart of Accounts'!$A$5:$A$3000,0)),"")</f>
        <v/>
      </c>
      <c r="T156" s="23">
        <f>IFERROR(INDEX('Chart of Accounts'!$C$5:$C$3000,MATCH(Q156&amp;"",'Chart of Accounts'!$A$5:$A$3000,0))&amp;"|"&amp;INDEX('Chart of Accounts'!$D$5:$D$3000,MATCH(Q156&amp;"",'Chart of Accounts'!$A$5:$A$3000,0)),"")</f>
        <v/>
      </c>
      <c r="U156" s="23">
        <f>IFERROR(INDEX('Chart of Accounts'!$C$5:$C$3000,MATCH(P156&amp;"",'Chart of Accounts'!$A$5:$A$3000,0))&amp;"|"&amp;INDEX('Chart of Accounts'!$D$5:$D$3000,MATCH(P156&amp;"",'Chart of Accounts'!$A$5:$A$3000,0)),"")</f>
        <v/>
      </c>
      <c r="V156" s="23">
        <f>IFERROR(INDEX('Chart of Accounts'!$C$5:$C$3000,MATCH(R156&amp;"",'Chart of Accounts'!$A$5:$A$3000,0))&amp;"|"&amp;INDEX('Chart of Accounts'!$D$5:$D$3000,MATCH(R156&amp;"",'Chart of Accounts'!$A$5:$A$3000,0)),"")</f>
        <v/>
      </c>
      <c r="W156" s="23">
        <f>IF(LEFT(S156,8)="Revenue|",-N(F156),0)+IF(LEFT(T156,8)="Revenue|",-N(J156),0)+IF(LEFT(U156,8)="Revenue|",N(N156),0)+IF(LEFT(V156,8)="Revenue|",N(M156),0)</f>
        <v/>
      </c>
      <c r="X156" s="23">
        <f>IF(LEFT(S156,5)="COGS|",N(F156),0)+IF(LEFT(T156,5)="COGS|",N(J156),0)+IF(LEFT(U156,5)="COGS|",-N(N156),0)+IF(LEFT(V156,5)="COGS|",-N(M156),0)</f>
        <v/>
      </c>
      <c r="Y156" s="23">
        <f>IF(LEFT(S156,8)="Expense|",N(F156),0)+IF(LEFT(T156,8)="Expense|",N(J156),0)+IF(LEFT(U156,8)="Expense|",-N(N156),0)+IF(LEFT(V156,8)="Expense|",-N(M156),0)</f>
        <v/>
      </c>
      <c r="Z156" s="23">
        <f>IF(ISNUMBER(MATCH(S156,{"Expense|employee","Expense|general_admin","Expense|marketing","Expense|utilities","Expense|other_operating"},0)),N(F156),0)+IF(ISNUMBER(MATCH(T156,{"Expense|employee","Expense|general_admin","Expense|marketing","Expense|utilities","Expense|other_operating"},0)),N(J156),0)+IF(ISNUMBER(MATCH(U156,{"Expense|employee","Expense|general_admin","Expense|marketing","Expense|utilities","Expense|other_operating"},0)),-N(N156),0)+IF(ISNUMBER(MATCH(V156,{"Expense|employee","Expense|general_admin","Expense|marketing","Expense|utilities","Expense|other_operating"},0)),-N(M156),0)</f>
        <v/>
      </c>
      <c r="AA156" s="23">
        <f>IF(S156="Liability|payable",-N(F156),0)+IF(T156="Liability|payable",-N(J156),0)+IF(U156="Liability|payable",N(N156),0)+IF(V156="Liability|payable",N(M156),0)</f>
        <v/>
      </c>
      <c r="AB156" s="23">
        <f>IF(S156="Liability|accrued",-N(F156),0)+IF(T156="Liability|accrued",-N(J156),0)+IF(U156="Liability|accrued",N(N156),0)+IF(V156="Liability|accrued",N(M156),0)</f>
        <v/>
      </c>
      <c r="AC156" s="23">
        <f>IF(AND(N(F156)&lt;&gt;0,S156=""),1,0)+IF(AND(N(J156)&lt;&gt;0,T156=""),1,0)+IF(AND(N(N156)&lt;&gt;0,U156=""),1,0)+IF(AND(N(M156)&lt;&gt;0,V156=""),1,0)</f>
        <v/>
      </c>
    </row>
    <row r="157">
      <c r="A157" s="19" t="n"/>
      <c r="B157" s="14" t="n"/>
      <c r="C157" s="14" t="n"/>
      <c r="D157" s="14" t="n"/>
      <c r="E157" s="14" t="n"/>
      <c r="F157" s="20" t="n"/>
      <c r="G157" s="14" t="n"/>
      <c r="H157" s="14" t="n"/>
      <c r="I157" s="14" t="n"/>
      <c r="J157" s="20" t="n"/>
      <c r="K157" s="14" t="n"/>
      <c r="L157" s="21">
        <f>N(F157)+N(J157)</f>
        <v/>
      </c>
      <c r="M157" s="21">
        <f>IF(K157="",0,L157-ROUND(L157/(1+IFERROR(VLOOKUP(K157,'Tax Codes'!$A$5:$E$300,5,FALSE),0)),2))</f>
        <v/>
      </c>
      <c r="N157" s="21">
        <f>L157-M157</f>
        <v/>
      </c>
      <c r="O157" s="16">
        <f>IF(H157="",INDEX('Chart of Accounts'!$A$5:$A$3000,MATCH("bank",'Chart of Accounts'!$F$5:$F$3000,0)),H157&amp;"")</f>
        <v/>
      </c>
      <c r="P157" s="16">
        <f>IF(I157="",INDEX('Chart of Accounts'!$A$5:$A$3000,MATCH("revenue",'Chart of Accounts'!$F$5:$F$3000,0)),I157&amp;"")</f>
        <v/>
      </c>
      <c r="Q157" s="16">
        <f>INDEX('Chart of Accounts'!$A$5:$A$3000,MATCH("wht_receivable",'Chart of Accounts'!$F$5:$F$3000,0))</f>
        <v/>
      </c>
      <c r="R157" s="16">
        <f>INDEX('Chart of Accounts'!$A$5:$A$3000,MATCH("vat_output",'Chart of Accounts'!$F$5:$F$3000,0))</f>
        <v/>
      </c>
      <c r="S157" s="23">
        <f>IFERROR(INDEX('Chart of Accounts'!$C$5:$C$3000,MATCH(O157&amp;"",'Chart of Accounts'!$A$5:$A$3000,0))&amp;"|"&amp;INDEX('Chart of Accounts'!$D$5:$D$3000,MATCH(O157&amp;"",'Chart of Accounts'!$A$5:$A$3000,0)),"")</f>
        <v/>
      </c>
      <c r="T157" s="23">
        <f>IFERROR(INDEX('Chart of Accounts'!$C$5:$C$3000,MATCH(Q157&amp;"",'Chart of Accounts'!$A$5:$A$3000,0))&amp;"|"&amp;INDEX('Chart of Accounts'!$D$5:$D$3000,MATCH(Q157&amp;"",'Chart of Accounts'!$A$5:$A$3000,0)),"")</f>
        <v/>
      </c>
      <c r="U157" s="23">
        <f>IFERROR(INDEX('Chart of Accounts'!$C$5:$C$3000,MATCH(P157&amp;"",'Chart of Accounts'!$A$5:$A$3000,0))&amp;"|"&amp;INDEX('Chart of Accounts'!$D$5:$D$3000,MATCH(P157&amp;"",'Chart of Accounts'!$A$5:$A$3000,0)),"")</f>
        <v/>
      </c>
      <c r="V157" s="23">
        <f>IFERROR(INDEX('Chart of Accounts'!$C$5:$C$3000,MATCH(R157&amp;"",'Chart of Accounts'!$A$5:$A$3000,0))&amp;"|"&amp;INDEX('Chart of Accounts'!$D$5:$D$3000,MATCH(R157&amp;"",'Chart of Accounts'!$A$5:$A$3000,0)),"")</f>
        <v/>
      </c>
      <c r="W157" s="23">
        <f>IF(LEFT(S157,8)="Revenue|",-N(F157),0)+IF(LEFT(T157,8)="Revenue|",-N(J157),0)+IF(LEFT(U157,8)="Revenue|",N(N157),0)+IF(LEFT(V157,8)="Revenue|",N(M157),0)</f>
        <v/>
      </c>
      <c r="X157" s="23">
        <f>IF(LEFT(S157,5)="COGS|",N(F157),0)+IF(LEFT(T157,5)="COGS|",N(J157),0)+IF(LEFT(U157,5)="COGS|",-N(N157),0)+IF(LEFT(V157,5)="COGS|",-N(M157),0)</f>
        <v/>
      </c>
      <c r="Y157" s="23">
        <f>IF(LEFT(S157,8)="Expense|",N(F157),0)+IF(LEFT(T157,8)="Expense|",N(J157),0)+IF(LEFT(U157,8)="Expense|",-N(N157),0)+IF(LEFT(V157,8)="Expense|",-N(M157),0)</f>
        <v/>
      </c>
      <c r="Z157" s="23">
        <f>IF(ISNUMBER(MATCH(S157,{"Expense|employee","Expense|general_admin","Expense|marketing","Expense|utilities","Expense|other_operating"},0)),N(F157),0)+IF(ISNUMBER(MATCH(T157,{"Expense|employee","Expense|general_admin","Expense|marketing","Expense|utilities","Expense|other_operating"},0)),N(J157),0)+IF(ISNUMBER(MATCH(U157,{"Expense|employee","Expense|general_admin","Expense|marketing","Expense|utilities","Expense|other_operating"},0)),-N(N157),0)+IF(ISNUMBER(MATCH(V157,{"Expense|employee","Expense|general_admin","Expense|marketing","Expense|utilities","Expense|other_operating"},0)),-N(M157),0)</f>
        <v/>
      </c>
      <c r="AA157" s="23">
        <f>IF(S157="Liability|payable",-N(F157),0)+IF(T157="Liability|payable",-N(J157),0)+IF(U157="Liability|payable",N(N157),0)+IF(V157="Liability|payable",N(M157),0)</f>
        <v/>
      </c>
      <c r="AB157" s="23">
        <f>IF(S157="Liability|accrued",-N(F157),0)+IF(T157="Liability|accrued",-N(J157),0)+IF(U157="Liability|accrued",N(N157),0)+IF(V157="Liability|accrued",N(M157),0)</f>
        <v/>
      </c>
      <c r="AC157" s="23">
        <f>IF(AND(N(F157)&lt;&gt;0,S157=""),1,0)+IF(AND(N(J157)&lt;&gt;0,T157=""),1,0)+IF(AND(N(N157)&lt;&gt;0,U157=""),1,0)+IF(AND(N(M157)&lt;&gt;0,V157=""),1,0)</f>
        <v/>
      </c>
    </row>
    <row r="158">
      <c r="A158" s="19" t="n"/>
      <c r="B158" s="14" t="n"/>
      <c r="C158" s="14" t="n"/>
      <c r="D158" s="14" t="n"/>
      <c r="E158" s="14" t="n"/>
      <c r="F158" s="20" t="n"/>
      <c r="G158" s="14" t="n"/>
      <c r="H158" s="14" t="n"/>
      <c r="I158" s="14" t="n"/>
      <c r="J158" s="20" t="n"/>
      <c r="K158" s="14" t="n"/>
      <c r="L158" s="21">
        <f>N(F158)+N(J158)</f>
        <v/>
      </c>
      <c r="M158" s="21">
        <f>IF(K158="",0,L158-ROUND(L158/(1+IFERROR(VLOOKUP(K158,'Tax Codes'!$A$5:$E$300,5,FALSE),0)),2))</f>
        <v/>
      </c>
      <c r="N158" s="21">
        <f>L158-M158</f>
        <v/>
      </c>
      <c r="O158" s="16">
        <f>IF(H158="",INDEX('Chart of Accounts'!$A$5:$A$3000,MATCH("bank",'Chart of Accounts'!$F$5:$F$3000,0)),H158&amp;"")</f>
        <v/>
      </c>
      <c r="P158" s="16">
        <f>IF(I158="",INDEX('Chart of Accounts'!$A$5:$A$3000,MATCH("revenue",'Chart of Accounts'!$F$5:$F$3000,0)),I158&amp;"")</f>
        <v/>
      </c>
      <c r="Q158" s="16">
        <f>INDEX('Chart of Accounts'!$A$5:$A$3000,MATCH("wht_receivable",'Chart of Accounts'!$F$5:$F$3000,0))</f>
        <v/>
      </c>
      <c r="R158" s="16">
        <f>INDEX('Chart of Accounts'!$A$5:$A$3000,MATCH("vat_output",'Chart of Accounts'!$F$5:$F$3000,0))</f>
        <v/>
      </c>
      <c r="S158" s="23">
        <f>IFERROR(INDEX('Chart of Accounts'!$C$5:$C$3000,MATCH(O158&amp;"",'Chart of Accounts'!$A$5:$A$3000,0))&amp;"|"&amp;INDEX('Chart of Accounts'!$D$5:$D$3000,MATCH(O158&amp;"",'Chart of Accounts'!$A$5:$A$3000,0)),"")</f>
        <v/>
      </c>
      <c r="T158" s="23">
        <f>IFERROR(INDEX('Chart of Accounts'!$C$5:$C$3000,MATCH(Q158&amp;"",'Chart of Accounts'!$A$5:$A$3000,0))&amp;"|"&amp;INDEX('Chart of Accounts'!$D$5:$D$3000,MATCH(Q158&amp;"",'Chart of Accounts'!$A$5:$A$3000,0)),"")</f>
        <v/>
      </c>
      <c r="U158" s="23">
        <f>IFERROR(INDEX('Chart of Accounts'!$C$5:$C$3000,MATCH(P158&amp;"",'Chart of Accounts'!$A$5:$A$3000,0))&amp;"|"&amp;INDEX('Chart of Accounts'!$D$5:$D$3000,MATCH(P158&amp;"",'Chart of Accounts'!$A$5:$A$3000,0)),"")</f>
        <v/>
      </c>
      <c r="V158" s="23">
        <f>IFERROR(INDEX('Chart of Accounts'!$C$5:$C$3000,MATCH(R158&amp;"",'Chart of Accounts'!$A$5:$A$3000,0))&amp;"|"&amp;INDEX('Chart of Accounts'!$D$5:$D$3000,MATCH(R158&amp;"",'Chart of Accounts'!$A$5:$A$3000,0)),"")</f>
        <v/>
      </c>
      <c r="W158" s="23">
        <f>IF(LEFT(S158,8)="Revenue|",-N(F158),0)+IF(LEFT(T158,8)="Revenue|",-N(J158),0)+IF(LEFT(U158,8)="Revenue|",N(N158),0)+IF(LEFT(V158,8)="Revenue|",N(M158),0)</f>
        <v/>
      </c>
      <c r="X158" s="23">
        <f>IF(LEFT(S158,5)="COGS|",N(F158),0)+IF(LEFT(T158,5)="COGS|",N(J158),0)+IF(LEFT(U158,5)="COGS|",-N(N158),0)+IF(LEFT(V158,5)="COGS|",-N(M158),0)</f>
        <v/>
      </c>
      <c r="Y158" s="23">
        <f>IF(LEFT(S158,8)="Expense|",N(F158),0)+IF(LEFT(T158,8)="Expense|",N(J158),0)+IF(LEFT(U158,8)="Expense|",-N(N158),0)+IF(LEFT(V158,8)="Expense|",-N(M158),0)</f>
        <v/>
      </c>
      <c r="Z158" s="23">
        <f>IF(ISNUMBER(MATCH(S158,{"Expense|employee","Expense|general_admin","Expense|marketing","Expense|utilities","Expense|other_operating"},0)),N(F158),0)+IF(ISNUMBER(MATCH(T158,{"Expense|employee","Expense|general_admin","Expense|marketing","Expense|utilities","Expense|other_operating"},0)),N(J158),0)+IF(ISNUMBER(MATCH(U158,{"Expense|employee","Expense|general_admin","Expense|marketing","Expense|utilities","Expense|other_operating"},0)),-N(N158),0)+IF(ISNUMBER(MATCH(V158,{"Expense|employee","Expense|general_admin","Expense|marketing","Expense|utilities","Expense|other_operating"},0)),-N(M158),0)</f>
        <v/>
      </c>
      <c r="AA158" s="23">
        <f>IF(S158="Liability|payable",-N(F158),0)+IF(T158="Liability|payable",-N(J158),0)+IF(U158="Liability|payable",N(N158),0)+IF(V158="Liability|payable",N(M158),0)</f>
        <v/>
      </c>
      <c r="AB158" s="23">
        <f>IF(S158="Liability|accrued",-N(F158),0)+IF(T158="Liability|accrued",-N(J158),0)+IF(U158="Liability|accrued",N(N158),0)+IF(V158="Liability|accrued",N(M158),0)</f>
        <v/>
      </c>
      <c r="AC158" s="23">
        <f>IF(AND(N(F158)&lt;&gt;0,S158=""),1,0)+IF(AND(N(J158)&lt;&gt;0,T158=""),1,0)+IF(AND(N(N158)&lt;&gt;0,U158=""),1,0)+IF(AND(N(M158)&lt;&gt;0,V158=""),1,0)</f>
        <v/>
      </c>
    </row>
    <row r="159">
      <c r="A159" s="19" t="n"/>
      <c r="B159" s="14" t="n"/>
      <c r="C159" s="14" t="n"/>
      <c r="D159" s="14" t="n"/>
      <c r="E159" s="14" t="n"/>
      <c r="F159" s="20" t="n"/>
      <c r="G159" s="14" t="n"/>
      <c r="H159" s="14" t="n"/>
      <c r="I159" s="14" t="n"/>
      <c r="J159" s="20" t="n"/>
      <c r="K159" s="14" t="n"/>
      <c r="L159" s="21">
        <f>N(F159)+N(J159)</f>
        <v/>
      </c>
      <c r="M159" s="21">
        <f>IF(K159="",0,L159-ROUND(L159/(1+IFERROR(VLOOKUP(K159,'Tax Codes'!$A$5:$E$300,5,FALSE),0)),2))</f>
        <v/>
      </c>
      <c r="N159" s="21">
        <f>L159-M159</f>
        <v/>
      </c>
      <c r="O159" s="16">
        <f>IF(H159="",INDEX('Chart of Accounts'!$A$5:$A$3000,MATCH("bank",'Chart of Accounts'!$F$5:$F$3000,0)),H159&amp;"")</f>
        <v/>
      </c>
      <c r="P159" s="16">
        <f>IF(I159="",INDEX('Chart of Accounts'!$A$5:$A$3000,MATCH("revenue",'Chart of Accounts'!$F$5:$F$3000,0)),I159&amp;"")</f>
        <v/>
      </c>
      <c r="Q159" s="16">
        <f>INDEX('Chart of Accounts'!$A$5:$A$3000,MATCH("wht_receivable",'Chart of Accounts'!$F$5:$F$3000,0))</f>
        <v/>
      </c>
      <c r="R159" s="16">
        <f>INDEX('Chart of Accounts'!$A$5:$A$3000,MATCH("vat_output",'Chart of Accounts'!$F$5:$F$3000,0))</f>
        <v/>
      </c>
      <c r="S159" s="23">
        <f>IFERROR(INDEX('Chart of Accounts'!$C$5:$C$3000,MATCH(O159&amp;"",'Chart of Accounts'!$A$5:$A$3000,0))&amp;"|"&amp;INDEX('Chart of Accounts'!$D$5:$D$3000,MATCH(O159&amp;"",'Chart of Accounts'!$A$5:$A$3000,0)),"")</f>
        <v/>
      </c>
      <c r="T159" s="23">
        <f>IFERROR(INDEX('Chart of Accounts'!$C$5:$C$3000,MATCH(Q159&amp;"",'Chart of Accounts'!$A$5:$A$3000,0))&amp;"|"&amp;INDEX('Chart of Accounts'!$D$5:$D$3000,MATCH(Q159&amp;"",'Chart of Accounts'!$A$5:$A$3000,0)),"")</f>
        <v/>
      </c>
      <c r="U159" s="23">
        <f>IFERROR(INDEX('Chart of Accounts'!$C$5:$C$3000,MATCH(P159&amp;"",'Chart of Accounts'!$A$5:$A$3000,0))&amp;"|"&amp;INDEX('Chart of Accounts'!$D$5:$D$3000,MATCH(P159&amp;"",'Chart of Accounts'!$A$5:$A$3000,0)),"")</f>
        <v/>
      </c>
      <c r="V159" s="23">
        <f>IFERROR(INDEX('Chart of Accounts'!$C$5:$C$3000,MATCH(R159&amp;"",'Chart of Accounts'!$A$5:$A$3000,0))&amp;"|"&amp;INDEX('Chart of Accounts'!$D$5:$D$3000,MATCH(R159&amp;"",'Chart of Accounts'!$A$5:$A$3000,0)),"")</f>
        <v/>
      </c>
      <c r="W159" s="23">
        <f>IF(LEFT(S159,8)="Revenue|",-N(F159),0)+IF(LEFT(T159,8)="Revenue|",-N(J159),0)+IF(LEFT(U159,8)="Revenue|",N(N159),0)+IF(LEFT(V159,8)="Revenue|",N(M159),0)</f>
        <v/>
      </c>
      <c r="X159" s="23">
        <f>IF(LEFT(S159,5)="COGS|",N(F159),0)+IF(LEFT(T159,5)="COGS|",N(J159),0)+IF(LEFT(U159,5)="COGS|",-N(N159),0)+IF(LEFT(V159,5)="COGS|",-N(M159),0)</f>
        <v/>
      </c>
      <c r="Y159" s="23">
        <f>IF(LEFT(S159,8)="Expense|",N(F159),0)+IF(LEFT(T159,8)="Expense|",N(J159),0)+IF(LEFT(U159,8)="Expense|",-N(N159),0)+IF(LEFT(V159,8)="Expense|",-N(M159),0)</f>
        <v/>
      </c>
      <c r="Z159" s="23">
        <f>IF(ISNUMBER(MATCH(S159,{"Expense|employee","Expense|general_admin","Expense|marketing","Expense|utilities","Expense|other_operating"},0)),N(F159),0)+IF(ISNUMBER(MATCH(T159,{"Expense|employee","Expense|general_admin","Expense|marketing","Expense|utilities","Expense|other_operating"},0)),N(J159),0)+IF(ISNUMBER(MATCH(U159,{"Expense|employee","Expense|general_admin","Expense|marketing","Expense|utilities","Expense|other_operating"},0)),-N(N159),0)+IF(ISNUMBER(MATCH(V159,{"Expense|employee","Expense|general_admin","Expense|marketing","Expense|utilities","Expense|other_operating"},0)),-N(M159),0)</f>
        <v/>
      </c>
      <c r="AA159" s="23">
        <f>IF(S159="Liability|payable",-N(F159),0)+IF(T159="Liability|payable",-N(J159),0)+IF(U159="Liability|payable",N(N159),0)+IF(V159="Liability|payable",N(M159),0)</f>
        <v/>
      </c>
      <c r="AB159" s="23">
        <f>IF(S159="Liability|accrued",-N(F159),0)+IF(T159="Liability|accrued",-N(J159),0)+IF(U159="Liability|accrued",N(N159),0)+IF(V159="Liability|accrued",N(M159),0)</f>
        <v/>
      </c>
      <c r="AC159" s="23">
        <f>IF(AND(N(F159)&lt;&gt;0,S159=""),1,0)+IF(AND(N(J159)&lt;&gt;0,T159=""),1,0)+IF(AND(N(N159)&lt;&gt;0,U159=""),1,0)+IF(AND(N(M159)&lt;&gt;0,V159=""),1,0)</f>
        <v/>
      </c>
    </row>
    <row r="160">
      <c r="A160" s="19" t="n"/>
      <c r="B160" s="14" t="n"/>
      <c r="C160" s="14" t="n"/>
      <c r="D160" s="14" t="n"/>
      <c r="E160" s="14" t="n"/>
      <c r="F160" s="20" t="n"/>
      <c r="G160" s="14" t="n"/>
      <c r="H160" s="14" t="n"/>
      <c r="I160" s="14" t="n"/>
      <c r="J160" s="20" t="n"/>
      <c r="K160" s="14" t="n"/>
      <c r="L160" s="21">
        <f>N(F160)+N(J160)</f>
        <v/>
      </c>
      <c r="M160" s="21">
        <f>IF(K160="",0,L160-ROUND(L160/(1+IFERROR(VLOOKUP(K160,'Tax Codes'!$A$5:$E$300,5,FALSE),0)),2))</f>
        <v/>
      </c>
      <c r="N160" s="21">
        <f>L160-M160</f>
        <v/>
      </c>
      <c r="O160" s="16">
        <f>IF(H160="",INDEX('Chart of Accounts'!$A$5:$A$3000,MATCH("bank",'Chart of Accounts'!$F$5:$F$3000,0)),H160&amp;"")</f>
        <v/>
      </c>
      <c r="P160" s="16">
        <f>IF(I160="",INDEX('Chart of Accounts'!$A$5:$A$3000,MATCH("revenue",'Chart of Accounts'!$F$5:$F$3000,0)),I160&amp;"")</f>
        <v/>
      </c>
      <c r="Q160" s="16">
        <f>INDEX('Chart of Accounts'!$A$5:$A$3000,MATCH("wht_receivable",'Chart of Accounts'!$F$5:$F$3000,0))</f>
        <v/>
      </c>
      <c r="R160" s="16">
        <f>INDEX('Chart of Accounts'!$A$5:$A$3000,MATCH("vat_output",'Chart of Accounts'!$F$5:$F$3000,0))</f>
        <v/>
      </c>
      <c r="S160" s="23">
        <f>IFERROR(INDEX('Chart of Accounts'!$C$5:$C$3000,MATCH(O160&amp;"",'Chart of Accounts'!$A$5:$A$3000,0))&amp;"|"&amp;INDEX('Chart of Accounts'!$D$5:$D$3000,MATCH(O160&amp;"",'Chart of Accounts'!$A$5:$A$3000,0)),"")</f>
        <v/>
      </c>
      <c r="T160" s="23">
        <f>IFERROR(INDEX('Chart of Accounts'!$C$5:$C$3000,MATCH(Q160&amp;"",'Chart of Accounts'!$A$5:$A$3000,0))&amp;"|"&amp;INDEX('Chart of Accounts'!$D$5:$D$3000,MATCH(Q160&amp;"",'Chart of Accounts'!$A$5:$A$3000,0)),"")</f>
        <v/>
      </c>
      <c r="U160" s="23">
        <f>IFERROR(INDEX('Chart of Accounts'!$C$5:$C$3000,MATCH(P160&amp;"",'Chart of Accounts'!$A$5:$A$3000,0))&amp;"|"&amp;INDEX('Chart of Accounts'!$D$5:$D$3000,MATCH(P160&amp;"",'Chart of Accounts'!$A$5:$A$3000,0)),"")</f>
        <v/>
      </c>
      <c r="V160" s="23">
        <f>IFERROR(INDEX('Chart of Accounts'!$C$5:$C$3000,MATCH(R160&amp;"",'Chart of Accounts'!$A$5:$A$3000,0))&amp;"|"&amp;INDEX('Chart of Accounts'!$D$5:$D$3000,MATCH(R160&amp;"",'Chart of Accounts'!$A$5:$A$3000,0)),"")</f>
        <v/>
      </c>
      <c r="W160" s="23">
        <f>IF(LEFT(S160,8)="Revenue|",-N(F160),0)+IF(LEFT(T160,8)="Revenue|",-N(J160),0)+IF(LEFT(U160,8)="Revenue|",N(N160),0)+IF(LEFT(V160,8)="Revenue|",N(M160),0)</f>
        <v/>
      </c>
      <c r="X160" s="23">
        <f>IF(LEFT(S160,5)="COGS|",N(F160),0)+IF(LEFT(T160,5)="COGS|",N(J160),0)+IF(LEFT(U160,5)="COGS|",-N(N160),0)+IF(LEFT(V160,5)="COGS|",-N(M160),0)</f>
        <v/>
      </c>
      <c r="Y160" s="23">
        <f>IF(LEFT(S160,8)="Expense|",N(F160),0)+IF(LEFT(T160,8)="Expense|",N(J160),0)+IF(LEFT(U160,8)="Expense|",-N(N160),0)+IF(LEFT(V160,8)="Expense|",-N(M160),0)</f>
        <v/>
      </c>
      <c r="Z160" s="23">
        <f>IF(ISNUMBER(MATCH(S160,{"Expense|employee","Expense|general_admin","Expense|marketing","Expense|utilities","Expense|other_operating"},0)),N(F160),0)+IF(ISNUMBER(MATCH(T160,{"Expense|employee","Expense|general_admin","Expense|marketing","Expense|utilities","Expense|other_operating"},0)),N(J160),0)+IF(ISNUMBER(MATCH(U160,{"Expense|employee","Expense|general_admin","Expense|marketing","Expense|utilities","Expense|other_operating"},0)),-N(N160),0)+IF(ISNUMBER(MATCH(V160,{"Expense|employee","Expense|general_admin","Expense|marketing","Expense|utilities","Expense|other_operating"},0)),-N(M160),0)</f>
        <v/>
      </c>
      <c r="AA160" s="23">
        <f>IF(S160="Liability|payable",-N(F160),0)+IF(T160="Liability|payable",-N(J160),0)+IF(U160="Liability|payable",N(N160),0)+IF(V160="Liability|payable",N(M160),0)</f>
        <v/>
      </c>
      <c r="AB160" s="23">
        <f>IF(S160="Liability|accrued",-N(F160),0)+IF(T160="Liability|accrued",-N(J160),0)+IF(U160="Liability|accrued",N(N160),0)+IF(V160="Liability|accrued",N(M160),0)</f>
        <v/>
      </c>
      <c r="AC160" s="23">
        <f>IF(AND(N(F160)&lt;&gt;0,S160=""),1,0)+IF(AND(N(J160)&lt;&gt;0,T160=""),1,0)+IF(AND(N(N160)&lt;&gt;0,U160=""),1,0)+IF(AND(N(M160)&lt;&gt;0,V160=""),1,0)</f>
        <v/>
      </c>
    </row>
    <row r="161">
      <c r="A161" s="19" t="n"/>
      <c r="B161" s="14" t="n"/>
      <c r="C161" s="14" t="n"/>
      <c r="D161" s="14" t="n"/>
      <c r="E161" s="14" t="n"/>
      <c r="F161" s="20" t="n"/>
      <c r="G161" s="14" t="n"/>
      <c r="H161" s="14" t="n"/>
      <c r="I161" s="14" t="n"/>
      <c r="J161" s="20" t="n"/>
      <c r="K161" s="14" t="n"/>
      <c r="L161" s="21">
        <f>N(F161)+N(J161)</f>
        <v/>
      </c>
      <c r="M161" s="21">
        <f>IF(K161="",0,L161-ROUND(L161/(1+IFERROR(VLOOKUP(K161,'Tax Codes'!$A$5:$E$300,5,FALSE),0)),2))</f>
        <v/>
      </c>
      <c r="N161" s="21">
        <f>L161-M161</f>
        <v/>
      </c>
      <c r="O161" s="16">
        <f>IF(H161="",INDEX('Chart of Accounts'!$A$5:$A$3000,MATCH("bank",'Chart of Accounts'!$F$5:$F$3000,0)),H161&amp;"")</f>
        <v/>
      </c>
      <c r="P161" s="16">
        <f>IF(I161="",INDEX('Chart of Accounts'!$A$5:$A$3000,MATCH("revenue",'Chart of Accounts'!$F$5:$F$3000,0)),I161&amp;"")</f>
        <v/>
      </c>
      <c r="Q161" s="16">
        <f>INDEX('Chart of Accounts'!$A$5:$A$3000,MATCH("wht_receivable",'Chart of Accounts'!$F$5:$F$3000,0))</f>
        <v/>
      </c>
      <c r="R161" s="16">
        <f>INDEX('Chart of Accounts'!$A$5:$A$3000,MATCH("vat_output",'Chart of Accounts'!$F$5:$F$3000,0))</f>
        <v/>
      </c>
      <c r="S161" s="23">
        <f>IFERROR(INDEX('Chart of Accounts'!$C$5:$C$3000,MATCH(O161&amp;"",'Chart of Accounts'!$A$5:$A$3000,0))&amp;"|"&amp;INDEX('Chart of Accounts'!$D$5:$D$3000,MATCH(O161&amp;"",'Chart of Accounts'!$A$5:$A$3000,0)),"")</f>
        <v/>
      </c>
      <c r="T161" s="23">
        <f>IFERROR(INDEX('Chart of Accounts'!$C$5:$C$3000,MATCH(Q161&amp;"",'Chart of Accounts'!$A$5:$A$3000,0))&amp;"|"&amp;INDEX('Chart of Accounts'!$D$5:$D$3000,MATCH(Q161&amp;"",'Chart of Accounts'!$A$5:$A$3000,0)),"")</f>
        <v/>
      </c>
      <c r="U161" s="23">
        <f>IFERROR(INDEX('Chart of Accounts'!$C$5:$C$3000,MATCH(P161&amp;"",'Chart of Accounts'!$A$5:$A$3000,0))&amp;"|"&amp;INDEX('Chart of Accounts'!$D$5:$D$3000,MATCH(P161&amp;"",'Chart of Accounts'!$A$5:$A$3000,0)),"")</f>
        <v/>
      </c>
      <c r="V161" s="23">
        <f>IFERROR(INDEX('Chart of Accounts'!$C$5:$C$3000,MATCH(R161&amp;"",'Chart of Accounts'!$A$5:$A$3000,0))&amp;"|"&amp;INDEX('Chart of Accounts'!$D$5:$D$3000,MATCH(R161&amp;"",'Chart of Accounts'!$A$5:$A$3000,0)),"")</f>
        <v/>
      </c>
      <c r="W161" s="23">
        <f>IF(LEFT(S161,8)="Revenue|",-N(F161),0)+IF(LEFT(T161,8)="Revenue|",-N(J161),0)+IF(LEFT(U161,8)="Revenue|",N(N161),0)+IF(LEFT(V161,8)="Revenue|",N(M161),0)</f>
        <v/>
      </c>
      <c r="X161" s="23">
        <f>IF(LEFT(S161,5)="COGS|",N(F161),0)+IF(LEFT(T161,5)="COGS|",N(J161),0)+IF(LEFT(U161,5)="COGS|",-N(N161),0)+IF(LEFT(V161,5)="COGS|",-N(M161),0)</f>
        <v/>
      </c>
      <c r="Y161" s="23">
        <f>IF(LEFT(S161,8)="Expense|",N(F161),0)+IF(LEFT(T161,8)="Expense|",N(J161),0)+IF(LEFT(U161,8)="Expense|",-N(N161),0)+IF(LEFT(V161,8)="Expense|",-N(M161),0)</f>
        <v/>
      </c>
      <c r="Z161" s="23">
        <f>IF(ISNUMBER(MATCH(S161,{"Expense|employee","Expense|general_admin","Expense|marketing","Expense|utilities","Expense|other_operating"},0)),N(F161),0)+IF(ISNUMBER(MATCH(T161,{"Expense|employee","Expense|general_admin","Expense|marketing","Expense|utilities","Expense|other_operating"},0)),N(J161),0)+IF(ISNUMBER(MATCH(U161,{"Expense|employee","Expense|general_admin","Expense|marketing","Expense|utilities","Expense|other_operating"},0)),-N(N161),0)+IF(ISNUMBER(MATCH(V161,{"Expense|employee","Expense|general_admin","Expense|marketing","Expense|utilities","Expense|other_operating"},0)),-N(M161),0)</f>
        <v/>
      </c>
      <c r="AA161" s="23">
        <f>IF(S161="Liability|payable",-N(F161),0)+IF(T161="Liability|payable",-N(J161),0)+IF(U161="Liability|payable",N(N161),0)+IF(V161="Liability|payable",N(M161),0)</f>
        <v/>
      </c>
      <c r="AB161" s="23">
        <f>IF(S161="Liability|accrued",-N(F161),0)+IF(T161="Liability|accrued",-N(J161),0)+IF(U161="Liability|accrued",N(N161),0)+IF(V161="Liability|accrued",N(M161),0)</f>
        <v/>
      </c>
      <c r="AC161" s="23">
        <f>IF(AND(N(F161)&lt;&gt;0,S161=""),1,0)+IF(AND(N(J161)&lt;&gt;0,T161=""),1,0)+IF(AND(N(N161)&lt;&gt;0,U161=""),1,0)+IF(AND(N(M161)&lt;&gt;0,V161=""),1,0)</f>
        <v/>
      </c>
    </row>
    <row r="162">
      <c r="A162" s="19" t="n"/>
      <c r="B162" s="14" t="n"/>
      <c r="C162" s="14" t="n"/>
      <c r="D162" s="14" t="n"/>
      <c r="E162" s="14" t="n"/>
      <c r="F162" s="20" t="n"/>
      <c r="G162" s="14" t="n"/>
      <c r="H162" s="14" t="n"/>
      <c r="I162" s="14" t="n"/>
      <c r="J162" s="20" t="n"/>
      <c r="K162" s="14" t="n"/>
      <c r="L162" s="21">
        <f>N(F162)+N(J162)</f>
        <v/>
      </c>
      <c r="M162" s="21">
        <f>IF(K162="",0,L162-ROUND(L162/(1+IFERROR(VLOOKUP(K162,'Tax Codes'!$A$5:$E$300,5,FALSE),0)),2))</f>
        <v/>
      </c>
      <c r="N162" s="21">
        <f>L162-M162</f>
        <v/>
      </c>
      <c r="O162" s="16">
        <f>IF(H162="",INDEX('Chart of Accounts'!$A$5:$A$3000,MATCH("bank",'Chart of Accounts'!$F$5:$F$3000,0)),H162&amp;"")</f>
        <v/>
      </c>
      <c r="P162" s="16">
        <f>IF(I162="",INDEX('Chart of Accounts'!$A$5:$A$3000,MATCH("revenue",'Chart of Accounts'!$F$5:$F$3000,0)),I162&amp;"")</f>
        <v/>
      </c>
      <c r="Q162" s="16">
        <f>INDEX('Chart of Accounts'!$A$5:$A$3000,MATCH("wht_receivable",'Chart of Accounts'!$F$5:$F$3000,0))</f>
        <v/>
      </c>
      <c r="R162" s="16">
        <f>INDEX('Chart of Accounts'!$A$5:$A$3000,MATCH("vat_output",'Chart of Accounts'!$F$5:$F$3000,0))</f>
        <v/>
      </c>
      <c r="S162" s="23">
        <f>IFERROR(INDEX('Chart of Accounts'!$C$5:$C$3000,MATCH(O162&amp;"",'Chart of Accounts'!$A$5:$A$3000,0))&amp;"|"&amp;INDEX('Chart of Accounts'!$D$5:$D$3000,MATCH(O162&amp;"",'Chart of Accounts'!$A$5:$A$3000,0)),"")</f>
        <v/>
      </c>
      <c r="T162" s="23">
        <f>IFERROR(INDEX('Chart of Accounts'!$C$5:$C$3000,MATCH(Q162&amp;"",'Chart of Accounts'!$A$5:$A$3000,0))&amp;"|"&amp;INDEX('Chart of Accounts'!$D$5:$D$3000,MATCH(Q162&amp;"",'Chart of Accounts'!$A$5:$A$3000,0)),"")</f>
        <v/>
      </c>
      <c r="U162" s="23">
        <f>IFERROR(INDEX('Chart of Accounts'!$C$5:$C$3000,MATCH(P162&amp;"",'Chart of Accounts'!$A$5:$A$3000,0))&amp;"|"&amp;INDEX('Chart of Accounts'!$D$5:$D$3000,MATCH(P162&amp;"",'Chart of Accounts'!$A$5:$A$3000,0)),"")</f>
        <v/>
      </c>
      <c r="V162" s="23">
        <f>IFERROR(INDEX('Chart of Accounts'!$C$5:$C$3000,MATCH(R162&amp;"",'Chart of Accounts'!$A$5:$A$3000,0))&amp;"|"&amp;INDEX('Chart of Accounts'!$D$5:$D$3000,MATCH(R162&amp;"",'Chart of Accounts'!$A$5:$A$3000,0)),"")</f>
        <v/>
      </c>
      <c r="W162" s="23">
        <f>IF(LEFT(S162,8)="Revenue|",-N(F162),0)+IF(LEFT(T162,8)="Revenue|",-N(J162),0)+IF(LEFT(U162,8)="Revenue|",N(N162),0)+IF(LEFT(V162,8)="Revenue|",N(M162),0)</f>
        <v/>
      </c>
      <c r="X162" s="23">
        <f>IF(LEFT(S162,5)="COGS|",N(F162),0)+IF(LEFT(T162,5)="COGS|",N(J162),0)+IF(LEFT(U162,5)="COGS|",-N(N162),0)+IF(LEFT(V162,5)="COGS|",-N(M162),0)</f>
        <v/>
      </c>
      <c r="Y162" s="23">
        <f>IF(LEFT(S162,8)="Expense|",N(F162),0)+IF(LEFT(T162,8)="Expense|",N(J162),0)+IF(LEFT(U162,8)="Expense|",-N(N162),0)+IF(LEFT(V162,8)="Expense|",-N(M162),0)</f>
        <v/>
      </c>
      <c r="Z162" s="23">
        <f>IF(ISNUMBER(MATCH(S162,{"Expense|employee","Expense|general_admin","Expense|marketing","Expense|utilities","Expense|other_operating"},0)),N(F162),0)+IF(ISNUMBER(MATCH(T162,{"Expense|employee","Expense|general_admin","Expense|marketing","Expense|utilities","Expense|other_operating"},0)),N(J162),0)+IF(ISNUMBER(MATCH(U162,{"Expense|employee","Expense|general_admin","Expense|marketing","Expense|utilities","Expense|other_operating"},0)),-N(N162),0)+IF(ISNUMBER(MATCH(V162,{"Expense|employee","Expense|general_admin","Expense|marketing","Expense|utilities","Expense|other_operating"},0)),-N(M162),0)</f>
        <v/>
      </c>
      <c r="AA162" s="23">
        <f>IF(S162="Liability|payable",-N(F162),0)+IF(T162="Liability|payable",-N(J162),0)+IF(U162="Liability|payable",N(N162),0)+IF(V162="Liability|payable",N(M162),0)</f>
        <v/>
      </c>
      <c r="AB162" s="23">
        <f>IF(S162="Liability|accrued",-N(F162),0)+IF(T162="Liability|accrued",-N(J162),0)+IF(U162="Liability|accrued",N(N162),0)+IF(V162="Liability|accrued",N(M162),0)</f>
        <v/>
      </c>
      <c r="AC162" s="23">
        <f>IF(AND(N(F162)&lt;&gt;0,S162=""),1,0)+IF(AND(N(J162)&lt;&gt;0,T162=""),1,0)+IF(AND(N(N162)&lt;&gt;0,U162=""),1,0)+IF(AND(N(M162)&lt;&gt;0,V162=""),1,0)</f>
        <v/>
      </c>
    </row>
    <row r="163">
      <c r="A163" s="19" t="n"/>
      <c r="B163" s="14" t="n"/>
      <c r="C163" s="14" t="n"/>
      <c r="D163" s="14" t="n"/>
      <c r="E163" s="14" t="n"/>
      <c r="F163" s="20" t="n"/>
      <c r="G163" s="14" t="n"/>
      <c r="H163" s="14" t="n"/>
      <c r="I163" s="14" t="n"/>
      <c r="J163" s="20" t="n"/>
      <c r="K163" s="14" t="n"/>
      <c r="L163" s="21">
        <f>N(F163)+N(J163)</f>
        <v/>
      </c>
      <c r="M163" s="21">
        <f>IF(K163="",0,L163-ROUND(L163/(1+IFERROR(VLOOKUP(K163,'Tax Codes'!$A$5:$E$300,5,FALSE),0)),2))</f>
        <v/>
      </c>
      <c r="N163" s="21">
        <f>L163-M163</f>
        <v/>
      </c>
      <c r="O163" s="16">
        <f>IF(H163="",INDEX('Chart of Accounts'!$A$5:$A$3000,MATCH("bank",'Chart of Accounts'!$F$5:$F$3000,0)),H163&amp;"")</f>
        <v/>
      </c>
      <c r="P163" s="16">
        <f>IF(I163="",INDEX('Chart of Accounts'!$A$5:$A$3000,MATCH("revenue",'Chart of Accounts'!$F$5:$F$3000,0)),I163&amp;"")</f>
        <v/>
      </c>
      <c r="Q163" s="16">
        <f>INDEX('Chart of Accounts'!$A$5:$A$3000,MATCH("wht_receivable",'Chart of Accounts'!$F$5:$F$3000,0))</f>
        <v/>
      </c>
      <c r="R163" s="16">
        <f>INDEX('Chart of Accounts'!$A$5:$A$3000,MATCH("vat_output",'Chart of Accounts'!$F$5:$F$3000,0))</f>
        <v/>
      </c>
      <c r="S163" s="23">
        <f>IFERROR(INDEX('Chart of Accounts'!$C$5:$C$3000,MATCH(O163&amp;"",'Chart of Accounts'!$A$5:$A$3000,0))&amp;"|"&amp;INDEX('Chart of Accounts'!$D$5:$D$3000,MATCH(O163&amp;"",'Chart of Accounts'!$A$5:$A$3000,0)),"")</f>
        <v/>
      </c>
      <c r="T163" s="23">
        <f>IFERROR(INDEX('Chart of Accounts'!$C$5:$C$3000,MATCH(Q163&amp;"",'Chart of Accounts'!$A$5:$A$3000,0))&amp;"|"&amp;INDEX('Chart of Accounts'!$D$5:$D$3000,MATCH(Q163&amp;"",'Chart of Accounts'!$A$5:$A$3000,0)),"")</f>
        <v/>
      </c>
      <c r="U163" s="23">
        <f>IFERROR(INDEX('Chart of Accounts'!$C$5:$C$3000,MATCH(P163&amp;"",'Chart of Accounts'!$A$5:$A$3000,0))&amp;"|"&amp;INDEX('Chart of Accounts'!$D$5:$D$3000,MATCH(P163&amp;"",'Chart of Accounts'!$A$5:$A$3000,0)),"")</f>
        <v/>
      </c>
      <c r="V163" s="23">
        <f>IFERROR(INDEX('Chart of Accounts'!$C$5:$C$3000,MATCH(R163&amp;"",'Chart of Accounts'!$A$5:$A$3000,0))&amp;"|"&amp;INDEX('Chart of Accounts'!$D$5:$D$3000,MATCH(R163&amp;"",'Chart of Accounts'!$A$5:$A$3000,0)),"")</f>
        <v/>
      </c>
      <c r="W163" s="23">
        <f>IF(LEFT(S163,8)="Revenue|",-N(F163),0)+IF(LEFT(T163,8)="Revenue|",-N(J163),0)+IF(LEFT(U163,8)="Revenue|",N(N163),0)+IF(LEFT(V163,8)="Revenue|",N(M163),0)</f>
        <v/>
      </c>
      <c r="X163" s="23">
        <f>IF(LEFT(S163,5)="COGS|",N(F163),0)+IF(LEFT(T163,5)="COGS|",N(J163),0)+IF(LEFT(U163,5)="COGS|",-N(N163),0)+IF(LEFT(V163,5)="COGS|",-N(M163),0)</f>
        <v/>
      </c>
      <c r="Y163" s="23">
        <f>IF(LEFT(S163,8)="Expense|",N(F163),0)+IF(LEFT(T163,8)="Expense|",N(J163),0)+IF(LEFT(U163,8)="Expense|",-N(N163),0)+IF(LEFT(V163,8)="Expense|",-N(M163),0)</f>
        <v/>
      </c>
      <c r="Z163" s="23">
        <f>IF(ISNUMBER(MATCH(S163,{"Expense|employee","Expense|general_admin","Expense|marketing","Expense|utilities","Expense|other_operating"},0)),N(F163),0)+IF(ISNUMBER(MATCH(T163,{"Expense|employee","Expense|general_admin","Expense|marketing","Expense|utilities","Expense|other_operating"},0)),N(J163),0)+IF(ISNUMBER(MATCH(U163,{"Expense|employee","Expense|general_admin","Expense|marketing","Expense|utilities","Expense|other_operating"},0)),-N(N163),0)+IF(ISNUMBER(MATCH(V163,{"Expense|employee","Expense|general_admin","Expense|marketing","Expense|utilities","Expense|other_operating"},0)),-N(M163),0)</f>
        <v/>
      </c>
      <c r="AA163" s="23">
        <f>IF(S163="Liability|payable",-N(F163),0)+IF(T163="Liability|payable",-N(J163),0)+IF(U163="Liability|payable",N(N163),0)+IF(V163="Liability|payable",N(M163),0)</f>
        <v/>
      </c>
      <c r="AB163" s="23">
        <f>IF(S163="Liability|accrued",-N(F163),0)+IF(T163="Liability|accrued",-N(J163),0)+IF(U163="Liability|accrued",N(N163),0)+IF(V163="Liability|accrued",N(M163),0)</f>
        <v/>
      </c>
      <c r="AC163" s="23">
        <f>IF(AND(N(F163)&lt;&gt;0,S163=""),1,0)+IF(AND(N(J163)&lt;&gt;0,T163=""),1,0)+IF(AND(N(N163)&lt;&gt;0,U163=""),1,0)+IF(AND(N(M163)&lt;&gt;0,V163=""),1,0)</f>
        <v/>
      </c>
    </row>
    <row r="164">
      <c r="A164" s="19" t="n"/>
      <c r="B164" s="14" t="n"/>
      <c r="C164" s="14" t="n"/>
      <c r="D164" s="14" t="n"/>
      <c r="E164" s="14" t="n"/>
      <c r="F164" s="20" t="n"/>
      <c r="G164" s="14" t="n"/>
      <c r="H164" s="14" t="n"/>
      <c r="I164" s="14" t="n"/>
      <c r="J164" s="20" t="n"/>
      <c r="K164" s="14" t="n"/>
      <c r="L164" s="21">
        <f>N(F164)+N(J164)</f>
        <v/>
      </c>
      <c r="M164" s="21">
        <f>IF(K164="",0,L164-ROUND(L164/(1+IFERROR(VLOOKUP(K164,'Tax Codes'!$A$5:$E$300,5,FALSE),0)),2))</f>
        <v/>
      </c>
      <c r="N164" s="21">
        <f>L164-M164</f>
        <v/>
      </c>
      <c r="O164" s="16">
        <f>IF(H164="",INDEX('Chart of Accounts'!$A$5:$A$3000,MATCH("bank",'Chart of Accounts'!$F$5:$F$3000,0)),H164&amp;"")</f>
        <v/>
      </c>
      <c r="P164" s="16">
        <f>IF(I164="",INDEX('Chart of Accounts'!$A$5:$A$3000,MATCH("revenue",'Chart of Accounts'!$F$5:$F$3000,0)),I164&amp;"")</f>
        <v/>
      </c>
      <c r="Q164" s="16">
        <f>INDEX('Chart of Accounts'!$A$5:$A$3000,MATCH("wht_receivable",'Chart of Accounts'!$F$5:$F$3000,0))</f>
        <v/>
      </c>
      <c r="R164" s="16">
        <f>INDEX('Chart of Accounts'!$A$5:$A$3000,MATCH("vat_output",'Chart of Accounts'!$F$5:$F$3000,0))</f>
        <v/>
      </c>
      <c r="S164" s="23">
        <f>IFERROR(INDEX('Chart of Accounts'!$C$5:$C$3000,MATCH(O164&amp;"",'Chart of Accounts'!$A$5:$A$3000,0))&amp;"|"&amp;INDEX('Chart of Accounts'!$D$5:$D$3000,MATCH(O164&amp;"",'Chart of Accounts'!$A$5:$A$3000,0)),"")</f>
        <v/>
      </c>
      <c r="T164" s="23">
        <f>IFERROR(INDEX('Chart of Accounts'!$C$5:$C$3000,MATCH(Q164&amp;"",'Chart of Accounts'!$A$5:$A$3000,0))&amp;"|"&amp;INDEX('Chart of Accounts'!$D$5:$D$3000,MATCH(Q164&amp;"",'Chart of Accounts'!$A$5:$A$3000,0)),"")</f>
        <v/>
      </c>
      <c r="U164" s="23">
        <f>IFERROR(INDEX('Chart of Accounts'!$C$5:$C$3000,MATCH(P164&amp;"",'Chart of Accounts'!$A$5:$A$3000,0))&amp;"|"&amp;INDEX('Chart of Accounts'!$D$5:$D$3000,MATCH(P164&amp;"",'Chart of Accounts'!$A$5:$A$3000,0)),"")</f>
        <v/>
      </c>
      <c r="V164" s="23">
        <f>IFERROR(INDEX('Chart of Accounts'!$C$5:$C$3000,MATCH(R164&amp;"",'Chart of Accounts'!$A$5:$A$3000,0))&amp;"|"&amp;INDEX('Chart of Accounts'!$D$5:$D$3000,MATCH(R164&amp;"",'Chart of Accounts'!$A$5:$A$3000,0)),"")</f>
        <v/>
      </c>
      <c r="W164" s="23">
        <f>IF(LEFT(S164,8)="Revenue|",-N(F164),0)+IF(LEFT(T164,8)="Revenue|",-N(J164),0)+IF(LEFT(U164,8)="Revenue|",N(N164),0)+IF(LEFT(V164,8)="Revenue|",N(M164),0)</f>
        <v/>
      </c>
      <c r="X164" s="23">
        <f>IF(LEFT(S164,5)="COGS|",N(F164),0)+IF(LEFT(T164,5)="COGS|",N(J164),0)+IF(LEFT(U164,5)="COGS|",-N(N164),0)+IF(LEFT(V164,5)="COGS|",-N(M164),0)</f>
        <v/>
      </c>
      <c r="Y164" s="23">
        <f>IF(LEFT(S164,8)="Expense|",N(F164),0)+IF(LEFT(T164,8)="Expense|",N(J164),0)+IF(LEFT(U164,8)="Expense|",-N(N164),0)+IF(LEFT(V164,8)="Expense|",-N(M164),0)</f>
        <v/>
      </c>
      <c r="Z164" s="23">
        <f>IF(ISNUMBER(MATCH(S164,{"Expense|employee","Expense|general_admin","Expense|marketing","Expense|utilities","Expense|other_operating"},0)),N(F164),0)+IF(ISNUMBER(MATCH(T164,{"Expense|employee","Expense|general_admin","Expense|marketing","Expense|utilities","Expense|other_operating"},0)),N(J164),0)+IF(ISNUMBER(MATCH(U164,{"Expense|employee","Expense|general_admin","Expense|marketing","Expense|utilities","Expense|other_operating"},0)),-N(N164),0)+IF(ISNUMBER(MATCH(V164,{"Expense|employee","Expense|general_admin","Expense|marketing","Expense|utilities","Expense|other_operating"},0)),-N(M164),0)</f>
        <v/>
      </c>
      <c r="AA164" s="23">
        <f>IF(S164="Liability|payable",-N(F164),0)+IF(T164="Liability|payable",-N(J164),0)+IF(U164="Liability|payable",N(N164),0)+IF(V164="Liability|payable",N(M164),0)</f>
        <v/>
      </c>
      <c r="AB164" s="23">
        <f>IF(S164="Liability|accrued",-N(F164),0)+IF(T164="Liability|accrued",-N(J164),0)+IF(U164="Liability|accrued",N(N164),0)+IF(V164="Liability|accrued",N(M164),0)</f>
        <v/>
      </c>
      <c r="AC164" s="23">
        <f>IF(AND(N(F164)&lt;&gt;0,S164=""),1,0)+IF(AND(N(J164)&lt;&gt;0,T164=""),1,0)+IF(AND(N(N164)&lt;&gt;0,U164=""),1,0)+IF(AND(N(M164)&lt;&gt;0,V164=""),1,0)</f>
        <v/>
      </c>
    </row>
    <row r="165">
      <c r="A165" s="19" t="n"/>
      <c r="B165" s="14" t="n"/>
      <c r="C165" s="14" t="n"/>
      <c r="D165" s="14" t="n"/>
      <c r="E165" s="14" t="n"/>
      <c r="F165" s="20" t="n"/>
      <c r="G165" s="14" t="n"/>
      <c r="H165" s="14" t="n"/>
      <c r="I165" s="14" t="n"/>
      <c r="J165" s="20" t="n"/>
      <c r="K165" s="14" t="n"/>
      <c r="L165" s="21">
        <f>N(F165)+N(J165)</f>
        <v/>
      </c>
      <c r="M165" s="21">
        <f>IF(K165="",0,L165-ROUND(L165/(1+IFERROR(VLOOKUP(K165,'Tax Codes'!$A$5:$E$300,5,FALSE),0)),2))</f>
        <v/>
      </c>
      <c r="N165" s="21">
        <f>L165-M165</f>
        <v/>
      </c>
      <c r="O165" s="16">
        <f>IF(H165="",INDEX('Chart of Accounts'!$A$5:$A$3000,MATCH("bank",'Chart of Accounts'!$F$5:$F$3000,0)),H165&amp;"")</f>
        <v/>
      </c>
      <c r="P165" s="16">
        <f>IF(I165="",INDEX('Chart of Accounts'!$A$5:$A$3000,MATCH("revenue",'Chart of Accounts'!$F$5:$F$3000,0)),I165&amp;"")</f>
        <v/>
      </c>
      <c r="Q165" s="16">
        <f>INDEX('Chart of Accounts'!$A$5:$A$3000,MATCH("wht_receivable",'Chart of Accounts'!$F$5:$F$3000,0))</f>
        <v/>
      </c>
      <c r="R165" s="16">
        <f>INDEX('Chart of Accounts'!$A$5:$A$3000,MATCH("vat_output",'Chart of Accounts'!$F$5:$F$3000,0))</f>
        <v/>
      </c>
      <c r="S165" s="23">
        <f>IFERROR(INDEX('Chart of Accounts'!$C$5:$C$3000,MATCH(O165&amp;"",'Chart of Accounts'!$A$5:$A$3000,0))&amp;"|"&amp;INDEX('Chart of Accounts'!$D$5:$D$3000,MATCH(O165&amp;"",'Chart of Accounts'!$A$5:$A$3000,0)),"")</f>
        <v/>
      </c>
      <c r="T165" s="23">
        <f>IFERROR(INDEX('Chart of Accounts'!$C$5:$C$3000,MATCH(Q165&amp;"",'Chart of Accounts'!$A$5:$A$3000,0))&amp;"|"&amp;INDEX('Chart of Accounts'!$D$5:$D$3000,MATCH(Q165&amp;"",'Chart of Accounts'!$A$5:$A$3000,0)),"")</f>
        <v/>
      </c>
      <c r="U165" s="23">
        <f>IFERROR(INDEX('Chart of Accounts'!$C$5:$C$3000,MATCH(P165&amp;"",'Chart of Accounts'!$A$5:$A$3000,0))&amp;"|"&amp;INDEX('Chart of Accounts'!$D$5:$D$3000,MATCH(P165&amp;"",'Chart of Accounts'!$A$5:$A$3000,0)),"")</f>
        <v/>
      </c>
      <c r="V165" s="23">
        <f>IFERROR(INDEX('Chart of Accounts'!$C$5:$C$3000,MATCH(R165&amp;"",'Chart of Accounts'!$A$5:$A$3000,0))&amp;"|"&amp;INDEX('Chart of Accounts'!$D$5:$D$3000,MATCH(R165&amp;"",'Chart of Accounts'!$A$5:$A$3000,0)),"")</f>
        <v/>
      </c>
      <c r="W165" s="23">
        <f>IF(LEFT(S165,8)="Revenue|",-N(F165),0)+IF(LEFT(T165,8)="Revenue|",-N(J165),0)+IF(LEFT(U165,8)="Revenue|",N(N165),0)+IF(LEFT(V165,8)="Revenue|",N(M165),0)</f>
        <v/>
      </c>
      <c r="X165" s="23">
        <f>IF(LEFT(S165,5)="COGS|",N(F165),0)+IF(LEFT(T165,5)="COGS|",N(J165),0)+IF(LEFT(U165,5)="COGS|",-N(N165),0)+IF(LEFT(V165,5)="COGS|",-N(M165),0)</f>
        <v/>
      </c>
      <c r="Y165" s="23">
        <f>IF(LEFT(S165,8)="Expense|",N(F165),0)+IF(LEFT(T165,8)="Expense|",N(J165),0)+IF(LEFT(U165,8)="Expense|",-N(N165),0)+IF(LEFT(V165,8)="Expense|",-N(M165),0)</f>
        <v/>
      </c>
      <c r="Z165" s="23">
        <f>IF(ISNUMBER(MATCH(S165,{"Expense|employee","Expense|general_admin","Expense|marketing","Expense|utilities","Expense|other_operating"},0)),N(F165),0)+IF(ISNUMBER(MATCH(T165,{"Expense|employee","Expense|general_admin","Expense|marketing","Expense|utilities","Expense|other_operating"},0)),N(J165),0)+IF(ISNUMBER(MATCH(U165,{"Expense|employee","Expense|general_admin","Expense|marketing","Expense|utilities","Expense|other_operating"},0)),-N(N165),0)+IF(ISNUMBER(MATCH(V165,{"Expense|employee","Expense|general_admin","Expense|marketing","Expense|utilities","Expense|other_operating"},0)),-N(M165),0)</f>
        <v/>
      </c>
      <c r="AA165" s="23">
        <f>IF(S165="Liability|payable",-N(F165),0)+IF(T165="Liability|payable",-N(J165),0)+IF(U165="Liability|payable",N(N165),0)+IF(V165="Liability|payable",N(M165),0)</f>
        <v/>
      </c>
      <c r="AB165" s="23">
        <f>IF(S165="Liability|accrued",-N(F165),0)+IF(T165="Liability|accrued",-N(J165),0)+IF(U165="Liability|accrued",N(N165),0)+IF(V165="Liability|accrued",N(M165),0)</f>
        <v/>
      </c>
      <c r="AC165" s="23">
        <f>IF(AND(N(F165)&lt;&gt;0,S165=""),1,0)+IF(AND(N(J165)&lt;&gt;0,T165=""),1,0)+IF(AND(N(N165)&lt;&gt;0,U165=""),1,0)+IF(AND(N(M165)&lt;&gt;0,V165=""),1,0)</f>
        <v/>
      </c>
    </row>
    <row r="166">
      <c r="A166" s="19" t="n"/>
      <c r="B166" s="14" t="n"/>
      <c r="C166" s="14" t="n"/>
      <c r="D166" s="14" t="n"/>
      <c r="E166" s="14" t="n"/>
      <c r="F166" s="20" t="n"/>
      <c r="G166" s="14" t="n"/>
      <c r="H166" s="14" t="n"/>
      <c r="I166" s="14" t="n"/>
      <c r="J166" s="20" t="n"/>
      <c r="K166" s="14" t="n"/>
      <c r="L166" s="21">
        <f>N(F166)+N(J166)</f>
        <v/>
      </c>
      <c r="M166" s="21">
        <f>IF(K166="",0,L166-ROUND(L166/(1+IFERROR(VLOOKUP(K166,'Tax Codes'!$A$5:$E$300,5,FALSE),0)),2))</f>
        <v/>
      </c>
      <c r="N166" s="21">
        <f>L166-M166</f>
        <v/>
      </c>
      <c r="O166" s="16">
        <f>IF(H166="",INDEX('Chart of Accounts'!$A$5:$A$3000,MATCH("bank",'Chart of Accounts'!$F$5:$F$3000,0)),H166&amp;"")</f>
        <v/>
      </c>
      <c r="P166" s="16">
        <f>IF(I166="",INDEX('Chart of Accounts'!$A$5:$A$3000,MATCH("revenue",'Chart of Accounts'!$F$5:$F$3000,0)),I166&amp;"")</f>
        <v/>
      </c>
      <c r="Q166" s="16">
        <f>INDEX('Chart of Accounts'!$A$5:$A$3000,MATCH("wht_receivable",'Chart of Accounts'!$F$5:$F$3000,0))</f>
        <v/>
      </c>
      <c r="R166" s="16">
        <f>INDEX('Chart of Accounts'!$A$5:$A$3000,MATCH("vat_output",'Chart of Accounts'!$F$5:$F$3000,0))</f>
        <v/>
      </c>
      <c r="S166" s="23">
        <f>IFERROR(INDEX('Chart of Accounts'!$C$5:$C$3000,MATCH(O166&amp;"",'Chart of Accounts'!$A$5:$A$3000,0))&amp;"|"&amp;INDEX('Chart of Accounts'!$D$5:$D$3000,MATCH(O166&amp;"",'Chart of Accounts'!$A$5:$A$3000,0)),"")</f>
        <v/>
      </c>
      <c r="T166" s="23">
        <f>IFERROR(INDEX('Chart of Accounts'!$C$5:$C$3000,MATCH(Q166&amp;"",'Chart of Accounts'!$A$5:$A$3000,0))&amp;"|"&amp;INDEX('Chart of Accounts'!$D$5:$D$3000,MATCH(Q166&amp;"",'Chart of Accounts'!$A$5:$A$3000,0)),"")</f>
        <v/>
      </c>
      <c r="U166" s="23">
        <f>IFERROR(INDEX('Chart of Accounts'!$C$5:$C$3000,MATCH(P166&amp;"",'Chart of Accounts'!$A$5:$A$3000,0))&amp;"|"&amp;INDEX('Chart of Accounts'!$D$5:$D$3000,MATCH(P166&amp;"",'Chart of Accounts'!$A$5:$A$3000,0)),"")</f>
        <v/>
      </c>
      <c r="V166" s="23">
        <f>IFERROR(INDEX('Chart of Accounts'!$C$5:$C$3000,MATCH(R166&amp;"",'Chart of Accounts'!$A$5:$A$3000,0))&amp;"|"&amp;INDEX('Chart of Accounts'!$D$5:$D$3000,MATCH(R166&amp;"",'Chart of Accounts'!$A$5:$A$3000,0)),"")</f>
        <v/>
      </c>
      <c r="W166" s="23">
        <f>IF(LEFT(S166,8)="Revenue|",-N(F166),0)+IF(LEFT(T166,8)="Revenue|",-N(J166),0)+IF(LEFT(U166,8)="Revenue|",N(N166),0)+IF(LEFT(V166,8)="Revenue|",N(M166),0)</f>
        <v/>
      </c>
      <c r="X166" s="23">
        <f>IF(LEFT(S166,5)="COGS|",N(F166),0)+IF(LEFT(T166,5)="COGS|",N(J166),0)+IF(LEFT(U166,5)="COGS|",-N(N166),0)+IF(LEFT(V166,5)="COGS|",-N(M166),0)</f>
        <v/>
      </c>
      <c r="Y166" s="23">
        <f>IF(LEFT(S166,8)="Expense|",N(F166),0)+IF(LEFT(T166,8)="Expense|",N(J166),0)+IF(LEFT(U166,8)="Expense|",-N(N166),0)+IF(LEFT(V166,8)="Expense|",-N(M166),0)</f>
        <v/>
      </c>
      <c r="Z166" s="23">
        <f>IF(ISNUMBER(MATCH(S166,{"Expense|employee","Expense|general_admin","Expense|marketing","Expense|utilities","Expense|other_operating"},0)),N(F166),0)+IF(ISNUMBER(MATCH(T166,{"Expense|employee","Expense|general_admin","Expense|marketing","Expense|utilities","Expense|other_operating"},0)),N(J166),0)+IF(ISNUMBER(MATCH(U166,{"Expense|employee","Expense|general_admin","Expense|marketing","Expense|utilities","Expense|other_operating"},0)),-N(N166),0)+IF(ISNUMBER(MATCH(V166,{"Expense|employee","Expense|general_admin","Expense|marketing","Expense|utilities","Expense|other_operating"},0)),-N(M166),0)</f>
        <v/>
      </c>
      <c r="AA166" s="23">
        <f>IF(S166="Liability|payable",-N(F166),0)+IF(T166="Liability|payable",-N(J166),0)+IF(U166="Liability|payable",N(N166),0)+IF(V166="Liability|payable",N(M166),0)</f>
        <v/>
      </c>
      <c r="AB166" s="23">
        <f>IF(S166="Liability|accrued",-N(F166),0)+IF(T166="Liability|accrued",-N(J166),0)+IF(U166="Liability|accrued",N(N166),0)+IF(V166="Liability|accrued",N(M166),0)</f>
        <v/>
      </c>
      <c r="AC166" s="23">
        <f>IF(AND(N(F166)&lt;&gt;0,S166=""),1,0)+IF(AND(N(J166)&lt;&gt;0,T166=""),1,0)+IF(AND(N(N166)&lt;&gt;0,U166=""),1,0)+IF(AND(N(M166)&lt;&gt;0,V166=""),1,0)</f>
        <v/>
      </c>
    </row>
    <row r="167">
      <c r="A167" s="19" t="n"/>
      <c r="B167" s="14" t="n"/>
      <c r="C167" s="14" t="n"/>
      <c r="D167" s="14" t="n"/>
      <c r="E167" s="14" t="n"/>
      <c r="F167" s="20" t="n"/>
      <c r="G167" s="14" t="n"/>
      <c r="H167" s="14" t="n"/>
      <c r="I167" s="14" t="n"/>
      <c r="J167" s="20" t="n"/>
      <c r="K167" s="14" t="n"/>
      <c r="L167" s="21">
        <f>N(F167)+N(J167)</f>
        <v/>
      </c>
      <c r="M167" s="21">
        <f>IF(K167="",0,L167-ROUND(L167/(1+IFERROR(VLOOKUP(K167,'Tax Codes'!$A$5:$E$300,5,FALSE),0)),2))</f>
        <v/>
      </c>
      <c r="N167" s="21">
        <f>L167-M167</f>
        <v/>
      </c>
      <c r="O167" s="16">
        <f>IF(H167="",INDEX('Chart of Accounts'!$A$5:$A$3000,MATCH("bank",'Chart of Accounts'!$F$5:$F$3000,0)),H167&amp;"")</f>
        <v/>
      </c>
      <c r="P167" s="16">
        <f>IF(I167="",INDEX('Chart of Accounts'!$A$5:$A$3000,MATCH("revenue",'Chart of Accounts'!$F$5:$F$3000,0)),I167&amp;"")</f>
        <v/>
      </c>
      <c r="Q167" s="16">
        <f>INDEX('Chart of Accounts'!$A$5:$A$3000,MATCH("wht_receivable",'Chart of Accounts'!$F$5:$F$3000,0))</f>
        <v/>
      </c>
      <c r="R167" s="16">
        <f>INDEX('Chart of Accounts'!$A$5:$A$3000,MATCH("vat_output",'Chart of Accounts'!$F$5:$F$3000,0))</f>
        <v/>
      </c>
      <c r="S167" s="23">
        <f>IFERROR(INDEX('Chart of Accounts'!$C$5:$C$3000,MATCH(O167&amp;"",'Chart of Accounts'!$A$5:$A$3000,0))&amp;"|"&amp;INDEX('Chart of Accounts'!$D$5:$D$3000,MATCH(O167&amp;"",'Chart of Accounts'!$A$5:$A$3000,0)),"")</f>
        <v/>
      </c>
      <c r="T167" s="23">
        <f>IFERROR(INDEX('Chart of Accounts'!$C$5:$C$3000,MATCH(Q167&amp;"",'Chart of Accounts'!$A$5:$A$3000,0))&amp;"|"&amp;INDEX('Chart of Accounts'!$D$5:$D$3000,MATCH(Q167&amp;"",'Chart of Accounts'!$A$5:$A$3000,0)),"")</f>
        <v/>
      </c>
      <c r="U167" s="23">
        <f>IFERROR(INDEX('Chart of Accounts'!$C$5:$C$3000,MATCH(P167&amp;"",'Chart of Accounts'!$A$5:$A$3000,0))&amp;"|"&amp;INDEX('Chart of Accounts'!$D$5:$D$3000,MATCH(P167&amp;"",'Chart of Accounts'!$A$5:$A$3000,0)),"")</f>
        <v/>
      </c>
      <c r="V167" s="23">
        <f>IFERROR(INDEX('Chart of Accounts'!$C$5:$C$3000,MATCH(R167&amp;"",'Chart of Accounts'!$A$5:$A$3000,0))&amp;"|"&amp;INDEX('Chart of Accounts'!$D$5:$D$3000,MATCH(R167&amp;"",'Chart of Accounts'!$A$5:$A$3000,0)),"")</f>
        <v/>
      </c>
      <c r="W167" s="23">
        <f>IF(LEFT(S167,8)="Revenue|",-N(F167),0)+IF(LEFT(T167,8)="Revenue|",-N(J167),0)+IF(LEFT(U167,8)="Revenue|",N(N167),0)+IF(LEFT(V167,8)="Revenue|",N(M167),0)</f>
        <v/>
      </c>
      <c r="X167" s="23">
        <f>IF(LEFT(S167,5)="COGS|",N(F167),0)+IF(LEFT(T167,5)="COGS|",N(J167),0)+IF(LEFT(U167,5)="COGS|",-N(N167),0)+IF(LEFT(V167,5)="COGS|",-N(M167),0)</f>
        <v/>
      </c>
      <c r="Y167" s="23">
        <f>IF(LEFT(S167,8)="Expense|",N(F167),0)+IF(LEFT(T167,8)="Expense|",N(J167),0)+IF(LEFT(U167,8)="Expense|",-N(N167),0)+IF(LEFT(V167,8)="Expense|",-N(M167),0)</f>
        <v/>
      </c>
      <c r="Z167" s="23">
        <f>IF(ISNUMBER(MATCH(S167,{"Expense|employee","Expense|general_admin","Expense|marketing","Expense|utilities","Expense|other_operating"},0)),N(F167),0)+IF(ISNUMBER(MATCH(T167,{"Expense|employee","Expense|general_admin","Expense|marketing","Expense|utilities","Expense|other_operating"},0)),N(J167),0)+IF(ISNUMBER(MATCH(U167,{"Expense|employee","Expense|general_admin","Expense|marketing","Expense|utilities","Expense|other_operating"},0)),-N(N167),0)+IF(ISNUMBER(MATCH(V167,{"Expense|employee","Expense|general_admin","Expense|marketing","Expense|utilities","Expense|other_operating"},0)),-N(M167),0)</f>
        <v/>
      </c>
      <c r="AA167" s="23">
        <f>IF(S167="Liability|payable",-N(F167),0)+IF(T167="Liability|payable",-N(J167),0)+IF(U167="Liability|payable",N(N167),0)+IF(V167="Liability|payable",N(M167),0)</f>
        <v/>
      </c>
      <c r="AB167" s="23">
        <f>IF(S167="Liability|accrued",-N(F167),0)+IF(T167="Liability|accrued",-N(J167),0)+IF(U167="Liability|accrued",N(N167),0)+IF(V167="Liability|accrued",N(M167),0)</f>
        <v/>
      </c>
      <c r="AC167" s="23">
        <f>IF(AND(N(F167)&lt;&gt;0,S167=""),1,0)+IF(AND(N(J167)&lt;&gt;0,T167=""),1,0)+IF(AND(N(N167)&lt;&gt;0,U167=""),1,0)+IF(AND(N(M167)&lt;&gt;0,V167=""),1,0)</f>
        <v/>
      </c>
    </row>
    <row r="168">
      <c r="A168" s="19" t="n"/>
      <c r="B168" s="14" t="n"/>
      <c r="C168" s="14" t="n"/>
      <c r="D168" s="14" t="n"/>
      <c r="E168" s="14" t="n"/>
      <c r="F168" s="20" t="n"/>
      <c r="G168" s="14" t="n"/>
      <c r="H168" s="14" t="n"/>
      <c r="I168" s="14" t="n"/>
      <c r="J168" s="20" t="n"/>
      <c r="K168" s="14" t="n"/>
      <c r="L168" s="21">
        <f>N(F168)+N(J168)</f>
        <v/>
      </c>
      <c r="M168" s="21">
        <f>IF(K168="",0,L168-ROUND(L168/(1+IFERROR(VLOOKUP(K168,'Tax Codes'!$A$5:$E$300,5,FALSE),0)),2))</f>
        <v/>
      </c>
      <c r="N168" s="21">
        <f>L168-M168</f>
        <v/>
      </c>
      <c r="O168" s="16">
        <f>IF(H168="",INDEX('Chart of Accounts'!$A$5:$A$3000,MATCH("bank",'Chart of Accounts'!$F$5:$F$3000,0)),H168&amp;"")</f>
        <v/>
      </c>
      <c r="P168" s="16">
        <f>IF(I168="",INDEX('Chart of Accounts'!$A$5:$A$3000,MATCH("revenue",'Chart of Accounts'!$F$5:$F$3000,0)),I168&amp;"")</f>
        <v/>
      </c>
      <c r="Q168" s="16">
        <f>INDEX('Chart of Accounts'!$A$5:$A$3000,MATCH("wht_receivable",'Chart of Accounts'!$F$5:$F$3000,0))</f>
        <v/>
      </c>
      <c r="R168" s="16">
        <f>INDEX('Chart of Accounts'!$A$5:$A$3000,MATCH("vat_output",'Chart of Accounts'!$F$5:$F$3000,0))</f>
        <v/>
      </c>
      <c r="S168" s="23">
        <f>IFERROR(INDEX('Chart of Accounts'!$C$5:$C$3000,MATCH(O168&amp;"",'Chart of Accounts'!$A$5:$A$3000,0))&amp;"|"&amp;INDEX('Chart of Accounts'!$D$5:$D$3000,MATCH(O168&amp;"",'Chart of Accounts'!$A$5:$A$3000,0)),"")</f>
        <v/>
      </c>
      <c r="T168" s="23">
        <f>IFERROR(INDEX('Chart of Accounts'!$C$5:$C$3000,MATCH(Q168&amp;"",'Chart of Accounts'!$A$5:$A$3000,0))&amp;"|"&amp;INDEX('Chart of Accounts'!$D$5:$D$3000,MATCH(Q168&amp;"",'Chart of Accounts'!$A$5:$A$3000,0)),"")</f>
        <v/>
      </c>
      <c r="U168" s="23">
        <f>IFERROR(INDEX('Chart of Accounts'!$C$5:$C$3000,MATCH(P168&amp;"",'Chart of Accounts'!$A$5:$A$3000,0))&amp;"|"&amp;INDEX('Chart of Accounts'!$D$5:$D$3000,MATCH(P168&amp;"",'Chart of Accounts'!$A$5:$A$3000,0)),"")</f>
        <v/>
      </c>
      <c r="V168" s="23">
        <f>IFERROR(INDEX('Chart of Accounts'!$C$5:$C$3000,MATCH(R168&amp;"",'Chart of Accounts'!$A$5:$A$3000,0))&amp;"|"&amp;INDEX('Chart of Accounts'!$D$5:$D$3000,MATCH(R168&amp;"",'Chart of Accounts'!$A$5:$A$3000,0)),"")</f>
        <v/>
      </c>
      <c r="W168" s="23">
        <f>IF(LEFT(S168,8)="Revenue|",-N(F168),0)+IF(LEFT(T168,8)="Revenue|",-N(J168),0)+IF(LEFT(U168,8)="Revenue|",N(N168),0)+IF(LEFT(V168,8)="Revenue|",N(M168),0)</f>
        <v/>
      </c>
      <c r="X168" s="23">
        <f>IF(LEFT(S168,5)="COGS|",N(F168),0)+IF(LEFT(T168,5)="COGS|",N(J168),0)+IF(LEFT(U168,5)="COGS|",-N(N168),0)+IF(LEFT(V168,5)="COGS|",-N(M168),0)</f>
        <v/>
      </c>
      <c r="Y168" s="23">
        <f>IF(LEFT(S168,8)="Expense|",N(F168),0)+IF(LEFT(T168,8)="Expense|",N(J168),0)+IF(LEFT(U168,8)="Expense|",-N(N168),0)+IF(LEFT(V168,8)="Expense|",-N(M168),0)</f>
        <v/>
      </c>
      <c r="Z168" s="23">
        <f>IF(ISNUMBER(MATCH(S168,{"Expense|employee","Expense|general_admin","Expense|marketing","Expense|utilities","Expense|other_operating"},0)),N(F168),0)+IF(ISNUMBER(MATCH(T168,{"Expense|employee","Expense|general_admin","Expense|marketing","Expense|utilities","Expense|other_operating"},0)),N(J168),0)+IF(ISNUMBER(MATCH(U168,{"Expense|employee","Expense|general_admin","Expense|marketing","Expense|utilities","Expense|other_operating"},0)),-N(N168),0)+IF(ISNUMBER(MATCH(V168,{"Expense|employee","Expense|general_admin","Expense|marketing","Expense|utilities","Expense|other_operating"},0)),-N(M168),0)</f>
        <v/>
      </c>
      <c r="AA168" s="23">
        <f>IF(S168="Liability|payable",-N(F168),0)+IF(T168="Liability|payable",-N(J168),0)+IF(U168="Liability|payable",N(N168),0)+IF(V168="Liability|payable",N(M168),0)</f>
        <v/>
      </c>
      <c r="AB168" s="23">
        <f>IF(S168="Liability|accrued",-N(F168),0)+IF(T168="Liability|accrued",-N(J168),0)+IF(U168="Liability|accrued",N(N168),0)+IF(V168="Liability|accrued",N(M168),0)</f>
        <v/>
      </c>
      <c r="AC168" s="23">
        <f>IF(AND(N(F168)&lt;&gt;0,S168=""),1,0)+IF(AND(N(J168)&lt;&gt;0,T168=""),1,0)+IF(AND(N(N168)&lt;&gt;0,U168=""),1,0)+IF(AND(N(M168)&lt;&gt;0,V168=""),1,0)</f>
        <v/>
      </c>
    </row>
    <row r="169">
      <c r="A169" s="19" t="n"/>
      <c r="B169" s="14" t="n"/>
      <c r="C169" s="14" t="n"/>
      <c r="D169" s="14" t="n"/>
      <c r="E169" s="14" t="n"/>
      <c r="F169" s="20" t="n"/>
      <c r="G169" s="14" t="n"/>
      <c r="H169" s="14" t="n"/>
      <c r="I169" s="14" t="n"/>
      <c r="J169" s="20" t="n"/>
      <c r="K169" s="14" t="n"/>
      <c r="L169" s="21">
        <f>N(F169)+N(J169)</f>
        <v/>
      </c>
      <c r="M169" s="21">
        <f>IF(K169="",0,L169-ROUND(L169/(1+IFERROR(VLOOKUP(K169,'Tax Codes'!$A$5:$E$300,5,FALSE),0)),2))</f>
        <v/>
      </c>
      <c r="N169" s="21">
        <f>L169-M169</f>
        <v/>
      </c>
      <c r="O169" s="16">
        <f>IF(H169="",INDEX('Chart of Accounts'!$A$5:$A$3000,MATCH("bank",'Chart of Accounts'!$F$5:$F$3000,0)),H169&amp;"")</f>
        <v/>
      </c>
      <c r="P169" s="16">
        <f>IF(I169="",INDEX('Chart of Accounts'!$A$5:$A$3000,MATCH("revenue",'Chart of Accounts'!$F$5:$F$3000,0)),I169&amp;"")</f>
        <v/>
      </c>
      <c r="Q169" s="16">
        <f>INDEX('Chart of Accounts'!$A$5:$A$3000,MATCH("wht_receivable",'Chart of Accounts'!$F$5:$F$3000,0))</f>
        <v/>
      </c>
      <c r="R169" s="16">
        <f>INDEX('Chart of Accounts'!$A$5:$A$3000,MATCH("vat_output",'Chart of Accounts'!$F$5:$F$3000,0))</f>
        <v/>
      </c>
      <c r="S169" s="23">
        <f>IFERROR(INDEX('Chart of Accounts'!$C$5:$C$3000,MATCH(O169&amp;"",'Chart of Accounts'!$A$5:$A$3000,0))&amp;"|"&amp;INDEX('Chart of Accounts'!$D$5:$D$3000,MATCH(O169&amp;"",'Chart of Accounts'!$A$5:$A$3000,0)),"")</f>
        <v/>
      </c>
      <c r="T169" s="23">
        <f>IFERROR(INDEX('Chart of Accounts'!$C$5:$C$3000,MATCH(Q169&amp;"",'Chart of Accounts'!$A$5:$A$3000,0))&amp;"|"&amp;INDEX('Chart of Accounts'!$D$5:$D$3000,MATCH(Q169&amp;"",'Chart of Accounts'!$A$5:$A$3000,0)),"")</f>
        <v/>
      </c>
      <c r="U169" s="23">
        <f>IFERROR(INDEX('Chart of Accounts'!$C$5:$C$3000,MATCH(P169&amp;"",'Chart of Accounts'!$A$5:$A$3000,0))&amp;"|"&amp;INDEX('Chart of Accounts'!$D$5:$D$3000,MATCH(P169&amp;"",'Chart of Accounts'!$A$5:$A$3000,0)),"")</f>
        <v/>
      </c>
      <c r="V169" s="23">
        <f>IFERROR(INDEX('Chart of Accounts'!$C$5:$C$3000,MATCH(R169&amp;"",'Chart of Accounts'!$A$5:$A$3000,0))&amp;"|"&amp;INDEX('Chart of Accounts'!$D$5:$D$3000,MATCH(R169&amp;"",'Chart of Accounts'!$A$5:$A$3000,0)),"")</f>
        <v/>
      </c>
      <c r="W169" s="23">
        <f>IF(LEFT(S169,8)="Revenue|",-N(F169),0)+IF(LEFT(T169,8)="Revenue|",-N(J169),0)+IF(LEFT(U169,8)="Revenue|",N(N169),0)+IF(LEFT(V169,8)="Revenue|",N(M169),0)</f>
        <v/>
      </c>
      <c r="X169" s="23">
        <f>IF(LEFT(S169,5)="COGS|",N(F169),0)+IF(LEFT(T169,5)="COGS|",N(J169),0)+IF(LEFT(U169,5)="COGS|",-N(N169),0)+IF(LEFT(V169,5)="COGS|",-N(M169),0)</f>
        <v/>
      </c>
      <c r="Y169" s="23">
        <f>IF(LEFT(S169,8)="Expense|",N(F169),0)+IF(LEFT(T169,8)="Expense|",N(J169),0)+IF(LEFT(U169,8)="Expense|",-N(N169),0)+IF(LEFT(V169,8)="Expense|",-N(M169),0)</f>
        <v/>
      </c>
      <c r="Z169" s="23">
        <f>IF(ISNUMBER(MATCH(S169,{"Expense|employee","Expense|general_admin","Expense|marketing","Expense|utilities","Expense|other_operating"},0)),N(F169),0)+IF(ISNUMBER(MATCH(T169,{"Expense|employee","Expense|general_admin","Expense|marketing","Expense|utilities","Expense|other_operating"},0)),N(J169),0)+IF(ISNUMBER(MATCH(U169,{"Expense|employee","Expense|general_admin","Expense|marketing","Expense|utilities","Expense|other_operating"},0)),-N(N169),0)+IF(ISNUMBER(MATCH(V169,{"Expense|employee","Expense|general_admin","Expense|marketing","Expense|utilities","Expense|other_operating"},0)),-N(M169),0)</f>
        <v/>
      </c>
      <c r="AA169" s="23">
        <f>IF(S169="Liability|payable",-N(F169),0)+IF(T169="Liability|payable",-N(J169),0)+IF(U169="Liability|payable",N(N169),0)+IF(V169="Liability|payable",N(M169),0)</f>
        <v/>
      </c>
      <c r="AB169" s="23">
        <f>IF(S169="Liability|accrued",-N(F169),0)+IF(T169="Liability|accrued",-N(J169),0)+IF(U169="Liability|accrued",N(N169),0)+IF(V169="Liability|accrued",N(M169),0)</f>
        <v/>
      </c>
      <c r="AC169" s="23">
        <f>IF(AND(N(F169)&lt;&gt;0,S169=""),1,0)+IF(AND(N(J169)&lt;&gt;0,T169=""),1,0)+IF(AND(N(N169)&lt;&gt;0,U169=""),1,0)+IF(AND(N(M169)&lt;&gt;0,V169=""),1,0)</f>
        <v/>
      </c>
    </row>
    <row r="170">
      <c r="A170" s="19" t="n"/>
      <c r="B170" s="14" t="n"/>
      <c r="C170" s="14" t="n"/>
      <c r="D170" s="14" t="n"/>
      <c r="E170" s="14" t="n"/>
      <c r="F170" s="20" t="n"/>
      <c r="G170" s="14" t="n"/>
      <c r="H170" s="14" t="n"/>
      <c r="I170" s="14" t="n"/>
      <c r="J170" s="20" t="n"/>
      <c r="K170" s="14" t="n"/>
      <c r="L170" s="21">
        <f>N(F170)+N(J170)</f>
        <v/>
      </c>
      <c r="M170" s="21">
        <f>IF(K170="",0,L170-ROUND(L170/(1+IFERROR(VLOOKUP(K170,'Tax Codes'!$A$5:$E$300,5,FALSE),0)),2))</f>
        <v/>
      </c>
      <c r="N170" s="21">
        <f>L170-M170</f>
        <v/>
      </c>
      <c r="O170" s="16">
        <f>IF(H170="",INDEX('Chart of Accounts'!$A$5:$A$3000,MATCH("bank",'Chart of Accounts'!$F$5:$F$3000,0)),H170&amp;"")</f>
        <v/>
      </c>
      <c r="P170" s="16">
        <f>IF(I170="",INDEX('Chart of Accounts'!$A$5:$A$3000,MATCH("revenue",'Chart of Accounts'!$F$5:$F$3000,0)),I170&amp;"")</f>
        <v/>
      </c>
      <c r="Q170" s="16">
        <f>INDEX('Chart of Accounts'!$A$5:$A$3000,MATCH("wht_receivable",'Chart of Accounts'!$F$5:$F$3000,0))</f>
        <v/>
      </c>
      <c r="R170" s="16">
        <f>INDEX('Chart of Accounts'!$A$5:$A$3000,MATCH("vat_output",'Chart of Accounts'!$F$5:$F$3000,0))</f>
        <v/>
      </c>
      <c r="S170" s="23">
        <f>IFERROR(INDEX('Chart of Accounts'!$C$5:$C$3000,MATCH(O170&amp;"",'Chart of Accounts'!$A$5:$A$3000,0))&amp;"|"&amp;INDEX('Chart of Accounts'!$D$5:$D$3000,MATCH(O170&amp;"",'Chart of Accounts'!$A$5:$A$3000,0)),"")</f>
        <v/>
      </c>
      <c r="T170" s="23">
        <f>IFERROR(INDEX('Chart of Accounts'!$C$5:$C$3000,MATCH(Q170&amp;"",'Chart of Accounts'!$A$5:$A$3000,0))&amp;"|"&amp;INDEX('Chart of Accounts'!$D$5:$D$3000,MATCH(Q170&amp;"",'Chart of Accounts'!$A$5:$A$3000,0)),"")</f>
        <v/>
      </c>
      <c r="U170" s="23">
        <f>IFERROR(INDEX('Chart of Accounts'!$C$5:$C$3000,MATCH(P170&amp;"",'Chart of Accounts'!$A$5:$A$3000,0))&amp;"|"&amp;INDEX('Chart of Accounts'!$D$5:$D$3000,MATCH(P170&amp;"",'Chart of Accounts'!$A$5:$A$3000,0)),"")</f>
        <v/>
      </c>
      <c r="V170" s="23">
        <f>IFERROR(INDEX('Chart of Accounts'!$C$5:$C$3000,MATCH(R170&amp;"",'Chart of Accounts'!$A$5:$A$3000,0))&amp;"|"&amp;INDEX('Chart of Accounts'!$D$5:$D$3000,MATCH(R170&amp;"",'Chart of Accounts'!$A$5:$A$3000,0)),"")</f>
        <v/>
      </c>
      <c r="W170" s="23">
        <f>IF(LEFT(S170,8)="Revenue|",-N(F170),0)+IF(LEFT(T170,8)="Revenue|",-N(J170),0)+IF(LEFT(U170,8)="Revenue|",N(N170),0)+IF(LEFT(V170,8)="Revenue|",N(M170),0)</f>
        <v/>
      </c>
      <c r="X170" s="23">
        <f>IF(LEFT(S170,5)="COGS|",N(F170),0)+IF(LEFT(T170,5)="COGS|",N(J170),0)+IF(LEFT(U170,5)="COGS|",-N(N170),0)+IF(LEFT(V170,5)="COGS|",-N(M170),0)</f>
        <v/>
      </c>
      <c r="Y170" s="23">
        <f>IF(LEFT(S170,8)="Expense|",N(F170),0)+IF(LEFT(T170,8)="Expense|",N(J170),0)+IF(LEFT(U170,8)="Expense|",-N(N170),0)+IF(LEFT(V170,8)="Expense|",-N(M170),0)</f>
        <v/>
      </c>
      <c r="Z170" s="23">
        <f>IF(ISNUMBER(MATCH(S170,{"Expense|employee","Expense|general_admin","Expense|marketing","Expense|utilities","Expense|other_operating"},0)),N(F170),0)+IF(ISNUMBER(MATCH(T170,{"Expense|employee","Expense|general_admin","Expense|marketing","Expense|utilities","Expense|other_operating"},0)),N(J170),0)+IF(ISNUMBER(MATCH(U170,{"Expense|employee","Expense|general_admin","Expense|marketing","Expense|utilities","Expense|other_operating"},0)),-N(N170),0)+IF(ISNUMBER(MATCH(V170,{"Expense|employee","Expense|general_admin","Expense|marketing","Expense|utilities","Expense|other_operating"},0)),-N(M170),0)</f>
        <v/>
      </c>
      <c r="AA170" s="23">
        <f>IF(S170="Liability|payable",-N(F170),0)+IF(T170="Liability|payable",-N(J170),0)+IF(U170="Liability|payable",N(N170),0)+IF(V170="Liability|payable",N(M170),0)</f>
        <v/>
      </c>
      <c r="AB170" s="23">
        <f>IF(S170="Liability|accrued",-N(F170),0)+IF(T170="Liability|accrued",-N(J170),0)+IF(U170="Liability|accrued",N(N170),0)+IF(V170="Liability|accrued",N(M170),0)</f>
        <v/>
      </c>
      <c r="AC170" s="23">
        <f>IF(AND(N(F170)&lt;&gt;0,S170=""),1,0)+IF(AND(N(J170)&lt;&gt;0,T170=""),1,0)+IF(AND(N(N170)&lt;&gt;0,U170=""),1,0)+IF(AND(N(M170)&lt;&gt;0,V170=""),1,0)</f>
        <v/>
      </c>
    </row>
    <row r="171">
      <c r="A171" s="19" t="n"/>
      <c r="B171" s="14" t="n"/>
      <c r="C171" s="14" t="n"/>
      <c r="D171" s="14" t="n"/>
      <c r="E171" s="14" t="n"/>
      <c r="F171" s="20" t="n"/>
      <c r="G171" s="14" t="n"/>
      <c r="H171" s="14" t="n"/>
      <c r="I171" s="14" t="n"/>
      <c r="J171" s="20" t="n"/>
      <c r="K171" s="14" t="n"/>
      <c r="L171" s="21">
        <f>N(F171)+N(J171)</f>
        <v/>
      </c>
      <c r="M171" s="21">
        <f>IF(K171="",0,L171-ROUND(L171/(1+IFERROR(VLOOKUP(K171,'Tax Codes'!$A$5:$E$300,5,FALSE),0)),2))</f>
        <v/>
      </c>
      <c r="N171" s="21">
        <f>L171-M171</f>
        <v/>
      </c>
      <c r="O171" s="16">
        <f>IF(H171="",INDEX('Chart of Accounts'!$A$5:$A$3000,MATCH("bank",'Chart of Accounts'!$F$5:$F$3000,0)),H171&amp;"")</f>
        <v/>
      </c>
      <c r="P171" s="16">
        <f>IF(I171="",INDEX('Chart of Accounts'!$A$5:$A$3000,MATCH("revenue",'Chart of Accounts'!$F$5:$F$3000,0)),I171&amp;"")</f>
        <v/>
      </c>
      <c r="Q171" s="16">
        <f>INDEX('Chart of Accounts'!$A$5:$A$3000,MATCH("wht_receivable",'Chart of Accounts'!$F$5:$F$3000,0))</f>
        <v/>
      </c>
      <c r="R171" s="16">
        <f>INDEX('Chart of Accounts'!$A$5:$A$3000,MATCH("vat_output",'Chart of Accounts'!$F$5:$F$3000,0))</f>
        <v/>
      </c>
      <c r="S171" s="23">
        <f>IFERROR(INDEX('Chart of Accounts'!$C$5:$C$3000,MATCH(O171&amp;"",'Chart of Accounts'!$A$5:$A$3000,0))&amp;"|"&amp;INDEX('Chart of Accounts'!$D$5:$D$3000,MATCH(O171&amp;"",'Chart of Accounts'!$A$5:$A$3000,0)),"")</f>
        <v/>
      </c>
      <c r="T171" s="23">
        <f>IFERROR(INDEX('Chart of Accounts'!$C$5:$C$3000,MATCH(Q171&amp;"",'Chart of Accounts'!$A$5:$A$3000,0))&amp;"|"&amp;INDEX('Chart of Accounts'!$D$5:$D$3000,MATCH(Q171&amp;"",'Chart of Accounts'!$A$5:$A$3000,0)),"")</f>
        <v/>
      </c>
      <c r="U171" s="23">
        <f>IFERROR(INDEX('Chart of Accounts'!$C$5:$C$3000,MATCH(P171&amp;"",'Chart of Accounts'!$A$5:$A$3000,0))&amp;"|"&amp;INDEX('Chart of Accounts'!$D$5:$D$3000,MATCH(P171&amp;"",'Chart of Accounts'!$A$5:$A$3000,0)),"")</f>
        <v/>
      </c>
      <c r="V171" s="23">
        <f>IFERROR(INDEX('Chart of Accounts'!$C$5:$C$3000,MATCH(R171&amp;"",'Chart of Accounts'!$A$5:$A$3000,0))&amp;"|"&amp;INDEX('Chart of Accounts'!$D$5:$D$3000,MATCH(R171&amp;"",'Chart of Accounts'!$A$5:$A$3000,0)),"")</f>
        <v/>
      </c>
      <c r="W171" s="23">
        <f>IF(LEFT(S171,8)="Revenue|",-N(F171),0)+IF(LEFT(T171,8)="Revenue|",-N(J171),0)+IF(LEFT(U171,8)="Revenue|",N(N171),0)+IF(LEFT(V171,8)="Revenue|",N(M171),0)</f>
        <v/>
      </c>
      <c r="X171" s="23">
        <f>IF(LEFT(S171,5)="COGS|",N(F171),0)+IF(LEFT(T171,5)="COGS|",N(J171),0)+IF(LEFT(U171,5)="COGS|",-N(N171),0)+IF(LEFT(V171,5)="COGS|",-N(M171),0)</f>
        <v/>
      </c>
      <c r="Y171" s="23">
        <f>IF(LEFT(S171,8)="Expense|",N(F171),0)+IF(LEFT(T171,8)="Expense|",N(J171),0)+IF(LEFT(U171,8)="Expense|",-N(N171),0)+IF(LEFT(V171,8)="Expense|",-N(M171),0)</f>
        <v/>
      </c>
      <c r="Z171" s="23">
        <f>IF(ISNUMBER(MATCH(S171,{"Expense|employee","Expense|general_admin","Expense|marketing","Expense|utilities","Expense|other_operating"},0)),N(F171),0)+IF(ISNUMBER(MATCH(T171,{"Expense|employee","Expense|general_admin","Expense|marketing","Expense|utilities","Expense|other_operating"},0)),N(J171),0)+IF(ISNUMBER(MATCH(U171,{"Expense|employee","Expense|general_admin","Expense|marketing","Expense|utilities","Expense|other_operating"},0)),-N(N171),0)+IF(ISNUMBER(MATCH(V171,{"Expense|employee","Expense|general_admin","Expense|marketing","Expense|utilities","Expense|other_operating"},0)),-N(M171),0)</f>
        <v/>
      </c>
      <c r="AA171" s="23">
        <f>IF(S171="Liability|payable",-N(F171),0)+IF(T171="Liability|payable",-N(J171),0)+IF(U171="Liability|payable",N(N171),0)+IF(V171="Liability|payable",N(M171),0)</f>
        <v/>
      </c>
      <c r="AB171" s="23">
        <f>IF(S171="Liability|accrued",-N(F171),0)+IF(T171="Liability|accrued",-N(J171),0)+IF(U171="Liability|accrued",N(N171),0)+IF(V171="Liability|accrued",N(M171),0)</f>
        <v/>
      </c>
      <c r="AC171" s="23">
        <f>IF(AND(N(F171)&lt;&gt;0,S171=""),1,0)+IF(AND(N(J171)&lt;&gt;0,T171=""),1,0)+IF(AND(N(N171)&lt;&gt;0,U171=""),1,0)+IF(AND(N(M171)&lt;&gt;0,V171=""),1,0)</f>
        <v/>
      </c>
    </row>
    <row r="172">
      <c r="A172" s="19" t="n"/>
      <c r="B172" s="14" t="n"/>
      <c r="C172" s="14" t="n"/>
      <c r="D172" s="14" t="n"/>
      <c r="E172" s="14" t="n"/>
      <c r="F172" s="20" t="n"/>
      <c r="G172" s="14" t="n"/>
      <c r="H172" s="14" t="n"/>
      <c r="I172" s="14" t="n"/>
      <c r="J172" s="20" t="n"/>
      <c r="K172" s="14" t="n"/>
      <c r="L172" s="21">
        <f>N(F172)+N(J172)</f>
        <v/>
      </c>
      <c r="M172" s="21">
        <f>IF(K172="",0,L172-ROUND(L172/(1+IFERROR(VLOOKUP(K172,'Tax Codes'!$A$5:$E$300,5,FALSE),0)),2))</f>
        <v/>
      </c>
      <c r="N172" s="21">
        <f>L172-M172</f>
        <v/>
      </c>
      <c r="O172" s="16">
        <f>IF(H172="",INDEX('Chart of Accounts'!$A$5:$A$3000,MATCH("bank",'Chart of Accounts'!$F$5:$F$3000,0)),H172&amp;"")</f>
        <v/>
      </c>
      <c r="P172" s="16">
        <f>IF(I172="",INDEX('Chart of Accounts'!$A$5:$A$3000,MATCH("revenue",'Chart of Accounts'!$F$5:$F$3000,0)),I172&amp;"")</f>
        <v/>
      </c>
      <c r="Q172" s="16">
        <f>INDEX('Chart of Accounts'!$A$5:$A$3000,MATCH("wht_receivable",'Chart of Accounts'!$F$5:$F$3000,0))</f>
        <v/>
      </c>
      <c r="R172" s="16">
        <f>INDEX('Chart of Accounts'!$A$5:$A$3000,MATCH("vat_output",'Chart of Accounts'!$F$5:$F$3000,0))</f>
        <v/>
      </c>
      <c r="S172" s="23">
        <f>IFERROR(INDEX('Chart of Accounts'!$C$5:$C$3000,MATCH(O172&amp;"",'Chart of Accounts'!$A$5:$A$3000,0))&amp;"|"&amp;INDEX('Chart of Accounts'!$D$5:$D$3000,MATCH(O172&amp;"",'Chart of Accounts'!$A$5:$A$3000,0)),"")</f>
        <v/>
      </c>
      <c r="T172" s="23">
        <f>IFERROR(INDEX('Chart of Accounts'!$C$5:$C$3000,MATCH(Q172&amp;"",'Chart of Accounts'!$A$5:$A$3000,0))&amp;"|"&amp;INDEX('Chart of Accounts'!$D$5:$D$3000,MATCH(Q172&amp;"",'Chart of Accounts'!$A$5:$A$3000,0)),"")</f>
        <v/>
      </c>
      <c r="U172" s="23">
        <f>IFERROR(INDEX('Chart of Accounts'!$C$5:$C$3000,MATCH(P172&amp;"",'Chart of Accounts'!$A$5:$A$3000,0))&amp;"|"&amp;INDEX('Chart of Accounts'!$D$5:$D$3000,MATCH(P172&amp;"",'Chart of Accounts'!$A$5:$A$3000,0)),"")</f>
        <v/>
      </c>
      <c r="V172" s="23">
        <f>IFERROR(INDEX('Chart of Accounts'!$C$5:$C$3000,MATCH(R172&amp;"",'Chart of Accounts'!$A$5:$A$3000,0))&amp;"|"&amp;INDEX('Chart of Accounts'!$D$5:$D$3000,MATCH(R172&amp;"",'Chart of Accounts'!$A$5:$A$3000,0)),"")</f>
        <v/>
      </c>
      <c r="W172" s="23">
        <f>IF(LEFT(S172,8)="Revenue|",-N(F172),0)+IF(LEFT(T172,8)="Revenue|",-N(J172),0)+IF(LEFT(U172,8)="Revenue|",N(N172),0)+IF(LEFT(V172,8)="Revenue|",N(M172),0)</f>
        <v/>
      </c>
      <c r="X172" s="23">
        <f>IF(LEFT(S172,5)="COGS|",N(F172),0)+IF(LEFT(T172,5)="COGS|",N(J172),0)+IF(LEFT(U172,5)="COGS|",-N(N172),0)+IF(LEFT(V172,5)="COGS|",-N(M172),0)</f>
        <v/>
      </c>
      <c r="Y172" s="23">
        <f>IF(LEFT(S172,8)="Expense|",N(F172),0)+IF(LEFT(T172,8)="Expense|",N(J172),0)+IF(LEFT(U172,8)="Expense|",-N(N172),0)+IF(LEFT(V172,8)="Expense|",-N(M172),0)</f>
        <v/>
      </c>
      <c r="Z172" s="23">
        <f>IF(ISNUMBER(MATCH(S172,{"Expense|employee","Expense|general_admin","Expense|marketing","Expense|utilities","Expense|other_operating"},0)),N(F172),0)+IF(ISNUMBER(MATCH(T172,{"Expense|employee","Expense|general_admin","Expense|marketing","Expense|utilities","Expense|other_operating"},0)),N(J172),0)+IF(ISNUMBER(MATCH(U172,{"Expense|employee","Expense|general_admin","Expense|marketing","Expense|utilities","Expense|other_operating"},0)),-N(N172),0)+IF(ISNUMBER(MATCH(V172,{"Expense|employee","Expense|general_admin","Expense|marketing","Expense|utilities","Expense|other_operating"},0)),-N(M172),0)</f>
        <v/>
      </c>
      <c r="AA172" s="23">
        <f>IF(S172="Liability|payable",-N(F172),0)+IF(T172="Liability|payable",-N(J172),0)+IF(U172="Liability|payable",N(N172),0)+IF(V172="Liability|payable",N(M172),0)</f>
        <v/>
      </c>
      <c r="AB172" s="23">
        <f>IF(S172="Liability|accrued",-N(F172),0)+IF(T172="Liability|accrued",-N(J172),0)+IF(U172="Liability|accrued",N(N172),0)+IF(V172="Liability|accrued",N(M172),0)</f>
        <v/>
      </c>
      <c r="AC172" s="23">
        <f>IF(AND(N(F172)&lt;&gt;0,S172=""),1,0)+IF(AND(N(J172)&lt;&gt;0,T172=""),1,0)+IF(AND(N(N172)&lt;&gt;0,U172=""),1,0)+IF(AND(N(M172)&lt;&gt;0,V172=""),1,0)</f>
        <v/>
      </c>
    </row>
    <row r="173">
      <c r="A173" s="19" t="n"/>
      <c r="B173" s="14" t="n"/>
      <c r="C173" s="14" t="n"/>
      <c r="D173" s="14" t="n"/>
      <c r="E173" s="14" t="n"/>
      <c r="F173" s="20" t="n"/>
      <c r="G173" s="14" t="n"/>
      <c r="H173" s="14" t="n"/>
      <c r="I173" s="14" t="n"/>
      <c r="J173" s="20" t="n"/>
      <c r="K173" s="14" t="n"/>
      <c r="L173" s="21">
        <f>N(F173)+N(J173)</f>
        <v/>
      </c>
      <c r="M173" s="21">
        <f>IF(K173="",0,L173-ROUND(L173/(1+IFERROR(VLOOKUP(K173,'Tax Codes'!$A$5:$E$300,5,FALSE),0)),2))</f>
        <v/>
      </c>
      <c r="N173" s="21">
        <f>L173-M173</f>
        <v/>
      </c>
      <c r="O173" s="16">
        <f>IF(H173="",INDEX('Chart of Accounts'!$A$5:$A$3000,MATCH("bank",'Chart of Accounts'!$F$5:$F$3000,0)),H173&amp;"")</f>
        <v/>
      </c>
      <c r="P173" s="16">
        <f>IF(I173="",INDEX('Chart of Accounts'!$A$5:$A$3000,MATCH("revenue",'Chart of Accounts'!$F$5:$F$3000,0)),I173&amp;"")</f>
        <v/>
      </c>
      <c r="Q173" s="16">
        <f>INDEX('Chart of Accounts'!$A$5:$A$3000,MATCH("wht_receivable",'Chart of Accounts'!$F$5:$F$3000,0))</f>
        <v/>
      </c>
      <c r="R173" s="16">
        <f>INDEX('Chart of Accounts'!$A$5:$A$3000,MATCH("vat_output",'Chart of Accounts'!$F$5:$F$3000,0))</f>
        <v/>
      </c>
      <c r="S173" s="23">
        <f>IFERROR(INDEX('Chart of Accounts'!$C$5:$C$3000,MATCH(O173&amp;"",'Chart of Accounts'!$A$5:$A$3000,0))&amp;"|"&amp;INDEX('Chart of Accounts'!$D$5:$D$3000,MATCH(O173&amp;"",'Chart of Accounts'!$A$5:$A$3000,0)),"")</f>
        <v/>
      </c>
      <c r="T173" s="23">
        <f>IFERROR(INDEX('Chart of Accounts'!$C$5:$C$3000,MATCH(Q173&amp;"",'Chart of Accounts'!$A$5:$A$3000,0))&amp;"|"&amp;INDEX('Chart of Accounts'!$D$5:$D$3000,MATCH(Q173&amp;"",'Chart of Accounts'!$A$5:$A$3000,0)),"")</f>
        <v/>
      </c>
      <c r="U173" s="23">
        <f>IFERROR(INDEX('Chart of Accounts'!$C$5:$C$3000,MATCH(P173&amp;"",'Chart of Accounts'!$A$5:$A$3000,0))&amp;"|"&amp;INDEX('Chart of Accounts'!$D$5:$D$3000,MATCH(P173&amp;"",'Chart of Accounts'!$A$5:$A$3000,0)),"")</f>
        <v/>
      </c>
      <c r="V173" s="23">
        <f>IFERROR(INDEX('Chart of Accounts'!$C$5:$C$3000,MATCH(R173&amp;"",'Chart of Accounts'!$A$5:$A$3000,0))&amp;"|"&amp;INDEX('Chart of Accounts'!$D$5:$D$3000,MATCH(R173&amp;"",'Chart of Accounts'!$A$5:$A$3000,0)),"")</f>
        <v/>
      </c>
      <c r="W173" s="23">
        <f>IF(LEFT(S173,8)="Revenue|",-N(F173),0)+IF(LEFT(T173,8)="Revenue|",-N(J173),0)+IF(LEFT(U173,8)="Revenue|",N(N173),0)+IF(LEFT(V173,8)="Revenue|",N(M173),0)</f>
        <v/>
      </c>
      <c r="X173" s="23">
        <f>IF(LEFT(S173,5)="COGS|",N(F173),0)+IF(LEFT(T173,5)="COGS|",N(J173),0)+IF(LEFT(U173,5)="COGS|",-N(N173),0)+IF(LEFT(V173,5)="COGS|",-N(M173),0)</f>
        <v/>
      </c>
      <c r="Y173" s="23">
        <f>IF(LEFT(S173,8)="Expense|",N(F173),0)+IF(LEFT(T173,8)="Expense|",N(J173),0)+IF(LEFT(U173,8)="Expense|",-N(N173),0)+IF(LEFT(V173,8)="Expense|",-N(M173),0)</f>
        <v/>
      </c>
      <c r="Z173" s="23">
        <f>IF(ISNUMBER(MATCH(S173,{"Expense|employee","Expense|general_admin","Expense|marketing","Expense|utilities","Expense|other_operating"},0)),N(F173),0)+IF(ISNUMBER(MATCH(T173,{"Expense|employee","Expense|general_admin","Expense|marketing","Expense|utilities","Expense|other_operating"},0)),N(J173),0)+IF(ISNUMBER(MATCH(U173,{"Expense|employee","Expense|general_admin","Expense|marketing","Expense|utilities","Expense|other_operating"},0)),-N(N173),0)+IF(ISNUMBER(MATCH(V173,{"Expense|employee","Expense|general_admin","Expense|marketing","Expense|utilities","Expense|other_operating"},0)),-N(M173),0)</f>
        <v/>
      </c>
      <c r="AA173" s="23">
        <f>IF(S173="Liability|payable",-N(F173),0)+IF(T173="Liability|payable",-N(J173),0)+IF(U173="Liability|payable",N(N173),0)+IF(V173="Liability|payable",N(M173),0)</f>
        <v/>
      </c>
      <c r="AB173" s="23">
        <f>IF(S173="Liability|accrued",-N(F173),0)+IF(T173="Liability|accrued",-N(J173),0)+IF(U173="Liability|accrued",N(N173),0)+IF(V173="Liability|accrued",N(M173),0)</f>
        <v/>
      </c>
      <c r="AC173" s="23">
        <f>IF(AND(N(F173)&lt;&gt;0,S173=""),1,0)+IF(AND(N(J173)&lt;&gt;0,T173=""),1,0)+IF(AND(N(N173)&lt;&gt;0,U173=""),1,0)+IF(AND(N(M173)&lt;&gt;0,V173=""),1,0)</f>
        <v/>
      </c>
    </row>
    <row r="174">
      <c r="A174" s="19" t="n"/>
      <c r="B174" s="14" t="n"/>
      <c r="C174" s="14" t="n"/>
      <c r="D174" s="14" t="n"/>
      <c r="E174" s="14" t="n"/>
      <c r="F174" s="20" t="n"/>
      <c r="G174" s="14" t="n"/>
      <c r="H174" s="14" t="n"/>
      <c r="I174" s="14" t="n"/>
      <c r="J174" s="20" t="n"/>
      <c r="K174" s="14" t="n"/>
      <c r="L174" s="21">
        <f>N(F174)+N(J174)</f>
        <v/>
      </c>
      <c r="M174" s="21">
        <f>IF(K174="",0,L174-ROUND(L174/(1+IFERROR(VLOOKUP(K174,'Tax Codes'!$A$5:$E$300,5,FALSE),0)),2))</f>
        <v/>
      </c>
      <c r="N174" s="21">
        <f>L174-M174</f>
        <v/>
      </c>
      <c r="O174" s="16">
        <f>IF(H174="",INDEX('Chart of Accounts'!$A$5:$A$3000,MATCH("bank",'Chart of Accounts'!$F$5:$F$3000,0)),H174&amp;"")</f>
        <v/>
      </c>
      <c r="P174" s="16">
        <f>IF(I174="",INDEX('Chart of Accounts'!$A$5:$A$3000,MATCH("revenue",'Chart of Accounts'!$F$5:$F$3000,0)),I174&amp;"")</f>
        <v/>
      </c>
      <c r="Q174" s="16">
        <f>INDEX('Chart of Accounts'!$A$5:$A$3000,MATCH("wht_receivable",'Chart of Accounts'!$F$5:$F$3000,0))</f>
        <v/>
      </c>
      <c r="R174" s="16">
        <f>INDEX('Chart of Accounts'!$A$5:$A$3000,MATCH("vat_output",'Chart of Accounts'!$F$5:$F$3000,0))</f>
        <v/>
      </c>
      <c r="S174" s="23">
        <f>IFERROR(INDEX('Chart of Accounts'!$C$5:$C$3000,MATCH(O174&amp;"",'Chart of Accounts'!$A$5:$A$3000,0))&amp;"|"&amp;INDEX('Chart of Accounts'!$D$5:$D$3000,MATCH(O174&amp;"",'Chart of Accounts'!$A$5:$A$3000,0)),"")</f>
        <v/>
      </c>
      <c r="T174" s="23">
        <f>IFERROR(INDEX('Chart of Accounts'!$C$5:$C$3000,MATCH(Q174&amp;"",'Chart of Accounts'!$A$5:$A$3000,0))&amp;"|"&amp;INDEX('Chart of Accounts'!$D$5:$D$3000,MATCH(Q174&amp;"",'Chart of Accounts'!$A$5:$A$3000,0)),"")</f>
        <v/>
      </c>
      <c r="U174" s="23">
        <f>IFERROR(INDEX('Chart of Accounts'!$C$5:$C$3000,MATCH(P174&amp;"",'Chart of Accounts'!$A$5:$A$3000,0))&amp;"|"&amp;INDEX('Chart of Accounts'!$D$5:$D$3000,MATCH(P174&amp;"",'Chart of Accounts'!$A$5:$A$3000,0)),"")</f>
        <v/>
      </c>
      <c r="V174" s="23">
        <f>IFERROR(INDEX('Chart of Accounts'!$C$5:$C$3000,MATCH(R174&amp;"",'Chart of Accounts'!$A$5:$A$3000,0))&amp;"|"&amp;INDEX('Chart of Accounts'!$D$5:$D$3000,MATCH(R174&amp;"",'Chart of Accounts'!$A$5:$A$3000,0)),"")</f>
        <v/>
      </c>
      <c r="W174" s="23">
        <f>IF(LEFT(S174,8)="Revenue|",-N(F174),0)+IF(LEFT(T174,8)="Revenue|",-N(J174),0)+IF(LEFT(U174,8)="Revenue|",N(N174),0)+IF(LEFT(V174,8)="Revenue|",N(M174),0)</f>
        <v/>
      </c>
      <c r="X174" s="23">
        <f>IF(LEFT(S174,5)="COGS|",N(F174),0)+IF(LEFT(T174,5)="COGS|",N(J174),0)+IF(LEFT(U174,5)="COGS|",-N(N174),0)+IF(LEFT(V174,5)="COGS|",-N(M174),0)</f>
        <v/>
      </c>
      <c r="Y174" s="23">
        <f>IF(LEFT(S174,8)="Expense|",N(F174),0)+IF(LEFT(T174,8)="Expense|",N(J174),0)+IF(LEFT(U174,8)="Expense|",-N(N174),0)+IF(LEFT(V174,8)="Expense|",-N(M174),0)</f>
        <v/>
      </c>
      <c r="Z174" s="23">
        <f>IF(ISNUMBER(MATCH(S174,{"Expense|employee","Expense|general_admin","Expense|marketing","Expense|utilities","Expense|other_operating"},0)),N(F174),0)+IF(ISNUMBER(MATCH(T174,{"Expense|employee","Expense|general_admin","Expense|marketing","Expense|utilities","Expense|other_operating"},0)),N(J174),0)+IF(ISNUMBER(MATCH(U174,{"Expense|employee","Expense|general_admin","Expense|marketing","Expense|utilities","Expense|other_operating"},0)),-N(N174),0)+IF(ISNUMBER(MATCH(V174,{"Expense|employee","Expense|general_admin","Expense|marketing","Expense|utilities","Expense|other_operating"},0)),-N(M174),0)</f>
        <v/>
      </c>
      <c r="AA174" s="23">
        <f>IF(S174="Liability|payable",-N(F174),0)+IF(T174="Liability|payable",-N(J174),0)+IF(U174="Liability|payable",N(N174),0)+IF(V174="Liability|payable",N(M174),0)</f>
        <v/>
      </c>
      <c r="AB174" s="23">
        <f>IF(S174="Liability|accrued",-N(F174),0)+IF(T174="Liability|accrued",-N(J174),0)+IF(U174="Liability|accrued",N(N174),0)+IF(V174="Liability|accrued",N(M174),0)</f>
        <v/>
      </c>
      <c r="AC174" s="23">
        <f>IF(AND(N(F174)&lt;&gt;0,S174=""),1,0)+IF(AND(N(J174)&lt;&gt;0,T174=""),1,0)+IF(AND(N(N174)&lt;&gt;0,U174=""),1,0)+IF(AND(N(M174)&lt;&gt;0,V174=""),1,0)</f>
        <v/>
      </c>
    </row>
    <row r="175">
      <c r="A175" s="19" t="n"/>
      <c r="B175" s="14" t="n"/>
      <c r="C175" s="14" t="n"/>
      <c r="D175" s="14" t="n"/>
      <c r="E175" s="14" t="n"/>
      <c r="F175" s="20" t="n"/>
      <c r="G175" s="14" t="n"/>
      <c r="H175" s="14" t="n"/>
      <c r="I175" s="14" t="n"/>
      <c r="J175" s="20" t="n"/>
      <c r="K175" s="14" t="n"/>
      <c r="L175" s="21">
        <f>N(F175)+N(J175)</f>
        <v/>
      </c>
      <c r="M175" s="21">
        <f>IF(K175="",0,L175-ROUND(L175/(1+IFERROR(VLOOKUP(K175,'Tax Codes'!$A$5:$E$300,5,FALSE),0)),2))</f>
        <v/>
      </c>
      <c r="N175" s="21">
        <f>L175-M175</f>
        <v/>
      </c>
      <c r="O175" s="16">
        <f>IF(H175="",INDEX('Chart of Accounts'!$A$5:$A$3000,MATCH("bank",'Chart of Accounts'!$F$5:$F$3000,0)),H175&amp;"")</f>
        <v/>
      </c>
      <c r="P175" s="16">
        <f>IF(I175="",INDEX('Chart of Accounts'!$A$5:$A$3000,MATCH("revenue",'Chart of Accounts'!$F$5:$F$3000,0)),I175&amp;"")</f>
        <v/>
      </c>
      <c r="Q175" s="16">
        <f>INDEX('Chart of Accounts'!$A$5:$A$3000,MATCH("wht_receivable",'Chart of Accounts'!$F$5:$F$3000,0))</f>
        <v/>
      </c>
      <c r="R175" s="16">
        <f>INDEX('Chart of Accounts'!$A$5:$A$3000,MATCH("vat_output",'Chart of Accounts'!$F$5:$F$3000,0))</f>
        <v/>
      </c>
      <c r="S175" s="23">
        <f>IFERROR(INDEX('Chart of Accounts'!$C$5:$C$3000,MATCH(O175&amp;"",'Chart of Accounts'!$A$5:$A$3000,0))&amp;"|"&amp;INDEX('Chart of Accounts'!$D$5:$D$3000,MATCH(O175&amp;"",'Chart of Accounts'!$A$5:$A$3000,0)),"")</f>
        <v/>
      </c>
      <c r="T175" s="23">
        <f>IFERROR(INDEX('Chart of Accounts'!$C$5:$C$3000,MATCH(Q175&amp;"",'Chart of Accounts'!$A$5:$A$3000,0))&amp;"|"&amp;INDEX('Chart of Accounts'!$D$5:$D$3000,MATCH(Q175&amp;"",'Chart of Accounts'!$A$5:$A$3000,0)),"")</f>
        <v/>
      </c>
      <c r="U175" s="23">
        <f>IFERROR(INDEX('Chart of Accounts'!$C$5:$C$3000,MATCH(P175&amp;"",'Chart of Accounts'!$A$5:$A$3000,0))&amp;"|"&amp;INDEX('Chart of Accounts'!$D$5:$D$3000,MATCH(P175&amp;"",'Chart of Accounts'!$A$5:$A$3000,0)),"")</f>
        <v/>
      </c>
      <c r="V175" s="23">
        <f>IFERROR(INDEX('Chart of Accounts'!$C$5:$C$3000,MATCH(R175&amp;"",'Chart of Accounts'!$A$5:$A$3000,0))&amp;"|"&amp;INDEX('Chart of Accounts'!$D$5:$D$3000,MATCH(R175&amp;"",'Chart of Accounts'!$A$5:$A$3000,0)),"")</f>
        <v/>
      </c>
      <c r="W175" s="23">
        <f>IF(LEFT(S175,8)="Revenue|",-N(F175),0)+IF(LEFT(T175,8)="Revenue|",-N(J175),0)+IF(LEFT(U175,8)="Revenue|",N(N175),0)+IF(LEFT(V175,8)="Revenue|",N(M175),0)</f>
        <v/>
      </c>
      <c r="X175" s="23">
        <f>IF(LEFT(S175,5)="COGS|",N(F175),0)+IF(LEFT(T175,5)="COGS|",N(J175),0)+IF(LEFT(U175,5)="COGS|",-N(N175),0)+IF(LEFT(V175,5)="COGS|",-N(M175),0)</f>
        <v/>
      </c>
      <c r="Y175" s="23">
        <f>IF(LEFT(S175,8)="Expense|",N(F175),0)+IF(LEFT(T175,8)="Expense|",N(J175),0)+IF(LEFT(U175,8)="Expense|",-N(N175),0)+IF(LEFT(V175,8)="Expense|",-N(M175),0)</f>
        <v/>
      </c>
      <c r="Z175" s="23">
        <f>IF(ISNUMBER(MATCH(S175,{"Expense|employee","Expense|general_admin","Expense|marketing","Expense|utilities","Expense|other_operating"},0)),N(F175),0)+IF(ISNUMBER(MATCH(T175,{"Expense|employee","Expense|general_admin","Expense|marketing","Expense|utilities","Expense|other_operating"},0)),N(J175),0)+IF(ISNUMBER(MATCH(U175,{"Expense|employee","Expense|general_admin","Expense|marketing","Expense|utilities","Expense|other_operating"},0)),-N(N175),0)+IF(ISNUMBER(MATCH(V175,{"Expense|employee","Expense|general_admin","Expense|marketing","Expense|utilities","Expense|other_operating"},0)),-N(M175),0)</f>
        <v/>
      </c>
      <c r="AA175" s="23">
        <f>IF(S175="Liability|payable",-N(F175),0)+IF(T175="Liability|payable",-N(J175),0)+IF(U175="Liability|payable",N(N175),0)+IF(V175="Liability|payable",N(M175),0)</f>
        <v/>
      </c>
      <c r="AB175" s="23">
        <f>IF(S175="Liability|accrued",-N(F175),0)+IF(T175="Liability|accrued",-N(J175),0)+IF(U175="Liability|accrued",N(N175),0)+IF(V175="Liability|accrued",N(M175),0)</f>
        <v/>
      </c>
      <c r="AC175" s="23">
        <f>IF(AND(N(F175)&lt;&gt;0,S175=""),1,0)+IF(AND(N(J175)&lt;&gt;0,T175=""),1,0)+IF(AND(N(N175)&lt;&gt;0,U175=""),1,0)+IF(AND(N(M175)&lt;&gt;0,V175=""),1,0)</f>
        <v/>
      </c>
    </row>
    <row r="176">
      <c r="A176" s="19" t="n"/>
      <c r="B176" s="14" t="n"/>
      <c r="C176" s="14" t="n"/>
      <c r="D176" s="14" t="n"/>
      <c r="E176" s="14" t="n"/>
      <c r="F176" s="20" t="n"/>
      <c r="G176" s="14" t="n"/>
      <c r="H176" s="14" t="n"/>
      <c r="I176" s="14" t="n"/>
      <c r="J176" s="20" t="n"/>
      <c r="K176" s="14" t="n"/>
      <c r="L176" s="21">
        <f>N(F176)+N(J176)</f>
        <v/>
      </c>
      <c r="M176" s="21">
        <f>IF(K176="",0,L176-ROUND(L176/(1+IFERROR(VLOOKUP(K176,'Tax Codes'!$A$5:$E$300,5,FALSE),0)),2))</f>
        <v/>
      </c>
      <c r="N176" s="21">
        <f>L176-M176</f>
        <v/>
      </c>
      <c r="O176" s="16">
        <f>IF(H176="",INDEX('Chart of Accounts'!$A$5:$A$3000,MATCH("bank",'Chart of Accounts'!$F$5:$F$3000,0)),H176&amp;"")</f>
        <v/>
      </c>
      <c r="P176" s="16">
        <f>IF(I176="",INDEX('Chart of Accounts'!$A$5:$A$3000,MATCH("revenue",'Chart of Accounts'!$F$5:$F$3000,0)),I176&amp;"")</f>
        <v/>
      </c>
      <c r="Q176" s="16">
        <f>INDEX('Chart of Accounts'!$A$5:$A$3000,MATCH("wht_receivable",'Chart of Accounts'!$F$5:$F$3000,0))</f>
        <v/>
      </c>
      <c r="R176" s="16">
        <f>INDEX('Chart of Accounts'!$A$5:$A$3000,MATCH("vat_output",'Chart of Accounts'!$F$5:$F$3000,0))</f>
        <v/>
      </c>
      <c r="S176" s="23">
        <f>IFERROR(INDEX('Chart of Accounts'!$C$5:$C$3000,MATCH(O176&amp;"",'Chart of Accounts'!$A$5:$A$3000,0))&amp;"|"&amp;INDEX('Chart of Accounts'!$D$5:$D$3000,MATCH(O176&amp;"",'Chart of Accounts'!$A$5:$A$3000,0)),"")</f>
        <v/>
      </c>
      <c r="T176" s="23">
        <f>IFERROR(INDEX('Chart of Accounts'!$C$5:$C$3000,MATCH(Q176&amp;"",'Chart of Accounts'!$A$5:$A$3000,0))&amp;"|"&amp;INDEX('Chart of Accounts'!$D$5:$D$3000,MATCH(Q176&amp;"",'Chart of Accounts'!$A$5:$A$3000,0)),"")</f>
        <v/>
      </c>
      <c r="U176" s="23">
        <f>IFERROR(INDEX('Chart of Accounts'!$C$5:$C$3000,MATCH(P176&amp;"",'Chart of Accounts'!$A$5:$A$3000,0))&amp;"|"&amp;INDEX('Chart of Accounts'!$D$5:$D$3000,MATCH(P176&amp;"",'Chart of Accounts'!$A$5:$A$3000,0)),"")</f>
        <v/>
      </c>
      <c r="V176" s="23">
        <f>IFERROR(INDEX('Chart of Accounts'!$C$5:$C$3000,MATCH(R176&amp;"",'Chart of Accounts'!$A$5:$A$3000,0))&amp;"|"&amp;INDEX('Chart of Accounts'!$D$5:$D$3000,MATCH(R176&amp;"",'Chart of Accounts'!$A$5:$A$3000,0)),"")</f>
        <v/>
      </c>
      <c r="W176" s="23">
        <f>IF(LEFT(S176,8)="Revenue|",-N(F176),0)+IF(LEFT(T176,8)="Revenue|",-N(J176),0)+IF(LEFT(U176,8)="Revenue|",N(N176),0)+IF(LEFT(V176,8)="Revenue|",N(M176),0)</f>
        <v/>
      </c>
      <c r="X176" s="23">
        <f>IF(LEFT(S176,5)="COGS|",N(F176),0)+IF(LEFT(T176,5)="COGS|",N(J176),0)+IF(LEFT(U176,5)="COGS|",-N(N176),0)+IF(LEFT(V176,5)="COGS|",-N(M176),0)</f>
        <v/>
      </c>
      <c r="Y176" s="23">
        <f>IF(LEFT(S176,8)="Expense|",N(F176),0)+IF(LEFT(T176,8)="Expense|",N(J176),0)+IF(LEFT(U176,8)="Expense|",-N(N176),0)+IF(LEFT(V176,8)="Expense|",-N(M176),0)</f>
        <v/>
      </c>
      <c r="Z176" s="23">
        <f>IF(ISNUMBER(MATCH(S176,{"Expense|employee","Expense|general_admin","Expense|marketing","Expense|utilities","Expense|other_operating"},0)),N(F176),0)+IF(ISNUMBER(MATCH(T176,{"Expense|employee","Expense|general_admin","Expense|marketing","Expense|utilities","Expense|other_operating"},0)),N(J176),0)+IF(ISNUMBER(MATCH(U176,{"Expense|employee","Expense|general_admin","Expense|marketing","Expense|utilities","Expense|other_operating"},0)),-N(N176),0)+IF(ISNUMBER(MATCH(V176,{"Expense|employee","Expense|general_admin","Expense|marketing","Expense|utilities","Expense|other_operating"},0)),-N(M176),0)</f>
        <v/>
      </c>
      <c r="AA176" s="23">
        <f>IF(S176="Liability|payable",-N(F176),0)+IF(T176="Liability|payable",-N(J176),0)+IF(U176="Liability|payable",N(N176),0)+IF(V176="Liability|payable",N(M176),0)</f>
        <v/>
      </c>
      <c r="AB176" s="23">
        <f>IF(S176="Liability|accrued",-N(F176),0)+IF(T176="Liability|accrued",-N(J176),0)+IF(U176="Liability|accrued",N(N176),0)+IF(V176="Liability|accrued",N(M176),0)</f>
        <v/>
      </c>
      <c r="AC176" s="23">
        <f>IF(AND(N(F176)&lt;&gt;0,S176=""),1,0)+IF(AND(N(J176)&lt;&gt;0,T176=""),1,0)+IF(AND(N(N176)&lt;&gt;0,U176=""),1,0)+IF(AND(N(M176)&lt;&gt;0,V176=""),1,0)</f>
        <v/>
      </c>
    </row>
    <row r="177">
      <c r="A177" s="19" t="n"/>
      <c r="B177" s="14" t="n"/>
      <c r="C177" s="14" t="n"/>
      <c r="D177" s="14" t="n"/>
      <c r="E177" s="14" t="n"/>
      <c r="F177" s="20" t="n"/>
      <c r="G177" s="14" t="n"/>
      <c r="H177" s="14" t="n"/>
      <c r="I177" s="14" t="n"/>
      <c r="J177" s="20" t="n"/>
      <c r="K177" s="14" t="n"/>
      <c r="L177" s="21">
        <f>N(F177)+N(J177)</f>
        <v/>
      </c>
      <c r="M177" s="21">
        <f>IF(K177="",0,L177-ROUND(L177/(1+IFERROR(VLOOKUP(K177,'Tax Codes'!$A$5:$E$300,5,FALSE),0)),2))</f>
        <v/>
      </c>
      <c r="N177" s="21">
        <f>L177-M177</f>
        <v/>
      </c>
      <c r="O177" s="16">
        <f>IF(H177="",INDEX('Chart of Accounts'!$A$5:$A$3000,MATCH("bank",'Chart of Accounts'!$F$5:$F$3000,0)),H177&amp;"")</f>
        <v/>
      </c>
      <c r="P177" s="16">
        <f>IF(I177="",INDEX('Chart of Accounts'!$A$5:$A$3000,MATCH("revenue",'Chart of Accounts'!$F$5:$F$3000,0)),I177&amp;"")</f>
        <v/>
      </c>
      <c r="Q177" s="16">
        <f>INDEX('Chart of Accounts'!$A$5:$A$3000,MATCH("wht_receivable",'Chart of Accounts'!$F$5:$F$3000,0))</f>
        <v/>
      </c>
      <c r="R177" s="16">
        <f>INDEX('Chart of Accounts'!$A$5:$A$3000,MATCH("vat_output",'Chart of Accounts'!$F$5:$F$3000,0))</f>
        <v/>
      </c>
      <c r="S177" s="23">
        <f>IFERROR(INDEX('Chart of Accounts'!$C$5:$C$3000,MATCH(O177&amp;"",'Chart of Accounts'!$A$5:$A$3000,0))&amp;"|"&amp;INDEX('Chart of Accounts'!$D$5:$D$3000,MATCH(O177&amp;"",'Chart of Accounts'!$A$5:$A$3000,0)),"")</f>
        <v/>
      </c>
      <c r="T177" s="23">
        <f>IFERROR(INDEX('Chart of Accounts'!$C$5:$C$3000,MATCH(Q177&amp;"",'Chart of Accounts'!$A$5:$A$3000,0))&amp;"|"&amp;INDEX('Chart of Accounts'!$D$5:$D$3000,MATCH(Q177&amp;"",'Chart of Accounts'!$A$5:$A$3000,0)),"")</f>
        <v/>
      </c>
      <c r="U177" s="23">
        <f>IFERROR(INDEX('Chart of Accounts'!$C$5:$C$3000,MATCH(P177&amp;"",'Chart of Accounts'!$A$5:$A$3000,0))&amp;"|"&amp;INDEX('Chart of Accounts'!$D$5:$D$3000,MATCH(P177&amp;"",'Chart of Accounts'!$A$5:$A$3000,0)),"")</f>
        <v/>
      </c>
      <c r="V177" s="23">
        <f>IFERROR(INDEX('Chart of Accounts'!$C$5:$C$3000,MATCH(R177&amp;"",'Chart of Accounts'!$A$5:$A$3000,0))&amp;"|"&amp;INDEX('Chart of Accounts'!$D$5:$D$3000,MATCH(R177&amp;"",'Chart of Accounts'!$A$5:$A$3000,0)),"")</f>
        <v/>
      </c>
      <c r="W177" s="23">
        <f>IF(LEFT(S177,8)="Revenue|",-N(F177),0)+IF(LEFT(T177,8)="Revenue|",-N(J177),0)+IF(LEFT(U177,8)="Revenue|",N(N177),0)+IF(LEFT(V177,8)="Revenue|",N(M177),0)</f>
        <v/>
      </c>
      <c r="X177" s="23">
        <f>IF(LEFT(S177,5)="COGS|",N(F177),0)+IF(LEFT(T177,5)="COGS|",N(J177),0)+IF(LEFT(U177,5)="COGS|",-N(N177),0)+IF(LEFT(V177,5)="COGS|",-N(M177),0)</f>
        <v/>
      </c>
      <c r="Y177" s="23">
        <f>IF(LEFT(S177,8)="Expense|",N(F177),0)+IF(LEFT(T177,8)="Expense|",N(J177),0)+IF(LEFT(U177,8)="Expense|",-N(N177),0)+IF(LEFT(V177,8)="Expense|",-N(M177),0)</f>
        <v/>
      </c>
      <c r="Z177" s="23">
        <f>IF(ISNUMBER(MATCH(S177,{"Expense|employee","Expense|general_admin","Expense|marketing","Expense|utilities","Expense|other_operating"},0)),N(F177),0)+IF(ISNUMBER(MATCH(T177,{"Expense|employee","Expense|general_admin","Expense|marketing","Expense|utilities","Expense|other_operating"},0)),N(J177),0)+IF(ISNUMBER(MATCH(U177,{"Expense|employee","Expense|general_admin","Expense|marketing","Expense|utilities","Expense|other_operating"},0)),-N(N177),0)+IF(ISNUMBER(MATCH(V177,{"Expense|employee","Expense|general_admin","Expense|marketing","Expense|utilities","Expense|other_operating"},0)),-N(M177),0)</f>
        <v/>
      </c>
      <c r="AA177" s="23">
        <f>IF(S177="Liability|payable",-N(F177),0)+IF(T177="Liability|payable",-N(J177),0)+IF(U177="Liability|payable",N(N177),0)+IF(V177="Liability|payable",N(M177),0)</f>
        <v/>
      </c>
      <c r="AB177" s="23">
        <f>IF(S177="Liability|accrued",-N(F177),0)+IF(T177="Liability|accrued",-N(J177),0)+IF(U177="Liability|accrued",N(N177),0)+IF(V177="Liability|accrued",N(M177),0)</f>
        <v/>
      </c>
      <c r="AC177" s="23">
        <f>IF(AND(N(F177)&lt;&gt;0,S177=""),1,0)+IF(AND(N(J177)&lt;&gt;0,T177=""),1,0)+IF(AND(N(N177)&lt;&gt;0,U177=""),1,0)+IF(AND(N(M177)&lt;&gt;0,V177=""),1,0)</f>
        <v/>
      </c>
    </row>
    <row r="178">
      <c r="A178" s="19" t="n"/>
      <c r="B178" s="14" t="n"/>
      <c r="C178" s="14" t="n"/>
      <c r="D178" s="14" t="n"/>
      <c r="E178" s="14" t="n"/>
      <c r="F178" s="20" t="n"/>
      <c r="G178" s="14" t="n"/>
      <c r="H178" s="14" t="n"/>
      <c r="I178" s="14" t="n"/>
      <c r="J178" s="20" t="n"/>
      <c r="K178" s="14" t="n"/>
      <c r="L178" s="21">
        <f>N(F178)+N(J178)</f>
        <v/>
      </c>
      <c r="M178" s="21">
        <f>IF(K178="",0,L178-ROUND(L178/(1+IFERROR(VLOOKUP(K178,'Tax Codes'!$A$5:$E$300,5,FALSE),0)),2))</f>
        <v/>
      </c>
      <c r="N178" s="21">
        <f>L178-M178</f>
        <v/>
      </c>
      <c r="O178" s="16">
        <f>IF(H178="",INDEX('Chart of Accounts'!$A$5:$A$3000,MATCH("bank",'Chart of Accounts'!$F$5:$F$3000,0)),H178&amp;"")</f>
        <v/>
      </c>
      <c r="P178" s="16">
        <f>IF(I178="",INDEX('Chart of Accounts'!$A$5:$A$3000,MATCH("revenue",'Chart of Accounts'!$F$5:$F$3000,0)),I178&amp;"")</f>
        <v/>
      </c>
      <c r="Q178" s="16">
        <f>INDEX('Chart of Accounts'!$A$5:$A$3000,MATCH("wht_receivable",'Chart of Accounts'!$F$5:$F$3000,0))</f>
        <v/>
      </c>
      <c r="R178" s="16">
        <f>INDEX('Chart of Accounts'!$A$5:$A$3000,MATCH("vat_output",'Chart of Accounts'!$F$5:$F$3000,0))</f>
        <v/>
      </c>
      <c r="S178" s="23">
        <f>IFERROR(INDEX('Chart of Accounts'!$C$5:$C$3000,MATCH(O178&amp;"",'Chart of Accounts'!$A$5:$A$3000,0))&amp;"|"&amp;INDEX('Chart of Accounts'!$D$5:$D$3000,MATCH(O178&amp;"",'Chart of Accounts'!$A$5:$A$3000,0)),"")</f>
        <v/>
      </c>
      <c r="T178" s="23">
        <f>IFERROR(INDEX('Chart of Accounts'!$C$5:$C$3000,MATCH(Q178&amp;"",'Chart of Accounts'!$A$5:$A$3000,0))&amp;"|"&amp;INDEX('Chart of Accounts'!$D$5:$D$3000,MATCH(Q178&amp;"",'Chart of Accounts'!$A$5:$A$3000,0)),"")</f>
        <v/>
      </c>
      <c r="U178" s="23">
        <f>IFERROR(INDEX('Chart of Accounts'!$C$5:$C$3000,MATCH(P178&amp;"",'Chart of Accounts'!$A$5:$A$3000,0))&amp;"|"&amp;INDEX('Chart of Accounts'!$D$5:$D$3000,MATCH(P178&amp;"",'Chart of Accounts'!$A$5:$A$3000,0)),"")</f>
        <v/>
      </c>
      <c r="V178" s="23">
        <f>IFERROR(INDEX('Chart of Accounts'!$C$5:$C$3000,MATCH(R178&amp;"",'Chart of Accounts'!$A$5:$A$3000,0))&amp;"|"&amp;INDEX('Chart of Accounts'!$D$5:$D$3000,MATCH(R178&amp;"",'Chart of Accounts'!$A$5:$A$3000,0)),"")</f>
        <v/>
      </c>
      <c r="W178" s="23">
        <f>IF(LEFT(S178,8)="Revenue|",-N(F178),0)+IF(LEFT(T178,8)="Revenue|",-N(J178),0)+IF(LEFT(U178,8)="Revenue|",N(N178),0)+IF(LEFT(V178,8)="Revenue|",N(M178),0)</f>
        <v/>
      </c>
      <c r="X178" s="23">
        <f>IF(LEFT(S178,5)="COGS|",N(F178),0)+IF(LEFT(T178,5)="COGS|",N(J178),0)+IF(LEFT(U178,5)="COGS|",-N(N178),0)+IF(LEFT(V178,5)="COGS|",-N(M178),0)</f>
        <v/>
      </c>
      <c r="Y178" s="23">
        <f>IF(LEFT(S178,8)="Expense|",N(F178),0)+IF(LEFT(T178,8)="Expense|",N(J178),0)+IF(LEFT(U178,8)="Expense|",-N(N178),0)+IF(LEFT(V178,8)="Expense|",-N(M178),0)</f>
        <v/>
      </c>
      <c r="Z178" s="23">
        <f>IF(ISNUMBER(MATCH(S178,{"Expense|employee","Expense|general_admin","Expense|marketing","Expense|utilities","Expense|other_operating"},0)),N(F178),0)+IF(ISNUMBER(MATCH(T178,{"Expense|employee","Expense|general_admin","Expense|marketing","Expense|utilities","Expense|other_operating"},0)),N(J178),0)+IF(ISNUMBER(MATCH(U178,{"Expense|employee","Expense|general_admin","Expense|marketing","Expense|utilities","Expense|other_operating"},0)),-N(N178),0)+IF(ISNUMBER(MATCH(V178,{"Expense|employee","Expense|general_admin","Expense|marketing","Expense|utilities","Expense|other_operating"},0)),-N(M178),0)</f>
        <v/>
      </c>
      <c r="AA178" s="23">
        <f>IF(S178="Liability|payable",-N(F178),0)+IF(T178="Liability|payable",-N(J178),0)+IF(U178="Liability|payable",N(N178),0)+IF(V178="Liability|payable",N(M178),0)</f>
        <v/>
      </c>
      <c r="AB178" s="23">
        <f>IF(S178="Liability|accrued",-N(F178),0)+IF(T178="Liability|accrued",-N(J178),0)+IF(U178="Liability|accrued",N(N178),0)+IF(V178="Liability|accrued",N(M178),0)</f>
        <v/>
      </c>
      <c r="AC178" s="23">
        <f>IF(AND(N(F178)&lt;&gt;0,S178=""),1,0)+IF(AND(N(J178)&lt;&gt;0,T178=""),1,0)+IF(AND(N(N178)&lt;&gt;0,U178=""),1,0)+IF(AND(N(M178)&lt;&gt;0,V178=""),1,0)</f>
        <v/>
      </c>
    </row>
    <row r="179">
      <c r="A179" s="19" t="n"/>
      <c r="B179" s="14" t="n"/>
      <c r="C179" s="14" t="n"/>
      <c r="D179" s="14" t="n"/>
      <c r="E179" s="14" t="n"/>
      <c r="F179" s="20" t="n"/>
      <c r="G179" s="14" t="n"/>
      <c r="H179" s="14" t="n"/>
      <c r="I179" s="14" t="n"/>
      <c r="J179" s="20" t="n"/>
      <c r="K179" s="14" t="n"/>
      <c r="L179" s="21">
        <f>N(F179)+N(J179)</f>
        <v/>
      </c>
      <c r="M179" s="21">
        <f>IF(K179="",0,L179-ROUND(L179/(1+IFERROR(VLOOKUP(K179,'Tax Codes'!$A$5:$E$300,5,FALSE),0)),2))</f>
        <v/>
      </c>
      <c r="N179" s="21">
        <f>L179-M179</f>
        <v/>
      </c>
      <c r="O179" s="16">
        <f>IF(H179="",INDEX('Chart of Accounts'!$A$5:$A$3000,MATCH("bank",'Chart of Accounts'!$F$5:$F$3000,0)),H179&amp;"")</f>
        <v/>
      </c>
      <c r="P179" s="16">
        <f>IF(I179="",INDEX('Chart of Accounts'!$A$5:$A$3000,MATCH("revenue",'Chart of Accounts'!$F$5:$F$3000,0)),I179&amp;"")</f>
        <v/>
      </c>
      <c r="Q179" s="16">
        <f>INDEX('Chart of Accounts'!$A$5:$A$3000,MATCH("wht_receivable",'Chart of Accounts'!$F$5:$F$3000,0))</f>
        <v/>
      </c>
      <c r="R179" s="16">
        <f>INDEX('Chart of Accounts'!$A$5:$A$3000,MATCH("vat_output",'Chart of Accounts'!$F$5:$F$3000,0))</f>
        <v/>
      </c>
      <c r="S179" s="23">
        <f>IFERROR(INDEX('Chart of Accounts'!$C$5:$C$3000,MATCH(O179&amp;"",'Chart of Accounts'!$A$5:$A$3000,0))&amp;"|"&amp;INDEX('Chart of Accounts'!$D$5:$D$3000,MATCH(O179&amp;"",'Chart of Accounts'!$A$5:$A$3000,0)),"")</f>
        <v/>
      </c>
      <c r="T179" s="23">
        <f>IFERROR(INDEX('Chart of Accounts'!$C$5:$C$3000,MATCH(Q179&amp;"",'Chart of Accounts'!$A$5:$A$3000,0))&amp;"|"&amp;INDEX('Chart of Accounts'!$D$5:$D$3000,MATCH(Q179&amp;"",'Chart of Accounts'!$A$5:$A$3000,0)),"")</f>
        <v/>
      </c>
      <c r="U179" s="23">
        <f>IFERROR(INDEX('Chart of Accounts'!$C$5:$C$3000,MATCH(P179&amp;"",'Chart of Accounts'!$A$5:$A$3000,0))&amp;"|"&amp;INDEX('Chart of Accounts'!$D$5:$D$3000,MATCH(P179&amp;"",'Chart of Accounts'!$A$5:$A$3000,0)),"")</f>
        <v/>
      </c>
      <c r="V179" s="23">
        <f>IFERROR(INDEX('Chart of Accounts'!$C$5:$C$3000,MATCH(R179&amp;"",'Chart of Accounts'!$A$5:$A$3000,0))&amp;"|"&amp;INDEX('Chart of Accounts'!$D$5:$D$3000,MATCH(R179&amp;"",'Chart of Accounts'!$A$5:$A$3000,0)),"")</f>
        <v/>
      </c>
      <c r="W179" s="23">
        <f>IF(LEFT(S179,8)="Revenue|",-N(F179),0)+IF(LEFT(T179,8)="Revenue|",-N(J179),0)+IF(LEFT(U179,8)="Revenue|",N(N179),0)+IF(LEFT(V179,8)="Revenue|",N(M179),0)</f>
        <v/>
      </c>
      <c r="X179" s="23">
        <f>IF(LEFT(S179,5)="COGS|",N(F179),0)+IF(LEFT(T179,5)="COGS|",N(J179),0)+IF(LEFT(U179,5)="COGS|",-N(N179),0)+IF(LEFT(V179,5)="COGS|",-N(M179),0)</f>
        <v/>
      </c>
      <c r="Y179" s="23">
        <f>IF(LEFT(S179,8)="Expense|",N(F179),0)+IF(LEFT(T179,8)="Expense|",N(J179),0)+IF(LEFT(U179,8)="Expense|",-N(N179),0)+IF(LEFT(V179,8)="Expense|",-N(M179),0)</f>
        <v/>
      </c>
      <c r="Z179" s="23">
        <f>IF(ISNUMBER(MATCH(S179,{"Expense|employee","Expense|general_admin","Expense|marketing","Expense|utilities","Expense|other_operating"},0)),N(F179),0)+IF(ISNUMBER(MATCH(T179,{"Expense|employee","Expense|general_admin","Expense|marketing","Expense|utilities","Expense|other_operating"},0)),N(J179),0)+IF(ISNUMBER(MATCH(U179,{"Expense|employee","Expense|general_admin","Expense|marketing","Expense|utilities","Expense|other_operating"},0)),-N(N179),0)+IF(ISNUMBER(MATCH(V179,{"Expense|employee","Expense|general_admin","Expense|marketing","Expense|utilities","Expense|other_operating"},0)),-N(M179),0)</f>
        <v/>
      </c>
      <c r="AA179" s="23">
        <f>IF(S179="Liability|payable",-N(F179),0)+IF(T179="Liability|payable",-N(J179),0)+IF(U179="Liability|payable",N(N179),0)+IF(V179="Liability|payable",N(M179),0)</f>
        <v/>
      </c>
      <c r="AB179" s="23">
        <f>IF(S179="Liability|accrued",-N(F179),0)+IF(T179="Liability|accrued",-N(J179),0)+IF(U179="Liability|accrued",N(N179),0)+IF(V179="Liability|accrued",N(M179),0)</f>
        <v/>
      </c>
      <c r="AC179" s="23">
        <f>IF(AND(N(F179)&lt;&gt;0,S179=""),1,0)+IF(AND(N(J179)&lt;&gt;0,T179=""),1,0)+IF(AND(N(N179)&lt;&gt;0,U179=""),1,0)+IF(AND(N(M179)&lt;&gt;0,V179=""),1,0)</f>
        <v/>
      </c>
    </row>
    <row r="180">
      <c r="A180" s="19" t="n"/>
      <c r="B180" s="14" t="n"/>
      <c r="C180" s="14" t="n"/>
      <c r="D180" s="14" t="n"/>
      <c r="E180" s="14" t="n"/>
      <c r="F180" s="20" t="n"/>
      <c r="G180" s="14" t="n"/>
      <c r="H180" s="14" t="n"/>
      <c r="I180" s="14" t="n"/>
      <c r="J180" s="20" t="n"/>
      <c r="K180" s="14" t="n"/>
      <c r="L180" s="21">
        <f>N(F180)+N(J180)</f>
        <v/>
      </c>
      <c r="M180" s="21">
        <f>IF(K180="",0,L180-ROUND(L180/(1+IFERROR(VLOOKUP(K180,'Tax Codes'!$A$5:$E$300,5,FALSE),0)),2))</f>
        <v/>
      </c>
      <c r="N180" s="21">
        <f>L180-M180</f>
        <v/>
      </c>
      <c r="O180" s="16">
        <f>IF(H180="",INDEX('Chart of Accounts'!$A$5:$A$3000,MATCH("bank",'Chart of Accounts'!$F$5:$F$3000,0)),H180&amp;"")</f>
        <v/>
      </c>
      <c r="P180" s="16">
        <f>IF(I180="",INDEX('Chart of Accounts'!$A$5:$A$3000,MATCH("revenue",'Chart of Accounts'!$F$5:$F$3000,0)),I180&amp;"")</f>
        <v/>
      </c>
      <c r="Q180" s="16">
        <f>INDEX('Chart of Accounts'!$A$5:$A$3000,MATCH("wht_receivable",'Chart of Accounts'!$F$5:$F$3000,0))</f>
        <v/>
      </c>
      <c r="R180" s="16">
        <f>INDEX('Chart of Accounts'!$A$5:$A$3000,MATCH("vat_output",'Chart of Accounts'!$F$5:$F$3000,0))</f>
        <v/>
      </c>
      <c r="S180" s="23">
        <f>IFERROR(INDEX('Chart of Accounts'!$C$5:$C$3000,MATCH(O180&amp;"",'Chart of Accounts'!$A$5:$A$3000,0))&amp;"|"&amp;INDEX('Chart of Accounts'!$D$5:$D$3000,MATCH(O180&amp;"",'Chart of Accounts'!$A$5:$A$3000,0)),"")</f>
        <v/>
      </c>
      <c r="T180" s="23">
        <f>IFERROR(INDEX('Chart of Accounts'!$C$5:$C$3000,MATCH(Q180&amp;"",'Chart of Accounts'!$A$5:$A$3000,0))&amp;"|"&amp;INDEX('Chart of Accounts'!$D$5:$D$3000,MATCH(Q180&amp;"",'Chart of Accounts'!$A$5:$A$3000,0)),"")</f>
        <v/>
      </c>
      <c r="U180" s="23">
        <f>IFERROR(INDEX('Chart of Accounts'!$C$5:$C$3000,MATCH(P180&amp;"",'Chart of Accounts'!$A$5:$A$3000,0))&amp;"|"&amp;INDEX('Chart of Accounts'!$D$5:$D$3000,MATCH(P180&amp;"",'Chart of Accounts'!$A$5:$A$3000,0)),"")</f>
        <v/>
      </c>
      <c r="V180" s="23">
        <f>IFERROR(INDEX('Chart of Accounts'!$C$5:$C$3000,MATCH(R180&amp;"",'Chart of Accounts'!$A$5:$A$3000,0))&amp;"|"&amp;INDEX('Chart of Accounts'!$D$5:$D$3000,MATCH(R180&amp;"",'Chart of Accounts'!$A$5:$A$3000,0)),"")</f>
        <v/>
      </c>
      <c r="W180" s="23">
        <f>IF(LEFT(S180,8)="Revenue|",-N(F180),0)+IF(LEFT(T180,8)="Revenue|",-N(J180),0)+IF(LEFT(U180,8)="Revenue|",N(N180),0)+IF(LEFT(V180,8)="Revenue|",N(M180),0)</f>
        <v/>
      </c>
      <c r="X180" s="23">
        <f>IF(LEFT(S180,5)="COGS|",N(F180),0)+IF(LEFT(T180,5)="COGS|",N(J180),0)+IF(LEFT(U180,5)="COGS|",-N(N180),0)+IF(LEFT(V180,5)="COGS|",-N(M180),0)</f>
        <v/>
      </c>
      <c r="Y180" s="23">
        <f>IF(LEFT(S180,8)="Expense|",N(F180),0)+IF(LEFT(T180,8)="Expense|",N(J180),0)+IF(LEFT(U180,8)="Expense|",-N(N180),0)+IF(LEFT(V180,8)="Expense|",-N(M180),0)</f>
        <v/>
      </c>
      <c r="Z180" s="23">
        <f>IF(ISNUMBER(MATCH(S180,{"Expense|employee","Expense|general_admin","Expense|marketing","Expense|utilities","Expense|other_operating"},0)),N(F180),0)+IF(ISNUMBER(MATCH(T180,{"Expense|employee","Expense|general_admin","Expense|marketing","Expense|utilities","Expense|other_operating"},0)),N(J180),0)+IF(ISNUMBER(MATCH(U180,{"Expense|employee","Expense|general_admin","Expense|marketing","Expense|utilities","Expense|other_operating"},0)),-N(N180),0)+IF(ISNUMBER(MATCH(V180,{"Expense|employee","Expense|general_admin","Expense|marketing","Expense|utilities","Expense|other_operating"},0)),-N(M180),0)</f>
        <v/>
      </c>
      <c r="AA180" s="23">
        <f>IF(S180="Liability|payable",-N(F180),0)+IF(T180="Liability|payable",-N(J180),0)+IF(U180="Liability|payable",N(N180),0)+IF(V180="Liability|payable",N(M180),0)</f>
        <v/>
      </c>
      <c r="AB180" s="23">
        <f>IF(S180="Liability|accrued",-N(F180),0)+IF(T180="Liability|accrued",-N(J180),0)+IF(U180="Liability|accrued",N(N180),0)+IF(V180="Liability|accrued",N(M180),0)</f>
        <v/>
      </c>
      <c r="AC180" s="23">
        <f>IF(AND(N(F180)&lt;&gt;0,S180=""),1,0)+IF(AND(N(J180)&lt;&gt;0,T180=""),1,0)+IF(AND(N(N180)&lt;&gt;0,U180=""),1,0)+IF(AND(N(M180)&lt;&gt;0,V180=""),1,0)</f>
        <v/>
      </c>
    </row>
    <row r="181">
      <c r="A181" s="19" t="n"/>
      <c r="B181" s="14" t="n"/>
      <c r="C181" s="14" t="n"/>
      <c r="D181" s="14" t="n"/>
      <c r="E181" s="14" t="n"/>
      <c r="F181" s="20" t="n"/>
      <c r="G181" s="14" t="n"/>
      <c r="H181" s="14" t="n"/>
      <c r="I181" s="14" t="n"/>
      <c r="J181" s="20" t="n"/>
      <c r="K181" s="14" t="n"/>
      <c r="L181" s="21">
        <f>N(F181)+N(J181)</f>
        <v/>
      </c>
      <c r="M181" s="21">
        <f>IF(K181="",0,L181-ROUND(L181/(1+IFERROR(VLOOKUP(K181,'Tax Codes'!$A$5:$E$300,5,FALSE),0)),2))</f>
        <v/>
      </c>
      <c r="N181" s="21">
        <f>L181-M181</f>
        <v/>
      </c>
      <c r="O181" s="16">
        <f>IF(H181="",INDEX('Chart of Accounts'!$A$5:$A$3000,MATCH("bank",'Chart of Accounts'!$F$5:$F$3000,0)),H181&amp;"")</f>
        <v/>
      </c>
      <c r="P181" s="16">
        <f>IF(I181="",INDEX('Chart of Accounts'!$A$5:$A$3000,MATCH("revenue",'Chart of Accounts'!$F$5:$F$3000,0)),I181&amp;"")</f>
        <v/>
      </c>
      <c r="Q181" s="16">
        <f>INDEX('Chart of Accounts'!$A$5:$A$3000,MATCH("wht_receivable",'Chart of Accounts'!$F$5:$F$3000,0))</f>
        <v/>
      </c>
      <c r="R181" s="16">
        <f>INDEX('Chart of Accounts'!$A$5:$A$3000,MATCH("vat_output",'Chart of Accounts'!$F$5:$F$3000,0))</f>
        <v/>
      </c>
      <c r="S181" s="23">
        <f>IFERROR(INDEX('Chart of Accounts'!$C$5:$C$3000,MATCH(O181&amp;"",'Chart of Accounts'!$A$5:$A$3000,0))&amp;"|"&amp;INDEX('Chart of Accounts'!$D$5:$D$3000,MATCH(O181&amp;"",'Chart of Accounts'!$A$5:$A$3000,0)),"")</f>
        <v/>
      </c>
      <c r="T181" s="23">
        <f>IFERROR(INDEX('Chart of Accounts'!$C$5:$C$3000,MATCH(Q181&amp;"",'Chart of Accounts'!$A$5:$A$3000,0))&amp;"|"&amp;INDEX('Chart of Accounts'!$D$5:$D$3000,MATCH(Q181&amp;"",'Chart of Accounts'!$A$5:$A$3000,0)),"")</f>
        <v/>
      </c>
      <c r="U181" s="23">
        <f>IFERROR(INDEX('Chart of Accounts'!$C$5:$C$3000,MATCH(P181&amp;"",'Chart of Accounts'!$A$5:$A$3000,0))&amp;"|"&amp;INDEX('Chart of Accounts'!$D$5:$D$3000,MATCH(P181&amp;"",'Chart of Accounts'!$A$5:$A$3000,0)),"")</f>
        <v/>
      </c>
      <c r="V181" s="23">
        <f>IFERROR(INDEX('Chart of Accounts'!$C$5:$C$3000,MATCH(R181&amp;"",'Chart of Accounts'!$A$5:$A$3000,0))&amp;"|"&amp;INDEX('Chart of Accounts'!$D$5:$D$3000,MATCH(R181&amp;"",'Chart of Accounts'!$A$5:$A$3000,0)),"")</f>
        <v/>
      </c>
      <c r="W181" s="23">
        <f>IF(LEFT(S181,8)="Revenue|",-N(F181),0)+IF(LEFT(T181,8)="Revenue|",-N(J181),0)+IF(LEFT(U181,8)="Revenue|",N(N181),0)+IF(LEFT(V181,8)="Revenue|",N(M181),0)</f>
        <v/>
      </c>
      <c r="X181" s="23">
        <f>IF(LEFT(S181,5)="COGS|",N(F181),0)+IF(LEFT(T181,5)="COGS|",N(J181),0)+IF(LEFT(U181,5)="COGS|",-N(N181),0)+IF(LEFT(V181,5)="COGS|",-N(M181),0)</f>
        <v/>
      </c>
      <c r="Y181" s="23">
        <f>IF(LEFT(S181,8)="Expense|",N(F181),0)+IF(LEFT(T181,8)="Expense|",N(J181),0)+IF(LEFT(U181,8)="Expense|",-N(N181),0)+IF(LEFT(V181,8)="Expense|",-N(M181),0)</f>
        <v/>
      </c>
      <c r="Z181" s="23">
        <f>IF(ISNUMBER(MATCH(S181,{"Expense|employee","Expense|general_admin","Expense|marketing","Expense|utilities","Expense|other_operating"},0)),N(F181),0)+IF(ISNUMBER(MATCH(T181,{"Expense|employee","Expense|general_admin","Expense|marketing","Expense|utilities","Expense|other_operating"},0)),N(J181),0)+IF(ISNUMBER(MATCH(U181,{"Expense|employee","Expense|general_admin","Expense|marketing","Expense|utilities","Expense|other_operating"},0)),-N(N181),0)+IF(ISNUMBER(MATCH(V181,{"Expense|employee","Expense|general_admin","Expense|marketing","Expense|utilities","Expense|other_operating"},0)),-N(M181),0)</f>
        <v/>
      </c>
      <c r="AA181" s="23">
        <f>IF(S181="Liability|payable",-N(F181),0)+IF(T181="Liability|payable",-N(J181),0)+IF(U181="Liability|payable",N(N181),0)+IF(V181="Liability|payable",N(M181),0)</f>
        <v/>
      </c>
      <c r="AB181" s="23">
        <f>IF(S181="Liability|accrued",-N(F181),0)+IF(T181="Liability|accrued",-N(J181),0)+IF(U181="Liability|accrued",N(N181),0)+IF(V181="Liability|accrued",N(M181),0)</f>
        <v/>
      </c>
      <c r="AC181" s="23">
        <f>IF(AND(N(F181)&lt;&gt;0,S181=""),1,0)+IF(AND(N(J181)&lt;&gt;0,T181=""),1,0)+IF(AND(N(N181)&lt;&gt;0,U181=""),1,0)+IF(AND(N(M181)&lt;&gt;0,V181=""),1,0)</f>
        <v/>
      </c>
    </row>
    <row r="182">
      <c r="A182" s="19" t="n"/>
      <c r="B182" s="14" t="n"/>
      <c r="C182" s="14" t="n"/>
      <c r="D182" s="14" t="n"/>
      <c r="E182" s="14" t="n"/>
      <c r="F182" s="20" t="n"/>
      <c r="G182" s="14" t="n"/>
      <c r="H182" s="14" t="n"/>
      <c r="I182" s="14" t="n"/>
      <c r="J182" s="20" t="n"/>
      <c r="K182" s="14" t="n"/>
      <c r="L182" s="21">
        <f>N(F182)+N(J182)</f>
        <v/>
      </c>
      <c r="M182" s="21">
        <f>IF(K182="",0,L182-ROUND(L182/(1+IFERROR(VLOOKUP(K182,'Tax Codes'!$A$5:$E$300,5,FALSE),0)),2))</f>
        <v/>
      </c>
      <c r="N182" s="21">
        <f>L182-M182</f>
        <v/>
      </c>
      <c r="O182" s="16">
        <f>IF(H182="",INDEX('Chart of Accounts'!$A$5:$A$3000,MATCH("bank",'Chart of Accounts'!$F$5:$F$3000,0)),H182&amp;"")</f>
        <v/>
      </c>
      <c r="P182" s="16">
        <f>IF(I182="",INDEX('Chart of Accounts'!$A$5:$A$3000,MATCH("revenue",'Chart of Accounts'!$F$5:$F$3000,0)),I182&amp;"")</f>
        <v/>
      </c>
      <c r="Q182" s="16">
        <f>INDEX('Chart of Accounts'!$A$5:$A$3000,MATCH("wht_receivable",'Chart of Accounts'!$F$5:$F$3000,0))</f>
        <v/>
      </c>
      <c r="R182" s="16">
        <f>INDEX('Chart of Accounts'!$A$5:$A$3000,MATCH("vat_output",'Chart of Accounts'!$F$5:$F$3000,0))</f>
        <v/>
      </c>
      <c r="S182" s="23">
        <f>IFERROR(INDEX('Chart of Accounts'!$C$5:$C$3000,MATCH(O182&amp;"",'Chart of Accounts'!$A$5:$A$3000,0))&amp;"|"&amp;INDEX('Chart of Accounts'!$D$5:$D$3000,MATCH(O182&amp;"",'Chart of Accounts'!$A$5:$A$3000,0)),"")</f>
        <v/>
      </c>
      <c r="T182" s="23">
        <f>IFERROR(INDEX('Chart of Accounts'!$C$5:$C$3000,MATCH(Q182&amp;"",'Chart of Accounts'!$A$5:$A$3000,0))&amp;"|"&amp;INDEX('Chart of Accounts'!$D$5:$D$3000,MATCH(Q182&amp;"",'Chart of Accounts'!$A$5:$A$3000,0)),"")</f>
        <v/>
      </c>
      <c r="U182" s="23">
        <f>IFERROR(INDEX('Chart of Accounts'!$C$5:$C$3000,MATCH(P182&amp;"",'Chart of Accounts'!$A$5:$A$3000,0))&amp;"|"&amp;INDEX('Chart of Accounts'!$D$5:$D$3000,MATCH(P182&amp;"",'Chart of Accounts'!$A$5:$A$3000,0)),"")</f>
        <v/>
      </c>
      <c r="V182" s="23">
        <f>IFERROR(INDEX('Chart of Accounts'!$C$5:$C$3000,MATCH(R182&amp;"",'Chart of Accounts'!$A$5:$A$3000,0))&amp;"|"&amp;INDEX('Chart of Accounts'!$D$5:$D$3000,MATCH(R182&amp;"",'Chart of Accounts'!$A$5:$A$3000,0)),"")</f>
        <v/>
      </c>
      <c r="W182" s="23">
        <f>IF(LEFT(S182,8)="Revenue|",-N(F182),0)+IF(LEFT(T182,8)="Revenue|",-N(J182),0)+IF(LEFT(U182,8)="Revenue|",N(N182),0)+IF(LEFT(V182,8)="Revenue|",N(M182),0)</f>
        <v/>
      </c>
      <c r="X182" s="23">
        <f>IF(LEFT(S182,5)="COGS|",N(F182),0)+IF(LEFT(T182,5)="COGS|",N(J182),0)+IF(LEFT(U182,5)="COGS|",-N(N182),0)+IF(LEFT(V182,5)="COGS|",-N(M182),0)</f>
        <v/>
      </c>
      <c r="Y182" s="23">
        <f>IF(LEFT(S182,8)="Expense|",N(F182),0)+IF(LEFT(T182,8)="Expense|",N(J182),0)+IF(LEFT(U182,8)="Expense|",-N(N182),0)+IF(LEFT(V182,8)="Expense|",-N(M182),0)</f>
        <v/>
      </c>
      <c r="Z182" s="23">
        <f>IF(ISNUMBER(MATCH(S182,{"Expense|employee","Expense|general_admin","Expense|marketing","Expense|utilities","Expense|other_operating"},0)),N(F182),0)+IF(ISNUMBER(MATCH(T182,{"Expense|employee","Expense|general_admin","Expense|marketing","Expense|utilities","Expense|other_operating"},0)),N(J182),0)+IF(ISNUMBER(MATCH(U182,{"Expense|employee","Expense|general_admin","Expense|marketing","Expense|utilities","Expense|other_operating"},0)),-N(N182),0)+IF(ISNUMBER(MATCH(V182,{"Expense|employee","Expense|general_admin","Expense|marketing","Expense|utilities","Expense|other_operating"},0)),-N(M182),0)</f>
        <v/>
      </c>
      <c r="AA182" s="23">
        <f>IF(S182="Liability|payable",-N(F182),0)+IF(T182="Liability|payable",-N(J182),0)+IF(U182="Liability|payable",N(N182),0)+IF(V182="Liability|payable",N(M182),0)</f>
        <v/>
      </c>
      <c r="AB182" s="23">
        <f>IF(S182="Liability|accrued",-N(F182),0)+IF(T182="Liability|accrued",-N(J182),0)+IF(U182="Liability|accrued",N(N182),0)+IF(V182="Liability|accrued",N(M182),0)</f>
        <v/>
      </c>
      <c r="AC182" s="23">
        <f>IF(AND(N(F182)&lt;&gt;0,S182=""),1,0)+IF(AND(N(J182)&lt;&gt;0,T182=""),1,0)+IF(AND(N(N182)&lt;&gt;0,U182=""),1,0)+IF(AND(N(M182)&lt;&gt;0,V182=""),1,0)</f>
        <v/>
      </c>
    </row>
    <row r="183">
      <c r="A183" s="19" t="n"/>
      <c r="B183" s="14" t="n"/>
      <c r="C183" s="14" t="n"/>
      <c r="D183" s="14" t="n"/>
      <c r="E183" s="14" t="n"/>
      <c r="F183" s="20" t="n"/>
      <c r="G183" s="14" t="n"/>
      <c r="H183" s="14" t="n"/>
      <c r="I183" s="14" t="n"/>
      <c r="J183" s="20" t="n"/>
      <c r="K183" s="14" t="n"/>
      <c r="L183" s="21">
        <f>N(F183)+N(J183)</f>
        <v/>
      </c>
      <c r="M183" s="21">
        <f>IF(K183="",0,L183-ROUND(L183/(1+IFERROR(VLOOKUP(K183,'Tax Codes'!$A$5:$E$300,5,FALSE),0)),2))</f>
        <v/>
      </c>
      <c r="N183" s="21">
        <f>L183-M183</f>
        <v/>
      </c>
      <c r="O183" s="16">
        <f>IF(H183="",INDEX('Chart of Accounts'!$A$5:$A$3000,MATCH("bank",'Chart of Accounts'!$F$5:$F$3000,0)),H183&amp;"")</f>
        <v/>
      </c>
      <c r="P183" s="16">
        <f>IF(I183="",INDEX('Chart of Accounts'!$A$5:$A$3000,MATCH("revenue",'Chart of Accounts'!$F$5:$F$3000,0)),I183&amp;"")</f>
        <v/>
      </c>
      <c r="Q183" s="16">
        <f>INDEX('Chart of Accounts'!$A$5:$A$3000,MATCH("wht_receivable",'Chart of Accounts'!$F$5:$F$3000,0))</f>
        <v/>
      </c>
      <c r="R183" s="16">
        <f>INDEX('Chart of Accounts'!$A$5:$A$3000,MATCH("vat_output",'Chart of Accounts'!$F$5:$F$3000,0))</f>
        <v/>
      </c>
      <c r="S183" s="23">
        <f>IFERROR(INDEX('Chart of Accounts'!$C$5:$C$3000,MATCH(O183&amp;"",'Chart of Accounts'!$A$5:$A$3000,0))&amp;"|"&amp;INDEX('Chart of Accounts'!$D$5:$D$3000,MATCH(O183&amp;"",'Chart of Accounts'!$A$5:$A$3000,0)),"")</f>
        <v/>
      </c>
      <c r="T183" s="23">
        <f>IFERROR(INDEX('Chart of Accounts'!$C$5:$C$3000,MATCH(Q183&amp;"",'Chart of Accounts'!$A$5:$A$3000,0))&amp;"|"&amp;INDEX('Chart of Accounts'!$D$5:$D$3000,MATCH(Q183&amp;"",'Chart of Accounts'!$A$5:$A$3000,0)),"")</f>
        <v/>
      </c>
      <c r="U183" s="23">
        <f>IFERROR(INDEX('Chart of Accounts'!$C$5:$C$3000,MATCH(P183&amp;"",'Chart of Accounts'!$A$5:$A$3000,0))&amp;"|"&amp;INDEX('Chart of Accounts'!$D$5:$D$3000,MATCH(P183&amp;"",'Chart of Accounts'!$A$5:$A$3000,0)),"")</f>
        <v/>
      </c>
      <c r="V183" s="23">
        <f>IFERROR(INDEX('Chart of Accounts'!$C$5:$C$3000,MATCH(R183&amp;"",'Chart of Accounts'!$A$5:$A$3000,0))&amp;"|"&amp;INDEX('Chart of Accounts'!$D$5:$D$3000,MATCH(R183&amp;"",'Chart of Accounts'!$A$5:$A$3000,0)),"")</f>
        <v/>
      </c>
      <c r="W183" s="23">
        <f>IF(LEFT(S183,8)="Revenue|",-N(F183),0)+IF(LEFT(T183,8)="Revenue|",-N(J183),0)+IF(LEFT(U183,8)="Revenue|",N(N183),0)+IF(LEFT(V183,8)="Revenue|",N(M183),0)</f>
        <v/>
      </c>
      <c r="X183" s="23">
        <f>IF(LEFT(S183,5)="COGS|",N(F183),0)+IF(LEFT(T183,5)="COGS|",N(J183),0)+IF(LEFT(U183,5)="COGS|",-N(N183),0)+IF(LEFT(V183,5)="COGS|",-N(M183),0)</f>
        <v/>
      </c>
      <c r="Y183" s="23">
        <f>IF(LEFT(S183,8)="Expense|",N(F183),0)+IF(LEFT(T183,8)="Expense|",N(J183),0)+IF(LEFT(U183,8)="Expense|",-N(N183),0)+IF(LEFT(V183,8)="Expense|",-N(M183),0)</f>
        <v/>
      </c>
      <c r="Z183" s="23">
        <f>IF(ISNUMBER(MATCH(S183,{"Expense|employee","Expense|general_admin","Expense|marketing","Expense|utilities","Expense|other_operating"},0)),N(F183),0)+IF(ISNUMBER(MATCH(T183,{"Expense|employee","Expense|general_admin","Expense|marketing","Expense|utilities","Expense|other_operating"},0)),N(J183),0)+IF(ISNUMBER(MATCH(U183,{"Expense|employee","Expense|general_admin","Expense|marketing","Expense|utilities","Expense|other_operating"},0)),-N(N183),0)+IF(ISNUMBER(MATCH(V183,{"Expense|employee","Expense|general_admin","Expense|marketing","Expense|utilities","Expense|other_operating"},0)),-N(M183),0)</f>
        <v/>
      </c>
      <c r="AA183" s="23">
        <f>IF(S183="Liability|payable",-N(F183),0)+IF(T183="Liability|payable",-N(J183),0)+IF(U183="Liability|payable",N(N183),0)+IF(V183="Liability|payable",N(M183),0)</f>
        <v/>
      </c>
      <c r="AB183" s="23">
        <f>IF(S183="Liability|accrued",-N(F183),0)+IF(T183="Liability|accrued",-N(J183),0)+IF(U183="Liability|accrued",N(N183),0)+IF(V183="Liability|accrued",N(M183),0)</f>
        <v/>
      </c>
      <c r="AC183" s="23">
        <f>IF(AND(N(F183)&lt;&gt;0,S183=""),1,0)+IF(AND(N(J183)&lt;&gt;0,T183=""),1,0)+IF(AND(N(N183)&lt;&gt;0,U183=""),1,0)+IF(AND(N(M183)&lt;&gt;0,V183=""),1,0)</f>
        <v/>
      </c>
    </row>
    <row r="184">
      <c r="A184" s="19" t="n"/>
      <c r="B184" s="14" t="n"/>
      <c r="C184" s="14" t="n"/>
      <c r="D184" s="14" t="n"/>
      <c r="E184" s="14" t="n"/>
      <c r="F184" s="20" t="n"/>
      <c r="G184" s="14" t="n"/>
      <c r="H184" s="14" t="n"/>
      <c r="I184" s="14" t="n"/>
      <c r="J184" s="20" t="n"/>
      <c r="K184" s="14" t="n"/>
      <c r="L184" s="21">
        <f>N(F184)+N(J184)</f>
        <v/>
      </c>
      <c r="M184" s="21">
        <f>IF(K184="",0,L184-ROUND(L184/(1+IFERROR(VLOOKUP(K184,'Tax Codes'!$A$5:$E$300,5,FALSE),0)),2))</f>
        <v/>
      </c>
      <c r="N184" s="21">
        <f>L184-M184</f>
        <v/>
      </c>
      <c r="O184" s="16">
        <f>IF(H184="",INDEX('Chart of Accounts'!$A$5:$A$3000,MATCH("bank",'Chart of Accounts'!$F$5:$F$3000,0)),H184&amp;"")</f>
        <v/>
      </c>
      <c r="P184" s="16">
        <f>IF(I184="",INDEX('Chart of Accounts'!$A$5:$A$3000,MATCH("revenue",'Chart of Accounts'!$F$5:$F$3000,0)),I184&amp;"")</f>
        <v/>
      </c>
      <c r="Q184" s="16">
        <f>INDEX('Chart of Accounts'!$A$5:$A$3000,MATCH("wht_receivable",'Chart of Accounts'!$F$5:$F$3000,0))</f>
        <v/>
      </c>
      <c r="R184" s="16">
        <f>INDEX('Chart of Accounts'!$A$5:$A$3000,MATCH("vat_output",'Chart of Accounts'!$F$5:$F$3000,0))</f>
        <v/>
      </c>
      <c r="S184" s="23">
        <f>IFERROR(INDEX('Chart of Accounts'!$C$5:$C$3000,MATCH(O184&amp;"",'Chart of Accounts'!$A$5:$A$3000,0))&amp;"|"&amp;INDEX('Chart of Accounts'!$D$5:$D$3000,MATCH(O184&amp;"",'Chart of Accounts'!$A$5:$A$3000,0)),"")</f>
        <v/>
      </c>
      <c r="T184" s="23">
        <f>IFERROR(INDEX('Chart of Accounts'!$C$5:$C$3000,MATCH(Q184&amp;"",'Chart of Accounts'!$A$5:$A$3000,0))&amp;"|"&amp;INDEX('Chart of Accounts'!$D$5:$D$3000,MATCH(Q184&amp;"",'Chart of Accounts'!$A$5:$A$3000,0)),"")</f>
        <v/>
      </c>
      <c r="U184" s="23">
        <f>IFERROR(INDEX('Chart of Accounts'!$C$5:$C$3000,MATCH(P184&amp;"",'Chart of Accounts'!$A$5:$A$3000,0))&amp;"|"&amp;INDEX('Chart of Accounts'!$D$5:$D$3000,MATCH(P184&amp;"",'Chart of Accounts'!$A$5:$A$3000,0)),"")</f>
        <v/>
      </c>
      <c r="V184" s="23">
        <f>IFERROR(INDEX('Chart of Accounts'!$C$5:$C$3000,MATCH(R184&amp;"",'Chart of Accounts'!$A$5:$A$3000,0))&amp;"|"&amp;INDEX('Chart of Accounts'!$D$5:$D$3000,MATCH(R184&amp;"",'Chart of Accounts'!$A$5:$A$3000,0)),"")</f>
        <v/>
      </c>
      <c r="W184" s="23">
        <f>IF(LEFT(S184,8)="Revenue|",-N(F184),0)+IF(LEFT(T184,8)="Revenue|",-N(J184),0)+IF(LEFT(U184,8)="Revenue|",N(N184),0)+IF(LEFT(V184,8)="Revenue|",N(M184),0)</f>
        <v/>
      </c>
      <c r="X184" s="23">
        <f>IF(LEFT(S184,5)="COGS|",N(F184),0)+IF(LEFT(T184,5)="COGS|",N(J184),0)+IF(LEFT(U184,5)="COGS|",-N(N184),0)+IF(LEFT(V184,5)="COGS|",-N(M184),0)</f>
        <v/>
      </c>
      <c r="Y184" s="23">
        <f>IF(LEFT(S184,8)="Expense|",N(F184),0)+IF(LEFT(T184,8)="Expense|",N(J184),0)+IF(LEFT(U184,8)="Expense|",-N(N184),0)+IF(LEFT(V184,8)="Expense|",-N(M184),0)</f>
        <v/>
      </c>
      <c r="Z184" s="23">
        <f>IF(ISNUMBER(MATCH(S184,{"Expense|employee","Expense|general_admin","Expense|marketing","Expense|utilities","Expense|other_operating"},0)),N(F184),0)+IF(ISNUMBER(MATCH(T184,{"Expense|employee","Expense|general_admin","Expense|marketing","Expense|utilities","Expense|other_operating"},0)),N(J184),0)+IF(ISNUMBER(MATCH(U184,{"Expense|employee","Expense|general_admin","Expense|marketing","Expense|utilities","Expense|other_operating"},0)),-N(N184),0)+IF(ISNUMBER(MATCH(V184,{"Expense|employee","Expense|general_admin","Expense|marketing","Expense|utilities","Expense|other_operating"},0)),-N(M184),0)</f>
        <v/>
      </c>
      <c r="AA184" s="23">
        <f>IF(S184="Liability|payable",-N(F184),0)+IF(T184="Liability|payable",-N(J184),0)+IF(U184="Liability|payable",N(N184),0)+IF(V184="Liability|payable",N(M184),0)</f>
        <v/>
      </c>
      <c r="AB184" s="23">
        <f>IF(S184="Liability|accrued",-N(F184),0)+IF(T184="Liability|accrued",-N(J184),0)+IF(U184="Liability|accrued",N(N184),0)+IF(V184="Liability|accrued",N(M184),0)</f>
        <v/>
      </c>
      <c r="AC184" s="23">
        <f>IF(AND(N(F184)&lt;&gt;0,S184=""),1,0)+IF(AND(N(J184)&lt;&gt;0,T184=""),1,0)+IF(AND(N(N184)&lt;&gt;0,U184=""),1,0)+IF(AND(N(M184)&lt;&gt;0,V184=""),1,0)</f>
        <v/>
      </c>
    </row>
    <row r="185">
      <c r="A185" s="19" t="n"/>
      <c r="B185" s="14" t="n"/>
      <c r="C185" s="14" t="n"/>
      <c r="D185" s="14" t="n"/>
      <c r="E185" s="14" t="n"/>
      <c r="F185" s="20" t="n"/>
      <c r="G185" s="14" t="n"/>
      <c r="H185" s="14" t="n"/>
      <c r="I185" s="14" t="n"/>
      <c r="J185" s="20" t="n"/>
      <c r="K185" s="14" t="n"/>
      <c r="L185" s="21">
        <f>N(F185)+N(J185)</f>
        <v/>
      </c>
      <c r="M185" s="21">
        <f>IF(K185="",0,L185-ROUND(L185/(1+IFERROR(VLOOKUP(K185,'Tax Codes'!$A$5:$E$300,5,FALSE),0)),2))</f>
        <v/>
      </c>
      <c r="N185" s="21">
        <f>L185-M185</f>
        <v/>
      </c>
      <c r="O185" s="16">
        <f>IF(H185="",INDEX('Chart of Accounts'!$A$5:$A$3000,MATCH("bank",'Chart of Accounts'!$F$5:$F$3000,0)),H185&amp;"")</f>
        <v/>
      </c>
      <c r="P185" s="16">
        <f>IF(I185="",INDEX('Chart of Accounts'!$A$5:$A$3000,MATCH("revenue",'Chart of Accounts'!$F$5:$F$3000,0)),I185&amp;"")</f>
        <v/>
      </c>
      <c r="Q185" s="16">
        <f>INDEX('Chart of Accounts'!$A$5:$A$3000,MATCH("wht_receivable",'Chart of Accounts'!$F$5:$F$3000,0))</f>
        <v/>
      </c>
      <c r="R185" s="16">
        <f>INDEX('Chart of Accounts'!$A$5:$A$3000,MATCH("vat_output",'Chart of Accounts'!$F$5:$F$3000,0))</f>
        <v/>
      </c>
      <c r="S185" s="23">
        <f>IFERROR(INDEX('Chart of Accounts'!$C$5:$C$3000,MATCH(O185&amp;"",'Chart of Accounts'!$A$5:$A$3000,0))&amp;"|"&amp;INDEX('Chart of Accounts'!$D$5:$D$3000,MATCH(O185&amp;"",'Chart of Accounts'!$A$5:$A$3000,0)),"")</f>
        <v/>
      </c>
      <c r="T185" s="23">
        <f>IFERROR(INDEX('Chart of Accounts'!$C$5:$C$3000,MATCH(Q185&amp;"",'Chart of Accounts'!$A$5:$A$3000,0))&amp;"|"&amp;INDEX('Chart of Accounts'!$D$5:$D$3000,MATCH(Q185&amp;"",'Chart of Accounts'!$A$5:$A$3000,0)),"")</f>
        <v/>
      </c>
      <c r="U185" s="23">
        <f>IFERROR(INDEX('Chart of Accounts'!$C$5:$C$3000,MATCH(P185&amp;"",'Chart of Accounts'!$A$5:$A$3000,0))&amp;"|"&amp;INDEX('Chart of Accounts'!$D$5:$D$3000,MATCH(P185&amp;"",'Chart of Accounts'!$A$5:$A$3000,0)),"")</f>
        <v/>
      </c>
      <c r="V185" s="23">
        <f>IFERROR(INDEX('Chart of Accounts'!$C$5:$C$3000,MATCH(R185&amp;"",'Chart of Accounts'!$A$5:$A$3000,0))&amp;"|"&amp;INDEX('Chart of Accounts'!$D$5:$D$3000,MATCH(R185&amp;"",'Chart of Accounts'!$A$5:$A$3000,0)),"")</f>
        <v/>
      </c>
      <c r="W185" s="23">
        <f>IF(LEFT(S185,8)="Revenue|",-N(F185),0)+IF(LEFT(T185,8)="Revenue|",-N(J185),0)+IF(LEFT(U185,8)="Revenue|",N(N185),0)+IF(LEFT(V185,8)="Revenue|",N(M185),0)</f>
        <v/>
      </c>
      <c r="X185" s="23">
        <f>IF(LEFT(S185,5)="COGS|",N(F185),0)+IF(LEFT(T185,5)="COGS|",N(J185),0)+IF(LEFT(U185,5)="COGS|",-N(N185),0)+IF(LEFT(V185,5)="COGS|",-N(M185),0)</f>
        <v/>
      </c>
      <c r="Y185" s="23">
        <f>IF(LEFT(S185,8)="Expense|",N(F185),0)+IF(LEFT(T185,8)="Expense|",N(J185),0)+IF(LEFT(U185,8)="Expense|",-N(N185),0)+IF(LEFT(V185,8)="Expense|",-N(M185),0)</f>
        <v/>
      </c>
      <c r="Z185" s="23">
        <f>IF(ISNUMBER(MATCH(S185,{"Expense|employee","Expense|general_admin","Expense|marketing","Expense|utilities","Expense|other_operating"},0)),N(F185),0)+IF(ISNUMBER(MATCH(T185,{"Expense|employee","Expense|general_admin","Expense|marketing","Expense|utilities","Expense|other_operating"},0)),N(J185),0)+IF(ISNUMBER(MATCH(U185,{"Expense|employee","Expense|general_admin","Expense|marketing","Expense|utilities","Expense|other_operating"},0)),-N(N185),0)+IF(ISNUMBER(MATCH(V185,{"Expense|employee","Expense|general_admin","Expense|marketing","Expense|utilities","Expense|other_operating"},0)),-N(M185),0)</f>
        <v/>
      </c>
      <c r="AA185" s="23">
        <f>IF(S185="Liability|payable",-N(F185),0)+IF(T185="Liability|payable",-N(J185),0)+IF(U185="Liability|payable",N(N185),0)+IF(V185="Liability|payable",N(M185),0)</f>
        <v/>
      </c>
      <c r="AB185" s="23">
        <f>IF(S185="Liability|accrued",-N(F185),0)+IF(T185="Liability|accrued",-N(J185),0)+IF(U185="Liability|accrued",N(N185),0)+IF(V185="Liability|accrued",N(M185),0)</f>
        <v/>
      </c>
      <c r="AC185" s="23">
        <f>IF(AND(N(F185)&lt;&gt;0,S185=""),1,0)+IF(AND(N(J185)&lt;&gt;0,T185=""),1,0)+IF(AND(N(N185)&lt;&gt;0,U185=""),1,0)+IF(AND(N(M185)&lt;&gt;0,V185=""),1,0)</f>
        <v/>
      </c>
    </row>
    <row r="186">
      <c r="A186" s="19" t="n"/>
      <c r="B186" s="14" t="n"/>
      <c r="C186" s="14" t="n"/>
      <c r="D186" s="14" t="n"/>
      <c r="E186" s="14" t="n"/>
      <c r="F186" s="20" t="n"/>
      <c r="G186" s="14" t="n"/>
      <c r="H186" s="14" t="n"/>
      <c r="I186" s="14" t="n"/>
      <c r="J186" s="20" t="n"/>
      <c r="K186" s="14" t="n"/>
      <c r="L186" s="21">
        <f>N(F186)+N(J186)</f>
        <v/>
      </c>
      <c r="M186" s="21">
        <f>IF(K186="",0,L186-ROUND(L186/(1+IFERROR(VLOOKUP(K186,'Tax Codes'!$A$5:$E$300,5,FALSE),0)),2))</f>
        <v/>
      </c>
      <c r="N186" s="21">
        <f>L186-M186</f>
        <v/>
      </c>
      <c r="O186" s="16">
        <f>IF(H186="",INDEX('Chart of Accounts'!$A$5:$A$3000,MATCH("bank",'Chart of Accounts'!$F$5:$F$3000,0)),H186&amp;"")</f>
        <v/>
      </c>
      <c r="P186" s="16">
        <f>IF(I186="",INDEX('Chart of Accounts'!$A$5:$A$3000,MATCH("revenue",'Chart of Accounts'!$F$5:$F$3000,0)),I186&amp;"")</f>
        <v/>
      </c>
      <c r="Q186" s="16">
        <f>INDEX('Chart of Accounts'!$A$5:$A$3000,MATCH("wht_receivable",'Chart of Accounts'!$F$5:$F$3000,0))</f>
        <v/>
      </c>
      <c r="R186" s="16">
        <f>INDEX('Chart of Accounts'!$A$5:$A$3000,MATCH("vat_output",'Chart of Accounts'!$F$5:$F$3000,0))</f>
        <v/>
      </c>
      <c r="S186" s="23">
        <f>IFERROR(INDEX('Chart of Accounts'!$C$5:$C$3000,MATCH(O186&amp;"",'Chart of Accounts'!$A$5:$A$3000,0))&amp;"|"&amp;INDEX('Chart of Accounts'!$D$5:$D$3000,MATCH(O186&amp;"",'Chart of Accounts'!$A$5:$A$3000,0)),"")</f>
        <v/>
      </c>
      <c r="T186" s="23">
        <f>IFERROR(INDEX('Chart of Accounts'!$C$5:$C$3000,MATCH(Q186&amp;"",'Chart of Accounts'!$A$5:$A$3000,0))&amp;"|"&amp;INDEX('Chart of Accounts'!$D$5:$D$3000,MATCH(Q186&amp;"",'Chart of Accounts'!$A$5:$A$3000,0)),"")</f>
        <v/>
      </c>
      <c r="U186" s="23">
        <f>IFERROR(INDEX('Chart of Accounts'!$C$5:$C$3000,MATCH(P186&amp;"",'Chart of Accounts'!$A$5:$A$3000,0))&amp;"|"&amp;INDEX('Chart of Accounts'!$D$5:$D$3000,MATCH(P186&amp;"",'Chart of Accounts'!$A$5:$A$3000,0)),"")</f>
        <v/>
      </c>
      <c r="V186" s="23">
        <f>IFERROR(INDEX('Chart of Accounts'!$C$5:$C$3000,MATCH(R186&amp;"",'Chart of Accounts'!$A$5:$A$3000,0))&amp;"|"&amp;INDEX('Chart of Accounts'!$D$5:$D$3000,MATCH(R186&amp;"",'Chart of Accounts'!$A$5:$A$3000,0)),"")</f>
        <v/>
      </c>
      <c r="W186" s="23">
        <f>IF(LEFT(S186,8)="Revenue|",-N(F186),0)+IF(LEFT(T186,8)="Revenue|",-N(J186),0)+IF(LEFT(U186,8)="Revenue|",N(N186),0)+IF(LEFT(V186,8)="Revenue|",N(M186),0)</f>
        <v/>
      </c>
      <c r="X186" s="23">
        <f>IF(LEFT(S186,5)="COGS|",N(F186),0)+IF(LEFT(T186,5)="COGS|",N(J186),0)+IF(LEFT(U186,5)="COGS|",-N(N186),0)+IF(LEFT(V186,5)="COGS|",-N(M186),0)</f>
        <v/>
      </c>
      <c r="Y186" s="23">
        <f>IF(LEFT(S186,8)="Expense|",N(F186),0)+IF(LEFT(T186,8)="Expense|",N(J186),0)+IF(LEFT(U186,8)="Expense|",-N(N186),0)+IF(LEFT(V186,8)="Expense|",-N(M186),0)</f>
        <v/>
      </c>
      <c r="Z186" s="23">
        <f>IF(ISNUMBER(MATCH(S186,{"Expense|employee","Expense|general_admin","Expense|marketing","Expense|utilities","Expense|other_operating"},0)),N(F186),0)+IF(ISNUMBER(MATCH(T186,{"Expense|employee","Expense|general_admin","Expense|marketing","Expense|utilities","Expense|other_operating"},0)),N(J186),0)+IF(ISNUMBER(MATCH(U186,{"Expense|employee","Expense|general_admin","Expense|marketing","Expense|utilities","Expense|other_operating"},0)),-N(N186),0)+IF(ISNUMBER(MATCH(V186,{"Expense|employee","Expense|general_admin","Expense|marketing","Expense|utilities","Expense|other_operating"},0)),-N(M186),0)</f>
        <v/>
      </c>
      <c r="AA186" s="23">
        <f>IF(S186="Liability|payable",-N(F186),0)+IF(T186="Liability|payable",-N(J186),0)+IF(U186="Liability|payable",N(N186),0)+IF(V186="Liability|payable",N(M186),0)</f>
        <v/>
      </c>
      <c r="AB186" s="23">
        <f>IF(S186="Liability|accrued",-N(F186),0)+IF(T186="Liability|accrued",-N(J186),0)+IF(U186="Liability|accrued",N(N186),0)+IF(V186="Liability|accrued",N(M186),0)</f>
        <v/>
      </c>
      <c r="AC186" s="23">
        <f>IF(AND(N(F186)&lt;&gt;0,S186=""),1,0)+IF(AND(N(J186)&lt;&gt;0,T186=""),1,0)+IF(AND(N(N186)&lt;&gt;0,U186=""),1,0)+IF(AND(N(M186)&lt;&gt;0,V186=""),1,0)</f>
        <v/>
      </c>
    </row>
    <row r="187">
      <c r="A187" s="19" t="n"/>
      <c r="B187" s="14" t="n"/>
      <c r="C187" s="14" t="n"/>
      <c r="D187" s="14" t="n"/>
      <c r="E187" s="14" t="n"/>
      <c r="F187" s="20" t="n"/>
      <c r="G187" s="14" t="n"/>
      <c r="H187" s="14" t="n"/>
      <c r="I187" s="14" t="n"/>
      <c r="J187" s="20" t="n"/>
      <c r="K187" s="14" t="n"/>
      <c r="L187" s="21">
        <f>N(F187)+N(J187)</f>
        <v/>
      </c>
      <c r="M187" s="21">
        <f>IF(K187="",0,L187-ROUND(L187/(1+IFERROR(VLOOKUP(K187,'Tax Codes'!$A$5:$E$300,5,FALSE),0)),2))</f>
        <v/>
      </c>
      <c r="N187" s="21">
        <f>L187-M187</f>
        <v/>
      </c>
      <c r="O187" s="16">
        <f>IF(H187="",INDEX('Chart of Accounts'!$A$5:$A$3000,MATCH("bank",'Chart of Accounts'!$F$5:$F$3000,0)),H187&amp;"")</f>
        <v/>
      </c>
      <c r="P187" s="16">
        <f>IF(I187="",INDEX('Chart of Accounts'!$A$5:$A$3000,MATCH("revenue",'Chart of Accounts'!$F$5:$F$3000,0)),I187&amp;"")</f>
        <v/>
      </c>
      <c r="Q187" s="16">
        <f>INDEX('Chart of Accounts'!$A$5:$A$3000,MATCH("wht_receivable",'Chart of Accounts'!$F$5:$F$3000,0))</f>
        <v/>
      </c>
      <c r="R187" s="16">
        <f>INDEX('Chart of Accounts'!$A$5:$A$3000,MATCH("vat_output",'Chart of Accounts'!$F$5:$F$3000,0))</f>
        <v/>
      </c>
      <c r="S187" s="23">
        <f>IFERROR(INDEX('Chart of Accounts'!$C$5:$C$3000,MATCH(O187&amp;"",'Chart of Accounts'!$A$5:$A$3000,0))&amp;"|"&amp;INDEX('Chart of Accounts'!$D$5:$D$3000,MATCH(O187&amp;"",'Chart of Accounts'!$A$5:$A$3000,0)),"")</f>
        <v/>
      </c>
      <c r="T187" s="23">
        <f>IFERROR(INDEX('Chart of Accounts'!$C$5:$C$3000,MATCH(Q187&amp;"",'Chart of Accounts'!$A$5:$A$3000,0))&amp;"|"&amp;INDEX('Chart of Accounts'!$D$5:$D$3000,MATCH(Q187&amp;"",'Chart of Accounts'!$A$5:$A$3000,0)),"")</f>
        <v/>
      </c>
      <c r="U187" s="23">
        <f>IFERROR(INDEX('Chart of Accounts'!$C$5:$C$3000,MATCH(P187&amp;"",'Chart of Accounts'!$A$5:$A$3000,0))&amp;"|"&amp;INDEX('Chart of Accounts'!$D$5:$D$3000,MATCH(P187&amp;"",'Chart of Accounts'!$A$5:$A$3000,0)),"")</f>
        <v/>
      </c>
      <c r="V187" s="23">
        <f>IFERROR(INDEX('Chart of Accounts'!$C$5:$C$3000,MATCH(R187&amp;"",'Chart of Accounts'!$A$5:$A$3000,0))&amp;"|"&amp;INDEX('Chart of Accounts'!$D$5:$D$3000,MATCH(R187&amp;"",'Chart of Accounts'!$A$5:$A$3000,0)),"")</f>
        <v/>
      </c>
      <c r="W187" s="23">
        <f>IF(LEFT(S187,8)="Revenue|",-N(F187),0)+IF(LEFT(T187,8)="Revenue|",-N(J187),0)+IF(LEFT(U187,8)="Revenue|",N(N187),0)+IF(LEFT(V187,8)="Revenue|",N(M187),0)</f>
        <v/>
      </c>
      <c r="X187" s="23">
        <f>IF(LEFT(S187,5)="COGS|",N(F187),0)+IF(LEFT(T187,5)="COGS|",N(J187),0)+IF(LEFT(U187,5)="COGS|",-N(N187),0)+IF(LEFT(V187,5)="COGS|",-N(M187),0)</f>
        <v/>
      </c>
      <c r="Y187" s="23">
        <f>IF(LEFT(S187,8)="Expense|",N(F187),0)+IF(LEFT(T187,8)="Expense|",N(J187),0)+IF(LEFT(U187,8)="Expense|",-N(N187),0)+IF(LEFT(V187,8)="Expense|",-N(M187),0)</f>
        <v/>
      </c>
      <c r="Z187" s="23">
        <f>IF(ISNUMBER(MATCH(S187,{"Expense|employee","Expense|general_admin","Expense|marketing","Expense|utilities","Expense|other_operating"},0)),N(F187),0)+IF(ISNUMBER(MATCH(T187,{"Expense|employee","Expense|general_admin","Expense|marketing","Expense|utilities","Expense|other_operating"},0)),N(J187),0)+IF(ISNUMBER(MATCH(U187,{"Expense|employee","Expense|general_admin","Expense|marketing","Expense|utilities","Expense|other_operating"},0)),-N(N187),0)+IF(ISNUMBER(MATCH(V187,{"Expense|employee","Expense|general_admin","Expense|marketing","Expense|utilities","Expense|other_operating"},0)),-N(M187),0)</f>
        <v/>
      </c>
      <c r="AA187" s="23">
        <f>IF(S187="Liability|payable",-N(F187),0)+IF(T187="Liability|payable",-N(J187),0)+IF(U187="Liability|payable",N(N187),0)+IF(V187="Liability|payable",N(M187),0)</f>
        <v/>
      </c>
      <c r="AB187" s="23">
        <f>IF(S187="Liability|accrued",-N(F187),0)+IF(T187="Liability|accrued",-N(J187),0)+IF(U187="Liability|accrued",N(N187),0)+IF(V187="Liability|accrued",N(M187),0)</f>
        <v/>
      </c>
      <c r="AC187" s="23">
        <f>IF(AND(N(F187)&lt;&gt;0,S187=""),1,0)+IF(AND(N(J187)&lt;&gt;0,T187=""),1,0)+IF(AND(N(N187)&lt;&gt;0,U187=""),1,0)+IF(AND(N(M187)&lt;&gt;0,V187=""),1,0)</f>
        <v/>
      </c>
    </row>
    <row r="188">
      <c r="A188" s="19" t="n"/>
      <c r="B188" s="14" t="n"/>
      <c r="C188" s="14" t="n"/>
      <c r="D188" s="14" t="n"/>
      <c r="E188" s="14" t="n"/>
      <c r="F188" s="20" t="n"/>
      <c r="G188" s="14" t="n"/>
      <c r="H188" s="14" t="n"/>
      <c r="I188" s="14" t="n"/>
      <c r="J188" s="20" t="n"/>
      <c r="K188" s="14" t="n"/>
      <c r="L188" s="21">
        <f>N(F188)+N(J188)</f>
        <v/>
      </c>
      <c r="M188" s="21">
        <f>IF(K188="",0,L188-ROUND(L188/(1+IFERROR(VLOOKUP(K188,'Tax Codes'!$A$5:$E$300,5,FALSE),0)),2))</f>
        <v/>
      </c>
      <c r="N188" s="21">
        <f>L188-M188</f>
        <v/>
      </c>
      <c r="O188" s="16">
        <f>IF(H188="",INDEX('Chart of Accounts'!$A$5:$A$3000,MATCH("bank",'Chart of Accounts'!$F$5:$F$3000,0)),H188&amp;"")</f>
        <v/>
      </c>
      <c r="P188" s="16">
        <f>IF(I188="",INDEX('Chart of Accounts'!$A$5:$A$3000,MATCH("revenue",'Chart of Accounts'!$F$5:$F$3000,0)),I188&amp;"")</f>
        <v/>
      </c>
      <c r="Q188" s="16">
        <f>INDEX('Chart of Accounts'!$A$5:$A$3000,MATCH("wht_receivable",'Chart of Accounts'!$F$5:$F$3000,0))</f>
        <v/>
      </c>
      <c r="R188" s="16">
        <f>INDEX('Chart of Accounts'!$A$5:$A$3000,MATCH("vat_output",'Chart of Accounts'!$F$5:$F$3000,0))</f>
        <v/>
      </c>
      <c r="S188" s="23">
        <f>IFERROR(INDEX('Chart of Accounts'!$C$5:$C$3000,MATCH(O188&amp;"",'Chart of Accounts'!$A$5:$A$3000,0))&amp;"|"&amp;INDEX('Chart of Accounts'!$D$5:$D$3000,MATCH(O188&amp;"",'Chart of Accounts'!$A$5:$A$3000,0)),"")</f>
        <v/>
      </c>
      <c r="T188" s="23">
        <f>IFERROR(INDEX('Chart of Accounts'!$C$5:$C$3000,MATCH(Q188&amp;"",'Chart of Accounts'!$A$5:$A$3000,0))&amp;"|"&amp;INDEX('Chart of Accounts'!$D$5:$D$3000,MATCH(Q188&amp;"",'Chart of Accounts'!$A$5:$A$3000,0)),"")</f>
        <v/>
      </c>
      <c r="U188" s="23">
        <f>IFERROR(INDEX('Chart of Accounts'!$C$5:$C$3000,MATCH(P188&amp;"",'Chart of Accounts'!$A$5:$A$3000,0))&amp;"|"&amp;INDEX('Chart of Accounts'!$D$5:$D$3000,MATCH(P188&amp;"",'Chart of Accounts'!$A$5:$A$3000,0)),"")</f>
        <v/>
      </c>
      <c r="V188" s="23">
        <f>IFERROR(INDEX('Chart of Accounts'!$C$5:$C$3000,MATCH(R188&amp;"",'Chart of Accounts'!$A$5:$A$3000,0))&amp;"|"&amp;INDEX('Chart of Accounts'!$D$5:$D$3000,MATCH(R188&amp;"",'Chart of Accounts'!$A$5:$A$3000,0)),"")</f>
        <v/>
      </c>
      <c r="W188" s="23">
        <f>IF(LEFT(S188,8)="Revenue|",-N(F188),0)+IF(LEFT(T188,8)="Revenue|",-N(J188),0)+IF(LEFT(U188,8)="Revenue|",N(N188),0)+IF(LEFT(V188,8)="Revenue|",N(M188),0)</f>
        <v/>
      </c>
      <c r="X188" s="23">
        <f>IF(LEFT(S188,5)="COGS|",N(F188),0)+IF(LEFT(T188,5)="COGS|",N(J188),0)+IF(LEFT(U188,5)="COGS|",-N(N188),0)+IF(LEFT(V188,5)="COGS|",-N(M188),0)</f>
        <v/>
      </c>
      <c r="Y188" s="23">
        <f>IF(LEFT(S188,8)="Expense|",N(F188),0)+IF(LEFT(T188,8)="Expense|",N(J188),0)+IF(LEFT(U188,8)="Expense|",-N(N188),0)+IF(LEFT(V188,8)="Expense|",-N(M188),0)</f>
        <v/>
      </c>
      <c r="Z188" s="23">
        <f>IF(ISNUMBER(MATCH(S188,{"Expense|employee","Expense|general_admin","Expense|marketing","Expense|utilities","Expense|other_operating"},0)),N(F188),0)+IF(ISNUMBER(MATCH(T188,{"Expense|employee","Expense|general_admin","Expense|marketing","Expense|utilities","Expense|other_operating"},0)),N(J188),0)+IF(ISNUMBER(MATCH(U188,{"Expense|employee","Expense|general_admin","Expense|marketing","Expense|utilities","Expense|other_operating"},0)),-N(N188),0)+IF(ISNUMBER(MATCH(V188,{"Expense|employee","Expense|general_admin","Expense|marketing","Expense|utilities","Expense|other_operating"},0)),-N(M188),0)</f>
        <v/>
      </c>
      <c r="AA188" s="23">
        <f>IF(S188="Liability|payable",-N(F188),0)+IF(T188="Liability|payable",-N(J188),0)+IF(U188="Liability|payable",N(N188),0)+IF(V188="Liability|payable",N(M188),0)</f>
        <v/>
      </c>
      <c r="AB188" s="23">
        <f>IF(S188="Liability|accrued",-N(F188),0)+IF(T188="Liability|accrued",-N(J188),0)+IF(U188="Liability|accrued",N(N188),0)+IF(V188="Liability|accrued",N(M188),0)</f>
        <v/>
      </c>
      <c r="AC188" s="23">
        <f>IF(AND(N(F188)&lt;&gt;0,S188=""),1,0)+IF(AND(N(J188)&lt;&gt;0,T188=""),1,0)+IF(AND(N(N188)&lt;&gt;0,U188=""),1,0)+IF(AND(N(M188)&lt;&gt;0,V188=""),1,0)</f>
        <v/>
      </c>
    </row>
    <row r="189">
      <c r="A189" s="19" t="n"/>
      <c r="B189" s="14" t="n"/>
      <c r="C189" s="14" t="n"/>
      <c r="D189" s="14" t="n"/>
      <c r="E189" s="14" t="n"/>
      <c r="F189" s="20" t="n"/>
      <c r="G189" s="14" t="n"/>
      <c r="H189" s="14" t="n"/>
      <c r="I189" s="14" t="n"/>
      <c r="J189" s="20" t="n"/>
      <c r="K189" s="14" t="n"/>
      <c r="L189" s="21">
        <f>N(F189)+N(J189)</f>
        <v/>
      </c>
      <c r="M189" s="21">
        <f>IF(K189="",0,L189-ROUND(L189/(1+IFERROR(VLOOKUP(K189,'Tax Codes'!$A$5:$E$300,5,FALSE),0)),2))</f>
        <v/>
      </c>
      <c r="N189" s="21">
        <f>L189-M189</f>
        <v/>
      </c>
      <c r="O189" s="16">
        <f>IF(H189="",INDEX('Chart of Accounts'!$A$5:$A$3000,MATCH("bank",'Chart of Accounts'!$F$5:$F$3000,0)),H189&amp;"")</f>
        <v/>
      </c>
      <c r="P189" s="16">
        <f>IF(I189="",INDEX('Chart of Accounts'!$A$5:$A$3000,MATCH("revenue",'Chart of Accounts'!$F$5:$F$3000,0)),I189&amp;"")</f>
        <v/>
      </c>
      <c r="Q189" s="16">
        <f>INDEX('Chart of Accounts'!$A$5:$A$3000,MATCH("wht_receivable",'Chart of Accounts'!$F$5:$F$3000,0))</f>
        <v/>
      </c>
      <c r="R189" s="16">
        <f>INDEX('Chart of Accounts'!$A$5:$A$3000,MATCH("vat_output",'Chart of Accounts'!$F$5:$F$3000,0))</f>
        <v/>
      </c>
      <c r="S189" s="23">
        <f>IFERROR(INDEX('Chart of Accounts'!$C$5:$C$3000,MATCH(O189&amp;"",'Chart of Accounts'!$A$5:$A$3000,0))&amp;"|"&amp;INDEX('Chart of Accounts'!$D$5:$D$3000,MATCH(O189&amp;"",'Chart of Accounts'!$A$5:$A$3000,0)),"")</f>
        <v/>
      </c>
      <c r="T189" s="23">
        <f>IFERROR(INDEX('Chart of Accounts'!$C$5:$C$3000,MATCH(Q189&amp;"",'Chart of Accounts'!$A$5:$A$3000,0))&amp;"|"&amp;INDEX('Chart of Accounts'!$D$5:$D$3000,MATCH(Q189&amp;"",'Chart of Accounts'!$A$5:$A$3000,0)),"")</f>
        <v/>
      </c>
      <c r="U189" s="23">
        <f>IFERROR(INDEX('Chart of Accounts'!$C$5:$C$3000,MATCH(P189&amp;"",'Chart of Accounts'!$A$5:$A$3000,0))&amp;"|"&amp;INDEX('Chart of Accounts'!$D$5:$D$3000,MATCH(P189&amp;"",'Chart of Accounts'!$A$5:$A$3000,0)),"")</f>
        <v/>
      </c>
      <c r="V189" s="23">
        <f>IFERROR(INDEX('Chart of Accounts'!$C$5:$C$3000,MATCH(R189&amp;"",'Chart of Accounts'!$A$5:$A$3000,0))&amp;"|"&amp;INDEX('Chart of Accounts'!$D$5:$D$3000,MATCH(R189&amp;"",'Chart of Accounts'!$A$5:$A$3000,0)),"")</f>
        <v/>
      </c>
      <c r="W189" s="23">
        <f>IF(LEFT(S189,8)="Revenue|",-N(F189),0)+IF(LEFT(T189,8)="Revenue|",-N(J189),0)+IF(LEFT(U189,8)="Revenue|",N(N189),0)+IF(LEFT(V189,8)="Revenue|",N(M189),0)</f>
        <v/>
      </c>
      <c r="X189" s="23">
        <f>IF(LEFT(S189,5)="COGS|",N(F189),0)+IF(LEFT(T189,5)="COGS|",N(J189),0)+IF(LEFT(U189,5)="COGS|",-N(N189),0)+IF(LEFT(V189,5)="COGS|",-N(M189),0)</f>
        <v/>
      </c>
      <c r="Y189" s="23">
        <f>IF(LEFT(S189,8)="Expense|",N(F189),0)+IF(LEFT(T189,8)="Expense|",N(J189),0)+IF(LEFT(U189,8)="Expense|",-N(N189),0)+IF(LEFT(V189,8)="Expense|",-N(M189),0)</f>
        <v/>
      </c>
      <c r="Z189" s="23">
        <f>IF(ISNUMBER(MATCH(S189,{"Expense|employee","Expense|general_admin","Expense|marketing","Expense|utilities","Expense|other_operating"},0)),N(F189),0)+IF(ISNUMBER(MATCH(T189,{"Expense|employee","Expense|general_admin","Expense|marketing","Expense|utilities","Expense|other_operating"},0)),N(J189),0)+IF(ISNUMBER(MATCH(U189,{"Expense|employee","Expense|general_admin","Expense|marketing","Expense|utilities","Expense|other_operating"},0)),-N(N189),0)+IF(ISNUMBER(MATCH(V189,{"Expense|employee","Expense|general_admin","Expense|marketing","Expense|utilities","Expense|other_operating"},0)),-N(M189),0)</f>
        <v/>
      </c>
      <c r="AA189" s="23">
        <f>IF(S189="Liability|payable",-N(F189),0)+IF(T189="Liability|payable",-N(J189),0)+IF(U189="Liability|payable",N(N189),0)+IF(V189="Liability|payable",N(M189),0)</f>
        <v/>
      </c>
      <c r="AB189" s="23">
        <f>IF(S189="Liability|accrued",-N(F189),0)+IF(T189="Liability|accrued",-N(J189),0)+IF(U189="Liability|accrued",N(N189),0)+IF(V189="Liability|accrued",N(M189),0)</f>
        <v/>
      </c>
      <c r="AC189" s="23">
        <f>IF(AND(N(F189)&lt;&gt;0,S189=""),1,0)+IF(AND(N(J189)&lt;&gt;0,T189=""),1,0)+IF(AND(N(N189)&lt;&gt;0,U189=""),1,0)+IF(AND(N(M189)&lt;&gt;0,V189=""),1,0)</f>
        <v/>
      </c>
    </row>
    <row r="190">
      <c r="A190" s="19" t="n"/>
      <c r="B190" s="14" t="n"/>
      <c r="C190" s="14" t="n"/>
      <c r="D190" s="14" t="n"/>
      <c r="E190" s="14" t="n"/>
      <c r="F190" s="20" t="n"/>
      <c r="G190" s="14" t="n"/>
      <c r="H190" s="14" t="n"/>
      <c r="I190" s="14" t="n"/>
      <c r="J190" s="20" t="n"/>
      <c r="K190" s="14" t="n"/>
      <c r="L190" s="21">
        <f>N(F190)+N(J190)</f>
        <v/>
      </c>
      <c r="M190" s="21">
        <f>IF(K190="",0,L190-ROUND(L190/(1+IFERROR(VLOOKUP(K190,'Tax Codes'!$A$5:$E$300,5,FALSE),0)),2))</f>
        <v/>
      </c>
      <c r="N190" s="21">
        <f>L190-M190</f>
        <v/>
      </c>
      <c r="O190" s="16">
        <f>IF(H190="",INDEX('Chart of Accounts'!$A$5:$A$3000,MATCH("bank",'Chart of Accounts'!$F$5:$F$3000,0)),H190&amp;"")</f>
        <v/>
      </c>
      <c r="P190" s="16">
        <f>IF(I190="",INDEX('Chart of Accounts'!$A$5:$A$3000,MATCH("revenue",'Chart of Accounts'!$F$5:$F$3000,0)),I190&amp;"")</f>
        <v/>
      </c>
      <c r="Q190" s="16">
        <f>INDEX('Chart of Accounts'!$A$5:$A$3000,MATCH("wht_receivable",'Chart of Accounts'!$F$5:$F$3000,0))</f>
        <v/>
      </c>
      <c r="R190" s="16">
        <f>INDEX('Chart of Accounts'!$A$5:$A$3000,MATCH("vat_output",'Chart of Accounts'!$F$5:$F$3000,0))</f>
        <v/>
      </c>
      <c r="S190" s="23">
        <f>IFERROR(INDEX('Chart of Accounts'!$C$5:$C$3000,MATCH(O190&amp;"",'Chart of Accounts'!$A$5:$A$3000,0))&amp;"|"&amp;INDEX('Chart of Accounts'!$D$5:$D$3000,MATCH(O190&amp;"",'Chart of Accounts'!$A$5:$A$3000,0)),"")</f>
        <v/>
      </c>
      <c r="T190" s="23">
        <f>IFERROR(INDEX('Chart of Accounts'!$C$5:$C$3000,MATCH(Q190&amp;"",'Chart of Accounts'!$A$5:$A$3000,0))&amp;"|"&amp;INDEX('Chart of Accounts'!$D$5:$D$3000,MATCH(Q190&amp;"",'Chart of Accounts'!$A$5:$A$3000,0)),"")</f>
        <v/>
      </c>
      <c r="U190" s="23">
        <f>IFERROR(INDEX('Chart of Accounts'!$C$5:$C$3000,MATCH(P190&amp;"",'Chart of Accounts'!$A$5:$A$3000,0))&amp;"|"&amp;INDEX('Chart of Accounts'!$D$5:$D$3000,MATCH(P190&amp;"",'Chart of Accounts'!$A$5:$A$3000,0)),"")</f>
        <v/>
      </c>
      <c r="V190" s="23">
        <f>IFERROR(INDEX('Chart of Accounts'!$C$5:$C$3000,MATCH(R190&amp;"",'Chart of Accounts'!$A$5:$A$3000,0))&amp;"|"&amp;INDEX('Chart of Accounts'!$D$5:$D$3000,MATCH(R190&amp;"",'Chart of Accounts'!$A$5:$A$3000,0)),"")</f>
        <v/>
      </c>
      <c r="W190" s="23">
        <f>IF(LEFT(S190,8)="Revenue|",-N(F190),0)+IF(LEFT(T190,8)="Revenue|",-N(J190),0)+IF(LEFT(U190,8)="Revenue|",N(N190),0)+IF(LEFT(V190,8)="Revenue|",N(M190),0)</f>
        <v/>
      </c>
      <c r="X190" s="23">
        <f>IF(LEFT(S190,5)="COGS|",N(F190),0)+IF(LEFT(T190,5)="COGS|",N(J190),0)+IF(LEFT(U190,5)="COGS|",-N(N190),0)+IF(LEFT(V190,5)="COGS|",-N(M190),0)</f>
        <v/>
      </c>
      <c r="Y190" s="23">
        <f>IF(LEFT(S190,8)="Expense|",N(F190),0)+IF(LEFT(T190,8)="Expense|",N(J190),0)+IF(LEFT(U190,8)="Expense|",-N(N190),0)+IF(LEFT(V190,8)="Expense|",-N(M190),0)</f>
        <v/>
      </c>
      <c r="Z190" s="23">
        <f>IF(ISNUMBER(MATCH(S190,{"Expense|employee","Expense|general_admin","Expense|marketing","Expense|utilities","Expense|other_operating"},0)),N(F190),0)+IF(ISNUMBER(MATCH(T190,{"Expense|employee","Expense|general_admin","Expense|marketing","Expense|utilities","Expense|other_operating"},0)),N(J190),0)+IF(ISNUMBER(MATCH(U190,{"Expense|employee","Expense|general_admin","Expense|marketing","Expense|utilities","Expense|other_operating"},0)),-N(N190),0)+IF(ISNUMBER(MATCH(V190,{"Expense|employee","Expense|general_admin","Expense|marketing","Expense|utilities","Expense|other_operating"},0)),-N(M190),0)</f>
        <v/>
      </c>
      <c r="AA190" s="23">
        <f>IF(S190="Liability|payable",-N(F190),0)+IF(T190="Liability|payable",-N(J190),0)+IF(U190="Liability|payable",N(N190),0)+IF(V190="Liability|payable",N(M190),0)</f>
        <v/>
      </c>
      <c r="AB190" s="23">
        <f>IF(S190="Liability|accrued",-N(F190),0)+IF(T190="Liability|accrued",-N(J190),0)+IF(U190="Liability|accrued",N(N190),0)+IF(V190="Liability|accrued",N(M190),0)</f>
        <v/>
      </c>
      <c r="AC190" s="23">
        <f>IF(AND(N(F190)&lt;&gt;0,S190=""),1,0)+IF(AND(N(J190)&lt;&gt;0,T190=""),1,0)+IF(AND(N(N190)&lt;&gt;0,U190=""),1,0)+IF(AND(N(M190)&lt;&gt;0,V190=""),1,0)</f>
        <v/>
      </c>
    </row>
    <row r="191">
      <c r="A191" s="19" t="n"/>
      <c r="B191" s="14" t="n"/>
      <c r="C191" s="14" t="n"/>
      <c r="D191" s="14" t="n"/>
      <c r="E191" s="14" t="n"/>
      <c r="F191" s="20" t="n"/>
      <c r="G191" s="14" t="n"/>
      <c r="H191" s="14" t="n"/>
      <c r="I191" s="14" t="n"/>
      <c r="J191" s="20" t="n"/>
      <c r="K191" s="14" t="n"/>
      <c r="L191" s="21">
        <f>N(F191)+N(J191)</f>
        <v/>
      </c>
      <c r="M191" s="21">
        <f>IF(K191="",0,L191-ROUND(L191/(1+IFERROR(VLOOKUP(K191,'Tax Codes'!$A$5:$E$300,5,FALSE),0)),2))</f>
        <v/>
      </c>
      <c r="N191" s="21">
        <f>L191-M191</f>
        <v/>
      </c>
      <c r="O191" s="16">
        <f>IF(H191="",INDEX('Chart of Accounts'!$A$5:$A$3000,MATCH("bank",'Chart of Accounts'!$F$5:$F$3000,0)),H191&amp;"")</f>
        <v/>
      </c>
      <c r="P191" s="16">
        <f>IF(I191="",INDEX('Chart of Accounts'!$A$5:$A$3000,MATCH("revenue",'Chart of Accounts'!$F$5:$F$3000,0)),I191&amp;"")</f>
        <v/>
      </c>
      <c r="Q191" s="16">
        <f>INDEX('Chart of Accounts'!$A$5:$A$3000,MATCH("wht_receivable",'Chart of Accounts'!$F$5:$F$3000,0))</f>
        <v/>
      </c>
      <c r="R191" s="16">
        <f>INDEX('Chart of Accounts'!$A$5:$A$3000,MATCH("vat_output",'Chart of Accounts'!$F$5:$F$3000,0))</f>
        <v/>
      </c>
      <c r="S191" s="23">
        <f>IFERROR(INDEX('Chart of Accounts'!$C$5:$C$3000,MATCH(O191&amp;"",'Chart of Accounts'!$A$5:$A$3000,0))&amp;"|"&amp;INDEX('Chart of Accounts'!$D$5:$D$3000,MATCH(O191&amp;"",'Chart of Accounts'!$A$5:$A$3000,0)),"")</f>
        <v/>
      </c>
      <c r="T191" s="23">
        <f>IFERROR(INDEX('Chart of Accounts'!$C$5:$C$3000,MATCH(Q191&amp;"",'Chart of Accounts'!$A$5:$A$3000,0))&amp;"|"&amp;INDEX('Chart of Accounts'!$D$5:$D$3000,MATCH(Q191&amp;"",'Chart of Accounts'!$A$5:$A$3000,0)),"")</f>
        <v/>
      </c>
      <c r="U191" s="23">
        <f>IFERROR(INDEX('Chart of Accounts'!$C$5:$C$3000,MATCH(P191&amp;"",'Chart of Accounts'!$A$5:$A$3000,0))&amp;"|"&amp;INDEX('Chart of Accounts'!$D$5:$D$3000,MATCH(P191&amp;"",'Chart of Accounts'!$A$5:$A$3000,0)),"")</f>
        <v/>
      </c>
      <c r="V191" s="23">
        <f>IFERROR(INDEX('Chart of Accounts'!$C$5:$C$3000,MATCH(R191&amp;"",'Chart of Accounts'!$A$5:$A$3000,0))&amp;"|"&amp;INDEX('Chart of Accounts'!$D$5:$D$3000,MATCH(R191&amp;"",'Chart of Accounts'!$A$5:$A$3000,0)),"")</f>
        <v/>
      </c>
      <c r="W191" s="23">
        <f>IF(LEFT(S191,8)="Revenue|",-N(F191),0)+IF(LEFT(T191,8)="Revenue|",-N(J191),0)+IF(LEFT(U191,8)="Revenue|",N(N191),0)+IF(LEFT(V191,8)="Revenue|",N(M191),0)</f>
        <v/>
      </c>
      <c r="X191" s="23">
        <f>IF(LEFT(S191,5)="COGS|",N(F191),0)+IF(LEFT(T191,5)="COGS|",N(J191),0)+IF(LEFT(U191,5)="COGS|",-N(N191),0)+IF(LEFT(V191,5)="COGS|",-N(M191),0)</f>
        <v/>
      </c>
      <c r="Y191" s="23">
        <f>IF(LEFT(S191,8)="Expense|",N(F191),0)+IF(LEFT(T191,8)="Expense|",N(J191),0)+IF(LEFT(U191,8)="Expense|",-N(N191),0)+IF(LEFT(V191,8)="Expense|",-N(M191),0)</f>
        <v/>
      </c>
      <c r="Z191" s="23">
        <f>IF(ISNUMBER(MATCH(S191,{"Expense|employee","Expense|general_admin","Expense|marketing","Expense|utilities","Expense|other_operating"},0)),N(F191),0)+IF(ISNUMBER(MATCH(T191,{"Expense|employee","Expense|general_admin","Expense|marketing","Expense|utilities","Expense|other_operating"},0)),N(J191),0)+IF(ISNUMBER(MATCH(U191,{"Expense|employee","Expense|general_admin","Expense|marketing","Expense|utilities","Expense|other_operating"},0)),-N(N191),0)+IF(ISNUMBER(MATCH(V191,{"Expense|employee","Expense|general_admin","Expense|marketing","Expense|utilities","Expense|other_operating"},0)),-N(M191),0)</f>
        <v/>
      </c>
      <c r="AA191" s="23">
        <f>IF(S191="Liability|payable",-N(F191),0)+IF(T191="Liability|payable",-N(J191),0)+IF(U191="Liability|payable",N(N191),0)+IF(V191="Liability|payable",N(M191),0)</f>
        <v/>
      </c>
      <c r="AB191" s="23">
        <f>IF(S191="Liability|accrued",-N(F191),0)+IF(T191="Liability|accrued",-N(J191),0)+IF(U191="Liability|accrued",N(N191),0)+IF(V191="Liability|accrued",N(M191),0)</f>
        <v/>
      </c>
      <c r="AC191" s="23">
        <f>IF(AND(N(F191)&lt;&gt;0,S191=""),1,0)+IF(AND(N(J191)&lt;&gt;0,T191=""),1,0)+IF(AND(N(N191)&lt;&gt;0,U191=""),1,0)+IF(AND(N(M191)&lt;&gt;0,V191=""),1,0)</f>
        <v/>
      </c>
    </row>
    <row r="192">
      <c r="A192" s="19" t="n"/>
      <c r="B192" s="14" t="n"/>
      <c r="C192" s="14" t="n"/>
      <c r="D192" s="14" t="n"/>
      <c r="E192" s="14" t="n"/>
      <c r="F192" s="20" t="n"/>
      <c r="G192" s="14" t="n"/>
      <c r="H192" s="14" t="n"/>
      <c r="I192" s="14" t="n"/>
      <c r="J192" s="20" t="n"/>
      <c r="K192" s="14" t="n"/>
      <c r="L192" s="21">
        <f>N(F192)+N(J192)</f>
        <v/>
      </c>
      <c r="M192" s="21">
        <f>IF(K192="",0,L192-ROUND(L192/(1+IFERROR(VLOOKUP(K192,'Tax Codes'!$A$5:$E$300,5,FALSE),0)),2))</f>
        <v/>
      </c>
      <c r="N192" s="21">
        <f>L192-M192</f>
        <v/>
      </c>
      <c r="O192" s="16">
        <f>IF(H192="",INDEX('Chart of Accounts'!$A$5:$A$3000,MATCH("bank",'Chart of Accounts'!$F$5:$F$3000,0)),H192&amp;"")</f>
        <v/>
      </c>
      <c r="P192" s="16">
        <f>IF(I192="",INDEX('Chart of Accounts'!$A$5:$A$3000,MATCH("revenue",'Chart of Accounts'!$F$5:$F$3000,0)),I192&amp;"")</f>
        <v/>
      </c>
      <c r="Q192" s="16">
        <f>INDEX('Chart of Accounts'!$A$5:$A$3000,MATCH("wht_receivable",'Chart of Accounts'!$F$5:$F$3000,0))</f>
        <v/>
      </c>
      <c r="R192" s="16">
        <f>INDEX('Chart of Accounts'!$A$5:$A$3000,MATCH("vat_output",'Chart of Accounts'!$F$5:$F$3000,0))</f>
        <v/>
      </c>
      <c r="S192" s="23">
        <f>IFERROR(INDEX('Chart of Accounts'!$C$5:$C$3000,MATCH(O192&amp;"",'Chart of Accounts'!$A$5:$A$3000,0))&amp;"|"&amp;INDEX('Chart of Accounts'!$D$5:$D$3000,MATCH(O192&amp;"",'Chart of Accounts'!$A$5:$A$3000,0)),"")</f>
        <v/>
      </c>
      <c r="T192" s="23">
        <f>IFERROR(INDEX('Chart of Accounts'!$C$5:$C$3000,MATCH(Q192&amp;"",'Chart of Accounts'!$A$5:$A$3000,0))&amp;"|"&amp;INDEX('Chart of Accounts'!$D$5:$D$3000,MATCH(Q192&amp;"",'Chart of Accounts'!$A$5:$A$3000,0)),"")</f>
        <v/>
      </c>
      <c r="U192" s="23">
        <f>IFERROR(INDEX('Chart of Accounts'!$C$5:$C$3000,MATCH(P192&amp;"",'Chart of Accounts'!$A$5:$A$3000,0))&amp;"|"&amp;INDEX('Chart of Accounts'!$D$5:$D$3000,MATCH(P192&amp;"",'Chart of Accounts'!$A$5:$A$3000,0)),"")</f>
        <v/>
      </c>
      <c r="V192" s="23">
        <f>IFERROR(INDEX('Chart of Accounts'!$C$5:$C$3000,MATCH(R192&amp;"",'Chart of Accounts'!$A$5:$A$3000,0))&amp;"|"&amp;INDEX('Chart of Accounts'!$D$5:$D$3000,MATCH(R192&amp;"",'Chart of Accounts'!$A$5:$A$3000,0)),"")</f>
        <v/>
      </c>
      <c r="W192" s="23">
        <f>IF(LEFT(S192,8)="Revenue|",-N(F192),0)+IF(LEFT(T192,8)="Revenue|",-N(J192),0)+IF(LEFT(U192,8)="Revenue|",N(N192),0)+IF(LEFT(V192,8)="Revenue|",N(M192),0)</f>
        <v/>
      </c>
      <c r="X192" s="23">
        <f>IF(LEFT(S192,5)="COGS|",N(F192),0)+IF(LEFT(T192,5)="COGS|",N(J192),0)+IF(LEFT(U192,5)="COGS|",-N(N192),0)+IF(LEFT(V192,5)="COGS|",-N(M192),0)</f>
        <v/>
      </c>
      <c r="Y192" s="23">
        <f>IF(LEFT(S192,8)="Expense|",N(F192),0)+IF(LEFT(T192,8)="Expense|",N(J192),0)+IF(LEFT(U192,8)="Expense|",-N(N192),0)+IF(LEFT(V192,8)="Expense|",-N(M192),0)</f>
        <v/>
      </c>
      <c r="Z192" s="23">
        <f>IF(ISNUMBER(MATCH(S192,{"Expense|employee","Expense|general_admin","Expense|marketing","Expense|utilities","Expense|other_operating"},0)),N(F192),0)+IF(ISNUMBER(MATCH(T192,{"Expense|employee","Expense|general_admin","Expense|marketing","Expense|utilities","Expense|other_operating"},0)),N(J192),0)+IF(ISNUMBER(MATCH(U192,{"Expense|employee","Expense|general_admin","Expense|marketing","Expense|utilities","Expense|other_operating"},0)),-N(N192),0)+IF(ISNUMBER(MATCH(V192,{"Expense|employee","Expense|general_admin","Expense|marketing","Expense|utilities","Expense|other_operating"},0)),-N(M192),0)</f>
        <v/>
      </c>
      <c r="AA192" s="23">
        <f>IF(S192="Liability|payable",-N(F192),0)+IF(T192="Liability|payable",-N(J192),0)+IF(U192="Liability|payable",N(N192),0)+IF(V192="Liability|payable",N(M192),0)</f>
        <v/>
      </c>
      <c r="AB192" s="23">
        <f>IF(S192="Liability|accrued",-N(F192),0)+IF(T192="Liability|accrued",-N(J192),0)+IF(U192="Liability|accrued",N(N192),0)+IF(V192="Liability|accrued",N(M192),0)</f>
        <v/>
      </c>
      <c r="AC192" s="23">
        <f>IF(AND(N(F192)&lt;&gt;0,S192=""),1,0)+IF(AND(N(J192)&lt;&gt;0,T192=""),1,0)+IF(AND(N(N192)&lt;&gt;0,U192=""),1,0)+IF(AND(N(M192)&lt;&gt;0,V192=""),1,0)</f>
        <v/>
      </c>
    </row>
    <row r="193">
      <c r="A193" s="19" t="n"/>
      <c r="B193" s="14" t="n"/>
      <c r="C193" s="14" t="n"/>
      <c r="D193" s="14" t="n"/>
      <c r="E193" s="14" t="n"/>
      <c r="F193" s="20" t="n"/>
      <c r="G193" s="14" t="n"/>
      <c r="H193" s="14" t="n"/>
      <c r="I193" s="14" t="n"/>
      <c r="J193" s="20" t="n"/>
      <c r="K193" s="14" t="n"/>
      <c r="L193" s="21">
        <f>N(F193)+N(J193)</f>
        <v/>
      </c>
      <c r="M193" s="21">
        <f>IF(K193="",0,L193-ROUND(L193/(1+IFERROR(VLOOKUP(K193,'Tax Codes'!$A$5:$E$300,5,FALSE),0)),2))</f>
        <v/>
      </c>
      <c r="N193" s="21">
        <f>L193-M193</f>
        <v/>
      </c>
      <c r="O193" s="16">
        <f>IF(H193="",INDEX('Chart of Accounts'!$A$5:$A$3000,MATCH("bank",'Chart of Accounts'!$F$5:$F$3000,0)),H193&amp;"")</f>
        <v/>
      </c>
      <c r="P193" s="16">
        <f>IF(I193="",INDEX('Chart of Accounts'!$A$5:$A$3000,MATCH("revenue",'Chart of Accounts'!$F$5:$F$3000,0)),I193&amp;"")</f>
        <v/>
      </c>
      <c r="Q193" s="16">
        <f>INDEX('Chart of Accounts'!$A$5:$A$3000,MATCH("wht_receivable",'Chart of Accounts'!$F$5:$F$3000,0))</f>
        <v/>
      </c>
      <c r="R193" s="16">
        <f>INDEX('Chart of Accounts'!$A$5:$A$3000,MATCH("vat_output",'Chart of Accounts'!$F$5:$F$3000,0))</f>
        <v/>
      </c>
      <c r="S193" s="23">
        <f>IFERROR(INDEX('Chart of Accounts'!$C$5:$C$3000,MATCH(O193&amp;"",'Chart of Accounts'!$A$5:$A$3000,0))&amp;"|"&amp;INDEX('Chart of Accounts'!$D$5:$D$3000,MATCH(O193&amp;"",'Chart of Accounts'!$A$5:$A$3000,0)),"")</f>
        <v/>
      </c>
      <c r="T193" s="23">
        <f>IFERROR(INDEX('Chart of Accounts'!$C$5:$C$3000,MATCH(Q193&amp;"",'Chart of Accounts'!$A$5:$A$3000,0))&amp;"|"&amp;INDEX('Chart of Accounts'!$D$5:$D$3000,MATCH(Q193&amp;"",'Chart of Accounts'!$A$5:$A$3000,0)),"")</f>
        <v/>
      </c>
      <c r="U193" s="23">
        <f>IFERROR(INDEX('Chart of Accounts'!$C$5:$C$3000,MATCH(P193&amp;"",'Chart of Accounts'!$A$5:$A$3000,0))&amp;"|"&amp;INDEX('Chart of Accounts'!$D$5:$D$3000,MATCH(P193&amp;"",'Chart of Accounts'!$A$5:$A$3000,0)),"")</f>
        <v/>
      </c>
      <c r="V193" s="23">
        <f>IFERROR(INDEX('Chart of Accounts'!$C$5:$C$3000,MATCH(R193&amp;"",'Chart of Accounts'!$A$5:$A$3000,0))&amp;"|"&amp;INDEX('Chart of Accounts'!$D$5:$D$3000,MATCH(R193&amp;"",'Chart of Accounts'!$A$5:$A$3000,0)),"")</f>
        <v/>
      </c>
      <c r="W193" s="23">
        <f>IF(LEFT(S193,8)="Revenue|",-N(F193),0)+IF(LEFT(T193,8)="Revenue|",-N(J193),0)+IF(LEFT(U193,8)="Revenue|",N(N193),0)+IF(LEFT(V193,8)="Revenue|",N(M193),0)</f>
        <v/>
      </c>
      <c r="X193" s="23">
        <f>IF(LEFT(S193,5)="COGS|",N(F193),0)+IF(LEFT(T193,5)="COGS|",N(J193),0)+IF(LEFT(U193,5)="COGS|",-N(N193),0)+IF(LEFT(V193,5)="COGS|",-N(M193),0)</f>
        <v/>
      </c>
      <c r="Y193" s="23">
        <f>IF(LEFT(S193,8)="Expense|",N(F193),0)+IF(LEFT(T193,8)="Expense|",N(J193),0)+IF(LEFT(U193,8)="Expense|",-N(N193),0)+IF(LEFT(V193,8)="Expense|",-N(M193),0)</f>
        <v/>
      </c>
      <c r="Z193" s="23">
        <f>IF(ISNUMBER(MATCH(S193,{"Expense|employee","Expense|general_admin","Expense|marketing","Expense|utilities","Expense|other_operating"},0)),N(F193),0)+IF(ISNUMBER(MATCH(T193,{"Expense|employee","Expense|general_admin","Expense|marketing","Expense|utilities","Expense|other_operating"},0)),N(J193),0)+IF(ISNUMBER(MATCH(U193,{"Expense|employee","Expense|general_admin","Expense|marketing","Expense|utilities","Expense|other_operating"},0)),-N(N193),0)+IF(ISNUMBER(MATCH(V193,{"Expense|employee","Expense|general_admin","Expense|marketing","Expense|utilities","Expense|other_operating"},0)),-N(M193),0)</f>
        <v/>
      </c>
      <c r="AA193" s="23">
        <f>IF(S193="Liability|payable",-N(F193),0)+IF(T193="Liability|payable",-N(J193),0)+IF(U193="Liability|payable",N(N193),0)+IF(V193="Liability|payable",N(M193),0)</f>
        <v/>
      </c>
      <c r="AB193" s="23">
        <f>IF(S193="Liability|accrued",-N(F193),0)+IF(T193="Liability|accrued",-N(J193),0)+IF(U193="Liability|accrued",N(N193),0)+IF(V193="Liability|accrued",N(M193),0)</f>
        <v/>
      </c>
      <c r="AC193" s="23">
        <f>IF(AND(N(F193)&lt;&gt;0,S193=""),1,0)+IF(AND(N(J193)&lt;&gt;0,T193=""),1,0)+IF(AND(N(N193)&lt;&gt;0,U193=""),1,0)+IF(AND(N(M193)&lt;&gt;0,V193=""),1,0)</f>
        <v/>
      </c>
    </row>
    <row r="194">
      <c r="A194" s="19" t="n"/>
      <c r="B194" s="14" t="n"/>
      <c r="C194" s="14" t="n"/>
      <c r="D194" s="14" t="n"/>
      <c r="E194" s="14" t="n"/>
      <c r="F194" s="20" t="n"/>
      <c r="G194" s="14" t="n"/>
      <c r="H194" s="14" t="n"/>
      <c r="I194" s="14" t="n"/>
      <c r="J194" s="20" t="n"/>
      <c r="K194" s="14" t="n"/>
      <c r="L194" s="21">
        <f>N(F194)+N(J194)</f>
        <v/>
      </c>
      <c r="M194" s="21">
        <f>IF(K194="",0,L194-ROUND(L194/(1+IFERROR(VLOOKUP(K194,'Tax Codes'!$A$5:$E$300,5,FALSE),0)),2))</f>
        <v/>
      </c>
      <c r="N194" s="21">
        <f>L194-M194</f>
        <v/>
      </c>
      <c r="O194" s="16">
        <f>IF(H194="",INDEX('Chart of Accounts'!$A$5:$A$3000,MATCH("bank",'Chart of Accounts'!$F$5:$F$3000,0)),H194&amp;"")</f>
        <v/>
      </c>
      <c r="P194" s="16">
        <f>IF(I194="",INDEX('Chart of Accounts'!$A$5:$A$3000,MATCH("revenue",'Chart of Accounts'!$F$5:$F$3000,0)),I194&amp;"")</f>
        <v/>
      </c>
      <c r="Q194" s="16">
        <f>INDEX('Chart of Accounts'!$A$5:$A$3000,MATCH("wht_receivable",'Chart of Accounts'!$F$5:$F$3000,0))</f>
        <v/>
      </c>
      <c r="R194" s="16">
        <f>INDEX('Chart of Accounts'!$A$5:$A$3000,MATCH("vat_output",'Chart of Accounts'!$F$5:$F$3000,0))</f>
        <v/>
      </c>
      <c r="S194" s="23">
        <f>IFERROR(INDEX('Chart of Accounts'!$C$5:$C$3000,MATCH(O194&amp;"",'Chart of Accounts'!$A$5:$A$3000,0))&amp;"|"&amp;INDEX('Chart of Accounts'!$D$5:$D$3000,MATCH(O194&amp;"",'Chart of Accounts'!$A$5:$A$3000,0)),"")</f>
        <v/>
      </c>
      <c r="T194" s="23">
        <f>IFERROR(INDEX('Chart of Accounts'!$C$5:$C$3000,MATCH(Q194&amp;"",'Chart of Accounts'!$A$5:$A$3000,0))&amp;"|"&amp;INDEX('Chart of Accounts'!$D$5:$D$3000,MATCH(Q194&amp;"",'Chart of Accounts'!$A$5:$A$3000,0)),"")</f>
        <v/>
      </c>
      <c r="U194" s="23">
        <f>IFERROR(INDEX('Chart of Accounts'!$C$5:$C$3000,MATCH(P194&amp;"",'Chart of Accounts'!$A$5:$A$3000,0))&amp;"|"&amp;INDEX('Chart of Accounts'!$D$5:$D$3000,MATCH(P194&amp;"",'Chart of Accounts'!$A$5:$A$3000,0)),"")</f>
        <v/>
      </c>
      <c r="V194" s="23">
        <f>IFERROR(INDEX('Chart of Accounts'!$C$5:$C$3000,MATCH(R194&amp;"",'Chart of Accounts'!$A$5:$A$3000,0))&amp;"|"&amp;INDEX('Chart of Accounts'!$D$5:$D$3000,MATCH(R194&amp;"",'Chart of Accounts'!$A$5:$A$3000,0)),"")</f>
        <v/>
      </c>
      <c r="W194" s="23">
        <f>IF(LEFT(S194,8)="Revenue|",-N(F194),0)+IF(LEFT(T194,8)="Revenue|",-N(J194),0)+IF(LEFT(U194,8)="Revenue|",N(N194),0)+IF(LEFT(V194,8)="Revenue|",N(M194),0)</f>
        <v/>
      </c>
      <c r="X194" s="23">
        <f>IF(LEFT(S194,5)="COGS|",N(F194),0)+IF(LEFT(T194,5)="COGS|",N(J194),0)+IF(LEFT(U194,5)="COGS|",-N(N194),0)+IF(LEFT(V194,5)="COGS|",-N(M194),0)</f>
        <v/>
      </c>
      <c r="Y194" s="23">
        <f>IF(LEFT(S194,8)="Expense|",N(F194),0)+IF(LEFT(T194,8)="Expense|",N(J194),0)+IF(LEFT(U194,8)="Expense|",-N(N194),0)+IF(LEFT(V194,8)="Expense|",-N(M194),0)</f>
        <v/>
      </c>
      <c r="Z194" s="23">
        <f>IF(ISNUMBER(MATCH(S194,{"Expense|employee","Expense|general_admin","Expense|marketing","Expense|utilities","Expense|other_operating"},0)),N(F194),0)+IF(ISNUMBER(MATCH(T194,{"Expense|employee","Expense|general_admin","Expense|marketing","Expense|utilities","Expense|other_operating"},0)),N(J194),0)+IF(ISNUMBER(MATCH(U194,{"Expense|employee","Expense|general_admin","Expense|marketing","Expense|utilities","Expense|other_operating"},0)),-N(N194),0)+IF(ISNUMBER(MATCH(V194,{"Expense|employee","Expense|general_admin","Expense|marketing","Expense|utilities","Expense|other_operating"},0)),-N(M194),0)</f>
        <v/>
      </c>
      <c r="AA194" s="23">
        <f>IF(S194="Liability|payable",-N(F194),0)+IF(T194="Liability|payable",-N(J194),0)+IF(U194="Liability|payable",N(N194),0)+IF(V194="Liability|payable",N(M194),0)</f>
        <v/>
      </c>
      <c r="AB194" s="23">
        <f>IF(S194="Liability|accrued",-N(F194),0)+IF(T194="Liability|accrued",-N(J194),0)+IF(U194="Liability|accrued",N(N194),0)+IF(V194="Liability|accrued",N(M194),0)</f>
        <v/>
      </c>
      <c r="AC194" s="23">
        <f>IF(AND(N(F194)&lt;&gt;0,S194=""),1,0)+IF(AND(N(J194)&lt;&gt;0,T194=""),1,0)+IF(AND(N(N194)&lt;&gt;0,U194=""),1,0)+IF(AND(N(M194)&lt;&gt;0,V194=""),1,0)</f>
        <v/>
      </c>
    </row>
    <row r="195">
      <c r="A195" s="19" t="n"/>
      <c r="B195" s="14" t="n"/>
      <c r="C195" s="14" t="n"/>
      <c r="D195" s="14" t="n"/>
      <c r="E195" s="14" t="n"/>
      <c r="F195" s="20" t="n"/>
      <c r="G195" s="14" t="n"/>
      <c r="H195" s="14" t="n"/>
      <c r="I195" s="14" t="n"/>
      <c r="J195" s="20" t="n"/>
      <c r="K195" s="14" t="n"/>
      <c r="L195" s="21">
        <f>N(F195)+N(J195)</f>
        <v/>
      </c>
      <c r="M195" s="21">
        <f>IF(K195="",0,L195-ROUND(L195/(1+IFERROR(VLOOKUP(K195,'Tax Codes'!$A$5:$E$300,5,FALSE),0)),2))</f>
        <v/>
      </c>
      <c r="N195" s="21">
        <f>L195-M195</f>
        <v/>
      </c>
      <c r="O195" s="16">
        <f>IF(H195="",INDEX('Chart of Accounts'!$A$5:$A$3000,MATCH("bank",'Chart of Accounts'!$F$5:$F$3000,0)),H195&amp;"")</f>
        <v/>
      </c>
      <c r="P195" s="16">
        <f>IF(I195="",INDEX('Chart of Accounts'!$A$5:$A$3000,MATCH("revenue",'Chart of Accounts'!$F$5:$F$3000,0)),I195&amp;"")</f>
        <v/>
      </c>
      <c r="Q195" s="16">
        <f>INDEX('Chart of Accounts'!$A$5:$A$3000,MATCH("wht_receivable",'Chart of Accounts'!$F$5:$F$3000,0))</f>
        <v/>
      </c>
      <c r="R195" s="16">
        <f>INDEX('Chart of Accounts'!$A$5:$A$3000,MATCH("vat_output",'Chart of Accounts'!$F$5:$F$3000,0))</f>
        <v/>
      </c>
      <c r="S195" s="23">
        <f>IFERROR(INDEX('Chart of Accounts'!$C$5:$C$3000,MATCH(O195&amp;"",'Chart of Accounts'!$A$5:$A$3000,0))&amp;"|"&amp;INDEX('Chart of Accounts'!$D$5:$D$3000,MATCH(O195&amp;"",'Chart of Accounts'!$A$5:$A$3000,0)),"")</f>
        <v/>
      </c>
      <c r="T195" s="23">
        <f>IFERROR(INDEX('Chart of Accounts'!$C$5:$C$3000,MATCH(Q195&amp;"",'Chart of Accounts'!$A$5:$A$3000,0))&amp;"|"&amp;INDEX('Chart of Accounts'!$D$5:$D$3000,MATCH(Q195&amp;"",'Chart of Accounts'!$A$5:$A$3000,0)),"")</f>
        <v/>
      </c>
      <c r="U195" s="23">
        <f>IFERROR(INDEX('Chart of Accounts'!$C$5:$C$3000,MATCH(P195&amp;"",'Chart of Accounts'!$A$5:$A$3000,0))&amp;"|"&amp;INDEX('Chart of Accounts'!$D$5:$D$3000,MATCH(P195&amp;"",'Chart of Accounts'!$A$5:$A$3000,0)),"")</f>
        <v/>
      </c>
      <c r="V195" s="23">
        <f>IFERROR(INDEX('Chart of Accounts'!$C$5:$C$3000,MATCH(R195&amp;"",'Chart of Accounts'!$A$5:$A$3000,0))&amp;"|"&amp;INDEX('Chart of Accounts'!$D$5:$D$3000,MATCH(R195&amp;"",'Chart of Accounts'!$A$5:$A$3000,0)),"")</f>
        <v/>
      </c>
      <c r="W195" s="23">
        <f>IF(LEFT(S195,8)="Revenue|",-N(F195),0)+IF(LEFT(T195,8)="Revenue|",-N(J195),0)+IF(LEFT(U195,8)="Revenue|",N(N195),0)+IF(LEFT(V195,8)="Revenue|",N(M195),0)</f>
        <v/>
      </c>
      <c r="X195" s="23">
        <f>IF(LEFT(S195,5)="COGS|",N(F195),0)+IF(LEFT(T195,5)="COGS|",N(J195),0)+IF(LEFT(U195,5)="COGS|",-N(N195),0)+IF(LEFT(V195,5)="COGS|",-N(M195),0)</f>
        <v/>
      </c>
      <c r="Y195" s="23">
        <f>IF(LEFT(S195,8)="Expense|",N(F195),0)+IF(LEFT(T195,8)="Expense|",N(J195),0)+IF(LEFT(U195,8)="Expense|",-N(N195),0)+IF(LEFT(V195,8)="Expense|",-N(M195),0)</f>
        <v/>
      </c>
      <c r="Z195" s="23">
        <f>IF(ISNUMBER(MATCH(S195,{"Expense|employee","Expense|general_admin","Expense|marketing","Expense|utilities","Expense|other_operating"},0)),N(F195),0)+IF(ISNUMBER(MATCH(T195,{"Expense|employee","Expense|general_admin","Expense|marketing","Expense|utilities","Expense|other_operating"},0)),N(J195),0)+IF(ISNUMBER(MATCH(U195,{"Expense|employee","Expense|general_admin","Expense|marketing","Expense|utilities","Expense|other_operating"},0)),-N(N195),0)+IF(ISNUMBER(MATCH(V195,{"Expense|employee","Expense|general_admin","Expense|marketing","Expense|utilities","Expense|other_operating"},0)),-N(M195),0)</f>
        <v/>
      </c>
      <c r="AA195" s="23">
        <f>IF(S195="Liability|payable",-N(F195),0)+IF(T195="Liability|payable",-N(J195),0)+IF(U195="Liability|payable",N(N195),0)+IF(V195="Liability|payable",N(M195),0)</f>
        <v/>
      </c>
      <c r="AB195" s="23">
        <f>IF(S195="Liability|accrued",-N(F195),0)+IF(T195="Liability|accrued",-N(J195),0)+IF(U195="Liability|accrued",N(N195),0)+IF(V195="Liability|accrued",N(M195),0)</f>
        <v/>
      </c>
      <c r="AC195" s="23">
        <f>IF(AND(N(F195)&lt;&gt;0,S195=""),1,0)+IF(AND(N(J195)&lt;&gt;0,T195=""),1,0)+IF(AND(N(N195)&lt;&gt;0,U195=""),1,0)+IF(AND(N(M195)&lt;&gt;0,V195=""),1,0)</f>
        <v/>
      </c>
    </row>
    <row r="196">
      <c r="A196" s="19" t="n"/>
      <c r="B196" s="14" t="n"/>
      <c r="C196" s="14" t="n"/>
      <c r="D196" s="14" t="n"/>
      <c r="E196" s="14" t="n"/>
      <c r="F196" s="20" t="n"/>
      <c r="G196" s="14" t="n"/>
      <c r="H196" s="14" t="n"/>
      <c r="I196" s="14" t="n"/>
      <c r="J196" s="20" t="n"/>
      <c r="K196" s="14" t="n"/>
      <c r="L196" s="21">
        <f>N(F196)+N(J196)</f>
        <v/>
      </c>
      <c r="M196" s="21">
        <f>IF(K196="",0,L196-ROUND(L196/(1+IFERROR(VLOOKUP(K196,'Tax Codes'!$A$5:$E$300,5,FALSE),0)),2))</f>
        <v/>
      </c>
      <c r="N196" s="21">
        <f>L196-M196</f>
        <v/>
      </c>
      <c r="O196" s="16">
        <f>IF(H196="",INDEX('Chart of Accounts'!$A$5:$A$3000,MATCH("bank",'Chart of Accounts'!$F$5:$F$3000,0)),H196&amp;"")</f>
        <v/>
      </c>
      <c r="P196" s="16">
        <f>IF(I196="",INDEX('Chart of Accounts'!$A$5:$A$3000,MATCH("revenue",'Chart of Accounts'!$F$5:$F$3000,0)),I196&amp;"")</f>
        <v/>
      </c>
      <c r="Q196" s="16">
        <f>INDEX('Chart of Accounts'!$A$5:$A$3000,MATCH("wht_receivable",'Chart of Accounts'!$F$5:$F$3000,0))</f>
        <v/>
      </c>
      <c r="R196" s="16">
        <f>INDEX('Chart of Accounts'!$A$5:$A$3000,MATCH("vat_output",'Chart of Accounts'!$F$5:$F$3000,0))</f>
        <v/>
      </c>
      <c r="S196" s="23">
        <f>IFERROR(INDEX('Chart of Accounts'!$C$5:$C$3000,MATCH(O196&amp;"",'Chart of Accounts'!$A$5:$A$3000,0))&amp;"|"&amp;INDEX('Chart of Accounts'!$D$5:$D$3000,MATCH(O196&amp;"",'Chart of Accounts'!$A$5:$A$3000,0)),"")</f>
        <v/>
      </c>
      <c r="T196" s="23">
        <f>IFERROR(INDEX('Chart of Accounts'!$C$5:$C$3000,MATCH(Q196&amp;"",'Chart of Accounts'!$A$5:$A$3000,0))&amp;"|"&amp;INDEX('Chart of Accounts'!$D$5:$D$3000,MATCH(Q196&amp;"",'Chart of Accounts'!$A$5:$A$3000,0)),"")</f>
        <v/>
      </c>
      <c r="U196" s="23">
        <f>IFERROR(INDEX('Chart of Accounts'!$C$5:$C$3000,MATCH(P196&amp;"",'Chart of Accounts'!$A$5:$A$3000,0))&amp;"|"&amp;INDEX('Chart of Accounts'!$D$5:$D$3000,MATCH(P196&amp;"",'Chart of Accounts'!$A$5:$A$3000,0)),"")</f>
        <v/>
      </c>
      <c r="V196" s="23">
        <f>IFERROR(INDEX('Chart of Accounts'!$C$5:$C$3000,MATCH(R196&amp;"",'Chart of Accounts'!$A$5:$A$3000,0))&amp;"|"&amp;INDEX('Chart of Accounts'!$D$5:$D$3000,MATCH(R196&amp;"",'Chart of Accounts'!$A$5:$A$3000,0)),"")</f>
        <v/>
      </c>
      <c r="W196" s="23">
        <f>IF(LEFT(S196,8)="Revenue|",-N(F196),0)+IF(LEFT(T196,8)="Revenue|",-N(J196),0)+IF(LEFT(U196,8)="Revenue|",N(N196),0)+IF(LEFT(V196,8)="Revenue|",N(M196),0)</f>
        <v/>
      </c>
      <c r="X196" s="23">
        <f>IF(LEFT(S196,5)="COGS|",N(F196),0)+IF(LEFT(T196,5)="COGS|",N(J196),0)+IF(LEFT(U196,5)="COGS|",-N(N196),0)+IF(LEFT(V196,5)="COGS|",-N(M196),0)</f>
        <v/>
      </c>
      <c r="Y196" s="23">
        <f>IF(LEFT(S196,8)="Expense|",N(F196),0)+IF(LEFT(T196,8)="Expense|",N(J196),0)+IF(LEFT(U196,8)="Expense|",-N(N196),0)+IF(LEFT(V196,8)="Expense|",-N(M196),0)</f>
        <v/>
      </c>
      <c r="Z196" s="23">
        <f>IF(ISNUMBER(MATCH(S196,{"Expense|employee","Expense|general_admin","Expense|marketing","Expense|utilities","Expense|other_operating"},0)),N(F196),0)+IF(ISNUMBER(MATCH(T196,{"Expense|employee","Expense|general_admin","Expense|marketing","Expense|utilities","Expense|other_operating"},0)),N(J196),0)+IF(ISNUMBER(MATCH(U196,{"Expense|employee","Expense|general_admin","Expense|marketing","Expense|utilities","Expense|other_operating"},0)),-N(N196),0)+IF(ISNUMBER(MATCH(V196,{"Expense|employee","Expense|general_admin","Expense|marketing","Expense|utilities","Expense|other_operating"},0)),-N(M196),0)</f>
        <v/>
      </c>
      <c r="AA196" s="23">
        <f>IF(S196="Liability|payable",-N(F196),0)+IF(T196="Liability|payable",-N(J196),0)+IF(U196="Liability|payable",N(N196),0)+IF(V196="Liability|payable",N(M196),0)</f>
        <v/>
      </c>
      <c r="AB196" s="23">
        <f>IF(S196="Liability|accrued",-N(F196),0)+IF(T196="Liability|accrued",-N(J196),0)+IF(U196="Liability|accrued",N(N196),0)+IF(V196="Liability|accrued",N(M196),0)</f>
        <v/>
      </c>
      <c r="AC196" s="23">
        <f>IF(AND(N(F196)&lt;&gt;0,S196=""),1,0)+IF(AND(N(J196)&lt;&gt;0,T196=""),1,0)+IF(AND(N(N196)&lt;&gt;0,U196=""),1,0)+IF(AND(N(M196)&lt;&gt;0,V196=""),1,0)</f>
        <v/>
      </c>
    </row>
    <row r="197">
      <c r="A197" s="19" t="n"/>
      <c r="B197" s="14" t="n"/>
      <c r="C197" s="14" t="n"/>
      <c r="D197" s="14" t="n"/>
      <c r="E197" s="14" t="n"/>
      <c r="F197" s="20" t="n"/>
      <c r="G197" s="14" t="n"/>
      <c r="H197" s="14" t="n"/>
      <c r="I197" s="14" t="n"/>
      <c r="J197" s="20" t="n"/>
      <c r="K197" s="14" t="n"/>
      <c r="L197" s="21">
        <f>N(F197)+N(J197)</f>
        <v/>
      </c>
      <c r="M197" s="21">
        <f>IF(K197="",0,L197-ROUND(L197/(1+IFERROR(VLOOKUP(K197,'Tax Codes'!$A$5:$E$300,5,FALSE),0)),2))</f>
        <v/>
      </c>
      <c r="N197" s="21">
        <f>L197-M197</f>
        <v/>
      </c>
      <c r="O197" s="16">
        <f>IF(H197="",INDEX('Chart of Accounts'!$A$5:$A$3000,MATCH("bank",'Chart of Accounts'!$F$5:$F$3000,0)),H197&amp;"")</f>
        <v/>
      </c>
      <c r="P197" s="16">
        <f>IF(I197="",INDEX('Chart of Accounts'!$A$5:$A$3000,MATCH("revenue",'Chart of Accounts'!$F$5:$F$3000,0)),I197&amp;"")</f>
        <v/>
      </c>
      <c r="Q197" s="16">
        <f>INDEX('Chart of Accounts'!$A$5:$A$3000,MATCH("wht_receivable",'Chart of Accounts'!$F$5:$F$3000,0))</f>
        <v/>
      </c>
      <c r="R197" s="16">
        <f>INDEX('Chart of Accounts'!$A$5:$A$3000,MATCH("vat_output",'Chart of Accounts'!$F$5:$F$3000,0))</f>
        <v/>
      </c>
      <c r="S197" s="23">
        <f>IFERROR(INDEX('Chart of Accounts'!$C$5:$C$3000,MATCH(O197&amp;"",'Chart of Accounts'!$A$5:$A$3000,0))&amp;"|"&amp;INDEX('Chart of Accounts'!$D$5:$D$3000,MATCH(O197&amp;"",'Chart of Accounts'!$A$5:$A$3000,0)),"")</f>
        <v/>
      </c>
      <c r="T197" s="23">
        <f>IFERROR(INDEX('Chart of Accounts'!$C$5:$C$3000,MATCH(Q197&amp;"",'Chart of Accounts'!$A$5:$A$3000,0))&amp;"|"&amp;INDEX('Chart of Accounts'!$D$5:$D$3000,MATCH(Q197&amp;"",'Chart of Accounts'!$A$5:$A$3000,0)),"")</f>
        <v/>
      </c>
      <c r="U197" s="23">
        <f>IFERROR(INDEX('Chart of Accounts'!$C$5:$C$3000,MATCH(P197&amp;"",'Chart of Accounts'!$A$5:$A$3000,0))&amp;"|"&amp;INDEX('Chart of Accounts'!$D$5:$D$3000,MATCH(P197&amp;"",'Chart of Accounts'!$A$5:$A$3000,0)),"")</f>
        <v/>
      </c>
      <c r="V197" s="23">
        <f>IFERROR(INDEX('Chart of Accounts'!$C$5:$C$3000,MATCH(R197&amp;"",'Chart of Accounts'!$A$5:$A$3000,0))&amp;"|"&amp;INDEX('Chart of Accounts'!$D$5:$D$3000,MATCH(R197&amp;"",'Chart of Accounts'!$A$5:$A$3000,0)),"")</f>
        <v/>
      </c>
      <c r="W197" s="23">
        <f>IF(LEFT(S197,8)="Revenue|",-N(F197),0)+IF(LEFT(T197,8)="Revenue|",-N(J197),0)+IF(LEFT(U197,8)="Revenue|",N(N197),0)+IF(LEFT(V197,8)="Revenue|",N(M197),0)</f>
        <v/>
      </c>
      <c r="X197" s="23">
        <f>IF(LEFT(S197,5)="COGS|",N(F197),0)+IF(LEFT(T197,5)="COGS|",N(J197),0)+IF(LEFT(U197,5)="COGS|",-N(N197),0)+IF(LEFT(V197,5)="COGS|",-N(M197),0)</f>
        <v/>
      </c>
      <c r="Y197" s="23">
        <f>IF(LEFT(S197,8)="Expense|",N(F197),0)+IF(LEFT(T197,8)="Expense|",N(J197),0)+IF(LEFT(U197,8)="Expense|",-N(N197),0)+IF(LEFT(V197,8)="Expense|",-N(M197),0)</f>
        <v/>
      </c>
      <c r="Z197" s="23">
        <f>IF(ISNUMBER(MATCH(S197,{"Expense|employee","Expense|general_admin","Expense|marketing","Expense|utilities","Expense|other_operating"},0)),N(F197),0)+IF(ISNUMBER(MATCH(T197,{"Expense|employee","Expense|general_admin","Expense|marketing","Expense|utilities","Expense|other_operating"},0)),N(J197),0)+IF(ISNUMBER(MATCH(U197,{"Expense|employee","Expense|general_admin","Expense|marketing","Expense|utilities","Expense|other_operating"},0)),-N(N197),0)+IF(ISNUMBER(MATCH(V197,{"Expense|employee","Expense|general_admin","Expense|marketing","Expense|utilities","Expense|other_operating"},0)),-N(M197),0)</f>
        <v/>
      </c>
      <c r="AA197" s="23">
        <f>IF(S197="Liability|payable",-N(F197),0)+IF(T197="Liability|payable",-N(J197),0)+IF(U197="Liability|payable",N(N197),0)+IF(V197="Liability|payable",N(M197),0)</f>
        <v/>
      </c>
      <c r="AB197" s="23">
        <f>IF(S197="Liability|accrued",-N(F197),0)+IF(T197="Liability|accrued",-N(J197),0)+IF(U197="Liability|accrued",N(N197),0)+IF(V197="Liability|accrued",N(M197),0)</f>
        <v/>
      </c>
      <c r="AC197" s="23">
        <f>IF(AND(N(F197)&lt;&gt;0,S197=""),1,0)+IF(AND(N(J197)&lt;&gt;0,T197=""),1,0)+IF(AND(N(N197)&lt;&gt;0,U197=""),1,0)+IF(AND(N(M197)&lt;&gt;0,V197=""),1,0)</f>
        <v/>
      </c>
    </row>
    <row r="198">
      <c r="A198" s="19" t="n"/>
      <c r="B198" s="14" t="n"/>
      <c r="C198" s="14" t="n"/>
      <c r="D198" s="14" t="n"/>
      <c r="E198" s="14" t="n"/>
      <c r="F198" s="20" t="n"/>
      <c r="G198" s="14" t="n"/>
      <c r="H198" s="14" t="n"/>
      <c r="I198" s="14" t="n"/>
      <c r="J198" s="20" t="n"/>
      <c r="K198" s="14" t="n"/>
      <c r="L198" s="21">
        <f>N(F198)+N(J198)</f>
        <v/>
      </c>
      <c r="M198" s="21">
        <f>IF(K198="",0,L198-ROUND(L198/(1+IFERROR(VLOOKUP(K198,'Tax Codes'!$A$5:$E$300,5,FALSE),0)),2))</f>
        <v/>
      </c>
      <c r="N198" s="21">
        <f>L198-M198</f>
        <v/>
      </c>
      <c r="O198" s="16">
        <f>IF(H198="",INDEX('Chart of Accounts'!$A$5:$A$3000,MATCH("bank",'Chart of Accounts'!$F$5:$F$3000,0)),H198&amp;"")</f>
        <v/>
      </c>
      <c r="P198" s="16">
        <f>IF(I198="",INDEX('Chart of Accounts'!$A$5:$A$3000,MATCH("revenue",'Chart of Accounts'!$F$5:$F$3000,0)),I198&amp;"")</f>
        <v/>
      </c>
      <c r="Q198" s="16">
        <f>INDEX('Chart of Accounts'!$A$5:$A$3000,MATCH("wht_receivable",'Chart of Accounts'!$F$5:$F$3000,0))</f>
        <v/>
      </c>
      <c r="R198" s="16">
        <f>INDEX('Chart of Accounts'!$A$5:$A$3000,MATCH("vat_output",'Chart of Accounts'!$F$5:$F$3000,0))</f>
        <v/>
      </c>
      <c r="S198" s="23">
        <f>IFERROR(INDEX('Chart of Accounts'!$C$5:$C$3000,MATCH(O198&amp;"",'Chart of Accounts'!$A$5:$A$3000,0))&amp;"|"&amp;INDEX('Chart of Accounts'!$D$5:$D$3000,MATCH(O198&amp;"",'Chart of Accounts'!$A$5:$A$3000,0)),"")</f>
        <v/>
      </c>
      <c r="T198" s="23">
        <f>IFERROR(INDEX('Chart of Accounts'!$C$5:$C$3000,MATCH(Q198&amp;"",'Chart of Accounts'!$A$5:$A$3000,0))&amp;"|"&amp;INDEX('Chart of Accounts'!$D$5:$D$3000,MATCH(Q198&amp;"",'Chart of Accounts'!$A$5:$A$3000,0)),"")</f>
        <v/>
      </c>
      <c r="U198" s="23">
        <f>IFERROR(INDEX('Chart of Accounts'!$C$5:$C$3000,MATCH(P198&amp;"",'Chart of Accounts'!$A$5:$A$3000,0))&amp;"|"&amp;INDEX('Chart of Accounts'!$D$5:$D$3000,MATCH(P198&amp;"",'Chart of Accounts'!$A$5:$A$3000,0)),"")</f>
        <v/>
      </c>
      <c r="V198" s="23">
        <f>IFERROR(INDEX('Chart of Accounts'!$C$5:$C$3000,MATCH(R198&amp;"",'Chart of Accounts'!$A$5:$A$3000,0))&amp;"|"&amp;INDEX('Chart of Accounts'!$D$5:$D$3000,MATCH(R198&amp;"",'Chart of Accounts'!$A$5:$A$3000,0)),"")</f>
        <v/>
      </c>
      <c r="W198" s="23">
        <f>IF(LEFT(S198,8)="Revenue|",-N(F198),0)+IF(LEFT(T198,8)="Revenue|",-N(J198),0)+IF(LEFT(U198,8)="Revenue|",N(N198),0)+IF(LEFT(V198,8)="Revenue|",N(M198),0)</f>
        <v/>
      </c>
      <c r="X198" s="23">
        <f>IF(LEFT(S198,5)="COGS|",N(F198),0)+IF(LEFT(T198,5)="COGS|",N(J198),0)+IF(LEFT(U198,5)="COGS|",-N(N198),0)+IF(LEFT(V198,5)="COGS|",-N(M198),0)</f>
        <v/>
      </c>
      <c r="Y198" s="23">
        <f>IF(LEFT(S198,8)="Expense|",N(F198),0)+IF(LEFT(T198,8)="Expense|",N(J198),0)+IF(LEFT(U198,8)="Expense|",-N(N198),0)+IF(LEFT(V198,8)="Expense|",-N(M198),0)</f>
        <v/>
      </c>
      <c r="Z198" s="23">
        <f>IF(ISNUMBER(MATCH(S198,{"Expense|employee","Expense|general_admin","Expense|marketing","Expense|utilities","Expense|other_operating"},0)),N(F198),0)+IF(ISNUMBER(MATCH(T198,{"Expense|employee","Expense|general_admin","Expense|marketing","Expense|utilities","Expense|other_operating"},0)),N(J198),0)+IF(ISNUMBER(MATCH(U198,{"Expense|employee","Expense|general_admin","Expense|marketing","Expense|utilities","Expense|other_operating"},0)),-N(N198),0)+IF(ISNUMBER(MATCH(V198,{"Expense|employee","Expense|general_admin","Expense|marketing","Expense|utilities","Expense|other_operating"},0)),-N(M198),0)</f>
        <v/>
      </c>
      <c r="AA198" s="23">
        <f>IF(S198="Liability|payable",-N(F198),0)+IF(T198="Liability|payable",-N(J198),0)+IF(U198="Liability|payable",N(N198),0)+IF(V198="Liability|payable",N(M198),0)</f>
        <v/>
      </c>
      <c r="AB198" s="23">
        <f>IF(S198="Liability|accrued",-N(F198),0)+IF(T198="Liability|accrued",-N(J198),0)+IF(U198="Liability|accrued",N(N198),0)+IF(V198="Liability|accrued",N(M198),0)</f>
        <v/>
      </c>
      <c r="AC198" s="23">
        <f>IF(AND(N(F198)&lt;&gt;0,S198=""),1,0)+IF(AND(N(J198)&lt;&gt;0,T198=""),1,0)+IF(AND(N(N198)&lt;&gt;0,U198=""),1,0)+IF(AND(N(M198)&lt;&gt;0,V198=""),1,0)</f>
        <v/>
      </c>
    </row>
    <row r="199">
      <c r="A199" s="19" t="n"/>
      <c r="B199" s="14" t="n"/>
      <c r="C199" s="14" t="n"/>
      <c r="D199" s="14" t="n"/>
      <c r="E199" s="14" t="n"/>
      <c r="F199" s="20" t="n"/>
      <c r="G199" s="14" t="n"/>
      <c r="H199" s="14" t="n"/>
      <c r="I199" s="14" t="n"/>
      <c r="J199" s="20" t="n"/>
      <c r="K199" s="14" t="n"/>
      <c r="L199" s="21">
        <f>N(F199)+N(J199)</f>
        <v/>
      </c>
      <c r="M199" s="21">
        <f>IF(K199="",0,L199-ROUND(L199/(1+IFERROR(VLOOKUP(K199,'Tax Codes'!$A$5:$E$300,5,FALSE),0)),2))</f>
        <v/>
      </c>
      <c r="N199" s="21">
        <f>L199-M199</f>
        <v/>
      </c>
      <c r="O199" s="16">
        <f>IF(H199="",INDEX('Chart of Accounts'!$A$5:$A$3000,MATCH("bank",'Chart of Accounts'!$F$5:$F$3000,0)),H199&amp;"")</f>
        <v/>
      </c>
      <c r="P199" s="16">
        <f>IF(I199="",INDEX('Chart of Accounts'!$A$5:$A$3000,MATCH("revenue",'Chart of Accounts'!$F$5:$F$3000,0)),I199&amp;"")</f>
        <v/>
      </c>
      <c r="Q199" s="16">
        <f>INDEX('Chart of Accounts'!$A$5:$A$3000,MATCH("wht_receivable",'Chart of Accounts'!$F$5:$F$3000,0))</f>
        <v/>
      </c>
      <c r="R199" s="16">
        <f>INDEX('Chart of Accounts'!$A$5:$A$3000,MATCH("vat_output",'Chart of Accounts'!$F$5:$F$3000,0))</f>
        <v/>
      </c>
      <c r="S199" s="23">
        <f>IFERROR(INDEX('Chart of Accounts'!$C$5:$C$3000,MATCH(O199&amp;"",'Chart of Accounts'!$A$5:$A$3000,0))&amp;"|"&amp;INDEX('Chart of Accounts'!$D$5:$D$3000,MATCH(O199&amp;"",'Chart of Accounts'!$A$5:$A$3000,0)),"")</f>
        <v/>
      </c>
      <c r="T199" s="23">
        <f>IFERROR(INDEX('Chart of Accounts'!$C$5:$C$3000,MATCH(Q199&amp;"",'Chart of Accounts'!$A$5:$A$3000,0))&amp;"|"&amp;INDEX('Chart of Accounts'!$D$5:$D$3000,MATCH(Q199&amp;"",'Chart of Accounts'!$A$5:$A$3000,0)),"")</f>
        <v/>
      </c>
      <c r="U199" s="23">
        <f>IFERROR(INDEX('Chart of Accounts'!$C$5:$C$3000,MATCH(P199&amp;"",'Chart of Accounts'!$A$5:$A$3000,0))&amp;"|"&amp;INDEX('Chart of Accounts'!$D$5:$D$3000,MATCH(P199&amp;"",'Chart of Accounts'!$A$5:$A$3000,0)),"")</f>
        <v/>
      </c>
      <c r="V199" s="23">
        <f>IFERROR(INDEX('Chart of Accounts'!$C$5:$C$3000,MATCH(R199&amp;"",'Chart of Accounts'!$A$5:$A$3000,0))&amp;"|"&amp;INDEX('Chart of Accounts'!$D$5:$D$3000,MATCH(R199&amp;"",'Chart of Accounts'!$A$5:$A$3000,0)),"")</f>
        <v/>
      </c>
      <c r="W199" s="23">
        <f>IF(LEFT(S199,8)="Revenue|",-N(F199),0)+IF(LEFT(T199,8)="Revenue|",-N(J199),0)+IF(LEFT(U199,8)="Revenue|",N(N199),0)+IF(LEFT(V199,8)="Revenue|",N(M199),0)</f>
        <v/>
      </c>
      <c r="X199" s="23">
        <f>IF(LEFT(S199,5)="COGS|",N(F199),0)+IF(LEFT(T199,5)="COGS|",N(J199),0)+IF(LEFT(U199,5)="COGS|",-N(N199),0)+IF(LEFT(V199,5)="COGS|",-N(M199),0)</f>
        <v/>
      </c>
      <c r="Y199" s="23">
        <f>IF(LEFT(S199,8)="Expense|",N(F199),0)+IF(LEFT(T199,8)="Expense|",N(J199),0)+IF(LEFT(U199,8)="Expense|",-N(N199),0)+IF(LEFT(V199,8)="Expense|",-N(M199),0)</f>
        <v/>
      </c>
      <c r="Z199" s="23">
        <f>IF(ISNUMBER(MATCH(S199,{"Expense|employee","Expense|general_admin","Expense|marketing","Expense|utilities","Expense|other_operating"},0)),N(F199),0)+IF(ISNUMBER(MATCH(T199,{"Expense|employee","Expense|general_admin","Expense|marketing","Expense|utilities","Expense|other_operating"},0)),N(J199),0)+IF(ISNUMBER(MATCH(U199,{"Expense|employee","Expense|general_admin","Expense|marketing","Expense|utilities","Expense|other_operating"},0)),-N(N199),0)+IF(ISNUMBER(MATCH(V199,{"Expense|employee","Expense|general_admin","Expense|marketing","Expense|utilities","Expense|other_operating"},0)),-N(M199),0)</f>
        <v/>
      </c>
      <c r="AA199" s="23">
        <f>IF(S199="Liability|payable",-N(F199),0)+IF(T199="Liability|payable",-N(J199),0)+IF(U199="Liability|payable",N(N199),0)+IF(V199="Liability|payable",N(M199),0)</f>
        <v/>
      </c>
      <c r="AB199" s="23">
        <f>IF(S199="Liability|accrued",-N(F199),0)+IF(T199="Liability|accrued",-N(J199),0)+IF(U199="Liability|accrued",N(N199),0)+IF(V199="Liability|accrued",N(M199),0)</f>
        <v/>
      </c>
      <c r="AC199" s="23">
        <f>IF(AND(N(F199)&lt;&gt;0,S199=""),1,0)+IF(AND(N(J199)&lt;&gt;0,T199=""),1,0)+IF(AND(N(N199)&lt;&gt;0,U199=""),1,0)+IF(AND(N(M199)&lt;&gt;0,V199=""),1,0)</f>
        <v/>
      </c>
    </row>
    <row r="200">
      <c r="A200" s="19" t="n"/>
      <c r="B200" s="14" t="n"/>
      <c r="C200" s="14" t="n"/>
      <c r="D200" s="14" t="n"/>
      <c r="E200" s="14" t="n"/>
      <c r="F200" s="20" t="n"/>
      <c r="G200" s="14" t="n"/>
      <c r="H200" s="14" t="n"/>
      <c r="I200" s="14" t="n"/>
      <c r="J200" s="20" t="n"/>
      <c r="K200" s="14" t="n"/>
      <c r="L200" s="21">
        <f>N(F200)+N(J200)</f>
        <v/>
      </c>
      <c r="M200" s="21">
        <f>IF(K200="",0,L200-ROUND(L200/(1+IFERROR(VLOOKUP(K200,'Tax Codes'!$A$5:$E$300,5,FALSE),0)),2))</f>
        <v/>
      </c>
      <c r="N200" s="21">
        <f>L200-M200</f>
        <v/>
      </c>
      <c r="O200" s="16">
        <f>IF(H200="",INDEX('Chart of Accounts'!$A$5:$A$3000,MATCH("bank",'Chart of Accounts'!$F$5:$F$3000,0)),H200&amp;"")</f>
        <v/>
      </c>
      <c r="P200" s="16">
        <f>IF(I200="",INDEX('Chart of Accounts'!$A$5:$A$3000,MATCH("revenue",'Chart of Accounts'!$F$5:$F$3000,0)),I200&amp;"")</f>
        <v/>
      </c>
      <c r="Q200" s="16">
        <f>INDEX('Chart of Accounts'!$A$5:$A$3000,MATCH("wht_receivable",'Chart of Accounts'!$F$5:$F$3000,0))</f>
        <v/>
      </c>
      <c r="R200" s="16">
        <f>INDEX('Chart of Accounts'!$A$5:$A$3000,MATCH("vat_output",'Chart of Accounts'!$F$5:$F$3000,0))</f>
        <v/>
      </c>
      <c r="S200" s="23">
        <f>IFERROR(INDEX('Chart of Accounts'!$C$5:$C$3000,MATCH(O200&amp;"",'Chart of Accounts'!$A$5:$A$3000,0))&amp;"|"&amp;INDEX('Chart of Accounts'!$D$5:$D$3000,MATCH(O200&amp;"",'Chart of Accounts'!$A$5:$A$3000,0)),"")</f>
        <v/>
      </c>
      <c r="T200" s="23">
        <f>IFERROR(INDEX('Chart of Accounts'!$C$5:$C$3000,MATCH(Q200&amp;"",'Chart of Accounts'!$A$5:$A$3000,0))&amp;"|"&amp;INDEX('Chart of Accounts'!$D$5:$D$3000,MATCH(Q200&amp;"",'Chart of Accounts'!$A$5:$A$3000,0)),"")</f>
        <v/>
      </c>
      <c r="U200" s="23">
        <f>IFERROR(INDEX('Chart of Accounts'!$C$5:$C$3000,MATCH(P200&amp;"",'Chart of Accounts'!$A$5:$A$3000,0))&amp;"|"&amp;INDEX('Chart of Accounts'!$D$5:$D$3000,MATCH(P200&amp;"",'Chart of Accounts'!$A$5:$A$3000,0)),"")</f>
        <v/>
      </c>
      <c r="V200" s="23">
        <f>IFERROR(INDEX('Chart of Accounts'!$C$5:$C$3000,MATCH(R200&amp;"",'Chart of Accounts'!$A$5:$A$3000,0))&amp;"|"&amp;INDEX('Chart of Accounts'!$D$5:$D$3000,MATCH(R200&amp;"",'Chart of Accounts'!$A$5:$A$3000,0)),"")</f>
        <v/>
      </c>
      <c r="W200" s="23">
        <f>IF(LEFT(S200,8)="Revenue|",-N(F200),0)+IF(LEFT(T200,8)="Revenue|",-N(J200),0)+IF(LEFT(U200,8)="Revenue|",N(N200),0)+IF(LEFT(V200,8)="Revenue|",N(M200),0)</f>
        <v/>
      </c>
      <c r="X200" s="23">
        <f>IF(LEFT(S200,5)="COGS|",N(F200),0)+IF(LEFT(T200,5)="COGS|",N(J200),0)+IF(LEFT(U200,5)="COGS|",-N(N200),0)+IF(LEFT(V200,5)="COGS|",-N(M200),0)</f>
        <v/>
      </c>
      <c r="Y200" s="23">
        <f>IF(LEFT(S200,8)="Expense|",N(F200),0)+IF(LEFT(T200,8)="Expense|",N(J200),0)+IF(LEFT(U200,8)="Expense|",-N(N200),0)+IF(LEFT(V200,8)="Expense|",-N(M200),0)</f>
        <v/>
      </c>
      <c r="Z200" s="23">
        <f>IF(ISNUMBER(MATCH(S200,{"Expense|employee","Expense|general_admin","Expense|marketing","Expense|utilities","Expense|other_operating"},0)),N(F200),0)+IF(ISNUMBER(MATCH(T200,{"Expense|employee","Expense|general_admin","Expense|marketing","Expense|utilities","Expense|other_operating"},0)),N(J200),0)+IF(ISNUMBER(MATCH(U200,{"Expense|employee","Expense|general_admin","Expense|marketing","Expense|utilities","Expense|other_operating"},0)),-N(N200),0)+IF(ISNUMBER(MATCH(V200,{"Expense|employee","Expense|general_admin","Expense|marketing","Expense|utilities","Expense|other_operating"},0)),-N(M200),0)</f>
        <v/>
      </c>
      <c r="AA200" s="23">
        <f>IF(S200="Liability|payable",-N(F200),0)+IF(T200="Liability|payable",-N(J200),0)+IF(U200="Liability|payable",N(N200),0)+IF(V200="Liability|payable",N(M200),0)</f>
        <v/>
      </c>
      <c r="AB200" s="23">
        <f>IF(S200="Liability|accrued",-N(F200),0)+IF(T200="Liability|accrued",-N(J200),0)+IF(U200="Liability|accrued",N(N200),0)+IF(V200="Liability|accrued",N(M200),0)</f>
        <v/>
      </c>
      <c r="AC200" s="23">
        <f>IF(AND(N(F200)&lt;&gt;0,S200=""),1,0)+IF(AND(N(J200)&lt;&gt;0,T200=""),1,0)+IF(AND(N(N200)&lt;&gt;0,U200=""),1,0)+IF(AND(N(M200)&lt;&gt;0,V200=""),1,0)</f>
        <v/>
      </c>
    </row>
    <row r="201">
      <c r="A201" s="19" t="n"/>
      <c r="B201" s="14" t="n"/>
      <c r="C201" s="14" t="n"/>
      <c r="D201" s="14" t="n"/>
      <c r="E201" s="14" t="n"/>
      <c r="F201" s="20" t="n"/>
      <c r="G201" s="14" t="n"/>
      <c r="H201" s="14" t="n"/>
      <c r="I201" s="14" t="n"/>
      <c r="J201" s="20" t="n"/>
      <c r="K201" s="14" t="n"/>
      <c r="L201" s="21">
        <f>N(F201)+N(J201)</f>
        <v/>
      </c>
      <c r="M201" s="21">
        <f>IF(K201="",0,L201-ROUND(L201/(1+IFERROR(VLOOKUP(K201,'Tax Codes'!$A$5:$E$300,5,FALSE),0)),2))</f>
        <v/>
      </c>
      <c r="N201" s="21">
        <f>L201-M201</f>
        <v/>
      </c>
      <c r="O201" s="16">
        <f>IF(H201="",INDEX('Chart of Accounts'!$A$5:$A$3000,MATCH("bank",'Chart of Accounts'!$F$5:$F$3000,0)),H201&amp;"")</f>
        <v/>
      </c>
      <c r="P201" s="16">
        <f>IF(I201="",INDEX('Chart of Accounts'!$A$5:$A$3000,MATCH("revenue",'Chart of Accounts'!$F$5:$F$3000,0)),I201&amp;"")</f>
        <v/>
      </c>
      <c r="Q201" s="16">
        <f>INDEX('Chart of Accounts'!$A$5:$A$3000,MATCH("wht_receivable",'Chart of Accounts'!$F$5:$F$3000,0))</f>
        <v/>
      </c>
      <c r="R201" s="16">
        <f>INDEX('Chart of Accounts'!$A$5:$A$3000,MATCH("vat_output",'Chart of Accounts'!$F$5:$F$3000,0))</f>
        <v/>
      </c>
      <c r="S201" s="23">
        <f>IFERROR(INDEX('Chart of Accounts'!$C$5:$C$3000,MATCH(O201&amp;"",'Chart of Accounts'!$A$5:$A$3000,0))&amp;"|"&amp;INDEX('Chart of Accounts'!$D$5:$D$3000,MATCH(O201&amp;"",'Chart of Accounts'!$A$5:$A$3000,0)),"")</f>
        <v/>
      </c>
      <c r="T201" s="23">
        <f>IFERROR(INDEX('Chart of Accounts'!$C$5:$C$3000,MATCH(Q201&amp;"",'Chart of Accounts'!$A$5:$A$3000,0))&amp;"|"&amp;INDEX('Chart of Accounts'!$D$5:$D$3000,MATCH(Q201&amp;"",'Chart of Accounts'!$A$5:$A$3000,0)),"")</f>
        <v/>
      </c>
      <c r="U201" s="23">
        <f>IFERROR(INDEX('Chart of Accounts'!$C$5:$C$3000,MATCH(P201&amp;"",'Chart of Accounts'!$A$5:$A$3000,0))&amp;"|"&amp;INDEX('Chart of Accounts'!$D$5:$D$3000,MATCH(P201&amp;"",'Chart of Accounts'!$A$5:$A$3000,0)),"")</f>
        <v/>
      </c>
      <c r="V201" s="23">
        <f>IFERROR(INDEX('Chart of Accounts'!$C$5:$C$3000,MATCH(R201&amp;"",'Chart of Accounts'!$A$5:$A$3000,0))&amp;"|"&amp;INDEX('Chart of Accounts'!$D$5:$D$3000,MATCH(R201&amp;"",'Chart of Accounts'!$A$5:$A$3000,0)),"")</f>
        <v/>
      </c>
      <c r="W201" s="23">
        <f>IF(LEFT(S201,8)="Revenue|",-N(F201),0)+IF(LEFT(T201,8)="Revenue|",-N(J201),0)+IF(LEFT(U201,8)="Revenue|",N(N201),0)+IF(LEFT(V201,8)="Revenue|",N(M201),0)</f>
        <v/>
      </c>
      <c r="X201" s="23">
        <f>IF(LEFT(S201,5)="COGS|",N(F201),0)+IF(LEFT(T201,5)="COGS|",N(J201),0)+IF(LEFT(U201,5)="COGS|",-N(N201),0)+IF(LEFT(V201,5)="COGS|",-N(M201),0)</f>
        <v/>
      </c>
      <c r="Y201" s="23">
        <f>IF(LEFT(S201,8)="Expense|",N(F201),0)+IF(LEFT(T201,8)="Expense|",N(J201),0)+IF(LEFT(U201,8)="Expense|",-N(N201),0)+IF(LEFT(V201,8)="Expense|",-N(M201),0)</f>
        <v/>
      </c>
      <c r="Z201" s="23">
        <f>IF(ISNUMBER(MATCH(S201,{"Expense|employee","Expense|general_admin","Expense|marketing","Expense|utilities","Expense|other_operating"},0)),N(F201),0)+IF(ISNUMBER(MATCH(T201,{"Expense|employee","Expense|general_admin","Expense|marketing","Expense|utilities","Expense|other_operating"},0)),N(J201),0)+IF(ISNUMBER(MATCH(U201,{"Expense|employee","Expense|general_admin","Expense|marketing","Expense|utilities","Expense|other_operating"},0)),-N(N201),0)+IF(ISNUMBER(MATCH(V201,{"Expense|employee","Expense|general_admin","Expense|marketing","Expense|utilities","Expense|other_operating"},0)),-N(M201),0)</f>
        <v/>
      </c>
      <c r="AA201" s="23">
        <f>IF(S201="Liability|payable",-N(F201),0)+IF(T201="Liability|payable",-N(J201),0)+IF(U201="Liability|payable",N(N201),0)+IF(V201="Liability|payable",N(M201),0)</f>
        <v/>
      </c>
      <c r="AB201" s="23">
        <f>IF(S201="Liability|accrued",-N(F201),0)+IF(T201="Liability|accrued",-N(J201),0)+IF(U201="Liability|accrued",N(N201),0)+IF(V201="Liability|accrued",N(M201),0)</f>
        <v/>
      </c>
      <c r="AC201" s="23">
        <f>IF(AND(N(F201)&lt;&gt;0,S201=""),1,0)+IF(AND(N(J201)&lt;&gt;0,T201=""),1,0)+IF(AND(N(N201)&lt;&gt;0,U201=""),1,0)+IF(AND(N(M201)&lt;&gt;0,V201=""),1,0)</f>
        <v/>
      </c>
    </row>
    <row r="202">
      <c r="A202" s="19" t="n"/>
      <c r="B202" s="14" t="n"/>
      <c r="C202" s="14" t="n"/>
      <c r="D202" s="14" t="n"/>
      <c r="E202" s="14" t="n"/>
      <c r="F202" s="20" t="n"/>
      <c r="G202" s="14" t="n"/>
      <c r="H202" s="14" t="n"/>
      <c r="I202" s="14" t="n"/>
      <c r="J202" s="20" t="n"/>
      <c r="K202" s="14" t="n"/>
      <c r="L202" s="21">
        <f>N(F202)+N(J202)</f>
        <v/>
      </c>
      <c r="M202" s="21">
        <f>IF(K202="",0,L202-ROUND(L202/(1+IFERROR(VLOOKUP(K202,'Tax Codes'!$A$5:$E$300,5,FALSE),0)),2))</f>
        <v/>
      </c>
      <c r="N202" s="21">
        <f>L202-M202</f>
        <v/>
      </c>
      <c r="O202" s="16">
        <f>IF(H202="",INDEX('Chart of Accounts'!$A$5:$A$3000,MATCH("bank",'Chart of Accounts'!$F$5:$F$3000,0)),H202&amp;"")</f>
        <v/>
      </c>
      <c r="P202" s="16">
        <f>IF(I202="",INDEX('Chart of Accounts'!$A$5:$A$3000,MATCH("revenue",'Chart of Accounts'!$F$5:$F$3000,0)),I202&amp;"")</f>
        <v/>
      </c>
      <c r="Q202" s="16">
        <f>INDEX('Chart of Accounts'!$A$5:$A$3000,MATCH("wht_receivable",'Chart of Accounts'!$F$5:$F$3000,0))</f>
        <v/>
      </c>
      <c r="R202" s="16">
        <f>INDEX('Chart of Accounts'!$A$5:$A$3000,MATCH("vat_output",'Chart of Accounts'!$F$5:$F$3000,0))</f>
        <v/>
      </c>
      <c r="S202" s="23">
        <f>IFERROR(INDEX('Chart of Accounts'!$C$5:$C$3000,MATCH(O202&amp;"",'Chart of Accounts'!$A$5:$A$3000,0))&amp;"|"&amp;INDEX('Chart of Accounts'!$D$5:$D$3000,MATCH(O202&amp;"",'Chart of Accounts'!$A$5:$A$3000,0)),"")</f>
        <v/>
      </c>
      <c r="T202" s="23">
        <f>IFERROR(INDEX('Chart of Accounts'!$C$5:$C$3000,MATCH(Q202&amp;"",'Chart of Accounts'!$A$5:$A$3000,0))&amp;"|"&amp;INDEX('Chart of Accounts'!$D$5:$D$3000,MATCH(Q202&amp;"",'Chart of Accounts'!$A$5:$A$3000,0)),"")</f>
        <v/>
      </c>
      <c r="U202" s="23">
        <f>IFERROR(INDEX('Chart of Accounts'!$C$5:$C$3000,MATCH(P202&amp;"",'Chart of Accounts'!$A$5:$A$3000,0))&amp;"|"&amp;INDEX('Chart of Accounts'!$D$5:$D$3000,MATCH(P202&amp;"",'Chart of Accounts'!$A$5:$A$3000,0)),"")</f>
        <v/>
      </c>
      <c r="V202" s="23">
        <f>IFERROR(INDEX('Chart of Accounts'!$C$5:$C$3000,MATCH(R202&amp;"",'Chart of Accounts'!$A$5:$A$3000,0))&amp;"|"&amp;INDEX('Chart of Accounts'!$D$5:$D$3000,MATCH(R202&amp;"",'Chart of Accounts'!$A$5:$A$3000,0)),"")</f>
        <v/>
      </c>
      <c r="W202" s="23">
        <f>IF(LEFT(S202,8)="Revenue|",-N(F202),0)+IF(LEFT(T202,8)="Revenue|",-N(J202),0)+IF(LEFT(U202,8)="Revenue|",N(N202),0)+IF(LEFT(V202,8)="Revenue|",N(M202),0)</f>
        <v/>
      </c>
      <c r="X202" s="23">
        <f>IF(LEFT(S202,5)="COGS|",N(F202),0)+IF(LEFT(T202,5)="COGS|",N(J202),0)+IF(LEFT(U202,5)="COGS|",-N(N202),0)+IF(LEFT(V202,5)="COGS|",-N(M202),0)</f>
        <v/>
      </c>
      <c r="Y202" s="23">
        <f>IF(LEFT(S202,8)="Expense|",N(F202),0)+IF(LEFT(T202,8)="Expense|",N(J202),0)+IF(LEFT(U202,8)="Expense|",-N(N202),0)+IF(LEFT(V202,8)="Expense|",-N(M202),0)</f>
        <v/>
      </c>
      <c r="Z202" s="23">
        <f>IF(ISNUMBER(MATCH(S202,{"Expense|employee","Expense|general_admin","Expense|marketing","Expense|utilities","Expense|other_operating"},0)),N(F202),0)+IF(ISNUMBER(MATCH(T202,{"Expense|employee","Expense|general_admin","Expense|marketing","Expense|utilities","Expense|other_operating"},0)),N(J202),0)+IF(ISNUMBER(MATCH(U202,{"Expense|employee","Expense|general_admin","Expense|marketing","Expense|utilities","Expense|other_operating"},0)),-N(N202),0)+IF(ISNUMBER(MATCH(V202,{"Expense|employee","Expense|general_admin","Expense|marketing","Expense|utilities","Expense|other_operating"},0)),-N(M202),0)</f>
        <v/>
      </c>
      <c r="AA202" s="23">
        <f>IF(S202="Liability|payable",-N(F202),0)+IF(T202="Liability|payable",-N(J202),0)+IF(U202="Liability|payable",N(N202),0)+IF(V202="Liability|payable",N(M202),0)</f>
        <v/>
      </c>
      <c r="AB202" s="23">
        <f>IF(S202="Liability|accrued",-N(F202),0)+IF(T202="Liability|accrued",-N(J202),0)+IF(U202="Liability|accrued",N(N202),0)+IF(V202="Liability|accrued",N(M202),0)</f>
        <v/>
      </c>
      <c r="AC202" s="23">
        <f>IF(AND(N(F202)&lt;&gt;0,S202=""),1,0)+IF(AND(N(J202)&lt;&gt;0,T202=""),1,0)+IF(AND(N(N202)&lt;&gt;0,U202=""),1,0)+IF(AND(N(M202)&lt;&gt;0,V202=""),1,0)</f>
        <v/>
      </c>
    </row>
    <row r="203">
      <c r="A203" s="19" t="n"/>
      <c r="B203" s="14" t="n"/>
      <c r="C203" s="14" t="n"/>
      <c r="D203" s="14" t="n"/>
      <c r="E203" s="14" t="n"/>
      <c r="F203" s="20" t="n"/>
      <c r="G203" s="14" t="n"/>
      <c r="H203" s="14" t="n"/>
      <c r="I203" s="14" t="n"/>
      <c r="J203" s="20" t="n"/>
      <c r="K203" s="14" t="n"/>
      <c r="L203" s="21">
        <f>N(F203)+N(J203)</f>
        <v/>
      </c>
      <c r="M203" s="21">
        <f>IF(K203="",0,L203-ROUND(L203/(1+IFERROR(VLOOKUP(K203,'Tax Codes'!$A$5:$E$300,5,FALSE),0)),2))</f>
        <v/>
      </c>
      <c r="N203" s="21">
        <f>L203-M203</f>
        <v/>
      </c>
      <c r="O203" s="16">
        <f>IF(H203="",INDEX('Chart of Accounts'!$A$5:$A$3000,MATCH("bank",'Chart of Accounts'!$F$5:$F$3000,0)),H203&amp;"")</f>
        <v/>
      </c>
      <c r="P203" s="16">
        <f>IF(I203="",INDEX('Chart of Accounts'!$A$5:$A$3000,MATCH("revenue",'Chart of Accounts'!$F$5:$F$3000,0)),I203&amp;"")</f>
        <v/>
      </c>
      <c r="Q203" s="16">
        <f>INDEX('Chart of Accounts'!$A$5:$A$3000,MATCH("wht_receivable",'Chart of Accounts'!$F$5:$F$3000,0))</f>
        <v/>
      </c>
      <c r="R203" s="16">
        <f>INDEX('Chart of Accounts'!$A$5:$A$3000,MATCH("vat_output",'Chart of Accounts'!$F$5:$F$3000,0))</f>
        <v/>
      </c>
      <c r="S203" s="23">
        <f>IFERROR(INDEX('Chart of Accounts'!$C$5:$C$3000,MATCH(O203&amp;"",'Chart of Accounts'!$A$5:$A$3000,0))&amp;"|"&amp;INDEX('Chart of Accounts'!$D$5:$D$3000,MATCH(O203&amp;"",'Chart of Accounts'!$A$5:$A$3000,0)),"")</f>
        <v/>
      </c>
      <c r="T203" s="23">
        <f>IFERROR(INDEX('Chart of Accounts'!$C$5:$C$3000,MATCH(Q203&amp;"",'Chart of Accounts'!$A$5:$A$3000,0))&amp;"|"&amp;INDEX('Chart of Accounts'!$D$5:$D$3000,MATCH(Q203&amp;"",'Chart of Accounts'!$A$5:$A$3000,0)),"")</f>
        <v/>
      </c>
      <c r="U203" s="23">
        <f>IFERROR(INDEX('Chart of Accounts'!$C$5:$C$3000,MATCH(P203&amp;"",'Chart of Accounts'!$A$5:$A$3000,0))&amp;"|"&amp;INDEX('Chart of Accounts'!$D$5:$D$3000,MATCH(P203&amp;"",'Chart of Accounts'!$A$5:$A$3000,0)),"")</f>
        <v/>
      </c>
      <c r="V203" s="23">
        <f>IFERROR(INDEX('Chart of Accounts'!$C$5:$C$3000,MATCH(R203&amp;"",'Chart of Accounts'!$A$5:$A$3000,0))&amp;"|"&amp;INDEX('Chart of Accounts'!$D$5:$D$3000,MATCH(R203&amp;"",'Chart of Accounts'!$A$5:$A$3000,0)),"")</f>
        <v/>
      </c>
      <c r="W203" s="23">
        <f>IF(LEFT(S203,8)="Revenue|",-N(F203),0)+IF(LEFT(T203,8)="Revenue|",-N(J203),0)+IF(LEFT(U203,8)="Revenue|",N(N203),0)+IF(LEFT(V203,8)="Revenue|",N(M203),0)</f>
        <v/>
      </c>
      <c r="X203" s="23">
        <f>IF(LEFT(S203,5)="COGS|",N(F203),0)+IF(LEFT(T203,5)="COGS|",N(J203),0)+IF(LEFT(U203,5)="COGS|",-N(N203),0)+IF(LEFT(V203,5)="COGS|",-N(M203),0)</f>
        <v/>
      </c>
      <c r="Y203" s="23">
        <f>IF(LEFT(S203,8)="Expense|",N(F203),0)+IF(LEFT(T203,8)="Expense|",N(J203),0)+IF(LEFT(U203,8)="Expense|",-N(N203),0)+IF(LEFT(V203,8)="Expense|",-N(M203),0)</f>
        <v/>
      </c>
      <c r="Z203" s="23">
        <f>IF(ISNUMBER(MATCH(S203,{"Expense|employee","Expense|general_admin","Expense|marketing","Expense|utilities","Expense|other_operating"},0)),N(F203),0)+IF(ISNUMBER(MATCH(T203,{"Expense|employee","Expense|general_admin","Expense|marketing","Expense|utilities","Expense|other_operating"},0)),N(J203),0)+IF(ISNUMBER(MATCH(U203,{"Expense|employee","Expense|general_admin","Expense|marketing","Expense|utilities","Expense|other_operating"},0)),-N(N203),0)+IF(ISNUMBER(MATCH(V203,{"Expense|employee","Expense|general_admin","Expense|marketing","Expense|utilities","Expense|other_operating"},0)),-N(M203),0)</f>
        <v/>
      </c>
      <c r="AA203" s="23">
        <f>IF(S203="Liability|payable",-N(F203),0)+IF(T203="Liability|payable",-N(J203),0)+IF(U203="Liability|payable",N(N203),0)+IF(V203="Liability|payable",N(M203),0)</f>
        <v/>
      </c>
      <c r="AB203" s="23">
        <f>IF(S203="Liability|accrued",-N(F203),0)+IF(T203="Liability|accrued",-N(J203),0)+IF(U203="Liability|accrued",N(N203),0)+IF(V203="Liability|accrued",N(M203),0)</f>
        <v/>
      </c>
      <c r="AC203" s="23">
        <f>IF(AND(N(F203)&lt;&gt;0,S203=""),1,0)+IF(AND(N(J203)&lt;&gt;0,T203=""),1,0)+IF(AND(N(N203)&lt;&gt;0,U203=""),1,0)+IF(AND(N(M203)&lt;&gt;0,V203=""),1,0)</f>
        <v/>
      </c>
    </row>
    <row r="204">
      <c r="A204" s="19" t="n"/>
      <c r="B204" s="14" t="n"/>
      <c r="C204" s="14" t="n"/>
      <c r="D204" s="14" t="n"/>
      <c r="E204" s="14" t="n"/>
      <c r="F204" s="20" t="n"/>
      <c r="G204" s="14" t="n"/>
      <c r="H204" s="14" t="n"/>
      <c r="I204" s="14" t="n"/>
      <c r="J204" s="20" t="n"/>
      <c r="K204" s="14" t="n"/>
      <c r="L204" s="21">
        <f>N(F204)+N(J204)</f>
        <v/>
      </c>
      <c r="M204" s="21">
        <f>IF(K204="",0,L204-ROUND(L204/(1+IFERROR(VLOOKUP(K204,'Tax Codes'!$A$5:$E$300,5,FALSE),0)),2))</f>
        <v/>
      </c>
      <c r="N204" s="21">
        <f>L204-M204</f>
        <v/>
      </c>
      <c r="O204" s="16">
        <f>IF(H204="",INDEX('Chart of Accounts'!$A$5:$A$3000,MATCH("bank",'Chart of Accounts'!$F$5:$F$3000,0)),H204&amp;"")</f>
        <v/>
      </c>
      <c r="P204" s="16">
        <f>IF(I204="",INDEX('Chart of Accounts'!$A$5:$A$3000,MATCH("revenue",'Chart of Accounts'!$F$5:$F$3000,0)),I204&amp;"")</f>
        <v/>
      </c>
      <c r="Q204" s="16">
        <f>INDEX('Chart of Accounts'!$A$5:$A$3000,MATCH("wht_receivable",'Chart of Accounts'!$F$5:$F$3000,0))</f>
        <v/>
      </c>
      <c r="R204" s="16">
        <f>INDEX('Chart of Accounts'!$A$5:$A$3000,MATCH("vat_output",'Chart of Accounts'!$F$5:$F$3000,0))</f>
        <v/>
      </c>
      <c r="S204" s="23">
        <f>IFERROR(INDEX('Chart of Accounts'!$C$5:$C$3000,MATCH(O204&amp;"",'Chart of Accounts'!$A$5:$A$3000,0))&amp;"|"&amp;INDEX('Chart of Accounts'!$D$5:$D$3000,MATCH(O204&amp;"",'Chart of Accounts'!$A$5:$A$3000,0)),"")</f>
        <v/>
      </c>
      <c r="T204" s="23">
        <f>IFERROR(INDEX('Chart of Accounts'!$C$5:$C$3000,MATCH(Q204&amp;"",'Chart of Accounts'!$A$5:$A$3000,0))&amp;"|"&amp;INDEX('Chart of Accounts'!$D$5:$D$3000,MATCH(Q204&amp;"",'Chart of Accounts'!$A$5:$A$3000,0)),"")</f>
        <v/>
      </c>
      <c r="U204" s="23">
        <f>IFERROR(INDEX('Chart of Accounts'!$C$5:$C$3000,MATCH(P204&amp;"",'Chart of Accounts'!$A$5:$A$3000,0))&amp;"|"&amp;INDEX('Chart of Accounts'!$D$5:$D$3000,MATCH(P204&amp;"",'Chart of Accounts'!$A$5:$A$3000,0)),"")</f>
        <v/>
      </c>
      <c r="V204" s="23">
        <f>IFERROR(INDEX('Chart of Accounts'!$C$5:$C$3000,MATCH(R204&amp;"",'Chart of Accounts'!$A$5:$A$3000,0))&amp;"|"&amp;INDEX('Chart of Accounts'!$D$5:$D$3000,MATCH(R204&amp;"",'Chart of Accounts'!$A$5:$A$3000,0)),"")</f>
        <v/>
      </c>
      <c r="W204" s="23">
        <f>IF(LEFT(S204,8)="Revenue|",-N(F204),0)+IF(LEFT(T204,8)="Revenue|",-N(J204),0)+IF(LEFT(U204,8)="Revenue|",N(N204),0)+IF(LEFT(V204,8)="Revenue|",N(M204),0)</f>
        <v/>
      </c>
      <c r="X204" s="23">
        <f>IF(LEFT(S204,5)="COGS|",N(F204),0)+IF(LEFT(T204,5)="COGS|",N(J204),0)+IF(LEFT(U204,5)="COGS|",-N(N204),0)+IF(LEFT(V204,5)="COGS|",-N(M204),0)</f>
        <v/>
      </c>
      <c r="Y204" s="23">
        <f>IF(LEFT(S204,8)="Expense|",N(F204),0)+IF(LEFT(T204,8)="Expense|",N(J204),0)+IF(LEFT(U204,8)="Expense|",-N(N204),0)+IF(LEFT(V204,8)="Expense|",-N(M204),0)</f>
        <v/>
      </c>
      <c r="Z204" s="23">
        <f>IF(ISNUMBER(MATCH(S204,{"Expense|employee","Expense|general_admin","Expense|marketing","Expense|utilities","Expense|other_operating"},0)),N(F204),0)+IF(ISNUMBER(MATCH(T204,{"Expense|employee","Expense|general_admin","Expense|marketing","Expense|utilities","Expense|other_operating"},0)),N(J204),0)+IF(ISNUMBER(MATCH(U204,{"Expense|employee","Expense|general_admin","Expense|marketing","Expense|utilities","Expense|other_operating"},0)),-N(N204),0)+IF(ISNUMBER(MATCH(V204,{"Expense|employee","Expense|general_admin","Expense|marketing","Expense|utilities","Expense|other_operating"},0)),-N(M204),0)</f>
        <v/>
      </c>
      <c r="AA204" s="23">
        <f>IF(S204="Liability|payable",-N(F204),0)+IF(T204="Liability|payable",-N(J204),0)+IF(U204="Liability|payable",N(N204),0)+IF(V204="Liability|payable",N(M204),0)</f>
        <v/>
      </c>
      <c r="AB204" s="23">
        <f>IF(S204="Liability|accrued",-N(F204),0)+IF(T204="Liability|accrued",-N(J204),0)+IF(U204="Liability|accrued",N(N204),0)+IF(V204="Liability|accrued",N(M204),0)</f>
        <v/>
      </c>
      <c r="AC204" s="23">
        <f>IF(AND(N(F204)&lt;&gt;0,S204=""),1,0)+IF(AND(N(J204)&lt;&gt;0,T204=""),1,0)+IF(AND(N(N204)&lt;&gt;0,U204=""),1,0)+IF(AND(N(M204)&lt;&gt;0,V204=""),1,0)</f>
        <v/>
      </c>
    </row>
  </sheetData>
  <autoFilter ref="A4:R204"/>
  <dataValidations count="6">
    <dataValidation sqref="A5:A205" showDropDown="0" showInputMessage="0" showErrorMessage="1" allowBlank="1" error="Enter a date (YYYY-MM-DD)" type="date" operator="greaterThan">
      <formula1>DATE(2000,1,1)</formula1>
    </dataValidation>
    <dataValidation sqref="B5:B205" showDropDown="0" showInputMessage="0" showErrorMessage="1" allowBlank="1" type="list">
      <formula1>'Business Units'!$A$5:$A$3000</formula1>
    </dataValidation>
    <dataValidation sqref="G5:G205" showDropDown="0" showInputMessage="0" showErrorMessage="1" allowBlank="1" type="list">
      <formula1>Lists!$R$1:$R$5</formula1>
    </dataValidation>
    <dataValidation sqref="H5:H205" showDropDown="0" showInputMessage="0" showErrorMessage="0" allowBlank="1" type="list">
      <formula1>'Chart of Accounts'!$A$5:$A$3000</formula1>
    </dataValidation>
    <dataValidation sqref="I5:I205" showDropDown="0" showInputMessage="0" showErrorMessage="0" allowBlank="1" type="list">
      <formula1>'Chart of Accounts'!$A$5:$A$3000</formula1>
    </dataValidation>
    <dataValidation sqref="K5:K205" showDropDown="0" showInputMessage="0" showErrorMessage="1" allowBlank="1" type="list">
      <formula1>'Tax Codes'!$A$5:$A$300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0"/>
    <pageSetUpPr/>
  </sheetPr>
  <dimension ref="A1:AD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8" customWidth="1" min="5" max="5"/>
    <col width="14" customWidth="1" min="6" max="6"/>
    <col width="14" customWidth="1" min="7" max="7"/>
    <col width="22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hidden="1" outlineLevel="1" width="10" customWidth="1" min="16" max="16"/>
    <col hidden="1" outlineLevel="1" width="10" customWidth="1" min="17" max="17"/>
    <col hidden="1" outlineLevel="1" width="9" customWidth="1" min="18" max="18"/>
    <col hidden="1" outlineLevel="1" width="9" customWidth="1" min="19" max="19"/>
    <col hidden="1" outlineLevel="1" width="10" customWidth="1" min="20" max="20"/>
    <col hidden="1" outlineLevel="1" width="10" customWidth="1" min="21" max="21"/>
    <col hidden="1" outlineLevel="1" width="10" customWidth="1" min="22" max="22"/>
    <col hidden="1" outlineLevel="1" width="10" customWidth="1" min="23" max="23"/>
    <col hidden="1" outlineLevel="1" width="10" customWidth="1" min="24" max="24"/>
    <col hidden="1" outlineLevel="1" width="10" customWidth="1" min="25" max="25"/>
    <col hidden="1" outlineLevel="1" width="10" customWidth="1" min="26" max="26"/>
    <col hidden="1" outlineLevel="1" width="10" customWidth="1" min="27" max="27"/>
    <col hidden="1" outlineLevel="1" width="10" customWidth="1" min="28" max="28"/>
    <col hidden="1" outlineLevel="1" width="10" customWidth="1" min="29" max="29"/>
    <col hidden="1" outlineLevel="1" width="10" customWidth="1" min="30" max="30"/>
  </cols>
  <sheetData>
    <row r="1" ht="24" customHeight="1">
      <c r="A1" s="8" t="inlineStr">
        <is>
          <t>BEYOND DESIGN | SALES INVOICES</t>
        </is>
      </c>
    </row>
    <row r="2">
      <c r="A2" s="9" t="inlineStr">
        <is>
          <t>Sales invoices / progress billings. Amount is the sum of the invoice's lines</t>
        </is>
      </c>
    </row>
    <row r="3">
      <c r="A3" s="10" t="inlineStr">
        <is>
          <t>e.g. INV-2026-001</t>
        </is>
      </c>
      <c r="B3" s="10" t="inlineStr">
        <is>
          <t>2026-10-30</t>
        </is>
      </c>
      <c r="C3" s="10" t="inlineStr">
        <is>
          <t>PRJ-2026-004</t>
        </is>
      </c>
      <c r="E3" s="10" t="inlineStr">
        <is>
          <t>Posted</t>
        </is>
      </c>
      <c r="H3" s="10" t="inlineStr">
        <is>
          <t>Palm Hills Developments</t>
        </is>
      </c>
      <c r="I3" s="10" t="inlineStr">
        <is>
          <t>VAT14</t>
        </is>
      </c>
      <c r="J3" s="10" t="inlineStr">
        <is>
          <t>WHT1-C</t>
        </is>
      </c>
    </row>
    <row r="4" ht="30" customHeight="1">
      <c r="A4" s="11" t="inlineStr">
        <is>
          <t>Invoice No.</t>
        </is>
      </c>
      <c r="B4" s="11" t="inlineStr">
        <is>
          <t>Date</t>
        </is>
      </c>
      <c r="C4" s="11" t="inlineStr">
        <is>
          <t>Business Unit</t>
        </is>
      </c>
      <c r="D4" s="11" t="inlineStr">
        <is>
          <t>Based on BOQ</t>
        </is>
      </c>
      <c r="E4" s="11" t="inlineStr">
        <is>
          <t>Status</t>
        </is>
      </c>
      <c r="F4" s="11" t="inlineStr">
        <is>
          <t>Receivable Account</t>
        </is>
      </c>
      <c r="G4" s="11" t="inlineStr">
        <is>
          <t>Revenue Account</t>
        </is>
      </c>
      <c r="H4" s="11" t="inlineStr">
        <is>
          <t>Customer</t>
        </is>
      </c>
      <c r="I4" s="11" t="inlineStr">
        <is>
          <t>VAT Code</t>
        </is>
      </c>
      <c r="J4" s="11" t="inlineStr">
        <is>
          <t>WHT Code</t>
        </is>
      </c>
      <c r="K4" s="15" t="inlineStr">
        <is>
          <t>Net Amount</t>
        </is>
      </c>
      <c r="L4" s="15" t="inlineStr">
        <is>
          <t>Posted Amount</t>
        </is>
      </c>
      <c r="M4" s="15" t="inlineStr">
        <is>
          <t>Output VAT</t>
        </is>
      </c>
      <c r="N4" s="15" t="inlineStr">
        <is>
          <t>WHT by Client</t>
        </is>
      </c>
      <c r="O4" s="15" t="inlineStr">
        <is>
          <t>Receivable</t>
        </is>
      </c>
      <c r="P4" s="15" t="inlineStr">
        <is>
          <t>ar_account (effective)</t>
        </is>
      </c>
      <c r="Q4" s="15" t="inlineStr">
        <is>
          <t>revenue_account (effective)</t>
        </is>
      </c>
      <c r="R4" s="15" t="inlineStr">
        <is>
          <t>wht_receivable account</t>
        </is>
      </c>
      <c r="S4" s="15" t="inlineStr">
        <is>
          <t>vat_output account</t>
        </is>
      </c>
      <c r="T4" s="22" t="inlineStr">
        <is>
          <t>leg 1 type</t>
        </is>
      </c>
      <c r="U4" s="22" t="inlineStr">
        <is>
          <t>leg 2 type</t>
        </is>
      </c>
      <c r="V4" s="22" t="inlineStr">
        <is>
          <t>leg 3 type</t>
        </is>
      </c>
      <c r="W4" s="22" t="inlineStr">
        <is>
          <t>leg 4 type</t>
        </is>
      </c>
      <c r="X4" s="22" t="inlineStr">
        <is>
          <t>revenue</t>
        </is>
      </c>
      <c r="Y4" s="22" t="inlineStr">
        <is>
          <t>cost of sales</t>
        </is>
      </c>
      <c r="Z4" s="22" t="inlineStr">
        <is>
          <t>expenses</t>
        </is>
      </c>
      <c r="AA4" s="22" t="inlineStr">
        <is>
          <t>operating expenses</t>
        </is>
      </c>
      <c r="AB4" s="22" t="inlineStr">
        <is>
          <t>payables</t>
        </is>
      </c>
      <c r="AC4" s="22" t="inlineStr">
        <is>
          <t>accruals</t>
        </is>
      </c>
      <c r="AD4" s="22" t="inlineStr">
        <is>
          <t>unknown account</t>
        </is>
      </c>
    </row>
    <row r="5">
      <c r="A5" s="14" t="n"/>
      <c r="B5" s="19" t="n"/>
      <c r="C5" s="14" t="n"/>
      <c r="D5" s="14" t="n"/>
      <c r="E5" s="14" t="n"/>
      <c r="F5" s="14" t="n"/>
      <c r="G5" s="14" t="n"/>
      <c r="H5" s="14" t="n"/>
      <c r="I5" s="14" t="n"/>
      <c r="J5" s="14" t="n"/>
      <c r="K5" s="21">
        <f>SUMIFS('Invoice Lines'!$I:$I,'Invoice Lines'!$A:$A,A5)</f>
        <v/>
      </c>
      <c r="L5" s="21">
        <f>IF(E5="Draft",0,K5)</f>
        <v/>
      </c>
      <c r="M5" s="21">
        <f>ROUND(L5*IFERROR(VLOOKUP(I5,'Tax Codes'!$A$5:$E$300,5,FALSE),0),2)</f>
        <v/>
      </c>
      <c r="N5" s="21">
        <f>ROUND(L5*IFERROR(VLOOKUP(J5,'Tax Codes'!$A$5:$E$300,5,FALSE),0),2)</f>
        <v/>
      </c>
      <c r="O5" s="21">
        <f>L5+M5-N5</f>
        <v/>
      </c>
      <c r="P5" s="16">
        <f>IF(F5="",INDEX('Chart of Accounts'!$A$5:$A$3000,MATCH("ar",'Chart of Accounts'!$F$5:$F$3000,0)),F5&amp;"")</f>
        <v/>
      </c>
      <c r="Q5" s="16">
        <f>IF(G5="",INDEX('Chart of Accounts'!$A$5:$A$3000,MATCH("revenue",'Chart of Accounts'!$F$5:$F$3000,0)),G5&amp;"")</f>
        <v/>
      </c>
      <c r="R5" s="16">
        <f>INDEX('Chart of Accounts'!$A$5:$A$3000,MATCH("wht_receivable",'Chart of Accounts'!$F$5:$F$3000,0))</f>
        <v/>
      </c>
      <c r="S5" s="16">
        <f>INDEX('Chart of Accounts'!$A$5:$A$3000,MATCH("vat_output",'Chart of Accounts'!$F$5:$F$3000,0))</f>
        <v/>
      </c>
      <c r="T5" s="23">
        <f>IFERROR(INDEX('Chart of Accounts'!$C$5:$C$3000,MATCH(P5&amp;"",'Chart of Accounts'!$A$5:$A$3000,0))&amp;"|"&amp;INDEX('Chart of Accounts'!$D$5:$D$3000,MATCH(P5&amp;"",'Chart of Accounts'!$A$5:$A$3000,0)),"")</f>
        <v/>
      </c>
      <c r="U5" s="23">
        <f>IFERROR(INDEX('Chart of Accounts'!$C$5:$C$3000,MATCH(R5&amp;"",'Chart of Accounts'!$A$5:$A$3000,0))&amp;"|"&amp;INDEX('Chart of Accounts'!$D$5:$D$3000,MATCH(R5&amp;"",'Chart of Accounts'!$A$5:$A$3000,0)),"")</f>
        <v/>
      </c>
      <c r="V5" s="23">
        <f>IFERROR(INDEX('Chart of Accounts'!$C$5:$C$3000,MATCH(Q5&amp;"",'Chart of Accounts'!$A$5:$A$3000,0))&amp;"|"&amp;INDEX('Chart of Accounts'!$D$5:$D$3000,MATCH(Q5&amp;"",'Chart of Accounts'!$A$5:$A$3000,0)),"")</f>
        <v/>
      </c>
      <c r="W5" s="23">
        <f>IFERROR(INDEX('Chart of Accounts'!$C$5:$C$3000,MATCH(S5&amp;"",'Chart of Accounts'!$A$5:$A$3000,0))&amp;"|"&amp;INDEX('Chart of Accounts'!$D$5:$D$3000,MATCH(S5&amp;"",'Chart of Accounts'!$A$5:$A$3000,0)),"")</f>
        <v/>
      </c>
      <c r="X5" s="23">
        <f>IF(LEFT(T5,8)="Revenue|",-N(O5),0)+IF(LEFT(U5,8)="Revenue|",-N(N5),0)+IF(LEFT(V5,8)="Revenue|",N(L5),0)+IF(LEFT(W5,8)="Revenue|",N(M5),0)</f>
        <v/>
      </c>
      <c r="Y5" s="23">
        <f>IF(LEFT(T5,5)="COGS|",N(O5),0)+IF(LEFT(U5,5)="COGS|",N(N5),0)+IF(LEFT(V5,5)="COGS|",-N(L5),0)+IF(LEFT(W5,5)="COGS|",-N(M5),0)</f>
        <v/>
      </c>
      <c r="Z5" s="23">
        <f>IF(LEFT(T5,8)="Expense|",N(O5),0)+IF(LEFT(U5,8)="Expense|",N(N5),0)+IF(LEFT(V5,8)="Expense|",-N(L5),0)+IF(LEFT(W5,8)="Expense|",-N(M5),0)</f>
        <v/>
      </c>
      <c r="AA5" s="23">
        <f>IF(ISNUMBER(MATCH(T5,{"Expense|employee","Expense|general_admin","Expense|marketing","Expense|utilities","Expense|other_operating"},0)),N(O5),0)+IF(ISNUMBER(MATCH(U5,{"Expense|employee","Expense|general_admin","Expense|marketing","Expense|utilities","Expense|other_operating"},0)),N(N5),0)+IF(ISNUMBER(MATCH(V5,{"Expense|employee","Expense|general_admin","Expense|marketing","Expense|utilities","Expense|other_operating"},0)),-N(L5),0)+IF(ISNUMBER(MATCH(W5,{"Expense|employee","Expense|general_admin","Expense|marketing","Expense|utilities","Expense|other_operating"},0)),-N(M5),0)</f>
        <v/>
      </c>
      <c r="AB5" s="23">
        <f>IF(T5="Liability|payable",-N(O5),0)+IF(U5="Liability|payable",-N(N5),0)+IF(V5="Liability|payable",N(L5),0)+IF(W5="Liability|payable",N(M5),0)</f>
        <v/>
      </c>
      <c r="AC5" s="23">
        <f>IF(T5="Liability|accrued",-N(O5),0)+IF(U5="Liability|accrued",-N(N5),0)+IF(V5="Liability|accrued",N(L5),0)+IF(W5="Liability|accrued",N(M5),0)</f>
        <v/>
      </c>
      <c r="AD5" s="23">
        <f>IF(AND(N(O5)&lt;&gt;0,T5=""),1,0)+IF(AND(N(N5)&lt;&gt;0,U5=""),1,0)+IF(AND(N(L5)&lt;&gt;0,V5=""),1,0)+IF(AND(N(M5)&lt;&gt;0,W5=""),1,0)</f>
        <v/>
      </c>
    </row>
    <row r="6">
      <c r="A6" s="14" t="n"/>
      <c r="B6" s="19" t="n"/>
      <c r="C6" s="14" t="n"/>
      <c r="D6" s="14" t="n"/>
      <c r="E6" s="14" t="n"/>
      <c r="F6" s="14" t="n"/>
      <c r="G6" s="14" t="n"/>
      <c r="H6" s="14" t="n"/>
      <c r="I6" s="14" t="n"/>
      <c r="J6" s="14" t="n"/>
      <c r="K6" s="21">
        <f>SUMIFS('Invoice Lines'!$I:$I,'Invoice Lines'!$A:$A,A6)</f>
        <v/>
      </c>
      <c r="L6" s="21">
        <f>IF(E6="Draft",0,K6)</f>
        <v/>
      </c>
      <c r="M6" s="21">
        <f>ROUND(L6*IFERROR(VLOOKUP(I6,'Tax Codes'!$A$5:$E$300,5,FALSE),0),2)</f>
        <v/>
      </c>
      <c r="N6" s="21">
        <f>ROUND(L6*IFERROR(VLOOKUP(J6,'Tax Codes'!$A$5:$E$300,5,FALSE),0),2)</f>
        <v/>
      </c>
      <c r="O6" s="21">
        <f>L6+M6-N6</f>
        <v/>
      </c>
      <c r="P6" s="16">
        <f>IF(F6="",INDEX('Chart of Accounts'!$A$5:$A$3000,MATCH("ar",'Chart of Accounts'!$F$5:$F$3000,0)),F6&amp;"")</f>
        <v/>
      </c>
      <c r="Q6" s="16">
        <f>IF(G6="",INDEX('Chart of Accounts'!$A$5:$A$3000,MATCH("revenue",'Chart of Accounts'!$F$5:$F$3000,0)),G6&amp;"")</f>
        <v/>
      </c>
      <c r="R6" s="16">
        <f>INDEX('Chart of Accounts'!$A$5:$A$3000,MATCH("wht_receivable",'Chart of Accounts'!$F$5:$F$3000,0))</f>
        <v/>
      </c>
      <c r="S6" s="16">
        <f>INDEX('Chart of Accounts'!$A$5:$A$3000,MATCH("vat_output",'Chart of Accounts'!$F$5:$F$3000,0))</f>
        <v/>
      </c>
      <c r="T6" s="23">
        <f>IFERROR(INDEX('Chart of Accounts'!$C$5:$C$3000,MATCH(P6&amp;"",'Chart of Accounts'!$A$5:$A$3000,0))&amp;"|"&amp;INDEX('Chart of Accounts'!$D$5:$D$3000,MATCH(P6&amp;"",'Chart of Accounts'!$A$5:$A$3000,0)),"")</f>
        <v/>
      </c>
      <c r="U6" s="23">
        <f>IFERROR(INDEX('Chart of Accounts'!$C$5:$C$3000,MATCH(R6&amp;"",'Chart of Accounts'!$A$5:$A$3000,0))&amp;"|"&amp;INDEX('Chart of Accounts'!$D$5:$D$3000,MATCH(R6&amp;"",'Chart of Accounts'!$A$5:$A$3000,0)),"")</f>
        <v/>
      </c>
      <c r="V6" s="23">
        <f>IFERROR(INDEX('Chart of Accounts'!$C$5:$C$3000,MATCH(Q6&amp;"",'Chart of Accounts'!$A$5:$A$3000,0))&amp;"|"&amp;INDEX('Chart of Accounts'!$D$5:$D$3000,MATCH(Q6&amp;"",'Chart of Accounts'!$A$5:$A$3000,0)),"")</f>
        <v/>
      </c>
      <c r="W6" s="23">
        <f>IFERROR(INDEX('Chart of Accounts'!$C$5:$C$3000,MATCH(S6&amp;"",'Chart of Accounts'!$A$5:$A$3000,0))&amp;"|"&amp;INDEX('Chart of Accounts'!$D$5:$D$3000,MATCH(S6&amp;"",'Chart of Accounts'!$A$5:$A$3000,0)),"")</f>
        <v/>
      </c>
      <c r="X6" s="23">
        <f>IF(LEFT(T6,8)="Revenue|",-N(O6),0)+IF(LEFT(U6,8)="Revenue|",-N(N6),0)+IF(LEFT(V6,8)="Revenue|",N(L6),0)+IF(LEFT(W6,8)="Revenue|",N(M6),0)</f>
        <v/>
      </c>
      <c r="Y6" s="23">
        <f>IF(LEFT(T6,5)="COGS|",N(O6),0)+IF(LEFT(U6,5)="COGS|",N(N6),0)+IF(LEFT(V6,5)="COGS|",-N(L6),0)+IF(LEFT(W6,5)="COGS|",-N(M6),0)</f>
        <v/>
      </c>
      <c r="Z6" s="23">
        <f>IF(LEFT(T6,8)="Expense|",N(O6),0)+IF(LEFT(U6,8)="Expense|",N(N6),0)+IF(LEFT(V6,8)="Expense|",-N(L6),0)+IF(LEFT(W6,8)="Expense|",-N(M6),0)</f>
        <v/>
      </c>
      <c r="AA6" s="23">
        <f>IF(ISNUMBER(MATCH(T6,{"Expense|employee","Expense|general_admin","Expense|marketing","Expense|utilities","Expense|other_operating"},0)),N(O6),0)+IF(ISNUMBER(MATCH(U6,{"Expense|employee","Expense|general_admin","Expense|marketing","Expense|utilities","Expense|other_operating"},0)),N(N6),0)+IF(ISNUMBER(MATCH(V6,{"Expense|employee","Expense|general_admin","Expense|marketing","Expense|utilities","Expense|other_operating"},0)),-N(L6),0)+IF(ISNUMBER(MATCH(W6,{"Expense|employee","Expense|general_admin","Expense|marketing","Expense|utilities","Expense|other_operating"},0)),-N(M6),0)</f>
        <v/>
      </c>
      <c r="AB6" s="23">
        <f>IF(T6="Liability|payable",-N(O6),0)+IF(U6="Liability|payable",-N(N6),0)+IF(V6="Liability|payable",N(L6),0)+IF(W6="Liability|payable",N(M6),0)</f>
        <v/>
      </c>
      <c r="AC6" s="23">
        <f>IF(T6="Liability|accrued",-N(O6),0)+IF(U6="Liability|accrued",-N(N6),0)+IF(V6="Liability|accrued",N(L6),0)+IF(W6="Liability|accrued",N(M6),0)</f>
        <v/>
      </c>
      <c r="AD6" s="23">
        <f>IF(AND(N(O6)&lt;&gt;0,T6=""),1,0)+IF(AND(N(N6)&lt;&gt;0,U6=""),1,0)+IF(AND(N(L6)&lt;&gt;0,V6=""),1,0)+IF(AND(N(M6)&lt;&gt;0,W6=""),1,0)</f>
        <v/>
      </c>
    </row>
    <row r="7">
      <c r="A7" s="14" t="n"/>
      <c r="B7" s="19" t="n"/>
      <c r="C7" s="14" t="n"/>
      <c r="D7" s="14" t="n"/>
      <c r="E7" s="14" t="n"/>
      <c r="F7" s="14" t="n"/>
      <c r="G7" s="14" t="n"/>
      <c r="H7" s="14" t="n"/>
      <c r="I7" s="14" t="n"/>
      <c r="J7" s="14" t="n"/>
      <c r="K7" s="21">
        <f>SUMIFS('Invoice Lines'!$I:$I,'Invoice Lines'!$A:$A,A7)</f>
        <v/>
      </c>
      <c r="L7" s="21">
        <f>IF(E7="Draft",0,K7)</f>
        <v/>
      </c>
      <c r="M7" s="21">
        <f>ROUND(L7*IFERROR(VLOOKUP(I7,'Tax Codes'!$A$5:$E$300,5,FALSE),0),2)</f>
        <v/>
      </c>
      <c r="N7" s="21">
        <f>ROUND(L7*IFERROR(VLOOKUP(J7,'Tax Codes'!$A$5:$E$300,5,FALSE),0),2)</f>
        <v/>
      </c>
      <c r="O7" s="21">
        <f>L7+M7-N7</f>
        <v/>
      </c>
      <c r="P7" s="16">
        <f>IF(F7="",INDEX('Chart of Accounts'!$A$5:$A$3000,MATCH("ar",'Chart of Accounts'!$F$5:$F$3000,0)),F7&amp;"")</f>
        <v/>
      </c>
      <c r="Q7" s="16">
        <f>IF(G7="",INDEX('Chart of Accounts'!$A$5:$A$3000,MATCH("revenue",'Chart of Accounts'!$F$5:$F$3000,0)),G7&amp;"")</f>
        <v/>
      </c>
      <c r="R7" s="16">
        <f>INDEX('Chart of Accounts'!$A$5:$A$3000,MATCH("wht_receivable",'Chart of Accounts'!$F$5:$F$3000,0))</f>
        <v/>
      </c>
      <c r="S7" s="16">
        <f>INDEX('Chart of Accounts'!$A$5:$A$3000,MATCH("vat_output",'Chart of Accounts'!$F$5:$F$3000,0))</f>
        <v/>
      </c>
      <c r="T7" s="23">
        <f>IFERROR(INDEX('Chart of Accounts'!$C$5:$C$3000,MATCH(P7&amp;"",'Chart of Accounts'!$A$5:$A$3000,0))&amp;"|"&amp;INDEX('Chart of Accounts'!$D$5:$D$3000,MATCH(P7&amp;"",'Chart of Accounts'!$A$5:$A$3000,0)),"")</f>
        <v/>
      </c>
      <c r="U7" s="23">
        <f>IFERROR(INDEX('Chart of Accounts'!$C$5:$C$3000,MATCH(R7&amp;"",'Chart of Accounts'!$A$5:$A$3000,0))&amp;"|"&amp;INDEX('Chart of Accounts'!$D$5:$D$3000,MATCH(R7&amp;"",'Chart of Accounts'!$A$5:$A$3000,0)),"")</f>
        <v/>
      </c>
      <c r="V7" s="23">
        <f>IFERROR(INDEX('Chart of Accounts'!$C$5:$C$3000,MATCH(Q7&amp;"",'Chart of Accounts'!$A$5:$A$3000,0))&amp;"|"&amp;INDEX('Chart of Accounts'!$D$5:$D$3000,MATCH(Q7&amp;"",'Chart of Accounts'!$A$5:$A$3000,0)),"")</f>
        <v/>
      </c>
      <c r="W7" s="23">
        <f>IFERROR(INDEX('Chart of Accounts'!$C$5:$C$3000,MATCH(S7&amp;"",'Chart of Accounts'!$A$5:$A$3000,0))&amp;"|"&amp;INDEX('Chart of Accounts'!$D$5:$D$3000,MATCH(S7&amp;"",'Chart of Accounts'!$A$5:$A$3000,0)),"")</f>
        <v/>
      </c>
      <c r="X7" s="23">
        <f>IF(LEFT(T7,8)="Revenue|",-N(O7),0)+IF(LEFT(U7,8)="Revenue|",-N(N7),0)+IF(LEFT(V7,8)="Revenue|",N(L7),0)+IF(LEFT(W7,8)="Revenue|",N(M7),0)</f>
        <v/>
      </c>
      <c r="Y7" s="23">
        <f>IF(LEFT(T7,5)="COGS|",N(O7),0)+IF(LEFT(U7,5)="COGS|",N(N7),0)+IF(LEFT(V7,5)="COGS|",-N(L7),0)+IF(LEFT(W7,5)="COGS|",-N(M7),0)</f>
        <v/>
      </c>
      <c r="Z7" s="23">
        <f>IF(LEFT(T7,8)="Expense|",N(O7),0)+IF(LEFT(U7,8)="Expense|",N(N7),0)+IF(LEFT(V7,8)="Expense|",-N(L7),0)+IF(LEFT(W7,8)="Expense|",-N(M7),0)</f>
        <v/>
      </c>
      <c r="AA7" s="23">
        <f>IF(ISNUMBER(MATCH(T7,{"Expense|employee","Expense|general_admin","Expense|marketing","Expense|utilities","Expense|other_operating"},0)),N(O7),0)+IF(ISNUMBER(MATCH(U7,{"Expense|employee","Expense|general_admin","Expense|marketing","Expense|utilities","Expense|other_operating"},0)),N(N7),0)+IF(ISNUMBER(MATCH(V7,{"Expense|employee","Expense|general_admin","Expense|marketing","Expense|utilities","Expense|other_operating"},0)),-N(L7),0)+IF(ISNUMBER(MATCH(W7,{"Expense|employee","Expense|general_admin","Expense|marketing","Expense|utilities","Expense|other_operating"},0)),-N(M7),0)</f>
        <v/>
      </c>
      <c r="AB7" s="23">
        <f>IF(T7="Liability|payable",-N(O7),0)+IF(U7="Liability|payable",-N(N7),0)+IF(V7="Liability|payable",N(L7),0)+IF(W7="Liability|payable",N(M7),0)</f>
        <v/>
      </c>
      <c r="AC7" s="23">
        <f>IF(T7="Liability|accrued",-N(O7),0)+IF(U7="Liability|accrued",-N(N7),0)+IF(V7="Liability|accrued",N(L7),0)+IF(W7="Liability|accrued",N(M7),0)</f>
        <v/>
      </c>
      <c r="AD7" s="23">
        <f>IF(AND(N(O7)&lt;&gt;0,T7=""),1,0)+IF(AND(N(N7)&lt;&gt;0,U7=""),1,0)+IF(AND(N(L7)&lt;&gt;0,V7=""),1,0)+IF(AND(N(M7)&lt;&gt;0,W7=""),1,0)</f>
        <v/>
      </c>
    </row>
    <row r="8">
      <c r="A8" s="14" t="n"/>
      <c r="B8" s="19" t="n"/>
      <c r="C8" s="14" t="n"/>
      <c r="D8" s="14" t="n"/>
      <c r="E8" s="14" t="n"/>
      <c r="F8" s="14" t="n"/>
      <c r="G8" s="14" t="n"/>
      <c r="H8" s="14" t="n"/>
      <c r="I8" s="14" t="n"/>
      <c r="J8" s="14" t="n"/>
      <c r="K8" s="21">
        <f>SUMIFS('Invoice Lines'!$I:$I,'Invoice Lines'!$A:$A,A8)</f>
        <v/>
      </c>
      <c r="L8" s="21">
        <f>IF(E8="Draft",0,K8)</f>
        <v/>
      </c>
      <c r="M8" s="21">
        <f>ROUND(L8*IFERROR(VLOOKUP(I8,'Tax Codes'!$A$5:$E$300,5,FALSE),0),2)</f>
        <v/>
      </c>
      <c r="N8" s="21">
        <f>ROUND(L8*IFERROR(VLOOKUP(J8,'Tax Codes'!$A$5:$E$300,5,FALSE),0),2)</f>
        <v/>
      </c>
      <c r="O8" s="21">
        <f>L8+M8-N8</f>
        <v/>
      </c>
      <c r="P8" s="16">
        <f>IF(F8="",INDEX('Chart of Accounts'!$A$5:$A$3000,MATCH("ar",'Chart of Accounts'!$F$5:$F$3000,0)),F8&amp;"")</f>
        <v/>
      </c>
      <c r="Q8" s="16">
        <f>IF(G8="",INDEX('Chart of Accounts'!$A$5:$A$3000,MATCH("revenue",'Chart of Accounts'!$F$5:$F$3000,0)),G8&amp;"")</f>
        <v/>
      </c>
      <c r="R8" s="16">
        <f>INDEX('Chart of Accounts'!$A$5:$A$3000,MATCH("wht_receivable",'Chart of Accounts'!$F$5:$F$3000,0))</f>
        <v/>
      </c>
      <c r="S8" s="16">
        <f>INDEX('Chart of Accounts'!$A$5:$A$3000,MATCH("vat_output",'Chart of Accounts'!$F$5:$F$3000,0))</f>
        <v/>
      </c>
      <c r="T8" s="23">
        <f>IFERROR(INDEX('Chart of Accounts'!$C$5:$C$3000,MATCH(P8&amp;"",'Chart of Accounts'!$A$5:$A$3000,0))&amp;"|"&amp;INDEX('Chart of Accounts'!$D$5:$D$3000,MATCH(P8&amp;"",'Chart of Accounts'!$A$5:$A$3000,0)),"")</f>
        <v/>
      </c>
      <c r="U8" s="23">
        <f>IFERROR(INDEX('Chart of Accounts'!$C$5:$C$3000,MATCH(R8&amp;"",'Chart of Accounts'!$A$5:$A$3000,0))&amp;"|"&amp;INDEX('Chart of Accounts'!$D$5:$D$3000,MATCH(R8&amp;"",'Chart of Accounts'!$A$5:$A$3000,0)),"")</f>
        <v/>
      </c>
      <c r="V8" s="23">
        <f>IFERROR(INDEX('Chart of Accounts'!$C$5:$C$3000,MATCH(Q8&amp;"",'Chart of Accounts'!$A$5:$A$3000,0))&amp;"|"&amp;INDEX('Chart of Accounts'!$D$5:$D$3000,MATCH(Q8&amp;"",'Chart of Accounts'!$A$5:$A$3000,0)),"")</f>
        <v/>
      </c>
      <c r="W8" s="23">
        <f>IFERROR(INDEX('Chart of Accounts'!$C$5:$C$3000,MATCH(S8&amp;"",'Chart of Accounts'!$A$5:$A$3000,0))&amp;"|"&amp;INDEX('Chart of Accounts'!$D$5:$D$3000,MATCH(S8&amp;"",'Chart of Accounts'!$A$5:$A$3000,0)),"")</f>
        <v/>
      </c>
      <c r="X8" s="23">
        <f>IF(LEFT(T8,8)="Revenue|",-N(O8),0)+IF(LEFT(U8,8)="Revenue|",-N(N8),0)+IF(LEFT(V8,8)="Revenue|",N(L8),0)+IF(LEFT(W8,8)="Revenue|",N(M8),0)</f>
        <v/>
      </c>
      <c r="Y8" s="23">
        <f>IF(LEFT(T8,5)="COGS|",N(O8),0)+IF(LEFT(U8,5)="COGS|",N(N8),0)+IF(LEFT(V8,5)="COGS|",-N(L8),0)+IF(LEFT(W8,5)="COGS|",-N(M8),0)</f>
        <v/>
      </c>
      <c r="Z8" s="23">
        <f>IF(LEFT(T8,8)="Expense|",N(O8),0)+IF(LEFT(U8,8)="Expense|",N(N8),0)+IF(LEFT(V8,8)="Expense|",-N(L8),0)+IF(LEFT(W8,8)="Expense|",-N(M8),0)</f>
        <v/>
      </c>
      <c r="AA8" s="23">
        <f>IF(ISNUMBER(MATCH(T8,{"Expense|employee","Expense|general_admin","Expense|marketing","Expense|utilities","Expense|other_operating"},0)),N(O8),0)+IF(ISNUMBER(MATCH(U8,{"Expense|employee","Expense|general_admin","Expense|marketing","Expense|utilities","Expense|other_operating"},0)),N(N8),0)+IF(ISNUMBER(MATCH(V8,{"Expense|employee","Expense|general_admin","Expense|marketing","Expense|utilities","Expense|other_operating"},0)),-N(L8),0)+IF(ISNUMBER(MATCH(W8,{"Expense|employee","Expense|general_admin","Expense|marketing","Expense|utilities","Expense|other_operating"},0)),-N(M8),0)</f>
        <v/>
      </c>
      <c r="AB8" s="23">
        <f>IF(T8="Liability|payable",-N(O8),0)+IF(U8="Liability|payable",-N(N8),0)+IF(V8="Liability|payable",N(L8),0)+IF(W8="Liability|payable",N(M8),0)</f>
        <v/>
      </c>
      <c r="AC8" s="23">
        <f>IF(T8="Liability|accrued",-N(O8),0)+IF(U8="Liability|accrued",-N(N8),0)+IF(V8="Liability|accrued",N(L8),0)+IF(W8="Liability|accrued",N(M8),0)</f>
        <v/>
      </c>
      <c r="AD8" s="23">
        <f>IF(AND(N(O8)&lt;&gt;0,T8=""),1,0)+IF(AND(N(N8)&lt;&gt;0,U8=""),1,0)+IF(AND(N(L8)&lt;&gt;0,V8=""),1,0)+IF(AND(N(M8)&lt;&gt;0,W8=""),1,0)</f>
        <v/>
      </c>
    </row>
    <row r="9">
      <c r="A9" s="14" t="n"/>
      <c r="B9" s="19" t="n"/>
      <c r="C9" s="14" t="n"/>
      <c r="D9" s="14" t="n"/>
      <c r="E9" s="14" t="n"/>
      <c r="F9" s="14" t="n"/>
      <c r="G9" s="14" t="n"/>
      <c r="H9" s="14" t="n"/>
      <c r="I9" s="14" t="n"/>
      <c r="J9" s="14" t="n"/>
      <c r="K9" s="21">
        <f>SUMIFS('Invoice Lines'!$I:$I,'Invoice Lines'!$A:$A,A9)</f>
        <v/>
      </c>
      <c r="L9" s="21">
        <f>IF(E9="Draft",0,K9)</f>
        <v/>
      </c>
      <c r="M9" s="21">
        <f>ROUND(L9*IFERROR(VLOOKUP(I9,'Tax Codes'!$A$5:$E$300,5,FALSE),0),2)</f>
        <v/>
      </c>
      <c r="N9" s="21">
        <f>ROUND(L9*IFERROR(VLOOKUP(J9,'Tax Codes'!$A$5:$E$300,5,FALSE),0),2)</f>
        <v/>
      </c>
      <c r="O9" s="21">
        <f>L9+M9-N9</f>
        <v/>
      </c>
      <c r="P9" s="16">
        <f>IF(F9="",INDEX('Chart of Accounts'!$A$5:$A$3000,MATCH("ar",'Chart of Accounts'!$F$5:$F$3000,0)),F9&amp;"")</f>
        <v/>
      </c>
      <c r="Q9" s="16">
        <f>IF(G9="",INDEX('Chart of Accounts'!$A$5:$A$3000,MATCH("revenue",'Chart of Accounts'!$F$5:$F$3000,0)),G9&amp;"")</f>
        <v/>
      </c>
      <c r="R9" s="16">
        <f>INDEX('Chart of Accounts'!$A$5:$A$3000,MATCH("wht_receivable",'Chart of Accounts'!$F$5:$F$3000,0))</f>
        <v/>
      </c>
      <c r="S9" s="16">
        <f>INDEX('Chart of Accounts'!$A$5:$A$3000,MATCH("vat_output",'Chart of Accounts'!$F$5:$F$3000,0))</f>
        <v/>
      </c>
      <c r="T9" s="23">
        <f>IFERROR(INDEX('Chart of Accounts'!$C$5:$C$3000,MATCH(P9&amp;"",'Chart of Accounts'!$A$5:$A$3000,0))&amp;"|"&amp;INDEX('Chart of Accounts'!$D$5:$D$3000,MATCH(P9&amp;"",'Chart of Accounts'!$A$5:$A$3000,0)),"")</f>
        <v/>
      </c>
      <c r="U9" s="23">
        <f>IFERROR(INDEX('Chart of Accounts'!$C$5:$C$3000,MATCH(R9&amp;"",'Chart of Accounts'!$A$5:$A$3000,0))&amp;"|"&amp;INDEX('Chart of Accounts'!$D$5:$D$3000,MATCH(R9&amp;"",'Chart of Accounts'!$A$5:$A$3000,0)),"")</f>
        <v/>
      </c>
      <c r="V9" s="23">
        <f>IFERROR(INDEX('Chart of Accounts'!$C$5:$C$3000,MATCH(Q9&amp;"",'Chart of Accounts'!$A$5:$A$3000,0))&amp;"|"&amp;INDEX('Chart of Accounts'!$D$5:$D$3000,MATCH(Q9&amp;"",'Chart of Accounts'!$A$5:$A$3000,0)),"")</f>
        <v/>
      </c>
      <c r="W9" s="23">
        <f>IFERROR(INDEX('Chart of Accounts'!$C$5:$C$3000,MATCH(S9&amp;"",'Chart of Accounts'!$A$5:$A$3000,0))&amp;"|"&amp;INDEX('Chart of Accounts'!$D$5:$D$3000,MATCH(S9&amp;"",'Chart of Accounts'!$A$5:$A$3000,0)),"")</f>
        <v/>
      </c>
      <c r="X9" s="23">
        <f>IF(LEFT(T9,8)="Revenue|",-N(O9),0)+IF(LEFT(U9,8)="Revenue|",-N(N9),0)+IF(LEFT(V9,8)="Revenue|",N(L9),0)+IF(LEFT(W9,8)="Revenue|",N(M9),0)</f>
        <v/>
      </c>
      <c r="Y9" s="23">
        <f>IF(LEFT(T9,5)="COGS|",N(O9),0)+IF(LEFT(U9,5)="COGS|",N(N9),0)+IF(LEFT(V9,5)="COGS|",-N(L9),0)+IF(LEFT(W9,5)="COGS|",-N(M9),0)</f>
        <v/>
      </c>
      <c r="Z9" s="23">
        <f>IF(LEFT(T9,8)="Expense|",N(O9),0)+IF(LEFT(U9,8)="Expense|",N(N9),0)+IF(LEFT(V9,8)="Expense|",-N(L9),0)+IF(LEFT(W9,8)="Expense|",-N(M9),0)</f>
        <v/>
      </c>
      <c r="AA9" s="23">
        <f>IF(ISNUMBER(MATCH(T9,{"Expense|employee","Expense|general_admin","Expense|marketing","Expense|utilities","Expense|other_operating"},0)),N(O9),0)+IF(ISNUMBER(MATCH(U9,{"Expense|employee","Expense|general_admin","Expense|marketing","Expense|utilities","Expense|other_operating"},0)),N(N9),0)+IF(ISNUMBER(MATCH(V9,{"Expense|employee","Expense|general_admin","Expense|marketing","Expense|utilities","Expense|other_operating"},0)),-N(L9),0)+IF(ISNUMBER(MATCH(W9,{"Expense|employee","Expense|general_admin","Expense|marketing","Expense|utilities","Expense|other_operating"},0)),-N(M9),0)</f>
        <v/>
      </c>
      <c r="AB9" s="23">
        <f>IF(T9="Liability|payable",-N(O9),0)+IF(U9="Liability|payable",-N(N9),0)+IF(V9="Liability|payable",N(L9),0)+IF(W9="Liability|payable",N(M9),0)</f>
        <v/>
      </c>
      <c r="AC9" s="23">
        <f>IF(T9="Liability|accrued",-N(O9),0)+IF(U9="Liability|accrued",-N(N9),0)+IF(V9="Liability|accrued",N(L9),0)+IF(W9="Liability|accrued",N(M9),0)</f>
        <v/>
      </c>
      <c r="AD9" s="23">
        <f>IF(AND(N(O9)&lt;&gt;0,T9=""),1,0)+IF(AND(N(N9)&lt;&gt;0,U9=""),1,0)+IF(AND(N(L9)&lt;&gt;0,V9=""),1,0)+IF(AND(N(M9)&lt;&gt;0,W9=""),1,0)</f>
        <v/>
      </c>
    </row>
    <row r="10">
      <c r="A10" s="14" t="n"/>
      <c r="B10" s="19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21">
        <f>SUMIFS('Invoice Lines'!$I:$I,'Invoice Lines'!$A:$A,A10)</f>
        <v/>
      </c>
      <c r="L10" s="21">
        <f>IF(E10="Draft",0,K10)</f>
        <v/>
      </c>
      <c r="M10" s="21">
        <f>ROUND(L10*IFERROR(VLOOKUP(I10,'Tax Codes'!$A$5:$E$300,5,FALSE),0),2)</f>
        <v/>
      </c>
      <c r="N10" s="21">
        <f>ROUND(L10*IFERROR(VLOOKUP(J10,'Tax Codes'!$A$5:$E$300,5,FALSE),0),2)</f>
        <v/>
      </c>
      <c r="O10" s="21">
        <f>L10+M10-N10</f>
        <v/>
      </c>
      <c r="P10" s="16">
        <f>IF(F10="",INDEX('Chart of Accounts'!$A$5:$A$3000,MATCH("ar",'Chart of Accounts'!$F$5:$F$3000,0)),F10&amp;"")</f>
        <v/>
      </c>
      <c r="Q10" s="16">
        <f>IF(G10="",INDEX('Chart of Accounts'!$A$5:$A$3000,MATCH("revenue",'Chart of Accounts'!$F$5:$F$3000,0)),G10&amp;"")</f>
        <v/>
      </c>
      <c r="R10" s="16">
        <f>INDEX('Chart of Accounts'!$A$5:$A$3000,MATCH("wht_receivable",'Chart of Accounts'!$F$5:$F$3000,0))</f>
        <v/>
      </c>
      <c r="S10" s="16">
        <f>INDEX('Chart of Accounts'!$A$5:$A$3000,MATCH("vat_output",'Chart of Accounts'!$F$5:$F$3000,0))</f>
        <v/>
      </c>
      <c r="T10" s="23">
        <f>IFERROR(INDEX('Chart of Accounts'!$C$5:$C$3000,MATCH(P10&amp;"",'Chart of Accounts'!$A$5:$A$3000,0))&amp;"|"&amp;INDEX('Chart of Accounts'!$D$5:$D$3000,MATCH(P10&amp;"",'Chart of Accounts'!$A$5:$A$3000,0)),"")</f>
        <v/>
      </c>
      <c r="U10" s="23">
        <f>IFERROR(INDEX('Chart of Accounts'!$C$5:$C$3000,MATCH(R10&amp;"",'Chart of Accounts'!$A$5:$A$3000,0))&amp;"|"&amp;INDEX('Chart of Accounts'!$D$5:$D$3000,MATCH(R10&amp;"",'Chart of Accounts'!$A$5:$A$3000,0)),"")</f>
        <v/>
      </c>
      <c r="V10" s="23">
        <f>IFERROR(INDEX('Chart of Accounts'!$C$5:$C$3000,MATCH(Q10&amp;"",'Chart of Accounts'!$A$5:$A$3000,0))&amp;"|"&amp;INDEX('Chart of Accounts'!$D$5:$D$3000,MATCH(Q10&amp;"",'Chart of Accounts'!$A$5:$A$3000,0)),"")</f>
        <v/>
      </c>
      <c r="W10" s="23">
        <f>IFERROR(INDEX('Chart of Accounts'!$C$5:$C$3000,MATCH(S10&amp;"",'Chart of Accounts'!$A$5:$A$3000,0))&amp;"|"&amp;INDEX('Chart of Accounts'!$D$5:$D$3000,MATCH(S10&amp;"",'Chart of Accounts'!$A$5:$A$3000,0)),"")</f>
        <v/>
      </c>
      <c r="X10" s="23">
        <f>IF(LEFT(T10,8)="Revenue|",-N(O10),0)+IF(LEFT(U10,8)="Revenue|",-N(N10),0)+IF(LEFT(V10,8)="Revenue|",N(L10),0)+IF(LEFT(W10,8)="Revenue|",N(M10),0)</f>
        <v/>
      </c>
      <c r="Y10" s="23">
        <f>IF(LEFT(T10,5)="COGS|",N(O10),0)+IF(LEFT(U10,5)="COGS|",N(N10),0)+IF(LEFT(V10,5)="COGS|",-N(L10),0)+IF(LEFT(W10,5)="COGS|",-N(M10),0)</f>
        <v/>
      </c>
      <c r="Z10" s="23">
        <f>IF(LEFT(T10,8)="Expense|",N(O10),0)+IF(LEFT(U10,8)="Expense|",N(N10),0)+IF(LEFT(V10,8)="Expense|",-N(L10),0)+IF(LEFT(W10,8)="Expense|",-N(M10),0)</f>
        <v/>
      </c>
      <c r="AA10" s="23">
        <f>IF(ISNUMBER(MATCH(T10,{"Expense|employee","Expense|general_admin","Expense|marketing","Expense|utilities","Expense|other_operating"},0)),N(O10),0)+IF(ISNUMBER(MATCH(U10,{"Expense|employee","Expense|general_admin","Expense|marketing","Expense|utilities","Expense|other_operating"},0)),N(N10),0)+IF(ISNUMBER(MATCH(V10,{"Expense|employee","Expense|general_admin","Expense|marketing","Expense|utilities","Expense|other_operating"},0)),-N(L10),0)+IF(ISNUMBER(MATCH(W10,{"Expense|employee","Expense|general_admin","Expense|marketing","Expense|utilities","Expense|other_operating"},0)),-N(M10),0)</f>
        <v/>
      </c>
      <c r="AB10" s="23">
        <f>IF(T10="Liability|payable",-N(O10),0)+IF(U10="Liability|payable",-N(N10),0)+IF(V10="Liability|payable",N(L10),0)+IF(W10="Liability|payable",N(M10),0)</f>
        <v/>
      </c>
      <c r="AC10" s="23">
        <f>IF(T10="Liability|accrued",-N(O10),0)+IF(U10="Liability|accrued",-N(N10),0)+IF(V10="Liability|accrued",N(L10),0)+IF(W10="Liability|accrued",N(M10),0)</f>
        <v/>
      </c>
      <c r="AD10" s="23">
        <f>IF(AND(N(O10)&lt;&gt;0,T10=""),1,0)+IF(AND(N(N10)&lt;&gt;0,U10=""),1,0)+IF(AND(N(L10)&lt;&gt;0,V10=""),1,0)+IF(AND(N(M10)&lt;&gt;0,W10=""),1,0)</f>
        <v/>
      </c>
    </row>
    <row r="11">
      <c r="A11" s="14" t="n"/>
      <c r="B11" s="19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21">
        <f>SUMIFS('Invoice Lines'!$I:$I,'Invoice Lines'!$A:$A,A11)</f>
        <v/>
      </c>
      <c r="L11" s="21">
        <f>IF(E11="Draft",0,K11)</f>
        <v/>
      </c>
      <c r="M11" s="21">
        <f>ROUND(L11*IFERROR(VLOOKUP(I11,'Tax Codes'!$A$5:$E$300,5,FALSE),0),2)</f>
        <v/>
      </c>
      <c r="N11" s="21">
        <f>ROUND(L11*IFERROR(VLOOKUP(J11,'Tax Codes'!$A$5:$E$300,5,FALSE),0),2)</f>
        <v/>
      </c>
      <c r="O11" s="21">
        <f>L11+M11-N11</f>
        <v/>
      </c>
      <c r="P11" s="16">
        <f>IF(F11="",INDEX('Chart of Accounts'!$A$5:$A$3000,MATCH("ar",'Chart of Accounts'!$F$5:$F$3000,0)),F11&amp;"")</f>
        <v/>
      </c>
      <c r="Q11" s="16">
        <f>IF(G11="",INDEX('Chart of Accounts'!$A$5:$A$3000,MATCH("revenue",'Chart of Accounts'!$F$5:$F$3000,0)),G11&amp;"")</f>
        <v/>
      </c>
      <c r="R11" s="16">
        <f>INDEX('Chart of Accounts'!$A$5:$A$3000,MATCH("wht_receivable",'Chart of Accounts'!$F$5:$F$3000,0))</f>
        <v/>
      </c>
      <c r="S11" s="16">
        <f>INDEX('Chart of Accounts'!$A$5:$A$3000,MATCH("vat_output",'Chart of Accounts'!$F$5:$F$3000,0))</f>
        <v/>
      </c>
      <c r="T11" s="23">
        <f>IFERROR(INDEX('Chart of Accounts'!$C$5:$C$3000,MATCH(P11&amp;"",'Chart of Accounts'!$A$5:$A$3000,0))&amp;"|"&amp;INDEX('Chart of Accounts'!$D$5:$D$3000,MATCH(P11&amp;"",'Chart of Accounts'!$A$5:$A$3000,0)),"")</f>
        <v/>
      </c>
      <c r="U11" s="23">
        <f>IFERROR(INDEX('Chart of Accounts'!$C$5:$C$3000,MATCH(R11&amp;"",'Chart of Accounts'!$A$5:$A$3000,0))&amp;"|"&amp;INDEX('Chart of Accounts'!$D$5:$D$3000,MATCH(R11&amp;"",'Chart of Accounts'!$A$5:$A$3000,0)),"")</f>
        <v/>
      </c>
      <c r="V11" s="23">
        <f>IFERROR(INDEX('Chart of Accounts'!$C$5:$C$3000,MATCH(Q11&amp;"",'Chart of Accounts'!$A$5:$A$3000,0))&amp;"|"&amp;INDEX('Chart of Accounts'!$D$5:$D$3000,MATCH(Q11&amp;"",'Chart of Accounts'!$A$5:$A$3000,0)),"")</f>
        <v/>
      </c>
      <c r="W11" s="23">
        <f>IFERROR(INDEX('Chart of Accounts'!$C$5:$C$3000,MATCH(S11&amp;"",'Chart of Accounts'!$A$5:$A$3000,0))&amp;"|"&amp;INDEX('Chart of Accounts'!$D$5:$D$3000,MATCH(S11&amp;"",'Chart of Accounts'!$A$5:$A$3000,0)),"")</f>
        <v/>
      </c>
      <c r="X11" s="23">
        <f>IF(LEFT(T11,8)="Revenue|",-N(O11),0)+IF(LEFT(U11,8)="Revenue|",-N(N11),0)+IF(LEFT(V11,8)="Revenue|",N(L11),0)+IF(LEFT(W11,8)="Revenue|",N(M11),0)</f>
        <v/>
      </c>
      <c r="Y11" s="23">
        <f>IF(LEFT(T11,5)="COGS|",N(O11),0)+IF(LEFT(U11,5)="COGS|",N(N11),0)+IF(LEFT(V11,5)="COGS|",-N(L11),0)+IF(LEFT(W11,5)="COGS|",-N(M11),0)</f>
        <v/>
      </c>
      <c r="Z11" s="23">
        <f>IF(LEFT(T11,8)="Expense|",N(O11),0)+IF(LEFT(U11,8)="Expense|",N(N11),0)+IF(LEFT(V11,8)="Expense|",-N(L11),0)+IF(LEFT(W11,8)="Expense|",-N(M11),0)</f>
        <v/>
      </c>
      <c r="AA11" s="23">
        <f>IF(ISNUMBER(MATCH(T11,{"Expense|employee","Expense|general_admin","Expense|marketing","Expense|utilities","Expense|other_operating"},0)),N(O11),0)+IF(ISNUMBER(MATCH(U11,{"Expense|employee","Expense|general_admin","Expense|marketing","Expense|utilities","Expense|other_operating"},0)),N(N11),0)+IF(ISNUMBER(MATCH(V11,{"Expense|employee","Expense|general_admin","Expense|marketing","Expense|utilities","Expense|other_operating"},0)),-N(L11),0)+IF(ISNUMBER(MATCH(W11,{"Expense|employee","Expense|general_admin","Expense|marketing","Expense|utilities","Expense|other_operating"},0)),-N(M11),0)</f>
        <v/>
      </c>
      <c r="AB11" s="23">
        <f>IF(T11="Liability|payable",-N(O11),0)+IF(U11="Liability|payable",-N(N11),0)+IF(V11="Liability|payable",N(L11),0)+IF(W11="Liability|payable",N(M11),0)</f>
        <v/>
      </c>
      <c r="AC11" s="23">
        <f>IF(T11="Liability|accrued",-N(O11),0)+IF(U11="Liability|accrued",-N(N11),0)+IF(V11="Liability|accrued",N(L11),0)+IF(W11="Liability|accrued",N(M11),0)</f>
        <v/>
      </c>
      <c r="AD11" s="23">
        <f>IF(AND(N(O11)&lt;&gt;0,T11=""),1,0)+IF(AND(N(N11)&lt;&gt;0,U11=""),1,0)+IF(AND(N(L11)&lt;&gt;0,V11=""),1,0)+IF(AND(N(M11)&lt;&gt;0,W11=""),1,0)</f>
        <v/>
      </c>
    </row>
    <row r="12">
      <c r="A12" s="14" t="n"/>
      <c r="B12" s="19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21">
        <f>SUMIFS('Invoice Lines'!$I:$I,'Invoice Lines'!$A:$A,A12)</f>
        <v/>
      </c>
      <c r="L12" s="21">
        <f>IF(E12="Draft",0,K12)</f>
        <v/>
      </c>
      <c r="M12" s="21">
        <f>ROUND(L12*IFERROR(VLOOKUP(I12,'Tax Codes'!$A$5:$E$300,5,FALSE),0),2)</f>
        <v/>
      </c>
      <c r="N12" s="21">
        <f>ROUND(L12*IFERROR(VLOOKUP(J12,'Tax Codes'!$A$5:$E$300,5,FALSE),0),2)</f>
        <v/>
      </c>
      <c r="O12" s="21">
        <f>L12+M12-N12</f>
        <v/>
      </c>
      <c r="P12" s="16">
        <f>IF(F12="",INDEX('Chart of Accounts'!$A$5:$A$3000,MATCH("ar",'Chart of Accounts'!$F$5:$F$3000,0)),F12&amp;"")</f>
        <v/>
      </c>
      <c r="Q12" s="16">
        <f>IF(G12="",INDEX('Chart of Accounts'!$A$5:$A$3000,MATCH("revenue",'Chart of Accounts'!$F$5:$F$3000,0)),G12&amp;"")</f>
        <v/>
      </c>
      <c r="R12" s="16">
        <f>INDEX('Chart of Accounts'!$A$5:$A$3000,MATCH("wht_receivable",'Chart of Accounts'!$F$5:$F$3000,0))</f>
        <v/>
      </c>
      <c r="S12" s="16">
        <f>INDEX('Chart of Accounts'!$A$5:$A$3000,MATCH("vat_output",'Chart of Accounts'!$F$5:$F$3000,0))</f>
        <v/>
      </c>
      <c r="T12" s="23">
        <f>IFERROR(INDEX('Chart of Accounts'!$C$5:$C$3000,MATCH(P12&amp;"",'Chart of Accounts'!$A$5:$A$3000,0))&amp;"|"&amp;INDEX('Chart of Accounts'!$D$5:$D$3000,MATCH(P12&amp;"",'Chart of Accounts'!$A$5:$A$3000,0)),"")</f>
        <v/>
      </c>
      <c r="U12" s="23">
        <f>IFERROR(INDEX('Chart of Accounts'!$C$5:$C$3000,MATCH(R12&amp;"",'Chart of Accounts'!$A$5:$A$3000,0))&amp;"|"&amp;INDEX('Chart of Accounts'!$D$5:$D$3000,MATCH(R12&amp;"",'Chart of Accounts'!$A$5:$A$3000,0)),"")</f>
        <v/>
      </c>
      <c r="V12" s="23">
        <f>IFERROR(INDEX('Chart of Accounts'!$C$5:$C$3000,MATCH(Q12&amp;"",'Chart of Accounts'!$A$5:$A$3000,0))&amp;"|"&amp;INDEX('Chart of Accounts'!$D$5:$D$3000,MATCH(Q12&amp;"",'Chart of Accounts'!$A$5:$A$3000,0)),"")</f>
        <v/>
      </c>
      <c r="W12" s="23">
        <f>IFERROR(INDEX('Chart of Accounts'!$C$5:$C$3000,MATCH(S12&amp;"",'Chart of Accounts'!$A$5:$A$3000,0))&amp;"|"&amp;INDEX('Chart of Accounts'!$D$5:$D$3000,MATCH(S12&amp;"",'Chart of Accounts'!$A$5:$A$3000,0)),"")</f>
        <v/>
      </c>
      <c r="X12" s="23">
        <f>IF(LEFT(T12,8)="Revenue|",-N(O12),0)+IF(LEFT(U12,8)="Revenue|",-N(N12),0)+IF(LEFT(V12,8)="Revenue|",N(L12),0)+IF(LEFT(W12,8)="Revenue|",N(M12),0)</f>
        <v/>
      </c>
      <c r="Y12" s="23">
        <f>IF(LEFT(T12,5)="COGS|",N(O12),0)+IF(LEFT(U12,5)="COGS|",N(N12),0)+IF(LEFT(V12,5)="COGS|",-N(L12),0)+IF(LEFT(W12,5)="COGS|",-N(M12),0)</f>
        <v/>
      </c>
      <c r="Z12" s="23">
        <f>IF(LEFT(T12,8)="Expense|",N(O12),0)+IF(LEFT(U12,8)="Expense|",N(N12),0)+IF(LEFT(V12,8)="Expense|",-N(L12),0)+IF(LEFT(W12,8)="Expense|",-N(M12),0)</f>
        <v/>
      </c>
      <c r="AA12" s="23">
        <f>IF(ISNUMBER(MATCH(T12,{"Expense|employee","Expense|general_admin","Expense|marketing","Expense|utilities","Expense|other_operating"},0)),N(O12),0)+IF(ISNUMBER(MATCH(U12,{"Expense|employee","Expense|general_admin","Expense|marketing","Expense|utilities","Expense|other_operating"},0)),N(N12),0)+IF(ISNUMBER(MATCH(V12,{"Expense|employee","Expense|general_admin","Expense|marketing","Expense|utilities","Expense|other_operating"},0)),-N(L12),0)+IF(ISNUMBER(MATCH(W12,{"Expense|employee","Expense|general_admin","Expense|marketing","Expense|utilities","Expense|other_operating"},0)),-N(M12),0)</f>
        <v/>
      </c>
      <c r="AB12" s="23">
        <f>IF(T12="Liability|payable",-N(O12),0)+IF(U12="Liability|payable",-N(N12),0)+IF(V12="Liability|payable",N(L12),0)+IF(W12="Liability|payable",N(M12),0)</f>
        <v/>
      </c>
      <c r="AC12" s="23">
        <f>IF(T12="Liability|accrued",-N(O12),0)+IF(U12="Liability|accrued",-N(N12),0)+IF(V12="Liability|accrued",N(L12),0)+IF(W12="Liability|accrued",N(M12),0)</f>
        <v/>
      </c>
      <c r="AD12" s="23">
        <f>IF(AND(N(O12)&lt;&gt;0,T12=""),1,0)+IF(AND(N(N12)&lt;&gt;0,U12=""),1,0)+IF(AND(N(L12)&lt;&gt;0,V12=""),1,0)+IF(AND(N(M12)&lt;&gt;0,W12=""),1,0)</f>
        <v/>
      </c>
    </row>
    <row r="13">
      <c r="A13" s="14" t="n"/>
      <c r="B13" s="19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21">
        <f>SUMIFS('Invoice Lines'!$I:$I,'Invoice Lines'!$A:$A,A13)</f>
        <v/>
      </c>
      <c r="L13" s="21">
        <f>IF(E13="Draft",0,K13)</f>
        <v/>
      </c>
      <c r="M13" s="21">
        <f>ROUND(L13*IFERROR(VLOOKUP(I13,'Tax Codes'!$A$5:$E$300,5,FALSE),0),2)</f>
        <v/>
      </c>
      <c r="N13" s="21">
        <f>ROUND(L13*IFERROR(VLOOKUP(J13,'Tax Codes'!$A$5:$E$300,5,FALSE),0),2)</f>
        <v/>
      </c>
      <c r="O13" s="21">
        <f>L13+M13-N13</f>
        <v/>
      </c>
      <c r="P13" s="16">
        <f>IF(F13="",INDEX('Chart of Accounts'!$A$5:$A$3000,MATCH("ar",'Chart of Accounts'!$F$5:$F$3000,0)),F13&amp;"")</f>
        <v/>
      </c>
      <c r="Q13" s="16">
        <f>IF(G13="",INDEX('Chart of Accounts'!$A$5:$A$3000,MATCH("revenue",'Chart of Accounts'!$F$5:$F$3000,0)),G13&amp;"")</f>
        <v/>
      </c>
      <c r="R13" s="16">
        <f>INDEX('Chart of Accounts'!$A$5:$A$3000,MATCH("wht_receivable",'Chart of Accounts'!$F$5:$F$3000,0))</f>
        <v/>
      </c>
      <c r="S13" s="16">
        <f>INDEX('Chart of Accounts'!$A$5:$A$3000,MATCH("vat_output",'Chart of Accounts'!$F$5:$F$3000,0))</f>
        <v/>
      </c>
      <c r="T13" s="23">
        <f>IFERROR(INDEX('Chart of Accounts'!$C$5:$C$3000,MATCH(P13&amp;"",'Chart of Accounts'!$A$5:$A$3000,0))&amp;"|"&amp;INDEX('Chart of Accounts'!$D$5:$D$3000,MATCH(P13&amp;"",'Chart of Accounts'!$A$5:$A$3000,0)),"")</f>
        <v/>
      </c>
      <c r="U13" s="23">
        <f>IFERROR(INDEX('Chart of Accounts'!$C$5:$C$3000,MATCH(R13&amp;"",'Chart of Accounts'!$A$5:$A$3000,0))&amp;"|"&amp;INDEX('Chart of Accounts'!$D$5:$D$3000,MATCH(R13&amp;"",'Chart of Accounts'!$A$5:$A$3000,0)),"")</f>
        <v/>
      </c>
      <c r="V13" s="23">
        <f>IFERROR(INDEX('Chart of Accounts'!$C$5:$C$3000,MATCH(Q13&amp;"",'Chart of Accounts'!$A$5:$A$3000,0))&amp;"|"&amp;INDEX('Chart of Accounts'!$D$5:$D$3000,MATCH(Q13&amp;"",'Chart of Accounts'!$A$5:$A$3000,0)),"")</f>
        <v/>
      </c>
      <c r="W13" s="23">
        <f>IFERROR(INDEX('Chart of Accounts'!$C$5:$C$3000,MATCH(S13&amp;"",'Chart of Accounts'!$A$5:$A$3000,0))&amp;"|"&amp;INDEX('Chart of Accounts'!$D$5:$D$3000,MATCH(S13&amp;"",'Chart of Accounts'!$A$5:$A$3000,0)),"")</f>
        <v/>
      </c>
      <c r="X13" s="23">
        <f>IF(LEFT(T13,8)="Revenue|",-N(O13),0)+IF(LEFT(U13,8)="Revenue|",-N(N13),0)+IF(LEFT(V13,8)="Revenue|",N(L13),0)+IF(LEFT(W13,8)="Revenue|",N(M13),0)</f>
        <v/>
      </c>
      <c r="Y13" s="23">
        <f>IF(LEFT(T13,5)="COGS|",N(O13),0)+IF(LEFT(U13,5)="COGS|",N(N13),0)+IF(LEFT(V13,5)="COGS|",-N(L13),0)+IF(LEFT(W13,5)="COGS|",-N(M13),0)</f>
        <v/>
      </c>
      <c r="Z13" s="23">
        <f>IF(LEFT(T13,8)="Expense|",N(O13),0)+IF(LEFT(U13,8)="Expense|",N(N13),0)+IF(LEFT(V13,8)="Expense|",-N(L13),0)+IF(LEFT(W13,8)="Expense|",-N(M13),0)</f>
        <v/>
      </c>
      <c r="AA13" s="23">
        <f>IF(ISNUMBER(MATCH(T13,{"Expense|employee","Expense|general_admin","Expense|marketing","Expense|utilities","Expense|other_operating"},0)),N(O13),0)+IF(ISNUMBER(MATCH(U13,{"Expense|employee","Expense|general_admin","Expense|marketing","Expense|utilities","Expense|other_operating"},0)),N(N13),0)+IF(ISNUMBER(MATCH(V13,{"Expense|employee","Expense|general_admin","Expense|marketing","Expense|utilities","Expense|other_operating"},0)),-N(L13),0)+IF(ISNUMBER(MATCH(W13,{"Expense|employee","Expense|general_admin","Expense|marketing","Expense|utilities","Expense|other_operating"},0)),-N(M13),0)</f>
        <v/>
      </c>
      <c r="AB13" s="23">
        <f>IF(T13="Liability|payable",-N(O13),0)+IF(U13="Liability|payable",-N(N13),0)+IF(V13="Liability|payable",N(L13),0)+IF(W13="Liability|payable",N(M13),0)</f>
        <v/>
      </c>
      <c r="AC13" s="23">
        <f>IF(T13="Liability|accrued",-N(O13),0)+IF(U13="Liability|accrued",-N(N13),0)+IF(V13="Liability|accrued",N(L13),0)+IF(W13="Liability|accrued",N(M13),0)</f>
        <v/>
      </c>
      <c r="AD13" s="23">
        <f>IF(AND(N(O13)&lt;&gt;0,T13=""),1,0)+IF(AND(N(N13)&lt;&gt;0,U13=""),1,0)+IF(AND(N(L13)&lt;&gt;0,V13=""),1,0)+IF(AND(N(M13)&lt;&gt;0,W13=""),1,0)</f>
        <v/>
      </c>
    </row>
    <row r="14">
      <c r="A14" s="14" t="n"/>
      <c r="B14" s="19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21">
        <f>SUMIFS('Invoice Lines'!$I:$I,'Invoice Lines'!$A:$A,A14)</f>
        <v/>
      </c>
      <c r="L14" s="21">
        <f>IF(E14="Draft",0,K14)</f>
        <v/>
      </c>
      <c r="M14" s="21">
        <f>ROUND(L14*IFERROR(VLOOKUP(I14,'Tax Codes'!$A$5:$E$300,5,FALSE),0),2)</f>
        <v/>
      </c>
      <c r="N14" s="21">
        <f>ROUND(L14*IFERROR(VLOOKUP(J14,'Tax Codes'!$A$5:$E$300,5,FALSE),0),2)</f>
        <v/>
      </c>
      <c r="O14" s="21">
        <f>L14+M14-N14</f>
        <v/>
      </c>
      <c r="P14" s="16">
        <f>IF(F14="",INDEX('Chart of Accounts'!$A$5:$A$3000,MATCH("ar",'Chart of Accounts'!$F$5:$F$3000,0)),F14&amp;"")</f>
        <v/>
      </c>
      <c r="Q14" s="16">
        <f>IF(G14="",INDEX('Chart of Accounts'!$A$5:$A$3000,MATCH("revenue",'Chart of Accounts'!$F$5:$F$3000,0)),G14&amp;"")</f>
        <v/>
      </c>
      <c r="R14" s="16">
        <f>INDEX('Chart of Accounts'!$A$5:$A$3000,MATCH("wht_receivable",'Chart of Accounts'!$F$5:$F$3000,0))</f>
        <v/>
      </c>
      <c r="S14" s="16">
        <f>INDEX('Chart of Accounts'!$A$5:$A$3000,MATCH("vat_output",'Chart of Accounts'!$F$5:$F$3000,0))</f>
        <v/>
      </c>
      <c r="T14" s="23">
        <f>IFERROR(INDEX('Chart of Accounts'!$C$5:$C$3000,MATCH(P14&amp;"",'Chart of Accounts'!$A$5:$A$3000,0))&amp;"|"&amp;INDEX('Chart of Accounts'!$D$5:$D$3000,MATCH(P14&amp;"",'Chart of Accounts'!$A$5:$A$3000,0)),"")</f>
        <v/>
      </c>
      <c r="U14" s="23">
        <f>IFERROR(INDEX('Chart of Accounts'!$C$5:$C$3000,MATCH(R14&amp;"",'Chart of Accounts'!$A$5:$A$3000,0))&amp;"|"&amp;INDEX('Chart of Accounts'!$D$5:$D$3000,MATCH(R14&amp;"",'Chart of Accounts'!$A$5:$A$3000,0)),"")</f>
        <v/>
      </c>
      <c r="V14" s="23">
        <f>IFERROR(INDEX('Chart of Accounts'!$C$5:$C$3000,MATCH(Q14&amp;"",'Chart of Accounts'!$A$5:$A$3000,0))&amp;"|"&amp;INDEX('Chart of Accounts'!$D$5:$D$3000,MATCH(Q14&amp;"",'Chart of Accounts'!$A$5:$A$3000,0)),"")</f>
        <v/>
      </c>
      <c r="W14" s="23">
        <f>IFERROR(INDEX('Chart of Accounts'!$C$5:$C$3000,MATCH(S14&amp;"",'Chart of Accounts'!$A$5:$A$3000,0))&amp;"|"&amp;INDEX('Chart of Accounts'!$D$5:$D$3000,MATCH(S14&amp;"",'Chart of Accounts'!$A$5:$A$3000,0)),"")</f>
        <v/>
      </c>
      <c r="X14" s="23">
        <f>IF(LEFT(T14,8)="Revenue|",-N(O14),0)+IF(LEFT(U14,8)="Revenue|",-N(N14),0)+IF(LEFT(V14,8)="Revenue|",N(L14),0)+IF(LEFT(W14,8)="Revenue|",N(M14),0)</f>
        <v/>
      </c>
      <c r="Y14" s="23">
        <f>IF(LEFT(T14,5)="COGS|",N(O14),0)+IF(LEFT(U14,5)="COGS|",N(N14),0)+IF(LEFT(V14,5)="COGS|",-N(L14),0)+IF(LEFT(W14,5)="COGS|",-N(M14),0)</f>
        <v/>
      </c>
      <c r="Z14" s="23">
        <f>IF(LEFT(T14,8)="Expense|",N(O14),0)+IF(LEFT(U14,8)="Expense|",N(N14),0)+IF(LEFT(V14,8)="Expense|",-N(L14),0)+IF(LEFT(W14,8)="Expense|",-N(M14),0)</f>
        <v/>
      </c>
      <c r="AA14" s="23">
        <f>IF(ISNUMBER(MATCH(T14,{"Expense|employee","Expense|general_admin","Expense|marketing","Expense|utilities","Expense|other_operating"},0)),N(O14),0)+IF(ISNUMBER(MATCH(U14,{"Expense|employee","Expense|general_admin","Expense|marketing","Expense|utilities","Expense|other_operating"},0)),N(N14),0)+IF(ISNUMBER(MATCH(V14,{"Expense|employee","Expense|general_admin","Expense|marketing","Expense|utilities","Expense|other_operating"},0)),-N(L14),0)+IF(ISNUMBER(MATCH(W14,{"Expense|employee","Expense|general_admin","Expense|marketing","Expense|utilities","Expense|other_operating"},0)),-N(M14),0)</f>
        <v/>
      </c>
      <c r="AB14" s="23">
        <f>IF(T14="Liability|payable",-N(O14),0)+IF(U14="Liability|payable",-N(N14),0)+IF(V14="Liability|payable",N(L14),0)+IF(W14="Liability|payable",N(M14),0)</f>
        <v/>
      </c>
      <c r="AC14" s="23">
        <f>IF(T14="Liability|accrued",-N(O14),0)+IF(U14="Liability|accrued",-N(N14),0)+IF(V14="Liability|accrued",N(L14),0)+IF(W14="Liability|accrued",N(M14),0)</f>
        <v/>
      </c>
      <c r="AD14" s="23">
        <f>IF(AND(N(O14)&lt;&gt;0,T14=""),1,0)+IF(AND(N(N14)&lt;&gt;0,U14=""),1,0)+IF(AND(N(L14)&lt;&gt;0,V14=""),1,0)+IF(AND(N(M14)&lt;&gt;0,W14=""),1,0)</f>
        <v/>
      </c>
    </row>
    <row r="15">
      <c r="A15" s="14" t="n"/>
      <c r="B15" s="19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21">
        <f>SUMIFS('Invoice Lines'!$I:$I,'Invoice Lines'!$A:$A,A15)</f>
        <v/>
      </c>
      <c r="L15" s="21">
        <f>IF(E15="Draft",0,K15)</f>
        <v/>
      </c>
      <c r="M15" s="21">
        <f>ROUND(L15*IFERROR(VLOOKUP(I15,'Tax Codes'!$A$5:$E$300,5,FALSE),0),2)</f>
        <v/>
      </c>
      <c r="N15" s="21">
        <f>ROUND(L15*IFERROR(VLOOKUP(J15,'Tax Codes'!$A$5:$E$300,5,FALSE),0),2)</f>
        <v/>
      </c>
      <c r="O15" s="21">
        <f>L15+M15-N15</f>
        <v/>
      </c>
      <c r="P15" s="16">
        <f>IF(F15="",INDEX('Chart of Accounts'!$A$5:$A$3000,MATCH("ar",'Chart of Accounts'!$F$5:$F$3000,0)),F15&amp;"")</f>
        <v/>
      </c>
      <c r="Q15" s="16">
        <f>IF(G15="",INDEX('Chart of Accounts'!$A$5:$A$3000,MATCH("revenue",'Chart of Accounts'!$F$5:$F$3000,0)),G15&amp;"")</f>
        <v/>
      </c>
      <c r="R15" s="16">
        <f>INDEX('Chart of Accounts'!$A$5:$A$3000,MATCH("wht_receivable",'Chart of Accounts'!$F$5:$F$3000,0))</f>
        <v/>
      </c>
      <c r="S15" s="16">
        <f>INDEX('Chart of Accounts'!$A$5:$A$3000,MATCH("vat_output",'Chart of Accounts'!$F$5:$F$3000,0))</f>
        <v/>
      </c>
      <c r="T15" s="23">
        <f>IFERROR(INDEX('Chart of Accounts'!$C$5:$C$3000,MATCH(P15&amp;"",'Chart of Accounts'!$A$5:$A$3000,0))&amp;"|"&amp;INDEX('Chart of Accounts'!$D$5:$D$3000,MATCH(P15&amp;"",'Chart of Accounts'!$A$5:$A$3000,0)),"")</f>
        <v/>
      </c>
      <c r="U15" s="23">
        <f>IFERROR(INDEX('Chart of Accounts'!$C$5:$C$3000,MATCH(R15&amp;"",'Chart of Accounts'!$A$5:$A$3000,0))&amp;"|"&amp;INDEX('Chart of Accounts'!$D$5:$D$3000,MATCH(R15&amp;"",'Chart of Accounts'!$A$5:$A$3000,0)),"")</f>
        <v/>
      </c>
      <c r="V15" s="23">
        <f>IFERROR(INDEX('Chart of Accounts'!$C$5:$C$3000,MATCH(Q15&amp;"",'Chart of Accounts'!$A$5:$A$3000,0))&amp;"|"&amp;INDEX('Chart of Accounts'!$D$5:$D$3000,MATCH(Q15&amp;"",'Chart of Accounts'!$A$5:$A$3000,0)),"")</f>
        <v/>
      </c>
      <c r="W15" s="23">
        <f>IFERROR(INDEX('Chart of Accounts'!$C$5:$C$3000,MATCH(S15&amp;"",'Chart of Accounts'!$A$5:$A$3000,0))&amp;"|"&amp;INDEX('Chart of Accounts'!$D$5:$D$3000,MATCH(S15&amp;"",'Chart of Accounts'!$A$5:$A$3000,0)),"")</f>
        <v/>
      </c>
      <c r="X15" s="23">
        <f>IF(LEFT(T15,8)="Revenue|",-N(O15),0)+IF(LEFT(U15,8)="Revenue|",-N(N15),0)+IF(LEFT(V15,8)="Revenue|",N(L15),0)+IF(LEFT(W15,8)="Revenue|",N(M15),0)</f>
        <v/>
      </c>
      <c r="Y15" s="23">
        <f>IF(LEFT(T15,5)="COGS|",N(O15),0)+IF(LEFT(U15,5)="COGS|",N(N15),0)+IF(LEFT(V15,5)="COGS|",-N(L15),0)+IF(LEFT(W15,5)="COGS|",-N(M15),0)</f>
        <v/>
      </c>
      <c r="Z15" s="23">
        <f>IF(LEFT(T15,8)="Expense|",N(O15),0)+IF(LEFT(U15,8)="Expense|",N(N15),0)+IF(LEFT(V15,8)="Expense|",-N(L15),0)+IF(LEFT(W15,8)="Expense|",-N(M15),0)</f>
        <v/>
      </c>
      <c r="AA15" s="23">
        <f>IF(ISNUMBER(MATCH(T15,{"Expense|employee","Expense|general_admin","Expense|marketing","Expense|utilities","Expense|other_operating"},0)),N(O15),0)+IF(ISNUMBER(MATCH(U15,{"Expense|employee","Expense|general_admin","Expense|marketing","Expense|utilities","Expense|other_operating"},0)),N(N15),0)+IF(ISNUMBER(MATCH(V15,{"Expense|employee","Expense|general_admin","Expense|marketing","Expense|utilities","Expense|other_operating"},0)),-N(L15),0)+IF(ISNUMBER(MATCH(W15,{"Expense|employee","Expense|general_admin","Expense|marketing","Expense|utilities","Expense|other_operating"},0)),-N(M15),0)</f>
        <v/>
      </c>
      <c r="AB15" s="23">
        <f>IF(T15="Liability|payable",-N(O15),0)+IF(U15="Liability|payable",-N(N15),0)+IF(V15="Liability|payable",N(L15),0)+IF(W15="Liability|payable",N(M15),0)</f>
        <v/>
      </c>
      <c r="AC15" s="23">
        <f>IF(T15="Liability|accrued",-N(O15),0)+IF(U15="Liability|accrued",-N(N15),0)+IF(V15="Liability|accrued",N(L15),0)+IF(W15="Liability|accrued",N(M15),0)</f>
        <v/>
      </c>
      <c r="AD15" s="23">
        <f>IF(AND(N(O15)&lt;&gt;0,T15=""),1,0)+IF(AND(N(N15)&lt;&gt;0,U15=""),1,0)+IF(AND(N(L15)&lt;&gt;0,V15=""),1,0)+IF(AND(N(M15)&lt;&gt;0,W15=""),1,0)</f>
        <v/>
      </c>
    </row>
    <row r="16">
      <c r="A16" s="14" t="n"/>
      <c r="B16" s="19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21">
        <f>SUMIFS('Invoice Lines'!$I:$I,'Invoice Lines'!$A:$A,A16)</f>
        <v/>
      </c>
      <c r="L16" s="21">
        <f>IF(E16="Draft",0,K16)</f>
        <v/>
      </c>
      <c r="M16" s="21">
        <f>ROUND(L16*IFERROR(VLOOKUP(I16,'Tax Codes'!$A$5:$E$300,5,FALSE),0),2)</f>
        <v/>
      </c>
      <c r="N16" s="21">
        <f>ROUND(L16*IFERROR(VLOOKUP(J16,'Tax Codes'!$A$5:$E$300,5,FALSE),0),2)</f>
        <v/>
      </c>
      <c r="O16" s="21">
        <f>L16+M16-N16</f>
        <v/>
      </c>
      <c r="P16" s="16">
        <f>IF(F16="",INDEX('Chart of Accounts'!$A$5:$A$3000,MATCH("ar",'Chart of Accounts'!$F$5:$F$3000,0)),F16&amp;"")</f>
        <v/>
      </c>
      <c r="Q16" s="16">
        <f>IF(G16="",INDEX('Chart of Accounts'!$A$5:$A$3000,MATCH("revenue",'Chart of Accounts'!$F$5:$F$3000,0)),G16&amp;"")</f>
        <v/>
      </c>
      <c r="R16" s="16">
        <f>INDEX('Chart of Accounts'!$A$5:$A$3000,MATCH("wht_receivable",'Chart of Accounts'!$F$5:$F$3000,0))</f>
        <v/>
      </c>
      <c r="S16" s="16">
        <f>INDEX('Chart of Accounts'!$A$5:$A$3000,MATCH("vat_output",'Chart of Accounts'!$F$5:$F$3000,0))</f>
        <v/>
      </c>
      <c r="T16" s="23">
        <f>IFERROR(INDEX('Chart of Accounts'!$C$5:$C$3000,MATCH(P16&amp;"",'Chart of Accounts'!$A$5:$A$3000,0))&amp;"|"&amp;INDEX('Chart of Accounts'!$D$5:$D$3000,MATCH(P16&amp;"",'Chart of Accounts'!$A$5:$A$3000,0)),"")</f>
        <v/>
      </c>
      <c r="U16" s="23">
        <f>IFERROR(INDEX('Chart of Accounts'!$C$5:$C$3000,MATCH(R16&amp;"",'Chart of Accounts'!$A$5:$A$3000,0))&amp;"|"&amp;INDEX('Chart of Accounts'!$D$5:$D$3000,MATCH(R16&amp;"",'Chart of Accounts'!$A$5:$A$3000,0)),"")</f>
        <v/>
      </c>
      <c r="V16" s="23">
        <f>IFERROR(INDEX('Chart of Accounts'!$C$5:$C$3000,MATCH(Q16&amp;"",'Chart of Accounts'!$A$5:$A$3000,0))&amp;"|"&amp;INDEX('Chart of Accounts'!$D$5:$D$3000,MATCH(Q16&amp;"",'Chart of Accounts'!$A$5:$A$3000,0)),"")</f>
        <v/>
      </c>
      <c r="W16" s="23">
        <f>IFERROR(INDEX('Chart of Accounts'!$C$5:$C$3000,MATCH(S16&amp;"",'Chart of Accounts'!$A$5:$A$3000,0))&amp;"|"&amp;INDEX('Chart of Accounts'!$D$5:$D$3000,MATCH(S16&amp;"",'Chart of Accounts'!$A$5:$A$3000,0)),"")</f>
        <v/>
      </c>
      <c r="X16" s="23">
        <f>IF(LEFT(T16,8)="Revenue|",-N(O16),0)+IF(LEFT(U16,8)="Revenue|",-N(N16),0)+IF(LEFT(V16,8)="Revenue|",N(L16),0)+IF(LEFT(W16,8)="Revenue|",N(M16),0)</f>
        <v/>
      </c>
      <c r="Y16" s="23">
        <f>IF(LEFT(T16,5)="COGS|",N(O16),0)+IF(LEFT(U16,5)="COGS|",N(N16),0)+IF(LEFT(V16,5)="COGS|",-N(L16),0)+IF(LEFT(W16,5)="COGS|",-N(M16),0)</f>
        <v/>
      </c>
      <c r="Z16" s="23">
        <f>IF(LEFT(T16,8)="Expense|",N(O16),0)+IF(LEFT(U16,8)="Expense|",N(N16),0)+IF(LEFT(V16,8)="Expense|",-N(L16),0)+IF(LEFT(W16,8)="Expense|",-N(M16),0)</f>
        <v/>
      </c>
      <c r="AA16" s="23">
        <f>IF(ISNUMBER(MATCH(T16,{"Expense|employee","Expense|general_admin","Expense|marketing","Expense|utilities","Expense|other_operating"},0)),N(O16),0)+IF(ISNUMBER(MATCH(U16,{"Expense|employee","Expense|general_admin","Expense|marketing","Expense|utilities","Expense|other_operating"},0)),N(N16),0)+IF(ISNUMBER(MATCH(V16,{"Expense|employee","Expense|general_admin","Expense|marketing","Expense|utilities","Expense|other_operating"},0)),-N(L16),0)+IF(ISNUMBER(MATCH(W16,{"Expense|employee","Expense|general_admin","Expense|marketing","Expense|utilities","Expense|other_operating"},0)),-N(M16),0)</f>
        <v/>
      </c>
      <c r="AB16" s="23">
        <f>IF(T16="Liability|payable",-N(O16),0)+IF(U16="Liability|payable",-N(N16),0)+IF(V16="Liability|payable",N(L16),0)+IF(W16="Liability|payable",N(M16),0)</f>
        <v/>
      </c>
      <c r="AC16" s="23">
        <f>IF(T16="Liability|accrued",-N(O16),0)+IF(U16="Liability|accrued",-N(N16),0)+IF(V16="Liability|accrued",N(L16),0)+IF(W16="Liability|accrued",N(M16),0)</f>
        <v/>
      </c>
      <c r="AD16" s="23">
        <f>IF(AND(N(O16)&lt;&gt;0,T16=""),1,0)+IF(AND(N(N16)&lt;&gt;0,U16=""),1,0)+IF(AND(N(L16)&lt;&gt;0,V16=""),1,0)+IF(AND(N(M16)&lt;&gt;0,W16=""),1,0)</f>
        <v/>
      </c>
    </row>
    <row r="17">
      <c r="A17" s="14" t="n"/>
      <c r="B17" s="19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21">
        <f>SUMIFS('Invoice Lines'!$I:$I,'Invoice Lines'!$A:$A,A17)</f>
        <v/>
      </c>
      <c r="L17" s="21">
        <f>IF(E17="Draft",0,K17)</f>
        <v/>
      </c>
      <c r="M17" s="21">
        <f>ROUND(L17*IFERROR(VLOOKUP(I17,'Tax Codes'!$A$5:$E$300,5,FALSE),0),2)</f>
        <v/>
      </c>
      <c r="N17" s="21">
        <f>ROUND(L17*IFERROR(VLOOKUP(J17,'Tax Codes'!$A$5:$E$300,5,FALSE),0),2)</f>
        <v/>
      </c>
      <c r="O17" s="21">
        <f>L17+M17-N17</f>
        <v/>
      </c>
      <c r="P17" s="16">
        <f>IF(F17="",INDEX('Chart of Accounts'!$A$5:$A$3000,MATCH("ar",'Chart of Accounts'!$F$5:$F$3000,0)),F17&amp;"")</f>
        <v/>
      </c>
      <c r="Q17" s="16">
        <f>IF(G17="",INDEX('Chart of Accounts'!$A$5:$A$3000,MATCH("revenue",'Chart of Accounts'!$F$5:$F$3000,0)),G17&amp;"")</f>
        <v/>
      </c>
      <c r="R17" s="16">
        <f>INDEX('Chart of Accounts'!$A$5:$A$3000,MATCH("wht_receivable",'Chart of Accounts'!$F$5:$F$3000,0))</f>
        <v/>
      </c>
      <c r="S17" s="16">
        <f>INDEX('Chart of Accounts'!$A$5:$A$3000,MATCH("vat_output",'Chart of Accounts'!$F$5:$F$3000,0))</f>
        <v/>
      </c>
      <c r="T17" s="23">
        <f>IFERROR(INDEX('Chart of Accounts'!$C$5:$C$3000,MATCH(P17&amp;"",'Chart of Accounts'!$A$5:$A$3000,0))&amp;"|"&amp;INDEX('Chart of Accounts'!$D$5:$D$3000,MATCH(P17&amp;"",'Chart of Accounts'!$A$5:$A$3000,0)),"")</f>
        <v/>
      </c>
      <c r="U17" s="23">
        <f>IFERROR(INDEX('Chart of Accounts'!$C$5:$C$3000,MATCH(R17&amp;"",'Chart of Accounts'!$A$5:$A$3000,0))&amp;"|"&amp;INDEX('Chart of Accounts'!$D$5:$D$3000,MATCH(R17&amp;"",'Chart of Accounts'!$A$5:$A$3000,0)),"")</f>
        <v/>
      </c>
      <c r="V17" s="23">
        <f>IFERROR(INDEX('Chart of Accounts'!$C$5:$C$3000,MATCH(Q17&amp;"",'Chart of Accounts'!$A$5:$A$3000,0))&amp;"|"&amp;INDEX('Chart of Accounts'!$D$5:$D$3000,MATCH(Q17&amp;"",'Chart of Accounts'!$A$5:$A$3000,0)),"")</f>
        <v/>
      </c>
      <c r="W17" s="23">
        <f>IFERROR(INDEX('Chart of Accounts'!$C$5:$C$3000,MATCH(S17&amp;"",'Chart of Accounts'!$A$5:$A$3000,0))&amp;"|"&amp;INDEX('Chart of Accounts'!$D$5:$D$3000,MATCH(S17&amp;"",'Chart of Accounts'!$A$5:$A$3000,0)),"")</f>
        <v/>
      </c>
      <c r="X17" s="23">
        <f>IF(LEFT(T17,8)="Revenue|",-N(O17),0)+IF(LEFT(U17,8)="Revenue|",-N(N17),0)+IF(LEFT(V17,8)="Revenue|",N(L17),0)+IF(LEFT(W17,8)="Revenue|",N(M17),0)</f>
        <v/>
      </c>
      <c r="Y17" s="23">
        <f>IF(LEFT(T17,5)="COGS|",N(O17),0)+IF(LEFT(U17,5)="COGS|",N(N17),0)+IF(LEFT(V17,5)="COGS|",-N(L17),0)+IF(LEFT(W17,5)="COGS|",-N(M17),0)</f>
        <v/>
      </c>
      <c r="Z17" s="23">
        <f>IF(LEFT(T17,8)="Expense|",N(O17),0)+IF(LEFT(U17,8)="Expense|",N(N17),0)+IF(LEFT(V17,8)="Expense|",-N(L17),0)+IF(LEFT(W17,8)="Expense|",-N(M17),0)</f>
        <v/>
      </c>
      <c r="AA17" s="23">
        <f>IF(ISNUMBER(MATCH(T17,{"Expense|employee","Expense|general_admin","Expense|marketing","Expense|utilities","Expense|other_operating"},0)),N(O17),0)+IF(ISNUMBER(MATCH(U17,{"Expense|employee","Expense|general_admin","Expense|marketing","Expense|utilities","Expense|other_operating"},0)),N(N17),0)+IF(ISNUMBER(MATCH(V17,{"Expense|employee","Expense|general_admin","Expense|marketing","Expense|utilities","Expense|other_operating"},0)),-N(L17),0)+IF(ISNUMBER(MATCH(W17,{"Expense|employee","Expense|general_admin","Expense|marketing","Expense|utilities","Expense|other_operating"},0)),-N(M17),0)</f>
        <v/>
      </c>
      <c r="AB17" s="23">
        <f>IF(T17="Liability|payable",-N(O17),0)+IF(U17="Liability|payable",-N(N17),0)+IF(V17="Liability|payable",N(L17),0)+IF(W17="Liability|payable",N(M17),0)</f>
        <v/>
      </c>
      <c r="AC17" s="23">
        <f>IF(T17="Liability|accrued",-N(O17),0)+IF(U17="Liability|accrued",-N(N17),0)+IF(V17="Liability|accrued",N(L17),0)+IF(W17="Liability|accrued",N(M17),0)</f>
        <v/>
      </c>
      <c r="AD17" s="23">
        <f>IF(AND(N(O17)&lt;&gt;0,T17=""),1,0)+IF(AND(N(N17)&lt;&gt;0,U17=""),1,0)+IF(AND(N(L17)&lt;&gt;0,V17=""),1,0)+IF(AND(N(M17)&lt;&gt;0,W17=""),1,0)</f>
        <v/>
      </c>
    </row>
    <row r="18">
      <c r="A18" s="14" t="n"/>
      <c r="B18" s="19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21">
        <f>SUMIFS('Invoice Lines'!$I:$I,'Invoice Lines'!$A:$A,A18)</f>
        <v/>
      </c>
      <c r="L18" s="21">
        <f>IF(E18="Draft",0,K18)</f>
        <v/>
      </c>
      <c r="M18" s="21">
        <f>ROUND(L18*IFERROR(VLOOKUP(I18,'Tax Codes'!$A$5:$E$300,5,FALSE),0),2)</f>
        <v/>
      </c>
      <c r="N18" s="21">
        <f>ROUND(L18*IFERROR(VLOOKUP(J18,'Tax Codes'!$A$5:$E$300,5,FALSE),0),2)</f>
        <v/>
      </c>
      <c r="O18" s="21">
        <f>L18+M18-N18</f>
        <v/>
      </c>
      <c r="P18" s="16">
        <f>IF(F18="",INDEX('Chart of Accounts'!$A$5:$A$3000,MATCH("ar",'Chart of Accounts'!$F$5:$F$3000,0)),F18&amp;"")</f>
        <v/>
      </c>
      <c r="Q18" s="16">
        <f>IF(G18="",INDEX('Chart of Accounts'!$A$5:$A$3000,MATCH("revenue",'Chart of Accounts'!$F$5:$F$3000,0)),G18&amp;"")</f>
        <v/>
      </c>
      <c r="R18" s="16">
        <f>INDEX('Chart of Accounts'!$A$5:$A$3000,MATCH("wht_receivable",'Chart of Accounts'!$F$5:$F$3000,0))</f>
        <v/>
      </c>
      <c r="S18" s="16">
        <f>INDEX('Chart of Accounts'!$A$5:$A$3000,MATCH("vat_output",'Chart of Accounts'!$F$5:$F$3000,0))</f>
        <v/>
      </c>
      <c r="T18" s="23">
        <f>IFERROR(INDEX('Chart of Accounts'!$C$5:$C$3000,MATCH(P18&amp;"",'Chart of Accounts'!$A$5:$A$3000,0))&amp;"|"&amp;INDEX('Chart of Accounts'!$D$5:$D$3000,MATCH(P18&amp;"",'Chart of Accounts'!$A$5:$A$3000,0)),"")</f>
        <v/>
      </c>
      <c r="U18" s="23">
        <f>IFERROR(INDEX('Chart of Accounts'!$C$5:$C$3000,MATCH(R18&amp;"",'Chart of Accounts'!$A$5:$A$3000,0))&amp;"|"&amp;INDEX('Chart of Accounts'!$D$5:$D$3000,MATCH(R18&amp;"",'Chart of Accounts'!$A$5:$A$3000,0)),"")</f>
        <v/>
      </c>
      <c r="V18" s="23">
        <f>IFERROR(INDEX('Chart of Accounts'!$C$5:$C$3000,MATCH(Q18&amp;"",'Chart of Accounts'!$A$5:$A$3000,0))&amp;"|"&amp;INDEX('Chart of Accounts'!$D$5:$D$3000,MATCH(Q18&amp;"",'Chart of Accounts'!$A$5:$A$3000,0)),"")</f>
        <v/>
      </c>
      <c r="W18" s="23">
        <f>IFERROR(INDEX('Chart of Accounts'!$C$5:$C$3000,MATCH(S18&amp;"",'Chart of Accounts'!$A$5:$A$3000,0))&amp;"|"&amp;INDEX('Chart of Accounts'!$D$5:$D$3000,MATCH(S18&amp;"",'Chart of Accounts'!$A$5:$A$3000,0)),"")</f>
        <v/>
      </c>
      <c r="X18" s="23">
        <f>IF(LEFT(T18,8)="Revenue|",-N(O18),0)+IF(LEFT(U18,8)="Revenue|",-N(N18),0)+IF(LEFT(V18,8)="Revenue|",N(L18),0)+IF(LEFT(W18,8)="Revenue|",N(M18),0)</f>
        <v/>
      </c>
      <c r="Y18" s="23">
        <f>IF(LEFT(T18,5)="COGS|",N(O18),0)+IF(LEFT(U18,5)="COGS|",N(N18),0)+IF(LEFT(V18,5)="COGS|",-N(L18),0)+IF(LEFT(W18,5)="COGS|",-N(M18),0)</f>
        <v/>
      </c>
      <c r="Z18" s="23">
        <f>IF(LEFT(T18,8)="Expense|",N(O18),0)+IF(LEFT(U18,8)="Expense|",N(N18),0)+IF(LEFT(V18,8)="Expense|",-N(L18),0)+IF(LEFT(W18,8)="Expense|",-N(M18),0)</f>
        <v/>
      </c>
      <c r="AA18" s="23">
        <f>IF(ISNUMBER(MATCH(T18,{"Expense|employee","Expense|general_admin","Expense|marketing","Expense|utilities","Expense|other_operating"},0)),N(O18),0)+IF(ISNUMBER(MATCH(U18,{"Expense|employee","Expense|general_admin","Expense|marketing","Expense|utilities","Expense|other_operating"},0)),N(N18),0)+IF(ISNUMBER(MATCH(V18,{"Expense|employee","Expense|general_admin","Expense|marketing","Expense|utilities","Expense|other_operating"},0)),-N(L18),0)+IF(ISNUMBER(MATCH(W18,{"Expense|employee","Expense|general_admin","Expense|marketing","Expense|utilities","Expense|other_operating"},0)),-N(M18),0)</f>
        <v/>
      </c>
      <c r="AB18" s="23">
        <f>IF(T18="Liability|payable",-N(O18),0)+IF(U18="Liability|payable",-N(N18),0)+IF(V18="Liability|payable",N(L18),0)+IF(W18="Liability|payable",N(M18),0)</f>
        <v/>
      </c>
      <c r="AC18" s="23">
        <f>IF(T18="Liability|accrued",-N(O18),0)+IF(U18="Liability|accrued",-N(N18),0)+IF(V18="Liability|accrued",N(L18),0)+IF(W18="Liability|accrued",N(M18),0)</f>
        <v/>
      </c>
      <c r="AD18" s="23">
        <f>IF(AND(N(O18)&lt;&gt;0,T18=""),1,0)+IF(AND(N(N18)&lt;&gt;0,U18=""),1,0)+IF(AND(N(L18)&lt;&gt;0,V18=""),1,0)+IF(AND(N(M18)&lt;&gt;0,W18=""),1,0)</f>
        <v/>
      </c>
    </row>
    <row r="19">
      <c r="A19" s="14" t="n"/>
      <c r="B19" s="19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21">
        <f>SUMIFS('Invoice Lines'!$I:$I,'Invoice Lines'!$A:$A,A19)</f>
        <v/>
      </c>
      <c r="L19" s="21">
        <f>IF(E19="Draft",0,K19)</f>
        <v/>
      </c>
      <c r="M19" s="21">
        <f>ROUND(L19*IFERROR(VLOOKUP(I19,'Tax Codes'!$A$5:$E$300,5,FALSE),0),2)</f>
        <v/>
      </c>
      <c r="N19" s="21">
        <f>ROUND(L19*IFERROR(VLOOKUP(J19,'Tax Codes'!$A$5:$E$300,5,FALSE),0),2)</f>
        <v/>
      </c>
      <c r="O19" s="21">
        <f>L19+M19-N19</f>
        <v/>
      </c>
      <c r="P19" s="16">
        <f>IF(F19="",INDEX('Chart of Accounts'!$A$5:$A$3000,MATCH("ar",'Chart of Accounts'!$F$5:$F$3000,0)),F19&amp;"")</f>
        <v/>
      </c>
      <c r="Q19" s="16">
        <f>IF(G19="",INDEX('Chart of Accounts'!$A$5:$A$3000,MATCH("revenue",'Chart of Accounts'!$F$5:$F$3000,0)),G19&amp;"")</f>
        <v/>
      </c>
      <c r="R19" s="16">
        <f>INDEX('Chart of Accounts'!$A$5:$A$3000,MATCH("wht_receivable",'Chart of Accounts'!$F$5:$F$3000,0))</f>
        <v/>
      </c>
      <c r="S19" s="16">
        <f>INDEX('Chart of Accounts'!$A$5:$A$3000,MATCH("vat_output",'Chart of Accounts'!$F$5:$F$3000,0))</f>
        <v/>
      </c>
      <c r="T19" s="23">
        <f>IFERROR(INDEX('Chart of Accounts'!$C$5:$C$3000,MATCH(P19&amp;"",'Chart of Accounts'!$A$5:$A$3000,0))&amp;"|"&amp;INDEX('Chart of Accounts'!$D$5:$D$3000,MATCH(P19&amp;"",'Chart of Accounts'!$A$5:$A$3000,0)),"")</f>
        <v/>
      </c>
      <c r="U19" s="23">
        <f>IFERROR(INDEX('Chart of Accounts'!$C$5:$C$3000,MATCH(R19&amp;"",'Chart of Accounts'!$A$5:$A$3000,0))&amp;"|"&amp;INDEX('Chart of Accounts'!$D$5:$D$3000,MATCH(R19&amp;"",'Chart of Accounts'!$A$5:$A$3000,0)),"")</f>
        <v/>
      </c>
      <c r="V19" s="23">
        <f>IFERROR(INDEX('Chart of Accounts'!$C$5:$C$3000,MATCH(Q19&amp;"",'Chart of Accounts'!$A$5:$A$3000,0))&amp;"|"&amp;INDEX('Chart of Accounts'!$D$5:$D$3000,MATCH(Q19&amp;"",'Chart of Accounts'!$A$5:$A$3000,0)),"")</f>
        <v/>
      </c>
      <c r="W19" s="23">
        <f>IFERROR(INDEX('Chart of Accounts'!$C$5:$C$3000,MATCH(S19&amp;"",'Chart of Accounts'!$A$5:$A$3000,0))&amp;"|"&amp;INDEX('Chart of Accounts'!$D$5:$D$3000,MATCH(S19&amp;"",'Chart of Accounts'!$A$5:$A$3000,0)),"")</f>
        <v/>
      </c>
      <c r="X19" s="23">
        <f>IF(LEFT(T19,8)="Revenue|",-N(O19),0)+IF(LEFT(U19,8)="Revenue|",-N(N19),0)+IF(LEFT(V19,8)="Revenue|",N(L19),0)+IF(LEFT(W19,8)="Revenue|",N(M19),0)</f>
        <v/>
      </c>
      <c r="Y19" s="23">
        <f>IF(LEFT(T19,5)="COGS|",N(O19),0)+IF(LEFT(U19,5)="COGS|",N(N19),0)+IF(LEFT(V19,5)="COGS|",-N(L19),0)+IF(LEFT(W19,5)="COGS|",-N(M19),0)</f>
        <v/>
      </c>
      <c r="Z19" s="23">
        <f>IF(LEFT(T19,8)="Expense|",N(O19),0)+IF(LEFT(U19,8)="Expense|",N(N19),0)+IF(LEFT(V19,8)="Expense|",-N(L19),0)+IF(LEFT(W19,8)="Expense|",-N(M19),0)</f>
        <v/>
      </c>
      <c r="AA19" s="23">
        <f>IF(ISNUMBER(MATCH(T19,{"Expense|employee","Expense|general_admin","Expense|marketing","Expense|utilities","Expense|other_operating"},0)),N(O19),0)+IF(ISNUMBER(MATCH(U19,{"Expense|employee","Expense|general_admin","Expense|marketing","Expense|utilities","Expense|other_operating"},0)),N(N19),0)+IF(ISNUMBER(MATCH(V19,{"Expense|employee","Expense|general_admin","Expense|marketing","Expense|utilities","Expense|other_operating"},0)),-N(L19),0)+IF(ISNUMBER(MATCH(W19,{"Expense|employee","Expense|general_admin","Expense|marketing","Expense|utilities","Expense|other_operating"},0)),-N(M19),0)</f>
        <v/>
      </c>
      <c r="AB19" s="23">
        <f>IF(T19="Liability|payable",-N(O19),0)+IF(U19="Liability|payable",-N(N19),0)+IF(V19="Liability|payable",N(L19),0)+IF(W19="Liability|payable",N(M19),0)</f>
        <v/>
      </c>
      <c r="AC19" s="23">
        <f>IF(T19="Liability|accrued",-N(O19),0)+IF(U19="Liability|accrued",-N(N19),0)+IF(V19="Liability|accrued",N(L19),0)+IF(W19="Liability|accrued",N(M19),0)</f>
        <v/>
      </c>
      <c r="AD19" s="23">
        <f>IF(AND(N(O19)&lt;&gt;0,T19=""),1,0)+IF(AND(N(N19)&lt;&gt;0,U19=""),1,0)+IF(AND(N(L19)&lt;&gt;0,V19=""),1,0)+IF(AND(N(M19)&lt;&gt;0,W19=""),1,0)</f>
        <v/>
      </c>
    </row>
    <row r="20">
      <c r="A20" s="14" t="n"/>
      <c r="B20" s="19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21">
        <f>SUMIFS('Invoice Lines'!$I:$I,'Invoice Lines'!$A:$A,A20)</f>
        <v/>
      </c>
      <c r="L20" s="21">
        <f>IF(E20="Draft",0,K20)</f>
        <v/>
      </c>
      <c r="M20" s="21">
        <f>ROUND(L20*IFERROR(VLOOKUP(I20,'Tax Codes'!$A$5:$E$300,5,FALSE),0),2)</f>
        <v/>
      </c>
      <c r="N20" s="21">
        <f>ROUND(L20*IFERROR(VLOOKUP(J20,'Tax Codes'!$A$5:$E$300,5,FALSE),0),2)</f>
        <v/>
      </c>
      <c r="O20" s="21">
        <f>L20+M20-N20</f>
        <v/>
      </c>
      <c r="P20" s="16">
        <f>IF(F20="",INDEX('Chart of Accounts'!$A$5:$A$3000,MATCH("ar",'Chart of Accounts'!$F$5:$F$3000,0)),F20&amp;"")</f>
        <v/>
      </c>
      <c r="Q20" s="16">
        <f>IF(G20="",INDEX('Chart of Accounts'!$A$5:$A$3000,MATCH("revenue",'Chart of Accounts'!$F$5:$F$3000,0)),G20&amp;"")</f>
        <v/>
      </c>
      <c r="R20" s="16">
        <f>INDEX('Chart of Accounts'!$A$5:$A$3000,MATCH("wht_receivable",'Chart of Accounts'!$F$5:$F$3000,0))</f>
        <v/>
      </c>
      <c r="S20" s="16">
        <f>INDEX('Chart of Accounts'!$A$5:$A$3000,MATCH("vat_output",'Chart of Accounts'!$F$5:$F$3000,0))</f>
        <v/>
      </c>
      <c r="T20" s="23">
        <f>IFERROR(INDEX('Chart of Accounts'!$C$5:$C$3000,MATCH(P20&amp;"",'Chart of Accounts'!$A$5:$A$3000,0))&amp;"|"&amp;INDEX('Chart of Accounts'!$D$5:$D$3000,MATCH(P20&amp;"",'Chart of Accounts'!$A$5:$A$3000,0)),"")</f>
        <v/>
      </c>
      <c r="U20" s="23">
        <f>IFERROR(INDEX('Chart of Accounts'!$C$5:$C$3000,MATCH(R20&amp;"",'Chart of Accounts'!$A$5:$A$3000,0))&amp;"|"&amp;INDEX('Chart of Accounts'!$D$5:$D$3000,MATCH(R20&amp;"",'Chart of Accounts'!$A$5:$A$3000,0)),"")</f>
        <v/>
      </c>
      <c r="V20" s="23">
        <f>IFERROR(INDEX('Chart of Accounts'!$C$5:$C$3000,MATCH(Q20&amp;"",'Chart of Accounts'!$A$5:$A$3000,0))&amp;"|"&amp;INDEX('Chart of Accounts'!$D$5:$D$3000,MATCH(Q20&amp;"",'Chart of Accounts'!$A$5:$A$3000,0)),"")</f>
        <v/>
      </c>
      <c r="W20" s="23">
        <f>IFERROR(INDEX('Chart of Accounts'!$C$5:$C$3000,MATCH(S20&amp;"",'Chart of Accounts'!$A$5:$A$3000,0))&amp;"|"&amp;INDEX('Chart of Accounts'!$D$5:$D$3000,MATCH(S20&amp;"",'Chart of Accounts'!$A$5:$A$3000,0)),"")</f>
        <v/>
      </c>
      <c r="X20" s="23">
        <f>IF(LEFT(T20,8)="Revenue|",-N(O20),0)+IF(LEFT(U20,8)="Revenue|",-N(N20),0)+IF(LEFT(V20,8)="Revenue|",N(L20),0)+IF(LEFT(W20,8)="Revenue|",N(M20),0)</f>
        <v/>
      </c>
      <c r="Y20" s="23">
        <f>IF(LEFT(T20,5)="COGS|",N(O20),0)+IF(LEFT(U20,5)="COGS|",N(N20),0)+IF(LEFT(V20,5)="COGS|",-N(L20),0)+IF(LEFT(W20,5)="COGS|",-N(M20),0)</f>
        <v/>
      </c>
      <c r="Z20" s="23">
        <f>IF(LEFT(T20,8)="Expense|",N(O20),0)+IF(LEFT(U20,8)="Expense|",N(N20),0)+IF(LEFT(V20,8)="Expense|",-N(L20),0)+IF(LEFT(W20,8)="Expense|",-N(M20),0)</f>
        <v/>
      </c>
      <c r="AA20" s="23">
        <f>IF(ISNUMBER(MATCH(T20,{"Expense|employee","Expense|general_admin","Expense|marketing","Expense|utilities","Expense|other_operating"},0)),N(O20),0)+IF(ISNUMBER(MATCH(U20,{"Expense|employee","Expense|general_admin","Expense|marketing","Expense|utilities","Expense|other_operating"},0)),N(N20),0)+IF(ISNUMBER(MATCH(V20,{"Expense|employee","Expense|general_admin","Expense|marketing","Expense|utilities","Expense|other_operating"},0)),-N(L20),0)+IF(ISNUMBER(MATCH(W20,{"Expense|employee","Expense|general_admin","Expense|marketing","Expense|utilities","Expense|other_operating"},0)),-N(M20),0)</f>
        <v/>
      </c>
      <c r="AB20" s="23">
        <f>IF(T20="Liability|payable",-N(O20),0)+IF(U20="Liability|payable",-N(N20),0)+IF(V20="Liability|payable",N(L20),0)+IF(W20="Liability|payable",N(M20),0)</f>
        <v/>
      </c>
      <c r="AC20" s="23">
        <f>IF(T20="Liability|accrued",-N(O20),0)+IF(U20="Liability|accrued",-N(N20),0)+IF(V20="Liability|accrued",N(L20),0)+IF(W20="Liability|accrued",N(M20),0)</f>
        <v/>
      </c>
      <c r="AD20" s="23">
        <f>IF(AND(N(O20)&lt;&gt;0,T20=""),1,0)+IF(AND(N(N20)&lt;&gt;0,U20=""),1,0)+IF(AND(N(L20)&lt;&gt;0,V20=""),1,0)+IF(AND(N(M20)&lt;&gt;0,W20=""),1,0)</f>
        <v/>
      </c>
    </row>
    <row r="21">
      <c r="A21" s="14" t="n"/>
      <c r="B21" s="19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21">
        <f>SUMIFS('Invoice Lines'!$I:$I,'Invoice Lines'!$A:$A,A21)</f>
        <v/>
      </c>
      <c r="L21" s="21">
        <f>IF(E21="Draft",0,K21)</f>
        <v/>
      </c>
      <c r="M21" s="21">
        <f>ROUND(L21*IFERROR(VLOOKUP(I21,'Tax Codes'!$A$5:$E$300,5,FALSE),0),2)</f>
        <v/>
      </c>
      <c r="N21" s="21">
        <f>ROUND(L21*IFERROR(VLOOKUP(J21,'Tax Codes'!$A$5:$E$300,5,FALSE),0),2)</f>
        <v/>
      </c>
      <c r="O21" s="21">
        <f>L21+M21-N21</f>
        <v/>
      </c>
      <c r="P21" s="16">
        <f>IF(F21="",INDEX('Chart of Accounts'!$A$5:$A$3000,MATCH("ar",'Chart of Accounts'!$F$5:$F$3000,0)),F21&amp;"")</f>
        <v/>
      </c>
      <c r="Q21" s="16">
        <f>IF(G21="",INDEX('Chart of Accounts'!$A$5:$A$3000,MATCH("revenue",'Chart of Accounts'!$F$5:$F$3000,0)),G21&amp;"")</f>
        <v/>
      </c>
      <c r="R21" s="16">
        <f>INDEX('Chart of Accounts'!$A$5:$A$3000,MATCH("wht_receivable",'Chart of Accounts'!$F$5:$F$3000,0))</f>
        <v/>
      </c>
      <c r="S21" s="16">
        <f>INDEX('Chart of Accounts'!$A$5:$A$3000,MATCH("vat_output",'Chart of Accounts'!$F$5:$F$3000,0))</f>
        <v/>
      </c>
      <c r="T21" s="23">
        <f>IFERROR(INDEX('Chart of Accounts'!$C$5:$C$3000,MATCH(P21&amp;"",'Chart of Accounts'!$A$5:$A$3000,0))&amp;"|"&amp;INDEX('Chart of Accounts'!$D$5:$D$3000,MATCH(P21&amp;"",'Chart of Accounts'!$A$5:$A$3000,0)),"")</f>
        <v/>
      </c>
      <c r="U21" s="23">
        <f>IFERROR(INDEX('Chart of Accounts'!$C$5:$C$3000,MATCH(R21&amp;"",'Chart of Accounts'!$A$5:$A$3000,0))&amp;"|"&amp;INDEX('Chart of Accounts'!$D$5:$D$3000,MATCH(R21&amp;"",'Chart of Accounts'!$A$5:$A$3000,0)),"")</f>
        <v/>
      </c>
      <c r="V21" s="23">
        <f>IFERROR(INDEX('Chart of Accounts'!$C$5:$C$3000,MATCH(Q21&amp;"",'Chart of Accounts'!$A$5:$A$3000,0))&amp;"|"&amp;INDEX('Chart of Accounts'!$D$5:$D$3000,MATCH(Q21&amp;"",'Chart of Accounts'!$A$5:$A$3000,0)),"")</f>
        <v/>
      </c>
      <c r="W21" s="23">
        <f>IFERROR(INDEX('Chart of Accounts'!$C$5:$C$3000,MATCH(S21&amp;"",'Chart of Accounts'!$A$5:$A$3000,0))&amp;"|"&amp;INDEX('Chart of Accounts'!$D$5:$D$3000,MATCH(S21&amp;"",'Chart of Accounts'!$A$5:$A$3000,0)),"")</f>
        <v/>
      </c>
      <c r="X21" s="23">
        <f>IF(LEFT(T21,8)="Revenue|",-N(O21),0)+IF(LEFT(U21,8)="Revenue|",-N(N21),0)+IF(LEFT(V21,8)="Revenue|",N(L21),0)+IF(LEFT(W21,8)="Revenue|",N(M21),0)</f>
        <v/>
      </c>
      <c r="Y21" s="23">
        <f>IF(LEFT(T21,5)="COGS|",N(O21),0)+IF(LEFT(U21,5)="COGS|",N(N21),0)+IF(LEFT(V21,5)="COGS|",-N(L21),0)+IF(LEFT(W21,5)="COGS|",-N(M21),0)</f>
        <v/>
      </c>
      <c r="Z21" s="23">
        <f>IF(LEFT(T21,8)="Expense|",N(O21),0)+IF(LEFT(U21,8)="Expense|",N(N21),0)+IF(LEFT(V21,8)="Expense|",-N(L21),0)+IF(LEFT(W21,8)="Expense|",-N(M21),0)</f>
        <v/>
      </c>
      <c r="AA21" s="23">
        <f>IF(ISNUMBER(MATCH(T21,{"Expense|employee","Expense|general_admin","Expense|marketing","Expense|utilities","Expense|other_operating"},0)),N(O21),0)+IF(ISNUMBER(MATCH(U21,{"Expense|employee","Expense|general_admin","Expense|marketing","Expense|utilities","Expense|other_operating"},0)),N(N21),0)+IF(ISNUMBER(MATCH(V21,{"Expense|employee","Expense|general_admin","Expense|marketing","Expense|utilities","Expense|other_operating"},0)),-N(L21),0)+IF(ISNUMBER(MATCH(W21,{"Expense|employee","Expense|general_admin","Expense|marketing","Expense|utilities","Expense|other_operating"},0)),-N(M21),0)</f>
        <v/>
      </c>
      <c r="AB21" s="23">
        <f>IF(T21="Liability|payable",-N(O21),0)+IF(U21="Liability|payable",-N(N21),0)+IF(V21="Liability|payable",N(L21),0)+IF(W21="Liability|payable",N(M21),0)</f>
        <v/>
      </c>
      <c r="AC21" s="23">
        <f>IF(T21="Liability|accrued",-N(O21),0)+IF(U21="Liability|accrued",-N(N21),0)+IF(V21="Liability|accrued",N(L21),0)+IF(W21="Liability|accrued",N(M21),0)</f>
        <v/>
      </c>
      <c r="AD21" s="23">
        <f>IF(AND(N(O21)&lt;&gt;0,T21=""),1,0)+IF(AND(N(N21)&lt;&gt;0,U21=""),1,0)+IF(AND(N(L21)&lt;&gt;0,V21=""),1,0)+IF(AND(N(M21)&lt;&gt;0,W21=""),1,0)</f>
        <v/>
      </c>
    </row>
    <row r="22">
      <c r="A22" s="14" t="n"/>
      <c r="B22" s="19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21">
        <f>SUMIFS('Invoice Lines'!$I:$I,'Invoice Lines'!$A:$A,A22)</f>
        <v/>
      </c>
      <c r="L22" s="21">
        <f>IF(E22="Draft",0,K22)</f>
        <v/>
      </c>
      <c r="M22" s="21">
        <f>ROUND(L22*IFERROR(VLOOKUP(I22,'Tax Codes'!$A$5:$E$300,5,FALSE),0),2)</f>
        <v/>
      </c>
      <c r="N22" s="21">
        <f>ROUND(L22*IFERROR(VLOOKUP(J22,'Tax Codes'!$A$5:$E$300,5,FALSE),0),2)</f>
        <v/>
      </c>
      <c r="O22" s="21">
        <f>L22+M22-N22</f>
        <v/>
      </c>
      <c r="P22" s="16">
        <f>IF(F22="",INDEX('Chart of Accounts'!$A$5:$A$3000,MATCH("ar",'Chart of Accounts'!$F$5:$F$3000,0)),F22&amp;"")</f>
        <v/>
      </c>
      <c r="Q22" s="16">
        <f>IF(G22="",INDEX('Chart of Accounts'!$A$5:$A$3000,MATCH("revenue",'Chart of Accounts'!$F$5:$F$3000,0)),G22&amp;"")</f>
        <v/>
      </c>
      <c r="R22" s="16">
        <f>INDEX('Chart of Accounts'!$A$5:$A$3000,MATCH("wht_receivable",'Chart of Accounts'!$F$5:$F$3000,0))</f>
        <v/>
      </c>
      <c r="S22" s="16">
        <f>INDEX('Chart of Accounts'!$A$5:$A$3000,MATCH("vat_output",'Chart of Accounts'!$F$5:$F$3000,0))</f>
        <v/>
      </c>
      <c r="T22" s="23">
        <f>IFERROR(INDEX('Chart of Accounts'!$C$5:$C$3000,MATCH(P22&amp;"",'Chart of Accounts'!$A$5:$A$3000,0))&amp;"|"&amp;INDEX('Chart of Accounts'!$D$5:$D$3000,MATCH(P22&amp;"",'Chart of Accounts'!$A$5:$A$3000,0)),"")</f>
        <v/>
      </c>
      <c r="U22" s="23">
        <f>IFERROR(INDEX('Chart of Accounts'!$C$5:$C$3000,MATCH(R22&amp;"",'Chart of Accounts'!$A$5:$A$3000,0))&amp;"|"&amp;INDEX('Chart of Accounts'!$D$5:$D$3000,MATCH(R22&amp;"",'Chart of Accounts'!$A$5:$A$3000,0)),"")</f>
        <v/>
      </c>
      <c r="V22" s="23">
        <f>IFERROR(INDEX('Chart of Accounts'!$C$5:$C$3000,MATCH(Q22&amp;"",'Chart of Accounts'!$A$5:$A$3000,0))&amp;"|"&amp;INDEX('Chart of Accounts'!$D$5:$D$3000,MATCH(Q22&amp;"",'Chart of Accounts'!$A$5:$A$3000,0)),"")</f>
        <v/>
      </c>
      <c r="W22" s="23">
        <f>IFERROR(INDEX('Chart of Accounts'!$C$5:$C$3000,MATCH(S22&amp;"",'Chart of Accounts'!$A$5:$A$3000,0))&amp;"|"&amp;INDEX('Chart of Accounts'!$D$5:$D$3000,MATCH(S22&amp;"",'Chart of Accounts'!$A$5:$A$3000,0)),"")</f>
        <v/>
      </c>
      <c r="X22" s="23">
        <f>IF(LEFT(T22,8)="Revenue|",-N(O22),0)+IF(LEFT(U22,8)="Revenue|",-N(N22),0)+IF(LEFT(V22,8)="Revenue|",N(L22),0)+IF(LEFT(W22,8)="Revenue|",N(M22),0)</f>
        <v/>
      </c>
      <c r="Y22" s="23">
        <f>IF(LEFT(T22,5)="COGS|",N(O22),0)+IF(LEFT(U22,5)="COGS|",N(N22),0)+IF(LEFT(V22,5)="COGS|",-N(L22),0)+IF(LEFT(W22,5)="COGS|",-N(M22),0)</f>
        <v/>
      </c>
      <c r="Z22" s="23">
        <f>IF(LEFT(T22,8)="Expense|",N(O22),0)+IF(LEFT(U22,8)="Expense|",N(N22),0)+IF(LEFT(V22,8)="Expense|",-N(L22),0)+IF(LEFT(W22,8)="Expense|",-N(M22),0)</f>
        <v/>
      </c>
      <c r="AA22" s="23">
        <f>IF(ISNUMBER(MATCH(T22,{"Expense|employee","Expense|general_admin","Expense|marketing","Expense|utilities","Expense|other_operating"},0)),N(O22),0)+IF(ISNUMBER(MATCH(U22,{"Expense|employee","Expense|general_admin","Expense|marketing","Expense|utilities","Expense|other_operating"},0)),N(N22),0)+IF(ISNUMBER(MATCH(V22,{"Expense|employee","Expense|general_admin","Expense|marketing","Expense|utilities","Expense|other_operating"},0)),-N(L22),0)+IF(ISNUMBER(MATCH(W22,{"Expense|employee","Expense|general_admin","Expense|marketing","Expense|utilities","Expense|other_operating"},0)),-N(M22),0)</f>
        <v/>
      </c>
      <c r="AB22" s="23">
        <f>IF(T22="Liability|payable",-N(O22),0)+IF(U22="Liability|payable",-N(N22),0)+IF(V22="Liability|payable",N(L22),0)+IF(W22="Liability|payable",N(M22),0)</f>
        <v/>
      </c>
      <c r="AC22" s="23">
        <f>IF(T22="Liability|accrued",-N(O22),0)+IF(U22="Liability|accrued",-N(N22),0)+IF(V22="Liability|accrued",N(L22),0)+IF(W22="Liability|accrued",N(M22),0)</f>
        <v/>
      </c>
      <c r="AD22" s="23">
        <f>IF(AND(N(O22)&lt;&gt;0,T22=""),1,0)+IF(AND(N(N22)&lt;&gt;0,U22=""),1,0)+IF(AND(N(L22)&lt;&gt;0,V22=""),1,0)+IF(AND(N(M22)&lt;&gt;0,W22=""),1,0)</f>
        <v/>
      </c>
    </row>
    <row r="23">
      <c r="A23" s="14" t="n"/>
      <c r="B23" s="19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21">
        <f>SUMIFS('Invoice Lines'!$I:$I,'Invoice Lines'!$A:$A,A23)</f>
        <v/>
      </c>
      <c r="L23" s="21">
        <f>IF(E23="Draft",0,K23)</f>
        <v/>
      </c>
      <c r="M23" s="21">
        <f>ROUND(L23*IFERROR(VLOOKUP(I23,'Tax Codes'!$A$5:$E$300,5,FALSE),0),2)</f>
        <v/>
      </c>
      <c r="N23" s="21">
        <f>ROUND(L23*IFERROR(VLOOKUP(J23,'Tax Codes'!$A$5:$E$300,5,FALSE),0),2)</f>
        <v/>
      </c>
      <c r="O23" s="21">
        <f>L23+M23-N23</f>
        <v/>
      </c>
      <c r="P23" s="16">
        <f>IF(F23="",INDEX('Chart of Accounts'!$A$5:$A$3000,MATCH("ar",'Chart of Accounts'!$F$5:$F$3000,0)),F23&amp;"")</f>
        <v/>
      </c>
      <c r="Q23" s="16">
        <f>IF(G23="",INDEX('Chart of Accounts'!$A$5:$A$3000,MATCH("revenue",'Chart of Accounts'!$F$5:$F$3000,0)),G23&amp;"")</f>
        <v/>
      </c>
      <c r="R23" s="16">
        <f>INDEX('Chart of Accounts'!$A$5:$A$3000,MATCH("wht_receivable",'Chart of Accounts'!$F$5:$F$3000,0))</f>
        <v/>
      </c>
      <c r="S23" s="16">
        <f>INDEX('Chart of Accounts'!$A$5:$A$3000,MATCH("vat_output",'Chart of Accounts'!$F$5:$F$3000,0))</f>
        <v/>
      </c>
      <c r="T23" s="23">
        <f>IFERROR(INDEX('Chart of Accounts'!$C$5:$C$3000,MATCH(P23&amp;"",'Chart of Accounts'!$A$5:$A$3000,0))&amp;"|"&amp;INDEX('Chart of Accounts'!$D$5:$D$3000,MATCH(P23&amp;"",'Chart of Accounts'!$A$5:$A$3000,0)),"")</f>
        <v/>
      </c>
      <c r="U23" s="23">
        <f>IFERROR(INDEX('Chart of Accounts'!$C$5:$C$3000,MATCH(R23&amp;"",'Chart of Accounts'!$A$5:$A$3000,0))&amp;"|"&amp;INDEX('Chart of Accounts'!$D$5:$D$3000,MATCH(R23&amp;"",'Chart of Accounts'!$A$5:$A$3000,0)),"")</f>
        <v/>
      </c>
      <c r="V23" s="23">
        <f>IFERROR(INDEX('Chart of Accounts'!$C$5:$C$3000,MATCH(Q23&amp;"",'Chart of Accounts'!$A$5:$A$3000,0))&amp;"|"&amp;INDEX('Chart of Accounts'!$D$5:$D$3000,MATCH(Q23&amp;"",'Chart of Accounts'!$A$5:$A$3000,0)),"")</f>
        <v/>
      </c>
      <c r="W23" s="23">
        <f>IFERROR(INDEX('Chart of Accounts'!$C$5:$C$3000,MATCH(S23&amp;"",'Chart of Accounts'!$A$5:$A$3000,0))&amp;"|"&amp;INDEX('Chart of Accounts'!$D$5:$D$3000,MATCH(S23&amp;"",'Chart of Accounts'!$A$5:$A$3000,0)),"")</f>
        <v/>
      </c>
      <c r="X23" s="23">
        <f>IF(LEFT(T23,8)="Revenue|",-N(O23),0)+IF(LEFT(U23,8)="Revenue|",-N(N23),0)+IF(LEFT(V23,8)="Revenue|",N(L23),0)+IF(LEFT(W23,8)="Revenue|",N(M23),0)</f>
        <v/>
      </c>
      <c r="Y23" s="23">
        <f>IF(LEFT(T23,5)="COGS|",N(O23),0)+IF(LEFT(U23,5)="COGS|",N(N23),0)+IF(LEFT(V23,5)="COGS|",-N(L23),0)+IF(LEFT(W23,5)="COGS|",-N(M23),0)</f>
        <v/>
      </c>
      <c r="Z23" s="23">
        <f>IF(LEFT(T23,8)="Expense|",N(O23),0)+IF(LEFT(U23,8)="Expense|",N(N23),0)+IF(LEFT(V23,8)="Expense|",-N(L23),0)+IF(LEFT(W23,8)="Expense|",-N(M23),0)</f>
        <v/>
      </c>
      <c r="AA23" s="23">
        <f>IF(ISNUMBER(MATCH(T23,{"Expense|employee","Expense|general_admin","Expense|marketing","Expense|utilities","Expense|other_operating"},0)),N(O23),0)+IF(ISNUMBER(MATCH(U23,{"Expense|employee","Expense|general_admin","Expense|marketing","Expense|utilities","Expense|other_operating"},0)),N(N23),0)+IF(ISNUMBER(MATCH(V23,{"Expense|employee","Expense|general_admin","Expense|marketing","Expense|utilities","Expense|other_operating"},0)),-N(L23),0)+IF(ISNUMBER(MATCH(W23,{"Expense|employee","Expense|general_admin","Expense|marketing","Expense|utilities","Expense|other_operating"},0)),-N(M23),0)</f>
        <v/>
      </c>
      <c r="AB23" s="23">
        <f>IF(T23="Liability|payable",-N(O23),0)+IF(U23="Liability|payable",-N(N23),0)+IF(V23="Liability|payable",N(L23),0)+IF(W23="Liability|payable",N(M23),0)</f>
        <v/>
      </c>
      <c r="AC23" s="23">
        <f>IF(T23="Liability|accrued",-N(O23),0)+IF(U23="Liability|accrued",-N(N23),0)+IF(V23="Liability|accrued",N(L23),0)+IF(W23="Liability|accrued",N(M23),0)</f>
        <v/>
      </c>
      <c r="AD23" s="23">
        <f>IF(AND(N(O23)&lt;&gt;0,T23=""),1,0)+IF(AND(N(N23)&lt;&gt;0,U23=""),1,0)+IF(AND(N(L23)&lt;&gt;0,V23=""),1,0)+IF(AND(N(M23)&lt;&gt;0,W23=""),1,0)</f>
        <v/>
      </c>
    </row>
    <row r="24">
      <c r="A24" s="14" t="n"/>
      <c r="B24" s="19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21">
        <f>SUMIFS('Invoice Lines'!$I:$I,'Invoice Lines'!$A:$A,A24)</f>
        <v/>
      </c>
      <c r="L24" s="21">
        <f>IF(E24="Draft",0,K24)</f>
        <v/>
      </c>
      <c r="M24" s="21">
        <f>ROUND(L24*IFERROR(VLOOKUP(I24,'Tax Codes'!$A$5:$E$300,5,FALSE),0),2)</f>
        <v/>
      </c>
      <c r="N24" s="21">
        <f>ROUND(L24*IFERROR(VLOOKUP(J24,'Tax Codes'!$A$5:$E$300,5,FALSE),0),2)</f>
        <v/>
      </c>
      <c r="O24" s="21">
        <f>L24+M24-N24</f>
        <v/>
      </c>
      <c r="P24" s="16">
        <f>IF(F24="",INDEX('Chart of Accounts'!$A$5:$A$3000,MATCH("ar",'Chart of Accounts'!$F$5:$F$3000,0)),F24&amp;"")</f>
        <v/>
      </c>
      <c r="Q24" s="16">
        <f>IF(G24="",INDEX('Chart of Accounts'!$A$5:$A$3000,MATCH("revenue",'Chart of Accounts'!$F$5:$F$3000,0)),G24&amp;"")</f>
        <v/>
      </c>
      <c r="R24" s="16">
        <f>INDEX('Chart of Accounts'!$A$5:$A$3000,MATCH("wht_receivable",'Chart of Accounts'!$F$5:$F$3000,0))</f>
        <v/>
      </c>
      <c r="S24" s="16">
        <f>INDEX('Chart of Accounts'!$A$5:$A$3000,MATCH("vat_output",'Chart of Accounts'!$F$5:$F$3000,0))</f>
        <v/>
      </c>
      <c r="T24" s="23">
        <f>IFERROR(INDEX('Chart of Accounts'!$C$5:$C$3000,MATCH(P24&amp;"",'Chart of Accounts'!$A$5:$A$3000,0))&amp;"|"&amp;INDEX('Chart of Accounts'!$D$5:$D$3000,MATCH(P24&amp;"",'Chart of Accounts'!$A$5:$A$3000,0)),"")</f>
        <v/>
      </c>
      <c r="U24" s="23">
        <f>IFERROR(INDEX('Chart of Accounts'!$C$5:$C$3000,MATCH(R24&amp;"",'Chart of Accounts'!$A$5:$A$3000,0))&amp;"|"&amp;INDEX('Chart of Accounts'!$D$5:$D$3000,MATCH(R24&amp;"",'Chart of Accounts'!$A$5:$A$3000,0)),"")</f>
        <v/>
      </c>
      <c r="V24" s="23">
        <f>IFERROR(INDEX('Chart of Accounts'!$C$5:$C$3000,MATCH(Q24&amp;"",'Chart of Accounts'!$A$5:$A$3000,0))&amp;"|"&amp;INDEX('Chart of Accounts'!$D$5:$D$3000,MATCH(Q24&amp;"",'Chart of Accounts'!$A$5:$A$3000,0)),"")</f>
        <v/>
      </c>
      <c r="W24" s="23">
        <f>IFERROR(INDEX('Chart of Accounts'!$C$5:$C$3000,MATCH(S24&amp;"",'Chart of Accounts'!$A$5:$A$3000,0))&amp;"|"&amp;INDEX('Chart of Accounts'!$D$5:$D$3000,MATCH(S24&amp;"",'Chart of Accounts'!$A$5:$A$3000,0)),"")</f>
        <v/>
      </c>
      <c r="X24" s="23">
        <f>IF(LEFT(T24,8)="Revenue|",-N(O24),0)+IF(LEFT(U24,8)="Revenue|",-N(N24),0)+IF(LEFT(V24,8)="Revenue|",N(L24),0)+IF(LEFT(W24,8)="Revenue|",N(M24),0)</f>
        <v/>
      </c>
      <c r="Y24" s="23">
        <f>IF(LEFT(T24,5)="COGS|",N(O24),0)+IF(LEFT(U24,5)="COGS|",N(N24),0)+IF(LEFT(V24,5)="COGS|",-N(L24),0)+IF(LEFT(W24,5)="COGS|",-N(M24),0)</f>
        <v/>
      </c>
      <c r="Z24" s="23">
        <f>IF(LEFT(T24,8)="Expense|",N(O24),0)+IF(LEFT(U24,8)="Expense|",N(N24),0)+IF(LEFT(V24,8)="Expense|",-N(L24),0)+IF(LEFT(W24,8)="Expense|",-N(M24),0)</f>
        <v/>
      </c>
      <c r="AA24" s="23">
        <f>IF(ISNUMBER(MATCH(T24,{"Expense|employee","Expense|general_admin","Expense|marketing","Expense|utilities","Expense|other_operating"},0)),N(O24),0)+IF(ISNUMBER(MATCH(U24,{"Expense|employee","Expense|general_admin","Expense|marketing","Expense|utilities","Expense|other_operating"},0)),N(N24),0)+IF(ISNUMBER(MATCH(V24,{"Expense|employee","Expense|general_admin","Expense|marketing","Expense|utilities","Expense|other_operating"},0)),-N(L24),0)+IF(ISNUMBER(MATCH(W24,{"Expense|employee","Expense|general_admin","Expense|marketing","Expense|utilities","Expense|other_operating"},0)),-N(M24),0)</f>
        <v/>
      </c>
      <c r="AB24" s="23">
        <f>IF(T24="Liability|payable",-N(O24),0)+IF(U24="Liability|payable",-N(N24),0)+IF(V24="Liability|payable",N(L24),0)+IF(W24="Liability|payable",N(M24),0)</f>
        <v/>
      </c>
      <c r="AC24" s="23">
        <f>IF(T24="Liability|accrued",-N(O24),0)+IF(U24="Liability|accrued",-N(N24),0)+IF(V24="Liability|accrued",N(L24),0)+IF(W24="Liability|accrued",N(M24),0)</f>
        <v/>
      </c>
      <c r="AD24" s="23">
        <f>IF(AND(N(O24)&lt;&gt;0,T24=""),1,0)+IF(AND(N(N24)&lt;&gt;0,U24=""),1,0)+IF(AND(N(L24)&lt;&gt;0,V24=""),1,0)+IF(AND(N(M24)&lt;&gt;0,W24=""),1,0)</f>
        <v/>
      </c>
    </row>
    <row r="25">
      <c r="A25" s="14" t="n"/>
      <c r="B25" s="19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21">
        <f>SUMIFS('Invoice Lines'!$I:$I,'Invoice Lines'!$A:$A,A25)</f>
        <v/>
      </c>
      <c r="L25" s="21">
        <f>IF(E25="Draft",0,K25)</f>
        <v/>
      </c>
      <c r="M25" s="21">
        <f>ROUND(L25*IFERROR(VLOOKUP(I25,'Tax Codes'!$A$5:$E$300,5,FALSE),0),2)</f>
        <v/>
      </c>
      <c r="N25" s="21">
        <f>ROUND(L25*IFERROR(VLOOKUP(J25,'Tax Codes'!$A$5:$E$300,5,FALSE),0),2)</f>
        <v/>
      </c>
      <c r="O25" s="21">
        <f>L25+M25-N25</f>
        <v/>
      </c>
      <c r="P25" s="16">
        <f>IF(F25="",INDEX('Chart of Accounts'!$A$5:$A$3000,MATCH("ar",'Chart of Accounts'!$F$5:$F$3000,0)),F25&amp;"")</f>
        <v/>
      </c>
      <c r="Q25" s="16">
        <f>IF(G25="",INDEX('Chart of Accounts'!$A$5:$A$3000,MATCH("revenue",'Chart of Accounts'!$F$5:$F$3000,0)),G25&amp;"")</f>
        <v/>
      </c>
      <c r="R25" s="16">
        <f>INDEX('Chart of Accounts'!$A$5:$A$3000,MATCH("wht_receivable",'Chart of Accounts'!$F$5:$F$3000,0))</f>
        <v/>
      </c>
      <c r="S25" s="16">
        <f>INDEX('Chart of Accounts'!$A$5:$A$3000,MATCH("vat_output",'Chart of Accounts'!$F$5:$F$3000,0))</f>
        <v/>
      </c>
      <c r="T25" s="23">
        <f>IFERROR(INDEX('Chart of Accounts'!$C$5:$C$3000,MATCH(P25&amp;"",'Chart of Accounts'!$A$5:$A$3000,0))&amp;"|"&amp;INDEX('Chart of Accounts'!$D$5:$D$3000,MATCH(P25&amp;"",'Chart of Accounts'!$A$5:$A$3000,0)),"")</f>
        <v/>
      </c>
      <c r="U25" s="23">
        <f>IFERROR(INDEX('Chart of Accounts'!$C$5:$C$3000,MATCH(R25&amp;"",'Chart of Accounts'!$A$5:$A$3000,0))&amp;"|"&amp;INDEX('Chart of Accounts'!$D$5:$D$3000,MATCH(R25&amp;"",'Chart of Accounts'!$A$5:$A$3000,0)),"")</f>
        <v/>
      </c>
      <c r="V25" s="23">
        <f>IFERROR(INDEX('Chart of Accounts'!$C$5:$C$3000,MATCH(Q25&amp;"",'Chart of Accounts'!$A$5:$A$3000,0))&amp;"|"&amp;INDEX('Chart of Accounts'!$D$5:$D$3000,MATCH(Q25&amp;"",'Chart of Accounts'!$A$5:$A$3000,0)),"")</f>
        <v/>
      </c>
      <c r="W25" s="23">
        <f>IFERROR(INDEX('Chart of Accounts'!$C$5:$C$3000,MATCH(S25&amp;"",'Chart of Accounts'!$A$5:$A$3000,0))&amp;"|"&amp;INDEX('Chart of Accounts'!$D$5:$D$3000,MATCH(S25&amp;"",'Chart of Accounts'!$A$5:$A$3000,0)),"")</f>
        <v/>
      </c>
      <c r="X25" s="23">
        <f>IF(LEFT(T25,8)="Revenue|",-N(O25),0)+IF(LEFT(U25,8)="Revenue|",-N(N25),0)+IF(LEFT(V25,8)="Revenue|",N(L25),0)+IF(LEFT(W25,8)="Revenue|",N(M25),0)</f>
        <v/>
      </c>
      <c r="Y25" s="23">
        <f>IF(LEFT(T25,5)="COGS|",N(O25),0)+IF(LEFT(U25,5)="COGS|",N(N25),0)+IF(LEFT(V25,5)="COGS|",-N(L25),0)+IF(LEFT(W25,5)="COGS|",-N(M25),0)</f>
        <v/>
      </c>
      <c r="Z25" s="23">
        <f>IF(LEFT(T25,8)="Expense|",N(O25),0)+IF(LEFT(U25,8)="Expense|",N(N25),0)+IF(LEFT(V25,8)="Expense|",-N(L25),0)+IF(LEFT(W25,8)="Expense|",-N(M25),0)</f>
        <v/>
      </c>
      <c r="AA25" s="23">
        <f>IF(ISNUMBER(MATCH(T25,{"Expense|employee","Expense|general_admin","Expense|marketing","Expense|utilities","Expense|other_operating"},0)),N(O25),0)+IF(ISNUMBER(MATCH(U25,{"Expense|employee","Expense|general_admin","Expense|marketing","Expense|utilities","Expense|other_operating"},0)),N(N25),0)+IF(ISNUMBER(MATCH(V25,{"Expense|employee","Expense|general_admin","Expense|marketing","Expense|utilities","Expense|other_operating"},0)),-N(L25),0)+IF(ISNUMBER(MATCH(W25,{"Expense|employee","Expense|general_admin","Expense|marketing","Expense|utilities","Expense|other_operating"},0)),-N(M25),0)</f>
        <v/>
      </c>
      <c r="AB25" s="23">
        <f>IF(T25="Liability|payable",-N(O25),0)+IF(U25="Liability|payable",-N(N25),0)+IF(V25="Liability|payable",N(L25),0)+IF(W25="Liability|payable",N(M25),0)</f>
        <v/>
      </c>
      <c r="AC25" s="23">
        <f>IF(T25="Liability|accrued",-N(O25),0)+IF(U25="Liability|accrued",-N(N25),0)+IF(V25="Liability|accrued",N(L25),0)+IF(W25="Liability|accrued",N(M25),0)</f>
        <v/>
      </c>
      <c r="AD25" s="23">
        <f>IF(AND(N(O25)&lt;&gt;0,T25=""),1,0)+IF(AND(N(N25)&lt;&gt;0,U25=""),1,0)+IF(AND(N(L25)&lt;&gt;0,V25=""),1,0)+IF(AND(N(M25)&lt;&gt;0,W25=""),1,0)</f>
        <v/>
      </c>
    </row>
    <row r="26">
      <c r="A26" s="14" t="n"/>
      <c r="B26" s="19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21">
        <f>SUMIFS('Invoice Lines'!$I:$I,'Invoice Lines'!$A:$A,A26)</f>
        <v/>
      </c>
      <c r="L26" s="21">
        <f>IF(E26="Draft",0,K26)</f>
        <v/>
      </c>
      <c r="M26" s="21">
        <f>ROUND(L26*IFERROR(VLOOKUP(I26,'Tax Codes'!$A$5:$E$300,5,FALSE),0),2)</f>
        <v/>
      </c>
      <c r="N26" s="21">
        <f>ROUND(L26*IFERROR(VLOOKUP(J26,'Tax Codes'!$A$5:$E$300,5,FALSE),0),2)</f>
        <v/>
      </c>
      <c r="O26" s="21">
        <f>L26+M26-N26</f>
        <v/>
      </c>
      <c r="P26" s="16">
        <f>IF(F26="",INDEX('Chart of Accounts'!$A$5:$A$3000,MATCH("ar",'Chart of Accounts'!$F$5:$F$3000,0)),F26&amp;"")</f>
        <v/>
      </c>
      <c r="Q26" s="16">
        <f>IF(G26="",INDEX('Chart of Accounts'!$A$5:$A$3000,MATCH("revenue",'Chart of Accounts'!$F$5:$F$3000,0)),G26&amp;"")</f>
        <v/>
      </c>
      <c r="R26" s="16">
        <f>INDEX('Chart of Accounts'!$A$5:$A$3000,MATCH("wht_receivable",'Chart of Accounts'!$F$5:$F$3000,0))</f>
        <v/>
      </c>
      <c r="S26" s="16">
        <f>INDEX('Chart of Accounts'!$A$5:$A$3000,MATCH("vat_output",'Chart of Accounts'!$F$5:$F$3000,0))</f>
        <v/>
      </c>
      <c r="T26" s="23">
        <f>IFERROR(INDEX('Chart of Accounts'!$C$5:$C$3000,MATCH(P26&amp;"",'Chart of Accounts'!$A$5:$A$3000,0))&amp;"|"&amp;INDEX('Chart of Accounts'!$D$5:$D$3000,MATCH(P26&amp;"",'Chart of Accounts'!$A$5:$A$3000,0)),"")</f>
        <v/>
      </c>
      <c r="U26" s="23">
        <f>IFERROR(INDEX('Chart of Accounts'!$C$5:$C$3000,MATCH(R26&amp;"",'Chart of Accounts'!$A$5:$A$3000,0))&amp;"|"&amp;INDEX('Chart of Accounts'!$D$5:$D$3000,MATCH(R26&amp;"",'Chart of Accounts'!$A$5:$A$3000,0)),"")</f>
        <v/>
      </c>
      <c r="V26" s="23">
        <f>IFERROR(INDEX('Chart of Accounts'!$C$5:$C$3000,MATCH(Q26&amp;"",'Chart of Accounts'!$A$5:$A$3000,0))&amp;"|"&amp;INDEX('Chart of Accounts'!$D$5:$D$3000,MATCH(Q26&amp;"",'Chart of Accounts'!$A$5:$A$3000,0)),"")</f>
        <v/>
      </c>
      <c r="W26" s="23">
        <f>IFERROR(INDEX('Chart of Accounts'!$C$5:$C$3000,MATCH(S26&amp;"",'Chart of Accounts'!$A$5:$A$3000,0))&amp;"|"&amp;INDEX('Chart of Accounts'!$D$5:$D$3000,MATCH(S26&amp;"",'Chart of Accounts'!$A$5:$A$3000,0)),"")</f>
        <v/>
      </c>
      <c r="X26" s="23">
        <f>IF(LEFT(T26,8)="Revenue|",-N(O26),0)+IF(LEFT(U26,8)="Revenue|",-N(N26),0)+IF(LEFT(V26,8)="Revenue|",N(L26),0)+IF(LEFT(W26,8)="Revenue|",N(M26),0)</f>
        <v/>
      </c>
      <c r="Y26" s="23">
        <f>IF(LEFT(T26,5)="COGS|",N(O26),0)+IF(LEFT(U26,5)="COGS|",N(N26),0)+IF(LEFT(V26,5)="COGS|",-N(L26),0)+IF(LEFT(W26,5)="COGS|",-N(M26),0)</f>
        <v/>
      </c>
      <c r="Z26" s="23">
        <f>IF(LEFT(T26,8)="Expense|",N(O26),0)+IF(LEFT(U26,8)="Expense|",N(N26),0)+IF(LEFT(V26,8)="Expense|",-N(L26),0)+IF(LEFT(W26,8)="Expense|",-N(M26),0)</f>
        <v/>
      </c>
      <c r="AA26" s="23">
        <f>IF(ISNUMBER(MATCH(T26,{"Expense|employee","Expense|general_admin","Expense|marketing","Expense|utilities","Expense|other_operating"},0)),N(O26),0)+IF(ISNUMBER(MATCH(U26,{"Expense|employee","Expense|general_admin","Expense|marketing","Expense|utilities","Expense|other_operating"},0)),N(N26),0)+IF(ISNUMBER(MATCH(V26,{"Expense|employee","Expense|general_admin","Expense|marketing","Expense|utilities","Expense|other_operating"},0)),-N(L26),0)+IF(ISNUMBER(MATCH(W26,{"Expense|employee","Expense|general_admin","Expense|marketing","Expense|utilities","Expense|other_operating"},0)),-N(M26),0)</f>
        <v/>
      </c>
      <c r="AB26" s="23">
        <f>IF(T26="Liability|payable",-N(O26),0)+IF(U26="Liability|payable",-N(N26),0)+IF(V26="Liability|payable",N(L26),0)+IF(W26="Liability|payable",N(M26),0)</f>
        <v/>
      </c>
      <c r="AC26" s="23">
        <f>IF(T26="Liability|accrued",-N(O26),0)+IF(U26="Liability|accrued",-N(N26),0)+IF(V26="Liability|accrued",N(L26),0)+IF(W26="Liability|accrued",N(M26),0)</f>
        <v/>
      </c>
      <c r="AD26" s="23">
        <f>IF(AND(N(O26)&lt;&gt;0,T26=""),1,0)+IF(AND(N(N26)&lt;&gt;0,U26=""),1,0)+IF(AND(N(L26)&lt;&gt;0,V26=""),1,0)+IF(AND(N(M26)&lt;&gt;0,W26=""),1,0)</f>
        <v/>
      </c>
    </row>
    <row r="27">
      <c r="A27" s="14" t="n"/>
      <c r="B27" s="19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21">
        <f>SUMIFS('Invoice Lines'!$I:$I,'Invoice Lines'!$A:$A,A27)</f>
        <v/>
      </c>
      <c r="L27" s="21">
        <f>IF(E27="Draft",0,K27)</f>
        <v/>
      </c>
      <c r="M27" s="21">
        <f>ROUND(L27*IFERROR(VLOOKUP(I27,'Tax Codes'!$A$5:$E$300,5,FALSE),0),2)</f>
        <v/>
      </c>
      <c r="N27" s="21">
        <f>ROUND(L27*IFERROR(VLOOKUP(J27,'Tax Codes'!$A$5:$E$300,5,FALSE),0),2)</f>
        <v/>
      </c>
      <c r="O27" s="21">
        <f>L27+M27-N27</f>
        <v/>
      </c>
      <c r="P27" s="16">
        <f>IF(F27="",INDEX('Chart of Accounts'!$A$5:$A$3000,MATCH("ar",'Chart of Accounts'!$F$5:$F$3000,0)),F27&amp;"")</f>
        <v/>
      </c>
      <c r="Q27" s="16">
        <f>IF(G27="",INDEX('Chart of Accounts'!$A$5:$A$3000,MATCH("revenue",'Chart of Accounts'!$F$5:$F$3000,0)),G27&amp;"")</f>
        <v/>
      </c>
      <c r="R27" s="16">
        <f>INDEX('Chart of Accounts'!$A$5:$A$3000,MATCH("wht_receivable",'Chart of Accounts'!$F$5:$F$3000,0))</f>
        <v/>
      </c>
      <c r="S27" s="16">
        <f>INDEX('Chart of Accounts'!$A$5:$A$3000,MATCH("vat_output",'Chart of Accounts'!$F$5:$F$3000,0))</f>
        <v/>
      </c>
      <c r="T27" s="23">
        <f>IFERROR(INDEX('Chart of Accounts'!$C$5:$C$3000,MATCH(P27&amp;"",'Chart of Accounts'!$A$5:$A$3000,0))&amp;"|"&amp;INDEX('Chart of Accounts'!$D$5:$D$3000,MATCH(P27&amp;"",'Chart of Accounts'!$A$5:$A$3000,0)),"")</f>
        <v/>
      </c>
      <c r="U27" s="23">
        <f>IFERROR(INDEX('Chart of Accounts'!$C$5:$C$3000,MATCH(R27&amp;"",'Chart of Accounts'!$A$5:$A$3000,0))&amp;"|"&amp;INDEX('Chart of Accounts'!$D$5:$D$3000,MATCH(R27&amp;"",'Chart of Accounts'!$A$5:$A$3000,0)),"")</f>
        <v/>
      </c>
      <c r="V27" s="23">
        <f>IFERROR(INDEX('Chart of Accounts'!$C$5:$C$3000,MATCH(Q27&amp;"",'Chart of Accounts'!$A$5:$A$3000,0))&amp;"|"&amp;INDEX('Chart of Accounts'!$D$5:$D$3000,MATCH(Q27&amp;"",'Chart of Accounts'!$A$5:$A$3000,0)),"")</f>
        <v/>
      </c>
      <c r="W27" s="23">
        <f>IFERROR(INDEX('Chart of Accounts'!$C$5:$C$3000,MATCH(S27&amp;"",'Chart of Accounts'!$A$5:$A$3000,0))&amp;"|"&amp;INDEX('Chart of Accounts'!$D$5:$D$3000,MATCH(S27&amp;"",'Chart of Accounts'!$A$5:$A$3000,0)),"")</f>
        <v/>
      </c>
      <c r="X27" s="23">
        <f>IF(LEFT(T27,8)="Revenue|",-N(O27),0)+IF(LEFT(U27,8)="Revenue|",-N(N27),0)+IF(LEFT(V27,8)="Revenue|",N(L27),0)+IF(LEFT(W27,8)="Revenue|",N(M27),0)</f>
        <v/>
      </c>
      <c r="Y27" s="23">
        <f>IF(LEFT(T27,5)="COGS|",N(O27),0)+IF(LEFT(U27,5)="COGS|",N(N27),0)+IF(LEFT(V27,5)="COGS|",-N(L27),0)+IF(LEFT(W27,5)="COGS|",-N(M27),0)</f>
        <v/>
      </c>
      <c r="Z27" s="23">
        <f>IF(LEFT(T27,8)="Expense|",N(O27),0)+IF(LEFT(U27,8)="Expense|",N(N27),0)+IF(LEFT(V27,8)="Expense|",-N(L27),0)+IF(LEFT(W27,8)="Expense|",-N(M27),0)</f>
        <v/>
      </c>
      <c r="AA27" s="23">
        <f>IF(ISNUMBER(MATCH(T27,{"Expense|employee","Expense|general_admin","Expense|marketing","Expense|utilities","Expense|other_operating"},0)),N(O27),0)+IF(ISNUMBER(MATCH(U27,{"Expense|employee","Expense|general_admin","Expense|marketing","Expense|utilities","Expense|other_operating"},0)),N(N27),0)+IF(ISNUMBER(MATCH(V27,{"Expense|employee","Expense|general_admin","Expense|marketing","Expense|utilities","Expense|other_operating"},0)),-N(L27),0)+IF(ISNUMBER(MATCH(W27,{"Expense|employee","Expense|general_admin","Expense|marketing","Expense|utilities","Expense|other_operating"},0)),-N(M27),0)</f>
        <v/>
      </c>
      <c r="AB27" s="23">
        <f>IF(T27="Liability|payable",-N(O27),0)+IF(U27="Liability|payable",-N(N27),0)+IF(V27="Liability|payable",N(L27),0)+IF(W27="Liability|payable",N(M27),0)</f>
        <v/>
      </c>
      <c r="AC27" s="23">
        <f>IF(T27="Liability|accrued",-N(O27),0)+IF(U27="Liability|accrued",-N(N27),0)+IF(V27="Liability|accrued",N(L27),0)+IF(W27="Liability|accrued",N(M27),0)</f>
        <v/>
      </c>
      <c r="AD27" s="23">
        <f>IF(AND(N(O27)&lt;&gt;0,T27=""),1,0)+IF(AND(N(N27)&lt;&gt;0,U27=""),1,0)+IF(AND(N(L27)&lt;&gt;0,V27=""),1,0)+IF(AND(N(M27)&lt;&gt;0,W27=""),1,0)</f>
        <v/>
      </c>
    </row>
    <row r="28">
      <c r="A28" s="14" t="n"/>
      <c r="B28" s="19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21">
        <f>SUMIFS('Invoice Lines'!$I:$I,'Invoice Lines'!$A:$A,A28)</f>
        <v/>
      </c>
      <c r="L28" s="21">
        <f>IF(E28="Draft",0,K28)</f>
        <v/>
      </c>
      <c r="M28" s="21">
        <f>ROUND(L28*IFERROR(VLOOKUP(I28,'Tax Codes'!$A$5:$E$300,5,FALSE),0),2)</f>
        <v/>
      </c>
      <c r="N28" s="21">
        <f>ROUND(L28*IFERROR(VLOOKUP(J28,'Tax Codes'!$A$5:$E$300,5,FALSE),0),2)</f>
        <v/>
      </c>
      <c r="O28" s="21">
        <f>L28+M28-N28</f>
        <v/>
      </c>
      <c r="P28" s="16">
        <f>IF(F28="",INDEX('Chart of Accounts'!$A$5:$A$3000,MATCH("ar",'Chart of Accounts'!$F$5:$F$3000,0)),F28&amp;"")</f>
        <v/>
      </c>
      <c r="Q28" s="16">
        <f>IF(G28="",INDEX('Chart of Accounts'!$A$5:$A$3000,MATCH("revenue",'Chart of Accounts'!$F$5:$F$3000,0)),G28&amp;"")</f>
        <v/>
      </c>
      <c r="R28" s="16">
        <f>INDEX('Chart of Accounts'!$A$5:$A$3000,MATCH("wht_receivable",'Chart of Accounts'!$F$5:$F$3000,0))</f>
        <v/>
      </c>
      <c r="S28" s="16">
        <f>INDEX('Chart of Accounts'!$A$5:$A$3000,MATCH("vat_output",'Chart of Accounts'!$F$5:$F$3000,0))</f>
        <v/>
      </c>
      <c r="T28" s="23">
        <f>IFERROR(INDEX('Chart of Accounts'!$C$5:$C$3000,MATCH(P28&amp;"",'Chart of Accounts'!$A$5:$A$3000,0))&amp;"|"&amp;INDEX('Chart of Accounts'!$D$5:$D$3000,MATCH(P28&amp;"",'Chart of Accounts'!$A$5:$A$3000,0)),"")</f>
        <v/>
      </c>
      <c r="U28" s="23">
        <f>IFERROR(INDEX('Chart of Accounts'!$C$5:$C$3000,MATCH(R28&amp;"",'Chart of Accounts'!$A$5:$A$3000,0))&amp;"|"&amp;INDEX('Chart of Accounts'!$D$5:$D$3000,MATCH(R28&amp;"",'Chart of Accounts'!$A$5:$A$3000,0)),"")</f>
        <v/>
      </c>
      <c r="V28" s="23">
        <f>IFERROR(INDEX('Chart of Accounts'!$C$5:$C$3000,MATCH(Q28&amp;"",'Chart of Accounts'!$A$5:$A$3000,0))&amp;"|"&amp;INDEX('Chart of Accounts'!$D$5:$D$3000,MATCH(Q28&amp;"",'Chart of Accounts'!$A$5:$A$3000,0)),"")</f>
        <v/>
      </c>
      <c r="W28" s="23">
        <f>IFERROR(INDEX('Chart of Accounts'!$C$5:$C$3000,MATCH(S28&amp;"",'Chart of Accounts'!$A$5:$A$3000,0))&amp;"|"&amp;INDEX('Chart of Accounts'!$D$5:$D$3000,MATCH(S28&amp;"",'Chart of Accounts'!$A$5:$A$3000,0)),"")</f>
        <v/>
      </c>
      <c r="X28" s="23">
        <f>IF(LEFT(T28,8)="Revenue|",-N(O28),0)+IF(LEFT(U28,8)="Revenue|",-N(N28),0)+IF(LEFT(V28,8)="Revenue|",N(L28),0)+IF(LEFT(W28,8)="Revenue|",N(M28),0)</f>
        <v/>
      </c>
      <c r="Y28" s="23">
        <f>IF(LEFT(T28,5)="COGS|",N(O28),0)+IF(LEFT(U28,5)="COGS|",N(N28),0)+IF(LEFT(V28,5)="COGS|",-N(L28),0)+IF(LEFT(W28,5)="COGS|",-N(M28),0)</f>
        <v/>
      </c>
      <c r="Z28" s="23">
        <f>IF(LEFT(T28,8)="Expense|",N(O28),0)+IF(LEFT(U28,8)="Expense|",N(N28),0)+IF(LEFT(V28,8)="Expense|",-N(L28),0)+IF(LEFT(W28,8)="Expense|",-N(M28),0)</f>
        <v/>
      </c>
      <c r="AA28" s="23">
        <f>IF(ISNUMBER(MATCH(T28,{"Expense|employee","Expense|general_admin","Expense|marketing","Expense|utilities","Expense|other_operating"},0)),N(O28),0)+IF(ISNUMBER(MATCH(U28,{"Expense|employee","Expense|general_admin","Expense|marketing","Expense|utilities","Expense|other_operating"},0)),N(N28),0)+IF(ISNUMBER(MATCH(V28,{"Expense|employee","Expense|general_admin","Expense|marketing","Expense|utilities","Expense|other_operating"},0)),-N(L28),0)+IF(ISNUMBER(MATCH(W28,{"Expense|employee","Expense|general_admin","Expense|marketing","Expense|utilities","Expense|other_operating"},0)),-N(M28),0)</f>
        <v/>
      </c>
      <c r="AB28" s="23">
        <f>IF(T28="Liability|payable",-N(O28),0)+IF(U28="Liability|payable",-N(N28),0)+IF(V28="Liability|payable",N(L28),0)+IF(W28="Liability|payable",N(M28),0)</f>
        <v/>
      </c>
      <c r="AC28" s="23">
        <f>IF(T28="Liability|accrued",-N(O28),0)+IF(U28="Liability|accrued",-N(N28),0)+IF(V28="Liability|accrued",N(L28),0)+IF(W28="Liability|accrued",N(M28),0)</f>
        <v/>
      </c>
      <c r="AD28" s="23">
        <f>IF(AND(N(O28)&lt;&gt;0,T28=""),1,0)+IF(AND(N(N28)&lt;&gt;0,U28=""),1,0)+IF(AND(N(L28)&lt;&gt;0,V28=""),1,0)+IF(AND(N(M28)&lt;&gt;0,W28=""),1,0)</f>
        <v/>
      </c>
    </row>
    <row r="29">
      <c r="A29" s="14" t="n"/>
      <c r="B29" s="19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21">
        <f>SUMIFS('Invoice Lines'!$I:$I,'Invoice Lines'!$A:$A,A29)</f>
        <v/>
      </c>
      <c r="L29" s="21">
        <f>IF(E29="Draft",0,K29)</f>
        <v/>
      </c>
      <c r="M29" s="21">
        <f>ROUND(L29*IFERROR(VLOOKUP(I29,'Tax Codes'!$A$5:$E$300,5,FALSE),0),2)</f>
        <v/>
      </c>
      <c r="N29" s="21">
        <f>ROUND(L29*IFERROR(VLOOKUP(J29,'Tax Codes'!$A$5:$E$300,5,FALSE),0),2)</f>
        <v/>
      </c>
      <c r="O29" s="21">
        <f>L29+M29-N29</f>
        <v/>
      </c>
      <c r="P29" s="16">
        <f>IF(F29="",INDEX('Chart of Accounts'!$A$5:$A$3000,MATCH("ar",'Chart of Accounts'!$F$5:$F$3000,0)),F29&amp;"")</f>
        <v/>
      </c>
      <c r="Q29" s="16">
        <f>IF(G29="",INDEX('Chart of Accounts'!$A$5:$A$3000,MATCH("revenue",'Chart of Accounts'!$F$5:$F$3000,0)),G29&amp;"")</f>
        <v/>
      </c>
      <c r="R29" s="16">
        <f>INDEX('Chart of Accounts'!$A$5:$A$3000,MATCH("wht_receivable",'Chart of Accounts'!$F$5:$F$3000,0))</f>
        <v/>
      </c>
      <c r="S29" s="16">
        <f>INDEX('Chart of Accounts'!$A$5:$A$3000,MATCH("vat_output",'Chart of Accounts'!$F$5:$F$3000,0))</f>
        <v/>
      </c>
      <c r="T29" s="23">
        <f>IFERROR(INDEX('Chart of Accounts'!$C$5:$C$3000,MATCH(P29&amp;"",'Chart of Accounts'!$A$5:$A$3000,0))&amp;"|"&amp;INDEX('Chart of Accounts'!$D$5:$D$3000,MATCH(P29&amp;"",'Chart of Accounts'!$A$5:$A$3000,0)),"")</f>
        <v/>
      </c>
      <c r="U29" s="23">
        <f>IFERROR(INDEX('Chart of Accounts'!$C$5:$C$3000,MATCH(R29&amp;"",'Chart of Accounts'!$A$5:$A$3000,0))&amp;"|"&amp;INDEX('Chart of Accounts'!$D$5:$D$3000,MATCH(R29&amp;"",'Chart of Accounts'!$A$5:$A$3000,0)),"")</f>
        <v/>
      </c>
      <c r="V29" s="23">
        <f>IFERROR(INDEX('Chart of Accounts'!$C$5:$C$3000,MATCH(Q29&amp;"",'Chart of Accounts'!$A$5:$A$3000,0))&amp;"|"&amp;INDEX('Chart of Accounts'!$D$5:$D$3000,MATCH(Q29&amp;"",'Chart of Accounts'!$A$5:$A$3000,0)),"")</f>
        <v/>
      </c>
      <c r="W29" s="23">
        <f>IFERROR(INDEX('Chart of Accounts'!$C$5:$C$3000,MATCH(S29&amp;"",'Chart of Accounts'!$A$5:$A$3000,0))&amp;"|"&amp;INDEX('Chart of Accounts'!$D$5:$D$3000,MATCH(S29&amp;"",'Chart of Accounts'!$A$5:$A$3000,0)),"")</f>
        <v/>
      </c>
      <c r="X29" s="23">
        <f>IF(LEFT(T29,8)="Revenue|",-N(O29),0)+IF(LEFT(U29,8)="Revenue|",-N(N29),0)+IF(LEFT(V29,8)="Revenue|",N(L29),0)+IF(LEFT(W29,8)="Revenue|",N(M29),0)</f>
        <v/>
      </c>
      <c r="Y29" s="23">
        <f>IF(LEFT(T29,5)="COGS|",N(O29),0)+IF(LEFT(U29,5)="COGS|",N(N29),0)+IF(LEFT(V29,5)="COGS|",-N(L29),0)+IF(LEFT(W29,5)="COGS|",-N(M29),0)</f>
        <v/>
      </c>
      <c r="Z29" s="23">
        <f>IF(LEFT(T29,8)="Expense|",N(O29),0)+IF(LEFT(U29,8)="Expense|",N(N29),0)+IF(LEFT(V29,8)="Expense|",-N(L29),0)+IF(LEFT(W29,8)="Expense|",-N(M29),0)</f>
        <v/>
      </c>
      <c r="AA29" s="23">
        <f>IF(ISNUMBER(MATCH(T29,{"Expense|employee","Expense|general_admin","Expense|marketing","Expense|utilities","Expense|other_operating"},0)),N(O29),0)+IF(ISNUMBER(MATCH(U29,{"Expense|employee","Expense|general_admin","Expense|marketing","Expense|utilities","Expense|other_operating"},0)),N(N29),0)+IF(ISNUMBER(MATCH(V29,{"Expense|employee","Expense|general_admin","Expense|marketing","Expense|utilities","Expense|other_operating"},0)),-N(L29),0)+IF(ISNUMBER(MATCH(W29,{"Expense|employee","Expense|general_admin","Expense|marketing","Expense|utilities","Expense|other_operating"},0)),-N(M29),0)</f>
        <v/>
      </c>
      <c r="AB29" s="23">
        <f>IF(T29="Liability|payable",-N(O29),0)+IF(U29="Liability|payable",-N(N29),0)+IF(V29="Liability|payable",N(L29),0)+IF(W29="Liability|payable",N(M29),0)</f>
        <v/>
      </c>
      <c r="AC29" s="23">
        <f>IF(T29="Liability|accrued",-N(O29),0)+IF(U29="Liability|accrued",-N(N29),0)+IF(V29="Liability|accrued",N(L29),0)+IF(W29="Liability|accrued",N(M29),0)</f>
        <v/>
      </c>
      <c r="AD29" s="23">
        <f>IF(AND(N(O29)&lt;&gt;0,T29=""),1,0)+IF(AND(N(N29)&lt;&gt;0,U29=""),1,0)+IF(AND(N(L29)&lt;&gt;0,V29=""),1,0)+IF(AND(N(M29)&lt;&gt;0,W29=""),1,0)</f>
        <v/>
      </c>
    </row>
    <row r="30">
      <c r="A30" s="14" t="n"/>
      <c r="B30" s="19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21">
        <f>SUMIFS('Invoice Lines'!$I:$I,'Invoice Lines'!$A:$A,A30)</f>
        <v/>
      </c>
      <c r="L30" s="21">
        <f>IF(E30="Draft",0,K30)</f>
        <v/>
      </c>
      <c r="M30" s="21">
        <f>ROUND(L30*IFERROR(VLOOKUP(I30,'Tax Codes'!$A$5:$E$300,5,FALSE),0),2)</f>
        <v/>
      </c>
      <c r="N30" s="21">
        <f>ROUND(L30*IFERROR(VLOOKUP(J30,'Tax Codes'!$A$5:$E$300,5,FALSE),0),2)</f>
        <v/>
      </c>
      <c r="O30" s="21">
        <f>L30+M30-N30</f>
        <v/>
      </c>
      <c r="P30" s="16">
        <f>IF(F30="",INDEX('Chart of Accounts'!$A$5:$A$3000,MATCH("ar",'Chart of Accounts'!$F$5:$F$3000,0)),F30&amp;"")</f>
        <v/>
      </c>
      <c r="Q30" s="16">
        <f>IF(G30="",INDEX('Chart of Accounts'!$A$5:$A$3000,MATCH("revenue",'Chart of Accounts'!$F$5:$F$3000,0)),G30&amp;"")</f>
        <v/>
      </c>
      <c r="R30" s="16">
        <f>INDEX('Chart of Accounts'!$A$5:$A$3000,MATCH("wht_receivable",'Chart of Accounts'!$F$5:$F$3000,0))</f>
        <v/>
      </c>
      <c r="S30" s="16">
        <f>INDEX('Chart of Accounts'!$A$5:$A$3000,MATCH("vat_output",'Chart of Accounts'!$F$5:$F$3000,0))</f>
        <v/>
      </c>
      <c r="T30" s="23">
        <f>IFERROR(INDEX('Chart of Accounts'!$C$5:$C$3000,MATCH(P30&amp;"",'Chart of Accounts'!$A$5:$A$3000,0))&amp;"|"&amp;INDEX('Chart of Accounts'!$D$5:$D$3000,MATCH(P30&amp;"",'Chart of Accounts'!$A$5:$A$3000,0)),"")</f>
        <v/>
      </c>
      <c r="U30" s="23">
        <f>IFERROR(INDEX('Chart of Accounts'!$C$5:$C$3000,MATCH(R30&amp;"",'Chart of Accounts'!$A$5:$A$3000,0))&amp;"|"&amp;INDEX('Chart of Accounts'!$D$5:$D$3000,MATCH(R30&amp;"",'Chart of Accounts'!$A$5:$A$3000,0)),"")</f>
        <v/>
      </c>
      <c r="V30" s="23">
        <f>IFERROR(INDEX('Chart of Accounts'!$C$5:$C$3000,MATCH(Q30&amp;"",'Chart of Accounts'!$A$5:$A$3000,0))&amp;"|"&amp;INDEX('Chart of Accounts'!$D$5:$D$3000,MATCH(Q30&amp;"",'Chart of Accounts'!$A$5:$A$3000,0)),"")</f>
        <v/>
      </c>
      <c r="W30" s="23">
        <f>IFERROR(INDEX('Chart of Accounts'!$C$5:$C$3000,MATCH(S30&amp;"",'Chart of Accounts'!$A$5:$A$3000,0))&amp;"|"&amp;INDEX('Chart of Accounts'!$D$5:$D$3000,MATCH(S30&amp;"",'Chart of Accounts'!$A$5:$A$3000,0)),"")</f>
        <v/>
      </c>
      <c r="X30" s="23">
        <f>IF(LEFT(T30,8)="Revenue|",-N(O30),0)+IF(LEFT(U30,8)="Revenue|",-N(N30),0)+IF(LEFT(V30,8)="Revenue|",N(L30),0)+IF(LEFT(W30,8)="Revenue|",N(M30),0)</f>
        <v/>
      </c>
      <c r="Y30" s="23">
        <f>IF(LEFT(T30,5)="COGS|",N(O30),0)+IF(LEFT(U30,5)="COGS|",N(N30),0)+IF(LEFT(V30,5)="COGS|",-N(L30),0)+IF(LEFT(W30,5)="COGS|",-N(M30),0)</f>
        <v/>
      </c>
      <c r="Z30" s="23">
        <f>IF(LEFT(T30,8)="Expense|",N(O30),0)+IF(LEFT(U30,8)="Expense|",N(N30),0)+IF(LEFT(V30,8)="Expense|",-N(L30),0)+IF(LEFT(W30,8)="Expense|",-N(M30),0)</f>
        <v/>
      </c>
      <c r="AA30" s="23">
        <f>IF(ISNUMBER(MATCH(T30,{"Expense|employee","Expense|general_admin","Expense|marketing","Expense|utilities","Expense|other_operating"},0)),N(O30),0)+IF(ISNUMBER(MATCH(U30,{"Expense|employee","Expense|general_admin","Expense|marketing","Expense|utilities","Expense|other_operating"},0)),N(N30),0)+IF(ISNUMBER(MATCH(V30,{"Expense|employee","Expense|general_admin","Expense|marketing","Expense|utilities","Expense|other_operating"},0)),-N(L30),0)+IF(ISNUMBER(MATCH(W30,{"Expense|employee","Expense|general_admin","Expense|marketing","Expense|utilities","Expense|other_operating"},0)),-N(M30),0)</f>
        <v/>
      </c>
      <c r="AB30" s="23">
        <f>IF(T30="Liability|payable",-N(O30),0)+IF(U30="Liability|payable",-N(N30),0)+IF(V30="Liability|payable",N(L30),0)+IF(W30="Liability|payable",N(M30),0)</f>
        <v/>
      </c>
      <c r="AC30" s="23">
        <f>IF(T30="Liability|accrued",-N(O30),0)+IF(U30="Liability|accrued",-N(N30),0)+IF(V30="Liability|accrued",N(L30),0)+IF(W30="Liability|accrued",N(M30),0)</f>
        <v/>
      </c>
      <c r="AD30" s="23">
        <f>IF(AND(N(O30)&lt;&gt;0,T30=""),1,0)+IF(AND(N(N30)&lt;&gt;0,U30=""),1,0)+IF(AND(N(L30)&lt;&gt;0,V30=""),1,0)+IF(AND(N(M30)&lt;&gt;0,W30=""),1,0)</f>
        <v/>
      </c>
    </row>
    <row r="31">
      <c r="A31" s="14" t="n"/>
      <c r="B31" s="19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21">
        <f>SUMIFS('Invoice Lines'!$I:$I,'Invoice Lines'!$A:$A,A31)</f>
        <v/>
      </c>
      <c r="L31" s="21">
        <f>IF(E31="Draft",0,K31)</f>
        <v/>
      </c>
      <c r="M31" s="21">
        <f>ROUND(L31*IFERROR(VLOOKUP(I31,'Tax Codes'!$A$5:$E$300,5,FALSE),0),2)</f>
        <v/>
      </c>
      <c r="N31" s="21">
        <f>ROUND(L31*IFERROR(VLOOKUP(J31,'Tax Codes'!$A$5:$E$300,5,FALSE),0),2)</f>
        <v/>
      </c>
      <c r="O31" s="21">
        <f>L31+M31-N31</f>
        <v/>
      </c>
      <c r="P31" s="16">
        <f>IF(F31="",INDEX('Chart of Accounts'!$A$5:$A$3000,MATCH("ar",'Chart of Accounts'!$F$5:$F$3000,0)),F31&amp;"")</f>
        <v/>
      </c>
      <c r="Q31" s="16">
        <f>IF(G31="",INDEX('Chart of Accounts'!$A$5:$A$3000,MATCH("revenue",'Chart of Accounts'!$F$5:$F$3000,0)),G31&amp;"")</f>
        <v/>
      </c>
      <c r="R31" s="16">
        <f>INDEX('Chart of Accounts'!$A$5:$A$3000,MATCH("wht_receivable",'Chart of Accounts'!$F$5:$F$3000,0))</f>
        <v/>
      </c>
      <c r="S31" s="16">
        <f>INDEX('Chart of Accounts'!$A$5:$A$3000,MATCH("vat_output",'Chart of Accounts'!$F$5:$F$3000,0))</f>
        <v/>
      </c>
      <c r="T31" s="23">
        <f>IFERROR(INDEX('Chart of Accounts'!$C$5:$C$3000,MATCH(P31&amp;"",'Chart of Accounts'!$A$5:$A$3000,0))&amp;"|"&amp;INDEX('Chart of Accounts'!$D$5:$D$3000,MATCH(P31&amp;"",'Chart of Accounts'!$A$5:$A$3000,0)),"")</f>
        <v/>
      </c>
      <c r="U31" s="23">
        <f>IFERROR(INDEX('Chart of Accounts'!$C$5:$C$3000,MATCH(R31&amp;"",'Chart of Accounts'!$A$5:$A$3000,0))&amp;"|"&amp;INDEX('Chart of Accounts'!$D$5:$D$3000,MATCH(R31&amp;"",'Chart of Accounts'!$A$5:$A$3000,0)),"")</f>
        <v/>
      </c>
      <c r="V31" s="23">
        <f>IFERROR(INDEX('Chart of Accounts'!$C$5:$C$3000,MATCH(Q31&amp;"",'Chart of Accounts'!$A$5:$A$3000,0))&amp;"|"&amp;INDEX('Chart of Accounts'!$D$5:$D$3000,MATCH(Q31&amp;"",'Chart of Accounts'!$A$5:$A$3000,0)),"")</f>
        <v/>
      </c>
      <c r="W31" s="23">
        <f>IFERROR(INDEX('Chart of Accounts'!$C$5:$C$3000,MATCH(S31&amp;"",'Chart of Accounts'!$A$5:$A$3000,0))&amp;"|"&amp;INDEX('Chart of Accounts'!$D$5:$D$3000,MATCH(S31&amp;"",'Chart of Accounts'!$A$5:$A$3000,0)),"")</f>
        <v/>
      </c>
      <c r="X31" s="23">
        <f>IF(LEFT(T31,8)="Revenue|",-N(O31),0)+IF(LEFT(U31,8)="Revenue|",-N(N31),0)+IF(LEFT(V31,8)="Revenue|",N(L31),0)+IF(LEFT(W31,8)="Revenue|",N(M31),0)</f>
        <v/>
      </c>
      <c r="Y31" s="23">
        <f>IF(LEFT(T31,5)="COGS|",N(O31),0)+IF(LEFT(U31,5)="COGS|",N(N31),0)+IF(LEFT(V31,5)="COGS|",-N(L31),0)+IF(LEFT(W31,5)="COGS|",-N(M31),0)</f>
        <v/>
      </c>
      <c r="Z31" s="23">
        <f>IF(LEFT(T31,8)="Expense|",N(O31),0)+IF(LEFT(U31,8)="Expense|",N(N31),0)+IF(LEFT(V31,8)="Expense|",-N(L31),0)+IF(LEFT(W31,8)="Expense|",-N(M31),0)</f>
        <v/>
      </c>
      <c r="AA31" s="23">
        <f>IF(ISNUMBER(MATCH(T31,{"Expense|employee","Expense|general_admin","Expense|marketing","Expense|utilities","Expense|other_operating"},0)),N(O31),0)+IF(ISNUMBER(MATCH(U31,{"Expense|employee","Expense|general_admin","Expense|marketing","Expense|utilities","Expense|other_operating"},0)),N(N31),0)+IF(ISNUMBER(MATCH(V31,{"Expense|employee","Expense|general_admin","Expense|marketing","Expense|utilities","Expense|other_operating"},0)),-N(L31),0)+IF(ISNUMBER(MATCH(W31,{"Expense|employee","Expense|general_admin","Expense|marketing","Expense|utilities","Expense|other_operating"},0)),-N(M31),0)</f>
        <v/>
      </c>
      <c r="AB31" s="23">
        <f>IF(T31="Liability|payable",-N(O31),0)+IF(U31="Liability|payable",-N(N31),0)+IF(V31="Liability|payable",N(L31),0)+IF(W31="Liability|payable",N(M31),0)</f>
        <v/>
      </c>
      <c r="AC31" s="23">
        <f>IF(T31="Liability|accrued",-N(O31),0)+IF(U31="Liability|accrued",-N(N31),0)+IF(V31="Liability|accrued",N(L31),0)+IF(W31="Liability|accrued",N(M31),0)</f>
        <v/>
      </c>
      <c r="AD31" s="23">
        <f>IF(AND(N(O31)&lt;&gt;0,T31=""),1,0)+IF(AND(N(N31)&lt;&gt;0,U31=""),1,0)+IF(AND(N(L31)&lt;&gt;0,V31=""),1,0)+IF(AND(N(M31)&lt;&gt;0,W31=""),1,0)</f>
        <v/>
      </c>
    </row>
    <row r="32">
      <c r="A32" s="14" t="n"/>
      <c r="B32" s="19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21">
        <f>SUMIFS('Invoice Lines'!$I:$I,'Invoice Lines'!$A:$A,A32)</f>
        <v/>
      </c>
      <c r="L32" s="21">
        <f>IF(E32="Draft",0,K32)</f>
        <v/>
      </c>
      <c r="M32" s="21">
        <f>ROUND(L32*IFERROR(VLOOKUP(I32,'Tax Codes'!$A$5:$E$300,5,FALSE),0),2)</f>
        <v/>
      </c>
      <c r="N32" s="21">
        <f>ROUND(L32*IFERROR(VLOOKUP(J32,'Tax Codes'!$A$5:$E$300,5,FALSE),0),2)</f>
        <v/>
      </c>
      <c r="O32" s="21">
        <f>L32+M32-N32</f>
        <v/>
      </c>
      <c r="P32" s="16">
        <f>IF(F32="",INDEX('Chart of Accounts'!$A$5:$A$3000,MATCH("ar",'Chart of Accounts'!$F$5:$F$3000,0)),F32&amp;"")</f>
        <v/>
      </c>
      <c r="Q32" s="16">
        <f>IF(G32="",INDEX('Chart of Accounts'!$A$5:$A$3000,MATCH("revenue",'Chart of Accounts'!$F$5:$F$3000,0)),G32&amp;"")</f>
        <v/>
      </c>
      <c r="R32" s="16">
        <f>INDEX('Chart of Accounts'!$A$5:$A$3000,MATCH("wht_receivable",'Chart of Accounts'!$F$5:$F$3000,0))</f>
        <v/>
      </c>
      <c r="S32" s="16">
        <f>INDEX('Chart of Accounts'!$A$5:$A$3000,MATCH("vat_output",'Chart of Accounts'!$F$5:$F$3000,0))</f>
        <v/>
      </c>
      <c r="T32" s="23">
        <f>IFERROR(INDEX('Chart of Accounts'!$C$5:$C$3000,MATCH(P32&amp;"",'Chart of Accounts'!$A$5:$A$3000,0))&amp;"|"&amp;INDEX('Chart of Accounts'!$D$5:$D$3000,MATCH(P32&amp;"",'Chart of Accounts'!$A$5:$A$3000,0)),"")</f>
        <v/>
      </c>
      <c r="U32" s="23">
        <f>IFERROR(INDEX('Chart of Accounts'!$C$5:$C$3000,MATCH(R32&amp;"",'Chart of Accounts'!$A$5:$A$3000,0))&amp;"|"&amp;INDEX('Chart of Accounts'!$D$5:$D$3000,MATCH(R32&amp;"",'Chart of Accounts'!$A$5:$A$3000,0)),"")</f>
        <v/>
      </c>
      <c r="V32" s="23">
        <f>IFERROR(INDEX('Chart of Accounts'!$C$5:$C$3000,MATCH(Q32&amp;"",'Chart of Accounts'!$A$5:$A$3000,0))&amp;"|"&amp;INDEX('Chart of Accounts'!$D$5:$D$3000,MATCH(Q32&amp;"",'Chart of Accounts'!$A$5:$A$3000,0)),"")</f>
        <v/>
      </c>
      <c r="W32" s="23">
        <f>IFERROR(INDEX('Chart of Accounts'!$C$5:$C$3000,MATCH(S32&amp;"",'Chart of Accounts'!$A$5:$A$3000,0))&amp;"|"&amp;INDEX('Chart of Accounts'!$D$5:$D$3000,MATCH(S32&amp;"",'Chart of Accounts'!$A$5:$A$3000,0)),"")</f>
        <v/>
      </c>
      <c r="X32" s="23">
        <f>IF(LEFT(T32,8)="Revenue|",-N(O32),0)+IF(LEFT(U32,8)="Revenue|",-N(N32),0)+IF(LEFT(V32,8)="Revenue|",N(L32),0)+IF(LEFT(W32,8)="Revenue|",N(M32),0)</f>
        <v/>
      </c>
      <c r="Y32" s="23">
        <f>IF(LEFT(T32,5)="COGS|",N(O32),0)+IF(LEFT(U32,5)="COGS|",N(N32),0)+IF(LEFT(V32,5)="COGS|",-N(L32),0)+IF(LEFT(W32,5)="COGS|",-N(M32),0)</f>
        <v/>
      </c>
      <c r="Z32" s="23">
        <f>IF(LEFT(T32,8)="Expense|",N(O32),0)+IF(LEFT(U32,8)="Expense|",N(N32),0)+IF(LEFT(V32,8)="Expense|",-N(L32),0)+IF(LEFT(W32,8)="Expense|",-N(M32),0)</f>
        <v/>
      </c>
      <c r="AA32" s="23">
        <f>IF(ISNUMBER(MATCH(T32,{"Expense|employee","Expense|general_admin","Expense|marketing","Expense|utilities","Expense|other_operating"},0)),N(O32),0)+IF(ISNUMBER(MATCH(U32,{"Expense|employee","Expense|general_admin","Expense|marketing","Expense|utilities","Expense|other_operating"},0)),N(N32),0)+IF(ISNUMBER(MATCH(V32,{"Expense|employee","Expense|general_admin","Expense|marketing","Expense|utilities","Expense|other_operating"},0)),-N(L32),0)+IF(ISNUMBER(MATCH(W32,{"Expense|employee","Expense|general_admin","Expense|marketing","Expense|utilities","Expense|other_operating"},0)),-N(M32),0)</f>
        <v/>
      </c>
      <c r="AB32" s="23">
        <f>IF(T32="Liability|payable",-N(O32),0)+IF(U32="Liability|payable",-N(N32),0)+IF(V32="Liability|payable",N(L32),0)+IF(W32="Liability|payable",N(M32),0)</f>
        <v/>
      </c>
      <c r="AC32" s="23">
        <f>IF(T32="Liability|accrued",-N(O32),0)+IF(U32="Liability|accrued",-N(N32),0)+IF(V32="Liability|accrued",N(L32),0)+IF(W32="Liability|accrued",N(M32),0)</f>
        <v/>
      </c>
      <c r="AD32" s="23">
        <f>IF(AND(N(O32)&lt;&gt;0,T32=""),1,0)+IF(AND(N(N32)&lt;&gt;0,U32=""),1,0)+IF(AND(N(L32)&lt;&gt;0,V32=""),1,0)+IF(AND(N(M32)&lt;&gt;0,W32=""),1,0)</f>
        <v/>
      </c>
    </row>
    <row r="33">
      <c r="A33" s="14" t="n"/>
      <c r="B33" s="19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21">
        <f>SUMIFS('Invoice Lines'!$I:$I,'Invoice Lines'!$A:$A,A33)</f>
        <v/>
      </c>
      <c r="L33" s="21">
        <f>IF(E33="Draft",0,K33)</f>
        <v/>
      </c>
      <c r="M33" s="21">
        <f>ROUND(L33*IFERROR(VLOOKUP(I33,'Tax Codes'!$A$5:$E$300,5,FALSE),0),2)</f>
        <v/>
      </c>
      <c r="N33" s="21">
        <f>ROUND(L33*IFERROR(VLOOKUP(J33,'Tax Codes'!$A$5:$E$300,5,FALSE),0),2)</f>
        <v/>
      </c>
      <c r="O33" s="21">
        <f>L33+M33-N33</f>
        <v/>
      </c>
      <c r="P33" s="16">
        <f>IF(F33="",INDEX('Chart of Accounts'!$A$5:$A$3000,MATCH("ar",'Chart of Accounts'!$F$5:$F$3000,0)),F33&amp;"")</f>
        <v/>
      </c>
      <c r="Q33" s="16">
        <f>IF(G33="",INDEX('Chart of Accounts'!$A$5:$A$3000,MATCH("revenue",'Chart of Accounts'!$F$5:$F$3000,0)),G33&amp;"")</f>
        <v/>
      </c>
      <c r="R33" s="16">
        <f>INDEX('Chart of Accounts'!$A$5:$A$3000,MATCH("wht_receivable",'Chart of Accounts'!$F$5:$F$3000,0))</f>
        <v/>
      </c>
      <c r="S33" s="16">
        <f>INDEX('Chart of Accounts'!$A$5:$A$3000,MATCH("vat_output",'Chart of Accounts'!$F$5:$F$3000,0))</f>
        <v/>
      </c>
      <c r="T33" s="23">
        <f>IFERROR(INDEX('Chart of Accounts'!$C$5:$C$3000,MATCH(P33&amp;"",'Chart of Accounts'!$A$5:$A$3000,0))&amp;"|"&amp;INDEX('Chart of Accounts'!$D$5:$D$3000,MATCH(P33&amp;"",'Chart of Accounts'!$A$5:$A$3000,0)),"")</f>
        <v/>
      </c>
      <c r="U33" s="23">
        <f>IFERROR(INDEX('Chart of Accounts'!$C$5:$C$3000,MATCH(R33&amp;"",'Chart of Accounts'!$A$5:$A$3000,0))&amp;"|"&amp;INDEX('Chart of Accounts'!$D$5:$D$3000,MATCH(R33&amp;"",'Chart of Accounts'!$A$5:$A$3000,0)),"")</f>
        <v/>
      </c>
      <c r="V33" s="23">
        <f>IFERROR(INDEX('Chart of Accounts'!$C$5:$C$3000,MATCH(Q33&amp;"",'Chart of Accounts'!$A$5:$A$3000,0))&amp;"|"&amp;INDEX('Chart of Accounts'!$D$5:$D$3000,MATCH(Q33&amp;"",'Chart of Accounts'!$A$5:$A$3000,0)),"")</f>
        <v/>
      </c>
      <c r="W33" s="23">
        <f>IFERROR(INDEX('Chart of Accounts'!$C$5:$C$3000,MATCH(S33&amp;"",'Chart of Accounts'!$A$5:$A$3000,0))&amp;"|"&amp;INDEX('Chart of Accounts'!$D$5:$D$3000,MATCH(S33&amp;"",'Chart of Accounts'!$A$5:$A$3000,0)),"")</f>
        <v/>
      </c>
      <c r="X33" s="23">
        <f>IF(LEFT(T33,8)="Revenue|",-N(O33),0)+IF(LEFT(U33,8)="Revenue|",-N(N33),0)+IF(LEFT(V33,8)="Revenue|",N(L33),0)+IF(LEFT(W33,8)="Revenue|",N(M33),0)</f>
        <v/>
      </c>
      <c r="Y33" s="23">
        <f>IF(LEFT(T33,5)="COGS|",N(O33),0)+IF(LEFT(U33,5)="COGS|",N(N33),0)+IF(LEFT(V33,5)="COGS|",-N(L33),0)+IF(LEFT(W33,5)="COGS|",-N(M33),0)</f>
        <v/>
      </c>
      <c r="Z33" s="23">
        <f>IF(LEFT(T33,8)="Expense|",N(O33),0)+IF(LEFT(U33,8)="Expense|",N(N33),0)+IF(LEFT(V33,8)="Expense|",-N(L33),0)+IF(LEFT(W33,8)="Expense|",-N(M33),0)</f>
        <v/>
      </c>
      <c r="AA33" s="23">
        <f>IF(ISNUMBER(MATCH(T33,{"Expense|employee","Expense|general_admin","Expense|marketing","Expense|utilities","Expense|other_operating"},0)),N(O33),0)+IF(ISNUMBER(MATCH(U33,{"Expense|employee","Expense|general_admin","Expense|marketing","Expense|utilities","Expense|other_operating"},0)),N(N33),0)+IF(ISNUMBER(MATCH(V33,{"Expense|employee","Expense|general_admin","Expense|marketing","Expense|utilities","Expense|other_operating"},0)),-N(L33),0)+IF(ISNUMBER(MATCH(W33,{"Expense|employee","Expense|general_admin","Expense|marketing","Expense|utilities","Expense|other_operating"},0)),-N(M33),0)</f>
        <v/>
      </c>
      <c r="AB33" s="23">
        <f>IF(T33="Liability|payable",-N(O33),0)+IF(U33="Liability|payable",-N(N33),0)+IF(V33="Liability|payable",N(L33),0)+IF(W33="Liability|payable",N(M33),0)</f>
        <v/>
      </c>
      <c r="AC33" s="23">
        <f>IF(T33="Liability|accrued",-N(O33),0)+IF(U33="Liability|accrued",-N(N33),0)+IF(V33="Liability|accrued",N(L33),0)+IF(W33="Liability|accrued",N(M33),0)</f>
        <v/>
      </c>
      <c r="AD33" s="23">
        <f>IF(AND(N(O33)&lt;&gt;0,T33=""),1,0)+IF(AND(N(N33)&lt;&gt;0,U33=""),1,0)+IF(AND(N(L33)&lt;&gt;0,V33=""),1,0)+IF(AND(N(M33)&lt;&gt;0,W33=""),1,0)</f>
        <v/>
      </c>
    </row>
    <row r="34">
      <c r="A34" s="14" t="n"/>
      <c r="B34" s="19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21">
        <f>SUMIFS('Invoice Lines'!$I:$I,'Invoice Lines'!$A:$A,A34)</f>
        <v/>
      </c>
      <c r="L34" s="21">
        <f>IF(E34="Draft",0,K34)</f>
        <v/>
      </c>
      <c r="M34" s="21">
        <f>ROUND(L34*IFERROR(VLOOKUP(I34,'Tax Codes'!$A$5:$E$300,5,FALSE),0),2)</f>
        <v/>
      </c>
      <c r="N34" s="21">
        <f>ROUND(L34*IFERROR(VLOOKUP(J34,'Tax Codes'!$A$5:$E$300,5,FALSE),0),2)</f>
        <v/>
      </c>
      <c r="O34" s="21">
        <f>L34+M34-N34</f>
        <v/>
      </c>
      <c r="P34" s="16">
        <f>IF(F34="",INDEX('Chart of Accounts'!$A$5:$A$3000,MATCH("ar",'Chart of Accounts'!$F$5:$F$3000,0)),F34&amp;"")</f>
        <v/>
      </c>
      <c r="Q34" s="16">
        <f>IF(G34="",INDEX('Chart of Accounts'!$A$5:$A$3000,MATCH("revenue",'Chart of Accounts'!$F$5:$F$3000,0)),G34&amp;"")</f>
        <v/>
      </c>
      <c r="R34" s="16">
        <f>INDEX('Chart of Accounts'!$A$5:$A$3000,MATCH("wht_receivable",'Chart of Accounts'!$F$5:$F$3000,0))</f>
        <v/>
      </c>
      <c r="S34" s="16">
        <f>INDEX('Chart of Accounts'!$A$5:$A$3000,MATCH("vat_output",'Chart of Accounts'!$F$5:$F$3000,0))</f>
        <v/>
      </c>
      <c r="T34" s="23">
        <f>IFERROR(INDEX('Chart of Accounts'!$C$5:$C$3000,MATCH(P34&amp;"",'Chart of Accounts'!$A$5:$A$3000,0))&amp;"|"&amp;INDEX('Chart of Accounts'!$D$5:$D$3000,MATCH(P34&amp;"",'Chart of Accounts'!$A$5:$A$3000,0)),"")</f>
        <v/>
      </c>
      <c r="U34" s="23">
        <f>IFERROR(INDEX('Chart of Accounts'!$C$5:$C$3000,MATCH(R34&amp;"",'Chart of Accounts'!$A$5:$A$3000,0))&amp;"|"&amp;INDEX('Chart of Accounts'!$D$5:$D$3000,MATCH(R34&amp;"",'Chart of Accounts'!$A$5:$A$3000,0)),"")</f>
        <v/>
      </c>
      <c r="V34" s="23">
        <f>IFERROR(INDEX('Chart of Accounts'!$C$5:$C$3000,MATCH(Q34&amp;"",'Chart of Accounts'!$A$5:$A$3000,0))&amp;"|"&amp;INDEX('Chart of Accounts'!$D$5:$D$3000,MATCH(Q34&amp;"",'Chart of Accounts'!$A$5:$A$3000,0)),"")</f>
        <v/>
      </c>
      <c r="W34" s="23">
        <f>IFERROR(INDEX('Chart of Accounts'!$C$5:$C$3000,MATCH(S34&amp;"",'Chart of Accounts'!$A$5:$A$3000,0))&amp;"|"&amp;INDEX('Chart of Accounts'!$D$5:$D$3000,MATCH(S34&amp;"",'Chart of Accounts'!$A$5:$A$3000,0)),"")</f>
        <v/>
      </c>
      <c r="X34" s="23">
        <f>IF(LEFT(T34,8)="Revenue|",-N(O34),0)+IF(LEFT(U34,8)="Revenue|",-N(N34),0)+IF(LEFT(V34,8)="Revenue|",N(L34),0)+IF(LEFT(W34,8)="Revenue|",N(M34),0)</f>
        <v/>
      </c>
      <c r="Y34" s="23">
        <f>IF(LEFT(T34,5)="COGS|",N(O34),0)+IF(LEFT(U34,5)="COGS|",N(N34),0)+IF(LEFT(V34,5)="COGS|",-N(L34),0)+IF(LEFT(W34,5)="COGS|",-N(M34),0)</f>
        <v/>
      </c>
      <c r="Z34" s="23">
        <f>IF(LEFT(T34,8)="Expense|",N(O34),0)+IF(LEFT(U34,8)="Expense|",N(N34),0)+IF(LEFT(V34,8)="Expense|",-N(L34),0)+IF(LEFT(W34,8)="Expense|",-N(M34),0)</f>
        <v/>
      </c>
      <c r="AA34" s="23">
        <f>IF(ISNUMBER(MATCH(T34,{"Expense|employee","Expense|general_admin","Expense|marketing","Expense|utilities","Expense|other_operating"},0)),N(O34),0)+IF(ISNUMBER(MATCH(U34,{"Expense|employee","Expense|general_admin","Expense|marketing","Expense|utilities","Expense|other_operating"},0)),N(N34),0)+IF(ISNUMBER(MATCH(V34,{"Expense|employee","Expense|general_admin","Expense|marketing","Expense|utilities","Expense|other_operating"},0)),-N(L34),0)+IF(ISNUMBER(MATCH(W34,{"Expense|employee","Expense|general_admin","Expense|marketing","Expense|utilities","Expense|other_operating"},0)),-N(M34),0)</f>
        <v/>
      </c>
      <c r="AB34" s="23">
        <f>IF(T34="Liability|payable",-N(O34),0)+IF(U34="Liability|payable",-N(N34),0)+IF(V34="Liability|payable",N(L34),0)+IF(W34="Liability|payable",N(M34),0)</f>
        <v/>
      </c>
      <c r="AC34" s="23">
        <f>IF(T34="Liability|accrued",-N(O34),0)+IF(U34="Liability|accrued",-N(N34),0)+IF(V34="Liability|accrued",N(L34),0)+IF(W34="Liability|accrued",N(M34),0)</f>
        <v/>
      </c>
      <c r="AD34" s="23">
        <f>IF(AND(N(O34)&lt;&gt;0,T34=""),1,0)+IF(AND(N(N34)&lt;&gt;0,U34=""),1,0)+IF(AND(N(L34)&lt;&gt;0,V34=""),1,0)+IF(AND(N(M34)&lt;&gt;0,W34=""),1,0)</f>
        <v/>
      </c>
    </row>
    <row r="35">
      <c r="A35" s="14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21">
        <f>SUMIFS('Invoice Lines'!$I:$I,'Invoice Lines'!$A:$A,A35)</f>
        <v/>
      </c>
      <c r="L35" s="21">
        <f>IF(E35="Draft",0,K35)</f>
        <v/>
      </c>
      <c r="M35" s="21">
        <f>ROUND(L35*IFERROR(VLOOKUP(I35,'Tax Codes'!$A$5:$E$300,5,FALSE),0),2)</f>
        <v/>
      </c>
      <c r="N35" s="21">
        <f>ROUND(L35*IFERROR(VLOOKUP(J35,'Tax Codes'!$A$5:$E$300,5,FALSE),0),2)</f>
        <v/>
      </c>
      <c r="O35" s="21">
        <f>L35+M35-N35</f>
        <v/>
      </c>
      <c r="P35" s="16">
        <f>IF(F35="",INDEX('Chart of Accounts'!$A$5:$A$3000,MATCH("ar",'Chart of Accounts'!$F$5:$F$3000,0)),F35&amp;"")</f>
        <v/>
      </c>
      <c r="Q35" s="16">
        <f>IF(G35="",INDEX('Chart of Accounts'!$A$5:$A$3000,MATCH("revenue",'Chart of Accounts'!$F$5:$F$3000,0)),G35&amp;"")</f>
        <v/>
      </c>
      <c r="R35" s="16">
        <f>INDEX('Chart of Accounts'!$A$5:$A$3000,MATCH("wht_receivable",'Chart of Accounts'!$F$5:$F$3000,0))</f>
        <v/>
      </c>
      <c r="S35" s="16">
        <f>INDEX('Chart of Accounts'!$A$5:$A$3000,MATCH("vat_output",'Chart of Accounts'!$F$5:$F$3000,0))</f>
        <v/>
      </c>
      <c r="T35" s="23">
        <f>IFERROR(INDEX('Chart of Accounts'!$C$5:$C$3000,MATCH(P35&amp;"",'Chart of Accounts'!$A$5:$A$3000,0))&amp;"|"&amp;INDEX('Chart of Accounts'!$D$5:$D$3000,MATCH(P35&amp;"",'Chart of Accounts'!$A$5:$A$3000,0)),"")</f>
        <v/>
      </c>
      <c r="U35" s="23">
        <f>IFERROR(INDEX('Chart of Accounts'!$C$5:$C$3000,MATCH(R35&amp;"",'Chart of Accounts'!$A$5:$A$3000,0))&amp;"|"&amp;INDEX('Chart of Accounts'!$D$5:$D$3000,MATCH(R35&amp;"",'Chart of Accounts'!$A$5:$A$3000,0)),"")</f>
        <v/>
      </c>
      <c r="V35" s="23">
        <f>IFERROR(INDEX('Chart of Accounts'!$C$5:$C$3000,MATCH(Q35&amp;"",'Chart of Accounts'!$A$5:$A$3000,0))&amp;"|"&amp;INDEX('Chart of Accounts'!$D$5:$D$3000,MATCH(Q35&amp;"",'Chart of Accounts'!$A$5:$A$3000,0)),"")</f>
        <v/>
      </c>
      <c r="W35" s="23">
        <f>IFERROR(INDEX('Chart of Accounts'!$C$5:$C$3000,MATCH(S35&amp;"",'Chart of Accounts'!$A$5:$A$3000,0))&amp;"|"&amp;INDEX('Chart of Accounts'!$D$5:$D$3000,MATCH(S35&amp;"",'Chart of Accounts'!$A$5:$A$3000,0)),"")</f>
        <v/>
      </c>
      <c r="X35" s="23">
        <f>IF(LEFT(T35,8)="Revenue|",-N(O35),0)+IF(LEFT(U35,8)="Revenue|",-N(N35),0)+IF(LEFT(V35,8)="Revenue|",N(L35),0)+IF(LEFT(W35,8)="Revenue|",N(M35),0)</f>
        <v/>
      </c>
      <c r="Y35" s="23">
        <f>IF(LEFT(T35,5)="COGS|",N(O35),0)+IF(LEFT(U35,5)="COGS|",N(N35),0)+IF(LEFT(V35,5)="COGS|",-N(L35),0)+IF(LEFT(W35,5)="COGS|",-N(M35),0)</f>
        <v/>
      </c>
      <c r="Z35" s="23">
        <f>IF(LEFT(T35,8)="Expense|",N(O35),0)+IF(LEFT(U35,8)="Expense|",N(N35),0)+IF(LEFT(V35,8)="Expense|",-N(L35),0)+IF(LEFT(W35,8)="Expense|",-N(M35),0)</f>
        <v/>
      </c>
      <c r="AA35" s="23">
        <f>IF(ISNUMBER(MATCH(T35,{"Expense|employee","Expense|general_admin","Expense|marketing","Expense|utilities","Expense|other_operating"},0)),N(O35),0)+IF(ISNUMBER(MATCH(U35,{"Expense|employee","Expense|general_admin","Expense|marketing","Expense|utilities","Expense|other_operating"},0)),N(N35),0)+IF(ISNUMBER(MATCH(V35,{"Expense|employee","Expense|general_admin","Expense|marketing","Expense|utilities","Expense|other_operating"},0)),-N(L35),0)+IF(ISNUMBER(MATCH(W35,{"Expense|employee","Expense|general_admin","Expense|marketing","Expense|utilities","Expense|other_operating"},0)),-N(M35),0)</f>
        <v/>
      </c>
      <c r="AB35" s="23">
        <f>IF(T35="Liability|payable",-N(O35),0)+IF(U35="Liability|payable",-N(N35),0)+IF(V35="Liability|payable",N(L35),0)+IF(W35="Liability|payable",N(M35),0)</f>
        <v/>
      </c>
      <c r="AC35" s="23">
        <f>IF(T35="Liability|accrued",-N(O35),0)+IF(U35="Liability|accrued",-N(N35),0)+IF(V35="Liability|accrued",N(L35),0)+IF(W35="Liability|accrued",N(M35),0)</f>
        <v/>
      </c>
      <c r="AD35" s="23">
        <f>IF(AND(N(O35)&lt;&gt;0,T35=""),1,0)+IF(AND(N(N35)&lt;&gt;0,U35=""),1,0)+IF(AND(N(L35)&lt;&gt;0,V35=""),1,0)+IF(AND(N(M35)&lt;&gt;0,W35=""),1,0)</f>
        <v/>
      </c>
    </row>
    <row r="36">
      <c r="A36" s="14" t="n"/>
      <c r="B36" s="19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21">
        <f>SUMIFS('Invoice Lines'!$I:$I,'Invoice Lines'!$A:$A,A36)</f>
        <v/>
      </c>
      <c r="L36" s="21">
        <f>IF(E36="Draft",0,K36)</f>
        <v/>
      </c>
      <c r="M36" s="21">
        <f>ROUND(L36*IFERROR(VLOOKUP(I36,'Tax Codes'!$A$5:$E$300,5,FALSE),0),2)</f>
        <v/>
      </c>
      <c r="N36" s="21">
        <f>ROUND(L36*IFERROR(VLOOKUP(J36,'Tax Codes'!$A$5:$E$300,5,FALSE),0),2)</f>
        <v/>
      </c>
      <c r="O36" s="21">
        <f>L36+M36-N36</f>
        <v/>
      </c>
      <c r="P36" s="16">
        <f>IF(F36="",INDEX('Chart of Accounts'!$A$5:$A$3000,MATCH("ar",'Chart of Accounts'!$F$5:$F$3000,0)),F36&amp;"")</f>
        <v/>
      </c>
      <c r="Q36" s="16">
        <f>IF(G36="",INDEX('Chart of Accounts'!$A$5:$A$3000,MATCH("revenue",'Chart of Accounts'!$F$5:$F$3000,0)),G36&amp;"")</f>
        <v/>
      </c>
      <c r="R36" s="16">
        <f>INDEX('Chart of Accounts'!$A$5:$A$3000,MATCH("wht_receivable",'Chart of Accounts'!$F$5:$F$3000,0))</f>
        <v/>
      </c>
      <c r="S36" s="16">
        <f>INDEX('Chart of Accounts'!$A$5:$A$3000,MATCH("vat_output",'Chart of Accounts'!$F$5:$F$3000,0))</f>
        <v/>
      </c>
      <c r="T36" s="23">
        <f>IFERROR(INDEX('Chart of Accounts'!$C$5:$C$3000,MATCH(P36&amp;"",'Chart of Accounts'!$A$5:$A$3000,0))&amp;"|"&amp;INDEX('Chart of Accounts'!$D$5:$D$3000,MATCH(P36&amp;"",'Chart of Accounts'!$A$5:$A$3000,0)),"")</f>
        <v/>
      </c>
      <c r="U36" s="23">
        <f>IFERROR(INDEX('Chart of Accounts'!$C$5:$C$3000,MATCH(R36&amp;"",'Chart of Accounts'!$A$5:$A$3000,0))&amp;"|"&amp;INDEX('Chart of Accounts'!$D$5:$D$3000,MATCH(R36&amp;"",'Chart of Accounts'!$A$5:$A$3000,0)),"")</f>
        <v/>
      </c>
      <c r="V36" s="23">
        <f>IFERROR(INDEX('Chart of Accounts'!$C$5:$C$3000,MATCH(Q36&amp;"",'Chart of Accounts'!$A$5:$A$3000,0))&amp;"|"&amp;INDEX('Chart of Accounts'!$D$5:$D$3000,MATCH(Q36&amp;"",'Chart of Accounts'!$A$5:$A$3000,0)),"")</f>
        <v/>
      </c>
      <c r="W36" s="23">
        <f>IFERROR(INDEX('Chart of Accounts'!$C$5:$C$3000,MATCH(S36&amp;"",'Chart of Accounts'!$A$5:$A$3000,0))&amp;"|"&amp;INDEX('Chart of Accounts'!$D$5:$D$3000,MATCH(S36&amp;"",'Chart of Accounts'!$A$5:$A$3000,0)),"")</f>
        <v/>
      </c>
      <c r="X36" s="23">
        <f>IF(LEFT(T36,8)="Revenue|",-N(O36),0)+IF(LEFT(U36,8)="Revenue|",-N(N36),0)+IF(LEFT(V36,8)="Revenue|",N(L36),0)+IF(LEFT(W36,8)="Revenue|",N(M36),0)</f>
        <v/>
      </c>
      <c r="Y36" s="23">
        <f>IF(LEFT(T36,5)="COGS|",N(O36),0)+IF(LEFT(U36,5)="COGS|",N(N36),0)+IF(LEFT(V36,5)="COGS|",-N(L36),0)+IF(LEFT(W36,5)="COGS|",-N(M36),0)</f>
        <v/>
      </c>
      <c r="Z36" s="23">
        <f>IF(LEFT(T36,8)="Expense|",N(O36),0)+IF(LEFT(U36,8)="Expense|",N(N36),0)+IF(LEFT(V36,8)="Expense|",-N(L36),0)+IF(LEFT(W36,8)="Expense|",-N(M36),0)</f>
        <v/>
      </c>
      <c r="AA36" s="23">
        <f>IF(ISNUMBER(MATCH(T36,{"Expense|employee","Expense|general_admin","Expense|marketing","Expense|utilities","Expense|other_operating"},0)),N(O36),0)+IF(ISNUMBER(MATCH(U36,{"Expense|employee","Expense|general_admin","Expense|marketing","Expense|utilities","Expense|other_operating"},0)),N(N36),0)+IF(ISNUMBER(MATCH(V36,{"Expense|employee","Expense|general_admin","Expense|marketing","Expense|utilities","Expense|other_operating"},0)),-N(L36),0)+IF(ISNUMBER(MATCH(W36,{"Expense|employee","Expense|general_admin","Expense|marketing","Expense|utilities","Expense|other_operating"},0)),-N(M36),0)</f>
        <v/>
      </c>
      <c r="AB36" s="23">
        <f>IF(T36="Liability|payable",-N(O36),0)+IF(U36="Liability|payable",-N(N36),0)+IF(V36="Liability|payable",N(L36),0)+IF(W36="Liability|payable",N(M36),0)</f>
        <v/>
      </c>
      <c r="AC36" s="23">
        <f>IF(T36="Liability|accrued",-N(O36),0)+IF(U36="Liability|accrued",-N(N36),0)+IF(V36="Liability|accrued",N(L36),0)+IF(W36="Liability|accrued",N(M36),0)</f>
        <v/>
      </c>
      <c r="AD36" s="23">
        <f>IF(AND(N(O36)&lt;&gt;0,T36=""),1,0)+IF(AND(N(N36)&lt;&gt;0,U36=""),1,0)+IF(AND(N(L36)&lt;&gt;0,V36=""),1,0)+IF(AND(N(M36)&lt;&gt;0,W36=""),1,0)</f>
        <v/>
      </c>
    </row>
    <row r="37">
      <c r="A37" s="14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21">
        <f>SUMIFS('Invoice Lines'!$I:$I,'Invoice Lines'!$A:$A,A37)</f>
        <v/>
      </c>
      <c r="L37" s="21">
        <f>IF(E37="Draft",0,K37)</f>
        <v/>
      </c>
      <c r="M37" s="21">
        <f>ROUND(L37*IFERROR(VLOOKUP(I37,'Tax Codes'!$A$5:$E$300,5,FALSE),0),2)</f>
        <v/>
      </c>
      <c r="N37" s="21">
        <f>ROUND(L37*IFERROR(VLOOKUP(J37,'Tax Codes'!$A$5:$E$300,5,FALSE),0),2)</f>
        <v/>
      </c>
      <c r="O37" s="21">
        <f>L37+M37-N37</f>
        <v/>
      </c>
      <c r="P37" s="16">
        <f>IF(F37="",INDEX('Chart of Accounts'!$A$5:$A$3000,MATCH("ar",'Chart of Accounts'!$F$5:$F$3000,0)),F37&amp;"")</f>
        <v/>
      </c>
      <c r="Q37" s="16">
        <f>IF(G37="",INDEX('Chart of Accounts'!$A$5:$A$3000,MATCH("revenue",'Chart of Accounts'!$F$5:$F$3000,0)),G37&amp;"")</f>
        <v/>
      </c>
      <c r="R37" s="16">
        <f>INDEX('Chart of Accounts'!$A$5:$A$3000,MATCH("wht_receivable",'Chart of Accounts'!$F$5:$F$3000,0))</f>
        <v/>
      </c>
      <c r="S37" s="16">
        <f>INDEX('Chart of Accounts'!$A$5:$A$3000,MATCH("vat_output",'Chart of Accounts'!$F$5:$F$3000,0))</f>
        <v/>
      </c>
      <c r="T37" s="23">
        <f>IFERROR(INDEX('Chart of Accounts'!$C$5:$C$3000,MATCH(P37&amp;"",'Chart of Accounts'!$A$5:$A$3000,0))&amp;"|"&amp;INDEX('Chart of Accounts'!$D$5:$D$3000,MATCH(P37&amp;"",'Chart of Accounts'!$A$5:$A$3000,0)),"")</f>
        <v/>
      </c>
      <c r="U37" s="23">
        <f>IFERROR(INDEX('Chart of Accounts'!$C$5:$C$3000,MATCH(R37&amp;"",'Chart of Accounts'!$A$5:$A$3000,0))&amp;"|"&amp;INDEX('Chart of Accounts'!$D$5:$D$3000,MATCH(R37&amp;"",'Chart of Accounts'!$A$5:$A$3000,0)),"")</f>
        <v/>
      </c>
      <c r="V37" s="23">
        <f>IFERROR(INDEX('Chart of Accounts'!$C$5:$C$3000,MATCH(Q37&amp;"",'Chart of Accounts'!$A$5:$A$3000,0))&amp;"|"&amp;INDEX('Chart of Accounts'!$D$5:$D$3000,MATCH(Q37&amp;"",'Chart of Accounts'!$A$5:$A$3000,0)),"")</f>
        <v/>
      </c>
      <c r="W37" s="23">
        <f>IFERROR(INDEX('Chart of Accounts'!$C$5:$C$3000,MATCH(S37&amp;"",'Chart of Accounts'!$A$5:$A$3000,0))&amp;"|"&amp;INDEX('Chart of Accounts'!$D$5:$D$3000,MATCH(S37&amp;"",'Chart of Accounts'!$A$5:$A$3000,0)),"")</f>
        <v/>
      </c>
      <c r="X37" s="23">
        <f>IF(LEFT(T37,8)="Revenue|",-N(O37),0)+IF(LEFT(U37,8)="Revenue|",-N(N37),0)+IF(LEFT(V37,8)="Revenue|",N(L37),0)+IF(LEFT(W37,8)="Revenue|",N(M37),0)</f>
        <v/>
      </c>
      <c r="Y37" s="23">
        <f>IF(LEFT(T37,5)="COGS|",N(O37),0)+IF(LEFT(U37,5)="COGS|",N(N37),0)+IF(LEFT(V37,5)="COGS|",-N(L37),0)+IF(LEFT(W37,5)="COGS|",-N(M37),0)</f>
        <v/>
      </c>
      <c r="Z37" s="23">
        <f>IF(LEFT(T37,8)="Expense|",N(O37),0)+IF(LEFT(U37,8)="Expense|",N(N37),0)+IF(LEFT(V37,8)="Expense|",-N(L37),0)+IF(LEFT(W37,8)="Expense|",-N(M37),0)</f>
        <v/>
      </c>
      <c r="AA37" s="23">
        <f>IF(ISNUMBER(MATCH(T37,{"Expense|employee","Expense|general_admin","Expense|marketing","Expense|utilities","Expense|other_operating"},0)),N(O37),0)+IF(ISNUMBER(MATCH(U37,{"Expense|employee","Expense|general_admin","Expense|marketing","Expense|utilities","Expense|other_operating"},0)),N(N37),0)+IF(ISNUMBER(MATCH(V37,{"Expense|employee","Expense|general_admin","Expense|marketing","Expense|utilities","Expense|other_operating"},0)),-N(L37),0)+IF(ISNUMBER(MATCH(W37,{"Expense|employee","Expense|general_admin","Expense|marketing","Expense|utilities","Expense|other_operating"},0)),-N(M37),0)</f>
        <v/>
      </c>
      <c r="AB37" s="23">
        <f>IF(T37="Liability|payable",-N(O37),0)+IF(U37="Liability|payable",-N(N37),0)+IF(V37="Liability|payable",N(L37),0)+IF(W37="Liability|payable",N(M37),0)</f>
        <v/>
      </c>
      <c r="AC37" s="23">
        <f>IF(T37="Liability|accrued",-N(O37),0)+IF(U37="Liability|accrued",-N(N37),0)+IF(V37="Liability|accrued",N(L37),0)+IF(W37="Liability|accrued",N(M37),0)</f>
        <v/>
      </c>
      <c r="AD37" s="23">
        <f>IF(AND(N(O37)&lt;&gt;0,T37=""),1,0)+IF(AND(N(N37)&lt;&gt;0,U37=""),1,0)+IF(AND(N(L37)&lt;&gt;0,V37=""),1,0)+IF(AND(N(M37)&lt;&gt;0,W37=""),1,0)</f>
        <v/>
      </c>
    </row>
    <row r="38">
      <c r="A38" s="14" t="n"/>
      <c r="B38" s="19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21">
        <f>SUMIFS('Invoice Lines'!$I:$I,'Invoice Lines'!$A:$A,A38)</f>
        <v/>
      </c>
      <c r="L38" s="21">
        <f>IF(E38="Draft",0,K38)</f>
        <v/>
      </c>
      <c r="M38" s="21">
        <f>ROUND(L38*IFERROR(VLOOKUP(I38,'Tax Codes'!$A$5:$E$300,5,FALSE),0),2)</f>
        <v/>
      </c>
      <c r="N38" s="21">
        <f>ROUND(L38*IFERROR(VLOOKUP(J38,'Tax Codes'!$A$5:$E$300,5,FALSE),0),2)</f>
        <v/>
      </c>
      <c r="O38" s="21">
        <f>L38+M38-N38</f>
        <v/>
      </c>
      <c r="P38" s="16">
        <f>IF(F38="",INDEX('Chart of Accounts'!$A$5:$A$3000,MATCH("ar",'Chart of Accounts'!$F$5:$F$3000,0)),F38&amp;"")</f>
        <v/>
      </c>
      <c r="Q38" s="16">
        <f>IF(G38="",INDEX('Chart of Accounts'!$A$5:$A$3000,MATCH("revenue",'Chart of Accounts'!$F$5:$F$3000,0)),G38&amp;"")</f>
        <v/>
      </c>
      <c r="R38" s="16">
        <f>INDEX('Chart of Accounts'!$A$5:$A$3000,MATCH("wht_receivable",'Chart of Accounts'!$F$5:$F$3000,0))</f>
        <v/>
      </c>
      <c r="S38" s="16">
        <f>INDEX('Chart of Accounts'!$A$5:$A$3000,MATCH("vat_output",'Chart of Accounts'!$F$5:$F$3000,0))</f>
        <v/>
      </c>
      <c r="T38" s="23">
        <f>IFERROR(INDEX('Chart of Accounts'!$C$5:$C$3000,MATCH(P38&amp;"",'Chart of Accounts'!$A$5:$A$3000,0))&amp;"|"&amp;INDEX('Chart of Accounts'!$D$5:$D$3000,MATCH(P38&amp;"",'Chart of Accounts'!$A$5:$A$3000,0)),"")</f>
        <v/>
      </c>
      <c r="U38" s="23">
        <f>IFERROR(INDEX('Chart of Accounts'!$C$5:$C$3000,MATCH(R38&amp;"",'Chart of Accounts'!$A$5:$A$3000,0))&amp;"|"&amp;INDEX('Chart of Accounts'!$D$5:$D$3000,MATCH(R38&amp;"",'Chart of Accounts'!$A$5:$A$3000,0)),"")</f>
        <v/>
      </c>
      <c r="V38" s="23">
        <f>IFERROR(INDEX('Chart of Accounts'!$C$5:$C$3000,MATCH(Q38&amp;"",'Chart of Accounts'!$A$5:$A$3000,0))&amp;"|"&amp;INDEX('Chart of Accounts'!$D$5:$D$3000,MATCH(Q38&amp;"",'Chart of Accounts'!$A$5:$A$3000,0)),"")</f>
        <v/>
      </c>
      <c r="W38" s="23">
        <f>IFERROR(INDEX('Chart of Accounts'!$C$5:$C$3000,MATCH(S38&amp;"",'Chart of Accounts'!$A$5:$A$3000,0))&amp;"|"&amp;INDEX('Chart of Accounts'!$D$5:$D$3000,MATCH(S38&amp;"",'Chart of Accounts'!$A$5:$A$3000,0)),"")</f>
        <v/>
      </c>
      <c r="X38" s="23">
        <f>IF(LEFT(T38,8)="Revenue|",-N(O38),0)+IF(LEFT(U38,8)="Revenue|",-N(N38),0)+IF(LEFT(V38,8)="Revenue|",N(L38),0)+IF(LEFT(W38,8)="Revenue|",N(M38),0)</f>
        <v/>
      </c>
      <c r="Y38" s="23">
        <f>IF(LEFT(T38,5)="COGS|",N(O38),0)+IF(LEFT(U38,5)="COGS|",N(N38),0)+IF(LEFT(V38,5)="COGS|",-N(L38),0)+IF(LEFT(W38,5)="COGS|",-N(M38),0)</f>
        <v/>
      </c>
      <c r="Z38" s="23">
        <f>IF(LEFT(T38,8)="Expense|",N(O38),0)+IF(LEFT(U38,8)="Expense|",N(N38),0)+IF(LEFT(V38,8)="Expense|",-N(L38),0)+IF(LEFT(W38,8)="Expense|",-N(M38),0)</f>
        <v/>
      </c>
      <c r="AA38" s="23">
        <f>IF(ISNUMBER(MATCH(T38,{"Expense|employee","Expense|general_admin","Expense|marketing","Expense|utilities","Expense|other_operating"},0)),N(O38),0)+IF(ISNUMBER(MATCH(U38,{"Expense|employee","Expense|general_admin","Expense|marketing","Expense|utilities","Expense|other_operating"},0)),N(N38),0)+IF(ISNUMBER(MATCH(V38,{"Expense|employee","Expense|general_admin","Expense|marketing","Expense|utilities","Expense|other_operating"},0)),-N(L38),0)+IF(ISNUMBER(MATCH(W38,{"Expense|employee","Expense|general_admin","Expense|marketing","Expense|utilities","Expense|other_operating"},0)),-N(M38),0)</f>
        <v/>
      </c>
      <c r="AB38" s="23">
        <f>IF(T38="Liability|payable",-N(O38),0)+IF(U38="Liability|payable",-N(N38),0)+IF(V38="Liability|payable",N(L38),0)+IF(W38="Liability|payable",N(M38),0)</f>
        <v/>
      </c>
      <c r="AC38" s="23">
        <f>IF(T38="Liability|accrued",-N(O38),0)+IF(U38="Liability|accrued",-N(N38),0)+IF(V38="Liability|accrued",N(L38),0)+IF(W38="Liability|accrued",N(M38),0)</f>
        <v/>
      </c>
      <c r="AD38" s="23">
        <f>IF(AND(N(O38)&lt;&gt;0,T38=""),1,0)+IF(AND(N(N38)&lt;&gt;0,U38=""),1,0)+IF(AND(N(L38)&lt;&gt;0,V38=""),1,0)+IF(AND(N(M38)&lt;&gt;0,W38=""),1,0)</f>
        <v/>
      </c>
    </row>
    <row r="39">
      <c r="A39" s="14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21">
        <f>SUMIFS('Invoice Lines'!$I:$I,'Invoice Lines'!$A:$A,A39)</f>
        <v/>
      </c>
      <c r="L39" s="21">
        <f>IF(E39="Draft",0,K39)</f>
        <v/>
      </c>
      <c r="M39" s="21">
        <f>ROUND(L39*IFERROR(VLOOKUP(I39,'Tax Codes'!$A$5:$E$300,5,FALSE),0),2)</f>
        <v/>
      </c>
      <c r="N39" s="21">
        <f>ROUND(L39*IFERROR(VLOOKUP(J39,'Tax Codes'!$A$5:$E$300,5,FALSE),0),2)</f>
        <v/>
      </c>
      <c r="O39" s="21">
        <f>L39+M39-N39</f>
        <v/>
      </c>
      <c r="P39" s="16">
        <f>IF(F39="",INDEX('Chart of Accounts'!$A$5:$A$3000,MATCH("ar",'Chart of Accounts'!$F$5:$F$3000,0)),F39&amp;"")</f>
        <v/>
      </c>
      <c r="Q39" s="16">
        <f>IF(G39="",INDEX('Chart of Accounts'!$A$5:$A$3000,MATCH("revenue",'Chart of Accounts'!$F$5:$F$3000,0)),G39&amp;"")</f>
        <v/>
      </c>
      <c r="R39" s="16">
        <f>INDEX('Chart of Accounts'!$A$5:$A$3000,MATCH("wht_receivable",'Chart of Accounts'!$F$5:$F$3000,0))</f>
        <v/>
      </c>
      <c r="S39" s="16">
        <f>INDEX('Chart of Accounts'!$A$5:$A$3000,MATCH("vat_output",'Chart of Accounts'!$F$5:$F$3000,0))</f>
        <v/>
      </c>
      <c r="T39" s="23">
        <f>IFERROR(INDEX('Chart of Accounts'!$C$5:$C$3000,MATCH(P39&amp;"",'Chart of Accounts'!$A$5:$A$3000,0))&amp;"|"&amp;INDEX('Chart of Accounts'!$D$5:$D$3000,MATCH(P39&amp;"",'Chart of Accounts'!$A$5:$A$3000,0)),"")</f>
        <v/>
      </c>
      <c r="U39" s="23">
        <f>IFERROR(INDEX('Chart of Accounts'!$C$5:$C$3000,MATCH(R39&amp;"",'Chart of Accounts'!$A$5:$A$3000,0))&amp;"|"&amp;INDEX('Chart of Accounts'!$D$5:$D$3000,MATCH(R39&amp;"",'Chart of Accounts'!$A$5:$A$3000,0)),"")</f>
        <v/>
      </c>
      <c r="V39" s="23">
        <f>IFERROR(INDEX('Chart of Accounts'!$C$5:$C$3000,MATCH(Q39&amp;"",'Chart of Accounts'!$A$5:$A$3000,0))&amp;"|"&amp;INDEX('Chart of Accounts'!$D$5:$D$3000,MATCH(Q39&amp;"",'Chart of Accounts'!$A$5:$A$3000,0)),"")</f>
        <v/>
      </c>
      <c r="W39" s="23">
        <f>IFERROR(INDEX('Chart of Accounts'!$C$5:$C$3000,MATCH(S39&amp;"",'Chart of Accounts'!$A$5:$A$3000,0))&amp;"|"&amp;INDEX('Chart of Accounts'!$D$5:$D$3000,MATCH(S39&amp;"",'Chart of Accounts'!$A$5:$A$3000,0)),"")</f>
        <v/>
      </c>
      <c r="X39" s="23">
        <f>IF(LEFT(T39,8)="Revenue|",-N(O39),0)+IF(LEFT(U39,8)="Revenue|",-N(N39),0)+IF(LEFT(V39,8)="Revenue|",N(L39),0)+IF(LEFT(W39,8)="Revenue|",N(M39),0)</f>
        <v/>
      </c>
      <c r="Y39" s="23">
        <f>IF(LEFT(T39,5)="COGS|",N(O39),0)+IF(LEFT(U39,5)="COGS|",N(N39),0)+IF(LEFT(V39,5)="COGS|",-N(L39),0)+IF(LEFT(W39,5)="COGS|",-N(M39),0)</f>
        <v/>
      </c>
      <c r="Z39" s="23">
        <f>IF(LEFT(T39,8)="Expense|",N(O39),0)+IF(LEFT(U39,8)="Expense|",N(N39),0)+IF(LEFT(V39,8)="Expense|",-N(L39),0)+IF(LEFT(W39,8)="Expense|",-N(M39),0)</f>
        <v/>
      </c>
      <c r="AA39" s="23">
        <f>IF(ISNUMBER(MATCH(T39,{"Expense|employee","Expense|general_admin","Expense|marketing","Expense|utilities","Expense|other_operating"},0)),N(O39),0)+IF(ISNUMBER(MATCH(U39,{"Expense|employee","Expense|general_admin","Expense|marketing","Expense|utilities","Expense|other_operating"},0)),N(N39),0)+IF(ISNUMBER(MATCH(V39,{"Expense|employee","Expense|general_admin","Expense|marketing","Expense|utilities","Expense|other_operating"},0)),-N(L39),0)+IF(ISNUMBER(MATCH(W39,{"Expense|employee","Expense|general_admin","Expense|marketing","Expense|utilities","Expense|other_operating"},0)),-N(M39),0)</f>
        <v/>
      </c>
      <c r="AB39" s="23">
        <f>IF(T39="Liability|payable",-N(O39),0)+IF(U39="Liability|payable",-N(N39),0)+IF(V39="Liability|payable",N(L39),0)+IF(W39="Liability|payable",N(M39),0)</f>
        <v/>
      </c>
      <c r="AC39" s="23">
        <f>IF(T39="Liability|accrued",-N(O39),0)+IF(U39="Liability|accrued",-N(N39),0)+IF(V39="Liability|accrued",N(L39),0)+IF(W39="Liability|accrued",N(M39),0)</f>
        <v/>
      </c>
      <c r="AD39" s="23">
        <f>IF(AND(N(O39)&lt;&gt;0,T39=""),1,0)+IF(AND(N(N39)&lt;&gt;0,U39=""),1,0)+IF(AND(N(L39)&lt;&gt;0,V39=""),1,0)+IF(AND(N(M39)&lt;&gt;0,W39=""),1,0)</f>
        <v/>
      </c>
    </row>
    <row r="40">
      <c r="A40" s="14" t="n"/>
      <c r="B40" s="19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21">
        <f>SUMIFS('Invoice Lines'!$I:$I,'Invoice Lines'!$A:$A,A40)</f>
        <v/>
      </c>
      <c r="L40" s="21">
        <f>IF(E40="Draft",0,K40)</f>
        <v/>
      </c>
      <c r="M40" s="21">
        <f>ROUND(L40*IFERROR(VLOOKUP(I40,'Tax Codes'!$A$5:$E$300,5,FALSE),0),2)</f>
        <v/>
      </c>
      <c r="N40" s="21">
        <f>ROUND(L40*IFERROR(VLOOKUP(J40,'Tax Codes'!$A$5:$E$300,5,FALSE),0),2)</f>
        <v/>
      </c>
      <c r="O40" s="21">
        <f>L40+M40-N40</f>
        <v/>
      </c>
      <c r="P40" s="16">
        <f>IF(F40="",INDEX('Chart of Accounts'!$A$5:$A$3000,MATCH("ar",'Chart of Accounts'!$F$5:$F$3000,0)),F40&amp;"")</f>
        <v/>
      </c>
      <c r="Q40" s="16">
        <f>IF(G40="",INDEX('Chart of Accounts'!$A$5:$A$3000,MATCH("revenue",'Chart of Accounts'!$F$5:$F$3000,0)),G40&amp;"")</f>
        <v/>
      </c>
      <c r="R40" s="16">
        <f>INDEX('Chart of Accounts'!$A$5:$A$3000,MATCH("wht_receivable",'Chart of Accounts'!$F$5:$F$3000,0))</f>
        <v/>
      </c>
      <c r="S40" s="16">
        <f>INDEX('Chart of Accounts'!$A$5:$A$3000,MATCH("vat_output",'Chart of Accounts'!$F$5:$F$3000,0))</f>
        <v/>
      </c>
      <c r="T40" s="23">
        <f>IFERROR(INDEX('Chart of Accounts'!$C$5:$C$3000,MATCH(P40&amp;"",'Chart of Accounts'!$A$5:$A$3000,0))&amp;"|"&amp;INDEX('Chart of Accounts'!$D$5:$D$3000,MATCH(P40&amp;"",'Chart of Accounts'!$A$5:$A$3000,0)),"")</f>
        <v/>
      </c>
      <c r="U40" s="23">
        <f>IFERROR(INDEX('Chart of Accounts'!$C$5:$C$3000,MATCH(R40&amp;"",'Chart of Accounts'!$A$5:$A$3000,0))&amp;"|"&amp;INDEX('Chart of Accounts'!$D$5:$D$3000,MATCH(R40&amp;"",'Chart of Accounts'!$A$5:$A$3000,0)),"")</f>
        <v/>
      </c>
      <c r="V40" s="23">
        <f>IFERROR(INDEX('Chart of Accounts'!$C$5:$C$3000,MATCH(Q40&amp;"",'Chart of Accounts'!$A$5:$A$3000,0))&amp;"|"&amp;INDEX('Chart of Accounts'!$D$5:$D$3000,MATCH(Q40&amp;"",'Chart of Accounts'!$A$5:$A$3000,0)),"")</f>
        <v/>
      </c>
      <c r="W40" s="23">
        <f>IFERROR(INDEX('Chart of Accounts'!$C$5:$C$3000,MATCH(S40&amp;"",'Chart of Accounts'!$A$5:$A$3000,0))&amp;"|"&amp;INDEX('Chart of Accounts'!$D$5:$D$3000,MATCH(S40&amp;"",'Chart of Accounts'!$A$5:$A$3000,0)),"")</f>
        <v/>
      </c>
      <c r="X40" s="23">
        <f>IF(LEFT(T40,8)="Revenue|",-N(O40),0)+IF(LEFT(U40,8)="Revenue|",-N(N40),0)+IF(LEFT(V40,8)="Revenue|",N(L40),0)+IF(LEFT(W40,8)="Revenue|",N(M40),0)</f>
        <v/>
      </c>
      <c r="Y40" s="23">
        <f>IF(LEFT(T40,5)="COGS|",N(O40),0)+IF(LEFT(U40,5)="COGS|",N(N40),0)+IF(LEFT(V40,5)="COGS|",-N(L40),0)+IF(LEFT(W40,5)="COGS|",-N(M40),0)</f>
        <v/>
      </c>
      <c r="Z40" s="23">
        <f>IF(LEFT(T40,8)="Expense|",N(O40),0)+IF(LEFT(U40,8)="Expense|",N(N40),0)+IF(LEFT(V40,8)="Expense|",-N(L40),0)+IF(LEFT(W40,8)="Expense|",-N(M40),0)</f>
        <v/>
      </c>
      <c r="AA40" s="23">
        <f>IF(ISNUMBER(MATCH(T40,{"Expense|employee","Expense|general_admin","Expense|marketing","Expense|utilities","Expense|other_operating"},0)),N(O40),0)+IF(ISNUMBER(MATCH(U40,{"Expense|employee","Expense|general_admin","Expense|marketing","Expense|utilities","Expense|other_operating"},0)),N(N40),0)+IF(ISNUMBER(MATCH(V40,{"Expense|employee","Expense|general_admin","Expense|marketing","Expense|utilities","Expense|other_operating"},0)),-N(L40),0)+IF(ISNUMBER(MATCH(W40,{"Expense|employee","Expense|general_admin","Expense|marketing","Expense|utilities","Expense|other_operating"},0)),-N(M40),0)</f>
        <v/>
      </c>
      <c r="AB40" s="23">
        <f>IF(T40="Liability|payable",-N(O40),0)+IF(U40="Liability|payable",-N(N40),0)+IF(V40="Liability|payable",N(L40),0)+IF(W40="Liability|payable",N(M40),0)</f>
        <v/>
      </c>
      <c r="AC40" s="23">
        <f>IF(T40="Liability|accrued",-N(O40),0)+IF(U40="Liability|accrued",-N(N40),0)+IF(V40="Liability|accrued",N(L40),0)+IF(W40="Liability|accrued",N(M40),0)</f>
        <v/>
      </c>
      <c r="AD40" s="23">
        <f>IF(AND(N(O40)&lt;&gt;0,T40=""),1,0)+IF(AND(N(N40)&lt;&gt;0,U40=""),1,0)+IF(AND(N(L40)&lt;&gt;0,V40=""),1,0)+IF(AND(N(M40)&lt;&gt;0,W40=""),1,0)</f>
        <v/>
      </c>
    </row>
    <row r="41">
      <c r="A41" s="14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21">
        <f>SUMIFS('Invoice Lines'!$I:$I,'Invoice Lines'!$A:$A,A41)</f>
        <v/>
      </c>
      <c r="L41" s="21">
        <f>IF(E41="Draft",0,K41)</f>
        <v/>
      </c>
      <c r="M41" s="21">
        <f>ROUND(L41*IFERROR(VLOOKUP(I41,'Tax Codes'!$A$5:$E$300,5,FALSE),0),2)</f>
        <v/>
      </c>
      <c r="N41" s="21">
        <f>ROUND(L41*IFERROR(VLOOKUP(J41,'Tax Codes'!$A$5:$E$300,5,FALSE),0),2)</f>
        <v/>
      </c>
      <c r="O41" s="21">
        <f>L41+M41-N41</f>
        <v/>
      </c>
      <c r="P41" s="16">
        <f>IF(F41="",INDEX('Chart of Accounts'!$A$5:$A$3000,MATCH("ar",'Chart of Accounts'!$F$5:$F$3000,0)),F41&amp;"")</f>
        <v/>
      </c>
      <c r="Q41" s="16">
        <f>IF(G41="",INDEX('Chart of Accounts'!$A$5:$A$3000,MATCH("revenue",'Chart of Accounts'!$F$5:$F$3000,0)),G41&amp;"")</f>
        <v/>
      </c>
      <c r="R41" s="16">
        <f>INDEX('Chart of Accounts'!$A$5:$A$3000,MATCH("wht_receivable",'Chart of Accounts'!$F$5:$F$3000,0))</f>
        <v/>
      </c>
      <c r="S41" s="16">
        <f>INDEX('Chart of Accounts'!$A$5:$A$3000,MATCH("vat_output",'Chart of Accounts'!$F$5:$F$3000,0))</f>
        <v/>
      </c>
      <c r="T41" s="23">
        <f>IFERROR(INDEX('Chart of Accounts'!$C$5:$C$3000,MATCH(P41&amp;"",'Chart of Accounts'!$A$5:$A$3000,0))&amp;"|"&amp;INDEX('Chart of Accounts'!$D$5:$D$3000,MATCH(P41&amp;"",'Chart of Accounts'!$A$5:$A$3000,0)),"")</f>
        <v/>
      </c>
      <c r="U41" s="23">
        <f>IFERROR(INDEX('Chart of Accounts'!$C$5:$C$3000,MATCH(R41&amp;"",'Chart of Accounts'!$A$5:$A$3000,0))&amp;"|"&amp;INDEX('Chart of Accounts'!$D$5:$D$3000,MATCH(R41&amp;"",'Chart of Accounts'!$A$5:$A$3000,0)),"")</f>
        <v/>
      </c>
      <c r="V41" s="23">
        <f>IFERROR(INDEX('Chart of Accounts'!$C$5:$C$3000,MATCH(Q41&amp;"",'Chart of Accounts'!$A$5:$A$3000,0))&amp;"|"&amp;INDEX('Chart of Accounts'!$D$5:$D$3000,MATCH(Q41&amp;"",'Chart of Accounts'!$A$5:$A$3000,0)),"")</f>
        <v/>
      </c>
      <c r="W41" s="23">
        <f>IFERROR(INDEX('Chart of Accounts'!$C$5:$C$3000,MATCH(S41&amp;"",'Chart of Accounts'!$A$5:$A$3000,0))&amp;"|"&amp;INDEX('Chart of Accounts'!$D$5:$D$3000,MATCH(S41&amp;"",'Chart of Accounts'!$A$5:$A$3000,0)),"")</f>
        <v/>
      </c>
      <c r="X41" s="23">
        <f>IF(LEFT(T41,8)="Revenue|",-N(O41),0)+IF(LEFT(U41,8)="Revenue|",-N(N41),0)+IF(LEFT(V41,8)="Revenue|",N(L41),0)+IF(LEFT(W41,8)="Revenue|",N(M41),0)</f>
        <v/>
      </c>
      <c r="Y41" s="23">
        <f>IF(LEFT(T41,5)="COGS|",N(O41),0)+IF(LEFT(U41,5)="COGS|",N(N41),0)+IF(LEFT(V41,5)="COGS|",-N(L41),0)+IF(LEFT(W41,5)="COGS|",-N(M41),0)</f>
        <v/>
      </c>
      <c r="Z41" s="23">
        <f>IF(LEFT(T41,8)="Expense|",N(O41),0)+IF(LEFT(U41,8)="Expense|",N(N41),0)+IF(LEFT(V41,8)="Expense|",-N(L41),0)+IF(LEFT(W41,8)="Expense|",-N(M41),0)</f>
        <v/>
      </c>
      <c r="AA41" s="23">
        <f>IF(ISNUMBER(MATCH(T41,{"Expense|employee","Expense|general_admin","Expense|marketing","Expense|utilities","Expense|other_operating"},0)),N(O41),0)+IF(ISNUMBER(MATCH(U41,{"Expense|employee","Expense|general_admin","Expense|marketing","Expense|utilities","Expense|other_operating"},0)),N(N41),0)+IF(ISNUMBER(MATCH(V41,{"Expense|employee","Expense|general_admin","Expense|marketing","Expense|utilities","Expense|other_operating"},0)),-N(L41),0)+IF(ISNUMBER(MATCH(W41,{"Expense|employee","Expense|general_admin","Expense|marketing","Expense|utilities","Expense|other_operating"},0)),-N(M41),0)</f>
        <v/>
      </c>
      <c r="AB41" s="23">
        <f>IF(T41="Liability|payable",-N(O41),0)+IF(U41="Liability|payable",-N(N41),0)+IF(V41="Liability|payable",N(L41),0)+IF(W41="Liability|payable",N(M41),0)</f>
        <v/>
      </c>
      <c r="AC41" s="23">
        <f>IF(T41="Liability|accrued",-N(O41),0)+IF(U41="Liability|accrued",-N(N41),0)+IF(V41="Liability|accrued",N(L41),0)+IF(W41="Liability|accrued",N(M41),0)</f>
        <v/>
      </c>
      <c r="AD41" s="23">
        <f>IF(AND(N(O41)&lt;&gt;0,T41=""),1,0)+IF(AND(N(N41)&lt;&gt;0,U41=""),1,0)+IF(AND(N(L41)&lt;&gt;0,V41=""),1,0)+IF(AND(N(M41)&lt;&gt;0,W41=""),1,0)</f>
        <v/>
      </c>
    </row>
    <row r="42">
      <c r="A42" s="14" t="n"/>
      <c r="B42" s="19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21">
        <f>SUMIFS('Invoice Lines'!$I:$I,'Invoice Lines'!$A:$A,A42)</f>
        <v/>
      </c>
      <c r="L42" s="21">
        <f>IF(E42="Draft",0,K42)</f>
        <v/>
      </c>
      <c r="M42" s="21">
        <f>ROUND(L42*IFERROR(VLOOKUP(I42,'Tax Codes'!$A$5:$E$300,5,FALSE),0),2)</f>
        <v/>
      </c>
      <c r="N42" s="21">
        <f>ROUND(L42*IFERROR(VLOOKUP(J42,'Tax Codes'!$A$5:$E$300,5,FALSE),0),2)</f>
        <v/>
      </c>
      <c r="O42" s="21">
        <f>L42+M42-N42</f>
        <v/>
      </c>
      <c r="P42" s="16">
        <f>IF(F42="",INDEX('Chart of Accounts'!$A$5:$A$3000,MATCH("ar",'Chart of Accounts'!$F$5:$F$3000,0)),F42&amp;"")</f>
        <v/>
      </c>
      <c r="Q42" s="16">
        <f>IF(G42="",INDEX('Chart of Accounts'!$A$5:$A$3000,MATCH("revenue",'Chart of Accounts'!$F$5:$F$3000,0)),G42&amp;"")</f>
        <v/>
      </c>
      <c r="R42" s="16">
        <f>INDEX('Chart of Accounts'!$A$5:$A$3000,MATCH("wht_receivable",'Chart of Accounts'!$F$5:$F$3000,0))</f>
        <v/>
      </c>
      <c r="S42" s="16">
        <f>INDEX('Chart of Accounts'!$A$5:$A$3000,MATCH("vat_output",'Chart of Accounts'!$F$5:$F$3000,0))</f>
        <v/>
      </c>
      <c r="T42" s="23">
        <f>IFERROR(INDEX('Chart of Accounts'!$C$5:$C$3000,MATCH(P42&amp;"",'Chart of Accounts'!$A$5:$A$3000,0))&amp;"|"&amp;INDEX('Chart of Accounts'!$D$5:$D$3000,MATCH(P42&amp;"",'Chart of Accounts'!$A$5:$A$3000,0)),"")</f>
        <v/>
      </c>
      <c r="U42" s="23">
        <f>IFERROR(INDEX('Chart of Accounts'!$C$5:$C$3000,MATCH(R42&amp;"",'Chart of Accounts'!$A$5:$A$3000,0))&amp;"|"&amp;INDEX('Chart of Accounts'!$D$5:$D$3000,MATCH(R42&amp;"",'Chart of Accounts'!$A$5:$A$3000,0)),"")</f>
        <v/>
      </c>
      <c r="V42" s="23">
        <f>IFERROR(INDEX('Chart of Accounts'!$C$5:$C$3000,MATCH(Q42&amp;"",'Chart of Accounts'!$A$5:$A$3000,0))&amp;"|"&amp;INDEX('Chart of Accounts'!$D$5:$D$3000,MATCH(Q42&amp;"",'Chart of Accounts'!$A$5:$A$3000,0)),"")</f>
        <v/>
      </c>
      <c r="W42" s="23">
        <f>IFERROR(INDEX('Chart of Accounts'!$C$5:$C$3000,MATCH(S42&amp;"",'Chart of Accounts'!$A$5:$A$3000,0))&amp;"|"&amp;INDEX('Chart of Accounts'!$D$5:$D$3000,MATCH(S42&amp;"",'Chart of Accounts'!$A$5:$A$3000,0)),"")</f>
        <v/>
      </c>
      <c r="X42" s="23">
        <f>IF(LEFT(T42,8)="Revenue|",-N(O42),0)+IF(LEFT(U42,8)="Revenue|",-N(N42),0)+IF(LEFT(V42,8)="Revenue|",N(L42),0)+IF(LEFT(W42,8)="Revenue|",N(M42),0)</f>
        <v/>
      </c>
      <c r="Y42" s="23">
        <f>IF(LEFT(T42,5)="COGS|",N(O42),0)+IF(LEFT(U42,5)="COGS|",N(N42),0)+IF(LEFT(V42,5)="COGS|",-N(L42),0)+IF(LEFT(W42,5)="COGS|",-N(M42),0)</f>
        <v/>
      </c>
      <c r="Z42" s="23">
        <f>IF(LEFT(T42,8)="Expense|",N(O42),0)+IF(LEFT(U42,8)="Expense|",N(N42),0)+IF(LEFT(V42,8)="Expense|",-N(L42),0)+IF(LEFT(W42,8)="Expense|",-N(M42),0)</f>
        <v/>
      </c>
      <c r="AA42" s="23">
        <f>IF(ISNUMBER(MATCH(T42,{"Expense|employee","Expense|general_admin","Expense|marketing","Expense|utilities","Expense|other_operating"},0)),N(O42),0)+IF(ISNUMBER(MATCH(U42,{"Expense|employee","Expense|general_admin","Expense|marketing","Expense|utilities","Expense|other_operating"},0)),N(N42),0)+IF(ISNUMBER(MATCH(V42,{"Expense|employee","Expense|general_admin","Expense|marketing","Expense|utilities","Expense|other_operating"},0)),-N(L42),0)+IF(ISNUMBER(MATCH(W42,{"Expense|employee","Expense|general_admin","Expense|marketing","Expense|utilities","Expense|other_operating"},0)),-N(M42),0)</f>
        <v/>
      </c>
      <c r="AB42" s="23">
        <f>IF(T42="Liability|payable",-N(O42),0)+IF(U42="Liability|payable",-N(N42),0)+IF(V42="Liability|payable",N(L42),0)+IF(W42="Liability|payable",N(M42),0)</f>
        <v/>
      </c>
      <c r="AC42" s="23">
        <f>IF(T42="Liability|accrued",-N(O42),0)+IF(U42="Liability|accrued",-N(N42),0)+IF(V42="Liability|accrued",N(L42),0)+IF(W42="Liability|accrued",N(M42),0)</f>
        <v/>
      </c>
      <c r="AD42" s="23">
        <f>IF(AND(N(O42)&lt;&gt;0,T42=""),1,0)+IF(AND(N(N42)&lt;&gt;0,U42=""),1,0)+IF(AND(N(L42)&lt;&gt;0,V42=""),1,0)+IF(AND(N(M42)&lt;&gt;0,W42=""),1,0)</f>
        <v/>
      </c>
    </row>
    <row r="43">
      <c r="A43" s="14" t="n"/>
      <c r="B43" s="19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21">
        <f>SUMIFS('Invoice Lines'!$I:$I,'Invoice Lines'!$A:$A,A43)</f>
        <v/>
      </c>
      <c r="L43" s="21">
        <f>IF(E43="Draft",0,K43)</f>
        <v/>
      </c>
      <c r="M43" s="21">
        <f>ROUND(L43*IFERROR(VLOOKUP(I43,'Tax Codes'!$A$5:$E$300,5,FALSE),0),2)</f>
        <v/>
      </c>
      <c r="N43" s="21">
        <f>ROUND(L43*IFERROR(VLOOKUP(J43,'Tax Codes'!$A$5:$E$300,5,FALSE),0),2)</f>
        <v/>
      </c>
      <c r="O43" s="21">
        <f>L43+M43-N43</f>
        <v/>
      </c>
      <c r="P43" s="16">
        <f>IF(F43="",INDEX('Chart of Accounts'!$A$5:$A$3000,MATCH("ar",'Chart of Accounts'!$F$5:$F$3000,0)),F43&amp;"")</f>
        <v/>
      </c>
      <c r="Q43" s="16">
        <f>IF(G43="",INDEX('Chart of Accounts'!$A$5:$A$3000,MATCH("revenue",'Chart of Accounts'!$F$5:$F$3000,0)),G43&amp;"")</f>
        <v/>
      </c>
      <c r="R43" s="16">
        <f>INDEX('Chart of Accounts'!$A$5:$A$3000,MATCH("wht_receivable",'Chart of Accounts'!$F$5:$F$3000,0))</f>
        <v/>
      </c>
      <c r="S43" s="16">
        <f>INDEX('Chart of Accounts'!$A$5:$A$3000,MATCH("vat_output",'Chart of Accounts'!$F$5:$F$3000,0))</f>
        <v/>
      </c>
      <c r="T43" s="23">
        <f>IFERROR(INDEX('Chart of Accounts'!$C$5:$C$3000,MATCH(P43&amp;"",'Chart of Accounts'!$A$5:$A$3000,0))&amp;"|"&amp;INDEX('Chart of Accounts'!$D$5:$D$3000,MATCH(P43&amp;"",'Chart of Accounts'!$A$5:$A$3000,0)),"")</f>
        <v/>
      </c>
      <c r="U43" s="23">
        <f>IFERROR(INDEX('Chart of Accounts'!$C$5:$C$3000,MATCH(R43&amp;"",'Chart of Accounts'!$A$5:$A$3000,0))&amp;"|"&amp;INDEX('Chart of Accounts'!$D$5:$D$3000,MATCH(R43&amp;"",'Chart of Accounts'!$A$5:$A$3000,0)),"")</f>
        <v/>
      </c>
      <c r="V43" s="23">
        <f>IFERROR(INDEX('Chart of Accounts'!$C$5:$C$3000,MATCH(Q43&amp;"",'Chart of Accounts'!$A$5:$A$3000,0))&amp;"|"&amp;INDEX('Chart of Accounts'!$D$5:$D$3000,MATCH(Q43&amp;"",'Chart of Accounts'!$A$5:$A$3000,0)),"")</f>
        <v/>
      </c>
      <c r="W43" s="23">
        <f>IFERROR(INDEX('Chart of Accounts'!$C$5:$C$3000,MATCH(S43&amp;"",'Chart of Accounts'!$A$5:$A$3000,0))&amp;"|"&amp;INDEX('Chart of Accounts'!$D$5:$D$3000,MATCH(S43&amp;"",'Chart of Accounts'!$A$5:$A$3000,0)),"")</f>
        <v/>
      </c>
      <c r="X43" s="23">
        <f>IF(LEFT(T43,8)="Revenue|",-N(O43),0)+IF(LEFT(U43,8)="Revenue|",-N(N43),0)+IF(LEFT(V43,8)="Revenue|",N(L43),0)+IF(LEFT(W43,8)="Revenue|",N(M43),0)</f>
        <v/>
      </c>
      <c r="Y43" s="23">
        <f>IF(LEFT(T43,5)="COGS|",N(O43),0)+IF(LEFT(U43,5)="COGS|",N(N43),0)+IF(LEFT(V43,5)="COGS|",-N(L43),0)+IF(LEFT(W43,5)="COGS|",-N(M43),0)</f>
        <v/>
      </c>
      <c r="Z43" s="23">
        <f>IF(LEFT(T43,8)="Expense|",N(O43),0)+IF(LEFT(U43,8)="Expense|",N(N43),0)+IF(LEFT(V43,8)="Expense|",-N(L43),0)+IF(LEFT(W43,8)="Expense|",-N(M43),0)</f>
        <v/>
      </c>
      <c r="AA43" s="23">
        <f>IF(ISNUMBER(MATCH(T43,{"Expense|employee","Expense|general_admin","Expense|marketing","Expense|utilities","Expense|other_operating"},0)),N(O43),0)+IF(ISNUMBER(MATCH(U43,{"Expense|employee","Expense|general_admin","Expense|marketing","Expense|utilities","Expense|other_operating"},0)),N(N43),0)+IF(ISNUMBER(MATCH(V43,{"Expense|employee","Expense|general_admin","Expense|marketing","Expense|utilities","Expense|other_operating"},0)),-N(L43),0)+IF(ISNUMBER(MATCH(W43,{"Expense|employee","Expense|general_admin","Expense|marketing","Expense|utilities","Expense|other_operating"},0)),-N(M43),0)</f>
        <v/>
      </c>
      <c r="AB43" s="23">
        <f>IF(T43="Liability|payable",-N(O43),0)+IF(U43="Liability|payable",-N(N43),0)+IF(V43="Liability|payable",N(L43),0)+IF(W43="Liability|payable",N(M43),0)</f>
        <v/>
      </c>
      <c r="AC43" s="23">
        <f>IF(T43="Liability|accrued",-N(O43),0)+IF(U43="Liability|accrued",-N(N43),0)+IF(V43="Liability|accrued",N(L43),0)+IF(W43="Liability|accrued",N(M43),0)</f>
        <v/>
      </c>
      <c r="AD43" s="23">
        <f>IF(AND(N(O43)&lt;&gt;0,T43=""),1,0)+IF(AND(N(N43)&lt;&gt;0,U43=""),1,0)+IF(AND(N(L43)&lt;&gt;0,V43=""),1,0)+IF(AND(N(M43)&lt;&gt;0,W43=""),1,0)</f>
        <v/>
      </c>
    </row>
    <row r="44">
      <c r="A44" s="14" t="n"/>
      <c r="B44" s="19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21">
        <f>SUMIFS('Invoice Lines'!$I:$I,'Invoice Lines'!$A:$A,A44)</f>
        <v/>
      </c>
      <c r="L44" s="21">
        <f>IF(E44="Draft",0,K44)</f>
        <v/>
      </c>
      <c r="M44" s="21">
        <f>ROUND(L44*IFERROR(VLOOKUP(I44,'Tax Codes'!$A$5:$E$300,5,FALSE),0),2)</f>
        <v/>
      </c>
      <c r="N44" s="21">
        <f>ROUND(L44*IFERROR(VLOOKUP(J44,'Tax Codes'!$A$5:$E$300,5,FALSE),0),2)</f>
        <v/>
      </c>
      <c r="O44" s="21">
        <f>L44+M44-N44</f>
        <v/>
      </c>
      <c r="P44" s="16">
        <f>IF(F44="",INDEX('Chart of Accounts'!$A$5:$A$3000,MATCH("ar",'Chart of Accounts'!$F$5:$F$3000,0)),F44&amp;"")</f>
        <v/>
      </c>
      <c r="Q44" s="16">
        <f>IF(G44="",INDEX('Chart of Accounts'!$A$5:$A$3000,MATCH("revenue",'Chart of Accounts'!$F$5:$F$3000,0)),G44&amp;"")</f>
        <v/>
      </c>
      <c r="R44" s="16">
        <f>INDEX('Chart of Accounts'!$A$5:$A$3000,MATCH("wht_receivable",'Chart of Accounts'!$F$5:$F$3000,0))</f>
        <v/>
      </c>
      <c r="S44" s="16">
        <f>INDEX('Chart of Accounts'!$A$5:$A$3000,MATCH("vat_output",'Chart of Accounts'!$F$5:$F$3000,0))</f>
        <v/>
      </c>
      <c r="T44" s="23">
        <f>IFERROR(INDEX('Chart of Accounts'!$C$5:$C$3000,MATCH(P44&amp;"",'Chart of Accounts'!$A$5:$A$3000,0))&amp;"|"&amp;INDEX('Chart of Accounts'!$D$5:$D$3000,MATCH(P44&amp;"",'Chart of Accounts'!$A$5:$A$3000,0)),"")</f>
        <v/>
      </c>
      <c r="U44" s="23">
        <f>IFERROR(INDEX('Chart of Accounts'!$C$5:$C$3000,MATCH(R44&amp;"",'Chart of Accounts'!$A$5:$A$3000,0))&amp;"|"&amp;INDEX('Chart of Accounts'!$D$5:$D$3000,MATCH(R44&amp;"",'Chart of Accounts'!$A$5:$A$3000,0)),"")</f>
        <v/>
      </c>
      <c r="V44" s="23">
        <f>IFERROR(INDEX('Chart of Accounts'!$C$5:$C$3000,MATCH(Q44&amp;"",'Chart of Accounts'!$A$5:$A$3000,0))&amp;"|"&amp;INDEX('Chart of Accounts'!$D$5:$D$3000,MATCH(Q44&amp;"",'Chart of Accounts'!$A$5:$A$3000,0)),"")</f>
        <v/>
      </c>
      <c r="W44" s="23">
        <f>IFERROR(INDEX('Chart of Accounts'!$C$5:$C$3000,MATCH(S44&amp;"",'Chart of Accounts'!$A$5:$A$3000,0))&amp;"|"&amp;INDEX('Chart of Accounts'!$D$5:$D$3000,MATCH(S44&amp;"",'Chart of Accounts'!$A$5:$A$3000,0)),"")</f>
        <v/>
      </c>
      <c r="X44" s="23">
        <f>IF(LEFT(T44,8)="Revenue|",-N(O44),0)+IF(LEFT(U44,8)="Revenue|",-N(N44),0)+IF(LEFT(V44,8)="Revenue|",N(L44),0)+IF(LEFT(W44,8)="Revenue|",N(M44),0)</f>
        <v/>
      </c>
      <c r="Y44" s="23">
        <f>IF(LEFT(T44,5)="COGS|",N(O44),0)+IF(LEFT(U44,5)="COGS|",N(N44),0)+IF(LEFT(V44,5)="COGS|",-N(L44),0)+IF(LEFT(W44,5)="COGS|",-N(M44),0)</f>
        <v/>
      </c>
      <c r="Z44" s="23">
        <f>IF(LEFT(T44,8)="Expense|",N(O44),0)+IF(LEFT(U44,8)="Expense|",N(N44),0)+IF(LEFT(V44,8)="Expense|",-N(L44),0)+IF(LEFT(W44,8)="Expense|",-N(M44),0)</f>
        <v/>
      </c>
      <c r="AA44" s="23">
        <f>IF(ISNUMBER(MATCH(T44,{"Expense|employee","Expense|general_admin","Expense|marketing","Expense|utilities","Expense|other_operating"},0)),N(O44),0)+IF(ISNUMBER(MATCH(U44,{"Expense|employee","Expense|general_admin","Expense|marketing","Expense|utilities","Expense|other_operating"},0)),N(N44),0)+IF(ISNUMBER(MATCH(V44,{"Expense|employee","Expense|general_admin","Expense|marketing","Expense|utilities","Expense|other_operating"},0)),-N(L44),0)+IF(ISNUMBER(MATCH(W44,{"Expense|employee","Expense|general_admin","Expense|marketing","Expense|utilities","Expense|other_operating"},0)),-N(M44),0)</f>
        <v/>
      </c>
      <c r="AB44" s="23">
        <f>IF(T44="Liability|payable",-N(O44),0)+IF(U44="Liability|payable",-N(N44),0)+IF(V44="Liability|payable",N(L44),0)+IF(W44="Liability|payable",N(M44),0)</f>
        <v/>
      </c>
      <c r="AC44" s="23">
        <f>IF(T44="Liability|accrued",-N(O44),0)+IF(U44="Liability|accrued",-N(N44),0)+IF(V44="Liability|accrued",N(L44),0)+IF(W44="Liability|accrued",N(M44),0)</f>
        <v/>
      </c>
      <c r="AD44" s="23">
        <f>IF(AND(N(O44)&lt;&gt;0,T44=""),1,0)+IF(AND(N(N44)&lt;&gt;0,U44=""),1,0)+IF(AND(N(L44)&lt;&gt;0,V44=""),1,0)+IF(AND(N(M44)&lt;&gt;0,W44=""),1,0)</f>
        <v/>
      </c>
    </row>
    <row r="45">
      <c r="A45" s="14" t="n"/>
      <c r="B45" s="19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21">
        <f>SUMIFS('Invoice Lines'!$I:$I,'Invoice Lines'!$A:$A,A45)</f>
        <v/>
      </c>
      <c r="L45" s="21">
        <f>IF(E45="Draft",0,K45)</f>
        <v/>
      </c>
      <c r="M45" s="21">
        <f>ROUND(L45*IFERROR(VLOOKUP(I45,'Tax Codes'!$A$5:$E$300,5,FALSE),0),2)</f>
        <v/>
      </c>
      <c r="N45" s="21">
        <f>ROUND(L45*IFERROR(VLOOKUP(J45,'Tax Codes'!$A$5:$E$300,5,FALSE),0),2)</f>
        <v/>
      </c>
      <c r="O45" s="21">
        <f>L45+M45-N45</f>
        <v/>
      </c>
      <c r="P45" s="16">
        <f>IF(F45="",INDEX('Chart of Accounts'!$A$5:$A$3000,MATCH("ar",'Chart of Accounts'!$F$5:$F$3000,0)),F45&amp;"")</f>
        <v/>
      </c>
      <c r="Q45" s="16">
        <f>IF(G45="",INDEX('Chart of Accounts'!$A$5:$A$3000,MATCH("revenue",'Chart of Accounts'!$F$5:$F$3000,0)),G45&amp;"")</f>
        <v/>
      </c>
      <c r="R45" s="16">
        <f>INDEX('Chart of Accounts'!$A$5:$A$3000,MATCH("wht_receivable",'Chart of Accounts'!$F$5:$F$3000,0))</f>
        <v/>
      </c>
      <c r="S45" s="16">
        <f>INDEX('Chart of Accounts'!$A$5:$A$3000,MATCH("vat_output",'Chart of Accounts'!$F$5:$F$3000,0))</f>
        <v/>
      </c>
      <c r="T45" s="23">
        <f>IFERROR(INDEX('Chart of Accounts'!$C$5:$C$3000,MATCH(P45&amp;"",'Chart of Accounts'!$A$5:$A$3000,0))&amp;"|"&amp;INDEX('Chart of Accounts'!$D$5:$D$3000,MATCH(P45&amp;"",'Chart of Accounts'!$A$5:$A$3000,0)),"")</f>
        <v/>
      </c>
      <c r="U45" s="23">
        <f>IFERROR(INDEX('Chart of Accounts'!$C$5:$C$3000,MATCH(R45&amp;"",'Chart of Accounts'!$A$5:$A$3000,0))&amp;"|"&amp;INDEX('Chart of Accounts'!$D$5:$D$3000,MATCH(R45&amp;"",'Chart of Accounts'!$A$5:$A$3000,0)),"")</f>
        <v/>
      </c>
      <c r="V45" s="23">
        <f>IFERROR(INDEX('Chart of Accounts'!$C$5:$C$3000,MATCH(Q45&amp;"",'Chart of Accounts'!$A$5:$A$3000,0))&amp;"|"&amp;INDEX('Chart of Accounts'!$D$5:$D$3000,MATCH(Q45&amp;"",'Chart of Accounts'!$A$5:$A$3000,0)),"")</f>
        <v/>
      </c>
      <c r="W45" s="23">
        <f>IFERROR(INDEX('Chart of Accounts'!$C$5:$C$3000,MATCH(S45&amp;"",'Chart of Accounts'!$A$5:$A$3000,0))&amp;"|"&amp;INDEX('Chart of Accounts'!$D$5:$D$3000,MATCH(S45&amp;"",'Chart of Accounts'!$A$5:$A$3000,0)),"")</f>
        <v/>
      </c>
      <c r="X45" s="23">
        <f>IF(LEFT(T45,8)="Revenue|",-N(O45),0)+IF(LEFT(U45,8)="Revenue|",-N(N45),0)+IF(LEFT(V45,8)="Revenue|",N(L45),0)+IF(LEFT(W45,8)="Revenue|",N(M45),0)</f>
        <v/>
      </c>
      <c r="Y45" s="23">
        <f>IF(LEFT(T45,5)="COGS|",N(O45),0)+IF(LEFT(U45,5)="COGS|",N(N45),0)+IF(LEFT(V45,5)="COGS|",-N(L45),0)+IF(LEFT(W45,5)="COGS|",-N(M45),0)</f>
        <v/>
      </c>
      <c r="Z45" s="23">
        <f>IF(LEFT(T45,8)="Expense|",N(O45),0)+IF(LEFT(U45,8)="Expense|",N(N45),0)+IF(LEFT(V45,8)="Expense|",-N(L45),0)+IF(LEFT(W45,8)="Expense|",-N(M45),0)</f>
        <v/>
      </c>
      <c r="AA45" s="23">
        <f>IF(ISNUMBER(MATCH(T45,{"Expense|employee","Expense|general_admin","Expense|marketing","Expense|utilities","Expense|other_operating"},0)),N(O45),0)+IF(ISNUMBER(MATCH(U45,{"Expense|employee","Expense|general_admin","Expense|marketing","Expense|utilities","Expense|other_operating"},0)),N(N45),0)+IF(ISNUMBER(MATCH(V45,{"Expense|employee","Expense|general_admin","Expense|marketing","Expense|utilities","Expense|other_operating"},0)),-N(L45),0)+IF(ISNUMBER(MATCH(W45,{"Expense|employee","Expense|general_admin","Expense|marketing","Expense|utilities","Expense|other_operating"},0)),-N(M45),0)</f>
        <v/>
      </c>
      <c r="AB45" s="23">
        <f>IF(T45="Liability|payable",-N(O45),0)+IF(U45="Liability|payable",-N(N45),0)+IF(V45="Liability|payable",N(L45),0)+IF(W45="Liability|payable",N(M45),0)</f>
        <v/>
      </c>
      <c r="AC45" s="23">
        <f>IF(T45="Liability|accrued",-N(O45),0)+IF(U45="Liability|accrued",-N(N45),0)+IF(V45="Liability|accrued",N(L45),0)+IF(W45="Liability|accrued",N(M45),0)</f>
        <v/>
      </c>
      <c r="AD45" s="23">
        <f>IF(AND(N(O45)&lt;&gt;0,T45=""),1,0)+IF(AND(N(N45)&lt;&gt;0,U45=""),1,0)+IF(AND(N(L45)&lt;&gt;0,V45=""),1,0)+IF(AND(N(M45)&lt;&gt;0,W45=""),1,0)</f>
        <v/>
      </c>
    </row>
    <row r="46">
      <c r="A46" s="14" t="n"/>
      <c r="B46" s="19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21">
        <f>SUMIFS('Invoice Lines'!$I:$I,'Invoice Lines'!$A:$A,A46)</f>
        <v/>
      </c>
      <c r="L46" s="21">
        <f>IF(E46="Draft",0,K46)</f>
        <v/>
      </c>
      <c r="M46" s="21">
        <f>ROUND(L46*IFERROR(VLOOKUP(I46,'Tax Codes'!$A$5:$E$300,5,FALSE),0),2)</f>
        <v/>
      </c>
      <c r="N46" s="21">
        <f>ROUND(L46*IFERROR(VLOOKUP(J46,'Tax Codes'!$A$5:$E$300,5,FALSE),0),2)</f>
        <v/>
      </c>
      <c r="O46" s="21">
        <f>L46+M46-N46</f>
        <v/>
      </c>
      <c r="P46" s="16">
        <f>IF(F46="",INDEX('Chart of Accounts'!$A$5:$A$3000,MATCH("ar",'Chart of Accounts'!$F$5:$F$3000,0)),F46&amp;"")</f>
        <v/>
      </c>
      <c r="Q46" s="16">
        <f>IF(G46="",INDEX('Chart of Accounts'!$A$5:$A$3000,MATCH("revenue",'Chart of Accounts'!$F$5:$F$3000,0)),G46&amp;"")</f>
        <v/>
      </c>
      <c r="R46" s="16">
        <f>INDEX('Chart of Accounts'!$A$5:$A$3000,MATCH("wht_receivable",'Chart of Accounts'!$F$5:$F$3000,0))</f>
        <v/>
      </c>
      <c r="S46" s="16">
        <f>INDEX('Chart of Accounts'!$A$5:$A$3000,MATCH("vat_output",'Chart of Accounts'!$F$5:$F$3000,0))</f>
        <v/>
      </c>
      <c r="T46" s="23">
        <f>IFERROR(INDEX('Chart of Accounts'!$C$5:$C$3000,MATCH(P46&amp;"",'Chart of Accounts'!$A$5:$A$3000,0))&amp;"|"&amp;INDEX('Chart of Accounts'!$D$5:$D$3000,MATCH(P46&amp;"",'Chart of Accounts'!$A$5:$A$3000,0)),"")</f>
        <v/>
      </c>
      <c r="U46" s="23">
        <f>IFERROR(INDEX('Chart of Accounts'!$C$5:$C$3000,MATCH(R46&amp;"",'Chart of Accounts'!$A$5:$A$3000,0))&amp;"|"&amp;INDEX('Chart of Accounts'!$D$5:$D$3000,MATCH(R46&amp;"",'Chart of Accounts'!$A$5:$A$3000,0)),"")</f>
        <v/>
      </c>
      <c r="V46" s="23">
        <f>IFERROR(INDEX('Chart of Accounts'!$C$5:$C$3000,MATCH(Q46&amp;"",'Chart of Accounts'!$A$5:$A$3000,0))&amp;"|"&amp;INDEX('Chart of Accounts'!$D$5:$D$3000,MATCH(Q46&amp;"",'Chart of Accounts'!$A$5:$A$3000,0)),"")</f>
        <v/>
      </c>
      <c r="W46" s="23">
        <f>IFERROR(INDEX('Chart of Accounts'!$C$5:$C$3000,MATCH(S46&amp;"",'Chart of Accounts'!$A$5:$A$3000,0))&amp;"|"&amp;INDEX('Chart of Accounts'!$D$5:$D$3000,MATCH(S46&amp;"",'Chart of Accounts'!$A$5:$A$3000,0)),"")</f>
        <v/>
      </c>
      <c r="X46" s="23">
        <f>IF(LEFT(T46,8)="Revenue|",-N(O46),0)+IF(LEFT(U46,8)="Revenue|",-N(N46),0)+IF(LEFT(V46,8)="Revenue|",N(L46),0)+IF(LEFT(W46,8)="Revenue|",N(M46),0)</f>
        <v/>
      </c>
      <c r="Y46" s="23">
        <f>IF(LEFT(T46,5)="COGS|",N(O46),0)+IF(LEFT(U46,5)="COGS|",N(N46),0)+IF(LEFT(V46,5)="COGS|",-N(L46),0)+IF(LEFT(W46,5)="COGS|",-N(M46),0)</f>
        <v/>
      </c>
      <c r="Z46" s="23">
        <f>IF(LEFT(T46,8)="Expense|",N(O46),0)+IF(LEFT(U46,8)="Expense|",N(N46),0)+IF(LEFT(V46,8)="Expense|",-N(L46),0)+IF(LEFT(W46,8)="Expense|",-N(M46),0)</f>
        <v/>
      </c>
      <c r="AA46" s="23">
        <f>IF(ISNUMBER(MATCH(T46,{"Expense|employee","Expense|general_admin","Expense|marketing","Expense|utilities","Expense|other_operating"},0)),N(O46),0)+IF(ISNUMBER(MATCH(U46,{"Expense|employee","Expense|general_admin","Expense|marketing","Expense|utilities","Expense|other_operating"},0)),N(N46),0)+IF(ISNUMBER(MATCH(V46,{"Expense|employee","Expense|general_admin","Expense|marketing","Expense|utilities","Expense|other_operating"},0)),-N(L46),0)+IF(ISNUMBER(MATCH(W46,{"Expense|employee","Expense|general_admin","Expense|marketing","Expense|utilities","Expense|other_operating"},0)),-N(M46),0)</f>
        <v/>
      </c>
      <c r="AB46" s="23">
        <f>IF(T46="Liability|payable",-N(O46),0)+IF(U46="Liability|payable",-N(N46),0)+IF(V46="Liability|payable",N(L46),0)+IF(W46="Liability|payable",N(M46),0)</f>
        <v/>
      </c>
      <c r="AC46" s="23">
        <f>IF(T46="Liability|accrued",-N(O46),0)+IF(U46="Liability|accrued",-N(N46),0)+IF(V46="Liability|accrued",N(L46),0)+IF(W46="Liability|accrued",N(M46),0)</f>
        <v/>
      </c>
      <c r="AD46" s="23">
        <f>IF(AND(N(O46)&lt;&gt;0,T46=""),1,0)+IF(AND(N(N46)&lt;&gt;0,U46=""),1,0)+IF(AND(N(L46)&lt;&gt;0,V46=""),1,0)+IF(AND(N(M46)&lt;&gt;0,W46=""),1,0)</f>
        <v/>
      </c>
    </row>
    <row r="47">
      <c r="A47" s="14" t="n"/>
      <c r="B47" s="19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21">
        <f>SUMIFS('Invoice Lines'!$I:$I,'Invoice Lines'!$A:$A,A47)</f>
        <v/>
      </c>
      <c r="L47" s="21">
        <f>IF(E47="Draft",0,K47)</f>
        <v/>
      </c>
      <c r="M47" s="21">
        <f>ROUND(L47*IFERROR(VLOOKUP(I47,'Tax Codes'!$A$5:$E$300,5,FALSE),0),2)</f>
        <v/>
      </c>
      <c r="N47" s="21">
        <f>ROUND(L47*IFERROR(VLOOKUP(J47,'Tax Codes'!$A$5:$E$300,5,FALSE),0),2)</f>
        <v/>
      </c>
      <c r="O47" s="21">
        <f>L47+M47-N47</f>
        <v/>
      </c>
      <c r="P47" s="16">
        <f>IF(F47="",INDEX('Chart of Accounts'!$A$5:$A$3000,MATCH("ar",'Chart of Accounts'!$F$5:$F$3000,0)),F47&amp;"")</f>
        <v/>
      </c>
      <c r="Q47" s="16">
        <f>IF(G47="",INDEX('Chart of Accounts'!$A$5:$A$3000,MATCH("revenue",'Chart of Accounts'!$F$5:$F$3000,0)),G47&amp;"")</f>
        <v/>
      </c>
      <c r="R47" s="16">
        <f>INDEX('Chart of Accounts'!$A$5:$A$3000,MATCH("wht_receivable",'Chart of Accounts'!$F$5:$F$3000,0))</f>
        <v/>
      </c>
      <c r="S47" s="16">
        <f>INDEX('Chart of Accounts'!$A$5:$A$3000,MATCH("vat_output",'Chart of Accounts'!$F$5:$F$3000,0))</f>
        <v/>
      </c>
      <c r="T47" s="23">
        <f>IFERROR(INDEX('Chart of Accounts'!$C$5:$C$3000,MATCH(P47&amp;"",'Chart of Accounts'!$A$5:$A$3000,0))&amp;"|"&amp;INDEX('Chart of Accounts'!$D$5:$D$3000,MATCH(P47&amp;"",'Chart of Accounts'!$A$5:$A$3000,0)),"")</f>
        <v/>
      </c>
      <c r="U47" s="23">
        <f>IFERROR(INDEX('Chart of Accounts'!$C$5:$C$3000,MATCH(R47&amp;"",'Chart of Accounts'!$A$5:$A$3000,0))&amp;"|"&amp;INDEX('Chart of Accounts'!$D$5:$D$3000,MATCH(R47&amp;"",'Chart of Accounts'!$A$5:$A$3000,0)),"")</f>
        <v/>
      </c>
      <c r="V47" s="23">
        <f>IFERROR(INDEX('Chart of Accounts'!$C$5:$C$3000,MATCH(Q47&amp;"",'Chart of Accounts'!$A$5:$A$3000,0))&amp;"|"&amp;INDEX('Chart of Accounts'!$D$5:$D$3000,MATCH(Q47&amp;"",'Chart of Accounts'!$A$5:$A$3000,0)),"")</f>
        <v/>
      </c>
      <c r="W47" s="23">
        <f>IFERROR(INDEX('Chart of Accounts'!$C$5:$C$3000,MATCH(S47&amp;"",'Chart of Accounts'!$A$5:$A$3000,0))&amp;"|"&amp;INDEX('Chart of Accounts'!$D$5:$D$3000,MATCH(S47&amp;"",'Chart of Accounts'!$A$5:$A$3000,0)),"")</f>
        <v/>
      </c>
      <c r="X47" s="23">
        <f>IF(LEFT(T47,8)="Revenue|",-N(O47),0)+IF(LEFT(U47,8)="Revenue|",-N(N47),0)+IF(LEFT(V47,8)="Revenue|",N(L47),0)+IF(LEFT(W47,8)="Revenue|",N(M47),0)</f>
        <v/>
      </c>
      <c r="Y47" s="23">
        <f>IF(LEFT(T47,5)="COGS|",N(O47),0)+IF(LEFT(U47,5)="COGS|",N(N47),0)+IF(LEFT(V47,5)="COGS|",-N(L47),0)+IF(LEFT(W47,5)="COGS|",-N(M47),0)</f>
        <v/>
      </c>
      <c r="Z47" s="23">
        <f>IF(LEFT(T47,8)="Expense|",N(O47),0)+IF(LEFT(U47,8)="Expense|",N(N47),0)+IF(LEFT(V47,8)="Expense|",-N(L47),0)+IF(LEFT(W47,8)="Expense|",-N(M47),0)</f>
        <v/>
      </c>
      <c r="AA47" s="23">
        <f>IF(ISNUMBER(MATCH(T47,{"Expense|employee","Expense|general_admin","Expense|marketing","Expense|utilities","Expense|other_operating"},0)),N(O47),0)+IF(ISNUMBER(MATCH(U47,{"Expense|employee","Expense|general_admin","Expense|marketing","Expense|utilities","Expense|other_operating"},0)),N(N47),0)+IF(ISNUMBER(MATCH(V47,{"Expense|employee","Expense|general_admin","Expense|marketing","Expense|utilities","Expense|other_operating"},0)),-N(L47),0)+IF(ISNUMBER(MATCH(W47,{"Expense|employee","Expense|general_admin","Expense|marketing","Expense|utilities","Expense|other_operating"},0)),-N(M47),0)</f>
        <v/>
      </c>
      <c r="AB47" s="23">
        <f>IF(T47="Liability|payable",-N(O47),0)+IF(U47="Liability|payable",-N(N47),0)+IF(V47="Liability|payable",N(L47),0)+IF(W47="Liability|payable",N(M47),0)</f>
        <v/>
      </c>
      <c r="AC47" s="23">
        <f>IF(T47="Liability|accrued",-N(O47),0)+IF(U47="Liability|accrued",-N(N47),0)+IF(V47="Liability|accrued",N(L47),0)+IF(W47="Liability|accrued",N(M47),0)</f>
        <v/>
      </c>
      <c r="AD47" s="23">
        <f>IF(AND(N(O47)&lt;&gt;0,T47=""),1,0)+IF(AND(N(N47)&lt;&gt;0,U47=""),1,0)+IF(AND(N(L47)&lt;&gt;0,V47=""),1,0)+IF(AND(N(M47)&lt;&gt;0,W47=""),1,0)</f>
        <v/>
      </c>
    </row>
    <row r="48">
      <c r="A48" s="14" t="n"/>
      <c r="B48" s="19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21">
        <f>SUMIFS('Invoice Lines'!$I:$I,'Invoice Lines'!$A:$A,A48)</f>
        <v/>
      </c>
      <c r="L48" s="21">
        <f>IF(E48="Draft",0,K48)</f>
        <v/>
      </c>
      <c r="M48" s="21">
        <f>ROUND(L48*IFERROR(VLOOKUP(I48,'Tax Codes'!$A$5:$E$300,5,FALSE),0),2)</f>
        <v/>
      </c>
      <c r="N48" s="21">
        <f>ROUND(L48*IFERROR(VLOOKUP(J48,'Tax Codes'!$A$5:$E$300,5,FALSE),0),2)</f>
        <v/>
      </c>
      <c r="O48" s="21">
        <f>L48+M48-N48</f>
        <v/>
      </c>
      <c r="P48" s="16">
        <f>IF(F48="",INDEX('Chart of Accounts'!$A$5:$A$3000,MATCH("ar",'Chart of Accounts'!$F$5:$F$3000,0)),F48&amp;"")</f>
        <v/>
      </c>
      <c r="Q48" s="16">
        <f>IF(G48="",INDEX('Chart of Accounts'!$A$5:$A$3000,MATCH("revenue",'Chart of Accounts'!$F$5:$F$3000,0)),G48&amp;"")</f>
        <v/>
      </c>
      <c r="R48" s="16">
        <f>INDEX('Chart of Accounts'!$A$5:$A$3000,MATCH("wht_receivable",'Chart of Accounts'!$F$5:$F$3000,0))</f>
        <v/>
      </c>
      <c r="S48" s="16">
        <f>INDEX('Chart of Accounts'!$A$5:$A$3000,MATCH("vat_output",'Chart of Accounts'!$F$5:$F$3000,0))</f>
        <v/>
      </c>
      <c r="T48" s="23">
        <f>IFERROR(INDEX('Chart of Accounts'!$C$5:$C$3000,MATCH(P48&amp;"",'Chart of Accounts'!$A$5:$A$3000,0))&amp;"|"&amp;INDEX('Chart of Accounts'!$D$5:$D$3000,MATCH(P48&amp;"",'Chart of Accounts'!$A$5:$A$3000,0)),"")</f>
        <v/>
      </c>
      <c r="U48" s="23">
        <f>IFERROR(INDEX('Chart of Accounts'!$C$5:$C$3000,MATCH(R48&amp;"",'Chart of Accounts'!$A$5:$A$3000,0))&amp;"|"&amp;INDEX('Chart of Accounts'!$D$5:$D$3000,MATCH(R48&amp;"",'Chart of Accounts'!$A$5:$A$3000,0)),"")</f>
        <v/>
      </c>
      <c r="V48" s="23">
        <f>IFERROR(INDEX('Chart of Accounts'!$C$5:$C$3000,MATCH(Q48&amp;"",'Chart of Accounts'!$A$5:$A$3000,0))&amp;"|"&amp;INDEX('Chart of Accounts'!$D$5:$D$3000,MATCH(Q48&amp;"",'Chart of Accounts'!$A$5:$A$3000,0)),"")</f>
        <v/>
      </c>
      <c r="W48" s="23">
        <f>IFERROR(INDEX('Chart of Accounts'!$C$5:$C$3000,MATCH(S48&amp;"",'Chart of Accounts'!$A$5:$A$3000,0))&amp;"|"&amp;INDEX('Chart of Accounts'!$D$5:$D$3000,MATCH(S48&amp;"",'Chart of Accounts'!$A$5:$A$3000,0)),"")</f>
        <v/>
      </c>
      <c r="X48" s="23">
        <f>IF(LEFT(T48,8)="Revenue|",-N(O48),0)+IF(LEFT(U48,8)="Revenue|",-N(N48),0)+IF(LEFT(V48,8)="Revenue|",N(L48),0)+IF(LEFT(W48,8)="Revenue|",N(M48),0)</f>
        <v/>
      </c>
      <c r="Y48" s="23">
        <f>IF(LEFT(T48,5)="COGS|",N(O48),0)+IF(LEFT(U48,5)="COGS|",N(N48),0)+IF(LEFT(V48,5)="COGS|",-N(L48),0)+IF(LEFT(W48,5)="COGS|",-N(M48),0)</f>
        <v/>
      </c>
      <c r="Z48" s="23">
        <f>IF(LEFT(T48,8)="Expense|",N(O48),0)+IF(LEFT(U48,8)="Expense|",N(N48),0)+IF(LEFT(V48,8)="Expense|",-N(L48),0)+IF(LEFT(W48,8)="Expense|",-N(M48),0)</f>
        <v/>
      </c>
      <c r="AA48" s="23">
        <f>IF(ISNUMBER(MATCH(T48,{"Expense|employee","Expense|general_admin","Expense|marketing","Expense|utilities","Expense|other_operating"},0)),N(O48),0)+IF(ISNUMBER(MATCH(U48,{"Expense|employee","Expense|general_admin","Expense|marketing","Expense|utilities","Expense|other_operating"},0)),N(N48),0)+IF(ISNUMBER(MATCH(V48,{"Expense|employee","Expense|general_admin","Expense|marketing","Expense|utilities","Expense|other_operating"},0)),-N(L48),0)+IF(ISNUMBER(MATCH(W48,{"Expense|employee","Expense|general_admin","Expense|marketing","Expense|utilities","Expense|other_operating"},0)),-N(M48),0)</f>
        <v/>
      </c>
      <c r="AB48" s="23">
        <f>IF(T48="Liability|payable",-N(O48),0)+IF(U48="Liability|payable",-N(N48),0)+IF(V48="Liability|payable",N(L48),0)+IF(W48="Liability|payable",N(M48),0)</f>
        <v/>
      </c>
      <c r="AC48" s="23">
        <f>IF(T48="Liability|accrued",-N(O48),0)+IF(U48="Liability|accrued",-N(N48),0)+IF(V48="Liability|accrued",N(L48),0)+IF(W48="Liability|accrued",N(M48),0)</f>
        <v/>
      </c>
      <c r="AD48" s="23">
        <f>IF(AND(N(O48)&lt;&gt;0,T48=""),1,0)+IF(AND(N(N48)&lt;&gt;0,U48=""),1,0)+IF(AND(N(L48)&lt;&gt;0,V48=""),1,0)+IF(AND(N(M48)&lt;&gt;0,W48=""),1,0)</f>
        <v/>
      </c>
    </row>
    <row r="49">
      <c r="A49" s="14" t="n"/>
      <c r="B49" s="19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21">
        <f>SUMIFS('Invoice Lines'!$I:$I,'Invoice Lines'!$A:$A,A49)</f>
        <v/>
      </c>
      <c r="L49" s="21">
        <f>IF(E49="Draft",0,K49)</f>
        <v/>
      </c>
      <c r="M49" s="21">
        <f>ROUND(L49*IFERROR(VLOOKUP(I49,'Tax Codes'!$A$5:$E$300,5,FALSE),0),2)</f>
        <v/>
      </c>
      <c r="N49" s="21">
        <f>ROUND(L49*IFERROR(VLOOKUP(J49,'Tax Codes'!$A$5:$E$300,5,FALSE),0),2)</f>
        <v/>
      </c>
      <c r="O49" s="21">
        <f>L49+M49-N49</f>
        <v/>
      </c>
      <c r="P49" s="16">
        <f>IF(F49="",INDEX('Chart of Accounts'!$A$5:$A$3000,MATCH("ar",'Chart of Accounts'!$F$5:$F$3000,0)),F49&amp;"")</f>
        <v/>
      </c>
      <c r="Q49" s="16">
        <f>IF(G49="",INDEX('Chart of Accounts'!$A$5:$A$3000,MATCH("revenue",'Chart of Accounts'!$F$5:$F$3000,0)),G49&amp;"")</f>
        <v/>
      </c>
      <c r="R49" s="16">
        <f>INDEX('Chart of Accounts'!$A$5:$A$3000,MATCH("wht_receivable",'Chart of Accounts'!$F$5:$F$3000,0))</f>
        <v/>
      </c>
      <c r="S49" s="16">
        <f>INDEX('Chart of Accounts'!$A$5:$A$3000,MATCH("vat_output",'Chart of Accounts'!$F$5:$F$3000,0))</f>
        <v/>
      </c>
      <c r="T49" s="23">
        <f>IFERROR(INDEX('Chart of Accounts'!$C$5:$C$3000,MATCH(P49&amp;"",'Chart of Accounts'!$A$5:$A$3000,0))&amp;"|"&amp;INDEX('Chart of Accounts'!$D$5:$D$3000,MATCH(P49&amp;"",'Chart of Accounts'!$A$5:$A$3000,0)),"")</f>
        <v/>
      </c>
      <c r="U49" s="23">
        <f>IFERROR(INDEX('Chart of Accounts'!$C$5:$C$3000,MATCH(R49&amp;"",'Chart of Accounts'!$A$5:$A$3000,0))&amp;"|"&amp;INDEX('Chart of Accounts'!$D$5:$D$3000,MATCH(R49&amp;"",'Chart of Accounts'!$A$5:$A$3000,0)),"")</f>
        <v/>
      </c>
      <c r="V49" s="23">
        <f>IFERROR(INDEX('Chart of Accounts'!$C$5:$C$3000,MATCH(Q49&amp;"",'Chart of Accounts'!$A$5:$A$3000,0))&amp;"|"&amp;INDEX('Chart of Accounts'!$D$5:$D$3000,MATCH(Q49&amp;"",'Chart of Accounts'!$A$5:$A$3000,0)),"")</f>
        <v/>
      </c>
      <c r="W49" s="23">
        <f>IFERROR(INDEX('Chart of Accounts'!$C$5:$C$3000,MATCH(S49&amp;"",'Chart of Accounts'!$A$5:$A$3000,0))&amp;"|"&amp;INDEX('Chart of Accounts'!$D$5:$D$3000,MATCH(S49&amp;"",'Chart of Accounts'!$A$5:$A$3000,0)),"")</f>
        <v/>
      </c>
      <c r="X49" s="23">
        <f>IF(LEFT(T49,8)="Revenue|",-N(O49),0)+IF(LEFT(U49,8)="Revenue|",-N(N49),0)+IF(LEFT(V49,8)="Revenue|",N(L49),0)+IF(LEFT(W49,8)="Revenue|",N(M49),0)</f>
        <v/>
      </c>
      <c r="Y49" s="23">
        <f>IF(LEFT(T49,5)="COGS|",N(O49),0)+IF(LEFT(U49,5)="COGS|",N(N49),0)+IF(LEFT(V49,5)="COGS|",-N(L49),0)+IF(LEFT(W49,5)="COGS|",-N(M49),0)</f>
        <v/>
      </c>
      <c r="Z49" s="23">
        <f>IF(LEFT(T49,8)="Expense|",N(O49),0)+IF(LEFT(U49,8)="Expense|",N(N49),0)+IF(LEFT(V49,8)="Expense|",-N(L49),0)+IF(LEFT(W49,8)="Expense|",-N(M49),0)</f>
        <v/>
      </c>
      <c r="AA49" s="23">
        <f>IF(ISNUMBER(MATCH(T49,{"Expense|employee","Expense|general_admin","Expense|marketing","Expense|utilities","Expense|other_operating"},0)),N(O49),0)+IF(ISNUMBER(MATCH(U49,{"Expense|employee","Expense|general_admin","Expense|marketing","Expense|utilities","Expense|other_operating"},0)),N(N49),0)+IF(ISNUMBER(MATCH(V49,{"Expense|employee","Expense|general_admin","Expense|marketing","Expense|utilities","Expense|other_operating"},0)),-N(L49),0)+IF(ISNUMBER(MATCH(W49,{"Expense|employee","Expense|general_admin","Expense|marketing","Expense|utilities","Expense|other_operating"},0)),-N(M49),0)</f>
        <v/>
      </c>
      <c r="AB49" s="23">
        <f>IF(T49="Liability|payable",-N(O49),0)+IF(U49="Liability|payable",-N(N49),0)+IF(V49="Liability|payable",N(L49),0)+IF(W49="Liability|payable",N(M49),0)</f>
        <v/>
      </c>
      <c r="AC49" s="23">
        <f>IF(T49="Liability|accrued",-N(O49),0)+IF(U49="Liability|accrued",-N(N49),0)+IF(V49="Liability|accrued",N(L49),0)+IF(W49="Liability|accrued",N(M49),0)</f>
        <v/>
      </c>
      <c r="AD49" s="23">
        <f>IF(AND(N(O49)&lt;&gt;0,T49=""),1,0)+IF(AND(N(N49)&lt;&gt;0,U49=""),1,0)+IF(AND(N(L49)&lt;&gt;0,V49=""),1,0)+IF(AND(N(M49)&lt;&gt;0,W49=""),1,0)</f>
        <v/>
      </c>
    </row>
    <row r="50">
      <c r="A50" s="14" t="n"/>
      <c r="B50" s="19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21">
        <f>SUMIFS('Invoice Lines'!$I:$I,'Invoice Lines'!$A:$A,A50)</f>
        <v/>
      </c>
      <c r="L50" s="21">
        <f>IF(E50="Draft",0,K50)</f>
        <v/>
      </c>
      <c r="M50" s="21">
        <f>ROUND(L50*IFERROR(VLOOKUP(I50,'Tax Codes'!$A$5:$E$300,5,FALSE),0),2)</f>
        <v/>
      </c>
      <c r="N50" s="21">
        <f>ROUND(L50*IFERROR(VLOOKUP(J50,'Tax Codes'!$A$5:$E$300,5,FALSE),0),2)</f>
        <v/>
      </c>
      <c r="O50" s="21">
        <f>L50+M50-N50</f>
        <v/>
      </c>
      <c r="P50" s="16">
        <f>IF(F50="",INDEX('Chart of Accounts'!$A$5:$A$3000,MATCH("ar",'Chart of Accounts'!$F$5:$F$3000,0)),F50&amp;"")</f>
        <v/>
      </c>
      <c r="Q50" s="16">
        <f>IF(G50="",INDEX('Chart of Accounts'!$A$5:$A$3000,MATCH("revenue",'Chart of Accounts'!$F$5:$F$3000,0)),G50&amp;"")</f>
        <v/>
      </c>
      <c r="R50" s="16">
        <f>INDEX('Chart of Accounts'!$A$5:$A$3000,MATCH("wht_receivable",'Chart of Accounts'!$F$5:$F$3000,0))</f>
        <v/>
      </c>
      <c r="S50" s="16">
        <f>INDEX('Chart of Accounts'!$A$5:$A$3000,MATCH("vat_output",'Chart of Accounts'!$F$5:$F$3000,0))</f>
        <v/>
      </c>
      <c r="T50" s="23">
        <f>IFERROR(INDEX('Chart of Accounts'!$C$5:$C$3000,MATCH(P50&amp;"",'Chart of Accounts'!$A$5:$A$3000,0))&amp;"|"&amp;INDEX('Chart of Accounts'!$D$5:$D$3000,MATCH(P50&amp;"",'Chart of Accounts'!$A$5:$A$3000,0)),"")</f>
        <v/>
      </c>
      <c r="U50" s="23">
        <f>IFERROR(INDEX('Chart of Accounts'!$C$5:$C$3000,MATCH(R50&amp;"",'Chart of Accounts'!$A$5:$A$3000,0))&amp;"|"&amp;INDEX('Chart of Accounts'!$D$5:$D$3000,MATCH(R50&amp;"",'Chart of Accounts'!$A$5:$A$3000,0)),"")</f>
        <v/>
      </c>
      <c r="V50" s="23">
        <f>IFERROR(INDEX('Chart of Accounts'!$C$5:$C$3000,MATCH(Q50&amp;"",'Chart of Accounts'!$A$5:$A$3000,0))&amp;"|"&amp;INDEX('Chart of Accounts'!$D$5:$D$3000,MATCH(Q50&amp;"",'Chart of Accounts'!$A$5:$A$3000,0)),"")</f>
        <v/>
      </c>
      <c r="W50" s="23">
        <f>IFERROR(INDEX('Chart of Accounts'!$C$5:$C$3000,MATCH(S50&amp;"",'Chart of Accounts'!$A$5:$A$3000,0))&amp;"|"&amp;INDEX('Chart of Accounts'!$D$5:$D$3000,MATCH(S50&amp;"",'Chart of Accounts'!$A$5:$A$3000,0)),"")</f>
        <v/>
      </c>
      <c r="X50" s="23">
        <f>IF(LEFT(T50,8)="Revenue|",-N(O50),0)+IF(LEFT(U50,8)="Revenue|",-N(N50),0)+IF(LEFT(V50,8)="Revenue|",N(L50),0)+IF(LEFT(W50,8)="Revenue|",N(M50),0)</f>
        <v/>
      </c>
      <c r="Y50" s="23">
        <f>IF(LEFT(T50,5)="COGS|",N(O50),0)+IF(LEFT(U50,5)="COGS|",N(N50),0)+IF(LEFT(V50,5)="COGS|",-N(L50),0)+IF(LEFT(W50,5)="COGS|",-N(M50),0)</f>
        <v/>
      </c>
      <c r="Z50" s="23">
        <f>IF(LEFT(T50,8)="Expense|",N(O50),0)+IF(LEFT(U50,8)="Expense|",N(N50),0)+IF(LEFT(V50,8)="Expense|",-N(L50),0)+IF(LEFT(W50,8)="Expense|",-N(M50),0)</f>
        <v/>
      </c>
      <c r="AA50" s="23">
        <f>IF(ISNUMBER(MATCH(T50,{"Expense|employee","Expense|general_admin","Expense|marketing","Expense|utilities","Expense|other_operating"},0)),N(O50),0)+IF(ISNUMBER(MATCH(U50,{"Expense|employee","Expense|general_admin","Expense|marketing","Expense|utilities","Expense|other_operating"},0)),N(N50),0)+IF(ISNUMBER(MATCH(V50,{"Expense|employee","Expense|general_admin","Expense|marketing","Expense|utilities","Expense|other_operating"},0)),-N(L50),0)+IF(ISNUMBER(MATCH(W50,{"Expense|employee","Expense|general_admin","Expense|marketing","Expense|utilities","Expense|other_operating"},0)),-N(M50),0)</f>
        <v/>
      </c>
      <c r="AB50" s="23">
        <f>IF(T50="Liability|payable",-N(O50),0)+IF(U50="Liability|payable",-N(N50),0)+IF(V50="Liability|payable",N(L50),0)+IF(W50="Liability|payable",N(M50),0)</f>
        <v/>
      </c>
      <c r="AC50" s="23">
        <f>IF(T50="Liability|accrued",-N(O50),0)+IF(U50="Liability|accrued",-N(N50),0)+IF(V50="Liability|accrued",N(L50),0)+IF(W50="Liability|accrued",N(M50),0)</f>
        <v/>
      </c>
      <c r="AD50" s="23">
        <f>IF(AND(N(O50)&lt;&gt;0,T50=""),1,0)+IF(AND(N(N50)&lt;&gt;0,U50=""),1,0)+IF(AND(N(L50)&lt;&gt;0,V50=""),1,0)+IF(AND(N(M50)&lt;&gt;0,W50=""),1,0)</f>
        <v/>
      </c>
    </row>
    <row r="51">
      <c r="A51" s="14" t="n"/>
      <c r="B51" s="19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21">
        <f>SUMIFS('Invoice Lines'!$I:$I,'Invoice Lines'!$A:$A,A51)</f>
        <v/>
      </c>
      <c r="L51" s="21">
        <f>IF(E51="Draft",0,K51)</f>
        <v/>
      </c>
      <c r="M51" s="21">
        <f>ROUND(L51*IFERROR(VLOOKUP(I51,'Tax Codes'!$A$5:$E$300,5,FALSE),0),2)</f>
        <v/>
      </c>
      <c r="N51" s="21">
        <f>ROUND(L51*IFERROR(VLOOKUP(J51,'Tax Codes'!$A$5:$E$300,5,FALSE),0),2)</f>
        <v/>
      </c>
      <c r="O51" s="21">
        <f>L51+M51-N51</f>
        <v/>
      </c>
      <c r="P51" s="16">
        <f>IF(F51="",INDEX('Chart of Accounts'!$A$5:$A$3000,MATCH("ar",'Chart of Accounts'!$F$5:$F$3000,0)),F51&amp;"")</f>
        <v/>
      </c>
      <c r="Q51" s="16">
        <f>IF(G51="",INDEX('Chart of Accounts'!$A$5:$A$3000,MATCH("revenue",'Chart of Accounts'!$F$5:$F$3000,0)),G51&amp;"")</f>
        <v/>
      </c>
      <c r="R51" s="16">
        <f>INDEX('Chart of Accounts'!$A$5:$A$3000,MATCH("wht_receivable",'Chart of Accounts'!$F$5:$F$3000,0))</f>
        <v/>
      </c>
      <c r="S51" s="16">
        <f>INDEX('Chart of Accounts'!$A$5:$A$3000,MATCH("vat_output",'Chart of Accounts'!$F$5:$F$3000,0))</f>
        <v/>
      </c>
      <c r="T51" s="23">
        <f>IFERROR(INDEX('Chart of Accounts'!$C$5:$C$3000,MATCH(P51&amp;"",'Chart of Accounts'!$A$5:$A$3000,0))&amp;"|"&amp;INDEX('Chart of Accounts'!$D$5:$D$3000,MATCH(P51&amp;"",'Chart of Accounts'!$A$5:$A$3000,0)),"")</f>
        <v/>
      </c>
      <c r="U51" s="23">
        <f>IFERROR(INDEX('Chart of Accounts'!$C$5:$C$3000,MATCH(R51&amp;"",'Chart of Accounts'!$A$5:$A$3000,0))&amp;"|"&amp;INDEX('Chart of Accounts'!$D$5:$D$3000,MATCH(R51&amp;"",'Chart of Accounts'!$A$5:$A$3000,0)),"")</f>
        <v/>
      </c>
      <c r="V51" s="23">
        <f>IFERROR(INDEX('Chart of Accounts'!$C$5:$C$3000,MATCH(Q51&amp;"",'Chart of Accounts'!$A$5:$A$3000,0))&amp;"|"&amp;INDEX('Chart of Accounts'!$D$5:$D$3000,MATCH(Q51&amp;"",'Chart of Accounts'!$A$5:$A$3000,0)),"")</f>
        <v/>
      </c>
      <c r="W51" s="23">
        <f>IFERROR(INDEX('Chart of Accounts'!$C$5:$C$3000,MATCH(S51&amp;"",'Chart of Accounts'!$A$5:$A$3000,0))&amp;"|"&amp;INDEX('Chart of Accounts'!$D$5:$D$3000,MATCH(S51&amp;"",'Chart of Accounts'!$A$5:$A$3000,0)),"")</f>
        <v/>
      </c>
      <c r="X51" s="23">
        <f>IF(LEFT(T51,8)="Revenue|",-N(O51),0)+IF(LEFT(U51,8)="Revenue|",-N(N51),0)+IF(LEFT(V51,8)="Revenue|",N(L51),0)+IF(LEFT(W51,8)="Revenue|",N(M51),0)</f>
        <v/>
      </c>
      <c r="Y51" s="23">
        <f>IF(LEFT(T51,5)="COGS|",N(O51),0)+IF(LEFT(U51,5)="COGS|",N(N51),0)+IF(LEFT(V51,5)="COGS|",-N(L51),0)+IF(LEFT(W51,5)="COGS|",-N(M51),0)</f>
        <v/>
      </c>
      <c r="Z51" s="23">
        <f>IF(LEFT(T51,8)="Expense|",N(O51),0)+IF(LEFT(U51,8)="Expense|",N(N51),0)+IF(LEFT(V51,8)="Expense|",-N(L51),0)+IF(LEFT(W51,8)="Expense|",-N(M51),0)</f>
        <v/>
      </c>
      <c r="AA51" s="23">
        <f>IF(ISNUMBER(MATCH(T51,{"Expense|employee","Expense|general_admin","Expense|marketing","Expense|utilities","Expense|other_operating"},0)),N(O51),0)+IF(ISNUMBER(MATCH(U51,{"Expense|employee","Expense|general_admin","Expense|marketing","Expense|utilities","Expense|other_operating"},0)),N(N51),0)+IF(ISNUMBER(MATCH(V51,{"Expense|employee","Expense|general_admin","Expense|marketing","Expense|utilities","Expense|other_operating"},0)),-N(L51),0)+IF(ISNUMBER(MATCH(W51,{"Expense|employee","Expense|general_admin","Expense|marketing","Expense|utilities","Expense|other_operating"},0)),-N(M51),0)</f>
        <v/>
      </c>
      <c r="AB51" s="23">
        <f>IF(T51="Liability|payable",-N(O51),0)+IF(U51="Liability|payable",-N(N51),0)+IF(V51="Liability|payable",N(L51),0)+IF(W51="Liability|payable",N(M51),0)</f>
        <v/>
      </c>
      <c r="AC51" s="23">
        <f>IF(T51="Liability|accrued",-N(O51),0)+IF(U51="Liability|accrued",-N(N51),0)+IF(V51="Liability|accrued",N(L51),0)+IF(W51="Liability|accrued",N(M51),0)</f>
        <v/>
      </c>
      <c r="AD51" s="23">
        <f>IF(AND(N(O51)&lt;&gt;0,T51=""),1,0)+IF(AND(N(N51)&lt;&gt;0,U51=""),1,0)+IF(AND(N(L51)&lt;&gt;0,V51=""),1,0)+IF(AND(N(M51)&lt;&gt;0,W51=""),1,0)</f>
        <v/>
      </c>
    </row>
    <row r="52">
      <c r="A52" s="14" t="n"/>
      <c r="B52" s="19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21">
        <f>SUMIFS('Invoice Lines'!$I:$I,'Invoice Lines'!$A:$A,A52)</f>
        <v/>
      </c>
      <c r="L52" s="21">
        <f>IF(E52="Draft",0,K52)</f>
        <v/>
      </c>
      <c r="M52" s="21">
        <f>ROUND(L52*IFERROR(VLOOKUP(I52,'Tax Codes'!$A$5:$E$300,5,FALSE),0),2)</f>
        <v/>
      </c>
      <c r="N52" s="21">
        <f>ROUND(L52*IFERROR(VLOOKUP(J52,'Tax Codes'!$A$5:$E$300,5,FALSE),0),2)</f>
        <v/>
      </c>
      <c r="O52" s="21">
        <f>L52+M52-N52</f>
        <v/>
      </c>
      <c r="P52" s="16">
        <f>IF(F52="",INDEX('Chart of Accounts'!$A$5:$A$3000,MATCH("ar",'Chart of Accounts'!$F$5:$F$3000,0)),F52&amp;"")</f>
        <v/>
      </c>
      <c r="Q52" s="16">
        <f>IF(G52="",INDEX('Chart of Accounts'!$A$5:$A$3000,MATCH("revenue",'Chart of Accounts'!$F$5:$F$3000,0)),G52&amp;"")</f>
        <v/>
      </c>
      <c r="R52" s="16">
        <f>INDEX('Chart of Accounts'!$A$5:$A$3000,MATCH("wht_receivable",'Chart of Accounts'!$F$5:$F$3000,0))</f>
        <v/>
      </c>
      <c r="S52" s="16">
        <f>INDEX('Chart of Accounts'!$A$5:$A$3000,MATCH("vat_output",'Chart of Accounts'!$F$5:$F$3000,0))</f>
        <v/>
      </c>
      <c r="T52" s="23">
        <f>IFERROR(INDEX('Chart of Accounts'!$C$5:$C$3000,MATCH(P52&amp;"",'Chart of Accounts'!$A$5:$A$3000,0))&amp;"|"&amp;INDEX('Chart of Accounts'!$D$5:$D$3000,MATCH(P52&amp;"",'Chart of Accounts'!$A$5:$A$3000,0)),"")</f>
        <v/>
      </c>
      <c r="U52" s="23">
        <f>IFERROR(INDEX('Chart of Accounts'!$C$5:$C$3000,MATCH(R52&amp;"",'Chart of Accounts'!$A$5:$A$3000,0))&amp;"|"&amp;INDEX('Chart of Accounts'!$D$5:$D$3000,MATCH(R52&amp;"",'Chart of Accounts'!$A$5:$A$3000,0)),"")</f>
        <v/>
      </c>
      <c r="V52" s="23">
        <f>IFERROR(INDEX('Chart of Accounts'!$C$5:$C$3000,MATCH(Q52&amp;"",'Chart of Accounts'!$A$5:$A$3000,0))&amp;"|"&amp;INDEX('Chart of Accounts'!$D$5:$D$3000,MATCH(Q52&amp;"",'Chart of Accounts'!$A$5:$A$3000,0)),"")</f>
        <v/>
      </c>
      <c r="W52" s="23">
        <f>IFERROR(INDEX('Chart of Accounts'!$C$5:$C$3000,MATCH(S52&amp;"",'Chart of Accounts'!$A$5:$A$3000,0))&amp;"|"&amp;INDEX('Chart of Accounts'!$D$5:$D$3000,MATCH(S52&amp;"",'Chart of Accounts'!$A$5:$A$3000,0)),"")</f>
        <v/>
      </c>
      <c r="X52" s="23">
        <f>IF(LEFT(T52,8)="Revenue|",-N(O52),0)+IF(LEFT(U52,8)="Revenue|",-N(N52),0)+IF(LEFT(V52,8)="Revenue|",N(L52),0)+IF(LEFT(W52,8)="Revenue|",N(M52),0)</f>
        <v/>
      </c>
      <c r="Y52" s="23">
        <f>IF(LEFT(T52,5)="COGS|",N(O52),0)+IF(LEFT(U52,5)="COGS|",N(N52),0)+IF(LEFT(V52,5)="COGS|",-N(L52),0)+IF(LEFT(W52,5)="COGS|",-N(M52),0)</f>
        <v/>
      </c>
      <c r="Z52" s="23">
        <f>IF(LEFT(T52,8)="Expense|",N(O52),0)+IF(LEFT(U52,8)="Expense|",N(N52),0)+IF(LEFT(V52,8)="Expense|",-N(L52),0)+IF(LEFT(W52,8)="Expense|",-N(M52),0)</f>
        <v/>
      </c>
      <c r="AA52" s="23">
        <f>IF(ISNUMBER(MATCH(T52,{"Expense|employee","Expense|general_admin","Expense|marketing","Expense|utilities","Expense|other_operating"},0)),N(O52),0)+IF(ISNUMBER(MATCH(U52,{"Expense|employee","Expense|general_admin","Expense|marketing","Expense|utilities","Expense|other_operating"},0)),N(N52),0)+IF(ISNUMBER(MATCH(V52,{"Expense|employee","Expense|general_admin","Expense|marketing","Expense|utilities","Expense|other_operating"},0)),-N(L52),0)+IF(ISNUMBER(MATCH(W52,{"Expense|employee","Expense|general_admin","Expense|marketing","Expense|utilities","Expense|other_operating"},0)),-N(M52),0)</f>
        <v/>
      </c>
      <c r="AB52" s="23">
        <f>IF(T52="Liability|payable",-N(O52),0)+IF(U52="Liability|payable",-N(N52),0)+IF(V52="Liability|payable",N(L52),0)+IF(W52="Liability|payable",N(M52),0)</f>
        <v/>
      </c>
      <c r="AC52" s="23">
        <f>IF(T52="Liability|accrued",-N(O52),0)+IF(U52="Liability|accrued",-N(N52),0)+IF(V52="Liability|accrued",N(L52),0)+IF(W52="Liability|accrued",N(M52),0)</f>
        <v/>
      </c>
      <c r="AD52" s="23">
        <f>IF(AND(N(O52)&lt;&gt;0,T52=""),1,0)+IF(AND(N(N52)&lt;&gt;0,U52=""),1,0)+IF(AND(N(L52)&lt;&gt;0,V52=""),1,0)+IF(AND(N(M52)&lt;&gt;0,W52=""),1,0)</f>
        <v/>
      </c>
    </row>
    <row r="53">
      <c r="A53" s="14" t="n"/>
      <c r="B53" s="19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21">
        <f>SUMIFS('Invoice Lines'!$I:$I,'Invoice Lines'!$A:$A,A53)</f>
        <v/>
      </c>
      <c r="L53" s="21">
        <f>IF(E53="Draft",0,K53)</f>
        <v/>
      </c>
      <c r="M53" s="21">
        <f>ROUND(L53*IFERROR(VLOOKUP(I53,'Tax Codes'!$A$5:$E$300,5,FALSE),0),2)</f>
        <v/>
      </c>
      <c r="N53" s="21">
        <f>ROUND(L53*IFERROR(VLOOKUP(J53,'Tax Codes'!$A$5:$E$300,5,FALSE),0),2)</f>
        <v/>
      </c>
      <c r="O53" s="21">
        <f>L53+M53-N53</f>
        <v/>
      </c>
      <c r="P53" s="16">
        <f>IF(F53="",INDEX('Chart of Accounts'!$A$5:$A$3000,MATCH("ar",'Chart of Accounts'!$F$5:$F$3000,0)),F53&amp;"")</f>
        <v/>
      </c>
      <c r="Q53" s="16">
        <f>IF(G53="",INDEX('Chart of Accounts'!$A$5:$A$3000,MATCH("revenue",'Chart of Accounts'!$F$5:$F$3000,0)),G53&amp;"")</f>
        <v/>
      </c>
      <c r="R53" s="16">
        <f>INDEX('Chart of Accounts'!$A$5:$A$3000,MATCH("wht_receivable",'Chart of Accounts'!$F$5:$F$3000,0))</f>
        <v/>
      </c>
      <c r="S53" s="16">
        <f>INDEX('Chart of Accounts'!$A$5:$A$3000,MATCH("vat_output",'Chart of Accounts'!$F$5:$F$3000,0))</f>
        <v/>
      </c>
      <c r="T53" s="23">
        <f>IFERROR(INDEX('Chart of Accounts'!$C$5:$C$3000,MATCH(P53&amp;"",'Chart of Accounts'!$A$5:$A$3000,0))&amp;"|"&amp;INDEX('Chart of Accounts'!$D$5:$D$3000,MATCH(P53&amp;"",'Chart of Accounts'!$A$5:$A$3000,0)),"")</f>
        <v/>
      </c>
      <c r="U53" s="23">
        <f>IFERROR(INDEX('Chart of Accounts'!$C$5:$C$3000,MATCH(R53&amp;"",'Chart of Accounts'!$A$5:$A$3000,0))&amp;"|"&amp;INDEX('Chart of Accounts'!$D$5:$D$3000,MATCH(R53&amp;"",'Chart of Accounts'!$A$5:$A$3000,0)),"")</f>
        <v/>
      </c>
      <c r="V53" s="23">
        <f>IFERROR(INDEX('Chart of Accounts'!$C$5:$C$3000,MATCH(Q53&amp;"",'Chart of Accounts'!$A$5:$A$3000,0))&amp;"|"&amp;INDEX('Chart of Accounts'!$D$5:$D$3000,MATCH(Q53&amp;"",'Chart of Accounts'!$A$5:$A$3000,0)),"")</f>
        <v/>
      </c>
      <c r="W53" s="23">
        <f>IFERROR(INDEX('Chart of Accounts'!$C$5:$C$3000,MATCH(S53&amp;"",'Chart of Accounts'!$A$5:$A$3000,0))&amp;"|"&amp;INDEX('Chart of Accounts'!$D$5:$D$3000,MATCH(S53&amp;"",'Chart of Accounts'!$A$5:$A$3000,0)),"")</f>
        <v/>
      </c>
      <c r="X53" s="23">
        <f>IF(LEFT(T53,8)="Revenue|",-N(O53),0)+IF(LEFT(U53,8)="Revenue|",-N(N53),0)+IF(LEFT(V53,8)="Revenue|",N(L53),0)+IF(LEFT(W53,8)="Revenue|",N(M53),0)</f>
        <v/>
      </c>
      <c r="Y53" s="23">
        <f>IF(LEFT(T53,5)="COGS|",N(O53),0)+IF(LEFT(U53,5)="COGS|",N(N53),0)+IF(LEFT(V53,5)="COGS|",-N(L53),0)+IF(LEFT(W53,5)="COGS|",-N(M53),0)</f>
        <v/>
      </c>
      <c r="Z53" s="23">
        <f>IF(LEFT(T53,8)="Expense|",N(O53),0)+IF(LEFT(U53,8)="Expense|",N(N53),0)+IF(LEFT(V53,8)="Expense|",-N(L53),0)+IF(LEFT(W53,8)="Expense|",-N(M53),0)</f>
        <v/>
      </c>
      <c r="AA53" s="23">
        <f>IF(ISNUMBER(MATCH(T53,{"Expense|employee","Expense|general_admin","Expense|marketing","Expense|utilities","Expense|other_operating"},0)),N(O53),0)+IF(ISNUMBER(MATCH(U53,{"Expense|employee","Expense|general_admin","Expense|marketing","Expense|utilities","Expense|other_operating"},0)),N(N53),0)+IF(ISNUMBER(MATCH(V53,{"Expense|employee","Expense|general_admin","Expense|marketing","Expense|utilities","Expense|other_operating"},0)),-N(L53),0)+IF(ISNUMBER(MATCH(W53,{"Expense|employee","Expense|general_admin","Expense|marketing","Expense|utilities","Expense|other_operating"},0)),-N(M53),0)</f>
        <v/>
      </c>
      <c r="AB53" s="23">
        <f>IF(T53="Liability|payable",-N(O53),0)+IF(U53="Liability|payable",-N(N53),0)+IF(V53="Liability|payable",N(L53),0)+IF(W53="Liability|payable",N(M53),0)</f>
        <v/>
      </c>
      <c r="AC53" s="23">
        <f>IF(T53="Liability|accrued",-N(O53),0)+IF(U53="Liability|accrued",-N(N53),0)+IF(V53="Liability|accrued",N(L53),0)+IF(W53="Liability|accrued",N(M53),0)</f>
        <v/>
      </c>
      <c r="AD53" s="23">
        <f>IF(AND(N(O53)&lt;&gt;0,T53=""),1,0)+IF(AND(N(N53)&lt;&gt;0,U53=""),1,0)+IF(AND(N(L53)&lt;&gt;0,V53=""),1,0)+IF(AND(N(M53)&lt;&gt;0,W53=""),1,0)</f>
        <v/>
      </c>
    </row>
    <row r="54">
      <c r="A54" s="14" t="n"/>
      <c r="B54" s="19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21">
        <f>SUMIFS('Invoice Lines'!$I:$I,'Invoice Lines'!$A:$A,A54)</f>
        <v/>
      </c>
      <c r="L54" s="21">
        <f>IF(E54="Draft",0,K54)</f>
        <v/>
      </c>
      <c r="M54" s="21">
        <f>ROUND(L54*IFERROR(VLOOKUP(I54,'Tax Codes'!$A$5:$E$300,5,FALSE),0),2)</f>
        <v/>
      </c>
      <c r="N54" s="21">
        <f>ROUND(L54*IFERROR(VLOOKUP(J54,'Tax Codes'!$A$5:$E$300,5,FALSE),0),2)</f>
        <v/>
      </c>
      <c r="O54" s="21">
        <f>L54+M54-N54</f>
        <v/>
      </c>
      <c r="P54" s="16">
        <f>IF(F54="",INDEX('Chart of Accounts'!$A$5:$A$3000,MATCH("ar",'Chart of Accounts'!$F$5:$F$3000,0)),F54&amp;"")</f>
        <v/>
      </c>
      <c r="Q54" s="16">
        <f>IF(G54="",INDEX('Chart of Accounts'!$A$5:$A$3000,MATCH("revenue",'Chart of Accounts'!$F$5:$F$3000,0)),G54&amp;"")</f>
        <v/>
      </c>
      <c r="R54" s="16">
        <f>INDEX('Chart of Accounts'!$A$5:$A$3000,MATCH("wht_receivable",'Chart of Accounts'!$F$5:$F$3000,0))</f>
        <v/>
      </c>
      <c r="S54" s="16">
        <f>INDEX('Chart of Accounts'!$A$5:$A$3000,MATCH("vat_output",'Chart of Accounts'!$F$5:$F$3000,0))</f>
        <v/>
      </c>
      <c r="T54" s="23">
        <f>IFERROR(INDEX('Chart of Accounts'!$C$5:$C$3000,MATCH(P54&amp;"",'Chart of Accounts'!$A$5:$A$3000,0))&amp;"|"&amp;INDEX('Chart of Accounts'!$D$5:$D$3000,MATCH(P54&amp;"",'Chart of Accounts'!$A$5:$A$3000,0)),"")</f>
        <v/>
      </c>
      <c r="U54" s="23">
        <f>IFERROR(INDEX('Chart of Accounts'!$C$5:$C$3000,MATCH(R54&amp;"",'Chart of Accounts'!$A$5:$A$3000,0))&amp;"|"&amp;INDEX('Chart of Accounts'!$D$5:$D$3000,MATCH(R54&amp;"",'Chart of Accounts'!$A$5:$A$3000,0)),"")</f>
        <v/>
      </c>
      <c r="V54" s="23">
        <f>IFERROR(INDEX('Chart of Accounts'!$C$5:$C$3000,MATCH(Q54&amp;"",'Chart of Accounts'!$A$5:$A$3000,0))&amp;"|"&amp;INDEX('Chart of Accounts'!$D$5:$D$3000,MATCH(Q54&amp;"",'Chart of Accounts'!$A$5:$A$3000,0)),"")</f>
        <v/>
      </c>
      <c r="W54" s="23">
        <f>IFERROR(INDEX('Chart of Accounts'!$C$5:$C$3000,MATCH(S54&amp;"",'Chart of Accounts'!$A$5:$A$3000,0))&amp;"|"&amp;INDEX('Chart of Accounts'!$D$5:$D$3000,MATCH(S54&amp;"",'Chart of Accounts'!$A$5:$A$3000,0)),"")</f>
        <v/>
      </c>
      <c r="X54" s="23">
        <f>IF(LEFT(T54,8)="Revenue|",-N(O54),0)+IF(LEFT(U54,8)="Revenue|",-N(N54),0)+IF(LEFT(V54,8)="Revenue|",N(L54),0)+IF(LEFT(W54,8)="Revenue|",N(M54),0)</f>
        <v/>
      </c>
      <c r="Y54" s="23">
        <f>IF(LEFT(T54,5)="COGS|",N(O54),0)+IF(LEFT(U54,5)="COGS|",N(N54),0)+IF(LEFT(V54,5)="COGS|",-N(L54),0)+IF(LEFT(W54,5)="COGS|",-N(M54),0)</f>
        <v/>
      </c>
      <c r="Z54" s="23">
        <f>IF(LEFT(T54,8)="Expense|",N(O54),0)+IF(LEFT(U54,8)="Expense|",N(N54),0)+IF(LEFT(V54,8)="Expense|",-N(L54),0)+IF(LEFT(W54,8)="Expense|",-N(M54),0)</f>
        <v/>
      </c>
      <c r="AA54" s="23">
        <f>IF(ISNUMBER(MATCH(T54,{"Expense|employee","Expense|general_admin","Expense|marketing","Expense|utilities","Expense|other_operating"},0)),N(O54),0)+IF(ISNUMBER(MATCH(U54,{"Expense|employee","Expense|general_admin","Expense|marketing","Expense|utilities","Expense|other_operating"},0)),N(N54),0)+IF(ISNUMBER(MATCH(V54,{"Expense|employee","Expense|general_admin","Expense|marketing","Expense|utilities","Expense|other_operating"},0)),-N(L54),0)+IF(ISNUMBER(MATCH(W54,{"Expense|employee","Expense|general_admin","Expense|marketing","Expense|utilities","Expense|other_operating"},0)),-N(M54),0)</f>
        <v/>
      </c>
      <c r="AB54" s="23">
        <f>IF(T54="Liability|payable",-N(O54),0)+IF(U54="Liability|payable",-N(N54),0)+IF(V54="Liability|payable",N(L54),0)+IF(W54="Liability|payable",N(M54),0)</f>
        <v/>
      </c>
      <c r="AC54" s="23">
        <f>IF(T54="Liability|accrued",-N(O54),0)+IF(U54="Liability|accrued",-N(N54),0)+IF(V54="Liability|accrued",N(L54),0)+IF(W54="Liability|accrued",N(M54),0)</f>
        <v/>
      </c>
      <c r="AD54" s="23">
        <f>IF(AND(N(O54)&lt;&gt;0,T54=""),1,0)+IF(AND(N(N54)&lt;&gt;0,U54=""),1,0)+IF(AND(N(L54)&lt;&gt;0,V54=""),1,0)+IF(AND(N(M54)&lt;&gt;0,W54=""),1,0)</f>
        <v/>
      </c>
    </row>
    <row r="55">
      <c r="A55" s="14" t="n"/>
      <c r="B55" s="19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21">
        <f>SUMIFS('Invoice Lines'!$I:$I,'Invoice Lines'!$A:$A,A55)</f>
        <v/>
      </c>
      <c r="L55" s="21">
        <f>IF(E55="Draft",0,K55)</f>
        <v/>
      </c>
      <c r="M55" s="21">
        <f>ROUND(L55*IFERROR(VLOOKUP(I55,'Tax Codes'!$A$5:$E$300,5,FALSE),0),2)</f>
        <v/>
      </c>
      <c r="N55" s="21">
        <f>ROUND(L55*IFERROR(VLOOKUP(J55,'Tax Codes'!$A$5:$E$300,5,FALSE),0),2)</f>
        <v/>
      </c>
      <c r="O55" s="21">
        <f>L55+M55-N55</f>
        <v/>
      </c>
      <c r="P55" s="16">
        <f>IF(F55="",INDEX('Chart of Accounts'!$A$5:$A$3000,MATCH("ar",'Chart of Accounts'!$F$5:$F$3000,0)),F55&amp;"")</f>
        <v/>
      </c>
      <c r="Q55" s="16">
        <f>IF(G55="",INDEX('Chart of Accounts'!$A$5:$A$3000,MATCH("revenue",'Chart of Accounts'!$F$5:$F$3000,0)),G55&amp;"")</f>
        <v/>
      </c>
      <c r="R55" s="16">
        <f>INDEX('Chart of Accounts'!$A$5:$A$3000,MATCH("wht_receivable",'Chart of Accounts'!$F$5:$F$3000,0))</f>
        <v/>
      </c>
      <c r="S55" s="16">
        <f>INDEX('Chart of Accounts'!$A$5:$A$3000,MATCH("vat_output",'Chart of Accounts'!$F$5:$F$3000,0))</f>
        <v/>
      </c>
      <c r="T55" s="23">
        <f>IFERROR(INDEX('Chart of Accounts'!$C$5:$C$3000,MATCH(P55&amp;"",'Chart of Accounts'!$A$5:$A$3000,0))&amp;"|"&amp;INDEX('Chart of Accounts'!$D$5:$D$3000,MATCH(P55&amp;"",'Chart of Accounts'!$A$5:$A$3000,0)),"")</f>
        <v/>
      </c>
      <c r="U55" s="23">
        <f>IFERROR(INDEX('Chart of Accounts'!$C$5:$C$3000,MATCH(R55&amp;"",'Chart of Accounts'!$A$5:$A$3000,0))&amp;"|"&amp;INDEX('Chart of Accounts'!$D$5:$D$3000,MATCH(R55&amp;"",'Chart of Accounts'!$A$5:$A$3000,0)),"")</f>
        <v/>
      </c>
      <c r="V55" s="23">
        <f>IFERROR(INDEX('Chart of Accounts'!$C$5:$C$3000,MATCH(Q55&amp;"",'Chart of Accounts'!$A$5:$A$3000,0))&amp;"|"&amp;INDEX('Chart of Accounts'!$D$5:$D$3000,MATCH(Q55&amp;"",'Chart of Accounts'!$A$5:$A$3000,0)),"")</f>
        <v/>
      </c>
      <c r="W55" s="23">
        <f>IFERROR(INDEX('Chart of Accounts'!$C$5:$C$3000,MATCH(S55&amp;"",'Chart of Accounts'!$A$5:$A$3000,0))&amp;"|"&amp;INDEX('Chart of Accounts'!$D$5:$D$3000,MATCH(S55&amp;"",'Chart of Accounts'!$A$5:$A$3000,0)),"")</f>
        <v/>
      </c>
      <c r="X55" s="23">
        <f>IF(LEFT(T55,8)="Revenue|",-N(O55),0)+IF(LEFT(U55,8)="Revenue|",-N(N55),0)+IF(LEFT(V55,8)="Revenue|",N(L55),0)+IF(LEFT(W55,8)="Revenue|",N(M55),0)</f>
        <v/>
      </c>
      <c r="Y55" s="23">
        <f>IF(LEFT(T55,5)="COGS|",N(O55),0)+IF(LEFT(U55,5)="COGS|",N(N55),0)+IF(LEFT(V55,5)="COGS|",-N(L55),0)+IF(LEFT(W55,5)="COGS|",-N(M55),0)</f>
        <v/>
      </c>
      <c r="Z55" s="23">
        <f>IF(LEFT(T55,8)="Expense|",N(O55),0)+IF(LEFT(U55,8)="Expense|",N(N55),0)+IF(LEFT(V55,8)="Expense|",-N(L55),0)+IF(LEFT(W55,8)="Expense|",-N(M55),0)</f>
        <v/>
      </c>
      <c r="AA55" s="23">
        <f>IF(ISNUMBER(MATCH(T55,{"Expense|employee","Expense|general_admin","Expense|marketing","Expense|utilities","Expense|other_operating"},0)),N(O55),0)+IF(ISNUMBER(MATCH(U55,{"Expense|employee","Expense|general_admin","Expense|marketing","Expense|utilities","Expense|other_operating"},0)),N(N55),0)+IF(ISNUMBER(MATCH(V55,{"Expense|employee","Expense|general_admin","Expense|marketing","Expense|utilities","Expense|other_operating"},0)),-N(L55),0)+IF(ISNUMBER(MATCH(W55,{"Expense|employee","Expense|general_admin","Expense|marketing","Expense|utilities","Expense|other_operating"},0)),-N(M55),0)</f>
        <v/>
      </c>
      <c r="AB55" s="23">
        <f>IF(T55="Liability|payable",-N(O55),0)+IF(U55="Liability|payable",-N(N55),0)+IF(V55="Liability|payable",N(L55),0)+IF(W55="Liability|payable",N(M55),0)</f>
        <v/>
      </c>
      <c r="AC55" s="23">
        <f>IF(T55="Liability|accrued",-N(O55),0)+IF(U55="Liability|accrued",-N(N55),0)+IF(V55="Liability|accrued",N(L55),0)+IF(W55="Liability|accrued",N(M55),0)</f>
        <v/>
      </c>
      <c r="AD55" s="23">
        <f>IF(AND(N(O55)&lt;&gt;0,T55=""),1,0)+IF(AND(N(N55)&lt;&gt;0,U55=""),1,0)+IF(AND(N(L55)&lt;&gt;0,V55=""),1,0)+IF(AND(N(M55)&lt;&gt;0,W55=""),1,0)</f>
        <v/>
      </c>
    </row>
    <row r="56">
      <c r="A56" s="14" t="n"/>
      <c r="B56" s="19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21">
        <f>SUMIFS('Invoice Lines'!$I:$I,'Invoice Lines'!$A:$A,A56)</f>
        <v/>
      </c>
      <c r="L56" s="21">
        <f>IF(E56="Draft",0,K56)</f>
        <v/>
      </c>
      <c r="M56" s="21">
        <f>ROUND(L56*IFERROR(VLOOKUP(I56,'Tax Codes'!$A$5:$E$300,5,FALSE),0),2)</f>
        <v/>
      </c>
      <c r="N56" s="21">
        <f>ROUND(L56*IFERROR(VLOOKUP(J56,'Tax Codes'!$A$5:$E$300,5,FALSE),0),2)</f>
        <v/>
      </c>
      <c r="O56" s="21">
        <f>L56+M56-N56</f>
        <v/>
      </c>
      <c r="P56" s="16">
        <f>IF(F56="",INDEX('Chart of Accounts'!$A$5:$A$3000,MATCH("ar",'Chart of Accounts'!$F$5:$F$3000,0)),F56&amp;"")</f>
        <v/>
      </c>
      <c r="Q56" s="16">
        <f>IF(G56="",INDEX('Chart of Accounts'!$A$5:$A$3000,MATCH("revenue",'Chart of Accounts'!$F$5:$F$3000,0)),G56&amp;"")</f>
        <v/>
      </c>
      <c r="R56" s="16">
        <f>INDEX('Chart of Accounts'!$A$5:$A$3000,MATCH("wht_receivable",'Chart of Accounts'!$F$5:$F$3000,0))</f>
        <v/>
      </c>
      <c r="S56" s="16">
        <f>INDEX('Chart of Accounts'!$A$5:$A$3000,MATCH("vat_output",'Chart of Accounts'!$F$5:$F$3000,0))</f>
        <v/>
      </c>
      <c r="T56" s="23">
        <f>IFERROR(INDEX('Chart of Accounts'!$C$5:$C$3000,MATCH(P56&amp;"",'Chart of Accounts'!$A$5:$A$3000,0))&amp;"|"&amp;INDEX('Chart of Accounts'!$D$5:$D$3000,MATCH(P56&amp;"",'Chart of Accounts'!$A$5:$A$3000,0)),"")</f>
        <v/>
      </c>
      <c r="U56" s="23">
        <f>IFERROR(INDEX('Chart of Accounts'!$C$5:$C$3000,MATCH(R56&amp;"",'Chart of Accounts'!$A$5:$A$3000,0))&amp;"|"&amp;INDEX('Chart of Accounts'!$D$5:$D$3000,MATCH(R56&amp;"",'Chart of Accounts'!$A$5:$A$3000,0)),"")</f>
        <v/>
      </c>
      <c r="V56" s="23">
        <f>IFERROR(INDEX('Chart of Accounts'!$C$5:$C$3000,MATCH(Q56&amp;"",'Chart of Accounts'!$A$5:$A$3000,0))&amp;"|"&amp;INDEX('Chart of Accounts'!$D$5:$D$3000,MATCH(Q56&amp;"",'Chart of Accounts'!$A$5:$A$3000,0)),"")</f>
        <v/>
      </c>
      <c r="W56" s="23">
        <f>IFERROR(INDEX('Chart of Accounts'!$C$5:$C$3000,MATCH(S56&amp;"",'Chart of Accounts'!$A$5:$A$3000,0))&amp;"|"&amp;INDEX('Chart of Accounts'!$D$5:$D$3000,MATCH(S56&amp;"",'Chart of Accounts'!$A$5:$A$3000,0)),"")</f>
        <v/>
      </c>
      <c r="X56" s="23">
        <f>IF(LEFT(T56,8)="Revenue|",-N(O56),0)+IF(LEFT(U56,8)="Revenue|",-N(N56),0)+IF(LEFT(V56,8)="Revenue|",N(L56),0)+IF(LEFT(W56,8)="Revenue|",N(M56),0)</f>
        <v/>
      </c>
      <c r="Y56" s="23">
        <f>IF(LEFT(T56,5)="COGS|",N(O56),0)+IF(LEFT(U56,5)="COGS|",N(N56),0)+IF(LEFT(V56,5)="COGS|",-N(L56),0)+IF(LEFT(W56,5)="COGS|",-N(M56),0)</f>
        <v/>
      </c>
      <c r="Z56" s="23">
        <f>IF(LEFT(T56,8)="Expense|",N(O56),0)+IF(LEFT(U56,8)="Expense|",N(N56),0)+IF(LEFT(V56,8)="Expense|",-N(L56),0)+IF(LEFT(W56,8)="Expense|",-N(M56),0)</f>
        <v/>
      </c>
      <c r="AA56" s="23">
        <f>IF(ISNUMBER(MATCH(T56,{"Expense|employee","Expense|general_admin","Expense|marketing","Expense|utilities","Expense|other_operating"},0)),N(O56),0)+IF(ISNUMBER(MATCH(U56,{"Expense|employee","Expense|general_admin","Expense|marketing","Expense|utilities","Expense|other_operating"},0)),N(N56),0)+IF(ISNUMBER(MATCH(V56,{"Expense|employee","Expense|general_admin","Expense|marketing","Expense|utilities","Expense|other_operating"},0)),-N(L56),0)+IF(ISNUMBER(MATCH(W56,{"Expense|employee","Expense|general_admin","Expense|marketing","Expense|utilities","Expense|other_operating"},0)),-N(M56),0)</f>
        <v/>
      </c>
      <c r="AB56" s="23">
        <f>IF(T56="Liability|payable",-N(O56),0)+IF(U56="Liability|payable",-N(N56),0)+IF(V56="Liability|payable",N(L56),0)+IF(W56="Liability|payable",N(M56),0)</f>
        <v/>
      </c>
      <c r="AC56" s="23">
        <f>IF(T56="Liability|accrued",-N(O56),0)+IF(U56="Liability|accrued",-N(N56),0)+IF(V56="Liability|accrued",N(L56),0)+IF(W56="Liability|accrued",N(M56),0)</f>
        <v/>
      </c>
      <c r="AD56" s="23">
        <f>IF(AND(N(O56)&lt;&gt;0,T56=""),1,0)+IF(AND(N(N56)&lt;&gt;0,U56=""),1,0)+IF(AND(N(L56)&lt;&gt;0,V56=""),1,0)+IF(AND(N(M56)&lt;&gt;0,W56=""),1,0)</f>
        <v/>
      </c>
    </row>
    <row r="57">
      <c r="A57" s="14" t="n"/>
      <c r="B57" s="19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21">
        <f>SUMIFS('Invoice Lines'!$I:$I,'Invoice Lines'!$A:$A,A57)</f>
        <v/>
      </c>
      <c r="L57" s="21">
        <f>IF(E57="Draft",0,K57)</f>
        <v/>
      </c>
      <c r="M57" s="21">
        <f>ROUND(L57*IFERROR(VLOOKUP(I57,'Tax Codes'!$A$5:$E$300,5,FALSE),0),2)</f>
        <v/>
      </c>
      <c r="N57" s="21">
        <f>ROUND(L57*IFERROR(VLOOKUP(J57,'Tax Codes'!$A$5:$E$300,5,FALSE),0),2)</f>
        <v/>
      </c>
      <c r="O57" s="21">
        <f>L57+M57-N57</f>
        <v/>
      </c>
      <c r="P57" s="16">
        <f>IF(F57="",INDEX('Chart of Accounts'!$A$5:$A$3000,MATCH("ar",'Chart of Accounts'!$F$5:$F$3000,0)),F57&amp;"")</f>
        <v/>
      </c>
      <c r="Q57" s="16">
        <f>IF(G57="",INDEX('Chart of Accounts'!$A$5:$A$3000,MATCH("revenue",'Chart of Accounts'!$F$5:$F$3000,0)),G57&amp;"")</f>
        <v/>
      </c>
      <c r="R57" s="16">
        <f>INDEX('Chart of Accounts'!$A$5:$A$3000,MATCH("wht_receivable",'Chart of Accounts'!$F$5:$F$3000,0))</f>
        <v/>
      </c>
      <c r="S57" s="16">
        <f>INDEX('Chart of Accounts'!$A$5:$A$3000,MATCH("vat_output",'Chart of Accounts'!$F$5:$F$3000,0))</f>
        <v/>
      </c>
      <c r="T57" s="23">
        <f>IFERROR(INDEX('Chart of Accounts'!$C$5:$C$3000,MATCH(P57&amp;"",'Chart of Accounts'!$A$5:$A$3000,0))&amp;"|"&amp;INDEX('Chart of Accounts'!$D$5:$D$3000,MATCH(P57&amp;"",'Chart of Accounts'!$A$5:$A$3000,0)),"")</f>
        <v/>
      </c>
      <c r="U57" s="23">
        <f>IFERROR(INDEX('Chart of Accounts'!$C$5:$C$3000,MATCH(R57&amp;"",'Chart of Accounts'!$A$5:$A$3000,0))&amp;"|"&amp;INDEX('Chart of Accounts'!$D$5:$D$3000,MATCH(R57&amp;"",'Chart of Accounts'!$A$5:$A$3000,0)),"")</f>
        <v/>
      </c>
      <c r="V57" s="23">
        <f>IFERROR(INDEX('Chart of Accounts'!$C$5:$C$3000,MATCH(Q57&amp;"",'Chart of Accounts'!$A$5:$A$3000,0))&amp;"|"&amp;INDEX('Chart of Accounts'!$D$5:$D$3000,MATCH(Q57&amp;"",'Chart of Accounts'!$A$5:$A$3000,0)),"")</f>
        <v/>
      </c>
      <c r="W57" s="23">
        <f>IFERROR(INDEX('Chart of Accounts'!$C$5:$C$3000,MATCH(S57&amp;"",'Chart of Accounts'!$A$5:$A$3000,0))&amp;"|"&amp;INDEX('Chart of Accounts'!$D$5:$D$3000,MATCH(S57&amp;"",'Chart of Accounts'!$A$5:$A$3000,0)),"")</f>
        <v/>
      </c>
      <c r="X57" s="23">
        <f>IF(LEFT(T57,8)="Revenue|",-N(O57),0)+IF(LEFT(U57,8)="Revenue|",-N(N57),0)+IF(LEFT(V57,8)="Revenue|",N(L57),0)+IF(LEFT(W57,8)="Revenue|",N(M57),0)</f>
        <v/>
      </c>
      <c r="Y57" s="23">
        <f>IF(LEFT(T57,5)="COGS|",N(O57),0)+IF(LEFT(U57,5)="COGS|",N(N57),0)+IF(LEFT(V57,5)="COGS|",-N(L57),0)+IF(LEFT(W57,5)="COGS|",-N(M57),0)</f>
        <v/>
      </c>
      <c r="Z57" s="23">
        <f>IF(LEFT(T57,8)="Expense|",N(O57),0)+IF(LEFT(U57,8)="Expense|",N(N57),0)+IF(LEFT(V57,8)="Expense|",-N(L57),0)+IF(LEFT(W57,8)="Expense|",-N(M57),0)</f>
        <v/>
      </c>
      <c r="AA57" s="23">
        <f>IF(ISNUMBER(MATCH(T57,{"Expense|employee","Expense|general_admin","Expense|marketing","Expense|utilities","Expense|other_operating"},0)),N(O57),0)+IF(ISNUMBER(MATCH(U57,{"Expense|employee","Expense|general_admin","Expense|marketing","Expense|utilities","Expense|other_operating"},0)),N(N57),0)+IF(ISNUMBER(MATCH(V57,{"Expense|employee","Expense|general_admin","Expense|marketing","Expense|utilities","Expense|other_operating"},0)),-N(L57),0)+IF(ISNUMBER(MATCH(W57,{"Expense|employee","Expense|general_admin","Expense|marketing","Expense|utilities","Expense|other_operating"},0)),-N(M57),0)</f>
        <v/>
      </c>
      <c r="AB57" s="23">
        <f>IF(T57="Liability|payable",-N(O57),0)+IF(U57="Liability|payable",-N(N57),0)+IF(V57="Liability|payable",N(L57),0)+IF(W57="Liability|payable",N(M57),0)</f>
        <v/>
      </c>
      <c r="AC57" s="23">
        <f>IF(T57="Liability|accrued",-N(O57),0)+IF(U57="Liability|accrued",-N(N57),0)+IF(V57="Liability|accrued",N(L57),0)+IF(W57="Liability|accrued",N(M57),0)</f>
        <v/>
      </c>
      <c r="AD57" s="23">
        <f>IF(AND(N(O57)&lt;&gt;0,T57=""),1,0)+IF(AND(N(N57)&lt;&gt;0,U57=""),1,0)+IF(AND(N(L57)&lt;&gt;0,V57=""),1,0)+IF(AND(N(M57)&lt;&gt;0,W57=""),1,0)</f>
        <v/>
      </c>
    </row>
    <row r="58">
      <c r="A58" s="14" t="n"/>
      <c r="B58" s="19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21">
        <f>SUMIFS('Invoice Lines'!$I:$I,'Invoice Lines'!$A:$A,A58)</f>
        <v/>
      </c>
      <c r="L58" s="21">
        <f>IF(E58="Draft",0,K58)</f>
        <v/>
      </c>
      <c r="M58" s="21">
        <f>ROUND(L58*IFERROR(VLOOKUP(I58,'Tax Codes'!$A$5:$E$300,5,FALSE),0),2)</f>
        <v/>
      </c>
      <c r="N58" s="21">
        <f>ROUND(L58*IFERROR(VLOOKUP(J58,'Tax Codes'!$A$5:$E$300,5,FALSE),0),2)</f>
        <v/>
      </c>
      <c r="O58" s="21">
        <f>L58+M58-N58</f>
        <v/>
      </c>
      <c r="P58" s="16">
        <f>IF(F58="",INDEX('Chart of Accounts'!$A$5:$A$3000,MATCH("ar",'Chart of Accounts'!$F$5:$F$3000,0)),F58&amp;"")</f>
        <v/>
      </c>
      <c r="Q58" s="16">
        <f>IF(G58="",INDEX('Chart of Accounts'!$A$5:$A$3000,MATCH("revenue",'Chart of Accounts'!$F$5:$F$3000,0)),G58&amp;"")</f>
        <v/>
      </c>
      <c r="R58" s="16">
        <f>INDEX('Chart of Accounts'!$A$5:$A$3000,MATCH("wht_receivable",'Chart of Accounts'!$F$5:$F$3000,0))</f>
        <v/>
      </c>
      <c r="S58" s="16">
        <f>INDEX('Chart of Accounts'!$A$5:$A$3000,MATCH("vat_output",'Chart of Accounts'!$F$5:$F$3000,0))</f>
        <v/>
      </c>
      <c r="T58" s="23">
        <f>IFERROR(INDEX('Chart of Accounts'!$C$5:$C$3000,MATCH(P58&amp;"",'Chart of Accounts'!$A$5:$A$3000,0))&amp;"|"&amp;INDEX('Chart of Accounts'!$D$5:$D$3000,MATCH(P58&amp;"",'Chart of Accounts'!$A$5:$A$3000,0)),"")</f>
        <v/>
      </c>
      <c r="U58" s="23">
        <f>IFERROR(INDEX('Chart of Accounts'!$C$5:$C$3000,MATCH(R58&amp;"",'Chart of Accounts'!$A$5:$A$3000,0))&amp;"|"&amp;INDEX('Chart of Accounts'!$D$5:$D$3000,MATCH(R58&amp;"",'Chart of Accounts'!$A$5:$A$3000,0)),"")</f>
        <v/>
      </c>
      <c r="V58" s="23">
        <f>IFERROR(INDEX('Chart of Accounts'!$C$5:$C$3000,MATCH(Q58&amp;"",'Chart of Accounts'!$A$5:$A$3000,0))&amp;"|"&amp;INDEX('Chart of Accounts'!$D$5:$D$3000,MATCH(Q58&amp;"",'Chart of Accounts'!$A$5:$A$3000,0)),"")</f>
        <v/>
      </c>
      <c r="W58" s="23">
        <f>IFERROR(INDEX('Chart of Accounts'!$C$5:$C$3000,MATCH(S58&amp;"",'Chart of Accounts'!$A$5:$A$3000,0))&amp;"|"&amp;INDEX('Chart of Accounts'!$D$5:$D$3000,MATCH(S58&amp;"",'Chart of Accounts'!$A$5:$A$3000,0)),"")</f>
        <v/>
      </c>
      <c r="X58" s="23">
        <f>IF(LEFT(T58,8)="Revenue|",-N(O58),0)+IF(LEFT(U58,8)="Revenue|",-N(N58),0)+IF(LEFT(V58,8)="Revenue|",N(L58),0)+IF(LEFT(W58,8)="Revenue|",N(M58),0)</f>
        <v/>
      </c>
      <c r="Y58" s="23">
        <f>IF(LEFT(T58,5)="COGS|",N(O58),0)+IF(LEFT(U58,5)="COGS|",N(N58),0)+IF(LEFT(V58,5)="COGS|",-N(L58),0)+IF(LEFT(W58,5)="COGS|",-N(M58),0)</f>
        <v/>
      </c>
      <c r="Z58" s="23">
        <f>IF(LEFT(T58,8)="Expense|",N(O58),0)+IF(LEFT(U58,8)="Expense|",N(N58),0)+IF(LEFT(V58,8)="Expense|",-N(L58),0)+IF(LEFT(W58,8)="Expense|",-N(M58),0)</f>
        <v/>
      </c>
      <c r="AA58" s="23">
        <f>IF(ISNUMBER(MATCH(T58,{"Expense|employee","Expense|general_admin","Expense|marketing","Expense|utilities","Expense|other_operating"},0)),N(O58),0)+IF(ISNUMBER(MATCH(U58,{"Expense|employee","Expense|general_admin","Expense|marketing","Expense|utilities","Expense|other_operating"},0)),N(N58),0)+IF(ISNUMBER(MATCH(V58,{"Expense|employee","Expense|general_admin","Expense|marketing","Expense|utilities","Expense|other_operating"},0)),-N(L58),0)+IF(ISNUMBER(MATCH(W58,{"Expense|employee","Expense|general_admin","Expense|marketing","Expense|utilities","Expense|other_operating"},0)),-N(M58),0)</f>
        <v/>
      </c>
      <c r="AB58" s="23">
        <f>IF(T58="Liability|payable",-N(O58),0)+IF(U58="Liability|payable",-N(N58),0)+IF(V58="Liability|payable",N(L58),0)+IF(W58="Liability|payable",N(M58),0)</f>
        <v/>
      </c>
      <c r="AC58" s="23">
        <f>IF(T58="Liability|accrued",-N(O58),0)+IF(U58="Liability|accrued",-N(N58),0)+IF(V58="Liability|accrued",N(L58),0)+IF(W58="Liability|accrued",N(M58),0)</f>
        <v/>
      </c>
      <c r="AD58" s="23">
        <f>IF(AND(N(O58)&lt;&gt;0,T58=""),1,0)+IF(AND(N(N58)&lt;&gt;0,U58=""),1,0)+IF(AND(N(L58)&lt;&gt;0,V58=""),1,0)+IF(AND(N(M58)&lt;&gt;0,W58=""),1,0)</f>
        <v/>
      </c>
    </row>
    <row r="59">
      <c r="A59" s="14" t="n"/>
      <c r="B59" s="19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21">
        <f>SUMIFS('Invoice Lines'!$I:$I,'Invoice Lines'!$A:$A,A59)</f>
        <v/>
      </c>
      <c r="L59" s="21">
        <f>IF(E59="Draft",0,K59)</f>
        <v/>
      </c>
      <c r="M59" s="21">
        <f>ROUND(L59*IFERROR(VLOOKUP(I59,'Tax Codes'!$A$5:$E$300,5,FALSE),0),2)</f>
        <v/>
      </c>
      <c r="N59" s="21">
        <f>ROUND(L59*IFERROR(VLOOKUP(J59,'Tax Codes'!$A$5:$E$300,5,FALSE),0),2)</f>
        <v/>
      </c>
      <c r="O59" s="21">
        <f>L59+M59-N59</f>
        <v/>
      </c>
      <c r="P59" s="16">
        <f>IF(F59="",INDEX('Chart of Accounts'!$A$5:$A$3000,MATCH("ar",'Chart of Accounts'!$F$5:$F$3000,0)),F59&amp;"")</f>
        <v/>
      </c>
      <c r="Q59" s="16">
        <f>IF(G59="",INDEX('Chart of Accounts'!$A$5:$A$3000,MATCH("revenue",'Chart of Accounts'!$F$5:$F$3000,0)),G59&amp;"")</f>
        <v/>
      </c>
      <c r="R59" s="16">
        <f>INDEX('Chart of Accounts'!$A$5:$A$3000,MATCH("wht_receivable",'Chart of Accounts'!$F$5:$F$3000,0))</f>
        <v/>
      </c>
      <c r="S59" s="16">
        <f>INDEX('Chart of Accounts'!$A$5:$A$3000,MATCH("vat_output",'Chart of Accounts'!$F$5:$F$3000,0))</f>
        <v/>
      </c>
      <c r="T59" s="23">
        <f>IFERROR(INDEX('Chart of Accounts'!$C$5:$C$3000,MATCH(P59&amp;"",'Chart of Accounts'!$A$5:$A$3000,0))&amp;"|"&amp;INDEX('Chart of Accounts'!$D$5:$D$3000,MATCH(P59&amp;"",'Chart of Accounts'!$A$5:$A$3000,0)),"")</f>
        <v/>
      </c>
      <c r="U59" s="23">
        <f>IFERROR(INDEX('Chart of Accounts'!$C$5:$C$3000,MATCH(R59&amp;"",'Chart of Accounts'!$A$5:$A$3000,0))&amp;"|"&amp;INDEX('Chart of Accounts'!$D$5:$D$3000,MATCH(R59&amp;"",'Chart of Accounts'!$A$5:$A$3000,0)),"")</f>
        <v/>
      </c>
      <c r="V59" s="23">
        <f>IFERROR(INDEX('Chart of Accounts'!$C$5:$C$3000,MATCH(Q59&amp;"",'Chart of Accounts'!$A$5:$A$3000,0))&amp;"|"&amp;INDEX('Chart of Accounts'!$D$5:$D$3000,MATCH(Q59&amp;"",'Chart of Accounts'!$A$5:$A$3000,0)),"")</f>
        <v/>
      </c>
      <c r="W59" s="23">
        <f>IFERROR(INDEX('Chart of Accounts'!$C$5:$C$3000,MATCH(S59&amp;"",'Chart of Accounts'!$A$5:$A$3000,0))&amp;"|"&amp;INDEX('Chart of Accounts'!$D$5:$D$3000,MATCH(S59&amp;"",'Chart of Accounts'!$A$5:$A$3000,0)),"")</f>
        <v/>
      </c>
      <c r="X59" s="23">
        <f>IF(LEFT(T59,8)="Revenue|",-N(O59),0)+IF(LEFT(U59,8)="Revenue|",-N(N59),0)+IF(LEFT(V59,8)="Revenue|",N(L59),0)+IF(LEFT(W59,8)="Revenue|",N(M59),0)</f>
        <v/>
      </c>
      <c r="Y59" s="23">
        <f>IF(LEFT(T59,5)="COGS|",N(O59),0)+IF(LEFT(U59,5)="COGS|",N(N59),0)+IF(LEFT(V59,5)="COGS|",-N(L59),0)+IF(LEFT(W59,5)="COGS|",-N(M59),0)</f>
        <v/>
      </c>
      <c r="Z59" s="23">
        <f>IF(LEFT(T59,8)="Expense|",N(O59),0)+IF(LEFT(U59,8)="Expense|",N(N59),0)+IF(LEFT(V59,8)="Expense|",-N(L59),0)+IF(LEFT(W59,8)="Expense|",-N(M59),0)</f>
        <v/>
      </c>
      <c r="AA59" s="23">
        <f>IF(ISNUMBER(MATCH(T59,{"Expense|employee","Expense|general_admin","Expense|marketing","Expense|utilities","Expense|other_operating"},0)),N(O59),0)+IF(ISNUMBER(MATCH(U59,{"Expense|employee","Expense|general_admin","Expense|marketing","Expense|utilities","Expense|other_operating"},0)),N(N59),0)+IF(ISNUMBER(MATCH(V59,{"Expense|employee","Expense|general_admin","Expense|marketing","Expense|utilities","Expense|other_operating"},0)),-N(L59),0)+IF(ISNUMBER(MATCH(W59,{"Expense|employee","Expense|general_admin","Expense|marketing","Expense|utilities","Expense|other_operating"},0)),-N(M59),0)</f>
        <v/>
      </c>
      <c r="AB59" s="23">
        <f>IF(T59="Liability|payable",-N(O59),0)+IF(U59="Liability|payable",-N(N59),0)+IF(V59="Liability|payable",N(L59),0)+IF(W59="Liability|payable",N(M59),0)</f>
        <v/>
      </c>
      <c r="AC59" s="23">
        <f>IF(T59="Liability|accrued",-N(O59),0)+IF(U59="Liability|accrued",-N(N59),0)+IF(V59="Liability|accrued",N(L59),0)+IF(W59="Liability|accrued",N(M59),0)</f>
        <v/>
      </c>
      <c r="AD59" s="23">
        <f>IF(AND(N(O59)&lt;&gt;0,T59=""),1,0)+IF(AND(N(N59)&lt;&gt;0,U59=""),1,0)+IF(AND(N(L59)&lt;&gt;0,V59=""),1,0)+IF(AND(N(M59)&lt;&gt;0,W59=""),1,0)</f>
        <v/>
      </c>
    </row>
    <row r="60">
      <c r="A60" s="14" t="n"/>
      <c r="B60" s="19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21">
        <f>SUMIFS('Invoice Lines'!$I:$I,'Invoice Lines'!$A:$A,A60)</f>
        <v/>
      </c>
      <c r="L60" s="21">
        <f>IF(E60="Draft",0,K60)</f>
        <v/>
      </c>
      <c r="M60" s="21">
        <f>ROUND(L60*IFERROR(VLOOKUP(I60,'Tax Codes'!$A$5:$E$300,5,FALSE),0),2)</f>
        <v/>
      </c>
      <c r="N60" s="21">
        <f>ROUND(L60*IFERROR(VLOOKUP(J60,'Tax Codes'!$A$5:$E$300,5,FALSE),0),2)</f>
        <v/>
      </c>
      <c r="O60" s="21">
        <f>L60+M60-N60</f>
        <v/>
      </c>
      <c r="P60" s="16">
        <f>IF(F60="",INDEX('Chart of Accounts'!$A$5:$A$3000,MATCH("ar",'Chart of Accounts'!$F$5:$F$3000,0)),F60&amp;"")</f>
        <v/>
      </c>
      <c r="Q60" s="16">
        <f>IF(G60="",INDEX('Chart of Accounts'!$A$5:$A$3000,MATCH("revenue",'Chart of Accounts'!$F$5:$F$3000,0)),G60&amp;"")</f>
        <v/>
      </c>
      <c r="R60" s="16">
        <f>INDEX('Chart of Accounts'!$A$5:$A$3000,MATCH("wht_receivable",'Chart of Accounts'!$F$5:$F$3000,0))</f>
        <v/>
      </c>
      <c r="S60" s="16">
        <f>INDEX('Chart of Accounts'!$A$5:$A$3000,MATCH("vat_output",'Chart of Accounts'!$F$5:$F$3000,0))</f>
        <v/>
      </c>
      <c r="T60" s="23">
        <f>IFERROR(INDEX('Chart of Accounts'!$C$5:$C$3000,MATCH(P60&amp;"",'Chart of Accounts'!$A$5:$A$3000,0))&amp;"|"&amp;INDEX('Chart of Accounts'!$D$5:$D$3000,MATCH(P60&amp;"",'Chart of Accounts'!$A$5:$A$3000,0)),"")</f>
        <v/>
      </c>
      <c r="U60" s="23">
        <f>IFERROR(INDEX('Chart of Accounts'!$C$5:$C$3000,MATCH(R60&amp;"",'Chart of Accounts'!$A$5:$A$3000,0))&amp;"|"&amp;INDEX('Chart of Accounts'!$D$5:$D$3000,MATCH(R60&amp;"",'Chart of Accounts'!$A$5:$A$3000,0)),"")</f>
        <v/>
      </c>
      <c r="V60" s="23">
        <f>IFERROR(INDEX('Chart of Accounts'!$C$5:$C$3000,MATCH(Q60&amp;"",'Chart of Accounts'!$A$5:$A$3000,0))&amp;"|"&amp;INDEX('Chart of Accounts'!$D$5:$D$3000,MATCH(Q60&amp;"",'Chart of Accounts'!$A$5:$A$3000,0)),"")</f>
        <v/>
      </c>
      <c r="W60" s="23">
        <f>IFERROR(INDEX('Chart of Accounts'!$C$5:$C$3000,MATCH(S60&amp;"",'Chart of Accounts'!$A$5:$A$3000,0))&amp;"|"&amp;INDEX('Chart of Accounts'!$D$5:$D$3000,MATCH(S60&amp;"",'Chart of Accounts'!$A$5:$A$3000,0)),"")</f>
        <v/>
      </c>
      <c r="X60" s="23">
        <f>IF(LEFT(T60,8)="Revenue|",-N(O60),0)+IF(LEFT(U60,8)="Revenue|",-N(N60),0)+IF(LEFT(V60,8)="Revenue|",N(L60),0)+IF(LEFT(W60,8)="Revenue|",N(M60),0)</f>
        <v/>
      </c>
      <c r="Y60" s="23">
        <f>IF(LEFT(T60,5)="COGS|",N(O60),0)+IF(LEFT(U60,5)="COGS|",N(N60),0)+IF(LEFT(V60,5)="COGS|",-N(L60),0)+IF(LEFT(W60,5)="COGS|",-N(M60),0)</f>
        <v/>
      </c>
      <c r="Z60" s="23">
        <f>IF(LEFT(T60,8)="Expense|",N(O60),0)+IF(LEFT(U60,8)="Expense|",N(N60),0)+IF(LEFT(V60,8)="Expense|",-N(L60),0)+IF(LEFT(W60,8)="Expense|",-N(M60),0)</f>
        <v/>
      </c>
      <c r="AA60" s="23">
        <f>IF(ISNUMBER(MATCH(T60,{"Expense|employee","Expense|general_admin","Expense|marketing","Expense|utilities","Expense|other_operating"},0)),N(O60),0)+IF(ISNUMBER(MATCH(U60,{"Expense|employee","Expense|general_admin","Expense|marketing","Expense|utilities","Expense|other_operating"},0)),N(N60),0)+IF(ISNUMBER(MATCH(V60,{"Expense|employee","Expense|general_admin","Expense|marketing","Expense|utilities","Expense|other_operating"},0)),-N(L60),0)+IF(ISNUMBER(MATCH(W60,{"Expense|employee","Expense|general_admin","Expense|marketing","Expense|utilities","Expense|other_operating"},0)),-N(M60),0)</f>
        <v/>
      </c>
      <c r="AB60" s="23">
        <f>IF(T60="Liability|payable",-N(O60),0)+IF(U60="Liability|payable",-N(N60),0)+IF(V60="Liability|payable",N(L60),0)+IF(W60="Liability|payable",N(M60),0)</f>
        <v/>
      </c>
      <c r="AC60" s="23">
        <f>IF(T60="Liability|accrued",-N(O60),0)+IF(U60="Liability|accrued",-N(N60),0)+IF(V60="Liability|accrued",N(L60),0)+IF(W60="Liability|accrued",N(M60),0)</f>
        <v/>
      </c>
      <c r="AD60" s="23">
        <f>IF(AND(N(O60)&lt;&gt;0,T60=""),1,0)+IF(AND(N(N60)&lt;&gt;0,U60=""),1,0)+IF(AND(N(L60)&lt;&gt;0,V60=""),1,0)+IF(AND(N(M60)&lt;&gt;0,W60=""),1,0)</f>
        <v/>
      </c>
    </row>
    <row r="61">
      <c r="A61" s="14" t="n"/>
      <c r="B61" s="19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21">
        <f>SUMIFS('Invoice Lines'!$I:$I,'Invoice Lines'!$A:$A,A61)</f>
        <v/>
      </c>
      <c r="L61" s="21">
        <f>IF(E61="Draft",0,K61)</f>
        <v/>
      </c>
      <c r="M61" s="21">
        <f>ROUND(L61*IFERROR(VLOOKUP(I61,'Tax Codes'!$A$5:$E$300,5,FALSE),0),2)</f>
        <v/>
      </c>
      <c r="N61" s="21">
        <f>ROUND(L61*IFERROR(VLOOKUP(J61,'Tax Codes'!$A$5:$E$300,5,FALSE),0),2)</f>
        <v/>
      </c>
      <c r="O61" s="21">
        <f>L61+M61-N61</f>
        <v/>
      </c>
      <c r="P61" s="16">
        <f>IF(F61="",INDEX('Chart of Accounts'!$A$5:$A$3000,MATCH("ar",'Chart of Accounts'!$F$5:$F$3000,0)),F61&amp;"")</f>
        <v/>
      </c>
      <c r="Q61" s="16">
        <f>IF(G61="",INDEX('Chart of Accounts'!$A$5:$A$3000,MATCH("revenue",'Chart of Accounts'!$F$5:$F$3000,0)),G61&amp;"")</f>
        <v/>
      </c>
      <c r="R61" s="16">
        <f>INDEX('Chart of Accounts'!$A$5:$A$3000,MATCH("wht_receivable",'Chart of Accounts'!$F$5:$F$3000,0))</f>
        <v/>
      </c>
      <c r="S61" s="16">
        <f>INDEX('Chart of Accounts'!$A$5:$A$3000,MATCH("vat_output",'Chart of Accounts'!$F$5:$F$3000,0))</f>
        <v/>
      </c>
      <c r="T61" s="23">
        <f>IFERROR(INDEX('Chart of Accounts'!$C$5:$C$3000,MATCH(P61&amp;"",'Chart of Accounts'!$A$5:$A$3000,0))&amp;"|"&amp;INDEX('Chart of Accounts'!$D$5:$D$3000,MATCH(P61&amp;"",'Chart of Accounts'!$A$5:$A$3000,0)),"")</f>
        <v/>
      </c>
      <c r="U61" s="23">
        <f>IFERROR(INDEX('Chart of Accounts'!$C$5:$C$3000,MATCH(R61&amp;"",'Chart of Accounts'!$A$5:$A$3000,0))&amp;"|"&amp;INDEX('Chart of Accounts'!$D$5:$D$3000,MATCH(R61&amp;"",'Chart of Accounts'!$A$5:$A$3000,0)),"")</f>
        <v/>
      </c>
      <c r="V61" s="23">
        <f>IFERROR(INDEX('Chart of Accounts'!$C$5:$C$3000,MATCH(Q61&amp;"",'Chart of Accounts'!$A$5:$A$3000,0))&amp;"|"&amp;INDEX('Chart of Accounts'!$D$5:$D$3000,MATCH(Q61&amp;"",'Chart of Accounts'!$A$5:$A$3000,0)),"")</f>
        <v/>
      </c>
      <c r="W61" s="23">
        <f>IFERROR(INDEX('Chart of Accounts'!$C$5:$C$3000,MATCH(S61&amp;"",'Chart of Accounts'!$A$5:$A$3000,0))&amp;"|"&amp;INDEX('Chart of Accounts'!$D$5:$D$3000,MATCH(S61&amp;"",'Chart of Accounts'!$A$5:$A$3000,0)),"")</f>
        <v/>
      </c>
      <c r="X61" s="23">
        <f>IF(LEFT(T61,8)="Revenue|",-N(O61),0)+IF(LEFT(U61,8)="Revenue|",-N(N61),0)+IF(LEFT(V61,8)="Revenue|",N(L61),0)+IF(LEFT(W61,8)="Revenue|",N(M61),0)</f>
        <v/>
      </c>
      <c r="Y61" s="23">
        <f>IF(LEFT(T61,5)="COGS|",N(O61),0)+IF(LEFT(U61,5)="COGS|",N(N61),0)+IF(LEFT(V61,5)="COGS|",-N(L61),0)+IF(LEFT(W61,5)="COGS|",-N(M61),0)</f>
        <v/>
      </c>
      <c r="Z61" s="23">
        <f>IF(LEFT(T61,8)="Expense|",N(O61),0)+IF(LEFT(U61,8)="Expense|",N(N61),0)+IF(LEFT(V61,8)="Expense|",-N(L61),0)+IF(LEFT(W61,8)="Expense|",-N(M61),0)</f>
        <v/>
      </c>
      <c r="AA61" s="23">
        <f>IF(ISNUMBER(MATCH(T61,{"Expense|employee","Expense|general_admin","Expense|marketing","Expense|utilities","Expense|other_operating"},0)),N(O61),0)+IF(ISNUMBER(MATCH(U61,{"Expense|employee","Expense|general_admin","Expense|marketing","Expense|utilities","Expense|other_operating"},0)),N(N61),0)+IF(ISNUMBER(MATCH(V61,{"Expense|employee","Expense|general_admin","Expense|marketing","Expense|utilities","Expense|other_operating"},0)),-N(L61),0)+IF(ISNUMBER(MATCH(W61,{"Expense|employee","Expense|general_admin","Expense|marketing","Expense|utilities","Expense|other_operating"},0)),-N(M61),0)</f>
        <v/>
      </c>
      <c r="AB61" s="23">
        <f>IF(T61="Liability|payable",-N(O61),0)+IF(U61="Liability|payable",-N(N61),0)+IF(V61="Liability|payable",N(L61),0)+IF(W61="Liability|payable",N(M61),0)</f>
        <v/>
      </c>
      <c r="AC61" s="23">
        <f>IF(T61="Liability|accrued",-N(O61),0)+IF(U61="Liability|accrued",-N(N61),0)+IF(V61="Liability|accrued",N(L61),0)+IF(W61="Liability|accrued",N(M61),0)</f>
        <v/>
      </c>
      <c r="AD61" s="23">
        <f>IF(AND(N(O61)&lt;&gt;0,T61=""),1,0)+IF(AND(N(N61)&lt;&gt;0,U61=""),1,0)+IF(AND(N(L61)&lt;&gt;0,V61=""),1,0)+IF(AND(N(M61)&lt;&gt;0,W61=""),1,0)</f>
        <v/>
      </c>
    </row>
    <row r="62">
      <c r="A62" s="14" t="n"/>
      <c r="B62" s="19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21">
        <f>SUMIFS('Invoice Lines'!$I:$I,'Invoice Lines'!$A:$A,A62)</f>
        <v/>
      </c>
      <c r="L62" s="21">
        <f>IF(E62="Draft",0,K62)</f>
        <v/>
      </c>
      <c r="M62" s="21">
        <f>ROUND(L62*IFERROR(VLOOKUP(I62,'Tax Codes'!$A$5:$E$300,5,FALSE),0),2)</f>
        <v/>
      </c>
      <c r="N62" s="21">
        <f>ROUND(L62*IFERROR(VLOOKUP(J62,'Tax Codes'!$A$5:$E$300,5,FALSE),0),2)</f>
        <v/>
      </c>
      <c r="O62" s="21">
        <f>L62+M62-N62</f>
        <v/>
      </c>
      <c r="P62" s="16">
        <f>IF(F62="",INDEX('Chart of Accounts'!$A$5:$A$3000,MATCH("ar",'Chart of Accounts'!$F$5:$F$3000,0)),F62&amp;"")</f>
        <v/>
      </c>
      <c r="Q62" s="16">
        <f>IF(G62="",INDEX('Chart of Accounts'!$A$5:$A$3000,MATCH("revenue",'Chart of Accounts'!$F$5:$F$3000,0)),G62&amp;"")</f>
        <v/>
      </c>
      <c r="R62" s="16">
        <f>INDEX('Chart of Accounts'!$A$5:$A$3000,MATCH("wht_receivable",'Chart of Accounts'!$F$5:$F$3000,0))</f>
        <v/>
      </c>
      <c r="S62" s="16">
        <f>INDEX('Chart of Accounts'!$A$5:$A$3000,MATCH("vat_output",'Chart of Accounts'!$F$5:$F$3000,0))</f>
        <v/>
      </c>
      <c r="T62" s="23">
        <f>IFERROR(INDEX('Chart of Accounts'!$C$5:$C$3000,MATCH(P62&amp;"",'Chart of Accounts'!$A$5:$A$3000,0))&amp;"|"&amp;INDEX('Chart of Accounts'!$D$5:$D$3000,MATCH(P62&amp;"",'Chart of Accounts'!$A$5:$A$3000,0)),"")</f>
        <v/>
      </c>
      <c r="U62" s="23">
        <f>IFERROR(INDEX('Chart of Accounts'!$C$5:$C$3000,MATCH(R62&amp;"",'Chart of Accounts'!$A$5:$A$3000,0))&amp;"|"&amp;INDEX('Chart of Accounts'!$D$5:$D$3000,MATCH(R62&amp;"",'Chart of Accounts'!$A$5:$A$3000,0)),"")</f>
        <v/>
      </c>
      <c r="V62" s="23">
        <f>IFERROR(INDEX('Chart of Accounts'!$C$5:$C$3000,MATCH(Q62&amp;"",'Chart of Accounts'!$A$5:$A$3000,0))&amp;"|"&amp;INDEX('Chart of Accounts'!$D$5:$D$3000,MATCH(Q62&amp;"",'Chart of Accounts'!$A$5:$A$3000,0)),"")</f>
        <v/>
      </c>
      <c r="W62" s="23">
        <f>IFERROR(INDEX('Chart of Accounts'!$C$5:$C$3000,MATCH(S62&amp;"",'Chart of Accounts'!$A$5:$A$3000,0))&amp;"|"&amp;INDEX('Chart of Accounts'!$D$5:$D$3000,MATCH(S62&amp;"",'Chart of Accounts'!$A$5:$A$3000,0)),"")</f>
        <v/>
      </c>
      <c r="X62" s="23">
        <f>IF(LEFT(T62,8)="Revenue|",-N(O62),0)+IF(LEFT(U62,8)="Revenue|",-N(N62),0)+IF(LEFT(V62,8)="Revenue|",N(L62),0)+IF(LEFT(W62,8)="Revenue|",N(M62),0)</f>
        <v/>
      </c>
      <c r="Y62" s="23">
        <f>IF(LEFT(T62,5)="COGS|",N(O62),0)+IF(LEFT(U62,5)="COGS|",N(N62),0)+IF(LEFT(V62,5)="COGS|",-N(L62),0)+IF(LEFT(W62,5)="COGS|",-N(M62),0)</f>
        <v/>
      </c>
      <c r="Z62" s="23">
        <f>IF(LEFT(T62,8)="Expense|",N(O62),0)+IF(LEFT(U62,8)="Expense|",N(N62),0)+IF(LEFT(V62,8)="Expense|",-N(L62),0)+IF(LEFT(W62,8)="Expense|",-N(M62),0)</f>
        <v/>
      </c>
      <c r="AA62" s="23">
        <f>IF(ISNUMBER(MATCH(T62,{"Expense|employee","Expense|general_admin","Expense|marketing","Expense|utilities","Expense|other_operating"},0)),N(O62),0)+IF(ISNUMBER(MATCH(U62,{"Expense|employee","Expense|general_admin","Expense|marketing","Expense|utilities","Expense|other_operating"},0)),N(N62),0)+IF(ISNUMBER(MATCH(V62,{"Expense|employee","Expense|general_admin","Expense|marketing","Expense|utilities","Expense|other_operating"},0)),-N(L62),0)+IF(ISNUMBER(MATCH(W62,{"Expense|employee","Expense|general_admin","Expense|marketing","Expense|utilities","Expense|other_operating"},0)),-N(M62),0)</f>
        <v/>
      </c>
      <c r="AB62" s="23">
        <f>IF(T62="Liability|payable",-N(O62),0)+IF(U62="Liability|payable",-N(N62),0)+IF(V62="Liability|payable",N(L62),0)+IF(W62="Liability|payable",N(M62),0)</f>
        <v/>
      </c>
      <c r="AC62" s="23">
        <f>IF(T62="Liability|accrued",-N(O62),0)+IF(U62="Liability|accrued",-N(N62),0)+IF(V62="Liability|accrued",N(L62),0)+IF(W62="Liability|accrued",N(M62),0)</f>
        <v/>
      </c>
      <c r="AD62" s="23">
        <f>IF(AND(N(O62)&lt;&gt;0,T62=""),1,0)+IF(AND(N(N62)&lt;&gt;0,U62=""),1,0)+IF(AND(N(L62)&lt;&gt;0,V62=""),1,0)+IF(AND(N(M62)&lt;&gt;0,W62=""),1,0)</f>
        <v/>
      </c>
    </row>
    <row r="63">
      <c r="A63" s="14" t="n"/>
      <c r="B63" s="19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21">
        <f>SUMIFS('Invoice Lines'!$I:$I,'Invoice Lines'!$A:$A,A63)</f>
        <v/>
      </c>
      <c r="L63" s="21">
        <f>IF(E63="Draft",0,K63)</f>
        <v/>
      </c>
      <c r="M63" s="21">
        <f>ROUND(L63*IFERROR(VLOOKUP(I63,'Tax Codes'!$A$5:$E$300,5,FALSE),0),2)</f>
        <v/>
      </c>
      <c r="N63" s="21">
        <f>ROUND(L63*IFERROR(VLOOKUP(J63,'Tax Codes'!$A$5:$E$300,5,FALSE),0),2)</f>
        <v/>
      </c>
      <c r="O63" s="21">
        <f>L63+M63-N63</f>
        <v/>
      </c>
      <c r="P63" s="16">
        <f>IF(F63="",INDEX('Chart of Accounts'!$A$5:$A$3000,MATCH("ar",'Chart of Accounts'!$F$5:$F$3000,0)),F63&amp;"")</f>
        <v/>
      </c>
      <c r="Q63" s="16">
        <f>IF(G63="",INDEX('Chart of Accounts'!$A$5:$A$3000,MATCH("revenue",'Chart of Accounts'!$F$5:$F$3000,0)),G63&amp;"")</f>
        <v/>
      </c>
      <c r="R63" s="16">
        <f>INDEX('Chart of Accounts'!$A$5:$A$3000,MATCH("wht_receivable",'Chart of Accounts'!$F$5:$F$3000,0))</f>
        <v/>
      </c>
      <c r="S63" s="16">
        <f>INDEX('Chart of Accounts'!$A$5:$A$3000,MATCH("vat_output",'Chart of Accounts'!$F$5:$F$3000,0))</f>
        <v/>
      </c>
      <c r="T63" s="23">
        <f>IFERROR(INDEX('Chart of Accounts'!$C$5:$C$3000,MATCH(P63&amp;"",'Chart of Accounts'!$A$5:$A$3000,0))&amp;"|"&amp;INDEX('Chart of Accounts'!$D$5:$D$3000,MATCH(P63&amp;"",'Chart of Accounts'!$A$5:$A$3000,0)),"")</f>
        <v/>
      </c>
      <c r="U63" s="23">
        <f>IFERROR(INDEX('Chart of Accounts'!$C$5:$C$3000,MATCH(R63&amp;"",'Chart of Accounts'!$A$5:$A$3000,0))&amp;"|"&amp;INDEX('Chart of Accounts'!$D$5:$D$3000,MATCH(R63&amp;"",'Chart of Accounts'!$A$5:$A$3000,0)),"")</f>
        <v/>
      </c>
      <c r="V63" s="23">
        <f>IFERROR(INDEX('Chart of Accounts'!$C$5:$C$3000,MATCH(Q63&amp;"",'Chart of Accounts'!$A$5:$A$3000,0))&amp;"|"&amp;INDEX('Chart of Accounts'!$D$5:$D$3000,MATCH(Q63&amp;"",'Chart of Accounts'!$A$5:$A$3000,0)),"")</f>
        <v/>
      </c>
      <c r="W63" s="23">
        <f>IFERROR(INDEX('Chart of Accounts'!$C$5:$C$3000,MATCH(S63&amp;"",'Chart of Accounts'!$A$5:$A$3000,0))&amp;"|"&amp;INDEX('Chart of Accounts'!$D$5:$D$3000,MATCH(S63&amp;"",'Chart of Accounts'!$A$5:$A$3000,0)),"")</f>
        <v/>
      </c>
      <c r="X63" s="23">
        <f>IF(LEFT(T63,8)="Revenue|",-N(O63),0)+IF(LEFT(U63,8)="Revenue|",-N(N63),0)+IF(LEFT(V63,8)="Revenue|",N(L63),0)+IF(LEFT(W63,8)="Revenue|",N(M63),0)</f>
        <v/>
      </c>
      <c r="Y63" s="23">
        <f>IF(LEFT(T63,5)="COGS|",N(O63),0)+IF(LEFT(U63,5)="COGS|",N(N63),0)+IF(LEFT(V63,5)="COGS|",-N(L63),0)+IF(LEFT(W63,5)="COGS|",-N(M63),0)</f>
        <v/>
      </c>
      <c r="Z63" s="23">
        <f>IF(LEFT(T63,8)="Expense|",N(O63),0)+IF(LEFT(U63,8)="Expense|",N(N63),0)+IF(LEFT(V63,8)="Expense|",-N(L63),0)+IF(LEFT(W63,8)="Expense|",-N(M63),0)</f>
        <v/>
      </c>
      <c r="AA63" s="23">
        <f>IF(ISNUMBER(MATCH(T63,{"Expense|employee","Expense|general_admin","Expense|marketing","Expense|utilities","Expense|other_operating"},0)),N(O63),0)+IF(ISNUMBER(MATCH(U63,{"Expense|employee","Expense|general_admin","Expense|marketing","Expense|utilities","Expense|other_operating"},0)),N(N63),0)+IF(ISNUMBER(MATCH(V63,{"Expense|employee","Expense|general_admin","Expense|marketing","Expense|utilities","Expense|other_operating"},0)),-N(L63),0)+IF(ISNUMBER(MATCH(W63,{"Expense|employee","Expense|general_admin","Expense|marketing","Expense|utilities","Expense|other_operating"},0)),-N(M63),0)</f>
        <v/>
      </c>
      <c r="AB63" s="23">
        <f>IF(T63="Liability|payable",-N(O63),0)+IF(U63="Liability|payable",-N(N63),0)+IF(V63="Liability|payable",N(L63),0)+IF(W63="Liability|payable",N(M63),0)</f>
        <v/>
      </c>
      <c r="AC63" s="23">
        <f>IF(T63="Liability|accrued",-N(O63),0)+IF(U63="Liability|accrued",-N(N63),0)+IF(V63="Liability|accrued",N(L63),0)+IF(W63="Liability|accrued",N(M63),0)</f>
        <v/>
      </c>
      <c r="AD63" s="23">
        <f>IF(AND(N(O63)&lt;&gt;0,T63=""),1,0)+IF(AND(N(N63)&lt;&gt;0,U63=""),1,0)+IF(AND(N(L63)&lt;&gt;0,V63=""),1,0)+IF(AND(N(M63)&lt;&gt;0,W63=""),1,0)</f>
        <v/>
      </c>
    </row>
    <row r="64">
      <c r="A64" s="14" t="n"/>
      <c r="B64" s="19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21">
        <f>SUMIFS('Invoice Lines'!$I:$I,'Invoice Lines'!$A:$A,A64)</f>
        <v/>
      </c>
      <c r="L64" s="21">
        <f>IF(E64="Draft",0,K64)</f>
        <v/>
      </c>
      <c r="M64" s="21">
        <f>ROUND(L64*IFERROR(VLOOKUP(I64,'Tax Codes'!$A$5:$E$300,5,FALSE),0),2)</f>
        <v/>
      </c>
      <c r="N64" s="21">
        <f>ROUND(L64*IFERROR(VLOOKUP(J64,'Tax Codes'!$A$5:$E$300,5,FALSE),0),2)</f>
        <v/>
      </c>
      <c r="O64" s="21">
        <f>L64+M64-N64</f>
        <v/>
      </c>
      <c r="P64" s="16">
        <f>IF(F64="",INDEX('Chart of Accounts'!$A$5:$A$3000,MATCH("ar",'Chart of Accounts'!$F$5:$F$3000,0)),F64&amp;"")</f>
        <v/>
      </c>
      <c r="Q64" s="16">
        <f>IF(G64="",INDEX('Chart of Accounts'!$A$5:$A$3000,MATCH("revenue",'Chart of Accounts'!$F$5:$F$3000,0)),G64&amp;"")</f>
        <v/>
      </c>
      <c r="R64" s="16">
        <f>INDEX('Chart of Accounts'!$A$5:$A$3000,MATCH("wht_receivable",'Chart of Accounts'!$F$5:$F$3000,0))</f>
        <v/>
      </c>
      <c r="S64" s="16">
        <f>INDEX('Chart of Accounts'!$A$5:$A$3000,MATCH("vat_output",'Chart of Accounts'!$F$5:$F$3000,0))</f>
        <v/>
      </c>
      <c r="T64" s="23">
        <f>IFERROR(INDEX('Chart of Accounts'!$C$5:$C$3000,MATCH(P64&amp;"",'Chart of Accounts'!$A$5:$A$3000,0))&amp;"|"&amp;INDEX('Chart of Accounts'!$D$5:$D$3000,MATCH(P64&amp;"",'Chart of Accounts'!$A$5:$A$3000,0)),"")</f>
        <v/>
      </c>
      <c r="U64" s="23">
        <f>IFERROR(INDEX('Chart of Accounts'!$C$5:$C$3000,MATCH(R64&amp;"",'Chart of Accounts'!$A$5:$A$3000,0))&amp;"|"&amp;INDEX('Chart of Accounts'!$D$5:$D$3000,MATCH(R64&amp;"",'Chart of Accounts'!$A$5:$A$3000,0)),"")</f>
        <v/>
      </c>
      <c r="V64" s="23">
        <f>IFERROR(INDEX('Chart of Accounts'!$C$5:$C$3000,MATCH(Q64&amp;"",'Chart of Accounts'!$A$5:$A$3000,0))&amp;"|"&amp;INDEX('Chart of Accounts'!$D$5:$D$3000,MATCH(Q64&amp;"",'Chart of Accounts'!$A$5:$A$3000,0)),"")</f>
        <v/>
      </c>
      <c r="W64" s="23">
        <f>IFERROR(INDEX('Chart of Accounts'!$C$5:$C$3000,MATCH(S64&amp;"",'Chart of Accounts'!$A$5:$A$3000,0))&amp;"|"&amp;INDEX('Chart of Accounts'!$D$5:$D$3000,MATCH(S64&amp;"",'Chart of Accounts'!$A$5:$A$3000,0)),"")</f>
        <v/>
      </c>
      <c r="X64" s="23">
        <f>IF(LEFT(T64,8)="Revenue|",-N(O64),0)+IF(LEFT(U64,8)="Revenue|",-N(N64),0)+IF(LEFT(V64,8)="Revenue|",N(L64),0)+IF(LEFT(W64,8)="Revenue|",N(M64),0)</f>
        <v/>
      </c>
      <c r="Y64" s="23">
        <f>IF(LEFT(T64,5)="COGS|",N(O64),0)+IF(LEFT(U64,5)="COGS|",N(N64),0)+IF(LEFT(V64,5)="COGS|",-N(L64),0)+IF(LEFT(W64,5)="COGS|",-N(M64),0)</f>
        <v/>
      </c>
      <c r="Z64" s="23">
        <f>IF(LEFT(T64,8)="Expense|",N(O64),0)+IF(LEFT(U64,8)="Expense|",N(N64),0)+IF(LEFT(V64,8)="Expense|",-N(L64),0)+IF(LEFT(W64,8)="Expense|",-N(M64),0)</f>
        <v/>
      </c>
      <c r="AA64" s="23">
        <f>IF(ISNUMBER(MATCH(T64,{"Expense|employee","Expense|general_admin","Expense|marketing","Expense|utilities","Expense|other_operating"},0)),N(O64),0)+IF(ISNUMBER(MATCH(U64,{"Expense|employee","Expense|general_admin","Expense|marketing","Expense|utilities","Expense|other_operating"},0)),N(N64),0)+IF(ISNUMBER(MATCH(V64,{"Expense|employee","Expense|general_admin","Expense|marketing","Expense|utilities","Expense|other_operating"},0)),-N(L64),0)+IF(ISNUMBER(MATCH(W64,{"Expense|employee","Expense|general_admin","Expense|marketing","Expense|utilities","Expense|other_operating"},0)),-N(M64),0)</f>
        <v/>
      </c>
      <c r="AB64" s="23">
        <f>IF(T64="Liability|payable",-N(O64),0)+IF(U64="Liability|payable",-N(N64),0)+IF(V64="Liability|payable",N(L64),0)+IF(W64="Liability|payable",N(M64),0)</f>
        <v/>
      </c>
      <c r="AC64" s="23">
        <f>IF(T64="Liability|accrued",-N(O64),0)+IF(U64="Liability|accrued",-N(N64),0)+IF(V64="Liability|accrued",N(L64),0)+IF(W64="Liability|accrued",N(M64),0)</f>
        <v/>
      </c>
      <c r="AD64" s="23">
        <f>IF(AND(N(O64)&lt;&gt;0,T64=""),1,0)+IF(AND(N(N64)&lt;&gt;0,U64=""),1,0)+IF(AND(N(L64)&lt;&gt;0,V64=""),1,0)+IF(AND(N(M64)&lt;&gt;0,W64=""),1,0)</f>
        <v/>
      </c>
    </row>
    <row r="65">
      <c r="A65" s="14" t="n"/>
      <c r="B65" s="19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21">
        <f>SUMIFS('Invoice Lines'!$I:$I,'Invoice Lines'!$A:$A,A65)</f>
        <v/>
      </c>
      <c r="L65" s="21">
        <f>IF(E65="Draft",0,K65)</f>
        <v/>
      </c>
      <c r="M65" s="21">
        <f>ROUND(L65*IFERROR(VLOOKUP(I65,'Tax Codes'!$A$5:$E$300,5,FALSE),0),2)</f>
        <v/>
      </c>
      <c r="N65" s="21">
        <f>ROUND(L65*IFERROR(VLOOKUP(J65,'Tax Codes'!$A$5:$E$300,5,FALSE),0),2)</f>
        <v/>
      </c>
      <c r="O65" s="21">
        <f>L65+M65-N65</f>
        <v/>
      </c>
      <c r="P65" s="16">
        <f>IF(F65="",INDEX('Chart of Accounts'!$A$5:$A$3000,MATCH("ar",'Chart of Accounts'!$F$5:$F$3000,0)),F65&amp;"")</f>
        <v/>
      </c>
      <c r="Q65" s="16">
        <f>IF(G65="",INDEX('Chart of Accounts'!$A$5:$A$3000,MATCH("revenue",'Chart of Accounts'!$F$5:$F$3000,0)),G65&amp;"")</f>
        <v/>
      </c>
      <c r="R65" s="16">
        <f>INDEX('Chart of Accounts'!$A$5:$A$3000,MATCH("wht_receivable",'Chart of Accounts'!$F$5:$F$3000,0))</f>
        <v/>
      </c>
      <c r="S65" s="16">
        <f>INDEX('Chart of Accounts'!$A$5:$A$3000,MATCH("vat_output",'Chart of Accounts'!$F$5:$F$3000,0))</f>
        <v/>
      </c>
      <c r="T65" s="23">
        <f>IFERROR(INDEX('Chart of Accounts'!$C$5:$C$3000,MATCH(P65&amp;"",'Chart of Accounts'!$A$5:$A$3000,0))&amp;"|"&amp;INDEX('Chart of Accounts'!$D$5:$D$3000,MATCH(P65&amp;"",'Chart of Accounts'!$A$5:$A$3000,0)),"")</f>
        <v/>
      </c>
      <c r="U65" s="23">
        <f>IFERROR(INDEX('Chart of Accounts'!$C$5:$C$3000,MATCH(R65&amp;"",'Chart of Accounts'!$A$5:$A$3000,0))&amp;"|"&amp;INDEX('Chart of Accounts'!$D$5:$D$3000,MATCH(R65&amp;"",'Chart of Accounts'!$A$5:$A$3000,0)),"")</f>
        <v/>
      </c>
      <c r="V65" s="23">
        <f>IFERROR(INDEX('Chart of Accounts'!$C$5:$C$3000,MATCH(Q65&amp;"",'Chart of Accounts'!$A$5:$A$3000,0))&amp;"|"&amp;INDEX('Chart of Accounts'!$D$5:$D$3000,MATCH(Q65&amp;"",'Chart of Accounts'!$A$5:$A$3000,0)),"")</f>
        <v/>
      </c>
      <c r="W65" s="23">
        <f>IFERROR(INDEX('Chart of Accounts'!$C$5:$C$3000,MATCH(S65&amp;"",'Chart of Accounts'!$A$5:$A$3000,0))&amp;"|"&amp;INDEX('Chart of Accounts'!$D$5:$D$3000,MATCH(S65&amp;"",'Chart of Accounts'!$A$5:$A$3000,0)),"")</f>
        <v/>
      </c>
      <c r="X65" s="23">
        <f>IF(LEFT(T65,8)="Revenue|",-N(O65),0)+IF(LEFT(U65,8)="Revenue|",-N(N65),0)+IF(LEFT(V65,8)="Revenue|",N(L65),0)+IF(LEFT(W65,8)="Revenue|",N(M65),0)</f>
        <v/>
      </c>
      <c r="Y65" s="23">
        <f>IF(LEFT(T65,5)="COGS|",N(O65),0)+IF(LEFT(U65,5)="COGS|",N(N65),0)+IF(LEFT(V65,5)="COGS|",-N(L65),0)+IF(LEFT(W65,5)="COGS|",-N(M65),0)</f>
        <v/>
      </c>
      <c r="Z65" s="23">
        <f>IF(LEFT(T65,8)="Expense|",N(O65),0)+IF(LEFT(U65,8)="Expense|",N(N65),0)+IF(LEFT(V65,8)="Expense|",-N(L65),0)+IF(LEFT(W65,8)="Expense|",-N(M65),0)</f>
        <v/>
      </c>
      <c r="AA65" s="23">
        <f>IF(ISNUMBER(MATCH(T65,{"Expense|employee","Expense|general_admin","Expense|marketing","Expense|utilities","Expense|other_operating"},0)),N(O65),0)+IF(ISNUMBER(MATCH(U65,{"Expense|employee","Expense|general_admin","Expense|marketing","Expense|utilities","Expense|other_operating"},0)),N(N65),0)+IF(ISNUMBER(MATCH(V65,{"Expense|employee","Expense|general_admin","Expense|marketing","Expense|utilities","Expense|other_operating"},0)),-N(L65),0)+IF(ISNUMBER(MATCH(W65,{"Expense|employee","Expense|general_admin","Expense|marketing","Expense|utilities","Expense|other_operating"},0)),-N(M65),0)</f>
        <v/>
      </c>
      <c r="AB65" s="23">
        <f>IF(T65="Liability|payable",-N(O65),0)+IF(U65="Liability|payable",-N(N65),0)+IF(V65="Liability|payable",N(L65),0)+IF(W65="Liability|payable",N(M65),0)</f>
        <v/>
      </c>
      <c r="AC65" s="23">
        <f>IF(T65="Liability|accrued",-N(O65),0)+IF(U65="Liability|accrued",-N(N65),0)+IF(V65="Liability|accrued",N(L65),0)+IF(W65="Liability|accrued",N(M65),0)</f>
        <v/>
      </c>
      <c r="AD65" s="23">
        <f>IF(AND(N(O65)&lt;&gt;0,T65=""),1,0)+IF(AND(N(N65)&lt;&gt;0,U65=""),1,0)+IF(AND(N(L65)&lt;&gt;0,V65=""),1,0)+IF(AND(N(M65)&lt;&gt;0,W65=""),1,0)</f>
        <v/>
      </c>
    </row>
    <row r="66">
      <c r="A66" s="14" t="n"/>
      <c r="B66" s="19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21">
        <f>SUMIFS('Invoice Lines'!$I:$I,'Invoice Lines'!$A:$A,A66)</f>
        <v/>
      </c>
      <c r="L66" s="21">
        <f>IF(E66="Draft",0,K66)</f>
        <v/>
      </c>
      <c r="M66" s="21">
        <f>ROUND(L66*IFERROR(VLOOKUP(I66,'Tax Codes'!$A$5:$E$300,5,FALSE),0),2)</f>
        <v/>
      </c>
      <c r="N66" s="21">
        <f>ROUND(L66*IFERROR(VLOOKUP(J66,'Tax Codes'!$A$5:$E$300,5,FALSE),0),2)</f>
        <v/>
      </c>
      <c r="O66" s="21">
        <f>L66+M66-N66</f>
        <v/>
      </c>
      <c r="P66" s="16">
        <f>IF(F66="",INDEX('Chart of Accounts'!$A$5:$A$3000,MATCH("ar",'Chart of Accounts'!$F$5:$F$3000,0)),F66&amp;"")</f>
        <v/>
      </c>
      <c r="Q66" s="16">
        <f>IF(G66="",INDEX('Chart of Accounts'!$A$5:$A$3000,MATCH("revenue",'Chart of Accounts'!$F$5:$F$3000,0)),G66&amp;"")</f>
        <v/>
      </c>
      <c r="R66" s="16">
        <f>INDEX('Chart of Accounts'!$A$5:$A$3000,MATCH("wht_receivable",'Chart of Accounts'!$F$5:$F$3000,0))</f>
        <v/>
      </c>
      <c r="S66" s="16">
        <f>INDEX('Chart of Accounts'!$A$5:$A$3000,MATCH("vat_output",'Chart of Accounts'!$F$5:$F$3000,0))</f>
        <v/>
      </c>
      <c r="T66" s="23">
        <f>IFERROR(INDEX('Chart of Accounts'!$C$5:$C$3000,MATCH(P66&amp;"",'Chart of Accounts'!$A$5:$A$3000,0))&amp;"|"&amp;INDEX('Chart of Accounts'!$D$5:$D$3000,MATCH(P66&amp;"",'Chart of Accounts'!$A$5:$A$3000,0)),"")</f>
        <v/>
      </c>
      <c r="U66" s="23">
        <f>IFERROR(INDEX('Chart of Accounts'!$C$5:$C$3000,MATCH(R66&amp;"",'Chart of Accounts'!$A$5:$A$3000,0))&amp;"|"&amp;INDEX('Chart of Accounts'!$D$5:$D$3000,MATCH(R66&amp;"",'Chart of Accounts'!$A$5:$A$3000,0)),"")</f>
        <v/>
      </c>
      <c r="V66" s="23">
        <f>IFERROR(INDEX('Chart of Accounts'!$C$5:$C$3000,MATCH(Q66&amp;"",'Chart of Accounts'!$A$5:$A$3000,0))&amp;"|"&amp;INDEX('Chart of Accounts'!$D$5:$D$3000,MATCH(Q66&amp;"",'Chart of Accounts'!$A$5:$A$3000,0)),"")</f>
        <v/>
      </c>
      <c r="W66" s="23">
        <f>IFERROR(INDEX('Chart of Accounts'!$C$5:$C$3000,MATCH(S66&amp;"",'Chart of Accounts'!$A$5:$A$3000,0))&amp;"|"&amp;INDEX('Chart of Accounts'!$D$5:$D$3000,MATCH(S66&amp;"",'Chart of Accounts'!$A$5:$A$3000,0)),"")</f>
        <v/>
      </c>
      <c r="X66" s="23">
        <f>IF(LEFT(T66,8)="Revenue|",-N(O66),0)+IF(LEFT(U66,8)="Revenue|",-N(N66),0)+IF(LEFT(V66,8)="Revenue|",N(L66),0)+IF(LEFT(W66,8)="Revenue|",N(M66),0)</f>
        <v/>
      </c>
      <c r="Y66" s="23">
        <f>IF(LEFT(T66,5)="COGS|",N(O66),0)+IF(LEFT(U66,5)="COGS|",N(N66),0)+IF(LEFT(V66,5)="COGS|",-N(L66),0)+IF(LEFT(W66,5)="COGS|",-N(M66),0)</f>
        <v/>
      </c>
      <c r="Z66" s="23">
        <f>IF(LEFT(T66,8)="Expense|",N(O66),0)+IF(LEFT(U66,8)="Expense|",N(N66),0)+IF(LEFT(V66,8)="Expense|",-N(L66),0)+IF(LEFT(W66,8)="Expense|",-N(M66),0)</f>
        <v/>
      </c>
      <c r="AA66" s="23">
        <f>IF(ISNUMBER(MATCH(T66,{"Expense|employee","Expense|general_admin","Expense|marketing","Expense|utilities","Expense|other_operating"},0)),N(O66),0)+IF(ISNUMBER(MATCH(U66,{"Expense|employee","Expense|general_admin","Expense|marketing","Expense|utilities","Expense|other_operating"},0)),N(N66),0)+IF(ISNUMBER(MATCH(V66,{"Expense|employee","Expense|general_admin","Expense|marketing","Expense|utilities","Expense|other_operating"},0)),-N(L66),0)+IF(ISNUMBER(MATCH(W66,{"Expense|employee","Expense|general_admin","Expense|marketing","Expense|utilities","Expense|other_operating"},0)),-N(M66),0)</f>
        <v/>
      </c>
      <c r="AB66" s="23">
        <f>IF(T66="Liability|payable",-N(O66),0)+IF(U66="Liability|payable",-N(N66),0)+IF(V66="Liability|payable",N(L66),0)+IF(W66="Liability|payable",N(M66),0)</f>
        <v/>
      </c>
      <c r="AC66" s="23">
        <f>IF(T66="Liability|accrued",-N(O66),0)+IF(U66="Liability|accrued",-N(N66),0)+IF(V66="Liability|accrued",N(L66),0)+IF(W66="Liability|accrued",N(M66),0)</f>
        <v/>
      </c>
      <c r="AD66" s="23">
        <f>IF(AND(N(O66)&lt;&gt;0,T66=""),1,0)+IF(AND(N(N66)&lt;&gt;0,U66=""),1,0)+IF(AND(N(L66)&lt;&gt;0,V66=""),1,0)+IF(AND(N(M66)&lt;&gt;0,W66=""),1,0)</f>
        <v/>
      </c>
    </row>
    <row r="67">
      <c r="A67" s="14" t="n"/>
      <c r="B67" s="19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21">
        <f>SUMIFS('Invoice Lines'!$I:$I,'Invoice Lines'!$A:$A,A67)</f>
        <v/>
      </c>
      <c r="L67" s="21">
        <f>IF(E67="Draft",0,K67)</f>
        <v/>
      </c>
      <c r="M67" s="21">
        <f>ROUND(L67*IFERROR(VLOOKUP(I67,'Tax Codes'!$A$5:$E$300,5,FALSE),0),2)</f>
        <v/>
      </c>
      <c r="N67" s="21">
        <f>ROUND(L67*IFERROR(VLOOKUP(J67,'Tax Codes'!$A$5:$E$300,5,FALSE),0),2)</f>
        <v/>
      </c>
      <c r="O67" s="21">
        <f>L67+M67-N67</f>
        <v/>
      </c>
      <c r="P67" s="16">
        <f>IF(F67="",INDEX('Chart of Accounts'!$A$5:$A$3000,MATCH("ar",'Chart of Accounts'!$F$5:$F$3000,0)),F67&amp;"")</f>
        <v/>
      </c>
      <c r="Q67" s="16">
        <f>IF(G67="",INDEX('Chart of Accounts'!$A$5:$A$3000,MATCH("revenue",'Chart of Accounts'!$F$5:$F$3000,0)),G67&amp;"")</f>
        <v/>
      </c>
      <c r="R67" s="16">
        <f>INDEX('Chart of Accounts'!$A$5:$A$3000,MATCH("wht_receivable",'Chart of Accounts'!$F$5:$F$3000,0))</f>
        <v/>
      </c>
      <c r="S67" s="16">
        <f>INDEX('Chart of Accounts'!$A$5:$A$3000,MATCH("vat_output",'Chart of Accounts'!$F$5:$F$3000,0))</f>
        <v/>
      </c>
      <c r="T67" s="23">
        <f>IFERROR(INDEX('Chart of Accounts'!$C$5:$C$3000,MATCH(P67&amp;"",'Chart of Accounts'!$A$5:$A$3000,0))&amp;"|"&amp;INDEX('Chart of Accounts'!$D$5:$D$3000,MATCH(P67&amp;"",'Chart of Accounts'!$A$5:$A$3000,0)),"")</f>
        <v/>
      </c>
      <c r="U67" s="23">
        <f>IFERROR(INDEX('Chart of Accounts'!$C$5:$C$3000,MATCH(R67&amp;"",'Chart of Accounts'!$A$5:$A$3000,0))&amp;"|"&amp;INDEX('Chart of Accounts'!$D$5:$D$3000,MATCH(R67&amp;"",'Chart of Accounts'!$A$5:$A$3000,0)),"")</f>
        <v/>
      </c>
      <c r="V67" s="23">
        <f>IFERROR(INDEX('Chart of Accounts'!$C$5:$C$3000,MATCH(Q67&amp;"",'Chart of Accounts'!$A$5:$A$3000,0))&amp;"|"&amp;INDEX('Chart of Accounts'!$D$5:$D$3000,MATCH(Q67&amp;"",'Chart of Accounts'!$A$5:$A$3000,0)),"")</f>
        <v/>
      </c>
      <c r="W67" s="23">
        <f>IFERROR(INDEX('Chart of Accounts'!$C$5:$C$3000,MATCH(S67&amp;"",'Chart of Accounts'!$A$5:$A$3000,0))&amp;"|"&amp;INDEX('Chart of Accounts'!$D$5:$D$3000,MATCH(S67&amp;"",'Chart of Accounts'!$A$5:$A$3000,0)),"")</f>
        <v/>
      </c>
      <c r="X67" s="23">
        <f>IF(LEFT(T67,8)="Revenue|",-N(O67),0)+IF(LEFT(U67,8)="Revenue|",-N(N67),0)+IF(LEFT(V67,8)="Revenue|",N(L67),0)+IF(LEFT(W67,8)="Revenue|",N(M67),0)</f>
        <v/>
      </c>
      <c r="Y67" s="23">
        <f>IF(LEFT(T67,5)="COGS|",N(O67),0)+IF(LEFT(U67,5)="COGS|",N(N67),0)+IF(LEFT(V67,5)="COGS|",-N(L67),0)+IF(LEFT(W67,5)="COGS|",-N(M67),0)</f>
        <v/>
      </c>
      <c r="Z67" s="23">
        <f>IF(LEFT(T67,8)="Expense|",N(O67),0)+IF(LEFT(U67,8)="Expense|",N(N67),0)+IF(LEFT(V67,8)="Expense|",-N(L67),0)+IF(LEFT(W67,8)="Expense|",-N(M67),0)</f>
        <v/>
      </c>
      <c r="AA67" s="23">
        <f>IF(ISNUMBER(MATCH(T67,{"Expense|employee","Expense|general_admin","Expense|marketing","Expense|utilities","Expense|other_operating"},0)),N(O67),0)+IF(ISNUMBER(MATCH(U67,{"Expense|employee","Expense|general_admin","Expense|marketing","Expense|utilities","Expense|other_operating"},0)),N(N67),0)+IF(ISNUMBER(MATCH(V67,{"Expense|employee","Expense|general_admin","Expense|marketing","Expense|utilities","Expense|other_operating"},0)),-N(L67),0)+IF(ISNUMBER(MATCH(W67,{"Expense|employee","Expense|general_admin","Expense|marketing","Expense|utilities","Expense|other_operating"},0)),-N(M67),0)</f>
        <v/>
      </c>
      <c r="AB67" s="23">
        <f>IF(T67="Liability|payable",-N(O67),0)+IF(U67="Liability|payable",-N(N67),0)+IF(V67="Liability|payable",N(L67),0)+IF(W67="Liability|payable",N(M67),0)</f>
        <v/>
      </c>
      <c r="AC67" s="23">
        <f>IF(T67="Liability|accrued",-N(O67),0)+IF(U67="Liability|accrued",-N(N67),0)+IF(V67="Liability|accrued",N(L67),0)+IF(W67="Liability|accrued",N(M67),0)</f>
        <v/>
      </c>
      <c r="AD67" s="23">
        <f>IF(AND(N(O67)&lt;&gt;0,T67=""),1,0)+IF(AND(N(N67)&lt;&gt;0,U67=""),1,0)+IF(AND(N(L67)&lt;&gt;0,V67=""),1,0)+IF(AND(N(M67)&lt;&gt;0,W67=""),1,0)</f>
        <v/>
      </c>
    </row>
    <row r="68">
      <c r="A68" s="14" t="n"/>
      <c r="B68" s="19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21">
        <f>SUMIFS('Invoice Lines'!$I:$I,'Invoice Lines'!$A:$A,A68)</f>
        <v/>
      </c>
      <c r="L68" s="21">
        <f>IF(E68="Draft",0,K68)</f>
        <v/>
      </c>
      <c r="M68" s="21">
        <f>ROUND(L68*IFERROR(VLOOKUP(I68,'Tax Codes'!$A$5:$E$300,5,FALSE),0),2)</f>
        <v/>
      </c>
      <c r="N68" s="21">
        <f>ROUND(L68*IFERROR(VLOOKUP(J68,'Tax Codes'!$A$5:$E$300,5,FALSE),0),2)</f>
        <v/>
      </c>
      <c r="O68" s="21">
        <f>L68+M68-N68</f>
        <v/>
      </c>
      <c r="P68" s="16">
        <f>IF(F68="",INDEX('Chart of Accounts'!$A$5:$A$3000,MATCH("ar",'Chart of Accounts'!$F$5:$F$3000,0)),F68&amp;"")</f>
        <v/>
      </c>
      <c r="Q68" s="16">
        <f>IF(G68="",INDEX('Chart of Accounts'!$A$5:$A$3000,MATCH("revenue",'Chart of Accounts'!$F$5:$F$3000,0)),G68&amp;"")</f>
        <v/>
      </c>
      <c r="R68" s="16">
        <f>INDEX('Chart of Accounts'!$A$5:$A$3000,MATCH("wht_receivable",'Chart of Accounts'!$F$5:$F$3000,0))</f>
        <v/>
      </c>
      <c r="S68" s="16">
        <f>INDEX('Chart of Accounts'!$A$5:$A$3000,MATCH("vat_output",'Chart of Accounts'!$F$5:$F$3000,0))</f>
        <v/>
      </c>
      <c r="T68" s="23">
        <f>IFERROR(INDEX('Chart of Accounts'!$C$5:$C$3000,MATCH(P68&amp;"",'Chart of Accounts'!$A$5:$A$3000,0))&amp;"|"&amp;INDEX('Chart of Accounts'!$D$5:$D$3000,MATCH(P68&amp;"",'Chart of Accounts'!$A$5:$A$3000,0)),"")</f>
        <v/>
      </c>
      <c r="U68" s="23">
        <f>IFERROR(INDEX('Chart of Accounts'!$C$5:$C$3000,MATCH(R68&amp;"",'Chart of Accounts'!$A$5:$A$3000,0))&amp;"|"&amp;INDEX('Chart of Accounts'!$D$5:$D$3000,MATCH(R68&amp;"",'Chart of Accounts'!$A$5:$A$3000,0)),"")</f>
        <v/>
      </c>
      <c r="V68" s="23">
        <f>IFERROR(INDEX('Chart of Accounts'!$C$5:$C$3000,MATCH(Q68&amp;"",'Chart of Accounts'!$A$5:$A$3000,0))&amp;"|"&amp;INDEX('Chart of Accounts'!$D$5:$D$3000,MATCH(Q68&amp;"",'Chart of Accounts'!$A$5:$A$3000,0)),"")</f>
        <v/>
      </c>
      <c r="W68" s="23">
        <f>IFERROR(INDEX('Chart of Accounts'!$C$5:$C$3000,MATCH(S68&amp;"",'Chart of Accounts'!$A$5:$A$3000,0))&amp;"|"&amp;INDEX('Chart of Accounts'!$D$5:$D$3000,MATCH(S68&amp;"",'Chart of Accounts'!$A$5:$A$3000,0)),"")</f>
        <v/>
      </c>
      <c r="X68" s="23">
        <f>IF(LEFT(T68,8)="Revenue|",-N(O68),0)+IF(LEFT(U68,8)="Revenue|",-N(N68),0)+IF(LEFT(V68,8)="Revenue|",N(L68),0)+IF(LEFT(W68,8)="Revenue|",N(M68),0)</f>
        <v/>
      </c>
      <c r="Y68" s="23">
        <f>IF(LEFT(T68,5)="COGS|",N(O68),0)+IF(LEFT(U68,5)="COGS|",N(N68),0)+IF(LEFT(V68,5)="COGS|",-N(L68),0)+IF(LEFT(W68,5)="COGS|",-N(M68),0)</f>
        <v/>
      </c>
      <c r="Z68" s="23">
        <f>IF(LEFT(T68,8)="Expense|",N(O68),0)+IF(LEFT(U68,8)="Expense|",N(N68),0)+IF(LEFT(V68,8)="Expense|",-N(L68),0)+IF(LEFT(W68,8)="Expense|",-N(M68),0)</f>
        <v/>
      </c>
      <c r="AA68" s="23">
        <f>IF(ISNUMBER(MATCH(T68,{"Expense|employee","Expense|general_admin","Expense|marketing","Expense|utilities","Expense|other_operating"},0)),N(O68),0)+IF(ISNUMBER(MATCH(U68,{"Expense|employee","Expense|general_admin","Expense|marketing","Expense|utilities","Expense|other_operating"},0)),N(N68),0)+IF(ISNUMBER(MATCH(V68,{"Expense|employee","Expense|general_admin","Expense|marketing","Expense|utilities","Expense|other_operating"},0)),-N(L68),0)+IF(ISNUMBER(MATCH(W68,{"Expense|employee","Expense|general_admin","Expense|marketing","Expense|utilities","Expense|other_operating"},0)),-N(M68),0)</f>
        <v/>
      </c>
      <c r="AB68" s="23">
        <f>IF(T68="Liability|payable",-N(O68),0)+IF(U68="Liability|payable",-N(N68),0)+IF(V68="Liability|payable",N(L68),0)+IF(W68="Liability|payable",N(M68),0)</f>
        <v/>
      </c>
      <c r="AC68" s="23">
        <f>IF(T68="Liability|accrued",-N(O68),0)+IF(U68="Liability|accrued",-N(N68),0)+IF(V68="Liability|accrued",N(L68),0)+IF(W68="Liability|accrued",N(M68),0)</f>
        <v/>
      </c>
      <c r="AD68" s="23">
        <f>IF(AND(N(O68)&lt;&gt;0,T68=""),1,0)+IF(AND(N(N68)&lt;&gt;0,U68=""),1,0)+IF(AND(N(L68)&lt;&gt;0,V68=""),1,0)+IF(AND(N(M68)&lt;&gt;0,W68=""),1,0)</f>
        <v/>
      </c>
    </row>
    <row r="69">
      <c r="A69" s="14" t="n"/>
      <c r="B69" s="19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21">
        <f>SUMIFS('Invoice Lines'!$I:$I,'Invoice Lines'!$A:$A,A69)</f>
        <v/>
      </c>
      <c r="L69" s="21">
        <f>IF(E69="Draft",0,K69)</f>
        <v/>
      </c>
      <c r="M69" s="21">
        <f>ROUND(L69*IFERROR(VLOOKUP(I69,'Tax Codes'!$A$5:$E$300,5,FALSE),0),2)</f>
        <v/>
      </c>
      <c r="N69" s="21">
        <f>ROUND(L69*IFERROR(VLOOKUP(J69,'Tax Codes'!$A$5:$E$300,5,FALSE),0),2)</f>
        <v/>
      </c>
      <c r="O69" s="21">
        <f>L69+M69-N69</f>
        <v/>
      </c>
      <c r="P69" s="16">
        <f>IF(F69="",INDEX('Chart of Accounts'!$A$5:$A$3000,MATCH("ar",'Chart of Accounts'!$F$5:$F$3000,0)),F69&amp;"")</f>
        <v/>
      </c>
      <c r="Q69" s="16">
        <f>IF(G69="",INDEX('Chart of Accounts'!$A$5:$A$3000,MATCH("revenue",'Chart of Accounts'!$F$5:$F$3000,0)),G69&amp;"")</f>
        <v/>
      </c>
      <c r="R69" s="16">
        <f>INDEX('Chart of Accounts'!$A$5:$A$3000,MATCH("wht_receivable",'Chart of Accounts'!$F$5:$F$3000,0))</f>
        <v/>
      </c>
      <c r="S69" s="16">
        <f>INDEX('Chart of Accounts'!$A$5:$A$3000,MATCH("vat_output",'Chart of Accounts'!$F$5:$F$3000,0))</f>
        <v/>
      </c>
      <c r="T69" s="23">
        <f>IFERROR(INDEX('Chart of Accounts'!$C$5:$C$3000,MATCH(P69&amp;"",'Chart of Accounts'!$A$5:$A$3000,0))&amp;"|"&amp;INDEX('Chart of Accounts'!$D$5:$D$3000,MATCH(P69&amp;"",'Chart of Accounts'!$A$5:$A$3000,0)),"")</f>
        <v/>
      </c>
      <c r="U69" s="23">
        <f>IFERROR(INDEX('Chart of Accounts'!$C$5:$C$3000,MATCH(R69&amp;"",'Chart of Accounts'!$A$5:$A$3000,0))&amp;"|"&amp;INDEX('Chart of Accounts'!$D$5:$D$3000,MATCH(R69&amp;"",'Chart of Accounts'!$A$5:$A$3000,0)),"")</f>
        <v/>
      </c>
      <c r="V69" s="23">
        <f>IFERROR(INDEX('Chart of Accounts'!$C$5:$C$3000,MATCH(Q69&amp;"",'Chart of Accounts'!$A$5:$A$3000,0))&amp;"|"&amp;INDEX('Chart of Accounts'!$D$5:$D$3000,MATCH(Q69&amp;"",'Chart of Accounts'!$A$5:$A$3000,0)),"")</f>
        <v/>
      </c>
      <c r="W69" s="23">
        <f>IFERROR(INDEX('Chart of Accounts'!$C$5:$C$3000,MATCH(S69&amp;"",'Chart of Accounts'!$A$5:$A$3000,0))&amp;"|"&amp;INDEX('Chart of Accounts'!$D$5:$D$3000,MATCH(S69&amp;"",'Chart of Accounts'!$A$5:$A$3000,0)),"")</f>
        <v/>
      </c>
      <c r="X69" s="23">
        <f>IF(LEFT(T69,8)="Revenue|",-N(O69),0)+IF(LEFT(U69,8)="Revenue|",-N(N69),0)+IF(LEFT(V69,8)="Revenue|",N(L69),0)+IF(LEFT(W69,8)="Revenue|",N(M69),0)</f>
        <v/>
      </c>
      <c r="Y69" s="23">
        <f>IF(LEFT(T69,5)="COGS|",N(O69),0)+IF(LEFT(U69,5)="COGS|",N(N69),0)+IF(LEFT(V69,5)="COGS|",-N(L69),0)+IF(LEFT(W69,5)="COGS|",-N(M69),0)</f>
        <v/>
      </c>
      <c r="Z69" s="23">
        <f>IF(LEFT(T69,8)="Expense|",N(O69),0)+IF(LEFT(U69,8)="Expense|",N(N69),0)+IF(LEFT(V69,8)="Expense|",-N(L69),0)+IF(LEFT(W69,8)="Expense|",-N(M69),0)</f>
        <v/>
      </c>
      <c r="AA69" s="23">
        <f>IF(ISNUMBER(MATCH(T69,{"Expense|employee","Expense|general_admin","Expense|marketing","Expense|utilities","Expense|other_operating"},0)),N(O69),0)+IF(ISNUMBER(MATCH(U69,{"Expense|employee","Expense|general_admin","Expense|marketing","Expense|utilities","Expense|other_operating"},0)),N(N69),0)+IF(ISNUMBER(MATCH(V69,{"Expense|employee","Expense|general_admin","Expense|marketing","Expense|utilities","Expense|other_operating"},0)),-N(L69),0)+IF(ISNUMBER(MATCH(W69,{"Expense|employee","Expense|general_admin","Expense|marketing","Expense|utilities","Expense|other_operating"},0)),-N(M69),0)</f>
        <v/>
      </c>
      <c r="AB69" s="23">
        <f>IF(T69="Liability|payable",-N(O69),0)+IF(U69="Liability|payable",-N(N69),0)+IF(V69="Liability|payable",N(L69),0)+IF(W69="Liability|payable",N(M69),0)</f>
        <v/>
      </c>
      <c r="AC69" s="23">
        <f>IF(T69="Liability|accrued",-N(O69),0)+IF(U69="Liability|accrued",-N(N69),0)+IF(V69="Liability|accrued",N(L69),0)+IF(W69="Liability|accrued",N(M69),0)</f>
        <v/>
      </c>
      <c r="AD69" s="23">
        <f>IF(AND(N(O69)&lt;&gt;0,T69=""),1,0)+IF(AND(N(N69)&lt;&gt;0,U69=""),1,0)+IF(AND(N(L69)&lt;&gt;0,V69=""),1,0)+IF(AND(N(M69)&lt;&gt;0,W69=""),1,0)</f>
        <v/>
      </c>
    </row>
    <row r="70">
      <c r="A70" s="14" t="n"/>
      <c r="B70" s="1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21">
        <f>SUMIFS('Invoice Lines'!$I:$I,'Invoice Lines'!$A:$A,A70)</f>
        <v/>
      </c>
      <c r="L70" s="21">
        <f>IF(E70="Draft",0,K70)</f>
        <v/>
      </c>
      <c r="M70" s="21">
        <f>ROUND(L70*IFERROR(VLOOKUP(I70,'Tax Codes'!$A$5:$E$300,5,FALSE),0),2)</f>
        <v/>
      </c>
      <c r="N70" s="21">
        <f>ROUND(L70*IFERROR(VLOOKUP(J70,'Tax Codes'!$A$5:$E$300,5,FALSE),0),2)</f>
        <v/>
      </c>
      <c r="O70" s="21">
        <f>L70+M70-N70</f>
        <v/>
      </c>
      <c r="P70" s="16">
        <f>IF(F70="",INDEX('Chart of Accounts'!$A$5:$A$3000,MATCH("ar",'Chart of Accounts'!$F$5:$F$3000,0)),F70&amp;"")</f>
        <v/>
      </c>
      <c r="Q70" s="16">
        <f>IF(G70="",INDEX('Chart of Accounts'!$A$5:$A$3000,MATCH("revenue",'Chart of Accounts'!$F$5:$F$3000,0)),G70&amp;"")</f>
        <v/>
      </c>
      <c r="R70" s="16">
        <f>INDEX('Chart of Accounts'!$A$5:$A$3000,MATCH("wht_receivable",'Chart of Accounts'!$F$5:$F$3000,0))</f>
        <v/>
      </c>
      <c r="S70" s="16">
        <f>INDEX('Chart of Accounts'!$A$5:$A$3000,MATCH("vat_output",'Chart of Accounts'!$F$5:$F$3000,0))</f>
        <v/>
      </c>
      <c r="T70" s="23">
        <f>IFERROR(INDEX('Chart of Accounts'!$C$5:$C$3000,MATCH(P70&amp;"",'Chart of Accounts'!$A$5:$A$3000,0))&amp;"|"&amp;INDEX('Chart of Accounts'!$D$5:$D$3000,MATCH(P70&amp;"",'Chart of Accounts'!$A$5:$A$3000,0)),"")</f>
        <v/>
      </c>
      <c r="U70" s="23">
        <f>IFERROR(INDEX('Chart of Accounts'!$C$5:$C$3000,MATCH(R70&amp;"",'Chart of Accounts'!$A$5:$A$3000,0))&amp;"|"&amp;INDEX('Chart of Accounts'!$D$5:$D$3000,MATCH(R70&amp;"",'Chart of Accounts'!$A$5:$A$3000,0)),"")</f>
        <v/>
      </c>
      <c r="V70" s="23">
        <f>IFERROR(INDEX('Chart of Accounts'!$C$5:$C$3000,MATCH(Q70&amp;"",'Chart of Accounts'!$A$5:$A$3000,0))&amp;"|"&amp;INDEX('Chart of Accounts'!$D$5:$D$3000,MATCH(Q70&amp;"",'Chart of Accounts'!$A$5:$A$3000,0)),"")</f>
        <v/>
      </c>
      <c r="W70" s="23">
        <f>IFERROR(INDEX('Chart of Accounts'!$C$5:$C$3000,MATCH(S70&amp;"",'Chart of Accounts'!$A$5:$A$3000,0))&amp;"|"&amp;INDEX('Chart of Accounts'!$D$5:$D$3000,MATCH(S70&amp;"",'Chart of Accounts'!$A$5:$A$3000,0)),"")</f>
        <v/>
      </c>
      <c r="X70" s="23">
        <f>IF(LEFT(T70,8)="Revenue|",-N(O70),0)+IF(LEFT(U70,8)="Revenue|",-N(N70),0)+IF(LEFT(V70,8)="Revenue|",N(L70),0)+IF(LEFT(W70,8)="Revenue|",N(M70),0)</f>
        <v/>
      </c>
      <c r="Y70" s="23">
        <f>IF(LEFT(T70,5)="COGS|",N(O70),0)+IF(LEFT(U70,5)="COGS|",N(N70),0)+IF(LEFT(V70,5)="COGS|",-N(L70),0)+IF(LEFT(W70,5)="COGS|",-N(M70),0)</f>
        <v/>
      </c>
      <c r="Z70" s="23">
        <f>IF(LEFT(T70,8)="Expense|",N(O70),0)+IF(LEFT(U70,8)="Expense|",N(N70),0)+IF(LEFT(V70,8)="Expense|",-N(L70),0)+IF(LEFT(W70,8)="Expense|",-N(M70),0)</f>
        <v/>
      </c>
      <c r="AA70" s="23">
        <f>IF(ISNUMBER(MATCH(T70,{"Expense|employee","Expense|general_admin","Expense|marketing","Expense|utilities","Expense|other_operating"},0)),N(O70),0)+IF(ISNUMBER(MATCH(U70,{"Expense|employee","Expense|general_admin","Expense|marketing","Expense|utilities","Expense|other_operating"},0)),N(N70),0)+IF(ISNUMBER(MATCH(V70,{"Expense|employee","Expense|general_admin","Expense|marketing","Expense|utilities","Expense|other_operating"},0)),-N(L70),0)+IF(ISNUMBER(MATCH(W70,{"Expense|employee","Expense|general_admin","Expense|marketing","Expense|utilities","Expense|other_operating"},0)),-N(M70),0)</f>
        <v/>
      </c>
      <c r="AB70" s="23">
        <f>IF(T70="Liability|payable",-N(O70),0)+IF(U70="Liability|payable",-N(N70),0)+IF(V70="Liability|payable",N(L70),0)+IF(W70="Liability|payable",N(M70),0)</f>
        <v/>
      </c>
      <c r="AC70" s="23">
        <f>IF(T70="Liability|accrued",-N(O70),0)+IF(U70="Liability|accrued",-N(N70),0)+IF(V70="Liability|accrued",N(L70),0)+IF(W70="Liability|accrued",N(M70),0)</f>
        <v/>
      </c>
      <c r="AD70" s="23">
        <f>IF(AND(N(O70)&lt;&gt;0,T70=""),1,0)+IF(AND(N(N70)&lt;&gt;0,U70=""),1,0)+IF(AND(N(L70)&lt;&gt;0,V70=""),1,0)+IF(AND(N(M70)&lt;&gt;0,W70=""),1,0)</f>
        <v/>
      </c>
    </row>
    <row r="71">
      <c r="A71" s="14" t="n"/>
      <c r="B71" s="19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21">
        <f>SUMIFS('Invoice Lines'!$I:$I,'Invoice Lines'!$A:$A,A71)</f>
        <v/>
      </c>
      <c r="L71" s="21">
        <f>IF(E71="Draft",0,K71)</f>
        <v/>
      </c>
      <c r="M71" s="21">
        <f>ROUND(L71*IFERROR(VLOOKUP(I71,'Tax Codes'!$A$5:$E$300,5,FALSE),0),2)</f>
        <v/>
      </c>
      <c r="N71" s="21">
        <f>ROUND(L71*IFERROR(VLOOKUP(J71,'Tax Codes'!$A$5:$E$300,5,FALSE),0),2)</f>
        <v/>
      </c>
      <c r="O71" s="21">
        <f>L71+M71-N71</f>
        <v/>
      </c>
      <c r="P71" s="16">
        <f>IF(F71="",INDEX('Chart of Accounts'!$A$5:$A$3000,MATCH("ar",'Chart of Accounts'!$F$5:$F$3000,0)),F71&amp;"")</f>
        <v/>
      </c>
      <c r="Q71" s="16">
        <f>IF(G71="",INDEX('Chart of Accounts'!$A$5:$A$3000,MATCH("revenue",'Chart of Accounts'!$F$5:$F$3000,0)),G71&amp;"")</f>
        <v/>
      </c>
      <c r="R71" s="16">
        <f>INDEX('Chart of Accounts'!$A$5:$A$3000,MATCH("wht_receivable",'Chart of Accounts'!$F$5:$F$3000,0))</f>
        <v/>
      </c>
      <c r="S71" s="16">
        <f>INDEX('Chart of Accounts'!$A$5:$A$3000,MATCH("vat_output",'Chart of Accounts'!$F$5:$F$3000,0))</f>
        <v/>
      </c>
      <c r="T71" s="23">
        <f>IFERROR(INDEX('Chart of Accounts'!$C$5:$C$3000,MATCH(P71&amp;"",'Chart of Accounts'!$A$5:$A$3000,0))&amp;"|"&amp;INDEX('Chart of Accounts'!$D$5:$D$3000,MATCH(P71&amp;"",'Chart of Accounts'!$A$5:$A$3000,0)),"")</f>
        <v/>
      </c>
      <c r="U71" s="23">
        <f>IFERROR(INDEX('Chart of Accounts'!$C$5:$C$3000,MATCH(R71&amp;"",'Chart of Accounts'!$A$5:$A$3000,0))&amp;"|"&amp;INDEX('Chart of Accounts'!$D$5:$D$3000,MATCH(R71&amp;"",'Chart of Accounts'!$A$5:$A$3000,0)),"")</f>
        <v/>
      </c>
      <c r="V71" s="23">
        <f>IFERROR(INDEX('Chart of Accounts'!$C$5:$C$3000,MATCH(Q71&amp;"",'Chart of Accounts'!$A$5:$A$3000,0))&amp;"|"&amp;INDEX('Chart of Accounts'!$D$5:$D$3000,MATCH(Q71&amp;"",'Chart of Accounts'!$A$5:$A$3000,0)),"")</f>
        <v/>
      </c>
      <c r="W71" s="23">
        <f>IFERROR(INDEX('Chart of Accounts'!$C$5:$C$3000,MATCH(S71&amp;"",'Chart of Accounts'!$A$5:$A$3000,0))&amp;"|"&amp;INDEX('Chart of Accounts'!$D$5:$D$3000,MATCH(S71&amp;"",'Chart of Accounts'!$A$5:$A$3000,0)),"")</f>
        <v/>
      </c>
      <c r="X71" s="23">
        <f>IF(LEFT(T71,8)="Revenue|",-N(O71),0)+IF(LEFT(U71,8)="Revenue|",-N(N71),0)+IF(LEFT(V71,8)="Revenue|",N(L71),0)+IF(LEFT(W71,8)="Revenue|",N(M71),0)</f>
        <v/>
      </c>
      <c r="Y71" s="23">
        <f>IF(LEFT(T71,5)="COGS|",N(O71),0)+IF(LEFT(U71,5)="COGS|",N(N71),0)+IF(LEFT(V71,5)="COGS|",-N(L71),0)+IF(LEFT(W71,5)="COGS|",-N(M71),0)</f>
        <v/>
      </c>
      <c r="Z71" s="23">
        <f>IF(LEFT(T71,8)="Expense|",N(O71),0)+IF(LEFT(U71,8)="Expense|",N(N71),0)+IF(LEFT(V71,8)="Expense|",-N(L71),0)+IF(LEFT(W71,8)="Expense|",-N(M71),0)</f>
        <v/>
      </c>
      <c r="AA71" s="23">
        <f>IF(ISNUMBER(MATCH(T71,{"Expense|employee","Expense|general_admin","Expense|marketing","Expense|utilities","Expense|other_operating"},0)),N(O71),0)+IF(ISNUMBER(MATCH(U71,{"Expense|employee","Expense|general_admin","Expense|marketing","Expense|utilities","Expense|other_operating"},0)),N(N71),0)+IF(ISNUMBER(MATCH(V71,{"Expense|employee","Expense|general_admin","Expense|marketing","Expense|utilities","Expense|other_operating"},0)),-N(L71),0)+IF(ISNUMBER(MATCH(W71,{"Expense|employee","Expense|general_admin","Expense|marketing","Expense|utilities","Expense|other_operating"},0)),-N(M71),0)</f>
        <v/>
      </c>
      <c r="AB71" s="23">
        <f>IF(T71="Liability|payable",-N(O71),0)+IF(U71="Liability|payable",-N(N71),0)+IF(V71="Liability|payable",N(L71),0)+IF(W71="Liability|payable",N(M71),0)</f>
        <v/>
      </c>
      <c r="AC71" s="23">
        <f>IF(T71="Liability|accrued",-N(O71),0)+IF(U71="Liability|accrued",-N(N71),0)+IF(V71="Liability|accrued",N(L71),0)+IF(W71="Liability|accrued",N(M71),0)</f>
        <v/>
      </c>
      <c r="AD71" s="23">
        <f>IF(AND(N(O71)&lt;&gt;0,T71=""),1,0)+IF(AND(N(N71)&lt;&gt;0,U71=""),1,0)+IF(AND(N(L71)&lt;&gt;0,V71=""),1,0)+IF(AND(N(M71)&lt;&gt;0,W71=""),1,0)</f>
        <v/>
      </c>
    </row>
    <row r="72">
      <c r="A72" s="14" t="n"/>
      <c r="B72" s="19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21">
        <f>SUMIFS('Invoice Lines'!$I:$I,'Invoice Lines'!$A:$A,A72)</f>
        <v/>
      </c>
      <c r="L72" s="21">
        <f>IF(E72="Draft",0,K72)</f>
        <v/>
      </c>
      <c r="M72" s="21">
        <f>ROUND(L72*IFERROR(VLOOKUP(I72,'Tax Codes'!$A$5:$E$300,5,FALSE),0),2)</f>
        <v/>
      </c>
      <c r="N72" s="21">
        <f>ROUND(L72*IFERROR(VLOOKUP(J72,'Tax Codes'!$A$5:$E$300,5,FALSE),0),2)</f>
        <v/>
      </c>
      <c r="O72" s="21">
        <f>L72+M72-N72</f>
        <v/>
      </c>
      <c r="P72" s="16">
        <f>IF(F72="",INDEX('Chart of Accounts'!$A$5:$A$3000,MATCH("ar",'Chart of Accounts'!$F$5:$F$3000,0)),F72&amp;"")</f>
        <v/>
      </c>
      <c r="Q72" s="16">
        <f>IF(G72="",INDEX('Chart of Accounts'!$A$5:$A$3000,MATCH("revenue",'Chart of Accounts'!$F$5:$F$3000,0)),G72&amp;"")</f>
        <v/>
      </c>
      <c r="R72" s="16">
        <f>INDEX('Chart of Accounts'!$A$5:$A$3000,MATCH("wht_receivable",'Chart of Accounts'!$F$5:$F$3000,0))</f>
        <v/>
      </c>
      <c r="S72" s="16">
        <f>INDEX('Chart of Accounts'!$A$5:$A$3000,MATCH("vat_output",'Chart of Accounts'!$F$5:$F$3000,0))</f>
        <v/>
      </c>
      <c r="T72" s="23">
        <f>IFERROR(INDEX('Chart of Accounts'!$C$5:$C$3000,MATCH(P72&amp;"",'Chart of Accounts'!$A$5:$A$3000,0))&amp;"|"&amp;INDEX('Chart of Accounts'!$D$5:$D$3000,MATCH(P72&amp;"",'Chart of Accounts'!$A$5:$A$3000,0)),"")</f>
        <v/>
      </c>
      <c r="U72" s="23">
        <f>IFERROR(INDEX('Chart of Accounts'!$C$5:$C$3000,MATCH(R72&amp;"",'Chart of Accounts'!$A$5:$A$3000,0))&amp;"|"&amp;INDEX('Chart of Accounts'!$D$5:$D$3000,MATCH(R72&amp;"",'Chart of Accounts'!$A$5:$A$3000,0)),"")</f>
        <v/>
      </c>
      <c r="V72" s="23">
        <f>IFERROR(INDEX('Chart of Accounts'!$C$5:$C$3000,MATCH(Q72&amp;"",'Chart of Accounts'!$A$5:$A$3000,0))&amp;"|"&amp;INDEX('Chart of Accounts'!$D$5:$D$3000,MATCH(Q72&amp;"",'Chart of Accounts'!$A$5:$A$3000,0)),"")</f>
        <v/>
      </c>
      <c r="W72" s="23">
        <f>IFERROR(INDEX('Chart of Accounts'!$C$5:$C$3000,MATCH(S72&amp;"",'Chart of Accounts'!$A$5:$A$3000,0))&amp;"|"&amp;INDEX('Chart of Accounts'!$D$5:$D$3000,MATCH(S72&amp;"",'Chart of Accounts'!$A$5:$A$3000,0)),"")</f>
        <v/>
      </c>
      <c r="X72" s="23">
        <f>IF(LEFT(T72,8)="Revenue|",-N(O72),0)+IF(LEFT(U72,8)="Revenue|",-N(N72),0)+IF(LEFT(V72,8)="Revenue|",N(L72),0)+IF(LEFT(W72,8)="Revenue|",N(M72),0)</f>
        <v/>
      </c>
      <c r="Y72" s="23">
        <f>IF(LEFT(T72,5)="COGS|",N(O72),0)+IF(LEFT(U72,5)="COGS|",N(N72),0)+IF(LEFT(V72,5)="COGS|",-N(L72),0)+IF(LEFT(W72,5)="COGS|",-N(M72),0)</f>
        <v/>
      </c>
      <c r="Z72" s="23">
        <f>IF(LEFT(T72,8)="Expense|",N(O72),0)+IF(LEFT(U72,8)="Expense|",N(N72),0)+IF(LEFT(V72,8)="Expense|",-N(L72),0)+IF(LEFT(W72,8)="Expense|",-N(M72),0)</f>
        <v/>
      </c>
      <c r="AA72" s="23">
        <f>IF(ISNUMBER(MATCH(T72,{"Expense|employee","Expense|general_admin","Expense|marketing","Expense|utilities","Expense|other_operating"},0)),N(O72),0)+IF(ISNUMBER(MATCH(U72,{"Expense|employee","Expense|general_admin","Expense|marketing","Expense|utilities","Expense|other_operating"},0)),N(N72),0)+IF(ISNUMBER(MATCH(V72,{"Expense|employee","Expense|general_admin","Expense|marketing","Expense|utilities","Expense|other_operating"},0)),-N(L72),0)+IF(ISNUMBER(MATCH(W72,{"Expense|employee","Expense|general_admin","Expense|marketing","Expense|utilities","Expense|other_operating"},0)),-N(M72),0)</f>
        <v/>
      </c>
      <c r="AB72" s="23">
        <f>IF(T72="Liability|payable",-N(O72),0)+IF(U72="Liability|payable",-N(N72),0)+IF(V72="Liability|payable",N(L72),0)+IF(W72="Liability|payable",N(M72),0)</f>
        <v/>
      </c>
      <c r="AC72" s="23">
        <f>IF(T72="Liability|accrued",-N(O72),0)+IF(U72="Liability|accrued",-N(N72),0)+IF(V72="Liability|accrued",N(L72),0)+IF(W72="Liability|accrued",N(M72),0)</f>
        <v/>
      </c>
      <c r="AD72" s="23">
        <f>IF(AND(N(O72)&lt;&gt;0,T72=""),1,0)+IF(AND(N(N72)&lt;&gt;0,U72=""),1,0)+IF(AND(N(L72)&lt;&gt;0,V72=""),1,0)+IF(AND(N(M72)&lt;&gt;0,W72=""),1,0)</f>
        <v/>
      </c>
    </row>
    <row r="73">
      <c r="A73" s="14" t="n"/>
      <c r="B73" s="19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21">
        <f>SUMIFS('Invoice Lines'!$I:$I,'Invoice Lines'!$A:$A,A73)</f>
        <v/>
      </c>
      <c r="L73" s="21">
        <f>IF(E73="Draft",0,K73)</f>
        <v/>
      </c>
      <c r="M73" s="21">
        <f>ROUND(L73*IFERROR(VLOOKUP(I73,'Tax Codes'!$A$5:$E$300,5,FALSE),0),2)</f>
        <v/>
      </c>
      <c r="N73" s="21">
        <f>ROUND(L73*IFERROR(VLOOKUP(J73,'Tax Codes'!$A$5:$E$300,5,FALSE),0),2)</f>
        <v/>
      </c>
      <c r="O73" s="21">
        <f>L73+M73-N73</f>
        <v/>
      </c>
      <c r="P73" s="16">
        <f>IF(F73="",INDEX('Chart of Accounts'!$A$5:$A$3000,MATCH("ar",'Chart of Accounts'!$F$5:$F$3000,0)),F73&amp;"")</f>
        <v/>
      </c>
      <c r="Q73" s="16">
        <f>IF(G73="",INDEX('Chart of Accounts'!$A$5:$A$3000,MATCH("revenue",'Chart of Accounts'!$F$5:$F$3000,0)),G73&amp;"")</f>
        <v/>
      </c>
      <c r="R73" s="16">
        <f>INDEX('Chart of Accounts'!$A$5:$A$3000,MATCH("wht_receivable",'Chart of Accounts'!$F$5:$F$3000,0))</f>
        <v/>
      </c>
      <c r="S73" s="16">
        <f>INDEX('Chart of Accounts'!$A$5:$A$3000,MATCH("vat_output",'Chart of Accounts'!$F$5:$F$3000,0))</f>
        <v/>
      </c>
      <c r="T73" s="23">
        <f>IFERROR(INDEX('Chart of Accounts'!$C$5:$C$3000,MATCH(P73&amp;"",'Chart of Accounts'!$A$5:$A$3000,0))&amp;"|"&amp;INDEX('Chart of Accounts'!$D$5:$D$3000,MATCH(P73&amp;"",'Chart of Accounts'!$A$5:$A$3000,0)),"")</f>
        <v/>
      </c>
      <c r="U73" s="23">
        <f>IFERROR(INDEX('Chart of Accounts'!$C$5:$C$3000,MATCH(R73&amp;"",'Chart of Accounts'!$A$5:$A$3000,0))&amp;"|"&amp;INDEX('Chart of Accounts'!$D$5:$D$3000,MATCH(R73&amp;"",'Chart of Accounts'!$A$5:$A$3000,0)),"")</f>
        <v/>
      </c>
      <c r="V73" s="23">
        <f>IFERROR(INDEX('Chart of Accounts'!$C$5:$C$3000,MATCH(Q73&amp;"",'Chart of Accounts'!$A$5:$A$3000,0))&amp;"|"&amp;INDEX('Chart of Accounts'!$D$5:$D$3000,MATCH(Q73&amp;"",'Chart of Accounts'!$A$5:$A$3000,0)),"")</f>
        <v/>
      </c>
      <c r="W73" s="23">
        <f>IFERROR(INDEX('Chart of Accounts'!$C$5:$C$3000,MATCH(S73&amp;"",'Chart of Accounts'!$A$5:$A$3000,0))&amp;"|"&amp;INDEX('Chart of Accounts'!$D$5:$D$3000,MATCH(S73&amp;"",'Chart of Accounts'!$A$5:$A$3000,0)),"")</f>
        <v/>
      </c>
      <c r="X73" s="23">
        <f>IF(LEFT(T73,8)="Revenue|",-N(O73),0)+IF(LEFT(U73,8)="Revenue|",-N(N73),0)+IF(LEFT(V73,8)="Revenue|",N(L73),0)+IF(LEFT(W73,8)="Revenue|",N(M73),0)</f>
        <v/>
      </c>
      <c r="Y73" s="23">
        <f>IF(LEFT(T73,5)="COGS|",N(O73),0)+IF(LEFT(U73,5)="COGS|",N(N73),0)+IF(LEFT(V73,5)="COGS|",-N(L73),0)+IF(LEFT(W73,5)="COGS|",-N(M73),0)</f>
        <v/>
      </c>
      <c r="Z73" s="23">
        <f>IF(LEFT(T73,8)="Expense|",N(O73),0)+IF(LEFT(U73,8)="Expense|",N(N73),0)+IF(LEFT(V73,8)="Expense|",-N(L73),0)+IF(LEFT(W73,8)="Expense|",-N(M73),0)</f>
        <v/>
      </c>
      <c r="AA73" s="23">
        <f>IF(ISNUMBER(MATCH(T73,{"Expense|employee","Expense|general_admin","Expense|marketing","Expense|utilities","Expense|other_operating"},0)),N(O73),0)+IF(ISNUMBER(MATCH(U73,{"Expense|employee","Expense|general_admin","Expense|marketing","Expense|utilities","Expense|other_operating"},0)),N(N73),0)+IF(ISNUMBER(MATCH(V73,{"Expense|employee","Expense|general_admin","Expense|marketing","Expense|utilities","Expense|other_operating"},0)),-N(L73),0)+IF(ISNUMBER(MATCH(W73,{"Expense|employee","Expense|general_admin","Expense|marketing","Expense|utilities","Expense|other_operating"},0)),-N(M73),0)</f>
        <v/>
      </c>
      <c r="AB73" s="23">
        <f>IF(T73="Liability|payable",-N(O73),0)+IF(U73="Liability|payable",-N(N73),0)+IF(V73="Liability|payable",N(L73),0)+IF(W73="Liability|payable",N(M73),0)</f>
        <v/>
      </c>
      <c r="AC73" s="23">
        <f>IF(T73="Liability|accrued",-N(O73),0)+IF(U73="Liability|accrued",-N(N73),0)+IF(V73="Liability|accrued",N(L73),0)+IF(W73="Liability|accrued",N(M73),0)</f>
        <v/>
      </c>
      <c r="AD73" s="23">
        <f>IF(AND(N(O73)&lt;&gt;0,T73=""),1,0)+IF(AND(N(N73)&lt;&gt;0,U73=""),1,0)+IF(AND(N(L73)&lt;&gt;0,V73=""),1,0)+IF(AND(N(M73)&lt;&gt;0,W73=""),1,0)</f>
        <v/>
      </c>
    </row>
    <row r="74">
      <c r="A74" s="14" t="n"/>
      <c r="B74" s="1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21">
        <f>SUMIFS('Invoice Lines'!$I:$I,'Invoice Lines'!$A:$A,A74)</f>
        <v/>
      </c>
      <c r="L74" s="21">
        <f>IF(E74="Draft",0,K74)</f>
        <v/>
      </c>
      <c r="M74" s="21">
        <f>ROUND(L74*IFERROR(VLOOKUP(I74,'Tax Codes'!$A$5:$E$300,5,FALSE),0),2)</f>
        <v/>
      </c>
      <c r="N74" s="21">
        <f>ROUND(L74*IFERROR(VLOOKUP(J74,'Tax Codes'!$A$5:$E$300,5,FALSE),0),2)</f>
        <v/>
      </c>
      <c r="O74" s="21">
        <f>L74+M74-N74</f>
        <v/>
      </c>
      <c r="P74" s="16">
        <f>IF(F74="",INDEX('Chart of Accounts'!$A$5:$A$3000,MATCH("ar",'Chart of Accounts'!$F$5:$F$3000,0)),F74&amp;"")</f>
        <v/>
      </c>
      <c r="Q74" s="16">
        <f>IF(G74="",INDEX('Chart of Accounts'!$A$5:$A$3000,MATCH("revenue",'Chart of Accounts'!$F$5:$F$3000,0)),G74&amp;"")</f>
        <v/>
      </c>
      <c r="R74" s="16">
        <f>INDEX('Chart of Accounts'!$A$5:$A$3000,MATCH("wht_receivable",'Chart of Accounts'!$F$5:$F$3000,0))</f>
        <v/>
      </c>
      <c r="S74" s="16">
        <f>INDEX('Chart of Accounts'!$A$5:$A$3000,MATCH("vat_output",'Chart of Accounts'!$F$5:$F$3000,0))</f>
        <v/>
      </c>
      <c r="T74" s="23">
        <f>IFERROR(INDEX('Chart of Accounts'!$C$5:$C$3000,MATCH(P74&amp;"",'Chart of Accounts'!$A$5:$A$3000,0))&amp;"|"&amp;INDEX('Chart of Accounts'!$D$5:$D$3000,MATCH(P74&amp;"",'Chart of Accounts'!$A$5:$A$3000,0)),"")</f>
        <v/>
      </c>
      <c r="U74" s="23">
        <f>IFERROR(INDEX('Chart of Accounts'!$C$5:$C$3000,MATCH(R74&amp;"",'Chart of Accounts'!$A$5:$A$3000,0))&amp;"|"&amp;INDEX('Chart of Accounts'!$D$5:$D$3000,MATCH(R74&amp;"",'Chart of Accounts'!$A$5:$A$3000,0)),"")</f>
        <v/>
      </c>
      <c r="V74" s="23">
        <f>IFERROR(INDEX('Chart of Accounts'!$C$5:$C$3000,MATCH(Q74&amp;"",'Chart of Accounts'!$A$5:$A$3000,0))&amp;"|"&amp;INDEX('Chart of Accounts'!$D$5:$D$3000,MATCH(Q74&amp;"",'Chart of Accounts'!$A$5:$A$3000,0)),"")</f>
        <v/>
      </c>
      <c r="W74" s="23">
        <f>IFERROR(INDEX('Chart of Accounts'!$C$5:$C$3000,MATCH(S74&amp;"",'Chart of Accounts'!$A$5:$A$3000,0))&amp;"|"&amp;INDEX('Chart of Accounts'!$D$5:$D$3000,MATCH(S74&amp;"",'Chart of Accounts'!$A$5:$A$3000,0)),"")</f>
        <v/>
      </c>
      <c r="X74" s="23">
        <f>IF(LEFT(T74,8)="Revenue|",-N(O74),0)+IF(LEFT(U74,8)="Revenue|",-N(N74),0)+IF(LEFT(V74,8)="Revenue|",N(L74),0)+IF(LEFT(W74,8)="Revenue|",N(M74),0)</f>
        <v/>
      </c>
      <c r="Y74" s="23">
        <f>IF(LEFT(T74,5)="COGS|",N(O74),0)+IF(LEFT(U74,5)="COGS|",N(N74),0)+IF(LEFT(V74,5)="COGS|",-N(L74),0)+IF(LEFT(W74,5)="COGS|",-N(M74),0)</f>
        <v/>
      </c>
      <c r="Z74" s="23">
        <f>IF(LEFT(T74,8)="Expense|",N(O74),0)+IF(LEFT(U74,8)="Expense|",N(N74),0)+IF(LEFT(V74,8)="Expense|",-N(L74),0)+IF(LEFT(W74,8)="Expense|",-N(M74),0)</f>
        <v/>
      </c>
      <c r="AA74" s="23">
        <f>IF(ISNUMBER(MATCH(T74,{"Expense|employee","Expense|general_admin","Expense|marketing","Expense|utilities","Expense|other_operating"},0)),N(O74),0)+IF(ISNUMBER(MATCH(U74,{"Expense|employee","Expense|general_admin","Expense|marketing","Expense|utilities","Expense|other_operating"},0)),N(N74),0)+IF(ISNUMBER(MATCH(V74,{"Expense|employee","Expense|general_admin","Expense|marketing","Expense|utilities","Expense|other_operating"},0)),-N(L74),0)+IF(ISNUMBER(MATCH(W74,{"Expense|employee","Expense|general_admin","Expense|marketing","Expense|utilities","Expense|other_operating"},0)),-N(M74),0)</f>
        <v/>
      </c>
      <c r="AB74" s="23">
        <f>IF(T74="Liability|payable",-N(O74),0)+IF(U74="Liability|payable",-N(N74),0)+IF(V74="Liability|payable",N(L74),0)+IF(W74="Liability|payable",N(M74),0)</f>
        <v/>
      </c>
      <c r="AC74" s="23">
        <f>IF(T74="Liability|accrued",-N(O74),0)+IF(U74="Liability|accrued",-N(N74),0)+IF(V74="Liability|accrued",N(L74),0)+IF(W74="Liability|accrued",N(M74),0)</f>
        <v/>
      </c>
      <c r="AD74" s="23">
        <f>IF(AND(N(O74)&lt;&gt;0,T74=""),1,0)+IF(AND(N(N74)&lt;&gt;0,U74=""),1,0)+IF(AND(N(L74)&lt;&gt;0,V74=""),1,0)+IF(AND(N(M74)&lt;&gt;0,W74=""),1,0)</f>
        <v/>
      </c>
    </row>
    <row r="75">
      <c r="A75" s="14" t="n"/>
      <c r="B75" s="19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21">
        <f>SUMIFS('Invoice Lines'!$I:$I,'Invoice Lines'!$A:$A,A75)</f>
        <v/>
      </c>
      <c r="L75" s="21">
        <f>IF(E75="Draft",0,K75)</f>
        <v/>
      </c>
      <c r="M75" s="21">
        <f>ROUND(L75*IFERROR(VLOOKUP(I75,'Tax Codes'!$A$5:$E$300,5,FALSE),0),2)</f>
        <v/>
      </c>
      <c r="N75" s="21">
        <f>ROUND(L75*IFERROR(VLOOKUP(J75,'Tax Codes'!$A$5:$E$300,5,FALSE),0),2)</f>
        <v/>
      </c>
      <c r="O75" s="21">
        <f>L75+M75-N75</f>
        <v/>
      </c>
      <c r="P75" s="16">
        <f>IF(F75="",INDEX('Chart of Accounts'!$A$5:$A$3000,MATCH("ar",'Chart of Accounts'!$F$5:$F$3000,0)),F75&amp;"")</f>
        <v/>
      </c>
      <c r="Q75" s="16">
        <f>IF(G75="",INDEX('Chart of Accounts'!$A$5:$A$3000,MATCH("revenue",'Chart of Accounts'!$F$5:$F$3000,0)),G75&amp;"")</f>
        <v/>
      </c>
      <c r="R75" s="16">
        <f>INDEX('Chart of Accounts'!$A$5:$A$3000,MATCH("wht_receivable",'Chart of Accounts'!$F$5:$F$3000,0))</f>
        <v/>
      </c>
      <c r="S75" s="16">
        <f>INDEX('Chart of Accounts'!$A$5:$A$3000,MATCH("vat_output",'Chart of Accounts'!$F$5:$F$3000,0))</f>
        <v/>
      </c>
      <c r="T75" s="23">
        <f>IFERROR(INDEX('Chart of Accounts'!$C$5:$C$3000,MATCH(P75&amp;"",'Chart of Accounts'!$A$5:$A$3000,0))&amp;"|"&amp;INDEX('Chart of Accounts'!$D$5:$D$3000,MATCH(P75&amp;"",'Chart of Accounts'!$A$5:$A$3000,0)),"")</f>
        <v/>
      </c>
      <c r="U75" s="23">
        <f>IFERROR(INDEX('Chart of Accounts'!$C$5:$C$3000,MATCH(R75&amp;"",'Chart of Accounts'!$A$5:$A$3000,0))&amp;"|"&amp;INDEX('Chart of Accounts'!$D$5:$D$3000,MATCH(R75&amp;"",'Chart of Accounts'!$A$5:$A$3000,0)),"")</f>
        <v/>
      </c>
      <c r="V75" s="23">
        <f>IFERROR(INDEX('Chart of Accounts'!$C$5:$C$3000,MATCH(Q75&amp;"",'Chart of Accounts'!$A$5:$A$3000,0))&amp;"|"&amp;INDEX('Chart of Accounts'!$D$5:$D$3000,MATCH(Q75&amp;"",'Chart of Accounts'!$A$5:$A$3000,0)),"")</f>
        <v/>
      </c>
      <c r="W75" s="23">
        <f>IFERROR(INDEX('Chart of Accounts'!$C$5:$C$3000,MATCH(S75&amp;"",'Chart of Accounts'!$A$5:$A$3000,0))&amp;"|"&amp;INDEX('Chart of Accounts'!$D$5:$D$3000,MATCH(S75&amp;"",'Chart of Accounts'!$A$5:$A$3000,0)),"")</f>
        <v/>
      </c>
      <c r="X75" s="23">
        <f>IF(LEFT(T75,8)="Revenue|",-N(O75),0)+IF(LEFT(U75,8)="Revenue|",-N(N75),0)+IF(LEFT(V75,8)="Revenue|",N(L75),0)+IF(LEFT(W75,8)="Revenue|",N(M75),0)</f>
        <v/>
      </c>
      <c r="Y75" s="23">
        <f>IF(LEFT(T75,5)="COGS|",N(O75),0)+IF(LEFT(U75,5)="COGS|",N(N75),0)+IF(LEFT(V75,5)="COGS|",-N(L75),0)+IF(LEFT(W75,5)="COGS|",-N(M75),0)</f>
        <v/>
      </c>
      <c r="Z75" s="23">
        <f>IF(LEFT(T75,8)="Expense|",N(O75),0)+IF(LEFT(U75,8)="Expense|",N(N75),0)+IF(LEFT(V75,8)="Expense|",-N(L75),0)+IF(LEFT(W75,8)="Expense|",-N(M75),0)</f>
        <v/>
      </c>
      <c r="AA75" s="23">
        <f>IF(ISNUMBER(MATCH(T75,{"Expense|employee","Expense|general_admin","Expense|marketing","Expense|utilities","Expense|other_operating"},0)),N(O75),0)+IF(ISNUMBER(MATCH(U75,{"Expense|employee","Expense|general_admin","Expense|marketing","Expense|utilities","Expense|other_operating"},0)),N(N75),0)+IF(ISNUMBER(MATCH(V75,{"Expense|employee","Expense|general_admin","Expense|marketing","Expense|utilities","Expense|other_operating"},0)),-N(L75),0)+IF(ISNUMBER(MATCH(W75,{"Expense|employee","Expense|general_admin","Expense|marketing","Expense|utilities","Expense|other_operating"},0)),-N(M75),0)</f>
        <v/>
      </c>
      <c r="AB75" s="23">
        <f>IF(T75="Liability|payable",-N(O75),0)+IF(U75="Liability|payable",-N(N75),0)+IF(V75="Liability|payable",N(L75),0)+IF(W75="Liability|payable",N(M75),0)</f>
        <v/>
      </c>
      <c r="AC75" s="23">
        <f>IF(T75="Liability|accrued",-N(O75),0)+IF(U75="Liability|accrued",-N(N75),0)+IF(V75="Liability|accrued",N(L75),0)+IF(W75="Liability|accrued",N(M75),0)</f>
        <v/>
      </c>
      <c r="AD75" s="23">
        <f>IF(AND(N(O75)&lt;&gt;0,T75=""),1,0)+IF(AND(N(N75)&lt;&gt;0,U75=""),1,0)+IF(AND(N(L75)&lt;&gt;0,V75=""),1,0)+IF(AND(N(M75)&lt;&gt;0,W75=""),1,0)</f>
        <v/>
      </c>
    </row>
    <row r="76">
      <c r="A76" s="14" t="n"/>
      <c r="B76" s="19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21">
        <f>SUMIFS('Invoice Lines'!$I:$I,'Invoice Lines'!$A:$A,A76)</f>
        <v/>
      </c>
      <c r="L76" s="21">
        <f>IF(E76="Draft",0,K76)</f>
        <v/>
      </c>
      <c r="M76" s="21">
        <f>ROUND(L76*IFERROR(VLOOKUP(I76,'Tax Codes'!$A$5:$E$300,5,FALSE),0),2)</f>
        <v/>
      </c>
      <c r="N76" s="21">
        <f>ROUND(L76*IFERROR(VLOOKUP(J76,'Tax Codes'!$A$5:$E$300,5,FALSE),0),2)</f>
        <v/>
      </c>
      <c r="O76" s="21">
        <f>L76+M76-N76</f>
        <v/>
      </c>
      <c r="P76" s="16">
        <f>IF(F76="",INDEX('Chart of Accounts'!$A$5:$A$3000,MATCH("ar",'Chart of Accounts'!$F$5:$F$3000,0)),F76&amp;"")</f>
        <v/>
      </c>
      <c r="Q76" s="16">
        <f>IF(G76="",INDEX('Chart of Accounts'!$A$5:$A$3000,MATCH("revenue",'Chart of Accounts'!$F$5:$F$3000,0)),G76&amp;"")</f>
        <v/>
      </c>
      <c r="R76" s="16">
        <f>INDEX('Chart of Accounts'!$A$5:$A$3000,MATCH("wht_receivable",'Chart of Accounts'!$F$5:$F$3000,0))</f>
        <v/>
      </c>
      <c r="S76" s="16">
        <f>INDEX('Chart of Accounts'!$A$5:$A$3000,MATCH("vat_output",'Chart of Accounts'!$F$5:$F$3000,0))</f>
        <v/>
      </c>
      <c r="T76" s="23">
        <f>IFERROR(INDEX('Chart of Accounts'!$C$5:$C$3000,MATCH(P76&amp;"",'Chart of Accounts'!$A$5:$A$3000,0))&amp;"|"&amp;INDEX('Chart of Accounts'!$D$5:$D$3000,MATCH(P76&amp;"",'Chart of Accounts'!$A$5:$A$3000,0)),"")</f>
        <v/>
      </c>
      <c r="U76" s="23">
        <f>IFERROR(INDEX('Chart of Accounts'!$C$5:$C$3000,MATCH(R76&amp;"",'Chart of Accounts'!$A$5:$A$3000,0))&amp;"|"&amp;INDEX('Chart of Accounts'!$D$5:$D$3000,MATCH(R76&amp;"",'Chart of Accounts'!$A$5:$A$3000,0)),"")</f>
        <v/>
      </c>
      <c r="V76" s="23">
        <f>IFERROR(INDEX('Chart of Accounts'!$C$5:$C$3000,MATCH(Q76&amp;"",'Chart of Accounts'!$A$5:$A$3000,0))&amp;"|"&amp;INDEX('Chart of Accounts'!$D$5:$D$3000,MATCH(Q76&amp;"",'Chart of Accounts'!$A$5:$A$3000,0)),"")</f>
        <v/>
      </c>
      <c r="W76" s="23">
        <f>IFERROR(INDEX('Chart of Accounts'!$C$5:$C$3000,MATCH(S76&amp;"",'Chart of Accounts'!$A$5:$A$3000,0))&amp;"|"&amp;INDEX('Chart of Accounts'!$D$5:$D$3000,MATCH(S76&amp;"",'Chart of Accounts'!$A$5:$A$3000,0)),"")</f>
        <v/>
      </c>
      <c r="X76" s="23">
        <f>IF(LEFT(T76,8)="Revenue|",-N(O76),0)+IF(LEFT(U76,8)="Revenue|",-N(N76),0)+IF(LEFT(V76,8)="Revenue|",N(L76),0)+IF(LEFT(W76,8)="Revenue|",N(M76),0)</f>
        <v/>
      </c>
      <c r="Y76" s="23">
        <f>IF(LEFT(T76,5)="COGS|",N(O76),0)+IF(LEFT(U76,5)="COGS|",N(N76),0)+IF(LEFT(V76,5)="COGS|",-N(L76),0)+IF(LEFT(W76,5)="COGS|",-N(M76),0)</f>
        <v/>
      </c>
      <c r="Z76" s="23">
        <f>IF(LEFT(T76,8)="Expense|",N(O76),0)+IF(LEFT(U76,8)="Expense|",N(N76),0)+IF(LEFT(V76,8)="Expense|",-N(L76),0)+IF(LEFT(W76,8)="Expense|",-N(M76),0)</f>
        <v/>
      </c>
      <c r="AA76" s="23">
        <f>IF(ISNUMBER(MATCH(T76,{"Expense|employee","Expense|general_admin","Expense|marketing","Expense|utilities","Expense|other_operating"},0)),N(O76),0)+IF(ISNUMBER(MATCH(U76,{"Expense|employee","Expense|general_admin","Expense|marketing","Expense|utilities","Expense|other_operating"},0)),N(N76),0)+IF(ISNUMBER(MATCH(V76,{"Expense|employee","Expense|general_admin","Expense|marketing","Expense|utilities","Expense|other_operating"},0)),-N(L76),0)+IF(ISNUMBER(MATCH(W76,{"Expense|employee","Expense|general_admin","Expense|marketing","Expense|utilities","Expense|other_operating"},0)),-N(M76),0)</f>
        <v/>
      </c>
      <c r="AB76" s="23">
        <f>IF(T76="Liability|payable",-N(O76),0)+IF(U76="Liability|payable",-N(N76),0)+IF(V76="Liability|payable",N(L76),0)+IF(W76="Liability|payable",N(M76),0)</f>
        <v/>
      </c>
      <c r="AC76" s="23">
        <f>IF(T76="Liability|accrued",-N(O76),0)+IF(U76="Liability|accrued",-N(N76),0)+IF(V76="Liability|accrued",N(L76),0)+IF(W76="Liability|accrued",N(M76),0)</f>
        <v/>
      </c>
      <c r="AD76" s="23">
        <f>IF(AND(N(O76)&lt;&gt;0,T76=""),1,0)+IF(AND(N(N76)&lt;&gt;0,U76=""),1,0)+IF(AND(N(L76)&lt;&gt;0,V76=""),1,0)+IF(AND(N(M76)&lt;&gt;0,W76=""),1,0)</f>
        <v/>
      </c>
    </row>
    <row r="77">
      <c r="A77" s="14" t="n"/>
      <c r="B77" s="19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21">
        <f>SUMIFS('Invoice Lines'!$I:$I,'Invoice Lines'!$A:$A,A77)</f>
        <v/>
      </c>
      <c r="L77" s="21">
        <f>IF(E77="Draft",0,K77)</f>
        <v/>
      </c>
      <c r="M77" s="21">
        <f>ROUND(L77*IFERROR(VLOOKUP(I77,'Tax Codes'!$A$5:$E$300,5,FALSE),0),2)</f>
        <v/>
      </c>
      <c r="N77" s="21">
        <f>ROUND(L77*IFERROR(VLOOKUP(J77,'Tax Codes'!$A$5:$E$300,5,FALSE),0),2)</f>
        <v/>
      </c>
      <c r="O77" s="21">
        <f>L77+M77-N77</f>
        <v/>
      </c>
      <c r="P77" s="16">
        <f>IF(F77="",INDEX('Chart of Accounts'!$A$5:$A$3000,MATCH("ar",'Chart of Accounts'!$F$5:$F$3000,0)),F77&amp;"")</f>
        <v/>
      </c>
      <c r="Q77" s="16">
        <f>IF(G77="",INDEX('Chart of Accounts'!$A$5:$A$3000,MATCH("revenue",'Chart of Accounts'!$F$5:$F$3000,0)),G77&amp;"")</f>
        <v/>
      </c>
      <c r="R77" s="16">
        <f>INDEX('Chart of Accounts'!$A$5:$A$3000,MATCH("wht_receivable",'Chart of Accounts'!$F$5:$F$3000,0))</f>
        <v/>
      </c>
      <c r="S77" s="16">
        <f>INDEX('Chart of Accounts'!$A$5:$A$3000,MATCH("vat_output",'Chart of Accounts'!$F$5:$F$3000,0))</f>
        <v/>
      </c>
      <c r="T77" s="23">
        <f>IFERROR(INDEX('Chart of Accounts'!$C$5:$C$3000,MATCH(P77&amp;"",'Chart of Accounts'!$A$5:$A$3000,0))&amp;"|"&amp;INDEX('Chart of Accounts'!$D$5:$D$3000,MATCH(P77&amp;"",'Chart of Accounts'!$A$5:$A$3000,0)),"")</f>
        <v/>
      </c>
      <c r="U77" s="23">
        <f>IFERROR(INDEX('Chart of Accounts'!$C$5:$C$3000,MATCH(R77&amp;"",'Chart of Accounts'!$A$5:$A$3000,0))&amp;"|"&amp;INDEX('Chart of Accounts'!$D$5:$D$3000,MATCH(R77&amp;"",'Chart of Accounts'!$A$5:$A$3000,0)),"")</f>
        <v/>
      </c>
      <c r="V77" s="23">
        <f>IFERROR(INDEX('Chart of Accounts'!$C$5:$C$3000,MATCH(Q77&amp;"",'Chart of Accounts'!$A$5:$A$3000,0))&amp;"|"&amp;INDEX('Chart of Accounts'!$D$5:$D$3000,MATCH(Q77&amp;"",'Chart of Accounts'!$A$5:$A$3000,0)),"")</f>
        <v/>
      </c>
      <c r="W77" s="23">
        <f>IFERROR(INDEX('Chart of Accounts'!$C$5:$C$3000,MATCH(S77&amp;"",'Chart of Accounts'!$A$5:$A$3000,0))&amp;"|"&amp;INDEX('Chart of Accounts'!$D$5:$D$3000,MATCH(S77&amp;"",'Chart of Accounts'!$A$5:$A$3000,0)),"")</f>
        <v/>
      </c>
      <c r="X77" s="23">
        <f>IF(LEFT(T77,8)="Revenue|",-N(O77),0)+IF(LEFT(U77,8)="Revenue|",-N(N77),0)+IF(LEFT(V77,8)="Revenue|",N(L77),0)+IF(LEFT(W77,8)="Revenue|",N(M77),0)</f>
        <v/>
      </c>
      <c r="Y77" s="23">
        <f>IF(LEFT(T77,5)="COGS|",N(O77),0)+IF(LEFT(U77,5)="COGS|",N(N77),0)+IF(LEFT(V77,5)="COGS|",-N(L77),0)+IF(LEFT(W77,5)="COGS|",-N(M77),0)</f>
        <v/>
      </c>
      <c r="Z77" s="23">
        <f>IF(LEFT(T77,8)="Expense|",N(O77),0)+IF(LEFT(U77,8)="Expense|",N(N77),0)+IF(LEFT(V77,8)="Expense|",-N(L77),0)+IF(LEFT(W77,8)="Expense|",-N(M77),0)</f>
        <v/>
      </c>
      <c r="AA77" s="23">
        <f>IF(ISNUMBER(MATCH(T77,{"Expense|employee","Expense|general_admin","Expense|marketing","Expense|utilities","Expense|other_operating"},0)),N(O77),0)+IF(ISNUMBER(MATCH(U77,{"Expense|employee","Expense|general_admin","Expense|marketing","Expense|utilities","Expense|other_operating"},0)),N(N77),0)+IF(ISNUMBER(MATCH(V77,{"Expense|employee","Expense|general_admin","Expense|marketing","Expense|utilities","Expense|other_operating"},0)),-N(L77),0)+IF(ISNUMBER(MATCH(W77,{"Expense|employee","Expense|general_admin","Expense|marketing","Expense|utilities","Expense|other_operating"},0)),-N(M77),0)</f>
        <v/>
      </c>
      <c r="AB77" s="23">
        <f>IF(T77="Liability|payable",-N(O77),0)+IF(U77="Liability|payable",-N(N77),0)+IF(V77="Liability|payable",N(L77),0)+IF(W77="Liability|payable",N(M77),0)</f>
        <v/>
      </c>
      <c r="AC77" s="23">
        <f>IF(T77="Liability|accrued",-N(O77),0)+IF(U77="Liability|accrued",-N(N77),0)+IF(V77="Liability|accrued",N(L77),0)+IF(W77="Liability|accrued",N(M77),0)</f>
        <v/>
      </c>
      <c r="AD77" s="23">
        <f>IF(AND(N(O77)&lt;&gt;0,T77=""),1,0)+IF(AND(N(N77)&lt;&gt;0,U77=""),1,0)+IF(AND(N(L77)&lt;&gt;0,V77=""),1,0)+IF(AND(N(M77)&lt;&gt;0,W77=""),1,0)</f>
        <v/>
      </c>
    </row>
    <row r="78">
      <c r="A78" s="14" t="n"/>
      <c r="B78" s="19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21">
        <f>SUMIFS('Invoice Lines'!$I:$I,'Invoice Lines'!$A:$A,A78)</f>
        <v/>
      </c>
      <c r="L78" s="21">
        <f>IF(E78="Draft",0,K78)</f>
        <v/>
      </c>
      <c r="M78" s="21">
        <f>ROUND(L78*IFERROR(VLOOKUP(I78,'Tax Codes'!$A$5:$E$300,5,FALSE),0),2)</f>
        <v/>
      </c>
      <c r="N78" s="21">
        <f>ROUND(L78*IFERROR(VLOOKUP(J78,'Tax Codes'!$A$5:$E$300,5,FALSE),0),2)</f>
        <v/>
      </c>
      <c r="O78" s="21">
        <f>L78+M78-N78</f>
        <v/>
      </c>
      <c r="P78" s="16">
        <f>IF(F78="",INDEX('Chart of Accounts'!$A$5:$A$3000,MATCH("ar",'Chart of Accounts'!$F$5:$F$3000,0)),F78&amp;"")</f>
        <v/>
      </c>
      <c r="Q78" s="16">
        <f>IF(G78="",INDEX('Chart of Accounts'!$A$5:$A$3000,MATCH("revenue",'Chart of Accounts'!$F$5:$F$3000,0)),G78&amp;"")</f>
        <v/>
      </c>
      <c r="R78" s="16">
        <f>INDEX('Chart of Accounts'!$A$5:$A$3000,MATCH("wht_receivable",'Chart of Accounts'!$F$5:$F$3000,0))</f>
        <v/>
      </c>
      <c r="S78" s="16">
        <f>INDEX('Chart of Accounts'!$A$5:$A$3000,MATCH("vat_output",'Chart of Accounts'!$F$5:$F$3000,0))</f>
        <v/>
      </c>
      <c r="T78" s="23">
        <f>IFERROR(INDEX('Chart of Accounts'!$C$5:$C$3000,MATCH(P78&amp;"",'Chart of Accounts'!$A$5:$A$3000,0))&amp;"|"&amp;INDEX('Chart of Accounts'!$D$5:$D$3000,MATCH(P78&amp;"",'Chart of Accounts'!$A$5:$A$3000,0)),"")</f>
        <v/>
      </c>
      <c r="U78" s="23">
        <f>IFERROR(INDEX('Chart of Accounts'!$C$5:$C$3000,MATCH(R78&amp;"",'Chart of Accounts'!$A$5:$A$3000,0))&amp;"|"&amp;INDEX('Chart of Accounts'!$D$5:$D$3000,MATCH(R78&amp;"",'Chart of Accounts'!$A$5:$A$3000,0)),"")</f>
        <v/>
      </c>
      <c r="V78" s="23">
        <f>IFERROR(INDEX('Chart of Accounts'!$C$5:$C$3000,MATCH(Q78&amp;"",'Chart of Accounts'!$A$5:$A$3000,0))&amp;"|"&amp;INDEX('Chart of Accounts'!$D$5:$D$3000,MATCH(Q78&amp;"",'Chart of Accounts'!$A$5:$A$3000,0)),"")</f>
        <v/>
      </c>
      <c r="W78" s="23">
        <f>IFERROR(INDEX('Chart of Accounts'!$C$5:$C$3000,MATCH(S78&amp;"",'Chart of Accounts'!$A$5:$A$3000,0))&amp;"|"&amp;INDEX('Chart of Accounts'!$D$5:$D$3000,MATCH(S78&amp;"",'Chart of Accounts'!$A$5:$A$3000,0)),"")</f>
        <v/>
      </c>
      <c r="X78" s="23">
        <f>IF(LEFT(T78,8)="Revenue|",-N(O78),0)+IF(LEFT(U78,8)="Revenue|",-N(N78),0)+IF(LEFT(V78,8)="Revenue|",N(L78),0)+IF(LEFT(W78,8)="Revenue|",N(M78),0)</f>
        <v/>
      </c>
      <c r="Y78" s="23">
        <f>IF(LEFT(T78,5)="COGS|",N(O78),0)+IF(LEFT(U78,5)="COGS|",N(N78),0)+IF(LEFT(V78,5)="COGS|",-N(L78),0)+IF(LEFT(W78,5)="COGS|",-N(M78),0)</f>
        <v/>
      </c>
      <c r="Z78" s="23">
        <f>IF(LEFT(T78,8)="Expense|",N(O78),0)+IF(LEFT(U78,8)="Expense|",N(N78),0)+IF(LEFT(V78,8)="Expense|",-N(L78),0)+IF(LEFT(W78,8)="Expense|",-N(M78),0)</f>
        <v/>
      </c>
      <c r="AA78" s="23">
        <f>IF(ISNUMBER(MATCH(T78,{"Expense|employee","Expense|general_admin","Expense|marketing","Expense|utilities","Expense|other_operating"},0)),N(O78),0)+IF(ISNUMBER(MATCH(U78,{"Expense|employee","Expense|general_admin","Expense|marketing","Expense|utilities","Expense|other_operating"},0)),N(N78),0)+IF(ISNUMBER(MATCH(V78,{"Expense|employee","Expense|general_admin","Expense|marketing","Expense|utilities","Expense|other_operating"},0)),-N(L78),0)+IF(ISNUMBER(MATCH(W78,{"Expense|employee","Expense|general_admin","Expense|marketing","Expense|utilities","Expense|other_operating"},0)),-N(M78),0)</f>
        <v/>
      </c>
      <c r="AB78" s="23">
        <f>IF(T78="Liability|payable",-N(O78),0)+IF(U78="Liability|payable",-N(N78),0)+IF(V78="Liability|payable",N(L78),0)+IF(W78="Liability|payable",N(M78),0)</f>
        <v/>
      </c>
      <c r="AC78" s="23">
        <f>IF(T78="Liability|accrued",-N(O78),0)+IF(U78="Liability|accrued",-N(N78),0)+IF(V78="Liability|accrued",N(L78),0)+IF(W78="Liability|accrued",N(M78),0)</f>
        <v/>
      </c>
      <c r="AD78" s="23">
        <f>IF(AND(N(O78)&lt;&gt;0,T78=""),1,0)+IF(AND(N(N78)&lt;&gt;0,U78=""),1,0)+IF(AND(N(L78)&lt;&gt;0,V78=""),1,0)+IF(AND(N(M78)&lt;&gt;0,W78=""),1,0)</f>
        <v/>
      </c>
    </row>
    <row r="79">
      <c r="A79" s="14" t="n"/>
      <c r="B79" s="19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21">
        <f>SUMIFS('Invoice Lines'!$I:$I,'Invoice Lines'!$A:$A,A79)</f>
        <v/>
      </c>
      <c r="L79" s="21">
        <f>IF(E79="Draft",0,K79)</f>
        <v/>
      </c>
      <c r="M79" s="21">
        <f>ROUND(L79*IFERROR(VLOOKUP(I79,'Tax Codes'!$A$5:$E$300,5,FALSE),0),2)</f>
        <v/>
      </c>
      <c r="N79" s="21">
        <f>ROUND(L79*IFERROR(VLOOKUP(J79,'Tax Codes'!$A$5:$E$300,5,FALSE),0),2)</f>
        <v/>
      </c>
      <c r="O79" s="21">
        <f>L79+M79-N79</f>
        <v/>
      </c>
      <c r="P79" s="16">
        <f>IF(F79="",INDEX('Chart of Accounts'!$A$5:$A$3000,MATCH("ar",'Chart of Accounts'!$F$5:$F$3000,0)),F79&amp;"")</f>
        <v/>
      </c>
      <c r="Q79" s="16">
        <f>IF(G79="",INDEX('Chart of Accounts'!$A$5:$A$3000,MATCH("revenue",'Chart of Accounts'!$F$5:$F$3000,0)),G79&amp;"")</f>
        <v/>
      </c>
      <c r="R79" s="16">
        <f>INDEX('Chart of Accounts'!$A$5:$A$3000,MATCH("wht_receivable",'Chart of Accounts'!$F$5:$F$3000,0))</f>
        <v/>
      </c>
      <c r="S79" s="16">
        <f>INDEX('Chart of Accounts'!$A$5:$A$3000,MATCH("vat_output",'Chart of Accounts'!$F$5:$F$3000,0))</f>
        <v/>
      </c>
      <c r="T79" s="23">
        <f>IFERROR(INDEX('Chart of Accounts'!$C$5:$C$3000,MATCH(P79&amp;"",'Chart of Accounts'!$A$5:$A$3000,0))&amp;"|"&amp;INDEX('Chart of Accounts'!$D$5:$D$3000,MATCH(P79&amp;"",'Chart of Accounts'!$A$5:$A$3000,0)),"")</f>
        <v/>
      </c>
      <c r="U79" s="23">
        <f>IFERROR(INDEX('Chart of Accounts'!$C$5:$C$3000,MATCH(R79&amp;"",'Chart of Accounts'!$A$5:$A$3000,0))&amp;"|"&amp;INDEX('Chart of Accounts'!$D$5:$D$3000,MATCH(R79&amp;"",'Chart of Accounts'!$A$5:$A$3000,0)),"")</f>
        <v/>
      </c>
      <c r="V79" s="23">
        <f>IFERROR(INDEX('Chart of Accounts'!$C$5:$C$3000,MATCH(Q79&amp;"",'Chart of Accounts'!$A$5:$A$3000,0))&amp;"|"&amp;INDEX('Chart of Accounts'!$D$5:$D$3000,MATCH(Q79&amp;"",'Chart of Accounts'!$A$5:$A$3000,0)),"")</f>
        <v/>
      </c>
      <c r="W79" s="23">
        <f>IFERROR(INDEX('Chart of Accounts'!$C$5:$C$3000,MATCH(S79&amp;"",'Chart of Accounts'!$A$5:$A$3000,0))&amp;"|"&amp;INDEX('Chart of Accounts'!$D$5:$D$3000,MATCH(S79&amp;"",'Chart of Accounts'!$A$5:$A$3000,0)),"")</f>
        <v/>
      </c>
      <c r="X79" s="23">
        <f>IF(LEFT(T79,8)="Revenue|",-N(O79),0)+IF(LEFT(U79,8)="Revenue|",-N(N79),0)+IF(LEFT(V79,8)="Revenue|",N(L79),0)+IF(LEFT(W79,8)="Revenue|",N(M79),0)</f>
        <v/>
      </c>
      <c r="Y79" s="23">
        <f>IF(LEFT(T79,5)="COGS|",N(O79),0)+IF(LEFT(U79,5)="COGS|",N(N79),0)+IF(LEFT(V79,5)="COGS|",-N(L79),0)+IF(LEFT(W79,5)="COGS|",-N(M79),0)</f>
        <v/>
      </c>
      <c r="Z79" s="23">
        <f>IF(LEFT(T79,8)="Expense|",N(O79),0)+IF(LEFT(U79,8)="Expense|",N(N79),0)+IF(LEFT(V79,8)="Expense|",-N(L79),0)+IF(LEFT(W79,8)="Expense|",-N(M79),0)</f>
        <v/>
      </c>
      <c r="AA79" s="23">
        <f>IF(ISNUMBER(MATCH(T79,{"Expense|employee","Expense|general_admin","Expense|marketing","Expense|utilities","Expense|other_operating"},0)),N(O79),0)+IF(ISNUMBER(MATCH(U79,{"Expense|employee","Expense|general_admin","Expense|marketing","Expense|utilities","Expense|other_operating"},0)),N(N79),0)+IF(ISNUMBER(MATCH(V79,{"Expense|employee","Expense|general_admin","Expense|marketing","Expense|utilities","Expense|other_operating"},0)),-N(L79),0)+IF(ISNUMBER(MATCH(W79,{"Expense|employee","Expense|general_admin","Expense|marketing","Expense|utilities","Expense|other_operating"},0)),-N(M79),0)</f>
        <v/>
      </c>
      <c r="AB79" s="23">
        <f>IF(T79="Liability|payable",-N(O79),0)+IF(U79="Liability|payable",-N(N79),0)+IF(V79="Liability|payable",N(L79),0)+IF(W79="Liability|payable",N(M79),0)</f>
        <v/>
      </c>
      <c r="AC79" s="23">
        <f>IF(T79="Liability|accrued",-N(O79),0)+IF(U79="Liability|accrued",-N(N79),0)+IF(V79="Liability|accrued",N(L79),0)+IF(W79="Liability|accrued",N(M79),0)</f>
        <v/>
      </c>
      <c r="AD79" s="23">
        <f>IF(AND(N(O79)&lt;&gt;0,T79=""),1,0)+IF(AND(N(N79)&lt;&gt;0,U79=""),1,0)+IF(AND(N(L79)&lt;&gt;0,V79=""),1,0)+IF(AND(N(M79)&lt;&gt;0,W79=""),1,0)</f>
        <v/>
      </c>
    </row>
    <row r="80">
      <c r="A80" s="14" t="n"/>
      <c r="B80" s="19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21">
        <f>SUMIFS('Invoice Lines'!$I:$I,'Invoice Lines'!$A:$A,A80)</f>
        <v/>
      </c>
      <c r="L80" s="21">
        <f>IF(E80="Draft",0,K80)</f>
        <v/>
      </c>
      <c r="M80" s="21">
        <f>ROUND(L80*IFERROR(VLOOKUP(I80,'Tax Codes'!$A$5:$E$300,5,FALSE),0),2)</f>
        <v/>
      </c>
      <c r="N80" s="21">
        <f>ROUND(L80*IFERROR(VLOOKUP(J80,'Tax Codes'!$A$5:$E$300,5,FALSE),0),2)</f>
        <v/>
      </c>
      <c r="O80" s="21">
        <f>L80+M80-N80</f>
        <v/>
      </c>
      <c r="P80" s="16">
        <f>IF(F80="",INDEX('Chart of Accounts'!$A$5:$A$3000,MATCH("ar",'Chart of Accounts'!$F$5:$F$3000,0)),F80&amp;"")</f>
        <v/>
      </c>
      <c r="Q80" s="16">
        <f>IF(G80="",INDEX('Chart of Accounts'!$A$5:$A$3000,MATCH("revenue",'Chart of Accounts'!$F$5:$F$3000,0)),G80&amp;"")</f>
        <v/>
      </c>
      <c r="R80" s="16">
        <f>INDEX('Chart of Accounts'!$A$5:$A$3000,MATCH("wht_receivable",'Chart of Accounts'!$F$5:$F$3000,0))</f>
        <v/>
      </c>
      <c r="S80" s="16">
        <f>INDEX('Chart of Accounts'!$A$5:$A$3000,MATCH("vat_output",'Chart of Accounts'!$F$5:$F$3000,0))</f>
        <v/>
      </c>
      <c r="T80" s="23">
        <f>IFERROR(INDEX('Chart of Accounts'!$C$5:$C$3000,MATCH(P80&amp;"",'Chart of Accounts'!$A$5:$A$3000,0))&amp;"|"&amp;INDEX('Chart of Accounts'!$D$5:$D$3000,MATCH(P80&amp;"",'Chart of Accounts'!$A$5:$A$3000,0)),"")</f>
        <v/>
      </c>
      <c r="U80" s="23">
        <f>IFERROR(INDEX('Chart of Accounts'!$C$5:$C$3000,MATCH(R80&amp;"",'Chart of Accounts'!$A$5:$A$3000,0))&amp;"|"&amp;INDEX('Chart of Accounts'!$D$5:$D$3000,MATCH(R80&amp;"",'Chart of Accounts'!$A$5:$A$3000,0)),"")</f>
        <v/>
      </c>
      <c r="V80" s="23">
        <f>IFERROR(INDEX('Chart of Accounts'!$C$5:$C$3000,MATCH(Q80&amp;"",'Chart of Accounts'!$A$5:$A$3000,0))&amp;"|"&amp;INDEX('Chart of Accounts'!$D$5:$D$3000,MATCH(Q80&amp;"",'Chart of Accounts'!$A$5:$A$3000,0)),"")</f>
        <v/>
      </c>
      <c r="W80" s="23">
        <f>IFERROR(INDEX('Chart of Accounts'!$C$5:$C$3000,MATCH(S80&amp;"",'Chart of Accounts'!$A$5:$A$3000,0))&amp;"|"&amp;INDEX('Chart of Accounts'!$D$5:$D$3000,MATCH(S80&amp;"",'Chart of Accounts'!$A$5:$A$3000,0)),"")</f>
        <v/>
      </c>
      <c r="X80" s="23">
        <f>IF(LEFT(T80,8)="Revenue|",-N(O80),0)+IF(LEFT(U80,8)="Revenue|",-N(N80),0)+IF(LEFT(V80,8)="Revenue|",N(L80),0)+IF(LEFT(W80,8)="Revenue|",N(M80),0)</f>
        <v/>
      </c>
      <c r="Y80" s="23">
        <f>IF(LEFT(T80,5)="COGS|",N(O80),0)+IF(LEFT(U80,5)="COGS|",N(N80),0)+IF(LEFT(V80,5)="COGS|",-N(L80),0)+IF(LEFT(W80,5)="COGS|",-N(M80),0)</f>
        <v/>
      </c>
      <c r="Z80" s="23">
        <f>IF(LEFT(T80,8)="Expense|",N(O80),0)+IF(LEFT(U80,8)="Expense|",N(N80),0)+IF(LEFT(V80,8)="Expense|",-N(L80),0)+IF(LEFT(W80,8)="Expense|",-N(M80),0)</f>
        <v/>
      </c>
      <c r="AA80" s="23">
        <f>IF(ISNUMBER(MATCH(T80,{"Expense|employee","Expense|general_admin","Expense|marketing","Expense|utilities","Expense|other_operating"},0)),N(O80),0)+IF(ISNUMBER(MATCH(U80,{"Expense|employee","Expense|general_admin","Expense|marketing","Expense|utilities","Expense|other_operating"},0)),N(N80),0)+IF(ISNUMBER(MATCH(V80,{"Expense|employee","Expense|general_admin","Expense|marketing","Expense|utilities","Expense|other_operating"},0)),-N(L80),0)+IF(ISNUMBER(MATCH(W80,{"Expense|employee","Expense|general_admin","Expense|marketing","Expense|utilities","Expense|other_operating"},0)),-N(M80),0)</f>
        <v/>
      </c>
      <c r="AB80" s="23">
        <f>IF(T80="Liability|payable",-N(O80),0)+IF(U80="Liability|payable",-N(N80),0)+IF(V80="Liability|payable",N(L80),0)+IF(W80="Liability|payable",N(M80),0)</f>
        <v/>
      </c>
      <c r="AC80" s="23">
        <f>IF(T80="Liability|accrued",-N(O80),0)+IF(U80="Liability|accrued",-N(N80),0)+IF(V80="Liability|accrued",N(L80),0)+IF(W80="Liability|accrued",N(M80),0)</f>
        <v/>
      </c>
      <c r="AD80" s="23">
        <f>IF(AND(N(O80)&lt;&gt;0,T80=""),1,0)+IF(AND(N(N80)&lt;&gt;0,U80=""),1,0)+IF(AND(N(L80)&lt;&gt;0,V80=""),1,0)+IF(AND(N(M80)&lt;&gt;0,W80=""),1,0)</f>
        <v/>
      </c>
    </row>
    <row r="81">
      <c r="A81" s="14" t="n"/>
      <c r="B81" s="19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21">
        <f>SUMIFS('Invoice Lines'!$I:$I,'Invoice Lines'!$A:$A,A81)</f>
        <v/>
      </c>
      <c r="L81" s="21">
        <f>IF(E81="Draft",0,K81)</f>
        <v/>
      </c>
      <c r="M81" s="21">
        <f>ROUND(L81*IFERROR(VLOOKUP(I81,'Tax Codes'!$A$5:$E$300,5,FALSE),0),2)</f>
        <v/>
      </c>
      <c r="N81" s="21">
        <f>ROUND(L81*IFERROR(VLOOKUP(J81,'Tax Codes'!$A$5:$E$300,5,FALSE),0),2)</f>
        <v/>
      </c>
      <c r="O81" s="21">
        <f>L81+M81-N81</f>
        <v/>
      </c>
      <c r="P81" s="16">
        <f>IF(F81="",INDEX('Chart of Accounts'!$A$5:$A$3000,MATCH("ar",'Chart of Accounts'!$F$5:$F$3000,0)),F81&amp;"")</f>
        <v/>
      </c>
      <c r="Q81" s="16">
        <f>IF(G81="",INDEX('Chart of Accounts'!$A$5:$A$3000,MATCH("revenue",'Chart of Accounts'!$F$5:$F$3000,0)),G81&amp;"")</f>
        <v/>
      </c>
      <c r="R81" s="16">
        <f>INDEX('Chart of Accounts'!$A$5:$A$3000,MATCH("wht_receivable",'Chart of Accounts'!$F$5:$F$3000,0))</f>
        <v/>
      </c>
      <c r="S81" s="16">
        <f>INDEX('Chart of Accounts'!$A$5:$A$3000,MATCH("vat_output",'Chart of Accounts'!$F$5:$F$3000,0))</f>
        <v/>
      </c>
      <c r="T81" s="23">
        <f>IFERROR(INDEX('Chart of Accounts'!$C$5:$C$3000,MATCH(P81&amp;"",'Chart of Accounts'!$A$5:$A$3000,0))&amp;"|"&amp;INDEX('Chart of Accounts'!$D$5:$D$3000,MATCH(P81&amp;"",'Chart of Accounts'!$A$5:$A$3000,0)),"")</f>
        <v/>
      </c>
      <c r="U81" s="23">
        <f>IFERROR(INDEX('Chart of Accounts'!$C$5:$C$3000,MATCH(R81&amp;"",'Chart of Accounts'!$A$5:$A$3000,0))&amp;"|"&amp;INDEX('Chart of Accounts'!$D$5:$D$3000,MATCH(R81&amp;"",'Chart of Accounts'!$A$5:$A$3000,0)),"")</f>
        <v/>
      </c>
      <c r="V81" s="23">
        <f>IFERROR(INDEX('Chart of Accounts'!$C$5:$C$3000,MATCH(Q81&amp;"",'Chart of Accounts'!$A$5:$A$3000,0))&amp;"|"&amp;INDEX('Chart of Accounts'!$D$5:$D$3000,MATCH(Q81&amp;"",'Chart of Accounts'!$A$5:$A$3000,0)),"")</f>
        <v/>
      </c>
      <c r="W81" s="23">
        <f>IFERROR(INDEX('Chart of Accounts'!$C$5:$C$3000,MATCH(S81&amp;"",'Chart of Accounts'!$A$5:$A$3000,0))&amp;"|"&amp;INDEX('Chart of Accounts'!$D$5:$D$3000,MATCH(S81&amp;"",'Chart of Accounts'!$A$5:$A$3000,0)),"")</f>
        <v/>
      </c>
      <c r="X81" s="23">
        <f>IF(LEFT(T81,8)="Revenue|",-N(O81),0)+IF(LEFT(U81,8)="Revenue|",-N(N81),0)+IF(LEFT(V81,8)="Revenue|",N(L81),0)+IF(LEFT(W81,8)="Revenue|",N(M81),0)</f>
        <v/>
      </c>
      <c r="Y81" s="23">
        <f>IF(LEFT(T81,5)="COGS|",N(O81),0)+IF(LEFT(U81,5)="COGS|",N(N81),0)+IF(LEFT(V81,5)="COGS|",-N(L81),0)+IF(LEFT(W81,5)="COGS|",-N(M81),0)</f>
        <v/>
      </c>
      <c r="Z81" s="23">
        <f>IF(LEFT(T81,8)="Expense|",N(O81),0)+IF(LEFT(U81,8)="Expense|",N(N81),0)+IF(LEFT(V81,8)="Expense|",-N(L81),0)+IF(LEFT(W81,8)="Expense|",-N(M81),0)</f>
        <v/>
      </c>
      <c r="AA81" s="23">
        <f>IF(ISNUMBER(MATCH(T81,{"Expense|employee","Expense|general_admin","Expense|marketing","Expense|utilities","Expense|other_operating"},0)),N(O81),0)+IF(ISNUMBER(MATCH(U81,{"Expense|employee","Expense|general_admin","Expense|marketing","Expense|utilities","Expense|other_operating"},0)),N(N81),0)+IF(ISNUMBER(MATCH(V81,{"Expense|employee","Expense|general_admin","Expense|marketing","Expense|utilities","Expense|other_operating"},0)),-N(L81),0)+IF(ISNUMBER(MATCH(W81,{"Expense|employee","Expense|general_admin","Expense|marketing","Expense|utilities","Expense|other_operating"},0)),-N(M81),0)</f>
        <v/>
      </c>
      <c r="AB81" s="23">
        <f>IF(T81="Liability|payable",-N(O81),0)+IF(U81="Liability|payable",-N(N81),0)+IF(V81="Liability|payable",N(L81),0)+IF(W81="Liability|payable",N(M81),0)</f>
        <v/>
      </c>
      <c r="AC81" s="23">
        <f>IF(T81="Liability|accrued",-N(O81),0)+IF(U81="Liability|accrued",-N(N81),0)+IF(V81="Liability|accrued",N(L81),0)+IF(W81="Liability|accrued",N(M81),0)</f>
        <v/>
      </c>
      <c r="AD81" s="23">
        <f>IF(AND(N(O81)&lt;&gt;0,T81=""),1,0)+IF(AND(N(N81)&lt;&gt;0,U81=""),1,0)+IF(AND(N(L81)&lt;&gt;0,V81=""),1,0)+IF(AND(N(M81)&lt;&gt;0,W81=""),1,0)</f>
        <v/>
      </c>
    </row>
    <row r="82">
      <c r="A82" s="14" t="n"/>
      <c r="B82" s="19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21">
        <f>SUMIFS('Invoice Lines'!$I:$I,'Invoice Lines'!$A:$A,A82)</f>
        <v/>
      </c>
      <c r="L82" s="21">
        <f>IF(E82="Draft",0,K82)</f>
        <v/>
      </c>
      <c r="M82" s="21">
        <f>ROUND(L82*IFERROR(VLOOKUP(I82,'Tax Codes'!$A$5:$E$300,5,FALSE),0),2)</f>
        <v/>
      </c>
      <c r="N82" s="21">
        <f>ROUND(L82*IFERROR(VLOOKUP(J82,'Tax Codes'!$A$5:$E$300,5,FALSE),0),2)</f>
        <v/>
      </c>
      <c r="O82" s="21">
        <f>L82+M82-N82</f>
        <v/>
      </c>
      <c r="P82" s="16">
        <f>IF(F82="",INDEX('Chart of Accounts'!$A$5:$A$3000,MATCH("ar",'Chart of Accounts'!$F$5:$F$3000,0)),F82&amp;"")</f>
        <v/>
      </c>
      <c r="Q82" s="16">
        <f>IF(G82="",INDEX('Chart of Accounts'!$A$5:$A$3000,MATCH("revenue",'Chart of Accounts'!$F$5:$F$3000,0)),G82&amp;"")</f>
        <v/>
      </c>
      <c r="R82" s="16">
        <f>INDEX('Chart of Accounts'!$A$5:$A$3000,MATCH("wht_receivable",'Chart of Accounts'!$F$5:$F$3000,0))</f>
        <v/>
      </c>
      <c r="S82" s="16">
        <f>INDEX('Chart of Accounts'!$A$5:$A$3000,MATCH("vat_output",'Chart of Accounts'!$F$5:$F$3000,0))</f>
        <v/>
      </c>
      <c r="T82" s="23">
        <f>IFERROR(INDEX('Chart of Accounts'!$C$5:$C$3000,MATCH(P82&amp;"",'Chart of Accounts'!$A$5:$A$3000,0))&amp;"|"&amp;INDEX('Chart of Accounts'!$D$5:$D$3000,MATCH(P82&amp;"",'Chart of Accounts'!$A$5:$A$3000,0)),"")</f>
        <v/>
      </c>
      <c r="U82" s="23">
        <f>IFERROR(INDEX('Chart of Accounts'!$C$5:$C$3000,MATCH(R82&amp;"",'Chart of Accounts'!$A$5:$A$3000,0))&amp;"|"&amp;INDEX('Chart of Accounts'!$D$5:$D$3000,MATCH(R82&amp;"",'Chart of Accounts'!$A$5:$A$3000,0)),"")</f>
        <v/>
      </c>
      <c r="V82" s="23">
        <f>IFERROR(INDEX('Chart of Accounts'!$C$5:$C$3000,MATCH(Q82&amp;"",'Chart of Accounts'!$A$5:$A$3000,0))&amp;"|"&amp;INDEX('Chart of Accounts'!$D$5:$D$3000,MATCH(Q82&amp;"",'Chart of Accounts'!$A$5:$A$3000,0)),"")</f>
        <v/>
      </c>
      <c r="W82" s="23">
        <f>IFERROR(INDEX('Chart of Accounts'!$C$5:$C$3000,MATCH(S82&amp;"",'Chart of Accounts'!$A$5:$A$3000,0))&amp;"|"&amp;INDEX('Chart of Accounts'!$D$5:$D$3000,MATCH(S82&amp;"",'Chart of Accounts'!$A$5:$A$3000,0)),"")</f>
        <v/>
      </c>
      <c r="X82" s="23">
        <f>IF(LEFT(T82,8)="Revenue|",-N(O82),0)+IF(LEFT(U82,8)="Revenue|",-N(N82),0)+IF(LEFT(V82,8)="Revenue|",N(L82),0)+IF(LEFT(W82,8)="Revenue|",N(M82),0)</f>
        <v/>
      </c>
      <c r="Y82" s="23">
        <f>IF(LEFT(T82,5)="COGS|",N(O82),0)+IF(LEFT(U82,5)="COGS|",N(N82),0)+IF(LEFT(V82,5)="COGS|",-N(L82),0)+IF(LEFT(W82,5)="COGS|",-N(M82),0)</f>
        <v/>
      </c>
      <c r="Z82" s="23">
        <f>IF(LEFT(T82,8)="Expense|",N(O82),0)+IF(LEFT(U82,8)="Expense|",N(N82),0)+IF(LEFT(V82,8)="Expense|",-N(L82),0)+IF(LEFT(W82,8)="Expense|",-N(M82),0)</f>
        <v/>
      </c>
      <c r="AA82" s="23">
        <f>IF(ISNUMBER(MATCH(T82,{"Expense|employee","Expense|general_admin","Expense|marketing","Expense|utilities","Expense|other_operating"},0)),N(O82),0)+IF(ISNUMBER(MATCH(U82,{"Expense|employee","Expense|general_admin","Expense|marketing","Expense|utilities","Expense|other_operating"},0)),N(N82),0)+IF(ISNUMBER(MATCH(V82,{"Expense|employee","Expense|general_admin","Expense|marketing","Expense|utilities","Expense|other_operating"},0)),-N(L82),0)+IF(ISNUMBER(MATCH(W82,{"Expense|employee","Expense|general_admin","Expense|marketing","Expense|utilities","Expense|other_operating"},0)),-N(M82),0)</f>
        <v/>
      </c>
      <c r="AB82" s="23">
        <f>IF(T82="Liability|payable",-N(O82),0)+IF(U82="Liability|payable",-N(N82),0)+IF(V82="Liability|payable",N(L82),0)+IF(W82="Liability|payable",N(M82),0)</f>
        <v/>
      </c>
      <c r="AC82" s="23">
        <f>IF(T82="Liability|accrued",-N(O82),0)+IF(U82="Liability|accrued",-N(N82),0)+IF(V82="Liability|accrued",N(L82),0)+IF(W82="Liability|accrued",N(M82),0)</f>
        <v/>
      </c>
      <c r="AD82" s="23">
        <f>IF(AND(N(O82)&lt;&gt;0,T82=""),1,0)+IF(AND(N(N82)&lt;&gt;0,U82=""),1,0)+IF(AND(N(L82)&lt;&gt;0,V82=""),1,0)+IF(AND(N(M82)&lt;&gt;0,W82=""),1,0)</f>
        <v/>
      </c>
    </row>
    <row r="83">
      <c r="A83" s="14" t="n"/>
      <c r="B83" s="19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21">
        <f>SUMIFS('Invoice Lines'!$I:$I,'Invoice Lines'!$A:$A,A83)</f>
        <v/>
      </c>
      <c r="L83" s="21">
        <f>IF(E83="Draft",0,K83)</f>
        <v/>
      </c>
      <c r="M83" s="21">
        <f>ROUND(L83*IFERROR(VLOOKUP(I83,'Tax Codes'!$A$5:$E$300,5,FALSE),0),2)</f>
        <v/>
      </c>
      <c r="N83" s="21">
        <f>ROUND(L83*IFERROR(VLOOKUP(J83,'Tax Codes'!$A$5:$E$300,5,FALSE),0),2)</f>
        <v/>
      </c>
      <c r="O83" s="21">
        <f>L83+M83-N83</f>
        <v/>
      </c>
      <c r="P83" s="16">
        <f>IF(F83="",INDEX('Chart of Accounts'!$A$5:$A$3000,MATCH("ar",'Chart of Accounts'!$F$5:$F$3000,0)),F83&amp;"")</f>
        <v/>
      </c>
      <c r="Q83" s="16">
        <f>IF(G83="",INDEX('Chart of Accounts'!$A$5:$A$3000,MATCH("revenue",'Chart of Accounts'!$F$5:$F$3000,0)),G83&amp;"")</f>
        <v/>
      </c>
      <c r="R83" s="16">
        <f>INDEX('Chart of Accounts'!$A$5:$A$3000,MATCH("wht_receivable",'Chart of Accounts'!$F$5:$F$3000,0))</f>
        <v/>
      </c>
      <c r="S83" s="16">
        <f>INDEX('Chart of Accounts'!$A$5:$A$3000,MATCH("vat_output",'Chart of Accounts'!$F$5:$F$3000,0))</f>
        <v/>
      </c>
      <c r="T83" s="23">
        <f>IFERROR(INDEX('Chart of Accounts'!$C$5:$C$3000,MATCH(P83&amp;"",'Chart of Accounts'!$A$5:$A$3000,0))&amp;"|"&amp;INDEX('Chart of Accounts'!$D$5:$D$3000,MATCH(P83&amp;"",'Chart of Accounts'!$A$5:$A$3000,0)),"")</f>
        <v/>
      </c>
      <c r="U83" s="23">
        <f>IFERROR(INDEX('Chart of Accounts'!$C$5:$C$3000,MATCH(R83&amp;"",'Chart of Accounts'!$A$5:$A$3000,0))&amp;"|"&amp;INDEX('Chart of Accounts'!$D$5:$D$3000,MATCH(R83&amp;"",'Chart of Accounts'!$A$5:$A$3000,0)),"")</f>
        <v/>
      </c>
      <c r="V83" s="23">
        <f>IFERROR(INDEX('Chart of Accounts'!$C$5:$C$3000,MATCH(Q83&amp;"",'Chart of Accounts'!$A$5:$A$3000,0))&amp;"|"&amp;INDEX('Chart of Accounts'!$D$5:$D$3000,MATCH(Q83&amp;"",'Chart of Accounts'!$A$5:$A$3000,0)),"")</f>
        <v/>
      </c>
      <c r="W83" s="23">
        <f>IFERROR(INDEX('Chart of Accounts'!$C$5:$C$3000,MATCH(S83&amp;"",'Chart of Accounts'!$A$5:$A$3000,0))&amp;"|"&amp;INDEX('Chart of Accounts'!$D$5:$D$3000,MATCH(S83&amp;"",'Chart of Accounts'!$A$5:$A$3000,0)),"")</f>
        <v/>
      </c>
      <c r="X83" s="23">
        <f>IF(LEFT(T83,8)="Revenue|",-N(O83),0)+IF(LEFT(U83,8)="Revenue|",-N(N83),0)+IF(LEFT(V83,8)="Revenue|",N(L83),0)+IF(LEFT(W83,8)="Revenue|",N(M83),0)</f>
        <v/>
      </c>
      <c r="Y83" s="23">
        <f>IF(LEFT(T83,5)="COGS|",N(O83),0)+IF(LEFT(U83,5)="COGS|",N(N83),0)+IF(LEFT(V83,5)="COGS|",-N(L83),0)+IF(LEFT(W83,5)="COGS|",-N(M83),0)</f>
        <v/>
      </c>
      <c r="Z83" s="23">
        <f>IF(LEFT(T83,8)="Expense|",N(O83),0)+IF(LEFT(U83,8)="Expense|",N(N83),0)+IF(LEFT(V83,8)="Expense|",-N(L83),0)+IF(LEFT(W83,8)="Expense|",-N(M83),0)</f>
        <v/>
      </c>
      <c r="AA83" s="23">
        <f>IF(ISNUMBER(MATCH(T83,{"Expense|employee","Expense|general_admin","Expense|marketing","Expense|utilities","Expense|other_operating"},0)),N(O83),0)+IF(ISNUMBER(MATCH(U83,{"Expense|employee","Expense|general_admin","Expense|marketing","Expense|utilities","Expense|other_operating"},0)),N(N83),0)+IF(ISNUMBER(MATCH(V83,{"Expense|employee","Expense|general_admin","Expense|marketing","Expense|utilities","Expense|other_operating"},0)),-N(L83),0)+IF(ISNUMBER(MATCH(W83,{"Expense|employee","Expense|general_admin","Expense|marketing","Expense|utilities","Expense|other_operating"},0)),-N(M83),0)</f>
        <v/>
      </c>
      <c r="AB83" s="23">
        <f>IF(T83="Liability|payable",-N(O83),0)+IF(U83="Liability|payable",-N(N83),0)+IF(V83="Liability|payable",N(L83),0)+IF(W83="Liability|payable",N(M83),0)</f>
        <v/>
      </c>
      <c r="AC83" s="23">
        <f>IF(T83="Liability|accrued",-N(O83),0)+IF(U83="Liability|accrued",-N(N83),0)+IF(V83="Liability|accrued",N(L83),0)+IF(W83="Liability|accrued",N(M83),0)</f>
        <v/>
      </c>
      <c r="AD83" s="23">
        <f>IF(AND(N(O83)&lt;&gt;0,T83=""),1,0)+IF(AND(N(N83)&lt;&gt;0,U83=""),1,0)+IF(AND(N(L83)&lt;&gt;0,V83=""),1,0)+IF(AND(N(M83)&lt;&gt;0,W83=""),1,0)</f>
        <v/>
      </c>
    </row>
    <row r="84">
      <c r="A84" s="14" t="n"/>
      <c r="B84" s="19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21">
        <f>SUMIFS('Invoice Lines'!$I:$I,'Invoice Lines'!$A:$A,A84)</f>
        <v/>
      </c>
      <c r="L84" s="21">
        <f>IF(E84="Draft",0,K84)</f>
        <v/>
      </c>
      <c r="M84" s="21">
        <f>ROUND(L84*IFERROR(VLOOKUP(I84,'Tax Codes'!$A$5:$E$300,5,FALSE),0),2)</f>
        <v/>
      </c>
      <c r="N84" s="21">
        <f>ROUND(L84*IFERROR(VLOOKUP(J84,'Tax Codes'!$A$5:$E$300,5,FALSE),0),2)</f>
        <v/>
      </c>
      <c r="O84" s="21">
        <f>L84+M84-N84</f>
        <v/>
      </c>
      <c r="P84" s="16">
        <f>IF(F84="",INDEX('Chart of Accounts'!$A$5:$A$3000,MATCH("ar",'Chart of Accounts'!$F$5:$F$3000,0)),F84&amp;"")</f>
        <v/>
      </c>
      <c r="Q84" s="16">
        <f>IF(G84="",INDEX('Chart of Accounts'!$A$5:$A$3000,MATCH("revenue",'Chart of Accounts'!$F$5:$F$3000,0)),G84&amp;"")</f>
        <v/>
      </c>
      <c r="R84" s="16">
        <f>INDEX('Chart of Accounts'!$A$5:$A$3000,MATCH("wht_receivable",'Chart of Accounts'!$F$5:$F$3000,0))</f>
        <v/>
      </c>
      <c r="S84" s="16">
        <f>INDEX('Chart of Accounts'!$A$5:$A$3000,MATCH("vat_output",'Chart of Accounts'!$F$5:$F$3000,0))</f>
        <v/>
      </c>
      <c r="T84" s="23">
        <f>IFERROR(INDEX('Chart of Accounts'!$C$5:$C$3000,MATCH(P84&amp;"",'Chart of Accounts'!$A$5:$A$3000,0))&amp;"|"&amp;INDEX('Chart of Accounts'!$D$5:$D$3000,MATCH(P84&amp;"",'Chart of Accounts'!$A$5:$A$3000,0)),"")</f>
        <v/>
      </c>
      <c r="U84" s="23">
        <f>IFERROR(INDEX('Chart of Accounts'!$C$5:$C$3000,MATCH(R84&amp;"",'Chart of Accounts'!$A$5:$A$3000,0))&amp;"|"&amp;INDEX('Chart of Accounts'!$D$5:$D$3000,MATCH(R84&amp;"",'Chart of Accounts'!$A$5:$A$3000,0)),"")</f>
        <v/>
      </c>
      <c r="V84" s="23">
        <f>IFERROR(INDEX('Chart of Accounts'!$C$5:$C$3000,MATCH(Q84&amp;"",'Chart of Accounts'!$A$5:$A$3000,0))&amp;"|"&amp;INDEX('Chart of Accounts'!$D$5:$D$3000,MATCH(Q84&amp;"",'Chart of Accounts'!$A$5:$A$3000,0)),"")</f>
        <v/>
      </c>
      <c r="W84" s="23">
        <f>IFERROR(INDEX('Chart of Accounts'!$C$5:$C$3000,MATCH(S84&amp;"",'Chart of Accounts'!$A$5:$A$3000,0))&amp;"|"&amp;INDEX('Chart of Accounts'!$D$5:$D$3000,MATCH(S84&amp;"",'Chart of Accounts'!$A$5:$A$3000,0)),"")</f>
        <v/>
      </c>
      <c r="X84" s="23">
        <f>IF(LEFT(T84,8)="Revenue|",-N(O84),0)+IF(LEFT(U84,8)="Revenue|",-N(N84),0)+IF(LEFT(V84,8)="Revenue|",N(L84),0)+IF(LEFT(W84,8)="Revenue|",N(M84),0)</f>
        <v/>
      </c>
      <c r="Y84" s="23">
        <f>IF(LEFT(T84,5)="COGS|",N(O84),0)+IF(LEFT(U84,5)="COGS|",N(N84),0)+IF(LEFT(V84,5)="COGS|",-N(L84),0)+IF(LEFT(W84,5)="COGS|",-N(M84),0)</f>
        <v/>
      </c>
      <c r="Z84" s="23">
        <f>IF(LEFT(T84,8)="Expense|",N(O84),0)+IF(LEFT(U84,8)="Expense|",N(N84),0)+IF(LEFT(V84,8)="Expense|",-N(L84),0)+IF(LEFT(W84,8)="Expense|",-N(M84),0)</f>
        <v/>
      </c>
      <c r="AA84" s="23">
        <f>IF(ISNUMBER(MATCH(T84,{"Expense|employee","Expense|general_admin","Expense|marketing","Expense|utilities","Expense|other_operating"},0)),N(O84),0)+IF(ISNUMBER(MATCH(U84,{"Expense|employee","Expense|general_admin","Expense|marketing","Expense|utilities","Expense|other_operating"},0)),N(N84),0)+IF(ISNUMBER(MATCH(V84,{"Expense|employee","Expense|general_admin","Expense|marketing","Expense|utilities","Expense|other_operating"},0)),-N(L84),0)+IF(ISNUMBER(MATCH(W84,{"Expense|employee","Expense|general_admin","Expense|marketing","Expense|utilities","Expense|other_operating"},0)),-N(M84),0)</f>
        <v/>
      </c>
      <c r="AB84" s="23">
        <f>IF(T84="Liability|payable",-N(O84),0)+IF(U84="Liability|payable",-N(N84),0)+IF(V84="Liability|payable",N(L84),0)+IF(W84="Liability|payable",N(M84),0)</f>
        <v/>
      </c>
      <c r="AC84" s="23">
        <f>IF(T84="Liability|accrued",-N(O84),0)+IF(U84="Liability|accrued",-N(N84),0)+IF(V84="Liability|accrued",N(L84),0)+IF(W84="Liability|accrued",N(M84),0)</f>
        <v/>
      </c>
      <c r="AD84" s="23">
        <f>IF(AND(N(O84)&lt;&gt;0,T84=""),1,0)+IF(AND(N(N84)&lt;&gt;0,U84=""),1,0)+IF(AND(N(L84)&lt;&gt;0,V84=""),1,0)+IF(AND(N(M84)&lt;&gt;0,W84=""),1,0)</f>
        <v/>
      </c>
    </row>
    <row r="85">
      <c r="A85" s="14" t="n"/>
      <c r="B85" s="19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21">
        <f>SUMIFS('Invoice Lines'!$I:$I,'Invoice Lines'!$A:$A,A85)</f>
        <v/>
      </c>
      <c r="L85" s="21">
        <f>IF(E85="Draft",0,K85)</f>
        <v/>
      </c>
      <c r="M85" s="21">
        <f>ROUND(L85*IFERROR(VLOOKUP(I85,'Tax Codes'!$A$5:$E$300,5,FALSE),0),2)</f>
        <v/>
      </c>
      <c r="N85" s="21">
        <f>ROUND(L85*IFERROR(VLOOKUP(J85,'Tax Codes'!$A$5:$E$300,5,FALSE),0),2)</f>
        <v/>
      </c>
      <c r="O85" s="21">
        <f>L85+M85-N85</f>
        <v/>
      </c>
      <c r="P85" s="16">
        <f>IF(F85="",INDEX('Chart of Accounts'!$A$5:$A$3000,MATCH("ar",'Chart of Accounts'!$F$5:$F$3000,0)),F85&amp;"")</f>
        <v/>
      </c>
      <c r="Q85" s="16">
        <f>IF(G85="",INDEX('Chart of Accounts'!$A$5:$A$3000,MATCH("revenue",'Chart of Accounts'!$F$5:$F$3000,0)),G85&amp;"")</f>
        <v/>
      </c>
      <c r="R85" s="16">
        <f>INDEX('Chart of Accounts'!$A$5:$A$3000,MATCH("wht_receivable",'Chart of Accounts'!$F$5:$F$3000,0))</f>
        <v/>
      </c>
      <c r="S85" s="16">
        <f>INDEX('Chart of Accounts'!$A$5:$A$3000,MATCH("vat_output",'Chart of Accounts'!$F$5:$F$3000,0))</f>
        <v/>
      </c>
      <c r="T85" s="23">
        <f>IFERROR(INDEX('Chart of Accounts'!$C$5:$C$3000,MATCH(P85&amp;"",'Chart of Accounts'!$A$5:$A$3000,0))&amp;"|"&amp;INDEX('Chart of Accounts'!$D$5:$D$3000,MATCH(P85&amp;"",'Chart of Accounts'!$A$5:$A$3000,0)),"")</f>
        <v/>
      </c>
      <c r="U85" s="23">
        <f>IFERROR(INDEX('Chart of Accounts'!$C$5:$C$3000,MATCH(R85&amp;"",'Chart of Accounts'!$A$5:$A$3000,0))&amp;"|"&amp;INDEX('Chart of Accounts'!$D$5:$D$3000,MATCH(R85&amp;"",'Chart of Accounts'!$A$5:$A$3000,0)),"")</f>
        <v/>
      </c>
      <c r="V85" s="23">
        <f>IFERROR(INDEX('Chart of Accounts'!$C$5:$C$3000,MATCH(Q85&amp;"",'Chart of Accounts'!$A$5:$A$3000,0))&amp;"|"&amp;INDEX('Chart of Accounts'!$D$5:$D$3000,MATCH(Q85&amp;"",'Chart of Accounts'!$A$5:$A$3000,0)),"")</f>
        <v/>
      </c>
      <c r="W85" s="23">
        <f>IFERROR(INDEX('Chart of Accounts'!$C$5:$C$3000,MATCH(S85&amp;"",'Chart of Accounts'!$A$5:$A$3000,0))&amp;"|"&amp;INDEX('Chart of Accounts'!$D$5:$D$3000,MATCH(S85&amp;"",'Chart of Accounts'!$A$5:$A$3000,0)),"")</f>
        <v/>
      </c>
      <c r="X85" s="23">
        <f>IF(LEFT(T85,8)="Revenue|",-N(O85),0)+IF(LEFT(U85,8)="Revenue|",-N(N85),0)+IF(LEFT(V85,8)="Revenue|",N(L85),0)+IF(LEFT(W85,8)="Revenue|",N(M85),0)</f>
        <v/>
      </c>
      <c r="Y85" s="23">
        <f>IF(LEFT(T85,5)="COGS|",N(O85),0)+IF(LEFT(U85,5)="COGS|",N(N85),0)+IF(LEFT(V85,5)="COGS|",-N(L85),0)+IF(LEFT(W85,5)="COGS|",-N(M85),0)</f>
        <v/>
      </c>
      <c r="Z85" s="23">
        <f>IF(LEFT(T85,8)="Expense|",N(O85),0)+IF(LEFT(U85,8)="Expense|",N(N85),0)+IF(LEFT(V85,8)="Expense|",-N(L85),0)+IF(LEFT(W85,8)="Expense|",-N(M85),0)</f>
        <v/>
      </c>
      <c r="AA85" s="23">
        <f>IF(ISNUMBER(MATCH(T85,{"Expense|employee","Expense|general_admin","Expense|marketing","Expense|utilities","Expense|other_operating"},0)),N(O85),0)+IF(ISNUMBER(MATCH(U85,{"Expense|employee","Expense|general_admin","Expense|marketing","Expense|utilities","Expense|other_operating"},0)),N(N85),0)+IF(ISNUMBER(MATCH(V85,{"Expense|employee","Expense|general_admin","Expense|marketing","Expense|utilities","Expense|other_operating"},0)),-N(L85),0)+IF(ISNUMBER(MATCH(W85,{"Expense|employee","Expense|general_admin","Expense|marketing","Expense|utilities","Expense|other_operating"},0)),-N(M85),0)</f>
        <v/>
      </c>
      <c r="AB85" s="23">
        <f>IF(T85="Liability|payable",-N(O85),0)+IF(U85="Liability|payable",-N(N85),0)+IF(V85="Liability|payable",N(L85),0)+IF(W85="Liability|payable",N(M85),0)</f>
        <v/>
      </c>
      <c r="AC85" s="23">
        <f>IF(T85="Liability|accrued",-N(O85),0)+IF(U85="Liability|accrued",-N(N85),0)+IF(V85="Liability|accrued",N(L85),0)+IF(W85="Liability|accrued",N(M85),0)</f>
        <v/>
      </c>
      <c r="AD85" s="23">
        <f>IF(AND(N(O85)&lt;&gt;0,T85=""),1,0)+IF(AND(N(N85)&lt;&gt;0,U85=""),1,0)+IF(AND(N(L85)&lt;&gt;0,V85=""),1,0)+IF(AND(N(M85)&lt;&gt;0,W85=""),1,0)</f>
        <v/>
      </c>
    </row>
    <row r="86">
      <c r="A86" s="14" t="n"/>
      <c r="B86" s="19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21">
        <f>SUMIFS('Invoice Lines'!$I:$I,'Invoice Lines'!$A:$A,A86)</f>
        <v/>
      </c>
      <c r="L86" s="21">
        <f>IF(E86="Draft",0,K86)</f>
        <v/>
      </c>
      <c r="M86" s="21">
        <f>ROUND(L86*IFERROR(VLOOKUP(I86,'Tax Codes'!$A$5:$E$300,5,FALSE),0),2)</f>
        <v/>
      </c>
      <c r="N86" s="21">
        <f>ROUND(L86*IFERROR(VLOOKUP(J86,'Tax Codes'!$A$5:$E$300,5,FALSE),0),2)</f>
        <v/>
      </c>
      <c r="O86" s="21">
        <f>L86+M86-N86</f>
        <v/>
      </c>
      <c r="P86" s="16">
        <f>IF(F86="",INDEX('Chart of Accounts'!$A$5:$A$3000,MATCH("ar",'Chart of Accounts'!$F$5:$F$3000,0)),F86&amp;"")</f>
        <v/>
      </c>
      <c r="Q86" s="16">
        <f>IF(G86="",INDEX('Chart of Accounts'!$A$5:$A$3000,MATCH("revenue",'Chart of Accounts'!$F$5:$F$3000,0)),G86&amp;"")</f>
        <v/>
      </c>
      <c r="R86" s="16">
        <f>INDEX('Chart of Accounts'!$A$5:$A$3000,MATCH("wht_receivable",'Chart of Accounts'!$F$5:$F$3000,0))</f>
        <v/>
      </c>
      <c r="S86" s="16">
        <f>INDEX('Chart of Accounts'!$A$5:$A$3000,MATCH("vat_output",'Chart of Accounts'!$F$5:$F$3000,0))</f>
        <v/>
      </c>
      <c r="T86" s="23">
        <f>IFERROR(INDEX('Chart of Accounts'!$C$5:$C$3000,MATCH(P86&amp;"",'Chart of Accounts'!$A$5:$A$3000,0))&amp;"|"&amp;INDEX('Chart of Accounts'!$D$5:$D$3000,MATCH(P86&amp;"",'Chart of Accounts'!$A$5:$A$3000,0)),"")</f>
        <v/>
      </c>
      <c r="U86" s="23">
        <f>IFERROR(INDEX('Chart of Accounts'!$C$5:$C$3000,MATCH(R86&amp;"",'Chart of Accounts'!$A$5:$A$3000,0))&amp;"|"&amp;INDEX('Chart of Accounts'!$D$5:$D$3000,MATCH(R86&amp;"",'Chart of Accounts'!$A$5:$A$3000,0)),"")</f>
        <v/>
      </c>
      <c r="V86" s="23">
        <f>IFERROR(INDEX('Chart of Accounts'!$C$5:$C$3000,MATCH(Q86&amp;"",'Chart of Accounts'!$A$5:$A$3000,0))&amp;"|"&amp;INDEX('Chart of Accounts'!$D$5:$D$3000,MATCH(Q86&amp;"",'Chart of Accounts'!$A$5:$A$3000,0)),"")</f>
        <v/>
      </c>
      <c r="W86" s="23">
        <f>IFERROR(INDEX('Chart of Accounts'!$C$5:$C$3000,MATCH(S86&amp;"",'Chart of Accounts'!$A$5:$A$3000,0))&amp;"|"&amp;INDEX('Chart of Accounts'!$D$5:$D$3000,MATCH(S86&amp;"",'Chart of Accounts'!$A$5:$A$3000,0)),"")</f>
        <v/>
      </c>
      <c r="X86" s="23">
        <f>IF(LEFT(T86,8)="Revenue|",-N(O86),0)+IF(LEFT(U86,8)="Revenue|",-N(N86),0)+IF(LEFT(V86,8)="Revenue|",N(L86),0)+IF(LEFT(W86,8)="Revenue|",N(M86),0)</f>
        <v/>
      </c>
      <c r="Y86" s="23">
        <f>IF(LEFT(T86,5)="COGS|",N(O86),0)+IF(LEFT(U86,5)="COGS|",N(N86),0)+IF(LEFT(V86,5)="COGS|",-N(L86),0)+IF(LEFT(W86,5)="COGS|",-N(M86),0)</f>
        <v/>
      </c>
      <c r="Z86" s="23">
        <f>IF(LEFT(T86,8)="Expense|",N(O86),0)+IF(LEFT(U86,8)="Expense|",N(N86),0)+IF(LEFT(V86,8)="Expense|",-N(L86),0)+IF(LEFT(W86,8)="Expense|",-N(M86),0)</f>
        <v/>
      </c>
      <c r="AA86" s="23">
        <f>IF(ISNUMBER(MATCH(T86,{"Expense|employee","Expense|general_admin","Expense|marketing","Expense|utilities","Expense|other_operating"},0)),N(O86),0)+IF(ISNUMBER(MATCH(U86,{"Expense|employee","Expense|general_admin","Expense|marketing","Expense|utilities","Expense|other_operating"},0)),N(N86),0)+IF(ISNUMBER(MATCH(V86,{"Expense|employee","Expense|general_admin","Expense|marketing","Expense|utilities","Expense|other_operating"},0)),-N(L86),0)+IF(ISNUMBER(MATCH(W86,{"Expense|employee","Expense|general_admin","Expense|marketing","Expense|utilities","Expense|other_operating"},0)),-N(M86),0)</f>
        <v/>
      </c>
      <c r="AB86" s="23">
        <f>IF(T86="Liability|payable",-N(O86),0)+IF(U86="Liability|payable",-N(N86),0)+IF(V86="Liability|payable",N(L86),0)+IF(W86="Liability|payable",N(M86),0)</f>
        <v/>
      </c>
      <c r="AC86" s="23">
        <f>IF(T86="Liability|accrued",-N(O86),0)+IF(U86="Liability|accrued",-N(N86),0)+IF(V86="Liability|accrued",N(L86),0)+IF(W86="Liability|accrued",N(M86),0)</f>
        <v/>
      </c>
      <c r="AD86" s="23">
        <f>IF(AND(N(O86)&lt;&gt;0,T86=""),1,0)+IF(AND(N(N86)&lt;&gt;0,U86=""),1,0)+IF(AND(N(L86)&lt;&gt;0,V86=""),1,0)+IF(AND(N(M86)&lt;&gt;0,W86=""),1,0)</f>
        <v/>
      </c>
    </row>
    <row r="87">
      <c r="A87" s="14" t="n"/>
      <c r="B87" s="19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21">
        <f>SUMIFS('Invoice Lines'!$I:$I,'Invoice Lines'!$A:$A,A87)</f>
        <v/>
      </c>
      <c r="L87" s="21">
        <f>IF(E87="Draft",0,K87)</f>
        <v/>
      </c>
      <c r="M87" s="21">
        <f>ROUND(L87*IFERROR(VLOOKUP(I87,'Tax Codes'!$A$5:$E$300,5,FALSE),0),2)</f>
        <v/>
      </c>
      <c r="N87" s="21">
        <f>ROUND(L87*IFERROR(VLOOKUP(J87,'Tax Codes'!$A$5:$E$300,5,FALSE),0),2)</f>
        <v/>
      </c>
      <c r="O87" s="21">
        <f>L87+M87-N87</f>
        <v/>
      </c>
      <c r="P87" s="16">
        <f>IF(F87="",INDEX('Chart of Accounts'!$A$5:$A$3000,MATCH("ar",'Chart of Accounts'!$F$5:$F$3000,0)),F87&amp;"")</f>
        <v/>
      </c>
      <c r="Q87" s="16">
        <f>IF(G87="",INDEX('Chart of Accounts'!$A$5:$A$3000,MATCH("revenue",'Chart of Accounts'!$F$5:$F$3000,0)),G87&amp;"")</f>
        <v/>
      </c>
      <c r="R87" s="16">
        <f>INDEX('Chart of Accounts'!$A$5:$A$3000,MATCH("wht_receivable",'Chart of Accounts'!$F$5:$F$3000,0))</f>
        <v/>
      </c>
      <c r="S87" s="16">
        <f>INDEX('Chart of Accounts'!$A$5:$A$3000,MATCH("vat_output",'Chart of Accounts'!$F$5:$F$3000,0))</f>
        <v/>
      </c>
      <c r="T87" s="23">
        <f>IFERROR(INDEX('Chart of Accounts'!$C$5:$C$3000,MATCH(P87&amp;"",'Chart of Accounts'!$A$5:$A$3000,0))&amp;"|"&amp;INDEX('Chart of Accounts'!$D$5:$D$3000,MATCH(P87&amp;"",'Chart of Accounts'!$A$5:$A$3000,0)),"")</f>
        <v/>
      </c>
      <c r="U87" s="23">
        <f>IFERROR(INDEX('Chart of Accounts'!$C$5:$C$3000,MATCH(R87&amp;"",'Chart of Accounts'!$A$5:$A$3000,0))&amp;"|"&amp;INDEX('Chart of Accounts'!$D$5:$D$3000,MATCH(R87&amp;"",'Chart of Accounts'!$A$5:$A$3000,0)),"")</f>
        <v/>
      </c>
      <c r="V87" s="23">
        <f>IFERROR(INDEX('Chart of Accounts'!$C$5:$C$3000,MATCH(Q87&amp;"",'Chart of Accounts'!$A$5:$A$3000,0))&amp;"|"&amp;INDEX('Chart of Accounts'!$D$5:$D$3000,MATCH(Q87&amp;"",'Chart of Accounts'!$A$5:$A$3000,0)),"")</f>
        <v/>
      </c>
      <c r="W87" s="23">
        <f>IFERROR(INDEX('Chart of Accounts'!$C$5:$C$3000,MATCH(S87&amp;"",'Chart of Accounts'!$A$5:$A$3000,0))&amp;"|"&amp;INDEX('Chart of Accounts'!$D$5:$D$3000,MATCH(S87&amp;"",'Chart of Accounts'!$A$5:$A$3000,0)),"")</f>
        <v/>
      </c>
      <c r="X87" s="23">
        <f>IF(LEFT(T87,8)="Revenue|",-N(O87),0)+IF(LEFT(U87,8)="Revenue|",-N(N87),0)+IF(LEFT(V87,8)="Revenue|",N(L87),0)+IF(LEFT(W87,8)="Revenue|",N(M87),0)</f>
        <v/>
      </c>
      <c r="Y87" s="23">
        <f>IF(LEFT(T87,5)="COGS|",N(O87),0)+IF(LEFT(U87,5)="COGS|",N(N87),0)+IF(LEFT(V87,5)="COGS|",-N(L87),0)+IF(LEFT(W87,5)="COGS|",-N(M87),0)</f>
        <v/>
      </c>
      <c r="Z87" s="23">
        <f>IF(LEFT(T87,8)="Expense|",N(O87),0)+IF(LEFT(U87,8)="Expense|",N(N87),0)+IF(LEFT(V87,8)="Expense|",-N(L87),0)+IF(LEFT(W87,8)="Expense|",-N(M87),0)</f>
        <v/>
      </c>
      <c r="AA87" s="23">
        <f>IF(ISNUMBER(MATCH(T87,{"Expense|employee","Expense|general_admin","Expense|marketing","Expense|utilities","Expense|other_operating"},0)),N(O87),0)+IF(ISNUMBER(MATCH(U87,{"Expense|employee","Expense|general_admin","Expense|marketing","Expense|utilities","Expense|other_operating"},0)),N(N87),0)+IF(ISNUMBER(MATCH(V87,{"Expense|employee","Expense|general_admin","Expense|marketing","Expense|utilities","Expense|other_operating"},0)),-N(L87),0)+IF(ISNUMBER(MATCH(W87,{"Expense|employee","Expense|general_admin","Expense|marketing","Expense|utilities","Expense|other_operating"},0)),-N(M87),0)</f>
        <v/>
      </c>
      <c r="AB87" s="23">
        <f>IF(T87="Liability|payable",-N(O87),0)+IF(U87="Liability|payable",-N(N87),0)+IF(V87="Liability|payable",N(L87),0)+IF(W87="Liability|payable",N(M87),0)</f>
        <v/>
      </c>
      <c r="AC87" s="23">
        <f>IF(T87="Liability|accrued",-N(O87),0)+IF(U87="Liability|accrued",-N(N87),0)+IF(V87="Liability|accrued",N(L87),0)+IF(W87="Liability|accrued",N(M87),0)</f>
        <v/>
      </c>
      <c r="AD87" s="23">
        <f>IF(AND(N(O87)&lt;&gt;0,T87=""),1,0)+IF(AND(N(N87)&lt;&gt;0,U87=""),1,0)+IF(AND(N(L87)&lt;&gt;0,V87=""),1,0)+IF(AND(N(M87)&lt;&gt;0,W87=""),1,0)</f>
        <v/>
      </c>
    </row>
    <row r="88">
      <c r="A88" s="14" t="n"/>
      <c r="B88" s="19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21">
        <f>SUMIFS('Invoice Lines'!$I:$I,'Invoice Lines'!$A:$A,A88)</f>
        <v/>
      </c>
      <c r="L88" s="21">
        <f>IF(E88="Draft",0,K88)</f>
        <v/>
      </c>
      <c r="M88" s="21">
        <f>ROUND(L88*IFERROR(VLOOKUP(I88,'Tax Codes'!$A$5:$E$300,5,FALSE),0),2)</f>
        <v/>
      </c>
      <c r="N88" s="21">
        <f>ROUND(L88*IFERROR(VLOOKUP(J88,'Tax Codes'!$A$5:$E$300,5,FALSE),0),2)</f>
        <v/>
      </c>
      <c r="O88" s="21">
        <f>L88+M88-N88</f>
        <v/>
      </c>
      <c r="P88" s="16">
        <f>IF(F88="",INDEX('Chart of Accounts'!$A$5:$A$3000,MATCH("ar",'Chart of Accounts'!$F$5:$F$3000,0)),F88&amp;"")</f>
        <v/>
      </c>
      <c r="Q88" s="16">
        <f>IF(G88="",INDEX('Chart of Accounts'!$A$5:$A$3000,MATCH("revenue",'Chart of Accounts'!$F$5:$F$3000,0)),G88&amp;"")</f>
        <v/>
      </c>
      <c r="R88" s="16">
        <f>INDEX('Chart of Accounts'!$A$5:$A$3000,MATCH("wht_receivable",'Chart of Accounts'!$F$5:$F$3000,0))</f>
        <v/>
      </c>
      <c r="S88" s="16">
        <f>INDEX('Chart of Accounts'!$A$5:$A$3000,MATCH("vat_output",'Chart of Accounts'!$F$5:$F$3000,0))</f>
        <v/>
      </c>
      <c r="T88" s="23">
        <f>IFERROR(INDEX('Chart of Accounts'!$C$5:$C$3000,MATCH(P88&amp;"",'Chart of Accounts'!$A$5:$A$3000,0))&amp;"|"&amp;INDEX('Chart of Accounts'!$D$5:$D$3000,MATCH(P88&amp;"",'Chart of Accounts'!$A$5:$A$3000,0)),"")</f>
        <v/>
      </c>
      <c r="U88" s="23">
        <f>IFERROR(INDEX('Chart of Accounts'!$C$5:$C$3000,MATCH(R88&amp;"",'Chart of Accounts'!$A$5:$A$3000,0))&amp;"|"&amp;INDEX('Chart of Accounts'!$D$5:$D$3000,MATCH(R88&amp;"",'Chart of Accounts'!$A$5:$A$3000,0)),"")</f>
        <v/>
      </c>
      <c r="V88" s="23">
        <f>IFERROR(INDEX('Chart of Accounts'!$C$5:$C$3000,MATCH(Q88&amp;"",'Chart of Accounts'!$A$5:$A$3000,0))&amp;"|"&amp;INDEX('Chart of Accounts'!$D$5:$D$3000,MATCH(Q88&amp;"",'Chart of Accounts'!$A$5:$A$3000,0)),"")</f>
        <v/>
      </c>
      <c r="W88" s="23">
        <f>IFERROR(INDEX('Chart of Accounts'!$C$5:$C$3000,MATCH(S88&amp;"",'Chart of Accounts'!$A$5:$A$3000,0))&amp;"|"&amp;INDEX('Chart of Accounts'!$D$5:$D$3000,MATCH(S88&amp;"",'Chart of Accounts'!$A$5:$A$3000,0)),"")</f>
        <v/>
      </c>
      <c r="X88" s="23">
        <f>IF(LEFT(T88,8)="Revenue|",-N(O88),0)+IF(LEFT(U88,8)="Revenue|",-N(N88),0)+IF(LEFT(V88,8)="Revenue|",N(L88),0)+IF(LEFT(W88,8)="Revenue|",N(M88),0)</f>
        <v/>
      </c>
      <c r="Y88" s="23">
        <f>IF(LEFT(T88,5)="COGS|",N(O88),0)+IF(LEFT(U88,5)="COGS|",N(N88),0)+IF(LEFT(V88,5)="COGS|",-N(L88),0)+IF(LEFT(W88,5)="COGS|",-N(M88),0)</f>
        <v/>
      </c>
      <c r="Z88" s="23">
        <f>IF(LEFT(T88,8)="Expense|",N(O88),0)+IF(LEFT(U88,8)="Expense|",N(N88),0)+IF(LEFT(V88,8)="Expense|",-N(L88),0)+IF(LEFT(W88,8)="Expense|",-N(M88),0)</f>
        <v/>
      </c>
      <c r="AA88" s="23">
        <f>IF(ISNUMBER(MATCH(T88,{"Expense|employee","Expense|general_admin","Expense|marketing","Expense|utilities","Expense|other_operating"},0)),N(O88),0)+IF(ISNUMBER(MATCH(U88,{"Expense|employee","Expense|general_admin","Expense|marketing","Expense|utilities","Expense|other_operating"},0)),N(N88),0)+IF(ISNUMBER(MATCH(V88,{"Expense|employee","Expense|general_admin","Expense|marketing","Expense|utilities","Expense|other_operating"},0)),-N(L88),0)+IF(ISNUMBER(MATCH(W88,{"Expense|employee","Expense|general_admin","Expense|marketing","Expense|utilities","Expense|other_operating"},0)),-N(M88),0)</f>
        <v/>
      </c>
      <c r="AB88" s="23">
        <f>IF(T88="Liability|payable",-N(O88),0)+IF(U88="Liability|payable",-N(N88),0)+IF(V88="Liability|payable",N(L88),0)+IF(W88="Liability|payable",N(M88),0)</f>
        <v/>
      </c>
      <c r="AC88" s="23">
        <f>IF(T88="Liability|accrued",-N(O88),0)+IF(U88="Liability|accrued",-N(N88),0)+IF(V88="Liability|accrued",N(L88),0)+IF(W88="Liability|accrued",N(M88),0)</f>
        <v/>
      </c>
      <c r="AD88" s="23">
        <f>IF(AND(N(O88)&lt;&gt;0,T88=""),1,0)+IF(AND(N(N88)&lt;&gt;0,U88=""),1,0)+IF(AND(N(L88)&lt;&gt;0,V88=""),1,0)+IF(AND(N(M88)&lt;&gt;0,W88=""),1,0)</f>
        <v/>
      </c>
    </row>
    <row r="89">
      <c r="A89" s="14" t="n"/>
      <c r="B89" s="19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21">
        <f>SUMIFS('Invoice Lines'!$I:$I,'Invoice Lines'!$A:$A,A89)</f>
        <v/>
      </c>
      <c r="L89" s="21">
        <f>IF(E89="Draft",0,K89)</f>
        <v/>
      </c>
      <c r="M89" s="21">
        <f>ROUND(L89*IFERROR(VLOOKUP(I89,'Tax Codes'!$A$5:$E$300,5,FALSE),0),2)</f>
        <v/>
      </c>
      <c r="N89" s="21">
        <f>ROUND(L89*IFERROR(VLOOKUP(J89,'Tax Codes'!$A$5:$E$300,5,FALSE),0),2)</f>
        <v/>
      </c>
      <c r="O89" s="21">
        <f>L89+M89-N89</f>
        <v/>
      </c>
      <c r="P89" s="16">
        <f>IF(F89="",INDEX('Chart of Accounts'!$A$5:$A$3000,MATCH("ar",'Chart of Accounts'!$F$5:$F$3000,0)),F89&amp;"")</f>
        <v/>
      </c>
      <c r="Q89" s="16">
        <f>IF(G89="",INDEX('Chart of Accounts'!$A$5:$A$3000,MATCH("revenue",'Chart of Accounts'!$F$5:$F$3000,0)),G89&amp;"")</f>
        <v/>
      </c>
      <c r="R89" s="16">
        <f>INDEX('Chart of Accounts'!$A$5:$A$3000,MATCH("wht_receivable",'Chart of Accounts'!$F$5:$F$3000,0))</f>
        <v/>
      </c>
      <c r="S89" s="16">
        <f>INDEX('Chart of Accounts'!$A$5:$A$3000,MATCH("vat_output",'Chart of Accounts'!$F$5:$F$3000,0))</f>
        <v/>
      </c>
      <c r="T89" s="23">
        <f>IFERROR(INDEX('Chart of Accounts'!$C$5:$C$3000,MATCH(P89&amp;"",'Chart of Accounts'!$A$5:$A$3000,0))&amp;"|"&amp;INDEX('Chart of Accounts'!$D$5:$D$3000,MATCH(P89&amp;"",'Chart of Accounts'!$A$5:$A$3000,0)),"")</f>
        <v/>
      </c>
      <c r="U89" s="23">
        <f>IFERROR(INDEX('Chart of Accounts'!$C$5:$C$3000,MATCH(R89&amp;"",'Chart of Accounts'!$A$5:$A$3000,0))&amp;"|"&amp;INDEX('Chart of Accounts'!$D$5:$D$3000,MATCH(R89&amp;"",'Chart of Accounts'!$A$5:$A$3000,0)),"")</f>
        <v/>
      </c>
      <c r="V89" s="23">
        <f>IFERROR(INDEX('Chart of Accounts'!$C$5:$C$3000,MATCH(Q89&amp;"",'Chart of Accounts'!$A$5:$A$3000,0))&amp;"|"&amp;INDEX('Chart of Accounts'!$D$5:$D$3000,MATCH(Q89&amp;"",'Chart of Accounts'!$A$5:$A$3000,0)),"")</f>
        <v/>
      </c>
      <c r="W89" s="23">
        <f>IFERROR(INDEX('Chart of Accounts'!$C$5:$C$3000,MATCH(S89&amp;"",'Chart of Accounts'!$A$5:$A$3000,0))&amp;"|"&amp;INDEX('Chart of Accounts'!$D$5:$D$3000,MATCH(S89&amp;"",'Chart of Accounts'!$A$5:$A$3000,0)),"")</f>
        <v/>
      </c>
      <c r="X89" s="23">
        <f>IF(LEFT(T89,8)="Revenue|",-N(O89),0)+IF(LEFT(U89,8)="Revenue|",-N(N89),0)+IF(LEFT(V89,8)="Revenue|",N(L89),0)+IF(LEFT(W89,8)="Revenue|",N(M89),0)</f>
        <v/>
      </c>
      <c r="Y89" s="23">
        <f>IF(LEFT(T89,5)="COGS|",N(O89),0)+IF(LEFT(U89,5)="COGS|",N(N89),0)+IF(LEFT(V89,5)="COGS|",-N(L89),0)+IF(LEFT(W89,5)="COGS|",-N(M89),0)</f>
        <v/>
      </c>
      <c r="Z89" s="23">
        <f>IF(LEFT(T89,8)="Expense|",N(O89),0)+IF(LEFT(U89,8)="Expense|",N(N89),0)+IF(LEFT(V89,8)="Expense|",-N(L89),0)+IF(LEFT(W89,8)="Expense|",-N(M89),0)</f>
        <v/>
      </c>
      <c r="AA89" s="23">
        <f>IF(ISNUMBER(MATCH(T89,{"Expense|employee","Expense|general_admin","Expense|marketing","Expense|utilities","Expense|other_operating"},0)),N(O89),0)+IF(ISNUMBER(MATCH(U89,{"Expense|employee","Expense|general_admin","Expense|marketing","Expense|utilities","Expense|other_operating"},0)),N(N89),0)+IF(ISNUMBER(MATCH(V89,{"Expense|employee","Expense|general_admin","Expense|marketing","Expense|utilities","Expense|other_operating"},0)),-N(L89),0)+IF(ISNUMBER(MATCH(W89,{"Expense|employee","Expense|general_admin","Expense|marketing","Expense|utilities","Expense|other_operating"},0)),-N(M89),0)</f>
        <v/>
      </c>
      <c r="AB89" s="23">
        <f>IF(T89="Liability|payable",-N(O89),0)+IF(U89="Liability|payable",-N(N89),0)+IF(V89="Liability|payable",N(L89),0)+IF(W89="Liability|payable",N(M89),0)</f>
        <v/>
      </c>
      <c r="AC89" s="23">
        <f>IF(T89="Liability|accrued",-N(O89),0)+IF(U89="Liability|accrued",-N(N89),0)+IF(V89="Liability|accrued",N(L89),0)+IF(W89="Liability|accrued",N(M89),0)</f>
        <v/>
      </c>
      <c r="AD89" s="23">
        <f>IF(AND(N(O89)&lt;&gt;0,T89=""),1,0)+IF(AND(N(N89)&lt;&gt;0,U89=""),1,0)+IF(AND(N(L89)&lt;&gt;0,V89=""),1,0)+IF(AND(N(M89)&lt;&gt;0,W89=""),1,0)</f>
        <v/>
      </c>
    </row>
    <row r="90">
      <c r="A90" s="14" t="n"/>
      <c r="B90" s="19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21">
        <f>SUMIFS('Invoice Lines'!$I:$I,'Invoice Lines'!$A:$A,A90)</f>
        <v/>
      </c>
      <c r="L90" s="21">
        <f>IF(E90="Draft",0,K90)</f>
        <v/>
      </c>
      <c r="M90" s="21">
        <f>ROUND(L90*IFERROR(VLOOKUP(I90,'Tax Codes'!$A$5:$E$300,5,FALSE),0),2)</f>
        <v/>
      </c>
      <c r="N90" s="21">
        <f>ROUND(L90*IFERROR(VLOOKUP(J90,'Tax Codes'!$A$5:$E$300,5,FALSE),0),2)</f>
        <v/>
      </c>
      <c r="O90" s="21">
        <f>L90+M90-N90</f>
        <v/>
      </c>
      <c r="P90" s="16">
        <f>IF(F90="",INDEX('Chart of Accounts'!$A$5:$A$3000,MATCH("ar",'Chart of Accounts'!$F$5:$F$3000,0)),F90&amp;"")</f>
        <v/>
      </c>
      <c r="Q90" s="16">
        <f>IF(G90="",INDEX('Chart of Accounts'!$A$5:$A$3000,MATCH("revenue",'Chart of Accounts'!$F$5:$F$3000,0)),G90&amp;"")</f>
        <v/>
      </c>
      <c r="R90" s="16">
        <f>INDEX('Chart of Accounts'!$A$5:$A$3000,MATCH("wht_receivable",'Chart of Accounts'!$F$5:$F$3000,0))</f>
        <v/>
      </c>
      <c r="S90" s="16">
        <f>INDEX('Chart of Accounts'!$A$5:$A$3000,MATCH("vat_output",'Chart of Accounts'!$F$5:$F$3000,0))</f>
        <v/>
      </c>
      <c r="T90" s="23">
        <f>IFERROR(INDEX('Chart of Accounts'!$C$5:$C$3000,MATCH(P90&amp;"",'Chart of Accounts'!$A$5:$A$3000,0))&amp;"|"&amp;INDEX('Chart of Accounts'!$D$5:$D$3000,MATCH(P90&amp;"",'Chart of Accounts'!$A$5:$A$3000,0)),"")</f>
        <v/>
      </c>
      <c r="U90" s="23">
        <f>IFERROR(INDEX('Chart of Accounts'!$C$5:$C$3000,MATCH(R90&amp;"",'Chart of Accounts'!$A$5:$A$3000,0))&amp;"|"&amp;INDEX('Chart of Accounts'!$D$5:$D$3000,MATCH(R90&amp;"",'Chart of Accounts'!$A$5:$A$3000,0)),"")</f>
        <v/>
      </c>
      <c r="V90" s="23">
        <f>IFERROR(INDEX('Chart of Accounts'!$C$5:$C$3000,MATCH(Q90&amp;"",'Chart of Accounts'!$A$5:$A$3000,0))&amp;"|"&amp;INDEX('Chart of Accounts'!$D$5:$D$3000,MATCH(Q90&amp;"",'Chart of Accounts'!$A$5:$A$3000,0)),"")</f>
        <v/>
      </c>
      <c r="W90" s="23">
        <f>IFERROR(INDEX('Chart of Accounts'!$C$5:$C$3000,MATCH(S90&amp;"",'Chart of Accounts'!$A$5:$A$3000,0))&amp;"|"&amp;INDEX('Chart of Accounts'!$D$5:$D$3000,MATCH(S90&amp;"",'Chart of Accounts'!$A$5:$A$3000,0)),"")</f>
        <v/>
      </c>
      <c r="X90" s="23">
        <f>IF(LEFT(T90,8)="Revenue|",-N(O90),0)+IF(LEFT(U90,8)="Revenue|",-N(N90),0)+IF(LEFT(V90,8)="Revenue|",N(L90),0)+IF(LEFT(W90,8)="Revenue|",N(M90),0)</f>
        <v/>
      </c>
      <c r="Y90" s="23">
        <f>IF(LEFT(T90,5)="COGS|",N(O90),0)+IF(LEFT(U90,5)="COGS|",N(N90),0)+IF(LEFT(V90,5)="COGS|",-N(L90),0)+IF(LEFT(W90,5)="COGS|",-N(M90),0)</f>
        <v/>
      </c>
      <c r="Z90" s="23">
        <f>IF(LEFT(T90,8)="Expense|",N(O90),0)+IF(LEFT(U90,8)="Expense|",N(N90),0)+IF(LEFT(V90,8)="Expense|",-N(L90),0)+IF(LEFT(W90,8)="Expense|",-N(M90),0)</f>
        <v/>
      </c>
      <c r="AA90" s="23">
        <f>IF(ISNUMBER(MATCH(T90,{"Expense|employee","Expense|general_admin","Expense|marketing","Expense|utilities","Expense|other_operating"},0)),N(O90),0)+IF(ISNUMBER(MATCH(U90,{"Expense|employee","Expense|general_admin","Expense|marketing","Expense|utilities","Expense|other_operating"},0)),N(N90),0)+IF(ISNUMBER(MATCH(V90,{"Expense|employee","Expense|general_admin","Expense|marketing","Expense|utilities","Expense|other_operating"},0)),-N(L90),0)+IF(ISNUMBER(MATCH(W90,{"Expense|employee","Expense|general_admin","Expense|marketing","Expense|utilities","Expense|other_operating"},0)),-N(M90),0)</f>
        <v/>
      </c>
      <c r="AB90" s="23">
        <f>IF(T90="Liability|payable",-N(O90),0)+IF(U90="Liability|payable",-N(N90),0)+IF(V90="Liability|payable",N(L90),0)+IF(W90="Liability|payable",N(M90),0)</f>
        <v/>
      </c>
      <c r="AC90" s="23">
        <f>IF(T90="Liability|accrued",-N(O90),0)+IF(U90="Liability|accrued",-N(N90),0)+IF(V90="Liability|accrued",N(L90),0)+IF(W90="Liability|accrued",N(M90),0)</f>
        <v/>
      </c>
      <c r="AD90" s="23">
        <f>IF(AND(N(O90)&lt;&gt;0,T90=""),1,0)+IF(AND(N(N90)&lt;&gt;0,U90=""),1,0)+IF(AND(N(L90)&lt;&gt;0,V90=""),1,0)+IF(AND(N(M90)&lt;&gt;0,W90=""),1,0)</f>
        <v/>
      </c>
    </row>
    <row r="91">
      <c r="A91" s="14" t="n"/>
      <c r="B91" s="19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21">
        <f>SUMIFS('Invoice Lines'!$I:$I,'Invoice Lines'!$A:$A,A91)</f>
        <v/>
      </c>
      <c r="L91" s="21">
        <f>IF(E91="Draft",0,K91)</f>
        <v/>
      </c>
      <c r="M91" s="21">
        <f>ROUND(L91*IFERROR(VLOOKUP(I91,'Tax Codes'!$A$5:$E$300,5,FALSE),0),2)</f>
        <v/>
      </c>
      <c r="N91" s="21">
        <f>ROUND(L91*IFERROR(VLOOKUP(J91,'Tax Codes'!$A$5:$E$300,5,FALSE),0),2)</f>
        <v/>
      </c>
      <c r="O91" s="21">
        <f>L91+M91-N91</f>
        <v/>
      </c>
      <c r="P91" s="16">
        <f>IF(F91="",INDEX('Chart of Accounts'!$A$5:$A$3000,MATCH("ar",'Chart of Accounts'!$F$5:$F$3000,0)),F91&amp;"")</f>
        <v/>
      </c>
      <c r="Q91" s="16">
        <f>IF(G91="",INDEX('Chart of Accounts'!$A$5:$A$3000,MATCH("revenue",'Chart of Accounts'!$F$5:$F$3000,0)),G91&amp;"")</f>
        <v/>
      </c>
      <c r="R91" s="16">
        <f>INDEX('Chart of Accounts'!$A$5:$A$3000,MATCH("wht_receivable",'Chart of Accounts'!$F$5:$F$3000,0))</f>
        <v/>
      </c>
      <c r="S91" s="16">
        <f>INDEX('Chart of Accounts'!$A$5:$A$3000,MATCH("vat_output",'Chart of Accounts'!$F$5:$F$3000,0))</f>
        <v/>
      </c>
      <c r="T91" s="23">
        <f>IFERROR(INDEX('Chart of Accounts'!$C$5:$C$3000,MATCH(P91&amp;"",'Chart of Accounts'!$A$5:$A$3000,0))&amp;"|"&amp;INDEX('Chart of Accounts'!$D$5:$D$3000,MATCH(P91&amp;"",'Chart of Accounts'!$A$5:$A$3000,0)),"")</f>
        <v/>
      </c>
      <c r="U91" s="23">
        <f>IFERROR(INDEX('Chart of Accounts'!$C$5:$C$3000,MATCH(R91&amp;"",'Chart of Accounts'!$A$5:$A$3000,0))&amp;"|"&amp;INDEX('Chart of Accounts'!$D$5:$D$3000,MATCH(R91&amp;"",'Chart of Accounts'!$A$5:$A$3000,0)),"")</f>
        <v/>
      </c>
      <c r="V91" s="23">
        <f>IFERROR(INDEX('Chart of Accounts'!$C$5:$C$3000,MATCH(Q91&amp;"",'Chart of Accounts'!$A$5:$A$3000,0))&amp;"|"&amp;INDEX('Chart of Accounts'!$D$5:$D$3000,MATCH(Q91&amp;"",'Chart of Accounts'!$A$5:$A$3000,0)),"")</f>
        <v/>
      </c>
      <c r="W91" s="23">
        <f>IFERROR(INDEX('Chart of Accounts'!$C$5:$C$3000,MATCH(S91&amp;"",'Chart of Accounts'!$A$5:$A$3000,0))&amp;"|"&amp;INDEX('Chart of Accounts'!$D$5:$D$3000,MATCH(S91&amp;"",'Chart of Accounts'!$A$5:$A$3000,0)),"")</f>
        <v/>
      </c>
      <c r="X91" s="23">
        <f>IF(LEFT(T91,8)="Revenue|",-N(O91),0)+IF(LEFT(U91,8)="Revenue|",-N(N91),0)+IF(LEFT(V91,8)="Revenue|",N(L91),0)+IF(LEFT(W91,8)="Revenue|",N(M91),0)</f>
        <v/>
      </c>
      <c r="Y91" s="23">
        <f>IF(LEFT(T91,5)="COGS|",N(O91),0)+IF(LEFT(U91,5)="COGS|",N(N91),0)+IF(LEFT(V91,5)="COGS|",-N(L91),0)+IF(LEFT(W91,5)="COGS|",-N(M91),0)</f>
        <v/>
      </c>
      <c r="Z91" s="23">
        <f>IF(LEFT(T91,8)="Expense|",N(O91),0)+IF(LEFT(U91,8)="Expense|",N(N91),0)+IF(LEFT(V91,8)="Expense|",-N(L91),0)+IF(LEFT(W91,8)="Expense|",-N(M91),0)</f>
        <v/>
      </c>
      <c r="AA91" s="23">
        <f>IF(ISNUMBER(MATCH(T91,{"Expense|employee","Expense|general_admin","Expense|marketing","Expense|utilities","Expense|other_operating"},0)),N(O91),0)+IF(ISNUMBER(MATCH(U91,{"Expense|employee","Expense|general_admin","Expense|marketing","Expense|utilities","Expense|other_operating"},0)),N(N91),0)+IF(ISNUMBER(MATCH(V91,{"Expense|employee","Expense|general_admin","Expense|marketing","Expense|utilities","Expense|other_operating"},0)),-N(L91),0)+IF(ISNUMBER(MATCH(W91,{"Expense|employee","Expense|general_admin","Expense|marketing","Expense|utilities","Expense|other_operating"},0)),-N(M91),0)</f>
        <v/>
      </c>
      <c r="AB91" s="23">
        <f>IF(T91="Liability|payable",-N(O91),0)+IF(U91="Liability|payable",-N(N91),0)+IF(V91="Liability|payable",N(L91),0)+IF(W91="Liability|payable",N(M91),0)</f>
        <v/>
      </c>
      <c r="AC91" s="23">
        <f>IF(T91="Liability|accrued",-N(O91),0)+IF(U91="Liability|accrued",-N(N91),0)+IF(V91="Liability|accrued",N(L91),0)+IF(W91="Liability|accrued",N(M91),0)</f>
        <v/>
      </c>
      <c r="AD91" s="23">
        <f>IF(AND(N(O91)&lt;&gt;0,T91=""),1,0)+IF(AND(N(N91)&lt;&gt;0,U91=""),1,0)+IF(AND(N(L91)&lt;&gt;0,V91=""),1,0)+IF(AND(N(M91)&lt;&gt;0,W91=""),1,0)</f>
        <v/>
      </c>
    </row>
    <row r="92">
      <c r="A92" s="14" t="n"/>
      <c r="B92" s="19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21">
        <f>SUMIFS('Invoice Lines'!$I:$I,'Invoice Lines'!$A:$A,A92)</f>
        <v/>
      </c>
      <c r="L92" s="21">
        <f>IF(E92="Draft",0,K92)</f>
        <v/>
      </c>
      <c r="M92" s="21">
        <f>ROUND(L92*IFERROR(VLOOKUP(I92,'Tax Codes'!$A$5:$E$300,5,FALSE),0),2)</f>
        <v/>
      </c>
      <c r="N92" s="21">
        <f>ROUND(L92*IFERROR(VLOOKUP(J92,'Tax Codes'!$A$5:$E$300,5,FALSE),0),2)</f>
        <v/>
      </c>
      <c r="O92" s="21">
        <f>L92+M92-N92</f>
        <v/>
      </c>
      <c r="P92" s="16">
        <f>IF(F92="",INDEX('Chart of Accounts'!$A$5:$A$3000,MATCH("ar",'Chart of Accounts'!$F$5:$F$3000,0)),F92&amp;"")</f>
        <v/>
      </c>
      <c r="Q92" s="16">
        <f>IF(G92="",INDEX('Chart of Accounts'!$A$5:$A$3000,MATCH("revenue",'Chart of Accounts'!$F$5:$F$3000,0)),G92&amp;"")</f>
        <v/>
      </c>
      <c r="R92" s="16">
        <f>INDEX('Chart of Accounts'!$A$5:$A$3000,MATCH("wht_receivable",'Chart of Accounts'!$F$5:$F$3000,0))</f>
        <v/>
      </c>
      <c r="S92" s="16">
        <f>INDEX('Chart of Accounts'!$A$5:$A$3000,MATCH("vat_output",'Chart of Accounts'!$F$5:$F$3000,0))</f>
        <v/>
      </c>
      <c r="T92" s="23">
        <f>IFERROR(INDEX('Chart of Accounts'!$C$5:$C$3000,MATCH(P92&amp;"",'Chart of Accounts'!$A$5:$A$3000,0))&amp;"|"&amp;INDEX('Chart of Accounts'!$D$5:$D$3000,MATCH(P92&amp;"",'Chart of Accounts'!$A$5:$A$3000,0)),"")</f>
        <v/>
      </c>
      <c r="U92" s="23">
        <f>IFERROR(INDEX('Chart of Accounts'!$C$5:$C$3000,MATCH(R92&amp;"",'Chart of Accounts'!$A$5:$A$3000,0))&amp;"|"&amp;INDEX('Chart of Accounts'!$D$5:$D$3000,MATCH(R92&amp;"",'Chart of Accounts'!$A$5:$A$3000,0)),"")</f>
        <v/>
      </c>
      <c r="V92" s="23">
        <f>IFERROR(INDEX('Chart of Accounts'!$C$5:$C$3000,MATCH(Q92&amp;"",'Chart of Accounts'!$A$5:$A$3000,0))&amp;"|"&amp;INDEX('Chart of Accounts'!$D$5:$D$3000,MATCH(Q92&amp;"",'Chart of Accounts'!$A$5:$A$3000,0)),"")</f>
        <v/>
      </c>
      <c r="W92" s="23">
        <f>IFERROR(INDEX('Chart of Accounts'!$C$5:$C$3000,MATCH(S92&amp;"",'Chart of Accounts'!$A$5:$A$3000,0))&amp;"|"&amp;INDEX('Chart of Accounts'!$D$5:$D$3000,MATCH(S92&amp;"",'Chart of Accounts'!$A$5:$A$3000,0)),"")</f>
        <v/>
      </c>
      <c r="X92" s="23">
        <f>IF(LEFT(T92,8)="Revenue|",-N(O92),0)+IF(LEFT(U92,8)="Revenue|",-N(N92),0)+IF(LEFT(V92,8)="Revenue|",N(L92),0)+IF(LEFT(W92,8)="Revenue|",N(M92),0)</f>
        <v/>
      </c>
      <c r="Y92" s="23">
        <f>IF(LEFT(T92,5)="COGS|",N(O92),0)+IF(LEFT(U92,5)="COGS|",N(N92),0)+IF(LEFT(V92,5)="COGS|",-N(L92),0)+IF(LEFT(W92,5)="COGS|",-N(M92),0)</f>
        <v/>
      </c>
      <c r="Z92" s="23">
        <f>IF(LEFT(T92,8)="Expense|",N(O92),0)+IF(LEFT(U92,8)="Expense|",N(N92),0)+IF(LEFT(V92,8)="Expense|",-N(L92),0)+IF(LEFT(W92,8)="Expense|",-N(M92),0)</f>
        <v/>
      </c>
      <c r="AA92" s="23">
        <f>IF(ISNUMBER(MATCH(T92,{"Expense|employee","Expense|general_admin","Expense|marketing","Expense|utilities","Expense|other_operating"},0)),N(O92),0)+IF(ISNUMBER(MATCH(U92,{"Expense|employee","Expense|general_admin","Expense|marketing","Expense|utilities","Expense|other_operating"},0)),N(N92),0)+IF(ISNUMBER(MATCH(V92,{"Expense|employee","Expense|general_admin","Expense|marketing","Expense|utilities","Expense|other_operating"},0)),-N(L92),0)+IF(ISNUMBER(MATCH(W92,{"Expense|employee","Expense|general_admin","Expense|marketing","Expense|utilities","Expense|other_operating"},0)),-N(M92),0)</f>
        <v/>
      </c>
      <c r="AB92" s="23">
        <f>IF(T92="Liability|payable",-N(O92),0)+IF(U92="Liability|payable",-N(N92),0)+IF(V92="Liability|payable",N(L92),0)+IF(W92="Liability|payable",N(M92),0)</f>
        <v/>
      </c>
      <c r="AC92" s="23">
        <f>IF(T92="Liability|accrued",-N(O92),0)+IF(U92="Liability|accrued",-N(N92),0)+IF(V92="Liability|accrued",N(L92),0)+IF(W92="Liability|accrued",N(M92),0)</f>
        <v/>
      </c>
      <c r="AD92" s="23">
        <f>IF(AND(N(O92)&lt;&gt;0,T92=""),1,0)+IF(AND(N(N92)&lt;&gt;0,U92=""),1,0)+IF(AND(N(L92)&lt;&gt;0,V92=""),1,0)+IF(AND(N(M92)&lt;&gt;0,W92=""),1,0)</f>
        <v/>
      </c>
    </row>
    <row r="93">
      <c r="A93" s="14" t="n"/>
      <c r="B93" s="19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21">
        <f>SUMIFS('Invoice Lines'!$I:$I,'Invoice Lines'!$A:$A,A93)</f>
        <v/>
      </c>
      <c r="L93" s="21">
        <f>IF(E93="Draft",0,K93)</f>
        <v/>
      </c>
      <c r="M93" s="21">
        <f>ROUND(L93*IFERROR(VLOOKUP(I93,'Tax Codes'!$A$5:$E$300,5,FALSE),0),2)</f>
        <v/>
      </c>
      <c r="N93" s="21">
        <f>ROUND(L93*IFERROR(VLOOKUP(J93,'Tax Codes'!$A$5:$E$300,5,FALSE),0),2)</f>
        <v/>
      </c>
      <c r="O93" s="21">
        <f>L93+M93-N93</f>
        <v/>
      </c>
      <c r="P93" s="16">
        <f>IF(F93="",INDEX('Chart of Accounts'!$A$5:$A$3000,MATCH("ar",'Chart of Accounts'!$F$5:$F$3000,0)),F93&amp;"")</f>
        <v/>
      </c>
      <c r="Q93" s="16">
        <f>IF(G93="",INDEX('Chart of Accounts'!$A$5:$A$3000,MATCH("revenue",'Chart of Accounts'!$F$5:$F$3000,0)),G93&amp;"")</f>
        <v/>
      </c>
      <c r="R93" s="16">
        <f>INDEX('Chart of Accounts'!$A$5:$A$3000,MATCH("wht_receivable",'Chart of Accounts'!$F$5:$F$3000,0))</f>
        <v/>
      </c>
      <c r="S93" s="16">
        <f>INDEX('Chart of Accounts'!$A$5:$A$3000,MATCH("vat_output",'Chart of Accounts'!$F$5:$F$3000,0))</f>
        <v/>
      </c>
      <c r="T93" s="23">
        <f>IFERROR(INDEX('Chart of Accounts'!$C$5:$C$3000,MATCH(P93&amp;"",'Chart of Accounts'!$A$5:$A$3000,0))&amp;"|"&amp;INDEX('Chart of Accounts'!$D$5:$D$3000,MATCH(P93&amp;"",'Chart of Accounts'!$A$5:$A$3000,0)),"")</f>
        <v/>
      </c>
      <c r="U93" s="23">
        <f>IFERROR(INDEX('Chart of Accounts'!$C$5:$C$3000,MATCH(R93&amp;"",'Chart of Accounts'!$A$5:$A$3000,0))&amp;"|"&amp;INDEX('Chart of Accounts'!$D$5:$D$3000,MATCH(R93&amp;"",'Chart of Accounts'!$A$5:$A$3000,0)),"")</f>
        <v/>
      </c>
      <c r="V93" s="23">
        <f>IFERROR(INDEX('Chart of Accounts'!$C$5:$C$3000,MATCH(Q93&amp;"",'Chart of Accounts'!$A$5:$A$3000,0))&amp;"|"&amp;INDEX('Chart of Accounts'!$D$5:$D$3000,MATCH(Q93&amp;"",'Chart of Accounts'!$A$5:$A$3000,0)),"")</f>
        <v/>
      </c>
      <c r="W93" s="23">
        <f>IFERROR(INDEX('Chart of Accounts'!$C$5:$C$3000,MATCH(S93&amp;"",'Chart of Accounts'!$A$5:$A$3000,0))&amp;"|"&amp;INDEX('Chart of Accounts'!$D$5:$D$3000,MATCH(S93&amp;"",'Chart of Accounts'!$A$5:$A$3000,0)),"")</f>
        <v/>
      </c>
      <c r="X93" s="23">
        <f>IF(LEFT(T93,8)="Revenue|",-N(O93),0)+IF(LEFT(U93,8)="Revenue|",-N(N93),0)+IF(LEFT(V93,8)="Revenue|",N(L93),0)+IF(LEFT(W93,8)="Revenue|",N(M93),0)</f>
        <v/>
      </c>
      <c r="Y93" s="23">
        <f>IF(LEFT(T93,5)="COGS|",N(O93),0)+IF(LEFT(U93,5)="COGS|",N(N93),0)+IF(LEFT(V93,5)="COGS|",-N(L93),0)+IF(LEFT(W93,5)="COGS|",-N(M93),0)</f>
        <v/>
      </c>
      <c r="Z93" s="23">
        <f>IF(LEFT(T93,8)="Expense|",N(O93),0)+IF(LEFT(U93,8)="Expense|",N(N93),0)+IF(LEFT(V93,8)="Expense|",-N(L93),0)+IF(LEFT(W93,8)="Expense|",-N(M93),0)</f>
        <v/>
      </c>
      <c r="AA93" s="23">
        <f>IF(ISNUMBER(MATCH(T93,{"Expense|employee","Expense|general_admin","Expense|marketing","Expense|utilities","Expense|other_operating"},0)),N(O93),0)+IF(ISNUMBER(MATCH(U93,{"Expense|employee","Expense|general_admin","Expense|marketing","Expense|utilities","Expense|other_operating"},0)),N(N93),0)+IF(ISNUMBER(MATCH(V93,{"Expense|employee","Expense|general_admin","Expense|marketing","Expense|utilities","Expense|other_operating"},0)),-N(L93),0)+IF(ISNUMBER(MATCH(W93,{"Expense|employee","Expense|general_admin","Expense|marketing","Expense|utilities","Expense|other_operating"},0)),-N(M93),0)</f>
        <v/>
      </c>
      <c r="AB93" s="23">
        <f>IF(T93="Liability|payable",-N(O93),0)+IF(U93="Liability|payable",-N(N93),0)+IF(V93="Liability|payable",N(L93),0)+IF(W93="Liability|payable",N(M93),0)</f>
        <v/>
      </c>
      <c r="AC93" s="23">
        <f>IF(T93="Liability|accrued",-N(O93),0)+IF(U93="Liability|accrued",-N(N93),0)+IF(V93="Liability|accrued",N(L93),0)+IF(W93="Liability|accrued",N(M93),0)</f>
        <v/>
      </c>
      <c r="AD93" s="23">
        <f>IF(AND(N(O93)&lt;&gt;0,T93=""),1,0)+IF(AND(N(N93)&lt;&gt;0,U93=""),1,0)+IF(AND(N(L93)&lt;&gt;0,V93=""),1,0)+IF(AND(N(M93)&lt;&gt;0,W93=""),1,0)</f>
        <v/>
      </c>
    </row>
    <row r="94">
      <c r="A94" s="14" t="n"/>
      <c r="B94" s="19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21">
        <f>SUMIFS('Invoice Lines'!$I:$I,'Invoice Lines'!$A:$A,A94)</f>
        <v/>
      </c>
      <c r="L94" s="21">
        <f>IF(E94="Draft",0,K94)</f>
        <v/>
      </c>
      <c r="M94" s="21">
        <f>ROUND(L94*IFERROR(VLOOKUP(I94,'Tax Codes'!$A$5:$E$300,5,FALSE),0),2)</f>
        <v/>
      </c>
      <c r="N94" s="21">
        <f>ROUND(L94*IFERROR(VLOOKUP(J94,'Tax Codes'!$A$5:$E$300,5,FALSE),0),2)</f>
        <v/>
      </c>
      <c r="O94" s="21">
        <f>L94+M94-N94</f>
        <v/>
      </c>
      <c r="P94" s="16">
        <f>IF(F94="",INDEX('Chart of Accounts'!$A$5:$A$3000,MATCH("ar",'Chart of Accounts'!$F$5:$F$3000,0)),F94&amp;"")</f>
        <v/>
      </c>
      <c r="Q94" s="16">
        <f>IF(G94="",INDEX('Chart of Accounts'!$A$5:$A$3000,MATCH("revenue",'Chart of Accounts'!$F$5:$F$3000,0)),G94&amp;"")</f>
        <v/>
      </c>
      <c r="R94" s="16">
        <f>INDEX('Chart of Accounts'!$A$5:$A$3000,MATCH("wht_receivable",'Chart of Accounts'!$F$5:$F$3000,0))</f>
        <v/>
      </c>
      <c r="S94" s="16">
        <f>INDEX('Chart of Accounts'!$A$5:$A$3000,MATCH("vat_output",'Chart of Accounts'!$F$5:$F$3000,0))</f>
        <v/>
      </c>
      <c r="T94" s="23">
        <f>IFERROR(INDEX('Chart of Accounts'!$C$5:$C$3000,MATCH(P94&amp;"",'Chart of Accounts'!$A$5:$A$3000,0))&amp;"|"&amp;INDEX('Chart of Accounts'!$D$5:$D$3000,MATCH(P94&amp;"",'Chart of Accounts'!$A$5:$A$3000,0)),"")</f>
        <v/>
      </c>
      <c r="U94" s="23">
        <f>IFERROR(INDEX('Chart of Accounts'!$C$5:$C$3000,MATCH(R94&amp;"",'Chart of Accounts'!$A$5:$A$3000,0))&amp;"|"&amp;INDEX('Chart of Accounts'!$D$5:$D$3000,MATCH(R94&amp;"",'Chart of Accounts'!$A$5:$A$3000,0)),"")</f>
        <v/>
      </c>
      <c r="V94" s="23">
        <f>IFERROR(INDEX('Chart of Accounts'!$C$5:$C$3000,MATCH(Q94&amp;"",'Chart of Accounts'!$A$5:$A$3000,0))&amp;"|"&amp;INDEX('Chart of Accounts'!$D$5:$D$3000,MATCH(Q94&amp;"",'Chart of Accounts'!$A$5:$A$3000,0)),"")</f>
        <v/>
      </c>
      <c r="W94" s="23">
        <f>IFERROR(INDEX('Chart of Accounts'!$C$5:$C$3000,MATCH(S94&amp;"",'Chart of Accounts'!$A$5:$A$3000,0))&amp;"|"&amp;INDEX('Chart of Accounts'!$D$5:$D$3000,MATCH(S94&amp;"",'Chart of Accounts'!$A$5:$A$3000,0)),"")</f>
        <v/>
      </c>
      <c r="X94" s="23">
        <f>IF(LEFT(T94,8)="Revenue|",-N(O94),0)+IF(LEFT(U94,8)="Revenue|",-N(N94),0)+IF(LEFT(V94,8)="Revenue|",N(L94),0)+IF(LEFT(W94,8)="Revenue|",N(M94),0)</f>
        <v/>
      </c>
      <c r="Y94" s="23">
        <f>IF(LEFT(T94,5)="COGS|",N(O94),0)+IF(LEFT(U94,5)="COGS|",N(N94),0)+IF(LEFT(V94,5)="COGS|",-N(L94),0)+IF(LEFT(W94,5)="COGS|",-N(M94),0)</f>
        <v/>
      </c>
      <c r="Z94" s="23">
        <f>IF(LEFT(T94,8)="Expense|",N(O94),0)+IF(LEFT(U94,8)="Expense|",N(N94),0)+IF(LEFT(V94,8)="Expense|",-N(L94),0)+IF(LEFT(W94,8)="Expense|",-N(M94),0)</f>
        <v/>
      </c>
      <c r="AA94" s="23">
        <f>IF(ISNUMBER(MATCH(T94,{"Expense|employee","Expense|general_admin","Expense|marketing","Expense|utilities","Expense|other_operating"},0)),N(O94),0)+IF(ISNUMBER(MATCH(U94,{"Expense|employee","Expense|general_admin","Expense|marketing","Expense|utilities","Expense|other_operating"},0)),N(N94),0)+IF(ISNUMBER(MATCH(V94,{"Expense|employee","Expense|general_admin","Expense|marketing","Expense|utilities","Expense|other_operating"},0)),-N(L94),0)+IF(ISNUMBER(MATCH(W94,{"Expense|employee","Expense|general_admin","Expense|marketing","Expense|utilities","Expense|other_operating"},0)),-N(M94),0)</f>
        <v/>
      </c>
      <c r="AB94" s="23">
        <f>IF(T94="Liability|payable",-N(O94),0)+IF(U94="Liability|payable",-N(N94),0)+IF(V94="Liability|payable",N(L94),0)+IF(W94="Liability|payable",N(M94),0)</f>
        <v/>
      </c>
      <c r="AC94" s="23">
        <f>IF(T94="Liability|accrued",-N(O94),0)+IF(U94="Liability|accrued",-N(N94),0)+IF(V94="Liability|accrued",N(L94),0)+IF(W94="Liability|accrued",N(M94),0)</f>
        <v/>
      </c>
      <c r="AD94" s="23">
        <f>IF(AND(N(O94)&lt;&gt;0,T94=""),1,0)+IF(AND(N(N94)&lt;&gt;0,U94=""),1,0)+IF(AND(N(L94)&lt;&gt;0,V94=""),1,0)+IF(AND(N(M94)&lt;&gt;0,W94=""),1,0)</f>
        <v/>
      </c>
    </row>
    <row r="95">
      <c r="A95" s="14" t="n"/>
      <c r="B95" s="19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21">
        <f>SUMIFS('Invoice Lines'!$I:$I,'Invoice Lines'!$A:$A,A95)</f>
        <v/>
      </c>
      <c r="L95" s="21">
        <f>IF(E95="Draft",0,K95)</f>
        <v/>
      </c>
      <c r="M95" s="21">
        <f>ROUND(L95*IFERROR(VLOOKUP(I95,'Tax Codes'!$A$5:$E$300,5,FALSE),0),2)</f>
        <v/>
      </c>
      <c r="N95" s="21">
        <f>ROUND(L95*IFERROR(VLOOKUP(J95,'Tax Codes'!$A$5:$E$300,5,FALSE),0),2)</f>
        <v/>
      </c>
      <c r="O95" s="21">
        <f>L95+M95-N95</f>
        <v/>
      </c>
      <c r="P95" s="16">
        <f>IF(F95="",INDEX('Chart of Accounts'!$A$5:$A$3000,MATCH("ar",'Chart of Accounts'!$F$5:$F$3000,0)),F95&amp;"")</f>
        <v/>
      </c>
      <c r="Q95" s="16">
        <f>IF(G95="",INDEX('Chart of Accounts'!$A$5:$A$3000,MATCH("revenue",'Chart of Accounts'!$F$5:$F$3000,0)),G95&amp;"")</f>
        <v/>
      </c>
      <c r="R95" s="16">
        <f>INDEX('Chart of Accounts'!$A$5:$A$3000,MATCH("wht_receivable",'Chart of Accounts'!$F$5:$F$3000,0))</f>
        <v/>
      </c>
      <c r="S95" s="16">
        <f>INDEX('Chart of Accounts'!$A$5:$A$3000,MATCH("vat_output",'Chart of Accounts'!$F$5:$F$3000,0))</f>
        <v/>
      </c>
      <c r="T95" s="23">
        <f>IFERROR(INDEX('Chart of Accounts'!$C$5:$C$3000,MATCH(P95&amp;"",'Chart of Accounts'!$A$5:$A$3000,0))&amp;"|"&amp;INDEX('Chart of Accounts'!$D$5:$D$3000,MATCH(P95&amp;"",'Chart of Accounts'!$A$5:$A$3000,0)),"")</f>
        <v/>
      </c>
      <c r="U95" s="23">
        <f>IFERROR(INDEX('Chart of Accounts'!$C$5:$C$3000,MATCH(R95&amp;"",'Chart of Accounts'!$A$5:$A$3000,0))&amp;"|"&amp;INDEX('Chart of Accounts'!$D$5:$D$3000,MATCH(R95&amp;"",'Chart of Accounts'!$A$5:$A$3000,0)),"")</f>
        <v/>
      </c>
      <c r="V95" s="23">
        <f>IFERROR(INDEX('Chart of Accounts'!$C$5:$C$3000,MATCH(Q95&amp;"",'Chart of Accounts'!$A$5:$A$3000,0))&amp;"|"&amp;INDEX('Chart of Accounts'!$D$5:$D$3000,MATCH(Q95&amp;"",'Chart of Accounts'!$A$5:$A$3000,0)),"")</f>
        <v/>
      </c>
      <c r="W95" s="23">
        <f>IFERROR(INDEX('Chart of Accounts'!$C$5:$C$3000,MATCH(S95&amp;"",'Chart of Accounts'!$A$5:$A$3000,0))&amp;"|"&amp;INDEX('Chart of Accounts'!$D$5:$D$3000,MATCH(S95&amp;"",'Chart of Accounts'!$A$5:$A$3000,0)),"")</f>
        <v/>
      </c>
      <c r="X95" s="23">
        <f>IF(LEFT(T95,8)="Revenue|",-N(O95),0)+IF(LEFT(U95,8)="Revenue|",-N(N95),0)+IF(LEFT(V95,8)="Revenue|",N(L95),0)+IF(LEFT(W95,8)="Revenue|",N(M95),0)</f>
        <v/>
      </c>
      <c r="Y95" s="23">
        <f>IF(LEFT(T95,5)="COGS|",N(O95),0)+IF(LEFT(U95,5)="COGS|",N(N95),0)+IF(LEFT(V95,5)="COGS|",-N(L95),0)+IF(LEFT(W95,5)="COGS|",-N(M95),0)</f>
        <v/>
      </c>
      <c r="Z95" s="23">
        <f>IF(LEFT(T95,8)="Expense|",N(O95),0)+IF(LEFT(U95,8)="Expense|",N(N95),0)+IF(LEFT(V95,8)="Expense|",-N(L95),0)+IF(LEFT(W95,8)="Expense|",-N(M95),0)</f>
        <v/>
      </c>
      <c r="AA95" s="23">
        <f>IF(ISNUMBER(MATCH(T95,{"Expense|employee","Expense|general_admin","Expense|marketing","Expense|utilities","Expense|other_operating"},0)),N(O95),0)+IF(ISNUMBER(MATCH(U95,{"Expense|employee","Expense|general_admin","Expense|marketing","Expense|utilities","Expense|other_operating"},0)),N(N95),0)+IF(ISNUMBER(MATCH(V95,{"Expense|employee","Expense|general_admin","Expense|marketing","Expense|utilities","Expense|other_operating"},0)),-N(L95),0)+IF(ISNUMBER(MATCH(W95,{"Expense|employee","Expense|general_admin","Expense|marketing","Expense|utilities","Expense|other_operating"},0)),-N(M95),0)</f>
        <v/>
      </c>
      <c r="AB95" s="23">
        <f>IF(T95="Liability|payable",-N(O95),0)+IF(U95="Liability|payable",-N(N95),0)+IF(V95="Liability|payable",N(L95),0)+IF(W95="Liability|payable",N(M95),0)</f>
        <v/>
      </c>
      <c r="AC95" s="23">
        <f>IF(T95="Liability|accrued",-N(O95),0)+IF(U95="Liability|accrued",-N(N95),0)+IF(V95="Liability|accrued",N(L95),0)+IF(W95="Liability|accrued",N(M95),0)</f>
        <v/>
      </c>
      <c r="AD95" s="23">
        <f>IF(AND(N(O95)&lt;&gt;0,T95=""),1,0)+IF(AND(N(N95)&lt;&gt;0,U95=""),1,0)+IF(AND(N(L95)&lt;&gt;0,V95=""),1,0)+IF(AND(N(M95)&lt;&gt;0,W95=""),1,0)</f>
        <v/>
      </c>
    </row>
    <row r="96">
      <c r="A96" s="14" t="n"/>
      <c r="B96" s="19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21">
        <f>SUMIFS('Invoice Lines'!$I:$I,'Invoice Lines'!$A:$A,A96)</f>
        <v/>
      </c>
      <c r="L96" s="21">
        <f>IF(E96="Draft",0,K96)</f>
        <v/>
      </c>
      <c r="M96" s="21">
        <f>ROUND(L96*IFERROR(VLOOKUP(I96,'Tax Codes'!$A$5:$E$300,5,FALSE),0),2)</f>
        <v/>
      </c>
      <c r="N96" s="21">
        <f>ROUND(L96*IFERROR(VLOOKUP(J96,'Tax Codes'!$A$5:$E$300,5,FALSE),0),2)</f>
        <v/>
      </c>
      <c r="O96" s="21">
        <f>L96+M96-N96</f>
        <v/>
      </c>
      <c r="P96" s="16">
        <f>IF(F96="",INDEX('Chart of Accounts'!$A$5:$A$3000,MATCH("ar",'Chart of Accounts'!$F$5:$F$3000,0)),F96&amp;"")</f>
        <v/>
      </c>
      <c r="Q96" s="16">
        <f>IF(G96="",INDEX('Chart of Accounts'!$A$5:$A$3000,MATCH("revenue",'Chart of Accounts'!$F$5:$F$3000,0)),G96&amp;"")</f>
        <v/>
      </c>
      <c r="R96" s="16">
        <f>INDEX('Chart of Accounts'!$A$5:$A$3000,MATCH("wht_receivable",'Chart of Accounts'!$F$5:$F$3000,0))</f>
        <v/>
      </c>
      <c r="S96" s="16">
        <f>INDEX('Chart of Accounts'!$A$5:$A$3000,MATCH("vat_output",'Chart of Accounts'!$F$5:$F$3000,0))</f>
        <v/>
      </c>
      <c r="T96" s="23">
        <f>IFERROR(INDEX('Chart of Accounts'!$C$5:$C$3000,MATCH(P96&amp;"",'Chart of Accounts'!$A$5:$A$3000,0))&amp;"|"&amp;INDEX('Chart of Accounts'!$D$5:$D$3000,MATCH(P96&amp;"",'Chart of Accounts'!$A$5:$A$3000,0)),"")</f>
        <v/>
      </c>
      <c r="U96" s="23">
        <f>IFERROR(INDEX('Chart of Accounts'!$C$5:$C$3000,MATCH(R96&amp;"",'Chart of Accounts'!$A$5:$A$3000,0))&amp;"|"&amp;INDEX('Chart of Accounts'!$D$5:$D$3000,MATCH(R96&amp;"",'Chart of Accounts'!$A$5:$A$3000,0)),"")</f>
        <v/>
      </c>
      <c r="V96" s="23">
        <f>IFERROR(INDEX('Chart of Accounts'!$C$5:$C$3000,MATCH(Q96&amp;"",'Chart of Accounts'!$A$5:$A$3000,0))&amp;"|"&amp;INDEX('Chart of Accounts'!$D$5:$D$3000,MATCH(Q96&amp;"",'Chart of Accounts'!$A$5:$A$3000,0)),"")</f>
        <v/>
      </c>
      <c r="W96" s="23">
        <f>IFERROR(INDEX('Chart of Accounts'!$C$5:$C$3000,MATCH(S96&amp;"",'Chart of Accounts'!$A$5:$A$3000,0))&amp;"|"&amp;INDEX('Chart of Accounts'!$D$5:$D$3000,MATCH(S96&amp;"",'Chart of Accounts'!$A$5:$A$3000,0)),"")</f>
        <v/>
      </c>
      <c r="X96" s="23">
        <f>IF(LEFT(T96,8)="Revenue|",-N(O96),0)+IF(LEFT(U96,8)="Revenue|",-N(N96),0)+IF(LEFT(V96,8)="Revenue|",N(L96),0)+IF(LEFT(W96,8)="Revenue|",N(M96),0)</f>
        <v/>
      </c>
      <c r="Y96" s="23">
        <f>IF(LEFT(T96,5)="COGS|",N(O96),0)+IF(LEFT(U96,5)="COGS|",N(N96),0)+IF(LEFT(V96,5)="COGS|",-N(L96),0)+IF(LEFT(W96,5)="COGS|",-N(M96),0)</f>
        <v/>
      </c>
      <c r="Z96" s="23">
        <f>IF(LEFT(T96,8)="Expense|",N(O96),0)+IF(LEFT(U96,8)="Expense|",N(N96),0)+IF(LEFT(V96,8)="Expense|",-N(L96),0)+IF(LEFT(W96,8)="Expense|",-N(M96),0)</f>
        <v/>
      </c>
      <c r="AA96" s="23">
        <f>IF(ISNUMBER(MATCH(T96,{"Expense|employee","Expense|general_admin","Expense|marketing","Expense|utilities","Expense|other_operating"},0)),N(O96),0)+IF(ISNUMBER(MATCH(U96,{"Expense|employee","Expense|general_admin","Expense|marketing","Expense|utilities","Expense|other_operating"},0)),N(N96),0)+IF(ISNUMBER(MATCH(V96,{"Expense|employee","Expense|general_admin","Expense|marketing","Expense|utilities","Expense|other_operating"},0)),-N(L96),0)+IF(ISNUMBER(MATCH(W96,{"Expense|employee","Expense|general_admin","Expense|marketing","Expense|utilities","Expense|other_operating"},0)),-N(M96),0)</f>
        <v/>
      </c>
      <c r="AB96" s="23">
        <f>IF(T96="Liability|payable",-N(O96),0)+IF(U96="Liability|payable",-N(N96),0)+IF(V96="Liability|payable",N(L96),0)+IF(W96="Liability|payable",N(M96),0)</f>
        <v/>
      </c>
      <c r="AC96" s="23">
        <f>IF(T96="Liability|accrued",-N(O96),0)+IF(U96="Liability|accrued",-N(N96),0)+IF(V96="Liability|accrued",N(L96),0)+IF(W96="Liability|accrued",N(M96),0)</f>
        <v/>
      </c>
      <c r="AD96" s="23">
        <f>IF(AND(N(O96)&lt;&gt;0,T96=""),1,0)+IF(AND(N(N96)&lt;&gt;0,U96=""),1,0)+IF(AND(N(L96)&lt;&gt;0,V96=""),1,0)+IF(AND(N(M96)&lt;&gt;0,W96=""),1,0)</f>
        <v/>
      </c>
    </row>
    <row r="97">
      <c r="A97" s="14" t="n"/>
      <c r="B97" s="19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21">
        <f>SUMIFS('Invoice Lines'!$I:$I,'Invoice Lines'!$A:$A,A97)</f>
        <v/>
      </c>
      <c r="L97" s="21">
        <f>IF(E97="Draft",0,K97)</f>
        <v/>
      </c>
      <c r="M97" s="21">
        <f>ROUND(L97*IFERROR(VLOOKUP(I97,'Tax Codes'!$A$5:$E$300,5,FALSE),0),2)</f>
        <v/>
      </c>
      <c r="N97" s="21">
        <f>ROUND(L97*IFERROR(VLOOKUP(J97,'Tax Codes'!$A$5:$E$300,5,FALSE),0),2)</f>
        <v/>
      </c>
      <c r="O97" s="21">
        <f>L97+M97-N97</f>
        <v/>
      </c>
      <c r="P97" s="16">
        <f>IF(F97="",INDEX('Chart of Accounts'!$A$5:$A$3000,MATCH("ar",'Chart of Accounts'!$F$5:$F$3000,0)),F97&amp;"")</f>
        <v/>
      </c>
      <c r="Q97" s="16">
        <f>IF(G97="",INDEX('Chart of Accounts'!$A$5:$A$3000,MATCH("revenue",'Chart of Accounts'!$F$5:$F$3000,0)),G97&amp;"")</f>
        <v/>
      </c>
      <c r="R97" s="16">
        <f>INDEX('Chart of Accounts'!$A$5:$A$3000,MATCH("wht_receivable",'Chart of Accounts'!$F$5:$F$3000,0))</f>
        <v/>
      </c>
      <c r="S97" s="16">
        <f>INDEX('Chart of Accounts'!$A$5:$A$3000,MATCH("vat_output",'Chart of Accounts'!$F$5:$F$3000,0))</f>
        <v/>
      </c>
      <c r="T97" s="23">
        <f>IFERROR(INDEX('Chart of Accounts'!$C$5:$C$3000,MATCH(P97&amp;"",'Chart of Accounts'!$A$5:$A$3000,0))&amp;"|"&amp;INDEX('Chart of Accounts'!$D$5:$D$3000,MATCH(P97&amp;"",'Chart of Accounts'!$A$5:$A$3000,0)),"")</f>
        <v/>
      </c>
      <c r="U97" s="23">
        <f>IFERROR(INDEX('Chart of Accounts'!$C$5:$C$3000,MATCH(R97&amp;"",'Chart of Accounts'!$A$5:$A$3000,0))&amp;"|"&amp;INDEX('Chart of Accounts'!$D$5:$D$3000,MATCH(R97&amp;"",'Chart of Accounts'!$A$5:$A$3000,0)),"")</f>
        <v/>
      </c>
      <c r="V97" s="23">
        <f>IFERROR(INDEX('Chart of Accounts'!$C$5:$C$3000,MATCH(Q97&amp;"",'Chart of Accounts'!$A$5:$A$3000,0))&amp;"|"&amp;INDEX('Chart of Accounts'!$D$5:$D$3000,MATCH(Q97&amp;"",'Chart of Accounts'!$A$5:$A$3000,0)),"")</f>
        <v/>
      </c>
      <c r="W97" s="23">
        <f>IFERROR(INDEX('Chart of Accounts'!$C$5:$C$3000,MATCH(S97&amp;"",'Chart of Accounts'!$A$5:$A$3000,0))&amp;"|"&amp;INDEX('Chart of Accounts'!$D$5:$D$3000,MATCH(S97&amp;"",'Chart of Accounts'!$A$5:$A$3000,0)),"")</f>
        <v/>
      </c>
      <c r="X97" s="23">
        <f>IF(LEFT(T97,8)="Revenue|",-N(O97),0)+IF(LEFT(U97,8)="Revenue|",-N(N97),0)+IF(LEFT(V97,8)="Revenue|",N(L97),0)+IF(LEFT(W97,8)="Revenue|",N(M97),0)</f>
        <v/>
      </c>
      <c r="Y97" s="23">
        <f>IF(LEFT(T97,5)="COGS|",N(O97),0)+IF(LEFT(U97,5)="COGS|",N(N97),0)+IF(LEFT(V97,5)="COGS|",-N(L97),0)+IF(LEFT(W97,5)="COGS|",-N(M97),0)</f>
        <v/>
      </c>
      <c r="Z97" s="23">
        <f>IF(LEFT(T97,8)="Expense|",N(O97),0)+IF(LEFT(U97,8)="Expense|",N(N97),0)+IF(LEFT(V97,8)="Expense|",-N(L97),0)+IF(LEFT(W97,8)="Expense|",-N(M97),0)</f>
        <v/>
      </c>
      <c r="AA97" s="23">
        <f>IF(ISNUMBER(MATCH(T97,{"Expense|employee","Expense|general_admin","Expense|marketing","Expense|utilities","Expense|other_operating"},0)),N(O97),0)+IF(ISNUMBER(MATCH(U97,{"Expense|employee","Expense|general_admin","Expense|marketing","Expense|utilities","Expense|other_operating"},0)),N(N97),0)+IF(ISNUMBER(MATCH(V97,{"Expense|employee","Expense|general_admin","Expense|marketing","Expense|utilities","Expense|other_operating"},0)),-N(L97),0)+IF(ISNUMBER(MATCH(W97,{"Expense|employee","Expense|general_admin","Expense|marketing","Expense|utilities","Expense|other_operating"},0)),-N(M97),0)</f>
        <v/>
      </c>
      <c r="AB97" s="23">
        <f>IF(T97="Liability|payable",-N(O97),0)+IF(U97="Liability|payable",-N(N97),0)+IF(V97="Liability|payable",N(L97),0)+IF(W97="Liability|payable",N(M97),0)</f>
        <v/>
      </c>
      <c r="AC97" s="23">
        <f>IF(T97="Liability|accrued",-N(O97),0)+IF(U97="Liability|accrued",-N(N97),0)+IF(V97="Liability|accrued",N(L97),0)+IF(W97="Liability|accrued",N(M97),0)</f>
        <v/>
      </c>
      <c r="AD97" s="23">
        <f>IF(AND(N(O97)&lt;&gt;0,T97=""),1,0)+IF(AND(N(N97)&lt;&gt;0,U97=""),1,0)+IF(AND(N(L97)&lt;&gt;0,V97=""),1,0)+IF(AND(N(M97)&lt;&gt;0,W97=""),1,0)</f>
        <v/>
      </c>
    </row>
    <row r="98">
      <c r="A98" s="14" t="n"/>
      <c r="B98" s="19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21">
        <f>SUMIFS('Invoice Lines'!$I:$I,'Invoice Lines'!$A:$A,A98)</f>
        <v/>
      </c>
      <c r="L98" s="21">
        <f>IF(E98="Draft",0,K98)</f>
        <v/>
      </c>
      <c r="M98" s="21">
        <f>ROUND(L98*IFERROR(VLOOKUP(I98,'Tax Codes'!$A$5:$E$300,5,FALSE),0),2)</f>
        <v/>
      </c>
      <c r="N98" s="21">
        <f>ROUND(L98*IFERROR(VLOOKUP(J98,'Tax Codes'!$A$5:$E$300,5,FALSE),0),2)</f>
        <v/>
      </c>
      <c r="O98" s="21">
        <f>L98+M98-N98</f>
        <v/>
      </c>
      <c r="P98" s="16">
        <f>IF(F98="",INDEX('Chart of Accounts'!$A$5:$A$3000,MATCH("ar",'Chart of Accounts'!$F$5:$F$3000,0)),F98&amp;"")</f>
        <v/>
      </c>
      <c r="Q98" s="16">
        <f>IF(G98="",INDEX('Chart of Accounts'!$A$5:$A$3000,MATCH("revenue",'Chart of Accounts'!$F$5:$F$3000,0)),G98&amp;"")</f>
        <v/>
      </c>
      <c r="R98" s="16">
        <f>INDEX('Chart of Accounts'!$A$5:$A$3000,MATCH("wht_receivable",'Chart of Accounts'!$F$5:$F$3000,0))</f>
        <v/>
      </c>
      <c r="S98" s="16">
        <f>INDEX('Chart of Accounts'!$A$5:$A$3000,MATCH("vat_output",'Chart of Accounts'!$F$5:$F$3000,0))</f>
        <v/>
      </c>
      <c r="T98" s="23">
        <f>IFERROR(INDEX('Chart of Accounts'!$C$5:$C$3000,MATCH(P98&amp;"",'Chart of Accounts'!$A$5:$A$3000,0))&amp;"|"&amp;INDEX('Chart of Accounts'!$D$5:$D$3000,MATCH(P98&amp;"",'Chart of Accounts'!$A$5:$A$3000,0)),"")</f>
        <v/>
      </c>
      <c r="U98" s="23">
        <f>IFERROR(INDEX('Chart of Accounts'!$C$5:$C$3000,MATCH(R98&amp;"",'Chart of Accounts'!$A$5:$A$3000,0))&amp;"|"&amp;INDEX('Chart of Accounts'!$D$5:$D$3000,MATCH(R98&amp;"",'Chart of Accounts'!$A$5:$A$3000,0)),"")</f>
        <v/>
      </c>
      <c r="V98" s="23">
        <f>IFERROR(INDEX('Chart of Accounts'!$C$5:$C$3000,MATCH(Q98&amp;"",'Chart of Accounts'!$A$5:$A$3000,0))&amp;"|"&amp;INDEX('Chart of Accounts'!$D$5:$D$3000,MATCH(Q98&amp;"",'Chart of Accounts'!$A$5:$A$3000,0)),"")</f>
        <v/>
      </c>
      <c r="W98" s="23">
        <f>IFERROR(INDEX('Chart of Accounts'!$C$5:$C$3000,MATCH(S98&amp;"",'Chart of Accounts'!$A$5:$A$3000,0))&amp;"|"&amp;INDEX('Chart of Accounts'!$D$5:$D$3000,MATCH(S98&amp;"",'Chart of Accounts'!$A$5:$A$3000,0)),"")</f>
        <v/>
      </c>
      <c r="X98" s="23">
        <f>IF(LEFT(T98,8)="Revenue|",-N(O98),0)+IF(LEFT(U98,8)="Revenue|",-N(N98),0)+IF(LEFT(V98,8)="Revenue|",N(L98),0)+IF(LEFT(W98,8)="Revenue|",N(M98),0)</f>
        <v/>
      </c>
      <c r="Y98" s="23">
        <f>IF(LEFT(T98,5)="COGS|",N(O98),0)+IF(LEFT(U98,5)="COGS|",N(N98),0)+IF(LEFT(V98,5)="COGS|",-N(L98),0)+IF(LEFT(W98,5)="COGS|",-N(M98),0)</f>
        <v/>
      </c>
      <c r="Z98" s="23">
        <f>IF(LEFT(T98,8)="Expense|",N(O98),0)+IF(LEFT(U98,8)="Expense|",N(N98),0)+IF(LEFT(V98,8)="Expense|",-N(L98),0)+IF(LEFT(W98,8)="Expense|",-N(M98),0)</f>
        <v/>
      </c>
      <c r="AA98" s="23">
        <f>IF(ISNUMBER(MATCH(T98,{"Expense|employee","Expense|general_admin","Expense|marketing","Expense|utilities","Expense|other_operating"},0)),N(O98),0)+IF(ISNUMBER(MATCH(U98,{"Expense|employee","Expense|general_admin","Expense|marketing","Expense|utilities","Expense|other_operating"},0)),N(N98),0)+IF(ISNUMBER(MATCH(V98,{"Expense|employee","Expense|general_admin","Expense|marketing","Expense|utilities","Expense|other_operating"},0)),-N(L98),0)+IF(ISNUMBER(MATCH(W98,{"Expense|employee","Expense|general_admin","Expense|marketing","Expense|utilities","Expense|other_operating"},0)),-N(M98),0)</f>
        <v/>
      </c>
      <c r="AB98" s="23">
        <f>IF(T98="Liability|payable",-N(O98),0)+IF(U98="Liability|payable",-N(N98),0)+IF(V98="Liability|payable",N(L98),0)+IF(W98="Liability|payable",N(M98),0)</f>
        <v/>
      </c>
      <c r="AC98" s="23">
        <f>IF(T98="Liability|accrued",-N(O98),0)+IF(U98="Liability|accrued",-N(N98),0)+IF(V98="Liability|accrued",N(L98),0)+IF(W98="Liability|accrued",N(M98),0)</f>
        <v/>
      </c>
      <c r="AD98" s="23">
        <f>IF(AND(N(O98)&lt;&gt;0,T98=""),1,0)+IF(AND(N(N98)&lt;&gt;0,U98=""),1,0)+IF(AND(N(L98)&lt;&gt;0,V98=""),1,0)+IF(AND(N(M98)&lt;&gt;0,W98=""),1,0)</f>
        <v/>
      </c>
    </row>
    <row r="99">
      <c r="A99" s="14" t="n"/>
      <c r="B99" s="19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21">
        <f>SUMIFS('Invoice Lines'!$I:$I,'Invoice Lines'!$A:$A,A99)</f>
        <v/>
      </c>
      <c r="L99" s="21">
        <f>IF(E99="Draft",0,K99)</f>
        <v/>
      </c>
      <c r="M99" s="21">
        <f>ROUND(L99*IFERROR(VLOOKUP(I99,'Tax Codes'!$A$5:$E$300,5,FALSE),0),2)</f>
        <v/>
      </c>
      <c r="N99" s="21">
        <f>ROUND(L99*IFERROR(VLOOKUP(J99,'Tax Codes'!$A$5:$E$300,5,FALSE),0),2)</f>
        <v/>
      </c>
      <c r="O99" s="21">
        <f>L99+M99-N99</f>
        <v/>
      </c>
      <c r="P99" s="16">
        <f>IF(F99="",INDEX('Chart of Accounts'!$A$5:$A$3000,MATCH("ar",'Chart of Accounts'!$F$5:$F$3000,0)),F99&amp;"")</f>
        <v/>
      </c>
      <c r="Q99" s="16">
        <f>IF(G99="",INDEX('Chart of Accounts'!$A$5:$A$3000,MATCH("revenue",'Chart of Accounts'!$F$5:$F$3000,0)),G99&amp;"")</f>
        <v/>
      </c>
      <c r="R99" s="16">
        <f>INDEX('Chart of Accounts'!$A$5:$A$3000,MATCH("wht_receivable",'Chart of Accounts'!$F$5:$F$3000,0))</f>
        <v/>
      </c>
      <c r="S99" s="16">
        <f>INDEX('Chart of Accounts'!$A$5:$A$3000,MATCH("vat_output",'Chart of Accounts'!$F$5:$F$3000,0))</f>
        <v/>
      </c>
      <c r="T99" s="23">
        <f>IFERROR(INDEX('Chart of Accounts'!$C$5:$C$3000,MATCH(P99&amp;"",'Chart of Accounts'!$A$5:$A$3000,0))&amp;"|"&amp;INDEX('Chart of Accounts'!$D$5:$D$3000,MATCH(P99&amp;"",'Chart of Accounts'!$A$5:$A$3000,0)),"")</f>
        <v/>
      </c>
      <c r="U99" s="23">
        <f>IFERROR(INDEX('Chart of Accounts'!$C$5:$C$3000,MATCH(R99&amp;"",'Chart of Accounts'!$A$5:$A$3000,0))&amp;"|"&amp;INDEX('Chart of Accounts'!$D$5:$D$3000,MATCH(R99&amp;"",'Chart of Accounts'!$A$5:$A$3000,0)),"")</f>
        <v/>
      </c>
      <c r="V99" s="23">
        <f>IFERROR(INDEX('Chart of Accounts'!$C$5:$C$3000,MATCH(Q99&amp;"",'Chart of Accounts'!$A$5:$A$3000,0))&amp;"|"&amp;INDEX('Chart of Accounts'!$D$5:$D$3000,MATCH(Q99&amp;"",'Chart of Accounts'!$A$5:$A$3000,0)),"")</f>
        <v/>
      </c>
      <c r="W99" s="23">
        <f>IFERROR(INDEX('Chart of Accounts'!$C$5:$C$3000,MATCH(S99&amp;"",'Chart of Accounts'!$A$5:$A$3000,0))&amp;"|"&amp;INDEX('Chart of Accounts'!$D$5:$D$3000,MATCH(S99&amp;"",'Chart of Accounts'!$A$5:$A$3000,0)),"")</f>
        <v/>
      </c>
      <c r="X99" s="23">
        <f>IF(LEFT(T99,8)="Revenue|",-N(O99),0)+IF(LEFT(U99,8)="Revenue|",-N(N99),0)+IF(LEFT(V99,8)="Revenue|",N(L99),0)+IF(LEFT(W99,8)="Revenue|",N(M99),0)</f>
        <v/>
      </c>
      <c r="Y99" s="23">
        <f>IF(LEFT(T99,5)="COGS|",N(O99),0)+IF(LEFT(U99,5)="COGS|",N(N99),0)+IF(LEFT(V99,5)="COGS|",-N(L99),0)+IF(LEFT(W99,5)="COGS|",-N(M99),0)</f>
        <v/>
      </c>
      <c r="Z99" s="23">
        <f>IF(LEFT(T99,8)="Expense|",N(O99),0)+IF(LEFT(U99,8)="Expense|",N(N99),0)+IF(LEFT(V99,8)="Expense|",-N(L99),0)+IF(LEFT(W99,8)="Expense|",-N(M99),0)</f>
        <v/>
      </c>
      <c r="AA99" s="23">
        <f>IF(ISNUMBER(MATCH(T99,{"Expense|employee","Expense|general_admin","Expense|marketing","Expense|utilities","Expense|other_operating"},0)),N(O99),0)+IF(ISNUMBER(MATCH(U99,{"Expense|employee","Expense|general_admin","Expense|marketing","Expense|utilities","Expense|other_operating"},0)),N(N99),0)+IF(ISNUMBER(MATCH(V99,{"Expense|employee","Expense|general_admin","Expense|marketing","Expense|utilities","Expense|other_operating"},0)),-N(L99),0)+IF(ISNUMBER(MATCH(W99,{"Expense|employee","Expense|general_admin","Expense|marketing","Expense|utilities","Expense|other_operating"},0)),-N(M99),0)</f>
        <v/>
      </c>
      <c r="AB99" s="23">
        <f>IF(T99="Liability|payable",-N(O99),0)+IF(U99="Liability|payable",-N(N99),0)+IF(V99="Liability|payable",N(L99),0)+IF(W99="Liability|payable",N(M99),0)</f>
        <v/>
      </c>
      <c r="AC99" s="23">
        <f>IF(T99="Liability|accrued",-N(O99),0)+IF(U99="Liability|accrued",-N(N99),0)+IF(V99="Liability|accrued",N(L99),0)+IF(W99="Liability|accrued",N(M99),0)</f>
        <v/>
      </c>
      <c r="AD99" s="23">
        <f>IF(AND(N(O99)&lt;&gt;0,T99=""),1,0)+IF(AND(N(N99)&lt;&gt;0,U99=""),1,0)+IF(AND(N(L99)&lt;&gt;0,V99=""),1,0)+IF(AND(N(M99)&lt;&gt;0,W99=""),1,0)</f>
        <v/>
      </c>
    </row>
    <row r="100">
      <c r="A100" s="14" t="n"/>
      <c r="B100" s="19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21">
        <f>SUMIFS('Invoice Lines'!$I:$I,'Invoice Lines'!$A:$A,A100)</f>
        <v/>
      </c>
      <c r="L100" s="21">
        <f>IF(E100="Draft",0,K100)</f>
        <v/>
      </c>
      <c r="M100" s="21">
        <f>ROUND(L100*IFERROR(VLOOKUP(I100,'Tax Codes'!$A$5:$E$300,5,FALSE),0),2)</f>
        <v/>
      </c>
      <c r="N100" s="21">
        <f>ROUND(L100*IFERROR(VLOOKUP(J100,'Tax Codes'!$A$5:$E$300,5,FALSE),0),2)</f>
        <v/>
      </c>
      <c r="O100" s="21">
        <f>L100+M100-N100</f>
        <v/>
      </c>
      <c r="P100" s="16">
        <f>IF(F100="",INDEX('Chart of Accounts'!$A$5:$A$3000,MATCH("ar",'Chart of Accounts'!$F$5:$F$3000,0)),F100&amp;"")</f>
        <v/>
      </c>
      <c r="Q100" s="16">
        <f>IF(G100="",INDEX('Chart of Accounts'!$A$5:$A$3000,MATCH("revenue",'Chart of Accounts'!$F$5:$F$3000,0)),G100&amp;"")</f>
        <v/>
      </c>
      <c r="R100" s="16">
        <f>INDEX('Chart of Accounts'!$A$5:$A$3000,MATCH("wht_receivable",'Chart of Accounts'!$F$5:$F$3000,0))</f>
        <v/>
      </c>
      <c r="S100" s="16">
        <f>INDEX('Chart of Accounts'!$A$5:$A$3000,MATCH("vat_output",'Chart of Accounts'!$F$5:$F$3000,0))</f>
        <v/>
      </c>
      <c r="T100" s="23">
        <f>IFERROR(INDEX('Chart of Accounts'!$C$5:$C$3000,MATCH(P100&amp;"",'Chart of Accounts'!$A$5:$A$3000,0))&amp;"|"&amp;INDEX('Chart of Accounts'!$D$5:$D$3000,MATCH(P100&amp;"",'Chart of Accounts'!$A$5:$A$3000,0)),"")</f>
        <v/>
      </c>
      <c r="U100" s="23">
        <f>IFERROR(INDEX('Chart of Accounts'!$C$5:$C$3000,MATCH(R100&amp;"",'Chart of Accounts'!$A$5:$A$3000,0))&amp;"|"&amp;INDEX('Chart of Accounts'!$D$5:$D$3000,MATCH(R100&amp;"",'Chart of Accounts'!$A$5:$A$3000,0)),"")</f>
        <v/>
      </c>
      <c r="V100" s="23">
        <f>IFERROR(INDEX('Chart of Accounts'!$C$5:$C$3000,MATCH(Q100&amp;"",'Chart of Accounts'!$A$5:$A$3000,0))&amp;"|"&amp;INDEX('Chart of Accounts'!$D$5:$D$3000,MATCH(Q100&amp;"",'Chart of Accounts'!$A$5:$A$3000,0)),"")</f>
        <v/>
      </c>
      <c r="W100" s="23">
        <f>IFERROR(INDEX('Chart of Accounts'!$C$5:$C$3000,MATCH(S100&amp;"",'Chart of Accounts'!$A$5:$A$3000,0))&amp;"|"&amp;INDEX('Chart of Accounts'!$D$5:$D$3000,MATCH(S100&amp;"",'Chart of Accounts'!$A$5:$A$3000,0)),"")</f>
        <v/>
      </c>
      <c r="X100" s="23">
        <f>IF(LEFT(T100,8)="Revenue|",-N(O100),0)+IF(LEFT(U100,8)="Revenue|",-N(N100),0)+IF(LEFT(V100,8)="Revenue|",N(L100),0)+IF(LEFT(W100,8)="Revenue|",N(M100),0)</f>
        <v/>
      </c>
      <c r="Y100" s="23">
        <f>IF(LEFT(T100,5)="COGS|",N(O100),0)+IF(LEFT(U100,5)="COGS|",N(N100),0)+IF(LEFT(V100,5)="COGS|",-N(L100),0)+IF(LEFT(W100,5)="COGS|",-N(M100),0)</f>
        <v/>
      </c>
      <c r="Z100" s="23">
        <f>IF(LEFT(T100,8)="Expense|",N(O100),0)+IF(LEFT(U100,8)="Expense|",N(N100),0)+IF(LEFT(V100,8)="Expense|",-N(L100),0)+IF(LEFT(W100,8)="Expense|",-N(M100),0)</f>
        <v/>
      </c>
      <c r="AA100" s="23">
        <f>IF(ISNUMBER(MATCH(T100,{"Expense|employee","Expense|general_admin","Expense|marketing","Expense|utilities","Expense|other_operating"},0)),N(O100),0)+IF(ISNUMBER(MATCH(U100,{"Expense|employee","Expense|general_admin","Expense|marketing","Expense|utilities","Expense|other_operating"},0)),N(N100),0)+IF(ISNUMBER(MATCH(V100,{"Expense|employee","Expense|general_admin","Expense|marketing","Expense|utilities","Expense|other_operating"},0)),-N(L100),0)+IF(ISNUMBER(MATCH(W100,{"Expense|employee","Expense|general_admin","Expense|marketing","Expense|utilities","Expense|other_operating"},0)),-N(M100),0)</f>
        <v/>
      </c>
      <c r="AB100" s="23">
        <f>IF(T100="Liability|payable",-N(O100),0)+IF(U100="Liability|payable",-N(N100),0)+IF(V100="Liability|payable",N(L100),0)+IF(W100="Liability|payable",N(M100),0)</f>
        <v/>
      </c>
      <c r="AC100" s="23">
        <f>IF(T100="Liability|accrued",-N(O100),0)+IF(U100="Liability|accrued",-N(N100),0)+IF(V100="Liability|accrued",N(L100),0)+IF(W100="Liability|accrued",N(M100),0)</f>
        <v/>
      </c>
      <c r="AD100" s="23">
        <f>IF(AND(N(O100)&lt;&gt;0,T100=""),1,0)+IF(AND(N(N100)&lt;&gt;0,U100=""),1,0)+IF(AND(N(L100)&lt;&gt;0,V100=""),1,0)+IF(AND(N(M100)&lt;&gt;0,W100=""),1,0)</f>
        <v/>
      </c>
    </row>
    <row r="101">
      <c r="A101" s="14" t="n"/>
      <c r="B101" s="19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21">
        <f>SUMIFS('Invoice Lines'!$I:$I,'Invoice Lines'!$A:$A,A101)</f>
        <v/>
      </c>
      <c r="L101" s="21">
        <f>IF(E101="Draft",0,K101)</f>
        <v/>
      </c>
      <c r="M101" s="21">
        <f>ROUND(L101*IFERROR(VLOOKUP(I101,'Tax Codes'!$A$5:$E$300,5,FALSE),0),2)</f>
        <v/>
      </c>
      <c r="N101" s="21">
        <f>ROUND(L101*IFERROR(VLOOKUP(J101,'Tax Codes'!$A$5:$E$300,5,FALSE),0),2)</f>
        <v/>
      </c>
      <c r="O101" s="21">
        <f>L101+M101-N101</f>
        <v/>
      </c>
      <c r="P101" s="16">
        <f>IF(F101="",INDEX('Chart of Accounts'!$A$5:$A$3000,MATCH("ar",'Chart of Accounts'!$F$5:$F$3000,0)),F101&amp;"")</f>
        <v/>
      </c>
      <c r="Q101" s="16">
        <f>IF(G101="",INDEX('Chart of Accounts'!$A$5:$A$3000,MATCH("revenue",'Chart of Accounts'!$F$5:$F$3000,0)),G101&amp;"")</f>
        <v/>
      </c>
      <c r="R101" s="16">
        <f>INDEX('Chart of Accounts'!$A$5:$A$3000,MATCH("wht_receivable",'Chart of Accounts'!$F$5:$F$3000,0))</f>
        <v/>
      </c>
      <c r="S101" s="16">
        <f>INDEX('Chart of Accounts'!$A$5:$A$3000,MATCH("vat_output",'Chart of Accounts'!$F$5:$F$3000,0))</f>
        <v/>
      </c>
      <c r="T101" s="23">
        <f>IFERROR(INDEX('Chart of Accounts'!$C$5:$C$3000,MATCH(P101&amp;"",'Chart of Accounts'!$A$5:$A$3000,0))&amp;"|"&amp;INDEX('Chart of Accounts'!$D$5:$D$3000,MATCH(P101&amp;"",'Chart of Accounts'!$A$5:$A$3000,0)),"")</f>
        <v/>
      </c>
      <c r="U101" s="23">
        <f>IFERROR(INDEX('Chart of Accounts'!$C$5:$C$3000,MATCH(R101&amp;"",'Chart of Accounts'!$A$5:$A$3000,0))&amp;"|"&amp;INDEX('Chart of Accounts'!$D$5:$D$3000,MATCH(R101&amp;"",'Chart of Accounts'!$A$5:$A$3000,0)),"")</f>
        <v/>
      </c>
      <c r="V101" s="23">
        <f>IFERROR(INDEX('Chart of Accounts'!$C$5:$C$3000,MATCH(Q101&amp;"",'Chart of Accounts'!$A$5:$A$3000,0))&amp;"|"&amp;INDEX('Chart of Accounts'!$D$5:$D$3000,MATCH(Q101&amp;"",'Chart of Accounts'!$A$5:$A$3000,0)),"")</f>
        <v/>
      </c>
      <c r="W101" s="23">
        <f>IFERROR(INDEX('Chart of Accounts'!$C$5:$C$3000,MATCH(S101&amp;"",'Chart of Accounts'!$A$5:$A$3000,0))&amp;"|"&amp;INDEX('Chart of Accounts'!$D$5:$D$3000,MATCH(S101&amp;"",'Chart of Accounts'!$A$5:$A$3000,0)),"")</f>
        <v/>
      </c>
      <c r="X101" s="23">
        <f>IF(LEFT(T101,8)="Revenue|",-N(O101),0)+IF(LEFT(U101,8)="Revenue|",-N(N101),0)+IF(LEFT(V101,8)="Revenue|",N(L101),0)+IF(LEFT(W101,8)="Revenue|",N(M101),0)</f>
        <v/>
      </c>
      <c r="Y101" s="23">
        <f>IF(LEFT(T101,5)="COGS|",N(O101),0)+IF(LEFT(U101,5)="COGS|",N(N101),0)+IF(LEFT(V101,5)="COGS|",-N(L101),0)+IF(LEFT(W101,5)="COGS|",-N(M101),0)</f>
        <v/>
      </c>
      <c r="Z101" s="23">
        <f>IF(LEFT(T101,8)="Expense|",N(O101),0)+IF(LEFT(U101,8)="Expense|",N(N101),0)+IF(LEFT(V101,8)="Expense|",-N(L101),0)+IF(LEFT(W101,8)="Expense|",-N(M101),0)</f>
        <v/>
      </c>
      <c r="AA101" s="23">
        <f>IF(ISNUMBER(MATCH(T101,{"Expense|employee","Expense|general_admin","Expense|marketing","Expense|utilities","Expense|other_operating"},0)),N(O101),0)+IF(ISNUMBER(MATCH(U101,{"Expense|employee","Expense|general_admin","Expense|marketing","Expense|utilities","Expense|other_operating"},0)),N(N101),0)+IF(ISNUMBER(MATCH(V101,{"Expense|employee","Expense|general_admin","Expense|marketing","Expense|utilities","Expense|other_operating"},0)),-N(L101),0)+IF(ISNUMBER(MATCH(W101,{"Expense|employee","Expense|general_admin","Expense|marketing","Expense|utilities","Expense|other_operating"},0)),-N(M101),0)</f>
        <v/>
      </c>
      <c r="AB101" s="23">
        <f>IF(T101="Liability|payable",-N(O101),0)+IF(U101="Liability|payable",-N(N101),0)+IF(V101="Liability|payable",N(L101),0)+IF(W101="Liability|payable",N(M101),0)</f>
        <v/>
      </c>
      <c r="AC101" s="23">
        <f>IF(T101="Liability|accrued",-N(O101),0)+IF(U101="Liability|accrued",-N(N101),0)+IF(V101="Liability|accrued",N(L101),0)+IF(W101="Liability|accrued",N(M101),0)</f>
        <v/>
      </c>
      <c r="AD101" s="23">
        <f>IF(AND(N(O101)&lt;&gt;0,T101=""),1,0)+IF(AND(N(N101)&lt;&gt;0,U101=""),1,0)+IF(AND(N(L101)&lt;&gt;0,V101=""),1,0)+IF(AND(N(M101)&lt;&gt;0,W101=""),1,0)</f>
        <v/>
      </c>
    </row>
    <row r="102">
      <c r="A102" s="14" t="n"/>
      <c r="B102" s="19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21">
        <f>SUMIFS('Invoice Lines'!$I:$I,'Invoice Lines'!$A:$A,A102)</f>
        <v/>
      </c>
      <c r="L102" s="21">
        <f>IF(E102="Draft",0,K102)</f>
        <v/>
      </c>
      <c r="M102" s="21">
        <f>ROUND(L102*IFERROR(VLOOKUP(I102,'Tax Codes'!$A$5:$E$300,5,FALSE),0),2)</f>
        <v/>
      </c>
      <c r="N102" s="21">
        <f>ROUND(L102*IFERROR(VLOOKUP(J102,'Tax Codes'!$A$5:$E$300,5,FALSE),0),2)</f>
        <v/>
      </c>
      <c r="O102" s="21">
        <f>L102+M102-N102</f>
        <v/>
      </c>
      <c r="P102" s="16">
        <f>IF(F102="",INDEX('Chart of Accounts'!$A$5:$A$3000,MATCH("ar",'Chart of Accounts'!$F$5:$F$3000,0)),F102&amp;"")</f>
        <v/>
      </c>
      <c r="Q102" s="16">
        <f>IF(G102="",INDEX('Chart of Accounts'!$A$5:$A$3000,MATCH("revenue",'Chart of Accounts'!$F$5:$F$3000,0)),G102&amp;"")</f>
        <v/>
      </c>
      <c r="R102" s="16">
        <f>INDEX('Chart of Accounts'!$A$5:$A$3000,MATCH("wht_receivable",'Chart of Accounts'!$F$5:$F$3000,0))</f>
        <v/>
      </c>
      <c r="S102" s="16">
        <f>INDEX('Chart of Accounts'!$A$5:$A$3000,MATCH("vat_output",'Chart of Accounts'!$F$5:$F$3000,0))</f>
        <v/>
      </c>
      <c r="T102" s="23">
        <f>IFERROR(INDEX('Chart of Accounts'!$C$5:$C$3000,MATCH(P102&amp;"",'Chart of Accounts'!$A$5:$A$3000,0))&amp;"|"&amp;INDEX('Chart of Accounts'!$D$5:$D$3000,MATCH(P102&amp;"",'Chart of Accounts'!$A$5:$A$3000,0)),"")</f>
        <v/>
      </c>
      <c r="U102" s="23">
        <f>IFERROR(INDEX('Chart of Accounts'!$C$5:$C$3000,MATCH(R102&amp;"",'Chart of Accounts'!$A$5:$A$3000,0))&amp;"|"&amp;INDEX('Chart of Accounts'!$D$5:$D$3000,MATCH(R102&amp;"",'Chart of Accounts'!$A$5:$A$3000,0)),"")</f>
        <v/>
      </c>
      <c r="V102" s="23">
        <f>IFERROR(INDEX('Chart of Accounts'!$C$5:$C$3000,MATCH(Q102&amp;"",'Chart of Accounts'!$A$5:$A$3000,0))&amp;"|"&amp;INDEX('Chart of Accounts'!$D$5:$D$3000,MATCH(Q102&amp;"",'Chart of Accounts'!$A$5:$A$3000,0)),"")</f>
        <v/>
      </c>
      <c r="W102" s="23">
        <f>IFERROR(INDEX('Chart of Accounts'!$C$5:$C$3000,MATCH(S102&amp;"",'Chart of Accounts'!$A$5:$A$3000,0))&amp;"|"&amp;INDEX('Chart of Accounts'!$D$5:$D$3000,MATCH(S102&amp;"",'Chart of Accounts'!$A$5:$A$3000,0)),"")</f>
        <v/>
      </c>
      <c r="X102" s="23">
        <f>IF(LEFT(T102,8)="Revenue|",-N(O102),0)+IF(LEFT(U102,8)="Revenue|",-N(N102),0)+IF(LEFT(V102,8)="Revenue|",N(L102),0)+IF(LEFT(W102,8)="Revenue|",N(M102),0)</f>
        <v/>
      </c>
      <c r="Y102" s="23">
        <f>IF(LEFT(T102,5)="COGS|",N(O102),0)+IF(LEFT(U102,5)="COGS|",N(N102),0)+IF(LEFT(V102,5)="COGS|",-N(L102),0)+IF(LEFT(W102,5)="COGS|",-N(M102),0)</f>
        <v/>
      </c>
      <c r="Z102" s="23">
        <f>IF(LEFT(T102,8)="Expense|",N(O102),0)+IF(LEFT(U102,8)="Expense|",N(N102),0)+IF(LEFT(V102,8)="Expense|",-N(L102),0)+IF(LEFT(W102,8)="Expense|",-N(M102),0)</f>
        <v/>
      </c>
      <c r="AA102" s="23">
        <f>IF(ISNUMBER(MATCH(T102,{"Expense|employee","Expense|general_admin","Expense|marketing","Expense|utilities","Expense|other_operating"},0)),N(O102),0)+IF(ISNUMBER(MATCH(U102,{"Expense|employee","Expense|general_admin","Expense|marketing","Expense|utilities","Expense|other_operating"},0)),N(N102),0)+IF(ISNUMBER(MATCH(V102,{"Expense|employee","Expense|general_admin","Expense|marketing","Expense|utilities","Expense|other_operating"},0)),-N(L102),0)+IF(ISNUMBER(MATCH(W102,{"Expense|employee","Expense|general_admin","Expense|marketing","Expense|utilities","Expense|other_operating"},0)),-N(M102),0)</f>
        <v/>
      </c>
      <c r="AB102" s="23">
        <f>IF(T102="Liability|payable",-N(O102),0)+IF(U102="Liability|payable",-N(N102),0)+IF(V102="Liability|payable",N(L102),0)+IF(W102="Liability|payable",N(M102),0)</f>
        <v/>
      </c>
      <c r="AC102" s="23">
        <f>IF(T102="Liability|accrued",-N(O102),0)+IF(U102="Liability|accrued",-N(N102),0)+IF(V102="Liability|accrued",N(L102),0)+IF(W102="Liability|accrued",N(M102),0)</f>
        <v/>
      </c>
      <c r="AD102" s="23">
        <f>IF(AND(N(O102)&lt;&gt;0,T102=""),1,0)+IF(AND(N(N102)&lt;&gt;0,U102=""),1,0)+IF(AND(N(L102)&lt;&gt;0,V102=""),1,0)+IF(AND(N(M102)&lt;&gt;0,W102=""),1,0)</f>
        <v/>
      </c>
    </row>
    <row r="103">
      <c r="A103" s="14" t="n"/>
      <c r="B103" s="19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21">
        <f>SUMIFS('Invoice Lines'!$I:$I,'Invoice Lines'!$A:$A,A103)</f>
        <v/>
      </c>
      <c r="L103" s="21">
        <f>IF(E103="Draft",0,K103)</f>
        <v/>
      </c>
      <c r="M103" s="21">
        <f>ROUND(L103*IFERROR(VLOOKUP(I103,'Tax Codes'!$A$5:$E$300,5,FALSE),0),2)</f>
        <v/>
      </c>
      <c r="N103" s="21">
        <f>ROUND(L103*IFERROR(VLOOKUP(J103,'Tax Codes'!$A$5:$E$300,5,FALSE),0),2)</f>
        <v/>
      </c>
      <c r="O103" s="21">
        <f>L103+M103-N103</f>
        <v/>
      </c>
      <c r="P103" s="16">
        <f>IF(F103="",INDEX('Chart of Accounts'!$A$5:$A$3000,MATCH("ar",'Chart of Accounts'!$F$5:$F$3000,0)),F103&amp;"")</f>
        <v/>
      </c>
      <c r="Q103" s="16">
        <f>IF(G103="",INDEX('Chart of Accounts'!$A$5:$A$3000,MATCH("revenue",'Chart of Accounts'!$F$5:$F$3000,0)),G103&amp;"")</f>
        <v/>
      </c>
      <c r="R103" s="16">
        <f>INDEX('Chart of Accounts'!$A$5:$A$3000,MATCH("wht_receivable",'Chart of Accounts'!$F$5:$F$3000,0))</f>
        <v/>
      </c>
      <c r="S103" s="16">
        <f>INDEX('Chart of Accounts'!$A$5:$A$3000,MATCH("vat_output",'Chart of Accounts'!$F$5:$F$3000,0))</f>
        <v/>
      </c>
      <c r="T103" s="23">
        <f>IFERROR(INDEX('Chart of Accounts'!$C$5:$C$3000,MATCH(P103&amp;"",'Chart of Accounts'!$A$5:$A$3000,0))&amp;"|"&amp;INDEX('Chart of Accounts'!$D$5:$D$3000,MATCH(P103&amp;"",'Chart of Accounts'!$A$5:$A$3000,0)),"")</f>
        <v/>
      </c>
      <c r="U103" s="23">
        <f>IFERROR(INDEX('Chart of Accounts'!$C$5:$C$3000,MATCH(R103&amp;"",'Chart of Accounts'!$A$5:$A$3000,0))&amp;"|"&amp;INDEX('Chart of Accounts'!$D$5:$D$3000,MATCH(R103&amp;"",'Chart of Accounts'!$A$5:$A$3000,0)),"")</f>
        <v/>
      </c>
      <c r="V103" s="23">
        <f>IFERROR(INDEX('Chart of Accounts'!$C$5:$C$3000,MATCH(Q103&amp;"",'Chart of Accounts'!$A$5:$A$3000,0))&amp;"|"&amp;INDEX('Chart of Accounts'!$D$5:$D$3000,MATCH(Q103&amp;"",'Chart of Accounts'!$A$5:$A$3000,0)),"")</f>
        <v/>
      </c>
      <c r="W103" s="23">
        <f>IFERROR(INDEX('Chart of Accounts'!$C$5:$C$3000,MATCH(S103&amp;"",'Chart of Accounts'!$A$5:$A$3000,0))&amp;"|"&amp;INDEX('Chart of Accounts'!$D$5:$D$3000,MATCH(S103&amp;"",'Chart of Accounts'!$A$5:$A$3000,0)),"")</f>
        <v/>
      </c>
      <c r="X103" s="23">
        <f>IF(LEFT(T103,8)="Revenue|",-N(O103),0)+IF(LEFT(U103,8)="Revenue|",-N(N103),0)+IF(LEFT(V103,8)="Revenue|",N(L103),0)+IF(LEFT(W103,8)="Revenue|",N(M103),0)</f>
        <v/>
      </c>
      <c r="Y103" s="23">
        <f>IF(LEFT(T103,5)="COGS|",N(O103),0)+IF(LEFT(U103,5)="COGS|",N(N103),0)+IF(LEFT(V103,5)="COGS|",-N(L103),0)+IF(LEFT(W103,5)="COGS|",-N(M103),0)</f>
        <v/>
      </c>
      <c r="Z103" s="23">
        <f>IF(LEFT(T103,8)="Expense|",N(O103),0)+IF(LEFT(U103,8)="Expense|",N(N103),0)+IF(LEFT(V103,8)="Expense|",-N(L103),0)+IF(LEFT(W103,8)="Expense|",-N(M103),0)</f>
        <v/>
      </c>
      <c r="AA103" s="23">
        <f>IF(ISNUMBER(MATCH(T103,{"Expense|employee","Expense|general_admin","Expense|marketing","Expense|utilities","Expense|other_operating"},0)),N(O103),0)+IF(ISNUMBER(MATCH(U103,{"Expense|employee","Expense|general_admin","Expense|marketing","Expense|utilities","Expense|other_operating"},0)),N(N103),0)+IF(ISNUMBER(MATCH(V103,{"Expense|employee","Expense|general_admin","Expense|marketing","Expense|utilities","Expense|other_operating"},0)),-N(L103),0)+IF(ISNUMBER(MATCH(W103,{"Expense|employee","Expense|general_admin","Expense|marketing","Expense|utilities","Expense|other_operating"},0)),-N(M103),0)</f>
        <v/>
      </c>
      <c r="AB103" s="23">
        <f>IF(T103="Liability|payable",-N(O103),0)+IF(U103="Liability|payable",-N(N103),0)+IF(V103="Liability|payable",N(L103),0)+IF(W103="Liability|payable",N(M103),0)</f>
        <v/>
      </c>
      <c r="AC103" s="23">
        <f>IF(T103="Liability|accrued",-N(O103),0)+IF(U103="Liability|accrued",-N(N103),0)+IF(V103="Liability|accrued",N(L103),0)+IF(W103="Liability|accrued",N(M103),0)</f>
        <v/>
      </c>
      <c r="AD103" s="23">
        <f>IF(AND(N(O103)&lt;&gt;0,T103=""),1,0)+IF(AND(N(N103)&lt;&gt;0,U103=""),1,0)+IF(AND(N(L103)&lt;&gt;0,V103=""),1,0)+IF(AND(N(M103)&lt;&gt;0,W103=""),1,0)</f>
        <v/>
      </c>
    </row>
    <row r="104">
      <c r="A104" s="14" t="n"/>
      <c r="B104" s="19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21">
        <f>SUMIFS('Invoice Lines'!$I:$I,'Invoice Lines'!$A:$A,A104)</f>
        <v/>
      </c>
      <c r="L104" s="21">
        <f>IF(E104="Draft",0,K104)</f>
        <v/>
      </c>
      <c r="M104" s="21">
        <f>ROUND(L104*IFERROR(VLOOKUP(I104,'Tax Codes'!$A$5:$E$300,5,FALSE),0),2)</f>
        <v/>
      </c>
      <c r="N104" s="21">
        <f>ROUND(L104*IFERROR(VLOOKUP(J104,'Tax Codes'!$A$5:$E$300,5,FALSE),0),2)</f>
        <v/>
      </c>
      <c r="O104" s="21">
        <f>L104+M104-N104</f>
        <v/>
      </c>
      <c r="P104" s="16">
        <f>IF(F104="",INDEX('Chart of Accounts'!$A$5:$A$3000,MATCH("ar",'Chart of Accounts'!$F$5:$F$3000,0)),F104&amp;"")</f>
        <v/>
      </c>
      <c r="Q104" s="16">
        <f>IF(G104="",INDEX('Chart of Accounts'!$A$5:$A$3000,MATCH("revenue",'Chart of Accounts'!$F$5:$F$3000,0)),G104&amp;"")</f>
        <v/>
      </c>
      <c r="R104" s="16">
        <f>INDEX('Chart of Accounts'!$A$5:$A$3000,MATCH("wht_receivable",'Chart of Accounts'!$F$5:$F$3000,0))</f>
        <v/>
      </c>
      <c r="S104" s="16">
        <f>INDEX('Chart of Accounts'!$A$5:$A$3000,MATCH("vat_output",'Chart of Accounts'!$F$5:$F$3000,0))</f>
        <v/>
      </c>
      <c r="T104" s="23">
        <f>IFERROR(INDEX('Chart of Accounts'!$C$5:$C$3000,MATCH(P104&amp;"",'Chart of Accounts'!$A$5:$A$3000,0))&amp;"|"&amp;INDEX('Chart of Accounts'!$D$5:$D$3000,MATCH(P104&amp;"",'Chart of Accounts'!$A$5:$A$3000,0)),"")</f>
        <v/>
      </c>
      <c r="U104" s="23">
        <f>IFERROR(INDEX('Chart of Accounts'!$C$5:$C$3000,MATCH(R104&amp;"",'Chart of Accounts'!$A$5:$A$3000,0))&amp;"|"&amp;INDEX('Chart of Accounts'!$D$5:$D$3000,MATCH(R104&amp;"",'Chart of Accounts'!$A$5:$A$3000,0)),"")</f>
        <v/>
      </c>
      <c r="V104" s="23">
        <f>IFERROR(INDEX('Chart of Accounts'!$C$5:$C$3000,MATCH(Q104&amp;"",'Chart of Accounts'!$A$5:$A$3000,0))&amp;"|"&amp;INDEX('Chart of Accounts'!$D$5:$D$3000,MATCH(Q104&amp;"",'Chart of Accounts'!$A$5:$A$3000,0)),"")</f>
        <v/>
      </c>
      <c r="W104" s="23">
        <f>IFERROR(INDEX('Chart of Accounts'!$C$5:$C$3000,MATCH(S104&amp;"",'Chart of Accounts'!$A$5:$A$3000,0))&amp;"|"&amp;INDEX('Chart of Accounts'!$D$5:$D$3000,MATCH(S104&amp;"",'Chart of Accounts'!$A$5:$A$3000,0)),"")</f>
        <v/>
      </c>
      <c r="X104" s="23">
        <f>IF(LEFT(T104,8)="Revenue|",-N(O104),0)+IF(LEFT(U104,8)="Revenue|",-N(N104),0)+IF(LEFT(V104,8)="Revenue|",N(L104),0)+IF(LEFT(W104,8)="Revenue|",N(M104),0)</f>
        <v/>
      </c>
      <c r="Y104" s="23">
        <f>IF(LEFT(T104,5)="COGS|",N(O104),0)+IF(LEFT(U104,5)="COGS|",N(N104),0)+IF(LEFT(V104,5)="COGS|",-N(L104),0)+IF(LEFT(W104,5)="COGS|",-N(M104),0)</f>
        <v/>
      </c>
      <c r="Z104" s="23">
        <f>IF(LEFT(T104,8)="Expense|",N(O104),0)+IF(LEFT(U104,8)="Expense|",N(N104),0)+IF(LEFT(V104,8)="Expense|",-N(L104),0)+IF(LEFT(W104,8)="Expense|",-N(M104),0)</f>
        <v/>
      </c>
      <c r="AA104" s="23">
        <f>IF(ISNUMBER(MATCH(T104,{"Expense|employee","Expense|general_admin","Expense|marketing","Expense|utilities","Expense|other_operating"},0)),N(O104),0)+IF(ISNUMBER(MATCH(U104,{"Expense|employee","Expense|general_admin","Expense|marketing","Expense|utilities","Expense|other_operating"},0)),N(N104),0)+IF(ISNUMBER(MATCH(V104,{"Expense|employee","Expense|general_admin","Expense|marketing","Expense|utilities","Expense|other_operating"},0)),-N(L104),0)+IF(ISNUMBER(MATCH(W104,{"Expense|employee","Expense|general_admin","Expense|marketing","Expense|utilities","Expense|other_operating"},0)),-N(M104),0)</f>
        <v/>
      </c>
      <c r="AB104" s="23">
        <f>IF(T104="Liability|payable",-N(O104),0)+IF(U104="Liability|payable",-N(N104),0)+IF(V104="Liability|payable",N(L104),0)+IF(W104="Liability|payable",N(M104),0)</f>
        <v/>
      </c>
      <c r="AC104" s="23">
        <f>IF(T104="Liability|accrued",-N(O104),0)+IF(U104="Liability|accrued",-N(N104),0)+IF(V104="Liability|accrued",N(L104),0)+IF(W104="Liability|accrued",N(M104),0)</f>
        <v/>
      </c>
      <c r="AD104" s="23">
        <f>IF(AND(N(O104)&lt;&gt;0,T104=""),1,0)+IF(AND(N(N104)&lt;&gt;0,U104=""),1,0)+IF(AND(N(L104)&lt;&gt;0,V104=""),1,0)+IF(AND(N(M104)&lt;&gt;0,W104=""),1,0)</f>
        <v/>
      </c>
    </row>
    <row r="105">
      <c r="A105" s="14" t="n"/>
      <c r="B105" s="19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21">
        <f>SUMIFS('Invoice Lines'!$I:$I,'Invoice Lines'!$A:$A,A105)</f>
        <v/>
      </c>
      <c r="L105" s="21">
        <f>IF(E105="Draft",0,K105)</f>
        <v/>
      </c>
      <c r="M105" s="21">
        <f>ROUND(L105*IFERROR(VLOOKUP(I105,'Tax Codes'!$A$5:$E$300,5,FALSE),0),2)</f>
        <v/>
      </c>
      <c r="N105" s="21">
        <f>ROUND(L105*IFERROR(VLOOKUP(J105,'Tax Codes'!$A$5:$E$300,5,FALSE),0),2)</f>
        <v/>
      </c>
      <c r="O105" s="21">
        <f>L105+M105-N105</f>
        <v/>
      </c>
      <c r="P105" s="16">
        <f>IF(F105="",INDEX('Chart of Accounts'!$A$5:$A$3000,MATCH("ar",'Chart of Accounts'!$F$5:$F$3000,0)),F105&amp;"")</f>
        <v/>
      </c>
      <c r="Q105" s="16">
        <f>IF(G105="",INDEX('Chart of Accounts'!$A$5:$A$3000,MATCH("revenue",'Chart of Accounts'!$F$5:$F$3000,0)),G105&amp;"")</f>
        <v/>
      </c>
      <c r="R105" s="16">
        <f>INDEX('Chart of Accounts'!$A$5:$A$3000,MATCH("wht_receivable",'Chart of Accounts'!$F$5:$F$3000,0))</f>
        <v/>
      </c>
      <c r="S105" s="16">
        <f>INDEX('Chart of Accounts'!$A$5:$A$3000,MATCH("vat_output",'Chart of Accounts'!$F$5:$F$3000,0))</f>
        <v/>
      </c>
      <c r="T105" s="23">
        <f>IFERROR(INDEX('Chart of Accounts'!$C$5:$C$3000,MATCH(P105&amp;"",'Chart of Accounts'!$A$5:$A$3000,0))&amp;"|"&amp;INDEX('Chart of Accounts'!$D$5:$D$3000,MATCH(P105&amp;"",'Chart of Accounts'!$A$5:$A$3000,0)),"")</f>
        <v/>
      </c>
      <c r="U105" s="23">
        <f>IFERROR(INDEX('Chart of Accounts'!$C$5:$C$3000,MATCH(R105&amp;"",'Chart of Accounts'!$A$5:$A$3000,0))&amp;"|"&amp;INDEX('Chart of Accounts'!$D$5:$D$3000,MATCH(R105&amp;"",'Chart of Accounts'!$A$5:$A$3000,0)),"")</f>
        <v/>
      </c>
      <c r="V105" s="23">
        <f>IFERROR(INDEX('Chart of Accounts'!$C$5:$C$3000,MATCH(Q105&amp;"",'Chart of Accounts'!$A$5:$A$3000,0))&amp;"|"&amp;INDEX('Chart of Accounts'!$D$5:$D$3000,MATCH(Q105&amp;"",'Chart of Accounts'!$A$5:$A$3000,0)),"")</f>
        <v/>
      </c>
      <c r="W105" s="23">
        <f>IFERROR(INDEX('Chart of Accounts'!$C$5:$C$3000,MATCH(S105&amp;"",'Chart of Accounts'!$A$5:$A$3000,0))&amp;"|"&amp;INDEX('Chart of Accounts'!$D$5:$D$3000,MATCH(S105&amp;"",'Chart of Accounts'!$A$5:$A$3000,0)),"")</f>
        <v/>
      </c>
      <c r="X105" s="23">
        <f>IF(LEFT(T105,8)="Revenue|",-N(O105),0)+IF(LEFT(U105,8)="Revenue|",-N(N105),0)+IF(LEFT(V105,8)="Revenue|",N(L105),0)+IF(LEFT(W105,8)="Revenue|",N(M105),0)</f>
        <v/>
      </c>
      <c r="Y105" s="23">
        <f>IF(LEFT(T105,5)="COGS|",N(O105),0)+IF(LEFT(U105,5)="COGS|",N(N105),0)+IF(LEFT(V105,5)="COGS|",-N(L105),0)+IF(LEFT(W105,5)="COGS|",-N(M105),0)</f>
        <v/>
      </c>
      <c r="Z105" s="23">
        <f>IF(LEFT(T105,8)="Expense|",N(O105),0)+IF(LEFT(U105,8)="Expense|",N(N105),0)+IF(LEFT(V105,8)="Expense|",-N(L105),0)+IF(LEFT(W105,8)="Expense|",-N(M105),0)</f>
        <v/>
      </c>
      <c r="AA105" s="23">
        <f>IF(ISNUMBER(MATCH(T105,{"Expense|employee","Expense|general_admin","Expense|marketing","Expense|utilities","Expense|other_operating"},0)),N(O105),0)+IF(ISNUMBER(MATCH(U105,{"Expense|employee","Expense|general_admin","Expense|marketing","Expense|utilities","Expense|other_operating"},0)),N(N105),0)+IF(ISNUMBER(MATCH(V105,{"Expense|employee","Expense|general_admin","Expense|marketing","Expense|utilities","Expense|other_operating"},0)),-N(L105),0)+IF(ISNUMBER(MATCH(W105,{"Expense|employee","Expense|general_admin","Expense|marketing","Expense|utilities","Expense|other_operating"},0)),-N(M105),0)</f>
        <v/>
      </c>
      <c r="AB105" s="23">
        <f>IF(T105="Liability|payable",-N(O105),0)+IF(U105="Liability|payable",-N(N105),0)+IF(V105="Liability|payable",N(L105),0)+IF(W105="Liability|payable",N(M105),0)</f>
        <v/>
      </c>
      <c r="AC105" s="23">
        <f>IF(T105="Liability|accrued",-N(O105),0)+IF(U105="Liability|accrued",-N(N105),0)+IF(V105="Liability|accrued",N(L105),0)+IF(W105="Liability|accrued",N(M105),0)</f>
        <v/>
      </c>
      <c r="AD105" s="23">
        <f>IF(AND(N(O105)&lt;&gt;0,T105=""),1,0)+IF(AND(N(N105)&lt;&gt;0,U105=""),1,0)+IF(AND(N(L105)&lt;&gt;0,V105=""),1,0)+IF(AND(N(M105)&lt;&gt;0,W105=""),1,0)</f>
        <v/>
      </c>
    </row>
    <row r="106">
      <c r="A106" s="14" t="n"/>
      <c r="B106" s="19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21">
        <f>SUMIFS('Invoice Lines'!$I:$I,'Invoice Lines'!$A:$A,A106)</f>
        <v/>
      </c>
      <c r="L106" s="21">
        <f>IF(E106="Draft",0,K106)</f>
        <v/>
      </c>
      <c r="M106" s="21">
        <f>ROUND(L106*IFERROR(VLOOKUP(I106,'Tax Codes'!$A$5:$E$300,5,FALSE),0),2)</f>
        <v/>
      </c>
      <c r="N106" s="21">
        <f>ROUND(L106*IFERROR(VLOOKUP(J106,'Tax Codes'!$A$5:$E$300,5,FALSE),0),2)</f>
        <v/>
      </c>
      <c r="O106" s="21">
        <f>L106+M106-N106</f>
        <v/>
      </c>
      <c r="P106" s="16">
        <f>IF(F106="",INDEX('Chart of Accounts'!$A$5:$A$3000,MATCH("ar",'Chart of Accounts'!$F$5:$F$3000,0)),F106&amp;"")</f>
        <v/>
      </c>
      <c r="Q106" s="16">
        <f>IF(G106="",INDEX('Chart of Accounts'!$A$5:$A$3000,MATCH("revenue",'Chart of Accounts'!$F$5:$F$3000,0)),G106&amp;"")</f>
        <v/>
      </c>
      <c r="R106" s="16">
        <f>INDEX('Chart of Accounts'!$A$5:$A$3000,MATCH("wht_receivable",'Chart of Accounts'!$F$5:$F$3000,0))</f>
        <v/>
      </c>
      <c r="S106" s="16">
        <f>INDEX('Chart of Accounts'!$A$5:$A$3000,MATCH("vat_output",'Chart of Accounts'!$F$5:$F$3000,0))</f>
        <v/>
      </c>
      <c r="T106" s="23">
        <f>IFERROR(INDEX('Chart of Accounts'!$C$5:$C$3000,MATCH(P106&amp;"",'Chart of Accounts'!$A$5:$A$3000,0))&amp;"|"&amp;INDEX('Chart of Accounts'!$D$5:$D$3000,MATCH(P106&amp;"",'Chart of Accounts'!$A$5:$A$3000,0)),"")</f>
        <v/>
      </c>
      <c r="U106" s="23">
        <f>IFERROR(INDEX('Chart of Accounts'!$C$5:$C$3000,MATCH(R106&amp;"",'Chart of Accounts'!$A$5:$A$3000,0))&amp;"|"&amp;INDEX('Chart of Accounts'!$D$5:$D$3000,MATCH(R106&amp;"",'Chart of Accounts'!$A$5:$A$3000,0)),"")</f>
        <v/>
      </c>
      <c r="V106" s="23">
        <f>IFERROR(INDEX('Chart of Accounts'!$C$5:$C$3000,MATCH(Q106&amp;"",'Chart of Accounts'!$A$5:$A$3000,0))&amp;"|"&amp;INDEX('Chart of Accounts'!$D$5:$D$3000,MATCH(Q106&amp;"",'Chart of Accounts'!$A$5:$A$3000,0)),"")</f>
        <v/>
      </c>
      <c r="W106" s="23">
        <f>IFERROR(INDEX('Chart of Accounts'!$C$5:$C$3000,MATCH(S106&amp;"",'Chart of Accounts'!$A$5:$A$3000,0))&amp;"|"&amp;INDEX('Chart of Accounts'!$D$5:$D$3000,MATCH(S106&amp;"",'Chart of Accounts'!$A$5:$A$3000,0)),"")</f>
        <v/>
      </c>
      <c r="X106" s="23">
        <f>IF(LEFT(T106,8)="Revenue|",-N(O106),0)+IF(LEFT(U106,8)="Revenue|",-N(N106),0)+IF(LEFT(V106,8)="Revenue|",N(L106),0)+IF(LEFT(W106,8)="Revenue|",N(M106),0)</f>
        <v/>
      </c>
      <c r="Y106" s="23">
        <f>IF(LEFT(T106,5)="COGS|",N(O106),0)+IF(LEFT(U106,5)="COGS|",N(N106),0)+IF(LEFT(V106,5)="COGS|",-N(L106),0)+IF(LEFT(W106,5)="COGS|",-N(M106),0)</f>
        <v/>
      </c>
      <c r="Z106" s="23">
        <f>IF(LEFT(T106,8)="Expense|",N(O106),0)+IF(LEFT(U106,8)="Expense|",N(N106),0)+IF(LEFT(V106,8)="Expense|",-N(L106),0)+IF(LEFT(W106,8)="Expense|",-N(M106),0)</f>
        <v/>
      </c>
      <c r="AA106" s="23">
        <f>IF(ISNUMBER(MATCH(T106,{"Expense|employee","Expense|general_admin","Expense|marketing","Expense|utilities","Expense|other_operating"},0)),N(O106),0)+IF(ISNUMBER(MATCH(U106,{"Expense|employee","Expense|general_admin","Expense|marketing","Expense|utilities","Expense|other_operating"},0)),N(N106),0)+IF(ISNUMBER(MATCH(V106,{"Expense|employee","Expense|general_admin","Expense|marketing","Expense|utilities","Expense|other_operating"},0)),-N(L106),0)+IF(ISNUMBER(MATCH(W106,{"Expense|employee","Expense|general_admin","Expense|marketing","Expense|utilities","Expense|other_operating"},0)),-N(M106),0)</f>
        <v/>
      </c>
      <c r="AB106" s="23">
        <f>IF(T106="Liability|payable",-N(O106),0)+IF(U106="Liability|payable",-N(N106),0)+IF(V106="Liability|payable",N(L106),0)+IF(W106="Liability|payable",N(M106),0)</f>
        <v/>
      </c>
      <c r="AC106" s="23">
        <f>IF(T106="Liability|accrued",-N(O106),0)+IF(U106="Liability|accrued",-N(N106),0)+IF(V106="Liability|accrued",N(L106),0)+IF(W106="Liability|accrued",N(M106),0)</f>
        <v/>
      </c>
      <c r="AD106" s="23">
        <f>IF(AND(N(O106)&lt;&gt;0,T106=""),1,0)+IF(AND(N(N106)&lt;&gt;0,U106=""),1,0)+IF(AND(N(L106)&lt;&gt;0,V106=""),1,0)+IF(AND(N(M106)&lt;&gt;0,W106=""),1,0)</f>
        <v/>
      </c>
    </row>
    <row r="107">
      <c r="A107" s="14" t="n"/>
      <c r="B107" s="19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21">
        <f>SUMIFS('Invoice Lines'!$I:$I,'Invoice Lines'!$A:$A,A107)</f>
        <v/>
      </c>
      <c r="L107" s="21">
        <f>IF(E107="Draft",0,K107)</f>
        <v/>
      </c>
      <c r="M107" s="21">
        <f>ROUND(L107*IFERROR(VLOOKUP(I107,'Tax Codes'!$A$5:$E$300,5,FALSE),0),2)</f>
        <v/>
      </c>
      <c r="N107" s="21">
        <f>ROUND(L107*IFERROR(VLOOKUP(J107,'Tax Codes'!$A$5:$E$300,5,FALSE),0),2)</f>
        <v/>
      </c>
      <c r="O107" s="21">
        <f>L107+M107-N107</f>
        <v/>
      </c>
      <c r="P107" s="16">
        <f>IF(F107="",INDEX('Chart of Accounts'!$A$5:$A$3000,MATCH("ar",'Chart of Accounts'!$F$5:$F$3000,0)),F107&amp;"")</f>
        <v/>
      </c>
      <c r="Q107" s="16">
        <f>IF(G107="",INDEX('Chart of Accounts'!$A$5:$A$3000,MATCH("revenue",'Chart of Accounts'!$F$5:$F$3000,0)),G107&amp;"")</f>
        <v/>
      </c>
      <c r="R107" s="16">
        <f>INDEX('Chart of Accounts'!$A$5:$A$3000,MATCH("wht_receivable",'Chart of Accounts'!$F$5:$F$3000,0))</f>
        <v/>
      </c>
      <c r="S107" s="16">
        <f>INDEX('Chart of Accounts'!$A$5:$A$3000,MATCH("vat_output",'Chart of Accounts'!$F$5:$F$3000,0))</f>
        <v/>
      </c>
      <c r="T107" s="23">
        <f>IFERROR(INDEX('Chart of Accounts'!$C$5:$C$3000,MATCH(P107&amp;"",'Chart of Accounts'!$A$5:$A$3000,0))&amp;"|"&amp;INDEX('Chart of Accounts'!$D$5:$D$3000,MATCH(P107&amp;"",'Chart of Accounts'!$A$5:$A$3000,0)),"")</f>
        <v/>
      </c>
      <c r="U107" s="23">
        <f>IFERROR(INDEX('Chart of Accounts'!$C$5:$C$3000,MATCH(R107&amp;"",'Chart of Accounts'!$A$5:$A$3000,0))&amp;"|"&amp;INDEX('Chart of Accounts'!$D$5:$D$3000,MATCH(R107&amp;"",'Chart of Accounts'!$A$5:$A$3000,0)),"")</f>
        <v/>
      </c>
      <c r="V107" s="23">
        <f>IFERROR(INDEX('Chart of Accounts'!$C$5:$C$3000,MATCH(Q107&amp;"",'Chart of Accounts'!$A$5:$A$3000,0))&amp;"|"&amp;INDEX('Chart of Accounts'!$D$5:$D$3000,MATCH(Q107&amp;"",'Chart of Accounts'!$A$5:$A$3000,0)),"")</f>
        <v/>
      </c>
      <c r="W107" s="23">
        <f>IFERROR(INDEX('Chart of Accounts'!$C$5:$C$3000,MATCH(S107&amp;"",'Chart of Accounts'!$A$5:$A$3000,0))&amp;"|"&amp;INDEX('Chart of Accounts'!$D$5:$D$3000,MATCH(S107&amp;"",'Chart of Accounts'!$A$5:$A$3000,0)),"")</f>
        <v/>
      </c>
      <c r="X107" s="23">
        <f>IF(LEFT(T107,8)="Revenue|",-N(O107),0)+IF(LEFT(U107,8)="Revenue|",-N(N107),0)+IF(LEFT(V107,8)="Revenue|",N(L107),0)+IF(LEFT(W107,8)="Revenue|",N(M107),0)</f>
        <v/>
      </c>
      <c r="Y107" s="23">
        <f>IF(LEFT(T107,5)="COGS|",N(O107),0)+IF(LEFT(U107,5)="COGS|",N(N107),0)+IF(LEFT(V107,5)="COGS|",-N(L107),0)+IF(LEFT(W107,5)="COGS|",-N(M107),0)</f>
        <v/>
      </c>
      <c r="Z107" s="23">
        <f>IF(LEFT(T107,8)="Expense|",N(O107),0)+IF(LEFT(U107,8)="Expense|",N(N107),0)+IF(LEFT(V107,8)="Expense|",-N(L107),0)+IF(LEFT(W107,8)="Expense|",-N(M107),0)</f>
        <v/>
      </c>
      <c r="AA107" s="23">
        <f>IF(ISNUMBER(MATCH(T107,{"Expense|employee","Expense|general_admin","Expense|marketing","Expense|utilities","Expense|other_operating"},0)),N(O107),0)+IF(ISNUMBER(MATCH(U107,{"Expense|employee","Expense|general_admin","Expense|marketing","Expense|utilities","Expense|other_operating"},0)),N(N107),0)+IF(ISNUMBER(MATCH(V107,{"Expense|employee","Expense|general_admin","Expense|marketing","Expense|utilities","Expense|other_operating"},0)),-N(L107),0)+IF(ISNUMBER(MATCH(W107,{"Expense|employee","Expense|general_admin","Expense|marketing","Expense|utilities","Expense|other_operating"},0)),-N(M107),0)</f>
        <v/>
      </c>
      <c r="AB107" s="23">
        <f>IF(T107="Liability|payable",-N(O107),0)+IF(U107="Liability|payable",-N(N107),0)+IF(V107="Liability|payable",N(L107),0)+IF(W107="Liability|payable",N(M107),0)</f>
        <v/>
      </c>
      <c r="AC107" s="23">
        <f>IF(T107="Liability|accrued",-N(O107),0)+IF(U107="Liability|accrued",-N(N107),0)+IF(V107="Liability|accrued",N(L107),0)+IF(W107="Liability|accrued",N(M107),0)</f>
        <v/>
      </c>
      <c r="AD107" s="23">
        <f>IF(AND(N(O107)&lt;&gt;0,T107=""),1,0)+IF(AND(N(N107)&lt;&gt;0,U107=""),1,0)+IF(AND(N(L107)&lt;&gt;0,V107=""),1,0)+IF(AND(N(M107)&lt;&gt;0,W107=""),1,0)</f>
        <v/>
      </c>
    </row>
    <row r="108">
      <c r="A108" s="14" t="n"/>
      <c r="B108" s="19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21">
        <f>SUMIFS('Invoice Lines'!$I:$I,'Invoice Lines'!$A:$A,A108)</f>
        <v/>
      </c>
      <c r="L108" s="21">
        <f>IF(E108="Draft",0,K108)</f>
        <v/>
      </c>
      <c r="M108" s="21">
        <f>ROUND(L108*IFERROR(VLOOKUP(I108,'Tax Codes'!$A$5:$E$300,5,FALSE),0),2)</f>
        <v/>
      </c>
      <c r="N108" s="21">
        <f>ROUND(L108*IFERROR(VLOOKUP(J108,'Tax Codes'!$A$5:$E$300,5,FALSE),0),2)</f>
        <v/>
      </c>
      <c r="O108" s="21">
        <f>L108+M108-N108</f>
        <v/>
      </c>
      <c r="P108" s="16">
        <f>IF(F108="",INDEX('Chart of Accounts'!$A$5:$A$3000,MATCH("ar",'Chart of Accounts'!$F$5:$F$3000,0)),F108&amp;"")</f>
        <v/>
      </c>
      <c r="Q108" s="16">
        <f>IF(G108="",INDEX('Chart of Accounts'!$A$5:$A$3000,MATCH("revenue",'Chart of Accounts'!$F$5:$F$3000,0)),G108&amp;"")</f>
        <v/>
      </c>
      <c r="R108" s="16">
        <f>INDEX('Chart of Accounts'!$A$5:$A$3000,MATCH("wht_receivable",'Chart of Accounts'!$F$5:$F$3000,0))</f>
        <v/>
      </c>
      <c r="S108" s="16">
        <f>INDEX('Chart of Accounts'!$A$5:$A$3000,MATCH("vat_output",'Chart of Accounts'!$F$5:$F$3000,0))</f>
        <v/>
      </c>
      <c r="T108" s="23">
        <f>IFERROR(INDEX('Chart of Accounts'!$C$5:$C$3000,MATCH(P108&amp;"",'Chart of Accounts'!$A$5:$A$3000,0))&amp;"|"&amp;INDEX('Chart of Accounts'!$D$5:$D$3000,MATCH(P108&amp;"",'Chart of Accounts'!$A$5:$A$3000,0)),"")</f>
        <v/>
      </c>
      <c r="U108" s="23">
        <f>IFERROR(INDEX('Chart of Accounts'!$C$5:$C$3000,MATCH(R108&amp;"",'Chart of Accounts'!$A$5:$A$3000,0))&amp;"|"&amp;INDEX('Chart of Accounts'!$D$5:$D$3000,MATCH(R108&amp;"",'Chart of Accounts'!$A$5:$A$3000,0)),"")</f>
        <v/>
      </c>
      <c r="V108" s="23">
        <f>IFERROR(INDEX('Chart of Accounts'!$C$5:$C$3000,MATCH(Q108&amp;"",'Chart of Accounts'!$A$5:$A$3000,0))&amp;"|"&amp;INDEX('Chart of Accounts'!$D$5:$D$3000,MATCH(Q108&amp;"",'Chart of Accounts'!$A$5:$A$3000,0)),"")</f>
        <v/>
      </c>
      <c r="W108" s="23">
        <f>IFERROR(INDEX('Chart of Accounts'!$C$5:$C$3000,MATCH(S108&amp;"",'Chart of Accounts'!$A$5:$A$3000,0))&amp;"|"&amp;INDEX('Chart of Accounts'!$D$5:$D$3000,MATCH(S108&amp;"",'Chart of Accounts'!$A$5:$A$3000,0)),"")</f>
        <v/>
      </c>
      <c r="X108" s="23">
        <f>IF(LEFT(T108,8)="Revenue|",-N(O108),0)+IF(LEFT(U108,8)="Revenue|",-N(N108),0)+IF(LEFT(V108,8)="Revenue|",N(L108),0)+IF(LEFT(W108,8)="Revenue|",N(M108),0)</f>
        <v/>
      </c>
      <c r="Y108" s="23">
        <f>IF(LEFT(T108,5)="COGS|",N(O108),0)+IF(LEFT(U108,5)="COGS|",N(N108),0)+IF(LEFT(V108,5)="COGS|",-N(L108),0)+IF(LEFT(W108,5)="COGS|",-N(M108),0)</f>
        <v/>
      </c>
      <c r="Z108" s="23">
        <f>IF(LEFT(T108,8)="Expense|",N(O108),0)+IF(LEFT(U108,8)="Expense|",N(N108),0)+IF(LEFT(V108,8)="Expense|",-N(L108),0)+IF(LEFT(W108,8)="Expense|",-N(M108),0)</f>
        <v/>
      </c>
      <c r="AA108" s="23">
        <f>IF(ISNUMBER(MATCH(T108,{"Expense|employee","Expense|general_admin","Expense|marketing","Expense|utilities","Expense|other_operating"},0)),N(O108),0)+IF(ISNUMBER(MATCH(U108,{"Expense|employee","Expense|general_admin","Expense|marketing","Expense|utilities","Expense|other_operating"},0)),N(N108),0)+IF(ISNUMBER(MATCH(V108,{"Expense|employee","Expense|general_admin","Expense|marketing","Expense|utilities","Expense|other_operating"},0)),-N(L108),0)+IF(ISNUMBER(MATCH(W108,{"Expense|employee","Expense|general_admin","Expense|marketing","Expense|utilities","Expense|other_operating"},0)),-N(M108),0)</f>
        <v/>
      </c>
      <c r="AB108" s="23">
        <f>IF(T108="Liability|payable",-N(O108),0)+IF(U108="Liability|payable",-N(N108),0)+IF(V108="Liability|payable",N(L108),0)+IF(W108="Liability|payable",N(M108),0)</f>
        <v/>
      </c>
      <c r="AC108" s="23">
        <f>IF(T108="Liability|accrued",-N(O108),0)+IF(U108="Liability|accrued",-N(N108),0)+IF(V108="Liability|accrued",N(L108),0)+IF(W108="Liability|accrued",N(M108),0)</f>
        <v/>
      </c>
      <c r="AD108" s="23">
        <f>IF(AND(N(O108)&lt;&gt;0,T108=""),1,0)+IF(AND(N(N108)&lt;&gt;0,U108=""),1,0)+IF(AND(N(L108)&lt;&gt;0,V108=""),1,0)+IF(AND(N(M108)&lt;&gt;0,W108=""),1,0)</f>
        <v/>
      </c>
    </row>
    <row r="109">
      <c r="A109" s="14" t="n"/>
      <c r="B109" s="19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21">
        <f>SUMIFS('Invoice Lines'!$I:$I,'Invoice Lines'!$A:$A,A109)</f>
        <v/>
      </c>
      <c r="L109" s="21">
        <f>IF(E109="Draft",0,K109)</f>
        <v/>
      </c>
      <c r="M109" s="21">
        <f>ROUND(L109*IFERROR(VLOOKUP(I109,'Tax Codes'!$A$5:$E$300,5,FALSE),0),2)</f>
        <v/>
      </c>
      <c r="N109" s="21">
        <f>ROUND(L109*IFERROR(VLOOKUP(J109,'Tax Codes'!$A$5:$E$300,5,FALSE),0),2)</f>
        <v/>
      </c>
      <c r="O109" s="21">
        <f>L109+M109-N109</f>
        <v/>
      </c>
      <c r="P109" s="16">
        <f>IF(F109="",INDEX('Chart of Accounts'!$A$5:$A$3000,MATCH("ar",'Chart of Accounts'!$F$5:$F$3000,0)),F109&amp;"")</f>
        <v/>
      </c>
      <c r="Q109" s="16">
        <f>IF(G109="",INDEX('Chart of Accounts'!$A$5:$A$3000,MATCH("revenue",'Chart of Accounts'!$F$5:$F$3000,0)),G109&amp;"")</f>
        <v/>
      </c>
      <c r="R109" s="16">
        <f>INDEX('Chart of Accounts'!$A$5:$A$3000,MATCH("wht_receivable",'Chart of Accounts'!$F$5:$F$3000,0))</f>
        <v/>
      </c>
      <c r="S109" s="16">
        <f>INDEX('Chart of Accounts'!$A$5:$A$3000,MATCH("vat_output",'Chart of Accounts'!$F$5:$F$3000,0))</f>
        <v/>
      </c>
      <c r="T109" s="23">
        <f>IFERROR(INDEX('Chart of Accounts'!$C$5:$C$3000,MATCH(P109&amp;"",'Chart of Accounts'!$A$5:$A$3000,0))&amp;"|"&amp;INDEX('Chart of Accounts'!$D$5:$D$3000,MATCH(P109&amp;"",'Chart of Accounts'!$A$5:$A$3000,0)),"")</f>
        <v/>
      </c>
      <c r="U109" s="23">
        <f>IFERROR(INDEX('Chart of Accounts'!$C$5:$C$3000,MATCH(R109&amp;"",'Chart of Accounts'!$A$5:$A$3000,0))&amp;"|"&amp;INDEX('Chart of Accounts'!$D$5:$D$3000,MATCH(R109&amp;"",'Chart of Accounts'!$A$5:$A$3000,0)),"")</f>
        <v/>
      </c>
      <c r="V109" s="23">
        <f>IFERROR(INDEX('Chart of Accounts'!$C$5:$C$3000,MATCH(Q109&amp;"",'Chart of Accounts'!$A$5:$A$3000,0))&amp;"|"&amp;INDEX('Chart of Accounts'!$D$5:$D$3000,MATCH(Q109&amp;"",'Chart of Accounts'!$A$5:$A$3000,0)),"")</f>
        <v/>
      </c>
      <c r="W109" s="23">
        <f>IFERROR(INDEX('Chart of Accounts'!$C$5:$C$3000,MATCH(S109&amp;"",'Chart of Accounts'!$A$5:$A$3000,0))&amp;"|"&amp;INDEX('Chart of Accounts'!$D$5:$D$3000,MATCH(S109&amp;"",'Chart of Accounts'!$A$5:$A$3000,0)),"")</f>
        <v/>
      </c>
      <c r="X109" s="23">
        <f>IF(LEFT(T109,8)="Revenue|",-N(O109),0)+IF(LEFT(U109,8)="Revenue|",-N(N109),0)+IF(LEFT(V109,8)="Revenue|",N(L109),0)+IF(LEFT(W109,8)="Revenue|",N(M109),0)</f>
        <v/>
      </c>
      <c r="Y109" s="23">
        <f>IF(LEFT(T109,5)="COGS|",N(O109),0)+IF(LEFT(U109,5)="COGS|",N(N109),0)+IF(LEFT(V109,5)="COGS|",-N(L109),0)+IF(LEFT(W109,5)="COGS|",-N(M109),0)</f>
        <v/>
      </c>
      <c r="Z109" s="23">
        <f>IF(LEFT(T109,8)="Expense|",N(O109),0)+IF(LEFT(U109,8)="Expense|",N(N109),0)+IF(LEFT(V109,8)="Expense|",-N(L109),0)+IF(LEFT(W109,8)="Expense|",-N(M109),0)</f>
        <v/>
      </c>
      <c r="AA109" s="23">
        <f>IF(ISNUMBER(MATCH(T109,{"Expense|employee","Expense|general_admin","Expense|marketing","Expense|utilities","Expense|other_operating"},0)),N(O109),0)+IF(ISNUMBER(MATCH(U109,{"Expense|employee","Expense|general_admin","Expense|marketing","Expense|utilities","Expense|other_operating"},0)),N(N109),0)+IF(ISNUMBER(MATCH(V109,{"Expense|employee","Expense|general_admin","Expense|marketing","Expense|utilities","Expense|other_operating"},0)),-N(L109),0)+IF(ISNUMBER(MATCH(W109,{"Expense|employee","Expense|general_admin","Expense|marketing","Expense|utilities","Expense|other_operating"},0)),-N(M109),0)</f>
        <v/>
      </c>
      <c r="AB109" s="23">
        <f>IF(T109="Liability|payable",-N(O109),0)+IF(U109="Liability|payable",-N(N109),0)+IF(V109="Liability|payable",N(L109),0)+IF(W109="Liability|payable",N(M109),0)</f>
        <v/>
      </c>
      <c r="AC109" s="23">
        <f>IF(T109="Liability|accrued",-N(O109),0)+IF(U109="Liability|accrued",-N(N109),0)+IF(V109="Liability|accrued",N(L109),0)+IF(W109="Liability|accrued",N(M109),0)</f>
        <v/>
      </c>
      <c r="AD109" s="23">
        <f>IF(AND(N(O109)&lt;&gt;0,T109=""),1,0)+IF(AND(N(N109)&lt;&gt;0,U109=""),1,0)+IF(AND(N(L109)&lt;&gt;0,V109=""),1,0)+IF(AND(N(M109)&lt;&gt;0,W109=""),1,0)</f>
        <v/>
      </c>
    </row>
    <row r="110">
      <c r="A110" s="14" t="n"/>
      <c r="B110" s="19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21">
        <f>SUMIFS('Invoice Lines'!$I:$I,'Invoice Lines'!$A:$A,A110)</f>
        <v/>
      </c>
      <c r="L110" s="21">
        <f>IF(E110="Draft",0,K110)</f>
        <v/>
      </c>
      <c r="M110" s="21">
        <f>ROUND(L110*IFERROR(VLOOKUP(I110,'Tax Codes'!$A$5:$E$300,5,FALSE),0),2)</f>
        <v/>
      </c>
      <c r="N110" s="21">
        <f>ROUND(L110*IFERROR(VLOOKUP(J110,'Tax Codes'!$A$5:$E$300,5,FALSE),0),2)</f>
        <v/>
      </c>
      <c r="O110" s="21">
        <f>L110+M110-N110</f>
        <v/>
      </c>
      <c r="P110" s="16">
        <f>IF(F110="",INDEX('Chart of Accounts'!$A$5:$A$3000,MATCH("ar",'Chart of Accounts'!$F$5:$F$3000,0)),F110&amp;"")</f>
        <v/>
      </c>
      <c r="Q110" s="16">
        <f>IF(G110="",INDEX('Chart of Accounts'!$A$5:$A$3000,MATCH("revenue",'Chart of Accounts'!$F$5:$F$3000,0)),G110&amp;"")</f>
        <v/>
      </c>
      <c r="R110" s="16">
        <f>INDEX('Chart of Accounts'!$A$5:$A$3000,MATCH("wht_receivable",'Chart of Accounts'!$F$5:$F$3000,0))</f>
        <v/>
      </c>
      <c r="S110" s="16">
        <f>INDEX('Chart of Accounts'!$A$5:$A$3000,MATCH("vat_output",'Chart of Accounts'!$F$5:$F$3000,0))</f>
        <v/>
      </c>
      <c r="T110" s="23">
        <f>IFERROR(INDEX('Chart of Accounts'!$C$5:$C$3000,MATCH(P110&amp;"",'Chart of Accounts'!$A$5:$A$3000,0))&amp;"|"&amp;INDEX('Chart of Accounts'!$D$5:$D$3000,MATCH(P110&amp;"",'Chart of Accounts'!$A$5:$A$3000,0)),"")</f>
        <v/>
      </c>
      <c r="U110" s="23">
        <f>IFERROR(INDEX('Chart of Accounts'!$C$5:$C$3000,MATCH(R110&amp;"",'Chart of Accounts'!$A$5:$A$3000,0))&amp;"|"&amp;INDEX('Chart of Accounts'!$D$5:$D$3000,MATCH(R110&amp;"",'Chart of Accounts'!$A$5:$A$3000,0)),"")</f>
        <v/>
      </c>
      <c r="V110" s="23">
        <f>IFERROR(INDEX('Chart of Accounts'!$C$5:$C$3000,MATCH(Q110&amp;"",'Chart of Accounts'!$A$5:$A$3000,0))&amp;"|"&amp;INDEX('Chart of Accounts'!$D$5:$D$3000,MATCH(Q110&amp;"",'Chart of Accounts'!$A$5:$A$3000,0)),"")</f>
        <v/>
      </c>
      <c r="W110" s="23">
        <f>IFERROR(INDEX('Chart of Accounts'!$C$5:$C$3000,MATCH(S110&amp;"",'Chart of Accounts'!$A$5:$A$3000,0))&amp;"|"&amp;INDEX('Chart of Accounts'!$D$5:$D$3000,MATCH(S110&amp;"",'Chart of Accounts'!$A$5:$A$3000,0)),"")</f>
        <v/>
      </c>
      <c r="X110" s="23">
        <f>IF(LEFT(T110,8)="Revenue|",-N(O110),0)+IF(LEFT(U110,8)="Revenue|",-N(N110),0)+IF(LEFT(V110,8)="Revenue|",N(L110),0)+IF(LEFT(W110,8)="Revenue|",N(M110),0)</f>
        <v/>
      </c>
      <c r="Y110" s="23">
        <f>IF(LEFT(T110,5)="COGS|",N(O110),0)+IF(LEFT(U110,5)="COGS|",N(N110),0)+IF(LEFT(V110,5)="COGS|",-N(L110),0)+IF(LEFT(W110,5)="COGS|",-N(M110),0)</f>
        <v/>
      </c>
      <c r="Z110" s="23">
        <f>IF(LEFT(T110,8)="Expense|",N(O110),0)+IF(LEFT(U110,8)="Expense|",N(N110),0)+IF(LEFT(V110,8)="Expense|",-N(L110),0)+IF(LEFT(W110,8)="Expense|",-N(M110),0)</f>
        <v/>
      </c>
      <c r="AA110" s="23">
        <f>IF(ISNUMBER(MATCH(T110,{"Expense|employee","Expense|general_admin","Expense|marketing","Expense|utilities","Expense|other_operating"},0)),N(O110),0)+IF(ISNUMBER(MATCH(U110,{"Expense|employee","Expense|general_admin","Expense|marketing","Expense|utilities","Expense|other_operating"},0)),N(N110),0)+IF(ISNUMBER(MATCH(V110,{"Expense|employee","Expense|general_admin","Expense|marketing","Expense|utilities","Expense|other_operating"},0)),-N(L110),0)+IF(ISNUMBER(MATCH(W110,{"Expense|employee","Expense|general_admin","Expense|marketing","Expense|utilities","Expense|other_operating"},0)),-N(M110),0)</f>
        <v/>
      </c>
      <c r="AB110" s="23">
        <f>IF(T110="Liability|payable",-N(O110),0)+IF(U110="Liability|payable",-N(N110),0)+IF(V110="Liability|payable",N(L110),0)+IF(W110="Liability|payable",N(M110),0)</f>
        <v/>
      </c>
      <c r="AC110" s="23">
        <f>IF(T110="Liability|accrued",-N(O110),0)+IF(U110="Liability|accrued",-N(N110),0)+IF(V110="Liability|accrued",N(L110),0)+IF(W110="Liability|accrued",N(M110),0)</f>
        <v/>
      </c>
      <c r="AD110" s="23">
        <f>IF(AND(N(O110)&lt;&gt;0,T110=""),1,0)+IF(AND(N(N110)&lt;&gt;0,U110=""),1,0)+IF(AND(N(L110)&lt;&gt;0,V110=""),1,0)+IF(AND(N(M110)&lt;&gt;0,W110=""),1,0)</f>
        <v/>
      </c>
    </row>
    <row r="111">
      <c r="A111" s="14" t="n"/>
      <c r="B111" s="19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21">
        <f>SUMIFS('Invoice Lines'!$I:$I,'Invoice Lines'!$A:$A,A111)</f>
        <v/>
      </c>
      <c r="L111" s="21">
        <f>IF(E111="Draft",0,K111)</f>
        <v/>
      </c>
      <c r="M111" s="21">
        <f>ROUND(L111*IFERROR(VLOOKUP(I111,'Tax Codes'!$A$5:$E$300,5,FALSE),0),2)</f>
        <v/>
      </c>
      <c r="N111" s="21">
        <f>ROUND(L111*IFERROR(VLOOKUP(J111,'Tax Codes'!$A$5:$E$300,5,FALSE),0),2)</f>
        <v/>
      </c>
      <c r="O111" s="21">
        <f>L111+M111-N111</f>
        <v/>
      </c>
      <c r="P111" s="16">
        <f>IF(F111="",INDEX('Chart of Accounts'!$A$5:$A$3000,MATCH("ar",'Chart of Accounts'!$F$5:$F$3000,0)),F111&amp;"")</f>
        <v/>
      </c>
      <c r="Q111" s="16">
        <f>IF(G111="",INDEX('Chart of Accounts'!$A$5:$A$3000,MATCH("revenue",'Chart of Accounts'!$F$5:$F$3000,0)),G111&amp;"")</f>
        <v/>
      </c>
      <c r="R111" s="16">
        <f>INDEX('Chart of Accounts'!$A$5:$A$3000,MATCH("wht_receivable",'Chart of Accounts'!$F$5:$F$3000,0))</f>
        <v/>
      </c>
      <c r="S111" s="16">
        <f>INDEX('Chart of Accounts'!$A$5:$A$3000,MATCH("vat_output",'Chart of Accounts'!$F$5:$F$3000,0))</f>
        <v/>
      </c>
      <c r="T111" s="23">
        <f>IFERROR(INDEX('Chart of Accounts'!$C$5:$C$3000,MATCH(P111&amp;"",'Chart of Accounts'!$A$5:$A$3000,0))&amp;"|"&amp;INDEX('Chart of Accounts'!$D$5:$D$3000,MATCH(P111&amp;"",'Chart of Accounts'!$A$5:$A$3000,0)),"")</f>
        <v/>
      </c>
      <c r="U111" s="23">
        <f>IFERROR(INDEX('Chart of Accounts'!$C$5:$C$3000,MATCH(R111&amp;"",'Chart of Accounts'!$A$5:$A$3000,0))&amp;"|"&amp;INDEX('Chart of Accounts'!$D$5:$D$3000,MATCH(R111&amp;"",'Chart of Accounts'!$A$5:$A$3000,0)),"")</f>
        <v/>
      </c>
      <c r="V111" s="23">
        <f>IFERROR(INDEX('Chart of Accounts'!$C$5:$C$3000,MATCH(Q111&amp;"",'Chart of Accounts'!$A$5:$A$3000,0))&amp;"|"&amp;INDEX('Chart of Accounts'!$D$5:$D$3000,MATCH(Q111&amp;"",'Chart of Accounts'!$A$5:$A$3000,0)),"")</f>
        <v/>
      </c>
      <c r="W111" s="23">
        <f>IFERROR(INDEX('Chart of Accounts'!$C$5:$C$3000,MATCH(S111&amp;"",'Chart of Accounts'!$A$5:$A$3000,0))&amp;"|"&amp;INDEX('Chart of Accounts'!$D$5:$D$3000,MATCH(S111&amp;"",'Chart of Accounts'!$A$5:$A$3000,0)),"")</f>
        <v/>
      </c>
      <c r="X111" s="23">
        <f>IF(LEFT(T111,8)="Revenue|",-N(O111),0)+IF(LEFT(U111,8)="Revenue|",-N(N111),0)+IF(LEFT(V111,8)="Revenue|",N(L111),0)+IF(LEFT(W111,8)="Revenue|",N(M111),0)</f>
        <v/>
      </c>
      <c r="Y111" s="23">
        <f>IF(LEFT(T111,5)="COGS|",N(O111),0)+IF(LEFT(U111,5)="COGS|",N(N111),0)+IF(LEFT(V111,5)="COGS|",-N(L111),0)+IF(LEFT(W111,5)="COGS|",-N(M111),0)</f>
        <v/>
      </c>
      <c r="Z111" s="23">
        <f>IF(LEFT(T111,8)="Expense|",N(O111),0)+IF(LEFT(U111,8)="Expense|",N(N111),0)+IF(LEFT(V111,8)="Expense|",-N(L111),0)+IF(LEFT(W111,8)="Expense|",-N(M111),0)</f>
        <v/>
      </c>
      <c r="AA111" s="23">
        <f>IF(ISNUMBER(MATCH(T111,{"Expense|employee","Expense|general_admin","Expense|marketing","Expense|utilities","Expense|other_operating"},0)),N(O111),0)+IF(ISNUMBER(MATCH(U111,{"Expense|employee","Expense|general_admin","Expense|marketing","Expense|utilities","Expense|other_operating"},0)),N(N111),0)+IF(ISNUMBER(MATCH(V111,{"Expense|employee","Expense|general_admin","Expense|marketing","Expense|utilities","Expense|other_operating"},0)),-N(L111),0)+IF(ISNUMBER(MATCH(W111,{"Expense|employee","Expense|general_admin","Expense|marketing","Expense|utilities","Expense|other_operating"},0)),-N(M111),0)</f>
        <v/>
      </c>
      <c r="AB111" s="23">
        <f>IF(T111="Liability|payable",-N(O111),0)+IF(U111="Liability|payable",-N(N111),0)+IF(V111="Liability|payable",N(L111),0)+IF(W111="Liability|payable",N(M111),0)</f>
        <v/>
      </c>
      <c r="AC111" s="23">
        <f>IF(T111="Liability|accrued",-N(O111),0)+IF(U111="Liability|accrued",-N(N111),0)+IF(V111="Liability|accrued",N(L111),0)+IF(W111="Liability|accrued",N(M111),0)</f>
        <v/>
      </c>
      <c r="AD111" s="23">
        <f>IF(AND(N(O111)&lt;&gt;0,T111=""),1,0)+IF(AND(N(N111)&lt;&gt;0,U111=""),1,0)+IF(AND(N(L111)&lt;&gt;0,V111=""),1,0)+IF(AND(N(M111)&lt;&gt;0,W111=""),1,0)</f>
        <v/>
      </c>
    </row>
    <row r="112">
      <c r="A112" s="14" t="n"/>
      <c r="B112" s="19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21">
        <f>SUMIFS('Invoice Lines'!$I:$I,'Invoice Lines'!$A:$A,A112)</f>
        <v/>
      </c>
      <c r="L112" s="21">
        <f>IF(E112="Draft",0,K112)</f>
        <v/>
      </c>
      <c r="M112" s="21">
        <f>ROUND(L112*IFERROR(VLOOKUP(I112,'Tax Codes'!$A$5:$E$300,5,FALSE),0),2)</f>
        <v/>
      </c>
      <c r="N112" s="21">
        <f>ROUND(L112*IFERROR(VLOOKUP(J112,'Tax Codes'!$A$5:$E$300,5,FALSE),0),2)</f>
        <v/>
      </c>
      <c r="O112" s="21">
        <f>L112+M112-N112</f>
        <v/>
      </c>
      <c r="P112" s="16">
        <f>IF(F112="",INDEX('Chart of Accounts'!$A$5:$A$3000,MATCH("ar",'Chart of Accounts'!$F$5:$F$3000,0)),F112&amp;"")</f>
        <v/>
      </c>
      <c r="Q112" s="16">
        <f>IF(G112="",INDEX('Chart of Accounts'!$A$5:$A$3000,MATCH("revenue",'Chart of Accounts'!$F$5:$F$3000,0)),G112&amp;"")</f>
        <v/>
      </c>
      <c r="R112" s="16">
        <f>INDEX('Chart of Accounts'!$A$5:$A$3000,MATCH("wht_receivable",'Chart of Accounts'!$F$5:$F$3000,0))</f>
        <v/>
      </c>
      <c r="S112" s="16">
        <f>INDEX('Chart of Accounts'!$A$5:$A$3000,MATCH("vat_output",'Chart of Accounts'!$F$5:$F$3000,0))</f>
        <v/>
      </c>
      <c r="T112" s="23">
        <f>IFERROR(INDEX('Chart of Accounts'!$C$5:$C$3000,MATCH(P112&amp;"",'Chart of Accounts'!$A$5:$A$3000,0))&amp;"|"&amp;INDEX('Chart of Accounts'!$D$5:$D$3000,MATCH(P112&amp;"",'Chart of Accounts'!$A$5:$A$3000,0)),"")</f>
        <v/>
      </c>
      <c r="U112" s="23">
        <f>IFERROR(INDEX('Chart of Accounts'!$C$5:$C$3000,MATCH(R112&amp;"",'Chart of Accounts'!$A$5:$A$3000,0))&amp;"|"&amp;INDEX('Chart of Accounts'!$D$5:$D$3000,MATCH(R112&amp;"",'Chart of Accounts'!$A$5:$A$3000,0)),"")</f>
        <v/>
      </c>
      <c r="V112" s="23">
        <f>IFERROR(INDEX('Chart of Accounts'!$C$5:$C$3000,MATCH(Q112&amp;"",'Chart of Accounts'!$A$5:$A$3000,0))&amp;"|"&amp;INDEX('Chart of Accounts'!$D$5:$D$3000,MATCH(Q112&amp;"",'Chart of Accounts'!$A$5:$A$3000,0)),"")</f>
        <v/>
      </c>
      <c r="W112" s="23">
        <f>IFERROR(INDEX('Chart of Accounts'!$C$5:$C$3000,MATCH(S112&amp;"",'Chart of Accounts'!$A$5:$A$3000,0))&amp;"|"&amp;INDEX('Chart of Accounts'!$D$5:$D$3000,MATCH(S112&amp;"",'Chart of Accounts'!$A$5:$A$3000,0)),"")</f>
        <v/>
      </c>
      <c r="X112" s="23">
        <f>IF(LEFT(T112,8)="Revenue|",-N(O112),0)+IF(LEFT(U112,8)="Revenue|",-N(N112),0)+IF(LEFT(V112,8)="Revenue|",N(L112),0)+IF(LEFT(W112,8)="Revenue|",N(M112),0)</f>
        <v/>
      </c>
      <c r="Y112" s="23">
        <f>IF(LEFT(T112,5)="COGS|",N(O112),0)+IF(LEFT(U112,5)="COGS|",N(N112),0)+IF(LEFT(V112,5)="COGS|",-N(L112),0)+IF(LEFT(W112,5)="COGS|",-N(M112),0)</f>
        <v/>
      </c>
      <c r="Z112" s="23">
        <f>IF(LEFT(T112,8)="Expense|",N(O112),0)+IF(LEFT(U112,8)="Expense|",N(N112),0)+IF(LEFT(V112,8)="Expense|",-N(L112),0)+IF(LEFT(W112,8)="Expense|",-N(M112),0)</f>
        <v/>
      </c>
      <c r="AA112" s="23">
        <f>IF(ISNUMBER(MATCH(T112,{"Expense|employee","Expense|general_admin","Expense|marketing","Expense|utilities","Expense|other_operating"},0)),N(O112),0)+IF(ISNUMBER(MATCH(U112,{"Expense|employee","Expense|general_admin","Expense|marketing","Expense|utilities","Expense|other_operating"},0)),N(N112),0)+IF(ISNUMBER(MATCH(V112,{"Expense|employee","Expense|general_admin","Expense|marketing","Expense|utilities","Expense|other_operating"},0)),-N(L112),0)+IF(ISNUMBER(MATCH(W112,{"Expense|employee","Expense|general_admin","Expense|marketing","Expense|utilities","Expense|other_operating"},0)),-N(M112),0)</f>
        <v/>
      </c>
      <c r="AB112" s="23">
        <f>IF(T112="Liability|payable",-N(O112),0)+IF(U112="Liability|payable",-N(N112),0)+IF(V112="Liability|payable",N(L112),0)+IF(W112="Liability|payable",N(M112),0)</f>
        <v/>
      </c>
      <c r="AC112" s="23">
        <f>IF(T112="Liability|accrued",-N(O112),0)+IF(U112="Liability|accrued",-N(N112),0)+IF(V112="Liability|accrued",N(L112),0)+IF(W112="Liability|accrued",N(M112),0)</f>
        <v/>
      </c>
      <c r="AD112" s="23">
        <f>IF(AND(N(O112)&lt;&gt;0,T112=""),1,0)+IF(AND(N(N112)&lt;&gt;0,U112=""),1,0)+IF(AND(N(L112)&lt;&gt;0,V112=""),1,0)+IF(AND(N(M112)&lt;&gt;0,W112=""),1,0)</f>
        <v/>
      </c>
    </row>
    <row r="113">
      <c r="A113" s="14" t="n"/>
      <c r="B113" s="19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21">
        <f>SUMIFS('Invoice Lines'!$I:$I,'Invoice Lines'!$A:$A,A113)</f>
        <v/>
      </c>
      <c r="L113" s="21">
        <f>IF(E113="Draft",0,K113)</f>
        <v/>
      </c>
      <c r="M113" s="21">
        <f>ROUND(L113*IFERROR(VLOOKUP(I113,'Tax Codes'!$A$5:$E$300,5,FALSE),0),2)</f>
        <v/>
      </c>
      <c r="N113" s="21">
        <f>ROUND(L113*IFERROR(VLOOKUP(J113,'Tax Codes'!$A$5:$E$300,5,FALSE),0),2)</f>
        <v/>
      </c>
      <c r="O113" s="21">
        <f>L113+M113-N113</f>
        <v/>
      </c>
      <c r="P113" s="16">
        <f>IF(F113="",INDEX('Chart of Accounts'!$A$5:$A$3000,MATCH("ar",'Chart of Accounts'!$F$5:$F$3000,0)),F113&amp;"")</f>
        <v/>
      </c>
      <c r="Q113" s="16">
        <f>IF(G113="",INDEX('Chart of Accounts'!$A$5:$A$3000,MATCH("revenue",'Chart of Accounts'!$F$5:$F$3000,0)),G113&amp;"")</f>
        <v/>
      </c>
      <c r="R113" s="16">
        <f>INDEX('Chart of Accounts'!$A$5:$A$3000,MATCH("wht_receivable",'Chart of Accounts'!$F$5:$F$3000,0))</f>
        <v/>
      </c>
      <c r="S113" s="16">
        <f>INDEX('Chart of Accounts'!$A$5:$A$3000,MATCH("vat_output",'Chart of Accounts'!$F$5:$F$3000,0))</f>
        <v/>
      </c>
      <c r="T113" s="23">
        <f>IFERROR(INDEX('Chart of Accounts'!$C$5:$C$3000,MATCH(P113&amp;"",'Chart of Accounts'!$A$5:$A$3000,0))&amp;"|"&amp;INDEX('Chart of Accounts'!$D$5:$D$3000,MATCH(P113&amp;"",'Chart of Accounts'!$A$5:$A$3000,0)),"")</f>
        <v/>
      </c>
      <c r="U113" s="23">
        <f>IFERROR(INDEX('Chart of Accounts'!$C$5:$C$3000,MATCH(R113&amp;"",'Chart of Accounts'!$A$5:$A$3000,0))&amp;"|"&amp;INDEX('Chart of Accounts'!$D$5:$D$3000,MATCH(R113&amp;"",'Chart of Accounts'!$A$5:$A$3000,0)),"")</f>
        <v/>
      </c>
      <c r="V113" s="23">
        <f>IFERROR(INDEX('Chart of Accounts'!$C$5:$C$3000,MATCH(Q113&amp;"",'Chart of Accounts'!$A$5:$A$3000,0))&amp;"|"&amp;INDEX('Chart of Accounts'!$D$5:$D$3000,MATCH(Q113&amp;"",'Chart of Accounts'!$A$5:$A$3000,0)),"")</f>
        <v/>
      </c>
      <c r="W113" s="23">
        <f>IFERROR(INDEX('Chart of Accounts'!$C$5:$C$3000,MATCH(S113&amp;"",'Chart of Accounts'!$A$5:$A$3000,0))&amp;"|"&amp;INDEX('Chart of Accounts'!$D$5:$D$3000,MATCH(S113&amp;"",'Chart of Accounts'!$A$5:$A$3000,0)),"")</f>
        <v/>
      </c>
      <c r="X113" s="23">
        <f>IF(LEFT(T113,8)="Revenue|",-N(O113),0)+IF(LEFT(U113,8)="Revenue|",-N(N113),0)+IF(LEFT(V113,8)="Revenue|",N(L113),0)+IF(LEFT(W113,8)="Revenue|",N(M113),0)</f>
        <v/>
      </c>
      <c r="Y113" s="23">
        <f>IF(LEFT(T113,5)="COGS|",N(O113),0)+IF(LEFT(U113,5)="COGS|",N(N113),0)+IF(LEFT(V113,5)="COGS|",-N(L113),0)+IF(LEFT(W113,5)="COGS|",-N(M113),0)</f>
        <v/>
      </c>
      <c r="Z113" s="23">
        <f>IF(LEFT(T113,8)="Expense|",N(O113),0)+IF(LEFT(U113,8)="Expense|",N(N113),0)+IF(LEFT(V113,8)="Expense|",-N(L113),0)+IF(LEFT(W113,8)="Expense|",-N(M113),0)</f>
        <v/>
      </c>
      <c r="AA113" s="23">
        <f>IF(ISNUMBER(MATCH(T113,{"Expense|employee","Expense|general_admin","Expense|marketing","Expense|utilities","Expense|other_operating"},0)),N(O113),0)+IF(ISNUMBER(MATCH(U113,{"Expense|employee","Expense|general_admin","Expense|marketing","Expense|utilities","Expense|other_operating"},0)),N(N113),0)+IF(ISNUMBER(MATCH(V113,{"Expense|employee","Expense|general_admin","Expense|marketing","Expense|utilities","Expense|other_operating"},0)),-N(L113),0)+IF(ISNUMBER(MATCH(W113,{"Expense|employee","Expense|general_admin","Expense|marketing","Expense|utilities","Expense|other_operating"},0)),-N(M113),0)</f>
        <v/>
      </c>
      <c r="AB113" s="23">
        <f>IF(T113="Liability|payable",-N(O113),0)+IF(U113="Liability|payable",-N(N113),0)+IF(V113="Liability|payable",N(L113),0)+IF(W113="Liability|payable",N(M113),0)</f>
        <v/>
      </c>
      <c r="AC113" s="23">
        <f>IF(T113="Liability|accrued",-N(O113),0)+IF(U113="Liability|accrued",-N(N113),0)+IF(V113="Liability|accrued",N(L113),0)+IF(W113="Liability|accrued",N(M113),0)</f>
        <v/>
      </c>
      <c r="AD113" s="23">
        <f>IF(AND(N(O113)&lt;&gt;0,T113=""),1,0)+IF(AND(N(N113)&lt;&gt;0,U113=""),1,0)+IF(AND(N(L113)&lt;&gt;0,V113=""),1,0)+IF(AND(N(M113)&lt;&gt;0,W113=""),1,0)</f>
        <v/>
      </c>
    </row>
    <row r="114">
      <c r="A114" s="14" t="n"/>
      <c r="B114" s="19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21">
        <f>SUMIFS('Invoice Lines'!$I:$I,'Invoice Lines'!$A:$A,A114)</f>
        <v/>
      </c>
      <c r="L114" s="21">
        <f>IF(E114="Draft",0,K114)</f>
        <v/>
      </c>
      <c r="M114" s="21">
        <f>ROUND(L114*IFERROR(VLOOKUP(I114,'Tax Codes'!$A$5:$E$300,5,FALSE),0),2)</f>
        <v/>
      </c>
      <c r="N114" s="21">
        <f>ROUND(L114*IFERROR(VLOOKUP(J114,'Tax Codes'!$A$5:$E$300,5,FALSE),0),2)</f>
        <v/>
      </c>
      <c r="O114" s="21">
        <f>L114+M114-N114</f>
        <v/>
      </c>
      <c r="P114" s="16">
        <f>IF(F114="",INDEX('Chart of Accounts'!$A$5:$A$3000,MATCH("ar",'Chart of Accounts'!$F$5:$F$3000,0)),F114&amp;"")</f>
        <v/>
      </c>
      <c r="Q114" s="16">
        <f>IF(G114="",INDEX('Chart of Accounts'!$A$5:$A$3000,MATCH("revenue",'Chart of Accounts'!$F$5:$F$3000,0)),G114&amp;"")</f>
        <v/>
      </c>
      <c r="R114" s="16">
        <f>INDEX('Chart of Accounts'!$A$5:$A$3000,MATCH("wht_receivable",'Chart of Accounts'!$F$5:$F$3000,0))</f>
        <v/>
      </c>
      <c r="S114" s="16">
        <f>INDEX('Chart of Accounts'!$A$5:$A$3000,MATCH("vat_output",'Chart of Accounts'!$F$5:$F$3000,0))</f>
        <v/>
      </c>
      <c r="T114" s="23">
        <f>IFERROR(INDEX('Chart of Accounts'!$C$5:$C$3000,MATCH(P114&amp;"",'Chart of Accounts'!$A$5:$A$3000,0))&amp;"|"&amp;INDEX('Chart of Accounts'!$D$5:$D$3000,MATCH(P114&amp;"",'Chart of Accounts'!$A$5:$A$3000,0)),"")</f>
        <v/>
      </c>
      <c r="U114" s="23">
        <f>IFERROR(INDEX('Chart of Accounts'!$C$5:$C$3000,MATCH(R114&amp;"",'Chart of Accounts'!$A$5:$A$3000,0))&amp;"|"&amp;INDEX('Chart of Accounts'!$D$5:$D$3000,MATCH(R114&amp;"",'Chart of Accounts'!$A$5:$A$3000,0)),"")</f>
        <v/>
      </c>
      <c r="V114" s="23">
        <f>IFERROR(INDEX('Chart of Accounts'!$C$5:$C$3000,MATCH(Q114&amp;"",'Chart of Accounts'!$A$5:$A$3000,0))&amp;"|"&amp;INDEX('Chart of Accounts'!$D$5:$D$3000,MATCH(Q114&amp;"",'Chart of Accounts'!$A$5:$A$3000,0)),"")</f>
        <v/>
      </c>
      <c r="W114" s="23">
        <f>IFERROR(INDEX('Chart of Accounts'!$C$5:$C$3000,MATCH(S114&amp;"",'Chart of Accounts'!$A$5:$A$3000,0))&amp;"|"&amp;INDEX('Chart of Accounts'!$D$5:$D$3000,MATCH(S114&amp;"",'Chart of Accounts'!$A$5:$A$3000,0)),"")</f>
        <v/>
      </c>
      <c r="X114" s="23">
        <f>IF(LEFT(T114,8)="Revenue|",-N(O114),0)+IF(LEFT(U114,8)="Revenue|",-N(N114),0)+IF(LEFT(V114,8)="Revenue|",N(L114),0)+IF(LEFT(W114,8)="Revenue|",N(M114),0)</f>
        <v/>
      </c>
      <c r="Y114" s="23">
        <f>IF(LEFT(T114,5)="COGS|",N(O114),0)+IF(LEFT(U114,5)="COGS|",N(N114),0)+IF(LEFT(V114,5)="COGS|",-N(L114),0)+IF(LEFT(W114,5)="COGS|",-N(M114),0)</f>
        <v/>
      </c>
      <c r="Z114" s="23">
        <f>IF(LEFT(T114,8)="Expense|",N(O114),0)+IF(LEFT(U114,8)="Expense|",N(N114),0)+IF(LEFT(V114,8)="Expense|",-N(L114),0)+IF(LEFT(W114,8)="Expense|",-N(M114),0)</f>
        <v/>
      </c>
      <c r="AA114" s="23">
        <f>IF(ISNUMBER(MATCH(T114,{"Expense|employee","Expense|general_admin","Expense|marketing","Expense|utilities","Expense|other_operating"},0)),N(O114),0)+IF(ISNUMBER(MATCH(U114,{"Expense|employee","Expense|general_admin","Expense|marketing","Expense|utilities","Expense|other_operating"},0)),N(N114),0)+IF(ISNUMBER(MATCH(V114,{"Expense|employee","Expense|general_admin","Expense|marketing","Expense|utilities","Expense|other_operating"},0)),-N(L114),0)+IF(ISNUMBER(MATCH(W114,{"Expense|employee","Expense|general_admin","Expense|marketing","Expense|utilities","Expense|other_operating"},0)),-N(M114),0)</f>
        <v/>
      </c>
      <c r="AB114" s="23">
        <f>IF(T114="Liability|payable",-N(O114),0)+IF(U114="Liability|payable",-N(N114),0)+IF(V114="Liability|payable",N(L114),0)+IF(W114="Liability|payable",N(M114),0)</f>
        <v/>
      </c>
      <c r="AC114" s="23">
        <f>IF(T114="Liability|accrued",-N(O114),0)+IF(U114="Liability|accrued",-N(N114),0)+IF(V114="Liability|accrued",N(L114),0)+IF(W114="Liability|accrued",N(M114),0)</f>
        <v/>
      </c>
      <c r="AD114" s="23">
        <f>IF(AND(N(O114)&lt;&gt;0,T114=""),1,0)+IF(AND(N(N114)&lt;&gt;0,U114=""),1,0)+IF(AND(N(L114)&lt;&gt;0,V114=""),1,0)+IF(AND(N(M114)&lt;&gt;0,W114=""),1,0)</f>
        <v/>
      </c>
    </row>
    <row r="115">
      <c r="A115" s="14" t="n"/>
      <c r="B115" s="19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21">
        <f>SUMIFS('Invoice Lines'!$I:$I,'Invoice Lines'!$A:$A,A115)</f>
        <v/>
      </c>
      <c r="L115" s="21">
        <f>IF(E115="Draft",0,K115)</f>
        <v/>
      </c>
      <c r="M115" s="21">
        <f>ROUND(L115*IFERROR(VLOOKUP(I115,'Tax Codes'!$A$5:$E$300,5,FALSE),0),2)</f>
        <v/>
      </c>
      <c r="N115" s="21">
        <f>ROUND(L115*IFERROR(VLOOKUP(J115,'Tax Codes'!$A$5:$E$300,5,FALSE),0),2)</f>
        <v/>
      </c>
      <c r="O115" s="21">
        <f>L115+M115-N115</f>
        <v/>
      </c>
      <c r="P115" s="16">
        <f>IF(F115="",INDEX('Chart of Accounts'!$A$5:$A$3000,MATCH("ar",'Chart of Accounts'!$F$5:$F$3000,0)),F115&amp;"")</f>
        <v/>
      </c>
      <c r="Q115" s="16">
        <f>IF(G115="",INDEX('Chart of Accounts'!$A$5:$A$3000,MATCH("revenue",'Chart of Accounts'!$F$5:$F$3000,0)),G115&amp;"")</f>
        <v/>
      </c>
      <c r="R115" s="16">
        <f>INDEX('Chart of Accounts'!$A$5:$A$3000,MATCH("wht_receivable",'Chart of Accounts'!$F$5:$F$3000,0))</f>
        <v/>
      </c>
      <c r="S115" s="16">
        <f>INDEX('Chart of Accounts'!$A$5:$A$3000,MATCH("vat_output",'Chart of Accounts'!$F$5:$F$3000,0))</f>
        <v/>
      </c>
      <c r="T115" s="23">
        <f>IFERROR(INDEX('Chart of Accounts'!$C$5:$C$3000,MATCH(P115&amp;"",'Chart of Accounts'!$A$5:$A$3000,0))&amp;"|"&amp;INDEX('Chart of Accounts'!$D$5:$D$3000,MATCH(P115&amp;"",'Chart of Accounts'!$A$5:$A$3000,0)),"")</f>
        <v/>
      </c>
      <c r="U115" s="23">
        <f>IFERROR(INDEX('Chart of Accounts'!$C$5:$C$3000,MATCH(R115&amp;"",'Chart of Accounts'!$A$5:$A$3000,0))&amp;"|"&amp;INDEX('Chart of Accounts'!$D$5:$D$3000,MATCH(R115&amp;"",'Chart of Accounts'!$A$5:$A$3000,0)),"")</f>
        <v/>
      </c>
      <c r="V115" s="23">
        <f>IFERROR(INDEX('Chart of Accounts'!$C$5:$C$3000,MATCH(Q115&amp;"",'Chart of Accounts'!$A$5:$A$3000,0))&amp;"|"&amp;INDEX('Chart of Accounts'!$D$5:$D$3000,MATCH(Q115&amp;"",'Chart of Accounts'!$A$5:$A$3000,0)),"")</f>
        <v/>
      </c>
      <c r="W115" s="23">
        <f>IFERROR(INDEX('Chart of Accounts'!$C$5:$C$3000,MATCH(S115&amp;"",'Chart of Accounts'!$A$5:$A$3000,0))&amp;"|"&amp;INDEX('Chart of Accounts'!$D$5:$D$3000,MATCH(S115&amp;"",'Chart of Accounts'!$A$5:$A$3000,0)),"")</f>
        <v/>
      </c>
      <c r="X115" s="23">
        <f>IF(LEFT(T115,8)="Revenue|",-N(O115),0)+IF(LEFT(U115,8)="Revenue|",-N(N115),0)+IF(LEFT(V115,8)="Revenue|",N(L115),0)+IF(LEFT(W115,8)="Revenue|",N(M115),0)</f>
        <v/>
      </c>
      <c r="Y115" s="23">
        <f>IF(LEFT(T115,5)="COGS|",N(O115),0)+IF(LEFT(U115,5)="COGS|",N(N115),0)+IF(LEFT(V115,5)="COGS|",-N(L115),0)+IF(LEFT(W115,5)="COGS|",-N(M115),0)</f>
        <v/>
      </c>
      <c r="Z115" s="23">
        <f>IF(LEFT(T115,8)="Expense|",N(O115),0)+IF(LEFT(U115,8)="Expense|",N(N115),0)+IF(LEFT(V115,8)="Expense|",-N(L115),0)+IF(LEFT(W115,8)="Expense|",-N(M115),0)</f>
        <v/>
      </c>
      <c r="AA115" s="23">
        <f>IF(ISNUMBER(MATCH(T115,{"Expense|employee","Expense|general_admin","Expense|marketing","Expense|utilities","Expense|other_operating"},0)),N(O115),0)+IF(ISNUMBER(MATCH(U115,{"Expense|employee","Expense|general_admin","Expense|marketing","Expense|utilities","Expense|other_operating"},0)),N(N115),0)+IF(ISNUMBER(MATCH(V115,{"Expense|employee","Expense|general_admin","Expense|marketing","Expense|utilities","Expense|other_operating"},0)),-N(L115),0)+IF(ISNUMBER(MATCH(W115,{"Expense|employee","Expense|general_admin","Expense|marketing","Expense|utilities","Expense|other_operating"},0)),-N(M115),0)</f>
        <v/>
      </c>
      <c r="AB115" s="23">
        <f>IF(T115="Liability|payable",-N(O115),0)+IF(U115="Liability|payable",-N(N115),0)+IF(V115="Liability|payable",N(L115),0)+IF(W115="Liability|payable",N(M115),0)</f>
        <v/>
      </c>
      <c r="AC115" s="23">
        <f>IF(T115="Liability|accrued",-N(O115),0)+IF(U115="Liability|accrued",-N(N115),0)+IF(V115="Liability|accrued",N(L115),0)+IF(W115="Liability|accrued",N(M115),0)</f>
        <v/>
      </c>
      <c r="AD115" s="23">
        <f>IF(AND(N(O115)&lt;&gt;0,T115=""),1,0)+IF(AND(N(N115)&lt;&gt;0,U115=""),1,0)+IF(AND(N(L115)&lt;&gt;0,V115=""),1,0)+IF(AND(N(M115)&lt;&gt;0,W115=""),1,0)</f>
        <v/>
      </c>
    </row>
    <row r="116">
      <c r="A116" s="14" t="n"/>
      <c r="B116" s="19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21">
        <f>SUMIFS('Invoice Lines'!$I:$I,'Invoice Lines'!$A:$A,A116)</f>
        <v/>
      </c>
      <c r="L116" s="21">
        <f>IF(E116="Draft",0,K116)</f>
        <v/>
      </c>
      <c r="M116" s="21">
        <f>ROUND(L116*IFERROR(VLOOKUP(I116,'Tax Codes'!$A$5:$E$300,5,FALSE),0),2)</f>
        <v/>
      </c>
      <c r="N116" s="21">
        <f>ROUND(L116*IFERROR(VLOOKUP(J116,'Tax Codes'!$A$5:$E$300,5,FALSE),0),2)</f>
        <v/>
      </c>
      <c r="O116" s="21">
        <f>L116+M116-N116</f>
        <v/>
      </c>
      <c r="P116" s="16">
        <f>IF(F116="",INDEX('Chart of Accounts'!$A$5:$A$3000,MATCH("ar",'Chart of Accounts'!$F$5:$F$3000,0)),F116&amp;"")</f>
        <v/>
      </c>
      <c r="Q116" s="16">
        <f>IF(G116="",INDEX('Chart of Accounts'!$A$5:$A$3000,MATCH("revenue",'Chart of Accounts'!$F$5:$F$3000,0)),G116&amp;"")</f>
        <v/>
      </c>
      <c r="R116" s="16">
        <f>INDEX('Chart of Accounts'!$A$5:$A$3000,MATCH("wht_receivable",'Chart of Accounts'!$F$5:$F$3000,0))</f>
        <v/>
      </c>
      <c r="S116" s="16">
        <f>INDEX('Chart of Accounts'!$A$5:$A$3000,MATCH("vat_output",'Chart of Accounts'!$F$5:$F$3000,0))</f>
        <v/>
      </c>
      <c r="T116" s="23">
        <f>IFERROR(INDEX('Chart of Accounts'!$C$5:$C$3000,MATCH(P116&amp;"",'Chart of Accounts'!$A$5:$A$3000,0))&amp;"|"&amp;INDEX('Chart of Accounts'!$D$5:$D$3000,MATCH(P116&amp;"",'Chart of Accounts'!$A$5:$A$3000,0)),"")</f>
        <v/>
      </c>
      <c r="U116" s="23">
        <f>IFERROR(INDEX('Chart of Accounts'!$C$5:$C$3000,MATCH(R116&amp;"",'Chart of Accounts'!$A$5:$A$3000,0))&amp;"|"&amp;INDEX('Chart of Accounts'!$D$5:$D$3000,MATCH(R116&amp;"",'Chart of Accounts'!$A$5:$A$3000,0)),"")</f>
        <v/>
      </c>
      <c r="V116" s="23">
        <f>IFERROR(INDEX('Chart of Accounts'!$C$5:$C$3000,MATCH(Q116&amp;"",'Chart of Accounts'!$A$5:$A$3000,0))&amp;"|"&amp;INDEX('Chart of Accounts'!$D$5:$D$3000,MATCH(Q116&amp;"",'Chart of Accounts'!$A$5:$A$3000,0)),"")</f>
        <v/>
      </c>
      <c r="W116" s="23">
        <f>IFERROR(INDEX('Chart of Accounts'!$C$5:$C$3000,MATCH(S116&amp;"",'Chart of Accounts'!$A$5:$A$3000,0))&amp;"|"&amp;INDEX('Chart of Accounts'!$D$5:$D$3000,MATCH(S116&amp;"",'Chart of Accounts'!$A$5:$A$3000,0)),"")</f>
        <v/>
      </c>
      <c r="X116" s="23">
        <f>IF(LEFT(T116,8)="Revenue|",-N(O116),0)+IF(LEFT(U116,8)="Revenue|",-N(N116),0)+IF(LEFT(V116,8)="Revenue|",N(L116),0)+IF(LEFT(W116,8)="Revenue|",N(M116),0)</f>
        <v/>
      </c>
      <c r="Y116" s="23">
        <f>IF(LEFT(T116,5)="COGS|",N(O116),0)+IF(LEFT(U116,5)="COGS|",N(N116),0)+IF(LEFT(V116,5)="COGS|",-N(L116),0)+IF(LEFT(W116,5)="COGS|",-N(M116),0)</f>
        <v/>
      </c>
      <c r="Z116" s="23">
        <f>IF(LEFT(T116,8)="Expense|",N(O116),0)+IF(LEFT(U116,8)="Expense|",N(N116),0)+IF(LEFT(V116,8)="Expense|",-N(L116),0)+IF(LEFT(W116,8)="Expense|",-N(M116),0)</f>
        <v/>
      </c>
      <c r="AA116" s="23">
        <f>IF(ISNUMBER(MATCH(T116,{"Expense|employee","Expense|general_admin","Expense|marketing","Expense|utilities","Expense|other_operating"},0)),N(O116),0)+IF(ISNUMBER(MATCH(U116,{"Expense|employee","Expense|general_admin","Expense|marketing","Expense|utilities","Expense|other_operating"},0)),N(N116),0)+IF(ISNUMBER(MATCH(V116,{"Expense|employee","Expense|general_admin","Expense|marketing","Expense|utilities","Expense|other_operating"},0)),-N(L116),0)+IF(ISNUMBER(MATCH(W116,{"Expense|employee","Expense|general_admin","Expense|marketing","Expense|utilities","Expense|other_operating"},0)),-N(M116),0)</f>
        <v/>
      </c>
      <c r="AB116" s="23">
        <f>IF(T116="Liability|payable",-N(O116),0)+IF(U116="Liability|payable",-N(N116),0)+IF(V116="Liability|payable",N(L116),0)+IF(W116="Liability|payable",N(M116),0)</f>
        <v/>
      </c>
      <c r="AC116" s="23">
        <f>IF(T116="Liability|accrued",-N(O116),0)+IF(U116="Liability|accrued",-N(N116),0)+IF(V116="Liability|accrued",N(L116),0)+IF(W116="Liability|accrued",N(M116),0)</f>
        <v/>
      </c>
      <c r="AD116" s="23">
        <f>IF(AND(N(O116)&lt;&gt;0,T116=""),1,0)+IF(AND(N(N116)&lt;&gt;0,U116=""),1,0)+IF(AND(N(L116)&lt;&gt;0,V116=""),1,0)+IF(AND(N(M116)&lt;&gt;0,W116=""),1,0)</f>
        <v/>
      </c>
    </row>
    <row r="117">
      <c r="A117" s="14" t="n"/>
      <c r="B117" s="19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21">
        <f>SUMIFS('Invoice Lines'!$I:$I,'Invoice Lines'!$A:$A,A117)</f>
        <v/>
      </c>
      <c r="L117" s="21">
        <f>IF(E117="Draft",0,K117)</f>
        <v/>
      </c>
      <c r="M117" s="21">
        <f>ROUND(L117*IFERROR(VLOOKUP(I117,'Tax Codes'!$A$5:$E$300,5,FALSE),0),2)</f>
        <v/>
      </c>
      <c r="N117" s="21">
        <f>ROUND(L117*IFERROR(VLOOKUP(J117,'Tax Codes'!$A$5:$E$300,5,FALSE),0),2)</f>
        <v/>
      </c>
      <c r="O117" s="21">
        <f>L117+M117-N117</f>
        <v/>
      </c>
      <c r="P117" s="16">
        <f>IF(F117="",INDEX('Chart of Accounts'!$A$5:$A$3000,MATCH("ar",'Chart of Accounts'!$F$5:$F$3000,0)),F117&amp;"")</f>
        <v/>
      </c>
      <c r="Q117" s="16">
        <f>IF(G117="",INDEX('Chart of Accounts'!$A$5:$A$3000,MATCH("revenue",'Chart of Accounts'!$F$5:$F$3000,0)),G117&amp;"")</f>
        <v/>
      </c>
      <c r="R117" s="16">
        <f>INDEX('Chart of Accounts'!$A$5:$A$3000,MATCH("wht_receivable",'Chart of Accounts'!$F$5:$F$3000,0))</f>
        <v/>
      </c>
      <c r="S117" s="16">
        <f>INDEX('Chart of Accounts'!$A$5:$A$3000,MATCH("vat_output",'Chart of Accounts'!$F$5:$F$3000,0))</f>
        <v/>
      </c>
      <c r="T117" s="23">
        <f>IFERROR(INDEX('Chart of Accounts'!$C$5:$C$3000,MATCH(P117&amp;"",'Chart of Accounts'!$A$5:$A$3000,0))&amp;"|"&amp;INDEX('Chart of Accounts'!$D$5:$D$3000,MATCH(P117&amp;"",'Chart of Accounts'!$A$5:$A$3000,0)),"")</f>
        <v/>
      </c>
      <c r="U117" s="23">
        <f>IFERROR(INDEX('Chart of Accounts'!$C$5:$C$3000,MATCH(R117&amp;"",'Chart of Accounts'!$A$5:$A$3000,0))&amp;"|"&amp;INDEX('Chart of Accounts'!$D$5:$D$3000,MATCH(R117&amp;"",'Chart of Accounts'!$A$5:$A$3000,0)),"")</f>
        <v/>
      </c>
      <c r="V117" s="23">
        <f>IFERROR(INDEX('Chart of Accounts'!$C$5:$C$3000,MATCH(Q117&amp;"",'Chart of Accounts'!$A$5:$A$3000,0))&amp;"|"&amp;INDEX('Chart of Accounts'!$D$5:$D$3000,MATCH(Q117&amp;"",'Chart of Accounts'!$A$5:$A$3000,0)),"")</f>
        <v/>
      </c>
      <c r="W117" s="23">
        <f>IFERROR(INDEX('Chart of Accounts'!$C$5:$C$3000,MATCH(S117&amp;"",'Chart of Accounts'!$A$5:$A$3000,0))&amp;"|"&amp;INDEX('Chart of Accounts'!$D$5:$D$3000,MATCH(S117&amp;"",'Chart of Accounts'!$A$5:$A$3000,0)),"")</f>
        <v/>
      </c>
      <c r="X117" s="23">
        <f>IF(LEFT(T117,8)="Revenue|",-N(O117),0)+IF(LEFT(U117,8)="Revenue|",-N(N117),0)+IF(LEFT(V117,8)="Revenue|",N(L117),0)+IF(LEFT(W117,8)="Revenue|",N(M117),0)</f>
        <v/>
      </c>
      <c r="Y117" s="23">
        <f>IF(LEFT(T117,5)="COGS|",N(O117),0)+IF(LEFT(U117,5)="COGS|",N(N117),0)+IF(LEFT(V117,5)="COGS|",-N(L117),0)+IF(LEFT(W117,5)="COGS|",-N(M117),0)</f>
        <v/>
      </c>
      <c r="Z117" s="23">
        <f>IF(LEFT(T117,8)="Expense|",N(O117),0)+IF(LEFT(U117,8)="Expense|",N(N117),0)+IF(LEFT(V117,8)="Expense|",-N(L117),0)+IF(LEFT(W117,8)="Expense|",-N(M117),0)</f>
        <v/>
      </c>
      <c r="AA117" s="23">
        <f>IF(ISNUMBER(MATCH(T117,{"Expense|employee","Expense|general_admin","Expense|marketing","Expense|utilities","Expense|other_operating"},0)),N(O117),0)+IF(ISNUMBER(MATCH(U117,{"Expense|employee","Expense|general_admin","Expense|marketing","Expense|utilities","Expense|other_operating"},0)),N(N117),0)+IF(ISNUMBER(MATCH(V117,{"Expense|employee","Expense|general_admin","Expense|marketing","Expense|utilities","Expense|other_operating"},0)),-N(L117),0)+IF(ISNUMBER(MATCH(W117,{"Expense|employee","Expense|general_admin","Expense|marketing","Expense|utilities","Expense|other_operating"},0)),-N(M117),0)</f>
        <v/>
      </c>
      <c r="AB117" s="23">
        <f>IF(T117="Liability|payable",-N(O117),0)+IF(U117="Liability|payable",-N(N117),0)+IF(V117="Liability|payable",N(L117),0)+IF(W117="Liability|payable",N(M117),0)</f>
        <v/>
      </c>
      <c r="AC117" s="23">
        <f>IF(T117="Liability|accrued",-N(O117),0)+IF(U117="Liability|accrued",-N(N117),0)+IF(V117="Liability|accrued",N(L117),0)+IF(W117="Liability|accrued",N(M117),0)</f>
        <v/>
      </c>
      <c r="AD117" s="23">
        <f>IF(AND(N(O117)&lt;&gt;0,T117=""),1,0)+IF(AND(N(N117)&lt;&gt;0,U117=""),1,0)+IF(AND(N(L117)&lt;&gt;0,V117=""),1,0)+IF(AND(N(M117)&lt;&gt;0,W117=""),1,0)</f>
        <v/>
      </c>
    </row>
    <row r="118">
      <c r="A118" s="14" t="n"/>
      <c r="B118" s="19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21">
        <f>SUMIFS('Invoice Lines'!$I:$I,'Invoice Lines'!$A:$A,A118)</f>
        <v/>
      </c>
      <c r="L118" s="21">
        <f>IF(E118="Draft",0,K118)</f>
        <v/>
      </c>
      <c r="M118" s="21">
        <f>ROUND(L118*IFERROR(VLOOKUP(I118,'Tax Codes'!$A$5:$E$300,5,FALSE),0),2)</f>
        <v/>
      </c>
      <c r="N118" s="21">
        <f>ROUND(L118*IFERROR(VLOOKUP(J118,'Tax Codes'!$A$5:$E$300,5,FALSE),0),2)</f>
        <v/>
      </c>
      <c r="O118" s="21">
        <f>L118+M118-N118</f>
        <v/>
      </c>
      <c r="P118" s="16">
        <f>IF(F118="",INDEX('Chart of Accounts'!$A$5:$A$3000,MATCH("ar",'Chart of Accounts'!$F$5:$F$3000,0)),F118&amp;"")</f>
        <v/>
      </c>
      <c r="Q118" s="16">
        <f>IF(G118="",INDEX('Chart of Accounts'!$A$5:$A$3000,MATCH("revenue",'Chart of Accounts'!$F$5:$F$3000,0)),G118&amp;"")</f>
        <v/>
      </c>
      <c r="R118" s="16">
        <f>INDEX('Chart of Accounts'!$A$5:$A$3000,MATCH("wht_receivable",'Chart of Accounts'!$F$5:$F$3000,0))</f>
        <v/>
      </c>
      <c r="S118" s="16">
        <f>INDEX('Chart of Accounts'!$A$5:$A$3000,MATCH("vat_output",'Chart of Accounts'!$F$5:$F$3000,0))</f>
        <v/>
      </c>
      <c r="T118" s="23">
        <f>IFERROR(INDEX('Chart of Accounts'!$C$5:$C$3000,MATCH(P118&amp;"",'Chart of Accounts'!$A$5:$A$3000,0))&amp;"|"&amp;INDEX('Chart of Accounts'!$D$5:$D$3000,MATCH(P118&amp;"",'Chart of Accounts'!$A$5:$A$3000,0)),"")</f>
        <v/>
      </c>
      <c r="U118" s="23">
        <f>IFERROR(INDEX('Chart of Accounts'!$C$5:$C$3000,MATCH(R118&amp;"",'Chart of Accounts'!$A$5:$A$3000,0))&amp;"|"&amp;INDEX('Chart of Accounts'!$D$5:$D$3000,MATCH(R118&amp;"",'Chart of Accounts'!$A$5:$A$3000,0)),"")</f>
        <v/>
      </c>
      <c r="V118" s="23">
        <f>IFERROR(INDEX('Chart of Accounts'!$C$5:$C$3000,MATCH(Q118&amp;"",'Chart of Accounts'!$A$5:$A$3000,0))&amp;"|"&amp;INDEX('Chart of Accounts'!$D$5:$D$3000,MATCH(Q118&amp;"",'Chart of Accounts'!$A$5:$A$3000,0)),"")</f>
        <v/>
      </c>
      <c r="W118" s="23">
        <f>IFERROR(INDEX('Chart of Accounts'!$C$5:$C$3000,MATCH(S118&amp;"",'Chart of Accounts'!$A$5:$A$3000,0))&amp;"|"&amp;INDEX('Chart of Accounts'!$D$5:$D$3000,MATCH(S118&amp;"",'Chart of Accounts'!$A$5:$A$3000,0)),"")</f>
        <v/>
      </c>
      <c r="X118" s="23">
        <f>IF(LEFT(T118,8)="Revenue|",-N(O118),0)+IF(LEFT(U118,8)="Revenue|",-N(N118),0)+IF(LEFT(V118,8)="Revenue|",N(L118),0)+IF(LEFT(W118,8)="Revenue|",N(M118),0)</f>
        <v/>
      </c>
      <c r="Y118" s="23">
        <f>IF(LEFT(T118,5)="COGS|",N(O118),0)+IF(LEFT(U118,5)="COGS|",N(N118),0)+IF(LEFT(V118,5)="COGS|",-N(L118),0)+IF(LEFT(W118,5)="COGS|",-N(M118),0)</f>
        <v/>
      </c>
      <c r="Z118" s="23">
        <f>IF(LEFT(T118,8)="Expense|",N(O118),0)+IF(LEFT(U118,8)="Expense|",N(N118),0)+IF(LEFT(V118,8)="Expense|",-N(L118),0)+IF(LEFT(W118,8)="Expense|",-N(M118),0)</f>
        <v/>
      </c>
      <c r="AA118" s="23">
        <f>IF(ISNUMBER(MATCH(T118,{"Expense|employee","Expense|general_admin","Expense|marketing","Expense|utilities","Expense|other_operating"},0)),N(O118),0)+IF(ISNUMBER(MATCH(U118,{"Expense|employee","Expense|general_admin","Expense|marketing","Expense|utilities","Expense|other_operating"},0)),N(N118),0)+IF(ISNUMBER(MATCH(V118,{"Expense|employee","Expense|general_admin","Expense|marketing","Expense|utilities","Expense|other_operating"},0)),-N(L118),0)+IF(ISNUMBER(MATCH(W118,{"Expense|employee","Expense|general_admin","Expense|marketing","Expense|utilities","Expense|other_operating"},0)),-N(M118),0)</f>
        <v/>
      </c>
      <c r="AB118" s="23">
        <f>IF(T118="Liability|payable",-N(O118),0)+IF(U118="Liability|payable",-N(N118),0)+IF(V118="Liability|payable",N(L118),0)+IF(W118="Liability|payable",N(M118),0)</f>
        <v/>
      </c>
      <c r="AC118" s="23">
        <f>IF(T118="Liability|accrued",-N(O118),0)+IF(U118="Liability|accrued",-N(N118),0)+IF(V118="Liability|accrued",N(L118),0)+IF(W118="Liability|accrued",N(M118),0)</f>
        <v/>
      </c>
      <c r="AD118" s="23">
        <f>IF(AND(N(O118)&lt;&gt;0,T118=""),1,0)+IF(AND(N(N118)&lt;&gt;0,U118=""),1,0)+IF(AND(N(L118)&lt;&gt;0,V118=""),1,0)+IF(AND(N(M118)&lt;&gt;0,W118=""),1,0)</f>
        <v/>
      </c>
    </row>
    <row r="119">
      <c r="A119" s="14" t="n"/>
      <c r="B119" s="19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21">
        <f>SUMIFS('Invoice Lines'!$I:$I,'Invoice Lines'!$A:$A,A119)</f>
        <v/>
      </c>
      <c r="L119" s="21">
        <f>IF(E119="Draft",0,K119)</f>
        <v/>
      </c>
      <c r="M119" s="21">
        <f>ROUND(L119*IFERROR(VLOOKUP(I119,'Tax Codes'!$A$5:$E$300,5,FALSE),0),2)</f>
        <v/>
      </c>
      <c r="N119" s="21">
        <f>ROUND(L119*IFERROR(VLOOKUP(J119,'Tax Codes'!$A$5:$E$300,5,FALSE),0),2)</f>
        <v/>
      </c>
      <c r="O119" s="21">
        <f>L119+M119-N119</f>
        <v/>
      </c>
      <c r="P119" s="16">
        <f>IF(F119="",INDEX('Chart of Accounts'!$A$5:$A$3000,MATCH("ar",'Chart of Accounts'!$F$5:$F$3000,0)),F119&amp;"")</f>
        <v/>
      </c>
      <c r="Q119" s="16">
        <f>IF(G119="",INDEX('Chart of Accounts'!$A$5:$A$3000,MATCH("revenue",'Chart of Accounts'!$F$5:$F$3000,0)),G119&amp;"")</f>
        <v/>
      </c>
      <c r="R119" s="16">
        <f>INDEX('Chart of Accounts'!$A$5:$A$3000,MATCH("wht_receivable",'Chart of Accounts'!$F$5:$F$3000,0))</f>
        <v/>
      </c>
      <c r="S119" s="16">
        <f>INDEX('Chart of Accounts'!$A$5:$A$3000,MATCH("vat_output",'Chart of Accounts'!$F$5:$F$3000,0))</f>
        <v/>
      </c>
      <c r="T119" s="23">
        <f>IFERROR(INDEX('Chart of Accounts'!$C$5:$C$3000,MATCH(P119&amp;"",'Chart of Accounts'!$A$5:$A$3000,0))&amp;"|"&amp;INDEX('Chart of Accounts'!$D$5:$D$3000,MATCH(P119&amp;"",'Chart of Accounts'!$A$5:$A$3000,0)),"")</f>
        <v/>
      </c>
      <c r="U119" s="23">
        <f>IFERROR(INDEX('Chart of Accounts'!$C$5:$C$3000,MATCH(R119&amp;"",'Chart of Accounts'!$A$5:$A$3000,0))&amp;"|"&amp;INDEX('Chart of Accounts'!$D$5:$D$3000,MATCH(R119&amp;"",'Chart of Accounts'!$A$5:$A$3000,0)),"")</f>
        <v/>
      </c>
      <c r="V119" s="23">
        <f>IFERROR(INDEX('Chart of Accounts'!$C$5:$C$3000,MATCH(Q119&amp;"",'Chart of Accounts'!$A$5:$A$3000,0))&amp;"|"&amp;INDEX('Chart of Accounts'!$D$5:$D$3000,MATCH(Q119&amp;"",'Chart of Accounts'!$A$5:$A$3000,0)),"")</f>
        <v/>
      </c>
      <c r="W119" s="23">
        <f>IFERROR(INDEX('Chart of Accounts'!$C$5:$C$3000,MATCH(S119&amp;"",'Chart of Accounts'!$A$5:$A$3000,0))&amp;"|"&amp;INDEX('Chart of Accounts'!$D$5:$D$3000,MATCH(S119&amp;"",'Chart of Accounts'!$A$5:$A$3000,0)),"")</f>
        <v/>
      </c>
      <c r="X119" s="23">
        <f>IF(LEFT(T119,8)="Revenue|",-N(O119),0)+IF(LEFT(U119,8)="Revenue|",-N(N119),0)+IF(LEFT(V119,8)="Revenue|",N(L119),0)+IF(LEFT(W119,8)="Revenue|",N(M119),0)</f>
        <v/>
      </c>
      <c r="Y119" s="23">
        <f>IF(LEFT(T119,5)="COGS|",N(O119),0)+IF(LEFT(U119,5)="COGS|",N(N119),0)+IF(LEFT(V119,5)="COGS|",-N(L119),0)+IF(LEFT(W119,5)="COGS|",-N(M119),0)</f>
        <v/>
      </c>
      <c r="Z119" s="23">
        <f>IF(LEFT(T119,8)="Expense|",N(O119),0)+IF(LEFT(U119,8)="Expense|",N(N119),0)+IF(LEFT(V119,8)="Expense|",-N(L119),0)+IF(LEFT(W119,8)="Expense|",-N(M119),0)</f>
        <v/>
      </c>
      <c r="AA119" s="23">
        <f>IF(ISNUMBER(MATCH(T119,{"Expense|employee","Expense|general_admin","Expense|marketing","Expense|utilities","Expense|other_operating"},0)),N(O119),0)+IF(ISNUMBER(MATCH(U119,{"Expense|employee","Expense|general_admin","Expense|marketing","Expense|utilities","Expense|other_operating"},0)),N(N119),0)+IF(ISNUMBER(MATCH(V119,{"Expense|employee","Expense|general_admin","Expense|marketing","Expense|utilities","Expense|other_operating"},0)),-N(L119),0)+IF(ISNUMBER(MATCH(W119,{"Expense|employee","Expense|general_admin","Expense|marketing","Expense|utilities","Expense|other_operating"},0)),-N(M119),0)</f>
        <v/>
      </c>
      <c r="AB119" s="23">
        <f>IF(T119="Liability|payable",-N(O119),0)+IF(U119="Liability|payable",-N(N119),0)+IF(V119="Liability|payable",N(L119),0)+IF(W119="Liability|payable",N(M119),0)</f>
        <v/>
      </c>
      <c r="AC119" s="23">
        <f>IF(T119="Liability|accrued",-N(O119),0)+IF(U119="Liability|accrued",-N(N119),0)+IF(V119="Liability|accrued",N(L119),0)+IF(W119="Liability|accrued",N(M119),0)</f>
        <v/>
      </c>
      <c r="AD119" s="23">
        <f>IF(AND(N(O119)&lt;&gt;0,T119=""),1,0)+IF(AND(N(N119)&lt;&gt;0,U119=""),1,0)+IF(AND(N(L119)&lt;&gt;0,V119=""),1,0)+IF(AND(N(M119)&lt;&gt;0,W119=""),1,0)</f>
        <v/>
      </c>
    </row>
    <row r="120">
      <c r="A120" s="14" t="n"/>
      <c r="B120" s="19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21">
        <f>SUMIFS('Invoice Lines'!$I:$I,'Invoice Lines'!$A:$A,A120)</f>
        <v/>
      </c>
      <c r="L120" s="21">
        <f>IF(E120="Draft",0,K120)</f>
        <v/>
      </c>
      <c r="M120" s="21">
        <f>ROUND(L120*IFERROR(VLOOKUP(I120,'Tax Codes'!$A$5:$E$300,5,FALSE),0),2)</f>
        <v/>
      </c>
      <c r="N120" s="21">
        <f>ROUND(L120*IFERROR(VLOOKUP(J120,'Tax Codes'!$A$5:$E$300,5,FALSE),0),2)</f>
        <v/>
      </c>
      <c r="O120" s="21">
        <f>L120+M120-N120</f>
        <v/>
      </c>
      <c r="P120" s="16">
        <f>IF(F120="",INDEX('Chart of Accounts'!$A$5:$A$3000,MATCH("ar",'Chart of Accounts'!$F$5:$F$3000,0)),F120&amp;"")</f>
        <v/>
      </c>
      <c r="Q120" s="16">
        <f>IF(G120="",INDEX('Chart of Accounts'!$A$5:$A$3000,MATCH("revenue",'Chart of Accounts'!$F$5:$F$3000,0)),G120&amp;"")</f>
        <v/>
      </c>
      <c r="R120" s="16">
        <f>INDEX('Chart of Accounts'!$A$5:$A$3000,MATCH("wht_receivable",'Chart of Accounts'!$F$5:$F$3000,0))</f>
        <v/>
      </c>
      <c r="S120" s="16">
        <f>INDEX('Chart of Accounts'!$A$5:$A$3000,MATCH("vat_output",'Chart of Accounts'!$F$5:$F$3000,0))</f>
        <v/>
      </c>
      <c r="T120" s="23">
        <f>IFERROR(INDEX('Chart of Accounts'!$C$5:$C$3000,MATCH(P120&amp;"",'Chart of Accounts'!$A$5:$A$3000,0))&amp;"|"&amp;INDEX('Chart of Accounts'!$D$5:$D$3000,MATCH(P120&amp;"",'Chart of Accounts'!$A$5:$A$3000,0)),"")</f>
        <v/>
      </c>
      <c r="U120" s="23">
        <f>IFERROR(INDEX('Chart of Accounts'!$C$5:$C$3000,MATCH(R120&amp;"",'Chart of Accounts'!$A$5:$A$3000,0))&amp;"|"&amp;INDEX('Chart of Accounts'!$D$5:$D$3000,MATCH(R120&amp;"",'Chart of Accounts'!$A$5:$A$3000,0)),"")</f>
        <v/>
      </c>
      <c r="V120" s="23">
        <f>IFERROR(INDEX('Chart of Accounts'!$C$5:$C$3000,MATCH(Q120&amp;"",'Chart of Accounts'!$A$5:$A$3000,0))&amp;"|"&amp;INDEX('Chart of Accounts'!$D$5:$D$3000,MATCH(Q120&amp;"",'Chart of Accounts'!$A$5:$A$3000,0)),"")</f>
        <v/>
      </c>
      <c r="W120" s="23">
        <f>IFERROR(INDEX('Chart of Accounts'!$C$5:$C$3000,MATCH(S120&amp;"",'Chart of Accounts'!$A$5:$A$3000,0))&amp;"|"&amp;INDEX('Chart of Accounts'!$D$5:$D$3000,MATCH(S120&amp;"",'Chart of Accounts'!$A$5:$A$3000,0)),"")</f>
        <v/>
      </c>
      <c r="X120" s="23">
        <f>IF(LEFT(T120,8)="Revenue|",-N(O120),0)+IF(LEFT(U120,8)="Revenue|",-N(N120),0)+IF(LEFT(V120,8)="Revenue|",N(L120),0)+IF(LEFT(W120,8)="Revenue|",N(M120),0)</f>
        <v/>
      </c>
      <c r="Y120" s="23">
        <f>IF(LEFT(T120,5)="COGS|",N(O120),0)+IF(LEFT(U120,5)="COGS|",N(N120),0)+IF(LEFT(V120,5)="COGS|",-N(L120),0)+IF(LEFT(W120,5)="COGS|",-N(M120),0)</f>
        <v/>
      </c>
      <c r="Z120" s="23">
        <f>IF(LEFT(T120,8)="Expense|",N(O120),0)+IF(LEFT(U120,8)="Expense|",N(N120),0)+IF(LEFT(V120,8)="Expense|",-N(L120),0)+IF(LEFT(W120,8)="Expense|",-N(M120),0)</f>
        <v/>
      </c>
      <c r="AA120" s="23">
        <f>IF(ISNUMBER(MATCH(T120,{"Expense|employee","Expense|general_admin","Expense|marketing","Expense|utilities","Expense|other_operating"},0)),N(O120),0)+IF(ISNUMBER(MATCH(U120,{"Expense|employee","Expense|general_admin","Expense|marketing","Expense|utilities","Expense|other_operating"},0)),N(N120),0)+IF(ISNUMBER(MATCH(V120,{"Expense|employee","Expense|general_admin","Expense|marketing","Expense|utilities","Expense|other_operating"},0)),-N(L120),0)+IF(ISNUMBER(MATCH(W120,{"Expense|employee","Expense|general_admin","Expense|marketing","Expense|utilities","Expense|other_operating"},0)),-N(M120),0)</f>
        <v/>
      </c>
      <c r="AB120" s="23">
        <f>IF(T120="Liability|payable",-N(O120),0)+IF(U120="Liability|payable",-N(N120),0)+IF(V120="Liability|payable",N(L120),0)+IF(W120="Liability|payable",N(M120),0)</f>
        <v/>
      </c>
      <c r="AC120" s="23">
        <f>IF(T120="Liability|accrued",-N(O120),0)+IF(U120="Liability|accrued",-N(N120),0)+IF(V120="Liability|accrued",N(L120),0)+IF(W120="Liability|accrued",N(M120),0)</f>
        <v/>
      </c>
      <c r="AD120" s="23">
        <f>IF(AND(N(O120)&lt;&gt;0,T120=""),1,0)+IF(AND(N(N120)&lt;&gt;0,U120=""),1,0)+IF(AND(N(L120)&lt;&gt;0,V120=""),1,0)+IF(AND(N(M120)&lt;&gt;0,W120=""),1,0)</f>
        <v/>
      </c>
    </row>
    <row r="121">
      <c r="A121" s="14" t="n"/>
      <c r="B121" s="19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21">
        <f>SUMIFS('Invoice Lines'!$I:$I,'Invoice Lines'!$A:$A,A121)</f>
        <v/>
      </c>
      <c r="L121" s="21">
        <f>IF(E121="Draft",0,K121)</f>
        <v/>
      </c>
      <c r="M121" s="21">
        <f>ROUND(L121*IFERROR(VLOOKUP(I121,'Tax Codes'!$A$5:$E$300,5,FALSE),0),2)</f>
        <v/>
      </c>
      <c r="N121" s="21">
        <f>ROUND(L121*IFERROR(VLOOKUP(J121,'Tax Codes'!$A$5:$E$300,5,FALSE),0),2)</f>
        <v/>
      </c>
      <c r="O121" s="21">
        <f>L121+M121-N121</f>
        <v/>
      </c>
      <c r="P121" s="16">
        <f>IF(F121="",INDEX('Chart of Accounts'!$A$5:$A$3000,MATCH("ar",'Chart of Accounts'!$F$5:$F$3000,0)),F121&amp;"")</f>
        <v/>
      </c>
      <c r="Q121" s="16">
        <f>IF(G121="",INDEX('Chart of Accounts'!$A$5:$A$3000,MATCH("revenue",'Chart of Accounts'!$F$5:$F$3000,0)),G121&amp;"")</f>
        <v/>
      </c>
      <c r="R121" s="16">
        <f>INDEX('Chart of Accounts'!$A$5:$A$3000,MATCH("wht_receivable",'Chart of Accounts'!$F$5:$F$3000,0))</f>
        <v/>
      </c>
      <c r="S121" s="16">
        <f>INDEX('Chart of Accounts'!$A$5:$A$3000,MATCH("vat_output",'Chart of Accounts'!$F$5:$F$3000,0))</f>
        <v/>
      </c>
      <c r="T121" s="23">
        <f>IFERROR(INDEX('Chart of Accounts'!$C$5:$C$3000,MATCH(P121&amp;"",'Chart of Accounts'!$A$5:$A$3000,0))&amp;"|"&amp;INDEX('Chart of Accounts'!$D$5:$D$3000,MATCH(P121&amp;"",'Chart of Accounts'!$A$5:$A$3000,0)),"")</f>
        <v/>
      </c>
      <c r="U121" s="23">
        <f>IFERROR(INDEX('Chart of Accounts'!$C$5:$C$3000,MATCH(R121&amp;"",'Chart of Accounts'!$A$5:$A$3000,0))&amp;"|"&amp;INDEX('Chart of Accounts'!$D$5:$D$3000,MATCH(R121&amp;"",'Chart of Accounts'!$A$5:$A$3000,0)),"")</f>
        <v/>
      </c>
      <c r="V121" s="23">
        <f>IFERROR(INDEX('Chart of Accounts'!$C$5:$C$3000,MATCH(Q121&amp;"",'Chart of Accounts'!$A$5:$A$3000,0))&amp;"|"&amp;INDEX('Chart of Accounts'!$D$5:$D$3000,MATCH(Q121&amp;"",'Chart of Accounts'!$A$5:$A$3000,0)),"")</f>
        <v/>
      </c>
      <c r="W121" s="23">
        <f>IFERROR(INDEX('Chart of Accounts'!$C$5:$C$3000,MATCH(S121&amp;"",'Chart of Accounts'!$A$5:$A$3000,0))&amp;"|"&amp;INDEX('Chart of Accounts'!$D$5:$D$3000,MATCH(S121&amp;"",'Chart of Accounts'!$A$5:$A$3000,0)),"")</f>
        <v/>
      </c>
      <c r="X121" s="23">
        <f>IF(LEFT(T121,8)="Revenue|",-N(O121),0)+IF(LEFT(U121,8)="Revenue|",-N(N121),0)+IF(LEFT(V121,8)="Revenue|",N(L121),0)+IF(LEFT(W121,8)="Revenue|",N(M121),0)</f>
        <v/>
      </c>
      <c r="Y121" s="23">
        <f>IF(LEFT(T121,5)="COGS|",N(O121),0)+IF(LEFT(U121,5)="COGS|",N(N121),0)+IF(LEFT(V121,5)="COGS|",-N(L121),0)+IF(LEFT(W121,5)="COGS|",-N(M121),0)</f>
        <v/>
      </c>
      <c r="Z121" s="23">
        <f>IF(LEFT(T121,8)="Expense|",N(O121),0)+IF(LEFT(U121,8)="Expense|",N(N121),0)+IF(LEFT(V121,8)="Expense|",-N(L121),0)+IF(LEFT(W121,8)="Expense|",-N(M121),0)</f>
        <v/>
      </c>
      <c r="AA121" s="23">
        <f>IF(ISNUMBER(MATCH(T121,{"Expense|employee","Expense|general_admin","Expense|marketing","Expense|utilities","Expense|other_operating"},0)),N(O121),0)+IF(ISNUMBER(MATCH(U121,{"Expense|employee","Expense|general_admin","Expense|marketing","Expense|utilities","Expense|other_operating"},0)),N(N121),0)+IF(ISNUMBER(MATCH(V121,{"Expense|employee","Expense|general_admin","Expense|marketing","Expense|utilities","Expense|other_operating"},0)),-N(L121),0)+IF(ISNUMBER(MATCH(W121,{"Expense|employee","Expense|general_admin","Expense|marketing","Expense|utilities","Expense|other_operating"},0)),-N(M121),0)</f>
        <v/>
      </c>
      <c r="AB121" s="23">
        <f>IF(T121="Liability|payable",-N(O121),0)+IF(U121="Liability|payable",-N(N121),0)+IF(V121="Liability|payable",N(L121),0)+IF(W121="Liability|payable",N(M121),0)</f>
        <v/>
      </c>
      <c r="AC121" s="23">
        <f>IF(T121="Liability|accrued",-N(O121),0)+IF(U121="Liability|accrued",-N(N121),0)+IF(V121="Liability|accrued",N(L121),0)+IF(W121="Liability|accrued",N(M121),0)</f>
        <v/>
      </c>
      <c r="AD121" s="23">
        <f>IF(AND(N(O121)&lt;&gt;0,T121=""),1,0)+IF(AND(N(N121)&lt;&gt;0,U121=""),1,0)+IF(AND(N(L121)&lt;&gt;0,V121=""),1,0)+IF(AND(N(M121)&lt;&gt;0,W121=""),1,0)</f>
        <v/>
      </c>
    </row>
    <row r="122">
      <c r="A122" s="14" t="n"/>
      <c r="B122" s="19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21">
        <f>SUMIFS('Invoice Lines'!$I:$I,'Invoice Lines'!$A:$A,A122)</f>
        <v/>
      </c>
      <c r="L122" s="21">
        <f>IF(E122="Draft",0,K122)</f>
        <v/>
      </c>
      <c r="M122" s="21">
        <f>ROUND(L122*IFERROR(VLOOKUP(I122,'Tax Codes'!$A$5:$E$300,5,FALSE),0),2)</f>
        <v/>
      </c>
      <c r="N122" s="21">
        <f>ROUND(L122*IFERROR(VLOOKUP(J122,'Tax Codes'!$A$5:$E$300,5,FALSE),0),2)</f>
        <v/>
      </c>
      <c r="O122" s="21">
        <f>L122+M122-N122</f>
        <v/>
      </c>
      <c r="P122" s="16">
        <f>IF(F122="",INDEX('Chart of Accounts'!$A$5:$A$3000,MATCH("ar",'Chart of Accounts'!$F$5:$F$3000,0)),F122&amp;"")</f>
        <v/>
      </c>
      <c r="Q122" s="16">
        <f>IF(G122="",INDEX('Chart of Accounts'!$A$5:$A$3000,MATCH("revenue",'Chart of Accounts'!$F$5:$F$3000,0)),G122&amp;"")</f>
        <v/>
      </c>
      <c r="R122" s="16">
        <f>INDEX('Chart of Accounts'!$A$5:$A$3000,MATCH("wht_receivable",'Chart of Accounts'!$F$5:$F$3000,0))</f>
        <v/>
      </c>
      <c r="S122" s="16">
        <f>INDEX('Chart of Accounts'!$A$5:$A$3000,MATCH("vat_output",'Chart of Accounts'!$F$5:$F$3000,0))</f>
        <v/>
      </c>
      <c r="T122" s="23">
        <f>IFERROR(INDEX('Chart of Accounts'!$C$5:$C$3000,MATCH(P122&amp;"",'Chart of Accounts'!$A$5:$A$3000,0))&amp;"|"&amp;INDEX('Chart of Accounts'!$D$5:$D$3000,MATCH(P122&amp;"",'Chart of Accounts'!$A$5:$A$3000,0)),"")</f>
        <v/>
      </c>
      <c r="U122" s="23">
        <f>IFERROR(INDEX('Chart of Accounts'!$C$5:$C$3000,MATCH(R122&amp;"",'Chart of Accounts'!$A$5:$A$3000,0))&amp;"|"&amp;INDEX('Chart of Accounts'!$D$5:$D$3000,MATCH(R122&amp;"",'Chart of Accounts'!$A$5:$A$3000,0)),"")</f>
        <v/>
      </c>
      <c r="V122" s="23">
        <f>IFERROR(INDEX('Chart of Accounts'!$C$5:$C$3000,MATCH(Q122&amp;"",'Chart of Accounts'!$A$5:$A$3000,0))&amp;"|"&amp;INDEX('Chart of Accounts'!$D$5:$D$3000,MATCH(Q122&amp;"",'Chart of Accounts'!$A$5:$A$3000,0)),"")</f>
        <v/>
      </c>
      <c r="W122" s="23">
        <f>IFERROR(INDEX('Chart of Accounts'!$C$5:$C$3000,MATCH(S122&amp;"",'Chart of Accounts'!$A$5:$A$3000,0))&amp;"|"&amp;INDEX('Chart of Accounts'!$D$5:$D$3000,MATCH(S122&amp;"",'Chart of Accounts'!$A$5:$A$3000,0)),"")</f>
        <v/>
      </c>
      <c r="X122" s="23">
        <f>IF(LEFT(T122,8)="Revenue|",-N(O122),0)+IF(LEFT(U122,8)="Revenue|",-N(N122),0)+IF(LEFT(V122,8)="Revenue|",N(L122),0)+IF(LEFT(W122,8)="Revenue|",N(M122),0)</f>
        <v/>
      </c>
      <c r="Y122" s="23">
        <f>IF(LEFT(T122,5)="COGS|",N(O122),0)+IF(LEFT(U122,5)="COGS|",N(N122),0)+IF(LEFT(V122,5)="COGS|",-N(L122),0)+IF(LEFT(W122,5)="COGS|",-N(M122),0)</f>
        <v/>
      </c>
      <c r="Z122" s="23">
        <f>IF(LEFT(T122,8)="Expense|",N(O122),0)+IF(LEFT(U122,8)="Expense|",N(N122),0)+IF(LEFT(V122,8)="Expense|",-N(L122),0)+IF(LEFT(W122,8)="Expense|",-N(M122),0)</f>
        <v/>
      </c>
      <c r="AA122" s="23">
        <f>IF(ISNUMBER(MATCH(T122,{"Expense|employee","Expense|general_admin","Expense|marketing","Expense|utilities","Expense|other_operating"},0)),N(O122),0)+IF(ISNUMBER(MATCH(U122,{"Expense|employee","Expense|general_admin","Expense|marketing","Expense|utilities","Expense|other_operating"},0)),N(N122),0)+IF(ISNUMBER(MATCH(V122,{"Expense|employee","Expense|general_admin","Expense|marketing","Expense|utilities","Expense|other_operating"},0)),-N(L122),0)+IF(ISNUMBER(MATCH(W122,{"Expense|employee","Expense|general_admin","Expense|marketing","Expense|utilities","Expense|other_operating"},0)),-N(M122),0)</f>
        <v/>
      </c>
      <c r="AB122" s="23">
        <f>IF(T122="Liability|payable",-N(O122),0)+IF(U122="Liability|payable",-N(N122),0)+IF(V122="Liability|payable",N(L122),0)+IF(W122="Liability|payable",N(M122),0)</f>
        <v/>
      </c>
      <c r="AC122" s="23">
        <f>IF(T122="Liability|accrued",-N(O122),0)+IF(U122="Liability|accrued",-N(N122),0)+IF(V122="Liability|accrued",N(L122),0)+IF(W122="Liability|accrued",N(M122),0)</f>
        <v/>
      </c>
      <c r="AD122" s="23">
        <f>IF(AND(N(O122)&lt;&gt;0,T122=""),1,0)+IF(AND(N(N122)&lt;&gt;0,U122=""),1,0)+IF(AND(N(L122)&lt;&gt;0,V122=""),1,0)+IF(AND(N(M122)&lt;&gt;0,W122=""),1,0)</f>
        <v/>
      </c>
    </row>
    <row r="123">
      <c r="A123" s="14" t="n"/>
      <c r="B123" s="19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21">
        <f>SUMIFS('Invoice Lines'!$I:$I,'Invoice Lines'!$A:$A,A123)</f>
        <v/>
      </c>
      <c r="L123" s="21">
        <f>IF(E123="Draft",0,K123)</f>
        <v/>
      </c>
      <c r="M123" s="21">
        <f>ROUND(L123*IFERROR(VLOOKUP(I123,'Tax Codes'!$A$5:$E$300,5,FALSE),0),2)</f>
        <v/>
      </c>
      <c r="N123" s="21">
        <f>ROUND(L123*IFERROR(VLOOKUP(J123,'Tax Codes'!$A$5:$E$300,5,FALSE),0),2)</f>
        <v/>
      </c>
      <c r="O123" s="21">
        <f>L123+M123-N123</f>
        <v/>
      </c>
      <c r="P123" s="16">
        <f>IF(F123="",INDEX('Chart of Accounts'!$A$5:$A$3000,MATCH("ar",'Chart of Accounts'!$F$5:$F$3000,0)),F123&amp;"")</f>
        <v/>
      </c>
      <c r="Q123" s="16">
        <f>IF(G123="",INDEX('Chart of Accounts'!$A$5:$A$3000,MATCH("revenue",'Chart of Accounts'!$F$5:$F$3000,0)),G123&amp;"")</f>
        <v/>
      </c>
      <c r="R123" s="16">
        <f>INDEX('Chart of Accounts'!$A$5:$A$3000,MATCH("wht_receivable",'Chart of Accounts'!$F$5:$F$3000,0))</f>
        <v/>
      </c>
      <c r="S123" s="16">
        <f>INDEX('Chart of Accounts'!$A$5:$A$3000,MATCH("vat_output",'Chart of Accounts'!$F$5:$F$3000,0))</f>
        <v/>
      </c>
      <c r="T123" s="23">
        <f>IFERROR(INDEX('Chart of Accounts'!$C$5:$C$3000,MATCH(P123&amp;"",'Chart of Accounts'!$A$5:$A$3000,0))&amp;"|"&amp;INDEX('Chart of Accounts'!$D$5:$D$3000,MATCH(P123&amp;"",'Chart of Accounts'!$A$5:$A$3000,0)),"")</f>
        <v/>
      </c>
      <c r="U123" s="23">
        <f>IFERROR(INDEX('Chart of Accounts'!$C$5:$C$3000,MATCH(R123&amp;"",'Chart of Accounts'!$A$5:$A$3000,0))&amp;"|"&amp;INDEX('Chart of Accounts'!$D$5:$D$3000,MATCH(R123&amp;"",'Chart of Accounts'!$A$5:$A$3000,0)),"")</f>
        <v/>
      </c>
      <c r="V123" s="23">
        <f>IFERROR(INDEX('Chart of Accounts'!$C$5:$C$3000,MATCH(Q123&amp;"",'Chart of Accounts'!$A$5:$A$3000,0))&amp;"|"&amp;INDEX('Chart of Accounts'!$D$5:$D$3000,MATCH(Q123&amp;"",'Chart of Accounts'!$A$5:$A$3000,0)),"")</f>
        <v/>
      </c>
      <c r="W123" s="23">
        <f>IFERROR(INDEX('Chart of Accounts'!$C$5:$C$3000,MATCH(S123&amp;"",'Chart of Accounts'!$A$5:$A$3000,0))&amp;"|"&amp;INDEX('Chart of Accounts'!$D$5:$D$3000,MATCH(S123&amp;"",'Chart of Accounts'!$A$5:$A$3000,0)),"")</f>
        <v/>
      </c>
      <c r="X123" s="23">
        <f>IF(LEFT(T123,8)="Revenue|",-N(O123),0)+IF(LEFT(U123,8)="Revenue|",-N(N123),0)+IF(LEFT(V123,8)="Revenue|",N(L123),0)+IF(LEFT(W123,8)="Revenue|",N(M123),0)</f>
        <v/>
      </c>
      <c r="Y123" s="23">
        <f>IF(LEFT(T123,5)="COGS|",N(O123),0)+IF(LEFT(U123,5)="COGS|",N(N123),0)+IF(LEFT(V123,5)="COGS|",-N(L123),0)+IF(LEFT(W123,5)="COGS|",-N(M123),0)</f>
        <v/>
      </c>
      <c r="Z123" s="23">
        <f>IF(LEFT(T123,8)="Expense|",N(O123),0)+IF(LEFT(U123,8)="Expense|",N(N123),0)+IF(LEFT(V123,8)="Expense|",-N(L123),0)+IF(LEFT(W123,8)="Expense|",-N(M123),0)</f>
        <v/>
      </c>
      <c r="AA123" s="23">
        <f>IF(ISNUMBER(MATCH(T123,{"Expense|employee","Expense|general_admin","Expense|marketing","Expense|utilities","Expense|other_operating"},0)),N(O123),0)+IF(ISNUMBER(MATCH(U123,{"Expense|employee","Expense|general_admin","Expense|marketing","Expense|utilities","Expense|other_operating"},0)),N(N123),0)+IF(ISNUMBER(MATCH(V123,{"Expense|employee","Expense|general_admin","Expense|marketing","Expense|utilities","Expense|other_operating"},0)),-N(L123),0)+IF(ISNUMBER(MATCH(W123,{"Expense|employee","Expense|general_admin","Expense|marketing","Expense|utilities","Expense|other_operating"},0)),-N(M123),0)</f>
        <v/>
      </c>
      <c r="AB123" s="23">
        <f>IF(T123="Liability|payable",-N(O123),0)+IF(U123="Liability|payable",-N(N123),0)+IF(V123="Liability|payable",N(L123),0)+IF(W123="Liability|payable",N(M123),0)</f>
        <v/>
      </c>
      <c r="AC123" s="23">
        <f>IF(T123="Liability|accrued",-N(O123),0)+IF(U123="Liability|accrued",-N(N123),0)+IF(V123="Liability|accrued",N(L123),0)+IF(W123="Liability|accrued",N(M123),0)</f>
        <v/>
      </c>
      <c r="AD123" s="23">
        <f>IF(AND(N(O123)&lt;&gt;0,T123=""),1,0)+IF(AND(N(N123)&lt;&gt;0,U123=""),1,0)+IF(AND(N(L123)&lt;&gt;0,V123=""),1,0)+IF(AND(N(M123)&lt;&gt;0,W123=""),1,0)</f>
        <v/>
      </c>
    </row>
    <row r="124">
      <c r="A124" s="14" t="n"/>
      <c r="B124" s="19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21">
        <f>SUMIFS('Invoice Lines'!$I:$I,'Invoice Lines'!$A:$A,A124)</f>
        <v/>
      </c>
      <c r="L124" s="21">
        <f>IF(E124="Draft",0,K124)</f>
        <v/>
      </c>
      <c r="M124" s="21">
        <f>ROUND(L124*IFERROR(VLOOKUP(I124,'Tax Codes'!$A$5:$E$300,5,FALSE),0),2)</f>
        <v/>
      </c>
      <c r="N124" s="21">
        <f>ROUND(L124*IFERROR(VLOOKUP(J124,'Tax Codes'!$A$5:$E$300,5,FALSE),0),2)</f>
        <v/>
      </c>
      <c r="O124" s="21">
        <f>L124+M124-N124</f>
        <v/>
      </c>
      <c r="P124" s="16">
        <f>IF(F124="",INDEX('Chart of Accounts'!$A$5:$A$3000,MATCH("ar",'Chart of Accounts'!$F$5:$F$3000,0)),F124&amp;"")</f>
        <v/>
      </c>
      <c r="Q124" s="16">
        <f>IF(G124="",INDEX('Chart of Accounts'!$A$5:$A$3000,MATCH("revenue",'Chart of Accounts'!$F$5:$F$3000,0)),G124&amp;"")</f>
        <v/>
      </c>
      <c r="R124" s="16">
        <f>INDEX('Chart of Accounts'!$A$5:$A$3000,MATCH("wht_receivable",'Chart of Accounts'!$F$5:$F$3000,0))</f>
        <v/>
      </c>
      <c r="S124" s="16">
        <f>INDEX('Chart of Accounts'!$A$5:$A$3000,MATCH("vat_output",'Chart of Accounts'!$F$5:$F$3000,0))</f>
        <v/>
      </c>
      <c r="T124" s="23">
        <f>IFERROR(INDEX('Chart of Accounts'!$C$5:$C$3000,MATCH(P124&amp;"",'Chart of Accounts'!$A$5:$A$3000,0))&amp;"|"&amp;INDEX('Chart of Accounts'!$D$5:$D$3000,MATCH(P124&amp;"",'Chart of Accounts'!$A$5:$A$3000,0)),"")</f>
        <v/>
      </c>
      <c r="U124" s="23">
        <f>IFERROR(INDEX('Chart of Accounts'!$C$5:$C$3000,MATCH(R124&amp;"",'Chart of Accounts'!$A$5:$A$3000,0))&amp;"|"&amp;INDEX('Chart of Accounts'!$D$5:$D$3000,MATCH(R124&amp;"",'Chart of Accounts'!$A$5:$A$3000,0)),"")</f>
        <v/>
      </c>
      <c r="V124" s="23">
        <f>IFERROR(INDEX('Chart of Accounts'!$C$5:$C$3000,MATCH(Q124&amp;"",'Chart of Accounts'!$A$5:$A$3000,0))&amp;"|"&amp;INDEX('Chart of Accounts'!$D$5:$D$3000,MATCH(Q124&amp;"",'Chart of Accounts'!$A$5:$A$3000,0)),"")</f>
        <v/>
      </c>
      <c r="W124" s="23">
        <f>IFERROR(INDEX('Chart of Accounts'!$C$5:$C$3000,MATCH(S124&amp;"",'Chart of Accounts'!$A$5:$A$3000,0))&amp;"|"&amp;INDEX('Chart of Accounts'!$D$5:$D$3000,MATCH(S124&amp;"",'Chart of Accounts'!$A$5:$A$3000,0)),"")</f>
        <v/>
      </c>
      <c r="X124" s="23">
        <f>IF(LEFT(T124,8)="Revenue|",-N(O124),0)+IF(LEFT(U124,8)="Revenue|",-N(N124),0)+IF(LEFT(V124,8)="Revenue|",N(L124),0)+IF(LEFT(W124,8)="Revenue|",N(M124),0)</f>
        <v/>
      </c>
      <c r="Y124" s="23">
        <f>IF(LEFT(T124,5)="COGS|",N(O124),0)+IF(LEFT(U124,5)="COGS|",N(N124),0)+IF(LEFT(V124,5)="COGS|",-N(L124),0)+IF(LEFT(W124,5)="COGS|",-N(M124),0)</f>
        <v/>
      </c>
      <c r="Z124" s="23">
        <f>IF(LEFT(T124,8)="Expense|",N(O124),0)+IF(LEFT(U124,8)="Expense|",N(N124),0)+IF(LEFT(V124,8)="Expense|",-N(L124),0)+IF(LEFT(W124,8)="Expense|",-N(M124),0)</f>
        <v/>
      </c>
      <c r="AA124" s="23">
        <f>IF(ISNUMBER(MATCH(T124,{"Expense|employee","Expense|general_admin","Expense|marketing","Expense|utilities","Expense|other_operating"},0)),N(O124),0)+IF(ISNUMBER(MATCH(U124,{"Expense|employee","Expense|general_admin","Expense|marketing","Expense|utilities","Expense|other_operating"},0)),N(N124),0)+IF(ISNUMBER(MATCH(V124,{"Expense|employee","Expense|general_admin","Expense|marketing","Expense|utilities","Expense|other_operating"},0)),-N(L124),0)+IF(ISNUMBER(MATCH(W124,{"Expense|employee","Expense|general_admin","Expense|marketing","Expense|utilities","Expense|other_operating"},0)),-N(M124),0)</f>
        <v/>
      </c>
      <c r="AB124" s="23">
        <f>IF(T124="Liability|payable",-N(O124),0)+IF(U124="Liability|payable",-N(N124),0)+IF(V124="Liability|payable",N(L124),0)+IF(W124="Liability|payable",N(M124),0)</f>
        <v/>
      </c>
      <c r="AC124" s="23">
        <f>IF(T124="Liability|accrued",-N(O124),0)+IF(U124="Liability|accrued",-N(N124),0)+IF(V124="Liability|accrued",N(L124),0)+IF(W124="Liability|accrued",N(M124),0)</f>
        <v/>
      </c>
      <c r="AD124" s="23">
        <f>IF(AND(N(O124)&lt;&gt;0,T124=""),1,0)+IF(AND(N(N124)&lt;&gt;0,U124=""),1,0)+IF(AND(N(L124)&lt;&gt;0,V124=""),1,0)+IF(AND(N(M124)&lt;&gt;0,W124=""),1,0)</f>
        <v/>
      </c>
    </row>
    <row r="125">
      <c r="A125" s="14" t="n"/>
      <c r="B125" s="19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21">
        <f>SUMIFS('Invoice Lines'!$I:$I,'Invoice Lines'!$A:$A,A125)</f>
        <v/>
      </c>
      <c r="L125" s="21">
        <f>IF(E125="Draft",0,K125)</f>
        <v/>
      </c>
      <c r="M125" s="21">
        <f>ROUND(L125*IFERROR(VLOOKUP(I125,'Tax Codes'!$A$5:$E$300,5,FALSE),0),2)</f>
        <v/>
      </c>
      <c r="N125" s="21">
        <f>ROUND(L125*IFERROR(VLOOKUP(J125,'Tax Codes'!$A$5:$E$300,5,FALSE),0),2)</f>
        <v/>
      </c>
      <c r="O125" s="21">
        <f>L125+M125-N125</f>
        <v/>
      </c>
      <c r="P125" s="16">
        <f>IF(F125="",INDEX('Chart of Accounts'!$A$5:$A$3000,MATCH("ar",'Chart of Accounts'!$F$5:$F$3000,0)),F125&amp;"")</f>
        <v/>
      </c>
      <c r="Q125" s="16">
        <f>IF(G125="",INDEX('Chart of Accounts'!$A$5:$A$3000,MATCH("revenue",'Chart of Accounts'!$F$5:$F$3000,0)),G125&amp;"")</f>
        <v/>
      </c>
      <c r="R125" s="16">
        <f>INDEX('Chart of Accounts'!$A$5:$A$3000,MATCH("wht_receivable",'Chart of Accounts'!$F$5:$F$3000,0))</f>
        <v/>
      </c>
      <c r="S125" s="16">
        <f>INDEX('Chart of Accounts'!$A$5:$A$3000,MATCH("vat_output",'Chart of Accounts'!$F$5:$F$3000,0))</f>
        <v/>
      </c>
      <c r="T125" s="23">
        <f>IFERROR(INDEX('Chart of Accounts'!$C$5:$C$3000,MATCH(P125&amp;"",'Chart of Accounts'!$A$5:$A$3000,0))&amp;"|"&amp;INDEX('Chart of Accounts'!$D$5:$D$3000,MATCH(P125&amp;"",'Chart of Accounts'!$A$5:$A$3000,0)),"")</f>
        <v/>
      </c>
      <c r="U125" s="23">
        <f>IFERROR(INDEX('Chart of Accounts'!$C$5:$C$3000,MATCH(R125&amp;"",'Chart of Accounts'!$A$5:$A$3000,0))&amp;"|"&amp;INDEX('Chart of Accounts'!$D$5:$D$3000,MATCH(R125&amp;"",'Chart of Accounts'!$A$5:$A$3000,0)),"")</f>
        <v/>
      </c>
      <c r="V125" s="23">
        <f>IFERROR(INDEX('Chart of Accounts'!$C$5:$C$3000,MATCH(Q125&amp;"",'Chart of Accounts'!$A$5:$A$3000,0))&amp;"|"&amp;INDEX('Chart of Accounts'!$D$5:$D$3000,MATCH(Q125&amp;"",'Chart of Accounts'!$A$5:$A$3000,0)),"")</f>
        <v/>
      </c>
      <c r="W125" s="23">
        <f>IFERROR(INDEX('Chart of Accounts'!$C$5:$C$3000,MATCH(S125&amp;"",'Chart of Accounts'!$A$5:$A$3000,0))&amp;"|"&amp;INDEX('Chart of Accounts'!$D$5:$D$3000,MATCH(S125&amp;"",'Chart of Accounts'!$A$5:$A$3000,0)),"")</f>
        <v/>
      </c>
      <c r="X125" s="23">
        <f>IF(LEFT(T125,8)="Revenue|",-N(O125),0)+IF(LEFT(U125,8)="Revenue|",-N(N125),0)+IF(LEFT(V125,8)="Revenue|",N(L125),0)+IF(LEFT(W125,8)="Revenue|",N(M125),0)</f>
        <v/>
      </c>
      <c r="Y125" s="23">
        <f>IF(LEFT(T125,5)="COGS|",N(O125),0)+IF(LEFT(U125,5)="COGS|",N(N125),0)+IF(LEFT(V125,5)="COGS|",-N(L125),0)+IF(LEFT(W125,5)="COGS|",-N(M125),0)</f>
        <v/>
      </c>
      <c r="Z125" s="23">
        <f>IF(LEFT(T125,8)="Expense|",N(O125),0)+IF(LEFT(U125,8)="Expense|",N(N125),0)+IF(LEFT(V125,8)="Expense|",-N(L125),0)+IF(LEFT(W125,8)="Expense|",-N(M125),0)</f>
        <v/>
      </c>
      <c r="AA125" s="23">
        <f>IF(ISNUMBER(MATCH(T125,{"Expense|employee","Expense|general_admin","Expense|marketing","Expense|utilities","Expense|other_operating"},0)),N(O125),0)+IF(ISNUMBER(MATCH(U125,{"Expense|employee","Expense|general_admin","Expense|marketing","Expense|utilities","Expense|other_operating"},0)),N(N125),0)+IF(ISNUMBER(MATCH(V125,{"Expense|employee","Expense|general_admin","Expense|marketing","Expense|utilities","Expense|other_operating"},0)),-N(L125),0)+IF(ISNUMBER(MATCH(W125,{"Expense|employee","Expense|general_admin","Expense|marketing","Expense|utilities","Expense|other_operating"},0)),-N(M125),0)</f>
        <v/>
      </c>
      <c r="AB125" s="23">
        <f>IF(T125="Liability|payable",-N(O125),0)+IF(U125="Liability|payable",-N(N125),0)+IF(V125="Liability|payable",N(L125),0)+IF(W125="Liability|payable",N(M125),0)</f>
        <v/>
      </c>
      <c r="AC125" s="23">
        <f>IF(T125="Liability|accrued",-N(O125),0)+IF(U125="Liability|accrued",-N(N125),0)+IF(V125="Liability|accrued",N(L125),0)+IF(W125="Liability|accrued",N(M125),0)</f>
        <v/>
      </c>
      <c r="AD125" s="23">
        <f>IF(AND(N(O125)&lt;&gt;0,T125=""),1,0)+IF(AND(N(N125)&lt;&gt;0,U125=""),1,0)+IF(AND(N(L125)&lt;&gt;0,V125=""),1,0)+IF(AND(N(M125)&lt;&gt;0,W125=""),1,0)</f>
        <v/>
      </c>
    </row>
    <row r="126">
      <c r="A126" s="14" t="n"/>
      <c r="B126" s="19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21">
        <f>SUMIFS('Invoice Lines'!$I:$I,'Invoice Lines'!$A:$A,A126)</f>
        <v/>
      </c>
      <c r="L126" s="21">
        <f>IF(E126="Draft",0,K126)</f>
        <v/>
      </c>
      <c r="M126" s="21">
        <f>ROUND(L126*IFERROR(VLOOKUP(I126,'Tax Codes'!$A$5:$E$300,5,FALSE),0),2)</f>
        <v/>
      </c>
      <c r="N126" s="21">
        <f>ROUND(L126*IFERROR(VLOOKUP(J126,'Tax Codes'!$A$5:$E$300,5,FALSE),0),2)</f>
        <v/>
      </c>
      <c r="O126" s="21">
        <f>L126+M126-N126</f>
        <v/>
      </c>
      <c r="P126" s="16">
        <f>IF(F126="",INDEX('Chart of Accounts'!$A$5:$A$3000,MATCH("ar",'Chart of Accounts'!$F$5:$F$3000,0)),F126&amp;"")</f>
        <v/>
      </c>
      <c r="Q126" s="16">
        <f>IF(G126="",INDEX('Chart of Accounts'!$A$5:$A$3000,MATCH("revenue",'Chart of Accounts'!$F$5:$F$3000,0)),G126&amp;"")</f>
        <v/>
      </c>
      <c r="R126" s="16">
        <f>INDEX('Chart of Accounts'!$A$5:$A$3000,MATCH("wht_receivable",'Chart of Accounts'!$F$5:$F$3000,0))</f>
        <v/>
      </c>
      <c r="S126" s="16">
        <f>INDEX('Chart of Accounts'!$A$5:$A$3000,MATCH("vat_output",'Chart of Accounts'!$F$5:$F$3000,0))</f>
        <v/>
      </c>
      <c r="T126" s="23">
        <f>IFERROR(INDEX('Chart of Accounts'!$C$5:$C$3000,MATCH(P126&amp;"",'Chart of Accounts'!$A$5:$A$3000,0))&amp;"|"&amp;INDEX('Chart of Accounts'!$D$5:$D$3000,MATCH(P126&amp;"",'Chart of Accounts'!$A$5:$A$3000,0)),"")</f>
        <v/>
      </c>
      <c r="U126" s="23">
        <f>IFERROR(INDEX('Chart of Accounts'!$C$5:$C$3000,MATCH(R126&amp;"",'Chart of Accounts'!$A$5:$A$3000,0))&amp;"|"&amp;INDEX('Chart of Accounts'!$D$5:$D$3000,MATCH(R126&amp;"",'Chart of Accounts'!$A$5:$A$3000,0)),"")</f>
        <v/>
      </c>
      <c r="V126" s="23">
        <f>IFERROR(INDEX('Chart of Accounts'!$C$5:$C$3000,MATCH(Q126&amp;"",'Chart of Accounts'!$A$5:$A$3000,0))&amp;"|"&amp;INDEX('Chart of Accounts'!$D$5:$D$3000,MATCH(Q126&amp;"",'Chart of Accounts'!$A$5:$A$3000,0)),"")</f>
        <v/>
      </c>
      <c r="W126" s="23">
        <f>IFERROR(INDEX('Chart of Accounts'!$C$5:$C$3000,MATCH(S126&amp;"",'Chart of Accounts'!$A$5:$A$3000,0))&amp;"|"&amp;INDEX('Chart of Accounts'!$D$5:$D$3000,MATCH(S126&amp;"",'Chart of Accounts'!$A$5:$A$3000,0)),"")</f>
        <v/>
      </c>
      <c r="X126" s="23">
        <f>IF(LEFT(T126,8)="Revenue|",-N(O126),0)+IF(LEFT(U126,8)="Revenue|",-N(N126),0)+IF(LEFT(V126,8)="Revenue|",N(L126),0)+IF(LEFT(W126,8)="Revenue|",N(M126),0)</f>
        <v/>
      </c>
      <c r="Y126" s="23">
        <f>IF(LEFT(T126,5)="COGS|",N(O126),0)+IF(LEFT(U126,5)="COGS|",N(N126),0)+IF(LEFT(V126,5)="COGS|",-N(L126),0)+IF(LEFT(W126,5)="COGS|",-N(M126),0)</f>
        <v/>
      </c>
      <c r="Z126" s="23">
        <f>IF(LEFT(T126,8)="Expense|",N(O126),0)+IF(LEFT(U126,8)="Expense|",N(N126),0)+IF(LEFT(V126,8)="Expense|",-N(L126),0)+IF(LEFT(W126,8)="Expense|",-N(M126),0)</f>
        <v/>
      </c>
      <c r="AA126" s="23">
        <f>IF(ISNUMBER(MATCH(T126,{"Expense|employee","Expense|general_admin","Expense|marketing","Expense|utilities","Expense|other_operating"},0)),N(O126),0)+IF(ISNUMBER(MATCH(U126,{"Expense|employee","Expense|general_admin","Expense|marketing","Expense|utilities","Expense|other_operating"},0)),N(N126),0)+IF(ISNUMBER(MATCH(V126,{"Expense|employee","Expense|general_admin","Expense|marketing","Expense|utilities","Expense|other_operating"},0)),-N(L126),0)+IF(ISNUMBER(MATCH(W126,{"Expense|employee","Expense|general_admin","Expense|marketing","Expense|utilities","Expense|other_operating"},0)),-N(M126),0)</f>
        <v/>
      </c>
      <c r="AB126" s="23">
        <f>IF(T126="Liability|payable",-N(O126),0)+IF(U126="Liability|payable",-N(N126),0)+IF(V126="Liability|payable",N(L126),0)+IF(W126="Liability|payable",N(M126),0)</f>
        <v/>
      </c>
      <c r="AC126" s="23">
        <f>IF(T126="Liability|accrued",-N(O126),0)+IF(U126="Liability|accrued",-N(N126),0)+IF(V126="Liability|accrued",N(L126),0)+IF(W126="Liability|accrued",N(M126),0)</f>
        <v/>
      </c>
      <c r="AD126" s="23">
        <f>IF(AND(N(O126)&lt;&gt;0,T126=""),1,0)+IF(AND(N(N126)&lt;&gt;0,U126=""),1,0)+IF(AND(N(L126)&lt;&gt;0,V126=""),1,0)+IF(AND(N(M126)&lt;&gt;0,W126=""),1,0)</f>
        <v/>
      </c>
    </row>
    <row r="127">
      <c r="A127" s="14" t="n"/>
      <c r="B127" s="19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21">
        <f>SUMIFS('Invoice Lines'!$I:$I,'Invoice Lines'!$A:$A,A127)</f>
        <v/>
      </c>
      <c r="L127" s="21">
        <f>IF(E127="Draft",0,K127)</f>
        <v/>
      </c>
      <c r="M127" s="21">
        <f>ROUND(L127*IFERROR(VLOOKUP(I127,'Tax Codes'!$A$5:$E$300,5,FALSE),0),2)</f>
        <v/>
      </c>
      <c r="N127" s="21">
        <f>ROUND(L127*IFERROR(VLOOKUP(J127,'Tax Codes'!$A$5:$E$300,5,FALSE),0),2)</f>
        <v/>
      </c>
      <c r="O127" s="21">
        <f>L127+M127-N127</f>
        <v/>
      </c>
      <c r="P127" s="16">
        <f>IF(F127="",INDEX('Chart of Accounts'!$A$5:$A$3000,MATCH("ar",'Chart of Accounts'!$F$5:$F$3000,0)),F127&amp;"")</f>
        <v/>
      </c>
      <c r="Q127" s="16">
        <f>IF(G127="",INDEX('Chart of Accounts'!$A$5:$A$3000,MATCH("revenue",'Chart of Accounts'!$F$5:$F$3000,0)),G127&amp;"")</f>
        <v/>
      </c>
      <c r="R127" s="16">
        <f>INDEX('Chart of Accounts'!$A$5:$A$3000,MATCH("wht_receivable",'Chart of Accounts'!$F$5:$F$3000,0))</f>
        <v/>
      </c>
      <c r="S127" s="16">
        <f>INDEX('Chart of Accounts'!$A$5:$A$3000,MATCH("vat_output",'Chart of Accounts'!$F$5:$F$3000,0))</f>
        <v/>
      </c>
      <c r="T127" s="23">
        <f>IFERROR(INDEX('Chart of Accounts'!$C$5:$C$3000,MATCH(P127&amp;"",'Chart of Accounts'!$A$5:$A$3000,0))&amp;"|"&amp;INDEX('Chart of Accounts'!$D$5:$D$3000,MATCH(P127&amp;"",'Chart of Accounts'!$A$5:$A$3000,0)),"")</f>
        <v/>
      </c>
      <c r="U127" s="23">
        <f>IFERROR(INDEX('Chart of Accounts'!$C$5:$C$3000,MATCH(R127&amp;"",'Chart of Accounts'!$A$5:$A$3000,0))&amp;"|"&amp;INDEX('Chart of Accounts'!$D$5:$D$3000,MATCH(R127&amp;"",'Chart of Accounts'!$A$5:$A$3000,0)),"")</f>
        <v/>
      </c>
      <c r="V127" s="23">
        <f>IFERROR(INDEX('Chart of Accounts'!$C$5:$C$3000,MATCH(Q127&amp;"",'Chart of Accounts'!$A$5:$A$3000,0))&amp;"|"&amp;INDEX('Chart of Accounts'!$D$5:$D$3000,MATCH(Q127&amp;"",'Chart of Accounts'!$A$5:$A$3000,0)),"")</f>
        <v/>
      </c>
      <c r="W127" s="23">
        <f>IFERROR(INDEX('Chart of Accounts'!$C$5:$C$3000,MATCH(S127&amp;"",'Chart of Accounts'!$A$5:$A$3000,0))&amp;"|"&amp;INDEX('Chart of Accounts'!$D$5:$D$3000,MATCH(S127&amp;"",'Chart of Accounts'!$A$5:$A$3000,0)),"")</f>
        <v/>
      </c>
      <c r="X127" s="23">
        <f>IF(LEFT(T127,8)="Revenue|",-N(O127),0)+IF(LEFT(U127,8)="Revenue|",-N(N127),0)+IF(LEFT(V127,8)="Revenue|",N(L127),0)+IF(LEFT(W127,8)="Revenue|",N(M127),0)</f>
        <v/>
      </c>
      <c r="Y127" s="23">
        <f>IF(LEFT(T127,5)="COGS|",N(O127),0)+IF(LEFT(U127,5)="COGS|",N(N127),0)+IF(LEFT(V127,5)="COGS|",-N(L127),0)+IF(LEFT(W127,5)="COGS|",-N(M127),0)</f>
        <v/>
      </c>
      <c r="Z127" s="23">
        <f>IF(LEFT(T127,8)="Expense|",N(O127),0)+IF(LEFT(U127,8)="Expense|",N(N127),0)+IF(LEFT(V127,8)="Expense|",-N(L127),0)+IF(LEFT(W127,8)="Expense|",-N(M127),0)</f>
        <v/>
      </c>
      <c r="AA127" s="23">
        <f>IF(ISNUMBER(MATCH(T127,{"Expense|employee","Expense|general_admin","Expense|marketing","Expense|utilities","Expense|other_operating"},0)),N(O127),0)+IF(ISNUMBER(MATCH(U127,{"Expense|employee","Expense|general_admin","Expense|marketing","Expense|utilities","Expense|other_operating"},0)),N(N127),0)+IF(ISNUMBER(MATCH(V127,{"Expense|employee","Expense|general_admin","Expense|marketing","Expense|utilities","Expense|other_operating"},0)),-N(L127),0)+IF(ISNUMBER(MATCH(W127,{"Expense|employee","Expense|general_admin","Expense|marketing","Expense|utilities","Expense|other_operating"},0)),-N(M127),0)</f>
        <v/>
      </c>
      <c r="AB127" s="23">
        <f>IF(T127="Liability|payable",-N(O127),0)+IF(U127="Liability|payable",-N(N127),0)+IF(V127="Liability|payable",N(L127),0)+IF(W127="Liability|payable",N(M127),0)</f>
        <v/>
      </c>
      <c r="AC127" s="23">
        <f>IF(T127="Liability|accrued",-N(O127),0)+IF(U127="Liability|accrued",-N(N127),0)+IF(V127="Liability|accrued",N(L127),0)+IF(W127="Liability|accrued",N(M127),0)</f>
        <v/>
      </c>
      <c r="AD127" s="23">
        <f>IF(AND(N(O127)&lt;&gt;0,T127=""),1,0)+IF(AND(N(N127)&lt;&gt;0,U127=""),1,0)+IF(AND(N(L127)&lt;&gt;0,V127=""),1,0)+IF(AND(N(M127)&lt;&gt;0,W127=""),1,0)</f>
        <v/>
      </c>
    </row>
    <row r="128">
      <c r="A128" s="14" t="n"/>
      <c r="B128" s="19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21">
        <f>SUMIFS('Invoice Lines'!$I:$I,'Invoice Lines'!$A:$A,A128)</f>
        <v/>
      </c>
      <c r="L128" s="21">
        <f>IF(E128="Draft",0,K128)</f>
        <v/>
      </c>
      <c r="M128" s="21">
        <f>ROUND(L128*IFERROR(VLOOKUP(I128,'Tax Codes'!$A$5:$E$300,5,FALSE),0),2)</f>
        <v/>
      </c>
      <c r="N128" s="21">
        <f>ROUND(L128*IFERROR(VLOOKUP(J128,'Tax Codes'!$A$5:$E$300,5,FALSE),0),2)</f>
        <v/>
      </c>
      <c r="O128" s="21">
        <f>L128+M128-N128</f>
        <v/>
      </c>
      <c r="P128" s="16">
        <f>IF(F128="",INDEX('Chart of Accounts'!$A$5:$A$3000,MATCH("ar",'Chart of Accounts'!$F$5:$F$3000,0)),F128&amp;"")</f>
        <v/>
      </c>
      <c r="Q128" s="16">
        <f>IF(G128="",INDEX('Chart of Accounts'!$A$5:$A$3000,MATCH("revenue",'Chart of Accounts'!$F$5:$F$3000,0)),G128&amp;"")</f>
        <v/>
      </c>
      <c r="R128" s="16">
        <f>INDEX('Chart of Accounts'!$A$5:$A$3000,MATCH("wht_receivable",'Chart of Accounts'!$F$5:$F$3000,0))</f>
        <v/>
      </c>
      <c r="S128" s="16">
        <f>INDEX('Chart of Accounts'!$A$5:$A$3000,MATCH("vat_output",'Chart of Accounts'!$F$5:$F$3000,0))</f>
        <v/>
      </c>
      <c r="T128" s="23">
        <f>IFERROR(INDEX('Chart of Accounts'!$C$5:$C$3000,MATCH(P128&amp;"",'Chart of Accounts'!$A$5:$A$3000,0))&amp;"|"&amp;INDEX('Chart of Accounts'!$D$5:$D$3000,MATCH(P128&amp;"",'Chart of Accounts'!$A$5:$A$3000,0)),"")</f>
        <v/>
      </c>
      <c r="U128" s="23">
        <f>IFERROR(INDEX('Chart of Accounts'!$C$5:$C$3000,MATCH(R128&amp;"",'Chart of Accounts'!$A$5:$A$3000,0))&amp;"|"&amp;INDEX('Chart of Accounts'!$D$5:$D$3000,MATCH(R128&amp;"",'Chart of Accounts'!$A$5:$A$3000,0)),"")</f>
        <v/>
      </c>
      <c r="V128" s="23">
        <f>IFERROR(INDEX('Chart of Accounts'!$C$5:$C$3000,MATCH(Q128&amp;"",'Chart of Accounts'!$A$5:$A$3000,0))&amp;"|"&amp;INDEX('Chart of Accounts'!$D$5:$D$3000,MATCH(Q128&amp;"",'Chart of Accounts'!$A$5:$A$3000,0)),"")</f>
        <v/>
      </c>
      <c r="W128" s="23">
        <f>IFERROR(INDEX('Chart of Accounts'!$C$5:$C$3000,MATCH(S128&amp;"",'Chart of Accounts'!$A$5:$A$3000,0))&amp;"|"&amp;INDEX('Chart of Accounts'!$D$5:$D$3000,MATCH(S128&amp;"",'Chart of Accounts'!$A$5:$A$3000,0)),"")</f>
        <v/>
      </c>
      <c r="X128" s="23">
        <f>IF(LEFT(T128,8)="Revenue|",-N(O128),0)+IF(LEFT(U128,8)="Revenue|",-N(N128),0)+IF(LEFT(V128,8)="Revenue|",N(L128),0)+IF(LEFT(W128,8)="Revenue|",N(M128),0)</f>
        <v/>
      </c>
      <c r="Y128" s="23">
        <f>IF(LEFT(T128,5)="COGS|",N(O128),0)+IF(LEFT(U128,5)="COGS|",N(N128),0)+IF(LEFT(V128,5)="COGS|",-N(L128),0)+IF(LEFT(W128,5)="COGS|",-N(M128),0)</f>
        <v/>
      </c>
      <c r="Z128" s="23">
        <f>IF(LEFT(T128,8)="Expense|",N(O128),0)+IF(LEFT(U128,8)="Expense|",N(N128),0)+IF(LEFT(V128,8)="Expense|",-N(L128),0)+IF(LEFT(W128,8)="Expense|",-N(M128),0)</f>
        <v/>
      </c>
      <c r="AA128" s="23">
        <f>IF(ISNUMBER(MATCH(T128,{"Expense|employee","Expense|general_admin","Expense|marketing","Expense|utilities","Expense|other_operating"},0)),N(O128),0)+IF(ISNUMBER(MATCH(U128,{"Expense|employee","Expense|general_admin","Expense|marketing","Expense|utilities","Expense|other_operating"},0)),N(N128),0)+IF(ISNUMBER(MATCH(V128,{"Expense|employee","Expense|general_admin","Expense|marketing","Expense|utilities","Expense|other_operating"},0)),-N(L128),0)+IF(ISNUMBER(MATCH(W128,{"Expense|employee","Expense|general_admin","Expense|marketing","Expense|utilities","Expense|other_operating"},0)),-N(M128),0)</f>
        <v/>
      </c>
      <c r="AB128" s="23">
        <f>IF(T128="Liability|payable",-N(O128),0)+IF(U128="Liability|payable",-N(N128),0)+IF(V128="Liability|payable",N(L128),0)+IF(W128="Liability|payable",N(M128),0)</f>
        <v/>
      </c>
      <c r="AC128" s="23">
        <f>IF(T128="Liability|accrued",-N(O128),0)+IF(U128="Liability|accrued",-N(N128),0)+IF(V128="Liability|accrued",N(L128),0)+IF(W128="Liability|accrued",N(M128),0)</f>
        <v/>
      </c>
      <c r="AD128" s="23">
        <f>IF(AND(N(O128)&lt;&gt;0,T128=""),1,0)+IF(AND(N(N128)&lt;&gt;0,U128=""),1,0)+IF(AND(N(L128)&lt;&gt;0,V128=""),1,0)+IF(AND(N(M128)&lt;&gt;0,W128=""),1,0)</f>
        <v/>
      </c>
    </row>
    <row r="129">
      <c r="A129" s="14" t="n"/>
      <c r="B129" s="19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21">
        <f>SUMIFS('Invoice Lines'!$I:$I,'Invoice Lines'!$A:$A,A129)</f>
        <v/>
      </c>
      <c r="L129" s="21">
        <f>IF(E129="Draft",0,K129)</f>
        <v/>
      </c>
      <c r="M129" s="21">
        <f>ROUND(L129*IFERROR(VLOOKUP(I129,'Tax Codes'!$A$5:$E$300,5,FALSE),0),2)</f>
        <v/>
      </c>
      <c r="N129" s="21">
        <f>ROUND(L129*IFERROR(VLOOKUP(J129,'Tax Codes'!$A$5:$E$300,5,FALSE),0),2)</f>
        <v/>
      </c>
      <c r="O129" s="21">
        <f>L129+M129-N129</f>
        <v/>
      </c>
      <c r="P129" s="16">
        <f>IF(F129="",INDEX('Chart of Accounts'!$A$5:$A$3000,MATCH("ar",'Chart of Accounts'!$F$5:$F$3000,0)),F129&amp;"")</f>
        <v/>
      </c>
      <c r="Q129" s="16">
        <f>IF(G129="",INDEX('Chart of Accounts'!$A$5:$A$3000,MATCH("revenue",'Chart of Accounts'!$F$5:$F$3000,0)),G129&amp;"")</f>
        <v/>
      </c>
      <c r="R129" s="16">
        <f>INDEX('Chart of Accounts'!$A$5:$A$3000,MATCH("wht_receivable",'Chart of Accounts'!$F$5:$F$3000,0))</f>
        <v/>
      </c>
      <c r="S129" s="16">
        <f>INDEX('Chart of Accounts'!$A$5:$A$3000,MATCH("vat_output",'Chart of Accounts'!$F$5:$F$3000,0))</f>
        <v/>
      </c>
      <c r="T129" s="23">
        <f>IFERROR(INDEX('Chart of Accounts'!$C$5:$C$3000,MATCH(P129&amp;"",'Chart of Accounts'!$A$5:$A$3000,0))&amp;"|"&amp;INDEX('Chart of Accounts'!$D$5:$D$3000,MATCH(P129&amp;"",'Chart of Accounts'!$A$5:$A$3000,0)),"")</f>
        <v/>
      </c>
      <c r="U129" s="23">
        <f>IFERROR(INDEX('Chart of Accounts'!$C$5:$C$3000,MATCH(R129&amp;"",'Chart of Accounts'!$A$5:$A$3000,0))&amp;"|"&amp;INDEX('Chart of Accounts'!$D$5:$D$3000,MATCH(R129&amp;"",'Chart of Accounts'!$A$5:$A$3000,0)),"")</f>
        <v/>
      </c>
      <c r="V129" s="23">
        <f>IFERROR(INDEX('Chart of Accounts'!$C$5:$C$3000,MATCH(Q129&amp;"",'Chart of Accounts'!$A$5:$A$3000,0))&amp;"|"&amp;INDEX('Chart of Accounts'!$D$5:$D$3000,MATCH(Q129&amp;"",'Chart of Accounts'!$A$5:$A$3000,0)),"")</f>
        <v/>
      </c>
      <c r="W129" s="23">
        <f>IFERROR(INDEX('Chart of Accounts'!$C$5:$C$3000,MATCH(S129&amp;"",'Chart of Accounts'!$A$5:$A$3000,0))&amp;"|"&amp;INDEX('Chart of Accounts'!$D$5:$D$3000,MATCH(S129&amp;"",'Chart of Accounts'!$A$5:$A$3000,0)),"")</f>
        <v/>
      </c>
      <c r="X129" s="23">
        <f>IF(LEFT(T129,8)="Revenue|",-N(O129),0)+IF(LEFT(U129,8)="Revenue|",-N(N129),0)+IF(LEFT(V129,8)="Revenue|",N(L129),0)+IF(LEFT(W129,8)="Revenue|",N(M129),0)</f>
        <v/>
      </c>
      <c r="Y129" s="23">
        <f>IF(LEFT(T129,5)="COGS|",N(O129),0)+IF(LEFT(U129,5)="COGS|",N(N129),0)+IF(LEFT(V129,5)="COGS|",-N(L129),0)+IF(LEFT(W129,5)="COGS|",-N(M129),0)</f>
        <v/>
      </c>
      <c r="Z129" s="23">
        <f>IF(LEFT(T129,8)="Expense|",N(O129),0)+IF(LEFT(U129,8)="Expense|",N(N129),0)+IF(LEFT(V129,8)="Expense|",-N(L129),0)+IF(LEFT(W129,8)="Expense|",-N(M129),0)</f>
        <v/>
      </c>
      <c r="AA129" s="23">
        <f>IF(ISNUMBER(MATCH(T129,{"Expense|employee","Expense|general_admin","Expense|marketing","Expense|utilities","Expense|other_operating"},0)),N(O129),0)+IF(ISNUMBER(MATCH(U129,{"Expense|employee","Expense|general_admin","Expense|marketing","Expense|utilities","Expense|other_operating"},0)),N(N129),0)+IF(ISNUMBER(MATCH(V129,{"Expense|employee","Expense|general_admin","Expense|marketing","Expense|utilities","Expense|other_operating"},0)),-N(L129),0)+IF(ISNUMBER(MATCH(W129,{"Expense|employee","Expense|general_admin","Expense|marketing","Expense|utilities","Expense|other_operating"},0)),-N(M129),0)</f>
        <v/>
      </c>
      <c r="AB129" s="23">
        <f>IF(T129="Liability|payable",-N(O129),0)+IF(U129="Liability|payable",-N(N129),0)+IF(V129="Liability|payable",N(L129),0)+IF(W129="Liability|payable",N(M129),0)</f>
        <v/>
      </c>
      <c r="AC129" s="23">
        <f>IF(T129="Liability|accrued",-N(O129),0)+IF(U129="Liability|accrued",-N(N129),0)+IF(V129="Liability|accrued",N(L129),0)+IF(W129="Liability|accrued",N(M129),0)</f>
        <v/>
      </c>
      <c r="AD129" s="23">
        <f>IF(AND(N(O129)&lt;&gt;0,T129=""),1,0)+IF(AND(N(N129)&lt;&gt;0,U129=""),1,0)+IF(AND(N(L129)&lt;&gt;0,V129=""),1,0)+IF(AND(N(M129)&lt;&gt;0,W129=""),1,0)</f>
        <v/>
      </c>
    </row>
    <row r="130">
      <c r="A130" s="14" t="n"/>
      <c r="B130" s="19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21">
        <f>SUMIFS('Invoice Lines'!$I:$I,'Invoice Lines'!$A:$A,A130)</f>
        <v/>
      </c>
      <c r="L130" s="21">
        <f>IF(E130="Draft",0,K130)</f>
        <v/>
      </c>
      <c r="M130" s="21">
        <f>ROUND(L130*IFERROR(VLOOKUP(I130,'Tax Codes'!$A$5:$E$300,5,FALSE),0),2)</f>
        <v/>
      </c>
      <c r="N130" s="21">
        <f>ROUND(L130*IFERROR(VLOOKUP(J130,'Tax Codes'!$A$5:$E$300,5,FALSE),0),2)</f>
        <v/>
      </c>
      <c r="O130" s="21">
        <f>L130+M130-N130</f>
        <v/>
      </c>
      <c r="P130" s="16">
        <f>IF(F130="",INDEX('Chart of Accounts'!$A$5:$A$3000,MATCH("ar",'Chart of Accounts'!$F$5:$F$3000,0)),F130&amp;"")</f>
        <v/>
      </c>
      <c r="Q130" s="16">
        <f>IF(G130="",INDEX('Chart of Accounts'!$A$5:$A$3000,MATCH("revenue",'Chart of Accounts'!$F$5:$F$3000,0)),G130&amp;"")</f>
        <v/>
      </c>
      <c r="R130" s="16">
        <f>INDEX('Chart of Accounts'!$A$5:$A$3000,MATCH("wht_receivable",'Chart of Accounts'!$F$5:$F$3000,0))</f>
        <v/>
      </c>
      <c r="S130" s="16">
        <f>INDEX('Chart of Accounts'!$A$5:$A$3000,MATCH("vat_output",'Chart of Accounts'!$F$5:$F$3000,0))</f>
        <v/>
      </c>
      <c r="T130" s="23">
        <f>IFERROR(INDEX('Chart of Accounts'!$C$5:$C$3000,MATCH(P130&amp;"",'Chart of Accounts'!$A$5:$A$3000,0))&amp;"|"&amp;INDEX('Chart of Accounts'!$D$5:$D$3000,MATCH(P130&amp;"",'Chart of Accounts'!$A$5:$A$3000,0)),"")</f>
        <v/>
      </c>
      <c r="U130" s="23">
        <f>IFERROR(INDEX('Chart of Accounts'!$C$5:$C$3000,MATCH(R130&amp;"",'Chart of Accounts'!$A$5:$A$3000,0))&amp;"|"&amp;INDEX('Chart of Accounts'!$D$5:$D$3000,MATCH(R130&amp;"",'Chart of Accounts'!$A$5:$A$3000,0)),"")</f>
        <v/>
      </c>
      <c r="V130" s="23">
        <f>IFERROR(INDEX('Chart of Accounts'!$C$5:$C$3000,MATCH(Q130&amp;"",'Chart of Accounts'!$A$5:$A$3000,0))&amp;"|"&amp;INDEX('Chart of Accounts'!$D$5:$D$3000,MATCH(Q130&amp;"",'Chart of Accounts'!$A$5:$A$3000,0)),"")</f>
        <v/>
      </c>
      <c r="W130" s="23">
        <f>IFERROR(INDEX('Chart of Accounts'!$C$5:$C$3000,MATCH(S130&amp;"",'Chart of Accounts'!$A$5:$A$3000,0))&amp;"|"&amp;INDEX('Chart of Accounts'!$D$5:$D$3000,MATCH(S130&amp;"",'Chart of Accounts'!$A$5:$A$3000,0)),"")</f>
        <v/>
      </c>
      <c r="X130" s="23">
        <f>IF(LEFT(T130,8)="Revenue|",-N(O130),0)+IF(LEFT(U130,8)="Revenue|",-N(N130),0)+IF(LEFT(V130,8)="Revenue|",N(L130),0)+IF(LEFT(W130,8)="Revenue|",N(M130),0)</f>
        <v/>
      </c>
      <c r="Y130" s="23">
        <f>IF(LEFT(T130,5)="COGS|",N(O130),0)+IF(LEFT(U130,5)="COGS|",N(N130),0)+IF(LEFT(V130,5)="COGS|",-N(L130),0)+IF(LEFT(W130,5)="COGS|",-N(M130),0)</f>
        <v/>
      </c>
      <c r="Z130" s="23">
        <f>IF(LEFT(T130,8)="Expense|",N(O130),0)+IF(LEFT(U130,8)="Expense|",N(N130),0)+IF(LEFT(V130,8)="Expense|",-N(L130),0)+IF(LEFT(W130,8)="Expense|",-N(M130),0)</f>
        <v/>
      </c>
      <c r="AA130" s="23">
        <f>IF(ISNUMBER(MATCH(T130,{"Expense|employee","Expense|general_admin","Expense|marketing","Expense|utilities","Expense|other_operating"},0)),N(O130),0)+IF(ISNUMBER(MATCH(U130,{"Expense|employee","Expense|general_admin","Expense|marketing","Expense|utilities","Expense|other_operating"},0)),N(N130),0)+IF(ISNUMBER(MATCH(V130,{"Expense|employee","Expense|general_admin","Expense|marketing","Expense|utilities","Expense|other_operating"},0)),-N(L130),0)+IF(ISNUMBER(MATCH(W130,{"Expense|employee","Expense|general_admin","Expense|marketing","Expense|utilities","Expense|other_operating"},0)),-N(M130),0)</f>
        <v/>
      </c>
      <c r="AB130" s="23">
        <f>IF(T130="Liability|payable",-N(O130),0)+IF(U130="Liability|payable",-N(N130),0)+IF(V130="Liability|payable",N(L130),0)+IF(W130="Liability|payable",N(M130),0)</f>
        <v/>
      </c>
      <c r="AC130" s="23">
        <f>IF(T130="Liability|accrued",-N(O130),0)+IF(U130="Liability|accrued",-N(N130),0)+IF(V130="Liability|accrued",N(L130),0)+IF(W130="Liability|accrued",N(M130),0)</f>
        <v/>
      </c>
      <c r="AD130" s="23">
        <f>IF(AND(N(O130)&lt;&gt;0,T130=""),1,0)+IF(AND(N(N130)&lt;&gt;0,U130=""),1,0)+IF(AND(N(L130)&lt;&gt;0,V130=""),1,0)+IF(AND(N(M130)&lt;&gt;0,W130=""),1,0)</f>
        <v/>
      </c>
    </row>
    <row r="131">
      <c r="A131" s="14" t="n"/>
      <c r="B131" s="19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21">
        <f>SUMIFS('Invoice Lines'!$I:$I,'Invoice Lines'!$A:$A,A131)</f>
        <v/>
      </c>
      <c r="L131" s="21">
        <f>IF(E131="Draft",0,K131)</f>
        <v/>
      </c>
      <c r="M131" s="21">
        <f>ROUND(L131*IFERROR(VLOOKUP(I131,'Tax Codes'!$A$5:$E$300,5,FALSE),0),2)</f>
        <v/>
      </c>
      <c r="N131" s="21">
        <f>ROUND(L131*IFERROR(VLOOKUP(J131,'Tax Codes'!$A$5:$E$300,5,FALSE),0),2)</f>
        <v/>
      </c>
      <c r="O131" s="21">
        <f>L131+M131-N131</f>
        <v/>
      </c>
      <c r="P131" s="16">
        <f>IF(F131="",INDEX('Chart of Accounts'!$A$5:$A$3000,MATCH("ar",'Chart of Accounts'!$F$5:$F$3000,0)),F131&amp;"")</f>
        <v/>
      </c>
      <c r="Q131" s="16">
        <f>IF(G131="",INDEX('Chart of Accounts'!$A$5:$A$3000,MATCH("revenue",'Chart of Accounts'!$F$5:$F$3000,0)),G131&amp;"")</f>
        <v/>
      </c>
      <c r="R131" s="16">
        <f>INDEX('Chart of Accounts'!$A$5:$A$3000,MATCH("wht_receivable",'Chart of Accounts'!$F$5:$F$3000,0))</f>
        <v/>
      </c>
      <c r="S131" s="16">
        <f>INDEX('Chart of Accounts'!$A$5:$A$3000,MATCH("vat_output",'Chart of Accounts'!$F$5:$F$3000,0))</f>
        <v/>
      </c>
      <c r="T131" s="23">
        <f>IFERROR(INDEX('Chart of Accounts'!$C$5:$C$3000,MATCH(P131&amp;"",'Chart of Accounts'!$A$5:$A$3000,0))&amp;"|"&amp;INDEX('Chart of Accounts'!$D$5:$D$3000,MATCH(P131&amp;"",'Chart of Accounts'!$A$5:$A$3000,0)),"")</f>
        <v/>
      </c>
      <c r="U131" s="23">
        <f>IFERROR(INDEX('Chart of Accounts'!$C$5:$C$3000,MATCH(R131&amp;"",'Chart of Accounts'!$A$5:$A$3000,0))&amp;"|"&amp;INDEX('Chart of Accounts'!$D$5:$D$3000,MATCH(R131&amp;"",'Chart of Accounts'!$A$5:$A$3000,0)),"")</f>
        <v/>
      </c>
      <c r="V131" s="23">
        <f>IFERROR(INDEX('Chart of Accounts'!$C$5:$C$3000,MATCH(Q131&amp;"",'Chart of Accounts'!$A$5:$A$3000,0))&amp;"|"&amp;INDEX('Chart of Accounts'!$D$5:$D$3000,MATCH(Q131&amp;"",'Chart of Accounts'!$A$5:$A$3000,0)),"")</f>
        <v/>
      </c>
      <c r="W131" s="23">
        <f>IFERROR(INDEX('Chart of Accounts'!$C$5:$C$3000,MATCH(S131&amp;"",'Chart of Accounts'!$A$5:$A$3000,0))&amp;"|"&amp;INDEX('Chart of Accounts'!$D$5:$D$3000,MATCH(S131&amp;"",'Chart of Accounts'!$A$5:$A$3000,0)),"")</f>
        <v/>
      </c>
      <c r="X131" s="23">
        <f>IF(LEFT(T131,8)="Revenue|",-N(O131),0)+IF(LEFT(U131,8)="Revenue|",-N(N131),0)+IF(LEFT(V131,8)="Revenue|",N(L131),0)+IF(LEFT(W131,8)="Revenue|",N(M131),0)</f>
        <v/>
      </c>
      <c r="Y131" s="23">
        <f>IF(LEFT(T131,5)="COGS|",N(O131),0)+IF(LEFT(U131,5)="COGS|",N(N131),0)+IF(LEFT(V131,5)="COGS|",-N(L131),0)+IF(LEFT(W131,5)="COGS|",-N(M131),0)</f>
        <v/>
      </c>
      <c r="Z131" s="23">
        <f>IF(LEFT(T131,8)="Expense|",N(O131),0)+IF(LEFT(U131,8)="Expense|",N(N131),0)+IF(LEFT(V131,8)="Expense|",-N(L131),0)+IF(LEFT(W131,8)="Expense|",-N(M131),0)</f>
        <v/>
      </c>
      <c r="AA131" s="23">
        <f>IF(ISNUMBER(MATCH(T131,{"Expense|employee","Expense|general_admin","Expense|marketing","Expense|utilities","Expense|other_operating"},0)),N(O131),0)+IF(ISNUMBER(MATCH(U131,{"Expense|employee","Expense|general_admin","Expense|marketing","Expense|utilities","Expense|other_operating"},0)),N(N131),0)+IF(ISNUMBER(MATCH(V131,{"Expense|employee","Expense|general_admin","Expense|marketing","Expense|utilities","Expense|other_operating"},0)),-N(L131),0)+IF(ISNUMBER(MATCH(W131,{"Expense|employee","Expense|general_admin","Expense|marketing","Expense|utilities","Expense|other_operating"},0)),-N(M131),0)</f>
        <v/>
      </c>
      <c r="AB131" s="23">
        <f>IF(T131="Liability|payable",-N(O131),0)+IF(U131="Liability|payable",-N(N131),0)+IF(V131="Liability|payable",N(L131),0)+IF(W131="Liability|payable",N(M131),0)</f>
        <v/>
      </c>
      <c r="AC131" s="23">
        <f>IF(T131="Liability|accrued",-N(O131),0)+IF(U131="Liability|accrued",-N(N131),0)+IF(V131="Liability|accrued",N(L131),0)+IF(W131="Liability|accrued",N(M131),0)</f>
        <v/>
      </c>
      <c r="AD131" s="23">
        <f>IF(AND(N(O131)&lt;&gt;0,T131=""),1,0)+IF(AND(N(N131)&lt;&gt;0,U131=""),1,0)+IF(AND(N(L131)&lt;&gt;0,V131=""),1,0)+IF(AND(N(M131)&lt;&gt;0,W131=""),1,0)</f>
        <v/>
      </c>
    </row>
    <row r="132">
      <c r="A132" s="14" t="n"/>
      <c r="B132" s="19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21">
        <f>SUMIFS('Invoice Lines'!$I:$I,'Invoice Lines'!$A:$A,A132)</f>
        <v/>
      </c>
      <c r="L132" s="21">
        <f>IF(E132="Draft",0,K132)</f>
        <v/>
      </c>
      <c r="M132" s="21">
        <f>ROUND(L132*IFERROR(VLOOKUP(I132,'Tax Codes'!$A$5:$E$300,5,FALSE),0),2)</f>
        <v/>
      </c>
      <c r="N132" s="21">
        <f>ROUND(L132*IFERROR(VLOOKUP(J132,'Tax Codes'!$A$5:$E$300,5,FALSE),0),2)</f>
        <v/>
      </c>
      <c r="O132" s="21">
        <f>L132+M132-N132</f>
        <v/>
      </c>
      <c r="P132" s="16">
        <f>IF(F132="",INDEX('Chart of Accounts'!$A$5:$A$3000,MATCH("ar",'Chart of Accounts'!$F$5:$F$3000,0)),F132&amp;"")</f>
        <v/>
      </c>
      <c r="Q132" s="16">
        <f>IF(G132="",INDEX('Chart of Accounts'!$A$5:$A$3000,MATCH("revenue",'Chart of Accounts'!$F$5:$F$3000,0)),G132&amp;"")</f>
        <v/>
      </c>
      <c r="R132" s="16">
        <f>INDEX('Chart of Accounts'!$A$5:$A$3000,MATCH("wht_receivable",'Chart of Accounts'!$F$5:$F$3000,0))</f>
        <v/>
      </c>
      <c r="S132" s="16">
        <f>INDEX('Chart of Accounts'!$A$5:$A$3000,MATCH("vat_output",'Chart of Accounts'!$F$5:$F$3000,0))</f>
        <v/>
      </c>
      <c r="T132" s="23">
        <f>IFERROR(INDEX('Chart of Accounts'!$C$5:$C$3000,MATCH(P132&amp;"",'Chart of Accounts'!$A$5:$A$3000,0))&amp;"|"&amp;INDEX('Chart of Accounts'!$D$5:$D$3000,MATCH(P132&amp;"",'Chart of Accounts'!$A$5:$A$3000,0)),"")</f>
        <v/>
      </c>
      <c r="U132" s="23">
        <f>IFERROR(INDEX('Chart of Accounts'!$C$5:$C$3000,MATCH(R132&amp;"",'Chart of Accounts'!$A$5:$A$3000,0))&amp;"|"&amp;INDEX('Chart of Accounts'!$D$5:$D$3000,MATCH(R132&amp;"",'Chart of Accounts'!$A$5:$A$3000,0)),"")</f>
        <v/>
      </c>
      <c r="V132" s="23">
        <f>IFERROR(INDEX('Chart of Accounts'!$C$5:$C$3000,MATCH(Q132&amp;"",'Chart of Accounts'!$A$5:$A$3000,0))&amp;"|"&amp;INDEX('Chart of Accounts'!$D$5:$D$3000,MATCH(Q132&amp;"",'Chart of Accounts'!$A$5:$A$3000,0)),"")</f>
        <v/>
      </c>
      <c r="W132" s="23">
        <f>IFERROR(INDEX('Chart of Accounts'!$C$5:$C$3000,MATCH(S132&amp;"",'Chart of Accounts'!$A$5:$A$3000,0))&amp;"|"&amp;INDEX('Chart of Accounts'!$D$5:$D$3000,MATCH(S132&amp;"",'Chart of Accounts'!$A$5:$A$3000,0)),"")</f>
        <v/>
      </c>
      <c r="X132" s="23">
        <f>IF(LEFT(T132,8)="Revenue|",-N(O132),0)+IF(LEFT(U132,8)="Revenue|",-N(N132),0)+IF(LEFT(V132,8)="Revenue|",N(L132),0)+IF(LEFT(W132,8)="Revenue|",N(M132),0)</f>
        <v/>
      </c>
      <c r="Y132" s="23">
        <f>IF(LEFT(T132,5)="COGS|",N(O132),0)+IF(LEFT(U132,5)="COGS|",N(N132),0)+IF(LEFT(V132,5)="COGS|",-N(L132),0)+IF(LEFT(W132,5)="COGS|",-N(M132),0)</f>
        <v/>
      </c>
      <c r="Z132" s="23">
        <f>IF(LEFT(T132,8)="Expense|",N(O132),0)+IF(LEFT(U132,8)="Expense|",N(N132),0)+IF(LEFT(V132,8)="Expense|",-N(L132),0)+IF(LEFT(W132,8)="Expense|",-N(M132),0)</f>
        <v/>
      </c>
      <c r="AA132" s="23">
        <f>IF(ISNUMBER(MATCH(T132,{"Expense|employee","Expense|general_admin","Expense|marketing","Expense|utilities","Expense|other_operating"},0)),N(O132),0)+IF(ISNUMBER(MATCH(U132,{"Expense|employee","Expense|general_admin","Expense|marketing","Expense|utilities","Expense|other_operating"},0)),N(N132),0)+IF(ISNUMBER(MATCH(V132,{"Expense|employee","Expense|general_admin","Expense|marketing","Expense|utilities","Expense|other_operating"},0)),-N(L132),0)+IF(ISNUMBER(MATCH(W132,{"Expense|employee","Expense|general_admin","Expense|marketing","Expense|utilities","Expense|other_operating"},0)),-N(M132),0)</f>
        <v/>
      </c>
      <c r="AB132" s="23">
        <f>IF(T132="Liability|payable",-N(O132),0)+IF(U132="Liability|payable",-N(N132),0)+IF(V132="Liability|payable",N(L132),0)+IF(W132="Liability|payable",N(M132),0)</f>
        <v/>
      </c>
      <c r="AC132" s="23">
        <f>IF(T132="Liability|accrued",-N(O132),0)+IF(U132="Liability|accrued",-N(N132),0)+IF(V132="Liability|accrued",N(L132),0)+IF(W132="Liability|accrued",N(M132),0)</f>
        <v/>
      </c>
      <c r="AD132" s="23">
        <f>IF(AND(N(O132)&lt;&gt;0,T132=""),1,0)+IF(AND(N(N132)&lt;&gt;0,U132=""),1,0)+IF(AND(N(L132)&lt;&gt;0,V132=""),1,0)+IF(AND(N(M132)&lt;&gt;0,W132=""),1,0)</f>
        <v/>
      </c>
    </row>
    <row r="133">
      <c r="A133" s="14" t="n"/>
      <c r="B133" s="19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21">
        <f>SUMIFS('Invoice Lines'!$I:$I,'Invoice Lines'!$A:$A,A133)</f>
        <v/>
      </c>
      <c r="L133" s="21">
        <f>IF(E133="Draft",0,K133)</f>
        <v/>
      </c>
      <c r="M133" s="21">
        <f>ROUND(L133*IFERROR(VLOOKUP(I133,'Tax Codes'!$A$5:$E$300,5,FALSE),0),2)</f>
        <v/>
      </c>
      <c r="N133" s="21">
        <f>ROUND(L133*IFERROR(VLOOKUP(J133,'Tax Codes'!$A$5:$E$300,5,FALSE),0),2)</f>
        <v/>
      </c>
      <c r="O133" s="21">
        <f>L133+M133-N133</f>
        <v/>
      </c>
      <c r="P133" s="16">
        <f>IF(F133="",INDEX('Chart of Accounts'!$A$5:$A$3000,MATCH("ar",'Chart of Accounts'!$F$5:$F$3000,0)),F133&amp;"")</f>
        <v/>
      </c>
      <c r="Q133" s="16">
        <f>IF(G133="",INDEX('Chart of Accounts'!$A$5:$A$3000,MATCH("revenue",'Chart of Accounts'!$F$5:$F$3000,0)),G133&amp;"")</f>
        <v/>
      </c>
      <c r="R133" s="16">
        <f>INDEX('Chart of Accounts'!$A$5:$A$3000,MATCH("wht_receivable",'Chart of Accounts'!$F$5:$F$3000,0))</f>
        <v/>
      </c>
      <c r="S133" s="16">
        <f>INDEX('Chart of Accounts'!$A$5:$A$3000,MATCH("vat_output",'Chart of Accounts'!$F$5:$F$3000,0))</f>
        <v/>
      </c>
      <c r="T133" s="23">
        <f>IFERROR(INDEX('Chart of Accounts'!$C$5:$C$3000,MATCH(P133&amp;"",'Chart of Accounts'!$A$5:$A$3000,0))&amp;"|"&amp;INDEX('Chart of Accounts'!$D$5:$D$3000,MATCH(P133&amp;"",'Chart of Accounts'!$A$5:$A$3000,0)),"")</f>
        <v/>
      </c>
      <c r="U133" s="23">
        <f>IFERROR(INDEX('Chart of Accounts'!$C$5:$C$3000,MATCH(R133&amp;"",'Chart of Accounts'!$A$5:$A$3000,0))&amp;"|"&amp;INDEX('Chart of Accounts'!$D$5:$D$3000,MATCH(R133&amp;"",'Chart of Accounts'!$A$5:$A$3000,0)),"")</f>
        <v/>
      </c>
      <c r="V133" s="23">
        <f>IFERROR(INDEX('Chart of Accounts'!$C$5:$C$3000,MATCH(Q133&amp;"",'Chart of Accounts'!$A$5:$A$3000,0))&amp;"|"&amp;INDEX('Chart of Accounts'!$D$5:$D$3000,MATCH(Q133&amp;"",'Chart of Accounts'!$A$5:$A$3000,0)),"")</f>
        <v/>
      </c>
      <c r="W133" s="23">
        <f>IFERROR(INDEX('Chart of Accounts'!$C$5:$C$3000,MATCH(S133&amp;"",'Chart of Accounts'!$A$5:$A$3000,0))&amp;"|"&amp;INDEX('Chart of Accounts'!$D$5:$D$3000,MATCH(S133&amp;"",'Chart of Accounts'!$A$5:$A$3000,0)),"")</f>
        <v/>
      </c>
      <c r="X133" s="23">
        <f>IF(LEFT(T133,8)="Revenue|",-N(O133),0)+IF(LEFT(U133,8)="Revenue|",-N(N133),0)+IF(LEFT(V133,8)="Revenue|",N(L133),0)+IF(LEFT(W133,8)="Revenue|",N(M133),0)</f>
        <v/>
      </c>
      <c r="Y133" s="23">
        <f>IF(LEFT(T133,5)="COGS|",N(O133),0)+IF(LEFT(U133,5)="COGS|",N(N133),0)+IF(LEFT(V133,5)="COGS|",-N(L133),0)+IF(LEFT(W133,5)="COGS|",-N(M133),0)</f>
        <v/>
      </c>
      <c r="Z133" s="23">
        <f>IF(LEFT(T133,8)="Expense|",N(O133),0)+IF(LEFT(U133,8)="Expense|",N(N133),0)+IF(LEFT(V133,8)="Expense|",-N(L133),0)+IF(LEFT(W133,8)="Expense|",-N(M133),0)</f>
        <v/>
      </c>
      <c r="AA133" s="23">
        <f>IF(ISNUMBER(MATCH(T133,{"Expense|employee","Expense|general_admin","Expense|marketing","Expense|utilities","Expense|other_operating"},0)),N(O133),0)+IF(ISNUMBER(MATCH(U133,{"Expense|employee","Expense|general_admin","Expense|marketing","Expense|utilities","Expense|other_operating"},0)),N(N133),0)+IF(ISNUMBER(MATCH(V133,{"Expense|employee","Expense|general_admin","Expense|marketing","Expense|utilities","Expense|other_operating"},0)),-N(L133),0)+IF(ISNUMBER(MATCH(W133,{"Expense|employee","Expense|general_admin","Expense|marketing","Expense|utilities","Expense|other_operating"},0)),-N(M133),0)</f>
        <v/>
      </c>
      <c r="AB133" s="23">
        <f>IF(T133="Liability|payable",-N(O133),0)+IF(U133="Liability|payable",-N(N133),0)+IF(V133="Liability|payable",N(L133),0)+IF(W133="Liability|payable",N(M133),0)</f>
        <v/>
      </c>
      <c r="AC133" s="23">
        <f>IF(T133="Liability|accrued",-N(O133),0)+IF(U133="Liability|accrued",-N(N133),0)+IF(V133="Liability|accrued",N(L133),0)+IF(W133="Liability|accrued",N(M133),0)</f>
        <v/>
      </c>
      <c r="AD133" s="23">
        <f>IF(AND(N(O133)&lt;&gt;0,T133=""),1,0)+IF(AND(N(N133)&lt;&gt;0,U133=""),1,0)+IF(AND(N(L133)&lt;&gt;0,V133=""),1,0)+IF(AND(N(M133)&lt;&gt;0,W133=""),1,0)</f>
        <v/>
      </c>
    </row>
    <row r="134">
      <c r="A134" s="14" t="n"/>
      <c r="B134" s="19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21">
        <f>SUMIFS('Invoice Lines'!$I:$I,'Invoice Lines'!$A:$A,A134)</f>
        <v/>
      </c>
      <c r="L134" s="21">
        <f>IF(E134="Draft",0,K134)</f>
        <v/>
      </c>
      <c r="M134" s="21">
        <f>ROUND(L134*IFERROR(VLOOKUP(I134,'Tax Codes'!$A$5:$E$300,5,FALSE),0),2)</f>
        <v/>
      </c>
      <c r="N134" s="21">
        <f>ROUND(L134*IFERROR(VLOOKUP(J134,'Tax Codes'!$A$5:$E$300,5,FALSE),0),2)</f>
        <v/>
      </c>
      <c r="O134" s="21">
        <f>L134+M134-N134</f>
        <v/>
      </c>
      <c r="P134" s="16">
        <f>IF(F134="",INDEX('Chart of Accounts'!$A$5:$A$3000,MATCH("ar",'Chart of Accounts'!$F$5:$F$3000,0)),F134&amp;"")</f>
        <v/>
      </c>
      <c r="Q134" s="16">
        <f>IF(G134="",INDEX('Chart of Accounts'!$A$5:$A$3000,MATCH("revenue",'Chart of Accounts'!$F$5:$F$3000,0)),G134&amp;"")</f>
        <v/>
      </c>
      <c r="R134" s="16">
        <f>INDEX('Chart of Accounts'!$A$5:$A$3000,MATCH("wht_receivable",'Chart of Accounts'!$F$5:$F$3000,0))</f>
        <v/>
      </c>
      <c r="S134" s="16">
        <f>INDEX('Chart of Accounts'!$A$5:$A$3000,MATCH("vat_output",'Chart of Accounts'!$F$5:$F$3000,0))</f>
        <v/>
      </c>
      <c r="T134" s="23">
        <f>IFERROR(INDEX('Chart of Accounts'!$C$5:$C$3000,MATCH(P134&amp;"",'Chart of Accounts'!$A$5:$A$3000,0))&amp;"|"&amp;INDEX('Chart of Accounts'!$D$5:$D$3000,MATCH(P134&amp;"",'Chart of Accounts'!$A$5:$A$3000,0)),"")</f>
        <v/>
      </c>
      <c r="U134" s="23">
        <f>IFERROR(INDEX('Chart of Accounts'!$C$5:$C$3000,MATCH(R134&amp;"",'Chart of Accounts'!$A$5:$A$3000,0))&amp;"|"&amp;INDEX('Chart of Accounts'!$D$5:$D$3000,MATCH(R134&amp;"",'Chart of Accounts'!$A$5:$A$3000,0)),"")</f>
        <v/>
      </c>
      <c r="V134" s="23">
        <f>IFERROR(INDEX('Chart of Accounts'!$C$5:$C$3000,MATCH(Q134&amp;"",'Chart of Accounts'!$A$5:$A$3000,0))&amp;"|"&amp;INDEX('Chart of Accounts'!$D$5:$D$3000,MATCH(Q134&amp;"",'Chart of Accounts'!$A$5:$A$3000,0)),"")</f>
        <v/>
      </c>
      <c r="W134" s="23">
        <f>IFERROR(INDEX('Chart of Accounts'!$C$5:$C$3000,MATCH(S134&amp;"",'Chart of Accounts'!$A$5:$A$3000,0))&amp;"|"&amp;INDEX('Chart of Accounts'!$D$5:$D$3000,MATCH(S134&amp;"",'Chart of Accounts'!$A$5:$A$3000,0)),"")</f>
        <v/>
      </c>
      <c r="X134" s="23">
        <f>IF(LEFT(T134,8)="Revenue|",-N(O134),0)+IF(LEFT(U134,8)="Revenue|",-N(N134),0)+IF(LEFT(V134,8)="Revenue|",N(L134),0)+IF(LEFT(W134,8)="Revenue|",N(M134),0)</f>
        <v/>
      </c>
      <c r="Y134" s="23">
        <f>IF(LEFT(T134,5)="COGS|",N(O134),0)+IF(LEFT(U134,5)="COGS|",N(N134),0)+IF(LEFT(V134,5)="COGS|",-N(L134),0)+IF(LEFT(W134,5)="COGS|",-N(M134),0)</f>
        <v/>
      </c>
      <c r="Z134" s="23">
        <f>IF(LEFT(T134,8)="Expense|",N(O134),0)+IF(LEFT(U134,8)="Expense|",N(N134),0)+IF(LEFT(V134,8)="Expense|",-N(L134),0)+IF(LEFT(W134,8)="Expense|",-N(M134),0)</f>
        <v/>
      </c>
      <c r="AA134" s="23">
        <f>IF(ISNUMBER(MATCH(T134,{"Expense|employee","Expense|general_admin","Expense|marketing","Expense|utilities","Expense|other_operating"},0)),N(O134),0)+IF(ISNUMBER(MATCH(U134,{"Expense|employee","Expense|general_admin","Expense|marketing","Expense|utilities","Expense|other_operating"},0)),N(N134),0)+IF(ISNUMBER(MATCH(V134,{"Expense|employee","Expense|general_admin","Expense|marketing","Expense|utilities","Expense|other_operating"},0)),-N(L134),0)+IF(ISNUMBER(MATCH(W134,{"Expense|employee","Expense|general_admin","Expense|marketing","Expense|utilities","Expense|other_operating"},0)),-N(M134),0)</f>
        <v/>
      </c>
      <c r="AB134" s="23">
        <f>IF(T134="Liability|payable",-N(O134),0)+IF(U134="Liability|payable",-N(N134),0)+IF(V134="Liability|payable",N(L134),0)+IF(W134="Liability|payable",N(M134),0)</f>
        <v/>
      </c>
      <c r="AC134" s="23">
        <f>IF(T134="Liability|accrued",-N(O134),0)+IF(U134="Liability|accrued",-N(N134),0)+IF(V134="Liability|accrued",N(L134),0)+IF(W134="Liability|accrued",N(M134),0)</f>
        <v/>
      </c>
      <c r="AD134" s="23">
        <f>IF(AND(N(O134)&lt;&gt;0,T134=""),1,0)+IF(AND(N(N134)&lt;&gt;0,U134=""),1,0)+IF(AND(N(L134)&lt;&gt;0,V134=""),1,0)+IF(AND(N(M134)&lt;&gt;0,W134=""),1,0)</f>
        <v/>
      </c>
    </row>
    <row r="135">
      <c r="A135" s="14" t="n"/>
      <c r="B135" s="19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21">
        <f>SUMIFS('Invoice Lines'!$I:$I,'Invoice Lines'!$A:$A,A135)</f>
        <v/>
      </c>
      <c r="L135" s="21">
        <f>IF(E135="Draft",0,K135)</f>
        <v/>
      </c>
      <c r="M135" s="21">
        <f>ROUND(L135*IFERROR(VLOOKUP(I135,'Tax Codes'!$A$5:$E$300,5,FALSE),0),2)</f>
        <v/>
      </c>
      <c r="N135" s="21">
        <f>ROUND(L135*IFERROR(VLOOKUP(J135,'Tax Codes'!$A$5:$E$300,5,FALSE),0),2)</f>
        <v/>
      </c>
      <c r="O135" s="21">
        <f>L135+M135-N135</f>
        <v/>
      </c>
      <c r="P135" s="16">
        <f>IF(F135="",INDEX('Chart of Accounts'!$A$5:$A$3000,MATCH("ar",'Chart of Accounts'!$F$5:$F$3000,0)),F135&amp;"")</f>
        <v/>
      </c>
      <c r="Q135" s="16">
        <f>IF(G135="",INDEX('Chart of Accounts'!$A$5:$A$3000,MATCH("revenue",'Chart of Accounts'!$F$5:$F$3000,0)),G135&amp;"")</f>
        <v/>
      </c>
      <c r="R135" s="16">
        <f>INDEX('Chart of Accounts'!$A$5:$A$3000,MATCH("wht_receivable",'Chart of Accounts'!$F$5:$F$3000,0))</f>
        <v/>
      </c>
      <c r="S135" s="16">
        <f>INDEX('Chart of Accounts'!$A$5:$A$3000,MATCH("vat_output",'Chart of Accounts'!$F$5:$F$3000,0))</f>
        <v/>
      </c>
      <c r="T135" s="23">
        <f>IFERROR(INDEX('Chart of Accounts'!$C$5:$C$3000,MATCH(P135&amp;"",'Chart of Accounts'!$A$5:$A$3000,0))&amp;"|"&amp;INDEX('Chart of Accounts'!$D$5:$D$3000,MATCH(P135&amp;"",'Chart of Accounts'!$A$5:$A$3000,0)),"")</f>
        <v/>
      </c>
      <c r="U135" s="23">
        <f>IFERROR(INDEX('Chart of Accounts'!$C$5:$C$3000,MATCH(R135&amp;"",'Chart of Accounts'!$A$5:$A$3000,0))&amp;"|"&amp;INDEX('Chart of Accounts'!$D$5:$D$3000,MATCH(R135&amp;"",'Chart of Accounts'!$A$5:$A$3000,0)),"")</f>
        <v/>
      </c>
      <c r="V135" s="23">
        <f>IFERROR(INDEX('Chart of Accounts'!$C$5:$C$3000,MATCH(Q135&amp;"",'Chart of Accounts'!$A$5:$A$3000,0))&amp;"|"&amp;INDEX('Chart of Accounts'!$D$5:$D$3000,MATCH(Q135&amp;"",'Chart of Accounts'!$A$5:$A$3000,0)),"")</f>
        <v/>
      </c>
      <c r="W135" s="23">
        <f>IFERROR(INDEX('Chart of Accounts'!$C$5:$C$3000,MATCH(S135&amp;"",'Chart of Accounts'!$A$5:$A$3000,0))&amp;"|"&amp;INDEX('Chart of Accounts'!$D$5:$D$3000,MATCH(S135&amp;"",'Chart of Accounts'!$A$5:$A$3000,0)),"")</f>
        <v/>
      </c>
      <c r="X135" s="23">
        <f>IF(LEFT(T135,8)="Revenue|",-N(O135),0)+IF(LEFT(U135,8)="Revenue|",-N(N135),0)+IF(LEFT(V135,8)="Revenue|",N(L135),0)+IF(LEFT(W135,8)="Revenue|",N(M135),0)</f>
        <v/>
      </c>
      <c r="Y135" s="23">
        <f>IF(LEFT(T135,5)="COGS|",N(O135),0)+IF(LEFT(U135,5)="COGS|",N(N135),0)+IF(LEFT(V135,5)="COGS|",-N(L135),0)+IF(LEFT(W135,5)="COGS|",-N(M135),0)</f>
        <v/>
      </c>
      <c r="Z135" s="23">
        <f>IF(LEFT(T135,8)="Expense|",N(O135),0)+IF(LEFT(U135,8)="Expense|",N(N135),0)+IF(LEFT(V135,8)="Expense|",-N(L135),0)+IF(LEFT(W135,8)="Expense|",-N(M135),0)</f>
        <v/>
      </c>
      <c r="AA135" s="23">
        <f>IF(ISNUMBER(MATCH(T135,{"Expense|employee","Expense|general_admin","Expense|marketing","Expense|utilities","Expense|other_operating"},0)),N(O135),0)+IF(ISNUMBER(MATCH(U135,{"Expense|employee","Expense|general_admin","Expense|marketing","Expense|utilities","Expense|other_operating"},0)),N(N135),0)+IF(ISNUMBER(MATCH(V135,{"Expense|employee","Expense|general_admin","Expense|marketing","Expense|utilities","Expense|other_operating"},0)),-N(L135),0)+IF(ISNUMBER(MATCH(W135,{"Expense|employee","Expense|general_admin","Expense|marketing","Expense|utilities","Expense|other_operating"},0)),-N(M135),0)</f>
        <v/>
      </c>
      <c r="AB135" s="23">
        <f>IF(T135="Liability|payable",-N(O135),0)+IF(U135="Liability|payable",-N(N135),0)+IF(V135="Liability|payable",N(L135),0)+IF(W135="Liability|payable",N(M135),0)</f>
        <v/>
      </c>
      <c r="AC135" s="23">
        <f>IF(T135="Liability|accrued",-N(O135),0)+IF(U135="Liability|accrued",-N(N135),0)+IF(V135="Liability|accrued",N(L135),0)+IF(W135="Liability|accrued",N(M135),0)</f>
        <v/>
      </c>
      <c r="AD135" s="23">
        <f>IF(AND(N(O135)&lt;&gt;0,T135=""),1,0)+IF(AND(N(N135)&lt;&gt;0,U135=""),1,0)+IF(AND(N(L135)&lt;&gt;0,V135=""),1,0)+IF(AND(N(M135)&lt;&gt;0,W135=""),1,0)</f>
        <v/>
      </c>
    </row>
    <row r="136">
      <c r="A136" s="14" t="n"/>
      <c r="B136" s="19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21">
        <f>SUMIFS('Invoice Lines'!$I:$I,'Invoice Lines'!$A:$A,A136)</f>
        <v/>
      </c>
      <c r="L136" s="21">
        <f>IF(E136="Draft",0,K136)</f>
        <v/>
      </c>
      <c r="M136" s="21">
        <f>ROUND(L136*IFERROR(VLOOKUP(I136,'Tax Codes'!$A$5:$E$300,5,FALSE),0),2)</f>
        <v/>
      </c>
      <c r="N136" s="21">
        <f>ROUND(L136*IFERROR(VLOOKUP(J136,'Tax Codes'!$A$5:$E$300,5,FALSE),0),2)</f>
        <v/>
      </c>
      <c r="O136" s="21">
        <f>L136+M136-N136</f>
        <v/>
      </c>
      <c r="P136" s="16">
        <f>IF(F136="",INDEX('Chart of Accounts'!$A$5:$A$3000,MATCH("ar",'Chart of Accounts'!$F$5:$F$3000,0)),F136&amp;"")</f>
        <v/>
      </c>
      <c r="Q136" s="16">
        <f>IF(G136="",INDEX('Chart of Accounts'!$A$5:$A$3000,MATCH("revenue",'Chart of Accounts'!$F$5:$F$3000,0)),G136&amp;"")</f>
        <v/>
      </c>
      <c r="R136" s="16">
        <f>INDEX('Chart of Accounts'!$A$5:$A$3000,MATCH("wht_receivable",'Chart of Accounts'!$F$5:$F$3000,0))</f>
        <v/>
      </c>
      <c r="S136" s="16">
        <f>INDEX('Chart of Accounts'!$A$5:$A$3000,MATCH("vat_output",'Chart of Accounts'!$F$5:$F$3000,0))</f>
        <v/>
      </c>
      <c r="T136" s="23">
        <f>IFERROR(INDEX('Chart of Accounts'!$C$5:$C$3000,MATCH(P136&amp;"",'Chart of Accounts'!$A$5:$A$3000,0))&amp;"|"&amp;INDEX('Chart of Accounts'!$D$5:$D$3000,MATCH(P136&amp;"",'Chart of Accounts'!$A$5:$A$3000,0)),"")</f>
        <v/>
      </c>
      <c r="U136" s="23">
        <f>IFERROR(INDEX('Chart of Accounts'!$C$5:$C$3000,MATCH(R136&amp;"",'Chart of Accounts'!$A$5:$A$3000,0))&amp;"|"&amp;INDEX('Chart of Accounts'!$D$5:$D$3000,MATCH(R136&amp;"",'Chart of Accounts'!$A$5:$A$3000,0)),"")</f>
        <v/>
      </c>
      <c r="V136" s="23">
        <f>IFERROR(INDEX('Chart of Accounts'!$C$5:$C$3000,MATCH(Q136&amp;"",'Chart of Accounts'!$A$5:$A$3000,0))&amp;"|"&amp;INDEX('Chart of Accounts'!$D$5:$D$3000,MATCH(Q136&amp;"",'Chart of Accounts'!$A$5:$A$3000,0)),"")</f>
        <v/>
      </c>
      <c r="W136" s="23">
        <f>IFERROR(INDEX('Chart of Accounts'!$C$5:$C$3000,MATCH(S136&amp;"",'Chart of Accounts'!$A$5:$A$3000,0))&amp;"|"&amp;INDEX('Chart of Accounts'!$D$5:$D$3000,MATCH(S136&amp;"",'Chart of Accounts'!$A$5:$A$3000,0)),"")</f>
        <v/>
      </c>
      <c r="X136" s="23">
        <f>IF(LEFT(T136,8)="Revenue|",-N(O136),0)+IF(LEFT(U136,8)="Revenue|",-N(N136),0)+IF(LEFT(V136,8)="Revenue|",N(L136),0)+IF(LEFT(W136,8)="Revenue|",N(M136),0)</f>
        <v/>
      </c>
      <c r="Y136" s="23">
        <f>IF(LEFT(T136,5)="COGS|",N(O136),0)+IF(LEFT(U136,5)="COGS|",N(N136),0)+IF(LEFT(V136,5)="COGS|",-N(L136),0)+IF(LEFT(W136,5)="COGS|",-N(M136),0)</f>
        <v/>
      </c>
      <c r="Z136" s="23">
        <f>IF(LEFT(T136,8)="Expense|",N(O136),0)+IF(LEFT(U136,8)="Expense|",N(N136),0)+IF(LEFT(V136,8)="Expense|",-N(L136),0)+IF(LEFT(W136,8)="Expense|",-N(M136),0)</f>
        <v/>
      </c>
      <c r="AA136" s="23">
        <f>IF(ISNUMBER(MATCH(T136,{"Expense|employee","Expense|general_admin","Expense|marketing","Expense|utilities","Expense|other_operating"},0)),N(O136),0)+IF(ISNUMBER(MATCH(U136,{"Expense|employee","Expense|general_admin","Expense|marketing","Expense|utilities","Expense|other_operating"},0)),N(N136),0)+IF(ISNUMBER(MATCH(V136,{"Expense|employee","Expense|general_admin","Expense|marketing","Expense|utilities","Expense|other_operating"},0)),-N(L136),0)+IF(ISNUMBER(MATCH(W136,{"Expense|employee","Expense|general_admin","Expense|marketing","Expense|utilities","Expense|other_operating"},0)),-N(M136),0)</f>
        <v/>
      </c>
      <c r="AB136" s="23">
        <f>IF(T136="Liability|payable",-N(O136),0)+IF(U136="Liability|payable",-N(N136),0)+IF(V136="Liability|payable",N(L136),0)+IF(W136="Liability|payable",N(M136),0)</f>
        <v/>
      </c>
      <c r="AC136" s="23">
        <f>IF(T136="Liability|accrued",-N(O136),0)+IF(U136="Liability|accrued",-N(N136),0)+IF(V136="Liability|accrued",N(L136),0)+IF(W136="Liability|accrued",N(M136),0)</f>
        <v/>
      </c>
      <c r="AD136" s="23">
        <f>IF(AND(N(O136)&lt;&gt;0,T136=""),1,0)+IF(AND(N(N136)&lt;&gt;0,U136=""),1,0)+IF(AND(N(L136)&lt;&gt;0,V136=""),1,0)+IF(AND(N(M136)&lt;&gt;0,W136=""),1,0)</f>
        <v/>
      </c>
    </row>
    <row r="137">
      <c r="A137" s="14" t="n"/>
      <c r="B137" s="19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21">
        <f>SUMIFS('Invoice Lines'!$I:$I,'Invoice Lines'!$A:$A,A137)</f>
        <v/>
      </c>
      <c r="L137" s="21">
        <f>IF(E137="Draft",0,K137)</f>
        <v/>
      </c>
      <c r="M137" s="21">
        <f>ROUND(L137*IFERROR(VLOOKUP(I137,'Tax Codes'!$A$5:$E$300,5,FALSE),0),2)</f>
        <v/>
      </c>
      <c r="N137" s="21">
        <f>ROUND(L137*IFERROR(VLOOKUP(J137,'Tax Codes'!$A$5:$E$300,5,FALSE),0),2)</f>
        <v/>
      </c>
      <c r="O137" s="21">
        <f>L137+M137-N137</f>
        <v/>
      </c>
      <c r="P137" s="16">
        <f>IF(F137="",INDEX('Chart of Accounts'!$A$5:$A$3000,MATCH("ar",'Chart of Accounts'!$F$5:$F$3000,0)),F137&amp;"")</f>
        <v/>
      </c>
      <c r="Q137" s="16">
        <f>IF(G137="",INDEX('Chart of Accounts'!$A$5:$A$3000,MATCH("revenue",'Chart of Accounts'!$F$5:$F$3000,0)),G137&amp;"")</f>
        <v/>
      </c>
      <c r="R137" s="16">
        <f>INDEX('Chart of Accounts'!$A$5:$A$3000,MATCH("wht_receivable",'Chart of Accounts'!$F$5:$F$3000,0))</f>
        <v/>
      </c>
      <c r="S137" s="16">
        <f>INDEX('Chart of Accounts'!$A$5:$A$3000,MATCH("vat_output",'Chart of Accounts'!$F$5:$F$3000,0))</f>
        <v/>
      </c>
      <c r="T137" s="23">
        <f>IFERROR(INDEX('Chart of Accounts'!$C$5:$C$3000,MATCH(P137&amp;"",'Chart of Accounts'!$A$5:$A$3000,0))&amp;"|"&amp;INDEX('Chart of Accounts'!$D$5:$D$3000,MATCH(P137&amp;"",'Chart of Accounts'!$A$5:$A$3000,0)),"")</f>
        <v/>
      </c>
      <c r="U137" s="23">
        <f>IFERROR(INDEX('Chart of Accounts'!$C$5:$C$3000,MATCH(R137&amp;"",'Chart of Accounts'!$A$5:$A$3000,0))&amp;"|"&amp;INDEX('Chart of Accounts'!$D$5:$D$3000,MATCH(R137&amp;"",'Chart of Accounts'!$A$5:$A$3000,0)),"")</f>
        <v/>
      </c>
      <c r="V137" s="23">
        <f>IFERROR(INDEX('Chart of Accounts'!$C$5:$C$3000,MATCH(Q137&amp;"",'Chart of Accounts'!$A$5:$A$3000,0))&amp;"|"&amp;INDEX('Chart of Accounts'!$D$5:$D$3000,MATCH(Q137&amp;"",'Chart of Accounts'!$A$5:$A$3000,0)),"")</f>
        <v/>
      </c>
      <c r="W137" s="23">
        <f>IFERROR(INDEX('Chart of Accounts'!$C$5:$C$3000,MATCH(S137&amp;"",'Chart of Accounts'!$A$5:$A$3000,0))&amp;"|"&amp;INDEX('Chart of Accounts'!$D$5:$D$3000,MATCH(S137&amp;"",'Chart of Accounts'!$A$5:$A$3000,0)),"")</f>
        <v/>
      </c>
      <c r="X137" s="23">
        <f>IF(LEFT(T137,8)="Revenue|",-N(O137),0)+IF(LEFT(U137,8)="Revenue|",-N(N137),0)+IF(LEFT(V137,8)="Revenue|",N(L137),0)+IF(LEFT(W137,8)="Revenue|",N(M137),0)</f>
        <v/>
      </c>
      <c r="Y137" s="23">
        <f>IF(LEFT(T137,5)="COGS|",N(O137),0)+IF(LEFT(U137,5)="COGS|",N(N137),0)+IF(LEFT(V137,5)="COGS|",-N(L137),0)+IF(LEFT(W137,5)="COGS|",-N(M137),0)</f>
        <v/>
      </c>
      <c r="Z137" s="23">
        <f>IF(LEFT(T137,8)="Expense|",N(O137),0)+IF(LEFT(U137,8)="Expense|",N(N137),0)+IF(LEFT(V137,8)="Expense|",-N(L137),0)+IF(LEFT(W137,8)="Expense|",-N(M137),0)</f>
        <v/>
      </c>
      <c r="AA137" s="23">
        <f>IF(ISNUMBER(MATCH(T137,{"Expense|employee","Expense|general_admin","Expense|marketing","Expense|utilities","Expense|other_operating"},0)),N(O137),0)+IF(ISNUMBER(MATCH(U137,{"Expense|employee","Expense|general_admin","Expense|marketing","Expense|utilities","Expense|other_operating"},0)),N(N137),0)+IF(ISNUMBER(MATCH(V137,{"Expense|employee","Expense|general_admin","Expense|marketing","Expense|utilities","Expense|other_operating"},0)),-N(L137),0)+IF(ISNUMBER(MATCH(W137,{"Expense|employee","Expense|general_admin","Expense|marketing","Expense|utilities","Expense|other_operating"},0)),-N(M137),0)</f>
        <v/>
      </c>
      <c r="AB137" s="23">
        <f>IF(T137="Liability|payable",-N(O137),0)+IF(U137="Liability|payable",-N(N137),0)+IF(V137="Liability|payable",N(L137),0)+IF(W137="Liability|payable",N(M137),0)</f>
        <v/>
      </c>
      <c r="AC137" s="23">
        <f>IF(T137="Liability|accrued",-N(O137),0)+IF(U137="Liability|accrued",-N(N137),0)+IF(V137="Liability|accrued",N(L137),0)+IF(W137="Liability|accrued",N(M137),0)</f>
        <v/>
      </c>
      <c r="AD137" s="23">
        <f>IF(AND(N(O137)&lt;&gt;0,T137=""),1,0)+IF(AND(N(N137)&lt;&gt;0,U137=""),1,0)+IF(AND(N(L137)&lt;&gt;0,V137=""),1,0)+IF(AND(N(M137)&lt;&gt;0,W137=""),1,0)</f>
        <v/>
      </c>
    </row>
    <row r="138">
      <c r="A138" s="14" t="n"/>
      <c r="B138" s="19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21">
        <f>SUMIFS('Invoice Lines'!$I:$I,'Invoice Lines'!$A:$A,A138)</f>
        <v/>
      </c>
      <c r="L138" s="21">
        <f>IF(E138="Draft",0,K138)</f>
        <v/>
      </c>
      <c r="M138" s="21">
        <f>ROUND(L138*IFERROR(VLOOKUP(I138,'Tax Codes'!$A$5:$E$300,5,FALSE),0),2)</f>
        <v/>
      </c>
      <c r="N138" s="21">
        <f>ROUND(L138*IFERROR(VLOOKUP(J138,'Tax Codes'!$A$5:$E$300,5,FALSE),0),2)</f>
        <v/>
      </c>
      <c r="O138" s="21">
        <f>L138+M138-N138</f>
        <v/>
      </c>
      <c r="P138" s="16">
        <f>IF(F138="",INDEX('Chart of Accounts'!$A$5:$A$3000,MATCH("ar",'Chart of Accounts'!$F$5:$F$3000,0)),F138&amp;"")</f>
        <v/>
      </c>
      <c r="Q138" s="16">
        <f>IF(G138="",INDEX('Chart of Accounts'!$A$5:$A$3000,MATCH("revenue",'Chart of Accounts'!$F$5:$F$3000,0)),G138&amp;"")</f>
        <v/>
      </c>
      <c r="R138" s="16">
        <f>INDEX('Chart of Accounts'!$A$5:$A$3000,MATCH("wht_receivable",'Chart of Accounts'!$F$5:$F$3000,0))</f>
        <v/>
      </c>
      <c r="S138" s="16">
        <f>INDEX('Chart of Accounts'!$A$5:$A$3000,MATCH("vat_output",'Chart of Accounts'!$F$5:$F$3000,0))</f>
        <v/>
      </c>
      <c r="T138" s="23">
        <f>IFERROR(INDEX('Chart of Accounts'!$C$5:$C$3000,MATCH(P138&amp;"",'Chart of Accounts'!$A$5:$A$3000,0))&amp;"|"&amp;INDEX('Chart of Accounts'!$D$5:$D$3000,MATCH(P138&amp;"",'Chart of Accounts'!$A$5:$A$3000,0)),"")</f>
        <v/>
      </c>
      <c r="U138" s="23">
        <f>IFERROR(INDEX('Chart of Accounts'!$C$5:$C$3000,MATCH(R138&amp;"",'Chart of Accounts'!$A$5:$A$3000,0))&amp;"|"&amp;INDEX('Chart of Accounts'!$D$5:$D$3000,MATCH(R138&amp;"",'Chart of Accounts'!$A$5:$A$3000,0)),"")</f>
        <v/>
      </c>
      <c r="V138" s="23">
        <f>IFERROR(INDEX('Chart of Accounts'!$C$5:$C$3000,MATCH(Q138&amp;"",'Chart of Accounts'!$A$5:$A$3000,0))&amp;"|"&amp;INDEX('Chart of Accounts'!$D$5:$D$3000,MATCH(Q138&amp;"",'Chart of Accounts'!$A$5:$A$3000,0)),"")</f>
        <v/>
      </c>
      <c r="W138" s="23">
        <f>IFERROR(INDEX('Chart of Accounts'!$C$5:$C$3000,MATCH(S138&amp;"",'Chart of Accounts'!$A$5:$A$3000,0))&amp;"|"&amp;INDEX('Chart of Accounts'!$D$5:$D$3000,MATCH(S138&amp;"",'Chart of Accounts'!$A$5:$A$3000,0)),"")</f>
        <v/>
      </c>
      <c r="X138" s="23">
        <f>IF(LEFT(T138,8)="Revenue|",-N(O138),0)+IF(LEFT(U138,8)="Revenue|",-N(N138),0)+IF(LEFT(V138,8)="Revenue|",N(L138),0)+IF(LEFT(W138,8)="Revenue|",N(M138),0)</f>
        <v/>
      </c>
      <c r="Y138" s="23">
        <f>IF(LEFT(T138,5)="COGS|",N(O138),0)+IF(LEFT(U138,5)="COGS|",N(N138),0)+IF(LEFT(V138,5)="COGS|",-N(L138),0)+IF(LEFT(W138,5)="COGS|",-N(M138),0)</f>
        <v/>
      </c>
      <c r="Z138" s="23">
        <f>IF(LEFT(T138,8)="Expense|",N(O138),0)+IF(LEFT(U138,8)="Expense|",N(N138),0)+IF(LEFT(V138,8)="Expense|",-N(L138),0)+IF(LEFT(W138,8)="Expense|",-N(M138),0)</f>
        <v/>
      </c>
      <c r="AA138" s="23">
        <f>IF(ISNUMBER(MATCH(T138,{"Expense|employee","Expense|general_admin","Expense|marketing","Expense|utilities","Expense|other_operating"},0)),N(O138),0)+IF(ISNUMBER(MATCH(U138,{"Expense|employee","Expense|general_admin","Expense|marketing","Expense|utilities","Expense|other_operating"},0)),N(N138),0)+IF(ISNUMBER(MATCH(V138,{"Expense|employee","Expense|general_admin","Expense|marketing","Expense|utilities","Expense|other_operating"},0)),-N(L138),0)+IF(ISNUMBER(MATCH(W138,{"Expense|employee","Expense|general_admin","Expense|marketing","Expense|utilities","Expense|other_operating"},0)),-N(M138),0)</f>
        <v/>
      </c>
      <c r="AB138" s="23">
        <f>IF(T138="Liability|payable",-N(O138),0)+IF(U138="Liability|payable",-N(N138),0)+IF(V138="Liability|payable",N(L138),0)+IF(W138="Liability|payable",N(M138),0)</f>
        <v/>
      </c>
      <c r="AC138" s="23">
        <f>IF(T138="Liability|accrued",-N(O138),0)+IF(U138="Liability|accrued",-N(N138),0)+IF(V138="Liability|accrued",N(L138),0)+IF(W138="Liability|accrued",N(M138),0)</f>
        <v/>
      </c>
      <c r="AD138" s="23">
        <f>IF(AND(N(O138)&lt;&gt;0,T138=""),1,0)+IF(AND(N(N138)&lt;&gt;0,U138=""),1,0)+IF(AND(N(L138)&lt;&gt;0,V138=""),1,0)+IF(AND(N(M138)&lt;&gt;0,W138=""),1,0)</f>
        <v/>
      </c>
    </row>
    <row r="139">
      <c r="A139" s="14" t="n"/>
      <c r="B139" s="19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21">
        <f>SUMIFS('Invoice Lines'!$I:$I,'Invoice Lines'!$A:$A,A139)</f>
        <v/>
      </c>
      <c r="L139" s="21">
        <f>IF(E139="Draft",0,K139)</f>
        <v/>
      </c>
      <c r="M139" s="21">
        <f>ROUND(L139*IFERROR(VLOOKUP(I139,'Tax Codes'!$A$5:$E$300,5,FALSE),0),2)</f>
        <v/>
      </c>
      <c r="N139" s="21">
        <f>ROUND(L139*IFERROR(VLOOKUP(J139,'Tax Codes'!$A$5:$E$300,5,FALSE),0),2)</f>
        <v/>
      </c>
      <c r="O139" s="21">
        <f>L139+M139-N139</f>
        <v/>
      </c>
      <c r="P139" s="16">
        <f>IF(F139="",INDEX('Chart of Accounts'!$A$5:$A$3000,MATCH("ar",'Chart of Accounts'!$F$5:$F$3000,0)),F139&amp;"")</f>
        <v/>
      </c>
      <c r="Q139" s="16">
        <f>IF(G139="",INDEX('Chart of Accounts'!$A$5:$A$3000,MATCH("revenue",'Chart of Accounts'!$F$5:$F$3000,0)),G139&amp;"")</f>
        <v/>
      </c>
      <c r="R139" s="16">
        <f>INDEX('Chart of Accounts'!$A$5:$A$3000,MATCH("wht_receivable",'Chart of Accounts'!$F$5:$F$3000,0))</f>
        <v/>
      </c>
      <c r="S139" s="16">
        <f>INDEX('Chart of Accounts'!$A$5:$A$3000,MATCH("vat_output",'Chart of Accounts'!$F$5:$F$3000,0))</f>
        <v/>
      </c>
      <c r="T139" s="23">
        <f>IFERROR(INDEX('Chart of Accounts'!$C$5:$C$3000,MATCH(P139&amp;"",'Chart of Accounts'!$A$5:$A$3000,0))&amp;"|"&amp;INDEX('Chart of Accounts'!$D$5:$D$3000,MATCH(P139&amp;"",'Chart of Accounts'!$A$5:$A$3000,0)),"")</f>
        <v/>
      </c>
      <c r="U139" s="23">
        <f>IFERROR(INDEX('Chart of Accounts'!$C$5:$C$3000,MATCH(R139&amp;"",'Chart of Accounts'!$A$5:$A$3000,0))&amp;"|"&amp;INDEX('Chart of Accounts'!$D$5:$D$3000,MATCH(R139&amp;"",'Chart of Accounts'!$A$5:$A$3000,0)),"")</f>
        <v/>
      </c>
      <c r="V139" s="23">
        <f>IFERROR(INDEX('Chart of Accounts'!$C$5:$C$3000,MATCH(Q139&amp;"",'Chart of Accounts'!$A$5:$A$3000,0))&amp;"|"&amp;INDEX('Chart of Accounts'!$D$5:$D$3000,MATCH(Q139&amp;"",'Chart of Accounts'!$A$5:$A$3000,0)),"")</f>
        <v/>
      </c>
      <c r="W139" s="23">
        <f>IFERROR(INDEX('Chart of Accounts'!$C$5:$C$3000,MATCH(S139&amp;"",'Chart of Accounts'!$A$5:$A$3000,0))&amp;"|"&amp;INDEX('Chart of Accounts'!$D$5:$D$3000,MATCH(S139&amp;"",'Chart of Accounts'!$A$5:$A$3000,0)),"")</f>
        <v/>
      </c>
      <c r="X139" s="23">
        <f>IF(LEFT(T139,8)="Revenue|",-N(O139),0)+IF(LEFT(U139,8)="Revenue|",-N(N139),0)+IF(LEFT(V139,8)="Revenue|",N(L139),0)+IF(LEFT(W139,8)="Revenue|",N(M139),0)</f>
        <v/>
      </c>
      <c r="Y139" s="23">
        <f>IF(LEFT(T139,5)="COGS|",N(O139),0)+IF(LEFT(U139,5)="COGS|",N(N139),0)+IF(LEFT(V139,5)="COGS|",-N(L139),0)+IF(LEFT(W139,5)="COGS|",-N(M139),0)</f>
        <v/>
      </c>
      <c r="Z139" s="23">
        <f>IF(LEFT(T139,8)="Expense|",N(O139),0)+IF(LEFT(U139,8)="Expense|",N(N139),0)+IF(LEFT(V139,8)="Expense|",-N(L139),0)+IF(LEFT(W139,8)="Expense|",-N(M139),0)</f>
        <v/>
      </c>
      <c r="AA139" s="23">
        <f>IF(ISNUMBER(MATCH(T139,{"Expense|employee","Expense|general_admin","Expense|marketing","Expense|utilities","Expense|other_operating"},0)),N(O139),0)+IF(ISNUMBER(MATCH(U139,{"Expense|employee","Expense|general_admin","Expense|marketing","Expense|utilities","Expense|other_operating"},0)),N(N139),0)+IF(ISNUMBER(MATCH(V139,{"Expense|employee","Expense|general_admin","Expense|marketing","Expense|utilities","Expense|other_operating"},0)),-N(L139),0)+IF(ISNUMBER(MATCH(W139,{"Expense|employee","Expense|general_admin","Expense|marketing","Expense|utilities","Expense|other_operating"},0)),-N(M139),0)</f>
        <v/>
      </c>
      <c r="AB139" s="23">
        <f>IF(T139="Liability|payable",-N(O139),0)+IF(U139="Liability|payable",-N(N139),0)+IF(V139="Liability|payable",N(L139),0)+IF(W139="Liability|payable",N(M139),0)</f>
        <v/>
      </c>
      <c r="AC139" s="23">
        <f>IF(T139="Liability|accrued",-N(O139),0)+IF(U139="Liability|accrued",-N(N139),0)+IF(V139="Liability|accrued",N(L139),0)+IF(W139="Liability|accrued",N(M139),0)</f>
        <v/>
      </c>
      <c r="AD139" s="23">
        <f>IF(AND(N(O139)&lt;&gt;0,T139=""),1,0)+IF(AND(N(N139)&lt;&gt;0,U139=""),1,0)+IF(AND(N(L139)&lt;&gt;0,V139=""),1,0)+IF(AND(N(M139)&lt;&gt;0,W139=""),1,0)</f>
        <v/>
      </c>
    </row>
    <row r="140">
      <c r="A140" s="14" t="n"/>
      <c r="B140" s="19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21">
        <f>SUMIFS('Invoice Lines'!$I:$I,'Invoice Lines'!$A:$A,A140)</f>
        <v/>
      </c>
      <c r="L140" s="21">
        <f>IF(E140="Draft",0,K140)</f>
        <v/>
      </c>
      <c r="M140" s="21">
        <f>ROUND(L140*IFERROR(VLOOKUP(I140,'Tax Codes'!$A$5:$E$300,5,FALSE),0),2)</f>
        <v/>
      </c>
      <c r="N140" s="21">
        <f>ROUND(L140*IFERROR(VLOOKUP(J140,'Tax Codes'!$A$5:$E$300,5,FALSE),0),2)</f>
        <v/>
      </c>
      <c r="O140" s="21">
        <f>L140+M140-N140</f>
        <v/>
      </c>
      <c r="P140" s="16">
        <f>IF(F140="",INDEX('Chart of Accounts'!$A$5:$A$3000,MATCH("ar",'Chart of Accounts'!$F$5:$F$3000,0)),F140&amp;"")</f>
        <v/>
      </c>
      <c r="Q140" s="16">
        <f>IF(G140="",INDEX('Chart of Accounts'!$A$5:$A$3000,MATCH("revenue",'Chart of Accounts'!$F$5:$F$3000,0)),G140&amp;"")</f>
        <v/>
      </c>
      <c r="R140" s="16">
        <f>INDEX('Chart of Accounts'!$A$5:$A$3000,MATCH("wht_receivable",'Chart of Accounts'!$F$5:$F$3000,0))</f>
        <v/>
      </c>
      <c r="S140" s="16">
        <f>INDEX('Chart of Accounts'!$A$5:$A$3000,MATCH("vat_output",'Chart of Accounts'!$F$5:$F$3000,0))</f>
        <v/>
      </c>
      <c r="T140" s="23">
        <f>IFERROR(INDEX('Chart of Accounts'!$C$5:$C$3000,MATCH(P140&amp;"",'Chart of Accounts'!$A$5:$A$3000,0))&amp;"|"&amp;INDEX('Chart of Accounts'!$D$5:$D$3000,MATCH(P140&amp;"",'Chart of Accounts'!$A$5:$A$3000,0)),"")</f>
        <v/>
      </c>
      <c r="U140" s="23">
        <f>IFERROR(INDEX('Chart of Accounts'!$C$5:$C$3000,MATCH(R140&amp;"",'Chart of Accounts'!$A$5:$A$3000,0))&amp;"|"&amp;INDEX('Chart of Accounts'!$D$5:$D$3000,MATCH(R140&amp;"",'Chart of Accounts'!$A$5:$A$3000,0)),"")</f>
        <v/>
      </c>
      <c r="V140" s="23">
        <f>IFERROR(INDEX('Chart of Accounts'!$C$5:$C$3000,MATCH(Q140&amp;"",'Chart of Accounts'!$A$5:$A$3000,0))&amp;"|"&amp;INDEX('Chart of Accounts'!$D$5:$D$3000,MATCH(Q140&amp;"",'Chart of Accounts'!$A$5:$A$3000,0)),"")</f>
        <v/>
      </c>
      <c r="W140" s="23">
        <f>IFERROR(INDEX('Chart of Accounts'!$C$5:$C$3000,MATCH(S140&amp;"",'Chart of Accounts'!$A$5:$A$3000,0))&amp;"|"&amp;INDEX('Chart of Accounts'!$D$5:$D$3000,MATCH(S140&amp;"",'Chart of Accounts'!$A$5:$A$3000,0)),"")</f>
        <v/>
      </c>
      <c r="X140" s="23">
        <f>IF(LEFT(T140,8)="Revenue|",-N(O140),0)+IF(LEFT(U140,8)="Revenue|",-N(N140),0)+IF(LEFT(V140,8)="Revenue|",N(L140),0)+IF(LEFT(W140,8)="Revenue|",N(M140),0)</f>
        <v/>
      </c>
      <c r="Y140" s="23">
        <f>IF(LEFT(T140,5)="COGS|",N(O140),0)+IF(LEFT(U140,5)="COGS|",N(N140),0)+IF(LEFT(V140,5)="COGS|",-N(L140),0)+IF(LEFT(W140,5)="COGS|",-N(M140),0)</f>
        <v/>
      </c>
      <c r="Z140" s="23">
        <f>IF(LEFT(T140,8)="Expense|",N(O140),0)+IF(LEFT(U140,8)="Expense|",N(N140),0)+IF(LEFT(V140,8)="Expense|",-N(L140),0)+IF(LEFT(W140,8)="Expense|",-N(M140),0)</f>
        <v/>
      </c>
      <c r="AA140" s="23">
        <f>IF(ISNUMBER(MATCH(T140,{"Expense|employee","Expense|general_admin","Expense|marketing","Expense|utilities","Expense|other_operating"},0)),N(O140),0)+IF(ISNUMBER(MATCH(U140,{"Expense|employee","Expense|general_admin","Expense|marketing","Expense|utilities","Expense|other_operating"},0)),N(N140),0)+IF(ISNUMBER(MATCH(V140,{"Expense|employee","Expense|general_admin","Expense|marketing","Expense|utilities","Expense|other_operating"},0)),-N(L140),0)+IF(ISNUMBER(MATCH(W140,{"Expense|employee","Expense|general_admin","Expense|marketing","Expense|utilities","Expense|other_operating"},0)),-N(M140),0)</f>
        <v/>
      </c>
      <c r="AB140" s="23">
        <f>IF(T140="Liability|payable",-N(O140),0)+IF(U140="Liability|payable",-N(N140),0)+IF(V140="Liability|payable",N(L140),0)+IF(W140="Liability|payable",N(M140),0)</f>
        <v/>
      </c>
      <c r="AC140" s="23">
        <f>IF(T140="Liability|accrued",-N(O140),0)+IF(U140="Liability|accrued",-N(N140),0)+IF(V140="Liability|accrued",N(L140),0)+IF(W140="Liability|accrued",N(M140),0)</f>
        <v/>
      </c>
      <c r="AD140" s="23">
        <f>IF(AND(N(O140)&lt;&gt;0,T140=""),1,0)+IF(AND(N(N140)&lt;&gt;0,U140=""),1,0)+IF(AND(N(L140)&lt;&gt;0,V140=""),1,0)+IF(AND(N(M140)&lt;&gt;0,W140=""),1,0)</f>
        <v/>
      </c>
    </row>
    <row r="141">
      <c r="A141" s="14" t="n"/>
      <c r="B141" s="19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21">
        <f>SUMIFS('Invoice Lines'!$I:$I,'Invoice Lines'!$A:$A,A141)</f>
        <v/>
      </c>
      <c r="L141" s="21">
        <f>IF(E141="Draft",0,K141)</f>
        <v/>
      </c>
      <c r="M141" s="21">
        <f>ROUND(L141*IFERROR(VLOOKUP(I141,'Tax Codes'!$A$5:$E$300,5,FALSE),0),2)</f>
        <v/>
      </c>
      <c r="N141" s="21">
        <f>ROUND(L141*IFERROR(VLOOKUP(J141,'Tax Codes'!$A$5:$E$300,5,FALSE),0),2)</f>
        <v/>
      </c>
      <c r="O141" s="21">
        <f>L141+M141-N141</f>
        <v/>
      </c>
      <c r="P141" s="16">
        <f>IF(F141="",INDEX('Chart of Accounts'!$A$5:$A$3000,MATCH("ar",'Chart of Accounts'!$F$5:$F$3000,0)),F141&amp;"")</f>
        <v/>
      </c>
      <c r="Q141" s="16">
        <f>IF(G141="",INDEX('Chart of Accounts'!$A$5:$A$3000,MATCH("revenue",'Chart of Accounts'!$F$5:$F$3000,0)),G141&amp;"")</f>
        <v/>
      </c>
      <c r="R141" s="16">
        <f>INDEX('Chart of Accounts'!$A$5:$A$3000,MATCH("wht_receivable",'Chart of Accounts'!$F$5:$F$3000,0))</f>
        <v/>
      </c>
      <c r="S141" s="16">
        <f>INDEX('Chart of Accounts'!$A$5:$A$3000,MATCH("vat_output",'Chart of Accounts'!$F$5:$F$3000,0))</f>
        <v/>
      </c>
      <c r="T141" s="23">
        <f>IFERROR(INDEX('Chart of Accounts'!$C$5:$C$3000,MATCH(P141&amp;"",'Chart of Accounts'!$A$5:$A$3000,0))&amp;"|"&amp;INDEX('Chart of Accounts'!$D$5:$D$3000,MATCH(P141&amp;"",'Chart of Accounts'!$A$5:$A$3000,0)),"")</f>
        <v/>
      </c>
      <c r="U141" s="23">
        <f>IFERROR(INDEX('Chart of Accounts'!$C$5:$C$3000,MATCH(R141&amp;"",'Chart of Accounts'!$A$5:$A$3000,0))&amp;"|"&amp;INDEX('Chart of Accounts'!$D$5:$D$3000,MATCH(R141&amp;"",'Chart of Accounts'!$A$5:$A$3000,0)),"")</f>
        <v/>
      </c>
      <c r="V141" s="23">
        <f>IFERROR(INDEX('Chart of Accounts'!$C$5:$C$3000,MATCH(Q141&amp;"",'Chart of Accounts'!$A$5:$A$3000,0))&amp;"|"&amp;INDEX('Chart of Accounts'!$D$5:$D$3000,MATCH(Q141&amp;"",'Chart of Accounts'!$A$5:$A$3000,0)),"")</f>
        <v/>
      </c>
      <c r="W141" s="23">
        <f>IFERROR(INDEX('Chart of Accounts'!$C$5:$C$3000,MATCH(S141&amp;"",'Chart of Accounts'!$A$5:$A$3000,0))&amp;"|"&amp;INDEX('Chart of Accounts'!$D$5:$D$3000,MATCH(S141&amp;"",'Chart of Accounts'!$A$5:$A$3000,0)),"")</f>
        <v/>
      </c>
      <c r="X141" s="23">
        <f>IF(LEFT(T141,8)="Revenue|",-N(O141),0)+IF(LEFT(U141,8)="Revenue|",-N(N141),0)+IF(LEFT(V141,8)="Revenue|",N(L141),0)+IF(LEFT(W141,8)="Revenue|",N(M141),0)</f>
        <v/>
      </c>
      <c r="Y141" s="23">
        <f>IF(LEFT(T141,5)="COGS|",N(O141),0)+IF(LEFT(U141,5)="COGS|",N(N141),0)+IF(LEFT(V141,5)="COGS|",-N(L141),0)+IF(LEFT(W141,5)="COGS|",-N(M141),0)</f>
        <v/>
      </c>
      <c r="Z141" s="23">
        <f>IF(LEFT(T141,8)="Expense|",N(O141),0)+IF(LEFT(U141,8)="Expense|",N(N141),0)+IF(LEFT(V141,8)="Expense|",-N(L141),0)+IF(LEFT(W141,8)="Expense|",-N(M141),0)</f>
        <v/>
      </c>
      <c r="AA141" s="23">
        <f>IF(ISNUMBER(MATCH(T141,{"Expense|employee","Expense|general_admin","Expense|marketing","Expense|utilities","Expense|other_operating"},0)),N(O141),0)+IF(ISNUMBER(MATCH(U141,{"Expense|employee","Expense|general_admin","Expense|marketing","Expense|utilities","Expense|other_operating"},0)),N(N141),0)+IF(ISNUMBER(MATCH(V141,{"Expense|employee","Expense|general_admin","Expense|marketing","Expense|utilities","Expense|other_operating"},0)),-N(L141),0)+IF(ISNUMBER(MATCH(W141,{"Expense|employee","Expense|general_admin","Expense|marketing","Expense|utilities","Expense|other_operating"},0)),-N(M141),0)</f>
        <v/>
      </c>
      <c r="AB141" s="23">
        <f>IF(T141="Liability|payable",-N(O141),0)+IF(U141="Liability|payable",-N(N141),0)+IF(V141="Liability|payable",N(L141),0)+IF(W141="Liability|payable",N(M141),0)</f>
        <v/>
      </c>
      <c r="AC141" s="23">
        <f>IF(T141="Liability|accrued",-N(O141),0)+IF(U141="Liability|accrued",-N(N141),0)+IF(V141="Liability|accrued",N(L141),0)+IF(W141="Liability|accrued",N(M141),0)</f>
        <v/>
      </c>
      <c r="AD141" s="23">
        <f>IF(AND(N(O141)&lt;&gt;0,T141=""),1,0)+IF(AND(N(N141)&lt;&gt;0,U141=""),1,0)+IF(AND(N(L141)&lt;&gt;0,V141=""),1,0)+IF(AND(N(M141)&lt;&gt;0,W141=""),1,0)</f>
        <v/>
      </c>
    </row>
    <row r="142">
      <c r="A142" s="14" t="n"/>
      <c r="B142" s="19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21">
        <f>SUMIFS('Invoice Lines'!$I:$I,'Invoice Lines'!$A:$A,A142)</f>
        <v/>
      </c>
      <c r="L142" s="21">
        <f>IF(E142="Draft",0,K142)</f>
        <v/>
      </c>
      <c r="M142" s="21">
        <f>ROUND(L142*IFERROR(VLOOKUP(I142,'Tax Codes'!$A$5:$E$300,5,FALSE),0),2)</f>
        <v/>
      </c>
      <c r="N142" s="21">
        <f>ROUND(L142*IFERROR(VLOOKUP(J142,'Tax Codes'!$A$5:$E$300,5,FALSE),0),2)</f>
        <v/>
      </c>
      <c r="O142" s="21">
        <f>L142+M142-N142</f>
        <v/>
      </c>
      <c r="P142" s="16">
        <f>IF(F142="",INDEX('Chart of Accounts'!$A$5:$A$3000,MATCH("ar",'Chart of Accounts'!$F$5:$F$3000,0)),F142&amp;"")</f>
        <v/>
      </c>
      <c r="Q142" s="16">
        <f>IF(G142="",INDEX('Chart of Accounts'!$A$5:$A$3000,MATCH("revenue",'Chart of Accounts'!$F$5:$F$3000,0)),G142&amp;"")</f>
        <v/>
      </c>
      <c r="R142" s="16">
        <f>INDEX('Chart of Accounts'!$A$5:$A$3000,MATCH("wht_receivable",'Chart of Accounts'!$F$5:$F$3000,0))</f>
        <v/>
      </c>
      <c r="S142" s="16">
        <f>INDEX('Chart of Accounts'!$A$5:$A$3000,MATCH("vat_output",'Chart of Accounts'!$F$5:$F$3000,0))</f>
        <v/>
      </c>
      <c r="T142" s="23">
        <f>IFERROR(INDEX('Chart of Accounts'!$C$5:$C$3000,MATCH(P142&amp;"",'Chart of Accounts'!$A$5:$A$3000,0))&amp;"|"&amp;INDEX('Chart of Accounts'!$D$5:$D$3000,MATCH(P142&amp;"",'Chart of Accounts'!$A$5:$A$3000,0)),"")</f>
        <v/>
      </c>
      <c r="U142" s="23">
        <f>IFERROR(INDEX('Chart of Accounts'!$C$5:$C$3000,MATCH(R142&amp;"",'Chart of Accounts'!$A$5:$A$3000,0))&amp;"|"&amp;INDEX('Chart of Accounts'!$D$5:$D$3000,MATCH(R142&amp;"",'Chart of Accounts'!$A$5:$A$3000,0)),"")</f>
        <v/>
      </c>
      <c r="V142" s="23">
        <f>IFERROR(INDEX('Chart of Accounts'!$C$5:$C$3000,MATCH(Q142&amp;"",'Chart of Accounts'!$A$5:$A$3000,0))&amp;"|"&amp;INDEX('Chart of Accounts'!$D$5:$D$3000,MATCH(Q142&amp;"",'Chart of Accounts'!$A$5:$A$3000,0)),"")</f>
        <v/>
      </c>
      <c r="W142" s="23">
        <f>IFERROR(INDEX('Chart of Accounts'!$C$5:$C$3000,MATCH(S142&amp;"",'Chart of Accounts'!$A$5:$A$3000,0))&amp;"|"&amp;INDEX('Chart of Accounts'!$D$5:$D$3000,MATCH(S142&amp;"",'Chart of Accounts'!$A$5:$A$3000,0)),"")</f>
        <v/>
      </c>
      <c r="X142" s="23">
        <f>IF(LEFT(T142,8)="Revenue|",-N(O142),0)+IF(LEFT(U142,8)="Revenue|",-N(N142),0)+IF(LEFT(V142,8)="Revenue|",N(L142),0)+IF(LEFT(W142,8)="Revenue|",N(M142),0)</f>
        <v/>
      </c>
      <c r="Y142" s="23">
        <f>IF(LEFT(T142,5)="COGS|",N(O142),0)+IF(LEFT(U142,5)="COGS|",N(N142),0)+IF(LEFT(V142,5)="COGS|",-N(L142),0)+IF(LEFT(W142,5)="COGS|",-N(M142),0)</f>
        <v/>
      </c>
      <c r="Z142" s="23">
        <f>IF(LEFT(T142,8)="Expense|",N(O142),0)+IF(LEFT(U142,8)="Expense|",N(N142),0)+IF(LEFT(V142,8)="Expense|",-N(L142),0)+IF(LEFT(W142,8)="Expense|",-N(M142),0)</f>
        <v/>
      </c>
      <c r="AA142" s="23">
        <f>IF(ISNUMBER(MATCH(T142,{"Expense|employee","Expense|general_admin","Expense|marketing","Expense|utilities","Expense|other_operating"},0)),N(O142),0)+IF(ISNUMBER(MATCH(U142,{"Expense|employee","Expense|general_admin","Expense|marketing","Expense|utilities","Expense|other_operating"},0)),N(N142),0)+IF(ISNUMBER(MATCH(V142,{"Expense|employee","Expense|general_admin","Expense|marketing","Expense|utilities","Expense|other_operating"},0)),-N(L142),0)+IF(ISNUMBER(MATCH(W142,{"Expense|employee","Expense|general_admin","Expense|marketing","Expense|utilities","Expense|other_operating"},0)),-N(M142),0)</f>
        <v/>
      </c>
      <c r="AB142" s="23">
        <f>IF(T142="Liability|payable",-N(O142),0)+IF(U142="Liability|payable",-N(N142),0)+IF(V142="Liability|payable",N(L142),0)+IF(W142="Liability|payable",N(M142),0)</f>
        <v/>
      </c>
      <c r="AC142" s="23">
        <f>IF(T142="Liability|accrued",-N(O142),0)+IF(U142="Liability|accrued",-N(N142),0)+IF(V142="Liability|accrued",N(L142),0)+IF(W142="Liability|accrued",N(M142),0)</f>
        <v/>
      </c>
      <c r="AD142" s="23">
        <f>IF(AND(N(O142)&lt;&gt;0,T142=""),1,0)+IF(AND(N(N142)&lt;&gt;0,U142=""),1,0)+IF(AND(N(L142)&lt;&gt;0,V142=""),1,0)+IF(AND(N(M142)&lt;&gt;0,W142=""),1,0)</f>
        <v/>
      </c>
    </row>
    <row r="143">
      <c r="A143" s="14" t="n"/>
      <c r="B143" s="19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21">
        <f>SUMIFS('Invoice Lines'!$I:$I,'Invoice Lines'!$A:$A,A143)</f>
        <v/>
      </c>
      <c r="L143" s="21">
        <f>IF(E143="Draft",0,K143)</f>
        <v/>
      </c>
      <c r="M143" s="21">
        <f>ROUND(L143*IFERROR(VLOOKUP(I143,'Tax Codes'!$A$5:$E$300,5,FALSE),0),2)</f>
        <v/>
      </c>
      <c r="N143" s="21">
        <f>ROUND(L143*IFERROR(VLOOKUP(J143,'Tax Codes'!$A$5:$E$300,5,FALSE),0),2)</f>
        <v/>
      </c>
      <c r="O143" s="21">
        <f>L143+M143-N143</f>
        <v/>
      </c>
      <c r="P143" s="16">
        <f>IF(F143="",INDEX('Chart of Accounts'!$A$5:$A$3000,MATCH("ar",'Chart of Accounts'!$F$5:$F$3000,0)),F143&amp;"")</f>
        <v/>
      </c>
      <c r="Q143" s="16">
        <f>IF(G143="",INDEX('Chart of Accounts'!$A$5:$A$3000,MATCH("revenue",'Chart of Accounts'!$F$5:$F$3000,0)),G143&amp;"")</f>
        <v/>
      </c>
      <c r="R143" s="16">
        <f>INDEX('Chart of Accounts'!$A$5:$A$3000,MATCH("wht_receivable",'Chart of Accounts'!$F$5:$F$3000,0))</f>
        <v/>
      </c>
      <c r="S143" s="16">
        <f>INDEX('Chart of Accounts'!$A$5:$A$3000,MATCH("vat_output",'Chart of Accounts'!$F$5:$F$3000,0))</f>
        <v/>
      </c>
      <c r="T143" s="23">
        <f>IFERROR(INDEX('Chart of Accounts'!$C$5:$C$3000,MATCH(P143&amp;"",'Chart of Accounts'!$A$5:$A$3000,0))&amp;"|"&amp;INDEX('Chart of Accounts'!$D$5:$D$3000,MATCH(P143&amp;"",'Chart of Accounts'!$A$5:$A$3000,0)),"")</f>
        <v/>
      </c>
      <c r="U143" s="23">
        <f>IFERROR(INDEX('Chart of Accounts'!$C$5:$C$3000,MATCH(R143&amp;"",'Chart of Accounts'!$A$5:$A$3000,0))&amp;"|"&amp;INDEX('Chart of Accounts'!$D$5:$D$3000,MATCH(R143&amp;"",'Chart of Accounts'!$A$5:$A$3000,0)),"")</f>
        <v/>
      </c>
      <c r="V143" s="23">
        <f>IFERROR(INDEX('Chart of Accounts'!$C$5:$C$3000,MATCH(Q143&amp;"",'Chart of Accounts'!$A$5:$A$3000,0))&amp;"|"&amp;INDEX('Chart of Accounts'!$D$5:$D$3000,MATCH(Q143&amp;"",'Chart of Accounts'!$A$5:$A$3000,0)),"")</f>
        <v/>
      </c>
      <c r="W143" s="23">
        <f>IFERROR(INDEX('Chart of Accounts'!$C$5:$C$3000,MATCH(S143&amp;"",'Chart of Accounts'!$A$5:$A$3000,0))&amp;"|"&amp;INDEX('Chart of Accounts'!$D$5:$D$3000,MATCH(S143&amp;"",'Chart of Accounts'!$A$5:$A$3000,0)),"")</f>
        <v/>
      </c>
      <c r="X143" s="23">
        <f>IF(LEFT(T143,8)="Revenue|",-N(O143),0)+IF(LEFT(U143,8)="Revenue|",-N(N143),0)+IF(LEFT(V143,8)="Revenue|",N(L143),0)+IF(LEFT(W143,8)="Revenue|",N(M143),0)</f>
        <v/>
      </c>
      <c r="Y143" s="23">
        <f>IF(LEFT(T143,5)="COGS|",N(O143),0)+IF(LEFT(U143,5)="COGS|",N(N143),0)+IF(LEFT(V143,5)="COGS|",-N(L143),0)+IF(LEFT(W143,5)="COGS|",-N(M143),0)</f>
        <v/>
      </c>
      <c r="Z143" s="23">
        <f>IF(LEFT(T143,8)="Expense|",N(O143),0)+IF(LEFT(U143,8)="Expense|",N(N143),0)+IF(LEFT(V143,8)="Expense|",-N(L143),0)+IF(LEFT(W143,8)="Expense|",-N(M143),0)</f>
        <v/>
      </c>
      <c r="AA143" s="23">
        <f>IF(ISNUMBER(MATCH(T143,{"Expense|employee","Expense|general_admin","Expense|marketing","Expense|utilities","Expense|other_operating"},0)),N(O143),0)+IF(ISNUMBER(MATCH(U143,{"Expense|employee","Expense|general_admin","Expense|marketing","Expense|utilities","Expense|other_operating"},0)),N(N143),0)+IF(ISNUMBER(MATCH(V143,{"Expense|employee","Expense|general_admin","Expense|marketing","Expense|utilities","Expense|other_operating"},0)),-N(L143),0)+IF(ISNUMBER(MATCH(W143,{"Expense|employee","Expense|general_admin","Expense|marketing","Expense|utilities","Expense|other_operating"},0)),-N(M143),0)</f>
        <v/>
      </c>
      <c r="AB143" s="23">
        <f>IF(T143="Liability|payable",-N(O143),0)+IF(U143="Liability|payable",-N(N143),0)+IF(V143="Liability|payable",N(L143),0)+IF(W143="Liability|payable",N(M143),0)</f>
        <v/>
      </c>
      <c r="AC143" s="23">
        <f>IF(T143="Liability|accrued",-N(O143),0)+IF(U143="Liability|accrued",-N(N143),0)+IF(V143="Liability|accrued",N(L143),0)+IF(W143="Liability|accrued",N(M143),0)</f>
        <v/>
      </c>
      <c r="AD143" s="23">
        <f>IF(AND(N(O143)&lt;&gt;0,T143=""),1,0)+IF(AND(N(N143)&lt;&gt;0,U143=""),1,0)+IF(AND(N(L143)&lt;&gt;0,V143=""),1,0)+IF(AND(N(M143)&lt;&gt;0,W143=""),1,0)</f>
        <v/>
      </c>
    </row>
    <row r="144">
      <c r="A144" s="14" t="n"/>
      <c r="B144" s="19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21">
        <f>SUMIFS('Invoice Lines'!$I:$I,'Invoice Lines'!$A:$A,A144)</f>
        <v/>
      </c>
      <c r="L144" s="21">
        <f>IF(E144="Draft",0,K144)</f>
        <v/>
      </c>
      <c r="M144" s="21">
        <f>ROUND(L144*IFERROR(VLOOKUP(I144,'Tax Codes'!$A$5:$E$300,5,FALSE),0),2)</f>
        <v/>
      </c>
      <c r="N144" s="21">
        <f>ROUND(L144*IFERROR(VLOOKUP(J144,'Tax Codes'!$A$5:$E$300,5,FALSE),0),2)</f>
        <v/>
      </c>
      <c r="O144" s="21">
        <f>L144+M144-N144</f>
        <v/>
      </c>
      <c r="P144" s="16">
        <f>IF(F144="",INDEX('Chart of Accounts'!$A$5:$A$3000,MATCH("ar",'Chart of Accounts'!$F$5:$F$3000,0)),F144&amp;"")</f>
        <v/>
      </c>
      <c r="Q144" s="16">
        <f>IF(G144="",INDEX('Chart of Accounts'!$A$5:$A$3000,MATCH("revenue",'Chart of Accounts'!$F$5:$F$3000,0)),G144&amp;"")</f>
        <v/>
      </c>
      <c r="R144" s="16">
        <f>INDEX('Chart of Accounts'!$A$5:$A$3000,MATCH("wht_receivable",'Chart of Accounts'!$F$5:$F$3000,0))</f>
        <v/>
      </c>
      <c r="S144" s="16">
        <f>INDEX('Chart of Accounts'!$A$5:$A$3000,MATCH("vat_output",'Chart of Accounts'!$F$5:$F$3000,0))</f>
        <v/>
      </c>
      <c r="T144" s="23">
        <f>IFERROR(INDEX('Chart of Accounts'!$C$5:$C$3000,MATCH(P144&amp;"",'Chart of Accounts'!$A$5:$A$3000,0))&amp;"|"&amp;INDEX('Chart of Accounts'!$D$5:$D$3000,MATCH(P144&amp;"",'Chart of Accounts'!$A$5:$A$3000,0)),"")</f>
        <v/>
      </c>
      <c r="U144" s="23">
        <f>IFERROR(INDEX('Chart of Accounts'!$C$5:$C$3000,MATCH(R144&amp;"",'Chart of Accounts'!$A$5:$A$3000,0))&amp;"|"&amp;INDEX('Chart of Accounts'!$D$5:$D$3000,MATCH(R144&amp;"",'Chart of Accounts'!$A$5:$A$3000,0)),"")</f>
        <v/>
      </c>
      <c r="V144" s="23">
        <f>IFERROR(INDEX('Chart of Accounts'!$C$5:$C$3000,MATCH(Q144&amp;"",'Chart of Accounts'!$A$5:$A$3000,0))&amp;"|"&amp;INDEX('Chart of Accounts'!$D$5:$D$3000,MATCH(Q144&amp;"",'Chart of Accounts'!$A$5:$A$3000,0)),"")</f>
        <v/>
      </c>
      <c r="W144" s="23">
        <f>IFERROR(INDEX('Chart of Accounts'!$C$5:$C$3000,MATCH(S144&amp;"",'Chart of Accounts'!$A$5:$A$3000,0))&amp;"|"&amp;INDEX('Chart of Accounts'!$D$5:$D$3000,MATCH(S144&amp;"",'Chart of Accounts'!$A$5:$A$3000,0)),"")</f>
        <v/>
      </c>
      <c r="X144" s="23">
        <f>IF(LEFT(T144,8)="Revenue|",-N(O144),0)+IF(LEFT(U144,8)="Revenue|",-N(N144),0)+IF(LEFT(V144,8)="Revenue|",N(L144),0)+IF(LEFT(W144,8)="Revenue|",N(M144),0)</f>
        <v/>
      </c>
      <c r="Y144" s="23">
        <f>IF(LEFT(T144,5)="COGS|",N(O144),0)+IF(LEFT(U144,5)="COGS|",N(N144),0)+IF(LEFT(V144,5)="COGS|",-N(L144),0)+IF(LEFT(W144,5)="COGS|",-N(M144),0)</f>
        <v/>
      </c>
      <c r="Z144" s="23">
        <f>IF(LEFT(T144,8)="Expense|",N(O144),0)+IF(LEFT(U144,8)="Expense|",N(N144),0)+IF(LEFT(V144,8)="Expense|",-N(L144),0)+IF(LEFT(W144,8)="Expense|",-N(M144),0)</f>
        <v/>
      </c>
      <c r="AA144" s="23">
        <f>IF(ISNUMBER(MATCH(T144,{"Expense|employee","Expense|general_admin","Expense|marketing","Expense|utilities","Expense|other_operating"},0)),N(O144),0)+IF(ISNUMBER(MATCH(U144,{"Expense|employee","Expense|general_admin","Expense|marketing","Expense|utilities","Expense|other_operating"},0)),N(N144),0)+IF(ISNUMBER(MATCH(V144,{"Expense|employee","Expense|general_admin","Expense|marketing","Expense|utilities","Expense|other_operating"},0)),-N(L144),0)+IF(ISNUMBER(MATCH(W144,{"Expense|employee","Expense|general_admin","Expense|marketing","Expense|utilities","Expense|other_operating"},0)),-N(M144),0)</f>
        <v/>
      </c>
      <c r="AB144" s="23">
        <f>IF(T144="Liability|payable",-N(O144),0)+IF(U144="Liability|payable",-N(N144),0)+IF(V144="Liability|payable",N(L144),0)+IF(W144="Liability|payable",N(M144),0)</f>
        <v/>
      </c>
      <c r="AC144" s="23">
        <f>IF(T144="Liability|accrued",-N(O144),0)+IF(U144="Liability|accrued",-N(N144),0)+IF(V144="Liability|accrued",N(L144),0)+IF(W144="Liability|accrued",N(M144),0)</f>
        <v/>
      </c>
      <c r="AD144" s="23">
        <f>IF(AND(N(O144)&lt;&gt;0,T144=""),1,0)+IF(AND(N(N144)&lt;&gt;0,U144=""),1,0)+IF(AND(N(L144)&lt;&gt;0,V144=""),1,0)+IF(AND(N(M144)&lt;&gt;0,W144=""),1,0)</f>
        <v/>
      </c>
    </row>
    <row r="145">
      <c r="A145" s="14" t="n"/>
      <c r="B145" s="19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21">
        <f>SUMIFS('Invoice Lines'!$I:$I,'Invoice Lines'!$A:$A,A145)</f>
        <v/>
      </c>
      <c r="L145" s="21">
        <f>IF(E145="Draft",0,K145)</f>
        <v/>
      </c>
      <c r="M145" s="21">
        <f>ROUND(L145*IFERROR(VLOOKUP(I145,'Tax Codes'!$A$5:$E$300,5,FALSE),0),2)</f>
        <v/>
      </c>
      <c r="N145" s="21">
        <f>ROUND(L145*IFERROR(VLOOKUP(J145,'Tax Codes'!$A$5:$E$300,5,FALSE),0),2)</f>
        <v/>
      </c>
      <c r="O145" s="21">
        <f>L145+M145-N145</f>
        <v/>
      </c>
      <c r="P145" s="16">
        <f>IF(F145="",INDEX('Chart of Accounts'!$A$5:$A$3000,MATCH("ar",'Chart of Accounts'!$F$5:$F$3000,0)),F145&amp;"")</f>
        <v/>
      </c>
      <c r="Q145" s="16">
        <f>IF(G145="",INDEX('Chart of Accounts'!$A$5:$A$3000,MATCH("revenue",'Chart of Accounts'!$F$5:$F$3000,0)),G145&amp;"")</f>
        <v/>
      </c>
      <c r="R145" s="16">
        <f>INDEX('Chart of Accounts'!$A$5:$A$3000,MATCH("wht_receivable",'Chart of Accounts'!$F$5:$F$3000,0))</f>
        <v/>
      </c>
      <c r="S145" s="16">
        <f>INDEX('Chart of Accounts'!$A$5:$A$3000,MATCH("vat_output",'Chart of Accounts'!$F$5:$F$3000,0))</f>
        <v/>
      </c>
      <c r="T145" s="23">
        <f>IFERROR(INDEX('Chart of Accounts'!$C$5:$C$3000,MATCH(P145&amp;"",'Chart of Accounts'!$A$5:$A$3000,0))&amp;"|"&amp;INDEX('Chart of Accounts'!$D$5:$D$3000,MATCH(P145&amp;"",'Chart of Accounts'!$A$5:$A$3000,0)),"")</f>
        <v/>
      </c>
      <c r="U145" s="23">
        <f>IFERROR(INDEX('Chart of Accounts'!$C$5:$C$3000,MATCH(R145&amp;"",'Chart of Accounts'!$A$5:$A$3000,0))&amp;"|"&amp;INDEX('Chart of Accounts'!$D$5:$D$3000,MATCH(R145&amp;"",'Chart of Accounts'!$A$5:$A$3000,0)),"")</f>
        <v/>
      </c>
      <c r="V145" s="23">
        <f>IFERROR(INDEX('Chart of Accounts'!$C$5:$C$3000,MATCH(Q145&amp;"",'Chart of Accounts'!$A$5:$A$3000,0))&amp;"|"&amp;INDEX('Chart of Accounts'!$D$5:$D$3000,MATCH(Q145&amp;"",'Chart of Accounts'!$A$5:$A$3000,0)),"")</f>
        <v/>
      </c>
      <c r="W145" s="23">
        <f>IFERROR(INDEX('Chart of Accounts'!$C$5:$C$3000,MATCH(S145&amp;"",'Chart of Accounts'!$A$5:$A$3000,0))&amp;"|"&amp;INDEX('Chart of Accounts'!$D$5:$D$3000,MATCH(S145&amp;"",'Chart of Accounts'!$A$5:$A$3000,0)),"")</f>
        <v/>
      </c>
      <c r="X145" s="23">
        <f>IF(LEFT(T145,8)="Revenue|",-N(O145),0)+IF(LEFT(U145,8)="Revenue|",-N(N145),0)+IF(LEFT(V145,8)="Revenue|",N(L145),0)+IF(LEFT(W145,8)="Revenue|",N(M145),0)</f>
        <v/>
      </c>
      <c r="Y145" s="23">
        <f>IF(LEFT(T145,5)="COGS|",N(O145),0)+IF(LEFT(U145,5)="COGS|",N(N145),0)+IF(LEFT(V145,5)="COGS|",-N(L145),0)+IF(LEFT(W145,5)="COGS|",-N(M145),0)</f>
        <v/>
      </c>
      <c r="Z145" s="23">
        <f>IF(LEFT(T145,8)="Expense|",N(O145),0)+IF(LEFT(U145,8)="Expense|",N(N145),0)+IF(LEFT(V145,8)="Expense|",-N(L145),0)+IF(LEFT(W145,8)="Expense|",-N(M145),0)</f>
        <v/>
      </c>
      <c r="AA145" s="23">
        <f>IF(ISNUMBER(MATCH(T145,{"Expense|employee","Expense|general_admin","Expense|marketing","Expense|utilities","Expense|other_operating"},0)),N(O145),0)+IF(ISNUMBER(MATCH(U145,{"Expense|employee","Expense|general_admin","Expense|marketing","Expense|utilities","Expense|other_operating"},0)),N(N145),0)+IF(ISNUMBER(MATCH(V145,{"Expense|employee","Expense|general_admin","Expense|marketing","Expense|utilities","Expense|other_operating"},0)),-N(L145),0)+IF(ISNUMBER(MATCH(W145,{"Expense|employee","Expense|general_admin","Expense|marketing","Expense|utilities","Expense|other_operating"},0)),-N(M145),0)</f>
        <v/>
      </c>
      <c r="AB145" s="23">
        <f>IF(T145="Liability|payable",-N(O145),0)+IF(U145="Liability|payable",-N(N145),0)+IF(V145="Liability|payable",N(L145),0)+IF(W145="Liability|payable",N(M145),0)</f>
        <v/>
      </c>
      <c r="AC145" s="23">
        <f>IF(T145="Liability|accrued",-N(O145),0)+IF(U145="Liability|accrued",-N(N145),0)+IF(V145="Liability|accrued",N(L145),0)+IF(W145="Liability|accrued",N(M145),0)</f>
        <v/>
      </c>
      <c r="AD145" s="23">
        <f>IF(AND(N(O145)&lt;&gt;0,T145=""),1,0)+IF(AND(N(N145)&lt;&gt;0,U145=""),1,0)+IF(AND(N(L145)&lt;&gt;0,V145=""),1,0)+IF(AND(N(M145)&lt;&gt;0,W145=""),1,0)</f>
        <v/>
      </c>
    </row>
    <row r="146">
      <c r="A146" s="14" t="n"/>
      <c r="B146" s="19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21">
        <f>SUMIFS('Invoice Lines'!$I:$I,'Invoice Lines'!$A:$A,A146)</f>
        <v/>
      </c>
      <c r="L146" s="21">
        <f>IF(E146="Draft",0,K146)</f>
        <v/>
      </c>
      <c r="M146" s="21">
        <f>ROUND(L146*IFERROR(VLOOKUP(I146,'Tax Codes'!$A$5:$E$300,5,FALSE),0),2)</f>
        <v/>
      </c>
      <c r="N146" s="21">
        <f>ROUND(L146*IFERROR(VLOOKUP(J146,'Tax Codes'!$A$5:$E$300,5,FALSE),0),2)</f>
        <v/>
      </c>
      <c r="O146" s="21">
        <f>L146+M146-N146</f>
        <v/>
      </c>
      <c r="P146" s="16">
        <f>IF(F146="",INDEX('Chart of Accounts'!$A$5:$A$3000,MATCH("ar",'Chart of Accounts'!$F$5:$F$3000,0)),F146&amp;"")</f>
        <v/>
      </c>
      <c r="Q146" s="16">
        <f>IF(G146="",INDEX('Chart of Accounts'!$A$5:$A$3000,MATCH("revenue",'Chart of Accounts'!$F$5:$F$3000,0)),G146&amp;"")</f>
        <v/>
      </c>
      <c r="R146" s="16">
        <f>INDEX('Chart of Accounts'!$A$5:$A$3000,MATCH("wht_receivable",'Chart of Accounts'!$F$5:$F$3000,0))</f>
        <v/>
      </c>
      <c r="S146" s="16">
        <f>INDEX('Chart of Accounts'!$A$5:$A$3000,MATCH("vat_output",'Chart of Accounts'!$F$5:$F$3000,0))</f>
        <v/>
      </c>
      <c r="T146" s="23">
        <f>IFERROR(INDEX('Chart of Accounts'!$C$5:$C$3000,MATCH(P146&amp;"",'Chart of Accounts'!$A$5:$A$3000,0))&amp;"|"&amp;INDEX('Chart of Accounts'!$D$5:$D$3000,MATCH(P146&amp;"",'Chart of Accounts'!$A$5:$A$3000,0)),"")</f>
        <v/>
      </c>
      <c r="U146" s="23">
        <f>IFERROR(INDEX('Chart of Accounts'!$C$5:$C$3000,MATCH(R146&amp;"",'Chart of Accounts'!$A$5:$A$3000,0))&amp;"|"&amp;INDEX('Chart of Accounts'!$D$5:$D$3000,MATCH(R146&amp;"",'Chart of Accounts'!$A$5:$A$3000,0)),"")</f>
        <v/>
      </c>
      <c r="V146" s="23">
        <f>IFERROR(INDEX('Chart of Accounts'!$C$5:$C$3000,MATCH(Q146&amp;"",'Chart of Accounts'!$A$5:$A$3000,0))&amp;"|"&amp;INDEX('Chart of Accounts'!$D$5:$D$3000,MATCH(Q146&amp;"",'Chart of Accounts'!$A$5:$A$3000,0)),"")</f>
        <v/>
      </c>
      <c r="W146" s="23">
        <f>IFERROR(INDEX('Chart of Accounts'!$C$5:$C$3000,MATCH(S146&amp;"",'Chart of Accounts'!$A$5:$A$3000,0))&amp;"|"&amp;INDEX('Chart of Accounts'!$D$5:$D$3000,MATCH(S146&amp;"",'Chart of Accounts'!$A$5:$A$3000,0)),"")</f>
        <v/>
      </c>
      <c r="X146" s="23">
        <f>IF(LEFT(T146,8)="Revenue|",-N(O146),0)+IF(LEFT(U146,8)="Revenue|",-N(N146),0)+IF(LEFT(V146,8)="Revenue|",N(L146),0)+IF(LEFT(W146,8)="Revenue|",N(M146),0)</f>
        <v/>
      </c>
      <c r="Y146" s="23">
        <f>IF(LEFT(T146,5)="COGS|",N(O146),0)+IF(LEFT(U146,5)="COGS|",N(N146),0)+IF(LEFT(V146,5)="COGS|",-N(L146),0)+IF(LEFT(W146,5)="COGS|",-N(M146),0)</f>
        <v/>
      </c>
      <c r="Z146" s="23">
        <f>IF(LEFT(T146,8)="Expense|",N(O146),0)+IF(LEFT(U146,8)="Expense|",N(N146),0)+IF(LEFT(V146,8)="Expense|",-N(L146),0)+IF(LEFT(W146,8)="Expense|",-N(M146),0)</f>
        <v/>
      </c>
      <c r="AA146" s="23">
        <f>IF(ISNUMBER(MATCH(T146,{"Expense|employee","Expense|general_admin","Expense|marketing","Expense|utilities","Expense|other_operating"},0)),N(O146),0)+IF(ISNUMBER(MATCH(U146,{"Expense|employee","Expense|general_admin","Expense|marketing","Expense|utilities","Expense|other_operating"},0)),N(N146),0)+IF(ISNUMBER(MATCH(V146,{"Expense|employee","Expense|general_admin","Expense|marketing","Expense|utilities","Expense|other_operating"},0)),-N(L146),0)+IF(ISNUMBER(MATCH(W146,{"Expense|employee","Expense|general_admin","Expense|marketing","Expense|utilities","Expense|other_operating"},0)),-N(M146),0)</f>
        <v/>
      </c>
      <c r="AB146" s="23">
        <f>IF(T146="Liability|payable",-N(O146),0)+IF(U146="Liability|payable",-N(N146),0)+IF(V146="Liability|payable",N(L146),0)+IF(W146="Liability|payable",N(M146),0)</f>
        <v/>
      </c>
      <c r="AC146" s="23">
        <f>IF(T146="Liability|accrued",-N(O146),0)+IF(U146="Liability|accrued",-N(N146),0)+IF(V146="Liability|accrued",N(L146),0)+IF(W146="Liability|accrued",N(M146),0)</f>
        <v/>
      </c>
      <c r="AD146" s="23">
        <f>IF(AND(N(O146)&lt;&gt;0,T146=""),1,0)+IF(AND(N(N146)&lt;&gt;0,U146=""),1,0)+IF(AND(N(L146)&lt;&gt;0,V146=""),1,0)+IF(AND(N(M146)&lt;&gt;0,W146=""),1,0)</f>
        <v/>
      </c>
    </row>
    <row r="147">
      <c r="A147" s="14" t="n"/>
      <c r="B147" s="19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21">
        <f>SUMIFS('Invoice Lines'!$I:$I,'Invoice Lines'!$A:$A,A147)</f>
        <v/>
      </c>
      <c r="L147" s="21">
        <f>IF(E147="Draft",0,K147)</f>
        <v/>
      </c>
      <c r="M147" s="21">
        <f>ROUND(L147*IFERROR(VLOOKUP(I147,'Tax Codes'!$A$5:$E$300,5,FALSE),0),2)</f>
        <v/>
      </c>
      <c r="N147" s="21">
        <f>ROUND(L147*IFERROR(VLOOKUP(J147,'Tax Codes'!$A$5:$E$300,5,FALSE),0),2)</f>
        <v/>
      </c>
      <c r="O147" s="21">
        <f>L147+M147-N147</f>
        <v/>
      </c>
      <c r="P147" s="16">
        <f>IF(F147="",INDEX('Chart of Accounts'!$A$5:$A$3000,MATCH("ar",'Chart of Accounts'!$F$5:$F$3000,0)),F147&amp;"")</f>
        <v/>
      </c>
      <c r="Q147" s="16">
        <f>IF(G147="",INDEX('Chart of Accounts'!$A$5:$A$3000,MATCH("revenue",'Chart of Accounts'!$F$5:$F$3000,0)),G147&amp;"")</f>
        <v/>
      </c>
      <c r="R147" s="16">
        <f>INDEX('Chart of Accounts'!$A$5:$A$3000,MATCH("wht_receivable",'Chart of Accounts'!$F$5:$F$3000,0))</f>
        <v/>
      </c>
      <c r="S147" s="16">
        <f>INDEX('Chart of Accounts'!$A$5:$A$3000,MATCH("vat_output",'Chart of Accounts'!$F$5:$F$3000,0))</f>
        <v/>
      </c>
      <c r="T147" s="23">
        <f>IFERROR(INDEX('Chart of Accounts'!$C$5:$C$3000,MATCH(P147&amp;"",'Chart of Accounts'!$A$5:$A$3000,0))&amp;"|"&amp;INDEX('Chart of Accounts'!$D$5:$D$3000,MATCH(P147&amp;"",'Chart of Accounts'!$A$5:$A$3000,0)),"")</f>
        <v/>
      </c>
      <c r="U147" s="23">
        <f>IFERROR(INDEX('Chart of Accounts'!$C$5:$C$3000,MATCH(R147&amp;"",'Chart of Accounts'!$A$5:$A$3000,0))&amp;"|"&amp;INDEX('Chart of Accounts'!$D$5:$D$3000,MATCH(R147&amp;"",'Chart of Accounts'!$A$5:$A$3000,0)),"")</f>
        <v/>
      </c>
      <c r="V147" s="23">
        <f>IFERROR(INDEX('Chart of Accounts'!$C$5:$C$3000,MATCH(Q147&amp;"",'Chart of Accounts'!$A$5:$A$3000,0))&amp;"|"&amp;INDEX('Chart of Accounts'!$D$5:$D$3000,MATCH(Q147&amp;"",'Chart of Accounts'!$A$5:$A$3000,0)),"")</f>
        <v/>
      </c>
      <c r="W147" s="23">
        <f>IFERROR(INDEX('Chart of Accounts'!$C$5:$C$3000,MATCH(S147&amp;"",'Chart of Accounts'!$A$5:$A$3000,0))&amp;"|"&amp;INDEX('Chart of Accounts'!$D$5:$D$3000,MATCH(S147&amp;"",'Chart of Accounts'!$A$5:$A$3000,0)),"")</f>
        <v/>
      </c>
      <c r="X147" s="23">
        <f>IF(LEFT(T147,8)="Revenue|",-N(O147),0)+IF(LEFT(U147,8)="Revenue|",-N(N147),0)+IF(LEFT(V147,8)="Revenue|",N(L147),0)+IF(LEFT(W147,8)="Revenue|",N(M147),0)</f>
        <v/>
      </c>
      <c r="Y147" s="23">
        <f>IF(LEFT(T147,5)="COGS|",N(O147),0)+IF(LEFT(U147,5)="COGS|",N(N147),0)+IF(LEFT(V147,5)="COGS|",-N(L147),0)+IF(LEFT(W147,5)="COGS|",-N(M147),0)</f>
        <v/>
      </c>
      <c r="Z147" s="23">
        <f>IF(LEFT(T147,8)="Expense|",N(O147),0)+IF(LEFT(U147,8)="Expense|",N(N147),0)+IF(LEFT(V147,8)="Expense|",-N(L147),0)+IF(LEFT(W147,8)="Expense|",-N(M147),0)</f>
        <v/>
      </c>
      <c r="AA147" s="23">
        <f>IF(ISNUMBER(MATCH(T147,{"Expense|employee","Expense|general_admin","Expense|marketing","Expense|utilities","Expense|other_operating"},0)),N(O147),0)+IF(ISNUMBER(MATCH(U147,{"Expense|employee","Expense|general_admin","Expense|marketing","Expense|utilities","Expense|other_operating"},0)),N(N147),0)+IF(ISNUMBER(MATCH(V147,{"Expense|employee","Expense|general_admin","Expense|marketing","Expense|utilities","Expense|other_operating"},0)),-N(L147),0)+IF(ISNUMBER(MATCH(W147,{"Expense|employee","Expense|general_admin","Expense|marketing","Expense|utilities","Expense|other_operating"},0)),-N(M147),0)</f>
        <v/>
      </c>
      <c r="AB147" s="23">
        <f>IF(T147="Liability|payable",-N(O147),0)+IF(U147="Liability|payable",-N(N147),0)+IF(V147="Liability|payable",N(L147),0)+IF(W147="Liability|payable",N(M147),0)</f>
        <v/>
      </c>
      <c r="AC147" s="23">
        <f>IF(T147="Liability|accrued",-N(O147),0)+IF(U147="Liability|accrued",-N(N147),0)+IF(V147="Liability|accrued",N(L147),0)+IF(W147="Liability|accrued",N(M147),0)</f>
        <v/>
      </c>
      <c r="AD147" s="23">
        <f>IF(AND(N(O147)&lt;&gt;0,T147=""),1,0)+IF(AND(N(N147)&lt;&gt;0,U147=""),1,0)+IF(AND(N(L147)&lt;&gt;0,V147=""),1,0)+IF(AND(N(M147)&lt;&gt;0,W147=""),1,0)</f>
        <v/>
      </c>
    </row>
    <row r="148">
      <c r="A148" s="14" t="n"/>
      <c r="B148" s="19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21">
        <f>SUMIFS('Invoice Lines'!$I:$I,'Invoice Lines'!$A:$A,A148)</f>
        <v/>
      </c>
      <c r="L148" s="21">
        <f>IF(E148="Draft",0,K148)</f>
        <v/>
      </c>
      <c r="M148" s="21">
        <f>ROUND(L148*IFERROR(VLOOKUP(I148,'Tax Codes'!$A$5:$E$300,5,FALSE),0),2)</f>
        <v/>
      </c>
      <c r="N148" s="21">
        <f>ROUND(L148*IFERROR(VLOOKUP(J148,'Tax Codes'!$A$5:$E$300,5,FALSE),0),2)</f>
        <v/>
      </c>
      <c r="O148" s="21">
        <f>L148+M148-N148</f>
        <v/>
      </c>
      <c r="P148" s="16">
        <f>IF(F148="",INDEX('Chart of Accounts'!$A$5:$A$3000,MATCH("ar",'Chart of Accounts'!$F$5:$F$3000,0)),F148&amp;"")</f>
        <v/>
      </c>
      <c r="Q148" s="16">
        <f>IF(G148="",INDEX('Chart of Accounts'!$A$5:$A$3000,MATCH("revenue",'Chart of Accounts'!$F$5:$F$3000,0)),G148&amp;"")</f>
        <v/>
      </c>
      <c r="R148" s="16">
        <f>INDEX('Chart of Accounts'!$A$5:$A$3000,MATCH("wht_receivable",'Chart of Accounts'!$F$5:$F$3000,0))</f>
        <v/>
      </c>
      <c r="S148" s="16">
        <f>INDEX('Chart of Accounts'!$A$5:$A$3000,MATCH("vat_output",'Chart of Accounts'!$F$5:$F$3000,0))</f>
        <v/>
      </c>
      <c r="T148" s="23">
        <f>IFERROR(INDEX('Chart of Accounts'!$C$5:$C$3000,MATCH(P148&amp;"",'Chart of Accounts'!$A$5:$A$3000,0))&amp;"|"&amp;INDEX('Chart of Accounts'!$D$5:$D$3000,MATCH(P148&amp;"",'Chart of Accounts'!$A$5:$A$3000,0)),"")</f>
        <v/>
      </c>
      <c r="U148" s="23">
        <f>IFERROR(INDEX('Chart of Accounts'!$C$5:$C$3000,MATCH(R148&amp;"",'Chart of Accounts'!$A$5:$A$3000,0))&amp;"|"&amp;INDEX('Chart of Accounts'!$D$5:$D$3000,MATCH(R148&amp;"",'Chart of Accounts'!$A$5:$A$3000,0)),"")</f>
        <v/>
      </c>
      <c r="V148" s="23">
        <f>IFERROR(INDEX('Chart of Accounts'!$C$5:$C$3000,MATCH(Q148&amp;"",'Chart of Accounts'!$A$5:$A$3000,0))&amp;"|"&amp;INDEX('Chart of Accounts'!$D$5:$D$3000,MATCH(Q148&amp;"",'Chart of Accounts'!$A$5:$A$3000,0)),"")</f>
        <v/>
      </c>
      <c r="W148" s="23">
        <f>IFERROR(INDEX('Chart of Accounts'!$C$5:$C$3000,MATCH(S148&amp;"",'Chart of Accounts'!$A$5:$A$3000,0))&amp;"|"&amp;INDEX('Chart of Accounts'!$D$5:$D$3000,MATCH(S148&amp;"",'Chart of Accounts'!$A$5:$A$3000,0)),"")</f>
        <v/>
      </c>
      <c r="X148" s="23">
        <f>IF(LEFT(T148,8)="Revenue|",-N(O148),0)+IF(LEFT(U148,8)="Revenue|",-N(N148),0)+IF(LEFT(V148,8)="Revenue|",N(L148),0)+IF(LEFT(W148,8)="Revenue|",N(M148),0)</f>
        <v/>
      </c>
      <c r="Y148" s="23">
        <f>IF(LEFT(T148,5)="COGS|",N(O148),0)+IF(LEFT(U148,5)="COGS|",N(N148),0)+IF(LEFT(V148,5)="COGS|",-N(L148),0)+IF(LEFT(W148,5)="COGS|",-N(M148),0)</f>
        <v/>
      </c>
      <c r="Z148" s="23">
        <f>IF(LEFT(T148,8)="Expense|",N(O148),0)+IF(LEFT(U148,8)="Expense|",N(N148),0)+IF(LEFT(V148,8)="Expense|",-N(L148),0)+IF(LEFT(W148,8)="Expense|",-N(M148),0)</f>
        <v/>
      </c>
      <c r="AA148" s="23">
        <f>IF(ISNUMBER(MATCH(T148,{"Expense|employee","Expense|general_admin","Expense|marketing","Expense|utilities","Expense|other_operating"},0)),N(O148),0)+IF(ISNUMBER(MATCH(U148,{"Expense|employee","Expense|general_admin","Expense|marketing","Expense|utilities","Expense|other_operating"},0)),N(N148),0)+IF(ISNUMBER(MATCH(V148,{"Expense|employee","Expense|general_admin","Expense|marketing","Expense|utilities","Expense|other_operating"},0)),-N(L148),0)+IF(ISNUMBER(MATCH(W148,{"Expense|employee","Expense|general_admin","Expense|marketing","Expense|utilities","Expense|other_operating"},0)),-N(M148),0)</f>
        <v/>
      </c>
      <c r="AB148" s="23">
        <f>IF(T148="Liability|payable",-N(O148),0)+IF(U148="Liability|payable",-N(N148),0)+IF(V148="Liability|payable",N(L148),0)+IF(W148="Liability|payable",N(M148),0)</f>
        <v/>
      </c>
      <c r="AC148" s="23">
        <f>IF(T148="Liability|accrued",-N(O148),0)+IF(U148="Liability|accrued",-N(N148),0)+IF(V148="Liability|accrued",N(L148),0)+IF(W148="Liability|accrued",N(M148),0)</f>
        <v/>
      </c>
      <c r="AD148" s="23">
        <f>IF(AND(N(O148)&lt;&gt;0,T148=""),1,0)+IF(AND(N(N148)&lt;&gt;0,U148=""),1,0)+IF(AND(N(L148)&lt;&gt;0,V148=""),1,0)+IF(AND(N(M148)&lt;&gt;0,W148=""),1,0)</f>
        <v/>
      </c>
    </row>
    <row r="149">
      <c r="A149" s="14" t="n"/>
      <c r="B149" s="19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21">
        <f>SUMIFS('Invoice Lines'!$I:$I,'Invoice Lines'!$A:$A,A149)</f>
        <v/>
      </c>
      <c r="L149" s="21">
        <f>IF(E149="Draft",0,K149)</f>
        <v/>
      </c>
      <c r="M149" s="21">
        <f>ROUND(L149*IFERROR(VLOOKUP(I149,'Tax Codes'!$A$5:$E$300,5,FALSE),0),2)</f>
        <v/>
      </c>
      <c r="N149" s="21">
        <f>ROUND(L149*IFERROR(VLOOKUP(J149,'Tax Codes'!$A$5:$E$300,5,FALSE),0),2)</f>
        <v/>
      </c>
      <c r="O149" s="21">
        <f>L149+M149-N149</f>
        <v/>
      </c>
      <c r="P149" s="16">
        <f>IF(F149="",INDEX('Chart of Accounts'!$A$5:$A$3000,MATCH("ar",'Chart of Accounts'!$F$5:$F$3000,0)),F149&amp;"")</f>
        <v/>
      </c>
      <c r="Q149" s="16">
        <f>IF(G149="",INDEX('Chart of Accounts'!$A$5:$A$3000,MATCH("revenue",'Chart of Accounts'!$F$5:$F$3000,0)),G149&amp;"")</f>
        <v/>
      </c>
      <c r="R149" s="16">
        <f>INDEX('Chart of Accounts'!$A$5:$A$3000,MATCH("wht_receivable",'Chart of Accounts'!$F$5:$F$3000,0))</f>
        <v/>
      </c>
      <c r="S149" s="16">
        <f>INDEX('Chart of Accounts'!$A$5:$A$3000,MATCH("vat_output",'Chart of Accounts'!$F$5:$F$3000,0))</f>
        <v/>
      </c>
      <c r="T149" s="23">
        <f>IFERROR(INDEX('Chart of Accounts'!$C$5:$C$3000,MATCH(P149&amp;"",'Chart of Accounts'!$A$5:$A$3000,0))&amp;"|"&amp;INDEX('Chart of Accounts'!$D$5:$D$3000,MATCH(P149&amp;"",'Chart of Accounts'!$A$5:$A$3000,0)),"")</f>
        <v/>
      </c>
      <c r="U149" s="23">
        <f>IFERROR(INDEX('Chart of Accounts'!$C$5:$C$3000,MATCH(R149&amp;"",'Chart of Accounts'!$A$5:$A$3000,0))&amp;"|"&amp;INDEX('Chart of Accounts'!$D$5:$D$3000,MATCH(R149&amp;"",'Chart of Accounts'!$A$5:$A$3000,0)),"")</f>
        <v/>
      </c>
      <c r="V149" s="23">
        <f>IFERROR(INDEX('Chart of Accounts'!$C$5:$C$3000,MATCH(Q149&amp;"",'Chart of Accounts'!$A$5:$A$3000,0))&amp;"|"&amp;INDEX('Chart of Accounts'!$D$5:$D$3000,MATCH(Q149&amp;"",'Chart of Accounts'!$A$5:$A$3000,0)),"")</f>
        <v/>
      </c>
      <c r="W149" s="23">
        <f>IFERROR(INDEX('Chart of Accounts'!$C$5:$C$3000,MATCH(S149&amp;"",'Chart of Accounts'!$A$5:$A$3000,0))&amp;"|"&amp;INDEX('Chart of Accounts'!$D$5:$D$3000,MATCH(S149&amp;"",'Chart of Accounts'!$A$5:$A$3000,0)),"")</f>
        <v/>
      </c>
      <c r="X149" s="23">
        <f>IF(LEFT(T149,8)="Revenue|",-N(O149),0)+IF(LEFT(U149,8)="Revenue|",-N(N149),0)+IF(LEFT(V149,8)="Revenue|",N(L149),0)+IF(LEFT(W149,8)="Revenue|",N(M149),0)</f>
        <v/>
      </c>
      <c r="Y149" s="23">
        <f>IF(LEFT(T149,5)="COGS|",N(O149),0)+IF(LEFT(U149,5)="COGS|",N(N149),0)+IF(LEFT(V149,5)="COGS|",-N(L149),0)+IF(LEFT(W149,5)="COGS|",-N(M149),0)</f>
        <v/>
      </c>
      <c r="Z149" s="23">
        <f>IF(LEFT(T149,8)="Expense|",N(O149),0)+IF(LEFT(U149,8)="Expense|",N(N149),0)+IF(LEFT(V149,8)="Expense|",-N(L149),0)+IF(LEFT(W149,8)="Expense|",-N(M149),0)</f>
        <v/>
      </c>
      <c r="AA149" s="23">
        <f>IF(ISNUMBER(MATCH(T149,{"Expense|employee","Expense|general_admin","Expense|marketing","Expense|utilities","Expense|other_operating"},0)),N(O149),0)+IF(ISNUMBER(MATCH(U149,{"Expense|employee","Expense|general_admin","Expense|marketing","Expense|utilities","Expense|other_operating"},0)),N(N149),0)+IF(ISNUMBER(MATCH(V149,{"Expense|employee","Expense|general_admin","Expense|marketing","Expense|utilities","Expense|other_operating"},0)),-N(L149),0)+IF(ISNUMBER(MATCH(W149,{"Expense|employee","Expense|general_admin","Expense|marketing","Expense|utilities","Expense|other_operating"},0)),-N(M149),0)</f>
        <v/>
      </c>
      <c r="AB149" s="23">
        <f>IF(T149="Liability|payable",-N(O149),0)+IF(U149="Liability|payable",-N(N149),0)+IF(V149="Liability|payable",N(L149),0)+IF(W149="Liability|payable",N(M149),0)</f>
        <v/>
      </c>
      <c r="AC149" s="23">
        <f>IF(T149="Liability|accrued",-N(O149),0)+IF(U149="Liability|accrued",-N(N149),0)+IF(V149="Liability|accrued",N(L149),0)+IF(W149="Liability|accrued",N(M149),0)</f>
        <v/>
      </c>
      <c r="AD149" s="23">
        <f>IF(AND(N(O149)&lt;&gt;0,T149=""),1,0)+IF(AND(N(N149)&lt;&gt;0,U149=""),1,0)+IF(AND(N(L149)&lt;&gt;0,V149=""),1,0)+IF(AND(N(M149)&lt;&gt;0,W149=""),1,0)</f>
        <v/>
      </c>
    </row>
    <row r="150">
      <c r="A150" s="14" t="n"/>
      <c r="B150" s="19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21">
        <f>SUMIFS('Invoice Lines'!$I:$I,'Invoice Lines'!$A:$A,A150)</f>
        <v/>
      </c>
      <c r="L150" s="21">
        <f>IF(E150="Draft",0,K150)</f>
        <v/>
      </c>
      <c r="M150" s="21">
        <f>ROUND(L150*IFERROR(VLOOKUP(I150,'Tax Codes'!$A$5:$E$300,5,FALSE),0),2)</f>
        <v/>
      </c>
      <c r="N150" s="21">
        <f>ROUND(L150*IFERROR(VLOOKUP(J150,'Tax Codes'!$A$5:$E$300,5,FALSE),0),2)</f>
        <v/>
      </c>
      <c r="O150" s="21">
        <f>L150+M150-N150</f>
        <v/>
      </c>
      <c r="P150" s="16">
        <f>IF(F150="",INDEX('Chart of Accounts'!$A$5:$A$3000,MATCH("ar",'Chart of Accounts'!$F$5:$F$3000,0)),F150&amp;"")</f>
        <v/>
      </c>
      <c r="Q150" s="16">
        <f>IF(G150="",INDEX('Chart of Accounts'!$A$5:$A$3000,MATCH("revenue",'Chart of Accounts'!$F$5:$F$3000,0)),G150&amp;"")</f>
        <v/>
      </c>
      <c r="R150" s="16">
        <f>INDEX('Chart of Accounts'!$A$5:$A$3000,MATCH("wht_receivable",'Chart of Accounts'!$F$5:$F$3000,0))</f>
        <v/>
      </c>
      <c r="S150" s="16">
        <f>INDEX('Chart of Accounts'!$A$5:$A$3000,MATCH("vat_output",'Chart of Accounts'!$F$5:$F$3000,0))</f>
        <v/>
      </c>
      <c r="T150" s="23">
        <f>IFERROR(INDEX('Chart of Accounts'!$C$5:$C$3000,MATCH(P150&amp;"",'Chart of Accounts'!$A$5:$A$3000,0))&amp;"|"&amp;INDEX('Chart of Accounts'!$D$5:$D$3000,MATCH(P150&amp;"",'Chart of Accounts'!$A$5:$A$3000,0)),"")</f>
        <v/>
      </c>
      <c r="U150" s="23">
        <f>IFERROR(INDEX('Chart of Accounts'!$C$5:$C$3000,MATCH(R150&amp;"",'Chart of Accounts'!$A$5:$A$3000,0))&amp;"|"&amp;INDEX('Chart of Accounts'!$D$5:$D$3000,MATCH(R150&amp;"",'Chart of Accounts'!$A$5:$A$3000,0)),"")</f>
        <v/>
      </c>
      <c r="V150" s="23">
        <f>IFERROR(INDEX('Chart of Accounts'!$C$5:$C$3000,MATCH(Q150&amp;"",'Chart of Accounts'!$A$5:$A$3000,0))&amp;"|"&amp;INDEX('Chart of Accounts'!$D$5:$D$3000,MATCH(Q150&amp;"",'Chart of Accounts'!$A$5:$A$3000,0)),"")</f>
        <v/>
      </c>
      <c r="W150" s="23">
        <f>IFERROR(INDEX('Chart of Accounts'!$C$5:$C$3000,MATCH(S150&amp;"",'Chart of Accounts'!$A$5:$A$3000,0))&amp;"|"&amp;INDEX('Chart of Accounts'!$D$5:$D$3000,MATCH(S150&amp;"",'Chart of Accounts'!$A$5:$A$3000,0)),"")</f>
        <v/>
      </c>
      <c r="X150" s="23">
        <f>IF(LEFT(T150,8)="Revenue|",-N(O150),0)+IF(LEFT(U150,8)="Revenue|",-N(N150),0)+IF(LEFT(V150,8)="Revenue|",N(L150),0)+IF(LEFT(W150,8)="Revenue|",N(M150),0)</f>
        <v/>
      </c>
      <c r="Y150" s="23">
        <f>IF(LEFT(T150,5)="COGS|",N(O150),0)+IF(LEFT(U150,5)="COGS|",N(N150),0)+IF(LEFT(V150,5)="COGS|",-N(L150),0)+IF(LEFT(W150,5)="COGS|",-N(M150),0)</f>
        <v/>
      </c>
      <c r="Z150" s="23">
        <f>IF(LEFT(T150,8)="Expense|",N(O150),0)+IF(LEFT(U150,8)="Expense|",N(N150),0)+IF(LEFT(V150,8)="Expense|",-N(L150),0)+IF(LEFT(W150,8)="Expense|",-N(M150),0)</f>
        <v/>
      </c>
      <c r="AA150" s="23">
        <f>IF(ISNUMBER(MATCH(T150,{"Expense|employee","Expense|general_admin","Expense|marketing","Expense|utilities","Expense|other_operating"},0)),N(O150),0)+IF(ISNUMBER(MATCH(U150,{"Expense|employee","Expense|general_admin","Expense|marketing","Expense|utilities","Expense|other_operating"},0)),N(N150),0)+IF(ISNUMBER(MATCH(V150,{"Expense|employee","Expense|general_admin","Expense|marketing","Expense|utilities","Expense|other_operating"},0)),-N(L150),0)+IF(ISNUMBER(MATCH(W150,{"Expense|employee","Expense|general_admin","Expense|marketing","Expense|utilities","Expense|other_operating"},0)),-N(M150),0)</f>
        <v/>
      </c>
      <c r="AB150" s="23">
        <f>IF(T150="Liability|payable",-N(O150),0)+IF(U150="Liability|payable",-N(N150),0)+IF(V150="Liability|payable",N(L150),0)+IF(W150="Liability|payable",N(M150),0)</f>
        <v/>
      </c>
      <c r="AC150" s="23">
        <f>IF(T150="Liability|accrued",-N(O150),0)+IF(U150="Liability|accrued",-N(N150),0)+IF(V150="Liability|accrued",N(L150),0)+IF(W150="Liability|accrued",N(M150),0)</f>
        <v/>
      </c>
      <c r="AD150" s="23">
        <f>IF(AND(N(O150)&lt;&gt;0,T150=""),1,0)+IF(AND(N(N150)&lt;&gt;0,U150=""),1,0)+IF(AND(N(L150)&lt;&gt;0,V150=""),1,0)+IF(AND(N(M150)&lt;&gt;0,W150=""),1,0)</f>
        <v/>
      </c>
    </row>
    <row r="151">
      <c r="A151" s="14" t="n"/>
      <c r="B151" s="19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21">
        <f>SUMIFS('Invoice Lines'!$I:$I,'Invoice Lines'!$A:$A,A151)</f>
        <v/>
      </c>
      <c r="L151" s="21">
        <f>IF(E151="Draft",0,K151)</f>
        <v/>
      </c>
      <c r="M151" s="21">
        <f>ROUND(L151*IFERROR(VLOOKUP(I151,'Tax Codes'!$A$5:$E$300,5,FALSE),0),2)</f>
        <v/>
      </c>
      <c r="N151" s="21">
        <f>ROUND(L151*IFERROR(VLOOKUP(J151,'Tax Codes'!$A$5:$E$300,5,FALSE),0),2)</f>
        <v/>
      </c>
      <c r="O151" s="21">
        <f>L151+M151-N151</f>
        <v/>
      </c>
      <c r="P151" s="16">
        <f>IF(F151="",INDEX('Chart of Accounts'!$A$5:$A$3000,MATCH("ar",'Chart of Accounts'!$F$5:$F$3000,0)),F151&amp;"")</f>
        <v/>
      </c>
      <c r="Q151" s="16">
        <f>IF(G151="",INDEX('Chart of Accounts'!$A$5:$A$3000,MATCH("revenue",'Chart of Accounts'!$F$5:$F$3000,0)),G151&amp;"")</f>
        <v/>
      </c>
      <c r="R151" s="16">
        <f>INDEX('Chart of Accounts'!$A$5:$A$3000,MATCH("wht_receivable",'Chart of Accounts'!$F$5:$F$3000,0))</f>
        <v/>
      </c>
      <c r="S151" s="16">
        <f>INDEX('Chart of Accounts'!$A$5:$A$3000,MATCH("vat_output",'Chart of Accounts'!$F$5:$F$3000,0))</f>
        <v/>
      </c>
      <c r="T151" s="23">
        <f>IFERROR(INDEX('Chart of Accounts'!$C$5:$C$3000,MATCH(P151&amp;"",'Chart of Accounts'!$A$5:$A$3000,0))&amp;"|"&amp;INDEX('Chart of Accounts'!$D$5:$D$3000,MATCH(P151&amp;"",'Chart of Accounts'!$A$5:$A$3000,0)),"")</f>
        <v/>
      </c>
      <c r="U151" s="23">
        <f>IFERROR(INDEX('Chart of Accounts'!$C$5:$C$3000,MATCH(R151&amp;"",'Chart of Accounts'!$A$5:$A$3000,0))&amp;"|"&amp;INDEX('Chart of Accounts'!$D$5:$D$3000,MATCH(R151&amp;"",'Chart of Accounts'!$A$5:$A$3000,0)),"")</f>
        <v/>
      </c>
      <c r="V151" s="23">
        <f>IFERROR(INDEX('Chart of Accounts'!$C$5:$C$3000,MATCH(Q151&amp;"",'Chart of Accounts'!$A$5:$A$3000,0))&amp;"|"&amp;INDEX('Chart of Accounts'!$D$5:$D$3000,MATCH(Q151&amp;"",'Chart of Accounts'!$A$5:$A$3000,0)),"")</f>
        <v/>
      </c>
      <c r="W151" s="23">
        <f>IFERROR(INDEX('Chart of Accounts'!$C$5:$C$3000,MATCH(S151&amp;"",'Chart of Accounts'!$A$5:$A$3000,0))&amp;"|"&amp;INDEX('Chart of Accounts'!$D$5:$D$3000,MATCH(S151&amp;"",'Chart of Accounts'!$A$5:$A$3000,0)),"")</f>
        <v/>
      </c>
      <c r="X151" s="23">
        <f>IF(LEFT(T151,8)="Revenue|",-N(O151),0)+IF(LEFT(U151,8)="Revenue|",-N(N151),0)+IF(LEFT(V151,8)="Revenue|",N(L151),0)+IF(LEFT(W151,8)="Revenue|",N(M151),0)</f>
        <v/>
      </c>
      <c r="Y151" s="23">
        <f>IF(LEFT(T151,5)="COGS|",N(O151),0)+IF(LEFT(U151,5)="COGS|",N(N151),0)+IF(LEFT(V151,5)="COGS|",-N(L151),0)+IF(LEFT(W151,5)="COGS|",-N(M151),0)</f>
        <v/>
      </c>
      <c r="Z151" s="23">
        <f>IF(LEFT(T151,8)="Expense|",N(O151),0)+IF(LEFT(U151,8)="Expense|",N(N151),0)+IF(LEFT(V151,8)="Expense|",-N(L151),0)+IF(LEFT(W151,8)="Expense|",-N(M151),0)</f>
        <v/>
      </c>
      <c r="AA151" s="23">
        <f>IF(ISNUMBER(MATCH(T151,{"Expense|employee","Expense|general_admin","Expense|marketing","Expense|utilities","Expense|other_operating"},0)),N(O151),0)+IF(ISNUMBER(MATCH(U151,{"Expense|employee","Expense|general_admin","Expense|marketing","Expense|utilities","Expense|other_operating"},0)),N(N151),0)+IF(ISNUMBER(MATCH(V151,{"Expense|employee","Expense|general_admin","Expense|marketing","Expense|utilities","Expense|other_operating"},0)),-N(L151),0)+IF(ISNUMBER(MATCH(W151,{"Expense|employee","Expense|general_admin","Expense|marketing","Expense|utilities","Expense|other_operating"},0)),-N(M151),0)</f>
        <v/>
      </c>
      <c r="AB151" s="23">
        <f>IF(T151="Liability|payable",-N(O151),0)+IF(U151="Liability|payable",-N(N151),0)+IF(V151="Liability|payable",N(L151),0)+IF(W151="Liability|payable",N(M151),0)</f>
        <v/>
      </c>
      <c r="AC151" s="23">
        <f>IF(T151="Liability|accrued",-N(O151),0)+IF(U151="Liability|accrued",-N(N151),0)+IF(V151="Liability|accrued",N(L151),0)+IF(W151="Liability|accrued",N(M151),0)</f>
        <v/>
      </c>
      <c r="AD151" s="23">
        <f>IF(AND(N(O151)&lt;&gt;0,T151=""),1,0)+IF(AND(N(N151)&lt;&gt;0,U151=""),1,0)+IF(AND(N(L151)&lt;&gt;0,V151=""),1,0)+IF(AND(N(M151)&lt;&gt;0,W151=""),1,0)</f>
        <v/>
      </c>
    </row>
    <row r="152">
      <c r="A152" s="14" t="n"/>
      <c r="B152" s="19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21">
        <f>SUMIFS('Invoice Lines'!$I:$I,'Invoice Lines'!$A:$A,A152)</f>
        <v/>
      </c>
      <c r="L152" s="21">
        <f>IF(E152="Draft",0,K152)</f>
        <v/>
      </c>
      <c r="M152" s="21">
        <f>ROUND(L152*IFERROR(VLOOKUP(I152,'Tax Codes'!$A$5:$E$300,5,FALSE),0),2)</f>
        <v/>
      </c>
      <c r="N152" s="21">
        <f>ROUND(L152*IFERROR(VLOOKUP(J152,'Tax Codes'!$A$5:$E$300,5,FALSE),0),2)</f>
        <v/>
      </c>
      <c r="O152" s="21">
        <f>L152+M152-N152</f>
        <v/>
      </c>
      <c r="P152" s="16">
        <f>IF(F152="",INDEX('Chart of Accounts'!$A$5:$A$3000,MATCH("ar",'Chart of Accounts'!$F$5:$F$3000,0)),F152&amp;"")</f>
        <v/>
      </c>
      <c r="Q152" s="16">
        <f>IF(G152="",INDEX('Chart of Accounts'!$A$5:$A$3000,MATCH("revenue",'Chart of Accounts'!$F$5:$F$3000,0)),G152&amp;"")</f>
        <v/>
      </c>
      <c r="R152" s="16">
        <f>INDEX('Chart of Accounts'!$A$5:$A$3000,MATCH("wht_receivable",'Chart of Accounts'!$F$5:$F$3000,0))</f>
        <v/>
      </c>
      <c r="S152" s="16">
        <f>INDEX('Chart of Accounts'!$A$5:$A$3000,MATCH("vat_output",'Chart of Accounts'!$F$5:$F$3000,0))</f>
        <v/>
      </c>
      <c r="T152" s="23">
        <f>IFERROR(INDEX('Chart of Accounts'!$C$5:$C$3000,MATCH(P152&amp;"",'Chart of Accounts'!$A$5:$A$3000,0))&amp;"|"&amp;INDEX('Chart of Accounts'!$D$5:$D$3000,MATCH(P152&amp;"",'Chart of Accounts'!$A$5:$A$3000,0)),"")</f>
        <v/>
      </c>
      <c r="U152" s="23">
        <f>IFERROR(INDEX('Chart of Accounts'!$C$5:$C$3000,MATCH(R152&amp;"",'Chart of Accounts'!$A$5:$A$3000,0))&amp;"|"&amp;INDEX('Chart of Accounts'!$D$5:$D$3000,MATCH(R152&amp;"",'Chart of Accounts'!$A$5:$A$3000,0)),"")</f>
        <v/>
      </c>
      <c r="V152" s="23">
        <f>IFERROR(INDEX('Chart of Accounts'!$C$5:$C$3000,MATCH(Q152&amp;"",'Chart of Accounts'!$A$5:$A$3000,0))&amp;"|"&amp;INDEX('Chart of Accounts'!$D$5:$D$3000,MATCH(Q152&amp;"",'Chart of Accounts'!$A$5:$A$3000,0)),"")</f>
        <v/>
      </c>
      <c r="W152" s="23">
        <f>IFERROR(INDEX('Chart of Accounts'!$C$5:$C$3000,MATCH(S152&amp;"",'Chart of Accounts'!$A$5:$A$3000,0))&amp;"|"&amp;INDEX('Chart of Accounts'!$D$5:$D$3000,MATCH(S152&amp;"",'Chart of Accounts'!$A$5:$A$3000,0)),"")</f>
        <v/>
      </c>
      <c r="X152" s="23">
        <f>IF(LEFT(T152,8)="Revenue|",-N(O152),0)+IF(LEFT(U152,8)="Revenue|",-N(N152),0)+IF(LEFT(V152,8)="Revenue|",N(L152),0)+IF(LEFT(W152,8)="Revenue|",N(M152),0)</f>
        <v/>
      </c>
      <c r="Y152" s="23">
        <f>IF(LEFT(T152,5)="COGS|",N(O152),0)+IF(LEFT(U152,5)="COGS|",N(N152),0)+IF(LEFT(V152,5)="COGS|",-N(L152),0)+IF(LEFT(W152,5)="COGS|",-N(M152),0)</f>
        <v/>
      </c>
      <c r="Z152" s="23">
        <f>IF(LEFT(T152,8)="Expense|",N(O152),0)+IF(LEFT(U152,8)="Expense|",N(N152),0)+IF(LEFT(V152,8)="Expense|",-N(L152),0)+IF(LEFT(W152,8)="Expense|",-N(M152),0)</f>
        <v/>
      </c>
      <c r="AA152" s="23">
        <f>IF(ISNUMBER(MATCH(T152,{"Expense|employee","Expense|general_admin","Expense|marketing","Expense|utilities","Expense|other_operating"},0)),N(O152),0)+IF(ISNUMBER(MATCH(U152,{"Expense|employee","Expense|general_admin","Expense|marketing","Expense|utilities","Expense|other_operating"},0)),N(N152),0)+IF(ISNUMBER(MATCH(V152,{"Expense|employee","Expense|general_admin","Expense|marketing","Expense|utilities","Expense|other_operating"},0)),-N(L152),0)+IF(ISNUMBER(MATCH(W152,{"Expense|employee","Expense|general_admin","Expense|marketing","Expense|utilities","Expense|other_operating"},0)),-N(M152),0)</f>
        <v/>
      </c>
      <c r="AB152" s="23">
        <f>IF(T152="Liability|payable",-N(O152),0)+IF(U152="Liability|payable",-N(N152),0)+IF(V152="Liability|payable",N(L152),0)+IF(W152="Liability|payable",N(M152),0)</f>
        <v/>
      </c>
      <c r="AC152" s="23">
        <f>IF(T152="Liability|accrued",-N(O152),0)+IF(U152="Liability|accrued",-N(N152),0)+IF(V152="Liability|accrued",N(L152),0)+IF(W152="Liability|accrued",N(M152),0)</f>
        <v/>
      </c>
      <c r="AD152" s="23">
        <f>IF(AND(N(O152)&lt;&gt;0,T152=""),1,0)+IF(AND(N(N152)&lt;&gt;0,U152=""),1,0)+IF(AND(N(L152)&lt;&gt;0,V152=""),1,0)+IF(AND(N(M152)&lt;&gt;0,W152=""),1,0)</f>
        <v/>
      </c>
    </row>
    <row r="153">
      <c r="A153" s="14" t="n"/>
      <c r="B153" s="19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21">
        <f>SUMIFS('Invoice Lines'!$I:$I,'Invoice Lines'!$A:$A,A153)</f>
        <v/>
      </c>
      <c r="L153" s="21">
        <f>IF(E153="Draft",0,K153)</f>
        <v/>
      </c>
      <c r="M153" s="21">
        <f>ROUND(L153*IFERROR(VLOOKUP(I153,'Tax Codes'!$A$5:$E$300,5,FALSE),0),2)</f>
        <v/>
      </c>
      <c r="N153" s="21">
        <f>ROUND(L153*IFERROR(VLOOKUP(J153,'Tax Codes'!$A$5:$E$300,5,FALSE),0),2)</f>
        <v/>
      </c>
      <c r="O153" s="21">
        <f>L153+M153-N153</f>
        <v/>
      </c>
      <c r="P153" s="16">
        <f>IF(F153="",INDEX('Chart of Accounts'!$A$5:$A$3000,MATCH("ar",'Chart of Accounts'!$F$5:$F$3000,0)),F153&amp;"")</f>
        <v/>
      </c>
      <c r="Q153" s="16">
        <f>IF(G153="",INDEX('Chart of Accounts'!$A$5:$A$3000,MATCH("revenue",'Chart of Accounts'!$F$5:$F$3000,0)),G153&amp;"")</f>
        <v/>
      </c>
      <c r="R153" s="16">
        <f>INDEX('Chart of Accounts'!$A$5:$A$3000,MATCH("wht_receivable",'Chart of Accounts'!$F$5:$F$3000,0))</f>
        <v/>
      </c>
      <c r="S153" s="16">
        <f>INDEX('Chart of Accounts'!$A$5:$A$3000,MATCH("vat_output",'Chart of Accounts'!$F$5:$F$3000,0))</f>
        <v/>
      </c>
      <c r="T153" s="23">
        <f>IFERROR(INDEX('Chart of Accounts'!$C$5:$C$3000,MATCH(P153&amp;"",'Chart of Accounts'!$A$5:$A$3000,0))&amp;"|"&amp;INDEX('Chart of Accounts'!$D$5:$D$3000,MATCH(P153&amp;"",'Chart of Accounts'!$A$5:$A$3000,0)),"")</f>
        <v/>
      </c>
      <c r="U153" s="23">
        <f>IFERROR(INDEX('Chart of Accounts'!$C$5:$C$3000,MATCH(R153&amp;"",'Chart of Accounts'!$A$5:$A$3000,0))&amp;"|"&amp;INDEX('Chart of Accounts'!$D$5:$D$3000,MATCH(R153&amp;"",'Chart of Accounts'!$A$5:$A$3000,0)),"")</f>
        <v/>
      </c>
      <c r="V153" s="23">
        <f>IFERROR(INDEX('Chart of Accounts'!$C$5:$C$3000,MATCH(Q153&amp;"",'Chart of Accounts'!$A$5:$A$3000,0))&amp;"|"&amp;INDEX('Chart of Accounts'!$D$5:$D$3000,MATCH(Q153&amp;"",'Chart of Accounts'!$A$5:$A$3000,0)),"")</f>
        <v/>
      </c>
      <c r="W153" s="23">
        <f>IFERROR(INDEX('Chart of Accounts'!$C$5:$C$3000,MATCH(S153&amp;"",'Chart of Accounts'!$A$5:$A$3000,0))&amp;"|"&amp;INDEX('Chart of Accounts'!$D$5:$D$3000,MATCH(S153&amp;"",'Chart of Accounts'!$A$5:$A$3000,0)),"")</f>
        <v/>
      </c>
      <c r="X153" s="23">
        <f>IF(LEFT(T153,8)="Revenue|",-N(O153),0)+IF(LEFT(U153,8)="Revenue|",-N(N153),0)+IF(LEFT(V153,8)="Revenue|",N(L153),0)+IF(LEFT(W153,8)="Revenue|",N(M153),0)</f>
        <v/>
      </c>
      <c r="Y153" s="23">
        <f>IF(LEFT(T153,5)="COGS|",N(O153),0)+IF(LEFT(U153,5)="COGS|",N(N153),0)+IF(LEFT(V153,5)="COGS|",-N(L153),0)+IF(LEFT(W153,5)="COGS|",-N(M153),0)</f>
        <v/>
      </c>
      <c r="Z153" s="23">
        <f>IF(LEFT(T153,8)="Expense|",N(O153),0)+IF(LEFT(U153,8)="Expense|",N(N153),0)+IF(LEFT(V153,8)="Expense|",-N(L153),0)+IF(LEFT(W153,8)="Expense|",-N(M153),0)</f>
        <v/>
      </c>
      <c r="AA153" s="23">
        <f>IF(ISNUMBER(MATCH(T153,{"Expense|employee","Expense|general_admin","Expense|marketing","Expense|utilities","Expense|other_operating"},0)),N(O153),0)+IF(ISNUMBER(MATCH(U153,{"Expense|employee","Expense|general_admin","Expense|marketing","Expense|utilities","Expense|other_operating"},0)),N(N153),0)+IF(ISNUMBER(MATCH(V153,{"Expense|employee","Expense|general_admin","Expense|marketing","Expense|utilities","Expense|other_operating"},0)),-N(L153),0)+IF(ISNUMBER(MATCH(W153,{"Expense|employee","Expense|general_admin","Expense|marketing","Expense|utilities","Expense|other_operating"},0)),-N(M153),0)</f>
        <v/>
      </c>
      <c r="AB153" s="23">
        <f>IF(T153="Liability|payable",-N(O153),0)+IF(U153="Liability|payable",-N(N153),0)+IF(V153="Liability|payable",N(L153),0)+IF(W153="Liability|payable",N(M153),0)</f>
        <v/>
      </c>
      <c r="AC153" s="23">
        <f>IF(T153="Liability|accrued",-N(O153),0)+IF(U153="Liability|accrued",-N(N153),0)+IF(V153="Liability|accrued",N(L153),0)+IF(W153="Liability|accrued",N(M153),0)</f>
        <v/>
      </c>
      <c r="AD153" s="23">
        <f>IF(AND(N(O153)&lt;&gt;0,T153=""),1,0)+IF(AND(N(N153)&lt;&gt;0,U153=""),1,0)+IF(AND(N(L153)&lt;&gt;0,V153=""),1,0)+IF(AND(N(M153)&lt;&gt;0,W153=""),1,0)</f>
        <v/>
      </c>
    </row>
    <row r="154">
      <c r="A154" s="14" t="n"/>
      <c r="B154" s="19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21">
        <f>SUMIFS('Invoice Lines'!$I:$I,'Invoice Lines'!$A:$A,A154)</f>
        <v/>
      </c>
      <c r="L154" s="21">
        <f>IF(E154="Draft",0,K154)</f>
        <v/>
      </c>
      <c r="M154" s="21">
        <f>ROUND(L154*IFERROR(VLOOKUP(I154,'Tax Codes'!$A$5:$E$300,5,FALSE),0),2)</f>
        <v/>
      </c>
      <c r="N154" s="21">
        <f>ROUND(L154*IFERROR(VLOOKUP(J154,'Tax Codes'!$A$5:$E$300,5,FALSE),0),2)</f>
        <v/>
      </c>
      <c r="O154" s="21">
        <f>L154+M154-N154</f>
        <v/>
      </c>
      <c r="P154" s="16">
        <f>IF(F154="",INDEX('Chart of Accounts'!$A$5:$A$3000,MATCH("ar",'Chart of Accounts'!$F$5:$F$3000,0)),F154&amp;"")</f>
        <v/>
      </c>
      <c r="Q154" s="16">
        <f>IF(G154="",INDEX('Chart of Accounts'!$A$5:$A$3000,MATCH("revenue",'Chart of Accounts'!$F$5:$F$3000,0)),G154&amp;"")</f>
        <v/>
      </c>
      <c r="R154" s="16">
        <f>INDEX('Chart of Accounts'!$A$5:$A$3000,MATCH("wht_receivable",'Chart of Accounts'!$F$5:$F$3000,0))</f>
        <v/>
      </c>
      <c r="S154" s="16">
        <f>INDEX('Chart of Accounts'!$A$5:$A$3000,MATCH("vat_output",'Chart of Accounts'!$F$5:$F$3000,0))</f>
        <v/>
      </c>
      <c r="T154" s="23">
        <f>IFERROR(INDEX('Chart of Accounts'!$C$5:$C$3000,MATCH(P154&amp;"",'Chart of Accounts'!$A$5:$A$3000,0))&amp;"|"&amp;INDEX('Chart of Accounts'!$D$5:$D$3000,MATCH(P154&amp;"",'Chart of Accounts'!$A$5:$A$3000,0)),"")</f>
        <v/>
      </c>
      <c r="U154" s="23">
        <f>IFERROR(INDEX('Chart of Accounts'!$C$5:$C$3000,MATCH(R154&amp;"",'Chart of Accounts'!$A$5:$A$3000,0))&amp;"|"&amp;INDEX('Chart of Accounts'!$D$5:$D$3000,MATCH(R154&amp;"",'Chart of Accounts'!$A$5:$A$3000,0)),"")</f>
        <v/>
      </c>
      <c r="V154" s="23">
        <f>IFERROR(INDEX('Chart of Accounts'!$C$5:$C$3000,MATCH(Q154&amp;"",'Chart of Accounts'!$A$5:$A$3000,0))&amp;"|"&amp;INDEX('Chart of Accounts'!$D$5:$D$3000,MATCH(Q154&amp;"",'Chart of Accounts'!$A$5:$A$3000,0)),"")</f>
        <v/>
      </c>
      <c r="W154" s="23">
        <f>IFERROR(INDEX('Chart of Accounts'!$C$5:$C$3000,MATCH(S154&amp;"",'Chart of Accounts'!$A$5:$A$3000,0))&amp;"|"&amp;INDEX('Chart of Accounts'!$D$5:$D$3000,MATCH(S154&amp;"",'Chart of Accounts'!$A$5:$A$3000,0)),"")</f>
        <v/>
      </c>
      <c r="X154" s="23">
        <f>IF(LEFT(T154,8)="Revenue|",-N(O154),0)+IF(LEFT(U154,8)="Revenue|",-N(N154),0)+IF(LEFT(V154,8)="Revenue|",N(L154),0)+IF(LEFT(W154,8)="Revenue|",N(M154),0)</f>
        <v/>
      </c>
      <c r="Y154" s="23">
        <f>IF(LEFT(T154,5)="COGS|",N(O154),0)+IF(LEFT(U154,5)="COGS|",N(N154),0)+IF(LEFT(V154,5)="COGS|",-N(L154),0)+IF(LEFT(W154,5)="COGS|",-N(M154),0)</f>
        <v/>
      </c>
      <c r="Z154" s="23">
        <f>IF(LEFT(T154,8)="Expense|",N(O154),0)+IF(LEFT(U154,8)="Expense|",N(N154),0)+IF(LEFT(V154,8)="Expense|",-N(L154),0)+IF(LEFT(W154,8)="Expense|",-N(M154),0)</f>
        <v/>
      </c>
      <c r="AA154" s="23">
        <f>IF(ISNUMBER(MATCH(T154,{"Expense|employee","Expense|general_admin","Expense|marketing","Expense|utilities","Expense|other_operating"},0)),N(O154),0)+IF(ISNUMBER(MATCH(U154,{"Expense|employee","Expense|general_admin","Expense|marketing","Expense|utilities","Expense|other_operating"},0)),N(N154),0)+IF(ISNUMBER(MATCH(V154,{"Expense|employee","Expense|general_admin","Expense|marketing","Expense|utilities","Expense|other_operating"},0)),-N(L154),0)+IF(ISNUMBER(MATCH(W154,{"Expense|employee","Expense|general_admin","Expense|marketing","Expense|utilities","Expense|other_operating"},0)),-N(M154),0)</f>
        <v/>
      </c>
      <c r="AB154" s="23">
        <f>IF(T154="Liability|payable",-N(O154),0)+IF(U154="Liability|payable",-N(N154),0)+IF(V154="Liability|payable",N(L154),0)+IF(W154="Liability|payable",N(M154),0)</f>
        <v/>
      </c>
      <c r="AC154" s="23">
        <f>IF(T154="Liability|accrued",-N(O154),0)+IF(U154="Liability|accrued",-N(N154),0)+IF(V154="Liability|accrued",N(L154),0)+IF(W154="Liability|accrued",N(M154),0)</f>
        <v/>
      </c>
      <c r="AD154" s="23">
        <f>IF(AND(N(O154)&lt;&gt;0,T154=""),1,0)+IF(AND(N(N154)&lt;&gt;0,U154=""),1,0)+IF(AND(N(L154)&lt;&gt;0,V154=""),1,0)+IF(AND(N(M154)&lt;&gt;0,W154=""),1,0)</f>
        <v/>
      </c>
    </row>
    <row r="155">
      <c r="A155" s="14" t="n"/>
      <c r="B155" s="19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21">
        <f>SUMIFS('Invoice Lines'!$I:$I,'Invoice Lines'!$A:$A,A155)</f>
        <v/>
      </c>
      <c r="L155" s="21">
        <f>IF(E155="Draft",0,K155)</f>
        <v/>
      </c>
      <c r="M155" s="21">
        <f>ROUND(L155*IFERROR(VLOOKUP(I155,'Tax Codes'!$A$5:$E$300,5,FALSE),0),2)</f>
        <v/>
      </c>
      <c r="N155" s="21">
        <f>ROUND(L155*IFERROR(VLOOKUP(J155,'Tax Codes'!$A$5:$E$300,5,FALSE),0),2)</f>
        <v/>
      </c>
      <c r="O155" s="21">
        <f>L155+M155-N155</f>
        <v/>
      </c>
      <c r="P155" s="16">
        <f>IF(F155="",INDEX('Chart of Accounts'!$A$5:$A$3000,MATCH("ar",'Chart of Accounts'!$F$5:$F$3000,0)),F155&amp;"")</f>
        <v/>
      </c>
      <c r="Q155" s="16">
        <f>IF(G155="",INDEX('Chart of Accounts'!$A$5:$A$3000,MATCH("revenue",'Chart of Accounts'!$F$5:$F$3000,0)),G155&amp;"")</f>
        <v/>
      </c>
      <c r="R155" s="16">
        <f>INDEX('Chart of Accounts'!$A$5:$A$3000,MATCH("wht_receivable",'Chart of Accounts'!$F$5:$F$3000,0))</f>
        <v/>
      </c>
      <c r="S155" s="16">
        <f>INDEX('Chart of Accounts'!$A$5:$A$3000,MATCH("vat_output",'Chart of Accounts'!$F$5:$F$3000,0))</f>
        <v/>
      </c>
      <c r="T155" s="23">
        <f>IFERROR(INDEX('Chart of Accounts'!$C$5:$C$3000,MATCH(P155&amp;"",'Chart of Accounts'!$A$5:$A$3000,0))&amp;"|"&amp;INDEX('Chart of Accounts'!$D$5:$D$3000,MATCH(P155&amp;"",'Chart of Accounts'!$A$5:$A$3000,0)),"")</f>
        <v/>
      </c>
      <c r="U155" s="23">
        <f>IFERROR(INDEX('Chart of Accounts'!$C$5:$C$3000,MATCH(R155&amp;"",'Chart of Accounts'!$A$5:$A$3000,0))&amp;"|"&amp;INDEX('Chart of Accounts'!$D$5:$D$3000,MATCH(R155&amp;"",'Chart of Accounts'!$A$5:$A$3000,0)),"")</f>
        <v/>
      </c>
      <c r="V155" s="23">
        <f>IFERROR(INDEX('Chart of Accounts'!$C$5:$C$3000,MATCH(Q155&amp;"",'Chart of Accounts'!$A$5:$A$3000,0))&amp;"|"&amp;INDEX('Chart of Accounts'!$D$5:$D$3000,MATCH(Q155&amp;"",'Chart of Accounts'!$A$5:$A$3000,0)),"")</f>
        <v/>
      </c>
      <c r="W155" s="23">
        <f>IFERROR(INDEX('Chart of Accounts'!$C$5:$C$3000,MATCH(S155&amp;"",'Chart of Accounts'!$A$5:$A$3000,0))&amp;"|"&amp;INDEX('Chart of Accounts'!$D$5:$D$3000,MATCH(S155&amp;"",'Chart of Accounts'!$A$5:$A$3000,0)),"")</f>
        <v/>
      </c>
      <c r="X155" s="23">
        <f>IF(LEFT(T155,8)="Revenue|",-N(O155),0)+IF(LEFT(U155,8)="Revenue|",-N(N155),0)+IF(LEFT(V155,8)="Revenue|",N(L155),0)+IF(LEFT(W155,8)="Revenue|",N(M155),0)</f>
        <v/>
      </c>
      <c r="Y155" s="23">
        <f>IF(LEFT(T155,5)="COGS|",N(O155),0)+IF(LEFT(U155,5)="COGS|",N(N155),0)+IF(LEFT(V155,5)="COGS|",-N(L155),0)+IF(LEFT(W155,5)="COGS|",-N(M155),0)</f>
        <v/>
      </c>
      <c r="Z155" s="23">
        <f>IF(LEFT(T155,8)="Expense|",N(O155),0)+IF(LEFT(U155,8)="Expense|",N(N155),0)+IF(LEFT(V155,8)="Expense|",-N(L155),0)+IF(LEFT(W155,8)="Expense|",-N(M155),0)</f>
        <v/>
      </c>
      <c r="AA155" s="23">
        <f>IF(ISNUMBER(MATCH(T155,{"Expense|employee","Expense|general_admin","Expense|marketing","Expense|utilities","Expense|other_operating"},0)),N(O155),0)+IF(ISNUMBER(MATCH(U155,{"Expense|employee","Expense|general_admin","Expense|marketing","Expense|utilities","Expense|other_operating"},0)),N(N155),0)+IF(ISNUMBER(MATCH(V155,{"Expense|employee","Expense|general_admin","Expense|marketing","Expense|utilities","Expense|other_operating"},0)),-N(L155),0)+IF(ISNUMBER(MATCH(W155,{"Expense|employee","Expense|general_admin","Expense|marketing","Expense|utilities","Expense|other_operating"},0)),-N(M155),0)</f>
        <v/>
      </c>
      <c r="AB155" s="23">
        <f>IF(T155="Liability|payable",-N(O155),0)+IF(U155="Liability|payable",-N(N155),0)+IF(V155="Liability|payable",N(L155),0)+IF(W155="Liability|payable",N(M155),0)</f>
        <v/>
      </c>
      <c r="AC155" s="23">
        <f>IF(T155="Liability|accrued",-N(O155),0)+IF(U155="Liability|accrued",-N(N155),0)+IF(V155="Liability|accrued",N(L155),0)+IF(W155="Liability|accrued",N(M155),0)</f>
        <v/>
      </c>
      <c r="AD155" s="23">
        <f>IF(AND(N(O155)&lt;&gt;0,T155=""),1,0)+IF(AND(N(N155)&lt;&gt;0,U155=""),1,0)+IF(AND(N(L155)&lt;&gt;0,V155=""),1,0)+IF(AND(N(M155)&lt;&gt;0,W155=""),1,0)</f>
        <v/>
      </c>
    </row>
    <row r="156">
      <c r="A156" s="14" t="n"/>
      <c r="B156" s="19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21">
        <f>SUMIFS('Invoice Lines'!$I:$I,'Invoice Lines'!$A:$A,A156)</f>
        <v/>
      </c>
      <c r="L156" s="21">
        <f>IF(E156="Draft",0,K156)</f>
        <v/>
      </c>
      <c r="M156" s="21">
        <f>ROUND(L156*IFERROR(VLOOKUP(I156,'Tax Codes'!$A$5:$E$300,5,FALSE),0),2)</f>
        <v/>
      </c>
      <c r="N156" s="21">
        <f>ROUND(L156*IFERROR(VLOOKUP(J156,'Tax Codes'!$A$5:$E$300,5,FALSE),0),2)</f>
        <v/>
      </c>
      <c r="O156" s="21">
        <f>L156+M156-N156</f>
        <v/>
      </c>
      <c r="P156" s="16">
        <f>IF(F156="",INDEX('Chart of Accounts'!$A$5:$A$3000,MATCH("ar",'Chart of Accounts'!$F$5:$F$3000,0)),F156&amp;"")</f>
        <v/>
      </c>
      <c r="Q156" s="16">
        <f>IF(G156="",INDEX('Chart of Accounts'!$A$5:$A$3000,MATCH("revenue",'Chart of Accounts'!$F$5:$F$3000,0)),G156&amp;"")</f>
        <v/>
      </c>
      <c r="R156" s="16">
        <f>INDEX('Chart of Accounts'!$A$5:$A$3000,MATCH("wht_receivable",'Chart of Accounts'!$F$5:$F$3000,0))</f>
        <v/>
      </c>
      <c r="S156" s="16">
        <f>INDEX('Chart of Accounts'!$A$5:$A$3000,MATCH("vat_output",'Chart of Accounts'!$F$5:$F$3000,0))</f>
        <v/>
      </c>
      <c r="T156" s="23">
        <f>IFERROR(INDEX('Chart of Accounts'!$C$5:$C$3000,MATCH(P156&amp;"",'Chart of Accounts'!$A$5:$A$3000,0))&amp;"|"&amp;INDEX('Chart of Accounts'!$D$5:$D$3000,MATCH(P156&amp;"",'Chart of Accounts'!$A$5:$A$3000,0)),"")</f>
        <v/>
      </c>
      <c r="U156" s="23">
        <f>IFERROR(INDEX('Chart of Accounts'!$C$5:$C$3000,MATCH(R156&amp;"",'Chart of Accounts'!$A$5:$A$3000,0))&amp;"|"&amp;INDEX('Chart of Accounts'!$D$5:$D$3000,MATCH(R156&amp;"",'Chart of Accounts'!$A$5:$A$3000,0)),"")</f>
        <v/>
      </c>
      <c r="V156" s="23">
        <f>IFERROR(INDEX('Chart of Accounts'!$C$5:$C$3000,MATCH(Q156&amp;"",'Chart of Accounts'!$A$5:$A$3000,0))&amp;"|"&amp;INDEX('Chart of Accounts'!$D$5:$D$3000,MATCH(Q156&amp;"",'Chart of Accounts'!$A$5:$A$3000,0)),"")</f>
        <v/>
      </c>
      <c r="W156" s="23">
        <f>IFERROR(INDEX('Chart of Accounts'!$C$5:$C$3000,MATCH(S156&amp;"",'Chart of Accounts'!$A$5:$A$3000,0))&amp;"|"&amp;INDEX('Chart of Accounts'!$D$5:$D$3000,MATCH(S156&amp;"",'Chart of Accounts'!$A$5:$A$3000,0)),"")</f>
        <v/>
      </c>
      <c r="X156" s="23">
        <f>IF(LEFT(T156,8)="Revenue|",-N(O156),0)+IF(LEFT(U156,8)="Revenue|",-N(N156),0)+IF(LEFT(V156,8)="Revenue|",N(L156),0)+IF(LEFT(W156,8)="Revenue|",N(M156),0)</f>
        <v/>
      </c>
      <c r="Y156" s="23">
        <f>IF(LEFT(T156,5)="COGS|",N(O156),0)+IF(LEFT(U156,5)="COGS|",N(N156),0)+IF(LEFT(V156,5)="COGS|",-N(L156),0)+IF(LEFT(W156,5)="COGS|",-N(M156),0)</f>
        <v/>
      </c>
      <c r="Z156" s="23">
        <f>IF(LEFT(T156,8)="Expense|",N(O156),0)+IF(LEFT(U156,8)="Expense|",N(N156),0)+IF(LEFT(V156,8)="Expense|",-N(L156),0)+IF(LEFT(W156,8)="Expense|",-N(M156),0)</f>
        <v/>
      </c>
      <c r="AA156" s="23">
        <f>IF(ISNUMBER(MATCH(T156,{"Expense|employee","Expense|general_admin","Expense|marketing","Expense|utilities","Expense|other_operating"},0)),N(O156),0)+IF(ISNUMBER(MATCH(U156,{"Expense|employee","Expense|general_admin","Expense|marketing","Expense|utilities","Expense|other_operating"},0)),N(N156),0)+IF(ISNUMBER(MATCH(V156,{"Expense|employee","Expense|general_admin","Expense|marketing","Expense|utilities","Expense|other_operating"},0)),-N(L156),0)+IF(ISNUMBER(MATCH(W156,{"Expense|employee","Expense|general_admin","Expense|marketing","Expense|utilities","Expense|other_operating"},0)),-N(M156),0)</f>
        <v/>
      </c>
      <c r="AB156" s="23">
        <f>IF(T156="Liability|payable",-N(O156),0)+IF(U156="Liability|payable",-N(N156),0)+IF(V156="Liability|payable",N(L156),0)+IF(W156="Liability|payable",N(M156),0)</f>
        <v/>
      </c>
      <c r="AC156" s="23">
        <f>IF(T156="Liability|accrued",-N(O156),0)+IF(U156="Liability|accrued",-N(N156),0)+IF(V156="Liability|accrued",N(L156),0)+IF(W156="Liability|accrued",N(M156),0)</f>
        <v/>
      </c>
      <c r="AD156" s="23">
        <f>IF(AND(N(O156)&lt;&gt;0,T156=""),1,0)+IF(AND(N(N156)&lt;&gt;0,U156=""),1,0)+IF(AND(N(L156)&lt;&gt;0,V156=""),1,0)+IF(AND(N(M156)&lt;&gt;0,W156=""),1,0)</f>
        <v/>
      </c>
    </row>
    <row r="157">
      <c r="A157" s="14" t="n"/>
      <c r="B157" s="19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21">
        <f>SUMIFS('Invoice Lines'!$I:$I,'Invoice Lines'!$A:$A,A157)</f>
        <v/>
      </c>
      <c r="L157" s="21">
        <f>IF(E157="Draft",0,K157)</f>
        <v/>
      </c>
      <c r="M157" s="21">
        <f>ROUND(L157*IFERROR(VLOOKUP(I157,'Tax Codes'!$A$5:$E$300,5,FALSE),0),2)</f>
        <v/>
      </c>
      <c r="N157" s="21">
        <f>ROUND(L157*IFERROR(VLOOKUP(J157,'Tax Codes'!$A$5:$E$300,5,FALSE),0),2)</f>
        <v/>
      </c>
      <c r="O157" s="21">
        <f>L157+M157-N157</f>
        <v/>
      </c>
      <c r="P157" s="16">
        <f>IF(F157="",INDEX('Chart of Accounts'!$A$5:$A$3000,MATCH("ar",'Chart of Accounts'!$F$5:$F$3000,0)),F157&amp;"")</f>
        <v/>
      </c>
      <c r="Q157" s="16">
        <f>IF(G157="",INDEX('Chart of Accounts'!$A$5:$A$3000,MATCH("revenue",'Chart of Accounts'!$F$5:$F$3000,0)),G157&amp;"")</f>
        <v/>
      </c>
      <c r="R157" s="16">
        <f>INDEX('Chart of Accounts'!$A$5:$A$3000,MATCH("wht_receivable",'Chart of Accounts'!$F$5:$F$3000,0))</f>
        <v/>
      </c>
      <c r="S157" s="16">
        <f>INDEX('Chart of Accounts'!$A$5:$A$3000,MATCH("vat_output",'Chart of Accounts'!$F$5:$F$3000,0))</f>
        <v/>
      </c>
      <c r="T157" s="23">
        <f>IFERROR(INDEX('Chart of Accounts'!$C$5:$C$3000,MATCH(P157&amp;"",'Chart of Accounts'!$A$5:$A$3000,0))&amp;"|"&amp;INDEX('Chart of Accounts'!$D$5:$D$3000,MATCH(P157&amp;"",'Chart of Accounts'!$A$5:$A$3000,0)),"")</f>
        <v/>
      </c>
      <c r="U157" s="23">
        <f>IFERROR(INDEX('Chart of Accounts'!$C$5:$C$3000,MATCH(R157&amp;"",'Chart of Accounts'!$A$5:$A$3000,0))&amp;"|"&amp;INDEX('Chart of Accounts'!$D$5:$D$3000,MATCH(R157&amp;"",'Chart of Accounts'!$A$5:$A$3000,0)),"")</f>
        <v/>
      </c>
      <c r="V157" s="23">
        <f>IFERROR(INDEX('Chart of Accounts'!$C$5:$C$3000,MATCH(Q157&amp;"",'Chart of Accounts'!$A$5:$A$3000,0))&amp;"|"&amp;INDEX('Chart of Accounts'!$D$5:$D$3000,MATCH(Q157&amp;"",'Chart of Accounts'!$A$5:$A$3000,0)),"")</f>
        <v/>
      </c>
      <c r="W157" s="23">
        <f>IFERROR(INDEX('Chart of Accounts'!$C$5:$C$3000,MATCH(S157&amp;"",'Chart of Accounts'!$A$5:$A$3000,0))&amp;"|"&amp;INDEX('Chart of Accounts'!$D$5:$D$3000,MATCH(S157&amp;"",'Chart of Accounts'!$A$5:$A$3000,0)),"")</f>
        <v/>
      </c>
      <c r="X157" s="23">
        <f>IF(LEFT(T157,8)="Revenue|",-N(O157),0)+IF(LEFT(U157,8)="Revenue|",-N(N157),0)+IF(LEFT(V157,8)="Revenue|",N(L157),0)+IF(LEFT(W157,8)="Revenue|",N(M157),0)</f>
        <v/>
      </c>
      <c r="Y157" s="23">
        <f>IF(LEFT(T157,5)="COGS|",N(O157),0)+IF(LEFT(U157,5)="COGS|",N(N157),0)+IF(LEFT(V157,5)="COGS|",-N(L157),0)+IF(LEFT(W157,5)="COGS|",-N(M157),0)</f>
        <v/>
      </c>
      <c r="Z157" s="23">
        <f>IF(LEFT(T157,8)="Expense|",N(O157),0)+IF(LEFT(U157,8)="Expense|",N(N157),0)+IF(LEFT(V157,8)="Expense|",-N(L157),0)+IF(LEFT(W157,8)="Expense|",-N(M157),0)</f>
        <v/>
      </c>
      <c r="AA157" s="23">
        <f>IF(ISNUMBER(MATCH(T157,{"Expense|employee","Expense|general_admin","Expense|marketing","Expense|utilities","Expense|other_operating"},0)),N(O157),0)+IF(ISNUMBER(MATCH(U157,{"Expense|employee","Expense|general_admin","Expense|marketing","Expense|utilities","Expense|other_operating"},0)),N(N157),0)+IF(ISNUMBER(MATCH(V157,{"Expense|employee","Expense|general_admin","Expense|marketing","Expense|utilities","Expense|other_operating"},0)),-N(L157),0)+IF(ISNUMBER(MATCH(W157,{"Expense|employee","Expense|general_admin","Expense|marketing","Expense|utilities","Expense|other_operating"},0)),-N(M157),0)</f>
        <v/>
      </c>
      <c r="AB157" s="23">
        <f>IF(T157="Liability|payable",-N(O157),0)+IF(U157="Liability|payable",-N(N157),0)+IF(V157="Liability|payable",N(L157),0)+IF(W157="Liability|payable",N(M157),0)</f>
        <v/>
      </c>
      <c r="AC157" s="23">
        <f>IF(T157="Liability|accrued",-N(O157),0)+IF(U157="Liability|accrued",-N(N157),0)+IF(V157="Liability|accrued",N(L157),0)+IF(W157="Liability|accrued",N(M157),0)</f>
        <v/>
      </c>
      <c r="AD157" s="23">
        <f>IF(AND(N(O157)&lt;&gt;0,T157=""),1,0)+IF(AND(N(N157)&lt;&gt;0,U157=""),1,0)+IF(AND(N(L157)&lt;&gt;0,V157=""),1,0)+IF(AND(N(M157)&lt;&gt;0,W157=""),1,0)</f>
        <v/>
      </c>
    </row>
    <row r="158">
      <c r="A158" s="14" t="n"/>
      <c r="B158" s="19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21">
        <f>SUMIFS('Invoice Lines'!$I:$I,'Invoice Lines'!$A:$A,A158)</f>
        <v/>
      </c>
      <c r="L158" s="21">
        <f>IF(E158="Draft",0,K158)</f>
        <v/>
      </c>
      <c r="M158" s="21">
        <f>ROUND(L158*IFERROR(VLOOKUP(I158,'Tax Codes'!$A$5:$E$300,5,FALSE),0),2)</f>
        <v/>
      </c>
      <c r="N158" s="21">
        <f>ROUND(L158*IFERROR(VLOOKUP(J158,'Tax Codes'!$A$5:$E$300,5,FALSE),0),2)</f>
        <v/>
      </c>
      <c r="O158" s="21">
        <f>L158+M158-N158</f>
        <v/>
      </c>
      <c r="P158" s="16">
        <f>IF(F158="",INDEX('Chart of Accounts'!$A$5:$A$3000,MATCH("ar",'Chart of Accounts'!$F$5:$F$3000,0)),F158&amp;"")</f>
        <v/>
      </c>
      <c r="Q158" s="16">
        <f>IF(G158="",INDEX('Chart of Accounts'!$A$5:$A$3000,MATCH("revenue",'Chart of Accounts'!$F$5:$F$3000,0)),G158&amp;"")</f>
        <v/>
      </c>
      <c r="R158" s="16">
        <f>INDEX('Chart of Accounts'!$A$5:$A$3000,MATCH("wht_receivable",'Chart of Accounts'!$F$5:$F$3000,0))</f>
        <v/>
      </c>
      <c r="S158" s="16">
        <f>INDEX('Chart of Accounts'!$A$5:$A$3000,MATCH("vat_output",'Chart of Accounts'!$F$5:$F$3000,0))</f>
        <v/>
      </c>
      <c r="T158" s="23">
        <f>IFERROR(INDEX('Chart of Accounts'!$C$5:$C$3000,MATCH(P158&amp;"",'Chart of Accounts'!$A$5:$A$3000,0))&amp;"|"&amp;INDEX('Chart of Accounts'!$D$5:$D$3000,MATCH(P158&amp;"",'Chart of Accounts'!$A$5:$A$3000,0)),"")</f>
        <v/>
      </c>
      <c r="U158" s="23">
        <f>IFERROR(INDEX('Chart of Accounts'!$C$5:$C$3000,MATCH(R158&amp;"",'Chart of Accounts'!$A$5:$A$3000,0))&amp;"|"&amp;INDEX('Chart of Accounts'!$D$5:$D$3000,MATCH(R158&amp;"",'Chart of Accounts'!$A$5:$A$3000,0)),"")</f>
        <v/>
      </c>
      <c r="V158" s="23">
        <f>IFERROR(INDEX('Chart of Accounts'!$C$5:$C$3000,MATCH(Q158&amp;"",'Chart of Accounts'!$A$5:$A$3000,0))&amp;"|"&amp;INDEX('Chart of Accounts'!$D$5:$D$3000,MATCH(Q158&amp;"",'Chart of Accounts'!$A$5:$A$3000,0)),"")</f>
        <v/>
      </c>
      <c r="W158" s="23">
        <f>IFERROR(INDEX('Chart of Accounts'!$C$5:$C$3000,MATCH(S158&amp;"",'Chart of Accounts'!$A$5:$A$3000,0))&amp;"|"&amp;INDEX('Chart of Accounts'!$D$5:$D$3000,MATCH(S158&amp;"",'Chart of Accounts'!$A$5:$A$3000,0)),"")</f>
        <v/>
      </c>
      <c r="X158" s="23">
        <f>IF(LEFT(T158,8)="Revenue|",-N(O158),0)+IF(LEFT(U158,8)="Revenue|",-N(N158),0)+IF(LEFT(V158,8)="Revenue|",N(L158),0)+IF(LEFT(W158,8)="Revenue|",N(M158),0)</f>
        <v/>
      </c>
      <c r="Y158" s="23">
        <f>IF(LEFT(T158,5)="COGS|",N(O158),0)+IF(LEFT(U158,5)="COGS|",N(N158),0)+IF(LEFT(V158,5)="COGS|",-N(L158),0)+IF(LEFT(W158,5)="COGS|",-N(M158),0)</f>
        <v/>
      </c>
      <c r="Z158" s="23">
        <f>IF(LEFT(T158,8)="Expense|",N(O158),0)+IF(LEFT(U158,8)="Expense|",N(N158),0)+IF(LEFT(V158,8)="Expense|",-N(L158),0)+IF(LEFT(W158,8)="Expense|",-N(M158),0)</f>
        <v/>
      </c>
      <c r="AA158" s="23">
        <f>IF(ISNUMBER(MATCH(T158,{"Expense|employee","Expense|general_admin","Expense|marketing","Expense|utilities","Expense|other_operating"},0)),N(O158),0)+IF(ISNUMBER(MATCH(U158,{"Expense|employee","Expense|general_admin","Expense|marketing","Expense|utilities","Expense|other_operating"},0)),N(N158),0)+IF(ISNUMBER(MATCH(V158,{"Expense|employee","Expense|general_admin","Expense|marketing","Expense|utilities","Expense|other_operating"},0)),-N(L158),0)+IF(ISNUMBER(MATCH(W158,{"Expense|employee","Expense|general_admin","Expense|marketing","Expense|utilities","Expense|other_operating"},0)),-N(M158),0)</f>
        <v/>
      </c>
      <c r="AB158" s="23">
        <f>IF(T158="Liability|payable",-N(O158),0)+IF(U158="Liability|payable",-N(N158),0)+IF(V158="Liability|payable",N(L158),0)+IF(W158="Liability|payable",N(M158),0)</f>
        <v/>
      </c>
      <c r="AC158" s="23">
        <f>IF(T158="Liability|accrued",-N(O158),0)+IF(U158="Liability|accrued",-N(N158),0)+IF(V158="Liability|accrued",N(L158),0)+IF(W158="Liability|accrued",N(M158),0)</f>
        <v/>
      </c>
      <c r="AD158" s="23">
        <f>IF(AND(N(O158)&lt;&gt;0,T158=""),1,0)+IF(AND(N(N158)&lt;&gt;0,U158=""),1,0)+IF(AND(N(L158)&lt;&gt;0,V158=""),1,0)+IF(AND(N(M158)&lt;&gt;0,W158=""),1,0)</f>
        <v/>
      </c>
    </row>
    <row r="159">
      <c r="A159" s="14" t="n"/>
      <c r="B159" s="19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21">
        <f>SUMIFS('Invoice Lines'!$I:$I,'Invoice Lines'!$A:$A,A159)</f>
        <v/>
      </c>
      <c r="L159" s="21">
        <f>IF(E159="Draft",0,K159)</f>
        <v/>
      </c>
      <c r="M159" s="21">
        <f>ROUND(L159*IFERROR(VLOOKUP(I159,'Tax Codes'!$A$5:$E$300,5,FALSE),0),2)</f>
        <v/>
      </c>
      <c r="N159" s="21">
        <f>ROUND(L159*IFERROR(VLOOKUP(J159,'Tax Codes'!$A$5:$E$300,5,FALSE),0),2)</f>
        <v/>
      </c>
      <c r="O159" s="21">
        <f>L159+M159-N159</f>
        <v/>
      </c>
      <c r="P159" s="16">
        <f>IF(F159="",INDEX('Chart of Accounts'!$A$5:$A$3000,MATCH("ar",'Chart of Accounts'!$F$5:$F$3000,0)),F159&amp;"")</f>
        <v/>
      </c>
      <c r="Q159" s="16">
        <f>IF(G159="",INDEX('Chart of Accounts'!$A$5:$A$3000,MATCH("revenue",'Chart of Accounts'!$F$5:$F$3000,0)),G159&amp;"")</f>
        <v/>
      </c>
      <c r="R159" s="16">
        <f>INDEX('Chart of Accounts'!$A$5:$A$3000,MATCH("wht_receivable",'Chart of Accounts'!$F$5:$F$3000,0))</f>
        <v/>
      </c>
      <c r="S159" s="16">
        <f>INDEX('Chart of Accounts'!$A$5:$A$3000,MATCH("vat_output",'Chart of Accounts'!$F$5:$F$3000,0))</f>
        <v/>
      </c>
      <c r="T159" s="23">
        <f>IFERROR(INDEX('Chart of Accounts'!$C$5:$C$3000,MATCH(P159&amp;"",'Chart of Accounts'!$A$5:$A$3000,0))&amp;"|"&amp;INDEX('Chart of Accounts'!$D$5:$D$3000,MATCH(P159&amp;"",'Chart of Accounts'!$A$5:$A$3000,0)),"")</f>
        <v/>
      </c>
      <c r="U159" s="23">
        <f>IFERROR(INDEX('Chart of Accounts'!$C$5:$C$3000,MATCH(R159&amp;"",'Chart of Accounts'!$A$5:$A$3000,0))&amp;"|"&amp;INDEX('Chart of Accounts'!$D$5:$D$3000,MATCH(R159&amp;"",'Chart of Accounts'!$A$5:$A$3000,0)),"")</f>
        <v/>
      </c>
      <c r="V159" s="23">
        <f>IFERROR(INDEX('Chart of Accounts'!$C$5:$C$3000,MATCH(Q159&amp;"",'Chart of Accounts'!$A$5:$A$3000,0))&amp;"|"&amp;INDEX('Chart of Accounts'!$D$5:$D$3000,MATCH(Q159&amp;"",'Chart of Accounts'!$A$5:$A$3000,0)),"")</f>
        <v/>
      </c>
      <c r="W159" s="23">
        <f>IFERROR(INDEX('Chart of Accounts'!$C$5:$C$3000,MATCH(S159&amp;"",'Chart of Accounts'!$A$5:$A$3000,0))&amp;"|"&amp;INDEX('Chart of Accounts'!$D$5:$D$3000,MATCH(S159&amp;"",'Chart of Accounts'!$A$5:$A$3000,0)),"")</f>
        <v/>
      </c>
      <c r="X159" s="23">
        <f>IF(LEFT(T159,8)="Revenue|",-N(O159),0)+IF(LEFT(U159,8)="Revenue|",-N(N159),0)+IF(LEFT(V159,8)="Revenue|",N(L159),0)+IF(LEFT(W159,8)="Revenue|",N(M159),0)</f>
        <v/>
      </c>
      <c r="Y159" s="23">
        <f>IF(LEFT(T159,5)="COGS|",N(O159),0)+IF(LEFT(U159,5)="COGS|",N(N159),0)+IF(LEFT(V159,5)="COGS|",-N(L159),0)+IF(LEFT(W159,5)="COGS|",-N(M159),0)</f>
        <v/>
      </c>
      <c r="Z159" s="23">
        <f>IF(LEFT(T159,8)="Expense|",N(O159),0)+IF(LEFT(U159,8)="Expense|",N(N159),0)+IF(LEFT(V159,8)="Expense|",-N(L159),0)+IF(LEFT(W159,8)="Expense|",-N(M159),0)</f>
        <v/>
      </c>
      <c r="AA159" s="23">
        <f>IF(ISNUMBER(MATCH(T159,{"Expense|employee","Expense|general_admin","Expense|marketing","Expense|utilities","Expense|other_operating"},0)),N(O159),0)+IF(ISNUMBER(MATCH(U159,{"Expense|employee","Expense|general_admin","Expense|marketing","Expense|utilities","Expense|other_operating"},0)),N(N159),0)+IF(ISNUMBER(MATCH(V159,{"Expense|employee","Expense|general_admin","Expense|marketing","Expense|utilities","Expense|other_operating"},0)),-N(L159),0)+IF(ISNUMBER(MATCH(W159,{"Expense|employee","Expense|general_admin","Expense|marketing","Expense|utilities","Expense|other_operating"},0)),-N(M159),0)</f>
        <v/>
      </c>
      <c r="AB159" s="23">
        <f>IF(T159="Liability|payable",-N(O159),0)+IF(U159="Liability|payable",-N(N159),0)+IF(V159="Liability|payable",N(L159),0)+IF(W159="Liability|payable",N(M159),0)</f>
        <v/>
      </c>
      <c r="AC159" s="23">
        <f>IF(T159="Liability|accrued",-N(O159),0)+IF(U159="Liability|accrued",-N(N159),0)+IF(V159="Liability|accrued",N(L159),0)+IF(W159="Liability|accrued",N(M159),0)</f>
        <v/>
      </c>
      <c r="AD159" s="23">
        <f>IF(AND(N(O159)&lt;&gt;0,T159=""),1,0)+IF(AND(N(N159)&lt;&gt;0,U159=""),1,0)+IF(AND(N(L159)&lt;&gt;0,V159=""),1,0)+IF(AND(N(M159)&lt;&gt;0,W159=""),1,0)</f>
        <v/>
      </c>
    </row>
    <row r="160">
      <c r="A160" s="14" t="n"/>
      <c r="B160" s="19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21">
        <f>SUMIFS('Invoice Lines'!$I:$I,'Invoice Lines'!$A:$A,A160)</f>
        <v/>
      </c>
      <c r="L160" s="21">
        <f>IF(E160="Draft",0,K160)</f>
        <v/>
      </c>
      <c r="M160" s="21">
        <f>ROUND(L160*IFERROR(VLOOKUP(I160,'Tax Codes'!$A$5:$E$300,5,FALSE),0),2)</f>
        <v/>
      </c>
      <c r="N160" s="21">
        <f>ROUND(L160*IFERROR(VLOOKUP(J160,'Tax Codes'!$A$5:$E$300,5,FALSE),0),2)</f>
        <v/>
      </c>
      <c r="O160" s="21">
        <f>L160+M160-N160</f>
        <v/>
      </c>
      <c r="P160" s="16">
        <f>IF(F160="",INDEX('Chart of Accounts'!$A$5:$A$3000,MATCH("ar",'Chart of Accounts'!$F$5:$F$3000,0)),F160&amp;"")</f>
        <v/>
      </c>
      <c r="Q160" s="16">
        <f>IF(G160="",INDEX('Chart of Accounts'!$A$5:$A$3000,MATCH("revenue",'Chart of Accounts'!$F$5:$F$3000,0)),G160&amp;"")</f>
        <v/>
      </c>
      <c r="R160" s="16">
        <f>INDEX('Chart of Accounts'!$A$5:$A$3000,MATCH("wht_receivable",'Chart of Accounts'!$F$5:$F$3000,0))</f>
        <v/>
      </c>
      <c r="S160" s="16">
        <f>INDEX('Chart of Accounts'!$A$5:$A$3000,MATCH("vat_output",'Chart of Accounts'!$F$5:$F$3000,0))</f>
        <v/>
      </c>
      <c r="T160" s="23">
        <f>IFERROR(INDEX('Chart of Accounts'!$C$5:$C$3000,MATCH(P160&amp;"",'Chart of Accounts'!$A$5:$A$3000,0))&amp;"|"&amp;INDEX('Chart of Accounts'!$D$5:$D$3000,MATCH(P160&amp;"",'Chart of Accounts'!$A$5:$A$3000,0)),"")</f>
        <v/>
      </c>
      <c r="U160" s="23">
        <f>IFERROR(INDEX('Chart of Accounts'!$C$5:$C$3000,MATCH(R160&amp;"",'Chart of Accounts'!$A$5:$A$3000,0))&amp;"|"&amp;INDEX('Chart of Accounts'!$D$5:$D$3000,MATCH(R160&amp;"",'Chart of Accounts'!$A$5:$A$3000,0)),"")</f>
        <v/>
      </c>
      <c r="V160" s="23">
        <f>IFERROR(INDEX('Chart of Accounts'!$C$5:$C$3000,MATCH(Q160&amp;"",'Chart of Accounts'!$A$5:$A$3000,0))&amp;"|"&amp;INDEX('Chart of Accounts'!$D$5:$D$3000,MATCH(Q160&amp;"",'Chart of Accounts'!$A$5:$A$3000,0)),"")</f>
        <v/>
      </c>
      <c r="W160" s="23">
        <f>IFERROR(INDEX('Chart of Accounts'!$C$5:$C$3000,MATCH(S160&amp;"",'Chart of Accounts'!$A$5:$A$3000,0))&amp;"|"&amp;INDEX('Chart of Accounts'!$D$5:$D$3000,MATCH(S160&amp;"",'Chart of Accounts'!$A$5:$A$3000,0)),"")</f>
        <v/>
      </c>
      <c r="X160" s="23">
        <f>IF(LEFT(T160,8)="Revenue|",-N(O160),0)+IF(LEFT(U160,8)="Revenue|",-N(N160),0)+IF(LEFT(V160,8)="Revenue|",N(L160),0)+IF(LEFT(W160,8)="Revenue|",N(M160),0)</f>
        <v/>
      </c>
      <c r="Y160" s="23">
        <f>IF(LEFT(T160,5)="COGS|",N(O160),0)+IF(LEFT(U160,5)="COGS|",N(N160),0)+IF(LEFT(V160,5)="COGS|",-N(L160),0)+IF(LEFT(W160,5)="COGS|",-N(M160),0)</f>
        <v/>
      </c>
      <c r="Z160" s="23">
        <f>IF(LEFT(T160,8)="Expense|",N(O160),0)+IF(LEFT(U160,8)="Expense|",N(N160),0)+IF(LEFT(V160,8)="Expense|",-N(L160),0)+IF(LEFT(W160,8)="Expense|",-N(M160),0)</f>
        <v/>
      </c>
      <c r="AA160" s="23">
        <f>IF(ISNUMBER(MATCH(T160,{"Expense|employee","Expense|general_admin","Expense|marketing","Expense|utilities","Expense|other_operating"},0)),N(O160),0)+IF(ISNUMBER(MATCH(U160,{"Expense|employee","Expense|general_admin","Expense|marketing","Expense|utilities","Expense|other_operating"},0)),N(N160),0)+IF(ISNUMBER(MATCH(V160,{"Expense|employee","Expense|general_admin","Expense|marketing","Expense|utilities","Expense|other_operating"},0)),-N(L160),0)+IF(ISNUMBER(MATCH(W160,{"Expense|employee","Expense|general_admin","Expense|marketing","Expense|utilities","Expense|other_operating"},0)),-N(M160),0)</f>
        <v/>
      </c>
      <c r="AB160" s="23">
        <f>IF(T160="Liability|payable",-N(O160),0)+IF(U160="Liability|payable",-N(N160),0)+IF(V160="Liability|payable",N(L160),0)+IF(W160="Liability|payable",N(M160),0)</f>
        <v/>
      </c>
      <c r="AC160" s="23">
        <f>IF(T160="Liability|accrued",-N(O160),0)+IF(U160="Liability|accrued",-N(N160),0)+IF(V160="Liability|accrued",N(L160),0)+IF(W160="Liability|accrued",N(M160),0)</f>
        <v/>
      </c>
      <c r="AD160" s="23">
        <f>IF(AND(N(O160)&lt;&gt;0,T160=""),1,0)+IF(AND(N(N160)&lt;&gt;0,U160=""),1,0)+IF(AND(N(L160)&lt;&gt;0,V160=""),1,0)+IF(AND(N(M160)&lt;&gt;0,W160=""),1,0)</f>
        <v/>
      </c>
    </row>
    <row r="161">
      <c r="A161" s="14" t="n"/>
      <c r="B161" s="19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21">
        <f>SUMIFS('Invoice Lines'!$I:$I,'Invoice Lines'!$A:$A,A161)</f>
        <v/>
      </c>
      <c r="L161" s="21">
        <f>IF(E161="Draft",0,K161)</f>
        <v/>
      </c>
      <c r="M161" s="21">
        <f>ROUND(L161*IFERROR(VLOOKUP(I161,'Tax Codes'!$A$5:$E$300,5,FALSE),0),2)</f>
        <v/>
      </c>
      <c r="N161" s="21">
        <f>ROUND(L161*IFERROR(VLOOKUP(J161,'Tax Codes'!$A$5:$E$300,5,FALSE),0),2)</f>
        <v/>
      </c>
      <c r="O161" s="21">
        <f>L161+M161-N161</f>
        <v/>
      </c>
      <c r="P161" s="16">
        <f>IF(F161="",INDEX('Chart of Accounts'!$A$5:$A$3000,MATCH("ar",'Chart of Accounts'!$F$5:$F$3000,0)),F161&amp;"")</f>
        <v/>
      </c>
      <c r="Q161" s="16">
        <f>IF(G161="",INDEX('Chart of Accounts'!$A$5:$A$3000,MATCH("revenue",'Chart of Accounts'!$F$5:$F$3000,0)),G161&amp;"")</f>
        <v/>
      </c>
      <c r="R161" s="16">
        <f>INDEX('Chart of Accounts'!$A$5:$A$3000,MATCH("wht_receivable",'Chart of Accounts'!$F$5:$F$3000,0))</f>
        <v/>
      </c>
      <c r="S161" s="16">
        <f>INDEX('Chart of Accounts'!$A$5:$A$3000,MATCH("vat_output",'Chart of Accounts'!$F$5:$F$3000,0))</f>
        <v/>
      </c>
      <c r="T161" s="23">
        <f>IFERROR(INDEX('Chart of Accounts'!$C$5:$C$3000,MATCH(P161&amp;"",'Chart of Accounts'!$A$5:$A$3000,0))&amp;"|"&amp;INDEX('Chart of Accounts'!$D$5:$D$3000,MATCH(P161&amp;"",'Chart of Accounts'!$A$5:$A$3000,0)),"")</f>
        <v/>
      </c>
      <c r="U161" s="23">
        <f>IFERROR(INDEX('Chart of Accounts'!$C$5:$C$3000,MATCH(R161&amp;"",'Chart of Accounts'!$A$5:$A$3000,0))&amp;"|"&amp;INDEX('Chart of Accounts'!$D$5:$D$3000,MATCH(R161&amp;"",'Chart of Accounts'!$A$5:$A$3000,0)),"")</f>
        <v/>
      </c>
      <c r="V161" s="23">
        <f>IFERROR(INDEX('Chart of Accounts'!$C$5:$C$3000,MATCH(Q161&amp;"",'Chart of Accounts'!$A$5:$A$3000,0))&amp;"|"&amp;INDEX('Chart of Accounts'!$D$5:$D$3000,MATCH(Q161&amp;"",'Chart of Accounts'!$A$5:$A$3000,0)),"")</f>
        <v/>
      </c>
      <c r="W161" s="23">
        <f>IFERROR(INDEX('Chart of Accounts'!$C$5:$C$3000,MATCH(S161&amp;"",'Chart of Accounts'!$A$5:$A$3000,0))&amp;"|"&amp;INDEX('Chart of Accounts'!$D$5:$D$3000,MATCH(S161&amp;"",'Chart of Accounts'!$A$5:$A$3000,0)),"")</f>
        <v/>
      </c>
      <c r="X161" s="23">
        <f>IF(LEFT(T161,8)="Revenue|",-N(O161),0)+IF(LEFT(U161,8)="Revenue|",-N(N161),0)+IF(LEFT(V161,8)="Revenue|",N(L161),0)+IF(LEFT(W161,8)="Revenue|",N(M161),0)</f>
        <v/>
      </c>
      <c r="Y161" s="23">
        <f>IF(LEFT(T161,5)="COGS|",N(O161),0)+IF(LEFT(U161,5)="COGS|",N(N161),0)+IF(LEFT(V161,5)="COGS|",-N(L161),0)+IF(LEFT(W161,5)="COGS|",-N(M161),0)</f>
        <v/>
      </c>
      <c r="Z161" s="23">
        <f>IF(LEFT(T161,8)="Expense|",N(O161),0)+IF(LEFT(U161,8)="Expense|",N(N161),0)+IF(LEFT(V161,8)="Expense|",-N(L161),0)+IF(LEFT(W161,8)="Expense|",-N(M161),0)</f>
        <v/>
      </c>
      <c r="AA161" s="23">
        <f>IF(ISNUMBER(MATCH(T161,{"Expense|employee","Expense|general_admin","Expense|marketing","Expense|utilities","Expense|other_operating"},0)),N(O161),0)+IF(ISNUMBER(MATCH(U161,{"Expense|employee","Expense|general_admin","Expense|marketing","Expense|utilities","Expense|other_operating"},0)),N(N161),0)+IF(ISNUMBER(MATCH(V161,{"Expense|employee","Expense|general_admin","Expense|marketing","Expense|utilities","Expense|other_operating"},0)),-N(L161),0)+IF(ISNUMBER(MATCH(W161,{"Expense|employee","Expense|general_admin","Expense|marketing","Expense|utilities","Expense|other_operating"},0)),-N(M161),0)</f>
        <v/>
      </c>
      <c r="AB161" s="23">
        <f>IF(T161="Liability|payable",-N(O161),0)+IF(U161="Liability|payable",-N(N161),0)+IF(V161="Liability|payable",N(L161),0)+IF(W161="Liability|payable",N(M161),0)</f>
        <v/>
      </c>
      <c r="AC161" s="23">
        <f>IF(T161="Liability|accrued",-N(O161),0)+IF(U161="Liability|accrued",-N(N161),0)+IF(V161="Liability|accrued",N(L161),0)+IF(W161="Liability|accrued",N(M161),0)</f>
        <v/>
      </c>
      <c r="AD161" s="23">
        <f>IF(AND(N(O161)&lt;&gt;0,T161=""),1,0)+IF(AND(N(N161)&lt;&gt;0,U161=""),1,0)+IF(AND(N(L161)&lt;&gt;0,V161=""),1,0)+IF(AND(N(M161)&lt;&gt;0,W161=""),1,0)</f>
        <v/>
      </c>
    </row>
    <row r="162">
      <c r="A162" s="14" t="n"/>
      <c r="B162" s="19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21">
        <f>SUMIFS('Invoice Lines'!$I:$I,'Invoice Lines'!$A:$A,A162)</f>
        <v/>
      </c>
      <c r="L162" s="21">
        <f>IF(E162="Draft",0,K162)</f>
        <v/>
      </c>
      <c r="M162" s="21">
        <f>ROUND(L162*IFERROR(VLOOKUP(I162,'Tax Codes'!$A$5:$E$300,5,FALSE),0),2)</f>
        <v/>
      </c>
      <c r="N162" s="21">
        <f>ROUND(L162*IFERROR(VLOOKUP(J162,'Tax Codes'!$A$5:$E$300,5,FALSE),0),2)</f>
        <v/>
      </c>
      <c r="O162" s="21">
        <f>L162+M162-N162</f>
        <v/>
      </c>
      <c r="P162" s="16">
        <f>IF(F162="",INDEX('Chart of Accounts'!$A$5:$A$3000,MATCH("ar",'Chart of Accounts'!$F$5:$F$3000,0)),F162&amp;"")</f>
        <v/>
      </c>
      <c r="Q162" s="16">
        <f>IF(G162="",INDEX('Chart of Accounts'!$A$5:$A$3000,MATCH("revenue",'Chart of Accounts'!$F$5:$F$3000,0)),G162&amp;"")</f>
        <v/>
      </c>
      <c r="R162" s="16">
        <f>INDEX('Chart of Accounts'!$A$5:$A$3000,MATCH("wht_receivable",'Chart of Accounts'!$F$5:$F$3000,0))</f>
        <v/>
      </c>
      <c r="S162" s="16">
        <f>INDEX('Chart of Accounts'!$A$5:$A$3000,MATCH("vat_output",'Chart of Accounts'!$F$5:$F$3000,0))</f>
        <v/>
      </c>
      <c r="T162" s="23">
        <f>IFERROR(INDEX('Chart of Accounts'!$C$5:$C$3000,MATCH(P162&amp;"",'Chart of Accounts'!$A$5:$A$3000,0))&amp;"|"&amp;INDEX('Chart of Accounts'!$D$5:$D$3000,MATCH(P162&amp;"",'Chart of Accounts'!$A$5:$A$3000,0)),"")</f>
        <v/>
      </c>
      <c r="U162" s="23">
        <f>IFERROR(INDEX('Chart of Accounts'!$C$5:$C$3000,MATCH(R162&amp;"",'Chart of Accounts'!$A$5:$A$3000,0))&amp;"|"&amp;INDEX('Chart of Accounts'!$D$5:$D$3000,MATCH(R162&amp;"",'Chart of Accounts'!$A$5:$A$3000,0)),"")</f>
        <v/>
      </c>
      <c r="V162" s="23">
        <f>IFERROR(INDEX('Chart of Accounts'!$C$5:$C$3000,MATCH(Q162&amp;"",'Chart of Accounts'!$A$5:$A$3000,0))&amp;"|"&amp;INDEX('Chart of Accounts'!$D$5:$D$3000,MATCH(Q162&amp;"",'Chart of Accounts'!$A$5:$A$3000,0)),"")</f>
        <v/>
      </c>
      <c r="W162" s="23">
        <f>IFERROR(INDEX('Chart of Accounts'!$C$5:$C$3000,MATCH(S162&amp;"",'Chart of Accounts'!$A$5:$A$3000,0))&amp;"|"&amp;INDEX('Chart of Accounts'!$D$5:$D$3000,MATCH(S162&amp;"",'Chart of Accounts'!$A$5:$A$3000,0)),"")</f>
        <v/>
      </c>
      <c r="X162" s="23">
        <f>IF(LEFT(T162,8)="Revenue|",-N(O162),0)+IF(LEFT(U162,8)="Revenue|",-N(N162),0)+IF(LEFT(V162,8)="Revenue|",N(L162),0)+IF(LEFT(W162,8)="Revenue|",N(M162),0)</f>
        <v/>
      </c>
      <c r="Y162" s="23">
        <f>IF(LEFT(T162,5)="COGS|",N(O162),0)+IF(LEFT(U162,5)="COGS|",N(N162),0)+IF(LEFT(V162,5)="COGS|",-N(L162),0)+IF(LEFT(W162,5)="COGS|",-N(M162),0)</f>
        <v/>
      </c>
      <c r="Z162" s="23">
        <f>IF(LEFT(T162,8)="Expense|",N(O162),0)+IF(LEFT(U162,8)="Expense|",N(N162),0)+IF(LEFT(V162,8)="Expense|",-N(L162),0)+IF(LEFT(W162,8)="Expense|",-N(M162),0)</f>
        <v/>
      </c>
      <c r="AA162" s="23">
        <f>IF(ISNUMBER(MATCH(T162,{"Expense|employee","Expense|general_admin","Expense|marketing","Expense|utilities","Expense|other_operating"},0)),N(O162),0)+IF(ISNUMBER(MATCH(U162,{"Expense|employee","Expense|general_admin","Expense|marketing","Expense|utilities","Expense|other_operating"},0)),N(N162),0)+IF(ISNUMBER(MATCH(V162,{"Expense|employee","Expense|general_admin","Expense|marketing","Expense|utilities","Expense|other_operating"},0)),-N(L162),0)+IF(ISNUMBER(MATCH(W162,{"Expense|employee","Expense|general_admin","Expense|marketing","Expense|utilities","Expense|other_operating"},0)),-N(M162),0)</f>
        <v/>
      </c>
      <c r="AB162" s="23">
        <f>IF(T162="Liability|payable",-N(O162),0)+IF(U162="Liability|payable",-N(N162),0)+IF(V162="Liability|payable",N(L162),0)+IF(W162="Liability|payable",N(M162),0)</f>
        <v/>
      </c>
      <c r="AC162" s="23">
        <f>IF(T162="Liability|accrued",-N(O162),0)+IF(U162="Liability|accrued",-N(N162),0)+IF(V162="Liability|accrued",N(L162),0)+IF(W162="Liability|accrued",N(M162),0)</f>
        <v/>
      </c>
      <c r="AD162" s="23">
        <f>IF(AND(N(O162)&lt;&gt;0,T162=""),1,0)+IF(AND(N(N162)&lt;&gt;0,U162=""),1,0)+IF(AND(N(L162)&lt;&gt;0,V162=""),1,0)+IF(AND(N(M162)&lt;&gt;0,W162=""),1,0)</f>
        <v/>
      </c>
    </row>
    <row r="163">
      <c r="A163" s="14" t="n"/>
      <c r="B163" s="19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21">
        <f>SUMIFS('Invoice Lines'!$I:$I,'Invoice Lines'!$A:$A,A163)</f>
        <v/>
      </c>
      <c r="L163" s="21">
        <f>IF(E163="Draft",0,K163)</f>
        <v/>
      </c>
      <c r="M163" s="21">
        <f>ROUND(L163*IFERROR(VLOOKUP(I163,'Tax Codes'!$A$5:$E$300,5,FALSE),0),2)</f>
        <v/>
      </c>
      <c r="N163" s="21">
        <f>ROUND(L163*IFERROR(VLOOKUP(J163,'Tax Codes'!$A$5:$E$300,5,FALSE),0),2)</f>
        <v/>
      </c>
      <c r="O163" s="21">
        <f>L163+M163-N163</f>
        <v/>
      </c>
      <c r="P163" s="16">
        <f>IF(F163="",INDEX('Chart of Accounts'!$A$5:$A$3000,MATCH("ar",'Chart of Accounts'!$F$5:$F$3000,0)),F163&amp;"")</f>
        <v/>
      </c>
      <c r="Q163" s="16">
        <f>IF(G163="",INDEX('Chart of Accounts'!$A$5:$A$3000,MATCH("revenue",'Chart of Accounts'!$F$5:$F$3000,0)),G163&amp;"")</f>
        <v/>
      </c>
      <c r="R163" s="16">
        <f>INDEX('Chart of Accounts'!$A$5:$A$3000,MATCH("wht_receivable",'Chart of Accounts'!$F$5:$F$3000,0))</f>
        <v/>
      </c>
      <c r="S163" s="16">
        <f>INDEX('Chart of Accounts'!$A$5:$A$3000,MATCH("vat_output",'Chart of Accounts'!$F$5:$F$3000,0))</f>
        <v/>
      </c>
      <c r="T163" s="23">
        <f>IFERROR(INDEX('Chart of Accounts'!$C$5:$C$3000,MATCH(P163&amp;"",'Chart of Accounts'!$A$5:$A$3000,0))&amp;"|"&amp;INDEX('Chart of Accounts'!$D$5:$D$3000,MATCH(P163&amp;"",'Chart of Accounts'!$A$5:$A$3000,0)),"")</f>
        <v/>
      </c>
      <c r="U163" s="23">
        <f>IFERROR(INDEX('Chart of Accounts'!$C$5:$C$3000,MATCH(R163&amp;"",'Chart of Accounts'!$A$5:$A$3000,0))&amp;"|"&amp;INDEX('Chart of Accounts'!$D$5:$D$3000,MATCH(R163&amp;"",'Chart of Accounts'!$A$5:$A$3000,0)),"")</f>
        <v/>
      </c>
      <c r="V163" s="23">
        <f>IFERROR(INDEX('Chart of Accounts'!$C$5:$C$3000,MATCH(Q163&amp;"",'Chart of Accounts'!$A$5:$A$3000,0))&amp;"|"&amp;INDEX('Chart of Accounts'!$D$5:$D$3000,MATCH(Q163&amp;"",'Chart of Accounts'!$A$5:$A$3000,0)),"")</f>
        <v/>
      </c>
      <c r="W163" s="23">
        <f>IFERROR(INDEX('Chart of Accounts'!$C$5:$C$3000,MATCH(S163&amp;"",'Chart of Accounts'!$A$5:$A$3000,0))&amp;"|"&amp;INDEX('Chart of Accounts'!$D$5:$D$3000,MATCH(S163&amp;"",'Chart of Accounts'!$A$5:$A$3000,0)),"")</f>
        <v/>
      </c>
      <c r="X163" s="23">
        <f>IF(LEFT(T163,8)="Revenue|",-N(O163),0)+IF(LEFT(U163,8)="Revenue|",-N(N163),0)+IF(LEFT(V163,8)="Revenue|",N(L163),0)+IF(LEFT(W163,8)="Revenue|",N(M163),0)</f>
        <v/>
      </c>
      <c r="Y163" s="23">
        <f>IF(LEFT(T163,5)="COGS|",N(O163),0)+IF(LEFT(U163,5)="COGS|",N(N163),0)+IF(LEFT(V163,5)="COGS|",-N(L163),0)+IF(LEFT(W163,5)="COGS|",-N(M163),0)</f>
        <v/>
      </c>
      <c r="Z163" s="23">
        <f>IF(LEFT(T163,8)="Expense|",N(O163),0)+IF(LEFT(U163,8)="Expense|",N(N163),0)+IF(LEFT(V163,8)="Expense|",-N(L163),0)+IF(LEFT(W163,8)="Expense|",-N(M163),0)</f>
        <v/>
      </c>
      <c r="AA163" s="23">
        <f>IF(ISNUMBER(MATCH(T163,{"Expense|employee","Expense|general_admin","Expense|marketing","Expense|utilities","Expense|other_operating"},0)),N(O163),0)+IF(ISNUMBER(MATCH(U163,{"Expense|employee","Expense|general_admin","Expense|marketing","Expense|utilities","Expense|other_operating"},0)),N(N163),0)+IF(ISNUMBER(MATCH(V163,{"Expense|employee","Expense|general_admin","Expense|marketing","Expense|utilities","Expense|other_operating"},0)),-N(L163),0)+IF(ISNUMBER(MATCH(W163,{"Expense|employee","Expense|general_admin","Expense|marketing","Expense|utilities","Expense|other_operating"},0)),-N(M163),0)</f>
        <v/>
      </c>
      <c r="AB163" s="23">
        <f>IF(T163="Liability|payable",-N(O163),0)+IF(U163="Liability|payable",-N(N163),0)+IF(V163="Liability|payable",N(L163),0)+IF(W163="Liability|payable",N(M163),0)</f>
        <v/>
      </c>
      <c r="AC163" s="23">
        <f>IF(T163="Liability|accrued",-N(O163),0)+IF(U163="Liability|accrued",-N(N163),0)+IF(V163="Liability|accrued",N(L163),0)+IF(W163="Liability|accrued",N(M163),0)</f>
        <v/>
      </c>
      <c r="AD163" s="23">
        <f>IF(AND(N(O163)&lt;&gt;0,T163=""),1,0)+IF(AND(N(N163)&lt;&gt;0,U163=""),1,0)+IF(AND(N(L163)&lt;&gt;0,V163=""),1,0)+IF(AND(N(M163)&lt;&gt;0,W163=""),1,0)</f>
        <v/>
      </c>
    </row>
    <row r="164">
      <c r="A164" s="14" t="n"/>
      <c r="B164" s="19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21">
        <f>SUMIFS('Invoice Lines'!$I:$I,'Invoice Lines'!$A:$A,A164)</f>
        <v/>
      </c>
      <c r="L164" s="21">
        <f>IF(E164="Draft",0,K164)</f>
        <v/>
      </c>
      <c r="M164" s="21">
        <f>ROUND(L164*IFERROR(VLOOKUP(I164,'Tax Codes'!$A$5:$E$300,5,FALSE),0),2)</f>
        <v/>
      </c>
      <c r="N164" s="21">
        <f>ROUND(L164*IFERROR(VLOOKUP(J164,'Tax Codes'!$A$5:$E$300,5,FALSE),0),2)</f>
        <v/>
      </c>
      <c r="O164" s="21">
        <f>L164+M164-N164</f>
        <v/>
      </c>
      <c r="P164" s="16">
        <f>IF(F164="",INDEX('Chart of Accounts'!$A$5:$A$3000,MATCH("ar",'Chart of Accounts'!$F$5:$F$3000,0)),F164&amp;"")</f>
        <v/>
      </c>
      <c r="Q164" s="16">
        <f>IF(G164="",INDEX('Chart of Accounts'!$A$5:$A$3000,MATCH("revenue",'Chart of Accounts'!$F$5:$F$3000,0)),G164&amp;"")</f>
        <v/>
      </c>
      <c r="R164" s="16">
        <f>INDEX('Chart of Accounts'!$A$5:$A$3000,MATCH("wht_receivable",'Chart of Accounts'!$F$5:$F$3000,0))</f>
        <v/>
      </c>
      <c r="S164" s="16">
        <f>INDEX('Chart of Accounts'!$A$5:$A$3000,MATCH("vat_output",'Chart of Accounts'!$F$5:$F$3000,0))</f>
        <v/>
      </c>
      <c r="T164" s="23">
        <f>IFERROR(INDEX('Chart of Accounts'!$C$5:$C$3000,MATCH(P164&amp;"",'Chart of Accounts'!$A$5:$A$3000,0))&amp;"|"&amp;INDEX('Chart of Accounts'!$D$5:$D$3000,MATCH(P164&amp;"",'Chart of Accounts'!$A$5:$A$3000,0)),"")</f>
        <v/>
      </c>
      <c r="U164" s="23">
        <f>IFERROR(INDEX('Chart of Accounts'!$C$5:$C$3000,MATCH(R164&amp;"",'Chart of Accounts'!$A$5:$A$3000,0))&amp;"|"&amp;INDEX('Chart of Accounts'!$D$5:$D$3000,MATCH(R164&amp;"",'Chart of Accounts'!$A$5:$A$3000,0)),"")</f>
        <v/>
      </c>
      <c r="V164" s="23">
        <f>IFERROR(INDEX('Chart of Accounts'!$C$5:$C$3000,MATCH(Q164&amp;"",'Chart of Accounts'!$A$5:$A$3000,0))&amp;"|"&amp;INDEX('Chart of Accounts'!$D$5:$D$3000,MATCH(Q164&amp;"",'Chart of Accounts'!$A$5:$A$3000,0)),"")</f>
        <v/>
      </c>
      <c r="W164" s="23">
        <f>IFERROR(INDEX('Chart of Accounts'!$C$5:$C$3000,MATCH(S164&amp;"",'Chart of Accounts'!$A$5:$A$3000,0))&amp;"|"&amp;INDEX('Chart of Accounts'!$D$5:$D$3000,MATCH(S164&amp;"",'Chart of Accounts'!$A$5:$A$3000,0)),"")</f>
        <v/>
      </c>
      <c r="X164" s="23">
        <f>IF(LEFT(T164,8)="Revenue|",-N(O164),0)+IF(LEFT(U164,8)="Revenue|",-N(N164),0)+IF(LEFT(V164,8)="Revenue|",N(L164),0)+IF(LEFT(W164,8)="Revenue|",N(M164),0)</f>
        <v/>
      </c>
      <c r="Y164" s="23">
        <f>IF(LEFT(T164,5)="COGS|",N(O164),0)+IF(LEFT(U164,5)="COGS|",N(N164),0)+IF(LEFT(V164,5)="COGS|",-N(L164),0)+IF(LEFT(W164,5)="COGS|",-N(M164),0)</f>
        <v/>
      </c>
      <c r="Z164" s="23">
        <f>IF(LEFT(T164,8)="Expense|",N(O164),0)+IF(LEFT(U164,8)="Expense|",N(N164),0)+IF(LEFT(V164,8)="Expense|",-N(L164),0)+IF(LEFT(W164,8)="Expense|",-N(M164),0)</f>
        <v/>
      </c>
      <c r="AA164" s="23">
        <f>IF(ISNUMBER(MATCH(T164,{"Expense|employee","Expense|general_admin","Expense|marketing","Expense|utilities","Expense|other_operating"},0)),N(O164),0)+IF(ISNUMBER(MATCH(U164,{"Expense|employee","Expense|general_admin","Expense|marketing","Expense|utilities","Expense|other_operating"},0)),N(N164),0)+IF(ISNUMBER(MATCH(V164,{"Expense|employee","Expense|general_admin","Expense|marketing","Expense|utilities","Expense|other_operating"},0)),-N(L164),0)+IF(ISNUMBER(MATCH(W164,{"Expense|employee","Expense|general_admin","Expense|marketing","Expense|utilities","Expense|other_operating"},0)),-N(M164),0)</f>
        <v/>
      </c>
      <c r="AB164" s="23">
        <f>IF(T164="Liability|payable",-N(O164),0)+IF(U164="Liability|payable",-N(N164),0)+IF(V164="Liability|payable",N(L164),0)+IF(W164="Liability|payable",N(M164),0)</f>
        <v/>
      </c>
      <c r="AC164" s="23">
        <f>IF(T164="Liability|accrued",-N(O164),0)+IF(U164="Liability|accrued",-N(N164),0)+IF(V164="Liability|accrued",N(L164),0)+IF(W164="Liability|accrued",N(M164),0)</f>
        <v/>
      </c>
      <c r="AD164" s="23">
        <f>IF(AND(N(O164)&lt;&gt;0,T164=""),1,0)+IF(AND(N(N164)&lt;&gt;0,U164=""),1,0)+IF(AND(N(L164)&lt;&gt;0,V164=""),1,0)+IF(AND(N(M164)&lt;&gt;0,W164=""),1,0)</f>
        <v/>
      </c>
    </row>
    <row r="165">
      <c r="A165" s="14" t="n"/>
      <c r="B165" s="19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21">
        <f>SUMIFS('Invoice Lines'!$I:$I,'Invoice Lines'!$A:$A,A165)</f>
        <v/>
      </c>
      <c r="L165" s="21">
        <f>IF(E165="Draft",0,K165)</f>
        <v/>
      </c>
      <c r="M165" s="21">
        <f>ROUND(L165*IFERROR(VLOOKUP(I165,'Tax Codes'!$A$5:$E$300,5,FALSE),0),2)</f>
        <v/>
      </c>
      <c r="N165" s="21">
        <f>ROUND(L165*IFERROR(VLOOKUP(J165,'Tax Codes'!$A$5:$E$300,5,FALSE),0),2)</f>
        <v/>
      </c>
      <c r="O165" s="21">
        <f>L165+M165-N165</f>
        <v/>
      </c>
      <c r="P165" s="16">
        <f>IF(F165="",INDEX('Chart of Accounts'!$A$5:$A$3000,MATCH("ar",'Chart of Accounts'!$F$5:$F$3000,0)),F165&amp;"")</f>
        <v/>
      </c>
      <c r="Q165" s="16">
        <f>IF(G165="",INDEX('Chart of Accounts'!$A$5:$A$3000,MATCH("revenue",'Chart of Accounts'!$F$5:$F$3000,0)),G165&amp;"")</f>
        <v/>
      </c>
      <c r="R165" s="16">
        <f>INDEX('Chart of Accounts'!$A$5:$A$3000,MATCH("wht_receivable",'Chart of Accounts'!$F$5:$F$3000,0))</f>
        <v/>
      </c>
      <c r="S165" s="16">
        <f>INDEX('Chart of Accounts'!$A$5:$A$3000,MATCH("vat_output",'Chart of Accounts'!$F$5:$F$3000,0))</f>
        <v/>
      </c>
      <c r="T165" s="23">
        <f>IFERROR(INDEX('Chart of Accounts'!$C$5:$C$3000,MATCH(P165&amp;"",'Chart of Accounts'!$A$5:$A$3000,0))&amp;"|"&amp;INDEX('Chart of Accounts'!$D$5:$D$3000,MATCH(P165&amp;"",'Chart of Accounts'!$A$5:$A$3000,0)),"")</f>
        <v/>
      </c>
      <c r="U165" s="23">
        <f>IFERROR(INDEX('Chart of Accounts'!$C$5:$C$3000,MATCH(R165&amp;"",'Chart of Accounts'!$A$5:$A$3000,0))&amp;"|"&amp;INDEX('Chart of Accounts'!$D$5:$D$3000,MATCH(R165&amp;"",'Chart of Accounts'!$A$5:$A$3000,0)),"")</f>
        <v/>
      </c>
      <c r="V165" s="23">
        <f>IFERROR(INDEX('Chart of Accounts'!$C$5:$C$3000,MATCH(Q165&amp;"",'Chart of Accounts'!$A$5:$A$3000,0))&amp;"|"&amp;INDEX('Chart of Accounts'!$D$5:$D$3000,MATCH(Q165&amp;"",'Chart of Accounts'!$A$5:$A$3000,0)),"")</f>
        <v/>
      </c>
      <c r="W165" s="23">
        <f>IFERROR(INDEX('Chart of Accounts'!$C$5:$C$3000,MATCH(S165&amp;"",'Chart of Accounts'!$A$5:$A$3000,0))&amp;"|"&amp;INDEX('Chart of Accounts'!$D$5:$D$3000,MATCH(S165&amp;"",'Chart of Accounts'!$A$5:$A$3000,0)),"")</f>
        <v/>
      </c>
      <c r="X165" s="23">
        <f>IF(LEFT(T165,8)="Revenue|",-N(O165),0)+IF(LEFT(U165,8)="Revenue|",-N(N165),0)+IF(LEFT(V165,8)="Revenue|",N(L165),0)+IF(LEFT(W165,8)="Revenue|",N(M165),0)</f>
        <v/>
      </c>
      <c r="Y165" s="23">
        <f>IF(LEFT(T165,5)="COGS|",N(O165),0)+IF(LEFT(U165,5)="COGS|",N(N165),0)+IF(LEFT(V165,5)="COGS|",-N(L165),0)+IF(LEFT(W165,5)="COGS|",-N(M165),0)</f>
        <v/>
      </c>
      <c r="Z165" s="23">
        <f>IF(LEFT(T165,8)="Expense|",N(O165),0)+IF(LEFT(U165,8)="Expense|",N(N165),0)+IF(LEFT(V165,8)="Expense|",-N(L165),0)+IF(LEFT(W165,8)="Expense|",-N(M165),0)</f>
        <v/>
      </c>
      <c r="AA165" s="23">
        <f>IF(ISNUMBER(MATCH(T165,{"Expense|employee","Expense|general_admin","Expense|marketing","Expense|utilities","Expense|other_operating"},0)),N(O165),0)+IF(ISNUMBER(MATCH(U165,{"Expense|employee","Expense|general_admin","Expense|marketing","Expense|utilities","Expense|other_operating"},0)),N(N165),0)+IF(ISNUMBER(MATCH(V165,{"Expense|employee","Expense|general_admin","Expense|marketing","Expense|utilities","Expense|other_operating"},0)),-N(L165),0)+IF(ISNUMBER(MATCH(W165,{"Expense|employee","Expense|general_admin","Expense|marketing","Expense|utilities","Expense|other_operating"},0)),-N(M165),0)</f>
        <v/>
      </c>
      <c r="AB165" s="23">
        <f>IF(T165="Liability|payable",-N(O165),0)+IF(U165="Liability|payable",-N(N165),0)+IF(V165="Liability|payable",N(L165),0)+IF(W165="Liability|payable",N(M165),0)</f>
        <v/>
      </c>
      <c r="AC165" s="23">
        <f>IF(T165="Liability|accrued",-N(O165),0)+IF(U165="Liability|accrued",-N(N165),0)+IF(V165="Liability|accrued",N(L165),0)+IF(W165="Liability|accrued",N(M165),0)</f>
        <v/>
      </c>
      <c r="AD165" s="23">
        <f>IF(AND(N(O165)&lt;&gt;0,T165=""),1,0)+IF(AND(N(N165)&lt;&gt;0,U165=""),1,0)+IF(AND(N(L165)&lt;&gt;0,V165=""),1,0)+IF(AND(N(M165)&lt;&gt;0,W165=""),1,0)</f>
        <v/>
      </c>
    </row>
    <row r="166">
      <c r="A166" s="14" t="n"/>
      <c r="B166" s="19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21">
        <f>SUMIFS('Invoice Lines'!$I:$I,'Invoice Lines'!$A:$A,A166)</f>
        <v/>
      </c>
      <c r="L166" s="21">
        <f>IF(E166="Draft",0,K166)</f>
        <v/>
      </c>
      <c r="M166" s="21">
        <f>ROUND(L166*IFERROR(VLOOKUP(I166,'Tax Codes'!$A$5:$E$300,5,FALSE),0),2)</f>
        <v/>
      </c>
      <c r="N166" s="21">
        <f>ROUND(L166*IFERROR(VLOOKUP(J166,'Tax Codes'!$A$5:$E$300,5,FALSE),0),2)</f>
        <v/>
      </c>
      <c r="O166" s="21">
        <f>L166+M166-N166</f>
        <v/>
      </c>
      <c r="P166" s="16">
        <f>IF(F166="",INDEX('Chart of Accounts'!$A$5:$A$3000,MATCH("ar",'Chart of Accounts'!$F$5:$F$3000,0)),F166&amp;"")</f>
        <v/>
      </c>
      <c r="Q166" s="16">
        <f>IF(G166="",INDEX('Chart of Accounts'!$A$5:$A$3000,MATCH("revenue",'Chart of Accounts'!$F$5:$F$3000,0)),G166&amp;"")</f>
        <v/>
      </c>
      <c r="R166" s="16">
        <f>INDEX('Chart of Accounts'!$A$5:$A$3000,MATCH("wht_receivable",'Chart of Accounts'!$F$5:$F$3000,0))</f>
        <v/>
      </c>
      <c r="S166" s="16">
        <f>INDEX('Chart of Accounts'!$A$5:$A$3000,MATCH("vat_output",'Chart of Accounts'!$F$5:$F$3000,0))</f>
        <v/>
      </c>
      <c r="T166" s="23">
        <f>IFERROR(INDEX('Chart of Accounts'!$C$5:$C$3000,MATCH(P166&amp;"",'Chart of Accounts'!$A$5:$A$3000,0))&amp;"|"&amp;INDEX('Chart of Accounts'!$D$5:$D$3000,MATCH(P166&amp;"",'Chart of Accounts'!$A$5:$A$3000,0)),"")</f>
        <v/>
      </c>
      <c r="U166" s="23">
        <f>IFERROR(INDEX('Chart of Accounts'!$C$5:$C$3000,MATCH(R166&amp;"",'Chart of Accounts'!$A$5:$A$3000,0))&amp;"|"&amp;INDEX('Chart of Accounts'!$D$5:$D$3000,MATCH(R166&amp;"",'Chart of Accounts'!$A$5:$A$3000,0)),"")</f>
        <v/>
      </c>
      <c r="V166" s="23">
        <f>IFERROR(INDEX('Chart of Accounts'!$C$5:$C$3000,MATCH(Q166&amp;"",'Chart of Accounts'!$A$5:$A$3000,0))&amp;"|"&amp;INDEX('Chart of Accounts'!$D$5:$D$3000,MATCH(Q166&amp;"",'Chart of Accounts'!$A$5:$A$3000,0)),"")</f>
        <v/>
      </c>
      <c r="W166" s="23">
        <f>IFERROR(INDEX('Chart of Accounts'!$C$5:$C$3000,MATCH(S166&amp;"",'Chart of Accounts'!$A$5:$A$3000,0))&amp;"|"&amp;INDEX('Chart of Accounts'!$D$5:$D$3000,MATCH(S166&amp;"",'Chart of Accounts'!$A$5:$A$3000,0)),"")</f>
        <v/>
      </c>
      <c r="X166" s="23">
        <f>IF(LEFT(T166,8)="Revenue|",-N(O166),0)+IF(LEFT(U166,8)="Revenue|",-N(N166),0)+IF(LEFT(V166,8)="Revenue|",N(L166),0)+IF(LEFT(W166,8)="Revenue|",N(M166),0)</f>
        <v/>
      </c>
      <c r="Y166" s="23">
        <f>IF(LEFT(T166,5)="COGS|",N(O166),0)+IF(LEFT(U166,5)="COGS|",N(N166),0)+IF(LEFT(V166,5)="COGS|",-N(L166),0)+IF(LEFT(W166,5)="COGS|",-N(M166),0)</f>
        <v/>
      </c>
      <c r="Z166" s="23">
        <f>IF(LEFT(T166,8)="Expense|",N(O166),0)+IF(LEFT(U166,8)="Expense|",N(N166),0)+IF(LEFT(V166,8)="Expense|",-N(L166),0)+IF(LEFT(W166,8)="Expense|",-N(M166),0)</f>
        <v/>
      </c>
      <c r="AA166" s="23">
        <f>IF(ISNUMBER(MATCH(T166,{"Expense|employee","Expense|general_admin","Expense|marketing","Expense|utilities","Expense|other_operating"},0)),N(O166),0)+IF(ISNUMBER(MATCH(U166,{"Expense|employee","Expense|general_admin","Expense|marketing","Expense|utilities","Expense|other_operating"},0)),N(N166),0)+IF(ISNUMBER(MATCH(V166,{"Expense|employee","Expense|general_admin","Expense|marketing","Expense|utilities","Expense|other_operating"},0)),-N(L166),0)+IF(ISNUMBER(MATCH(W166,{"Expense|employee","Expense|general_admin","Expense|marketing","Expense|utilities","Expense|other_operating"},0)),-N(M166),0)</f>
        <v/>
      </c>
      <c r="AB166" s="23">
        <f>IF(T166="Liability|payable",-N(O166),0)+IF(U166="Liability|payable",-N(N166),0)+IF(V166="Liability|payable",N(L166),0)+IF(W166="Liability|payable",N(M166),0)</f>
        <v/>
      </c>
      <c r="AC166" s="23">
        <f>IF(T166="Liability|accrued",-N(O166),0)+IF(U166="Liability|accrued",-N(N166),0)+IF(V166="Liability|accrued",N(L166),0)+IF(W166="Liability|accrued",N(M166),0)</f>
        <v/>
      </c>
      <c r="AD166" s="23">
        <f>IF(AND(N(O166)&lt;&gt;0,T166=""),1,0)+IF(AND(N(N166)&lt;&gt;0,U166=""),1,0)+IF(AND(N(L166)&lt;&gt;0,V166=""),1,0)+IF(AND(N(M166)&lt;&gt;0,W166=""),1,0)</f>
        <v/>
      </c>
    </row>
    <row r="167">
      <c r="A167" s="14" t="n"/>
      <c r="B167" s="19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21">
        <f>SUMIFS('Invoice Lines'!$I:$I,'Invoice Lines'!$A:$A,A167)</f>
        <v/>
      </c>
      <c r="L167" s="21">
        <f>IF(E167="Draft",0,K167)</f>
        <v/>
      </c>
      <c r="M167" s="21">
        <f>ROUND(L167*IFERROR(VLOOKUP(I167,'Tax Codes'!$A$5:$E$300,5,FALSE),0),2)</f>
        <v/>
      </c>
      <c r="N167" s="21">
        <f>ROUND(L167*IFERROR(VLOOKUP(J167,'Tax Codes'!$A$5:$E$300,5,FALSE),0),2)</f>
        <v/>
      </c>
      <c r="O167" s="21">
        <f>L167+M167-N167</f>
        <v/>
      </c>
      <c r="P167" s="16">
        <f>IF(F167="",INDEX('Chart of Accounts'!$A$5:$A$3000,MATCH("ar",'Chart of Accounts'!$F$5:$F$3000,0)),F167&amp;"")</f>
        <v/>
      </c>
      <c r="Q167" s="16">
        <f>IF(G167="",INDEX('Chart of Accounts'!$A$5:$A$3000,MATCH("revenue",'Chart of Accounts'!$F$5:$F$3000,0)),G167&amp;"")</f>
        <v/>
      </c>
      <c r="R167" s="16">
        <f>INDEX('Chart of Accounts'!$A$5:$A$3000,MATCH("wht_receivable",'Chart of Accounts'!$F$5:$F$3000,0))</f>
        <v/>
      </c>
      <c r="S167" s="16">
        <f>INDEX('Chart of Accounts'!$A$5:$A$3000,MATCH("vat_output",'Chart of Accounts'!$F$5:$F$3000,0))</f>
        <v/>
      </c>
      <c r="T167" s="23">
        <f>IFERROR(INDEX('Chart of Accounts'!$C$5:$C$3000,MATCH(P167&amp;"",'Chart of Accounts'!$A$5:$A$3000,0))&amp;"|"&amp;INDEX('Chart of Accounts'!$D$5:$D$3000,MATCH(P167&amp;"",'Chart of Accounts'!$A$5:$A$3000,0)),"")</f>
        <v/>
      </c>
      <c r="U167" s="23">
        <f>IFERROR(INDEX('Chart of Accounts'!$C$5:$C$3000,MATCH(R167&amp;"",'Chart of Accounts'!$A$5:$A$3000,0))&amp;"|"&amp;INDEX('Chart of Accounts'!$D$5:$D$3000,MATCH(R167&amp;"",'Chart of Accounts'!$A$5:$A$3000,0)),"")</f>
        <v/>
      </c>
      <c r="V167" s="23">
        <f>IFERROR(INDEX('Chart of Accounts'!$C$5:$C$3000,MATCH(Q167&amp;"",'Chart of Accounts'!$A$5:$A$3000,0))&amp;"|"&amp;INDEX('Chart of Accounts'!$D$5:$D$3000,MATCH(Q167&amp;"",'Chart of Accounts'!$A$5:$A$3000,0)),"")</f>
        <v/>
      </c>
      <c r="W167" s="23">
        <f>IFERROR(INDEX('Chart of Accounts'!$C$5:$C$3000,MATCH(S167&amp;"",'Chart of Accounts'!$A$5:$A$3000,0))&amp;"|"&amp;INDEX('Chart of Accounts'!$D$5:$D$3000,MATCH(S167&amp;"",'Chart of Accounts'!$A$5:$A$3000,0)),"")</f>
        <v/>
      </c>
      <c r="X167" s="23">
        <f>IF(LEFT(T167,8)="Revenue|",-N(O167),0)+IF(LEFT(U167,8)="Revenue|",-N(N167),0)+IF(LEFT(V167,8)="Revenue|",N(L167),0)+IF(LEFT(W167,8)="Revenue|",N(M167),0)</f>
        <v/>
      </c>
      <c r="Y167" s="23">
        <f>IF(LEFT(T167,5)="COGS|",N(O167),0)+IF(LEFT(U167,5)="COGS|",N(N167),0)+IF(LEFT(V167,5)="COGS|",-N(L167),0)+IF(LEFT(W167,5)="COGS|",-N(M167),0)</f>
        <v/>
      </c>
      <c r="Z167" s="23">
        <f>IF(LEFT(T167,8)="Expense|",N(O167),0)+IF(LEFT(U167,8)="Expense|",N(N167),0)+IF(LEFT(V167,8)="Expense|",-N(L167),0)+IF(LEFT(W167,8)="Expense|",-N(M167),0)</f>
        <v/>
      </c>
      <c r="AA167" s="23">
        <f>IF(ISNUMBER(MATCH(T167,{"Expense|employee","Expense|general_admin","Expense|marketing","Expense|utilities","Expense|other_operating"},0)),N(O167),0)+IF(ISNUMBER(MATCH(U167,{"Expense|employee","Expense|general_admin","Expense|marketing","Expense|utilities","Expense|other_operating"},0)),N(N167),0)+IF(ISNUMBER(MATCH(V167,{"Expense|employee","Expense|general_admin","Expense|marketing","Expense|utilities","Expense|other_operating"},0)),-N(L167),0)+IF(ISNUMBER(MATCH(W167,{"Expense|employee","Expense|general_admin","Expense|marketing","Expense|utilities","Expense|other_operating"},0)),-N(M167),0)</f>
        <v/>
      </c>
      <c r="AB167" s="23">
        <f>IF(T167="Liability|payable",-N(O167),0)+IF(U167="Liability|payable",-N(N167),0)+IF(V167="Liability|payable",N(L167),0)+IF(W167="Liability|payable",N(M167),0)</f>
        <v/>
      </c>
      <c r="AC167" s="23">
        <f>IF(T167="Liability|accrued",-N(O167),0)+IF(U167="Liability|accrued",-N(N167),0)+IF(V167="Liability|accrued",N(L167),0)+IF(W167="Liability|accrued",N(M167),0)</f>
        <v/>
      </c>
      <c r="AD167" s="23">
        <f>IF(AND(N(O167)&lt;&gt;0,T167=""),1,0)+IF(AND(N(N167)&lt;&gt;0,U167=""),1,0)+IF(AND(N(L167)&lt;&gt;0,V167=""),1,0)+IF(AND(N(M167)&lt;&gt;0,W167=""),1,0)</f>
        <v/>
      </c>
    </row>
    <row r="168">
      <c r="A168" s="14" t="n"/>
      <c r="B168" s="19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21">
        <f>SUMIFS('Invoice Lines'!$I:$I,'Invoice Lines'!$A:$A,A168)</f>
        <v/>
      </c>
      <c r="L168" s="21">
        <f>IF(E168="Draft",0,K168)</f>
        <v/>
      </c>
      <c r="M168" s="21">
        <f>ROUND(L168*IFERROR(VLOOKUP(I168,'Tax Codes'!$A$5:$E$300,5,FALSE),0),2)</f>
        <v/>
      </c>
      <c r="N168" s="21">
        <f>ROUND(L168*IFERROR(VLOOKUP(J168,'Tax Codes'!$A$5:$E$300,5,FALSE),0),2)</f>
        <v/>
      </c>
      <c r="O168" s="21">
        <f>L168+M168-N168</f>
        <v/>
      </c>
      <c r="P168" s="16">
        <f>IF(F168="",INDEX('Chart of Accounts'!$A$5:$A$3000,MATCH("ar",'Chart of Accounts'!$F$5:$F$3000,0)),F168&amp;"")</f>
        <v/>
      </c>
      <c r="Q168" s="16">
        <f>IF(G168="",INDEX('Chart of Accounts'!$A$5:$A$3000,MATCH("revenue",'Chart of Accounts'!$F$5:$F$3000,0)),G168&amp;"")</f>
        <v/>
      </c>
      <c r="R168" s="16">
        <f>INDEX('Chart of Accounts'!$A$5:$A$3000,MATCH("wht_receivable",'Chart of Accounts'!$F$5:$F$3000,0))</f>
        <v/>
      </c>
      <c r="S168" s="16">
        <f>INDEX('Chart of Accounts'!$A$5:$A$3000,MATCH("vat_output",'Chart of Accounts'!$F$5:$F$3000,0))</f>
        <v/>
      </c>
      <c r="T168" s="23">
        <f>IFERROR(INDEX('Chart of Accounts'!$C$5:$C$3000,MATCH(P168&amp;"",'Chart of Accounts'!$A$5:$A$3000,0))&amp;"|"&amp;INDEX('Chart of Accounts'!$D$5:$D$3000,MATCH(P168&amp;"",'Chart of Accounts'!$A$5:$A$3000,0)),"")</f>
        <v/>
      </c>
      <c r="U168" s="23">
        <f>IFERROR(INDEX('Chart of Accounts'!$C$5:$C$3000,MATCH(R168&amp;"",'Chart of Accounts'!$A$5:$A$3000,0))&amp;"|"&amp;INDEX('Chart of Accounts'!$D$5:$D$3000,MATCH(R168&amp;"",'Chart of Accounts'!$A$5:$A$3000,0)),"")</f>
        <v/>
      </c>
      <c r="V168" s="23">
        <f>IFERROR(INDEX('Chart of Accounts'!$C$5:$C$3000,MATCH(Q168&amp;"",'Chart of Accounts'!$A$5:$A$3000,0))&amp;"|"&amp;INDEX('Chart of Accounts'!$D$5:$D$3000,MATCH(Q168&amp;"",'Chart of Accounts'!$A$5:$A$3000,0)),"")</f>
        <v/>
      </c>
      <c r="W168" s="23">
        <f>IFERROR(INDEX('Chart of Accounts'!$C$5:$C$3000,MATCH(S168&amp;"",'Chart of Accounts'!$A$5:$A$3000,0))&amp;"|"&amp;INDEX('Chart of Accounts'!$D$5:$D$3000,MATCH(S168&amp;"",'Chart of Accounts'!$A$5:$A$3000,0)),"")</f>
        <v/>
      </c>
      <c r="X168" s="23">
        <f>IF(LEFT(T168,8)="Revenue|",-N(O168),0)+IF(LEFT(U168,8)="Revenue|",-N(N168),0)+IF(LEFT(V168,8)="Revenue|",N(L168),0)+IF(LEFT(W168,8)="Revenue|",N(M168),0)</f>
        <v/>
      </c>
      <c r="Y168" s="23">
        <f>IF(LEFT(T168,5)="COGS|",N(O168),0)+IF(LEFT(U168,5)="COGS|",N(N168),0)+IF(LEFT(V168,5)="COGS|",-N(L168),0)+IF(LEFT(W168,5)="COGS|",-N(M168),0)</f>
        <v/>
      </c>
      <c r="Z168" s="23">
        <f>IF(LEFT(T168,8)="Expense|",N(O168),0)+IF(LEFT(U168,8)="Expense|",N(N168),0)+IF(LEFT(V168,8)="Expense|",-N(L168),0)+IF(LEFT(W168,8)="Expense|",-N(M168),0)</f>
        <v/>
      </c>
      <c r="AA168" s="23">
        <f>IF(ISNUMBER(MATCH(T168,{"Expense|employee","Expense|general_admin","Expense|marketing","Expense|utilities","Expense|other_operating"},0)),N(O168),0)+IF(ISNUMBER(MATCH(U168,{"Expense|employee","Expense|general_admin","Expense|marketing","Expense|utilities","Expense|other_operating"},0)),N(N168),0)+IF(ISNUMBER(MATCH(V168,{"Expense|employee","Expense|general_admin","Expense|marketing","Expense|utilities","Expense|other_operating"},0)),-N(L168),0)+IF(ISNUMBER(MATCH(W168,{"Expense|employee","Expense|general_admin","Expense|marketing","Expense|utilities","Expense|other_operating"},0)),-N(M168),0)</f>
        <v/>
      </c>
      <c r="AB168" s="23">
        <f>IF(T168="Liability|payable",-N(O168),0)+IF(U168="Liability|payable",-N(N168),0)+IF(V168="Liability|payable",N(L168),0)+IF(W168="Liability|payable",N(M168),0)</f>
        <v/>
      </c>
      <c r="AC168" s="23">
        <f>IF(T168="Liability|accrued",-N(O168),0)+IF(U168="Liability|accrued",-N(N168),0)+IF(V168="Liability|accrued",N(L168),0)+IF(W168="Liability|accrued",N(M168),0)</f>
        <v/>
      </c>
      <c r="AD168" s="23">
        <f>IF(AND(N(O168)&lt;&gt;0,T168=""),1,0)+IF(AND(N(N168)&lt;&gt;0,U168=""),1,0)+IF(AND(N(L168)&lt;&gt;0,V168=""),1,0)+IF(AND(N(M168)&lt;&gt;0,W168=""),1,0)</f>
        <v/>
      </c>
    </row>
    <row r="169">
      <c r="A169" s="14" t="n"/>
      <c r="B169" s="19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21">
        <f>SUMIFS('Invoice Lines'!$I:$I,'Invoice Lines'!$A:$A,A169)</f>
        <v/>
      </c>
      <c r="L169" s="21">
        <f>IF(E169="Draft",0,K169)</f>
        <v/>
      </c>
      <c r="M169" s="21">
        <f>ROUND(L169*IFERROR(VLOOKUP(I169,'Tax Codes'!$A$5:$E$300,5,FALSE),0),2)</f>
        <v/>
      </c>
      <c r="N169" s="21">
        <f>ROUND(L169*IFERROR(VLOOKUP(J169,'Tax Codes'!$A$5:$E$300,5,FALSE),0),2)</f>
        <v/>
      </c>
      <c r="O169" s="21">
        <f>L169+M169-N169</f>
        <v/>
      </c>
      <c r="P169" s="16">
        <f>IF(F169="",INDEX('Chart of Accounts'!$A$5:$A$3000,MATCH("ar",'Chart of Accounts'!$F$5:$F$3000,0)),F169&amp;"")</f>
        <v/>
      </c>
      <c r="Q169" s="16">
        <f>IF(G169="",INDEX('Chart of Accounts'!$A$5:$A$3000,MATCH("revenue",'Chart of Accounts'!$F$5:$F$3000,0)),G169&amp;"")</f>
        <v/>
      </c>
      <c r="R169" s="16">
        <f>INDEX('Chart of Accounts'!$A$5:$A$3000,MATCH("wht_receivable",'Chart of Accounts'!$F$5:$F$3000,0))</f>
        <v/>
      </c>
      <c r="S169" s="16">
        <f>INDEX('Chart of Accounts'!$A$5:$A$3000,MATCH("vat_output",'Chart of Accounts'!$F$5:$F$3000,0))</f>
        <v/>
      </c>
      <c r="T169" s="23">
        <f>IFERROR(INDEX('Chart of Accounts'!$C$5:$C$3000,MATCH(P169&amp;"",'Chart of Accounts'!$A$5:$A$3000,0))&amp;"|"&amp;INDEX('Chart of Accounts'!$D$5:$D$3000,MATCH(P169&amp;"",'Chart of Accounts'!$A$5:$A$3000,0)),"")</f>
        <v/>
      </c>
      <c r="U169" s="23">
        <f>IFERROR(INDEX('Chart of Accounts'!$C$5:$C$3000,MATCH(R169&amp;"",'Chart of Accounts'!$A$5:$A$3000,0))&amp;"|"&amp;INDEX('Chart of Accounts'!$D$5:$D$3000,MATCH(R169&amp;"",'Chart of Accounts'!$A$5:$A$3000,0)),"")</f>
        <v/>
      </c>
      <c r="V169" s="23">
        <f>IFERROR(INDEX('Chart of Accounts'!$C$5:$C$3000,MATCH(Q169&amp;"",'Chart of Accounts'!$A$5:$A$3000,0))&amp;"|"&amp;INDEX('Chart of Accounts'!$D$5:$D$3000,MATCH(Q169&amp;"",'Chart of Accounts'!$A$5:$A$3000,0)),"")</f>
        <v/>
      </c>
      <c r="W169" s="23">
        <f>IFERROR(INDEX('Chart of Accounts'!$C$5:$C$3000,MATCH(S169&amp;"",'Chart of Accounts'!$A$5:$A$3000,0))&amp;"|"&amp;INDEX('Chart of Accounts'!$D$5:$D$3000,MATCH(S169&amp;"",'Chart of Accounts'!$A$5:$A$3000,0)),"")</f>
        <v/>
      </c>
      <c r="X169" s="23">
        <f>IF(LEFT(T169,8)="Revenue|",-N(O169),0)+IF(LEFT(U169,8)="Revenue|",-N(N169),0)+IF(LEFT(V169,8)="Revenue|",N(L169),0)+IF(LEFT(W169,8)="Revenue|",N(M169),0)</f>
        <v/>
      </c>
      <c r="Y169" s="23">
        <f>IF(LEFT(T169,5)="COGS|",N(O169),0)+IF(LEFT(U169,5)="COGS|",N(N169),0)+IF(LEFT(V169,5)="COGS|",-N(L169),0)+IF(LEFT(W169,5)="COGS|",-N(M169),0)</f>
        <v/>
      </c>
      <c r="Z169" s="23">
        <f>IF(LEFT(T169,8)="Expense|",N(O169),0)+IF(LEFT(U169,8)="Expense|",N(N169),0)+IF(LEFT(V169,8)="Expense|",-N(L169),0)+IF(LEFT(W169,8)="Expense|",-N(M169),0)</f>
        <v/>
      </c>
      <c r="AA169" s="23">
        <f>IF(ISNUMBER(MATCH(T169,{"Expense|employee","Expense|general_admin","Expense|marketing","Expense|utilities","Expense|other_operating"},0)),N(O169),0)+IF(ISNUMBER(MATCH(U169,{"Expense|employee","Expense|general_admin","Expense|marketing","Expense|utilities","Expense|other_operating"},0)),N(N169),0)+IF(ISNUMBER(MATCH(V169,{"Expense|employee","Expense|general_admin","Expense|marketing","Expense|utilities","Expense|other_operating"},0)),-N(L169),0)+IF(ISNUMBER(MATCH(W169,{"Expense|employee","Expense|general_admin","Expense|marketing","Expense|utilities","Expense|other_operating"},0)),-N(M169),0)</f>
        <v/>
      </c>
      <c r="AB169" s="23">
        <f>IF(T169="Liability|payable",-N(O169),0)+IF(U169="Liability|payable",-N(N169),0)+IF(V169="Liability|payable",N(L169),0)+IF(W169="Liability|payable",N(M169),0)</f>
        <v/>
      </c>
      <c r="AC169" s="23">
        <f>IF(T169="Liability|accrued",-N(O169),0)+IF(U169="Liability|accrued",-N(N169),0)+IF(V169="Liability|accrued",N(L169),0)+IF(W169="Liability|accrued",N(M169),0)</f>
        <v/>
      </c>
      <c r="AD169" s="23">
        <f>IF(AND(N(O169)&lt;&gt;0,T169=""),1,0)+IF(AND(N(N169)&lt;&gt;0,U169=""),1,0)+IF(AND(N(L169)&lt;&gt;0,V169=""),1,0)+IF(AND(N(M169)&lt;&gt;0,W169=""),1,0)</f>
        <v/>
      </c>
    </row>
    <row r="170">
      <c r="A170" s="14" t="n"/>
      <c r="B170" s="19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21">
        <f>SUMIFS('Invoice Lines'!$I:$I,'Invoice Lines'!$A:$A,A170)</f>
        <v/>
      </c>
      <c r="L170" s="21">
        <f>IF(E170="Draft",0,K170)</f>
        <v/>
      </c>
      <c r="M170" s="21">
        <f>ROUND(L170*IFERROR(VLOOKUP(I170,'Tax Codes'!$A$5:$E$300,5,FALSE),0),2)</f>
        <v/>
      </c>
      <c r="N170" s="21">
        <f>ROUND(L170*IFERROR(VLOOKUP(J170,'Tax Codes'!$A$5:$E$300,5,FALSE),0),2)</f>
        <v/>
      </c>
      <c r="O170" s="21">
        <f>L170+M170-N170</f>
        <v/>
      </c>
      <c r="P170" s="16">
        <f>IF(F170="",INDEX('Chart of Accounts'!$A$5:$A$3000,MATCH("ar",'Chart of Accounts'!$F$5:$F$3000,0)),F170&amp;"")</f>
        <v/>
      </c>
      <c r="Q170" s="16">
        <f>IF(G170="",INDEX('Chart of Accounts'!$A$5:$A$3000,MATCH("revenue",'Chart of Accounts'!$F$5:$F$3000,0)),G170&amp;"")</f>
        <v/>
      </c>
      <c r="R170" s="16">
        <f>INDEX('Chart of Accounts'!$A$5:$A$3000,MATCH("wht_receivable",'Chart of Accounts'!$F$5:$F$3000,0))</f>
        <v/>
      </c>
      <c r="S170" s="16">
        <f>INDEX('Chart of Accounts'!$A$5:$A$3000,MATCH("vat_output",'Chart of Accounts'!$F$5:$F$3000,0))</f>
        <v/>
      </c>
      <c r="T170" s="23">
        <f>IFERROR(INDEX('Chart of Accounts'!$C$5:$C$3000,MATCH(P170&amp;"",'Chart of Accounts'!$A$5:$A$3000,0))&amp;"|"&amp;INDEX('Chart of Accounts'!$D$5:$D$3000,MATCH(P170&amp;"",'Chart of Accounts'!$A$5:$A$3000,0)),"")</f>
        <v/>
      </c>
      <c r="U170" s="23">
        <f>IFERROR(INDEX('Chart of Accounts'!$C$5:$C$3000,MATCH(R170&amp;"",'Chart of Accounts'!$A$5:$A$3000,0))&amp;"|"&amp;INDEX('Chart of Accounts'!$D$5:$D$3000,MATCH(R170&amp;"",'Chart of Accounts'!$A$5:$A$3000,0)),"")</f>
        <v/>
      </c>
      <c r="V170" s="23">
        <f>IFERROR(INDEX('Chart of Accounts'!$C$5:$C$3000,MATCH(Q170&amp;"",'Chart of Accounts'!$A$5:$A$3000,0))&amp;"|"&amp;INDEX('Chart of Accounts'!$D$5:$D$3000,MATCH(Q170&amp;"",'Chart of Accounts'!$A$5:$A$3000,0)),"")</f>
        <v/>
      </c>
      <c r="W170" s="23">
        <f>IFERROR(INDEX('Chart of Accounts'!$C$5:$C$3000,MATCH(S170&amp;"",'Chart of Accounts'!$A$5:$A$3000,0))&amp;"|"&amp;INDEX('Chart of Accounts'!$D$5:$D$3000,MATCH(S170&amp;"",'Chart of Accounts'!$A$5:$A$3000,0)),"")</f>
        <v/>
      </c>
      <c r="X170" s="23">
        <f>IF(LEFT(T170,8)="Revenue|",-N(O170),0)+IF(LEFT(U170,8)="Revenue|",-N(N170),0)+IF(LEFT(V170,8)="Revenue|",N(L170),0)+IF(LEFT(W170,8)="Revenue|",N(M170),0)</f>
        <v/>
      </c>
      <c r="Y170" s="23">
        <f>IF(LEFT(T170,5)="COGS|",N(O170),0)+IF(LEFT(U170,5)="COGS|",N(N170),0)+IF(LEFT(V170,5)="COGS|",-N(L170),0)+IF(LEFT(W170,5)="COGS|",-N(M170),0)</f>
        <v/>
      </c>
      <c r="Z170" s="23">
        <f>IF(LEFT(T170,8)="Expense|",N(O170),0)+IF(LEFT(U170,8)="Expense|",N(N170),0)+IF(LEFT(V170,8)="Expense|",-N(L170),0)+IF(LEFT(W170,8)="Expense|",-N(M170),0)</f>
        <v/>
      </c>
      <c r="AA170" s="23">
        <f>IF(ISNUMBER(MATCH(T170,{"Expense|employee","Expense|general_admin","Expense|marketing","Expense|utilities","Expense|other_operating"},0)),N(O170),0)+IF(ISNUMBER(MATCH(U170,{"Expense|employee","Expense|general_admin","Expense|marketing","Expense|utilities","Expense|other_operating"},0)),N(N170),0)+IF(ISNUMBER(MATCH(V170,{"Expense|employee","Expense|general_admin","Expense|marketing","Expense|utilities","Expense|other_operating"},0)),-N(L170),0)+IF(ISNUMBER(MATCH(W170,{"Expense|employee","Expense|general_admin","Expense|marketing","Expense|utilities","Expense|other_operating"},0)),-N(M170),0)</f>
        <v/>
      </c>
      <c r="AB170" s="23">
        <f>IF(T170="Liability|payable",-N(O170),0)+IF(U170="Liability|payable",-N(N170),0)+IF(V170="Liability|payable",N(L170),0)+IF(W170="Liability|payable",N(M170),0)</f>
        <v/>
      </c>
      <c r="AC170" s="23">
        <f>IF(T170="Liability|accrued",-N(O170),0)+IF(U170="Liability|accrued",-N(N170),0)+IF(V170="Liability|accrued",N(L170),0)+IF(W170="Liability|accrued",N(M170),0)</f>
        <v/>
      </c>
      <c r="AD170" s="23">
        <f>IF(AND(N(O170)&lt;&gt;0,T170=""),1,0)+IF(AND(N(N170)&lt;&gt;0,U170=""),1,0)+IF(AND(N(L170)&lt;&gt;0,V170=""),1,0)+IF(AND(N(M170)&lt;&gt;0,W170=""),1,0)</f>
        <v/>
      </c>
    </row>
    <row r="171">
      <c r="A171" s="14" t="n"/>
      <c r="B171" s="19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21">
        <f>SUMIFS('Invoice Lines'!$I:$I,'Invoice Lines'!$A:$A,A171)</f>
        <v/>
      </c>
      <c r="L171" s="21">
        <f>IF(E171="Draft",0,K171)</f>
        <v/>
      </c>
      <c r="M171" s="21">
        <f>ROUND(L171*IFERROR(VLOOKUP(I171,'Tax Codes'!$A$5:$E$300,5,FALSE),0),2)</f>
        <v/>
      </c>
      <c r="N171" s="21">
        <f>ROUND(L171*IFERROR(VLOOKUP(J171,'Tax Codes'!$A$5:$E$300,5,FALSE),0),2)</f>
        <v/>
      </c>
      <c r="O171" s="21">
        <f>L171+M171-N171</f>
        <v/>
      </c>
      <c r="P171" s="16">
        <f>IF(F171="",INDEX('Chart of Accounts'!$A$5:$A$3000,MATCH("ar",'Chart of Accounts'!$F$5:$F$3000,0)),F171&amp;"")</f>
        <v/>
      </c>
      <c r="Q171" s="16">
        <f>IF(G171="",INDEX('Chart of Accounts'!$A$5:$A$3000,MATCH("revenue",'Chart of Accounts'!$F$5:$F$3000,0)),G171&amp;"")</f>
        <v/>
      </c>
      <c r="R171" s="16">
        <f>INDEX('Chart of Accounts'!$A$5:$A$3000,MATCH("wht_receivable",'Chart of Accounts'!$F$5:$F$3000,0))</f>
        <v/>
      </c>
      <c r="S171" s="16">
        <f>INDEX('Chart of Accounts'!$A$5:$A$3000,MATCH("vat_output",'Chart of Accounts'!$F$5:$F$3000,0))</f>
        <v/>
      </c>
      <c r="T171" s="23">
        <f>IFERROR(INDEX('Chart of Accounts'!$C$5:$C$3000,MATCH(P171&amp;"",'Chart of Accounts'!$A$5:$A$3000,0))&amp;"|"&amp;INDEX('Chart of Accounts'!$D$5:$D$3000,MATCH(P171&amp;"",'Chart of Accounts'!$A$5:$A$3000,0)),"")</f>
        <v/>
      </c>
      <c r="U171" s="23">
        <f>IFERROR(INDEX('Chart of Accounts'!$C$5:$C$3000,MATCH(R171&amp;"",'Chart of Accounts'!$A$5:$A$3000,0))&amp;"|"&amp;INDEX('Chart of Accounts'!$D$5:$D$3000,MATCH(R171&amp;"",'Chart of Accounts'!$A$5:$A$3000,0)),"")</f>
        <v/>
      </c>
      <c r="V171" s="23">
        <f>IFERROR(INDEX('Chart of Accounts'!$C$5:$C$3000,MATCH(Q171&amp;"",'Chart of Accounts'!$A$5:$A$3000,0))&amp;"|"&amp;INDEX('Chart of Accounts'!$D$5:$D$3000,MATCH(Q171&amp;"",'Chart of Accounts'!$A$5:$A$3000,0)),"")</f>
        <v/>
      </c>
      <c r="W171" s="23">
        <f>IFERROR(INDEX('Chart of Accounts'!$C$5:$C$3000,MATCH(S171&amp;"",'Chart of Accounts'!$A$5:$A$3000,0))&amp;"|"&amp;INDEX('Chart of Accounts'!$D$5:$D$3000,MATCH(S171&amp;"",'Chart of Accounts'!$A$5:$A$3000,0)),"")</f>
        <v/>
      </c>
      <c r="X171" s="23">
        <f>IF(LEFT(T171,8)="Revenue|",-N(O171),0)+IF(LEFT(U171,8)="Revenue|",-N(N171),0)+IF(LEFT(V171,8)="Revenue|",N(L171),0)+IF(LEFT(W171,8)="Revenue|",N(M171),0)</f>
        <v/>
      </c>
      <c r="Y171" s="23">
        <f>IF(LEFT(T171,5)="COGS|",N(O171),0)+IF(LEFT(U171,5)="COGS|",N(N171),0)+IF(LEFT(V171,5)="COGS|",-N(L171),0)+IF(LEFT(W171,5)="COGS|",-N(M171),0)</f>
        <v/>
      </c>
      <c r="Z171" s="23">
        <f>IF(LEFT(T171,8)="Expense|",N(O171),0)+IF(LEFT(U171,8)="Expense|",N(N171),0)+IF(LEFT(V171,8)="Expense|",-N(L171),0)+IF(LEFT(W171,8)="Expense|",-N(M171),0)</f>
        <v/>
      </c>
      <c r="AA171" s="23">
        <f>IF(ISNUMBER(MATCH(T171,{"Expense|employee","Expense|general_admin","Expense|marketing","Expense|utilities","Expense|other_operating"},0)),N(O171),0)+IF(ISNUMBER(MATCH(U171,{"Expense|employee","Expense|general_admin","Expense|marketing","Expense|utilities","Expense|other_operating"},0)),N(N171),0)+IF(ISNUMBER(MATCH(V171,{"Expense|employee","Expense|general_admin","Expense|marketing","Expense|utilities","Expense|other_operating"},0)),-N(L171),0)+IF(ISNUMBER(MATCH(W171,{"Expense|employee","Expense|general_admin","Expense|marketing","Expense|utilities","Expense|other_operating"},0)),-N(M171),0)</f>
        <v/>
      </c>
      <c r="AB171" s="23">
        <f>IF(T171="Liability|payable",-N(O171),0)+IF(U171="Liability|payable",-N(N171),0)+IF(V171="Liability|payable",N(L171),0)+IF(W171="Liability|payable",N(M171),0)</f>
        <v/>
      </c>
      <c r="AC171" s="23">
        <f>IF(T171="Liability|accrued",-N(O171),0)+IF(U171="Liability|accrued",-N(N171),0)+IF(V171="Liability|accrued",N(L171),0)+IF(W171="Liability|accrued",N(M171),0)</f>
        <v/>
      </c>
      <c r="AD171" s="23">
        <f>IF(AND(N(O171)&lt;&gt;0,T171=""),1,0)+IF(AND(N(N171)&lt;&gt;0,U171=""),1,0)+IF(AND(N(L171)&lt;&gt;0,V171=""),1,0)+IF(AND(N(M171)&lt;&gt;0,W171=""),1,0)</f>
        <v/>
      </c>
    </row>
    <row r="172">
      <c r="A172" s="14" t="n"/>
      <c r="B172" s="19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21">
        <f>SUMIFS('Invoice Lines'!$I:$I,'Invoice Lines'!$A:$A,A172)</f>
        <v/>
      </c>
      <c r="L172" s="21">
        <f>IF(E172="Draft",0,K172)</f>
        <v/>
      </c>
      <c r="M172" s="21">
        <f>ROUND(L172*IFERROR(VLOOKUP(I172,'Tax Codes'!$A$5:$E$300,5,FALSE),0),2)</f>
        <v/>
      </c>
      <c r="N172" s="21">
        <f>ROUND(L172*IFERROR(VLOOKUP(J172,'Tax Codes'!$A$5:$E$300,5,FALSE),0),2)</f>
        <v/>
      </c>
      <c r="O172" s="21">
        <f>L172+M172-N172</f>
        <v/>
      </c>
      <c r="P172" s="16">
        <f>IF(F172="",INDEX('Chart of Accounts'!$A$5:$A$3000,MATCH("ar",'Chart of Accounts'!$F$5:$F$3000,0)),F172&amp;"")</f>
        <v/>
      </c>
      <c r="Q172" s="16">
        <f>IF(G172="",INDEX('Chart of Accounts'!$A$5:$A$3000,MATCH("revenue",'Chart of Accounts'!$F$5:$F$3000,0)),G172&amp;"")</f>
        <v/>
      </c>
      <c r="R172" s="16">
        <f>INDEX('Chart of Accounts'!$A$5:$A$3000,MATCH("wht_receivable",'Chart of Accounts'!$F$5:$F$3000,0))</f>
        <v/>
      </c>
      <c r="S172" s="16">
        <f>INDEX('Chart of Accounts'!$A$5:$A$3000,MATCH("vat_output",'Chart of Accounts'!$F$5:$F$3000,0))</f>
        <v/>
      </c>
      <c r="T172" s="23">
        <f>IFERROR(INDEX('Chart of Accounts'!$C$5:$C$3000,MATCH(P172&amp;"",'Chart of Accounts'!$A$5:$A$3000,0))&amp;"|"&amp;INDEX('Chart of Accounts'!$D$5:$D$3000,MATCH(P172&amp;"",'Chart of Accounts'!$A$5:$A$3000,0)),"")</f>
        <v/>
      </c>
      <c r="U172" s="23">
        <f>IFERROR(INDEX('Chart of Accounts'!$C$5:$C$3000,MATCH(R172&amp;"",'Chart of Accounts'!$A$5:$A$3000,0))&amp;"|"&amp;INDEX('Chart of Accounts'!$D$5:$D$3000,MATCH(R172&amp;"",'Chart of Accounts'!$A$5:$A$3000,0)),"")</f>
        <v/>
      </c>
      <c r="V172" s="23">
        <f>IFERROR(INDEX('Chart of Accounts'!$C$5:$C$3000,MATCH(Q172&amp;"",'Chart of Accounts'!$A$5:$A$3000,0))&amp;"|"&amp;INDEX('Chart of Accounts'!$D$5:$D$3000,MATCH(Q172&amp;"",'Chart of Accounts'!$A$5:$A$3000,0)),"")</f>
        <v/>
      </c>
      <c r="W172" s="23">
        <f>IFERROR(INDEX('Chart of Accounts'!$C$5:$C$3000,MATCH(S172&amp;"",'Chart of Accounts'!$A$5:$A$3000,0))&amp;"|"&amp;INDEX('Chart of Accounts'!$D$5:$D$3000,MATCH(S172&amp;"",'Chart of Accounts'!$A$5:$A$3000,0)),"")</f>
        <v/>
      </c>
      <c r="X172" s="23">
        <f>IF(LEFT(T172,8)="Revenue|",-N(O172),0)+IF(LEFT(U172,8)="Revenue|",-N(N172),0)+IF(LEFT(V172,8)="Revenue|",N(L172),0)+IF(LEFT(W172,8)="Revenue|",N(M172),0)</f>
        <v/>
      </c>
      <c r="Y172" s="23">
        <f>IF(LEFT(T172,5)="COGS|",N(O172),0)+IF(LEFT(U172,5)="COGS|",N(N172),0)+IF(LEFT(V172,5)="COGS|",-N(L172),0)+IF(LEFT(W172,5)="COGS|",-N(M172),0)</f>
        <v/>
      </c>
      <c r="Z172" s="23">
        <f>IF(LEFT(T172,8)="Expense|",N(O172),0)+IF(LEFT(U172,8)="Expense|",N(N172),0)+IF(LEFT(V172,8)="Expense|",-N(L172),0)+IF(LEFT(W172,8)="Expense|",-N(M172),0)</f>
        <v/>
      </c>
      <c r="AA172" s="23">
        <f>IF(ISNUMBER(MATCH(T172,{"Expense|employee","Expense|general_admin","Expense|marketing","Expense|utilities","Expense|other_operating"},0)),N(O172),0)+IF(ISNUMBER(MATCH(U172,{"Expense|employee","Expense|general_admin","Expense|marketing","Expense|utilities","Expense|other_operating"},0)),N(N172),0)+IF(ISNUMBER(MATCH(V172,{"Expense|employee","Expense|general_admin","Expense|marketing","Expense|utilities","Expense|other_operating"},0)),-N(L172),0)+IF(ISNUMBER(MATCH(W172,{"Expense|employee","Expense|general_admin","Expense|marketing","Expense|utilities","Expense|other_operating"},0)),-N(M172),0)</f>
        <v/>
      </c>
      <c r="AB172" s="23">
        <f>IF(T172="Liability|payable",-N(O172),0)+IF(U172="Liability|payable",-N(N172),0)+IF(V172="Liability|payable",N(L172),0)+IF(W172="Liability|payable",N(M172),0)</f>
        <v/>
      </c>
      <c r="AC172" s="23">
        <f>IF(T172="Liability|accrued",-N(O172),0)+IF(U172="Liability|accrued",-N(N172),0)+IF(V172="Liability|accrued",N(L172),0)+IF(W172="Liability|accrued",N(M172),0)</f>
        <v/>
      </c>
      <c r="AD172" s="23">
        <f>IF(AND(N(O172)&lt;&gt;0,T172=""),1,0)+IF(AND(N(N172)&lt;&gt;0,U172=""),1,0)+IF(AND(N(L172)&lt;&gt;0,V172=""),1,0)+IF(AND(N(M172)&lt;&gt;0,W172=""),1,0)</f>
        <v/>
      </c>
    </row>
    <row r="173">
      <c r="A173" s="14" t="n"/>
      <c r="B173" s="19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21">
        <f>SUMIFS('Invoice Lines'!$I:$I,'Invoice Lines'!$A:$A,A173)</f>
        <v/>
      </c>
      <c r="L173" s="21">
        <f>IF(E173="Draft",0,K173)</f>
        <v/>
      </c>
      <c r="M173" s="21">
        <f>ROUND(L173*IFERROR(VLOOKUP(I173,'Tax Codes'!$A$5:$E$300,5,FALSE),0),2)</f>
        <v/>
      </c>
      <c r="N173" s="21">
        <f>ROUND(L173*IFERROR(VLOOKUP(J173,'Tax Codes'!$A$5:$E$300,5,FALSE),0),2)</f>
        <v/>
      </c>
      <c r="O173" s="21">
        <f>L173+M173-N173</f>
        <v/>
      </c>
      <c r="P173" s="16">
        <f>IF(F173="",INDEX('Chart of Accounts'!$A$5:$A$3000,MATCH("ar",'Chart of Accounts'!$F$5:$F$3000,0)),F173&amp;"")</f>
        <v/>
      </c>
      <c r="Q173" s="16">
        <f>IF(G173="",INDEX('Chart of Accounts'!$A$5:$A$3000,MATCH("revenue",'Chart of Accounts'!$F$5:$F$3000,0)),G173&amp;"")</f>
        <v/>
      </c>
      <c r="R173" s="16">
        <f>INDEX('Chart of Accounts'!$A$5:$A$3000,MATCH("wht_receivable",'Chart of Accounts'!$F$5:$F$3000,0))</f>
        <v/>
      </c>
      <c r="S173" s="16">
        <f>INDEX('Chart of Accounts'!$A$5:$A$3000,MATCH("vat_output",'Chart of Accounts'!$F$5:$F$3000,0))</f>
        <v/>
      </c>
      <c r="T173" s="23">
        <f>IFERROR(INDEX('Chart of Accounts'!$C$5:$C$3000,MATCH(P173&amp;"",'Chart of Accounts'!$A$5:$A$3000,0))&amp;"|"&amp;INDEX('Chart of Accounts'!$D$5:$D$3000,MATCH(P173&amp;"",'Chart of Accounts'!$A$5:$A$3000,0)),"")</f>
        <v/>
      </c>
      <c r="U173" s="23">
        <f>IFERROR(INDEX('Chart of Accounts'!$C$5:$C$3000,MATCH(R173&amp;"",'Chart of Accounts'!$A$5:$A$3000,0))&amp;"|"&amp;INDEX('Chart of Accounts'!$D$5:$D$3000,MATCH(R173&amp;"",'Chart of Accounts'!$A$5:$A$3000,0)),"")</f>
        <v/>
      </c>
      <c r="V173" s="23">
        <f>IFERROR(INDEX('Chart of Accounts'!$C$5:$C$3000,MATCH(Q173&amp;"",'Chart of Accounts'!$A$5:$A$3000,0))&amp;"|"&amp;INDEX('Chart of Accounts'!$D$5:$D$3000,MATCH(Q173&amp;"",'Chart of Accounts'!$A$5:$A$3000,0)),"")</f>
        <v/>
      </c>
      <c r="W173" s="23">
        <f>IFERROR(INDEX('Chart of Accounts'!$C$5:$C$3000,MATCH(S173&amp;"",'Chart of Accounts'!$A$5:$A$3000,0))&amp;"|"&amp;INDEX('Chart of Accounts'!$D$5:$D$3000,MATCH(S173&amp;"",'Chart of Accounts'!$A$5:$A$3000,0)),"")</f>
        <v/>
      </c>
      <c r="X173" s="23">
        <f>IF(LEFT(T173,8)="Revenue|",-N(O173),0)+IF(LEFT(U173,8)="Revenue|",-N(N173),0)+IF(LEFT(V173,8)="Revenue|",N(L173),0)+IF(LEFT(W173,8)="Revenue|",N(M173),0)</f>
        <v/>
      </c>
      <c r="Y173" s="23">
        <f>IF(LEFT(T173,5)="COGS|",N(O173),0)+IF(LEFT(U173,5)="COGS|",N(N173),0)+IF(LEFT(V173,5)="COGS|",-N(L173),0)+IF(LEFT(W173,5)="COGS|",-N(M173),0)</f>
        <v/>
      </c>
      <c r="Z173" s="23">
        <f>IF(LEFT(T173,8)="Expense|",N(O173),0)+IF(LEFT(U173,8)="Expense|",N(N173),0)+IF(LEFT(V173,8)="Expense|",-N(L173),0)+IF(LEFT(W173,8)="Expense|",-N(M173),0)</f>
        <v/>
      </c>
      <c r="AA173" s="23">
        <f>IF(ISNUMBER(MATCH(T173,{"Expense|employee","Expense|general_admin","Expense|marketing","Expense|utilities","Expense|other_operating"},0)),N(O173),0)+IF(ISNUMBER(MATCH(U173,{"Expense|employee","Expense|general_admin","Expense|marketing","Expense|utilities","Expense|other_operating"},0)),N(N173),0)+IF(ISNUMBER(MATCH(V173,{"Expense|employee","Expense|general_admin","Expense|marketing","Expense|utilities","Expense|other_operating"},0)),-N(L173),0)+IF(ISNUMBER(MATCH(W173,{"Expense|employee","Expense|general_admin","Expense|marketing","Expense|utilities","Expense|other_operating"},0)),-N(M173),0)</f>
        <v/>
      </c>
      <c r="AB173" s="23">
        <f>IF(T173="Liability|payable",-N(O173),0)+IF(U173="Liability|payable",-N(N173),0)+IF(V173="Liability|payable",N(L173),0)+IF(W173="Liability|payable",N(M173),0)</f>
        <v/>
      </c>
      <c r="AC173" s="23">
        <f>IF(T173="Liability|accrued",-N(O173),0)+IF(U173="Liability|accrued",-N(N173),0)+IF(V173="Liability|accrued",N(L173),0)+IF(W173="Liability|accrued",N(M173),0)</f>
        <v/>
      </c>
      <c r="AD173" s="23">
        <f>IF(AND(N(O173)&lt;&gt;0,T173=""),1,0)+IF(AND(N(N173)&lt;&gt;0,U173=""),1,0)+IF(AND(N(L173)&lt;&gt;0,V173=""),1,0)+IF(AND(N(M173)&lt;&gt;0,W173=""),1,0)</f>
        <v/>
      </c>
    </row>
    <row r="174">
      <c r="A174" s="14" t="n"/>
      <c r="B174" s="19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21">
        <f>SUMIFS('Invoice Lines'!$I:$I,'Invoice Lines'!$A:$A,A174)</f>
        <v/>
      </c>
      <c r="L174" s="21">
        <f>IF(E174="Draft",0,K174)</f>
        <v/>
      </c>
      <c r="M174" s="21">
        <f>ROUND(L174*IFERROR(VLOOKUP(I174,'Tax Codes'!$A$5:$E$300,5,FALSE),0),2)</f>
        <v/>
      </c>
      <c r="N174" s="21">
        <f>ROUND(L174*IFERROR(VLOOKUP(J174,'Tax Codes'!$A$5:$E$300,5,FALSE),0),2)</f>
        <v/>
      </c>
      <c r="O174" s="21">
        <f>L174+M174-N174</f>
        <v/>
      </c>
      <c r="P174" s="16">
        <f>IF(F174="",INDEX('Chart of Accounts'!$A$5:$A$3000,MATCH("ar",'Chart of Accounts'!$F$5:$F$3000,0)),F174&amp;"")</f>
        <v/>
      </c>
      <c r="Q174" s="16">
        <f>IF(G174="",INDEX('Chart of Accounts'!$A$5:$A$3000,MATCH("revenue",'Chart of Accounts'!$F$5:$F$3000,0)),G174&amp;"")</f>
        <v/>
      </c>
      <c r="R174" s="16">
        <f>INDEX('Chart of Accounts'!$A$5:$A$3000,MATCH("wht_receivable",'Chart of Accounts'!$F$5:$F$3000,0))</f>
        <v/>
      </c>
      <c r="S174" s="16">
        <f>INDEX('Chart of Accounts'!$A$5:$A$3000,MATCH("vat_output",'Chart of Accounts'!$F$5:$F$3000,0))</f>
        <v/>
      </c>
      <c r="T174" s="23">
        <f>IFERROR(INDEX('Chart of Accounts'!$C$5:$C$3000,MATCH(P174&amp;"",'Chart of Accounts'!$A$5:$A$3000,0))&amp;"|"&amp;INDEX('Chart of Accounts'!$D$5:$D$3000,MATCH(P174&amp;"",'Chart of Accounts'!$A$5:$A$3000,0)),"")</f>
        <v/>
      </c>
      <c r="U174" s="23">
        <f>IFERROR(INDEX('Chart of Accounts'!$C$5:$C$3000,MATCH(R174&amp;"",'Chart of Accounts'!$A$5:$A$3000,0))&amp;"|"&amp;INDEX('Chart of Accounts'!$D$5:$D$3000,MATCH(R174&amp;"",'Chart of Accounts'!$A$5:$A$3000,0)),"")</f>
        <v/>
      </c>
      <c r="V174" s="23">
        <f>IFERROR(INDEX('Chart of Accounts'!$C$5:$C$3000,MATCH(Q174&amp;"",'Chart of Accounts'!$A$5:$A$3000,0))&amp;"|"&amp;INDEX('Chart of Accounts'!$D$5:$D$3000,MATCH(Q174&amp;"",'Chart of Accounts'!$A$5:$A$3000,0)),"")</f>
        <v/>
      </c>
      <c r="W174" s="23">
        <f>IFERROR(INDEX('Chart of Accounts'!$C$5:$C$3000,MATCH(S174&amp;"",'Chart of Accounts'!$A$5:$A$3000,0))&amp;"|"&amp;INDEX('Chart of Accounts'!$D$5:$D$3000,MATCH(S174&amp;"",'Chart of Accounts'!$A$5:$A$3000,0)),"")</f>
        <v/>
      </c>
      <c r="X174" s="23">
        <f>IF(LEFT(T174,8)="Revenue|",-N(O174),0)+IF(LEFT(U174,8)="Revenue|",-N(N174),0)+IF(LEFT(V174,8)="Revenue|",N(L174),0)+IF(LEFT(W174,8)="Revenue|",N(M174),0)</f>
        <v/>
      </c>
      <c r="Y174" s="23">
        <f>IF(LEFT(T174,5)="COGS|",N(O174),0)+IF(LEFT(U174,5)="COGS|",N(N174),0)+IF(LEFT(V174,5)="COGS|",-N(L174),0)+IF(LEFT(W174,5)="COGS|",-N(M174),0)</f>
        <v/>
      </c>
      <c r="Z174" s="23">
        <f>IF(LEFT(T174,8)="Expense|",N(O174),0)+IF(LEFT(U174,8)="Expense|",N(N174),0)+IF(LEFT(V174,8)="Expense|",-N(L174),0)+IF(LEFT(W174,8)="Expense|",-N(M174),0)</f>
        <v/>
      </c>
      <c r="AA174" s="23">
        <f>IF(ISNUMBER(MATCH(T174,{"Expense|employee","Expense|general_admin","Expense|marketing","Expense|utilities","Expense|other_operating"},0)),N(O174),0)+IF(ISNUMBER(MATCH(U174,{"Expense|employee","Expense|general_admin","Expense|marketing","Expense|utilities","Expense|other_operating"},0)),N(N174),0)+IF(ISNUMBER(MATCH(V174,{"Expense|employee","Expense|general_admin","Expense|marketing","Expense|utilities","Expense|other_operating"},0)),-N(L174),0)+IF(ISNUMBER(MATCH(W174,{"Expense|employee","Expense|general_admin","Expense|marketing","Expense|utilities","Expense|other_operating"},0)),-N(M174),0)</f>
        <v/>
      </c>
      <c r="AB174" s="23">
        <f>IF(T174="Liability|payable",-N(O174),0)+IF(U174="Liability|payable",-N(N174),0)+IF(V174="Liability|payable",N(L174),0)+IF(W174="Liability|payable",N(M174),0)</f>
        <v/>
      </c>
      <c r="AC174" s="23">
        <f>IF(T174="Liability|accrued",-N(O174),0)+IF(U174="Liability|accrued",-N(N174),0)+IF(V174="Liability|accrued",N(L174),0)+IF(W174="Liability|accrued",N(M174),0)</f>
        <v/>
      </c>
      <c r="AD174" s="23">
        <f>IF(AND(N(O174)&lt;&gt;0,T174=""),1,0)+IF(AND(N(N174)&lt;&gt;0,U174=""),1,0)+IF(AND(N(L174)&lt;&gt;0,V174=""),1,0)+IF(AND(N(M174)&lt;&gt;0,W174=""),1,0)</f>
        <v/>
      </c>
    </row>
    <row r="175">
      <c r="A175" s="14" t="n"/>
      <c r="B175" s="19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21">
        <f>SUMIFS('Invoice Lines'!$I:$I,'Invoice Lines'!$A:$A,A175)</f>
        <v/>
      </c>
      <c r="L175" s="21">
        <f>IF(E175="Draft",0,K175)</f>
        <v/>
      </c>
      <c r="M175" s="21">
        <f>ROUND(L175*IFERROR(VLOOKUP(I175,'Tax Codes'!$A$5:$E$300,5,FALSE),0),2)</f>
        <v/>
      </c>
      <c r="N175" s="21">
        <f>ROUND(L175*IFERROR(VLOOKUP(J175,'Tax Codes'!$A$5:$E$300,5,FALSE),0),2)</f>
        <v/>
      </c>
      <c r="O175" s="21">
        <f>L175+M175-N175</f>
        <v/>
      </c>
      <c r="P175" s="16">
        <f>IF(F175="",INDEX('Chart of Accounts'!$A$5:$A$3000,MATCH("ar",'Chart of Accounts'!$F$5:$F$3000,0)),F175&amp;"")</f>
        <v/>
      </c>
      <c r="Q175" s="16">
        <f>IF(G175="",INDEX('Chart of Accounts'!$A$5:$A$3000,MATCH("revenue",'Chart of Accounts'!$F$5:$F$3000,0)),G175&amp;"")</f>
        <v/>
      </c>
      <c r="R175" s="16">
        <f>INDEX('Chart of Accounts'!$A$5:$A$3000,MATCH("wht_receivable",'Chart of Accounts'!$F$5:$F$3000,0))</f>
        <v/>
      </c>
      <c r="S175" s="16">
        <f>INDEX('Chart of Accounts'!$A$5:$A$3000,MATCH("vat_output",'Chart of Accounts'!$F$5:$F$3000,0))</f>
        <v/>
      </c>
      <c r="T175" s="23">
        <f>IFERROR(INDEX('Chart of Accounts'!$C$5:$C$3000,MATCH(P175&amp;"",'Chart of Accounts'!$A$5:$A$3000,0))&amp;"|"&amp;INDEX('Chart of Accounts'!$D$5:$D$3000,MATCH(P175&amp;"",'Chart of Accounts'!$A$5:$A$3000,0)),"")</f>
        <v/>
      </c>
      <c r="U175" s="23">
        <f>IFERROR(INDEX('Chart of Accounts'!$C$5:$C$3000,MATCH(R175&amp;"",'Chart of Accounts'!$A$5:$A$3000,0))&amp;"|"&amp;INDEX('Chart of Accounts'!$D$5:$D$3000,MATCH(R175&amp;"",'Chart of Accounts'!$A$5:$A$3000,0)),"")</f>
        <v/>
      </c>
      <c r="V175" s="23">
        <f>IFERROR(INDEX('Chart of Accounts'!$C$5:$C$3000,MATCH(Q175&amp;"",'Chart of Accounts'!$A$5:$A$3000,0))&amp;"|"&amp;INDEX('Chart of Accounts'!$D$5:$D$3000,MATCH(Q175&amp;"",'Chart of Accounts'!$A$5:$A$3000,0)),"")</f>
        <v/>
      </c>
      <c r="W175" s="23">
        <f>IFERROR(INDEX('Chart of Accounts'!$C$5:$C$3000,MATCH(S175&amp;"",'Chart of Accounts'!$A$5:$A$3000,0))&amp;"|"&amp;INDEX('Chart of Accounts'!$D$5:$D$3000,MATCH(S175&amp;"",'Chart of Accounts'!$A$5:$A$3000,0)),"")</f>
        <v/>
      </c>
      <c r="X175" s="23">
        <f>IF(LEFT(T175,8)="Revenue|",-N(O175),0)+IF(LEFT(U175,8)="Revenue|",-N(N175),0)+IF(LEFT(V175,8)="Revenue|",N(L175),0)+IF(LEFT(W175,8)="Revenue|",N(M175),0)</f>
        <v/>
      </c>
      <c r="Y175" s="23">
        <f>IF(LEFT(T175,5)="COGS|",N(O175),0)+IF(LEFT(U175,5)="COGS|",N(N175),0)+IF(LEFT(V175,5)="COGS|",-N(L175),0)+IF(LEFT(W175,5)="COGS|",-N(M175),0)</f>
        <v/>
      </c>
      <c r="Z175" s="23">
        <f>IF(LEFT(T175,8)="Expense|",N(O175),0)+IF(LEFT(U175,8)="Expense|",N(N175),0)+IF(LEFT(V175,8)="Expense|",-N(L175),0)+IF(LEFT(W175,8)="Expense|",-N(M175),0)</f>
        <v/>
      </c>
      <c r="AA175" s="23">
        <f>IF(ISNUMBER(MATCH(T175,{"Expense|employee","Expense|general_admin","Expense|marketing","Expense|utilities","Expense|other_operating"},0)),N(O175),0)+IF(ISNUMBER(MATCH(U175,{"Expense|employee","Expense|general_admin","Expense|marketing","Expense|utilities","Expense|other_operating"},0)),N(N175),0)+IF(ISNUMBER(MATCH(V175,{"Expense|employee","Expense|general_admin","Expense|marketing","Expense|utilities","Expense|other_operating"},0)),-N(L175),0)+IF(ISNUMBER(MATCH(W175,{"Expense|employee","Expense|general_admin","Expense|marketing","Expense|utilities","Expense|other_operating"},0)),-N(M175),0)</f>
        <v/>
      </c>
      <c r="AB175" s="23">
        <f>IF(T175="Liability|payable",-N(O175),0)+IF(U175="Liability|payable",-N(N175),0)+IF(V175="Liability|payable",N(L175),0)+IF(W175="Liability|payable",N(M175),0)</f>
        <v/>
      </c>
      <c r="AC175" s="23">
        <f>IF(T175="Liability|accrued",-N(O175),0)+IF(U175="Liability|accrued",-N(N175),0)+IF(V175="Liability|accrued",N(L175),0)+IF(W175="Liability|accrued",N(M175),0)</f>
        <v/>
      </c>
      <c r="AD175" s="23">
        <f>IF(AND(N(O175)&lt;&gt;0,T175=""),1,0)+IF(AND(N(N175)&lt;&gt;0,U175=""),1,0)+IF(AND(N(L175)&lt;&gt;0,V175=""),1,0)+IF(AND(N(M175)&lt;&gt;0,W175=""),1,0)</f>
        <v/>
      </c>
    </row>
    <row r="176">
      <c r="A176" s="14" t="n"/>
      <c r="B176" s="19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21">
        <f>SUMIFS('Invoice Lines'!$I:$I,'Invoice Lines'!$A:$A,A176)</f>
        <v/>
      </c>
      <c r="L176" s="21">
        <f>IF(E176="Draft",0,K176)</f>
        <v/>
      </c>
      <c r="M176" s="21">
        <f>ROUND(L176*IFERROR(VLOOKUP(I176,'Tax Codes'!$A$5:$E$300,5,FALSE),0),2)</f>
        <v/>
      </c>
      <c r="N176" s="21">
        <f>ROUND(L176*IFERROR(VLOOKUP(J176,'Tax Codes'!$A$5:$E$300,5,FALSE),0),2)</f>
        <v/>
      </c>
      <c r="O176" s="21">
        <f>L176+M176-N176</f>
        <v/>
      </c>
      <c r="P176" s="16">
        <f>IF(F176="",INDEX('Chart of Accounts'!$A$5:$A$3000,MATCH("ar",'Chart of Accounts'!$F$5:$F$3000,0)),F176&amp;"")</f>
        <v/>
      </c>
      <c r="Q176" s="16">
        <f>IF(G176="",INDEX('Chart of Accounts'!$A$5:$A$3000,MATCH("revenue",'Chart of Accounts'!$F$5:$F$3000,0)),G176&amp;"")</f>
        <v/>
      </c>
      <c r="R176" s="16">
        <f>INDEX('Chart of Accounts'!$A$5:$A$3000,MATCH("wht_receivable",'Chart of Accounts'!$F$5:$F$3000,0))</f>
        <v/>
      </c>
      <c r="S176" s="16">
        <f>INDEX('Chart of Accounts'!$A$5:$A$3000,MATCH("vat_output",'Chart of Accounts'!$F$5:$F$3000,0))</f>
        <v/>
      </c>
      <c r="T176" s="23">
        <f>IFERROR(INDEX('Chart of Accounts'!$C$5:$C$3000,MATCH(P176&amp;"",'Chart of Accounts'!$A$5:$A$3000,0))&amp;"|"&amp;INDEX('Chart of Accounts'!$D$5:$D$3000,MATCH(P176&amp;"",'Chart of Accounts'!$A$5:$A$3000,0)),"")</f>
        <v/>
      </c>
      <c r="U176" s="23">
        <f>IFERROR(INDEX('Chart of Accounts'!$C$5:$C$3000,MATCH(R176&amp;"",'Chart of Accounts'!$A$5:$A$3000,0))&amp;"|"&amp;INDEX('Chart of Accounts'!$D$5:$D$3000,MATCH(R176&amp;"",'Chart of Accounts'!$A$5:$A$3000,0)),"")</f>
        <v/>
      </c>
      <c r="V176" s="23">
        <f>IFERROR(INDEX('Chart of Accounts'!$C$5:$C$3000,MATCH(Q176&amp;"",'Chart of Accounts'!$A$5:$A$3000,0))&amp;"|"&amp;INDEX('Chart of Accounts'!$D$5:$D$3000,MATCH(Q176&amp;"",'Chart of Accounts'!$A$5:$A$3000,0)),"")</f>
        <v/>
      </c>
      <c r="W176" s="23">
        <f>IFERROR(INDEX('Chart of Accounts'!$C$5:$C$3000,MATCH(S176&amp;"",'Chart of Accounts'!$A$5:$A$3000,0))&amp;"|"&amp;INDEX('Chart of Accounts'!$D$5:$D$3000,MATCH(S176&amp;"",'Chart of Accounts'!$A$5:$A$3000,0)),"")</f>
        <v/>
      </c>
      <c r="X176" s="23">
        <f>IF(LEFT(T176,8)="Revenue|",-N(O176),0)+IF(LEFT(U176,8)="Revenue|",-N(N176),0)+IF(LEFT(V176,8)="Revenue|",N(L176),0)+IF(LEFT(W176,8)="Revenue|",N(M176),0)</f>
        <v/>
      </c>
      <c r="Y176" s="23">
        <f>IF(LEFT(T176,5)="COGS|",N(O176),0)+IF(LEFT(U176,5)="COGS|",N(N176),0)+IF(LEFT(V176,5)="COGS|",-N(L176),0)+IF(LEFT(W176,5)="COGS|",-N(M176),0)</f>
        <v/>
      </c>
      <c r="Z176" s="23">
        <f>IF(LEFT(T176,8)="Expense|",N(O176),0)+IF(LEFT(U176,8)="Expense|",N(N176),0)+IF(LEFT(V176,8)="Expense|",-N(L176),0)+IF(LEFT(W176,8)="Expense|",-N(M176),0)</f>
        <v/>
      </c>
      <c r="AA176" s="23">
        <f>IF(ISNUMBER(MATCH(T176,{"Expense|employee","Expense|general_admin","Expense|marketing","Expense|utilities","Expense|other_operating"},0)),N(O176),0)+IF(ISNUMBER(MATCH(U176,{"Expense|employee","Expense|general_admin","Expense|marketing","Expense|utilities","Expense|other_operating"},0)),N(N176),0)+IF(ISNUMBER(MATCH(V176,{"Expense|employee","Expense|general_admin","Expense|marketing","Expense|utilities","Expense|other_operating"},0)),-N(L176),0)+IF(ISNUMBER(MATCH(W176,{"Expense|employee","Expense|general_admin","Expense|marketing","Expense|utilities","Expense|other_operating"},0)),-N(M176),0)</f>
        <v/>
      </c>
      <c r="AB176" s="23">
        <f>IF(T176="Liability|payable",-N(O176),0)+IF(U176="Liability|payable",-N(N176),0)+IF(V176="Liability|payable",N(L176),0)+IF(W176="Liability|payable",N(M176),0)</f>
        <v/>
      </c>
      <c r="AC176" s="23">
        <f>IF(T176="Liability|accrued",-N(O176),0)+IF(U176="Liability|accrued",-N(N176),0)+IF(V176="Liability|accrued",N(L176),0)+IF(W176="Liability|accrued",N(M176),0)</f>
        <v/>
      </c>
      <c r="AD176" s="23">
        <f>IF(AND(N(O176)&lt;&gt;0,T176=""),1,0)+IF(AND(N(N176)&lt;&gt;0,U176=""),1,0)+IF(AND(N(L176)&lt;&gt;0,V176=""),1,0)+IF(AND(N(M176)&lt;&gt;0,W176=""),1,0)</f>
        <v/>
      </c>
    </row>
    <row r="177">
      <c r="A177" s="14" t="n"/>
      <c r="B177" s="19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21">
        <f>SUMIFS('Invoice Lines'!$I:$I,'Invoice Lines'!$A:$A,A177)</f>
        <v/>
      </c>
      <c r="L177" s="21">
        <f>IF(E177="Draft",0,K177)</f>
        <v/>
      </c>
      <c r="M177" s="21">
        <f>ROUND(L177*IFERROR(VLOOKUP(I177,'Tax Codes'!$A$5:$E$300,5,FALSE),0),2)</f>
        <v/>
      </c>
      <c r="N177" s="21">
        <f>ROUND(L177*IFERROR(VLOOKUP(J177,'Tax Codes'!$A$5:$E$300,5,FALSE),0),2)</f>
        <v/>
      </c>
      <c r="O177" s="21">
        <f>L177+M177-N177</f>
        <v/>
      </c>
      <c r="P177" s="16">
        <f>IF(F177="",INDEX('Chart of Accounts'!$A$5:$A$3000,MATCH("ar",'Chart of Accounts'!$F$5:$F$3000,0)),F177&amp;"")</f>
        <v/>
      </c>
      <c r="Q177" s="16">
        <f>IF(G177="",INDEX('Chart of Accounts'!$A$5:$A$3000,MATCH("revenue",'Chart of Accounts'!$F$5:$F$3000,0)),G177&amp;"")</f>
        <v/>
      </c>
      <c r="R177" s="16">
        <f>INDEX('Chart of Accounts'!$A$5:$A$3000,MATCH("wht_receivable",'Chart of Accounts'!$F$5:$F$3000,0))</f>
        <v/>
      </c>
      <c r="S177" s="16">
        <f>INDEX('Chart of Accounts'!$A$5:$A$3000,MATCH("vat_output",'Chart of Accounts'!$F$5:$F$3000,0))</f>
        <v/>
      </c>
      <c r="T177" s="23">
        <f>IFERROR(INDEX('Chart of Accounts'!$C$5:$C$3000,MATCH(P177&amp;"",'Chart of Accounts'!$A$5:$A$3000,0))&amp;"|"&amp;INDEX('Chart of Accounts'!$D$5:$D$3000,MATCH(P177&amp;"",'Chart of Accounts'!$A$5:$A$3000,0)),"")</f>
        <v/>
      </c>
      <c r="U177" s="23">
        <f>IFERROR(INDEX('Chart of Accounts'!$C$5:$C$3000,MATCH(R177&amp;"",'Chart of Accounts'!$A$5:$A$3000,0))&amp;"|"&amp;INDEX('Chart of Accounts'!$D$5:$D$3000,MATCH(R177&amp;"",'Chart of Accounts'!$A$5:$A$3000,0)),"")</f>
        <v/>
      </c>
      <c r="V177" s="23">
        <f>IFERROR(INDEX('Chart of Accounts'!$C$5:$C$3000,MATCH(Q177&amp;"",'Chart of Accounts'!$A$5:$A$3000,0))&amp;"|"&amp;INDEX('Chart of Accounts'!$D$5:$D$3000,MATCH(Q177&amp;"",'Chart of Accounts'!$A$5:$A$3000,0)),"")</f>
        <v/>
      </c>
      <c r="W177" s="23">
        <f>IFERROR(INDEX('Chart of Accounts'!$C$5:$C$3000,MATCH(S177&amp;"",'Chart of Accounts'!$A$5:$A$3000,0))&amp;"|"&amp;INDEX('Chart of Accounts'!$D$5:$D$3000,MATCH(S177&amp;"",'Chart of Accounts'!$A$5:$A$3000,0)),"")</f>
        <v/>
      </c>
      <c r="X177" s="23">
        <f>IF(LEFT(T177,8)="Revenue|",-N(O177),0)+IF(LEFT(U177,8)="Revenue|",-N(N177),0)+IF(LEFT(V177,8)="Revenue|",N(L177),0)+IF(LEFT(W177,8)="Revenue|",N(M177),0)</f>
        <v/>
      </c>
      <c r="Y177" s="23">
        <f>IF(LEFT(T177,5)="COGS|",N(O177),0)+IF(LEFT(U177,5)="COGS|",N(N177),0)+IF(LEFT(V177,5)="COGS|",-N(L177),0)+IF(LEFT(W177,5)="COGS|",-N(M177),0)</f>
        <v/>
      </c>
      <c r="Z177" s="23">
        <f>IF(LEFT(T177,8)="Expense|",N(O177),0)+IF(LEFT(U177,8)="Expense|",N(N177),0)+IF(LEFT(V177,8)="Expense|",-N(L177),0)+IF(LEFT(W177,8)="Expense|",-N(M177),0)</f>
        <v/>
      </c>
      <c r="AA177" s="23">
        <f>IF(ISNUMBER(MATCH(T177,{"Expense|employee","Expense|general_admin","Expense|marketing","Expense|utilities","Expense|other_operating"},0)),N(O177),0)+IF(ISNUMBER(MATCH(U177,{"Expense|employee","Expense|general_admin","Expense|marketing","Expense|utilities","Expense|other_operating"},0)),N(N177),0)+IF(ISNUMBER(MATCH(V177,{"Expense|employee","Expense|general_admin","Expense|marketing","Expense|utilities","Expense|other_operating"},0)),-N(L177),0)+IF(ISNUMBER(MATCH(W177,{"Expense|employee","Expense|general_admin","Expense|marketing","Expense|utilities","Expense|other_operating"},0)),-N(M177),0)</f>
        <v/>
      </c>
      <c r="AB177" s="23">
        <f>IF(T177="Liability|payable",-N(O177),0)+IF(U177="Liability|payable",-N(N177),0)+IF(V177="Liability|payable",N(L177),0)+IF(W177="Liability|payable",N(M177),0)</f>
        <v/>
      </c>
      <c r="AC177" s="23">
        <f>IF(T177="Liability|accrued",-N(O177),0)+IF(U177="Liability|accrued",-N(N177),0)+IF(V177="Liability|accrued",N(L177),0)+IF(W177="Liability|accrued",N(M177),0)</f>
        <v/>
      </c>
      <c r="AD177" s="23">
        <f>IF(AND(N(O177)&lt;&gt;0,T177=""),1,0)+IF(AND(N(N177)&lt;&gt;0,U177=""),1,0)+IF(AND(N(L177)&lt;&gt;0,V177=""),1,0)+IF(AND(N(M177)&lt;&gt;0,W177=""),1,0)</f>
        <v/>
      </c>
    </row>
    <row r="178">
      <c r="A178" s="14" t="n"/>
      <c r="B178" s="19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21">
        <f>SUMIFS('Invoice Lines'!$I:$I,'Invoice Lines'!$A:$A,A178)</f>
        <v/>
      </c>
      <c r="L178" s="21">
        <f>IF(E178="Draft",0,K178)</f>
        <v/>
      </c>
      <c r="M178" s="21">
        <f>ROUND(L178*IFERROR(VLOOKUP(I178,'Tax Codes'!$A$5:$E$300,5,FALSE),0),2)</f>
        <v/>
      </c>
      <c r="N178" s="21">
        <f>ROUND(L178*IFERROR(VLOOKUP(J178,'Tax Codes'!$A$5:$E$300,5,FALSE),0),2)</f>
        <v/>
      </c>
      <c r="O178" s="21">
        <f>L178+M178-N178</f>
        <v/>
      </c>
      <c r="P178" s="16">
        <f>IF(F178="",INDEX('Chart of Accounts'!$A$5:$A$3000,MATCH("ar",'Chart of Accounts'!$F$5:$F$3000,0)),F178&amp;"")</f>
        <v/>
      </c>
      <c r="Q178" s="16">
        <f>IF(G178="",INDEX('Chart of Accounts'!$A$5:$A$3000,MATCH("revenue",'Chart of Accounts'!$F$5:$F$3000,0)),G178&amp;"")</f>
        <v/>
      </c>
      <c r="R178" s="16">
        <f>INDEX('Chart of Accounts'!$A$5:$A$3000,MATCH("wht_receivable",'Chart of Accounts'!$F$5:$F$3000,0))</f>
        <v/>
      </c>
      <c r="S178" s="16">
        <f>INDEX('Chart of Accounts'!$A$5:$A$3000,MATCH("vat_output",'Chart of Accounts'!$F$5:$F$3000,0))</f>
        <v/>
      </c>
      <c r="T178" s="23">
        <f>IFERROR(INDEX('Chart of Accounts'!$C$5:$C$3000,MATCH(P178&amp;"",'Chart of Accounts'!$A$5:$A$3000,0))&amp;"|"&amp;INDEX('Chart of Accounts'!$D$5:$D$3000,MATCH(P178&amp;"",'Chart of Accounts'!$A$5:$A$3000,0)),"")</f>
        <v/>
      </c>
      <c r="U178" s="23">
        <f>IFERROR(INDEX('Chart of Accounts'!$C$5:$C$3000,MATCH(R178&amp;"",'Chart of Accounts'!$A$5:$A$3000,0))&amp;"|"&amp;INDEX('Chart of Accounts'!$D$5:$D$3000,MATCH(R178&amp;"",'Chart of Accounts'!$A$5:$A$3000,0)),"")</f>
        <v/>
      </c>
      <c r="V178" s="23">
        <f>IFERROR(INDEX('Chart of Accounts'!$C$5:$C$3000,MATCH(Q178&amp;"",'Chart of Accounts'!$A$5:$A$3000,0))&amp;"|"&amp;INDEX('Chart of Accounts'!$D$5:$D$3000,MATCH(Q178&amp;"",'Chart of Accounts'!$A$5:$A$3000,0)),"")</f>
        <v/>
      </c>
      <c r="W178" s="23">
        <f>IFERROR(INDEX('Chart of Accounts'!$C$5:$C$3000,MATCH(S178&amp;"",'Chart of Accounts'!$A$5:$A$3000,0))&amp;"|"&amp;INDEX('Chart of Accounts'!$D$5:$D$3000,MATCH(S178&amp;"",'Chart of Accounts'!$A$5:$A$3000,0)),"")</f>
        <v/>
      </c>
      <c r="X178" s="23">
        <f>IF(LEFT(T178,8)="Revenue|",-N(O178),0)+IF(LEFT(U178,8)="Revenue|",-N(N178),0)+IF(LEFT(V178,8)="Revenue|",N(L178),0)+IF(LEFT(W178,8)="Revenue|",N(M178),0)</f>
        <v/>
      </c>
      <c r="Y178" s="23">
        <f>IF(LEFT(T178,5)="COGS|",N(O178),0)+IF(LEFT(U178,5)="COGS|",N(N178),0)+IF(LEFT(V178,5)="COGS|",-N(L178),0)+IF(LEFT(W178,5)="COGS|",-N(M178),0)</f>
        <v/>
      </c>
      <c r="Z178" s="23">
        <f>IF(LEFT(T178,8)="Expense|",N(O178),0)+IF(LEFT(U178,8)="Expense|",N(N178),0)+IF(LEFT(V178,8)="Expense|",-N(L178),0)+IF(LEFT(W178,8)="Expense|",-N(M178),0)</f>
        <v/>
      </c>
      <c r="AA178" s="23">
        <f>IF(ISNUMBER(MATCH(T178,{"Expense|employee","Expense|general_admin","Expense|marketing","Expense|utilities","Expense|other_operating"},0)),N(O178),0)+IF(ISNUMBER(MATCH(U178,{"Expense|employee","Expense|general_admin","Expense|marketing","Expense|utilities","Expense|other_operating"},0)),N(N178),0)+IF(ISNUMBER(MATCH(V178,{"Expense|employee","Expense|general_admin","Expense|marketing","Expense|utilities","Expense|other_operating"},0)),-N(L178),0)+IF(ISNUMBER(MATCH(W178,{"Expense|employee","Expense|general_admin","Expense|marketing","Expense|utilities","Expense|other_operating"},0)),-N(M178),0)</f>
        <v/>
      </c>
      <c r="AB178" s="23">
        <f>IF(T178="Liability|payable",-N(O178),0)+IF(U178="Liability|payable",-N(N178),0)+IF(V178="Liability|payable",N(L178),0)+IF(W178="Liability|payable",N(M178),0)</f>
        <v/>
      </c>
      <c r="AC178" s="23">
        <f>IF(T178="Liability|accrued",-N(O178),0)+IF(U178="Liability|accrued",-N(N178),0)+IF(V178="Liability|accrued",N(L178),0)+IF(W178="Liability|accrued",N(M178),0)</f>
        <v/>
      </c>
      <c r="AD178" s="23">
        <f>IF(AND(N(O178)&lt;&gt;0,T178=""),1,0)+IF(AND(N(N178)&lt;&gt;0,U178=""),1,0)+IF(AND(N(L178)&lt;&gt;0,V178=""),1,0)+IF(AND(N(M178)&lt;&gt;0,W178=""),1,0)</f>
        <v/>
      </c>
    </row>
    <row r="179">
      <c r="A179" s="14" t="n"/>
      <c r="B179" s="19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21">
        <f>SUMIFS('Invoice Lines'!$I:$I,'Invoice Lines'!$A:$A,A179)</f>
        <v/>
      </c>
      <c r="L179" s="21">
        <f>IF(E179="Draft",0,K179)</f>
        <v/>
      </c>
      <c r="M179" s="21">
        <f>ROUND(L179*IFERROR(VLOOKUP(I179,'Tax Codes'!$A$5:$E$300,5,FALSE),0),2)</f>
        <v/>
      </c>
      <c r="N179" s="21">
        <f>ROUND(L179*IFERROR(VLOOKUP(J179,'Tax Codes'!$A$5:$E$300,5,FALSE),0),2)</f>
        <v/>
      </c>
      <c r="O179" s="21">
        <f>L179+M179-N179</f>
        <v/>
      </c>
      <c r="P179" s="16">
        <f>IF(F179="",INDEX('Chart of Accounts'!$A$5:$A$3000,MATCH("ar",'Chart of Accounts'!$F$5:$F$3000,0)),F179&amp;"")</f>
        <v/>
      </c>
      <c r="Q179" s="16">
        <f>IF(G179="",INDEX('Chart of Accounts'!$A$5:$A$3000,MATCH("revenue",'Chart of Accounts'!$F$5:$F$3000,0)),G179&amp;"")</f>
        <v/>
      </c>
      <c r="R179" s="16">
        <f>INDEX('Chart of Accounts'!$A$5:$A$3000,MATCH("wht_receivable",'Chart of Accounts'!$F$5:$F$3000,0))</f>
        <v/>
      </c>
      <c r="S179" s="16">
        <f>INDEX('Chart of Accounts'!$A$5:$A$3000,MATCH("vat_output",'Chart of Accounts'!$F$5:$F$3000,0))</f>
        <v/>
      </c>
      <c r="T179" s="23">
        <f>IFERROR(INDEX('Chart of Accounts'!$C$5:$C$3000,MATCH(P179&amp;"",'Chart of Accounts'!$A$5:$A$3000,0))&amp;"|"&amp;INDEX('Chart of Accounts'!$D$5:$D$3000,MATCH(P179&amp;"",'Chart of Accounts'!$A$5:$A$3000,0)),"")</f>
        <v/>
      </c>
      <c r="U179" s="23">
        <f>IFERROR(INDEX('Chart of Accounts'!$C$5:$C$3000,MATCH(R179&amp;"",'Chart of Accounts'!$A$5:$A$3000,0))&amp;"|"&amp;INDEX('Chart of Accounts'!$D$5:$D$3000,MATCH(R179&amp;"",'Chart of Accounts'!$A$5:$A$3000,0)),"")</f>
        <v/>
      </c>
      <c r="V179" s="23">
        <f>IFERROR(INDEX('Chart of Accounts'!$C$5:$C$3000,MATCH(Q179&amp;"",'Chart of Accounts'!$A$5:$A$3000,0))&amp;"|"&amp;INDEX('Chart of Accounts'!$D$5:$D$3000,MATCH(Q179&amp;"",'Chart of Accounts'!$A$5:$A$3000,0)),"")</f>
        <v/>
      </c>
      <c r="W179" s="23">
        <f>IFERROR(INDEX('Chart of Accounts'!$C$5:$C$3000,MATCH(S179&amp;"",'Chart of Accounts'!$A$5:$A$3000,0))&amp;"|"&amp;INDEX('Chart of Accounts'!$D$5:$D$3000,MATCH(S179&amp;"",'Chart of Accounts'!$A$5:$A$3000,0)),"")</f>
        <v/>
      </c>
      <c r="X179" s="23">
        <f>IF(LEFT(T179,8)="Revenue|",-N(O179),0)+IF(LEFT(U179,8)="Revenue|",-N(N179),0)+IF(LEFT(V179,8)="Revenue|",N(L179),0)+IF(LEFT(W179,8)="Revenue|",N(M179),0)</f>
        <v/>
      </c>
      <c r="Y179" s="23">
        <f>IF(LEFT(T179,5)="COGS|",N(O179),0)+IF(LEFT(U179,5)="COGS|",N(N179),0)+IF(LEFT(V179,5)="COGS|",-N(L179),0)+IF(LEFT(W179,5)="COGS|",-N(M179),0)</f>
        <v/>
      </c>
      <c r="Z179" s="23">
        <f>IF(LEFT(T179,8)="Expense|",N(O179),0)+IF(LEFT(U179,8)="Expense|",N(N179),0)+IF(LEFT(V179,8)="Expense|",-N(L179),0)+IF(LEFT(W179,8)="Expense|",-N(M179),0)</f>
        <v/>
      </c>
      <c r="AA179" s="23">
        <f>IF(ISNUMBER(MATCH(T179,{"Expense|employee","Expense|general_admin","Expense|marketing","Expense|utilities","Expense|other_operating"},0)),N(O179),0)+IF(ISNUMBER(MATCH(U179,{"Expense|employee","Expense|general_admin","Expense|marketing","Expense|utilities","Expense|other_operating"},0)),N(N179),0)+IF(ISNUMBER(MATCH(V179,{"Expense|employee","Expense|general_admin","Expense|marketing","Expense|utilities","Expense|other_operating"},0)),-N(L179),0)+IF(ISNUMBER(MATCH(W179,{"Expense|employee","Expense|general_admin","Expense|marketing","Expense|utilities","Expense|other_operating"},0)),-N(M179),0)</f>
        <v/>
      </c>
      <c r="AB179" s="23">
        <f>IF(T179="Liability|payable",-N(O179),0)+IF(U179="Liability|payable",-N(N179),0)+IF(V179="Liability|payable",N(L179),0)+IF(W179="Liability|payable",N(M179),0)</f>
        <v/>
      </c>
      <c r="AC179" s="23">
        <f>IF(T179="Liability|accrued",-N(O179),0)+IF(U179="Liability|accrued",-N(N179),0)+IF(V179="Liability|accrued",N(L179),0)+IF(W179="Liability|accrued",N(M179),0)</f>
        <v/>
      </c>
      <c r="AD179" s="23">
        <f>IF(AND(N(O179)&lt;&gt;0,T179=""),1,0)+IF(AND(N(N179)&lt;&gt;0,U179=""),1,0)+IF(AND(N(L179)&lt;&gt;0,V179=""),1,0)+IF(AND(N(M179)&lt;&gt;0,W179=""),1,0)</f>
        <v/>
      </c>
    </row>
    <row r="180">
      <c r="A180" s="14" t="n"/>
      <c r="B180" s="19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21">
        <f>SUMIFS('Invoice Lines'!$I:$I,'Invoice Lines'!$A:$A,A180)</f>
        <v/>
      </c>
      <c r="L180" s="21">
        <f>IF(E180="Draft",0,K180)</f>
        <v/>
      </c>
      <c r="M180" s="21">
        <f>ROUND(L180*IFERROR(VLOOKUP(I180,'Tax Codes'!$A$5:$E$300,5,FALSE),0),2)</f>
        <v/>
      </c>
      <c r="N180" s="21">
        <f>ROUND(L180*IFERROR(VLOOKUP(J180,'Tax Codes'!$A$5:$E$300,5,FALSE),0),2)</f>
        <v/>
      </c>
      <c r="O180" s="21">
        <f>L180+M180-N180</f>
        <v/>
      </c>
      <c r="P180" s="16">
        <f>IF(F180="",INDEX('Chart of Accounts'!$A$5:$A$3000,MATCH("ar",'Chart of Accounts'!$F$5:$F$3000,0)),F180&amp;"")</f>
        <v/>
      </c>
      <c r="Q180" s="16">
        <f>IF(G180="",INDEX('Chart of Accounts'!$A$5:$A$3000,MATCH("revenue",'Chart of Accounts'!$F$5:$F$3000,0)),G180&amp;"")</f>
        <v/>
      </c>
      <c r="R180" s="16">
        <f>INDEX('Chart of Accounts'!$A$5:$A$3000,MATCH("wht_receivable",'Chart of Accounts'!$F$5:$F$3000,0))</f>
        <v/>
      </c>
      <c r="S180" s="16">
        <f>INDEX('Chart of Accounts'!$A$5:$A$3000,MATCH("vat_output",'Chart of Accounts'!$F$5:$F$3000,0))</f>
        <v/>
      </c>
      <c r="T180" s="23">
        <f>IFERROR(INDEX('Chart of Accounts'!$C$5:$C$3000,MATCH(P180&amp;"",'Chart of Accounts'!$A$5:$A$3000,0))&amp;"|"&amp;INDEX('Chart of Accounts'!$D$5:$D$3000,MATCH(P180&amp;"",'Chart of Accounts'!$A$5:$A$3000,0)),"")</f>
        <v/>
      </c>
      <c r="U180" s="23">
        <f>IFERROR(INDEX('Chart of Accounts'!$C$5:$C$3000,MATCH(R180&amp;"",'Chart of Accounts'!$A$5:$A$3000,0))&amp;"|"&amp;INDEX('Chart of Accounts'!$D$5:$D$3000,MATCH(R180&amp;"",'Chart of Accounts'!$A$5:$A$3000,0)),"")</f>
        <v/>
      </c>
      <c r="V180" s="23">
        <f>IFERROR(INDEX('Chart of Accounts'!$C$5:$C$3000,MATCH(Q180&amp;"",'Chart of Accounts'!$A$5:$A$3000,0))&amp;"|"&amp;INDEX('Chart of Accounts'!$D$5:$D$3000,MATCH(Q180&amp;"",'Chart of Accounts'!$A$5:$A$3000,0)),"")</f>
        <v/>
      </c>
      <c r="W180" s="23">
        <f>IFERROR(INDEX('Chart of Accounts'!$C$5:$C$3000,MATCH(S180&amp;"",'Chart of Accounts'!$A$5:$A$3000,0))&amp;"|"&amp;INDEX('Chart of Accounts'!$D$5:$D$3000,MATCH(S180&amp;"",'Chart of Accounts'!$A$5:$A$3000,0)),"")</f>
        <v/>
      </c>
      <c r="X180" s="23">
        <f>IF(LEFT(T180,8)="Revenue|",-N(O180),0)+IF(LEFT(U180,8)="Revenue|",-N(N180),0)+IF(LEFT(V180,8)="Revenue|",N(L180),0)+IF(LEFT(W180,8)="Revenue|",N(M180),0)</f>
        <v/>
      </c>
      <c r="Y180" s="23">
        <f>IF(LEFT(T180,5)="COGS|",N(O180),0)+IF(LEFT(U180,5)="COGS|",N(N180),0)+IF(LEFT(V180,5)="COGS|",-N(L180),0)+IF(LEFT(W180,5)="COGS|",-N(M180),0)</f>
        <v/>
      </c>
      <c r="Z180" s="23">
        <f>IF(LEFT(T180,8)="Expense|",N(O180),0)+IF(LEFT(U180,8)="Expense|",N(N180),0)+IF(LEFT(V180,8)="Expense|",-N(L180),0)+IF(LEFT(W180,8)="Expense|",-N(M180),0)</f>
        <v/>
      </c>
      <c r="AA180" s="23">
        <f>IF(ISNUMBER(MATCH(T180,{"Expense|employee","Expense|general_admin","Expense|marketing","Expense|utilities","Expense|other_operating"},0)),N(O180),0)+IF(ISNUMBER(MATCH(U180,{"Expense|employee","Expense|general_admin","Expense|marketing","Expense|utilities","Expense|other_operating"},0)),N(N180),0)+IF(ISNUMBER(MATCH(V180,{"Expense|employee","Expense|general_admin","Expense|marketing","Expense|utilities","Expense|other_operating"},0)),-N(L180),0)+IF(ISNUMBER(MATCH(W180,{"Expense|employee","Expense|general_admin","Expense|marketing","Expense|utilities","Expense|other_operating"},0)),-N(M180),0)</f>
        <v/>
      </c>
      <c r="AB180" s="23">
        <f>IF(T180="Liability|payable",-N(O180),0)+IF(U180="Liability|payable",-N(N180),0)+IF(V180="Liability|payable",N(L180),0)+IF(W180="Liability|payable",N(M180),0)</f>
        <v/>
      </c>
      <c r="AC180" s="23">
        <f>IF(T180="Liability|accrued",-N(O180),0)+IF(U180="Liability|accrued",-N(N180),0)+IF(V180="Liability|accrued",N(L180),0)+IF(W180="Liability|accrued",N(M180),0)</f>
        <v/>
      </c>
      <c r="AD180" s="23">
        <f>IF(AND(N(O180)&lt;&gt;0,T180=""),1,0)+IF(AND(N(N180)&lt;&gt;0,U180=""),1,0)+IF(AND(N(L180)&lt;&gt;0,V180=""),1,0)+IF(AND(N(M180)&lt;&gt;0,W180=""),1,0)</f>
        <v/>
      </c>
    </row>
    <row r="181">
      <c r="A181" s="14" t="n"/>
      <c r="B181" s="19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21">
        <f>SUMIFS('Invoice Lines'!$I:$I,'Invoice Lines'!$A:$A,A181)</f>
        <v/>
      </c>
      <c r="L181" s="21">
        <f>IF(E181="Draft",0,K181)</f>
        <v/>
      </c>
      <c r="M181" s="21">
        <f>ROUND(L181*IFERROR(VLOOKUP(I181,'Tax Codes'!$A$5:$E$300,5,FALSE),0),2)</f>
        <v/>
      </c>
      <c r="N181" s="21">
        <f>ROUND(L181*IFERROR(VLOOKUP(J181,'Tax Codes'!$A$5:$E$300,5,FALSE),0),2)</f>
        <v/>
      </c>
      <c r="O181" s="21">
        <f>L181+M181-N181</f>
        <v/>
      </c>
      <c r="P181" s="16">
        <f>IF(F181="",INDEX('Chart of Accounts'!$A$5:$A$3000,MATCH("ar",'Chart of Accounts'!$F$5:$F$3000,0)),F181&amp;"")</f>
        <v/>
      </c>
      <c r="Q181" s="16">
        <f>IF(G181="",INDEX('Chart of Accounts'!$A$5:$A$3000,MATCH("revenue",'Chart of Accounts'!$F$5:$F$3000,0)),G181&amp;"")</f>
        <v/>
      </c>
      <c r="R181" s="16">
        <f>INDEX('Chart of Accounts'!$A$5:$A$3000,MATCH("wht_receivable",'Chart of Accounts'!$F$5:$F$3000,0))</f>
        <v/>
      </c>
      <c r="S181" s="16">
        <f>INDEX('Chart of Accounts'!$A$5:$A$3000,MATCH("vat_output",'Chart of Accounts'!$F$5:$F$3000,0))</f>
        <v/>
      </c>
      <c r="T181" s="23">
        <f>IFERROR(INDEX('Chart of Accounts'!$C$5:$C$3000,MATCH(P181&amp;"",'Chart of Accounts'!$A$5:$A$3000,0))&amp;"|"&amp;INDEX('Chart of Accounts'!$D$5:$D$3000,MATCH(P181&amp;"",'Chart of Accounts'!$A$5:$A$3000,0)),"")</f>
        <v/>
      </c>
      <c r="U181" s="23">
        <f>IFERROR(INDEX('Chart of Accounts'!$C$5:$C$3000,MATCH(R181&amp;"",'Chart of Accounts'!$A$5:$A$3000,0))&amp;"|"&amp;INDEX('Chart of Accounts'!$D$5:$D$3000,MATCH(R181&amp;"",'Chart of Accounts'!$A$5:$A$3000,0)),"")</f>
        <v/>
      </c>
      <c r="V181" s="23">
        <f>IFERROR(INDEX('Chart of Accounts'!$C$5:$C$3000,MATCH(Q181&amp;"",'Chart of Accounts'!$A$5:$A$3000,0))&amp;"|"&amp;INDEX('Chart of Accounts'!$D$5:$D$3000,MATCH(Q181&amp;"",'Chart of Accounts'!$A$5:$A$3000,0)),"")</f>
        <v/>
      </c>
      <c r="W181" s="23">
        <f>IFERROR(INDEX('Chart of Accounts'!$C$5:$C$3000,MATCH(S181&amp;"",'Chart of Accounts'!$A$5:$A$3000,0))&amp;"|"&amp;INDEX('Chart of Accounts'!$D$5:$D$3000,MATCH(S181&amp;"",'Chart of Accounts'!$A$5:$A$3000,0)),"")</f>
        <v/>
      </c>
      <c r="X181" s="23">
        <f>IF(LEFT(T181,8)="Revenue|",-N(O181),0)+IF(LEFT(U181,8)="Revenue|",-N(N181),0)+IF(LEFT(V181,8)="Revenue|",N(L181),0)+IF(LEFT(W181,8)="Revenue|",N(M181),0)</f>
        <v/>
      </c>
      <c r="Y181" s="23">
        <f>IF(LEFT(T181,5)="COGS|",N(O181),0)+IF(LEFT(U181,5)="COGS|",N(N181),0)+IF(LEFT(V181,5)="COGS|",-N(L181),0)+IF(LEFT(W181,5)="COGS|",-N(M181),0)</f>
        <v/>
      </c>
      <c r="Z181" s="23">
        <f>IF(LEFT(T181,8)="Expense|",N(O181),0)+IF(LEFT(U181,8)="Expense|",N(N181),0)+IF(LEFT(V181,8)="Expense|",-N(L181),0)+IF(LEFT(W181,8)="Expense|",-N(M181),0)</f>
        <v/>
      </c>
      <c r="AA181" s="23">
        <f>IF(ISNUMBER(MATCH(T181,{"Expense|employee","Expense|general_admin","Expense|marketing","Expense|utilities","Expense|other_operating"},0)),N(O181),0)+IF(ISNUMBER(MATCH(U181,{"Expense|employee","Expense|general_admin","Expense|marketing","Expense|utilities","Expense|other_operating"},0)),N(N181),0)+IF(ISNUMBER(MATCH(V181,{"Expense|employee","Expense|general_admin","Expense|marketing","Expense|utilities","Expense|other_operating"},0)),-N(L181),0)+IF(ISNUMBER(MATCH(W181,{"Expense|employee","Expense|general_admin","Expense|marketing","Expense|utilities","Expense|other_operating"},0)),-N(M181),0)</f>
        <v/>
      </c>
      <c r="AB181" s="23">
        <f>IF(T181="Liability|payable",-N(O181),0)+IF(U181="Liability|payable",-N(N181),0)+IF(V181="Liability|payable",N(L181),0)+IF(W181="Liability|payable",N(M181),0)</f>
        <v/>
      </c>
      <c r="AC181" s="23">
        <f>IF(T181="Liability|accrued",-N(O181),0)+IF(U181="Liability|accrued",-N(N181),0)+IF(V181="Liability|accrued",N(L181),0)+IF(W181="Liability|accrued",N(M181),0)</f>
        <v/>
      </c>
      <c r="AD181" s="23">
        <f>IF(AND(N(O181)&lt;&gt;0,T181=""),1,0)+IF(AND(N(N181)&lt;&gt;0,U181=""),1,0)+IF(AND(N(L181)&lt;&gt;0,V181=""),1,0)+IF(AND(N(M181)&lt;&gt;0,W181=""),1,0)</f>
        <v/>
      </c>
    </row>
    <row r="182">
      <c r="A182" s="14" t="n"/>
      <c r="B182" s="19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21">
        <f>SUMIFS('Invoice Lines'!$I:$I,'Invoice Lines'!$A:$A,A182)</f>
        <v/>
      </c>
      <c r="L182" s="21">
        <f>IF(E182="Draft",0,K182)</f>
        <v/>
      </c>
      <c r="M182" s="21">
        <f>ROUND(L182*IFERROR(VLOOKUP(I182,'Tax Codes'!$A$5:$E$300,5,FALSE),0),2)</f>
        <v/>
      </c>
      <c r="N182" s="21">
        <f>ROUND(L182*IFERROR(VLOOKUP(J182,'Tax Codes'!$A$5:$E$300,5,FALSE),0),2)</f>
        <v/>
      </c>
      <c r="O182" s="21">
        <f>L182+M182-N182</f>
        <v/>
      </c>
      <c r="P182" s="16">
        <f>IF(F182="",INDEX('Chart of Accounts'!$A$5:$A$3000,MATCH("ar",'Chart of Accounts'!$F$5:$F$3000,0)),F182&amp;"")</f>
        <v/>
      </c>
      <c r="Q182" s="16">
        <f>IF(G182="",INDEX('Chart of Accounts'!$A$5:$A$3000,MATCH("revenue",'Chart of Accounts'!$F$5:$F$3000,0)),G182&amp;"")</f>
        <v/>
      </c>
      <c r="R182" s="16">
        <f>INDEX('Chart of Accounts'!$A$5:$A$3000,MATCH("wht_receivable",'Chart of Accounts'!$F$5:$F$3000,0))</f>
        <v/>
      </c>
      <c r="S182" s="16">
        <f>INDEX('Chart of Accounts'!$A$5:$A$3000,MATCH("vat_output",'Chart of Accounts'!$F$5:$F$3000,0))</f>
        <v/>
      </c>
      <c r="T182" s="23">
        <f>IFERROR(INDEX('Chart of Accounts'!$C$5:$C$3000,MATCH(P182&amp;"",'Chart of Accounts'!$A$5:$A$3000,0))&amp;"|"&amp;INDEX('Chart of Accounts'!$D$5:$D$3000,MATCH(P182&amp;"",'Chart of Accounts'!$A$5:$A$3000,0)),"")</f>
        <v/>
      </c>
      <c r="U182" s="23">
        <f>IFERROR(INDEX('Chart of Accounts'!$C$5:$C$3000,MATCH(R182&amp;"",'Chart of Accounts'!$A$5:$A$3000,0))&amp;"|"&amp;INDEX('Chart of Accounts'!$D$5:$D$3000,MATCH(R182&amp;"",'Chart of Accounts'!$A$5:$A$3000,0)),"")</f>
        <v/>
      </c>
      <c r="V182" s="23">
        <f>IFERROR(INDEX('Chart of Accounts'!$C$5:$C$3000,MATCH(Q182&amp;"",'Chart of Accounts'!$A$5:$A$3000,0))&amp;"|"&amp;INDEX('Chart of Accounts'!$D$5:$D$3000,MATCH(Q182&amp;"",'Chart of Accounts'!$A$5:$A$3000,0)),"")</f>
        <v/>
      </c>
      <c r="W182" s="23">
        <f>IFERROR(INDEX('Chart of Accounts'!$C$5:$C$3000,MATCH(S182&amp;"",'Chart of Accounts'!$A$5:$A$3000,0))&amp;"|"&amp;INDEX('Chart of Accounts'!$D$5:$D$3000,MATCH(S182&amp;"",'Chart of Accounts'!$A$5:$A$3000,0)),"")</f>
        <v/>
      </c>
      <c r="X182" s="23">
        <f>IF(LEFT(T182,8)="Revenue|",-N(O182),0)+IF(LEFT(U182,8)="Revenue|",-N(N182),0)+IF(LEFT(V182,8)="Revenue|",N(L182),0)+IF(LEFT(W182,8)="Revenue|",N(M182),0)</f>
        <v/>
      </c>
      <c r="Y182" s="23">
        <f>IF(LEFT(T182,5)="COGS|",N(O182),0)+IF(LEFT(U182,5)="COGS|",N(N182),0)+IF(LEFT(V182,5)="COGS|",-N(L182),0)+IF(LEFT(W182,5)="COGS|",-N(M182),0)</f>
        <v/>
      </c>
      <c r="Z182" s="23">
        <f>IF(LEFT(T182,8)="Expense|",N(O182),0)+IF(LEFT(U182,8)="Expense|",N(N182),0)+IF(LEFT(V182,8)="Expense|",-N(L182),0)+IF(LEFT(W182,8)="Expense|",-N(M182),0)</f>
        <v/>
      </c>
      <c r="AA182" s="23">
        <f>IF(ISNUMBER(MATCH(T182,{"Expense|employee","Expense|general_admin","Expense|marketing","Expense|utilities","Expense|other_operating"},0)),N(O182),0)+IF(ISNUMBER(MATCH(U182,{"Expense|employee","Expense|general_admin","Expense|marketing","Expense|utilities","Expense|other_operating"},0)),N(N182),0)+IF(ISNUMBER(MATCH(V182,{"Expense|employee","Expense|general_admin","Expense|marketing","Expense|utilities","Expense|other_operating"},0)),-N(L182),0)+IF(ISNUMBER(MATCH(W182,{"Expense|employee","Expense|general_admin","Expense|marketing","Expense|utilities","Expense|other_operating"},0)),-N(M182),0)</f>
        <v/>
      </c>
      <c r="AB182" s="23">
        <f>IF(T182="Liability|payable",-N(O182),0)+IF(U182="Liability|payable",-N(N182),0)+IF(V182="Liability|payable",N(L182),0)+IF(W182="Liability|payable",N(M182),0)</f>
        <v/>
      </c>
      <c r="AC182" s="23">
        <f>IF(T182="Liability|accrued",-N(O182),0)+IF(U182="Liability|accrued",-N(N182),0)+IF(V182="Liability|accrued",N(L182),0)+IF(W182="Liability|accrued",N(M182),0)</f>
        <v/>
      </c>
      <c r="AD182" s="23">
        <f>IF(AND(N(O182)&lt;&gt;0,T182=""),1,0)+IF(AND(N(N182)&lt;&gt;0,U182=""),1,0)+IF(AND(N(L182)&lt;&gt;0,V182=""),1,0)+IF(AND(N(M182)&lt;&gt;0,W182=""),1,0)</f>
        <v/>
      </c>
    </row>
    <row r="183">
      <c r="A183" s="14" t="n"/>
      <c r="B183" s="19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21">
        <f>SUMIFS('Invoice Lines'!$I:$I,'Invoice Lines'!$A:$A,A183)</f>
        <v/>
      </c>
      <c r="L183" s="21">
        <f>IF(E183="Draft",0,K183)</f>
        <v/>
      </c>
      <c r="M183" s="21">
        <f>ROUND(L183*IFERROR(VLOOKUP(I183,'Tax Codes'!$A$5:$E$300,5,FALSE),0),2)</f>
        <v/>
      </c>
      <c r="N183" s="21">
        <f>ROUND(L183*IFERROR(VLOOKUP(J183,'Tax Codes'!$A$5:$E$300,5,FALSE),0),2)</f>
        <v/>
      </c>
      <c r="O183" s="21">
        <f>L183+M183-N183</f>
        <v/>
      </c>
      <c r="P183" s="16">
        <f>IF(F183="",INDEX('Chart of Accounts'!$A$5:$A$3000,MATCH("ar",'Chart of Accounts'!$F$5:$F$3000,0)),F183&amp;"")</f>
        <v/>
      </c>
      <c r="Q183" s="16">
        <f>IF(G183="",INDEX('Chart of Accounts'!$A$5:$A$3000,MATCH("revenue",'Chart of Accounts'!$F$5:$F$3000,0)),G183&amp;"")</f>
        <v/>
      </c>
      <c r="R183" s="16">
        <f>INDEX('Chart of Accounts'!$A$5:$A$3000,MATCH("wht_receivable",'Chart of Accounts'!$F$5:$F$3000,0))</f>
        <v/>
      </c>
      <c r="S183" s="16">
        <f>INDEX('Chart of Accounts'!$A$5:$A$3000,MATCH("vat_output",'Chart of Accounts'!$F$5:$F$3000,0))</f>
        <v/>
      </c>
      <c r="T183" s="23">
        <f>IFERROR(INDEX('Chart of Accounts'!$C$5:$C$3000,MATCH(P183&amp;"",'Chart of Accounts'!$A$5:$A$3000,0))&amp;"|"&amp;INDEX('Chart of Accounts'!$D$5:$D$3000,MATCH(P183&amp;"",'Chart of Accounts'!$A$5:$A$3000,0)),"")</f>
        <v/>
      </c>
      <c r="U183" s="23">
        <f>IFERROR(INDEX('Chart of Accounts'!$C$5:$C$3000,MATCH(R183&amp;"",'Chart of Accounts'!$A$5:$A$3000,0))&amp;"|"&amp;INDEX('Chart of Accounts'!$D$5:$D$3000,MATCH(R183&amp;"",'Chart of Accounts'!$A$5:$A$3000,0)),"")</f>
        <v/>
      </c>
      <c r="V183" s="23">
        <f>IFERROR(INDEX('Chart of Accounts'!$C$5:$C$3000,MATCH(Q183&amp;"",'Chart of Accounts'!$A$5:$A$3000,0))&amp;"|"&amp;INDEX('Chart of Accounts'!$D$5:$D$3000,MATCH(Q183&amp;"",'Chart of Accounts'!$A$5:$A$3000,0)),"")</f>
        <v/>
      </c>
      <c r="W183" s="23">
        <f>IFERROR(INDEX('Chart of Accounts'!$C$5:$C$3000,MATCH(S183&amp;"",'Chart of Accounts'!$A$5:$A$3000,0))&amp;"|"&amp;INDEX('Chart of Accounts'!$D$5:$D$3000,MATCH(S183&amp;"",'Chart of Accounts'!$A$5:$A$3000,0)),"")</f>
        <v/>
      </c>
      <c r="X183" s="23">
        <f>IF(LEFT(T183,8)="Revenue|",-N(O183),0)+IF(LEFT(U183,8)="Revenue|",-N(N183),0)+IF(LEFT(V183,8)="Revenue|",N(L183),0)+IF(LEFT(W183,8)="Revenue|",N(M183),0)</f>
        <v/>
      </c>
      <c r="Y183" s="23">
        <f>IF(LEFT(T183,5)="COGS|",N(O183),0)+IF(LEFT(U183,5)="COGS|",N(N183),0)+IF(LEFT(V183,5)="COGS|",-N(L183),0)+IF(LEFT(W183,5)="COGS|",-N(M183),0)</f>
        <v/>
      </c>
      <c r="Z183" s="23">
        <f>IF(LEFT(T183,8)="Expense|",N(O183),0)+IF(LEFT(U183,8)="Expense|",N(N183),0)+IF(LEFT(V183,8)="Expense|",-N(L183),0)+IF(LEFT(W183,8)="Expense|",-N(M183),0)</f>
        <v/>
      </c>
      <c r="AA183" s="23">
        <f>IF(ISNUMBER(MATCH(T183,{"Expense|employee","Expense|general_admin","Expense|marketing","Expense|utilities","Expense|other_operating"},0)),N(O183),0)+IF(ISNUMBER(MATCH(U183,{"Expense|employee","Expense|general_admin","Expense|marketing","Expense|utilities","Expense|other_operating"},0)),N(N183),0)+IF(ISNUMBER(MATCH(V183,{"Expense|employee","Expense|general_admin","Expense|marketing","Expense|utilities","Expense|other_operating"},0)),-N(L183),0)+IF(ISNUMBER(MATCH(W183,{"Expense|employee","Expense|general_admin","Expense|marketing","Expense|utilities","Expense|other_operating"},0)),-N(M183),0)</f>
        <v/>
      </c>
      <c r="AB183" s="23">
        <f>IF(T183="Liability|payable",-N(O183),0)+IF(U183="Liability|payable",-N(N183),0)+IF(V183="Liability|payable",N(L183),0)+IF(W183="Liability|payable",N(M183),0)</f>
        <v/>
      </c>
      <c r="AC183" s="23">
        <f>IF(T183="Liability|accrued",-N(O183),0)+IF(U183="Liability|accrued",-N(N183),0)+IF(V183="Liability|accrued",N(L183),0)+IF(W183="Liability|accrued",N(M183),0)</f>
        <v/>
      </c>
      <c r="AD183" s="23">
        <f>IF(AND(N(O183)&lt;&gt;0,T183=""),1,0)+IF(AND(N(N183)&lt;&gt;0,U183=""),1,0)+IF(AND(N(L183)&lt;&gt;0,V183=""),1,0)+IF(AND(N(M183)&lt;&gt;0,W183=""),1,0)</f>
        <v/>
      </c>
    </row>
    <row r="184">
      <c r="A184" s="14" t="n"/>
      <c r="B184" s="19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21">
        <f>SUMIFS('Invoice Lines'!$I:$I,'Invoice Lines'!$A:$A,A184)</f>
        <v/>
      </c>
      <c r="L184" s="21">
        <f>IF(E184="Draft",0,K184)</f>
        <v/>
      </c>
      <c r="M184" s="21">
        <f>ROUND(L184*IFERROR(VLOOKUP(I184,'Tax Codes'!$A$5:$E$300,5,FALSE),0),2)</f>
        <v/>
      </c>
      <c r="N184" s="21">
        <f>ROUND(L184*IFERROR(VLOOKUP(J184,'Tax Codes'!$A$5:$E$300,5,FALSE),0),2)</f>
        <v/>
      </c>
      <c r="O184" s="21">
        <f>L184+M184-N184</f>
        <v/>
      </c>
      <c r="P184" s="16">
        <f>IF(F184="",INDEX('Chart of Accounts'!$A$5:$A$3000,MATCH("ar",'Chart of Accounts'!$F$5:$F$3000,0)),F184&amp;"")</f>
        <v/>
      </c>
      <c r="Q184" s="16">
        <f>IF(G184="",INDEX('Chart of Accounts'!$A$5:$A$3000,MATCH("revenue",'Chart of Accounts'!$F$5:$F$3000,0)),G184&amp;"")</f>
        <v/>
      </c>
      <c r="R184" s="16">
        <f>INDEX('Chart of Accounts'!$A$5:$A$3000,MATCH("wht_receivable",'Chart of Accounts'!$F$5:$F$3000,0))</f>
        <v/>
      </c>
      <c r="S184" s="16">
        <f>INDEX('Chart of Accounts'!$A$5:$A$3000,MATCH("vat_output",'Chart of Accounts'!$F$5:$F$3000,0))</f>
        <v/>
      </c>
      <c r="T184" s="23">
        <f>IFERROR(INDEX('Chart of Accounts'!$C$5:$C$3000,MATCH(P184&amp;"",'Chart of Accounts'!$A$5:$A$3000,0))&amp;"|"&amp;INDEX('Chart of Accounts'!$D$5:$D$3000,MATCH(P184&amp;"",'Chart of Accounts'!$A$5:$A$3000,0)),"")</f>
        <v/>
      </c>
      <c r="U184" s="23">
        <f>IFERROR(INDEX('Chart of Accounts'!$C$5:$C$3000,MATCH(R184&amp;"",'Chart of Accounts'!$A$5:$A$3000,0))&amp;"|"&amp;INDEX('Chart of Accounts'!$D$5:$D$3000,MATCH(R184&amp;"",'Chart of Accounts'!$A$5:$A$3000,0)),"")</f>
        <v/>
      </c>
      <c r="V184" s="23">
        <f>IFERROR(INDEX('Chart of Accounts'!$C$5:$C$3000,MATCH(Q184&amp;"",'Chart of Accounts'!$A$5:$A$3000,0))&amp;"|"&amp;INDEX('Chart of Accounts'!$D$5:$D$3000,MATCH(Q184&amp;"",'Chart of Accounts'!$A$5:$A$3000,0)),"")</f>
        <v/>
      </c>
      <c r="W184" s="23">
        <f>IFERROR(INDEX('Chart of Accounts'!$C$5:$C$3000,MATCH(S184&amp;"",'Chart of Accounts'!$A$5:$A$3000,0))&amp;"|"&amp;INDEX('Chart of Accounts'!$D$5:$D$3000,MATCH(S184&amp;"",'Chart of Accounts'!$A$5:$A$3000,0)),"")</f>
        <v/>
      </c>
      <c r="X184" s="23">
        <f>IF(LEFT(T184,8)="Revenue|",-N(O184),0)+IF(LEFT(U184,8)="Revenue|",-N(N184),0)+IF(LEFT(V184,8)="Revenue|",N(L184),0)+IF(LEFT(W184,8)="Revenue|",N(M184),0)</f>
        <v/>
      </c>
      <c r="Y184" s="23">
        <f>IF(LEFT(T184,5)="COGS|",N(O184),0)+IF(LEFT(U184,5)="COGS|",N(N184),0)+IF(LEFT(V184,5)="COGS|",-N(L184),0)+IF(LEFT(W184,5)="COGS|",-N(M184),0)</f>
        <v/>
      </c>
      <c r="Z184" s="23">
        <f>IF(LEFT(T184,8)="Expense|",N(O184),0)+IF(LEFT(U184,8)="Expense|",N(N184),0)+IF(LEFT(V184,8)="Expense|",-N(L184),0)+IF(LEFT(W184,8)="Expense|",-N(M184),0)</f>
        <v/>
      </c>
      <c r="AA184" s="23">
        <f>IF(ISNUMBER(MATCH(T184,{"Expense|employee","Expense|general_admin","Expense|marketing","Expense|utilities","Expense|other_operating"},0)),N(O184),0)+IF(ISNUMBER(MATCH(U184,{"Expense|employee","Expense|general_admin","Expense|marketing","Expense|utilities","Expense|other_operating"},0)),N(N184),0)+IF(ISNUMBER(MATCH(V184,{"Expense|employee","Expense|general_admin","Expense|marketing","Expense|utilities","Expense|other_operating"},0)),-N(L184),0)+IF(ISNUMBER(MATCH(W184,{"Expense|employee","Expense|general_admin","Expense|marketing","Expense|utilities","Expense|other_operating"},0)),-N(M184),0)</f>
        <v/>
      </c>
      <c r="AB184" s="23">
        <f>IF(T184="Liability|payable",-N(O184),0)+IF(U184="Liability|payable",-N(N184),0)+IF(V184="Liability|payable",N(L184),0)+IF(W184="Liability|payable",N(M184),0)</f>
        <v/>
      </c>
      <c r="AC184" s="23">
        <f>IF(T184="Liability|accrued",-N(O184),0)+IF(U184="Liability|accrued",-N(N184),0)+IF(V184="Liability|accrued",N(L184),0)+IF(W184="Liability|accrued",N(M184),0)</f>
        <v/>
      </c>
      <c r="AD184" s="23">
        <f>IF(AND(N(O184)&lt;&gt;0,T184=""),1,0)+IF(AND(N(N184)&lt;&gt;0,U184=""),1,0)+IF(AND(N(L184)&lt;&gt;0,V184=""),1,0)+IF(AND(N(M184)&lt;&gt;0,W184=""),1,0)</f>
        <v/>
      </c>
    </row>
    <row r="185">
      <c r="A185" s="14" t="n"/>
      <c r="B185" s="19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21">
        <f>SUMIFS('Invoice Lines'!$I:$I,'Invoice Lines'!$A:$A,A185)</f>
        <v/>
      </c>
      <c r="L185" s="21">
        <f>IF(E185="Draft",0,K185)</f>
        <v/>
      </c>
      <c r="M185" s="21">
        <f>ROUND(L185*IFERROR(VLOOKUP(I185,'Tax Codes'!$A$5:$E$300,5,FALSE),0),2)</f>
        <v/>
      </c>
      <c r="N185" s="21">
        <f>ROUND(L185*IFERROR(VLOOKUP(J185,'Tax Codes'!$A$5:$E$300,5,FALSE),0),2)</f>
        <v/>
      </c>
      <c r="O185" s="21">
        <f>L185+M185-N185</f>
        <v/>
      </c>
      <c r="P185" s="16">
        <f>IF(F185="",INDEX('Chart of Accounts'!$A$5:$A$3000,MATCH("ar",'Chart of Accounts'!$F$5:$F$3000,0)),F185&amp;"")</f>
        <v/>
      </c>
      <c r="Q185" s="16">
        <f>IF(G185="",INDEX('Chart of Accounts'!$A$5:$A$3000,MATCH("revenue",'Chart of Accounts'!$F$5:$F$3000,0)),G185&amp;"")</f>
        <v/>
      </c>
      <c r="R185" s="16">
        <f>INDEX('Chart of Accounts'!$A$5:$A$3000,MATCH("wht_receivable",'Chart of Accounts'!$F$5:$F$3000,0))</f>
        <v/>
      </c>
      <c r="S185" s="16">
        <f>INDEX('Chart of Accounts'!$A$5:$A$3000,MATCH("vat_output",'Chart of Accounts'!$F$5:$F$3000,0))</f>
        <v/>
      </c>
      <c r="T185" s="23">
        <f>IFERROR(INDEX('Chart of Accounts'!$C$5:$C$3000,MATCH(P185&amp;"",'Chart of Accounts'!$A$5:$A$3000,0))&amp;"|"&amp;INDEX('Chart of Accounts'!$D$5:$D$3000,MATCH(P185&amp;"",'Chart of Accounts'!$A$5:$A$3000,0)),"")</f>
        <v/>
      </c>
      <c r="U185" s="23">
        <f>IFERROR(INDEX('Chart of Accounts'!$C$5:$C$3000,MATCH(R185&amp;"",'Chart of Accounts'!$A$5:$A$3000,0))&amp;"|"&amp;INDEX('Chart of Accounts'!$D$5:$D$3000,MATCH(R185&amp;"",'Chart of Accounts'!$A$5:$A$3000,0)),"")</f>
        <v/>
      </c>
      <c r="V185" s="23">
        <f>IFERROR(INDEX('Chart of Accounts'!$C$5:$C$3000,MATCH(Q185&amp;"",'Chart of Accounts'!$A$5:$A$3000,0))&amp;"|"&amp;INDEX('Chart of Accounts'!$D$5:$D$3000,MATCH(Q185&amp;"",'Chart of Accounts'!$A$5:$A$3000,0)),"")</f>
        <v/>
      </c>
      <c r="W185" s="23">
        <f>IFERROR(INDEX('Chart of Accounts'!$C$5:$C$3000,MATCH(S185&amp;"",'Chart of Accounts'!$A$5:$A$3000,0))&amp;"|"&amp;INDEX('Chart of Accounts'!$D$5:$D$3000,MATCH(S185&amp;"",'Chart of Accounts'!$A$5:$A$3000,0)),"")</f>
        <v/>
      </c>
      <c r="X185" s="23">
        <f>IF(LEFT(T185,8)="Revenue|",-N(O185),0)+IF(LEFT(U185,8)="Revenue|",-N(N185),0)+IF(LEFT(V185,8)="Revenue|",N(L185),0)+IF(LEFT(W185,8)="Revenue|",N(M185),0)</f>
        <v/>
      </c>
      <c r="Y185" s="23">
        <f>IF(LEFT(T185,5)="COGS|",N(O185),0)+IF(LEFT(U185,5)="COGS|",N(N185),0)+IF(LEFT(V185,5)="COGS|",-N(L185),0)+IF(LEFT(W185,5)="COGS|",-N(M185),0)</f>
        <v/>
      </c>
      <c r="Z185" s="23">
        <f>IF(LEFT(T185,8)="Expense|",N(O185),0)+IF(LEFT(U185,8)="Expense|",N(N185),0)+IF(LEFT(V185,8)="Expense|",-N(L185),0)+IF(LEFT(W185,8)="Expense|",-N(M185),0)</f>
        <v/>
      </c>
      <c r="AA185" s="23">
        <f>IF(ISNUMBER(MATCH(T185,{"Expense|employee","Expense|general_admin","Expense|marketing","Expense|utilities","Expense|other_operating"},0)),N(O185),0)+IF(ISNUMBER(MATCH(U185,{"Expense|employee","Expense|general_admin","Expense|marketing","Expense|utilities","Expense|other_operating"},0)),N(N185),0)+IF(ISNUMBER(MATCH(V185,{"Expense|employee","Expense|general_admin","Expense|marketing","Expense|utilities","Expense|other_operating"},0)),-N(L185),0)+IF(ISNUMBER(MATCH(W185,{"Expense|employee","Expense|general_admin","Expense|marketing","Expense|utilities","Expense|other_operating"},0)),-N(M185),0)</f>
        <v/>
      </c>
      <c r="AB185" s="23">
        <f>IF(T185="Liability|payable",-N(O185),0)+IF(U185="Liability|payable",-N(N185),0)+IF(V185="Liability|payable",N(L185),0)+IF(W185="Liability|payable",N(M185),0)</f>
        <v/>
      </c>
      <c r="AC185" s="23">
        <f>IF(T185="Liability|accrued",-N(O185),0)+IF(U185="Liability|accrued",-N(N185),0)+IF(V185="Liability|accrued",N(L185),0)+IF(W185="Liability|accrued",N(M185),0)</f>
        <v/>
      </c>
      <c r="AD185" s="23">
        <f>IF(AND(N(O185)&lt;&gt;0,T185=""),1,0)+IF(AND(N(N185)&lt;&gt;0,U185=""),1,0)+IF(AND(N(L185)&lt;&gt;0,V185=""),1,0)+IF(AND(N(M185)&lt;&gt;0,W185=""),1,0)</f>
        <v/>
      </c>
    </row>
    <row r="186">
      <c r="A186" s="14" t="n"/>
      <c r="B186" s="19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21">
        <f>SUMIFS('Invoice Lines'!$I:$I,'Invoice Lines'!$A:$A,A186)</f>
        <v/>
      </c>
      <c r="L186" s="21">
        <f>IF(E186="Draft",0,K186)</f>
        <v/>
      </c>
      <c r="M186" s="21">
        <f>ROUND(L186*IFERROR(VLOOKUP(I186,'Tax Codes'!$A$5:$E$300,5,FALSE),0),2)</f>
        <v/>
      </c>
      <c r="N186" s="21">
        <f>ROUND(L186*IFERROR(VLOOKUP(J186,'Tax Codes'!$A$5:$E$300,5,FALSE),0),2)</f>
        <v/>
      </c>
      <c r="O186" s="21">
        <f>L186+M186-N186</f>
        <v/>
      </c>
      <c r="P186" s="16">
        <f>IF(F186="",INDEX('Chart of Accounts'!$A$5:$A$3000,MATCH("ar",'Chart of Accounts'!$F$5:$F$3000,0)),F186&amp;"")</f>
        <v/>
      </c>
      <c r="Q186" s="16">
        <f>IF(G186="",INDEX('Chart of Accounts'!$A$5:$A$3000,MATCH("revenue",'Chart of Accounts'!$F$5:$F$3000,0)),G186&amp;"")</f>
        <v/>
      </c>
      <c r="R186" s="16">
        <f>INDEX('Chart of Accounts'!$A$5:$A$3000,MATCH("wht_receivable",'Chart of Accounts'!$F$5:$F$3000,0))</f>
        <v/>
      </c>
      <c r="S186" s="16">
        <f>INDEX('Chart of Accounts'!$A$5:$A$3000,MATCH("vat_output",'Chart of Accounts'!$F$5:$F$3000,0))</f>
        <v/>
      </c>
      <c r="T186" s="23">
        <f>IFERROR(INDEX('Chart of Accounts'!$C$5:$C$3000,MATCH(P186&amp;"",'Chart of Accounts'!$A$5:$A$3000,0))&amp;"|"&amp;INDEX('Chart of Accounts'!$D$5:$D$3000,MATCH(P186&amp;"",'Chart of Accounts'!$A$5:$A$3000,0)),"")</f>
        <v/>
      </c>
      <c r="U186" s="23">
        <f>IFERROR(INDEX('Chart of Accounts'!$C$5:$C$3000,MATCH(R186&amp;"",'Chart of Accounts'!$A$5:$A$3000,0))&amp;"|"&amp;INDEX('Chart of Accounts'!$D$5:$D$3000,MATCH(R186&amp;"",'Chart of Accounts'!$A$5:$A$3000,0)),"")</f>
        <v/>
      </c>
      <c r="V186" s="23">
        <f>IFERROR(INDEX('Chart of Accounts'!$C$5:$C$3000,MATCH(Q186&amp;"",'Chart of Accounts'!$A$5:$A$3000,0))&amp;"|"&amp;INDEX('Chart of Accounts'!$D$5:$D$3000,MATCH(Q186&amp;"",'Chart of Accounts'!$A$5:$A$3000,0)),"")</f>
        <v/>
      </c>
      <c r="W186" s="23">
        <f>IFERROR(INDEX('Chart of Accounts'!$C$5:$C$3000,MATCH(S186&amp;"",'Chart of Accounts'!$A$5:$A$3000,0))&amp;"|"&amp;INDEX('Chart of Accounts'!$D$5:$D$3000,MATCH(S186&amp;"",'Chart of Accounts'!$A$5:$A$3000,0)),"")</f>
        <v/>
      </c>
      <c r="X186" s="23">
        <f>IF(LEFT(T186,8)="Revenue|",-N(O186),0)+IF(LEFT(U186,8)="Revenue|",-N(N186),0)+IF(LEFT(V186,8)="Revenue|",N(L186),0)+IF(LEFT(W186,8)="Revenue|",N(M186),0)</f>
        <v/>
      </c>
      <c r="Y186" s="23">
        <f>IF(LEFT(T186,5)="COGS|",N(O186),0)+IF(LEFT(U186,5)="COGS|",N(N186),0)+IF(LEFT(V186,5)="COGS|",-N(L186),0)+IF(LEFT(W186,5)="COGS|",-N(M186),0)</f>
        <v/>
      </c>
      <c r="Z186" s="23">
        <f>IF(LEFT(T186,8)="Expense|",N(O186),0)+IF(LEFT(U186,8)="Expense|",N(N186),0)+IF(LEFT(V186,8)="Expense|",-N(L186),0)+IF(LEFT(W186,8)="Expense|",-N(M186),0)</f>
        <v/>
      </c>
      <c r="AA186" s="23">
        <f>IF(ISNUMBER(MATCH(T186,{"Expense|employee","Expense|general_admin","Expense|marketing","Expense|utilities","Expense|other_operating"},0)),N(O186),0)+IF(ISNUMBER(MATCH(U186,{"Expense|employee","Expense|general_admin","Expense|marketing","Expense|utilities","Expense|other_operating"},0)),N(N186),0)+IF(ISNUMBER(MATCH(V186,{"Expense|employee","Expense|general_admin","Expense|marketing","Expense|utilities","Expense|other_operating"},0)),-N(L186),0)+IF(ISNUMBER(MATCH(W186,{"Expense|employee","Expense|general_admin","Expense|marketing","Expense|utilities","Expense|other_operating"},0)),-N(M186),0)</f>
        <v/>
      </c>
      <c r="AB186" s="23">
        <f>IF(T186="Liability|payable",-N(O186),0)+IF(U186="Liability|payable",-N(N186),0)+IF(V186="Liability|payable",N(L186),0)+IF(W186="Liability|payable",N(M186),0)</f>
        <v/>
      </c>
      <c r="AC186" s="23">
        <f>IF(T186="Liability|accrued",-N(O186),0)+IF(U186="Liability|accrued",-N(N186),0)+IF(V186="Liability|accrued",N(L186),0)+IF(W186="Liability|accrued",N(M186),0)</f>
        <v/>
      </c>
      <c r="AD186" s="23">
        <f>IF(AND(N(O186)&lt;&gt;0,T186=""),1,0)+IF(AND(N(N186)&lt;&gt;0,U186=""),1,0)+IF(AND(N(L186)&lt;&gt;0,V186=""),1,0)+IF(AND(N(M186)&lt;&gt;0,W186=""),1,0)</f>
        <v/>
      </c>
    </row>
    <row r="187">
      <c r="A187" s="14" t="n"/>
      <c r="B187" s="19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21">
        <f>SUMIFS('Invoice Lines'!$I:$I,'Invoice Lines'!$A:$A,A187)</f>
        <v/>
      </c>
      <c r="L187" s="21">
        <f>IF(E187="Draft",0,K187)</f>
        <v/>
      </c>
      <c r="M187" s="21">
        <f>ROUND(L187*IFERROR(VLOOKUP(I187,'Tax Codes'!$A$5:$E$300,5,FALSE),0),2)</f>
        <v/>
      </c>
      <c r="N187" s="21">
        <f>ROUND(L187*IFERROR(VLOOKUP(J187,'Tax Codes'!$A$5:$E$300,5,FALSE),0),2)</f>
        <v/>
      </c>
      <c r="O187" s="21">
        <f>L187+M187-N187</f>
        <v/>
      </c>
      <c r="P187" s="16">
        <f>IF(F187="",INDEX('Chart of Accounts'!$A$5:$A$3000,MATCH("ar",'Chart of Accounts'!$F$5:$F$3000,0)),F187&amp;"")</f>
        <v/>
      </c>
      <c r="Q187" s="16">
        <f>IF(G187="",INDEX('Chart of Accounts'!$A$5:$A$3000,MATCH("revenue",'Chart of Accounts'!$F$5:$F$3000,0)),G187&amp;"")</f>
        <v/>
      </c>
      <c r="R187" s="16">
        <f>INDEX('Chart of Accounts'!$A$5:$A$3000,MATCH("wht_receivable",'Chart of Accounts'!$F$5:$F$3000,0))</f>
        <v/>
      </c>
      <c r="S187" s="16">
        <f>INDEX('Chart of Accounts'!$A$5:$A$3000,MATCH("vat_output",'Chart of Accounts'!$F$5:$F$3000,0))</f>
        <v/>
      </c>
      <c r="T187" s="23">
        <f>IFERROR(INDEX('Chart of Accounts'!$C$5:$C$3000,MATCH(P187&amp;"",'Chart of Accounts'!$A$5:$A$3000,0))&amp;"|"&amp;INDEX('Chart of Accounts'!$D$5:$D$3000,MATCH(P187&amp;"",'Chart of Accounts'!$A$5:$A$3000,0)),"")</f>
        <v/>
      </c>
      <c r="U187" s="23">
        <f>IFERROR(INDEX('Chart of Accounts'!$C$5:$C$3000,MATCH(R187&amp;"",'Chart of Accounts'!$A$5:$A$3000,0))&amp;"|"&amp;INDEX('Chart of Accounts'!$D$5:$D$3000,MATCH(R187&amp;"",'Chart of Accounts'!$A$5:$A$3000,0)),"")</f>
        <v/>
      </c>
      <c r="V187" s="23">
        <f>IFERROR(INDEX('Chart of Accounts'!$C$5:$C$3000,MATCH(Q187&amp;"",'Chart of Accounts'!$A$5:$A$3000,0))&amp;"|"&amp;INDEX('Chart of Accounts'!$D$5:$D$3000,MATCH(Q187&amp;"",'Chart of Accounts'!$A$5:$A$3000,0)),"")</f>
        <v/>
      </c>
      <c r="W187" s="23">
        <f>IFERROR(INDEX('Chart of Accounts'!$C$5:$C$3000,MATCH(S187&amp;"",'Chart of Accounts'!$A$5:$A$3000,0))&amp;"|"&amp;INDEX('Chart of Accounts'!$D$5:$D$3000,MATCH(S187&amp;"",'Chart of Accounts'!$A$5:$A$3000,0)),"")</f>
        <v/>
      </c>
      <c r="X187" s="23">
        <f>IF(LEFT(T187,8)="Revenue|",-N(O187),0)+IF(LEFT(U187,8)="Revenue|",-N(N187),0)+IF(LEFT(V187,8)="Revenue|",N(L187),0)+IF(LEFT(W187,8)="Revenue|",N(M187),0)</f>
        <v/>
      </c>
      <c r="Y187" s="23">
        <f>IF(LEFT(T187,5)="COGS|",N(O187),0)+IF(LEFT(U187,5)="COGS|",N(N187),0)+IF(LEFT(V187,5)="COGS|",-N(L187),0)+IF(LEFT(W187,5)="COGS|",-N(M187),0)</f>
        <v/>
      </c>
      <c r="Z187" s="23">
        <f>IF(LEFT(T187,8)="Expense|",N(O187),0)+IF(LEFT(U187,8)="Expense|",N(N187),0)+IF(LEFT(V187,8)="Expense|",-N(L187),0)+IF(LEFT(W187,8)="Expense|",-N(M187),0)</f>
        <v/>
      </c>
      <c r="AA187" s="23">
        <f>IF(ISNUMBER(MATCH(T187,{"Expense|employee","Expense|general_admin","Expense|marketing","Expense|utilities","Expense|other_operating"},0)),N(O187),0)+IF(ISNUMBER(MATCH(U187,{"Expense|employee","Expense|general_admin","Expense|marketing","Expense|utilities","Expense|other_operating"},0)),N(N187),0)+IF(ISNUMBER(MATCH(V187,{"Expense|employee","Expense|general_admin","Expense|marketing","Expense|utilities","Expense|other_operating"},0)),-N(L187),0)+IF(ISNUMBER(MATCH(W187,{"Expense|employee","Expense|general_admin","Expense|marketing","Expense|utilities","Expense|other_operating"},0)),-N(M187),0)</f>
        <v/>
      </c>
      <c r="AB187" s="23">
        <f>IF(T187="Liability|payable",-N(O187),0)+IF(U187="Liability|payable",-N(N187),0)+IF(V187="Liability|payable",N(L187),0)+IF(W187="Liability|payable",N(M187),0)</f>
        <v/>
      </c>
      <c r="AC187" s="23">
        <f>IF(T187="Liability|accrued",-N(O187),0)+IF(U187="Liability|accrued",-N(N187),0)+IF(V187="Liability|accrued",N(L187),0)+IF(W187="Liability|accrued",N(M187),0)</f>
        <v/>
      </c>
      <c r="AD187" s="23">
        <f>IF(AND(N(O187)&lt;&gt;0,T187=""),1,0)+IF(AND(N(N187)&lt;&gt;0,U187=""),1,0)+IF(AND(N(L187)&lt;&gt;0,V187=""),1,0)+IF(AND(N(M187)&lt;&gt;0,W187=""),1,0)</f>
        <v/>
      </c>
    </row>
    <row r="188">
      <c r="A188" s="14" t="n"/>
      <c r="B188" s="19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21">
        <f>SUMIFS('Invoice Lines'!$I:$I,'Invoice Lines'!$A:$A,A188)</f>
        <v/>
      </c>
      <c r="L188" s="21">
        <f>IF(E188="Draft",0,K188)</f>
        <v/>
      </c>
      <c r="M188" s="21">
        <f>ROUND(L188*IFERROR(VLOOKUP(I188,'Tax Codes'!$A$5:$E$300,5,FALSE),0),2)</f>
        <v/>
      </c>
      <c r="N188" s="21">
        <f>ROUND(L188*IFERROR(VLOOKUP(J188,'Tax Codes'!$A$5:$E$300,5,FALSE),0),2)</f>
        <v/>
      </c>
      <c r="O188" s="21">
        <f>L188+M188-N188</f>
        <v/>
      </c>
      <c r="P188" s="16">
        <f>IF(F188="",INDEX('Chart of Accounts'!$A$5:$A$3000,MATCH("ar",'Chart of Accounts'!$F$5:$F$3000,0)),F188&amp;"")</f>
        <v/>
      </c>
      <c r="Q188" s="16">
        <f>IF(G188="",INDEX('Chart of Accounts'!$A$5:$A$3000,MATCH("revenue",'Chart of Accounts'!$F$5:$F$3000,0)),G188&amp;"")</f>
        <v/>
      </c>
      <c r="R188" s="16">
        <f>INDEX('Chart of Accounts'!$A$5:$A$3000,MATCH("wht_receivable",'Chart of Accounts'!$F$5:$F$3000,0))</f>
        <v/>
      </c>
      <c r="S188" s="16">
        <f>INDEX('Chart of Accounts'!$A$5:$A$3000,MATCH("vat_output",'Chart of Accounts'!$F$5:$F$3000,0))</f>
        <v/>
      </c>
      <c r="T188" s="23">
        <f>IFERROR(INDEX('Chart of Accounts'!$C$5:$C$3000,MATCH(P188&amp;"",'Chart of Accounts'!$A$5:$A$3000,0))&amp;"|"&amp;INDEX('Chart of Accounts'!$D$5:$D$3000,MATCH(P188&amp;"",'Chart of Accounts'!$A$5:$A$3000,0)),"")</f>
        <v/>
      </c>
      <c r="U188" s="23">
        <f>IFERROR(INDEX('Chart of Accounts'!$C$5:$C$3000,MATCH(R188&amp;"",'Chart of Accounts'!$A$5:$A$3000,0))&amp;"|"&amp;INDEX('Chart of Accounts'!$D$5:$D$3000,MATCH(R188&amp;"",'Chart of Accounts'!$A$5:$A$3000,0)),"")</f>
        <v/>
      </c>
      <c r="V188" s="23">
        <f>IFERROR(INDEX('Chart of Accounts'!$C$5:$C$3000,MATCH(Q188&amp;"",'Chart of Accounts'!$A$5:$A$3000,0))&amp;"|"&amp;INDEX('Chart of Accounts'!$D$5:$D$3000,MATCH(Q188&amp;"",'Chart of Accounts'!$A$5:$A$3000,0)),"")</f>
        <v/>
      </c>
      <c r="W188" s="23">
        <f>IFERROR(INDEX('Chart of Accounts'!$C$5:$C$3000,MATCH(S188&amp;"",'Chart of Accounts'!$A$5:$A$3000,0))&amp;"|"&amp;INDEX('Chart of Accounts'!$D$5:$D$3000,MATCH(S188&amp;"",'Chart of Accounts'!$A$5:$A$3000,0)),"")</f>
        <v/>
      </c>
      <c r="X188" s="23">
        <f>IF(LEFT(T188,8)="Revenue|",-N(O188),0)+IF(LEFT(U188,8)="Revenue|",-N(N188),0)+IF(LEFT(V188,8)="Revenue|",N(L188),0)+IF(LEFT(W188,8)="Revenue|",N(M188),0)</f>
        <v/>
      </c>
      <c r="Y188" s="23">
        <f>IF(LEFT(T188,5)="COGS|",N(O188),0)+IF(LEFT(U188,5)="COGS|",N(N188),0)+IF(LEFT(V188,5)="COGS|",-N(L188),0)+IF(LEFT(W188,5)="COGS|",-N(M188),0)</f>
        <v/>
      </c>
      <c r="Z188" s="23">
        <f>IF(LEFT(T188,8)="Expense|",N(O188),0)+IF(LEFT(U188,8)="Expense|",N(N188),0)+IF(LEFT(V188,8)="Expense|",-N(L188),0)+IF(LEFT(W188,8)="Expense|",-N(M188),0)</f>
        <v/>
      </c>
      <c r="AA188" s="23">
        <f>IF(ISNUMBER(MATCH(T188,{"Expense|employee","Expense|general_admin","Expense|marketing","Expense|utilities","Expense|other_operating"},0)),N(O188),0)+IF(ISNUMBER(MATCH(U188,{"Expense|employee","Expense|general_admin","Expense|marketing","Expense|utilities","Expense|other_operating"},0)),N(N188),0)+IF(ISNUMBER(MATCH(V188,{"Expense|employee","Expense|general_admin","Expense|marketing","Expense|utilities","Expense|other_operating"},0)),-N(L188),0)+IF(ISNUMBER(MATCH(W188,{"Expense|employee","Expense|general_admin","Expense|marketing","Expense|utilities","Expense|other_operating"},0)),-N(M188),0)</f>
        <v/>
      </c>
      <c r="AB188" s="23">
        <f>IF(T188="Liability|payable",-N(O188),0)+IF(U188="Liability|payable",-N(N188),0)+IF(V188="Liability|payable",N(L188),0)+IF(W188="Liability|payable",N(M188),0)</f>
        <v/>
      </c>
      <c r="AC188" s="23">
        <f>IF(T188="Liability|accrued",-N(O188),0)+IF(U188="Liability|accrued",-N(N188),0)+IF(V188="Liability|accrued",N(L188),0)+IF(W188="Liability|accrued",N(M188),0)</f>
        <v/>
      </c>
      <c r="AD188" s="23">
        <f>IF(AND(N(O188)&lt;&gt;0,T188=""),1,0)+IF(AND(N(N188)&lt;&gt;0,U188=""),1,0)+IF(AND(N(L188)&lt;&gt;0,V188=""),1,0)+IF(AND(N(M188)&lt;&gt;0,W188=""),1,0)</f>
        <v/>
      </c>
    </row>
    <row r="189">
      <c r="A189" s="14" t="n"/>
      <c r="B189" s="19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21">
        <f>SUMIFS('Invoice Lines'!$I:$I,'Invoice Lines'!$A:$A,A189)</f>
        <v/>
      </c>
      <c r="L189" s="21">
        <f>IF(E189="Draft",0,K189)</f>
        <v/>
      </c>
      <c r="M189" s="21">
        <f>ROUND(L189*IFERROR(VLOOKUP(I189,'Tax Codes'!$A$5:$E$300,5,FALSE),0),2)</f>
        <v/>
      </c>
      <c r="N189" s="21">
        <f>ROUND(L189*IFERROR(VLOOKUP(J189,'Tax Codes'!$A$5:$E$300,5,FALSE),0),2)</f>
        <v/>
      </c>
      <c r="O189" s="21">
        <f>L189+M189-N189</f>
        <v/>
      </c>
      <c r="P189" s="16">
        <f>IF(F189="",INDEX('Chart of Accounts'!$A$5:$A$3000,MATCH("ar",'Chart of Accounts'!$F$5:$F$3000,0)),F189&amp;"")</f>
        <v/>
      </c>
      <c r="Q189" s="16">
        <f>IF(G189="",INDEX('Chart of Accounts'!$A$5:$A$3000,MATCH("revenue",'Chart of Accounts'!$F$5:$F$3000,0)),G189&amp;"")</f>
        <v/>
      </c>
      <c r="R189" s="16">
        <f>INDEX('Chart of Accounts'!$A$5:$A$3000,MATCH("wht_receivable",'Chart of Accounts'!$F$5:$F$3000,0))</f>
        <v/>
      </c>
      <c r="S189" s="16">
        <f>INDEX('Chart of Accounts'!$A$5:$A$3000,MATCH("vat_output",'Chart of Accounts'!$F$5:$F$3000,0))</f>
        <v/>
      </c>
      <c r="T189" s="23">
        <f>IFERROR(INDEX('Chart of Accounts'!$C$5:$C$3000,MATCH(P189&amp;"",'Chart of Accounts'!$A$5:$A$3000,0))&amp;"|"&amp;INDEX('Chart of Accounts'!$D$5:$D$3000,MATCH(P189&amp;"",'Chart of Accounts'!$A$5:$A$3000,0)),"")</f>
        <v/>
      </c>
      <c r="U189" s="23">
        <f>IFERROR(INDEX('Chart of Accounts'!$C$5:$C$3000,MATCH(R189&amp;"",'Chart of Accounts'!$A$5:$A$3000,0))&amp;"|"&amp;INDEX('Chart of Accounts'!$D$5:$D$3000,MATCH(R189&amp;"",'Chart of Accounts'!$A$5:$A$3000,0)),"")</f>
        <v/>
      </c>
      <c r="V189" s="23">
        <f>IFERROR(INDEX('Chart of Accounts'!$C$5:$C$3000,MATCH(Q189&amp;"",'Chart of Accounts'!$A$5:$A$3000,0))&amp;"|"&amp;INDEX('Chart of Accounts'!$D$5:$D$3000,MATCH(Q189&amp;"",'Chart of Accounts'!$A$5:$A$3000,0)),"")</f>
        <v/>
      </c>
      <c r="W189" s="23">
        <f>IFERROR(INDEX('Chart of Accounts'!$C$5:$C$3000,MATCH(S189&amp;"",'Chart of Accounts'!$A$5:$A$3000,0))&amp;"|"&amp;INDEX('Chart of Accounts'!$D$5:$D$3000,MATCH(S189&amp;"",'Chart of Accounts'!$A$5:$A$3000,0)),"")</f>
        <v/>
      </c>
      <c r="X189" s="23">
        <f>IF(LEFT(T189,8)="Revenue|",-N(O189),0)+IF(LEFT(U189,8)="Revenue|",-N(N189),0)+IF(LEFT(V189,8)="Revenue|",N(L189),0)+IF(LEFT(W189,8)="Revenue|",N(M189),0)</f>
        <v/>
      </c>
      <c r="Y189" s="23">
        <f>IF(LEFT(T189,5)="COGS|",N(O189),0)+IF(LEFT(U189,5)="COGS|",N(N189),0)+IF(LEFT(V189,5)="COGS|",-N(L189),0)+IF(LEFT(W189,5)="COGS|",-N(M189),0)</f>
        <v/>
      </c>
      <c r="Z189" s="23">
        <f>IF(LEFT(T189,8)="Expense|",N(O189),0)+IF(LEFT(U189,8)="Expense|",N(N189),0)+IF(LEFT(V189,8)="Expense|",-N(L189),0)+IF(LEFT(W189,8)="Expense|",-N(M189),0)</f>
        <v/>
      </c>
      <c r="AA189" s="23">
        <f>IF(ISNUMBER(MATCH(T189,{"Expense|employee","Expense|general_admin","Expense|marketing","Expense|utilities","Expense|other_operating"},0)),N(O189),0)+IF(ISNUMBER(MATCH(U189,{"Expense|employee","Expense|general_admin","Expense|marketing","Expense|utilities","Expense|other_operating"},0)),N(N189),0)+IF(ISNUMBER(MATCH(V189,{"Expense|employee","Expense|general_admin","Expense|marketing","Expense|utilities","Expense|other_operating"},0)),-N(L189),0)+IF(ISNUMBER(MATCH(W189,{"Expense|employee","Expense|general_admin","Expense|marketing","Expense|utilities","Expense|other_operating"},0)),-N(M189),0)</f>
        <v/>
      </c>
      <c r="AB189" s="23">
        <f>IF(T189="Liability|payable",-N(O189),0)+IF(U189="Liability|payable",-N(N189),0)+IF(V189="Liability|payable",N(L189),0)+IF(W189="Liability|payable",N(M189),0)</f>
        <v/>
      </c>
      <c r="AC189" s="23">
        <f>IF(T189="Liability|accrued",-N(O189),0)+IF(U189="Liability|accrued",-N(N189),0)+IF(V189="Liability|accrued",N(L189),0)+IF(W189="Liability|accrued",N(M189),0)</f>
        <v/>
      </c>
      <c r="AD189" s="23">
        <f>IF(AND(N(O189)&lt;&gt;0,T189=""),1,0)+IF(AND(N(N189)&lt;&gt;0,U189=""),1,0)+IF(AND(N(L189)&lt;&gt;0,V189=""),1,0)+IF(AND(N(M189)&lt;&gt;0,W189=""),1,0)</f>
        <v/>
      </c>
    </row>
    <row r="190">
      <c r="A190" s="14" t="n"/>
      <c r="B190" s="19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21">
        <f>SUMIFS('Invoice Lines'!$I:$I,'Invoice Lines'!$A:$A,A190)</f>
        <v/>
      </c>
      <c r="L190" s="21">
        <f>IF(E190="Draft",0,K190)</f>
        <v/>
      </c>
      <c r="M190" s="21">
        <f>ROUND(L190*IFERROR(VLOOKUP(I190,'Tax Codes'!$A$5:$E$300,5,FALSE),0),2)</f>
        <v/>
      </c>
      <c r="N190" s="21">
        <f>ROUND(L190*IFERROR(VLOOKUP(J190,'Tax Codes'!$A$5:$E$300,5,FALSE),0),2)</f>
        <v/>
      </c>
      <c r="O190" s="21">
        <f>L190+M190-N190</f>
        <v/>
      </c>
      <c r="P190" s="16">
        <f>IF(F190="",INDEX('Chart of Accounts'!$A$5:$A$3000,MATCH("ar",'Chart of Accounts'!$F$5:$F$3000,0)),F190&amp;"")</f>
        <v/>
      </c>
      <c r="Q190" s="16">
        <f>IF(G190="",INDEX('Chart of Accounts'!$A$5:$A$3000,MATCH("revenue",'Chart of Accounts'!$F$5:$F$3000,0)),G190&amp;"")</f>
        <v/>
      </c>
      <c r="R190" s="16">
        <f>INDEX('Chart of Accounts'!$A$5:$A$3000,MATCH("wht_receivable",'Chart of Accounts'!$F$5:$F$3000,0))</f>
        <v/>
      </c>
      <c r="S190" s="16">
        <f>INDEX('Chart of Accounts'!$A$5:$A$3000,MATCH("vat_output",'Chart of Accounts'!$F$5:$F$3000,0))</f>
        <v/>
      </c>
      <c r="T190" s="23">
        <f>IFERROR(INDEX('Chart of Accounts'!$C$5:$C$3000,MATCH(P190&amp;"",'Chart of Accounts'!$A$5:$A$3000,0))&amp;"|"&amp;INDEX('Chart of Accounts'!$D$5:$D$3000,MATCH(P190&amp;"",'Chart of Accounts'!$A$5:$A$3000,0)),"")</f>
        <v/>
      </c>
      <c r="U190" s="23">
        <f>IFERROR(INDEX('Chart of Accounts'!$C$5:$C$3000,MATCH(R190&amp;"",'Chart of Accounts'!$A$5:$A$3000,0))&amp;"|"&amp;INDEX('Chart of Accounts'!$D$5:$D$3000,MATCH(R190&amp;"",'Chart of Accounts'!$A$5:$A$3000,0)),"")</f>
        <v/>
      </c>
      <c r="V190" s="23">
        <f>IFERROR(INDEX('Chart of Accounts'!$C$5:$C$3000,MATCH(Q190&amp;"",'Chart of Accounts'!$A$5:$A$3000,0))&amp;"|"&amp;INDEX('Chart of Accounts'!$D$5:$D$3000,MATCH(Q190&amp;"",'Chart of Accounts'!$A$5:$A$3000,0)),"")</f>
        <v/>
      </c>
      <c r="W190" s="23">
        <f>IFERROR(INDEX('Chart of Accounts'!$C$5:$C$3000,MATCH(S190&amp;"",'Chart of Accounts'!$A$5:$A$3000,0))&amp;"|"&amp;INDEX('Chart of Accounts'!$D$5:$D$3000,MATCH(S190&amp;"",'Chart of Accounts'!$A$5:$A$3000,0)),"")</f>
        <v/>
      </c>
      <c r="X190" s="23">
        <f>IF(LEFT(T190,8)="Revenue|",-N(O190),0)+IF(LEFT(U190,8)="Revenue|",-N(N190),0)+IF(LEFT(V190,8)="Revenue|",N(L190),0)+IF(LEFT(W190,8)="Revenue|",N(M190),0)</f>
        <v/>
      </c>
      <c r="Y190" s="23">
        <f>IF(LEFT(T190,5)="COGS|",N(O190),0)+IF(LEFT(U190,5)="COGS|",N(N190),0)+IF(LEFT(V190,5)="COGS|",-N(L190),0)+IF(LEFT(W190,5)="COGS|",-N(M190),0)</f>
        <v/>
      </c>
      <c r="Z190" s="23">
        <f>IF(LEFT(T190,8)="Expense|",N(O190),0)+IF(LEFT(U190,8)="Expense|",N(N190),0)+IF(LEFT(V190,8)="Expense|",-N(L190),0)+IF(LEFT(W190,8)="Expense|",-N(M190),0)</f>
        <v/>
      </c>
      <c r="AA190" s="23">
        <f>IF(ISNUMBER(MATCH(T190,{"Expense|employee","Expense|general_admin","Expense|marketing","Expense|utilities","Expense|other_operating"},0)),N(O190),0)+IF(ISNUMBER(MATCH(U190,{"Expense|employee","Expense|general_admin","Expense|marketing","Expense|utilities","Expense|other_operating"},0)),N(N190),0)+IF(ISNUMBER(MATCH(V190,{"Expense|employee","Expense|general_admin","Expense|marketing","Expense|utilities","Expense|other_operating"},0)),-N(L190),0)+IF(ISNUMBER(MATCH(W190,{"Expense|employee","Expense|general_admin","Expense|marketing","Expense|utilities","Expense|other_operating"},0)),-N(M190),0)</f>
        <v/>
      </c>
      <c r="AB190" s="23">
        <f>IF(T190="Liability|payable",-N(O190),0)+IF(U190="Liability|payable",-N(N190),0)+IF(V190="Liability|payable",N(L190),0)+IF(W190="Liability|payable",N(M190),0)</f>
        <v/>
      </c>
      <c r="AC190" s="23">
        <f>IF(T190="Liability|accrued",-N(O190),0)+IF(U190="Liability|accrued",-N(N190),0)+IF(V190="Liability|accrued",N(L190),0)+IF(W190="Liability|accrued",N(M190),0)</f>
        <v/>
      </c>
      <c r="AD190" s="23">
        <f>IF(AND(N(O190)&lt;&gt;0,T190=""),1,0)+IF(AND(N(N190)&lt;&gt;0,U190=""),1,0)+IF(AND(N(L190)&lt;&gt;0,V190=""),1,0)+IF(AND(N(M190)&lt;&gt;0,W190=""),1,0)</f>
        <v/>
      </c>
    </row>
    <row r="191">
      <c r="A191" s="14" t="n"/>
      <c r="B191" s="19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21">
        <f>SUMIFS('Invoice Lines'!$I:$I,'Invoice Lines'!$A:$A,A191)</f>
        <v/>
      </c>
      <c r="L191" s="21">
        <f>IF(E191="Draft",0,K191)</f>
        <v/>
      </c>
      <c r="M191" s="21">
        <f>ROUND(L191*IFERROR(VLOOKUP(I191,'Tax Codes'!$A$5:$E$300,5,FALSE),0),2)</f>
        <v/>
      </c>
      <c r="N191" s="21">
        <f>ROUND(L191*IFERROR(VLOOKUP(J191,'Tax Codes'!$A$5:$E$300,5,FALSE),0),2)</f>
        <v/>
      </c>
      <c r="O191" s="21">
        <f>L191+M191-N191</f>
        <v/>
      </c>
      <c r="P191" s="16">
        <f>IF(F191="",INDEX('Chart of Accounts'!$A$5:$A$3000,MATCH("ar",'Chart of Accounts'!$F$5:$F$3000,0)),F191&amp;"")</f>
        <v/>
      </c>
      <c r="Q191" s="16">
        <f>IF(G191="",INDEX('Chart of Accounts'!$A$5:$A$3000,MATCH("revenue",'Chart of Accounts'!$F$5:$F$3000,0)),G191&amp;"")</f>
        <v/>
      </c>
      <c r="R191" s="16">
        <f>INDEX('Chart of Accounts'!$A$5:$A$3000,MATCH("wht_receivable",'Chart of Accounts'!$F$5:$F$3000,0))</f>
        <v/>
      </c>
      <c r="S191" s="16">
        <f>INDEX('Chart of Accounts'!$A$5:$A$3000,MATCH("vat_output",'Chart of Accounts'!$F$5:$F$3000,0))</f>
        <v/>
      </c>
      <c r="T191" s="23">
        <f>IFERROR(INDEX('Chart of Accounts'!$C$5:$C$3000,MATCH(P191&amp;"",'Chart of Accounts'!$A$5:$A$3000,0))&amp;"|"&amp;INDEX('Chart of Accounts'!$D$5:$D$3000,MATCH(P191&amp;"",'Chart of Accounts'!$A$5:$A$3000,0)),"")</f>
        <v/>
      </c>
      <c r="U191" s="23">
        <f>IFERROR(INDEX('Chart of Accounts'!$C$5:$C$3000,MATCH(R191&amp;"",'Chart of Accounts'!$A$5:$A$3000,0))&amp;"|"&amp;INDEX('Chart of Accounts'!$D$5:$D$3000,MATCH(R191&amp;"",'Chart of Accounts'!$A$5:$A$3000,0)),"")</f>
        <v/>
      </c>
      <c r="V191" s="23">
        <f>IFERROR(INDEX('Chart of Accounts'!$C$5:$C$3000,MATCH(Q191&amp;"",'Chart of Accounts'!$A$5:$A$3000,0))&amp;"|"&amp;INDEX('Chart of Accounts'!$D$5:$D$3000,MATCH(Q191&amp;"",'Chart of Accounts'!$A$5:$A$3000,0)),"")</f>
        <v/>
      </c>
      <c r="W191" s="23">
        <f>IFERROR(INDEX('Chart of Accounts'!$C$5:$C$3000,MATCH(S191&amp;"",'Chart of Accounts'!$A$5:$A$3000,0))&amp;"|"&amp;INDEX('Chart of Accounts'!$D$5:$D$3000,MATCH(S191&amp;"",'Chart of Accounts'!$A$5:$A$3000,0)),"")</f>
        <v/>
      </c>
      <c r="X191" s="23">
        <f>IF(LEFT(T191,8)="Revenue|",-N(O191),0)+IF(LEFT(U191,8)="Revenue|",-N(N191),0)+IF(LEFT(V191,8)="Revenue|",N(L191),0)+IF(LEFT(W191,8)="Revenue|",N(M191),0)</f>
        <v/>
      </c>
      <c r="Y191" s="23">
        <f>IF(LEFT(T191,5)="COGS|",N(O191),0)+IF(LEFT(U191,5)="COGS|",N(N191),0)+IF(LEFT(V191,5)="COGS|",-N(L191),0)+IF(LEFT(W191,5)="COGS|",-N(M191),0)</f>
        <v/>
      </c>
      <c r="Z191" s="23">
        <f>IF(LEFT(T191,8)="Expense|",N(O191),0)+IF(LEFT(U191,8)="Expense|",N(N191),0)+IF(LEFT(V191,8)="Expense|",-N(L191),0)+IF(LEFT(W191,8)="Expense|",-N(M191),0)</f>
        <v/>
      </c>
      <c r="AA191" s="23">
        <f>IF(ISNUMBER(MATCH(T191,{"Expense|employee","Expense|general_admin","Expense|marketing","Expense|utilities","Expense|other_operating"},0)),N(O191),0)+IF(ISNUMBER(MATCH(U191,{"Expense|employee","Expense|general_admin","Expense|marketing","Expense|utilities","Expense|other_operating"},0)),N(N191),0)+IF(ISNUMBER(MATCH(V191,{"Expense|employee","Expense|general_admin","Expense|marketing","Expense|utilities","Expense|other_operating"},0)),-N(L191),0)+IF(ISNUMBER(MATCH(W191,{"Expense|employee","Expense|general_admin","Expense|marketing","Expense|utilities","Expense|other_operating"},0)),-N(M191),0)</f>
        <v/>
      </c>
      <c r="AB191" s="23">
        <f>IF(T191="Liability|payable",-N(O191),0)+IF(U191="Liability|payable",-N(N191),0)+IF(V191="Liability|payable",N(L191),0)+IF(W191="Liability|payable",N(M191),0)</f>
        <v/>
      </c>
      <c r="AC191" s="23">
        <f>IF(T191="Liability|accrued",-N(O191),0)+IF(U191="Liability|accrued",-N(N191),0)+IF(V191="Liability|accrued",N(L191),0)+IF(W191="Liability|accrued",N(M191),0)</f>
        <v/>
      </c>
      <c r="AD191" s="23">
        <f>IF(AND(N(O191)&lt;&gt;0,T191=""),1,0)+IF(AND(N(N191)&lt;&gt;0,U191=""),1,0)+IF(AND(N(L191)&lt;&gt;0,V191=""),1,0)+IF(AND(N(M191)&lt;&gt;0,W191=""),1,0)</f>
        <v/>
      </c>
    </row>
    <row r="192">
      <c r="A192" s="14" t="n"/>
      <c r="B192" s="19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21">
        <f>SUMIFS('Invoice Lines'!$I:$I,'Invoice Lines'!$A:$A,A192)</f>
        <v/>
      </c>
      <c r="L192" s="21">
        <f>IF(E192="Draft",0,K192)</f>
        <v/>
      </c>
      <c r="M192" s="21">
        <f>ROUND(L192*IFERROR(VLOOKUP(I192,'Tax Codes'!$A$5:$E$300,5,FALSE),0),2)</f>
        <v/>
      </c>
      <c r="N192" s="21">
        <f>ROUND(L192*IFERROR(VLOOKUP(J192,'Tax Codes'!$A$5:$E$300,5,FALSE),0),2)</f>
        <v/>
      </c>
      <c r="O192" s="21">
        <f>L192+M192-N192</f>
        <v/>
      </c>
      <c r="P192" s="16">
        <f>IF(F192="",INDEX('Chart of Accounts'!$A$5:$A$3000,MATCH("ar",'Chart of Accounts'!$F$5:$F$3000,0)),F192&amp;"")</f>
        <v/>
      </c>
      <c r="Q192" s="16">
        <f>IF(G192="",INDEX('Chart of Accounts'!$A$5:$A$3000,MATCH("revenue",'Chart of Accounts'!$F$5:$F$3000,0)),G192&amp;"")</f>
        <v/>
      </c>
      <c r="R192" s="16">
        <f>INDEX('Chart of Accounts'!$A$5:$A$3000,MATCH("wht_receivable",'Chart of Accounts'!$F$5:$F$3000,0))</f>
        <v/>
      </c>
      <c r="S192" s="16">
        <f>INDEX('Chart of Accounts'!$A$5:$A$3000,MATCH("vat_output",'Chart of Accounts'!$F$5:$F$3000,0))</f>
        <v/>
      </c>
      <c r="T192" s="23">
        <f>IFERROR(INDEX('Chart of Accounts'!$C$5:$C$3000,MATCH(P192&amp;"",'Chart of Accounts'!$A$5:$A$3000,0))&amp;"|"&amp;INDEX('Chart of Accounts'!$D$5:$D$3000,MATCH(P192&amp;"",'Chart of Accounts'!$A$5:$A$3000,0)),"")</f>
        <v/>
      </c>
      <c r="U192" s="23">
        <f>IFERROR(INDEX('Chart of Accounts'!$C$5:$C$3000,MATCH(R192&amp;"",'Chart of Accounts'!$A$5:$A$3000,0))&amp;"|"&amp;INDEX('Chart of Accounts'!$D$5:$D$3000,MATCH(R192&amp;"",'Chart of Accounts'!$A$5:$A$3000,0)),"")</f>
        <v/>
      </c>
      <c r="V192" s="23">
        <f>IFERROR(INDEX('Chart of Accounts'!$C$5:$C$3000,MATCH(Q192&amp;"",'Chart of Accounts'!$A$5:$A$3000,0))&amp;"|"&amp;INDEX('Chart of Accounts'!$D$5:$D$3000,MATCH(Q192&amp;"",'Chart of Accounts'!$A$5:$A$3000,0)),"")</f>
        <v/>
      </c>
      <c r="W192" s="23">
        <f>IFERROR(INDEX('Chart of Accounts'!$C$5:$C$3000,MATCH(S192&amp;"",'Chart of Accounts'!$A$5:$A$3000,0))&amp;"|"&amp;INDEX('Chart of Accounts'!$D$5:$D$3000,MATCH(S192&amp;"",'Chart of Accounts'!$A$5:$A$3000,0)),"")</f>
        <v/>
      </c>
      <c r="X192" s="23">
        <f>IF(LEFT(T192,8)="Revenue|",-N(O192),0)+IF(LEFT(U192,8)="Revenue|",-N(N192),0)+IF(LEFT(V192,8)="Revenue|",N(L192),0)+IF(LEFT(W192,8)="Revenue|",N(M192),0)</f>
        <v/>
      </c>
      <c r="Y192" s="23">
        <f>IF(LEFT(T192,5)="COGS|",N(O192),0)+IF(LEFT(U192,5)="COGS|",N(N192),0)+IF(LEFT(V192,5)="COGS|",-N(L192),0)+IF(LEFT(W192,5)="COGS|",-N(M192),0)</f>
        <v/>
      </c>
      <c r="Z192" s="23">
        <f>IF(LEFT(T192,8)="Expense|",N(O192),0)+IF(LEFT(U192,8)="Expense|",N(N192),0)+IF(LEFT(V192,8)="Expense|",-N(L192),0)+IF(LEFT(W192,8)="Expense|",-N(M192),0)</f>
        <v/>
      </c>
      <c r="AA192" s="23">
        <f>IF(ISNUMBER(MATCH(T192,{"Expense|employee","Expense|general_admin","Expense|marketing","Expense|utilities","Expense|other_operating"},0)),N(O192),0)+IF(ISNUMBER(MATCH(U192,{"Expense|employee","Expense|general_admin","Expense|marketing","Expense|utilities","Expense|other_operating"},0)),N(N192),0)+IF(ISNUMBER(MATCH(V192,{"Expense|employee","Expense|general_admin","Expense|marketing","Expense|utilities","Expense|other_operating"},0)),-N(L192),0)+IF(ISNUMBER(MATCH(W192,{"Expense|employee","Expense|general_admin","Expense|marketing","Expense|utilities","Expense|other_operating"},0)),-N(M192),0)</f>
        <v/>
      </c>
      <c r="AB192" s="23">
        <f>IF(T192="Liability|payable",-N(O192),0)+IF(U192="Liability|payable",-N(N192),0)+IF(V192="Liability|payable",N(L192),0)+IF(W192="Liability|payable",N(M192),0)</f>
        <v/>
      </c>
      <c r="AC192" s="23">
        <f>IF(T192="Liability|accrued",-N(O192),0)+IF(U192="Liability|accrued",-N(N192),0)+IF(V192="Liability|accrued",N(L192),0)+IF(W192="Liability|accrued",N(M192),0)</f>
        <v/>
      </c>
      <c r="AD192" s="23">
        <f>IF(AND(N(O192)&lt;&gt;0,T192=""),1,0)+IF(AND(N(N192)&lt;&gt;0,U192=""),1,0)+IF(AND(N(L192)&lt;&gt;0,V192=""),1,0)+IF(AND(N(M192)&lt;&gt;0,W192=""),1,0)</f>
        <v/>
      </c>
    </row>
    <row r="193">
      <c r="A193" s="14" t="n"/>
      <c r="B193" s="19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21">
        <f>SUMIFS('Invoice Lines'!$I:$I,'Invoice Lines'!$A:$A,A193)</f>
        <v/>
      </c>
      <c r="L193" s="21">
        <f>IF(E193="Draft",0,K193)</f>
        <v/>
      </c>
      <c r="M193" s="21">
        <f>ROUND(L193*IFERROR(VLOOKUP(I193,'Tax Codes'!$A$5:$E$300,5,FALSE),0),2)</f>
        <v/>
      </c>
      <c r="N193" s="21">
        <f>ROUND(L193*IFERROR(VLOOKUP(J193,'Tax Codes'!$A$5:$E$300,5,FALSE),0),2)</f>
        <v/>
      </c>
      <c r="O193" s="21">
        <f>L193+M193-N193</f>
        <v/>
      </c>
      <c r="P193" s="16">
        <f>IF(F193="",INDEX('Chart of Accounts'!$A$5:$A$3000,MATCH("ar",'Chart of Accounts'!$F$5:$F$3000,0)),F193&amp;"")</f>
        <v/>
      </c>
      <c r="Q193" s="16">
        <f>IF(G193="",INDEX('Chart of Accounts'!$A$5:$A$3000,MATCH("revenue",'Chart of Accounts'!$F$5:$F$3000,0)),G193&amp;"")</f>
        <v/>
      </c>
      <c r="R193" s="16">
        <f>INDEX('Chart of Accounts'!$A$5:$A$3000,MATCH("wht_receivable",'Chart of Accounts'!$F$5:$F$3000,0))</f>
        <v/>
      </c>
      <c r="S193" s="16">
        <f>INDEX('Chart of Accounts'!$A$5:$A$3000,MATCH("vat_output",'Chart of Accounts'!$F$5:$F$3000,0))</f>
        <v/>
      </c>
      <c r="T193" s="23">
        <f>IFERROR(INDEX('Chart of Accounts'!$C$5:$C$3000,MATCH(P193&amp;"",'Chart of Accounts'!$A$5:$A$3000,0))&amp;"|"&amp;INDEX('Chart of Accounts'!$D$5:$D$3000,MATCH(P193&amp;"",'Chart of Accounts'!$A$5:$A$3000,0)),"")</f>
        <v/>
      </c>
      <c r="U193" s="23">
        <f>IFERROR(INDEX('Chart of Accounts'!$C$5:$C$3000,MATCH(R193&amp;"",'Chart of Accounts'!$A$5:$A$3000,0))&amp;"|"&amp;INDEX('Chart of Accounts'!$D$5:$D$3000,MATCH(R193&amp;"",'Chart of Accounts'!$A$5:$A$3000,0)),"")</f>
        <v/>
      </c>
      <c r="V193" s="23">
        <f>IFERROR(INDEX('Chart of Accounts'!$C$5:$C$3000,MATCH(Q193&amp;"",'Chart of Accounts'!$A$5:$A$3000,0))&amp;"|"&amp;INDEX('Chart of Accounts'!$D$5:$D$3000,MATCH(Q193&amp;"",'Chart of Accounts'!$A$5:$A$3000,0)),"")</f>
        <v/>
      </c>
      <c r="W193" s="23">
        <f>IFERROR(INDEX('Chart of Accounts'!$C$5:$C$3000,MATCH(S193&amp;"",'Chart of Accounts'!$A$5:$A$3000,0))&amp;"|"&amp;INDEX('Chart of Accounts'!$D$5:$D$3000,MATCH(S193&amp;"",'Chart of Accounts'!$A$5:$A$3000,0)),"")</f>
        <v/>
      </c>
      <c r="X193" s="23">
        <f>IF(LEFT(T193,8)="Revenue|",-N(O193),0)+IF(LEFT(U193,8)="Revenue|",-N(N193),0)+IF(LEFT(V193,8)="Revenue|",N(L193),0)+IF(LEFT(W193,8)="Revenue|",N(M193),0)</f>
        <v/>
      </c>
      <c r="Y193" s="23">
        <f>IF(LEFT(T193,5)="COGS|",N(O193),0)+IF(LEFT(U193,5)="COGS|",N(N193),0)+IF(LEFT(V193,5)="COGS|",-N(L193),0)+IF(LEFT(W193,5)="COGS|",-N(M193),0)</f>
        <v/>
      </c>
      <c r="Z193" s="23">
        <f>IF(LEFT(T193,8)="Expense|",N(O193),0)+IF(LEFT(U193,8)="Expense|",N(N193),0)+IF(LEFT(V193,8)="Expense|",-N(L193),0)+IF(LEFT(W193,8)="Expense|",-N(M193),0)</f>
        <v/>
      </c>
      <c r="AA193" s="23">
        <f>IF(ISNUMBER(MATCH(T193,{"Expense|employee","Expense|general_admin","Expense|marketing","Expense|utilities","Expense|other_operating"},0)),N(O193),0)+IF(ISNUMBER(MATCH(U193,{"Expense|employee","Expense|general_admin","Expense|marketing","Expense|utilities","Expense|other_operating"},0)),N(N193),0)+IF(ISNUMBER(MATCH(V193,{"Expense|employee","Expense|general_admin","Expense|marketing","Expense|utilities","Expense|other_operating"},0)),-N(L193),0)+IF(ISNUMBER(MATCH(W193,{"Expense|employee","Expense|general_admin","Expense|marketing","Expense|utilities","Expense|other_operating"},0)),-N(M193),0)</f>
        <v/>
      </c>
      <c r="AB193" s="23">
        <f>IF(T193="Liability|payable",-N(O193),0)+IF(U193="Liability|payable",-N(N193),0)+IF(V193="Liability|payable",N(L193),0)+IF(W193="Liability|payable",N(M193),0)</f>
        <v/>
      </c>
      <c r="AC193" s="23">
        <f>IF(T193="Liability|accrued",-N(O193),0)+IF(U193="Liability|accrued",-N(N193),0)+IF(V193="Liability|accrued",N(L193),0)+IF(W193="Liability|accrued",N(M193),0)</f>
        <v/>
      </c>
      <c r="AD193" s="23">
        <f>IF(AND(N(O193)&lt;&gt;0,T193=""),1,0)+IF(AND(N(N193)&lt;&gt;0,U193=""),1,0)+IF(AND(N(L193)&lt;&gt;0,V193=""),1,0)+IF(AND(N(M193)&lt;&gt;0,W193=""),1,0)</f>
        <v/>
      </c>
    </row>
    <row r="194">
      <c r="A194" s="14" t="n"/>
      <c r="B194" s="19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21">
        <f>SUMIFS('Invoice Lines'!$I:$I,'Invoice Lines'!$A:$A,A194)</f>
        <v/>
      </c>
      <c r="L194" s="21">
        <f>IF(E194="Draft",0,K194)</f>
        <v/>
      </c>
      <c r="M194" s="21">
        <f>ROUND(L194*IFERROR(VLOOKUP(I194,'Tax Codes'!$A$5:$E$300,5,FALSE),0),2)</f>
        <v/>
      </c>
      <c r="N194" s="21">
        <f>ROUND(L194*IFERROR(VLOOKUP(J194,'Tax Codes'!$A$5:$E$300,5,FALSE),0),2)</f>
        <v/>
      </c>
      <c r="O194" s="21">
        <f>L194+M194-N194</f>
        <v/>
      </c>
      <c r="P194" s="16">
        <f>IF(F194="",INDEX('Chart of Accounts'!$A$5:$A$3000,MATCH("ar",'Chart of Accounts'!$F$5:$F$3000,0)),F194&amp;"")</f>
        <v/>
      </c>
      <c r="Q194" s="16">
        <f>IF(G194="",INDEX('Chart of Accounts'!$A$5:$A$3000,MATCH("revenue",'Chart of Accounts'!$F$5:$F$3000,0)),G194&amp;"")</f>
        <v/>
      </c>
      <c r="R194" s="16">
        <f>INDEX('Chart of Accounts'!$A$5:$A$3000,MATCH("wht_receivable",'Chart of Accounts'!$F$5:$F$3000,0))</f>
        <v/>
      </c>
      <c r="S194" s="16">
        <f>INDEX('Chart of Accounts'!$A$5:$A$3000,MATCH("vat_output",'Chart of Accounts'!$F$5:$F$3000,0))</f>
        <v/>
      </c>
      <c r="T194" s="23">
        <f>IFERROR(INDEX('Chart of Accounts'!$C$5:$C$3000,MATCH(P194&amp;"",'Chart of Accounts'!$A$5:$A$3000,0))&amp;"|"&amp;INDEX('Chart of Accounts'!$D$5:$D$3000,MATCH(P194&amp;"",'Chart of Accounts'!$A$5:$A$3000,0)),"")</f>
        <v/>
      </c>
      <c r="U194" s="23">
        <f>IFERROR(INDEX('Chart of Accounts'!$C$5:$C$3000,MATCH(R194&amp;"",'Chart of Accounts'!$A$5:$A$3000,0))&amp;"|"&amp;INDEX('Chart of Accounts'!$D$5:$D$3000,MATCH(R194&amp;"",'Chart of Accounts'!$A$5:$A$3000,0)),"")</f>
        <v/>
      </c>
      <c r="V194" s="23">
        <f>IFERROR(INDEX('Chart of Accounts'!$C$5:$C$3000,MATCH(Q194&amp;"",'Chart of Accounts'!$A$5:$A$3000,0))&amp;"|"&amp;INDEX('Chart of Accounts'!$D$5:$D$3000,MATCH(Q194&amp;"",'Chart of Accounts'!$A$5:$A$3000,0)),"")</f>
        <v/>
      </c>
      <c r="W194" s="23">
        <f>IFERROR(INDEX('Chart of Accounts'!$C$5:$C$3000,MATCH(S194&amp;"",'Chart of Accounts'!$A$5:$A$3000,0))&amp;"|"&amp;INDEX('Chart of Accounts'!$D$5:$D$3000,MATCH(S194&amp;"",'Chart of Accounts'!$A$5:$A$3000,0)),"")</f>
        <v/>
      </c>
      <c r="X194" s="23">
        <f>IF(LEFT(T194,8)="Revenue|",-N(O194),0)+IF(LEFT(U194,8)="Revenue|",-N(N194),0)+IF(LEFT(V194,8)="Revenue|",N(L194),0)+IF(LEFT(W194,8)="Revenue|",N(M194),0)</f>
        <v/>
      </c>
      <c r="Y194" s="23">
        <f>IF(LEFT(T194,5)="COGS|",N(O194),0)+IF(LEFT(U194,5)="COGS|",N(N194),0)+IF(LEFT(V194,5)="COGS|",-N(L194),0)+IF(LEFT(W194,5)="COGS|",-N(M194),0)</f>
        <v/>
      </c>
      <c r="Z194" s="23">
        <f>IF(LEFT(T194,8)="Expense|",N(O194),0)+IF(LEFT(U194,8)="Expense|",N(N194),0)+IF(LEFT(V194,8)="Expense|",-N(L194),0)+IF(LEFT(W194,8)="Expense|",-N(M194),0)</f>
        <v/>
      </c>
      <c r="AA194" s="23">
        <f>IF(ISNUMBER(MATCH(T194,{"Expense|employee","Expense|general_admin","Expense|marketing","Expense|utilities","Expense|other_operating"},0)),N(O194),0)+IF(ISNUMBER(MATCH(U194,{"Expense|employee","Expense|general_admin","Expense|marketing","Expense|utilities","Expense|other_operating"},0)),N(N194),0)+IF(ISNUMBER(MATCH(V194,{"Expense|employee","Expense|general_admin","Expense|marketing","Expense|utilities","Expense|other_operating"},0)),-N(L194),0)+IF(ISNUMBER(MATCH(W194,{"Expense|employee","Expense|general_admin","Expense|marketing","Expense|utilities","Expense|other_operating"},0)),-N(M194),0)</f>
        <v/>
      </c>
      <c r="AB194" s="23">
        <f>IF(T194="Liability|payable",-N(O194),0)+IF(U194="Liability|payable",-N(N194),0)+IF(V194="Liability|payable",N(L194),0)+IF(W194="Liability|payable",N(M194),0)</f>
        <v/>
      </c>
      <c r="AC194" s="23">
        <f>IF(T194="Liability|accrued",-N(O194),0)+IF(U194="Liability|accrued",-N(N194),0)+IF(V194="Liability|accrued",N(L194),0)+IF(W194="Liability|accrued",N(M194),0)</f>
        <v/>
      </c>
      <c r="AD194" s="23">
        <f>IF(AND(N(O194)&lt;&gt;0,T194=""),1,0)+IF(AND(N(N194)&lt;&gt;0,U194=""),1,0)+IF(AND(N(L194)&lt;&gt;0,V194=""),1,0)+IF(AND(N(M194)&lt;&gt;0,W194=""),1,0)</f>
        <v/>
      </c>
    </row>
    <row r="195">
      <c r="A195" s="14" t="n"/>
      <c r="B195" s="19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21">
        <f>SUMIFS('Invoice Lines'!$I:$I,'Invoice Lines'!$A:$A,A195)</f>
        <v/>
      </c>
      <c r="L195" s="21">
        <f>IF(E195="Draft",0,K195)</f>
        <v/>
      </c>
      <c r="M195" s="21">
        <f>ROUND(L195*IFERROR(VLOOKUP(I195,'Tax Codes'!$A$5:$E$300,5,FALSE),0),2)</f>
        <v/>
      </c>
      <c r="N195" s="21">
        <f>ROUND(L195*IFERROR(VLOOKUP(J195,'Tax Codes'!$A$5:$E$300,5,FALSE),0),2)</f>
        <v/>
      </c>
      <c r="O195" s="21">
        <f>L195+M195-N195</f>
        <v/>
      </c>
      <c r="P195" s="16">
        <f>IF(F195="",INDEX('Chart of Accounts'!$A$5:$A$3000,MATCH("ar",'Chart of Accounts'!$F$5:$F$3000,0)),F195&amp;"")</f>
        <v/>
      </c>
      <c r="Q195" s="16">
        <f>IF(G195="",INDEX('Chart of Accounts'!$A$5:$A$3000,MATCH("revenue",'Chart of Accounts'!$F$5:$F$3000,0)),G195&amp;"")</f>
        <v/>
      </c>
      <c r="R195" s="16">
        <f>INDEX('Chart of Accounts'!$A$5:$A$3000,MATCH("wht_receivable",'Chart of Accounts'!$F$5:$F$3000,0))</f>
        <v/>
      </c>
      <c r="S195" s="16">
        <f>INDEX('Chart of Accounts'!$A$5:$A$3000,MATCH("vat_output",'Chart of Accounts'!$F$5:$F$3000,0))</f>
        <v/>
      </c>
      <c r="T195" s="23">
        <f>IFERROR(INDEX('Chart of Accounts'!$C$5:$C$3000,MATCH(P195&amp;"",'Chart of Accounts'!$A$5:$A$3000,0))&amp;"|"&amp;INDEX('Chart of Accounts'!$D$5:$D$3000,MATCH(P195&amp;"",'Chart of Accounts'!$A$5:$A$3000,0)),"")</f>
        <v/>
      </c>
      <c r="U195" s="23">
        <f>IFERROR(INDEX('Chart of Accounts'!$C$5:$C$3000,MATCH(R195&amp;"",'Chart of Accounts'!$A$5:$A$3000,0))&amp;"|"&amp;INDEX('Chart of Accounts'!$D$5:$D$3000,MATCH(R195&amp;"",'Chart of Accounts'!$A$5:$A$3000,0)),"")</f>
        <v/>
      </c>
      <c r="V195" s="23">
        <f>IFERROR(INDEX('Chart of Accounts'!$C$5:$C$3000,MATCH(Q195&amp;"",'Chart of Accounts'!$A$5:$A$3000,0))&amp;"|"&amp;INDEX('Chart of Accounts'!$D$5:$D$3000,MATCH(Q195&amp;"",'Chart of Accounts'!$A$5:$A$3000,0)),"")</f>
        <v/>
      </c>
      <c r="W195" s="23">
        <f>IFERROR(INDEX('Chart of Accounts'!$C$5:$C$3000,MATCH(S195&amp;"",'Chart of Accounts'!$A$5:$A$3000,0))&amp;"|"&amp;INDEX('Chart of Accounts'!$D$5:$D$3000,MATCH(S195&amp;"",'Chart of Accounts'!$A$5:$A$3000,0)),"")</f>
        <v/>
      </c>
      <c r="X195" s="23">
        <f>IF(LEFT(T195,8)="Revenue|",-N(O195),0)+IF(LEFT(U195,8)="Revenue|",-N(N195),0)+IF(LEFT(V195,8)="Revenue|",N(L195),0)+IF(LEFT(W195,8)="Revenue|",N(M195),0)</f>
        <v/>
      </c>
      <c r="Y195" s="23">
        <f>IF(LEFT(T195,5)="COGS|",N(O195),0)+IF(LEFT(U195,5)="COGS|",N(N195),0)+IF(LEFT(V195,5)="COGS|",-N(L195),0)+IF(LEFT(W195,5)="COGS|",-N(M195),0)</f>
        <v/>
      </c>
      <c r="Z195" s="23">
        <f>IF(LEFT(T195,8)="Expense|",N(O195),0)+IF(LEFT(U195,8)="Expense|",N(N195),0)+IF(LEFT(V195,8)="Expense|",-N(L195),0)+IF(LEFT(W195,8)="Expense|",-N(M195),0)</f>
        <v/>
      </c>
      <c r="AA195" s="23">
        <f>IF(ISNUMBER(MATCH(T195,{"Expense|employee","Expense|general_admin","Expense|marketing","Expense|utilities","Expense|other_operating"},0)),N(O195),0)+IF(ISNUMBER(MATCH(U195,{"Expense|employee","Expense|general_admin","Expense|marketing","Expense|utilities","Expense|other_operating"},0)),N(N195),0)+IF(ISNUMBER(MATCH(V195,{"Expense|employee","Expense|general_admin","Expense|marketing","Expense|utilities","Expense|other_operating"},0)),-N(L195),0)+IF(ISNUMBER(MATCH(W195,{"Expense|employee","Expense|general_admin","Expense|marketing","Expense|utilities","Expense|other_operating"},0)),-N(M195),0)</f>
        <v/>
      </c>
      <c r="AB195" s="23">
        <f>IF(T195="Liability|payable",-N(O195),0)+IF(U195="Liability|payable",-N(N195),0)+IF(V195="Liability|payable",N(L195),0)+IF(W195="Liability|payable",N(M195),0)</f>
        <v/>
      </c>
      <c r="AC195" s="23">
        <f>IF(T195="Liability|accrued",-N(O195),0)+IF(U195="Liability|accrued",-N(N195),0)+IF(V195="Liability|accrued",N(L195),0)+IF(W195="Liability|accrued",N(M195),0)</f>
        <v/>
      </c>
      <c r="AD195" s="23">
        <f>IF(AND(N(O195)&lt;&gt;0,T195=""),1,0)+IF(AND(N(N195)&lt;&gt;0,U195=""),1,0)+IF(AND(N(L195)&lt;&gt;0,V195=""),1,0)+IF(AND(N(M195)&lt;&gt;0,W195=""),1,0)</f>
        <v/>
      </c>
    </row>
    <row r="196">
      <c r="A196" s="14" t="n"/>
      <c r="B196" s="19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21">
        <f>SUMIFS('Invoice Lines'!$I:$I,'Invoice Lines'!$A:$A,A196)</f>
        <v/>
      </c>
      <c r="L196" s="21">
        <f>IF(E196="Draft",0,K196)</f>
        <v/>
      </c>
      <c r="M196" s="21">
        <f>ROUND(L196*IFERROR(VLOOKUP(I196,'Tax Codes'!$A$5:$E$300,5,FALSE),0),2)</f>
        <v/>
      </c>
      <c r="N196" s="21">
        <f>ROUND(L196*IFERROR(VLOOKUP(J196,'Tax Codes'!$A$5:$E$300,5,FALSE),0),2)</f>
        <v/>
      </c>
      <c r="O196" s="21">
        <f>L196+M196-N196</f>
        <v/>
      </c>
      <c r="P196" s="16">
        <f>IF(F196="",INDEX('Chart of Accounts'!$A$5:$A$3000,MATCH("ar",'Chart of Accounts'!$F$5:$F$3000,0)),F196&amp;"")</f>
        <v/>
      </c>
      <c r="Q196" s="16">
        <f>IF(G196="",INDEX('Chart of Accounts'!$A$5:$A$3000,MATCH("revenue",'Chart of Accounts'!$F$5:$F$3000,0)),G196&amp;"")</f>
        <v/>
      </c>
      <c r="R196" s="16">
        <f>INDEX('Chart of Accounts'!$A$5:$A$3000,MATCH("wht_receivable",'Chart of Accounts'!$F$5:$F$3000,0))</f>
        <v/>
      </c>
      <c r="S196" s="16">
        <f>INDEX('Chart of Accounts'!$A$5:$A$3000,MATCH("vat_output",'Chart of Accounts'!$F$5:$F$3000,0))</f>
        <v/>
      </c>
      <c r="T196" s="23">
        <f>IFERROR(INDEX('Chart of Accounts'!$C$5:$C$3000,MATCH(P196&amp;"",'Chart of Accounts'!$A$5:$A$3000,0))&amp;"|"&amp;INDEX('Chart of Accounts'!$D$5:$D$3000,MATCH(P196&amp;"",'Chart of Accounts'!$A$5:$A$3000,0)),"")</f>
        <v/>
      </c>
      <c r="U196" s="23">
        <f>IFERROR(INDEX('Chart of Accounts'!$C$5:$C$3000,MATCH(R196&amp;"",'Chart of Accounts'!$A$5:$A$3000,0))&amp;"|"&amp;INDEX('Chart of Accounts'!$D$5:$D$3000,MATCH(R196&amp;"",'Chart of Accounts'!$A$5:$A$3000,0)),"")</f>
        <v/>
      </c>
      <c r="V196" s="23">
        <f>IFERROR(INDEX('Chart of Accounts'!$C$5:$C$3000,MATCH(Q196&amp;"",'Chart of Accounts'!$A$5:$A$3000,0))&amp;"|"&amp;INDEX('Chart of Accounts'!$D$5:$D$3000,MATCH(Q196&amp;"",'Chart of Accounts'!$A$5:$A$3000,0)),"")</f>
        <v/>
      </c>
      <c r="W196" s="23">
        <f>IFERROR(INDEX('Chart of Accounts'!$C$5:$C$3000,MATCH(S196&amp;"",'Chart of Accounts'!$A$5:$A$3000,0))&amp;"|"&amp;INDEX('Chart of Accounts'!$D$5:$D$3000,MATCH(S196&amp;"",'Chart of Accounts'!$A$5:$A$3000,0)),"")</f>
        <v/>
      </c>
      <c r="X196" s="23">
        <f>IF(LEFT(T196,8)="Revenue|",-N(O196),0)+IF(LEFT(U196,8)="Revenue|",-N(N196),0)+IF(LEFT(V196,8)="Revenue|",N(L196),0)+IF(LEFT(W196,8)="Revenue|",N(M196),0)</f>
        <v/>
      </c>
      <c r="Y196" s="23">
        <f>IF(LEFT(T196,5)="COGS|",N(O196),0)+IF(LEFT(U196,5)="COGS|",N(N196),0)+IF(LEFT(V196,5)="COGS|",-N(L196),0)+IF(LEFT(W196,5)="COGS|",-N(M196),0)</f>
        <v/>
      </c>
      <c r="Z196" s="23">
        <f>IF(LEFT(T196,8)="Expense|",N(O196),0)+IF(LEFT(U196,8)="Expense|",N(N196),0)+IF(LEFT(V196,8)="Expense|",-N(L196),0)+IF(LEFT(W196,8)="Expense|",-N(M196),0)</f>
        <v/>
      </c>
      <c r="AA196" s="23">
        <f>IF(ISNUMBER(MATCH(T196,{"Expense|employee","Expense|general_admin","Expense|marketing","Expense|utilities","Expense|other_operating"},0)),N(O196),0)+IF(ISNUMBER(MATCH(U196,{"Expense|employee","Expense|general_admin","Expense|marketing","Expense|utilities","Expense|other_operating"},0)),N(N196),0)+IF(ISNUMBER(MATCH(V196,{"Expense|employee","Expense|general_admin","Expense|marketing","Expense|utilities","Expense|other_operating"},0)),-N(L196),0)+IF(ISNUMBER(MATCH(W196,{"Expense|employee","Expense|general_admin","Expense|marketing","Expense|utilities","Expense|other_operating"},0)),-N(M196),0)</f>
        <v/>
      </c>
      <c r="AB196" s="23">
        <f>IF(T196="Liability|payable",-N(O196),0)+IF(U196="Liability|payable",-N(N196),0)+IF(V196="Liability|payable",N(L196),0)+IF(W196="Liability|payable",N(M196),0)</f>
        <v/>
      </c>
      <c r="AC196" s="23">
        <f>IF(T196="Liability|accrued",-N(O196),0)+IF(U196="Liability|accrued",-N(N196),0)+IF(V196="Liability|accrued",N(L196),0)+IF(W196="Liability|accrued",N(M196),0)</f>
        <v/>
      </c>
      <c r="AD196" s="23">
        <f>IF(AND(N(O196)&lt;&gt;0,T196=""),1,0)+IF(AND(N(N196)&lt;&gt;0,U196=""),1,0)+IF(AND(N(L196)&lt;&gt;0,V196=""),1,0)+IF(AND(N(M196)&lt;&gt;0,W196=""),1,0)</f>
        <v/>
      </c>
    </row>
    <row r="197">
      <c r="A197" s="14" t="n"/>
      <c r="B197" s="19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21">
        <f>SUMIFS('Invoice Lines'!$I:$I,'Invoice Lines'!$A:$A,A197)</f>
        <v/>
      </c>
      <c r="L197" s="21">
        <f>IF(E197="Draft",0,K197)</f>
        <v/>
      </c>
      <c r="M197" s="21">
        <f>ROUND(L197*IFERROR(VLOOKUP(I197,'Tax Codes'!$A$5:$E$300,5,FALSE),0),2)</f>
        <v/>
      </c>
      <c r="N197" s="21">
        <f>ROUND(L197*IFERROR(VLOOKUP(J197,'Tax Codes'!$A$5:$E$300,5,FALSE),0),2)</f>
        <v/>
      </c>
      <c r="O197" s="21">
        <f>L197+M197-N197</f>
        <v/>
      </c>
      <c r="P197" s="16">
        <f>IF(F197="",INDEX('Chart of Accounts'!$A$5:$A$3000,MATCH("ar",'Chart of Accounts'!$F$5:$F$3000,0)),F197&amp;"")</f>
        <v/>
      </c>
      <c r="Q197" s="16">
        <f>IF(G197="",INDEX('Chart of Accounts'!$A$5:$A$3000,MATCH("revenue",'Chart of Accounts'!$F$5:$F$3000,0)),G197&amp;"")</f>
        <v/>
      </c>
      <c r="R197" s="16">
        <f>INDEX('Chart of Accounts'!$A$5:$A$3000,MATCH("wht_receivable",'Chart of Accounts'!$F$5:$F$3000,0))</f>
        <v/>
      </c>
      <c r="S197" s="16">
        <f>INDEX('Chart of Accounts'!$A$5:$A$3000,MATCH("vat_output",'Chart of Accounts'!$F$5:$F$3000,0))</f>
        <v/>
      </c>
      <c r="T197" s="23">
        <f>IFERROR(INDEX('Chart of Accounts'!$C$5:$C$3000,MATCH(P197&amp;"",'Chart of Accounts'!$A$5:$A$3000,0))&amp;"|"&amp;INDEX('Chart of Accounts'!$D$5:$D$3000,MATCH(P197&amp;"",'Chart of Accounts'!$A$5:$A$3000,0)),"")</f>
        <v/>
      </c>
      <c r="U197" s="23">
        <f>IFERROR(INDEX('Chart of Accounts'!$C$5:$C$3000,MATCH(R197&amp;"",'Chart of Accounts'!$A$5:$A$3000,0))&amp;"|"&amp;INDEX('Chart of Accounts'!$D$5:$D$3000,MATCH(R197&amp;"",'Chart of Accounts'!$A$5:$A$3000,0)),"")</f>
        <v/>
      </c>
      <c r="V197" s="23">
        <f>IFERROR(INDEX('Chart of Accounts'!$C$5:$C$3000,MATCH(Q197&amp;"",'Chart of Accounts'!$A$5:$A$3000,0))&amp;"|"&amp;INDEX('Chart of Accounts'!$D$5:$D$3000,MATCH(Q197&amp;"",'Chart of Accounts'!$A$5:$A$3000,0)),"")</f>
        <v/>
      </c>
      <c r="W197" s="23">
        <f>IFERROR(INDEX('Chart of Accounts'!$C$5:$C$3000,MATCH(S197&amp;"",'Chart of Accounts'!$A$5:$A$3000,0))&amp;"|"&amp;INDEX('Chart of Accounts'!$D$5:$D$3000,MATCH(S197&amp;"",'Chart of Accounts'!$A$5:$A$3000,0)),"")</f>
        <v/>
      </c>
      <c r="X197" s="23">
        <f>IF(LEFT(T197,8)="Revenue|",-N(O197),0)+IF(LEFT(U197,8)="Revenue|",-N(N197),0)+IF(LEFT(V197,8)="Revenue|",N(L197),0)+IF(LEFT(W197,8)="Revenue|",N(M197),0)</f>
        <v/>
      </c>
      <c r="Y197" s="23">
        <f>IF(LEFT(T197,5)="COGS|",N(O197),0)+IF(LEFT(U197,5)="COGS|",N(N197),0)+IF(LEFT(V197,5)="COGS|",-N(L197),0)+IF(LEFT(W197,5)="COGS|",-N(M197),0)</f>
        <v/>
      </c>
      <c r="Z197" s="23">
        <f>IF(LEFT(T197,8)="Expense|",N(O197),0)+IF(LEFT(U197,8)="Expense|",N(N197),0)+IF(LEFT(V197,8)="Expense|",-N(L197),0)+IF(LEFT(W197,8)="Expense|",-N(M197),0)</f>
        <v/>
      </c>
      <c r="AA197" s="23">
        <f>IF(ISNUMBER(MATCH(T197,{"Expense|employee","Expense|general_admin","Expense|marketing","Expense|utilities","Expense|other_operating"},0)),N(O197),0)+IF(ISNUMBER(MATCH(U197,{"Expense|employee","Expense|general_admin","Expense|marketing","Expense|utilities","Expense|other_operating"},0)),N(N197),0)+IF(ISNUMBER(MATCH(V197,{"Expense|employee","Expense|general_admin","Expense|marketing","Expense|utilities","Expense|other_operating"},0)),-N(L197),0)+IF(ISNUMBER(MATCH(W197,{"Expense|employee","Expense|general_admin","Expense|marketing","Expense|utilities","Expense|other_operating"},0)),-N(M197),0)</f>
        <v/>
      </c>
      <c r="AB197" s="23">
        <f>IF(T197="Liability|payable",-N(O197),0)+IF(U197="Liability|payable",-N(N197),0)+IF(V197="Liability|payable",N(L197),0)+IF(W197="Liability|payable",N(M197),0)</f>
        <v/>
      </c>
      <c r="AC197" s="23">
        <f>IF(T197="Liability|accrued",-N(O197),0)+IF(U197="Liability|accrued",-N(N197),0)+IF(V197="Liability|accrued",N(L197),0)+IF(W197="Liability|accrued",N(M197),0)</f>
        <v/>
      </c>
      <c r="AD197" s="23">
        <f>IF(AND(N(O197)&lt;&gt;0,T197=""),1,0)+IF(AND(N(N197)&lt;&gt;0,U197=""),1,0)+IF(AND(N(L197)&lt;&gt;0,V197=""),1,0)+IF(AND(N(M197)&lt;&gt;0,W197=""),1,0)</f>
        <v/>
      </c>
    </row>
    <row r="198">
      <c r="A198" s="14" t="n"/>
      <c r="B198" s="19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21">
        <f>SUMIFS('Invoice Lines'!$I:$I,'Invoice Lines'!$A:$A,A198)</f>
        <v/>
      </c>
      <c r="L198" s="21">
        <f>IF(E198="Draft",0,K198)</f>
        <v/>
      </c>
      <c r="M198" s="21">
        <f>ROUND(L198*IFERROR(VLOOKUP(I198,'Tax Codes'!$A$5:$E$300,5,FALSE),0),2)</f>
        <v/>
      </c>
      <c r="N198" s="21">
        <f>ROUND(L198*IFERROR(VLOOKUP(J198,'Tax Codes'!$A$5:$E$300,5,FALSE),0),2)</f>
        <v/>
      </c>
      <c r="O198" s="21">
        <f>L198+M198-N198</f>
        <v/>
      </c>
      <c r="P198" s="16">
        <f>IF(F198="",INDEX('Chart of Accounts'!$A$5:$A$3000,MATCH("ar",'Chart of Accounts'!$F$5:$F$3000,0)),F198&amp;"")</f>
        <v/>
      </c>
      <c r="Q198" s="16">
        <f>IF(G198="",INDEX('Chart of Accounts'!$A$5:$A$3000,MATCH("revenue",'Chart of Accounts'!$F$5:$F$3000,0)),G198&amp;"")</f>
        <v/>
      </c>
      <c r="R198" s="16">
        <f>INDEX('Chart of Accounts'!$A$5:$A$3000,MATCH("wht_receivable",'Chart of Accounts'!$F$5:$F$3000,0))</f>
        <v/>
      </c>
      <c r="S198" s="16">
        <f>INDEX('Chart of Accounts'!$A$5:$A$3000,MATCH("vat_output",'Chart of Accounts'!$F$5:$F$3000,0))</f>
        <v/>
      </c>
      <c r="T198" s="23">
        <f>IFERROR(INDEX('Chart of Accounts'!$C$5:$C$3000,MATCH(P198&amp;"",'Chart of Accounts'!$A$5:$A$3000,0))&amp;"|"&amp;INDEX('Chart of Accounts'!$D$5:$D$3000,MATCH(P198&amp;"",'Chart of Accounts'!$A$5:$A$3000,0)),"")</f>
        <v/>
      </c>
      <c r="U198" s="23">
        <f>IFERROR(INDEX('Chart of Accounts'!$C$5:$C$3000,MATCH(R198&amp;"",'Chart of Accounts'!$A$5:$A$3000,0))&amp;"|"&amp;INDEX('Chart of Accounts'!$D$5:$D$3000,MATCH(R198&amp;"",'Chart of Accounts'!$A$5:$A$3000,0)),"")</f>
        <v/>
      </c>
      <c r="V198" s="23">
        <f>IFERROR(INDEX('Chart of Accounts'!$C$5:$C$3000,MATCH(Q198&amp;"",'Chart of Accounts'!$A$5:$A$3000,0))&amp;"|"&amp;INDEX('Chart of Accounts'!$D$5:$D$3000,MATCH(Q198&amp;"",'Chart of Accounts'!$A$5:$A$3000,0)),"")</f>
        <v/>
      </c>
      <c r="W198" s="23">
        <f>IFERROR(INDEX('Chart of Accounts'!$C$5:$C$3000,MATCH(S198&amp;"",'Chart of Accounts'!$A$5:$A$3000,0))&amp;"|"&amp;INDEX('Chart of Accounts'!$D$5:$D$3000,MATCH(S198&amp;"",'Chart of Accounts'!$A$5:$A$3000,0)),"")</f>
        <v/>
      </c>
      <c r="X198" s="23">
        <f>IF(LEFT(T198,8)="Revenue|",-N(O198),0)+IF(LEFT(U198,8)="Revenue|",-N(N198),0)+IF(LEFT(V198,8)="Revenue|",N(L198),0)+IF(LEFT(W198,8)="Revenue|",N(M198),0)</f>
        <v/>
      </c>
      <c r="Y198" s="23">
        <f>IF(LEFT(T198,5)="COGS|",N(O198),0)+IF(LEFT(U198,5)="COGS|",N(N198),0)+IF(LEFT(V198,5)="COGS|",-N(L198),0)+IF(LEFT(W198,5)="COGS|",-N(M198),0)</f>
        <v/>
      </c>
      <c r="Z198" s="23">
        <f>IF(LEFT(T198,8)="Expense|",N(O198),0)+IF(LEFT(U198,8)="Expense|",N(N198),0)+IF(LEFT(V198,8)="Expense|",-N(L198),0)+IF(LEFT(W198,8)="Expense|",-N(M198),0)</f>
        <v/>
      </c>
      <c r="AA198" s="23">
        <f>IF(ISNUMBER(MATCH(T198,{"Expense|employee","Expense|general_admin","Expense|marketing","Expense|utilities","Expense|other_operating"},0)),N(O198),0)+IF(ISNUMBER(MATCH(U198,{"Expense|employee","Expense|general_admin","Expense|marketing","Expense|utilities","Expense|other_operating"},0)),N(N198),0)+IF(ISNUMBER(MATCH(V198,{"Expense|employee","Expense|general_admin","Expense|marketing","Expense|utilities","Expense|other_operating"},0)),-N(L198),0)+IF(ISNUMBER(MATCH(W198,{"Expense|employee","Expense|general_admin","Expense|marketing","Expense|utilities","Expense|other_operating"},0)),-N(M198),0)</f>
        <v/>
      </c>
      <c r="AB198" s="23">
        <f>IF(T198="Liability|payable",-N(O198),0)+IF(U198="Liability|payable",-N(N198),0)+IF(V198="Liability|payable",N(L198),0)+IF(W198="Liability|payable",N(M198),0)</f>
        <v/>
      </c>
      <c r="AC198" s="23">
        <f>IF(T198="Liability|accrued",-N(O198),0)+IF(U198="Liability|accrued",-N(N198),0)+IF(V198="Liability|accrued",N(L198),0)+IF(W198="Liability|accrued",N(M198),0)</f>
        <v/>
      </c>
      <c r="AD198" s="23">
        <f>IF(AND(N(O198)&lt;&gt;0,T198=""),1,0)+IF(AND(N(N198)&lt;&gt;0,U198=""),1,0)+IF(AND(N(L198)&lt;&gt;0,V198=""),1,0)+IF(AND(N(M198)&lt;&gt;0,W198=""),1,0)</f>
        <v/>
      </c>
    </row>
    <row r="199">
      <c r="A199" s="14" t="n"/>
      <c r="B199" s="19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21">
        <f>SUMIFS('Invoice Lines'!$I:$I,'Invoice Lines'!$A:$A,A199)</f>
        <v/>
      </c>
      <c r="L199" s="21">
        <f>IF(E199="Draft",0,K199)</f>
        <v/>
      </c>
      <c r="M199" s="21">
        <f>ROUND(L199*IFERROR(VLOOKUP(I199,'Tax Codes'!$A$5:$E$300,5,FALSE),0),2)</f>
        <v/>
      </c>
      <c r="N199" s="21">
        <f>ROUND(L199*IFERROR(VLOOKUP(J199,'Tax Codes'!$A$5:$E$300,5,FALSE),0),2)</f>
        <v/>
      </c>
      <c r="O199" s="21">
        <f>L199+M199-N199</f>
        <v/>
      </c>
      <c r="P199" s="16">
        <f>IF(F199="",INDEX('Chart of Accounts'!$A$5:$A$3000,MATCH("ar",'Chart of Accounts'!$F$5:$F$3000,0)),F199&amp;"")</f>
        <v/>
      </c>
      <c r="Q199" s="16">
        <f>IF(G199="",INDEX('Chart of Accounts'!$A$5:$A$3000,MATCH("revenue",'Chart of Accounts'!$F$5:$F$3000,0)),G199&amp;"")</f>
        <v/>
      </c>
      <c r="R199" s="16">
        <f>INDEX('Chart of Accounts'!$A$5:$A$3000,MATCH("wht_receivable",'Chart of Accounts'!$F$5:$F$3000,0))</f>
        <v/>
      </c>
      <c r="S199" s="16">
        <f>INDEX('Chart of Accounts'!$A$5:$A$3000,MATCH("vat_output",'Chart of Accounts'!$F$5:$F$3000,0))</f>
        <v/>
      </c>
      <c r="T199" s="23">
        <f>IFERROR(INDEX('Chart of Accounts'!$C$5:$C$3000,MATCH(P199&amp;"",'Chart of Accounts'!$A$5:$A$3000,0))&amp;"|"&amp;INDEX('Chart of Accounts'!$D$5:$D$3000,MATCH(P199&amp;"",'Chart of Accounts'!$A$5:$A$3000,0)),"")</f>
        <v/>
      </c>
      <c r="U199" s="23">
        <f>IFERROR(INDEX('Chart of Accounts'!$C$5:$C$3000,MATCH(R199&amp;"",'Chart of Accounts'!$A$5:$A$3000,0))&amp;"|"&amp;INDEX('Chart of Accounts'!$D$5:$D$3000,MATCH(R199&amp;"",'Chart of Accounts'!$A$5:$A$3000,0)),"")</f>
        <v/>
      </c>
      <c r="V199" s="23">
        <f>IFERROR(INDEX('Chart of Accounts'!$C$5:$C$3000,MATCH(Q199&amp;"",'Chart of Accounts'!$A$5:$A$3000,0))&amp;"|"&amp;INDEX('Chart of Accounts'!$D$5:$D$3000,MATCH(Q199&amp;"",'Chart of Accounts'!$A$5:$A$3000,0)),"")</f>
        <v/>
      </c>
      <c r="W199" s="23">
        <f>IFERROR(INDEX('Chart of Accounts'!$C$5:$C$3000,MATCH(S199&amp;"",'Chart of Accounts'!$A$5:$A$3000,0))&amp;"|"&amp;INDEX('Chart of Accounts'!$D$5:$D$3000,MATCH(S199&amp;"",'Chart of Accounts'!$A$5:$A$3000,0)),"")</f>
        <v/>
      </c>
      <c r="X199" s="23">
        <f>IF(LEFT(T199,8)="Revenue|",-N(O199),0)+IF(LEFT(U199,8)="Revenue|",-N(N199),0)+IF(LEFT(V199,8)="Revenue|",N(L199),0)+IF(LEFT(W199,8)="Revenue|",N(M199),0)</f>
        <v/>
      </c>
      <c r="Y199" s="23">
        <f>IF(LEFT(T199,5)="COGS|",N(O199),0)+IF(LEFT(U199,5)="COGS|",N(N199),0)+IF(LEFT(V199,5)="COGS|",-N(L199),0)+IF(LEFT(W199,5)="COGS|",-N(M199),0)</f>
        <v/>
      </c>
      <c r="Z199" s="23">
        <f>IF(LEFT(T199,8)="Expense|",N(O199),0)+IF(LEFT(U199,8)="Expense|",N(N199),0)+IF(LEFT(V199,8)="Expense|",-N(L199),0)+IF(LEFT(W199,8)="Expense|",-N(M199),0)</f>
        <v/>
      </c>
      <c r="AA199" s="23">
        <f>IF(ISNUMBER(MATCH(T199,{"Expense|employee","Expense|general_admin","Expense|marketing","Expense|utilities","Expense|other_operating"},0)),N(O199),0)+IF(ISNUMBER(MATCH(U199,{"Expense|employee","Expense|general_admin","Expense|marketing","Expense|utilities","Expense|other_operating"},0)),N(N199),0)+IF(ISNUMBER(MATCH(V199,{"Expense|employee","Expense|general_admin","Expense|marketing","Expense|utilities","Expense|other_operating"},0)),-N(L199),0)+IF(ISNUMBER(MATCH(W199,{"Expense|employee","Expense|general_admin","Expense|marketing","Expense|utilities","Expense|other_operating"},0)),-N(M199),0)</f>
        <v/>
      </c>
      <c r="AB199" s="23">
        <f>IF(T199="Liability|payable",-N(O199),0)+IF(U199="Liability|payable",-N(N199),0)+IF(V199="Liability|payable",N(L199),0)+IF(W199="Liability|payable",N(M199),0)</f>
        <v/>
      </c>
      <c r="AC199" s="23">
        <f>IF(T199="Liability|accrued",-N(O199),0)+IF(U199="Liability|accrued",-N(N199),0)+IF(V199="Liability|accrued",N(L199),0)+IF(W199="Liability|accrued",N(M199),0)</f>
        <v/>
      </c>
      <c r="AD199" s="23">
        <f>IF(AND(N(O199)&lt;&gt;0,T199=""),1,0)+IF(AND(N(N199)&lt;&gt;0,U199=""),1,0)+IF(AND(N(L199)&lt;&gt;0,V199=""),1,0)+IF(AND(N(M199)&lt;&gt;0,W199=""),1,0)</f>
        <v/>
      </c>
    </row>
    <row r="200">
      <c r="A200" s="14" t="n"/>
      <c r="B200" s="19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21">
        <f>SUMIFS('Invoice Lines'!$I:$I,'Invoice Lines'!$A:$A,A200)</f>
        <v/>
      </c>
      <c r="L200" s="21">
        <f>IF(E200="Draft",0,K200)</f>
        <v/>
      </c>
      <c r="M200" s="21">
        <f>ROUND(L200*IFERROR(VLOOKUP(I200,'Tax Codes'!$A$5:$E$300,5,FALSE),0),2)</f>
        <v/>
      </c>
      <c r="N200" s="21">
        <f>ROUND(L200*IFERROR(VLOOKUP(J200,'Tax Codes'!$A$5:$E$300,5,FALSE),0),2)</f>
        <v/>
      </c>
      <c r="O200" s="21">
        <f>L200+M200-N200</f>
        <v/>
      </c>
      <c r="P200" s="16">
        <f>IF(F200="",INDEX('Chart of Accounts'!$A$5:$A$3000,MATCH("ar",'Chart of Accounts'!$F$5:$F$3000,0)),F200&amp;"")</f>
        <v/>
      </c>
      <c r="Q200" s="16">
        <f>IF(G200="",INDEX('Chart of Accounts'!$A$5:$A$3000,MATCH("revenue",'Chart of Accounts'!$F$5:$F$3000,0)),G200&amp;"")</f>
        <v/>
      </c>
      <c r="R200" s="16">
        <f>INDEX('Chart of Accounts'!$A$5:$A$3000,MATCH("wht_receivable",'Chart of Accounts'!$F$5:$F$3000,0))</f>
        <v/>
      </c>
      <c r="S200" s="16">
        <f>INDEX('Chart of Accounts'!$A$5:$A$3000,MATCH("vat_output",'Chart of Accounts'!$F$5:$F$3000,0))</f>
        <v/>
      </c>
      <c r="T200" s="23">
        <f>IFERROR(INDEX('Chart of Accounts'!$C$5:$C$3000,MATCH(P200&amp;"",'Chart of Accounts'!$A$5:$A$3000,0))&amp;"|"&amp;INDEX('Chart of Accounts'!$D$5:$D$3000,MATCH(P200&amp;"",'Chart of Accounts'!$A$5:$A$3000,0)),"")</f>
        <v/>
      </c>
      <c r="U200" s="23">
        <f>IFERROR(INDEX('Chart of Accounts'!$C$5:$C$3000,MATCH(R200&amp;"",'Chart of Accounts'!$A$5:$A$3000,0))&amp;"|"&amp;INDEX('Chart of Accounts'!$D$5:$D$3000,MATCH(R200&amp;"",'Chart of Accounts'!$A$5:$A$3000,0)),"")</f>
        <v/>
      </c>
      <c r="V200" s="23">
        <f>IFERROR(INDEX('Chart of Accounts'!$C$5:$C$3000,MATCH(Q200&amp;"",'Chart of Accounts'!$A$5:$A$3000,0))&amp;"|"&amp;INDEX('Chart of Accounts'!$D$5:$D$3000,MATCH(Q200&amp;"",'Chart of Accounts'!$A$5:$A$3000,0)),"")</f>
        <v/>
      </c>
      <c r="W200" s="23">
        <f>IFERROR(INDEX('Chart of Accounts'!$C$5:$C$3000,MATCH(S200&amp;"",'Chart of Accounts'!$A$5:$A$3000,0))&amp;"|"&amp;INDEX('Chart of Accounts'!$D$5:$D$3000,MATCH(S200&amp;"",'Chart of Accounts'!$A$5:$A$3000,0)),"")</f>
        <v/>
      </c>
      <c r="X200" s="23">
        <f>IF(LEFT(T200,8)="Revenue|",-N(O200),0)+IF(LEFT(U200,8)="Revenue|",-N(N200),0)+IF(LEFT(V200,8)="Revenue|",N(L200),0)+IF(LEFT(W200,8)="Revenue|",N(M200),0)</f>
        <v/>
      </c>
      <c r="Y200" s="23">
        <f>IF(LEFT(T200,5)="COGS|",N(O200),0)+IF(LEFT(U200,5)="COGS|",N(N200),0)+IF(LEFT(V200,5)="COGS|",-N(L200),0)+IF(LEFT(W200,5)="COGS|",-N(M200),0)</f>
        <v/>
      </c>
      <c r="Z200" s="23">
        <f>IF(LEFT(T200,8)="Expense|",N(O200),0)+IF(LEFT(U200,8)="Expense|",N(N200),0)+IF(LEFT(V200,8)="Expense|",-N(L200),0)+IF(LEFT(W200,8)="Expense|",-N(M200),0)</f>
        <v/>
      </c>
      <c r="AA200" s="23">
        <f>IF(ISNUMBER(MATCH(T200,{"Expense|employee","Expense|general_admin","Expense|marketing","Expense|utilities","Expense|other_operating"},0)),N(O200),0)+IF(ISNUMBER(MATCH(U200,{"Expense|employee","Expense|general_admin","Expense|marketing","Expense|utilities","Expense|other_operating"},0)),N(N200),0)+IF(ISNUMBER(MATCH(V200,{"Expense|employee","Expense|general_admin","Expense|marketing","Expense|utilities","Expense|other_operating"},0)),-N(L200),0)+IF(ISNUMBER(MATCH(W200,{"Expense|employee","Expense|general_admin","Expense|marketing","Expense|utilities","Expense|other_operating"},0)),-N(M200),0)</f>
        <v/>
      </c>
      <c r="AB200" s="23">
        <f>IF(T200="Liability|payable",-N(O200),0)+IF(U200="Liability|payable",-N(N200),0)+IF(V200="Liability|payable",N(L200),0)+IF(W200="Liability|payable",N(M200),0)</f>
        <v/>
      </c>
      <c r="AC200" s="23">
        <f>IF(T200="Liability|accrued",-N(O200),0)+IF(U200="Liability|accrued",-N(N200),0)+IF(V200="Liability|accrued",N(L200),0)+IF(W200="Liability|accrued",N(M200),0)</f>
        <v/>
      </c>
      <c r="AD200" s="23">
        <f>IF(AND(N(O200)&lt;&gt;0,T200=""),1,0)+IF(AND(N(N200)&lt;&gt;0,U200=""),1,0)+IF(AND(N(L200)&lt;&gt;0,V200=""),1,0)+IF(AND(N(M200)&lt;&gt;0,W200=""),1,0)</f>
        <v/>
      </c>
    </row>
    <row r="201">
      <c r="A201" s="14" t="n"/>
      <c r="B201" s="19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21">
        <f>SUMIFS('Invoice Lines'!$I:$I,'Invoice Lines'!$A:$A,A201)</f>
        <v/>
      </c>
      <c r="L201" s="21">
        <f>IF(E201="Draft",0,K201)</f>
        <v/>
      </c>
      <c r="M201" s="21">
        <f>ROUND(L201*IFERROR(VLOOKUP(I201,'Tax Codes'!$A$5:$E$300,5,FALSE),0),2)</f>
        <v/>
      </c>
      <c r="N201" s="21">
        <f>ROUND(L201*IFERROR(VLOOKUP(J201,'Tax Codes'!$A$5:$E$300,5,FALSE),0),2)</f>
        <v/>
      </c>
      <c r="O201" s="21">
        <f>L201+M201-N201</f>
        <v/>
      </c>
      <c r="P201" s="16">
        <f>IF(F201="",INDEX('Chart of Accounts'!$A$5:$A$3000,MATCH("ar",'Chart of Accounts'!$F$5:$F$3000,0)),F201&amp;"")</f>
        <v/>
      </c>
      <c r="Q201" s="16">
        <f>IF(G201="",INDEX('Chart of Accounts'!$A$5:$A$3000,MATCH("revenue",'Chart of Accounts'!$F$5:$F$3000,0)),G201&amp;"")</f>
        <v/>
      </c>
      <c r="R201" s="16">
        <f>INDEX('Chart of Accounts'!$A$5:$A$3000,MATCH("wht_receivable",'Chart of Accounts'!$F$5:$F$3000,0))</f>
        <v/>
      </c>
      <c r="S201" s="16">
        <f>INDEX('Chart of Accounts'!$A$5:$A$3000,MATCH("vat_output",'Chart of Accounts'!$F$5:$F$3000,0))</f>
        <v/>
      </c>
      <c r="T201" s="23">
        <f>IFERROR(INDEX('Chart of Accounts'!$C$5:$C$3000,MATCH(P201&amp;"",'Chart of Accounts'!$A$5:$A$3000,0))&amp;"|"&amp;INDEX('Chart of Accounts'!$D$5:$D$3000,MATCH(P201&amp;"",'Chart of Accounts'!$A$5:$A$3000,0)),"")</f>
        <v/>
      </c>
      <c r="U201" s="23">
        <f>IFERROR(INDEX('Chart of Accounts'!$C$5:$C$3000,MATCH(R201&amp;"",'Chart of Accounts'!$A$5:$A$3000,0))&amp;"|"&amp;INDEX('Chart of Accounts'!$D$5:$D$3000,MATCH(R201&amp;"",'Chart of Accounts'!$A$5:$A$3000,0)),"")</f>
        <v/>
      </c>
      <c r="V201" s="23">
        <f>IFERROR(INDEX('Chart of Accounts'!$C$5:$C$3000,MATCH(Q201&amp;"",'Chart of Accounts'!$A$5:$A$3000,0))&amp;"|"&amp;INDEX('Chart of Accounts'!$D$5:$D$3000,MATCH(Q201&amp;"",'Chart of Accounts'!$A$5:$A$3000,0)),"")</f>
        <v/>
      </c>
      <c r="W201" s="23">
        <f>IFERROR(INDEX('Chart of Accounts'!$C$5:$C$3000,MATCH(S201&amp;"",'Chart of Accounts'!$A$5:$A$3000,0))&amp;"|"&amp;INDEX('Chart of Accounts'!$D$5:$D$3000,MATCH(S201&amp;"",'Chart of Accounts'!$A$5:$A$3000,0)),"")</f>
        <v/>
      </c>
      <c r="X201" s="23">
        <f>IF(LEFT(T201,8)="Revenue|",-N(O201),0)+IF(LEFT(U201,8)="Revenue|",-N(N201),0)+IF(LEFT(V201,8)="Revenue|",N(L201),0)+IF(LEFT(W201,8)="Revenue|",N(M201),0)</f>
        <v/>
      </c>
      <c r="Y201" s="23">
        <f>IF(LEFT(T201,5)="COGS|",N(O201),0)+IF(LEFT(U201,5)="COGS|",N(N201),0)+IF(LEFT(V201,5)="COGS|",-N(L201),0)+IF(LEFT(W201,5)="COGS|",-N(M201),0)</f>
        <v/>
      </c>
      <c r="Z201" s="23">
        <f>IF(LEFT(T201,8)="Expense|",N(O201),0)+IF(LEFT(U201,8)="Expense|",N(N201),0)+IF(LEFT(V201,8)="Expense|",-N(L201),0)+IF(LEFT(W201,8)="Expense|",-N(M201),0)</f>
        <v/>
      </c>
      <c r="AA201" s="23">
        <f>IF(ISNUMBER(MATCH(T201,{"Expense|employee","Expense|general_admin","Expense|marketing","Expense|utilities","Expense|other_operating"},0)),N(O201),0)+IF(ISNUMBER(MATCH(U201,{"Expense|employee","Expense|general_admin","Expense|marketing","Expense|utilities","Expense|other_operating"},0)),N(N201),0)+IF(ISNUMBER(MATCH(V201,{"Expense|employee","Expense|general_admin","Expense|marketing","Expense|utilities","Expense|other_operating"},0)),-N(L201),0)+IF(ISNUMBER(MATCH(W201,{"Expense|employee","Expense|general_admin","Expense|marketing","Expense|utilities","Expense|other_operating"},0)),-N(M201),0)</f>
        <v/>
      </c>
      <c r="AB201" s="23">
        <f>IF(T201="Liability|payable",-N(O201),0)+IF(U201="Liability|payable",-N(N201),0)+IF(V201="Liability|payable",N(L201),0)+IF(W201="Liability|payable",N(M201),0)</f>
        <v/>
      </c>
      <c r="AC201" s="23">
        <f>IF(T201="Liability|accrued",-N(O201),0)+IF(U201="Liability|accrued",-N(N201),0)+IF(V201="Liability|accrued",N(L201),0)+IF(W201="Liability|accrued",N(M201),0)</f>
        <v/>
      </c>
      <c r="AD201" s="23">
        <f>IF(AND(N(O201)&lt;&gt;0,T201=""),1,0)+IF(AND(N(N201)&lt;&gt;0,U201=""),1,0)+IF(AND(N(L201)&lt;&gt;0,V201=""),1,0)+IF(AND(N(M201)&lt;&gt;0,W201=""),1,0)</f>
        <v/>
      </c>
    </row>
    <row r="202">
      <c r="A202" s="14" t="n"/>
      <c r="B202" s="19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21">
        <f>SUMIFS('Invoice Lines'!$I:$I,'Invoice Lines'!$A:$A,A202)</f>
        <v/>
      </c>
      <c r="L202" s="21">
        <f>IF(E202="Draft",0,K202)</f>
        <v/>
      </c>
      <c r="M202" s="21">
        <f>ROUND(L202*IFERROR(VLOOKUP(I202,'Tax Codes'!$A$5:$E$300,5,FALSE),0),2)</f>
        <v/>
      </c>
      <c r="N202" s="21">
        <f>ROUND(L202*IFERROR(VLOOKUP(J202,'Tax Codes'!$A$5:$E$300,5,FALSE),0),2)</f>
        <v/>
      </c>
      <c r="O202" s="21">
        <f>L202+M202-N202</f>
        <v/>
      </c>
      <c r="P202" s="16">
        <f>IF(F202="",INDEX('Chart of Accounts'!$A$5:$A$3000,MATCH("ar",'Chart of Accounts'!$F$5:$F$3000,0)),F202&amp;"")</f>
        <v/>
      </c>
      <c r="Q202" s="16">
        <f>IF(G202="",INDEX('Chart of Accounts'!$A$5:$A$3000,MATCH("revenue",'Chart of Accounts'!$F$5:$F$3000,0)),G202&amp;"")</f>
        <v/>
      </c>
      <c r="R202" s="16">
        <f>INDEX('Chart of Accounts'!$A$5:$A$3000,MATCH("wht_receivable",'Chart of Accounts'!$F$5:$F$3000,0))</f>
        <v/>
      </c>
      <c r="S202" s="16">
        <f>INDEX('Chart of Accounts'!$A$5:$A$3000,MATCH("vat_output",'Chart of Accounts'!$F$5:$F$3000,0))</f>
        <v/>
      </c>
      <c r="T202" s="23">
        <f>IFERROR(INDEX('Chart of Accounts'!$C$5:$C$3000,MATCH(P202&amp;"",'Chart of Accounts'!$A$5:$A$3000,0))&amp;"|"&amp;INDEX('Chart of Accounts'!$D$5:$D$3000,MATCH(P202&amp;"",'Chart of Accounts'!$A$5:$A$3000,0)),"")</f>
        <v/>
      </c>
      <c r="U202" s="23">
        <f>IFERROR(INDEX('Chart of Accounts'!$C$5:$C$3000,MATCH(R202&amp;"",'Chart of Accounts'!$A$5:$A$3000,0))&amp;"|"&amp;INDEX('Chart of Accounts'!$D$5:$D$3000,MATCH(R202&amp;"",'Chart of Accounts'!$A$5:$A$3000,0)),"")</f>
        <v/>
      </c>
      <c r="V202" s="23">
        <f>IFERROR(INDEX('Chart of Accounts'!$C$5:$C$3000,MATCH(Q202&amp;"",'Chart of Accounts'!$A$5:$A$3000,0))&amp;"|"&amp;INDEX('Chart of Accounts'!$D$5:$D$3000,MATCH(Q202&amp;"",'Chart of Accounts'!$A$5:$A$3000,0)),"")</f>
        <v/>
      </c>
      <c r="W202" s="23">
        <f>IFERROR(INDEX('Chart of Accounts'!$C$5:$C$3000,MATCH(S202&amp;"",'Chart of Accounts'!$A$5:$A$3000,0))&amp;"|"&amp;INDEX('Chart of Accounts'!$D$5:$D$3000,MATCH(S202&amp;"",'Chart of Accounts'!$A$5:$A$3000,0)),"")</f>
        <v/>
      </c>
      <c r="X202" s="23">
        <f>IF(LEFT(T202,8)="Revenue|",-N(O202),0)+IF(LEFT(U202,8)="Revenue|",-N(N202),0)+IF(LEFT(V202,8)="Revenue|",N(L202),0)+IF(LEFT(W202,8)="Revenue|",N(M202),0)</f>
        <v/>
      </c>
      <c r="Y202" s="23">
        <f>IF(LEFT(T202,5)="COGS|",N(O202),0)+IF(LEFT(U202,5)="COGS|",N(N202),0)+IF(LEFT(V202,5)="COGS|",-N(L202),0)+IF(LEFT(W202,5)="COGS|",-N(M202),0)</f>
        <v/>
      </c>
      <c r="Z202" s="23">
        <f>IF(LEFT(T202,8)="Expense|",N(O202),0)+IF(LEFT(U202,8)="Expense|",N(N202),0)+IF(LEFT(V202,8)="Expense|",-N(L202),0)+IF(LEFT(W202,8)="Expense|",-N(M202),0)</f>
        <v/>
      </c>
      <c r="AA202" s="23">
        <f>IF(ISNUMBER(MATCH(T202,{"Expense|employee","Expense|general_admin","Expense|marketing","Expense|utilities","Expense|other_operating"},0)),N(O202),0)+IF(ISNUMBER(MATCH(U202,{"Expense|employee","Expense|general_admin","Expense|marketing","Expense|utilities","Expense|other_operating"},0)),N(N202),0)+IF(ISNUMBER(MATCH(V202,{"Expense|employee","Expense|general_admin","Expense|marketing","Expense|utilities","Expense|other_operating"},0)),-N(L202),0)+IF(ISNUMBER(MATCH(W202,{"Expense|employee","Expense|general_admin","Expense|marketing","Expense|utilities","Expense|other_operating"},0)),-N(M202),0)</f>
        <v/>
      </c>
      <c r="AB202" s="23">
        <f>IF(T202="Liability|payable",-N(O202),0)+IF(U202="Liability|payable",-N(N202),0)+IF(V202="Liability|payable",N(L202),0)+IF(W202="Liability|payable",N(M202),0)</f>
        <v/>
      </c>
      <c r="AC202" s="23">
        <f>IF(T202="Liability|accrued",-N(O202),0)+IF(U202="Liability|accrued",-N(N202),0)+IF(V202="Liability|accrued",N(L202),0)+IF(W202="Liability|accrued",N(M202),0)</f>
        <v/>
      </c>
      <c r="AD202" s="23">
        <f>IF(AND(N(O202)&lt;&gt;0,T202=""),1,0)+IF(AND(N(N202)&lt;&gt;0,U202=""),1,0)+IF(AND(N(L202)&lt;&gt;0,V202=""),1,0)+IF(AND(N(M202)&lt;&gt;0,W202=""),1,0)</f>
        <v/>
      </c>
    </row>
    <row r="203">
      <c r="A203" s="14" t="n"/>
      <c r="B203" s="19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21">
        <f>SUMIFS('Invoice Lines'!$I:$I,'Invoice Lines'!$A:$A,A203)</f>
        <v/>
      </c>
      <c r="L203" s="21">
        <f>IF(E203="Draft",0,K203)</f>
        <v/>
      </c>
      <c r="M203" s="21">
        <f>ROUND(L203*IFERROR(VLOOKUP(I203,'Tax Codes'!$A$5:$E$300,5,FALSE),0),2)</f>
        <v/>
      </c>
      <c r="N203" s="21">
        <f>ROUND(L203*IFERROR(VLOOKUP(J203,'Tax Codes'!$A$5:$E$300,5,FALSE),0),2)</f>
        <v/>
      </c>
      <c r="O203" s="21">
        <f>L203+M203-N203</f>
        <v/>
      </c>
      <c r="P203" s="16">
        <f>IF(F203="",INDEX('Chart of Accounts'!$A$5:$A$3000,MATCH("ar",'Chart of Accounts'!$F$5:$F$3000,0)),F203&amp;"")</f>
        <v/>
      </c>
      <c r="Q203" s="16">
        <f>IF(G203="",INDEX('Chart of Accounts'!$A$5:$A$3000,MATCH("revenue",'Chart of Accounts'!$F$5:$F$3000,0)),G203&amp;"")</f>
        <v/>
      </c>
      <c r="R203" s="16">
        <f>INDEX('Chart of Accounts'!$A$5:$A$3000,MATCH("wht_receivable",'Chart of Accounts'!$F$5:$F$3000,0))</f>
        <v/>
      </c>
      <c r="S203" s="16">
        <f>INDEX('Chart of Accounts'!$A$5:$A$3000,MATCH("vat_output",'Chart of Accounts'!$F$5:$F$3000,0))</f>
        <v/>
      </c>
      <c r="T203" s="23">
        <f>IFERROR(INDEX('Chart of Accounts'!$C$5:$C$3000,MATCH(P203&amp;"",'Chart of Accounts'!$A$5:$A$3000,0))&amp;"|"&amp;INDEX('Chart of Accounts'!$D$5:$D$3000,MATCH(P203&amp;"",'Chart of Accounts'!$A$5:$A$3000,0)),"")</f>
        <v/>
      </c>
      <c r="U203" s="23">
        <f>IFERROR(INDEX('Chart of Accounts'!$C$5:$C$3000,MATCH(R203&amp;"",'Chart of Accounts'!$A$5:$A$3000,0))&amp;"|"&amp;INDEX('Chart of Accounts'!$D$5:$D$3000,MATCH(R203&amp;"",'Chart of Accounts'!$A$5:$A$3000,0)),"")</f>
        <v/>
      </c>
      <c r="V203" s="23">
        <f>IFERROR(INDEX('Chart of Accounts'!$C$5:$C$3000,MATCH(Q203&amp;"",'Chart of Accounts'!$A$5:$A$3000,0))&amp;"|"&amp;INDEX('Chart of Accounts'!$D$5:$D$3000,MATCH(Q203&amp;"",'Chart of Accounts'!$A$5:$A$3000,0)),"")</f>
        <v/>
      </c>
      <c r="W203" s="23">
        <f>IFERROR(INDEX('Chart of Accounts'!$C$5:$C$3000,MATCH(S203&amp;"",'Chart of Accounts'!$A$5:$A$3000,0))&amp;"|"&amp;INDEX('Chart of Accounts'!$D$5:$D$3000,MATCH(S203&amp;"",'Chart of Accounts'!$A$5:$A$3000,0)),"")</f>
        <v/>
      </c>
      <c r="X203" s="23">
        <f>IF(LEFT(T203,8)="Revenue|",-N(O203),0)+IF(LEFT(U203,8)="Revenue|",-N(N203),0)+IF(LEFT(V203,8)="Revenue|",N(L203),0)+IF(LEFT(W203,8)="Revenue|",N(M203),0)</f>
        <v/>
      </c>
      <c r="Y203" s="23">
        <f>IF(LEFT(T203,5)="COGS|",N(O203),0)+IF(LEFT(U203,5)="COGS|",N(N203),0)+IF(LEFT(V203,5)="COGS|",-N(L203),0)+IF(LEFT(W203,5)="COGS|",-N(M203),0)</f>
        <v/>
      </c>
      <c r="Z203" s="23">
        <f>IF(LEFT(T203,8)="Expense|",N(O203),0)+IF(LEFT(U203,8)="Expense|",N(N203),0)+IF(LEFT(V203,8)="Expense|",-N(L203),0)+IF(LEFT(W203,8)="Expense|",-N(M203),0)</f>
        <v/>
      </c>
      <c r="AA203" s="23">
        <f>IF(ISNUMBER(MATCH(T203,{"Expense|employee","Expense|general_admin","Expense|marketing","Expense|utilities","Expense|other_operating"},0)),N(O203),0)+IF(ISNUMBER(MATCH(U203,{"Expense|employee","Expense|general_admin","Expense|marketing","Expense|utilities","Expense|other_operating"},0)),N(N203),0)+IF(ISNUMBER(MATCH(V203,{"Expense|employee","Expense|general_admin","Expense|marketing","Expense|utilities","Expense|other_operating"},0)),-N(L203),0)+IF(ISNUMBER(MATCH(W203,{"Expense|employee","Expense|general_admin","Expense|marketing","Expense|utilities","Expense|other_operating"},0)),-N(M203),0)</f>
        <v/>
      </c>
      <c r="AB203" s="23">
        <f>IF(T203="Liability|payable",-N(O203),0)+IF(U203="Liability|payable",-N(N203),0)+IF(V203="Liability|payable",N(L203),0)+IF(W203="Liability|payable",N(M203),0)</f>
        <v/>
      </c>
      <c r="AC203" s="23">
        <f>IF(T203="Liability|accrued",-N(O203),0)+IF(U203="Liability|accrued",-N(N203),0)+IF(V203="Liability|accrued",N(L203),0)+IF(W203="Liability|accrued",N(M203),0)</f>
        <v/>
      </c>
      <c r="AD203" s="23">
        <f>IF(AND(N(O203)&lt;&gt;0,T203=""),1,0)+IF(AND(N(N203)&lt;&gt;0,U203=""),1,0)+IF(AND(N(L203)&lt;&gt;0,V203=""),1,0)+IF(AND(N(M203)&lt;&gt;0,W203=""),1,0)</f>
        <v/>
      </c>
    </row>
    <row r="204">
      <c r="A204" s="14" t="n"/>
      <c r="B204" s="19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21">
        <f>SUMIFS('Invoice Lines'!$I:$I,'Invoice Lines'!$A:$A,A204)</f>
        <v/>
      </c>
      <c r="L204" s="21">
        <f>IF(E204="Draft",0,K204)</f>
        <v/>
      </c>
      <c r="M204" s="21">
        <f>ROUND(L204*IFERROR(VLOOKUP(I204,'Tax Codes'!$A$5:$E$300,5,FALSE),0),2)</f>
        <v/>
      </c>
      <c r="N204" s="21">
        <f>ROUND(L204*IFERROR(VLOOKUP(J204,'Tax Codes'!$A$5:$E$300,5,FALSE),0),2)</f>
        <v/>
      </c>
      <c r="O204" s="21">
        <f>L204+M204-N204</f>
        <v/>
      </c>
      <c r="P204" s="16">
        <f>IF(F204="",INDEX('Chart of Accounts'!$A$5:$A$3000,MATCH("ar",'Chart of Accounts'!$F$5:$F$3000,0)),F204&amp;"")</f>
        <v/>
      </c>
      <c r="Q204" s="16">
        <f>IF(G204="",INDEX('Chart of Accounts'!$A$5:$A$3000,MATCH("revenue",'Chart of Accounts'!$F$5:$F$3000,0)),G204&amp;"")</f>
        <v/>
      </c>
      <c r="R204" s="16">
        <f>INDEX('Chart of Accounts'!$A$5:$A$3000,MATCH("wht_receivable",'Chart of Accounts'!$F$5:$F$3000,0))</f>
        <v/>
      </c>
      <c r="S204" s="16">
        <f>INDEX('Chart of Accounts'!$A$5:$A$3000,MATCH("vat_output",'Chart of Accounts'!$F$5:$F$3000,0))</f>
        <v/>
      </c>
      <c r="T204" s="23">
        <f>IFERROR(INDEX('Chart of Accounts'!$C$5:$C$3000,MATCH(P204&amp;"",'Chart of Accounts'!$A$5:$A$3000,0))&amp;"|"&amp;INDEX('Chart of Accounts'!$D$5:$D$3000,MATCH(P204&amp;"",'Chart of Accounts'!$A$5:$A$3000,0)),"")</f>
        <v/>
      </c>
      <c r="U204" s="23">
        <f>IFERROR(INDEX('Chart of Accounts'!$C$5:$C$3000,MATCH(R204&amp;"",'Chart of Accounts'!$A$5:$A$3000,0))&amp;"|"&amp;INDEX('Chart of Accounts'!$D$5:$D$3000,MATCH(R204&amp;"",'Chart of Accounts'!$A$5:$A$3000,0)),"")</f>
        <v/>
      </c>
      <c r="V204" s="23">
        <f>IFERROR(INDEX('Chart of Accounts'!$C$5:$C$3000,MATCH(Q204&amp;"",'Chart of Accounts'!$A$5:$A$3000,0))&amp;"|"&amp;INDEX('Chart of Accounts'!$D$5:$D$3000,MATCH(Q204&amp;"",'Chart of Accounts'!$A$5:$A$3000,0)),"")</f>
        <v/>
      </c>
      <c r="W204" s="23">
        <f>IFERROR(INDEX('Chart of Accounts'!$C$5:$C$3000,MATCH(S204&amp;"",'Chart of Accounts'!$A$5:$A$3000,0))&amp;"|"&amp;INDEX('Chart of Accounts'!$D$5:$D$3000,MATCH(S204&amp;"",'Chart of Accounts'!$A$5:$A$3000,0)),"")</f>
        <v/>
      </c>
      <c r="X204" s="23">
        <f>IF(LEFT(T204,8)="Revenue|",-N(O204),0)+IF(LEFT(U204,8)="Revenue|",-N(N204),0)+IF(LEFT(V204,8)="Revenue|",N(L204),0)+IF(LEFT(W204,8)="Revenue|",N(M204),0)</f>
        <v/>
      </c>
      <c r="Y204" s="23">
        <f>IF(LEFT(T204,5)="COGS|",N(O204),0)+IF(LEFT(U204,5)="COGS|",N(N204),0)+IF(LEFT(V204,5)="COGS|",-N(L204),0)+IF(LEFT(W204,5)="COGS|",-N(M204),0)</f>
        <v/>
      </c>
      <c r="Z204" s="23">
        <f>IF(LEFT(T204,8)="Expense|",N(O204),0)+IF(LEFT(U204,8)="Expense|",N(N204),0)+IF(LEFT(V204,8)="Expense|",-N(L204),0)+IF(LEFT(W204,8)="Expense|",-N(M204),0)</f>
        <v/>
      </c>
      <c r="AA204" s="23">
        <f>IF(ISNUMBER(MATCH(T204,{"Expense|employee","Expense|general_admin","Expense|marketing","Expense|utilities","Expense|other_operating"},0)),N(O204),0)+IF(ISNUMBER(MATCH(U204,{"Expense|employee","Expense|general_admin","Expense|marketing","Expense|utilities","Expense|other_operating"},0)),N(N204),0)+IF(ISNUMBER(MATCH(V204,{"Expense|employee","Expense|general_admin","Expense|marketing","Expense|utilities","Expense|other_operating"},0)),-N(L204),0)+IF(ISNUMBER(MATCH(W204,{"Expense|employee","Expense|general_admin","Expense|marketing","Expense|utilities","Expense|other_operating"},0)),-N(M204),0)</f>
        <v/>
      </c>
      <c r="AB204" s="23">
        <f>IF(T204="Liability|payable",-N(O204),0)+IF(U204="Liability|payable",-N(N204),0)+IF(V204="Liability|payable",N(L204),0)+IF(W204="Liability|payable",N(M204),0)</f>
        <v/>
      </c>
      <c r="AC204" s="23">
        <f>IF(T204="Liability|accrued",-N(O204),0)+IF(U204="Liability|accrued",-N(N204),0)+IF(V204="Liability|accrued",N(L204),0)+IF(W204="Liability|accrued",N(M204),0)</f>
        <v/>
      </c>
      <c r="AD204" s="23">
        <f>IF(AND(N(O204)&lt;&gt;0,T204=""),1,0)+IF(AND(N(N204)&lt;&gt;0,U204=""),1,0)+IF(AND(N(L204)&lt;&gt;0,V204=""),1,0)+IF(AND(N(M204)&lt;&gt;0,W204=""),1,0)</f>
        <v/>
      </c>
    </row>
  </sheetData>
  <autoFilter ref="A4:S204"/>
  <dataValidations count="7">
    <dataValidation sqref="B5:B205" showDropDown="0" showInputMessage="0" showErrorMessage="1" allowBlank="1" error="Enter a date (YYYY-MM-DD)" type="date" operator="greaterThan">
      <formula1>DATE(2000,1,1)</formula1>
    </dataValidation>
    <dataValidation sqref="C5:C205" showDropDown="0" showInputMessage="0" showErrorMessage="1" allowBlank="1" type="list">
      <formula1>'Business Units'!$A$5:$A$3000</formula1>
    </dataValidation>
    <dataValidation sqref="E5:E205" showDropDown="0" showInputMessage="0" showErrorMessage="1" allowBlank="1" type="list">
      <formula1>Lists!$S$1:$S$2</formula1>
    </dataValidation>
    <dataValidation sqref="F5:F205" showDropDown="0" showInputMessage="0" showErrorMessage="0" allowBlank="1" type="list">
      <formula1>'Chart of Accounts'!$A$5:$A$3000</formula1>
    </dataValidation>
    <dataValidation sqref="G5:G205" showDropDown="0" showInputMessage="0" showErrorMessage="0" allowBlank="1" type="list">
      <formula1>'Chart of Accounts'!$A$5:$A$3000</formula1>
    </dataValidation>
    <dataValidation sqref="I5:I205" showDropDown="0" showInputMessage="0" showErrorMessage="1" allowBlank="1" type="list">
      <formula1>'Tax Codes'!$A$5:$A$300</formula1>
    </dataValidation>
    <dataValidation sqref="J5:J205" showDropDown="0" showInputMessage="0" showErrorMessage="1" allowBlank="1" type="list">
      <formula1>'Tax Codes'!$A$5:$A$300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0"/>
    <pageSetUpPr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50" customWidth="1" min="5" max="5"/>
    <col width="8" customWidth="1" min="6" max="6"/>
    <col width="9" customWidth="1" min="7" max="7"/>
    <col width="14" customWidth="1" min="8" max="8"/>
    <col width="14" customWidth="1" min="9" max="9"/>
  </cols>
  <sheetData>
    <row r="1" ht="24" customHeight="1">
      <c r="A1" s="8" t="inlineStr">
        <is>
          <t>BEYOND DESIGN | INVOICE LINES</t>
        </is>
      </c>
    </row>
    <row r="2">
      <c r="A2" s="9" t="inlineStr">
        <is>
          <t>Lines of each sales invoice</t>
        </is>
      </c>
    </row>
    <row r="3">
      <c r="A3" s="10" t="inlineStr">
        <is>
          <t>e.g. INV-2026-001</t>
        </is>
      </c>
      <c r="B3" s="10" t="inlineStr">
        <is>
          <t>أعمال البياض</t>
        </is>
      </c>
      <c r="D3" s="10" t="inlineStr">
        <is>
          <t>3.1</t>
        </is>
      </c>
      <c r="E3" s="10" t="inlineStr">
        <is>
          <t>بياض حوائط</t>
        </is>
      </c>
      <c r="F3" s="10" t="inlineStr">
        <is>
          <t>م٢</t>
        </is>
      </c>
      <c r="G3" s="10" t="n">
        <v>150</v>
      </c>
      <c r="H3" s="10" t="n">
        <v>285</v>
      </c>
    </row>
    <row r="4" ht="30" customHeight="1">
      <c r="A4" s="11" t="inlineStr">
        <is>
          <t>Invoice No.</t>
        </is>
      </c>
      <c r="B4" s="11" t="inlineStr">
        <is>
          <t>Category</t>
        </is>
      </c>
      <c r="C4" s="11" t="inlineStr">
        <is>
          <t>Sub-category</t>
        </is>
      </c>
      <c r="D4" s="11" t="inlineStr">
        <is>
          <t>Item No.</t>
        </is>
      </c>
      <c r="E4" s="11" t="inlineStr">
        <is>
          <t>Description</t>
        </is>
      </c>
      <c r="F4" s="11" t="inlineStr">
        <is>
          <t>Unit</t>
        </is>
      </c>
      <c r="G4" s="11" t="inlineStr">
        <is>
          <t>Qty Executed</t>
        </is>
      </c>
      <c r="H4" s="11" t="inlineStr">
        <is>
          <t>Unit Price</t>
        </is>
      </c>
      <c r="I4" s="15" t="inlineStr">
        <is>
          <t>Amount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20" t="n"/>
      <c r="I5" s="21">
        <f>ROUND(N(G5)*N(H5),2)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20" t="n"/>
      <c r="I6" s="21">
        <f>ROUND(N(G6)*N(H6),2)</f>
        <v/>
      </c>
    </row>
    <row r="7">
      <c r="A7" s="14" t="n"/>
      <c r="B7" s="14" t="n"/>
      <c r="C7" s="14" t="n"/>
      <c r="D7" s="14" t="n"/>
      <c r="E7" s="14" t="n"/>
      <c r="F7" s="14" t="n"/>
      <c r="G7" s="14" t="n"/>
      <c r="H7" s="20" t="n"/>
      <c r="I7" s="21">
        <f>ROUND(N(G7)*N(H7),2)</f>
        <v/>
      </c>
    </row>
    <row r="8">
      <c r="A8" s="14" t="n"/>
      <c r="B8" s="14" t="n"/>
      <c r="C8" s="14" t="n"/>
      <c r="D8" s="14" t="n"/>
      <c r="E8" s="14" t="n"/>
      <c r="F8" s="14" t="n"/>
      <c r="G8" s="14" t="n"/>
      <c r="H8" s="20" t="n"/>
      <c r="I8" s="21">
        <f>ROUND(N(G8)*N(H8),2)</f>
        <v/>
      </c>
    </row>
    <row r="9">
      <c r="A9" s="14" t="n"/>
      <c r="B9" s="14" t="n"/>
      <c r="C9" s="14" t="n"/>
      <c r="D9" s="14" t="n"/>
      <c r="E9" s="14" t="n"/>
      <c r="F9" s="14" t="n"/>
      <c r="G9" s="14" t="n"/>
      <c r="H9" s="20" t="n"/>
      <c r="I9" s="21">
        <f>ROUND(N(G9)*N(H9),2)</f>
        <v/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20" t="n"/>
      <c r="I10" s="21">
        <f>ROUND(N(G10)*N(H10),2)</f>
        <v/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20" t="n"/>
      <c r="I11" s="21">
        <f>ROUND(N(G11)*N(H11),2)</f>
        <v/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20" t="n"/>
      <c r="I12" s="21">
        <f>ROUND(N(G12)*N(H12),2)</f>
        <v/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20" t="n"/>
      <c r="I13" s="21">
        <f>ROUND(N(G13)*N(H13),2)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20" t="n"/>
      <c r="I14" s="21">
        <f>ROUND(N(G14)*N(H14),2)</f>
        <v/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20" t="n"/>
      <c r="I15" s="21">
        <f>ROUND(N(G15)*N(H15),2)</f>
        <v/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20" t="n"/>
      <c r="I16" s="21">
        <f>ROUND(N(G16)*N(H16),2)</f>
        <v/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20" t="n"/>
      <c r="I17" s="21">
        <f>ROUND(N(G17)*N(H17),2)</f>
        <v/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20" t="n"/>
      <c r="I18" s="21">
        <f>ROUND(N(G18)*N(H18),2)</f>
        <v/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20" t="n"/>
      <c r="I19" s="21">
        <f>ROUND(N(G19)*N(H19),2)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20" t="n"/>
      <c r="I20" s="21">
        <f>ROUND(N(G20)*N(H20),2)</f>
        <v/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20" t="n"/>
      <c r="I21" s="21">
        <f>ROUND(N(G21)*N(H21),2)</f>
        <v/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20" t="n"/>
      <c r="I22" s="21">
        <f>ROUND(N(G22)*N(H22),2)</f>
        <v/>
      </c>
    </row>
    <row r="23">
      <c r="A23" s="14" t="n"/>
      <c r="B23" s="14" t="n"/>
      <c r="C23" s="14" t="n"/>
      <c r="D23" s="14" t="n"/>
      <c r="E23" s="14" t="n"/>
      <c r="F23" s="14" t="n"/>
      <c r="G23" s="14" t="n"/>
      <c r="H23" s="20" t="n"/>
      <c r="I23" s="21">
        <f>ROUND(N(G23)*N(H23),2)</f>
        <v/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20" t="n"/>
      <c r="I24" s="21">
        <f>ROUND(N(G24)*N(H24),2)</f>
        <v/>
      </c>
    </row>
    <row r="25">
      <c r="A25" s="14" t="n"/>
      <c r="B25" s="14" t="n"/>
      <c r="C25" s="14" t="n"/>
      <c r="D25" s="14" t="n"/>
      <c r="E25" s="14" t="n"/>
      <c r="F25" s="14" t="n"/>
      <c r="G25" s="14" t="n"/>
      <c r="H25" s="20" t="n"/>
      <c r="I25" s="21">
        <f>ROUND(N(G25)*N(H25),2)</f>
        <v/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20" t="n"/>
      <c r="I26" s="21">
        <f>ROUND(N(G26)*N(H26),2)</f>
        <v/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20" t="n"/>
      <c r="I27" s="21">
        <f>ROUND(N(G27)*N(H27),2)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20" t="n"/>
      <c r="I28" s="21">
        <f>ROUND(N(G28)*N(H28),2)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20" t="n"/>
      <c r="I29" s="21">
        <f>ROUND(N(G29)*N(H29),2)</f>
        <v/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20" t="n"/>
      <c r="I30" s="21">
        <f>ROUND(N(G30)*N(H30),2)</f>
        <v/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20" t="n"/>
      <c r="I31" s="21">
        <f>ROUND(N(G31)*N(H31),2)</f>
        <v/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20" t="n"/>
      <c r="I32" s="21">
        <f>ROUND(N(G32)*N(H32),2)</f>
        <v/>
      </c>
    </row>
    <row r="33">
      <c r="A33" s="14" t="n"/>
      <c r="B33" s="14" t="n"/>
      <c r="C33" s="14" t="n"/>
      <c r="D33" s="14" t="n"/>
      <c r="E33" s="14" t="n"/>
      <c r="F33" s="14" t="n"/>
      <c r="G33" s="14" t="n"/>
      <c r="H33" s="20" t="n"/>
      <c r="I33" s="21">
        <f>ROUND(N(G33)*N(H33),2)</f>
        <v/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20" t="n"/>
      <c r="I34" s="21">
        <f>ROUND(N(G34)*N(H34),2)</f>
        <v/>
      </c>
    </row>
    <row r="35">
      <c r="A35" s="14" t="n"/>
      <c r="B35" s="14" t="n"/>
      <c r="C35" s="14" t="n"/>
      <c r="D35" s="14" t="n"/>
      <c r="E35" s="14" t="n"/>
      <c r="F35" s="14" t="n"/>
      <c r="G35" s="14" t="n"/>
      <c r="H35" s="20" t="n"/>
      <c r="I35" s="21">
        <f>ROUND(N(G35)*N(H35),2)</f>
        <v/>
      </c>
    </row>
    <row r="36">
      <c r="A36" s="14" t="n"/>
      <c r="B36" s="14" t="n"/>
      <c r="C36" s="14" t="n"/>
      <c r="D36" s="14" t="n"/>
      <c r="E36" s="14" t="n"/>
      <c r="F36" s="14" t="n"/>
      <c r="G36" s="14" t="n"/>
      <c r="H36" s="20" t="n"/>
      <c r="I36" s="21">
        <f>ROUND(N(G36)*N(H36),2)</f>
        <v/>
      </c>
    </row>
    <row r="37">
      <c r="A37" s="14" t="n"/>
      <c r="B37" s="14" t="n"/>
      <c r="C37" s="14" t="n"/>
      <c r="D37" s="14" t="n"/>
      <c r="E37" s="14" t="n"/>
      <c r="F37" s="14" t="n"/>
      <c r="G37" s="14" t="n"/>
      <c r="H37" s="20" t="n"/>
      <c r="I37" s="21">
        <f>ROUND(N(G37)*N(H37),2)</f>
        <v/>
      </c>
    </row>
    <row r="38">
      <c r="A38" s="14" t="n"/>
      <c r="B38" s="14" t="n"/>
      <c r="C38" s="14" t="n"/>
      <c r="D38" s="14" t="n"/>
      <c r="E38" s="14" t="n"/>
      <c r="F38" s="14" t="n"/>
      <c r="G38" s="14" t="n"/>
      <c r="H38" s="20" t="n"/>
      <c r="I38" s="21">
        <f>ROUND(N(G38)*N(H38),2)</f>
        <v/>
      </c>
    </row>
    <row r="39">
      <c r="A39" s="14" t="n"/>
      <c r="B39" s="14" t="n"/>
      <c r="C39" s="14" t="n"/>
      <c r="D39" s="14" t="n"/>
      <c r="E39" s="14" t="n"/>
      <c r="F39" s="14" t="n"/>
      <c r="G39" s="14" t="n"/>
      <c r="H39" s="20" t="n"/>
      <c r="I39" s="21">
        <f>ROUND(N(G39)*N(H39),2)</f>
        <v/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20" t="n"/>
      <c r="I40" s="21">
        <f>ROUND(N(G40)*N(H40),2)</f>
        <v/>
      </c>
    </row>
    <row r="41">
      <c r="A41" s="14" t="n"/>
      <c r="B41" s="14" t="n"/>
      <c r="C41" s="14" t="n"/>
      <c r="D41" s="14" t="n"/>
      <c r="E41" s="14" t="n"/>
      <c r="F41" s="14" t="n"/>
      <c r="G41" s="14" t="n"/>
      <c r="H41" s="20" t="n"/>
      <c r="I41" s="21">
        <f>ROUND(N(G41)*N(H41),2)</f>
        <v/>
      </c>
    </row>
    <row r="42">
      <c r="A42" s="14" t="n"/>
      <c r="B42" s="14" t="n"/>
      <c r="C42" s="14" t="n"/>
      <c r="D42" s="14" t="n"/>
      <c r="E42" s="14" t="n"/>
      <c r="F42" s="14" t="n"/>
      <c r="G42" s="14" t="n"/>
      <c r="H42" s="20" t="n"/>
      <c r="I42" s="21">
        <f>ROUND(N(G42)*N(H42),2)</f>
        <v/>
      </c>
    </row>
    <row r="43">
      <c r="A43" s="14" t="n"/>
      <c r="B43" s="14" t="n"/>
      <c r="C43" s="14" t="n"/>
      <c r="D43" s="14" t="n"/>
      <c r="E43" s="14" t="n"/>
      <c r="F43" s="14" t="n"/>
      <c r="G43" s="14" t="n"/>
      <c r="H43" s="20" t="n"/>
      <c r="I43" s="21">
        <f>ROUND(N(G43)*N(H43),2)</f>
        <v/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20" t="n"/>
      <c r="I44" s="21">
        <f>ROUND(N(G44)*N(H44),2)</f>
        <v/>
      </c>
    </row>
    <row r="45">
      <c r="A45" s="14" t="n"/>
      <c r="B45" s="14" t="n"/>
      <c r="C45" s="14" t="n"/>
      <c r="D45" s="14" t="n"/>
      <c r="E45" s="14" t="n"/>
      <c r="F45" s="14" t="n"/>
      <c r="G45" s="14" t="n"/>
      <c r="H45" s="20" t="n"/>
      <c r="I45" s="21">
        <f>ROUND(N(G45)*N(H45),2)</f>
        <v/>
      </c>
    </row>
    <row r="46">
      <c r="A46" s="14" t="n"/>
      <c r="B46" s="14" t="n"/>
      <c r="C46" s="14" t="n"/>
      <c r="D46" s="14" t="n"/>
      <c r="E46" s="14" t="n"/>
      <c r="F46" s="14" t="n"/>
      <c r="G46" s="14" t="n"/>
      <c r="H46" s="20" t="n"/>
      <c r="I46" s="21">
        <f>ROUND(N(G46)*N(H46),2)</f>
        <v/>
      </c>
    </row>
    <row r="47">
      <c r="A47" s="14" t="n"/>
      <c r="B47" s="14" t="n"/>
      <c r="C47" s="14" t="n"/>
      <c r="D47" s="14" t="n"/>
      <c r="E47" s="14" t="n"/>
      <c r="F47" s="14" t="n"/>
      <c r="G47" s="14" t="n"/>
      <c r="H47" s="20" t="n"/>
      <c r="I47" s="21">
        <f>ROUND(N(G47)*N(H47),2)</f>
        <v/>
      </c>
    </row>
    <row r="48">
      <c r="A48" s="14" t="n"/>
      <c r="B48" s="14" t="n"/>
      <c r="C48" s="14" t="n"/>
      <c r="D48" s="14" t="n"/>
      <c r="E48" s="14" t="n"/>
      <c r="F48" s="14" t="n"/>
      <c r="G48" s="14" t="n"/>
      <c r="H48" s="20" t="n"/>
      <c r="I48" s="21">
        <f>ROUND(N(G48)*N(H48),2)</f>
        <v/>
      </c>
    </row>
    <row r="49">
      <c r="A49" s="14" t="n"/>
      <c r="B49" s="14" t="n"/>
      <c r="C49" s="14" t="n"/>
      <c r="D49" s="14" t="n"/>
      <c r="E49" s="14" t="n"/>
      <c r="F49" s="14" t="n"/>
      <c r="G49" s="14" t="n"/>
      <c r="H49" s="20" t="n"/>
      <c r="I49" s="21">
        <f>ROUND(N(G49)*N(H49),2)</f>
        <v/>
      </c>
    </row>
    <row r="50">
      <c r="A50" s="14" t="n"/>
      <c r="B50" s="14" t="n"/>
      <c r="C50" s="14" t="n"/>
      <c r="D50" s="14" t="n"/>
      <c r="E50" s="14" t="n"/>
      <c r="F50" s="14" t="n"/>
      <c r="G50" s="14" t="n"/>
      <c r="H50" s="20" t="n"/>
      <c r="I50" s="21">
        <f>ROUND(N(G50)*N(H50),2)</f>
        <v/>
      </c>
    </row>
    <row r="51">
      <c r="A51" s="14" t="n"/>
      <c r="B51" s="14" t="n"/>
      <c r="C51" s="14" t="n"/>
      <c r="D51" s="14" t="n"/>
      <c r="E51" s="14" t="n"/>
      <c r="F51" s="14" t="n"/>
      <c r="G51" s="14" t="n"/>
      <c r="H51" s="20" t="n"/>
      <c r="I51" s="21">
        <f>ROUND(N(G51)*N(H51),2)</f>
        <v/>
      </c>
    </row>
    <row r="52">
      <c r="A52" s="14" t="n"/>
      <c r="B52" s="14" t="n"/>
      <c r="C52" s="14" t="n"/>
      <c r="D52" s="14" t="n"/>
      <c r="E52" s="14" t="n"/>
      <c r="F52" s="14" t="n"/>
      <c r="G52" s="14" t="n"/>
      <c r="H52" s="20" t="n"/>
      <c r="I52" s="21">
        <f>ROUND(N(G52)*N(H52),2)</f>
        <v/>
      </c>
    </row>
    <row r="53">
      <c r="A53" s="14" t="n"/>
      <c r="B53" s="14" t="n"/>
      <c r="C53" s="14" t="n"/>
      <c r="D53" s="14" t="n"/>
      <c r="E53" s="14" t="n"/>
      <c r="F53" s="14" t="n"/>
      <c r="G53" s="14" t="n"/>
      <c r="H53" s="20" t="n"/>
      <c r="I53" s="21">
        <f>ROUND(N(G53)*N(H53),2)</f>
        <v/>
      </c>
    </row>
    <row r="54">
      <c r="A54" s="14" t="n"/>
      <c r="B54" s="14" t="n"/>
      <c r="C54" s="14" t="n"/>
      <c r="D54" s="14" t="n"/>
      <c r="E54" s="14" t="n"/>
      <c r="F54" s="14" t="n"/>
      <c r="G54" s="14" t="n"/>
      <c r="H54" s="20" t="n"/>
      <c r="I54" s="21">
        <f>ROUND(N(G54)*N(H54),2)</f>
        <v/>
      </c>
    </row>
    <row r="55">
      <c r="A55" s="14" t="n"/>
      <c r="B55" s="14" t="n"/>
      <c r="C55" s="14" t="n"/>
      <c r="D55" s="14" t="n"/>
      <c r="E55" s="14" t="n"/>
      <c r="F55" s="14" t="n"/>
      <c r="G55" s="14" t="n"/>
      <c r="H55" s="20" t="n"/>
      <c r="I55" s="21">
        <f>ROUND(N(G55)*N(H55),2)</f>
        <v/>
      </c>
    </row>
    <row r="56">
      <c r="A56" s="14" t="n"/>
      <c r="B56" s="14" t="n"/>
      <c r="C56" s="14" t="n"/>
      <c r="D56" s="14" t="n"/>
      <c r="E56" s="14" t="n"/>
      <c r="F56" s="14" t="n"/>
      <c r="G56" s="14" t="n"/>
      <c r="H56" s="20" t="n"/>
      <c r="I56" s="21">
        <f>ROUND(N(G56)*N(H56),2)</f>
        <v/>
      </c>
    </row>
    <row r="57">
      <c r="A57" s="14" t="n"/>
      <c r="B57" s="14" t="n"/>
      <c r="C57" s="14" t="n"/>
      <c r="D57" s="14" t="n"/>
      <c r="E57" s="14" t="n"/>
      <c r="F57" s="14" t="n"/>
      <c r="G57" s="14" t="n"/>
      <c r="H57" s="20" t="n"/>
      <c r="I57" s="21">
        <f>ROUND(N(G57)*N(H57),2)</f>
        <v/>
      </c>
    </row>
    <row r="58">
      <c r="A58" s="14" t="n"/>
      <c r="B58" s="14" t="n"/>
      <c r="C58" s="14" t="n"/>
      <c r="D58" s="14" t="n"/>
      <c r="E58" s="14" t="n"/>
      <c r="F58" s="14" t="n"/>
      <c r="G58" s="14" t="n"/>
      <c r="H58" s="20" t="n"/>
      <c r="I58" s="21">
        <f>ROUND(N(G58)*N(H58),2)</f>
        <v/>
      </c>
    </row>
    <row r="59">
      <c r="A59" s="14" t="n"/>
      <c r="B59" s="14" t="n"/>
      <c r="C59" s="14" t="n"/>
      <c r="D59" s="14" t="n"/>
      <c r="E59" s="14" t="n"/>
      <c r="F59" s="14" t="n"/>
      <c r="G59" s="14" t="n"/>
      <c r="H59" s="20" t="n"/>
      <c r="I59" s="21">
        <f>ROUND(N(G59)*N(H59),2)</f>
        <v/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20" t="n"/>
      <c r="I60" s="21">
        <f>ROUND(N(G60)*N(H60),2)</f>
        <v/>
      </c>
    </row>
    <row r="61">
      <c r="A61" s="14" t="n"/>
      <c r="B61" s="14" t="n"/>
      <c r="C61" s="14" t="n"/>
      <c r="D61" s="14" t="n"/>
      <c r="E61" s="14" t="n"/>
      <c r="F61" s="14" t="n"/>
      <c r="G61" s="14" t="n"/>
      <c r="H61" s="20" t="n"/>
      <c r="I61" s="21">
        <f>ROUND(N(G61)*N(H61),2)</f>
        <v/>
      </c>
    </row>
    <row r="62">
      <c r="A62" s="14" t="n"/>
      <c r="B62" s="14" t="n"/>
      <c r="C62" s="14" t="n"/>
      <c r="D62" s="14" t="n"/>
      <c r="E62" s="14" t="n"/>
      <c r="F62" s="14" t="n"/>
      <c r="G62" s="14" t="n"/>
      <c r="H62" s="20" t="n"/>
      <c r="I62" s="21">
        <f>ROUND(N(G62)*N(H62),2)</f>
        <v/>
      </c>
    </row>
    <row r="63">
      <c r="A63" s="14" t="n"/>
      <c r="B63" s="14" t="n"/>
      <c r="C63" s="14" t="n"/>
      <c r="D63" s="14" t="n"/>
      <c r="E63" s="14" t="n"/>
      <c r="F63" s="14" t="n"/>
      <c r="G63" s="14" t="n"/>
      <c r="H63" s="20" t="n"/>
      <c r="I63" s="21">
        <f>ROUND(N(G63)*N(H63),2)</f>
        <v/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20" t="n"/>
      <c r="I64" s="21">
        <f>ROUND(N(G64)*N(H64),2)</f>
        <v/>
      </c>
    </row>
    <row r="65">
      <c r="A65" s="14" t="n"/>
      <c r="B65" s="14" t="n"/>
      <c r="C65" s="14" t="n"/>
      <c r="D65" s="14" t="n"/>
      <c r="E65" s="14" t="n"/>
      <c r="F65" s="14" t="n"/>
      <c r="G65" s="14" t="n"/>
      <c r="H65" s="20" t="n"/>
      <c r="I65" s="21">
        <f>ROUND(N(G65)*N(H65),2)</f>
        <v/>
      </c>
    </row>
    <row r="66">
      <c r="A66" s="14" t="n"/>
      <c r="B66" s="14" t="n"/>
      <c r="C66" s="14" t="n"/>
      <c r="D66" s="14" t="n"/>
      <c r="E66" s="14" t="n"/>
      <c r="F66" s="14" t="n"/>
      <c r="G66" s="14" t="n"/>
      <c r="H66" s="20" t="n"/>
      <c r="I66" s="21">
        <f>ROUND(N(G66)*N(H66),2)</f>
        <v/>
      </c>
    </row>
    <row r="67">
      <c r="A67" s="14" t="n"/>
      <c r="B67" s="14" t="n"/>
      <c r="C67" s="14" t="n"/>
      <c r="D67" s="14" t="n"/>
      <c r="E67" s="14" t="n"/>
      <c r="F67" s="14" t="n"/>
      <c r="G67" s="14" t="n"/>
      <c r="H67" s="20" t="n"/>
      <c r="I67" s="21">
        <f>ROUND(N(G67)*N(H67),2)</f>
        <v/>
      </c>
    </row>
    <row r="68">
      <c r="A68" s="14" t="n"/>
      <c r="B68" s="14" t="n"/>
      <c r="C68" s="14" t="n"/>
      <c r="D68" s="14" t="n"/>
      <c r="E68" s="14" t="n"/>
      <c r="F68" s="14" t="n"/>
      <c r="G68" s="14" t="n"/>
      <c r="H68" s="20" t="n"/>
      <c r="I68" s="21">
        <f>ROUND(N(G68)*N(H68),2)</f>
        <v/>
      </c>
    </row>
    <row r="69">
      <c r="A69" s="14" t="n"/>
      <c r="B69" s="14" t="n"/>
      <c r="C69" s="14" t="n"/>
      <c r="D69" s="14" t="n"/>
      <c r="E69" s="14" t="n"/>
      <c r="F69" s="14" t="n"/>
      <c r="G69" s="14" t="n"/>
      <c r="H69" s="20" t="n"/>
      <c r="I69" s="21">
        <f>ROUND(N(G69)*N(H69),2)</f>
        <v/>
      </c>
    </row>
    <row r="70">
      <c r="A70" s="14" t="n"/>
      <c r="B70" s="14" t="n"/>
      <c r="C70" s="14" t="n"/>
      <c r="D70" s="14" t="n"/>
      <c r="E70" s="14" t="n"/>
      <c r="F70" s="14" t="n"/>
      <c r="G70" s="14" t="n"/>
      <c r="H70" s="20" t="n"/>
      <c r="I70" s="21">
        <f>ROUND(N(G70)*N(H70),2)</f>
        <v/>
      </c>
    </row>
    <row r="71">
      <c r="A71" s="14" t="n"/>
      <c r="B71" s="14" t="n"/>
      <c r="C71" s="14" t="n"/>
      <c r="D71" s="14" t="n"/>
      <c r="E71" s="14" t="n"/>
      <c r="F71" s="14" t="n"/>
      <c r="G71" s="14" t="n"/>
      <c r="H71" s="20" t="n"/>
      <c r="I71" s="21">
        <f>ROUND(N(G71)*N(H71),2)</f>
        <v/>
      </c>
    </row>
    <row r="72">
      <c r="A72" s="14" t="n"/>
      <c r="B72" s="14" t="n"/>
      <c r="C72" s="14" t="n"/>
      <c r="D72" s="14" t="n"/>
      <c r="E72" s="14" t="n"/>
      <c r="F72" s="14" t="n"/>
      <c r="G72" s="14" t="n"/>
      <c r="H72" s="20" t="n"/>
      <c r="I72" s="21">
        <f>ROUND(N(G72)*N(H72),2)</f>
        <v/>
      </c>
    </row>
    <row r="73">
      <c r="A73" s="14" t="n"/>
      <c r="B73" s="14" t="n"/>
      <c r="C73" s="14" t="n"/>
      <c r="D73" s="14" t="n"/>
      <c r="E73" s="14" t="n"/>
      <c r="F73" s="14" t="n"/>
      <c r="G73" s="14" t="n"/>
      <c r="H73" s="20" t="n"/>
      <c r="I73" s="21">
        <f>ROUND(N(G73)*N(H73),2)</f>
        <v/>
      </c>
    </row>
    <row r="74">
      <c r="A74" s="14" t="n"/>
      <c r="B74" s="14" t="n"/>
      <c r="C74" s="14" t="n"/>
      <c r="D74" s="14" t="n"/>
      <c r="E74" s="14" t="n"/>
      <c r="F74" s="14" t="n"/>
      <c r="G74" s="14" t="n"/>
      <c r="H74" s="20" t="n"/>
      <c r="I74" s="21">
        <f>ROUND(N(G74)*N(H74),2)</f>
        <v/>
      </c>
    </row>
    <row r="75">
      <c r="A75" s="14" t="n"/>
      <c r="B75" s="14" t="n"/>
      <c r="C75" s="14" t="n"/>
      <c r="D75" s="14" t="n"/>
      <c r="E75" s="14" t="n"/>
      <c r="F75" s="14" t="n"/>
      <c r="G75" s="14" t="n"/>
      <c r="H75" s="20" t="n"/>
      <c r="I75" s="21">
        <f>ROUND(N(G75)*N(H75),2)</f>
        <v/>
      </c>
    </row>
    <row r="76">
      <c r="A76" s="14" t="n"/>
      <c r="B76" s="14" t="n"/>
      <c r="C76" s="14" t="n"/>
      <c r="D76" s="14" t="n"/>
      <c r="E76" s="14" t="n"/>
      <c r="F76" s="14" t="n"/>
      <c r="G76" s="14" t="n"/>
      <c r="H76" s="20" t="n"/>
      <c r="I76" s="21">
        <f>ROUND(N(G76)*N(H76),2)</f>
        <v/>
      </c>
    </row>
    <row r="77">
      <c r="A77" s="14" t="n"/>
      <c r="B77" s="14" t="n"/>
      <c r="C77" s="14" t="n"/>
      <c r="D77" s="14" t="n"/>
      <c r="E77" s="14" t="n"/>
      <c r="F77" s="14" t="n"/>
      <c r="G77" s="14" t="n"/>
      <c r="H77" s="20" t="n"/>
      <c r="I77" s="21">
        <f>ROUND(N(G77)*N(H77),2)</f>
        <v/>
      </c>
    </row>
    <row r="78">
      <c r="A78" s="14" t="n"/>
      <c r="B78" s="14" t="n"/>
      <c r="C78" s="14" t="n"/>
      <c r="D78" s="14" t="n"/>
      <c r="E78" s="14" t="n"/>
      <c r="F78" s="14" t="n"/>
      <c r="G78" s="14" t="n"/>
      <c r="H78" s="20" t="n"/>
      <c r="I78" s="21">
        <f>ROUND(N(G78)*N(H78),2)</f>
        <v/>
      </c>
    </row>
    <row r="79">
      <c r="A79" s="14" t="n"/>
      <c r="B79" s="14" t="n"/>
      <c r="C79" s="14" t="n"/>
      <c r="D79" s="14" t="n"/>
      <c r="E79" s="14" t="n"/>
      <c r="F79" s="14" t="n"/>
      <c r="G79" s="14" t="n"/>
      <c r="H79" s="20" t="n"/>
      <c r="I79" s="21">
        <f>ROUND(N(G79)*N(H79),2)</f>
        <v/>
      </c>
    </row>
    <row r="80">
      <c r="A80" s="14" t="n"/>
      <c r="B80" s="14" t="n"/>
      <c r="C80" s="14" t="n"/>
      <c r="D80" s="14" t="n"/>
      <c r="E80" s="14" t="n"/>
      <c r="F80" s="14" t="n"/>
      <c r="G80" s="14" t="n"/>
      <c r="H80" s="20" t="n"/>
      <c r="I80" s="21">
        <f>ROUND(N(G80)*N(H80),2)</f>
        <v/>
      </c>
    </row>
    <row r="81">
      <c r="A81" s="14" t="n"/>
      <c r="B81" s="14" t="n"/>
      <c r="C81" s="14" t="n"/>
      <c r="D81" s="14" t="n"/>
      <c r="E81" s="14" t="n"/>
      <c r="F81" s="14" t="n"/>
      <c r="G81" s="14" t="n"/>
      <c r="H81" s="20" t="n"/>
      <c r="I81" s="21">
        <f>ROUND(N(G81)*N(H81),2)</f>
        <v/>
      </c>
    </row>
    <row r="82">
      <c r="A82" s="14" t="n"/>
      <c r="B82" s="14" t="n"/>
      <c r="C82" s="14" t="n"/>
      <c r="D82" s="14" t="n"/>
      <c r="E82" s="14" t="n"/>
      <c r="F82" s="14" t="n"/>
      <c r="G82" s="14" t="n"/>
      <c r="H82" s="20" t="n"/>
      <c r="I82" s="21">
        <f>ROUND(N(G82)*N(H82),2)</f>
        <v/>
      </c>
    </row>
    <row r="83">
      <c r="A83" s="14" t="n"/>
      <c r="B83" s="14" t="n"/>
      <c r="C83" s="14" t="n"/>
      <c r="D83" s="14" t="n"/>
      <c r="E83" s="14" t="n"/>
      <c r="F83" s="14" t="n"/>
      <c r="G83" s="14" t="n"/>
      <c r="H83" s="20" t="n"/>
      <c r="I83" s="21">
        <f>ROUND(N(G83)*N(H83),2)</f>
        <v/>
      </c>
    </row>
    <row r="84">
      <c r="A84" s="14" t="n"/>
      <c r="B84" s="14" t="n"/>
      <c r="C84" s="14" t="n"/>
      <c r="D84" s="14" t="n"/>
      <c r="E84" s="14" t="n"/>
      <c r="F84" s="14" t="n"/>
      <c r="G84" s="14" t="n"/>
      <c r="H84" s="20" t="n"/>
      <c r="I84" s="21">
        <f>ROUND(N(G84)*N(H84),2)</f>
        <v/>
      </c>
    </row>
    <row r="85">
      <c r="A85" s="14" t="n"/>
      <c r="B85" s="14" t="n"/>
      <c r="C85" s="14" t="n"/>
      <c r="D85" s="14" t="n"/>
      <c r="E85" s="14" t="n"/>
      <c r="F85" s="14" t="n"/>
      <c r="G85" s="14" t="n"/>
      <c r="H85" s="20" t="n"/>
      <c r="I85" s="21">
        <f>ROUND(N(G85)*N(H85),2)</f>
        <v/>
      </c>
    </row>
    <row r="86">
      <c r="A86" s="14" t="n"/>
      <c r="B86" s="14" t="n"/>
      <c r="C86" s="14" t="n"/>
      <c r="D86" s="14" t="n"/>
      <c r="E86" s="14" t="n"/>
      <c r="F86" s="14" t="n"/>
      <c r="G86" s="14" t="n"/>
      <c r="H86" s="20" t="n"/>
      <c r="I86" s="21">
        <f>ROUND(N(G86)*N(H86),2)</f>
        <v/>
      </c>
    </row>
    <row r="87">
      <c r="A87" s="14" t="n"/>
      <c r="B87" s="14" t="n"/>
      <c r="C87" s="14" t="n"/>
      <c r="D87" s="14" t="n"/>
      <c r="E87" s="14" t="n"/>
      <c r="F87" s="14" t="n"/>
      <c r="G87" s="14" t="n"/>
      <c r="H87" s="20" t="n"/>
      <c r="I87" s="21">
        <f>ROUND(N(G87)*N(H87),2)</f>
        <v/>
      </c>
    </row>
    <row r="88">
      <c r="A88" s="14" t="n"/>
      <c r="B88" s="14" t="n"/>
      <c r="C88" s="14" t="n"/>
      <c r="D88" s="14" t="n"/>
      <c r="E88" s="14" t="n"/>
      <c r="F88" s="14" t="n"/>
      <c r="G88" s="14" t="n"/>
      <c r="H88" s="20" t="n"/>
      <c r="I88" s="21">
        <f>ROUND(N(G88)*N(H88),2)</f>
        <v/>
      </c>
    </row>
    <row r="89">
      <c r="A89" s="14" t="n"/>
      <c r="B89" s="14" t="n"/>
      <c r="C89" s="14" t="n"/>
      <c r="D89" s="14" t="n"/>
      <c r="E89" s="14" t="n"/>
      <c r="F89" s="14" t="n"/>
      <c r="G89" s="14" t="n"/>
      <c r="H89" s="20" t="n"/>
      <c r="I89" s="21">
        <f>ROUND(N(G89)*N(H89),2)</f>
        <v/>
      </c>
    </row>
    <row r="90">
      <c r="A90" s="14" t="n"/>
      <c r="B90" s="14" t="n"/>
      <c r="C90" s="14" t="n"/>
      <c r="D90" s="14" t="n"/>
      <c r="E90" s="14" t="n"/>
      <c r="F90" s="14" t="n"/>
      <c r="G90" s="14" t="n"/>
      <c r="H90" s="20" t="n"/>
      <c r="I90" s="21">
        <f>ROUND(N(G90)*N(H90),2)</f>
        <v/>
      </c>
    </row>
    <row r="91">
      <c r="A91" s="14" t="n"/>
      <c r="B91" s="14" t="n"/>
      <c r="C91" s="14" t="n"/>
      <c r="D91" s="14" t="n"/>
      <c r="E91" s="14" t="n"/>
      <c r="F91" s="14" t="n"/>
      <c r="G91" s="14" t="n"/>
      <c r="H91" s="20" t="n"/>
      <c r="I91" s="21">
        <f>ROUND(N(G91)*N(H91),2)</f>
        <v/>
      </c>
    </row>
    <row r="92">
      <c r="A92" s="14" t="n"/>
      <c r="B92" s="14" t="n"/>
      <c r="C92" s="14" t="n"/>
      <c r="D92" s="14" t="n"/>
      <c r="E92" s="14" t="n"/>
      <c r="F92" s="14" t="n"/>
      <c r="G92" s="14" t="n"/>
      <c r="H92" s="20" t="n"/>
      <c r="I92" s="21">
        <f>ROUND(N(G92)*N(H92),2)</f>
        <v/>
      </c>
    </row>
    <row r="93">
      <c r="A93" s="14" t="n"/>
      <c r="B93" s="14" t="n"/>
      <c r="C93" s="14" t="n"/>
      <c r="D93" s="14" t="n"/>
      <c r="E93" s="14" t="n"/>
      <c r="F93" s="14" t="n"/>
      <c r="G93" s="14" t="n"/>
      <c r="H93" s="20" t="n"/>
      <c r="I93" s="21">
        <f>ROUND(N(G93)*N(H93),2)</f>
        <v/>
      </c>
    </row>
    <row r="94">
      <c r="A94" s="14" t="n"/>
      <c r="B94" s="14" t="n"/>
      <c r="C94" s="14" t="n"/>
      <c r="D94" s="14" t="n"/>
      <c r="E94" s="14" t="n"/>
      <c r="F94" s="14" t="n"/>
      <c r="G94" s="14" t="n"/>
      <c r="H94" s="20" t="n"/>
      <c r="I94" s="21">
        <f>ROUND(N(G94)*N(H94),2)</f>
        <v/>
      </c>
    </row>
    <row r="95">
      <c r="A95" s="14" t="n"/>
      <c r="B95" s="14" t="n"/>
      <c r="C95" s="14" t="n"/>
      <c r="D95" s="14" t="n"/>
      <c r="E95" s="14" t="n"/>
      <c r="F95" s="14" t="n"/>
      <c r="G95" s="14" t="n"/>
      <c r="H95" s="20" t="n"/>
      <c r="I95" s="21">
        <f>ROUND(N(G95)*N(H95),2)</f>
        <v/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20" t="n"/>
      <c r="I96" s="21">
        <f>ROUND(N(G96)*N(H96),2)</f>
        <v/>
      </c>
    </row>
    <row r="97">
      <c r="A97" s="14" t="n"/>
      <c r="B97" s="14" t="n"/>
      <c r="C97" s="14" t="n"/>
      <c r="D97" s="14" t="n"/>
      <c r="E97" s="14" t="n"/>
      <c r="F97" s="14" t="n"/>
      <c r="G97" s="14" t="n"/>
      <c r="H97" s="20" t="n"/>
      <c r="I97" s="21">
        <f>ROUND(N(G97)*N(H97),2)</f>
        <v/>
      </c>
    </row>
    <row r="98">
      <c r="A98" s="14" t="n"/>
      <c r="B98" s="14" t="n"/>
      <c r="C98" s="14" t="n"/>
      <c r="D98" s="14" t="n"/>
      <c r="E98" s="14" t="n"/>
      <c r="F98" s="14" t="n"/>
      <c r="G98" s="14" t="n"/>
      <c r="H98" s="20" t="n"/>
      <c r="I98" s="21">
        <f>ROUND(N(G98)*N(H98),2)</f>
        <v/>
      </c>
    </row>
    <row r="99">
      <c r="A99" s="14" t="n"/>
      <c r="B99" s="14" t="n"/>
      <c r="C99" s="14" t="n"/>
      <c r="D99" s="14" t="n"/>
      <c r="E99" s="14" t="n"/>
      <c r="F99" s="14" t="n"/>
      <c r="G99" s="14" t="n"/>
      <c r="H99" s="20" t="n"/>
      <c r="I99" s="21">
        <f>ROUND(N(G99)*N(H99),2)</f>
        <v/>
      </c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20" t="n"/>
      <c r="I100" s="21">
        <f>ROUND(N(G100)*N(H100),2)</f>
        <v/>
      </c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20" t="n"/>
      <c r="I101" s="21">
        <f>ROUND(N(G101)*N(H101),2)</f>
        <v/>
      </c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20" t="n"/>
      <c r="I102" s="21">
        <f>ROUND(N(G102)*N(H102),2)</f>
        <v/>
      </c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20" t="n"/>
      <c r="I103" s="21">
        <f>ROUND(N(G103)*N(H103),2)</f>
        <v/>
      </c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20" t="n"/>
      <c r="I104" s="21">
        <f>ROUND(N(G104)*N(H104),2)</f>
        <v/>
      </c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20" t="n"/>
      <c r="I105" s="21">
        <f>ROUND(N(G105)*N(H105),2)</f>
        <v/>
      </c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20" t="n"/>
      <c r="I106" s="21">
        <f>ROUND(N(G106)*N(H106),2)</f>
        <v/>
      </c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20" t="n"/>
      <c r="I107" s="21">
        <f>ROUND(N(G107)*N(H107),2)</f>
        <v/>
      </c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20" t="n"/>
      <c r="I108" s="21">
        <f>ROUND(N(G108)*N(H108),2)</f>
        <v/>
      </c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20" t="n"/>
      <c r="I109" s="21">
        <f>ROUND(N(G109)*N(H109),2)</f>
        <v/>
      </c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20" t="n"/>
      <c r="I110" s="21">
        <f>ROUND(N(G110)*N(H110),2)</f>
        <v/>
      </c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20" t="n"/>
      <c r="I111" s="21">
        <f>ROUND(N(G111)*N(H111),2)</f>
        <v/>
      </c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20" t="n"/>
      <c r="I112" s="21">
        <f>ROUND(N(G112)*N(H112),2)</f>
        <v/>
      </c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20" t="n"/>
      <c r="I113" s="21">
        <f>ROUND(N(G113)*N(H113),2)</f>
        <v/>
      </c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20" t="n"/>
      <c r="I114" s="21">
        <f>ROUND(N(G114)*N(H114),2)</f>
        <v/>
      </c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20" t="n"/>
      <c r="I115" s="21">
        <f>ROUND(N(G115)*N(H115),2)</f>
        <v/>
      </c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20" t="n"/>
      <c r="I116" s="21">
        <f>ROUND(N(G116)*N(H116),2)</f>
        <v/>
      </c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20" t="n"/>
      <c r="I117" s="21">
        <f>ROUND(N(G117)*N(H117),2)</f>
        <v/>
      </c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20" t="n"/>
      <c r="I118" s="21">
        <f>ROUND(N(G118)*N(H118),2)</f>
        <v/>
      </c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20" t="n"/>
      <c r="I119" s="21">
        <f>ROUND(N(G119)*N(H119),2)</f>
        <v/>
      </c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20" t="n"/>
      <c r="I120" s="21">
        <f>ROUND(N(G120)*N(H120),2)</f>
        <v/>
      </c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20" t="n"/>
      <c r="I121" s="21">
        <f>ROUND(N(G121)*N(H121),2)</f>
        <v/>
      </c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20" t="n"/>
      <c r="I122" s="21">
        <f>ROUND(N(G122)*N(H122),2)</f>
        <v/>
      </c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20" t="n"/>
      <c r="I123" s="21">
        <f>ROUND(N(G123)*N(H123),2)</f>
        <v/>
      </c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20" t="n"/>
      <c r="I124" s="21">
        <f>ROUND(N(G124)*N(H124),2)</f>
        <v/>
      </c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20" t="n"/>
      <c r="I125" s="21">
        <f>ROUND(N(G125)*N(H125),2)</f>
        <v/>
      </c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20" t="n"/>
      <c r="I126" s="21">
        <f>ROUND(N(G126)*N(H126),2)</f>
        <v/>
      </c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20" t="n"/>
      <c r="I127" s="21">
        <f>ROUND(N(G127)*N(H127),2)</f>
        <v/>
      </c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20" t="n"/>
      <c r="I128" s="21">
        <f>ROUND(N(G128)*N(H128),2)</f>
        <v/>
      </c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20" t="n"/>
      <c r="I129" s="21">
        <f>ROUND(N(G129)*N(H129),2)</f>
        <v/>
      </c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20" t="n"/>
      <c r="I130" s="21">
        <f>ROUND(N(G130)*N(H130),2)</f>
        <v/>
      </c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20" t="n"/>
      <c r="I131" s="21">
        <f>ROUND(N(G131)*N(H131),2)</f>
        <v/>
      </c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20" t="n"/>
      <c r="I132" s="21">
        <f>ROUND(N(G132)*N(H132),2)</f>
        <v/>
      </c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20" t="n"/>
      <c r="I133" s="21">
        <f>ROUND(N(G133)*N(H133),2)</f>
        <v/>
      </c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20" t="n"/>
      <c r="I134" s="21">
        <f>ROUND(N(G134)*N(H134),2)</f>
        <v/>
      </c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20" t="n"/>
      <c r="I135" s="21">
        <f>ROUND(N(G135)*N(H135),2)</f>
        <v/>
      </c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20" t="n"/>
      <c r="I136" s="21">
        <f>ROUND(N(G136)*N(H136),2)</f>
        <v/>
      </c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20" t="n"/>
      <c r="I137" s="21">
        <f>ROUND(N(G137)*N(H137),2)</f>
        <v/>
      </c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20" t="n"/>
      <c r="I138" s="21">
        <f>ROUND(N(G138)*N(H138),2)</f>
        <v/>
      </c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20" t="n"/>
      <c r="I139" s="21">
        <f>ROUND(N(G139)*N(H139),2)</f>
        <v/>
      </c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20" t="n"/>
      <c r="I140" s="21">
        <f>ROUND(N(G140)*N(H140),2)</f>
        <v/>
      </c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20" t="n"/>
      <c r="I141" s="21">
        <f>ROUND(N(G141)*N(H141),2)</f>
        <v/>
      </c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20" t="n"/>
      <c r="I142" s="21">
        <f>ROUND(N(G142)*N(H142),2)</f>
        <v/>
      </c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20" t="n"/>
      <c r="I143" s="21">
        <f>ROUND(N(G143)*N(H143),2)</f>
        <v/>
      </c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20" t="n"/>
      <c r="I144" s="21">
        <f>ROUND(N(G144)*N(H144),2)</f>
        <v/>
      </c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20" t="n"/>
      <c r="I145" s="21">
        <f>ROUND(N(G145)*N(H145),2)</f>
        <v/>
      </c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20" t="n"/>
      <c r="I146" s="21">
        <f>ROUND(N(G146)*N(H146),2)</f>
        <v/>
      </c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20" t="n"/>
      <c r="I147" s="21">
        <f>ROUND(N(G147)*N(H147),2)</f>
        <v/>
      </c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20" t="n"/>
      <c r="I148" s="21">
        <f>ROUND(N(G148)*N(H148),2)</f>
        <v/>
      </c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20" t="n"/>
      <c r="I149" s="21">
        <f>ROUND(N(G149)*N(H149),2)</f>
        <v/>
      </c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20" t="n"/>
      <c r="I150" s="21">
        <f>ROUND(N(G150)*N(H150),2)</f>
        <v/>
      </c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20" t="n"/>
      <c r="I151" s="21">
        <f>ROUND(N(G151)*N(H151),2)</f>
        <v/>
      </c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20" t="n"/>
      <c r="I152" s="21">
        <f>ROUND(N(G152)*N(H152),2)</f>
        <v/>
      </c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20" t="n"/>
      <c r="I153" s="21">
        <f>ROUND(N(G153)*N(H153),2)</f>
        <v/>
      </c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20" t="n"/>
      <c r="I154" s="21">
        <f>ROUND(N(G154)*N(H154),2)</f>
        <v/>
      </c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20" t="n"/>
      <c r="I155" s="21">
        <f>ROUND(N(G155)*N(H155),2)</f>
        <v/>
      </c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20" t="n"/>
      <c r="I156" s="21">
        <f>ROUND(N(G156)*N(H156),2)</f>
        <v/>
      </c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20" t="n"/>
      <c r="I157" s="21">
        <f>ROUND(N(G157)*N(H157),2)</f>
        <v/>
      </c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20" t="n"/>
      <c r="I158" s="21">
        <f>ROUND(N(G158)*N(H158),2)</f>
        <v/>
      </c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20" t="n"/>
      <c r="I159" s="21">
        <f>ROUND(N(G159)*N(H159),2)</f>
        <v/>
      </c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20" t="n"/>
      <c r="I160" s="21">
        <f>ROUND(N(G160)*N(H160),2)</f>
        <v/>
      </c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20" t="n"/>
      <c r="I161" s="21">
        <f>ROUND(N(G161)*N(H161),2)</f>
        <v/>
      </c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20" t="n"/>
      <c r="I162" s="21">
        <f>ROUND(N(G162)*N(H162),2)</f>
        <v/>
      </c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20" t="n"/>
      <c r="I163" s="21">
        <f>ROUND(N(G163)*N(H163),2)</f>
        <v/>
      </c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20" t="n"/>
      <c r="I164" s="21">
        <f>ROUND(N(G164)*N(H164),2)</f>
        <v/>
      </c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20" t="n"/>
      <c r="I165" s="21">
        <f>ROUND(N(G165)*N(H165),2)</f>
        <v/>
      </c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20" t="n"/>
      <c r="I166" s="21">
        <f>ROUND(N(G166)*N(H166),2)</f>
        <v/>
      </c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20" t="n"/>
      <c r="I167" s="21">
        <f>ROUND(N(G167)*N(H167),2)</f>
        <v/>
      </c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20" t="n"/>
      <c r="I168" s="21">
        <f>ROUND(N(G168)*N(H168),2)</f>
        <v/>
      </c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20" t="n"/>
      <c r="I169" s="21">
        <f>ROUND(N(G169)*N(H169),2)</f>
        <v/>
      </c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20" t="n"/>
      <c r="I170" s="21">
        <f>ROUND(N(G170)*N(H170),2)</f>
        <v/>
      </c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20" t="n"/>
      <c r="I171" s="21">
        <f>ROUND(N(G171)*N(H171),2)</f>
        <v/>
      </c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20" t="n"/>
      <c r="I172" s="21">
        <f>ROUND(N(G172)*N(H172),2)</f>
        <v/>
      </c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20" t="n"/>
      <c r="I173" s="21">
        <f>ROUND(N(G173)*N(H173),2)</f>
        <v/>
      </c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20" t="n"/>
      <c r="I174" s="21">
        <f>ROUND(N(G174)*N(H174),2)</f>
        <v/>
      </c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20" t="n"/>
      <c r="I175" s="21">
        <f>ROUND(N(G175)*N(H175),2)</f>
        <v/>
      </c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20" t="n"/>
      <c r="I176" s="21">
        <f>ROUND(N(G176)*N(H176),2)</f>
        <v/>
      </c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20" t="n"/>
      <c r="I177" s="21">
        <f>ROUND(N(G177)*N(H177),2)</f>
        <v/>
      </c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20" t="n"/>
      <c r="I178" s="21">
        <f>ROUND(N(G178)*N(H178),2)</f>
        <v/>
      </c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20" t="n"/>
      <c r="I179" s="21">
        <f>ROUND(N(G179)*N(H179),2)</f>
        <v/>
      </c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20" t="n"/>
      <c r="I180" s="21">
        <f>ROUND(N(G180)*N(H180),2)</f>
        <v/>
      </c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20" t="n"/>
      <c r="I181" s="21">
        <f>ROUND(N(G181)*N(H181),2)</f>
        <v/>
      </c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20" t="n"/>
      <c r="I182" s="21">
        <f>ROUND(N(G182)*N(H182),2)</f>
        <v/>
      </c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20" t="n"/>
      <c r="I183" s="21">
        <f>ROUND(N(G183)*N(H183),2)</f>
        <v/>
      </c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20" t="n"/>
      <c r="I184" s="21">
        <f>ROUND(N(G184)*N(H184),2)</f>
        <v/>
      </c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20" t="n"/>
      <c r="I185" s="21">
        <f>ROUND(N(G185)*N(H185),2)</f>
        <v/>
      </c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20" t="n"/>
      <c r="I186" s="21">
        <f>ROUND(N(G186)*N(H186),2)</f>
        <v/>
      </c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20" t="n"/>
      <c r="I187" s="21">
        <f>ROUND(N(G187)*N(H187),2)</f>
        <v/>
      </c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20" t="n"/>
      <c r="I188" s="21">
        <f>ROUND(N(G188)*N(H188),2)</f>
        <v/>
      </c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20" t="n"/>
      <c r="I189" s="21">
        <f>ROUND(N(G189)*N(H189),2)</f>
        <v/>
      </c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20" t="n"/>
      <c r="I190" s="21">
        <f>ROUND(N(G190)*N(H190),2)</f>
        <v/>
      </c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20" t="n"/>
      <c r="I191" s="21">
        <f>ROUND(N(G191)*N(H191),2)</f>
        <v/>
      </c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20" t="n"/>
      <c r="I192" s="21">
        <f>ROUND(N(G192)*N(H192),2)</f>
        <v/>
      </c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20" t="n"/>
      <c r="I193" s="21">
        <f>ROUND(N(G193)*N(H193),2)</f>
        <v/>
      </c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20" t="n"/>
      <c r="I194" s="21">
        <f>ROUND(N(G194)*N(H194),2)</f>
        <v/>
      </c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20" t="n"/>
      <c r="I195" s="21">
        <f>ROUND(N(G195)*N(H195),2)</f>
        <v/>
      </c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20" t="n"/>
      <c r="I196" s="21">
        <f>ROUND(N(G196)*N(H196),2)</f>
        <v/>
      </c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20" t="n"/>
      <c r="I197" s="21">
        <f>ROUND(N(G197)*N(H197),2)</f>
        <v/>
      </c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20" t="n"/>
      <c r="I198" s="21">
        <f>ROUND(N(G198)*N(H198),2)</f>
        <v/>
      </c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20" t="n"/>
      <c r="I199" s="21">
        <f>ROUND(N(G199)*N(H199),2)</f>
        <v/>
      </c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20" t="n"/>
      <c r="I200" s="21">
        <f>ROUND(N(G200)*N(H200),2)</f>
        <v/>
      </c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20" t="n"/>
      <c r="I201" s="21">
        <f>ROUND(N(G201)*N(H201),2)</f>
        <v/>
      </c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20" t="n"/>
      <c r="I202" s="21">
        <f>ROUND(N(G202)*N(H202),2)</f>
        <v/>
      </c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20" t="n"/>
      <c r="I203" s="21">
        <f>ROUND(N(G203)*N(H203),2)</f>
        <v/>
      </c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20" t="n"/>
      <c r="I204" s="21">
        <f>ROUND(N(G204)*N(H204),2)</f>
        <v/>
      </c>
    </row>
  </sheetData>
  <autoFilter ref="A4:I20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0"/>
    <pageSetUpPr/>
  </sheetPr>
  <dimension ref="A1:T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hidden="1" outlineLevel="1" width="10" customWidth="1" min="10" max="10"/>
    <col hidden="1" outlineLevel="1" width="10" customWidth="1" min="11" max="11"/>
    <col hidden="1" outlineLevel="1" width="10" customWidth="1" min="12" max="12"/>
    <col hidden="1" outlineLevel="1" width="10" customWidth="1" min="13" max="13"/>
    <col hidden="1" outlineLevel="1" width="10" customWidth="1" min="14" max="14"/>
    <col hidden="1" outlineLevel="1" width="10" customWidth="1" min="15" max="15"/>
    <col hidden="1" outlineLevel="1" width="10" customWidth="1" min="16" max="16"/>
    <col hidden="1" outlineLevel="1" width="10" customWidth="1" min="17" max="17"/>
    <col hidden="1" outlineLevel="1" width="10" customWidth="1" min="18" max="18"/>
    <col hidden="1" outlineLevel="1" width="10" customWidth="1" min="19" max="19"/>
    <col hidden="1" outlineLevel="1" width="10" customWidth="1" min="20" max="20"/>
  </cols>
  <sheetData>
    <row r="1" ht="24" customHeight="1">
      <c r="A1" s="8" t="inlineStr">
        <is>
          <t>BEYOND DESIGN | PAYMENT VOUCHERS</t>
        </is>
      </c>
    </row>
    <row r="2">
      <c r="A2" s="9" t="inlineStr">
        <is>
          <t>Payments settling what we owe suppliers, subcontractors and workers</t>
        </is>
      </c>
    </row>
    <row r="3">
      <c r="A3" s="10" t="inlineStr">
        <is>
          <t>e.g. 2026-10-10</t>
        </is>
      </c>
      <c r="B3" s="10" t="inlineStr">
        <is>
          <t>El-Masry Supplies</t>
        </is>
      </c>
      <c r="C3" s="10" t="inlineStr">
        <is>
          <t>2010</t>
        </is>
      </c>
      <c r="D3" s="10" t="n">
        <v>1840</v>
      </c>
      <c r="E3" s="10" t="inlineStr">
        <is>
          <t>Cash</t>
        </is>
      </c>
      <c r="H3" s="10" t="inlineStr">
        <is>
          <t>PV-001</t>
        </is>
      </c>
    </row>
    <row r="4" ht="30" customHeight="1">
      <c r="A4" s="11" t="inlineStr">
        <is>
          <t>Date</t>
        </is>
      </c>
      <c r="B4" s="11" t="inlineStr">
        <is>
          <t>Payee</t>
        </is>
      </c>
      <c r="C4" s="11" t="inlineStr">
        <is>
          <t>Pay Against Account</t>
        </is>
      </c>
      <c r="D4" s="11" t="inlineStr">
        <is>
          <t>Amount</t>
        </is>
      </c>
      <c r="E4" s="11" t="inlineStr">
        <is>
          <t>Payment Method</t>
        </is>
      </c>
      <c r="F4" s="11" t="inlineStr">
        <is>
          <t>Paid From</t>
        </is>
      </c>
      <c r="G4" s="11" t="inlineStr">
        <is>
          <t>Business Unit</t>
        </is>
      </c>
      <c r="H4" s="11" t="inlineStr">
        <is>
          <t>Voucher No.</t>
        </is>
      </c>
      <c r="I4" s="11" t="inlineStr">
        <is>
          <t>Description</t>
        </is>
      </c>
      <c r="J4" s="15" t="inlineStr">
        <is>
          <t>against (effective)</t>
        </is>
      </c>
      <c r="K4" s="15" t="inlineStr">
        <is>
          <t>paid_from (effective)</t>
        </is>
      </c>
      <c r="L4" s="22" t="inlineStr">
        <is>
          <t>leg 1 type</t>
        </is>
      </c>
      <c r="M4" s="22" t="inlineStr">
        <is>
          <t>leg 2 type</t>
        </is>
      </c>
      <c r="N4" s="22" t="inlineStr">
        <is>
          <t>revenue</t>
        </is>
      </c>
      <c r="O4" s="22" t="inlineStr">
        <is>
          <t>cost of sales</t>
        </is>
      </c>
      <c r="P4" s="22" t="inlineStr">
        <is>
          <t>expenses</t>
        </is>
      </c>
      <c r="Q4" s="22" t="inlineStr">
        <is>
          <t>operating expenses</t>
        </is>
      </c>
      <c r="R4" s="22" t="inlineStr">
        <is>
          <t>payables</t>
        </is>
      </c>
      <c r="S4" s="22" t="inlineStr">
        <is>
          <t>accruals</t>
        </is>
      </c>
      <c r="T4" s="22" t="inlineStr">
        <is>
          <t>unknown account</t>
        </is>
      </c>
    </row>
    <row r="5">
      <c r="A5" s="19" t="n"/>
      <c r="B5" s="14" t="n"/>
      <c r="C5" s="14" t="n"/>
      <c r="D5" s="20" t="n"/>
      <c r="E5" s="14" t="n"/>
      <c r="F5" s="14" t="n"/>
      <c r="G5" s="14" t="n"/>
      <c r="H5" s="14" t="n"/>
      <c r="I5" s="14" t="n"/>
      <c r="J5" s="16">
        <f>IF(C5="",INDEX('Chart of Accounts'!$A$5:$A$3000,MATCH("ap",'Chart of Accounts'!$F$5:$F$3000,0)),C5&amp;"")</f>
        <v/>
      </c>
      <c r="K5" s="16">
        <f>IF(F5="",INDEX('Chart of Accounts'!$A$5:$A$3000,MATCH("bank",'Chart of Accounts'!$F$5:$F$3000,0)),F5&amp;"")</f>
        <v/>
      </c>
      <c r="L5" s="23">
        <f>IFERROR(INDEX('Chart of Accounts'!$C$5:$C$3000,MATCH(J5&amp;"",'Chart of Accounts'!$A$5:$A$3000,0))&amp;"|"&amp;INDEX('Chart of Accounts'!$D$5:$D$3000,MATCH(J5&amp;"",'Chart of Accounts'!$A$5:$A$3000,0)),"")</f>
        <v/>
      </c>
      <c r="M5" s="23">
        <f>IFERROR(INDEX('Chart of Accounts'!$C$5:$C$3000,MATCH(K5&amp;"",'Chart of Accounts'!$A$5:$A$3000,0))&amp;"|"&amp;INDEX('Chart of Accounts'!$D$5:$D$3000,MATCH(K5&amp;"",'Chart of Accounts'!$A$5:$A$3000,0)),"")</f>
        <v/>
      </c>
      <c r="N5" s="23">
        <f>IF(LEFT(L5,8)="Revenue|",-N(D5),0)+IF(LEFT(M5,8)="Revenue|",N(D5),0)</f>
        <v/>
      </c>
      <c r="O5" s="23">
        <f>IF(LEFT(L5,5)="COGS|",N(D5),0)+IF(LEFT(M5,5)="COGS|",-N(D5),0)</f>
        <v/>
      </c>
      <c r="P5" s="23">
        <f>IF(LEFT(L5,8)="Expense|",N(D5),0)+IF(LEFT(M5,8)="Expense|",-N(D5),0)</f>
        <v/>
      </c>
      <c r="Q5" s="23">
        <f>IF(ISNUMBER(MATCH(L5,{"Expense|employee","Expense|general_admin","Expense|marketing","Expense|utilities","Expense|other_operating"},0)),N(D5),0)+IF(ISNUMBER(MATCH(M5,{"Expense|employee","Expense|general_admin","Expense|marketing","Expense|utilities","Expense|other_operating"},0)),-N(D5),0)</f>
        <v/>
      </c>
      <c r="R5" s="23">
        <f>IF(L5="Liability|payable",-N(D5),0)+IF(M5="Liability|payable",N(D5),0)</f>
        <v/>
      </c>
      <c r="S5" s="23">
        <f>IF(L5="Liability|accrued",-N(D5),0)+IF(M5="Liability|accrued",N(D5),0)</f>
        <v/>
      </c>
      <c r="T5" s="23">
        <f>IF(AND(N(D5)&lt;&gt;0,L5=""),1,0)+IF(AND(N(D5)&lt;&gt;0,M5=""),1,0)</f>
        <v/>
      </c>
    </row>
    <row r="6">
      <c r="A6" s="19" t="n"/>
      <c r="B6" s="14" t="n"/>
      <c r="C6" s="14" t="n"/>
      <c r="D6" s="20" t="n"/>
      <c r="E6" s="14" t="n"/>
      <c r="F6" s="14" t="n"/>
      <c r="G6" s="14" t="n"/>
      <c r="H6" s="14" t="n"/>
      <c r="I6" s="14" t="n"/>
      <c r="J6" s="16">
        <f>IF(C6="",INDEX('Chart of Accounts'!$A$5:$A$3000,MATCH("ap",'Chart of Accounts'!$F$5:$F$3000,0)),C6&amp;"")</f>
        <v/>
      </c>
      <c r="K6" s="16">
        <f>IF(F6="",INDEX('Chart of Accounts'!$A$5:$A$3000,MATCH("bank",'Chart of Accounts'!$F$5:$F$3000,0)),F6&amp;"")</f>
        <v/>
      </c>
      <c r="L6" s="23">
        <f>IFERROR(INDEX('Chart of Accounts'!$C$5:$C$3000,MATCH(J6&amp;"",'Chart of Accounts'!$A$5:$A$3000,0))&amp;"|"&amp;INDEX('Chart of Accounts'!$D$5:$D$3000,MATCH(J6&amp;"",'Chart of Accounts'!$A$5:$A$3000,0)),"")</f>
        <v/>
      </c>
      <c r="M6" s="23">
        <f>IFERROR(INDEX('Chart of Accounts'!$C$5:$C$3000,MATCH(K6&amp;"",'Chart of Accounts'!$A$5:$A$3000,0))&amp;"|"&amp;INDEX('Chart of Accounts'!$D$5:$D$3000,MATCH(K6&amp;"",'Chart of Accounts'!$A$5:$A$3000,0)),"")</f>
        <v/>
      </c>
      <c r="N6" s="23">
        <f>IF(LEFT(L6,8)="Revenue|",-N(D6),0)+IF(LEFT(M6,8)="Revenue|",N(D6),0)</f>
        <v/>
      </c>
      <c r="O6" s="23">
        <f>IF(LEFT(L6,5)="COGS|",N(D6),0)+IF(LEFT(M6,5)="COGS|",-N(D6),0)</f>
        <v/>
      </c>
      <c r="P6" s="23">
        <f>IF(LEFT(L6,8)="Expense|",N(D6),0)+IF(LEFT(M6,8)="Expense|",-N(D6),0)</f>
        <v/>
      </c>
      <c r="Q6" s="23">
        <f>IF(ISNUMBER(MATCH(L6,{"Expense|employee","Expense|general_admin","Expense|marketing","Expense|utilities","Expense|other_operating"},0)),N(D6),0)+IF(ISNUMBER(MATCH(M6,{"Expense|employee","Expense|general_admin","Expense|marketing","Expense|utilities","Expense|other_operating"},0)),-N(D6),0)</f>
        <v/>
      </c>
      <c r="R6" s="23">
        <f>IF(L6="Liability|payable",-N(D6),0)+IF(M6="Liability|payable",N(D6),0)</f>
        <v/>
      </c>
      <c r="S6" s="23">
        <f>IF(L6="Liability|accrued",-N(D6),0)+IF(M6="Liability|accrued",N(D6),0)</f>
        <v/>
      </c>
      <c r="T6" s="23">
        <f>IF(AND(N(D6)&lt;&gt;0,L6=""),1,0)+IF(AND(N(D6)&lt;&gt;0,M6=""),1,0)</f>
        <v/>
      </c>
    </row>
    <row r="7">
      <c r="A7" s="19" t="n"/>
      <c r="B7" s="14" t="n"/>
      <c r="C7" s="14" t="n"/>
      <c r="D7" s="20" t="n"/>
      <c r="E7" s="14" t="n"/>
      <c r="F7" s="14" t="n"/>
      <c r="G7" s="14" t="n"/>
      <c r="H7" s="14" t="n"/>
      <c r="I7" s="14" t="n"/>
      <c r="J7" s="16">
        <f>IF(C7="",INDEX('Chart of Accounts'!$A$5:$A$3000,MATCH("ap",'Chart of Accounts'!$F$5:$F$3000,0)),C7&amp;"")</f>
        <v/>
      </c>
      <c r="K7" s="16">
        <f>IF(F7="",INDEX('Chart of Accounts'!$A$5:$A$3000,MATCH("bank",'Chart of Accounts'!$F$5:$F$3000,0)),F7&amp;"")</f>
        <v/>
      </c>
      <c r="L7" s="23">
        <f>IFERROR(INDEX('Chart of Accounts'!$C$5:$C$3000,MATCH(J7&amp;"",'Chart of Accounts'!$A$5:$A$3000,0))&amp;"|"&amp;INDEX('Chart of Accounts'!$D$5:$D$3000,MATCH(J7&amp;"",'Chart of Accounts'!$A$5:$A$3000,0)),"")</f>
        <v/>
      </c>
      <c r="M7" s="23">
        <f>IFERROR(INDEX('Chart of Accounts'!$C$5:$C$3000,MATCH(K7&amp;"",'Chart of Accounts'!$A$5:$A$3000,0))&amp;"|"&amp;INDEX('Chart of Accounts'!$D$5:$D$3000,MATCH(K7&amp;"",'Chart of Accounts'!$A$5:$A$3000,0)),"")</f>
        <v/>
      </c>
      <c r="N7" s="23">
        <f>IF(LEFT(L7,8)="Revenue|",-N(D7),0)+IF(LEFT(M7,8)="Revenue|",N(D7),0)</f>
        <v/>
      </c>
      <c r="O7" s="23">
        <f>IF(LEFT(L7,5)="COGS|",N(D7),0)+IF(LEFT(M7,5)="COGS|",-N(D7),0)</f>
        <v/>
      </c>
      <c r="P7" s="23">
        <f>IF(LEFT(L7,8)="Expense|",N(D7),0)+IF(LEFT(M7,8)="Expense|",-N(D7),0)</f>
        <v/>
      </c>
      <c r="Q7" s="23">
        <f>IF(ISNUMBER(MATCH(L7,{"Expense|employee","Expense|general_admin","Expense|marketing","Expense|utilities","Expense|other_operating"},0)),N(D7),0)+IF(ISNUMBER(MATCH(M7,{"Expense|employee","Expense|general_admin","Expense|marketing","Expense|utilities","Expense|other_operating"},0)),-N(D7),0)</f>
        <v/>
      </c>
      <c r="R7" s="23">
        <f>IF(L7="Liability|payable",-N(D7),0)+IF(M7="Liability|payable",N(D7),0)</f>
        <v/>
      </c>
      <c r="S7" s="23">
        <f>IF(L7="Liability|accrued",-N(D7),0)+IF(M7="Liability|accrued",N(D7),0)</f>
        <v/>
      </c>
      <c r="T7" s="23">
        <f>IF(AND(N(D7)&lt;&gt;0,L7=""),1,0)+IF(AND(N(D7)&lt;&gt;0,M7=""),1,0)</f>
        <v/>
      </c>
    </row>
    <row r="8">
      <c r="A8" s="19" t="n"/>
      <c r="B8" s="14" t="n"/>
      <c r="C8" s="14" t="n"/>
      <c r="D8" s="20" t="n"/>
      <c r="E8" s="14" t="n"/>
      <c r="F8" s="14" t="n"/>
      <c r="G8" s="14" t="n"/>
      <c r="H8" s="14" t="n"/>
      <c r="I8" s="14" t="n"/>
      <c r="J8" s="16">
        <f>IF(C8="",INDEX('Chart of Accounts'!$A$5:$A$3000,MATCH("ap",'Chart of Accounts'!$F$5:$F$3000,0)),C8&amp;"")</f>
        <v/>
      </c>
      <c r="K8" s="16">
        <f>IF(F8="",INDEX('Chart of Accounts'!$A$5:$A$3000,MATCH("bank",'Chart of Accounts'!$F$5:$F$3000,0)),F8&amp;"")</f>
        <v/>
      </c>
      <c r="L8" s="23">
        <f>IFERROR(INDEX('Chart of Accounts'!$C$5:$C$3000,MATCH(J8&amp;"",'Chart of Accounts'!$A$5:$A$3000,0))&amp;"|"&amp;INDEX('Chart of Accounts'!$D$5:$D$3000,MATCH(J8&amp;"",'Chart of Accounts'!$A$5:$A$3000,0)),"")</f>
        <v/>
      </c>
      <c r="M8" s="23">
        <f>IFERROR(INDEX('Chart of Accounts'!$C$5:$C$3000,MATCH(K8&amp;"",'Chart of Accounts'!$A$5:$A$3000,0))&amp;"|"&amp;INDEX('Chart of Accounts'!$D$5:$D$3000,MATCH(K8&amp;"",'Chart of Accounts'!$A$5:$A$3000,0)),"")</f>
        <v/>
      </c>
      <c r="N8" s="23">
        <f>IF(LEFT(L8,8)="Revenue|",-N(D8),0)+IF(LEFT(M8,8)="Revenue|",N(D8),0)</f>
        <v/>
      </c>
      <c r="O8" s="23">
        <f>IF(LEFT(L8,5)="COGS|",N(D8),0)+IF(LEFT(M8,5)="COGS|",-N(D8),0)</f>
        <v/>
      </c>
      <c r="P8" s="23">
        <f>IF(LEFT(L8,8)="Expense|",N(D8),0)+IF(LEFT(M8,8)="Expense|",-N(D8),0)</f>
        <v/>
      </c>
      <c r="Q8" s="23">
        <f>IF(ISNUMBER(MATCH(L8,{"Expense|employee","Expense|general_admin","Expense|marketing","Expense|utilities","Expense|other_operating"},0)),N(D8),0)+IF(ISNUMBER(MATCH(M8,{"Expense|employee","Expense|general_admin","Expense|marketing","Expense|utilities","Expense|other_operating"},0)),-N(D8),0)</f>
        <v/>
      </c>
      <c r="R8" s="23">
        <f>IF(L8="Liability|payable",-N(D8),0)+IF(M8="Liability|payable",N(D8),0)</f>
        <v/>
      </c>
      <c r="S8" s="23">
        <f>IF(L8="Liability|accrued",-N(D8),0)+IF(M8="Liability|accrued",N(D8),0)</f>
        <v/>
      </c>
      <c r="T8" s="23">
        <f>IF(AND(N(D8)&lt;&gt;0,L8=""),1,0)+IF(AND(N(D8)&lt;&gt;0,M8=""),1,0)</f>
        <v/>
      </c>
    </row>
    <row r="9">
      <c r="A9" s="19" t="n"/>
      <c r="B9" s="14" t="n"/>
      <c r="C9" s="14" t="n"/>
      <c r="D9" s="20" t="n"/>
      <c r="E9" s="14" t="n"/>
      <c r="F9" s="14" t="n"/>
      <c r="G9" s="14" t="n"/>
      <c r="H9" s="14" t="n"/>
      <c r="I9" s="14" t="n"/>
      <c r="J9" s="16">
        <f>IF(C9="",INDEX('Chart of Accounts'!$A$5:$A$3000,MATCH("ap",'Chart of Accounts'!$F$5:$F$3000,0)),C9&amp;"")</f>
        <v/>
      </c>
      <c r="K9" s="16">
        <f>IF(F9="",INDEX('Chart of Accounts'!$A$5:$A$3000,MATCH("bank",'Chart of Accounts'!$F$5:$F$3000,0)),F9&amp;"")</f>
        <v/>
      </c>
      <c r="L9" s="23">
        <f>IFERROR(INDEX('Chart of Accounts'!$C$5:$C$3000,MATCH(J9&amp;"",'Chart of Accounts'!$A$5:$A$3000,0))&amp;"|"&amp;INDEX('Chart of Accounts'!$D$5:$D$3000,MATCH(J9&amp;"",'Chart of Accounts'!$A$5:$A$3000,0)),"")</f>
        <v/>
      </c>
      <c r="M9" s="23">
        <f>IFERROR(INDEX('Chart of Accounts'!$C$5:$C$3000,MATCH(K9&amp;"",'Chart of Accounts'!$A$5:$A$3000,0))&amp;"|"&amp;INDEX('Chart of Accounts'!$D$5:$D$3000,MATCH(K9&amp;"",'Chart of Accounts'!$A$5:$A$3000,0)),"")</f>
        <v/>
      </c>
      <c r="N9" s="23">
        <f>IF(LEFT(L9,8)="Revenue|",-N(D9),0)+IF(LEFT(M9,8)="Revenue|",N(D9),0)</f>
        <v/>
      </c>
      <c r="O9" s="23">
        <f>IF(LEFT(L9,5)="COGS|",N(D9),0)+IF(LEFT(M9,5)="COGS|",-N(D9),0)</f>
        <v/>
      </c>
      <c r="P9" s="23">
        <f>IF(LEFT(L9,8)="Expense|",N(D9),0)+IF(LEFT(M9,8)="Expense|",-N(D9),0)</f>
        <v/>
      </c>
      <c r="Q9" s="23">
        <f>IF(ISNUMBER(MATCH(L9,{"Expense|employee","Expense|general_admin","Expense|marketing","Expense|utilities","Expense|other_operating"},0)),N(D9),0)+IF(ISNUMBER(MATCH(M9,{"Expense|employee","Expense|general_admin","Expense|marketing","Expense|utilities","Expense|other_operating"},0)),-N(D9),0)</f>
        <v/>
      </c>
      <c r="R9" s="23">
        <f>IF(L9="Liability|payable",-N(D9),0)+IF(M9="Liability|payable",N(D9),0)</f>
        <v/>
      </c>
      <c r="S9" s="23">
        <f>IF(L9="Liability|accrued",-N(D9),0)+IF(M9="Liability|accrued",N(D9),0)</f>
        <v/>
      </c>
      <c r="T9" s="23">
        <f>IF(AND(N(D9)&lt;&gt;0,L9=""),1,0)+IF(AND(N(D9)&lt;&gt;0,M9=""),1,0)</f>
        <v/>
      </c>
    </row>
    <row r="10">
      <c r="A10" s="19" t="n"/>
      <c r="B10" s="14" t="n"/>
      <c r="C10" s="14" t="n"/>
      <c r="D10" s="20" t="n"/>
      <c r="E10" s="14" t="n"/>
      <c r="F10" s="14" t="n"/>
      <c r="G10" s="14" t="n"/>
      <c r="H10" s="14" t="n"/>
      <c r="I10" s="14" t="n"/>
      <c r="J10" s="16">
        <f>IF(C10="",INDEX('Chart of Accounts'!$A$5:$A$3000,MATCH("ap",'Chart of Accounts'!$F$5:$F$3000,0)),C10&amp;"")</f>
        <v/>
      </c>
      <c r="K10" s="16">
        <f>IF(F10="",INDEX('Chart of Accounts'!$A$5:$A$3000,MATCH("bank",'Chart of Accounts'!$F$5:$F$3000,0)),F10&amp;"")</f>
        <v/>
      </c>
      <c r="L10" s="23">
        <f>IFERROR(INDEX('Chart of Accounts'!$C$5:$C$3000,MATCH(J10&amp;"",'Chart of Accounts'!$A$5:$A$3000,0))&amp;"|"&amp;INDEX('Chart of Accounts'!$D$5:$D$3000,MATCH(J10&amp;"",'Chart of Accounts'!$A$5:$A$3000,0)),"")</f>
        <v/>
      </c>
      <c r="M10" s="23">
        <f>IFERROR(INDEX('Chart of Accounts'!$C$5:$C$3000,MATCH(K10&amp;"",'Chart of Accounts'!$A$5:$A$3000,0))&amp;"|"&amp;INDEX('Chart of Accounts'!$D$5:$D$3000,MATCH(K10&amp;"",'Chart of Accounts'!$A$5:$A$3000,0)),"")</f>
        <v/>
      </c>
      <c r="N10" s="23">
        <f>IF(LEFT(L10,8)="Revenue|",-N(D10),0)+IF(LEFT(M10,8)="Revenue|",N(D10),0)</f>
        <v/>
      </c>
      <c r="O10" s="23">
        <f>IF(LEFT(L10,5)="COGS|",N(D10),0)+IF(LEFT(M10,5)="COGS|",-N(D10),0)</f>
        <v/>
      </c>
      <c r="P10" s="23">
        <f>IF(LEFT(L10,8)="Expense|",N(D10),0)+IF(LEFT(M10,8)="Expense|",-N(D10),0)</f>
        <v/>
      </c>
      <c r="Q10" s="23">
        <f>IF(ISNUMBER(MATCH(L10,{"Expense|employee","Expense|general_admin","Expense|marketing","Expense|utilities","Expense|other_operating"},0)),N(D10),0)+IF(ISNUMBER(MATCH(M10,{"Expense|employee","Expense|general_admin","Expense|marketing","Expense|utilities","Expense|other_operating"},0)),-N(D10),0)</f>
        <v/>
      </c>
      <c r="R10" s="23">
        <f>IF(L10="Liability|payable",-N(D10),0)+IF(M10="Liability|payable",N(D10),0)</f>
        <v/>
      </c>
      <c r="S10" s="23">
        <f>IF(L10="Liability|accrued",-N(D10),0)+IF(M10="Liability|accrued",N(D10),0)</f>
        <v/>
      </c>
      <c r="T10" s="23">
        <f>IF(AND(N(D10)&lt;&gt;0,L10=""),1,0)+IF(AND(N(D10)&lt;&gt;0,M10=""),1,0)</f>
        <v/>
      </c>
    </row>
    <row r="11">
      <c r="A11" s="19" t="n"/>
      <c r="B11" s="14" t="n"/>
      <c r="C11" s="14" t="n"/>
      <c r="D11" s="20" t="n"/>
      <c r="E11" s="14" t="n"/>
      <c r="F11" s="14" t="n"/>
      <c r="G11" s="14" t="n"/>
      <c r="H11" s="14" t="n"/>
      <c r="I11" s="14" t="n"/>
      <c r="J11" s="16">
        <f>IF(C11="",INDEX('Chart of Accounts'!$A$5:$A$3000,MATCH("ap",'Chart of Accounts'!$F$5:$F$3000,0)),C11&amp;"")</f>
        <v/>
      </c>
      <c r="K11" s="16">
        <f>IF(F11="",INDEX('Chart of Accounts'!$A$5:$A$3000,MATCH("bank",'Chart of Accounts'!$F$5:$F$3000,0)),F11&amp;"")</f>
        <v/>
      </c>
      <c r="L11" s="23">
        <f>IFERROR(INDEX('Chart of Accounts'!$C$5:$C$3000,MATCH(J11&amp;"",'Chart of Accounts'!$A$5:$A$3000,0))&amp;"|"&amp;INDEX('Chart of Accounts'!$D$5:$D$3000,MATCH(J11&amp;"",'Chart of Accounts'!$A$5:$A$3000,0)),"")</f>
        <v/>
      </c>
      <c r="M11" s="23">
        <f>IFERROR(INDEX('Chart of Accounts'!$C$5:$C$3000,MATCH(K11&amp;"",'Chart of Accounts'!$A$5:$A$3000,0))&amp;"|"&amp;INDEX('Chart of Accounts'!$D$5:$D$3000,MATCH(K11&amp;"",'Chart of Accounts'!$A$5:$A$3000,0)),"")</f>
        <v/>
      </c>
      <c r="N11" s="23">
        <f>IF(LEFT(L11,8)="Revenue|",-N(D11),0)+IF(LEFT(M11,8)="Revenue|",N(D11),0)</f>
        <v/>
      </c>
      <c r="O11" s="23">
        <f>IF(LEFT(L11,5)="COGS|",N(D11),0)+IF(LEFT(M11,5)="COGS|",-N(D11),0)</f>
        <v/>
      </c>
      <c r="P11" s="23">
        <f>IF(LEFT(L11,8)="Expense|",N(D11),0)+IF(LEFT(M11,8)="Expense|",-N(D11),0)</f>
        <v/>
      </c>
      <c r="Q11" s="23">
        <f>IF(ISNUMBER(MATCH(L11,{"Expense|employee","Expense|general_admin","Expense|marketing","Expense|utilities","Expense|other_operating"},0)),N(D11),0)+IF(ISNUMBER(MATCH(M11,{"Expense|employee","Expense|general_admin","Expense|marketing","Expense|utilities","Expense|other_operating"},0)),-N(D11),0)</f>
        <v/>
      </c>
      <c r="R11" s="23">
        <f>IF(L11="Liability|payable",-N(D11),0)+IF(M11="Liability|payable",N(D11),0)</f>
        <v/>
      </c>
      <c r="S11" s="23">
        <f>IF(L11="Liability|accrued",-N(D11),0)+IF(M11="Liability|accrued",N(D11),0)</f>
        <v/>
      </c>
      <c r="T11" s="23">
        <f>IF(AND(N(D11)&lt;&gt;0,L11=""),1,0)+IF(AND(N(D11)&lt;&gt;0,M11=""),1,0)</f>
        <v/>
      </c>
    </row>
    <row r="12">
      <c r="A12" s="19" t="n"/>
      <c r="B12" s="14" t="n"/>
      <c r="C12" s="14" t="n"/>
      <c r="D12" s="20" t="n"/>
      <c r="E12" s="14" t="n"/>
      <c r="F12" s="14" t="n"/>
      <c r="G12" s="14" t="n"/>
      <c r="H12" s="14" t="n"/>
      <c r="I12" s="14" t="n"/>
      <c r="J12" s="16">
        <f>IF(C12="",INDEX('Chart of Accounts'!$A$5:$A$3000,MATCH("ap",'Chart of Accounts'!$F$5:$F$3000,0)),C12&amp;"")</f>
        <v/>
      </c>
      <c r="K12" s="16">
        <f>IF(F12="",INDEX('Chart of Accounts'!$A$5:$A$3000,MATCH("bank",'Chart of Accounts'!$F$5:$F$3000,0)),F12&amp;"")</f>
        <v/>
      </c>
      <c r="L12" s="23">
        <f>IFERROR(INDEX('Chart of Accounts'!$C$5:$C$3000,MATCH(J12&amp;"",'Chart of Accounts'!$A$5:$A$3000,0))&amp;"|"&amp;INDEX('Chart of Accounts'!$D$5:$D$3000,MATCH(J12&amp;"",'Chart of Accounts'!$A$5:$A$3000,0)),"")</f>
        <v/>
      </c>
      <c r="M12" s="23">
        <f>IFERROR(INDEX('Chart of Accounts'!$C$5:$C$3000,MATCH(K12&amp;"",'Chart of Accounts'!$A$5:$A$3000,0))&amp;"|"&amp;INDEX('Chart of Accounts'!$D$5:$D$3000,MATCH(K12&amp;"",'Chart of Accounts'!$A$5:$A$3000,0)),"")</f>
        <v/>
      </c>
      <c r="N12" s="23">
        <f>IF(LEFT(L12,8)="Revenue|",-N(D12),0)+IF(LEFT(M12,8)="Revenue|",N(D12),0)</f>
        <v/>
      </c>
      <c r="O12" s="23">
        <f>IF(LEFT(L12,5)="COGS|",N(D12),0)+IF(LEFT(M12,5)="COGS|",-N(D12),0)</f>
        <v/>
      </c>
      <c r="P12" s="23">
        <f>IF(LEFT(L12,8)="Expense|",N(D12),0)+IF(LEFT(M12,8)="Expense|",-N(D12),0)</f>
        <v/>
      </c>
      <c r="Q12" s="23">
        <f>IF(ISNUMBER(MATCH(L12,{"Expense|employee","Expense|general_admin","Expense|marketing","Expense|utilities","Expense|other_operating"},0)),N(D12),0)+IF(ISNUMBER(MATCH(M12,{"Expense|employee","Expense|general_admin","Expense|marketing","Expense|utilities","Expense|other_operating"},0)),-N(D12),0)</f>
        <v/>
      </c>
      <c r="R12" s="23">
        <f>IF(L12="Liability|payable",-N(D12),0)+IF(M12="Liability|payable",N(D12),0)</f>
        <v/>
      </c>
      <c r="S12" s="23">
        <f>IF(L12="Liability|accrued",-N(D12),0)+IF(M12="Liability|accrued",N(D12),0)</f>
        <v/>
      </c>
      <c r="T12" s="23">
        <f>IF(AND(N(D12)&lt;&gt;0,L12=""),1,0)+IF(AND(N(D12)&lt;&gt;0,M12=""),1,0)</f>
        <v/>
      </c>
    </row>
    <row r="13">
      <c r="A13" s="19" t="n"/>
      <c r="B13" s="14" t="n"/>
      <c r="C13" s="14" t="n"/>
      <c r="D13" s="20" t="n"/>
      <c r="E13" s="14" t="n"/>
      <c r="F13" s="14" t="n"/>
      <c r="G13" s="14" t="n"/>
      <c r="H13" s="14" t="n"/>
      <c r="I13" s="14" t="n"/>
      <c r="J13" s="16">
        <f>IF(C13="",INDEX('Chart of Accounts'!$A$5:$A$3000,MATCH("ap",'Chart of Accounts'!$F$5:$F$3000,0)),C13&amp;"")</f>
        <v/>
      </c>
      <c r="K13" s="16">
        <f>IF(F13="",INDEX('Chart of Accounts'!$A$5:$A$3000,MATCH("bank",'Chart of Accounts'!$F$5:$F$3000,0)),F13&amp;"")</f>
        <v/>
      </c>
      <c r="L13" s="23">
        <f>IFERROR(INDEX('Chart of Accounts'!$C$5:$C$3000,MATCH(J13&amp;"",'Chart of Accounts'!$A$5:$A$3000,0))&amp;"|"&amp;INDEX('Chart of Accounts'!$D$5:$D$3000,MATCH(J13&amp;"",'Chart of Accounts'!$A$5:$A$3000,0)),"")</f>
        <v/>
      </c>
      <c r="M13" s="23">
        <f>IFERROR(INDEX('Chart of Accounts'!$C$5:$C$3000,MATCH(K13&amp;"",'Chart of Accounts'!$A$5:$A$3000,0))&amp;"|"&amp;INDEX('Chart of Accounts'!$D$5:$D$3000,MATCH(K13&amp;"",'Chart of Accounts'!$A$5:$A$3000,0)),"")</f>
        <v/>
      </c>
      <c r="N13" s="23">
        <f>IF(LEFT(L13,8)="Revenue|",-N(D13),0)+IF(LEFT(M13,8)="Revenue|",N(D13),0)</f>
        <v/>
      </c>
      <c r="O13" s="23">
        <f>IF(LEFT(L13,5)="COGS|",N(D13),0)+IF(LEFT(M13,5)="COGS|",-N(D13),0)</f>
        <v/>
      </c>
      <c r="P13" s="23">
        <f>IF(LEFT(L13,8)="Expense|",N(D13),0)+IF(LEFT(M13,8)="Expense|",-N(D13),0)</f>
        <v/>
      </c>
      <c r="Q13" s="23">
        <f>IF(ISNUMBER(MATCH(L13,{"Expense|employee","Expense|general_admin","Expense|marketing","Expense|utilities","Expense|other_operating"},0)),N(D13),0)+IF(ISNUMBER(MATCH(M13,{"Expense|employee","Expense|general_admin","Expense|marketing","Expense|utilities","Expense|other_operating"},0)),-N(D13),0)</f>
        <v/>
      </c>
      <c r="R13" s="23">
        <f>IF(L13="Liability|payable",-N(D13),0)+IF(M13="Liability|payable",N(D13),0)</f>
        <v/>
      </c>
      <c r="S13" s="23">
        <f>IF(L13="Liability|accrued",-N(D13),0)+IF(M13="Liability|accrued",N(D13),0)</f>
        <v/>
      </c>
      <c r="T13" s="23">
        <f>IF(AND(N(D13)&lt;&gt;0,L13=""),1,0)+IF(AND(N(D13)&lt;&gt;0,M13=""),1,0)</f>
        <v/>
      </c>
    </row>
    <row r="14">
      <c r="A14" s="19" t="n"/>
      <c r="B14" s="14" t="n"/>
      <c r="C14" s="14" t="n"/>
      <c r="D14" s="20" t="n"/>
      <c r="E14" s="14" t="n"/>
      <c r="F14" s="14" t="n"/>
      <c r="G14" s="14" t="n"/>
      <c r="H14" s="14" t="n"/>
      <c r="I14" s="14" t="n"/>
      <c r="J14" s="16">
        <f>IF(C14="",INDEX('Chart of Accounts'!$A$5:$A$3000,MATCH("ap",'Chart of Accounts'!$F$5:$F$3000,0)),C14&amp;"")</f>
        <v/>
      </c>
      <c r="K14" s="16">
        <f>IF(F14="",INDEX('Chart of Accounts'!$A$5:$A$3000,MATCH("bank",'Chart of Accounts'!$F$5:$F$3000,0)),F14&amp;"")</f>
        <v/>
      </c>
      <c r="L14" s="23">
        <f>IFERROR(INDEX('Chart of Accounts'!$C$5:$C$3000,MATCH(J14&amp;"",'Chart of Accounts'!$A$5:$A$3000,0))&amp;"|"&amp;INDEX('Chart of Accounts'!$D$5:$D$3000,MATCH(J14&amp;"",'Chart of Accounts'!$A$5:$A$3000,0)),"")</f>
        <v/>
      </c>
      <c r="M14" s="23">
        <f>IFERROR(INDEX('Chart of Accounts'!$C$5:$C$3000,MATCH(K14&amp;"",'Chart of Accounts'!$A$5:$A$3000,0))&amp;"|"&amp;INDEX('Chart of Accounts'!$D$5:$D$3000,MATCH(K14&amp;"",'Chart of Accounts'!$A$5:$A$3000,0)),"")</f>
        <v/>
      </c>
      <c r="N14" s="23">
        <f>IF(LEFT(L14,8)="Revenue|",-N(D14),0)+IF(LEFT(M14,8)="Revenue|",N(D14),0)</f>
        <v/>
      </c>
      <c r="O14" s="23">
        <f>IF(LEFT(L14,5)="COGS|",N(D14),0)+IF(LEFT(M14,5)="COGS|",-N(D14),0)</f>
        <v/>
      </c>
      <c r="P14" s="23">
        <f>IF(LEFT(L14,8)="Expense|",N(D14),0)+IF(LEFT(M14,8)="Expense|",-N(D14),0)</f>
        <v/>
      </c>
      <c r="Q14" s="23">
        <f>IF(ISNUMBER(MATCH(L14,{"Expense|employee","Expense|general_admin","Expense|marketing","Expense|utilities","Expense|other_operating"},0)),N(D14),0)+IF(ISNUMBER(MATCH(M14,{"Expense|employee","Expense|general_admin","Expense|marketing","Expense|utilities","Expense|other_operating"},0)),-N(D14),0)</f>
        <v/>
      </c>
      <c r="R14" s="23">
        <f>IF(L14="Liability|payable",-N(D14),0)+IF(M14="Liability|payable",N(D14),0)</f>
        <v/>
      </c>
      <c r="S14" s="23">
        <f>IF(L14="Liability|accrued",-N(D14),0)+IF(M14="Liability|accrued",N(D14),0)</f>
        <v/>
      </c>
      <c r="T14" s="23">
        <f>IF(AND(N(D14)&lt;&gt;0,L14=""),1,0)+IF(AND(N(D14)&lt;&gt;0,M14=""),1,0)</f>
        <v/>
      </c>
    </row>
    <row r="15">
      <c r="A15" s="19" t="n"/>
      <c r="B15" s="14" t="n"/>
      <c r="C15" s="14" t="n"/>
      <c r="D15" s="20" t="n"/>
      <c r="E15" s="14" t="n"/>
      <c r="F15" s="14" t="n"/>
      <c r="G15" s="14" t="n"/>
      <c r="H15" s="14" t="n"/>
      <c r="I15" s="14" t="n"/>
      <c r="J15" s="16">
        <f>IF(C15="",INDEX('Chart of Accounts'!$A$5:$A$3000,MATCH("ap",'Chart of Accounts'!$F$5:$F$3000,0)),C15&amp;"")</f>
        <v/>
      </c>
      <c r="K15" s="16">
        <f>IF(F15="",INDEX('Chart of Accounts'!$A$5:$A$3000,MATCH("bank",'Chart of Accounts'!$F$5:$F$3000,0)),F15&amp;"")</f>
        <v/>
      </c>
      <c r="L15" s="23">
        <f>IFERROR(INDEX('Chart of Accounts'!$C$5:$C$3000,MATCH(J15&amp;"",'Chart of Accounts'!$A$5:$A$3000,0))&amp;"|"&amp;INDEX('Chart of Accounts'!$D$5:$D$3000,MATCH(J15&amp;"",'Chart of Accounts'!$A$5:$A$3000,0)),"")</f>
        <v/>
      </c>
      <c r="M15" s="23">
        <f>IFERROR(INDEX('Chart of Accounts'!$C$5:$C$3000,MATCH(K15&amp;"",'Chart of Accounts'!$A$5:$A$3000,0))&amp;"|"&amp;INDEX('Chart of Accounts'!$D$5:$D$3000,MATCH(K15&amp;"",'Chart of Accounts'!$A$5:$A$3000,0)),"")</f>
        <v/>
      </c>
      <c r="N15" s="23">
        <f>IF(LEFT(L15,8)="Revenue|",-N(D15),0)+IF(LEFT(M15,8)="Revenue|",N(D15),0)</f>
        <v/>
      </c>
      <c r="O15" s="23">
        <f>IF(LEFT(L15,5)="COGS|",N(D15),0)+IF(LEFT(M15,5)="COGS|",-N(D15),0)</f>
        <v/>
      </c>
      <c r="P15" s="23">
        <f>IF(LEFT(L15,8)="Expense|",N(D15),0)+IF(LEFT(M15,8)="Expense|",-N(D15),0)</f>
        <v/>
      </c>
      <c r="Q15" s="23">
        <f>IF(ISNUMBER(MATCH(L15,{"Expense|employee","Expense|general_admin","Expense|marketing","Expense|utilities","Expense|other_operating"},0)),N(D15),0)+IF(ISNUMBER(MATCH(M15,{"Expense|employee","Expense|general_admin","Expense|marketing","Expense|utilities","Expense|other_operating"},0)),-N(D15),0)</f>
        <v/>
      </c>
      <c r="R15" s="23">
        <f>IF(L15="Liability|payable",-N(D15),0)+IF(M15="Liability|payable",N(D15),0)</f>
        <v/>
      </c>
      <c r="S15" s="23">
        <f>IF(L15="Liability|accrued",-N(D15),0)+IF(M15="Liability|accrued",N(D15),0)</f>
        <v/>
      </c>
      <c r="T15" s="23">
        <f>IF(AND(N(D15)&lt;&gt;0,L15=""),1,0)+IF(AND(N(D15)&lt;&gt;0,M15=""),1,0)</f>
        <v/>
      </c>
    </row>
    <row r="16">
      <c r="A16" s="19" t="n"/>
      <c r="B16" s="14" t="n"/>
      <c r="C16" s="14" t="n"/>
      <c r="D16" s="20" t="n"/>
      <c r="E16" s="14" t="n"/>
      <c r="F16" s="14" t="n"/>
      <c r="G16" s="14" t="n"/>
      <c r="H16" s="14" t="n"/>
      <c r="I16" s="14" t="n"/>
      <c r="J16" s="16">
        <f>IF(C16="",INDEX('Chart of Accounts'!$A$5:$A$3000,MATCH("ap",'Chart of Accounts'!$F$5:$F$3000,0)),C16&amp;"")</f>
        <v/>
      </c>
      <c r="K16" s="16">
        <f>IF(F16="",INDEX('Chart of Accounts'!$A$5:$A$3000,MATCH("bank",'Chart of Accounts'!$F$5:$F$3000,0)),F16&amp;"")</f>
        <v/>
      </c>
      <c r="L16" s="23">
        <f>IFERROR(INDEX('Chart of Accounts'!$C$5:$C$3000,MATCH(J16&amp;"",'Chart of Accounts'!$A$5:$A$3000,0))&amp;"|"&amp;INDEX('Chart of Accounts'!$D$5:$D$3000,MATCH(J16&amp;"",'Chart of Accounts'!$A$5:$A$3000,0)),"")</f>
        <v/>
      </c>
      <c r="M16" s="23">
        <f>IFERROR(INDEX('Chart of Accounts'!$C$5:$C$3000,MATCH(K16&amp;"",'Chart of Accounts'!$A$5:$A$3000,0))&amp;"|"&amp;INDEX('Chart of Accounts'!$D$5:$D$3000,MATCH(K16&amp;"",'Chart of Accounts'!$A$5:$A$3000,0)),"")</f>
        <v/>
      </c>
      <c r="N16" s="23">
        <f>IF(LEFT(L16,8)="Revenue|",-N(D16),0)+IF(LEFT(M16,8)="Revenue|",N(D16),0)</f>
        <v/>
      </c>
      <c r="O16" s="23">
        <f>IF(LEFT(L16,5)="COGS|",N(D16),0)+IF(LEFT(M16,5)="COGS|",-N(D16),0)</f>
        <v/>
      </c>
      <c r="P16" s="23">
        <f>IF(LEFT(L16,8)="Expense|",N(D16),0)+IF(LEFT(M16,8)="Expense|",-N(D16),0)</f>
        <v/>
      </c>
      <c r="Q16" s="23">
        <f>IF(ISNUMBER(MATCH(L16,{"Expense|employee","Expense|general_admin","Expense|marketing","Expense|utilities","Expense|other_operating"},0)),N(D16),0)+IF(ISNUMBER(MATCH(M16,{"Expense|employee","Expense|general_admin","Expense|marketing","Expense|utilities","Expense|other_operating"},0)),-N(D16),0)</f>
        <v/>
      </c>
      <c r="R16" s="23">
        <f>IF(L16="Liability|payable",-N(D16),0)+IF(M16="Liability|payable",N(D16),0)</f>
        <v/>
      </c>
      <c r="S16" s="23">
        <f>IF(L16="Liability|accrued",-N(D16),0)+IF(M16="Liability|accrued",N(D16),0)</f>
        <v/>
      </c>
      <c r="T16" s="23">
        <f>IF(AND(N(D16)&lt;&gt;0,L16=""),1,0)+IF(AND(N(D16)&lt;&gt;0,M16=""),1,0)</f>
        <v/>
      </c>
    </row>
    <row r="17">
      <c r="A17" s="19" t="n"/>
      <c r="B17" s="14" t="n"/>
      <c r="C17" s="14" t="n"/>
      <c r="D17" s="20" t="n"/>
      <c r="E17" s="14" t="n"/>
      <c r="F17" s="14" t="n"/>
      <c r="G17" s="14" t="n"/>
      <c r="H17" s="14" t="n"/>
      <c r="I17" s="14" t="n"/>
      <c r="J17" s="16">
        <f>IF(C17="",INDEX('Chart of Accounts'!$A$5:$A$3000,MATCH("ap",'Chart of Accounts'!$F$5:$F$3000,0)),C17&amp;"")</f>
        <v/>
      </c>
      <c r="K17" s="16">
        <f>IF(F17="",INDEX('Chart of Accounts'!$A$5:$A$3000,MATCH("bank",'Chart of Accounts'!$F$5:$F$3000,0)),F17&amp;"")</f>
        <v/>
      </c>
      <c r="L17" s="23">
        <f>IFERROR(INDEX('Chart of Accounts'!$C$5:$C$3000,MATCH(J17&amp;"",'Chart of Accounts'!$A$5:$A$3000,0))&amp;"|"&amp;INDEX('Chart of Accounts'!$D$5:$D$3000,MATCH(J17&amp;"",'Chart of Accounts'!$A$5:$A$3000,0)),"")</f>
        <v/>
      </c>
      <c r="M17" s="23">
        <f>IFERROR(INDEX('Chart of Accounts'!$C$5:$C$3000,MATCH(K17&amp;"",'Chart of Accounts'!$A$5:$A$3000,0))&amp;"|"&amp;INDEX('Chart of Accounts'!$D$5:$D$3000,MATCH(K17&amp;"",'Chart of Accounts'!$A$5:$A$3000,0)),"")</f>
        <v/>
      </c>
      <c r="N17" s="23">
        <f>IF(LEFT(L17,8)="Revenue|",-N(D17),0)+IF(LEFT(M17,8)="Revenue|",N(D17),0)</f>
        <v/>
      </c>
      <c r="O17" s="23">
        <f>IF(LEFT(L17,5)="COGS|",N(D17),0)+IF(LEFT(M17,5)="COGS|",-N(D17),0)</f>
        <v/>
      </c>
      <c r="P17" s="23">
        <f>IF(LEFT(L17,8)="Expense|",N(D17),0)+IF(LEFT(M17,8)="Expense|",-N(D17),0)</f>
        <v/>
      </c>
      <c r="Q17" s="23">
        <f>IF(ISNUMBER(MATCH(L17,{"Expense|employee","Expense|general_admin","Expense|marketing","Expense|utilities","Expense|other_operating"},0)),N(D17),0)+IF(ISNUMBER(MATCH(M17,{"Expense|employee","Expense|general_admin","Expense|marketing","Expense|utilities","Expense|other_operating"},0)),-N(D17),0)</f>
        <v/>
      </c>
      <c r="R17" s="23">
        <f>IF(L17="Liability|payable",-N(D17),0)+IF(M17="Liability|payable",N(D17),0)</f>
        <v/>
      </c>
      <c r="S17" s="23">
        <f>IF(L17="Liability|accrued",-N(D17),0)+IF(M17="Liability|accrued",N(D17),0)</f>
        <v/>
      </c>
      <c r="T17" s="23">
        <f>IF(AND(N(D17)&lt;&gt;0,L17=""),1,0)+IF(AND(N(D17)&lt;&gt;0,M17=""),1,0)</f>
        <v/>
      </c>
    </row>
    <row r="18">
      <c r="A18" s="19" t="n"/>
      <c r="B18" s="14" t="n"/>
      <c r="C18" s="14" t="n"/>
      <c r="D18" s="20" t="n"/>
      <c r="E18" s="14" t="n"/>
      <c r="F18" s="14" t="n"/>
      <c r="G18" s="14" t="n"/>
      <c r="H18" s="14" t="n"/>
      <c r="I18" s="14" t="n"/>
      <c r="J18" s="16">
        <f>IF(C18="",INDEX('Chart of Accounts'!$A$5:$A$3000,MATCH("ap",'Chart of Accounts'!$F$5:$F$3000,0)),C18&amp;"")</f>
        <v/>
      </c>
      <c r="K18" s="16">
        <f>IF(F18="",INDEX('Chart of Accounts'!$A$5:$A$3000,MATCH("bank",'Chart of Accounts'!$F$5:$F$3000,0)),F18&amp;"")</f>
        <v/>
      </c>
      <c r="L18" s="23">
        <f>IFERROR(INDEX('Chart of Accounts'!$C$5:$C$3000,MATCH(J18&amp;"",'Chart of Accounts'!$A$5:$A$3000,0))&amp;"|"&amp;INDEX('Chart of Accounts'!$D$5:$D$3000,MATCH(J18&amp;"",'Chart of Accounts'!$A$5:$A$3000,0)),"")</f>
        <v/>
      </c>
      <c r="M18" s="23">
        <f>IFERROR(INDEX('Chart of Accounts'!$C$5:$C$3000,MATCH(K18&amp;"",'Chart of Accounts'!$A$5:$A$3000,0))&amp;"|"&amp;INDEX('Chart of Accounts'!$D$5:$D$3000,MATCH(K18&amp;"",'Chart of Accounts'!$A$5:$A$3000,0)),"")</f>
        <v/>
      </c>
      <c r="N18" s="23">
        <f>IF(LEFT(L18,8)="Revenue|",-N(D18),0)+IF(LEFT(M18,8)="Revenue|",N(D18),0)</f>
        <v/>
      </c>
      <c r="O18" s="23">
        <f>IF(LEFT(L18,5)="COGS|",N(D18),0)+IF(LEFT(M18,5)="COGS|",-N(D18),0)</f>
        <v/>
      </c>
      <c r="P18" s="23">
        <f>IF(LEFT(L18,8)="Expense|",N(D18),0)+IF(LEFT(M18,8)="Expense|",-N(D18),0)</f>
        <v/>
      </c>
      <c r="Q18" s="23">
        <f>IF(ISNUMBER(MATCH(L18,{"Expense|employee","Expense|general_admin","Expense|marketing","Expense|utilities","Expense|other_operating"},0)),N(D18),0)+IF(ISNUMBER(MATCH(M18,{"Expense|employee","Expense|general_admin","Expense|marketing","Expense|utilities","Expense|other_operating"},0)),-N(D18),0)</f>
        <v/>
      </c>
      <c r="R18" s="23">
        <f>IF(L18="Liability|payable",-N(D18),0)+IF(M18="Liability|payable",N(D18),0)</f>
        <v/>
      </c>
      <c r="S18" s="23">
        <f>IF(L18="Liability|accrued",-N(D18),0)+IF(M18="Liability|accrued",N(D18),0)</f>
        <v/>
      </c>
      <c r="T18" s="23">
        <f>IF(AND(N(D18)&lt;&gt;0,L18=""),1,0)+IF(AND(N(D18)&lt;&gt;0,M18=""),1,0)</f>
        <v/>
      </c>
    </row>
    <row r="19">
      <c r="A19" s="19" t="n"/>
      <c r="B19" s="14" t="n"/>
      <c r="C19" s="14" t="n"/>
      <c r="D19" s="20" t="n"/>
      <c r="E19" s="14" t="n"/>
      <c r="F19" s="14" t="n"/>
      <c r="G19" s="14" t="n"/>
      <c r="H19" s="14" t="n"/>
      <c r="I19" s="14" t="n"/>
      <c r="J19" s="16">
        <f>IF(C19="",INDEX('Chart of Accounts'!$A$5:$A$3000,MATCH("ap",'Chart of Accounts'!$F$5:$F$3000,0)),C19&amp;"")</f>
        <v/>
      </c>
      <c r="K19" s="16">
        <f>IF(F19="",INDEX('Chart of Accounts'!$A$5:$A$3000,MATCH("bank",'Chart of Accounts'!$F$5:$F$3000,0)),F19&amp;"")</f>
        <v/>
      </c>
      <c r="L19" s="23">
        <f>IFERROR(INDEX('Chart of Accounts'!$C$5:$C$3000,MATCH(J19&amp;"",'Chart of Accounts'!$A$5:$A$3000,0))&amp;"|"&amp;INDEX('Chart of Accounts'!$D$5:$D$3000,MATCH(J19&amp;"",'Chart of Accounts'!$A$5:$A$3000,0)),"")</f>
        <v/>
      </c>
      <c r="M19" s="23">
        <f>IFERROR(INDEX('Chart of Accounts'!$C$5:$C$3000,MATCH(K19&amp;"",'Chart of Accounts'!$A$5:$A$3000,0))&amp;"|"&amp;INDEX('Chart of Accounts'!$D$5:$D$3000,MATCH(K19&amp;"",'Chart of Accounts'!$A$5:$A$3000,0)),"")</f>
        <v/>
      </c>
      <c r="N19" s="23">
        <f>IF(LEFT(L19,8)="Revenue|",-N(D19),0)+IF(LEFT(M19,8)="Revenue|",N(D19),0)</f>
        <v/>
      </c>
      <c r="O19" s="23">
        <f>IF(LEFT(L19,5)="COGS|",N(D19),0)+IF(LEFT(M19,5)="COGS|",-N(D19),0)</f>
        <v/>
      </c>
      <c r="P19" s="23">
        <f>IF(LEFT(L19,8)="Expense|",N(D19),0)+IF(LEFT(M19,8)="Expense|",-N(D19),0)</f>
        <v/>
      </c>
      <c r="Q19" s="23">
        <f>IF(ISNUMBER(MATCH(L19,{"Expense|employee","Expense|general_admin","Expense|marketing","Expense|utilities","Expense|other_operating"},0)),N(D19),0)+IF(ISNUMBER(MATCH(M19,{"Expense|employee","Expense|general_admin","Expense|marketing","Expense|utilities","Expense|other_operating"},0)),-N(D19),0)</f>
        <v/>
      </c>
      <c r="R19" s="23">
        <f>IF(L19="Liability|payable",-N(D19),0)+IF(M19="Liability|payable",N(D19),0)</f>
        <v/>
      </c>
      <c r="S19" s="23">
        <f>IF(L19="Liability|accrued",-N(D19),0)+IF(M19="Liability|accrued",N(D19),0)</f>
        <v/>
      </c>
      <c r="T19" s="23">
        <f>IF(AND(N(D19)&lt;&gt;0,L19=""),1,0)+IF(AND(N(D19)&lt;&gt;0,M19=""),1,0)</f>
        <v/>
      </c>
    </row>
    <row r="20">
      <c r="A20" s="19" t="n"/>
      <c r="B20" s="14" t="n"/>
      <c r="C20" s="14" t="n"/>
      <c r="D20" s="20" t="n"/>
      <c r="E20" s="14" t="n"/>
      <c r="F20" s="14" t="n"/>
      <c r="G20" s="14" t="n"/>
      <c r="H20" s="14" t="n"/>
      <c r="I20" s="14" t="n"/>
      <c r="J20" s="16">
        <f>IF(C20="",INDEX('Chart of Accounts'!$A$5:$A$3000,MATCH("ap",'Chart of Accounts'!$F$5:$F$3000,0)),C20&amp;"")</f>
        <v/>
      </c>
      <c r="K20" s="16">
        <f>IF(F20="",INDEX('Chart of Accounts'!$A$5:$A$3000,MATCH("bank",'Chart of Accounts'!$F$5:$F$3000,0)),F20&amp;"")</f>
        <v/>
      </c>
      <c r="L20" s="23">
        <f>IFERROR(INDEX('Chart of Accounts'!$C$5:$C$3000,MATCH(J20&amp;"",'Chart of Accounts'!$A$5:$A$3000,0))&amp;"|"&amp;INDEX('Chart of Accounts'!$D$5:$D$3000,MATCH(J20&amp;"",'Chart of Accounts'!$A$5:$A$3000,0)),"")</f>
        <v/>
      </c>
      <c r="M20" s="23">
        <f>IFERROR(INDEX('Chart of Accounts'!$C$5:$C$3000,MATCH(K20&amp;"",'Chart of Accounts'!$A$5:$A$3000,0))&amp;"|"&amp;INDEX('Chart of Accounts'!$D$5:$D$3000,MATCH(K20&amp;"",'Chart of Accounts'!$A$5:$A$3000,0)),"")</f>
        <v/>
      </c>
      <c r="N20" s="23">
        <f>IF(LEFT(L20,8)="Revenue|",-N(D20),0)+IF(LEFT(M20,8)="Revenue|",N(D20),0)</f>
        <v/>
      </c>
      <c r="O20" s="23">
        <f>IF(LEFT(L20,5)="COGS|",N(D20),0)+IF(LEFT(M20,5)="COGS|",-N(D20),0)</f>
        <v/>
      </c>
      <c r="P20" s="23">
        <f>IF(LEFT(L20,8)="Expense|",N(D20),0)+IF(LEFT(M20,8)="Expense|",-N(D20),0)</f>
        <v/>
      </c>
      <c r="Q20" s="23">
        <f>IF(ISNUMBER(MATCH(L20,{"Expense|employee","Expense|general_admin","Expense|marketing","Expense|utilities","Expense|other_operating"},0)),N(D20),0)+IF(ISNUMBER(MATCH(M20,{"Expense|employee","Expense|general_admin","Expense|marketing","Expense|utilities","Expense|other_operating"},0)),-N(D20),0)</f>
        <v/>
      </c>
      <c r="R20" s="23">
        <f>IF(L20="Liability|payable",-N(D20),0)+IF(M20="Liability|payable",N(D20),0)</f>
        <v/>
      </c>
      <c r="S20" s="23">
        <f>IF(L20="Liability|accrued",-N(D20),0)+IF(M20="Liability|accrued",N(D20),0)</f>
        <v/>
      </c>
      <c r="T20" s="23">
        <f>IF(AND(N(D20)&lt;&gt;0,L20=""),1,0)+IF(AND(N(D20)&lt;&gt;0,M20=""),1,0)</f>
        <v/>
      </c>
    </row>
    <row r="21">
      <c r="A21" s="19" t="n"/>
      <c r="B21" s="14" t="n"/>
      <c r="C21" s="14" t="n"/>
      <c r="D21" s="20" t="n"/>
      <c r="E21" s="14" t="n"/>
      <c r="F21" s="14" t="n"/>
      <c r="G21" s="14" t="n"/>
      <c r="H21" s="14" t="n"/>
      <c r="I21" s="14" t="n"/>
      <c r="J21" s="16">
        <f>IF(C21="",INDEX('Chart of Accounts'!$A$5:$A$3000,MATCH("ap",'Chart of Accounts'!$F$5:$F$3000,0)),C21&amp;"")</f>
        <v/>
      </c>
      <c r="K21" s="16">
        <f>IF(F21="",INDEX('Chart of Accounts'!$A$5:$A$3000,MATCH("bank",'Chart of Accounts'!$F$5:$F$3000,0)),F21&amp;"")</f>
        <v/>
      </c>
      <c r="L21" s="23">
        <f>IFERROR(INDEX('Chart of Accounts'!$C$5:$C$3000,MATCH(J21&amp;"",'Chart of Accounts'!$A$5:$A$3000,0))&amp;"|"&amp;INDEX('Chart of Accounts'!$D$5:$D$3000,MATCH(J21&amp;"",'Chart of Accounts'!$A$5:$A$3000,0)),"")</f>
        <v/>
      </c>
      <c r="M21" s="23">
        <f>IFERROR(INDEX('Chart of Accounts'!$C$5:$C$3000,MATCH(K21&amp;"",'Chart of Accounts'!$A$5:$A$3000,0))&amp;"|"&amp;INDEX('Chart of Accounts'!$D$5:$D$3000,MATCH(K21&amp;"",'Chart of Accounts'!$A$5:$A$3000,0)),"")</f>
        <v/>
      </c>
      <c r="N21" s="23">
        <f>IF(LEFT(L21,8)="Revenue|",-N(D21),0)+IF(LEFT(M21,8)="Revenue|",N(D21),0)</f>
        <v/>
      </c>
      <c r="O21" s="23">
        <f>IF(LEFT(L21,5)="COGS|",N(D21),0)+IF(LEFT(M21,5)="COGS|",-N(D21),0)</f>
        <v/>
      </c>
      <c r="P21" s="23">
        <f>IF(LEFT(L21,8)="Expense|",N(D21),0)+IF(LEFT(M21,8)="Expense|",-N(D21),0)</f>
        <v/>
      </c>
      <c r="Q21" s="23">
        <f>IF(ISNUMBER(MATCH(L21,{"Expense|employee","Expense|general_admin","Expense|marketing","Expense|utilities","Expense|other_operating"},0)),N(D21),0)+IF(ISNUMBER(MATCH(M21,{"Expense|employee","Expense|general_admin","Expense|marketing","Expense|utilities","Expense|other_operating"},0)),-N(D21),0)</f>
        <v/>
      </c>
      <c r="R21" s="23">
        <f>IF(L21="Liability|payable",-N(D21),0)+IF(M21="Liability|payable",N(D21),0)</f>
        <v/>
      </c>
      <c r="S21" s="23">
        <f>IF(L21="Liability|accrued",-N(D21),0)+IF(M21="Liability|accrued",N(D21),0)</f>
        <v/>
      </c>
      <c r="T21" s="23">
        <f>IF(AND(N(D21)&lt;&gt;0,L21=""),1,0)+IF(AND(N(D21)&lt;&gt;0,M21=""),1,0)</f>
        <v/>
      </c>
    </row>
    <row r="22">
      <c r="A22" s="19" t="n"/>
      <c r="B22" s="14" t="n"/>
      <c r="C22" s="14" t="n"/>
      <c r="D22" s="20" t="n"/>
      <c r="E22" s="14" t="n"/>
      <c r="F22" s="14" t="n"/>
      <c r="G22" s="14" t="n"/>
      <c r="H22" s="14" t="n"/>
      <c r="I22" s="14" t="n"/>
      <c r="J22" s="16">
        <f>IF(C22="",INDEX('Chart of Accounts'!$A$5:$A$3000,MATCH("ap",'Chart of Accounts'!$F$5:$F$3000,0)),C22&amp;"")</f>
        <v/>
      </c>
      <c r="K22" s="16">
        <f>IF(F22="",INDEX('Chart of Accounts'!$A$5:$A$3000,MATCH("bank",'Chart of Accounts'!$F$5:$F$3000,0)),F22&amp;"")</f>
        <v/>
      </c>
      <c r="L22" s="23">
        <f>IFERROR(INDEX('Chart of Accounts'!$C$5:$C$3000,MATCH(J22&amp;"",'Chart of Accounts'!$A$5:$A$3000,0))&amp;"|"&amp;INDEX('Chart of Accounts'!$D$5:$D$3000,MATCH(J22&amp;"",'Chart of Accounts'!$A$5:$A$3000,0)),"")</f>
        <v/>
      </c>
      <c r="M22" s="23">
        <f>IFERROR(INDEX('Chart of Accounts'!$C$5:$C$3000,MATCH(K22&amp;"",'Chart of Accounts'!$A$5:$A$3000,0))&amp;"|"&amp;INDEX('Chart of Accounts'!$D$5:$D$3000,MATCH(K22&amp;"",'Chart of Accounts'!$A$5:$A$3000,0)),"")</f>
        <v/>
      </c>
      <c r="N22" s="23">
        <f>IF(LEFT(L22,8)="Revenue|",-N(D22),0)+IF(LEFT(M22,8)="Revenue|",N(D22),0)</f>
        <v/>
      </c>
      <c r="O22" s="23">
        <f>IF(LEFT(L22,5)="COGS|",N(D22),0)+IF(LEFT(M22,5)="COGS|",-N(D22),0)</f>
        <v/>
      </c>
      <c r="P22" s="23">
        <f>IF(LEFT(L22,8)="Expense|",N(D22),0)+IF(LEFT(M22,8)="Expense|",-N(D22),0)</f>
        <v/>
      </c>
      <c r="Q22" s="23">
        <f>IF(ISNUMBER(MATCH(L22,{"Expense|employee","Expense|general_admin","Expense|marketing","Expense|utilities","Expense|other_operating"},0)),N(D22),0)+IF(ISNUMBER(MATCH(M22,{"Expense|employee","Expense|general_admin","Expense|marketing","Expense|utilities","Expense|other_operating"},0)),-N(D22),0)</f>
        <v/>
      </c>
      <c r="R22" s="23">
        <f>IF(L22="Liability|payable",-N(D22),0)+IF(M22="Liability|payable",N(D22),0)</f>
        <v/>
      </c>
      <c r="S22" s="23">
        <f>IF(L22="Liability|accrued",-N(D22),0)+IF(M22="Liability|accrued",N(D22),0)</f>
        <v/>
      </c>
      <c r="T22" s="23">
        <f>IF(AND(N(D22)&lt;&gt;0,L22=""),1,0)+IF(AND(N(D22)&lt;&gt;0,M22=""),1,0)</f>
        <v/>
      </c>
    </row>
    <row r="23">
      <c r="A23" s="19" t="n"/>
      <c r="B23" s="14" t="n"/>
      <c r="C23" s="14" t="n"/>
      <c r="D23" s="20" t="n"/>
      <c r="E23" s="14" t="n"/>
      <c r="F23" s="14" t="n"/>
      <c r="G23" s="14" t="n"/>
      <c r="H23" s="14" t="n"/>
      <c r="I23" s="14" t="n"/>
      <c r="J23" s="16">
        <f>IF(C23="",INDEX('Chart of Accounts'!$A$5:$A$3000,MATCH("ap",'Chart of Accounts'!$F$5:$F$3000,0)),C23&amp;"")</f>
        <v/>
      </c>
      <c r="K23" s="16">
        <f>IF(F23="",INDEX('Chart of Accounts'!$A$5:$A$3000,MATCH("bank",'Chart of Accounts'!$F$5:$F$3000,0)),F23&amp;"")</f>
        <v/>
      </c>
      <c r="L23" s="23">
        <f>IFERROR(INDEX('Chart of Accounts'!$C$5:$C$3000,MATCH(J23&amp;"",'Chart of Accounts'!$A$5:$A$3000,0))&amp;"|"&amp;INDEX('Chart of Accounts'!$D$5:$D$3000,MATCH(J23&amp;"",'Chart of Accounts'!$A$5:$A$3000,0)),"")</f>
        <v/>
      </c>
      <c r="M23" s="23">
        <f>IFERROR(INDEX('Chart of Accounts'!$C$5:$C$3000,MATCH(K23&amp;"",'Chart of Accounts'!$A$5:$A$3000,0))&amp;"|"&amp;INDEX('Chart of Accounts'!$D$5:$D$3000,MATCH(K23&amp;"",'Chart of Accounts'!$A$5:$A$3000,0)),"")</f>
        <v/>
      </c>
      <c r="N23" s="23">
        <f>IF(LEFT(L23,8)="Revenue|",-N(D23),0)+IF(LEFT(M23,8)="Revenue|",N(D23),0)</f>
        <v/>
      </c>
      <c r="O23" s="23">
        <f>IF(LEFT(L23,5)="COGS|",N(D23),0)+IF(LEFT(M23,5)="COGS|",-N(D23),0)</f>
        <v/>
      </c>
      <c r="P23" s="23">
        <f>IF(LEFT(L23,8)="Expense|",N(D23),0)+IF(LEFT(M23,8)="Expense|",-N(D23),0)</f>
        <v/>
      </c>
      <c r="Q23" s="23">
        <f>IF(ISNUMBER(MATCH(L23,{"Expense|employee","Expense|general_admin","Expense|marketing","Expense|utilities","Expense|other_operating"},0)),N(D23),0)+IF(ISNUMBER(MATCH(M23,{"Expense|employee","Expense|general_admin","Expense|marketing","Expense|utilities","Expense|other_operating"},0)),-N(D23),0)</f>
        <v/>
      </c>
      <c r="R23" s="23">
        <f>IF(L23="Liability|payable",-N(D23),0)+IF(M23="Liability|payable",N(D23),0)</f>
        <v/>
      </c>
      <c r="S23" s="23">
        <f>IF(L23="Liability|accrued",-N(D23),0)+IF(M23="Liability|accrued",N(D23),0)</f>
        <v/>
      </c>
      <c r="T23" s="23">
        <f>IF(AND(N(D23)&lt;&gt;0,L23=""),1,0)+IF(AND(N(D23)&lt;&gt;0,M23=""),1,0)</f>
        <v/>
      </c>
    </row>
    <row r="24">
      <c r="A24" s="19" t="n"/>
      <c r="B24" s="14" t="n"/>
      <c r="C24" s="14" t="n"/>
      <c r="D24" s="20" t="n"/>
      <c r="E24" s="14" t="n"/>
      <c r="F24" s="14" t="n"/>
      <c r="G24" s="14" t="n"/>
      <c r="H24" s="14" t="n"/>
      <c r="I24" s="14" t="n"/>
      <c r="J24" s="16">
        <f>IF(C24="",INDEX('Chart of Accounts'!$A$5:$A$3000,MATCH("ap",'Chart of Accounts'!$F$5:$F$3000,0)),C24&amp;"")</f>
        <v/>
      </c>
      <c r="K24" s="16">
        <f>IF(F24="",INDEX('Chart of Accounts'!$A$5:$A$3000,MATCH("bank",'Chart of Accounts'!$F$5:$F$3000,0)),F24&amp;"")</f>
        <v/>
      </c>
      <c r="L24" s="23">
        <f>IFERROR(INDEX('Chart of Accounts'!$C$5:$C$3000,MATCH(J24&amp;"",'Chart of Accounts'!$A$5:$A$3000,0))&amp;"|"&amp;INDEX('Chart of Accounts'!$D$5:$D$3000,MATCH(J24&amp;"",'Chart of Accounts'!$A$5:$A$3000,0)),"")</f>
        <v/>
      </c>
      <c r="M24" s="23">
        <f>IFERROR(INDEX('Chart of Accounts'!$C$5:$C$3000,MATCH(K24&amp;"",'Chart of Accounts'!$A$5:$A$3000,0))&amp;"|"&amp;INDEX('Chart of Accounts'!$D$5:$D$3000,MATCH(K24&amp;"",'Chart of Accounts'!$A$5:$A$3000,0)),"")</f>
        <v/>
      </c>
      <c r="N24" s="23">
        <f>IF(LEFT(L24,8)="Revenue|",-N(D24),0)+IF(LEFT(M24,8)="Revenue|",N(D24),0)</f>
        <v/>
      </c>
      <c r="O24" s="23">
        <f>IF(LEFT(L24,5)="COGS|",N(D24),0)+IF(LEFT(M24,5)="COGS|",-N(D24),0)</f>
        <v/>
      </c>
      <c r="P24" s="23">
        <f>IF(LEFT(L24,8)="Expense|",N(D24),0)+IF(LEFT(M24,8)="Expense|",-N(D24),0)</f>
        <v/>
      </c>
      <c r="Q24" s="23">
        <f>IF(ISNUMBER(MATCH(L24,{"Expense|employee","Expense|general_admin","Expense|marketing","Expense|utilities","Expense|other_operating"},0)),N(D24),0)+IF(ISNUMBER(MATCH(M24,{"Expense|employee","Expense|general_admin","Expense|marketing","Expense|utilities","Expense|other_operating"},0)),-N(D24),0)</f>
        <v/>
      </c>
      <c r="R24" s="23">
        <f>IF(L24="Liability|payable",-N(D24),0)+IF(M24="Liability|payable",N(D24),0)</f>
        <v/>
      </c>
      <c r="S24" s="23">
        <f>IF(L24="Liability|accrued",-N(D24),0)+IF(M24="Liability|accrued",N(D24),0)</f>
        <v/>
      </c>
      <c r="T24" s="23">
        <f>IF(AND(N(D24)&lt;&gt;0,L24=""),1,0)+IF(AND(N(D24)&lt;&gt;0,M24=""),1,0)</f>
        <v/>
      </c>
    </row>
    <row r="25">
      <c r="A25" s="19" t="n"/>
      <c r="B25" s="14" t="n"/>
      <c r="C25" s="14" t="n"/>
      <c r="D25" s="20" t="n"/>
      <c r="E25" s="14" t="n"/>
      <c r="F25" s="14" t="n"/>
      <c r="G25" s="14" t="n"/>
      <c r="H25" s="14" t="n"/>
      <c r="I25" s="14" t="n"/>
      <c r="J25" s="16">
        <f>IF(C25="",INDEX('Chart of Accounts'!$A$5:$A$3000,MATCH("ap",'Chart of Accounts'!$F$5:$F$3000,0)),C25&amp;"")</f>
        <v/>
      </c>
      <c r="K25" s="16">
        <f>IF(F25="",INDEX('Chart of Accounts'!$A$5:$A$3000,MATCH("bank",'Chart of Accounts'!$F$5:$F$3000,0)),F25&amp;"")</f>
        <v/>
      </c>
      <c r="L25" s="23">
        <f>IFERROR(INDEX('Chart of Accounts'!$C$5:$C$3000,MATCH(J25&amp;"",'Chart of Accounts'!$A$5:$A$3000,0))&amp;"|"&amp;INDEX('Chart of Accounts'!$D$5:$D$3000,MATCH(J25&amp;"",'Chart of Accounts'!$A$5:$A$3000,0)),"")</f>
        <v/>
      </c>
      <c r="M25" s="23">
        <f>IFERROR(INDEX('Chart of Accounts'!$C$5:$C$3000,MATCH(K25&amp;"",'Chart of Accounts'!$A$5:$A$3000,0))&amp;"|"&amp;INDEX('Chart of Accounts'!$D$5:$D$3000,MATCH(K25&amp;"",'Chart of Accounts'!$A$5:$A$3000,0)),"")</f>
        <v/>
      </c>
      <c r="N25" s="23">
        <f>IF(LEFT(L25,8)="Revenue|",-N(D25),0)+IF(LEFT(M25,8)="Revenue|",N(D25),0)</f>
        <v/>
      </c>
      <c r="O25" s="23">
        <f>IF(LEFT(L25,5)="COGS|",N(D25),0)+IF(LEFT(M25,5)="COGS|",-N(D25),0)</f>
        <v/>
      </c>
      <c r="P25" s="23">
        <f>IF(LEFT(L25,8)="Expense|",N(D25),0)+IF(LEFT(M25,8)="Expense|",-N(D25),0)</f>
        <v/>
      </c>
      <c r="Q25" s="23">
        <f>IF(ISNUMBER(MATCH(L25,{"Expense|employee","Expense|general_admin","Expense|marketing","Expense|utilities","Expense|other_operating"},0)),N(D25),0)+IF(ISNUMBER(MATCH(M25,{"Expense|employee","Expense|general_admin","Expense|marketing","Expense|utilities","Expense|other_operating"},0)),-N(D25),0)</f>
        <v/>
      </c>
      <c r="R25" s="23">
        <f>IF(L25="Liability|payable",-N(D25),0)+IF(M25="Liability|payable",N(D25),0)</f>
        <v/>
      </c>
      <c r="S25" s="23">
        <f>IF(L25="Liability|accrued",-N(D25),0)+IF(M25="Liability|accrued",N(D25),0)</f>
        <v/>
      </c>
      <c r="T25" s="23">
        <f>IF(AND(N(D25)&lt;&gt;0,L25=""),1,0)+IF(AND(N(D25)&lt;&gt;0,M25=""),1,0)</f>
        <v/>
      </c>
    </row>
    <row r="26">
      <c r="A26" s="19" t="n"/>
      <c r="B26" s="14" t="n"/>
      <c r="C26" s="14" t="n"/>
      <c r="D26" s="20" t="n"/>
      <c r="E26" s="14" t="n"/>
      <c r="F26" s="14" t="n"/>
      <c r="G26" s="14" t="n"/>
      <c r="H26" s="14" t="n"/>
      <c r="I26" s="14" t="n"/>
      <c r="J26" s="16">
        <f>IF(C26="",INDEX('Chart of Accounts'!$A$5:$A$3000,MATCH("ap",'Chart of Accounts'!$F$5:$F$3000,0)),C26&amp;"")</f>
        <v/>
      </c>
      <c r="K26" s="16">
        <f>IF(F26="",INDEX('Chart of Accounts'!$A$5:$A$3000,MATCH("bank",'Chart of Accounts'!$F$5:$F$3000,0)),F26&amp;"")</f>
        <v/>
      </c>
      <c r="L26" s="23">
        <f>IFERROR(INDEX('Chart of Accounts'!$C$5:$C$3000,MATCH(J26&amp;"",'Chart of Accounts'!$A$5:$A$3000,0))&amp;"|"&amp;INDEX('Chart of Accounts'!$D$5:$D$3000,MATCH(J26&amp;"",'Chart of Accounts'!$A$5:$A$3000,0)),"")</f>
        <v/>
      </c>
      <c r="M26" s="23">
        <f>IFERROR(INDEX('Chart of Accounts'!$C$5:$C$3000,MATCH(K26&amp;"",'Chart of Accounts'!$A$5:$A$3000,0))&amp;"|"&amp;INDEX('Chart of Accounts'!$D$5:$D$3000,MATCH(K26&amp;"",'Chart of Accounts'!$A$5:$A$3000,0)),"")</f>
        <v/>
      </c>
      <c r="N26" s="23">
        <f>IF(LEFT(L26,8)="Revenue|",-N(D26),0)+IF(LEFT(M26,8)="Revenue|",N(D26),0)</f>
        <v/>
      </c>
      <c r="O26" s="23">
        <f>IF(LEFT(L26,5)="COGS|",N(D26),0)+IF(LEFT(M26,5)="COGS|",-N(D26),0)</f>
        <v/>
      </c>
      <c r="P26" s="23">
        <f>IF(LEFT(L26,8)="Expense|",N(D26),0)+IF(LEFT(M26,8)="Expense|",-N(D26),0)</f>
        <v/>
      </c>
      <c r="Q26" s="23">
        <f>IF(ISNUMBER(MATCH(L26,{"Expense|employee","Expense|general_admin","Expense|marketing","Expense|utilities","Expense|other_operating"},0)),N(D26),0)+IF(ISNUMBER(MATCH(M26,{"Expense|employee","Expense|general_admin","Expense|marketing","Expense|utilities","Expense|other_operating"},0)),-N(D26),0)</f>
        <v/>
      </c>
      <c r="R26" s="23">
        <f>IF(L26="Liability|payable",-N(D26),0)+IF(M26="Liability|payable",N(D26),0)</f>
        <v/>
      </c>
      <c r="S26" s="23">
        <f>IF(L26="Liability|accrued",-N(D26),0)+IF(M26="Liability|accrued",N(D26),0)</f>
        <v/>
      </c>
      <c r="T26" s="23">
        <f>IF(AND(N(D26)&lt;&gt;0,L26=""),1,0)+IF(AND(N(D26)&lt;&gt;0,M26=""),1,0)</f>
        <v/>
      </c>
    </row>
    <row r="27">
      <c r="A27" s="19" t="n"/>
      <c r="B27" s="14" t="n"/>
      <c r="C27" s="14" t="n"/>
      <c r="D27" s="20" t="n"/>
      <c r="E27" s="14" t="n"/>
      <c r="F27" s="14" t="n"/>
      <c r="G27" s="14" t="n"/>
      <c r="H27" s="14" t="n"/>
      <c r="I27" s="14" t="n"/>
      <c r="J27" s="16">
        <f>IF(C27="",INDEX('Chart of Accounts'!$A$5:$A$3000,MATCH("ap",'Chart of Accounts'!$F$5:$F$3000,0)),C27&amp;"")</f>
        <v/>
      </c>
      <c r="K27" s="16">
        <f>IF(F27="",INDEX('Chart of Accounts'!$A$5:$A$3000,MATCH("bank",'Chart of Accounts'!$F$5:$F$3000,0)),F27&amp;"")</f>
        <v/>
      </c>
      <c r="L27" s="23">
        <f>IFERROR(INDEX('Chart of Accounts'!$C$5:$C$3000,MATCH(J27&amp;"",'Chart of Accounts'!$A$5:$A$3000,0))&amp;"|"&amp;INDEX('Chart of Accounts'!$D$5:$D$3000,MATCH(J27&amp;"",'Chart of Accounts'!$A$5:$A$3000,0)),"")</f>
        <v/>
      </c>
      <c r="M27" s="23">
        <f>IFERROR(INDEX('Chart of Accounts'!$C$5:$C$3000,MATCH(K27&amp;"",'Chart of Accounts'!$A$5:$A$3000,0))&amp;"|"&amp;INDEX('Chart of Accounts'!$D$5:$D$3000,MATCH(K27&amp;"",'Chart of Accounts'!$A$5:$A$3000,0)),"")</f>
        <v/>
      </c>
      <c r="N27" s="23">
        <f>IF(LEFT(L27,8)="Revenue|",-N(D27),0)+IF(LEFT(M27,8)="Revenue|",N(D27),0)</f>
        <v/>
      </c>
      <c r="O27" s="23">
        <f>IF(LEFT(L27,5)="COGS|",N(D27),0)+IF(LEFT(M27,5)="COGS|",-N(D27),0)</f>
        <v/>
      </c>
      <c r="P27" s="23">
        <f>IF(LEFT(L27,8)="Expense|",N(D27),0)+IF(LEFT(M27,8)="Expense|",-N(D27),0)</f>
        <v/>
      </c>
      <c r="Q27" s="23">
        <f>IF(ISNUMBER(MATCH(L27,{"Expense|employee","Expense|general_admin","Expense|marketing","Expense|utilities","Expense|other_operating"},0)),N(D27),0)+IF(ISNUMBER(MATCH(M27,{"Expense|employee","Expense|general_admin","Expense|marketing","Expense|utilities","Expense|other_operating"},0)),-N(D27),0)</f>
        <v/>
      </c>
      <c r="R27" s="23">
        <f>IF(L27="Liability|payable",-N(D27),0)+IF(M27="Liability|payable",N(D27),0)</f>
        <v/>
      </c>
      <c r="S27" s="23">
        <f>IF(L27="Liability|accrued",-N(D27),0)+IF(M27="Liability|accrued",N(D27),0)</f>
        <v/>
      </c>
      <c r="T27" s="23">
        <f>IF(AND(N(D27)&lt;&gt;0,L27=""),1,0)+IF(AND(N(D27)&lt;&gt;0,M27=""),1,0)</f>
        <v/>
      </c>
    </row>
    <row r="28">
      <c r="A28" s="19" t="n"/>
      <c r="B28" s="14" t="n"/>
      <c r="C28" s="14" t="n"/>
      <c r="D28" s="20" t="n"/>
      <c r="E28" s="14" t="n"/>
      <c r="F28" s="14" t="n"/>
      <c r="G28" s="14" t="n"/>
      <c r="H28" s="14" t="n"/>
      <c r="I28" s="14" t="n"/>
      <c r="J28" s="16">
        <f>IF(C28="",INDEX('Chart of Accounts'!$A$5:$A$3000,MATCH("ap",'Chart of Accounts'!$F$5:$F$3000,0)),C28&amp;"")</f>
        <v/>
      </c>
      <c r="K28" s="16">
        <f>IF(F28="",INDEX('Chart of Accounts'!$A$5:$A$3000,MATCH("bank",'Chart of Accounts'!$F$5:$F$3000,0)),F28&amp;"")</f>
        <v/>
      </c>
      <c r="L28" s="23">
        <f>IFERROR(INDEX('Chart of Accounts'!$C$5:$C$3000,MATCH(J28&amp;"",'Chart of Accounts'!$A$5:$A$3000,0))&amp;"|"&amp;INDEX('Chart of Accounts'!$D$5:$D$3000,MATCH(J28&amp;"",'Chart of Accounts'!$A$5:$A$3000,0)),"")</f>
        <v/>
      </c>
      <c r="M28" s="23">
        <f>IFERROR(INDEX('Chart of Accounts'!$C$5:$C$3000,MATCH(K28&amp;"",'Chart of Accounts'!$A$5:$A$3000,0))&amp;"|"&amp;INDEX('Chart of Accounts'!$D$5:$D$3000,MATCH(K28&amp;"",'Chart of Accounts'!$A$5:$A$3000,0)),"")</f>
        <v/>
      </c>
      <c r="N28" s="23">
        <f>IF(LEFT(L28,8)="Revenue|",-N(D28),0)+IF(LEFT(M28,8)="Revenue|",N(D28),0)</f>
        <v/>
      </c>
      <c r="O28" s="23">
        <f>IF(LEFT(L28,5)="COGS|",N(D28),0)+IF(LEFT(M28,5)="COGS|",-N(D28),0)</f>
        <v/>
      </c>
      <c r="P28" s="23">
        <f>IF(LEFT(L28,8)="Expense|",N(D28),0)+IF(LEFT(M28,8)="Expense|",-N(D28),0)</f>
        <v/>
      </c>
      <c r="Q28" s="23">
        <f>IF(ISNUMBER(MATCH(L28,{"Expense|employee","Expense|general_admin","Expense|marketing","Expense|utilities","Expense|other_operating"},0)),N(D28),0)+IF(ISNUMBER(MATCH(M28,{"Expense|employee","Expense|general_admin","Expense|marketing","Expense|utilities","Expense|other_operating"},0)),-N(D28),0)</f>
        <v/>
      </c>
      <c r="R28" s="23">
        <f>IF(L28="Liability|payable",-N(D28),0)+IF(M28="Liability|payable",N(D28),0)</f>
        <v/>
      </c>
      <c r="S28" s="23">
        <f>IF(L28="Liability|accrued",-N(D28),0)+IF(M28="Liability|accrued",N(D28),0)</f>
        <v/>
      </c>
      <c r="T28" s="23">
        <f>IF(AND(N(D28)&lt;&gt;0,L28=""),1,0)+IF(AND(N(D28)&lt;&gt;0,M28=""),1,0)</f>
        <v/>
      </c>
    </row>
    <row r="29">
      <c r="A29" s="19" t="n"/>
      <c r="B29" s="14" t="n"/>
      <c r="C29" s="14" t="n"/>
      <c r="D29" s="20" t="n"/>
      <c r="E29" s="14" t="n"/>
      <c r="F29" s="14" t="n"/>
      <c r="G29" s="14" t="n"/>
      <c r="H29" s="14" t="n"/>
      <c r="I29" s="14" t="n"/>
      <c r="J29" s="16">
        <f>IF(C29="",INDEX('Chart of Accounts'!$A$5:$A$3000,MATCH("ap",'Chart of Accounts'!$F$5:$F$3000,0)),C29&amp;"")</f>
        <v/>
      </c>
      <c r="K29" s="16">
        <f>IF(F29="",INDEX('Chart of Accounts'!$A$5:$A$3000,MATCH("bank",'Chart of Accounts'!$F$5:$F$3000,0)),F29&amp;"")</f>
        <v/>
      </c>
      <c r="L29" s="23">
        <f>IFERROR(INDEX('Chart of Accounts'!$C$5:$C$3000,MATCH(J29&amp;"",'Chart of Accounts'!$A$5:$A$3000,0))&amp;"|"&amp;INDEX('Chart of Accounts'!$D$5:$D$3000,MATCH(J29&amp;"",'Chart of Accounts'!$A$5:$A$3000,0)),"")</f>
        <v/>
      </c>
      <c r="M29" s="23">
        <f>IFERROR(INDEX('Chart of Accounts'!$C$5:$C$3000,MATCH(K29&amp;"",'Chart of Accounts'!$A$5:$A$3000,0))&amp;"|"&amp;INDEX('Chart of Accounts'!$D$5:$D$3000,MATCH(K29&amp;"",'Chart of Accounts'!$A$5:$A$3000,0)),"")</f>
        <v/>
      </c>
      <c r="N29" s="23">
        <f>IF(LEFT(L29,8)="Revenue|",-N(D29),0)+IF(LEFT(M29,8)="Revenue|",N(D29),0)</f>
        <v/>
      </c>
      <c r="O29" s="23">
        <f>IF(LEFT(L29,5)="COGS|",N(D29),0)+IF(LEFT(M29,5)="COGS|",-N(D29),0)</f>
        <v/>
      </c>
      <c r="P29" s="23">
        <f>IF(LEFT(L29,8)="Expense|",N(D29),0)+IF(LEFT(M29,8)="Expense|",-N(D29),0)</f>
        <v/>
      </c>
      <c r="Q29" s="23">
        <f>IF(ISNUMBER(MATCH(L29,{"Expense|employee","Expense|general_admin","Expense|marketing","Expense|utilities","Expense|other_operating"},0)),N(D29),0)+IF(ISNUMBER(MATCH(M29,{"Expense|employee","Expense|general_admin","Expense|marketing","Expense|utilities","Expense|other_operating"},0)),-N(D29),0)</f>
        <v/>
      </c>
      <c r="R29" s="23">
        <f>IF(L29="Liability|payable",-N(D29),0)+IF(M29="Liability|payable",N(D29),0)</f>
        <v/>
      </c>
      <c r="S29" s="23">
        <f>IF(L29="Liability|accrued",-N(D29),0)+IF(M29="Liability|accrued",N(D29),0)</f>
        <v/>
      </c>
      <c r="T29" s="23">
        <f>IF(AND(N(D29)&lt;&gt;0,L29=""),1,0)+IF(AND(N(D29)&lt;&gt;0,M29=""),1,0)</f>
        <v/>
      </c>
    </row>
    <row r="30">
      <c r="A30" s="19" t="n"/>
      <c r="B30" s="14" t="n"/>
      <c r="C30" s="14" t="n"/>
      <c r="D30" s="20" t="n"/>
      <c r="E30" s="14" t="n"/>
      <c r="F30" s="14" t="n"/>
      <c r="G30" s="14" t="n"/>
      <c r="H30" s="14" t="n"/>
      <c r="I30" s="14" t="n"/>
      <c r="J30" s="16">
        <f>IF(C30="",INDEX('Chart of Accounts'!$A$5:$A$3000,MATCH("ap",'Chart of Accounts'!$F$5:$F$3000,0)),C30&amp;"")</f>
        <v/>
      </c>
      <c r="K30" s="16">
        <f>IF(F30="",INDEX('Chart of Accounts'!$A$5:$A$3000,MATCH("bank",'Chart of Accounts'!$F$5:$F$3000,0)),F30&amp;"")</f>
        <v/>
      </c>
      <c r="L30" s="23">
        <f>IFERROR(INDEX('Chart of Accounts'!$C$5:$C$3000,MATCH(J30&amp;"",'Chart of Accounts'!$A$5:$A$3000,0))&amp;"|"&amp;INDEX('Chart of Accounts'!$D$5:$D$3000,MATCH(J30&amp;"",'Chart of Accounts'!$A$5:$A$3000,0)),"")</f>
        <v/>
      </c>
      <c r="M30" s="23">
        <f>IFERROR(INDEX('Chart of Accounts'!$C$5:$C$3000,MATCH(K30&amp;"",'Chart of Accounts'!$A$5:$A$3000,0))&amp;"|"&amp;INDEX('Chart of Accounts'!$D$5:$D$3000,MATCH(K30&amp;"",'Chart of Accounts'!$A$5:$A$3000,0)),"")</f>
        <v/>
      </c>
      <c r="N30" s="23">
        <f>IF(LEFT(L30,8)="Revenue|",-N(D30),0)+IF(LEFT(M30,8)="Revenue|",N(D30),0)</f>
        <v/>
      </c>
      <c r="O30" s="23">
        <f>IF(LEFT(L30,5)="COGS|",N(D30),0)+IF(LEFT(M30,5)="COGS|",-N(D30),0)</f>
        <v/>
      </c>
      <c r="P30" s="23">
        <f>IF(LEFT(L30,8)="Expense|",N(D30),0)+IF(LEFT(M30,8)="Expense|",-N(D30),0)</f>
        <v/>
      </c>
      <c r="Q30" s="23">
        <f>IF(ISNUMBER(MATCH(L30,{"Expense|employee","Expense|general_admin","Expense|marketing","Expense|utilities","Expense|other_operating"},0)),N(D30),0)+IF(ISNUMBER(MATCH(M30,{"Expense|employee","Expense|general_admin","Expense|marketing","Expense|utilities","Expense|other_operating"},0)),-N(D30),0)</f>
        <v/>
      </c>
      <c r="R30" s="23">
        <f>IF(L30="Liability|payable",-N(D30),0)+IF(M30="Liability|payable",N(D30),0)</f>
        <v/>
      </c>
      <c r="S30" s="23">
        <f>IF(L30="Liability|accrued",-N(D30),0)+IF(M30="Liability|accrued",N(D30),0)</f>
        <v/>
      </c>
      <c r="T30" s="23">
        <f>IF(AND(N(D30)&lt;&gt;0,L30=""),1,0)+IF(AND(N(D30)&lt;&gt;0,M30=""),1,0)</f>
        <v/>
      </c>
    </row>
    <row r="31">
      <c r="A31" s="19" t="n"/>
      <c r="B31" s="14" t="n"/>
      <c r="C31" s="14" t="n"/>
      <c r="D31" s="20" t="n"/>
      <c r="E31" s="14" t="n"/>
      <c r="F31" s="14" t="n"/>
      <c r="G31" s="14" t="n"/>
      <c r="H31" s="14" t="n"/>
      <c r="I31" s="14" t="n"/>
      <c r="J31" s="16">
        <f>IF(C31="",INDEX('Chart of Accounts'!$A$5:$A$3000,MATCH("ap",'Chart of Accounts'!$F$5:$F$3000,0)),C31&amp;"")</f>
        <v/>
      </c>
      <c r="K31" s="16">
        <f>IF(F31="",INDEX('Chart of Accounts'!$A$5:$A$3000,MATCH("bank",'Chart of Accounts'!$F$5:$F$3000,0)),F31&amp;"")</f>
        <v/>
      </c>
      <c r="L31" s="23">
        <f>IFERROR(INDEX('Chart of Accounts'!$C$5:$C$3000,MATCH(J31&amp;"",'Chart of Accounts'!$A$5:$A$3000,0))&amp;"|"&amp;INDEX('Chart of Accounts'!$D$5:$D$3000,MATCH(J31&amp;"",'Chart of Accounts'!$A$5:$A$3000,0)),"")</f>
        <v/>
      </c>
      <c r="M31" s="23">
        <f>IFERROR(INDEX('Chart of Accounts'!$C$5:$C$3000,MATCH(K31&amp;"",'Chart of Accounts'!$A$5:$A$3000,0))&amp;"|"&amp;INDEX('Chart of Accounts'!$D$5:$D$3000,MATCH(K31&amp;"",'Chart of Accounts'!$A$5:$A$3000,0)),"")</f>
        <v/>
      </c>
      <c r="N31" s="23">
        <f>IF(LEFT(L31,8)="Revenue|",-N(D31),0)+IF(LEFT(M31,8)="Revenue|",N(D31),0)</f>
        <v/>
      </c>
      <c r="O31" s="23">
        <f>IF(LEFT(L31,5)="COGS|",N(D31),0)+IF(LEFT(M31,5)="COGS|",-N(D31),0)</f>
        <v/>
      </c>
      <c r="P31" s="23">
        <f>IF(LEFT(L31,8)="Expense|",N(D31),0)+IF(LEFT(M31,8)="Expense|",-N(D31),0)</f>
        <v/>
      </c>
      <c r="Q31" s="23">
        <f>IF(ISNUMBER(MATCH(L31,{"Expense|employee","Expense|general_admin","Expense|marketing","Expense|utilities","Expense|other_operating"},0)),N(D31),0)+IF(ISNUMBER(MATCH(M31,{"Expense|employee","Expense|general_admin","Expense|marketing","Expense|utilities","Expense|other_operating"},0)),-N(D31),0)</f>
        <v/>
      </c>
      <c r="R31" s="23">
        <f>IF(L31="Liability|payable",-N(D31),0)+IF(M31="Liability|payable",N(D31),0)</f>
        <v/>
      </c>
      <c r="S31" s="23">
        <f>IF(L31="Liability|accrued",-N(D31),0)+IF(M31="Liability|accrued",N(D31),0)</f>
        <v/>
      </c>
      <c r="T31" s="23">
        <f>IF(AND(N(D31)&lt;&gt;0,L31=""),1,0)+IF(AND(N(D31)&lt;&gt;0,M31=""),1,0)</f>
        <v/>
      </c>
    </row>
    <row r="32">
      <c r="A32" s="19" t="n"/>
      <c r="B32" s="14" t="n"/>
      <c r="C32" s="14" t="n"/>
      <c r="D32" s="20" t="n"/>
      <c r="E32" s="14" t="n"/>
      <c r="F32" s="14" t="n"/>
      <c r="G32" s="14" t="n"/>
      <c r="H32" s="14" t="n"/>
      <c r="I32" s="14" t="n"/>
      <c r="J32" s="16">
        <f>IF(C32="",INDEX('Chart of Accounts'!$A$5:$A$3000,MATCH("ap",'Chart of Accounts'!$F$5:$F$3000,0)),C32&amp;"")</f>
        <v/>
      </c>
      <c r="K32" s="16">
        <f>IF(F32="",INDEX('Chart of Accounts'!$A$5:$A$3000,MATCH("bank",'Chart of Accounts'!$F$5:$F$3000,0)),F32&amp;"")</f>
        <v/>
      </c>
      <c r="L32" s="23">
        <f>IFERROR(INDEX('Chart of Accounts'!$C$5:$C$3000,MATCH(J32&amp;"",'Chart of Accounts'!$A$5:$A$3000,0))&amp;"|"&amp;INDEX('Chart of Accounts'!$D$5:$D$3000,MATCH(J32&amp;"",'Chart of Accounts'!$A$5:$A$3000,0)),"")</f>
        <v/>
      </c>
      <c r="M32" s="23">
        <f>IFERROR(INDEX('Chart of Accounts'!$C$5:$C$3000,MATCH(K32&amp;"",'Chart of Accounts'!$A$5:$A$3000,0))&amp;"|"&amp;INDEX('Chart of Accounts'!$D$5:$D$3000,MATCH(K32&amp;"",'Chart of Accounts'!$A$5:$A$3000,0)),"")</f>
        <v/>
      </c>
      <c r="N32" s="23">
        <f>IF(LEFT(L32,8)="Revenue|",-N(D32),0)+IF(LEFT(M32,8)="Revenue|",N(D32),0)</f>
        <v/>
      </c>
      <c r="O32" s="23">
        <f>IF(LEFT(L32,5)="COGS|",N(D32),0)+IF(LEFT(M32,5)="COGS|",-N(D32),0)</f>
        <v/>
      </c>
      <c r="P32" s="23">
        <f>IF(LEFT(L32,8)="Expense|",N(D32),0)+IF(LEFT(M32,8)="Expense|",-N(D32),0)</f>
        <v/>
      </c>
      <c r="Q32" s="23">
        <f>IF(ISNUMBER(MATCH(L32,{"Expense|employee","Expense|general_admin","Expense|marketing","Expense|utilities","Expense|other_operating"},0)),N(D32),0)+IF(ISNUMBER(MATCH(M32,{"Expense|employee","Expense|general_admin","Expense|marketing","Expense|utilities","Expense|other_operating"},0)),-N(D32),0)</f>
        <v/>
      </c>
      <c r="R32" s="23">
        <f>IF(L32="Liability|payable",-N(D32),0)+IF(M32="Liability|payable",N(D32),0)</f>
        <v/>
      </c>
      <c r="S32" s="23">
        <f>IF(L32="Liability|accrued",-N(D32),0)+IF(M32="Liability|accrued",N(D32),0)</f>
        <v/>
      </c>
      <c r="T32" s="23">
        <f>IF(AND(N(D32)&lt;&gt;0,L32=""),1,0)+IF(AND(N(D32)&lt;&gt;0,M32=""),1,0)</f>
        <v/>
      </c>
    </row>
    <row r="33">
      <c r="A33" s="19" t="n"/>
      <c r="B33" s="14" t="n"/>
      <c r="C33" s="14" t="n"/>
      <c r="D33" s="20" t="n"/>
      <c r="E33" s="14" t="n"/>
      <c r="F33" s="14" t="n"/>
      <c r="G33" s="14" t="n"/>
      <c r="H33" s="14" t="n"/>
      <c r="I33" s="14" t="n"/>
      <c r="J33" s="16">
        <f>IF(C33="",INDEX('Chart of Accounts'!$A$5:$A$3000,MATCH("ap",'Chart of Accounts'!$F$5:$F$3000,0)),C33&amp;"")</f>
        <v/>
      </c>
      <c r="K33" s="16">
        <f>IF(F33="",INDEX('Chart of Accounts'!$A$5:$A$3000,MATCH("bank",'Chart of Accounts'!$F$5:$F$3000,0)),F33&amp;"")</f>
        <v/>
      </c>
      <c r="L33" s="23">
        <f>IFERROR(INDEX('Chart of Accounts'!$C$5:$C$3000,MATCH(J33&amp;"",'Chart of Accounts'!$A$5:$A$3000,0))&amp;"|"&amp;INDEX('Chart of Accounts'!$D$5:$D$3000,MATCH(J33&amp;"",'Chart of Accounts'!$A$5:$A$3000,0)),"")</f>
        <v/>
      </c>
      <c r="M33" s="23">
        <f>IFERROR(INDEX('Chart of Accounts'!$C$5:$C$3000,MATCH(K33&amp;"",'Chart of Accounts'!$A$5:$A$3000,0))&amp;"|"&amp;INDEX('Chart of Accounts'!$D$5:$D$3000,MATCH(K33&amp;"",'Chart of Accounts'!$A$5:$A$3000,0)),"")</f>
        <v/>
      </c>
      <c r="N33" s="23">
        <f>IF(LEFT(L33,8)="Revenue|",-N(D33),0)+IF(LEFT(M33,8)="Revenue|",N(D33),0)</f>
        <v/>
      </c>
      <c r="O33" s="23">
        <f>IF(LEFT(L33,5)="COGS|",N(D33),0)+IF(LEFT(M33,5)="COGS|",-N(D33),0)</f>
        <v/>
      </c>
      <c r="P33" s="23">
        <f>IF(LEFT(L33,8)="Expense|",N(D33),0)+IF(LEFT(M33,8)="Expense|",-N(D33),0)</f>
        <v/>
      </c>
      <c r="Q33" s="23">
        <f>IF(ISNUMBER(MATCH(L33,{"Expense|employee","Expense|general_admin","Expense|marketing","Expense|utilities","Expense|other_operating"},0)),N(D33),0)+IF(ISNUMBER(MATCH(M33,{"Expense|employee","Expense|general_admin","Expense|marketing","Expense|utilities","Expense|other_operating"},0)),-N(D33),0)</f>
        <v/>
      </c>
      <c r="R33" s="23">
        <f>IF(L33="Liability|payable",-N(D33),0)+IF(M33="Liability|payable",N(D33),0)</f>
        <v/>
      </c>
      <c r="S33" s="23">
        <f>IF(L33="Liability|accrued",-N(D33),0)+IF(M33="Liability|accrued",N(D33),0)</f>
        <v/>
      </c>
      <c r="T33" s="23">
        <f>IF(AND(N(D33)&lt;&gt;0,L33=""),1,0)+IF(AND(N(D33)&lt;&gt;0,M33=""),1,0)</f>
        <v/>
      </c>
    </row>
    <row r="34">
      <c r="A34" s="19" t="n"/>
      <c r="B34" s="14" t="n"/>
      <c r="C34" s="14" t="n"/>
      <c r="D34" s="20" t="n"/>
      <c r="E34" s="14" t="n"/>
      <c r="F34" s="14" t="n"/>
      <c r="G34" s="14" t="n"/>
      <c r="H34" s="14" t="n"/>
      <c r="I34" s="14" t="n"/>
      <c r="J34" s="16">
        <f>IF(C34="",INDEX('Chart of Accounts'!$A$5:$A$3000,MATCH("ap",'Chart of Accounts'!$F$5:$F$3000,0)),C34&amp;"")</f>
        <v/>
      </c>
      <c r="K34" s="16">
        <f>IF(F34="",INDEX('Chart of Accounts'!$A$5:$A$3000,MATCH("bank",'Chart of Accounts'!$F$5:$F$3000,0)),F34&amp;"")</f>
        <v/>
      </c>
      <c r="L34" s="23">
        <f>IFERROR(INDEX('Chart of Accounts'!$C$5:$C$3000,MATCH(J34&amp;"",'Chart of Accounts'!$A$5:$A$3000,0))&amp;"|"&amp;INDEX('Chart of Accounts'!$D$5:$D$3000,MATCH(J34&amp;"",'Chart of Accounts'!$A$5:$A$3000,0)),"")</f>
        <v/>
      </c>
      <c r="M34" s="23">
        <f>IFERROR(INDEX('Chart of Accounts'!$C$5:$C$3000,MATCH(K34&amp;"",'Chart of Accounts'!$A$5:$A$3000,0))&amp;"|"&amp;INDEX('Chart of Accounts'!$D$5:$D$3000,MATCH(K34&amp;"",'Chart of Accounts'!$A$5:$A$3000,0)),"")</f>
        <v/>
      </c>
      <c r="N34" s="23">
        <f>IF(LEFT(L34,8)="Revenue|",-N(D34),0)+IF(LEFT(M34,8)="Revenue|",N(D34),0)</f>
        <v/>
      </c>
      <c r="O34" s="23">
        <f>IF(LEFT(L34,5)="COGS|",N(D34),0)+IF(LEFT(M34,5)="COGS|",-N(D34),0)</f>
        <v/>
      </c>
      <c r="P34" s="23">
        <f>IF(LEFT(L34,8)="Expense|",N(D34),0)+IF(LEFT(M34,8)="Expense|",-N(D34),0)</f>
        <v/>
      </c>
      <c r="Q34" s="23">
        <f>IF(ISNUMBER(MATCH(L34,{"Expense|employee","Expense|general_admin","Expense|marketing","Expense|utilities","Expense|other_operating"},0)),N(D34),0)+IF(ISNUMBER(MATCH(M34,{"Expense|employee","Expense|general_admin","Expense|marketing","Expense|utilities","Expense|other_operating"},0)),-N(D34),0)</f>
        <v/>
      </c>
      <c r="R34" s="23">
        <f>IF(L34="Liability|payable",-N(D34),0)+IF(M34="Liability|payable",N(D34),0)</f>
        <v/>
      </c>
      <c r="S34" s="23">
        <f>IF(L34="Liability|accrued",-N(D34),0)+IF(M34="Liability|accrued",N(D34),0)</f>
        <v/>
      </c>
      <c r="T34" s="23">
        <f>IF(AND(N(D34)&lt;&gt;0,L34=""),1,0)+IF(AND(N(D34)&lt;&gt;0,M34=""),1,0)</f>
        <v/>
      </c>
    </row>
    <row r="35">
      <c r="A35" s="19" t="n"/>
      <c r="B35" s="14" t="n"/>
      <c r="C35" s="14" t="n"/>
      <c r="D35" s="20" t="n"/>
      <c r="E35" s="14" t="n"/>
      <c r="F35" s="14" t="n"/>
      <c r="G35" s="14" t="n"/>
      <c r="H35" s="14" t="n"/>
      <c r="I35" s="14" t="n"/>
      <c r="J35" s="16">
        <f>IF(C35="",INDEX('Chart of Accounts'!$A$5:$A$3000,MATCH("ap",'Chart of Accounts'!$F$5:$F$3000,0)),C35&amp;"")</f>
        <v/>
      </c>
      <c r="K35" s="16">
        <f>IF(F35="",INDEX('Chart of Accounts'!$A$5:$A$3000,MATCH("bank",'Chart of Accounts'!$F$5:$F$3000,0)),F35&amp;"")</f>
        <v/>
      </c>
      <c r="L35" s="23">
        <f>IFERROR(INDEX('Chart of Accounts'!$C$5:$C$3000,MATCH(J35&amp;"",'Chart of Accounts'!$A$5:$A$3000,0))&amp;"|"&amp;INDEX('Chart of Accounts'!$D$5:$D$3000,MATCH(J35&amp;"",'Chart of Accounts'!$A$5:$A$3000,0)),"")</f>
        <v/>
      </c>
      <c r="M35" s="23">
        <f>IFERROR(INDEX('Chart of Accounts'!$C$5:$C$3000,MATCH(K35&amp;"",'Chart of Accounts'!$A$5:$A$3000,0))&amp;"|"&amp;INDEX('Chart of Accounts'!$D$5:$D$3000,MATCH(K35&amp;"",'Chart of Accounts'!$A$5:$A$3000,0)),"")</f>
        <v/>
      </c>
      <c r="N35" s="23">
        <f>IF(LEFT(L35,8)="Revenue|",-N(D35),0)+IF(LEFT(M35,8)="Revenue|",N(D35),0)</f>
        <v/>
      </c>
      <c r="O35" s="23">
        <f>IF(LEFT(L35,5)="COGS|",N(D35),0)+IF(LEFT(M35,5)="COGS|",-N(D35),0)</f>
        <v/>
      </c>
      <c r="P35" s="23">
        <f>IF(LEFT(L35,8)="Expense|",N(D35),0)+IF(LEFT(M35,8)="Expense|",-N(D35),0)</f>
        <v/>
      </c>
      <c r="Q35" s="23">
        <f>IF(ISNUMBER(MATCH(L35,{"Expense|employee","Expense|general_admin","Expense|marketing","Expense|utilities","Expense|other_operating"},0)),N(D35),0)+IF(ISNUMBER(MATCH(M35,{"Expense|employee","Expense|general_admin","Expense|marketing","Expense|utilities","Expense|other_operating"},0)),-N(D35),0)</f>
        <v/>
      </c>
      <c r="R35" s="23">
        <f>IF(L35="Liability|payable",-N(D35),0)+IF(M35="Liability|payable",N(D35),0)</f>
        <v/>
      </c>
      <c r="S35" s="23">
        <f>IF(L35="Liability|accrued",-N(D35),0)+IF(M35="Liability|accrued",N(D35),0)</f>
        <v/>
      </c>
      <c r="T35" s="23">
        <f>IF(AND(N(D35)&lt;&gt;0,L35=""),1,0)+IF(AND(N(D35)&lt;&gt;0,M35=""),1,0)</f>
        <v/>
      </c>
    </row>
    <row r="36">
      <c r="A36" s="19" t="n"/>
      <c r="B36" s="14" t="n"/>
      <c r="C36" s="14" t="n"/>
      <c r="D36" s="20" t="n"/>
      <c r="E36" s="14" t="n"/>
      <c r="F36" s="14" t="n"/>
      <c r="G36" s="14" t="n"/>
      <c r="H36" s="14" t="n"/>
      <c r="I36" s="14" t="n"/>
      <c r="J36" s="16">
        <f>IF(C36="",INDEX('Chart of Accounts'!$A$5:$A$3000,MATCH("ap",'Chart of Accounts'!$F$5:$F$3000,0)),C36&amp;"")</f>
        <v/>
      </c>
      <c r="K36" s="16">
        <f>IF(F36="",INDEX('Chart of Accounts'!$A$5:$A$3000,MATCH("bank",'Chart of Accounts'!$F$5:$F$3000,0)),F36&amp;"")</f>
        <v/>
      </c>
      <c r="L36" s="23">
        <f>IFERROR(INDEX('Chart of Accounts'!$C$5:$C$3000,MATCH(J36&amp;"",'Chart of Accounts'!$A$5:$A$3000,0))&amp;"|"&amp;INDEX('Chart of Accounts'!$D$5:$D$3000,MATCH(J36&amp;"",'Chart of Accounts'!$A$5:$A$3000,0)),"")</f>
        <v/>
      </c>
      <c r="M36" s="23">
        <f>IFERROR(INDEX('Chart of Accounts'!$C$5:$C$3000,MATCH(K36&amp;"",'Chart of Accounts'!$A$5:$A$3000,0))&amp;"|"&amp;INDEX('Chart of Accounts'!$D$5:$D$3000,MATCH(K36&amp;"",'Chart of Accounts'!$A$5:$A$3000,0)),"")</f>
        <v/>
      </c>
      <c r="N36" s="23">
        <f>IF(LEFT(L36,8)="Revenue|",-N(D36),0)+IF(LEFT(M36,8)="Revenue|",N(D36),0)</f>
        <v/>
      </c>
      <c r="O36" s="23">
        <f>IF(LEFT(L36,5)="COGS|",N(D36),0)+IF(LEFT(M36,5)="COGS|",-N(D36),0)</f>
        <v/>
      </c>
      <c r="P36" s="23">
        <f>IF(LEFT(L36,8)="Expense|",N(D36),0)+IF(LEFT(M36,8)="Expense|",-N(D36),0)</f>
        <v/>
      </c>
      <c r="Q36" s="23">
        <f>IF(ISNUMBER(MATCH(L36,{"Expense|employee","Expense|general_admin","Expense|marketing","Expense|utilities","Expense|other_operating"},0)),N(D36),0)+IF(ISNUMBER(MATCH(M36,{"Expense|employee","Expense|general_admin","Expense|marketing","Expense|utilities","Expense|other_operating"},0)),-N(D36),0)</f>
        <v/>
      </c>
      <c r="R36" s="23">
        <f>IF(L36="Liability|payable",-N(D36),0)+IF(M36="Liability|payable",N(D36),0)</f>
        <v/>
      </c>
      <c r="S36" s="23">
        <f>IF(L36="Liability|accrued",-N(D36),0)+IF(M36="Liability|accrued",N(D36),0)</f>
        <v/>
      </c>
      <c r="T36" s="23">
        <f>IF(AND(N(D36)&lt;&gt;0,L36=""),1,0)+IF(AND(N(D36)&lt;&gt;0,M36=""),1,0)</f>
        <v/>
      </c>
    </row>
    <row r="37">
      <c r="A37" s="19" t="n"/>
      <c r="B37" s="14" t="n"/>
      <c r="C37" s="14" t="n"/>
      <c r="D37" s="20" t="n"/>
      <c r="E37" s="14" t="n"/>
      <c r="F37" s="14" t="n"/>
      <c r="G37" s="14" t="n"/>
      <c r="H37" s="14" t="n"/>
      <c r="I37" s="14" t="n"/>
      <c r="J37" s="16">
        <f>IF(C37="",INDEX('Chart of Accounts'!$A$5:$A$3000,MATCH("ap",'Chart of Accounts'!$F$5:$F$3000,0)),C37&amp;"")</f>
        <v/>
      </c>
      <c r="K37" s="16">
        <f>IF(F37="",INDEX('Chart of Accounts'!$A$5:$A$3000,MATCH("bank",'Chart of Accounts'!$F$5:$F$3000,0)),F37&amp;"")</f>
        <v/>
      </c>
      <c r="L37" s="23">
        <f>IFERROR(INDEX('Chart of Accounts'!$C$5:$C$3000,MATCH(J37&amp;"",'Chart of Accounts'!$A$5:$A$3000,0))&amp;"|"&amp;INDEX('Chart of Accounts'!$D$5:$D$3000,MATCH(J37&amp;"",'Chart of Accounts'!$A$5:$A$3000,0)),"")</f>
        <v/>
      </c>
      <c r="M37" s="23">
        <f>IFERROR(INDEX('Chart of Accounts'!$C$5:$C$3000,MATCH(K37&amp;"",'Chart of Accounts'!$A$5:$A$3000,0))&amp;"|"&amp;INDEX('Chart of Accounts'!$D$5:$D$3000,MATCH(K37&amp;"",'Chart of Accounts'!$A$5:$A$3000,0)),"")</f>
        <v/>
      </c>
      <c r="N37" s="23">
        <f>IF(LEFT(L37,8)="Revenue|",-N(D37),0)+IF(LEFT(M37,8)="Revenue|",N(D37),0)</f>
        <v/>
      </c>
      <c r="O37" s="23">
        <f>IF(LEFT(L37,5)="COGS|",N(D37),0)+IF(LEFT(M37,5)="COGS|",-N(D37),0)</f>
        <v/>
      </c>
      <c r="P37" s="23">
        <f>IF(LEFT(L37,8)="Expense|",N(D37),0)+IF(LEFT(M37,8)="Expense|",-N(D37),0)</f>
        <v/>
      </c>
      <c r="Q37" s="23">
        <f>IF(ISNUMBER(MATCH(L37,{"Expense|employee","Expense|general_admin","Expense|marketing","Expense|utilities","Expense|other_operating"},0)),N(D37),0)+IF(ISNUMBER(MATCH(M37,{"Expense|employee","Expense|general_admin","Expense|marketing","Expense|utilities","Expense|other_operating"},0)),-N(D37),0)</f>
        <v/>
      </c>
      <c r="R37" s="23">
        <f>IF(L37="Liability|payable",-N(D37),0)+IF(M37="Liability|payable",N(D37),0)</f>
        <v/>
      </c>
      <c r="S37" s="23">
        <f>IF(L37="Liability|accrued",-N(D37),0)+IF(M37="Liability|accrued",N(D37),0)</f>
        <v/>
      </c>
      <c r="T37" s="23">
        <f>IF(AND(N(D37)&lt;&gt;0,L37=""),1,0)+IF(AND(N(D37)&lt;&gt;0,M37=""),1,0)</f>
        <v/>
      </c>
    </row>
    <row r="38">
      <c r="A38" s="19" t="n"/>
      <c r="B38" s="14" t="n"/>
      <c r="C38" s="14" t="n"/>
      <c r="D38" s="20" t="n"/>
      <c r="E38" s="14" t="n"/>
      <c r="F38" s="14" t="n"/>
      <c r="G38" s="14" t="n"/>
      <c r="H38" s="14" t="n"/>
      <c r="I38" s="14" t="n"/>
      <c r="J38" s="16">
        <f>IF(C38="",INDEX('Chart of Accounts'!$A$5:$A$3000,MATCH("ap",'Chart of Accounts'!$F$5:$F$3000,0)),C38&amp;"")</f>
        <v/>
      </c>
      <c r="K38" s="16">
        <f>IF(F38="",INDEX('Chart of Accounts'!$A$5:$A$3000,MATCH("bank",'Chart of Accounts'!$F$5:$F$3000,0)),F38&amp;"")</f>
        <v/>
      </c>
      <c r="L38" s="23">
        <f>IFERROR(INDEX('Chart of Accounts'!$C$5:$C$3000,MATCH(J38&amp;"",'Chart of Accounts'!$A$5:$A$3000,0))&amp;"|"&amp;INDEX('Chart of Accounts'!$D$5:$D$3000,MATCH(J38&amp;"",'Chart of Accounts'!$A$5:$A$3000,0)),"")</f>
        <v/>
      </c>
      <c r="M38" s="23">
        <f>IFERROR(INDEX('Chart of Accounts'!$C$5:$C$3000,MATCH(K38&amp;"",'Chart of Accounts'!$A$5:$A$3000,0))&amp;"|"&amp;INDEX('Chart of Accounts'!$D$5:$D$3000,MATCH(K38&amp;"",'Chart of Accounts'!$A$5:$A$3000,0)),"")</f>
        <v/>
      </c>
      <c r="N38" s="23">
        <f>IF(LEFT(L38,8)="Revenue|",-N(D38),0)+IF(LEFT(M38,8)="Revenue|",N(D38),0)</f>
        <v/>
      </c>
      <c r="O38" s="23">
        <f>IF(LEFT(L38,5)="COGS|",N(D38),0)+IF(LEFT(M38,5)="COGS|",-N(D38),0)</f>
        <v/>
      </c>
      <c r="P38" s="23">
        <f>IF(LEFT(L38,8)="Expense|",N(D38),0)+IF(LEFT(M38,8)="Expense|",-N(D38),0)</f>
        <v/>
      </c>
      <c r="Q38" s="23">
        <f>IF(ISNUMBER(MATCH(L38,{"Expense|employee","Expense|general_admin","Expense|marketing","Expense|utilities","Expense|other_operating"},0)),N(D38),0)+IF(ISNUMBER(MATCH(M38,{"Expense|employee","Expense|general_admin","Expense|marketing","Expense|utilities","Expense|other_operating"},0)),-N(D38),0)</f>
        <v/>
      </c>
      <c r="R38" s="23">
        <f>IF(L38="Liability|payable",-N(D38),0)+IF(M38="Liability|payable",N(D38),0)</f>
        <v/>
      </c>
      <c r="S38" s="23">
        <f>IF(L38="Liability|accrued",-N(D38),0)+IF(M38="Liability|accrued",N(D38),0)</f>
        <v/>
      </c>
      <c r="T38" s="23">
        <f>IF(AND(N(D38)&lt;&gt;0,L38=""),1,0)+IF(AND(N(D38)&lt;&gt;0,M38=""),1,0)</f>
        <v/>
      </c>
    </row>
    <row r="39">
      <c r="A39" s="19" t="n"/>
      <c r="B39" s="14" t="n"/>
      <c r="C39" s="14" t="n"/>
      <c r="D39" s="20" t="n"/>
      <c r="E39" s="14" t="n"/>
      <c r="F39" s="14" t="n"/>
      <c r="G39" s="14" t="n"/>
      <c r="H39" s="14" t="n"/>
      <c r="I39" s="14" t="n"/>
      <c r="J39" s="16">
        <f>IF(C39="",INDEX('Chart of Accounts'!$A$5:$A$3000,MATCH("ap",'Chart of Accounts'!$F$5:$F$3000,0)),C39&amp;"")</f>
        <v/>
      </c>
      <c r="K39" s="16">
        <f>IF(F39="",INDEX('Chart of Accounts'!$A$5:$A$3000,MATCH("bank",'Chart of Accounts'!$F$5:$F$3000,0)),F39&amp;"")</f>
        <v/>
      </c>
      <c r="L39" s="23">
        <f>IFERROR(INDEX('Chart of Accounts'!$C$5:$C$3000,MATCH(J39&amp;"",'Chart of Accounts'!$A$5:$A$3000,0))&amp;"|"&amp;INDEX('Chart of Accounts'!$D$5:$D$3000,MATCH(J39&amp;"",'Chart of Accounts'!$A$5:$A$3000,0)),"")</f>
        <v/>
      </c>
      <c r="M39" s="23">
        <f>IFERROR(INDEX('Chart of Accounts'!$C$5:$C$3000,MATCH(K39&amp;"",'Chart of Accounts'!$A$5:$A$3000,0))&amp;"|"&amp;INDEX('Chart of Accounts'!$D$5:$D$3000,MATCH(K39&amp;"",'Chart of Accounts'!$A$5:$A$3000,0)),"")</f>
        <v/>
      </c>
      <c r="N39" s="23">
        <f>IF(LEFT(L39,8)="Revenue|",-N(D39),0)+IF(LEFT(M39,8)="Revenue|",N(D39),0)</f>
        <v/>
      </c>
      <c r="O39" s="23">
        <f>IF(LEFT(L39,5)="COGS|",N(D39),0)+IF(LEFT(M39,5)="COGS|",-N(D39),0)</f>
        <v/>
      </c>
      <c r="P39" s="23">
        <f>IF(LEFT(L39,8)="Expense|",N(D39),0)+IF(LEFT(M39,8)="Expense|",-N(D39),0)</f>
        <v/>
      </c>
      <c r="Q39" s="23">
        <f>IF(ISNUMBER(MATCH(L39,{"Expense|employee","Expense|general_admin","Expense|marketing","Expense|utilities","Expense|other_operating"},0)),N(D39),0)+IF(ISNUMBER(MATCH(M39,{"Expense|employee","Expense|general_admin","Expense|marketing","Expense|utilities","Expense|other_operating"},0)),-N(D39),0)</f>
        <v/>
      </c>
      <c r="R39" s="23">
        <f>IF(L39="Liability|payable",-N(D39),0)+IF(M39="Liability|payable",N(D39),0)</f>
        <v/>
      </c>
      <c r="S39" s="23">
        <f>IF(L39="Liability|accrued",-N(D39),0)+IF(M39="Liability|accrued",N(D39),0)</f>
        <v/>
      </c>
      <c r="T39" s="23">
        <f>IF(AND(N(D39)&lt;&gt;0,L39=""),1,0)+IF(AND(N(D39)&lt;&gt;0,M39=""),1,0)</f>
        <v/>
      </c>
    </row>
    <row r="40">
      <c r="A40" s="19" t="n"/>
      <c r="B40" s="14" t="n"/>
      <c r="C40" s="14" t="n"/>
      <c r="D40" s="20" t="n"/>
      <c r="E40" s="14" t="n"/>
      <c r="F40" s="14" t="n"/>
      <c r="G40" s="14" t="n"/>
      <c r="H40" s="14" t="n"/>
      <c r="I40" s="14" t="n"/>
      <c r="J40" s="16">
        <f>IF(C40="",INDEX('Chart of Accounts'!$A$5:$A$3000,MATCH("ap",'Chart of Accounts'!$F$5:$F$3000,0)),C40&amp;"")</f>
        <v/>
      </c>
      <c r="K40" s="16">
        <f>IF(F40="",INDEX('Chart of Accounts'!$A$5:$A$3000,MATCH("bank",'Chart of Accounts'!$F$5:$F$3000,0)),F40&amp;"")</f>
        <v/>
      </c>
      <c r="L40" s="23">
        <f>IFERROR(INDEX('Chart of Accounts'!$C$5:$C$3000,MATCH(J40&amp;"",'Chart of Accounts'!$A$5:$A$3000,0))&amp;"|"&amp;INDEX('Chart of Accounts'!$D$5:$D$3000,MATCH(J40&amp;"",'Chart of Accounts'!$A$5:$A$3000,0)),"")</f>
        <v/>
      </c>
      <c r="M40" s="23">
        <f>IFERROR(INDEX('Chart of Accounts'!$C$5:$C$3000,MATCH(K40&amp;"",'Chart of Accounts'!$A$5:$A$3000,0))&amp;"|"&amp;INDEX('Chart of Accounts'!$D$5:$D$3000,MATCH(K40&amp;"",'Chart of Accounts'!$A$5:$A$3000,0)),"")</f>
        <v/>
      </c>
      <c r="N40" s="23">
        <f>IF(LEFT(L40,8)="Revenue|",-N(D40),0)+IF(LEFT(M40,8)="Revenue|",N(D40),0)</f>
        <v/>
      </c>
      <c r="O40" s="23">
        <f>IF(LEFT(L40,5)="COGS|",N(D40),0)+IF(LEFT(M40,5)="COGS|",-N(D40),0)</f>
        <v/>
      </c>
      <c r="P40" s="23">
        <f>IF(LEFT(L40,8)="Expense|",N(D40),0)+IF(LEFT(M40,8)="Expense|",-N(D40),0)</f>
        <v/>
      </c>
      <c r="Q40" s="23">
        <f>IF(ISNUMBER(MATCH(L40,{"Expense|employee","Expense|general_admin","Expense|marketing","Expense|utilities","Expense|other_operating"},0)),N(D40),0)+IF(ISNUMBER(MATCH(M40,{"Expense|employee","Expense|general_admin","Expense|marketing","Expense|utilities","Expense|other_operating"},0)),-N(D40),0)</f>
        <v/>
      </c>
      <c r="R40" s="23">
        <f>IF(L40="Liability|payable",-N(D40),0)+IF(M40="Liability|payable",N(D40),0)</f>
        <v/>
      </c>
      <c r="S40" s="23">
        <f>IF(L40="Liability|accrued",-N(D40),0)+IF(M40="Liability|accrued",N(D40),0)</f>
        <v/>
      </c>
      <c r="T40" s="23">
        <f>IF(AND(N(D40)&lt;&gt;0,L40=""),1,0)+IF(AND(N(D40)&lt;&gt;0,M40=""),1,0)</f>
        <v/>
      </c>
    </row>
    <row r="41">
      <c r="A41" s="19" t="n"/>
      <c r="B41" s="14" t="n"/>
      <c r="C41" s="14" t="n"/>
      <c r="D41" s="20" t="n"/>
      <c r="E41" s="14" t="n"/>
      <c r="F41" s="14" t="n"/>
      <c r="G41" s="14" t="n"/>
      <c r="H41" s="14" t="n"/>
      <c r="I41" s="14" t="n"/>
      <c r="J41" s="16">
        <f>IF(C41="",INDEX('Chart of Accounts'!$A$5:$A$3000,MATCH("ap",'Chart of Accounts'!$F$5:$F$3000,0)),C41&amp;"")</f>
        <v/>
      </c>
      <c r="K41" s="16">
        <f>IF(F41="",INDEX('Chart of Accounts'!$A$5:$A$3000,MATCH("bank",'Chart of Accounts'!$F$5:$F$3000,0)),F41&amp;"")</f>
        <v/>
      </c>
      <c r="L41" s="23">
        <f>IFERROR(INDEX('Chart of Accounts'!$C$5:$C$3000,MATCH(J41&amp;"",'Chart of Accounts'!$A$5:$A$3000,0))&amp;"|"&amp;INDEX('Chart of Accounts'!$D$5:$D$3000,MATCH(J41&amp;"",'Chart of Accounts'!$A$5:$A$3000,0)),"")</f>
        <v/>
      </c>
      <c r="M41" s="23">
        <f>IFERROR(INDEX('Chart of Accounts'!$C$5:$C$3000,MATCH(K41&amp;"",'Chart of Accounts'!$A$5:$A$3000,0))&amp;"|"&amp;INDEX('Chart of Accounts'!$D$5:$D$3000,MATCH(K41&amp;"",'Chart of Accounts'!$A$5:$A$3000,0)),"")</f>
        <v/>
      </c>
      <c r="N41" s="23">
        <f>IF(LEFT(L41,8)="Revenue|",-N(D41),0)+IF(LEFT(M41,8)="Revenue|",N(D41),0)</f>
        <v/>
      </c>
      <c r="O41" s="23">
        <f>IF(LEFT(L41,5)="COGS|",N(D41),0)+IF(LEFT(M41,5)="COGS|",-N(D41),0)</f>
        <v/>
      </c>
      <c r="P41" s="23">
        <f>IF(LEFT(L41,8)="Expense|",N(D41),0)+IF(LEFT(M41,8)="Expense|",-N(D41),0)</f>
        <v/>
      </c>
      <c r="Q41" s="23">
        <f>IF(ISNUMBER(MATCH(L41,{"Expense|employee","Expense|general_admin","Expense|marketing","Expense|utilities","Expense|other_operating"},0)),N(D41),0)+IF(ISNUMBER(MATCH(M41,{"Expense|employee","Expense|general_admin","Expense|marketing","Expense|utilities","Expense|other_operating"},0)),-N(D41),0)</f>
        <v/>
      </c>
      <c r="R41" s="23">
        <f>IF(L41="Liability|payable",-N(D41),0)+IF(M41="Liability|payable",N(D41),0)</f>
        <v/>
      </c>
      <c r="S41" s="23">
        <f>IF(L41="Liability|accrued",-N(D41),0)+IF(M41="Liability|accrued",N(D41),0)</f>
        <v/>
      </c>
      <c r="T41" s="23">
        <f>IF(AND(N(D41)&lt;&gt;0,L41=""),1,0)+IF(AND(N(D41)&lt;&gt;0,M41=""),1,0)</f>
        <v/>
      </c>
    </row>
    <row r="42">
      <c r="A42" s="19" t="n"/>
      <c r="B42" s="14" t="n"/>
      <c r="C42" s="14" t="n"/>
      <c r="D42" s="20" t="n"/>
      <c r="E42" s="14" t="n"/>
      <c r="F42" s="14" t="n"/>
      <c r="G42" s="14" t="n"/>
      <c r="H42" s="14" t="n"/>
      <c r="I42" s="14" t="n"/>
      <c r="J42" s="16">
        <f>IF(C42="",INDEX('Chart of Accounts'!$A$5:$A$3000,MATCH("ap",'Chart of Accounts'!$F$5:$F$3000,0)),C42&amp;"")</f>
        <v/>
      </c>
      <c r="K42" s="16">
        <f>IF(F42="",INDEX('Chart of Accounts'!$A$5:$A$3000,MATCH("bank",'Chart of Accounts'!$F$5:$F$3000,0)),F42&amp;"")</f>
        <v/>
      </c>
      <c r="L42" s="23">
        <f>IFERROR(INDEX('Chart of Accounts'!$C$5:$C$3000,MATCH(J42&amp;"",'Chart of Accounts'!$A$5:$A$3000,0))&amp;"|"&amp;INDEX('Chart of Accounts'!$D$5:$D$3000,MATCH(J42&amp;"",'Chart of Accounts'!$A$5:$A$3000,0)),"")</f>
        <v/>
      </c>
      <c r="M42" s="23">
        <f>IFERROR(INDEX('Chart of Accounts'!$C$5:$C$3000,MATCH(K42&amp;"",'Chart of Accounts'!$A$5:$A$3000,0))&amp;"|"&amp;INDEX('Chart of Accounts'!$D$5:$D$3000,MATCH(K42&amp;"",'Chart of Accounts'!$A$5:$A$3000,0)),"")</f>
        <v/>
      </c>
      <c r="N42" s="23">
        <f>IF(LEFT(L42,8)="Revenue|",-N(D42),0)+IF(LEFT(M42,8)="Revenue|",N(D42),0)</f>
        <v/>
      </c>
      <c r="O42" s="23">
        <f>IF(LEFT(L42,5)="COGS|",N(D42),0)+IF(LEFT(M42,5)="COGS|",-N(D42),0)</f>
        <v/>
      </c>
      <c r="P42" s="23">
        <f>IF(LEFT(L42,8)="Expense|",N(D42),0)+IF(LEFT(M42,8)="Expense|",-N(D42),0)</f>
        <v/>
      </c>
      <c r="Q42" s="23">
        <f>IF(ISNUMBER(MATCH(L42,{"Expense|employee","Expense|general_admin","Expense|marketing","Expense|utilities","Expense|other_operating"},0)),N(D42),0)+IF(ISNUMBER(MATCH(M42,{"Expense|employee","Expense|general_admin","Expense|marketing","Expense|utilities","Expense|other_operating"},0)),-N(D42),0)</f>
        <v/>
      </c>
      <c r="R42" s="23">
        <f>IF(L42="Liability|payable",-N(D42),0)+IF(M42="Liability|payable",N(D42),0)</f>
        <v/>
      </c>
      <c r="S42" s="23">
        <f>IF(L42="Liability|accrued",-N(D42),0)+IF(M42="Liability|accrued",N(D42),0)</f>
        <v/>
      </c>
      <c r="T42" s="23">
        <f>IF(AND(N(D42)&lt;&gt;0,L42=""),1,0)+IF(AND(N(D42)&lt;&gt;0,M42=""),1,0)</f>
        <v/>
      </c>
    </row>
    <row r="43">
      <c r="A43" s="19" t="n"/>
      <c r="B43" s="14" t="n"/>
      <c r="C43" s="14" t="n"/>
      <c r="D43" s="20" t="n"/>
      <c r="E43" s="14" t="n"/>
      <c r="F43" s="14" t="n"/>
      <c r="G43" s="14" t="n"/>
      <c r="H43" s="14" t="n"/>
      <c r="I43" s="14" t="n"/>
      <c r="J43" s="16">
        <f>IF(C43="",INDEX('Chart of Accounts'!$A$5:$A$3000,MATCH("ap",'Chart of Accounts'!$F$5:$F$3000,0)),C43&amp;"")</f>
        <v/>
      </c>
      <c r="K43" s="16">
        <f>IF(F43="",INDEX('Chart of Accounts'!$A$5:$A$3000,MATCH("bank",'Chart of Accounts'!$F$5:$F$3000,0)),F43&amp;"")</f>
        <v/>
      </c>
      <c r="L43" s="23">
        <f>IFERROR(INDEX('Chart of Accounts'!$C$5:$C$3000,MATCH(J43&amp;"",'Chart of Accounts'!$A$5:$A$3000,0))&amp;"|"&amp;INDEX('Chart of Accounts'!$D$5:$D$3000,MATCH(J43&amp;"",'Chart of Accounts'!$A$5:$A$3000,0)),"")</f>
        <v/>
      </c>
      <c r="M43" s="23">
        <f>IFERROR(INDEX('Chart of Accounts'!$C$5:$C$3000,MATCH(K43&amp;"",'Chart of Accounts'!$A$5:$A$3000,0))&amp;"|"&amp;INDEX('Chart of Accounts'!$D$5:$D$3000,MATCH(K43&amp;"",'Chart of Accounts'!$A$5:$A$3000,0)),"")</f>
        <v/>
      </c>
      <c r="N43" s="23">
        <f>IF(LEFT(L43,8)="Revenue|",-N(D43),0)+IF(LEFT(M43,8)="Revenue|",N(D43),0)</f>
        <v/>
      </c>
      <c r="O43" s="23">
        <f>IF(LEFT(L43,5)="COGS|",N(D43),0)+IF(LEFT(M43,5)="COGS|",-N(D43),0)</f>
        <v/>
      </c>
      <c r="P43" s="23">
        <f>IF(LEFT(L43,8)="Expense|",N(D43),0)+IF(LEFT(M43,8)="Expense|",-N(D43),0)</f>
        <v/>
      </c>
      <c r="Q43" s="23">
        <f>IF(ISNUMBER(MATCH(L43,{"Expense|employee","Expense|general_admin","Expense|marketing","Expense|utilities","Expense|other_operating"},0)),N(D43),0)+IF(ISNUMBER(MATCH(M43,{"Expense|employee","Expense|general_admin","Expense|marketing","Expense|utilities","Expense|other_operating"},0)),-N(D43),0)</f>
        <v/>
      </c>
      <c r="R43" s="23">
        <f>IF(L43="Liability|payable",-N(D43),0)+IF(M43="Liability|payable",N(D43),0)</f>
        <v/>
      </c>
      <c r="S43" s="23">
        <f>IF(L43="Liability|accrued",-N(D43),0)+IF(M43="Liability|accrued",N(D43),0)</f>
        <v/>
      </c>
      <c r="T43" s="23">
        <f>IF(AND(N(D43)&lt;&gt;0,L43=""),1,0)+IF(AND(N(D43)&lt;&gt;0,M43=""),1,0)</f>
        <v/>
      </c>
    </row>
    <row r="44">
      <c r="A44" s="19" t="n"/>
      <c r="B44" s="14" t="n"/>
      <c r="C44" s="14" t="n"/>
      <c r="D44" s="20" t="n"/>
      <c r="E44" s="14" t="n"/>
      <c r="F44" s="14" t="n"/>
      <c r="G44" s="14" t="n"/>
      <c r="H44" s="14" t="n"/>
      <c r="I44" s="14" t="n"/>
      <c r="J44" s="16">
        <f>IF(C44="",INDEX('Chart of Accounts'!$A$5:$A$3000,MATCH("ap",'Chart of Accounts'!$F$5:$F$3000,0)),C44&amp;"")</f>
        <v/>
      </c>
      <c r="K44" s="16">
        <f>IF(F44="",INDEX('Chart of Accounts'!$A$5:$A$3000,MATCH("bank",'Chart of Accounts'!$F$5:$F$3000,0)),F44&amp;"")</f>
        <v/>
      </c>
      <c r="L44" s="23">
        <f>IFERROR(INDEX('Chart of Accounts'!$C$5:$C$3000,MATCH(J44&amp;"",'Chart of Accounts'!$A$5:$A$3000,0))&amp;"|"&amp;INDEX('Chart of Accounts'!$D$5:$D$3000,MATCH(J44&amp;"",'Chart of Accounts'!$A$5:$A$3000,0)),"")</f>
        <v/>
      </c>
      <c r="M44" s="23">
        <f>IFERROR(INDEX('Chart of Accounts'!$C$5:$C$3000,MATCH(K44&amp;"",'Chart of Accounts'!$A$5:$A$3000,0))&amp;"|"&amp;INDEX('Chart of Accounts'!$D$5:$D$3000,MATCH(K44&amp;"",'Chart of Accounts'!$A$5:$A$3000,0)),"")</f>
        <v/>
      </c>
      <c r="N44" s="23">
        <f>IF(LEFT(L44,8)="Revenue|",-N(D44),0)+IF(LEFT(M44,8)="Revenue|",N(D44),0)</f>
        <v/>
      </c>
      <c r="O44" s="23">
        <f>IF(LEFT(L44,5)="COGS|",N(D44),0)+IF(LEFT(M44,5)="COGS|",-N(D44),0)</f>
        <v/>
      </c>
      <c r="P44" s="23">
        <f>IF(LEFT(L44,8)="Expense|",N(D44),0)+IF(LEFT(M44,8)="Expense|",-N(D44),0)</f>
        <v/>
      </c>
      <c r="Q44" s="23">
        <f>IF(ISNUMBER(MATCH(L44,{"Expense|employee","Expense|general_admin","Expense|marketing","Expense|utilities","Expense|other_operating"},0)),N(D44),0)+IF(ISNUMBER(MATCH(M44,{"Expense|employee","Expense|general_admin","Expense|marketing","Expense|utilities","Expense|other_operating"},0)),-N(D44),0)</f>
        <v/>
      </c>
      <c r="R44" s="23">
        <f>IF(L44="Liability|payable",-N(D44),0)+IF(M44="Liability|payable",N(D44),0)</f>
        <v/>
      </c>
      <c r="S44" s="23">
        <f>IF(L44="Liability|accrued",-N(D44),0)+IF(M44="Liability|accrued",N(D44),0)</f>
        <v/>
      </c>
      <c r="T44" s="23">
        <f>IF(AND(N(D44)&lt;&gt;0,L44=""),1,0)+IF(AND(N(D44)&lt;&gt;0,M44=""),1,0)</f>
        <v/>
      </c>
    </row>
    <row r="45">
      <c r="A45" s="19" t="n"/>
      <c r="B45" s="14" t="n"/>
      <c r="C45" s="14" t="n"/>
      <c r="D45" s="20" t="n"/>
      <c r="E45" s="14" t="n"/>
      <c r="F45" s="14" t="n"/>
      <c r="G45" s="14" t="n"/>
      <c r="H45" s="14" t="n"/>
      <c r="I45" s="14" t="n"/>
      <c r="J45" s="16">
        <f>IF(C45="",INDEX('Chart of Accounts'!$A$5:$A$3000,MATCH("ap",'Chart of Accounts'!$F$5:$F$3000,0)),C45&amp;"")</f>
        <v/>
      </c>
      <c r="K45" s="16">
        <f>IF(F45="",INDEX('Chart of Accounts'!$A$5:$A$3000,MATCH("bank",'Chart of Accounts'!$F$5:$F$3000,0)),F45&amp;"")</f>
        <v/>
      </c>
      <c r="L45" s="23">
        <f>IFERROR(INDEX('Chart of Accounts'!$C$5:$C$3000,MATCH(J45&amp;"",'Chart of Accounts'!$A$5:$A$3000,0))&amp;"|"&amp;INDEX('Chart of Accounts'!$D$5:$D$3000,MATCH(J45&amp;"",'Chart of Accounts'!$A$5:$A$3000,0)),"")</f>
        <v/>
      </c>
      <c r="M45" s="23">
        <f>IFERROR(INDEX('Chart of Accounts'!$C$5:$C$3000,MATCH(K45&amp;"",'Chart of Accounts'!$A$5:$A$3000,0))&amp;"|"&amp;INDEX('Chart of Accounts'!$D$5:$D$3000,MATCH(K45&amp;"",'Chart of Accounts'!$A$5:$A$3000,0)),"")</f>
        <v/>
      </c>
      <c r="N45" s="23">
        <f>IF(LEFT(L45,8)="Revenue|",-N(D45),0)+IF(LEFT(M45,8)="Revenue|",N(D45),0)</f>
        <v/>
      </c>
      <c r="O45" s="23">
        <f>IF(LEFT(L45,5)="COGS|",N(D45),0)+IF(LEFT(M45,5)="COGS|",-N(D45),0)</f>
        <v/>
      </c>
      <c r="P45" s="23">
        <f>IF(LEFT(L45,8)="Expense|",N(D45),0)+IF(LEFT(M45,8)="Expense|",-N(D45),0)</f>
        <v/>
      </c>
      <c r="Q45" s="23">
        <f>IF(ISNUMBER(MATCH(L45,{"Expense|employee","Expense|general_admin","Expense|marketing","Expense|utilities","Expense|other_operating"},0)),N(D45),0)+IF(ISNUMBER(MATCH(M45,{"Expense|employee","Expense|general_admin","Expense|marketing","Expense|utilities","Expense|other_operating"},0)),-N(D45),0)</f>
        <v/>
      </c>
      <c r="R45" s="23">
        <f>IF(L45="Liability|payable",-N(D45),0)+IF(M45="Liability|payable",N(D45),0)</f>
        <v/>
      </c>
      <c r="S45" s="23">
        <f>IF(L45="Liability|accrued",-N(D45),0)+IF(M45="Liability|accrued",N(D45),0)</f>
        <v/>
      </c>
      <c r="T45" s="23">
        <f>IF(AND(N(D45)&lt;&gt;0,L45=""),1,0)+IF(AND(N(D45)&lt;&gt;0,M45=""),1,0)</f>
        <v/>
      </c>
    </row>
    <row r="46">
      <c r="A46" s="19" t="n"/>
      <c r="B46" s="14" t="n"/>
      <c r="C46" s="14" t="n"/>
      <c r="D46" s="20" t="n"/>
      <c r="E46" s="14" t="n"/>
      <c r="F46" s="14" t="n"/>
      <c r="G46" s="14" t="n"/>
      <c r="H46" s="14" t="n"/>
      <c r="I46" s="14" t="n"/>
      <c r="J46" s="16">
        <f>IF(C46="",INDEX('Chart of Accounts'!$A$5:$A$3000,MATCH("ap",'Chart of Accounts'!$F$5:$F$3000,0)),C46&amp;"")</f>
        <v/>
      </c>
      <c r="K46" s="16">
        <f>IF(F46="",INDEX('Chart of Accounts'!$A$5:$A$3000,MATCH("bank",'Chart of Accounts'!$F$5:$F$3000,0)),F46&amp;"")</f>
        <v/>
      </c>
      <c r="L46" s="23">
        <f>IFERROR(INDEX('Chart of Accounts'!$C$5:$C$3000,MATCH(J46&amp;"",'Chart of Accounts'!$A$5:$A$3000,0))&amp;"|"&amp;INDEX('Chart of Accounts'!$D$5:$D$3000,MATCH(J46&amp;"",'Chart of Accounts'!$A$5:$A$3000,0)),"")</f>
        <v/>
      </c>
      <c r="M46" s="23">
        <f>IFERROR(INDEX('Chart of Accounts'!$C$5:$C$3000,MATCH(K46&amp;"",'Chart of Accounts'!$A$5:$A$3000,0))&amp;"|"&amp;INDEX('Chart of Accounts'!$D$5:$D$3000,MATCH(K46&amp;"",'Chart of Accounts'!$A$5:$A$3000,0)),"")</f>
        <v/>
      </c>
      <c r="N46" s="23">
        <f>IF(LEFT(L46,8)="Revenue|",-N(D46),0)+IF(LEFT(M46,8)="Revenue|",N(D46),0)</f>
        <v/>
      </c>
      <c r="O46" s="23">
        <f>IF(LEFT(L46,5)="COGS|",N(D46),0)+IF(LEFT(M46,5)="COGS|",-N(D46),0)</f>
        <v/>
      </c>
      <c r="P46" s="23">
        <f>IF(LEFT(L46,8)="Expense|",N(D46),0)+IF(LEFT(M46,8)="Expense|",-N(D46),0)</f>
        <v/>
      </c>
      <c r="Q46" s="23">
        <f>IF(ISNUMBER(MATCH(L46,{"Expense|employee","Expense|general_admin","Expense|marketing","Expense|utilities","Expense|other_operating"},0)),N(D46),0)+IF(ISNUMBER(MATCH(M46,{"Expense|employee","Expense|general_admin","Expense|marketing","Expense|utilities","Expense|other_operating"},0)),-N(D46),0)</f>
        <v/>
      </c>
      <c r="R46" s="23">
        <f>IF(L46="Liability|payable",-N(D46),0)+IF(M46="Liability|payable",N(D46),0)</f>
        <v/>
      </c>
      <c r="S46" s="23">
        <f>IF(L46="Liability|accrued",-N(D46),0)+IF(M46="Liability|accrued",N(D46),0)</f>
        <v/>
      </c>
      <c r="T46" s="23">
        <f>IF(AND(N(D46)&lt;&gt;0,L46=""),1,0)+IF(AND(N(D46)&lt;&gt;0,M46=""),1,0)</f>
        <v/>
      </c>
    </row>
    <row r="47">
      <c r="A47" s="19" t="n"/>
      <c r="B47" s="14" t="n"/>
      <c r="C47" s="14" t="n"/>
      <c r="D47" s="20" t="n"/>
      <c r="E47" s="14" t="n"/>
      <c r="F47" s="14" t="n"/>
      <c r="G47" s="14" t="n"/>
      <c r="H47" s="14" t="n"/>
      <c r="I47" s="14" t="n"/>
      <c r="J47" s="16">
        <f>IF(C47="",INDEX('Chart of Accounts'!$A$5:$A$3000,MATCH("ap",'Chart of Accounts'!$F$5:$F$3000,0)),C47&amp;"")</f>
        <v/>
      </c>
      <c r="K47" s="16">
        <f>IF(F47="",INDEX('Chart of Accounts'!$A$5:$A$3000,MATCH("bank",'Chart of Accounts'!$F$5:$F$3000,0)),F47&amp;"")</f>
        <v/>
      </c>
      <c r="L47" s="23">
        <f>IFERROR(INDEX('Chart of Accounts'!$C$5:$C$3000,MATCH(J47&amp;"",'Chart of Accounts'!$A$5:$A$3000,0))&amp;"|"&amp;INDEX('Chart of Accounts'!$D$5:$D$3000,MATCH(J47&amp;"",'Chart of Accounts'!$A$5:$A$3000,0)),"")</f>
        <v/>
      </c>
      <c r="M47" s="23">
        <f>IFERROR(INDEX('Chart of Accounts'!$C$5:$C$3000,MATCH(K47&amp;"",'Chart of Accounts'!$A$5:$A$3000,0))&amp;"|"&amp;INDEX('Chart of Accounts'!$D$5:$D$3000,MATCH(K47&amp;"",'Chart of Accounts'!$A$5:$A$3000,0)),"")</f>
        <v/>
      </c>
      <c r="N47" s="23">
        <f>IF(LEFT(L47,8)="Revenue|",-N(D47),0)+IF(LEFT(M47,8)="Revenue|",N(D47),0)</f>
        <v/>
      </c>
      <c r="O47" s="23">
        <f>IF(LEFT(L47,5)="COGS|",N(D47),0)+IF(LEFT(M47,5)="COGS|",-N(D47),0)</f>
        <v/>
      </c>
      <c r="P47" s="23">
        <f>IF(LEFT(L47,8)="Expense|",N(D47),0)+IF(LEFT(M47,8)="Expense|",-N(D47),0)</f>
        <v/>
      </c>
      <c r="Q47" s="23">
        <f>IF(ISNUMBER(MATCH(L47,{"Expense|employee","Expense|general_admin","Expense|marketing","Expense|utilities","Expense|other_operating"},0)),N(D47),0)+IF(ISNUMBER(MATCH(M47,{"Expense|employee","Expense|general_admin","Expense|marketing","Expense|utilities","Expense|other_operating"},0)),-N(D47),0)</f>
        <v/>
      </c>
      <c r="R47" s="23">
        <f>IF(L47="Liability|payable",-N(D47),0)+IF(M47="Liability|payable",N(D47),0)</f>
        <v/>
      </c>
      <c r="S47" s="23">
        <f>IF(L47="Liability|accrued",-N(D47),0)+IF(M47="Liability|accrued",N(D47),0)</f>
        <v/>
      </c>
      <c r="T47" s="23">
        <f>IF(AND(N(D47)&lt;&gt;0,L47=""),1,0)+IF(AND(N(D47)&lt;&gt;0,M47=""),1,0)</f>
        <v/>
      </c>
    </row>
    <row r="48">
      <c r="A48" s="19" t="n"/>
      <c r="B48" s="14" t="n"/>
      <c r="C48" s="14" t="n"/>
      <c r="D48" s="20" t="n"/>
      <c r="E48" s="14" t="n"/>
      <c r="F48" s="14" t="n"/>
      <c r="G48" s="14" t="n"/>
      <c r="H48" s="14" t="n"/>
      <c r="I48" s="14" t="n"/>
      <c r="J48" s="16">
        <f>IF(C48="",INDEX('Chart of Accounts'!$A$5:$A$3000,MATCH("ap",'Chart of Accounts'!$F$5:$F$3000,0)),C48&amp;"")</f>
        <v/>
      </c>
      <c r="K48" s="16">
        <f>IF(F48="",INDEX('Chart of Accounts'!$A$5:$A$3000,MATCH("bank",'Chart of Accounts'!$F$5:$F$3000,0)),F48&amp;"")</f>
        <v/>
      </c>
      <c r="L48" s="23">
        <f>IFERROR(INDEX('Chart of Accounts'!$C$5:$C$3000,MATCH(J48&amp;"",'Chart of Accounts'!$A$5:$A$3000,0))&amp;"|"&amp;INDEX('Chart of Accounts'!$D$5:$D$3000,MATCH(J48&amp;"",'Chart of Accounts'!$A$5:$A$3000,0)),"")</f>
        <v/>
      </c>
      <c r="M48" s="23">
        <f>IFERROR(INDEX('Chart of Accounts'!$C$5:$C$3000,MATCH(K48&amp;"",'Chart of Accounts'!$A$5:$A$3000,0))&amp;"|"&amp;INDEX('Chart of Accounts'!$D$5:$D$3000,MATCH(K48&amp;"",'Chart of Accounts'!$A$5:$A$3000,0)),"")</f>
        <v/>
      </c>
      <c r="N48" s="23">
        <f>IF(LEFT(L48,8)="Revenue|",-N(D48),0)+IF(LEFT(M48,8)="Revenue|",N(D48),0)</f>
        <v/>
      </c>
      <c r="O48" s="23">
        <f>IF(LEFT(L48,5)="COGS|",N(D48),0)+IF(LEFT(M48,5)="COGS|",-N(D48),0)</f>
        <v/>
      </c>
      <c r="P48" s="23">
        <f>IF(LEFT(L48,8)="Expense|",N(D48),0)+IF(LEFT(M48,8)="Expense|",-N(D48),0)</f>
        <v/>
      </c>
      <c r="Q48" s="23">
        <f>IF(ISNUMBER(MATCH(L48,{"Expense|employee","Expense|general_admin","Expense|marketing","Expense|utilities","Expense|other_operating"},0)),N(D48),0)+IF(ISNUMBER(MATCH(M48,{"Expense|employee","Expense|general_admin","Expense|marketing","Expense|utilities","Expense|other_operating"},0)),-N(D48),0)</f>
        <v/>
      </c>
      <c r="R48" s="23">
        <f>IF(L48="Liability|payable",-N(D48),0)+IF(M48="Liability|payable",N(D48),0)</f>
        <v/>
      </c>
      <c r="S48" s="23">
        <f>IF(L48="Liability|accrued",-N(D48),0)+IF(M48="Liability|accrued",N(D48),0)</f>
        <v/>
      </c>
      <c r="T48" s="23">
        <f>IF(AND(N(D48)&lt;&gt;0,L48=""),1,0)+IF(AND(N(D48)&lt;&gt;0,M48=""),1,0)</f>
        <v/>
      </c>
    </row>
    <row r="49">
      <c r="A49" s="19" t="n"/>
      <c r="B49" s="14" t="n"/>
      <c r="C49" s="14" t="n"/>
      <c r="D49" s="20" t="n"/>
      <c r="E49" s="14" t="n"/>
      <c r="F49" s="14" t="n"/>
      <c r="G49" s="14" t="n"/>
      <c r="H49" s="14" t="n"/>
      <c r="I49" s="14" t="n"/>
      <c r="J49" s="16">
        <f>IF(C49="",INDEX('Chart of Accounts'!$A$5:$A$3000,MATCH("ap",'Chart of Accounts'!$F$5:$F$3000,0)),C49&amp;"")</f>
        <v/>
      </c>
      <c r="K49" s="16">
        <f>IF(F49="",INDEX('Chart of Accounts'!$A$5:$A$3000,MATCH("bank",'Chart of Accounts'!$F$5:$F$3000,0)),F49&amp;"")</f>
        <v/>
      </c>
      <c r="L49" s="23">
        <f>IFERROR(INDEX('Chart of Accounts'!$C$5:$C$3000,MATCH(J49&amp;"",'Chart of Accounts'!$A$5:$A$3000,0))&amp;"|"&amp;INDEX('Chart of Accounts'!$D$5:$D$3000,MATCH(J49&amp;"",'Chart of Accounts'!$A$5:$A$3000,0)),"")</f>
        <v/>
      </c>
      <c r="M49" s="23">
        <f>IFERROR(INDEX('Chart of Accounts'!$C$5:$C$3000,MATCH(K49&amp;"",'Chart of Accounts'!$A$5:$A$3000,0))&amp;"|"&amp;INDEX('Chart of Accounts'!$D$5:$D$3000,MATCH(K49&amp;"",'Chart of Accounts'!$A$5:$A$3000,0)),"")</f>
        <v/>
      </c>
      <c r="N49" s="23">
        <f>IF(LEFT(L49,8)="Revenue|",-N(D49),0)+IF(LEFT(M49,8)="Revenue|",N(D49),0)</f>
        <v/>
      </c>
      <c r="O49" s="23">
        <f>IF(LEFT(L49,5)="COGS|",N(D49),0)+IF(LEFT(M49,5)="COGS|",-N(D49),0)</f>
        <v/>
      </c>
      <c r="P49" s="23">
        <f>IF(LEFT(L49,8)="Expense|",N(D49),0)+IF(LEFT(M49,8)="Expense|",-N(D49),0)</f>
        <v/>
      </c>
      <c r="Q49" s="23">
        <f>IF(ISNUMBER(MATCH(L49,{"Expense|employee","Expense|general_admin","Expense|marketing","Expense|utilities","Expense|other_operating"},0)),N(D49),0)+IF(ISNUMBER(MATCH(M49,{"Expense|employee","Expense|general_admin","Expense|marketing","Expense|utilities","Expense|other_operating"},0)),-N(D49),0)</f>
        <v/>
      </c>
      <c r="R49" s="23">
        <f>IF(L49="Liability|payable",-N(D49),0)+IF(M49="Liability|payable",N(D49),0)</f>
        <v/>
      </c>
      <c r="S49" s="23">
        <f>IF(L49="Liability|accrued",-N(D49),0)+IF(M49="Liability|accrued",N(D49),0)</f>
        <v/>
      </c>
      <c r="T49" s="23">
        <f>IF(AND(N(D49)&lt;&gt;0,L49=""),1,0)+IF(AND(N(D49)&lt;&gt;0,M49=""),1,0)</f>
        <v/>
      </c>
    </row>
    <row r="50">
      <c r="A50" s="19" t="n"/>
      <c r="B50" s="14" t="n"/>
      <c r="C50" s="14" t="n"/>
      <c r="D50" s="20" t="n"/>
      <c r="E50" s="14" t="n"/>
      <c r="F50" s="14" t="n"/>
      <c r="G50" s="14" t="n"/>
      <c r="H50" s="14" t="n"/>
      <c r="I50" s="14" t="n"/>
      <c r="J50" s="16">
        <f>IF(C50="",INDEX('Chart of Accounts'!$A$5:$A$3000,MATCH("ap",'Chart of Accounts'!$F$5:$F$3000,0)),C50&amp;"")</f>
        <v/>
      </c>
      <c r="K50" s="16">
        <f>IF(F50="",INDEX('Chart of Accounts'!$A$5:$A$3000,MATCH("bank",'Chart of Accounts'!$F$5:$F$3000,0)),F50&amp;"")</f>
        <v/>
      </c>
      <c r="L50" s="23">
        <f>IFERROR(INDEX('Chart of Accounts'!$C$5:$C$3000,MATCH(J50&amp;"",'Chart of Accounts'!$A$5:$A$3000,0))&amp;"|"&amp;INDEX('Chart of Accounts'!$D$5:$D$3000,MATCH(J50&amp;"",'Chart of Accounts'!$A$5:$A$3000,0)),"")</f>
        <v/>
      </c>
      <c r="M50" s="23">
        <f>IFERROR(INDEX('Chart of Accounts'!$C$5:$C$3000,MATCH(K50&amp;"",'Chart of Accounts'!$A$5:$A$3000,0))&amp;"|"&amp;INDEX('Chart of Accounts'!$D$5:$D$3000,MATCH(K50&amp;"",'Chart of Accounts'!$A$5:$A$3000,0)),"")</f>
        <v/>
      </c>
      <c r="N50" s="23">
        <f>IF(LEFT(L50,8)="Revenue|",-N(D50),0)+IF(LEFT(M50,8)="Revenue|",N(D50),0)</f>
        <v/>
      </c>
      <c r="O50" s="23">
        <f>IF(LEFT(L50,5)="COGS|",N(D50),0)+IF(LEFT(M50,5)="COGS|",-N(D50),0)</f>
        <v/>
      </c>
      <c r="P50" s="23">
        <f>IF(LEFT(L50,8)="Expense|",N(D50),0)+IF(LEFT(M50,8)="Expense|",-N(D50),0)</f>
        <v/>
      </c>
      <c r="Q50" s="23">
        <f>IF(ISNUMBER(MATCH(L50,{"Expense|employee","Expense|general_admin","Expense|marketing","Expense|utilities","Expense|other_operating"},0)),N(D50),0)+IF(ISNUMBER(MATCH(M50,{"Expense|employee","Expense|general_admin","Expense|marketing","Expense|utilities","Expense|other_operating"},0)),-N(D50),0)</f>
        <v/>
      </c>
      <c r="R50" s="23">
        <f>IF(L50="Liability|payable",-N(D50),0)+IF(M50="Liability|payable",N(D50),0)</f>
        <v/>
      </c>
      <c r="S50" s="23">
        <f>IF(L50="Liability|accrued",-N(D50),0)+IF(M50="Liability|accrued",N(D50),0)</f>
        <v/>
      </c>
      <c r="T50" s="23">
        <f>IF(AND(N(D50)&lt;&gt;0,L50=""),1,0)+IF(AND(N(D50)&lt;&gt;0,M50=""),1,0)</f>
        <v/>
      </c>
    </row>
    <row r="51">
      <c r="A51" s="19" t="n"/>
      <c r="B51" s="14" t="n"/>
      <c r="C51" s="14" t="n"/>
      <c r="D51" s="20" t="n"/>
      <c r="E51" s="14" t="n"/>
      <c r="F51" s="14" t="n"/>
      <c r="G51" s="14" t="n"/>
      <c r="H51" s="14" t="n"/>
      <c r="I51" s="14" t="n"/>
      <c r="J51" s="16">
        <f>IF(C51="",INDEX('Chart of Accounts'!$A$5:$A$3000,MATCH("ap",'Chart of Accounts'!$F$5:$F$3000,0)),C51&amp;"")</f>
        <v/>
      </c>
      <c r="K51" s="16">
        <f>IF(F51="",INDEX('Chart of Accounts'!$A$5:$A$3000,MATCH("bank",'Chart of Accounts'!$F$5:$F$3000,0)),F51&amp;"")</f>
        <v/>
      </c>
      <c r="L51" s="23">
        <f>IFERROR(INDEX('Chart of Accounts'!$C$5:$C$3000,MATCH(J51&amp;"",'Chart of Accounts'!$A$5:$A$3000,0))&amp;"|"&amp;INDEX('Chart of Accounts'!$D$5:$D$3000,MATCH(J51&amp;"",'Chart of Accounts'!$A$5:$A$3000,0)),"")</f>
        <v/>
      </c>
      <c r="M51" s="23">
        <f>IFERROR(INDEX('Chart of Accounts'!$C$5:$C$3000,MATCH(K51&amp;"",'Chart of Accounts'!$A$5:$A$3000,0))&amp;"|"&amp;INDEX('Chart of Accounts'!$D$5:$D$3000,MATCH(K51&amp;"",'Chart of Accounts'!$A$5:$A$3000,0)),"")</f>
        <v/>
      </c>
      <c r="N51" s="23">
        <f>IF(LEFT(L51,8)="Revenue|",-N(D51),0)+IF(LEFT(M51,8)="Revenue|",N(D51),0)</f>
        <v/>
      </c>
      <c r="O51" s="23">
        <f>IF(LEFT(L51,5)="COGS|",N(D51),0)+IF(LEFT(M51,5)="COGS|",-N(D51),0)</f>
        <v/>
      </c>
      <c r="P51" s="23">
        <f>IF(LEFT(L51,8)="Expense|",N(D51),0)+IF(LEFT(M51,8)="Expense|",-N(D51),0)</f>
        <v/>
      </c>
      <c r="Q51" s="23">
        <f>IF(ISNUMBER(MATCH(L51,{"Expense|employee","Expense|general_admin","Expense|marketing","Expense|utilities","Expense|other_operating"},0)),N(D51),0)+IF(ISNUMBER(MATCH(M51,{"Expense|employee","Expense|general_admin","Expense|marketing","Expense|utilities","Expense|other_operating"},0)),-N(D51),0)</f>
        <v/>
      </c>
      <c r="R51" s="23">
        <f>IF(L51="Liability|payable",-N(D51),0)+IF(M51="Liability|payable",N(D51),0)</f>
        <v/>
      </c>
      <c r="S51" s="23">
        <f>IF(L51="Liability|accrued",-N(D51),0)+IF(M51="Liability|accrued",N(D51),0)</f>
        <v/>
      </c>
      <c r="T51" s="23">
        <f>IF(AND(N(D51)&lt;&gt;0,L51=""),1,0)+IF(AND(N(D51)&lt;&gt;0,M51=""),1,0)</f>
        <v/>
      </c>
    </row>
    <row r="52">
      <c r="A52" s="19" t="n"/>
      <c r="B52" s="14" t="n"/>
      <c r="C52" s="14" t="n"/>
      <c r="D52" s="20" t="n"/>
      <c r="E52" s="14" t="n"/>
      <c r="F52" s="14" t="n"/>
      <c r="G52" s="14" t="n"/>
      <c r="H52" s="14" t="n"/>
      <c r="I52" s="14" t="n"/>
      <c r="J52" s="16">
        <f>IF(C52="",INDEX('Chart of Accounts'!$A$5:$A$3000,MATCH("ap",'Chart of Accounts'!$F$5:$F$3000,0)),C52&amp;"")</f>
        <v/>
      </c>
      <c r="K52" s="16">
        <f>IF(F52="",INDEX('Chart of Accounts'!$A$5:$A$3000,MATCH("bank",'Chart of Accounts'!$F$5:$F$3000,0)),F52&amp;"")</f>
        <v/>
      </c>
      <c r="L52" s="23">
        <f>IFERROR(INDEX('Chart of Accounts'!$C$5:$C$3000,MATCH(J52&amp;"",'Chart of Accounts'!$A$5:$A$3000,0))&amp;"|"&amp;INDEX('Chart of Accounts'!$D$5:$D$3000,MATCH(J52&amp;"",'Chart of Accounts'!$A$5:$A$3000,0)),"")</f>
        <v/>
      </c>
      <c r="M52" s="23">
        <f>IFERROR(INDEX('Chart of Accounts'!$C$5:$C$3000,MATCH(K52&amp;"",'Chart of Accounts'!$A$5:$A$3000,0))&amp;"|"&amp;INDEX('Chart of Accounts'!$D$5:$D$3000,MATCH(K52&amp;"",'Chart of Accounts'!$A$5:$A$3000,0)),"")</f>
        <v/>
      </c>
      <c r="N52" s="23">
        <f>IF(LEFT(L52,8)="Revenue|",-N(D52),0)+IF(LEFT(M52,8)="Revenue|",N(D52),0)</f>
        <v/>
      </c>
      <c r="O52" s="23">
        <f>IF(LEFT(L52,5)="COGS|",N(D52),0)+IF(LEFT(M52,5)="COGS|",-N(D52),0)</f>
        <v/>
      </c>
      <c r="P52" s="23">
        <f>IF(LEFT(L52,8)="Expense|",N(D52),0)+IF(LEFT(M52,8)="Expense|",-N(D52),0)</f>
        <v/>
      </c>
      <c r="Q52" s="23">
        <f>IF(ISNUMBER(MATCH(L52,{"Expense|employee","Expense|general_admin","Expense|marketing","Expense|utilities","Expense|other_operating"},0)),N(D52),0)+IF(ISNUMBER(MATCH(M52,{"Expense|employee","Expense|general_admin","Expense|marketing","Expense|utilities","Expense|other_operating"},0)),-N(D52),0)</f>
        <v/>
      </c>
      <c r="R52" s="23">
        <f>IF(L52="Liability|payable",-N(D52),0)+IF(M52="Liability|payable",N(D52),0)</f>
        <v/>
      </c>
      <c r="S52" s="23">
        <f>IF(L52="Liability|accrued",-N(D52),0)+IF(M52="Liability|accrued",N(D52),0)</f>
        <v/>
      </c>
      <c r="T52" s="23">
        <f>IF(AND(N(D52)&lt;&gt;0,L52=""),1,0)+IF(AND(N(D52)&lt;&gt;0,M52=""),1,0)</f>
        <v/>
      </c>
    </row>
    <row r="53">
      <c r="A53" s="19" t="n"/>
      <c r="B53" s="14" t="n"/>
      <c r="C53" s="14" t="n"/>
      <c r="D53" s="20" t="n"/>
      <c r="E53" s="14" t="n"/>
      <c r="F53" s="14" t="n"/>
      <c r="G53" s="14" t="n"/>
      <c r="H53" s="14" t="n"/>
      <c r="I53" s="14" t="n"/>
      <c r="J53" s="16">
        <f>IF(C53="",INDEX('Chart of Accounts'!$A$5:$A$3000,MATCH("ap",'Chart of Accounts'!$F$5:$F$3000,0)),C53&amp;"")</f>
        <v/>
      </c>
      <c r="K53" s="16">
        <f>IF(F53="",INDEX('Chart of Accounts'!$A$5:$A$3000,MATCH("bank",'Chart of Accounts'!$F$5:$F$3000,0)),F53&amp;"")</f>
        <v/>
      </c>
      <c r="L53" s="23">
        <f>IFERROR(INDEX('Chart of Accounts'!$C$5:$C$3000,MATCH(J53&amp;"",'Chart of Accounts'!$A$5:$A$3000,0))&amp;"|"&amp;INDEX('Chart of Accounts'!$D$5:$D$3000,MATCH(J53&amp;"",'Chart of Accounts'!$A$5:$A$3000,0)),"")</f>
        <v/>
      </c>
      <c r="M53" s="23">
        <f>IFERROR(INDEX('Chart of Accounts'!$C$5:$C$3000,MATCH(K53&amp;"",'Chart of Accounts'!$A$5:$A$3000,0))&amp;"|"&amp;INDEX('Chart of Accounts'!$D$5:$D$3000,MATCH(K53&amp;"",'Chart of Accounts'!$A$5:$A$3000,0)),"")</f>
        <v/>
      </c>
      <c r="N53" s="23">
        <f>IF(LEFT(L53,8)="Revenue|",-N(D53),0)+IF(LEFT(M53,8)="Revenue|",N(D53),0)</f>
        <v/>
      </c>
      <c r="O53" s="23">
        <f>IF(LEFT(L53,5)="COGS|",N(D53),0)+IF(LEFT(M53,5)="COGS|",-N(D53),0)</f>
        <v/>
      </c>
      <c r="P53" s="23">
        <f>IF(LEFT(L53,8)="Expense|",N(D53),0)+IF(LEFT(M53,8)="Expense|",-N(D53),0)</f>
        <v/>
      </c>
      <c r="Q53" s="23">
        <f>IF(ISNUMBER(MATCH(L53,{"Expense|employee","Expense|general_admin","Expense|marketing","Expense|utilities","Expense|other_operating"},0)),N(D53),0)+IF(ISNUMBER(MATCH(M53,{"Expense|employee","Expense|general_admin","Expense|marketing","Expense|utilities","Expense|other_operating"},0)),-N(D53),0)</f>
        <v/>
      </c>
      <c r="R53" s="23">
        <f>IF(L53="Liability|payable",-N(D53),0)+IF(M53="Liability|payable",N(D53),0)</f>
        <v/>
      </c>
      <c r="S53" s="23">
        <f>IF(L53="Liability|accrued",-N(D53),0)+IF(M53="Liability|accrued",N(D53),0)</f>
        <v/>
      </c>
      <c r="T53" s="23">
        <f>IF(AND(N(D53)&lt;&gt;0,L53=""),1,0)+IF(AND(N(D53)&lt;&gt;0,M53=""),1,0)</f>
        <v/>
      </c>
    </row>
    <row r="54">
      <c r="A54" s="19" t="n"/>
      <c r="B54" s="14" t="n"/>
      <c r="C54" s="14" t="n"/>
      <c r="D54" s="20" t="n"/>
      <c r="E54" s="14" t="n"/>
      <c r="F54" s="14" t="n"/>
      <c r="G54" s="14" t="n"/>
      <c r="H54" s="14" t="n"/>
      <c r="I54" s="14" t="n"/>
      <c r="J54" s="16">
        <f>IF(C54="",INDEX('Chart of Accounts'!$A$5:$A$3000,MATCH("ap",'Chart of Accounts'!$F$5:$F$3000,0)),C54&amp;"")</f>
        <v/>
      </c>
      <c r="K54" s="16">
        <f>IF(F54="",INDEX('Chart of Accounts'!$A$5:$A$3000,MATCH("bank",'Chart of Accounts'!$F$5:$F$3000,0)),F54&amp;"")</f>
        <v/>
      </c>
      <c r="L54" s="23">
        <f>IFERROR(INDEX('Chart of Accounts'!$C$5:$C$3000,MATCH(J54&amp;"",'Chart of Accounts'!$A$5:$A$3000,0))&amp;"|"&amp;INDEX('Chart of Accounts'!$D$5:$D$3000,MATCH(J54&amp;"",'Chart of Accounts'!$A$5:$A$3000,0)),"")</f>
        <v/>
      </c>
      <c r="M54" s="23">
        <f>IFERROR(INDEX('Chart of Accounts'!$C$5:$C$3000,MATCH(K54&amp;"",'Chart of Accounts'!$A$5:$A$3000,0))&amp;"|"&amp;INDEX('Chart of Accounts'!$D$5:$D$3000,MATCH(K54&amp;"",'Chart of Accounts'!$A$5:$A$3000,0)),"")</f>
        <v/>
      </c>
      <c r="N54" s="23">
        <f>IF(LEFT(L54,8)="Revenue|",-N(D54),0)+IF(LEFT(M54,8)="Revenue|",N(D54),0)</f>
        <v/>
      </c>
      <c r="O54" s="23">
        <f>IF(LEFT(L54,5)="COGS|",N(D54),0)+IF(LEFT(M54,5)="COGS|",-N(D54),0)</f>
        <v/>
      </c>
      <c r="P54" s="23">
        <f>IF(LEFT(L54,8)="Expense|",N(D54),0)+IF(LEFT(M54,8)="Expense|",-N(D54),0)</f>
        <v/>
      </c>
      <c r="Q54" s="23">
        <f>IF(ISNUMBER(MATCH(L54,{"Expense|employee","Expense|general_admin","Expense|marketing","Expense|utilities","Expense|other_operating"},0)),N(D54),0)+IF(ISNUMBER(MATCH(M54,{"Expense|employee","Expense|general_admin","Expense|marketing","Expense|utilities","Expense|other_operating"},0)),-N(D54),0)</f>
        <v/>
      </c>
      <c r="R54" s="23">
        <f>IF(L54="Liability|payable",-N(D54),0)+IF(M54="Liability|payable",N(D54),0)</f>
        <v/>
      </c>
      <c r="S54" s="23">
        <f>IF(L54="Liability|accrued",-N(D54),0)+IF(M54="Liability|accrued",N(D54),0)</f>
        <v/>
      </c>
      <c r="T54" s="23">
        <f>IF(AND(N(D54)&lt;&gt;0,L54=""),1,0)+IF(AND(N(D54)&lt;&gt;0,M54=""),1,0)</f>
        <v/>
      </c>
    </row>
    <row r="55">
      <c r="A55" s="19" t="n"/>
      <c r="B55" s="14" t="n"/>
      <c r="C55" s="14" t="n"/>
      <c r="D55" s="20" t="n"/>
      <c r="E55" s="14" t="n"/>
      <c r="F55" s="14" t="n"/>
      <c r="G55" s="14" t="n"/>
      <c r="H55" s="14" t="n"/>
      <c r="I55" s="14" t="n"/>
      <c r="J55" s="16">
        <f>IF(C55="",INDEX('Chart of Accounts'!$A$5:$A$3000,MATCH("ap",'Chart of Accounts'!$F$5:$F$3000,0)),C55&amp;"")</f>
        <v/>
      </c>
      <c r="K55" s="16">
        <f>IF(F55="",INDEX('Chart of Accounts'!$A$5:$A$3000,MATCH("bank",'Chart of Accounts'!$F$5:$F$3000,0)),F55&amp;"")</f>
        <v/>
      </c>
      <c r="L55" s="23">
        <f>IFERROR(INDEX('Chart of Accounts'!$C$5:$C$3000,MATCH(J55&amp;"",'Chart of Accounts'!$A$5:$A$3000,0))&amp;"|"&amp;INDEX('Chart of Accounts'!$D$5:$D$3000,MATCH(J55&amp;"",'Chart of Accounts'!$A$5:$A$3000,0)),"")</f>
        <v/>
      </c>
      <c r="M55" s="23">
        <f>IFERROR(INDEX('Chart of Accounts'!$C$5:$C$3000,MATCH(K55&amp;"",'Chart of Accounts'!$A$5:$A$3000,0))&amp;"|"&amp;INDEX('Chart of Accounts'!$D$5:$D$3000,MATCH(K55&amp;"",'Chart of Accounts'!$A$5:$A$3000,0)),"")</f>
        <v/>
      </c>
      <c r="N55" s="23">
        <f>IF(LEFT(L55,8)="Revenue|",-N(D55),0)+IF(LEFT(M55,8)="Revenue|",N(D55),0)</f>
        <v/>
      </c>
      <c r="O55" s="23">
        <f>IF(LEFT(L55,5)="COGS|",N(D55),0)+IF(LEFT(M55,5)="COGS|",-N(D55),0)</f>
        <v/>
      </c>
      <c r="P55" s="23">
        <f>IF(LEFT(L55,8)="Expense|",N(D55),0)+IF(LEFT(M55,8)="Expense|",-N(D55),0)</f>
        <v/>
      </c>
      <c r="Q55" s="23">
        <f>IF(ISNUMBER(MATCH(L55,{"Expense|employee","Expense|general_admin","Expense|marketing","Expense|utilities","Expense|other_operating"},0)),N(D55),0)+IF(ISNUMBER(MATCH(M55,{"Expense|employee","Expense|general_admin","Expense|marketing","Expense|utilities","Expense|other_operating"},0)),-N(D55),0)</f>
        <v/>
      </c>
      <c r="R55" s="23">
        <f>IF(L55="Liability|payable",-N(D55),0)+IF(M55="Liability|payable",N(D55),0)</f>
        <v/>
      </c>
      <c r="S55" s="23">
        <f>IF(L55="Liability|accrued",-N(D55),0)+IF(M55="Liability|accrued",N(D55),0)</f>
        <v/>
      </c>
      <c r="T55" s="23">
        <f>IF(AND(N(D55)&lt;&gt;0,L55=""),1,0)+IF(AND(N(D55)&lt;&gt;0,M55=""),1,0)</f>
        <v/>
      </c>
    </row>
    <row r="56">
      <c r="A56" s="19" t="n"/>
      <c r="B56" s="14" t="n"/>
      <c r="C56" s="14" t="n"/>
      <c r="D56" s="20" t="n"/>
      <c r="E56" s="14" t="n"/>
      <c r="F56" s="14" t="n"/>
      <c r="G56" s="14" t="n"/>
      <c r="H56" s="14" t="n"/>
      <c r="I56" s="14" t="n"/>
      <c r="J56" s="16">
        <f>IF(C56="",INDEX('Chart of Accounts'!$A$5:$A$3000,MATCH("ap",'Chart of Accounts'!$F$5:$F$3000,0)),C56&amp;"")</f>
        <v/>
      </c>
      <c r="K56" s="16">
        <f>IF(F56="",INDEX('Chart of Accounts'!$A$5:$A$3000,MATCH("bank",'Chart of Accounts'!$F$5:$F$3000,0)),F56&amp;"")</f>
        <v/>
      </c>
      <c r="L56" s="23">
        <f>IFERROR(INDEX('Chart of Accounts'!$C$5:$C$3000,MATCH(J56&amp;"",'Chart of Accounts'!$A$5:$A$3000,0))&amp;"|"&amp;INDEX('Chart of Accounts'!$D$5:$D$3000,MATCH(J56&amp;"",'Chart of Accounts'!$A$5:$A$3000,0)),"")</f>
        <v/>
      </c>
      <c r="M56" s="23">
        <f>IFERROR(INDEX('Chart of Accounts'!$C$5:$C$3000,MATCH(K56&amp;"",'Chart of Accounts'!$A$5:$A$3000,0))&amp;"|"&amp;INDEX('Chart of Accounts'!$D$5:$D$3000,MATCH(K56&amp;"",'Chart of Accounts'!$A$5:$A$3000,0)),"")</f>
        <v/>
      </c>
      <c r="N56" s="23">
        <f>IF(LEFT(L56,8)="Revenue|",-N(D56),0)+IF(LEFT(M56,8)="Revenue|",N(D56),0)</f>
        <v/>
      </c>
      <c r="O56" s="23">
        <f>IF(LEFT(L56,5)="COGS|",N(D56),0)+IF(LEFT(M56,5)="COGS|",-N(D56),0)</f>
        <v/>
      </c>
      <c r="P56" s="23">
        <f>IF(LEFT(L56,8)="Expense|",N(D56),0)+IF(LEFT(M56,8)="Expense|",-N(D56),0)</f>
        <v/>
      </c>
      <c r="Q56" s="23">
        <f>IF(ISNUMBER(MATCH(L56,{"Expense|employee","Expense|general_admin","Expense|marketing","Expense|utilities","Expense|other_operating"},0)),N(D56),0)+IF(ISNUMBER(MATCH(M56,{"Expense|employee","Expense|general_admin","Expense|marketing","Expense|utilities","Expense|other_operating"},0)),-N(D56),0)</f>
        <v/>
      </c>
      <c r="R56" s="23">
        <f>IF(L56="Liability|payable",-N(D56),0)+IF(M56="Liability|payable",N(D56),0)</f>
        <v/>
      </c>
      <c r="S56" s="23">
        <f>IF(L56="Liability|accrued",-N(D56),0)+IF(M56="Liability|accrued",N(D56),0)</f>
        <v/>
      </c>
      <c r="T56" s="23">
        <f>IF(AND(N(D56)&lt;&gt;0,L56=""),1,0)+IF(AND(N(D56)&lt;&gt;0,M56=""),1,0)</f>
        <v/>
      </c>
    </row>
    <row r="57">
      <c r="A57" s="19" t="n"/>
      <c r="B57" s="14" t="n"/>
      <c r="C57" s="14" t="n"/>
      <c r="D57" s="20" t="n"/>
      <c r="E57" s="14" t="n"/>
      <c r="F57" s="14" t="n"/>
      <c r="G57" s="14" t="n"/>
      <c r="H57" s="14" t="n"/>
      <c r="I57" s="14" t="n"/>
      <c r="J57" s="16">
        <f>IF(C57="",INDEX('Chart of Accounts'!$A$5:$A$3000,MATCH("ap",'Chart of Accounts'!$F$5:$F$3000,0)),C57&amp;"")</f>
        <v/>
      </c>
      <c r="K57" s="16">
        <f>IF(F57="",INDEX('Chart of Accounts'!$A$5:$A$3000,MATCH("bank",'Chart of Accounts'!$F$5:$F$3000,0)),F57&amp;"")</f>
        <v/>
      </c>
      <c r="L57" s="23">
        <f>IFERROR(INDEX('Chart of Accounts'!$C$5:$C$3000,MATCH(J57&amp;"",'Chart of Accounts'!$A$5:$A$3000,0))&amp;"|"&amp;INDEX('Chart of Accounts'!$D$5:$D$3000,MATCH(J57&amp;"",'Chart of Accounts'!$A$5:$A$3000,0)),"")</f>
        <v/>
      </c>
      <c r="M57" s="23">
        <f>IFERROR(INDEX('Chart of Accounts'!$C$5:$C$3000,MATCH(K57&amp;"",'Chart of Accounts'!$A$5:$A$3000,0))&amp;"|"&amp;INDEX('Chart of Accounts'!$D$5:$D$3000,MATCH(K57&amp;"",'Chart of Accounts'!$A$5:$A$3000,0)),"")</f>
        <v/>
      </c>
      <c r="N57" s="23">
        <f>IF(LEFT(L57,8)="Revenue|",-N(D57),0)+IF(LEFT(M57,8)="Revenue|",N(D57),0)</f>
        <v/>
      </c>
      <c r="O57" s="23">
        <f>IF(LEFT(L57,5)="COGS|",N(D57),0)+IF(LEFT(M57,5)="COGS|",-N(D57),0)</f>
        <v/>
      </c>
      <c r="P57" s="23">
        <f>IF(LEFT(L57,8)="Expense|",N(D57),0)+IF(LEFT(M57,8)="Expense|",-N(D57),0)</f>
        <v/>
      </c>
      <c r="Q57" s="23">
        <f>IF(ISNUMBER(MATCH(L57,{"Expense|employee","Expense|general_admin","Expense|marketing","Expense|utilities","Expense|other_operating"},0)),N(D57),0)+IF(ISNUMBER(MATCH(M57,{"Expense|employee","Expense|general_admin","Expense|marketing","Expense|utilities","Expense|other_operating"},0)),-N(D57),0)</f>
        <v/>
      </c>
      <c r="R57" s="23">
        <f>IF(L57="Liability|payable",-N(D57),0)+IF(M57="Liability|payable",N(D57),0)</f>
        <v/>
      </c>
      <c r="S57" s="23">
        <f>IF(L57="Liability|accrued",-N(D57),0)+IF(M57="Liability|accrued",N(D57),0)</f>
        <v/>
      </c>
      <c r="T57" s="23">
        <f>IF(AND(N(D57)&lt;&gt;0,L57=""),1,0)+IF(AND(N(D57)&lt;&gt;0,M57=""),1,0)</f>
        <v/>
      </c>
    </row>
    <row r="58">
      <c r="A58" s="19" t="n"/>
      <c r="B58" s="14" t="n"/>
      <c r="C58" s="14" t="n"/>
      <c r="D58" s="20" t="n"/>
      <c r="E58" s="14" t="n"/>
      <c r="F58" s="14" t="n"/>
      <c r="G58" s="14" t="n"/>
      <c r="H58" s="14" t="n"/>
      <c r="I58" s="14" t="n"/>
      <c r="J58" s="16">
        <f>IF(C58="",INDEX('Chart of Accounts'!$A$5:$A$3000,MATCH("ap",'Chart of Accounts'!$F$5:$F$3000,0)),C58&amp;"")</f>
        <v/>
      </c>
      <c r="K58" s="16">
        <f>IF(F58="",INDEX('Chart of Accounts'!$A$5:$A$3000,MATCH("bank",'Chart of Accounts'!$F$5:$F$3000,0)),F58&amp;"")</f>
        <v/>
      </c>
      <c r="L58" s="23">
        <f>IFERROR(INDEX('Chart of Accounts'!$C$5:$C$3000,MATCH(J58&amp;"",'Chart of Accounts'!$A$5:$A$3000,0))&amp;"|"&amp;INDEX('Chart of Accounts'!$D$5:$D$3000,MATCH(J58&amp;"",'Chart of Accounts'!$A$5:$A$3000,0)),"")</f>
        <v/>
      </c>
      <c r="M58" s="23">
        <f>IFERROR(INDEX('Chart of Accounts'!$C$5:$C$3000,MATCH(K58&amp;"",'Chart of Accounts'!$A$5:$A$3000,0))&amp;"|"&amp;INDEX('Chart of Accounts'!$D$5:$D$3000,MATCH(K58&amp;"",'Chart of Accounts'!$A$5:$A$3000,0)),"")</f>
        <v/>
      </c>
      <c r="N58" s="23">
        <f>IF(LEFT(L58,8)="Revenue|",-N(D58),0)+IF(LEFT(M58,8)="Revenue|",N(D58),0)</f>
        <v/>
      </c>
      <c r="O58" s="23">
        <f>IF(LEFT(L58,5)="COGS|",N(D58),0)+IF(LEFT(M58,5)="COGS|",-N(D58),0)</f>
        <v/>
      </c>
      <c r="P58" s="23">
        <f>IF(LEFT(L58,8)="Expense|",N(D58),0)+IF(LEFT(M58,8)="Expense|",-N(D58),0)</f>
        <v/>
      </c>
      <c r="Q58" s="23">
        <f>IF(ISNUMBER(MATCH(L58,{"Expense|employee","Expense|general_admin","Expense|marketing","Expense|utilities","Expense|other_operating"},0)),N(D58),0)+IF(ISNUMBER(MATCH(M58,{"Expense|employee","Expense|general_admin","Expense|marketing","Expense|utilities","Expense|other_operating"},0)),-N(D58),0)</f>
        <v/>
      </c>
      <c r="R58" s="23">
        <f>IF(L58="Liability|payable",-N(D58),0)+IF(M58="Liability|payable",N(D58),0)</f>
        <v/>
      </c>
      <c r="S58" s="23">
        <f>IF(L58="Liability|accrued",-N(D58),0)+IF(M58="Liability|accrued",N(D58),0)</f>
        <v/>
      </c>
      <c r="T58" s="23">
        <f>IF(AND(N(D58)&lt;&gt;0,L58=""),1,0)+IF(AND(N(D58)&lt;&gt;0,M58=""),1,0)</f>
        <v/>
      </c>
    </row>
    <row r="59">
      <c r="A59" s="19" t="n"/>
      <c r="B59" s="14" t="n"/>
      <c r="C59" s="14" t="n"/>
      <c r="D59" s="20" t="n"/>
      <c r="E59" s="14" t="n"/>
      <c r="F59" s="14" t="n"/>
      <c r="G59" s="14" t="n"/>
      <c r="H59" s="14" t="n"/>
      <c r="I59" s="14" t="n"/>
      <c r="J59" s="16">
        <f>IF(C59="",INDEX('Chart of Accounts'!$A$5:$A$3000,MATCH("ap",'Chart of Accounts'!$F$5:$F$3000,0)),C59&amp;"")</f>
        <v/>
      </c>
      <c r="K59" s="16">
        <f>IF(F59="",INDEX('Chart of Accounts'!$A$5:$A$3000,MATCH("bank",'Chart of Accounts'!$F$5:$F$3000,0)),F59&amp;"")</f>
        <v/>
      </c>
      <c r="L59" s="23">
        <f>IFERROR(INDEX('Chart of Accounts'!$C$5:$C$3000,MATCH(J59&amp;"",'Chart of Accounts'!$A$5:$A$3000,0))&amp;"|"&amp;INDEX('Chart of Accounts'!$D$5:$D$3000,MATCH(J59&amp;"",'Chart of Accounts'!$A$5:$A$3000,0)),"")</f>
        <v/>
      </c>
      <c r="M59" s="23">
        <f>IFERROR(INDEX('Chart of Accounts'!$C$5:$C$3000,MATCH(K59&amp;"",'Chart of Accounts'!$A$5:$A$3000,0))&amp;"|"&amp;INDEX('Chart of Accounts'!$D$5:$D$3000,MATCH(K59&amp;"",'Chart of Accounts'!$A$5:$A$3000,0)),"")</f>
        <v/>
      </c>
      <c r="N59" s="23">
        <f>IF(LEFT(L59,8)="Revenue|",-N(D59),0)+IF(LEFT(M59,8)="Revenue|",N(D59),0)</f>
        <v/>
      </c>
      <c r="O59" s="23">
        <f>IF(LEFT(L59,5)="COGS|",N(D59),0)+IF(LEFT(M59,5)="COGS|",-N(D59),0)</f>
        <v/>
      </c>
      <c r="P59" s="23">
        <f>IF(LEFT(L59,8)="Expense|",N(D59),0)+IF(LEFT(M59,8)="Expense|",-N(D59),0)</f>
        <v/>
      </c>
      <c r="Q59" s="23">
        <f>IF(ISNUMBER(MATCH(L59,{"Expense|employee","Expense|general_admin","Expense|marketing","Expense|utilities","Expense|other_operating"},0)),N(D59),0)+IF(ISNUMBER(MATCH(M59,{"Expense|employee","Expense|general_admin","Expense|marketing","Expense|utilities","Expense|other_operating"},0)),-N(D59),0)</f>
        <v/>
      </c>
      <c r="R59" s="23">
        <f>IF(L59="Liability|payable",-N(D59),0)+IF(M59="Liability|payable",N(D59),0)</f>
        <v/>
      </c>
      <c r="S59" s="23">
        <f>IF(L59="Liability|accrued",-N(D59),0)+IF(M59="Liability|accrued",N(D59),0)</f>
        <v/>
      </c>
      <c r="T59" s="23">
        <f>IF(AND(N(D59)&lt;&gt;0,L59=""),1,0)+IF(AND(N(D59)&lt;&gt;0,M59=""),1,0)</f>
        <v/>
      </c>
    </row>
    <row r="60">
      <c r="A60" s="19" t="n"/>
      <c r="B60" s="14" t="n"/>
      <c r="C60" s="14" t="n"/>
      <c r="D60" s="20" t="n"/>
      <c r="E60" s="14" t="n"/>
      <c r="F60" s="14" t="n"/>
      <c r="G60" s="14" t="n"/>
      <c r="H60" s="14" t="n"/>
      <c r="I60" s="14" t="n"/>
      <c r="J60" s="16">
        <f>IF(C60="",INDEX('Chart of Accounts'!$A$5:$A$3000,MATCH("ap",'Chart of Accounts'!$F$5:$F$3000,0)),C60&amp;"")</f>
        <v/>
      </c>
      <c r="K60" s="16">
        <f>IF(F60="",INDEX('Chart of Accounts'!$A$5:$A$3000,MATCH("bank",'Chart of Accounts'!$F$5:$F$3000,0)),F60&amp;"")</f>
        <v/>
      </c>
      <c r="L60" s="23">
        <f>IFERROR(INDEX('Chart of Accounts'!$C$5:$C$3000,MATCH(J60&amp;"",'Chart of Accounts'!$A$5:$A$3000,0))&amp;"|"&amp;INDEX('Chart of Accounts'!$D$5:$D$3000,MATCH(J60&amp;"",'Chart of Accounts'!$A$5:$A$3000,0)),"")</f>
        <v/>
      </c>
      <c r="M60" s="23">
        <f>IFERROR(INDEX('Chart of Accounts'!$C$5:$C$3000,MATCH(K60&amp;"",'Chart of Accounts'!$A$5:$A$3000,0))&amp;"|"&amp;INDEX('Chart of Accounts'!$D$5:$D$3000,MATCH(K60&amp;"",'Chart of Accounts'!$A$5:$A$3000,0)),"")</f>
        <v/>
      </c>
      <c r="N60" s="23">
        <f>IF(LEFT(L60,8)="Revenue|",-N(D60),0)+IF(LEFT(M60,8)="Revenue|",N(D60),0)</f>
        <v/>
      </c>
      <c r="O60" s="23">
        <f>IF(LEFT(L60,5)="COGS|",N(D60),0)+IF(LEFT(M60,5)="COGS|",-N(D60),0)</f>
        <v/>
      </c>
      <c r="P60" s="23">
        <f>IF(LEFT(L60,8)="Expense|",N(D60),0)+IF(LEFT(M60,8)="Expense|",-N(D60),0)</f>
        <v/>
      </c>
      <c r="Q60" s="23">
        <f>IF(ISNUMBER(MATCH(L60,{"Expense|employee","Expense|general_admin","Expense|marketing","Expense|utilities","Expense|other_operating"},0)),N(D60),0)+IF(ISNUMBER(MATCH(M60,{"Expense|employee","Expense|general_admin","Expense|marketing","Expense|utilities","Expense|other_operating"},0)),-N(D60),0)</f>
        <v/>
      </c>
      <c r="R60" s="23">
        <f>IF(L60="Liability|payable",-N(D60),0)+IF(M60="Liability|payable",N(D60),0)</f>
        <v/>
      </c>
      <c r="S60" s="23">
        <f>IF(L60="Liability|accrued",-N(D60),0)+IF(M60="Liability|accrued",N(D60),0)</f>
        <v/>
      </c>
      <c r="T60" s="23">
        <f>IF(AND(N(D60)&lt;&gt;0,L60=""),1,0)+IF(AND(N(D60)&lt;&gt;0,M60=""),1,0)</f>
        <v/>
      </c>
    </row>
    <row r="61">
      <c r="A61" s="19" t="n"/>
      <c r="B61" s="14" t="n"/>
      <c r="C61" s="14" t="n"/>
      <c r="D61" s="20" t="n"/>
      <c r="E61" s="14" t="n"/>
      <c r="F61" s="14" t="n"/>
      <c r="G61" s="14" t="n"/>
      <c r="H61" s="14" t="n"/>
      <c r="I61" s="14" t="n"/>
      <c r="J61" s="16">
        <f>IF(C61="",INDEX('Chart of Accounts'!$A$5:$A$3000,MATCH("ap",'Chart of Accounts'!$F$5:$F$3000,0)),C61&amp;"")</f>
        <v/>
      </c>
      <c r="K61" s="16">
        <f>IF(F61="",INDEX('Chart of Accounts'!$A$5:$A$3000,MATCH("bank",'Chart of Accounts'!$F$5:$F$3000,0)),F61&amp;"")</f>
        <v/>
      </c>
      <c r="L61" s="23">
        <f>IFERROR(INDEX('Chart of Accounts'!$C$5:$C$3000,MATCH(J61&amp;"",'Chart of Accounts'!$A$5:$A$3000,0))&amp;"|"&amp;INDEX('Chart of Accounts'!$D$5:$D$3000,MATCH(J61&amp;"",'Chart of Accounts'!$A$5:$A$3000,0)),"")</f>
        <v/>
      </c>
      <c r="M61" s="23">
        <f>IFERROR(INDEX('Chart of Accounts'!$C$5:$C$3000,MATCH(K61&amp;"",'Chart of Accounts'!$A$5:$A$3000,0))&amp;"|"&amp;INDEX('Chart of Accounts'!$D$5:$D$3000,MATCH(K61&amp;"",'Chart of Accounts'!$A$5:$A$3000,0)),"")</f>
        <v/>
      </c>
      <c r="N61" s="23">
        <f>IF(LEFT(L61,8)="Revenue|",-N(D61),0)+IF(LEFT(M61,8)="Revenue|",N(D61),0)</f>
        <v/>
      </c>
      <c r="O61" s="23">
        <f>IF(LEFT(L61,5)="COGS|",N(D61),0)+IF(LEFT(M61,5)="COGS|",-N(D61),0)</f>
        <v/>
      </c>
      <c r="P61" s="23">
        <f>IF(LEFT(L61,8)="Expense|",N(D61),0)+IF(LEFT(M61,8)="Expense|",-N(D61),0)</f>
        <v/>
      </c>
      <c r="Q61" s="23">
        <f>IF(ISNUMBER(MATCH(L61,{"Expense|employee","Expense|general_admin","Expense|marketing","Expense|utilities","Expense|other_operating"},0)),N(D61),0)+IF(ISNUMBER(MATCH(M61,{"Expense|employee","Expense|general_admin","Expense|marketing","Expense|utilities","Expense|other_operating"},0)),-N(D61),0)</f>
        <v/>
      </c>
      <c r="R61" s="23">
        <f>IF(L61="Liability|payable",-N(D61),0)+IF(M61="Liability|payable",N(D61),0)</f>
        <v/>
      </c>
      <c r="S61" s="23">
        <f>IF(L61="Liability|accrued",-N(D61),0)+IF(M61="Liability|accrued",N(D61),0)</f>
        <v/>
      </c>
      <c r="T61" s="23">
        <f>IF(AND(N(D61)&lt;&gt;0,L61=""),1,0)+IF(AND(N(D61)&lt;&gt;0,M61=""),1,0)</f>
        <v/>
      </c>
    </row>
    <row r="62">
      <c r="A62" s="19" t="n"/>
      <c r="B62" s="14" t="n"/>
      <c r="C62" s="14" t="n"/>
      <c r="D62" s="20" t="n"/>
      <c r="E62" s="14" t="n"/>
      <c r="F62" s="14" t="n"/>
      <c r="G62" s="14" t="n"/>
      <c r="H62" s="14" t="n"/>
      <c r="I62" s="14" t="n"/>
      <c r="J62" s="16">
        <f>IF(C62="",INDEX('Chart of Accounts'!$A$5:$A$3000,MATCH("ap",'Chart of Accounts'!$F$5:$F$3000,0)),C62&amp;"")</f>
        <v/>
      </c>
      <c r="K62" s="16">
        <f>IF(F62="",INDEX('Chart of Accounts'!$A$5:$A$3000,MATCH("bank",'Chart of Accounts'!$F$5:$F$3000,0)),F62&amp;"")</f>
        <v/>
      </c>
      <c r="L62" s="23">
        <f>IFERROR(INDEX('Chart of Accounts'!$C$5:$C$3000,MATCH(J62&amp;"",'Chart of Accounts'!$A$5:$A$3000,0))&amp;"|"&amp;INDEX('Chart of Accounts'!$D$5:$D$3000,MATCH(J62&amp;"",'Chart of Accounts'!$A$5:$A$3000,0)),"")</f>
        <v/>
      </c>
      <c r="M62" s="23">
        <f>IFERROR(INDEX('Chart of Accounts'!$C$5:$C$3000,MATCH(K62&amp;"",'Chart of Accounts'!$A$5:$A$3000,0))&amp;"|"&amp;INDEX('Chart of Accounts'!$D$5:$D$3000,MATCH(K62&amp;"",'Chart of Accounts'!$A$5:$A$3000,0)),"")</f>
        <v/>
      </c>
      <c r="N62" s="23">
        <f>IF(LEFT(L62,8)="Revenue|",-N(D62),0)+IF(LEFT(M62,8)="Revenue|",N(D62),0)</f>
        <v/>
      </c>
      <c r="O62" s="23">
        <f>IF(LEFT(L62,5)="COGS|",N(D62),0)+IF(LEFT(M62,5)="COGS|",-N(D62),0)</f>
        <v/>
      </c>
      <c r="P62" s="23">
        <f>IF(LEFT(L62,8)="Expense|",N(D62),0)+IF(LEFT(M62,8)="Expense|",-N(D62),0)</f>
        <v/>
      </c>
      <c r="Q62" s="23">
        <f>IF(ISNUMBER(MATCH(L62,{"Expense|employee","Expense|general_admin","Expense|marketing","Expense|utilities","Expense|other_operating"},0)),N(D62),0)+IF(ISNUMBER(MATCH(M62,{"Expense|employee","Expense|general_admin","Expense|marketing","Expense|utilities","Expense|other_operating"},0)),-N(D62),0)</f>
        <v/>
      </c>
      <c r="R62" s="23">
        <f>IF(L62="Liability|payable",-N(D62),0)+IF(M62="Liability|payable",N(D62),0)</f>
        <v/>
      </c>
      <c r="S62" s="23">
        <f>IF(L62="Liability|accrued",-N(D62),0)+IF(M62="Liability|accrued",N(D62),0)</f>
        <v/>
      </c>
      <c r="T62" s="23">
        <f>IF(AND(N(D62)&lt;&gt;0,L62=""),1,0)+IF(AND(N(D62)&lt;&gt;0,M62=""),1,0)</f>
        <v/>
      </c>
    </row>
    <row r="63">
      <c r="A63" s="19" t="n"/>
      <c r="B63" s="14" t="n"/>
      <c r="C63" s="14" t="n"/>
      <c r="D63" s="20" t="n"/>
      <c r="E63" s="14" t="n"/>
      <c r="F63" s="14" t="n"/>
      <c r="G63" s="14" t="n"/>
      <c r="H63" s="14" t="n"/>
      <c r="I63" s="14" t="n"/>
      <c r="J63" s="16">
        <f>IF(C63="",INDEX('Chart of Accounts'!$A$5:$A$3000,MATCH("ap",'Chart of Accounts'!$F$5:$F$3000,0)),C63&amp;"")</f>
        <v/>
      </c>
      <c r="K63" s="16">
        <f>IF(F63="",INDEX('Chart of Accounts'!$A$5:$A$3000,MATCH("bank",'Chart of Accounts'!$F$5:$F$3000,0)),F63&amp;"")</f>
        <v/>
      </c>
      <c r="L63" s="23">
        <f>IFERROR(INDEX('Chart of Accounts'!$C$5:$C$3000,MATCH(J63&amp;"",'Chart of Accounts'!$A$5:$A$3000,0))&amp;"|"&amp;INDEX('Chart of Accounts'!$D$5:$D$3000,MATCH(J63&amp;"",'Chart of Accounts'!$A$5:$A$3000,0)),"")</f>
        <v/>
      </c>
      <c r="M63" s="23">
        <f>IFERROR(INDEX('Chart of Accounts'!$C$5:$C$3000,MATCH(K63&amp;"",'Chart of Accounts'!$A$5:$A$3000,0))&amp;"|"&amp;INDEX('Chart of Accounts'!$D$5:$D$3000,MATCH(K63&amp;"",'Chart of Accounts'!$A$5:$A$3000,0)),"")</f>
        <v/>
      </c>
      <c r="N63" s="23">
        <f>IF(LEFT(L63,8)="Revenue|",-N(D63),0)+IF(LEFT(M63,8)="Revenue|",N(D63),0)</f>
        <v/>
      </c>
      <c r="O63" s="23">
        <f>IF(LEFT(L63,5)="COGS|",N(D63),0)+IF(LEFT(M63,5)="COGS|",-N(D63),0)</f>
        <v/>
      </c>
      <c r="P63" s="23">
        <f>IF(LEFT(L63,8)="Expense|",N(D63),0)+IF(LEFT(M63,8)="Expense|",-N(D63),0)</f>
        <v/>
      </c>
      <c r="Q63" s="23">
        <f>IF(ISNUMBER(MATCH(L63,{"Expense|employee","Expense|general_admin","Expense|marketing","Expense|utilities","Expense|other_operating"},0)),N(D63),0)+IF(ISNUMBER(MATCH(M63,{"Expense|employee","Expense|general_admin","Expense|marketing","Expense|utilities","Expense|other_operating"},0)),-N(D63),0)</f>
        <v/>
      </c>
      <c r="R63" s="23">
        <f>IF(L63="Liability|payable",-N(D63),0)+IF(M63="Liability|payable",N(D63),0)</f>
        <v/>
      </c>
      <c r="S63" s="23">
        <f>IF(L63="Liability|accrued",-N(D63),0)+IF(M63="Liability|accrued",N(D63),0)</f>
        <v/>
      </c>
      <c r="T63" s="23">
        <f>IF(AND(N(D63)&lt;&gt;0,L63=""),1,0)+IF(AND(N(D63)&lt;&gt;0,M63=""),1,0)</f>
        <v/>
      </c>
    </row>
    <row r="64">
      <c r="A64" s="19" t="n"/>
      <c r="B64" s="14" t="n"/>
      <c r="C64" s="14" t="n"/>
      <c r="D64" s="20" t="n"/>
      <c r="E64" s="14" t="n"/>
      <c r="F64" s="14" t="n"/>
      <c r="G64" s="14" t="n"/>
      <c r="H64" s="14" t="n"/>
      <c r="I64" s="14" t="n"/>
      <c r="J64" s="16">
        <f>IF(C64="",INDEX('Chart of Accounts'!$A$5:$A$3000,MATCH("ap",'Chart of Accounts'!$F$5:$F$3000,0)),C64&amp;"")</f>
        <v/>
      </c>
      <c r="K64" s="16">
        <f>IF(F64="",INDEX('Chart of Accounts'!$A$5:$A$3000,MATCH("bank",'Chart of Accounts'!$F$5:$F$3000,0)),F64&amp;"")</f>
        <v/>
      </c>
      <c r="L64" s="23">
        <f>IFERROR(INDEX('Chart of Accounts'!$C$5:$C$3000,MATCH(J64&amp;"",'Chart of Accounts'!$A$5:$A$3000,0))&amp;"|"&amp;INDEX('Chart of Accounts'!$D$5:$D$3000,MATCH(J64&amp;"",'Chart of Accounts'!$A$5:$A$3000,0)),"")</f>
        <v/>
      </c>
      <c r="M64" s="23">
        <f>IFERROR(INDEX('Chart of Accounts'!$C$5:$C$3000,MATCH(K64&amp;"",'Chart of Accounts'!$A$5:$A$3000,0))&amp;"|"&amp;INDEX('Chart of Accounts'!$D$5:$D$3000,MATCH(K64&amp;"",'Chart of Accounts'!$A$5:$A$3000,0)),"")</f>
        <v/>
      </c>
      <c r="N64" s="23">
        <f>IF(LEFT(L64,8)="Revenue|",-N(D64),0)+IF(LEFT(M64,8)="Revenue|",N(D64),0)</f>
        <v/>
      </c>
      <c r="O64" s="23">
        <f>IF(LEFT(L64,5)="COGS|",N(D64),0)+IF(LEFT(M64,5)="COGS|",-N(D64),0)</f>
        <v/>
      </c>
      <c r="P64" s="23">
        <f>IF(LEFT(L64,8)="Expense|",N(D64),0)+IF(LEFT(M64,8)="Expense|",-N(D64),0)</f>
        <v/>
      </c>
      <c r="Q64" s="23">
        <f>IF(ISNUMBER(MATCH(L64,{"Expense|employee","Expense|general_admin","Expense|marketing","Expense|utilities","Expense|other_operating"},0)),N(D64),0)+IF(ISNUMBER(MATCH(M64,{"Expense|employee","Expense|general_admin","Expense|marketing","Expense|utilities","Expense|other_operating"},0)),-N(D64),0)</f>
        <v/>
      </c>
      <c r="R64" s="23">
        <f>IF(L64="Liability|payable",-N(D64),0)+IF(M64="Liability|payable",N(D64),0)</f>
        <v/>
      </c>
      <c r="S64" s="23">
        <f>IF(L64="Liability|accrued",-N(D64),0)+IF(M64="Liability|accrued",N(D64),0)</f>
        <v/>
      </c>
      <c r="T64" s="23">
        <f>IF(AND(N(D64)&lt;&gt;0,L64=""),1,0)+IF(AND(N(D64)&lt;&gt;0,M64=""),1,0)</f>
        <v/>
      </c>
    </row>
    <row r="65">
      <c r="A65" s="19" t="n"/>
      <c r="B65" s="14" t="n"/>
      <c r="C65" s="14" t="n"/>
      <c r="D65" s="20" t="n"/>
      <c r="E65" s="14" t="n"/>
      <c r="F65" s="14" t="n"/>
      <c r="G65" s="14" t="n"/>
      <c r="H65" s="14" t="n"/>
      <c r="I65" s="14" t="n"/>
      <c r="J65" s="16">
        <f>IF(C65="",INDEX('Chart of Accounts'!$A$5:$A$3000,MATCH("ap",'Chart of Accounts'!$F$5:$F$3000,0)),C65&amp;"")</f>
        <v/>
      </c>
      <c r="K65" s="16">
        <f>IF(F65="",INDEX('Chart of Accounts'!$A$5:$A$3000,MATCH("bank",'Chart of Accounts'!$F$5:$F$3000,0)),F65&amp;"")</f>
        <v/>
      </c>
      <c r="L65" s="23">
        <f>IFERROR(INDEX('Chart of Accounts'!$C$5:$C$3000,MATCH(J65&amp;"",'Chart of Accounts'!$A$5:$A$3000,0))&amp;"|"&amp;INDEX('Chart of Accounts'!$D$5:$D$3000,MATCH(J65&amp;"",'Chart of Accounts'!$A$5:$A$3000,0)),"")</f>
        <v/>
      </c>
      <c r="M65" s="23">
        <f>IFERROR(INDEX('Chart of Accounts'!$C$5:$C$3000,MATCH(K65&amp;"",'Chart of Accounts'!$A$5:$A$3000,0))&amp;"|"&amp;INDEX('Chart of Accounts'!$D$5:$D$3000,MATCH(K65&amp;"",'Chart of Accounts'!$A$5:$A$3000,0)),"")</f>
        <v/>
      </c>
      <c r="N65" s="23">
        <f>IF(LEFT(L65,8)="Revenue|",-N(D65),0)+IF(LEFT(M65,8)="Revenue|",N(D65),0)</f>
        <v/>
      </c>
      <c r="O65" s="23">
        <f>IF(LEFT(L65,5)="COGS|",N(D65),0)+IF(LEFT(M65,5)="COGS|",-N(D65),0)</f>
        <v/>
      </c>
      <c r="P65" s="23">
        <f>IF(LEFT(L65,8)="Expense|",N(D65),0)+IF(LEFT(M65,8)="Expense|",-N(D65),0)</f>
        <v/>
      </c>
      <c r="Q65" s="23">
        <f>IF(ISNUMBER(MATCH(L65,{"Expense|employee","Expense|general_admin","Expense|marketing","Expense|utilities","Expense|other_operating"},0)),N(D65),0)+IF(ISNUMBER(MATCH(M65,{"Expense|employee","Expense|general_admin","Expense|marketing","Expense|utilities","Expense|other_operating"},0)),-N(D65),0)</f>
        <v/>
      </c>
      <c r="R65" s="23">
        <f>IF(L65="Liability|payable",-N(D65),0)+IF(M65="Liability|payable",N(D65),0)</f>
        <v/>
      </c>
      <c r="S65" s="23">
        <f>IF(L65="Liability|accrued",-N(D65),0)+IF(M65="Liability|accrued",N(D65),0)</f>
        <v/>
      </c>
      <c r="T65" s="23">
        <f>IF(AND(N(D65)&lt;&gt;0,L65=""),1,0)+IF(AND(N(D65)&lt;&gt;0,M65=""),1,0)</f>
        <v/>
      </c>
    </row>
    <row r="66">
      <c r="A66" s="19" t="n"/>
      <c r="B66" s="14" t="n"/>
      <c r="C66" s="14" t="n"/>
      <c r="D66" s="20" t="n"/>
      <c r="E66" s="14" t="n"/>
      <c r="F66" s="14" t="n"/>
      <c r="G66" s="14" t="n"/>
      <c r="H66" s="14" t="n"/>
      <c r="I66" s="14" t="n"/>
      <c r="J66" s="16">
        <f>IF(C66="",INDEX('Chart of Accounts'!$A$5:$A$3000,MATCH("ap",'Chart of Accounts'!$F$5:$F$3000,0)),C66&amp;"")</f>
        <v/>
      </c>
      <c r="K66" s="16">
        <f>IF(F66="",INDEX('Chart of Accounts'!$A$5:$A$3000,MATCH("bank",'Chart of Accounts'!$F$5:$F$3000,0)),F66&amp;"")</f>
        <v/>
      </c>
      <c r="L66" s="23">
        <f>IFERROR(INDEX('Chart of Accounts'!$C$5:$C$3000,MATCH(J66&amp;"",'Chart of Accounts'!$A$5:$A$3000,0))&amp;"|"&amp;INDEX('Chart of Accounts'!$D$5:$D$3000,MATCH(J66&amp;"",'Chart of Accounts'!$A$5:$A$3000,0)),"")</f>
        <v/>
      </c>
      <c r="M66" s="23">
        <f>IFERROR(INDEX('Chart of Accounts'!$C$5:$C$3000,MATCH(K66&amp;"",'Chart of Accounts'!$A$5:$A$3000,0))&amp;"|"&amp;INDEX('Chart of Accounts'!$D$5:$D$3000,MATCH(K66&amp;"",'Chart of Accounts'!$A$5:$A$3000,0)),"")</f>
        <v/>
      </c>
      <c r="N66" s="23">
        <f>IF(LEFT(L66,8)="Revenue|",-N(D66),0)+IF(LEFT(M66,8)="Revenue|",N(D66),0)</f>
        <v/>
      </c>
      <c r="O66" s="23">
        <f>IF(LEFT(L66,5)="COGS|",N(D66),0)+IF(LEFT(M66,5)="COGS|",-N(D66),0)</f>
        <v/>
      </c>
      <c r="P66" s="23">
        <f>IF(LEFT(L66,8)="Expense|",N(D66),0)+IF(LEFT(M66,8)="Expense|",-N(D66),0)</f>
        <v/>
      </c>
      <c r="Q66" s="23">
        <f>IF(ISNUMBER(MATCH(L66,{"Expense|employee","Expense|general_admin","Expense|marketing","Expense|utilities","Expense|other_operating"},0)),N(D66),0)+IF(ISNUMBER(MATCH(M66,{"Expense|employee","Expense|general_admin","Expense|marketing","Expense|utilities","Expense|other_operating"},0)),-N(D66),0)</f>
        <v/>
      </c>
      <c r="R66" s="23">
        <f>IF(L66="Liability|payable",-N(D66),0)+IF(M66="Liability|payable",N(D66),0)</f>
        <v/>
      </c>
      <c r="S66" s="23">
        <f>IF(L66="Liability|accrued",-N(D66),0)+IF(M66="Liability|accrued",N(D66),0)</f>
        <v/>
      </c>
      <c r="T66" s="23">
        <f>IF(AND(N(D66)&lt;&gt;0,L66=""),1,0)+IF(AND(N(D66)&lt;&gt;0,M66=""),1,0)</f>
        <v/>
      </c>
    </row>
    <row r="67">
      <c r="A67" s="19" t="n"/>
      <c r="B67" s="14" t="n"/>
      <c r="C67" s="14" t="n"/>
      <c r="D67" s="20" t="n"/>
      <c r="E67" s="14" t="n"/>
      <c r="F67" s="14" t="n"/>
      <c r="G67" s="14" t="n"/>
      <c r="H67" s="14" t="n"/>
      <c r="I67" s="14" t="n"/>
      <c r="J67" s="16">
        <f>IF(C67="",INDEX('Chart of Accounts'!$A$5:$A$3000,MATCH("ap",'Chart of Accounts'!$F$5:$F$3000,0)),C67&amp;"")</f>
        <v/>
      </c>
      <c r="K67" s="16">
        <f>IF(F67="",INDEX('Chart of Accounts'!$A$5:$A$3000,MATCH("bank",'Chart of Accounts'!$F$5:$F$3000,0)),F67&amp;"")</f>
        <v/>
      </c>
      <c r="L67" s="23">
        <f>IFERROR(INDEX('Chart of Accounts'!$C$5:$C$3000,MATCH(J67&amp;"",'Chart of Accounts'!$A$5:$A$3000,0))&amp;"|"&amp;INDEX('Chart of Accounts'!$D$5:$D$3000,MATCH(J67&amp;"",'Chart of Accounts'!$A$5:$A$3000,0)),"")</f>
        <v/>
      </c>
      <c r="M67" s="23">
        <f>IFERROR(INDEX('Chart of Accounts'!$C$5:$C$3000,MATCH(K67&amp;"",'Chart of Accounts'!$A$5:$A$3000,0))&amp;"|"&amp;INDEX('Chart of Accounts'!$D$5:$D$3000,MATCH(K67&amp;"",'Chart of Accounts'!$A$5:$A$3000,0)),"")</f>
        <v/>
      </c>
      <c r="N67" s="23">
        <f>IF(LEFT(L67,8)="Revenue|",-N(D67),0)+IF(LEFT(M67,8)="Revenue|",N(D67),0)</f>
        <v/>
      </c>
      <c r="O67" s="23">
        <f>IF(LEFT(L67,5)="COGS|",N(D67),0)+IF(LEFT(M67,5)="COGS|",-N(D67),0)</f>
        <v/>
      </c>
      <c r="P67" s="23">
        <f>IF(LEFT(L67,8)="Expense|",N(D67),0)+IF(LEFT(M67,8)="Expense|",-N(D67),0)</f>
        <v/>
      </c>
      <c r="Q67" s="23">
        <f>IF(ISNUMBER(MATCH(L67,{"Expense|employee","Expense|general_admin","Expense|marketing","Expense|utilities","Expense|other_operating"},0)),N(D67),0)+IF(ISNUMBER(MATCH(M67,{"Expense|employee","Expense|general_admin","Expense|marketing","Expense|utilities","Expense|other_operating"},0)),-N(D67),0)</f>
        <v/>
      </c>
      <c r="R67" s="23">
        <f>IF(L67="Liability|payable",-N(D67),0)+IF(M67="Liability|payable",N(D67),0)</f>
        <v/>
      </c>
      <c r="S67" s="23">
        <f>IF(L67="Liability|accrued",-N(D67),0)+IF(M67="Liability|accrued",N(D67),0)</f>
        <v/>
      </c>
      <c r="T67" s="23">
        <f>IF(AND(N(D67)&lt;&gt;0,L67=""),1,0)+IF(AND(N(D67)&lt;&gt;0,M67=""),1,0)</f>
        <v/>
      </c>
    </row>
    <row r="68">
      <c r="A68" s="19" t="n"/>
      <c r="B68" s="14" t="n"/>
      <c r="C68" s="14" t="n"/>
      <c r="D68" s="20" t="n"/>
      <c r="E68" s="14" t="n"/>
      <c r="F68" s="14" t="n"/>
      <c r="G68" s="14" t="n"/>
      <c r="H68" s="14" t="n"/>
      <c r="I68" s="14" t="n"/>
      <c r="J68" s="16">
        <f>IF(C68="",INDEX('Chart of Accounts'!$A$5:$A$3000,MATCH("ap",'Chart of Accounts'!$F$5:$F$3000,0)),C68&amp;"")</f>
        <v/>
      </c>
      <c r="K68" s="16">
        <f>IF(F68="",INDEX('Chart of Accounts'!$A$5:$A$3000,MATCH("bank",'Chart of Accounts'!$F$5:$F$3000,0)),F68&amp;"")</f>
        <v/>
      </c>
      <c r="L68" s="23">
        <f>IFERROR(INDEX('Chart of Accounts'!$C$5:$C$3000,MATCH(J68&amp;"",'Chart of Accounts'!$A$5:$A$3000,0))&amp;"|"&amp;INDEX('Chart of Accounts'!$D$5:$D$3000,MATCH(J68&amp;"",'Chart of Accounts'!$A$5:$A$3000,0)),"")</f>
        <v/>
      </c>
      <c r="M68" s="23">
        <f>IFERROR(INDEX('Chart of Accounts'!$C$5:$C$3000,MATCH(K68&amp;"",'Chart of Accounts'!$A$5:$A$3000,0))&amp;"|"&amp;INDEX('Chart of Accounts'!$D$5:$D$3000,MATCH(K68&amp;"",'Chart of Accounts'!$A$5:$A$3000,0)),"")</f>
        <v/>
      </c>
      <c r="N68" s="23">
        <f>IF(LEFT(L68,8)="Revenue|",-N(D68),0)+IF(LEFT(M68,8)="Revenue|",N(D68),0)</f>
        <v/>
      </c>
      <c r="O68" s="23">
        <f>IF(LEFT(L68,5)="COGS|",N(D68),0)+IF(LEFT(M68,5)="COGS|",-N(D68),0)</f>
        <v/>
      </c>
      <c r="P68" s="23">
        <f>IF(LEFT(L68,8)="Expense|",N(D68),0)+IF(LEFT(M68,8)="Expense|",-N(D68),0)</f>
        <v/>
      </c>
      <c r="Q68" s="23">
        <f>IF(ISNUMBER(MATCH(L68,{"Expense|employee","Expense|general_admin","Expense|marketing","Expense|utilities","Expense|other_operating"},0)),N(D68),0)+IF(ISNUMBER(MATCH(M68,{"Expense|employee","Expense|general_admin","Expense|marketing","Expense|utilities","Expense|other_operating"},0)),-N(D68),0)</f>
        <v/>
      </c>
      <c r="R68" s="23">
        <f>IF(L68="Liability|payable",-N(D68),0)+IF(M68="Liability|payable",N(D68),0)</f>
        <v/>
      </c>
      <c r="S68" s="23">
        <f>IF(L68="Liability|accrued",-N(D68),0)+IF(M68="Liability|accrued",N(D68),0)</f>
        <v/>
      </c>
      <c r="T68" s="23">
        <f>IF(AND(N(D68)&lt;&gt;0,L68=""),1,0)+IF(AND(N(D68)&lt;&gt;0,M68=""),1,0)</f>
        <v/>
      </c>
    </row>
    <row r="69">
      <c r="A69" s="19" t="n"/>
      <c r="B69" s="14" t="n"/>
      <c r="C69" s="14" t="n"/>
      <c r="D69" s="20" t="n"/>
      <c r="E69" s="14" t="n"/>
      <c r="F69" s="14" t="n"/>
      <c r="G69" s="14" t="n"/>
      <c r="H69" s="14" t="n"/>
      <c r="I69" s="14" t="n"/>
      <c r="J69" s="16">
        <f>IF(C69="",INDEX('Chart of Accounts'!$A$5:$A$3000,MATCH("ap",'Chart of Accounts'!$F$5:$F$3000,0)),C69&amp;"")</f>
        <v/>
      </c>
      <c r="K69" s="16">
        <f>IF(F69="",INDEX('Chart of Accounts'!$A$5:$A$3000,MATCH("bank",'Chart of Accounts'!$F$5:$F$3000,0)),F69&amp;"")</f>
        <v/>
      </c>
      <c r="L69" s="23">
        <f>IFERROR(INDEX('Chart of Accounts'!$C$5:$C$3000,MATCH(J69&amp;"",'Chart of Accounts'!$A$5:$A$3000,0))&amp;"|"&amp;INDEX('Chart of Accounts'!$D$5:$D$3000,MATCH(J69&amp;"",'Chart of Accounts'!$A$5:$A$3000,0)),"")</f>
        <v/>
      </c>
      <c r="M69" s="23">
        <f>IFERROR(INDEX('Chart of Accounts'!$C$5:$C$3000,MATCH(K69&amp;"",'Chart of Accounts'!$A$5:$A$3000,0))&amp;"|"&amp;INDEX('Chart of Accounts'!$D$5:$D$3000,MATCH(K69&amp;"",'Chart of Accounts'!$A$5:$A$3000,0)),"")</f>
        <v/>
      </c>
      <c r="N69" s="23">
        <f>IF(LEFT(L69,8)="Revenue|",-N(D69),0)+IF(LEFT(M69,8)="Revenue|",N(D69),0)</f>
        <v/>
      </c>
      <c r="O69" s="23">
        <f>IF(LEFT(L69,5)="COGS|",N(D69),0)+IF(LEFT(M69,5)="COGS|",-N(D69),0)</f>
        <v/>
      </c>
      <c r="P69" s="23">
        <f>IF(LEFT(L69,8)="Expense|",N(D69),0)+IF(LEFT(M69,8)="Expense|",-N(D69),0)</f>
        <v/>
      </c>
      <c r="Q69" s="23">
        <f>IF(ISNUMBER(MATCH(L69,{"Expense|employee","Expense|general_admin","Expense|marketing","Expense|utilities","Expense|other_operating"},0)),N(D69),0)+IF(ISNUMBER(MATCH(M69,{"Expense|employee","Expense|general_admin","Expense|marketing","Expense|utilities","Expense|other_operating"},0)),-N(D69),0)</f>
        <v/>
      </c>
      <c r="R69" s="23">
        <f>IF(L69="Liability|payable",-N(D69),0)+IF(M69="Liability|payable",N(D69),0)</f>
        <v/>
      </c>
      <c r="S69" s="23">
        <f>IF(L69="Liability|accrued",-N(D69),0)+IF(M69="Liability|accrued",N(D69),0)</f>
        <v/>
      </c>
      <c r="T69" s="23">
        <f>IF(AND(N(D69)&lt;&gt;0,L69=""),1,0)+IF(AND(N(D69)&lt;&gt;0,M69=""),1,0)</f>
        <v/>
      </c>
    </row>
    <row r="70">
      <c r="A70" s="19" t="n"/>
      <c r="B70" s="14" t="n"/>
      <c r="C70" s="14" t="n"/>
      <c r="D70" s="20" t="n"/>
      <c r="E70" s="14" t="n"/>
      <c r="F70" s="14" t="n"/>
      <c r="G70" s="14" t="n"/>
      <c r="H70" s="14" t="n"/>
      <c r="I70" s="14" t="n"/>
      <c r="J70" s="16">
        <f>IF(C70="",INDEX('Chart of Accounts'!$A$5:$A$3000,MATCH("ap",'Chart of Accounts'!$F$5:$F$3000,0)),C70&amp;"")</f>
        <v/>
      </c>
      <c r="K70" s="16">
        <f>IF(F70="",INDEX('Chart of Accounts'!$A$5:$A$3000,MATCH("bank",'Chart of Accounts'!$F$5:$F$3000,0)),F70&amp;"")</f>
        <v/>
      </c>
      <c r="L70" s="23">
        <f>IFERROR(INDEX('Chart of Accounts'!$C$5:$C$3000,MATCH(J70&amp;"",'Chart of Accounts'!$A$5:$A$3000,0))&amp;"|"&amp;INDEX('Chart of Accounts'!$D$5:$D$3000,MATCH(J70&amp;"",'Chart of Accounts'!$A$5:$A$3000,0)),"")</f>
        <v/>
      </c>
      <c r="M70" s="23">
        <f>IFERROR(INDEX('Chart of Accounts'!$C$5:$C$3000,MATCH(K70&amp;"",'Chart of Accounts'!$A$5:$A$3000,0))&amp;"|"&amp;INDEX('Chart of Accounts'!$D$5:$D$3000,MATCH(K70&amp;"",'Chart of Accounts'!$A$5:$A$3000,0)),"")</f>
        <v/>
      </c>
      <c r="N70" s="23">
        <f>IF(LEFT(L70,8)="Revenue|",-N(D70),0)+IF(LEFT(M70,8)="Revenue|",N(D70),0)</f>
        <v/>
      </c>
      <c r="O70" s="23">
        <f>IF(LEFT(L70,5)="COGS|",N(D70),0)+IF(LEFT(M70,5)="COGS|",-N(D70),0)</f>
        <v/>
      </c>
      <c r="P70" s="23">
        <f>IF(LEFT(L70,8)="Expense|",N(D70),0)+IF(LEFT(M70,8)="Expense|",-N(D70),0)</f>
        <v/>
      </c>
      <c r="Q70" s="23">
        <f>IF(ISNUMBER(MATCH(L70,{"Expense|employee","Expense|general_admin","Expense|marketing","Expense|utilities","Expense|other_operating"},0)),N(D70),0)+IF(ISNUMBER(MATCH(M70,{"Expense|employee","Expense|general_admin","Expense|marketing","Expense|utilities","Expense|other_operating"},0)),-N(D70),0)</f>
        <v/>
      </c>
      <c r="R70" s="23">
        <f>IF(L70="Liability|payable",-N(D70),0)+IF(M70="Liability|payable",N(D70),0)</f>
        <v/>
      </c>
      <c r="S70" s="23">
        <f>IF(L70="Liability|accrued",-N(D70),0)+IF(M70="Liability|accrued",N(D70),0)</f>
        <v/>
      </c>
      <c r="T70" s="23">
        <f>IF(AND(N(D70)&lt;&gt;0,L70=""),1,0)+IF(AND(N(D70)&lt;&gt;0,M70=""),1,0)</f>
        <v/>
      </c>
    </row>
    <row r="71">
      <c r="A71" s="19" t="n"/>
      <c r="B71" s="14" t="n"/>
      <c r="C71" s="14" t="n"/>
      <c r="D71" s="20" t="n"/>
      <c r="E71" s="14" t="n"/>
      <c r="F71" s="14" t="n"/>
      <c r="G71" s="14" t="n"/>
      <c r="H71" s="14" t="n"/>
      <c r="I71" s="14" t="n"/>
      <c r="J71" s="16">
        <f>IF(C71="",INDEX('Chart of Accounts'!$A$5:$A$3000,MATCH("ap",'Chart of Accounts'!$F$5:$F$3000,0)),C71&amp;"")</f>
        <v/>
      </c>
      <c r="K71" s="16">
        <f>IF(F71="",INDEX('Chart of Accounts'!$A$5:$A$3000,MATCH("bank",'Chart of Accounts'!$F$5:$F$3000,0)),F71&amp;"")</f>
        <v/>
      </c>
      <c r="L71" s="23">
        <f>IFERROR(INDEX('Chart of Accounts'!$C$5:$C$3000,MATCH(J71&amp;"",'Chart of Accounts'!$A$5:$A$3000,0))&amp;"|"&amp;INDEX('Chart of Accounts'!$D$5:$D$3000,MATCH(J71&amp;"",'Chart of Accounts'!$A$5:$A$3000,0)),"")</f>
        <v/>
      </c>
      <c r="M71" s="23">
        <f>IFERROR(INDEX('Chart of Accounts'!$C$5:$C$3000,MATCH(K71&amp;"",'Chart of Accounts'!$A$5:$A$3000,0))&amp;"|"&amp;INDEX('Chart of Accounts'!$D$5:$D$3000,MATCH(K71&amp;"",'Chart of Accounts'!$A$5:$A$3000,0)),"")</f>
        <v/>
      </c>
      <c r="N71" s="23">
        <f>IF(LEFT(L71,8)="Revenue|",-N(D71),0)+IF(LEFT(M71,8)="Revenue|",N(D71),0)</f>
        <v/>
      </c>
      <c r="O71" s="23">
        <f>IF(LEFT(L71,5)="COGS|",N(D71),0)+IF(LEFT(M71,5)="COGS|",-N(D71),0)</f>
        <v/>
      </c>
      <c r="P71" s="23">
        <f>IF(LEFT(L71,8)="Expense|",N(D71),0)+IF(LEFT(M71,8)="Expense|",-N(D71),0)</f>
        <v/>
      </c>
      <c r="Q71" s="23">
        <f>IF(ISNUMBER(MATCH(L71,{"Expense|employee","Expense|general_admin","Expense|marketing","Expense|utilities","Expense|other_operating"},0)),N(D71),0)+IF(ISNUMBER(MATCH(M71,{"Expense|employee","Expense|general_admin","Expense|marketing","Expense|utilities","Expense|other_operating"},0)),-N(D71),0)</f>
        <v/>
      </c>
      <c r="R71" s="23">
        <f>IF(L71="Liability|payable",-N(D71),0)+IF(M71="Liability|payable",N(D71),0)</f>
        <v/>
      </c>
      <c r="S71" s="23">
        <f>IF(L71="Liability|accrued",-N(D71),0)+IF(M71="Liability|accrued",N(D71),0)</f>
        <v/>
      </c>
      <c r="T71" s="23">
        <f>IF(AND(N(D71)&lt;&gt;0,L71=""),1,0)+IF(AND(N(D71)&lt;&gt;0,M71=""),1,0)</f>
        <v/>
      </c>
    </row>
    <row r="72">
      <c r="A72" s="19" t="n"/>
      <c r="B72" s="14" t="n"/>
      <c r="C72" s="14" t="n"/>
      <c r="D72" s="20" t="n"/>
      <c r="E72" s="14" t="n"/>
      <c r="F72" s="14" t="n"/>
      <c r="G72" s="14" t="n"/>
      <c r="H72" s="14" t="n"/>
      <c r="I72" s="14" t="n"/>
      <c r="J72" s="16">
        <f>IF(C72="",INDEX('Chart of Accounts'!$A$5:$A$3000,MATCH("ap",'Chart of Accounts'!$F$5:$F$3000,0)),C72&amp;"")</f>
        <v/>
      </c>
      <c r="K72" s="16">
        <f>IF(F72="",INDEX('Chart of Accounts'!$A$5:$A$3000,MATCH("bank",'Chart of Accounts'!$F$5:$F$3000,0)),F72&amp;"")</f>
        <v/>
      </c>
      <c r="L72" s="23">
        <f>IFERROR(INDEX('Chart of Accounts'!$C$5:$C$3000,MATCH(J72&amp;"",'Chart of Accounts'!$A$5:$A$3000,0))&amp;"|"&amp;INDEX('Chart of Accounts'!$D$5:$D$3000,MATCH(J72&amp;"",'Chart of Accounts'!$A$5:$A$3000,0)),"")</f>
        <v/>
      </c>
      <c r="M72" s="23">
        <f>IFERROR(INDEX('Chart of Accounts'!$C$5:$C$3000,MATCH(K72&amp;"",'Chart of Accounts'!$A$5:$A$3000,0))&amp;"|"&amp;INDEX('Chart of Accounts'!$D$5:$D$3000,MATCH(K72&amp;"",'Chart of Accounts'!$A$5:$A$3000,0)),"")</f>
        <v/>
      </c>
      <c r="N72" s="23">
        <f>IF(LEFT(L72,8)="Revenue|",-N(D72),0)+IF(LEFT(M72,8)="Revenue|",N(D72),0)</f>
        <v/>
      </c>
      <c r="O72" s="23">
        <f>IF(LEFT(L72,5)="COGS|",N(D72),0)+IF(LEFT(M72,5)="COGS|",-N(D72),0)</f>
        <v/>
      </c>
      <c r="P72" s="23">
        <f>IF(LEFT(L72,8)="Expense|",N(D72),0)+IF(LEFT(M72,8)="Expense|",-N(D72),0)</f>
        <v/>
      </c>
      <c r="Q72" s="23">
        <f>IF(ISNUMBER(MATCH(L72,{"Expense|employee","Expense|general_admin","Expense|marketing","Expense|utilities","Expense|other_operating"},0)),N(D72),0)+IF(ISNUMBER(MATCH(M72,{"Expense|employee","Expense|general_admin","Expense|marketing","Expense|utilities","Expense|other_operating"},0)),-N(D72),0)</f>
        <v/>
      </c>
      <c r="R72" s="23">
        <f>IF(L72="Liability|payable",-N(D72),0)+IF(M72="Liability|payable",N(D72),0)</f>
        <v/>
      </c>
      <c r="S72" s="23">
        <f>IF(L72="Liability|accrued",-N(D72),0)+IF(M72="Liability|accrued",N(D72),0)</f>
        <v/>
      </c>
      <c r="T72" s="23">
        <f>IF(AND(N(D72)&lt;&gt;0,L72=""),1,0)+IF(AND(N(D72)&lt;&gt;0,M72=""),1,0)</f>
        <v/>
      </c>
    </row>
    <row r="73">
      <c r="A73" s="19" t="n"/>
      <c r="B73" s="14" t="n"/>
      <c r="C73" s="14" t="n"/>
      <c r="D73" s="20" t="n"/>
      <c r="E73" s="14" t="n"/>
      <c r="F73" s="14" t="n"/>
      <c r="G73" s="14" t="n"/>
      <c r="H73" s="14" t="n"/>
      <c r="I73" s="14" t="n"/>
      <c r="J73" s="16">
        <f>IF(C73="",INDEX('Chart of Accounts'!$A$5:$A$3000,MATCH("ap",'Chart of Accounts'!$F$5:$F$3000,0)),C73&amp;"")</f>
        <v/>
      </c>
      <c r="K73" s="16">
        <f>IF(F73="",INDEX('Chart of Accounts'!$A$5:$A$3000,MATCH("bank",'Chart of Accounts'!$F$5:$F$3000,0)),F73&amp;"")</f>
        <v/>
      </c>
      <c r="L73" s="23">
        <f>IFERROR(INDEX('Chart of Accounts'!$C$5:$C$3000,MATCH(J73&amp;"",'Chart of Accounts'!$A$5:$A$3000,0))&amp;"|"&amp;INDEX('Chart of Accounts'!$D$5:$D$3000,MATCH(J73&amp;"",'Chart of Accounts'!$A$5:$A$3000,0)),"")</f>
        <v/>
      </c>
      <c r="M73" s="23">
        <f>IFERROR(INDEX('Chart of Accounts'!$C$5:$C$3000,MATCH(K73&amp;"",'Chart of Accounts'!$A$5:$A$3000,0))&amp;"|"&amp;INDEX('Chart of Accounts'!$D$5:$D$3000,MATCH(K73&amp;"",'Chart of Accounts'!$A$5:$A$3000,0)),"")</f>
        <v/>
      </c>
      <c r="N73" s="23">
        <f>IF(LEFT(L73,8)="Revenue|",-N(D73),0)+IF(LEFT(M73,8)="Revenue|",N(D73),0)</f>
        <v/>
      </c>
      <c r="O73" s="23">
        <f>IF(LEFT(L73,5)="COGS|",N(D73),0)+IF(LEFT(M73,5)="COGS|",-N(D73),0)</f>
        <v/>
      </c>
      <c r="P73" s="23">
        <f>IF(LEFT(L73,8)="Expense|",N(D73),0)+IF(LEFT(M73,8)="Expense|",-N(D73),0)</f>
        <v/>
      </c>
      <c r="Q73" s="23">
        <f>IF(ISNUMBER(MATCH(L73,{"Expense|employee","Expense|general_admin","Expense|marketing","Expense|utilities","Expense|other_operating"},0)),N(D73),0)+IF(ISNUMBER(MATCH(M73,{"Expense|employee","Expense|general_admin","Expense|marketing","Expense|utilities","Expense|other_operating"},0)),-N(D73),0)</f>
        <v/>
      </c>
      <c r="R73" s="23">
        <f>IF(L73="Liability|payable",-N(D73),0)+IF(M73="Liability|payable",N(D73),0)</f>
        <v/>
      </c>
      <c r="S73" s="23">
        <f>IF(L73="Liability|accrued",-N(D73),0)+IF(M73="Liability|accrued",N(D73),0)</f>
        <v/>
      </c>
      <c r="T73" s="23">
        <f>IF(AND(N(D73)&lt;&gt;0,L73=""),1,0)+IF(AND(N(D73)&lt;&gt;0,M73=""),1,0)</f>
        <v/>
      </c>
    </row>
    <row r="74">
      <c r="A74" s="19" t="n"/>
      <c r="B74" s="14" t="n"/>
      <c r="C74" s="14" t="n"/>
      <c r="D74" s="20" t="n"/>
      <c r="E74" s="14" t="n"/>
      <c r="F74" s="14" t="n"/>
      <c r="G74" s="14" t="n"/>
      <c r="H74" s="14" t="n"/>
      <c r="I74" s="14" t="n"/>
      <c r="J74" s="16">
        <f>IF(C74="",INDEX('Chart of Accounts'!$A$5:$A$3000,MATCH("ap",'Chart of Accounts'!$F$5:$F$3000,0)),C74&amp;"")</f>
        <v/>
      </c>
      <c r="K74" s="16">
        <f>IF(F74="",INDEX('Chart of Accounts'!$A$5:$A$3000,MATCH("bank",'Chart of Accounts'!$F$5:$F$3000,0)),F74&amp;"")</f>
        <v/>
      </c>
      <c r="L74" s="23">
        <f>IFERROR(INDEX('Chart of Accounts'!$C$5:$C$3000,MATCH(J74&amp;"",'Chart of Accounts'!$A$5:$A$3000,0))&amp;"|"&amp;INDEX('Chart of Accounts'!$D$5:$D$3000,MATCH(J74&amp;"",'Chart of Accounts'!$A$5:$A$3000,0)),"")</f>
        <v/>
      </c>
      <c r="M74" s="23">
        <f>IFERROR(INDEX('Chart of Accounts'!$C$5:$C$3000,MATCH(K74&amp;"",'Chart of Accounts'!$A$5:$A$3000,0))&amp;"|"&amp;INDEX('Chart of Accounts'!$D$5:$D$3000,MATCH(K74&amp;"",'Chart of Accounts'!$A$5:$A$3000,0)),"")</f>
        <v/>
      </c>
      <c r="N74" s="23">
        <f>IF(LEFT(L74,8)="Revenue|",-N(D74),0)+IF(LEFT(M74,8)="Revenue|",N(D74),0)</f>
        <v/>
      </c>
      <c r="O74" s="23">
        <f>IF(LEFT(L74,5)="COGS|",N(D74),0)+IF(LEFT(M74,5)="COGS|",-N(D74),0)</f>
        <v/>
      </c>
      <c r="P74" s="23">
        <f>IF(LEFT(L74,8)="Expense|",N(D74),0)+IF(LEFT(M74,8)="Expense|",-N(D74),0)</f>
        <v/>
      </c>
      <c r="Q74" s="23">
        <f>IF(ISNUMBER(MATCH(L74,{"Expense|employee","Expense|general_admin","Expense|marketing","Expense|utilities","Expense|other_operating"},0)),N(D74),0)+IF(ISNUMBER(MATCH(M74,{"Expense|employee","Expense|general_admin","Expense|marketing","Expense|utilities","Expense|other_operating"},0)),-N(D74),0)</f>
        <v/>
      </c>
      <c r="R74" s="23">
        <f>IF(L74="Liability|payable",-N(D74),0)+IF(M74="Liability|payable",N(D74),0)</f>
        <v/>
      </c>
      <c r="S74" s="23">
        <f>IF(L74="Liability|accrued",-N(D74),0)+IF(M74="Liability|accrued",N(D74),0)</f>
        <v/>
      </c>
      <c r="T74" s="23">
        <f>IF(AND(N(D74)&lt;&gt;0,L74=""),1,0)+IF(AND(N(D74)&lt;&gt;0,M74=""),1,0)</f>
        <v/>
      </c>
    </row>
    <row r="75">
      <c r="A75" s="19" t="n"/>
      <c r="B75" s="14" t="n"/>
      <c r="C75" s="14" t="n"/>
      <c r="D75" s="20" t="n"/>
      <c r="E75" s="14" t="n"/>
      <c r="F75" s="14" t="n"/>
      <c r="G75" s="14" t="n"/>
      <c r="H75" s="14" t="n"/>
      <c r="I75" s="14" t="n"/>
      <c r="J75" s="16">
        <f>IF(C75="",INDEX('Chart of Accounts'!$A$5:$A$3000,MATCH("ap",'Chart of Accounts'!$F$5:$F$3000,0)),C75&amp;"")</f>
        <v/>
      </c>
      <c r="K75" s="16">
        <f>IF(F75="",INDEX('Chart of Accounts'!$A$5:$A$3000,MATCH("bank",'Chart of Accounts'!$F$5:$F$3000,0)),F75&amp;"")</f>
        <v/>
      </c>
      <c r="L75" s="23">
        <f>IFERROR(INDEX('Chart of Accounts'!$C$5:$C$3000,MATCH(J75&amp;"",'Chart of Accounts'!$A$5:$A$3000,0))&amp;"|"&amp;INDEX('Chart of Accounts'!$D$5:$D$3000,MATCH(J75&amp;"",'Chart of Accounts'!$A$5:$A$3000,0)),"")</f>
        <v/>
      </c>
      <c r="M75" s="23">
        <f>IFERROR(INDEX('Chart of Accounts'!$C$5:$C$3000,MATCH(K75&amp;"",'Chart of Accounts'!$A$5:$A$3000,0))&amp;"|"&amp;INDEX('Chart of Accounts'!$D$5:$D$3000,MATCH(K75&amp;"",'Chart of Accounts'!$A$5:$A$3000,0)),"")</f>
        <v/>
      </c>
      <c r="N75" s="23">
        <f>IF(LEFT(L75,8)="Revenue|",-N(D75),0)+IF(LEFT(M75,8)="Revenue|",N(D75),0)</f>
        <v/>
      </c>
      <c r="O75" s="23">
        <f>IF(LEFT(L75,5)="COGS|",N(D75),0)+IF(LEFT(M75,5)="COGS|",-N(D75),0)</f>
        <v/>
      </c>
      <c r="P75" s="23">
        <f>IF(LEFT(L75,8)="Expense|",N(D75),0)+IF(LEFT(M75,8)="Expense|",-N(D75),0)</f>
        <v/>
      </c>
      <c r="Q75" s="23">
        <f>IF(ISNUMBER(MATCH(L75,{"Expense|employee","Expense|general_admin","Expense|marketing","Expense|utilities","Expense|other_operating"},0)),N(D75),0)+IF(ISNUMBER(MATCH(M75,{"Expense|employee","Expense|general_admin","Expense|marketing","Expense|utilities","Expense|other_operating"},0)),-N(D75),0)</f>
        <v/>
      </c>
      <c r="R75" s="23">
        <f>IF(L75="Liability|payable",-N(D75),0)+IF(M75="Liability|payable",N(D75),0)</f>
        <v/>
      </c>
      <c r="S75" s="23">
        <f>IF(L75="Liability|accrued",-N(D75),0)+IF(M75="Liability|accrued",N(D75),0)</f>
        <v/>
      </c>
      <c r="T75" s="23">
        <f>IF(AND(N(D75)&lt;&gt;0,L75=""),1,0)+IF(AND(N(D75)&lt;&gt;0,M75=""),1,0)</f>
        <v/>
      </c>
    </row>
    <row r="76">
      <c r="A76" s="19" t="n"/>
      <c r="B76" s="14" t="n"/>
      <c r="C76" s="14" t="n"/>
      <c r="D76" s="20" t="n"/>
      <c r="E76" s="14" t="n"/>
      <c r="F76" s="14" t="n"/>
      <c r="G76" s="14" t="n"/>
      <c r="H76" s="14" t="n"/>
      <c r="I76" s="14" t="n"/>
      <c r="J76" s="16">
        <f>IF(C76="",INDEX('Chart of Accounts'!$A$5:$A$3000,MATCH("ap",'Chart of Accounts'!$F$5:$F$3000,0)),C76&amp;"")</f>
        <v/>
      </c>
      <c r="K76" s="16">
        <f>IF(F76="",INDEX('Chart of Accounts'!$A$5:$A$3000,MATCH("bank",'Chart of Accounts'!$F$5:$F$3000,0)),F76&amp;"")</f>
        <v/>
      </c>
      <c r="L76" s="23">
        <f>IFERROR(INDEX('Chart of Accounts'!$C$5:$C$3000,MATCH(J76&amp;"",'Chart of Accounts'!$A$5:$A$3000,0))&amp;"|"&amp;INDEX('Chart of Accounts'!$D$5:$D$3000,MATCH(J76&amp;"",'Chart of Accounts'!$A$5:$A$3000,0)),"")</f>
        <v/>
      </c>
      <c r="M76" s="23">
        <f>IFERROR(INDEX('Chart of Accounts'!$C$5:$C$3000,MATCH(K76&amp;"",'Chart of Accounts'!$A$5:$A$3000,0))&amp;"|"&amp;INDEX('Chart of Accounts'!$D$5:$D$3000,MATCH(K76&amp;"",'Chart of Accounts'!$A$5:$A$3000,0)),"")</f>
        <v/>
      </c>
      <c r="N76" s="23">
        <f>IF(LEFT(L76,8)="Revenue|",-N(D76),0)+IF(LEFT(M76,8)="Revenue|",N(D76),0)</f>
        <v/>
      </c>
      <c r="O76" s="23">
        <f>IF(LEFT(L76,5)="COGS|",N(D76),0)+IF(LEFT(M76,5)="COGS|",-N(D76),0)</f>
        <v/>
      </c>
      <c r="P76" s="23">
        <f>IF(LEFT(L76,8)="Expense|",N(D76),0)+IF(LEFT(M76,8)="Expense|",-N(D76),0)</f>
        <v/>
      </c>
      <c r="Q76" s="23">
        <f>IF(ISNUMBER(MATCH(L76,{"Expense|employee","Expense|general_admin","Expense|marketing","Expense|utilities","Expense|other_operating"},0)),N(D76),0)+IF(ISNUMBER(MATCH(M76,{"Expense|employee","Expense|general_admin","Expense|marketing","Expense|utilities","Expense|other_operating"},0)),-N(D76),0)</f>
        <v/>
      </c>
      <c r="R76" s="23">
        <f>IF(L76="Liability|payable",-N(D76),0)+IF(M76="Liability|payable",N(D76),0)</f>
        <v/>
      </c>
      <c r="S76" s="23">
        <f>IF(L76="Liability|accrued",-N(D76),0)+IF(M76="Liability|accrued",N(D76),0)</f>
        <v/>
      </c>
      <c r="T76" s="23">
        <f>IF(AND(N(D76)&lt;&gt;0,L76=""),1,0)+IF(AND(N(D76)&lt;&gt;0,M76=""),1,0)</f>
        <v/>
      </c>
    </row>
    <row r="77">
      <c r="A77" s="19" t="n"/>
      <c r="B77" s="14" t="n"/>
      <c r="C77" s="14" t="n"/>
      <c r="D77" s="20" t="n"/>
      <c r="E77" s="14" t="n"/>
      <c r="F77" s="14" t="n"/>
      <c r="G77" s="14" t="n"/>
      <c r="H77" s="14" t="n"/>
      <c r="I77" s="14" t="n"/>
      <c r="J77" s="16">
        <f>IF(C77="",INDEX('Chart of Accounts'!$A$5:$A$3000,MATCH("ap",'Chart of Accounts'!$F$5:$F$3000,0)),C77&amp;"")</f>
        <v/>
      </c>
      <c r="K77" s="16">
        <f>IF(F77="",INDEX('Chart of Accounts'!$A$5:$A$3000,MATCH("bank",'Chart of Accounts'!$F$5:$F$3000,0)),F77&amp;"")</f>
        <v/>
      </c>
      <c r="L77" s="23">
        <f>IFERROR(INDEX('Chart of Accounts'!$C$5:$C$3000,MATCH(J77&amp;"",'Chart of Accounts'!$A$5:$A$3000,0))&amp;"|"&amp;INDEX('Chart of Accounts'!$D$5:$D$3000,MATCH(J77&amp;"",'Chart of Accounts'!$A$5:$A$3000,0)),"")</f>
        <v/>
      </c>
      <c r="M77" s="23">
        <f>IFERROR(INDEX('Chart of Accounts'!$C$5:$C$3000,MATCH(K77&amp;"",'Chart of Accounts'!$A$5:$A$3000,0))&amp;"|"&amp;INDEX('Chart of Accounts'!$D$5:$D$3000,MATCH(K77&amp;"",'Chart of Accounts'!$A$5:$A$3000,0)),"")</f>
        <v/>
      </c>
      <c r="N77" s="23">
        <f>IF(LEFT(L77,8)="Revenue|",-N(D77),0)+IF(LEFT(M77,8)="Revenue|",N(D77),0)</f>
        <v/>
      </c>
      <c r="O77" s="23">
        <f>IF(LEFT(L77,5)="COGS|",N(D77),0)+IF(LEFT(M77,5)="COGS|",-N(D77),0)</f>
        <v/>
      </c>
      <c r="P77" s="23">
        <f>IF(LEFT(L77,8)="Expense|",N(D77),0)+IF(LEFT(M77,8)="Expense|",-N(D77),0)</f>
        <v/>
      </c>
      <c r="Q77" s="23">
        <f>IF(ISNUMBER(MATCH(L77,{"Expense|employee","Expense|general_admin","Expense|marketing","Expense|utilities","Expense|other_operating"},0)),N(D77),0)+IF(ISNUMBER(MATCH(M77,{"Expense|employee","Expense|general_admin","Expense|marketing","Expense|utilities","Expense|other_operating"},0)),-N(D77),0)</f>
        <v/>
      </c>
      <c r="R77" s="23">
        <f>IF(L77="Liability|payable",-N(D77),0)+IF(M77="Liability|payable",N(D77),0)</f>
        <v/>
      </c>
      <c r="S77" s="23">
        <f>IF(L77="Liability|accrued",-N(D77),0)+IF(M77="Liability|accrued",N(D77),0)</f>
        <v/>
      </c>
      <c r="T77" s="23">
        <f>IF(AND(N(D77)&lt;&gt;0,L77=""),1,0)+IF(AND(N(D77)&lt;&gt;0,M77=""),1,0)</f>
        <v/>
      </c>
    </row>
    <row r="78">
      <c r="A78" s="19" t="n"/>
      <c r="B78" s="14" t="n"/>
      <c r="C78" s="14" t="n"/>
      <c r="D78" s="20" t="n"/>
      <c r="E78" s="14" t="n"/>
      <c r="F78" s="14" t="n"/>
      <c r="G78" s="14" t="n"/>
      <c r="H78" s="14" t="n"/>
      <c r="I78" s="14" t="n"/>
      <c r="J78" s="16">
        <f>IF(C78="",INDEX('Chart of Accounts'!$A$5:$A$3000,MATCH("ap",'Chart of Accounts'!$F$5:$F$3000,0)),C78&amp;"")</f>
        <v/>
      </c>
      <c r="K78" s="16">
        <f>IF(F78="",INDEX('Chart of Accounts'!$A$5:$A$3000,MATCH("bank",'Chart of Accounts'!$F$5:$F$3000,0)),F78&amp;"")</f>
        <v/>
      </c>
      <c r="L78" s="23">
        <f>IFERROR(INDEX('Chart of Accounts'!$C$5:$C$3000,MATCH(J78&amp;"",'Chart of Accounts'!$A$5:$A$3000,0))&amp;"|"&amp;INDEX('Chart of Accounts'!$D$5:$D$3000,MATCH(J78&amp;"",'Chart of Accounts'!$A$5:$A$3000,0)),"")</f>
        <v/>
      </c>
      <c r="M78" s="23">
        <f>IFERROR(INDEX('Chart of Accounts'!$C$5:$C$3000,MATCH(K78&amp;"",'Chart of Accounts'!$A$5:$A$3000,0))&amp;"|"&amp;INDEX('Chart of Accounts'!$D$5:$D$3000,MATCH(K78&amp;"",'Chart of Accounts'!$A$5:$A$3000,0)),"")</f>
        <v/>
      </c>
      <c r="N78" s="23">
        <f>IF(LEFT(L78,8)="Revenue|",-N(D78),0)+IF(LEFT(M78,8)="Revenue|",N(D78),0)</f>
        <v/>
      </c>
      <c r="O78" s="23">
        <f>IF(LEFT(L78,5)="COGS|",N(D78),0)+IF(LEFT(M78,5)="COGS|",-N(D78),0)</f>
        <v/>
      </c>
      <c r="P78" s="23">
        <f>IF(LEFT(L78,8)="Expense|",N(D78),0)+IF(LEFT(M78,8)="Expense|",-N(D78),0)</f>
        <v/>
      </c>
      <c r="Q78" s="23">
        <f>IF(ISNUMBER(MATCH(L78,{"Expense|employee","Expense|general_admin","Expense|marketing","Expense|utilities","Expense|other_operating"},0)),N(D78),0)+IF(ISNUMBER(MATCH(M78,{"Expense|employee","Expense|general_admin","Expense|marketing","Expense|utilities","Expense|other_operating"},0)),-N(D78),0)</f>
        <v/>
      </c>
      <c r="R78" s="23">
        <f>IF(L78="Liability|payable",-N(D78),0)+IF(M78="Liability|payable",N(D78),0)</f>
        <v/>
      </c>
      <c r="S78" s="23">
        <f>IF(L78="Liability|accrued",-N(D78),0)+IF(M78="Liability|accrued",N(D78),0)</f>
        <v/>
      </c>
      <c r="T78" s="23">
        <f>IF(AND(N(D78)&lt;&gt;0,L78=""),1,0)+IF(AND(N(D78)&lt;&gt;0,M78=""),1,0)</f>
        <v/>
      </c>
    </row>
    <row r="79">
      <c r="A79" s="19" t="n"/>
      <c r="B79" s="14" t="n"/>
      <c r="C79" s="14" t="n"/>
      <c r="D79" s="20" t="n"/>
      <c r="E79" s="14" t="n"/>
      <c r="F79" s="14" t="n"/>
      <c r="G79" s="14" t="n"/>
      <c r="H79" s="14" t="n"/>
      <c r="I79" s="14" t="n"/>
      <c r="J79" s="16">
        <f>IF(C79="",INDEX('Chart of Accounts'!$A$5:$A$3000,MATCH("ap",'Chart of Accounts'!$F$5:$F$3000,0)),C79&amp;"")</f>
        <v/>
      </c>
      <c r="K79" s="16">
        <f>IF(F79="",INDEX('Chart of Accounts'!$A$5:$A$3000,MATCH("bank",'Chart of Accounts'!$F$5:$F$3000,0)),F79&amp;"")</f>
        <v/>
      </c>
      <c r="L79" s="23">
        <f>IFERROR(INDEX('Chart of Accounts'!$C$5:$C$3000,MATCH(J79&amp;"",'Chart of Accounts'!$A$5:$A$3000,0))&amp;"|"&amp;INDEX('Chart of Accounts'!$D$5:$D$3000,MATCH(J79&amp;"",'Chart of Accounts'!$A$5:$A$3000,0)),"")</f>
        <v/>
      </c>
      <c r="M79" s="23">
        <f>IFERROR(INDEX('Chart of Accounts'!$C$5:$C$3000,MATCH(K79&amp;"",'Chart of Accounts'!$A$5:$A$3000,0))&amp;"|"&amp;INDEX('Chart of Accounts'!$D$5:$D$3000,MATCH(K79&amp;"",'Chart of Accounts'!$A$5:$A$3000,0)),"")</f>
        <v/>
      </c>
      <c r="N79" s="23">
        <f>IF(LEFT(L79,8)="Revenue|",-N(D79),0)+IF(LEFT(M79,8)="Revenue|",N(D79),0)</f>
        <v/>
      </c>
      <c r="O79" s="23">
        <f>IF(LEFT(L79,5)="COGS|",N(D79),0)+IF(LEFT(M79,5)="COGS|",-N(D79),0)</f>
        <v/>
      </c>
      <c r="P79" s="23">
        <f>IF(LEFT(L79,8)="Expense|",N(D79),0)+IF(LEFT(M79,8)="Expense|",-N(D79),0)</f>
        <v/>
      </c>
      <c r="Q79" s="23">
        <f>IF(ISNUMBER(MATCH(L79,{"Expense|employee","Expense|general_admin","Expense|marketing","Expense|utilities","Expense|other_operating"},0)),N(D79),0)+IF(ISNUMBER(MATCH(M79,{"Expense|employee","Expense|general_admin","Expense|marketing","Expense|utilities","Expense|other_operating"},0)),-N(D79),0)</f>
        <v/>
      </c>
      <c r="R79" s="23">
        <f>IF(L79="Liability|payable",-N(D79),0)+IF(M79="Liability|payable",N(D79),0)</f>
        <v/>
      </c>
      <c r="S79" s="23">
        <f>IF(L79="Liability|accrued",-N(D79),0)+IF(M79="Liability|accrued",N(D79),0)</f>
        <v/>
      </c>
      <c r="T79" s="23">
        <f>IF(AND(N(D79)&lt;&gt;0,L79=""),1,0)+IF(AND(N(D79)&lt;&gt;0,M79=""),1,0)</f>
        <v/>
      </c>
    </row>
    <row r="80">
      <c r="A80" s="19" t="n"/>
      <c r="B80" s="14" t="n"/>
      <c r="C80" s="14" t="n"/>
      <c r="D80" s="20" t="n"/>
      <c r="E80" s="14" t="n"/>
      <c r="F80" s="14" t="n"/>
      <c r="G80" s="14" t="n"/>
      <c r="H80" s="14" t="n"/>
      <c r="I80" s="14" t="n"/>
      <c r="J80" s="16">
        <f>IF(C80="",INDEX('Chart of Accounts'!$A$5:$A$3000,MATCH("ap",'Chart of Accounts'!$F$5:$F$3000,0)),C80&amp;"")</f>
        <v/>
      </c>
      <c r="K80" s="16">
        <f>IF(F80="",INDEX('Chart of Accounts'!$A$5:$A$3000,MATCH("bank",'Chart of Accounts'!$F$5:$F$3000,0)),F80&amp;"")</f>
        <v/>
      </c>
      <c r="L80" s="23">
        <f>IFERROR(INDEX('Chart of Accounts'!$C$5:$C$3000,MATCH(J80&amp;"",'Chart of Accounts'!$A$5:$A$3000,0))&amp;"|"&amp;INDEX('Chart of Accounts'!$D$5:$D$3000,MATCH(J80&amp;"",'Chart of Accounts'!$A$5:$A$3000,0)),"")</f>
        <v/>
      </c>
      <c r="M80" s="23">
        <f>IFERROR(INDEX('Chart of Accounts'!$C$5:$C$3000,MATCH(K80&amp;"",'Chart of Accounts'!$A$5:$A$3000,0))&amp;"|"&amp;INDEX('Chart of Accounts'!$D$5:$D$3000,MATCH(K80&amp;"",'Chart of Accounts'!$A$5:$A$3000,0)),"")</f>
        <v/>
      </c>
      <c r="N80" s="23">
        <f>IF(LEFT(L80,8)="Revenue|",-N(D80),0)+IF(LEFT(M80,8)="Revenue|",N(D80),0)</f>
        <v/>
      </c>
      <c r="O80" s="23">
        <f>IF(LEFT(L80,5)="COGS|",N(D80),0)+IF(LEFT(M80,5)="COGS|",-N(D80),0)</f>
        <v/>
      </c>
      <c r="P80" s="23">
        <f>IF(LEFT(L80,8)="Expense|",N(D80),0)+IF(LEFT(M80,8)="Expense|",-N(D80),0)</f>
        <v/>
      </c>
      <c r="Q80" s="23">
        <f>IF(ISNUMBER(MATCH(L80,{"Expense|employee","Expense|general_admin","Expense|marketing","Expense|utilities","Expense|other_operating"},0)),N(D80),0)+IF(ISNUMBER(MATCH(M80,{"Expense|employee","Expense|general_admin","Expense|marketing","Expense|utilities","Expense|other_operating"},0)),-N(D80),0)</f>
        <v/>
      </c>
      <c r="R80" s="23">
        <f>IF(L80="Liability|payable",-N(D80),0)+IF(M80="Liability|payable",N(D80),0)</f>
        <v/>
      </c>
      <c r="S80" s="23">
        <f>IF(L80="Liability|accrued",-N(D80),0)+IF(M80="Liability|accrued",N(D80),0)</f>
        <v/>
      </c>
      <c r="T80" s="23">
        <f>IF(AND(N(D80)&lt;&gt;0,L80=""),1,0)+IF(AND(N(D80)&lt;&gt;0,M80=""),1,0)</f>
        <v/>
      </c>
    </row>
    <row r="81">
      <c r="A81" s="19" t="n"/>
      <c r="B81" s="14" t="n"/>
      <c r="C81" s="14" t="n"/>
      <c r="D81" s="20" t="n"/>
      <c r="E81" s="14" t="n"/>
      <c r="F81" s="14" t="n"/>
      <c r="G81" s="14" t="n"/>
      <c r="H81" s="14" t="n"/>
      <c r="I81" s="14" t="n"/>
      <c r="J81" s="16">
        <f>IF(C81="",INDEX('Chart of Accounts'!$A$5:$A$3000,MATCH("ap",'Chart of Accounts'!$F$5:$F$3000,0)),C81&amp;"")</f>
        <v/>
      </c>
      <c r="K81" s="16">
        <f>IF(F81="",INDEX('Chart of Accounts'!$A$5:$A$3000,MATCH("bank",'Chart of Accounts'!$F$5:$F$3000,0)),F81&amp;"")</f>
        <v/>
      </c>
      <c r="L81" s="23">
        <f>IFERROR(INDEX('Chart of Accounts'!$C$5:$C$3000,MATCH(J81&amp;"",'Chart of Accounts'!$A$5:$A$3000,0))&amp;"|"&amp;INDEX('Chart of Accounts'!$D$5:$D$3000,MATCH(J81&amp;"",'Chart of Accounts'!$A$5:$A$3000,0)),"")</f>
        <v/>
      </c>
      <c r="M81" s="23">
        <f>IFERROR(INDEX('Chart of Accounts'!$C$5:$C$3000,MATCH(K81&amp;"",'Chart of Accounts'!$A$5:$A$3000,0))&amp;"|"&amp;INDEX('Chart of Accounts'!$D$5:$D$3000,MATCH(K81&amp;"",'Chart of Accounts'!$A$5:$A$3000,0)),"")</f>
        <v/>
      </c>
      <c r="N81" s="23">
        <f>IF(LEFT(L81,8)="Revenue|",-N(D81),0)+IF(LEFT(M81,8)="Revenue|",N(D81),0)</f>
        <v/>
      </c>
      <c r="O81" s="23">
        <f>IF(LEFT(L81,5)="COGS|",N(D81),0)+IF(LEFT(M81,5)="COGS|",-N(D81),0)</f>
        <v/>
      </c>
      <c r="P81" s="23">
        <f>IF(LEFT(L81,8)="Expense|",N(D81),0)+IF(LEFT(M81,8)="Expense|",-N(D81),0)</f>
        <v/>
      </c>
      <c r="Q81" s="23">
        <f>IF(ISNUMBER(MATCH(L81,{"Expense|employee","Expense|general_admin","Expense|marketing","Expense|utilities","Expense|other_operating"},0)),N(D81),0)+IF(ISNUMBER(MATCH(M81,{"Expense|employee","Expense|general_admin","Expense|marketing","Expense|utilities","Expense|other_operating"},0)),-N(D81),0)</f>
        <v/>
      </c>
      <c r="R81" s="23">
        <f>IF(L81="Liability|payable",-N(D81),0)+IF(M81="Liability|payable",N(D81),0)</f>
        <v/>
      </c>
      <c r="S81" s="23">
        <f>IF(L81="Liability|accrued",-N(D81),0)+IF(M81="Liability|accrued",N(D81),0)</f>
        <v/>
      </c>
      <c r="T81" s="23">
        <f>IF(AND(N(D81)&lt;&gt;0,L81=""),1,0)+IF(AND(N(D81)&lt;&gt;0,M81=""),1,0)</f>
        <v/>
      </c>
    </row>
    <row r="82">
      <c r="A82" s="19" t="n"/>
      <c r="B82" s="14" t="n"/>
      <c r="C82" s="14" t="n"/>
      <c r="D82" s="20" t="n"/>
      <c r="E82" s="14" t="n"/>
      <c r="F82" s="14" t="n"/>
      <c r="G82" s="14" t="n"/>
      <c r="H82" s="14" t="n"/>
      <c r="I82" s="14" t="n"/>
      <c r="J82" s="16">
        <f>IF(C82="",INDEX('Chart of Accounts'!$A$5:$A$3000,MATCH("ap",'Chart of Accounts'!$F$5:$F$3000,0)),C82&amp;"")</f>
        <v/>
      </c>
      <c r="K82" s="16">
        <f>IF(F82="",INDEX('Chart of Accounts'!$A$5:$A$3000,MATCH("bank",'Chart of Accounts'!$F$5:$F$3000,0)),F82&amp;"")</f>
        <v/>
      </c>
      <c r="L82" s="23">
        <f>IFERROR(INDEX('Chart of Accounts'!$C$5:$C$3000,MATCH(J82&amp;"",'Chart of Accounts'!$A$5:$A$3000,0))&amp;"|"&amp;INDEX('Chart of Accounts'!$D$5:$D$3000,MATCH(J82&amp;"",'Chart of Accounts'!$A$5:$A$3000,0)),"")</f>
        <v/>
      </c>
      <c r="M82" s="23">
        <f>IFERROR(INDEX('Chart of Accounts'!$C$5:$C$3000,MATCH(K82&amp;"",'Chart of Accounts'!$A$5:$A$3000,0))&amp;"|"&amp;INDEX('Chart of Accounts'!$D$5:$D$3000,MATCH(K82&amp;"",'Chart of Accounts'!$A$5:$A$3000,0)),"")</f>
        <v/>
      </c>
      <c r="N82" s="23">
        <f>IF(LEFT(L82,8)="Revenue|",-N(D82),0)+IF(LEFT(M82,8)="Revenue|",N(D82),0)</f>
        <v/>
      </c>
      <c r="O82" s="23">
        <f>IF(LEFT(L82,5)="COGS|",N(D82),0)+IF(LEFT(M82,5)="COGS|",-N(D82),0)</f>
        <v/>
      </c>
      <c r="P82" s="23">
        <f>IF(LEFT(L82,8)="Expense|",N(D82),0)+IF(LEFT(M82,8)="Expense|",-N(D82),0)</f>
        <v/>
      </c>
      <c r="Q82" s="23">
        <f>IF(ISNUMBER(MATCH(L82,{"Expense|employee","Expense|general_admin","Expense|marketing","Expense|utilities","Expense|other_operating"},0)),N(D82),0)+IF(ISNUMBER(MATCH(M82,{"Expense|employee","Expense|general_admin","Expense|marketing","Expense|utilities","Expense|other_operating"},0)),-N(D82),0)</f>
        <v/>
      </c>
      <c r="R82" s="23">
        <f>IF(L82="Liability|payable",-N(D82),0)+IF(M82="Liability|payable",N(D82),0)</f>
        <v/>
      </c>
      <c r="S82" s="23">
        <f>IF(L82="Liability|accrued",-N(D82),0)+IF(M82="Liability|accrued",N(D82),0)</f>
        <v/>
      </c>
      <c r="T82" s="23">
        <f>IF(AND(N(D82)&lt;&gt;0,L82=""),1,0)+IF(AND(N(D82)&lt;&gt;0,M82=""),1,0)</f>
        <v/>
      </c>
    </row>
    <row r="83">
      <c r="A83" s="19" t="n"/>
      <c r="B83" s="14" t="n"/>
      <c r="C83" s="14" t="n"/>
      <c r="D83" s="20" t="n"/>
      <c r="E83" s="14" t="n"/>
      <c r="F83" s="14" t="n"/>
      <c r="G83" s="14" t="n"/>
      <c r="H83" s="14" t="n"/>
      <c r="I83" s="14" t="n"/>
      <c r="J83" s="16">
        <f>IF(C83="",INDEX('Chart of Accounts'!$A$5:$A$3000,MATCH("ap",'Chart of Accounts'!$F$5:$F$3000,0)),C83&amp;"")</f>
        <v/>
      </c>
      <c r="K83" s="16">
        <f>IF(F83="",INDEX('Chart of Accounts'!$A$5:$A$3000,MATCH("bank",'Chart of Accounts'!$F$5:$F$3000,0)),F83&amp;"")</f>
        <v/>
      </c>
      <c r="L83" s="23">
        <f>IFERROR(INDEX('Chart of Accounts'!$C$5:$C$3000,MATCH(J83&amp;"",'Chart of Accounts'!$A$5:$A$3000,0))&amp;"|"&amp;INDEX('Chart of Accounts'!$D$5:$D$3000,MATCH(J83&amp;"",'Chart of Accounts'!$A$5:$A$3000,0)),"")</f>
        <v/>
      </c>
      <c r="M83" s="23">
        <f>IFERROR(INDEX('Chart of Accounts'!$C$5:$C$3000,MATCH(K83&amp;"",'Chart of Accounts'!$A$5:$A$3000,0))&amp;"|"&amp;INDEX('Chart of Accounts'!$D$5:$D$3000,MATCH(K83&amp;"",'Chart of Accounts'!$A$5:$A$3000,0)),"")</f>
        <v/>
      </c>
      <c r="N83" s="23">
        <f>IF(LEFT(L83,8)="Revenue|",-N(D83),0)+IF(LEFT(M83,8)="Revenue|",N(D83),0)</f>
        <v/>
      </c>
      <c r="O83" s="23">
        <f>IF(LEFT(L83,5)="COGS|",N(D83),0)+IF(LEFT(M83,5)="COGS|",-N(D83),0)</f>
        <v/>
      </c>
      <c r="P83" s="23">
        <f>IF(LEFT(L83,8)="Expense|",N(D83),0)+IF(LEFT(M83,8)="Expense|",-N(D83),0)</f>
        <v/>
      </c>
      <c r="Q83" s="23">
        <f>IF(ISNUMBER(MATCH(L83,{"Expense|employee","Expense|general_admin","Expense|marketing","Expense|utilities","Expense|other_operating"},0)),N(D83),0)+IF(ISNUMBER(MATCH(M83,{"Expense|employee","Expense|general_admin","Expense|marketing","Expense|utilities","Expense|other_operating"},0)),-N(D83),0)</f>
        <v/>
      </c>
      <c r="R83" s="23">
        <f>IF(L83="Liability|payable",-N(D83),0)+IF(M83="Liability|payable",N(D83),0)</f>
        <v/>
      </c>
      <c r="S83" s="23">
        <f>IF(L83="Liability|accrued",-N(D83),0)+IF(M83="Liability|accrued",N(D83),0)</f>
        <v/>
      </c>
      <c r="T83" s="23">
        <f>IF(AND(N(D83)&lt;&gt;0,L83=""),1,0)+IF(AND(N(D83)&lt;&gt;0,M83=""),1,0)</f>
        <v/>
      </c>
    </row>
    <row r="84">
      <c r="A84" s="19" t="n"/>
      <c r="B84" s="14" t="n"/>
      <c r="C84" s="14" t="n"/>
      <c r="D84" s="20" t="n"/>
      <c r="E84" s="14" t="n"/>
      <c r="F84" s="14" t="n"/>
      <c r="G84" s="14" t="n"/>
      <c r="H84" s="14" t="n"/>
      <c r="I84" s="14" t="n"/>
      <c r="J84" s="16">
        <f>IF(C84="",INDEX('Chart of Accounts'!$A$5:$A$3000,MATCH("ap",'Chart of Accounts'!$F$5:$F$3000,0)),C84&amp;"")</f>
        <v/>
      </c>
      <c r="K84" s="16">
        <f>IF(F84="",INDEX('Chart of Accounts'!$A$5:$A$3000,MATCH("bank",'Chart of Accounts'!$F$5:$F$3000,0)),F84&amp;"")</f>
        <v/>
      </c>
      <c r="L84" s="23">
        <f>IFERROR(INDEX('Chart of Accounts'!$C$5:$C$3000,MATCH(J84&amp;"",'Chart of Accounts'!$A$5:$A$3000,0))&amp;"|"&amp;INDEX('Chart of Accounts'!$D$5:$D$3000,MATCH(J84&amp;"",'Chart of Accounts'!$A$5:$A$3000,0)),"")</f>
        <v/>
      </c>
      <c r="M84" s="23">
        <f>IFERROR(INDEX('Chart of Accounts'!$C$5:$C$3000,MATCH(K84&amp;"",'Chart of Accounts'!$A$5:$A$3000,0))&amp;"|"&amp;INDEX('Chart of Accounts'!$D$5:$D$3000,MATCH(K84&amp;"",'Chart of Accounts'!$A$5:$A$3000,0)),"")</f>
        <v/>
      </c>
      <c r="N84" s="23">
        <f>IF(LEFT(L84,8)="Revenue|",-N(D84),0)+IF(LEFT(M84,8)="Revenue|",N(D84),0)</f>
        <v/>
      </c>
      <c r="O84" s="23">
        <f>IF(LEFT(L84,5)="COGS|",N(D84),0)+IF(LEFT(M84,5)="COGS|",-N(D84),0)</f>
        <v/>
      </c>
      <c r="P84" s="23">
        <f>IF(LEFT(L84,8)="Expense|",N(D84),0)+IF(LEFT(M84,8)="Expense|",-N(D84),0)</f>
        <v/>
      </c>
      <c r="Q84" s="23">
        <f>IF(ISNUMBER(MATCH(L84,{"Expense|employee","Expense|general_admin","Expense|marketing","Expense|utilities","Expense|other_operating"},0)),N(D84),0)+IF(ISNUMBER(MATCH(M84,{"Expense|employee","Expense|general_admin","Expense|marketing","Expense|utilities","Expense|other_operating"},0)),-N(D84),0)</f>
        <v/>
      </c>
      <c r="R84" s="23">
        <f>IF(L84="Liability|payable",-N(D84),0)+IF(M84="Liability|payable",N(D84),0)</f>
        <v/>
      </c>
      <c r="S84" s="23">
        <f>IF(L84="Liability|accrued",-N(D84),0)+IF(M84="Liability|accrued",N(D84),0)</f>
        <v/>
      </c>
      <c r="T84" s="23">
        <f>IF(AND(N(D84)&lt;&gt;0,L84=""),1,0)+IF(AND(N(D84)&lt;&gt;0,M84=""),1,0)</f>
        <v/>
      </c>
    </row>
    <row r="85">
      <c r="A85" s="19" t="n"/>
      <c r="B85" s="14" t="n"/>
      <c r="C85" s="14" t="n"/>
      <c r="D85" s="20" t="n"/>
      <c r="E85" s="14" t="n"/>
      <c r="F85" s="14" t="n"/>
      <c r="G85" s="14" t="n"/>
      <c r="H85" s="14" t="n"/>
      <c r="I85" s="14" t="n"/>
      <c r="J85" s="16">
        <f>IF(C85="",INDEX('Chart of Accounts'!$A$5:$A$3000,MATCH("ap",'Chart of Accounts'!$F$5:$F$3000,0)),C85&amp;"")</f>
        <v/>
      </c>
      <c r="K85" s="16">
        <f>IF(F85="",INDEX('Chart of Accounts'!$A$5:$A$3000,MATCH("bank",'Chart of Accounts'!$F$5:$F$3000,0)),F85&amp;"")</f>
        <v/>
      </c>
      <c r="L85" s="23">
        <f>IFERROR(INDEX('Chart of Accounts'!$C$5:$C$3000,MATCH(J85&amp;"",'Chart of Accounts'!$A$5:$A$3000,0))&amp;"|"&amp;INDEX('Chart of Accounts'!$D$5:$D$3000,MATCH(J85&amp;"",'Chart of Accounts'!$A$5:$A$3000,0)),"")</f>
        <v/>
      </c>
      <c r="M85" s="23">
        <f>IFERROR(INDEX('Chart of Accounts'!$C$5:$C$3000,MATCH(K85&amp;"",'Chart of Accounts'!$A$5:$A$3000,0))&amp;"|"&amp;INDEX('Chart of Accounts'!$D$5:$D$3000,MATCH(K85&amp;"",'Chart of Accounts'!$A$5:$A$3000,0)),"")</f>
        <v/>
      </c>
      <c r="N85" s="23">
        <f>IF(LEFT(L85,8)="Revenue|",-N(D85),0)+IF(LEFT(M85,8)="Revenue|",N(D85),0)</f>
        <v/>
      </c>
      <c r="O85" s="23">
        <f>IF(LEFT(L85,5)="COGS|",N(D85),0)+IF(LEFT(M85,5)="COGS|",-N(D85),0)</f>
        <v/>
      </c>
      <c r="P85" s="23">
        <f>IF(LEFT(L85,8)="Expense|",N(D85),0)+IF(LEFT(M85,8)="Expense|",-N(D85),0)</f>
        <v/>
      </c>
      <c r="Q85" s="23">
        <f>IF(ISNUMBER(MATCH(L85,{"Expense|employee","Expense|general_admin","Expense|marketing","Expense|utilities","Expense|other_operating"},0)),N(D85),0)+IF(ISNUMBER(MATCH(M85,{"Expense|employee","Expense|general_admin","Expense|marketing","Expense|utilities","Expense|other_operating"},0)),-N(D85),0)</f>
        <v/>
      </c>
      <c r="R85" s="23">
        <f>IF(L85="Liability|payable",-N(D85),0)+IF(M85="Liability|payable",N(D85),0)</f>
        <v/>
      </c>
      <c r="S85" s="23">
        <f>IF(L85="Liability|accrued",-N(D85),0)+IF(M85="Liability|accrued",N(D85),0)</f>
        <v/>
      </c>
      <c r="T85" s="23">
        <f>IF(AND(N(D85)&lt;&gt;0,L85=""),1,0)+IF(AND(N(D85)&lt;&gt;0,M85=""),1,0)</f>
        <v/>
      </c>
    </row>
    <row r="86">
      <c r="A86" s="19" t="n"/>
      <c r="B86" s="14" t="n"/>
      <c r="C86" s="14" t="n"/>
      <c r="D86" s="20" t="n"/>
      <c r="E86" s="14" t="n"/>
      <c r="F86" s="14" t="n"/>
      <c r="G86" s="14" t="n"/>
      <c r="H86" s="14" t="n"/>
      <c r="I86" s="14" t="n"/>
      <c r="J86" s="16">
        <f>IF(C86="",INDEX('Chart of Accounts'!$A$5:$A$3000,MATCH("ap",'Chart of Accounts'!$F$5:$F$3000,0)),C86&amp;"")</f>
        <v/>
      </c>
      <c r="K86" s="16">
        <f>IF(F86="",INDEX('Chart of Accounts'!$A$5:$A$3000,MATCH("bank",'Chart of Accounts'!$F$5:$F$3000,0)),F86&amp;"")</f>
        <v/>
      </c>
      <c r="L86" s="23">
        <f>IFERROR(INDEX('Chart of Accounts'!$C$5:$C$3000,MATCH(J86&amp;"",'Chart of Accounts'!$A$5:$A$3000,0))&amp;"|"&amp;INDEX('Chart of Accounts'!$D$5:$D$3000,MATCH(J86&amp;"",'Chart of Accounts'!$A$5:$A$3000,0)),"")</f>
        <v/>
      </c>
      <c r="M86" s="23">
        <f>IFERROR(INDEX('Chart of Accounts'!$C$5:$C$3000,MATCH(K86&amp;"",'Chart of Accounts'!$A$5:$A$3000,0))&amp;"|"&amp;INDEX('Chart of Accounts'!$D$5:$D$3000,MATCH(K86&amp;"",'Chart of Accounts'!$A$5:$A$3000,0)),"")</f>
        <v/>
      </c>
      <c r="N86" s="23">
        <f>IF(LEFT(L86,8)="Revenue|",-N(D86),0)+IF(LEFT(M86,8)="Revenue|",N(D86),0)</f>
        <v/>
      </c>
      <c r="O86" s="23">
        <f>IF(LEFT(L86,5)="COGS|",N(D86),0)+IF(LEFT(M86,5)="COGS|",-N(D86),0)</f>
        <v/>
      </c>
      <c r="P86" s="23">
        <f>IF(LEFT(L86,8)="Expense|",N(D86),0)+IF(LEFT(M86,8)="Expense|",-N(D86),0)</f>
        <v/>
      </c>
      <c r="Q86" s="23">
        <f>IF(ISNUMBER(MATCH(L86,{"Expense|employee","Expense|general_admin","Expense|marketing","Expense|utilities","Expense|other_operating"},0)),N(D86),0)+IF(ISNUMBER(MATCH(M86,{"Expense|employee","Expense|general_admin","Expense|marketing","Expense|utilities","Expense|other_operating"},0)),-N(D86),0)</f>
        <v/>
      </c>
      <c r="R86" s="23">
        <f>IF(L86="Liability|payable",-N(D86),0)+IF(M86="Liability|payable",N(D86),0)</f>
        <v/>
      </c>
      <c r="S86" s="23">
        <f>IF(L86="Liability|accrued",-N(D86),0)+IF(M86="Liability|accrued",N(D86),0)</f>
        <v/>
      </c>
      <c r="T86" s="23">
        <f>IF(AND(N(D86)&lt;&gt;0,L86=""),1,0)+IF(AND(N(D86)&lt;&gt;0,M86=""),1,0)</f>
        <v/>
      </c>
    </row>
    <row r="87">
      <c r="A87" s="19" t="n"/>
      <c r="B87" s="14" t="n"/>
      <c r="C87" s="14" t="n"/>
      <c r="D87" s="20" t="n"/>
      <c r="E87" s="14" t="n"/>
      <c r="F87" s="14" t="n"/>
      <c r="G87" s="14" t="n"/>
      <c r="H87" s="14" t="n"/>
      <c r="I87" s="14" t="n"/>
      <c r="J87" s="16">
        <f>IF(C87="",INDEX('Chart of Accounts'!$A$5:$A$3000,MATCH("ap",'Chart of Accounts'!$F$5:$F$3000,0)),C87&amp;"")</f>
        <v/>
      </c>
      <c r="K87" s="16">
        <f>IF(F87="",INDEX('Chart of Accounts'!$A$5:$A$3000,MATCH("bank",'Chart of Accounts'!$F$5:$F$3000,0)),F87&amp;"")</f>
        <v/>
      </c>
      <c r="L87" s="23">
        <f>IFERROR(INDEX('Chart of Accounts'!$C$5:$C$3000,MATCH(J87&amp;"",'Chart of Accounts'!$A$5:$A$3000,0))&amp;"|"&amp;INDEX('Chart of Accounts'!$D$5:$D$3000,MATCH(J87&amp;"",'Chart of Accounts'!$A$5:$A$3000,0)),"")</f>
        <v/>
      </c>
      <c r="M87" s="23">
        <f>IFERROR(INDEX('Chart of Accounts'!$C$5:$C$3000,MATCH(K87&amp;"",'Chart of Accounts'!$A$5:$A$3000,0))&amp;"|"&amp;INDEX('Chart of Accounts'!$D$5:$D$3000,MATCH(K87&amp;"",'Chart of Accounts'!$A$5:$A$3000,0)),"")</f>
        <v/>
      </c>
      <c r="N87" s="23">
        <f>IF(LEFT(L87,8)="Revenue|",-N(D87),0)+IF(LEFT(M87,8)="Revenue|",N(D87),0)</f>
        <v/>
      </c>
      <c r="O87" s="23">
        <f>IF(LEFT(L87,5)="COGS|",N(D87),0)+IF(LEFT(M87,5)="COGS|",-N(D87),0)</f>
        <v/>
      </c>
      <c r="P87" s="23">
        <f>IF(LEFT(L87,8)="Expense|",N(D87),0)+IF(LEFT(M87,8)="Expense|",-N(D87),0)</f>
        <v/>
      </c>
      <c r="Q87" s="23">
        <f>IF(ISNUMBER(MATCH(L87,{"Expense|employee","Expense|general_admin","Expense|marketing","Expense|utilities","Expense|other_operating"},0)),N(D87),0)+IF(ISNUMBER(MATCH(M87,{"Expense|employee","Expense|general_admin","Expense|marketing","Expense|utilities","Expense|other_operating"},0)),-N(D87),0)</f>
        <v/>
      </c>
      <c r="R87" s="23">
        <f>IF(L87="Liability|payable",-N(D87),0)+IF(M87="Liability|payable",N(D87),0)</f>
        <v/>
      </c>
      <c r="S87" s="23">
        <f>IF(L87="Liability|accrued",-N(D87),0)+IF(M87="Liability|accrued",N(D87),0)</f>
        <v/>
      </c>
      <c r="T87" s="23">
        <f>IF(AND(N(D87)&lt;&gt;0,L87=""),1,0)+IF(AND(N(D87)&lt;&gt;0,M87=""),1,0)</f>
        <v/>
      </c>
    </row>
    <row r="88">
      <c r="A88" s="19" t="n"/>
      <c r="B88" s="14" t="n"/>
      <c r="C88" s="14" t="n"/>
      <c r="D88" s="20" t="n"/>
      <c r="E88" s="14" t="n"/>
      <c r="F88" s="14" t="n"/>
      <c r="G88" s="14" t="n"/>
      <c r="H88" s="14" t="n"/>
      <c r="I88" s="14" t="n"/>
      <c r="J88" s="16">
        <f>IF(C88="",INDEX('Chart of Accounts'!$A$5:$A$3000,MATCH("ap",'Chart of Accounts'!$F$5:$F$3000,0)),C88&amp;"")</f>
        <v/>
      </c>
      <c r="K88" s="16">
        <f>IF(F88="",INDEX('Chart of Accounts'!$A$5:$A$3000,MATCH("bank",'Chart of Accounts'!$F$5:$F$3000,0)),F88&amp;"")</f>
        <v/>
      </c>
      <c r="L88" s="23">
        <f>IFERROR(INDEX('Chart of Accounts'!$C$5:$C$3000,MATCH(J88&amp;"",'Chart of Accounts'!$A$5:$A$3000,0))&amp;"|"&amp;INDEX('Chart of Accounts'!$D$5:$D$3000,MATCH(J88&amp;"",'Chart of Accounts'!$A$5:$A$3000,0)),"")</f>
        <v/>
      </c>
      <c r="M88" s="23">
        <f>IFERROR(INDEX('Chart of Accounts'!$C$5:$C$3000,MATCH(K88&amp;"",'Chart of Accounts'!$A$5:$A$3000,0))&amp;"|"&amp;INDEX('Chart of Accounts'!$D$5:$D$3000,MATCH(K88&amp;"",'Chart of Accounts'!$A$5:$A$3000,0)),"")</f>
        <v/>
      </c>
      <c r="N88" s="23">
        <f>IF(LEFT(L88,8)="Revenue|",-N(D88),0)+IF(LEFT(M88,8)="Revenue|",N(D88),0)</f>
        <v/>
      </c>
      <c r="O88" s="23">
        <f>IF(LEFT(L88,5)="COGS|",N(D88),0)+IF(LEFT(M88,5)="COGS|",-N(D88),0)</f>
        <v/>
      </c>
      <c r="P88" s="23">
        <f>IF(LEFT(L88,8)="Expense|",N(D88),0)+IF(LEFT(M88,8)="Expense|",-N(D88),0)</f>
        <v/>
      </c>
      <c r="Q88" s="23">
        <f>IF(ISNUMBER(MATCH(L88,{"Expense|employee","Expense|general_admin","Expense|marketing","Expense|utilities","Expense|other_operating"},0)),N(D88),0)+IF(ISNUMBER(MATCH(M88,{"Expense|employee","Expense|general_admin","Expense|marketing","Expense|utilities","Expense|other_operating"},0)),-N(D88),0)</f>
        <v/>
      </c>
      <c r="R88" s="23">
        <f>IF(L88="Liability|payable",-N(D88),0)+IF(M88="Liability|payable",N(D88),0)</f>
        <v/>
      </c>
      <c r="S88" s="23">
        <f>IF(L88="Liability|accrued",-N(D88),0)+IF(M88="Liability|accrued",N(D88),0)</f>
        <v/>
      </c>
      <c r="T88" s="23">
        <f>IF(AND(N(D88)&lt;&gt;0,L88=""),1,0)+IF(AND(N(D88)&lt;&gt;0,M88=""),1,0)</f>
        <v/>
      </c>
    </row>
    <row r="89">
      <c r="A89" s="19" t="n"/>
      <c r="B89" s="14" t="n"/>
      <c r="C89" s="14" t="n"/>
      <c r="D89" s="20" t="n"/>
      <c r="E89" s="14" t="n"/>
      <c r="F89" s="14" t="n"/>
      <c r="G89" s="14" t="n"/>
      <c r="H89" s="14" t="n"/>
      <c r="I89" s="14" t="n"/>
      <c r="J89" s="16">
        <f>IF(C89="",INDEX('Chart of Accounts'!$A$5:$A$3000,MATCH("ap",'Chart of Accounts'!$F$5:$F$3000,0)),C89&amp;"")</f>
        <v/>
      </c>
      <c r="K89" s="16">
        <f>IF(F89="",INDEX('Chart of Accounts'!$A$5:$A$3000,MATCH("bank",'Chart of Accounts'!$F$5:$F$3000,0)),F89&amp;"")</f>
        <v/>
      </c>
      <c r="L89" s="23">
        <f>IFERROR(INDEX('Chart of Accounts'!$C$5:$C$3000,MATCH(J89&amp;"",'Chart of Accounts'!$A$5:$A$3000,0))&amp;"|"&amp;INDEX('Chart of Accounts'!$D$5:$D$3000,MATCH(J89&amp;"",'Chart of Accounts'!$A$5:$A$3000,0)),"")</f>
        <v/>
      </c>
      <c r="M89" s="23">
        <f>IFERROR(INDEX('Chart of Accounts'!$C$5:$C$3000,MATCH(K89&amp;"",'Chart of Accounts'!$A$5:$A$3000,0))&amp;"|"&amp;INDEX('Chart of Accounts'!$D$5:$D$3000,MATCH(K89&amp;"",'Chart of Accounts'!$A$5:$A$3000,0)),"")</f>
        <v/>
      </c>
      <c r="N89" s="23">
        <f>IF(LEFT(L89,8)="Revenue|",-N(D89),0)+IF(LEFT(M89,8)="Revenue|",N(D89),0)</f>
        <v/>
      </c>
      <c r="O89" s="23">
        <f>IF(LEFT(L89,5)="COGS|",N(D89),0)+IF(LEFT(M89,5)="COGS|",-N(D89),0)</f>
        <v/>
      </c>
      <c r="P89" s="23">
        <f>IF(LEFT(L89,8)="Expense|",N(D89),0)+IF(LEFT(M89,8)="Expense|",-N(D89),0)</f>
        <v/>
      </c>
      <c r="Q89" s="23">
        <f>IF(ISNUMBER(MATCH(L89,{"Expense|employee","Expense|general_admin","Expense|marketing","Expense|utilities","Expense|other_operating"},0)),N(D89),0)+IF(ISNUMBER(MATCH(M89,{"Expense|employee","Expense|general_admin","Expense|marketing","Expense|utilities","Expense|other_operating"},0)),-N(D89),0)</f>
        <v/>
      </c>
      <c r="R89" s="23">
        <f>IF(L89="Liability|payable",-N(D89),0)+IF(M89="Liability|payable",N(D89),0)</f>
        <v/>
      </c>
      <c r="S89" s="23">
        <f>IF(L89="Liability|accrued",-N(D89),0)+IF(M89="Liability|accrued",N(D89),0)</f>
        <v/>
      </c>
      <c r="T89" s="23">
        <f>IF(AND(N(D89)&lt;&gt;0,L89=""),1,0)+IF(AND(N(D89)&lt;&gt;0,M89=""),1,0)</f>
        <v/>
      </c>
    </row>
    <row r="90">
      <c r="A90" s="19" t="n"/>
      <c r="B90" s="14" t="n"/>
      <c r="C90" s="14" t="n"/>
      <c r="D90" s="20" t="n"/>
      <c r="E90" s="14" t="n"/>
      <c r="F90" s="14" t="n"/>
      <c r="G90" s="14" t="n"/>
      <c r="H90" s="14" t="n"/>
      <c r="I90" s="14" t="n"/>
      <c r="J90" s="16">
        <f>IF(C90="",INDEX('Chart of Accounts'!$A$5:$A$3000,MATCH("ap",'Chart of Accounts'!$F$5:$F$3000,0)),C90&amp;"")</f>
        <v/>
      </c>
      <c r="K90" s="16">
        <f>IF(F90="",INDEX('Chart of Accounts'!$A$5:$A$3000,MATCH("bank",'Chart of Accounts'!$F$5:$F$3000,0)),F90&amp;"")</f>
        <v/>
      </c>
      <c r="L90" s="23">
        <f>IFERROR(INDEX('Chart of Accounts'!$C$5:$C$3000,MATCH(J90&amp;"",'Chart of Accounts'!$A$5:$A$3000,0))&amp;"|"&amp;INDEX('Chart of Accounts'!$D$5:$D$3000,MATCH(J90&amp;"",'Chart of Accounts'!$A$5:$A$3000,0)),"")</f>
        <v/>
      </c>
      <c r="M90" s="23">
        <f>IFERROR(INDEX('Chart of Accounts'!$C$5:$C$3000,MATCH(K90&amp;"",'Chart of Accounts'!$A$5:$A$3000,0))&amp;"|"&amp;INDEX('Chart of Accounts'!$D$5:$D$3000,MATCH(K90&amp;"",'Chart of Accounts'!$A$5:$A$3000,0)),"")</f>
        <v/>
      </c>
      <c r="N90" s="23">
        <f>IF(LEFT(L90,8)="Revenue|",-N(D90),0)+IF(LEFT(M90,8)="Revenue|",N(D90),0)</f>
        <v/>
      </c>
      <c r="O90" s="23">
        <f>IF(LEFT(L90,5)="COGS|",N(D90),0)+IF(LEFT(M90,5)="COGS|",-N(D90),0)</f>
        <v/>
      </c>
      <c r="P90" s="23">
        <f>IF(LEFT(L90,8)="Expense|",N(D90),0)+IF(LEFT(M90,8)="Expense|",-N(D90),0)</f>
        <v/>
      </c>
      <c r="Q90" s="23">
        <f>IF(ISNUMBER(MATCH(L90,{"Expense|employee","Expense|general_admin","Expense|marketing","Expense|utilities","Expense|other_operating"},0)),N(D90),0)+IF(ISNUMBER(MATCH(M90,{"Expense|employee","Expense|general_admin","Expense|marketing","Expense|utilities","Expense|other_operating"},0)),-N(D90),0)</f>
        <v/>
      </c>
      <c r="R90" s="23">
        <f>IF(L90="Liability|payable",-N(D90),0)+IF(M90="Liability|payable",N(D90),0)</f>
        <v/>
      </c>
      <c r="S90" s="23">
        <f>IF(L90="Liability|accrued",-N(D90),0)+IF(M90="Liability|accrued",N(D90),0)</f>
        <v/>
      </c>
      <c r="T90" s="23">
        <f>IF(AND(N(D90)&lt;&gt;0,L90=""),1,0)+IF(AND(N(D90)&lt;&gt;0,M90=""),1,0)</f>
        <v/>
      </c>
    </row>
    <row r="91">
      <c r="A91" s="19" t="n"/>
      <c r="B91" s="14" t="n"/>
      <c r="C91" s="14" t="n"/>
      <c r="D91" s="20" t="n"/>
      <c r="E91" s="14" t="n"/>
      <c r="F91" s="14" t="n"/>
      <c r="G91" s="14" t="n"/>
      <c r="H91" s="14" t="n"/>
      <c r="I91" s="14" t="n"/>
      <c r="J91" s="16">
        <f>IF(C91="",INDEX('Chart of Accounts'!$A$5:$A$3000,MATCH("ap",'Chart of Accounts'!$F$5:$F$3000,0)),C91&amp;"")</f>
        <v/>
      </c>
      <c r="K91" s="16">
        <f>IF(F91="",INDEX('Chart of Accounts'!$A$5:$A$3000,MATCH("bank",'Chart of Accounts'!$F$5:$F$3000,0)),F91&amp;"")</f>
        <v/>
      </c>
      <c r="L91" s="23">
        <f>IFERROR(INDEX('Chart of Accounts'!$C$5:$C$3000,MATCH(J91&amp;"",'Chart of Accounts'!$A$5:$A$3000,0))&amp;"|"&amp;INDEX('Chart of Accounts'!$D$5:$D$3000,MATCH(J91&amp;"",'Chart of Accounts'!$A$5:$A$3000,0)),"")</f>
        <v/>
      </c>
      <c r="M91" s="23">
        <f>IFERROR(INDEX('Chart of Accounts'!$C$5:$C$3000,MATCH(K91&amp;"",'Chart of Accounts'!$A$5:$A$3000,0))&amp;"|"&amp;INDEX('Chart of Accounts'!$D$5:$D$3000,MATCH(K91&amp;"",'Chart of Accounts'!$A$5:$A$3000,0)),"")</f>
        <v/>
      </c>
      <c r="N91" s="23">
        <f>IF(LEFT(L91,8)="Revenue|",-N(D91),0)+IF(LEFT(M91,8)="Revenue|",N(D91),0)</f>
        <v/>
      </c>
      <c r="O91" s="23">
        <f>IF(LEFT(L91,5)="COGS|",N(D91),0)+IF(LEFT(M91,5)="COGS|",-N(D91),0)</f>
        <v/>
      </c>
      <c r="P91" s="23">
        <f>IF(LEFT(L91,8)="Expense|",N(D91),0)+IF(LEFT(M91,8)="Expense|",-N(D91),0)</f>
        <v/>
      </c>
      <c r="Q91" s="23">
        <f>IF(ISNUMBER(MATCH(L91,{"Expense|employee","Expense|general_admin","Expense|marketing","Expense|utilities","Expense|other_operating"},0)),N(D91),0)+IF(ISNUMBER(MATCH(M91,{"Expense|employee","Expense|general_admin","Expense|marketing","Expense|utilities","Expense|other_operating"},0)),-N(D91),0)</f>
        <v/>
      </c>
      <c r="R91" s="23">
        <f>IF(L91="Liability|payable",-N(D91),0)+IF(M91="Liability|payable",N(D91),0)</f>
        <v/>
      </c>
      <c r="S91" s="23">
        <f>IF(L91="Liability|accrued",-N(D91),0)+IF(M91="Liability|accrued",N(D91),0)</f>
        <v/>
      </c>
      <c r="T91" s="23">
        <f>IF(AND(N(D91)&lt;&gt;0,L91=""),1,0)+IF(AND(N(D91)&lt;&gt;0,M91=""),1,0)</f>
        <v/>
      </c>
    </row>
    <row r="92">
      <c r="A92" s="19" t="n"/>
      <c r="B92" s="14" t="n"/>
      <c r="C92" s="14" t="n"/>
      <c r="D92" s="20" t="n"/>
      <c r="E92" s="14" t="n"/>
      <c r="F92" s="14" t="n"/>
      <c r="G92" s="14" t="n"/>
      <c r="H92" s="14" t="n"/>
      <c r="I92" s="14" t="n"/>
      <c r="J92" s="16">
        <f>IF(C92="",INDEX('Chart of Accounts'!$A$5:$A$3000,MATCH("ap",'Chart of Accounts'!$F$5:$F$3000,0)),C92&amp;"")</f>
        <v/>
      </c>
      <c r="K92" s="16">
        <f>IF(F92="",INDEX('Chart of Accounts'!$A$5:$A$3000,MATCH("bank",'Chart of Accounts'!$F$5:$F$3000,0)),F92&amp;"")</f>
        <v/>
      </c>
      <c r="L92" s="23">
        <f>IFERROR(INDEX('Chart of Accounts'!$C$5:$C$3000,MATCH(J92&amp;"",'Chart of Accounts'!$A$5:$A$3000,0))&amp;"|"&amp;INDEX('Chart of Accounts'!$D$5:$D$3000,MATCH(J92&amp;"",'Chart of Accounts'!$A$5:$A$3000,0)),"")</f>
        <v/>
      </c>
      <c r="M92" s="23">
        <f>IFERROR(INDEX('Chart of Accounts'!$C$5:$C$3000,MATCH(K92&amp;"",'Chart of Accounts'!$A$5:$A$3000,0))&amp;"|"&amp;INDEX('Chart of Accounts'!$D$5:$D$3000,MATCH(K92&amp;"",'Chart of Accounts'!$A$5:$A$3000,0)),"")</f>
        <v/>
      </c>
      <c r="N92" s="23">
        <f>IF(LEFT(L92,8)="Revenue|",-N(D92),0)+IF(LEFT(M92,8)="Revenue|",N(D92),0)</f>
        <v/>
      </c>
      <c r="O92" s="23">
        <f>IF(LEFT(L92,5)="COGS|",N(D92),0)+IF(LEFT(M92,5)="COGS|",-N(D92),0)</f>
        <v/>
      </c>
      <c r="P92" s="23">
        <f>IF(LEFT(L92,8)="Expense|",N(D92),0)+IF(LEFT(M92,8)="Expense|",-N(D92),0)</f>
        <v/>
      </c>
      <c r="Q92" s="23">
        <f>IF(ISNUMBER(MATCH(L92,{"Expense|employee","Expense|general_admin","Expense|marketing","Expense|utilities","Expense|other_operating"},0)),N(D92),0)+IF(ISNUMBER(MATCH(M92,{"Expense|employee","Expense|general_admin","Expense|marketing","Expense|utilities","Expense|other_operating"},0)),-N(D92),0)</f>
        <v/>
      </c>
      <c r="R92" s="23">
        <f>IF(L92="Liability|payable",-N(D92),0)+IF(M92="Liability|payable",N(D92),0)</f>
        <v/>
      </c>
      <c r="S92" s="23">
        <f>IF(L92="Liability|accrued",-N(D92),0)+IF(M92="Liability|accrued",N(D92),0)</f>
        <v/>
      </c>
      <c r="T92" s="23">
        <f>IF(AND(N(D92)&lt;&gt;0,L92=""),1,0)+IF(AND(N(D92)&lt;&gt;0,M92=""),1,0)</f>
        <v/>
      </c>
    </row>
    <row r="93">
      <c r="A93" s="19" t="n"/>
      <c r="B93" s="14" t="n"/>
      <c r="C93" s="14" t="n"/>
      <c r="D93" s="20" t="n"/>
      <c r="E93" s="14" t="n"/>
      <c r="F93" s="14" t="n"/>
      <c r="G93" s="14" t="n"/>
      <c r="H93" s="14" t="n"/>
      <c r="I93" s="14" t="n"/>
      <c r="J93" s="16">
        <f>IF(C93="",INDEX('Chart of Accounts'!$A$5:$A$3000,MATCH("ap",'Chart of Accounts'!$F$5:$F$3000,0)),C93&amp;"")</f>
        <v/>
      </c>
      <c r="K93" s="16">
        <f>IF(F93="",INDEX('Chart of Accounts'!$A$5:$A$3000,MATCH("bank",'Chart of Accounts'!$F$5:$F$3000,0)),F93&amp;"")</f>
        <v/>
      </c>
      <c r="L93" s="23">
        <f>IFERROR(INDEX('Chart of Accounts'!$C$5:$C$3000,MATCH(J93&amp;"",'Chart of Accounts'!$A$5:$A$3000,0))&amp;"|"&amp;INDEX('Chart of Accounts'!$D$5:$D$3000,MATCH(J93&amp;"",'Chart of Accounts'!$A$5:$A$3000,0)),"")</f>
        <v/>
      </c>
      <c r="M93" s="23">
        <f>IFERROR(INDEX('Chart of Accounts'!$C$5:$C$3000,MATCH(K93&amp;"",'Chart of Accounts'!$A$5:$A$3000,0))&amp;"|"&amp;INDEX('Chart of Accounts'!$D$5:$D$3000,MATCH(K93&amp;"",'Chart of Accounts'!$A$5:$A$3000,0)),"")</f>
        <v/>
      </c>
      <c r="N93" s="23">
        <f>IF(LEFT(L93,8)="Revenue|",-N(D93),0)+IF(LEFT(M93,8)="Revenue|",N(D93),0)</f>
        <v/>
      </c>
      <c r="O93" s="23">
        <f>IF(LEFT(L93,5)="COGS|",N(D93),0)+IF(LEFT(M93,5)="COGS|",-N(D93),0)</f>
        <v/>
      </c>
      <c r="P93" s="23">
        <f>IF(LEFT(L93,8)="Expense|",N(D93),0)+IF(LEFT(M93,8)="Expense|",-N(D93),0)</f>
        <v/>
      </c>
      <c r="Q93" s="23">
        <f>IF(ISNUMBER(MATCH(L93,{"Expense|employee","Expense|general_admin","Expense|marketing","Expense|utilities","Expense|other_operating"},0)),N(D93),0)+IF(ISNUMBER(MATCH(M93,{"Expense|employee","Expense|general_admin","Expense|marketing","Expense|utilities","Expense|other_operating"},0)),-N(D93),0)</f>
        <v/>
      </c>
      <c r="R93" s="23">
        <f>IF(L93="Liability|payable",-N(D93),0)+IF(M93="Liability|payable",N(D93),0)</f>
        <v/>
      </c>
      <c r="S93" s="23">
        <f>IF(L93="Liability|accrued",-N(D93),0)+IF(M93="Liability|accrued",N(D93),0)</f>
        <v/>
      </c>
      <c r="T93" s="23">
        <f>IF(AND(N(D93)&lt;&gt;0,L93=""),1,0)+IF(AND(N(D93)&lt;&gt;0,M93=""),1,0)</f>
        <v/>
      </c>
    </row>
    <row r="94">
      <c r="A94" s="19" t="n"/>
      <c r="B94" s="14" t="n"/>
      <c r="C94" s="14" t="n"/>
      <c r="D94" s="20" t="n"/>
      <c r="E94" s="14" t="n"/>
      <c r="F94" s="14" t="n"/>
      <c r="G94" s="14" t="n"/>
      <c r="H94" s="14" t="n"/>
      <c r="I94" s="14" t="n"/>
      <c r="J94" s="16">
        <f>IF(C94="",INDEX('Chart of Accounts'!$A$5:$A$3000,MATCH("ap",'Chart of Accounts'!$F$5:$F$3000,0)),C94&amp;"")</f>
        <v/>
      </c>
      <c r="K94" s="16">
        <f>IF(F94="",INDEX('Chart of Accounts'!$A$5:$A$3000,MATCH("bank",'Chart of Accounts'!$F$5:$F$3000,0)),F94&amp;"")</f>
        <v/>
      </c>
      <c r="L94" s="23">
        <f>IFERROR(INDEX('Chart of Accounts'!$C$5:$C$3000,MATCH(J94&amp;"",'Chart of Accounts'!$A$5:$A$3000,0))&amp;"|"&amp;INDEX('Chart of Accounts'!$D$5:$D$3000,MATCH(J94&amp;"",'Chart of Accounts'!$A$5:$A$3000,0)),"")</f>
        <v/>
      </c>
      <c r="M94" s="23">
        <f>IFERROR(INDEX('Chart of Accounts'!$C$5:$C$3000,MATCH(K94&amp;"",'Chart of Accounts'!$A$5:$A$3000,0))&amp;"|"&amp;INDEX('Chart of Accounts'!$D$5:$D$3000,MATCH(K94&amp;"",'Chart of Accounts'!$A$5:$A$3000,0)),"")</f>
        <v/>
      </c>
      <c r="N94" s="23">
        <f>IF(LEFT(L94,8)="Revenue|",-N(D94),0)+IF(LEFT(M94,8)="Revenue|",N(D94),0)</f>
        <v/>
      </c>
      <c r="O94" s="23">
        <f>IF(LEFT(L94,5)="COGS|",N(D94),0)+IF(LEFT(M94,5)="COGS|",-N(D94),0)</f>
        <v/>
      </c>
      <c r="P94" s="23">
        <f>IF(LEFT(L94,8)="Expense|",N(D94),0)+IF(LEFT(M94,8)="Expense|",-N(D94),0)</f>
        <v/>
      </c>
      <c r="Q94" s="23">
        <f>IF(ISNUMBER(MATCH(L94,{"Expense|employee","Expense|general_admin","Expense|marketing","Expense|utilities","Expense|other_operating"},0)),N(D94),0)+IF(ISNUMBER(MATCH(M94,{"Expense|employee","Expense|general_admin","Expense|marketing","Expense|utilities","Expense|other_operating"},0)),-N(D94),0)</f>
        <v/>
      </c>
      <c r="R94" s="23">
        <f>IF(L94="Liability|payable",-N(D94),0)+IF(M94="Liability|payable",N(D94),0)</f>
        <v/>
      </c>
      <c r="S94" s="23">
        <f>IF(L94="Liability|accrued",-N(D94),0)+IF(M94="Liability|accrued",N(D94),0)</f>
        <v/>
      </c>
      <c r="T94" s="23">
        <f>IF(AND(N(D94)&lt;&gt;0,L94=""),1,0)+IF(AND(N(D94)&lt;&gt;0,M94=""),1,0)</f>
        <v/>
      </c>
    </row>
    <row r="95">
      <c r="A95" s="19" t="n"/>
      <c r="B95" s="14" t="n"/>
      <c r="C95" s="14" t="n"/>
      <c r="D95" s="20" t="n"/>
      <c r="E95" s="14" t="n"/>
      <c r="F95" s="14" t="n"/>
      <c r="G95" s="14" t="n"/>
      <c r="H95" s="14" t="n"/>
      <c r="I95" s="14" t="n"/>
      <c r="J95" s="16">
        <f>IF(C95="",INDEX('Chart of Accounts'!$A$5:$A$3000,MATCH("ap",'Chart of Accounts'!$F$5:$F$3000,0)),C95&amp;"")</f>
        <v/>
      </c>
      <c r="K95" s="16">
        <f>IF(F95="",INDEX('Chart of Accounts'!$A$5:$A$3000,MATCH("bank",'Chart of Accounts'!$F$5:$F$3000,0)),F95&amp;"")</f>
        <v/>
      </c>
      <c r="L95" s="23">
        <f>IFERROR(INDEX('Chart of Accounts'!$C$5:$C$3000,MATCH(J95&amp;"",'Chart of Accounts'!$A$5:$A$3000,0))&amp;"|"&amp;INDEX('Chart of Accounts'!$D$5:$D$3000,MATCH(J95&amp;"",'Chart of Accounts'!$A$5:$A$3000,0)),"")</f>
        <v/>
      </c>
      <c r="M95" s="23">
        <f>IFERROR(INDEX('Chart of Accounts'!$C$5:$C$3000,MATCH(K95&amp;"",'Chart of Accounts'!$A$5:$A$3000,0))&amp;"|"&amp;INDEX('Chart of Accounts'!$D$5:$D$3000,MATCH(K95&amp;"",'Chart of Accounts'!$A$5:$A$3000,0)),"")</f>
        <v/>
      </c>
      <c r="N95" s="23">
        <f>IF(LEFT(L95,8)="Revenue|",-N(D95),0)+IF(LEFT(M95,8)="Revenue|",N(D95),0)</f>
        <v/>
      </c>
      <c r="O95" s="23">
        <f>IF(LEFT(L95,5)="COGS|",N(D95),0)+IF(LEFT(M95,5)="COGS|",-N(D95),0)</f>
        <v/>
      </c>
      <c r="P95" s="23">
        <f>IF(LEFT(L95,8)="Expense|",N(D95),0)+IF(LEFT(M95,8)="Expense|",-N(D95),0)</f>
        <v/>
      </c>
      <c r="Q95" s="23">
        <f>IF(ISNUMBER(MATCH(L95,{"Expense|employee","Expense|general_admin","Expense|marketing","Expense|utilities","Expense|other_operating"},0)),N(D95),0)+IF(ISNUMBER(MATCH(M95,{"Expense|employee","Expense|general_admin","Expense|marketing","Expense|utilities","Expense|other_operating"},0)),-N(D95),0)</f>
        <v/>
      </c>
      <c r="R95" s="23">
        <f>IF(L95="Liability|payable",-N(D95),0)+IF(M95="Liability|payable",N(D95),0)</f>
        <v/>
      </c>
      <c r="S95" s="23">
        <f>IF(L95="Liability|accrued",-N(D95),0)+IF(M95="Liability|accrued",N(D95),0)</f>
        <v/>
      </c>
      <c r="T95" s="23">
        <f>IF(AND(N(D95)&lt;&gt;0,L95=""),1,0)+IF(AND(N(D95)&lt;&gt;0,M95=""),1,0)</f>
        <v/>
      </c>
    </row>
    <row r="96">
      <c r="A96" s="19" t="n"/>
      <c r="B96" s="14" t="n"/>
      <c r="C96" s="14" t="n"/>
      <c r="D96" s="20" t="n"/>
      <c r="E96" s="14" t="n"/>
      <c r="F96" s="14" t="n"/>
      <c r="G96" s="14" t="n"/>
      <c r="H96" s="14" t="n"/>
      <c r="I96" s="14" t="n"/>
      <c r="J96" s="16">
        <f>IF(C96="",INDEX('Chart of Accounts'!$A$5:$A$3000,MATCH("ap",'Chart of Accounts'!$F$5:$F$3000,0)),C96&amp;"")</f>
        <v/>
      </c>
      <c r="K96" s="16">
        <f>IF(F96="",INDEX('Chart of Accounts'!$A$5:$A$3000,MATCH("bank",'Chart of Accounts'!$F$5:$F$3000,0)),F96&amp;"")</f>
        <v/>
      </c>
      <c r="L96" s="23">
        <f>IFERROR(INDEX('Chart of Accounts'!$C$5:$C$3000,MATCH(J96&amp;"",'Chart of Accounts'!$A$5:$A$3000,0))&amp;"|"&amp;INDEX('Chart of Accounts'!$D$5:$D$3000,MATCH(J96&amp;"",'Chart of Accounts'!$A$5:$A$3000,0)),"")</f>
        <v/>
      </c>
      <c r="M96" s="23">
        <f>IFERROR(INDEX('Chart of Accounts'!$C$5:$C$3000,MATCH(K96&amp;"",'Chart of Accounts'!$A$5:$A$3000,0))&amp;"|"&amp;INDEX('Chart of Accounts'!$D$5:$D$3000,MATCH(K96&amp;"",'Chart of Accounts'!$A$5:$A$3000,0)),"")</f>
        <v/>
      </c>
      <c r="N96" s="23">
        <f>IF(LEFT(L96,8)="Revenue|",-N(D96),0)+IF(LEFT(M96,8)="Revenue|",N(D96),0)</f>
        <v/>
      </c>
      <c r="O96" s="23">
        <f>IF(LEFT(L96,5)="COGS|",N(D96),0)+IF(LEFT(M96,5)="COGS|",-N(D96),0)</f>
        <v/>
      </c>
      <c r="P96" s="23">
        <f>IF(LEFT(L96,8)="Expense|",N(D96),0)+IF(LEFT(M96,8)="Expense|",-N(D96),0)</f>
        <v/>
      </c>
      <c r="Q96" s="23">
        <f>IF(ISNUMBER(MATCH(L96,{"Expense|employee","Expense|general_admin","Expense|marketing","Expense|utilities","Expense|other_operating"},0)),N(D96),0)+IF(ISNUMBER(MATCH(M96,{"Expense|employee","Expense|general_admin","Expense|marketing","Expense|utilities","Expense|other_operating"},0)),-N(D96),0)</f>
        <v/>
      </c>
      <c r="R96" s="23">
        <f>IF(L96="Liability|payable",-N(D96),0)+IF(M96="Liability|payable",N(D96),0)</f>
        <v/>
      </c>
      <c r="S96" s="23">
        <f>IF(L96="Liability|accrued",-N(D96),0)+IF(M96="Liability|accrued",N(D96),0)</f>
        <v/>
      </c>
      <c r="T96" s="23">
        <f>IF(AND(N(D96)&lt;&gt;0,L96=""),1,0)+IF(AND(N(D96)&lt;&gt;0,M96=""),1,0)</f>
        <v/>
      </c>
    </row>
    <row r="97">
      <c r="A97" s="19" t="n"/>
      <c r="B97" s="14" t="n"/>
      <c r="C97" s="14" t="n"/>
      <c r="D97" s="20" t="n"/>
      <c r="E97" s="14" t="n"/>
      <c r="F97" s="14" t="n"/>
      <c r="G97" s="14" t="n"/>
      <c r="H97" s="14" t="n"/>
      <c r="I97" s="14" t="n"/>
      <c r="J97" s="16">
        <f>IF(C97="",INDEX('Chart of Accounts'!$A$5:$A$3000,MATCH("ap",'Chart of Accounts'!$F$5:$F$3000,0)),C97&amp;"")</f>
        <v/>
      </c>
      <c r="K97" s="16">
        <f>IF(F97="",INDEX('Chart of Accounts'!$A$5:$A$3000,MATCH("bank",'Chart of Accounts'!$F$5:$F$3000,0)),F97&amp;"")</f>
        <v/>
      </c>
      <c r="L97" s="23">
        <f>IFERROR(INDEX('Chart of Accounts'!$C$5:$C$3000,MATCH(J97&amp;"",'Chart of Accounts'!$A$5:$A$3000,0))&amp;"|"&amp;INDEX('Chart of Accounts'!$D$5:$D$3000,MATCH(J97&amp;"",'Chart of Accounts'!$A$5:$A$3000,0)),"")</f>
        <v/>
      </c>
      <c r="M97" s="23">
        <f>IFERROR(INDEX('Chart of Accounts'!$C$5:$C$3000,MATCH(K97&amp;"",'Chart of Accounts'!$A$5:$A$3000,0))&amp;"|"&amp;INDEX('Chart of Accounts'!$D$5:$D$3000,MATCH(K97&amp;"",'Chart of Accounts'!$A$5:$A$3000,0)),"")</f>
        <v/>
      </c>
      <c r="N97" s="23">
        <f>IF(LEFT(L97,8)="Revenue|",-N(D97),0)+IF(LEFT(M97,8)="Revenue|",N(D97),0)</f>
        <v/>
      </c>
      <c r="O97" s="23">
        <f>IF(LEFT(L97,5)="COGS|",N(D97),0)+IF(LEFT(M97,5)="COGS|",-N(D97),0)</f>
        <v/>
      </c>
      <c r="P97" s="23">
        <f>IF(LEFT(L97,8)="Expense|",N(D97),0)+IF(LEFT(M97,8)="Expense|",-N(D97),0)</f>
        <v/>
      </c>
      <c r="Q97" s="23">
        <f>IF(ISNUMBER(MATCH(L97,{"Expense|employee","Expense|general_admin","Expense|marketing","Expense|utilities","Expense|other_operating"},0)),N(D97),0)+IF(ISNUMBER(MATCH(M97,{"Expense|employee","Expense|general_admin","Expense|marketing","Expense|utilities","Expense|other_operating"},0)),-N(D97),0)</f>
        <v/>
      </c>
      <c r="R97" s="23">
        <f>IF(L97="Liability|payable",-N(D97),0)+IF(M97="Liability|payable",N(D97),0)</f>
        <v/>
      </c>
      <c r="S97" s="23">
        <f>IF(L97="Liability|accrued",-N(D97),0)+IF(M97="Liability|accrued",N(D97),0)</f>
        <v/>
      </c>
      <c r="T97" s="23">
        <f>IF(AND(N(D97)&lt;&gt;0,L97=""),1,0)+IF(AND(N(D97)&lt;&gt;0,M97=""),1,0)</f>
        <v/>
      </c>
    </row>
    <row r="98">
      <c r="A98" s="19" t="n"/>
      <c r="B98" s="14" t="n"/>
      <c r="C98" s="14" t="n"/>
      <c r="D98" s="20" t="n"/>
      <c r="E98" s="14" t="n"/>
      <c r="F98" s="14" t="n"/>
      <c r="G98" s="14" t="n"/>
      <c r="H98" s="14" t="n"/>
      <c r="I98" s="14" t="n"/>
      <c r="J98" s="16">
        <f>IF(C98="",INDEX('Chart of Accounts'!$A$5:$A$3000,MATCH("ap",'Chart of Accounts'!$F$5:$F$3000,0)),C98&amp;"")</f>
        <v/>
      </c>
      <c r="K98" s="16">
        <f>IF(F98="",INDEX('Chart of Accounts'!$A$5:$A$3000,MATCH("bank",'Chart of Accounts'!$F$5:$F$3000,0)),F98&amp;"")</f>
        <v/>
      </c>
      <c r="L98" s="23">
        <f>IFERROR(INDEX('Chart of Accounts'!$C$5:$C$3000,MATCH(J98&amp;"",'Chart of Accounts'!$A$5:$A$3000,0))&amp;"|"&amp;INDEX('Chart of Accounts'!$D$5:$D$3000,MATCH(J98&amp;"",'Chart of Accounts'!$A$5:$A$3000,0)),"")</f>
        <v/>
      </c>
      <c r="M98" s="23">
        <f>IFERROR(INDEX('Chart of Accounts'!$C$5:$C$3000,MATCH(K98&amp;"",'Chart of Accounts'!$A$5:$A$3000,0))&amp;"|"&amp;INDEX('Chart of Accounts'!$D$5:$D$3000,MATCH(K98&amp;"",'Chart of Accounts'!$A$5:$A$3000,0)),"")</f>
        <v/>
      </c>
      <c r="N98" s="23">
        <f>IF(LEFT(L98,8)="Revenue|",-N(D98),0)+IF(LEFT(M98,8)="Revenue|",N(D98),0)</f>
        <v/>
      </c>
      <c r="O98" s="23">
        <f>IF(LEFT(L98,5)="COGS|",N(D98),0)+IF(LEFT(M98,5)="COGS|",-N(D98),0)</f>
        <v/>
      </c>
      <c r="P98" s="23">
        <f>IF(LEFT(L98,8)="Expense|",N(D98),0)+IF(LEFT(M98,8)="Expense|",-N(D98),0)</f>
        <v/>
      </c>
      <c r="Q98" s="23">
        <f>IF(ISNUMBER(MATCH(L98,{"Expense|employee","Expense|general_admin","Expense|marketing","Expense|utilities","Expense|other_operating"},0)),N(D98),0)+IF(ISNUMBER(MATCH(M98,{"Expense|employee","Expense|general_admin","Expense|marketing","Expense|utilities","Expense|other_operating"},0)),-N(D98),0)</f>
        <v/>
      </c>
      <c r="R98" s="23">
        <f>IF(L98="Liability|payable",-N(D98),0)+IF(M98="Liability|payable",N(D98),0)</f>
        <v/>
      </c>
      <c r="S98" s="23">
        <f>IF(L98="Liability|accrued",-N(D98),0)+IF(M98="Liability|accrued",N(D98),0)</f>
        <v/>
      </c>
      <c r="T98" s="23">
        <f>IF(AND(N(D98)&lt;&gt;0,L98=""),1,0)+IF(AND(N(D98)&lt;&gt;0,M98=""),1,0)</f>
        <v/>
      </c>
    </row>
    <row r="99">
      <c r="A99" s="19" t="n"/>
      <c r="B99" s="14" t="n"/>
      <c r="C99" s="14" t="n"/>
      <c r="D99" s="20" t="n"/>
      <c r="E99" s="14" t="n"/>
      <c r="F99" s="14" t="n"/>
      <c r="G99" s="14" t="n"/>
      <c r="H99" s="14" t="n"/>
      <c r="I99" s="14" t="n"/>
      <c r="J99" s="16">
        <f>IF(C99="",INDEX('Chart of Accounts'!$A$5:$A$3000,MATCH("ap",'Chart of Accounts'!$F$5:$F$3000,0)),C99&amp;"")</f>
        <v/>
      </c>
      <c r="K99" s="16">
        <f>IF(F99="",INDEX('Chart of Accounts'!$A$5:$A$3000,MATCH("bank",'Chart of Accounts'!$F$5:$F$3000,0)),F99&amp;"")</f>
        <v/>
      </c>
      <c r="L99" s="23">
        <f>IFERROR(INDEX('Chart of Accounts'!$C$5:$C$3000,MATCH(J99&amp;"",'Chart of Accounts'!$A$5:$A$3000,0))&amp;"|"&amp;INDEX('Chart of Accounts'!$D$5:$D$3000,MATCH(J99&amp;"",'Chart of Accounts'!$A$5:$A$3000,0)),"")</f>
        <v/>
      </c>
      <c r="M99" s="23">
        <f>IFERROR(INDEX('Chart of Accounts'!$C$5:$C$3000,MATCH(K99&amp;"",'Chart of Accounts'!$A$5:$A$3000,0))&amp;"|"&amp;INDEX('Chart of Accounts'!$D$5:$D$3000,MATCH(K99&amp;"",'Chart of Accounts'!$A$5:$A$3000,0)),"")</f>
        <v/>
      </c>
      <c r="N99" s="23">
        <f>IF(LEFT(L99,8)="Revenue|",-N(D99),0)+IF(LEFT(M99,8)="Revenue|",N(D99),0)</f>
        <v/>
      </c>
      <c r="O99" s="23">
        <f>IF(LEFT(L99,5)="COGS|",N(D99),0)+IF(LEFT(M99,5)="COGS|",-N(D99),0)</f>
        <v/>
      </c>
      <c r="P99" s="23">
        <f>IF(LEFT(L99,8)="Expense|",N(D99),0)+IF(LEFT(M99,8)="Expense|",-N(D99),0)</f>
        <v/>
      </c>
      <c r="Q99" s="23">
        <f>IF(ISNUMBER(MATCH(L99,{"Expense|employee","Expense|general_admin","Expense|marketing","Expense|utilities","Expense|other_operating"},0)),N(D99),0)+IF(ISNUMBER(MATCH(M99,{"Expense|employee","Expense|general_admin","Expense|marketing","Expense|utilities","Expense|other_operating"},0)),-N(D99),0)</f>
        <v/>
      </c>
      <c r="R99" s="23">
        <f>IF(L99="Liability|payable",-N(D99),0)+IF(M99="Liability|payable",N(D99),0)</f>
        <v/>
      </c>
      <c r="S99" s="23">
        <f>IF(L99="Liability|accrued",-N(D99),0)+IF(M99="Liability|accrued",N(D99),0)</f>
        <v/>
      </c>
      <c r="T99" s="23">
        <f>IF(AND(N(D99)&lt;&gt;0,L99=""),1,0)+IF(AND(N(D99)&lt;&gt;0,M99=""),1,0)</f>
        <v/>
      </c>
    </row>
    <row r="100">
      <c r="A100" s="19" t="n"/>
      <c r="B100" s="14" t="n"/>
      <c r="C100" s="14" t="n"/>
      <c r="D100" s="20" t="n"/>
      <c r="E100" s="14" t="n"/>
      <c r="F100" s="14" t="n"/>
      <c r="G100" s="14" t="n"/>
      <c r="H100" s="14" t="n"/>
      <c r="I100" s="14" t="n"/>
      <c r="J100" s="16">
        <f>IF(C100="",INDEX('Chart of Accounts'!$A$5:$A$3000,MATCH("ap",'Chart of Accounts'!$F$5:$F$3000,0)),C100&amp;"")</f>
        <v/>
      </c>
      <c r="K100" s="16">
        <f>IF(F100="",INDEX('Chart of Accounts'!$A$5:$A$3000,MATCH("bank",'Chart of Accounts'!$F$5:$F$3000,0)),F100&amp;"")</f>
        <v/>
      </c>
      <c r="L100" s="23">
        <f>IFERROR(INDEX('Chart of Accounts'!$C$5:$C$3000,MATCH(J100&amp;"",'Chart of Accounts'!$A$5:$A$3000,0))&amp;"|"&amp;INDEX('Chart of Accounts'!$D$5:$D$3000,MATCH(J100&amp;"",'Chart of Accounts'!$A$5:$A$3000,0)),"")</f>
        <v/>
      </c>
      <c r="M100" s="23">
        <f>IFERROR(INDEX('Chart of Accounts'!$C$5:$C$3000,MATCH(K100&amp;"",'Chart of Accounts'!$A$5:$A$3000,0))&amp;"|"&amp;INDEX('Chart of Accounts'!$D$5:$D$3000,MATCH(K100&amp;"",'Chart of Accounts'!$A$5:$A$3000,0)),"")</f>
        <v/>
      </c>
      <c r="N100" s="23">
        <f>IF(LEFT(L100,8)="Revenue|",-N(D100),0)+IF(LEFT(M100,8)="Revenue|",N(D100),0)</f>
        <v/>
      </c>
      <c r="O100" s="23">
        <f>IF(LEFT(L100,5)="COGS|",N(D100),0)+IF(LEFT(M100,5)="COGS|",-N(D100),0)</f>
        <v/>
      </c>
      <c r="P100" s="23">
        <f>IF(LEFT(L100,8)="Expense|",N(D100),0)+IF(LEFT(M100,8)="Expense|",-N(D100),0)</f>
        <v/>
      </c>
      <c r="Q100" s="23">
        <f>IF(ISNUMBER(MATCH(L100,{"Expense|employee","Expense|general_admin","Expense|marketing","Expense|utilities","Expense|other_operating"},0)),N(D100),0)+IF(ISNUMBER(MATCH(M100,{"Expense|employee","Expense|general_admin","Expense|marketing","Expense|utilities","Expense|other_operating"},0)),-N(D100),0)</f>
        <v/>
      </c>
      <c r="R100" s="23">
        <f>IF(L100="Liability|payable",-N(D100),0)+IF(M100="Liability|payable",N(D100),0)</f>
        <v/>
      </c>
      <c r="S100" s="23">
        <f>IF(L100="Liability|accrued",-N(D100),0)+IF(M100="Liability|accrued",N(D100),0)</f>
        <v/>
      </c>
      <c r="T100" s="23">
        <f>IF(AND(N(D100)&lt;&gt;0,L100=""),1,0)+IF(AND(N(D100)&lt;&gt;0,M100=""),1,0)</f>
        <v/>
      </c>
    </row>
    <row r="101">
      <c r="A101" s="19" t="n"/>
      <c r="B101" s="14" t="n"/>
      <c r="C101" s="14" t="n"/>
      <c r="D101" s="20" t="n"/>
      <c r="E101" s="14" t="n"/>
      <c r="F101" s="14" t="n"/>
      <c r="G101" s="14" t="n"/>
      <c r="H101" s="14" t="n"/>
      <c r="I101" s="14" t="n"/>
      <c r="J101" s="16">
        <f>IF(C101="",INDEX('Chart of Accounts'!$A$5:$A$3000,MATCH("ap",'Chart of Accounts'!$F$5:$F$3000,0)),C101&amp;"")</f>
        <v/>
      </c>
      <c r="K101" s="16">
        <f>IF(F101="",INDEX('Chart of Accounts'!$A$5:$A$3000,MATCH("bank",'Chart of Accounts'!$F$5:$F$3000,0)),F101&amp;"")</f>
        <v/>
      </c>
      <c r="L101" s="23">
        <f>IFERROR(INDEX('Chart of Accounts'!$C$5:$C$3000,MATCH(J101&amp;"",'Chart of Accounts'!$A$5:$A$3000,0))&amp;"|"&amp;INDEX('Chart of Accounts'!$D$5:$D$3000,MATCH(J101&amp;"",'Chart of Accounts'!$A$5:$A$3000,0)),"")</f>
        <v/>
      </c>
      <c r="M101" s="23">
        <f>IFERROR(INDEX('Chart of Accounts'!$C$5:$C$3000,MATCH(K101&amp;"",'Chart of Accounts'!$A$5:$A$3000,0))&amp;"|"&amp;INDEX('Chart of Accounts'!$D$5:$D$3000,MATCH(K101&amp;"",'Chart of Accounts'!$A$5:$A$3000,0)),"")</f>
        <v/>
      </c>
      <c r="N101" s="23">
        <f>IF(LEFT(L101,8)="Revenue|",-N(D101),0)+IF(LEFT(M101,8)="Revenue|",N(D101),0)</f>
        <v/>
      </c>
      <c r="O101" s="23">
        <f>IF(LEFT(L101,5)="COGS|",N(D101),0)+IF(LEFT(M101,5)="COGS|",-N(D101),0)</f>
        <v/>
      </c>
      <c r="P101" s="23">
        <f>IF(LEFT(L101,8)="Expense|",N(D101),0)+IF(LEFT(M101,8)="Expense|",-N(D101),0)</f>
        <v/>
      </c>
      <c r="Q101" s="23">
        <f>IF(ISNUMBER(MATCH(L101,{"Expense|employee","Expense|general_admin","Expense|marketing","Expense|utilities","Expense|other_operating"},0)),N(D101),0)+IF(ISNUMBER(MATCH(M101,{"Expense|employee","Expense|general_admin","Expense|marketing","Expense|utilities","Expense|other_operating"},0)),-N(D101),0)</f>
        <v/>
      </c>
      <c r="R101" s="23">
        <f>IF(L101="Liability|payable",-N(D101),0)+IF(M101="Liability|payable",N(D101),0)</f>
        <v/>
      </c>
      <c r="S101" s="23">
        <f>IF(L101="Liability|accrued",-N(D101),0)+IF(M101="Liability|accrued",N(D101),0)</f>
        <v/>
      </c>
      <c r="T101" s="23">
        <f>IF(AND(N(D101)&lt;&gt;0,L101=""),1,0)+IF(AND(N(D101)&lt;&gt;0,M101=""),1,0)</f>
        <v/>
      </c>
    </row>
    <row r="102">
      <c r="A102" s="19" t="n"/>
      <c r="B102" s="14" t="n"/>
      <c r="C102" s="14" t="n"/>
      <c r="D102" s="20" t="n"/>
      <c r="E102" s="14" t="n"/>
      <c r="F102" s="14" t="n"/>
      <c r="G102" s="14" t="n"/>
      <c r="H102" s="14" t="n"/>
      <c r="I102" s="14" t="n"/>
      <c r="J102" s="16">
        <f>IF(C102="",INDEX('Chart of Accounts'!$A$5:$A$3000,MATCH("ap",'Chart of Accounts'!$F$5:$F$3000,0)),C102&amp;"")</f>
        <v/>
      </c>
      <c r="K102" s="16">
        <f>IF(F102="",INDEX('Chart of Accounts'!$A$5:$A$3000,MATCH("bank",'Chart of Accounts'!$F$5:$F$3000,0)),F102&amp;"")</f>
        <v/>
      </c>
      <c r="L102" s="23">
        <f>IFERROR(INDEX('Chart of Accounts'!$C$5:$C$3000,MATCH(J102&amp;"",'Chart of Accounts'!$A$5:$A$3000,0))&amp;"|"&amp;INDEX('Chart of Accounts'!$D$5:$D$3000,MATCH(J102&amp;"",'Chart of Accounts'!$A$5:$A$3000,0)),"")</f>
        <v/>
      </c>
      <c r="M102" s="23">
        <f>IFERROR(INDEX('Chart of Accounts'!$C$5:$C$3000,MATCH(K102&amp;"",'Chart of Accounts'!$A$5:$A$3000,0))&amp;"|"&amp;INDEX('Chart of Accounts'!$D$5:$D$3000,MATCH(K102&amp;"",'Chart of Accounts'!$A$5:$A$3000,0)),"")</f>
        <v/>
      </c>
      <c r="N102" s="23">
        <f>IF(LEFT(L102,8)="Revenue|",-N(D102),0)+IF(LEFT(M102,8)="Revenue|",N(D102),0)</f>
        <v/>
      </c>
      <c r="O102" s="23">
        <f>IF(LEFT(L102,5)="COGS|",N(D102),0)+IF(LEFT(M102,5)="COGS|",-N(D102),0)</f>
        <v/>
      </c>
      <c r="P102" s="23">
        <f>IF(LEFT(L102,8)="Expense|",N(D102),0)+IF(LEFT(M102,8)="Expense|",-N(D102),0)</f>
        <v/>
      </c>
      <c r="Q102" s="23">
        <f>IF(ISNUMBER(MATCH(L102,{"Expense|employee","Expense|general_admin","Expense|marketing","Expense|utilities","Expense|other_operating"},0)),N(D102),0)+IF(ISNUMBER(MATCH(M102,{"Expense|employee","Expense|general_admin","Expense|marketing","Expense|utilities","Expense|other_operating"},0)),-N(D102),0)</f>
        <v/>
      </c>
      <c r="R102" s="23">
        <f>IF(L102="Liability|payable",-N(D102),0)+IF(M102="Liability|payable",N(D102),0)</f>
        <v/>
      </c>
      <c r="S102" s="23">
        <f>IF(L102="Liability|accrued",-N(D102),0)+IF(M102="Liability|accrued",N(D102),0)</f>
        <v/>
      </c>
      <c r="T102" s="23">
        <f>IF(AND(N(D102)&lt;&gt;0,L102=""),1,0)+IF(AND(N(D102)&lt;&gt;0,M102=""),1,0)</f>
        <v/>
      </c>
    </row>
    <row r="103">
      <c r="A103" s="19" t="n"/>
      <c r="B103" s="14" t="n"/>
      <c r="C103" s="14" t="n"/>
      <c r="D103" s="20" t="n"/>
      <c r="E103" s="14" t="n"/>
      <c r="F103" s="14" t="n"/>
      <c r="G103" s="14" t="n"/>
      <c r="H103" s="14" t="n"/>
      <c r="I103" s="14" t="n"/>
      <c r="J103" s="16">
        <f>IF(C103="",INDEX('Chart of Accounts'!$A$5:$A$3000,MATCH("ap",'Chart of Accounts'!$F$5:$F$3000,0)),C103&amp;"")</f>
        <v/>
      </c>
      <c r="K103" s="16">
        <f>IF(F103="",INDEX('Chart of Accounts'!$A$5:$A$3000,MATCH("bank",'Chart of Accounts'!$F$5:$F$3000,0)),F103&amp;"")</f>
        <v/>
      </c>
      <c r="L103" s="23">
        <f>IFERROR(INDEX('Chart of Accounts'!$C$5:$C$3000,MATCH(J103&amp;"",'Chart of Accounts'!$A$5:$A$3000,0))&amp;"|"&amp;INDEX('Chart of Accounts'!$D$5:$D$3000,MATCH(J103&amp;"",'Chart of Accounts'!$A$5:$A$3000,0)),"")</f>
        <v/>
      </c>
      <c r="M103" s="23">
        <f>IFERROR(INDEX('Chart of Accounts'!$C$5:$C$3000,MATCH(K103&amp;"",'Chart of Accounts'!$A$5:$A$3000,0))&amp;"|"&amp;INDEX('Chart of Accounts'!$D$5:$D$3000,MATCH(K103&amp;"",'Chart of Accounts'!$A$5:$A$3000,0)),"")</f>
        <v/>
      </c>
      <c r="N103" s="23">
        <f>IF(LEFT(L103,8)="Revenue|",-N(D103),0)+IF(LEFT(M103,8)="Revenue|",N(D103),0)</f>
        <v/>
      </c>
      <c r="O103" s="23">
        <f>IF(LEFT(L103,5)="COGS|",N(D103),0)+IF(LEFT(M103,5)="COGS|",-N(D103),0)</f>
        <v/>
      </c>
      <c r="P103" s="23">
        <f>IF(LEFT(L103,8)="Expense|",N(D103),0)+IF(LEFT(M103,8)="Expense|",-N(D103),0)</f>
        <v/>
      </c>
      <c r="Q103" s="23">
        <f>IF(ISNUMBER(MATCH(L103,{"Expense|employee","Expense|general_admin","Expense|marketing","Expense|utilities","Expense|other_operating"},0)),N(D103),0)+IF(ISNUMBER(MATCH(M103,{"Expense|employee","Expense|general_admin","Expense|marketing","Expense|utilities","Expense|other_operating"},0)),-N(D103),0)</f>
        <v/>
      </c>
      <c r="R103" s="23">
        <f>IF(L103="Liability|payable",-N(D103),0)+IF(M103="Liability|payable",N(D103),0)</f>
        <v/>
      </c>
      <c r="S103" s="23">
        <f>IF(L103="Liability|accrued",-N(D103),0)+IF(M103="Liability|accrued",N(D103),0)</f>
        <v/>
      </c>
      <c r="T103" s="23">
        <f>IF(AND(N(D103)&lt;&gt;0,L103=""),1,0)+IF(AND(N(D103)&lt;&gt;0,M103=""),1,0)</f>
        <v/>
      </c>
    </row>
    <row r="104">
      <c r="A104" s="19" t="n"/>
      <c r="B104" s="14" t="n"/>
      <c r="C104" s="14" t="n"/>
      <c r="D104" s="20" t="n"/>
      <c r="E104" s="14" t="n"/>
      <c r="F104" s="14" t="n"/>
      <c r="G104" s="14" t="n"/>
      <c r="H104" s="14" t="n"/>
      <c r="I104" s="14" t="n"/>
      <c r="J104" s="16">
        <f>IF(C104="",INDEX('Chart of Accounts'!$A$5:$A$3000,MATCH("ap",'Chart of Accounts'!$F$5:$F$3000,0)),C104&amp;"")</f>
        <v/>
      </c>
      <c r="K104" s="16">
        <f>IF(F104="",INDEX('Chart of Accounts'!$A$5:$A$3000,MATCH("bank",'Chart of Accounts'!$F$5:$F$3000,0)),F104&amp;"")</f>
        <v/>
      </c>
      <c r="L104" s="23">
        <f>IFERROR(INDEX('Chart of Accounts'!$C$5:$C$3000,MATCH(J104&amp;"",'Chart of Accounts'!$A$5:$A$3000,0))&amp;"|"&amp;INDEX('Chart of Accounts'!$D$5:$D$3000,MATCH(J104&amp;"",'Chart of Accounts'!$A$5:$A$3000,0)),"")</f>
        <v/>
      </c>
      <c r="M104" s="23">
        <f>IFERROR(INDEX('Chart of Accounts'!$C$5:$C$3000,MATCH(K104&amp;"",'Chart of Accounts'!$A$5:$A$3000,0))&amp;"|"&amp;INDEX('Chart of Accounts'!$D$5:$D$3000,MATCH(K104&amp;"",'Chart of Accounts'!$A$5:$A$3000,0)),"")</f>
        <v/>
      </c>
      <c r="N104" s="23">
        <f>IF(LEFT(L104,8)="Revenue|",-N(D104),0)+IF(LEFT(M104,8)="Revenue|",N(D104),0)</f>
        <v/>
      </c>
      <c r="O104" s="23">
        <f>IF(LEFT(L104,5)="COGS|",N(D104),0)+IF(LEFT(M104,5)="COGS|",-N(D104),0)</f>
        <v/>
      </c>
      <c r="P104" s="23">
        <f>IF(LEFT(L104,8)="Expense|",N(D104),0)+IF(LEFT(M104,8)="Expense|",-N(D104),0)</f>
        <v/>
      </c>
      <c r="Q104" s="23">
        <f>IF(ISNUMBER(MATCH(L104,{"Expense|employee","Expense|general_admin","Expense|marketing","Expense|utilities","Expense|other_operating"},0)),N(D104),0)+IF(ISNUMBER(MATCH(M104,{"Expense|employee","Expense|general_admin","Expense|marketing","Expense|utilities","Expense|other_operating"},0)),-N(D104),0)</f>
        <v/>
      </c>
      <c r="R104" s="23">
        <f>IF(L104="Liability|payable",-N(D104),0)+IF(M104="Liability|payable",N(D104),0)</f>
        <v/>
      </c>
      <c r="S104" s="23">
        <f>IF(L104="Liability|accrued",-N(D104),0)+IF(M104="Liability|accrued",N(D104),0)</f>
        <v/>
      </c>
      <c r="T104" s="23">
        <f>IF(AND(N(D104)&lt;&gt;0,L104=""),1,0)+IF(AND(N(D104)&lt;&gt;0,M104=""),1,0)</f>
        <v/>
      </c>
    </row>
    <row r="105">
      <c r="A105" s="19" t="n"/>
      <c r="B105" s="14" t="n"/>
      <c r="C105" s="14" t="n"/>
      <c r="D105" s="20" t="n"/>
      <c r="E105" s="14" t="n"/>
      <c r="F105" s="14" t="n"/>
      <c r="G105" s="14" t="n"/>
      <c r="H105" s="14" t="n"/>
      <c r="I105" s="14" t="n"/>
      <c r="J105" s="16">
        <f>IF(C105="",INDEX('Chart of Accounts'!$A$5:$A$3000,MATCH("ap",'Chart of Accounts'!$F$5:$F$3000,0)),C105&amp;"")</f>
        <v/>
      </c>
      <c r="K105" s="16">
        <f>IF(F105="",INDEX('Chart of Accounts'!$A$5:$A$3000,MATCH("bank",'Chart of Accounts'!$F$5:$F$3000,0)),F105&amp;"")</f>
        <v/>
      </c>
      <c r="L105" s="23">
        <f>IFERROR(INDEX('Chart of Accounts'!$C$5:$C$3000,MATCH(J105&amp;"",'Chart of Accounts'!$A$5:$A$3000,0))&amp;"|"&amp;INDEX('Chart of Accounts'!$D$5:$D$3000,MATCH(J105&amp;"",'Chart of Accounts'!$A$5:$A$3000,0)),"")</f>
        <v/>
      </c>
      <c r="M105" s="23">
        <f>IFERROR(INDEX('Chart of Accounts'!$C$5:$C$3000,MATCH(K105&amp;"",'Chart of Accounts'!$A$5:$A$3000,0))&amp;"|"&amp;INDEX('Chart of Accounts'!$D$5:$D$3000,MATCH(K105&amp;"",'Chart of Accounts'!$A$5:$A$3000,0)),"")</f>
        <v/>
      </c>
      <c r="N105" s="23">
        <f>IF(LEFT(L105,8)="Revenue|",-N(D105),0)+IF(LEFT(M105,8)="Revenue|",N(D105),0)</f>
        <v/>
      </c>
      <c r="O105" s="23">
        <f>IF(LEFT(L105,5)="COGS|",N(D105),0)+IF(LEFT(M105,5)="COGS|",-N(D105),0)</f>
        <v/>
      </c>
      <c r="P105" s="23">
        <f>IF(LEFT(L105,8)="Expense|",N(D105),0)+IF(LEFT(M105,8)="Expense|",-N(D105),0)</f>
        <v/>
      </c>
      <c r="Q105" s="23">
        <f>IF(ISNUMBER(MATCH(L105,{"Expense|employee","Expense|general_admin","Expense|marketing","Expense|utilities","Expense|other_operating"},0)),N(D105),0)+IF(ISNUMBER(MATCH(M105,{"Expense|employee","Expense|general_admin","Expense|marketing","Expense|utilities","Expense|other_operating"},0)),-N(D105),0)</f>
        <v/>
      </c>
      <c r="R105" s="23">
        <f>IF(L105="Liability|payable",-N(D105),0)+IF(M105="Liability|payable",N(D105),0)</f>
        <v/>
      </c>
      <c r="S105" s="23">
        <f>IF(L105="Liability|accrued",-N(D105),0)+IF(M105="Liability|accrued",N(D105),0)</f>
        <v/>
      </c>
      <c r="T105" s="23">
        <f>IF(AND(N(D105)&lt;&gt;0,L105=""),1,0)+IF(AND(N(D105)&lt;&gt;0,M105=""),1,0)</f>
        <v/>
      </c>
    </row>
    <row r="106">
      <c r="A106" s="19" t="n"/>
      <c r="B106" s="14" t="n"/>
      <c r="C106" s="14" t="n"/>
      <c r="D106" s="20" t="n"/>
      <c r="E106" s="14" t="n"/>
      <c r="F106" s="14" t="n"/>
      <c r="G106" s="14" t="n"/>
      <c r="H106" s="14" t="n"/>
      <c r="I106" s="14" t="n"/>
      <c r="J106" s="16">
        <f>IF(C106="",INDEX('Chart of Accounts'!$A$5:$A$3000,MATCH("ap",'Chart of Accounts'!$F$5:$F$3000,0)),C106&amp;"")</f>
        <v/>
      </c>
      <c r="K106" s="16">
        <f>IF(F106="",INDEX('Chart of Accounts'!$A$5:$A$3000,MATCH("bank",'Chart of Accounts'!$F$5:$F$3000,0)),F106&amp;"")</f>
        <v/>
      </c>
      <c r="L106" s="23">
        <f>IFERROR(INDEX('Chart of Accounts'!$C$5:$C$3000,MATCH(J106&amp;"",'Chart of Accounts'!$A$5:$A$3000,0))&amp;"|"&amp;INDEX('Chart of Accounts'!$D$5:$D$3000,MATCH(J106&amp;"",'Chart of Accounts'!$A$5:$A$3000,0)),"")</f>
        <v/>
      </c>
      <c r="M106" s="23">
        <f>IFERROR(INDEX('Chart of Accounts'!$C$5:$C$3000,MATCH(K106&amp;"",'Chart of Accounts'!$A$5:$A$3000,0))&amp;"|"&amp;INDEX('Chart of Accounts'!$D$5:$D$3000,MATCH(K106&amp;"",'Chart of Accounts'!$A$5:$A$3000,0)),"")</f>
        <v/>
      </c>
      <c r="N106" s="23">
        <f>IF(LEFT(L106,8)="Revenue|",-N(D106),0)+IF(LEFT(M106,8)="Revenue|",N(D106),0)</f>
        <v/>
      </c>
      <c r="O106" s="23">
        <f>IF(LEFT(L106,5)="COGS|",N(D106),0)+IF(LEFT(M106,5)="COGS|",-N(D106),0)</f>
        <v/>
      </c>
      <c r="P106" s="23">
        <f>IF(LEFT(L106,8)="Expense|",N(D106),0)+IF(LEFT(M106,8)="Expense|",-N(D106),0)</f>
        <v/>
      </c>
      <c r="Q106" s="23">
        <f>IF(ISNUMBER(MATCH(L106,{"Expense|employee","Expense|general_admin","Expense|marketing","Expense|utilities","Expense|other_operating"},0)),N(D106),0)+IF(ISNUMBER(MATCH(M106,{"Expense|employee","Expense|general_admin","Expense|marketing","Expense|utilities","Expense|other_operating"},0)),-N(D106),0)</f>
        <v/>
      </c>
      <c r="R106" s="23">
        <f>IF(L106="Liability|payable",-N(D106),0)+IF(M106="Liability|payable",N(D106),0)</f>
        <v/>
      </c>
      <c r="S106" s="23">
        <f>IF(L106="Liability|accrued",-N(D106),0)+IF(M106="Liability|accrued",N(D106),0)</f>
        <v/>
      </c>
      <c r="T106" s="23">
        <f>IF(AND(N(D106)&lt;&gt;0,L106=""),1,0)+IF(AND(N(D106)&lt;&gt;0,M106=""),1,0)</f>
        <v/>
      </c>
    </row>
    <row r="107">
      <c r="A107" s="19" t="n"/>
      <c r="B107" s="14" t="n"/>
      <c r="C107" s="14" t="n"/>
      <c r="D107" s="20" t="n"/>
      <c r="E107" s="14" t="n"/>
      <c r="F107" s="14" t="n"/>
      <c r="G107" s="14" t="n"/>
      <c r="H107" s="14" t="n"/>
      <c r="I107" s="14" t="n"/>
      <c r="J107" s="16">
        <f>IF(C107="",INDEX('Chart of Accounts'!$A$5:$A$3000,MATCH("ap",'Chart of Accounts'!$F$5:$F$3000,0)),C107&amp;"")</f>
        <v/>
      </c>
      <c r="K107" s="16">
        <f>IF(F107="",INDEX('Chart of Accounts'!$A$5:$A$3000,MATCH("bank",'Chart of Accounts'!$F$5:$F$3000,0)),F107&amp;"")</f>
        <v/>
      </c>
      <c r="L107" s="23">
        <f>IFERROR(INDEX('Chart of Accounts'!$C$5:$C$3000,MATCH(J107&amp;"",'Chart of Accounts'!$A$5:$A$3000,0))&amp;"|"&amp;INDEX('Chart of Accounts'!$D$5:$D$3000,MATCH(J107&amp;"",'Chart of Accounts'!$A$5:$A$3000,0)),"")</f>
        <v/>
      </c>
      <c r="M107" s="23">
        <f>IFERROR(INDEX('Chart of Accounts'!$C$5:$C$3000,MATCH(K107&amp;"",'Chart of Accounts'!$A$5:$A$3000,0))&amp;"|"&amp;INDEX('Chart of Accounts'!$D$5:$D$3000,MATCH(K107&amp;"",'Chart of Accounts'!$A$5:$A$3000,0)),"")</f>
        <v/>
      </c>
      <c r="N107" s="23">
        <f>IF(LEFT(L107,8)="Revenue|",-N(D107),0)+IF(LEFT(M107,8)="Revenue|",N(D107),0)</f>
        <v/>
      </c>
      <c r="O107" s="23">
        <f>IF(LEFT(L107,5)="COGS|",N(D107),0)+IF(LEFT(M107,5)="COGS|",-N(D107),0)</f>
        <v/>
      </c>
      <c r="P107" s="23">
        <f>IF(LEFT(L107,8)="Expense|",N(D107),0)+IF(LEFT(M107,8)="Expense|",-N(D107),0)</f>
        <v/>
      </c>
      <c r="Q107" s="23">
        <f>IF(ISNUMBER(MATCH(L107,{"Expense|employee","Expense|general_admin","Expense|marketing","Expense|utilities","Expense|other_operating"},0)),N(D107),0)+IF(ISNUMBER(MATCH(M107,{"Expense|employee","Expense|general_admin","Expense|marketing","Expense|utilities","Expense|other_operating"},0)),-N(D107),0)</f>
        <v/>
      </c>
      <c r="R107" s="23">
        <f>IF(L107="Liability|payable",-N(D107),0)+IF(M107="Liability|payable",N(D107),0)</f>
        <v/>
      </c>
      <c r="S107" s="23">
        <f>IF(L107="Liability|accrued",-N(D107),0)+IF(M107="Liability|accrued",N(D107),0)</f>
        <v/>
      </c>
      <c r="T107" s="23">
        <f>IF(AND(N(D107)&lt;&gt;0,L107=""),1,0)+IF(AND(N(D107)&lt;&gt;0,M107=""),1,0)</f>
        <v/>
      </c>
    </row>
    <row r="108">
      <c r="A108" s="19" t="n"/>
      <c r="B108" s="14" t="n"/>
      <c r="C108" s="14" t="n"/>
      <c r="D108" s="20" t="n"/>
      <c r="E108" s="14" t="n"/>
      <c r="F108" s="14" t="n"/>
      <c r="G108" s="14" t="n"/>
      <c r="H108" s="14" t="n"/>
      <c r="I108" s="14" t="n"/>
      <c r="J108" s="16">
        <f>IF(C108="",INDEX('Chart of Accounts'!$A$5:$A$3000,MATCH("ap",'Chart of Accounts'!$F$5:$F$3000,0)),C108&amp;"")</f>
        <v/>
      </c>
      <c r="K108" s="16">
        <f>IF(F108="",INDEX('Chart of Accounts'!$A$5:$A$3000,MATCH("bank",'Chart of Accounts'!$F$5:$F$3000,0)),F108&amp;"")</f>
        <v/>
      </c>
      <c r="L108" s="23">
        <f>IFERROR(INDEX('Chart of Accounts'!$C$5:$C$3000,MATCH(J108&amp;"",'Chart of Accounts'!$A$5:$A$3000,0))&amp;"|"&amp;INDEX('Chart of Accounts'!$D$5:$D$3000,MATCH(J108&amp;"",'Chart of Accounts'!$A$5:$A$3000,0)),"")</f>
        <v/>
      </c>
      <c r="M108" s="23">
        <f>IFERROR(INDEX('Chart of Accounts'!$C$5:$C$3000,MATCH(K108&amp;"",'Chart of Accounts'!$A$5:$A$3000,0))&amp;"|"&amp;INDEX('Chart of Accounts'!$D$5:$D$3000,MATCH(K108&amp;"",'Chart of Accounts'!$A$5:$A$3000,0)),"")</f>
        <v/>
      </c>
      <c r="N108" s="23">
        <f>IF(LEFT(L108,8)="Revenue|",-N(D108),0)+IF(LEFT(M108,8)="Revenue|",N(D108),0)</f>
        <v/>
      </c>
      <c r="O108" s="23">
        <f>IF(LEFT(L108,5)="COGS|",N(D108),0)+IF(LEFT(M108,5)="COGS|",-N(D108),0)</f>
        <v/>
      </c>
      <c r="P108" s="23">
        <f>IF(LEFT(L108,8)="Expense|",N(D108),0)+IF(LEFT(M108,8)="Expense|",-N(D108),0)</f>
        <v/>
      </c>
      <c r="Q108" s="23">
        <f>IF(ISNUMBER(MATCH(L108,{"Expense|employee","Expense|general_admin","Expense|marketing","Expense|utilities","Expense|other_operating"},0)),N(D108),0)+IF(ISNUMBER(MATCH(M108,{"Expense|employee","Expense|general_admin","Expense|marketing","Expense|utilities","Expense|other_operating"},0)),-N(D108),0)</f>
        <v/>
      </c>
      <c r="R108" s="23">
        <f>IF(L108="Liability|payable",-N(D108),0)+IF(M108="Liability|payable",N(D108),0)</f>
        <v/>
      </c>
      <c r="S108" s="23">
        <f>IF(L108="Liability|accrued",-N(D108),0)+IF(M108="Liability|accrued",N(D108),0)</f>
        <v/>
      </c>
      <c r="T108" s="23">
        <f>IF(AND(N(D108)&lt;&gt;0,L108=""),1,0)+IF(AND(N(D108)&lt;&gt;0,M108=""),1,0)</f>
        <v/>
      </c>
    </row>
    <row r="109">
      <c r="A109" s="19" t="n"/>
      <c r="B109" s="14" t="n"/>
      <c r="C109" s="14" t="n"/>
      <c r="D109" s="20" t="n"/>
      <c r="E109" s="14" t="n"/>
      <c r="F109" s="14" t="n"/>
      <c r="G109" s="14" t="n"/>
      <c r="H109" s="14" t="n"/>
      <c r="I109" s="14" t="n"/>
      <c r="J109" s="16">
        <f>IF(C109="",INDEX('Chart of Accounts'!$A$5:$A$3000,MATCH("ap",'Chart of Accounts'!$F$5:$F$3000,0)),C109&amp;"")</f>
        <v/>
      </c>
      <c r="K109" s="16">
        <f>IF(F109="",INDEX('Chart of Accounts'!$A$5:$A$3000,MATCH("bank",'Chart of Accounts'!$F$5:$F$3000,0)),F109&amp;"")</f>
        <v/>
      </c>
      <c r="L109" s="23">
        <f>IFERROR(INDEX('Chart of Accounts'!$C$5:$C$3000,MATCH(J109&amp;"",'Chart of Accounts'!$A$5:$A$3000,0))&amp;"|"&amp;INDEX('Chart of Accounts'!$D$5:$D$3000,MATCH(J109&amp;"",'Chart of Accounts'!$A$5:$A$3000,0)),"")</f>
        <v/>
      </c>
      <c r="M109" s="23">
        <f>IFERROR(INDEX('Chart of Accounts'!$C$5:$C$3000,MATCH(K109&amp;"",'Chart of Accounts'!$A$5:$A$3000,0))&amp;"|"&amp;INDEX('Chart of Accounts'!$D$5:$D$3000,MATCH(K109&amp;"",'Chart of Accounts'!$A$5:$A$3000,0)),"")</f>
        <v/>
      </c>
      <c r="N109" s="23">
        <f>IF(LEFT(L109,8)="Revenue|",-N(D109),0)+IF(LEFT(M109,8)="Revenue|",N(D109),0)</f>
        <v/>
      </c>
      <c r="O109" s="23">
        <f>IF(LEFT(L109,5)="COGS|",N(D109),0)+IF(LEFT(M109,5)="COGS|",-N(D109),0)</f>
        <v/>
      </c>
      <c r="P109" s="23">
        <f>IF(LEFT(L109,8)="Expense|",N(D109),0)+IF(LEFT(M109,8)="Expense|",-N(D109),0)</f>
        <v/>
      </c>
      <c r="Q109" s="23">
        <f>IF(ISNUMBER(MATCH(L109,{"Expense|employee","Expense|general_admin","Expense|marketing","Expense|utilities","Expense|other_operating"},0)),N(D109),0)+IF(ISNUMBER(MATCH(M109,{"Expense|employee","Expense|general_admin","Expense|marketing","Expense|utilities","Expense|other_operating"},0)),-N(D109),0)</f>
        <v/>
      </c>
      <c r="R109" s="23">
        <f>IF(L109="Liability|payable",-N(D109),0)+IF(M109="Liability|payable",N(D109),0)</f>
        <v/>
      </c>
      <c r="S109" s="23">
        <f>IF(L109="Liability|accrued",-N(D109),0)+IF(M109="Liability|accrued",N(D109),0)</f>
        <v/>
      </c>
      <c r="T109" s="23">
        <f>IF(AND(N(D109)&lt;&gt;0,L109=""),1,0)+IF(AND(N(D109)&lt;&gt;0,M109=""),1,0)</f>
        <v/>
      </c>
    </row>
    <row r="110">
      <c r="A110" s="19" t="n"/>
      <c r="B110" s="14" t="n"/>
      <c r="C110" s="14" t="n"/>
      <c r="D110" s="20" t="n"/>
      <c r="E110" s="14" t="n"/>
      <c r="F110" s="14" t="n"/>
      <c r="G110" s="14" t="n"/>
      <c r="H110" s="14" t="n"/>
      <c r="I110" s="14" t="n"/>
      <c r="J110" s="16">
        <f>IF(C110="",INDEX('Chart of Accounts'!$A$5:$A$3000,MATCH("ap",'Chart of Accounts'!$F$5:$F$3000,0)),C110&amp;"")</f>
        <v/>
      </c>
      <c r="K110" s="16">
        <f>IF(F110="",INDEX('Chart of Accounts'!$A$5:$A$3000,MATCH("bank",'Chart of Accounts'!$F$5:$F$3000,0)),F110&amp;"")</f>
        <v/>
      </c>
      <c r="L110" s="23">
        <f>IFERROR(INDEX('Chart of Accounts'!$C$5:$C$3000,MATCH(J110&amp;"",'Chart of Accounts'!$A$5:$A$3000,0))&amp;"|"&amp;INDEX('Chart of Accounts'!$D$5:$D$3000,MATCH(J110&amp;"",'Chart of Accounts'!$A$5:$A$3000,0)),"")</f>
        <v/>
      </c>
      <c r="M110" s="23">
        <f>IFERROR(INDEX('Chart of Accounts'!$C$5:$C$3000,MATCH(K110&amp;"",'Chart of Accounts'!$A$5:$A$3000,0))&amp;"|"&amp;INDEX('Chart of Accounts'!$D$5:$D$3000,MATCH(K110&amp;"",'Chart of Accounts'!$A$5:$A$3000,0)),"")</f>
        <v/>
      </c>
      <c r="N110" s="23">
        <f>IF(LEFT(L110,8)="Revenue|",-N(D110),0)+IF(LEFT(M110,8)="Revenue|",N(D110),0)</f>
        <v/>
      </c>
      <c r="O110" s="23">
        <f>IF(LEFT(L110,5)="COGS|",N(D110),0)+IF(LEFT(M110,5)="COGS|",-N(D110),0)</f>
        <v/>
      </c>
      <c r="P110" s="23">
        <f>IF(LEFT(L110,8)="Expense|",N(D110),0)+IF(LEFT(M110,8)="Expense|",-N(D110),0)</f>
        <v/>
      </c>
      <c r="Q110" s="23">
        <f>IF(ISNUMBER(MATCH(L110,{"Expense|employee","Expense|general_admin","Expense|marketing","Expense|utilities","Expense|other_operating"},0)),N(D110),0)+IF(ISNUMBER(MATCH(M110,{"Expense|employee","Expense|general_admin","Expense|marketing","Expense|utilities","Expense|other_operating"},0)),-N(D110),0)</f>
        <v/>
      </c>
      <c r="R110" s="23">
        <f>IF(L110="Liability|payable",-N(D110),0)+IF(M110="Liability|payable",N(D110),0)</f>
        <v/>
      </c>
      <c r="S110" s="23">
        <f>IF(L110="Liability|accrued",-N(D110),0)+IF(M110="Liability|accrued",N(D110),0)</f>
        <v/>
      </c>
      <c r="T110" s="23">
        <f>IF(AND(N(D110)&lt;&gt;0,L110=""),1,0)+IF(AND(N(D110)&lt;&gt;0,M110=""),1,0)</f>
        <v/>
      </c>
    </row>
    <row r="111">
      <c r="A111" s="19" t="n"/>
      <c r="B111" s="14" t="n"/>
      <c r="C111" s="14" t="n"/>
      <c r="D111" s="20" t="n"/>
      <c r="E111" s="14" t="n"/>
      <c r="F111" s="14" t="n"/>
      <c r="G111" s="14" t="n"/>
      <c r="H111" s="14" t="n"/>
      <c r="I111" s="14" t="n"/>
      <c r="J111" s="16">
        <f>IF(C111="",INDEX('Chart of Accounts'!$A$5:$A$3000,MATCH("ap",'Chart of Accounts'!$F$5:$F$3000,0)),C111&amp;"")</f>
        <v/>
      </c>
      <c r="K111" s="16">
        <f>IF(F111="",INDEX('Chart of Accounts'!$A$5:$A$3000,MATCH("bank",'Chart of Accounts'!$F$5:$F$3000,0)),F111&amp;"")</f>
        <v/>
      </c>
      <c r="L111" s="23">
        <f>IFERROR(INDEX('Chart of Accounts'!$C$5:$C$3000,MATCH(J111&amp;"",'Chart of Accounts'!$A$5:$A$3000,0))&amp;"|"&amp;INDEX('Chart of Accounts'!$D$5:$D$3000,MATCH(J111&amp;"",'Chart of Accounts'!$A$5:$A$3000,0)),"")</f>
        <v/>
      </c>
      <c r="M111" s="23">
        <f>IFERROR(INDEX('Chart of Accounts'!$C$5:$C$3000,MATCH(K111&amp;"",'Chart of Accounts'!$A$5:$A$3000,0))&amp;"|"&amp;INDEX('Chart of Accounts'!$D$5:$D$3000,MATCH(K111&amp;"",'Chart of Accounts'!$A$5:$A$3000,0)),"")</f>
        <v/>
      </c>
      <c r="N111" s="23">
        <f>IF(LEFT(L111,8)="Revenue|",-N(D111),0)+IF(LEFT(M111,8)="Revenue|",N(D111),0)</f>
        <v/>
      </c>
      <c r="O111" s="23">
        <f>IF(LEFT(L111,5)="COGS|",N(D111),0)+IF(LEFT(M111,5)="COGS|",-N(D111),0)</f>
        <v/>
      </c>
      <c r="P111" s="23">
        <f>IF(LEFT(L111,8)="Expense|",N(D111),0)+IF(LEFT(M111,8)="Expense|",-N(D111),0)</f>
        <v/>
      </c>
      <c r="Q111" s="23">
        <f>IF(ISNUMBER(MATCH(L111,{"Expense|employee","Expense|general_admin","Expense|marketing","Expense|utilities","Expense|other_operating"},0)),N(D111),0)+IF(ISNUMBER(MATCH(M111,{"Expense|employee","Expense|general_admin","Expense|marketing","Expense|utilities","Expense|other_operating"},0)),-N(D111),0)</f>
        <v/>
      </c>
      <c r="R111" s="23">
        <f>IF(L111="Liability|payable",-N(D111),0)+IF(M111="Liability|payable",N(D111),0)</f>
        <v/>
      </c>
      <c r="S111" s="23">
        <f>IF(L111="Liability|accrued",-N(D111),0)+IF(M111="Liability|accrued",N(D111),0)</f>
        <v/>
      </c>
      <c r="T111" s="23">
        <f>IF(AND(N(D111)&lt;&gt;0,L111=""),1,0)+IF(AND(N(D111)&lt;&gt;0,M111=""),1,0)</f>
        <v/>
      </c>
    </row>
    <row r="112">
      <c r="A112" s="19" t="n"/>
      <c r="B112" s="14" t="n"/>
      <c r="C112" s="14" t="n"/>
      <c r="D112" s="20" t="n"/>
      <c r="E112" s="14" t="n"/>
      <c r="F112" s="14" t="n"/>
      <c r="G112" s="14" t="n"/>
      <c r="H112" s="14" t="n"/>
      <c r="I112" s="14" t="n"/>
      <c r="J112" s="16">
        <f>IF(C112="",INDEX('Chart of Accounts'!$A$5:$A$3000,MATCH("ap",'Chart of Accounts'!$F$5:$F$3000,0)),C112&amp;"")</f>
        <v/>
      </c>
      <c r="K112" s="16">
        <f>IF(F112="",INDEX('Chart of Accounts'!$A$5:$A$3000,MATCH("bank",'Chart of Accounts'!$F$5:$F$3000,0)),F112&amp;"")</f>
        <v/>
      </c>
      <c r="L112" s="23">
        <f>IFERROR(INDEX('Chart of Accounts'!$C$5:$C$3000,MATCH(J112&amp;"",'Chart of Accounts'!$A$5:$A$3000,0))&amp;"|"&amp;INDEX('Chart of Accounts'!$D$5:$D$3000,MATCH(J112&amp;"",'Chart of Accounts'!$A$5:$A$3000,0)),"")</f>
        <v/>
      </c>
      <c r="M112" s="23">
        <f>IFERROR(INDEX('Chart of Accounts'!$C$5:$C$3000,MATCH(K112&amp;"",'Chart of Accounts'!$A$5:$A$3000,0))&amp;"|"&amp;INDEX('Chart of Accounts'!$D$5:$D$3000,MATCH(K112&amp;"",'Chart of Accounts'!$A$5:$A$3000,0)),"")</f>
        <v/>
      </c>
      <c r="N112" s="23">
        <f>IF(LEFT(L112,8)="Revenue|",-N(D112),0)+IF(LEFT(M112,8)="Revenue|",N(D112),0)</f>
        <v/>
      </c>
      <c r="O112" s="23">
        <f>IF(LEFT(L112,5)="COGS|",N(D112),0)+IF(LEFT(M112,5)="COGS|",-N(D112),0)</f>
        <v/>
      </c>
      <c r="P112" s="23">
        <f>IF(LEFT(L112,8)="Expense|",N(D112),0)+IF(LEFT(M112,8)="Expense|",-N(D112),0)</f>
        <v/>
      </c>
      <c r="Q112" s="23">
        <f>IF(ISNUMBER(MATCH(L112,{"Expense|employee","Expense|general_admin","Expense|marketing","Expense|utilities","Expense|other_operating"},0)),N(D112),0)+IF(ISNUMBER(MATCH(M112,{"Expense|employee","Expense|general_admin","Expense|marketing","Expense|utilities","Expense|other_operating"},0)),-N(D112),0)</f>
        <v/>
      </c>
      <c r="R112" s="23">
        <f>IF(L112="Liability|payable",-N(D112),0)+IF(M112="Liability|payable",N(D112),0)</f>
        <v/>
      </c>
      <c r="S112" s="23">
        <f>IF(L112="Liability|accrued",-N(D112),0)+IF(M112="Liability|accrued",N(D112),0)</f>
        <v/>
      </c>
      <c r="T112" s="23">
        <f>IF(AND(N(D112)&lt;&gt;0,L112=""),1,0)+IF(AND(N(D112)&lt;&gt;0,M112=""),1,0)</f>
        <v/>
      </c>
    </row>
    <row r="113">
      <c r="A113" s="19" t="n"/>
      <c r="B113" s="14" t="n"/>
      <c r="C113" s="14" t="n"/>
      <c r="D113" s="20" t="n"/>
      <c r="E113" s="14" t="n"/>
      <c r="F113" s="14" t="n"/>
      <c r="G113" s="14" t="n"/>
      <c r="H113" s="14" t="n"/>
      <c r="I113" s="14" t="n"/>
      <c r="J113" s="16">
        <f>IF(C113="",INDEX('Chart of Accounts'!$A$5:$A$3000,MATCH("ap",'Chart of Accounts'!$F$5:$F$3000,0)),C113&amp;"")</f>
        <v/>
      </c>
      <c r="K113" s="16">
        <f>IF(F113="",INDEX('Chart of Accounts'!$A$5:$A$3000,MATCH("bank",'Chart of Accounts'!$F$5:$F$3000,0)),F113&amp;"")</f>
        <v/>
      </c>
      <c r="L113" s="23">
        <f>IFERROR(INDEX('Chart of Accounts'!$C$5:$C$3000,MATCH(J113&amp;"",'Chart of Accounts'!$A$5:$A$3000,0))&amp;"|"&amp;INDEX('Chart of Accounts'!$D$5:$D$3000,MATCH(J113&amp;"",'Chart of Accounts'!$A$5:$A$3000,0)),"")</f>
        <v/>
      </c>
      <c r="M113" s="23">
        <f>IFERROR(INDEX('Chart of Accounts'!$C$5:$C$3000,MATCH(K113&amp;"",'Chart of Accounts'!$A$5:$A$3000,0))&amp;"|"&amp;INDEX('Chart of Accounts'!$D$5:$D$3000,MATCH(K113&amp;"",'Chart of Accounts'!$A$5:$A$3000,0)),"")</f>
        <v/>
      </c>
      <c r="N113" s="23">
        <f>IF(LEFT(L113,8)="Revenue|",-N(D113),0)+IF(LEFT(M113,8)="Revenue|",N(D113),0)</f>
        <v/>
      </c>
      <c r="O113" s="23">
        <f>IF(LEFT(L113,5)="COGS|",N(D113),0)+IF(LEFT(M113,5)="COGS|",-N(D113),0)</f>
        <v/>
      </c>
      <c r="P113" s="23">
        <f>IF(LEFT(L113,8)="Expense|",N(D113),0)+IF(LEFT(M113,8)="Expense|",-N(D113),0)</f>
        <v/>
      </c>
      <c r="Q113" s="23">
        <f>IF(ISNUMBER(MATCH(L113,{"Expense|employee","Expense|general_admin","Expense|marketing","Expense|utilities","Expense|other_operating"},0)),N(D113),0)+IF(ISNUMBER(MATCH(M113,{"Expense|employee","Expense|general_admin","Expense|marketing","Expense|utilities","Expense|other_operating"},0)),-N(D113),0)</f>
        <v/>
      </c>
      <c r="R113" s="23">
        <f>IF(L113="Liability|payable",-N(D113),0)+IF(M113="Liability|payable",N(D113),0)</f>
        <v/>
      </c>
      <c r="S113" s="23">
        <f>IF(L113="Liability|accrued",-N(D113),0)+IF(M113="Liability|accrued",N(D113),0)</f>
        <v/>
      </c>
      <c r="T113" s="23">
        <f>IF(AND(N(D113)&lt;&gt;0,L113=""),1,0)+IF(AND(N(D113)&lt;&gt;0,M113=""),1,0)</f>
        <v/>
      </c>
    </row>
    <row r="114">
      <c r="A114" s="19" t="n"/>
      <c r="B114" s="14" t="n"/>
      <c r="C114" s="14" t="n"/>
      <c r="D114" s="20" t="n"/>
      <c r="E114" s="14" t="n"/>
      <c r="F114" s="14" t="n"/>
      <c r="G114" s="14" t="n"/>
      <c r="H114" s="14" t="n"/>
      <c r="I114" s="14" t="n"/>
      <c r="J114" s="16">
        <f>IF(C114="",INDEX('Chart of Accounts'!$A$5:$A$3000,MATCH("ap",'Chart of Accounts'!$F$5:$F$3000,0)),C114&amp;"")</f>
        <v/>
      </c>
      <c r="K114" s="16">
        <f>IF(F114="",INDEX('Chart of Accounts'!$A$5:$A$3000,MATCH("bank",'Chart of Accounts'!$F$5:$F$3000,0)),F114&amp;"")</f>
        <v/>
      </c>
      <c r="L114" s="23">
        <f>IFERROR(INDEX('Chart of Accounts'!$C$5:$C$3000,MATCH(J114&amp;"",'Chart of Accounts'!$A$5:$A$3000,0))&amp;"|"&amp;INDEX('Chart of Accounts'!$D$5:$D$3000,MATCH(J114&amp;"",'Chart of Accounts'!$A$5:$A$3000,0)),"")</f>
        <v/>
      </c>
      <c r="M114" s="23">
        <f>IFERROR(INDEX('Chart of Accounts'!$C$5:$C$3000,MATCH(K114&amp;"",'Chart of Accounts'!$A$5:$A$3000,0))&amp;"|"&amp;INDEX('Chart of Accounts'!$D$5:$D$3000,MATCH(K114&amp;"",'Chart of Accounts'!$A$5:$A$3000,0)),"")</f>
        <v/>
      </c>
      <c r="N114" s="23">
        <f>IF(LEFT(L114,8)="Revenue|",-N(D114),0)+IF(LEFT(M114,8)="Revenue|",N(D114),0)</f>
        <v/>
      </c>
      <c r="O114" s="23">
        <f>IF(LEFT(L114,5)="COGS|",N(D114),0)+IF(LEFT(M114,5)="COGS|",-N(D114),0)</f>
        <v/>
      </c>
      <c r="P114" s="23">
        <f>IF(LEFT(L114,8)="Expense|",N(D114),0)+IF(LEFT(M114,8)="Expense|",-N(D114),0)</f>
        <v/>
      </c>
      <c r="Q114" s="23">
        <f>IF(ISNUMBER(MATCH(L114,{"Expense|employee","Expense|general_admin","Expense|marketing","Expense|utilities","Expense|other_operating"},0)),N(D114),0)+IF(ISNUMBER(MATCH(M114,{"Expense|employee","Expense|general_admin","Expense|marketing","Expense|utilities","Expense|other_operating"},0)),-N(D114),0)</f>
        <v/>
      </c>
      <c r="R114" s="23">
        <f>IF(L114="Liability|payable",-N(D114),0)+IF(M114="Liability|payable",N(D114),0)</f>
        <v/>
      </c>
      <c r="S114" s="23">
        <f>IF(L114="Liability|accrued",-N(D114),0)+IF(M114="Liability|accrued",N(D114),0)</f>
        <v/>
      </c>
      <c r="T114" s="23">
        <f>IF(AND(N(D114)&lt;&gt;0,L114=""),1,0)+IF(AND(N(D114)&lt;&gt;0,M114=""),1,0)</f>
        <v/>
      </c>
    </row>
    <row r="115">
      <c r="A115" s="19" t="n"/>
      <c r="B115" s="14" t="n"/>
      <c r="C115" s="14" t="n"/>
      <c r="D115" s="20" t="n"/>
      <c r="E115" s="14" t="n"/>
      <c r="F115" s="14" t="n"/>
      <c r="G115" s="14" t="n"/>
      <c r="H115" s="14" t="n"/>
      <c r="I115" s="14" t="n"/>
      <c r="J115" s="16">
        <f>IF(C115="",INDEX('Chart of Accounts'!$A$5:$A$3000,MATCH("ap",'Chart of Accounts'!$F$5:$F$3000,0)),C115&amp;"")</f>
        <v/>
      </c>
      <c r="K115" s="16">
        <f>IF(F115="",INDEX('Chart of Accounts'!$A$5:$A$3000,MATCH("bank",'Chart of Accounts'!$F$5:$F$3000,0)),F115&amp;"")</f>
        <v/>
      </c>
      <c r="L115" s="23">
        <f>IFERROR(INDEX('Chart of Accounts'!$C$5:$C$3000,MATCH(J115&amp;"",'Chart of Accounts'!$A$5:$A$3000,0))&amp;"|"&amp;INDEX('Chart of Accounts'!$D$5:$D$3000,MATCH(J115&amp;"",'Chart of Accounts'!$A$5:$A$3000,0)),"")</f>
        <v/>
      </c>
      <c r="M115" s="23">
        <f>IFERROR(INDEX('Chart of Accounts'!$C$5:$C$3000,MATCH(K115&amp;"",'Chart of Accounts'!$A$5:$A$3000,0))&amp;"|"&amp;INDEX('Chart of Accounts'!$D$5:$D$3000,MATCH(K115&amp;"",'Chart of Accounts'!$A$5:$A$3000,0)),"")</f>
        <v/>
      </c>
      <c r="N115" s="23">
        <f>IF(LEFT(L115,8)="Revenue|",-N(D115),0)+IF(LEFT(M115,8)="Revenue|",N(D115),0)</f>
        <v/>
      </c>
      <c r="O115" s="23">
        <f>IF(LEFT(L115,5)="COGS|",N(D115),0)+IF(LEFT(M115,5)="COGS|",-N(D115),0)</f>
        <v/>
      </c>
      <c r="P115" s="23">
        <f>IF(LEFT(L115,8)="Expense|",N(D115),0)+IF(LEFT(M115,8)="Expense|",-N(D115),0)</f>
        <v/>
      </c>
      <c r="Q115" s="23">
        <f>IF(ISNUMBER(MATCH(L115,{"Expense|employee","Expense|general_admin","Expense|marketing","Expense|utilities","Expense|other_operating"},0)),N(D115),0)+IF(ISNUMBER(MATCH(M115,{"Expense|employee","Expense|general_admin","Expense|marketing","Expense|utilities","Expense|other_operating"},0)),-N(D115),0)</f>
        <v/>
      </c>
      <c r="R115" s="23">
        <f>IF(L115="Liability|payable",-N(D115),0)+IF(M115="Liability|payable",N(D115),0)</f>
        <v/>
      </c>
      <c r="S115" s="23">
        <f>IF(L115="Liability|accrued",-N(D115),0)+IF(M115="Liability|accrued",N(D115),0)</f>
        <v/>
      </c>
      <c r="T115" s="23">
        <f>IF(AND(N(D115)&lt;&gt;0,L115=""),1,0)+IF(AND(N(D115)&lt;&gt;0,M115=""),1,0)</f>
        <v/>
      </c>
    </row>
    <row r="116">
      <c r="A116" s="19" t="n"/>
      <c r="B116" s="14" t="n"/>
      <c r="C116" s="14" t="n"/>
      <c r="D116" s="20" t="n"/>
      <c r="E116" s="14" t="n"/>
      <c r="F116" s="14" t="n"/>
      <c r="G116" s="14" t="n"/>
      <c r="H116" s="14" t="n"/>
      <c r="I116" s="14" t="n"/>
      <c r="J116" s="16">
        <f>IF(C116="",INDEX('Chart of Accounts'!$A$5:$A$3000,MATCH("ap",'Chart of Accounts'!$F$5:$F$3000,0)),C116&amp;"")</f>
        <v/>
      </c>
      <c r="K116" s="16">
        <f>IF(F116="",INDEX('Chart of Accounts'!$A$5:$A$3000,MATCH("bank",'Chart of Accounts'!$F$5:$F$3000,0)),F116&amp;"")</f>
        <v/>
      </c>
      <c r="L116" s="23">
        <f>IFERROR(INDEX('Chart of Accounts'!$C$5:$C$3000,MATCH(J116&amp;"",'Chart of Accounts'!$A$5:$A$3000,0))&amp;"|"&amp;INDEX('Chart of Accounts'!$D$5:$D$3000,MATCH(J116&amp;"",'Chart of Accounts'!$A$5:$A$3000,0)),"")</f>
        <v/>
      </c>
      <c r="M116" s="23">
        <f>IFERROR(INDEX('Chart of Accounts'!$C$5:$C$3000,MATCH(K116&amp;"",'Chart of Accounts'!$A$5:$A$3000,0))&amp;"|"&amp;INDEX('Chart of Accounts'!$D$5:$D$3000,MATCH(K116&amp;"",'Chart of Accounts'!$A$5:$A$3000,0)),"")</f>
        <v/>
      </c>
      <c r="N116" s="23">
        <f>IF(LEFT(L116,8)="Revenue|",-N(D116),0)+IF(LEFT(M116,8)="Revenue|",N(D116),0)</f>
        <v/>
      </c>
      <c r="O116" s="23">
        <f>IF(LEFT(L116,5)="COGS|",N(D116),0)+IF(LEFT(M116,5)="COGS|",-N(D116),0)</f>
        <v/>
      </c>
      <c r="P116" s="23">
        <f>IF(LEFT(L116,8)="Expense|",N(D116),0)+IF(LEFT(M116,8)="Expense|",-N(D116),0)</f>
        <v/>
      </c>
      <c r="Q116" s="23">
        <f>IF(ISNUMBER(MATCH(L116,{"Expense|employee","Expense|general_admin","Expense|marketing","Expense|utilities","Expense|other_operating"},0)),N(D116),0)+IF(ISNUMBER(MATCH(M116,{"Expense|employee","Expense|general_admin","Expense|marketing","Expense|utilities","Expense|other_operating"},0)),-N(D116),0)</f>
        <v/>
      </c>
      <c r="R116" s="23">
        <f>IF(L116="Liability|payable",-N(D116),0)+IF(M116="Liability|payable",N(D116),0)</f>
        <v/>
      </c>
      <c r="S116" s="23">
        <f>IF(L116="Liability|accrued",-N(D116),0)+IF(M116="Liability|accrued",N(D116),0)</f>
        <v/>
      </c>
      <c r="T116" s="23">
        <f>IF(AND(N(D116)&lt;&gt;0,L116=""),1,0)+IF(AND(N(D116)&lt;&gt;0,M116=""),1,0)</f>
        <v/>
      </c>
    </row>
    <row r="117">
      <c r="A117" s="19" t="n"/>
      <c r="B117" s="14" t="n"/>
      <c r="C117" s="14" t="n"/>
      <c r="D117" s="20" t="n"/>
      <c r="E117" s="14" t="n"/>
      <c r="F117" s="14" t="n"/>
      <c r="G117" s="14" t="n"/>
      <c r="H117" s="14" t="n"/>
      <c r="I117" s="14" t="n"/>
      <c r="J117" s="16">
        <f>IF(C117="",INDEX('Chart of Accounts'!$A$5:$A$3000,MATCH("ap",'Chart of Accounts'!$F$5:$F$3000,0)),C117&amp;"")</f>
        <v/>
      </c>
      <c r="K117" s="16">
        <f>IF(F117="",INDEX('Chart of Accounts'!$A$5:$A$3000,MATCH("bank",'Chart of Accounts'!$F$5:$F$3000,0)),F117&amp;"")</f>
        <v/>
      </c>
      <c r="L117" s="23">
        <f>IFERROR(INDEX('Chart of Accounts'!$C$5:$C$3000,MATCH(J117&amp;"",'Chart of Accounts'!$A$5:$A$3000,0))&amp;"|"&amp;INDEX('Chart of Accounts'!$D$5:$D$3000,MATCH(J117&amp;"",'Chart of Accounts'!$A$5:$A$3000,0)),"")</f>
        <v/>
      </c>
      <c r="M117" s="23">
        <f>IFERROR(INDEX('Chart of Accounts'!$C$5:$C$3000,MATCH(K117&amp;"",'Chart of Accounts'!$A$5:$A$3000,0))&amp;"|"&amp;INDEX('Chart of Accounts'!$D$5:$D$3000,MATCH(K117&amp;"",'Chart of Accounts'!$A$5:$A$3000,0)),"")</f>
        <v/>
      </c>
      <c r="N117" s="23">
        <f>IF(LEFT(L117,8)="Revenue|",-N(D117),0)+IF(LEFT(M117,8)="Revenue|",N(D117),0)</f>
        <v/>
      </c>
      <c r="O117" s="23">
        <f>IF(LEFT(L117,5)="COGS|",N(D117),0)+IF(LEFT(M117,5)="COGS|",-N(D117),0)</f>
        <v/>
      </c>
      <c r="P117" s="23">
        <f>IF(LEFT(L117,8)="Expense|",N(D117),0)+IF(LEFT(M117,8)="Expense|",-N(D117),0)</f>
        <v/>
      </c>
      <c r="Q117" s="23">
        <f>IF(ISNUMBER(MATCH(L117,{"Expense|employee","Expense|general_admin","Expense|marketing","Expense|utilities","Expense|other_operating"},0)),N(D117),0)+IF(ISNUMBER(MATCH(M117,{"Expense|employee","Expense|general_admin","Expense|marketing","Expense|utilities","Expense|other_operating"},0)),-N(D117),0)</f>
        <v/>
      </c>
      <c r="R117" s="23">
        <f>IF(L117="Liability|payable",-N(D117),0)+IF(M117="Liability|payable",N(D117),0)</f>
        <v/>
      </c>
      <c r="S117" s="23">
        <f>IF(L117="Liability|accrued",-N(D117),0)+IF(M117="Liability|accrued",N(D117),0)</f>
        <v/>
      </c>
      <c r="T117" s="23">
        <f>IF(AND(N(D117)&lt;&gt;0,L117=""),1,0)+IF(AND(N(D117)&lt;&gt;0,M117=""),1,0)</f>
        <v/>
      </c>
    </row>
    <row r="118">
      <c r="A118" s="19" t="n"/>
      <c r="B118" s="14" t="n"/>
      <c r="C118" s="14" t="n"/>
      <c r="D118" s="20" t="n"/>
      <c r="E118" s="14" t="n"/>
      <c r="F118" s="14" t="n"/>
      <c r="G118" s="14" t="n"/>
      <c r="H118" s="14" t="n"/>
      <c r="I118" s="14" t="n"/>
      <c r="J118" s="16">
        <f>IF(C118="",INDEX('Chart of Accounts'!$A$5:$A$3000,MATCH("ap",'Chart of Accounts'!$F$5:$F$3000,0)),C118&amp;"")</f>
        <v/>
      </c>
      <c r="K118" s="16">
        <f>IF(F118="",INDEX('Chart of Accounts'!$A$5:$A$3000,MATCH("bank",'Chart of Accounts'!$F$5:$F$3000,0)),F118&amp;"")</f>
        <v/>
      </c>
      <c r="L118" s="23">
        <f>IFERROR(INDEX('Chart of Accounts'!$C$5:$C$3000,MATCH(J118&amp;"",'Chart of Accounts'!$A$5:$A$3000,0))&amp;"|"&amp;INDEX('Chart of Accounts'!$D$5:$D$3000,MATCH(J118&amp;"",'Chart of Accounts'!$A$5:$A$3000,0)),"")</f>
        <v/>
      </c>
      <c r="M118" s="23">
        <f>IFERROR(INDEX('Chart of Accounts'!$C$5:$C$3000,MATCH(K118&amp;"",'Chart of Accounts'!$A$5:$A$3000,0))&amp;"|"&amp;INDEX('Chart of Accounts'!$D$5:$D$3000,MATCH(K118&amp;"",'Chart of Accounts'!$A$5:$A$3000,0)),"")</f>
        <v/>
      </c>
      <c r="N118" s="23">
        <f>IF(LEFT(L118,8)="Revenue|",-N(D118),0)+IF(LEFT(M118,8)="Revenue|",N(D118),0)</f>
        <v/>
      </c>
      <c r="O118" s="23">
        <f>IF(LEFT(L118,5)="COGS|",N(D118),0)+IF(LEFT(M118,5)="COGS|",-N(D118),0)</f>
        <v/>
      </c>
      <c r="P118" s="23">
        <f>IF(LEFT(L118,8)="Expense|",N(D118),0)+IF(LEFT(M118,8)="Expense|",-N(D118),0)</f>
        <v/>
      </c>
      <c r="Q118" s="23">
        <f>IF(ISNUMBER(MATCH(L118,{"Expense|employee","Expense|general_admin","Expense|marketing","Expense|utilities","Expense|other_operating"},0)),N(D118),0)+IF(ISNUMBER(MATCH(M118,{"Expense|employee","Expense|general_admin","Expense|marketing","Expense|utilities","Expense|other_operating"},0)),-N(D118),0)</f>
        <v/>
      </c>
      <c r="R118" s="23">
        <f>IF(L118="Liability|payable",-N(D118),0)+IF(M118="Liability|payable",N(D118),0)</f>
        <v/>
      </c>
      <c r="S118" s="23">
        <f>IF(L118="Liability|accrued",-N(D118),0)+IF(M118="Liability|accrued",N(D118),0)</f>
        <v/>
      </c>
      <c r="T118" s="23">
        <f>IF(AND(N(D118)&lt;&gt;0,L118=""),1,0)+IF(AND(N(D118)&lt;&gt;0,M118=""),1,0)</f>
        <v/>
      </c>
    </row>
    <row r="119">
      <c r="A119" s="19" t="n"/>
      <c r="B119" s="14" t="n"/>
      <c r="C119" s="14" t="n"/>
      <c r="D119" s="20" t="n"/>
      <c r="E119" s="14" t="n"/>
      <c r="F119" s="14" t="n"/>
      <c r="G119" s="14" t="n"/>
      <c r="H119" s="14" t="n"/>
      <c r="I119" s="14" t="n"/>
      <c r="J119" s="16">
        <f>IF(C119="",INDEX('Chart of Accounts'!$A$5:$A$3000,MATCH("ap",'Chart of Accounts'!$F$5:$F$3000,0)),C119&amp;"")</f>
        <v/>
      </c>
      <c r="K119" s="16">
        <f>IF(F119="",INDEX('Chart of Accounts'!$A$5:$A$3000,MATCH("bank",'Chart of Accounts'!$F$5:$F$3000,0)),F119&amp;"")</f>
        <v/>
      </c>
      <c r="L119" s="23">
        <f>IFERROR(INDEX('Chart of Accounts'!$C$5:$C$3000,MATCH(J119&amp;"",'Chart of Accounts'!$A$5:$A$3000,0))&amp;"|"&amp;INDEX('Chart of Accounts'!$D$5:$D$3000,MATCH(J119&amp;"",'Chart of Accounts'!$A$5:$A$3000,0)),"")</f>
        <v/>
      </c>
      <c r="M119" s="23">
        <f>IFERROR(INDEX('Chart of Accounts'!$C$5:$C$3000,MATCH(K119&amp;"",'Chart of Accounts'!$A$5:$A$3000,0))&amp;"|"&amp;INDEX('Chart of Accounts'!$D$5:$D$3000,MATCH(K119&amp;"",'Chart of Accounts'!$A$5:$A$3000,0)),"")</f>
        <v/>
      </c>
      <c r="N119" s="23">
        <f>IF(LEFT(L119,8)="Revenue|",-N(D119),0)+IF(LEFT(M119,8)="Revenue|",N(D119),0)</f>
        <v/>
      </c>
      <c r="O119" s="23">
        <f>IF(LEFT(L119,5)="COGS|",N(D119),0)+IF(LEFT(M119,5)="COGS|",-N(D119),0)</f>
        <v/>
      </c>
      <c r="P119" s="23">
        <f>IF(LEFT(L119,8)="Expense|",N(D119),0)+IF(LEFT(M119,8)="Expense|",-N(D119),0)</f>
        <v/>
      </c>
      <c r="Q119" s="23">
        <f>IF(ISNUMBER(MATCH(L119,{"Expense|employee","Expense|general_admin","Expense|marketing","Expense|utilities","Expense|other_operating"},0)),N(D119),0)+IF(ISNUMBER(MATCH(M119,{"Expense|employee","Expense|general_admin","Expense|marketing","Expense|utilities","Expense|other_operating"},0)),-N(D119),0)</f>
        <v/>
      </c>
      <c r="R119" s="23">
        <f>IF(L119="Liability|payable",-N(D119),0)+IF(M119="Liability|payable",N(D119),0)</f>
        <v/>
      </c>
      <c r="S119" s="23">
        <f>IF(L119="Liability|accrued",-N(D119),0)+IF(M119="Liability|accrued",N(D119),0)</f>
        <v/>
      </c>
      <c r="T119" s="23">
        <f>IF(AND(N(D119)&lt;&gt;0,L119=""),1,0)+IF(AND(N(D119)&lt;&gt;0,M119=""),1,0)</f>
        <v/>
      </c>
    </row>
    <row r="120">
      <c r="A120" s="19" t="n"/>
      <c r="B120" s="14" t="n"/>
      <c r="C120" s="14" t="n"/>
      <c r="D120" s="20" t="n"/>
      <c r="E120" s="14" t="n"/>
      <c r="F120" s="14" t="n"/>
      <c r="G120" s="14" t="n"/>
      <c r="H120" s="14" t="n"/>
      <c r="I120" s="14" t="n"/>
      <c r="J120" s="16">
        <f>IF(C120="",INDEX('Chart of Accounts'!$A$5:$A$3000,MATCH("ap",'Chart of Accounts'!$F$5:$F$3000,0)),C120&amp;"")</f>
        <v/>
      </c>
      <c r="K120" s="16">
        <f>IF(F120="",INDEX('Chart of Accounts'!$A$5:$A$3000,MATCH("bank",'Chart of Accounts'!$F$5:$F$3000,0)),F120&amp;"")</f>
        <v/>
      </c>
      <c r="L120" s="23">
        <f>IFERROR(INDEX('Chart of Accounts'!$C$5:$C$3000,MATCH(J120&amp;"",'Chart of Accounts'!$A$5:$A$3000,0))&amp;"|"&amp;INDEX('Chart of Accounts'!$D$5:$D$3000,MATCH(J120&amp;"",'Chart of Accounts'!$A$5:$A$3000,0)),"")</f>
        <v/>
      </c>
      <c r="M120" s="23">
        <f>IFERROR(INDEX('Chart of Accounts'!$C$5:$C$3000,MATCH(K120&amp;"",'Chart of Accounts'!$A$5:$A$3000,0))&amp;"|"&amp;INDEX('Chart of Accounts'!$D$5:$D$3000,MATCH(K120&amp;"",'Chart of Accounts'!$A$5:$A$3000,0)),"")</f>
        <v/>
      </c>
      <c r="N120" s="23">
        <f>IF(LEFT(L120,8)="Revenue|",-N(D120),0)+IF(LEFT(M120,8)="Revenue|",N(D120),0)</f>
        <v/>
      </c>
      <c r="O120" s="23">
        <f>IF(LEFT(L120,5)="COGS|",N(D120),0)+IF(LEFT(M120,5)="COGS|",-N(D120),0)</f>
        <v/>
      </c>
      <c r="P120" s="23">
        <f>IF(LEFT(L120,8)="Expense|",N(D120),0)+IF(LEFT(M120,8)="Expense|",-N(D120),0)</f>
        <v/>
      </c>
      <c r="Q120" s="23">
        <f>IF(ISNUMBER(MATCH(L120,{"Expense|employee","Expense|general_admin","Expense|marketing","Expense|utilities","Expense|other_operating"},0)),N(D120),0)+IF(ISNUMBER(MATCH(M120,{"Expense|employee","Expense|general_admin","Expense|marketing","Expense|utilities","Expense|other_operating"},0)),-N(D120),0)</f>
        <v/>
      </c>
      <c r="R120" s="23">
        <f>IF(L120="Liability|payable",-N(D120),0)+IF(M120="Liability|payable",N(D120),0)</f>
        <v/>
      </c>
      <c r="S120" s="23">
        <f>IF(L120="Liability|accrued",-N(D120),0)+IF(M120="Liability|accrued",N(D120),0)</f>
        <v/>
      </c>
      <c r="T120" s="23">
        <f>IF(AND(N(D120)&lt;&gt;0,L120=""),1,0)+IF(AND(N(D120)&lt;&gt;0,M120=""),1,0)</f>
        <v/>
      </c>
    </row>
    <row r="121">
      <c r="A121" s="19" t="n"/>
      <c r="B121" s="14" t="n"/>
      <c r="C121" s="14" t="n"/>
      <c r="D121" s="20" t="n"/>
      <c r="E121" s="14" t="n"/>
      <c r="F121" s="14" t="n"/>
      <c r="G121" s="14" t="n"/>
      <c r="H121" s="14" t="n"/>
      <c r="I121" s="14" t="n"/>
      <c r="J121" s="16">
        <f>IF(C121="",INDEX('Chart of Accounts'!$A$5:$A$3000,MATCH("ap",'Chart of Accounts'!$F$5:$F$3000,0)),C121&amp;"")</f>
        <v/>
      </c>
      <c r="K121" s="16">
        <f>IF(F121="",INDEX('Chart of Accounts'!$A$5:$A$3000,MATCH("bank",'Chart of Accounts'!$F$5:$F$3000,0)),F121&amp;"")</f>
        <v/>
      </c>
      <c r="L121" s="23">
        <f>IFERROR(INDEX('Chart of Accounts'!$C$5:$C$3000,MATCH(J121&amp;"",'Chart of Accounts'!$A$5:$A$3000,0))&amp;"|"&amp;INDEX('Chart of Accounts'!$D$5:$D$3000,MATCH(J121&amp;"",'Chart of Accounts'!$A$5:$A$3000,0)),"")</f>
        <v/>
      </c>
      <c r="M121" s="23">
        <f>IFERROR(INDEX('Chart of Accounts'!$C$5:$C$3000,MATCH(K121&amp;"",'Chart of Accounts'!$A$5:$A$3000,0))&amp;"|"&amp;INDEX('Chart of Accounts'!$D$5:$D$3000,MATCH(K121&amp;"",'Chart of Accounts'!$A$5:$A$3000,0)),"")</f>
        <v/>
      </c>
      <c r="N121" s="23">
        <f>IF(LEFT(L121,8)="Revenue|",-N(D121),0)+IF(LEFT(M121,8)="Revenue|",N(D121),0)</f>
        <v/>
      </c>
      <c r="O121" s="23">
        <f>IF(LEFT(L121,5)="COGS|",N(D121),0)+IF(LEFT(M121,5)="COGS|",-N(D121),0)</f>
        <v/>
      </c>
      <c r="P121" s="23">
        <f>IF(LEFT(L121,8)="Expense|",N(D121),0)+IF(LEFT(M121,8)="Expense|",-N(D121),0)</f>
        <v/>
      </c>
      <c r="Q121" s="23">
        <f>IF(ISNUMBER(MATCH(L121,{"Expense|employee","Expense|general_admin","Expense|marketing","Expense|utilities","Expense|other_operating"},0)),N(D121),0)+IF(ISNUMBER(MATCH(M121,{"Expense|employee","Expense|general_admin","Expense|marketing","Expense|utilities","Expense|other_operating"},0)),-N(D121),0)</f>
        <v/>
      </c>
      <c r="R121" s="23">
        <f>IF(L121="Liability|payable",-N(D121),0)+IF(M121="Liability|payable",N(D121),0)</f>
        <v/>
      </c>
      <c r="S121" s="23">
        <f>IF(L121="Liability|accrued",-N(D121),0)+IF(M121="Liability|accrued",N(D121),0)</f>
        <v/>
      </c>
      <c r="T121" s="23">
        <f>IF(AND(N(D121)&lt;&gt;0,L121=""),1,0)+IF(AND(N(D121)&lt;&gt;0,M121=""),1,0)</f>
        <v/>
      </c>
    </row>
    <row r="122">
      <c r="A122" s="19" t="n"/>
      <c r="B122" s="14" t="n"/>
      <c r="C122" s="14" t="n"/>
      <c r="D122" s="20" t="n"/>
      <c r="E122" s="14" t="n"/>
      <c r="F122" s="14" t="n"/>
      <c r="G122" s="14" t="n"/>
      <c r="H122" s="14" t="n"/>
      <c r="I122" s="14" t="n"/>
      <c r="J122" s="16">
        <f>IF(C122="",INDEX('Chart of Accounts'!$A$5:$A$3000,MATCH("ap",'Chart of Accounts'!$F$5:$F$3000,0)),C122&amp;"")</f>
        <v/>
      </c>
      <c r="K122" s="16">
        <f>IF(F122="",INDEX('Chart of Accounts'!$A$5:$A$3000,MATCH("bank",'Chart of Accounts'!$F$5:$F$3000,0)),F122&amp;"")</f>
        <v/>
      </c>
      <c r="L122" s="23">
        <f>IFERROR(INDEX('Chart of Accounts'!$C$5:$C$3000,MATCH(J122&amp;"",'Chart of Accounts'!$A$5:$A$3000,0))&amp;"|"&amp;INDEX('Chart of Accounts'!$D$5:$D$3000,MATCH(J122&amp;"",'Chart of Accounts'!$A$5:$A$3000,0)),"")</f>
        <v/>
      </c>
      <c r="M122" s="23">
        <f>IFERROR(INDEX('Chart of Accounts'!$C$5:$C$3000,MATCH(K122&amp;"",'Chart of Accounts'!$A$5:$A$3000,0))&amp;"|"&amp;INDEX('Chart of Accounts'!$D$5:$D$3000,MATCH(K122&amp;"",'Chart of Accounts'!$A$5:$A$3000,0)),"")</f>
        <v/>
      </c>
      <c r="N122" s="23">
        <f>IF(LEFT(L122,8)="Revenue|",-N(D122),0)+IF(LEFT(M122,8)="Revenue|",N(D122),0)</f>
        <v/>
      </c>
      <c r="O122" s="23">
        <f>IF(LEFT(L122,5)="COGS|",N(D122),0)+IF(LEFT(M122,5)="COGS|",-N(D122),0)</f>
        <v/>
      </c>
      <c r="P122" s="23">
        <f>IF(LEFT(L122,8)="Expense|",N(D122),0)+IF(LEFT(M122,8)="Expense|",-N(D122),0)</f>
        <v/>
      </c>
      <c r="Q122" s="23">
        <f>IF(ISNUMBER(MATCH(L122,{"Expense|employee","Expense|general_admin","Expense|marketing","Expense|utilities","Expense|other_operating"},0)),N(D122),0)+IF(ISNUMBER(MATCH(M122,{"Expense|employee","Expense|general_admin","Expense|marketing","Expense|utilities","Expense|other_operating"},0)),-N(D122),0)</f>
        <v/>
      </c>
      <c r="R122" s="23">
        <f>IF(L122="Liability|payable",-N(D122),0)+IF(M122="Liability|payable",N(D122),0)</f>
        <v/>
      </c>
      <c r="S122" s="23">
        <f>IF(L122="Liability|accrued",-N(D122),0)+IF(M122="Liability|accrued",N(D122),0)</f>
        <v/>
      </c>
      <c r="T122" s="23">
        <f>IF(AND(N(D122)&lt;&gt;0,L122=""),1,0)+IF(AND(N(D122)&lt;&gt;0,M122=""),1,0)</f>
        <v/>
      </c>
    </row>
    <row r="123">
      <c r="A123" s="19" t="n"/>
      <c r="B123" s="14" t="n"/>
      <c r="C123" s="14" t="n"/>
      <c r="D123" s="20" t="n"/>
      <c r="E123" s="14" t="n"/>
      <c r="F123" s="14" t="n"/>
      <c r="G123" s="14" t="n"/>
      <c r="H123" s="14" t="n"/>
      <c r="I123" s="14" t="n"/>
      <c r="J123" s="16">
        <f>IF(C123="",INDEX('Chart of Accounts'!$A$5:$A$3000,MATCH("ap",'Chart of Accounts'!$F$5:$F$3000,0)),C123&amp;"")</f>
        <v/>
      </c>
      <c r="K123" s="16">
        <f>IF(F123="",INDEX('Chart of Accounts'!$A$5:$A$3000,MATCH("bank",'Chart of Accounts'!$F$5:$F$3000,0)),F123&amp;"")</f>
        <v/>
      </c>
      <c r="L123" s="23">
        <f>IFERROR(INDEX('Chart of Accounts'!$C$5:$C$3000,MATCH(J123&amp;"",'Chart of Accounts'!$A$5:$A$3000,0))&amp;"|"&amp;INDEX('Chart of Accounts'!$D$5:$D$3000,MATCH(J123&amp;"",'Chart of Accounts'!$A$5:$A$3000,0)),"")</f>
        <v/>
      </c>
      <c r="M123" s="23">
        <f>IFERROR(INDEX('Chart of Accounts'!$C$5:$C$3000,MATCH(K123&amp;"",'Chart of Accounts'!$A$5:$A$3000,0))&amp;"|"&amp;INDEX('Chart of Accounts'!$D$5:$D$3000,MATCH(K123&amp;"",'Chart of Accounts'!$A$5:$A$3000,0)),"")</f>
        <v/>
      </c>
      <c r="N123" s="23">
        <f>IF(LEFT(L123,8)="Revenue|",-N(D123),0)+IF(LEFT(M123,8)="Revenue|",N(D123),0)</f>
        <v/>
      </c>
      <c r="O123" s="23">
        <f>IF(LEFT(L123,5)="COGS|",N(D123),0)+IF(LEFT(M123,5)="COGS|",-N(D123),0)</f>
        <v/>
      </c>
      <c r="P123" s="23">
        <f>IF(LEFT(L123,8)="Expense|",N(D123),0)+IF(LEFT(M123,8)="Expense|",-N(D123),0)</f>
        <v/>
      </c>
      <c r="Q123" s="23">
        <f>IF(ISNUMBER(MATCH(L123,{"Expense|employee","Expense|general_admin","Expense|marketing","Expense|utilities","Expense|other_operating"},0)),N(D123),0)+IF(ISNUMBER(MATCH(M123,{"Expense|employee","Expense|general_admin","Expense|marketing","Expense|utilities","Expense|other_operating"},0)),-N(D123),0)</f>
        <v/>
      </c>
      <c r="R123" s="23">
        <f>IF(L123="Liability|payable",-N(D123),0)+IF(M123="Liability|payable",N(D123),0)</f>
        <v/>
      </c>
      <c r="S123" s="23">
        <f>IF(L123="Liability|accrued",-N(D123),0)+IF(M123="Liability|accrued",N(D123),0)</f>
        <v/>
      </c>
      <c r="T123" s="23">
        <f>IF(AND(N(D123)&lt;&gt;0,L123=""),1,0)+IF(AND(N(D123)&lt;&gt;0,M123=""),1,0)</f>
        <v/>
      </c>
    </row>
    <row r="124">
      <c r="A124" s="19" t="n"/>
      <c r="B124" s="14" t="n"/>
      <c r="C124" s="14" t="n"/>
      <c r="D124" s="20" t="n"/>
      <c r="E124" s="14" t="n"/>
      <c r="F124" s="14" t="n"/>
      <c r="G124" s="14" t="n"/>
      <c r="H124" s="14" t="n"/>
      <c r="I124" s="14" t="n"/>
      <c r="J124" s="16">
        <f>IF(C124="",INDEX('Chart of Accounts'!$A$5:$A$3000,MATCH("ap",'Chart of Accounts'!$F$5:$F$3000,0)),C124&amp;"")</f>
        <v/>
      </c>
      <c r="K124" s="16">
        <f>IF(F124="",INDEX('Chart of Accounts'!$A$5:$A$3000,MATCH("bank",'Chart of Accounts'!$F$5:$F$3000,0)),F124&amp;"")</f>
        <v/>
      </c>
      <c r="L124" s="23">
        <f>IFERROR(INDEX('Chart of Accounts'!$C$5:$C$3000,MATCH(J124&amp;"",'Chart of Accounts'!$A$5:$A$3000,0))&amp;"|"&amp;INDEX('Chart of Accounts'!$D$5:$D$3000,MATCH(J124&amp;"",'Chart of Accounts'!$A$5:$A$3000,0)),"")</f>
        <v/>
      </c>
      <c r="M124" s="23">
        <f>IFERROR(INDEX('Chart of Accounts'!$C$5:$C$3000,MATCH(K124&amp;"",'Chart of Accounts'!$A$5:$A$3000,0))&amp;"|"&amp;INDEX('Chart of Accounts'!$D$5:$D$3000,MATCH(K124&amp;"",'Chart of Accounts'!$A$5:$A$3000,0)),"")</f>
        <v/>
      </c>
      <c r="N124" s="23">
        <f>IF(LEFT(L124,8)="Revenue|",-N(D124),0)+IF(LEFT(M124,8)="Revenue|",N(D124),0)</f>
        <v/>
      </c>
      <c r="O124" s="23">
        <f>IF(LEFT(L124,5)="COGS|",N(D124),0)+IF(LEFT(M124,5)="COGS|",-N(D124),0)</f>
        <v/>
      </c>
      <c r="P124" s="23">
        <f>IF(LEFT(L124,8)="Expense|",N(D124),0)+IF(LEFT(M124,8)="Expense|",-N(D124),0)</f>
        <v/>
      </c>
      <c r="Q124" s="23">
        <f>IF(ISNUMBER(MATCH(L124,{"Expense|employee","Expense|general_admin","Expense|marketing","Expense|utilities","Expense|other_operating"},0)),N(D124),0)+IF(ISNUMBER(MATCH(M124,{"Expense|employee","Expense|general_admin","Expense|marketing","Expense|utilities","Expense|other_operating"},0)),-N(D124),0)</f>
        <v/>
      </c>
      <c r="R124" s="23">
        <f>IF(L124="Liability|payable",-N(D124),0)+IF(M124="Liability|payable",N(D124),0)</f>
        <v/>
      </c>
      <c r="S124" s="23">
        <f>IF(L124="Liability|accrued",-N(D124),0)+IF(M124="Liability|accrued",N(D124),0)</f>
        <v/>
      </c>
      <c r="T124" s="23">
        <f>IF(AND(N(D124)&lt;&gt;0,L124=""),1,0)+IF(AND(N(D124)&lt;&gt;0,M124=""),1,0)</f>
        <v/>
      </c>
    </row>
    <row r="125">
      <c r="A125" s="19" t="n"/>
      <c r="B125" s="14" t="n"/>
      <c r="C125" s="14" t="n"/>
      <c r="D125" s="20" t="n"/>
      <c r="E125" s="14" t="n"/>
      <c r="F125" s="14" t="n"/>
      <c r="G125" s="14" t="n"/>
      <c r="H125" s="14" t="n"/>
      <c r="I125" s="14" t="n"/>
      <c r="J125" s="16">
        <f>IF(C125="",INDEX('Chart of Accounts'!$A$5:$A$3000,MATCH("ap",'Chart of Accounts'!$F$5:$F$3000,0)),C125&amp;"")</f>
        <v/>
      </c>
      <c r="K125" s="16">
        <f>IF(F125="",INDEX('Chart of Accounts'!$A$5:$A$3000,MATCH("bank",'Chart of Accounts'!$F$5:$F$3000,0)),F125&amp;"")</f>
        <v/>
      </c>
      <c r="L125" s="23">
        <f>IFERROR(INDEX('Chart of Accounts'!$C$5:$C$3000,MATCH(J125&amp;"",'Chart of Accounts'!$A$5:$A$3000,0))&amp;"|"&amp;INDEX('Chart of Accounts'!$D$5:$D$3000,MATCH(J125&amp;"",'Chart of Accounts'!$A$5:$A$3000,0)),"")</f>
        <v/>
      </c>
      <c r="M125" s="23">
        <f>IFERROR(INDEX('Chart of Accounts'!$C$5:$C$3000,MATCH(K125&amp;"",'Chart of Accounts'!$A$5:$A$3000,0))&amp;"|"&amp;INDEX('Chart of Accounts'!$D$5:$D$3000,MATCH(K125&amp;"",'Chart of Accounts'!$A$5:$A$3000,0)),"")</f>
        <v/>
      </c>
      <c r="N125" s="23">
        <f>IF(LEFT(L125,8)="Revenue|",-N(D125),0)+IF(LEFT(M125,8)="Revenue|",N(D125),0)</f>
        <v/>
      </c>
      <c r="O125" s="23">
        <f>IF(LEFT(L125,5)="COGS|",N(D125),0)+IF(LEFT(M125,5)="COGS|",-N(D125),0)</f>
        <v/>
      </c>
      <c r="P125" s="23">
        <f>IF(LEFT(L125,8)="Expense|",N(D125),0)+IF(LEFT(M125,8)="Expense|",-N(D125),0)</f>
        <v/>
      </c>
      <c r="Q125" s="23">
        <f>IF(ISNUMBER(MATCH(L125,{"Expense|employee","Expense|general_admin","Expense|marketing","Expense|utilities","Expense|other_operating"},0)),N(D125),0)+IF(ISNUMBER(MATCH(M125,{"Expense|employee","Expense|general_admin","Expense|marketing","Expense|utilities","Expense|other_operating"},0)),-N(D125),0)</f>
        <v/>
      </c>
      <c r="R125" s="23">
        <f>IF(L125="Liability|payable",-N(D125),0)+IF(M125="Liability|payable",N(D125),0)</f>
        <v/>
      </c>
      <c r="S125" s="23">
        <f>IF(L125="Liability|accrued",-N(D125),0)+IF(M125="Liability|accrued",N(D125),0)</f>
        <v/>
      </c>
      <c r="T125" s="23">
        <f>IF(AND(N(D125)&lt;&gt;0,L125=""),1,0)+IF(AND(N(D125)&lt;&gt;0,M125=""),1,0)</f>
        <v/>
      </c>
    </row>
    <row r="126">
      <c r="A126" s="19" t="n"/>
      <c r="B126" s="14" t="n"/>
      <c r="C126" s="14" t="n"/>
      <c r="D126" s="20" t="n"/>
      <c r="E126" s="14" t="n"/>
      <c r="F126" s="14" t="n"/>
      <c r="G126" s="14" t="n"/>
      <c r="H126" s="14" t="n"/>
      <c r="I126" s="14" t="n"/>
      <c r="J126" s="16">
        <f>IF(C126="",INDEX('Chart of Accounts'!$A$5:$A$3000,MATCH("ap",'Chart of Accounts'!$F$5:$F$3000,0)),C126&amp;"")</f>
        <v/>
      </c>
      <c r="K126" s="16">
        <f>IF(F126="",INDEX('Chart of Accounts'!$A$5:$A$3000,MATCH("bank",'Chart of Accounts'!$F$5:$F$3000,0)),F126&amp;"")</f>
        <v/>
      </c>
      <c r="L126" s="23">
        <f>IFERROR(INDEX('Chart of Accounts'!$C$5:$C$3000,MATCH(J126&amp;"",'Chart of Accounts'!$A$5:$A$3000,0))&amp;"|"&amp;INDEX('Chart of Accounts'!$D$5:$D$3000,MATCH(J126&amp;"",'Chart of Accounts'!$A$5:$A$3000,0)),"")</f>
        <v/>
      </c>
      <c r="M126" s="23">
        <f>IFERROR(INDEX('Chart of Accounts'!$C$5:$C$3000,MATCH(K126&amp;"",'Chart of Accounts'!$A$5:$A$3000,0))&amp;"|"&amp;INDEX('Chart of Accounts'!$D$5:$D$3000,MATCH(K126&amp;"",'Chart of Accounts'!$A$5:$A$3000,0)),"")</f>
        <v/>
      </c>
      <c r="N126" s="23">
        <f>IF(LEFT(L126,8)="Revenue|",-N(D126),0)+IF(LEFT(M126,8)="Revenue|",N(D126),0)</f>
        <v/>
      </c>
      <c r="O126" s="23">
        <f>IF(LEFT(L126,5)="COGS|",N(D126),0)+IF(LEFT(M126,5)="COGS|",-N(D126),0)</f>
        <v/>
      </c>
      <c r="P126" s="23">
        <f>IF(LEFT(L126,8)="Expense|",N(D126),0)+IF(LEFT(M126,8)="Expense|",-N(D126),0)</f>
        <v/>
      </c>
      <c r="Q126" s="23">
        <f>IF(ISNUMBER(MATCH(L126,{"Expense|employee","Expense|general_admin","Expense|marketing","Expense|utilities","Expense|other_operating"},0)),N(D126),0)+IF(ISNUMBER(MATCH(M126,{"Expense|employee","Expense|general_admin","Expense|marketing","Expense|utilities","Expense|other_operating"},0)),-N(D126),0)</f>
        <v/>
      </c>
      <c r="R126" s="23">
        <f>IF(L126="Liability|payable",-N(D126),0)+IF(M126="Liability|payable",N(D126),0)</f>
        <v/>
      </c>
      <c r="S126" s="23">
        <f>IF(L126="Liability|accrued",-N(D126),0)+IF(M126="Liability|accrued",N(D126),0)</f>
        <v/>
      </c>
      <c r="T126" s="23">
        <f>IF(AND(N(D126)&lt;&gt;0,L126=""),1,0)+IF(AND(N(D126)&lt;&gt;0,M126=""),1,0)</f>
        <v/>
      </c>
    </row>
    <row r="127">
      <c r="A127" s="19" t="n"/>
      <c r="B127" s="14" t="n"/>
      <c r="C127" s="14" t="n"/>
      <c r="D127" s="20" t="n"/>
      <c r="E127" s="14" t="n"/>
      <c r="F127" s="14" t="n"/>
      <c r="G127" s="14" t="n"/>
      <c r="H127" s="14" t="n"/>
      <c r="I127" s="14" t="n"/>
      <c r="J127" s="16">
        <f>IF(C127="",INDEX('Chart of Accounts'!$A$5:$A$3000,MATCH("ap",'Chart of Accounts'!$F$5:$F$3000,0)),C127&amp;"")</f>
        <v/>
      </c>
      <c r="K127" s="16">
        <f>IF(F127="",INDEX('Chart of Accounts'!$A$5:$A$3000,MATCH("bank",'Chart of Accounts'!$F$5:$F$3000,0)),F127&amp;"")</f>
        <v/>
      </c>
      <c r="L127" s="23">
        <f>IFERROR(INDEX('Chart of Accounts'!$C$5:$C$3000,MATCH(J127&amp;"",'Chart of Accounts'!$A$5:$A$3000,0))&amp;"|"&amp;INDEX('Chart of Accounts'!$D$5:$D$3000,MATCH(J127&amp;"",'Chart of Accounts'!$A$5:$A$3000,0)),"")</f>
        <v/>
      </c>
      <c r="M127" s="23">
        <f>IFERROR(INDEX('Chart of Accounts'!$C$5:$C$3000,MATCH(K127&amp;"",'Chart of Accounts'!$A$5:$A$3000,0))&amp;"|"&amp;INDEX('Chart of Accounts'!$D$5:$D$3000,MATCH(K127&amp;"",'Chart of Accounts'!$A$5:$A$3000,0)),"")</f>
        <v/>
      </c>
      <c r="N127" s="23">
        <f>IF(LEFT(L127,8)="Revenue|",-N(D127),0)+IF(LEFT(M127,8)="Revenue|",N(D127),0)</f>
        <v/>
      </c>
      <c r="O127" s="23">
        <f>IF(LEFT(L127,5)="COGS|",N(D127),0)+IF(LEFT(M127,5)="COGS|",-N(D127),0)</f>
        <v/>
      </c>
      <c r="P127" s="23">
        <f>IF(LEFT(L127,8)="Expense|",N(D127),0)+IF(LEFT(M127,8)="Expense|",-N(D127),0)</f>
        <v/>
      </c>
      <c r="Q127" s="23">
        <f>IF(ISNUMBER(MATCH(L127,{"Expense|employee","Expense|general_admin","Expense|marketing","Expense|utilities","Expense|other_operating"},0)),N(D127),0)+IF(ISNUMBER(MATCH(M127,{"Expense|employee","Expense|general_admin","Expense|marketing","Expense|utilities","Expense|other_operating"},0)),-N(D127),0)</f>
        <v/>
      </c>
      <c r="R127" s="23">
        <f>IF(L127="Liability|payable",-N(D127),0)+IF(M127="Liability|payable",N(D127),0)</f>
        <v/>
      </c>
      <c r="S127" s="23">
        <f>IF(L127="Liability|accrued",-N(D127),0)+IF(M127="Liability|accrued",N(D127),0)</f>
        <v/>
      </c>
      <c r="T127" s="23">
        <f>IF(AND(N(D127)&lt;&gt;0,L127=""),1,0)+IF(AND(N(D127)&lt;&gt;0,M127=""),1,0)</f>
        <v/>
      </c>
    </row>
    <row r="128">
      <c r="A128" s="19" t="n"/>
      <c r="B128" s="14" t="n"/>
      <c r="C128" s="14" t="n"/>
      <c r="D128" s="20" t="n"/>
      <c r="E128" s="14" t="n"/>
      <c r="F128" s="14" t="n"/>
      <c r="G128" s="14" t="n"/>
      <c r="H128" s="14" t="n"/>
      <c r="I128" s="14" t="n"/>
      <c r="J128" s="16">
        <f>IF(C128="",INDEX('Chart of Accounts'!$A$5:$A$3000,MATCH("ap",'Chart of Accounts'!$F$5:$F$3000,0)),C128&amp;"")</f>
        <v/>
      </c>
      <c r="K128" s="16">
        <f>IF(F128="",INDEX('Chart of Accounts'!$A$5:$A$3000,MATCH("bank",'Chart of Accounts'!$F$5:$F$3000,0)),F128&amp;"")</f>
        <v/>
      </c>
      <c r="L128" s="23">
        <f>IFERROR(INDEX('Chart of Accounts'!$C$5:$C$3000,MATCH(J128&amp;"",'Chart of Accounts'!$A$5:$A$3000,0))&amp;"|"&amp;INDEX('Chart of Accounts'!$D$5:$D$3000,MATCH(J128&amp;"",'Chart of Accounts'!$A$5:$A$3000,0)),"")</f>
        <v/>
      </c>
      <c r="M128" s="23">
        <f>IFERROR(INDEX('Chart of Accounts'!$C$5:$C$3000,MATCH(K128&amp;"",'Chart of Accounts'!$A$5:$A$3000,0))&amp;"|"&amp;INDEX('Chart of Accounts'!$D$5:$D$3000,MATCH(K128&amp;"",'Chart of Accounts'!$A$5:$A$3000,0)),"")</f>
        <v/>
      </c>
      <c r="N128" s="23">
        <f>IF(LEFT(L128,8)="Revenue|",-N(D128),0)+IF(LEFT(M128,8)="Revenue|",N(D128),0)</f>
        <v/>
      </c>
      <c r="O128" s="23">
        <f>IF(LEFT(L128,5)="COGS|",N(D128),0)+IF(LEFT(M128,5)="COGS|",-N(D128),0)</f>
        <v/>
      </c>
      <c r="P128" s="23">
        <f>IF(LEFT(L128,8)="Expense|",N(D128),0)+IF(LEFT(M128,8)="Expense|",-N(D128),0)</f>
        <v/>
      </c>
      <c r="Q128" s="23">
        <f>IF(ISNUMBER(MATCH(L128,{"Expense|employee","Expense|general_admin","Expense|marketing","Expense|utilities","Expense|other_operating"},0)),N(D128),0)+IF(ISNUMBER(MATCH(M128,{"Expense|employee","Expense|general_admin","Expense|marketing","Expense|utilities","Expense|other_operating"},0)),-N(D128),0)</f>
        <v/>
      </c>
      <c r="R128" s="23">
        <f>IF(L128="Liability|payable",-N(D128),0)+IF(M128="Liability|payable",N(D128),0)</f>
        <v/>
      </c>
      <c r="S128" s="23">
        <f>IF(L128="Liability|accrued",-N(D128),0)+IF(M128="Liability|accrued",N(D128),0)</f>
        <v/>
      </c>
      <c r="T128" s="23">
        <f>IF(AND(N(D128)&lt;&gt;0,L128=""),1,0)+IF(AND(N(D128)&lt;&gt;0,M128=""),1,0)</f>
        <v/>
      </c>
    </row>
    <row r="129">
      <c r="A129" s="19" t="n"/>
      <c r="B129" s="14" t="n"/>
      <c r="C129" s="14" t="n"/>
      <c r="D129" s="20" t="n"/>
      <c r="E129" s="14" t="n"/>
      <c r="F129" s="14" t="n"/>
      <c r="G129" s="14" t="n"/>
      <c r="H129" s="14" t="n"/>
      <c r="I129" s="14" t="n"/>
      <c r="J129" s="16">
        <f>IF(C129="",INDEX('Chart of Accounts'!$A$5:$A$3000,MATCH("ap",'Chart of Accounts'!$F$5:$F$3000,0)),C129&amp;"")</f>
        <v/>
      </c>
      <c r="K129" s="16">
        <f>IF(F129="",INDEX('Chart of Accounts'!$A$5:$A$3000,MATCH("bank",'Chart of Accounts'!$F$5:$F$3000,0)),F129&amp;"")</f>
        <v/>
      </c>
      <c r="L129" s="23">
        <f>IFERROR(INDEX('Chart of Accounts'!$C$5:$C$3000,MATCH(J129&amp;"",'Chart of Accounts'!$A$5:$A$3000,0))&amp;"|"&amp;INDEX('Chart of Accounts'!$D$5:$D$3000,MATCH(J129&amp;"",'Chart of Accounts'!$A$5:$A$3000,0)),"")</f>
        <v/>
      </c>
      <c r="M129" s="23">
        <f>IFERROR(INDEX('Chart of Accounts'!$C$5:$C$3000,MATCH(K129&amp;"",'Chart of Accounts'!$A$5:$A$3000,0))&amp;"|"&amp;INDEX('Chart of Accounts'!$D$5:$D$3000,MATCH(K129&amp;"",'Chart of Accounts'!$A$5:$A$3000,0)),"")</f>
        <v/>
      </c>
      <c r="N129" s="23">
        <f>IF(LEFT(L129,8)="Revenue|",-N(D129),0)+IF(LEFT(M129,8)="Revenue|",N(D129),0)</f>
        <v/>
      </c>
      <c r="O129" s="23">
        <f>IF(LEFT(L129,5)="COGS|",N(D129),0)+IF(LEFT(M129,5)="COGS|",-N(D129),0)</f>
        <v/>
      </c>
      <c r="P129" s="23">
        <f>IF(LEFT(L129,8)="Expense|",N(D129),0)+IF(LEFT(M129,8)="Expense|",-N(D129),0)</f>
        <v/>
      </c>
      <c r="Q129" s="23">
        <f>IF(ISNUMBER(MATCH(L129,{"Expense|employee","Expense|general_admin","Expense|marketing","Expense|utilities","Expense|other_operating"},0)),N(D129),0)+IF(ISNUMBER(MATCH(M129,{"Expense|employee","Expense|general_admin","Expense|marketing","Expense|utilities","Expense|other_operating"},0)),-N(D129),0)</f>
        <v/>
      </c>
      <c r="R129" s="23">
        <f>IF(L129="Liability|payable",-N(D129),0)+IF(M129="Liability|payable",N(D129),0)</f>
        <v/>
      </c>
      <c r="S129" s="23">
        <f>IF(L129="Liability|accrued",-N(D129),0)+IF(M129="Liability|accrued",N(D129),0)</f>
        <v/>
      </c>
      <c r="T129" s="23">
        <f>IF(AND(N(D129)&lt;&gt;0,L129=""),1,0)+IF(AND(N(D129)&lt;&gt;0,M129=""),1,0)</f>
        <v/>
      </c>
    </row>
    <row r="130">
      <c r="A130" s="19" t="n"/>
      <c r="B130" s="14" t="n"/>
      <c r="C130" s="14" t="n"/>
      <c r="D130" s="20" t="n"/>
      <c r="E130" s="14" t="n"/>
      <c r="F130" s="14" t="n"/>
      <c r="G130" s="14" t="n"/>
      <c r="H130" s="14" t="n"/>
      <c r="I130" s="14" t="n"/>
      <c r="J130" s="16">
        <f>IF(C130="",INDEX('Chart of Accounts'!$A$5:$A$3000,MATCH("ap",'Chart of Accounts'!$F$5:$F$3000,0)),C130&amp;"")</f>
        <v/>
      </c>
      <c r="K130" s="16">
        <f>IF(F130="",INDEX('Chart of Accounts'!$A$5:$A$3000,MATCH("bank",'Chart of Accounts'!$F$5:$F$3000,0)),F130&amp;"")</f>
        <v/>
      </c>
      <c r="L130" s="23">
        <f>IFERROR(INDEX('Chart of Accounts'!$C$5:$C$3000,MATCH(J130&amp;"",'Chart of Accounts'!$A$5:$A$3000,0))&amp;"|"&amp;INDEX('Chart of Accounts'!$D$5:$D$3000,MATCH(J130&amp;"",'Chart of Accounts'!$A$5:$A$3000,0)),"")</f>
        <v/>
      </c>
      <c r="M130" s="23">
        <f>IFERROR(INDEX('Chart of Accounts'!$C$5:$C$3000,MATCH(K130&amp;"",'Chart of Accounts'!$A$5:$A$3000,0))&amp;"|"&amp;INDEX('Chart of Accounts'!$D$5:$D$3000,MATCH(K130&amp;"",'Chart of Accounts'!$A$5:$A$3000,0)),"")</f>
        <v/>
      </c>
      <c r="N130" s="23">
        <f>IF(LEFT(L130,8)="Revenue|",-N(D130),0)+IF(LEFT(M130,8)="Revenue|",N(D130),0)</f>
        <v/>
      </c>
      <c r="O130" s="23">
        <f>IF(LEFT(L130,5)="COGS|",N(D130),0)+IF(LEFT(M130,5)="COGS|",-N(D130),0)</f>
        <v/>
      </c>
      <c r="P130" s="23">
        <f>IF(LEFT(L130,8)="Expense|",N(D130),0)+IF(LEFT(M130,8)="Expense|",-N(D130),0)</f>
        <v/>
      </c>
      <c r="Q130" s="23">
        <f>IF(ISNUMBER(MATCH(L130,{"Expense|employee","Expense|general_admin","Expense|marketing","Expense|utilities","Expense|other_operating"},0)),N(D130),0)+IF(ISNUMBER(MATCH(M130,{"Expense|employee","Expense|general_admin","Expense|marketing","Expense|utilities","Expense|other_operating"},0)),-N(D130),0)</f>
        <v/>
      </c>
      <c r="R130" s="23">
        <f>IF(L130="Liability|payable",-N(D130),0)+IF(M130="Liability|payable",N(D130),0)</f>
        <v/>
      </c>
      <c r="S130" s="23">
        <f>IF(L130="Liability|accrued",-N(D130),0)+IF(M130="Liability|accrued",N(D130),0)</f>
        <v/>
      </c>
      <c r="T130" s="23">
        <f>IF(AND(N(D130)&lt;&gt;0,L130=""),1,0)+IF(AND(N(D130)&lt;&gt;0,M130=""),1,0)</f>
        <v/>
      </c>
    </row>
    <row r="131">
      <c r="A131" s="19" t="n"/>
      <c r="B131" s="14" t="n"/>
      <c r="C131" s="14" t="n"/>
      <c r="D131" s="20" t="n"/>
      <c r="E131" s="14" t="n"/>
      <c r="F131" s="14" t="n"/>
      <c r="G131" s="14" t="n"/>
      <c r="H131" s="14" t="n"/>
      <c r="I131" s="14" t="n"/>
      <c r="J131" s="16">
        <f>IF(C131="",INDEX('Chart of Accounts'!$A$5:$A$3000,MATCH("ap",'Chart of Accounts'!$F$5:$F$3000,0)),C131&amp;"")</f>
        <v/>
      </c>
      <c r="K131" s="16">
        <f>IF(F131="",INDEX('Chart of Accounts'!$A$5:$A$3000,MATCH("bank",'Chart of Accounts'!$F$5:$F$3000,0)),F131&amp;"")</f>
        <v/>
      </c>
      <c r="L131" s="23">
        <f>IFERROR(INDEX('Chart of Accounts'!$C$5:$C$3000,MATCH(J131&amp;"",'Chart of Accounts'!$A$5:$A$3000,0))&amp;"|"&amp;INDEX('Chart of Accounts'!$D$5:$D$3000,MATCH(J131&amp;"",'Chart of Accounts'!$A$5:$A$3000,0)),"")</f>
        <v/>
      </c>
      <c r="M131" s="23">
        <f>IFERROR(INDEX('Chart of Accounts'!$C$5:$C$3000,MATCH(K131&amp;"",'Chart of Accounts'!$A$5:$A$3000,0))&amp;"|"&amp;INDEX('Chart of Accounts'!$D$5:$D$3000,MATCH(K131&amp;"",'Chart of Accounts'!$A$5:$A$3000,0)),"")</f>
        <v/>
      </c>
      <c r="N131" s="23">
        <f>IF(LEFT(L131,8)="Revenue|",-N(D131),0)+IF(LEFT(M131,8)="Revenue|",N(D131),0)</f>
        <v/>
      </c>
      <c r="O131" s="23">
        <f>IF(LEFT(L131,5)="COGS|",N(D131),0)+IF(LEFT(M131,5)="COGS|",-N(D131),0)</f>
        <v/>
      </c>
      <c r="P131" s="23">
        <f>IF(LEFT(L131,8)="Expense|",N(D131),0)+IF(LEFT(M131,8)="Expense|",-N(D131),0)</f>
        <v/>
      </c>
      <c r="Q131" s="23">
        <f>IF(ISNUMBER(MATCH(L131,{"Expense|employee","Expense|general_admin","Expense|marketing","Expense|utilities","Expense|other_operating"},0)),N(D131),0)+IF(ISNUMBER(MATCH(M131,{"Expense|employee","Expense|general_admin","Expense|marketing","Expense|utilities","Expense|other_operating"},0)),-N(D131),0)</f>
        <v/>
      </c>
      <c r="R131" s="23">
        <f>IF(L131="Liability|payable",-N(D131),0)+IF(M131="Liability|payable",N(D131),0)</f>
        <v/>
      </c>
      <c r="S131" s="23">
        <f>IF(L131="Liability|accrued",-N(D131),0)+IF(M131="Liability|accrued",N(D131),0)</f>
        <v/>
      </c>
      <c r="T131" s="23">
        <f>IF(AND(N(D131)&lt;&gt;0,L131=""),1,0)+IF(AND(N(D131)&lt;&gt;0,M131=""),1,0)</f>
        <v/>
      </c>
    </row>
    <row r="132">
      <c r="A132" s="19" t="n"/>
      <c r="B132" s="14" t="n"/>
      <c r="C132" s="14" t="n"/>
      <c r="D132" s="20" t="n"/>
      <c r="E132" s="14" t="n"/>
      <c r="F132" s="14" t="n"/>
      <c r="G132" s="14" t="n"/>
      <c r="H132" s="14" t="n"/>
      <c r="I132" s="14" t="n"/>
      <c r="J132" s="16">
        <f>IF(C132="",INDEX('Chart of Accounts'!$A$5:$A$3000,MATCH("ap",'Chart of Accounts'!$F$5:$F$3000,0)),C132&amp;"")</f>
        <v/>
      </c>
      <c r="K132" s="16">
        <f>IF(F132="",INDEX('Chart of Accounts'!$A$5:$A$3000,MATCH("bank",'Chart of Accounts'!$F$5:$F$3000,0)),F132&amp;"")</f>
        <v/>
      </c>
      <c r="L132" s="23">
        <f>IFERROR(INDEX('Chart of Accounts'!$C$5:$C$3000,MATCH(J132&amp;"",'Chart of Accounts'!$A$5:$A$3000,0))&amp;"|"&amp;INDEX('Chart of Accounts'!$D$5:$D$3000,MATCH(J132&amp;"",'Chart of Accounts'!$A$5:$A$3000,0)),"")</f>
        <v/>
      </c>
      <c r="M132" s="23">
        <f>IFERROR(INDEX('Chart of Accounts'!$C$5:$C$3000,MATCH(K132&amp;"",'Chart of Accounts'!$A$5:$A$3000,0))&amp;"|"&amp;INDEX('Chart of Accounts'!$D$5:$D$3000,MATCH(K132&amp;"",'Chart of Accounts'!$A$5:$A$3000,0)),"")</f>
        <v/>
      </c>
      <c r="N132" s="23">
        <f>IF(LEFT(L132,8)="Revenue|",-N(D132),0)+IF(LEFT(M132,8)="Revenue|",N(D132),0)</f>
        <v/>
      </c>
      <c r="O132" s="23">
        <f>IF(LEFT(L132,5)="COGS|",N(D132),0)+IF(LEFT(M132,5)="COGS|",-N(D132),0)</f>
        <v/>
      </c>
      <c r="P132" s="23">
        <f>IF(LEFT(L132,8)="Expense|",N(D132),0)+IF(LEFT(M132,8)="Expense|",-N(D132),0)</f>
        <v/>
      </c>
      <c r="Q132" s="23">
        <f>IF(ISNUMBER(MATCH(L132,{"Expense|employee","Expense|general_admin","Expense|marketing","Expense|utilities","Expense|other_operating"},0)),N(D132),0)+IF(ISNUMBER(MATCH(M132,{"Expense|employee","Expense|general_admin","Expense|marketing","Expense|utilities","Expense|other_operating"},0)),-N(D132),0)</f>
        <v/>
      </c>
      <c r="R132" s="23">
        <f>IF(L132="Liability|payable",-N(D132),0)+IF(M132="Liability|payable",N(D132),0)</f>
        <v/>
      </c>
      <c r="S132" s="23">
        <f>IF(L132="Liability|accrued",-N(D132),0)+IF(M132="Liability|accrued",N(D132),0)</f>
        <v/>
      </c>
      <c r="T132" s="23">
        <f>IF(AND(N(D132)&lt;&gt;0,L132=""),1,0)+IF(AND(N(D132)&lt;&gt;0,M132=""),1,0)</f>
        <v/>
      </c>
    </row>
    <row r="133">
      <c r="A133" s="19" t="n"/>
      <c r="B133" s="14" t="n"/>
      <c r="C133" s="14" t="n"/>
      <c r="D133" s="20" t="n"/>
      <c r="E133" s="14" t="n"/>
      <c r="F133" s="14" t="n"/>
      <c r="G133" s="14" t="n"/>
      <c r="H133" s="14" t="n"/>
      <c r="I133" s="14" t="n"/>
      <c r="J133" s="16">
        <f>IF(C133="",INDEX('Chart of Accounts'!$A$5:$A$3000,MATCH("ap",'Chart of Accounts'!$F$5:$F$3000,0)),C133&amp;"")</f>
        <v/>
      </c>
      <c r="K133" s="16">
        <f>IF(F133="",INDEX('Chart of Accounts'!$A$5:$A$3000,MATCH("bank",'Chart of Accounts'!$F$5:$F$3000,0)),F133&amp;"")</f>
        <v/>
      </c>
      <c r="L133" s="23">
        <f>IFERROR(INDEX('Chart of Accounts'!$C$5:$C$3000,MATCH(J133&amp;"",'Chart of Accounts'!$A$5:$A$3000,0))&amp;"|"&amp;INDEX('Chart of Accounts'!$D$5:$D$3000,MATCH(J133&amp;"",'Chart of Accounts'!$A$5:$A$3000,0)),"")</f>
        <v/>
      </c>
      <c r="M133" s="23">
        <f>IFERROR(INDEX('Chart of Accounts'!$C$5:$C$3000,MATCH(K133&amp;"",'Chart of Accounts'!$A$5:$A$3000,0))&amp;"|"&amp;INDEX('Chart of Accounts'!$D$5:$D$3000,MATCH(K133&amp;"",'Chart of Accounts'!$A$5:$A$3000,0)),"")</f>
        <v/>
      </c>
      <c r="N133" s="23">
        <f>IF(LEFT(L133,8)="Revenue|",-N(D133),0)+IF(LEFT(M133,8)="Revenue|",N(D133),0)</f>
        <v/>
      </c>
      <c r="O133" s="23">
        <f>IF(LEFT(L133,5)="COGS|",N(D133),0)+IF(LEFT(M133,5)="COGS|",-N(D133),0)</f>
        <v/>
      </c>
      <c r="P133" s="23">
        <f>IF(LEFT(L133,8)="Expense|",N(D133),0)+IF(LEFT(M133,8)="Expense|",-N(D133),0)</f>
        <v/>
      </c>
      <c r="Q133" s="23">
        <f>IF(ISNUMBER(MATCH(L133,{"Expense|employee","Expense|general_admin","Expense|marketing","Expense|utilities","Expense|other_operating"},0)),N(D133),0)+IF(ISNUMBER(MATCH(M133,{"Expense|employee","Expense|general_admin","Expense|marketing","Expense|utilities","Expense|other_operating"},0)),-N(D133),0)</f>
        <v/>
      </c>
      <c r="R133" s="23">
        <f>IF(L133="Liability|payable",-N(D133),0)+IF(M133="Liability|payable",N(D133),0)</f>
        <v/>
      </c>
      <c r="S133" s="23">
        <f>IF(L133="Liability|accrued",-N(D133),0)+IF(M133="Liability|accrued",N(D133),0)</f>
        <v/>
      </c>
      <c r="T133" s="23">
        <f>IF(AND(N(D133)&lt;&gt;0,L133=""),1,0)+IF(AND(N(D133)&lt;&gt;0,M133=""),1,0)</f>
        <v/>
      </c>
    </row>
    <row r="134">
      <c r="A134" s="19" t="n"/>
      <c r="B134" s="14" t="n"/>
      <c r="C134" s="14" t="n"/>
      <c r="D134" s="20" t="n"/>
      <c r="E134" s="14" t="n"/>
      <c r="F134" s="14" t="n"/>
      <c r="G134" s="14" t="n"/>
      <c r="H134" s="14" t="n"/>
      <c r="I134" s="14" t="n"/>
      <c r="J134" s="16">
        <f>IF(C134="",INDEX('Chart of Accounts'!$A$5:$A$3000,MATCH("ap",'Chart of Accounts'!$F$5:$F$3000,0)),C134&amp;"")</f>
        <v/>
      </c>
      <c r="K134" s="16">
        <f>IF(F134="",INDEX('Chart of Accounts'!$A$5:$A$3000,MATCH("bank",'Chart of Accounts'!$F$5:$F$3000,0)),F134&amp;"")</f>
        <v/>
      </c>
      <c r="L134" s="23">
        <f>IFERROR(INDEX('Chart of Accounts'!$C$5:$C$3000,MATCH(J134&amp;"",'Chart of Accounts'!$A$5:$A$3000,0))&amp;"|"&amp;INDEX('Chart of Accounts'!$D$5:$D$3000,MATCH(J134&amp;"",'Chart of Accounts'!$A$5:$A$3000,0)),"")</f>
        <v/>
      </c>
      <c r="M134" s="23">
        <f>IFERROR(INDEX('Chart of Accounts'!$C$5:$C$3000,MATCH(K134&amp;"",'Chart of Accounts'!$A$5:$A$3000,0))&amp;"|"&amp;INDEX('Chart of Accounts'!$D$5:$D$3000,MATCH(K134&amp;"",'Chart of Accounts'!$A$5:$A$3000,0)),"")</f>
        <v/>
      </c>
      <c r="N134" s="23">
        <f>IF(LEFT(L134,8)="Revenue|",-N(D134),0)+IF(LEFT(M134,8)="Revenue|",N(D134),0)</f>
        <v/>
      </c>
      <c r="O134" s="23">
        <f>IF(LEFT(L134,5)="COGS|",N(D134),0)+IF(LEFT(M134,5)="COGS|",-N(D134),0)</f>
        <v/>
      </c>
      <c r="P134" s="23">
        <f>IF(LEFT(L134,8)="Expense|",N(D134),0)+IF(LEFT(M134,8)="Expense|",-N(D134),0)</f>
        <v/>
      </c>
      <c r="Q134" s="23">
        <f>IF(ISNUMBER(MATCH(L134,{"Expense|employee","Expense|general_admin","Expense|marketing","Expense|utilities","Expense|other_operating"},0)),N(D134),0)+IF(ISNUMBER(MATCH(M134,{"Expense|employee","Expense|general_admin","Expense|marketing","Expense|utilities","Expense|other_operating"},0)),-N(D134),0)</f>
        <v/>
      </c>
      <c r="R134" s="23">
        <f>IF(L134="Liability|payable",-N(D134),0)+IF(M134="Liability|payable",N(D134),0)</f>
        <v/>
      </c>
      <c r="S134" s="23">
        <f>IF(L134="Liability|accrued",-N(D134),0)+IF(M134="Liability|accrued",N(D134),0)</f>
        <v/>
      </c>
      <c r="T134" s="23">
        <f>IF(AND(N(D134)&lt;&gt;0,L134=""),1,0)+IF(AND(N(D134)&lt;&gt;0,M134=""),1,0)</f>
        <v/>
      </c>
    </row>
    <row r="135">
      <c r="A135" s="19" t="n"/>
      <c r="B135" s="14" t="n"/>
      <c r="C135" s="14" t="n"/>
      <c r="D135" s="20" t="n"/>
      <c r="E135" s="14" t="n"/>
      <c r="F135" s="14" t="n"/>
      <c r="G135" s="14" t="n"/>
      <c r="H135" s="14" t="n"/>
      <c r="I135" s="14" t="n"/>
      <c r="J135" s="16">
        <f>IF(C135="",INDEX('Chart of Accounts'!$A$5:$A$3000,MATCH("ap",'Chart of Accounts'!$F$5:$F$3000,0)),C135&amp;"")</f>
        <v/>
      </c>
      <c r="K135" s="16">
        <f>IF(F135="",INDEX('Chart of Accounts'!$A$5:$A$3000,MATCH("bank",'Chart of Accounts'!$F$5:$F$3000,0)),F135&amp;"")</f>
        <v/>
      </c>
      <c r="L135" s="23">
        <f>IFERROR(INDEX('Chart of Accounts'!$C$5:$C$3000,MATCH(J135&amp;"",'Chart of Accounts'!$A$5:$A$3000,0))&amp;"|"&amp;INDEX('Chart of Accounts'!$D$5:$D$3000,MATCH(J135&amp;"",'Chart of Accounts'!$A$5:$A$3000,0)),"")</f>
        <v/>
      </c>
      <c r="M135" s="23">
        <f>IFERROR(INDEX('Chart of Accounts'!$C$5:$C$3000,MATCH(K135&amp;"",'Chart of Accounts'!$A$5:$A$3000,0))&amp;"|"&amp;INDEX('Chart of Accounts'!$D$5:$D$3000,MATCH(K135&amp;"",'Chart of Accounts'!$A$5:$A$3000,0)),"")</f>
        <v/>
      </c>
      <c r="N135" s="23">
        <f>IF(LEFT(L135,8)="Revenue|",-N(D135),0)+IF(LEFT(M135,8)="Revenue|",N(D135),0)</f>
        <v/>
      </c>
      <c r="O135" s="23">
        <f>IF(LEFT(L135,5)="COGS|",N(D135),0)+IF(LEFT(M135,5)="COGS|",-N(D135),0)</f>
        <v/>
      </c>
      <c r="P135" s="23">
        <f>IF(LEFT(L135,8)="Expense|",N(D135),0)+IF(LEFT(M135,8)="Expense|",-N(D135),0)</f>
        <v/>
      </c>
      <c r="Q135" s="23">
        <f>IF(ISNUMBER(MATCH(L135,{"Expense|employee","Expense|general_admin","Expense|marketing","Expense|utilities","Expense|other_operating"},0)),N(D135),0)+IF(ISNUMBER(MATCH(M135,{"Expense|employee","Expense|general_admin","Expense|marketing","Expense|utilities","Expense|other_operating"},0)),-N(D135),0)</f>
        <v/>
      </c>
      <c r="R135" s="23">
        <f>IF(L135="Liability|payable",-N(D135),0)+IF(M135="Liability|payable",N(D135),0)</f>
        <v/>
      </c>
      <c r="S135" s="23">
        <f>IF(L135="Liability|accrued",-N(D135),0)+IF(M135="Liability|accrued",N(D135),0)</f>
        <v/>
      </c>
      <c r="T135" s="23">
        <f>IF(AND(N(D135)&lt;&gt;0,L135=""),1,0)+IF(AND(N(D135)&lt;&gt;0,M135=""),1,0)</f>
        <v/>
      </c>
    </row>
    <row r="136">
      <c r="A136" s="19" t="n"/>
      <c r="B136" s="14" t="n"/>
      <c r="C136" s="14" t="n"/>
      <c r="D136" s="20" t="n"/>
      <c r="E136" s="14" t="n"/>
      <c r="F136" s="14" t="n"/>
      <c r="G136" s="14" t="n"/>
      <c r="H136" s="14" t="n"/>
      <c r="I136" s="14" t="n"/>
      <c r="J136" s="16">
        <f>IF(C136="",INDEX('Chart of Accounts'!$A$5:$A$3000,MATCH("ap",'Chart of Accounts'!$F$5:$F$3000,0)),C136&amp;"")</f>
        <v/>
      </c>
      <c r="K136" s="16">
        <f>IF(F136="",INDEX('Chart of Accounts'!$A$5:$A$3000,MATCH("bank",'Chart of Accounts'!$F$5:$F$3000,0)),F136&amp;"")</f>
        <v/>
      </c>
      <c r="L136" s="23">
        <f>IFERROR(INDEX('Chart of Accounts'!$C$5:$C$3000,MATCH(J136&amp;"",'Chart of Accounts'!$A$5:$A$3000,0))&amp;"|"&amp;INDEX('Chart of Accounts'!$D$5:$D$3000,MATCH(J136&amp;"",'Chart of Accounts'!$A$5:$A$3000,0)),"")</f>
        <v/>
      </c>
      <c r="M136" s="23">
        <f>IFERROR(INDEX('Chart of Accounts'!$C$5:$C$3000,MATCH(K136&amp;"",'Chart of Accounts'!$A$5:$A$3000,0))&amp;"|"&amp;INDEX('Chart of Accounts'!$D$5:$D$3000,MATCH(K136&amp;"",'Chart of Accounts'!$A$5:$A$3000,0)),"")</f>
        <v/>
      </c>
      <c r="N136" s="23">
        <f>IF(LEFT(L136,8)="Revenue|",-N(D136),0)+IF(LEFT(M136,8)="Revenue|",N(D136),0)</f>
        <v/>
      </c>
      <c r="O136" s="23">
        <f>IF(LEFT(L136,5)="COGS|",N(D136),0)+IF(LEFT(M136,5)="COGS|",-N(D136),0)</f>
        <v/>
      </c>
      <c r="P136" s="23">
        <f>IF(LEFT(L136,8)="Expense|",N(D136),0)+IF(LEFT(M136,8)="Expense|",-N(D136),0)</f>
        <v/>
      </c>
      <c r="Q136" s="23">
        <f>IF(ISNUMBER(MATCH(L136,{"Expense|employee","Expense|general_admin","Expense|marketing","Expense|utilities","Expense|other_operating"},0)),N(D136),0)+IF(ISNUMBER(MATCH(M136,{"Expense|employee","Expense|general_admin","Expense|marketing","Expense|utilities","Expense|other_operating"},0)),-N(D136),0)</f>
        <v/>
      </c>
      <c r="R136" s="23">
        <f>IF(L136="Liability|payable",-N(D136),0)+IF(M136="Liability|payable",N(D136),0)</f>
        <v/>
      </c>
      <c r="S136" s="23">
        <f>IF(L136="Liability|accrued",-N(D136),0)+IF(M136="Liability|accrued",N(D136),0)</f>
        <v/>
      </c>
      <c r="T136" s="23">
        <f>IF(AND(N(D136)&lt;&gt;0,L136=""),1,0)+IF(AND(N(D136)&lt;&gt;0,M136=""),1,0)</f>
        <v/>
      </c>
    </row>
    <row r="137">
      <c r="A137" s="19" t="n"/>
      <c r="B137" s="14" t="n"/>
      <c r="C137" s="14" t="n"/>
      <c r="D137" s="20" t="n"/>
      <c r="E137" s="14" t="n"/>
      <c r="F137" s="14" t="n"/>
      <c r="G137" s="14" t="n"/>
      <c r="H137" s="14" t="n"/>
      <c r="I137" s="14" t="n"/>
      <c r="J137" s="16">
        <f>IF(C137="",INDEX('Chart of Accounts'!$A$5:$A$3000,MATCH("ap",'Chart of Accounts'!$F$5:$F$3000,0)),C137&amp;"")</f>
        <v/>
      </c>
      <c r="K137" s="16">
        <f>IF(F137="",INDEX('Chart of Accounts'!$A$5:$A$3000,MATCH("bank",'Chart of Accounts'!$F$5:$F$3000,0)),F137&amp;"")</f>
        <v/>
      </c>
      <c r="L137" s="23">
        <f>IFERROR(INDEX('Chart of Accounts'!$C$5:$C$3000,MATCH(J137&amp;"",'Chart of Accounts'!$A$5:$A$3000,0))&amp;"|"&amp;INDEX('Chart of Accounts'!$D$5:$D$3000,MATCH(J137&amp;"",'Chart of Accounts'!$A$5:$A$3000,0)),"")</f>
        <v/>
      </c>
      <c r="M137" s="23">
        <f>IFERROR(INDEX('Chart of Accounts'!$C$5:$C$3000,MATCH(K137&amp;"",'Chart of Accounts'!$A$5:$A$3000,0))&amp;"|"&amp;INDEX('Chart of Accounts'!$D$5:$D$3000,MATCH(K137&amp;"",'Chart of Accounts'!$A$5:$A$3000,0)),"")</f>
        <v/>
      </c>
      <c r="N137" s="23">
        <f>IF(LEFT(L137,8)="Revenue|",-N(D137),0)+IF(LEFT(M137,8)="Revenue|",N(D137),0)</f>
        <v/>
      </c>
      <c r="O137" s="23">
        <f>IF(LEFT(L137,5)="COGS|",N(D137),0)+IF(LEFT(M137,5)="COGS|",-N(D137),0)</f>
        <v/>
      </c>
      <c r="P137" s="23">
        <f>IF(LEFT(L137,8)="Expense|",N(D137),0)+IF(LEFT(M137,8)="Expense|",-N(D137),0)</f>
        <v/>
      </c>
      <c r="Q137" s="23">
        <f>IF(ISNUMBER(MATCH(L137,{"Expense|employee","Expense|general_admin","Expense|marketing","Expense|utilities","Expense|other_operating"},0)),N(D137),0)+IF(ISNUMBER(MATCH(M137,{"Expense|employee","Expense|general_admin","Expense|marketing","Expense|utilities","Expense|other_operating"},0)),-N(D137),0)</f>
        <v/>
      </c>
      <c r="R137" s="23">
        <f>IF(L137="Liability|payable",-N(D137),0)+IF(M137="Liability|payable",N(D137),0)</f>
        <v/>
      </c>
      <c r="S137" s="23">
        <f>IF(L137="Liability|accrued",-N(D137),0)+IF(M137="Liability|accrued",N(D137),0)</f>
        <v/>
      </c>
      <c r="T137" s="23">
        <f>IF(AND(N(D137)&lt;&gt;0,L137=""),1,0)+IF(AND(N(D137)&lt;&gt;0,M137=""),1,0)</f>
        <v/>
      </c>
    </row>
    <row r="138">
      <c r="A138" s="19" t="n"/>
      <c r="B138" s="14" t="n"/>
      <c r="C138" s="14" t="n"/>
      <c r="D138" s="20" t="n"/>
      <c r="E138" s="14" t="n"/>
      <c r="F138" s="14" t="n"/>
      <c r="G138" s="14" t="n"/>
      <c r="H138" s="14" t="n"/>
      <c r="I138" s="14" t="n"/>
      <c r="J138" s="16">
        <f>IF(C138="",INDEX('Chart of Accounts'!$A$5:$A$3000,MATCH("ap",'Chart of Accounts'!$F$5:$F$3000,0)),C138&amp;"")</f>
        <v/>
      </c>
      <c r="K138" s="16">
        <f>IF(F138="",INDEX('Chart of Accounts'!$A$5:$A$3000,MATCH("bank",'Chart of Accounts'!$F$5:$F$3000,0)),F138&amp;"")</f>
        <v/>
      </c>
      <c r="L138" s="23">
        <f>IFERROR(INDEX('Chart of Accounts'!$C$5:$C$3000,MATCH(J138&amp;"",'Chart of Accounts'!$A$5:$A$3000,0))&amp;"|"&amp;INDEX('Chart of Accounts'!$D$5:$D$3000,MATCH(J138&amp;"",'Chart of Accounts'!$A$5:$A$3000,0)),"")</f>
        <v/>
      </c>
      <c r="M138" s="23">
        <f>IFERROR(INDEX('Chart of Accounts'!$C$5:$C$3000,MATCH(K138&amp;"",'Chart of Accounts'!$A$5:$A$3000,0))&amp;"|"&amp;INDEX('Chart of Accounts'!$D$5:$D$3000,MATCH(K138&amp;"",'Chart of Accounts'!$A$5:$A$3000,0)),"")</f>
        <v/>
      </c>
      <c r="N138" s="23">
        <f>IF(LEFT(L138,8)="Revenue|",-N(D138),0)+IF(LEFT(M138,8)="Revenue|",N(D138),0)</f>
        <v/>
      </c>
      <c r="O138" s="23">
        <f>IF(LEFT(L138,5)="COGS|",N(D138),0)+IF(LEFT(M138,5)="COGS|",-N(D138),0)</f>
        <v/>
      </c>
      <c r="P138" s="23">
        <f>IF(LEFT(L138,8)="Expense|",N(D138),0)+IF(LEFT(M138,8)="Expense|",-N(D138),0)</f>
        <v/>
      </c>
      <c r="Q138" s="23">
        <f>IF(ISNUMBER(MATCH(L138,{"Expense|employee","Expense|general_admin","Expense|marketing","Expense|utilities","Expense|other_operating"},0)),N(D138),0)+IF(ISNUMBER(MATCH(M138,{"Expense|employee","Expense|general_admin","Expense|marketing","Expense|utilities","Expense|other_operating"},0)),-N(D138),0)</f>
        <v/>
      </c>
      <c r="R138" s="23">
        <f>IF(L138="Liability|payable",-N(D138),0)+IF(M138="Liability|payable",N(D138),0)</f>
        <v/>
      </c>
      <c r="S138" s="23">
        <f>IF(L138="Liability|accrued",-N(D138),0)+IF(M138="Liability|accrued",N(D138),0)</f>
        <v/>
      </c>
      <c r="T138" s="23">
        <f>IF(AND(N(D138)&lt;&gt;0,L138=""),1,0)+IF(AND(N(D138)&lt;&gt;0,M138=""),1,0)</f>
        <v/>
      </c>
    </row>
    <row r="139">
      <c r="A139" s="19" t="n"/>
      <c r="B139" s="14" t="n"/>
      <c r="C139" s="14" t="n"/>
      <c r="D139" s="20" t="n"/>
      <c r="E139" s="14" t="n"/>
      <c r="F139" s="14" t="n"/>
      <c r="G139" s="14" t="n"/>
      <c r="H139" s="14" t="n"/>
      <c r="I139" s="14" t="n"/>
      <c r="J139" s="16">
        <f>IF(C139="",INDEX('Chart of Accounts'!$A$5:$A$3000,MATCH("ap",'Chart of Accounts'!$F$5:$F$3000,0)),C139&amp;"")</f>
        <v/>
      </c>
      <c r="K139" s="16">
        <f>IF(F139="",INDEX('Chart of Accounts'!$A$5:$A$3000,MATCH("bank",'Chart of Accounts'!$F$5:$F$3000,0)),F139&amp;"")</f>
        <v/>
      </c>
      <c r="L139" s="23">
        <f>IFERROR(INDEX('Chart of Accounts'!$C$5:$C$3000,MATCH(J139&amp;"",'Chart of Accounts'!$A$5:$A$3000,0))&amp;"|"&amp;INDEX('Chart of Accounts'!$D$5:$D$3000,MATCH(J139&amp;"",'Chart of Accounts'!$A$5:$A$3000,0)),"")</f>
        <v/>
      </c>
      <c r="M139" s="23">
        <f>IFERROR(INDEX('Chart of Accounts'!$C$5:$C$3000,MATCH(K139&amp;"",'Chart of Accounts'!$A$5:$A$3000,0))&amp;"|"&amp;INDEX('Chart of Accounts'!$D$5:$D$3000,MATCH(K139&amp;"",'Chart of Accounts'!$A$5:$A$3000,0)),"")</f>
        <v/>
      </c>
      <c r="N139" s="23">
        <f>IF(LEFT(L139,8)="Revenue|",-N(D139),0)+IF(LEFT(M139,8)="Revenue|",N(D139),0)</f>
        <v/>
      </c>
      <c r="O139" s="23">
        <f>IF(LEFT(L139,5)="COGS|",N(D139),0)+IF(LEFT(M139,5)="COGS|",-N(D139),0)</f>
        <v/>
      </c>
      <c r="P139" s="23">
        <f>IF(LEFT(L139,8)="Expense|",N(D139),0)+IF(LEFT(M139,8)="Expense|",-N(D139),0)</f>
        <v/>
      </c>
      <c r="Q139" s="23">
        <f>IF(ISNUMBER(MATCH(L139,{"Expense|employee","Expense|general_admin","Expense|marketing","Expense|utilities","Expense|other_operating"},0)),N(D139),0)+IF(ISNUMBER(MATCH(M139,{"Expense|employee","Expense|general_admin","Expense|marketing","Expense|utilities","Expense|other_operating"},0)),-N(D139),0)</f>
        <v/>
      </c>
      <c r="R139" s="23">
        <f>IF(L139="Liability|payable",-N(D139),0)+IF(M139="Liability|payable",N(D139),0)</f>
        <v/>
      </c>
      <c r="S139" s="23">
        <f>IF(L139="Liability|accrued",-N(D139),0)+IF(M139="Liability|accrued",N(D139),0)</f>
        <v/>
      </c>
      <c r="T139" s="23">
        <f>IF(AND(N(D139)&lt;&gt;0,L139=""),1,0)+IF(AND(N(D139)&lt;&gt;0,M139=""),1,0)</f>
        <v/>
      </c>
    </row>
    <row r="140">
      <c r="A140" s="19" t="n"/>
      <c r="B140" s="14" t="n"/>
      <c r="C140" s="14" t="n"/>
      <c r="D140" s="20" t="n"/>
      <c r="E140" s="14" t="n"/>
      <c r="F140" s="14" t="n"/>
      <c r="G140" s="14" t="n"/>
      <c r="H140" s="14" t="n"/>
      <c r="I140" s="14" t="n"/>
      <c r="J140" s="16">
        <f>IF(C140="",INDEX('Chart of Accounts'!$A$5:$A$3000,MATCH("ap",'Chart of Accounts'!$F$5:$F$3000,0)),C140&amp;"")</f>
        <v/>
      </c>
      <c r="K140" s="16">
        <f>IF(F140="",INDEX('Chart of Accounts'!$A$5:$A$3000,MATCH("bank",'Chart of Accounts'!$F$5:$F$3000,0)),F140&amp;"")</f>
        <v/>
      </c>
      <c r="L140" s="23">
        <f>IFERROR(INDEX('Chart of Accounts'!$C$5:$C$3000,MATCH(J140&amp;"",'Chart of Accounts'!$A$5:$A$3000,0))&amp;"|"&amp;INDEX('Chart of Accounts'!$D$5:$D$3000,MATCH(J140&amp;"",'Chart of Accounts'!$A$5:$A$3000,0)),"")</f>
        <v/>
      </c>
      <c r="M140" s="23">
        <f>IFERROR(INDEX('Chart of Accounts'!$C$5:$C$3000,MATCH(K140&amp;"",'Chart of Accounts'!$A$5:$A$3000,0))&amp;"|"&amp;INDEX('Chart of Accounts'!$D$5:$D$3000,MATCH(K140&amp;"",'Chart of Accounts'!$A$5:$A$3000,0)),"")</f>
        <v/>
      </c>
      <c r="N140" s="23">
        <f>IF(LEFT(L140,8)="Revenue|",-N(D140),0)+IF(LEFT(M140,8)="Revenue|",N(D140),0)</f>
        <v/>
      </c>
      <c r="O140" s="23">
        <f>IF(LEFT(L140,5)="COGS|",N(D140),0)+IF(LEFT(M140,5)="COGS|",-N(D140),0)</f>
        <v/>
      </c>
      <c r="P140" s="23">
        <f>IF(LEFT(L140,8)="Expense|",N(D140),0)+IF(LEFT(M140,8)="Expense|",-N(D140),0)</f>
        <v/>
      </c>
      <c r="Q140" s="23">
        <f>IF(ISNUMBER(MATCH(L140,{"Expense|employee","Expense|general_admin","Expense|marketing","Expense|utilities","Expense|other_operating"},0)),N(D140),0)+IF(ISNUMBER(MATCH(M140,{"Expense|employee","Expense|general_admin","Expense|marketing","Expense|utilities","Expense|other_operating"},0)),-N(D140),0)</f>
        <v/>
      </c>
      <c r="R140" s="23">
        <f>IF(L140="Liability|payable",-N(D140),0)+IF(M140="Liability|payable",N(D140),0)</f>
        <v/>
      </c>
      <c r="S140" s="23">
        <f>IF(L140="Liability|accrued",-N(D140),0)+IF(M140="Liability|accrued",N(D140),0)</f>
        <v/>
      </c>
      <c r="T140" s="23">
        <f>IF(AND(N(D140)&lt;&gt;0,L140=""),1,0)+IF(AND(N(D140)&lt;&gt;0,M140=""),1,0)</f>
        <v/>
      </c>
    </row>
    <row r="141">
      <c r="A141" s="19" t="n"/>
      <c r="B141" s="14" t="n"/>
      <c r="C141" s="14" t="n"/>
      <c r="D141" s="20" t="n"/>
      <c r="E141" s="14" t="n"/>
      <c r="F141" s="14" t="n"/>
      <c r="G141" s="14" t="n"/>
      <c r="H141" s="14" t="n"/>
      <c r="I141" s="14" t="n"/>
      <c r="J141" s="16">
        <f>IF(C141="",INDEX('Chart of Accounts'!$A$5:$A$3000,MATCH("ap",'Chart of Accounts'!$F$5:$F$3000,0)),C141&amp;"")</f>
        <v/>
      </c>
      <c r="K141" s="16">
        <f>IF(F141="",INDEX('Chart of Accounts'!$A$5:$A$3000,MATCH("bank",'Chart of Accounts'!$F$5:$F$3000,0)),F141&amp;"")</f>
        <v/>
      </c>
      <c r="L141" s="23">
        <f>IFERROR(INDEX('Chart of Accounts'!$C$5:$C$3000,MATCH(J141&amp;"",'Chart of Accounts'!$A$5:$A$3000,0))&amp;"|"&amp;INDEX('Chart of Accounts'!$D$5:$D$3000,MATCH(J141&amp;"",'Chart of Accounts'!$A$5:$A$3000,0)),"")</f>
        <v/>
      </c>
      <c r="M141" s="23">
        <f>IFERROR(INDEX('Chart of Accounts'!$C$5:$C$3000,MATCH(K141&amp;"",'Chart of Accounts'!$A$5:$A$3000,0))&amp;"|"&amp;INDEX('Chart of Accounts'!$D$5:$D$3000,MATCH(K141&amp;"",'Chart of Accounts'!$A$5:$A$3000,0)),"")</f>
        <v/>
      </c>
      <c r="N141" s="23">
        <f>IF(LEFT(L141,8)="Revenue|",-N(D141),0)+IF(LEFT(M141,8)="Revenue|",N(D141),0)</f>
        <v/>
      </c>
      <c r="O141" s="23">
        <f>IF(LEFT(L141,5)="COGS|",N(D141),0)+IF(LEFT(M141,5)="COGS|",-N(D141),0)</f>
        <v/>
      </c>
      <c r="P141" s="23">
        <f>IF(LEFT(L141,8)="Expense|",N(D141),0)+IF(LEFT(M141,8)="Expense|",-N(D141),0)</f>
        <v/>
      </c>
      <c r="Q141" s="23">
        <f>IF(ISNUMBER(MATCH(L141,{"Expense|employee","Expense|general_admin","Expense|marketing","Expense|utilities","Expense|other_operating"},0)),N(D141),0)+IF(ISNUMBER(MATCH(M141,{"Expense|employee","Expense|general_admin","Expense|marketing","Expense|utilities","Expense|other_operating"},0)),-N(D141),0)</f>
        <v/>
      </c>
      <c r="R141" s="23">
        <f>IF(L141="Liability|payable",-N(D141),0)+IF(M141="Liability|payable",N(D141),0)</f>
        <v/>
      </c>
      <c r="S141" s="23">
        <f>IF(L141="Liability|accrued",-N(D141),0)+IF(M141="Liability|accrued",N(D141),0)</f>
        <v/>
      </c>
      <c r="T141" s="23">
        <f>IF(AND(N(D141)&lt;&gt;0,L141=""),1,0)+IF(AND(N(D141)&lt;&gt;0,M141=""),1,0)</f>
        <v/>
      </c>
    </row>
    <row r="142">
      <c r="A142" s="19" t="n"/>
      <c r="B142" s="14" t="n"/>
      <c r="C142" s="14" t="n"/>
      <c r="D142" s="20" t="n"/>
      <c r="E142" s="14" t="n"/>
      <c r="F142" s="14" t="n"/>
      <c r="G142" s="14" t="n"/>
      <c r="H142" s="14" t="n"/>
      <c r="I142" s="14" t="n"/>
      <c r="J142" s="16">
        <f>IF(C142="",INDEX('Chart of Accounts'!$A$5:$A$3000,MATCH("ap",'Chart of Accounts'!$F$5:$F$3000,0)),C142&amp;"")</f>
        <v/>
      </c>
      <c r="K142" s="16">
        <f>IF(F142="",INDEX('Chart of Accounts'!$A$5:$A$3000,MATCH("bank",'Chart of Accounts'!$F$5:$F$3000,0)),F142&amp;"")</f>
        <v/>
      </c>
      <c r="L142" s="23">
        <f>IFERROR(INDEX('Chart of Accounts'!$C$5:$C$3000,MATCH(J142&amp;"",'Chart of Accounts'!$A$5:$A$3000,0))&amp;"|"&amp;INDEX('Chart of Accounts'!$D$5:$D$3000,MATCH(J142&amp;"",'Chart of Accounts'!$A$5:$A$3000,0)),"")</f>
        <v/>
      </c>
      <c r="M142" s="23">
        <f>IFERROR(INDEX('Chart of Accounts'!$C$5:$C$3000,MATCH(K142&amp;"",'Chart of Accounts'!$A$5:$A$3000,0))&amp;"|"&amp;INDEX('Chart of Accounts'!$D$5:$D$3000,MATCH(K142&amp;"",'Chart of Accounts'!$A$5:$A$3000,0)),"")</f>
        <v/>
      </c>
      <c r="N142" s="23">
        <f>IF(LEFT(L142,8)="Revenue|",-N(D142),0)+IF(LEFT(M142,8)="Revenue|",N(D142),0)</f>
        <v/>
      </c>
      <c r="O142" s="23">
        <f>IF(LEFT(L142,5)="COGS|",N(D142),0)+IF(LEFT(M142,5)="COGS|",-N(D142),0)</f>
        <v/>
      </c>
      <c r="P142" s="23">
        <f>IF(LEFT(L142,8)="Expense|",N(D142),0)+IF(LEFT(M142,8)="Expense|",-N(D142),0)</f>
        <v/>
      </c>
      <c r="Q142" s="23">
        <f>IF(ISNUMBER(MATCH(L142,{"Expense|employee","Expense|general_admin","Expense|marketing","Expense|utilities","Expense|other_operating"},0)),N(D142),0)+IF(ISNUMBER(MATCH(M142,{"Expense|employee","Expense|general_admin","Expense|marketing","Expense|utilities","Expense|other_operating"},0)),-N(D142),0)</f>
        <v/>
      </c>
      <c r="R142" s="23">
        <f>IF(L142="Liability|payable",-N(D142),0)+IF(M142="Liability|payable",N(D142),0)</f>
        <v/>
      </c>
      <c r="S142" s="23">
        <f>IF(L142="Liability|accrued",-N(D142),0)+IF(M142="Liability|accrued",N(D142),0)</f>
        <v/>
      </c>
      <c r="T142" s="23">
        <f>IF(AND(N(D142)&lt;&gt;0,L142=""),1,0)+IF(AND(N(D142)&lt;&gt;0,M142=""),1,0)</f>
        <v/>
      </c>
    </row>
    <row r="143">
      <c r="A143" s="19" t="n"/>
      <c r="B143" s="14" t="n"/>
      <c r="C143" s="14" t="n"/>
      <c r="D143" s="20" t="n"/>
      <c r="E143" s="14" t="n"/>
      <c r="F143" s="14" t="n"/>
      <c r="G143" s="14" t="n"/>
      <c r="H143" s="14" t="n"/>
      <c r="I143" s="14" t="n"/>
      <c r="J143" s="16">
        <f>IF(C143="",INDEX('Chart of Accounts'!$A$5:$A$3000,MATCH("ap",'Chart of Accounts'!$F$5:$F$3000,0)),C143&amp;"")</f>
        <v/>
      </c>
      <c r="K143" s="16">
        <f>IF(F143="",INDEX('Chart of Accounts'!$A$5:$A$3000,MATCH("bank",'Chart of Accounts'!$F$5:$F$3000,0)),F143&amp;"")</f>
        <v/>
      </c>
      <c r="L143" s="23">
        <f>IFERROR(INDEX('Chart of Accounts'!$C$5:$C$3000,MATCH(J143&amp;"",'Chart of Accounts'!$A$5:$A$3000,0))&amp;"|"&amp;INDEX('Chart of Accounts'!$D$5:$D$3000,MATCH(J143&amp;"",'Chart of Accounts'!$A$5:$A$3000,0)),"")</f>
        <v/>
      </c>
      <c r="M143" s="23">
        <f>IFERROR(INDEX('Chart of Accounts'!$C$5:$C$3000,MATCH(K143&amp;"",'Chart of Accounts'!$A$5:$A$3000,0))&amp;"|"&amp;INDEX('Chart of Accounts'!$D$5:$D$3000,MATCH(K143&amp;"",'Chart of Accounts'!$A$5:$A$3000,0)),"")</f>
        <v/>
      </c>
      <c r="N143" s="23">
        <f>IF(LEFT(L143,8)="Revenue|",-N(D143),0)+IF(LEFT(M143,8)="Revenue|",N(D143),0)</f>
        <v/>
      </c>
      <c r="O143" s="23">
        <f>IF(LEFT(L143,5)="COGS|",N(D143),0)+IF(LEFT(M143,5)="COGS|",-N(D143),0)</f>
        <v/>
      </c>
      <c r="P143" s="23">
        <f>IF(LEFT(L143,8)="Expense|",N(D143),0)+IF(LEFT(M143,8)="Expense|",-N(D143),0)</f>
        <v/>
      </c>
      <c r="Q143" s="23">
        <f>IF(ISNUMBER(MATCH(L143,{"Expense|employee","Expense|general_admin","Expense|marketing","Expense|utilities","Expense|other_operating"},0)),N(D143),0)+IF(ISNUMBER(MATCH(M143,{"Expense|employee","Expense|general_admin","Expense|marketing","Expense|utilities","Expense|other_operating"},0)),-N(D143),0)</f>
        <v/>
      </c>
      <c r="R143" s="23">
        <f>IF(L143="Liability|payable",-N(D143),0)+IF(M143="Liability|payable",N(D143),0)</f>
        <v/>
      </c>
      <c r="S143" s="23">
        <f>IF(L143="Liability|accrued",-N(D143),0)+IF(M143="Liability|accrued",N(D143),0)</f>
        <v/>
      </c>
      <c r="T143" s="23">
        <f>IF(AND(N(D143)&lt;&gt;0,L143=""),1,0)+IF(AND(N(D143)&lt;&gt;0,M143=""),1,0)</f>
        <v/>
      </c>
    </row>
    <row r="144">
      <c r="A144" s="19" t="n"/>
      <c r="B144" s="14" t="n"/>
      <c r="C144" s="14" t="n"/>
      <c r="D144" s="20" t="n"/>
      <c r="E144" s="14" t="n"/>
      <c r="F144" s="14" t="n"/>
      <c r="G144" s="14" t="n"/>
      <c r="H144" s="14" t="n"/>
      <c r="I144" s="14" t="n"/>
      <c r="J144" s="16">
        <f>IF(C144="",INDEX('Chart of Accounts'!$A$5:$A$3000,MATCH("ap",'Chart of Accounts'!$F$5:$F$3000,0)),C144&amp;"")</f>
        <v/>
      </c>
      <c r="K144" s="16">
        <f>IF(F144="",INDEX('Chart of Accounts'!$A$5:$A$3000,MATCH("bank",'Chart of Accounts'!$F$5:$F$3000,0)),F144&amp;"")</f>
        <v/>
      </c>
      <c r="L144" s="23">
        <f>IFERROR(INDEX('Chart of Accounts'!$C$5:$C$3000,MATCH(J144&amp;"",'Chart of Accounts'!$A$5:$A$3000,0))&amp;"|"&amp;INDEX('Chart of Accounts'!$D$5:$D$3000,MATCH(J144&amp;"",'Chart of Accounts'!$A$5:$A$3000,0)),"")</f>
        <v/>
      </c>
      <c r="M144" s="23">
        <f>IFERROR(INDEX('Chart of Accounts'!$C$5:$C$3000,MATCH(K144&amp;"",'Chart of Accounts'!$A$5:$A$3000,0))&amp;"|"&amp;INDEX('Chart of Accounts'!$D$5:$D$3000,MATCH(K144&amp;"",'Chart of Accounts'!$A$5:$A$3000,0)),"")</f>
        <v/>
      </c>
      <c r="N144" s="23">
        <f>IF(LEFT(L144,8)="Revenue|",-N(D144),0)+IF(LEFT(M144,8)="Revenue|",N(D144),0)</f>
        <v/>
      </c>
      <c r="O144" s="23">
        <f>IF(LEFT(L144,5)="COGS|",N(D144),0)+IF(LEFT(M144,5)="COGS|",-N(D144),0)</f>
        <v/>
      </c>
      <c r="P144" s="23">
        <f>IF(LEFT(L144,8)="Expense|",N(D144),0)+IF(LEFT(M144,8)="Expense|",-N(D144),0)</f>
        <v/>
      </c>
      <c r="Q144" s="23">
        <f>IF(ISNUMBER(MATCH(L144,{"Expense|employee","Expense|general_admin","Expense|marketing","Expense|utilities","Expense|other_operating"},0)),N(D144),0)+IF(ISNUMBER(MATCH(M144,{"Expense|employee","Expense|general_admin","Expense|marketing","Expense|utilities","Expense|other_operating"},0)),-N(D144),0)</f>
        <v/>
      </c>
      <c r="R144" s="23">
        <f>IF(L144="Liability|payable",-N(D144),0)+IF(M144="Liability|payable",N(D144),0)</f>
        <v/>
      </c>
      <c r="S144" s="23">
        <f>IF(L144="Liability|accrued",-N(D144),0)+IF(M144="Liability|accrued",N(D144),0)</f>
        <v/>
      </c>
      <c r="T144" s="23">
        <f>IF(AND(N(D144)&lt;&gt;0,L144=""),1,0)+IF(AND(N(D144)&lt;&gt;0,M144=""),1,0)</f>
        <v/>
      </c>
    </row>
    <row r="145">
      <c r="A145" s="19" t="n"/>
      <c r="B145" s="14" t="n"/>
      <c r="C145" s="14" t="n"/>
      <c r="D145" s="20" t="n"/>
      <c r="E145" s="14" t="n"/>
      <c r="F145" s="14" t="n"/>
      <c r="G145" s="14" t="n"/>
      <c r="H145" s="14" t="n"/>
      <c r="I145" s="14" t="n"/>
      <c r="J145" s="16">
        <f>IF(C145="",INDEX('Chart of Accounts'!$A$5:$A$3000,MATCH("ap",'Chart of Accounts'!$F$5:$F$3000,0)),C145&amp;"")</f>
        <v/>
      </c>
      <c r="K145" s="16">
        <f>IF(F145="",INDEX('Chart of Accounts'!$A$5:$A$3000,MATCH("bank",'Chart of Accounts'!$F$5:$F$3000,0)),F145&amp;"")</f>
        <v/>
      </c>
      <c r="L145" s="23">
        <f>IFERROR(INDEX('Chart of Accounts'!$C$5:$C$3000,MATCH(J145&amp;"",'Chart of Accounts'!$A$5:$A$3000,0))&amp;"|"&amp;INDEX('Chart of Accounts'!$D$5:$D$3000,MATCH(J145&amp;"",'Chart of Accounts'!$A$5:$A$3000,0)),"")</f>
        <v/>
      </c>
      <c r="M145" s="23">
        <f>IFERROR(INDEX('Chart of Accounts'!$C$5:$C$3000,MATCH(K145&amp;"",'Chart of Accounts'!$A$5:$A$3000,0))&amp;"|"&amp;INDEX('Chart of Accounts'!$D$5:$D$3000,MATCH(K145&amp;"",'Chart of Accounts'!$A$5:$A$3000,0)),"")</f>
        <v/>
      </c>
      <c r="N145" s="23">
        <f>IF(LEFT(L145,8)="Revenue|",-N(D145),0)+IF(LEFT(M145,8)="Revenue|",N(D145),0)</f>
        <v/>
      </c>
      <c r="O145" s="23">
        <f>IF(LEFT(L145,5)="COGS|",N(D145),0)+IF(LEFT(M145,5)="COGS|",-N(D145),0)</f>
        <v/>
      </c>
      <c r="P145" s="23">
        <f>IF(LEFT(L145,8)="Expense|",N(D145),0)+IF(LEFT(M145,8)="Expense|",-N(D145),0)</f>
        <v/>
      </c>
      <c r="Q145" s="23">
        <f>IF(ISNUMBER(MATCH(L145,{"Expense|employee","Expense|general_admin","Expense|marketing","Expense|utilities","Expense|other_operating"},0)),N(D145),0)+IF(ISNUMBER(MATCH(M145,{"Expense|employee","Expense|general_admin","Expense|marketing","Expense|utilities","Expense|other_operating"},0)),-N(D145),0)</f>
        <v/>
      </c>
      <c r="R145" s="23">
        <f>IF(L145="Liability|payable",-N(D145),0)+IF(M145="Liability|payable",N(D145),0)</f>
        <v/>
      </c>
      <c r="S145" s="23">
        <f>IF(L145="Liability|accrued",-N(D145),0)+IF(M145="Liability|accrued",N(D145),0)</f>
        <v/>
      </c>
      <c r="T145" s="23">
        <f>IF(AND(N(D145)&lt;&gt;0,L145=""),1,0)+IF(AND(N(D145)&lt;&gt;0,M145=""),1,0)</f>
        <v/>
      </c>
    </row>
    <row r="146">
      <c r="A146" s="19" t="n"/>
      <c r="B146" s="14" t="n"/>
      <c r="C146" s="14" t="n"/>
      <c r="D146" s="20" t="n"/>
      <c r="E146" s="14" t="n"/>
      <c r="F146" s="14" t="n"/>
      <c r="G146" s="14" t="n"/>
      <c r="H146" s="14" t="n"/>
      <c r="I146" s="14" t="n"/>
      <c r="J146" s="16">
        <f>IF(C146="",INDEX('Chart of Accounts'!$A$5:$A$3000,MATCH("ap",'Chart of Accounts'!$F$5:$F$3000,0)),C146&amp;"")</f>
        <v/>
      </c>
      <c r="K146" s="16">
        <f>IF(F146="",INDEX('Chart of Accounts'!$A$5:$A$3000,MATCH("bank",'Chart of Accounts'!$F$5:$F$3000,0)),F146&amp;"")</f>
        <v/>
      </c>
      <c r="L146" s="23">
        <f>IFERROR(INDEX('Chart of Accounts'!$C$5:$C$3000,MATCH(J146&amp;"",'Chart of Accounts'!$A$5:$A$3000,0))&amp;"|"&amp;INDEX('Chart of Accounts'!$D$5:$D$3000,MATCH(J146&amp;"",'Chart of Accounts'!$A$5:$A$3000,0)),"")</f>
        <v/>
      </c>
      <c r="M146" s="23">
        <f>IFERROR(INDEX('Chart of Accounts'!$C$5:$C$3000,MATCH(K146&amp;"",'Chart of Accounts'!$A$5:$A$3000,0))&amp;"|"&amp;INDEX('Chart of Accounts'!$D$5:$D$3000,MATCH(K146&amp;"",'Chart of Accounts'!$A$5:$A$3000,0)),"")</f>
        <v/>
      </c>
      <c r="N146" s="23">
        <f>IF(LEFT(L146,8)="Revenue|",-N(D146),0)+IF(LEFT(M146,8)="Revenue|",N(D146),0)</f>
        <v/>
      </c>
      <c r="O146" s="23">
        <f>IF(LEFT(L146,5)="COGS|",N(D146),0)+IF(LEFT(M146,5)="COGS|",-N(D146),0)</f>
        <v/>
      </c>
      <c r="P146" s="23">
        <f>IF(LEFT(L146,8)="Expense|",N(D146),0)+IF(LEFT(M146,8)="Expense|",-N(D146),0)</f>
        <v/>
      </c>
      <c r="Q146" s="23">
        <f>IF(ISNUMBER(MATCH(L146,{"Expense|employee","Expense|general_admin","Expense|marketing","Expense|utilities","Expense|other_operating"},0)),N(D146),0)+IF(ISNUMBER(MATCH(M146,{"Expense|employee","Expense|general_admin","Expense|marketing","Expense|utilities","Expense|other_operating"},0)),-N(D146),0)</f>
        <v/>
      </c>
      <c r="R146" s="23">
        <f>IF(L146="Liability|payable",-N(D146),0)+IF(M146="Liability|payable",N(D146),0)</f>
        <v/>
      </c>
      <c r="S146" s="23">
        <f>IF(L146="Liability|accrued",-N(D146),0)+IF(M146="Liability|accrued",N(D146),0)</f>
        <v/>
      </c>
      <c r="T146" s="23">
        <f>IF(AND(N(D146)&lt;&gt;0,L146=""),1,0)+IF(AND(N(D146)&lt;&gt;0,M146=""),1,0)</f>
        <v/>
      </c>
    </row>
    <row r="147">
      <c r="A147" s="19" t="n"/>
      <c r="B147" s="14" t="n"/>
      <c r="C147" s="14" t="n"/>
      <c r="D147" s="20" t="n"/>
      <c r="E147" s="14" t="n"/>
      <c r="F147" s="14" t="n"/>
      <c r="G147" s="14" t="n"/>
      <c r="H147" s="14" t="n"/>
      <c r="I147" s="14" t="n"/>
      <c r="J147" s="16">
        <f>IF(C147="",INDEX('Chart of Accounts'!$A$5:$A$3000,MATCH("ap",'Chart of Accounts'!$F$5:$F$3000,0)),C147&amp;"")</f>
        <v/>
      </c>
      <c r="K147" s="16">
        <f>IF(F147="",INDEX('Chart of Accounts'!$A$5:$A$3000,MATCH("bank",'Chart of Accounts'!$F$5:$F$3000,0)),F147&amp;"")</f>
        <v/>
      </c>
      <c r="L147" s="23">
        <f>IFERROR(INDEX('Chart of Accounts'!$C$5:$C$3000,MATCH(J147&amp;"",'Chart of Accounts'!$A$5:$A$3000,0))&amp;"|"&amp;INDEX('Chart of Accounts'!$D$5:$D$3000,MATCH(J147&amp;"",'Chart of Accounts'!$A$5:$A$3000,0)),"")</f>
        <v/>
      </c>
      <c r="M147" s="23">
        <f>IFERROR(INDEX('Chart of Accounts'!$C$5:$C$3000,MATCH(K147&amp;"",'Chart of Accounts'!$A$5:$A$3000,0))&amp;"|"&amp;INDEX('Chart of Accounts'!$D$5:$D$3000,MATCH(K147&amp;"",'Chart of Accounts'!$A$5:$A$3000,0)),"")</f>
        <v/>
      </c>
      <c r="N147" s="23">
        <f>IF(LEFT(L147,8)="Revenue|",-N(D147),0)+IF(LEFT(M147,8)="Revenue|",N(D147),0)</f>
        <v/>
      </c>
      <c r="O147" s="23">
        <f>IF(LEFT(L147,5)="COGS|",N(D147),0)+IF(LEFT(M147,5)="COGS|",-N(D147),0)</f>
        <v/>
      </c>
      <c r="P147" s="23">
        <f>IF(LEFT(L147,8)="Expense|",N(D147),0)+IF(LEFT(M147,8)="Expense|",-N(D147),0)</f>
        <v/>
      </c>
      <c r="Q147" s="23">
        <f>IF(ISNUMBER(MATCH(L147,{"Expense|employee","Expense|general_admin","Expense|marketing","Expense|utilities","Expense|other_operating"},0)),N(D147),0)+IF(ISNUMBER(MATCH(M147,{"Expense|employee","Expense|general_admin","Expense|marketing","Expense|utilities","Expense|other_operating"},0)),-N(D147),0)</f>
        <v/>
      </c>
      <c r="R147" s="23">
        <f>IF(L147="Liability|payable",-N(D147),0)+IF(M147="Liability|payable",N(D147),0)</f>
        <v/>
      </c>
      <c r="S147" s="23">
        <f>IF(L147="Liability|accrued",-N(D147),0)+IF(M147="Liability|accrued",N(D147),0)</f>
        <v/>
      </c>
      <c r="T147" s="23">
        <f>IF(AND(N(D147)&lt;&gt;0,L147=""),1,0)+IF(AND(N(D147)&lt;&gt;0,M147=""),1,0)</f>
        <v/>
      </c>
    </row>
    <row r="148">
      <c r="A148" s="19" t="n"/>
      <c r="B148" s="14" t="n"/>
      <c r="C148" s="14" t="n"/>
      <c r="D148" s="20" t="n"/>
      <c r="E148" s="14" t="n"/>
      <c r="F148" s="14" t="n"/>
      <c r="G148" s="14" t="n"/>
      <c r="H148" s="14" t="n"/>
      <c r="I148" s="14" t="n"/>
      <c r="J148" s="16">
        <f>IF(C148="",INDEX('Chart of Accounts'!$A$5:$A$3000,MATCH("ap",'Chart of Accounts'!$F$5:$F$3000,0)),C148&amp;"")</f>
        <v/>
      </c>
      <c r="K148" s="16">
        <f>IF(F148="",INDEX('Chart of Accounts'!$A$5:$A$3000,MATCH("bank",'Chart of Accounts'!$F$5:$F$3000,0)),F148&amp;"")</f>
        <v/>
      </c>
      <c r="L148" s="23">
        <f>IFERROR(INDEX('Chart of Accounts'!$C$5:$C$3000,MATCH(J148&amp;"",'Chart of Accounts'!$A$5:$A$3000,0))&amp;"|"&amp;INDEX('Chart of Accounts'!$D$5:$D$3000,MATCH(J148&amp;"",'Chart of Accounts'!$A$5:$A$3000,0)),"")</f>
        <v/>
      </c>
      <c r="M148" s="23">
        <f>IFERROR(INDEX('Chart of Accounts'!$C$5:$C$3000,MATCH(K148&amp;"",'Chart of Accounts'!$A$5:$A$3000,0))&amp;"|"&amp;INDEX('Chart of Accounts'!$D$5:$D$3000,MATCH(K148&amp;"",'Chart of Accounts'!$A$5:$A$3000,0)),"")</f>
        <v/>
      </c>
      <c r="N148" s="23">
        <f>IF(LEFT(L148,8)="Revenue|",-N(D148),0)+IF(LEFT(M148,8)="Revenue|",N(D148),0)</f>
        <v/>
      </c>
      <c r="O148" s="23">
        <f>IF(LEFT(L148,5)="COGS|",N(D148),0)+IF(LEFT(M148,5)="COGS|",-N(D148),0)</f>
        <v/>
      </c>
      <c r="P148" s="23">
        <f>IF(LEFT(L148,8)="Expense|",N(D148),0)+IF(LEFT(M148,8)="Expense|",-N(D148),0)</f>
        <v/>
      </c>
      <c r="Q148" s="23">
        <f>IF(ISNUMBER(MATCH(L148,{"Expense|employee","Expense|general_admin","Expense|marketing","Expense|utilities","Expense|other_operating"},0)),N(D148),0)+IF(ISNUMBER(MATCH(M148,{"Expense|employee","Expense|general_admin","Expense|marketing","Expense|utilities","Expense|other_operating"},0)),-N(D148),0)</f>
        <v/>
      </c>
      <c r="R148" s="23">
        <f>IF(L148="Liability|payable",-N(D148),0)+IF(M148="Liability|payable",N(D148),0)</f>
        <v/>
      </c>
      <c r="S148" s="23">
        <f>IF(L148="Liability|accrued",-N(D148),0)+IF(M148="Liability|accrued",N(D148),0)</f>
        <v/>
      </c>
      <c r="T148" s="23">
        <f>IF(AND(N(D148)&lt;&gt;0,L148=""),1,0)+IF(AND(N(D148)&lt;&gt;0,M148=""),1,0)</f>
        <v/>
      </c>
    </row>
    <row r="149">
      <c r="A149" s="19" t="n"/>
      <c r="B149" s="14" t="n"/>
      <c r="C149" s="14" t="n"/>
      <c r="D149" s="20" t="n"/>
      <c r="E149" s="14" t="n"/>
      <c r="F149" s="14" t="n"/>
      <c r="G149" s="14" t="n"/>
      <c r="H149" s="14" t="n"/>
      <c r="I149" s="14" t="n"/>
      <c r="J149" s="16">
        <f>IF(C149="",INDEX('Chart of Accounts'!$A$5:$A$3000,MATCH("ap",'Chart of Accounts'!$F$5:$F$3000,0)),C149&amp;"")</f>
        <v/>
      </c>
      <c r="K149" s="16">
        <f>IF(F149="",INDEX('Chart of Accounts'!$A$5:$A$3000,MATCH("bank",'Chart of Accounts'!$F$5:$F$3000,0)),F149&amp;"")</f>
        <v/>
      </c>
      <c r="L149" s="23">
        <f>IFERROR(INDEX('Chart of Accounts'!$C$5:$C$3000,MATCH(J149&amp;"",'Chart of Accounts'!$A$5:$A$3000,0))&amp;"|"&amp;INDEX('Chart of Accounts'!$D$5:$D$3000,MATCH(J149&amp;"",'Chart of Accounts'!$A$5:$A$3000,0)),"")</f>
        <v/>
      </c>
      <c r="M149" s="23">
        <f>IFERROR(INDEX('Chart of Accounts'!$C$5:$C$3000,MATCH(K149&amp;"",'Chart of Accounts'!$A$5:$A$3000,0))&amp;"|"&amp;INDEX('Chart of Accounts'!$D$5:$D$3000,MATCH(K149&amp;"",'Chart of Accounts'!$A$5:$A$3000,0)),"")</f>
        <v/>
      </c>
      <c r="N149" s="23">
        <f>IF(LEFT(L149,8)="Revenue|",-N(D149),0)+IF(LEFT(M149,8)="Revenue|",N(D149),0)</f>
        <v/>
      </c>
      <c r="O149" s="23">
        <f>IF(LEFT(L149,5)="COGS|",N(D149),0)+IF(LEFT(M149,5)="COGS|",-N(D149),0)</f>
        <v/>
      </c>
      <c r="P149" s="23">
        <f>IF(LEFT(L149,8)="Expense|",N(D149),0)+IF(LEFT(M149,8)="Expense|",-N(D149),0)</f>
        <v/>
      </c>
      <c r="Q149" s="23">
        <f>IF(ISNUMBER(MATCH(L149,{"Expense|employee","Expense|general_admin","Expense|marketing","Expense|utilities","Expense|other_operating"},0)),N(D149),0)+IF(ISNUMBER(MATCH(M149,{"Expense|employee","Expense|general_admin","Expense|marketing","Expense|utilities","Expense|other_operating"},0)),-N(D149),0)</f>
        <v/>
      </c>
      <c r="R149" s="23">
        <f>IF(L149="Liability|payable",-N(D149),0)+IF(M149="Liability|payable",N(D149),0)</f>
        <v/>
      </c>
      <c r="S149" s="23">
        <f>IF(L149="Liability|accrued",-N(D149),0)+IF(M149="Liability|accrued",N(D149),0)</f>
        <v/>
      </c>
      <c r="T149" s="23">
        <f>IF(AND(N(D149)&lt;&gt;0,L149=""),1,0)+IF(AND(N(D149)&lt;&gt;0,M149=""),1,0)</f>
        <v/>
      </c>
    </row>
    <row r="150">
      <c r="A150" s="19" t="n"/>
      <c r="B150" s="14" t="n"/>
      <c r="C150" s="14" t="n"/>
      <c r="D150" s="20" t="n"/>
      <c r="E150" s="14" t="n"/>
      <c r="F150" s="14" t="n"/>
      <c r="G150" s="14" t="n"/>
      <c r="H150" s="14" t="n"/>
      <c r="I150" s="14" t="n"/>
      <c r="J150" s="16">
        <f>IF(C150="",INDEX('Chart of Accounts'!$A$5:$A$3000,MATCH("ap",'Chart of Accounts'!$F$5:$F$3000,0)),C150&amp;"")</f>
        <v/>
      </c>
      <c r="K150" s="16">
        <f>IF(F150="",INDEX('Chart of Accounts'!$A$5:$A$3000,MATCH("bank",'Chart of Accounts'!$F$5:$F$3000,0)),F150&amp;"")</f>
        <v/>
      </c>
      <c r="L150" s="23">
        <f>IFERROR(INDEX('Chart of Accounts'!$C$5:$C$3000,MATCH(J150&amp;"",'Chart of Accounts'!$A$5:$A$3000,0))&amp;"|"&amp;INDEX('Chart of Accounts'!$D$5:$D$3000,MATCH(J150&amp;"",'Chart of Accounts'!$A$5:$A$3000,0)),"")</f>
        <v/>
      </c>
      <c r="M150" s="23">
        <f>IFERROR(INDEX('Chart of Accounts'!$C$5:$C$3000,MATCH(K150&amp;"",'Chart of Accounts'!$A$5:$A$3000,0))&amp;"|"&amp;INDEX('Chart of Accounts'!$D$5:$D$3000,MATCH(K150&amp;"",'Chart of Accounts'!$A$5:$A$3000,0)),"")</f>
        <v/>
      </c>
      <c r="N150" s="23">
        <f>IF(LEFT(L150,8)="Revenue|",-N(D150),0)+IF(LEFT(M150,8)="Revenue|",N(D150),0)</f>
        <v/>
      </c>
      <c r="O150" s="23">
        <f>IF(LEFT(L150,5)="COGS|",N(D150),0)+IF(LEFT(M150,5)="COGS|",-N(D150),0)</f>
        <v/>
      </c>
      <c r="P150" s="23">
        <f>IF(LEFT(L150,8)="Expense|",N(D150),0)+IF(LEFT(M150,8)="Expense|",-N(D150),0)</f>
        <v/>
      </c>
      <c r="Q150" s="23">
        <f>IF(ISNUMBER(MATCH(L150,{"Expense|employee","Expense|general_admin","Expense|marketing","Expense|utilities","Expense|other_operating"},0)),N(D150),0)+IF(ISNUMBER(MATCH(M150,{"Expense|employee","Expense|general_admin","Expense|marketing","Expense|utilities","Expense|other_operating"},0)),-N(D150),0)</f>
        <v/>
      </c>
      <c r="R150" s="23">
        <f>IF(L150="Liability|payable",-N(D150),0)+IF(M150="Liability|payable",N(D150),0)</f>
        <v/>
      </c>
      <c r="S150" s="23">
        <f>IF(L150="Liability|accrued",-N(D150),0)+IF(M150="Liability|accrued",N(D150),0)</f>
        <v/>
      </c>
      <c r="T150" s="23">
        <f>IF(AND(N(D150)&lt;&gt;0,L150=""),1,0)+IF(AND(N(D150)&lt;&gt;0,M150=""),1,0)</f>
        <v/>
      </c>
    </row>
    <row r="151">
      <c r="A151" s="19" t="n"/>
      <c r="B151" s="14" t="n"/>
      <c r="C151" s="14" t="n"/>
      <c r="D151" s="20" t="n"/>
      <c r="E151" s="14" t="n"/>
      <c r="F151" s="14" t="n"/>
      <c r="G151" s="14" t="n"/>
      <c r="H151" s="14" t="n"/>
      <c r="I151" s="14" t="n"/>
      <c r="J151" s="16">
        <f>IF(C151="",INDEX('Chart of Accounts'!$A$5:$A$3000,MATCH("ap",'Chart of Accounts'!$F$5:$F$3000,0)),C151&amp;"")</f>
        <v/>
      </c>
      <c r="K151" s="16">
        <f>IF(F151="",INDEX('Chart of Accounts'!$A$5:$A$3000,MATCH("bank",'Chart of Accounts'!$F$5:$F$3000,0)),F151&amp;"")</f>
        <v/>
      </c>
      <c r="L151" s="23">
        <f>IFERROR(INDEX('Chart of Accounts'!$C$5:$C$3000,MATCH(J151&amp;"",'Chart of Accounts'!$A$5:$A$3000,0))&amp;"|"&amp;INDEX('Chart of Accounts'!$D$5:$D$3000,MATCH(J151&amp;"",'Chart of Accounts'!$A$5:$A$3000,0)),"")</f>
        <v/>
      </c>
      <c r="M151" s="23">
        <f>IFERROR(INDEX('Chart of Accounts'!$C$5:$C$3000,MATCH(K151&amp;"",'Chart of Accounts'!$A$5:$A$3000,0))&amp;"|"&amp;INDEX('Chart of Accounts'!$D$5:$D$3000,MATCH(K151&amp;"",'Chart of Accounts'!$A$5:$A$3000,0)),"")</f>
        <v/>
      </c>
      <c r="N151" s="23">
        <f>IF(LEFT(L151,8)="Revenue|",-N(D151),0)+IF(LEFT(M151,8)="Revenue|",N(D151),0)</f>
        <v/>
      </c>
      <c r="O151" s="23">
        <f>IF(LEFT(L151,5)="COGS|",N(D151),0)+IF(LEFT(M151,5)="COGS|",-N(D151),0)</f>
        <v/>
      </c>
      <c r="P151" s="23">
        <f>IF(LEFT(L151,8)="Expense|",N(D151),0)+IF(LEFT(M151,8)="Expense|",-N(D151),0)</f>
        <v/>
      </c>
      <c r="Q151" s="23">
        <f>IF(ISNUMBER(MATCH(L151,{"Expense|employee","Expense|general_admin","Expense|marketing","Expense|utilities","Expense|other_operating"},0)),N(D151),0)+IF(ISNUMBER(MATCH(M151,{"Expense|employee","Expense|general_admin","Expense|marketing","Expense|utilities","Expense|other_operating"},0)),-N(D151),0)</f>
        <v/>
      </c>
      <c r="R151" s="23">
        <f>IF(L151="Liability|payable",-N(D151),0)+IF(M151="Liability|payable",N(D151),0)</f>
        <v/>
      </c>
      <c r="S151" s="23">
        <f>IF(L151="Liability|accrued",-N(D151),0)+IF(M151="Liability|accrued",N(D151),0)</f>
        <v/>
      </c>
      <c r="T151" s="23">
        <f>IF(AND(N(D151)&lt;&gt;0,L151=""),1,0)+IF(AND(N(D151)&lt;&gt;0,M151=""),1,0)</f>
        <v/>
      </c>
    </row>
    <row r="152">
      <c r="A152" s="19" t="n"/>
      <c r="B152" s="14" t="n"/>
      <c r="C152" s="14" t="n"/>
      <c r="D152" s="20" t="n"/>
      <c r="E152" s="14" t="n"/>
      <c r="F152" s="14" t="n"/>
      <c r="G152" s="14" t="n"/>
      <c r="H152" s="14" t="n"/>
      <c r="I152" s="14" t="n"/>
      <c r="J152" s="16">
        <f>IF(C152="",INDEX('Chart of Accounts'!$A$5:$A$3000,MATCH("ap",'Chart of Accounts'!$F$5:$F$3000,0)),C152&amp;"")</f>
        <v/>
      </c>
      <c r="K152" s="16">
        <f>IF(F152="",INDEX('Chart of Accounts'!$A$5:$A$3000,MATCH("bank",'Chart of Accounts'!$F$5:$F$3000,0)),F152&amp;"")</f>
        <v/>
      </c>
      <c r="L152" s="23">
        <f>IFERROR(INDEX('Chart of Accounts'!$C$5:$C$3000,MATCH(J152&amp;"",'Chart of Accounts'!$A$5:$A$3000,0))&amp;"|"&amp;INDEX('Chart of Accounts'!$D$5:$D$3000,MATCH(J152&amp;"",'Chart of Accounts'!$A$5:$A$3000,0)),"")</f>
        <v/>
      </c>
      <c r="M152" s="23">
        <f>IFERROR(INDEX('Chart of Accounts'!$C$5:$C$3000,MATCH(K152&amp;"",'Chart of Accounts'!$A$5:$A$3000,0))&amp;"|"&amp;INDEX('Chart of Accounts'!$D$5:$D$3000,MATCH(K152&amp;"",'Chart of Accounts'!$A$5:$A$3000,0)),"")</f>
        <v/>
      </c>
      <c r="N152" s="23">
        <f>IF(LEFT(L152,8)="Revenue|",-N(D152),0)+IF(LEFT(M152,8)="Revenue|",N(D152),0)</f>
        <v/>
      </c>
      <c r="O152" s="23">
        <f>IF(LEFT(L152,5)="COGS|",N(D152),0)+IF(LEFT(M152,5)="COGS|",-N(D152),0)</f>
        <v/>
      </c>
      <c r="P152" s="23">
        <f>IF(LEFT(L152,8)="Expense|",N(D152),0)+IF(LEFT(M152,8)="Expense|",-N(D152),0)</f>
        <v/>
      </c>
      <c r="Q152" s="23">
        <f>IF(ISNUMBER(MATCH(L152,{"Expense|employee","Expense|general_admin","Expense|marketing","Expense|utilities","Expense|other_operating"},0)),N(D152),0)+IF(ISNUMBER(MATCH(M152,{"Expense|employee","Expense|general_admin","Expense|marketing","Expense|utilities","Expense|other_operating"},0)),-N(D152),0)</f>
        <v/>
      </c>
      <c r="R152" s="23">
        <f>IF(L152="Liability|payable",-N(D152),0)+IF(M152="Liability|payable",N(D152),0)</f>
        <v/>
      </c>
      <c r="S152" s="23">
        <f>IF(L152="Liability|accrued",-N(D152),0)+IF(M152="Liability|accrued",N(D152),0)</f>
        <v/>
      </c>
      <c r="T152" s="23">
        <f>IF(AND(N(D152)&lt;&gt;0,L152=""),1,0)+IF(AND(N(D152)&lt;&gt;0,M152=""),1,0)</f>
        <v/>
      </c>
    </row>
    <row r="153">
      <c r="A153" s="19" t="n"/>
      <c r="B153" s="14" t="n"/>
      <c r="C153" s="14" t="n"/>
      <c r="D153" s="20" t="n"/>
      <c r="E153" s="14" t="n"/>
      <c r="F153" s="14" t="n"/>
      <c r="G153" s="14" t="n"/>
      <c r="H153" s="14" t="n"/>
      <c r="I153" s="14" t="n"/>
      <c r="J153" s="16">
        <f>IF(C153="",INDEX('Chart of Accounts'!$A$5:$A$3000,MATCH("ap",'Chart of Accounts'!$F$5:$F$3000,0)),C153&amp;"")</f>
        <v/>
      </c>
      <c r="K153" s="16">
        <f>IF(F153="",INDEX('Chart of Accounts'!$A$5:$A$3000,MATCH("bank",'Chart of Accounts'!$F$5:$F$3000,0)),F153&amp;"")</f>
        <v/>
      </c>
      <c r="L153" s="23">
        <f>IFERROR(INDEX('Chart of Accounts'!$C$5:$C$3000,MATCH(J153&amp;"",'Chart of Accounts'!$A$5:$A$3000,0))&amp;"|"&amp;INDEX('Chart of Accounts'!$D$5:$D$3000,MATCH(J153&amp;"",'Chart of Accounts'!$A$5:$A$3000,0)),"")</f>
        <v/>
      </c>
      <c r="M153" s="23">
        <f>IFERROR(INDEX('Chart of Accounts'!$C$5:$C$3000,MATCH(K153&amp;"",'Chart of Accounts'!$A$5:$A$3000,0))&amp;"|"&amp;INDEX('Chart of Accounts'!$D$5:$D$3000,MATCH(K153&amp;"",'Chart of Accounts'!$A$5:$A$3000,0)),"")</f>
        <v/>
      </c>
      <c r="N153" s="23">
        <f>IF(LEFT(L153,8)="Revenue|",-N(D153),0)+IF(LEFT(M153,8)="Revenue|",N(D153),0)</f>
        <v/>
      </c>
      <c r="O153" s="23">
        <f>IF(LEFT(L153,5)="COGS|",N(D153),0)+IF(LEFT(M153,5)="COGS|",-N(D153),0)</f>
        <v/>
      </c>
      <c r="P153" s="23">
        <f>IF(LEFT(L153,8)="Expense|",N(D153),0)+IF(LEFT(M153,8)="Expense|",-N(D153),0)</f>
        <v/>
      </c>
      <c r="Q153" s="23">
        <f>IF(ISNUMBER(MATCH(L153,{"Expense|employee","Expense|general_admin","Expense|marketing","Expense|utilities","Expense|other_operating"},0)),N(D153),0)+IF(ISNUMBER(MATCH(M153,{"Expense|employee","Expense|general_admin","Expense|marketing","Expense|utilities","Expense|other_operating"},0)),-N(D153),0)</f>
        <v/>
      </c>
      <c r="R153" s="23">
        <f>IF(L153="Liability|payable",-N(D153),0)+IF(M153="Liability|payable",N(D153),0)</f>
        <v/>
      </c>
      <c r="S153" s="23">
        <f>IF(L153="Liability|accrued",-N(D153),0)+IF(M153="Liability|accrued",N(D153),0)</f>
        <v/>
      </c>
      <c r="T153" s="23">
        <f>IF(AND(N(D153)&lt;&gt;0,L153=""),1,0)+IF(AND(N(D153)&lt;&gt;0,M153=""),1,0)</f>
        <v/>
      </c>
    </row>
    <row r="154">
      <c r="A154" s="19" t="n"/>
      <c r="B154" s="14" t="n"/>
      <c r="C154" s="14" t="n"/>
      <c r="D154" s="20" t="n"/>
      <c r="E154" s="14" t="n"/>
      <c r="F154" s="14" t="n"/>
      <c r="G154" s="14" t="n"/>
      <c r="H154" s="14" t="n"/>
      <c r="I154" s="14" t="n"/>
      <c r="J154" s="16">
        <f>IF(C154="",INDEX('Chart of Accounts'!$A$5:$A$3000,MATCH("ap",'Chart of Accounts'!$F$5:$F$3000,0)),C154&amp;"")</f>
        <v/>
      </c>
      <c r="K154" s="16">
        <f>IF(F154="",INDEX('Chart of Accounts'!$A$5:$A$3000,MATCH("bank",'Chart of Accounts'!$F$5:$F$3000,0)),F154&amp;"")</f>
        <v/>
      </c>
      <c r="L154" s="23">
        <f>IFERROR(INDEX('Chart of Accounts'!$C$5:$C$3000,MATCH(J154&amp;"",'Chart of Accounts'!$A$5:$A$3000,0))&amp;"|"&amp;INDEX('Chart of Accounts'!$D$5:$D$3000,MATCH(J154&amp;"",'Chart of Accounts'!$A$5:$A$3000,0)),"")</f>
        <v/>
      </c>
      <c r="M154" s="23">
        <f>IFERROR(INDEX('Chart of Accounts'!$C$5:$C$3000,MATCH(K154&amp;"",'Chart of Accounts'!$A$5:$A$3000,0))&amp;"|"&amp;INDEX('Chart of Accounts'!$D$5:$D$3000,MATCH(K154&amp;"",'Chart of Accounts'!$A$5:$A$3000,0)),"")</f>
        <v/>
      </c>
      <c r="N154" s="23">
        <f>IF(LEFT(L154,8)="Revenue|",-N(D154),0)+IF(LEFT(M154,8)="Revenue|",N(D154),0)</f>
        <v/>
      </c>
      <c r="O154" s="23">
        <f>IF(LEFT(L154,5)="COGS|",N(D154),0)+IF(LEFT(M154,5)="COGS|",-N(D154),0)</f>
        <v/>
      </c>
      <c r="P154" s="23">
        <f>IF(LEFT(L154,8)="Expense|",N(D154),0)+IF(LEFT(M154,8)="Expense|",-N(D154),0)</f>
        <v/>
      </c>
      <c r="Q154" s="23">
        <f>IF(ISNUMBER(MATCH(L154,{"Expense|employee","Expense|general_admin","Expense|marketing","Expense|utilities","Expense|other_operating"},0)),N(D154),0)+IF(ISNUMBER(MATCH(M154,{"Expense|employee","Expense|general_admin","Expense|marketing","Expense|utilities","Expense|other_operating"},0)),-N(D154),0)</f>
        <v/>
      </c>
      <c r="R154" s="23">
        <f>IF(L154="Liability|payable",-N(D154),0)+IF(M154="Liability|payable",N(D154),0)</f>
        <v/>
      </c>
      <c r="S154" s="23">
        <f>IF(L154="Liability|accrued",-N(D154),0)+IF(M154="Liability|accrued",N(D154),0)</f>
        <v/>
      </c>
      <c r="T154" s="23">
        <f>IF(AND(N(D154)&lt;&gt;0,L154=""),1,0)+IF(AND(N(D154)&lt;&gt;0,M154=""),1,0)</f>
        <v/>
      </c>
    </row>
    <row r="155">
      <c r="A155" s="19" t="n"/>
      <c r="B155" s="14" t="n"/>
      <c r="C155" s="14" t="n"/>
      <c r="D155" s="20" t="n"/>
      <c r="E155" s="14" t="n"/>
      <c r="F155" s="14" t="n"/>
      <c r="G155" s="14" t="n"/>
      <c r="H155" s="14" t="n"/>
      <c r="I155" s="14" t="n"/>
      <c r="J155" s="16">
        <f>IF(C155="",INDEX('Chart of Accounts'!$A$5:$A$3000,MATCH("ap",'Chart of Accounts'!$F$5:$F$3000,0)),C155&amp;"")</f>
        <v/>
      </c>
      <c r="K155" s="16">
        <f>IF(F155="",INDEX('Chart of Accounts'!$A$5:$A$3000,MATCH("bank",'Chart of Accounts'!$F$5:$F$3000,0)),F155&amp;"")</f>
        <v/>
      </c>
      <c r="L155" s="23">
        <f>IFERROR(INDEX('Chart of Accounts'!$C$5:$C$3000,MATCH(J155&amp;"",'Chart of Accounts'!$A$5:$A$3000,0))&amp;"|"&amp;INDEX('Chart of Accounts'!$D$5:$D$3000,MATCH(J155&amp;"",'Chart of Accounts'!$A$5:$A$3000,0)),"")</f>
        <v/>
      </c>
      <c r="M155" s="23">
        <f>IFERROR(INDEX('Chart of Accounts'!$C$5:$C$3000,MATCH(K155&amp;"",'Chart of Accounts'!$A$5:$A$3000,0))&amp;"|"&amp;INDEX('Chart of Accounts'!$D$5:$D$3000,MATCH(K155&amp;"",'Chart of Accounts'!$A$5:$A$3000,0)),"")</f>
        <v/>
      </c>
      <c r="N155" s="23">
        <f>IF(LEFT(L155,8)="Revenue|",-N(D155),0)+IF(LEFT(M155,8)="Revenue|",N(D155),0)</f>
        <v/>
      </c>
      <c r="O155" s="23">
        <f>IF(LEFT(L155,5)="COGS|",N(D155),0)+IF(LEFT(M155,5)="COGS|",-N(D155),0)</f>
        <v/>
      </c>
      <c r="P155" s="23">
        <f>IF(LEFT(L155,8)="Expense|",N(D155),0)+IF(LEFT(M155,8)="Expense|",-N(D155),0)</f>
        <v/>
      </c>
      <c r="Q155" s="23">
        <f>IF(ISNUMBER(MATCH(L155,{"Expense|employee","Expense|general_admin","Expense|marketing","Expense|utilities","Expense|other_operating"},0)),N(D155),0)+IF(ISNUMBER(MATCH(M155,{"Expense|employee","Expense|general_admin","Expense|marketing","Expense|utilities","Expense|other_operating"},0)),-N(D155),0)</f>
        <v/>
      </c>
      <c r="R155" s="23">
        <f>IF(L155="Liability|payable",-N(D155),0)+IF(M155="Liability|payable",N(D155),0)</f>
        <v/>
      </c>
      <c r="S155" s="23">
        <f>IF(L155="Liability|accrued",-N(D155),0)+IF(M155="Liability|accrued",N(D155),0)</f>
        <v/>
      </c>
      <c r="T155" s="23">
        <f>IF(AND(N(D155)&lt;&gt;0,L155=""),1,0)+IF(AND(N(D155)&lt;&gt;0,M155=""),1,0)</f>
        <v/>
      </c>
    </row>
    <row r="156">
      <c r="A156" s="19" t="n"/>
      <c r="B156" s="14" t="n"/>
      <c r="C156" s="14" t="n"/>
      <c r="D156" s="20" t="n"/>
      <c r="E156" s="14" t="n"/>
      <c r="F156" s="14" t="n"/>
      <c r="G156" s="14" t="n"/>
      <c r="H156" s="14" t="n"/>
      <c r="I156" s="14" t="n"/>
      <c r="J156" s="16">
        <f>IF(C156="",INDEX('Chart of Accounts'!$A$5:$A$3000,MATCH("ap",'Chart of Accounts'!$F$5:$F$3000,0)),C156&amp;"")</f>
        <v/>
      </c>
      <c r="K156" s="16">
        <f>IF(F156="",INDEX('Chart of Accounts'!$A$5:$A$3000,MATCH("bank",'Chart of Accounts'!$F$5:$F$3000,0)),F156&amp;"")</f>
        <v/>
      </c>
      <c r="L156" s="23">
        <f>IFERROR(INDEX('Chart of Accounts'!$C$5:$C$3000,MATCH(J156&amp;"",'Chart of Accounts'!$A$5:$A$3000,0))&amp;"|"&amp;INDEX('Chart of Accounts'!$D$5:$D$3000,MATCH(J156&amp;"",'Chart of Accounts'!$A$5:$A$3000,0)),"")</f>
        <v/>
      </c>
      <c r="M156" s="23">
        <f>IFERROR(INDEX('Chart of Accounts'!$C$5:$C$3000,MATCH(K156&amp;"",'Chart of Accounts'!$A$5:$A$3000,0))&amp;"|"&amp;INDEX('Chart of Accounts'!$D$5:$D$3000,MATCH(K156&amp;"",'Chart of Accounts'!$A$5:$A$3000,0)),"")</f>
        <v/>
      </c>
      <c r="N156" s="23">
        <f>IF(LEFT(L156,8)="Revenue|",-N(D156),0)+IF(LEFT(M156,8)="Revenue|",N(D156),0)</f>
        <v/>
      </c>
      <c r="O156" s="23">
        <f>IF(LEFT(L156,5)="COGS|",N(D156),0)+IF(LEFT(M156,5)="COGS|",-N(D156),0)</f>
        <v/>
      </c>
      <c r="P156" s="23">
        <f>IF(LEFT(L156,8)="Expense|",N(D156),0)+IF(LEFT(M156,8)="Expense|",-N(D156),0)</f>
        <v/>
      </c>
      <c r="Q156" s="23">
        <f>IF(ISNUMBER(MATCH(L156,{"Expense|employee","Expense|general_admin","Expense|marketing","Expense|utilities","Expense|other_operating"},0)),N(D156),0)+IF(ISNUMBER(MATCH(M156,{"Expense|employee","Expense|general_admin","Expense|marketing","Expense|utilities","Expense|other_operating"},0)),-N(D156),0)</f>
        <v/>
      </c>
      <c r="R156" s="23">
        <f>IF(L156="Liability|payable",-N(D156),0)+IF(M156="Liability|payable",N(D156),0)</f>
        <v/>
      </c>
      <c r="S156" s="23">
        <f>IF(L156="Liability|accrued",-N(D156),0)+IF(M156="Liability|accrued",N(D156),0)</f>
        <v/>
      </c>
      <c r="T156" s="23">
        <f>IF(AND(N(D156)&lt;&gt;0,L156=""),1,0)+IF(AND(N(D156)&lt;&gt;0,M156=""),1,0)</f>
        <v/>
      </c>
    </row>
    <row r="157">
      <c r="A157" s="19" t="n"/>
      <c r="B157" s="14" t="n"/>
      <c r="C157" s="14" t="n"/>
      <c r="D157" s="20" t="n"/>
      <c r="E157" s="14" t="n"/>
      <c r="F157" s="14" t="n"/>
      <c r="G157" s="14" t="n"/>
      <c r="H157" s="14" t="n"/>
      <c r="I157" s="14" t="n"/>
      <c r="J157" s="16">
        <f>IF(C157="",INDEX('Chart of Accounts'!$A$5:$A$3000,MATCH("ap",'Chart of Accounts'!$F$5:$F$3000,0)),C157&amp;"")</f>
        <v/>
      </c>
      <c r="K157" s="16">
        <f>IF(F157="",INDEX('Chart of Accounts'!$A$5:$A$3000,MATCH("bank",'Chart of Accounts'!$F$5:$F$3000,0)),F157&amp;"")</f>
        <v/>
      </c>
      <c r="L157" s="23">
        <f>IFERROR(INDEX('Chart of Accounts'!$C$5:$C$3000,MATCH(J157&amp;"",'Chart of Accounts'!$A$5:$A$3000,0))&amp;"|"&amp;INDEX('Chart of Accounts'!$D$5:$D$3000,MATCH(J157&amp;"",'Chart of Accounts'!$A$5:$A$3000,0)),"")</f>
        <v/>
      </c>
      <c r="M157" s="23">
        <f>IFERROR(INDEX('Chart of Accounts'!$C$5:$C$3000,MATCH(K157&amp;"",'Chart of Accounts'!$A$5:$A$3000,0))&amp;"|"&amp;INDEX('Chart of Accounts'!$D$5:$D$3000,MATCH(K157&amp;"",'Chart of Accounts'!$A$5:$A$3000,0)),"")</f>
        <v/>
      </c>
      <c r="N157" s="23">
        <f>IF(LEFT(L157,8)="Revenue|",-N(D157),0)+IF(LEFT(M157,8)="Revenue|",N(D157),0)</f>
        <v/>
      </c>
      <c r="O157" s="23">
        <f>IF(LEFT(L157,5)="COGS|",N(D157),0)+IF(LEFT(M157,5)="COGS|",-N(D157),0)</f>
        <v/>
      </c>
      <c r="P157" s="23">
        <f>IF(LEFT(L157,8)="Expense|",N(D157),0)+IF(LEFT(M157,8)="Expense|",-N(D157),0)</f>
        <v/>
      </c>
      <c r="Q157" s="23">
        <f>IF(ISNUMBER(MATCH(L157,{"Expense|employee","Expense|general_admin","Expense|marketing","Expense|utilities","Expense|other_operating"},0)),N(D157),0)+IF(ISNUMBER(MATCH(M157,{"Expense|employee","Expense|general_admin","Expense|marketing","Expense|utilities","Expense|other_operating"},0)),-N(D157),0)</f>
        <v/>
      </c>
      <c r="R157" s="23">
        <f>IF(L157="Liability|payable",-N(D157),0)+IF(M157="Liability|payable",N(D157),0)</f>
        <v/>
      </c>
      <c r="S157" s="23">
        <f>IF(L157="Liability|accrued",-N(D157),0)+IF(M157="Liability|accrued",N(D157),0)</f>
        <v/>
      </c>
      <c r="T157" s="23">
        <f>IF(AND(N(D157)&lt;&gt;0,L157=""),1,0)+IF(AND(N(D157)&lt;&gt;0,M157=""),1,0)</f>
        <v/>
      </c>
    </row>
    <row r="158">
      <c r="A158" s="19" t="n"/>
      <c r="B158" s="14" t="n"/>
      <c r="C158" s="14" t="n"/>
      <c r="D158" s="20" t="n"/>
      <c r="E158" s="14" t="n"/>
      <c r="F158" s="14" t="n"/>
      <c r="G158" s="14" t="n"/>
      <c r="H158" s="14" t="n"/>
      <c r="I158" s="14" t="n"/>
      <c r="J158" s="16">
        <f>IF(C158="",INDEX('Chart of Accounts'!$A$5:$A$3000,MATCH("ap",'Chart of Accounts'!$F$5:$F$3000,0)),C158&amp;"")</f>
        <v/>
      </c>
      <c r="K158" s="16">
        <f>IF(F158="",INDEX('Chart of Accounts'!$A$5:$A$3000,MATCH("bank",'Chart of Accounts'!$F$5:$F$3000,0)),F158&amp;"")</f>
        <v/>
      </c>
      <c r="L158" s="23">
        <f>IFERROR(INDEX('Chart of Accounts'!$C$5:$C$3000,MATCH(J158&amp;"",'Chart of Accounts'!$A$5:$A$3000,0))&amp;"|"&amp;INDEX('Chart of Accounts'!$D$5:$D$3000,MATCH(J158&amp;"",'Chart of Accounts'!$A$5:$A$3000,0)),"")</f>
        <v/>
      </c>
      <c r="M158" s="23">
        <f>IFERROR(INDEX('Chart of Accounts'!$C$5:$C$3000,MATCH(K158&amp;"",'Chart of Accounts'!$A$5:$A$3000,0))&amp;"|"&amp;INDEX('Chart of Accounts'!$D$5:$D$3000,MATCH(K158&amp;"",'Chart of Accounts'!$A$5:$A$3000,0)),"")</f>
        <v/>
      </c>
      <c r="N158" s="23">
        <f>IF(LEFT(L158,8)="Revenue|",-N(D158),0)+IF(LEFT(M158,8)="Revenue|",N(D158),0)</f>
        <v/>
      </c>
      <c r="O158" s="23">
        <f>IF(LEFT(L158,5)="COGS|",N(D158),0)+IF(LEFT(M158,5)="COGS|",-N(D158),0)</f>
        <v/>
      </c>
      <c r="P158" s="23">
        <f>IF(LEFT(L158,8)="Expense|",N(D158),0)+IF(LEFT(M158,8)="Expense|",-N(D158),0)</f>
        <v/>
      </c>
      <c r="Q158" s="23">
        <f>IF(ISNUMBER(MATCH(L158,{"Expense|employee","Expense|general_admin","Expense|marketing","Expense|utilities","Expense|other_operating"},0)),N(D158),0)+IF(ISNUMBER(MATCH(M158,{"Expense|employee","Expense|general_admin","Expense|marketing","Expense|utilities","Expense|other_operating"},0)),-N(D158),0)</f>
        <v/>
      </c>
      <c r="R158" s="23">
        <f>IF(L158="Liability|payable",-N(D158),0)+IF(M158="Liability|payable",N(D158),0)</f>
        <v/>
      </c>
      <c r="S158" s="23">
        <f>IF(L158="Liability|accrued",-N(D158),0)+IF(M158="Liability|accrued",N(D158),0)</f>
        <v/>
      </c>
      <c r="T158" s="23">
        <f>IF(AND(N(D158)&lt;&gt;0,L158=""),1,0)+IF(AND(N(D158)&lt;&gt;0,M158=""),1,0)</f>
        <v/>
      </c>
    </row>
    <row r="159">
      <c r="A159" s="19" t="n"/>
      <c r="B159" s="14" t="n"/>
      <c r="C159" s="14" t="n"/>
      <c r="D159" s="20" t="n"/>
      <c r="E159" s="14" t="n"/>
      <c r="F159" s="14" t="n"/>
      <c r="G159" s="14" t="n"/>
      <c r="H159" s="14" t="n"/>
      <c r="I159" s="14" t="n"/>
      <c r="J159" s="16">
        <f>IF(C159="",INDEX('Chart of Accounts'!$A$5:$A$3000,MATCH("ap",'Chart of Accounts'!$F$5:$F$3000,0)),C159&amp;"")</f>
        <v/>
      </c>
      <c r="K159" s="16">
        <f>IF(F159="",INDEX('Chart of Accounts'!$A$5:$A$3000,MATCH("bank",'Chart of Accounts'!$F$5:$F$3000,0)),F159&amp;"")</f>
        <v/>
      </c>
      <c r="L159" s="23">
        <f>IFERROR(INDEX('Chart of Accounts'!$C$5:$C$3000,MATCH(J159&amp;"",'Chart of Accounts'!$A$5:$A$3000,0))&amp;"|"&amp;INDEX('Chart of Accounts'!$D$5:$D$3000,MATCH(J159&amp;"",'Chart of Accounts'!$A$5:$A$3000,0)),"")</f>
        <v/>
      </c>
      <c r="M159" s="23">
        <f>IFERROR(INDEX('Chart of Accounts'!$C$5:$C$3000,MATCH(K159&amp;"",'Chart of Accounts'!$A$5:$A$3000,0))&amp;"|"&amp;INDEX('Chart of Accounts'!$D$5:$D$3000,MATCH(K159&amp;"",'Chart of Accounts'!$A$5:$A$3000,0)),"")</f>
        <v/>
      </c>
      <c r="N159" s="23">
        <f>IF(LEFT(L159,8)="Revenue|",-N(D159),0)+IF(LEFT(M159,8)="Revenue|",N(D159),0)</f>
        <v/>
      </c>
      <c r="O159" s="23">
        <f>IF(LEFT(L159,5)="COGS|",N(D159),0)+IF(LEFT(M159,5)="COGS|",-N(D159),0)</f>
        <v/>
      </c>
      <c r="P159" s="23">
        <f>IF(LEFT(L159,8)="Expense|",N(D159),0)+IF(LEFT(M159,8)="Expense|",-N(D159),0)</f>
        <v/>
      </c>
      <c r="Q159" s="23">
        <f>IF(ISNUMBER(MATCH(L159,{"Expense|employee","Expense|general_admin","Expense|marketing","Expense|utilities","Expense|other_operating"},0)),N(D159),0)+IF(ISNUMBER(MATCH(M159,{"Expense|employee","Expense|general_admin","Expense|marketing","Expense|utilities","Expense|other_operating"},0)),-N(D159),0)</f>
        <v/>
      </c>
      <c r="R159" s="23">
        <f>IF(L159="Liability|payable",-N(D159),0)+IF(M159="Liability|payable",N(D159),0)</f>
        <v/>
      </c>
      <c r="S159" s="23">
        <f>IF(L159="Liability|accrued",-N(D159),0)+IF(M159="Liability|accrued",N(D159),0)</f>
        <v/>
      </c>
      <c r="T159" s="23">
        <f>IF(AND(N(D159)&lt;&gt;0,L159=""),1,0)+IF(AND(N(D159)&lt;&gt;0,M159=""),1,0)</f>
        <v/>
      </c>
    </row>
    <row r="160">
      <c r="A160" s="19" t="n"/>
      <c r="B160" s="14" t="n"/>
      <c r="C160" s="14" t="n"/>
      <c r="D160" s="20" t="n"/>
      <c r="E160" s="14" t="n"/>
      <c r="F160" s="14" t="n"/>
      <c r="G160" s="14" t="n"/>
      <c r="H160" s="14" t="n"/>
      <c r="I160" s="14" t="n"/>
      <c r="J160" s="16">
        <f>IF(C160="",INDEX('Chart of Accounts'!$A$5:$A$3000,MATCH("ap",'Chart of Accounts'!$F$5:$F$3000,0)),C160&amp;"")</f>
        <v/>
      </c>
      <c r="K160" s="16">
        <f>IF(F160="",INDEX('Chart of Accounts'!$A$5:$A$3000,MATCH("bank",'Chart of Accounts'!$F$5:$F$3000,0)),F160&amp;"")</f>
        <v/>
      </c>
      <c r="L160" s="23">
        <f>IFERROR(INDEX('Chart of Accounts'!$C$5:$C$3000,MATCH(J160&amp;"",'Chart of Accounts'!$A$5:$A$3000,0))&amp;"|"&amp;INDEX('Chart of Accounts'!$D$5:$D$3000,MATCH(J160&amp;"",'Chart of Accounts'!$A$5:$A$3000,0)),"")</f>
        <v/>
      </c>
      <c r="M160" s="23">
        <f>IFERROR(INDEX('Chart of Accounts'!$C$5:$C$3000,MATCH(K160&amp;"",'Chart of Accounts'!$A$5:$A$3000,0))&amp;"|"&amp;INDEX('Chart of Accounts'!$D$5:$D$3000,MATCH(K160&amp;"",'Chart of Accounts'!$A$5:$A$3000,0)),"")</f>
        <v/>
      </c>
      <c r="N160" s="23">
        <f>IF(LEFT(L160,8)="Revenue|",-N(D160),0)+IF(LEFT(M160,8)="Revenue|",N(D160),0)</f>
        <v/>
      </c>
      <c r="O160" s="23">
        <f>IF(LEFT(L160,5)="COGS|",N(D160),0)+IF(LEFT(M160,5)="COGS|",-N(D160),0)</f>
        <v/>
      </c>
      <c r="P160" s="23">
        <f>IF(LEFT(L160,8)="Expense|",N(D160),0)+IF(LEFT(M160,8)="Expense|",-N(D160),0)</f>
        <v/>
      </c>
      <c r="Q160" s="23">
        <f>IF(ISNUMBER(MATCH(L160,{"Expense|employee","Expense|general_admin","Expense|marketing","Expense|utilities","Expense|other_operating"},0)),N(D160),0)+IF(ISNUMBER(MATCH(M160,{"Expense|employee","Expense|general_admin","Expense|marketing","Expense|utilities","Expense|other_operating"},0)),-N(D160),0)</f>
        <v/>
      </c>
      <c r="R160" s="23">
        <f>IF(L160="Liability|payable",-N(D160),0)+IF(M160="Liability|payable",N(D160),0)</f>
        <v/>
      </c>
      <c r="S160" s="23">
        <f>IF(L160="Liability|accrued",-N(D160),0)+IF(M160="Liability|accrued",N(D160),0)</f>
        <v/>
      </c>
      <c r="T160" s="23">
        <f>IF(AND(N(D160)&lt;&gt;0,L160=""),1,0)+IF(AND(N(D160)&lt;&gt;0,M160=""),1,0)</f>
        <v/>
      </c>
    </row>
    <row r="161">
      <c r="A161" s="19" t="n"/>
      <c r="B161" s="14" t="n"/>
      <c r="C161" s="14" t="n"/>
      <c r="D161" s="20" t="n"/>
      <c r="E161" s="14" t="n"/>
      <c r="F161" s="14" t="n"/>
      <c r="G161" s="14" t="n"/>
      <c r="H161" s="14" t="n"/>
      <c r="I161" s="14" t="n"/>
      <c r="J161" s="16">
        <f>IF(C161="",INDEX('Chart of Accounts'!$A$5:$A$3000,MATCH("ap",'Chart of Accounts'!$F$5:$F$3000,0)),C161&amp;"")</f>
        <v/>
      </c>
      <c r="K161" s="16">
        <f>IF(F161="",INDEX('Chart of Accounts'!$A$5:$A$3000,MATCH("bank",'Chart of Accounts'!$F$5:$F$3000,0)),F161&amp;"")</f>
        <v/>
      </c>
      <c r="L161" s="23">
        <f>IFERROR(INDEX('Chart of Accounts'!$C$5:$C$3000,MATCH(J161&amp;"",'Chart of Accounts'!$A$5:$A$3000,0))&amp;"|"&amp;INDEX('Chart of Accounts'!$D$5:$D$3000,MATCH(J161&amp;"",'Chart of Accounts'!$A$5:$A$3000,0)),"")</f>
        <v/>
      </c>
      <c r="M161" s="23">
        <f>IFERROR(INDEX('Chart of Accounts'!$C$5:$C$3000,MATCH(K161&amp;"",'Chart of Accounts'!$A$5:$A$3000,0))&amp;"|"&amp;INDEX('Chart of Accounts'!$D$5:$D$3000,MATCH(K161&amp;"",'Chart of Accounts'!$A$5:$A$3000,0)),"")</f>
        <v/>
      </c>
      <c r="N161" s="23">
        <f>IF(LEFT(L161,8)="Revenue|",-N(D161),0)+IF(LEFT(M161,8)="Revenue|",N(D161),0)</f>
        <v/>
      </c>
      <c r="O161" s="23">
        <f>IF(LEFT(L161,5)="COGS|",N(D161),0)+IF(LEFT(M161,5)="COGS|",-N(D161),0)</f>
        <v/>
      </c>
      <c r="P161" s="23">
        <f>IF(LEFT(L161,8)="Expense|",N(D161),0)+IF(LEFT(M161,8)="Expense|",-N(D161),0)</f>
        <v/>
      </c>
      <c r="Q161" s="23">
        <f>IF(ISNUMBER(MATCH(L161,{"Expense|employee","Expense|general_admin","Expense|marketing","Expense|utilities","Expense|other_operating"},0)),N(D161),0)+IF(ISNUMBER(MATCH(M161,{"Expense|employee","Expense|general_admin","Expense|marketing","Expense|utilities","Expense|other_operating"},0)),-N(D161),0)</f>
        <v/>
      </c>
      <c r="R161" s="23">
        <f>IF(L161="Liability|payable",-N(D161),0)+IF(M161="Liability|payable",N(D161),0)</f>
        <v/>
      </c>
      <c r="S161" s="23">
        <f>IF(L161="Liability|accrued",-N(D161),0)+IF(M161="Liability|accrued",N(D161),0)</f>
        <v/>
      </c>
      <c r="T161" s="23">
        <f>IF(AND(N(D161)&lt;&gt;0,L161=""),1,0)+IF(AND(N(D161)&lt;&gt;0,M161=""),1,0)</f>
        <v/>
      </c>
    </row>
    <row r="162">
      <c r="A162" s="19" t="n"/>
      <c r="B162" s="14" t="n"/>
      <c r="C162" s="14" t="n"/>
      <c r="D162" s="20" t="n"/>
      <c r="E162" s="14" t="n"/>
      <c r="F162" s="14" t="n"/>
      <c r="G162" s="14" t="n"/>
      <c r="H162" s="14" t="n"/>
      <c r="I162" s="14" t="n"/>
      <c r="J162" s="16">
        <f>IF(C162="",INDEX('Chart of Accounts'!$A$5:$A$3000,MATCH("ap",'Chart of Accounts'!$F$5:$F$3000,0)),C162&amp;"")</f>
        <v/>
      </c>
      <c r="K162" s="16">
        <f>IF(F162="",INDEX('Chart of Accounts'!$A$5:$A$3000,MATCH("bank",'Chart of Accounts'!$F$5:$F$3000,0)),F162&amp;"")</f>
        <v/>
      </c>
      <c r="L162" s="23">
        <f>IFERROR(INDEX('Chart of Accounts'!$C$5:$C$3000,MATCH(J162&amp;"",'Chart of Accounts'!$A$5:$A$3000,0))&amp;"|"&amp;INDEX('Chart of Accounts'!$D$5:$D$3000,MATCH(J162&amp;"",'Chart of Accounts'!$A$5:$A$3000,0)),"")</f>
        <v/>
      </c>
      <c r="M162" s="23">
        <f>IFERROR(INDEX('Chart of Accounts'!$C$5:$C$3000,MATCH(K162&amp;"",'Chart of Accounts'!$A$5:$A$3000,0))&amp;"|"&amp;INDEX('Chart of Accounts'!$D$5:$D$3000,MATCH(K162&amp;"",'Chart of Accounts'!$A$5:$A$3000,0)),"")</f>
        <v/>
      </c>
      <c r="N162" s="23">
        <f>IF(LEFT(L162,8)="Revenue|",-N(D162),0)+IF(LEFT(M162,8)="Revenue|",N(D162),0)</f>
        <v/>
      </c>
      <c r="O162" s="23">
        <f>IF(LEFT(L162,5)="COGS|",N(D162),0)+IF(LEFT(M162,5)="COGS|",-N(D162),0)</f>
        <v/>
      </c>
      <c r="P162" s="23">
        <f>IF(LEFT(L162,8)="Expense|",N(D162),0)+IF(LEFT(M162,8)="Expense|",-N(D162),0)</f>
        <v/>
      </c>
      <c r="Q162" s="23">
        <f>IF(ISNUMBER(MATCH(L162,{"Expense|employee","Expense|general_admin","Expense|marketing","Expense|utilities","Expense|other_operating"},0)),N(D162),0)+IF(ISNUMBER(MATCH(M162,{"Expense|employee","Expense|general_admin","Expense|marketing","Expense|utilities","Expense|other_operating"},0)),-N(D162),0)</f>
        <v/>
      </c>
      <c r="R162" s="23">
        <f>IF(L162="Liability|payable",-N(D162),0)+IF(M162="Liability|payable",N(D162),0)</f>
        <v/>
      </c>
      <c r="S162" s="23">
        <f>IF(L162="Liability|accrued",-N(D162),0)+IF(M162="Liability|accrued",N(D162),0)</f>
        <v/>
      </c>
      <c r="T162" s="23">
        <f>IF(AND(N(D162)&lt;&gt;0,L162=""),1,0)+IF(AND(N(D162)&lt;&gt;0,M162=""),1,0)</f>
        <v/>
      </c>
    </row>
    <row r="163">
      <c r="A163" s="19" t="n"/>
      <c r="B163" s="14" t="n"/>
      <c r="C163" s="14" t="n"/>
      <c r="D163" s="20" t="n"/>
      <c r="E163" s="14" t="n"/>
      <c r="F163" s="14" t="n"/>
      <c r="G163" s="14" t="n"/>
      <c r="H163" s="14" t="n"/>
      <c r="I163" s="14" t="n"/>
      <c r="J163" s="16">
        <f>IF(C163="",INDEX('Chart of Accounts'!$A$5:$A$3000,MATCH("ap",'Chart of Accounts'!$F$5:$F$3000,0)),C163&amp;"")</f>
        <v/>
      </c>
      <c r="K163" s="16">
        <f>IF(F163="",INDEX('Chart of Accounts'!$A$5:$A$3000,MATCH("bank",'Chart of Accounts'!$F$5:$F$3000,0)),F163&amp;"")</f>
        <v/>
      </c>
      <c r="L163" s="23">
        <f>IFERROR(INDEX('Chart of Accounts'!$C$5:$C$3000,MATCH(J163&amp;"",'Chart of Accounts'!$A$5:$A$3000,0))&amp;"|"&amp;INDEX('Chart of Accounts'!$D$5:$D$3000,MATCH(J163&amp;"",'Chart of Accounts'!$A$5:$A$3000,0)),"")</f>
        <v/>
      </c>
      <c r="M163" s="23">
        <f>IFERROR(INDEX('Chart of Accounts'!$C$5:$C$3000,MATCH(K163&amp;"",'Chart of Accounts'!$A$5:$A$3000,0))&amp;"|"&amp;INDEX('Chart of Accounts'!$D$5:$D$3000,MATCH(K163&amp;"",'Chart of Accounts'!$A$5:$A$3000,0)),"")</f>
        <v/>
      </c>
      <c r="N163" s="23">
        <f>IF(LEFT(L163,8)="Revenue|",-N(D163),0)+IF(LEFT(M163,8)="Revenue|",N(D163),0)</f>
        <v/>
      </c>
      <c r="O163" s="23">
        <f>IF(LEFT(L163,5)="COGS|",N(D163),0)+IF(LEFT(M163,5)="COGS|",-N(D163),0)</f>
        <v/>
      </c>
      <c r="P163" s="23">
        <f>IF(LEFT(L163,8)="Expense|",N(D163),0)+IF(LEFT(M163,8)="Expense|",-N(D163),0)</f>
        <v/>
      </c>
      <c r="Q163" s="23">
        <f>IF(ISNUMBER(MATCH(L163,{"Expense|employee","Expense|general_admin","Expense|marketing","Expense|utilities","Expense|other_operating"},0)),N(D163),0)+IF(ISNUMBER(MATCH(M163,{"Expense|employee","Expense|general_admin","Expense|marketing","Expense|utilities","Expense|other_operating"},0)),-N(D163),0)</f>
        <v/>
      </c>
      <c r="R163" s="23">
        <f>IF(L163="Liability|payable",-N(D163),0)+IF(M163="Liability|payable",N(D163),0)</f>
        <v/>
      </c>
      <c r="S163" s="23">
        <f>IF(L163="Liability|accrued",-N(D163),0)+IF(M163="Liability|accrued",N(D163),0)</f>
        <v/>
      </c>
      <c r="T163" s="23">
        <f>IF(AND(N(D163)&lt;&gt;0,L163=""),1,0)+IF(AND(N(D163)&lt;&gt;0,M163=""),1,0)</f>
        <v/>
      </c>
    </row>
    <row r="164">
      <c r="A164" s="19" t="n"/>
      <c r="B164" s="14" t="n"/>
      <c r="C164" s="14" t="n"/>
      <c r="D164" s="20" t="n"/>
      <c r="E164" s="14" t="n"/>
      <c r="F164" s="14" t="n"/>
      <c r="G164" s="14" t="n"/>
      <c r="H164" s="14" t="n"/>
      <c r="I164" s="14" t="n"/>
      <c r="J164" s="16">
        <f>IF(C164="",INDEX('Chart of Accounts'!$A$5:$A$3000,MATCH("ap",'Chart of Accounts'!$F$5:$F$3000,0)),C164&amp;"")</f>
        <v/>
      </c>
      <c r="K164" s="16">
        <f>IF(F164="",INDEX('Chart of Accounts'!$A$5:$A$3000,MATCH("bank",'Chart of Accounts'!$F$5:$F$3000,0)),F164&amp;"")</f>
        <v/>
      </c>
      <c r="L164" s="23">
        <f>IFERROR(INDEX('Chart of Accounts'!$C$5:$C$3000,MATCH(J164&amp;"",'Chart of Accounts'!$A$5:$A$3000,0))&amp;"|"&amp;INDEX('Chart of Accounts'!$D$5:$D$3000,MATCH(J164&amp;"",'Chart of Accounts'!$A$5:$A$3000,0)),"")</f>
        <v/>
      </c>
      <c r="M164" s="23">
        <f>IFERROR(INDEX('Chart of Accounts'!$C$5:$C$3000,MATCH(K164&amp;"",'Chart of Accounts'!$A$5:$A$3000,0))&amp;"|"&amp;INDEX('Chart of Accounts'!$D$5:$D$3000,MATCH(K164&amp;"",'Chart of Accounts'!$A$5:$A$3000,0)),"")</f>
        <v/>
      </c>
      <c r="N164" s="23">
        <f>IF(LEFT(L164,8)="Revenue|",-N(D164),0)+IF(LEFT(M164,8)="Revenue|",N(D164),0)</f>
        <v/>
      </c>
      <c r="O164" s="23">
        <f>IF(LEFT(L164,5)="COGS|",N(D164),0)+IF(LEFT(M164,5)="COGS|",-N(D164),0)</f>
        <v/>
      </c>
      <c r="P164" s="23">
        <f>IF(LEFT(L164,8)="Expense|",N(D164),0)+IF(LEFT(M164,8)="Expense|",-N(D164),0)</f>
        <v/>
      </c>
      <c r="Q164" s="23">
        <f>IF(ISNUMBER(MATCH(L164,{"Expense|employee","Expense|general_admin","Expense|marketing","Expense|utilities","Expense|other_operating"},0)),N(D164),0)+IF(ISNUMBER(MATCH(M164,{"Expense|employee","Expense|general_admin","Expense|marketing","Expense|utilities","Expense|other_operating"},0)),-N(D164),0)</f>
        <v/>
      </c>
      <c r="R164" s="23">
        <f>IF(L164="Liability|payable",-N(D164),0)+IF(M164="Liability|payable",N(D164),0)</f>
        <v/>
      </c>
      <c r="S164" s="23">
        <f>IF(L164="Liability|accrued",-N(D164),0)+IF(M164="Liability|accrued",N(D164),0)</f>
        <v/>
      </c>
      <c r="T164" s="23">
        <f>IF(AND(N(D164)&lt;&gt;0,L164=""),1,0)+IF(AND(N(D164)&lt;&gt;0,M164=""),1,0)</f>
        <v/>
      </c>
    </row>
    <row r="165">
      <c r="A165" s="19" t="n"/>
      <c r="B165" s="14" t="n"/>
      <c r="C165" s="14" t="n"/>
      <c r="D165" s="20" t="n"/>
      <c r="E165" s="14" t="n"/>
      <c r="F165" s="14" t="n"/>
      <c r="G165" s="14" t="n"/>
      <c r="H165" s="14" t="n"/>
      <c r="I165" s="14" t="n"/>
      <c r="J165" s="16">
        <f>IF(C165="",INDEX('Chart of Accounts'!$A$5:$A$3000,MATCH("ap",'Chart of Accounts'!$F$5:$F$3000,0)),C165&amp;"")</f>
        <v/>
      </c>
      <c r="K165" s="16">
        <f>IF(F165="",INDEX('Chart of Accounts'!$A$5:$A$3000,MATCH("bank",'Chart of Accounts'!$F$5:$F$3000,0)),F165&amp;"")</f>
        <v/>
      </c>
      <c r="L165" s="23">
        <f>IFERROR(INDEX('Chart of Accounts'!$C$5:$C$3000,MATCH(J165&amp;"",'Chart of Accounts'!$A$5:$A$3000,0))&amp;"|"&amp;INDEX('Chart of Accounts'!$D$5:$D$3000,MATCH(J165&amp;"",'Chart of Accounts'!$A$5:$A$3000,0)),"")</f>
        <v/>
      </c>
      <c r="M165" s="23">
        <f>IFERROR(INDEX('Chart of Accounts'!$C$5:$C$3000,MATCH(K165&amp;"",'Chart of Accounts'!$A$5:$A$3000,0))&amp;"|"&amp;INDEX('Chart of Accounts'!$D$5:$D$3000,MATCH(K165&amp;"",'Chart of Accounts'!$A$5:$A$3000,0)),"")</f>
        <v/>
      </c>
      <c r="N165" s="23">
        <f>IF(LEFT(L165,8)="Revenue|",-N(D165),0)+IF(LEFT(M165,8)="Revenue|",N(D165),0)</f>
        <v/>
      </c>
      <c r="O165" s="23">
        <f>IF(LEFT(L165,5)="COGS|",N(D165),0)+IF(LEFT(M165,5)="COGS|",-N(D165),0)</f>
        <v/>
      </c>
      <c r="P165" s="23">
        <f>IF(LEFT(L165,8)="Expense|",N(D165),0)+IF(LEFT(M165,8)="Expense|",-N(D165),0)</f>
        <v/>
      </c>
      <c r="Q165" s="23">
        <f>IF(ISNUMBER(MATCH(L165,{"Expense|employee","Expense|general_admin","Expense|marketing","Expense|utilities","Expense|other_operating"},0)),N(D165),0)+IF(ISNUMBER(MATCH(M165,{"Expense|employee","Expense|general_admin","Expense|marketing","Expense|utilities","Expense|other_operating"},0)),-N(D165),0)</f>
        <v/>
      </c>
      <c r="R165" s="23">
        <f>IF(L165="Liability|payable",-N(D165),0)+IF(M165="Liability|payable",N(D165),0)</f>
        <v/>
      </c>
      <c r="S165" s="23">
        <f>IF(L165="Liability|accrued",-N(D165),0)+IF(M165="Liability|accrued",N(D165),0)</f>
        <v/>
      </c>
      <c r="T165" s="23">
        <f>IF(AND(N(D165)&lt;&gt;0,L165=""),1,0)+IF(AND(N(D165)&lt;&gt;0,M165=""),1,0)</f>
        <v/>
      </c>
    </row>
    <row r="166">
      <c r="A166" s="19" t="n"/>
      <c r="B166" s="14" t="n"/>
      <c r="C166" s="14" t="n"/>
      <c r="D166" s="20" t="n"/>
      <c r="E166" s="14" t="n"/>
      <c r="F166" s="14" t="n"/>
      <c r="G166" s="14" t="n"/>
      <c r="H166" s="14" t="n"/>
      <c r="I166" s="14" t="n"/>
      <c r="J166" s="16">
        <f>IF(C166="",INDEX('Chart of Accounts'!$A$5:$A$3000,MATCH("ap",'Chart of Accounts'!$F$5:$F$3000,0)),C166&amp;"")</f>
        <v/>
      </c>
      <c r="K166" s="16">
        <f>IF(F166="",INDEX('Chart of Accounts'!$A$5:$A$3000,MATCH("bank",'Chart of Accounts'!$F$5:$F$3000,0)),F166&amp;"")</f>
        <v/>
      </c>
      <c r="L166" s="23">
        <f>IFERROR(INDEX('Chart of Accounts'!$C$5:$C$3000,MATCH(J166&amp;"",'Chart of Accounts'!$A$5:$A$3000,0))&amp;"|"&amp;INDEX('Chart of Accounts'!$D$5:$D$3000,MATCH(J166&amp;"",'Chart of Accounts'!$A$5:$A$3000,0)),"")</f>
        <v/>
      </c>
      <c r="M166" s="23">
        <f>IFERROR(INDEX('Chart of Accounts'!$C$5:$C$3000,MATCH(K166&amp;"",'Chart of Accounts'!$A$5:$A$3000,0))&amp;"|"&amp;INDEX('Chart of Accounts'!$D$5:$D$3000,MATCH(K166&amp;"",'Chart of Accounts'!$A$5:$A$3000,0)),"")</f>
        <v/>
      </c>
      <c r="N166" s="23">
        <f>IF(LEFT(L166,8)="Revenue|",-N(D166),0)+IF(LEFT(M166,8)="Revenue|",N(D166),0)</f>
        <v/>
      </c>
      <c r="O166" s="23">
        <f>IF(LEFT(L166,5)="COGS|",N(D166),0)+IF(LEFT(M166,5)="COGS|",-N(D166),0)</f>
        <v/>
      </c>
      <c r="P166" s="23">
        <f>IF(LEFT(L166,8)="Expense|",N(D166),0)+IF(LEFT(M166,8)="Expense|",-N(D166),0)</f>
        <v/>
      </c>
      <c r="Q166" s="23">
        <f>IF(ISNUMBER(MATCH(L166,{"Expense|employee","Expense|general_admin","Expense|marketing","Expense|utilities","Expense|other_operating"},0)),N(D166),0)+IF(ISNUMBER(MATCH(M166,{"Expense|employee","Expense|general_admin","Expense|marketing","Expense|utilities","Expense|other_operating"},0)),-N(D166),0)</f>
        <v/>
      </c>
      <c r="R166" s="23">
        <f>IF(L166="Liability|payable",-N(D166),0)+IF(M166="Liability|payable",N(D166),0)</f>
        <v/>
      </c>
      <c r="S166" s="23">
        <f>IF(L166="Liability|accrued",-N(D166),0)+IF(M166="Liability|accrued",N(D166),0)</f>
        <v/>
      </c>
      <c r="T166" s="23">
        <f>IF(AND(N(D166)&lt;&gt;0,L166=""),1,0)+IF(AND(N(D166)&lt;&gt;0,M166=""),1,0)</f>
        <v/>
      </c>
    </row>
    <row r="167">
      <c r="A167" s="19" t="n"/>
      <c r="B167" s="14" t="n"/>
      <c r="C167" s="14" t="n"/>
      <c r="D167" s="20" t="n"/>
      <c r="E167" s="14" t="n"/>
      <c r="F167" s="14" t="n"/>
      <c r="G167" s="14" t="n"/>
      <c r="H167" s="14" t="n"/>
      <c r="I167" s="14" t="n"/>
      <c r="J167" s="16">
        <f>IF(C167="",INDEX('Chart of Accounts'!$A$5:$A$3000,MATCH("ap",'Chart of Accounts'!$F$5:$F$3000,0)),C167&amp;"")</f>
        <v/>
      </c>
      <c r="K167" s="16">
        <f>IF(F167="",INDEX('Chart of Accounts'!$A$5:$A$3000,MATCH("bank",'Chart of Accounts'!$F$5:$F$3000,0)),F167&amp;"")</f>
        <v/>
      </c>
      <c r="L167" s="23">
        <f>IFERROR(INDEX('Chart of Accounts'!$C$5:$C$3000,MATCH(J167&amp;"",'Chart of Accounts'!$A$5:$A$3000,0))&amp;"|"&amp;INDEX('Chart of Accounts'!$D$5:$D$3000,MATCH(J167&amp;"",'Chart of Accounts'!$A$5:$A$3000,0)),"")</f>
        <v/>
      </c>
      <c r="M167" s="23">
        <f>IFERROR(INDEX('Chart of Accounts'!$C$5:$C$3000,MATCH(K167&amp;"",'Chart of Accounts'!$A$5:$A$3000,0))&amp;"|"&amp;INDEX('Chart of Accounts'!$D$5:$D$3000,MATCH(K167&amp;"",'Chart of Accounts'!$A$5:$A$3000,0)),"")</f>
        <v/>
      </c>
      <c r="N167" s="23">
        <f>IF(LEFT(L167,8)="Revenue|",-N(D167),0)+IF(LEFT(M167,8)="Revenue|",N(D167),0)</f>
        <v/>
      </c>
      <c r="O167" s="23">
        <f>IF(LEFT(L167,5)="COGS|",N(D167),0)+IF(LEFT(M167,5)="COGS|",-N(D167),0)</f>
        <v/>
      </c>
      <c r="P167" s="23">
        <f>IF(LEFT(L167,8)="Expense|",N(D167),0)+IF(LEFT(M167,8)="Expense|",-N(D167),0)</f>
        <v/>
      </c>
      <c r="Q167" s="23">
        <f>IF(ISNUMBER(MATCH(L167,{"Expense|employee","Expense|general_admin","Expense|marketing","Expense|utilities","Expense|other_operating"},0)),N(D167),0)+IF(ISNUMBER(MATCH(M167,{"Expense|employee","Expense|general_admin","Expense|marketing","Expense|utilities","Expense|other_operating"},0)),-N(D167),0)</f>
        <v/>
      </c>
      <c r="R167" s="23">
        <f>IF(L167="Liability|payable",-N(D167),0)+IF(M167="Liability|payable",N(D167),0)</f>
        <v/>
      </c>
      <c r="S167" s="23">
        <f>IF(L167="Liability|accrued",-N(D167),0)+IF(M167="Liability|accrued",N(D167),0)</f>
        <v/>
      </c>
      <c r="T167" s="23">
        <f>IF(AND(N(D167)&lt;&gt;0,L167=""),1,0)+IF(AND(N(D167)&lt;&gt;0,M167=""),1,0)</f>
        <v/>
      </c>
    </row>
    <row r="168">
      <c r="A168" s="19" t="n"/>
      <c r="B168" s="14" t="n"/>
      <c r="C168" s="14" t="n"/>
      <c r="D168" s="20" t="n"/>
      <c r="E168" s="14" t="n"/>
      <c r="F168" s="14" t="n"/>
      <c r="G168" s="14" t="n"/>
      <c r="H168" s="14" t="n"/>
      <c r="I168" s="14" t="n"/>
      <c r="J168" s="16">
        <f>IF(C168="",INDEX('Chart of Accounts'!$A$5:$A$3000,MATCH("ap",'Chart of Accounts'!$F$5:$F$3000,0)),C168&amp;"")</f>
        <v/>
      </c>
      <c r="K168" s="16">
        <f>IF(F168="",INDEX('Chart of Accounts'!$A$5:$A$3000,MATCH("bank",'Chart of Accounts'!$F$5:$F$3000,0)),F168&amp;"")</f>
        <v/>
      </c>
      <c r="L168" s="23">
        <f>IFERROR(INDEX('Chart of Accounts'!$C$5:$C$3000,MATCH(J168&amp;"",'Chart of Accounts'!$A$5:$A$3000,0))&amp;"|"&amp;INDEX('Chart of Accounts'!$D$5:$D$3000,MATCH(J168&amp;"",'Chart of Accounts'!$A$5:$A$3000,0)),"")</f>
        <v/>
      </c>
      <c r="M168" s="23">
        <f>IFERROR(INDEX('Chart of Accounts'!$C$5:$C$3000,MATCH(K168&amp;"",'Chart of Accounts'!$A$5:$A$3000,0))&amp;"|"&amp;INDEX('Chart of Accounts'!$D$5:$D$3000,MATCH(K168&amp;"",'Chart of Accounts'!$A$5:$A$3000,0)),"")</f>
        <v/>
      </c>
      <c r="N168" s="23">
        <f>IF(LEFT(L168,8)="Revenue|",-N(D168),0)+IF(LEFT(M168,8)="Revenue|",N(D168),0)</f>
        <v/>
      </c>
      <c r="O168" s="23">
        <f>IF(LEFT(L168,5)="COGS|",N(D168),0)+IF(LEFT(M168,5)="COGS|",-N(D168),0)</f>
        <v/>
      </c>
      <c r="P168" s="23">
        <f>IF(LEFT(L168,8)="Expense|",N(D168),0)+IF(LEFT(M168,8)="Expense|",-N(D168),0)</f>
        <v/>
      </c>
      <c r="Q168" s="23">
        <f>IF(ISNUMBER(MATCH(L168,{"Expense|employee","Expense|general_admin","Expense|marketing","Expense|utilities","Expense|other_operating"},0)),N(D168),0)+IF(ISNUMBER(MATCH(M168,{"Expense|employee","Expense|general_admin","Expense|marketing","Expense|utilities","Expense|other_operating"},0)),-N(D168),0)</f>
        <v/>
      </c>
      <c r="R168" s="23">
        <f>IF(L168="Liability|payable",-N(D168),0)+IF(M168="Liability|payable",N(D168),0)</f>
        <v/>
      </c>
      <c r="S168" s="23">
        <f>IF(L168="Liability|accrued",-N(D168),0)+IF(M168="Liability|accrued",N(D168),0)</f>
        <v/>
      </c>
      <c r="T168" s="23">
        <f>IF(AND(N(D168)&lt;&gt;0,L168=""),1,0)+IF(AND(N(D168)&lt;&gt;0,M168=""),1,0)</f>
        <v/>
      </c>
    </row>
    <row r="169">
      <c r="A169" s="19" t="n"/>
      <c r="B169" s="14" t="n"/>
      <c r="C169" s="14" t="n"/>
      <c r="D169" s="20" t="n"/>
      <c r="E169" s="14" t="n"/>
      <c r="F169" s="14" t="n"/>
      <c r="G169" s="14" t="n"/>
      <c r="H169" s="14" t="n"/>
      <c r="I169" s="14" t="n"/>
      <c r="J169" s="16">
        <f>IF(C169="",INDEX('Chart of Accounts'!$A$5:$A$3000,MATCH("ap",'Chart of Accounts'!$F$5:$F$3000,0)),C169&amp;"")</f>
        <v/>
      </c>
      <c r="K169" s="16">
        <f>IF(F169="",INDEX('Chart of Accounts'!$A$5:$A$3000,MATCH("bank",'Chart of Accounts'!$F$5:$F$3000,0)),F169&amp;"")</f>
        <v/>
      </c>
      <c r="L169" s="23">
        <f>IFERROR(INDEX('Chart of Accounts'!$C$5:$C$3000,MATCH(J169&amp;"",'Chart of Accounts'!$A$5:$A$3000,0))&amp;"|"&amp;INDEX('Chart of Accounts'!$D$5:$D$3000,MATCH(J169&amp;"",'Chart of Accounts'!$A$5:$A$3000,0)),"")</f>
        <v/>
      </c>
      <c r="M169" s="23">
        <f>IFERROR(INDEX('Chart of Accounts'!$C$5:$C$3000,MATCH(K169&amp;"",'Chart of Accounts'!$A$5:$A$3000,0))&amp;"|"&amp;INDEX('Chart of Accounts'!$D$5:$D$3000,MATCH(K169&amp;"",'Chart of Accounts'!$A$5:$A$3000,0)),"")</f>
        <v/>
      </c>
      <c r="N169" s="23">
        <f>IF(LEFT(L169,8)="Revenue|",-N(D169),0)+IF(LEFT(M169,8)="Revenue|",N(D169),0)</f>
        <v/>
      </c>
      <c r="O169" s="23">
        <f>IF(LEFT(L169,5)="COGS|",N(D169),0)+IF(LEFT(M169,5)="COGS|",-N(D169),0)</f>
        <v/>
      </c>
      <c r="P169" s="23">
        <f>IF(LEFT(L169,8)="Expense|",N(D169),0)+IF(LEFT(M169,8)="Expense|",-N(D169),0)</f>
        <v/>
      </c>
      <c r="Q169" s="23">
        <f>IF(ISNUMBER(MATCH(L169,{"Expense|employee","Expense|general_admin","Expense|marketing","Expense|utilities","Expense|other_operating"},0)),N(D169),0)+IF(ISNUMBER(MATCH(M169,{"Expense|employee","Expense|general_admin","Expense|marketing","Expense|utilities","Expense|other_operating"},0)),-N(D169),0)</f>
        <v/>
      </c>
      <c r="R169" s="23">
        <f>IF(L169="Liability|payable",-N(D169),0)+IF(M169="Liability|payable",N(D169),0)</f>
        <v/>
      </c>
      <c r="S169" s="23">
        <f>IF(L169="Liability|accrued",-N(D169),0)+IF(M169="Liability|accrued",N(D169),0)</f>
        <v/>
      </c>
      <c r="T169" s="23">
        <f>IF(AND(N(D169)&lt;&gt;0,L169=""),1,0)+IF(AND(N(D169)&lt;&gt;0,M169=""),1,0)</f>
        <v/>
      </c>
    </row>
    <row r="170">
      <c r="A170" s="19" t="n"/>
      <c r="B170" s="14" t="n"/>
      <c r="C170" s="14" t="n"/>
      <c r="D170" s="20" t="n"/>
      <c r="E170" s="14" t="n"/>
      <c r="F170" s="14" t="n"/>
      <c r="G170" s="14" t="n"/>
      <c r="H170" s="14" t="n"/>
      <c r="I170" s="14" t="n"/>
      <c r="J170" s="16">
        <f>IF(C170="",INDEX('Chart of Accounts'!$A$5:$A$3000,MATCH("ap",'Chart of Accounts'!$F$5:$F$3000,0)),C170&amp;"")</f>
        <v/>
      </c>
      <c r="K170" s="16">
        <f>IF(F170="",INDEX('Chart of Accounts'!$A$5:$A$3000,MATCH("bank",'Chart of Accounts'!$F$5:$F$3000,0)),F170&amp;"")</f>
        <v/>
      </c>
      <c r="L170" s="23">
        <f>IFERROR(INDEX('Chart of Accounts'!$C$5:$C$3000,MATCH(J170&amp;"",'Chart of Accounts'!$A$5:$A$3000,0))&amp;"|"&amp;INDEX('Chart of Accounts'!$D$5:$D$3000,MATCH(J170&amp;"",'Chart of Accounts'!$A$5:$A$3000,0)),"")</f>
        <v/>
      </c>
      <c r="M170" s="23">
        <f>IFERROR(INDEX('Chart of Accounts'!$C$5:$C$3000,MATCH(K170&amp;"",'Chart of Accounts'!$A$5:$A$3000,0))&amp;"|"&amp;INDEX('Chart of Accounts'!$D$5:$D$3000,MATCH(K170&amp;"",'Chart of Accounts'!$A$5:$A$3000,0)),"")</f>
        <v/>
      </c>
      <c r="N170" s="23">
        <f>IF(LEFT(L170,8)="Revenue|",-N(D170),0)+IF(LEFT(M170,8)="Revenue|",N(D170),0)</f>
        <v/>
      </c>
      <c r="O170" s="23">
        <f>IF(LEFT(L170,5)="COGS|",N(D170),0)+IF(LEFT(M170,5)="COGS|",-N(D170),0)</f>
        <v/>
      </c>
      <c r="P170" s="23">
        <f>IF(LEFT(L170,8)="Expense|",N(D170),0)+IF(LEFT(M170,8)="Expense|",-N(D170),0)</f>
        <v/>
      </c>
      <c r="Q170" s="23">
        <f>IF(ISNUMBER(MATCH(L170,{"Expense|employee","Expense|general_admin","Expense|marketing","Expense|utilities","Expense|other_operating"},0)),N(D170),0)+IF(ISNUMBER(MATCH(M170,{"Expense|employee","Expense|general_admin","Expense|marketing","Expense|utilities","Expense|other_operating"},0)),-N(D170),0)</f>
        <v/>
      </c>
      <c r="R170" s="23">
        <f>IF(L170="Liability|payable",-N(D170),0)+IF(M170="Liability|payable",N(D170),0)</f>
        <v/>
      </c>
      <c r="S170" s="23">
        <f>IF(L170="Liability|accrued",-N(D170),0)+IF(M170="Liability|accrued",N(D170),0)</f>
        <v/>
      </c>
      <c r="T170" s="23">
        <f>IF(AND(N(D170)&lt;&gt;0,L170=""),1,0)+IF(AND(N(D170)&lt;&gt;0,M170=""),1,0)</f>
        <v/>
      </c>
    </row>
    <row r="171">
      <c r="A171" s="19" t="n"/>
      <c r="B171" s="14" t="n"/>
      <c r="C171" s="14" t="n"/>
      <c r="D171" s="20" t="n"/>
      <c r="E171" s="14" t="n"/>
      <c r="F171" s="14" t="n"/>
      <c r="G171" s="14" t="n"/>
      <c r="H171" s="14" t="n"/>
      <c r="I171" s="14" t="n"/>
      <c r="J171" s="16">
        <f>IF(C171="",INDEX('Chart of Accounts'!$A$5:$A$3000,MATCH("ap",'Chart of Accounts'!$F$5:$F$3000,0)),C171&amp;"")</f>
        <v/>
      </c>
      <c r="K171" s="16">
        <f>IF(F171="",INDEX('Chart of Accounts'!$A$5:$A$3000,MATCH("bank",'Chart of Accounts'!$F$5:$F$3000,0)),F171&amp;"")</f>
        <v/>
      </c>
      <c r="L171" s="23">
        <f>IFERROR(INDEX('Chart of Accounts'!$C$5:$C$3000,MATCH(J171&amp;"",'Chart of Accounts'!$A$5:$A$3000,0))&amp;"|"&amp;INDEX('Chart of Accounts'!$D$5:$D$3000,MATCH(J171&amp;"",'Chart of Accounts'!$A$5:$A$3000,0)),"")</f>
        <v/>
      </c>
      <c r="M171" s="23">
        <f>IFERROR(INDEX('Chart of Accounts'!$C$5:$C$3000,MATCH(K171&amp;"",'Chart of Accounts'!$A$5:$A$3000,0))&amp;"|"&amp;INDEX('Chart of Accounts'!$D$5:$D$3000,MATCH(K171&amp;"",'Chart of Accounts'!$A$5:$A$3000,0)),"")</f>
        <v/>
      </c>
      <c r="N171" s="23">
        <f>IF(LEFT(L171,8)="Revenue|",-N(D171),0)+IF(LEFT(M171,8)="Revenue|",N(D171),0)</f>
        <v/>
      </c>
      <c r="O171" s="23">
        <f>IF(LEFT(L171,5)="COGS|",N(D171),0)+IF(LEFT(M171,5)="COGS|",-N(D171),0)</f>
        <v/>
      </c>
      <c r="P171" s="23">
        <f>IF(LEFT(L171,8)="Expense|",N(D171),0)+IF(LEFT(M171,8)="Expense|",-N(D171),0)</f>
        <v/>
      </c>
      <c r="Q171" s="23">
        <f>IF(ISNUMBER(MATCH(L171,{"Expense|employee","Expense|general_admin","Expense|marketing","Expense|utilities","Expense|other_operating"},0)),N(D171),0)+IF(ISNUMBER(MATCH(M171,{"Expense|employee","Expense|general_admin","Expense|marketing","Expense|utilities","Expense|other_operating"},0)),-N(D171),0)</f>
        <v/>
      </c>
      <c r="R171" s="23">
        <f>IF(L171="Liability|payable",-N(D171),0)+IF(M171="Liability|payable",N(D171),0)</f>
        <v/>
      </c>
      <c r="S171" s="23">
        <f>IF(L171="Liability|accrued",-N(D171),0)+IF(M171="Liability|accrued",N(D171),0)</f>
        <v/>
      </c>
      <c r="T171" s="23">
        <f>IF(AND(N(D171)&lt;&gt;0,L171=""),1,0)+IF(AND(N(D171)&lt;&gt;0,M171=""),1,0)</f>
        <v/>
      </c>
    </row>
    <row r="172">
      <c r="A172" s="19" t="n"/>
      <c r="B172" s="14" t="n"/>
      <c r="C172" s="14" t="n"/>
      <c r="D172" s="20" t="n"/>
      <c r="E172" s="14" t="n"/>
      <c r="F172" s="14" t="n"/>
      <c r="G172" s="14" t="n"/>
      <c r="H172" s="14" t="n"/>
      <c r="I172" s="14" t="n"/>
      <c r="J172" s="16">
        <f>IF(C172="",INDEX('Chart of Accounts'!$A$5:$A$3000,MATCH("ap",'Chart of Accounts'!$F$5:$F$3000,0)),C172&amp;"")</f>
        <v/>
      </c>
      <c r="K172" s="16">
        <f>IF(F172="",INDEX('Chart of Accounts'!$A$5:$A$3000,MATCH("bank",'Chart of Accounts'!$F$5:$F$3000,0)),F172&amp;"")</f>
        <v/>
      </c>
      <c r="L172" s="23">
        <f>IFERROR(INDEX('Chart of Accounts'!$C$5:$C$3000,MATCH(J172&amp;"",'Chart of Accounts'!$A$5:$A$3000,0))&amp;"|"&amp;INDEX('Chart of Accounts'!$D$5:$D$3000,MATCH(J172&amp;"",'Chart of Accounts'!$A$5:$A$3000,0)),"")</f>
        <v/>
      </c>
      <c r="M172" s="23">
        <f>IFERROR(INDEX('Chart of Accounts'!$C$5:$C$3000,MATCH(K172&amp;"",'Chart of Accounts'!$A$5:$A$3000,0))&amp;"|"&amp;INDEX('Chart of Accounts'!$D$5:$D$3000,MATCH(K172&amp;"",'Chart of Accounts'!$A$5:$A$3000,0)),"")</f>
        <v/>
      </c>
      <c r="N172" s="23">
        <f>IF(LEFT(L172,8)="Revenue|",-N(D172),0)+IF(LEFT(M172,8)="Revenue|",N(D172),0)</f>
        <v/>
      </c>
      <c r="O172" s="23">
        <f>IF(LEFT(L172,5)="COGS|",N(D172),0)+IF(LEFT(M172,5)="COGS|",-N(D172),0)</f>
        <v/>
      </c>
      <c r="P172" s="23">
        <f>IF(LEFT(L172,8)="Expense|",N(D172),0)+IF(LEFT(M172,8)="Expense|",-N(D172),0)</f>
        <v/>
      </c>
      <c r="Q172" s="23">
        <f>IF(ISNUMBER(MATCH(L172,{"Expense|employee","Expense|general_admin","Expense|marketing","Expense|utilities","Expense|other_operating"},0)),N(D172),0)+IF(ISNUMBER(MATCH(M172,{"Expense|employee","Expense|general_admin","Expense|marketing","Expense|utilities","Expense|other_operating"},0)),-N(D172),0)</f>
        <v/>
      </c>
      <c r="R172" s="23">
        <f>IF(L172="Liability|payable",-N(D172),0)+IF(M172="Liability|payable",N(D172),0)</f>
        <v/>
      </c>
      <c r="S172" s="23">
        <f>IF(L172="Liability|accrued",-N(D172),0)+IF(M172="Liability|accrued",N(D172),0)</f>
        <v/>
      </c>
      <c r="T172" s="23">
        <f>IF(AND(N(D172)&lt;&gt;0,L172=""),1,0)+IF(AND(N(D172)&lt;&gt;0,M172=""),1,0)</f>
        <v/>
      </c>
    </row>
    <row r="173">
      <c r="A173" s="19" t="n"/>
      <c r="B173" s="14" t="n"/>
      <c r="C173" s="14" t="n"/>
      <c r="D173" s="20" t="n"/>
      <c r="E173" s="14" t="n"/>
      <c r="F173" s="14" t="n"/>
      <c r="G173" s="14" t="n"/>
      <c r="H173" s="14" t="n"/>
      <c r="I173" s="14" t="n"/>
      <c r="J173" s="16">
        <f>IF(C173="",INDEX('Chart of Accounts'!$A$5:$A$3000,MATCH("ap",'Chart of Accounts'!$F$5:$F$3000,0)),C173&amp;"")</f>
        <v/>
      </c>
      <c r="K173" s="16">
        <f>IF(F173="",INDEX('Chart of Accounts'!$A$5:$A$3000,MATCH("bank",'Chart of Accounts'!$F$5:$F$3000,0)),F173&amp;"")</f>
        <v/>
      </c>
      <c r="L173" s="23">
        <f>IFERROR(INDEX('Chart of Accounts'!$C$5:$C$3000,MATCH(J173&amp;"",'Chart of Accounts'!$A$5:$A$3000,0))&amp;"|"&amp;INDEX('Chart of Accounts'!$D$5:$D$3000,MATCH(J173&amp;"",'Chart of Accounts'!$A$5:$A$3000,0)),"")</f>
        <v/>
      </c>
      <c r="M173" s="23">
        <f>IFERROR(INDEX('Chart of Accounts'!$C$5:$C$3000,MATCH(K173&amp;"",'Chart of Accounts'!$A$5:$A$3000,0))&amp;"|"&amp;INDEX('Chart of Accounts'!$D$5:$D$3000,MATCH(K173&amp;"",'Chart of Accounts'!$A$5:$A$3000,0)),"")</f>
        <v/>
      </c>
      <c r="N173" s="23">
        <f>IF(LEFT(L173,8)="Revenue|",-N(D173),0)+IF(LEFT(M173,8)="Revenue|",N(D173),0)</f>
        <v/>
      </c>
      <c r="O173" s="23">
        <f>IF(LEFT(L173,5)="COGS|",N(D173),0)+IF(LEFT(M173,5)="COGS|",-N(D173),0)</f>
        <v/>
      </c>
      <c r="P173" s="23">
        <f>IF(LEFT(L173,8)="Expense|",N(D173),0)+IF(LEFT(M173,8)="Expense|",-N(D173),0)</f>
        <v/>
      </c>
      <c r="Q173" s="23">
        <f>IF(ISNUMBER(MATCH(L173,{"Expense|employee","Expense|general_admin","Expense|marketing","Expense|utilities","Expense|other_operating"},0)),N(D173),0)+IF(ISNUMBER(MATCH(M173,{"Expense|employee","Expense|general_admin","Expense|marketing","Expense|utilities","Expense|other_operating"},0)),-N(D173),0)</f>
        <v/>
      </c>
      <c r="R173" s="23">
        <f>IF(L173="Liability|payable",-N(D173),0)+IF(M173="Liability|payable",N(D173),0)</f>
        <v/>
      </c>
      <c r="S173" s="23">
        <f>IF(L173="Liability|accrued",-N(D173),0)+IF(M173="Liability|accrued",N(D173),0)</f>
        <v/>
      </c>
      <c r="T173" s="23">
        <f>IF(AND(N(D173)&lt;&gt;0,L173=""),1,0)+IF(AND(N(D173)&lt;&gt;0,M173=""),1,0)</f>
        <v/>
      </c>
    </row>
    <row r="174">
      <c r="A174" s="19" t="n"/>
      <c r="B174" s="14" t="n"/>
      <c r="C174" s="14" t="n"/>
      <c r="D174" s="20" t="n"/>
      <c r="E174" s="14" t="n"/>
      <c r="F174" s="14" t="n"/>
      <c r="G174" s="14" t="n"/>
      <c r="H174" s="14" t="n"/>
      <c r="I174" s="14" t="n"/>
      <c r="J174" s="16">
        <f>IF(C174="",INDEX('Chart of Accounts'!$A$5:$A$3000,MATCH("ap",'Chart of Accounts'!$F$5:$F$3000,0)),C174&amp;"")</f>
        <v/>
      </c>
      <c r="K174" s="16">
        <f>IF(F174="",INDEX('Chart of Accounts'!$A$5:$A$3000,MATCH("bank",'Chart of Accounts'!$F$5:$F$3000,0)),F174&amp;"")</f>
        <v/>
      </c>
      <c r="L174" s="23">
        <f>IFERROR(INDEX('Chart of Accounts'!$C$5:$C$3000,MATCH(J174&amp;"",'Chart of Accounts'!$A$5:$A$3000,0))&amp;"|"&amp;INDEX('Chart of Accounts'!$D$5:$D$3000,MATCH(J174&amp;"",'Chart of Accounts'!$A$5:$A$3000,0)),"")</f>
        <v/>
      </c>
      <c r="M174" s="23">
        <f>IFERROR(INDEX('Chart of Accounts'!$C$5:$C$3000,MATCH(K174&amp;"",'Chart of Accounts'!$A$5:$A$3000,0))&amp;"|"&amp;INDEX('Chart of Accounts'!$D$5:$D$3000,MATCH(K174&amp;"",'Chart of Accounts'!$A$5:$A$3000,0)),"")</f>
        <v/>
      </c>
      <c r="N174" s="23">
        <f>IF(LEFT(L174,8)="Revenue|",-N(D174),0)+IF(LEFT(M174,8)="Revenue|",N(D174),0)</f>
        <v/>
      </c>
      <c r="O174" s="23">
        <f>IF(LEFT(L174,5)="COGS|",N(D174),0)+IF(LEFT(M174,5)="COGS|",-N(D174),0)</f>
        <v/>
      </c>
      <c r="P174" s="23">
        <f>IF(LEFT(L174,8)="Expense|",N(D174),0)+IF(LEFT(M174,8)="Expense|",-N(D174),0)</f>
        <v/>
      </c>
      <c r="Q174" s="23">
        <f>IF(ISNUMBER(MATCH(L174,{"Expense|employee","Expense|general_admin","Expense|marketing","Expense|utilities","Expense|other_operating"},0)),N(D174),0)+IF(ISNUMBER(MATCH(M174,{"Expense|employee","Expense|general_admin","Expense|marketing","Expense|utilities","Expense|other_operating"},0)),-N(D174),0)</f>
        <v/>
      </c>
      <c r="R174" s="23">
        <f>IF(L174="Liability|payable",-N(D174),0)+IF(M174="Liability|payable",N(D174),0)</f>
        <v/>
      </c>
      <c r="S174" s="23">
        <f>IF(L174="Liability|accrued",-N(D174),0)+IF(M174="Liability|accrued",N(D174),0)</f>
        <v/>
      </c>
      <c r="T174" s="23">
        <f>IF(AND(N(D174)&lt;&gt;0,L174=""),1,0)+IF(AND(N(D174)&lt;&gt;0,M174=""),1,0)</f>
        <v/>
      </c>
    </row>
    <row r="175">
      <c r="A175" s="19" t="n"/>
      <c r="B175" s="14" t="n"/>
      <c r="C175" s="14" t="n"/>
      <c r="D175" s="20" t="n"/>
      <c r="E175" s="14" t="n"/>
      <c r="F175" s="14" t="n"/>
      <c r="G175" s="14" t="n"/>
      <c r="H175" s="14" t="n"/>
      <c r="I175" s="14" t="n"/>
      <c r="J175" s="16">
        <f>IF(C175="",INDEX('Chart of Accounts'!$A$5:$A$3000,MATCH("ap",'Chart of Accounts'!$F$5:$F$3000,0)),C175&amp;"")</f>
        <v/>
      </c>
      <c r="K175" s="16">
        <f>IF(F175="",INDEX('Chart of Accounts'!$A$5:$A$3000,MATCH("bank",'Chart of Accounts'!$F$5:$F$3000,0)),F175&amp;"")</f>
        <v/>
      </c>
      <c r="L175" s="23">
        <f>IFERROR(INDEX('Chart of Accounts'!$C$5:$C$3000,MATCH(J175&amp;"",'Chart of Accounts'!$A$5:$A$3000,0))&amp;"|"&amp;INDEX('Chart of Accounts'!$D$5:$D$3000,MATCH(J175&amp;"",'Chart of Accounts'!$A$5:$A$3000,0)),"")</f>
        <v/>
      </c>
      <c r="M175" s="23">
        <f>IFERROR(INDEX('Chart of Accounts'!$C$5:$C$3000,MATCH(K175&amp;"",'Chart of Accounts'!$A$5:$A$3000,0))&amp;"|"&amp;INDEX('Chart of Accounts'!$D$5:$D$3000,MATCH(K175&amp;"",'Chart of Accounts'!$A$5:$A$3000,0)),"")</f>
        <v/>
      </c>
      <c r="N175" s="23">
        <f>IF(LEFT(L175,8)="Revenue|",-N(D175),0)+IF(LEFT(M175,8)="Revenue|",N(D175),0)</f>
        <v/>
      </c>
      <c r="O175" s="23">
        <f>IF(LEFT(L175,5)="COGS|",N(D175),0)+IF(LEFT(M175,5)="COGS|",-N(D175),0)</f>
        <v/>
      </c>
      <c r="P175" s="23">
        <f>IF(LEFT(L175,8)="Expense|",N(D175),0)+IF(LEFT(M175,8)="Expense|",-N(D175),0)</f>
        <v/>
      </c>
      <c r="Q175" s="23">
        <f>IF(ISNUMBER(MATCH(L175,{"Expense|employee","Expense|general_admin","Expense|marketing","Expense|utilities","Expense|other_operating"},0)),N(D175),0)+IF(ISNUMBER(MATCH(M175,{"Expense|employee","Expense|general_admin","Expense|marketing","Expense|utilities","Expense|other_operating"},0)),-N(D175),0)</f>
        <v/>
      </c>
      <c r="R175" s="23">
        <f>IF(L175="Liability|payable",-N(D175),0)+IF(M175="Liability|payable",N(D175),0)</f>
        <v/>
      </c>
      <c r="S175" s="23">
        <f>IF(L175="Liability|accrued",-N(D175),0)+IF(M175="Liability|accrued",N(D175),0)</f>
        <v/>
      </c>
      <c r="T175" s="23">
        <f>IF(AND(N(D175)&lt;&gt;0,L175=""),1,0)+IF(AND(N(D175)&lt;&gt;0,M175=""),1,0)</f>
        <v/>
      </c>
    </row>
    <row r="176">
      <c r="A176" s="19" t="n"/>
      <c r="B176" s="14" t="n"/>
      <c r="C176" s="14" t="n"/>
      <c r="D176" s="20" t="n"/>
      <c r="E176" s="14" t="n"/>
      <c r="F176" s="14" t="n"/>
      <c r="G176" s="14" t="n"/>
      <c r="H176" s="14" t="n"/>
      <c r="I176" s="14" t="n"/>
      <c r="J176" s="16">
        <f>IF(C176="",INDEX('Chart of Accounts'!$A$5:$A$3000,MATCH("ap",'Chart of Accounts'!$F$5:$F$3000,0)),C176&amp;"")</f>
        <v/>
      </c>
      <c r="K176" s="16">
        <f>IF(F176="",INDEX('Chart of Accounts'!$A$5:$A$3000,MATCH("bank",'Chart of Accounts'!$F$5:$F$3000,0)),F176&amp;"")</f>
        <v/>
      </c>
      <c r="L176" s="23">
        <f>IFERROR(INDEX('Chart of Accounts'!$C$5:$C$3000,MATCH(J176&amp;"",'Chart of Accounts'!$A$5:$A$3000,0))&amp;"|"&amp;INDEX('Chart of Accounts'!$D$5:$D$3000,MATCH(J176&amp;"",'Chart of Accounts'!$A$5:$A$3000,0)),"")</f>
        <v/>
      </c>
      <c r="M176" s="23">
        <f>IFERROR(INDEX('Chart of Accounts'!$C$5:$C$3000,MATCH(K176&amp;"",'Chart of Accounts'!$A$5:$A$3000,0))&amp;"|"&amp;INDEX('Chart of Accounts'!$D$5:$D$3000,MATCH(K176&amp;"",'Chart of Accounts'!$A$5:$A$3000,0)),"")</f>
        <v/>
      </c>
      <c r="N176" s="23">
        <f>IF(LEFT(L176,8)="Revenue|",-N(D176),0)+IF(LEFT(M176,8)="Revenue|",N(D176),0)</f>
        <v/>
      </c>
      <c r="O176" s="23">
        <f>IF(LEFT(L176,5)="COGS|",N(D176),0)+IF(LEFT(M176,5)="COGS|",-N(D176),0)</f>
        <v/>
      </c>
      <c r="P176" s="23">
        <f>IF(LEFT(L176,8)="Expense|",N(D176),0)+IF(LEFT(M176,8)="Expense|",-N(D176),0)</f>
        <v/>
      </c>
      <c r="Q176" s="23">
        <f>IF(ISNUMBER(MATCH(L176,{"Expense|employee","Expense|general_admin","Expense|marketing","Expense|utilities","Expense|other_operating"},0)),N(D176),0)+IF(ISNUMBER(MATCH(M176,{"Expense|employee","Expense|general_admin","Expense|marketing","Expense|utilities","Expense|other_operating"},0)),-N(D176),0)</f>
        <v/>
      </c>
      <c r="R176" s="23">
        <f>IF(L176="Liability|payable",-N(D176),0)+IF(M176="Liability|payable",N(D176),0)</f>
        <v/>
      </c>
      <c r="S176" s="23">
        <f>IF(L176="Liability|accrued",-N(D176),0)+IF(M176="Liability|accrued",N(D176),0)</f>
        <v/>
      </c>
      <c r="T176" s="23">
        <f>IF(AND(N(D176)&lt;&gt;0,L176=""),1,0)+IF(AND(N(D176)&lt;&gt;0,M176=""),1,0)</f>
        <v/>
      </c>
    </row>
    <row r="177">
      <c r="A177" s="19" t="n"/>
      <c r="B177" s="14" t="n"/>
      <c r="C177" s="14" t="n"/>
      <c r="D177" s="20" t="n"/>
      <c r="E177" s="14" t="n"/>
      <c r="F177" s="14" t="n"/>
      <c r="G177" s="14" t="n"/>
      <c r="H177" s="14" t="n"/>
      <c r="I177" s="14" t="n"/>
      <c r="J177" s="16">
        <f>IF(C177="",INDEX('Chart of Accounts'!$A$5:$A$3000,MATCH("ap",'Chart of Accounts'!$F$5:$F$3000,0)),C177&amp;"")</f>
        <v/>
      </c>
      <c r="K177" s="16">
        <f>IF(F177="",INDEX('Chart of Accounts'!$A$5:$A$3000,MATCH("bank",'Chart of Accounts'!$F$5:$F$3000,0)),F177&amp;"")</f>
        <v/>
      </c>
      <c r="L177" s="23">
        <f>IFERROR(INDEX('Chart of Accounts'!$C$5:$C$3000,MATCH(J177&amp;"",'Chart of Accounts'!$A$5:$A$3000,0))&amp;"|"&amp;INDEX('Chart of Accounts'!$D$5:$D$3000,MATCH(J177&amp;"",'Chart of Accounts'!$A$5:$A$3000,0)),"")</f>
        <v/>
      </c>
      <c r="M177" s="23">
        <f>IFERROR(INDEX('Chart of Accounts'!$C$5:$C$3000,MATCH(K177&amp;"",'Chart of Accounts'!$A$5:$A$3000,0))&amp;"|"&amp;INDEX('Chart of Accounts'!$D$5:$D$3000,MATCH(K177&amp;"",'Chart of Accounts'!$A$5:$A$3000,0)),"")</f>
        <v/>
      </c>
      <c r="N177" s="23">
        <f>IF(LEFT(L177,8)="Revenue|",-N(D177),0)+IF(LEFT(M177,8)="Revenue|",N(D177),0)</f>
        <v/>
      </c>
      <c r="O177" s="23">
        <f>IF(LEFT(L177,5)="COGS|",N(D177),0)+IF(LEFT(M177,5)="COGS|",-N(D177),0)</f>
        <v/>
      </c>
      <c r="P177" s="23">
        <f>IF(LEFT(L177,8)="Expense|",N(D177),0)+IF(LEFT(M177,8)="Expense|",-N(D177),0)</f>
        <v/>
      </c>
      <c r="Q177" s="23">
        <f>IF(ISNUMBER(MATCH(L177,{"Expense|employee","Expense|general_admin","Expense|marketing","Expense|utilities","Expense|other_operating"},0)),N(D177),0)+IF(ISNUMBER(MATCH(M177,{"Expense|employee","Expense|general_admin","Expense|marketing","Expense|utilities","Expense|other_operating"},0)),-N(D177),0)</f>
        <v/>
      </c>
      <c r="R177" s="23">
        <f>IF(L177="Liability|payable",-N(D177),0)+IF(M177="Liability|payable",N(D177),0)</f>
        <v/>
      </c>
      <c r="S177" s="23">
        <f>IF(L177="Liability|accrued",-N(D177),0)+IF(M177="Liability|accrued",N(D177),0)</f>
        <v/>
      </c>
      <c r="T177" s="23">
        <f>IF(AND(N(D177)&lt;&gt;0,L177=""),1,0)+IF(AND(N(D177)&lt;&gt;0,M177=""),1,0)</f>
        <v/>
      </c>
    </row>
    <row r="178">
      <c r="A178" s="19" t="n"/>
      <c r="B178" s="14" t="n"/>
      <c r="C178" s="14" t="n"/>
      <c r="D178" s="20" t="n"/>
      <c r="E178" s="14" t="n"/>
      <c r="F178" s="14" t="n"/>
      <c r="G178" s="14" t="n"/>
      <c r="H178" s="14" t="n"/>
      <c r="I178" s="14" t="n"/>
      <c r="J178" s="16">
        <f>IF(C178="",INDEX('Chart of Accounts'!$A$5:$A$3000,MATCH("ap",'Chart of Accounts'!$F$5:$F$3000,0)),C178&amp;"")</f>
        <v/>
      </c>
      <c r="K178" s="16">
        <f>IF(F178="",INDEX('Chart of Accounts'!$A$5:$A$3000,MATCH("bank",'Chart of Accounts'!$F$5:$F$3000,0)),F178&amp;"")</f>
        <v/>
      </c>
      <c r="L178" s="23">
        <f>IFERROR(INDEX('Chart of Accounts'!$C$5:$C$3000,MATCH(J178&amp;"",'Chart of Accounts'!$A$5:$A$3000,0))&amp;"|"&amp;INDEX('Chart of Accounts'!$D$5:$D$3000,MATCH(J178&amp;"",'Chart of Accounts'!$A$5:$A$3000,0)),"")</f>
        <v/>
      </c>
      <c r="M178" s="23">
        <f>IFERROR(INDEX('Chart of Accounts'!$C$5:$C$3000,MATCH(K178&amp;"",'Chart of Accounts'!$A$5:$A$3000,0))&amp;"|"&amp;INDEX('Chart of Accounts'!$D$5:$D$3000,MATCH(K178&amp;"",'Chart of Accounts'!$A$5:$A$3000,0)),"")</f>
        <v/>
      </c>
      <c r="N178" s="23">
        <f>IF(LEFT(L178,8)="Revenue|",-N(D178),0)+IF(LEFT(M178,8)="Revenue|",N(D178),0)</f>
        <v/>
      </c>
      <c r="O178" s="23">
        <f>IF(LEFT(L178,5)="COGS|",N(D178),0)+IF(LEFT(M178,5)="COGS|",-N(D178),0)</f>
        <v/>
      </c>
      <c r="P178" s="23">
        <f>IF(LEFT(L178,8)="Expense|",N(D178),0)+IF(LEFT(M178,8)="Expense|",-N(D178),0)</f>
        <v/>
      </c>
      <c r="Q178" s="23">
        <f>IF(ISNUMBER(MATCH(L178,{"Expense|employee","Expense|general_admin","Expense|marketing","Expense|utilities","Expense|other_operating"},0)),N(D178),0)+IF(ISNUMBER(MATCH(M178,{"Expense|employee","Expense|general_admin","Expense|marketing","Expense|utilities","Expense|other_operating"},0)),-N(D178),0)</f>
        <v/>
      </c>
      <c r="R178" s="23">
        <f>IF(L178="Liability|payable",-N(D178),0)+IF(M178="Liability|payable",N(D178),0)</f>
        <v/>
      </c>
      <c r="S178" s="23">
        <f>IF(L178="Liability|accrued",-N(D178),0)+IF(M178="Liability|accrued",N(D178),0)</f>
        <v/>
      </c>
      <c r="T178" s="23">
        <f>IF(AND(N(D178)&lt;&gt;0,L178=""),1,0)+IF(AND(N(D178)&lt;&gt;0,M178=""),1,0)</f>
        <v/>
      </c>
    </row>
    <row r="179">
      <c r="A179" s="19" t="n"/>
      <c r="B179" s="14" t="n"/>
      <c r="C179" s="14" t="n"/>
      <c r="D179" s="20" t="n"/>
      <c r="E179" s="14" t="n"/>
      <c r="F179" s="14" t="n"/>
      <c r="G179" s="14" t="n"/>
      <c r="H179" s="14" t="n"/>
      <c r="I179" s="14" t="n"/>
      <c r="J179" s="16">
        <f>IF(C179="",INDEX('Chart of Accounts'!$A$5:$A$3000,MATCH("ap",'Chart of Accounts'!$F$5:$F$3000,0)),C179&amp;"")</f>
        <v/>
      </c>
      <c r="K179" s="16">
        <f>IF(F179="",INDEX('Chart of Accounts'!$A$5:$A$3000,MATCH("bank",'Chart of Accounts'!$F$5:$F$3000,0)),F179&amp;"")</f>
        <v/>
      </c>
      <c r="L179" s="23">
        <f>IFERROR(INDEX('Chart of Accounts'!$C$5:$C$3000,MATCH(J179&amp;"",'Chart of Accounts'!$A$5:$A$3000,0))&amp;"|"&amp;INDEX('Chart of Accounts'!$D$5:$D$3000,MATCH(J179&amp;"",'Chart of Accounts'!$A$5:$A$3000,0)),"")</f>
        <v/>
      </c>
      <c r="M179" s="23">
        <f>IFERROR(INDEX('Chart of Accounts'!$C$5:$C$3000,MATCH(K179&amp;"",'Chart of Accounts'!$A$5:$A$3000,0))&amp;"|"&amp;INDEX('Chart of Accounts'!$D$5:$D$3000,MATCH(K179&amp;"",'Chart of Accounts'!$A$5:$A$3000,0)),"")</f>
        <v/>
      </c>
      <c r="N179" s="23">
        <f>IF(LEFT(L179,8)="Revenue|",-N(D179),0)+IF(LEFT(M179,8)="Revenue|",N(D179),0)</f>
        <v/>
      </c>
      <c r="O179" s="23">
        <f>IF(LEFT(L179,5)="COGS|",N(D179),0)+IF(LEFT(M179,5)="COGS|",-N(D179),0)</f>
        <v/>
      </c>
      <c r="P179" s="23">
        <f>IF(LEFT(L179,8)="Expense|",N(D179),0)+IF(LEFT(M179,8)="Expense|",-N(D179),0)</f>
        <v/>
      </c>
      <c r="Q179" s="23">
        <f>IF(ISNUMBER(MATCH(L179,{"Expense|employee","Expense|general_admin","Expense|marketing","Expense|utilities","Expense|other_operating"},0)),N(D179),0)+IF(ISNUMBER(MATCH(M179,{"Expense|employee","Expense|general_admin","Expense|marketing","Expense|utilities","Expense|other_operating"},0)),-N(D179),0)</f>
        <v/>
      </c>
      <c r="R179" s="23">
        <f>IF(L179="Liability|payable",-N(D179),0)+IF(M179="Liability|payable",N(D179),0)</f>
        <v/>
      </c>
      <c r="S179" s="23">
        <f>IF(L179="Liability|accrued",-N(D179),0)+IF(M179="Liability|accrued",N(D179),0)</f>
        <v/>
      </c>
      <c r="T179" s="23">
        <f>IF(AND(N(D179)&lt;&gt;0,L179=""),1,0)+IF(AND(N(D179)&lt;&gt;0,M179=""),1,0)</f>
        <v/>
      </c>
    </row>
    <row r="180">
      <c r="A180" s="19" t="n"/>
      <c r="B180" s="14" t="n"/>
      <c r="C180" s="14" t="n"/>
      <c r="D180" s="20" t="n"/>
      <c r="E180" s="14" t="n"/>
      <c r="F180" s="14" t="n"/>
      <c r="G180" s="14" t="n"/>
      <c r="H180" s="14" t="n"/>
      <c r="I180" s="14" t="n"/>
      <c r="J180" s="16">
        <f>IF(C180="",INDEX('Chart of Accounts'!$A$5:$A$3000,MATCH("ap",'Chart of Accounts'!$F$5:$F$3000,0)),C180&amp;"")</f>
        <v/>
      </c>
      <c r="K180" s="16">
        <f>IF(F180="",INDEX('Chart of Accounts'!$A$5:$A$3000,MATCH("bank",'Chart of Accounts'!$F$5:$F$3000,0)),F180&amp;"")</f>
        <v/>
      </c>
      <c r="L180" s="23">
        <f>IFERROR(INDEX('Chart of Accounts'!$C$5:$C$3000,MATCH(J180&amp;"",'Chart of Accounts'!$A$5:$A$3000,0))&amp;"|"&amp;INDEX('Chart of Accounts'!$D$5:$D$3000,MATCH(J180&amp;"",'Chart of Accounts'!$A$5:$A$3000,0)),"")</f>
        <v/>
      </c>
      <c r="M180" s="23">
        <f>IFERROR(INDEX('Chart of Accounts'!$C$5:$C$3000,MATCH(K180&amp;"",'Chart of Accounts'!$A$5:$A$3000,0))&amp;"|"&amp;INDEX('Chart of Accounts'!$D$5:$D$3000,MATCH(K180&amp;"",'Chart of Accounts'!$A$5:$A$3000,0)),"")</f>
        <v/>
      </c>
      <c r="N180" s="23">
        <f>IF(LEFT(L180,8)="Revenue|",-N(D180),0)+IF(LEFT(M180,8)="Revenue|",N(D180),0)</f>
        <v/>
      </c>
      <c r="O180" s="23">
        <f>IF(LEFT(L180,5)="COGS|",N(D180),0)+IF(LEFT(M180,5)="COGS|",-N(D180),0)</f>
        <v/>
      </c>
      <c r="P180" s="23">
        <f>IF(LEFT(L180,8)="Expense|",N(D180),0)+IF(LEFT(M180,8)="Expense|",-N(D180),0)</f>
        <v/>
      </c>
      <c r="Q180" s="23">
        <f>IF(ISNUMBER(MATCH(L180,{"Expense|employee","Expense|general_admin","Expense|marketing","Expense|utilities","Expense|other_operating"},0)),N(D180),0)+IF(ISNUMBER(MATCH(M180,{"Expense|employee","Expense|general_admin","Expense|marketing","Expense|utilities","Expense|other_operating"},0)),-N(D180),0)</f>
        <v/>
      </c>
      <c r="R180" s="23">
        <f>IF(L180="Liability|payable",-N(D180),0)+IF(M180="Liability|payable",N(D180),0)</f>
        <v/>
      </c>
      <c r="S180" s="23">
        <f>IF(L180="Liability|accrued",-N(D180),0)+IF(M180="Liability|accrued",N(D180),0)</f>
        <v/>
      </c>
      <c r="T180" s="23">
        <f>IF(AND(N(D180)&lt;&gt;0,L180=""),1,0)+IF(AND(N(D180)&lt;&gt;0,M180=""),1,0)</f>
        <v/>
      </c>
    </row>
    <row r="181">
      <c r="A181" s="19" t="n"/>
      <c r="B181" s="14" t="n"/>
      <c r="C181" s="14" t="n"/>
      <c r="D181" s="20" t="n"/>
      <c r="E181" s="14" t="n"/>
      <c r="F181" s="14" t="n"/>
      <c r="G181" s="14" t="n"/>
      <c r="H181" s="14" t="n"/>
      <c r="I181" s="14" t="n"/>
      <c r="J181" s="16">
        <f>IF(C181="",INDEX('Chart of Accounts'!$A$5:$A$3000,MATCH("ap",'Chart of Accounts'!$F$5:$F$3000,0)),C181&amp;"")</f>
        <v/>
      </c>
      <c r="K181" s="16">
        <f>IF(F181="",INDEX('Chart of Accounts'!$A$5:$A$3000,MATCH("bank",'Chart of Accounts'!$F$5:$F$3000,0)),F181&amp;"")</f>
        <v/>
      </c>
      <c r="L181" s="23">
        <f>IFERROR(INDEX('Chart of Accounts'!$C$5:$C$3000,MATCH(J181&amp;"",'Chart of Accounts'!$A$5:$A$3000,0))&amp;"|"&amp;INDEX('Chart of Accounts'!$D$5:$D$3000,MATCH(J181&amp;"",'Chart of Accounts'!$A$5:$A$3000,0)),"")</f>
        <v/>
      </c>
      <c r="M181" s="23">
        <f>IFERROR(INDEX('Chart of Accounts'!$C$5:$C$3000,MATCH(K181&amp;"",'Chart of Accounts'!$A$5:$A$3000,0))&amp;"|"&amp;INDEX('Chart of Accounts'!$D$5:$D$3000,MATCH(K181&amp;"",'Chart of Accounts'!$A$5:$A$3000,0)),"")</f>
        <v/>
      </c>
      <c r="N181" s="23">
        <f>IF(LEFT(L181,8)="Revenue|",-N(D181),0)+IF(LEFT(M181,8)="Revenue|",N(D181),0)</f>
        <v/>
      </c>
      <c r="O181" s="23">
        <f>IF(LEFT(L181,5)="COGS|",N(D181),0)+IF(LEFT(M181,5)="COGS|",-N(D181),0)</f>
        <v/>
      </c>
      <c r="P181" s="23">
        <f>IF(LEFT(L181,8)="Expense|",N(D181),0)+IF(LEFT(M181,8)="Expense|",-N(D181),0)</f>
        <v/>
      </c>
      <c r="Q181" s="23">
        <f>IF(ISNUMBER(MATCH(L181,{"Expense|employee","Expense|general_admin","Expense|marketing","Expense|utilities","Expense|other_operating"},0)),N(D181),0)+IF(ISNUMBER(MATCH(M181,{"Expense|employee","Expense|general_admin","Expense|marketing","Expense|utilities","Expense|other_operating"},0)),-N(D181),0)</f>
        <v/>
      </c>
      <c r="R181" s="23">
        <f>IF(L181="Liability|payable",-N(D181),0)+IF(M181="Liability|payable",N(D181),0)</f>
        <v/>
      </c>
      <c r="S181" s="23">
        <f>IF(L181="Liability|accrued",-N(D181),0)+IF(M181="Liability|accrued",N(D181),0)</f>
        <v/>
      </c>
      <c r="T181" s="23">
        <f>IF(AND(N(D181)&lt;&gt;0,L181=""),1,0)+IF(AND(N(D181)&lt;&gt;0,M181=""),1,0)</f>
        <v/>
      </c>
    </row>
    <row r="182">
      <c r="A182" s="19" t="n"/>
      <c r="B182" s="14" t="n"/>
      <c r="C182" s="14" t="n"/>
      <c r="D182" s="20" t="n"/>
      <c r="E182" s="14" t="n"/>
      <c r="F182" s="14" t="n"/>
      <c r="G182" s="14" t="n"/>
      <c r="H182" s="14" t="n"/>
      <c r="I182" s="14" t="n"/>
      <c r="J182" s="16">
        <f>IF(C182="",INDEX('Chart of Accounts'!$A$5:$A$3000,MATCH("ap",'Chart of Accounts'!$F$5:$F$3000,0)),C182&amp;"")</f>
        <v/>
      </c>
      <c r="K182" s="16">
        <f>IF(F182="",INDEX('Chart of Accounts'!$A$5:$A$3000,MATCH("bank",'Chart of Accounts'!$F$5:$F$3000,0)),F182&amp;"")</f>
        <v/>
      </c>
      <c r="L182" s="23">
        <f>IFERROR(INDEX('Chart of Accounts'!$C$5:$C$3000,MATCH(J182&amp;"",'Chart of Accounts'!$A$5:$A$3000,0))&amp;"|"&amp;INDEX('Chart of Accounts'!$D$5:$D$3000,MATCH(J182&amp;"",'Chart of Accounts'!$A$5:$A$3000,0)),"")</f>
        <v/>
      </c>
      <c r="M182" s="23">
        <f>IFERROR(INDEX('Chart of Accounts'!$C$5:$C$3000,MATCH(K182&amp;"",'Chart of Accounts'!$A$5:$A$3000,0))&amp;"|"&amp;INDEX('Chart of Accounts'!$D$5:$D$3000,MATCH(K182&amp;"",'Chart of Accounts'!$A$5:$A$3000,0)),"")</f>
        <v/>
      </c>
      <c r="N182" s="23">
        <f>IF(LEFT(L182,8)="Revenue|",-N(D182),0)+IF(LEFT(M182,8)="Revenue|",N(D182),0)</f>
        <v/>
      </c>
      <c r="O182" s="23">
        <f>IF(LEFT(L182,5)="COGS|",N(D182),0)+IF(LEFT(M182,5)="COGS|",-N(D182),0)</f>
        <v/>
      </c>
      <c r="P182" s="23">
        <f>IF(LEFT(L182,8)="Expense|",N(D182),0)+IF(LEFT(M182,8)="Expense|",-N(D182),0)</f>
        <v/>
      </c>
      <c r="Q182" s="23">
        <f>IF(ISNUMBER(MATCH(L182,{"Expense|employee","Expense|general_admin","Expense|marketing","Expense|utilities","Expense|other_operating"},0)),N(D182),0)+IF(ISNUMBER(MATCH(M182,{"Expense|employee","Expense|general_admin","Expense|marketing","Expense|utilities","Expense|other_operating"},0)),-N(D182),0)</f>
        <v/>
      </c>
      <c r="R182" s="23">
        <f>IF(L182="Liability|payable",-N(D182),0)+IF(M182="Liability|payable",N(D182),0)</f>
        <v/>
      </c>
      <c r="S182" s="23">
        <f>IF(L182="Liability|accrued",-N(D182),0)+IF(M182="Liability|accrued",N(D182),0)</f>
        <v/>
      </c>
      <c r="T182" s="23">
        <f>IF(AND(N(D182)&lt;&gt;0,L182=""),1,0)+IF(AND(N(D182)&lt;&gt;0,M182=""),1,0)</f>
        <v/>
      </c>
    </row>
    <row r="183">
      <c r="A183" s="19" t="n"/>
      <c r="B183" s="14" t="n"/>
      <c r="C183" s="14" t="n"/>
      <c r="D183" s="20" t="n"/>
      <c r="E183" s="14" t="n"/>
      <c r="F183" s="14" t="n"/>
      <c r="G183" s="14" t="n"/>
      <c r="H183" s="14" t="n"/>
      <c r="I183" s="14" t="n"/>
      <c r="J183" s="16">
        <f>IF(C183="",INDEX('Chart of Accounts'!$A$5:$A$3000,MATCH("ap",'Chart of Accounts'!$F$5:$F$3000,0)),C183&amp;"")</f>
        <v/>
      </c>
      <c r="K183" s="16">
        <f>IF(F183="",INDEX('Chart of Accounts'!$A$5:$A$3000,MATCH("bank",'Chart of Accounts'!$F$5:$F$3000,0)),F183&amp;"")</f>
        <v/>
      </c>
      <c r="L183" s="23">
        <f>IFERROR(INDEX('Chart of Accounts'!$C$5:$C$3000,MATCH(J183&amp;"",'Chart of Accounts'!$A$5:$A$3000,0))&amp;"|"&amp;INDEX('Chart of Accounts'!$D$5:$D$3000,MATCH(J183&amp;"",'Chart of Accounts'!$A$5:$A$3000,0)),"")</f>
        <v/>
      </c>
      <c r="M183" s="23">
        <f>IFERROR(INDEX('Chart of Accounts'!$C$5:$C$3000,MATCH(K183&amp;"",'Chart of Accounts'!$A$5:$A$3000,0))&amp;"|"&amp;INDEX('Chart of Accounts'!$D$5:$D$3000,MATCH(K183&amp;"",'Chart of Accounts'!$A$5:$A$3000,0)),"")</f>
        <v/>
      </c>
      <c r="N183" s="23">
        <f>IF(LEFT(L183,8)="Revenue|",-N(D183),0)+IF(LEFT(M183,8)="Revenue|",N(D183),0)</f>
        <v/>
      </c>
      <c r="O183" s="23">
        <f>IF(LEFT(L183,5)="COGS|",N(D183),0)+IF(LEFT(M183,5)="COGS|",-N(D183),0)</f>
        <v/>
      </c>
      <c r="P183" s="23">
        <f>IF(LEFT(L183,8)="Expense|",N(D183),0)+IF(LEFT(M183,8)="Expense|",-N(D183),0)</f>
        <v/>
      </c>
      <c r="Q183" s="23">
        <f>IF(ISNUMBER(MATCH(L183,{"Expense|employee","Expense|general_admin","Expense|marketing","Expense|utilities","Expense|other_operating"},0)),N(D183),0)+IF(ISNUMBER(MATCH(M183,{"Expense|employee","Expense|general_admin","Expense|marketing","Expense|utilities","Expense|other_operating"},0)),-N(D183),0)</f>
        <v/>
      </c>
      <c r="R183" s="23">
        <f>IF(L183="Liability|payable",-N(D183),0)+IF(M183="Liability|payable",N(D183),0)</f>
        <v/>
      </c>
      <c r="S183" s="23">
        <f>IF(L183="Liability|accrued",-N(D183),0)+IF(M183="Liability|accrued",N(D183),0)</f>
        <v/>
      </c>
      <c r="T183" s="23">
        <f>IF(AND(N(D183)&lt;&gt;0,L183=""),1,0)+IF(AND(N(D183)&lt;&gt;0,M183=""),1,0)</f>
        <v/>
      </c>
    </row>
    <row r="184">
      <c r="A184" s="19" t="n"/>
      <c r="B184" s="14" t="n"/>
      <c r="C184" s="14" t="n"/>
      <c r="D184" s="20" t="n"/>
      <c r="E184" s="14" t="n"/>
      <c r="F184" s="14" t="n"/>
      <c r="G184" s="14" t="n"/>
      <c r="H184" s="14" t="n"/>
      <c r="I184" s="14" t="n"/>
      <c r="J184" s="16">
        <f>IF(C184="",INDEX('Chart of Accounts'!$A$5:$A$3000,MATCH("ap",'Chart of Accounts'!$F$5:$F$3000,0)),C184&amp;"")</f>
        <v/>
      </c>
      <c r="K184" s="16">
        <f>IF(F184="",INDEX('Chart of Accounts'!$A$5:$A$3000,MATCH("bank",'Chart of Accounts'!$F$5:$F$3000,0)),F184&amp;"")</f>
        <v/>
      </c>
      <c r="L184" s="23">
        <f>IFERROR(INDEX('Chart of Accounts'!$C$5:$C$3000,MATCH(J184&amp;"",'Chart of Accounts'!$A$5:$A$3000,0))&amp;"|"&amp;INDEX('Chart of Accounts'!$D$5:$D$3000,MATCH(J184&amp;"",'Chart of Accounts'!$A$5:$A$3000,0)),"")</f>
        <v/>
      </c>
      <c r="M184" s="23">
        <f>IFERROR(INDEX('Chart of Accounts'!$C$5:$C$3000,MATCH(K184&amp;"",'Chart of Accounts'!$A$5:$A$3000,0))&amp;"|"&amp;INDEX('Chart of Accounts'!$D$5:$D$3000,MATCH(K184&amp;"",'Chart of Accounts'!$A$5:$A$3000,0)),"")</f>
        <v/>
      </c>
      <c r="N184" s="23">
        <f>IF(LEFT(L184,8)="Revenue|",-N(D184),0)+IF(LEFT(M184,8)="Revenue|",N(D184),0)</f>
        <v/>
      </c>
      <c r="O184" s="23">
        <f>IF(LEFT(L184,5)="COGS|",N(D184),0)+IF(LEFT(M184,5)="COGS|",-N(D184),0)</f>
        <v/>
      </c>
      <c r="P184" s="23">
        <f>IF(LEFT(L184,8)="Expense|",N(D184),0)+IF(LEFT(M184,8)="Expense|",-N(D184),0)</f>
        <v/>
      </c>
      <c r="Q184" s="23">
        <f>IF(ISNUMBER(MATCH(L184,{"Expense|employee","Expense|general_admin","Expense|marketing","Expense|utilities","Expense|other_operating"},0)),N(D184),0)+IF(ISNUMBER(MATCH(M184,{"Expense|employee","Expense|general_admin","Expense|marketing","Expense|utilities","Expense|other_operating"},0)),-N(D184),0)</f>
        <v/>
      </c>
      <c r="R184" s="23">
        <f>IF(L184="Liability|payable",-N(D184),0)+IF(M184="Liability|payable",N(D184),0)</f>
        <v/>
      </c>
      <c r="S184" s="23">
        <f>IF(L184="Liability|accrued",-N(D184),0)+IF(M184="Liability|accrued",N(D184),0)</f>
        <v/>
      </c>
      <c r="T184" s="23">
        <f>IF(AND(N(D184)&lt;&gt;0,L184=""),1,0)+IF(AND(N(D184)&lt;&gt;0,M184=""),1,0)</f>
        <v/>
      </c>
    </row>
    <row r="185">
      <c r="A185" s="19" t="n"/>
      <c r="B185" s="14" t="n"/>
      <c r="C185" s="14" t="n"/>
      <c r="D185" s="20" t="n"/>
      <c r="E185" s="14" t="n"/>
      <c r="F185" s="14" t="n"/>
      <c r="G185" s="14" t="n"/>
      <c r="H185" s="14" t="n"/>
      <c r="I185" s="14" t="n"/>
      <c r="J185" s="16">
        <f>IF(C185="",INDEX('Chart of Accounts'!$A$5:$A$3000,MATCH("ap",'Chart of Accounts'!$F$5:$F$3000,0)),C185&amp;"")</f>
        <v/>
      </c>
      <c r="K185" s="16">
        <f>IF(F185="",INDEX('Chart of Accounts'!$A$5:$A$3000,MATCH("bank",'Chart of Accounts'!$F$5:$F$3000,0)),F185&amp;"")</f>
        <v/>
      </c>
      <c r="L185" s="23">
        <f>IFERROR(INDEX('Chart of Accounts'!$C$5:$C$3000,MATCH(J185&amp;"",'Chart of Accounts'!$A$5:$A$3000,0))&amp;"|"&amp;INDEX('Chart of Accounts'!$D$5:$D$3000,MATCH(J185&amp;"",'Chart of Accounts'!$A$5:$A$3000,0)),"")</f>
        <v/>
      </c>
      <c r="M185" s="23">
        <f>IFERROR(INDEX('Chart of Accounts'!$C$5:$C$3000,MATCH(K185&amp;"",'Chart of Accounts'!$A$5:$A$3000,0))&amp;"|"&amp;INDEX('Chart of Accounts'!$D$5:$D$3000,MATCH(K185&amp;"",'Chart of Accounts'!$A$5:$A$3000,0)),"")</f>
        <v/>
      </c>
      <c r="N185" s="23">
        <f>IF(LEFT(L185,8)="Revenue|",-N(D185),0)+IF(LEFT(M185,8)="Revenue|",N(D185),0)</f>
        <v/>
      </c>
      <c r="O185" s="23">
        <f>IF(LEFT(L185,5)="COGS|",N(D185),0)+IF(LEFT(M185,5)="COGS|",-N(D185),0)</f>
        <v/>
      </c>
      <c r="P185" s="23">
        <f>IF(LEFT(L185,8)="Expense|",N(D185),0)+IF(LEFT(M185,8)="Expense|",-N(D185),0)</f>
        <v/>
      </c>
      <c r="Q185" s="23">
        <f>IF(ISNUMBER(MATCH(L185,{"Expense|employee","Expense|general_admin","Expense|marketing","Expense|utilities","Expense|other_operating"},0)),N(D185),0)+IF(ISNUMBER(MATCH(M185,{"Expense|employee","Expense|general_admin","Expense|marketing","Expense|utilities","Expense|other_operating"},0)),-N(D185),0)</f>
        <v/>
      </c>
      <c r="R185" s="23">
        <f>IF(L185="Liability|payable",-N(D185),0)+IF(M185="Liability|payable",N(D185),0)</f>
        <v/>
      </c>
      <c r="S185" s="23">
        <f>IF(L185="Liability|accrued",-N(D185),0)+IF(M185="Liability|accrued",N(D185),0)</f>
        <v/>
      </c>
      <c r="T185" s="23">
        <f>IF(AND(N(D185)&lt;&gt;0,L185=""),1,0)+IF(AND(N(D185)&lt;&gt;0,M185=""),1,0)</f>
        <v/>
      </c>
    </row>
    <row r="186">
      <c r="A186" s="19" t="n"/>
      <c r="B186" s="14" t="n"/>
      <c r="C186" s="14" t="n"/>
      <c r="D186" s="20" t="n"/>
      <c r="E186" s="14" t="n"/>
      <c r="F186" s="14" t="n"/>
      <c r="G186" s="14" t="n"/>
      <c r="H186" s="14" t="n"/>
      <c r="I186" s="14" t="n"/>
      <c r="J186" s="16">
        <f>IF(C186="",INDEX('Chart of Accounts'!$A$5:$A$3000,MATCH("ap",'Chart of Accounts'!$F$5:$F$3000,0)),C186&amp;"")</f>
        <v/>
      </c>
      <c r="K186" s="16">
        <f>IF(F186="",INDEX('Chart of Accounts'!$A$5:$A$3000,MATCH("bank",'Chart of Accounts'!$F$5:$F$3000,0)),F186&amp;"")</f>
        <v/>
      </c>
      <c r="L186" s="23">
        <f>IFERROR(INDEX('Chart of Accounts'!$C$5:$C$3000,MATCH(J186&amp;"",'Chart of Accounts'!$A$5:$A$3000,0))&amp;"|"&amp;INDEX('Chart of Accounts'!$D$5:$D$3000,MATCH(J186&amp;"",'Chart of Accounts'!$A$5:$A$3000,0)),"")</f>
        <v/>
      </c>
      <c r="M186" s="23">
        <f>IFERROR(INDEX('Chart of Accounts'!$C$5:$C$3000,MATCH(K186&amp;"",'Chart of Accounts'!$A$5:$A$3000,0))&amp;"|"&amp;INDEX('Chart of Accounts'!$D$5:$D$3000,MATCH(K186&amp;"",'Chart of Accounts'!$A$5:$A$3000,0)),"")</f>
        <v/>
      </c>
      <c r="N186" s="23">
        <f>IF(LEFT(L186,8)="Revenue|",-N(D186),0)+IF(LEFT(M186,8)="Revenue|",N(D186),0)</f>
        <v/>
      </c>
      <c r="O186" s="23">
        <f>IF(LEFT(L186,5)="COGS|",N(D186),0)+IF(LEFT(M186,5)="COGS|",-N(D186),0)</f>
        <v/>
      </c>
      <c r="P186" s="23">
        <f>IF(LEFT(L186,8)="Expense|",N(D186),0)+IF(LEFT(M186,8)="Expense|",-N(D186),0)</f>
        <v/>
      </c>
      <c r="Q186" s="23">
        <f>IF(ISNUMBER(MATCH(L186,{"Expense|employee","Expense|general_admin","Expense|marketing","Expense|utilities","Expense|other_operating"},0)),N(D186),0)+IF(ISNUMBER(MATCH(M186,{"Expense|employee","Expense|general_admin","Expense|marketing","Expense|utilities","Expense|other_operating"},0)),-N(D186),0)</f>
        <v/>
      </c>
      <c r="R186" s="23">
        <f>IF(L186="Liability|payable",-N(D186),0)+IF(M186="Liability|payable",N(D186),0)</f>
        <v/>
      </c>
      <c r="S186" s="23">
        <f>IF(L186="Liability|accrued",-N(D186),0)+IF(M186="Liability|accrued",N(D186),0)</f>
        <v/>
      </c>
      <c r="T186" s="23">
        <f>IF(AND(N(D186)&lt;&gt;0,L186=""),1,0)+IF(AND(N(D186)&lt;&gt;0,M186=""),1,0)</f>
        <v/>
      </c>
    </row>
    <row r="187">
      <c r="A187" s="19" t="n"/>
      <c r="B187" s="14" t="n"/>
      <c r="C187" s="14" t="n"/>
      <c r="D187" s="20" t="n"/>
      <c r="E187" s="14" t="n"/>
      <c r="F187" s="14" t="n"/>
      <c r="G187" s="14" t="n"/>
      <c r="H187" s="14" t="n"/>
      <c r="I187" s="14" t="n"/>
      <c r="J187" s="16">
        <f>IF(C187="",INDEX('Chart of Accounts'!$A$5:$A$3000,MATCH("ap",'Chart of Accounts'!$F$5:$F$3000,0)),C187&amp;"")</f>
        <v/>
      </c>
      <c r="K187" s="16">
        <f>IF(F187="",INDEX('Chart of Accounts'!$A$5:$A$3000,MATCH("bank",'Chart of Accounts'!$F$5:$F$3000,0)),F187&amp;"")</f>
        <v/>
      </c>
      <c r="L187" s="23">
        <f>IFERROR(INDEX('Chart of Accounts'!$C$5:$C$3000,MATCH(J187&amp;"",'Chart of Accounts'!$A$5:$A$3000,0))&amp;"|"&amp;INDEX('Chart of Accounts'!$D$5:$D$3000,MATCH(J187&amp;"",'Chart of Accounts'!$A$5:$A$3000,0)),"")</f>
        <v/>
      </c>
      <c r="M187" s="23">
        <f>IFERROR(INDEX('Chart of Accounts'!$C$5:$C$3000,MATCH(K187&amp;"",'Chart of Accounts'!$A$5:$A$3000,0))&amp;"|"&amp;INDEX('Chart of Accounts'!$D$5:$D$3000,MATCH(K187&amp;"",'Chart of Accounts'!$A$5:$A$3000,0)),"")</f>
        <v/>
      </c>
      <c r="N187" s="23">
        <f>IF(LEFT(L187,8)="Revenue|",-N(D187),0)+IF(LEFT(M187,8)="Revenue|",N(D187),0)</f>
        <v/>
      </c>
      <c r="O187" s="23">
        <f>IF(LEFT(L187,5)="COGS|",N(D187),0)+IF(LEFT(M187,5)="COGS|",-N(D187),0)</f>
        <v/>
      </c>
      <c r="P187" s="23">
        <f>IF(LEFT(L187,8)="Expense|",N(D187),0)+IF(LEFT(M187,8)="Expense|",-N(D187),0)</f>
        <v/>
      </c>
      <c r="Q187" s="23">
        <f>IF(ISNUMBER(MATCH(L187,{"Expense|employee","Expense|general_admin","Expense|marketing","Expense|utilities","Expense|other_operating"},0)),N(D187),0)+IF(ISNUMBER(MATCH(M187,{"Expense|employee","Expense|general_admin","Expense|marketing","Expense|utilities","Expense|other_operating"},0)),-N(D187),0)</f>
        <v/>
      </c>
      <c r="R187" s="23">
        <f>IF(L187="Liability|payable",-N(D187),0)+IF(M187="Liability|payable",N(D187),0)</f>
        <v/>
      </c>
      <c r="S187" s="23">
        <f>IF(L187="Liability|accrued",-N(D187),0)+IF(M187="Liability|accrued",N(D187),0)</f>
        <v/>
      </c>
      <c r="T187" s="23">
        <f>IF(AND(N(D187)&lt;&gt;0,L187=""),1,0)+IF(AND(N(D187)&lt;&gt;0,M187=""),1,0)</f>
        <v/>
      </c>
    </row>
    <row r="188">
      <c r="A188" s="19" t="n"/>
      <c r="B188" s="14" t="n"/>
      <c r="C188" s="14" t="n"/>
      <c r="D188" s="20" t="n"/>
      <c r="E188" s="14" t="n"/>
      <c r="F188" s="14" t="n"/>
      <c r="G188" s="14" t="n"/>
      <c r="H188" s="14" t="n"/>
      <c r="I188" s="14" t="n"/>
      <c r="J188" s="16">
        <f>IF(C188="",INDEX('Chart of Accounts'!$A$5:$A$3000,MATCH("ap",'Chart of Accounts'!$F$5:$F$3000,0)),C188&amp;"")</f>
        <v/>
      </c>
      <c r="K188" s="16">
        <f>IF(F188="",INDEX('Chart of Accounts'!$A$5:$A$3000,MATCH("bank",'Chart of Accounts'!$F$5:$F$3000,0)),F188&amp;"")</f>
        <v/>
      </c>
      <c r="L188" s="23">
        <f>IFERROR(INDEX('Chart of Accounts'!$C$5:$C$3000,MATCH(J188&amp;"",'Chart of Accounts'!$A$5:$A$3000,0))&amp;"|"&amp;INDEX('Chart of Accounts'!$D$5:$D$3000,MATCH(J188&amp;"",'Chart of Accounts'!$A$5:$A$3000,0)),"")</f>
        <v/>
      </c>
      <c r="M188" s="23">
        <f>IFERROR(INDEX('Chart of Accounts'!$C$5:$C$3000,MATCH(K188&amp;"",'Chart of Accounts'!$A$5:$A$3000,0))&amp;"|"&amp;INDEX('Chart of Accounts'!$D$5:$D$3000,MATCH(K188&amp;"",'Chart of Accounts'!$A$5:$A$3000,0)),"")</f>
        <v/>
      </c>
      <c r="N188" s="23">
        <f>IF(LEFT(L188,8)="Revenue|",-N(D188),0)+IF(LEFT(M188,8)="Revenue|",N(D188),0)</f>
        <v/>
      </c>
      <c r="O188" s="23">
        <f>IF(LEFT(L188,5)="COGS|",N(D188),0)+IF(LEFT(M188,5)="COGS|",-N(D188),0)</f>
        <v/>
      </c>
      <c r="P188" s="23">
        <f>IF(LEFT(L188,8)="Expense|",N(D188),0)+IF(LEFT(M188,8)="Expense|",-N(D188),0)</f>
        <v/>
      </c>
      <c r="Q188" s="23">
        <f>IF(ISNUMBER(MATCH(L188,{"Expense|employee","Expense|general_admin","Expense|marketing","Expense|utilities","Expense|other_operating"},0)),N(D188),0)+IF(ISNUMBER(MATCH(M188,{"Expense|employee","Expense|general_admin","Expense|marketing","Expense|utilities","Expense|other_operating"},0)),-N(D188),0)</f>
        <v/>
      </c>
      <c r="R188" s="23">
        <f>IF(L188="Liability|payable",-N(D188),0)+IF(M188="Liability|payable",N(D188),0)</f>
        <v/>
      </c>
      <c r="S188" s="23">
        <f>IF(L188="Liability|accrued",-N(D188),0)+IF(M188="Liability|accrued",N(D188),0)</f>
        <v/>
      </c>
      <c r="T188" s="23">
        <f>IF(AND(N(D188)&lt;&gt;0,L188=""),1,0)+IF(AND(N(D188)&lt;&gt;0,M188=""),1,0)</f>
        <v/>
      </c>
    </row>
    <row r="189">
      <c r="A189" s="19" t="n"/>
      <c r="B189" s="14" t="n"/>
      <c r="C189" s="14" t="n"/>
      <c r="D189" s="20" t="n"/>
      <c r="E189" s="14" t="n"/>
      <c r="F189" s="14" t="n"/>
      <c r="G189" s="14" t="n"/>
      <c r="H189" s="14" t="n"/>
      <c r="I189" s="14" t="n"/>
      <c r="J189" s="16">
        <f>IF(C189="",INDEX('Chart of Accounts'!$A$5:$A$3000,MATCH("ap",'Chart of Accounts'!$F$5:$F$3000,0)),C189&amp;"")</f>
        <v/>
      </c>
      <c r="K189" s="16">
        <f>IF(F189="",INDEX('Chart of Accounts'!$A$5:$A$3000,MATCH("bank",'Chart of Accounts'!$F$5:$F$3000,0)),F189&amp;"")</f>
        <v/>
      </c>
      <c r="L189" s="23">
        <f>IFERROR(INDEX('Chart of Accounts'!$C$5:$C$3000,MATCH(J189&amp;"",'Chart of Accounts'!$A$5:$A$3000,0))&amp;"|"&amp;INDEX('Chart of Accounts'!$D$5:$D$3000,MATCH(J189&amp;"",'Chart of Accounts'!$A$5:$A$3000,0)),"")</f>
        <v/>
      </c>
      <c r="M189" s="23">
        <f>IFERROR(INDEX('Chart of Accounts'!$C$5:$C$3000,MATCH(K189&amp;"",'Chart of Accounts'!$A$5:$A$3000,0))&amp;"|"&amp;INDEX('Chart of Accounts'!$D$5:$D$3000,MATCH(K189&amp;"",'Chart of Accounts'!$A$5:$A$3000,0)),"")</f>
        <v/>
      </c>
      <c r="N189" s="23">
        <f>IF(LEFT(L189,8)="Revenue|",-N(D189),0)+IF(LEFT(M189,8)="Revenue|",N(D189),0)</f>
        <v/>
      </c>
      <c r="O189" s="23">
        <f>IF(LEFT(L189,5)="COGS|",N(D189),0)+IF(LEFT(M189,5)="COGS|",-N(D189),0)</f>
        <v/>
      </c>
      <c r="P189" s="23">
        <f>IF(LEFT(L189,8)="Expense|",N(D189),0)+IF(LEFT(M189,8)="Expense|",-N(D189),0)</f>
        <v/>
      </c>
      <c r="Q189" s="23">
        <f>IF(ISNUMBER(MATCH(L189,{"Expense|employee","Expense|general_admin","Expense|marketing","Expense|utilities","Expense|other_operating"},0)),N(D189),0)+IF(ISNUMBER(MATCH(M189,{"Expense|employee","Expense|general_admin","Expense|marketing","Expense|utilities","Expense|other_operating"},0)),-N(D189),0)</f>
        <v/>
      </c>
      <c r="R189" s="23">
        <f>IF(L189="Liability|payable",-N(D189),0)+IF(M189="Liability|payable",N(D189),0)</f>
        <v/>
      </c>
      <c r="S189" s="23">
        <f>IF(L189="Liability|accrued",-N(D189),0)+IF(M189="Liability|accrued",N(D189),0)</f>
        <v/>
      </c>
      <c r="T189" s="23">
        <f>IF(AND(N(D189)&lt;&gt;0,L189=""),1,0)+IF(AND(N(D189)&lt;&gt;0,M189=""),1,0)</f>
        <v/>
      </c>
    </row>
    <row r="190">
      <c r="A190" s="19" t="n"/>
      <c r="B190" s="14" t="n"/>
      <c r="C190" s="14" t="n"/>
      <c r="D190" s="20" t="n"/>
      <c r="E190" s="14" t="n"/>
      <c r="F190" s="14" t="n"/>
      <c r="G190" s="14" t="n"/>
      <c r="H190" s="14" t="n"/>
      <c r="I190" s="14" t="n"/>
      <c r="J190" s="16">
        <f>IF(C190="",INDEX('Chart of Accounts'!$A$5:$A$3000,MATCH("ap",'Chart of Accounts'!$F$5:$F$3000,0)),C190&amp;"")</f>
        <v/>
      </c>
      <c r="K190" s="16">
        <f>IF(F190="",INDEX('Chart of Accounts'!$A$5:$A$3000,MATCH("bank",'Chart of Accounts'!$F$5:$F$3000,0)),F190&amp;"")</f>
        <v/>
      </c>
      <c r="L190" s="23">
        <f>IFERROR(INDEX('Chart of Accounts'!$C$5:$C$3000,MATCH(J190&amp;"",'Chart of Accounts'!$A$5:$A$3000,0))&amp;"|"&amp;INDEX('Chart of Accounts'!$D$5:$D$3000,MATCH(J190&amp;"",'Chart of Accounts'!$A$5:$A$3000,0)),"")</f>
        <v/>
      </c>
      <c r="M190" s="23">
        <f>IFERROR(INDEX('Chart of Accounts'!$C$5:$C$3000,MATCH(K190&amp;"",'Chart of Accounts'!$A$5:$A$3000,0))&amp;"|"&amp;INDEX('Chart of Accounts'!$D$5:$D$3000,MATCH(K190&amp;"",'Chart of Accounts'!$A$5:$A$3000,0)),"")</f>
        <v/>
      </c>
      <c r="N190" s="23">
        <f>IF(LEFT(L190,8)="Revenue|",-N(D190),0)+IF(LEFT(M190,8)="Revenue|",N(D190),0)</f>
        <v/>
      </c>
      <c r="O190" s="23">
        <f>IF(LEFT(L190,5)="COGS|",N(D190),0)+IF(LEFT(M190,5)="COGS|",-N(D190),0)</f>
        <v/>
      </c>
      <c r="P190" s="23">
        <f>IF(LEFT(L190,8)="Expense|",N(D190),0)+IF(LEFT(M190,8)="Expense|",-N(D190),0)</f>
        <v/>
      </c>
      <c r="Q190" s="23">
        <f>IF(ISNUMBER(MATCH(L190,{"Expense|employee","Expense|general_admin","Expense|marketing","Expense|utilities","Expense|other_operating"},0)),N(D190),0)+IF(ISNUMBER(MATCH(M190,{"Expense|employee","Expense|general_admin","Expense|marketing","Expense|utilities","Expense|other_operating"},0)),-N(D190),0)</f>
        <v/>
      </c>
      <c r="R190" s="23">
        <f>IF(L190="Liability|payable",-N(D190),0)+IF(M190="Liability|payable",N(D190),0)</f>
        <v/>
      </c>
      <c r="S190" s="23">
        <f>IF(L190="Liability|accrued",-N(D190),0)+IF(M190="Liability|accrued",N(D190),0)</f>
        <v/>
      </c>
      <c r="T190" s="23">
        <f>IF(AND(N(D190)&lt;&gt;0,L190=""),1,0)+IF(AND(N(D190)&lt;&gt;0,M190=""),1,0)</f>
        <v/>
      </c>
    </row>
    <row r="191">
      <c r="A191" s="19" t="n"/>
      <c r="B191" s="14" t="n"/>
      <c r="C191" s="14" t="n"/>
      <c r="D191" s="20" t="n"/>
      <c r="E191" s="14" t="n"/>
      <c r="F191" s="14" t="n"/>
      <c r="G191" s="14" t="n"/>
      <c r="H191" s="14" t="n"/>
      <c r="I191" s="14" t="n"/>
      <c r="J191" s="16">
        <f>IF(C191="",INDEX('Chart of Accounts'!$A$5:$A$3000,MATCH("ap",'Chart of Accounts'!$F$5:$F$3000,0)),C191&amp;"")</f>
        <v/>
      </c>
      <c r="K191" s="16">
        <f>IF(F191="",INDEX('Chart of Accounts'!$A$5:$A$3000,MATCH("bank",'Chart of Accounts'!$F$5:$F$3000,0)),F191&amp;"")</f>
        <v/>
      </c>
      <c r="L191" s="23">
        <f>IFERROR(INDEX('Chart of Accounts'!$C$5:$C$3000,MATCH(J191&amp;"",'Chart of Accounts'!$A$5:$A$3000,0))&amp;"|"&amp;INDEX('Chart of Accounts'!$D$5:$D$3000,MATCH(J191&amp;"",'Chart of Accounts'!$A$5:$A$3000,0)),"")</f>
        <v/>
      </c>
      <c r="M191" s="23">
        <f>IFERROR(INDEX('Chart of Accounts'!$C$5:$C$3000,MATCH(K191&amp;"",'Chart of Accounts'!$A$5:$A$3000,0))&amp;"|"&amp;INDEX('Chart of Accounts'!$D$5:$D$3000,MATCH(K191&amp;"",'Chart of Accounts'!$A$5:$A$3000,0)),"")</f>
        <v/>
      </c>
      <c r="N191" s="23">
        <f>IF(LEFT(L191,8)="Revenue|",-N(D191),0)+IF(LEFT(M191,8)="Revenue|",N(D191),0)</f>
        <v/>
      </c>
      <c r="O191" s="23">
        <f>IF(LEFT(L191,5)="COGS|",N(D191),0)+IF(LEFT(M191,5)="COGS|",-N(D191),0)</f>
        <v/>
      </c>
      <c r="P191" s="23">
        <f>IF(LEFT(L191,8)="Expense|",N(D191),0)+IF(LEFT(M191,8)="Expense|",-N(D191),0)</f>
        <v/>
      </c>
      <c r="Q191" s="23">
        <f>IF(ISNUMBER(MATCH(L191,{"Expense|employee","Expense|general_admin","Expense|marketing","Expense|utilities","Expense|other_operating"},0)),N(D191),0)+IF(ISNUMBER(MATCH(M191,{"Expense|employee","Expense|general_admin","Expense|marketing","Expense|utilities","Expense|other_operating"},0)),-N(D191),0)</f>
        <v/>
      </c>
      <c r="R191" s="23">
        <f>IF(L191="Liability|payable",-N(D191),0)+IF(M191="Liability|payable",N(D191),0)</f>
        <v/>
      </c>
      <c r="S191" s="23">
        <f>IF(L191="Liability|accrued",-N(D191),0)+IF(M191="Liability|accrued",N(D191),0)</f>
        <v/>
      </c>
      <c r="T191" s="23">
        <f>IF(AND(N(D191)&lt;&gt;0,L191=""),1,0)+IF(AND(N(D191)&lt;&gt;0,M191=""),1,0)</f>
        <v/>
      </c>
    </row>
    <row r="192">
      <c r="A192" s="19" t="n"/>
      <c r="B192" s="14" t="n"/>
      <c r="C192" s="14" t="n"/>
      <c r="D192" s="20" t="n"/>
      <c r="E192" s="14" t="n"/>
      <c r="F192" s="14" t="n"/>
      <c r="G192" s="14" t="n"/>
      <c r="H192" s="14" t="n"/>
      <c r="I192" s="14" t="n"/>
      <c r="J192" s="16">
        <f>IF(C192="",INDEX('Chart of Accounts'!$A$5:$A$3000,MATCH("ap",'Chart of Accounts'!$F$5:$F$3000,0)),C192&amp;"")</f>
        <v/>
      </c>
      <c r="K192" s="16">
        <f>IF(F192="",INDEX('Chart of Accounts'!$A$5:$A$3000,MATCH("bank",'Chart of Accounts'!$F$5:$F$3000,0)),F192&amp;"")</f>
        <v/>
      </c>
      <c r="L192" s="23">
        <f>IFERROR(INDEX('Chart of Accounts'!$C$5:$C$3000,MATCH(J192&amp;"",'Chart of Accounts'!$A$5:$A$3000,0))&amp;"|"&amp;INDEX('Chart of Accounts'!$D$5:$D$3000,MATCH(J192&amp;"",'Chart of Accounts'!$A$5:$A$3000,0)),"")</f>
        <v/>
      </c>
      <c r="M192" s="23">
        <f>IFERROR(INDEX('Chart of Accounts'!$C$5:$C$3000,MATCH(K192&amp;"",'Chart of Accounts'!$A$5:$A$3000,0))&amp;"|"&amp;INDEX('Chart of Accounts'!$D$5:$D$3000,MATCH(K192&amp;"",'Chart of Accounts'!$A$5:$A$3000,0)),"")</f>
        <v/>
      </c>
      <c r="N192" s="23">
        <f>IF(LEFT(L192,8)="Revenue|",-N(D192),0)+IF(LEFT(M192,8)="Revenue|",N(D192),0)</f>
        <v/>
      </c>
      <c r="O192" s="23">
        <f>IF(LEFT(L192,5)="COGS|",N(D192),0)+IF(LEFT(M192,5)="COGS|",-N(D192),0)</f>
        <v/>
      </c>
      <c r="P192" s="23">
        <f>IF(LEFT(L192,8)="Expense|",N(D192),0)+IF(LEFT(M192,8)="Expense|",-N(D192),0)</f>
        <v/>
      </c>
      <c r="Q192" s="23">
        <f>IF(ISNUMBER(MATCH(L192,{"Expense|employee","Expense|general_admin","Expense|marketing","Expense|utilities","Expense|other_operating"},0)),N(D192),0)+IF(ISNUMBER(MATCH(M192,{"Expense|employee","Expense|general_admin","Expense|marketing","Expense|utilities","Expense|other_operating"},0)),-N(D192),0)</f>
        <v/>
      </c>
      <c r="R192" s="23">
        <f>IF(L192="Liability|payable",-N(D192),0)+IF(M192="Liability|payable",N(D192),0)</f>
        <v/>
      </c>
      <c r="S192" s="23">
        <f>IF(L192="Liability|accrued",-N(D192),0)+IF(M192="Liability|accrued",N(D192),0)</f>
        <v/>
      </c>
      <c r="T192" s="23">
        <f>IF(AND(N(D192)&lt;&gt;0,L192=""),1,0)+IF(AND(N(D192)&lt;&gt;0,M192=""),1,0)</f>
        <v/>
      </c>
    </row>
    <row r="193">
      <c r="A193" s="19" t="n"/>
      <c r="B193" s="14" t="n"/>
      <c r="C193" s="14" t="n"/>
      <c r="D193" s="20" t="n"/>
      <c r="E193" s="14" t="n"/>
      <c r="F193" s="14" t="n"/>
      <c r="G193" s="14" t="n"/>
      <c r="H193" s="14" t="n"/>
      <c r="I193" s="14" t="n"/>
      <c r="J193" s="16">
        <f>IF(C193="",INDEX('Chart of Accounts'!$A$5:$A$3000,MATCH("ap",'Chart of Accounts'!$F$5:$F$3000,0)),C193&amp;"")</f>
        <v/>
      </c>
      <c r="K193" s="16">
        <f>IF(F193="",INDEX('Chart of Accounts'!$A$5:$A$3000,MATCH("bank",'Chart of Accounts'!$F$5:$F$3000,0)),F193&amp;"")</f>
        <v/>
      </c>
      <c r="L193" s="23">
        <f>IFERROR(INDEX('Chart of Accounts'!$C$5:$C$3000,MATCH(J193&amp;"",'Chart of Accounts'!$A$5:$A$3000,0))&amp;"|"&amp;INDEX('Chart of Accounts'!$D$5:$D$3000,MATCH(J193&amp;"",'Chart of Accounts'!$A$5:$A$3000,0)),"")</f>
        <v/>
      </c>
      <c r="M193" s="23">
        <f>IFERROR(INDEX('Chart of Accounts'!$C$5:$C$3000,MATCH(K193&amp;"",'Chart of Accounts'!$A$5:$A$3000,0))&amp;"|"&amp;INDEX('Chart of Accounts'!$D$5:$D$3000,MATCH(K193&amp;"",'Chart of Accounts'!$A$5:$A$3000,0)),"")</f>
        <v/>
      </c>
      <c r="N193" s="23">
        <f>IF(LEFT(L193,8)="Revenue|",-N(D193),0)+IF(LEFT(M193,8)="Revenue|",N(D193),0)</f>
        <v/>
      </c>
      <c r="O193" s="23">
        <f>IF(LEFT(L193,5)="COGS|",N(D193),0)+IF(LEFT(M193,5)="COGS|",-N(D193),0)</f>
        <v/>
      </c>
      <c r="P193" s="23">
        <f>IF(LEFT(L193,8)="Expense|",N(D193),0)+IF(LEFT(M193,8)="Expense|",-N(D193),0)</f>
        <v/>
      </c>
      <c r="Q193" s="23">
        <f>IF(ISNUMBER(MATCH(L193,{"Expense|employee","Expense|general_admin","Expense|marketing","Expense|utilities","Expense|other_operating"},0)),N(D193),0)+IF(ISNUMBER(MATCH(M193,{"Expense|employee","Expense|general_admin","Expense|marketing","Expense|utilities","Expense|other_operating"},0)),-N(D193),0)</f>
        <v/>
      </c>
      <c r="R193" s="23">
        <f>IF(L193="Liability|payable",-N(D193),0)+IF(M193="Liability|payable",N(D193),0)</f>
        <v/>
      </c>
      <c r="S193" s="23">
        <f>IF(L193="Liability|accrued",-N(D193),0)+IF(M193="Liability|accrued",N(D193),0)</f>
        <v/>
      </c>
      <c r="T193" s="23">
        <f>IF(AND(N(D193)&lt;&gt;0,L193=""),1,0)+IF(AND(N(D193)&lt;&gt;0,M193=""),1,0)</f>
        <v/>
      </c>
    </row>
    <row r="194">
      <c r="A194" s="19" t="n"/>
      <c r="B194" s="14" t="n"/>
      <c r="C194" s="14" t="n"/>
      <c r="D194" s="20" t="n"/>
      <c r="E194" s="14" t="n"/>
      <c r="F194" s="14" t="n"/>
      <c r="G194" s="14" t="n"/>
      <c r="H194" s="14" t="n"/>
      <c r="I194" s="14" t="n"/>
      <c r="J194" s="16">
        <f>IF(C194="",INDEX('Chart of Accounts'!$A$5:$A$3000,MATCH("ap",'Chart of Accounts'!$F$5:$F$3000,0)),C194&amp;"")</f>
        <v/>
      </c>
      <c r="K194" s="16">
        <f>IF(F194="",INDEX('Chart of Accounts'!$A$5:$A$3000,MATCH("bank",'Chart of Accounts'!$F$5:$F$3000,0)),F194&amp;"")</f>
        <v/>
      </c>
      <c r="L194" s="23">
        <f>IFERROR(INDEX('Chart of Accounts'!$C$5:$C$3000,MATCH(J194&amp;"",'Chart of Accounts'!$A$5:$A$3000,0))&amp;"|"&amp;INDEX('Chart of Accounts'!$D$5:$D$3000,MATCH(J194&amp;"",'Chart of Accounts'!$A$5:$A$3000,0)),"")</f>
        <v/>
      </c>
      <c r="M194" s="23">
        <f>IFERROR(INDEX('Chart of Accounts'!$C$5:$C$3000,MATCH(K194&amp;"",'Chart of Accounts'!$A$5:$A$3000,0))&amp;"|"&amp;INDEX('Chart of Accounts'!$D$5:$D$3000,MATCH(K194&amp;"",'Chart of Accounts'!$A$5:$A$3000,0)),"")</f>
        <v/>
      </c>
      <c r="N194" s="23">
        <f>IF(LEFT(L194,8)="Revenue|",-N(D194),0)+IF(LEFT(M194,8)="Revenue|",N(D194),0)</f>
        <v/>
      </c>
      <c r="O194" s="23">
        <f>IF(LEFT(L194,5)="COGS|",N(D194),0)+IF(LEFT(M194,5)="COGS|",-N(D194),0)</f>
        <v/>
      </c>
      <c r="P194" s="23">
        <f>IF(LEFT(L194,8)="Expense|",N(D194),0)+IF(LEFT(M194,8)="Expense|",-N(D194),0)</f>
        <v/>
      </c>
      <c r="Q194" s="23">
        <f>IF(ISNUMBER(MATCH(L194,{"Expense|employee","Expense|general_admin","Expense|marketing","Expense|utilities","Expense|other_operating"},0)),N(D194),0)+IF(ISNUMBER(MATCH(M194,{"Expense|employee","Expense|general_admin","Expense|marketing","Expense|utilities","Expense|other_operating"},0)),-N(D194),0)</f>
        <v/>
      </c>
      <c r="R194" s="23">
        <f>IF(L194="Liability|payable",-N(D194),0)+IF(M194="Liability|payable",N(D194),0)</f>
        <v/>
      </c>
      <c r="S194" s="23">
        <f>IF(L194="Liability|accrued",-N(D194),0)+IF(M194="Liability|accrued",N(D194),0)</f>
        <v/>
      </c>
      <c r="T194" s="23">
        <f>IF(AND(N(D194)&lt;&gt;0,L194=""),1,0)+IF(AND(N(D194)&lt;&gt;0,M194=""),1,0)</f>
        <v/>
      </c>
    </row>
    <row r="195">
      <c r="A195" s="19" t="n"/>
      <c r="B195" s="14" t="n"/>
      <c r="C195" s="14" t="n"/>
      <c r="D195" s="20" t="n"/>
      <c r="E195" s="14" t="n"/>
      <c r="F195" s="14" t="n"/>
      <c r="G195" s="14" t="n"/>
      <c r="H195" s="14" t="n"/>
      <c r="I195" s="14" t="n"/>
      <c r="J195" s="16">
        <f>IF(C195="",INDEX('Chart of Accounts'!$A$5:$A$3000,MATCH("ap",'Chart of Accounts'!$F$5:$F$3000,0)),C195&amp;"")</f>
        <v/>
      </c>
      <c r="K195" s="16">
        <f>IF(F195="",INDEX('Chart of Accounts'!$A$5:$A$3000,MATCH("bank",'Chart of Accounts'!$F$5:$F$3000,0)),F195&amp;"")</f>
        <v/>
      </c>
      <c r="L195" s="23">
        <f>IFERROR(INDEX('Chart of Accounts'!$C$5:$C$3000,MATCH(J195&amp;"",'Chart of Accounts'!$A$5:$A$3000,0))&amp;"|"&amp;INDEX('Chart of Accounts'!$D$5:$D$3000,MATCH(J195&amp;"",'Chart of Accounts'!$A$5:$A$3000,0)),"")</f>
        <v/>
      </c>
      <c r="M195" s="23">
        <f>IFERROR(INDEX('Chart of Accounts'!$C$5:$C$3000,MATCH(K195&amp;"",'Chart of Accounts'!$A$5:$A$3000,0))&amp;"|"&amp;INDEX('Chart of Accounts'!$D$5:$D$3000,MATCH(K195&amp;"",'Chart of Accounts'!$A$5:$A$3000,0)),"")</f>
        <v/>
      </c>
      <c r="N195" s="23">
        <f>IF(LEFT(L195,8)="Revenue|",-N(D195),0)+IF(LEFT(M195,8)="Revenue|",N(D195),0)</f>
        <v/>
      </c>
      <c r="O195" s="23">
        <f>IF(LEFT(L195,5)="COGS|",N(D195),0)+IF(LEFT(M195,5)="COGS|",-N(D195),0)</f>
        <v/>
      </c>
      <c r="P195" s="23">
        <f>IF(LEFT(L195,8)="Expense|",N(D195),0)+IF(LEFT(M195,8)="Expense|",-N(D195),0)</f>
        <v/>
      </c>
      <c r="Q195" s="23">
        <f>IF(ISNUMBER(MATCH(L195,{"Expense|employee","Expense|general_admin","Expense|marketing","Expense|utilities","Expense|other_operating"},0)),N(D195),0)+IF(ISNUMBER(MATCH(M195,{"Expense|employee","Expense|general_admin","Expense|marketing","Expense|utilities","Expense|other_operating"},0)),-N(D195),0)</f>
        <v/>
      </c>
      <c r="R195" s="23">
        <f>IF(L195="Liability|payable",-N(D195),0)+IF(M195="Liability|payable",N(D195),0)</f>
        <v/>
      </c>
      <c r="S195" s="23">
        <f>IF(L195="Liability|accrued",-N(D195),0)+IF(M195="Liability|accrued",N(D195),0)</f>
        <v/>
      </c>
      <c r="T195" s="23">
        <f>IF(AND(N(D195)&lt;&gt;0,L195=""),1,0)+IF(AND(N(D195)&lt;&gt;0,M195=""),1,0)</f>
        <v/>
      </c>
    </row>
    <row r="196">
      <c r="A196" s="19" t="n"/>
      <c r="B196" s="14" t="n"/>
      <c r="C196" s="14" t="n"/>
      <c r="D196" s="20" t="n"/>
      <c r="E196" s="14" t="n"/>
      <c r="F196" s="14" t="n"/>
      <c r="G196" s="14" t="n"/>
      <c r="H196" s="14" t="n"/>
      <c r="I196" s="14" t="n"/>
      <c r="J196" s="16">
        <f>IF(C196="",INDEX('Chart of Accounts'!$A$5:$A$3000,MATCH("ap",'Chart of Accounts'!$F$5:$F$3000,0)),C196&amp;"")</f>
        <v/>
      </c>
      <c r="K196" s="16">
        <f>IF(F196="",INDEX('Chart of Accounts'!$A$5:$A$3000,MATCH("bank",'Chart of Accounts'!$F$5:$F$3000,0)),F196&amp;"")</f>
        <v/>
      </c>
      <c r="L196" s="23">
        <f>IFERROR(INDEX('Chart of Accounts'!$C$5:$C$3000,MATCH(J196&amp;"",'Chart of Accounts'!$A$5:$A$3000,0))&amp;"|"&amp;INDEX('Chart of Accounts'!$D$5:$D$3000,MATCH(J196&amp;"",'Chart of Accounts'!$A$5:$A$3000,0)),"")</f>
        <v/>
      </c>
      <c r="M196" s="23">
        <f>IFERROR(INDEX('Chart of Accounts'!$C$5:$C$3000,MATCH(K196&amp;"",'Chart of Accounts'!$A$5:$A$3000,0))&amp;"|"&amp;INDEX('Chart of Accounts'!$D$5:$D$3000,MATCH(K196&amp;"",'Chart of Accounts'!$A$5:$A$3000,0)),"")</f>
        <v/>
      </c>
      <c r="N196" s="23">
        <f>IF(LEFT(L196,8)="Revenue|",-N(D196),0)+IF(LEFT(M196,8)="Revenue|",N(D196),0)</f>
        <v/>
      </c>
      <c r="O196" s="23">
        <f>IF(LEFT(L196,5)="COGS|",N(D196),0)+IF(LEFT(M196,5)="COGS|",-N(D196),0)</f>
        <v/>
      </c>
      <c r="P196" s="23">
        <f>IF(LEFT(L196,8)="Expense|",N(D196),0)+IF(LEFT(M196,8)="Expense|",-N(D196),0)</f>
        <v/>
      </c>
      <c r="Q196" s="23">
        <f>IF(ISNUMBER(MATCH(L196,{"Expense|employee","Expense|general_admin","Expense|marketing","Expense|utilities","Expense|other_operating"},0)),N(D196),0)+IF(ISNUMBER(MATCH(M196,{"Expense|employee","Expense|general_admin","Expense|marketing","Expense|utilities","Expense|other_operating"},0)),-N(D196),0)</f>
        <v/>
      </c>
      <c r="R196" s="23">
        <f>IF(L196="Liability|payable",-N(D196),0)+IF(M196="Liability|payable",N(D196),0)</f>
        <v/>
      </c>
      <c r="S196" s="23">
        <f>IF(L196="Liability|accrued",-N(D196),0)+IF(M196="Liability|accrued",N(D196),0)</f>
        <v/>
      </c>
      <c r="T196" s="23">
        <f>IF(AND(N(D196)&lt;&gt;0,L196=""),1,0)+IF(AND(N(D196)&lt;&gt;0,M196=""),1,0)</f>
        <v/>
      </c>
    </row>
    <row r="197">
      <c r="A197" s="19" t="n"/>
      <c r="B197" s="14" t="n"/>
      <c r="C197" s="14" t="n"/>
      <c r="D197" s="20" t="n"/>
      <c r="E197" s="14" t="n"/>
      <c r="F197" s="14" t="n"/>
      <c r="G197" s="14" t="n"/>
      <c r="H197" s="14" t="n"/>
      <c r="I197" s="14" t="n"/>
      <c r="J197" s="16">
        <f>IF(C197="",INDEX('Chart of Accounts'!$A$5:$A$3000,MATCH("ap",'Chart of Accounts'!$F$5:$F$3000,0)),C197&amp;"")</f>
        <v/>
      </c>
      <c r="K197" s="16">
        <f>IF(F197="",INDEX('Chart of Accounts'!$A$5:$A$3000,MATCH("bank",'Chart of Accounts'!$F$5:$F$3000,0)),F197&amp;"")</f>
        <v/>
      </c>
      <c r="L197" s="23">
        <f>IFERROR(INDEX('Chart of Accounts'!$C$5:$C$3000,MATCH(J197&amp;"",'Chart of Accounts'!$A$5:$A$3000,0))&amp;"|"&amp;INDEX('Chart of Accounts'!$D$5:$D$3000,MATCH(J197&amp;"",'Chart of Accounts'!$A$5:$A$3000,0)),"")</f>
        <v/>
      </c>
      <c r="M197" s="23">
        <f>IFERROR(INDEX('Chart of Accounts'!$C$5:$C$3000,MATCH(K197&amp;"",'Chart of Accounts'!$A$5:$A$3000,0))&amp;"|"&amp;INDEX('Chart of Accounts'!$D$5:$D$3000,MATCH(K197&amp;"",'Chart of Accounts'!$A$5:$A$3000,0)),"")</f>
        <v/>
      </c>
      <c r="N197" s="23">
        <f>IF(LEFT(L197,8)="Revenue|",-N(D197),0)+IF(LEFT(M197,8)="Revenue|",N(D197),0)</f>
        <v/>
      </c>
      <c r="O197" s="23">
        <f>IF(LEFT(L197,5)="COGS|",N(D197),0)+IF(LEFT(M197,5)="COGS|",-N(D197),0)</f>
        <v/>
      </c>
      <c r="P197" s="23">
        <f>IF(LEFT(L197,8)="Expense|",N(D197),0)+IF(LEFT(M197,8)="Expense|",-N(D197),0)</f>
        <v/>
      </c>
      <c r="Q197" s="23">
        <f>IF(ISNUMBER(MATCH(L197,{"Expense|employee","Expense|general_admin","Expense|marketing","Expense|utilities","Expense|other_operating"},0)),N(D197),0)+IF(ISNUMBER(MATCH(M197,{"Expense|employee","Expense|general_admin","Expense|marketing","Expense|utilities","Expense|other_operating"},0)),-N(D197),0)</f>
        <v/>
      </c>
      <c r="R197" s="23">
        <f>IF(L197="Liability|payable",-N(D197),0)+IF(M197="Liability|payable",N(D197),0)</f>
        <v/>
      </c>
      <c r="S197" s="23">
        <f>IF(L197="Liability|accrued",-N(D197),0)+IF(M197="Liability|accrued",N(D197),0)</f>
        <v/>
      </c>
      <c r="T197" s="23">
        <f>IF(AND(N(D197)&lt;&gt;0,L197=""),1,0)+IF(AND(N(D197)&lt;&gt;0,M197=""),1,0)</f>
        <v/>
      </c>
    </row>
    <row r="198">
      <c r="A198" s="19" t="n"/>
      <c r="B198" s="14" t="n"/>
      <c r="C198" s="14" t="n"/>
      <c r="D198" s="20" t="n"/>
      <c r="E198" s="14" t="n"/>
      <c r="F198" s="14" t="n"/>
      <c r="G198" s="14" t="n"/>
      <c r="H198" s="14" t="n"/>
      <c r="I198" s="14" t="n"/>
      <c r="J198" s="16">
        <f>IF(C198="",INDEX('Chart of Accounts'!$A$5:$A$3000,MATCH("ap",'Chart of Accounts'!$F$5:$F$3000,0)),C198&amp;"")</f>
        <v/>
      </c>
      <c r="K198" s="16">
        <f>IF(F198="",INDEX('Chart of Accounts'!$A$5:$A$3000,MATCH("bank",'Chart of Accounts'!$F$5:$F$3000,0)),F198&amp;"")</f>
        <v/>
      </c>
      <c r="L198" s="23">
        <f>IFERROR(INDEX('Chart of Accounts'!$C$5:$C$3000,MATCH(J198&amp;"",'Chart of Accounts'!$A$5:$A$3000,0))&amp;"|"&amp;INDEX('Chart of Accounts'!$D$5:$D$3000,MATCH(J198&amp;"",'Chart of Accounts'!$A$5:$A$3000,0)),"")</f>
        <v/>
      </c>
      <c r="M198" s="23">
        <f>IFERROR(INDEX('Chart of Accounts'!$C$5:$C$3000,MATCH(K198&amp;"",'Chart of Accounts'!$A$5:$A$3000,0))&amp;"|"&amp;INDEX('Chart of Accounts'!$D$5:$D$3000,MATCH(K198&amp;"",'Chart of Accounts'!$A$5:$A$3000,0)),"")</f>
        <v/>
      </c>
      <c r="N198" s="23">
        <f>IF(LEFT(L198,8)="Revenue|",-N(D198),0)+IF(LEFT(M198,8)="Revenue|",N(D198),0)</f>
        <v/>
      </c>
      <c r="O198" s="23">
        <f>IF(LEFT(L198,5)="COGS|",N(D198),0)+IF(LEFT(M198,5)="COGS|",-N(D198),0)</f>
        <v/>
      </c>
      <c r="P198" s="23">
        <f>IF(LEFT(L198,8)="Expense|",N(D198),0)+IF(LEFT(M198,8)="Expense|",-N(D198),0)</f>
        <v/>
      </c>
      <c r="Q198" s="23">
        <f>IF(ISNUMBER(MATCH(L198,{"Expense|employee","Expense|general_admin","Expense|marketing","Expense|utilities","Expense|other_operating"},0)),N(D198),0)+IF(ISNUMBER(MATCH(M198,{"Expense|employee","Expense|general_admin","Expense|marketing","Expense|utilities","Expense|other_operating"},0)),-N(D198),0)</f>
        <v/>
      </c>
      <c r="R198" s="23">
        <f>IF(L198="Liability|payable",-N(D198),0)+IF(M198="Liability|payable",N(D198),0)</f>
        <v/>
      </c>
      <c r="S198" s="23">
        <f>IF(L198="Liability|accrued",-N(D198),0)+IF(M198="Liability|accrued",N(D198),0)</f>
        <v/>
      </c>
      <c r="T198" s="23">
        <f>IF(AND(N(D198)&lt;&gt;0,L198=""),1,0)+IF(AND(N(D198)&lt;&gt;0,M198=""),1,0)</f>
        <v/>
      </c>
    </row>
    <row r="199">
      <c r="A199" s="19" t="n"/>
      <c r="B199" s="14" t="n"/>
      <c r="C199" s="14" t="n"/>
      <c r="D199" s="20" t="n"/>
      <c r="E199" s="14" t="n"/>
      <c r="F199" s="14" t="n"/>
      <c r="G199" s="14" t="n"/>
      <c r="H199" s="14" t="n"/>
      <c r="I199" s="14" t="n"/>
      <c r="J199" s="16">
        <f>IF(C199="",INDEX('Chart of Accounts'!$A$5:$A$3000,MATCH("ap",'Chart of Accounts'!$F$5:$F$3000,0)),C199&amp;"")</f>
        <v/>
      </c>
      <c r="K199" s="16">
        <f>IF(F199="",INDEX('Chart of Accounts'!$A$5:$A$3000,MATCH("bank",'Chart of Accounts'!$F$5:$F$3000,0)),F199&amp;"")</f>
        <v/>
      </c>
      <c r="L199" s="23">
        <f>IFERROR(INDEX('Chart of Accounts'!$C$5:$C$3000,MATCH(J199&amp;"",'Chart of Accounts'!$A$5:$A$3000,0))&amp;"|"&amp;INDEX('Chart of Accounts'!$D$5:$D$3000,MATCH(J199&amp;"",'Chart of Accounts'!$A$5:$A$3000,0)),"")</f>
        <v/>
      </c>
      <c r="M199" s="23">
        <f>IFERROR(INDEX('Chart of Accounts'!$C$5:$C$3000,MATCH(K199&amp;"",'Chart of Accounts'!$A$5:$A$3000,0))&amp;"|"&amp;INDEX('Chart of Accounts'!$D$5:$D$3000,MATCH(K199&amp;"",'Chart of Accounts'!$A$5:$A$3000,0)),"")</f>
        <v/>
      </c>
      <c r="N199" s="23">
        <f>IF(LEFT(L199,8)="Revenue|",-N(D199),0)+IF(LEFT(M199,8)="Revenue|",N(D199),0)</f>
        <v/>
      </c>
      <c r="O199" s="23">
        <f>IF(LEFT(L199,5)="COGS|",N(D199),0)+IF(LEFT(M199,5)="COGS|",-N(D199),0)</f>
        <v/>
      </c>
      <c r="P199" s="23">
        <f>IF(LEFT(L199,8)="Expense|",N(D199),0)+IF(LEFT(M199,8)="Expense|",-N(D199),0)</f>
        <v/>
      </c>
      <c r="Q199" s="23">
        <f>IF(ISNUMBER(MATCH(L199,{"Expense|employee","Expense|general_admin","Expense|marketing","Expense|utilities","Expense|other_operating"},0)),N(D199),0)+IF(ISNUMBER(MATCH(M199,{"Expense|employee","Expense|general_admin","Expense|marketing","Expense|utilities","Expense|other_operating"},0)),-N(D199),0)</f>
        <v/>
      </c>
      <c r="R199" s="23">
        <f>IF(L199="Liability|payable",-N(D199),0)+IF(M199="Liability|payable",N(D199),0)</f>
        <v/>
      </c>
      <c r="S199" s="23">
        <f>IF(L199="Liability|accrued",-N(D199),0)+IF(M199="Liability|accrued",N(D199),0)</f>
        <v/>
      </c>
      <c r="T199" s="23">
        <f>IF(AND(N(D199)&lt;&gt;0,L199=""),1,0)+IF(AND(N(D199)&lt;&gt;0,M199=""),1,0)</f>
        <v/>
      </c>
    </row>
    <row r="200">
      <c r="A200" s="19" t="n"/>
      <c r="B200" s="14" t="n"/>
      <c r="C200" s="14" t="n"/>
      <c r="D200" s="20" t="n"/>
      <c r="E200" s="14" t="n"/>
      <c r="F200" s="14" t="n"/>
      <c r="G200" s="14" t="n"/>
      <c r="H200" s="14" t="n"/>
      <c r="I200" s="14" t="n"/>
      <c r="J200" s="16">
        <f>IF(C200="",INDEX('Chart of Accounts'!$A$5:$A$3000,MATCH("ap",'Chart of Accounts'!$F$5:$F$3000,0)),C200&amp;"")</f>
        <v/>
      </c>
      <c r="K200" s="16">
        <f>IF(F200="",INDEX('Chart of Accounts'!$A$5:$A$3000,MATCH("bank",'Chart of Accounts'!$F$5:$F$3000,0)),F200&amp;"")</f>
        <v/>
      </c>
      <c r="L200" s="23">
        <f>IFERROR(INDEX('Chart of Accounts'!$C$5:$C$3000,MATCH(J200&amp;"",'Chart of Accounts'!$A$5:$A$3000,0))&amp;"|"&amp;INDEX('Chart of Accounts'!$D$5:$D$3000,MATCH(J200&amp;"",'Chart of Accounts'!$A$5:$A$3000,0)),"")</f>
        <v/>
      </c>
      <c r="M200" s="23">
        <f>IFERROR(INDEX('Chart of Accounts'!$C$5:$C$3000,MATCH(K200&amp;"",'Chart of Accounts'!$A$5:$A$3000,0))&amp;"|"&amp;INDEX('Chart of Accounts'!$D$5:$D$3000,MATCH(K200&amp;"",'Chart of Accounts'!$A$5:$A$3000,0)),"")</f>
        <v/>
      </c>
      <c r="N200" s="23">
        <f>IF(LEFT(L200,8)="Revenue|",-N(D200),0)+IF(LEFT(M200,8)="Revenue|",N(D200),0)</f>
        <v/>
      </c>
      <c r="O200" s="23">
        <f>IF(LEFT(L200,5)="COGS|",N(D200),0)+IF(LEFT(M200,5)="COGS|",-N(D200),0)</f>
        <v/>
      </c>
      <c r="P200" s="23">
        <f>IF(LEFT(L200,8)="Expense|",N(D200),0)+IF(LEFT(M200,8)="Expense|",-N(D200),0)</f>
        <v/>
      </c>
      <c r="Q200" s="23">
        <f>IF(ISNUMBER(MATCH(L200,{"Expense|employee","Expense|general_admin","Expense|marketing","Expense|utilities","Expense|other_operating"},0)),N(D200),0)+IF(ISNUMBER(MATCH(M200,{"Expense|employee","Expense|general_admin","Expense|marketing","Expense|utilities","Expense|other_operating"},0)),-N(D200),0)</f>
        <v/>
      </c>
      <c r="R200" s="23">
        <f>IF(L200="Liability|payable",-N(D200),0)+IF(M200="Liability|payable",N(D200),0)</f>
        <v/>
      </c>
      <c r="S200" s="23">
        <f>IF(L200="Liability|accrued",-N(D200),0)+IF(M200="Liability|accrued",N(D200),0)</f>
        <v/>
      </c>
      <c r="T200" s="23">
        <f>IF(AND(N(D200)&lt;&gt;0,L200=""),1,0)+IF(AND(N(D200)&lt;&gt;0,M200=""),1,0)</f>
        <v/>
      </c>
    </row>
    <row r="201">
      <c r="A201" s="19" t="n"/>
      <c r="B201" s="14" t="n"/>
      <c r="C201" s="14" t="n"/>
      <c r="D201" s="20" t="n"/>
      <c r="E201" s="14" t="n"/>
      <c r="F201" s="14" t="n"/>
      <c r="G201" s="14" t="n"/>
      <c r="H201" s="14" t="n"/>
      <c r="I201" s="14" t="n"/>
      <c r="J201" s="16">
        <f>IF(C201="",INDEX('Chart of Accounts'!$A$5:$A$3000,MATCH("ap",'Chart of Accounts'!$F$5:$F$3000,0)),C201&amp;"")</f>
        <v/>
      </c>
      <c r="K201" s="16">
        <f>IF(F201="",INDEX('Chart of Accounts'!$A$5:$A$3000,MATCH("bank",'Chart of Accounts'!$F$5:$F$3000,0)),F201&amp;"")</f>
        <v/>
      </c>
      <c r="L201" s="23">
        <f>IFERROR(INDEX('Chart of Accounts'!$C$5:$C$3000,MATCH(J201&amp;"",'Chart of Accounts'!$A$5:$A$3000,0))&amp;"|"&amp;INDEX('Chart of Accounts'!$D$5:$D$3000,MATCH(J201&amp;"",'Chart of Accounts'!$A$5:$A$3000,0)),"")</f>
        <v/>
      </c>
      <c r="M201" s="23">
        <f>IFERROR(INDEX('Chart of Accounts'!$C$5:$C$3000,MATCH(K201&amp;"",'Chart of Accounts'!$A$5:$A$3000,0))&amp;"|"&amp;INDEX('Chart of Accounts'!$D$5:$D$3000,MATCH(K201&amp;"",'Chart of Accounts'!$A$5:$A$3000,0)),"")</f>
        <v/>
      </c>
      <c r="N201" s="23">
        <f>IF(LEFT(L201,8)="Revenue|",-N(D201),0)+IF(LEFT(M201,8)="Revenue|",N(D201),0)</f>
        <v/>
      </c>
      <c r="O201" s="23">
        <f>IF(LEFT(L201,5)="COGS|",N(D201),0)+IF(LEFT(M201,5)="COGS|",-N(D201),0)</f>
        <v/>
      </c>
      <c r="P201" s="23">
        <f>IF(LEFT(L201,8)="Expense|",N(D201),0)+IF(LEFT(M201,8)="Expense|",-N(D201),0)</f>
        <v/>
      </c>
      <c r="Q201" s="23">
        <f>IF(ISNUMBER(MATCH(L201,{"Expense|employee","Expense|general_admin","Expense|marketing","Expense|utilities","Expense|other_operating"},0)),N(D201),0)+IF(ISNUMBER(MATCH(M201,{"Expense|employee","Expense|general_admin","Expense|marketing","Expense|utilities","Expense|other_operating"},0)),-N(D201),0)</f>
        <v/>
      </c>
      <c r="R201" s="23">
        <f>IF(L201="Liability|payable",-N(D201),0)+IF(M201="Liability|payable",N(D201),0)</f>
        <v/>
      </c>
      <c r="S201" s="23">
        <f>IF(L201="Liability|accrued",-N(D201),0)+IF(M201="Liability|accrued",N(D201),0)</f>
        <v/>
      </c>
      <c r="T201" s="23">
        <f>IF(AND(N(D201)&lt;&gt;0,L201=""),1,0)+IF(AND(N(D201)&lt;&gt;0,M201=""),1,0)</f>
        <v/>
      </c>
    </row>
    <row r="202">
      <c r="A202" s="19" t="n"/>
      <c r="B202" s="14" t="n"/>
      <c r="C202" s="14" t="n"/>
      <c r="D202" s="20" t="n"/>
      <c r="E202" s="14" t="n"/>
      <c r="F202" s="14" t="n"/>
      <c r="G202" s="14" t="n"/>
      <c r="H202" s="14" t="n"/>
      <c r="I202" s="14" t="n"/>
      <c r="J202" s="16">
        <f>IF(C202="",INDEX('Chart of Accounts'!$A$5:$A$3000,MATCH("ap",'Chart of Accounts'!$F$5:$F$3000,0)),C202&amp;"")</f>
        <v/>
      </c>
      <c r="K202" s="16">
        <f>IF(F202="",INDEX('Chart of Accounts'!$A$5:$A$3000,MATCH("bank",'Chart of Accounts'!$F$5:$F$3000,0)),F202&amp;"")</f>
        <v/>
      </c>
      <c r="L202" s="23">
        <f>IFERROR(INDEX('Chart of Accounts'!$C$5:$C$3000,MATCH(J202&amp;"",'Chart of Accounts'!$A$5:$A$3000,0))&amp;"|"&amp;INDEX('Chart of Accounts'!$D$5:$D$3000,MATCH(J202&amp;"",'Chart of Accounts'!$A$5:$A$3000,0)),"")</f>
        <v/>
      </c>
      <c r="M202" s="23">
        <f>IFERROR(INDEX('Chart of Accounts'!$C$5:$C$3000,MATCH(K202&amp;"",'Chart of Accounts'!$A$5:$A$3000,0))&amp;"|"&amp;INDEX('Chart of Accounts'!$D$5:$D$3000,MATCH(K202&amp;"",'Chart of Accounts'!$A$5:$A$3000,0)),"")</f>
        <v/>
      </c>
      <c r="N202" s="23">
        <f>IF(LEFT(L202,8)="Revenue|",-N(D202),0)+IF(LEFT(M202,8)="Revenue|",N(D202),0)</f>
        <v/>
      </c>
      <c r="O202" s="23">
        <f>IF(LEFT(L202,5)="COGS|",N(D202),0)+IF(LEFT(M202,5)="COGS|",-N(D202),0)</f>
        <v/>
      </c>
      <c r="P202" s="23">
        <f>IF(LEFT(L202,8)="Expense|",N(D202),0)+IF(LEFT(M202,8)="Expense|",-N(D202),0)</f>
        <v/>
      </c>
      <c r="Q202" s="23">
        <f>IF(ISNUMBER(MATCH(L202,{"Expense|employee","Expense|general_admin","Expense|marketing","Expense|utilities","Expense|other_operating"},0)),N(D202),0)+IF(ISNUMBER(MATCH(M202,{"Expense|employee","Expense|general_admin","Expense|marketing","Expense|utilities","Expense|other_operating"},0)),-N(D202),0)</f>
        <v/>
      </c>
      <c r="R202" s="23">
        <f>IF(L202="Liability|payable",-N(D202),0)+IF(M202="Liability|payable",N(D202),0)</f>
        <v/>
      </c>
      <c r="S202" s="23">
        <f>IF(L202="Liability|accrued",-N(D202),0)+IF(M202="Liability|accrued",N(D202),0)</f>
        <v/>
      </c>
      <c r="T202" s="23">
        <f>IF(AND(N(D202)&lt;&gt;0,L202=""),1,0)+IF(AND(N(D202)&lt;&gt;0,M202=""),1,0)</f>
        <v/>
      </c>
    </row>
    <row r="203">
      <c r="A203" s="19" t="n"/>
      <c r="B203" s="14" t="n"/>
      <c r="C203" s="14" t="n"/>
      <c r="D203" s="20" t="n"/>
      <c r="E203" s="14" t="n"/>
      <c r="F203" s="14" t="n"/>
      <c r="G203" s="14" t="n"/>
      <c r="H203" s="14" t="n"/>
      <c r="I203" s="14" t="n"/>
      <c r="J203" s="16">
        <f>IF(C203="",INDEX('Chart of Accounts'!$A$5:$A$3000,MATCH("ap",'Chart of Accounts'!$F$5:$F$3000,0)),C203&amp;"")</f>
        <v/>
      </c>
      <c r="K203" s="16">
        <f>IF(F203="",INDEX('Chart of Accounts'!$A$5:$A$3000,MATCH("bank",'Chart of Accounts'!$F$5:$F$3000,0)),F203&amp;"")</f>
        <v/>
      </c>
      <c r="L203" s="23">
        <f>IFERROR(INDEX('Chart of Accounts'!$C$5:$C$3000,MATCH(J203&amp;"",'Chart of Accounts'!$A$5:$A$3000,0))&amp;"|"&amp;INDEX('Chart of Accounts'!$D$5:$D$3000,MATCH(J203&amp;"",'Chart of Accounts'!$A$5:$A$3000,0)),"")</f>
        <v/>
      </c>
      <c r="M203" s="23">
        <f>IFERROR(INDEX('Chart of Accounts'!$C$5:$C$3000,MATCH(K203&amp;"",'Chart of Accounts'!$A$5:$A$3000,0))&amp;"|"&amp;INDEX('Chart of Accounts'!$D$5:$D$3000,MATCH(K203&amp;"",'Chart of Accounts'!$A$5:$A$3000,0)),"")</f>
        <v/>
      </c>
      <c r="N203" s="23">
        <f>IF(LEFT(L203,8)="Revenue|",-N(D203),0)+IF(LEFT(M203,8)="Revenue|",N(D203),0)</f>
        <v/>
      </c>
      <c r="O203" s="23">
        <f>IF(LEFT(L203,5)="COGS|",N(D203),0)+IF(LEFT(M203,5)="COGS|",-N(D203),0)</f>
        <v/>
      </c>
      <c r="P203" s="23">
        <f>IF(LEFT(L203,8)="Expense|",N(D203),0)+IF(LEFT(M203,8)="Expense|",-N(D203),0)</f>
        <v/>
      </c>
      <c r="Q203" s="23">
        <f>IF(ISNUMBER(MATCH(L203,{"Expense|employee","Expense|general_admin","Expense|marketing","Expense|utilities","Expense|other_operating"},0)),N(D203),0)+IF(ISNUMBER(MATCH(M203,{"Expense|employee","Expense|general_admin","Expense|marketing","Expense|utilities","Expense|other_operating"},0)),-N(D203),0)</f>
        <v/>
      </c>
      <c r="R203" s="23">
        <f>IF(L203="Liability|payable",-N(D203),0)+IF(M203="Liability|payable",N(D203),0)</f>
        <v/>
      </c>
      <c r="S203" s="23">
        <f>IF(L203="Liability|accrued",-N(D203),0)+IF(M203="Liability|accrued",N(D203),0)</f>
        <v/>
      </c>
      <c r="T203" s="23">
        <f>IF(AND(N(D203)&lt;&gt;0,L203=""),1,0)+IF(AND(N(D203)&lt;&gt;0,M203=""),1,0)</f>
        <v/>
      </c>
    </row>
    <row r="204">
      <c r="A204" s="19" t="n"/>
      <c r="B204" s="14" t="n"/>
      <c r="C204" s="14" t="n"/>
      <c r="D204" s="20" t="n"/>
      <c r="E204" s="14" t="n"/>
      <c r="F204" s="14" t="n"/>
      <c r="G204" s="14" t="n"/>
      <c r="H204" s="14" t="n"/>
      <c r="I204" s="14" t="n"/>
      <c r="J204" s="16">
        <f>IF(C204="",INDEX('Chart of Accounts'!$A$5:$A$3000,MATCH("ap",'Chart of Accounts'!$F$5:$F$3000,0)),C204&amp;"")</f>
        <v/>
      </c>
      <c r="K204" s="16">
        <f>IF(F204="",INDEX('Chart of Accounts'!$A$5:$A$3000,MATCH("bank",'Chart of Accounts'!$F$5:$F$3000,0)),F204&amp;"")</f>
        <v/>
      </c>
      <c r="L204" s="23">
        <f>IFERROR(INDEX('Chart of Accounts'!$C$5:$C$3000,MATCH(J204&amp;"",'Chart of Accounts'!$A$5:$A$3000,0))&amp;"|"&amp;INDEX('Chart of Accounts'!$D$5:$D$3000,MATCH(J204&amp;"",'Chart of Accounts'!$A$5:$A$3000,0)),"")</f>
        <v/>
      </c>
      <c r="M204" s="23">
        <f>IFERROR(INDEX('Chart of Accounts'!$C$5:$C$3000,MATCH(K204&amp;"",'Chart of Accounts'!$A$5:$A$3000,0))&amp;"|"&amp;INDEX('Chart of Accounts'!$D$5:$D$3000,MATCH(K204&amp;"",'Chart of Accounts'!$A$5:$A$3000,0)),"")</f>
        <v/>
      </c>
      <c r="N204" s="23">
        <f>IF(LEFT(L204,8)="Revenue|",-N(D204),0)+IF(LEFT(M204,8)="Revenue|",N(D204),0)</f>
        <v/>
      </c>
      <c r="O204" s="23">
        <f>IF(LEFT(L204,5)="COGS|",N(D204),0)+IF(LEFT(M204,5)="COGS|",-N(D204),0)</f>
        <v/>
      </c>
      <c r="P204" s="23">
        <f>IF(LEFT(L204,8)="Expense|",N(D204),0)+IF(LEFT(M204,8)="Expense|",-N(D204),0)</f>
        <v/>
      </c>
      <c r="Q204" s="23">
        <f>IF(ISNUMBER(MATCH(L204,{"Expense|employee","Expense|general_admin","Expense|marketing","Expense|utilities","Expense|other_operating"},0)),N(D204),0)+IF(ISNUMBER(MATCH(M204,{"Expense|employee","Expense|general_admin","Expense|marketing","Expense|utilities","Expense|other_operating"},0)),-N(D204),0)</f>
        <v/>
      </c>
      <c r="R204" s="23">
        <f>IF(L204="Liability|payable",-N(D204),0)+IF(M204="Liability|payable",N(D204),0)</f>
        <v/>
      </c>
      <c r="S204" s="23">
        <f>IF(L204="Liability|accrued",-N(D204),0)+IF(M204="Liability|accrued",N(D204),0)</f>
        <v/>
      </c>
      <c r="T204" s="23">
        <f>IF(AND(N(D204)&lt;&gt;0,L204=""),1,0)+IF(AND(N(D204)&lt;&gt;0,M204=""),1,0)</f>
        <v/>
      </c>
    </row>
  </sheetData>
  <autoFilter ref="A4:K204"/>
  <dataValidations count="5">
    <dataValidation sqref="A5:A205" showDropDown="0" showInputMessage="0" showErrorMessage="1" allowBlank="1" error="Enter a date (YYYY-MM-DD)" type="date" operator="greaterThan">
      <formula1>DATE(2000,1,1)</formula1>
    </dataValidation>
    <dataValidation sqref="C5:C205" showDropDown="0" showInputMessage="0" showErrorMessage="0" allowBlank="1" type="list">
      <formula1>'Chart of Accounts'!$A$5:$A$3000</formula1>
    </dataValidation>
    <dataValidation sqref="E5:E205" showDropDown="0" showInputMessage="0" showErrorMessage="1" allowBlank="1" type="list">
      <formula1>Lists!$T$1:$T$5</formula1>
    </dataValidation>
    <dataValidation sqref="F5:F205" showDropDown="0" showInputMessage="0" showErrorMessage="0" allowBlank="1" type="list">
      <formula1>'Chart of Accounts'!$A$5:$A$3000</formula1>
    </dataValidation>
    <dataValidation sqref="G5:G205" showDropDown="0" showInputMessage="0" showErrorMessage="1" allowBlank="1" type="list">
      <formula1>'Business Units'!$A$5:$A$3000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0"/>
    <pageSetUpPr/>
  </sheetPr>
  <dimension ref="A1:V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hidden="1" outlineLevel="1" width="10" customWidth="1" min="10" max="10"/>
    <col hidden="1" outlineLevel="1" width="10" customWidth="1" min="11" max="11"/>
    <col hidden="1" outlineLevel="1" width="10" customWidth="1" min="12" max="12"/>
    <col hidden="1" outlineLevel="1" width="10" customWidth="1" min="13" max="13"/>
    <col hidden="1" outlineLevel="1" width="10" customWidth="1" min="14" max="14"/>
    <col hidden="1" outlineLevel="1" width="10" customWidth="1" min="15" max="15"/>
    <col hidden="1" outlineLevel="1" width="10" customWidth="1" min="16" max="16"/>
    <col hidden="1" outlineLevel="1" width="10" customWidth="1" min="17" max="17"/>
    <col hidden="1" outlineLevel="1" width="10" customWidth="1" min="18" max="18"/>
    <col hidden="1" outlineLevel="1" width="10" customWidth="1" min="19" max="19"/>
    <col hidden="1" outlineLevel="1" width="10" customWidth="1" min="20" max="20"/>
    <col hidden="1" outlineLevel="1" width="10" customWidth="1" min="21" max="21"/>
    <col hidden="1" outlineLevel="1" width="10" customWidth="1" min="22" max="22"/>
  </cols>
  <sheetData>
    <row r="1" ht="24" customHeight="1">
      <c r="A1" s="8" t="inlineStr">
        <is>
          <t>BEYOND DESIGN | PARTNER TRANSACTIONS</t>
        </is>
      </c>
    </row>
    <row r="2">
      <c r="A2" s="9" t="inlineStr">
        <is>
          <t>Capital contributions and owner drawings / dividends</t>
        </is>
      </c>
    </row>
    <row r="3">
      <c r="A3" s="10" t="inlineStr">
        <is>
          <t>e.g. 2026-10-01</t>
        </is>
      </c>
      <c r="B3" s="10" t="inlineStr">
        <is>
          <t>Partner name</t>
        </is>
      </c>
      <c r="C3" s="10" t="inlineStr">
        <is>
          <t>Capital Contribution</t>
        </is>
      </c>
      <c r="D3" s="10" t="n">
        <v>250000</v>
      </c>
      <c r="E3" s="10" t="inlineStr">
        <is>
          <t>Bank Transfer</t>
        </is>
      </c>
    </row>
    <row r="4" ht="30" customHeight="1">
      <c r="A4" s="11" t="inlineStr">
        <is>
          <t>Date</t>
        </is>
      </c>
      <c r="B4" s="11" t="inlineStr">
        <is>
          <t>Partner</t>
        </is>
      </c>
      <c r="C4" s="11" t="inlineStr">
        <is>
          <t>Type</t>
        </is>
      </c>
      <c r="D4" s="11" t="inlineStr">
        <is>
          <t>Amount</t>
        </is>
      </c>
      <c r="E4" s="11" t="inlineStr">
        <is>
          <t>Payment Method</t>
        </is>
      </c>
      <c r="F4" s="11" t="inlineStr">
        <is>
          <t>Cash / Bank Account</t>
        </is>
      </c>
      <c r="G4" s="11" t="inlineStr">
        <is>
          <t>Equity Account</t>
        </is>
      </c>
      <c r="H4" s="11" t="inlineStr">
        <is>
          <t>Business Unit</t>
        </is>
      </c>
      <c r="I4" s="11" t="inlineStr">
        <is>
          <t>Description</t>
        </is>
      </c>
      <c r="J4" s="15" t="inlineStr">
        <is>
          <t>cash_account (effective)</t>
        </is>
      </c>
      <c r="K4" s="15" t="inlineStr">
        <is>
          <t>equity (effective)</t>
        </is>
      </c>
      <c r="L4" s="15" t="inlineStr">
        <is>
          <t>Debit Account</t>
        </is>
      </c>
      <c r="M4" s="15" t="inlineStr">
        <is>
          <t>Credit Account</t>
        </is>
      </c>
      <c r="N4" s="22" t="inlineStr">
        <is>
          <t>leg 1 type</t>
        </is>
      </c>
      <c r="O4" s="22" t="inlineStr">
        <is>
          <t>leg 2 type</t>
        </is>
      </c>
      <c r="P4" s="22" t="inlineStr">
        <is>
          <t>revenue</t>
        </is>
      </c>
      <c r="Q4" s="22" t="inlineStr">
        <is>
          <t>cost of sales</t>
        </is>
      </c>
      <c r="R4" s="22" t="inlineStr">
        <is>
          <t>expenses</t>
        </is>
      </c>
      <c r="S4" s="22" t="inlineStr">
        <is>
          <t>operating expenses</t>
        </is>
      </c>
      <c r="T4" s="22" t="inlineStr">
        <is>
          <t>payables</t>
        </is>
      </c>
      <c r="U4" s="22" t="inlineStr">
        <is>
          <t>accruals</t>
        </is>
      </c>
      <c r="V4" s="22" t="inlineStr">
        <is>
          <t>unknown account</t>
        </is>
      </c>
    </row>
    <row r="5">
      <c r="A5" s="19" t="n"/>
      <c r="B5" s="14" t="n"/>
      <c r="C5" s="14" t="n"/>
      <c r="D5" s="20" t="n"/>
      <c r="E5" s="14" t="n"/>
      <c r="F5" s="14" t="n"/>
      <c r="G5" s="14" t="n"/>
      <c r="H5" s="14" t="n"/>
      <c r="I5" s="14" t="n"/>
      <c r="J5" s="16">
        <f>IF(F5="",INDEX('Chart of Accounts'!$A$5:$A$3000,MATCH("bank",'Chart of Accounts'!$F$5:$F$3000,0)),F5&amp;"")</f>
        <v/>
      </c>
      <c r="K5" s="16">
        <f>IF(G5&lt;&gt;"",G5&amp;"",IF(LEFT(C5,7)="Capital",INDEX('Chart of Accounts'!$A$5:$A$3000,MATCH("capital",'Chart of Accounts'!$F$5:$F$3000,0)),INDEX('Chart of Accounts'!$A$5:$A$3000,MATCH("drawings",'Chart of Accounts'!$F$5:$F$3000,0))))</f>
        <v/>
      </c>
      <c r="L5" s="16">
        <f>IF(LEFT(C5,7)="Capital",J5,K5)</f>
        <v/>
      </c>
      <c r="M5" s="16">
        <f>IF(LEFT(C5,7)="Capital",K5,J5)</f>
        <v/>
      </c>
      <c r="N5" s="23">
        <f>IFERROR(INDEX('Chart of Accounts'!$C$5:$C$3000,MATCH(L5&amp;"",'Chart of Accounts'!$A$5:$A$3000,0))&amp;"|"&amp;INDEX('Chart of Accounts'!$D$5:$D$3000,MATCH(L5&amp;"",'Chart of Accounts'!$A$5:$A$3000,0)),"")</f>
        <v/>
      </c>
      <c r="O5" s="23">
        <f>IFERROR(INDEX('Chart of Accounts'!$C$5:$C$3000,MATCH(M5&amp;"",'Chart of Accounts'!$A$5:$A$3000,0))&amp;"|"&amp;INDEX('Chart of Accounts'!$D$5:$D$3000,MATCH(M5&amp;"",'Chart of Accounts'!$A$5:$A$3000,0)),"")</f>
        <v/>
      </c>
      <c r="P5" s="23">
        <f>IF(LEFT(N5,8)="Revenue|",-N(D5),0)+IF(LEFT(O5,8)="Revenue|",N(D5),0)</f>
        <v/>
      </c>
      <c r="Q5" s="23">
        <f>IF(LEFT(N5,5)="COGS|",N(D5),0)+IF(LEFT(O5,5)="COGS|",-N(D5),0)</f>
        <v/>
      </c>
      <c r="R5" s="23">
        <f>IF(LEFT(N5,8)="Expense|",N(D5),0)+IF(LEFT(O5,8)="Expense|",-N(D5),0)</f>
        <v/>
      </c>
      <c r="S5" s="23">
        <f>IF(ISNUMBER(MATCH(N5,{"Expense|employee","Expense|general_admin","Expense|marketing","Expense|utilities","Expense|other_operating"},0)),N(D5),0)+IF(ISNUMBER(MATCH(O5,{"Expense|employee","Expense|general_admin","Expense|marketing","Expense|utilities","Expense|other_operating"},0)),-N(D5),0)</f>
        <v/>
      </c>
      <c r="T5" s="23">
        <f>IF(N5="Liability|payable",-N(D5),0)+IF(O5="Liability|payable",N(D5),0)</f>
        <v/>
      </c>
      <c r="U5" s="23">
        <f>IF(N5="Liability|accrued",-N(D5),0)+IF(O5="Liability|accrued",N(D5),0)</f>
        <v/>
      </c>
      <c r="V5" s="23">
        <f>IF(AND(N(D5)&lt;&gt;0,N5=""),1,0)+IF(AND(N(D5)&lt;&gt;0,O5=""),1,0)</f>
        <v/>
      </c>
    </row>
    <row r="6">
      <c r="A6" s="19" t="n"/>
      <c r="B6" s="14" t="n"/>
      <c r="C6" s="14" t="n"/>
      <c r="D6" s="20" t="n"/>
      <c r="E6" s="14" t="n"/>
      <c r="F6" s="14" t="n"/>
      <c r="G6" s="14" t="n"/>
      <c r="H6" s="14" t="n"/>
      <c r="I6" s="14" t="n"/>
      <c r="J6" s="16">
        <f>IF(F6="",INDEX('Chart of Accounts'!$A$5:$A$3000,MATCH("bank",'Chart of Accounts'!$F$5:$F$3000,0)),F6&amp;"")</f>
        <v/>
      </c>
      <c r="K6" s="16">
        <f>IF(G6&lt;&gt;"",G6&amp;"",IF(LEFT(C6,7)="Capital",INDEX('Chart of Accounts'!$A$5:$A$3000,MATCH("capital",'Chart of Accounts'!$F$5:$F$3000,0)),INDEX('Chart of Accounts'!$A$5:$A$3000,MATCH("drawings",'Chart of Accounts'!$F$5:$F$3000,0))))</f>
        <v/>
      </c>
      <c r="L6" s="16">
        <f>IF(LEFT(C6,7)="Capital",J6,K6)</f>
        <v/>
      </c>
      <c r="M6" s="16">
        <f>IF(LEFT(C6,7)="Capital",K6,J6)</f>
        <v/>
      </c>
      <c r="N6" s="23">
        <f>IFERROR(INDEX('Chart of Accounts'!$C$5:$C$3000,MATCH(L6&amp;"",'Chart of Accounts'!$A$5:$A$3000,0))&amp;"|"&amp;INDEX('Chart of Accounts'!$D$5:$D$3000,MATCH(L6&amp;"",'Chart of Accounts'!$A$5:$A$3000,0)),"")</f>
        <v/>
      </c>
      <c r="O6" s="23">
        <f>IFERROR(INDEX('Chart of Accounts'!$C$5:$C$3000,MATCH(M6&amp;"",'Chart of Accounts'!$A$5:$A$3000,0))&amp;"|"&amp;INDEX('Chart of Accounts'!$D$5:$D$3000,MATCH(M6&amp;"",'Chart of Accounts'!$A$5:$A$3000,0)),"")</f>
        <v/>
      </c>
      <c r="P6" s="23">
        <f>IF(LEFT(N6,8)="Revenue|",-N(D6),0)+IF(LEFT(O6,8)="Revenue|",N(D6),0)</f>
        <v/>
      </c>
      <c r="Q6" s="23">
        <f>IF(LEFT(N6,5)="COGS|",N(D6),0)+IF(LEFT(O6,5)="COGS|",-N(D6),0)</f>
        <v/>
      </c>
      <c r="R6" s="23">
        <f>IF(LEFT(N6,8)="Expense|",N(D6),0)+IF(LEFT(O6,8)="Expense|",-N(D6),0)</f>
        <v/>
      </c>
      <c r="S6" s="23">
        <f>IF(ISNUMBER(MATCH(N6,{"Expense|employee","Expense|general_admin","Expense|marketing","Expense|utilities","Expense|other_operating"},0)),N(D6),0)+IF(ISNUMBER(MATCH(O6,{"Expense|employee","Expense|general_admin","Expense|marketing","Expense|utilities","Expense|other_operating"},0)),-N(D6),0)</f>
        <v/>
      </c>
      <c r="T6" s="23">
        <f>IF(N6="Liability|payable",-N(D6),0)+IF(O6="Liability|payable",N(D6),0)</f>
        <v/>
      </c>
      <c r="U6" s="23">
        <f>IF(N6="Liability|accrued",-N(D6),0)+IF(O6="Liability|accrued",N(D6),0)</f>
        <v/>
      </c>
      <c r="V6" s="23">
        <f>IF(AND(N(D6)&lt;&gt;0,N6=""),1,0)+IF(AND(N(D6)&lt;&gt;0,O6=""),1,0)</f>
        <v/>
      </c>
    </row>
    <row r="7">
      <c r="A7" s="19" t="n"/>
      <c r="B7" s="14" t="n"/>
      <c r="C7" s="14" t="n"/>
      <c r="D7" s="20" t="n"/>
      <c r="E7" s="14" t="n"/>
      <c r="F7" s="14" t="n"/>
      <c r="G7" s="14" t="n"/>
      <c r="H7" s="14" t="n"/>
      <c r="I7" s="14" t="n"/>
      <c r="J7" s="16">
        <f>IF(F7="",INDEX('Chart of Accounts'!$A$5:$A$3000,MATCH("bank",'Chart of Accounts'!$F$5:$F$3000,0)),F7&amp;"")</f>
        <v/>
      </c>
      <c r="K7" s="16">
        <f>IF(G7&lt;&gt;"",G7&amp;"",IF(LEFT(C7,7)="Capital",INDEX('Chart of Accounts'!$A$5:$A$3000,MATCH("capital",'Chart of Accounts'!$F$5:$F$3000,0)),INDEX('Chart of Accounts'!$A$5:$A$3000,MATCH("drawings",'Chart of Accounts'!$F$5:$F$3000,0))))</f>
        <v/>
      </c>
      <c r="L7" s="16">
        <f>IF(LEFT(C7,7)="Capital",J7,K7)</f>
        <v/>
      </c>
      <c r="M7" s="16">
        <f>IF(LEFT(C7,7)="Capital",K7,J7)</f>
        <v/>
      </c>
      <c r="N7" s="23">
        <f>IFERROR(INDEX('Chart of Accounts'!$C$5:$C$3000,MATCH(L7&amp;"",'Chart of Accounts'!$A$5:$A$3000,0))&amp;"|"&amp;INDEX('Chart of Accounts'!$D$5:$D$3000,MATCH(L7&amp;"",'Chart of Accounts'!$A$5:$A$3000,0)),"")</f>
        <v/>
      </c>
      <c r="O7" s="23">
        <f>IFERROR(INDEX('Chart of Accounts'!$C$5:$C$3000,MATCH(M7&amp;"",'Chart of Accounts'!$A$5:$A$3000,0))&amp;"|"&amp;INDEX('Chart of Accounts'!$D$5:$D$3000,MATCH(M7&amp;"",'Chart of Accounts'!$A$5:$A$3000,0)),"")</f>
        <v/>
      </c>
      <c r="P7" s="23">
        <f>IF(LEFT(N7,8)="Revenue|",-N(D7),0)+IF(LEFT(O7,8)="Revenue|",N(D7),0)</f>
        <v/>
      </c>
      <c r="Q7" s="23">
        <f>IF(LEFT(N7,5)="COGS|",N(D7),0)+IF(LEFT(O7,5)="COGS|",-N(D7),0)</f>
        <v/>
      </c>
      <c r="R7" s="23">
        <f>IF(LEFT(N7,8)="Expense|",N(D7),0)+IF(LEFT(O7,8)="Expense|",-N(D7),0)</f>
        <v/>
      </c>
      <c r="S7" s="23">
        <f>IF(ISNUMBER(MATCH(N7,{"Expense|employee","Expense|general_admin","Expense|marketing","Expense|utilities","Expense|other_operating"},0)),N(D7),0)+IF(ISNUMBER(MATCH(O7,{"Expense|employee","Expense|general_admin","Expense|marketing","Expense|utilities","Expense|other_operating"},0)),-N(D7),0)</f>
        <v/>
      </c>
      <c r="T7" s="23">
        <f>IF(N7="Liability|payable",-N(D7),0)+IF(O7="Liability|payable",N(D7),0)</f>
        <v/>
      </c>
      <c r="U7" s="23">
        <f>IF(N7="Liability|accrued",-N(D7),0)+IF(O7="Liability|accrued",N(D7),0)</f>
        <v/>
      </c>
      <c r="V7" s="23">
        <f>IF(AND(N(D7)&lt;&gt;0,N7=""),1,0)+IF(AND(N(D7)&lt;&gt;0,O7=""),1,0)</f>
        <v/>
      </c>
    </row>
    <row r="8">
      <c r="A8" s="19" t="n"/>
      <c r="B8" s="14" t="n"/>
      <c r="C8" s="14" t="n"/>
      <c r="D8" s="20" t="n"/>
      <c r="E8" s="14" t="n"/>
      <c r="F8" s="14" t="n"/>
      <c r="G8" s="14" t="n"/>
      <c r="H8" s="14" t="n"/>
      <c r="I8" s="14" t="n"/>
      <c r="J8" s="16">
        <f>IF(F8="",INDEX('Chart of Accounts'!$A$5:$A$3000,MATCH("bank",'Chart of Accounts'!$F$5:$F$3000,0)),F8&amp;"")</f>
        <v/>
      </c>
      <c r="K8" s="16">
        <f>IF(G8&lt;&gt;"",G8&amp;"",IF(LEFT(C8,7)="Capital",INDEX('Chart of Accounts'!$A$5:$A$3000,MATCH("capital",'Chart of Accounts'!$F$5:$F$3000,0)),INDEX('Chart of Accounts'!$A$5:$A$3000,MATCH("drawings",'Chart of Accounts'!$F$5:$F$3000,0))))</f>
        <v/>
      </c>
      <c r="L8" s="16">
        <f>IF(LEFT(C8,7)="Capital",J8,K8)</f>
        <v/>
      </c>
      <c r="M8" s="16">
        <f>IF(LEFT(C8,7)="Capital",K8,J8)</f>
        <v/>
      </c>
      <c r="N8" s="23">
        <f>IFERROR(INDEX('Chart of Accounts'!$C$5:$C$3000,MATCH(L8&amp;"",'Chart of Accounts'!$A$5:$A$3000,0))&amp;"|"&amp;INDEX('Chart of Accounts'!$D$5:$D$3000,MATCH(L8&amp;"",'Chart of Accounts'!$A$5:$A$3000,0)),"")</f>
        <v/>
      </c>
      <c r="O8" s="23">
        <f>IFERROR(INDEX('Chart of Accounts'!$C$5:$C$3000,MATCH(M8&amp;"",'Chart of Accounts'!$A$5:$A$3000,0))&amp;"|"&amp;INDEX('Chart of Accounts'!$D$5:$D$3000,MATCH(M8&amp;"",'Chart of Accounts'!$A$5:$A$3000,0)),"")</f>
        <v/>
      </c>
      <c r="P8" s="23">
        <f>IF(LEFT(N8,8)="Revenue|",-N(D8),0)+IF(LEFT(O8,8)="Revenue|",N(D8),0)</f>
        <v/>
      </c>
      <c r="Q8" s="23">
        <f>IF(LEFT(N8,5)="COGS|",N(D8),0)+IF(LEFT(O8,5)="COGS|",-N(D8),0)</f>
        <v/>
      </c>
      <c r="R8" s="23">
        <f>IF(LEFT(N8,8)="Expense|",N(D8),0)+IF(LEFT(O8,8)="Expense|",-N(D8),0)</f>
        <v/>
      </c>
      <c r="S8" s="23">
        <f>IF(ISNUMBER(MATCH(N8,{"Expense|employee","Expense|general_admin","Expense|marketing","Expense|utilities","Expense|other_operating"},0)),N(D8),0)+IF(ISNUMBER(MATCH(O8,{"Expense|employee","Expense|general_admin","Expense|marketing","Expense|utilities","Expense|other_operating"},0)),-N(D8),0)</f>
        <v/>
      </c>
      <c r="T8" s="23">
        <f>IF(N8="Liability|payable",-N(D8),0)+IF(O8="Liability|payable",N(D8),0)</f>
        <v/>
      </c>
      <c r="U8" s="23">
        <f>IF(N8="Liability|accrued",-N(D8),0)+IF(O8="Liability|accrued",N(D8),0)</f>
        <v/>
      </c>
      <c r="V8" s="23">
        <f>IF(AND(N(D8)&lt;&gt;0,N8=""),1,0)+IF(AND(N(D8)&lt;&gt;0,O8=""),1,0)</f>
        <v/>
      </c>
    </row>
    <row r="9">
      <c r="A9" s="19" t="n"/>
      <c r="B9" s="14" t="n"/>
      <c r="C9" s="14" t="n"/>
      <c r="D9" s="20" t="n"/>
      <c r="E9" s="14" t="n"/>
      <c r="F9" s="14" t="n"/>
      <c r="G9" s="14" t="n"/>
      <c r="H9" s="14" t="n"/>
      <c r="I9" s="14" t="n"/>
      <c r="J9" s="16">
        <f>IF(F9="",INDEX('Chart of Accounts'!$A$5:$A$3000,MATCH("bank",'Chart of Accounts'!$F$5:$F$3000,0)),F9&amp;"")</f>
        <v/>
      </c>
      <c r="K9" s="16">
        <f>IF(G9&lt;&gt;"",G9&amp;"",IF(LEFT(C9,7)="Capital",INDEX('Chart of Accounts'!$A$5:$A$3000,MATCH("capital",'Chart of Accounts'!$F$5:$F$3000,0)),INDEX('Chart of Accounts'!$A$5:$A$3000,MATCH("drawings",'Chart of Accounts'!$F$5:$F$3000,0))))</f>
        <v/>
      </c>
      <c r="L9" s="16">
        <f>IF(LEFT(C9,7)="Capital",J9,K9)</f>
        <v/>
      </c>
      <c r="M9" s="16">
        <f>IF(LEFT(C9,7)="Capital",K9,J9)</f>
        <v/>
      </c>
      <c r="N9" s="23">
        <f>IFERROR(INDEX('Chart of Accounts'!$C$5:$C$3000,MATCH(L9&amp;"",'Chart of Accounts'!$A$5:$A$3000,0))&amp;"|"&amp;INDEX('Chart of Accounts'!$D$5:$D$3000,MATCH(L9&amp;"",'Chart of Accounts'!$A$5:$A$3000,0)),"")</f>
        <v/>
      </c>
      <c r="O9" s="23">
        <f>IFERROR(INDEX('Chart of Accounts'!$C$5:$C$3000,MATCH(M9&amp;"",'Chart of Accounts'!$A$5:$A$3000,0))&amp;"|"&amp;INDEX('Chart of Accounts'!$D$5:$D$3000,MATCH(M9&amp;"",'Chart of Accounts'!$A$5:$A$3000,0)),"")</f>
        <v/>
      </c>
      <c r="P9" s="23">
        <f>IF(LEFT(N9,8)="Revenue|",-N(D9),0)+IF(LEFT(O9,8)="Revenue|",N(D9),0)</f>
        <v/>
      </c>
      <c r="Q9" s="23">
        <f>IF(LEFT(N9,5)="COGS|",N(D9),0)+IF(LEFT(O9,5)="COGS|",-N(D9),0)</f>
        <v/>
      </c>
      <c r="R9" s="23">
        <f>IF(LEFT(N9,8)="Expense|",N(D9),0)+IF(LEFT(O9,8)="Expense|",-N(D9),0)</f>
        <v/>
      </c>
      <c r="S9" s="23">
        <f>IF(ISNUMBER(MATCH(N9,{"Expense|employee","Expense|general_admin","Expense|marketing","Expense|utilities","Expense|other_operating"},0)),N(D9),0)+IF(ISNUMBER(MATCH(O9,{"Expense|employee","Expense|general_admin","Expense|marketing","Expense|utilities","Expense|other_operating"},0)),-N(D9),0)</f>
        <v/>
      </c>
      <c r="T9" s="23">
        <f>IF(N9="Liability|payable",-N(D9),0)+IF(O9="Liability|payable",N(D9),0)</f>
        <v/>
      </c>
      <c r="U9" s="23">
        <f>IF(N9="Liability|accrued",-N(D9),0)+IF(O9="Liability|accrued",N(D9),0)</f>
        <v/>
      </c>
      <c r="V9" s="23">
        <f>IF(AND(N(D9)&lt;&gt;0,N9=""),1,0)+IF(AND(N(D9)&lt;&gt;0,O9=""),1,0)</f>
        <v/>
      </c>
    </row>
    <row r="10">
      <c r="A10" s="19" t="n"/>
      <c r="B10" s="14" t="n"/>
      <c r="C10" s="14" t="n"/>
      <c r="D10" s="20" t="n"/>
      <c r="E10" s="14" t="n"/>
      <c r="F10" s="14" t="n"/>
      <c r="G10" s="14" t="n"/>
      <c r="H10" s="14" t="n"/>
      <c r="I10" s="14" t="n"/>
      <c r="J10" s="16">
        <f>IF(F10="",INDEX('Chart of Accounts'!$A$5:$A$3000,MATCH("bank",'Chart of Accounts'!$F$5:$F$3000,0)),F10&amp;"")</f>
        <v/>
      </c>
      <c r="K10" s="16">
        <f>IF(G10&lt;&gt;"",G10&amp;"",IF(LEFT(C10,7)="Capital",INDEX('Chart of Accounts'!$A$5:$A$3000,MATCH("capital",'Chart of Accounts'!$F$5:$F$3000,0)),INDEX('Chart of Accounts'!$A$5:$A$3000,MATCH("drawings",'Chart of Accounts'!$F$5:$F$3000,0))))</f>
        <v/>
      </c>
      <c r="L10" s="16">
        <f>IF(LEFT(C10,7)="Capital",J10,K10)</f>
        <v/>
      </c>
      <c r="M10" s="16">
        <f>IF(LEFT(C10,7)="Capital",K10,J10)</f>
        <v/>
      </c>
      <c r="N10" s="23">
        <f>IFERROR(INDEX('Chart of Accounts'!$C$5:$C$3000,MATCH(L10&amp;"",'Chart of Accounts'!$A$5:$A$3000,0))&amp;"|"&amp;INDEX('Chart of Accounts'!$D$5:$D$3000,MATCH(L10&amp;"",'Chart of Accounts'!$A$5:$A$3000,0)),"")</f>
        <v/>
      </c>
      <c r="O10" s="23">
        <f>IFERROR(INDEX('Chart of Accounts'!$C$5:$C$3000,MATCH(M10&amp;"",'Chart of Accounts'!$A$5:$A$3000,0))&amp;"|"&amp;INDEX('Chart of Accounts'!$D$5:$D$3000,MATCH(M10&amp;"",'Chart of Accounts'!$A$5:$A$3000,0)),"")</f>
        <v/>
      </c>
      <c r="P10" s="23">
        <f>IF(LEFT(N10,8)="Revenue|",-N(D10),0)+IF(LEFT(O10,8)="Revenue|",N(D10),0)</f>
        <v/>
      </c>
      <c r="Q10" s="23">
        <f>IF(LEFT(N10,5)="COGS|",N(D10),0)+IF(LEFT(O10,5)="COGS|",-N(D10),0)</f>
        <v/>
      </c>
      <c r="R10" s="23">
        <f>IF(LEFT(N10,8)="Expense|",N(D10),0)+IF(LEFT(O10,8)="Expense|",-N(D10),0)</f>
        <v/>
      </c>
      <c r="S10" s="23">
        <f>IF(ISNUMBER(MATCH(N10,{"Expense|employee","Expense|general_admin","Expense|marketing","Expense|utilities","Expense|other_operating"},0)),N(D10),0)+IF(ISNUMBER(MATCH(O10,{"Expense|employee","Expense|general_admin","Expense|marketing","Expense|utilities","Expense|other_operating"},0)),-N(D10),0)</f>
        <v/>
      </c>
      <c r="T10" s="23">
        <f>IF(N10="Liability|payable",-N(D10),0)+IF(O10="Liability|payable",N(D10),0)</f>
        <v/>
      </c>
      <c r="U10" s="23">
        <f>IF(N10="Liability|accrued",-N(D10),0)+IF(O10="Liability|accrued",N(D10),0)</f>
        <v/>
      </c>
      <c r="V10" s="23">
        <f>IF(AND(N(D10)&lt;&gt;0,N10=""),1,0)+IF(AND(N(D10)&lt;&gt;0,O10=""),1,0)</f>
        <v/>
      </c>
    </row>
    <row r="11">
      <c r="A11" s="19" t="n"/>
      <c r="B11" s="14" t="n"/>
      <c r="C11" s="14" t="n"/>
      <c r="D11" s="20" t="n"/>
      <c r="E11" s="14" t="n"/>
      <c r="F11" s="14" t="n"/>
      <c r="G11" s="14" t="n"/>
      <c r="H11" s="14" t="n"/>
      <c r="I11" s="14" t="n"/>
      <c r="J11" s="16">
        <f>IF(F11="",INDEX('Chart of Accounts'!$A$5:$A$3000,MATCH("bank",'Chart of Accounts'!$F$5:$F$3000,0)),F11&amp;"")</f>
        <v/>
      </c>
      <c r="K11" s="16">
        <f>IF(G11&lt;&gt;"",G11&amp;"",IF(LEFT(C11,7)="Capital",INDEX('Chart of Accounts'!$A$5:$A$3000,MATCH("capital",'Chart of Accounts'!$F$5:$F$3000,0)),INDEX('Chart of Accounts'!$A$5:$A$3000,MATCH("drawings",'Chart of Accounts'!$F$5:$F$3000,0))))</f>
        <v/>
      </c>
      <c r="L11" s="16">
        <f>IF(LEFT(C11,7)="Capital",J11,K11)</f>
        <v/>
      </c>
      <c r="M11" s="16">
        <f>IF(LEFT(C11,7)="Capital",K11,J11)</f>
        <v/>
      </c>
      <c r="N11" s="23">
        <f>IFERROR(INDEX('Chart of Accounts'!$C$5:$C$3000,MATCH(L11&amp;"",'Chart of Accounts'!$A$5:$A$3000,0))&amp;"|"&amp;INDEX('Chart of Accounts'!$D$5:$D$3000,MATCH(L11&amp;"",'Chart of Accounts'!$A$5:$A$3000,0)),"")</f>
        <v/>
      </c>
      <c r="O11" s="23">
        <f>IFERROR(INDEX('Chart of Accounts'!$C$5:$C$3000,MATCH(M11&amp;"",'Chart of Accounts'!$A$5:$A$3000,0))&amp;"|"&amp;INDEX('Chart of Accounts'!$D$5:$D$3000,MATCH(M11&amp;"",'Chart of Accounts'!$A$5:$A$3000,0)),"")</f>
        <v/>
      </c>
      <c r="P11" s="23">
        <f>IF(LEFT(N11,8)="Revenue|",-N(D11),0)+IF(LEFT(O11,8)="Revenue|",N(D11),0)</f>
        <v/>
      </c>
      <c r="Q11" s="23">
        <f>IF(LEFT(N11,5)="COGS|",N(D11),0)+IF(LEFT(O11,5)="COGS|",-N(D11),0)</f>
        <v/>
      </c>
      <c r="R11" s="23">
        <f>IF(LEFT(N11,8)="Expense|",N(D11),0)+IF(LEFT(O11,8)="Expense|",-N(D11),0)</f>
        <v/>
      </c>
      <c r="S11" s="23">
        <f>IF(ISNUMBER(MATCH(N11,{"Expense|employee","Expense|general_admin","Expense|marketing","Expense|utilities","Expense|other_operating"},0)),N(D11),0)+IF(ISNUMBER(MATCH(O11,{"Expense|employee","Expense|general_admin","Expense|marketing","Expense|utilities","Expense|other_operating"},0)),-N(D11),0)</f>
        <v/>
      </c>
      <c r="T11" s="23">
        <f>IF(N11="Liability|payable",-N(D11),0)+IF(O11="Liability|payable",N(D11),0)</f>
        <v/>
      </c>
      <c r="U11" s="23">
        <f>IF(N11="Liability|accrued",-N(D11),0)+IF(O11="Liability|accrued",N(D11),0)</f>
        <v/>
      </c>
      <c r="V11" s="23">
        <f>IF(AND(N(D11)&lt;&gt;0,N11=""),1,0)+IF(AND(N(D11)&lt;&gt;0,O11=""),1,0)</f>
        <v/>
      </c>
    </row>
    <row r="12">
      <c r="A12" s="19" t="n"/>
      <c r="B12" s="14" t="n"/>
      <c r="C12" s="14" t="n"/>
      <c r="D12" s="20" t="n"/>
      <c r="E12" s="14" t="n"/>
      <c r="F12" s="14" t="n"/>
      <c r="G12" s="14" t="n"/>
      <c r="H12" s="14" t="n"/>
      <c r="I12" s="14" t="n"/>
      <c r="J12" s="16">
        <f>IF(F12="",INDEX('Chart of Accounts'!$A$5:$A$3000,MATCH("bank",'Chart of Accounts'!$F$5:$F$3000,0)),F12&amp;"")</f>
        <v/>
      </c>
      <c r="K12" s="16">
        <f>IF(G12&lt;&gt;"",G12&amp;"",IF(LEFT(C12,7)="Capital",INDEX('Chart of Accounts'!$A$5:$A$3000,MATCH("capital",'Chart of Accounts'!$F$5:$F$3000,0)),INDEX('Chart of Accounts'!$A$5:$A$3000,MATCH("drawings",'Chart of Accounts'!$F$5:$F$3000,0))))</f>
        <v/>
      </c>
      <c r="L12" s="16">
        <f>IF(LEFT(C12,7)="Capital",J12,K12)</f>
        <v/>
      </c>
      <c r="M12" s="16">
        <f>IF(LEFT(C12,7)="Capital",K12,J12)</f>
        <v/>
      </c>
      <c r="N12" s="23">
        <f>IFERROR(INDEX('Chart of Accounts'!$C$5:$C$3000,MATCH(L12&amp;"",'Chart of Accounts'!$A$5:$A$3000,0))&amp;"|"&amp;INDEX('Chart of Accounts'!$D$5:$D$3000,MATCH(L12&amp;"",'Chart of Accounts'!$A$5:$A$3000,0)),"")</f>
        <v/>
      </c>
      <c r="O12" s="23">
        <f>IFERROR(INDEX('Chart of Accounts'!$C$5:$C$3000,MATCH(M12&amp;"",'Chart of Accounts'!$A$5:$A$3000,0))&amp;"|"&amp;INDEX('Chart of Accounts'!$D$5:$D$3000,MATCH(M12&amp;"",'Chart of Accounts'!$A$5:$A$3000,0)),"")</f>
        <v/>
      </c>
      <c r="P12" s="23">
        <f>IF(LEFT(N12,8)="Revenue|",-N(D12),0)+IF(LEFT(O12,8)="Revenue|",N(D12),0)</f>
        <v/>
      </c>
      <c r="Q12" s="23">
        <f>IF(LEFT(N12,5)="COGS|",N(D12),0)+IF(LEFT(O12,5)="COGS|",-N(D12),0)</f>
        <v/>
      </c>
      <c r="R12" s="23">
        <f>IF(LEFT(N12,8)="Expense|",N(D12),0)+IF(LEFT(O12,8)="Expense|",-N(D12),0)</f>
        <v/>
      </c>
      <c r="S12" s="23">
        <f>IF(ISNUMBER(MATCH(N12,{"Expense|employee","Expense|general_admin","Expense|marketing","Expense|utilities","Expense|other_operating"},0)),N(D12),0)+IF(ISNUMBER(MATCH(O12,{"Expense|employee","Expense|general_admin","Expense|marketing","Expense|utilities","Expense|other_operating"},0)),-N(D12),0)</f>
        <v/>
      </c>
      <c r="T12" s="23">
        <f>IF(N12="Liability|payable",-N(D12),0)+IF(O12="Liability|payable",N(D12),0)</f>
        <v/>
      </c>
      <c r="U12" s="23">
        <f>IF(N12="Liability|accrued",-N(D12),0)+IF(O12="Liability|accrued",N(D12),0)</f>
        <v/>
      </c>
      <c r="V12" s="23">
        <f>IF(AND(N(D12)&lt;&gt;0,N12=""),1,0)+IF(AND(N(D12)&lt;&gt;0,O12=""),1,0)</f>
        <v/>
      </c>
    </row>
    <row r="13">
      <c r="A13" s="19" t="n"/>
      <c r="B13" s="14" t="n"/>
      <c r="C13" s="14" t="n"/>
      <c r="D13" s="20" t="n"/>
      <c r="E13" s="14" t="n"/>
      <c r="F13" s="14" t="n"/>
      <c r="G13" s="14" t="n"/>
      <c r="H13" s="14" t="n"/>
      <c r="I13" s="14" t="n"/>
      <c r="J13" s="16">
        <f>IF(F13="",INDEX('Chart of Accounts'!$A$5:$A$3000,MATCH("bank",'Chart of Accounts'!$F$5:$F$3000,0)),F13&amp;"")</f>
        <v/>
      </c>
      <c r="K13" s="16">
        <f>IF(G13&lt;&gt;"",G13&amp;"",IF(LEFT(C13,7)="Capital",INDEX('Chart of Accounts'!$A$5:$A$3000,MATCH("capital",'Chart of Accounts'!$F$5:$F$3000,0)),INDEX('Chart of Accounts'!$A$5:$A$3000,MATCH("drawings",'Chart of Accounts'!$F$5:$F$3000,0))))</f>
        <v/>
      </c>
      <c r="L13" s="16">
        <f>IF(LEFT(C13,7)="Capital",J13,K13)</f>
        <v/>
      </c>
      <c r="M13" s="16">
        <f>IF(LEFT(C13,7)="Capital",K13,J13)</f>
        <v/>
      </c>
      <c r="N13" s="23">
        <f>IFERROR(INDEX('Chart of Accounts'!$C$5:$C$3000,MATCH(L13&amp;"",'Chart of Accounts'!$A$5:$A$3000,0))&amp;"|"&amp;INDEX('Chart of Accounts'!$D$5:$D$3000,MATCH(L13&amp;"",'Chart of Accounts'!$A$5:$A$3000,0)),"")</f>
        <v/>
      </c>
      <c r="O13" s="23">
        <f>IFERROR(INDEX('Chart of Accounts'!$C$5:$C$3000,MATCH(M13&amp;"",'Chart of Accounts'!$A$5:$A$3000,0))&amp;"|"&amp;INDEX('Chart of Accounts'!$D$5:$D$3000,MATCH(M13&amp;"",'Chart of Accounts'!$A$5:$A$3000,0)),"")</f>
        <v/>
      </c>
      <c r="P13" s="23">
        <f>IF(LEFT(N13,8)="Revenue|",-N(D13),0)+IF(LEFT(O13,8)="Revenue|",N(D13),0)</f>
        <v/>
      </c>
      <c r="Q13" s="23">
        <f>IF(LEFT(N13,5)="COGS|",N(D13),0)+IF(LEFT(O13,5)="COGS|",-N(D13),0)</f>
        <v/>
      </c>
      <c r="R13" s="23">
        <f>IF(LEFT(N13,8)="Expense|",N(D13),0)+IF(LEFT(O13,8)="Expense|",-N(D13),0)</f>
        <v/>
      </c>
      <c r="S13" s="23">
        <f>IF(ISNUMBER(MATCH(N13,{"Expense|employee","Expense|general_admin","Expense|marketing","Expense|utilities","Expense|other_operating"},0)),N(D13),0)+IF(ISNUMBER(MATCH(O13,{"Expense|employee","Expense|general_admin","Expense|marketing","Expense|utilities","Expense|other_operating"},0)),-N(D13),0)</f>
        <v/>
      </c>
      <c r="T13" s="23">
        <f>IF(N13="Liability|payable",-N(D13),0)+IF(O13="Liability|payable",N(D13),0)</f>
        <v/>
      </c>
      <c r="U13" s="23">
        <f>IF(N13="Liability|accrued",-N(D13),0)+IF(O13="Liability|accrued",N(D13),0)</f>
        <v/>
      </c>
      <c r="V13" s="23">
        <f>IF(AND(N(D13)&lt;&gt;0,N13=""),1,0)+IF(AND(N(D13)&lt;&gt;0,O13=""),1,0)</f>
        <v/>
      </c>
    </row>
    <row r="14">
      <c r="A14" s="19" t="n"/>
      <c r="B14" s="14" t="n"/>
      <c r="C14" s="14" t="n"/>
      <c r="D14" s="20" t="n"/>
      <c r="E14" s="14" t="n"/>
      <c r="F14" s="14" t="n"/>
      <c r="G14" s="14" t="n"/>
      <c r="H14" s="14" t="n"/>
      <c r="I14" s="14" t="n"/>
      <c r="J14" s="16">
        <f>IF(F14="",INDEX('Chart of Accounts'!$A$5:$A$3000,MATCH("bank",'Chart of Accounts'!$F$5:$F$3000,0)),F14&amp;"")</f>
        <v/>
      </c>
      <c r="K14" s="16">
        <f>IF(G14&lt;&gt;"",G14&amp;"",IF(LEFT(C14,7)="Capital",INDEX('Chart of Accounts'!$A$5:$A$3000,MATCH("capital",'Chart of Accounts'!$F$5:$F$3000,0)),INDEX('Chart of Accounts'!$A$5:$A$3000,MATCH("drawings",'Chart of Accounts'!$F$5:$F$3000,0))))</f>
        <v/>
      </c>
      <c r="L14" s="16">
        <f>IF(LEFT(C14,7)="Capital",J14,K14)</f>
        <v/>
      </c>
      <c r="M14" s="16">
        <f>IF(LEFT(C14,7)="Capital",K14,J14)</f>
        <v/>
      </c>
      <c r="N14" s="23">
        <f>IFERROR(INDEX('Chart of Accounts'!$C$5:$C$3000,MATCH(L14&amp;"",'Chart of Accounts'!$A$5:$A$3000,0))&amp;"|"&amp;INDEX('Chart of Accounts'!$D$5:$D$3000,MATCH(L14&amp;"",'Chart of Accounts'!$A$5:$A$3000,0)),"")</f>
        <v/>
      </c>
      <c r="O14" s="23">
        <f>IFERROR(INDEX('Chart of Accounts'!$C$5:$C$3000,MATCH(M14&amp;"",'Chart of Accounts'!$A$5:$A$3000,0))&amp;"|"&amp;INDEX('Chart of Accounts'!$D$5:$D$3000,MATCH(M14&amp;"",'Chart of Accounts'!$A$5:$A$3000,0)),"")</f>
        <v/>
      </c>
      <c r="P14" s="23">
        <f>IF(LEFT(N14,8)="Revenue|",-N(D14),0)+IF(LEFT(O14,8)="Revenue|",N(D14),0)</f>
        <v/>
      </c>
      <c r="Q14" s="23">
        <f>IF(LEFT(N14,5)="COGS|",N(D14),0)+IF(LEFT(O14,5)="COGS|",-N(D14),0)</f>
        <v/>
      </c>
      <c r="R14" s="23">
        <f>IF(LEFT(N14,8)="Expense|",N(D14),0)+IF(LEFT(O14,8)="Expense|",-N(D14),0)</f>
        <v/>
      </c>
      <c r="S14" s="23">
        <f>IF(ISNUMBER(MATCH(N14,{"Expense|employee","Expense|general_admin","Expense|marketing","Expense|utilities","Expense|other_operating"},0)),N(D14),0)+IF(ISNUMBER(MATCH(O14,{"Expense|employee","Expense|general_admin","Expense|marketing","Expense|utilities","Expense|other_operating"},0)),-N(D14),0)</f>
        <v/>
      </c>
      <c r="T14" s="23">
        <f>IF(N14="Liability|payable",-N(D14),0)+IF(O14="Liability|payable",N(D14),0)</f>
        <v/>
      </c>
      <c r="U14" s="23">
        <f>IF(N14="Liability|accrued",-N(D14),0)+IF(O14="Liability|accrued",N(D14),0)</f>
        <v/>
      </c>
      <c r="V14" s="23">
        <f>IF(AND(N(D14)&lt;&gt;0,N14=""),1,0)+IF(AND(N(D14)&lt;&gt;0,O14=""),1,0)</f>
        <v/>
      </c>
    </row>
    <row r="15">
      <c r="A15" s="19" t="n"/>
      <c r="B15" s="14" t="n"/>
      <c r="C15" s="14" t="n"/>
      <c r="D15" s="20" t="n"/>
      <c r="E15" s="14" t="n"/>
      <c r="F15" s="14" t="n"/>
      <c r="G15" s="14" t="n"/>
      <c r="H15" s="14" t="n"/>
      <c r="I15" s="14" t="n"/>
      <c r="J15" s="16">
        <f>IF(F15="",INDEX('Chart of Accounts'!$A$5:$A$3000,MATCH("bank",'Chart of Accounts'!$F$5:$F$3000,0)),F15&amp;"")</f>
        <v/>
      </c>
      <c r="K15" s="16">
        <f>IF(G15&lt;&gt;"",G15&amp;"",IF(LEFT(C15,7)="Capital",INDEX('Chart of Accounts'!$A$5:$A$3000,MATCH("capital",'Chart of Accounts'!$F$5:$F$3000,0)),INDEX('Chart of Accounts'!$A$5:$A$3000,MATCH("drawings",'Chart of Accounts'!$F$5:$F$3000,0))))</f>
        <v/>
      </c>
      <c r="L15" s="16">
        <f>IF(LEFT(C15,7)="Capital",J15,K15)</f>
        <v/>
      </c>
      <c r="M15" s="16">
        <f>IF(LEFT(C15,7)="Capital",K15,J15)</f>
        <v/>
      </c>
      <c r="N15" s="23">
        <f>IFERROR(INDEX('Chart of Accounts'!$C$5:$C$3000,MATCH(L15&amp;"",'Chart of Accounts'!$A$5:$A$3000,0))&amp;"|"&amp;INDEX('Chart of Accounts'!$D$5:$D$3000,MATCH(L15&amp;"",'Chart of Accounts'!$A$5:$A$3000,0)),"")</f>
        <v/>
      </c>
      <c r="O15" s="23">
        <f>IFERROR(INDEX('Chart of Accounts'!$C$5:$C$3000,MATCH(M15&amp;"",'Chart of Accounts'!$A$5:$A$3000,0))&amp;"|"&amp;INDEX('Chart of Accounts'!$D$5:$D$3000,MATCH(M15&amp;"",'Chart of Accounts'!$A$5:$A$3000,0)),"")</f>
        <v/>
      </c>
      <c r="P15" s="23">
        <f>IF(LEFT(N15,8)="Revenue|",-N(D15),0)+IF(LEFT(O15,8)="Revenue|",N(D15),0)</f>
        <v/>
      </c>
      <c r="Q15" s="23">
        <f>IF(LEFT(N15,5)="COGS|",N(D15),0)+IF(LEFT(O15,5)="COGS|",-N(D15),0)</f>
        <v/>
      </c>
      <c r="R15" s="23">
        <f>IF(LEFT(N15,8)="Expense|",N(D15),0)+IF(LEFT(O15,8)="Expense|",-N(D15),0)</f>
        <v/>
      </c>
      <c r="S15" s="23">
        <f>IF(ISNUMBER(MATCH(N15,{"Expense|employee","Expense|general_admin","Expense|marketing","Expense|utilities","Expense|other_operating"},0)),N(D15),0)+IF(ISNUMBER(MATCH(O15,{"Expense|employee","Expense|general_admin","Expense|marketing","Expense|utilities","Expense|other_operating"},0)),-N(D15),0)</f>
        <v/>
      </c>
      <c r="T15" s="23">
        <f>IF(N15="Liability|payable",-N(D15),0)+IF(O15="Liability|payable",N(D15),0)</f>
        <v/>
      </c>
      <c r="U15" s="23">
        <f>IF(N15="Liability|accrued",-N(D15),0)+IF(O15="Liability|accrued",N(D15),0)</f>
        <v/>
      </c>
      <c r="V15" s="23">
        <f>IF(AND(N(D15)&lt;&gt;0,N15=""),1,0)+IF(AND(N(D15)&lt;&gt;0,O15=""),1,0)</f>
        <v/>
      </c>
    </row>
    <row r="16">
      <c r="A16" s="19" t="n"/>
      <c r="B16" s="14" t="n"/>
      <c r="C16" s="14" t="n"/>
      <c r="D16" s="20" t="n"/>
      <c r="E16" s="14" t="n"/>
      <c r="F16" s="14" t="n"/>
      <c r="G16" s="14" t="n"/>
      <c r="H16" s="14" t="n"/>
      <c r="I16" s="14" t="n"/>
      <c r="J16" s="16">
        <f>IF(F16="",INDEX('Chart of Accounts'!$A$5:$A$3000,MATCH("bank",'Chart of Accounts'!$F$5:$F$3000,0)),F16&amp;"")</f>
        <v/>
      </c>
      <c r="K16" s="16">
        <f>IF(G16&lt;&gt;"",G16&amp;"",IF(LEFT(C16,7)="Capital",INDEX('Chart of Accounts'!$A$5:$A$3000,MATCH("capital",'Chart of Accounts'!$F$5:$F$3000,0)),INDEX('Chart of Accounts'!$A$5:$A$3000,MATCH("drawings",'Chart of Accounts'!$F$5:$F$3000,0))))</f>
        <v/>
      </c>
      <c r="L16" s="16">
        <f>IF(LEFT(C16,7)="Capital",J16,K16)</f>
        <v/>
      </c>
      <c r="M16" s="16">
        <f>IF(LEFT(C16,7)="Capital",K16,J16)</f>
        <v/>
      </c>
      <c r="N16" s="23">
        <f>IFERROR(INDEX('Chart of Accounts'!$C$5:$C$3000,MATCH(L16&amp;"",'Chart of Accounts'!$A$5:$A$3000,0))&amp;"|"&amp;INDEX('Chart of Accounts'!$D$5:$D$3000,MATCH(L16&amp;"",'Chart of Accounts'!$A$5:$A$3000,0)),"")</f>
        <v/>
      </c>
      <c r="O16" s="23">
        <f>IFERROR(INDEX('Chart of Accounts'!$C$5:$C$3000,MATCH(M16&amp;"",'Chart of Accounts'!$A$5:$A$3000,0))&amp;"|"&amp;INDEX('Chart of Accounts'!$D$5:$D$3000,MATCH(M16&amp;"",'Chart of Accounts'!$A$5:$A$3000,0)),"")</f>
        <v/>
      </c>
      <c r="P16" s="23">
        <f>IF(LEFT(N16,8)="Revenue|",-N(D16),0)+IF(LEFT(O16,8)="Revenue|",N(D16),0)</f>
        <v/>
      </c>
      <c r="Q16" s="23">
        <f>IF(LEFT(N16,5)="COGS|",N(D16),0)+IF(LEFT(O16,5)="COGS|",-N(D16),0)</f>
        <v/>
      </c>
      <c r="R16" s="23">
        <f>IF(LEFT(N16,8)="Expense|",N(D16),0)+IF(LEFT(O16,8)="Expense|",-N(D16),0)</f>
        <v/>
      </c>
      <c r="S16" s="23">
        <f>IF(ISNUMBER(MATCH(N16,{"Expense|employee","Expense|general_admin","Expense|marketing","Expense|utilities","Expense|other_operating"},0)),N(D16),0)+IF(ISNUMBER(MATCH(O16,{"Expense|employee","Expense|general_admin","Expense|marketing","Expense|utilities","Expense|other_operating"},0)),-N(D16),0)</f>
        <v/>
      </c>
      <c r="T16" s="23">
        <f>IF(N16="Liability|payable",-N(D16),0)+IF(O16="Liability|payable",N(D16),0)</f>
        <v/>
      </c>
      <c r="U16" s="23">
        <f>IF(N16="Liability|accrued",-N(D16),0)+IF(O16="Liability|accrued",N(D16),0)</f>
        <v/>
      </c>
      <c r="V16" s="23">
        <f>IF(AND(N(D16)&lt;&gt;0,N16=""),1,0)+IF(AND(N(D16)&lt;&gt;0,O16=""),1,0)</f>
        <v/>
      </c>
    </row>
    <row r="17">
      <c r="A17" s="19" t="n"/>
      <c r="B17" s="14" t="n"/>
      <c r="C17" s="14" t="n"/>
      <c r="D17" s="20" t="n"/>
      <c r="E17" s="14" t="n"/>
      <c r="F17" s="14" t="n"/>
      <c r="G17" s="14" t="n"/>
      <c r="H17" s="14" t="n"/>
      <c r="I17" s="14" t="n"/>
      <c r="J17" s="16">
        <f>IF(F17="",INDEX('Chart of Accounts'!$A$5:$A$3000,MATCH("bank",'Chart of Accounts'!$F$5:$F$3000,0)),F17&amp;"")</f>
        <v/>
      </c>
      <c r="K17" s="16">
        <f>IF(G17&lt;&gt;"",G17&amp;"",IF(LEFT(C17,7)="Capital",INDEX('Chart of Accounts'!$A$5:$A$3000,MATCH("capital",'Chart of Accounts'!$F$5:$F$3000,0)),INDEX('Chart of Accounts'!$A$5:$A$3000,MATCH("drawings",'Chart of Accounts'!$F$5:$F$3000,0))))</f>
        <v/>
      </c>
      <c r="L17" s="16">
        <f>IF(LEFT(C17,7)="Capital",J17,K17)</f>
        <v/>
      </c>
      <c r="M17" s="16">
        <f>IF(LEFT(C17,7)="Capital",K17,J17)</f>
        <v/>
      </c>
      <c r="N17" s="23">
        <f>IFERROR(INDEX('Chart of Accounts'!$C$5:$C$3000,MATCH(L17&amp;"",'Chart of Accounts'!$A$5:$A$3000,0))&amp;"|"&amp;INDEX('Chart of Accounts'!$D$5:$D$3000,MATCH(L17&amp;"",'Chart of Accounts'!$A$5:$A$3000,0)),"")</f>
        <v/>
      </c>
      <c r="O17" s="23">
        <f>IFERROR(INDEX('Chart of Accounts'!$C$5:$C$3000,MATCH(M17&amp;"",'Chart of Accounts'!$A$5:$A$3000,0))&amp;"|"&amp;INDEX('Chart of Accounts'!$D$5:$D$3000,MATCH(M17&amp;"",'Chart of Accounts'!$A$5:$A$3000,0)),"")</f>
        <v/>
      </c>
      <c r="P17" s="23">
        <f>IF(LEFT(N17,8)="Revenue|",-N(D17),0)+IF(LEFT(O17,8)="Revenue|",N(D17),0)</f>
        <v/>
      </c>
      <c r="Q17" s="23">
        <f>IF(LEFT(N17,5)="COGS|",N(D17),0)+IF(LEFT(O17,5)="COGS|",-N(D17),0)</f>
        <v/>
      </c>
      <c r="R17" s="23">
        <f>IF(LEFT(N17,8)="Expense|",N(D17),0)+IF(LEFT(O17,8)="Expense|",-N(D17),0)</f>
        <v/>
      </c>
      <c r="S17" s="23">
        <f>IF(ISNUMBER(MATCH(N17,{"Expense|employee","Expense|general_admin","Expense|marketing","Expense|utilities","Expense|other_operating"},0)),N(D17),0)+IF(ISNUMBER(MATCH(O17,{"Expense|employee","Expense|general_admin","Expense|marketing","Expense|utilities","Expense|other_operating"},0)),-N(D17),0)</f>
        <v/>
      </c>
      <c r="T17" s="23">
        <f>IF(N17="Liability|payable",-N(D17),0)+IF(O17="Liability|payable",N(D17),0)</f>
        <v/>
      </c>
      <c r="U17" s="23">
        <f>IF(N17="Liability|accrued",-N(D17),0)+IF(O17="Liability|accrued",N(D17),0)</f>
        <v/>
      </c>
      <c r="V17" s="23">
        <f>IF(AND(N(D17)&lt;&gt;0,N17=""),1,0)+IF(AND(N(D17)&lt;&gt;0,O17=""),1,0)</f>
        <v/>
      </c>
    </row>
    <row r="18">
      <c r="A18" s="19" t="n"/>
      <c r="B18" s="14" t="n"/>
      <c r="C18" s="14" t="n"/>
      <c r="D18" s="20" t="n"/>
      <c r="E18" s="14" t="n"/>
      <c r="F18" s="14" t="n"/>
      <c r="G18" s="14" t="n"/>
      <c r="H18" s="14" t="n"/>
      <c r="I18" s="14" t="n"/>
      <c r="J18" s="16">
        <f>IF(F18="",INDEX('Chart of Accounts'!$A$5:$A$3000,MATCH("bank",'Chart of Accounts'!$F$5:$F$3000,0)),F18&amp;"")</f>
        <v/>
      </c>
      <c r="K18" s="16">
        <f>IF(G18&lt;&gt;"",G18&amp;"",IF(LEFT(C18,7)="Capital",INDEX('Chart of Accounts'!$A$5:$A$3000,MATCH("capital",'Chart of Accounts'!$F$5:$F$3000,0)),INDEX('Chart of Accounts'!$A$5:$A$3000,MATCH("drawings",'Chart of Accounts'!$F$5:$F$3000,0))))</f>
        <v/>
      </c>
      <c r="L18" s="16">
        <f>IF(LEFT(C18,7)="Capital",J18,K18)</f>
        <v/>
      </c>
      <c r="M18" s="16">
        <f>IF(LEFT(C18,7)="Capital",K18,J18)</f>
        <v/>
      </c>
      <c r="N18" s="23">
        <f>IFERROR(INDEX('Chart of Accounts'!$C$5:$C$3000,MATCH(L18&amp;"",'Chart of Accounts'!$A$5:$A$3000,0))&amp;"|"&amp;INDEX('Chart of Accounts'!$D$5:$D$3000,MATCH(L18&amp;"",'Chart of Accounts'!$A$5:$A$3000,0)),"")</f>
        <v/>
      </c>
      <c r="O18" s="23">
        <f>IFERROR(INDEX('Chart of Accounts'!$C$5:$C$3000,MATCH(M18&amp;"",'Chart of Accounts'!$A$5:$A$3000,0))&amp;"|"&amp;INDEX('Chart of Accounts'!$D$5:$D$3000,MATCH(M18&amp;"",'Chart of Accounts'!$A$5:$A$3000,0)),"")</f>
        <v/>
      </c>
      <c r="P18" s="23">
        <f>IF(LEFT(N18,8)="Revenue|",-N(D18),0)+IF(LEFT(O18,8)="Revenue|",N(D18),0)</f>
        <v/>
      </c>
      <c r="Q18" s="23">
        <f>IF(LEFT(N18,5)="COGS|",N(D18),0)+IF(LEFT(O18,5)="COGS|",-N(D18),0)</f>
        <v/>
      </c>
      <c r="R18" s="23">
        <f>IF(LEFT(N18,8)="Expense|",N(D18),0)+IF(LEFT(O18,8)="Expense|",-N(D18),0)</f>
        <v/>
      </c>
      <c r="S18" s="23">
        <f>IF(ISNUMBER(MATCH(N18,{"Expense|employee","Expense|general_admin","Expense|marketing","Expense|utilities","Expense|other_operating"},0)),N(D18),0)+IF(ISNUMBER(MATCH(O18,{"Expense|employee","Expense|general_admin","Expense|marketing","Expense|utilities","Expense|other_operating"},0)),-N(D18),0)</f>
        <v/>
      </c>
      <c r="T18" s="23">
        <f>IF(N18="Liability|payable",-N(D18),0)+IF(O18="Liability|payable",N(D18),0)</f>
        <v/>
      </c>
      <c r="U18" s="23">
        <f>IF(N18="Liability|accrued",-N(D18),0)+IF(O18="Liability|accrued",N(D18),0)</f>
        <v/>
      </c>
      <c r="V18" s="23">
        <f>IF(AND(N(D18)&lt;&gt;0,N18=""),1,0)+IF(AND(N(D18)&lt;&gt;0,O18=""),1,0)</f>
        <v/>
      </c>
    </row>
    <row r="19">
      <c r="A19" s="19" t="n"/>
      <c r="B19" s="14" t="n"/>
      <c r="C19" s="14" t="n"/>
      <c r="D19" s="20" t="n"/>
      <c r="E19" s="14" t="n"/>
      <c r="F19" s="14" t="n"/>
      <c r="G19" s="14" t="n"/>
      <c r="H19" s="14" t="n"/>
      <c r="I19" s="14" t="n"/>
      <c r="J19" s="16">
        <f>IF(F19="",INDEX('Chart of Accounts'!$A$5:$A$3000,MATCH("bank",'Chart of Accounts'!$F$5:$F$3000,0)),F19&amp;"")</f>
        <v/>
      </c>
      <c r="K19" s="16">
        <f>IF(G19&lt;&gt;"",G19&amp;"",IF(LEFT(C19,7)="Capital",INDEX('Chart of Accounts'!$A$5:$A$3000,MATCH("capital",'Chart of Accounts'!$F$5:$F$3000,0)),INDEX('Chart of Accounts'!$A$5:$A$3000,MATCH("drawings",'Chart of Accounts'!$F$5:$F$3000,0))))</f>
        <v/>
      </c>
      <c r="L19" s="16">
        <f>IF(LEFT(C19,7)="Capital",J19,K19)</f>
        <v/>
      </c>
      <c r="M19" s="16">
        <f>IF(LEFT(C19,7)="Capital",K19,J19)</f>
        <v/>
      </c>
      <c r="N19" s="23">
        <f>IFERROR(INDEX('Chart of Accounts'!$C$5:$C$3000,MATCH(L19&amp;"",'Chart of Accounts'!$A$5:$A$3000,0))&amp;"|"&amp;INDEX('Chart of Accounts'!$D$5:$D$3000,MATCH(L19&amp;"",'Chart of Accounts'!$A$5:$A$3000,0)),"")</f>
        <v/>
      </c>
      <c r="O19" s="23">
        <f>IFERROR(INDEX('Chart of Accounts'!$C$5:$C$3000,MATCH(M19&amp;"",'Chart of Accounts'!$A$5:$A$3000,0))&amp;"|"&amp;INDEX('Chart of Accounts'!$D$5:$D$3000,MATCH(M19&amp;"",'Chart of Accounts'!$A$5:$A$3000,0)),"")</f>
        <v/>
      </c>
      <c r="P19" s="23">
        <f>IF(LEFT(N19,8)="Revenue|",-N(D19),0)+IF(LEFT(O19,8)="Revenue|",N(D19),0)</f>
        <v/>
      </c>
      <c r="Q19" s="23">
        <f>IF(LEFT(N19,5)="COGS|",N(D19),0)+IF(LEFT(O19,5)="COGS|",-N(D19),0)</f>
        <v/>
      </c>
      <c r="R19" s="23">
        <f>IF(LEFT(N19,8)="Expense|",N(D19),0)+IF(LEFT(O19,8)="Expense|",-N(D19),0)</f>
        <v/>
      </c>
      <c r="S19" s="23">
        <f>IF(ISNUMBER(MATCH(N19,{"Expense|employee","Expense|general_admin","Expense|marketing","Expense|utilities","Expense|other_operating"},0)),N(D19),0)+IF(ISNUMBER(MATCH(O19,{"Expense|employee","Expense|general_admin","Expense|marketing","Expense|utilities","Expense|other_operating"},0)),-N(D19),0)</f>
        <v/>
      </c>
      <c r="T19" s="23">
        <f>IF(N19="Liability|payable",-N(D19),0)+IF(O19="Liability|payable",N(D19),0)</f>
        <v/>
      </c>
      <c r="U19" s="23">
        <f>IF(N19="Liability|accrued",-N(D19),0)+IF(O19="Liability|accrued",N(D19),0)</f>
        <v/>
      </c>
      <c r="V19" s="23">
        <f>IF(AND(N(D19)&lt;&gt;0,N19=""),1,0)+IF(AND(N(D19)&lt;&gt;0,O19=""),1,0)</f>
        <v/>
      </c>
    </row>
    <row r="20">
      <c r="A20" s="19" t="n"/>
      <c r="B20" s="14" t="n"/>
      <c r="C20" s="14" t="n"/>
      <c r="D20" s="20" t="n"/>
      <c r="E20" s="14" t="n"/>
      <c r="F20" s="14" t="n"/>
      <c r="G20" s="14" t="n"/>
      <c r="H20" s="14" t="n"/>
      <c r="I20" s="14" t="n"/>
      <c r="J20" s="16">
        <f>IF(F20="",INDEX('Chart of Accounts'!$A$5:$A$3000,MATCH("bank",'Chart of Accounts'!$F$5:$F$3000,0)),F20&amp;"")</f>
        <v/>
      </c>
      <c r="K20" s="16">
        <f>IF(G20&lt;&gt;"",G20&amp;"",IF(LEFT(C20,7)="Capital",INDEX('Chart of Accounts'!$A$5:$A$3000,MATCH("capital",'Chart of Accounts'!$F$5:$F$3000,0)),INDEX('Chart of Accounts'!$A$5:$A$3000,MATCH("drawings",'Chart of Accounts'!$F$5:$F$3000,0))))</f>
        <v/>
      </c>
      <c r="L20" s="16">
        <f>IF(LEFT(C20,7)="Capital",J20,K20)</f>
        <v/>
      </c>
      <c r="M20" s="16">
        <f>IF(LEFT(C20,7)="Capital",K20,J20)</f>
        <v/>
      </c>
      <c r="N20" s="23">
        <f>IFERROR(INDEX('Chart of Accounts'!$C$5:$C$3000,MATCH(L20&amp;"",'Chart of Accounts'!$A$5:$A$3000,0))&amp;"|"&amp;INDEX('Chart of Accounts'!$D$5:$D$3000,MATCH(L20&amp;"",'Chart of Accounts'!$A$5:$A$3000,0)),"")</f>
        <v/>
      </c>
      <c r="O20" s="23">
        <f>IFERROR(INDEX('Chart of Accounts'!$C$5:$C$3000,MATCH(M20&amp;"",'Chart of Accounts'!$A$5:$A$3000,0))&amp;"|"&amp;INDEX('Chart of Accounts'!$D$5:$D$3000,MATCH(M20&amp;"",'Chart of Accounts'!$A$5:$A$3000,0)),"")</f>
        <v/>
      </c>
      <c r="P20" s="23">
        <f>IF(LEFT(N20,8)="Revenue|",-N(D20),0)+IF(LEFT(O20,8)="Revenue|",N(D20),0)</f>
        <v/>
      </c>
      <c r="Q20" s="23">
        <f>IF(LEFT(N20,5)="COGS|",N(D20),0)+IF(LEFT(O20,5)="COGS|",-N(D20),0)</f>
        <v/>
      </c>
      <c r="R20" s="23">
        <f>IF(LEFT(N20,8)="Expense|",N(D20),0)+IF(LEFT(O20,8)="Expense|",-N(D20),0)</f>
        <v/>
      </c>
      <c r="S20" s="23">
        <f>IF(ISNUMBER(MATCH(N20,{"Expense|employee","Expense|general_admin","Expense|marketing","Expense|utilities","Expense|other_operating"},0)),N(D20),0)+IF(ISNUMBER(MATCH(O20,{"Expense|employee","Expense|general_admin","Expense|marketing","Expense|utilities","Expense|other_operating"},0)),-N(D20),0)</f>
        <v/>
      </c>
      <c r="T20" s="23">
        <f>IF(N20="Liability|payable",-N(D20),0)+IF(O20="Liability|payable",N(D20),0)</f>
        <v/>
      </c>
      <c r="U20" s="23">
        <f>IF(N20="Liability|accrued",-N(D20),0)+IF(O20="Liability|accrued",N(D20),0)</f>
        <v/>
      </c>
      <c r="V20" s="23">
        <f>IF(AND(N(D20)&lt;&gt;0,N20=""),1,0)+IF(AND(N(D20)&lt;&gt;0,O20=""),1,0)</f>
        <v/>
      </c>
    </row>
    <row r="21">
      <c r="A21" s="19" t="n"/>
      <c r="B21" s="14" t="n"/>
      <c r="C21" s="14" t="n"/>
      <c r="D21" s="20" t="n"/>
      <c r="E21" s="14" t="n"/>
      <c r="F21" s="14" t="n"/>
      <c r="G21" s="14" t="n"/>
      <c r="H21" s="14" t="n"/>
      <c r="I21" s="14" t="n"/>
      <c r="J21" s="16">
        <f>IF(F21="",INDEX('Chart of Accounts'!$A$5:$A$3000,MATCH("bank",'Chart of Accounts'!$F$5:$F$3000,0)),F21&amp;"")</f>
        <v/>
      </c>
      <c r="K21" s="16">
        <f>IF(G21&lt;&gt;"",G21&amp;"",IF(LEFT(C21,7)="Capital",INDEX('Chart of Accounts'!$A$5:$A$3000,MATCH("capital",'Chart of Accounts'!$F$5:$F$3000,0)),INDEX('Chart of Accounts'!$A$5:$A$3000,MATCH("drawings",'Chart of Accounts'!$F$5:$F$3000,0))))</f>
        <v/>
      </c>
      <c r="L21" s="16">
        <f>IF(LEFT(C21,7)="Capital",J21,K21)</f>
        <v/>
      </c>
      <c r="M21" s="16">
        <f>IF(LEFT(C21,7)="Capital",K21,J21)</f>
        <v/>
      </c>
      <c r="N21" s="23">
        <f>IFERROR(INDEX('Chart of Accounts'!$C$5:$C$3000,MATCH(L21&amp;"",'Chart of Accounts'!$A$5:$A$3000,0))&amp;"|"&amp;INDEX('Chart of Accounts'!$D$5:$D$3000,MATCH(L21&amp;"",'Chart of Accounts'!$A$5:$A$3000,0)),"")</f>
        <v/>
      </c>
      <c r="O21" s="23">
        <f>IFERROR(INDEX('Chart of Accounts'!$C$5:$C$3000,MATCH(M21&amp;"",'Chart of Accounts'!$A$5:$A$3000,0))&amp;"|"&amp;INDEX('Chart of Accounts'!$D$5:$D$3000,MATCH(M21&amp;"",'Chart of Accounts'!$A$5:$A$3000,0)),"")</f>
        <v/>
      </c>
      <c r="P21" s="23">
        <f>IF(LEFT(N21,8)="Revenue|",-N(D21),0)+IF(LEFT(O21,8)="Revenue|",N(D21),0)</f>
        <v/>
      </c>
      <c r="Q21" s="23">
        <f>IF(LEFT(N21,5)="COGS|",N(D21),0)+IF(LEFT(O21,5)="COGS|",-N(D21),0)</f>
        <v/>
      </c>
      <c r="R21" s="23">
        <f>IF(LEFT(N21,8)="Expense|",N(D21),0)+IF(LEFT(O21,8)="Expense|",-N(D21),0)</f>
        <v/>
      </c>
      <c r="S21" s="23">
        <f>IF(ISNUMBER(MATCH(N21,{"Expense|employee","Expense|general_admin","Expense|marketing","Expense|utilities","Expense|other_operating"},0)),N(D21),0)+IF(ISNUMBER(MATCH(O21,{"Expense|employee","Expense|general_admin","Expense|marketing","Expense|utilities","Expense|other_operating"},0)),-N(D21),0)</f>
        <v/>
      </c>
      <c r="T21" s="23">
        <f>IF(N21="Liability|payable",-N(D21),0)+IF(O21="Liability|payable",N(D21),0)</f>
        <v/>
      </c>
      <c r="U21" s="23">
        <f>IF(N21="Liability|accrued",-N(D21),0)+IF(O21="Liability|accrued",N(D21),0)</f>
        <v/>
      </c>
      <c r="V21" s="23">
        <f>IF(AND(N(D21)&lt;&gt;0,N21=""),1,0)+IF(AND(N(D21)&lt;&gt;0,O21=""),1,0)</f>
        <v/>
      </c>
    </row>
    <row r="22">
      <c r="A22" s="19" t="n"/>
      <c r="B22" s="14" t="n"/>
      <c r="C22" s="14" t="n"/>
      <c r="D22" s="20" t="n"/>
      <c r="E22" s="14" t="n"/>
      <c r="F22" s="14" t="n"/>
      <c r="G22" s="14" t="n"/>
      <c r="H22" s="14" t="n"/>
      <c r="I22" s="14" t="n"/>
      <c r="J22" s="16">
        <f>IF(F22="",INDEX('Chart of Accounts'!$A$5:$A$3000,MATCH("bank",'Chart of Accounts'!$F$5:$F$3000,0)),F22&amp;"")</f>
        <v/>
      </c>
      <c r="K22" s="16">
        <f>IF(G22&lt;&gt;"",G22&amp;"",IF(LEFT(C22,7)="Capital",INDEX('Chart of Accounts'!$A$5:$A$3000,MATCH("capital",'Chart of Accounts'!$F$5:$F$3000,0)),INDEX('Chart of Accounts'!$A$5:$A$3000,MATCH("drawings",'Chart of Accounts'!$F$5:$F$3000,0))))</f>
        <v/>
      </c>
      <c r="L22" s="16">
        <f>IF(LEFT(C22,7)="Capital",J22,K22)</f>
        <v/>
      </c>
      <c r="M22" s="16">
        <f>IF(LEFT(C22,7)="Capital",K22,J22)</f>
        <v/>
      </c>
      <c r="N22" s="23">
        <f>IFERROR(INDEX('Chart of Accounts'!$C$5:$C$3000,MATCH(L22&amp;"",'Chart of Accounts'!$A$5:$A$3000,0))&amp;"|"&amp;INDEX('Chart of Accounts'!$D$5:$D$3000,MATCH(L22&amp;"",'Chart of Accounts'!$A$5:$A$3000,0)),"")</f>
        <v/>
      </c>
      <c r="O22" s="23">
        <f>IFERROR(INDEX('Chart of Accounts'!$C$5:$C$3000,MATCH(M22&amp;"",'Chart of Accounts'!$A$5:$A$3000,0))&amp;"|"&amp;INDEX('Chart of Accounts'!$D$5:$D$3000,MATCH(M22&amp;"",'Chart of Accounts'!$A$5:$A$3000,0)),"")</f>
        <v/>
      </c>
      <c r="P22" s="23">
        <f>IF(LEFT(N22,8)="Revenue|",-N(D22),0)+IF(LEFT(O22,8)="Revenue|",N(D22),0)</f>
        <v/>
      </c>
      <c r="Q22" s="23">
        <f>IF(LEFT(N22,5)="COGS|",N(D22),0)+IF(LEFT(O22,5)="COGS|",-N(D22),0)</f>
        <v/>
      </c>
      <c r="R22" s="23">
        <f>IF(LEFT(N22,8)="Expense|",N(D22),0)+IF(LEFT(O22,8)="Expense|",-N(D22),0)</f>
        <v/>
      </c>
      <c r="S22" s="23">
        <f>IF(ISNUMBER(MATCH(N22,{"Expense|employee","Expense|general_admin","Expense|marketing","Expense|utilities","Expense|other_operating"},0)),N(D22),0)+IF(ISNUMBER(MATCH(O22,{"Expense|employee","Expense|general_admin","Expense|marketing","Expense|utilities","Expense|other_operating"},0)),-N(D22),0)</f>
        <v/>
      </c>
      <c r="T22" s="23">
        <f>IF(N22="Liability|payable",-N(D22),0)+IF(O22="Liability|payable",N(D22),0)</f>
        <v/>
      </c>
      <c r="U22" s="23">
        <f>IF(N22="Liability|accrued",-N(D22),0)+IF(O22="Liability|accrued",N(D22),0)</f>
        <v/>
      </c>
      <c r="V22" s="23">
        <f>IF(AND(N(D22)&lt;&gt;0,N22=""),1,0)+IF(AND(N(D22)&lt;&gt;0,O22=""),1,0)</f>
        <v/>
      </c>
    </row>
    <row r="23">
      <c r="A23" s="19" t="n"/>
      <c r="B23" s="14" t="n"/>
      <c r="C23" s="14" t="n"/>
      <c r="D23" s="20" t="n"/>
      <c r="E23" s="14" t="n"/>
      <c r="F23" s="14" t="n"/>
      <c r="G23" s="14" t="n"/>
      <c r="H23" s="14" t="n"/>
      <c r="I23" s="14" t="n"/>
      <c r="J23" s="16">
        <f>IF(F23="",INDEX('Chart of Accounts'!$A$5:$A$3000,MATCH("bank",'Chart of Accounts'!$F$5:$F$3000,0)),F23&amp;"")</f>
        <v/>
      </c>
      <c r="K23" s="16">
        <f>IF(G23&lt;&gt;"",G23&amp;"",IF(LEFT(C23,7)="Capital",INDEX('Chart of Accounts'!$A$5:$A$3000,MATCH("capital",'Chart of Accounts'!$F$5:$F$3000,0)),INDEX('Chart of Accounts'!$A$5:$A$3000,MATCH("drawings",'Chart of Accounts'!$F$5:$F$3000,0))))</f>
        <v/>
      </c>
      <c r="L23" s="16">
        <f>IF(LEFT(C23,7)="Capital",J23,K23)</f>
        <v/>
      </c>
      <c r="M23" s="16">
        <f>IF(LEFT(C23,7)="Capital",K23,J23)</f>
        <v/>
      </c>
      <c r="N23" s="23">
        <f>IFERROR(INDEX('Chart of Accounts'!$C$5:$C$3000,MATCH(L23&amp;"",'Chart of Accounts'!$A$5:$A$3000,0))&amp;"|"&amp;INDEX('Chart of Accounts'!$D$5:$D$3000,MATCH(L23&amp;"",'Chart of Accounts'!$A$5:$A$3000,0)),"")</f>
        <v/>
      </c>
      <c r="O23" s="23">
        <f>IFERROR(INDEX('Chart of Accounts'!$C$5:$C$3000,MATCH(M23&amp;"",'Chart of Accounts'!$A$5:$A$3000,0))&amp;"|"&amp;INDEX('Chart of Accounts'!$D$5:$D$3000,MATCH(M23&amp;"",'Chart of Accounts'!$A$5:$A$3000,0)),"")</f>
        <v/>
      </c>
      <c r="P23" s="23">
        <f>IF(LEFT(N23,8)="Revenue|",-N(D23),0)+IF(LEFT(O23,8)="Revenue|",N(D23),0)</f>
        <v/>
      </c>
      <c r="Q23" s="23">
        <f>IF(LEFT(N23,5)="COGS|",N(D23),0)+IF(LEFT(O23,5)="COGS|",-N(D23),0)</f>
        <v/>
      </c>
      <c r="R23" s="23">
        <f>IF(LEFT(N23,8)="Expense|",N(D23),0)+IF(LEFT(O23,8)="Expense|",-N(D23),0)</f>
        <v/>
      </c>
      <c r="S23" s="23">
        <f>IF(ISNUMBER(MATCH(N23,{"Expense|employee","Expense|general_admin","Expense|marketing","Expense|utilities","Expense|other_operating"},0)),N(D23),0)+IF(ISNUMBER(MATCH(O23,{"Expense|employee","Expense|general_admin","Expense|marketing","Expense|utilities","Expense|other_operating"},0)),-N(D23),0)</f>
        <v/>
      </c>
      <c r="T23" s="23">
        <f>IF(N23="Liability|payable",-N(D23),0)+IF(O23="Liability|payable",N(D23),0)</f>
        <v/>
      </c>
      <c r="U23" s="23">
        <f>IF(N23="Liability|accrued",-N(D23),0)+IF(O23="Liability|accrued",N(D23),0)</f>
        <v/>
      </c>
      <c r="V23" s="23">
        <f>IF(AND(N(D23)&lt;&gt;0,N23=""),1,0)+IF(AND(N(D23)&lt;&gt;0,O23=""),1,0)</f>
        <v/>
      </c>
    </row>
    <row r="24">
      <c r="A24" s="19" t="n"/>
      <c r="B24" s="14" t="n"/>
      <c r="C24" s="14" t="n"/>
      <c r="D24" s="20" t="n"/>
      <c r="E24" s="14" t="n"/>
      <c r="F24" s="14" t="n"/>
      <c r="G24" s="14" t="n"/>
      <c r="H24" s="14" t="n"/>
      <c r="I24" s="14" t="n"/>
      <c r="J24" s="16">
        <f>IF(F24="",INDEX('Chart of Accounts'!$A$5:$A$3000,MATCH("bank",'Chart of Accounts'!$F$5:$F$3000,0)),F24&amp;"")</f>
        <v/>
      </c>
      <c r="K24" s="16">
        <f>IF(G24&lt;&gt;"",G24&amp;"",IF(LEFT(C24,7)="Capital",INDEX('Chart of Accounts'!$A$5:$A$3000,MATCH("capital",'Chart of Accounts'!$F$5:$F$3000,0)),INDEX('Chart of Accounts'!$A$5:$A$3000,MATCH("drawings",'Chart of Accounts'!$F$5:$F$3000,0))))</f>
        <v/>
      </c>
      <c r="L24" s="16">
        <f>IF(LEFT(C24,7)="Capital",J24,K24)</f>
        <v/>
      </c>
      <c r="M24" s="16">
        <f>IF(LEFT(C24,7)="Capital",K24,J24)</f>
        <v/>
      </c>
      <c r="N24" s="23">
        <f>IFERROR(INDEX('Chart of Accounts'!$C$5:$C$3000,MATCH(L24&amp;"",'Chart of Accounts'!$A$5:$A$3000,0))&amp;"|"&amp;INDEX('Chart of Accounts'!$D$5:$D$3000,MATCH(L24&amp;"",'Chart of Accounts'!$A$5:$A$3000,0)),"")</f>
        <v/>
      </c>
      <c r="O24" s="23">
        <f>IFERROR(INDEX('Chart of Accounts'!$C$5:$C$3000,MATCH(M24&amp;"",'Chart of Accounts'!$A$5:$A$3000,0))&amp;"|"&amp;INDEX('Chart of Accounts'!$D$5:$D$3000,MATCH(M24&amp;"",'Chart of Accounts'!$A$5:$A$3000,0)),"")</f>
        <v/>
      </c>
      <c r="P24" s="23">
        <f>IF(LEFT(N24,8)="Revenue|",-N(D24),0)+IF(LEFT(O24,8)="Revenue|",N(D24),0)</f>
        <v/>
      </c>
      <c r="Q24" s="23">
        <f>IF(LEFT(N24,5)="COGS|",N(D24),0)+IF(LEFT(O24,5)="COGS|",-N(D24),0)</f>
        <v/>
      </c>
      <c r="R24" s="23">
        <f>IF(LEFT(N24,8)="Expense|",N(D24),0)+IF(LEFT(O24,8)="Expense|",-N(D24),0)</f>
        <v/>
      </c>
      <c r="S24" s="23">
        <f>IF(ISNUMBER(MATCH(N24,{"Expense|employee","Expense|general_admin","Expense|marketing","Expense|utilities","Expense|other_operating"},0)),N(D24),0)+IF(ISNUMBER(MATCH(O24,{"Expense|employee","Expense|general_admin","Expense|marketing","Expense|utilities","Expense|other_operating"},0)),-N(D24),0)</f>
        <v/>
      </c>
      <c r="T24" s="23">
        <f>IF(N24="Liability|payable",-N(D24),0)+IF(O24="Liability|payable",N(D24),0)</f>
        <v/>
      </c>
      <c r="U24" s="23">
        <f>IF(N24="Liability|accrued",-N(D24),0)+IF(O24="Liability|accrued",N(D24),0)</f>
        <v/>
      </c>
      <c r="V24" s="23">
        <f>IF(AND(N(D24)&lt;&gt;0,N24=""),1,0)+IF(AND(N(D24)&lt;&gt;0,O24=""),1,0)</f>
        <v/>
      </c>
    </row>
    <row r="25">
      <c r="A25" s="19" t="n"/>
      <c r="B25" s="14" t="n"/>
      <c r="C25" s="14" t="n"/>
      <c r="D25" s="20" t="n"/>
      <c r="E25" s="14" t="n"/>
      <c r="F25" s="14" t="n"/>
      <c r="G25" s="14" t="n"/>
      <c r="H25" s="14" t="n"/>
      <c r="I25" s="14" t="n"/>
      <c r="J25" s="16">
        <f>IF(F25="",INDEX('Chart of Accounts'!$A$5:$A$3000,MATCH("bank",'Chart of Accounts'!$F$5:$F$3000,0)),F25&amp;"")</f>
        <v/>
      </c>
      <c r="K25" s="16">
        <f>IF(G25&lt;&gt;"",G25&amp;"",IF(LEFT(C25,7)="Capital",INDEX('Chart of Accounts'!$A$5:$A$3000,MATCH("capital",'Chart of Accounts'!$F$5:$F$3000,0)),INDEX('Chart of Accounts'!$A$5:$A$3000,MATCH("drawings",'Chart of Accounts'!$F$5:$F$3000,0))))</f>
        <v/>
      </c>
      <c r="L25" s="16">
        <f>IF(LEFT(C25,7)="Capital",J25,K25)</f>
        <v/>
      </c>
      <c r="M25" s="16">
        <f>IF(LEFT(C25,7)="Capital",K25,J25)</f>
        <v/>
      </c>
      <c r="N25" s="23">
        <f>IFERROR(INDEX('Chart of Accounts'!$C$5:$C$3000,MATCH(L25&amp;"",'Chart of Accounts'!$A$5:$A$3000,0))&amp;"|"&amp;INDEX('Chart of Accounts'!$D$5:$D$3000,MATCH(L25&amp;"",'Chart of Accounts'!$A$5:$A$3000,0)),"")</f>
        <v/>
      </c>
      <c r="O25" s="23">
        <f>IFERROR(INDEX('Chart of Accounts'!$C$5:$C$3000,MATCH(M25&amp;"",'Chart of Accounts'!$A$5:$A$3000,0))&amp;"|"&amp;INDEX('Chart of Accounts'!$D$5:$D$3000,MATCH(M25&amp;"",'Chart of Accounts'!$A$5:$A$3000,0)),"")</f>
        <v/>
      </c>
      <c r="P25" s="23">
        <f>IF(LEFT(N25,8)="Revenue|",-N(D25),0)+IF(LEFT(O25,8)="Revenue|",N(D25),0)</f>
        <v/>
      </c>
      <c r="Q25" s="23">
        <f>IF(LEFT(N25,5)="COGS|",N(D25),0)+IF(LEFT(O25,5)="COGS|",-N(D25),0)</f>
        <v/>
      </c>
      <c r="R25" s="23">
        <f>IF(LEFT(N25,8)="Expense|",N(D25),0)+IF(LEFT(O25,8)="Expense|",-N(D25),0)</f>
        <v/>
      </c>
      <c r="S25" s="23">
        <f>IF(ISNUMBER(MATCH(N25,{"Expense|employee","Expense|general_admin","Expense|marketing","Expense|utilities","Expense|other_operating"},0)),N(D25),0)+IF(ISNUMBER(MATCH(O25,{"Expense|employee","Expense|general_admin","Expense|marketing","Expense|utilities","Expense|other_operating"},0)),-N(D25),0)</f>
        <v/>
      </c>
      <c r="T25" s="23">
        <f>IF(N25="Liability|payable",-N(D25),0)+IF(O25="Liability|payable",N(D25),0)</f>
        <v/>
      </c>
      <c r="U25" s="23">
        <f>IF(N25="Liability|accrued",-N(D25),0)+IF(O25="Liability|accrued",N(D25),0)</f>
        <v/>
      </c>
      <c r="V25" s="23">
        <f>IF(AND(N(D25)&lt;&gt;0,N25=""),1,0)+IF(AND(N(D25)&lt;&gt;0,O25=""),1,0)</f>
        <v/>
      </c>
    </row>
    <row r="26">
      <c r="A26" s="19" t="n"/>
      <c r="B26" s="14" t="n"/>
      <c r="C26" s="14" t="n"/>
      <c r="D26" s="20" t="n"/>
      <c r="E26" s="14" t="n"/>
      <c r="F26" s="14" t="n"/>
      <c r="G26" s="14" t="n"/>
      <c r="H26" s="14" t="n"/>
      <c r="I26" s="14" t="n"/>
      <c r="J26" s="16">
        <f>IF(F26="",INDEX('Chart of Accounts'!$A$5:$A$3000,MATCH("bank",'Chart of Accounts'!$F$5:$F$3000,0)),F26&amp;"")</f>
        <v/>
      </c>
      <c r="K26" s="16">
        <f>IF(G26&lt;&gt;"",G26&amp;"",IF(LEFT(C26,7)="Capital",INDEX('Chart of Accounts'!$A$5:$A$3000,MATCH("capital",'Chart of Accounts'!$F$5:$F$3000,0)),INDEX('Chart of Accounts'!$A$5:$A$3000,MATCH("drawings",'Chart of Accounts'!$F$5:$F$3000,0))))</f>
        <v/>
      </c>
      <c r="L26" s="16">
        <f>IF(LEFT(C26,7)="Capital",J26,K26)</f>
        <v/>
      </c>
      <c r="M26" s="16">
        <f>IF(LEFT(C26,7)="Capital",K26,J26)</f>
        <v/>
      </c>
      <c r="N26" s="23">
        <f>IFERROR(INDEX('Chart of Accounts'!$C$5:$C$3000,MATCH(L26&amp;"",'Chart of Accounts'!$A$5:$A$3000,0))&amp;"|"&amp;INDEX('Chart of Accounts'!$D$5:$D$3000,MATCH(L26&amp;"",'Chart of Accounts'!$A$5:$A$3000,0)),"")</f>
        <v/>
      </c>
      <c r="O26" s="23">
        <f>IFERROR(INDEX('Chart of Accounts'!$C$5:$C$3000,MATCH(M26&amp;"",'Chart of Accounts'!$A$5:$A$3000,0))&amp;"|"&amp;INDEX('Chart of Accounts'!$D$5:$D$3000,MATCH(M26&amp;"",'Chart of Accounts'!$A$5:$A$3000,0)),"")</f>
        <v/>
      </c>
      <c r="P26" s="23">
        <f>IF(LEFT(N26,8)="Revenue|",-N(D26),0)+IF(LEFT(O26,8)="Revenue|",N(D26),0)</f>
        <v/>
      </c>
      <c r="Q26" s="23">
        <f>IF(LEFT(N26,5)="COGS|",N(D26),0)+IF(LEFT(O26,5)="COGS|",-N(D26),0)</f>
        <v/>
      </c>
      <c r="R26" s="23">
        <f>IF(LEFT(N26,8)="Expense|",N(D26),0)+IF(LEFT(O26,8)="Expense|",-N(D26),0)</f>
        <v/>
      </c>
      <c r="S26" s="23">
        <f>IF(ISNUMBER(MATCH(N26,{"Expense|employee","Expense|general_admin","Expense|marketing","Expense|utilities","Expense|other_operating"},0)),N(D26),0)+IF(ISNUMBER(MATCH(O26,{"Expense|employee","Expense|general_admin","Expense|marketing","Expense|utilities","Expense|other_operating"},0)),-N(D26),0)</f>
        <v/>
      </c>
      <c r="T26" s="23">
        <f>IF(N26="Liability|payable",-N(D26),0)+IF(O26="Liability|payable",N(D26),0)</f>
        <v/>
      </c>
      <c r="U26" s="23">
        <f>IF(N26="Liability|accrued",-N(D26),0)+IF(O26="Liability|accrued",N(D26),0)</f>
        <v/>
      </c>
      <c r="V26" s="23">
        <f>IF(AND(N(D26)&lt;&gt;0,N26=""),1,0)+IF(AND(N(D26)&lt;&gt;0,O26=""),1,0)</f>
        <v/>
      </c>
    </row>
    <row r="27">
      <c r="A27" s="19" t="n"/>
      <c r="B27" s="14" t="n"/>
      <c r="C27" s="14" t="n"/>
      <c r="D27" s="20" t="n"/>
      <c r="E27" s="14" t="n"/>
      <c r="F27" s="14" t="n"/>
      <c r="G27" s="14" t="n"/>
      <c r="H27" s="14" t="n"/>
      <c r="I27" s="14" t="n"/>
      <c r="J27" s="16">
        <f>IF(F27="",INDEX('Chart of Accounts'!$A$5:$A$3000,MATCH("bank",'Chart of Accounts'!$F$5:$F$3000,0)),F27&amp;"")</f>
        <v/>
      </c>
      <c r="K27" s="16">
        <f>IF(G27&lt;&gt;"",G27&amp;"",IF(LEFT(C27,7)="Capital",INDEX('Chart of Accounts'!$A$5:$A$3000,MATCH("capital",'Chart of Accounts'!$F$5:$F$3000,0)),INDEX('Chart of Accounts'!$A$5:$A$3000,MATCH("drawings",'Chart of Accounts'!$F$5:$F$3000,0))))</f>
        <v/>
      </c>
      <c r="L27" s="16">
        <f>IF(LEFT(C27,7)="Capital",J27,K27)</f>
        <v/>
      </c>
      <c r="M27" s="16">
        <f>IF(LEFT(C27,7)="Capital",K27,J27)</f>
        <v/>
      </c>
      <c r="N27" s="23">
        <f>IFERROR(INDEX('Chart of Accounts'!$C$5:$C$3000,MATCH(L27&amp;"",'Chart of Accounts'!$A$5:$A$3000,0))&amp;"|"&amp;INDEX('Chart of Accounts'!$D$5:$D$3000,MATCH(L27&amp;"",'Chart of Accounts'!$A$5:$A$3000,0)),"")</f>
        <v/>
      </c>
      <c r="O27" s="23">
        <f>IFERROR(INDEX('Chart of Accounts'!$C$5:$C$3000,MATCH(M27&amp;"",'Chart of Accounts'!$A$5:$A$3000,0))&amp;"|"&amp;INDEX('Chart of Accounts'!$D$5:$D$3000,MATCH(M27&amp;"",'Chart of Accounts'!$A$5:$A$3000,0)),"")</f>
        <v/>
      </c>
      <c r="P27" s="23">
        <f>IF(LEFT(N27,8)="Revenue|",-N(D27),0)+IF(LEFT(O27,8)="Revenue|",N(D27),0)</f>
        <v/>
      </c>
      <c r="Q27" s="23">
        <f>IF(LEFT(N27,5)="COGS|",N(D27),0)+IF(LEFT(O27,5)="COGS|",-N(D27),0)</f>
        <v/>
      </c>
      <c r="R27" s="23">
        <f>IF(LEFT(N27,8)="Expense|",N(D27),0)+IF(LEFT(O27,8)="Expense|",-N(D27),0)</f>
        <v/>
      </c>
      <c r="S27" s="23">
        <f>IF(ISNUMBER(MATCH(N27,{"Expense|employee","Expense|general_admin","Expense|marketing","Expense|utilities","Expense|other_operating"},0)),N(D27),0)+IF(ISNUMBER(MATCH(O27,{"Expense|employee","Expense|general_admin","Expense|marketing","Expense|utilities","Expense|other_operating"},0)),-N(D27),0)</f>
        <v/>
      </c>
      <c r="T27" s="23">
        <f>IF(N27="Liability|payable",-N(D27),0)+IF(O27="Liability|payable",N(D27),0)</f>
        <v/>
      </c>
      <c r="U27" s="23">
        <f>IF(N27="Liability|accrued",-N(D27),0)+IF(O27="Liability|accrued",N(D27),0)</f>
        <v/>
      </c>
      <c r="V27" s="23">
        <f>IF(AND(N(D27)&lt;&gt;0,N27=""),1,0)+IF(AND(N(D27)&lt;&gt;0,O27=""),1,0)</f>
        <v/>
      </c>
    </row>
    <row r="28">
      <c r="A28" s="19" t="n"/>
      <c r="B28" s="14" t="n"/>
      <c r="C28" s="14" t="n"/>
      <c r="D28" s="20" t="n"/>
      <c r="E28" s="14" t="n"/>
      <c r="F28" s="14" t="n"/>
      <c r="G28" s="14" t="n"/>
      <c r="H28" s="14" t="n"/>
      <c r="I28" s="14" t="n"/>
      <c r="J28" s="16">
        <f>IF(F28="",INDEX('Chart of Accounts'!$A$5:$A$3000,MATCH("bank",'Chart of Accounts'!$F$5:$F$3000,0)),F28&amp;"")</f>
        <v/>
      </c>
      <c r="K28" s="16">
        <f>IF(G28&lt;&gt;"",G28&amp;"",IF(LEFT(C28,7)="Capital",INDEX('Chart of Accounts'!$A$5:$A$3000,MATCH("capital",'Chart of Accounts'!$F$5:$F$3000,0)),INDEX('Chart of Accounts'!$A$5:$A$3000,MATCH("drawings",'Chart of Accounts'!$F$5:$F$3000,0))))</f>
        <v/>
      </c>
      <c r="L28" s="16">
        <f>IF(LEFT(C28,7)="Capital",J28,K28)</f>
        <v/>
      </c>
      <c r="M28" s="16">
        <f>IF(LEFT(C28,7)="Capital",K28,J28)</f>
        <v/>
      </c>
      <c r="N28" s="23">
        <f>IFERROR(INDEX('Chart of Accounts'!$C$5:$C$3000,MATCH(L28&amp;"",'Chart of Accounts'!$A$5:$A$3000,0))&amp;"|"&amp;INDEX('Chart of Accounts'!$D$5:$D$3000,MATCH(L28&amp;"",'Chart of Accounts'!$A$5:$A$3000,0)),"")</f>
        <v/>
      </c>
      <c r="O28" s="23">
        <f>IFERROR(INDEX('Chart of Accounts'!$C$5:$C$3000,MATCH(M28&amp;"",'Chart of Accounts'!$A$5:$A$3000,0))&amp;"|"&amp;INDEX('Chart of Accounts'!$D$5:$D$3000,MATCH(M28&amp;"",'Chart of Accounts'!$A$5:$A$3000,0)),"")</f>
        <v/>
      </c>
      <c r="P28" s="23">
        <f>IF(LEFT(N28,8)="Revenue|",-N(D28),0)+IF(LEFT(O28,8)="Revenue|",N(D28),0)</f>
        <v/>
      </c>
      <c r="Q28" s="23">
        <f>IF(LEFT(N28,5)="COGS|",N(D28),0)+IF(LEFT(O28,5)="COGS|",-N(D28),0)</f>
        <v/>
      </c>
      <c r="R28" s="23">
        <f>IF(LEFT(N28,8)="Expense|",N(D28),0)+IF(LEFT(O28,8)="Expense|",-N(D28),0)</f>
        <v/>
      </c>
      <c r="S28" s="23">
        <f>IF(ISNUMBER(MATCH(N28,{"Expense|employee","Expense|general_admin","Expense|marketing","Expense|utilities","Expense|other_operating"},0)),N(D28),0)+IF(ISNUMBER(MATCH(O28,{"Expense|employee","Expense|general_admin","Expense|marketing","Expense|utilities","Expense|other_operating"},0)),-N(D28),0)</f>
        <v/>
      </c>
      <c r="T28" s="23">
        <f>IF(N28="Liability|payable",-N(D28),0)+IF(O28="Liability|payable",N(D28),0)</f>
        <v/>
      </c>
      <c r="U28" s="23">
        <f>IF(N28="Liability|accrued",-N(D28),0)+IF(O28="Liability|accrued",N(D28),0)</f>
        <v/>
      </c>
      <c r="V28" s="23">
        <f>IF(AND(N(D28)&lt;&gt;0,N28=""),1,0)+IF(AND(N(D28)&lt;&gt;0,O28=""),1,0)</f>
        <v/>
      </c>
    </row>
    <row r="29">
      <c r="A29" s="19" t="n"/>
      <c r="B29" s="14" t="n"/>
      <c r="C29" s="14" t="n"/>
      <c r="D29" s="20" t="n"/>
      <c r="E29" s="14" t="n"/>
      <c r="F29" s="14" t="n"/>
      <c r="G29" s="14" t="n"/>
      <c r="H29" s="14" t="n"/>
      <c r="I29" s="14" t="n"/>
      <c r="J29" s="16">
        <f>IF(F29="",INDEX('Chart of Accounts'!$A$5:$A$3000,MATCH("bank",'Chart of Accounts'!$F$5:$F$3000,0)),F29&amp;"")</f>
        <v/>
      </c>
      <c r="K29" s="16">
        <f>IF(G29&lt;&gt;"",G29&amp;"",IF(LEFT(C29,7)="Capital",INDEX('Chart of Accounts'!$A$5:$A$3000,MATCH("capital",'Chart of Accounts'!$F$5:$F$3000,0)),INDEX('Chart of Accounts'!$A$5:$A$3000,MATCH("drawings",'Chart of Accounts'!$F$5:$F$3000,0))))</f>
        <v/>
      </c>
      <c r="L29" s="16">
        <f>IF(LEFT(C29,7)="Capital",J29,K29)</f>
        <v/>
      </c>
      <c r="M29" s="16">
        <f>IF(LEFT(C29,7)="Capital",K29,J29)</f>
        <v/>
      </c>
      <c r="N29" s="23">
        <f>IFERROR(INDEX('Chart of Accounts'!$C$5:$C$3000,MATCH(L29&amp;"",'Chart of Accounts'!$A$5:$A$3000,0))&amp;"|"&amp;INDEX('Chart of Accounts'!$D$5:$D$3000,MATCH(L29&amp;"",'Chart of Accounts'!$A$5:$A$3000,0)),"")</f>
        <v/>
      </c>
      <c r="O29" s="23">
        <f>IFERROR(INDEX('Chart of Accounts'!$C$5:$C$3000,MATCH(M29&amp;"",'Chart of Accounts'!$A$5:$A$3000,0))&amp;"|"&amp;INDEX('Chart of Accounts'!$D$5:$D$3000,MATCH(M29&amp;"",'Chart of Accounts'!$A$5:$A$3000,0)),"")</f>
        <v/>
      </c>
      <c r="P29" s="23">
        <f>IF(LEFT(N29,8)="Revenue|",-N(D29),0)+IF(LEFT(O29,8)="Revenue|",N(D29),0)</f>
        <v/>
      </c>
      <c r="Q29" s="23">
        <f>IF(LEFT(N29,5)="COGS|",N(D29),0)+IF(LEFT(O29,5)="COGS|",-N(D29),0)</f>
        <v/>
      </c>
      <c r="R29" s="23">
        <f>IF(LEFT(N29,8)="Expense|",N(D29),0)+IF(LEFT(O29,8)="Expense|",-N(D29),0)</f>
        <v/>
      </c>
      <c r="S29" s="23">
        <f>IF(ISNUMBER(MATCH(N29,{"Expense|employee","Expense|general_admin","Expense|marketing","Expense|utilities","Expense|other_operating"},0)),N(D29),0)+IF(ISNUMBER(MATCH(O29,{"Expense|employee","Expense|general_admin","Expense|marketing","Expense|utilities","Expense|other_operating"},0)),-N(D29),0)</f>
        <v/>
      </c>
      <c r="T29" s="23">
        <f>IF(N29="Liability|payable",-N(D29),0)+IF(O29="Liability|payable",N(D29),0)</f>
        <v/>
      </c>
      <c r="U29" s="23">
        <f>IF(N29="Liability|accrued",-N(D29),0)+IF(O29="Liability|accrued",N(D29),0)</f>
        <v/>
      </c>
      <c r="V29" s="23">
        <f>IF(AND(N(D29)&lt;&gt;0,N29=""),1,0)+IF(AND(N(D29)&lt;&gt;0,O29=""),1,0)</f>
        <v/>
      </c>
    </row>
    <row r="30">
      <c r="A30" s="19" t="n"/>
      <c r="B30" s="14" t="n"/>
      <c r="C30" s="14" t="n"/>
      <c r="D30" s="20" t="n"/>
      <c r="E30" s="14" t="n"/>
      <c r="F30" s="14" t="n"/>
      <c r="G30" s="14" t="n"/>
      <c r="H30" s="14" t="n"/>
      <c r="I30" s="14" t="n"/>
      <c r="J30" s="16">
        <f>IF(F30="",INDEX('Chart of Accounts'!$A$5:$A$3000,MATCH("bank",'Chart of Accounts'!$F$5:$F$3000,0)),F30&amp;"")</f>
        <v/>
      </c>
      <c r="K30" s="16">
        <f>IF(G30&lt;&gt;"",G30&amp;"",IF(LEFT(C30,7)="Capital",INDEX('Chart of Accounts'!$A$5:$A$3000,MATCH("capital",'Chart of Accounts'!$F$5:$F$3000,0)),INDEX('Chart of Accounts'!$A$5:$A$3000,MATCH("drawings",'Chart of Accounts'!$F$5:$F$3000,0))))</f>
        <v/>
      </c>
      <c r="L30" s="16">
        <f>IF(LEFT(C30,7)="Capital",J30,K30)</f>
        <v/>
      </c>
      <c r="M30" s="16">
        <f>IF(LEFT(C30,7)="Capital",K30,J30)</f>
        <v/>
      </c>
      <c r="N30" s="23">
        <f>IFERROR(INDEX('Chart of Accounts'!$C$5:$C$3000,MATCH(L30&amp;"",'Chart of Accounts'!$A$5:$A$3000,0))&amp;"|"&amp;INDEX('Chart of Accounts'!$D$5:$D$3000,MATCH(L30&amp;"",'Chart of Accounts'!$A$5:$A$3000,0)),"")</f>
        <v/>
      </c>
      <c r="O30" s="23">
        <f>IFERROR(INDEX('Chart of Accounts'!$C$5:$C$3000,MATCH(M30&amp;"",'Chart of Accounts'!$A$5:$A$3000,0))&amp;"|"&amp;INDEX('Chart of Accounts'!$D$5:$D$3000,MATCH(M30&amp;"",'Chart of Accounts'!$A$5:$A$3000,0)),"")</f>
        <v/>
      </c>
      <c r="P30" s="23">
        <f>IF(LEFT(N30,8)="Revenue|",-N(D30),0)+IF(LEFT(O30,8)="Revenue|",N(D30),0)</f>
        <v/>
      </c>
      <c r="Q30" s="23">
        <f>IF(LEFT(N30,5)="COGS|",N(D30),0)+IF(LEFT(O30,5)="COGS|",-N(D30),0)</f>
        <v/>
      </c>
      <c r="R30" s="23">
        <f>IF(LEFT(N30,8)="Expense|",N(D30),0)+IF(LEFT(O30,8)="Expense|",-N(D30),0)</f>
        <v/>
      </c>
      <c r="S30" s="23">
        <f>IF(ISNUMBER(MATCH(N30,{"Expense|employee","Expense|general_admin","Expense|marketing","Expense|utilities","Expense|other_operating"},0)),N(D30),0)+IF(ISNUMBER(MATCH(O30,{"Expense|employee","Expense|general_admin","Expense|marketing","Expense|utilities","Expense|other_operating"},0)),-N(D30),0)</f>
        <v/>
      </c>
      <c r="T30" s="23">
        <f>IF(N30="Liability|payable",-N(D30),0)+IF(O30="Liability|payable",N(D30),0)</f>
        <v/>
      </c>
      <c r="U30" s="23">
        <f>IF(N30="Liability|accrued",-N(D30),0)+IF(O30="Liability|accrued",N(D30),0)</f>
        <v/>
      </c>
      <c r="V30" s="23">
        <f>IF(AND(N(D30)&lt;&gt;0,N30=""),1,0)+IF(AND(N(D30)&lt;&gt;0,O30=""),1,0)</f>
        <v/>
      </c>
    </row>
    <row r="31">
      <c r="A31" s="19" t="n"/>
      <c r="B31" s="14" t="n"/>
      <c r="C31" s="14" t="n"/>
      <c r="D31" s="20" t="n"/>
      <c r="E31" s="14" t="n"/>
      <c r="F31" s="14" t="n"/>
      <c r="G31" s="14" t="n"/>
      <c r="H31" s="14" t="n"/>
      <c r="I31" s="14" t="n"/>
      <c r="J31" s="16">
        <f>IF(F31="",INDEX('Chart of Accounts'!$A$5:$A$3000,MATCH("bank",'Chart of Accounts'!$F$5:$F$3000,0)),F31&amp;"")</f>
        <v/>
      </c>
      <c r="K31" s="16">
        <f>IF(G31&lt;&gt;"",G31&amp;"",IF(LEFT(C31,7)="Capital",INDEX('Chart of Accounts'!$A$5:$A$3000,MATCH("capital",'Chart of Accounts'!$F$5:$F$3000,0)),INDEX('Chart of Accounts'!$A$5:$A$3000,MATCH("drawings",'Chart of Accounts'!$F$5:$F$3000,0))))</f>
        <v/>
      </c>
      <c r="L31" s="16">
        <f>IF(LEFT(C31,7)="Capital",J31,K31)</f>
        <v/>
      </c>
      <c r="M31" s="16">
        <f>IF(LEFT(C31,7)="Capital",K31,J31)</f>
        <v/>
      </c>
      <c r="N31" s="23">
        <f>IFERROR(INDEX('Chart of Accounts'!$C$5:$C$3000,MATCH(L31&amp;"",'Chart of Accounts'!$A$5:$A$3000,0))&amp;"|"&amp;INDEX('Chart of Accounts'!$D$5:$D$3000,MATCH(L31&amp;"",'Chart of Accounts'!$A$5:$A$3000,0)),"")</f>
        <v/>
      </c>
      <c r="O31" s="23">
        <f>IFERROR(INDEX('Chart of Accounts'!$C$5:$C$3000,MATCH(M31&amp;"",'Chart of Accounts'!$A$5:$A$3000,0))&amp;"|"&amp;INDEX('Chart of Accounts'!$D$5:$D$3000,MATCH(M31&amp;"",'Chart of Accounts'!$A$5:$A$3000,0)),"")</f>
        <v/>
      </c>
      <c r="P31" s="23">
        <f>IF(LEFT(N31,8)="Revenue|",-N(D31),0)+IF(LEFT(O31,8)="Revenue|",N(D31),0)</f>
        <v/>
      </c>
      <c r="Q31" s="23">
        <f>IF(LEFT(N31,5)="COGS|",N(D31),0)+IF(LEFT(O31,5)="COGS|",-N(D31),0)</f>
        <v/>
      </c>
      <c r="R31" s="23">
        <f>IF(LEFT(N31,8)="Expense|",N(D31),0)+IF(LEFT(O31,8)="Expense|",-N(D31),0)</f>
        <v/>
      </c>
      <c r="S31" s="23">
        <f>IF(ISNUMBER(MATCH(N31,{"Expense|employee","Expense|general_admin","Expense|marketing","Expense|utilities","Expense|other_operating"},0)),N(D31),0)+IF(ISNUMBER(MATCH(O31,{"Expense|employee","Expense|general_admin","Expense|marketing","Expense|utilities","Expense|other_operating"},0)),-N(D31),0)</f>
        <v/>
      </c>
      <c r="T31" s="23">
        <f>IF(N31="Liability|payable",-N(D31),0)+IF(O31="Liability|payable",N(D31),0)</f>
        <v/>
      </c>
      <c r="U31" s="23">
        <f>IF(N31="Liability|accrued",-N(D31),0)+IF(O31="Liability|accrued",N(D31),0)</f>
        <v/>
      </c>
      <c r="V31" s="23">
        <f>IF(AND(N(D31)&lt;&gt;0,N31=""),1,0)+IF(AND(N(D31)&lt;&gt;0,O31=""),1,0)</f>
        <v/>
      </c>
    </row>
    <row r="32">
      <c r="A32" s="19" t="n"/>
      <c r="B32" s="14" t="n"/>
      <c r="C32" s="14" t="n"/>
      <c r="D32" s="20" t="n"/>
      <c r="E32" s="14" t="n"/>
      <c r="F32" s="14" t="n"/>
      <c r="G32" s="14" t="n"/>
      <c r="H32" s="14" t="n"/>
      <c r="I32" s="14" t="n"/>
      <c r="J32" s="16">
        <f>IF(F32="",INDEX('Chart of Accounts'!$A$5:$A$3000,MATCH("bank",'Chart of Accounts'!$F$5:$F$3000,0)),F32&amp;"")</f>
        <v/>
      </c>
      <c r="K32" s="16">
        <f>IF(G32&lt;&gt;"",G32&amp;"",IF(LEFT(C32,7)="Capital",INDEX('Chart of Accounts'!$A$5:$A$3000,MATCH("capital",'Chart of Accounts'!$F$5:$F$3000,0)),INDEX('Chart of Accounts'!$A$5:$A$3000,MATCH("drawings",'Chart of Accounts'!$F$5:$F$3000,0))))</f>
        <v/>
      </c>
      <c r="L32" s="16">
        <f>IF(LEFT(C32,7)="Capital",J32,K32)</f>
        <v/>
      </c>
      <c r="M32" s="16">
        <f>IF(LEFT(C32,7)="Capital",K32,J32)</f>
        <v/>
      </c>
      <c r="N32" s="23">
        <f>IFERROR(INDEX('Chart of Accounts'!$C$5:$C$3000,MATCH(L32&amp;"",'Chart of Accounts'!$A$5:$A$3000,0))&amp;"|"&amp;INDEX('Chart of Accounts'!$D$5:$D$3000,MATCH(L32&amp;"",'Chart of Accounts'!$A$5:$A$3000,0)),"")</f>
        <v/>
      </c>
      <c r="O32" s="23">
        <f>IFERROR(INDEX('Chart of Accounts'!$C$5:$C$3000,MATCH(M32&amp;"",'Chart of Accounts'!$A$5:$A$3000,0))&amp;"|"&amp;INDEX('Chart of Accounts'!$D$5:$D$3000,MATCH(M32&amp;"",'Chart of Accounts'!$A$5:$A$3000,0)),"")</f>
        <v/>
      </c>
      <c r="P32" s="23">
        <f>IF(LEFT(N32,8)="Revenue|",-N(D32),0)+IF(LEFT(O32,8)="Revenue|",N(D32),0)</f>
        <v/>
      </c>
      <c r="Q32" s="23">
        <f>IF(LEFT(N32,5)="COGS|",N(D32),0)+IF(LEFT(O32,5)="COGS|",-N(D32),0)</f>
        <v/>
      </c>
      <c r="R32" s="23">
        <f>IF(LEFT(N32,8)="Expense|",N(D32),0)+IF(LEFT(O32,8)="Expense|",-N(D32),0)</f>
        <v/>
      </c>
      <c r="S32" s="23">
        <f>IF(ISNUMBER(MATCH(N32,{"Expense|employee","Expense|general_admin","Expense|marketing","Expense|utilities","Expense|other_operating"},0)),N(D32),0)+IF(ISNUMBER(MATCH(O32,{"Expense|employee","Expense|general_admin","Expense|marketing","Expense|utilities","Expense|other_operating"},0)),-N(D32),0)</f>
        <v/>
      </c>
      <c r="T32" s="23">
        <f>IF(N32="Liability|payable",-N(D32),0)+IF(O32="Liability|payable",N(D32),0)</f>
        <v/>
      </c>
      <c r="U32" s="23">
        <f>IF(N32="Liability|accrued",-N(D32),0)+IF(O32="Liability|accrued",N(D32),0)</f>
        <v/>
      </c>
      <c r="V32" s="23">
        <f>IF(AND(N(D32)&lt;&gt;0,N32=""),1,0)+IF(AND(N(D32)&lt;&gt;0,O32=""),1,0)</f>
        <v/>
      </c>
    </row>
    <row r="33">
      <c r="A33" s="19" t="n"/>
      <c r="B33" s="14" t="n"/>
      <c r="C33" s="14" t="n"/>
      <c r="D33" s="20" t="n"/>
      <c r="E33" s="14" t="n"/>
      <c r="F33" s="14" t="n"/>
      <c r="G33" s="14" t="n"/>
      <c r="H33" s="14" t="n"/>
      <c r="I33" s="14" t="n"/>
      <c r="J33" s="16">
        <f>IF(F33="",INDEX('Chart of Accounts'!$A$5:$A$3000,MATCH("bank",'Chart of Accounts'!$F$5:$F$3000,0)),F33&amp;"")</f>
        <v/>
      </c>
      <c r="K33" s="16">
        <f>IF(G33&lt;&gt;"",G33&amp;"",IF(LEFT(C33,7)="Capital",INDEX('Chart of Accounts'!$A$5:$A$3000,MATCH("capital",'Chart of Accounts'!$F$5:$F$3000,0)),INDEX('Chart of Accounts'!$A$5:$A$3000,MATCH("drawings",'Chart of Accounts'!$F$5:$F$3000,0))))</f>
        <v/>
      </c>
      <c r="L33" s="16">
        <f>IF(LEFT(C33,7)="Capital",J33,K33)</f>
        <v/>
      </c>
      <c r="M33" s="16">
        <f>IF(LEFT(C33,7)="Capital",K33,J33)</f>
        <v/>
      </c>
      <c r="N33" s="23">
        <f>IFERROR(INDEX('Chart of Accounts'!$C$5:$C$3000,MATCH(L33&amp;"",'Chart of Accounts'!$A$5:$A$3000,0))&amp;"|"&amp;INDEX('Chart of Accounts'!$D$5:$D$3000,MATCH(L33&amp;"",'Chart of Accounts'!$A$5:$A$3000,0)),"")</f>
        <v/>
      </c>
      <c r="O33" s="23">
        <f>IFERROR(INDEX('Chart of Accounts'!$C$5:$C$3000,MATCH(M33&amp;"",'Chart of Accounts'!$A$5:$A$3000,0))&amp;"|"&amp;INDEX('Chart of Accounts'!$D$5:$D$3000,MATCH(M33&amp;"",'Chart of Accounts'!$A$5:$A$3000,0)),"")</f>
        <v/>
      </c>
      <c r="P33" s="23">
        <f>IF(LEFT(N33,8)="Revenue|",-N(D33),0)+IF(LEFT(O33,8)="Revenue|",N(D33),0)</f>
        <v/>
      </c>
      <c r="Q33" s="23">
        <f>IF(LEFT(N33,5)="COGS|",N(D33),0)+IF(LEFT(O33,5)="COGS|",-N(D33),0)</f>
        <v/>
      </c>
      <c r="R33" s="23">
        <f>IF(LEFT(N33,8)="Expense|",N(D33),0)+IF(LEFT(O33,8)="Expense|",-N(D33),0)</f>
        <v/>
      </c>
      <c r="S33" s="23">
        <f>IF(ISNUMBER(MATCH(N33,{"Expense|employee","Expense|general_admin","Expense|marketing","Expense|utilities","Expense|other_operating"},0)),N(D33),0)+IF(ISNUMBER(MATCH(O33,{"Expense|employee","Expense|general_admin","Expense|marketing","Expense|utilities","Expense|other_operating"},0)),-N(D33),0)</f>
        <v/>
      </c>
      <c r="T33" s="23">
        <f>IF(N33="Liability|payable",-N(D33),0)+IF(O33="Liability|payable",N(D33),0)</f>
        <v/>
      </c>
      <c r="U33" s="23">
        <f>IF(N33="Liability|accrued",-N(D33),0)+IF(O33="Liability|accrued",N(D33),0)</f>
        <v/>
      </c>
      <c r="V33" s="23">
        <f>IF(AND(N(D33)&lt;&gt;0,N33=""),1,0)+IF(AND(N(D33)&lt;&gt;0,O33=""),1,0)</f>
        <v/>
      </c>
    </row>
    <row r="34">
      <c r="A34" s="19" t="n"/>
      <c r="B34" s="14" t="n"/>
      <c r="C34" s="14" t="n"/>
      <c r="D34" s="20" t="n"/>
      <c r="E34" s="14" t="n"/>
      <c r="F34" s="14" t="n"/>
      <c r="G34" s="14" t="n"/>
      <c r="H34" s="14" t="n"/>
      <c r="I34" s="14" t="n"/>
      <c r="J34" s="16">
        <f>IF(F34="",INDEX('Chart of Accounts'!$A$5:$A$3000,MATCH("bank",'Chart of Accounts'!$F$5:$F$3000,0)),F34&amp;"")</f>
        <v/>
      </c>
      <c r="K34" s="16">
        <f>IF(G34&lt;&gt;"",G34&amp;"",IF(LEFT(C34,7)="Capital",INDEX('Chart of Accounts'!$A$5:$A$3000,MATCH("capital",'Chart of Accounts'!$F$5:$F$3000,0)),INDEX('Chart of Accounts'!$A$5:$A$3000,MATCH("drawings",'Chart of Accounts'!$F$5:$F$3000,0))))</f>
        <v/>
      </c>
      <c r="L34" s="16">
        <f>IF(LEFT(C34,7)="Capital",J34,K34)</f>
        <v/>
      </c>
      <c r="M34" s="16">
        <f>IF(LEFT(C34,7)="Capital",K34,J34)</f>
        <v/>
      </c>
      <c r="N34" s="23">
        <f>IFERROR(INDEX('Chart of Accounts'!$C$5:$C$3000,MATCH(L34&amp;"",'Chart of Accounts'!$A$5:$A$3000,0))&amp;"|"&amp;INDEX('Chart of Accounts'!$D$5:$D$3000,MATCH(L34&amp;"",'Chart of Accounts'!$A$5:$A$3000,0)),"")</f>
        <v/>
      </c>
      <c r="O34" s="23">
        <f>IFERROR(INDEX('Chart of Accounts'!$C$5:$C$3000,MATCH(M34&amp;"",'Chart of Accounts'!$A$5:$A$3000,0))&amp;"|"&amp;INDEX('Chart of Accounts'!$D$5:$D$3000,MATCH(M34&amp;"",'Chart of Accounts'!$A$5:$A$3000,0)),"")</f>
        <v/>
      </c>
      <c r="P34" s="23">
        <f>IF(LEFT(N34,8)="Revenue|",-N(D34),0)+IF(LEFT(O34,8)="Revenue|",N(D34),0)</f>
        <v/>
      </c>
      <c r="Q34" s="23">
        <f>IF(LEFT(N34,5)="COGS|",N(D34),0)+IF(LEFT(O34,5)="COGS|",-N(D34),0)</f>
        <v/>
      </c>
      <c r="R34" s="23">
        <f>IF(LEFT(N34,8)="Expense|",N(D34),0)+IF(LEFT(O34,8)="Expense|",-N(D34),0)</f>
        <v/>
      </c>
      <c r="S34" s="23">
        <f>IF(ISNUMBER(MATCH(N34,{"Expense|employee","Expense|general_admin","Expense|marketing","Expense|utilities","Expense|other_operating"},0)),N(D34),0)+IF(ISNUMBER(MATCH(O34,{"Expense|employee","Expense|general_admin","Expense|marketing","Expense|utilities","Expense|other_operating"},0)),-N(D34),0)</f>
        <v/>
      </c>
      <c r="T34" s="23">
        <f>IF(N34="Liability|payable",-N(D34),0)+IF(O34="Liability|payable",N(D34),0)</f>
        <v/>
      </c>
      <c r="U34" s="23">
        <f>IF(N34="Liability|accrued",-N(D34),0)+IF(O34="Liability|accrued",N(D34),0)</f>
        <v/>
      </c>
      <c r="V34" s="23">
        <f>IF(AND(N(D34)&lt;&gt;0,N34=""),1,0)+IF(AND(N(D34)&lt;&gt;0,O34=""),1,0)</f>
        <v/>
      </c>
    </row>
    <row r="35">
      <c r="A35" s="19" t="n"/>
      <c r="B35" s="14" t="n"/>
      <c r="C35" s="14" t="n"/>
      <c r="D35" s="20" t="n"/>
      <c r="E35" s="14" t="n"/>
      <c r="F35" s="14" t="n"/>
      <c r="G35" s="14" t="n"/>
      <c r="H35" s="14" t="n"/>
      <c r="I35" s="14" t="n"/>
      <c r="J35" s="16">
        <f>IF(F35="",INDEX('Chart of Accounts'!$A$5:$A$3000,MATCH("bank",'Chart of Accounts'!$F$5:$F$3000,0)),F35&amp;"")</f>
        <v/>
      </c>
      <c r="K35" s="16">
        <f>IF(G35&lt;&gt;"",G35&amp;"",IF(LEFT(C35,7)="Capital",INDEX('Chart of Accounts'!$A$5:$A$3000,MATCH("capital",'Chart of Accounts'!$F$5:$F$3000,0)),INDEX('Chart of Accounts'!$A$5:$A$3000,MATCH("drawings",'Chart of Accounts'!$F$5:$F$3000,0))))</f>
        <v/>
      </c>
      <c r="L35" s="16">
        <f>IF(LEFT(C35,7)="Capital",J35,K35)</f>
        <v/>
      </c>
      <c r="M35" s="16">
        <f>IF(LEFT(C35,7)="Capital",K35,J35)</f>
        <v/>
      </c>
      <c r="N35" s="23">
        <f>IFERROR(INDEX('Chart of Accounts'!$C$5:$C$3000,MATCH(L35&amp;"",'Chart of Accounts'!$A$5:$A$3000,0))&amp;"|"&amp;INDEX('Chart of Accounts'!$D$5:$D$3000,MATCH(L35&amp;"",'Chart of Accounts'!$A$5:$A$3000,0)),"")</f>
        <v/>
      </c>
      <c r="O35" s="23">
        <f>IFERROR(INDEX('Chart of Accounts'!$C$5:$C$3000,MATCH(M35&amp;"",'Chart of Accounts'!$A$5:$A$3000,0))&amp;"|"&amp;INDEX('Chart of Accounts'!$D$5:$D$3000,MATCH(M35&amp;"",'Chart of Accounts'!$A$5:$A$3000,0)),"")</f>
        <v/>
      </c>
      <c r="P35" s="23">
        <f>IF(LEFT(N35,8)="Revenue|",-N(D35),0)+IF(LEFT(O35,8)="Revenue|",N(D35),0)</f>
        <v/>
      </c>
      <c r="Q35" s="23">
        <f>IF(LEFT(N35,5)="COGS|",N(D35),0)+IF(LEFT(O35,5)="COGS|",-N(D35),0)</f>
        <v/>
      </c>
      <c r="R35" s="23">
        <f>IF(LEFT(N35,8)="Expense|",N(D35),0)+IF(LEFT(O35,8)="Expense|",-N(D35),0)</f>
        <v/>
      </c>
      <c r="S35" s="23">
        <f>IF(ISNUMBER(MATCH(N35,{"Expense|employee","Expense|general_admin","Expense|marketing","Expense|utilities","Expense|other_operating"},0)),N(D35),0)+IF(ISNUMBER(MATCH(O35,{"Expense|employee","Expense|general_admin","Expense|marketing","Expense|utilities","Expense|other_operating"},0)),-N(D35),0)</f>
        <v/>
      </c>
      <c r="T35" s="23">
        <f>IF(N35="Liability|payable",-N(D35),0)+IF(O35="Liability|payable",N(D35),0)</f>
        <v/>
      </c>
      <c r="U35" s="23">
        <f>IF(N35="Liability|accrued",-N(D35),0)+IF(O35="Liability|accrued",N(D35),0)</f>
        <v/>
      </c>
      <c r="V35" s="23">
        <f>IF(AND(N(D35)&lt;&gt;0,N35=""),1,0)+IF(AND(N(D35)&lt;&gt;0,O35=""),1,0)</f>
        <v/>
      </c>
    </row>
    <row r="36">
      <c r="A36" s="19" t="n"/>
      <c r="B36" s="14" t="n"/>
      <c r="C36" s="14" t="n"/>
      <c r="D36" s="20" t="n"/>
      <c r="E36" s="14" t="n"/>
      <c r="F36" s="14" t="n"/>
      <c r="G36" s="14" t="n"/>
      <c r="H36" s="14" t="n"/>
      <c r="I36" s="14" t="n"/>
      <c r="J36" s="16">
        <f>IF(F36="",INDEX('Chart of Accounts'!$A$5:$A$3000,MATCH("bank",'Chart of Accounts'!$F$5:$F$3000,0)),F36&amp;"")</f>
        <v/>
      </c>
      <c r="K36" s="16">
        <f>IF(G36&lt;&gt;"",G36&amp;"",IF(LEFT(C36,7)="Capital",INDEX('Chart of Accounts'!$A$5:$A$3000,MATCH("capital",'Chart of Accounts'!$F$5:$F$3000,0)),INDEX('Chart of Accounts'!$A$5:$A$3000,MATCH("drawings",'Chart of Accounts'!$F$5:$F$3000,0))))</f>
        <v/>
      </c>
      <c r="L36" s="16">
        <f>IF(LEFT(C36,7)="Capital",J36,K36)</f>
        <v/>
      </c>
      <c r="M36" s="16">
        <f>IF(LEFT(C36,7)="Capital",K36,J36)</f>
        <v/>
      </c>
      <c r="N36" s="23">
        <f>IFERROR(INDEX('Chart of Accounts'!$C$5:$C$3000,MATCH(L36&amp;"",'Chart of Accounts'!$A$5:$A$3000,0))&amp;"|"&amp;INDEX('Chart of Accounts'!$D$5:$D$3000,MATCH(L36&amp;"",'Chart of Accounts'!$A$5:$A$3000,0)),"")</f>
        <v/>
      </c>
      <c r="O36" s="23">
        <f>IFERROR(INDEX('Chart of Accounts'!$C$5:$C$3000,MATCH(M36&amp;"",'Chart of Accounts'!$A$5:$A$3000,0))&amp;"|"&amp;INDEX('Chart of Accounts'!$D$5:$D$3000,MATCH(M36&amp;"",'Chart of Accounts'!$A$5:$A$3000,0)),"")</f>
        <v/>
      </c>
      <c r="P36" s="23">
        <f>IF(LEFT(N36,8)="Revenue|",-N(D36),0)+IF(LEFT(O36,8)="Revenue|",N(D36),0)</f>
        <v/>
      </c>
      <c r="Q36" s="23">
        <f>IF(LEFT(N36,5)="COGS|",N(D36),0)+IF(LEFT(O36,5)="COGS|",-N(D36),0)</f>
        <v/>
      </c>
      <c r="R36" s="23">
        <f>IF(LEFT(N36,8)="Expense|",N(D36),0)+IF(LEFT(O36,8)="Expense|",-N(D36),0)</f>
        <v/>
      </c>
      <c r="S36" s="23">
        <f>IF(ISNUMBER(MATCH(N36,{"Expense|employee","Expense|general_admin","Expense|marketing","Expense|utilities","Expense|other_operating"},0)),N(D36),0)+IF(ISNUMBER(MATCH(O36,{"Expense|employee","Expense|general_admin","Expense|marketing","Expense|utilities","Expense|other_operating"},0)),-N(D36),0)</f>
        <v/>
      </c>
      <c r="T36" s="23">
        <f>IF(N36="Liability|payable",-N(D36),0)+IF(O36="Liability|payable",N(D36),0)</f>
        <v/>
      </c>
      <c r="U36" s="23">
        <f>IF(N36="Liability|accrued",-N(D36),0)+IF(O36="Liability|accrued",N(D36),0)</f>
        <v/>
      </c>
      <c r="V36" s="23">
        <f>IF(AND(N(D36)&lt;&gt;0,N36=""),1,0)+IF(AND(N(D36)&lt;&gt;0,O36=""),1,0)</f>
        <v/>
      </c>
    </row>
    <row r="37">
      <c r="A37" s="19" t="n"/>
      <c r="B37" s="14" t="n"/>
      <c r="C37" s="14" t="n"/>
      <c r="D37" s="20" t="n"/>
      <c r="E37" s="14" t="n"/>
      <c r="F37" s="14" t="n"/>
      <c r="G37" s="14" t="n"/>
      <c r="H37" s="14" t="n"/>
      <c r="I37" s="14" t="n"/>
      <c r="J37" s="16">
        <f>IF(F37="",INDEX('Chart of Accounts'!$A$5:$A$3000,MATCH("bank",'Chart of Accounts'!$F$5:$F$3000,0)),F37&amp;"")</f>
        <v/>
      </c>
      <c r="K37" s="16">
        <f>IF(G37&lt;&gt;"",G37&amp;"",IF(LEFT(C37,7)="Capital",INDEX('Chart of Accounts'!$A$5:$A$3000,MATCH("capital",'Chart of Accounts'!$F$5:$F$3000,0)),INDEX('Chart of Accounts'!$A$5:$A$3000,MATCH("drawings",'Chart of Accounts'!$F$5:$F$3000,0))))</f>
        <v/>
      </c>
      <c r="L37" s="16">
        <f>IF(LEFT(C37,7)="Capital",J37,K37)</f>
        <v/>
      </c>
      <c r="M37" s="16">
        <f>IF(LEFT(C37,7)="Capital",K37,J37)</f>
        <v/>
      </c>
      <c r="N37" s="23">
        <f>IFERROR(INDEX('Chart of Accounts'!$C$5:$C$3000,MATCH(L37&amp;"",'Chart of Accounts'!$A$5:$A$3000,0))&amp;"|"&amp;INDEX('Chart of Accounts'!$D$5:$D$3000,MATCH(L37&amp;"",'Chart of Accounts'!$A$5:$A$3000,0)),"")</f>
        <v/>
      </c>
      <c r="O37" s="23">
        <f>IFERROR(INDEX('Chart of Accounts'!$C$5:$C$3000,MATCH(M37&amp;"",'Chart of Accounts'!$A$5:$A$3000,0))&amp;"|"&amp;INDEX('Chart of Accounts'!$D$5:$D$3000,MATCH(M37&amp;"",'Chart of Accounts'!$A$5:$A$3000,0)),"")</f>
        <v/>
      </c>
      <c r="P37" s="23">
        <f>IF(LEFT(N37,8)="Revenue|",-N(D37),0)+IF(LEFT(O37,8)="Revenue|",N(D37),0)</f>
        <v/>
      </c>
      <c r="Q37" s="23">
        <f>IF(LEFT(N37,5)="COGS|",N(D37),0)+IF(LEFT(O37,5)="COGS|",-N(D37),0)</f>
        <v/>
      </c>
      <c r="R37" s="23">
        <f>IF(LEFT(N37,8)="Expense|",N(D37),0)+IF(LEFT(O37,8)="Expense|",-N(D37),0)</f>
        <v/>
      </c>
      <c r="S37" s="23">
        <f>IF(ISNUMBER(MATCH(N37,{"Expense|employee","Expense|general_admin","Expense|marketing","Expense|utilities","Expense|other_operating"},0)),N(D37),0)+IF(ISNUMBER(MATCH(O37,{"Expense|employee","Expense|general_admin","Expense|marketing","Expense|utilities","Expense|other_operating"},0)),-N(D37),0)</f>
        <v/>
      </c>
      <c r="T37" s="23">
        <f>IF(N37="Liability|payable",-N(D37),0)+IF(O37="Liability|payable",N(D37),0)</f>
        <v/>
      </c>
      <c r="U37" s="23">
        <f>IF(N37="Liability|accrued",-N(D37),0)+IF(O37="Liability|accrued",N(D37),0)</f>
        <v/>
      </c>
      <c r="V37" s="23">
        <f>IF(AND(N(D37)&lt;&gt;0,N37=""),1,0)+IF(AND(N(D37)&lt;&gt;0,O37=""),1,0)</f>
        <v/>
      </c>
    </row>
    <row r="38">
      <c r="A38" s="19" t="n"/>
      <c r="B38" s="14" t="n"/>
      <c r="C38" s="14" t="n"/>
      <c r="D38" s="20" t="n"/>
      <c r="E38" s="14" t="n"/>
      <c r="F38" s="14" t="n"/>
      <c r="G38" s="14" t="n"/>
      <c r="H38" s="14" t="n"/>
      <c r="I38" s="14" t="n"/>
      <c r="J38" s="16">
        <f>IF(F38="",INDEX('Chart of Accounts'!$A$5:$A$3000,MATCH("bank",'Chart of Accounts'!$F$5:$F$3000,0)),F38&amp;"")</f>
        <v/>
      </c>
      <c r="K38" s="16">
        <f>IF(G38&lt;&gt;"",G38&amp;"",IF(LEFT(C38,7)="Capital",INDEX('Chart of Accounts'!$A$5:$A$3000,MATCH("capital",'Chart of Accounts'!$F$5:$F$3000,0)),INDEX('Chart of Accounts'!$A$5:$A$3000,MATCH("drawings",'Chart of Accounts'!$F$5:$F$3000,0))))</f>
        <v/>
      </c>
      <c r="L38" s="16">
        <f>IF(LEFT(C38,7)="Capital",J38,K38)</f>
        <v/>
      </c>
      <c r="M38" s="16">
        <f>IF(LEFT(C38,7)="Capital",K38,J38)</f>
        <v/>
      </c>
      <c r="N38" s="23">
        <f>IFERROR(INDEX('Chart of Accounts'!$C$5:$C$3000,MATCH(L38&amp;"",'Chart of Accounts'!$A$5:$A$3000,0))&amp;"|"&amp;INDEX('Chart of Accounts'!$D$5:$D$3000,MATCH(L38&amp;"",'Chart of Accounts'!$A$5:$A$3000,0)),"")</f>
        <v/>
      </c>
      <c r="O38" s="23">
        <f>IFERROR(INDEX('Chart of Accounts'!$C$5:$C$3000,MATCH(M38&amp;"",'Chart of Accounts'!$A$5:$A$3000,0))&amp;"|"&amp;INDEX('Chart of Accounts'!$D$5:$D$3000,MATCH(M38&amp;"",'Chart of Accounts'!$A$5:$A$3000,0)),"")</f>
        <v/>
      </c>
      <c r="P38" s="23">
        <f>IF(LEFT(N38,8)="Revenue|",-N(D38),0)+IF(LEFT(O38,8)="Revenue|",N(D38),0)</f>
        <v/>
      </c>
      <c r="Q38" s="23">
        <f>IF(LEFT(N38,5)="COGS|",N(D38),0)+IF(LEFT(O38,5)="COGS|",-N(D38),0)</f>
        <v/>
      </c>
      <c r="R38" s="23">
        <f>IF(LEFT(N38,8)="Expense|",N(D38),0)+IF(LEFT(O38,8)="Expense|",-N(D38),0)</f>
        <v/>
      </c>
      <c r="S38" s="23">
        <f>IF(ISNUMBER(MATCH(N38,{"Expense|employee","Expense|general_admin","Expense|marketing","Expense|utilities","Expense|other_operating"},0)),N(D38),0)+IF(ISNUMBER(MATCH(O38,{"Expense|employee","Expense|general_admin","Expense|marketing","Expense|utilities","Expense|other_operating"},0)),-N(D38),0)</f>
        <v/>
      </c>
      <c r="T38" s="23">
        <f>IF(N38="Liability|payable",-N(D38),0)+IF(O38="Liability|payable",N(D38),0)</f>
        <v/>
      </c>
      <c r="U38" s="23">
        <f>IF(N38="Liability|accrued",-N(D38),0)+IF(O38="Liability|accrued",N(D38),0)</f>
        <v/>
      </c>
      <c r="V38" s="23">
        <f>IF(AND(N(D38)&lt;&gt;0,N38=""),1,0)+IF(AND(N(D38)&lt;&gt;0,O38=""),1,0)</f>
        <v/>
      </c>
    </row>
    <row r="39">
      <c r="A39" s="19" t="n"/>
      <c r="B39" s="14" t="n"/>
      <c r="C39" s="14" t="n"/>
      <c r="D39" s="20" t="n"/>
      <c r="E39" s="14" t="n"/>
      <c r="F39" s="14" t="n"/>
      <c r="G39" s="14" t="n"/>
      <c r="H39" s="14" t="n"/>
      <c r="I39" s="14" t="n"/>
      <c r="J39" s="16">
        <f>IF(F39="",INDEX('Chart of Accounts'!$A$5:$A$3000,MATCH("bank",'Chart of Accounts'!$F$5:$F$3000,0)),F39&amp;"")</f>
        <v/>
      </c>
      <c r="K39" s="16">
        <f>IF(G39&lt;&gt;"",G39&amp;"",IF(LEFT(C39,7)="Capital",INDEX('Chart of Accounts'!$A$5:$A$3000,MATCH("capital",'Chart of Accounts'!$F$5:$F$3000,0)),INDEX('Chart of Accounts'!$A$5:$A$3000,MATCH("drawings",'Chart of Accounts'!$F$5:$F$3000,0))))</f>
        <v/>
      </c>
      <c r="L39" s="16">
        <f>IF(LEFT(C39,7)="Capital",J39,K39)</f>
        <v/>
      </c>
      <c r="M39" s="16">
        <f>IF(LEFT(C39,7)="Capital",K39,J39)</f>
        <v/>
      </c>
      <c r="N39" s="23">
        <f>IFERROR(INDEX('Chart of Accounts'!$C$5:$C$3000,MATCH(L39&amp;"",'Chart of Accounts'!$A$5:$A$3000,0))&amp;"|"&amp;INDEX('Chart of Accounts'!$D$5:$D$3000,MATCH(L39&amp;"",'Chart of Accounts'!$A$5:$A$3000,0)),"")</f>
        <v/>
      </c>
      <c r="O39" s="23">
        <f>IFERROR(INDEX('Chart of Accounts'!$C$5:$C$3000,MATCH(M39&amp;"",'Chart of Accounts'!$A$5:$A$3000,0))&amp;"|"&amp;INDEX('Chart of Accounts'!$D$5:$D$3000,MATCH(M39&amp;"",'Chart of Accounts'!$A$5:$A$3000,0)),"")</f>
        <v/>
      </c>
      <c r="P39" s="23">
        <f>IF(LEFT(N39,8)="Revenue|",-N(D39),0)+IF(LEFT(O39,8)="Revenue|",N(D39),0)</f>
        <v/>
      </c>
      <c r="Q39" s="23">
        <f>IF(LEFT(N39,5)="COGS|",N(D39),0)+IF(LEFT(O39,5)="COGS|",-N(D39),0)</f>
        <v/>
      </c>
      <c r="R39" s="23">
        <f>IF(LEFT(N39,8)="Expense|",N(D39),0)+IF(LEFT(O39,8)="Expense|",-N(D39),0)</f>
        <v/>
      </c>
      <c r="S39" s="23">
        <f>IF(ISNUMBER(MATCH(N39,{"Expense|employee","Expense|general_admin","Expense|marketing","Expense|utilities","Expense|other_operating"},0)),N(D39),0)+IF(ISNUMBER(MATCH(O39,{"Expense|employee","Expense|general_admin","Expense|marketing","Expense|utilities","Expense|other_operating"},0)),-N(D39),0)</f>
        <v/>
      </c>
      <c r="T39" s="23">
        <f>IF(N39="Liability|payable",-N(D39),0)+IF(O39="Liability|payable",N(D39),0)</f>
        <v/>
      </c>
      <c r="U39" s="23">
        <f>IF(N39="Liability|accrued",-N(D39),0)+IF(O39="Liability|accrued",N(D39),0)</f>
        <v/>
      </c>
      <c r="V39" s="23">
        <f>IF(AND(N(D39)&lt;&gt;0,N39=""),1,0)+IF(AND(N(D39)&lt;&gt;0,O39=""),1,0)</f>
        <v/>
      </c>
    </row>
    <row r="40">
      <c r="A40" s="19" t="n"/>
      <c r="B40" s="14" t="n"/>
      <c r="C40" s="14" t="n"/>
      <c r="D40" s="20" t="n"/>
      <c r="E40" s="14" t="n"/>
      <c r="F40" s="14" t="n"/>
      <c r="G40" s="14" t="n"/>
      <c r="H40" s="14" t="n"/>
      <c r="I40" s="14" t="n"/>
      <c r="J40" s="16">
        <f>IF(F40="",INDEX('Chart of Accounts'!$A$5:$A$3000,MATCH("bank",'Chart of Accounts'!$F$5:$F$3000,0)),F40&amp;"")</f>
        <v/>
      </c>
      <c r="K40" s="16">
        <f>IF(G40&lt;&gt;"",G40&amp;"",IF(LEFT(C40,7)="Capital",INDEX('Chart of Accounts'!$A$5:$A$3000,MATCH("capital",'Chart of Accounts'!$F$5:$F$3000,0)),INDEX('Chart of Accounts'!$A$5:$A$3000,MATCH("drawings",'Chart of Accounts'!$F$5:$F$3000,0))))</f>
        <v/>
      </c>
      <c r="L40" s="16">
        <f>IF(LEFT(C40,7)="Capital",J40,K40)</f>
        <v/>
      </c>
      <c r="M40" s="16">
        <f>IF(LEFT(C40,7)="Capital",K40,J40)</f>
        <v/>
      </c>
      <c r="N40" s="23">
        <f>IFERROR(INDEX('Chart of Accounts'!$C$5:$C$3000,MATCH(L40&amp;"",'Chart of Accounts'!$A$5:$A$3000,0))&amp;"|"&amp;INDEX('Chart of Accounts'!$D$5:$D$3000,MATCH(L40&amp;"",'Chart of Accounts'!$A$5:$A$3000,0)),"")</f>
        <v/>
      </c>
      <c r="O40" s="23">
        <f>IFERROR(INDEX('Chart of Accounts'!$C$5:$C$3000,MATCH(M40&amp;"",'Chart of Accounts'!$A$5:$A$3000,0))&amp;"|"&amp;INDEX('Chart of Accounts'!$D$5:$D$3000,MATCH(M40&amp;"",'Chart of Accounts'!$A$5:$A$3000,0)),"")</f>
        <v/>
      </c>
      <c r="P40" s="23">
        <f>IF(LEFT(N40,8)="Revenue|",-N(D40),0)+IF(LEFT(O40,8)="Revenue|",N(D40),0)</f>
        <v/>
      </c>
      <c r="Q40" s="23">
        <f>IF(LEFT(N40,5)="COGS|",N(D40),0)+IF(LEFT(O40,5)="COGS|",-N(D40),0)</f>
        <v/>
      </c>
      <c r="R40" s="23">
        <f>IF(LEFT(N40,8)="Expense|",N(D40),0)+IF(LEFT(O40,8)="Expense|",-N(D40),0)</f>
        <v/>
      </c>
      <c r="S40" s="23">
        <f>IF(ISNUMBER(MATCH(N40,{"Expense|employee","Expense|general_admin","Expense|marketing","Expense|utilities","Expense|other_operating"},0)),N(D40),0)+IF(ISNUMBER(MATCH(O40,{"Expense|employee","Expense|general_admin","Expense|marketing","Expense|utilities","Expense|other_operating"},0)),-N(D40),0)</f>
        <v/>
      </c>
      <c r="T40" s="23">
        <f>IF(N40="Liability|payable",-N(D40),0)+IF(O40="Liability|payable",N(D40),0)</f>
        <v/>
      </c>
      <c r="U40" s="23">
        <f>IF(N40="Liability|accrued",-N(D40),0)+IF(O40="Liability|accrued",N(D40),0)</f>
        <v/>
      </c>
      <c r="V40" s="23">
        <f>IF(AND(N(D40)&lt;&gt;0,N40=""),1,0)+IF(AND(N(D40)&lt;&gt;0,O40=""),1,0)</f>
        <v/>
      </c>
    </row>
    <row r="41">
      <c r="A41" s="19" t="n"/>
      <c r="B41" s="14" t="n"/>
      <c r="C41" s="14" t="n"/>
      <c r="D41" s="20" t="n"/>
      <c r="E41" s="14" t="n"/>
      <c r="F41" s="14" t="n"/>
      <c r="G41" s="14" t="n"/>
      <c r="H41" s="14" t="n"/>
      <c r="I41" s="14" t="n"/>
      <c r="J41" s="16">
        <f>IF(F41="",INDEX('Chart of Accounts'!$A$5:$A$3000,MATCH("bank",'Chart of Accounts'!$F$5:$F$3000,0)),F41&amp;"")</f>
        <v/>
      </c>
      <c r="K41" s="16">
        <f>IF(G41&lt;&gt;"",G41&amp;"",IF(LEFT(C41,7)="Capital",INDEX('Chart of Accounts'!$A$5:$A$3000,MATCH("capital",'Chart of Accounts'!$F$5:$F$3000,0)),INDEX('Chart of Accounts'!$A$5:$A$3000,MATCH("drawings",'Chart of Accounts'!$F$5:$F$3000,0))))</f>
        <v/>
      </c>
      <c r="L41" s="16">
        <f>IF(LEFT(C41,7)="Capital",J41,K41)</f>
        <v/>
      </c>
      <c r="M41" s="16">
        <f>IF(LEFT(C41,7)="Capital",K41,J41)</f>
        <v/>
      </c>
      <c r="N41" s="23">
        <f>IFERROR(INDEX('Chart of Accounts'!$C$5:$C$3000,MATCH(L41&amp;"",'Chart of Accounts'!$A$5:$A$3000,0))&amp;"|"&amp;INDEX('Chart of Accounts'!$D$5:$D$3000,MATCH(L41&amp;"",'Chart of Accounts'!$A$5:$A$3000,0)),"")</f>
        <v/>
      </c>
      <c r="O41" s="23">
        <f>IFERROR(INDEX('Chart of Accounts'!$C$5:$C$3000,MATCH(M41&amp;"",'Chart of Accounts'!$A$5:$A$3000,0))&amp;"|"&amp;INDEX('Chart of Accounts'!$D$5:$D$3000,MATCH(M41&amp;"",'Chart of Accounts'!$A$5:$A$3000,0)),"")</f>
        <v/>
      </c>
      <c r="P41" s="23">
        <f>IF(LEFT(N41,8)="Revenue|",-N(D41),0)+IF(LEFT(O41,8)="Revenue|",N(D41),0)</f>
        <v/>
      </c>
      <c r="Q41" s="23">
        <f>IF(LEFT(N41,5)="COGS|",N(D41),0)+IF(LEFT(O41,5)="COGS|",-N(D41),0)</f>
        <v/>
      </c>
      <c r="R41" s="23">
        <f>IF(LEFT(N41,8)="Expense|",N(D41),0)+IF(LEFT(O41,8)="Expense|",-N(D41),0)</f>
        <v/>
      </c>
      <c r="S41" s="23">
        <f>IF(ISNUMBER(MATCH(N41,{"Expense|employee","Expense|general_admin","Expense|marketing","Expense|utilities","Expense|other_operating"},0)),N(D41),0)+IF(ISNUMBER(MATCH(O41,{"Expense|employee","Expense|general_admin","Expense|marketing","Expense|utilities","Expense|other_operating"},0)),-N(D41),0)</f>
        <v/>
      </c>
      <c r="T41" s="23">
        <f>IF(N41="Liability|payable",-N(D41),0)+IF(O41="Liability|payable",N(D41),0)</f>
        <v/>
      </c>
      <c r="U41" s="23">
        <f>IF(N41="Liability|accrued",-N(D41),0)+IF(O41="Liability|accrued",N(D41),0)</f>
        <v/>
      </c>
      <c r="V41" s="23">
        <f>IF(AND(N(D41)&lt;&gt;0,N41=""),1,0)+IF(AND(N(D41)&lt;&gt;0,O41=""),1,0)</f>
        <v/>
      </c>
    </row>
    <row r="42">
      <c r="A42" s="19" t="n"/>
      <c r="B42" s="14" t="n"/>
      <c r="C42" s="14" t="n"/>
      <c r="D42" s="20" t="n"/>
      <c r="E42" s="14" t="n"/>
      <c r="F42" s="14" t="n"/>
      <c r="G42" s="14" t="n"/>
      <c r="H42" s="14" t="n"/>
      <c r="I42" s="14" t="n"/>
      <c r="J42" s="16">
        <f>IF(F42="",INDEX('Chart of Accounts'!$A$5:$A$3000,MATCH("bank",'Chart of Accounts'!$F$5:$F$3000,0)),F42&amp;"")</f>
        <v/>
      </c>
      <c r="K42" s="16">
        <f>IF(G42&lt;&gt;"",G42&amp;"",IF(LEFT(C42,7)="Capital",INDEX('Chart of Accounts'!$A$5:$A$3000,MATCH("capital",'Chart of Accounts'!$F$5:$F$3000,0)),INDEX('Chart of Accounts'!$A$5:$A$3000,MATCH("drawings",'Chart of Accounts'!$F$5:$F$3000,0))))</f>
        <v/>
      </c>
      <c r="L42" s="16">
        <f>IF(LEFT(C42,7)="Capital",J42,K42)</f>
        <v/>
      </c>
      <c r="M42" s="16">
        <f>IF(LEFT(C42,7)="Capital",K42,J42)</f>
        <v/>
      </c>
      <c r="N42" s="23">
        <f>IFERROR(INDEX('Chart of Accounts'!$C$5:$C$3000,MATCH(L42&amp;"",'Chart of Accounts'!$A$5:$A$3000,0))&amp;"|"&amp;INDEX('Chart of Accounts'!$D$5:$D$3000,MATCH(L42&amp;"",'Chart of Accounts'!$A$5:$A$3000,0)),"")</f>
        <v/>
      </c>
      <c r="O42" s="23">
        <f>IFERROR(INDEX('Chart of Accounts'!$C$5:$C$3000,MATCH(M42&amp;"",'Chart of Accounts'!$A$5:$A$3000,0))&amp;"|"&amp;INDEX('Chart of Accounts'!$D$5:$D$3000,MATCH(M42&amp;"",'Chart of Accounts'!$A$5:$A$3000,0)),"")</f>
        <v/>
      </c>
      <c r="P42" s="23">
        <f>IF(LEFT(N42,8)="Revenue|",-N(D42),0)+IF(LEFT(O42,8)="Revenue|",N(D42),0)</f>
        <v/>
      </c>
      <c r="Q42" s="23">
        <f>IF(LEFT(N42,5)="COGS|",N(D42),0)+IF(LEFT(O42,5)="COGS|",-N(D42),0)</f>
        <v/>
      </c>
      <c r="R42" s="23">
        <f>IF(LEFT(N42,8)="Expense|",N(D42),0)+IF(LEFT(O42,8)="Expense|",-N(D42),0)</f>
        <v/>
      </c>
      <c r="S42" s="23">
        <f>IF(ISNUMBER(MATCH(N42,{"Expense|employee","Expense|general_admin","Expense|marketing","Expense|utilities","Expense|other_operating"},0)),N(D42),0)+IF(ISNUMBER(MATCH(O42,{"Expense|employee","Expense|general_admin","Expense|marketing","Expense|utilities","Expense|other_operating"},0)),-N(D42),0)</f>
        <v/>
      </c>
      <c r="T42" s="23">
        <f>IF(N42="Liability|payable",-N(D42),0)+IF(O42="Liability|payable",N(D42),0)</f>
        <v/>
      </c>
      <c r="U42" s="23">
        <f>IF(N42="Liability|accrued",-N(D42),0)+IF(O42="Liability|accrued",N(D42),0)</f>
        <v/>
      </c>
      <c r="V42" s="23">
        <f>IF(AND(N(D42)&lt;&gt;0,N42=""),1,0)+IF(AND(N(D42)&lt;&gt;0,O42=""),1,0)</f>
        <v/>
      </c>
    </row>
    <row r="43">
      <c r="A43" s="19" t="n"/>
      <c r="B43" s="14" t="n"/>
      <c r="C43" s="14" t="n"/>
      <c r="D43" s="20" t="n"/>
      <c r="E43" s="14" t="n"/>
      <c r="F43" s="14" t="n"/>
      <c r="G43" s="14" t="n"/>
      <c r="H43" s="14" t="n"/>
      <c r="I43" s="14" t="n"/>
      <c r="J43" s="16">
        <f>IF(F43="",INDEX('Chart of Accounts'!$A$5:$A$3000,MATCH("bank",'Chart of Accounts'!$F$5:$F$3000,0)),F43&amp;"")</f>
        <v/>
      </c>
      <c r="K43" s="16">
        <f>IF(G43&lt;&gt;"",G43&amp;"",IF(LEFT(C43,7)="Capital",INDEX('Chart of Accounts'!$A$5:$A$3000,MATCH("capital",'Chart of Accounts'!$F$5:$F$3000,0)),INDEX('Chart of Accounts'!$A$5:$A$3000,MATCH("drawings",'Chart of Accounts'!$F$5:$F$3000,0))))</f>
        <v/>
      </c>
      <c r="L43" s="16">
        <f>IF(LEFT(C43,7)="Capital",J43,K43)</f>
        <v/>
      </c>
      <c r="M43" s="16">
        <f>IF(LEFT(C43,7)="Capital",K43,J43)</f>
        <v/>
      </c>
      <c r="N43" s="23">
        <f>IFERROR(INDEX('Chart of Accounts'!$C$5:$C$3000,MATCH(L43&amp;"",'Chart of Accounts'!$A$5:$A$3000,0))&amp;"|"&amp;INDEX('Chart of Accounts'!$D$5:$D$3000,MATCH(L43&amp;"",'Chart of Accounts'!$A$5:$A$3000,0)),"")</f>
        <v/>
      </c>
      <c r="O43" s="23">
        <f>IFERROR(INDEX('Chart of Accounts'!$C$5:$C$3000,MATCH(M43&amp;"",'Chart of Accounts'!$A$5:$A$3000,0))&amp;"|"&amp;INDEX('Chart of Accounts'!$D$5:$D$3000,MATCH(M43&amp;"",'Chart of Accounts'!$A$5:$A$3000,0)),"")</f>
        <v/>
      </c>
      <c r="P43" s="23">
        <f>IF(LEFT(N43,8)="Revenue|",-N(D43),0)+IF(LEFT(O43,8)="Revenue|",N(D43),0)</f>
        <v/>
      </c>
      <c r="Q43" s="23">
        <f>IF(LEFT(N43,5)="COGS|",N(D43),0)+IF(LEFT(O43,5)="COGS|",-N(D43),0)</f>
        <v/>
      </c>
      <c r="R43" s="23">
        <f>IF(LEFT(N43,8)="Expense|",N(D43),0)+IF(LEFT(O43,8)="Expense|",-N(D43),0)</f>
        <v/>
      </c>
      <c r="S43" s="23">
        <f>IF(ISNUMBER(MATCH(N43,{"Expense|employee","Expense|general_admin","Expense|marketing","Expense|utilities","Expense|other_operating"},0)),N(D43),0)+IF(ISNUMBER(MATCH(O43,{"Expense|employee","Expense|general_admin","Expense|marketing","Expense|utilities","Expense|other_operating"},0)),-N(D43),0)</f>
        <v/>
      </c>
      <c r="T43" s="23">
        <f>IF(N43="Liability|payable",-N(D43),0)+IF(O43="Liability|payable",N(D43),0)</f>
        <v/>
      </c>
      <c r="U43" s="23">
        <f>IF(N43="Liability|accrued",-N(D43),0)+IF(O43="Liability|accrued",N(D43),0)</f>
        <v/>
      </c>
      <c r="V43" s="23">
        <f>IF(AND(N(D43)&lt;&gt;0,N43=""),1,0)+IF(AND(N(D43)&lt;&gt;0,O43=""),1,0)</f>
        <v/>
      </c>
    </row>
    <row r="44">
      <c r="A44" s="19" t="n"/>
      <c r="B44" s="14" t="n"/>
      <c r="C44" s="14" t="n"/>
      <c r="D44" s="20" t="n"/>
      <c r="E44" s="14" t="n"/>
      <c r="F44" s="14" t="n"/>
      <c r="G44" s="14" t="n"/>
      <c r="H44" s="14" t="n"/>
      <c r="I44" s="14" t="n"/>
      <c r="J44" s="16">
        <f>IF(F44="",INDEX('Chart of Accounts'!$A$5:$A$3000,MATCH("bank",'Chart of Accounts'!$F$5:$F$3000,0)),F44&amp;"")</f>
        <v/>
      </c>
      <c r="K44" s="16">
        <f>IF(G44&lt;&gt;"",G44&amp;"",IF(LEFT(C44,7)="Capital",INDEX('Chart of Accounts'!$A$5:$A$3000,MATCH("capital",'Chart of Accounts'!$F$5:$F$3000,0)),INDEX('Chart of Accounts'!$A$5:$A$3000,MATCH("drawings",'Chart of Accounts'!$F$5:$F$3000,0))))</f>
        <v/>
      </c>
      <c r="L44" s="16">
        <f>IF(LEFT(C44,7)="Capital",J44,K44)</f>
        <v/>
      </c>
      <c r="M44" s="16">
        <f>IF(LEFT(C44,7)="Capital",K44,J44)</f>
        <v/>
      </c>
      <c r="N44" s="23">
        <f>IFERROR(INDEX('Chart of Accounts'!$C$5:$C$3000,MATCH(L44&amp;"",'Chart of Accounts'!$A$5:$A$3000,0))&amp;"|"&amp;INDEX('Chart of Accounts'!$D$5:$D$3000,MATCH(L44&amp;"",'Chart of Accounts'!$A$5:$A$3000,0)),"")</f>
        <v/>
      </c>
      <c r="O44" s="23">
        <f>IFERROR(INDEX('Chart of Accounts'!$C$5:$C$3000,MATCH(M44&amp;"",'Chart of Accounts'!$A$5:$A$3000,0))&amp;"|"&amp;INDEX('Chart of Accounts'!$D$5:$D$3000,MATCH(M44&amp;"",'Chart of Accounts'!$A$5:$A$3000,0)),"")</f>
        <v/>
      </c>
      <c r="P44" s="23">
        <f>IF(LEFT(N44,8)="Revenue|",-N(D44),0)+IF(LEFT(O44,8)="Revenue|",N(D44),0)</f>
        <v/>
      </c>
      <c r="Q44" s="23">
        <f>IF(LEFT(N44,5)="COGS|",N(D44),0)+IF(LEFT(O44,5)="COGS|",-N(D44),0)</f>
        <v/>
      </c>
      <c r="R44" s="23">
        <f>IF(LEFT(N44,8)="Expense|",N(D44),0)+IF(LEFT(O44,8)="Expense|",-N(D44),0)</f>
        <v/>
      </c>
      <c r="S44" s="23">
        <f>IF(ISNUMBER(MATCH(N44,{"Expense|employee","Expense|general_admin","Expense|marketing","Expense|utilities","Expense|other_operating"},0)),N(D44),0)+IF(ISNUMBER(MATCH(O44,{"Expense|employee","Expense|general_admin","Expense|marketing","Expense|utilities","Expense|other_operating"},0)),-N(D44),0)</f>
        <v/>
      </c>
      <c r="T44" s="23">
        <f>IF(N44="Liability|payable",-N(D44),0)+IF(O44="Liability|payable",N(D44),0)</f>
        <v/>
      </c>
      <c r="U44" s="23">
        <f>IF(N44="Liability|accrued",-N(D44),0)+IF(O44="Liability|accrued",N(D44),0)</f>
        <v/>
      </c>
      <c r="V44" s="23">
        <f>IF(AND(N(D44)&lt;&gt;0,N44=""),1,0)+IF(AND(N(D44)&lt;&gt;0,O44=""),1,0)</f>
        <v/>
      </c>
    </row>
    <row r="45">
      <c r="A45" s="19" t="n"/>
      <c r="B45" s="14" t="n"/>
      <c r="C45" s="14" t="n"/>
      <c r="D45" s="20" t="n"/>
      <c r="E45" s="14" t="n"/>
      <c r="F45" s="14" t="n"/>
      <c r="G45" s="14" t="n"/>
      <c r="H45" s="14" t="n"/>
      <c r="I45" s="14" t="n"/>
      <c r="J45" s="16">
        <f>IF(F45="",INDEX('Chart of Accounts'!$A$5:$A$3000,MATCH("bank",'Chart of Accounts'!$F$5:$F$3000,0)),F45&amp;"")</f>
        <v/>
      </c>
      <c r="K45" s="16">
        <f>IF(G45&lt;&gt;"",G45&amp;"",IF(LEFT(C45,7)="Capital",INDEX('Chart of Accounts'!$A$5:$A$3000,MATCH("capital",'Chart of Accounts'!$F$5:$F$3000,0)),INDEX('Chart of Accounts'!$A$5:$A$3000,MATCH("drawings",'Chart of Accounts'!$F$5:$F$3000,0))))</f>
        <v/>
      </c>
      <c r="L45" s="16">
        <f>IF(LEFT(C45,7)="Capital",J45,K45)</f>
        <v/>
      </c>
      <c r="M45" s="16">
        <f>IF(LEFT(C45,7)="Capital",K45,J45)</f>
        <v/>
      </c>
      <c r="N45" s="23">
        <f>IFERROR(INDEX('Chart of Accounts'!$C$5:$C$3000,MATCH(L45&amp;"",'Chart of Accounts'!$A$5:$A$3000,0))&amp;"|"&amp;INDEX('Chart of Accounts'!$D$5:$D$3000,MATCH(L45&amp;"",'Chart of Accounts'!$A$5:$A$3000,0)),"")</f>
        <v/>
      </c>
      <c r="O45" s="23">
        <f>IFERROR(INDEX('Chart of Accounts'!$C$5:$C$3000,MATCH(M45&amp;"",'Chart of Accounts'!$A$5:$A$3000,0))&amp;"|"&amp;INDEX('Chart of Accounts'!$D$5:$D$3000,MATCH(M45&amp;"",'Chart of Accounts'!$A$5:$A$3000,0)),"")</f>
        <v/>
      </c>
      <c r="P45" s="23">
        <f>IF(LEFT(N45,8)="Revenue|",-N(D45),0)+IF(LEFT(O45,8)="Revenue|",N(D45),0)</f>
        <v/>
      </c>
      <c r="Q45" s="23">
        <f>IF(LEFT(N45,5)="COGS|",N(D45),0)+IF(LEFT(O45,5)="COGS|",-N(D45),0)</f>
        <v/>
      </c>
      <c r="R45" s="23">
        <f>IF(LEFT(N45,8)="Expense|",N(D45),0)+IF(LEFT(O45,8)="Expense|",-N(D45),0)</f>
        <v/>
      </c>
      <c r="S45" s="23">
        <f>IF(ISNUMBER(MATCH(N45,{"Expense|employee","Expense|general_admin","Expense|marketing","Expense|utilities","Expense|other_operating"},0)),N(D45),0)+IF(ISNUMBER(MATCH(O45,{"Expense|employee","Expense|general_admin","Expense|marketing","Expense|utilities","Expense|other_operating"},0)),-N(D45),0)</f>
        <v/>
      </c>
      <c r="T45" s="23">
        <f>IF(N45="Liability|payable",-N(D45),0)+IF(O45="Liability|payable",N(D45),0)</f>
        <v/>
      </c>
      <c r="U45" s="23">
        <f>IF(N45="Liability|accrued",-N(D45),0)+IF(O45="Liability|accrued",N(D45),0)</f>
        <v/>
      </c>
      <c r="V45" s="23">
        <f>IF(AND(N(D45)&lt;&gt;0,N45=""),1,0)+IF(AND(N(D45)&lt;&gt;0,O45=""),1,0)</f>
        <v/>
      </c>
    </row>
    <row r="46">
      <c r="A46" s="19" t="n"/>
      <c r="B46" s="14" t="n"/>
      <c r="C46" s="14" t="n"/>
      <c r="D46" s="20" t="n"/>
      <c r="E46" s="14" t="n"/>
      <c r="F46" s="14" t="n"/>
      <c r="G46" s="14" t="n"/>
      <c r="H46" s="14" t="n"/>
      <c r="I46" s="14" t="n"/>
      <c r="J46" s="16">
        <f>IF(F46="",INDEX('Chart of Accounts'!$A$5:$A$3000,MATCH("bank",'Chart of Accounts'!$F$5:$F$3000,0)),F46&amp;"")</f>
        <v/>
      </c>
      <c r="K46" s="16">
        <f>IF(G46&lt;&gt;"",G46&amp;"",IF(LEFT(C46,7)="Capital",INDEX('Chart of Accounts'!$A$5:$A$3000,MATCH("capital",'Chart of Accounts'!$F$5:$F$3000,0)),INDEX('Chart of Accounts'!$A$5:$A$3000,MATCH("drawings",'Chart of Accounts'!$F$5:$F$3000,0))))</f>
        <v/>
      </c>
      <c r="L46" s="16">
        <f>IF(LEFT(C46,7)="Capital",J46,K46)</f>
        <v/>
      </c>
      <c r="M46" s="16">
        <f>IF(LEFT(C46,7)="Capital",K46,J46)</f>
        <v/>
      </c>
      <c r="N46" s="23">
        <f>IFERROR(INDEX('Chart of Accounts'!$C$5:$C$3000,MATCH(L46&amp;"",'Chart of Accounts'!$A$5:$A$3000,0))&amp;"|"&amp;INDEX('Chart of Accounts'!$D$5:$D$3000,MATCH(L46&amp;"",'Chart of Accounts'!$A$5:$A$3000,0)),"")</f>
        <v/>
      </c>
      <c r="O46" s="23">
        <f>IFERROR(INDEX('Chart of Accounts'!$C$5:$C$3000,MATCH(M46&amp;"",'Chart of Accounts'!$A$5:$A$3000,0))&amp;"|"&amp;INDEX('Chart of Accounts'!$D$5:$D$3000,MATCH(M46&amp;"",'Chart of Accounts'!$A$5:$A$3000,0)),"")</f>
        <v/>
      </c>
      <c r="P46" s="23">
        <f>IF(LEFT(N46,8)="Revenue|",-N(D46),0)+IF(LEFT(O46,8)="Revenue|",N(D46),0)</f>
        <v/>
      </c>
      <c r="Q46" s="23">
        <f>IF(LEFT(N46,5)="COGS|",N(D46),0)+IF(LEFT(O46,5)="COGS|",-N(D46),0)</f>
        <v/>
      </c>
      <c r="R46" s="23">
        <f>IF(LEFT(N46,8)="Expense|",N(D46),0)+IF(LEFT(O46,8)="Expense|",-N(D46),0)</f>
        <v/>
      </c>
      <c r="S46" s="23">
        <f>IF(ISNUMBER(MATCH(N46,{"Expense|employee","Expense|general_admin","Expense|marketing","Expense|utilities","Expense|other_operating"},0)),N(D46),0)+IF(ISNUMBER(MATCH(O46,{"Expense|employee","Expense|general_admin","Expense|marketing","Expense|utilities","Expense|other_operating"},0)),-N(D46),0)</f>
        <v/>
      </c>
      <c r="T46" s="23">
        <f>IF(N46="Liability|payable",-N(D46),0)+IF(O46="Liability|payable",N(D46),0)</f>
        <v/>
      </c>
      <c r="U46" s="23">
        <f>IF(N46="Liability|accrued",-N(D46),0)+IF(O46="Liability|accrued",N(D46),0)</f>
        <v/>
      </c>
      <c r="V46" s="23">
        <f>IF(AND(N(D46)&lt;&gt;0,N46=""),1,0)+IF(AND(N(D46)&lt;&gt;0,O46=""),1,0)</f>
        <v/>
      </c>
    </row>
    <row r="47">
      <c r="A47" s="19" t="n"/>
      <c r="B47" s="14" t="n"/>
      <c r="C47" s="14" t="n"/>
      <c r="D47" s="20" t="n"/>
      <c r="E47" s="14" t="n"/>
      <c r="F47" s="14" t="n"/>
      <c r="G47" s="14" t="n"/>
      <c r="H47" s="14" t="n"/>
      <c r="I47" s="14" t="n"/>
      <c r="J47" s="16">
        <f>IF(F47="",INDEX('Chart of Accounts'!$A$5:$A$3000,MATCH("bank",'Chart of Accounts'!$F$5:$F$3000,0)),F47&amp;"")</f>
        <v/>
      </c>
      <c r="K47" s="16">
        <f>IF(G47&lt;&gt;"",G47&amp;"",IF(LEFT(C47,7)="Capital",INDEX('Chart of Accounts'!$A$5:$A$3000,MATCH("capital",'Chart of Accounts'!$F$5:$F$3000,0)),INDEX('Chart of Accounts'!$A$5:$A$3000,MATCH("drawings",'Chart of Accounts'!$F$5:$F$3000,0))))</f>
        <v/>
      </c>
      <c r="L47" s="16">
        <f>IF(LEFT(C47,7)="Capital",J47,K47)</f>
        <v/>
      </c>
      <c r="M47" s="16">
        <f>IF(LEFT(C47,7)="Capital",K47,J47)</f>
        <v/>
      </c>
      <c r="N47" s="23">
        <f>IFERROR(INDEX('Chart of Accounts'!$C$5:$C$3000,MATCH(L47&amp;"",'Chart of Accounts'!$A$5:$A$3000,0))&amp;"|"&amp;INDEX('Chart of Accounts'!$D$5:$D$3000,MATCH(L47&amp;"",'Chart of Accounts'!$A$5:$A$3000,0)),"")</f>
        <v/>
      </c>
      <c r="O47" s="23">
        <f>IFERROR(INDEX('Chart of Accounts'!$C$5:$C$3000,MATCH(M47&amp;"",'Chart of Accounts'!$A$5:$A$3000,0))&amp;"|"&amp;INDEX('Chart of Accounts'!$D$5:$D$3000,MATCH(M47&amp;"",'Chart of Accounts'!$A$5:$A$3000,0)),"")</f>
        <v/>
      </c>
      <c r="P47" s="23">
        <f>IF(LEFT(N47,8)="Revenue|",-N(D47),0)+IF(LEFT(O47,8)="Revenue|",N(D47),0)</f>
        <v/>
      </c>
      <c r="Q47" s="23">
        <f>IF(LEFT(N47,5)="COGS|",N(D47),0)+IF(LEFT(O47,5)="COGS|",-N(D47),0)</f>
        <v/>
      </c>
      <c r="R47" s="23">
        <f>IF(LEFT(N47,8)="Expense|",N(D47),0)+IF(LEFT(O47,8)="Expense|",-N(D47),0)</f>
        <v/>
      </c>
      <c r="S47" s="23">
        <f>IF(ISNUMBER(MATCH(N47,{"Expense|employee","Expense|general_admin","Expense|marketing","Expense|utilities","Expense|other_operating"},0)),N(D47),0)+IF(ISNUMBER(MATCH(O47,{"Expense|employee","Expense|general_admin","Expense|marketing","Expense|utilities","Expense|other_operating"},0)),-N(D47),0)</f>
        <v/>
      </c>
      <c r="T47" s="23">
        <f>IF(N47="Liability|payable",-N(D47),0)+IF(O47="Liability|payable",N(D47),0)</f>
        <v/>
      </c>
      <c r="U47" s="23">
        <f>IF(N47="Liability|accrued",-N(D47),0)+IF(O47="Liability|accrued",N(D47),0)</f>
        <v/>
      </c>
      <c r="V47" s="23">
        <f>IF(AND(N(D47)&lt;&gt;0,N47=""),1,0)+IF(AND(N(D47)&lt;&gt;0,O47=""),1,0)</f>
        <v/>
      </c>
    </row>
    <row r="48">
      <c r="A48" s="19" t="n"/>
      <c r="B48" s="14" t="n"/>
      <c r="C48" s="14" t="n"/>
      <c r="D48" s="20" t="n"/>
      <c r="E48" s="14" t="n"/>
      <c r="F48" s="14" t="n"/>
      <c r="G48" s="14" t="n"/>
      <c r="H48" s="14" t="n"/>
      <c r="I48" s="14" t="n"/>
      <c r="J48" s="16">
        <f>IF(F48="",INDEX('Chart of Accounts'!$A$5:$A$3000,MATCH("bank",'Chart of Accounts'!$F$5:$F$3000,0)),F48&amp;"")</f>
        <v/>
      </c>
      <c r="K48" s="16">
        <f>IF(G48&lt;&gt;"",G48&amp;"",IF(LEFT(C48,7)="Capital",INDEX('Chart of Accounts'!$A$5:$A$3000,MATCH("capital",'Chart of Accounts'!$F$5:$F$3000,0)),INDEX('Chart of Accounts'!$A$5:$A$3000,MATCH("drawings",'Chart of Accounts'!$F$5:$F$3000,0))))</f>
        <v/>
      </c>
      <c r="L48" s="16">
        <f>IF(LEFT(C48,7)="Capital",J48,K48)</f>
        <v/>
      </c>
      <c r="M48" s="16">
        <f>IF(LEFT(C48,7)="Capital",K48,J48)</f>
        <v/>
      </c>
      <c r="N48" s="23">
        <f>IFERROR(INDEX('Chart of Accounts'!$C$5:$C$3000,MATCH(L48&amp;"",'Chart of Accounts'!$A$5:$A$3000,0))&amp;"|"&amp;INDEX('Chart of Accounts'!$D$5:$D$3000,MATCH(L48&amp;"",'Chart of Accounts'!$A$5:$A$3000,0)),"")</f>
        <v/>
      </c>
      <c r="O48" s="23">
        <f>IFERROR(INDEX('Chart of Accounts'!$C$5:$C$3000,MATCH(M48&amp;"",'Chart of Accounts'!$A$5:$A$3000,0))&amp;"|"&amp;INDEX('Chart of Accounts'!$D$5:$D$3000,MATCH(M48&amp;"",'Chart of Accounts'!$A$5:$A$3000,0)),"")</f>
        <v/>
      </c>
      <c r="P48" s="23">
        <f>IF(LEFT(N48,8)="Revenue|",-N(D48),0)+IF(LEFT(O48,8)="Revenue|",N(D48),0)</f>
        <v/>
      </c>
      <c r="Q48" s="23">
        <f>IF(LEFT(N48,5)="COGS|",N(D48),0)+IF(LEFT(O48,5)="COGS|",-N(D48),0)</f>
        <v/>
      </c>
      <c r="R48" s="23">
        <f>IF(LEFT(N48,8)="Expense|",N(D48),0)+IF(LEFT(O48,8)="Expense|",-N(D48),0)</f>
        <v/>
      </c>
      <c r="S48" s="23">
        <f>IF(ISNUMBER(MATCH(N48,{"Expense|employee","Expense|general_admin","Expense|marketing","Expense|utilities","Expense|other_operating"},0)),N(D48),0)+IF(ISNUMBER(MATCH(O48,{"Expense|employee","Expense|general_admin","Expense|marketing","Expense|utilities","Expense|other_operating"},0)),-N(D48),0)</f>
        <v/>
      </c>
      <c r="T48" s="23">
        <f>IF(N48="Liability|payable",-N(D48),0)+IF(O48="Liability|payable",N(D48),0)</f>
        <v/>
      </c>
      <c r="U48" s="23">
        <f>IF(N48="Liability|accrued",-N(D48),0)+IF(O48="Liability|accrued",N(D48),0)</f>
        <v/>
      </c>
      <c r="V48" s="23">
        <f>IF(AND(N(D48)&lt;&gt;0,N48=""),1,0)+IF(AND(N(D48)&lt;&gt;0,O48=""),1,0)</f>
        <v/>
      </c>
    </row>
    <row r="49">
      <c r="A49" s="19" t="n"/>
      <c r="B49" s="14" t="n"/>
      <c r="C49" s="14" t="n"/>
      <c r="D49" s="20" t="n"/>
      <c r="E49" s="14" t="n"/>
      <c r="F49" s="14" t="n"/>
      <c r="G49" s="14" t="n"/>
      <c r="H49" s="14" t="n"/>
      <c r="I49" s="14" t="n"/>
      <c r="J49" s="16">
        <f>IF(F49="",INDEX('Chart of Accounts'!$A$5:$A$3000,MATCH("bank",'Chart of Accounts'!$F$5:$F$3000,0)),F49&amp;"")</f>
        <v/>
      </c>
      <c r="K49" s="16">
        <f>IF(G49&lt;&gt;"",G49&amp;"",IF(LEFT(C49,7)="Capital",INDEX('Chart of Accounts'!$A$5:$A$3000,MATCH("capital",'Chart of Accounts'!$F$5:$F$3000,0)),INDEX('Chart of Accounts'!$A$5:$A$3000,MATCH("drawings",'Chart of Accounts'!$F$5:$F$3000,0))))</f>
        <v/>
      </c>
      <c r="L49" s="16">
        <f>IF(LEFT(C49,7)="Capital",J49,K49)</f>
        <v/>
      </c>
      <c r="M49" s="16">
        <f>IF(LEFT(C49,7)="Capital",K49,J49)</f>
        <v/>
      </c>
      <c r="N49" s="23">
        <f>IFERROR(INDEX('Chart of Accounts'!$C$5:$C$3000,MATCH(L49&amp;"",'Chart of Accounts'!$A$5:$A$3000,0))&amp;"|"&amp;INDEX('Chart of Accounts'!$D$5:$D$3000,MATCH(L49&amp;"",'Chart of Accounts'!$A$5:$A$3000,0)),"")</f>
        <v/>
      </c>
      <c r="O49" s="23">
        <f>IFERROR(INDEX('Chart of Accounts'!$C$5:$C$3000,MATCH(M49&amp;"",'Chart of Accounts'!$A$5:$A$3000,0))&amp;"|"&amp;INDEX('Chart of Accounts'!$D$5:$D$3000,MATCH(M49&amp;"",'Chart of Accounts'!$A$5:$A$3000,0)),"")</f>
        <v/>
      </c>
      <c r="P49" s="23">
        <f>IF(LEFT(N49,8)="Revenue|",-N(D49),0)+IF(LEFT(O49,8)="Revenue|",N(D49),0)</f>
        <v/>
      </c>
      <c r="Q49" s="23">
        <f>IF(LEFT(N49,5)="COGS|",N(D49),0)+IF(LEFT(O49,5)="COGS|",-N(D49),0)</f>
        <v/>
      </c>
      <c r="R49" s="23">
        <f>IF(LEFT(N49,8)="Expense|",N(D49),0)+IF(LEFT(O49,8)="Expense|",-N(D49),0)</f>
        <v/>
      </c>
      <c r="S49" s="23">
        <f>IF(ISNUMBER(MATCH(N49,{"Expense|employee","Expense|general_admin","Expense|marketing","Expense|utilities","Expense|other_operating"},0)),N(D49),0)+IF(ISNUMBER(MATCH(O49,{"Expense|employee","Expense|general_admin","Expense|marketing","Expense|utilities","Expense|other_operating"},0)),-N(D49),0)</f>
        <v/>
      </c>
      <c r="T49" s="23">
        <f>IF(N49="Liability|payable",-N(D49),0)+IF(O49="Liability|payable",N(D49),0)</f>
        <v/>
      </c>
      <c r="U49" s="23">
        <f>IF(N49="Liability|accrued",-N(D49),0)+IF(O49="Liability|accrued",N(D49),0)</f>
        <v/>
      </c>
      <c r="V49" s="23">
        <f>IF(AND(N(D49)&lt;&gt;0,N49=""),1,0)+IF(AND(N(D49)&lt;&gt;0,O49=""),1,0)</f>
        <v/>
      </c>
    </row>
    <row r="50">
      <c r="A50" s="19" t="n"/>
      <c r="B50" s="14" t="n"/>
      <c r="C50" s="14" t="n"/>
      <c r="D50" s="20" t="n"/>
      <c r="E50" s="14" t="n"/>
      <c r="F50" s="14" t="n"/>
      <c r="G50" s="14" t="n"/>
      <c r="H50" s="14" t="n"/>
      <c r="I50" s="14" t="n"/>
      <c r="J50" s="16">
        <f>IF(F50="",INDEX('Chart of Accounts'!$A$5:$A$3000,MATCH("bank",'Chart of Accounts'!$F$5:$F$3000,0)),F50&amp;"")</f>
        <v/>
      </c>
      <c r="K50" s="16">
        <f>IF(G50&lt;&gt;"",G50&amp;"",IF(LEFT(C50,7)="Capital",INDEX('Chart of Accounts'!$A$5:$A$3000,MATCH("capital",'Chart of Accounts'!$F$5:$F$3000,0)),INDEX('Chart of Accounts'!$A$5:$A$3000,MATCH("drawings",'Chart of Accounts'!$F$5:$F$3000,0))))</f>
        <v/>
      </c>
      <c r="L50" s="16">
        <f>IF(LEFT(C50,7)="Capital",J50,K50)</f>
        <v/>
      </c>
      <c r="M50" s="16">
        <f>IF(LEFT(C50,7)="Capital",K50,J50)</f>
        <v/>
      </c>
      <c r="N50" s="23">
        <f>IFERROR(INDEX('Chart of Accounts'!$C$5:$C$3000,MATCH(L50&amp;"",'Chart of Accounts'!$A$5:$A$3000,0))&amp;"|"&amp;INDEX('Chart of Accounts'!$D$5:$D$3000,MATCH(L50&amp;"",'Chart of Accounts'!$A$5:$A$3000,0)),"")</f>
        <v/>
      </c>
      <c r="O50" s="23">
        <f>IFERROR(INDEX('Chart of Accounts'!$C$5:$C$3000,MATCH(M50&amp;"",'Chart of Accounts'!$A$5:$A$3000,0))&amp;"|"&amp;INDEX('Chart of Accounts'!$D$5:$D$3000,MATCH(M50&amp;"",'Chart of Accounts'!$A$5:$A$3000,0)),"")</f>
        <v/>
      </c>
      <c r="P50" s="23">
        <f>IF(LEFT(N50,8)="Revenue|",-N(D50),0)+IF(LEFT(O50,8)="Revenue|",N(D50),0)</f>
        <v/>
      </c>
      <c r="Q50" s="23">
        <f>IF(LEFT(N50,5)="COGS|",N(D50),0)+IF(LEFT(O50,5)="COGS|",-N(D50),0)</f>
        <v/>
      </c>
      <c r="R50" s="23">
        <f>IF(LEFT(N50,8)="Expense|",N(D50),0)+IF(LEFT(O50,8)="Expense|",-N(D50),0)</f>
        <v/>
      </c>
      <c r="S50" s="23">
        <f>IF(ISNUMBER(MATCH(N50,{"Expense|employee","Expense|general_admin","Expense|marketing","Expense|utilities","Expense|other_operating"},0)),N(D50),0)+IF(ISNUMBER(MATCH(O50,{"Expense|employee","Expense|general_admin","Expense|marketing","Expense|utilities","Expense|other_operating"},0)),-N(D50),0)</f>
        <v/>
      </c>
      <c r="T50" s="23">
        <f>IF(N50="Liability|payable",-N(D50),0)+IF(O50="Liability|payable",N(D50),0)</f>
        <v/>
      </c>
      <c r="U50" s="23">
        <f>IF(N50="Liability|accrued",-N(D50),0)+IF(O50="Liability|accrued",N(D50),0)</f>
        <v/>
      </c>
      <c r="V50" s="23">
        <f>IF(AND(N(D50)&lt;&gt;0,N50=""),1,0)+IF(AND(N(D50)&lt;&gt;0,O50=""),1,0)</f>
        <v/>
      </c>
    </row>
    <row r="51">
      <c r="A51" s="19" t="n"/>
      <c r="B51" s="14" t="n"/>
      <c r="C51" s="14" t="n"/>
      <c r="D51" s="20" t="n"/>
      <c r="E51" s="14" t="n"/>
      <c r="F51" s="14" t="n"/>
      <c r="G51" s="14" t="n"/>
      <c r="H51" s="14" t="n"/>
      <c r="I51" s="14" t="n"/>
      <c r="J51" s="16">
        <f>IF(F51="",INDEX('Chart of Accounts'!$A$5:$A$3000,MATCH("bank",'Chart of Accounts'!$F$5:$F$3000,0)),F51&amp;"")</f>
        <v/>
      </c>
      <c r="K51" s="16">
        <f>IF(G51&lt;&gt;"",G51&amp;"",IF(LEFT(C51,7)="Capital",INDEX('Chart of Accounts'!$A$5:$A$3000,MATCH("capital",'Chart of Accounts'!$F$5:$F$3000,0)),INDEX('Chart of Accounts'!$A$5:$A$3000,MATCH("drawings",'Chart of Accounts'!$F$5:$F$3000,0))))</f>
        <v/>
      </c>
      <c r="L51" s="16">
        <f>IF(LEFT(C51,7)="Capital",J51,K51)</f>
        <v/>
      </c>
      <c r="M51" s="16">
        <f>IF(LEFT(C51,7)="Capital",K51,J51)</f>
        <v/>
      </c>
      <c r="N51" s="23">
        <f>IFERROR(INDEX('Chart of Accounts'!$C$5:$C$3000,MATCH(L51&amp;"",'Chart of Accounts'!$A$5:$A$3000,0))&amp;"|"&amp;INDEX('Chart of Accounts'!$D$5:$D$3000,MATCH(L51&amp;"",'Chart of Accounts'!$A$5:$A$3000,0)),"")</f>
        <v/>
      </c>
      <c r="O51" s="23">
        <f>IFERROR(INDEX('Chart of Accounts'!$C$5:$C$3000,MATCH(M51&amp;"",'Chart of Accounts'!$A$5:$A$3000,0))&amp;"|"&amp;INDEX('Chart of Accounts'!$D$5:$D$3000,MATCH(M51&amp;"",'Chart of Accounts'!$A$5:$A$3000,0)),"")</f>
        <v/>
      </c>
      <c r="P51" s="23">
        <f>IF(LEFT(N51,8)="Revenue|",-N(D51),0)+IF(LEFT(O51,8)="Revenue|",N(D51),0)</f>
        <v/>
      </c>
      <c r="Q51" s="23">
        <f>IF(LEFT(N51,5)="COGS|",N(D51),0)+IF(LEFT(O51,5)="COGS|",-N(D51),0)</f>
        <v/>
      </c>
      <c r="R51" s="23">
        <f>IF(LEFT(N51,8)="Expense|",N(D51),0)+IF(LEFT(O51,8)="Expense|",-N(D51),0)</f>
        <v/>
      </c>
      <c r="S51" s="23">
        <f>IF(ISNUMBER(MATCH(N51,{"Expense|employee","Expense|general_admin","Expense|marketing","Expense|utilities","Expense|other_operating"},0)),N(D51),0)+IF(ISNUMBER(MATCH(O51,{"Expense|employee","Expense|general_admin","Expense|marketing","Expense|utilities","Expense|other_operating"},0)),-N(D51),0)</f>
        <v/>
      </c>
      <c r="T51" s="23">
        <f>IF(N51="Liability|payable",-N(D51),0)+IF(O51="Liability|payable",N(D51),0)</f>
        <v/>
      </c>
      <c r="U51" s="23">
        <f>IF(N51="Liability|accrued",-N(D51),0)+IF(O51="Liability|accrued",N(D51),0)</f>
        <v/>
      </c>
      <c r="V51" s="23">
        <f>IF(AND(N(D51)&lt;&gt;0,N51=""),1,0)+IF(AND(N(D51)&lt;&gt;0,O51=""),1,0)</f>
        <v/>
      </c>
    </row>
    <row r="52">
      <c r="A52" s="19" t="n"/>
      <c r="B52" s="14" t="n"/>
      <c r="C52" s="14" t="n"/>
      <c r="D52" s="20" t="n"/>
      <c r="E52" s="14" t="n"/>
      <c r="F52" s="14" t="n"/>
      <c r="G52" s="14" t="n"/>
      <c r="H52" s="14" t="n"/>
      <c r="I52" s="14" t="n"/>
      <c r="J52" s="16">
        <f>IF(F52="",INDEX('Chart of Accounts'!$A$5:$A$3000,MATCH("bank",'Chart of Accounts'!$F$5:$F$3000,0)),F52&amp;"")</f>
        <v/>
      </c>
      <c r="K52" s="16">
        <f>IF(G52&lt;&gt;"",G52&amp;"",IF(LEFT(C52,7)="Capital",INDEX('Chart of Accounts'!$A$5:$A$3000,MATCH("capital",'Chart of Accounts'!$F$5:$F$3000,0)),INDEX('Chart of Accounts'!$A$5:$A$3000,MATCH("drawings",'Chart of Accounts'!$F$5:$F$3000,0))))</f>
        <v/>
      </c>
      <c r="L52" s="16">
        <f>IF(LEFT(C52,7)="Capital",J52,K52)</f>
        <v/>
      </c>
      <c r="M52" s="16">
        <f>IF(LEFT(C52,7)="Capital",K52,J52)</f>
        <v/>
      </c>
      <c r="N52" s="23">
        <f>IFERROR(INDEX('Chart of Accounts'!$C$5:$C$3000,MATCH(L52&amp;"",'Chart of Accounts'!$A$5:$A$3000,0))&amp;"|"&amp;INDEX('Chart of Accounts'!$D$5:$D$3000,MATCH(L52&amp;"",'Chart of Accounts'!$A$5:$A$3000,0)),"")</f>
        <v/>
      </c>
      <c r="O52" s="23">
        <f>IFERROR(INDEX('Chart of Accounts'!$C$5:$C$3000,MATCH(M52&amp;"",'Chart of Accounts'!$A$5:$A$3000,0))&amp;"|"&amp;INDEX('Chart of Accounts'!$D$5:$D$3000,MATCH(M52&amp;"",'Chart of Accounts'!$A$5:$A$3000,0)),"")</f>
        <v/>
      </c>
      <c r="P52" s="23">
        <f>IF(LEFT(N52,8)="Revenue|",-N(D52),0)+IF(LEFT(O52,8)="Revenue|",N(D52),0)</f>
        <v/>
      </c>
      <c r="Q52" s="23">
        <f>IF(LEFT(N52,5)="COGS|",N(D52),0)+IF(LEFT(O52,5)="COGS|",-N(D52),0)</f>
        <v/>
      </c>
      <c r="R52" s="23">
        <f>IF(LEFT(N52,8)="Expense|",N(D52),0)+IF(LEFT(O52,8)="Expense|",-N(D52),0)</f>
        <v/>
      </c>
      <c r="S52" s="23">
        <f>IF(ISNUMBER(MATCH(N52,{"Expense|employee","Expense|general_admin","Expense|marketing","Expense|utilities","Expense|other_operating"},0)),N(D52),0)+IF(ISNUMBER(MATCH(O52,{"Expense|employee","Expense|general_admin","Expense|marketing","Expense|utilities","Expense|other_operating"},0)),-N(D52),0)</f>
        <v/>
      </c>
      <c r="T52" s="23">
        <f>IF(N52="Liability|payable",-N(D52),0)+IF(O52="Liability|payable",N(D52),0)</f>
        <v/>
      </c>
      <c r="U52" s="23">
        <f>IF(N52="Liability|accrued",-N(D52),0)+IF(O52="Liability|accrued",N(D52),0)</f>
        <v/>
      </c>
      <c r="V52" s="23">
        <f>IF(AND(N(D52)&lt;&gt;0,N52=""),1,0)+IF(AND(N(D52)&lt;&gt;0,O52=""),1,0)</f>
        <v/>
      </c>
    </row>
    <row r="53">
      <c r="A53" s="19" t="n"/>
      <c r="B53" s="14" t="n"/>
      <c r="C53" s="14" t="n"/>
      <c r="D53" s="20" t="n"/>
      <c r="E53" s="14" t="n"/>
      <c r="F53" s="14" t="n"/>
      <c r="G53" s="14" t="n"/>
      <c r="H53" s="14" t="n"/>
      <c r="I53" s="14" t="n"/>
      <c r="J53" s="16">
        <f>IF(F53="",INDEX('Chart of Accounts'!$A$5:$A$3000,MATCH("bank",'Chart of Accounts'!$F$5:$F$3000,0)),F53&amp;"")</f>
        <v/>
      </c>
      <c r="K53" s="16">
        <f>IF(G53&lt;&gt;"",G53&amp;"",IF(LEFT(C53,7)="Capital",INDEX('Chart of Accounts'!$A$5:$A$3000,MATCH("capital",'Chart of Accounts'!$F$5:$F$3000,0)),INDEX('Chart of Accounts'!$A$5:$A$3000,MATCH("drawings",'Chart of Accounts'!$F$5:$F$3000,0))))</f>
        <v/>
      </c>
      <c r="L53" s="16">
        <f>IF(LEFT(C53,7)="Capital",J53,K53)</f>
        <v/>
      </c>
      <c r="M53" s="16">
        <f>IF(LEFT(C53,7)="Capital",K53,J53)</f>
        <v/>
      </c>
      <c r="N53" s="23">
        <f>IFERROR(INDEX('Chart of Accounts'!$C$5:$C$3000,MATCH(L53&amp;"",'Chart of Accounts'!$A$5:$A$3000,0))&amp;"|"&amp;INDEX('Chart of Accounts'!$D$5:$D$3000,MATCH(L53&amp;"",'Chart of Accounts'!$A$5:$A$3000,0)),"")</f>
        <v/>
      </c>
      <c r="O53" s="23">
        <f>IFERROR(INDEX('Chart of Accounts'!$C$5:$C$3000,MATCH(M53&amp;"",'Chart of Accounts'!$A$5:$A$3000,0))&amp;"|"&amp;INDEX('Chart of Accounts'!$D$5:$D$3000,MATCH(M53&amp;"",'Chart of Accounts'!$A$5:$A$3000,0)),"")</f>
        <v/>
      </c>
      <c r="P53" s="23">
        <f>IF(LEFT(N53,8)="Revenue|",-N(D53),0)+IF(LEFT(O53,8)="Revenue|",N(D53),0)</f>
        <v/>
      </c>
      <c r="Q53" s="23">
        <f>IF(LEFT(N53,5)="COGS|",N(D53),0)+IF(LEFT(O53,5)="COGS|",-N(D53),0)</f>
        <v/>
      </c>
      <c r="R53" s="23">
        <f>IF(LEFT(N53,8)="Expense|",N(D53),0)+IF(LEFT(O53,8)="Expense|",-N(D53),0)</f>
        <v/>
      </c>
      <c r="S53" s="23">
        <f>IF(ISNUMBER(MATCH(N53,{"Expense|employee","Expense|general_admin","Expense|marketing","Expense|utilities","Expense|other_operating"},0)),N(D53),0)+IF(ISNUMBER(MATCH(O53,{"Expense|employee","Expense|general_admin","Expense|marketing","Expense|utilities","Expense|other_operating"},0)),-N(D53),0)</f>
        <v/>
      </c>
      <c r="T53" s="23">
        <f>IF(N53="Liability|payable",-N(D53),0)+IF(O53="Liability|payable",N(D53),0)</f>
        <v/>
      </c>
      <c r="U53" s="23">
        <f>IF(N53="Liability|accrued",-N(D53),0)+IF(O53="Liability|accrued",N(D53),0)</f>
        <v/>
      </c>
      <c r="V53" s="23">
        <f>IF(AND(N(D53)&lt;&gt;0,N53=""),1,0)+IF(AND(N(D53)&lt;&gt;0,O53=""),1,0)</f>
        <v/>
      </c>
    </row>
    <row r="54">
      <c r="A54" s="19" t="n"/>
      <c r="B54" s="14" t="n"/>
      <c r="C54" s="14" t="n"/>
      <c r="D54" s="20" t="n"/>
      <c r="E54" s="14" t="n"/>
      <c r="F54" s="14" t="n"/>
      <c r="G54" s="14" t="n"/>
      <c r="H54" s="14" t="n"/>
      <c r="I54" s="14" t="n"/>
      <c r="J54" s="16">
        <f>IF(F54="",INDEX('Chart of Accounts'!$A$5:$A$3000,MATCH("bank",'Chart of Accounts'!$F$5:$F$3000,0)),F54&amp;"")</f>
        <v/>
      </c>
      <c r="K54" s="16">
        <f>IF(G54&lt;&gt;"",G54&amp;"",IF(LEFT(C54,7)="Capital",INDEX('Chart of Accounts'!$A$5:$A$3000,MATCH("capital",'Chart of Accounts'!$F$5:$F$3000,0)),INDEX('Chart of Accounts'!$A$5:$A$3000,MATCH("drawings",'Chart of Accounts'!$F$5:$F$3000,0))))</f>
        <v/>
      </c>
      <c r="L54" s="16">
        <f>IF(LEFT(C54,7)="Capital",J54,K54)</f>
        <v/>
      </c>
      <c r="M54" s="16">
        <f>IF(LEFT(C54,7)="Capital",K54,J54)</f>
        <v/>
      </c>
      <c r="N54" s="23">
        <f>IFERROR(INDEX('Chart of Accounts'!$C$5:$C$3000,MATCH(L54&amp;"",'Chart of Accounts'!$A$5:$A$3000,0))&amp;"|"&amp;INDEX('Chart of Accounts'!$D$5:$D$3000,MATCH(L54&amp;"",'Chart of Accounts'!$A$5:$A$3000,0)),"")</f>
        <v/>
      </c>
      <c r="O54" s="23">
        <f>IFERROR(INDEX('Chart of Accounts'!$C$5:$C$3000,MATCH(M54&amp;"",'Chart of Accounts'!$A$5:$A$3000,0))&amp;"|"&amp;INDEX('Chart of Accounts'!$D$5:$D$3000,MATCH(M54&amp;"",'Chart of Accounts'!$A$5:$A$3000,0)),"")</f>
        <v/>
      </c>
      <c r="P54" s="23">
        <f>IF(LEFT(N54,8)="Revenue|",-N(D54),0)+IF(LEFT(O54,8)="Revenue|",N(D54),0)</f>
        <v/>
      </c>
      <c r="Q54" s="23">
        <f>IF(LEFT(N54,5)="COGS|",N(D54),0)+IF(LEFT(O54,5)="COGS|",-N(D54),0)</f>
        <v/>
      </c>
      <c r="R54" s="23">
        <f>IF(LEFT(N54,8)="Expense|",N(D54),0)+IF(LEFT(O54,8)="Expense|",-N(D54),0)</f>
        <v/>
      </c>
      <c r="S54" s="23">
        <f>IF(ISNUMBER(MATCH(N54,{"Expense|employee","Expense|general_admin","Expense|marketing","Expense|utilities","Expense|other_operating"},0)),N(D54),0)+IF(ISNUMBER(MATCH(O54,{"Expense|employee","Expense|general_admin","Expense|marketing","Expense|utilities","Expense|other_operating"},0)),-N(D54),0)</f>
        <v/>
      </c>
      <c r="T54" s="23">
        <f>IF(N54="Liability|payable",-N(D54),0)+IF(O54="Liability|payable",N(D54),0)</f>
        <v/>
      </c>
      <c r="U54" s="23">
        <f>IF(N54="Liability|accrued",-N(D54),0)+IF(O54="Liability|accrued",N(D54),0)</f>
        <v/>
      </c>
      <c r="V54" s="23">
        <f>IF(AND(N(D54)&lt;&gt;0,N54=""),1,0)+IF(AND(N(D54)&lt;&gt;0,O54=""),1,0)</f>
        <v/>
      </c>
    </row>
    <row r="55">
      <c r="A55" s="19" t="n"/>
      <c r="B55" s="14" t="n"/>
      <c r="C55" s="14" t="n"/>
      <c r="D55" s="20" t="n"/>
      <c r="E55" s="14" t="n"/>
      <c r="F55" s="14" t="n"/>
      <c r="G55" s="14" t="n"/>
      <c r="H55" s="14" t="n"/>
      <c r="I55" s="14" t="n"/>
      <c r="J55" s="16">
        <f>IF(F55="",INDEX('Chart of Accounts'!$A$5:$A$3000,MATCH("bank",'Chart of Accounts'!$F$5:$F$3000,0)),F55&amp;"")</f>
        <v/>
      </c>
      <c r="K55" s="16">
        <f>IF(G55&lt;&gt;"",G55&amp;"",IF(LEFT(C55,7)="Capital",INDEX('Chart of Accounts'!$A$5:$A$3000,MATCH("capital",'Chart of Accounts'!$F$5:$F$3000,0)),INDEX('Chart of Accounts'!$A$5:$A$3000,MATCH("drawings",'Chart of Accounts'!$F$5:$F$3000,0))))</f>
        <v/>
      </c>
      <c r="L55" s="16">
        <f>IF(LEFT(C55,7)="Capital",J55,K55)</f>
        <v/>
      </c>
      <c r="M55" s="16">
        <f>IF(LEFT(C55,7)="Capital",K55,J55)</f>
        <v/>
      </c>
      <c r="N55" s="23">
        <f>IFERROR(INDEX('Chart of Accounts'!$C$5:$C$3000,MATCH(L55&amp;"",'Chart of Accounts'!$A$5:$A$3000,0))&amp;"|"&amp;INDEX('Chart of Accounts'!$D$5:$D$3000,MATCH(L55&amp;"",'Chart of Accounts'!$A$5:$A$3000,0)),"")</f>
        <v/>
      </c>
      <c r="O55" s="23">
        <f>IFERROR(INDEX('Chart of Accounts'!$C$5:$C$3000,MATCH(M55&amp;"",'Chart of Accounts'!$A$5:$A$3000,0))&amp;"|"&amp;INDEX('Chart of Accounts'!$D$5:$D$3000,MATCH(M55&amp;"",'Chart of Accounts'!$A$5:$A$3000,0)),"")</f>
        <v/>
      </c>
      <c r="P55" s="23">
        <f>IF(LEFT(N55,8)="Revenue|",-N(D55),0)+IF(LEFT(O55,8)="Revenue|",N(D55),0)</f>
        <v/>
      </c>
      <c r="Q55" s="23">
        <f>IF(LEFT(N55,5)="COGS|",N(D55),0)+IF(LEFT(O55,5)="COGS|",-N(D55),0)</f>
        <v/>
      </c>
      <c r="R55" s="23">
        <f>IF(LEFT(N55,8)="Expense|",N(D55),0)+IF(LEFT(O55,8)="Expense|",-N(D55),0)</f>
        <v/>
      </c>
      <c r="S55" s="23">
        <f>IF(ISNUMBER(MATCH(N55,{"Expense|employee","Expense|general_admin","Expense|marketing","Expense|utilities","Expense|other_operating"},0)),N(D55),0)+IF(ISNUMBER(MATCH(O55,{"Expense|employee","Expense|general_admin","Expense|marketing","Expense|utilities","Expense|other_operating"},0)),-N(D55),0)</f>
        <v/>
      </c>
      <c r="T55" s="23">
        <f>IF(N55="Liability|payable",-N(D55),0)+IF(O55="Liability|payable",N(D55),0)</f>
        <v/>
      </c>
      <c r="U55" s="23">
        <f>IF(N55="Liability|accrued",-N(D55),0)+IF(O55="Liability|accrued",N(D55),0)</f>
        <v/>
      </c>
      <c r="V55" s="23">
        <f>IF(AND(N(D55)&lt;&gt;0,N55=""),1,0)+IF(AND(N(D55)&lt;&gt;0,O55=""),1,0)</f>
        <v/>
      </c>
    </row>
    <row r="56">
      <c r="A56" s="19" t="n"/>
      <c r="B56" s="14" t="n"/>
      <c r="C56" s="14" t="n"/>
      <c r="D56" s="20" t="n"/>
      <c r="E56" s="14" t="n"/>
      <c r="F56" s="14" t="n"/>
      <c r="G56" s="14" t="n"/>
      <c r="H56" s="14" t="n"/>
      <c r="I56" s="14" t="n"/>
      <c r="J56" s="16">
        <f>IF(F56="",INDEX('Chart of Accounts'!$A$5:$A$3000,MATCH("bank",'Chart of Accounts'!$F$5:$F$3000,0)),F56&amp;"")</f>
        <v/>
      </c>
      <c r="K56" s="16">
        <f>IF(G56&lt;&gt;"",G56&amp;"",IF(LEFT(C56,7)="Capital",INDEX('Chart of Accounts'!$A$5:$A$3000,MATCH("capital",'Chart of Accounts'!$F$5:$F$3000,0)),INDEX('Chart of Accounts'!$A$5:$A$3000,MATCH("drawings",'Chart of Accounts'!$F$5:$F$3000,0))))</f>
        <v/>
      </c>
      <c r="L56" s="16">
        <f>IF(LEFT(C56,7)="Capital",J56,K56)</f>
        <v/>
      </c>
      <c r="M56" s="16">
        <f>IF(LEFT(C56,7)="Capital",K56,J56)</f>
        <v/>
      </c>
      <c r="N56" s="23">
        <f>IFERROR(INDEX('Chart of Accounts'!$C$5:$C$3000,MATCH(L56&amp;"",'Chart of Accounts'!$A$5:$A$3000,0))&amp;"|"&amp;INDEX('Chart of Accounts'!$D$5:$D$3000,MATCH(L56&amp;"",'Chart of Accounts'!$A$5:$A$3000,0)),"")</f>
        <v/>
      </c>
      <c r="O56" s="23">
        <f>IFERROR(INDEX('Chart of Accounts'!$C$5:$C$3000,MATCH(M56&amp;"",'Chart of Accounts'!$A$5:$A$3000,0))&amp;"|"&amp;INDEX('Chart of Accounts'!$D$5:$D$3000,MATCH(M56&amp;"",'Chart of Accounts'!$A$5:$A$3000,0)),"")</f>
        <v/>
      </c>
      <c r="P56" s="23">
        <f>IF(LEFT(N56,8)="Revenue|",-N(D56),0)+IF(LEFT(O56,8)="Revenue|",N(D56),0)</f>
        <v/>
      </c>
      <c r="Q56" s="23">
        <f>IF(LEFT(N56,5)="COGS|",N(D56),0)+IF(LEFT(O56,5)="COGS|",-N(D56),0)</f>
        <v/>
      </c>
      <c r="R56" s="23">
        <f>IF(LEFT(N56,8)="Expense|",N(D56),0)+IF(LEFT(O56,8)="Expense|",-N(D56),0)</f>
        <v/>
      </c>
      <c r="S56" s="23">
        <f>IF(ISNUMBER(MATCH(N56,{"Expense|employee","Expense|general_admin","Expense|marketing","Expense|utilities","Expense|other_operating"},0)),N(D56),0)+IF(ISNUMBER(MATCH(O56,{"Expense|employee","Expense|general_admin","Expense|marketing","Expense|utilities","Expense|other_operating"},0)),-N(D56),0)</f>
        <v/>
      </c>
      <c r="T56" s="23">
        <f>IF(N56="Liability|payable",-N(D56),0)+IF(O56="Liability|payable",N(D56),0)</f>
        <v/>
      </c>
      <c r="U56" s="23">
        <f>IF(N56="Liability|accrued",-N(D56),0)+IF(O56="Liability|accrued",N(D56),0)</f>
        <v/>
      </c>
      <c r="V56" s="23">
        <f>IF(AND(N(D56)&lt;&gt;0,N56=""),1,0)+IF(AND(N(D56)&lt;&gt;0,O56=""),1,0)</f>
        <v/>
      </c>
    </row>
    <row r="57">
      <c r="A57" s="19" t="n"/>
      <c r="B57" s="14" t="n"/>
      <c r="C57" s="14" t="n"/>
      <c r="D57" s="20" t="n"/>
      <c r="E57" s="14" t="n"/>
      <c r="F57" s="14" t="n"/>
      <c r="G57" s="14" t="n"/>
      <c r="H57" s="14" t="n"/>
      <c r="I57" s="14" t="n"/>
      <c r="J57" s="16">
        <f>IF(F57="",INDEX('Chart of Accounts'!$A$5:$A$3000,MATCH("bank",'Chart of Accounts'!$F$5:$F$3000,0)),F57&amp;"")</f>
        <v/>
      </c>
      <c r="K57" s="16">
        <f>IF(G57&lt;&gt;"",G57&amp;"",IF(LEFT(C57,7)="Capital",INDEX('Chart of Accounts'!$A$5:$A$3000,MATCH("capital",'Chart of Accounts'!$F$5:$F$3000,0)),INDEX('Chart of Accounts'!$A$5:$A$3000,MATCH("drawings",'Chart of Accounts'!$F$5:$F$3000,0))))</f>
        <v/>
      </c>
      <c r="L57" s="16">
        <f>IF(LEFT(C57,7)="Capital",J57,K57)</f>
        <v/>
      </c>
      <c r="M57" s="16">
        <f>IF(LEFT(C57,7)="Capital",K57,J57)</f>
        <v/>
      </c>
      <c r="N57" s="23">
        <f>IFERROR(INDEX('Chart of Accounts'!$C$5:$C$3000,MATCH(L57&amp;"",'Chart of Accounts'!$A$5:$A$3000,0))&amp;"|"&amp;INDEX('Chart of Accounts'!$D$5:$D$3000,MATCH(L57&amp;"",'Chart of Accounts'!$A$5:$A$3000,0)),"")</f>
        <v/>
      </c>
      <c r="O57" s="23">
        <f>IFERROR(INDEX('Chart of Accounts'!$C$5:$C$3000,MATCH(M57&amp;"",'Chart of Accounts'!$A$5:$A$3000,0))&amp;"|"&amp;INDEX('Chart of Accounts'!$D$5:$D$3000,MATCH(M57&amp;"",'Chart of Accounts'!$A$5:$A$3000,0)),"")</f>
        <v/>
      </c>
      <c r="P57" s="23">
        <f>IF(LEFT(N57,8)="Revenue|",-N(D57),0)+IF(LEFT(O57,8)="Revenue|",N(D57),0)</f>
        <v/>
      </c>
      <c r="Q57" s="23">
        <f>IF(LEFT(N57,5)="COGS|",N(D57),0)+IF(LEFT(O57,5)="COGS|",-N(D57),0)</f>
        <v/>
      </c>
      <c r="R57" s="23">
        <f>IF(LEFT(N57,8)="Expense|",N(D57),0)+IF(LEFT(O57,8)="Expense|",-N(D57),0)</f>
        <v/>
      </c>
      <c r="S57" s="23">
        <f>IF(ISNUMBER(MATCH(N57,{"Expense|employee","Expense|general_admin","Expense|marketing","Expense|utilities","Expense|other_operating"},0)),N(D57),0)+IF(ISNUMBER(MATCH(O57,{"Expense|employee","Expense|general_admin","Expense|marketing","Expense|utilities","Expense|other_operating"},0)),-N(D57),0)</f>
        <v/>
      </c>
      <c r="T57" s="23">
        <f>IF(N57="Liability|payable",-N(D57),0)+IF(O57="Liability|payable",N(D57),0)</f>
        <v/>
      </c>
      <c r="U57" s="23">
        <f>IF(N57="Liability|accrued",-N(D57),0)+IF(O57="Liability|accrued",N(D57),0)</f>
        <v/>
      </c>
      <c r="V57" s="23">
        <f>IF(AND(N(D57)&lt;&gt;0,N57=""),1,0)+IF(AND(N(D57)&lt;&gt;0,O57=""),1,0)</f>
        <v/>
      </c>
    </row>
    <row r="58">
      <c r="A58" s="19" t="n"/>
      <c r="B58" s="14" t="n"/>
      <c r="C58" s="14" t="n"/>
      <c r="D58" s="20" t="n"/>
      <c r="E58" s="14" t="n"/>
      <c r="F58" s="14" t="n"/>
      <c r="G58" s="14" t="n"/>
      <c r="H58" s="14" t="n"/>
      <c r="I58" s="14" t="n"/>
      <c r="J58" s="16">
        <f>IF(F58="",INDEX('Chart of Accounts'!$A$5:$A$3000,MATCH("bank",'Chart of Accounts'!$F$5:$F$3000,0)),F58&amp;"")</f>
        <v/>
      </c>
      <c r="K58" s="16">
        <f>IF(G58&lt;&gt;"",G58&amp;"",IF(LEFT(C58,7)="Capital",INDEX('Chart of Accounts'!$A$5:$A$3000,MATCH("capital",'Chart of Accounts'!$F$5:$F$3000,0)),INDEX('Chart of Accounts'!$A$5:$A$3000,MATCH("drawings",'Chart of Accounts'!$F$5:$F$3000,0))))</f>
        <v/>
      </c>
      <c r="L58" s="16">
        <f>IF(LEFT(C58,7)="Capital",J58,K58)</f>
        <v/>
      </c>
      <c r="M58" s="16">
        <f>IF(LEFT(C58,7)="Capital",K58,J58)</f>
        <v/>
      </c>
      <c r="N58" s="23">
        <f>IFERROR(INDEX('Chart of Accounts'!$C$5:$C$3000,MATCH(L58&amp;"",'Chart of Accounts'!$A$5:$A$3000,0))&amp;"|"&amp;INDEX('Chart of Accounts'!$D$5:$D$3000,MATCH(L58&amp;"",'Chart of Accounts'!$A$5:$A$3000,0)),"")</f>
        <v/>
      </c>
      <c r="O58" s="23">
        <f>IFERROR(INDEX('Chart of Accounts'!$C$5:$C$3000,MATCH(M58&amp;"",'Chart of Accounts'!$A$5:$A$3000,0))&amp;"|"&amp;INDEX('Chart of Accounts'!$D$5:$D$3000,MATCH(M58&amp;"",'Chart of Accounts'!$A$5:$A$3000,0)),"")</f>
        <v/>
      </c>
      <c r="P58" s="23">
        <f>IF(LEFT(N58,8)="Revenue|",-N(D58),0)+IF(LEFT(O58,8)="Revenue|",N(D58),0)</f>
        <v/>
      </c>
      <c r="Q58" s="23">
        <f>IF(LEFT(N58,5)="COGS|",N(D58),0)+IF(LEFT(O58,5)="COGS|",-N(D58),0)</f>
        <v/>
      </c>
      <c r="R58" s="23">
        <f>IF(LEFT(N58,8)="Expense|",N(D58),0)+IF(LEFT(O58,8)="Expense|",-N(D58),0)</f>
        <v/>
      </c>
      <c r="S58" s="23">
        <f>IF(ISNUMBER(MATCH(N58,{"Expense|employee","Expense|general_admin","Expense|marketing","Expense|utilities","Expense|other_operating"},0)),N(D58),0)+IF(ISNUMBER(MATCH(O58,{"Expense|employee","Expense|general_admin","Expense|marketing","Expense|utilities","Expense|other_operating"},0)),-N(D58),0)</f>
        <v/>
      </c>
      <c r="T58" s="23">
        <f>IF(N58="Liability|payable",-N(D58),0)+IF(O58="Liability|payable",N(D58),0)</f>
        <v/>
      </c>
      <c r="U58" s="23">
        <f>IF(N58="Liability|accrued",-N(D58),0)+IF(O58="Liability|accrued",N(D58),0)</f>
        <v/>
      </c>
      <c r="V58" s="23">
        <f>IF(AND(N(D58)&lt;&gt;0,N58=""),1,0)+IF(AND(N(D58)&lt;&gt;0,O58=""),1,0)</f>
        <v/>
      </c>
    </row>
    <row r="59">
      <c r="A59" s="19" t="n"/>
      <c r="B59" s="14" t="n"/>
      <c r="C59" s="14" t="n"/>
      <c r="D59" s="20" t="n"/>
      <c r="E59" s="14" t="n"/>
      <c r="F59" s="14" t="n"/>
      <c r="G59" s="14" t="n"/>
      <c r="H59" s="14" t="n"/>
      <c r="I59" s="14" t="n"/>
      <c r="J59" s="16">
        <f>IF(F59="",INDEX('Chart of Accounts'!$A$5:$A$3000,MATCH("bank",'Chart of Accounts'!$F$5:$F$3000,0)),F59&amp;"")</f>
        <v/>
      </c>
      <c r="K59" s="16">
        <f>IF(G59&lt;&gt;"",G59&amp;"",IF(LEFT(C59,7)="Capital",INDEX('Chart of Accounts'!$A$5:$A$3000,MATCH("capital",'Chart of Accounts'!$F$5:$F$3000,0)),INDEX('Chart of Accounts'!$A$5:$A$3000,MATCH("drawings",'Chart of Accounts'!$F$5:$F$3000,0))))</f>
        <v/>
      </c>
      <c r="L59" s="16">
        <f>IF(LEFT(C59,7)="Capital",J59,K59)</f>
        <v/>
      </c>
      <c r="M59" s="16">
        <f>IF(LEFT(C59,7)="Capital",K59,J59)</f>
        <v/>
      </c>
      <c r="N59" s="23">
        <f>IFERROR(INDEX('Chart of Accounts'!$C$5:$C$3000,MATCH(L59&amp;"",'Chart of Accounts'!$A$5:$A$3000,0))&amp;"|"&amp;INDEX('Chart of Accounts'!$D$5:$D$3000,MATCH(L59&amp;"",'Chart of Accounts'!$A$5:$A$3000,0)),"")</f>
        <v/>
      </c>
      <c r="O59" s="23">
        <f>IFERROR(INDEX('Chart of Accounts'!$C$5:$C$3000,MATCH(M59&amp;"",'Chart of Accounts'!$A$5:$A$3000,0))&amp;"|"&amp;INDEX('Chart of Accounts'!$D$5:$D$3000,MATCH(M59&amp;"",'Chart of Accounts'!$A$5:$A$3000,0)),"")</f>
        <v/>
      </c>
      <c r="P59" s="23">
        <f>IF(LEFT(N59,8)="Revenue|",-N(D59),0)+IF(LEFT(O59,8)="Revenue|",N(D59),0)</f>
        <v/>
      </c>
      <c r="Q59" s="23">
        <f>IF(LEFT(N59,5)="COGS|",N(D59),0)+IF(LEFT(O59,5)="COGS|",-N(D59),0)</f>
        <v/>
      </c>
      <c r="R59" s="23">
        <f>IF(LEFT(N59,8)="Expense|",N(D59),0)+IF(LEFT(O59,8)="Expense|",-N(D59),0)</f>
        <v/>
      </c>
      <c r="S59" s="23">
        <f>IF(ISNUMBER(MATCH(N59,{"Expense|employee","Expense|general_admin","Expense|marketing","Expense|utilities","Expense|other_operating"},0)),N(D59),0)+IF(ISNUMBER(MATCH(O59,{"Expense|employee","Expense|general_admin","Expense|marketing","Expense|utilities","Expense|other_operating"},0)),-N(D59),0)</f>
        <v/>
      </c>
      <c r="T59" s="23">
        <f>IF(N59="Liability|payable",-N(D59),0)+IF(O59="Liability|payable",N(D59),0)</f>
        <v/>
      </c>
      <c r="U59" s="23">
        <f>IF(N59="Liability|accrued",-N(D59),0)+IF(O59="Liability|accrued",N(D59),0)</f>
        <v/>
      </c>
      <c r="V59" s="23">
        <f>IF(AND(N(D59)&lt;&gt;0,N59=""),1,0)+IF(AND(N(D59)&lt;&gt;0,O59=""),1,0)</f>
        <v/>
      </c>
    </row>
    <row r="60">
      <c r="A60" s="19" t="n"/>
      <c r="B60" s="14" t="n"/>
      <c r="C60" s="14" t="n"/>
      <c r="D60" s="20" t="n"/>
      <c r="E60" s="14" t="n"/>
      <c r="F60" s="14" t="n"/>
      <c r="G60" s="14" t="n"/>
      <c r="H60" s="14" t="n"/>
      <c r="I60" s="14" t="n"/>
      <c r="J60" s="16">
        <f>IF(F60="",INDEX('Chart of Accounts'!$A$5:$A$3000,MATCH("bank",'Chart of Accounts'!$F$5:$F$3000,0)),F60&amp;"")</f>
        <v/>
      </c>
      <c r="K60" s="16">
        <f>IF(G60&lt;&gt;"",G60&amp;"",IF(LEFT(C60,7)="Capital",INDEX('Chart of Accounts'!$A$5:$A$3000,MATCH("capital",'Chart of Accounts'!$F$5:$F$3000,0)),INDEX('Chart of Accounts'!$A$5:$A$3000,MATCH("drawings",'Chart of Accounts'!$F$5:$F$3000,0))))</f>
        <v/>
      </c>
      <c r="L60" s="16">
        <f>IF(LEFT(C60,7)="Capital",J60,K60)</f>
        <v/>
      </c>
      <c r="M60" s="16">
        <f>IF(LEFT(C60,7)="Capital",K60,J60)</f>
        <v/>
      </c>
      <c r="N60" s="23">
        <f>IFERROR(INDEX('Chart of Accounts'!$C$5:$C$3000,MATCH(L60&amp;"",'Chart of Accounts'!$A$5:$A$3000,0))&amp;"|"&amp;INDEX('Chart of Accounts'!$D$5:$D$3000,MATCH(L60&amp;"",'Chart of Accounts'!$A$5:$A$3000,0)),"")</f>
        <v/>
      </c>
      <c r="O60" s="23">
        <f>IFERROR(INDEX('Chart of Accounts'!$C$5:$C$3000,MATCH(M60&amp;"",'Chart of Accounts'!$A$5:$A$3000,0))&amp;"|"&amp;INDEX('Chart of Accounts'!$D$5:$D$3000,MATCH(M60&amp;"",'Chart of Accounts'!$A$5:$A$3000,0)),"")</f>
        <v/>
      </c>
      <c r="P60" s="23">
        <f>IF(LEFT(N60,8)="Revenue|",-N(D60),0)+IF(LEFT(O60,8)="Revenue|",N(D60),0)</f>
        <v/>
      </c>
      <c r="Q60" s="23">
        <f>IF(LEFT(N60,5)="COGS|",N(D60),0)+IF(LEFT(O60,5)="COGS|",-N(D60),0)</f>
        <v/>
      </c>
      <c r="R60" s="23">
        <f>IF(LEFT(N60,8)="Expense|",N(D60),0)+IF(LEFT(O60,8)="Expense|",-N(D60),0)</f>
        <v/>
      </c>
      <c r="S60" s="23">
        <f>IF(ISNUMBER(MATCH(N60,{"Expense|employee","Expense|general_admin","Expense|marketing","Expense|utilities","Expense|other_operating"},0)),N(D60),0)+IF(ISNUMBER(MATCH(O60,{"Expense|employee","Expense|general_admin","Expense|marketing","Expense|utilities","Expense|other_operating"},0)),-N(D60),0)</f>
        <v/>
      </c>
      <c r="T60" s="23">
        <f>IF(N60="Liability|payable",-N(D60),0)+IF(O60="Liability|payable",N(D60),0)</f>
        <v/>
      </c>
      <c r="U60" s="23">
        <f>IF(N60="Liability|accrued",-N(D60),0)+IF(O60="Liability|accrued",N(D60),0)</f>
        <v/>
      </c>
      <c r="V60" s="23">
        <f>IF(AND(N(D60)&lt;&gt;0,N60=""),1,0)+IF(AND(N(D60)&lt;&gt;0,O60=""),1,0)</f>
        <v/>
      </c>
    </row>
    <row r="61">
      <c r="A61" s="19" t="n"/>
      <c r="B61" s="14" t="n"/>
      <c r="C61" s="14" t="n"/>
      <c r="D61" s="20" t="n"/>
      <c r="E61" s="14" t="n"/>
      <c r="F61" s="14" t="n"/>
      <c r="G61" s="14" t="n"/>
      <c r="H61" s="14" t="n"/>
      <c r="I61" s="14" t="n"/>
      <c r="J61" s="16">
        <f>IF(F61="",INDEX('Chart of Accounts'!$A$5:$A$3000,MATCH("bank",'Chart of Accounts'!$F$5:$F$3000,0)),F61&amp;"")</f>
        <v/>
      </c>
      <c r="K61" s="16">
        <f>IF(G61&lt;&gt;"",G61&amp;"",IF(LEFT(C61,7)="Capital",INDEX('Chart of Accounts'!$A$5:$A$3000,MATCH("capital",'Chart of Accounts'!$F$5:$F$3000,0)),INDEX('Chart of Accounts'!$A$5:$A$3000,MATCH("drawings",'Chart of Accounts'!$F$5:$F$3000,0))))</f>
        <v/>
      </c>
      <c r="L61" s="16">
        <f>IF(LEFT(C61,7)="Capital",J61,K61)</f>
        <v/>
      </c>
      <c r="M61" s="16">
        <f>IF(LEFT(C61,7)="Capital",K61,J61)</f>
        <v/>
      </c>
      <c r="N61" s="23">
        <f>IFERROR(INDEX('Chart of Accounts'!$C$5:$C$3000,MATCH(L61&amp;"",'Chart of Accounts'!$A$5:$A$3000,0))&amp;"|"&amp;INDEX('Chart of Accounts'!$D$5:$D$3000,MATCH(L61&amp;"",'Chart of Accounts'!$A$5:$A$3000,0)),"")</f>
        <v/>
      </c>
      <c r="O61" s="23">
        <f>IFERROR(INDEX('Chart of Accounts'!$C$5:$C$3000,MATCH(M61&amp;"",'Chart of Accounts'!$A$5:$A$3000,0))&amp;"|"&amp;INDEX('Chart of Accounts'!$D$5:$D$3000,MATCH(M61&amp;"",'Chart of Accounts'!$A$5:$A$3000,0)),"")</f>
        <v/>
      </c>
      <c r="P61" s="23">
        <f>IF(LEFT(N61,8)="Revenue|",-N(D61),0)+IF(LEFT(O61,8)="Revenue|",N(D61),0)</f>
        <v/>
      </c>
      <c r="Q61" s="23">
        <f>IF(LEFT(N61,5)="COGS|",N(D61),0)+IF(LEFT(O61,5)="COGS|",-N(D61),0)</f>
        <v/>
      </c>
      <c r="R61" s="23">
        <f>IF(LEFT(N61,8)="Expense|",N(D61),0)+IF(LEFT(O61,8)="Expense|",-N(D61),0)</f>
        <v/>
      </c>
      <c r="S61" s="23">
        <f>IF(ISNUMBER(MATCH(N61,{"Expense|employee","Expense|general_admin","Expense|marketing","Expense|utilities","Expense|other_operating"},0)),N(D61),0)+IF(ISNUMBER(MATCH(O61,{"Expense|employee","Expense|general_admin","Expense|marketing","Expense|utilities","Expense|other_operating"},0)),-N(D61),0)</f>
        <v/>
      </c>
      <c r="T61" s="23">
        <f>IF(N61="Liability|payable",-N(D61),0)+IF(O61="Liability|payable",N(D61),0)</f>
        <v/>
      </c>
      <c r="U61" s="23">
        <f>IF(N61="Liability|accrued",-N(D61),0)+IF(O61="Liability|accrued",N(D61),0)</f>
        <v/>
      </c>
      <c r="V61" s="23">
        <f>IF(AND(N(D61)&lt;&gt;0,N61=""),1,0)+IF(AND(N(D61)&lt;&gt;0,O61=""),1,0)</f>
        <v/>
      </c>
    </row>
    <row r="62">
      <c r="A62" s="19" t="n"/>
      <c r="B62" s="14" t="n"/>
      <c r="C62" s="14" t="n"/>
      <c r="D62" s="20" t="n"/>
      <c r="E62" s="14" t="n"/>
      <c r="F62" s="14" t="n"/>
      <c r="G62" s="14" t="n"/>
      <c r="H62" s="14" t="n"/>
      <c r="I62" s="14" t="n"/>
      <c r="J62" s="16">
        <f>IF(F62="",INDEX('Chart of Accounts'!$A$5:$A$3000,MATCH("bank",'Chart of Accounts'!$F$5:$F$3000,0)),F62&amp;"")</f>
        <v/>
      </c>
      <c r="K62" s="16">
        <f>IF(G62&lt;&gt;"",G62&amp;"",IF(LEFT(C62,7)="Capital",INDEX('Chart of Accounts'!$A$5:$A$3000,MATCH("capital",'Chart of Accounts'!$F$5:$F$3000,0)),INDEX('Chart of Accounts'!$A$5:$A$3000,MATCH("drawings",'Chart of Accounts'!$F$5:$F$3000,0))))</f>
        <v/>
      </c>
      <c r="L62" s="16">
        <f>IF(LEFT(C62,7)="Capital",J62,K62)</f>
        <v/>
      </c>
      <c r="M62" s="16">
        <f>IF(LEFT(C62,7)="Capital",K62,J62)</f>
        <v/>
      </c>
      <c r="N62" s="23">
        <f>IFERROR(INDEX('Chart of Accounts'!$C$5:$C$3000,MATCH(L62&amp;"",'Chart of Accounts'!$A$5:$A$3000,0))&amp;"|"&amp;INDEX('Chart of Accounts'!$D$5:$D$3000,MATCH(L62&amp;"",'Chart of Accounts'!$A$5:$A$3000,0)),"")</f>
        <v/>
      </c>
      <c r="O62" s="23">
        <f>IFERROR(INDEX('Chart of Accounts'!$C$5:$C$3000,MATCH(M62&amp;"",'Chart of Accounts'!$A$5:$A$3000,0))&amp;"|"&amp;INDEX('Chart of Accounts'!$D$5:$D$3000,MATCH(M62&amp;"",'Chart of Accounts'!$A$5:$A$3000,0)),"")</f>
        <v/>
      </c>
      <c r="P62" s="23">
        <f>IF(LEFT(N62,8)="Revenue|",-N(D62),0)+IF(LEFT(O62,8)="Revenue|",N(D62),0)</f>
        <v/>
      </c>
      <c r="Q62" s="23">
        <f>IF(LEFT(N62,5)="COGS|",N(D62),0)+IF(LEFT(O62,5)="COGS|",-N(D62),0)</f>
        <v/>
      </c>
      <c r="R62" s="23">
        <f>IF(LEFT(N62,8)="Expense|",N(D62),0)+IF(LEFT(O62,8)="Expense|",-N(D62),0)</f>
        <v/>
      </c>
      <c r="S62" s="23">
        <f>IF(ISNUMBER(MATCH(N62,{"Expense|employee","Expense|general_admin","Expense|marketing","Expense|utilities","Expense|other_operating"},0)),N(D62),0)+IF(ISNUMBER(MATCH(O62,{"Expense|employee","Expense|general_admin","Expense|marketing","Expense|utilities","Expense|other_operating"},0)),-N(D62),0)</f>
        <v/>
      </c>
      <c r="T62" s="23">
        <f>IF(N62="Liability|payable",-N(D62),0)+IF(O62="Liability|payable",N(D62),0)</f>
        <v/>
      </c>
      <c r="U62" s="23">
        <f>IF(N62="Liability|accrued",-N(D62),0)+IF(O62="Liability|accrued",N(D62),0)</f>
        <v/>
      </c>
      <c r="V62" s="23">
        <f>IF(AND(N(D62)&lt;&gt;0,N62=""),1,0)+IF(AND(N(D62)&lt;&gt;0,O62=""),1,0)</f>
        <v/>
      </c>
    </row>
    <row r="63">
      <c r="A63" s="19" t="n"/>
      <c r="B63" s="14" t="n"/>
      <c r="C63" s="14" t="n"/>
      <c r="D63" s="20" t="n"/>
      <c r="E63" s="14" t="n"/>
      <c r="F63" s="14" t="n"/>
      <c r="G63" s="14" t="n"/>
      <c r="H63" s="14" t="n"/>
      <c r="I63" s="14" t="n"/>
      <c r="J63" s="16">
        <f>IF(F63="",INDEX('Chart of Accounts'!$A$5:$A$3000,MATCH("bank",'Chart of Accounts'!$F$5:$F$3000,0)),F63&amp;"")</f>
        <v/>
      </c>
      <c r="K63" s="16">
        <f>IF(G63&lt;&gt;"",G63&amp;"",IF(LEFT(C63,7)="Capital",INDEX('Chart of Accounts'!$A$5:$A$3000,MATCH("capital",'Chart of Accounts'!$F$5:$F$3000,0)),INDEX('Chart of Accounts'!$A$5:$A$3000,MATCH("drawings",'Chart of Accounts'!$F$5:$F$3000,0))))</f>
        <v/>
      </c>
      <c r="L63" s="16">
        <f>IF(LEFT(C63,7)="Capital",J63,K63)</f>
        <v/>
      </c>
      <c r="M63" s="16">
        <f>IF(LEFT(C63,7)="Capital",K63,J63)</f>
        <v/>
      </c>
      <c r="N63" s="23">
        <f>IFERROR(INDEX('Chart of Accounts'!$C$5:$C$3000,MATCH(L63&amp;"",'Chart of Accounts'!$A$5:$A$3000,0))&amp;"|"&amp;INDEX('Chart of Accounts'!$D$5:$D$3000,MATCH(L63&amp;"",'Chart of Accounts'!$A$5:$A$3000,0)),"")</f>
        <v/>
      </c>
      <c r="O63" s="23">
        <f>IFERROR(INDEX('Chart of Accounts'!$C$5:$C$3000,MATCH(M63&amp;"",'Chart of Accounts'!$A$5:$A$3000,0))&amp;"|"&amp;INDEX('Chart of Accounts'!$D$5:$D$3000,MATCH(M63&amp;"",'Chart of Accounts'!$A$5:$A$3000,0)),"")</f>
        <v/>
      </c>
      <c r="P63" s="23">
        <f>IF(LEFT(N63,8)="Revenue|",-N(D63),0)+IF(LEFT(O63,8)="Revenue|",N(D63),0)</f>
        <v/>
      </c>
      <c r="Q63" s="23">
        <f>IF(LEFT(N63,5)="COGS|",N(D63),0)+IF(LEFT(O63,5)="COGS|",-N(D63),0)</f>
        <v/>
      </c>
      <c r="R63" s="23">
        <f>IF(LEFT(N63,8)="Expense|",N(D63),0)+IF(LEFT(O63,8)="Expense|",-N(D63),0)</f>
        <v/>
      </c>
      <c r="S63" s="23">
        <f>IF(ISNUMBER(MATCH(N63,{"Expense|employee","Expense|general_admin","Expense|marketing","Expense|utilities","Expense|other_operating"},0)),N(D63),0)+IF(ISNUMBER(MATCH(O63,{"Expense|employee","Expense|general_admin","Expense|marketing","Expense|utilities","Expense|other_operating"},0)),-N(D63),0)</f>
        <v/>
      </c>
      <c r="T63" s="23">
        <f>IF(N63="Liability|payable",-N(D63),0)+IF(O63="Liability|payable",N(D63),0)</f>
        <v/>
      </c>
      <c r="U63" s="23">
        <f>IF(N63="Liability|accrued",-N(D63),0)+IF(O63="Liability|accrued",N(D63),0)</f>
        <v/>
      </c>
      <c r="V63" s="23">
        <f>IF(AND(N(D63)&lt;&gt;0,N63=""),1,0)+IF(AND(N(D63)&lt;&gt;0,O63=""),1,0)</f>
        <v/>
      </c>
    </row>
    <row r="64">
      <c r="A64" s="19" t="n"/>
      <c r="B64" s="14" t="n"/>
      <c r="C64" s="14" t="n"/>
      <c r="D64" s="20" t="n"/>
      <c r="E64" s="14" t="n"/>
      <c r="F64" s="14" t="n"/>
      <c r="G64" s="14" t="n"/>
      <c r="H64" s="14" t="n"/>
      <c r="I64" s="14" t="n"/>
      <c r="J64" s="16">
        <f>IF(F64="",INDEX('Chart of Accounts'!$A$5:$A$3000,MATCH("bank",'Chart of Accounts'!$F$5:$F$3000,0)),F64&amp;"")</f>
        <v/>
      </c>
      <c r="K64" s="16">
        <f>IF(G64&lt;&gt;"",G64&amp;"",IF(LEFT(C64,7)="Capital",INDEX('Chart of Accounts'!$A$5:$A$3000,MATCH("capital",'Chart of Accounts'!$F$5:$F$3000,0)),INDEX('Chart of Accounts'!$A$5:$A$3000,MATCH("drawings",'Chart of Accounts'!$F$5:$F$3000,0))))</f>
        <v/>
      </c>
      <c r="L64" s="16">
        <f>IF(LEFT(C64,7)="Capital",J64,K64)</f>
        <v/>
      </c>
      <c r="M64" s="16">
        <f>IF(LEFT(C64,7)="Capital",K64,J64)</f>
        <v/>
      </c>
      <c r="N64" s="23">
        <f>IFERROR(INDEX('Chart of Accounts'!$C$5:$C$3000,MATCH(L64&amp;"",'Chart of Accounts'!$A$5:$A$3000,0))&amp;"|"&amp;INDEX('Chart of Accounts'!$D$5:$D$3000,MATCH(L64&amp;"",'Chart of Accounts'!$A$5:$A$3000,0)),"")</f>
        <v/>
      </c>
      <c r="O64" s="23">
        <f>IFERROR(INDEX('Chart of Accounts'!$C$5:$C$3000,MATCH(M64&amp;"",'Chart of Accounts'!$A$5:$A$3000,0))&amp;"|"&amp;INDEX('Chart of Accounts'!$D$5:$D$3000,MATCH(M64&amp;"",'Chart of Accounts'!$A$5:$A$3000,0)),"")</f>
        <v/>
      </c>
      <c r="P64" s="23">
        <f>IF(LEFT(N64,8)="Revenue|",-N(D64),0)+IF(LEFT(O64,8)="Revenue|",N(D64),0)</f>
        <v/>
      </c>
      <c r="Q64" s="23">
        <f>IF(LEFT(N64,5)="COGS|",N(D64),0)+IF(LEFT(O64,5)="COGS|",-N(D64),0)</f>
        <v/>
      </c>
      <c r="R64" s="23">
        <f>IF(LEFT(N64,8)="Expense|",N(D64),0)+IF(LEFT(O64,8)="Expense|",-N(D64),0)</f>
        <v/>
      </c>
      <c r="S64" s="23">
        <f>IF(ISNUMBER(MATCH(N64,{"Expense|employee","Expense|general_admin","Expense|marketing","Expense|utilities","Expense|other_operating"},0)),N(D64),0)+IF(ISNUMBER(MATCH(O64,{"Expense|employee","Expense|general_admin","Expense|marketing","Expense|utilities","Expense|other_operating"},0)),-N(D64),0)</f>
        <v/>
      </c>
      <c r="T64" s="23">
        <f>IF(N64="Liability|payable",-N(D64),0)+IF(O64="Liability|payable",N(D64),0)</f>
        <v/>
      </c>
      <c r="U64" s="23">
        <f>IF(N64="Liability|accrued",-N(D64),0)+IF(O64="Liability|accrued",N(D64),0)</f>
        <v/>
      </c>
      <c r="V64" s="23">
        <f>IF(AND(N(D64)&lt;&gt;0,N64=""),1,0)+IF(AND(N(D64)&lt;&gt;0,O64=""),1,0)</f>
        <v/>
      </c>
    </row>
    <row r="65">
      <c r="A65" s="19" t="n"/>
      <c r="B65" s="14" t="n"/>
      <c r="C65" s="14" t="n"/>
      <c r="D65" s="20" t="n"/>
      <c r="E65" s="14" t="n"/>
      <c r="F65" s="14" t="n"/>
      <c r="G65" s="14" t="n"/>
      <c r="H65" s="14" t="n"/>
      <c r="I65" s="14" t="n"/>
      <c r="J65" s="16">
        <f>IF(F65="",INDEX('Chart of Accounts'!$A$5:$A$3000,MATCH("bank",'Chart of Accounts'!$F$5:$F$3000,0)),F65&amp;"")</f>
        <v/>
      </c>
      <c r="K65" s="16">
        <f>IF(G65&lt;&gt;"",G65&amp;"",IF(LEFT(C65,7)="Capital",INDEX('Chart of Accounts'!$A$5:$A$3000,MATCH("capital",'Chart of Accounts'!$F$5:$F$3000,0)),INDEX('Chart of Accounts'!$A$5:$A$3000,MATCH("drawings",'Chart of Accounts'!$F$5:$F$3000,0))))</f>
        <v/>
      </c>
      <c r="L65" s="16">
        <f>IF(LEFT(C65,7)="Capital",J65,K65)</f>
        <v/>
      </c>
      <c r="M65" s="16">
        <f>IF(LEFT(C65,7)="Capital",K65,J65)</f>
        <v/>
      </c>
      <c r="N65" s="23">
        <f>IFERROR(INDEX('Chart of Accounts'!$C$5:$C$3000,MATCH(L65&amp;"",'Chart of Accounts'!$A$5:$A$3000,0))&amp;"|"&amp;INDEX('Chart of Accounts'!$D$5:$D$3000,MATCH(L65&amp;"",'Chart of Accounts'!$A$5:$A$3000,0)),"")</f>
        <v/>
      </c>
      <c r="O65" s="23">
        <f>IFERROR(INDEX('Chart of Accounts'!$C$5:$C$3000,MATCH(M65&amp;"",'Chart of Accounts'!$A$5:$A$3000,0))&amp;"|"&amp;INDEX('Chart of Accounts'!$D$5:$D$3000,MATCH(M65&amp;"",'Chart of Accounts'!$A$5:$A$3000,0)),"")</f>
        <v/>
      </c>
      <c r="P65" s="23">
        <f>IF(LEFT(N65,8)="Revenue|",-N(D65),0)+IF(LEFT(O65,8)="Revenue|",N(D65),0)</f>
        <v/>
      </c>
      <c r="Q65" s="23">
        <f>IF(LEFT(N65,5)="COGS|",N(D65),0)+IF(LEFT(O65,5)="COGS|",-N(D65),0)</f>
        <v/>
      </c>
      <c r="R65" s="23">
        <f>IF(LEFT(N65,8)="Expense|",N(D65),0)+IF(LEFT(O65,8)="Expense|",-N(D65),0)</f>
        <v/>
      </c>
      <c r="S65" s="23">
        <f>IF(ISNUMBER(MATCH(N65,{"Expense|employee","Expense|general_admin","Expense|marketing","Expense|utilities","Expense|other_operating"},0)),N(D65),0)+IF(ISNUMBER(MATCH(O65,{"Expense|employee","Expense|general_admin","Expense|marketing","Expense|utilities","Expense|other_operating"},0)),-N(D65),0)</f>
        <v/>
      </c>
      <c r="T65" s="23">
        <f>IF(N65="Liability|payable",-N(D65),0)+IF(O65="Liability|payable",N(D65),0)</f>
        <v/>
      </c>
      <c r="U65" s="23">
        <f>IF(N65="Liability|accrued",-N(D65),0)+IF(O65="Liability|accrued",N(D65),0)</f>
        <v/>
      </c>
      <c r="V65" s="23">
        <f>IF(AND(N(D65)&lt;&gt;0,N65=""),1,0)+IF(AND(N(D65)&lt;&gt;0,O65=""),1,0)</f>
        <v/>
      </c>
    </row>
    <row r="66">
      <c r="A66" s="19" t="n"/>
      <c r="B66" s="14" t="n"/>
      <c r="C66" s="14" t="n"/>
      <c r="D66" s="20" t="n"/>
      <c r="E66" s="14" t="n"/>
      <c r="F66" s="14" t="n"/>
      <c r="G66" s="14" t="n"/>
      <c r="H66" s="14" t="n"/>
      <c r="I66" s="14" t="n"/>
      <c r="J66" s="16">
        <f>IF(F66="",INDEX('Chart of Accounts'!$A$5:$A$3000,MATCH("bank",'Chart of Accounts'!$F$5:$F$3000,0)),F66&amp;"")</f>
        <v/>
      </c>
      <c r="K66" s="16">
        <f>IF(G66&lt;&gt;"",G66&amp;"",IF(LEFT(C66,7)="Capital",INDEX('Chart of Accounts'!$A$5:$A$3000,MATCH("capital",'Chart of Accounts'!$F$5:$F$3000,0)),INDEX('Chart of Accounts'!$A$5:$A$3000,MATCH("drawings",'Chart of Accounts'!$F$5:$F$3000,0))))</f>
        <v/>
      </c>
      <c r="L66" s="16">
        <f>IF(LEFT(C66,7)="Capital",J66,K66)</f>
        <v/>
      </c>
      <c r="M66" s="16">
        <f>IF(LEFT(C66,7)="Capital",K66,J66)</f>
        <v/>
      </c>
      <c r="N66" s="23">
        <f>IFERROR(INDEX('Chart of Accounts'!$C$5:$C$3000,MATCH(L66&amp;"",'Chart of Accounts'!$A$5:$A$3000,0))&amp;"|"&amp;INDEX('Chart of Accounts'!$D$5:$D$3000,MATCH(L66&amp;"",'Chart of Accounts'!$A$5:$A$3000,0)),"")</f>
        <v/>
      </c>
      <c r="O66" s="23">
        <f>IFERROR(INDEX('Chart of Accounts'!$C$5:$C$3000,MATCH(M66&amp;"",'Chart of Accounts'!$A$5:$A$3000,0))&amp;"|"&amp;INDEX('Chart of Accounts'!$D$5:$D$3000,MATCH(M66&amp;"",'Chart of Accounts'!$A$5:$A$3000,0)),"")</f>
        <v/>
      </c>
      <c r="P66" s="23">
        <f>IF(LEFT(N66,8)="Revenue|",-N(D66),0)+IF(LEFT(O66,8)="Revenue|",N(D66),0)</f>
        <v/>
      </c>
      <c r="Q66" s="23">
        <f>IF(LEFT(N66,5)="COGS|",N(D66),0)+IF(LEFT(O66,5)="COGS|",-N(D66),0)</f>
        <v/>
      </c>
      <c r="R66" s="23">
        <f>IF(LEFT(N66,8)="Expense|",N(D66),0)+IF(LEFT(O66,8)="Expense|",-N(D66),0)</f>
        <v/>
      </c>
      <c r="S66" s="23">
        <f>IF(ISNUMBER(MATCH(N66,{"Expense|employee","Expense|general_admin","Expense|marketing","Expense|utilities","Expense|other_operating"},0)),N(D66),0)+IF(ISNUMBER(MATCH(O66,{"Expense|employee","Expense|general_admin","Expense|marketing","Expense|utilities","Expense|other_operating"},0)),-N(D66),0)</f>
        <v/>
      </c>
      <c r="T66" s="23">
        <f>IF(N66="Liability|payable",-N(D66),0)+IF(O66="Liability|payable",N(D66),0)</f>
        <v/>
      </c>
      <c r="U66" s="23">
        <f>IF(N66="Liability|accrued",-N(D66),0)+IF(O66="Liability|accrued",N(D66),0)</f>
        <v/>
      </c>
      <c r="V66" s="23">
        <f>IF(AND(N(D66)&lt;&gt;0,N66=""),1,0)+IF(AND(N(D66)&lt;&gt;0,O66=""),1,0)</f>
        <v/>
      </c>
    </row>
    <row r="67">
      <c r="A67" s="19" t="n"/>
      <c r="B67" s="14" t="n"/>
      <c r="C67" s="14" t="n"/>
      <c r="D67" s="20" t="n"/>
      <c r="E67" s="14" t="n"/>
      <c r="F67" s="14" t="n"/>
      <c r="G67" s="14" t="n"/>
      <c r="H67" s="14" t="n"/>
      <c r="I67" s="14" t="n"/>
      <c r="J67" s="16">
        <f>IF(F67="",INDEX('Chart of Accounts'!$A$5:$A$3000,MATCH("bank",'Chart of Accounts'!$F$5:$F$3000,0)),F67&amp;"")</f>
        <v/>
      </c>
      <c r="K67" s="16">
        <f>IF(G67&lt;&gt;"",G67&amp;"",IF(LEFT(C67,7)="Capital",INDEX('Chart of Accounts'!$A$5:$A$3000,MATCH("capital",'Chart of Accounts'!$F$5:$F$3000,0)),INDEX('Chart of Accounts'!$A$5:$A$3000,MATCH("drawings",'Chart of Accounts'!$F$5:$F$3000,0))))</f>
        <v/>
      </c>
      <c r="L67" s="16">
        <f>IF(LEFT(C67,7)="Capital",J67,K67)</f>
        <v/>
      </c>
      <c r="M67" s="16">
        <f>IF(LEFT(C67,7)="Capital",K67,J67)</f>
        <v/>
      </c>
      <c r="N67" s="23">
        <f>IFERROR(INDEX('Chart of Accounts'!$C$5:$C$3000,MATCH(L67&amp;"",'Chart of Accounts'!$A$5:$A$3000,0))&amp;"|"&amp;INDEX('Chart of Accounts'!$D$5:$D$3000,MATCH(L67&amp;"",'Chart of Accounts'!$A$5:$A$3000,0)),"")</f>
        <v/>
      </c>
      <c r="O67" s="23">
        <f>IFERROR(INDEX('Chart of Accounts'!$C$5:$C$3000,MATCH(M67&amp;"",'Chart of Accounts'!$A$5:$A$3000,0))&amp;"|"&amp;INDEX('Chart of Accounts'!$D$5:$D$3000,MATCH(M67&amp;"",'Chart of Accounts'!$A$5:$A$3000,0)),"")</f>
        <v/>
      </c>
      <c r="P67" s="23">
        <f>IF(LEFT(N67,8)="Revenue|",-N(D67),0)+IF(LEFT(O67,8)="Revenue|",N(D67),0)</f>
        <v/>
      </c>
      <c r="Q67" s="23">
        <f>IF(LEFT(N67,5)="COGS|",N(D67),0)+IF(LEFT(O67,5)="COGS|",-N(D67),0)</f>
        <v/>
      </c>
      <c r="R67" s="23">
        <f>IF(LEFT(N67,8)="Expense|",N(D67),0)+IF(LEFT(O67,8)="Expense|",-N(D67),0)</f>
        <v/>
      </c>
      <c r="S67" s="23">
        <f>IF(ISNUMBER(MATCH(N67,{"Expense|employee","Expense|general_admin","Expense|marketing","Expense|utilities","Expense|other_operating"},0)),N(D67),0)+IF(ISNUMBER(MATCH(O67,{"Expense|employee","Expense|general_admin","Expense|marketing","Expense|utilities","Expense|other_operating"},0)),-N(D67),0)</f>
        <v/>
      </c>
      <c r="T67" s="23">
        <f>IF(N67="Liability|payable",-N(D67),0)+IF(O67="Liability|payable",N(D67),0)</f>
        <v/>
      </c>
      <c r="U67" s="23">
        <f>IF(N67="Liability|accrued",-N(D67),0)+IF(O67="Liability|accrued",N(D67),0)</f>
        <v/>
      </c>
      <c r="V67" s="23">
        <f>IF(AND(N(D67)&lt;&gt;0,N67=""),1,0)+IF(AND(N(D67)&lt;&gt;0,O67=""),1,0)</f>
        <v/>
      </c>
    </row>
    <row r="68">
      <c r="A68" s="19" t="n"/>
      <c r="B68" s="14" t="n"/>
      <c r="C68" s="14" t="n"/>
      <c r="D68" s="20" t="n"/>
      <c r="E68" s="14" t="n"/>
      <c r="F68" s="14" t="n"/>
      <c r="G68" s="14" t="n"/>
      <c r="H68" s="14" t="n"/>
      <c r="I68" s="14" t="n"/>
      <c r="J68" s="16">
        <f>IF(F68="",INDEX('Chart of Accounts'!$A$5:$A$3000,MATCH("bank",'Chart of Accounts'!$F$5:$F$3000,0)),F68&amp;"")</f>
        <v/>
      </c>
      <c r="K68" s="16">
        <f>IF(G68&lt;&gt;"",G68&amp;"",IF(LEFT(C68,7)="Capital",INDEX('Chart of Accounts'!$A$5:$A$3000,MATCH("capital",'Chart of Accounts'!$F$5:$F$3000,0)),INDEX('Chart of Accounts'!$A$5:$A$3000,MATCH("drawings",'Chart of Accounts'!$F$5:$F$3000,0))))</f>
        <v/>
      </c>
      <c r="L68" s="16">
        <f>IF(LEFT(C68,7)="Capital",J68,K68)</f>
        <v/>
      </c>
      <c r="M68" s="16">
        <f>IF(LEFT(C68,7)="Capital",K68,J68)</f>
        <v/>
      </c>
      <c r="N68" s="23">
        <f>IFERROR(INDEX('Chart of Accounts'!$C$5:$C$3000,MATCH(L68&amp;"",'Chart of Accounts'!$A$5:$A$3000,0))&amp;"|"&amp;INDEX('Chart of Accounts'!$D$5:$D$3000,MATCH(L68&amp;"",'Chart of Accounts'!$A$5:$A$3000,0)),"")</f>
        <v/>
      </c>
      <c r="O68" s="23">
        <f>IFERROR(INDEX('Chart of Accounts'!$C$5:$C$3000,MATCH(M68&amp;"",'Chart of Accounts'!$A$5:$A$3000,0))&amp;"|"&amp;INDEX('Chart of Accounts'!$D$5:$D$3000,MATCH(M68&amp;"",'Chart of Accounts'!$A$5:$A$3000,0)),"")</f>
        <v/>
      </c>
      <c r="P68" s="23">
        <f>IF(LEFT(N68,8)="Revenue|",-N(D68),0)+IF(LEFT(O68,8)="Revenue|",N(D68),0)</f>
        <v/>
      </c>
      <c r="Q68" s="23">
        <f>IF(LEFT(N68,5)="COGS|",N(D68),0)+IF(LEFT(O68,5)="COGS|",-N(D68),0)</f>
        <v/>
      </c>
      <c r="R68" s="23">
        <f>IF(LEFT(N68,8)="Expense|",N(D68),0)+IF(LEFT(O68,8)="Expense|",-N(D68),0)</f>
        <v/>
      </c>
      <c r="S68" s="23">
        <f>IF(ISNUMBER(MATCH(N68,{"Expense|employee","Expense|general_admin","Expense|marketing","Expense|utilities","Expense|other_operating"},0)),N(D68),0)+IF(ISNUMBER(MATCH(O68,{"Expense|employee","Expense|general_admin","Expense|marketing","Expense|utilities","Expense|other_operating"},0)),-N(D68),0)</f>
        <v/>
      </c>
      <c r="T68" s="23">
        <f>IF(N68="Liability|payable",-N(D68),0)+IF(O68="Liability|payable",N(D68),0)</f>
        <v/>
      </c>
      <c r="U68" s="23">
        <f>IF(N68="Liability|accrued",-N(D68),0)+IF(O68="Liability|accrued",N(D68),0)</f>
        <v/>
      </c>
      <c r="V68" s="23">
        <f>IF(AND(N(D68)&lt;&gt;0,N68=""),1,0)+IF(AND(N(D68)&lt;&gt;0,O68=""),1,0)</f>
        <v/>
      </c>
    </row>
    <row r="69">
      <c r="A69" s="19" t="n"/>
      <c r="B69" s="14" t="n"/>
      <c r="C69" s="14" t="n"/>
      <c r="D69" s="20" t="n"/>
      <c r="E69" s="14" t="n"/>
      <c r="F69" s="14" t="n"/>
      <c r="G69" s="14" t="n"/>
      <c r="H69" s="14" t="n"/>
      <c r="I69" s="14" t="n"/>
      <c r="J69" s="16">
        <f>IF(F69="",INDEX('Chart of Accounts'!$A$5:$A$3000,MATCH("bank",'Chart of Accounts'!$F$5:$F$3000,0)),F69&amp;"")</f>
        <v/>
      </c>
      <c r="K69" s="16">
        <f>IF(G69&lt;&gt;"",G69&amp;"",IF(LEFT(C69,7)="Capital",INDEX('Chart of Accounts'!$A$5:$A$3000,MATCH("capital",'Chart of Accounts'!$F$5:$F$3000,0)),INDEX('Chart of Accounts'!$A$5:$A$3000,MATCH("drawings",'Chart of Accounts'!$F$5:$F$3000,0))))</f>
        <v/>
      </c>
      <c r="L69" s="16">
        <f>IF(LEFT(C69,7)="Capital",J69,K69)</f>
        <v/>
      </c>
      <c r="M69" s="16">
        <f>IF(LEFT(C69,7)="Capital",K69,J69)</f>
        <v/>
      </c>
      <c r="N69" s="23">
        <f>IFERROR(INDEX('Chart of Accounts'!$C$5:$C$3000,MATCH(L69&amp;"",'Chart of Accounts'!$A$5:$A$3000,0))&amp;"|"&amp;INDEX('Chart of Accounts'!$D$5:$D$3000,MATCH(L69&amp;"",'Chart of Accounts'!$A$5:$A$3000,0)),"")</f>
        <v/>
      </c>
      <c r="O69" s="23">
        <f>IFERROR(INDEX('Chart of Accounts'!$C$5:$C$3000,MATCH(M69&amp;"",'Chart of Accounts'!$A$5:$A$3000,0))&amp;"|"&amp;INDEX('Chart of Accounts'!$D$5:$D$3000,MATCH(M69&amp;"",'Chart of Accounts'!$A$5:$A$3000,0)),"")</f>
        <v/>
      </c>
      <c r="P69" s="23">
        <f>IF(LEFT(N69,8)="Revenue|",-N(D69),0)+IF(LEFT(O69,8)="Revenue|",N(D69),0)</f>
        <v/>
      </c>
      <c r="Q69" s="23">
        <f>IF(LEFT(N69,5)="COGS|",N(D69),0)+IF(LEFT(O69,5)="COGS|",-N(D69),0)</f>
        <v/>
      </c>
      <c r="R69" s="23">
        <f>IF(LEFT(N69,8)="Expense|",N(D69),0)+IF(LEFT(O69,8)="Expense|",-N(D69),0)</f>
        <v/>
      </c>
      <c r="S69" s="23">
        <f>IF(ISNUMBER(MATCH(N69,{"Expense|employee","Expense|general_admin","Expense|marketing","Expense|utilities","Expense|other_operating"},0)),N(D69),0)+IF(ISNUMBER(MATCH(O69,{"Expense|employee","Expense|general_admin","Expense|marketing","Expense|utilities","Expense|other_operating"},0)),-N(D69),0)</f>
        <v/>
      </c>
      <c r="T69" s="23">
        <f>IF(N69="Liability|payable",-N(D69),0)+IF(O69="Liability|payable",N(D69),0)</f>
        <v/>
      </c>
      <c r="U69" s="23">
        <f>IF(N69="Liability|accrued",-N(D69),0)+IF(O69="Liability|accrued",N(D69),0)</f>
        <v/>
      </c>
      <c r="V69" s="23">
        <f>IF(AND(N(D69)&lt;&gt;0,N69=""),1,0)+IF(AND(N(D69)&lt;&gt;0,O69=""),1,0)</f>
        <v/>
      </c>
    </row>
    <row r="70">
      <c r="A70" s="19" t="n"/>
      <c r="B70" s="14" t="n"/>
      <c r="C70" s="14" t="n"/>
      <c r="D70" s="20" t="n"/>
      <c r="E70" s="14" t="n"/>
      <c r="F70" s="14" t="n"/>
      <c r="G70" s="14" t="n"/>
      <c r="H70" s="14" t="n"/>
      <c r="I70" s="14" t="n"/>
      <c r="J70" s="16">
        <f>IF(F70="",INDEX('Chart of Accounts'!$A$5:$A$3000,MATCH("bank",'Chart of Accounts'!$F$5:$F$3000,0)),F70&amp;"")</f>
        <v/>
      </c>
      <c r="K70" s="16">
        <f>IF(G70&lt;&gt;"",G70&amp;"",IF(LEFT(C70,7)="Capital",INDEX('Chart of Accounts'!$A$5:$A$3000,MATCH("capital",'Chart of Accounts'!$F$5:$F$3000,0)),INDEX('Chart of Accounts'!$A$5:$A$3000,MATCH("drawings",'Chart of Accounts'!$F$5:$F$3000,0))))</f>
        <v/>
      </c>
      <c r="L70" s="16">
        <f>IF(LEFT(C70,7)="Capital",J70,K70)</f>
        <v/>
      </c>
      <c r="M70" s="16">
        <f>IF(LEFT(C70,7)="Capital",K70,J70)</f>
        <v/>
      </c>
      <c r="N70" s="23">
        <f>IFERROR(INDEX('Chart of Accounts'!$C$5:$C$3000,MATCH(L70&amp;"",'Chart of Accounts'!$A$5:$A$3000,0))&amp;"|"&amp;INDEX('Chart of Accounts'!$D$5:$D$3000,MATCH(L70&amp;"",'Chart of Accounts'!$A$5:$A$3000,0)),"")</f>
        <v/>
      </c>
      <c r="O70" s="23">
        <f>IFERROR(INDEX('Chart of Accounts'!$C$5:$C$3000,MATCH(M70&amp;"",'Chart of Accounts'!$A$5:$A$3000,0))&amp;"|"&amp;INDEX('Chart of Accounts'!$D$5:$D$3000,MATCH(M70&amp;"",'Chart of Accounts'!$A$5:$A$3000,0)),"")</f>
        <v/>
      </c>
      <c r="P70" s="23">
        <f>IF(LEFT(N70,8)="Revenue|",-N(D70),0)+IF(LEFT(O70,8)="Revenue|",N(D70),0)</f>
        <v/>
      </c>
      <c r="Q70" s="23">
        <f>IF(LEFT(N70,5)="COGS|",N(D70),0)+IF(LEFT(O70,5)="COGS|",-N(D70),0)</f>
        <v/>
      </c>
      <c r="R70" s="23">
        <f>IF(LEFT(N70,8)="Expense|",N(D70),0)+IF(LEFT(O70,8)="Expense|",-N(D70),0)</f>
        <v/>
      </c>
      <c r="S70" s="23">
        <f>IF(ISNUMBER(MATCH(N70,{"Expense|employee","Expense|general_admin","Expense|marketing","Expense|utilities","Expense|other_operating"},0)),N(D70),0)+IF(ISNUMBER(MATCH(O70,{"Expense|employee","Expense|general_admin","Expense|marketing","Expense|utilities","Expense|other_operating"},0)),-N(D70),0)</f>
        <v/>
      </c>
      <c r="T70" s="23">
        <f>IF(N70="Liability|payable",-N(D70),0)+IF(O70="Liability|payable",N(D70),0)</f>
        <v/>
      </c>
      <c r="U70" s="23">
        <f>IF(N70="Liability|accrued",-N(D70),0)+IF(O70="Liability|accrued",N(D70),0)</f>
        <v/>
      </c>
      <c r="V70" s="23">
        <f>IF(AND(N(D70)&lt;&gt;0,N70=""),1,0)+IF(AND(N(D70)&lt;&gt;0,O70=""),1,0)</f>
        <v/>
      </c>
    </row>
    <row r="71">
      <c r="A71" s="19" t="n"/>
      <c r="B71" s="14" t="n"/>
      <c r="C71" s="14" t="n"/>
      <c r="D71" s="20" t="n"/>
      <c r="E71" s="14" t="n"/>
      <c r="F71" s="14" t="n"/>
      <c r="G71" s="14" t="n"/>
      <c r="H71" s="14" t="n"/>
      <c r="I71" s="14" t="n"/>
      <c r="J71" s="16">
        <f>IF(F71="",INDEX('Chart of Accounts'!$A$5:$A$3000,MATCH("bank",'Chart of Accounts'!$F$5:$F$3000,0)),F71&amp;"")</f>
        <v/>
      </c>
      <c r="K71" s="16">
        <f>IF(G71&lt;&gt;"",G71&amp;"",IF(LEFT(C71,7)="Capital",INDEX('Chart of Accounts'!$A$5:$A$3000,MATCH("capital",'Chart of Accounts'!$F$5:$F$3000,0)),INDEX('Chart of Accounts'!$A$5:$A$3000,MATCH("drawings",'Chart of Accounts'!$F$5:$F$3000,0))))</f>
        <v/>
      </c>
      <c r="L71" s="16">
        <f>IF(LEFT(C71,7)="Capital",J71,K71)</f>
        <v/>
      </c>
      <c r="M71" s="16">
        <f>IF(LEFT(C71,7)="Capital",K71,J71)</f>
        <v/>
      </c>
      <c r="N71" s="23">
        <f>IFERROR(INDEX('Chart of Accounts'!$C$5:$C$3000,MATCH(L71&amp;"",'Chart of Accounts'!$A$5:$A$3000,0))&amp;"|"&amp;INDEX('Chart of Accounts'!$D$5:$D$3000,MATCH(L71&amp;"",'Chart of Accounts'!$A$5:$A$3000,0)),"")</f>
        <v/>
      </c>
      <c r="O71" s="23">
        <f>IFERROR(INDEX('Chart of Accounts'!$C$5:$C$3000,MATCH(M71&amp;"",'Chart of Accounts'!$A$5:$A$3000,0))&amp;"|"&amp;INDEX('Chart of Accounts'!$D$5:$D$3000,MATCH(M71&amp;"",'Chart of Accounts'!$A$5:$A$3000,0)),"")</f>
        <v/>
      </c>
      <c r="P71" s="23">
        <f>IF(LEFT(N71,8)="Revenue|",-N(D71),0)+IF(LEFT(O71,8)="Revenue|",N(D71),0)</f>
        <v/>
      </c>
      <c r="Q71" s="23">
        <f>IF(LEFT(N71,5)="COGS|",N(D71),0)+IF(LEFT(O71,5)="COGS|",-N(D71),0)</f>
        <v/>
      </c>
      <c r="R71" s="23">
        <f>IF(LEFT(N71,8)="Expense|",N(D71),0)+IF(LEFT(O71,8)="Expense|",-N(D71),0)</f>
        <v/>
      </c>
      <c r="S71" s="23">
        <f>IF(ISNUMBER(MATCH(N71,{"Expense|employee","Expense|general_admin","Expense|marketing","Expense|utilities","Expense|other_operating"},0)),N(D71),0)+IF(ISNUMBER(MATCH(O71,{"Expense|employee","Expense|general_admin","Expense|marketing","Expense|utilities","Expense|other_operating"},0)),-N(D71),0)</f>
        <v/>
      </c>
      <c r="T71" s="23">
        <f>IF(N71="Liability|payable",-N(D71),0)+IF(O71="Liability|payable",N(D71),0)</f>
        <v/>
      </c>
      <c r="U71" s="23">
        <f>IF(N71="Liability|accrued",-N(D71),0)+IF(O71="Liability|accrued",N(D71),0)</f>
        <v/>
      </c>
      <c r="V71" s="23">
        <f>IF(AND(N(D71)&lt;&gt;0,N71=""),1,0)+IF(AND(N(D71)&lt;&gt;0,O71=""),1,0)</f>
        <v/>
      </c>
    </row>
    <row r="72">
      <c r="A72" s="19" t="n"/>
      <c r="B72" s="14" t="n"/>
      <c r="C72" s="14" t="n"/>
      <c r="D72" s="20" t="n"/>
      <c r="E72" s="14" t="n"/>
      <c r="F72" s="14" t="n"/>
      <c r="G72" s="14" t="n"/>
      <c r="H72" s="14" t="n"/>
      <c r="I72" s="14" t="n"/>
      <c r="J72" s="16">
        <f>IF(F72="",INDEX('Chart of Accounts'!$A$5:$A$3000,MATCH("bank",'Chart of Accounts'!$F$5:$F$3000,0)),F72&amp;"")</f>
        <v/>
      </c>
      <c r="K72" s="16">
        <f>IF(G72&lt;&gt;"",G72&amp;"",IF(LEFT(C72,7)="Capital",INDEX('Chart of Accounts'!$A$5:$A$3000,MATCH("capital",'Chart of Accounts'!$F$5:$F$3000,0)),INDEX('Chart of Accounts'!$A$5:$A$3000,MATCH("drawings",'Chart of Accounts'!$F$5:$F$3000,0))))</f>
        <v/>
      </c>
      <c r="L72" s="16">
        <f>IF(LEFT(C72,7)="Capital",J72,K72)</f>
        <v/>
      </c>
      <c r="M72" s="16">
        <f>IF(LEFT(C72,7)="Capital",K72,J72)</f>
        <v/>
      </c>
      <c r="N72" s="23">
        <f>IFERROR(INDEX('Chart of Accounts'!$C$5:$C$3000,MATCH(L72&amp;"",'Chart of Accounts'!$A$5:$A$3000,0))&amp;"|"&amp;INDEX('Chart of Accounts'!$D$5:$D$3000,MATCH(L72&amp;"",'Chart of Accounts'!$A$5:$A$3000,0)),"")</f>
        <v/>
      </c>
      <c r="O72" s="23">
        <f>IFERROR(INDEX('Chart of Accounts'!$C$5:$C$3000,MATCH(M72&amp;"",'Chart of Accounts'!$A$5:$A$3000,0))&amp;"|"&amp;INDEX('Chart of Accounts'!$D$5:$D$3000,MATCH(M72&amp;"",'Chart of Accounts'!$A$5:$A$3000,0)),"")</f>
        <v/>
      </c>
      <c r="P72" s="23">
        <f>IF(LEFT(N72,8)="Revenue|",-N(D72),0)+IF(LEFT(O72,8)="Revenue|",N(D72),0)</f>
        <v/>
      </c>
      <c r="Q72" s="23">
        <f>IF(LEFT(N72,5)="COGS|",N(D72),0)+IF(LEFT(O72,5)="COGS|",-N(D72),0)</f>
        <v/>
      </c>
      <c r="R72" s="23">
        <f>IF(LEFT(N72,8)="Expense|",N(D72),0)+IF(LEFT(O72,8)="Expense|",-N(D72),0)</f>
        <v/>
      </c>
      <c r="S72" s="23">
        <f>IF(ISNUMBER(MATCH(N72,{"Expense|employee","Expense|general_admin","Expense|marketing","Expense|utilities","Expense|other_operating"},0)),N(D72),0)+IF(ISNUMBER(MATCH(O72,{"Expense|employee","Expense|general_admin","Expense|marketing","Expense|utilities","Expense|other_operating"},0)),-N(D72),0)</f>
        <v/>
      </c>
      <c r="T72" s="23">
        <f>IF(N72="Liability|payable",-N(D72),0)+IF(O72="Liability|payable",N(D72),0)</f>
        <v/>
      </c>
      <c r="U72" s="23">
        <f>IF(N72="Liability|accrued",-N(D72),0)+IF(O72="Liability|accrued",N(D72),0)</f>
        <v/>
      </c>
      <c r="V72" s="23">
        <f>IF(AND(N(D72)&lt;&gt;0,N72=""),1,0)+IF(AND(N(D72)&lt;&gt;0,O72=""),1,0)</f>
        <v/>
      </c>
    </row>
    <row r="73">
      <c r="A73" s="19" t="n"/>
      <c r="B73" s="14" t="n"/>
      <c r="C73" s="14" t="n"/>
      <c r="D73" s="20" t="n"/>
      <c r="E73" s="14" t="n"/>
      <c r="F73" s="14" t="n"/>
      <c r="G73" s="14" t="n"/>
      <c r="H73" s="14" t="n"/>
      <c r="I73" s="14" t="n"/>
      <c r="J73" s="16">
        <f>IF(F73="",INDEX('Chart of Accounts'!$A$5:$A$3000,MATCH("bank",'Chart of Accounts'!$F$5:$F$3000,0)),F73&amp;"")</f>
        <v/>
      </c>
      <c r="K73" s="16">
        <f>IF(G73&lt;&gt;"",G73&amp;"",IF(LEFT(C73,7)="Capital",INDEX('Chart of Accounts'!$A$5:$A$3000,MATCH("capital",'Chart of Accounts'!$F$5:$F$3000,0)),INDEX('Chart of Accounts'!$A$5:$A$3000,MATCH("drawings",'Chart of Accounts'!$F$5:$F$3000,0))))</f>
        <v/>
      </c>
      <c r="L73" s="16">
        <f>IF(LEFT(C73,7)="Capital",J73,K73)</f>
        <v/>
      </c>
      <c r="M73" s="16">
        <f>IF(LEFT(C73,7)="Capital",K73,J73)</f>
        <v/>
      </c>
      <c r="N73" s="23">
        <f>IFERROR(INDEX('Chart of Accounts'!$C$5:$C$3000,MATCH(L73&amp;"",'Chart of Accounts'!$A$5:$A$3000,0))&amp;"|"&amp;INDEX('Chart of Accounts'!$D$5:$D$3000,MATCH(L73&amp;"",'Chart of Accounts'!$A$5:$A$3000,0)),"")</f>
        <v/>
      </c>
      <c r="O73" s="23">
        <f>IFERROR(INDEX('Chart of Accounts'!$C$5:$C$3000,MATCH(M73&amp;"",'Chart of Accounts'!$A$5:$A$3000,0))&amp;"|"&amp;INDEX('Chart of Accounts'!$D$5:$D$3000,MATCH(M73&amp;"",'Chart of Accounts'!$A$5:$A$3000,0)),"")</f>
        <v/>
      </c>
      <c r="P73" s="23">
        <f>IF(LEFT(N73,8)="Revenue|",-N(D73),0)+IF(LEFT(O73,8)="Revenue|",N(D73),0)</f>
        <v/>
      </c>
      <c r="Q73" s="23">
        <f>IF(LEFT(N73,5)="COGS|",N(D73),0)+IF(LEFT(O73,5)="COGS|",-N(D73),0)</f>
        <v/>
      </c>
      <c r="R73" s="23">
        <f>IF(LEFT(N73,8)="Expense|",N(D73),0)+IF(LEFT(O73,8)="Expense|",-N(D73),0)</f>
        <v/>
      </c>
      <c r="S73" s="23">
        <f>IF(ISNUMBER(MATCH(N73,{"Expense|employee","Expense|general_admin","Expense|marketing","Expense|utilities","Expense|other_operating"},0)),N(D73),0)+IF(ISNUMBER(MATCH(O73,{"Expense|employee","Expense|general_admin","Expense|marketing","Expense|utilities","Expense|other_operating"},0)),-N(D73),0)</f>
        <v/>
      </c>
      <c r="T73" s="23">
        <f>IF(N73="Liability|payable",-N(D73),0)+IF(O73="Liability|payable",N(D73),0)</f>
        <v/>
      </c>
      <c r="U73" s="23">
        <f>IF(N73="Liability|accrued",-N(D73),0)+IF(O73="Liability|accrued",N(D73),0)</f>
        <v/>
      </c>
      <c r="V73" s="23">
        <f>IF(AND(N(D73)&lt;&gt;0,N73=""),1,0)+IF(AND(N(D73)&lt;&gt;0,O73=""),1,0)</f>
        <v/>
      </c>
    </row>
    <row r="74">
      <c r="A74" s="19" t="n"/>
      <c r="B74" s="14" t="n"/>
      <c r="C74" s="14" t="n"/>
      <c r="D74" s="20" t="n"/>
      <c r="E74" s="14" t="n"/>
      <c r="F74" s="14" t="n"/>
      <c r="G74" s="14" t="n"/>
      <c r="H74" s="14" t="n"/>
      <c r="I74" s="14" t="n"/>
      <c r="J74" s="16">
        <f>IF(F74="",INDEX('Chart of Accounts'!$A$5:$A$3000,MATCH("bank",'Chart of Accounts'!$F$5:$F$3000,0)),F74&amp;"")</f>
        <v/>
      </c>
      <c r="K74" s="16">
        <f>IF(G74&lt;&gt;"",G74&amp;"",IF(LEFT(C74,7)="Capital",INDEX('Chart of Accounts'!$A$5:$A$3000,MATCH("capital",'Chart of Accounts'!$F$5:$F$3000,0)),INDEX('Chart of Accounts'!$A$5:$A$3000,MATCH("drawings",'Chart of Accounts'!$F$5:$F$3000,0))))</f>
        <v/>
      </c>
      <c r="L74" s="16">
        <f>IF(LEFT(C74,7)="Capital",J74,K74)</f>
        <v/>
      </c>
      <c r="M74" s="16">
        <f>IF(LEFT(C74,7)="Capital",K74,J74)</f>
        <v/>
      </c>
      <c r="N74" s="23">
        <f>IFERROR(INDEX('Chart of Accounts'!$C$5:$C$3000,MATCH(L74&amp;"",'Chart of Accounts'!$A$5:$A$3000,0))&amp;"|"&amp;INDEX('Chart of Accounts'!$D$5:$D$3000,MATCH(L74&amp;"",'Chart of Accounts'!$A$5:$A$3000,0)),"")</f>
        <v/>
      </c>
      <c r="O74" s="23">
        <f>IFERROR(INDEX('Chart of Accounts'!$C$5:$C$3000,MATCH(M74&amp;"",'Chart of Accounts'!$A$5:$A$3000,0))&amp;"|"&amp;INDEX('Chart of Accounts'!$D$5:$D$3000,MATCH(M74&amp;"",'Chart of Accounts'!$A$5:$A$3000,0)),"")</f>
        <v/>
      </c>
      <c r="P74" s="23">
        <f>IF(LEFT(N74,8)="Revenue|",-N(D74),0)+IF(LEFT(O74,8)="Revenue|",N(D74),0)</f>
        <v/>
      </c>
      <c r="Q74" s="23">
        <f>IF(LEFT(N74,5)="COGS|",N(D74),0)+IF(LEFT(O74,5)="COGS|",-N(D74),0)</f>
        <v/>
      </c>
      <c r="R74" s="23">
        <f>IF(LEFT(N74,8)="Expense|",N(D74),0)+IF(LEFT(O74,8)="Expense|",-N(D74),0)</f>
        <v/>
      </c>
      <c r="S74" s="23">
        <f>IF(ISNUMBER(MATCH(N74,{"Expense|employee","Expense|general_admin","Expense|marketing","Expense|utilities","Expense|other_operating"},0)),N(D74),0)+IF(ISNUMBER(MATCH(O74,{"Expense|employee","Expense|general_admin","Expense|marketing","Expense|utilities","Expense|other_operating"},0)),-N(D74),0)</f>
        <v/>
      </c>
      <c r="T74" s="23">
        <f>IF(N74="Liability|payable",-N(D74),0)+IF(O74="Liability|payable",N(D74),0)</f>
        <v/>
      </c>
      <c r="U74" s="23">
        <f>IF(N74="Liability|accrued",-N(D74),0)+IF(O74="Liability|accrued",N(D74),0)</f>
        <v/>
      </c>
      <c r="V74" s="23">
        <f>IF(AND(N(D74)&lt;&gt;0,N74=""),1,0)+IF(AND(N(D74)&lt;&gt;0,O74=""),1,0)</f>
        <v/>
      </c>
    </row>
    <row r="75">
      <c r="A75" s="19" t="n"/>
      <c r="B75" s="14" t="n"/>
      <c r="C75" s="14" t="n"/>
      <c r="D75" s="20" t="n"/>
      <c r="E75" s="14" t="n"/>
      <c r="F75" s="14" t="n"/>
      <c r="G75" s="14" t="n"/>
      <c r="H75" s="14" t="n"/>
      <c r="I75" s="14" t="n"/>
      <c r="J75" s="16">
        <f>IF(F75="",INDEX('Chart of Accounts'!$A$5:$A$3000,MATCH("bank",'Chart of Accounts'!$F$5:$F$3000,0)),F75&amp;"")</f>
        <v/>
      </c>
      <c r="K75" s="16">
        <f>IF(G75&lt;&gt;"",G75&amp;"",IF(LEFT(C75,7)="Capital",INDEX('Chart of Accounts'!$A$5:$A$3000,MATCH("capital",'Chart of Accounts'!$F$5:$F$3000,0)),INDEX('Chart of Accounts'!$A$5:$A$3000,MATCH("drawings",'Chart of Accounts'!$F$5:$F$3000,0))))</f>
        <v/>
      </c>
      <c r="L75" s="16">
        <f>IF(LEFT(C75,7)="Capital",J75,K75)</f>
        <v/>
      </c>
      <c r="M75" s="16">
        <f>IF(LEFT(C75,7)="Capital",K75,J75)</f>
        <v/>
      </c>
      <c r="N75" s="23">
        <f>IFERROR(INDEX('Chart of Accounts'!$C$5:$C$3000,MATCH(L75&amp;"",'Chart of Accounts'!$A$5:$A$3000,0))&amp;"|"&amp;INDEX('Chart of Accounts'!$D$5:$D$3000,MATCH(L75&amp;"",'Chart of Accounts'!$A$5:$A$3000,0)),"")</f>
        <v/>
      </c>
      <c r="O75" s="23">
        <f>IFERROR(INDEX('Chart of Accounts'!$C$5:$C$3000,MATCH(M75&amp;"",'Chart of Accounts'!$A$5:$A$3000,0))&amp;"|"&amp;INDEX('Chart of Accounts'!$D$5:$D$3000,MATCH(M75&amp;"",'Chart of Accounts'!$A$5:$A$3000,0)),"")</f>
        <v/>
      </c>
      <c r="P75" s="23">
        <f>IF(LEFT(N75,8)="Revenue|",-N(D75),0)+IF(LEFT(O75,8)="Revenue|",N(D75),0)</f>
        <v/>
      </c>
      <c r="Q75" s="23">
        <f>IF(LEFT(N75,5)="COGS|",N(D75),0)+IF(LEFT(O75,5)="COGS|",-N(D75),0)</f>
        <v/>
      </c>
      <c r="R75" s="23">
        <f>IF(LEFT(N75,8)="Expense|",N(D75),0)+IF(LEFT(O75,8)="Expense|",-N(D75),0)</f>
        <v/>
      </c>
      <c r="S75" s="23">
        <f>IF(ISNUMBER(MATCH(N75,{"Expense|employee","Expense|general_admin","Expense|marketing","Expense|utilities","Expense|other_operating"},0)),N(D75),0)+IF(ISNUMBER(MATCH(O75,{"Expense|employee","Expense|general_admin","Expense|marketing","Expense|utilities","Expense|other_operating"},0)),-N(D75),0)</f>
        <v/>
      </c>
      <c r="T75" s="23">
        <f>IF(N75="Liability|payable",-N(D75),0)+IF(O75="Liability|payable",N(D75),0)</f>
        <v/>
      </c>
      <c r="U75" s="23">
        <f>IF(N75="Liability|accrued",-N(D75),0)+IF(O75="Liability|accrued",N(D75),0)</f>
        <v/>
      </c>
      <c r="V75" s="23">
        <f>IF(AND(N(D75)&lt;&gt;0,N75=""),1,0)+IF(AND(N(D75)&lt;&gt;0,O75=""),1,0)</f>
        <v/>
      </c>
    </row>
    <row r="76">
      <c r="A76" s="19" t="n"/>
      <c r="B76" s="14" t="n"/>
      <c r="C76" s="14" t="n"/>
      <c r="D76" s="20" t="n"/>
      <c r="E76" s="14" t="n"/>
      <c r="F76" s="14" t="n"/>
      <c r="G76" s="14" t="n"/>
      <c r="H76" s="14" t="n"/>
      <c r="I76" s="14" t="n"/>
      <c r="J76" s="16">
        <f>IF(F76="",INDEX('Chart of Accounts'!$A$5:$A$3000,MATCH("bank",'Chart of Accounts'!$F$5:$F$3000,0)),F76&amp;"")</f>
        <v/>
      </c>
      <c r="K76" s="16">
        <f>IF(G76&lt;&gt;"",G76&amp;"",IF(LEFT(C76,7)="Capital",INDEX('Chart of Accounts'!$A$5:$A$3000,MATCH("capital",'Chart of Accounts'!$F$5:$F$3000,0)),INDEX('Chart of Accounts'!$A$5:$A$3000,MATCH("drawings",'Chart of Accounts'!$F$5:$F$3000,0))))</f>
        <v/>
      </c>
      <c r="L76" s="16">
        <f>IF(LEFT(C76,7)="Capital",J76,K76)</f>
        <v/>
      </c>
      <c r="M76" s="16">
        <f>IF(LEFT(C76,7)="Capital",K76,J76)</f>
        <v/>
      </c>
      <c r="N76" s="23">
        <f>IFERROR(INDEX('Chart of Accounts'!$C$5:$C$3000,MATCH(L76&amp;"",'Chart of Accounts'!$A$5:$A$3000,0))&amp;"|"&amp;INDEX('Chart of Accounts'!$D$5:$D$3000,MATCH(L76&amp;"",'Chart of Accounts'!$A$5:$A$3000,0)),"")</f>
        <v/>
      </c>
      <c r="O76" s="23">
        <f>IFERROR(INDEX('Chart of Accounts'!$C$5:$C$3000,MATCH(M76&amp;"",'Chart of Accounts'!$A$5:$A$3000,0))&amp;"|"&amp;INDEX('Chart of Accounts'!$D$5:$D$3000,MATCH(M76&amp;"",'Chart of Accounts'!$A$5:$A$3000,0)),"")</f>
        <v/>
      </c>
      <c r="P76" s="23">
        <f>IF(LEFT(N76,8)="Revenue|",-N(D76),0)+IF(LEFT(O76,8)="Revenue|",N(D76),0)</f>
        <v/>
      </c>
      <c r="Q76" s="23">
        <f>IF(LEFT(N76,5)="COGS|",N(D76),0)+IF(LEFT(O76,5)="COGS|",-N(D76),0)</f>
        <v/>
      </c>
      <c r="R76" s="23">
        <f>IF(LEFT(N76,8)="Expense|",N(D76),0)+IF(LEFT(O76,8)="Expense|",-N(D76),0)</f>
        <v/>
      </c>
      <c r="S76" s="23">
        <f>IF(ISNUMBER(MATCH(N76,{"Expense|employee","Expense|general_admin","Expense|marketing","Expense|utilities","Expense|other_operating"},0)),N(D76),0)+IF(ISNUMBER(MATCH(O76,{"Expense|employee","Expense|general_admin","Expense|marketing","Expense|utilities","Expense|other_operating"},0)),-N(D76),0)</f>
        <v/>
      </c>
      <c r="T76" s="23">
        <f>IF(N76="Liability|payable",-N(D76),0)+IF(O76="Liability|payable",N(D76),0)</f>
        <v/>
      </c>
      <c r="U76" s="23">
        <f>IF(N76="Liability|accrued",-N(D76),0)+IF(O76="Liability|accrued",N(D76),0)</f>
        <v/>
      </c>
      <c r="V76" s="23">
        <f>IF(AND(N(D76)&lt;&gt;0,N76=""),1,0)+IF(AND(N(D76)&lt;&gt;0,O76=""),1,0)</f>
        <v/>
      </c>
    </row>
    <row r="77">
      <c r="A77" s="19" t="n"/>
      <c r="B77" s="14" t="n"/>
      <c r="C77" s="14" t="n"/>
      <c r="D77" s="20" t="n"/>
      <c r="E77" s="14" t="n"/>
      <c r="F77" s="14" t="n"/>
      <c r="G77" s="14" t="n"/>
      <c r="H77" s="14" t="n"/>
      <c r="I77" s="14" t="n"/>
      <c r="J77" s="16">
        <f>IF(F77="",INDEX('Chart of Accounts'!$A$5:$A$3000,MATCH("bank",'Chart of Accounts'!$F$5:$F$3000,0)),F77&amp;"")</f>
        <v/>
      </c>
      <c r="K77" s="16">
        <f>IF(G77&lt;&gt;"",G77&amp;"",IF(LEFT(C77,7)="Capital",INDEX('Chart of Accounts'!$A$5:$A$3000,MATCH("capital",'Chart of Accounts'!$F$5:$F$3000,0)),INDEX('Chart of Accounts'!$A$5:$A$3000,MATCH("drawings",'Chart of Accounts'!$F$5:$F$3000,0))))</f>
        <v/>
      </c>
      <c r="L77" s="16">
        <f>IF(LEFT(C77,7)="Capital",J77,K77)</f>
        <v/>
      </c>
      <c r="M77" s="16">
        <f>IF(LEFT(C77,7)="Capital",K77,J77)</f>
        <v/>
      </c>
      <c r="N77" s="23">
        <f>IFERROR(INDEX('Chart of Accounts'!$C$5:$C$3000,MATCH(L77&amp;"",'Chart of Accounts'!$A$5:$A$3000,0))&amp;"|"&amp;INDEX('Chart of Accounts'!$D$5:$D$3000,MATCH(L77&amp;"",'Chart of Accounts'!$A$5:$A$3000,0)),"")</f>
        <v/>
      </c>
      <c r="O77" s="23">
        <f>IFERROR(INDEX('Chart of Accounts'!$C$5:$C$3000,MATCH(M77&amp;"",'Chart of Accounts'!$A$5:$A$3000,0))&amp;"|"&amp;INDEX('Chart of Accounts'!$D$5:$D$3000,MATCH(M77&amp;"",'Chart of Accounts'!$A$5:$A$3000,0)),"")</f>
        <v/>
      </c>
      <c r="P77" s="23">
        <f>IF(LEFT(N77,8)="Revenue|",-N(D77),0)+IF(LEFT(O77,8)="Revenue|",N(D77),0)</f>
        <v/>
      </c>
      <c r="Q77" s="23">
        <f>IF(LEFT(N77,5)="COGS|",N(D77),0)+IF(LEFT(O77,5)="COGS|",-N(D77),0)</f>
        <v/>
      </c>
      <c r="R77" s="23">
        <f>IF(LEFT(N77,8)="Expense|",N(D77),0)+IF(LEFT(O77,8)="Expense|",-N(D77),0)</f>
        <v/>
      </c>
      <c r="S77" s="23">
        <f>IF(ISNUMBER(MATCH(N77,{"Expense|employee","Expense|general_admin","Expense|marketing","Expense|utilities","Expense|other_operating"},0)),N(D77),0)+IF(ISNUMBER(MATCH(O77,{"Expense|employee","Expense|general_admin","Expense|marketing","Expense|utilities","Expense|other_operating"},0)),-N(D77),0)</f>
        <v/>
      </c>
      <c r="T77" s="23">
        <f>IF(N77="Liability|payable",-N(D77),0)+IF(O77="Liability|payable",N(D77),0)</f>
        <v/>
      </c>
      <c r="U77" s="23">
        <f>IF(N77="Liability|accrued",-N(D77),0)+IF(O77="Liability|accrued",N(D77),0)</f>
        <v/>
      </c>
      <c r="V77" s="23">
        <f>IF(AND(N(D77)&lt;&gt;0,N77=""),1,0)+IF(AND(N(D77)&lt;&gt;0,O77=""),1,0)</f>
        <v/>
      </c>
    </row>
    <row r="78">
      <c r="A78" s="19" t="n"/>
      <c r="B78" s="14" t="n"/>
      <c r="C78" s="14" t="n"/>
      <c r="D78" s="20" t="n"/>
      <c r="E78" s="14" t="n"/>
      <c r="F78" s="14" t="n"/>
      <c r="G78" s="14" t="n"/>
      <c r="H78" s="14" t="n"/>
      <c r="I78" s="14" t="n"/>
      <c r="J78" s="16">
        <f>IF(F78="",INDEX('Chart of Accounts'!$A$5:$A$3000,MATCH("bank",'Chart of Accounts'!$F$5:$F$3000,0)),F78&amp;"")</f>
        <v/>
      </c>
      <c r="K78" s="16">
        <f>IF(G78&lt;&gt;"",G78&amp;"",IF(LEFT(C78,7)="Capital",INDEX('Chart of Accounts'!$A$5:$A$3000,MATCH("capital",'Chart of Accounts'!$F$5:$F$3000,0)),INDEX('Chart of Accounts'!$A$5:$A$3000,MATCH("drawings",'Chart of Accounts'!$F$5:$F$3000,0))))</f>
        <v/>
      </c>
      <c r="L78" s="16">
        <f>IF(LEFT(C78,7)="Capital",J78,K78)</f>
        <v/>
      </c>
      <c r="M78" s="16">
        <f>IF(LEFT(C78,7)="Capital",K78,J78)</f>
        <v/>
      </c>
      <c r="N78" s="23">
        <f>IFERROR(INDEX('Chart of Accounts'!$C$5:$C$3000,MATCH(L78&amp;"",'Chart of Accounts'!$A$5:$A$3000,0))&amp;"|"&amp;INDEX('Chart of Accounts'!$D$5:$D$3000,MATCH(L78&amp;"",'Chart of Accounts'!$A$5:$A$3000,0)),"")</f>
        <v/>
      </c>
      <c r="O78" s="23">
        <f>IFERROR(INDEX('Chart of Accounts'!$C$5:$C$3000,MATCH(M78&amp;"",'Chart of Accounts'!$A$5:$A$3000,0))&amp;"|"&amp;INDEX('Chart of Accounts'!$D$5:$D$3000,MATCH(M78&amp;"",'Chart of Accounts'!$A$5:$A$3000,0)),"")</f>
        <v/>
      </c>
      <c r="P78" s="23">
        <f>IF(LEFT(N78,8)="Revenue|",-N(D78),0)+IF(LEFT(O78,8)="Revenue|",N(D78),0)</f>
        <v/>
      </c>
      <c r="Q78" s="23">
        <f>IF(LEFT(N78,5)="COGS|",N(D78),0)+IF(LEFT(O78,5)="COGS|",-N(D78),0)</f>
        <v/>
      </c>
      <c r="R78" s="23">
        <f>IF(LEFT(N78,8)="Expense|",N(D78),0)+IF(LEFT(O78,8)="Expense|",-N(D78),0)</f>
        <v/>
      </c>
      <c r="S78" s="23">
        <f>IF(ISNUMBER(MATCH(N78,{"Expense|employee","Expense|general_admin","Expense|marketing","Expense|utilities","Expense|other_operating"},0)),N(D78),0)+IF(ISNUMBER(MATCH(O78,{"Expense|employee","Expense|general_admin","Expense|marketing","Expense|utilities","Expense|other_operating"},0)),-N(D78),0)</f>
        <v/>
      </c>
      <c r="T78" s="23">
        <f>IF(N78="Liability|payable",-N(D78),0)+IF(O78="Liability|payable",N(D78),0)</f>
        <v/>
      </c>
      <c r="U78" s="23">
        <f>IF(N78="Liability|accrued",-N(D78),0)+IF(O78="Liability|accrued",N(D78),0)</f>
        <v/>
      </c>
      <c r="V78" s="23">
        <f>IF(AND(N(D78)&lt;&gt;0,N78=""),1,0)+IF(AND(N(D78)&lt;&gt;0,O78=""),1,0)</f>
        <v/>
      </c>
    </row>
    <row r="79">
      <c r="A79" s="19" t="n"/>
      <c r="B79" s="14" t="n"/>
      <c r="C79" s="14" t="n"/>
      <c r="D79" s="20" t="n"/>
      <c r="E79" s="14" t="n"/>
      <c r="F79" s="14" t="n"/>
      <c r="G79" s="14" t="n"/>
      <c r="H79" s="14" t="n"/>
      <c r="I79" s="14" t="n"/>
      <c r="J79" s="16">
        <f>IF(F79="",INDEX('Chart of Accounts'!$A$5:$A$3000,MATCH("bank",'Chart of Accounts'!$F$5:$F$3000,0)),F79&amp;"")</f>
        <v/>
      </c>
      <c r="K79" s="16">
        <f>IF(G79&lt;&gt;"",G79&amp;"",IF(LEFT(C79,7)="Capital",INDEX('Chart of Accounts'!$A$5:$A$3000,MATCH("capital",'Chart of Accounts'!$F$5:$F$3000,0)),INDEX('Chart of Accounts'!$A$5:$A$3000,MATCH("drawings",'Chart of Accounts'!$F$5:$F$3000,0))))</f>
        <v/>
      </c>
      <c r="L79" s="16">
        <f>IF(LEFT(C79,7)="Capital",J79,K79)</f>
        <v/>
      </c>
      <c r="M79" s="16">
        <f>IF(LEFT(C79,7)="Capital",K79,J79)</f>
        <v/>
      </c>
      <c r="N79" s="23">
        <f>IFERROR(INDEX('Chart of Accounts'!$C$5:$C$3000,MATCH(L79&amp;"",'Chart of Accounts'!$A$5:$A$3000,0))&amp;"|"&amp;INDEX('Chart of Accounts'!$D$5:$D$3000,MATCH(L79&amp;"",'Chart of Accounts'!$A$5:$A$3000,0)),"")</f>
        <v/>
      </c>
      <c r="O79" s="23">
        <f>IFERROR(INDEX('Chart of Accounts'!$C$5:$C$3000,MATCH(M79&amp;"",'Chart of Accounts'!$A$5:$A$3000,0))&amp;"|"&amp;INDEX('Chart of Accounts'!$D$5:$D$3000,MATCH(M79&amp;"",'Chart of Accounts'!$A$5:$A$3000,0)),"")</f>
        <v/>
      </c>
      <c r="P79" s="23">
        <f>IF(LEFT(N79,8)="Revenue|",-N(D79),0)+IF(LEFT(O79,8)="Revenue|",N(D79),0)</f>
        <v/>
      </c>
      <c r="Q79" s="23">
        <f>IF(LEFT(N79,5)="COGS|",N(D79),0)+IF(LEFT(O79,5)="COGS|",-N(D79),0)</f>
        <v/>
      </c>
      <c r="R79" s="23">
        <f>IF(LEFT(N79,8)="Expense|",N(D79),0)+IF(LEFT(O79,8)="Expense|",-N(D79),0)</f>
        <v/>
      </c>
      <c r="S79" s="23">
        <f>IF(ISNUMBER(MATCH(N79,{"Expense|employee","Expense|general_admin","Expense|marketing","Expense|utilities","Expense|other_operating"},0)),N(D79),0)+IF(ISNUMBER(MATCH(O79,{"Expense|employee","Expense|general_admin","Expense|marketing","Expense|utilities","Expense|other_operating"},0)),-N(D79),0)</f>
        <v/>
      </c>
      <c r="T79" s="23">
        <f>IF(N79="Liability|payable",-N(D79),0)+IF(O79="Liability|payable",N(D79),0)</f>
        <v/>
      </c>
      <c r="U79" s="23">
        <f>IF(N79="Liability|accrued",-N(D79),0)+IF(O79="Liability|accrued",N(D79),0)</f>
        <v/>
      </c>
      <c r="V79" s="23">
        <f>IF(AND(N(D79)&lt;&gt;0,N79=""),1,0)+IF(AND(N(D79)&lt;&gt;0,O79=""),1,0)</f>
        <v/>
      </c>
    </row>
    <row r="80">
      <c r="A80" s="19" t="n"/>
      <c r="B80" s="14" t="n"/>
      <c r="C80" s="14" t="n"/>
      <c r="D80" s="20" t="n"/>
      <c r="E80" s="14" t="n"/>
      <c r="F80" s="14" t="n"/>
      <c r="G80" s="14" t="n"/>
      <c r="H80" s="14" t="n"/>
      <c r="I80" s="14" t="n"/>
      <c r="J80" s="16">
        <f>IF(F80="",INDEX('Chart of Accounts'!$A$5:$A$3000,MATCH("bank",'Chart of Accounts'!$F$5:$F$3000,0)),F80&amp;"")</f>
        <v/>
      </c>
      <c r="K80" s="16">
        <f>IF(G80&lt;&gt;"",G80&amp;"",IF(LEFT(C80,7)="Capital",INDEX('Chart of Accounts'!$A$5:$A$3000,MATCH("capital",'Chart of Accounts'!$F$5:$F$3000,0)),INDEX('Chart of Accounts'!$A$5:$A$3000,MATCH("drawings",'Chart of Accounts'!$F$5:$F$3000,0))))</f>
        <v/>
      </c>
      <c r="L80" s="16">
        <f>IF(LEFT(C80,7)="Capital",J80,K80)</f>
        <v/>
      </c>
      <c r="M80" s="16">
        <f>IF(LEFT(C80,7)="Capital",K80,J80)</f>
        <v/>
      </c>
      <c r="N80" s="23">
        <f>IFERROR(INDEX('Chart of Accounts'!$C$5:$C$3000,MATCH(L80&amp;"",'Chart of Accounts'!$A$5:$A$3000,0))&amp;"|"&amp;INDEX('Chart of Accounts'!$D$5:$D$3000,MATCH(L80&amp;"",'Chart of Accounts'!$A$5:$A$3000,0)),"")</f>
        <v/>
      </c>
      <c r="O80" s="23">
        <f>IFERROR(INDEX('Chart of Accounts'!$C$5:$C$3000,MATCH(M80&amp;"",'Chart of Accounts'!$A$5:$A$3000,0))&amp;"|"&amp;INDEX('Chart of Accounts'!$D$5:$D$3000,MATCH(M80&amp;"",'Chart of Accounts'!$A$5:$A$3000,0)),"")</f>
        <v/>
      </c>
      <c r="P80" s="23">
        <f>IF(LEFT(N80,8)="Revenue|",-N(D80),0)+IF(LEFT(O80,8)="Revenue|",N(D80),0)</f>
        <v/>
      </c>
      <c r="Q80" s="23">
        <f>IF(LEFT(N80,5)="COGS|",N(D80),0)+IF(LEFT(O80,5)="COGS|",-N(D80),0)</f>
        <v/>
      </c>
      <c r="R80" s="23">
        <f>IF(LEFT(N80,8)="Expense|",N(D80),0)+IF(LEFT(O80,8)="Expense|",-N(D80),0)</f>
        <v/>
      </c>
      <c r="S80" s="23">
        <f>IF(ISNUMBER(MATCH(N80,{"Expense|employee","Expense|general_admin","Expense|marketing","Expense|utilities","Expense|other_operating"},0)),N(D80),0)+IF(ISNUMBER(MATCH(O80,{"Expense|employee","Expense|general_admin","Expense|marketing","Expense|utilities","Expense|other_operating"},0)),-N(D80),0)</f>
        <v/>
      </c>
      <c r="T80" s="23">
        <f>IF(N80="Liability|payable",-N(D80),0)+IF(O80="Liability|payable",N(D80),0)</f>
        <v/>
      </c>
      <c r="U80" s="23">
        <f>IF(N80="Liability|accrued",-N(D80),0)+IF(O80="Liability|accrued",N(D80),0)</f>
        <v/>
      </c>
      <c r="V80" s="23">
        <f>IF(AND(N(D80)&lt;&gt;0,N80=""),1,0)+IF(AND(N(D80)&lt;&gt;0,O80=""),1,0)</f>
        <v/>
      </c>
    </row>
    <row r="81">
      <c r="A81" s="19" t="n"/>
      <c r="B81" s="14" t="n"/>
      <c r="C81" s="14" t="n"/>
      <c r="D81" s="20" t="n"/>
      <c r="E81" s="14" t="n"/>
      <c r="F81" s="14" t="n"/>
      <c r="G81" s="14" t="n"/>
      <c r="H81" s="14" t="n"/>
      <c r="I81" s="14" t="n"/>
      <c r="J81" s="16">
        <f>IF(F81="",INDEX('Chart of Accounts'!$A$5:$A$3000,MATCH("bank",'Chart of Accounts'!$F$5:$F$3000,0)),F81&amp;"")</f>
        <v/>
      </c>
      <c r="K81" s="16">
        <f>IF(G81&lt;&gt;"",G81&amp;"",IF(LEFT(C81,7)="Capital",INDEX('Chart of Accounts'!$A$5:$A$3000,MATCH("capital",'Chart of Accounts'!$F$5:$F$3000,0)),INDEX('Chart of Accounts'!$A$5:$A$3000,MATCH("drawings",'Chart of Accounts'!$F$5:$F$3000,0))))</f>
        <v/>
      </c>
      <c r="L81" s="16">
        <f>IF(LEFT(C81,7)="Capital",J81,K81)</f>
        <v/>
      </c>
      <c r="M81" s="16">
        <f>IF(LEFT(C81,7)="Capital",K81,J81)</f>
        <v/>
      </c>
      <c r="N81" s="23">
        <f>IFERROR(INDEX('Chart of Accounts'!$C$5:$C$3000,MATCH(L81&amp;"",'Chart of Accounts'!$A$5:$A$3000,0))&amp;"|"&amp;INDEX('Chart of Accounts'!$D$5:$D$3000,MATCH(L81&amp;"",'Chart of Accounts'!$A$5:$A$3000,0)),"")</f>
        <v/>
      </c>
      <c r="O81" s="23">
        <f>IFERROR(INDEX('Chart of Accounts'!$C$5:$C$3000,MATCH(M81&amp;"",'Chart of Accounts'!$A$5:$A$3000,0))&amp;"|"&amp;INDEX('Chart of Accounts'!$D$5:$D$3000,MATCH(M81&amp;"",'Chart of Accounts'!$A$5:$A$3000,0)),"")</f>
        <v/>
      </c>
      <c r="P81" s="23">
        <f>IF(LEFT(N81,8)="Revenue|",-N(D81),0)+IF(LEFT(O81,8)="Revenue|",N(D81),0)</f>
        <v/>
      </c>
      <c r="Q81" s="23">
        <f>IF(LEFT(N81,5)="COGS|",N(D81),0)+IF(LEFT(O81,5)="COGS|",-N(D81),0)</f>
        <v/>
      </c>
      <c r="R81" s="23">
        <f>IF(LEFT(N81,8)="Expense|",N(D81),0)+IF(LEFT(O81,8)="Expense|",-N(D81),0)</f>
        <v/>
      </c>
      <c r="S81" s="23">
        <f>IF(ISNUMBER(MATCH(N81,{"Expense|employee","Expense|general_admin","Expense|marketing","Expense|utilities","Expense|other_operating"},0)),N(D81),0)+IF(ISNUMBER(MATCH(O81,{"Expense|employee","Expense|general_admin","Expense|marketing","Expense|utilities","Expense|other_operating"},0)),-N(D81),0)</f>
        <v/>
      </c>
      <c r="T81" s="23">
        <f>IF(N81="Liability|payable",-N(D81),0)+IF(O81="Liability|payable",N(D81),0)</f>
        <v/>
      </c>
      <c r="U81" s="23">
        <f>IF(N81="Liability|accrued",-N(D81),0)+IF(O81="Liability|accrued",N(D81),0)</f>
        <v/>
      </c>
      <c r="V81" s="23">
        <f>IF(AND(N(D81)&lt;&gt;0,N81=""),1,0)+IF(AND(N(D81)&lt;&gt;0,O81=""),1,0)</f>
        <v/>
      </c>
    </row>
    <row r="82">
      <c r="A82" s="19" t="n"/>
      <c r="B82" s="14" t="n"/>
      <c r="C82" s="14" t="n"/>
      <c r="D82" s="20" t="n"/>
      <c r="E82" s="14" t="n"/>
      <c r="F82" s="14" t="n"/>
      <c r="G82" s="14" t="n"/>
      <c r="H82" s="14" t="n"/>
      <c r="I82" s="14" t="n"/>
      <c r="J82" s="16">
        <f>IF(F82="",INDEX('Chart of Accounts'!$A$5:$A$3000,MATCH("bank",'Chart of Accounts'!$F$5:$F$3000,0)),F82&amp;"")</f>
        <v/>
      </c>
      <c r="K82" s="16">
        <f>IF(G82&lt;&gt;"",G82&amp;"",IF(LEFT(C82,7)="Capital",INDEX('Chart of Accounts'!$A$5:$A$3000,MATCH("capital",'Chart of Accounts'!$F$5:$F$3000,0)),INDEX('Chart of Accounts'!$A$5:$A$3000,MATCH("drawings",'Chart of Accounts'!$F$5:$F$3000,0))))</f>
        <v/>
      </c>
      <c r="L82" s="16">
        <f>IF(LEFT(C82,7)="Capital",J82,K82)</f>
        <v/>
      </c>
      <c r="M82" s="16">
        <f>IF(LEFT(C82,7)="Capital",K82,J82)</f>
        <v/>
      </c>
      <c r="N82" s="23">
        <f>IFERROR(INDEX('Chart of Accounts'!$C$5:$C$3000,MATCH(L82&amp;"",'Chart of Accounts'!$A$5:$A$3000,0))&amp;"|"&amp;INDEX('Chart of Accounts'!$D$5:$D$3000,MATCH(L82&amp;"",'Chart of Accounts'!$A$5:$A$3000,0)),"")</f>
        <v/>
      </c>
      <c r="O82" s="23">
        <f>IFERROR(INDEX('Chart of Accounts'!$C$5:$C$3000,MATCH(M82&amp;"",'Chart of Accounts'!$A$5:$A$3000,0))&amp;"|"&amp;INDEX('Chart of Accounts'!$D$5:$D$3000,MATCH(M82&amp;"",'Chart of Accounts'!$A$5:$A$3000,0)),"")</f>
        <v/>
      </c>
      <c r="P82" s="23">
        <f>IF(LEFT(N82,8)="Revenue|",-N(D82),0)+IF(LEFT(O82,8)="Revenue|",N(D82),0)</f>
        <v/>
      </c>
      <c r="Q82" s="23">
        <f>IF(LEFT(N82,5)="COGS|",N(D82),0)+IF(LEFT(O82,5)="COGS|",-N(D82),0)</f>
        <v/>
      </c>
      <c r="R82" s="23">
        <f>IF(LEFT(N82,8)="Expense|",N(D82),0)+IF(LEFT(O82,8)="Expense|",-N(D82),0)</f>
        <v/>
      </c>
      <c r="S82" s="23">
        <f>IF(ISNUMBER(MATCH(N82,{"Expense|employee","Expense|general_admin","Expense|marketing","Expense|utilities","Expense|other_operating"},0)),N(D82),0)+IF(ISNUMBER(MATCH(O82,{"Expense|employee","Expense|general_admin","Expense|marketing","Expense|utilities","Expense|other_operating"},0)),-N(D82),0)</f>
        <v/>
      </c>
      <c r="T82" s="23">
        <f>IF(N82="Liability|payable",-N(D82),0)+IF(O82="Liability|payable",N(D82),0)</f>
        <v/>
      </c>
      <c r="U82" s="23">
        <f>IF(N82="Liability|accrued",-N(D82),0)+IF(O82="Liability|accrued",N(D82),0)</f>
        <v/>
      </c>
      <c r="V82" s="23">
        <f>IF(AND(N(D82)&lt;&gt;0,N82=""),1,0)+IF(AND(N(D82)&lt;&gt;0,O82=""),1,0)</f>
        <v/>
      </c>
    </row>
    <row r="83">
      <c r="A83" s="19" t="n"/>
      <c r="B83" s="14" t="n"/>
      <c r="C83" s="14" t="n"/>
      <c r="D83" s="20" t="n"/>
      <c r="E83" s="14" t="n"/>
      <c r="F83" s="14" t="n"/>
      <c r="G83" s="14" t="n"/>
      <c r="H83" s="14" t="n"/>
      <c r="I83" s="14" t="n"/>
      <c r="J83" s="16">
        <f>IF(F83="",INDEX('Chart of Accounts'!$A$5:$A$3000,MATCH("bank",'Chart of Accounts'!$F$5:$F$3000,0)),F83&amp;"")</f>
        <v/>
      </c>
      <c r="K83" s="16">
        <f>IF(G83&lt;&gt;"",G83&amp;"",IF(LEFT(C83,7)="Capital",INDEX('Chart of Accounts'!$A$5:$A$3000,MATCH("capital",'Chart of Accounts'!$F$5:$F$3000,0)),INDEX('Chart of Accounts'!$A$5:$A$3000,MATCH("drawings",'Chart of Accounts'!$F$5:$F$3000,0))))</f>
        <v/>
      </c>
      <c r="L83" s="16">
        <f>IF(LEFT(C83,7)="Capital",J83,K83)</f>
        <v/>
      </c>
      <c r="M83" s="16">
        <f>IF(LEFT(C83,7)="Capital",K83,J83)</f>
        <v/>
      </c>
      <c r="N83" s="23">
        <f>IFERROR(INDEX('Chart of Accounts'!$C$5:$C$3000,MATCH(L83&amp;"",'Chart of Accounts'!$A$5:$A$3000,0))&amp;"|"&amp;INDEX('Chart of Accounts'!$D$5:$D$3000,MATCH(L83&amp;"",'Chart of Accounts'!$A$5:$A$3000,0)),"")</f>
        <v/>
      </c>
      <c r="O83" s="23">
        <f>IFERROR(INDEX('Chart of Accounts'!$C$5:$C$3000,MATCH(M83&amp;"",'Chart of Accounts'!$A$5:$A$3000,0))&amp;"|"&amp;INDEX('Chart of Accounts'!$D$5:$D$3000,MATCH(M83&amp;"",'Chart of Accounts'!$A$5:$A$3000,0)),"")</f>
        <v/>
      </c>
      <c r="P83" s="23">
        <f>IF(LEFT(N83,8)="Revenue|",-N(D83),0)+IF(LEFT(O83,8)="Revenue|",N(D83),0)</f>
        <v/>
      </c>
      <c r="Q83" s="23">
        <f>IF(LEFT(N83,5)="COGS|",N(D83),0)+IF(LEFT(O83,5)="COGS|",-N(D83),0)</f>
        <v/>
      </c>
      <c r="R83" s="23">
        <f>IF(LEFT(N83,8)="Expense|",N(D83),0)+IF(LEFT(O83,8)="Expense|",-N(D83),0)</f>
        <v/>
      </c>
      <c r="S83" s="23">
        <f>IF(ISNUMBER(MATCH(N83,{"Expense|employee","Expense|general_admin","Expense|marketing","Expense|utilities","Expense|other_operating"},0)),N(D83),0)+IF(ISNUMBER(MATCH(O83,{"Expense|employee","Expense|general_admin","Expense|marketing","Expense|utilities","Expense|other_operating"},0)),-N(D83),0)</f>
        <v/>
      </c>
      <c r="T83" s="23">
        <f>IF(N83="Liability|payable",-N(D83),0)+IF(O83="Liability|payable",N(D83),0)</f>
        <v/>
      </c>
      <c r="U83" s="23">
        <f>IF(N83="Liability|accrued",-N(D83),0)+IF(O83="Liability|accrued",N(D83),0)</f>
        <v/>
      </c>
      <c r="V83" s="23">
        <f>IF(AND(N(D83)&lt;&gt;0,N83=""),1,0)+IF(AND(N(D83)&lt;&gt;0,O83=""),1,0)</f>
        <v/>
      </c>
    </row>
    <row r="84">
      <c r="A84" s="19" t="n"/>
      <c r="B84" s="14" t="n"/>
      <c r="C84" s="14" t="n"/>
      <c r="D84" s="20" t="n"/>
      <c r="E84" s="14" t="n"/>
      <c r="F84" s="14" t="n"/>
      <c r="G84" s="14" t="n"/>
      <c r="H84" s="14" t="n"/>
      <c r="I84" s="14" t="n"/>
      <c r="J84" s="16">
        <f>IF(F84="",INDEX('Chart of Accounts'!$A$5:$A$3000,MATCH("bank",'Chart of Accounts'!$F$5:$F$3000,0)),F84&amp;"")</f>
        <v/>
      </c>
      <c r="K84" s="16">
        <f>IF(G84&lt;&gt;"",G84&amp;"",IF(LEFT(C84,7)="Capital",INDEX('Chart of Accounts'!$A$5:$A$3000,MATCH("capital",'Chart of Accounts'!$F$5:$F$3000,0)),INDEX('Chart of Accounts'!$A$5:$A$3000,MATCH("drawings",'Chart of Accounts'!$F$5:$F$3000,0))))</f>
        <v/>
      </c>
      <c r="L84" s="16">
        <f>IF(LEFT(C84,7)="Capital",J84,K84)</f>
        <v/>
      </c>
      <c r="M84" s="16">
        <f>IF(LEFT(C84,7)="Capital",K84,J84)</f>
        <v/>
      </c>
      <c r="N84" s="23">
        <f>IFERROR(INDEX('Chart of Accounts'!$C$5:$C$3000,MATCH(L84&amp;"",'Chart of Accounts'!$A$5:$A$3000,0))&amp;"|"&amp;INDEX('Chart of Accounts'!$D$5:$D$3000,MATCH(L84&amp;"",'Chart of Accounts'!$A$5:$A$3000,0)),"")</f>
        <v/>
      </c>
      <c r="O84" s="23">
        <f>IFERROR(INDEX('Chart of Accounts'!$C$5:$C$3000,MATCH(M84&amp;"",'Chart of Accounts'!$A$5:$A$3000,0))&amp;"|"&amp;INDEX('Chart of Accounts'!$D$5:$D$3000,MATCH(M84&amp;"",'Chart of Accounts'!$A$5:$A$3000,0)),"")</f>
        <v/>
      </c>
      <c r="P84" s="23">
        <f>IF(LEFT(N84,8)="Revenue|",-N(D84),0)+IF(LEFT(O84,8)="Revenue|",N(D84),0)</f>
        <v/>
      </c>
      <c r="Q84" s="23">
        <f>IF(LEFT(N84,5)="COGS|",N(D84),0)+IF(LEFT(O84,5)="COGS|",-N(D84),0)</f>
        <v/>
      </c>
      <c r="R84" s="23">
        <f>IF(LEFT(N84,8)="Expense|",N(D84),0)+IF(LEFT(O84,8)="Expense|",-N(D84),0)</f>
        <v/>
      </c>
      <c r="S84" s="23">
        <f>IF(ISNUMBER(MATCH(N84,{"Expense|employee","Expense|general_admin","Expense|marketing","Expense|utilities","Expense|other_operating"},0)),N(D84),0)+IF(ISNUMBER(MATCH(O84,{"Expense|employee","Expense|general_admin","Expense|marketing","Expense|utilities","Expense|other_operating"},0)),-N(D84),0)</f>
        <v/>
      </c>
      <c r="T84" s="23">
        <f>IF(N84="Liability|payable",-N(D84),0)+IF(O84="Liability|payable",N(D84),0)</f>
        <v/>
      </c>
      <c r="U84" s="23">
        <f>IF(N84="Liability|accrued",-N(D84),0)+IF(O84="Liability|accrued",N(D84),0)</f>
        <v/>
      </c>
      <c r="V84" s="23">
        <f>IF(AND(N(D84)&lt;&gt;0,N84=""),1,0)+IF(AND(N(D84)&lt;&gt;0,O84=""),1,0)</f>
        <v/>
      </c>
    </row>
    <row r="85">
      <c r="A85" s="19" t="n"/>
      <c r="B85" s="14" t="n"/>
      <c r="C85" s="14" t="n"/>
      <c r="D85" s="20" t="n"/>
      <c r="E85" s="14" t="n"/>
      <c r="F85" s="14" t="n"/>
      <c r="G85" s="14" t="n"/>
      <c r="H85" s="14" t="n"/>
      <c r="I85" s="14" t="n"/>
      <c r="J85" s="16">
        <f>IF(F85="",INDEX('Chart of Accounts'!$A$5:$A$3000,MATCH("bank",'Chart of Accounts'!$F$5:$F$3000,0)),F85&amp;"")</f>
        <v/>
      </c>
      <c r="K85" s="16">
        <f>IF(G85&lt;&gt;"",G85&amp;"",IF(LEFT(C85,7)="Capital",INDEX('Chart of Accounts'!$A$5:$A$3000,MATCH("capital",'Chart of Accounts'!$F$5:$F$3000,0)),INDEX('Chart of Accounts'!$A$5:$A$3000,MATCH("drawings",'Chart of Accounts'!$F$5:$F$3000,0))))</f>
        <v/>
      </c>
      <c r="L85" s="16">
        <f>IF(LEFT(C85,7)="Capital",J85,K85)</f>
        <v/>
      </c>
      <c r="M85" s="16">
        <f>IF(LEFT(C85,7)="Capital",K85,J85)</f>
        <v/>
      </c>
      <c r="N85" s="23">
        <f>IFERROR(INDEX('Chart of Accounts'!$C$5:$C$3000,MATCH(L85&amp;"",'Chart of Accounts'!$A$5:$A$3000,0))&amp;"|"&amp;INDEX('Chart of Accounts'!$D$5:$D$3000,MATCH(L85&amp;"",'Chart of Accounts'!$A$5:$A$3000,0)),"")</f>
        <v/>
      </c>
      <c r="O85" s="23">
        <f>IFERROR(INDEX('Chart of Accounts'!$C$5:$C$3000,MATCH(M85&amp;"",'Chart of Accounts'!$A$5:$A$3000,0))&amp;"|"&amp;INDEX('Chart of Accounts'!$D$5:$D$3000,MATCH(M85&amp;"",'Chart of Accounts'!$A$5:$A$3000,0)),"")</f>
        <v/>
      </c>
      <c r="P85" s="23">
        <f>IF(LEFT(N85,8)="Revenue|",-N(D85),0)+IF(LEFT(O85,8)="Revenue|",N(D85),0)</f>
        <v/>
      </c>
      <c r="Q85" s="23">
        <f>IF(LEFT(N85,5)="COGS|",N(D85),0)+IF(LEFT(O85,5)="COGS|",-N(D85),0)</f>
        <v/>
      </c>
      <c r="R85" s="23">
        <f>IF(LEFT(N85,8)="Expense|",N(D85),0)+IF(LEFT(O85,8)="Expense|",-N(D85),0)</f>
        <v/>
      </c>
      <c r="S85" s="23">
        <f>IF(ISNUMBER(MATCH(N85,{"Expense|employee","Expense|general_admin","Expense|marketing","Expense|utilities","Expense|other_operating"},0)),N(D85),0)+IF(ISNUMBER(MATCH(O85,{"Expense|employee","Expense|general_admin","Expense|marketing","Expense|utilities","Expense|other_operating"},0)),-N(D85),0)</f>
        <v/>
      </c>
      <c r="T85" s="23">
        <f>IF(N85="Liability|payable",-N(D85),0)+IF(O85="Liability|payable",N(D85),0)</f>
        <v/>
      </c>
      <c r="U85" s="23">
        <f>IF(N85="Liability|accrued",-N(D85),0)+IF(O85="Liability|accrued",N(D85),0)</f>
        <v/>
      </c>
      <c r="V85" s="23">
        <f>IF(AND(N(D85)&lt;&gt;0,N85=""),1,0)+IF(AND(N(D85)&lt;&gt;0,O85=""),1,0)</f>
        <v/>
      </c>
    </row>
    <row r="86">
      <c r="A86" s="19" t="n"/>
      <c r="B86" s="14" t="n"/>
      <c r="C86" s="14" t="n"/>
      <c r="D86" s="20" t="n"/>
      <c r="E86" s="14" t="n"/>
      <c r="F86" s="14" t="n"/>
      <c r="G86" s="14" t="n"/>
      <c r="H86" s="14" t="n"/>
      <c r="I86" s="14" t="n"/>
      <c r="J86" s="16">
        <f>IF(F86="",INDEX('Chart of Accounts'!$A$5:$A$3000,MATCH("bank",'Chart of Accounts'!$F$5:$F$3000,0)),F86&amp;"")</f>
        <v/>
      </c>
      <c r="K86" s="16">
        <f>IF(G86&lt;&gt;"",G86&amp;"",IF(LEFT(C86,7)="Capital",INDEX('Chart of Accounts'!$A$5:$A$3000,MATCH("capital",'Chart of Accounts'!$F$5:$F$3000,0)),INDEX('Chart of Accounts'!$A$5:$A$3000,MATCH("drawings",'Chart of Accounts'!$F$5:$F$3000,0))))</f>
        <v/>
      </c>
      <c r="L86" s="16">
        <f>IF(LEFT(C86,7)="Capital",J86,K86)</f>
        <v/>
      </c>
      <c r="M86" s="16">
        <f>IF(LEFT(C86,7)="Capital",K86,J86)</f>
        <v/>
      </c>
      <c r="N86" s="23">
        <f>IFERROR(INDEX('Chart of Accounts'!$C$5:$C$3000,MATCH(L86&amp;"",'Chart of Accounts'!$A$5:$A$3000,0))&amp;"|"&amp;INDEX('Chart of Accounts'!$D$5:$D$3000,MATCH(L86&amp;"",'Chart of Accounts'!$A$5:$A$3000,0)),"")</f>
        <v/>
      </c>
      <c r="O86" s="23">
        <f>IFERROR(INDEX('Chart of Accounts'!$C$5:$C$3000,MATCH(M86&amp;"",'Chart of Accounts'!$A$5:$A$3000,0))&amp;"|"&amp;INDEX('Chart of Accounts'!$D$5:$D$3000,MATCH(M86&amp;"",'Chart of Accounts'!$A$5:$A$3000,0)),"")</f>
        <v/>
      </c>
      <c r="P86" s="23">
        <f>IF(LEFT(N86,8)="Revenue|",-N(D86),0)+IF(LEFT(O86,8)="Revenue|",N(D86),0)</f>
        <v/>
      </c>
      <c r="Q86" s="23">
        <f>IF(LEFT(N86,5)="COGS|",N(D86),0)+IF(LEFT(O86,5)="COGS|",-N(D86),0)</f>
        <v/>
      </c>
      <c r="R86" s="23">
        <f>IF(LEFT(N86,8)="Expense|",N(D86),0)+IF(LEFT(O86,8)="Expense|",-N(D86),0)</f>
        <v/>
      </c>
      <c r="S86" s="23">
        <f>IF(ISNUMBER(MATCH(N86,{"Expense|employee","Expense|general_admin","Expense|marketing","Expense|utilities","Expense|other_operating"},0)),N(D86),0)+IF(ISNUMBER(MATCH(O86,{"Expense|employee","Expense|general_admin","Expense|marketing","Expense|utilities","Expense|other_operating"},0)),-N(D86),0)</f>
        <v/>
      </c>
      <c r="T86" s="23">
        <f>IF(N86="Liability|payable",-N(D86),0)+IF(O86="Liability|payable",N(D86),0)</f>
        <v/>
      </c>
      <c r="U86" s="23">
        <f>IF(N86="Liability|accrued",-N(D86),0)+IF(O86="Liability|accrued",N(D86),0)</f>
        <v/>
      </c>
      <c r="V86" s="23">
        <f>IF(AND(N(D86)&lt;&gt;0,N86=""),1,0)+IF(AND(N(D86)&lt;&gt;0,O86=""),1,0)</f>
        <v/>
      </c>
    </row>
    <row r="87">
      <c r="A87" s="19" t="n"/>
      <c r="B87" s="14" t="n"/>
      <c r="C87" s="14" t="n"/>
      <c r="D87" s="20" t="n"/>
      <c r="E87" s="14" t="n"/>
      <c r="F87" s="14" t="n"/>
      <c r="G87" s="14" t="n"/>
      <c r="H87" s="14" t="n"/>
      <c r="I87" s="14" t="n"/>
      <c r="J87" s="16">
        <f>IF(F87="",INDEX('Chart of Accounts'!$A$5:$A$3000,MATCH("bank",'Chart of Accounts'!$F$5:$F$3000,0)),F87&amp;"")</f>
        <v/>
      </c>
      <c r="K87" s="16">
        <f>IF(G87&lt;&gt;"",G87&amp;"",IF(LEFT(C87,7)="Capital",INDEX('Chart of Accounts'!$A$5:$A$3000,MATCH("capital",'Chart of Accounts'!$F$5:$F$3000,0)),INDEX('Chart of Accounts'!$A$5:$A$3000,MATCH("drawings",'Chart of Accounts'!$F$5:$F$3000,0))))</f>
        <v/>
      </c>
      <c r="L87" s="16">
        <f>IF(LEFT(C87,7)="Capital",J87,K87)</f>
        <v/>
      </c>
      <c r="M87" s="16">
        <f>IF(LEFT(C87,7)="Capital",K87,J87)</f>
        <v/>
      </c>
      <c r="N87" s="23">
        <f>IFERROR(INDEX('Chart of Accounts'!$C$5:$C$3000,MATCH(L87&amp;"",'Chart of Accounts'!$A$5:$A$3000,0))&amp;"|"&amp;INDEX('Chart of Accounts'!$D$5:$D$3000,MATCH(L87&amp;"",'Chart of Accounts'!$A$5:$A$3000,0)),"")</f>
        <v/>
      </c>
      <c r="O87" s="23">
        <f>IFERROR(INDEX('Chart of Accounts'!$C$5:$C$3000,MATCH(M87&amp;"",'Chart of Accounts'!$A$5:$A$3000,0))&amp;"|"&amp;INDEX('Chart of Accounts'!$D$5:$D$3000,MATCH(M87&amp;"",'Chart of Accounts'!$A$5:$A$3000,0)),"")</f>
        <v/>
      </c>
      <c r="P87" s="23">
        <f>IF(LEFT(N87,8)="Revenue|",-N(D87),0)+IF(LEFT(O87,8)="Revenue|",N(D87),0)</f>
        <v/>
      </c>
      <c r="Q87" s="23">
        <f>IF(LEFT(N87,5)="COGS|",N(D87),0)+IF(LEFT(O87,5)="COGS|",-N(D87),0)</f>
        <v/>
      </c>
      <c r="R87" s="23">
        <f>IF(LEFT(N87,8)="Expense|",N(D87),0)+IF(LEFT(O87,8)="Expense|",-N(D87),0)</f>
        <v/>
      </c>
      <c r="S87" s="23">
        <f>IF(ISNUMBER(MATCH(N87,{"Expense|employee","Expense|general_admin","Expense|marketing","Expense|utilities","Expense|other_operating"},0)),N(D87),0)+IF(ISNUMBER(MATCH(O87,{"Expense|employee","Expense|general_admin","Expense|marketing","Expense|utilities","Expense|other_operating"},0)),-N(D87),0)</f>
        <v/>
      </c>
      <c r="T87" s="23">
        <f>IF(N87="Liability|payable",-N(D87),0)+IF(O87="Liability|payable",N(D87),0)</f>
        <v/>
      </c>
      <c r="U87" s="23">
        <f>IF(N87="Liability|accrued",-N(D87),0)+IF(O87="Liability|accrued",N(D87),0)</f>
        <v/>
      </c>
      <c r="V87" s="23">
        <f>IF(AND(N(D87)&lt;&gt;0,N87=""),1,0)+IF(AND(N(D87)&lt;&gt;0,O87=""),1,0)</f>
        <v/>
      </c>
    </row>
    <row r="88">
      <c r="A88" s="19" t="n"/>
      <c r="B88" s="14" t="n"/>
      <c r="C88" s="14" t="n"/>
      <c r="D88" s="20" t="n"/>
      <c r="E88" s="14" t="n"/>
      <c r="F88" s="14" t="n"/>
      <c r="G88" s="14" t="n"/>
      <c r="H88" s="14" t="n"/>
      <c r="I88" s="14" t="n"/>
      <c r="J88" s="16">
        <f>IF(F88="",INDEX('Chart of Accounts'!$A$5:$A$3000,MATCH("bank",'Chart of Accounts'!$F$5:$F$3000,0)),F88&amp;"")</f>
        <v/>
      </c>
      <c r="K88" s="16">
        <f>IF(G88&lt;&gt;"",G88&amp;"",IF(LEFT(C88,7)="Capital",INDEX('Chart of Accounts'!$A$5:$A$3000,MATCH("capital",'Chart of Accounts'!$F$5:$F$3000,0)),INDEX('Chart of Accounts'!$A$5:$A$3000,MATCH("drawings",'Chart of Accounts'!$F$5:$F$3000,0))))</f>
        <v/>
      </c>
      <c r="L88" s="16">
        <f>IF(LEFT(C88,7)="Capital",J88,K88)</f>
        <v/>
      </c>
      <c r="M88" s="16">
        <f>IF(LEFT(C88,7)="Capital",K88,J88)</f>
        <v/>
      </c>
      <c r="N88" s="23">
        <f>IFERROR(INDEX('Chart of Accounts'!$C$5:$C$3000,MATCH(L88&amp;"",'Chart of Accounts'!$A$5:$A$3000,0))&amp;"|"&amp;INDEX('Chart of Accounts'!$D$5:$D$3000,MATCH(L88&amp;"",'Chart of Accounts'!$A$5:$A$3000,0)),"")</f>
        <v/>
      </c>
      <c r="O88" s="23">
        <f>IFERROR(INDEX('Chart of Accounts'!$C$5:$C$3000,MATCH(M88&amp;"",'Chart of Accounts'!$A$5:$A$3000,0))&amp;"|"&amp;INDEX('Chart of Accounts'!$D$5:$D$3000,MATCH(M88&amp;"",'Chart of Accounts'!$A$5:$A$3000,0)),"")</f>
        <v/>
      </c>
      <c r="P88" s="23">
        <f>IF(LEFT(N88,8)="Revenue|",-N(D88),0)+IF(LEFT(O88,8)="Revenue|",N(D88),0)</f>
        <v/>
      </c>
      <c r="Q88" s="23">
        <f>IF(LEFT(N88,5)="COGS|",N(D88),0)+IF(LEFT(O88,5)="COGS|",-N(D88),0)</f>
        <v/>
      </c>
      <c r="R88" s="23">
        <f>IF(LEFT(N88,8)="Expense|",N(D88),0)+IF(LEFT(O88,8)="Expense|",-N(D88),0)</f>
        <v/>
      </c>
      <c r="S88" s="23">
        <f>IF(ISNUMBER(MATCH(N88,{"Expense|employee","Expense|general_admin","Expense|marketing","Expense|utilities","Expense|other_operating"},0)),N(D88),0)+IF(ISNUMBER(MATCH(O88,{"Expense|employee","Expense|general_admin","Expense|marketing","Expense|utilities","Expense|other_operating"},0)),-N(D88),0)</f>
        <v/>
      </c>
      <c r="T88" s="23">
        <f>IF(N88="Liability|payable",-N(D88),0)+IF(O88="Liability|payable",N(D88),0)</f>
        <v/>
      </c>
      <c r="U88" s="23">
        <f>IF(N88="Liability|accrued",-N(D88),0)+IF(O88="Liability|accrued",N(D88),0)</f>
        <v/>
      </c>
      <c r="V88" s="23">
        <f>IF(AND(N(D88)&lt;&gt;0,N88=""),1,0)+IF(AND(N(D88)&lt;&gt;0,O88=""),1,0)</f>
        <v/>
      </c>
    </row>
    <row r="89">
      <c r="A89" s="19" t="n"/>
      <c r="B89" s="14" t="n"/>
      <c r="C89" s="14" t="n"/>
      <c r="D89" s="20" t="n"/>
      <c r="E89" s="14" t="n"/>
      <c r="F89" s="14" t="n"/>
      <c r="G89" s="14" t="n"/>
      <c r="H89" s="14" t="n"/>
      <c r="I89" s="14" t="n"/>
      <c r="J89" s="16">
        <f>IF(F89="",INDEX('Chart of Accounts'!$A$5:$A$3000,MATCH("bank",'Chart of Accounts'!$F$5:$F$3000,0)),F89&amp;"")</f>
        <v/>
      </c>
      <c r="K89" s="16">
        <f>IF(G89&lt;&gt;"",G89&amp;"",IF(LEFT(C89,7)="Capital",INDEX('Chart of Accounts'!$A$5:$A$3000,MATCH("capital",'Chart of Accounts'!$F$5:$F$3000,0)),INDEX('Chart of Accounts'!$A$5:$A$3000,MATCH("drawings",'Chart of Accounts'!$F$5:$F$3000,0))))</f>
        <v/>
      </c>
      <c r="L89" s="16">
        <f>IF(LEFT(C89,7)="Capital",J89,K89)</f>
        <v/>
      </c>
      <c r="M89" s="16">
        <f>IF(LEFT(C89,7)="Capital",K89,J89)</f>
        <v/>
      </c>
      <c r="N89" s="23">
        <f>IFERROR(INDEX('Chart of Accounts'!$C$5:$C$3000,MATCH(L89&amp;"",'Chart of Accounts'!$A$5:$A$3000,0))&amp;"|"&amp;INDEX('Chart of Accounts'!$D$5:$D$3000,MATCH(L89&amp;"",'Chart of Accounts'!$A$5:$A$3000,0)),"")</f>
        <v/>
      </c>
      <c r="O89" s="23">
        <f>IFERROR(INDEX('Chart of Accounts'!$C$5:$C$3000,MATCH(M89&amp;"",'Chart of Accounts'!$A$5:$A$3000,0))&amp;"|"&amp;INDEX('Chart of Accounts'!$D$5:$D$3000,MATCH(M89&amp;"",'Chart of Accounts'!$A$5:$A$3000,0)),"")</f>
        <v/>
      </c>
      <c r="P89" s="23">
        <f>IF(LEFT(N89,8)="Revenue|",-N(D89),0)+IF(LEFT(O89,8)="Revenue|",N(D89),0)</f>
        <v/>
      </c>
      <c r="Q89" s="23">
        <f>IF(LEFT(N89,5)="COGS|",N(D89),0)+IF(LEFT(O89,5)="COGS|",-N(D89),0)</f>
        <v/>
      </c>
      <c r="R89" s="23">
        <f>IF(LEFT(N89,8)="Expense|",N(D89),0)+IF(LEFT(O89,8)="Expense|",-N(D89),0)</f>
        <v/>
      </c>
      <c r="S89" s="23">
        <f>IF(ISNUMBER(MATCH(N89,{"Expense|employee","Expense|general_admin","Expense|marketing","Expense|utilities","Expense|other_operating"},0)),N(D89),0)+IF(ISNUMBER(MATCH(O89,{"Expense|employee","Expense|general_admin","Expense|marketing","Expense|utilities","Expense|other_operating"},0)),-N(D89),0)</f>
        <v/>
      </c>
      <c r="T89" s="23">
        <f>IF(N89="Liability|payable",-N(D89),0)+IF(O89="Liability|payable",N(D89),0)</f>
        <v/>
      </c>
      <c r="U89" s="23">
        <f>IF(N89="Liability|accrued",-N(D89),0)+IF(O89="Liability|accrued",N(D89),0)</f>
        <v/>
      </c>
      <c r="V89" s="23">
        <f>IF(AND(N(D89)&lt;&gt;0,N89=""),1,0)+IF(AND(N(D89)&lt;&gt;0,O89=""),1,0)</f>
        <v/>
      </c>
    </row>
    <row r="90">
      <c r="A90" s="19" t="n"/>
      <c r="B90" s="14" t="n"/>
      <c r="C90" s="14" t="n"/>
      <c r="D90" s="20" t="n"/>
      <c r="E90" s="14" t="n"/>
      <c r="F90" s="14" t="n"/>
      <c r="G90" s="14" t="n"/>
      <c r="H90" s="14" t="n"/>
      <c r="I90" s="14" t="n"/>
      <c r="J90" s="16">
        <f>IF(F90="",INDEX('Chart of Accounts'!$A$5:$A$3000,MATCH("bank",'Chart of Accounts'!$F$5:$F$3000,0)),F90&amp;"")</f>
        <v/>
      </c>
      <c r="K90" s="16">
        <f>IF(G90&lt;&gt;"",G90&amp;"",IF(LEFT(C90,7)="Capital",INDEX('Chart of Accounts'!$A$5:$A$3000,MATCH("capital",'Chart of Accounts'!$F$5:$F$3000,0)),INDEX('Chart of Accounts'!$A$5:$A$3000,MATCH("drawings",'Chart of Accounts'!$F$5:$F$3000,0))))</f>
        <v/>
      </c>
      <c r="L90" s="16">
        <f>IF(LEFT(C90,7)="Capital",J90,K90)</f>
        <v/>
      </c>
      <c r="M90" s="16">
        <f>IF(LEFT(C90,7)="Capital",K90,J90)</f>
        <v/>
      </c>
      <c r="N90" s="23">
        <f>IFERROR(INDEX('Chart of Accounts'!$C$5:$C$3000,MATCH(L90&amp;"",'Chart of Accounts'!$A$5:$A$3000,0))&amp;"|"&amp;INDEX('Chart of Accounts'!$D$5:$D$3000,MATCH(L90&amp;"",'Chart of Accounts'!$A$5:$A$3000,0)),"")</f>
        <v/>
      </c>
      <c r="O90" s="23">
        <f>IFERROR(INDEX('Chart of Accounts'!$C$5:$C$3000,MATCH(M90&amp;"",'Chart of Accounts'!$A$5:$A$3000,0))&amp;"|"&amp;INDEX('Chart of Accounts'!$D$5:$D$3000,MATCH(M90&amp;"",'Chart of Accounts'!$A$5:$A$3000,0)),"")</f>
        <v/>
      </c>
      <c r="P90" s="23">
        <f>IF(LEFT(N90,8)="Revenue|",-N(D90),0)+IF(LEFT(O90,8)="Revenue|",N(D90),0)</f>
        <v/>
      </c>
      <c r="Q90" s="23">
        <f>IF(LEFT(N90,5)="COGS|",N(D90),0)+IF(LEFT(O90,5)="COGS|",-N(D90),0)</f>
        <v/>
      </c>
      <c r="R90" s="23">
        <f>IF(LEFT(N90,8)="Expense|",N(D90),0)+IF(LEFT(O90,8)="Expense|",-N(D90),0)</f>
        <v/>
      </c>
      <c r="S90" s="23">
        <f>IF(ISNUMBER(MATCH(N90,{"Expense|employee","Expense|general_admin","Expense|marketing","Expense|utilities","Expense|other_operating"},0)),N(D90),0)+IF(ISNUMBER(MATCH(O90,{"Expense|employee","Expense|general_admin","Expense|marketing","Expense|utilities","Expense|other_operating"},0)),-N(D90),0)</f>
        <v/>
      </c>
      <c r="T90" s="23">
        <f>IF(N90="Liability|payable",-N(D90),0)+IF(O90="Liability|payable",N(D90),0)</f>
        <v/>
      </c>
      <c r="U90" s="23">
        <f>IF(N90="Liability|accrued",-N(D90),0)+IF(O90="Liability|accrued",N(D90),0)</f>
        <v/>
      </c>
      <c r="V90" s="23">
        <f>IF(AND(N(D90)&lt;&gt;0,N90=""),1,0)+IF(AND(N(D90)&lt;&gt;0,O90=""),1,0)</f>
        <v/>
      </c>
    </row>
    <row r="91">
      <c r="A91" s="19" t="n"/>
      <c r="B91" s="14" t="n"/>
      <c r="C91" s="14" t="n"/>
      <c r="D91" s="20" t="n"/>
      <c r="E91" s="14" t="n"/>
      <c r="F91" s="14" t="n"/>
      <c r="G91" s="14" t="n"/>
      <c r="H91" s="14" t="n"/>
      <c r="I91" s="14" t="n"/>
      <c r="J91" s="16">
        <f>IF(F91="",INDEX('Chart of Accounts'!$A$5:$A$3000,MATCH("bank",'Chart of Accounts'!$F$5:$F$3000,0)),F91&amp;"")</f>
        <v/>
      </c>
      <c r="K91" s="16">
        <f>IF(G91&lt;&gt;"",G91&amp;"",IF(LEFT(C91,7)="Capital",INDEX('Chart of Accounts'!$A$5:$A$3000,MATCH("capital",'Chart of Accounts'!$F$5:$F$3000,0)),INDEX('Chart of Accounts'!$A$5:$A$3000,MATCH("drawings",'Chart of Accounts'!$F$5:$F$3000,0))))</f>
        <v/>
      </c>
      <c r="L91" s="16">
        <f>IF(LEFT(C91,7)="Capital",J91,K91)</f>
        <v/>
      </c>
      <c r="M91" s="16">
        <f>IF(LEFT(C91,7)="Capital",K91,J91)</f>
        <v/>
      </c>
      <c r="N91" s="23">
        <f>IFERROR(INDEX('Chart of Accounts'!$C$5:$C$3000,MATCH(L91&amp;"",'Chart of Accounts'!$A$5:$A$3000,0))&amp;"|"&amp;INDEX('Chart of Accounts'!$D$5:$D$3000,MATCH(L91&amp;"",'Chart of Accounts'!$A$5:$A$3000,0)),"")</f>
        <v/>
      </c>
      <c r="O91" s="23">
        <f>IFERROR(INDEX('Chart of Accounts'!$C$5:$C$3000,MATCH(M91&amp;"",'Chart of Accounts'!$A$5:$A$3000,0))&amp;"|"&amp;INDEX('Chart of Accounts'!$D$5:$D$3000,MATCH(M91&amp;"",'Chart of Accounts'!$A$5:$A$3000,0)),"")</f>
        <v/>
      </c>
      <c r="P91" s="23">
        <f>IF(LEFT(N91,8)="Revenue|",-N(D91),0)+IF(LEFT(O91,8)="Revenue|",N(D91),0)</f>
        <v/>
      </c>
      <c r="Q91" s="23">
        <f>IF(LEFT(N91,5)="COGS|",N(D91),0)+IF(LEFT(O91,5)="COGS|",-N(D91),0)</f>
        <v/>
      </c>
      <c r="R91" s="23">
        <f>IF(LEFT(N91,8)="Expense|",N(D91),0)+IF(LEFT(O91,8)="Expense|",-N(D91),0)</f>
        <v/>
      </c>
      <c r="S91" s="23">
        <f>IF(ISNUMBER(MATCH(N91,{"Expense|employee","Expense|general_admin","Expense|marketing","Expense|utilities","Expense|other_operating"},0)),N(D91),0)+IF(ISNUMBER(MATCH(O91,{"Expense|employee","Expense|general_admin","Expense|marketing","Expense|utilities","Expense|other_operating"},0)),-N(D91),0)</f>
        <v/>
      </c>
      <c r="T91" s="23">
        <f>IF(N91="Liability|payable",-N(D91),0)+IF(O91="Liability|payable",N(D91),0)</f>
        <v/>
      </c>
      <c r="U91" s="23">
        <f>IF(N91="Liability|accrued",-N(D91),0)+IF(O91="Liability|accrued",N(D91),0)</f>
        <v/>
      </c>
      <c r="V91" s="23">
        <f>IF(AND(N(D91)&lt;&gt;0,N91=""),1,0)+IF(AND(N(D91)&lt;&gt;0,O91=""),1,0)</f>
        <v/>
      </c>
    </row>
    <row r="92">
      <c r="A92" s="19" t="n"/>
      <c r="B92" s="14" t="n"/>
      <c r="C92" s="14" t="n"/>
      <c r="D92" s="20" t="n"/>
      <c r="E92" s="14" t="n"/>
      <c r="F92" s="14" t="n"/>
      <c r="G92" s="14" t="n"/>
      <c r="H92" s="14" t="n"/>
      <c r="I92" s="14" t="n"/>
      <c r="J92" s="16">
        <f>IF(F92="",INDEX('Chart of Accounts'!$A$5:$A$3000,MATCH("bank",'Chart of Accounts'!$F$5:$F$3000,0)),F92&amp;"")</f>
        <v/>
      </c>
      <c r="K92" s="16">
        <f>IF(G92&lt;&gt;"",G92&amp;"",IF(LEFT(C92,7)="Capital",INDEX('Chart of Accounts'!$A$5:$A$3000,MATCH("capital",'Chart of Accounts'!$F$5:$F$3000,0)),INDEX('Chart of Accounts'!$A$5:$A$3000,MATCH("drawings",'Chart of Accounts'!$F$5:$F$3000,0))))</f>
        <v/>
      </c>
      <c r="L92" s="16">
        <f>IF(LEFT(C92,7)="Capital",J92,K92)</f>
        <v/>
      </c>
      <c r="M92" s="16">
        <f>IF(LEFT(C92,7)="Capital",K92,J92)</f>
        <v/>
      </c>
      <c r="N92" s="23">
        <f>IFERROR(INDEX('Chart of Accounts'!$C$5:$C$3000,MATCH(L92&amp;"",'Chart of Accounts'!$A$5:$A$3000,0))&amp;"|"&amp;INDEX('Chart of Accounts'!$D$5:$D$3000,MATCH(L92&amp;"",'Chart of Accounts'!$A$5:$A$3000,0)),"")</f>
        <v/>
      </c>
      <c r="O92" s="23">
        <f>IFERROR(INDEX('Chart of Accounts'!$C$5:$C$3000,MATCH(M92&amp;"",'Chart of Accounts'!$A$5:$A$3000,0))&amp;"|"&amp;INDEX('Chart of Accounts'!$D$5:$D$3000,MATCH(M92&amp;"",'Chart of Accounts'!$A$5:$A$3000,0)),"")</f>
        <v/>
      </c>
      <c r="P92" s="23">
        <f>IF(LEFT(N92,8)="Revenue|",-N(D92),0)+IF(LEFT(O92,8)="Revenue|",N(D92),0)</f>
        <v/>
      </c>
      <c r="Q92" s="23">
        <f>IF(LEFT(N92,5)="COGS|",N(D92),0)+IF(LEFT(O92,5)="COGS|",-N(D92),0)</f>
        <v/>
      </c>
      <c r="R92" s="23">
        <f>IF(LEFT(N92,8)="Expense|",N(D92),0)+IF(LEFT(O92,8)="Expense|",-N(D92),0)</f>
        <v/>
      </c>
      <c r="S92" s="23">
        <f>IF(ISNUMBER(MATCH(N92,{"Expense|employee","Expense|general_admin","Expense|marketing","Expense|utilities","Expense|other_operating"},0)),N(D92),0)+IF(ISNUMBER(MATCH(O92,{"Expense|employee","Expense|general_admin","Expense|marketing","Expense|utilities","Expense|other_operating"},0)),-N(D92),0)</f>
        <v/>
      </c>
      <c r="T92" s="23">
        <f>IF(N92="Liability|payable",-N(D92),0)+IF(O92="Liability|payable",N(D92),0)</f>
        <v/>
      </c>
      <c r="U92" s="23">
        <f>IF(N92="Liability|accrued",-N(D92),0)+IF(O92="Liability|accrued",N(D92),0)</f>
        <v/>
      </c>
      <c r="V92" s="23">
        <f>IF(AND(N(D92)&lt;&gt;0,N92=""),1,0)+IF(AND(N(D92)&lt;&gt;0,O92=""),1,0)</f>
        <v/>
      </c>
    </row>
    <row r="93">
      <c r="A93" s="19" t="n"/>
      <c r="B93" s="14" t="n"/>
      <c r="C93" s="14" t="n"/>
      <c r="D93" s="20" t="n"/>
      <c r="E93" s="14" t="n"/>
      <c r="F93" s="14" t="n"/>
      <c r="G93" s="14" t="n"/>
      <c r="H93" s="14" t="n"/>
      <c r="I93" s="14" t="n"/>
      <c r="J93" s="16">
        <f>IF(F93="",INDEX('Chart of Accounts'!$A$5:$A$3000,MATCH("bank",'Chart of Accounts'!$F$5:$F$3000,0)),F93&amp;"")</f>
        <v/>
      </c>
      <c r="K93" s="16">
        <f>IF(G93&lt;&gt;"",G93&amp;"",IF(LEFT(C93,7)="Capital",INDEX('Chart of Accounts'!$A$5:$A$3000,MATCH("capital",'Chart of Accounts'!$F$5:$F$3000,0)),INDEX('Chart of Accounts'!$A$5:$A$3000,MATCH("drawings",'Chart of Accounts'!$F$5:$F$3000,0))))</f>
        <v/>
      </c>
      <c r="L93" s="16">
        <f>IF(LEFT(C93,7)="Capital",J93,K93)</f>
        <v/>
      </c>
      <c r="M93" s="16">
        <f>IF(LEFT(C93,7)="Capital",K93,J93)</f>
        <v/>
      </c>
      <c r="N93" s="23">
        <f>IFERROR(INDEX('Chart of Accounts'!$C$5:$C$3000,MATCH(L93&amp;"",'Chart of Accounts'!$A$5:$A$3000,0))&amp;"|"&amp;INDEX('Chart of Accounts'!$D$5:$D$3000,MATCH(L93&amp;"",'Chart of Accounts'!$A$5:$A$3000,0)),"")</f>
        <v/>
      </c>
      <c r="O93" s="23">
        <f>IFERROR(INDEX('Chart of Accounts'!$C$5:$C$3000,MATCH(M93&amp;"",'Chart of Accounts'!$A$5:$A$3000,0))&amp;"|"&amp;INDEX('Chart of Accounts'!$D$5:$D$3000,MATCH(M93&amp;"",'Chart of Accounts'!$A$5:$A$3000,0)),"")</f>
        <v/>
      </c>
      <c r="P93" s="23">
        <f>IF(LEFT(N93,8)="Revenue|",-N(D93),0)+IF(LEFT(O93,8)="Revenue|",N(D93),0)</f>
        <v/>
      </c>
      <c r="Q93" s="23">
        <f>IF(LEFT(N93,5)="COGS|",N(D93),0)+IF(LEFT(O93,5)="COGS|",-N(D93),0)</f>
        <v/>
      </c>
      <c r="R93" s="23">
        <f>IF(LEFT(N93,8)="Expense|",N(D93),0)+IF(LEFT(O93,8)="Expense|",-N(D93),0)</f>
        <v/>
      </c>
      <c r="S93" s="23">
        <f>IF(ISNUMBER(MATCH(N93,{"Expense|employee","Expense|general_admin","Expense|marketing","Expense|utilities","Expense|other_operating"},0)),N(D93),0)+IF(ISNUMBER(MATCH(O93,{"Expense|employee","Expense|general_admin","Expense|marketing","Expense|utilities","Expense|other_operating"},0)),-N(D93),0)</f>
        <v/>
      </c>
      <c r="T93" s="23">
        <f>IF(N93="Liability|payable",-N(D93),0)+IF(O93="Liability|payable",N(D93),0)</f>
        <v/>
      </c>
      <c r="U93" s="23">
        <f>IF(N93="Liability|accrued",-N(D93),0)+IF(O93="Liability|accrued",N(D93),0)</f>
        <v/>
      </c>
      <c r="V93" s="23">
        <f>IF(AND(N(D93)&lt;&gt;0,N93=""),1,0)+IF(AND(N(D93)&lt;&gt;0,O93=""),1,0)</f>
        <v/>
      </c>
    </row>
    <row r="94">
      <c r="A94" s="19" t="n"/>
      <c r="B94" s="14" t="n"/>
      <c r="C94" s="14" t="n"/>
      <c r="D94" s="20" t="n"/>
      <c r="E94" s="14" t="n"/>
      <c r="F94" s="14" t="n"/>
      <c r="G94" s="14" t="n"/>
      <c r="H94" s="14" t="n"/>
      <c r="I94" s="14" t="n"/>
      <c r="J94" s="16">
        <f>IF(F94="",INDEX('Chart of Accounts'!$A$5:$A$3000,MATCH("bank",'Chart of Accounts'!$F$5:$F$3000,0)),F94&amp;"")</f>
        <v/>
      </c>
      <c r="K94" s="16">
        <f>IF(G94&lt;&gt;"",G94&amp;"",IF(LEFT(C94,7)="Capital",INDEX('Chart of Accounts'!$A$5:$A$3000,MATCH("capital",'Chart of Accounts'!$F$5:$F$3000,0)),INDEX('Chart of Accounts'!$A$5:$A$3000,MATCH("drawings",'Chart of Accounts'!$F$5:$F$3000,0))))</f>
        <v/>
      </c>
      <c r="L94" s="16">
        <f>IF(LEFT(C94,7)="Capital",J94,K94)</f>
        <v/>
      </c>
      <c r="M94" s="16">
        <f>IF(LEFT(C94,7)="Capital",K94,J94)</f>
        <v/>
      </c>
      <c r="N94" s="23">
        <f>IFERROR(INDEX('Chart of Accounts'!$C$5:$C$3000,MATCH(L94&amp;"",'Chart of Accounts'!$A$5:$A$3000,0))&amp;"|"&amp;INDEX('Chart of Accounts'!$D$5:$D$3000,MATCH(L94&amp;"",'Chart of Accounts'!$A$5:$A$3000,0)),"")</f>
        <v/>
      </c>
      <c r="O94" s="23">
        <f>IFERROR(INDEX('Chart of Accounts'!$C$5:$C$3000,MATCH(M94&amp;"",'Chart of Accounts'!$A$5:$A$3000,0))&amp;"|"&amp;INDEX('Chart of Accounts'!$D$5:$D$3000,MATCH(M94&amp;"",'Chart of Accounts'!$A$5:$A$3000,0)),"")</f>
        <v/>
      </c>
      <c r="P94" s="23">
        <f>IF(LEFT(N94,8)="Revenue|",-N(D94),0)+IF(LEFT(O94,8)="Revenue|",N(D94),0)</f>
        <v/>
      </c>
      <c r="Q94" s="23">
        <f>IF(LEFT(N94,5)="COGS|",N(D94),0)+IF(LEFT(O94,5)="COGS|",-N(D94),0)</f>
        <v/>
      </c>
      <c r="R94" s="23">
        <f>IF(LEFT(N94,8)="Expense|",N(D94),0)+IF(LEFT(O94,8)="Expense|",-N(D94),0)</f>
        <v/>
      </c>
      <c r="S94" s="23">
        <f>IF(ISNUMBER(MATCH(N94,{"Expense|employee","Expense|general_admin","Expense|marketing","Expense|utilities","Expense|other_operating"},0)),N(D94),0)+IF(ISNUMBER(MATCH(O94,{"Expense|employee","Expense|general_admin","Expense|marketing","Expense|utilities","Expense|other_operating"},0)),-N(D94),0)</f>
        <v/>
      </c>
      <c r="T94" s="23">
        <f>IF(N94="Liability|payable",-N(D94),0)+IF(O94="Liability|payable",N(D94),0)</f>
        <v/>
      </c>
      <c r="U94" s="23">
        <f>IF(N94="Liability|accrued",-N(D94),0)+IF(O94="Liability|accrued",N(D94),0)</f>
        <v/>
      </c>
      <c r="V94" s="23">
        <f>IF(AND(N(D94)&lt;&gt;0,N94=""),1,0)+IF(AND(N(D94)&lt;&gt;0,O94=""),1,0)</f>
        <v/>
      </c>
    </row>
    <row r="95">
      <c r="A95" s="19" t="n"/>
      <c r="B95" s="14" t="n"/>
      <c r="C95" s="14" t="n"/>
      <c r="D95" s="20" t="n"/>
      <c r="E95" s="14" t="n"/>
      <c r="F95" s="14" t="n"/>
      <c r="G95" s="14" t="n"/>
      <c r="H95" s="14" t="n"/>
      <c r="I95" s="14" t="n"/>
      <c r="J95" s="16">
        <f>IF(F95="",INDEX('Chart of Accounts'!$A$5:$A$3000,MATCH("bank",'Chart of Accounts'!$F$5:$F$3000,0)),F95&amp;"")</f>
        <v/>
      </c>
      <c r="K95" s="16">
        <f>IF(G95&lt;&gt;"",G95&amp;"",IF(LEFT(C95,7)="Capital",INDEX('Chart of Accounts'!$A$5:$A$3000,MATCH("capital",'Chart of Accounts'!$F$5:$F$3000,0)),INDEX('Chart of Accounts'!$A$5:$A$3000,MATCH("drawings",'Chart of Accounts'!$F$5:$F$3000,0))))</f>
        <v/>
      </c>
      <c r="L95" s="16">
        <f>IF(LEFT(C95,7)="Capital",J95,K95)</f>
        <v/>
      </c>
      <c r="M95" s="16">
        <f>IF(LEFT(C95,7)="Capital",K95,J95)</f>
        <v/>
      </c>
      <c r="N95" s="23">
        <f>IFERROR(INDEX('Chart of Accounts'!$C$5:$C$3000,MATCH(L95&amp;"",'Chart of Accounts'!$A$5:$A$3000,0))&amp;"|"&amp;INDEX('Chart of Accounts'!$D$5:$D$3000,MATCH(L95&amp;"",'Chart of Accounts'!$A$5:$A$3000,0)),"")</f>
        <v/>
      </c>
      <c r="O95" s="23">
        <f>IFERROR(INDEX('Chart of Accounts'!$C$5:$C$3000,MATCH(M95&amp;"",'Chart of Accounts'!$A$5:$A$3000,0))&amp;"|"&amp;INDEX('Chart of Accounts'!$D$5:$D$3000,MATCH(M95&amp;"",'Chart of Accounts'!$A$5:$A$3000,0)),"")</f>
        <v/>
      </c>
      <c r="P95" s="23">
        <f>IF(LEFT(N95,8)="Revenue|",-N(D95),0)+IF(LEFT(O95,8)="Revenue|",N(D95),0)</f>
        <v/>
      </c>
      <c r="Q95" s="23">
        <f>IF(LEFT(N95,5)="COGS|",N(D95),0)+IF(LEFT(O95,5)="COGS|",-N(D95),0)</f>
        <v/>
      </c>
      <c r="R95" s="23">
        <f>IF(LEFT(N95,8)="Expense|",N(D95),0)+IF(LEFT(O95,8)="Expense|",-N(D95),0)</f>
        <v/>
      </c>
      <c r="S95" s="23">
        <f>IF(ISNUMBER(MATCH(N95,{"Expense|employee","Expense|general_admin","Expense|marketing","Expense|utilities","Expense|other_operating"},0)),N(D95),0)+IF(ISNUMBER(MATCH(O95,{"Expense|employee","Expense|general_admin","Expense|marketing","Expense|utilities","Expense|other_operating"},0)),-N(D95),0)</f>
        <v/>
      </c>
      <c r="T95" s="23">
        <f>IF(N95="Liability|payable",-N(D95),0)+IF(O95="Liability|payable",N(D95),0)</f>
        <v/>
      </c>
      <c r="U95" s="23">
        <f>IF(N95="Liability|accrued",-N(D95),0)+IF(O95="Liability|accrued",N(D95),0)</f>
        <v/>
      </c>
      <c r="V95" s="23">
        <f>IF(AND(N(D95)&lt;&gt;0,N95=""),1,0)+IF(AND(N(D95)&lt;&gt;0,O95=""),1,0)</f>
        <v/>
      </c>
    </row>
    <row r="96">
      <c r="A96" s="19" t="n"/>
      <c r="B96" s="14" t="n"/>
      <c r="C96" s="14" t="n"/>
      <c r="D96" s="20" t="n"/>
      <c r="E96" s="14" t="n"/>
      <c r="F96" s="14" t="n"/>
      <c r="G96" s="14" t="n"/>
      <c r="H96" s="14" t="n"/>
      <c r="I96" s="14" t="n"/>
      <c r="J96" s="16">
        <f>IF(F96="",INDEX('Chart of Accounts'!$A$5:$A$3000,MATCH("bank",'Chart of Accounts'!$F$5:$F$3000,0)),F96&amp;"")</f>
        <v/>
      </c>
      <c r="K96" s="16">
        <f>IF(G96&lt;&gt;"",G96&amp;"",IF(LEFT(C96,7)="Capital",INDEX('Chart of Accounts'!$A$5:$A$3000,MATCH("capital",'Chart of Accounts'!$F$5:$F$3000,0)),INDEX('Chart of Accounts'!$A$5:$A$3000,MATCH("drawings",'Chart of Accounts'!$F$5:$F$3000,0))))</f>
        <v/>
      </c>
      <c r="L96" s="16">
        <f>IF(LEFT(C96,7)="Capital",J96,K96)</f>
        <v/>
      </c>
      <c r="M96" s="16">
        <f>IF(LEFT(C96,7)="Capital",K96,J96)</f>
        <v/>
      </c>
      <c r="N96" s="23">
        <f>IFERROR(INDEX('Chart of Accounts'!$C$5:$C$3000,MATCH(L96&amp;"",'Chart of Accounts'!$A$5:$A$3000,0))&amp;"|"&amp;INDEX('Chart of Accounts'!$D$5:$D$3000,MATCH(L96&amp;"",'Chart of Accounts'!$A$5:$A$3000,0)),"")</f>
        <v/>
      </c>
      <c r="O96" s="23">
        <f>IFERROR(INDEX('Chart of Accounts'!$C$5:$C$3000,MATCH(M96&amp;"",'Chart of Accounts'!$A$5:$A$3000,0))&amp;"|"&amp;INDEX('Chart of Accounts'!$D$5:$D$3000,MATCH(M96&amp;"",'Chart of Accounts'!$A$5:$A$3000,0)),"")</f>
        <v/>
      </c>
      <c r="P96" s="23">
        <f>IF(LEFT(N96,8)="Revenue|",-N(D96),0)+IF(LEFT(O96,8)="Revenue|",N(D96),0)</f>
        <v/>
      </c>
      <c r="Q96" s="23">
        <f>IF(LEFT(N96,5)="COGS|",N(D96),0)+IF(LEFT(O96,5)="COGS|",-N(D96),0)</f>
        <v/>
      </c>
      <c r="R96" s="23">
        <f>IF(LEFT(N96,8)="Expense|",N(D96),0)+IF(LEFT(O96,8)="Expense|",-N(D96),0)</f>
        <v/>
      </c>
      <c r="S96" s="23">
        <f>IF(ISNUMBER(MATCH(N96,{"Expense|employee","Expense|general_admin","Expense|marketing","Expense|utilities","Expense|other_operating"},0)),N(D96),0)+IF(ISNUMBER(MATCH(O96,{"Expense|employee","Expense|general_admin","Expense|marketing","Expense|utilities","Expense|other_operating"},0)),-N(D96),0)</f>
        <v/>
      </c>
      <c r="T96" s="23">
        <f>IF(N96="Liability|payable",-N(D96),0)+IF(O96="Liability|payable",N(D96),0)</f>
        <v/>
      </c>
      <c r="U96" s="23">
        <f>IF(N96="Liability|accrued",-N(D96),0)+IF(O96="Liability|accrued",N(D96),0)</f>
        <v/>
      </c>
      <c r="V96" s="23">
        <f>IF(AND(N(D96)&lt;&gt;0,N96=""),1,0)+IF(AND(N(D96)&lt;&gt;0,O96=""),1,0)</f>
        <v/>
      </c>
    </row>
    <row r="97">
      <c r="A97" s="19" t="n"/>
      <c r="B97" s="14" t="n"/>
      <c r="C97" s="14" t="n"/>
      <c r="D97" s="20" t="n"/>
      <c r="E97" s="14" t="n"/>
      <c r="F97" s="14" t="n"/>
      <c r="G97" s="14" t="n"/>
      <c r="H97" s="14" t="n"/>
      <c r="I97" s="14" t="n"/>
      <c r="J97" s="16">
        <f>IF(F97="",INDEX('Chart of Accounts'!$A$5:$A$3000,MATCH("bank",'Chart of Accounts'!$F$5:$F$3000,0)),F97&amp;"")</f>
        <v/>
      </c>
      <c r="K97" s="16">
        <f>IF(G97&lt;&gt;"",G97&amp;"",IF(LEFT(C97,7)="Capital",INDEX('Chart of Accounts'!$A$5:$A$3000,MATCH("capital",'Chart of Accounts'!$F$5:$F$3000,0)),INDEX('Chart of Accounts'!$A$5:$A$3000,MATCH("drawings",'Chart of Accounts'!$F$5:$F$3000,0))))</f>
        <v/>
      </c>
      <c r="L97" s="16">
        <f>IF(LEFT(C97,7)="Capital",J97,K97)</f>
        <v/>
      </c>
      <c r="M97" s="16">
        <f>IF(LEFT(C97,7)="Capital",K97,J97)</f>
        <v/>
      </c>
      <c r="N97" s="23">
        <f>IFERROR(INDEX('Chart of Accounts'!$C$5:$C$3000,MATCH(L97&amp;"",'Chart of Accounts'!$A$5:$A$3000,0))&amp;"|"&amp;INDEX('Chart of Accounts'!$D$5:$D$3000,MATCH(L97&amp;"",'Chart of Accounts'!$A$5:$A$3000,0)),"")</f>
        <v/>
      </c>
      <c r="O97" s="23">
        <f>IFERROR(INDEX('Chart of Accounts'!$C$5:$C$3000,MATCH(M97&amp;"",'Chart of Accounts'!$A$5:$A$3000,0))&amp;"|"&amp;INDEX('Chart of Accounts'!$D$5:$D$3000,MATCH(M97&amp;"",'Chart of Accounts'!$A$5:$A$3000,0)),"")</f>
        <v/>
      </c>
      <c r="P97" s="23">
        <f>IF(LEFT(N97,8)="Revenue|",-N(D97),0)+IF(LEFT(O97,8)="Revenue|",N(D97),0)</f>
        <v/>
      </c>
      <c r="Q97" s="23">
        <f>IF(LEFT(N97,5)="COGS|",N(D97),0)+IF(LEFT(O97,5)="COGS|",-N(D97),0)</f>
        <v/>
      </c>
      <c r="R97" s="23">
        <f>IF(LEFT(N97,8)="Expense|",N(D97),0)+IF(LEFT(O97,8)="Expense|",-N(D97),0)</f>
        <v/>
      </c>
      <c r="S97" s="23">
        <f>IF(ISNUMBER(MATCH(N97,{"Expense|employee","Expense|general_admin","Expense|marketing","Expense|utilities","Expense|other_operating"},0)),N(D97),0)+IF(ISNUMBER(MATCH(O97,{"Expense|employee","Expense|general_admin","Expense|marketing","Expense|utilities","Expense|other_operating"},0)),-N(D97),0)</f>
        <v/>
      </c>
      <c r="T97" s="23">
        <f>IF(N97="Liability|payable",-N(D97),0)+IF(O97="Liability|payable",N(D97),0)</f>
        <v/>
      </c>
      <c r="U97" s="23">
        <f>IF(N97="Liability|accrued",-N(D97),0)+IF(O97="Liability|accrued",N(D97),0)</f>
        <v/>
      </c>
      <c r="V97" s="23">
        <f>IF(AND(N(D97)&lt;&gt;0,N97=""),1,0)+IF(AND(N(D97)&lt;&gt;0,O97=""),1,0)</f>
        <v/>
      </c>
    </row>
    <row r="98">
      <c r="A98" s="19" t="n"/>
      <c r="B98" s="14" t="n"/>
      <c r="C98" s="14" t="n"/>
      <c r="D98" s="20" t="n"/>
      <c r="E98" s="14" t="n"/>
      <c r="F98" s="14" t="n"/>
      <c r="G98" s="14" t="n"/>
      <c r="H98" s="14" t="n"/>
      <c r="I98" s="14" t="n"/>
      <c r="J98" s="16">
        <f>IF(F98="",INDEX('Chart of Accounts'!$A$5:$A$3000,MATCH("bank",'Chart of Accounts'!$F$5:$F$3000,0)),F98&amp;"")</f>
        <v/>
      </c>
      <c r="K98" s="16">
        <f>IF(G98&lt;&gt;"",G98&amp;"",IF(LEFT(C98,7)="Capital",INDEX('Chart of Accounts'!$A$5:$A$3000,MATCH("capital",'Chart of Accounts'!$F$5:$F$3000,0)),INDEX('Chart of Accounts'!$A$5:$A$3000,MATCH("drawings",'Chart of Accounts'!$F$5:$F$3000,0))))</f>
        <v/>
      </c>
      <c r="L98" s="16">
        <f>IF(LEFT(C98,7)="Capital",J98,K98)</f>
        <v/>
      </c>
      <c r="M98" s="16">
        <f>IF(LEFT(C98,7)="Capital",K98,J98)</f>
        <v/>
      </c>
      <c r="N98" s="23">
        <f>IFERROR(INDEX('Chart of Accounts'!$C$5:$C$3000,MATCH(L98&amp;"",'Chart of Accounts'!$A$5:$A$3000,0))&amp;"|"&amp;INDEX('Chart of Accounts'!$D$5:$D$3000,MATCH(L98&amp;"",'Chart of Accounts'!$A$5:$A$3000,0)),"")</f>
        <v/>
      </c>
      <c r="O98" s="23">
        <f>IFERROR(INDEX('Chart of Accounts'!$C$5:$C$3000,MATCH(M98&amp;"",'Chart of Accounts'!$A$5:$A$3000,0))&amp;"|"&amp;INDEX('Chart of Accounts'!$D$5:$D$3000,MATCH(M98&amp;"",'Chart of Accounts'!$A$5:$A$3000,0)),"")</f>
        <v/>
      </c>
      <c r="P98" s="23">
        <f>IF(LEFT(N98,8)="Revenue|",-N(D98),0)+IF(LEFT(O98,8)="Revenue|",N(D98),0)</f>
        <v/>
      </c>
      <c r="Q98" s="23">
        <f>IF(LEFT(N98,5)="COGS|",N(D98),0)+IF(LEFT(O98,5)="COGS|",-N(D98),0)</f>
        <v/>
      </c>
      <c r="R98" s="23">
        <f>IF(LEFT(N98,8)="Expense|",N(D98),0)+IF(LEFT(O98,8)="Expense|",-N(D98),0)</f>
        <v/>
      </c>
      <c r="S98" s="23">
        <f>IF(ISNUMBER(MATCH(N98,{"Expense|employee","Expense|general_admin","Expense|marketing","Expense|utilities","Expense|other_operating"},0)),N(D98),0)+IF(ISNUMBER(MATCH(O98,{"Expense|employee","Expense|general_admin","Expense|marketing","Expense|utilities","Expense|other_operating"},0)),-N(D98),0)</f>
        <v/>
      </c>
      <c r="T98" s="23">
        <f>IF(N98="Liability|payable",-N(D98),0)+IF(O98="Liability|payable",N(D98),0)</f>
        <v/>
      </c>
      <c r="U98" s="23">
        <f>IF(N98="Liability|accrued",-N(D98),0)+IF(O98="Liability|accrued",N(D98),0)</f>
        <v/>
      </c>
      <c r="V98" s="23">
        <f>IF(AND(N(D98)&lt;&gt;0,N98=""),1,0)+IF(AND(N(D98)&lt;&gt;0,O98=""),1,0)</f>
        <v/>
      </c>
    </row>
    <row r="99">
      <c r="A99" s="19" t="n"/>
      <c r="B99" s="14" t="n"/>
      <c r="C99" s="14" t="n"/>
      <c r="D99" s="20" t="n"/>
      <c r="E99" s="14" t="n"/>
      <c r="F99" s="14" t="n"/>
      <c r="G99" s="14" t="n"/>
      <c r="H99" s="14" t="n"/>
      <c r="I99" s="14" t="n"/>
      <c r="J99" s="16">
        <f>IF(F99="",INDEX('Chart of Accounts'!$A$5:$A$3000,MATCH("bank",'Chart of Accounts'!$F$5:$F$3000,0)),F99&amp;"")</f>
        <v/>
      </c>
      <c r="K99" s="16">
        <f>IF(G99&lt;&gt;"",G99&amp;"",IF(LEFT(C99,7)="Capital",INDEX('Chart of Accounts'!$A$5:$A$3000,MATCH("capital",'Chart of Accounts'!$F$5:$F$3000,0)),INDEX('Chart of Accounts'!$A$5:$A$3000,MATCH("drawings",'Chart of Accounts'!$F$5:$F$3000,0))))</f>
        <v/>
      </c>
      <c r="L99" s="16">
        <f>IF(LEFT(C99,7)="Capital",J99,K99)</f>
        <v/>
      </c>
      <c r="M99" s="16">
        <f>IF(LEFT(C99,7)="Capital",K99,J99)</f>
        <v/>
      </c>
      <c r="N99" s="23">
        <f>IFERROR(INDEX('Chart of Accounts'!$C$5:$C$3000,MATCH(L99&amp;"",'Chart of Accounts'!$A$5:$A$3000,0))&amp;"|"&amp;INDEX('Chart of Accounts'!$D$5:$D$3000,MATCH(L99&amp;"",'Chart of Accounts'!$A$5:$A$3000,0)),"")</f>
        <v/>
      </c>
      <c r="O99" s="23">
        <f>IFERROR(INDEX('Chart of Accounts'!$C$5:$C$3000,MATCH(M99&amp;"",'Chart of Accounts'!$A$5:$A$3000,0))&amp;"|"&amp;INDEX('Chart of Accounts'!$D$5:$D$3000,MATCH(M99&amp;"",'Chart of Accounts'!$A$5:$A$3000,0)),"")</f>
        <v/>
      </c>
      <c r="P99" s="23">
        <f>IF(LEFT(N99,8)="Revenue|",-N(D99),0)+IF(LEFT(O99,8)="Revenue|",N(D99),0)</f>
        <v/>
      </c>
      <c r="Q99" s="23">
        <f>IF(LEFT(N99,5)="COGS|",N(D99),0)+IF(LEFT(O99,5)="COGS|",-N(D99),0)</f>
        <v/>
      </c>
      <c r="R99" s="23">
        <f>IF(LEFT(N99,8)="Expense|",N(D99),0)+IF(LEFT(O99,8)="Expense|",-N(D99),0)</f>
        <v/>
      </c>
      <c r="S99" s="23">
        <f>IF(ISNUMBER(MATCH(N99,{"Expense|employee","Expense|general_admin","Expense|marketing","Expense|utilities","Expense|other_operating"},0)),N(D99),0)+IF(ISNUMBER(MATCH(O99,{"Expense|employee","Expense|general_admin","Expense|marketing","Expense|utilities","Expense|other_operating"},0)),-N(D99),0)</f>
        <v/>
      </c>
      <c r="T99" s="23">
        <f>IF(N99="Liability|payable",-N(D99),0)+IF(O99="Liability|payable",N(D99),0)</f>
        <v/>
      </c>
      <c r="U99" s="23">
        <f>IF(N99="Liability|accrued",-N(D99),0)+IF(O99="Liability|accrued",N(D99),0)</f>
        <v/>
      </c>
      <c r="V99" s="23">
        <f>IF(AND(N(D99)&lt;&gt;0,N99=""),1,0)+IF(AND(N(D99)&lt;&gt;0,O99=""),1,0)</f>
        <v/>
      </c>
    </row>
    <row r="100">
      <c r="A100" s="19" t="n"/>
      <c r="B100" s="14" t="n"/>
      <c r="C100" s="14" t="n"/>
      <c r="D100" s="20" t="n"/>
      <c r="E100" s="14" t="n"/>
      <c r="F100" s="14" t="n"/>
      <c r="G100" s="14" t="n"/>
      <c r="H100" s="14" t="n"/>
      <c r="I100" s="14" t="n"/>
      <c r="J100" s="16">
        <f>IF(F100="",INDEX('Chart of Accounts'!$A$5:$A$3000,MATCH("bank",'Chart of Accounts'!$F$5:$F$3000,0)),F100&amp;"")</f>
        <v/>
      </c>
      <c r="K100" s="16">
        <f>IF(G100&lt;&gt;"",G100&amp;"",IF(LEFT(C100,7)="Capital",INDEX('Chart of Accounts'!$A$5:$A$3000,MATCH("capital",'Chart of Accounts'!$F$5:$F$3000,0)),INDEX('Chart of Accounts'!$A$5:$A$3000,MATCH("drawings",'Chart of Accounts'!$F$5:$F$3000,0))))</f>
        <v/>
      </c>
      <c r="L100" s="16">
        <f>IF(LEFT(C100,7)="Capital",J100,K100)</f>
        <v/>
      </c>
      <c r="M100" s="16">
        <f>IF(LEFT(C100,7)="Capital",K100,J100)</f>
        <v/>
      </c>
      <c r="N100" s="23">
        <f>IFERROR(INDEX('Chart of Accounts'!$C$5:$C$3000,MATCH(L100&amp;"",'Chart of Accounts'!$A$5:$A$3000,0))&amp;"|"&amp;INDEX('Chart of Accounts'!$D$5:$D$3000,MATCH(L100&amp;"",'Chart of Accounts'!$A$5:$A$3000,0)),"")</f>
        <v/>
      </c>
      <c r="O100" s="23">
        <f>IFERROR(INDEX('Chart of Accounts'!$C$5:$C$3000,MATCH(M100&amp;"",'Chart of Accounts'!$A$5:$A$3000,0))&amp;"|"&amp;INDEX('Chart of Accounts'!$D$5:$D$3000,MATCH(M100&amp;"",'Chart of Accounts'!$A$5:$A$3000,0)),"")</f>
        <v/>
      </c>
      <c r="P100" s="23">
        <f>IF(LEFT(N100,8)="Revenue|",-N(D100),0)+IF(LEFT(O100,8)="Revenue|",N(D100),0)</f>
        <v/>
      </c>
      <c r="Q100" s="23">
        <f>IF(LEFT(N100,5)="COGS|",N(D100),0)+IF(LEFT(O100,5)="COGS|",-N(D100),0)</f>
        <v/>
      </c>
      <c r="R100" s="23">
        <f>IF(LEFT(N100,8)="Expense|",N(D100),0)+IF(LEFT(O100,8)="Expense|",-N(D100),0)</f>
        <v/>
      </c>
      <c r="S100" s="23">
        <f>IF(ISNUMBER(MATCH(N100,{"Expense|employee","Expense|general_admin","Expense|marketing","Expense|utilities","Expense|other_operating"},0)),N(D100),0)+IF(ISNUMBER(MATCH(O100,{"Expense|employee","Expense|general_admin","Expense|marketing","Expense|utilities","Expense|other_operating"},0)),-N(D100),0)</f>
        <v/>
      </c>
      <c r="T100" s="23">
        <f>IF(N100="Liability|payable",-N(D100),0)+IF(O100="Liability|payable",N(D100),0)</f>
        <v/>
      </c>
      <c r="U100" s="23">
        <f>IF(N100="Liability|accrued",-N(D100),0)+IF(O100="Liability|accrued",N(D100),0)</f>
        <v/>
      </c>
      <c r="V100" s="23">
        <f>IF(AND(N(D100)&lt;&gt;0,N100=""),1,0)+IF(AND(N(D100)&lt;&gt;0,O100=""),1,0)</f>
        <v/>
      </c>
    </row>
    <row r="101">
      <c r="A101" s="19" t="n"/>
      <c r="B101" s="14" t="n"/>
      <c r="C101" s="14" t="n"/>
      <c r="D101" s="20" t="n"/>
      <c r="E101" s="14" t="n"/>
      <c r="F101" s="14" t="n"/>
      <c r="G101" s="14" t="n"/>
      <c r="H101" s="14" t="n"/>
      <c r="I101" s="14" t="n"/>
      <c r="J101" s="16">
        <f>IF(F101="",INDEX('Chart of Accounts'!$A$5:$A$3000,MATCH("bank",'Chart of Accounts'!$F$5:$F$3000,0)),F101&amp;"")</f>
        <v/>
      </c>
      <c r="K101" s="16">
        <f>IF(G101&lt;&gt;"",G101&amp;"",IF(LEFT(C101,7)="Capital",INDEX('Chart of Accounts'!$A$5:$A$3000,MATCH("capital",'Chart of Accounts'!$F$5:$F$3000,0)),INDEX('Chart of Accounts'!$A$5:$A$3000,MATCH("drawings",'Chart of Accounts'!$F$5:$F$3000,0))))</f>
        <v/>
      </c>
      <c r="L101" s="16">
        <f>IF(LEFT(C101,7)="Capital",J101,K101)</f>
        <v/>
      </c>
      <c r="M101" s="16">
        <f>IF(LEFT(C101,7)="Capital",K101,J101)</f>
        <v/>
      </c>
      <c r="N101" s="23">
        <f>IFERROR(INDEX('Chart of Accounts'!$C$5:$C$3000,MATCH(L101&amp;"",'Chart of Accounts'!$A$5:$A$3000,0))&amp;"|"&amp;INDEX('Chart of Accounts'!$D$5:$D$3000,MATCH(L101&amp;"",'Chart of Accounts'!$A$5:$A$3000,0)),"")</f>
        <v/>
      </c>
      <c r="O101" s="23">
        <f>IFERROR(INDEX('Chart of Accounts'!$C$5:$C$3000,MATCH(M101&amp;"",'Chart of Accounts'!$A$5:$A$3000,0))&amp;"|"&amp;INDEX('Chart of Accounts'!$D$5:$D$3000,MATCH(M101&amp;"",'Chart of Accounts'!$A$5:$A$3000,0)),"")</f>
        <v/>
      </c>
      <c r="P101" s="23">
        <f>IF(LEFT(N101,8)="Revenue|",-N(D101),0)+IF(LEFT(O101,8)="Revenue|",N(D101),0)</f>
        <v/>
      </c>
      <c r="Q101" s="23">
        <f>IF(LEFT(N101,5)="COGS|",N(D101),0)+IF(LEFT(O101,5)="COGS|",-N(D101),0)</f>
        <v/>
      </c>
      <c r="R101" s="23">
        <f>IF(LEFT(N101,8)="Expense|",N(D101),0)+IF(LEFT(O101,8)="Expense|",-N(D101),0)</f>
        <v/>
      </c>
      <c r="S101" s="23">
        <f>IF(ISNUMBER(MATCH(N101,{"Expense|employee","Expense|general_admin","Expense|marketing","Expense|utilities","Expense|other_operating"},0)),N(D101),0)+IF(ISNUMBER(MATCH(O101,{"Expense|employee","Expense|general_admin","Expense|marketing","Expense|utilities","Expense|other_operating"},0)),-N(D101),0)</f>
        <v/>
      </c>
      <c r="T101" s="23">
        <f>IF(N101="Liability|payable",-N(D101),0)+IF(O101="Liability|payable",N(D101),0)</f>
        <v/>
      </c>
      <c r="U101" s="23">
        <f>IF(N101="Liability|accrued",-N(D101),0)+IF(O101="Liability|accrued",N(D101),0)</f>
        <v/>
      </c>
      <c r="V101" s="23">
        <f>IF(AND(N(D101)&lt;&gt;0,N101=""),1,0)+IF(AND(N(D101)&lt;&gt;0,O101=""),1,0)</f>
        <v/>
      </c>
    </row>
    <row r="102">
      <c r="A102" s="19" t="n"/>
      <c r="B102" s="14" t="n"/>
      <c r="C102" s="14" t="n"/>
      <c r="D102" s="20" t="n"/>
      <c r="E102" s="14" t="n"/>
      <c r="F102" s="14" t="n"/>
      <c r="G102" s="14" t="n"/>
      <c r="H102" s="14" t="n"/>
      <c r="I102" s="14" t="n"/>
      <c r="J102" s="16">
        <f>IF(F102="",INDEX('Chart of Accounts'!$A$5:$A$3000,MATCH("bank",'Chart of Accounts'!$F$5:$F$3000,0)),F102&amp;"")</f>
        <v/>
      </c>
      <c r="K102" s="16">
        <f>IF(G102&lt;&gt;"",G102&amp;"",IF(LEFT(C102,7)="Capital",INDEX('Chart of Accounts'!$A$5:$A$3000,MATCH("capital",'Chart of Accounts'!$F$5:$F$3000,0)),INDEX('Chart of Accounts'!$A$5:$A$3000,MATCH("drawings",'Chart of Accounts'!$F$5:$F$3000,0))))</f>
        <v/>
      </c>
      <c r="L102" s="16">
        <f>IF(LEFT(C102,7)="Capital",J102,K102)</f>
        <v/>
      </c>
      <c r="M102" s="16">
        <f>IF(LEFT(C102,7)="Capital",K102,J102)</f>
        <v/>
      </c>
      <c r="N102" s="23">
        <f>IFERROR(INDEX('Chart of Accounts'!$C$5:$C$3000,MATCH(L102&amp;"",'Chart of Accounts'!$A$5:$A$3000,0))&amp;"|"&amp;INDEX('Chart of Accounts'!$D$5:$D$3000,MATCH(L102&amp;"",'Chart of Accounts'!$A$5:$A$3000,0)),"")</f>
        <v/>
      </c>
      <c r="O102" s="23">
        <f>IFERROR(INDEX('Chart of Accounts'!$C$5:$C$3000,MATCH(M102&amp;"",'Chart of Accounts'!$A$5:$A$3000,0))&amp;"|"&amp;INDEX('Chart of Accounts'!$D$5:$D$3000,MATCH(M102&amp;"",'Chart of Accounts'!$A$5:$A$3000,0)),"")</f>
        <v/>
      </c>
      <c r="P102" s="23">
        <f>IF(LEFT(N102,8)="Revenue|",-N(D102),0)+IF(LEFT(O102,8)="Revenue|",N(D102),0)</f>
        <v/>
      </c>
      <c r="Q102" s="23">
        <f>IF(LEFT(N102,5)="COGS|",N(D102),0)+IF(LEFT(O102,5)="COGS|",-N(D102),0)</f>
        <v/>
      </c>
      <c r="R102" s="23">
        <f>IF(LEFT(N102,8)="Expense|",N(D102),0)+IF(LEFT(O102,8)="Expense|",-N(D102),0)</f>
        <v/>
      </c>
      <c r="S102" s="23">
        <f>IF(ISNUMBER(MATCH(N102,{"Expense|employee","Expense|general_admin","Expense|marketing","Expense|utilities","Expense|other_operating"},0)),N(D102),0)+IF(ISNUMBER(MATCH(O102,{"Expense|employee","Expense|general_admin","Expense|marketing","Expense|utilities","Expense|other_operating"},0)),-N(D102),0)</f>
        <v/>
      </c>
      <c r="T102" s="23">
        <f>IF(N102="Liability|payable",-N(D102),0)+IF(O102="Liability|payable",N(D102),0)</f>
        <v/>
      </c>
      <c r="U102" s="23">
        <f>IF(N102="Liability|accrued",-N(D102),0)+IF(O102="Liability|accrued",N(D102),0)</f>
        <v/>
      </c>
      <c r="V102" s="23">
        <f>IF(AND(N(D102)&lt;&gt;0,N102=""),1,0)+IF(AND(N(D102)&lt;&gt;0,O102=""),1,0)</f>
        <v/>
      </c>
    </row>
    <row r="103">
      <c r="A103" s="19" t="n"/>
      <c r="B103" s="14" t="n"/>
      <c r="C103" s="14" t="n"/>
      <c r="D103" s="20" t="n"/>
      <c r="E103" s="14" t="n"/>
      <c r="F103" s="14" t="n"/>
      <c r="G103" s="14" t="n"/>
      <c r="H103" s="14" t="n"/>
      <c r="I103" s="14" t="n"/>
      <c r="J103" s="16">
        <f>IF(F103="",INDEX('Chart of Accounts'!$A$5:$A$3000,MATCH("bank",'Chart of Accounts'!$F$5:$F$3000,0)),F103&amp;"")</f>
        <v/>
      </c>
      <c r="K103" s="16">
        <f>IF(G103&lt;&gt;"",G103&amp;"",IF(LEFT(C103,7)="Capital",INDEX('Chart of Accounts'!$A$5:$A$3000,MATCH("capital",'Chart of Accounts'!$F$5:$F$3000,0)),INDEX('Chart of Accounts'!$A$5:$A$3000,MATCH("drawings",'Chart of Accounts'!$F$5:$F$3000,0))))</f>
        <v/>
      </c>
      <c r="L103" s="16">
        <f>IF(LEFT(C103,7)="Capital",J103,K103)</f>
        <v/>
      </c>
      <c r="M103" s="16">
        <f>IF(LEFT(C103,7)="Capital",K103,J103)</f>
        <v/>
      </c>
      <c r="N103" s="23">
        <f>IFERROR(INDEX('Chart of Accounts'!$C$5:$C$3000,MATCH(L103&amp;"",'Chart of Accounts'!$A$5:$A$3000,0))&amp;"|"&amp;INDEX('Chart of Accounts'!$D$5:$D$3000,MATCH(L103&amp;"",'Chart of Accounts'!$A$5:$A$3000,0)),"")</f>
        <v/>
      </c>
      <c r="O103" s="23">
        <f>IFERROR(INDEX('Chart of Accounts'!$C$5:$C$3000,MATCH(M103&amp;"",'Chart of Accounts'!$A$5:$A$3000,0))&amp;"|"&amp;INDEX('Chart of Accounts'!$D$5:$D$3000,MATCH(M103&amp;"",'Chart of Accounts'!$A$5:$A$3000,0)),"")</f>
        <v/>
      </c>
      <c r="P103" s="23">
        <f>IF(LEFT(N103,8)="Revenue|",-N(D103),0)+IF(LEFT(O103,8)="Revenue|",N(D103),0)</f>
        <v/>
      </c>
      <c r="Q103" s="23">
        <f>IF(LEFT(N103,5)="COGS|",N(D103),0)+IF(LEFT(O103,5)="COGS|",-N(D103),0)</f>
        <v/>
      </c>
      <c r="R103" s="23">
        <f>IF(LEFT(N103,8)="Expense|",N(D103),0)+IF(LEFT(O103,8)="Expense|",-N(D103),0)</f>
        <v/>
      </c>
      <c r="S103" s="23">
        <f>IF(ISNUMBER(MATCH(N103,{"Expense|employee","Expense|general_admin","Expense|marketing","Expense|utilities","Expense|other_operating"},0)),N(D103),0)+IF(ISNUMBER(MATCH(O103,{"Expense|employee","Expense|general_admin","Expense|marketing","Expense|utilities","Expense|other_operating"},0)),-N(D103),0)</f>
        <v/>
      </c>
      <c r="T103" s="23">
        <f>IF(N103="Liability|payable",-N(D103),0)+IF(O103="Liability|payable",N(D103),0)</f>
        <v/>
      </c>
      <c r="U103" s="23">
        <f>IF(N103="Liability|accrued",-N(D103),0)+IF(O103="Liability|accrued",N(D103),0)</f>
        <v/>
      </c>
      <c r="V103" s="23">
        <f>IF(AND(N(D103)&lt;&gt;0,N103=""),1,0)+IF(AND(N(D103)&lt;&gt;0,O103=""),1,0)</f>
        <v/>
      </c>
    </row>
    <row r="104">
      <c r="A104" s="19" t="n"/>
      <c r="B104" s="14" t="n"/>
      <c r="C104" s="14" t="n"/>
      <c r="D104" s="20" t="n"/>
      <c r="E104" s="14" t="n"/>
      <c r="F104" s="14" t="n"/>
      <c r="G104" s="14" t="n"/>
      <c r="H104" s="14" t="n"/>
      <c r="I104" s="14" t="n"/>
      <c r="J104" s="16">
        <f>IF(F104="",INDEX('Chart of Accounts'!$A$5:$A$3000,MATCH("bank",'Chart of Accounts'!$F$5:$F$3000,0)),F104&amp;"")</f>
        <v/>
      </c>
      <c r="K104" s="16">
        <f>IF(G104&lt;&gt;"",G104&amp;"",IF(LEFT(C104,7)="Capital",INDEX('Chart of Accounts'!$A$5:$A$3000,MATCH("capital",'Chart of Accounts'!$F$5:$F$3000,0)),INDEX('Chart of Accounts'!$A$5:$A$3000,MATCH("drawings",'Chart of Accounts'!$F$5:$F$3000,0))))</f>
        <v/>
      </c>
      <c r="L104" s="16">
        <f>IF(LEFT(C104,7)="Capital",J104,K104)</f>
        <v/>
      </c>
      <c r="M104" s="16">
        <f>IF(LEFT(C104,7)="Capital",K104,J104)</f>
        <v/>
      </c>
      <c r="N104" s="23">
        <f>IFERROR(INDEX('Chart of Accounts'!$C$5:$C$3000,MATCH(L104&amp;"",'Chart of Accounts'!$A$5:$A$3000,0))&amp;"|"&amp;INDEX('Chart of Accounts'!$D$5:$D$3000,MATCH(L104&amp;"",'Chart of Accounts'!$A$5:$A$3000,0)),"")</f>
        <v/>
      </c>
      <c r="O104" s="23">
        <f>IFERROR(INDEX('Chart of Accounts'!$C$5:$C$3000,MATCH(M104&amp;"",'Chart of Accounts'!$A$5:$A$3000,0))&amp;"|"&amp;INDEX('Chart of Accounts'!$D$5:$D$3000,MATCH(M104&amp;"",'Chart of Accounts'!$A$5:$A$3000,0)),"")</f>
        <v/>
      </c>
      <c r="P104" s="23">
        <f>IF(LEFT(N104,8)="Revenue|",-N(D104),0)+IF(LEFT(O104,8)="Revenue|",N(D104),0)</f>
        <v/>
      </c>
      <c r="Q104" s="23">
        <f>IF(LEFT(N104,5)="COGS|",N(D104),0)+IF(LEFT(O104,5)="COGS|",-N(D104),0)</f>
        <v/>
      </c>
      <c r="R104" s="23">
        <f>IF(LEFT(N104,8)="Expense|",N(D104),0)+IF(LEFT(O104,8)="Expense|",-N(D104),0)</f>
        <v/>
      </c>
      <c r="S104" s="23">
        <f>IF(ISNUMBER(MATCH(N104,{"Expense|employee","Expense|general_admin","Expense|marketing","Expense|utilities","Expense|other_operating"},0)),N(D104),0)+IF(ISNUMBER(MATCH(O104,{"Expense|employee","Expense|general_admin","Expense|marketing","Expense|utilities","Expense|other_operating"},0)),-N(D104),0)</f>
        <v/>
      </c>
      <c r="T104" s="23">
        <f>IF(N104="Liability|payable",-N(D104),0)+IF(O104="Liability|payable",N(D104),0)</f>
        <v/>
      </c>
      <c r="U104" s="23">
        <f>IF(N104="Liability|accrued",-N(D104),0)+IF(O104="Liability|accrued",N(D104),0)</f>
        <v/>
      </c>
      <c r="V104" s="23">
        <f>IF(AND(N(D104)&lt;&gt;0,N104=""),1,0)+IF(AND(N(D104)&lt;&gt;0,O104=""),1,0)</f>
        <v/>
      </c>
    </row>
    <row r="105">
      <c r="A105" s="19" t="n"/>
      <c r="B105" s="14" t="n"/>
      <c r="C105" s="14" t="n"/>
      <c r="D105" s="20" t="n"/>
      <c r="E105" s="14" t="n"/>
      <c r="F105" s="14" t="n"/>
      <c r="G105" s="14" t="n"/>
      <c r="H105" s="14" t="n"/>
      <c r="I105" s="14" t="n"/>
      <c r="J105" s="16">
        <f>IF(F105="",INDEX('Chart of Accounts'!$A$5:$A$3000,MATCH("bank",'Chart of Accounts'!$F$5:$F$3000,0)),F105&amp;"")</f>
        <v/>
      </c>
      <c r="K105" s="16">
        <f>IF(G105&lt;&gt;"",G105&amp;"",IF(LEFT(C105,7)="Capital",INDEX('Chart of Accounts'!$A$5:$A$3000,MATCH("capital",'Chart of Accounts'!$F$5:$F$3000,0)),INDEX('Chart of Accounts'!$A$5:$A$3000,MATCH("drawings",'Chart of Accounts'!$F$5:$F$3000,0))))</f>
        <v/>
      </c>
      <c r="L105" s="16">
        <f>IF(LEFT(C105,7)="Capital",J105,K105)</f>
        <v/>
      </c>
      <c r="M105" s="16">
        <f>IF(LEFT(C105,7)="Capital",K105,J105)</f>
        <v/>
      </c>
      <c r="N105" s="23">
        <f>IFERROR(INDEX('Chart of Accounts'!$C$5:$C$3000,MATCH(L105&amp;"",'Chart of Accounts'!$A$5:$A$3000,0))&amp;"|"&amp;INDEX('Chart of Accounts'!$D$5:$D$3000,MATCH(L105&amp;"",'Chart of Accounts'!$A$5:$A$3000,0)),"")</f>
        <v/>
      </c>
      <c r="O105" s="23">
        <f>IFERROR(INDEX('Chart of Accounts'!$C$5:$C$3000,MATCH(M105&amp;"",'Chart of Accounts'!$A$5:$A$3000,0))&amp;"|"&amp;INDEX('Chart of Accounts'!$D$5:$D$3000,MATCH(M105&amp;"",'Chart of Accounts'!$A$5:$A$3000,0)),"")</f>
        <v/>
      </c>
      <c r="P105" s="23">
        <f>IF(LEFT(N105,8)="Revenue|",-N(D105),0)+IF(LEFT(O105,8)="Revenue|",N(D105),0)</f>
        <v/>
      </c>
      <c r="Q105" s="23">
        <f>IF(LEFT(N105,5)="COGS|",N(D105),0)+IF(LEFT(O105,5)="COGS|",-N(D105),0)</f>
        <v/>
      </c>
      <c r="R105" s="23">
        <f>IF(LEFT(N105,8)="Expense|",N(D105),0)+IF(LEFT(O105,8)="Expense|",-N(D105),0)</f>
        <v/>
      </c>
      <c r="S105" s="23">
        <f>IF(ISNUMBER(MATCH(N105,{"Expense|employee","Expense|general_admin","Expense|marketing","Expense|utilities","Expense|other_operating"},0)),N(D105),0)+IF(ISNUMBER(MATCH(O105,{"Expense|employee","Expense|general_admin","Expense|marketing","Expense|utilities","Expense|other_operating"},0)),-N(D105),0)</f>
        <v/>
      </c>
      <c r="T105" s="23">
        <f>IF(N105="Liability|payable",-N(D105),0)+IF(O105="Liability|payable",N(D105),0)</f>
        <v/>
      </c>
      <c r="U105" s="23">
        <f>IF(N105="Liability|accrued",-N(D105),0)+IF(O105="Liability|accrued",N(D105),0)</f>
        <v/>
      </c>
      <c r="V105" s="23">
        <f>IF(AND(N(D105)&lt;&gt;0,N105=""),1,0)+IF(AND(N(D105)&lt;&gt;0,O105=""),1,0)</f>
        <v/>
      </c>
    </row>
    <row r="106">
      <c r="A106" s="19" t="n"/>
      <c r="B106" s="14" t="n"/>
      <c r="C106" s="14" t="n"/>
      <c r="D106" s="20" t="n"/>
      <c r="E106" s="14" t="n"/>
      <c r="F106" s="14" t="n"/>
      <c r="G106" s="14" t="n"/>
      <c r="H106" s="14" t="n"/>
      <c r="I106" s="14" t="n"/>
      <c r="J106" s="16">
        <f>IF(F106="",INDEX('Chart of Accounts'!$A$5:$A$3000,MATCH("bank",'Chart of Accounts'!$F$5:$F$3000,0)),F106&amp;"")</f>
        <v/>
      </c>
      <c r="K106" s="16">
        <f>IF(G106&lt;&gt;"",G106&amp;"",IF(LEFT(C106,7)="Capital",INDEX('Chart of Accounts'!$A$5:$A$3000,MATCH("capital",'Chart of Accounts'!$F$5:$F$3000,0)),INDEX('Chart of Accounts'!$A$5:$A$3000,MATCH("drawings",'Chart of Accounts'!$F$5:$F$3000,0))))</f>
        <v/>
      </c>
      <c r="L106" s="16">
        <f>IF(LEFT(C106,7)="Capital",J106,K106)</f>
        <v/>
      </c>
      <c r="M106" s="16">
        <f>IF(LEFT(C106,7)="Capital",K106,J106)</f>
        <v/>
      </c>
      <c r="N106" s="23">
        <f>IFERROR(INDEX('Chart of Accounts'!$C$5:$C$3000,MATCH(L106&amp;"",'Chart of Accounts'!$A$5:$A$3000,0))&amp;"|"&amp;INDEX('Chart of Accounts'!$D$5:$D$3000,MATCH(L106&amp;"",'Chart of Accounts'!$A$5:$A$3000,0)),"")</f>
        <v/>
      </c>
      <c r="O106" s="23">
        <f>IFERROR(INDEX('Chart of Accounts'!$C$5:$C$3000,MATCH(M106&amp;"",'Chart of Accounts'!$A$5:$A$3000,0))&amp;"|"&amp;INDEX('Chart of Accounts'!$D$5:$D$3000,MATCH(M106&amp;"",'Chart of Accounts'!$A$5:$A$3000,0)),"")</f>
        <v/>
      </c>
      <c r="P106" s="23">
        <f>IF(LEFT(N106,8)="Revenue|",-N(D106),0)+IF(LEFT(O106,8)="Revenue|",N(D106),0)</f>
        <v/>
      </c>
      <c r="Q106" s="23">
        <f>IF(LEFT(N106,5)="COGS|",N(D106),0)+IF(LEFT(O106,5)="COGS|",-N(D106),0)</f>
        <v/>
      </c>
      <c r="R106" s="23">
        <f>IF(LEFT(N106,8)="Expense|",N(D106),0)+IF(LEFT(O106,8)="Expense|",-N(D106),0)</f>
        <v/>
      </c>
      <c r="S106" s="23">
        <f>IF(ISNUMBER(MATCH(N106,{"Expense|employee","Expense|general_admin","Expense|marketing","Expense|utilities","Expense|other_operating"},0)),N(D106),0)+IF(ISNUMBER(MATCH(O106,{"Expense|employee","Expense|general_admin","Expense|marketing","Expense|utilities","Expense|other_operating"},0)),-N(D106),0)</f>
        <v/>
      </c>
      <c r="T106" s="23">
        <f>IF(N106="Liability|payable",-N(D106),0)+IF(O106="Liability|payable",N(D106),0)</f>
        <v/>
      </c>
      <c r="U106" s="23">
        <f>IF(N106="Liability|accrued",-N(D106),0)+IF(O106="Liability|accrued",N(D106),0)</f>
        <v/>
      </c>
      <c r="V106" s="23">
        <f>IF(AND(N(D106)&lt;&gt;0,N106=""),1,0)+IF(AND(N(D106)&lt;&gt;0,O106=""),1,0)</f>
        <v/>
      </c>
    </row>
    <row r="107">
      <c r="A107" s="19" t="n"/>
      <c r="B107" s="14" t="n"/>
      <c r="C107" s="14" t="n"/>
      <c r="D107" s="20" t="n"/>
      <c r="E107" s="14" t="n"/>
      <c r="F107" s="14" t="n"/>
      <c r="G107" s="14" t="n"/>
      <c r="H107" s="14" t="n"/>
      <c r="I107" s="14" t="n"/>
      <c r="J107" s="16">
        <f>IF(F107="",INDEX('Chart of Accounts'!$A$5:$A$3000,MATCH("bank",'Chart of Accounts'!$F$5:$F$3000,0)),F107&amp;"")</f>
        <v/>
      </c>
      <c r="K107" s="16">
        <f>IF(G107&lt;&gt;"",G107&amp;"",IF(LEFT(C107,7)="Capital",INDEX('Chart of Accounts'!$A$5:$A$3000,MATCH("capital",'Chart of Accounts'!$F$5:$F$3000,0)),INDEX('Chart of Accounts'!$A$5:$A$3000,MATCH("drawings",'Chart of Accounts'!$F$5:$F$3000,0))))</f>
        <v/>
      </c>
      <c r="L107" s="16">
        <f>IF(LEFT(C107,7)="Capital",J107,K107)</f>
        <v/>
      </c>
      <c r="M107" s="16">
        <f>IF(LEFT(C107,7)="Capital",K107,J107)</f>
        <v/>
      </c>
      <c r="N107" s="23">
        <f>IFERROR(INDEX('Chart of Accounts'!$C$5:$C$3000,MATCH(L107&amp;"",'Chart of Accounts'!$A$5:$A$3000,0))&amp;"|"&amp;INDEX('Chart of Accounts'!$D$5:$D$3000,MATCH(L107&amp;"",'Chart of Accounts'!$A$5:$A$3000,0)),"")</f>
        <v/>
      </c>
      <c r="O107" s="23">
        <f>IFERROR(INDEX('Chart of Accounts'!$C$5:$C$3000,MATCH(M107&amp;"",'Chart of Accounts'!$A$5:$A$3000,0))&amp;"|"&amp;INDEX('Chart of Accounts'!$D$5:$D$3000,MATCH(M107&amp;"",'Chart of Accounts'!$A$5:$A$3000,0)),"")</f>
        <v/>
      </c>
      <c r="P107" s="23">
        <f>IF(LEFT(N107,8)="Revenue|",-N(D107),0)+IF(LEFT(O107,8)="Revenue|",N(D107),0)</f>
        <v/>
      </c>
      <c r="Q107" s="23">
        <f>IF(LEFT(N107,5)="COGS|",N(D107),0)+IF(LEFT(O107,5)="COGS|",-N(D107),0)</f>
        <v/>
      </c>
      <c r="R107" s="23">
        <f>IF(LEFT(N107,8)="Expense|",N(D107),0)+IF(LEFT(O107,8)="Expense|",-N(D107),0)</f>
        <v/>
      </c>
      <c r="S107" s="23">
        <f>IF(ISNUMBER(MATCH(N107,{"Expense|employee","Expense|general_admin","Expense|marketing","Expense|utilities","Expense|other_operating"},0)),N(D107),0)+IF(ISNUMBER(MATCH(O107,{"Expense|employee","Expense|general_admin","Expense|marketing","Expense|utilities","Expense|other_operating"},0)),-N(D107),0)</f>
        <v/>
      </c>
      <c r="T107" s="23">
        <f>IF(N107="Liability|payable",-N(D107),0)+IF(O107="Liability|payable",N(D107),0)</f>
        <v/>
      </c>
      <c r="U107" s="23">
        <f>IF(N107="Liability|accrued",-N(D107),0)+IF(O107="Liability|accrued",N(D107),0)</f>
        <v/>
      </c>
      <c r="V107" s="23">
        <f>IF(AND(N(D107)&lt;&gt;0,N107=""),1,0)+IF(AND(N(D107)&lt;&gt;0,O107=""),1,0)</f>
        <v/>
      </c>
    </row>
    <row r="108">
      <c r="A108" s="19" t="n"/>
      <c r="B108" s="14" t="n"/>
      <c r="C108" s="14" t="n"/>
      <c r="D108" s="20" t="n"/>
      <c r="E108" s="14" t="n"/>
      <c r="F108" s="14" t="n"/>
      <c r="G108" s="14" t="n"/>
      <c r="H108" s="14" t="n"/>
      <c r="I108" s="14" t="n"/>
      <c r="J108" s="16">
        <f>IF(F108="",INDEX('Chart of Accounts'!$A$5:$A$3000,MATCH("bank",'Chart of Accounts'!$F$5:$F$3000,0)),F108&amp;"")</f>
        <v/>
      </c>
      <c r="K108" s="16">
        <f>IF(G108&lt;&gt;"",G108&amp;"",IF(LEFT(C108,7)="Capital",INDEX('Chart of Accounts'!$A$5:$A$3000,MATCH("capital",'Chart of Accounts'!$F$5:$F$3000,0)),INDEX('Chart of Accounts'!$A$5:$A$3000,MATCH("drawings",'Chart of Accounts'!$F$5:$F$3000,0))))</f>
        <v/>
      </c>
      <c r="L108" s="16">
        <f>IF(LEFT(C108,7)="Capital",J108,K108)</f>
        <v/>
      </c>
      <c r="M108" s="16">
        <f>IF(LEFT(C108,7)="Capital",K108,J108)</f>
        <v/>
      </c>
      <c r="N108" s="23">
        <f>IFERROR(INDEX('Chart of Accounts'!$C$5:$C$3000,MATCH(L108&amp;"",'Chart of Accounts'!$A$5:$A$3000,0))&amp;"|"&amp;INDEX('Chart of Accounts'!$D$5:$D$3000,MATCH(L108&amp;"",'Chart of Accounts'!$A$5:$A$3000,0)),"")</f>
        <v/>
      </c>
      <c r="O108" s="23">
        <f>IFERROR(INDEX('Chart of Accounts'!$C$5:$C$3000,MATCH(M108&amp;"",'Chart of Accounts'!$A$5:$A$3000,0))&amp;"|"&amp;INDEX('Chart of Accounts'!$D$5:$D$3000,MATCH(M108&amp;"",'Chart of Accounts'!$A$5:$A$3000,0)),"")</f>
        <v/>
      </c>
      <c r="P108" s="23">
        <f>IF(LEFT(N108,8)="Revenue|",-N(D108),0)+IF(LEFT(O108,8)="Revenue|",N(D108),0)</f>
        <v/>
      </c>
      <c r="Q108" s="23">
        <f>IF(LEFT(N108,5)="COGS|",N(D108),0)+IF(LEFT(O108,5)="COGS|",-N(D108),0)</f>
        <v/>
      </c>
      <c r="R108" s="23">
        <f>IF(LEFT(N108,8)="Expense|",N(D108),0)+IF(LEFT(O108,8)="Expense|",-N(D108),0)</f>
        <v/>
      </c>
      <c r="S108" s="23">
        <f>IF(ISNUMBER(MATCH(N108,{"Expense|employee","Expense|general_admin","Expense|marketing","Expense|utilities","Expense|other_operating"},0)),N(D108),0)+IF(ISNUMBER(MATCH(O108,{"Expense|employee","Expense|general_admin","Expense|marketing","Expense|utilities","Expense|other_operating"},0)),-N(D108),0)</f>
        <v/>
      </c>
      <c r="T108" s="23">
        <f>IF(N108="Liability|payable",-N(D108),0)+IF(O108="Liability|payable",N(D108),0)</f>
        <v/>
      </c>
      <c r="U108" s="23">
        <f>IF(N108="Liability|accrued",-N(D108),0)+IF(O108="Liability|accrued",N(D108),0)</f>
        <v/>
      </c>
      <c r="V108" s="23">
        <f>IF(AND(N(D108)&lt;&gt;0,N108=""),1,0)+IF(AND(N(D108)&lt;&gt;0,O108=""),1,0)</f>
        <v/>
      </c>
    </row>
    <row r="109">
      <c r="A109" s="19" t="n"/>
      <c r="B109" s="14" t="n"/>
      <c r="C109" s="14" t="n"/>
      <c r="D109" s="20" t="n"/>
      <c r="E109" s="14" t="n"/>
      <c r="F109" s="14" t="n"/>
      <c r="G109" s="14" t="n"/>
      <c r="H109" s="14" t="n"/>
      <c r="I109" s="14" t="n"/>
      <c r="J109" s="16">
        <f>IF(F109="",INDEX('Chart of Accounts'!$A$5:$A$3000,MATCH("bank",'Chart of Accounts'!$F$5:$F$3000,0)),F109&amp;"")</f>
        <v/>
      </c>
      <c r="K109" s="16">
        <f>IF(G109&lt;&gt;"",G109&amp;"",IF(LEFT(C109,7)="Capital",INDEX('Chart of Accounts'!$A$5:$A$3000,MATCH("capital",'Chart of Accounts'!$F$5:$F$3000,0)),INDEX('Chart of Accounts'!$A$5:$A$3000,MATCH("drawings",'Chart of Accounts'!$F$5:$F$3000,0))))</f>
        <v/>
      </c>
      <c r="L109" s="16">
        <f>IF(LEFT(C109,7)="Capital",J109,K109)</f>
        <v/>
      </c>
      <c r="M109" s="16">
        <f>IF(LEFT(C109,7)="Capital",K109,J109)</f>
        <v/>
      </c>
      <c r="N109" s="23">
        <f>IFERROR(INDEX('Chart of Accounts'!$C$5:$C$3000,MATCH(L109&amp;"",'Chart of Accounts'!$A$5:$A$3000,0))&amp;"|"&amp;INDEX('Chart of Accounts'!$D$5:$D$3000,MATCH(L109&amp;"",'Chart of Accounts'!$A$5:$A$3000,0)),"")</f>
        <v/>
      </c>
      <c r="O109" s="23">
        <f>IFERROR(INDEX('Chart of Accounts'!$C$5:$C$3000,MATCH(M109&amp;"",'Chart of Accounts'!$A$5:$A$3000,0))&amp;"|"&amp;INDEX('Chart of Accounts'!$D$5:$D$3000,MATCH(M109&amp;"",'Chart of Accounts'!$A$5:$A$3000,0)),"")</f>
        <v/>
      </c>
      <c r="P109" s="23">
        <f>IF(LEFT(N109,8)="Revenue|",-N(D109),0)+IF(LEFT(O109,8)="Revenue|",N(D109),0)</f>
        <v/>
      </c>
      <c r="Q109" s="23">
        <f>IF(LEFT(N109,5)="COGS|",N(D109),0)+IF(LEFT(O109,5)="COGS|",-N(D109),0)</f>
        <v/>
      </c>
      <c r="R109" s="23">
        <f>IF(LEFT(N109,8)="Expense|",N(D109),0)+IF(LEFT(O109,8)="Expense|",-N(D109),0)</f>
        <v/>
      </c>
      <c r="S109" s="23">
        <f>IF(ISNUMBER(MATCH(N109,{"Expense|employee","Expense|general_admin","Expense|marketing","Expense|utilities","Expense|other_operating"},0)),N(D109),0)+IF(ISNUMBER(MATCH(O109,{"Expense|employee","Expense|general_admin","Expense|marketing","Expense|utilities","Expense|other_operating"},0)),-N(D109),0)</f>
        <v/>
      </c>
      <c r="T109" s="23">
        <f>IF(N109="Liability|payable",-N(D109),0)+IF(O109="Liability|payable",N(D109),0)</f>
        <v/>
      </c>
      <c r="U109" s="23">
        <f>IF(N109="Liability|accrued",-N(D109),0)+IF(O109="Liability|accrued",N(D109),0)</f>
        <v/>
      </c>
      <c r="V109" s="23">
        <f>IF(AND(N(D109)&lt;&gt;0,N109=""),1,0)+IF(AND(N(D109)&lt;&gt;0,O109=""),1,0)</f>
        <v/>
      </c>
    </row>
    <row r="110">
      <c r="A110" s="19" t="n"/>
      <c r="B110" s="14" t="n"/>
      <c r="C110" s="14" t="n"/>
      <c r="D110" s="20" t="n"/>
      <c r="E110" s="14" t="n"/>
      <c r="F110" s="14" t="n"/>
      <c r="G110" s="14" t="n"/>
      <c r="H110" s="14" t="n"/>
      <c r="I110" s="14" t="n"/>
      <c r="J110" s="16">
        <f>IF(F110="",INDEX('Chart of Accounts'!$A$5:$A$3000,MATCH("bank",'Chart of Accounts'!$F$5:$F$3000,0)),F110&amp;"")</f>
        <v/>
      </c>
      <c r="K110" s="16">
        <f>IF(G110&lt;&gt;"",G110&amp;"",IF(LEFT(C110,7)="Capital",INDEX('Chart of Accounts'!$A$5:$A$3000,MATCH("capital",'Chart of Accounts'!$F$5:$F$3000,0)),INDEX('Chart of Accounts'!$A$5:$A$3000,MATCH("drawings",'Chart of Accounts'!$F$5:$F$3000,0))))</f>
        <v/>
      </c>
      <c r="L110" s="16">
        <f>IF(LEFT(C110,7)="Capital",J110,K110)</f>
        <v/>
      </c>
      <c r="M110" s="16">
        <f>IF(LEFT(C110,7)="Capital",K110,J110)</f>
        <v/>
      </c>
      <c r="N110" s="23">
        <f>IFERROR(INDEX('Chart of Accounts'!$C$5:$C$3000,MATCH(L110&amp;"",'Chart of Accounts'!$A$5:$A$3000,0))&amp;"|"&amp;INDEX('Chart of Accounts'!$D$5:$D$3000,MATCH(L110&amp;"",'Chart of Accounts'!$A$5:$A$3000,0)),"")</f>
        <v/>
      </c>
      <c r="O110" s="23">
        <f>IFERROR(INDEX('Chart of Accounts'!$C$5:$C$3000,MATCH(M110&amp;"",'Chart of Accounts'!$A$5:$A$3000,0))&amp;"|"&amp;INDEX('Chart of Accounts'!$D$5:$D$3000,MATCH(M110&amp;"",'Chart of Accounts'!$A$5:$A$3000,0)),"")</f>
        <v/>
      </c>
      <c r="P110" s="23">
        <f>IF(LEFT(N110,8)="Revenue|",-N(D110),0)+IF(LEFT(O110,8)="Revenue|",N(D110),0)</f>
        <v/>
      </c>
      <c r="Q110" s="23">
        <f>IF(LEFT(N110,5)="COGS|",N(D110),0)+IF(LEFT(O110,5)="COGS|",-N(D110),0)</f>
        <v/>
      </c>
      <c r="R110" s="23">
        <f>IF(LEFT(N110,8)="Expense|",N(D110),0)+IF(LEFT(O110,8)="Expense|",-N(D110),0)</f>
        <v/>
      </c>
      <c r="S110" s="23">
        <f>IF(ISNUMBER(MATCH(N110,{"Expense|employee","Expense|general_admin","Expense|marketing","Expense|utilities","Expense|other_operating"},0)),N(D110),0)+IF(ISNUMBER(MATCH(O110,{"Expense|employee","Expense|general_admin","Expense|marketing","Expense|utilities","Expense|other_operating"},0)),-N(D110),0)</f>
        <v/>
      </c>
      <c r="T110" s="23">
        <f>IF(N110="Liability|payable",-N(D110),0)+IF(O110="Liability|payable",N(D110),0)</f>
        <v/>
      </c>
      <c r="U110" s="23">
        <f>IF(N110="Liability|accrued",-N(D110),0)+IF(O110="Liability|accrued",N(D110),0)</f>
        <v/>
      </c>
      <c r="V110" s="23">
        <f>IF(AND(N(D110)&lt;&gt;0,N110=""),1,0)+IF(AND(N(D110)&lt;&gt;0,O110=""),1,0)</f>
        <v/>
      </c>
    </row>
    <row r="111">
      <c r="A111" s="19" t="n"/>
      <c r="B111" s="14" t="n"/>
      <c r="C111" s="14" t="n"/>
      <c r="D111" s="20" t="n"/>
      <c r="E111" s="14" t="n"/>
      <c r="F111" s="14" t="n"/>
      <c r="G111" s="14" t="n"/>
      <c r="H111" s="14" t="n"/>
      <c r="I111" s="14" t="n"/>
      <c r="J111" s="16">
        <f>IF(F111="",INDEX('Chart of Accounts'!$A$5:$A$3000,MATCH("bank",'Chart of Accounts'!$F$5:$F$3000,0)),F111&amp;"")</f>
        <v/>
      </c>
      <c r="K111" s="16">
        <f>IF(G111&lt;&gt;"",G111&amp;"",IF(LEFT(C111,7)="Capital",INDEX('Chart of Accounts'!$A$5:$A$3000,MATCH("capital",'Chart of Accounts'!$F$5:$F$3000,0)),INDEX('Chart of Accounts'!$A$5:$A$3000,MATCH("drawings",'Chart of Accounts'!$F$5:$F$3000,0))))</f>
        <v/>
      </c>
      <c r="L111" s="16">
        <f>IF(LEFT(C111,7)="Capital",J111,K111)</f>
        <v/>
      </c>
      <c r="M111" s="16">
        <f>IF(LEFT(C111,7)="Capital",K111,J111)</f>
        <v/>
      </c>
      <c r="N111" s="23">
        <f>IFERROR(INDEX('Chart of Accounts'!$C$5:$C$3000,MATCH(L111&amp;"",'Chart of Accounts'!$A$5:$A$3000,0))&amp;"|"&amp;INDEX('Chart of Accounts'!$D$5:$D$3000,MATCH(L111&amp;"",'Chart of Accounts'!$A$5:$A$3000,0)),"")</f>
        <v/>
      </c>
      <c r="O111" s="23">
        <f>IFERROR(INDEX('Chart of Accounts'!$C$5:$C$3000,MATCH(M111&amp;"",'Chart of Accounts'!$A$5:$A$3000,0))&amp;"|"&amp;INDEX('Chart of Accounts'!$D$5:$D$3000,MATCH(M111&amp;"",'Chart of Accounts'!$A$5:$A$3000,0)),"")</f>
        <v/>
      </c>
      <c r="P111" s="23">
        <f>IF(LEFT(N111,8)="Revenue|",-N(D111),0)+IF(LEFT(O111,8)="Revenue|",N(D111),0)</f>
        <v/>
      </c>
      <c r="Q111" s="23">
        <f>IF(LEFT(N111,5)="COGS|",N(D111),0)+IF(LEFT(O111,5)="COGS|",-N(D111),0)</f>
        <v/>
      </c>
      <c r="R111" s="23">
        <f>IF(LEFT(N111,8)="Expense|",N(D111),0)+IF(LEFT(O111,8)="Expense|",-N(D111),0)</f>
        <v/>
      </c>
      <c r="S111" s="23">
        <f>IF(ISNUMBER(MATCH(N111,{"Expense|employee","Expense|general_admin","Expense|marketing","Expense|utilities","Expense|other_operating"},0)),N(D111),0)+IF(ISNUMBER(MATCH(O111,{"Expense|employee","Expense|general_admin","Expense|marketing","Expense|utilities","Expense|other_operating"},0)),-N(D111),0)</f>
        <v/>
      </c>
      <c r="T111" s="23">
        <f>IF(N111="Liability|payable",-N(D111),0)+IF(O111="Liability|payable",N(D111),0)</f>
        <v/>
      </c>
      <c r="U111" s="23">
        <f>IF(N111="Liability|accrued",-N(D111),0)+IF(O111="Liability|accrued",N(D111),0)</f>
        <v/>
      </c>
      <c r="V111" s="23">
        <f>IF(AND(N(D111)&lt;&gt;0,N111=""),1,0)+IF(AND(N(D111)&lt;&gt;0,O111=""),1,0)</f>
        <v/>
      </c>
    </row>
    <row r="112">
      <c r="A112" s="19" t="n"/>
      <c r="B112" s="14" t="n"/>
      <c r="C112" s="14" t="n"/>
      <c r="D112" s="20" t="n"/>
      <c r="E112" s="14" t="n"/>
      <c r="F112" s="14" t="n"/>
      <c r="G112" s="14" t="n"/>
      <c r="H112" s="14" t="n"/>
      <c r="I112" s="14" t="n"/>
      <c r="J112" s="16">
        <f>IF(F112="",INDEX('Chart of Accounts'!$A$5:$A$3000,MATCH("bank",'Chart of Accounts'!$F$5:$F$3000,0)),F112&amp;"")</f>
        <v/>
      </c>
      <c r="K112" s="16">
        <f>IF(G112&lt;&gt;"",G112&amp;"",IF(LEFT(C112,7)="Capital",INDEX('Chart of Accounts'!$A$5:$A$3000,MATCH("capital",'Chart of Accounts'!$F$5:$F$3000,0)),INDEX('Chart of Accounts'!$A$5:$A$3000,MATCH("drawings",'Chart of Accounts'!$F$5:$F$3000,0))))</f>
        <v/>
      </c>
      <c r="L112" s="16">
        <f>IF(LEFT(C112,7)="Capital",J112,K112)</f>
        <v/>
      </c>
      <c r="M112" s="16">
        <f>IF(LEFT(C112,7)="Capital",K112,J112)</f>
        <v/>
      </c>
      <c r="N112" s="23">
        <f>IFERROR(INDEX('Chart of Accounts'!$C$5:$C$3000,MATCH(L112&amp;"",'Chart of Accounts'!$A$5:$A$3000,0))&amp;"|"&amp;INDEX('Chart of Accounts'!$D$5:$D$3000,MATCH(L112&amp;"",'Chart of Accounts'!$A$5:$A$3000,0)),"")</f>
        <v/>
      </c>
      <c r="O112" s="23">
        <f>IFERROR(INDEX('Chart of Accounts'!$C$5:$C$3000,MATCH(M112&amp;"",'Chart of Accounts'!$A$5:$A$3000,0))&amp;"|"&amp;INDEX('Chart of Accounts'!$D$5:$D$3000,MATCH(M112&amp;"",'Chart of Accounts'!$A$5:$A$3000,0)),"")</f>
        <v/>
      </c>
      <c r="P112" s="23">
        <f>IF(LEFT(N112,8)="Revenue|",-N(D112),0)+IF(LEFT(O112,8)="Revenue|",N(D112),0)</f>
        <v/>
      </c>
      <c r="Q112" s="23">
        <f>IF(LEFT(N112,5)="COGS|",N(D112),0)+IF(LEFT(O112,5)="COGS|",-N(D112),0)</f>
        <v/>
      </c>
      <c r="R112" s="23">
        <f>IF(LEFT(N112,8)="Expense|",N(D112),0)+IF(LEFT(O112,8)="Expense|",-N(D112),0)</f>
        <v/>
      </c>
      <c r="S112" s="23">
        <f>IF(ISNUMBER(MATCH(N112,{"Expense|employee","Expense|general_admin","Expense|marketing","Expense|utilities","Expense|other_operating"},0)),N(D112),0)+IF(ISNUMBER(MATCH(O112,{"Expense|employee","Expense|general_admin","Expense|marketing","Expense|utilities","Expense|other_operating"},0)),-N(D112),0)</f>
        <v/>
      </c>
      <c r="T112" s="23">
        <f>IF(N112="Liability|payable",-N(D112),0)+IF(O112="Liability|payable",N(D112),0)</f>
        <v/>
      </c>
      <c r="U112" s="23">
        <f>IF(N112="Liability|accrued",-N(D112),0)+IF(O112="Liability|accrued",N(D112),0)</f>
        <v/>
      </c>
      <c r="V112" s="23">
        <f>IF(AND(N(D112)&lt;&gt;0,N112=""),1,0)+IF(AND(N(D112)&lt;&gt;0,O112=""),1,0)</f>
        <v/>
      </c>
    </row>
    <row r="113">
      <c r="A113" s="19" t="n"/>
      <c r="B113" s="14" t="n"/>
      <c r="C113" s="14" t="n"/>
      <c r="D113" s="20" t="n"/>
      <c r="E113" s="14" t="n"/>
      <c r="F113" s="14" t="n"/>
      <c r="G113" s="14" t="n"/>
      <c r="H113" s="14" t="n"/>
      <c r="I113" s="14" t="n"/>
      <c r="J113" s="16">
        <f>IF(F113="",INDEX('Chart of Accounts'!$A$5:$A$3000,MATCH("bank",'Chart of Accounts'!$F$5:$F$3000,0)),F113&amp;"")</f>
        <v/>
      </c>
      <c r="K113" s="16">
        <f>IF(G113&lt;&gt;"",G113&amp;"",IF(LEFT(C113,7)="Capital",INDEX('Chart of Accounts'!$A$5:$A$3000,MATCH("capital",'Chart of Accounts'!$F$5:$F$3000,0)),INDEX('Chart of Accounts'!$A$5:$A$3000,MATCH("drawings",'Chart of Accounts'!$F$5:$F$3000,0))))</f>
        <v/>
      </c>
      <c r="L113" s="16">
        <f>IF(LEFT(C113,7)="Capital",J113,K113)</f>
        <v/>
      </c>
      <c r="M113" s="16">
        <f>IF(LEFT(C113,7)="Capital",K113,J113)</f>
        <v/>
      </c>
      <c r="N113" s="23">
        <f>IFERROR(INDEX('Chart of Accounts'!$C$5:$C$3000,MATCH(L113&amp;"",'Chart of Accounts'!$A$5:$A$3000,0))&amp;"|"&amp;INDEX('Chart of Accounts'!$D$5:$D$3000,MATCH(L113&amp;"",'Chart of Accounts'!$A$5:$A$3000,0)),"")</f>
        <v/>
      </c>
      <c r="O113" s="23">
        <f>IFERROR(INDEX('Chart of Accounts'!$C$5:$C$3000,MATCH(M113&amp;"",'Chart of Accounts'!$A$5:$A$3000,0))&amp;"|"&amp;INDEX('Chart of Accounts'!$D$5:$D$3000,MATCH(M113&amp;"",'Chart of Accounts'!$A$5:$A$3000,0)),"")</f>
        <v/>
      </c>
      <c r="P113" s="23">
        <f>IF(LEFT(N113,8)="Revenue|",-N(D113),0)+IF(LEFT(O113,8)="Revenue|",N(D113),0)</f>
        <v/>
      </c>
      <c r="Q113" s="23">
        <f>IF(LEFT(N113,5)="COGS|",N(D113),0)+IF(LEFT(O113,5)="COGS|",-N(D113),0)</f>
        <v/>
      </c>
      <c r="R113" s="23">
        <f>IF(LEFT(N113,8)="Expense|",N(D113),0)+IF(LEFT(O113,8)="Expense|",-N(D113),0)</f>
        <v/>
      </c>
      <c r="S113" s="23">
        <f>IF(ISNUMBER(MATCH(N113,{"Expense|employee","Expense|general_admin","Expense|marketing","Expense|utilities","Expense|other_operating"},0)),N(D113),0)+IF(ISNUMBER(MATCH(O113,{"Expense|employee","Expense|general_admin","Expense|marketing","Expense|utilities","Expense|other_operating"},0)),-N(D113),0)</f>
        <v/>
      </c>
      <c r="T113" s="23">
        <f>IF(N113="Liability|payable",-N(D113),0)+IF(O113="Liability|payable",N(D113),0)</f>
        <v/>
      </c>
      <c r="U113" s="23">
        <f>IF(N113="Liability|accrued",-N(D113),0)+IF(O113="Liability|accrued",N(D113),0)</f>
        <v/>
      </c>
      <c r="V113" s="23">
        <f>IF(AND(N(D113)&lt;&gt;0,N113=""),1,0)+IF(AND(N(D113)&lt;&gt;0,O113=""),1,0)</f>
        <v/>
      </c>
    </row>
    <row r="114">
      <c r="A114" s="19" t="n"/>
      <c r="B114" s="14" t="n"/>
      <c r="C114" s="14" t="n"/>
      <c r="D114" s="20" t="n"/>
      <c r="E114" s="14" t="n"/>
      <c r="F114" s="14" t="n"/>
      <c r="G114" s="14" t="n"/>
      <c r="H114" s="14" t="n"/>
      <c r="I114" s="14" t="n"/>
      <c r="J114" s="16">
        <f>IF(F114="",INDEX('Chart of Accounts'!$A$5:$A$3000,MATCH("bank",'Chart of Accounts'!$F$5:$F$3000,0)),F114&amp;"")</f>
        <v/>
      </c>
      <c r="K114" s="16">
        <f>IF(G114&lt;&gt;"",G114&amp;"",IF(LEFT(C114,7)="Capital",INDEX('Chart of Accounts'!$A$5:$A$3000,MATCH("capital",'Chart of Accounts'!$F$5:$F$3000,0)),INDEX('Chart of Accounts'!$A$5:$A$3000,MATCH("drawings",'Chart of Accounts'!$F$5:$F$3000,0))))</f>
        <v/>
      </c>
      <c r="L114" s="16">
        <f>IF(LEFT(C114,7)="Capital",J114,K114)</f>
        <v/>
      </c>
      <c r="M114" s="16">
        <f>IF(LEFT(C114,7)="Capital",K114,J114)</f>
        <v/>
      </c>
      <c r="N114" s="23">
        <f>IFERROR(INDEX('Chart of Accounts'!$C$5:$C$3000,MATCH(L114&amp;"",'Chart of Accounts'!$A$5:$A$3000,0))&amp;"|"&amp;INDEX('Chart of Accounts'!$D$5:$D$3000,MATCH(L114&amp;"",'Chart of Accounts'!$A$5:$A$3000,0)),"")</f>
        <v/>
      </c>
      <c r="O114" s="23">
        <f>IFERROR(INDEX('Chart of Accounts'!$C$5:$C$3000,MATCH(M114&amp;"",'Chart of Accounts'!$A$5:$A$3000,0))&amp;"|"&amp;INDEX('Chart of Accounts'!$D$5:$D$3000,MATCH(M114&amp;"",'Chart of Accounts'!$A$5:$A$3000,0)),"")</f>
        <v/>
      </c>
      <c r="P114" s="23">
        <f>IF(LEFT(N114,8)="Revenue|",-N(D114),0)+IF(LEFT(O114,8)="Revenue|",N(D114),0)</f>
        <v/>
      </c>
      <c r="Q114" s="23">
        <f>IF(LEFT(N114,5)="COGS|",N(D114),0)+IF(LEFT(O114,5)="COGS|",-N(D114),0)</f>
        <v/>
      </c>
      <c r="R114" s="23">
        <f>IF(LEFT(N114,8)="Expense|",N(D114),0)+IF(LEFT(O114,8)="Expense|",-N(D114),0)</f>
        <v/>
      </c>
      <c r="S114" s="23">
        <f>IF(ISNUMBER(MATCH(N114,{"Expense|employee","Expense|general_admin","Expense|marketing","Expense|utilities","Expense|other_operating"},0)),N(D114),0)+IF(ISNUMBER(MATCH(O114,{"Expense|employee","Expense|general_admin","Expense|marketing","Expense|utilities","Expense|other_operating"},0)),-N(D114),0)</f>
        <v/>
      </c>
      <c r="T114" s="23">
        <f>IF(N114="Liability|payable",-N(D114),0)+IF(O114="Liability|payable",N(D114),0)</f>
        <v/>
      </c>
      <c r="U114" s="23">
        <f>IF(N114="Liability|accrued",-N(D114),0)+IF(O114="Liability|accrued",N(D114),0)</f>
        <v/>
      </c>
      <c r="V114" s="23">
        <f>IF(AND(N(D114)&lt;&gt;0,N114=""),1,0)+IF(AND(N(D114)&lt;&gt;0,O114=""),1,0)</f>
        <v/>
      </c>
    </row>
    <row r="115">
      <c r="A115" s="19" t="n"/>
      <c r="B115" s="14" t="n"/>
      <c r="C115" s="14" t="n"/>
      <c r="D115" s="20" t="n"/>
      <c r="E115" s="14" t="n"/>
      <c r="F115" s="14" t="n"/>
      <c r="G115" s="14" t="n"/>
      <c r="H115" s="14" t="n"/>
      <c r="I115" s="14" t="n"/>
      <c r="J115" s="16">
        <f>IF(F115="",INDEX('Chart of Accounts'!$A$5:$A$3000,MATCH("bank",'Chart of Accounts'!$F$5:$F$3000,0)),F115&amp;"")</f>
        <v/>
      </c>
      <c r="K115" s="16">
        <f>IF(G115&lt;&gt;"",G115&amp;"",IF(LEFT(C115,7)="Capital",INDEX('Chart of Accounts'!$A$5:$A$3000,MATCH("capital",'Chart of Accounts'!$F$5:$F$3000,0)),INDEX('Chart of Accounts'!$A$5:$A$3000,MATCH("drawings",'Chart of Accounts'!$F$5:$F$3000,0))))</f>
        <v/>
      </c>
      <c r="L115" s="16">
        <f>IF(LEFT(C115,7)="Capital",J115,K115)</f>
        <v/>
      </c>
      <c r="M115" s="16">
        <f>IF(LEFT(C115,7)="Capital",K115,J115)</f>
        <v/>
      </c>
      <c r="N115" s="23">
        <f>IFERROR(INDEX('Chart of Accounts'!$C$5:$C$3000,MATCH(L115&amp;"",'Chart of Accounts'!$A$5:$A$3000,0))&amp;"|"&amp;INDEX('Chart of Accounts'!$D$5:$D$3000,MATCH(L115&amp;"",'Chart of Accounts'!$A$5:$A$3000,0)),"")</f>
        <v/>
      </c>
      <c r="O115" s="23">
        <f>IFERROR(INDEX('Chart of Accounts'!$C$5:$C$3000,MATCH(M115&amp;"",'Chart of Accounts'!$A$5:$A$3000,0))&amp;"|"&amp;INDEX('Chart of Accounts'!$D$5:$D$3000,MATCH(M115&amp;"",'Chart of Accounts'!$A$5:$A$3000,0)),"")</f>
        <v/>
      </c>
      <c r="P115" s="23">
        <f>IF(LEFT(N115,8)="Revenue|",-N(D115),0)+IF(LEFT(O115,8)="Revenue|",N(D115),0)</f>
        <v/>
      </c>
      <c r="Q115" s="23">
        <f>IF(LEFT(N115,5)="COGS|",N(D115),0)+IF(LEFT(O115,5)="COGS|",-N(D115),0)</f>
        <v/>
      </c>
      <c r="R115" s="23">
        <f>IF(LEFT(N115,8)="Expense|",N(D115),0)+IF(LEFT(O115,8)="Expense|",-N(D115),0)</f>
        <v/>
      </c>
      <c r="S115" s="23">
        <f>IF(ISNUMBER(MATCH(N115,{"Expense|employee","Expense|general_admin","Expense|marketing","Expense|utilities","Expense|other_operating"},0)),N(D115),0)+IF(ISNUMBER(MATCH(O115,{"Expense|employee","Expense|general_admin","Expense|marketing","Expense|utilities","Expense|other_operating"},0)),-N(D115),0)</f>
        <v/>
      </c>
      <c r="T115" s="23">
        <f>IF(N115="Liability|payable",-N(D115),0)+IF(O115="Liability|payable",N(D115),0)</f>
        <v/>
      </c>
      <c r="U115" s="23">
        <f>IF(N115="Liability|accrued",-N(D115),0)+IF(O115="Liability|accrued",N(D115),0)</f>
        <v/>
      </c>
      <c r="V115" s="23">
        <f>IF(AND(N(D115)&lt;&gt;0,N115=""),1,0)+IF(AND(N(D115)&lt;&gt;0,O115=""),1,0)</f>
        <v/>
      </c>
    </row>
    <row r="116">
      <c r="A116" s="19" t="n"/>
      <c r="B116" s="14" t="n"/>
      <c r="C116" s="14" t="n"/>
      <c r="D116" s="20" t="n"/>
      <c r="E116" s="14" t="n"/>
      <c r="F116" s="14" t="n"/>
      <c r="G116" s="14" t="n"/>
      <c r="H116" s="14" t="n"/>
      <c r="I116" s="14" t="n"/>
      <c r="J116" s="16">
        <f>IF(F116="",INDEX('Chart of Accounts'!$A$5:$A$3000,MATCH("bank",'Chart of Accounts'!$F$5:$F$3000,0)),F116&amp;"")</f>
        <v/>
      </c>
      <c r="K116" s="16">
        <f>IF(G116&lt;&gt;"",G116&amp;"",IF(LEFT(C116,7)="Capital",INDEX('Chart of Accounts'!$A$5:$A$3000,MATCH("capital",'Chart of Accounts'!$F$5:$F$3000,0)),INDEX('Chart of Accounts'!$A$5:$A$3000,MATCH("drawings",'Chart of Accounts'!$F$5:$F$3000,0))))</f>
        <v/>
      </c>
      <c r="L116" s="16">
        <f>IF(LEFT(C116,7)="Capital",J116,K116)</f>
        <v/>
      </c>
      <c r="M116" s="16">
        <f>IF(LEFT(C116,7)="Capital",K116,J116)</f>
        <v/>
      </c>
      <c r="N116" s="23">
        <f>IFERROR(INDEX('Chart of Accounts'!$C$5:$C$3000,MATCH(L116&amp;"",'Chart of Accounts'!$A$5:$A$3000,0))&amp;"|"&amp;INDEX('Chart of Accounts'!$D$5:$D$3000,MATCH(L116&amp;"",'Chart of Accounts'!$A$5:$A$3000,0)),"")</f>
        <v/>
      </c>
      <c r="O116" s="23">
        <f>IFERROR(INDEX('Chart of Accounts'!$C$5:$C$3000,MATCH(M116&amp;"",'Chart of Accounts'!$A$5:$A$3000,0))&amp;"|"&amp;INDEX('Chart of Accounts'!$D$5:$D$3000,MATCH(M116&amp;"",'Chart of Accounts'!$A$5:$A$3000,0)),"")</f>
        <v/>
      </c>
      <c r="P116" s="23">
        <f>IF(LEFT(N116,8)="Revenue|",-N(D116),0)+IF(LEFT(O116,8)="Revenue|",N(D116),0)</f>
        <v/>
      </c>
      <c r="Q116" s="23">
        <f>IF(LEFT(N116,5)="COGS|",N(D116),0)+IF(LEFT(O116,5)="COGS|",-N(D116),0)</f>
        <v/>
      </c>
      <c r="R116" s="23">
        <f>IF(LEFT(N116,8)="Expense|",N(D116),0)+IF(LEFT(O116,8)="Expense|",-N(D116),0)</f>
        <v/>
      </c>
      <c r="S116" s="23">
        <f>IF(ISNUMBER(MATCH(N116,{"Expense|employee","Expense|general_admin","Expense|marketing","Expense|utilities","Expense|other_operating"},0)),N(D116),0)+IF(ISNUMBER(MATCH(O116,{"Expense|employee","Expense|general_admin","Expense|marketing","Expense|utilities","Expense|other_operating"},0)),-N(D116),0)</f>
        <v/>
      </c>
      <c r="T116" s="23">
        <f>IF(N116="Liability|payable",-N(D116),0)+IF(O116="Liability|payable",N(D116),0)</f>
        <v/>
      </c>
      <c r="U116" s="23">
        <f>IF(N116="Liability|accrued",-N(D116),0)+IF(O116="Liability|accrued",N(D116),0)</f>
        <v/>
      </c>
      <c r="V116" s="23">
        <f>IF(AND(N(D116)&lt;&gt;0,N116=""),1,0)+IF(AND(N(D116)&lt;&gt;0,O116=""),1,0)</f>
        <v/>
      </c>
    </row>
    <row r="117">
      <c r="A117" s="19" t="n"/>
      <c r="B117" s="14" t="n"/>
      <c r="C117" s="14" t="n"/>
      <c r="D117" s="20" t="n"/>
      <c r="E117" s="14" t="n"/>
      <c r="F117" s="14" t="n"/>
      <c r="G117" s="14" t="n"/>
      <c r="H117" s="14" t="n"/>
      <c r="I117" s="14" t="n"/>
      <c r="J117" s="16">
        <f>IF(F117="",INDEX('Chart of Accounts'!$A$5:$A$3000,MATCH("bank",'Chart of Accounts'!$F$5:$F$3000,0)),F117&amp;"")</f>
        <v/>
      </c>
      <c r="K117" s="16">
        <f>IF(G117&lt;&gt;"",G117&amp;"",IF(LEFT(C117,7)="Capital",INDEX('Chart of Accounts'!$A$5:$A$3000,MATCH("capital",'Chart of Accounts'!$F$5:$F$3000,0)),INDEX('Chart of Accounts'!$A$5:$A$3000,MATCH("drawings",'Chart of Accounts'!$F$5:$F$3000,0))))</f>
        <v/>
      </c>
      <c r="L117" s="16">
        <f>IF(LEFT(C117,7)="Capital",J117,K117)</f>
        <v/>
      </c>
      <c r="M117" s="16">
        <f>IF(LEFT(C117,7)="Capital",K117,J117)</f>
        <v/>
      </c>
      <c r="N117" s="23">
        <f>IFERROR(INDEX('Chart of Accounts'!$C$5:$C$3000,MATCH(L117&amp;"",'Chart of Accounts'!$A$5:$A$3000,0))&amp;"|"&amp;INDEX('Chart of Accounts'!$D$5:$D$3000,MATCH(L117&amp;"",'Chart of Accounts'!$A$5:$A$3000,0)),"")</f>
        <v/>
      </c>
      <c r="O117" s="23">
        <f>IFERROR(INDEX('Chart of Accounts'!$C$5:$C$3000,MATCH(M117&amp;"",'Chart of Accounts'!$A$5:$A$3000,0))&amp;"|"&amp;INDEX('Chart of Accounts'!$D$5:$D$3000,MATCH(M117&amp;"",'Chart of Accounts'!$A$5:$A$3000,0)),"")</f>
        <v/>
      </c>
      <c r="P117" s="23">
        <f>IF(LEFT(N117,8)="Revenue|",-N(D117),0)+IF(LEFT(O117,8)="Revenue|",N(D117),0)</f>
        <v/>
      </c>
      <c r="Q117" s="23">
        <f>IF(LEFT(N117,5)="COGS|",N(D117),0)+IF(LEFT(O117,5)="COGS|",-N(D117),0)</f>
        <v/>
      </c>
      <c r="R117" s="23">
        <f>IF(LEFT(N117,8)="Expense|",N(D117),0)+IF(LEFT(O117,8)="Expense|",-N(D117),0)</f>
        <v/>
      </c>
      <c r="S117" s="23">
        <f>IF(ISNUMBER(MATCH(N117,{"Expense|employee","Expense|general_admin","Expense|marketing","Expense|utilities","Expense|other_operating"},0)),N(D117),0)+IF(ISNUMBER(MATCH(O117,{"Expense|employee","Expense|general_admin","Expense|marketing","Expense|utilities","Expense|other_operating"},0)),-N(D117),0)</f>
        <v/>
      </c>
      <c r="T117" s="23">
        <f>IF(N117="Liability|payable",-N(D117),0)+IF(O117="Liability|payable",N(D117),0)</f>
        <v/>
      </c>
      <c r="U117" s="23">
        <f>IF(N117="Liability|accrued",-N(D117),0)+IF(O117="Liability|accrued",N(D117),0)</f>
        <v/>
      </c>
      <c r="V117" s="23">
        <f>IF(AND(N(D117)&lt;&gt;0,N117=""),1,0)+IF(AND(N(D117)&lt;&gt;0,O117=""),1,0)</f>
        <v/>
      </c>
    </row>
    <row r="118">
      <c r="A118" s="19" t="n"/>
      <c r="B118" s="14" t="n"/>
      <c r="C118" s="14" t="n"/>
      <c r="D118" s="20" t="n"/>
      <c r="E118" s="14" t="n"/>
      <c r="F118" s="14" t="n"/>
      <c r="G118" s="14" t="n"/>
      <c r="H118" s="14" t="n"/>
      <c r="I118" s="14" t="n"/>
      <c r="J118" s="16">
        <f>IF(F118="",INDEX('Chart of Accounts'!$A$5:$A$3000,MATCH("bank",'Chart of Accounts'!$F$5:$F$3000,0)),F118&amp;"")</f>
        <v/>
      </c>
      <c r="K118" s="16">
        <f>IF(G118&lt;&gt;"",G118&amp;"",IF(LEFT(C118,7)="Capital",INDEX('Chart of Accounts'!$A$5:$A$3000,MATCH("capital",'Chart of Accounts'!$F$5:$F$3000,0)),INDEX('Chart of Accounts'!$A$5:$A$3000,MATCH("drawings",'Chart of Accounts'!$F$5:$F$3000,0))))</f>
        <v/>
      </c>
      <c r="L118" s="16">
        <f>IF(LEFT(C118,7)="Capital",J118,K118)</f>
        <v/>
      </c>
      <c r="M118" s="16">
        <f>IF(LEFT(C118,7)="Capital",K118,J118)</f>
        <v/>
      </c>
      <c r="N118" s="23">
        <f>IFERROR(INDEX('Chart of Accounts'!$C$5:$C$3000,MATCH(L118&amp;"",'Chart of Accounts'!$A$5:$A$3000,0))&amp;"|"&amp;INDEX('Chart of Accounts'!$D$5:$D$3000,MATCH(L118&amp;"",'Chart of Accounts'!$A$5:$A$3000,0)),"")</f>
        <v/>
      </c>
      <c r="O118" s="23">
        <f>IFERROR(INDEX('Chart of Accounts'!$C$5:$C$3000,MATCH(M118&amp;"",'Chart of Accounts'!$A$5:$A$3000,0))&amp;"|"&amp;INDEX('Chart of Accounts'!$D$5:$D$3000,MATCH(M118&amp;"",'Chart of Accounts'!$A$5:$A$3000,0)),"")</f>
        <v/>
      </c>
      <c r="P118" s="23">
        <f>IF(LEFT(N118,8)="Revenue|",-N(D118),0)+IF(LEFT(O118,8)="Revenue|",N(D118),0)</f>
        <v/>
      </c>
      <c r="Q118" s="23">
        <f>IF(LEFT(N118,5)="COGS|",N(D118),0)+IF(LEFT(O118,5)="COGS|",-N(D118),0)</f>
        <v/>
      </c>
      <c r="R118" s="23">
        <f>IF(LEFT(N118,8)="Expense|",N(D118),0)+IF(LEFT(O118,8)="Expense|",-N(D118),0)</f>
        <v/>
      </c>
      <c r="S118" s="23">
        <f>IF(ISNUMBER(MATCH(N118,{"Expense|employee","Expense|general_admin","Expense|marketing","Expense|utilities","Expense|other_operating"},0)),N(D118),0)+IF(ISNUMBER(MATCH(O118,{"Expense|employee","Expense|general_admin","Expense|marketing","Expense|utilities","Expense|other_operating"},0)),-N(D118),0)</f>
        <v/>
      </c>
      <c r="T118" s="23">
        <f>IF(N118="Liability|payable",-N(D118),0)+IF(O118="Liability|payable",N(D118),0)</f>
        <v/>
      </c>
      <c r="U118" s="23">
        <f>IF(N118="Liability|accrued",-N(D118),0)+IF(O118="Liability|accrued",N(D118),0)</f>
        <v/>
      </c>
      <c r="V118" s="23">
        <f>IF(AND(N(D118)&lt;&gt;0,N118=""),1,0)+IF(AND(N(D118)&lt;&gt;0,O118=""),1,0)</f>
        <v/>
      </c>
    </row>
    <row r="119">
      <c r="A119" s="19" t="n"/>
      <c r="B119" s="14" t="n"/>
      <c r="C119" s="14" t="n"/>
      <c r="D119" s="20" t="n"/>
      <c r="E119" s="14" t="n"/>
      <c r="F119" s="14" t="n"/>
      <c r="G119" s="14" t="n"/>
      <c r="H119" s="14" t="n"/>
      <c r="I119" s="14" t="n"/>
      <c r="J119" s="16">
        <f>IF(F119="",INDEX('Chart of Accounts'!$A$5:$A$3000,MATCH("bank",'Chart of Accounts'!$F$5:$F$3000,0)),F119&amp;"")</f>
        <v/>
      </c>
      <c r="K119" s="16">
        <f>IF(G119&lt;&gt;"",G119&amp;"",IF(LEFT(C119,7)="Capital",INDEX('Chart of Accounts'!$A$5:$A$3000,MATCH("capital",'Chart of Accounts'!$F$5:$F$3000,0)),INDEX('Chart of Accounts'!$A$5:$A$3000,MATCH("drawings",'Chart of Accounts'!$F$5:$F$3000,0))))</f>
        <v/>
      </c>
      <c r="L119" s="16">
        <f>IF(LEFT(C119,7)="Capital",J119,K119)</f>
        <v/>
      </c>
      <c r="M119" s="16">
        <f>IF(LEFT(C119,7)="Capital",K119,J119)</f>
        <v/>
      </c>
      <c r="N119" s="23">
        <f>IFERROR(INDEX('Chart of Accounts'!$C$5:$C$3000,MATCH(L119&amp;"",'Chart of Accounts'!$A$5:$A$3000,0))&amp;"|"&amp;INDEX('Chart of Accounts'!$D$5:$D$3000,MATCH(L119&amp;"",'Chart of Accounts'!$A$5:$A$3000,0)),"")</f>
        <v/>
      </c>
      <c r="O119" s="23">
        <f>IFERROR(INDEX('Chart of Accounts'!$C$5:$C$3000,MATCH(M119&amp;"",'Chart of Accounts'!$A$5:$A$3000,0))&amp;"|"&amp;INDEX('Chart of Accounts'!$D$5:$D$3000,MATCH(M119&amp;"",'Chart of Accounts'!$A$5:$A$3000,0)),"")</f>
        <v/>
      </c>
      <c r="P119" s="23">
        <f>IF(LEFT(N119,8)="Revenue|",-N(D119),0)+IF(LEFT(O119,8)="Revenue|",N(D119),0)</f>
        <v/>
      </c>
      <c r="Q119" s="23">
        <f>IF(LEFT(N119,5)="COGS|",N(D119),0)+IF(LEFT(O119,5)="COGS|",-N(D119),0)</f>
        <v/>
      </c>
      <c r="R119" s="23">
        <f>IF(LEFT(N119,8)="Expense|",N(D119),0)+IF(LEFT(O119,8)="Expense|",-N(D119),0)</f>
        <v/>
      </c>
      <c r="S119" s="23">
        <f>IF(ISNUMBER(MATCH(N119,{"Expense|employee","Expense|general_admin","Expense|marketing","Expense|utilities","Expense|other_operating"},0)),N(D119),0)+IF(ISNUMBER(MATCH(O119,{"Expense|employee","Expense|general_admin","Expense|marketing","Expense|utilities","Expense|other_operating"},0)),-N(D119),0)</f>
        <v/>
      </c>
      <c r="T119" s="23">
        <f>IF(N119="Liability|payable",-N(D119),0)+IF(O119="Liability|payable",N(D119),0)</f>
        <v/>
      </c>
      <c r="U119" s="23">
        <f>IF(N119="Liability|accrued",-N(D119),0)+IF(O119="Liability|accrued",N(D119),0)</f>
        <v/>
      </c>
      <c r="V119" s="23">
        <f>IF(AND(N(D119)&lt;&gt;0,N119=""),1,0)+IF(AND(N(D119)&lt;&gt;0,O119=""),1,0)</f>
        <v/>
      </c>
    </row>
    <row r="120">
      <c r="A120" s="19" t="n"/>
      <c r="B120" s="14" t="n"/>
      <c r="C120" s="14" t="n"/>
      <c r="D120" s="20" t="n"/>
      <c r="E120" s="14" t="n"/>
      <c r="F120" s="14" t="n"/>
      <c r="G120" s="14" t="n"/>
      <c r="H120" s="14" t="n"/>
      <c r="I120" s="14" t="n"/>
      <c r="J120" s="16">
        <f>IF(F120="",INDEX('Chart of Accounts'!$A$5:$A$3000,MATCH("bank",'Chart of Accounts'!$F$5:$F$3000,0)),F120&amp;"")</f>
        <v/>
      </c>
      <c r="K120" s="16">
        <f>IF(G120&lt;&gt;"",G120&amp;"",IF(LEFT(C120,7)="Capital",INDEX('Chart of Accounts'!$A$5:$A$3000,MATCH("capital",'Chart of Accounts'!$F$5:$F$3000,0)),INDEX('Chart of Accounts'!$A$5:$A$3000,MATCH("drawings",'Chart of Accounts'!$F$5:$F$3000,0))))</f>
        <v/>
      </c>
      <c r="L120" s="16">
        <f>IF(LEFT(C120,7)="Capital",J120,K120)</f>
        <v/>
      </c>
      <c r="M120" s="16">
        <f>IF(LEFT(C120,7)="Capital",K120,J120)</f>
        <v/>
      </c>
      <c r="N120" s="23">
        <f>IFERROR(INDEX('Chart of Accounts'!$C$5:$C$3000,MATCH(L120&amp;"",'Chart of Accounts'!$A$5:$A$3000,0))&amp;"|"&amp;INDEX('Chart of Accounts'!$D$5:$D$3000,MATCH(L120&amp;"",'Chart of Accounts'!$A$5:$A$3000,0)),"")</f>
        <v/>
      </c>
      <c r="O120" s="23">
        <f>IFERROR(INDEX('Chart of Accounts'!$C$5:$C$3000,MATCH(M120&amp;"",'Chart of Accounts'!$A$5:$A$3000,0))&amp;"|"&amp;INDEX('Chart of Accounts'!$D$5:$D$3000,MATCH(M120&amp;"",'Chart of Accounts'!$A$5:$A$3000,0)),"")</f>
        <v/>
      </c>
      <c r="P120" s="23">
        <f>IF(LEFT(N120,8)="Revenue|",-N(D120),0)+IF(LEFT(O120,8)="Revenue|",N(D120),0)</f>
        <v/>
      </c>
      <c r="Q120" s="23">
        <f>IF(LEFT(N120,5)="COGS|",N(D120),0)+IF(LEFT(O120,5)="COGS|",-N(D120),0)</f>
        <v/>
      </c>
      <c r="R120" s="23">
        <f>IF(LEFT(N120,8)="Expense|",N(D120),0)+IF(LEFT(O120,8)="Expense|",-N(D120),0)</f>
        <v/>
      </c>
      <c r="S120" s="23">
        <f>IF(ISNUMBER(MATCH(N120,{"Expense|employee","Expense|general_admin","Expense|marketing","Expense|utilities","Expense|other_operating"},0)),N(D120),0)+IF(ISNUMBER(MATCH(O120,{"Expense|employee","Expense|general_admin","Expense|marketing","Expense|utilities","Expense|other_operating"},0)),-N(D120),0)</f>
        <v/>
      </c>
      <c r="T120" s="23">
        <f>IF(N120="Liability|payable",-N(D120),0)+IF(O120="Liability|payable",N(D120),0)</f>
        <v/>
      </c>
      <c r="U120" s="23">
        <f>IF(N120="Liability|accrued",-N(D120),0)+IF(O120="Liability|accrued",N(D120),0)</f>
        <v/>
      </c>
      <c r="V120" s="23">
        <f>IF(AND(N(D120)&lt;&gt;0,N120=""),1,0)+IF(AND(N(D120)&lt;&gt;0,O120=""),1,0)</f>
        <v/>
      </c>
    </row>
    <row r="121">
      <c r="A121" s="19" t="n"/>
      <c r="B121" s="14" t="n"/>
      <c r="C121" s="14" t="n"/>
      <c r="D121" s="20" t="n"/>
      <c r="E121" s="14" t="n"/>
      <c r="F121" s="14" t="n"/>
      <c r="G121" s="14" t="n"/>
      <c r="H121" s="14" t="n"/>
      <c r="I121" s="14" t="n"/>
      <c r="J121" s="16">
        <f>IF(F121="",INDEX('Chart of Accounts'!$A$5:$A$3000,MATCH("bank",'Chart of Accounts'!$F$5:$F$3000,0)),F121&amp;"")</f>
        <v/>
      </c>
      <c r="K121" s="16">
        <f>IF(G121&lt;&gt;"",G121&amp;"",IF(LEFT(C121,7)="Capital",INDEX('Chart of Accounts'!$A$5:$A$3000,MATCH("capital",'Chart of Accounts'!$F$5:$F$3000,0)),INDEX('Chart of Accounts'!$A$5:$A$3000,MATCH("drawings",'Chart of Accounts'!$F$5:$F$3000,0))))</f>
        <v/>
      </c>
      <c r="L121" s="16">
        <f>IF(LEFT(C121,7)="Capital",J121,K121)</f>
        <v/>
      </c>
      <c r="M121" s="16">
        <f>IF(LEFT(C121,7)="Capital",K121,J121)</f>
        <v/>
      </c>
      <c r="N121" s="23">
        <f>IFERROR(INDEX('Chart of Accounts'!$C$5:$C$3000,MATCH(L121&amp;"",'Chart of Accounts'!$A$5:$A$3000,0))&amp;"|"&amp;INDEX('Chart of Accounts'!$D$5:$D$3000,MATCH(L121&amp;"",'Chart of Accounts'!$A$5:$A$3000,0)),"")</f>
        <v/>
      </c>
      <c r="O121" s="23">
        <f>IFERROR(INDEX('Chart of Accounts'!$C$5:$C$3000,MATCH(M121&amp;"",'Chart of Accounts'!$A$5:$A$3000,0))&amp;"|"&amp;INDEX('Chart of Accounts'!$D$5:$D$3000,MATCH(M121&amp;"",'Chart of Accounts'!$A$5:$A$3000,0)),"")</f>
        <v/>
      </c>
      <c r="P121" s="23">
        <f>IF(LEFT(N121,8)="Revenue|",-N(D121),0)+IF(LEFT(O121,8)="Revenue|",N(D121),0)</f>
        <v/>
      </c>
      <c r="Q121" s="23">
        <f>IF(LEFT(N121,5)="COGS|",N(D121),0)+IF(LEFT(O121,5)="COGS|",-N(D121),0)</f>
        <v/>
      </c>
      <c r="R121" s="23">
        <f>IF(LEFT(N121,8)="Expense|",N(D121),0)+IF(LEFT(O121,8)="Expense|",-N(D121),0)</f>
        <v/>
      </c>
      <c r="S121" s="23">
        <f>IF(ISNUMBER(MATCH(N121,{"Expense|employee","Expense|general_admin","Expense|marketing","Expense|utilities","Expense|other_operating"},0)),N(D121),0)+IF(ISNUMBER(MATCH(O121,{"Expense|employee","Expense|general_admin","Expense|marketing","Expense|utilities","Expense|other_operating"},0)),-N(D121),0)</f>
        <v/>
      </c>
      <c r="T121" s="23">
        <f>IF(N121="Liability|payable",-N(D121),0)+IF(O121="Liability|payable",N(D121),0)</f>
        <v/>
      </c>
      <c r="U121" s="23">
        <f>IF(N121="Liability|accrued",-N(D121),0)+IF(O121="Liability|accrued",N(D121),0)</f>
        <v/>
      </c>
      <c r="V121" s="23">
        <f>IF(AND(N(D121)&lt;&gt;0,N121=""),1,0)+IF(AND(N(D121)&lt;&gt;0,O121=""),1,0)</f>
        <v/>
      </c>
    </row>
    <row r="122">
      <c r="A122" s="19" t="n"/>
      <c r="B122" s="14" t="n"/>
      <c r="C122" s="14" t="n"/>
      <c r="D122" s="20" t="n"/>
      <c r="E122" s="14" t="n"/>
      <c r="F122" s="14" t="n"/>
      <c r="G122" s="14" t="n"/>
      <c r="H122" s="14" t="n"/>
      <c r="I122" s="14" t="n"/>
      <c r="J122" s="16">
        <f>IF(F122="",INDEX('Chart of Accounts'!$A$5:$A$3000,MATCH("bank",'Chart of Accounts'!$F$5:$F$3000,0)),F122&amp;"")</f>
        <v/>
      </c>
      <c r="K122" s="16">
        <f>IF(G122&lt;&gt;"",G122&amp;"",IF(LEFT(C122,7)="Capital",INDEX('Chart of Accounts'!$A$5:$A$3000,MATCH("capital",'Chart of Accounts'!$F$5:$F$3000,0)),INDEX('Chart of Accounts'!$A$5:$A$3000,MATCH("drawings",'Chart of Accounts'!$F$5:$F$3000,0))))</f>
        <v/>
      </c>
      <c r="L122" s="16">
        <f>IF(LEFT(C122,7)="Capital",J122,K122)</f>
        <v/>
      </c>
      <c r="M122" s="16">
        <f>IF(LEFT(C122,7)="Capital",K122,J122)</f>
        <v/>
      </c>
      <c r="N122" s="23">
        <f>IFERROR(INDEX('Chart of Accounts'!$C$5:$C$3000,MATCH(L122&amp;"",'Chart of Accounts'!$A$5:$A$3000,0))&amp;"|"&amp;INDEX('Chart of Accounts'!$D$5:$D$3000,MATCH(L122&amp;"",'Chart of Accounts'!$A$5:$A$3000,0)),"")</f>
        <v/>
      </c>
      <c r="O122" s="23">
        <f>IFERROR(INDEX('Chart of Accounts'!$C$5:$C$3000,MATCH(M122&amp;"",'Chart of Accounts'!$A$5:$A$3000,0))&amp;"|"&amp;INDEX('Chart of Accounts'!$D$5:$D$3000,MATCH(M122&amp;"",'Chart of Accounts'!$A$5:$A$3000,0)),"")</f>
        <v/>
      </c>
      <c r="P122" s="23">
        <f>IF(LEFT(N122,8)="Revenue|",-N(D122),0)+IF(LEFT(O122,8)="Revenue|",N(D122),0)</f>
        <v/>
      </c>
      <c r="Q122" s="23">
        <f>IF(LEFT(N122,5)="COGS|",N(D122),0)+IF(LEFT(O122,5)="COGS|",-N(D122),0)</f>
        <v/>
      </c>
      <c r="R122" s="23">
        <f>IF(LEFT(N122,8)="Expense|",N(D122),0)+IF(LEFT(O122,8)="Expense|",-N(D122),0)</f>
        <v/>
      </c>
      <c r="S122" s="23">
        <f>IF(ISNUMBER(MATCH(N122,{"Expense|employee","Expense|general_admin","Expense|marketing","Expense|utilities","Expense|other_operating"},0)),N(D122),0)+IF(ISNUMBER(MATCH(O122,{"Expense|employee","Expense|general_admin","Expense|marketing","Expense|utilities","Expense|other_operating"},0)),-N(D122),0)</f>
        <v/>
      </c>
      <c r="T122" s="23">
        <f>IF(N122="Liability|payable",-N(D122),0)+IF(O122="Liability|payable",N(D122),0)</f>
        <v/>
      </c>
      <c r="U122" s="23">
        <f>IF(N122="Liability|accrued",-N(D122),0)+IF(O122="Liability|accrued",N(D122),0)</f>
        <v/>
      </c>
      <c r="V122" s="23">
        <f>IF(AND(N(D122)&lt;&gt;0,N122=""),1,0)+IF(AND(N(D122)&lt;&gt;0,O122=""),1,0)</f>
        <v/>
      </c>
    </row>
    <row r="123">
      <c r="A123" s="19" t="n"/>
      <c r="B123" s="14" t="n"/>
      <c r="C123" s="14" t="n"/>
      <c r="D123" s="20" t="n"/>
      <c r="E123" s="14" t="n"/>
      <c r="F123" s="14" t="n"/>
      <c r="G123" s="14" t="n"/>
      <c r="H123" s="14" t="n"/>
      <c r="I123" s="14" t="n"/>
      <c r="J123" s="16">
        <f>IF(F123="",INDEX('Chart of Accounts'!$A$5:$A$3000,MATCH("bank",'Chart of Accounts'!$F$5:$F$3000,0)),F123&amp;"")</f>
        <v/>
      </c>
      <c r="K123" s="16">
        <f>IF(G123&lt;&gt;"",G123&amp;"",IF(LEFT(C123,7)="Capital",INDEX('Chart of Accounts'!$A$5:$A$3000,MATCH("capital",'Chart of Accounts'!$F$5:$F$3000,0)),INDEX('Chart of Accounts'!$A$5:$A$3000,MATCH("drawings",'Chart of Accounts'!$F$5:$F$3000,0))))</f>
        <v/>
      </c>
      <c r="L123" s="16">
        <f>IF(LEFT(C123,7)="Capital",J123,K123)</f>
        <v/>
      </c>
      <c r="M123" s="16">
        <f>IF(LEFT(C123,7)="Capital",K123,J123)</f>
        <v/>
      </c>
      <c r="N123" s="23">
        <f>IFERROR(INDEX('Chart of Accounts'!$C$5:$C$3000,MATCH(L123&amp;"",'Chart of Accounts'!$A$5:$A$3000,0))&amp;"|"&amp;INDEX('Chart of Accounts'!$D$5:$D$3000,MATCH(L123&amp;"",'Chart of Accounts'!$A$5:$A$3000,0)),"")</f>
        <v/>
      </c>
      <c r="O123" s="23">
        <f>IFERROR(INDEX('Chart of Accounts'!$C$5:$C$3000,MATCH(M123&amp;"",'Chart of Accounts'!$A$5:$A$3000,0))&amp;"|"&amp;INDEX('Chart of Accounts'!$D$5:$D$3000,MATCH(M123&amp;"",'Chart of Accounts'!$A$5:$A$3000,0)),"")</f>
        <v/>
      </c>
      <c r="P123" s="23">
        <f>IF(LEFT(N123,8)="Revenue|",-N(D123),0)+IF(LEFT(O123,8)="Revenue|",N(D123),0)</f>
        <v/>
      </c>
      <c r="Q123" s="23">
        <f>IF(LEFT(N123,5)="COGS|",N(D123),0)+IF(LEFT(O123,5)="COGS|",-N(D123),0)</f>
        <v/>
      </c>
      <c r="R123" s="23">
        <f>IF(LEFT(N123,8)="Expense|",N(D123),0)+IF(LEFT(O123,8)="Expense|",-N(D123),0)</f>
        <v/>
      </c>
      <c r="S123" s="23">
        <f>IF(ISNUMBER(MATCH(N123,{"Expense|employee","Expense|general_admin","Expense|marketing","Expense|utilities","Expense|other_operating"},0)),N(D123),0)+IF(ISNUMBER(MATCH(O123,{"Expense|employee","Expense|general_admin","Expense|marketing","Expense|utilities","Expense|other_operating"},0)),-N(D123),0)</f>
        <v/>
      </c>
      <c r="T123" s="23">
        <f>IF(N123="Liability|payable",-N(D123),0)+IF(O123="Liability|payable",N(D123),0)</f>
        <v/>
      </c>
      <c r="U123" s="23">
        <f>IF(N123="Liability|accrued",-N(D123),0)+IF(O123="Liability|accrued",N(D123),0)</f>
        <v/>
      </c>
      <c r="V123" s="23">
        <f>IF(AND(N(D123)&lt;&gt;0,N123=""),1,0)+IF(AND(N(D123)&lt;&gt;0,O123=""),1,0)</f>
        <v/>
      </c>
    </row>
    <row r="124">
      <c r="A124" s="19" t="n"/>
      <c r="B124" s="14" t="n"/>
      <c r="C124" s="14" t="n"/>
      <c r="D124" s="20" t="n"/>
      <c r="E124" s="14" t="n"/>
      <c r="F124" s="14" t="n"/>
      <c r="G124" s="14" t="n"/>
      <c r="H124" s="14" t="n"/>
      <c r="I124" s="14" t="n"/>
      <c r="J124" s="16">
        <f>IF(F124="",INDEX('Chart of Accounts'!$A$5:$A$3000,MATCH("bank",'Chart of Accounts'!$F$5:$F$3000,0)),F124&amp;"")</f>
        <v/>
      </c>
      <c r="K124" s="16">
        <f>IF(G124&lt;&gt;"",G124&amp;"",IF(LEFT(C124,7)="Capital",INDEX('Chart of Accounts'!$A$5:$A$3000,MATCH("capital",'Chart of Accounts'!$F$5:$F$3000,0)),INDEX('Chart of Accounts'!$A$5:$A$3000,MATCH("drawings",'Chart of Accounts'!$F$5:$F$3000,0))))</f>
        <v/>
      </c>
      <c r="L124" s="16">
        <f>IF(LEFT(C124,7)="Capital",J124,K124)</f>
        <v/>
      </c>
      <c r="M124" s="16">
        <f>IF(LEFT(C124,7)="Capital",K124,J124)</f>
        <v/>
      </c>
      <c r="N124" s="23">
        <f>IFERROR(INDEX('Chart of Accounts'!$C$5:$C$3000,MATCH(L124&amp;"",'Chart of Accounts'!$A$5:$A$3000,0))&amp;"|"&amp;INDEX('Chart of Accounts'!$D$5:$D$3000,MATCH(L124&amp;"",'Chart of Accounts'!$A$5:$A$3000,0)),"")</f>
        <v/>
      </c>
      <c r="O124" s="23">
        <f>IFERROR(INDEX('Chart of Accounts'!$C$5:$C$3000,MATCH(M124&amp;"",'Chart of Accounts'!$A$5:$A$3000,0))&amp;"|"&amp;INDEX('Chart of Accounts'!$D$5:$D$3000,MATCH(M124&amp;"",'Chart of Accounts'!$A$5:$A$3000,0)),"")</f>
        <v/>
      </c>
      <c r="P124" s="23">
        <f>IF(LEFT(N124,8)="Revenue|",-N(D124),0)+IF(LEFT(O124,8)="Revenue|",N(D124),0)</f>
        <v/>
      </c>
      <c r="Q124" s="23">
        <f>IF(LEFT(N124,5)="COGS|",N(D124),0)+IF(LEFT(O124,5)="COGS|",-N(D124),0)</f>
        <v/>
      </c>
      <c r="R124" s="23">
        <f>IF(LEFT(N124,8)="Expense|",N(D124),0)+IF(LEFT(O124,8)="Expense|",-N(D124),0)</f>
        <v/>
      </c>
      <c r="S124" s="23">
        <f>IF(ISNUMBER(MATCH(N124,{"Expense|employee","Expense|general_admin","Expense|marketing","Expense|utilities","Expense|other_operating"},0)),N(D124),0)+IF(ISNUMBER(MATCH(O124,{"Expense|employee","Expense|general_admin","Expense|marketing","Expense|utilities","Expense|other_operating"},0)),-N(D124),0)</f>
        <v/>
      </c>
      <c r="T124" s="23">
        <f>IF(N124="Liability|payable",-N(D124),0)+IF(O124="Liability|payable",N(D124),0)</f>
        <v/>
      </c>
      <c r="U124" s="23">
        <f>IF(N124="Liability|accrued",-N(D124),0)+IF(O124="Liability|accrued",N(D124),0)</f>
        <v/>
      </c>
      <c r="V124" s="23">
        <f>IF(AND(N(D124)&lt;&gt;0,N124=""),1,0)+IF(AND(N(D124)&lt;&gt;0,O124=""),1,0)</f>
        <v/>
      </c>
    </row>
    <row r="125">
      <c r="A125" s="19" t="n"/>
      <c r="B125" s="14" t="n"/>
      <c r="C125" s="14" t="n"/>
      <c r="D125" s="20" t="n"/>
      <c r="E125" s="14" t="n"/>
      <c r="F125" s="14" t="n"/>
      <c r="G125" s="14" t="n"/>
      <c r="H125" s="14" t="n"/>
      <c r="I125" s="14" t="n"/>
      <c r="J125" s="16">
        <f>IF(F125="",INDEX('Chart of Accounts'!$A$5:$A$3000,MATCH("bank",'Chart of Accounts'!$F$5:$F$3000,0)),F125&amp;"")</f>
        <v/>
      </c>
      <c r="K125" s="16">
        <f>IF(G125&lt;&gt;"",G125&amp;"",IF(LEFT(C125,7)="Capital",INDEX('Chart of Accounts'!$A$5:$A$3000,MATCH("capital",'Chart of Accounts'!$F$5:$F$3000,0)),INDEX('Chart of Accounts'!$A$5:$A$3000,MATCH("drawings",'Chart of Accounts'!$F$5:$F$3000,0))))</f>
        <v/>
      </c>
      <c r="L125" s="16">
        <f>IF(LEFT(C125,7)="Capital",J125,K125)</f>
        <v/>
      </c>
      <c r="M125" s="16">
        <f>IF(LEFT(C125,7)="Capital",K125,J125)</f>
        <v/>
      </c>
      <c r="N125" s="23">
        <f>IFERROR(INDEX('Chart of Accounts'!$C$5:$C$3000,MATCH(L125&amp;"",'Chart of Accounts'!$A$5:$A$3000,0))&amp;"|"&amp;INDEX('Chart of Accounts'!$D$5:$D$3000,MATCH(L125&amp;"",'Chart of Accounts'!$A$5:$A$3000,0)),"")</f>
        <v/>
      </c>
      <c r="O125" s="23">
        <f>IFERROR(INDEX('Chart of Accounts'!$C$5:$C$3000,MATCH(M125&amp;"",'Chart of Accounts'!$A$5:$A$3000,0))&amp;"|"&amp;INDEX('Chart of Accounts'!$D$5:$D$3000,MATCH(M125&amp;"",'Chart of Accounts'!$A$5:$A$3000,0)),"")</f>
        <v/>
      </c>
      <c r="P125" s="23">
        <f>IF(LEFT(N125,8)="Revenue|",-N(D125),0)+IF(LEFT(O125,8)="Revenue|",N(D125),0)</f>
        <v/>
      </c>
      <c r="Q125" s="23">
        <f>IF(LEFT(N125,5)="COGS|",N(D125),0)+IF(LEFT(O125,5)="COGS|",-N(D125),0)</f>
        <v/>
      </c>
      <c r="R125" s="23">
        <f>IF(LEFT(N125,8)="Expense|",N(D125),0)+IF(LEFT(O125,8)="Expense|",-N(D125),0)</f>
        <v/>
      </c>
      <c r="S125" s="23">
        <f>IF(ISNUMBER(MATCH(N125,{"Expense|employee","Expense|general_admin","Expense|marketing","Expense|utilities","Expense|other_operating"},0)),N(D125),0)+IF(ISNUMBER(MATCH(O125,{"Expense|employee","Expense|general_admin","Expense|marketing","Expense|utilities","Expense|other_operating"},0)),-N(D125),0)</f>
        <v/>
      </c>
      <c r="T125" s="23">
        <f>IF(N125="Liability|payable",-N(D125),0)+IF(O125="Liability|payable",N(D125),0)</f>
        <v/>
      </c>
      <c r="U125" s="23">
        <f>IF(N125="Liability|accrued",-N(D125),0)+IF(O125="Liability|accrued",N(D125),0)</f>
        <v/>
      </c>
      <c r="V125" s="23">
        <f>IF(AND(N(D125)&lt;&gt;0,N125=""),1,0)+IF(AND(N(D125)&lt;&gt;0,O125=""),1,0)</f>
        <v/>
      </c>
    </row>
    <row r="126">
      <c r="A126" s="19" t="n"/>
      <c r="B126" s="14" t="n"/>
      <c r="C126" s="14" t="n"/>
      <c r="D126" s="20" t="n"/>
      <c r="E126" s="14" t="n"/>
      <c r="F126" s="14" t="n"/>
      <c r="G126" s="14" t="n"/>
      <c r="H126" s="14" t="n"/>
      <c r="I126" s="14" t="n"/>
      <c r="J126" s="16">
        <f>IF(F126="",INDEX('Chart of Accounts'!$A$5:$A$3000,MATCH("bank",'Chart of Accounts'!$F$5:$F$3000,0)),F126&amp;"")</f>
        <v/>
      </c>
      <c r="K126" s="16">
        <f>IF(G126&lt;&gt;"",G126&amp;"",IF(LEFT(C126,7)="Capital",INDEX('Chart of Accounts'!$A$5:$A$3000,MATCH("capital",'Chart of Accounts'!$F$5:$F$3000,0)),INDEX('Chart of Accounts'!$A$5:$A$3000,MATCH("drawings",'Chart of Accounts'!$F$5:$F$3000,0))))</f>
        <v/>
      </c>
      <c r="L126" s="16">
        <f>IF(LEFT(C126,7)="Capital",J126,K126)</f>
        <v/>
      </c>
      <c r="M126" s="16">
        <f>IF(LEFT(C126,7)="Capital",K126,J126)</f>
        <v/>
      </c>
      <c r="N126" s="23">
        <f>IFERROR(INDEX('Chart of Accounts'!$C$5:$C$3000,MATCH(L126&amp;"",'Chart of Accounts'!$A$5:$A$3000,0))&amp;"|"&amp;INDEX('Chart of Accounts'!$D$5:$D$3000,MATCH(L126&amp;"",'Chart of Accounts'!$A$5:$A$3000,0)),"")</f>
        <v/>
      </c>
      <c r="O126" s="23">
        <f>IFERROR(INDEX('Chart of Accounts'!$C$5:$C$3000,MATCH(M126&amp;"",'Chart of Accounts'!$A$5:$A$3000,0))&amp;"|"&amp;INDEX('Chart of Accounts'!$D$5:$D$3000,MATCH(M126&amp;"",'Chart of Accounts'!$A$5:$A$3000,0)),"")</f>
        <v/>
      </c>
      <c r="P126" s="23">
        <f>IF(LEFT(N126,8)="Revenue|",-N(D126),0)+IF(LEFT(O126,8)="Revenue|",N(D126),0)</f>
        <v/>
      </c>
      <c r="Q126" s="23">
        <f>IF(LEFT(N126,5)="COGS|",N(D126),0)+IF(LEFT(O126,5)="COGS|",-N(D126),0)</f>
        <v/>
      </c>
      <c r="R126" s="23">
        <f>IF(LEFT(N126,8)="Expense|",N(D126),0)+IF(LEFT(O126,8)="Expense|",-N(D126),0)</f>
        <v/>
      </c>
      <c r="S126" s="23">
        <f>IF(ISNUMBER(MATCH(N126,{"Expense|employee","Expense|general_admin","Expense|marketing","Expense|utilities","Expense|other_operating"},0)),N(D126),0)+IF(ISNUMBER(MATCH(O126,{"Expense|employee","Expense|general_admin","Expense|marketing","Expense|utilities","Expense|other_operating"},0)),-N(D126),0)</f>
        <v/>
      </c>
      <c r="T126" s="23">
        <f>IF(N126="Liability|payable",-N(D126),0)+IF(O126="Liability|payable",N(D126),0)</f>
        <v/>
      </c>
      <c r="U126" s="23">
        <f>IF(N126="Liability|accrued",-N(D126),0)+IF(O126="Liability|accrued",N(D126),0)</f>
        <v/>
      </c>
      <c r="V126" s="23">
        <f>IF(AND(N(D126)&lt;&gt;0,N126=""),1,0)+IF(AND(N(D126)&lt;&gt;0,O126=""),1,0)</f>
        <v/>
      </c>
    </row>
    <row r="127">
      <c r="A127" s="19" t="n"/>
      <c r="B127" s="14" t="n"/>
      <c r="C127" s="14" t="n"/>
      <c r="D127" s="20" t="n"/>
      <c r="E127" s="14" t="n"/>
      <c r="F127" s="14" t="n"/>
      <c r="G127" s="14" t="n"/>
      <c r="H127" s="14" t="n"/>
      <c r="I127" s="14" t="n"/>
      <c r="J127" s="16">
        <f>IF(F127="",INDEX('Chart of Accounts'!$A$5:$A$3000,MATCH("bank",'Chart of Accounts'!$F$5:$F$3000,0)),F127&amp;"")</f>
        <v/>
      </c>
      <c r="K127" s="16">
        <f>IF(G127&lt;&gt;"",G127&amp;"",IF(LEFT(C127,7)="Capital",INDEX('Chart of Accounts'!$A$5:$A$3000,MATCH("capital",'Chart of Accounts'!$F$5:$F$3000,0)),INDEX('Chart of Accounts'!$A$5:$A$3000,MATCH("drawings",'Chart of Accounts'!$F$5:$F$3000,0))))</f>
        <v/>
      </c>
      <c r="L127" s="16">
        <f>IF(LEFT(C127,7)="Capital",J127,K127)</f>
        <v/>
      </c>
      <c r="M127" s="16">
        <f>IF(LEFT(C127,7)="Capital",K127,J127)</f>
        <v/>
      </c>
      <c r="N127" s="23">
        <f>IFERROR(INDEX('Chart of Accounts'!$C$5:$C$3000,MATCH(L127&amp;"",'Chart of Accounts'!$A$5:$A$3000,0))&amp;"|"&amp;INDEX('Chart of Accounts'!$D$5:$D$3000,MATCH(L127&amp;"",'Chart of Accounts'!$A$5:$A$3000,0)),"")</f>
        <v/>
      </c>
      <c r="O127" s="23">
        <f>IFERROR(INDEX('Chart of Accounts'!$C$5:$C$3000,MATCH(M127&amp;"",'Chart of Accounts'!$A$5:$A$3000,0))&amp;"|"&amp;INDEX('Chart of Accounts'!$D$5:$D$3000,MATCH(M127&amp;"",'Chart of Accounts'!$A$5:$A$3000,0)),"")</f>
        <v/>
      </c>
      <c r="P127" s="23">
        <f>IF(LEFT(N127,8)="Revenue|",-N(D127),0)+IF(LEFT(O127,8)="Revenue|",N(D127),0)</f>
        <v/>
      </c>
      <c r="Q127" s="23">
        <f>IF(LEFT(N127,5)="COGS|",N(D127),0)+IF(LEFT(O127,5)="COGS|",-N(D127),0)</f>
        <v/>
      </c>
      <c r="R127" s="23">
        <f>IF(LEFT(N127,8)="Expense|",N(D127),0)+IF(LEFT(O127,8)="Expense|",-N(D127),0)</f>
        <v/>
      </c>
      <c r="S127" s="23">
        <f>IF(ISNUMBER(MATCH(N127,{"Expense|employee","Expense|general_admin","Expense|marketing","Expense|utilities","Expense|other_operating"},0)),N(D127),0)+IF(ISNUMBER(MATCH(O127,{"Expense|employee","Expense|general_admin","Expense|marketing","Expense|utilities","Expense|other_operating"},0)),-N(D127),0)</f>
        <v/>
      </c>
      <c r="T127" s="23">
        <f>IF(N127="Liability|payable",-N(D127),0)+IF(O127="Liability|payable",N(D127),0)</f>
        <v/>
      </c>
      <c r="U127" s="23">
        <f>IF(N127="Liability|accrued",-N(D127),0)+IF(O127="Liability|accrued",N(D127),0)</f>
        <v/>
      </c>
      <c r="V127" s="23">
        <f>IF(AND(N(D127)&lt;&gt;0,N127=""),1,0)+IF(AND(N(D127)&lt;&gt;0,O127=""),1,0)</f>
        <v/>
      </c>
    </row>
    <row r="128">
      <c r="A128" s="19" t="n"/>
      <c r="B128" s="14" t="n"/>
      <c r="C128" s="14" t="n"/>
      <c r="D128" s="20" t="n"/>
      <c r="E128" s="14" t="n"/>
      <c r="F128" s="14" t="n"/>
      <c r="G128" s="14" t="n"/>
      <c r="H128" s="14" t="n"/>
      <c r="I128" s="14" t="n"/>
      <c r="J128" s="16">
        <f>IF(F128="",INDEX('Chart of Accounts'!$A$5:$A$3000,MATCH("bank",'Chart of Accounts'!$F$5:$F$3000,0)),F128&amp;"")</f>
        <v/>
      </c>
      <c r="K128" s="16">
        <f>IF(G128&lt;&gt;"",G128&amp;"",IF(LEFT(C128,7)="Capital",INDEX('Chart of Accounts'!$A$5:$A$3000,MATCH("capital",'Chart of Accounts'!$F$5:$F$3000,0)),INDEX('Chart of Accounts'!$A$5:$A$3000,MATCH("drawings",'Chart of Accounts'!$F$5:$F$3000,0))))</f>
        <v/>
      </c>
      <c r="L128" s="16">
        <f>IF(LEFT(C128,7)="Capital",J128,K128)</f>
        <v/>
      </c>
      <c r="M128" s="16">
        <f>IF(LEFT(C128,7)="Capital",K128,J128)</f>
        <v/>
      </c>
      <c r="N128" s="23">
        <f>IFERROR(INDEX('Chart of Accounts'!$C$5:$C$3000,MATCH(L128&amp;"",'Chart of Accounts'!$A$5:$A$3000,0))&amp;"|"&amp;INDEX('Chart of Accounts'!$D$5:$D$3000,MATCH(L128&amp;"",'Chart of Accounts'!$A$5:$A$3000,0)),"")</f>
        <v/>
      </c>
      <c r="O128" s="23">
        <f>IFERROR(INDEX('Chart of Accounts'!$C$5:$C$3000,MATCH(M128&amp;"",'Chart of Accounts'!$A$5:$A$3000,0))&amp;"|"&amp;INDEX('Chart of Accounts'!$D$5:$D$3000,MATCH(M128&amp;"",'Chart of Accounts'!$A$5:$A$3000,0)),"")</f>
        <v/>
      </c>
      <c r="P128" s="23">
        <f>IF(LEFT(N128,8)="Revenue|",-N(D128),0)+IF(LEFT(O128,8)="Revenue|",N(D128),0)</f>
        <v/>
      </c>
      <c r="Q128" s="23">
        <f>IF(LEFT(N128,5)="COGS|",N(D128),0)+IF(LEFT(O128,5)="COGS|",-N(D128),0)</f>
        <v/>
      </c>
      <c r="R128" s="23">
        <f>IF(LEFT(N128,8)="Expense|",N(D128),0)+IF(LEFT(O128,8)="Expense|",-N(D128),0)</f>
        <v/>
      </c>
      <c r="S128" s="23">
        <f>IF(ISNUMBER(MATCH(N128,{"Expense|employee","Expense|general_admin","Expense|marketing","Expense|utilities","Expense|other_operating"},0)),N(D128),0)+IF(ISNUMBER(MATCH(O128,{"Expense|employee","Expense|general_admin","Expense|marketing","Expense|utilities","Expense|other_operating"},0)),-N(D128),0)</f>
        <v/>
      </c>
      <c r="T128" s="23">
        <f>IF(N128="Liability|payable",-N(D128),0)+IF(O128="Liability|payable",N(D128),0)</f>
        <v/>
      </c>
      <c r="U128" s="23">
        <f>IF(N128="Liability|accrued",-N(D128),0)+IF(O128="Liability|accrued",N(D128),0)</f>
        <v/>
      </c>
      <c r="V128" s="23">
        <f>IF(AND(N(D128)&lt;&gt;0,N128=""),1,0)+IF(AND(N(D128)&lt;&gt;0,O128=""),1,0)</f>
        <v/>
      </c>
    </row>
    <row r="129">
      <c r="A129" s="19" t="n"/>
      <c r="B129" s="14" t="n"/>
      <c r="C129" s="14" t="n"/>
      <c r="D129" s="20" t="n"/>
      <c r="E129" s="14" t="n"/>
      <c r="F129" s="14" t="n"/>
      <c r="G129" s="14" t="n"/>
      <c r="H129" s="14" t="n"/>
      <c r="I129" s="14" t="n"/>
      <c r="J129" s="16">
        <f>IF(F129="",INDEX('Chart of Accounts'!$A$5:$A$3000,MATCH("bank",'Chart of Accounts'!$F$5:$F$3000,0)),F129&amp;"")</f>
        <v/>
      </c>
      <c r="K129" s="16">
        <f>IF(G129&lt;&gt;"",G129&amp;"",IF(LEFT(C129,7)="Capital",INDEX('Chart of Accounts'!$A$5:$A$3000,MATCH("capital",'Chart of Accounts'!$F$5:$F$3000,0)),INDEX('Chart of Accounts'!$A$5:$A$3000,MATCH("drawings",'Chart of Accounts'!$F$5:$F$3000,0))))</f>
        <v/>
      </c>
      <c r="L129" s="16">
        <f>IF(LEFT(C129,7)="Capital",J129,K129)</f>
        <v/>
      </c>
      <c r="M129" s="16">
        <f>IF(LEFT(C129,7)="Capital",K129,J129)</f>
        <v/>
      </c>
      <c r="N129" s="23">
        <f>IFERROR(INDEX('Chart of Accounts'!$C$5:$C$3000,MATCH(L129&amp;"",'Chart of Accounts'!$A$5:$A$3000,0))&amp;"|"&amp;INDEX('Chart of Accounts'!$D$5:$D$3000,MATCH(L129&amp;"",'Chart of Accounts'!$A$5:$A$3000,0)),"")</f>
        <v/>
      </c>
      <c r="O129" s="23">
        <f>IFERROR(INDEX('Chart of Accounts'!$C$5:$C$3000,MATCH(M129&amp;"",'Chart of Accounts'!$A$5:$A$3000,0))&amp;"|"&amp;INDEX('Chart of Accounts'!$D$5:$D$3000,MATCH(M129&amp;"",'Chart of Accounts'!$A$5:$A$3000,0)),"")</f>
        <v/>
      </c>
      <c r="P129" s="23">
        <f>IF(LEFT(N129,8)="Revenue|",-N(D129),0)+IF(LEFT(O129,8)="Revenue|",N(D129),0)</f>
        <v/>
      </c>
      <c r="Q129" s="23">
        <f>IF(LEFT(N129,5)="COGS|",N(D129),0)+IF(LEFT(O129,5)="COGS|",-N(D129),0)</f>
        <v/>
      </c>
      <c r="R129" s="23">
        <f>IF(LEFT(N129,8)="Expense|",N(D129),0)+IF(LEFT(O129,8)="Expense|",-N(D129),0)</f>
        <v/>
      </c>
      <c r="S129" s="23">
        <f>IF(ISNUMBER(MATCH(N129,{"Expense|employee","Expense|general_admin","Expense|marketing","Expense|utilities","Expense|other_operating"},0)),N(D129),0)+IF(ISNUMBER(MATCH(O129,{"Expense|employee","Expense|general_admin","Expense|marketing","Expense|utilities","Expense|other_operating"},0)),-N(D129),0)</f>
        <v/>
      </c>
      <c r="T129" s="23">
        <f>IF(N129="Liability|payable",-N(D129),0)+IF(O129="Liability|payable",N(D129),0)</f>
        <v/>
      </c>
      <c r="U129" s="23">
        <f>IF(N129="Liability|accrued",-N(D129),0)+IF(O129="Liability|accrued",N(D129),0)</f>
        <v/>
      </c>
      <c r="V129" s="23">
        <f>IF(AND(N(D129)&lt;&gt;0,N129=""),1,0)+IF(AND(N(D129)&lt;&gt;0,O129=""),1,0)</f>
        <v/>
      </c>
    </row>
    <row r="130">
      <c r="A130" s="19" t="n"/>
      <c r="B130" s="14" t="n"/>
      <c r="C130" s="14" t="n"/>
      <c r="D130" s="20" t="n"/>
      <c r="E130" s="14" t="n"/>
      <c r="F130" s="14" t="n"/>
      <c r="G130" s="14" t="n"/>
      <c r="H130" s="14" t="n"/>
      <c r="I130" s="14" t="n"/>
      <c r="J130" s="16">
        <f>IF(F130="",INDEX('Chart of Accounts'!$A$5:$A$3000,MATCH("bank",'Chart of Accounts'!$F$5:$F$3000,0)),F130&amp;"")</f>
        <v/>
      </c>
      <c r="K130" s="16">
        <f>IF(G130&lt;&gt;"",G130&amp;"",IF(LEFT(C130,7)="Capital",INDEX('Chart of Accounts'!$A$5:$A$3000,MATCH("capital",'Chart of Accounts'!$F$5:$F$3000,0)),INDEX('Chart of Accounts'!$A$5:$A$3000,MATCH("drawings",'Chart of Accounts'!$F$5:$F$3000,0))))</f>
        <v/>
      </c>
      <c r="L130" s="16">
        <f>IF(LEFT(C130,7)="Capital",J130,K130)</f>
        <v/>
      </c>
      <c r="M130" s="16">
        <f>IF(LEFT(C130,7)="Capital",K130,J130)</f>
        <v/>
      </c>
      <c r="N130" s="23">
        <f>IFERROR(INDEX('Chart of Accounts'!$C$5:$C$3000,MATCH(L130&amp;"",'Chart of Accounts'!$A$5:$A$3000,0))&amp;"|"&amp;INDEX('Chart of Accounts'!$D$5:$D$3000,MATCH(L130&amp;"",'Chart of Accounts'!$A$5:$A$3000,0)),"")</f>
        <v/>
      </c>
      <c r="O130" s="23">
        <f>IFERROR(INDEX('Chart of Accounts'!$C$5:$C$3000,MATCH(M130&amp;"",'Chart of Accounts'!$A$5:$A$3000,0))&amp;"|"&amp;INDEX('Chart of Accounts'!$D$5:$D$3000,MATCH(M130&amp;"",'Chart of Accounts'!$A$5:$A$3000,0)),"")</f>
        <v/>
      </c>
      <c r="P130" s="23">
        <f>IF(LEFT(N130,8)="Revenue|",-N(D130),0)+IF(LEFT(O130,8)="Revenue|",N(D130),0)</f>
        <v/>
      </c>
      <c r="Q130" s="23">
        <f>IF(LEFT(N130,5)="COGS|",N(D130),0)+IF(LEFT(O130,5)="COGS|",-N(D130),0)</f>
        <v/>
      </c>
      <c r="R130" s="23">
        <f>IF(LEFT(N130,8)="Expense|",N(D130),0)+IF(LEFT(O130,8)="Expense|",-N(D130),0)</f>
        <v/>
      </c>
      <c r="S130" s="23">
        <f>IF(ISNUMBER(MATCH(N130,{"Expense|employee","Expense|general_admin","Expense|marketing","Expense|utilities","Expense|other_operating"},0)),N(D130),0)+IF(ISNUMBER(MATCH(O130,{"Expense|employee","Expense|general_admin","Expense|marketing","Expense|utilities","Expense|other_operating"},0)),-N(D130),0)</f>
        <v/>
      </c>
      <c r="T130" s="23">
        <f>IF(N130="Liability|payable",-N(D130),0)+IF(O130="Liability|payable",N(D130),0)</f>
        <v/>
      </c>
      <c r="U130" s="23">
        <f>IF(N130="Liability|accrued",-N(D130),0)+IF(O130="Liability|accrued",N(D130),0)</f>
        <v/>
      </c>
      <c r="V130" s="23">
        <f>IF(AND(N(D130)&lt;&gt;0,N130=""),1,0)+IF(AND(N(D130)&lt;&gt;0,O130=""),1,0)</f>
        <v/>
      </c>
    </row>
    <row r="131">
      <c r="A131" s="19" t="n"/>
      <c r="B131" s="14" t="n"/>
      <c r="C131" s="14" t="n"/>
      <c r="D131" s="20" t="n"/>
      <c r="E131" s="14" t="n"/>
      <c r="F131" s="14" t="n"/>
      <c r="G131" s="14" t="n"/>
      <c r="H131" s="14" t="n"/>
      <c r="I131" s="14" t="n"/>
      <c r="J131" s="16">
        <f>IF(F131="",INDEX('Chart of Accounts'!$A$5:$A$3000,MATCH("bank",'Chart of Accounts'!$F$5:$F$3000,0)),F131&amp;"")</f>
        <v/>
      </c>
      <c r="K131" s="16">
        <f>IF(G131&lt;&gt;"",G131&amp;"",IF(LEFT(C131,7)="Capital",INDEX('Chart of Accounts'!$A$5:$A$3000,MATCH("capital",'Chart of Accounts'!$F$5:$F$3000,0)),INDEX('Chart of Accounts'!$A$5:$A$3000,MATCH("drawings",'Chart of Accounts'!$F$5:$F$3000,0))))</f>
        <v/>
      </c>
      <c r="L131" s="16">
        <f>IF(LEFT(C131,7)="Capital",J131,K131)</f>
        <v/>
      </c>
      <c r="M131" s="16">
        <f>IF(LEFT(C131,7)="Capital",K131,J131)</f>
        <v/>
      </c>
      <c r="N131" s="23">
        <f>IFERROR(INDEX('Chart of Accounts'!$C$5:$C$3000,MATCH(L131&amp;"",'Chart of Accounts'!$A$5:$A$3000,0))&amp;"|"&amp;INDEX('Chart of Accounts'!$D$5:$D$3000,MATCH(L131&amp;"",'Chart of Accounts'!$A$5:$A$3000,0)),"")</f>
        <v/>
      </c>
      <c r="O131" s="23">
        <f>IFERROR(INDEX('Chart of Accounts'!$C$5:$C$3000,MATCH(M131&amp;"",'Chart of Accounts'!$A$5:$A$3000,0))&amp;"|"&amp;INDEX('Chart of Accounts'!$D$5:$D$3000,MATCH(M131&amp;"",'Chart of Accounts'!$A$5:$A$3000,0)),"")</f>
        <v/>
      </c>
      <c r="P131" s="23">
        <f>IF(LEFT(N131,8)="Revenue|",-N(D131),0)+IF(LEFT(O131,8)="Revenue|",N(D131),0)</f>
        <v/>
      </c>
      <c r="Q131" s="23">
        <f>IF(LEFT(N131,5)="COGS|",N(D131),0)+IF(LEFT(O131,5)="COGS|",-N(D131),0)</f>
        <v/>
      </c>
      <c r="R131" s="23">
        <f>IF(LEFT(N131,8)="Expense|",N(D131),0)+IF(LEFT(O131,8)="Expense|",-N(D131),0)</f>
        <v/>
      </c>
      <c r="S131" s="23">
        <f>IF(ISNUMBER(MATCH(N131,{"Expense|employee","Expense|general_admin","Expense|marketing","Expense|utilities","Expense|other_operating"},0)),N(D131),0)+IF(ISNUMBER(MATCH(O131,{"Expense|employee","Expense|general_admin","Expense|marketing","Expense|utilities","Expense|other_operating"},0)),-N(D131),0)</f>
        <v/>
      </c>
      <c r="T131" s="23">
        <f>IF(N131="Liability|payable",-N(D131),0)+IF(O131="Liability|payable",N(D131),0)</f>
        <v/>
      </c>
      <c r="U131" s="23">
        <f>IF(N131="Liability|accrued",-N(D131),0)+IF(O131="Liability|accrued",N(D131),0)</f>
        <v/>
      </c>
      <c r="V131" s="23">
        <f>IF(AND(N(D131)&lt;&gt;0,N131=""),1,0)+IF(AND(N(D131)&lt;&gt;0,O131=""),1,0)</f>
        <v/>
      </c>
    </row>
    <row r="132">
      <c r="A132" s="19" t="n"/>
      <c r="B132" s="14" t="n"/>
      <c r="C132" s="14" t="n"/>
      <c r="D132" s="20" t="n"/>
      <c r="E132" s="14" t="n"/>
      <c r="F132" s="14" t="n"/>
      <c r="G132" s="14" t="n"/>
      <c r="H132" s="14" t="n"/>
      <c r="I132" s="14" t="n"/>
      <c r="J132" s="16">
        <f>IF(F132="",INDEX('Chart of Accounts'!$A$5:$A$3000,MATCH("bank",'Chart of Accounts'!$F$5:$F$3000,0)),F132&amp;"")</f>
        <v/>
      </c>
      <c r="K132" s="16">
        <f>IF(G132&lt;&gt;"",G132&amp;"",IF(LEFT(C132,7)="Capital",INDEX('Chart of Accounts'!$A$5:$A$3000,MATCH("capital",'Chart of Accounts'!$F$5:$F$3000,0)),INDEX('Chart of Accounts'!$A$5:$A$3000,MATCH("drawings",'Chart of Accounts'!$F$5:$F$3000,0))))</f>
        <v/>
      </c>
      <c r="L132" s="16">
        <f>IF(LEFT(C132,7)="Capital",J132,K132)</f>
        <v/>
      </c>
      <c r="M132" s="16">
        <f>IF(LEFT(C132,7)="Capital",K132,J132)</f>
        <v/>
      </c>
      <c r="N132" s="23">
        <f>IFERROR(INDEX('Chart of Accounts'!$C$5:$C$3000,MATCH(L132&amp;"",'Chart of Accounts'!$A$5:$A$3000,0))&amp;"|"&amp;INDEX('Chart of Accounts'!$D$5:$D$3000,MATCH(L132&amp;"",'Chart of Accounts'!$A$5:$A$3000,0)),"")</f>
        <v/>
      </c>
      <c r="O132" s="23">
        <f>IFERROR(INDEX('Chart of Accounts'!$C$5:$C$3000,MATCH(M132&amp;"",'Chart of Accounts'!$A$5:$A$3000,0))&amp;"|"&amp;INDEX('Chart of Accounts'!$D$5:$D$3000,MATCH(M132&amp;"",'Chart of Accounts'!$A$5:$A$3000,0)),"")</f>
        <v/>
      </c>
      <c r="P132" s="23">
        <f>IF(LEFT(N132,8)="Revenue|",-N(D132),0)+IF(LEFT(O132,8)="Revenue|",N(D132),0)</f>
        <v/>
      </c>
      <c r="Q132" s="23">
        <f>IF(LEFT(N132,5)="COGS|",N(D132),0)+IF(LEFT(O132,5)="COGS|",-N(D132),0)</f>
        <v/>
      </c>
      <c r="R132" s="23">
        <f>IF(LEFT(N132,8)="Expense|",N(D132),0)+IF(LEFT(O132,8)="Expense|",-N(D132),0)</f>
        <v/>
      </c>
      <c r="S132" s="23">
        <f>IF(ISNUMBER(MATCH(N132,{"Expense|employee","Expense|general_admin","Expense|marketing","Expense|utilities","Expense|other_operating"},0)),N(D132),0)+IF(ISNUMBER(MATCH(O132,{"Expense|employee","Expense|general_admin","Expense|marketing","Expense|utilities","Expense|other_operating"},0)),-N(D132),0)</f>
        <v/>
      </c>
      <c r="T132" s="23">
        <f>IF(N132="Liability|payable",-N(D132),0)+IF(O132="Liability|payable",N(D132),0)</f>
        <v/>
      </c>
      <c r="U132" s="23">
        <f>IF(N132="Liability|accrued",-N(D132),0)+IF(O132="Liability|accrued",N(D132),0)</f>
        <v/>
      </c>
      <c r="V132" s="23">
        <f>IF(AND(N(D132)&lt;&gt;0,N132=""),1,0)+IF(AND(N(D132)&lt;&gt;0,O132=""),1,0)</f>
        <v/>
      </c>
    </row>
    <row r="133">
      <c r="A133" s="19" t="n"/>
      <c r="B133" s="14" t="n"/>
      <c r="C133" s="14" t="n"/>
      <c r="D133" s="20" t="n"/>
      <c r="E133" s="14" t="n"/>
      <c r="F133" s="14" t="n"/>
      <c r="G133" s="14" t="n"/>
      <c r="H133" s="14" t="n"/>
      <c r="I133" s="14" t="n"/>
      <c r="J133" s="16">
        <f>IF(F133="",INDEX('Chart of Accounts'!$A$5:$A$3000,MATCH("bank",'Chart of Accounts'!$F$5:$F$3000,0)),F133&amp;"")</f>
        <v/>
      </c>
      <c r="K133" s="16">
        <f>IF(G133&lt;&gt;"",G133&amp;"",IF(LEFT(C133,7)="Capital",INDEX('Chart of Accounts'!$A$5:$A$3000,MATCH("capital",'Chart of Accounts'!$F$5:$F$3000,0)),INDEX('Chart of Accounts'!$A$5:$A$3000,MATCH("drawings",'Chart of Accounts'!$F$5:$F$3000,0))))</f>
        <v/>
      </c>
      <c r="L133" s="16">
        <f>IF(LEFT(C133,7)="Capital",J133,K133)</f>
        <v/>
      </c>
      <c r="M133" s="16">
        <f>IF(LEFT(C133,7)="Capital",K133,J133)</f>
        <v/>
      </c>
      <c r="N133" s="23">
        <f>IFERROR(INDEX('Chart of Accounts'!$C$5:$C$3000,MATCH(L133&amp;"",'Chart of Accounts'!$A$5:$A$3000,0))&amp;"|"&amp;INDEX('Chart of Accounts'!$D$5:$D$3000,MATCH(L133&amp;"",'Chart of Accounts'!$A$5:$A$3000,0)),"")</f>
        <v/>
      </c>
      <c r="O133" s="23">
        <f>IFERROR(INDEX('Chart of Accounts'!$C$5:$C$3000,MATCH(M133&amp;"",'Chart of Accounts'!$A$5:$A$3000,0))&amp;"|"&amp;INDEX('Chart of Accounts'!$D$5:$D$3000,MATCH(M133&amp;"",'Chart of Accounts'!$A$5:$A$3000,0)),"")</f>
        <v/>
      </c>
      <c r="P133" s="23">
        <f>IF(LEFT(N133,8)="Revenue|",-N(D133),0)+IF(LEFT(O133,8)="Revenue|",N(D133),0)</f>
        <v/>
      </c>
      <c r="Q133" s="23">
        <f>IF(LEFT(N133,5)="COGS|",N(D133),0)+IF(LEFT(O133,5)="COGS|",-N(D133),0)</f>
        <v/>
      </c>
      <c r="R133" s="23">
        <f>IF(LEFT(N133,8)="Expense|",N(D133),0)+IF(LEFT(O133,8)="Expense|",-N(D133),0)</f>
        <v/>
      </c>
      <c r="S133" s="23">
        <f>IF(ISNUMBER(MATCH(N133,{"Expense|employee","Expense|general_admin","Expense|marketing","Expense|utilities","Expense|other_operating"},0)),N(D133),0)+IF(ISNUMBER(MATCH(O133,{"Expense|employee","Expense|general_admin","Expense|marketing","Expense|utilities","Expense|other_operating"},0)),-N(D133),0)</f>
        <v/>
      </c>
      <c r="T133" s="23">
        <f>IF(N133="Liability|payable",-N(D133),0)+IF(O133="Liability|payable",N(D133),0)</f>
        <v/>
      </c>
      <c r="U133" s="23">
        <f>IF(N133="Liability|accrued",-N(D133),0)+IF(O133="Liability|accrued",N(D133),0)</f>
        <v/>
      </c>
      <c r="V133" s="23">
        <f>IF(AND(N(D133)&lt;&gt;0,N133=""),1,0)+IF(AND(N(D133)&lt;&gt;0,O133=""),1,0)</f>
        <v/>
      </c>
    </row>
    <row r="134">
      <c r="A134" s="19" t="n"/>
      <c r="B134" s="14" t="n"/>
      <c r="C134" s="14" t="n"/>
      <c r="D134" s="20" t="n"/>
      <c r="E134" s="14" t="n"/>
      <c r="F134" s="14" t="n"/>
      <c r="G134" s="14" t="n"/>
      <c r="H134" s="14" t="n"/>
      <c r="I134" s="14" t="n"/>
      <c r="J134" s="16">
        <f>IF(F134="",INDEX('Chart of Accounts'!$A$5:$A$3000,MATCH("bank",'Chart of Accounts'!$F$5:$F$3000,0)),F134&amp;"")</f>
        <v/>
      </c>
      <c r="K134" s="16">
        <f>IF(G134&lt;&gt;"",G134&amp;"",IF(LEFT(C134,7)="Capital",INDEX('Chart of Accounts'!$A$5:$A$3000,MATCH("capital",'Chart of Accounts'!$F$5:$F$3000,0)),INDEX('Chart of Accounts'!$A$5:$A$3000,MATCH("drawings",'Chart of Accounts'!$F$5:$F$3000,0))))</f>
        <v/>
      </c>
      <c r="L134" s="16">
        <f>IF(LEFT(C134,7)="Capital",J134,K134)</f>
        <v/>
      </c>
      <c r="M134" s="16">
        <f>IF(LEFT(C134,7)="Capital",K134,J134)</f>
        <v/>
      </c>
      <c r="N134" s="23">
        <f>IFERROR(INDEX('Chart of Accounts'!$C$5:$C$3000,MATCH(L134&amp;"",'Chart of Accounts'!$A$5:$A$3000,0))&amp;"|"&amp;INDEX('Chart of Accounts'!$D$5:$D$3000,MATCH(L134&amp;"",'Chart of Accounts'!$A$5:$A$3000,0)),"")</f>
        <v/>
      </c>
      <c r="O134" s="23">
        <f>IFERROR(INDEX('Chart of Accounts'!$C$5:$C$3000,MATCH(M134&amp;"",'Chart of Accounts'!$A$5:$A$3000,0))&amp;"|"&amp;INDEX('Chart of Accounts'!$D$5:$D$3000,MATCH(M134&amp;"",'Chart of Accounts'!$A$5:$A$3000,0)),"")</f>
        <v/>
      </c>
      <c r="P134" s="23">
        <f>IF(LEFT(N134,8)="Revenue|",-N(D134),0)+IF(LEFT(O134,8)="Revenue|",N(D134),0)</f>
        <v/>
      </c>
      <c r="Q134" s="23">
        <f>IF(LEFT(N134,5)="COGS|",N(D134),0)+IF(LEFT(O134,5)="COGS|",-N(D134),0)</f>
        <v/>
      </c>
      <c r="R134" s="23">
        <f>IF(LEFT(N134,8)="Expense|",N(D134),0)+IF(LEFT(O134,8)="Expense|",-N(D134),0)</f>
        <v/>
      </c>
      <c r="S134" s="23">
        <f>IF(ISNUMBER(MATCH(N134,{"Expense|employee","Expense|general_admin","Expense|marketing","Expense|utilities","Expense|other_operating"},0)),N(D134),0)+IF(ISNUMBER(MATCH(O134,{"Expense|employee","Expense|general_admin","Expense|marketing","Expense|utilities","Expense|other_operating"},0)),-N(D134),0)</f>
        <v/>
      </c>
      <c r="T134" s="23">
        <f>IF(N134="Liability|payable",-N(D134),0)+IF(O134="Liability|payable",N(D134),0)</f>
        <v/>
      </c>
      <c r="U134" s="23">
        <f>IF(N134="Liability|accrued",-N(D134),0)+IF(O134="Liability|accrued",N(D134),0)</f>
        <v/>
      </c>
      <c r="V134" s="23">
        <f>IF(AND(N(D134)&lt;&gt;0,N134=""),1,0)+IF(AND(N(D134)&lt;&gt;0,O134=""),1,0)</f>
        <v/>
      </c>
    </row>
    <row r="135">
      <c r="A135" s="19" t="n"/>
      <c r="B135" s="14" t="n"/>
      <c r="C135" s="14" t="n"/>
      <c r="D135" s="20" t="n"/>
      <c r="E135" s="14" t="n"/>
      <c r="F135" s="14" t="n"/>
      <c r="G135" s="14" t="n"/>
      <c r="H135" s="14" t="n"/>
      <c r="I135" s="14" t="n"/>
      <c r="J135" s="16">
        <f>IF(F135="",INDEX('Chart of Accounts'!$A$5:$A$3000,MATCH("bank",'Chart of Accounts'!$F$5:$F$3000,0)),F135&amp;"")</f>
        <v/>
      </c>
      <c r="K135" s="16">
        <f>IF(G135&lt;&gt;"",G135&amp;"",IF(LEFT(C135,7)="Capital",INDEX('Chart of Accounts'!$A$5:$A$3000,MATCH("capital",'Chart of Accounts'!$F$5:$F$3000,0)),INDEX('Chart of Accounts'!$A$5:$A$3000,MATCH("drawings",'Chart of Accounts'!$F$5:$F$3000,0))))</f>
        <v/>
      </c>
      <c r="L135" s="16">
        <f>IF(LEFT(C135,7)="Capital",J135,K135)</f>
        <v/>
      </c>
      <c r="M135" s="16">
        <f>IF(LEFT(C135,7)="Capital",K135,J135)</f>
        <v/>
      </c>
      <c r="N135" s="23">
        <f>IFERROR(INDEX('Chart of Accounts'!$C$5:$C$3000,MATCH(L135&amp;"",'Chart of Accounts'!$A$5:$A$3000,0))&amp;"|"&amp;INDEX('Chart of Accounts'!$D$5:$D$3000,MATCH(L135&amp;"",'Chart of Accounts'!$A$5:$A$3000,0)),"")</f>
        <v/>
      </c>
      <c r="O135" s="23">
        <f>IFERROR(INDEX('Chart of Accounts'!$C$5:$C$3000,MATCH(M135&amp;"",'Chart of Accounts'!$A$5:$A$3000,0))&amp;"|"&amp;INDEX('Chart of Accounts'!$D$5:$D$3000,MATCH(M135&amp;"",'Chart of Accounts'!$A$5:$A$3000,0)),"")</f>
        <v/>
      </c>
      <c r="P135" s="23">
        <f>IF(LEFT(N135,8)="Revenue|",-N(D135),0)+IF(LEFT(O135,8)="Revenue|",N(D135),0)</f>
        <v/>
      </c>
      <c r="Q135" s="23">
        <f>IF(LEFT(N135,5)="COGS|",N(D135),0)+IF(LEFT(O135,5)="COGS|",-N(D135),0)</f>
        <v/>
      </c>
      <c r="R135" s="23">
        <f>IF(LEFT(N135,8)="Expense|",N(D135),0)+IF(LEFT(O135,8)="Expense|",-N(D135),0)</f>
        <v/>
      </c>
      <c r="S135" s="23">
        <f>IF(ISNUMBER(MATCH(N135,{"Expense|employee","Expense|general_admin","Expense|marketing","Expense|utilities","Expense|other_operating"},0)),N(D135),0)+IF(ISNUMBER(MATCH(O135,{"Expense|employee","Expense|general_admin","Expense|marketing","Expense|utilities","Expense|other_operating"},0)),-N(D135),0)</f>
        <v/>
      </c>
      <c r="T135" s="23">
        <f>IF(N135="Liability|payable",-N(D135),0)+IF(O135="Liability|payable",N(D135),0)</f>
        <v/>
      </c>
      <c r="U135" s="23">
        <f>IF(N135="Liability|accrued",-N(D135),0)+IF(O135="Liability|accrued",N(D135),0)</f>
        <v/>
      </c>
      <c r="V135" s="23">
        <f>IF(AND(N(D135)&lt;&gt;0,N135=""),1,0)+IF(AND(N(D135)&lt;&gt;0,O135=""),1,0)</f>
        <v/>
      </c>
    </row>
    <row r="136">
      <c r="A136" s="19" t="n"/>
      <c r="B136" s="14" t="n"/>
      <c r="C136" s="14" t="n"/>
      <c r="D136" s="20" t="n"/>
      <c r="E136" s="14" t="n"/>
      <c r="F136" s="14" t="n"/>
      <c r="G136" s="14" t="n"/>
      <c r="H136" s="14" t="n"/>
      <c r="I136" s="14" t="n"/>
      <c r="J136" s="16">
        <f>IF(F136="",INDEX('Chart of Accounts'!$A$5:$A$3000,MATCH("bank",'Chart of Accounts'!$F$5:$F$3000,0)),F136&amp;"")</f>
        <v/>
      </c>
      <c r="K136" s="16">
        <f>IF(G136&lt;&gt;"",G136&amp;"",IF(LEFT(C136,7)="Capital",INDEX('Chart of Accounts'!$A$5:$A$3000,MATCH("capital",'Chart of Accounts'!$F$5:$F$3000,0)),INDEX('Chart of Accounts'!$A$5:$A$3000,MATCH("drawings",'Chart of Accounts'!$F$5:$F$3000,0))))</f>
        <v/>
      </c>
      <c r="L136" s="16">
        <f>IF(LEFT(C136,7)="Capital",J136,K136)</f>
        <v/>
      </c>
      <c r="M136" s="16">
        <f>IF(LEFT(C136,7)="Capital",K136,J136)</f>
        <v/>
      </c>
      <c r="N136" s="23">
        <f>IFERROR(INDEX('Chart of Accounts'!$C$5:$C$3000,MATCH(L136&amp;"",'Chart of Accounts'!$A$5:$A$3000,0))&amp;"|"&amp;INDEX('Chart of Accounts'!$D$5:$D$3000,MATCH(L136&amp;"",'Chart of Accounts'!$A$5:$A$3000,0)),"")</f>
        <v/>
      </c>
      <c r="O136" s="23">
        <f>IFERROR(INDEX('Chart of Accounts'!$C$5:$C$3000,MATCH(M136&amp;"",'Chart of Accounts'!$A$5:$A$3000,0))&amp;"|"&amp;INDEX('Chart of Accounts'!$D$5:$D$3000,MATCH(M136&amp;"",'Chart of Accounts'!$A$5:$A$3000,0)),"")</f>
        <v/>
      </c>
      <c r="P136" s="23">
        <f>IF(LEFT(N136,8)="Revenue|",-N(D136),0)+IF(LEFT(O136,8)="Revenue|",N(D136),0)</f>
        <v/>
      </c>
      <c r="Q136" s="23">
        <f>IF(LEFT(N136,5)="COGS|",N(D136),0)+IF(LEFT(O136,5)="COGS|",-N(D136),0)</f>
        <v/>
      </c>
      <c r="R136" s="23">
        <f>IF(LEFT(N136,8)="Expense|",N(D136),0)+IF(LEFT(O136,8)="Expense|",-N(D136),0)</f>
        <v/>
      </c>
      <c r="S136" s="23">
        <f>IF(ISNUMBER(MATCH(N136,{"Expense|employee","Expense|general_admin","Expense|marketing","Expense|utilities","Expense|other_operating"},0)),N(D136),0)+IF(ISNUMBER(MATCH(O136,{"Expense|employee","Expense|general_admin","Expense|marketing","Expense|utilities","Expense|other_operating"},0)),-N(D136),0)</f>
        <v/>
      </c>
      <c r="T136" s="23">
        <f>IF(N136="Liability|payable",-N(D136),0)+IF(O136="Liability|payable",N(D136),0)</f>
        <v/>
      </c>
      <c r="U136" s="23">
        <f>IF(N136="Liability|accrued",-N(D136),0)+IF(O136="Liability|accrued",N(D136),0)</f>
        <v/>
      </c>
      <c r="V136" s="23">
        <f>IF(AND(N(D136)&lt;&gt;0,N136=""),1,0)+IF(AND(N(D136)&lt;&gt;0,O136=""),1,0)</f>
        <v/>
      </c>
    </row>
    <row r="137">
      <c r="A137" s="19" t="n"/>
      <c r="B137" s="14" t="n"/>
      <c r="C137" s="14" t="n"/>
      <c r="D137" s="20" t="n"/>
      <c r="E137" s="14" t="n"/>
      <c r="F137" s="14" t="n"/>
      <c r="G137" s="14" t="n"/>
      <c r="H137" s="14" t="n"/>
      <c r="I137" s="14" t="n"/>
      <c r="J137" s="16">
        <f>IF(F137="",INDEX('Chart of Accounts'!$A$5:$A$3000,MATCH("bank",'Chart of Accounts'!$F$5:$F$3000,0)),F137&amp;"")</f>
        <v/>
      </c>
      <c r="K137" s="16">
        <f>IF(G137&lt;&gt;"",G137&amp;"",IF(LEFT(C137,7)="Capital",INDEX('Chart of Accounts'!$A$5:$A$3000,MATCH("capital",'Chart of Accounts'!$F$5:$F$3000,0)),INDEX('Chart of Accounts'!$A$5:$A$3000,MATCH("drawings",'Chart of Accounts'!$F$5:$F$3000,0))))</f>
        <v/>
      </c>
      <c r="L137" s="16">
        <f>IF(LEFT(C137,7)="Capital",J137,K137)</f>
        <v/>
      </c>
      <c r="M137" s="16">
        <f>IF(LEFT(C137,7)="Capital",K137,J137)</f>
        <v/>
      </c>
      <c r="N137" s="23">
        <f>IFERROR(INDEX('Chart of Accounts'!$C$5:$C$3000,MATCH(L137&amp;"",'Chart of Accounts'!$A$5:$A$3000,0))&amp;"|"&amp;INDEX('Chart of Accounts'!$D$5:$D$3000,MATCH(L137&amp;"",'Chart of Accounts'!$A$5:$A$3000,0)),"")</f>
        <v/>
      </c>
      <c r="O137" s="23">
        <f>IFERROR(INDEX('Chart of Accounts'!$C$5:$C$3000,MATCH(M137&amp;"",'Chart of Accounts'!$A$5:$A$3000,0))&amp;"|"&amp;INDEX('Chart of Accounts'!$D$5:$D$3000,MATCH(M137&amp;"",'Chart of Accounts'!$A$5:$A$3000,0)),"")</f>
        <v/>
      </c>
      <c r="P137" s="23">
        <f>IF(LEFT(N137,8)="Revenue|",-N(D137),0)+IF(LEFT(O137,8)="Revenue|",N(D137),0)</f>
        <v/>
      </c>
      <c r="Q137" s="23">
        <f>IF(LEFT(N137,5)="COGS|",N(D137),0)+IF(LEFT(O137,5)="COGS|",-N(D137),0)</f>
        <v/>
      </c>
      <c r="R137" s="23">
        <f>IF(LEFT(N137,8)="Expense|",N(D137),0)+IF(LEFT(O137,8)="Expense|",-N(D137),0)</f>
        <v/>
      </c>
      <c r="S137" s="23">
        <f>IF(ISNUMBER(MATCH(N137,{"Expense|employee","Expense|general_admin","Expense|marketing","Expense|utilities","Expense|other_operating"},0)),N(D137),0)+IF(ISNUMBER(MATCH(O137,{"Expense|employee","Expense|general_admin","Expense|marketing","Expense|utilities","Expense|other_operating"},0)),-N(D137),0)</f>
        <v/>
      </c>
      <c r="T137" s="23">
        <f>IF(N137="Liability|payable",-N(D137),0)+IF(O137="Liability|payable",N(D137),0)</f>
        <v/>
      </c>
      <c r="U137" s="23">
        <f>IF(N137="Liability|accrued",-N(D137),0)+IF(O137="Liability|accrued",N(D137),0)</f>
        <v/>
      </c>
      <c r="V137" s="23">
        <f>IF(AND(N(D137)&lt;&gt;0,N137=""),1,0)+IF(AND(N(D137)&lt;&gt;0,O137=""),1,0)</f>
        <v/>
      </c>
    </row>
    <row r="138">
      <c r="A138" s="19" t="n"/>
      <c r="B138" s="14" t="n"/>
      <c r="C138" s="14" t="n"/>
      <c r="D138" s="20" t="n"/>
      <c r="E138" s="14" t="n"/>
      <c r="F138" s="14" t="n"/>
      <c r="G138" s="14" t="n"/>
      <c r="H138" s="14" t="n"/>
      <c r="I138" s="14" t="n"/>
      <c r="J138" s="16">
        <f>IF(F138="",INDEX('Chart of Accounts'!$A$5:$A$3000,MATCH("bank",'Chart of Accounts'!$F$5:$F$3000,0)),F138&amp;"")</f>
        <v/>
      </c>
      <c r="K138" s="16">
        <f>IF(G138&lt;&gt;"",G138&amp;"",IF(LEFT(C138,7)="Capital",INDEX('Chart of Accounts'!$A$5:$A$3000,MATCH("capital",'Chart of Accounts'!$F$5:$F$3000,0)),INDEX('Chart of Accounts'!$A$5:$A$3000,MATCH("drawings",'Chart of Accounts'!$F$5:$F$3000,0))))</f>
        <v/>
      </c>
      <c r="L138" s="16">
        <f>IF(LEFT(C138,7)="Capital",J138,K138)</f>
        <v/>
      </c>
      <c r="M138" s="16">
        <f>IF(LEFT(C138,7)="Capital",K138,J138)</f>
        <v/>
      </c>
      <c r="N138" s="23">
        <f>IFERROR(INDEX('Chart of Accounts'!$C$5:$C$3000,MATCH(L138&amp;"",'Chart of Accounts'!$A$5:$A$3000,0))&amp;"|"&amp;INDEX('Chart of Accounts'!$D$5:$D$3000,MATCH(L138&amp;"",'Chart of Accounts'!$A$5:$A$3000,0)),"")</f>
        <v/>
      </c>
      <c r="O138" s="23">
        <f>IFERROR(INDEX('Chart of Accounts'!$C$5:$C$3000,MATCH(M138&amp;"",'Chart of Accounts'!$A$5:$A$3000,0))&amp;"|"&amp;INDEX('Chart of Accounts'!$D$5:$D$3000,MATCH(M138&amp;"",'Chart of Accounts'!$A$5:$A$3000,0)),"")</f>
        <v/>
      </c>
      <c r="P138" s="23">
        <f>IF(LEFT(N138,8)="Revenue|",-N(D138),0)+IF(LEFT(O138,8)="Revenue|",N(D138),0)</f>
        <v/>
      </c>
      <c r="Q138" s="23">
        <f>IF(LEFT(N138,5)="COGS|",N(D138),0)+IF(LEFT(O138,5)="COGS|",-N(D138),0)</f>
        <v/>
      </c>
      <c r="R138" s="23">
        <f>IF(LEFT(N138,8)="Expense|",N(D138),0)+IF(LEFT(O138,8)="Expense|",-N(D138),0)</f>
        <v/>
      </c>
      <c r="S138" s="23">
        <f>IF(ISNUMBER(MATCH(N138,{"Expense|employee","Expense|general_admin","Expense|marketing","Expense|utilities","Expense|other_operating"},0)),N(D138),0)+IF(ISNUMBER(MATCH(O138,{"Expense|employee","Expense|general_admin","Expense|marketing","Expense|utilities","Expense|other_operating"},0)),-N(D138),0)</f>
        <v/>
      </c>
      <c r="T138" s="23">
        <f>IF(N138="Liability|payable",-N(D138),0)+IF(O138="Liability|payable",N(D138),0)</f>
        <v/>
      </c>
      <c r="U138" s="23">
        <f>IF(N138="Liability|accrued",-N(D138),0)+IF(O138="Liability|accrued",N(D138),0)</f>
        <v/>
      </c>
      <c r="V138" s="23">
        <f>IF(AND(N(D138)&lt;&gt;0,N138=""),1,0)+IF(AND(N(D138)&lt;&gt;0,O138=""),1,0)</f>
        <v/>
      </c>
    </row>
    <row r="139">
      <c r="A139" s="19" t="n"/>
      <c r="B139" s="14" t="n"/>
      <c r="C139" s="14" t="n"/>
      <c r="D139" s="20" t="n"/>
      <c r="E139" s="14" t="n"/>
      <c r="F139" s="14" t="n"/>
      <c r="G139" s="14" t="n"/>
      <c r="H139" s="14" t="n"/>
      <c r="I139" s="14" t="n"/>
      <c r="J139" s="16">
        <f>IF(F139="",INDEX('Chart of Accounts'!$A$5:$A$3000,MATCH("bank",'Chart of Accounts'!$F$5:$F$3000,0)),F139&amp;"")</f>
        <v/>
      </c>
      <c r="K139" s="16">
        <f>IF(G139&lt;&gt;"",G139&amp;"",IF(LEFT(C139,7)="Capital",INDEX('Chart of Accounts'!$A$5:$A$3000,MATCH("capital",'Chart of Accounts'!$F$5:$F$3000,0)),INDEX('Chart of Accounts'!$A$5:$A$3000,MATCH("drawings",'Chart of Accounts'!$F$5:$F$3000,0))))</f>
        <v/>
      </c>
      <c r="L139" s="16">
        <f>IF(LEFT(C139,7)="Capital",J139,K139)</f>
        <v/>
      </c>
      <c r="M139" s="16">
        <f>IF(LEFT(C139,7)="Capital",K139,J139)</f>
        <v/>
      </c>
      <c r="N139" s="23">
        <f>IFERROR(INDEX('Chart of Accounts'!$C$5:$C$3000,MATCH(L139&amp;"",'Chart of Accounts'!$A$5:$A$3000,0))&amp;"|"&amp;INDEX('Chart of Accounts'!$D$5:$D$3000,MATCH(L139&amp;"",'Chart of Accounts'!$A$5:$A$3000,0)),"")</f>
        <v/>
      </c>
      <c r="O139" s="23">
        <f>IFERROR(INDEX('Chart of Accounts'!$C$5:$C$3000,MATCH(M139&amp;"",'Chart of Accounts'!$A$5:$A$3000,0))&amp;"|"&amp;INDEX('Chart of Accounts'!$D$5:$D$3000,MATCH(M139&amp;"",'Chart of Accounts'!$A$5:$A$3000,0)),"")</f>
        <v/>
      </c>
      <c r="P139" s="23">
        <f>IF(LEFT(N139,8)="Revenue|",-N(D139),0)+IF(LEFT(O139,8)="Revenue|",N(D139),0)</f>
        <v/>
      </c>
      <c r="Q139" s="23">
        <f>IF(LEFT(N139,5)="COGS|",N(D139),0)+IF(LEFT(O139,5)="COGS|",-N(D139),0)</f>
        <v/>
      </c>
      <c r="R139" s="23">
        <f>IF(LEFT(N139,8)="Expense|",N(D139),0)+IF(LEFT(O139,8)="Expense|",-N(D139),0)</f>
        <v/>
      </c>
      <c r="S139" s="23">
        <f>IF(ISNUMBER(MATCH(N139,{"Expense|employee","Expense|general_admin","Expense|marketing","Expense|utilities","Expense|other_operating"},0)),N(D139),0)+IF(ISNUMBER(MATCH(O139,{"Expense|employee","Expense|general_admin","Expense|marketing","Expense|utilities","Expense|other_operating"},0)),-N(D139),0)</f>
        <v/>
      </c>
      <c r="T139" s="23">
        <f>IF(N139="Liability|payable",-N(D139),0)+IF(O139="Liability|payable",N(D139),0)</f>
        <v/>
      </c>
      <c r="U139" s="23">
        <f>IF(N139="Liability|accrued",-N(D139),0)+IF(O139="Liability|accrued",N(D139),0)</f>
        <v/>
      </c>
      <c r="V139" s="23">
        <f>IF(AND(N(D139)&lt;&gt;0,N139=""),1,0)+IF(AND(N(D139)&lt;&gt;0,O139=""),1,0)</f>
        <v/>
      </c>
    </row>
    <row r="140">
      <c r="A140" s="19" t="n"/>
      <c r="B140" s="14" t="n"/>
      <c r="C140" s="14" t="n"/>
      <c r="D140" s="20" t="n"/>
      <c r="E140" s="14" t="n"/>
      <c r="F140" s="14" t="n"/>
      <c r="G140" s="14" t="n"/>
      <c r="H140" s="14" t="n"/>
      <c r="I140" s="14" t="n"/>
      <c r="J140" s="16">
        <f>IF(F140="",INDEX('Chart of Accounts'!$A$5:$A$3000,MATCH("bank",'Chart of Accounts'!$F$5:$F$3000,0)),F140&amp;"")</f>
        <v/>
      </c>
      <c r="K140" s="16">
        <f>IF(G140&lt;&gt;"",G140&amp;"",IF(LEFT(C140,7)="Capital",INDEX('Chart of Accounts'!$A$5:$A$3000,MATCH("capital",'Chart of Accounts'!$F$5:$F$3000,0)),INDEX('Chart of Accounts'!$A$5:$A$3000,MATCH("drawings",'Chart of Accounts'!$F$5:$F$3000,0))))</f>
        <v/>
      </c>
      <c r="L140" s="16">
        <f>IF(LEFT(C140,7)="Capital",J140,K140)</f>
        <v/>
      </c>
      <c r="M140" s="16">
        <f>IF(LEFT(C140,7)="Capital",K140,J140)</f>
        <v/>
      </c>
      <c r="N140" s="23">
        <f>IFERROR(INDEX('Chart of Accounts'!$C$5:$C$3000,MATCH(L140&amp;"",'Chart of Accounts'!$A$5:$A$3000,0))&amp;"|"&amp;INDEX('Chart of Accounts'!$D$5:$D$3000,MATCH(L140&amp;"",'Chart of Accounts'!$A$5:$A$3000,0)),"")</f>
        <v/>
      </c>
      <c r="O140" s="23">
        <f>IFERROR(INDEX('Chart of Accounts'!$C$5:$C$3000,MATCH(M140&amp;"",'Chart of Accounts'!$A$5:$A$3000,0))&amp;"|"&amp;INDEX('Chart of Accounts'!$D$5:$D$3000,MATCH(M140&amp;"",'Chart of Accounts'!$A$5:$A$3000,0)),"")</f>
        <v/>
      </c>
      <c r="P140" s="23">
        <f>IF(LEFT(N140,8)="Revenue|",-N(D140),0)+IF(LEFT(O140,8)="Revenue|",N(D140),0)</f>
        <v/>
      </c>
      <c r="Q140" s="23">
        <f>IF(LEFT(N140,5)="COGS|",N(D140),0)+IF(LEFT(O140,5)="COGS|",-N(D140),0)</f>
        <v/>
      </c>
      <c r="R140" s="23">
        <f>IF(LEFT(N140,8)="Expense|",N(D140),0)+IF(LEFT(O140,8)="Expense|",-N(D140),0)</f>
        <v/>
      </c>
      <c r="S140" s="23">
        <f>IF(ISNUMBER(MATCH(N140,{"Expense|employee","Expense|general_admin","Expense|marketing","Expense|utilities","Expense|other_operating"},0)),N(D140),0)+IF(ISNUMBER(MATCH(O140,{"Expense|employee","Expense|general_admin","Expense|marketing","Expense|utilities","Expense|other_operating"},0)),-N(D140),0)</f>
        <v/>
      </c>
      <c r="T140" s="23">
        <f>IF(N140="Liability|payable",-N(D140),0)+IF(O140="Liability|payable",N(D140),0)</f>
        <v/>
      </c>
      <c r="U140" s="23">
        <f>IF(N140="Liability|accrued",-N(D140),0)+IF(O140="Liability|accrued",N(D140),0)</f>
        <v/>
      </c>
      <c r="V140" s="23">
        <f>IF(AND(N(D140)&lt;&gt;0,N140=""),1,0)+IF(AND(N(D140)&lt;&gt;0,O140=""),1,0)</f>
        <v/>
      </c>
    </row>
    <row r="141">
      <c r="A141" s="19" t="n"/>
      <c r="B141" s="14" t="n"/>
      <c r="C141" s="14" t="n"/>
      <c r="D141" s="20" t="n"/>
      <c r="E141" s="14" t="n"/>
      <c r="F141" s="14" t="n"/>
      <c r="G141" s="14" t="n"/>
      <c r="H141" s="14" t="n"/>
      <c r="I141" s="14" t="n"/>
      <c r="J141" s="16">
        <f>IF(F141="",INDEX('Chart of Accounts'!$A$5:$A$3000,MATCH("bank",'Chart of Accounts'!$F$5:$F$3000,0)),F141&amp;"")</f>
        <v/>
      </c>
      <c r="K141" s="16">
        <f>IF(G141&lt;&gt;"",G141&amp;"",IF(LEFT(C141,7)="Capital",INDEX('Chart of Accounts'!$A$5:$A$3000,MATCH("capital",'Chart of Accounts'!$F$5:$F$3000,0)),INDEX('Chart of Accounts'!$A$5:$A$3000,MATCH("drawings",'Chart of Accounts'!$F$5:$F$3000,0))))</f>
        <v/>
      </c>
      <c r="L141" s="16">
        <f>IF(LEFT(C141,7)="Capital",J141,K141)</f>
        <v/>
      </c>
      <c r="M141" s="16">
        <f>IF(LEFT(C141,7)="Capital",K141,J141)</f>
        <v/>
      </c>
      <c r="N141" s="23">
        <f>IFERROR(INDEX('Chart of Accounts'!$C$5:$C$3000,MATCH(L141&amp;"",'Chart of Accounts'!$A$5:$A$3000,0))&amp;"|"&amp;INDEX('Chart of Accounts'!$D$5:$D$3000,MATCH(L141&amp;"",'Chart of Accounts'!$A$5:$A$3000,0)),"")</f>
        <v/>
      </c>
      <c r="O141" s="23">
        <f>IFERROR(INDEX('Chart of Accounts'!$C$5:$C$3000,MATCH(M141&amp;"",'Chart of Accounts'!$A$5:$A$3000,0))&amp;"|"&amp;INDEX('Chart of Accounts'!$D$5:$D$3000,MATCH(M141&amp;"",'Chart of Accounts'!$A$5:$A$3000,0)),"")</f>
        <v/>
      </c>
      <c r="P141" s="23">
        <f>IF(LEFT(N141,8)="Revenue|",-N(D141),0)+IF(LEFT(O141,8)="Revenue|",N(D141),0)</f>
        <v/>
      </c>
      <c r="Q141" s="23">
        <f>IF(LEFT(N141,5)="COGS|",N(D141),0)+IF(LEFT(O141,5)="COGS|",-N(D141),0)</f>
        <v/>
      </c>
      <c r="R141" s="23">
        <f>IF(LEFT(N141,8)="Expense|",N(D141),0)+IF(LEFT(O141,8)="Expense|",-N(D141),0)</f>
        <v/>
      </c>
      <c r="S141" s="23">
        <f>IF(ISNUMBER(MATCH(N141,{"Expense|employee","Expense|general_admin","Expense|marketing","Expense|utilities","Expense|other_operating"},0)),N(D141),0)+IF(ISNUMBER(MATCH(O141,{"Expense|employee","Expense|general_admin","Expense|marketing","Expense|utilities","Expense|other_operating"},0)),-N(D141),0)</f>
        <v/>
      </c>
      <c r="T141" s="23">
        <f>IF(N141="Liability|payable",-N(D141),0)+IF(O141="Liability|payable",N(D141),0)</f>
        <v/>
      </c>
      <c r="U141" s="23">
        <f>IF(N141="Liability|accrued",-N(D141),0)+IF(O141="Liability|accrued",N(D141),0)</f>
        <v/>
      </c>
      <c r="V141" s="23">
        <f>IF(AND(N(D141)&lt;&gt;0,N141=""),1,0)+IF(AND(N(D141)&lt;&gt;0,O141=""),1,0)</f>
        <v/>
      </c>
    </row>
    <row r="142">
      <c r="A142" s="19" t="n"/>
      <c r="B142" s="14" t="n"/>
      <c r="C142" s="14" t="n"/>
      <c r="D142" s="20" t="n"/>
      <c r="E142" s="14" t="n"/>
      <c r="F142" s="14" t="n"/>
      <c r="G142" s="14" t="n"/>
      <c r="H142" s="14" t="n"/>
      <c r="I142" s="14" t="n"/>
      <c r="J142" s="16">
        <f>IF(F142="",INDEX('Chart of Accounts'!$A$5:$A$3000,MATCH("bank",'Chart of Accounts'!$F$5:$F$3000,0)),F142&amp;"")</f>
        <v/>
      </c>
      <c r="K142" s="16">
        <f>IF(G142&lt;&gt;"",G142&amp;"",IF(LEFT(C142,7)="Capital",INDEX('Chart of Accounts'!$A$5:$A$3000,MATCH("capital",'Chart of Accounts'!$F$5:$F$3000,0)),INDEX('Chart of Accounts'!$A$5:$A$3000,MATCH("drawings",'Chart of Accounts'!$F$5:$F$3000,0))))</f>
        <v/>
      </c>
      <c r="L142" s="16">
        <f>IF(LEFT(C142,7)="Capital",J142,K142)</f>
        <v/>
      </c>
      <c r="M142" s="16">
        <f>IF(LEFT(C142,7)="Capital",K142,J142)</f>
        <v/>
      </c>
      <c r="N142" s="23">
        <f>IFERROR(INDEX('Chart of Accounts'!$C$5:$C$3000,MATCH(L142&amp;"",'Chart of Accounts'!$A$5:$A$3000,0))&amp;"|"&amp;INDEX('Chart of Accounts'!$D$5:$D$3000,MATCH(L142&amp;"",'Chart of Accounts'!$A$5:$A$3000,0)),"")</f>
        <v/>
      </c>
      <c r="O142" s="23">
        <f>IFERROR(INDEX('Chart of Accounts'!$C$5:$C$3000,MATCH(M142&amp;"",'Chart of Accounts'!$A$5:$A$3000,0))&amp;"|"&amp;INDEX('Chart of Accounts'!$D$5:$D$3000,MATCH(M142&amp;"",'Chart of Accounts'!$A$5:$A$3000,0)),"")</f>
        <v/>
      </c>
      <c r="P142" s="23">
        <f>IF(LEFT(N142,8)="Revenue|",-N(D142),0)+IF(LEFT(O142,8)="Revenue|",N(D142),0)</f>
        <v/>
      </c>
      <c r="Q142" s="23">
        <f>IF(LEFT(N142,5)="COGS|",N(D142),0)+IF(LEFT(O142,5)="COGS|",-N(D142),0)</f>
        <v/>
      </c>
      <c r="R142" s="23">
        <f>IF(LEFT(N142,8)="Expense|",N(D142),0)+IF(LEFT(O142,8)="Expense|",-N(D142),0)</f>
        <v/>
      </c>
      <c r="S142" s="23">
        <f>IF(ISNUMBER(MATCH(N142,{"Expense|employee","Expense|general_admin","Expense|marketing","Expense|utilities","Expense|other_operating"},0)),N(D142),0)+IF(ISNUMBER(MATCH(O142,{"Expense|employee","Expense|general_admin","Expense|marketing","Expense|utilities","Expense|other_operating"},0)),-N(D142),0)</f>
        <v/>
      </c>
      <c r="T142" s="23">
        <f>IF(N142="Liability|payable",-N(D142),0)+IF(O142="Liability|payable",N(D142),0)</f>
        <v/>
      </c>
      <c r="U142" s="23">
        <f>IF(N142="Liability|accrued",-N(D142),0)+IF(O142="Liability|accrued",N(D142),0)</f>
        <v/>
      </c>
      <c r="V142" s="23">
        <f>IF(AND(N(D142)&lt;&gt;0,N142=""),1,0)+IF(AND(N(D142)&lt;&gt;0,O142=""),1,0)</f>
        <v/>
      </c>
    </row>
    <row r="143">
      <c r="A143" s="19" t="n"/>
      <c r="B143" s="14" t="n"/>
      <c r="C143" s="14" t="n"/>
      <c r="D143" s="20" t="n"/>
      <c r="E143" s="14" t="n"/>
      <c r="F143" s="14" t="n"/>
      <c r="G143" s="14" t="n"/>
      <c r="H143" s="14" t="n"/>
      <c r="I143" s="14" t="n"/>
      <c r="J143" s="16">
        <f>IF(F143="",INDEX('Chart of Accounts'!$A$5:$A$3000,MATCH("bank",'Chart of Accounts'!$F$5:$F$3000,0)),F143&amp;"")</f>
        <v/>
      </c>
      <c r="K143" s="16">
        <f>IF(G143&lt;&gt;"",G143&amp;"",IF(LEFT(C143,7)="Capital",INDEX('Chart of Accounts'!$A$5:$A$3000,MATCH("capital",'Chart of Accounts'!$F$5:$F$3000,0)),INDEX('Chart of Accounts'!$A$5:$A$3000,MATCH("drawings",'Chart of Accounts'!$F$5:$F$3000,0))))</f>
        <v/>
      </c>
      <c r="L143" s="16">
        <f>IF(LEFT(C143,7)="Capital",J143,K143)</f>
        <v/>
      </c>
      <c r="M143" s="16">
        <f>IF(LEFT(C143,7)="Capital",K143,J143)</f>
        <v/>
      </c>
      <c r="N143" s="23">
        <f>IFERROR(INDEX('Chart of Accounts'!$C$5:$C$3000,MATCH(L143&amp;"",'Chart of Accounts'!$A$5:$A$3000,0))&amp;"|"&amp;INDEX('Chart of Accounts'!$D$5:$D$3000,MATCH(L143&amp;"",'Chart of Accounts'!$A$5:$A$3000,0)),"")</f>
        <v/>
      </c>
      <c r="O143" s="23">
        <f>IFERROR(INDEX('Chart of Accounts'!$C$5:$C$3000,MATCH(M143&amp;"",'Chart of Accounts'!$A$5:$A$3000,0))&amp;"|"&amp;INDEX('Chart of Accounts'!$D$5:$D$3000,MATCH(M143&amp;"",'Chart of Accounts'!$A$5:$A$3000,0)),"")</f>
        <v/>
      </c>
      <c r="P143" s="23">
        <f>IF(LEFT(N143,8)="Revenue|",-N(D143),0)+IF(LEFT(O143,8)="Revenue|",N(D143),0)</f>
        <v/>
      </c>
      <c r="Q143" s="23">
        <f>IF(LEFT(N143,5)="COGS|",N(D143),0)+IF(LEFT(O143,5)="COGS|",-N(D143),0)</f>
        <v/>
      </c>
      <c r="R143" s="23">
        <f>IF(LEFT(N143,8)="Expense|",N(D143),0)+IF(LEFT(O143,8)="Expense|",-N(D143),0)</f>
        <v/>
      </c>
      <c r="S143" s="23">
        <f>IF(ISNUMBER(MATCH(N143,{"Expense|employee","Expense|general_admin","Expense|marketing","Expense|utilities","Expense|other_operating"},0)),N(D143),0)+IF(ISNUMBER(MATCH(O143,{"Expense|employee","Expense|general_admin","Expense|marketing","Expense|utilities","Expense|other_operating"},0)),-N(D143),0)</f>
        <v/>
      </c>
      <c r="T143" s="23">
        <f>IF(N143="Liability|payable",-N(D143),0)+IF(O143="Liability|payable",N(D143),0)</f>
        <v/>
      </c>
      <c r="U143" s="23">
        <f>IF(N143="Liability|accrued",-N(D143),0)+IF(O143="Liability|accrued",N(D143),0)</f>
        <v/>
      </c>
      <c r="V143" s="23">
        <f>IF(AND(N(D143)&lt;&gt;0,N143=""),1,0)+IF(AND(N(D143)&lt;&gt;0,O143=""),1,0)</f>
        <v/>
      </c>
    </row>
    <row r="144">
      <c r="A144" s="19" t="n"/>
      <c r="B144" s="14" t="n"/>
      <c r="C144" s="14" t="n"/>
      <c r="D144" s="20" t="n"/>
      <c r="E144" s="14" t="n"/>
      <c r="F144" s="14" t="n"/>
      <c r="G144" s="14" t="n"/>
      <c r="H144" s="14" t="n"/>
      <c r="I144" s="14" t="n"/>
      <c r="J144" s="16">
        <f>IF(F144="",INDEX('Chart of Accounts'!$A$5:$A$3000,MATCH("bank",'Chart of Accounts'!$F$5:$F$3000,0)),F144&amp;"")</f>
        <v/>
      </c>
      <c r="K144" s="16">
        <f>IF(G144&lt;&gt;"",G144&amp;"",IF(LEFT(C144,7)="Capital",INDEX('Chart of Accounts'!$A$5:$A$3000,MATCH("capital",'Chart of Accounts'!$F$5:$F$3000,0)),INDEX('Chart of Accounts'!$A$5:$A$3000,MATCH("drawings",'Chart of Accounts'!$F$5:$F$3000,0))))</f>
        <v/>
      </c>
      <c r="L144" s="16">
        <f>IF(LEFT(C144,7)="Capital",J144,K144)</f>
        <v/>
      </c>
      <c r="M144" s="16">
        <f>IF(LEFT(C144,7)="Capital",K144,J144)</f>
        <v/>
      </c>
      <c r="N144" s="23">
        <f>IFERROR(INDEX('Chart of Accounts'!$C$5:$C$3000,MATCH(L144&amp;"",'Chart of Accounts'!$A$5:$A$3000,0))&amp;"|"&amp;INDEX('Chart of Accounts'!$D$5:$D$3000,MATCH(L144&amp;"",'Chart of Accounts'!$A$5:$A$3000,0)),"")</f>
        <v/>
      </c>
      <c r="O144" s="23">
        <f>IFERROR(INDEX('Chart of Accounts'!$C$5:$C$3000,MATCH(M144&amp;"",'Chart of Accounts'!$A$5:$A$3000,0))&amp;"|"&amp;INDEX('Chart of Accounts'!$D$5:$D$3000,MATCH(M144&amp;"",'Chart of Accounts'!$A$5:$A$3000,0)),"")</f>
        <v/>
      </c>
      <c r="P144" s="23">
        <f>IF(LEFT(N144,8)="Revenue|",-N(D144),0)+IF(LEFT(O144,8)="Revenue|",N(D144),0)</f>
        <v/>
      </c>
      <c r="Q144" s="23">
        <f>IF(LEFT(N144,5)="COGS|",N(D144),0)+IF(LEFT(O144,5)="COGS|",-N(D144),0)</f>
        <v/>
      </c>
      <c r="R144" s="23">
        <f>IF(LEFT(N144,8)="Expense|",N(D144),0)+IF(LEFT(O144,8)="Expense|",-N(D144),0)</f>
        <v/>
      </c>
      <c r="S144" s="23">
        <f>IF(ISNUMBER(MATCH(N144,{"Expense|employee","Expense|general_admin","Expense|marketing","Expense|utilities","Expense|other_operating"},0)),N(D144),0)+IF(ISNUMBER(MATCH(O144,{"Expense|employee","Expense|general_admin","Expense|marketing","Expense|utilities","Expense|other_operating"},0)),-N(D144),0)</f>
        <v/>
      </c>
      <c r="T144" s="23">
        <f>IF(N144="Liability|payable",-N(D144),0)+IF(O144="Liability|payable",N(D144),0)</f>
        <v/>
      </c>
      <c r="U144" s="23">
        <f>IF(N144="Liability|accrued",-N(D144),0)+IF(O144="Liability|accrued",N(D144),0)</f>
        <v/>
      </c>
      <c r="V144" s="23">
        <f>IF(AND(N(D144)&lt;&gt;0,N144=""),1,0)+IF(AND(N(D144)&lt;&gt;0,O144=""),1,0)</f>
        <v/>
      </c>
    </row>
    <row r="145">
      <c r="A145" s="19" t="n"/>
      <c r="B145" s="14" t="n"/>
      <c r="C145" s="14" t="n"/>
      <c r="D145" s="20" t="n"/>
      <c r="E145" s="14" t="n"/>
      <c r="F145" s="14" t="n"/>
      <c r="G145" s="14" t="n"/>
      <c r="H145" s="14" t="n"/>
      <c r="I145" s="14" t="n"/>
      <c r="J145" s="16">
        <f>IF(F145="",INDEX('Chart of Accounts'!$A$5:$A$3000,MATCH("bank",'Chart of Accounts'!$F$5:$F$3000,0)),F145&amp;"")</f>
        <v/>
      </c>
      <c r="K145" s="16">
        <f>IF(G145&lt;&gt;"",G145&amp;"",IF(LEFT(C145,7)="Capital",INDEX('Chart of Accounts'!$A$5:$A$3000,MATCH("capital",'Chart of Accounts'!$F$5:$F$3000,0)),INDEX('Chart of Accounts'!$A$5:$A$3000,MATCH("drawings",'Chart of Accounts'!$F$5:$F$3000,0))))</f>
        <v/>
      </c>
      <c r="L145" s="16">
        <f>IF(LEFT(C145,7)="Capital",J145,K145)</f>
        <v/>
      </c>
      <c r="M145" s="16">
        <f>IF(LEFT(C145,7)="Capital",K145,J145)</f>
        <v/>
      </c>
      <c r="N145" s="23">
        <f>IFERROR(INDEX('Chart of Accounts'!$C$5:$C$3000,MATCH(L145&amp;"",'Chart of Accounts'!$A$5:$A$3000,0))&amp;"|"&amp;INDEX('Chart of Accounts'!$D$5:$D$3000,MATCH(L145&amp;"",'Chart of Accounts'!$A$5:$A$3000,0)),"")</f>
        <v/>
      </c>
      <c r="O145" s="23">
        <f>IFERROR(INDEX('Chart of Accounts'!$C$5:$C$3000,MATCH(M145&amp;"",'Chart of Accounts'!$A$5:$A$3000,0))&amp;"|"&amp;INDEX('Chart of Accounts'!$D$5:$D$3000,MATCH(M145&amp;"",'Chart of Accounts'!$A$5:$A$3000,0)),"")</f>
        <v/>
      </c>
      <c r="P145" s="23">
        <f>IF(LEFT(N145,8)="Revenue|",-N(D145),0)+IF(LEFT(O145,8)="Revenue|",N(D145),0)</f>
        <v/>
      </c>
      <c r="Q145" s="23">
        <f>IF(LEFT(N145,5)="COGS|",N(D145),0)+IF(LEFT(O145,5)="COGS|",-N(D145),0)</f>
        <v/>
      </c>
      <c r="R145" s="23">
        <f>IF(LEFT(N145,8)="Expense|",N(D145),0)+IF(LEFT(O145,8)="Expense|",-N(D145),0)</f>
        <v/>
      </c>
      <c r="S145" s="23">
        <f>IF(ISNUMBER(MATCH(N145,{"Expense|employee","Expense|general_admin","Expense|marketing","Expense|utilities","Expense|other_operating"},0)),N(D145),0)+IF(ISNUMBER(MATCH(O145,{"Expense|employee","Expense|general_admin","Expense|marketing","Expense|utilities","Expense|other_operating"},0)),-N(D145),0)</f>
        <v/>
      </c>
      <c r="T145" s="23">
        <f>IF(N145="Liability|payable",-N(D145),0)+IF(O145="Liability|payable",N(D145),0)</f>
        <v/>
      </c>
      <c r="U145" s="23">
        <f>IF(N145="Liability|accrued",-N(D145),0)+IF(O145="Liability|accrued",N(D145),0)</f>
        <v/>
      </c>
      <c r="V145" s="23">
        <f>IF(AND(N(D145)&lt;&gt;0,N145=""),1,0)+IF(AND(N(D145)&lt;&gt;0,O145=""),1,0)</f>
        <v/>
      </c>
    </row>
    <row r="146">
      <c r="A146" s="19" t="n"/>
      <c r="B146" s="14" t="n"/>
      <c r="C146" s="14" t="n"/>
      <c r="D146" s="20" t="n"/>
      <c r="E146" s="14" t="n"/>
      <c r="F146" s="14" t="n"/>
      <c r="G146" s="14" t="n"/>
      <c r="H146" s="14" t="n"/>
      <c r="I146" s="14" t="n"/>
      <c r="J146" s="16">
        <f>IF(F146="",INDEX('Chart of Accounts'!$A$5:$A$3000,MATCH("bank",'Chart of Accounts'!$F$5:$F$3000,0)),F146&amp;"")</f>
        <v/>
      </c>
      <c r="K146" s="16">
        <f>IF(G146&lt;&gt;"",G146&amp;"",IF(LEFT(C146,7)="Capital",INDEX('Chart of Accounts'!$A$5:$A$3000,MATCH("capital",'Chart of Accounts'!$F$5:$F$3000,0)),INDEX('Chart of Accounts'!$A$5:$A$3000,MATCH("drawings",'Chart of Accounts'!$F$5:$F$3000,0))))</f>
        <v/>
      </c>
      <c r="L146" s="16">
        <f>IF(LEFT(C146,7)="Capital",J146,K146)</f>
        <v/>
      </c>
      <c r="M146" s="16">
        <f>IF(LEFT(C146,7)="Capital",K146,J146)</f>
        <v/>
      </c>
      <c r="N146" s="23">
        <f>IFERROR(INDEX('Chart of Accounts'!$C$5:$C$3000,MATCH(L146&amp;"",'Chart of Accounts'!$A$5:$A$3000,0))&amp;"|"&amp;INDEX('Chart of Accounts'!$D$5:$D$3000,MATCH(L146&amp;"",'Chart of Accounts'!$A$5:$A$3000,0)),"")</f>
        <v/>
      </c>
      <c r="O146" s="23">
        <f>IFERROR(INDEX('Chart of Accounts'!$C$5:$C$3000,MATCH(M146&amp;"",'Chart of Accounts'!$A$5:$A$3000,0))&amp;"|"&amp;INDEX('Chart of Accounts'!$D$5:$D$3000,MATCH(M146&amp;"",'Chart of Accounts'!$A$5:$A$3000,0)),"")</f>
        <v/>
      </c>
      <c r="P146" s="23">
        <f>IF(LEFT(N146,8)="Revenue|",-N(D146),0)+IF(LEFT(O146,8)="Revenue|",N(D146),0)</f>
        <v/>
      </c>
      <c r="Q146" s="23">
        <f>IF(LEFT(N146,5)="COGS|",N(D146),0)+IF(LEFT(O146,5)="COGS|",-N(D146),0)</f>
        <v/>
      </c>
      <c r="R146" s="23">
        <f>IF(LEFT(N146,8)="Expense|",N(D146),0)+IF(LEFT(O146,8)="Expense|",-N(D146),0)</f>
        <v/>
      </c>
      <c r="S146" s="23">
        <f>IF(ISNUMBER(MATCH(N146,{"Expense|employee","Expense|general_admin","Expense|marketing","Expense|utilities","Expense|other_operating"},0)),N(D146),0)+IF(ISNUMBER(MATCH(O146,{"Expense|employee","Expense|general_admin","Expense|marketing","Expense|utilities","Expense|other_operating"},0)),-N(D146),0)</f>
        <v/>
      </c>
      <c r="T146" s="23">
        <f>IF(N146="Liability|payable",-N(D146),0)+IF(O146="Liability|payable",N(D146),0)</f>
        <v/>
      </c>
      <c r="U146" s="23">
        <f>IF(N146="Liability|accrued",-N(D146),0)+IF(O146="Liability|accrued",N(D146),0)</f>
        <v/>
      </c>
      <c r="V146" s="23">
        <f>IF(AND(N(D146)&lt;&gt;0,N146=""),1,0)+IF(AND(N(D146)&lt;&gt;0,O146=""),1,0)</f>
        <v/>
      </c>
    </row>
    <row r="147">
      <c r="A147" s="19" t="n"/>
      <c r="B147" s="14" t="n"/>
      <c r="C147" s="14" t="n"/>
      <c r="D147" s="20" t="n"/>
      <c r="E147" s="14" t="n"/>
      <c r="F147" s="14" t="n"/>
      <c r="G147" s="14" t="n"/>
      <c r="H147" s="14" t="n"/>
      <c r="I147" s="14" t="n"/>
      <c r="J147" s="16">
        <f>IF(F147="",INDEX('Chart of Accounts'!$A$5:$A$3000,MATCH("bank",'Chart of Accounts'!$F$5:$F$3000,0)),F147&amp;"")</f>
        <v/>
      </c>
      <c r="K147" s="16">
        <f>IF(G147&lt;&gt;"",G147&amp;"",IF(LEFT(C147,7)="Capital",INDEX('Chart of Accounts'!$A$5:$A$3000,MATCH("capital",'Chart of Accounts'!$F$5:$F$3000,0)),INDEX('Chart of Accounts'!$A$5:$A$3000,MATCH("drawings",'Chart of Accounts'!$F$5:$F$3000,0))))</f>
        <v/>
      </c>
      <c r="L147" s="16">
        <f>IF(LEFT(C147,7)="Capital",J147,K147)</f>
        <v/>
      </c>
      <c r="M147" s="16">
        <f>IF(LEFT(C147,7)="Capital",K147,J147)</f>
        <v/>
      </c>
      <c r="N147" s="23">
        <f>IFERROR(INDEX('Chart of Accounts'!$C$5:$C$3000,MATCH(L147&amp;"",'Chart of Accounts'!$A$5:$A$3000,0))&amp;"|"&amp;INDEX('Chart of Accounts'!$D$5:$D$3000,MATCH(L147&amp;"",'Chart of Accounts'!$A$5:$A$3000,0)),"")</f>
        <v/>
      </c>
      <c r="O147" s="23">
        <f>IFERROR(INDEX('Chart of Accounts'!$C$5:$C$3000,MATCH(M147&amp;"",'Chart of Accounts'!$A$5:$A$3000,0))&amp;"|"&amp;INDEX('Chart of Accounts'!$D$5:$D$3000,MATCH(M147&amp;"",'Chart of Accounts'!$A$5:$A$3000,0)),"")</f>
        <v/>
      </c>
      <c r="P147" s="23">
        <f>IF(LEFT(N147,8)="Revenue|",-N(D147),0)+IF(LEFT(O147,8)="Revenue|",N(D147),0)</f>
        <v/>
      </c>
      <c r="Q147" s="23">
        <f>IF(LEFT(N147,5)="COGS|",N(D147),0)+IF(LEFT(O147,5)="COGS|",-N(D147),0)</f>
        <v/>
      </c>
      <c r="R147" s="23">
        <f>IF(LEFT(N147,8)="Expense|",N(D147),0)+IF(LEFT(O147,8)="Expense|",-N(D147),0)</f>
        <v/>
      </c>
      <c r="S147" s="23">
        <f>IF(ISNUMBER(MATCH(N147,{"Expense|employee","Expense|general_admin","Expense|marketing","Expense|utilities","Expense|other_operating"},0)),N(D147),0)+IF(ISNUMBER(MATCH(O147,{"Expense|employee","Expense|general_admin","Expense|marketing","Expense|utilities","Expense|other_operating"},0)),-N(D147),0)</f>
        <v/>
      </c>
      <c r="T147" s="23">
        <f>IF(N147="Liability|payable",-N(D147),0)+IF(O147="Liability|payable",N(D147),0)</f>
        <v/>
      </c>
      <c r="U147" s="23">
        <f>IF(N147="Liability|accrued",-N(D147),0)+IF(O147="Liability|accrued",N(D147),0)</f>
        <v/>
      </c>
      <c r="V147" s="23">
        <f>IF(AND(N(D147)&lt;&gt;0,N147=""),1,0)+IF(AND(N(D147)&lt;&gt;0,O147=""),1,0)</f>
        <v/>
      </c>
    </row>
    <row r="148">
      <c r="A148" s="19" t="n"/>
      <c r="B148" s="14" t="n"/>
      <c r="C148" s="14" t="n"/>
      <c r="D148" s="20" t="n"/>
      <c r="E148" s="14" t="n"/>
      <c r="F148" s="14" t="n"/>
      <c r="G148" s="14" t="n"/>
      <c r="H148" s="14" t="n"/>
      <c r="I148" s="14" t="n"/>
      <c r="J148" s="16">
        <f>IF(F148="",INDEX('Chart of Accounts'!$A$5:$A$3000,MATCH("bank",'Chart of Accounts'!$F$5:$F$3000,0)),F148&amp;"")</f>
        <v/>
      </c>
      <c r="K148" s="16">
        <f>IF(G148&lt;&gt;"",G148&amp;"",IF(LEFT(C148,7)="Capital",INDEX('Chart of Accounts'!$A$5:$A$3000,MATCH("capital",'Chart of Accounts'!$F$5:$F$3000,0)),INDEX('Chart of Accounts'!$A$5:$A$3000,MATCH("drawings",'Chart of Accounts'!$F$5:$F$3000,0))))</f>
        <v/>
      </c>
      <c r="L148" s="16">
        <f>IF(LEFT(C148,7)="Capital",J148,K148)</f>
        <v/>
      </c>
      <c r="M148" s="16">
        <f>IF(LEFT(C148,7)="Capital",K148,J148)</f>
        <v/>
      </c>
      <c r="N148" s="23">
        <f>IFERROR(INDEX('Chart of Accounts'!$C$5:$C$3000,MATCH(L148&amp;"",'Chart of Accounts'!$A$5:$A$3000,0))&amp;"|"&amp;INDEX('Chart of Accounts'!$D$5:$D$3000,MATCH(L148&amp;"",'Chart of Accounts'!$A$5:$A$3000,0)),"")</f>
        <v/>
      </c>
      <c r="O148" s="23">
        <f>IFERROR(INDEX('Chart of Accounts'!$C$5:$C$3000,MATCH(M148&amp;"",'Chart of Accounts'!$A$5:$A$3000,0))&amp;"|"&amp;INDEX('Chart of Accounts'!$D$5:$D$3000,MATCH(M148&amp;"",'Chart of Accounts'!$A$5:$A$3000,0)),"")</f>
        <v/>
      </c>
      <c r="P148" s="23">
        <f>IF(LEFT(N148,8)="Revenue|",-N(D148),0)+IF(LEFT(O148,8)="Revenue|",N(D148),0)</f>
        <v/>
      </c>
      <c r="Q148" s="23">
        <f>IF(LEFT(N148,5)="COGS|",N(D148),0)+IF(LEFT(O148,5)="COGS|",-N(D148),0)</f>
        <v/>
      </c>
      <c r="R148" s="23">
        <f>IF(LEFT(N148,8)="Expense|",N(D148),0)+IF(LEFT(O148,8)="Expense|",-N(D148),0)</f>
        <v/>
      </c>
      <c r="S148" s="23">
        <f>IF(ISNUMBER(MATCH(N148,{"Expense|employee","Expense|general_admin","Expense|marketing","Expense|utilities","Expense|other_operating"},0)),N(D148),0)+IF(ISNUMBER(MATCH(O148,{"Expense|employee","Expense|general_admin","Expense|marketing","Expense|utilities","Expense|other_operating"},0)),-N(D148),0)</f>
        <v/>
      </c>
      <c r="T148" s="23">
        <f>IF(N148="Liability|payable",-N(D148),0)+IF(O148="Liability|payable",N(D148),0)</f>
        <v/>
      </c>
      <c r="U148" s="23">
        <f>IF(N148="Liability|accrued",-N(D148),0)+IF(O148="Liability|accrued",N(D148),0)</f>
        <v/>
      </c>
      <c r="V148" s="23">
        <f>IF(AND(N(D148)&lt;&gt;0,N148=""),1,0)+IF(AND(N(D148)&lt;&gt;0,O148=""),1,0)</f>
        <v/>
      </c>
    </row>
    <row r="149">
      <c r="A149" s="19" t="n"/>
      <c r="B149" s="14" t="n"/>
      <c r="C149" s="14" t="n"/>
      <c r="D149" s="20" t="n"/>
      <c r="E149" s="14" t="n"/>
      <c r="F149" s="14" t="n"/>
      <c r="G149" s="14" t="n"/>
      <c r="H149" s="14" t="n"/>
      <c r="I149" s="14" t="n"/>
      <c r="J149" s="16">
        <f>IF(F149="",INDEX('Chart of Accounts'!$A$5:$A$3000,MATCH("bank",'Chart of Accounts'!$F$5:$F$3000,0)),F149&amp;"")</f>
        <v/>
      </c>
      <c r="K149" s="16">
        <f>IF(G149&lt;&gt;"",G149&amp;"",IF(LEFT(C149,7)="Capital",INDEX('Chart of Accounts'!$A$5:$A$3000,MATCH("capital",'Chart of Accounts'!$F$5:$F$3000,0)),INDEX('Chart of Accounts'!$A$5:$A$3000,MATCH("drawings",'Chart of Accounts'!$F$5:$F$3000,0))))</f>
        <v/>
      </c>
      <c r="L149" s="16">
        <f>IF(LEFT(C149,7)="Capital",J149,K149)</f>
        <v/>
      </c>
      <c r="M149" s="16">
        <f>IF(LEFT(C149,7)="Capital",K149,J149)</f>
        <v/>
      </c>
      <c r="N149" s="23">
        <f>IFERROR(INDEX('Chart of Accounts'!$C$5:$C$3000,MATCH(L149&amp;"",'Chart of Accounts'!$A$5:$A$3000,0))&amp;"|"&amp;INDEX('Chart of Accounts'!$D$5:$D$3000,MATCH(L149&amp;"",'Chart of Accounts'!$A$5:$A$3000,0)),"")</f>
        <v/>
      </c>
      <c r="O149" s="23">
        <f>IFERROR(INDEX('Chart of Accounts'!$C$5:$C$3000,MATCH(M149&amp;"",'Chart of Accounts'!$A$5:$A$3000,0))&amp;"|"&amp;INDEX('Chart of Accounts'!$D$5:$D$3000,MATCH(M149&amp;"",'Chart of Accounts'!$A$5:$A$3000,0)),"")</f>
        <v/>
      </c>
      <c r="P149" s="23">
        <f>IF(LEFT(N149,8)="Revenue|",-N(D149),0)+IF(LEFT(O149,8)="Revenue|",N(D149),0)</f>
        <v/>
      </c>
      <c r="Q149" s="23">
        <f>IF(LEFT(N149,5)="COGS|",N(D149),0)+IF(LEFT(O149,5)="COGS|",-N(D149),0)</f>
        <v/>
      </c>
      <c r="R149" s="23">
        <f>IF(LEFT(N149,8)="Expense|",N(D149),0)+IF(LEFT(O149,8)="Expense|",-N(D149),0)</f>
        <v/>
      </c>
      <c r="S149" s="23">
        <f>IF(ISNUMBER(MATCH(N149,{"Expense|employee","Expense|general_admin","Expense|marketing","Expense|utilities","Expense|other_operating"},0)),N(D149),0)+IF(ISNUMBER(MATCH(O149,{"Expense|employee","Expense|general_admin","Expense|marketing","Expense|utilities","Expense|other_operating"},0)),-N(D149),0)</f>
        <v/>
      </c>
      <c r="T149" s="23">
        <f>IF(N149="Liability|payable",-N(D149),0)+IF(O149="Liability|payable",N(D149),0)</f>
        <v/>
      </c>
      <c r="U149" s="23">
        <f>IF(N149="Liability|accrued",-N(D149),0)+IF(O149="Liability|accrued",N(D149),0)</f>
        <v/>
      </c>
      <c r="V149" s="23">
        <f>IF(AND(N(D149)&lt;&gt;0,N149=""),1,0)+IF(AND(N(D149)&lt;&gt;0,O149=""),1,0)</f>
        <v/>
      </c>
    </row>
    <row r="150">
      <c r="A150" s="19" t="n"/>
      <c r="B150" s="14" t="n"/>
      <c r="C150" s="14" t="n"/>
      <c r="D150" s="20" t="n"/>
      <c r="E150" s="14" t="n"/>
      <c r="F150" s="14" t="n"/>
      <c r="G150" s="14" t="n"/>
      <c r="H150" s="14" t="n"/>
      <c r="I150" s="14" t="n"/>
      <c r="J150" s="16">
        <f>IF(F150="",INDEX('Chart of Accounts'!$A$5:$A$3000,MATCH("bank",'Chart of Accounts'!$F$5:$F$3000,0)),F150&amp;"")</f>
        <v/>
      </c>
      <c r="K150" s="16">
        <f>IF(G150&lt;&gt;"",G150&amp;"",IF(LEFT(C150,7)="Capital",INDEX('Chart of Accounts'!$A$5:$A$3000,MATCH("capital",'Chart of Accounts'!$F$5:$F$3000,0)),INDEX('Chart of Accounts'!$A$5:$A$3000,MATCH("drawings",'Chart of Accounts'!$F$5:$F$3000,0))))</f>
        <v/>
      </c>
      <c r="L150" s="16">
        <f>IF(LEFT(C150,7)="Capital",J150,K150)</f>
        <v/>
      </c>
      <c r="M150" s="16">
        <f>IF(LEFT(C150,7)="Capital",K150,J150)</f>
        <v/>
      </c>
      <c r="N150" s="23">
        <f>IFERROR(INDEX('Chart of Accounts'!$C$5:$C$3000,MATCH(L150&amp;"",'Chart of Accounts'!$A$5:$A$3000,0))&amp;"|"&amp;INDEX('Chart of Accounts'!$D$5:$D$3000,MATCH(L150&amp;"",'Chart of Accounts'!$A$5:$A$3000,0)),"")</f>
        <v/>
      </c>
      <c r="O150" s="23">
        <f>IFERROR(INDEX('Chart of Accounts'!$C$5:$C$3000,MATCH(M150&amp;"",'Chart of Accounts'!$A$5:$A$3000,0))&amp;"|"&amp;INDEX('Chart of Accounts'!$D$5:$D$3000,MATCH(M150&amp;"",'Chart of Accounts'!$A$5:$A$3000,0)),"")</f>
        <v/>
      </c>
      <c r="P150" s="23">
        <f>IF(LEFT(N150,8)="Revenue|",-N(D150),0)+IF(LEFT(O150,8)="Revenue|",N(D150),0)</f>
        <v/>
      </c>
      <c r="Q150" s="23">
        <f>IF(LEFT(N150,5)="COGS|",N(D150),0)+IF(LEFT(O150,5)="COGS|",-N(D150),0)</f>
        <v/>
      </c>
      <c r="R150" s="23">
        <f>IF(LEFT(N150,8)="Expense|",N(D150),0)+IF(LEFT(O150,8)="Expense|",-N(D150),0)</f>
        <v/>
      </c>
      <c r="S150" s="23">
        <f>IF(ISNUMBER(MATCH(N150,{"Expense|employee","Expense|general_admin","Expense|marketing","Expense|utilities","Expense|other_operating"},0)),N(D150),0)+IF(ISNUMBER(MATCH(O150,{"Expense|employee","Expense|general_admin","Expense|marketing","Expense|utilities","Expense|other_operating"},0)),-N(D150),0)</f>
        <v/>
      </c>
      <c r="T150" s="23">
        <f>IF(N150="Liability|payable",-N(D150),0)+IF(O150="Liability|payable",N(D150),0)</f>
        <v/>
      </c>
      <c r="U150" s="23">
        <f>IF(N150="Liability|accrued",-N(D150),0)+IF(O150="Liability|accrued",N(D150),0)</f>
        <v/>
      </c>
      <c r="V150" s="23">
        <f>IF(AND(N(D150)&lt;&gt;0,N150=""),1,0)+IF(AND(N(D150)&lt;&gt;0,O150=""),1,0)</f>
        <v/>
      </c>
    </row>
    <row r="151">
      <c r="A151" s="19" t="n"/>
      <c r="B151" s="14" t="n"/>
      <c r="C151" s="14" t="n"/>
      <c r="D151" s="20" t="n"/>
      <c r="E151" s="14" t="n"/>
      <c r="F151" s="14" t="n"/>
      <c r="G151" s="14" t="n"/>
      <c r="H151" s="14" t="n"/>
      <c r="I151" s="14" t="n"/>
      <c r="J151" s="16">
        <f>IF(F151="",INDEX('Chart of Accounts'!$A$5:$A$3000,MATCH("bank",'Chart of Accounts'!$F$5:$F$3000,0)),F151&amp;"")</f>
        <v/>
      </c>
      <c r="K151" s="16">
        <f>IF(G151&lt;&gt;"",G151&amp;"",IF(LEFT(C151,7)="Capital",INDEX('Chart of Accounts'!$A$5:$A$3000,MATCH("capital",'Chart of Accounts'!$F$5:$F$3000,0)),INDEX('Chart of Accounts'!$A$5:$A$3000,MATCH("drawings",'Chart of Accounts'!$F$5:$F$3000,0))))</f>
        <v/>
      </c>
      <c r="L151" s="16">
        <f>IF(LEFT(C151,7)="Capital",J151,K151)</f>
        <v/>
      </c>
      <c r="M151" s="16">
        <f>IF(LEFT(C151,7)="Capital",K151,J151)</f>
        <v/>
      </c>
      <c r="N151" s="23">
        <f>IFERROR(INDEX('Chart of Accounts'!$C$5:$C$3000,MATCH(L151&amp;"",'Chart of Accounts'!$A$5:$A$3000,0))&amp;"|"&amp;INDEX('Chart of Accounts'!$D$5:$D$3000,MATCH(L151&amp;"",'Chart of Accounts'!$A$5:$A$3000,0)),"")</f>
        <v/>
      </c>
      <c r="O151" s="23">
        <f>IFERROR(INDEX('Chart of Accounts'!$C$5:$C$3000,MATCH(M151&amp;"",'Chart of Accounts'!$A$5:$A$3000,0))&amp;"|"&amp;INDEX('Chart of Accounts'!$D$5:$D$3000,MATCH(M151&amp;"",'Chart of Accounts'!$A$5:$A$3000,0)),"")</f>
        <v/>
      </c>
      <c r="P151" s="23">
        <f>IF(LEFT(N151,8)="Revenue|",-N(D151),0)+IF(LEFT(O151,8)="Revenue|",N(D151),0)</f>
        <v/>
      </c>
      <c r="Q151" s="23">
        <f>IF(LEFT(N151,5)="COGS|",N(D151),0)+IF(LEFT(O151,5)="COGS|",-N(D151),0)</f>
        <v/>
      </c>
      <c r="R151" s="23">
        <f>IF(LEFT(N151,8)="Expense|",N(D151),0)+IF(LEFT(O151,8)="Expense|",-N(D151),0)</f>
        <v/>
      </c>
      <c r="S151" s="23">
        <f>IF(ISNUMBER(MATCH(N151,{"Expense|employee","Expense|general_admin","Expense|marketing","Expense|utilities","Expense|other_operating"},0)),N(D151),0)+IF(ISNUMBER(MATCH(O151,{"Expense|employee","Expense|general_admin","Expense|marketing","Expense|utilities","Expense|other_operating"},0)),-N(D151),0)</f>
        <v/>
      </c>
      <c r="T151" s="23">
        <f>IF(N151="Liability|payable",-N(D151),0)+IF(O151="Liability|payable",N(D151),0)</f>
        <v/>
      </c>
      <c r="U151" s="23">
        <f>IF(N151="Liability|accrued",-N(D151),0)+IF(O151="Liability|accrued",N(D151),0)</f>
        <v/>
      </c>
      <c r="V151" s="23">
        <f>IF(AND(N(D151)&lt;&gt;0,N151=""),1,0)+IF(AND(N(D151)&lt;&gt;0,O151=""),1,0)</f>
        <v/>
      </c>
    </row>
    <row r="152">
      <c r="A152" s="19" t="n"/>
      <c r="B152" s="14" t="n"/>
      <c r="C152" s="14" t="n"/>
      <c r="D152" s="20" t="n"/>
      <c r="E152" s="14" t="n"/>
      <c r="F152" s="14" t="n"/>
      <c r="G152" s="14" t="n"/>
      <c r="H152" s="14" t="n"/>
      <c r="I152" s="14" t="n"/>
      <c r="J152" s="16">
        <f>IF(F152="",INDEX('Chart of Accounts'!$A$5:$A$3000,MATCH("bank",'Chart of Accounts'!$F$5:$F$3000,0)),F152&amp;"")</f>
        <v/>
      </c>
      <c r="K152" s="16">
        <f>IF(G152&lt;&gt;"",G152&amp;"",IF(LEFT(C152,7)="Capital",INDEX('Chart of Accounts'!$A$5:$A$3000,MATCH("capital",'Chart of Accounts'!$F$5:$F$3000,0)),INDEX('Chart of Accounts'!$A$5:$A$3000,MATCH("drawings",'Chart of Accounts'!$F$5:$F$3000,0))))</f>
        <v/>
      </c>
      <c r="L152" s="16">
        <f>IF(LEFT(C152,7)="Capital",J152,K152)</f>
        <v/>
      </c>
      <c r="M152" s="16">
        <f>IF(LEFT(C152,7)="Capital",K152,J152)</f>
        <v/>
      </c>
      <c r="N152" s="23">
        <f>IFERROR(INDEX('Chart of Accounts'!$C$5:$C$3000,MATCH(L152&amp;"",'Chart of Accounts'!$A$5:$A$3000,0))&amp;"|"&amp;INDEX('Chart of Accounts'!$D$5:$D$3000,MATCH(L152&amp;"",'Chart of Accounts'!$A$5:$A$3000,0)),"")</f>
        <v/>
      </c>
      <c r="O152" s="23">
        <f>IFERROR(INDEX('Chart of Accounts'!$C$5:$C$3000,MATCH(M152&amp;"",'Chart of Accounts'!$A$5:$A$3000,0))&amp;"|"&amp;INDEX('Chart of Accounts'!$D$5:$D$3000,MATCH(M152&amp;"",'Chart of Accounts'!$A$5:$A$3000,0)),"")</f>
        <v/>
      </c>
      <c r="P152" s="23">
        <f>IF(LEFT(N152,8)="Revenue|",-N(D152),0)+IF(LEFT(O152,8)="Revenue|",N(D152),0)</f>
        <v/>
      </c>
      <c r="Q152" s="23">
        <f>IF(LEFT(N152,5)="COGS|",N(D152),0)+IF(LEFT(O152,5)="COGS|",-N(D152),0)</f>
        <v/>
      </c>
      <c r="R152" s="23">
        <f>IF(LEFT(N152,8)="Expense|",N(D152),0)+IF(LEFT(O152,8)="Expense|",-N(D152),0)</f>
        <v/>
      </c>
      <c r="S152" s="23">
        <f>IF(ISNUMBER(MATCH(N152,{"Expense|employee","Expense|general_admin","Expense|marketing","Expense|utilities","Expense|other_operating"},0)),N(D152),0)+IF(ISNUMBER(MATCH(O152,{"Expense|employee","Expense|general_admin","Expense|marketing","Expense|utilities","Expense|other_operating"},0)),-N(D152),0)</f>
        <v/>
      </c>
      <c r="T152" s="23">
        <f>IF(N152="Liability|payable",-N(D152),0)+IF(O152="Liability|payable",N(D152),0)</f>
        <v/>
      </c>
      <c r="U152" s="23">
        <f>IF(N152="Liability|accrued",-N(D152),0)+IF(O152="Liability|accrued",N(D152),0)</f>
        <v/>
      </c>
      <c r="V152" s="23">
        <f>IF(AND(N(D152)&lt;&gt;0,N152=""),1,0)+IF(AND(N(D152)&lt;&gt;0,O152=""),1,0)</f>
        <v/>
      </c>
    </row>
    <row r="153">
      <c r="A153" s="19" t="n"/>
      <c r="B153" s="14" t="n"/>
      <c r="C153" s="14" t="n"/>
      <c r="D153" s="20" t="n"/>
      <c r="E153" s="14" t="n"/>
      <c r="F153" s="14" t="n"/>
      <c r="G153" s="14" t="n"/>
      <c r="H153" s="14" t="n"/>
      <c r="I153" s="14" t="n"/>
      <c r="J153" s="16">
        <f>IF(F153="",INDEX('Chart of Accounts'!$A$5:$A$3000,MATCH("bank",'Chart of Accounts'!$F$5:$F$3000,0)),F153&amp;"")</f>
        <v/>
      </c>
      <c r="K153" s="16">
        <f>IF(G153&lt;&gt;"",G153&amp;"",IF(LEFT(C153,7)="Capital",INDEX('Chart of Accounts'!$A$5:$A$3000,MATCH("capital",'Chart of Accounts'!$F$5:$F$3000,0)),INDEX('Chart of Accounts'!$A$5:$A$3000,MATCH("drawings",'Chart of Accounts'!$F$5:$F$3000,0))))</f>
        <v/>
      </c>
      <c r="L153" s="16">
        <f>IF(LEFT(C153,7)="Capital",J153,K153)</f>
        <v/>
      </c>
      <c r="M153" s="16">
        <f>IF(LEFT(C153,7)="Capital",K153,J153)</f>
        <v/>
      </c>
      <c r="N153" s="23">
        <f>IFERROR(INDEX('Chart of Accounts'!$C$5:$C$3000,MATCH(L153&amp;"",'Chart of Accounts'!$A$5:$A$3000,0))&amp;"|"&amp;INDEX('Chart of Accounts'!$D$5:$D$3000,MATCH(L153&amp;"",'Chart of Accounts'!$A$5:$A$3000,0)),"")</f>
        <v/>
      </c>
      <c r="O153" s="23">
        <f>IFERROR(INDEX('Chart of Accounts'!$C$5:$C$3000,MATCH(M153&amp;"",'Chart of Accounts'!$A$5:$A$3000,0))&amp;"|"&amp;INDEX('Chart of Accounts'!$D$5:$D$3000,MATCH(M153&amp;"",'Chart of Accounts'!$A$5:$A$3000,0)),"")</f>
        <v/>
      </c>
      <c r="P153" s="23">
        <f>IF(LEFT(N153,8)="Revenue|",-N(D153),0)+IF(LEFT(O153,8)="Revenue|",N(D153),0)</f>
        <v/>
      </c>
      <c r="Q153" s="23">
        <f>IF(LEFT(N153,5)="COGS|",N(D153),0)+IF(LEFT(O153,5)="COGS|",-N(D153),0)</f>
        <v/>
      </c>
      <c r="R153" s="23">
        <f>IF(LEFT(N153,8)="Expense|",N(D153),0)+IF(LEFT(O153,8)="Expense|",-N(D153),0)</f>
        <v/>
      </c>
      <c r="S153" s="23">
        <f>IF(ISNUMBER(MATCH(N153,{"Expense|employee","Expense|general_admin","Expense|marketing","Expense|utilities","Expense|other_operating"},0)),N(D153),0)+IF(ISNUMBER(MATCH(O153,{"Expense|employee","Expense|general_admin","Expense|marketing","Expense|utilities","Expense|other_operating"},0)),-N(D153),0)</f>
        <v/>
      </c>
      <c r="T153" s="23">
        <f>IF(N153="Liability|payable",-N(D153),0)+IF(O153="Liability|payable",N(D153),0)</f>
        <v/>
      </c>
      <c r="U153" s="23">
        <f>IF(N153="Liability|accrued",-N(D153),0)+IF(O153="Liability|accrued",N(D153),0)</f>
        <v/>
      </c>
      <c r="V153" s="23">
        <f>IF(AND(N(D153)&lt;&gt;0,N153=""),1,0)+IF(AND(N(D153)&lt;&gt;0,O153=""),1,0)</f>
        <v/>
      </c>
    </row>
    <row r="154">
      <c r="A154" s="19" t="n"/>
      <c r="B154" s="14" t="n"/>
      <c r="C154" s="14" t="n"/>
      <c r="D154" s="20" t="n"/>
      <c r="E154" s="14" t="n"/>
      <c r="F154" s="14" t="n"/>
      <c r="G154" s="14" t="n"/>
      <c r="H154" s="14" t="n"/>
      <c r="I154" s="14" t="n"/>
      <c r="J154" s="16">
        <f>IF(F154="",INDEX('Chart of Accounts'!$A$5:$A$3000,MATCH("bank",'Chart of Accounts'!$F$5:$F$3000,0)),F154&amp;"")</f>
        <v/>
      </c>
      <c r="K154" s="16">
        <f>IF(G154&lt;&gt;"",G154&amp;"",IF(LEFT(C154,7)="Capital",INDEX('Chart of Accounts'!$A$5:$A$3000,MATCH("capital",'Chart of Accounts'!$F$5:$F$3000,0)),INDEX('Chart of Accounts'!$A$5:$A$3000,MATCH("drawings",'Chart of Accounts'!$F$5:$F$3000,0))))</f>
        <v/>
      </c>
      <c r="L154" s="16">
        <f>IF(LEFT(C154,7)="Capital",J154,K154)</f>
        <v/>
      </c>
      <c r="M154" s="16">
        <f>IF(LEFT(C154,7)="Capital",K154,J154)</f>
        <v/>
      </c>
      <c r="N154" s="23">
        <f>IFERROR(INDEX('Chart of Accounts'!$C$5:$C$3000,MATCH(L154&amp;"",'Chart of Accounts'!$A$5:$A$3000,0))&amp;"|"&amp;INDEX('Chart of Accounts'!$D$5:$D$3000,MATCH(L154&amp;"",'Chart of Accounts'!$A$5:$A$3000,0)),"")</f>
        <v/>
      </c>
      <c r="O154" s="23">
        <f>IFERROR(INDEX('Chart of Accounts'!$C$5:$C$3000,MATCH(M154&amp;"",'Chart of Accounts'!$A$5:$A$3000,0))&amp;"|"&amp;INDEX('Chart of Accounts'!$D$5:$D$3000,MATCH(M154&amp;"",'Chart of Accounts'!$A$5:$A$3000,0)),"")</f>
        <v/>
      </c>
      <c r="P154" s="23">
        <f>IF(LEFT(N154,8)="Revenue|",-N(D154),0)+IF(LEFT(O154,8)="Revenue|",N(D154),0)</f>
        <v/>
      </c>
      <c r="Q154" s="23">
        <f>IF(LEFT(N154,5)="COGS|",N(D154),0)+IF(LEFT(O154,5)="COGS|",-N(D154),0)</f>
        <v/>
      </c>
      <c r="R154" s="23">
        <f>IF(LEFT(N154,8)="Expense|",N(D154),0)+IF(LEFT(O154,8)="Expense|",-N(D154),0)</f>
        <v/>
      </c>
      <c r="S154" s="23">
        <f>IF(ISNUMBER(MATCH(N154,{"Expense|employee","Expense|general_admin","Expense|marketing","Expense|utilities","Expense|other_operating"},0)),N(D154),0)+IF(ISNUMBER(MATCH(O154,{"Expense|employee","Expense|general_admin","Expense|marketing","Expense|utilities","Expense|other_operating"},0)),-N(D154),0)</f>
        <v/>
      </c>
      <c r="T154" s="23">
        <f>IF(N154="Liability|payable",-N(D154),0)+IF(O154="Liability|payable",N(D154),0)</f>
        <v/>
      </c>
      <c r="U154" s="23">
        <f>IF(N154="Liability|accrued",-N(D154),0)+IF(O154="Liability|accrued",N(D154),0)</f>
        <v/>
      </c>
      <c r="V154" s="23">
        <f>IF(AND(N(D154)&lt;&gt;0,N154=""),1,0)+IF(AND(N(D154)&lt;&gt;0,O154=""),1,0)</f>
        <v/>
      </c>
    </row>
    <row r="155">
      <c r="A155" s="19" t="n"/>
      <c r="B155" s="14" t="n"/>
      <c r="C155" s="14" t="n"/>
      <c r="D155" s="20" t="n"/>
      <c r="E155" s="14" t="n"/>
      <c r="F155" s="14" t="n"/>
      <c r="G155" s="14" t="n"/>
      <c r="H155" s="14" t="n"/>
      <c r="I155" s="14" t="n"/>
      <c r="J155" s="16">
        <f>IF(F155="",INDEX('Chart of Accounts'!$A$5:$A$3000,MATCH("bank",'Chart of Accounts'!$F$5:$F$3000,0)),F155&amp;"")</f>
        <v/>
      </c>
      <c r="K155" s="16">
        <f>IF(G155&lt;&gt;"",G155&amp;"",IF(LEFT(C155,7)="Capital",INDEX('Chart of Accounts'!$A$5:$A$3000,MATCH("capital",'Chart of Accounts'!$F$5:$F$3000,0)),INDEX('Chart of Accounts'!$A$5:$A$3000,MATCH("drawings",'Chart of Accounts'!$F$5:$F$3000,0))))</f>
        <v/>
      </c>
      <c r="L155" s="16">
        <f>IF(LEFT(C155,7)="Capital",J155,K155)</f>
        <v/>
      </c>
      <c r="M155" s="16">
        <f>IF(LEFT(C155,7)="Capital",K155,J155)</f>
        <v/>
      </c>
      <c r="N155" s="23">
        <f>IFERROR(INDEX('Chart of Accounts'!$C$5:$C$3000,MATCH(L155&amp;"",'Chart of Accounts'!$A$5:$A$3000,0))&amp;"|"&amp;INDEX('Chart of Accounts'!$D$5:$D$3000,MATCH(L155&amp;"",'Chart of Accounts'!$A$5:$A$3000,0)),"")</f>
        <v/>
      </c>
      <c r="O155" s="23">
        <f>IFERROR(INDEX('Chart of Accounts'!$C$5:$C$3000,MATCH(M155&amp;"",'Chart of Accounts'!$A$5:$A$3000,0))&amp;"|"&amp;INDEX('Chart of Accounts'!$D$5:$D$3000,MATCH(M155&amp;"",'Chart of Accounts'!$A$5:$A$3000,0)),"")</f>
        <v/>
      </c>
      <c r="P155" s="23">
        <f>IF(LEFT(N155,8)="Revenue|",-N(D155),0)+IF(LEFT(O155,8)="Revenue|",N(D155),0)</f>
        <v/>
      </c>
      <c r="Q155" s="23">
        <f>IF(LEFT(N155,5)="COGS|",N(D155),0)+IF(LEFT(O155,5)="COGS|",-N(D155),0)</f>
        <v/>
      </c>
      <c r="R155" s="23">
        <f>IF(LEFT(N155,8)="Expense|",N(D155),0)+IF(LEFT(O155,8)="Expense|",-N(D155),0)</f>
        <v/>
      </c>
      <c r="S155" s="23">
        <f>IF(ISNUMBER(MATCH(N155,{"Expense|employee","Expense|general_admin","Expense|marketing","Expense|utilities","Expense|other_operating"},0)),N(D155),0)+IF(ISNUMBER(MATCH(O155,{"Expense|employee","Expense|general_admin","Expense|marketing","Expense|utilities","Expense|other_operating"},0)),-N(D155),0)</f>
        <v/>
      </c>
      <c r="T155" s="23">
        <f>IF(N155="Liability|payable",-N(D155),0)+IF(O155="Liability|payable",N(D155),0)</f>
        <v/>
      </c>
      <c r="U155" s="23">
        <f>IF(N155="Liability|accrued",-N(D155),0)+IF(O155="Liability|accrued",N(D155),0)</f>
        <v/>
      </c>
      <c r="V155" s="23">
        <f>IF(AND(N(D155)&lt;&gt;0,N155=""),1,0)+IF(AND(N(D155)&lt;&gt;0,O155=""),1,0)</f>
        <v/>
      </c>
    </row>
    <row r="156">
      <c r="A156" s="19" t="n"/>
      <c r="B156" s="14" t="n"/>
      <c r="C156" s="14" t="n"/>
      <c r="D156" s="20" t="n"/>
      <c r="E156" s="14" t="n"/>
      <c r="F156" s="14" t="n"/>
      <c r="G156" s="14" t="n"/>
      <c r="H156" s="14" t="n"/>
      <c r="I156" s="14" t="n"/>
      <c r="J156" s="16">
        <f>IF(F156="",INDEX('Chart of Accounts'!$A$5:$A$3000,MATCH("bank",'Chart of Accounts'!$F$5:$F$3000,0)),F156&amp;"")</f>
        <v/>
      </c>
      <c r="K156" s="16">
        <f>IF(G156&lt;&gt;"",G156&amp;"",IF(LEFT(C156,7)="Capital",INDEX('Chart of Accounts'!$A$5:$A$3000,MATCH("capital",'Chart of Accounts'!$F$5:$F$3000,0)),INDEX('Chart of Accounts'!$A$5:$A$3000,MATCH("drawings",'Chart of Accounts'!$F$5:$F$3000,0))))</f>
        <v/>
      </c>
      <c r="L156" s="16">
        <f>IF(LEFT(C156,7)="Capital",J156,K156)</f>
        <v/>
      </c>
      <c r="M156" s="16">
        <f>IF(LEFT(C156,7)="Capital",K156,J156)</f>
        <v/>
      </c>
      <c r="N156" s="23">
        <f>IFERROR(INDEX('Chart of Accounts'!$C$5:$C$3000,MATCH(L156&amp;"",'Chart of Accounts'!$A$5:$A$3000,0))&amp;"|"&amp;INDEX('Chart of Accounts'!$D$5:$D$3000,MATCH(L156&amp;"",'Chart of Accounts'!$A$5:$A$3000,0)),"")</f>
        <v/>
      </c>
      <c r="O156" s="23">
        <f>IFERROR(INDEX('Chart of Accounts'!$C$5:$C$3000,MATCH(M156&amp;"",'Chart of Accounts'!$A$5:$A$3000,0))&amp;"|"&amp;INDEX('Chart of Accounts'!$D$5:$D$3000,MATCH(M156&amp;"",'Chart of Accounts'!$A$5:$A$3000,0)),"")</f>
        <v/>
      </c>
      <c r="P156" s="23">
        <f>IF(LEFT(N156,8)="Revenue|",-N(D156),0)+IF(LEFT(O156,8)="Revenue|",N(D156),0)</f>
        <v/>
      </c>
      <c r="Q156" s="23">
        <f>IF(LEFT(N156,5)="COGS|",N(D156),0)+IF(LEFT(O156,5)="COGS|",-N(D156),0)</f>
        <v/>
      </c>
      <c r="R156" s="23">
        <f>IF(LEFT(N156,8)="Expense|",N(D156),0)+IF(LEFT(O156,8)="Expense|",-N(D156),0)</f>
        <v/>
      </c>
      <c r="S156" s="23">
        <f>IF(ISNUMBER(MATCH(N156,{"Expense|employee","Expense|general_admin","Expense|marketing","Expense|utilities","Expense|other_operating"},0)),N(D156),0)+IF(ISNUMBER(MATCH(O156,{"Expense|employee","Expense|general_admin","Expense|marketing","Expense|utilities","Expense|other_operating"},0)),-N(D156),0)</f>
        <v/>
      </c>
      <c r="T156" s="23">
        <f>IF(N156="Liability|payable",-N(D156),0)+IF(O156="Liability|payable",N(D156),0)</f>
        <v/>
      </c>
      <c r="U156" s="23">
        <f>IF(N156="Liability|accrued",-N(D156),0)+IF(O156="Liability|accrued",N(D156),0)</f>
        <v/>
      </c>
      <c r="V156" s="23">
        <f>IF(AND(N(D156)&lt;&gt;0,N156=""),1,0)+IF(AND(N(D156)&lt;&gt;0,O156=""),1,0)</f>
        <v/>
      </c>
    </row>
    <row r="157">
      <c r="A157" s="19" t="n"/>
      <c r="B157" s="14" t="n"/>
      <c r="C157" s="14" t="n"/>
      <c r="D157" s="20" t="n"/>
      <c r="E157" s="14" t="n"/>
      <c r="F157" s="14" t="n"/>
      <c r="G157" s="14" t="n"/>
      <c r="H157" s="14" t="n"/>
      <c r="I157" s="14" t="n"/>
      <c r="J157" s="16">
        <f>IF(F157="",INDEX('Chart of Accounts'!$A$5:$A$3000,MATCH("bank",'Chart of Accounts'!$F$5:$F$3000,0)),F157&amp;"")</f>
        <v/>
      </c>
      <c r="K157" s="16">
        <f>IF(G157&lt;&gt;"",G157&amp;"",IF(LEFT(C157,7)="Capital",INDEX('Chart of Accounts'!$A$5:$A$3000,MATCH("capital",'Chart of Accounts'!$F$5:$F$3000,0)),INDEX('Chart of Accounts'!$A$5:$A$3000,MATCH("drawings",'Chart of Accounts'!$F$5:$F$3000,0))))</f>
        <v/>
      </c>
      <c r="L157" s="16">
        <f>IF(LEFT(C157,7)="Capital",J157,K157)</f>
        <v/>
      </c>
      <c r="M157" s="16">
        <f>IF(LEFT(C157,7)="Capital",K157,J157)</f>
        <v/>
      </c>
      <c r="N157" s="23">
        <f>IFERROR(INDEX('Chart of Accounts'!$C$5:$C$3000,MATCH(L157&amp;"",'Chart of Accounts'!$A$5:$A$3000,0))&amp;"|"&amp;INDEX('Chart of Accounts'!$D$5:$D$3000,MATCH(L157&amp;"",'Chart of Accounts'!$A$5:$A$3000,0)),"")</f>
        <v/>
      </c>
      <c r="O157" s="23">
        <f>IFERROR(INDEX('Chart of Accounts'!$C$5:$C$3000,MATCH(M157&amp;"",'Chart of Accounts'!$A$5:$A$3000,0))&amp;"|"&amp;INDEX('Chart of Accounts'!$D$5:$D$3000,MATCH(M157&amp;"",'Chart of Accounts'!$A$5:$A$3000,0)),"")</f>
        <v/>
      </c>
      <c r="P157" s="23">
        <f>IF(LEFT(N157,8)="Revenue|",-N(D157),0)+IF(LEFT(O157,8)="Revenue|",N(D157),0)</f>
        <v/>
      </c>
      <c r="Q157" s="23">
        <f>IF(LEFT(N157,5)="COGS|",N(D157),0)+IF(LEFT(O157,5)="COGS|",-N(D157),0)</f>
        <v/>
      </c>
      <c r="R157" s="23">
        <f>IF(LEFT(N157,8)="Expense|",N(D157),0)+IF(LEFT(O157,8)="Expense|",-N(D157),0)</f>
        <v/>
      </c>
      <c r="S157" s="23">
        <f>IF(ISNUMBER(MATCH(N157,{"Expense|employee","Expense|general_admin","Expense|marketing","Expense|utilities","Expense|other_operating"},0)),N(D157),0)+IF(ISNUMBER(MATCH(O157,{"Expense|employee","Expense|general_admin","Expense|marketing","Expense|utilities","Expense|other_operating"},0)),-N(D157),0)</f>
        <v/>
      </c>
      <c r="T157" s="23">
        <f>IF(N157="Liability|payable",-N(D157),0)+IF(O157="Liability|payable",N(D157),0)</f>
        <v/>
      </c>
      <c r="U157" s="23">
        <f>IF(N157="Liability|accrued",-N(D157),0)+IF(O157="Liability|accrued",N(D157),0)</f>
        <v/>
      </c>
      <c r="V157" s="23">
        <f>IF(AND(N(D157)&lt;&gt;0,N157=""),1,0)+IF(AND(N(D157)&lt;&gt;0,O157=""),1,0)</f>
        <v/>
      </c>
    </row>
    <row r="158">
      <c r="A158" s="19" t="n"/>
      <c r="B158" s="14" t="n"/>
      <c r="C158" s="14" t="n"/>
      <c r="D158" s="20" t="n"/>
      <c r="E158" s="14" t="n"/>
      <c r="F158" s="14" t="n"/>
      <c r="G158" s="14" t="n"/>
      <c r="H158" s="14" t="n"/>
      <c r="I158" s="14" t="n"/>
      <c r="J158" s="16">
        <f>IF(F158="",INDEX('Chart of Accounts'!$A$5:$A$3000,MATCH("bank",'Chart of Accounts'!$F$5:$F$3000,0)),F158&amp;"")</f>
        <v/>
      </c>
      <c r="K158" s="16">
        <f>IF(G158&lt;&gt;"",G158&amp;"",IF(LEFT(C158,7)="Capital",INDEX('Chart of Accounts'!$A$5:$A$3000,MATCH("capital",'Chart of Accounts'!$F$5:$F$3000,0)),INDEX('Chart of Accounts'!$A$5:$A$3000,MATCH("drawings",'Chart of Accounts'!$F$5:$F$3000,0))))</f>
        <v/>
      </c>
      <c r="L158" s="16">
        <f>IF(LEFT(C158,7)="Capital",J158,K158)</f>
        <v/>
      </c>
      <c r="M158" s="16">
        <f>IF(LEFT(C158,7)="Capital",K158,J158)</f>
        <v/>
      </c>
      <c r="N158" s="23">
        <f>IFERROR(INDEX('Chart of Accounts'!$C$5:$C$3000,MATCH(L158&amp;"",'Chart of Accounts'!$A$5:$A$3000,0))&amp;"|"&amp;INDEX('Chart of Accounts'!$D$5:$D$3000,MATCH(L158&amp;"",'Chart of Accounts'!$A$5:$A$3000,0)),"")</f>
        <v/>
      </c>
      <c r="O158" s="23">
        <f>IFERROR(INDEX('Chart of Accounts'!$C$5:$C$3000,MATCH(M158&amp;"",'Chart of Accounts'!$A$5:$A$3000,0))&amp;"|"&amp;INDEX('Chart of Accounts'!$D$5:$D$3000,MATCH(M158&amp;"",'Chart of Accounts'!$A$5:$A$3000,0)),"")</f>
        <v/>
      </c>
      <c r="P158" s="23">
        <f>IF(LEFT(N158,8)="Revenue|",-N(D158),0)+IF(LEFT(O158,8)="Revenue|",N(D158),0)</f>
        <v/>
      </c>
      <c r="Q158" s="23">
        <f>IF(LEFT(N158,5)="COGS|",N(D158),0)+IF(LEFT(O158,5)="COGS|",-N(D158),0)</f>
        <v/>
      </c>
      <c r="R158" s="23">
        <f>IF(LEFT(N158,8)="Expense|",N(D158),0)+IF(LEFT(O158,8)="Expense|",-N(D158),0)</f>
        <v/>
      </c>
      <c r="S158" s="23">
        <f>IF(ISNUMBER(MATCH(N158,{"Expense|employee","Expense|general_admin","Expense|marketing","Expense|utilities","Expense|other_operating"},0)),N(D158),0)+IF(ISNUMBER(MATCH(O158,{"Expense|employee","Expense|general_admin","Expense|marketing","Expense|utilities","Expense|other_operating"},0)),-N(D158),0)</f>
        <v/>
      </c>
      <c r="T158" s="23">
        <f>IF(N158="Liability|payable",-N(D158),0)+IF(O158="Liability|payable",N(D158),0)</f>
        <v/>
      </c>
      <c r="U158" s="23">
        <f>IF(N158="Liability|accrued",-N(D158),0)+IF(O158="Liability|accrued",N(D158),0)</f>
        <v/>
      </c>
      <c r="V158" s="23">
        <f>IF(AND(N(D158)&lt;&gt;0,N158=""),1,0)+IF(AND(N(D158)&lt;&gt;0,O158=""),1,0)</f>
        <v/>
      </c>
    </row>
    <row r="159">
      <c r="A159" s="19" t="n"/>
      <c r="B159" s="14" t="n"/>
      <c r="C159" s="14" t="n"/>
      <c r="D159" s="20" t="n"/>
      <c r="E159" s="14" t="n"/>
      <c r="F159" s="14" t="n"/>
      <c r="G159" s="14" t="n"/>
      <c r="H159" s="14" t="n"/>
      <c r="I159" s="14" t="n"/>
      <c r="J159" s="16">
        <f>IF(F159="",INDEX('Chart of Accounts'!$A$5:$A$3000,MATCH("bank",'Chart of Accounts'!$F$5:$F$3000,0)),F159&amp;"")</f>
        <v/>
      </c>
      <c r="K159" s="16">
        <f>IF(G159&lt;&gt;"",G159&amp;"",IF(LEFT(C159,7)="Capital",INDEX('Chart of Accounts'!$A$5:$A$3000,MATCH("capital",'Chart of Accounts'!$F$5:$F$3000,0)),INDEX('Chart of Accounts'!$A$5:$A$3000,MATCH("drawings",'Chart of Accounts'!$F$5:$F$3000,0))))</f>
        <v/>
      </c>
      <c r="L159" s="16">
        <f>IF(LEFT(C159,7)="Capital",J159,K159)</f>
        <v/>
      </c>
      <c r="M159" s="16">
        <f>IF(LEFT(C159,7)="Capital",K159,J159)</f>
        <v/>
      </c>
      <c r="N159" s="23">
        <f>IFERROR(INDEX('Chart of Accounts'!$C$5:$C$3000,MATCH(L159&amp;"",'Chart of Accounts'!$A$5:$A$3000,0))&amp;"|"&amp;INDEX('Chart of Accounts'!$D$5:$D$3000,MATCH(L159&amp;"",'Chart of Accounts'!$A$5:$A$3000,0)),"")</f>
        <v/>
      </c>
      <c r="O159" s="23">
        <f>IFERROR(INDEX('Chart of Accounts'!$C$5:$C$3000,MATCH(M159&amp;"",'Chart of Accounts'!$A$5:$A$3000,0))&amp;"|"&amp;INDEX('Chart of Accounts'!$D$5:$D$3000,MATCH(M159&amp;"",'Chart of Accounts'!$A$5:$A$3000,0)),"")</f>
        <v/>
      </c>
      <c r="P159" s="23">
        <f>IF(LEFT(N159,8)="Revenue|",-N(D159),0)+IF(LEFT(O159,8)="Revenue|",N(D159),0)</f>
        <v/>
      </c>
      <c r="Q159" s="23">
        <f>IF(LEFT(N159,5)="COGS|",N(D159),0)+IF(LEFT(O159,5)="COGS|",-N(D159),0)</f>
        <v/>
      </c>
      <c r="R159" s="23">
        <f>IF(LEFT(N159,8)="Expense|",N(D159),0)+IF(LEFT(O159,8)="Expense|",-N(D159),0)</f>
        <v/>
      </c>
      <c r="S159" s="23">
        <f>IF(ISNUMBER(MATCH(N159,{"Expense|employee","Expense|general_admin","Expense|marketing","Expense|utilities","Expense|other_operating"},0)),N(D159),0)+IF(ISNUMBER(MATCH(O159,{"Expense|employee","Expense|general_admin","Expense|marketing","Expense|utilities","Expense|other_operating"},0)),-N(D159),0)</f>
        <v/>
      </c>
      <c r="T159" s="23">
        <f>IF(N159="Liability|payable",-N(D159),0)+IF(O159="Liability|payable",N(D159),0)</f>
        <v/>
      </c>
      <c r="U159" s="23">
        <f>IF(N159="Liability|accrued",-N(D159),0)+IF(O159="Liability|accrued",N(D159),0)</f>
        <v/>
      </c>
      <c r="V159" s="23">
        <f>IF(AND(N(D159)&lt;&gt;0,N159=""),1,0)+IF(AND(N(D159)&lt;&gt;0,O159=""),1,0)</f>
        <v/>
      </c>
    </row>
    <row r="160">
      <c r="A160" s="19" t="n"/>
      <c r="B160" s="14" t="n"/>
      <c r="C160" s="14" t="n"/>
      <c r="D160" s="20" t="n"/>
      <c r="E160" s="14" t="n"/>
      <c r="F160" s="14" t="n"/>
      <c r="G160" s="14" t="n"/>
      <c r="H160" s="14" t="n"/>
      <c r="I160" s="14" t="n"/>
      <c r="J160" s="16">
        <f>IF(F160="",INDEX('Chart of Accounts'!$A$5:$A$3000,MATCH("bank",'Chart of Accounts'!$F$5:$F$3000,0)),F160&amp;"")</f>
        <v/>
      </c>
      <c r="K160" s="16">
        <f>IF(G160&lt;&gt;"",G160&amp;"",IF(LEFT(C160,7)="Capital",INDEX('Chart of Accounts'!$A$5:$A$3000,MATCH("capital",'Chart of Accounts'!$F$5:$F$3000,0)),INDEX('Chart of Accounts'!$A$5:$A$3000,MATCH("drawings",'Chart of Accounts'!$F$5:$F$3000,0))))</f>
        <v/>
      </c>
      <c r="L160" s="16">
        <f>IF(LEFT(C160,7)="Capital",J160,K160)</f>
        <v/>
      </c>
      <c r="M160" s="16">
        <f>IF(LEFT(C160,7)="Capital",K160,J160)</f>
        <v/>
      </c>
      <c r="N160" s="23">
        <f>IFERROR(INDEX('Chart of Accounts'!$C$5:$C$3000,MATCH(L160&amp;"",'Chart of Accounts'!$A$5:$A$3000,0))&amp;"|"&amp;INDEX('Chart of Accounts'!$D$5:$D$3000,MATCH(L160&amp;"",'Chart of Accounts'!$A$5:$A$3000,0)),"")</f>
        <v/>
      </c>
      <c r="O160" s="23">
        <f>IFERROR(INDEX('Chart of Accounts'!$C$5:$C$3000,MATCH(M160&amp;"",'Chart of Accounts'!$A$5:$A$3000,0))&amp;"|"&amp;INDEX('Chart of Accounts'!$D$5:$D$3000,MATCH(M160&amp;"",'Chart of Accounts'!$A$5:$A$3000,0)),"")</f>
        <v/>
      </c>
      <c r="P160" s="23">
        <f>IF(LEFT(N160,8)="Revenue|",-N(D160),0)+IF(LEFT(O160,8)="Revenue|",N(D160),0)</f>
        <v/>
      </c>
      <c r="Q160" s="23">
        <f>IF(LEFT(N160,5)="COGS|",N(D160),0)+IF(LEFT(O160,5)="COGS|",-N(D160),0)</f>
        <v/>
      </c>
      <c r="R160" s="23">
        <f>IF(LEFT(N160,8)="Expense|",N(D160),0)+IF(LEFT(O160,8)="Expense|",-N(D160),0)</f>
        <v/>
      </c>
      <c r="S160" s="23">
        <f>IF(ISNUMBER(MATCH(N160,{"Expense|employee","Expense|general_admin","Expense|marketing","Expense|utilities","Expense|other_operating"},0)),N(D160),0)+IF(ISNUMBER(MATCH(O160,{"Expense|employee","Expense|general_admin","Expense|marketing","Expense|utilities","Expense|other_operating"},0)),-N(D160),0)</f>
        <v/>
      </c>
      <c r="T160" s="23">
        <f>IF(N160="Liability|payable",-N(D160),0)+IF(O160="Liability|payable",N(D160),0)</f>
        <v/>
      </c>
      <c r="U160" s="23">
        <f>IF(N160="Liability|accrued",-N(D160),0)+IF(O160="Liability|accrued",N(D160),0)</f>
        <v/>
      </c>
      <c r="V160" s="23">
        <f>IF(AND(N(D160)&lt;&gt;0,N160=""),1,0)+IF(AND(N(D160)&lt;&gt;0,O160=""),1,0)</f>
        <v/>
      </c>
    </row>
    <row r="161">
      <c r="A161" s="19" t="n"/>
      <c r="B161" s="14" t="n"/>
      <c r="C161" s="14" t="n"/>
      <c r="D161" s="20" t="n"/>
      <c r="E161" s="14" t="n"/>
      <c r="F161" s="14" t="n"/>
      <c r="G161" s="14" t="n"/>
      <c r="H161" s="14" t="n"/>
      <c r="I161" s="14" t="n"/>
      <c r="J161" s="16">
        <f>IF(F161="",INDEX('Chart of Accounts'!$A$5:$A$3000,MATCH("bank",'Chart of Accounts'!$F$5:$F$3000,0)),F161&amp;"")</f>
        <v/>
      </c>
      <c r="K161" s="16">
        <f>IF(G161&lt;&gt;"",G161&amp;"",IF(LEFT(C161,7)="Capital",INDEX('Chart of Accounts'!$A$5:$A$3000,MATCH("capital",'Chart of Accounts'!$F$5:$F$3000,0)),INDEX('Chart of Accounts'!$A$5:$A$3000,MATCH("drawings",'Chart of Accounts'!$F$5:$F$3000,0))))</f>
        <v/>
      </c>
      <c r="L161" s="16">
        <f>IF(LEFT(C161,7)="Capital",J161,K161)</f>
        <v/>
      </c>
      <c r="M161" s="16">
        <f>IF(LEFT(C161,7)="Capital",K161,J161)</f>
        <v/>
      </c>
      <c r="N161" s="23">
        <f>IFERROR(INDEX('Chart of Accounts'!$C$5:$C$3000,MATCH(L161&amp;"",'Chart of Accounts'!$A$5:$A$3000,0))&amp;"|"&amp;INDEX('Chart of Accounts'!$D$5:$D$3000,MATCH(L161&amp;"",'Chart of Accounts'!$A$5:$A$3000,0)),"")</f>
        <v/>
      </c>
      <c r="O161" s="23">
        <f>IFERROR(INDEX('Chart of Accounts'!$C$5:$C$3000,MATCH(M161&amp;"",'Chart of Accounts'!$A$5:$A$3000,0))&amp;"|"&amp;INDEX('Chart of Accounts'!$D$5:$D$3000,MATCH(M161&amp;"",'Chart of Accounts'!$A$5:$A$3000,0)),"")</f>
        <v/>
      </c>
      <c r="P161" s="23">
        <f>IF(LEFT(N161,8)="Revenue|",-N(D161),0)+IF(LEFT(O161,8)="Revenue|",N(D161),0)</f>
        <v/>
      </c>
      <c r="Q161" s="23">
        <f>IF(LEFT(N161,5)="COGS|",N(D161),0)+IF(LEFT(O161,5)="COGS|",-N(D161),0)</f>
        <v/>
      </c>
      <c r="R161" s="23">
        <f>IF(LEFT(N161,8)="Expense|",N(D161),0)+IF(LEFT(O161,8)="Expense|",-N(D161),0)</f>
        <v/>
      </c>
      <c r="S161" s="23">
        <f>IF(ISNUMBER(MATCH(N161,{"Expense|employee","Expense|general_admin","Expense|marketing","Expense|utilities","Expense|other_operating"},0)),N(D161),0)+IF(ISNUMBER(MATCH(O161,{"Expense|employee","Expense|general_admin","Expense|marketing","Expense|utilities","Expense|other_operating"},0)),-N(D161),0)</f>
        <v/>
      </c>
      <c r="T161" s="23">
        <f>IF(N161="Liability|payable",-N(D161),0)+IF(O161="Liability|payable",N(D161),0)</f>
        <v/>
      </c>
      <c r="U161" s="23">
        <f>IF(N161="Liability|accrued",-N(D161),0)+IF(O161="Liability|accrued",N(D161),0)</f>
        <v/>
      </c>
      <c r="V161" s="23">
        <f>IF(AND(N(D161)&lt;&gt;0,N161=""),1,0)+IF(AND(N(D161)&lt;&gt;0,O161=""),1,0)</f>
        <v/>
      </c>
    </row>
    <row r="162">
      <c r="A162" s="19" t="n"/>
      <c r="B162" s="14" t="n"/>
      <c r="C162" s="14" t="n"/>
      <c r="D162" s="20" t="n"/>
      <c r="E162" s="14" t="n"/>
      <c r="F162" s="14" t="n"/>
      <c r="G162" s="14" t="n"/>
      <c r="H162" s="14" t="n"/>
      <c r="I162" s="14" t="n"/>
      <c r="J162" s="16">
        <f>IF(F162="",INDEX('Chart of Accounts'!$A$5:$A$3000,MATCH("bank",'Chart of Accounts'!$F$5:$F$3000,0)),F162&amp;"")</f>
        <v/>
      </c>
      <c r="K162" s="16">
        <f>IF(G162&lt;&gt;"",G162&amp;"",IF(LEFT(C162,7)="Capital",INDEX('Chart of Accounts'!$A$5:$A$3000,MATCH("capital",'Chart of Accounts'!$F$5:$F$3000,0)),INDEX('Chart of Accounts'!$A$5:$A$3000,MATCH("drawings",'Chart of Accounts'!$F$5:$F$3000,0))))</f>
        <v/>
      </c>
      <c r="L162" s="16">
        <f>IF(LEFT(C162,7)="Capital",J162,K162)</f>
        <v/>
      </c>
      <c r="M162" s="16">
        <f>IF(LEFT(C162,7)="Capital",K162,J162)</f>
        <v/>
      </c>
      <c r="N162" s="23">
        <f>IFERROR(INDEX('Chart of Accounts'!$C$5:$C$3000,MATCH(L162&amp;"",'Chart of Accounts'!$A$5:$A$3000,0))&amp;"|"&amp;INDEX('Chart of Accounts'!$D$5:$D$3000,MATCH(L162&amp;"",'Chart of Accounts'!$A$5:$A$3000,0)),"")</f>
        <v/>
      </c>
      <c r="O162" s="23">
        <f>IFERROR(INDEX('Chart of Accounts'!$C$5:$C$3000,MATCH(M162&amp;"",'Chart of Accounts'!$A$5:$A$3000,0))&amp;"|"&amp;INDEX('Chart of Accounts'!$D$5:$D$3000,MATCH(M162&amp;"",'Chart of Accounts'!$A$5:$A$3000,0)),"")</f>
        <v/>
      </c>
      <c r="P162" s="23">
        <f>IF(LEFT(N162,8)="Revenue|",-N(D162),0)+IF(LEFT(O162,8)="Revenue|",N(D162),0)</f>
        <v/>
      </c>
      <c r="Q162" s="23">
        <f>IF(LEFT(N162,5)="COGS|",N(D162),0)+IF(LEFT(O162,5)="COGS|",-N(D162),0)</f>
        <v/>
      </c>
      <c r="R162" s="23">
        <f>IF(LEFT(N162,8)="Expense|",N(D162),0)+IF(LEFT(O162,8)="Expense|",-N(D162),0)</f>
        <v/>
      </c>
      <c r="S162" s="23">
        <f>IF(ISNUMBER(MATCH(N162,{"Expense|employee","Expense|general_admin","Expense|marketing","Expense|utilities","Expense|other_operating"},0)),N(D162),0)+IF(ISNUMBER(MATCH(O162,{"Expense|employee","Expense|general_admin","Expense|marketing","Expense|utilities","Expense|other_operating"},0)),-N(D162),0)</f>
        <v/>
      </c>
      <c r="T162" s="23">
        <f>IF(N162="Liability|payable",-N(D162),0)+IF(O162="Liability|payable",N(D162),0)</f>
        <v/>
      </c>
      <c r="U162" s="23">
        <f>IF(N162="Liability|accrued",-N(D162),0)+IF(O162="Liability|accrued",N(D162),0)</f>
        <v/>
      </c>
      <c r="V162" s="23">
        <f>IF(AND(N(D162)&lt;&gt;0,N162=""),1,0)+IF(AND(N(D162)&lt;&gt;0,O162=""),1,0)</f>
        <v/>
      </c>
    </row>
    <row r="163">
      <c r="A163" s="19" t="n"/>
      <c r="B163" s="14" t="n"/>
      <c r="C163" s="14" t="n"/>
      <c r="D163" s="20" t="n"/>
      <c r="E163" s="14" t="n"/>
      <c r="F163" s="14" t="n"/>
      <c r="G163" s="14" t="n"/>
      <c r="H163" s="14" t="n"/>
      <c r="I163" s="14" t="n"/>
      <c r="J163" s="16">
        <f>IF(F163="",INDEX('Chart of Accounts'!$A$5:$A$3000,MATCH("bank",'Chart of Accounts'!$F$5:$F$3000,0)),F163&amp;"")</f>
        <v/>
      </c>
      <c r="K163" s="16">
        <f>IF(G163&lt;&gt;"",G163&amp;"",IF(LEFT(C163,7)="Capital",INDEX('Chart of Accounts'!$A$5:$A$3000,MATCH("capital",'Chart of Accounts'!$F$5:$F$3000,0)),INDEX('Chart of Accounts'!$A$5:$A$3000,MATCH("drawings",'Chart of Accounts'!$F$5:$F$3000,0))))</f>
        <v/>
      </c>
      <c r="L163" s="16">
        <f>IF(LEFT(C163,7)="Capital",J163,K163)</f>
        <v/>
      </c>
      <c r="M163" s="16">
        <f>IF(LEFT(C163,7)="Capital",K163,J163)</f>
        <v/>
      </c>
      <c r="N163" s="23">
        <f>IFERROR(INDEX('Chart of Accounts'!$C$5:$C$3000,MATCH(L163&amp;"",'Chart of Accounts'!$A$5:$A$3000,0))&amp;"|"&amp;INDEX('Chart of Accounts'!$D$5:$D$3000,MATCH(L163&amp;"",'Chart of Accounts'!$A$5:$A$3000,0)),"")</f>
        <v/>
      </c>
      <c r="O163" s="23">
        <f>IFERROR(INDEX('Chart of Accounts'!$C$5:$C$3000,MATCH(M163&amp;"",'Chart of Accounts'!$A$5:$A$3000,0))&amp;"|"&amp;INDEX('Chart of Accounts'!$D$5:$D$3000,MATCH(M163&amp;"",'Chart of Accounts'!$A$5:$A$3000,0)),"")</f>
        <v/>
      </c>
      <c r="P163" s="23">
        <f>IF(LEFT(N163,8)="Revenue|",-N(D163),0)+IF(LEFT(O163,8)="Revenue|",N(D163),0)</f>
        <v/>
      </c>
      <c r="Q163" s="23">
        <f>IF(LEFT(N163,5)="COGS|",N(D163),0)+IF(LEFT(O163,5)="COGS|",-N(D163),0)</f>
        <v/>
      </c>
      <c r="R163" s="23">
        <f>IF(LEFT(N163,8)="Expense|",N(D163),0)+IF(LEFT(O163,8)="Expense|",-N(D163),0)</f>
        <v/>
      </c>
      <c r="S163" s="23">
        <f>IF(ISNUMBER(MATCH(N163,{"Expense|employee","Expense|general_admin","Expense|marketing","Expense|utilities","Expense|other_operating"},0)),N(D163),0)+IF(ISNUMBER(MATCH(O163,{"Expense|employee","Expense|general_admin","Expense|marketing","Expense|utilities","Expense|other_operating"},0)),-N(D163),0)</f>
        <v/>
      </c>
      <c r="T163" s="23">
        <f>IF(N163="Liability|payable",-N(D163),0)+IF(O163="Liability|payable",N(D163),0)</f>
        <v/>
      </c>
      <c r="U163" s="23">
        <f>IF(N163="Liability|accrued",-N(D163),0)+IF(O163="Liability|accrued",N(D163),0)</f>
        <v/>
      </c>
      <c r="V163" s="23">
        <f>IF(AND(N(D163)&lt;&gt;0,N163=""),1,0)+IF(AND(N(D163)&lt;&gt;0,O163=""),1,0)</f>
        <v/>
      </c>
    </row>
    <row r="164">
      <c r="A164" s="19" t="n"/>
      <c r="B164" s="14" t="n"/>
      <c r="C164" s="14" t="n"/>
      <c r="D164" s="20" t="n"/>
      <c r="E164" s="14" t="n"/>
      <c r="F164" s="14" t="n"/>
      <c r="G164" s="14" t="n"/>
      <c r="H164" s="14" t="n"/>
      <c r="I164" s="14" t="n"/>
      <c r="J164" s="16">
        <f>IF(F164="",INDEX('Chart of Accounts'!$A$5:$A$3000,MATCH("bank",'Chart of Accounts'!$F$5:$F$3000,0)),F164&amp;"")</f>
        <v/>
      </c>
      <c r="K164" s="16">
        <f>IF(G164&lt;&gt;"",G164&amp;"",IF(LEFT(C164,7)="Capital",INDEX('Chart of Accounts'!$A$5:$A$3000,MATCH("capital",'Chart of Accounts'!$F$5:$F$3000,0)),INDEX('Chart of Accounts'!$A$5:$A$3000,MATCH("drawings",'Chart of Accounts'!$F$5:$F$3000,0))))</f>
        <v/>
      </c>
      <c r="L164" s="16">
        <f>IF(LEFT(C164,7)="Capital",J164,K164)</f>
        <v/>
      </c>
      <c r="M164" s="16">
        <f>IF(LEFT(C164,7)="Capital",K164,J164)</f>
        <v/>
      </c>
      <c r="N164" s="23">
        <f>IFERROR(INDEX('Chart of Accounts'!$C$5:$C$3000,MATCH(L164&amp;"",'Chart of Accounts'!$A$5:$A$3000,0))&amp;"|"&amp;INDEX('Chart of Accounts'!$D$5:$D$3000,MATCH(L164&amp;"",'Chart of Accounts'!$A$5:$A$3000,0)),"")</f>
        <v/>
      </c>
      <c r="O164" s="23">
        <f>IFERROR(INDEX('Chart of Accounts'!$C$5:$C$3000,MATCH(M164&amp;"",'Chart of Accounts'!$A$5:$A$3000,0))&amp;"|"&amp;INDEX('Chart of Accounts'!$D$5:$D$3000,MATCH(M164&amp;"",'Chart of Accounts'!$A$5:$A$3000,0)),"")</f>
        <v/>
      </c>
      <c r="P164" s="23">
        <f>IF(LEFT(N164,8)="Revenue|",-N(D164),0)+IF(LEFT(O164,8)="Revenue|",N(D164),0)</f>
        <v/>
      </c>
      <c r="Q164" s="23">
        <f>IF(LEFT(N164,5)="COGS|",N(D164),0)+IF(LEFT(O164,5)="COGS|",-N(D164),0)</f>
        <v/>
      </c>
      <c r="R164" s="23">
        <f>IF(LEFT(N164,8)="Expense|",N(D164),0)+IF(LEFT(O164,8)="Expense|",-N(D164),0)</f>
        <v/>
      </c>
      <c r="S164" s="23">
        <f>IF(ISNUMBER(MATCH(N164,{"Expense|employee","Expense|general_admin","Expense|marketing","Expense|utilities","Expense|other_operating"},0)),N(D164),0)+IF(ISNUMBER(MATCH(O164,{"Expense|employee","Expense|general_admin","Expense|marketing","Expense|utilities","Expense|other_operating"},0)),-N(D164),0)</f>
        <v/>
      </c>
      <c r="T164" s="23">
        <f>IF(N164="Liability|payable",-N(D164),0)+IF(O164="Liability|payable",N(D164),0)</f>
        <v/>
      </c>
      <c r="U164" s="23">
        <f>IF(N164="Liability|accrued",-N(D164),0)+IF(O164="Liability|accrued",N(D164),0)</f>
        <v/>
      </c>
      <c r="V164" s="23">
        <f>IF(AND(N(D164)&lt;&gt;0,N164=""),1,0)+IF(AND(N(D164)&lt;&gt;0,O164=""),1,0)</f>
        <v/>
      </c>
    </row>
    <row r="165">
      <c r="A165" s="19" t="n"/>
      <c r="B165" s="14" t="n"/>
      <c r="C165" s="14" t="n"/>
      <c r="D165" s="20" t="n"/>
      <c r="E165" s="14" t="n"/>
      <c r="F165" s="14" t="n"/>
      <c r="G165" s="14" t="n"/>
      <c r="H165" s="14" t="n"/>
      <c r="I165" s="14" t="n"/>
      <c r="J165" s="16">
        <f>IF(F165="",INDEX('Chart of Accounts'!$A$5:$A$3000,MATCH("bank",'Chart of Accounts'!$F$5:$F$3000,0)),F165&amp;"")</f>
        <v/>
      </c>
      <c r="K165" s="16">
        <f>IF(G165&lt;&gt;"",G165&amp;"",IF(LEFT(C165,7)="Capital",INDEX('Chart of Accounts'!$A$5:$A$3000,MATCH("capital",'Chart of Accounts'!$F$5:$F$3000,0)),INDEX('Chart of Accounts'!$A$5:$A$3000,MATCH("drawings",'Chart of Accounts'!$F$5:$F$3000,0))))</f>
        <v/>
      </c>
      <c r="L165" s="16">
        <f>IF(LEFT(C165,7)="Capital",J165,K165)</f>
        <v/>
      </c>
      <c r="M165" s="16">
        <f>IF(LEFT(C165,7)="Capital",K165,J165)</f>
        <v/>
      </c>
      <c r="N165" s="23">
        <f>IFERROR(INDEX('Chart of Accounts'!$C$5:$C$3000,MATCH(L165&amp;"",'Chart of Accounts'!$A$5:$A$3000,0))&amp;"|"&amp;INDEX('Chart of Accounts'!$D$5:$D$3000,MATCH(L165&amp;"",'Chart of Accounts'!$A$5:$A$3000,0)),"")</f>
        <v/>
      </c>
      <c r="O165" s="23">
        <f>IFERROR(INDEX('Chart of Accounts'!$C$5:$C$3000,MATCH(M165&amp;"",'Chart of Accounts'!$A$5:$A$3000,0))&amp;"|"&amp;INDEX('Chart of Accounts'!$D$5:$D$3000,MATCH(M165&amp;"",'Chart of Accounts'!$A$5:$A$3000,0)),"")</f>
        <v/>
      </c>
      <c r="P165" s="23">
        <f>IF(LEFT(N165,8)="Revenue|",-N(D165),0)+IF(LEFT(O165,8)="Revenue|",N(D165),0)</f>
        <v/>
      </c>
      <c r="Q165" s="23">
        <f>IF(LEFT(N165,5)="COGS|",N(D165),0)+IF(LEFT(O165,5)="COGS|",-N(D165),0)</f>
        <v/>
      </c>
      <c r="R165" s="23">
        <f>IF(LEFT(N165,8)="Expense|",N(D165),0)+IF(LEFT(O165,8)="Expense|",-N(D165),0)</f>
        <v/>
      </c>
      <c r="S165" s="23">
        <f>IF(ISNUMBER(MATCH(N165,{"Expense|employee","Expense|general_admin","Expense|marketing","Expense|utilities","Expense|other_operating"},0)),N(D165),0)+IF(ISNUMBER(MATCH(O165,{"Expense|employee","Expense|general_admin","Expense|marketing","Expense|utilities","Expense|other_operating"},0)),-N(D165),0)</f>
        <v/>
      </c>
      <c r="T165" s="23">
        <f>IF(N165="Liability|payable",-N(D165),0)+IF(O165="Liability|payable",N(D165),0)</f>
        <v/>
      </c>
      <c r="U165" s="23">
        <f>IF(N165="Liability|accrued",-N(D165),0)+IF(O165="Liability|accrued",N(D165),0)</f>
        <v/>
      </c>
      <c r="V165" s="23">
        <f>IF(AND(N(D165)&lt;&gt;0,N165=""),1,0)+IF(AND(N(D165)&lt;&gt;0,O165=""),1,0)</f>
        <v/>
      </c>
    </row>
    <row r="166">
      <c r="A166" s="19" t="n"/>
      <c r="B166" s="14" t="n"/>
      <c r="C166" s="14" t="n"/>
      <c r="D166" s="20" t="n"/>
      <c r="E166" s="14" t="n"/>
      <c r="F166" s="14" t="n"/>
      <c r="G166" s="14" t="n"/>
      <c r="H166" s="14" t="n"/>
      <c r="I166" s="14" t="n"/>
      <c r="J166" s="16">
        <f>IF(F166="",INDEX('Chart of Accounts'!$A$5:$A$3000,MATCH("bank",'Chart of Accounts'!$F$5:$F$3000,0)),F166&amp;"")</f>
        <v/>
      </c>
      <c r="K166" s="16">
        <f>IF(G166&lt;&gt;"",G166&amp;"",IF(LEFT(C166,7)="Capital",INDEX('Chart of Accounts'!$A$5:$A$3000,MATCH("capital",'Chart of Accounts'!$F$5:$F$3000,0)),INDEX('Chart of Accounts'!$A$5:$A$3000,MATCH("drawings",'Chart of Accounts'!$F$5:$F$3000,0))))</f>
        <v/>
      </c>
      <c r="L166" s="16">
        <f>IF(LEFT(C166,7)="Capital",J166,K166)</f>
        <v/>
      </c>
      <c r="M166" s="16">
        <f>IF(LEFT(C166,7)="Capital",K166,J166)</f>
        <v/>
      </c>
      <c r="N166" s="23">
        <f>IFERROR(INDEX('Chart of Accounts'!$C$5:$C$3000,MATCH(L166&amp;"",'Chart of Accounts'!$A$5:$A$3000,0))&amp;"|"&amp;INDEX('Chart of Accounts'!$D$5:$D$3000,MATCH(L166&amp;"",'Chart of Accounts'!$A$5:$A$3000,0)),"")</f>
        <v/>
      </c>
      <c r="O166" s="23">
        <f>IFERROR(INDEX('Chart of Accounts'!$C$5:$C$3000,MATCH(M166&amp;"",'Chart of Accounts'!$A$5:$A$3000,0))&amp;"|"&amp;INDEX('Chart of Accounts'!$D$5:$D$3000,MATCH(M166&amp;"",'Chart of Accounts'!$A$5:$A$3000,0)),"")</f>
        <v/>
      </c>
      <c r="P166" s="23">
        <f>IF(LEFT(N166,8)="Revenue|",-N(D166),0)+IF(LEFT(O166,8)="Revenue|",N(D166),0)</f>
        <v/>
      </c>
      <c r="Q166" s="23">
        <f>IF(LEFT(N166,5)="COGS|",N(D166),0)+IF(LEFT(O166,5)="COGS|",-N(D166),0)</f>
        <v/>
      </c>
      <c r="R166" s="23">
        <f>IF(LEFT(N166,8)="Expense|",N(D166),0)+IF(LEFT(O166,8)="Expense|",-N(D166),0)</f>
        <v/>
      </c>
      <c r="S166" s="23">
        <f>IF(ISNUMBER(MATCH(N166,{"Expense|employee","Expense|general_admin","Expense|marketing","Expense|utilities","Expense|other_operating"},0)),N(D166),0)+IF(ISNUMBER(MATCH(O166,{"Expense|employee","Expense|general_admin","Expense|marketing","Expense|utilities","Expense|other_operating"},0)),-N(D166),0)</f>
        <v/>
      </c>
      <c r="T166" s="23">
        <f>IF(N166="Liability|payable",-N(D166),0)+IF(O166="Liability|payable",N(D166),0)</f>
        <v/>
      </c>
      <c r="U166" s="23">
        <f>IF(N166="Liability|accrued",-N(D166),0)+IF(O166="Liability|accrued",N(D166),0)</f>
        <v/>
      </c>
      <c r="V166" s="23">
        <f>IF(AND(N(D166)&lt;&gt;0,N166=""),1,0)+IF(AND(N(D166)&lt;&gt;0,O166=""),1,0)</f>
        <v/>
      </c>
    </row>
    <row r="167">
      <c r="A167" s="19" t="n"/>
      <c r="B167" s="14" t="n"/>
      <c r="C167" s="14" t="n"/>
      <c r="D167" s="20" t="n"/>
      <c r="E167" s="14" t="n"/>
      <c r="F167" s="14" t="n"/>
      <c r="G167" s="14" t="n"/>
      <c r="H167" s="14" t="n"/>
      <c r="I167" s="14" t="n"/>
      <c r="J167" s="16">
        <f>IF(F167="",INDEX('Chart of Accounts'!$A$5:$A$3000,MATCH("bank",'Chart of Accounts'!$F$5:$F$3000,0)),F167&amp;"")</f>
        <v/>
      </c>
      <c r="K167" s="16">
        <f>IF(G167&lt;&gt;"",G167&amp;"",IF(LEFT(C167,7)="Capital",INDEX('Chart of Accounts'!$A$5:$A$3000,MATCH("capital",'Chart of Accounts'!$F$5:$F$3000,0)),INDEX('Chart of Accounts'!$A$5:$A$3000,MATCH("drawings",'Chart of Accounts'!$F$5:$F$3000,0))))</f>
        <v/>
      </c>
      <c r="L167" s="16">
        <f>IF(LEFT(C167,7)="Capital",J167,K167)</f>
        <v/>
      </c>
      <c r="M167" s="16">
        <f>IF(LEFT(C167,7)="Capital",K167,J167)</f>
        <v/>
      </c>
      <c r="N167" s="23">
        <f>IFERROR(INDEX('Chart of Accounts'!$C$5:$C$3000,MATCH(L167&amp;"",'Chart of Accounts'!$A$5:$A$3000,0))&amp;"|"&amp;INDEX('Chart of Accounts'!$D$5:$D$3000,MATCH(L167&amp;"",'Chart of Accounts'!$A$5:$A$3000,0)),"")</f>
        <v/>
      </c>
      <c r="O167" s="23">
        <f>IFERROR(INDEX('Chart of Accounts'!$C$5:$C$3000,MATCH(M167&amp;"",'Chart of Accounts'!$A$5:$A$3000,0))&amp;"|"&amp;INDEX('Chart of Accounts'!$D$5:$D$3000,MATCH(M167&amp;"",'Chart of Accounts'!$A$5:$A$3000,0)),"")</f>
        <v/>
      </c>
      <c r="P167" s="23">
        <f>IF(LEFT(N167,8)="Revenue|",-N(D167),0)+IF(LEFT(O167,8)="Revenue|",N(D167),0)</f>
        <v/>
      </c>
      <c r="Q167" s="23">
        <f>IF(LEFT(N167,5)="COGS|",N(D167),0)+IF(LEFT(O167,5)="COGS|",-N(D167),0)</f>
        <v/>
      </c>
      <c r="R167" s="23">
        <f>IF(LEFT(N167,8)="Expense|",N(D167),0)+IF(LEFT(O167,8)="Expense|",-N(D167),0)</f>
        <v/>
      </c>
      <c r="S167" s="23">
        <f>IF(ISNUMBER(MATCH(N167,{"Expense|employee","Expense|general_admin","Expense|marketing","Expense|utilities","Expense|other_operating"},0)),N(D167),0)+IF(ISNUMBER(MATCH(O167,{"Expense|employee","Expense|general_admin","Expense|marketing","Expense|utilities","Expense|other_operating"},0)),-N(D167),0)</f>
        <v/>
      </c>
      <c r="T167" s="23">
        <f>IF(N167="Liability|payable",-N(D167),0)+IF(O167="Liability|payable",N(D167),0)</f>
        <v/>
      </c>
      <c r="U167" s="23">
        <f>IF(N167="Liability|accrued",-N(D167),0)+IF(O167="Liability|accrued",N(D167),0)</f>
        <v/>
      </c>
      <c r="V167" s="23">
        <f>IF(AND(N(D167)&lt;&gt;0,N167=""),1,0)+IF(AND(N(D167)&lt;&gt;0,O167=""),1,0)</f>
        <v/>
      </c>
    </row>
    <row r="168">
      <c r="A168" s="19" t="n"/>
      <c r="B168" s="14" t="n"/>
      <c r="C168" s="14" t="n"/>
      <c r="D168" s="20" t="n"/>
      <c r="E168" s="14" t="n"/>
      <c r="F168" s="14" t="n"/>
      <c r="G168" s="14" t="n"/>
      <c r="H168" s="14" t="n"/>
      <c r="I168" s="14" t="n"/>
      <c r="J168" s="16">
        <f>IF(F168="",INDEX('Chart of Accounts'!$A$5:$A$3000,MATCH("bank",'Chart of Accounts'!$F$5:$F$3000,0)),F168&amp;"")</f>
        <v/>
      </c>
      <c r="K168" s="16">
        <f>IF(G168&lt;&gt;"",G168&amp;"",IF(LEFT(C168,7)="Capital",INDEX('Chart of Accounts'!$A$5:$A$3000,MATCH("capital",'Chart of Accounts'!$F$5:$F$3000,0)),INDEX('Chart of Accounts'!$A$5:$A$3000,MATCH("drawings",'Chart of Accounts'!$F$5:$F$3000,0))))</f>
        <v/>
      </c>
      <c r="L168" s="16">
        <f>IF(LEFT(C168,7)="Capital",J168,K168)</f>
        <v/>
      </c>
      <c r="M168" s="16">
        <f>IF(LEFT(C168,7)="Capital",K168,J168)</f>
        <v/>
      </c>
      <c r="N168" s="23">
        <f>IFERROR(INDEX('Chart of Accounts'!$C$5:$C$3000,MATCH(L168&amp;"",'Chart of Accounts'!$A$5:$A$3000,0))&amp;"|"&amp;INDEX('Chart of Accounts'!$D$5:$D$3000,MATCH(L168&amp;"",'Chart of Accounts'!$A$5:$A$3000,0)),"")</f>
        <v/>
      </c>
      <c r="O168" s="23">
        <f>IFERROR(INDEX('Chart of Accounts'!$C$5:$C$3000,MATCH(M168&amp;"",'Chart of Accounts'!$A$5:$A$3000,0))&amp;"|"&amp;INDEX('Chart of Accounts'!$D$5:$D$3000,MATCH(M168&amp;"",'Chart of Accounts'!$A$5:$A$3000,0)),"")</f>
        <v/>
      </c>
      <c r="P168" s="23">
        <f>IF(LEFT(N168,8)="Revenue|",-N(D168),0)+IF(LEFT(O168,8)="Revenue|",N(D168),0)</f>
        <v/>
      </c>
      <c r="Q168" s="23">
        <f>IF(LEFT(N168,5)="COGS|",N(D168),0)+IF(LEFT(O168,5)="COGS|",-N(D168),0)</f>
        <v/>
      </c>
      <c r="R168" s="23">
        <f>IF(LEFT(N168,8)="Expense|",N(D168),0)+IF(LEFT(O168,8)="Expense|",-N(D168),0)</f>
        <v/>
      </c>
      <c r="S168" s="23">
        <f>IF(ISNUMBER(MATCH(N168,{"Expense|employee","Expense|general_admin","Expense|marketing","Expense|utilities","Expense|other_operating"},0)),N(D168),0)+IF(ISNUMBER(MATCH(O168,{"Expense|employee","Expense|general_admin","Expense|marketing","Expense|utilities","Expense|other_operating"},0)),-N(D168),0)</f>
        <v/>
      </c>
      <c r="T168" s="23">
        <f>IF(N168="Liability|payable",-N(D168),0)+IF(O168="Liability|payable",N(D168),0)</f>
        <v/>
      </c>
      <c r="U168" s="23">
        <f>IF(N168="Liability|accrued",-N(D168),0)+IF(O168="Liability|accrued",N(D168),0)</f>
        <v/>
      </c>
      <c r="V168" s="23">
        <f>IF(AND(N(D168)&lt;&gt;0,N168=""),1,0)+IF(AND(N(D168)&lt;&gt;0,O168=""),1,0)</f>
        <v/>
      </c>
    </row>
    <row r="169">
      <c r="A169" s="19" t="n"/>
      <c r="B169" s="14" t="n"/>
      <c r="C169" s="14" t="n"/>
      <c r="D169" s="20" t="n"/>
      <c r="E169" s="14" t="n"/>
      <c r="F169" s="14" t="n"/>
      <c r="G169" s="14" t="n"/>
      <c r="H169" s="14" t="n"/>
      <c r="I169" s="14" t="n"/>
      <c r="J169" s="16">
        <f>IF(F169="",INDEX('Chart of Accounts'!$A$5:$A$3000,MATCH("bank",'Chart of Accounts'!$F$5:$F$3000,0)),F169&amp;"")</f>
        <v/>
      </c>
      <c r="K169" s="16">
        <f>IF(G169&lt;&gt;"",G169&amp;"",IF(LEFT(C169,7)="Capital",INDEX('Chart of Accounts'!$A$5:$A$3000,MATCH("capital",'Chart of Accounts'!$F$5:$F$3000,0)),INDEX('Chart of Accounts'!$A$5:$A$3000,MATCH("drawings",'Chart of Accounts'!$F$5:$F$3000,0))))</f>
        <v/>
      </c>
      <c r="L169" s="16">
        <f>IF(LEFT(C169,7)="Capital",J169,K169)</f>
        <v/>
      </c>
      <c r="M169" s="16">
        <f>IF(LEFT(C169,7)="Capital",K169,J169)</f>
        <v/>
      </c>
      <c r="N169" s="23">
        <f>IFERROR(INDEX('Chart of Accounts'!$C$5:$C$3000,MATCH(L169&amp;"",'Chart of Accounts'!$A$5:$A$3000,0))&amp;"|"&amp;INDEX('Chart of Accounts'!$D$5:$D$3000,MATCH(L169&amp;"",'Chart of Accounts'!$A$5:$A$3000,0)),"")</f>
        <v/>
      </c>
      <c r="O169" s="23">
        <f>IFERROR(INDEX('Chart of Accounts'!$C$5:$C$3000,MATCH(M169&amp;"",'Chart of Accounts'!$A$5:$A$3000,0))&amp;"|"&amp;INDEX('Chart of Accounts'!$D$5:$D$3000,MATCH(M169&amp;"",'Chart of Accounts'!$A$5:$A$3000,0)),"")</f>
        <v/>
      </c>
      <c r="P169" s="23">
        <f>IF(LEFT(N169,8)="Revenue|",-N(D169),0)+IF(LEFT(O169,8)="Revenue|",N(D169),0)</f>
        <v/>
      </c>
      <c r="Q169" s="23">
        <f>IF(LEFT(N169,5)="COGS|",N(D169),0)+IF(LEFT(O169,5)="COGS|",-N(D169),0)</f>
        <v/>
      </c>
      <c r="R169" s="23">
        <f>IF(LEFT(N169,8)="Expense|",N(D169),0)+IF(LEFT(O169,8)="Expense|",-N(D169),0)</f>
        <v/>
      </c>
      <c r="S169" s="23">
        <f>IF(ISNUMBER(MATCH(N169,{"Expense|employee","Expense|general_admin","Expense|marketing","Expense|utilities","Expense|other_operating"},0)),N(D169),0)+IF(ISNUMBER(MATCH(O169,{"Expense|employee","Expense|general_admin","Expense|marketing","Expense|utilities","Expense|other_operating"},0)),-N(D169),0)</f>
        <v/>
      </c>
      <c r="T169" s="23">
        <f>IF(N169="Liability|payable",-N(D169),0)+IF(O169="Liability|payable",N(D169),0)</f>
        <v/>
      </c>
      <c r="U169" s="23">
        <f>IF(N169="Liability|accrued",-N(D169),0)+IF(O169="Liability|accrued",N(D169),0)</f>
        <v/>
      </c>
      <c r="V169" s="23">
        <f>IF(AND(N(D169)&lt;&gt;0,N169=""),1,0)+IF(AND(N(D169)&lt;&gt;0,O169=""),1,0)</f>
        <v/>
      </c>
    </row>
    <row r="170">
      <c r="A170" s="19" t="n"/>
      <c r="B170" s="14" t="n"/>
      <c r="C170" s="14" t="n"/>
      <c r="D170" s="20" t="n"/>
      <c r="E170" s="14" t="n"/>
      <c r="F170" s="14" t="n"/>
      <c r="G170" s="14" t="n"/>
      <c r="H170" s="14" t="n"/>
      <c r="I170" s="14" t="n"/>
      <c r="J170" s="16">
        <f>IF(F170="",INDEX('Chart of Accounts'!$A$5:$A$3000,MATCH("bank",'Chart of Accounts'!$F$5:$F$3000,0)),F170&amp;"")</f>
        <v/>
      </c>
      <c r="K170" s="16">
        <f>IF(G170&lt;&gt;"",G170&amp;"",IF(LEFT(C170,7)="Capital",INDEX('Chart of Accounts'!$A$5:$A$3000,MATCH("capital",'Chart of Accounts'!$F$5:$F$3000,0)),INDEX('Chart of Accounts'!$A$5:$A$3000,MATCH("drawings",'Chart of Accounts'!$F$5:$F$3000,0))))</f>
        <v/>
      </c>
      <c r="L170" s="16">
        <f>IF(LEFT(C170,7)="Capital",J170,K170)</f>
        <v/>
      </c>
      <c r="M170" s="16">
        <f>IF(LEFT(C170,7)="Capital",K170,J170)</f>
        <v/>
      </c>
      <c r="N170" s="23">
        <f>IFERROR(INDEX('Chart of Accounts'!$C$5:$C$3000,MATCH(L170&amp;"",'Chart of Accounts'!$A$5:$A$3000,0))&amp;"|"&amp;INDEX('Chart of Accounts'!$D$5:$D$3000,MATCH(L170&amp;"",'Chart of Accounts'!$A$5:$A$3000,0)),"")</f>
        <v/>
      </c>
      <c r="O170" s="23">
        <f>IFERROR(INDEX('Chart of Accounts'!$C$5:$C$3000,MATCH(M170&amp;"",'Chart of Accounts'!$A$5:$A$3000,0))&amp;"|"&amp;INDEX('Chart of Accounts'!$D$5:$D$3000,MATCH(M170&amp;"",'Chart of Accounts'!$A$5:$A$3000,0)),"")</f>
        <v/>
      </c>
      <c r="P170" s="23">
        <f>IF(LEFT(N170,8)="Revenue|",-N(D170),0)+IF(LEFT(O170,8)="Revenue|",N(D170),0)</f>
        <v/>
      </c>
      <c r="Q170" s="23">
        <f>IF(LEFT(N170,5)="COGS|",N(D170),0)+IF(LEFT(O170,5)="COGS|",-N(D170),0)</f>
        <v/>
      </c>
      <c r="R170" s="23">
        <f>IF(LEFT(N170,8)="Expense|",N(D170),0)+IF(LEFT(O170,8)="Expense|",-N(D170),0)</f>
        <v/>
      </c>
      <c r="S170" s="23">
        <f>IF(ISNUMBER(MATCH(N170,{"Expense|employee","Expense|general_admin","Expense|marketing","Expense|utilities","Expense|other_operating"},0)),N(D170),0)+IF(ISNUMBER(MATCH(O170,{"Expense|employee","Expense|general_admin","Expense|marketing","Expense|utilities","Expense|other_operating"},0)),-N(D170),0)</f>
        <v/>
      </c>
      <c r="T170" s="23">
        <f>IF(N170="Liability|payable",-N(D170),0)+IF(O170="Liability|payable",N(D170),0)</f>
        <v/>
      </c>
      <c r="U170" s="23">
        <f>IF(N170="Liability|accrued",-N(D170),0)+IF(O170="Liability|accrued",N(D170),0)</f>
        <v/>
      </c>
      <c r="V170" s="23">
        <f>IF(AND(N(D170)&lt;&gt;0,N170=""),1,0)+IF(AND(N(D170)&lt;&gt;0,O170=""),1,0)</f>
        <v/>
      </c>
    </row>
    <row r="171">
      <c r="A171" s="19" t="n"/>
      <c r="B171" s="14" t="n"/>
      <c r="C171" s="14" t="n"/>
      <c r="D171" s="20" t="n"/>
      <c r="E171" s="14" t="n"/>
      <c r="F171" s="14" t="n"/>
      <c r="G171" s="14" t="n"/>
      <c r="H171" s="14" t="n"/>
      <c r="I171" s="14" t="n"/>
      <c r="J171" s="16">
        <f>IF(F171="",INDEX('Chart of Accounts'!$A$5:$A$3000,MATCH("bank",'Chart of Accounts'!$F$5:$F$3000,0)),F171&amp;"")</f>
        <v/>
      </c>
      <c r="K171" s="16">
        <f>IF(G171&lt;&gt;"",G171&amp;"",IF(LEFT(C171,7)="Capital",INDEX('Chart of Accounts'!$A$5:$A$3000,MATCH("capital",'Chart of Accounts'!$F$5:$F$3000,0)),INDEX('Chart of Accounts'!$A$5:$A$3000,MATCH("drawings",'Chart of Accounts'!$F$5:$F$3000,0))))</f>
        <v/>
      </c>
      <c r="L171" s="16">
        <f>IF(LEFT(C171,7)="Capital",J171,K171)</f>
        <v/>
      </c>
      <c r="M171" s="16">
        <f>IF(LEFT(C171,7)="Capital",K171,J171)</f>
        <v/>
      </c>
      <c r="N171" s="23">
        <f>IFERROR(INDEX('Chart of Accounts'!$C$5:$C$3000,MATCH(L171&amp;"",'Chart of Accounts'!$A$5:$A$3000,0))&amp;"|"&amp;INDEX('Chart of Accounts'!$D$5:$D$3000,MATCH(L171&amp;"",'Chart of Accounts'!$A$5:$A$3000,0)),"")</f>
        <v/>
      </c>
      <c r="O171" s="23">
        <f>IFERROR(INDEX('Chart of Accounts'!$C$5:$C$3000,MATCH(M171&amp;"",'Chart of Accounts'!$A$5:$A$3000,0))&amp;"|"&amp;INDEX('Chart of Accounts'!$D$5:$D$3000,MATCH(M171&amp;"",'Chart of Accounts'!$A$5:$A$3000,0)),"")</f>
        <v/>
      </c>
      <c r="P171" s="23">
        <f>IF(LEFT(N171,8)="Revenue|",-N(D171),0)+IF(LEFT(O171,8)="Revenue|",N(D171),0)</f>
        <v/>
      </c>
      <c r="Q171" s="23">
        <f>IF(LEFT(N171,5)="COGS|",N(D171),0)+IF(LEFT(O171,5)="COGS|",-N(D171),0)</f>
        <v/>
      </c>
      <c r="R171" s="23">
        <f>IF(LEFT(N171,8)="Expense|",N(D171),0)+IF(LEFT(O171,8)="Expense|",-N(D171),0)</f>
        <v/>
      </c>
      <c r="S171" s="23">
        <f>IF(ISNUMBER(MATCH(N171,{"Expense|employee","Expense|general_admin","Expense|marketing","Expense|utilities","Expense|other_operating"},0)),N(D171),0)+IF(ISNUMBER(MATCH(O171,{"Expense|employee","Expense|general_admin","Expense|marketing","Expense|utilities","Expense|other_operating"},0)),-N(D171),0)</f>
        <v/>
      </c>
      <c r="T171" s="23">
        <f>IF(N171="Liability|payable",-N(D171),0)+IF(O171="Liability|payable",N(D171),0)</f>
        <v/>
      </c>
      <c r="U171" s="23">
        <f>IF(N171="Liability|accrued",-N(D171),0)+IF(O171="Liability|accrued",N(D171),0)</f>
        <v/>
      </c>
      <c r="V171" s="23">
        <f>IF(AND(N(D171)&lt;&gt;0,N171=""),1,0)+IF(AND(N(D171)&lt;&gt;0,O171=""),1,0)</f>
        <v/>
      </c>
    </row>
    <row r="172">
      <c r="A172" s="19" t="n"/>
      <c r="B172" s="14" t="n"/>
      <c r="C172" s="14" t="n"/>
      <c r="D172" s="20" t="n"/>
      <c r="E172" s="14" t="n"/>
      <c r="F172" s="14" t="n"/>
      <c r="G172" s="14" t="n"/>
      <c r="H172" s="14" t="n"/>
      <c r="I172" s="14" t="n"/>
      <c r="J172" s="16">
        <f>IF(F172="",INDEX('Chart of Accounts'!$A$5:$A$3000,MATCH("bank",'Chart of Accounts'!$F$5:$F$3000,0)),F172&amp;"")</f>
        <v/>
      </c>
      <c r="K172" s="16">
        <f>IF(G172&lt;&gt;"",G172&amp;"",IF(LEFT(C172,7)="Capital",INDEX('Chart of Accounts'!$A$5:$A$3000,MATCH("capital",'Chart of Accounts'!$F$5:$F$3000,0)),INDEX('Chart of Accounts'!$A$5:$A$3000,MATCH("drawings",'Chart of Accounts'!$F$5:$F$3000,0))))</f>
        <v/>
      </c>
      <c r="L172" s="16">
        <f>IF(LEFT(C172,7)="Capital",J172,K172)</f>
        <v/>
      </c>
      <c r="M172" s="16">
        <f>IF(LEFT(C172,7)="Capital",K172,J172)</f>
        <v/>
      </c>
      <c r="N172" s="23">
        <f>IFERROR(INDEX('Chart of Accounts'!$C$5:$C$3000,MATCH(L172&amp;"",'Chart of Accounts'!$A$5:$A$3000,0))&amp;"|"&amp;INDEX('Chart of Accounts'!$D$5:$D$3000,MATCH(L172&amp;"",'Chart of Accounts'!$A$5:$A$3000,0)),"")</f>
        <v/>
      </c>
      <c r="O172" s="23">
        <f>IFERROR(INDEX('Chart of Accounts'!$C$5:$C$3000,MATCH(M172&amp;"",'Chart of Accounts'!$A$5:$A$3000,0))&amp;"|"&amp;INDEX('Chart of Accounts'!$D$5:$D$3000,MATCH(M172&amp;"",'Chart of Accounts'!$A$5:$A$3000,0)),"")</f>
        <v/>
      </c>
      <c r="P172" s="23">
        <f>IF(LEFT(N172,8)="Revenue|",-N(D172),0)+IF(LEFT(O172,8)="Revenue|",N(D172),0)</f>
        <v/>
      </c>
      <c r="Q172" s="23">
        <f>IF(LEFT(N172,5)="COGS|",N(D172),0)+IF(LEFT(O172,5)="COGS|",-N(D172),0)</f>
        <v/>
      </c>
      <c r="R172" s="23">
        <f>IF(LEFT(N172,8)="Expense|",N(D172),0)+IF(LEFT(O172,8)="Expense|",-N(D172),0)</f>
        <v/>
      </c>
      <c r="S172" s="23">
        <f>IF(ISNUMBER(MATCH(N172,{"Expense|employee","Expense|general_admin","Expense|marketing","Expense|utilities","Expense|other_operating"},0)),N(D172),0)+IF(ISNUMBER(MATCH(O172,{"Expense|employee","Expense|general_admin","Expense|marketing","Expense|utilities","Expense|other_operating"},0)),-N(D172),0)</f>
        <v/>
      </c>
      <c r="T172" s="23">
        <f>IF(N172="Liability|payable",-N(D172),0)+IF(O172="Liability|payable",N(D172),0)</f>
        <v/>
      </c>
      <c r="U172" s="23">
        <f>IF(N172="Liability|accrued",-N(D172),0)+IF(O172="Liability|accrued",N(D172),0)</f>
        <v/>
      </c>
      <c r="V172" s="23">
        <f>IF(AND(N(D172)&lt;&gt;0,N172=""),1,0)+IF(AND(N(D172)&lt;&gt;0,O172=""),1,0)</f>
        <v/>
      </c>
    </row>
    <row r="173">
      <c r="A173" s="19" t="n"/>
      <c r="B173" s="14" t="n"/>
      <c r="C173" s="14" t="n"/>
      <c r="D173" s="20" t="n"/>
      <c r="E173" s="14" t="n"/>
      <c r="F173" s="14" t="n"/>
      <c r="G173" s="14" t="n"/>
      <c r="H173" s="14" t="n"/>
      <c r="I173" s="14" t="n"/>
      <c r="J173" s="16">
        <f>IF(F173="",INDEX('Chart of Accounts'!$A$5:$A$3000,MATCH("bank",'Chart of Accounts'!$F$5:$F$3000,0)),F173&amp;"")</f>
        <v/>
      </c>
      <c r="K173" s="16">
        <f>IF(G173&lt;&gt;"",G173&amp;"",IF(LEFT(C173,7)="Capital",INDEX('Chart of Accounts'!$A$5:$A$3000,MATCH("capital",'Chart of Accounts'!$F$5:$F$3000,0)),INDEX('Chart of Accounts'!$A$5:$A$3000,MATCH("drawings",'Chart of Accounts'!$F$5:$F$3000,0))))</f>
        <v/>
      </c>
      <c r="L173" s="16">
        <f>IF(LEFT(C173,7)="Capital",J173,K173)</f>
        <v/>
      </c>
      <c r="M173" s="16">
        <f>IF(LEFT(C173,7)="Capital",K173,J173)</f>
        <v/>
      </c>
      <c r="N173" s="23">
        <f>IFERROR(INDEX('Chart of Accounts'!$C$5:$C$3000,MATCH(L173&amp;"",'Chart of Accounts'!$A$5:$A$3000,0))&amp;"|"&amp;INDEX('Chart of Accounts'!$D$5:$D$3000,MATCH(L173&amp;"",'Chart of Accounts'!$A$5:$A$3000,0)),"")</f>
        <v/>
      </c>
      <c r="O173" s="23">
        <f>IFERROR(INDEX('Chart of Accounts'!$C$5:$C$3000,MATCH(M173&amp;"",'Chart of Accounts'!$A$5:$A$3000,0))&amp;"|"&amp;INDEX('Chart of Accounts'!$D$5:$D$3000,MATCH(M173&amp;"",'Chart of Accounts'!$A$5:$A$3000,0)),"")</f>
        <v/>
      </c>
      <c r="P173" s="23">
        <f>IF(LEFT(N173,8)="Revenue|",-N(D173),0)+IF(LEFT(O173,8)="Revenue|",N(D173),0)</f>
        <v/>
      </c>
      <c r="Q173" s="23">
        <f>IF(LEFT(N173,5)="COGS|",N(D173),0)+IF(LEFT(O173,5)="COGS|",-N(D173),0)</f>
        <v/>
      </c>
      <c r="R173" s="23">
        <f>IF(LEFT(N173,8)="Expense|",N(D173),0)+IF(LEFT(O173,8)="Expense|",-N(D173),0)</f>
        <v/>
      </c>
      <c r="S173" s="23">
        <f>IF(ISNUMBER(MATCH(N173,{"Expense|employee","Expense|general_admin","Expense|marketing","Expense|utilities","Expense|other_operating"},0)),N(D173),0)+IF(ISNUMBER(MATCH(O173,{"Expense|employee","Expense|general_admin","Expense|marketing","Expense|utilities","Expense|other_operating"},0)),-N(D173),0)</f>
        <v/>
      </c>
      <c r="T173" s="23">
        <f>IF(N173="Liability|payable",-N(D173),0)+IF(O173="Liability|payable",N(D173),0)</f>
        <v/>
      </c>
      <c r="U173" s="23">
        <f>IF(N173="Liability|accrued",-N(D173),0)+IF(O173="Liability|accrued",N(D173),0)</f>
        <v/>
      </c>
      <c r="V173" s="23">
        <f>IF(AND(N(D173)&lt;&gt;0,N173=""),1,0)+IF(AND(N(D173)&lt;&gt;0,O173=""),1,0)</f>
        <v/>
      </c>
    </row>
    <row r="174">
      <c r="A174" s="19" t="n"/>
      <c r="B174" s="14" t="n"/>
      <c r="C174" s="14" t="n"/>
      <c r="D174" s="20" t="n"/>
      <c r="E174" s="14" t="n"/>
      <c r="F174" s="14" t="n"/>
      <c r="G174" s="14" t="n"/>
      <c r="H174" s="14" t="n"/>
      <c r="I174" s="14" t="n"/>
      <c r="J174" s="16">
        <f>IF(F174="",INDEX('Chart of Accounts'!$A$5:$A$3000,MATCH("bank",'Chart of Accounts'!$F$5:$F$3000,0)),F174&amp;"")</f>
        <v/>
      </c>
      <c r="K174" s="16">
        <f>IF(G174&lt;&gt;"",G174&amp;"",IF(LEFT(C174,7)="Capital",INDEX('Chart of Accounts'!$A$5:$A$3000,MATCH("capital",'Chart of Accounts'!$F$5:$F$3000,0)),INDEX('Chart of Accounts'!$A$5:$A$3000,MATCH("drawings",'Chart of Accounts'!$F$5:$F$3000,0))))</f>
        <v/>
      </c>
      <c r="L174" s="16">
        <f>IF(LEFT(C174,7)="Capital",J174,K174)</f>
        <v/>
      </c>
      <c r="M174" s="16">
        <f>IF(LEFT(C174,7)="Capital",K174,J174)</f>
        <v/>
      </c>
      <c r="N174" s="23">
        <f>IFERROR(INDEX('Chart of Accounts'!$C$5:$C$3000,MATCH(L174&amp;"",'Chart of Accounts'!$A$5:$A$3000,0))&amp;"|"&amp;INDEX('Chart of Accounts'!$D$5:$D$3000,MATCH(L174&amp;"",'Chart of Accounts'!$A$5:$A$3000,0)),"")</f>
        <v/>
      </c>
      <c r="O174" s="23">
        <f>IFERROR(INDEX('Chart of Accounts'!$C$5:$C$3000,MATCH(M174&amp;"",'Chart of Accounts'!$A$5:$A$3000,0))&amp;"|"&amp;INDEX('Chart of Accounts'!$D$5:$D$3000,MATCH(M174&amp;"",'Chart of Accounts'!$A$5:$A$3000,0)),"")</f>
        <v/>
      </c>
      <c r="P174" s="23">
        <f>IF(LEFT(N174,8)="Revenue|",-N(D174),0)+IF(LEFT(O174,8)="Revenue|",N(D174),0)</f>
        <v/>
      </c>
      <c r="Q174" s="23">
        <f>IF(LEFT(N174,5)="COGS|",N(D174),0)+IF(LEFT(O174,5)="COGS|",-N(D174),0)</f>
        <v/>
      </c>
      <c r="R174" s="23">
        <f>IF(LEFT(N174,8)="Expense|",N(D174),0)+IF(LEFT(O174,8)="Expense|",-N(D174),0)</f>
        <v/>
      </c>
      <c r="S174" s="23">
        <f>IF(ISNUMBER(MATCH(N174,{"Expense|employee","Expense|general_admin","Expense|marketing","Expense|utilities","Expense|other_operating"},0)),N(D174),0)+IF(ISNUMBER(MATCH(O174,{"Expense|employee","Expense|general_admin","Expense|marketing","Expense|utilities","Expense|other_operating"},0)),-N(D174),0)</f>
        <v/>
      </c>
      <c r="T174" s="23">
        <f>IF(N174="Liability|payable",-N(D174),0)+IF(O174="Liability|payable",N(D174),0)</f>
        <v/>
      </c>
      <c r="U174" s="23">
        <f>IF(N174="Liability|accrued",-N(D174),0)+IF(O174="Liability|accrued",N(D174),0)</f>
        <v/>
      </c>
      <c r="V174" s="23">
        <f>IF(AND(N(D174)&lt;&gt;0,N174=""),1,0)+IF(AND(N(D174)&lt;&gt;0,O174=""),1,0)</f>
        <v/>
      </c>
    </row>
    <row r="175">
      <c r="A175" s="19" t="n"/>
      <c r="B175" s="14" t="n"/>
      <c r="C175" s="14" t="n"/>
      <c r="D175" s="20" t="n"/>
      <c r="E175" s="14" t="n"/>
      <c r="F175" s="14" t="n"/>
      <c r="G175" s="14" t="n"/>
      <c r="H175" s="14" t="n"/>
      <c r="I175" s="14" t="n"/>
      <c r="J175" s="16">
        <f>IF(F175="",INDEX('Chart of Accounts'!$A$5:$A$3000,MATCH("bank",'Chart of Accounts'!$F$5:$F$3000,0)),F175&amp;"")</f>
        <v/>
      </c>
      <c r="K175" s="16">
        <f>IF(G175&lt;&gt;"",G175&amp;"",IF(LEFT(C175,7)="Capital",INDEX('Chart of Accounts'!$A$5:$A$3000,MATCH("capital",'Chart of Accounts'!$F$5:$F$3000,0)),INDEX('Chart of Accounts'!$A$5:$A$3000,MATCH("drawings",'Chart of Accounts'!$F$5:$F$3000,0))))</f>
        <v/>
      </c>
      <c r="L175" s="16">
        <f>IF(LEFT(C175,7)="Capital",J175,K175)</f>
        <v/>
      </c>
      <c r="M175" s="16">
        <f>IF(LEFT(C175,7)="Capital",K175,J175)</f>
        <v/>
      </c>
      <c r="N175" s="23">
        <f>IFERROR(INDEX('Chart of Accounts'!$C$5:$C$3000,MATCH(L175&amp;"",'Chart of Accounts'!$A$5:$A$3000,0))&amp;"|"&amp;INDEX('Chart of Accounts'!$D$5:$D$3000,MATCH(L175&amp;"",'Chart of Accounts'!$A$5:$A$3000,0)),"")</f>
        <v/>
      </c>
      <c r="O175" s="23">
        <f>IFERROR(INDEX('Chart of Accounts'!$C$5:$C$3000,MATCH(M175&amp;"",'Chart of Accounts'!$A$5:$A$3000,0))&amp;"|"&amp;INDEX('Chart of Accounts'!$D$5:$D$3000,MATCH(M175&amp;"",'Chart of Accounts'!$A$5:$A$3000,0)),"")</f>
        <v/>
      </c>
      <c r="P175" s="23">
        <f>IF(LEFT(N175,8)="Revenue|",-N(D175),0)+IF(LEFT(O175,8)="Revenue|",N(D175),0)</f>
        <v/>
      </c>
      <c r="Q175" s="23">
        <f>IF(LEFT(N175,5)="COGS|",N(D175),0)+IF(LEFT(O175,5)="COGS|",-N(D175),0)</f>
        <v/>
      </c>
      <c r="R175" s="23">
        <f>IF(LEFT(N175,8)="Expense|",N(D175),0)+IF(LEFT(O175,8)="Expense|",-N(D175),0)</f>
        <v/>
      </c>
      <c r="S175" s="23">
        <f>IF(ISNUMBER(MATCH(N175,{"Expense|employee","Expense|general_admin","Expense|marketing","Expense|utilities","Expense|other_operating"},0)),N(D175),0)+IF(ISNUMBER(MATCH(O175,{"Expense|employee","Expense|general_admin","Expense|marketing","Expense|utilities","Expense|other_operating"},0)),-N(D175),0)</f>
        <v/>
      </c>
      <c r="T175" s="23">
        <f>IF(N175="Liability|payable",-N(D175),0)+IF(O175="Liability|payable",N(D175),0)</f>
        <v/>
      </c>
      <c r="U175" s="23">
        <f>IF(N175="Liability|accrued",-N(D175),0)+IF(O175="Liability|accrued",N(D175),0)</f>
        <v/>
      </c>
      <c r="V175" s="23">
        <f>IF(AND(N(D175)&lt;&gt;0,N175=""),1,0)+IF(AND(N(D175)&lt;&gt;0,O175=""),1,0)</f>
        <v/>
      </c>
    </row>
    <row r="176">
      <c r="A176" s="19" t="n"/>
      <c r="B176" s="14" t="n"/>
      <c r="C176" s="14" t="n"/>
      <c r="D176" s="20" t="n"/>
      <c r="E176" s="14" t="n"/>
      <c r="F176" s="14" t="n"/>
      <c r="G176" s="14" t="n"/>
      <c r="H176" s="14" t="n"/>
      <c r="I176" s="14" t="n"/>
      <c r="J176" s="16">
        <f>IF(F176="",INDEX('Chart of Accounts'!$A$5:$A$3000,MATCH("bank",'Chart of Accounts'!$F$5:$F$3000,0)),F176&amp;"")</f>
        <v/>
      </c>
      <c r="K176" s="16">
        <f>IF(G176&lt;&gt;"",G176&amp;"",IF(LEFT(C176,7)="Capital",INDEX('Chart of Accounts'!$A$5:$A$3000,MATCH("capital",'Chart of Accounts'!$F$5:$F$3000,0)),INDEX('Chart of Accounts'!$A$5:$A$3000,MATCH("drawings",'Chart of Accounts'!$F$5:$F$3000,0))))</f>
        <v/>
      </c>
      <c r="L176" s="16">
        <f>IF(LEFT(C176,7)="Capital",J176,K176)</f>
        <v/>
      </c>
      <c r="M176" s="16">
        <f>IF(LEFT(C176,7)="Capital",K176,J176)</f>
        <v/>
      </c>
      <c r="N176" s="23">
        <f>IFERROR(INDEX('Chart of Accounts'!$C$5:$C$3000,MATCH(L176&amp;"",'Chart of Accounts'!$A$5:$A$3000,0))&amp;"|"&amp;INDEX('Chart of Accounts'!$D$5:$D$3000,MATCH(L176&amp;"",'Chart of Accounts'!$A$5:$A$3000,0)),"")</f>
        <v/>
      </c>
      <c r="O176" s="23">
        <f>IFERROR(INDEX('Chart of Accounts'!$C$5:$C$3000,MATCH(M176&amp;"",'Chart of Accounts'!$A$5:$A$3000,0))&amp;"|"&amp;INDEX('Chart of Accounts'!$D$5:$D$3000,MATCH(M176&amp;"",'Chart of Accounts'!$A$5:$A$3000,0)),"")</f>
        <v/>
      </c>
      <c r="P176" s="23">
        <f>IF(LEFT(N176,8)="Revenue|",-N(D176),0)+IF(LEFT(O176,8)="Revenue|",N(D176),0)</f>
        <v/>
      </c>
      <c r="Q176" s="23">
        <f>IF(LEFT(N176,5)="COGS|",N(D176),0)+IF(LEFT(O176,5)="COGS|",-N(D176),0)</f>
        <v/>
      </c>
      <c r="R176" s="23">
        <f>IF(LEFT(N176,8)="Expense|",N(D176),0)+IF(LEFT(O176,8)="Expense|",-N(D176),0)</f>
        <v/>
      </c>
      <c r="S176" s="23">
        <f>IF(ISNUMBER(MATCH(N176,{"Expense|employee","Expense|general_admin","Expense|marketing","Expense|utilities","Expense|other_operating"},0)),N(D176),0)+IF(ISNUMBER(MATCH(O176,{"Expense|employee","Expense|general_admin","Expense|marketing","Expense|utilities","Expense|other_operating"},0)),-N(D176),0)</f>
        <v/>
      </c>
      <c r="T176" s="23">
        <f>IF(N176="Liability|payable",-N(D176),0)+IF(O176="Liability|payable",N(D176),0)</f>
        <v/>
      </c>
      <c r="U176" s="23">
        <f>IF(N176="Liability|accrued",-N(D176),0)+IF(O176="Liability|accrued",N(D176),0)</f>
        <v/>
      </c>
      <c r="V176" s="23">
        <f>IF(AND(N(D176)&lt;&gt;0,N176=""),1,0)+IF(AND(N(D176)&lt;&gt;0,O176=""),1,0)</f>
        <v/>
      </c>
    </row>
    <row r="177">
      <c r="A177" s="19" t="n"/>
      <c r="B177" s="14" t="n"/>
      <c r="C177" s="14" t="n"/>
      <c r="D177" s="20" t="n"/>
      <c r="E177" s="14" t="n"/>
      <c r="F177" s="14" t="n"/>
      <c r="G177" s="14" t="n"/>
      <c r="H177" s="14" t="n"/>
      <c r="I177" s="14" t="n"/>
      <c r="J177" s="16">
        <f>IF(F177="",INDEX('Chart of Accounts'!$A$5:$A$3000,MATCH("bank",'Chart of Accounts'!$F$5:$F$3000,0)),F177&amp;"")</f>
        <v/>
      </c>
      <c r="K177" s="16">
        <f>IF(G177&lt;&gt;"",G177&amp;"",IF(LEFT(C177,7)="Capital",INDEX('Chart of Accounts'!$A$5:$A$3000,MATCH("capital",'Chart of Accounts'!$F$5:$F$3000,0)),INDEX('Chart of Accounts'!$A$5:$A$3000,MATCH("drawings",'Chart of Accounts'!$F$5:$F$3000,0))))</f>
        <v/>
      </c>
      <c r="L177" s="16">
        <f>IF(LEFT(C177,7)="Capital",J177,K177)</f>
        <v/>
      </c>
      <c r="M177" s="16">
        <f>IF(LEFT(C177,7)="Capital",K177,J177)</f>
        <v/>
      </c>
      <c r="N177" s="23">
        <f>IFERROR(INDEX('Chart of Accounts'!$C$5:$C$3000,MATCH(L177&amp;"",'Chart of Accounts'!$A$5:$A$3000,0))&amp;"|"&amp;INDEX('Chart of Accounts'!$D$5:$D$3000,MATCH(L177&amp;"",'Chart of Accounts'!$A$5:$A$3000,0)),"")</f>
        <v/>
      </c>
      <c r="O177" s="23">
        <f>IFERROR(INDEX('Chart of Accounts'!$C$5:$C$3000,MATCH(M177&amp;"",'Chart of Accounts'!$A$5:$A$3000,0))&amp;"|"&amp;INDEX('Chart of Accounts'!$D$5:$D$3000,MATCH(M177&amp;"",'Chart of Accounts'!$A$5:$A$3000,0)),"")</f>
        <v/>
      </c>
      <c r="P177" s="23">
        <f>IF(LEFT(N177,8)="Revenue|",-N(D177),0)+IF(LEFT(O177,8)="Revenue|",N(D177),0)</f>
        <v/>
      </c>
      <c r="Q177" s="23">
        <f>IF(LEFT(N177,5)="COGS|",N(D177),0)+IF(LEFT(O177,5)="COGS|",-N(D177),0)</f>
        <v/>
      </c>
      <c r="R177" s="23">
        <f>IF(LEFT(N177,8)="Expense|",N(D177),0)+IF(LEFT(O177,8)="Expense|",-N(D177),0)</f>
        <v/>
      </c>
      <c r="S177" s="23">
        <f>IF(ISNUMBER(MATCH(N177,{"Expense|employee","Expense|general_admin","Expense|marketing","Expense|utilities","Expense|other_operating"},0)),N(D177),0)+IF(ISNUMBER(MATCH(O177,{"Expense|employee","Expense|general_admin","Expense|marketing","Expense|utilities","Expense|other_operating"},0)),-N(D177),0)</f>
        <v/>
      </c>
      <c r="T177" s="23">
        <f>IF(N177="Liability|payable",-N(D177),0)+IF(O177="Liability|payable",N(D177),0)</f>
        <v/>
      </c>
      <c r="U177" s="23">
        <f>IF(N177="Liability|accrued",-N(D177),0)+IF(O177="Liability|accrued",N(D177),0)</f>
        <v/>
      </c>
      <c r="V177" s="23">
        <f>IF(AND(N(D177)&lt;&gt;0,N177=""),1,0)+IF(AND(N(D177)&lt;&gt;0,O177=""),1,0)</f>
        <v/>
      </c>
    </row>
    <row r="178">
      <c r="A178" s="19" t="n"/>
      <c r="B178" s="14" t="n"/>
      <c r="C178" s="14" t="n"/>
      <c r="D178" s="20" t="n"/>
      <c r="E178" s="14" t="n"/>
      <c r="F178" s="14" t="n"/>
      <c r="G178" s="14" t="n"/>
      <c r="H178" s="14" t="n"/>
      <c r="I178" s="14" t="n"/>
      <c r="J178" s="16">
        <f>IF(F178="",INDEX('Chart of Accounts'!$A$5:$A$3000,MATCH("bank",'Chart of Accounts'!$F$5:$F$3000,0)),F178&amp;"")</f>
        <v/>
      </c>
      <c r="K178" s="16">
        <f>IF(G178&lt;&gt;"",G178&amp;"",IF(LEFT(C178,7)="Capital",INDEX('Chart of Accounts'!$A$5:$A$3000,MATCH("capital",'Chart of Accounts'!$F$5:$F$3000,0)),INDEX('Chart of Accounts'!$A$5:$A$3000,MATCH("drawings",'Chart of Accounts'!$F$5:$F$3000,0))))</f>
        <v/>
      </c>
      <c r="L178" s="16">
        <f>IF(LEFT(C178,7)="Capital",J178,K178)</f>
        <v/>
      </c>
      <c r="M178" s="16">
        <f>IF(LEFT(C178,7)="Capital",K178,J178)</f>
        <v/>
      </c>
      <c r="N178" s="23">
        <f>IFERROR(INDEX('Chart of Accounts'!$C$5:$C$3000,MATCH(L178&amp;"",'Chart of Accounts'!$A$5:$A$3000,0))&amp;"|"&amp;INDEX('Chart of Accounts'!$D$5:$D$3000,MATCH(L178&amp;"",'Chart of Accounts'!$A$5:$A$3000,0)),"")</f>
        <v/>
      </c>
      <c r="O178" s="23">
        <f>IFERROR(INDEX('Chart of Accounts'!$C$5:$C$3000,MATCH(M178&amp;"",'Chart of Accounts'!$A$5:$A$3000,0))&amp;"|"&amp;INDEX('Chart of Accounts'!$D$5:$D$3000,MATCH(M178&amp;"",'Chart of Accounts'!$A$5:$A$3000,0)),"")</f>
        <v/>
      </c>
      <c r="P178" s="23">
        <f>IF(LEFT(N178,8)="Revenue|",-N(D178),0)+IF(LEFT(O178,8)="Revenue|",N(D178),0)</f>
        <v/>
      </c>
      <c r="Q178" s="23">
        <f>IF(LEFT(N178,5)="COGS|",N(D178),0)+IF(LEFT(O178,5)="COGS|",-N(D178),0)</f>
        <v/>
      </c>
      <c r="R178" s="23">
        <f>IF(LEFT(N178,8)="Expense|",N(D178),0)+IF(LEFT(O178,8)="Expense|",-N(D178),0)</f>
        <v/>
      </c>
      <c r="S178" s="23">
        <f>IF(ISNUMBER(MATCH(N178,{"Expense|employee","Expense|general_admin","Expense|marketing","Expense|utilities","Expense|other_operating"},0)),N(D178),0)+IF(ISNUMBER(MATCH(O178,{"Expense|employee","Expense|general_admin","Expense|marketing","Expense|utilities","Expense|other_operating"},0)),-N(D178),0)</f>
        <v/>
      </c>
      <c r="T178" s="23">
        <f>IF(N178="Liability|payable",-N(D178),0)+IF(O178="Liability|payable",N(D178),0)</f>
        <v/>
      </c>
      <c r="U178" s="23">
        <f>IF(N178="Liability|accrued",-N(D178),0)+IF(O178="Liability|accrued",N(D178),0)</f>
        <v/>
      </c>
      <c r="V178" s="23">
        <f>IF(AND(N(D178)&lt;&gt;0,N178=""),1,0)+IF(AND(N(D178)&lt;&gt;0,O178=""),1,0)</f>
        <v/>
      </c>
    </row>
    <row r="179">
      <c r="A179" s="19" t="n"/>
      <c r="B179" s="14" t="n"/>
      <c r="C179" s="14" t="n"/>
      <c r="D179" s="20" t="n"/>
      <c r="E179" s="14" t="n"/>
      <c r="F179" s="14" t="n"/>
      <c r="G179" s="14" t="n"/>
      <c r="H179" s="14" t="n"/>
      <c r="I179" s="14" t="n"/>
      <c r="J179" s="16">
        <f>IF(F179="",INDEX('Chart of Accounts'!$A$5:$A$3000,MATCH("bank",'Chart of Accounts'!$F$5:$F$3000,0)),F179&amp;"")</f>
        <v/>
      </c>
      <c r="K179" s="16">
        <f>IF(G179&lt;&gt;"",G179&amp;"",IF(LEFT(C179,7)="Capital",INDEX('Chart of Accounts'!$A$5:$A$3000,MATCH("capital",'Chart of Accounts'!$F$5:$F$3000,0)),INDEX('Chart of Accounts'!$A$5:$A$3000,MATCH("drawings",'Chart of Accounts'!$F$5:$F$3000,0))))</f>
        <v/>
      </c>
      <c r="L179" s="16">
        <f>IF(LEFT(C179,7)="Capital",J179,K179)</f>
        <v/>
      </c>
      <c r="M179" s="16">
        <f>IF(LEFT(C179,7)="Capital",K179,J179)</f>
        <v/>
      </c>
      <c r="N179" s="23">
        <f>IFERROR(INDEX('Chart of Accounts'!$C$5:$C$3000,MATCH(L179&amp;"",'Chart of Accounts'!$A$5:$A$3000,0))&amp;"|"&amp;INDEX('Chart of Accounts'!$D$5:$D$3000,MATCH(L179&amp;"",'Chart of Accounts'!$A$5:$A$3000,0)),"")</f>
        <v/>
      </c>
      <c r="O179" s="23">
        <f>IFERROR(INDEX('Chart of Accounts'!$C$5:$C$3000,MATCH(M179&amp;"",'Chart of Accounts'!$A$5:$A$3000,0))&amp;"|"&amp;INDEX('Chart of Accounts'!$D$5:$D$3000,MATCH(M179&amp;"",'Chart of Accounts'!$A$5:$A$3000,0)),"")</f>
        <v/>
      </c>
      <c r="P179" s="23">
        <f>IF(LEFT(N179,8)="Revenue|",-N(D179),0)+IF(LEFT(O179,8)="Revenue|",N(D179),0)</f>
        <v/>
      </c>
      <c r="Q179" s="23">
        <f>IF(LEFT(N179,5)="COGS|",N(D179),0)+IF(LEFT(O179,5)="COGS|",-N(D179),0)</f>
        <v/>
      </c>
      <c r="R179" s="23">
        <f>IF(LEFT(N179,8)="Expense|",N(D179),0)+IF(LEFT(O179,8)="Expense|",-N(D179),0)</f>
        <v/>
      </c>
      <c r="S179" s="23">
        <f>IF(ISNUMBER(MATCH(N179,{"Expense|employee","Expense|general_admin","Expense|marketing","Expense|utilities","Expense|other_operating"},0)),N(D179),0)+IF(ISNUMBER(MATCH(O179,{"Expense|employee","Expense|general_admin","Expense|marketing","Expense|utilities","Expense|other_operating"},0)),-N(D179),0)</f>
        <v/>
      </c>
      <c r="T179" s="23">
        <f>IF(N179="Liability|payable",-N(D179),0)+IF(O179="Liability|payable",N(D179),0)</f>
        <v/>
      </c>
      <c r="U179" s="23">
        <f>IF(N179="Liability|accrued",-N(D179),0)+IF(O179="Liability|accrued",N(D179),0)</f>
        <v/>
      </c>
      <c r="V179" s="23">
        <f>IF(AND(N(D179)&lt;&gt;0,N179=""),1,0)+IF(AND(N(D179)&lt;&gt;0,O179=""),1,0)</f>
        <v/>
      </c>
    </row>
    <row r="180">
      <c r="A180" s="19" t="n"/>
      <c r="B180" s="14" t="n"/>
      <c r="C180" s="14" t="n"/>
      <c r="D180" s="20" t="n"/>
      <c r="E180" s="14" t="n"/>
      <c r="F180" s="14" t="n"/>
      <c r="G180" s="14" t="n"/>
      <c r="H180" s="14" t="n"/>
      <c r="I180" s="14" t="n"/>
      <c r="J180" s="16">
        <f>IF(F180="",INDEX('Chart of Accounts'!$A$5:$A$3000,MATCH("bank",'Chart of Accounts'!$F$5:$F$3000,0)),F180&amp;"")</f>
        <v/>
      </c>
      <c r="K180" s="16">
        <f>IF(G180&lt;&gt;"",G180&amp;"",IF(LEFT(C180,7)="Capital",INDEX('Chart of Accounts'!$A$5:$A$3000,MATCH("capital",'Chart of Accounts'!$F$5:$F$3000,0)),INDEX('Chart of Accounts'!$A$5:$A$3000,MATCH("drawings",'Chart of Accounts'!$F$5:$F$3000,0))))</f>
        <v/>
      </c>
      <c r="L180" s="16">
        <f>IF(LEFT(C180,7)="Capital",J180,K180)</f>
        <v/>
      </c>
      <c r="M180" s="16">
        <f>IF(LEFT(C180,7)="Capital",K180,J180)</f>
        <v/>
      </c>
      <c r="N180" s="23">
        <f>IFERROR(INDEX('Chart of Accounts'!$C$5:$C$3000,MATCH(L180&amp;"",'Chart of Accounts'!$A$5:$A$3000,0))&amp;"|"&amp;INDEX('Chart of Accounts'!$D$5:$D$3000,MATCH(L180&amp;"",'Chart of Accounts'!$A$5:$A$3000,0)),"")</f>
        <v/>
      </c>
      <c r="O180" s="23">
        <f>IFERROR(INDEX('Chart of Accounts'!$C$5:$C$3000,MATCH(M180&amp;"",'Chart of Accounts'!$A$5:$A$3000,0))&amp;"|"&amp;INDEX('Chart of Accounts'!$D$5:$D$3000,MATCH(M180&amp;"",'Chart of Accounts'!$A$5:$A$3000,0)),"")</f>
        <v/>
      </c>
      <c r="P180" s="23">
        <f>IF(LEFT(N180,8)="Revenue|",-N(D180),0)+IF(LEFT(O180,8)="Revenue|",N(D180),0)</f>
        <v/>
      </c>
      <c r="Q180" s="23">
        <f>IF(LEFT(N180,5)="COGS|",N(D180),0)+IF(LEFT(O180,5)="COGS|",-N(D180),0)</f>
        <v/>
      </c>
      <c r="R180" s="23">
        <f>IF(LEFT(N180,8)="Expense|",N(D180),0)+IF(LEFT(O180,8)="Expense|",-N(D180),0)</f>
        <v/>
      </c>
      <c r="S180" s="23">
        <f>IF(ISNUMBER(MATCH(N180,{"Expense|employee","Expense|general_admin","Expense|marketing","Expense|utilities","Expense|other_operating"},0)),N(D180),0)+IF(ISNUMBER(MATCH(O180,{"Expense|employee","Expense|general_admin","Expense|marketing","Expense|utilities","Expense|other_operating"},0)),-N(D180),0)</f>
        <v/>
      </c>
      <c r="T180" s="23">
        <f>IF(N180="Liability|payable",-N(D180),0)+IF(O180="Liability|payable",N(D180),0)</f>
        <v/>
      </c>
      <c r="U180" s="23">
        <f>IF(N180="Liability|accrued",-N(D180),0)+IF(O180="Liability|accrued",N(D180),0)</f>
        <v/>
      </c>
      <c r="V180" s="23">
        <f>IF(AND(N(D180)&lt;&gt;0,N180=""),1,0)+IF(AND(N(D180)&lt;&gt;0,O180=""),1,0)</f>
        <v/>
      </c>
    </row>
    <row r="181">
      <c r="A181" s="19" t="n"/>
      <c r="B181" s="14" t="n"/>
      <c r="C181" s="14" t="n"/>
      <c r="D181" s="20" t="n"/>
      <c r="E181" s="14" t="n"/>
      <c r="F181" s="14" t="n"/>
      <c r="G181" s="14" t="n"/>
      <c r="H181" s="14" t="n"/>
      <c r="I181" s="14" t="n"/>
      <c r="J181" s="16">
        <f>IF(F181="",INDEX('Chart of Accounts'!$A$5:$A$3000,MATCH("bank",'Chart of Accounts'!$F$5:$F$3000,0)),F181&amp;"")</f>
        <v/>
      </c>
      <c r="K181" s="16">
        <f>IF(G181&lt;&gt;"",G181&amp;"",IF(LEFT(C181,7)="Capital",INDEX('Chart of Accounts'!$A$5:$A$3000,MATCH("capital",'Chart of Accounts'!$F$5:$F$3000,0)),INDEX('Chart of Accounts'!$A$5:$A$3000,MATCH("drawings",'Chart of Accounts'!$F$5:$F$3000,0))))</f>
        <v/>
      </c>
      <c r="L181" s="16">
        <f>IF(LEFT(C181,7)="Capital",J181,K181)</f>
        <v/>
      </c>
      <c r="M181" s="16">
        <f>IF(LEFT(C181,7)="Capital",K181,J181)</f>
        <v/>
      </c>
      <c r="N181" s="23">
        <f>IFERROR(INDEX('Chart of Accounts'!$C$5:$C$3000,MATCH(L181&amp;"",'Chart of Accounts'!$A$5:$A$3000,0))&amp;"|"&amp;INDEX('Chart of Accounts'!$D$5:$D$3000,MATCH(L181&amp;"",'Chart of Accounts'!$A$5:$A$3000,0)),"")</f>
        <v/>
      </c>
      <c r="O181" s="23">
        <f>IFERROR(INDEX('Chart of Accounts'!$C$5:$C$3000,MATCH(M181&amp;"",'Chart of Accounts'!$A$5:$A$3000,0))&amp;"|"&amp;INDEX('Chart of Accounts'!$D$5:$D$3000,MATCH(M181&amp;"",'Chart of Accounts'!$A$5:$A$3000,0)),"")</f>
        <v/>
      </c>
      <c r="P181" s="23">
        <f>IF(LEFT(N181,8)="Revenue|",-N(D181),0)+IF(LEFT(O181,8)="Revenue|",N(D181),0)</f>
        <v/>
      </c>
      <c r="Q181" s="23">
        <f>IF(LEFT(N181,5)="COGS|",N(D181),0)+IF(LEFT(O181,5)="COGS|",-N(D181),0)</f>
        <v/>
      </c>
      <c r="R181" s="23">
        <f>IF(LEFT(N181,8)="Expense|",N(D181),0)+IF(LEFT(O181,8)="Expense|",-N(D181),0)</f>
        <v/>
      </c>
      <c r="S181" s="23">
        <f>IF(ISNUMBER(MATCH(N181,{"Expense|employee","Expense|general_admin","Expense|marketing","Expense|utilities","Expense|other_operating"},0)),N(D181),0)+IF(ISNUMBER(MATCH(O181,{"Expense|employee","Expense|general_admin","Expense|marketing","Expense|utilities","Expense|other_operating"},0)),-N(D181),0)</f>
        <v/>
      </c>
      <c r="T181" s="23">
        <f>IF(N181="Liability|payable",-N(D181),0)+IF(O181="Liability|payable",N(D181),0)</f>
        <v/>
      </c>
      <c r="U181" s="23">
        <f>IF(N181="Liability|accrued",-N(D181),0)+IF(O181="Liability|accrued",N(D181),0)</f>
        <v/>
      </c>
      <c r="V181" s="23">
        <f>IF(AND(N(D181)&lt;&gt;0,N181=""),1,0)+IF(AND(N(D181)&lt;&gt;0,O181=""),1,0)</f>
        <v/>
      </c>
    </row>
    <row r="182">
      <c r="A182" s="19" t="n"/>
      <c r="B182" s="14" t="n"/>
      <c r="C182" s="14" t="n"/>
      <c r="D182" s="20" t="n"/>
      <c r="E182" s="14" t="n"/>
      <c r="F182" s="14" t="n"/>
      <c r="G182" s="14" t="n"/>
      <c r="H182" s="14" t="n"/>
      <c r="I182" s="14" t="n"/>
      <c r="J182" s="16">
        <f>IF(F182="",INDEX('Chart of Accounts'!$A$5:$A$3000,MATCH("bank",'Chart of Accounts'!$F$5:$F$3000,0)),F182&amp;"")</f>
        <v/>
      </c>
      <c r="K182" s="16">
        <f>IF(G182&lt;&gt;"",G182&amp;"",IF(LEFT(C182,7)="Capital",INDEX('Chart of Accounts'!$A$5:$A$3000,MATCH("capital",'Chart of Accounts'!$F$5:$F$3000,0)),INDEX('Chart of Accounts'!$A$5:$A$3000,MATCH("drawings",'Chart of Accounts'!$F$5:$F$3000,0))))</f>
        <v/>
      </c>
      <c r="L182" s="16">
        <f>IF(LEFT(C182,7)="Capital",J182,K182)</f>
        <v/>
      </c>
      <c r="M182" s="16">
        <f>IF(LEFT(C182,7)="Capital",K182,J182)</f>
        <v/>
      </c>
      <c r="N182" s="23">
        <f>IFERROR(INDEX('Chart of Accounts'!$C$5:$C$3000,MATCH(L182&amp;"",'Chart of Accounts'!$A$5:$A$3000,0))&amp;"|"&amp;INDEX('Chart of Accounts'!$D$5:$D$3000,MATCH(L182&amp;"",'Chart of Accounts'!$A$5:$A$3000,0)),"")</f>
        <v/>
      </c>
      <c r="O182" s="23">
        <f>IFERROR(INDEX('Chart of Accounts'!$C$5:$C$3000,MATCH(M182&amp;"",'Chart of Accounts'!$A$5:$A$3000,0))&amp;"|"&amp;INDEX('Chart of Accounts'!$D$5:$D$3000,MATCH(M182&amp;"",'Chart of Accounts'!$A$5:$A$3000,0)),"")</f>
        <v/>
      </c>
      <c r="P182" s="23">
        <f>IF(LEFT(N182,8)="Revenue|",-N(D182),0)+IF(LEFT(O182,8)="Revenue|",N(D182),0)</f>
        <v/>
      </c>
      <c r="Q182" s="23">
        <f>IF(LEFT(N182,5)="COGS|",N(D182),0)+IF(LEFT(O182,5)="COGS|",-N(D182),0)</f>
        <v/>
      </c>
      <c r="R182" s="23">
        <f>IF(LEFT(N182,8)="Expense|",N(D182),0)+IF(LEFT(O182,8)="Expense|",-N(D182),0)</f>
        <v/>
      </c>
      <c r="S182" s="23">
        <f>IF(ISNUMBER(MATCH(N182,{"Expense|employee","Expense|general_admin","Expense|marketing","Expense|utilities","Expense|other_operating"},0)),N(D182),0)+IF(ISNUMBER(MATCH(O182,{"Expense|employee","Expense|general_admin","Expense|marketing","Expense|utilities","Expense|other_operating"},0)),-N(D182),0)</f>
        <v/>
      </c>
      <c r="T182" s="23">
        <f>IF(N182="Liability|payable",-N(D182),0)+IF(O182="Liability|payable",N(D182),0)</f>
        <v/>
      </c>
      <c r="U182" s="23">
        <f>IF(N182="Liability|accrued",-N(D182),0)+IF(O182="Liability|accrued",N(D182),0)</f>
        <v/>
      </c>
      <c r="V182" s="23">
        <f>IF(AND(N(D182)&lt;&gt;0,N182=""),1,0)+IF(AND(N(D182)&lt;&gt;0,O182=""),1,0)</f>
        <v/>
      </c>
    </row>
    <row r="183">
      <c r="A183" s="19" t="n"/>
      <c r="B183" s="14" t="n"/>
      <c r="C183" s="14" t="n"/>
      <c r="D183" s="20" t="n"/>
      <c r="E183" s="14" t="n"/>
      <c r="F183" s="14" t="n"/>
      <c r="G183" s="14" t="n"/>
      <c r="H183" s="14" t="n"/>
      <c r="I183" s="14" t="n"/>
      <c r="J183" s="16">
        <f>IF(F183="",INDEX('Chart of Accounts'!$A$5:$A$3000,MATCH("bank",'Chart of Accounts'!$F$5:$F$3000,0)),F183&amp;"")</f>
        <v/>
      </c>
      <c r="K183" s="16">
        <f>IF(G183&lt;&gt;"",G183&amp;"",IF(LEFT(C183,7)="Capital",INDEX('Chart of Accounts'!$A$5:$A$3000,MATCH("capital",'Chart of Accounts'!$F$5:$F$3000,0)),INDEX('Chart of Accounts'!$A$5:$A$3000,MATCH("drawings",'Chart of Accounts'!$F$5:$F$3000,0))))</f>
        <v/>
      </c>
      <c r="L183" s="16">
        <f>IF(LEFT(C183,7)="Capital",J183,K183)</f>
        <v/>
      </c>
      <c r="M183" s="16">
        <f>IF(LEFT(C183,7)="Capital",K183,J183)</f>
        <v/>
      </c>
      <c r="N183" s="23">
        <f>IFERROR(INDEX('Chart of Accounts'!$C$5:$C$3000,MATCH(L183&amp;"",'Chart of Accounts'!$A$5:$A$3000,0))&amp;"|"&amp;INDEX('Chart of Accounts'!$D$5:$D$3000,MATCH(L183&amp;"",'Chart of Accounts'!$A$5:$A$3000,0)),"")</f>
        <v/>
      </c>
      <c r="O183" s="23">
        <f>IFERROR(INDEX('Chart of Accounts'!$C$5:$C$3000,MATCH(M183&amp;"",'Chart of Accounts'!$A$5:$A$3000,0))&amp;"|"&amp;INDEX('Chart of Accounts'!$D$5:$D$3000,MATCH(M183&amp;"",'Chart of Accounts'!$A$5:$A$3000,0)),"")</f>
        <v/>
      </c>
      <c r="P183" s="23">
        <f>IF(LEFT(N183,8)="Revenue|",-N(D183),0)+IF(LEFT(O183,8)="Revenue|",N(D183),0)</f>
        <v/>
      </c>
      <c r="Q183" s="23">
        <f>IF(LEFT(N183,5)="COGS|",N(D183),0)+IF(LEFT(O183,5)="COGS|",-N(D183),0)</f>
        <v/>
      </c>
      <c r="R183" s="23">
        <f>IF(LEFT(N183,8)="Expense|",N(D183),0)+IF(LEFT(O183,8)="Expense|",-N(D183),0)</f>
        <v/>
      </c>
      <c r="S183" s="23">
        <f>IF(ISNUMBER(MATCH(N183,{"Expense|employee","Expense|general_admin","Expense|marketing","Expense|utilities","Expense|other_operating"},0)),N(D183),0)+IF(ISNUMBER(MATCH(O183,{"Expense|employee","Expense|general_admin","Expense|marketing","Expense|utilities","Expense|other_operating"},0)),-N(D183),0)</f>
        <v/>
      </c>
      <c r="T183" s="23">
        <f>IF(N183="Liability|payable",-N(D183),0)+IF(O183="Liability|payable",N(D183),0)</f>
        <v/>
      </c>
      <c r="U183" s="23">
        <f>IF(N183="Liability|accrued",-N(D183),0)+IF(O183="Liability|accrued",N(D183),0)</f>
        <v/>
      </c>
      <c r="V183" s="23">
        <f>IF(AND(N(D183)&lt;&gt;0,N183=""),1,0)+IF(AND(N(D183)&lt;&gt;0,O183=""),1,0)</f>
        <v/>
      </c>
    </row>
    <row r="184">
      <c r="A184" s="19" t="n"/>
      <c r="B184" s="14" t="n"/>
      <c r="C184" s="14" t="n"/>
      <c r="D184" s="20" t="n"/>
      <c r="E184" s="14" t="n"/>
      <c r="F184" s="14" t="n"/>
      <c r="G184" s="14" t="n"/>
      <c r="H184" s="14" t="n"/>
      <c r="I184" s="14" t="n"/>
      <c r="J184" s="16">
        <f>IF(F184="",INDEX('Chart of Accounts'!$A$5:$A$3000,MATCH("bank",'Chart of Accounts'!$F$5:$F$3000,0)),F184&amp;"")</f>
        <v/>
      </c>
      <c r="K184" s="16">
        <f>IF(G184&lt;&gt;"",G184&amp;"",IF(LEFT(C184,7)="Capital",INDEX('Chart of Accounts'!$A$5:$A$3000,MATCH("capital",'Chart of Accounts'!$F$5:$F$3000,0)),INDEX('Chart of Accounts'!$A$5:$A$3000,MATCH("drawings",'Chart of Accounts'!$F$5:$F$3000,0))))</f>
        <v/>
      </c>
      <c r="L184" s="16">
        <f>IF(LEFT(C184,7)="Capital",J184,K184)</f>
        <v/>
      </c>
      <c r="M184" s="16">
        <f>IF(LEFT(C184,7)="Capital",K184,J184)</f>
        <v/>
      </c>
      <c r="N184" s="23">
        <f>IFERROR(INDEX('Chart of Accounts'!$C$5:$C$3000,MATCH(L184&amp;"",'Chart of Accounts'!$A$5:$A$3000,0))&amp;"|"&amp;INDEX('Chart of Accounts'!$D$5:$D$3000,MATCH(L184&amp;"",'Chart of Accounts'!$A$5:$A$3000,0)),"")</f>
        <v/>
      </c>
      <c r="O184" s="23">
        <f>IFERROR(INDEX('Chart of Accounts'!$C$5:$C$3000,MATCH(M184&amp;"",'Chart of Accounts'!$A$5:$A$3000,0))&amp;"|"&amp;INDEX('Chart of Accounts'!$D$5:$D$3000,MATCH(M184&amp;"",'Chart of Accounts'!$A$5:$A$3000,0)),"")</f>
        <v/>
      </c>
      <c r="P184" s="23">
        <f>IF(LEFT(N184,8)="Revenue|",-N(D184),0)+IF(LEFT(O184,8)="Revenue|",N(D184),0)</f>
        <v/>
      </c>
      <c r="Q184" s="23">
        <f>IF(LEFT(N184,5)="COGS|",N(D184),0)+IF(LEFT(O184,5)="COGS|",-N(D184),0)</f>
        <v/>
      </c>
      <c r="R184" s="23">
        <f>IF(LEFT(N184,8)="Expense|",N(D184),0)+IF(LEFT(O184,8)="Expense|",-N(D184),0)</f>
        <v/>
      </c>
      <c r="S184" s="23">
        <f>IF(ISNUMBER(MATCH(N184,{"Expense|employee","Expense|general_admin","Expense|marketing","Expense|utilities","Expense|other_operating"},0)),N(D184),0)+IF(ISNUMBER(MATCH(O184,{"Expense|employee","Expense|general_admin","Expense|marketing","Expense|utilities","Expense|other_operating"},0)),-N(D184),0)</f>
        <v/>
      </c>
      <c r="T184" s="23">
        <f>IF(N184="Liability|payable",-N(D184),0)+IF(O184="Liability|payable",N(D184),0)</f>
        <v/>
      </c>
      <c r="U184" s="23">
        <f>IF(N184="Liability|accrued",-N(D184),0)+IF(O184="Liability|accrued",N(D184),0)</f>
        <v/>
      </c>
      <c r="V184" s="23">
        <f>IF(AND(N(D184)&lt;&gt;0,N184=""),1,0)+IF(AND(N(D184)&lt;&gt;0,O184=""),1,0)</f>
        <v/>
      </c>
    </row>
    <row r="185">
      <c r="A185" s="19" t="n"/>
      <c r="B185" s="14" t="n"/>
      <c r="C185" s="14" t="n"/>
      <c r="D185" s="20" t="n"/>
      <c r="E185" s="14" t="n"/>
      <c r="F185" s="14" t="n"/>
      <c r="G185" s="14" t="n"/>
      <c r="H185" s="14" t="n"/>
      <c r="I185" s="14" t="n"/>
      <c r="J185" s="16">
        <f>IF(F185="",INDEX('Chart of Accounts'!$A$5:$A$3000,MATCH("bank",'Chart of Accounts'!$F$5:$F$3000,0)),F185&amp;"")</f>
        <v/>
      </c>
      <c r="K185" s="16">
        <f>IF(G185&lt;&gt;"",G185&amp;"",IF(LEFT(C185,7)="Capital",INDEX('Chart of Accounts'!$A$5:$A$3000,MATCH("capital",'Chart of Accounts'!$F$5:$F$3000,0)),INDEX('Chart of Accounts'!$A$5:$A$3000,MATCH("drawings",'Chart of Accounts'!$F$5:$F$3000,0))))</f>
        <v/>
      </c>
      <c r="L185" s="16">
        <f>IF(LEFT(C185,7)="Capital",J185,K185)</f>
        <v/>
      </c>
      <c r="M185" s="16">
        <f>IF(LEFT(C185,7)="Capital",K185,J185)</f>
        <v/>
      </c>
      <c r="N185" s="23">
        <f>IFERROR(INDEX('Chart of Accounts'!$C$5:$C$3000,MATCH(L185&amp;"",'Chart of Accounts'!$A$5:$A$3000,0))&amp;"|"&amp;INDEX('Chart of Accounts'!$D$5:$D$3000,MATCH(L185&amp;"",'Chart of Accounts'!$A$5:$A$3000,0)),"")</f>
        <v/>
      </c>
      <c r="O185" s="23">
        <f>IFERROR(INDEX('Chart of Accounts'!$C$5:$C$3000,MATCH(M185&amp;"",'Chart of Accounts'!$A$5:$A$3000,0))&amp;"|"&amp;INDEX('Chart of Accounts'!$D$5:$D$3000,MATCH(M185&amp;"",'Chart of Accounts'!$A$5:$A$3000,0)),"")</f>
        <v/>
      </c>
      <c r="P185" s="23">
        <f>IF(LEFT(N185,8)="Revenue|",-N(D185),0)+IF(LEFT(O185,8)="Revenue|",N(D185),0)</f>
        <v/>
      </c>
      <c r="Q185" s="23">
        <f>IF(LEFT(N185,5)="COGS|",N(D185),0)+IF(LEFT(O185,5)="COGS|",-N(D185),0)</f>
        <v/>
      </c>
      <c r="R185" s="23">
        <f>IF(LEFT(N185,8)="Expense|",N(D185),0)+IF(LEFT(O185,8)="Expense|",-N(D185),0)</f>
        <v/>
      </c>
      <c r="S185" s="23">
        <f>IF(ISNUMBER(MATCH(N185,{"Expense|employee","Expense|general_admin","Expense|marketing","Expense|utilities","Expense|other_operating"},0)),N(D185),0)+IF(ISNUMBER(MATCH(O185,{"Expense|employee","Expense|general_admin","Expense|marketing","Expense|utilities","Expense|other_operating"},0)),-N(D185),0)</f>
        <v/>
      </c>
      <c r="T185" s="23">
        <f>IF(N185="Liability|payable",-N(D185),0)+IF(O185="Liability|payable",N(D185),0)</f>
        <v/>
      </c>
      <c r="U185" s="23">
        <f>IF(N185="Liability|accrued",-N(D185),0)+IF(O185="Liability|accrued",N(D185),0)</f>
        <v/>
      </c>
      <c r="V185" s="23">
        <f>IF(AND(N(D185)&lt;&gt;0,N185=""),1,0)+IF(AND(N(D185)&lt;&gt;0,O185=""),1,0)</f>
        <v/>
      </c>
    </row>
    <row r="186">
      <c r="A186" s="19" t="n"/>
      <c r="B186" s="14" t="n"/>
      <c r="C186" s="14" t="n"/>
      <c r="D186" s="20" t="n"/>
      <c r="E186" s="14" t="n"/>
      <c r="F186" s="14" t="n"/>
      <c r="G186" s="14" t="n"/>
      <c r="H186" s="14" t="n"/>
      <c r="I186" s="14" t="n"/>
      <c r="J186" s="16">
        <f>IF(F186="",INDEX('Chart of Accounts'!$A$5:$A$3000,MATCH("bank",'Chart of Accounts'!$F$5:$F$3000,0)),F186&amp;"")</f>
        <v/>
      </c>
      <c r="K186" s="16">
        <f>IF(G186&lt;&gt;"",G186&amp;"",IF(LEFT(C186,7)="Capital",INDEX('Chart of Accounts'!$A$5:$A$3000,MATCH("capital",'Chart of Accounts'!$F$5:$F$3000,0)),INDEX('Chart of Accounts'!$A$5:$A$3000,MATCH("drawings",'Chart of Accounts'!$F$5:$F$3000,0))))</f>
        <v/>
      </c>
      <c r="L186" s="16">
        <f>IF(LEFT(C186,7)="Capital",J186,K186)</f>
        <v/>
      </c>
      <c r="M186" s="16">
        <f>IF(LEFT(C186,7)="Capital",K186,J186)</f>
        <v/>
      </c>
      <c r="N186" s="23">
        <f>IFERROR(INDEX('Chart of Accounts'!$C$5:$C$3000,MATCH(L186&amp;"",'Chart of Accounts'!$A$5:$A$3000,0))&amp;"|"&amp;INDEX('Chart of Accounts'!$D$5:$D$3000,MATCH(L186&amp;"",'Chart of Accounts'!$A$5:$A$3000,0)),"")</f>
        <v/>
      </c>
      <c r="O186" s="23">
        <f>IFERROR(INDEX('Chart of Accounts'!$C$5:$C$3000,MATCH(M186&amp;"",'Chart of Accounts'!$A$5:$A$3000,0))&amp;"|"&amp;INDEX('Chart of Accounts'!$D$5:$D$3000,MATCH(M186&amp;"",'Chart of Accounts'!$A$5:$A$3000,0)),"")</f>
        <v/>
      </c>
      <c r="P186" s="23">
        <f>IF(LEFT(N186,8)="Revenue|",-N(D186),0)+IF(LEFT(O186,8)="Revenue|",N(D186),0)</f>
        <v/>
      </c>
      <c r="Q186" s="23">
        <f>IF(LEFT(N186,5)="COGS|",N(D186),0)+IF(LEFT(O186,5)="COGS|",-N(D186),0)</f>
        <v/>
      </c>
      <c r="R186" s="23">
        <f>IF(LEFT(N186,8)="Expense|",N(D186),0)+IF(LEFT(O186,8)="Expense|",-N(D186),0)</f>
        <v/>
      </c>
      <c r="S186" s="23">
        <f>IF(ISNUMBER(MATCH(N186,{"Expense|employee","Expense|general_admin","Expense|marketing","Expense|utilities","Expense|other_operating"},0)),N(D186),0)+IF(ISNUMBER(MATCH(O186,{"Expense|employee","Expense|general_admin","Expense|marketing","Expense|utilities","Expense|other_operating"},0)),-N(D186),0)</f>
        <v/>
      </c>
      <c r="T186" s="23">
        <f>IF(N186="Liability|payable",-N(D186),0)+IF(O186="Liability|payable",N(D186),0)</f>
        <v/>
      </c>
      <c r="U186" s="23">
        <f>IF(N186="Liability|accrued",-N(D186),0)+IF(O186="Liability|accrued",N(D186),0)</f>
        <v/>
      </c>
      <c r="V186" s="23">
        <f>IF(AND(N(D186)&lt;&gt;0,N186=""),1,0)+IF(AND(N(D186)&lt;&gt;0,O186=""),1,0)</f>
        <v/>
      </c>
    </row>
    <row r="187">
      <c r="A187" s="19" t="n"/>
      <c r="B187" s="14" t="n"/>
      <c r="C187" s="14" t="n"/>
      <c r="D187" s="20" t="n"/>
      <c r="E187" s="14" t="n"/>
      <c r="F187" s="14" t="n"/>
      <c r="G187" s="14" t="n"/>
      <c r="H187" s="14" t="n"/>
      <c r="I187" s="14" t="n"/>
      <c r="J187" s="16">
        <f>IF(F187="",INDEX('Chart of Accounts'!$A$5:$A$3000,MATCH("bank",'Chart of Accounts'!$F$5:$F$3000,0)),F187&amp;"")</f>
        <v/>
      </c>
      <c r="K187" s="16">
        <f>IF(G187&lt;&gt;"",G187&amp;"",IF(LEFT(C187,7)="Capital",INDEX('Chart of Accounts'!$A$5:$A$3000,MATCH("capital",'Chart of Accounts'!$F$5:$F$3000,0)),INDEX('Chart of Accounts'!$A$5:$A$3000,MATCH("drawings",'Chart of Accounts'!$F$5:$F$3000,0))))</f>
        <v/>
      </c>
      <c r="L187" s="16">
        <f>IF(LEFT(C187,7)="Capital",J187,K187)</f>
        <v/>
      </c>
      <c r="M187" s="16">
        <f>IF(LEFT(C187,7)="Capital",K187,J187)</f>
        <v/>
      </c>
      <c r="N187" s="23">
        <f>IFERROR(INDEX('Chart of Accounts'!$C$5:$C$3000,MATCH(L187&amp;"",'Chart of Accounts'!$A$5:$A$3000,0))&amp;"|"&amp;INDEX('Chart of Accounts'!$D$5:$D$3000,MATCH(L187&amp;"",'Chart of Accounts'!$A$5:$A$3000,0)),"")</f>
        <v/>
      </c>
      <c r="O187" s="23">
        <f>IFERROR(INDEX('Chart of Accounts'!$C$5:$C$3000,MATCH(M187&amp;"",'Chart of Accounts'!$A$5:$A$3000,0))&amp;"|"&amp;INDEX('Chart of Accounts'!$D$5:$D$3000,MATCH(M187&amp;"",'Chart of Accounts'!$A$5:$A$3000,0)),"")</f>
        <v/>
      </c>
      <c r="P187" s="23">
        <f>IF(LEFT(N187,8)="Revenue|",-N(D187),0)+IF(LEFT(O187,8)="Revenue|",N(D187),0)</f>
        <v/>
      </c>
      <c r="Q187" s="23">
        <f>IF(LEFT(N187,5)="COGS|",N(D187),0)+IF(LEFT(O187,5)="COGS|",-N(D187),0)</f>
        <v/>
      </c>
      <c r="R187" s="23">
        <f>IF(LEFT(N187,8)="Expense|",N(D187),0)+IF(LEFT(O187,8)="Expense|",-N(D187),0)</f>
        <v/>
      </c>
      <c r="S187" s="23">
        <f>IF(ISNUMBER(MATCH(N187,{"Expense|employee","Expense|general_admin","Expense|marketing","Expense|utilities","Expense|other_operating"},0)),N(D187),0)+IF(ISNUMBER(MATCH(O187,{"Expense|employee","Expense|general_admin","Expense|marketing","Expense|utilities","Expense|other_operating"},0)),-N(D187),0)</f>
        <v/>
      </c>
      <c r="T187" s="23">
        <f>IF(N187="Liability|payable",-N(D187),0)+IF(O187="Liability|payable",N(D187),0)</f>
        <v/>
      </c>
      <c r="U187" s="23">
        <f>IF(N187="Liability|accrued",-N(D187),0)+IF(O187="Liability|accrued",N(D187),0)</f>
        <v/>
      </c>
      <c r="V187" s="23">
        <f>IF(AND(N(D187)&lt;&gt;0,N187=""),1,0)+IF(AND(N(D187)&lt;&gt;0,O187=""),1,0)</f>
        <v/>
      </c>
    </row>
    <row r="188">
      <c r="A188" s="19" t="n"/>
      <c r="B188" s="14" t="n"/>
      <c r="C188" s="14" t="n"/>
      <c r="D188" s="20" t="n"/>
      <c r="E188" s="14" t="n"/>
      <c r="F188" s="14" t="n"/>
      <c r="G188" s="14" t="n"/>
      <c r="H188" s="14" t="n"/>
      <c r="I188" s="14" t="n"/>
      <c r="J188" s="16">
        <f>IF(F188="",INDEX('Chart of Accounts'!$A$5:$A$3000,MATCH("bank",'Chart of Accounts'!$F$5:$F$3000,0)),F188&amp;"")</f>
        <v/>
      </c>
      <c r="K188" s="16">
        <f>IF(G188&lt;&gt;"",G188&amp;"",IF(LEFT(C188,7)="Capital",INDEX('Chart of Accounts'!$A$5:$A$3000,MATCH("capital",'Chart of Accounts'!$F$5:$F$3000,0)),INDEX('Chart of Accounts'!$A$5:$A$3000,MATCH("drawings",'Chart of Accounts'!$F$5:$F$3000,0))))</f>
        <v/>
      </c>
      <c r="L188" s="16">
        <f>IF(LEFT(C188,7)="Capital",J188,K188)</f>
        <v/>
      </c>
      <c r="M188" s="16">
        <f>IF(LEFT(C188,7)="Capital",K188,J188)</f>
        <v/>
      </c>
      <c r="N188" s="23">
        <f>IFERROR(INDEX('Chart of Accounts'!$C$5:$C$3000,MATCH(L188&amp;"",'Chart of Accounts'!$A$5:$A$3000,0))&amp;"|"&amp;INDEX('Chart of Accounts'!$D$5:$D$3000,MATCH(L188&amp;"",'Chart of Accounts'!$A$5:$A$3000,0)),"")</f>
        <v/>
      </c>
      <c r="O188" s="23">
        <f>IFERROR(INDEX('Chart of Accounts'!$C$5:$C$3000,MATCH(M188&amp;"",'Chart of Accounts'!$A$5:$A$3000,0))&amp;"|"&amp;INDEX('Chart of Accounts'!$D$5:$D$3000,MATCH(M188&amp;"",'Chart of Accounts'!$A$5:$A$3000,0)),"")</f>
        <v/>
      </c>
      <c r="P188" s="23">
        <f>IF(LEFT(N188,8)="Revenue|",-N(D188),0)+IF(LEFT(O188,8)="Revenue|",N(D188),0)</f>
        <v/>
      </c>
      <c r="Q188" s="23">
        <f>IF(LEFT(N188,5)="COGS|",N(D188),0)+IF(LEFT(O188,5)="COGS|",-N(D188),0)</f>
        <v/>
      </c>
      <c r="R188" s="23">
        <f>IF(LEFT(N188,8)="Expense|",N(D188),0)+IF(LEFT(O188,8)="Expense|",-N(D188),0)</f>
        <v/>
      </c>
      <c r="S188" s="23">
        <f>IF(ISNUMBER(MATCH(N188,{"Expense|employee","Expense|general_admin","Expense|marketing","Expense|utilities","Expense|other_operating"},0)),N(D188),0)+IF(ISNUMBER(MATCH(O188,{"Expense|employee","Expense|general_admin","Expense|marketing","Expense|utilities","Expense|other_operating"},0)),-N(D188),0)</f>
        <v/>
      </c>
      <c r="T188" s="23">
        <f>IF(N188="Liability|payable",-N(D188),0)+IF(O188="Liability|payable",N(D188),0)</f>
        <v/>
      </c>
      <c r="U188" s="23">
        <f>IF(N188="Liability|accrued",-N(D188),0)+IF(O188="Liability|accrued",N(D188),0)</f>
        <v/>
      </c>
      <c r="V188" s="23">
        <f>IF(AND(N(D188)&lt;&gt;0,N188=""),1,0)+IF(AND(N(D188)&lt;&gt;0,O188=""),1,0)</f>
        <v/>
      </c>
    </row>
    <row r="189">
      <c r="A189" s="19" t="n"/>
      <c r="B189" s="14" t="n"/>
      <c r="C189" s="14" t="n"/>
      <c r="D189" s="20" t="n"/>
      <c r="E189" s="14" t="n"/>
      <c r="F189" s="14" t="n"/>
      <c r="G189" s="14" t="n"/>
      <c r="H189" s="14" t="n"/>
      <c r="I189" s="14" t="n"/>
      <c r="J189" s="16">
        <f>IF(F189="",INDEX('Chart of Accounts'!$A$5:$A$3000,MATCH("bank",'Chart of Accounts'!$F$5:$F$3000,0)),F189&amp;"")</f>
        <v/>
      </c>
      <c r="K189" s="16">
        <f>IF(G189&lt;&gt;"",G189&amp;"",IF(LEFT(C189,7)="Capital",INDEX('Chart of Accounts'!$A$5:$A$3000,MATCH("capital",'Chart of Accounts'!$F$5:$F$3000,0)),INDEX('Chart of Accounts'!$A$5:$A$3000,MATCH("drawings",'Chart of Accounts'!$F$5:$F$3000,0))))</f>
        <v/>
      </c>
      <c r="L189" s="16">
        <f>IF(LEFT(C189,7)="Capital",J189,K189)</f>
        <v/>
      </c>
      <c r="M189" s="16">
        <f>IF(LEFT(C189,7)="Capital",K189,J189)</f>
        <v/>
      </c>
      <c r="N189" s="23">
        <f>IFERROR(INDEX('Chart of Accounts'!$C$5:$C$3000,MATCH(L189&amp;"",'Chart of Accounts'!$A$5:$A$3000,0))&amp;"|"&amp;INDEX('Chart of Accounts'!$D$5:$D$3000,MATCH(L189&amp;"",'Chart of Accounts'!$A$5:$A$3000,0)),"")</f>
        <v/>
      </c>
      <c r="O189" s="23">
        <f>IFERROR(INDEX('Chart of Accounts'!$C$5:$C$3000,MATCH(M189&amp;"",'Chart of Accounts'!$A$5:$A$3000,0))&amp;"|"&amp;INDEX('Chart of Accounts'!$D$5:$D$3000,MATCH(M189&amp;"",'Chart of Accounts'!$A$5:$A$3000,0)),"")</f>
        <v/>
      </c>
      <c r="P189" s="23">
        <f>IF(LEFT(N189,8)="Revenue|",-N(D189),0)+IF(LEFT(O189,8)="Revenue|",N(D189),0)</f>
        <v/>
      </c>
      <c r="Q189" s="23">
        <f>IF(LEFT(N189,5)="COGS|",N(D189),0)+IF(LEFT(O189,5)="COGS|",-N(D189),0)</f>
        <v/>
      </c>
      <c r="R189" s="23">
        <f>IF(LEFT(N189,8)="Expense|",N(D189),0)+IF(LEFT(O189,8)="Expense|",-N(D189),0)</f>
        <v/>
      </c>
      <c r="S189" s="23">
        <f>IF(ISNUMBER(MATCH(N189,{"Expense|employee","Expense|general_admin","Expense|marketing","Expense|utilities","Expense|other_operating"},0)),N(D189),0)+IF(ISNUMBER(MATCH(O189,{"Expense|employee","Expense|general_admin","Expense|marketing","Expense|utilities","Expense|other_operating"},0)),-N(D189),0)</f>
        <v/>
      </c>
      <c r="T189" s="23">
        <f>IF(N189="Liability|payable",-N(D189),0)+IF(O189="Liability|payable",N(D189),0)</f>
        <v/>
      </c>
      <c r="U189" s="23">
        <f>IF(N189="Liability|accrued",-N(D189),0)+IF(O189="Liability|accrued",N(D189),0)</f>
        <v/>
      </c>
      <c r="V189" s="23">
        <f>IF(AND(N(D189)&lt;&gt;0,N189=""),1,0)+IF(AND(N(D189)&lt;&gt;0,O189=""),1,0)</f>
        <v/>
      </c>
    </row>
    <row r="190">
      <c r="A190" s="19" t="n"/>
      <c r="B190" s="14" t="n"/>
      <c r="C190" s="14" t="n"/>
      <c r="D190" s="20" t="n"/>
      <c r="E190" s="14" t="n"/>
      <c r="F190" s="14" t="n"/>
      <c r="G190" s="14" t="n"/>
      <c r="H190" s="14" t="n"/>
      <c r="I190" s="14" t="n"/>
      <c r="J190" s="16">
        <f>IF(F190="",INDEX('Chart of Accounts'!$A$5:$A$3000,MATCH("bank",'Chart of Accounts'!$F$5:$F$3000,0)),F190&amp;"")</f>
        <v/>
      </c>
      <c r="K190" s="16">
        <f>IF(G190&lt;&gt;"",G190&amp;"",IF(LEFT(C190,7)="Capital",INDEX('Chart of Accounts'!$A$5:$A$3000,MATCH("capital",'Chart of Accounts'!$F$5:$F$3000,0)),INDEX('Chart of Accounts'!$A$5:$A$3000,MATCH("drawings",'Chart of Accounts'!$F$5:$F$3000,0))))</f>
        <v/>
      </c>
      <c r="L190" s="16">
        <f>IF(LEFT(C190,7)="Capital",J190,K190)</f>
        <v/>
      </c>
      <c r="M190" s="16">
        <f>IF(LEFT(C190,7)="Capital",K190,J190)</f>
        <v/>
      </c>
      <c r="N190" s="23">
        <f>IFERROR(INDEX('Chart of Accounts'!$C$5:$C$3000,MATCH(L190&amp;"",'Chart of Accounts'!$A$5:$A$3000,0))&amp;"|"&amp;INDEX('Chart of Accounts'!$D$5:$D$3000,MATCH(L190&amp;"",'Chart of Accounts'!$A$5:$A$3000,0)),"")</f>
        <v/>
      </c>
      <c r="O190" s="23">
        <f>IFERROR(INDEX('Chart of Accounts'!$C$5:$C$3000,MATCH(M190&amp;"",'Chart of Accounts'!$A$5:$A$3000,0))&amp;"|"&amp;INDEX('Chart of Accounts'!$D$5:$D$3000,MATCH(M190&amp;"",'Chart of Accounts'!$A$5:$A$3000,0)),"")</f>
        <v/>
      </c>
      <c r="P190" s="23">
        <f>IF(LEFT(N190,8)="Revenue|",-N(D190),0)+IF(LEFT(O190,8)="Revenue|",N(D190),0)</f>
        <v/>
      </c>
      <c r="Q190" s="23">
        <f>IF(LEFT(N190,5)="COGS|",N(D190),0)+IF(LEFT(O190,5)="COGS|",-N(D190),0)</f>
        <v/>
      </c>
      <c r="R190" s="23">
        <f>IF(LEFT(N190,8)="Expense|",N(D190),0)+IF(LEFT(O190,8)="Expense|",-N(D190),0)</f>
        <v/>
      </c>
      <c r="S190" s="23">
        <f>IF(ISNUMBER(MATCH(N190,{"Expense|employee","Expense|general_admin","Expense|marketing","Expense|utilities","Expense|other_operating"},0)),N(D190),0)+IF(ISNUMBER(MATCH(O190,{"Expense|employee","Expense|general_admin","Expense|marketing","Expense|utilities","Expense|other_operating"},0)),-N(D190),0)</f>
        <v/>
      </c>
      <c r="T190" s="23">
        <f>IF(N190="Liability|payable",-N(D190),0)+IF(O190="Liability|payable",N(D190),0)</f>
        <v/>
      </c>
      <c r="U190" s="23">
        <f>IF(N190="Liability|accrued",-N(D190),0)+IF(O190="Liability|accrued",N(D190),0)</f>
        <v/>
      </c>
      <c r="V190" s="23">
        <f>IF(AND(N(D190)&lt;&gt;0,N190=""),1,0)+IF(AND(N(D190)&lt;&gt;0,O190=""),1,0)</f>
        <v/>
      </c>
    </row>
    <row r="191">
      <c r="A191" s="19" t="n"/>
      <c r="B191" s="14" t="n"/>
      <c r="C191" s="14" t="n"/>
      <c r="D191" s="20" t="n"/>
      <c r="E191" s="14" t="n"/>
      <c r="F191" s="14" t="n"/>
      <c r="G191" s="14" t="n"/>
      <c r="H191" s="14" t="n"/>
      <c r="I191" s="14" t="n"/>
      <c r="J191" s="16">
        <f>IF(F191="",INDEX('Chart of Accounts'!$A$5:$A$3000,MATCH("bank",'Chart of Accounts'!$F$5:$F$3000,0)),F191&amp;"")</f>
        <v/>
      </c>
      <c r="K191" s="16">
        <f>IF(G191&lt;&gt;"",G191&amp;"",IF(LEFT(C191,7)="Capital",INDEX('Chart of Accounts'!$A$5:$A$3000,MATCH("capital",'Chart of Accounts'!$F$5:$F$3000,0)),INDEX('Chart of Accounts'!$A$5:$A$3000,MATCH("drawings",'Chart of Accounts'!$F$5:$F$3000,0))))</f>
        <v/>
      </c>
      <c r="L191" s="16">
        <f>IF(LEFT(C191,7)="Capital",J191,K191)</f>
        <v/>
      </c>
      <c r="M191" s="16">
        <f>IF(LEFT(C191,7)="Capital",K191,J191)</f>
        <v/>
      </c>
      <c r="N191" s="23">
        <f>IFERROR(INDEX('Chart of Accounts'!$C$5:$C$3000,MATCH(L191&amp;"",'Chart of Accounts'!$A$5:$A$3000,0))&amp;"|"&amp;INDEX('Chart of Accounts'!$D$5:$D$3000,MATCH(L191&amp;"",'Chart of Accounts'!$A$5:$A$3000,0)),"")</f>
        <v/>
      </c>
      <c r="O191" s="23">
        <f>IFERROR(INDEX('Chart of Accounts'!$C$5:$C$3000,MATCH(M191&amp;"",'Chart of Accounts'!$A$5:$A$3000,0))&amp;"|"&amp;INDEX('Chart of Accounts'!$D$5:$D$3000,MATCH(M191&amp;"",'Chart of Accounts'!$A$5:$A$3000,0)),"")</f>
        <v/>
      </c>
      <c r="P191" s="23">
        <f>IF(LEFT(N191,8)="Revenue|",-N(D191),0)+IF(LEFT(O191,8)="Revenue|",N(D191),0)</f>
        <v/>
      </c>
      <c r="Q191" s="23">
        <f>IF(LEFT(N191,5)="COGS|",N(D191),0)+IF(LEFT(O191,5)="COGS|",-N(D191),0)</f>
        <v/>
      </c>
      <c r="R191" s="23">
        <f>IF(LEFT(N191,8)="Expense|",N(D191),0)+IF(LEFT(O191,8)="Expense|",-N(D191),0)</f>
        <v/>
      </c>
      <c r="S191" s="23">
        <f>IF(ISNUMBER(MATCH(N191,{"Expense|employee","Expense|general_admin","Expense|marketing","Expense|utilities","Expense|other_operating"},0)),N(D191),0)+IF(ISNUMBER(MATCH(O191,{"Expense|employee","Expense|general_admin","Expense|marketing","Expense|utilities","Expense|other_operating"},0)),-N(D191),0)</f>
        <v/>
      </c>
      <c r="T191" s="23">
        <f>IF(N191="Liability|payable",-N(D191),0)+IF(O191="Liability|payable",N(D191),0)</f>
        <v/>
      </c>
      <c r="U191" s="23">
        <f>IF(N191="Liability|accrued",-N(D191),0)+IF(O191="Liability|accrued",N(D191),0)</f>
        <v/>
      </c>
      <c r="V191" s="23">
        <f>IF(AND(N(D191)&lt;&gt;0,N191=""),1,0)+IF(AND(N(D191)&lt;&gt;0,O191=""),1,0)</f>
        <v/>
      </c>
    </row>
    <row r="192">
      <c r="A192" s="19" t="n"/>
      <c r="B192" s="14" t="n"/>
      <c r="C192" s="14" t="n"/>
      <c r="D192" s="20" t="n"/>
      <c r="E192" s="14" t="n"/>
      <c r="F192" s="14" t="n"/>
      <c r="G192" s="14" t="n"/>
      <c r="H192" s="14" t="n"/>
      <c r="I192" s="14" t="n"/>
      <c r="J192" s="16">
        <f>IF(F192="",INDEX('Chart of Accounts'!$A$5:$A$3000,MATCH("bank",'Chart of Accounts'!$F$5:$F$3000,0)),F192&amp;"")</f>
        <v/>
      </c>
      <c r="K192" s="16">
        <f>IF(G192&lt;&gt;"",G192&amp;"",IF(LEFT(C192,7)="Capital",INDEX('Chart of Accounts'!$A$5:$A$3000,MATCH("capital",'Chart of Accounts'!$F$5:$F$3000,0)),INDEX('Chart of Accounts'!$A$5:$A$3000,MATCH("drawings",'Chart of Accounts'!$F$5:$F$3000,0))))</f>
        <v/>
      </c>
      <c r="L192" s="16">
        <f>IF(LEFT(C192,7)="Capital",J192,K192)</f>
        <v/>
      </c>
      <c r="M192" s="16">
        <f>IF(LEFT(C192,7)="Capital",K192,J192)</f>
        <v/>
      </c>
      <c r="N192" s="23">
        <f>IFERROR(INDEX('Chart of Accounts'!$C$5:$C$3000,MATCH(L192&amp;"",'Chart of Accounts'!$A$5:$A$3000,0))&amp;"|"&amp;INDEX('Chart of Accounts'!$D$5:$D$3000,MATCH(L192&amp;"",'Chart of Accounts'!$A$5:$A$3000,0)),"")</f>
        <v/>
      </c>
      <c r="O192" s="23">
        <f>IFERROR(INDEX('Chart of Accounts'!$C$5:$C$3000,MATCH(M192&amp;"",'Chart of Accounts'!$A$5:$A$3000,0))&amp;"|"&amp;INDEX('Chart of Accounts'!$D$5:$D$3000,MATCH(M192&amp;"",'Chart of Accounts'!$A$5:$A$3000,0)),"")</f>
        <v/>
      </c>
      <c r="P192" s="23">
        <f>IF(LEFT(N192,8)="Revenue|",-N(D192),0)+IF(LEFT(O192,8)="Revenue|",N(D192),0)</f>
        <v/>
      </c>
      <c r="Q192" s="23">
        <f>IF(LEFT(N192,5)="COGS|",N(D192),0)+IF(LEFT(O192,5)="COGS|",-N(D192),0)</f>
        <v/>
      </c>
      <c r="R192" s="23">
        <f>IF(LEFT(N192,8)="Expense|",N(D192),0)+IF(LEFT(O192,8)="Expense|",-N(D192),0)</f>
        <v/>
      </c>
      <c r="S192" s="23">
        <f>IF(ISNUMBER(MATCH(N192,{"Expense|employee","Expense|general_admin","Expense|marketing","Expense|utilities","Expense|other_operating"},0)),N(D192),0)+IF(ISNUMBER(MATCH(O192,{"Expense|employee","Expense|general_admin","Expense|marketing","Expense|utilities","Expense|other_operating"},0)),-N(D192),0)</f>
        <v/>
      </c>
      <c r="T192" s="23">
        <f>IF(N192="Liability|payable",-N(D192),0)+IF(O192="Liability|payable",N(D192),0)</f>
        <v/>
      </c>
      <c r="U192" s="23">
        <f>IF(N192="Liability|accrued",-N(D192),0)+IF(O192="Liability|accrued",N(D192),0)</f>
        <v/>
      </c>
      <c r="V192" s="23">
        <f>IF(AND(N(D192)&lt;&gt;0,N192=""),1,0)+IF(AND(N(D192)&lt;&gt;0,O192=""),1,0)</f>
        <v/>
      </c>
    </row>
    <row r="193">
      <c r="A193" s="19" t="n"/>
      <c r="B193" s="14" t="n"/>
      <c r="C193" s="14" t="n"/>
      <c r="D193" s="20" t="n"/>
      <c r="E193" s="14" t="n"/>
      <c r="F193" s="14" t="n"/>
      <c r="G193" s="14" t="n"/>
      <c r="H193" s="14" t="n"/>
      <c r="I193" s="14" t="n"/>
      <c r="J193" s="16">
        <f>IF(F193="",INDEX('Chart of Accounts'!$A$5:$A$3000,MATCH("bank",'Chart of Accounts'!$F$5:$F$3000,0)),F193&amp;"")</f>
        <v/>
      </c>
      <c r="K193" s="16">
        <f>IF(G193&lt;&gt;"",G193&amp;"",IF(LEFT(C193,7)="Capital",INDEX('Chart of Accounts'!$A$5:$A$3000,MATCH("capital",'Chart of Accounts'!$F$5:$F$3000,0)),INDEX('Chart of Accounts'!$A$5:$A$3000,MATCH("drawings",'Chart of Accounts'!$F$5:$F$3000,0))))</f>
        <v/>
      </c>
      <c r="L193" s="16">
        <f>IF(LEFT(C193,7)="Capital",J193,K193)</f>
        <v/>
      </c>
      <c r="M193" s="16">
        <f>IF(LEFT(C193,7)="Capital",K193,J193)</f>
        <v/>
      </c>
      <c r="N193" s="23">
        <f>IFERROR(INDEX('Chart of Accounts'!$C$5:$C$3000,MATCH(L193&amp;"",'Chart of Accounts'!$A$5:$A$3000,0))&amp;"|"&amp;INDEX('Chart of Accounts'!$D$5:$D$3000,MATCH(L193&amp;"",'Chart of Accounts'!$A$5:$A$3000,0)),"")</f>
        <v/>
      </c>
      <c r="O193" s="23">
        <f>IFERROR(INDEX('Chart of Accounts'!$C$5:$C$3000,MATCH(M193&amp;"",'Chart of Accounts'!$A$5:$A$3000,0))&amp;"|"&amp;INDEX('Chart of Accounts'!$D$5:$D$3000,MATCH(M193&amp;"",'Chart of Accounts'!$A$5:$A$3000,0)),"")</f>
        <v/>
      </c>
      <c r="P193" s="23">
        <f>IF(LEFT(N193,8)="Revenue|",-N(D193),0)+IF(LEFT(O193,8)="Revenue|",N(D193),0)</f>
        <v/>
      </c>
      <c r="Q193" s="23">
        <f>IF(LEFT(N193,5)="COGS|",N(D193),0)+IF(LEFT(O193,5)="COGS|",-N(D193),0)</f>
        <v/>
      </c>
      <c r="R193" s="23">
        <f>IF(LEFT(N193,8)="Expense|",N(D193),0)+IF(LEFT(O193,8)="Expense|",-N(D193),0)</f>
        <v/>
      </c>
      <c r="S193" s="23">
        <f>IF(ISNUMBER(MATCH(N193,{"Expense|employee","Expense|general_admin","Expense|marketing","Expense|utilities","Expense|other_operating"},0)),N(D193),0)+IF(ISNUMBER(MATCH(O193,{"Expense|employee","Expense|general_admin","Expense|marketing","Expense|utilities","Expense|other_operating"},0)),-N(D193),0)</f>
        <v/>
      </c>
      <c r="T193" s="23">
        <f>IF(N193="Liability|payable",-N(D193),0)+IF(O193="Liability|payable",N(D193),0)</f>
        <v/>
      </c>
      <c r="U193" s="23">
        <f>IF(N193="Liability|accrued",-N(D193),0)+IF(O193="Liability|accrued",N(D193),0)</f>
        <v/>
      </c>
      <c r="V193" s="23">
        <f>IF(AND(N(D193)&lt;&gt;0,N193=""),1,0)+IF(AND(N(D193)&lt;&gt;0,O193=""),1,0)</f>
        <v/>
      </c>
    </row>
    <row r="194">
      <c r="A194" s="19" t="n"/>
      <c r="B194" s="14" t="n"/>
      <c r="C194" s="14" t="n"/>
      <c r="D194" s="20" t="n"/>
      <c r="E194" s="14" t="n"/>
      <c r="F194" s="14" t="n"/>
      <c r="G194" s="14" t="n"/>
      <c r="H194" s="14" t="n"/>
      <c r="I194" s="14" t="n"/>
      <c r="J194" s="16">
        <f>IF(F194="",INDEX('Chart of Accounts'!$A$5:$A$3000,MATCH("bank",'Chart of Accounts'!$F$5:$F$3000,0)),F194&amp;"")</f>
        <v/>
      </c>
      <c r="K194" s="16">
        <f>IF(G194&lt;&gt;"",G194&amp;"",IF(LEFT(C194,7)="Capital",INDEX('Chart of Accounts'!$A$5:$A$3000,MATCH("capital",'Chart of Accounts'!$F$5:$F$3000,0)),INDEX('Chart of Accounts'!$A$5:$A$3000,MATCH("drawings",'Chart of Accounts'!$F$5:$F$3000,0))))</f>
        <v/>
      </c>
      <c r="L194" s="16">
        <f>IF(LEFT(C194,7)="Capital",J194,K194)</f>
        <v/>
      </c>
      <c r="M194" s="16">
        <f>IF(LEFT(C194,7)="Capital",K194,J194)</f>
        <v/>
      </c>
      <c r="N194" s="23">
        <f>IFERROR(INDEX('Chart of Accounts'!$C$5:$C$3000,MATCH(L194&amp;"",'Chart of Accounts'!$A$5:$A$3000,0))&amp;"|"&amp;INDEX('Chart of Accounts'!$D$5:$D$3000,MATCH(L194&amp;"",'Chart of Accounts'!$A$5:$A$3000,0)),"")</f>
        <v/>
      </c>
      <c r="O194" s="23">
        <f>IFERROR(INDEX('Chart of Accounts'!$C$5:$C$3000,MATCH(M194&amp;"",'Chart of Accounts'!$A$5:$A$3000,0))&amp;"|"&amp;INDEX('Chart of Accounts'!$D$5:$D$3000,MATCH(M194&amp;"",'Chart of Accounts'!$A$5:$A$3000,0)),"")</f>
        <v/>
      </c>
      <c r="P194" s="23">
        <f>IF(LEFT(N194,8)="Revenue|",-N(D194),0)+IF(LEFT(O194,8)="Revenue|",N(D194),0)</f>
        <v/>
      </c>
      <c r="Q194" s="23">
        <f>IF(LEFT(N194,5)="COGS|",N(D194),0)+IF(LEFT(O194,5)="COGS|",-N(D194),0)</f>
        <v/>
      </c>
      <c r="R194" s="23">
        <f>IF(LEFT(N194,8)="Expense|",N(D194),0)+IF(LEFT(O194,8)="Expense|",-N(D194),0)</f>
        <v/>
      </c>
      <c r="S194" s="23">
        <f>IF(ISNUMBER(MATCH(N194,{"Expense|employee","Expense|general_admin","Expense|marketing","Expense|utilities","Expense|other_operating"},0)),N(D194),0)+IF(ISNUMBER(MATCH(O194,{"Expense|employee","Expense|general_admin","Expense|marketing","Expense|utilities","Expense|other_operating"},0)),-N(D194),0)</f>
        <v/>
      </c>
      <c r="T194" s="23">
        <f>IF(N194="Liability|payable",-N(D194),0)+IF(O194="Liability|payable",N(D194),0)</f>
        <v/>
      </c>
      <c r="U194" s="23">
        <f>IF(N194="Liability|accrued",-N(D194),0)+IF(O194="Liability|accrued",N(D194),0)</f>
        <v/>
      </c>
      <c r="V194" s="23">
        <f>IF(AND(N(D194)&lt;&gt;0,N194=""),1,0)+IF(AND(N(D194)&lt;&gt;0,O194=""),1,0)</f>
        <v/>
      </c>
    </row>
    <row r="195">
      <c r="A195" s="19" t="n"/>
      <c r="B195" s="14" t="n"/>
      <c r="C195" s="14" t="n"/>
      <c r="D195" s="20" t="n"/>
      <c r="E195" s="14" t="n"/>
      <c r="F195" s="14" t="n"/>
      <c r="G195" s="14" t="n"/>
      <c r="H195" s="14" t="n"/>
      <c r="I195" s="14" t="n"/>
      <c r="J195" s="16">
        <f>IF(F195="",INDEX('Chart of Accounts'!$A$5:$A$3000,MATCH("bank",'Chart of Accounts'!$F$5:$F$3000,0)),F195&amp;"")</f>
        <v/>
      </c>
      <c r="K195" s="16">
        <f>IF(G195&lt;&gt;"",G195&amp;"",IF(LEFT(C195,7)="Capital",INDEX('Chart of Accounts'!$A$5:$A$3000,MATCH("capital",'Chart of Accounts'!$F$5:$F$3000,0)),INDEX('Chart of Accounts'!$A$5:$A$3000,MATCH("drawings",'Chart of Accounts'!$F$5:$F$3000,0))))</f>
        <v/>
      </c>
      <c r="L195" s="16">
        <f>IF(LEFT(C195,7)="Capital",J195,K195)</f>
        <v/>
      </c>
      <c r="M195" s="16">
        <f>IF(LEFT(C195,7)="Capital",K195,J195)</f>
        <v/>
      </c>
      <c r="N195" s="23">
        <f>IFERROR(INDEX('Chart of Accounts'!$C$5:$C$3000,MATCH(L195&amp;"",'Chart of Accounts'!$A$5:$A$3000,0))&amp;"|"&amp;INDEX('Chart of Accounts'!$D$5:$D$3000,MATCH(L195&amp;"",'Chart of Accounts'!$A$5:$A$3000,0)),"")</f>
        <v/>
      </c>
      <c r="O195" s="23">
        <f>IFERROR(INDEX('Chart of Accounts'!$C$5:$C$3000,MATCH(M195&amp;"",'Chart of Accounts'!$A$5:$A$3000,0))&amp;"|"&amp;INDEX('Chart of Accounts'!$D$5:$D$3000,MATCH(M195&amp;"",'Chart of Accounts'!$A$5:$A$3000,0)),"")</f>
        <v/>
      </c>
      <c r="P195" s="23">
        <f>IF(LEFT(N195,8)="Revenue|",-N(D195),0)+IF(LEFT(O195,8)="Revenue|",N(D195),0)</f>
        <v/>
      </c>
      <c r="Q195" s="23">
        <f>IF(LEFT(N195,5)="COGS|",N(D195),0)+IF(LEFT(O195,5)="COGS|",-N(D195),0)</f>
        <v/>
      </c>
      <c r="R195" s="23">
        <f>IF(LEFT(N195,8)="Expense|",N(D195),0)+IF(LEFT(O195,8)="Expense|",-N(D195),0)</f>
        <v/>
      </c>
      <c r="S195" s="23">
        <f>IF(ISNUMBER(MATCH(N195,{"Expense|employee","Expense|general_admin","Expense|marketing","Expense|utilities","Expense|other_operating"},0)),N(D195),0)+IF(ISNUMBER(MATCH(O195,{"Expense|employee","Expense|general_admin","Expense|marketing","Expense|utilities","Expense|other_operating"},0)),-N(D195),0)</f>
        <v/>
      </c>
      <c r="T195" s="23">
        <f>IF(N195="Liability|payable",-N(D195),0)+IF(O195="Liability|payable",N(D195),0)</f>
        <v/>
      </c>
      <c r="U195" s="23">
        <f>IF(N195="Liability|accrued",-N(D195),0)+IF(O195="Liability|accrued",N(D195),0)</f>
        <v/>
      </c>
      <c r="V195" s="23">
        <f>IF(AND(N(D195)&lt;&gt;0,N195=""),1,0)+IF(AND(N(D195)&lt;&gt;0,O195=""),1,0)</f>
        <v/>
      </c>
    </row>
    <row r="196">
      <c r="A196" s="19" t="n"/>
      <c r="B196" s="14" t="n"/>
      <c r="C196" s="14" t="n"/>
      <c r="D196" s="20" t="n"/>
      <c r="E196" s="14" t="n"/>
      <c r="F196" s="14" t="n"/>
      <c r="G196" s="14" t="n"/>
      <c r="H196" s="14" t="n"/>
      <c r="I196" s="14" t="n"/>
      <c r="J196" s="16">
        <f>IF(F196="",INDEX('Chart of Accounts'!$A$5:$A$3000,MATCH("bank",'Chart of Accounts'!$F$5:$F$3000,0)),F196&amp;"")</f>
        <v/>
      </c>
      <c r="K196" s="16">
        <f>IF(G196&lt;&gt;"",G196&amp;"",IF(LEFT(C196,7)="Capital",INDEX('Chart of Accounts'!$A$5:$A$3000,MATCH("capital",'Chart of Accounts'!$F$5:$F$3000,0)),INDEX('Chart of Accounts'!$A$5:$A$3000,MATCH("drawings",'Chart of Accounts'!$F$5:$F$3000,0))))</f>
        <v/>
      </c>
      <c r="L196" s="16">
        <f>IF(LEFT(C196,7)="Capital",J196,K196)</f>
        <v/>
      </c>
      <c r="M196" s="16">
        <f>IF(LEFT(C196,7)="Capital",K196,J196)</f>
        <v/>
      </c>
      <c r="N196" s="23">
        <f>IFERROR(INDEX('Chart of Accounts'!$C$5:$C$3000,MATCH(L196&amp;"",'Chart of Accounts'!$A$5:$A$3000,0))&amp;"|"&amp;INDEX('Chart of Accounts'!$D$5:$D$3000,MATCH(L196&amp;"",'Chart of Accounts'!$A$5:$A$3000,0)),"")</f>
        <v/>
      </c>
      <c r="O196" s="23">
        <f>IFERROR(INDEX('Chart of Accounts'!$C$5:$C$3000,MATCH(M196&amp;"",'Chart of Accounts'!$A$5:$A$3000,0))&amp;"|"&amp;INDEX('Chart of Accounts'!$D$5:$D$3000,MATCH(M196&amp;"",'Chart of Accounts'!$A$5:$A$3000,0)),"")</f>
        <v/>
      </c>
      <c r="P196" s="23">
        <f>IF(LEFT(N196,8)="Revenue|",-N(D196),0)+IF(LEFT(O196,8)="Revenue|",N(D196),0)</f>
        <v/>
      </c>
      <c r="Q196" s="23">
        <f>IF(LEFT(N196,5)="COGS|",N(D196),0)+IF(LEFT(O196,5)="COGS|",-N(D196),0)</f>
        <v/>
      </c>
      <c r="R196" s="23">
        <f>IF(LEFT(N196,8)="Expense|",N(D196),0)+IF(LEFT(O196,8)="Expense|",-N(D196),0)</f>
        <v/>
      </c>
      <c r="S196" s="23">
        <f>IF(ISNUMBER(MATCH(N196,{"Expense|employee","Expense|general_admin","Expense|marketing","Expense|utilities","Expense|other_operating"},0)),N(D196),0)+IF(ISNUMBER(MATCH(O196,{"Expense|employee","Expense|general_admin","Expense|marketing","Expense|utilities","Expense|other_operating"},0)),-N(D196),0)</f>
        <v/>
      </c>
      <c r="T196" s="23">
        <f>IF(N196="Liability|payable",-N(D196),0)+IF(O196="Liability|payable",N(D196),0)</f>
        <v/>
      </c>
      <c r="U196" s="23">
        <f>IF(N196="Liability|accrued",-N(D196),0)+IF(O196="Liability|accrued",N(D196),0)</f>
        <v/>
      </c>
      <c r="V196" s="23">
        <f>IF(AND(N(D196)&lt;&gt;0,N196=""),1,0)+IF(AND(N(D196)&lt;&gt;0,O196=""),1,0)</f>
        <v/>
      </c>
    </row>
    <row r="197">
      <c r="A197" s="19" t="n"/>
      <c r="B197" s="14" t="n"/>
      <c r="C197" s="14" t="n"/>
      <c r="D197" s="20" t="n"/>
      <c r="E197" s="14" t="n"/>
      <c r="F197" s="14" t="n"/>
      <c r="G197" s="14" t="n"/>
      <c r="H197" s="14" t="n"/>
      <c r="I197" s="14" t="n"/>
      <c r="J197" s="16">
        <f>IF(F197="",INDEX('Chart of Accounts'!$A$5:$A$3000,MATCH("bank",'Chart of Accounts'!$F$5:$F$3000,0)),F197&amp;"")</f>
        <v/>
      </c>
      <c r="K197" s="16">
        <f>IF(G197&lt;&gt;"",G197&amp;"",IF(LEFT(C197,7)="Capital",INDEX('Chart of Accounts'!$A$5:$A$3000,MATCH("capital",'Chart of Accounts'!$F$5:$F$3000,0)),INDEX('Chart of Accounts'!$A$5:$A$3000,MATCH("drawings",'Chart of Accounts'!$F$5:$F$3000,0))))</f>
        <v/>
      </c>
      <c r="L197" s="16">
        <f>IF(LEFT(C197,7)="Capital",J197,K197)</f>
        <v/>
      </c>
      <c r="M197" s="16">
        <f>IF(LEFT(C197,7)="Capital",K197,J197)</f>
        <v/>
      </c>
      <c r="N197" s="23">
        <f>IFERROR(INDEX('Chart of Accounts'!$C$5:$C$3000,MATCH(L197&amp;"",'Chart of Accounts'!$A$5:$A$3000,0))&amp;"|"&amp;INDEX('Chart of Accounts'!$D$5:$D$3000,MATCH(L197&amp;"",'Chart of Accounts'!$A$5:$A$3000,0)),"")</f>
        <v/>
      </c>
      <c r="O197" s="23">
        <f>IFERROR(INDEX('Chart of Accounts'!$C$5:$C$3000,MATCH(M197&amp;"",'Chart of Accounts'!$A$5:$A$3000,0))&amp;"|"&amp;INDEX('Chart of Accounts'!$D$5:$D$3000,MATCH(M197&amp;"",'Chart of Accounts'!$A$5:$A$3000,0)),"")</f>
        <v/>
      </c>
      <c r="P197" s="23">
        <f>IF(LEFT(N197,8)="Revenue|",-N(D197),0)+IF(LEFT(O197,8)="Revenue|",N(D197),0)</f>
        <v/>
      </c>
      <c r="Q197" s="23">
        <f>IF(LEFT(N197,5)="COGS|",N(D197),0)+IF(LEFT(O197,5)="COGS|",-N(D197),0)</f>
        <v/>
      </c>
      <c r="R197" s="23">
        <f>IF(LEFT(N197,8)="Expense|",N(D197),0)+IF(LEFT(O197,8)="Expense|",-N(D197),0)</f>
        <v/>
      </c>
      <c r="S197" s="23">
        <f>IF(ISNUMBER(MATCH(N197,{"Expense|employee","Expense|general_admin","Expense|marketing","Expense|utilities","Expense|other_operating"},0)),N(D197),0)+IF(ISNUMBER(MATCH(O197,{"Expense|employee","Expense|general_admin","Expense|marketing","Expense|utilities","Expense|other_operating"},0)),-N(D197),0)</f>
        <v/>
      </c>
      <c r="T197" s="23">
        <f>IF(N197="Liability|payable",-N(D197),0)+IF(O197="Liability|payable",N(D197),0)</f>
        <v/>
      </c>
      <c r="U197" s="23">
        <f>IF(N197="Liability|accrued",-N(D197),0)+IF(O197="Liability|accrued",N(D197),0)</f>
        <v/>
      </c>
      <c r="V197" s="23">
        <f>IF(AND(N(D197)&lt;&gt;0,N197=""),1,0)+IF(AND(N(D197)&lt;&gt;0,O197=""),1,0)</f>
        <v/>
      </c>
    </row>
    <row r="198">
      <c r="A198" s="19" t="n"/>
      <c r="B198" s="14" t="n"/>
      <c r="C198" s="14" t="n"/>
      <c r="D198" s="20" t="n"/>
      <c r="E198" s="14" t="n"/>
      <c r="F198" s="14" t="n"/>
      <c r="G198" s="14" t="n"/>
      <c r="H198" s="14" t="n"/>
      <c r="I198" s="14" t="n"/>
      <c r="J198" s="16">
        <f>IF(F198="",INDEX('Chart of Accounts'!$A$5:$A$3000,MATCH("bank",'Chart of Accounts'!$F$5:$F$3000,0)),F198&amp;"")</f>
        <v/>
      </c>
      <c r="K198" s="16">
        <f>IF(G198&lt;&gt;"",G198&amp;"",IF(LEFT(C198,7)="Capital",INDEX('Chart of Accounts'!$A$5:$A$3000,MATCH("capital",'Chart of Accounts'!$F$5:$F$3000,0)),INDEX('Chart of Accounts'!$A$5:$A$3000,MATCH("drawings",'Chart of Accounts'!$F$5:$F$3000,0))))</f>
        <v/>
      </c>
      <c r="L198" s="16">
        <f>IF(LEFT(C198,7)="Capital",J198,K198)</f>
        <v/>
      </c>
      <c r="M198" s="16">
        <f>IF(LEFT(C198,7)="Capital",K198,J198)</f>
        <v/>
      </c>
      <c r="N198" s="23">
        <f>IFERROR(INDEX('Chart of Accounts'!$C$5:$C$3000,MATCH(L198&amp;"",'Chart of Accounts'!$A$5:$A$3000,0))&amp;"|"&amp;INDEX('Chart of Accounts'!$D$5:$D$3000,MATCH(L198&amp;"",'Chart of Accounts'!$A$5:$A$3000,0)),"")</f>
        <v/>
      </c>
      <c r="O198" s="23">
        <f>IFERROR(INDEX('Chart of Accounts'!$C$5:$C$3000,MATCH(M198&amp;"",'Chart of Accounts'!$A$5:$A$3000,0))&amp;"|"&amp;INDEX('Chart of Accounts'!$D$5:$D$3000,MATCH(M198&amp;"",'Chart of Accounts'!$A$5:$A$3000,0)),"")</f>
        <v/>
      </c>
      <c r="P198" s="23">
        <f>IF(LEFT(N198,8)="Revenue|",-N(D198),0)+IF(LEFT(O198,8)="Revenue|",N(D198),0)</f>
        <v/>
      </c>
      <c r="Q198" s="23">
        <f>IF(LEFT(N198,5)="COGS|",N(D198),0)+IF(LEFT(O198,5)="COGS|",-N(D198),0)</f>
        <v/>
      </c>
      <c r="R198" s="23">
        <f>IF(LEFT(N198,8)="Expense|",N(D198),0)+IF(LEFT(O198,8)="Expense|",-N(D198),0)</f>
        <v/>
      </c>
      <c r="S198" s="23">
        <f>IF(ISNUMBER(MATCH(N198,{"Expense|employee","Expense|general_admin","Expense|marketing","Expense|utilities","Expense|other_operating"},0)),N(D198),0)+IF(ISNUMBER(MATCH(O198,{"Expense|employee","Expense|general_admin","Expense|marketing","Expense|utilities","Expense|other_operating"},0)),-N(D198),0)</f>
        <v/>
      </c>
      <c r="T198" s="23">
        <f>IF(N198="Liability|payable",-N(D198),0)+IF(O198="Liability|payable",N(D198),0)</f>
        <v/>
      </c>
      <c r="U198" s="23">
        <f>IF(N198="Liability|accrued",-N(D198),0)+IF(O198="Liability|accrued",N(D198),0)</f>
        <v/>
      </c>
      <c r="V198" s="23">
        <f>IF(AND(N(D198)&lt;&gt;0,N198=""),1,0)+IF(AND(N(D198)&lt;&gt;0,O198=""),1,0)</f>
        <v/>
      </c>
    </row>
    <row r="199">
      <c r="A199" s="19" t="n"/>
      <c r="B199" s="14" t="n"/>
      <c r="C199" s="14" t="n"/>
      <c r="D199" s="20" t="n"/>
      <c r="E199" s="14" t="n"/>
      <c r="F199" s="14" t="n"/>
      <c r="G199" s="14" t="n"/>
      <c r="H199" s="14" t="n"/>
      <c r="I199" s="14" t="n"/>
      <c r="J199" s="16">
        <f>IF(F199="",INDEX('Chart of Accounts'!$A$5:$A$3000,MATCH("bank",'Chart of Accounts'!$F$5:$F$3000,0)),F199&amp;"")</f>
        <v/>
      </c>
      <c r="K199" s="16">
        <f>IF(G199&lt;&gt;"",G199&amp;"",IF(LEFT(C199,7)="Capital",INDEX('Chart of Accounts'!$A$5:$A$3000,MATCH("capital",'Chart of Accounts'!$F$5:$F$3000,0)),INDEX('Chart of Accounts'!$A$5:$A$3000,MATCH("drawings",'Chart of Accounts'!$F$5:$F$3000,0))))</f>
        <v/>
      </c>
      <c r="L199" s="16">
        <f>IF(LEFT(C199,7)="Capital",J199,K199)</f>
        <v/>
      </c>
      <c r="M199" s="16">
        <f>IF(LEFT(C199,7)="Capital",K199,J199)</f>
        <v/>
      </c>
      <c r="N199" s="23">
        <f>IFERROR(INDEX('Chart of Accounts'!$C$5:$C$3000,MATCH(L199&amp;"",'Chart of Accounts'!$A$5:$A$3000,0))&amp;"|"&amp;INDEX('Chart of Accounts'!$D$5:$D$3000,MATCH(L199&amp;"",'Chart of Accounts'!$A$5:$A$3000,0)),"")</f>
        <v/>
      </c>
      <c r="O199" s="23">
        <f>IFERROR(INDEX('Chart of Accounts'!$C$5:$C$3000,MATCH(M199&amp;"",'Chart of Accounts'!$A$5:$A$3000,0))&amp;"|"&amp;INDEX('Chart of Accounts'!$D$5:$D$3000,MATCH(M199&amp;"",'Chart of Accounts'!$A$5:$A$3000,0)),"")</f>
        <v/>
      </c>
      <c r="P199" s="23">
        <f>IF(LEFT(N199,8)="Revenue|",-N(D199),0)+IF(LEFT(O199,8)="Revenue|",N(D199),0)</f>
        <v/>
      </c>
      <c r="Q199" s="23">
        <f>IF(LEFT(N199,5)="COGS|",N(D199),0)+IF(LEFT(O199,5)="COGS|",-N(D199),0)</f>
        <v/>
      </c>
      <c r="R199" s="23">
        <f>IF(LEFT(N199,8)="Expense|",N(D199),0)+IF(LEFT(O199,8)="Expense|",-N(D199),0)</f>
        <v/>
      </c>
      <c r="S199" s="23">
        <f>IF(ISNUMBER(MATCH(N199,{"Expense|employee","Expense|general_admin","Expense|marketing","Expense|utilities","Expense|other_operating"},0)),N(D199),0)+IF(ISNUMBER(MATCH(O199,{"Expense|employee","Expense|general_admin","Expense|marketing","Expense|utilities","Expense|other_operating"},0)),-N(D199),0)</f>
        <v/>
      </c>
      <c r="T199" s="23">
        <f>IF(N199="Liability|payable",-N(D199),0)+IF(O199="Liability|payable",N(D199),0)</f>
        <v/>
      </c>
      <c r="U199" s="23">
        <f>IF(N199="Liability|accrued",-N(D199),0)+IF(O199="Liability|accrued",N(D199),0)</f>
        <v/>
      </c>
      <c r="V199" s="23">
        <f>IF(AND(N(D199)&lt;&gt;0,N199=""),1,0)+IF(AND(N(D199)&lt;&gt;0,O199=""),1,0)</f>
        <v/>
      </c>
    </row>
    <row r="200">
      <c r="A200" s="19" t="n"/>
      <c r="B200" s="14" t="n"/>
      <c r="C200" s="14" t="n"/>
      <c r="D200" s="20" t="n"/>
      <c r="E200" s="14" t="n"/>
      <c r="F200" s="14" t="n"/>
      <c r="G200" s="14" t="n"/>
      <c r="H200" s="14" t="n"/>
      <c r="I200" s="14" t="n"/>
      <c r="J200" s="16">
        <f>IF(F200="",INDEX('Chart of Accounts'!$A$5:$A$3000,MATCH("bank",'Chart of Accounts'!$F$5:$F$3000,0)),F200&amp;"")</f>
        <v/>
      </c>
      <c r="K200" s="16">
        <f>IF(G200&lt;&gt;"",G200&amp;"",IF(LEFT(C200,7)="Capital",INDEX('Chart of Accounts'!$A$5:$A$3000,MATCH("capital",'Chart of Accounts'!$F$5:$F$3000,0)),INDEX('Chart of Accounts'!$A$5:$A$3000,MATCH("drawings",'Chart of Accounts'!$F$5:$F$3000,0))))</f>
        <v/>
      </c>
      <c r="L200" s="16">
        <f>IF(LEFT(C200,7)="Capital",J200,K200)</f>
        <v/>
      </c>
      <c r="M200" s="16">
        <f>IF(LEFT(C200,7)="Capital",K200,J200)</f>
        <v/>
      </c>
      <c r="N200" s="23">
        <f>IFERROR(INDEX('Chart of Accounts'!$C$5:$C$3000,MATCH(L200&amp;"",'Chart of Accounts'!$A$5:$A$3000,0))&amp;"|"&amp;INDEX('Chart of Accounts'!$D$5:$D$3000,MATCH(L200&amp;"",'Chart of Accounts'!$A$5:$A$3000,0)),"")</f>
        <v/>
      </c>
      <c r="O200" s="23">
        <f>IFERROR(INDEX('Chart of Accounts'!$C$5:$C$3000,MATCH(M200&amp;"",'Chart of Accounts'!$A$5:$A$3000,0))&amp;"|"&amp;INDEX('Chart of Accounts'!$D$5:$D$3000,MATCH(M200&amp;"",'Chart of Accounts'!$A$5:$A$3000,0)),"")</f>
        <v/>
      </c>
      <c r="P200" s="23">
        <f>IF(LEFT(N200,8)="Revenue|",-N(D200),0)+IF(LEFT(O200,8)="Revenue|",N(D200),0)</f>
        <v/>
      </c>
      <c r="Q200" s="23">
        <f>IF(LEFT(N200,5)="COGS|",N(D200),0)+IF(LEFT(O200,5)="COGS|",-N(D200),0)</f>
        <v/>
      </c>
      <c r="R200" s="23">
        <f>IF(LEFT(N200,8)="Expense|",N(D200),0)+IF(LEFT(O200,8)="Expense|",-N(D200),0)</f>
        <v/>
      </c>
      <c r="S200" s="23">
        <f>IF(ISNUMBER(MATCH(N200,{"Expense|employee","Expense|general_admin","Expense|marketing","Expense|utilities","Expense|other_operating"},0)),N(D200),0)+IF(ISNUMBER(MATCH(O200,{"Expense|employee","Expense|general_admin","Expense|marketing","Expense|utilities","Expense|other_operating"},0)),-N(D200),0)</f>
        <v/>
      </c>
      <c r="T200" s="23">
        <f>IF(N200="Liability|payable",-N(D200),0)+IF(O200="Liability|payable",N(D200),0)</f>
        <v/>
      </c>
      <c r="U200" s="23">
        <f>IF(N200="Liability|accrued",-N(D200),0)+IF(O200="Liability|accrued",N(D200),0)</f>
        <v/>
      </c>
      <c r="V200" s="23">
        <f>IF(AND(N(D200)&lt;&gt;0,N200=""),1,0)+IF(AND(N(D200)&lt;&gt;0,O200=""),1,0)</f>
        <v/>
      </c>
    </row>
    <row r="201">
      <c r="A201" s="19" t="n"/>
      <c r="B201" s="14" t="n"/>
      <c r="C201" s="14" t="n"/>
      <c r="D201" s="20" t="n"/>
      <c r="E201" s="14" t="n"/>
      <c r="F201" s="14" t="n"/>
      <c r="G201" s="14" t="n"/>
      <c r="H201" s="14" t="n"/>
      <c r="I201" s="14" t="n"/>
      <c r="J201" s="16">
        <f>IF(F201="",INDEX('Chart of Accounts'!$A$5:$A$3000,MATCH("bank",'Chart of Accounts'!$F$5:$F$3000,0)),F201&amp;"")</f>
        <v/>
      </c>
      <c r="K201" s="16">
        <f>IF(G201&lt;&gt;"",G201&amp;"",IF(LEFT(C201,7)="Capital",INDEX('Chart of Accounts'!$A$5:$A$3000,MATCH("capital",'Chart of Accounts'!$F$5:$F$3000,0)),INDEX('Chart of Accounts'!$A$5:$A$3000,MATCH("drawings",'Chart of Accounts'!$F$5:$F$3000,0))))</f>
        <v/>
      </c>
      <c r="L201" s="16">
        <f>IF(LEFT(C201,7)="Capital",J201,K201)</f>
        <v/>
      </c>
      <c r="M201" s="16">
        <f>IF(LEFT(C201,7)="Capital",K201,J201)</f>
        <v/>
      </c>
      <c r="N201" s="23">
        <f>IFERROR(INDEX('Chart of Accounts'!$C$5:$C$3000,MATCH(L201&amp;"",'Chart of Accounts'!$A$5:$A$3000,0))&amp;"|"&amp;INDEX('Chart of Accounts'!$D$5:$D$3000,MATCH(L201&amp;"",'Chart of Accounts'!$A$5:$A$3000,0)),"")</f>
        <v/>
      </c>
      <c r="O201" s="23">
        <f>IFERROR(INDEX('Chart of Accounts'!$C$5:$C$3000,MATCH(M201&amp;"",'Chart of Accounts'!$A$5:$A$3000,0))&amp;"|"&amp;INDEX('Chart of Accounts'!$D$5:$D$3000,MATCH(M201&amp;"",'Chart of Accounts'!$A$5:$A$3000,0)),"")</f>
        <v/>
      </c>
      <c r="P201" s="23">
        <f>IF(LEFT(N201,8)="Revenue|",-N(D201),0)+IF(LEFT(O201,8)="Revenue|",N(D201),0)</f>
        <v/>
      </c>
      <c r="Q201" s="23">
        <f>IF(LEFT(N201,5)="COGS|",N(D201),0)+IF(LEFT(O201,5)="COGS|",-N(D201),0)</f>
        <v/>
      </c>
      <c r="R201" s="23">
        <f>IF(LEFT(N201,8)="Expense|",N(D201),0)+IF(LEFT(O201,8)="Expense|",-N(D201),0)</f>
        <v/>
      </c>
      <c r="S201" s="23">
        <f>IF(ISNUMBER(MATCH(N201,{"Expense|employee","Expense|general_admin","Expense|marketing","Expense|utilities","Expense|other_operating"},0)),N(D201),0)+IF(ISNUMBER(MATCH(O201,{"Expense|employee","Expense|general_admin","Expense|marketing","Expense|utilities","Expense|other_operating"},0)),-N(D201),0)</f>
        <v/>
      </c>
      <c r="T201" s="23">
        <f>IF(N201="Liability|payable",-N(D201),0)+IF(O201="Liability|payable",N(D201),0)</f>
        <v/>
      </c>
      <c r="U201" s="23">
        <f>IF(N201="Liability|accrued",-N(D201),0)+IF(O201="Liability|accrued",N(D201),0)</f>
        <v/>
      </c>
      <c r="V201" s="23">
        <f>IF(AND(N(D201)&lt;&gt;0,N201=""),1,0)+IF(AND(N(D201)&lt;&gt;0,O201=""),1,0)</f>
        <v/>
      </c>
    </row>
    <row r="202">
      <c r="A202" s="19" t="n"/>
      <c r="B202" s="14" t="n"/>
      <c r="C202" s="14" t="n"/>
      <c r="D202" s="20" t="n"/>
      <c r="E202" s="14" t="n"/>
      <c r="F202" s="14" t="n"/>
      <c r="G202" s="14" t="n"/>
      <c r="H202" s="14" t="n"/>
      <c r="I202" s="14" t="n"/>
      <c r="J202" s="16">
        <f>IF(F202="",INDEX('Chart of Accounts'!$A$5:$A$3000,MATCH("bank",'Chart of Accounts'!$F$5:$F$3000,0)),F202&amp;"")</f>
        <v/>
      </c>
      <c r="K202" s="16">
        <f>IF(G202&lt;&gt;"",G202&amp;"",IF(LEFT(C202,7)="Capital",INDEX('Chart of Accounts'!$A$5:$A$3000,MATCH("capital",'Chart of Accounts'!$F$5:$F$3000,0)),INDEX('Chart of Accounts'!$A$5:$A$3000,MATCH("drawings",'Chart of Accounts'!$F$5:$F$3000,0))))</f>
        <v/>
      </c>
      <c r="L202" s="16">
        <f>IF(LEFT(C202,7)="Capital",J202,K202)</f>
        <v/>
      </c>
      <c r="M202" s="16">
        <f>IF(LEFT(C202,7)="Capital",K202,J202)</f>
        <v/>
      </c>
      <c r="N202" s="23">
        <f>IFERROR(INDEX('Chart of Accounts'!$C$5:$C$3000,MATCH(L202&amp;"",'Chart of Accounts'!$A$5:$A$3000,0))&amp;"|"&amp;INDEX('Chart of Accounts'!$D$5:$D$3000,MATCH(L202&amp;"",'Chart of Accounts'!$A$5:$A$3000,0)),"")</f>
        <v/>
      </c>
      <c r="O202" s="23">
        <f>IFERROR(INDEX('Chart of Accounts'!$C$5:$C$3000,MATCH(M202&amp;"",'Chart of Accounts'!$A$5:$A$3000,0))&amp;"|"&amp;INDEX('Chart of Accounts'!$D$5:$D$3000,MATCH(M202&amp;"",'Chart of Accounts'!$A$5:$A$3000,0)),"")</f>
        <v/>
      </c>
      <c r="P202" s="23">
        <f>IF(LEFT(N202,8)="Revenue|",-N(D202),0)+IF(LEFT(O202,8)="Revenue|",N(D202),0)</f>
        <v/>
      </c>
      <c r="Q202" s="23">
        <f>IF(LEFT(N202,5)="COGS|",N(D202),0)+IF(LEFT(O202,5)="COGS|",-N(D202),0)</f>
        <v/>
      </c>
      <c r="R202" s="23">
        <f>IF(LEFT(N202,8)="Expense|",N(D202),0)+IF(LEFT(O202,8)="Expense|",-N(D202),0)</f>
        <v/>
      </c>
      <c r="S202" s="23">
        <f>IF(ISNUMBER(MATCH(N202,{"Expense|employee","Expense|general_admin","Expense|marketing","Expense|utilities","Expense|other_operating"},0)),N(D202),0)+IF(ISNUMBER(MATCH(O202,{"Expense|employee","Expense|general_admin","Expense|marketing","Expense|utilities","Expense|other_operating"},0)),-N(D202),0)</f>
        <v/>
      </c>
      <c r="T202" s="23">
        <f>IF(N202="Liability|payable",-N(D202),0)+IF(O202="Liability|payable",N(D202),0)</f>
        <v/>
      </c>
      <c r="U202" s="23">
        <f>IF(N202="Liability|accrued",-N(D202),0)+IF(O202="Liability|accrued",N(D202),0)</f>
        <v/>
      </c>
      <c r="V202" s="23">
        <f>IF(AND(N(D202)&lt;&gt;0,N202=""),1,0)+IF(AND(N(D202)&lt;&gt;0,O202=""),1,0)</f>
        <v/>
      </c>
    </row>
    <row r="203">
      <c r="A203" s="19" t="n"/>
      <c r="B203" s="14" t="n"/>
      <c r="C203" s="14" t="n"/>
      <c r="D203" s="20" t="n"/>
      <c r="E203" s="14" t="n"/>
      <c r="F203" s="14" t="n"/>
      <c r="G203" s="14" t="n"/>
      <c r="H203" s="14" t="n"/>
      <c r="I203" s="14" t="n"/>
      <c r="J203" s="16">
        <f>IF(F203="",INDEX('Chart of Accounts'!$A$5:$A$3000,MATCH("bank",'Chart of Accounts'!$F$5:$F$3000,0)),F203&amp;"")</f>
        <v/>
      </c>
      <c r="K203" s="16">
        <f>IF(G203&lt;&gt;"",G203&amp;"",IF(LEFT(C203,7)="Capital",INDEX('Chart of Accounts'!$A$5:$A$3000,MATCH("capital",'Chart of Accounts'!$F$5:$F$3000,0)),INDEX('Chart of Accounts'!$A$5:$A$3000,MATCH("drawings",'Chart of Accounts'!$F$5:$F$3000,0))))</f>
        <v/>
      </c>
      <c r="L203" s="16">
        <f>IF(LEFT(C203,7)="Capital",J203,K203)</f>
        <v/>
      </c>
      <c r="M203" s="16">
        <f>IF(LEFT(C203,7)="Capital",K203,J203)</f>
        <v/>
      </c>
      <c r="N203" s="23">
        <f>IFERROR(INDEX('Chart of Accounts'!$C$5:$C$3000,MATCH(L203&amp;"",'Chart of Accounts'!$A$5:$A$3000,0))&amp;"|"&amp;INDEX('Chart of Accounts'!$D$5:$D$3000,MATCH(L203&amp;"",'Chart of Accounts'!$A$5:$A$3000,0)),"")</f>
        <v/>
      </c>
      <c r="O203" s="23">
        <f>IFERROR(INDEX('Chart of Accounts'!$C$5:$C$3000,MATCH(M203&amp;"",'Chart of Accounts'!$A$5:$A$3000,0))&amp;"|"&amp;INDEX('Chart of Accounts'!$D$5:$D$3000,MATCH(M203&amp;"",'Chart of Accounts'!$A$5:$A$3000,0)),"")</f>
        <v/>
      </c>
      <c r="P203" s="23">
        <f>IF(LEFT(N203,8)="Revenue|",-N(D203),0)+IF(LEFT(O203,8)="Revenue|",N(D203),0)</f>
        <v/>
      </c>
      <c r="Q203" s="23">
        <f>IF(LEFT(N203,5)="COGS|",N(D203),0)+IF(LEFT(O203,5)="COGS|",-N(D203),0)</f>
        <v/>
      </c>
      <c r="R203" s="23">
        <f>IF(LEFT(N203,8)="Expense|",N(D203),0)+IF(LEFT(O203,8)="Expense|",-N(D203),0)</f>
        <v/>
      </c>
      <c r="S203" s="23">
        <f>IF(ISNUMBER(MATCH(N203,{"Expense|employee","Expense|general_admin","Expense|marketing","Expense|utilities","Expense|other_operating"},0)),N(D203),0)+IF(ISNUMBER(MATCH(O203,{"Expense|employee","Expense|general_admin","Expense|marketing","Expense|utilities","Expense|other_operating"},0)),-N(D203),0)</f>
        <v/>
      </c>
      <c r="T203" s="23">
        <f>IF(N203="Liability|payable",-N(D203),0)+IF(O203="Liability|payable",N(D203),0)</f>
        <v/>
      </c>
      <c r="U203" s="23">
        <f>IF(N203="Liability|accrued",-N(D203),0)+IF(O203="Liability|accrued",N(D203),0)</f>
        <v/>
      </c>
      <c r="V203" s="23">
        <f>IF(AND(N(D203)&lt;&gt;0,N203=""),1,0)+IF(AND(N(D203)&lt;&gt;0,O203=""),1,0)</f>
        <v/>
      </c>
    </row>
    <row r="204">
      <c r="A204" s="19" t="n"/>
      <c r="B204" s="14" t="n"/>
      <c r="C204" s="14" t="n"/>
      <c r="D204" s="20" t="n"/>
      <c r="E204" s="14" t="n"/>
      <c r="F204" s="14" t="n"/>
      <c r="G204" s="14" t="n"/>
      <c r="H204" s="14" t="n"/>
      <c r="I204" s="14" t="n"/>
      <c r="J204" s="16">
        <f>IF(F204="",INDEX('Chart of Accounts'!$A$5:$A$3000,MATCH("bank",'Chart of Accounts'!$F$5:$F$3000,0)),F204&amp;"")</f>
        <v/>
      </c>
      <c r="K204" s="16">
        <f>IF(G204&lt;&gt;"",G204&amp;"",IF(LEFT(C204,7)="Capital",INDEX('Chart of Accounts'!$A$5:$A$3000,MATCH("capital",'Chart of Accounts'!$F$5:$F$3000,0)),INDEX('Chart of Accounts'!$A$5:$A$3000,MATCH("drawings",'Chart of Accounts'!$F$5:$F$3000,0))))</f>
        <v/>
      </c>
      <c r="L204" s="16">
        <f>IF(LEFT(C204,7)="Capital",J204,K204)</f>
        <v/>
      </c>
      <c r="M204" s="16">
        <f>IF(LEFT(C204,7)="Capital",K204,J204)</f>
        <v/>
      </c>
      <c r="N204" s="23">
        <f>IFERROR(INDEX('Chart of Accounts'!$C$5:$C$3000,MATCH(L204&amp;"",'Chart of Accounts'!$A$5:$A$3000,0))&amp;"|"&amp;INDEX('Chart of Accounts'!$D$5:$D$3000,MATCH(L204&amp;"",'Chart of Accounts'!$A$5:$A$3000,0)),"")</f>
        <v/>
      </c>
      <c r="O204" s="23">
        <f>IFERROR(INDEX('Chart of Accounts'!$C$5:$C$3000,MATCH(M204&amp;"",'Chart of Accounts'!$A$5:$A$3000,0))&amp;"|"&amp;INDEX('Chart of Accounts'!$D$5:$D$3000,MATCH(M204&amp;"",'Chart of Accounts'!$A$5:$A$3000,0)),"")</f>
        <v/>
      </c>
      <c r="P204" s="23">
        <f>IF(LEFT(N204,8)="Revenue|",-N(D204),0)+IF(LEFT(O204,8)="Revenue|",N(D204),0)</f>
        <v/>
      </c>
      <c r="Q204" s="23">
        <f>IF(LEFT(N204,5)="COGS|",N(D204),0)+IF(LEFT(O204,5)="COGS|",-N(D204),0)</f>
        <v/>
      </c>
      <c r="R204" s="23">
        <f>IF(LEFT(N204,8)="Expense|",N(D204),0)+IF(LEFT(O204,8)="Expense|",-N(D204),0)</f>
        <v/>
      </c>
      <c r="S204" s="23">
        <f>IF(ISNUMBER(MATCH(N204,{"Expense|employee","Expense|general_admin","Expense|marketing","Expense|utilities","Expense|other_operating"},0)),N(D204),0)+IF(ISNUMBER(MATCH(O204,{"Expense|employee","Expense|general_admin","Expense|marketing","Expense|utilities","Expense|other_operating"},0)),-N(D204),0)</f>
        <v/>
      </c>
      <c r="T204" s="23">
        <f>IF(N204="Liability|payable",-N(D204),0)+IF(O204="Liability|payable",N(D204),0)</f>
        <v/>
      </c>
      <c r="U204" s="23">
        <f>IF(N204="Liability|accrued",-N(D204),0)+IF(O204="Liability|accrued",N(D204),0)</f>
        <v/>
      </c>
      <c r="V204" s="23">
        <f>IF(AND(N(D204)&lt;&gt;0,N204=""),1,0)+IF(AND(N(D204)&lt;&gt;0,O204=""),1,0)</f>
        <v/>
      </c>
    </row>
  </sheetData>
  <autoFilter ref="A4:M204"/>
  <dataValidations count="6">
    <dataValidation sqref="A5:A205" showDropDown="0" showInputMessage="0" showErrorMessage="1" allowBlank="1" error="Enter a date (YYYY-MM-DD)" type="date" operator="greaterThan">
      <formula1>DATE(2000,1,1)</formula1>
    </dataValidation>
    <dataValidation sqref="C5:C205" showDropDown="0" showInputMessage="0" showErrorMessage="1" allowBlank="1" type="list">
      <formula1>Lists!$U$1:$U$2</formula1>
    </dataValidation>
    <dataValidation sqref="E5:E205" showDropDown="0" showInputMessage="0" showErrorMessage="1" allowBlank="1" type="list">
      <formula1>Lists!$V$1:$V$5</formula1>
    </dataValidation>
    <dataValidation sqref="F5:F205" showDropDown="0" showInputMessage="0" showErrorMessage="0" allowBlank="1" type="list">
      <formula1>'Chart of Accounts'!$A$5:$A$3000</formula1>
    </dataValidation>
    <dataValidation sqref="G5:G205" showDropDown="0" showInputMessage="0" showErrorMessage="0" allowBlank="1" type="list">
      <formula1>'Chart of Accounts'!$A$5:$A$3000</formula1>
    </dataValidation>
    <dataValidation sqref="H5:H205" showDropDown="0" showInputMessage="0" showErrorMessage="1" allowBlank="1" type="list">
      <formula1>'Business Units'!$A$5:$A$3000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0"/>
    <pageSetUpPr/>
  </sheetPr>
  <dimension ref="A1:AR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4" customWidth="1" min="4" max="4"/>
    <col width="24" customWidth="1" min="5" max="5"/>
    <col width="8" customWidth="1" min="6" max="6"/>
    <col width="8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0" customWidth="1" min="17" max="17"/>
    <col width="10" customWidth="1" min="18" max="18"/>
    <col width="14" customWidth="1" min="19" max="19"/>
    <col width="14" customWidth="1" min="20" max="20"/>
    <col width="14" customWidth="1" min="21" max="21"/>
    <col hidden="1" outlineLevel="1" width="9" customWidth="1" min="22" max="22"/>
    <col hidden="1" outlineLevel="1" width="9" customWidth="1" min="23" max="23"/>
    <col hidden="1" outlineLevel="1" width="10" customWidth="1" min="24" max="24"/>
    <col hidden="1" outlineLevel="1" width="10" customWidth="1" min="25" max="25"/>
    <col hidden="1" outlineLevel="1" width="10" customWidth="1" min="26" max="26"/>
    <col hidden="1" outlineLevel="1" width="10" customWidth="1" min="27" max="27"/>
    <col hidden="1" outlineLevel="1" width="10" customWidth="1" min="28" max="28"/>
    <col width="14" customWidth="1" min="29" max="29"/>
    <col hidden="1" outlineLevel="1" width="10" customWidth="1" min="30" max="30"/>
    <col hidden="1" outlineLevel="1" width="10" customWidth="1" min="31" max="31"/>
    <col width="14" customWidth="1" min="32" max="32"/>
    <col hidden="1" outlineLevel="1" width="10" customWidth="1" min="33" max="33"/>
    <col hidden="1" outlineLevel="1" width="10" customWidth="1" min="34" max="34"/>
    <col hidden="1" outlineLevel="1" width="10" customWidth="1" min="35" max="35"/>
    <col hidden="1" outlineLevel="1" width="10" customWidth="1" min="36" max="36"/>
    <col hidden="1" outlineLevel="1" width="10" customWidth="1" min="37" max="37"/>
    <col hidden="1" outlineLevel="1" width="10" customWidth="1" min="38" max="38"/>
    <col hidden="1" outlineLevel="1" width="10" customWidth="1" min="39" max="39"/>
    <col hidden="1" outlineLevel="1" width="10" customWidth="1" min="40" max="40"/>
    <col hidden="1" outlineLevel="1" width="10" customWidth="1" min="41" max="41"/>
    <col hidden="1" outlineLevel="1" width="10" customWidth="1" min="42" max="42"/>
    <col hidden="1" outlineLevel="1" width="10" customWidth="1" min="43" max="43"/>
    <col hidden="1" outlineLevel="1" width="10" customWidth="1" min="44" max="44"/>
  </cols>
  <sheetData>
    <row r="1" ht="24" customHeight="1">
      <c r="A1" s="8" t="inlineStr">
        <is>
          <t>BEYOND DESIGN | STOCK MOVES</t>
        </is>
      </c>
    </row>
    <row r="2">
      <c r="A2" s="9" t="inlineStr">
        <is>
          <t>Goods receipts, material issues to business units, transfers and count adjustments (Adjustment Qty = counted − system, may be negative)</t>
        </is>
      </c>
    </row>
    <row r="3">
      <c r="A3" s="10" t="inlineStr">
        <is>
          <t>e.g. 2026-10-02</t>
        </is>
      </c>
      <c r="B3" s="10" t="inlineStr">
        <is>
          <t>Receipt</t>
        </is>
      </c>
      <c r="C3" s="10" t="inlineStr">
        <is>
          <t>Main Store</t>
        </is>
      </c>
      <c r="E3" s="10" t="inlineStr">
        <is>
          <t>Ceramic tiles 60×60</t>
        </is>
      </c>
      <c r="F3" s="10" t="inlineStr">
        <is>
          <t>m2</t>
        </is>
      </c>
      <c r="G3" s="10" t="n">
        <v>200</v>
      </c>
      <c r="H3" s="10" t="n">
        <v>310</v>
      </c>
      <c r="J3" s="10" t="inlineStr">
        <is>
          <t>Cleopatra</t>
        </is>
      </c>
      <c r="K3" s="10" t="n">
        <v>62000</v>
      </c>
    </row>
    <row r="4" ht="30" customHeight="1">
      <c r="A4" s="11" t="inlineStr">
        <is>
          <t>Date</t>
        </is>
      </c>
      <c r="B4" s="11" t="inlineStr">
        <is>
          <t>Type</t>
        </is>
      </c>
      <c r="C4" s="11" t="inlineStr">
        <is>
          <t>Warehouse</t>
        </is>
      </c>
      <c r="D4" s="11" t="inlineStr">
        <is>
          <t>To Warehouse</t>
        </is>
      </c>
      <c r="E4" s="11" t="inlineStr">
        <is>
          <t>Item</t>
        </is>
      </c>
      <c r="F4" s="11" t="inlineStr">
        <is>
          <t>Unit</t>
        </is>
      </c>
      <c r="G4" s="11" t="inlineStr">
        <is>
          <t>Qty</t>
        </is>
      </c>
      <c r="H4" s="11" t="inlineStr">
        <is>
          <t>Unit Cost</t>
        </is>
      </c>
      <c r="I4" s="11" t="inlineStr">
        <is>
          <t>Business Unit</t>
        </is>
      </c>
      <c r="J4" s="11" t="inlineStr">
        <is>
          <t>Supplier</t>
        </is>
      </c>
      <c r="K4" s="11" t="inlineStr">
        <is>
          <t>Paid Now</t>
        </is>
      </c>
      <c r="L4" s="11" t="inlineStr">
        <is>
          <t>Payment Method</t>
        </is>
      </c>
      <c r="M4" s="11" t="inlineStr">
        <is>
          <t>Paid From</t>
        </is>
      </c>
      <c r="N4" s="11" t="inlineStr">
        <is>
          <t>Payable Account</t>
        </is>
      </c>
      <c r="O4" s="11" t="inlineStr">
        <is>
          <t>Cost Account (issues)</t>
        </is>
      </c>
      <c r="P4" s="11" t="inlineStr">
        <is>
          <t>Note</t>
        </is>
      </c>
      <c r="Q4" s="11" t="inlineStr">
        <is>
          <t>VAT Code</t>
        </is>
      </c>
      <c r="R4" s="11" t="inlineStr">
        <is>
          <t>WHT Code</t>
        </is>
      </c>
      <c r="S4" s="15" t="inlineStr">
        <is>
          <t>Value</t>
        </is>
      </c>
      <c r="T4" s="15" t="inlineStr">
        <is>
          <t>Input VAT</t>
        </is>
      </c>
      <c r="U4" s="15" t="inlineStr">
        <is>
          <t>WHT Withheld</t>
        </is>
      </c>
      <c r="V4" s="15" t="inlineStr">
        <is>
          <t>vat_input account</t>
        </is>
      </c>
      <c r="W4" s="15" t="inlineStr">
        <is>
          <t>wht_payable account</t>
        </is>
      </c>
      <c r="X4" s="15" t="inlineStr">
        <is>
          <t>paid_from (effective)</t>
        </is>
      </c>
      <c r="Y4" s="15" t="inlineStr">
        <is>
          <t>payable_account (effective)</t>
        </is>
      </c>
      <c r="Z4" s="15" t="inlineStr">
        <is>
          <t>account (effective)</t>
        </is>
      </c>
      <c r="AA4" s="15" t="inlineStr">
        <is>
          <t>Warehouse Account</t>
        </is>
      </c>
      <c r="AB4" s="15" t="inlineStr">
        <is>
          <t>To-Warehouse Account</t>
        </is>
      </c>
      <c r="AC4" s="15" t="inlineStr">
        <is>
          <t>Paid (effective)</t>
        </is>
      </c>
      <c r="AD4" s="15" t="inlineStr">
        <is>
          <t>Debit Account</t>
        </is>
      </c>
      <c r="AE4" s="15" t="inlineStr">
        <is>
          <t>Credit Account</t>
        </is>
      </c>
      <c r="AF4" s="15" t="inlineStr">
        <is>
          <t>Credit Amount</t>
        </is>
      </c>
      <c r="AG4" s="22" t="inlineStr">
        <is>
          <t>leg 1 type</t>
        </is>
      </c>
      <c r="AH4" s="22" t="inlineStr">
        <is>
          <t>leg 2 type</t>
        </is>
      </c>
      <c r="AI4" s="22" t="inlineStr">
        <is>
          <t>leg 3 type</t>
        </is>
      </c>
      <c r="AJ4" s="22" t="inlineStr">
        <is>
          <t>leg 4 type</t>
        </is>
      </c>
      <c r="AK4" s="22" t="inlineStr">
        <is>
          <t>leg 5 type</t>
        </is>
      </c>
      <c r="AL4" s="22" t="inlineStr">
        <is>
          <t>revenue</t>
        </is>
      </c>
      <c r="AM4" s="22" t="inlineStr">
        <is>
          <t>cost of sales</t>
        </is>
      </c>
      <c r="AN4" s="22" t="inlineStr">
        <is>
          <t>expenses</t>
        </is>
      </c>
      <c r="AO4" s="22" t="inlineStr">
        <is>
          <t>operating expenses</t>
        </is>
      </c>
      <c r="AP4" s="22" t="inlineStr">
        <is>
          <t>payables</t>
        </is>
      </c>
      <c r="AQ4" s="22" t="inlineStr">
        <is>
          <t>accruals</t>
        </is>
      </c>
      <c r="AR4" s="22" t="inlineStr">
        <is>
          <t>unknown account</t>
        </is>
      </c>
    </row>
    <row r="5">
      <c r="A5" s="19" t="n"/>
      <c r="B5" s="14" t="n"/>
      <c r="C5" s="14" t="n"/>
      <c r="D5" s="14" t="n"/>
      <c r="E5" s="14" t="n"/>
      <c r="F5" s="14" t="n"/>
      <c r="G5" s="14" t="n"/>
      <c r="H5" s="20" t="n"/>
      <c r="I5" s="14" t="n"/>
      <c r="J5" s="14" t="n"/>
      <c r="K5" s="20" t="n"/>
      <c r="L5" s="14" t="n"/>
      <c r="M5" s="14" t="n"/>
      <c r="N5" s="14" t="n"/>
      <c r="O5" s="14" t="n"/>
      <c r="P5" s="14" t="n"/>
      <c r="Q5" s="14" t="n"/>
      <c r="R5" s="14" t="n"/>
      <c r="S5" s="21">
        <f>ROUND(ABS(N(G5))*N(H5),2)</f>
        <v/>
      </c>
      <c r="T5" s="21">
        <f>IF(B5="Receipt",ROUND(S5*IFERROR(VLOOKUP(Q5,'Tax Codes'!$A$5:$E$300,5,FALSE),0),2),0)</f>
        <v/>
      </c>
      <c r="U5" s="21">
        <f>IF(B5="Receipt",ROUND(S5*IFERROR(VLOOKUP(R5,'Tax Codes'!$A$5:$E$300,5,FALSE),0),2),0)</f>
        <v/>
      </c>
      <c r="V5" s="16">
        <f>INDEX('Chart of Accounts'!$A$5:$A$3000,MATCH("vat_input",'Chart of Accounts'!$F$5:$F$3000,0))</f>
        <v/>
      </c>
      <c r="W5" s="16">
        <f>INDEX('Chart of Accounts'!$A$5:$A$3000,MATCH("wht_payable",'Chart of Accounts'!$F$5:$F$3000,0))</f>
        <v/>
      </c>
      <c r="X5" s="16">
        <f>IF(M5="",INDEX('Chart of Accounts'!$A$5:$A$3000,MATCH("bank",'Chart of Accounts'!$F$5:$F$3000,0)),M5&amp;"")</f>
        <v/>
      </c>
      <c r="Y5" s="16">
        <f>IF(N5="",INDEX('Chart of Accounts'!$A$5:$A$3000,MATCH("ap",'Chart of Accounts'!$F$5:$F$3000,0)),N5&amp;"")</f>
        <v/>
      </c>
      <c r="Z5" s="16">
        <f>IF(O5="",INDEX('Chart of Accounts'!$A$5:$A$3000,MATCH("materials",'Chart of Accounts'!$F$5:$F$3000,0)),O5&amp;"")</f>
        <v/>
      </c>
      <c r="AA5" s="16">
        <f>IF(IFERROR(INDEX(Warehouses!$C$5:$C$1000,MATCH(C5,Warehouses!$A$5:$A$1000,0))&amp;"","")="",INDEX('Chart of Accounts'!$A$5:$A$3000,MATCH("inventory",'Chart of Accounts'!$F$5:$F$3000,0)),IFERROR(INDEX(Warehouses!$C$5:$C$1000,MATCH(C5,Warehouses!$A$5:$A$1000,0))&amp;"",""))</f>
        <v/>
      </c>
      <c r="AB5" s="16">
        <f>IF(IFERROR(INDEX(Warehouses!$C$5:$C$1000,MATCH(D5,Warehouses!$A$5:$A$1000,0))&amp;"","")="",INDEX('Chart of Accounts'!$A$5:$A$3000,MATCH("inventory",'Chart of Accounts'!$F$5:$F$3000,0)),IFERROR(INDEX(Warehouses!$C$5:$C$1000,MATCH(D5,Warehouses!$A$5:$A$1000,0))&amp;"",""))</f>
        <v/>
      </c>
      <c r="AC5" s="21">
        <f>IF(B5="Receipt",N(K5),0)</f>
        <v/>
      </c>
      <c r="AD5" s="16">
        <f>IF(B5="Receipt",AA5,IF(B5="Issue",Z5,IF(B5="Transfer",AB5,IF(N(G5)&gt;=0,AA5,INDEX('Chart of Accounts'!$A$5:$A$3000,MATCH("stock_adjust",'Chart of Accounts'!$F$5:$F$3000,0))))))</f>
        <v/>
      </c>
      <c r="AE5" s="16">
        <f>IF(B5="Receipt",Y5,IF(B5="Adjustment",IF(N(G5)&gt;=0,INDEX('Chart of Accounts'!$A$5:$A$3000,MATCH("stock_adjust",'Chart of Accounts'!$F$5:$F$3000,0)),AA5),AA5))</f>
        <v/>
      </c>
      <c r="AF5" s="21">
        <f>S5+T5-U5-AC5</f>
        <v/>
      </c>
      <c r="AG5" s="23">
        <f>IFERROR(INDEX('Chart of Accounts'!$C$5:$C$3000,MATCH(AD5&amp;"",'Chart of Accounts'!$A$5:$A$3000,0))&amp;"|"&amp;INDEX('Chart of Accounts'!$D$5:$D$3000,MATCH(AD5&amp;"",'Chart of Accounts'!$A$5:$A$3000,0)),"")</f>
        <v/>
      </c>
      <c r="AH5" s="23">
        <f>IFERROR(INDEX('Chart of Accounts'!$C$5:$C$3000,MATCH(V5&amp;"",'Chart of Accounts'!$A$5:$A$3000,0))&amp;"|"&amp;INDEX('Chart of Accounts'!$D$5:$D$3000,MATCH(V5&amp;"",'Chart of Accounts'!$A$5:$A$3000,0)),"")</f>
        <v/>
      </c>
      <c r="AI5" s="23">
        <f>IFERROR(INDEX('Chart of Accounts'!$C$5:$C$3000,MATCH(AE5&amp;"",'Chart of Accounts'!$A$5:$A$3000,0))&amp;"|"&amp;INDEX('Chart of Accounts'!$D$5:$D$3000,MATCH(AE5&amp;"",'Chart of Accounts'!$A$5:$A$3000,0)),"")</f>
        <v/>
      </c>
      <c r="AJ5" s="23">
        <f>IFERROR(INDEX('Chart of Accounts'!$C$5:$C$3000,MATCH(X5&amp;"",'Chart of Accounts'!$A$5:$A$3000,0))&amp;"|"&amp;INDEX('Chart of Accounts'!$D$5:$D$3000,MATCH(X5&amp;"",'Chart of Accounts'!$A$5:$A$3000,0)),"")</f>
        <v/>
      </c>
      <c r="AK5" s="23">
        <f>IFERROR(INDEX('Chart of Accounts'!$C$5:$C$3000,MATCH(W5&amp;"",'Chart of Accounts'!$A$5:$A$3000,0))&amp;"|"&amp;INDEX('Chart of Accounts'!$D$5:$D$3000,MATCH(W5&amp;"",'Chart of Accounts'!$A$5:$A$3000,0)),"")</f>
        <v/>
      </c>
      <c r="AL5" s="23">
        <f>IF(LEFT(AG5,8)="Revenue|",-N(S5),0)+IF(LEFT(AH5,8)="Revenue|",-N(T5),0)+IF(LEFT(AI5,8)="Revenue|",N(AF5),0)+IF(LEFT(AJ5,8)="Revenue|",N(AC5),0)+IF(LEFT(AK5,8)="Revenue|",N(U5),0)</f>
        <v/>
      </c>
      <c r="AM5" s="23">
        <f>IF(LEFT(AG5,5)="COGS|",N(S5),0)+IF(LEFT(AH5,5)="COGS|",N(T5),0)+IF(LEFT(AI5,5)="COGS|",-N(AF5),0)+IF(LEFT(AJ5,5)="COGS|",-N(AC5),0)+IF(LEFT(AK5,5)="COGS|",-N(U5),0)</f>
        <v/>
      </c>
      <c r="AN5" s="23">
        <f>IF(LEFT(AG5,8)="Expense|",N(S5),0)+IF(LEFT(AH5,8)="Expense|",N(T5),0)+IF(LEFT(AI5,8)="Expense|",-N(AF5),0)+IF(LEFT(AJ5,8)="Expense|",-N(AC5),0)+IF(LEFT(AK5,8)="Expense|",-N(U5),0)</f>
        <v/>
      </c>
      <c r="AO5" s="23">
        <f>IF(ISNUMBER(MATCH(AG5,{"Expense|employee","Expense|general_admin","Expense|marketing","Expense|utilities","Expense|other_operating"},0)),N(S5),0)+IF(ISNUMBER(MATCH(AH5,{"Expense|employee","Expense|general_admin","Expense|marketing","Expense|utilities","Expense|other_operating"},0)),N(T5),0)+IF(ISNUMBER(MATCH(AI5,{"Expense|employee","Expense|general_admin","Expense|marketing","Expense|utilities","Expense|other_operating"},0)),-N(AF5),0)+IF(ISNUMBER(MATCH(AJ5,{"Expense|employee","Expense|general_admin","Expense|marketing","Expense|utilities","Expense|other_operating"},0)),-N(AC5),0)+IF(ISNUMBER(MATCH(AK5,{"Expense|employee","Expense|general_admin","Expense|marketing","Expense|utilities","Expense|other_operating"},0)),-N(U5),0)</f>
        <v/>
      </c>
      <c r="AP5" s="23">
        <f>IF(AG5="Liability|payable",-N(S5),0)+IF(AH5="Liability|payable",-N(T5),0)+IF(AI5="Liability|payable",N(AF5),0)+IF(AJ5="Liability|payable",N(AC5),0)+IF(AK5="Liability|payable",N(U5),0)</f>
        <v/>
      </c>
      <c r="AQ5" s="23">
        <f>IF(AG5="Liability|accrued",-N(S5),0)+IF(AH5="Liability|accrued",-N(T5),0)+IF(AI5="Liability|accrued",N(AF5),0)+IF(AJ5="Liability|accrued",N(AC5),0)+IF(AK5="Liability|accrued",N(U5),0)</f>
        <v/>
      </c>
      <c r="AR5" s="23">
        <f>IF(AND(N(S5)&lt;&gt;0,AG5=""),1,0)+IF(AND(N(T5)&lt;&gt;0,AH5=""),1,0)+IF(AND(N(AF5)&lt;&gt;0,AI5=""),1,0)+IF(AND(N(AC5)&lt;&gt;0,AJ5=""),1,0)+IF(AND(N(U5)&lt;&gt;0,AK5=""),1,0)</f>
        <v/>
      </c>
    </row>
    <row r="6">
      <c r="A6" s="19" t="n"/>
      <c r="B6" s="14" t="n"/>
      <c r="C6" s="14" t="n"/>
      <c r="D6" s="14" t="n"/>
      <c r="E6" s="14" t="n"/>
      <c r="F6" s="14" t="n"/>
      <c r="G6" s="14" t="n"/>
      <c r="H6" s="20" t="n"/>
      <c r="I6" s="14" t="n"/>
      <c r="J6" s="14" t="n"/>
      <c r="K6" s="20" t="n"/>
      <c r="L6" s="14" t="n"/>
      <c r="M6" s="14" t="n"/>
      <c r="N6" s="14" t="n"/>
      <c r="O6" s="14" t="n"/>
      <c r="P6" s="14" t="n"/>
      <c r="Q6" s="14" t="n"/>
      <c r="R6" s="14" t="n"/>
      <c r="S6" s="21">
        <f>ROUND(ABS(N(G6))*N(H6),2)</f>
        <v/>
      </c>
      <c r="T6" s="21">
        <f>IF(B6="Receipt",ROUND(S6*IFERROR(VLOOKUP(Q6,'Tax Codes'!$A$5:$E$300,5,FALSE),0),2),0)</f>
        <v/>
      </c>
      <c r="U6" s="21">
        <f>IF(B6="Receipt",ROUND(S6*IFERROR(VLOOKUP(R6,'Tax Codes'!$A$5:$E$300,5,FALSE),0),2),0)</f>
        <v/>
      </c>
      <c r="V6" s="16">
        <f>INDEX('Chart of Accounts'!$A$5:$A$3000,MATCH("vat_input",'Chart of Accounts'!$F$5:$F$3000,0))</f>
        <v/>
      </c>
      <c r="W6" s="16">
        <f>INDEX('Chart of Accounts'!$A$5:$A$3000,MATCH("wht_payable",'Chart of Accounts'!$F$5:$F$3000,0))</f>
        <v/>
      </c>
      <c r="X6" s="16">
        <f>IF(M6="",INDEX('Chart of Accounts'!$A$5:$A$3000,MATCH("bank",'Chart of Accounts'!$F$5:$F$3000,0)),M6&amp;"")</f>
        <v/>
      </c>
      <c r="Y6" s="16">
        <f>IF(N6="",INDEX('Chart of Accounts'!$A$5:$A$3000,MATCH("ap",'Chart of Accounts'!$F$5:$F$3000,0)),N6&amp;"")</f>
        <v/>
      </c>
      <c r="Z6" s="16">
        <f>IF(O6="",INDEX('Chart of Accounts'!$A$5:$A$3000,MATCH("materials",'Chart of Accounts'!$F$5:$F$3000,0)),O6&amp;"")</f>
        <v/>
      </c>
      <c r="AA6" s="16">
        <f>IF(IFERROR(INDEX(Warehouses!$C$5:$C$1000,MATCH(C6,Warehouses!$A$5:$A$1000,0))&amp;"","")="",INDEX('Chart of Accounts'!$A$5:$A$3000,MATCH("inventory",'Chart of Accounts'!$F$5:$F$3000,0)),IFERROR(INDEX(Warehouses!$C$5:$C$1000,MATCH(C6,Warehouses!$A$5:$A$1000,0))&amp;"",""))</f>
        <v/>
      </c>
      <c r="AB6" s="16">
        <f>IF(IFERROR(INDEX(Warehouses!$C$5:$C$1000,MATCH(D6,Warehouses!$A$5:$A$1000,0))&amp;"","")="",INDEX('Chart of Accounts'!$A$5:$A$3000,MATCH("inventory",'Chart of Accounts'!$F$5:$F$3000,0)),IFERROR(INDEX(Warehouses!$C$5:$C$1000,MATCH(D6,Warehouses!$A$5:$A$1000,0))&amp;"",""))</f>
        <v/>
      </c>
      <c r="AC6" s="21">
        <f>IF(B6="Receipt",N(K6),0)</f>
        <v/>
      </c>
      <c r="AD6" s="16">
        <f>IF(B6="Receipt",AA6,IF(B6="Issue",Z6,IF(B6="Transfer",AB6,IF(N(G6)&gt;=0,AA6,INDEX('Chart of Accounts'!$A$5:$A$3000,MATCH("stock_adjust",'Chart of Accounts'!$F$5:$F$3000,0))))))</f>
        <v/>
      </c>
      <c r="AE6" s="16">
        <f>IF(B6="Receipt",Y6,IF(B6="Adjustment",IF(N(G6)&gt;=0,INDEX('Chart of Accounts'!$A$5:$A$3000,MATCH("stock_adjust",'Chart of Accounts'!$F$5:$F$3000,0)),AA6),AA6))</f>
        <v/>
      </c>
      <c r="AF6" s="21">
        <f>S6+T6-U6-AC6</f>
        <v/>
      </c>
      <c r="AG6" s="23">
        <f>IFERROR(INDEX('Chart of Accounts'!$C$5:$C$3000,MATCH(AD6&amp;"",'Chart of Accounts'!$A$5:$A$3000,0))&amp;"|"&amp;INDEX('Chart of Accounts'!$D$5:$D$3000,MATCH(AD6&amp;"",'Chart of Accounts'!$A$5:$A$3000,0)),"")</f>
        <v/>
      </c>
      <c r="AH6" s="23">
        <f>IFERROR(INDEX('Chart of Accounts'!$C$5:$C$3000,MATCH(V6&amp;"",'Chart of Accounts'!$A$5:$A$3000,0))&amp;"|"&amp;INDEX('Chart of Accounts'!$D$5:$D$3000,MATCH(V6&amp;"",'Chart of Accounts'!$A$5:$A$3000,0)),"")</f>
        <v/>
      </c>
      <c r="AI6" s="23">
        <f>IFERROR(INDEX('Chart of Accounts'!$C$5:$C$3000,MATCH(AE6&amp;"",'Chart of Accounts'!$A$5:$A$3000,0))&amp;"|"&amp;INDEX('Chart of Accounts'!$D$5:$D$3000,MATCH(AE6&amp;"",'Chart of Accounts'!$A$5:$A$3000,0)),"")</f>
        <v/>
      </c>
      <c r="AJ6" s="23">
        <f>IFERROR(INDEX('Chart of Accounts'!$C$5:$C$3000,MATCH(X6&amp;"",'Chart of Accounts'!$A$5:$A$3000,0))&amp;"|"&amp;INDEX('Chart of Accounts'!$D$5:$D$3000,MATCH(X6&amp;"",'Chart of Accounts'!$A$5:$A$3000,0)),"")</f>
        <v/>
      </c>
      <c r="AK6" s="23">
        <f>IFERROR(INDEX('Chart of Accounts'!$C$5:$C$3000,MATCH(W6&amp;"",'Chart of Accounts'!$A$5:$A$3000,0))&amp;"|"&amp;INDEX('Chart of Accounts'!$D$5:$D$3000,MATCH(W6&amp;"",'Chart of Accounts'!$A$5:$A$3000,0)),"")</f>
        <v/>
      </c>
      <c r="AL6" s="23">
        <f>IF(LEFT(AG6,8)="Revenue|",-N(S6),0)+IF(LEFT(AH6,8)="Revenue|",-N(T6),0)+IF(LEFT(AI6,8)="Revenue|",N(AF6),0)+IF(LEFT(AJ6,8)="Revenue|",N(AC6),0)+IF(LEFT(AK6,8)="Revenue|",N(U6),0)</f>
        <v/>
      </c>
      <c r="AM6" s="23">
        <f>IF(LEFT(AG6,5)="COGS|",N(S6),0)+IF(LEFT(AH6,5)="COGS|",N(T6),0)+IF(LEFT(AI6,5)="COGS|",-N(AF6),0)+IF(LEFT(AJ6,5)="COGS|",-N(AC6),0)+IF(LEFT(AK6,5)="COGS|",-N(U6),0)</f>
        <v/>
      </c>
      <c r="AN6" s="23">
        <f>IF(LEFT(AG6,8)="Expense|",N(S6),0)+IF(LEFT(AH6,8)="Expense|",N(T6),0)+IF(LEFT(AI6,8)="Expense|",-N(AF6),0)+IF(LEFT(AJ6,8)="Expense|",-N(AC6),0)+IF(LEFT(AK6,8)="Expense|",-N(U6),0)</f>
        <v/>
      </c>
      <c r="AO6" s="23">
        <f>IF(ISNUMBER(MATCH(AG6,{"Expense|employee","Expense|general_admin","Expense|marketing","Expense|utilities","Expense|other_operating"},0)),N(S6),0)+IF(ISNUMBER(MATCH(AH6,{"Expense|employee","Expense|general_admin","Expense|marketing","Expense|utilities","Expense|other_operating"},0)),N(T6),0)+IF(ISNUMBER(MATCH(AI6,{"Expense|employee","Expense|general_admin","Expense|marketing","Expense|utilities","Expense|other_operating"},0)),-N(AF6),0)+IF(ISNUMBER(MATCH(AJ6,{"Expense|employee","Expense|general_admin","Expense|marketing","Expense|utilities","Expense|other_operating"},0)),-N(AC6),0)+IF(ISNUMBER(MATCH(AK6,{"Expense|employee","Expense|general_admin","Expense|marketing","Expense|utilities","Expense|other_operating"},0)),-N(U6),0)</f>
        <v/>
      </c>
      <c r="AP6" s="23">
        <f>IF(AG6="Liability|payable",-N(S6),0)+IF(AH6="Liability|payable",-N(T6),0)+IF(AI6="Liability|payable",N(AF6),0)+IF(AJ6="Liability|payable",N(AC6),0)+IF(AK6="Liability|payable",N(U6),0)</f>
        <v/>
      </c>
      <c r="AQ6" s="23">
        <f>IF(AG6="Liability|accrued",-N(S6),0)+IF(AH6="Liability|accrued",-N(T6),0)+IF(AI6="Liability|accrued",N(AF6),0)+IF(AJ6="Liability|accrued",N(AC6),0)+IF(AK6="Liability|accrued",N(U6),0)</f>
        <v/>
      </c>
      <c r="AR6" s="23">
        <f>IF(AND(N(S6)&lt;&gt;0,AG6=""),1,0)+IF(AND(N(T6)&lt;&gt;0,AH6=""),1,0)+IF(AND(N(AF6)&lt;&gt;0,AI6=""),1,0)+IF(AND(N(AC6)&lt;&gt;0,AJ6=""),1,0)+IF(AND(N(U6)&lt;&gt;0,AK6=""),1,0)</f>
        <v/>
      </c>
    </row>
    <row r="7">
      <c r="A7" s="19" t="n"/>
      <c r="B7" s="14" t="n"/>
      <c r="C7" s="14" t="n"/>
      <c r="D7" s="14" t="n"/>
      <c r="E7" s="14" t="n"/>
      <c r="F7" s="14" t="n"/>
      <c r="G7" s="14" t="n"/>
      <c r="H7" s="20" t="n"/>
      <c r="I7" s="14" t="n"/>
      <c r="J7" s="14" t="n"/>
      <c r="K7" s="20" t="n"/>
      <c r="L7" s="14" t="n"/>
      <c r="M7" s="14" t="n"/>
      <c r="N7" s="14" t="n"/>
      <c r="O7" s="14" t="n"/>
      <c r="P7" s="14" t="n"/>
      <c r="Q7" s="14" t="n"/>
      <c r="R7" s="14" t="n"/>
      <c r="S7" s="21">
        <f>ROUND(ABS(N(G7))*N(H7),2)</f>
        <v/>
      </c>
      <c r="T7" s="21">
        <f>IF(B7="Receipt",ROUND(S7*IFERROR(VLOOKUP(Q7,'Tax Codes'!$A$5:$E$300,5,FALSE),0),2),0)</f>
        <v/>
      </c>
      <c r="U7" s="21">
        <f>IF(B7="Receipt",ROUND(S7*IFERROR(VLOOKUP(R7,'Tax Codes'!$A$5:$E$300,5,FALSE),0),2),0)</f>
        <v/>
      </c>
      <c r="V7" s="16">
        <f>INDEX('Chart of Accounts'!$A$5:$A$3000,MATCH("vat_input",'Chart of Accounts'!$F$5:$F$3000,0))</f>
        <v/>
      </c>
      <c r="W7" s="16">
        <f>INDEX('Chart of Accounts'!$A$5:$A$3000,MATCH("wht_payable",'Chart of Accounts'!$F$5:$F$3000,0))</f>
        <v/>
      </c>
      <c r="X7" s="16">
        <f>IF(M7="",INDEX('Chart of Accounts'!$A$5:$A$3000,MATCH("bank",'Chart of Accounts'!$F$5:$F$3000,0)),M7&amp;"")</f>
        <v/>
      </c>
      <c r="Y7" s="16">
        <f>IF(N7="",INDEX('Chart of Accounts'!$A$5:$A$3000,MATCH("ap",'Chart of Accounts'!$F$5:$F$3000,0)),N7&amp;"")</f>
        <v/>
      </c>
      <c r="Z7" s="16">
        <f>IF(O7="",INDEX('Chart of Accounts'!$A$5:$A$3000,MATCH("materials",'Chart of Accounts'!$F$5:$F$3000,0)),O7&amp;"")</f>
        <v/>
      </c>
      <c r="AA7" s="16">
        <f>IF(IFERROR(INDEX(Warehouses!$C$5:$C$1000,MATCH(C7,Warehouses!$A$5:$A$1000,0))&amp;"","")="",INDEX('Chart of Accounts'!$A$5:$A$3000,MATCH("inventory",'Chart of Accounts'!$F$5:$F$3000,0)),IFERROR(INDEX(Warehouses!$C$5:$C$1000,MATCH(C7,Warehouses!$A$5:$A$1000,0))&amp;"",""))</f>
        <v/>
      </c>
      <c r="AB7" s="16">
        <f>IF(IFERROR(INDEX(Warehouses!$C$5:$C$1000,MATCH(D7,Warehouses!$A$5:$A$1000,0))&amp;"","")="",INDEX('Chart of Accounts'!$A$5:$A$3000,MATCH("inventory",'Chart of Accounts'!$F$5:$F$3000,0)),IFERROR(INDEX(Warehouses!$C$5:$C$1000,MATCH(D7,Warehouses!$A$5:$A$1000,0))&amp;"",""))</f>
        <v/>
      </c>
      <c r="AC7" s="21">
        <f>IF(B7="Receipt",N(K7),0)</f>
        <v/>
      </c>
      <c r="AD7" s="16">
        <f>IF(B7="Receipt",AA7,IF(B7="Issue",Z7,IF(B7="Transfer",AB7,IF(N(G7)&gt;=0,AA7,INDEX('Chart of Accounts'!$A$5:$A$3000,MATCH("stock_adjust",'Chart of Accounts'!$F$5:$F$3000,0))))))</f>
        <v/>
      </c>
      <c r="AE7" s="16">
        <f>IF(B7="Receipt",Y7,IF(B7="Adjustment",IF(N(G7)&gt;=0,INDEX('Chart of Accounts'!$A$5:$A$3000,MATCH("stock_adjust",'Chart of Accounts'!$F$5:$F$3000,0)),AA7),AA7))</f>
        <v/>
      </c>
      <c r="AF7" s="21">
        <f>S7+T7-U7-AC7</f>
        <v/>
      </c>
      <c r="AG7" s="23">
        <f>IFERROR(INDEX('Chart of Accounts'!$C$5:$C$3000,MATCH(AD7&amp;"",'Chart of Accounts'!$A$5:$A$3000,0))&amp;"|"&amp;INDEX('Chart of Accounts'!$D$5:$D$3000,MATCH(AD7&amp;"",'Chart of Accounts'!$A$5:$A$3000,0)),"")</f>
        <v/>
      </c>
      <c r="AH7" s="23">
        <f>IFERROR(INDEX('Chart of Accounts'!$C$5:$C$3000,MATCH(V7&amp;"",'Chart of Accounts'!$A$5:$A$3000,0))&amp;"|"&amp;INDEX('Chart of Accounts'!$D$5:$D$3000,MATCH(V7&amp;"",'Chart of Accounts'!$A$5:$A$3000,0)),"")</f>
        <v/>
      </c>
      <c r="AI7" s="23">
        <f>IFERROR(INDEX('Chart of Accounts'!$C$5:$C$3000,MATCH(AE7&amp;"",'Chart of Accounts'!$A$5:$A$3000,0))&amp;"|"&amp;INDEX('Chart of Accounts'!$D$5:$D$3000,MATCH(AE7&amp;"",'Chart of Accounts'!$A$5:$A$3000,0)),"")</f>
        <v/>
      </c>
      <c r="AJ7" s="23">
        <f>IFERROR(INDEX('Chart of Accounts'!$C$5:$C$3000,MATCH(X7&amp;"",'Chart of Accounts'!$A$5:$A$3000,0))&amp;"|"&amp;INDEX('Chart of Accounts'!$D$5:$D$3000,MATCH(X7&amp;"",'Chart of Accounts'!$A$5:$A$3000,0)),"")</f>
        <v/>
      </c>
      <c r="AK7" s="23">
        <f>IFERROR(INDEX('Chart of Accounts'!$C$5:$C$3000,MATCH(W7&amp;"",'Chart of Accounts'!$A$5:$A$3000,0))&amp;"|"&amp;INDEX('Chart of Accounts'!$D$5:$D$3000,MATCH(W7&amp;"",'Chart of Accounts'!$A$5:$A$3000,0)),"")</f>
        <v/>
      </c>
      <c r="AL7" s="23">
        <f>IF(LEFT(AG7,8)="Revenue|",-N(S7),0)+IF(LEFT(AH7,8)="Revenue|",-N(T7),0)+IF(LEFT(AI7,8)="Revenue|",N(AF7),0)+IF(LEFT(AJ7,8)="Revenue|",N(AC7),0)+IF(LEFT(AK7,8)="Revenue|",N(U7),0)</f>
        <v/>
      </c>
      <c r="AM7" s="23">
        <f>IF(LEFT(AG7,5)="COGS|",N(S7),0)+IF(LEFT(AH7,5)="COGS|",N(T7),0)+IF(LEFT(AI7,5)="COGS|",-N(AF7),0)+IF(LEFT(AJ7,5)="COGS|",-N(AC7),0)+IF(LEFT(AK7,5)="COGS|",-N(U7),0)</f>
        <v/>
      </c>
      <c r="AN7" s="23">
        <f>IF(LEFT(AG7,8)="Expense|",N(S7),0)+IF(LEFT(AH7,8)="Expense|",N(T7),0)+IF(LEFT(AI7,8)="Expense|",-N(AF7),0)+IF(LEFT(AJ7,8)="Expense|",-N(AC7),0)+IF(LEFT(AK7,8)="Expense|",-N(U7),0)</f>
        <v/>
      </c>
      <c r="AO7" s="23">
        <f>IF(ISNUMBER(MATCH(AG7,{"Expense|employee","Expense|general_admin","Expense|marketing","Expense|utilities","Expense|other_operating"},0)),N(S7),0)+IF(ISNUMBER(MATCH(AH7,{"Expense|employee","Expense|general_admin","Expense|marketing","Expense|utilities","Expense|other_operating"},0)),N(T7),0)+IF(ISNUMBER(MATCH(AI7,{"Expense|employee","Expense|general_admin","Expense|marketing","Expense|utilities","Expense|other_operating"},0)),-N(AF7),0)+IF(ISNUMBER(MATCH(AJ7,{"Expense|employee","Expense|general_admin","Expense|marketing","Expense|utilities","Expense|other_operating"},0)),-N(AC7),0)+IF(ISNUMBER(MATCH(AK7,{"Expense|employee","Expense|general_admin","Expense|marketing","Expense|utilities","Expense|other_operating"},0)),-N(U7),0)</f>
        <v/>
      </c>
      <c r="AP7" s="23">
        <f>IF(AG7="Liability|payable",-N(S7),0)+IF(AH7="Liability|payable",-N(T7),0)+IF(AI7="Liability|payable",N(AF7),0)+IF(AJ7="Liability|payable",N(AC7),0)+IF(AK7="Liability|payable",N(U7),0)</f>
        <v/>
      </c>
      <c r="AQ7" s="23">
        <f>IF(AG7="Liability|accrued",-N(S7),0)+IF(AH7="Liability|accrued",-N(T7),0)+IF(AI7="Liability|accrued",N(AF7),0)+IF(AJ7="Liability|accrued",N(AC7),0)+IF(AK7="Liability|accrued",N(U7),0)</f>
        <v/>
      </c>
      <c r="AR7" s="23">
        <f>IF(AND(N(S7)&lt;&gt;0,AG7=""),1,0)+IF(AND(N(T7)&lt;&gt;0,AH7=""),1,0)+IF(AND(N(AF7)&lt;&gt;0,AI7=""),1,0)+IF(AND(N(AC7)&lt;&gt;0,AJ7=""),1,0)+IF(AND(N(U7)&lt;&gt;0,AK7=""),1,0)</f>
        <v/>
      </c>
    </row>
    <row r="8">
      <c r="A8" s="19" t="n"/>
      <c r="B8" s="14" t="n"/>
      <c r="C8" s="14" t="n"/>
      <c r="D8" s="14" t="n"/>
      <c r="E8" s="14" t="n"/>
      <c r="F8" s="14" t="n"/>
      <c r="G8" s="14" t="n"/>
      <c r="H8" s="20" t="n"/>
      <c r="I8" s="14" t="n"/>
      <c r="J8" s="14" t="n"/>
      <c r="K8" s="20" t="n"/>
      <c r="L8" s="14" t="n"/>
      <c r="M8" s="14" t="n"/>
      <c r="N8" s="14" t="n"/>
      <c r="O8" s="14" t="n"/>
      <c r="P8" s="14" t="n"/>
      <c r="Q8" s="14" t="n"/>
      <c r="R8" s="14" t="n"/>
      <c r="S8" s="21">
        <f>ROUND(ABS(N(G8))*N(H8),2)</f>
        <v/>
      </c>
      <c r="T8" s="21">
        <f>IF(B8="Receipt",ROUND(S8*IFERROR(VLOOKUP(Q8,'Tax Codes'!$A$5:$E$300,5,FALSE),0),2),0)</f>
        <v/>
      </c>
      <c r="U8" s="21">
        <f>IF(B8="Receipt",ROUND(S8*IFERROR(VLOOKUP(R8,'Tax Codes'!$A$5:$E$300,5,FALSE),0),2),0)</f>
        <v/>
      </c>
      <c r="V8" s="16">
        <f>INDEX('Chart of Accounts'!$A$5:$A$3000,MATCH("vat_input",'Chart of Accounts'!$F$5:$F$3000,0))</f>
        <v/>
      </c>
      <c r="W8" s="16">
        <f>INDEX('Chart of Accounts'!$A$5:$A$3000,MATCH("wht_payable",'Chart of Accounts'!$F$5:$F$3000,0))</f>
        <v/>
      </c>
      <c r="X8" s="16">
        <f>IF(M8="",INDEX('Chart of Accounts'!$A$5:$A$3000,MATCH("bank",'Chart of Accounts'!$F$5:$F$3000,0)),M8&amp;"")</f>
        <v/>
      </c>
      <c r="Y8" s="16">
        <f>IF(N8="",INDEX('Chart of Accounts'!$A$5:$A$3000,MATCH("ap",'Chart of Accounts'!$F$5:$F$3000,0)),N8&amp;"")</f>
        <v/>
      </c>
      <c r="Z8" s="16">
        <f>IF(O8="",INDEX('Chart of Accounts'!$A$5:$A$3000,MATCH("materials",'Chart of Accounts'!$F$5:$F$3000,0)),O8&amp;"")</f>
        <v/>
      </c>
      <c r="AA8" s="16">
        <f>IF(IFERROR(INDEX(Warehouses!$C$5:$C$1000,MATCH(C8,Warehouses!$A$5:$A$1000,0))&amp;"","")="",INDEX('Chart of Accounts'!$A$5:$A$3000,MATCH("inventory",'Chart of Accounts'!$F$5:$F$3000,0)),IFERROR(INDEX(Warehouses!$C$5:$C$1000,MATCH(C8,Warehouses!$A$5:$A$1000,0))&amp;"",""))</f>
        <v/>
      </c>
      <c r="AB8" s="16">
        <f>IF(IFERROR(INDEX(Warehouses!$C$5:$C$1000,MATCH(D8,Warehouses!$A$5:$A$1000,0))&amp;"","")="",INDEX('Chart of Accounts'!$A$5:$A$3000,MATCH("inventory",'Chart of Accounts'!$F$5:$F$3000,0)),IFERROR(INDEX(Warehouses!$C$5:$C$1000,MATCH(D8,Warehouses!$A$5:$A$1000,0))&amp;"",""))</f>
        <v/>
      </c>
      <c r="AC8" s="21">
        <f>IF(B8="Receipt",N(K8),0)</f>
        <v/>
      </c>
      <c r="AD8" s="16">
        <f>IF(B8="Receipt",AA8,IF(B8="Issue",Z8,IF(B8="Transfer",AB8,IF(N(G8)&gt;=0,AA8,INDEX('Chart of Accounts'!$A$5:$A$3000,MATCH("stock_adjust",'Chart of Accounts'!$F$5:$F$3000,0))))))</f>
        <v/>
      </c>
      <c r="AE8" s="16">
        <f>IF(B8="Receipt",Y8,IF(B8="Adjustment",IF(N(G8)&gt;=0,INDEX('Chart of Accounts'!$A$5:$A$3000,MATCH("stock_adjust",'Chart of Accounts'!$F$5:$F$3000,0)),AA8),AA8))</f>
        <v/>
      </c>
      <c r="AF8" s="21">
        <f>S8+T8-U8-AC8</f>
        <v/>
      </c>
      <c r="AG8" s="23">
        <f>IFERROR(INDEX('Chart of Accounts'!$C$5:$C$3000,MATCH(AD8&amp;"",'Chart of Accounts'!$A$5:$A$3000,0))&amp;"|"&amp;INDEX('Chart of Accounts'!$D$5:$D$3000,MATCH(AD8&amp;"",'Chart of Accounts'!$A$5:$A$3000,0)),"")</f>
        <v/>
      </c>
      <c r="AH8" s="23">
        <f>IFERROR(INDEX('Chart of Accounts'!$C$5:$C$3000,MATCH(V8&amp;"",'Chart of Accounts'!$A$5:$A$3000,0))&amp;"|"&amp;INDEX('Chart of Accounts'!$D$5:$D$3000,MATCH(V8&amp;"",'Chart of Accounts'!$A$5:$A$3000,0)),"")</f>
        <v/>
      </c>
      <c r="AI8" s="23">
        <f>IFERROR(INDEX('Chart of Accounts'!$C$5:$C$3000,MATCH(AE8&amp;"",'Chart of Accounts'!$A$5:$A$3000,0))&amp;"|"&amp;INDEX('Chart of Accounts'!$D$5:$D$3000,MATCH(AE8&amp;"",'Chart of Accounts'!$A$5:$A$3000,0)),"")</f>
        <v/>
      </c>
      <c r="AJ8" s="23">
        <f>IFERROR(INDEX('Chart of Accounts'!$C$5:$C$3000,MATCH(X8&amp;"",'Chart of Accounts'!$A$5:$A$3000,0))&amp;"|"&amp;INDEX('Chart of Accounts'!$D$5:$D$3000,MATCH(X8&amp;"",'Chart of Accounts'!$A$5:$A$3000,0)),"")</f>
        <v/>
      </c>
      <c r="AK8" s="23">
        <f>IFERROR(INDEX('Chart of Accounts'!$C$5:$C$3000,MATCH(W8&amp;"",'Chart of Accounts'!$A$5:$A$3000,0))&amp;"|"&amp;INDEX('Chart of Accounts'!$D$5:$D$3000,MATCH(W8&amp;"",'Chart of Accounts'!$A$5:$A$3000,0)),"")</f>
        <v/>
      </c>
      <c r="AL8" s="23">
        <f>IF(LEFT(AG8,8)="Revenue|",-N(S8),0)+IF(LEFT(AH8,8)="Revenue|",-N(T8),0)+IF(LEFT(AI8,8)="Revenue|",N(AF8),0)+IF(LEFT(AJ8,8)="Revenue|",N(AC8),0)+IF(LEFT(AK8,8)="Revenue|",N(U8),0)</f>
        <v/>
      </c>
      <c r="AM8" s="23">
        <f>IF(LEFT(AG8,5)="COGS|",N(S8),0)+IF(LEFT(AH8,5)="COGS|",N(T8),0)+IF(LEFT(AI8,5)="COGS|",-N(AF8),0)+IF(LEFT(AJ8,5)="COGS|",-N(AC8),0)+IF(LEFT(AK8,5)="COGS|",-N(U8),0)</f>
        <v/>
      </c>
      <c r="AN8" s="23">
        <f>IF(LEFT(AG8,8)="Expense|",N(S8),0)+IF(LEFT(AH8,8)="Expense|",N(T8),0)+IF(LEFT(AI8,8)="Expense|",-N(AF8),0)+IF(LEFT(AJ8,8)="Expense|",-N(AC8),0)+IF(LEFT(AK8,8)="Expense|",-N(U8),0)</f>
        <v/>
      </c>
      <c r="AO8" s="23">
        <f>IF(ISNUMBER(MATCH(AG8,{"Expense|employee","Expense|general_admin","Expense|marketing","Expense|utilities","Expense|other_operating"},0)),N(S8),0)+IF(ISNUMBER(MATCH(AH8,{"Expense|employee","Expense|general_admin","Expense|marketing","Expense|utilities","Expense|other_operating"},0)),N(T8),0)+IF(ISNUMBER(MATCH(AI8,{"Expense|employee","Expense|general_admin","Expense|marketing","Expense|utilities","Expense|other_operating"},0)),-N(AF8),0)+IF(ISNUMBER(MATCH(AJ8,{"Expense|employee","Expense|general_admin","Expense|marketing","Expense|utilities","Expense|other_operating"},0)),-N(AC8),0)+IF(ISNUMBER(MATCH(AK8,{"Expense|employee","Expense|general_admin","Expense|marketing","Expense|utilities","Expense|other_operating"},0)),-N(U8),0)</f>
        <v/>
      </c>
      <c r="AP8" s="23">
        <f>IF(AG8="Liability|payable",-N(S8),0)+IF(AH8="Liability|payable",-N(T8),0)+IF(AI8="Liability|payable",N(AF8),0)+IF(AJ8="Liability|payable",N(AC8),0)+IF(AK8="Liability|payable",N(U8),0)</f>
        <v/>
      </c>
      <c r="AQ8" s="23">
        <f>IF(AG8="Liability|accrued",-N(S8),0)+IF(AH8="Liability|accrued",-N(T8),0)+IF(AI8="Liability|accrued",N(AF8),0)+IF(AJ8="Liability|accrued",N(AC8),0)+IF(AK8="Liability|accrued",N(U8),0)</f>
        <v/>
      </c>
      <c r="AR8" s="23">
        <f>IF(AND(N(S8)&lt;&gt;0,AG8=""),1,0)+IF(AND(N(T8)&lt;&gt;0,AH8=""),1,0)+IF(AND(N(AF8)&lt;&gt;0,AI8=""),1,0)+IF(AND(N(AC8)&lt;&gt;0,AJ8=""),1,0)+IF(AND(N(U8)&lt;&gt;0,AK8=""),1,0)</f>
        <v/>
      </c>
    </row>
    <row r="9">
      <c r="A9" s="19" t="n"/>
      <c r="B9" s="14" t="n"/>
      <c r="C9" s="14" t="n"/>
      <c r="D9" s="14" t="n"/>
      <c r="E9" s="14" t="n"/>
      <c r="F9" s="14" t="n"/>
      <c r="G9" s="14" t="n"/>
      <c r="H9" s="20" t="n"/>
      <c r="I9" s="14" t="n"/>
      <c r="J9" s="14" t="n"/>
      <c r="K9" s="20" t="n"/>
      <c r="L9" s="14" t="n"/>
      <c r="M9" s="14" t="n"/>
      <c r="N9" s="14" t="n"/>
      <c r="O9" s="14" t="n"/>
      <c r="P9" s="14" t="n"/>
      <c r="Q9" s="14" t="n"/>
      <c r="R9" s="14" t="n"/>
      <c r="S9" s="21">
        <f>ROUND(ABS(N(G9))*N(H9),2)</f>
        <v/>
      </c>
      <c r="T9" s="21">
        <f>IF(B9="Receipt",ROUND(S9*IFERROR(VLOOKUP(Q9,'Tax Codes'!$A$5:$E$300,5,FALSE),0),2),0)</f>
        <v/>
      </c>
      <c r="U9" s="21">
        <f>IF(B9="Receipt",ROUND(S9*IFERROR(VLOOKUP(R9,'Tax Codes'!$A$5:$E$300,5,FALSE),0),2),0)</f>
        <v/>
      </c>
      <c r="V9" s="16">
        <f>INDEX('Chart of Accounts'!$A$5:$A$3000,MATCH("vat_input",'Chart of Accounts'!$F$5:$F$3000,0))</f>
        <v/>
      </c>
      <c r="W9" s="16">
        <f>INDEX('Chart of Accounts'!$A$5:$A$3000,MATCH("wht_payable",'Chart of Accounts'!$F$5:$F$3000,0))</f>
        <v/>
      </c>
      <c r="X9" s="16">
        <f>IF(M9="",INDEX('Chart of Accounts'!$A$5:$A$3000,MATCH("bank",'Chart of Accounts'!$F$5:$F$3000,0)),M9&amp;"")</f>
        <v/>
      </c>
      <c r="Y9" s="16">
        <f>IF(N9="",INDEX('Chart of Accounts'!$A$5:$A$3000,MATCH("ap",'Chart of Accounts'!$F$5:$F$3000,0)),N9&amp;"")</f>
        <v/>
      </c>
      <c r="Z9" s="16">
        <f>IF(O9="",INDEX('Chart of Accounts'!$A$5:$A$3000,MATCH("materials",'Chart of Accounts'!$F$5:$F$3000,0)),O9&amp;"")</f>
        <v/>
      </c>
      <c r="AA9" s="16">
        <f>IF(IFERROR(INDEX(Warehouses!$C$5:$C$1000,MATCH(C9,Warehouses!$A$5:$A$1000,0))&amp;"","")="",INDEX('Chart of Accounts'!$A$5:$A$3000,MATCH("inventory",'Chart of Accounts'!$F$5:$F$3000,0)),IFERROR(INDEX(Warehouses!$C$5:$C$1000,MATCH(C9,Warehouses!$A$5:$A$1000,0))&amp;"",""))</f>
        <v/>
      </c>
      <c r="AB9" s="16">
        <f>IF(IFERROR(INDEX(Warehouses!$C$5:$C$1000,MATCH(D9,Warehouses!$A$5:$A$1000,0))&amp;"","")="",INDEX('Chart of Accounts'!$A$5:$A$3000,MATCH("inventory",'Chart of Accounts'!$F$5:$F$3000,0)),IFERROR(INDEX(Warehouses!$C$5:$C$1000,MATCH(D9,Warehouses!$A$5:$A$1000,0))&amp;"",""))</f>
        <v/>
      </c>
      <c r="AC9" s="21">
        <f>IF(B9="Receipt",N(K9),0)</f>
        <v/>
      </c>
      <c r="AD9" s="16">
        <f>IF(B9="Receipt",AA9,IF(B9="Issue",Z9,IF(B9="Transfer",AB9,IF(N(G9)&gt;=0,AA9,INDEX('Chart of Accounts'!$A$5:$A$3000,MATCH("stock_adjust",'Chart of Accounts'!$F$5:$F$3000,0))))))</f>
        <v/>
      </c>
      <c r="AE9" s="16">
        <f>IF(B9="Receipt",Y9,IF(B9="Adjustment",IF(N(G9)&gt;=0,INDEX('Chart of Accounts'!$A$5:$A$3000,MATCH("stock_adjust",'Chart of Accounts'!$F$5:$F$3000,0)),AA9),AA9))</f>
        <v/>
      </c>
      <c r="AF9" s="21">
        <f>S9+T9-U9-AC9</f>
        <v/>
      </c>
      <c r="AG9" s="23">
        <f>IFERROR(INDEX('Chart of Accounts'!$C$5:$C$3000,MATCH(AD9&amp;"",'Chart of Accounts'!$A$5:$A$3000,0))&amp;"|"&amp;INDEX('Chart of Accounts'!$D$5:$D$3000,MATCH(AD9&amp;"",'Chart of Accounts'!$A$5:$A$3000,0)),"")</f>
        <v/>
      </c>
      <c r="AH9" s="23">
        <f>IFERROR(INDEX('Chart of Accounts'!$C$5:$C$3000,MATCH(V9&amp;"",'Chart of Accounts'!$A$5:$A$3000,0))&amp;"|"&amp;INDEX('Chart of Accounts'!$D$5:$D$3000,MATCH(V9&amp;"",'Chart of Accounts'!$A$5:$A$3000,0)),"")</f>
        <v/>
      </c>
      <c r="AI9" s="23">
        <f>IFERROR(INDEX('Chart of Accounts'!$C$5:$C$3000,MATCH(AE9&amp;"",'Chart of Accounts'!$A$5:$A$3000,0))&amp;"|"&amp;INDEX('Chart of Accounts'!$D$5:$D$3000,MATCH(AE9&amp;"",'Chart of Accounts'!$A$5:$A$3000,0)),"")</f>
        <v/>
      </c>
      <c r="AJ9" s="23">
        <f>IFERROR(INDEX('Chart of Accounts'!$C$5:$C$3000,MATCH(X9&amp;"",'Chart of Accounts'!$A$5:$A$3000,0))&amp;"|"&amp;INDEX('Chart of Accounts'!$D$5:$D$3000,MATCH(X9&amp;"",'Chart of Accounts'!$A$5:$A$3000,0)),"")</f>
        <v/>
      </c>
      <c r="AK9" s="23">
        <f>IFERROR(INDEX('Chart of Accounts'!$C$5:$C$3000,MATCH(W9&amp;"",'Chart of Accounts'!$A$5:$A$3000,0))&amp;"|"&amp;INDEX('Chart of Accounts'!$D$5:$D$3000,MATCH(W9&amp;"",'Chart of Accounts'!$A$5:$A$3000,0)),"")</f>
        <v/>
      </c>
      <c r="AL9" s="23">
        <f>IF(LEFT(AG9,8)="Revenue|",-N(S9),0)+IF(LEFT(AH9,8)="Revenue|",-N(T9),0)+IF(LEFT(AI9,8)="Revenue|",N(AF9),0)+IF(LEFT(AJ9,8)="Revenue|",N(AC9),0)+IF(LEFT(AK9,8)="Revenue|",N(U9),0)</f>
        <v/>
      </c>
      <c r="AM9" s="23">
        <f>IF(LEFT(AG9,5)="COGS|",N(S9),0)+IF(LEFT(AH9,5)="COGS|",N(T9),0)+IF(LEFT(AI9,5)="COGS|",-N(AF9),0)+IF(LEFT(AJ9,5)="COGS|",-N(AC9),0)+IF(LEFT(AK9,5)="COGS|",-N(U9),0)</f>
        <v/>
      </c>
      <c r="AN9" s="23">
        <f>IF(LEFT(AG9,8)="Expense|",N(S9),0)+IF(LEFT(AH9,8)="Expense|",N(T9),0)+IF(LEFT(AI9,8)="Expense|",-N(AF9),0)+IF(LEFT(AJ9,8)="Expense|",-N(AC9),0)+IF(LEFT(AK9,8)="Expense|",-N(U9),0)</f>
        <v/>
      </c>
      <c r="AO9" s="23">
        <f>IF(ISNUMBER(MATCH(AG9,{"Expense|employee","Expense|general_admin","Expense|marketing","Expense|utilities","Expense|other_operating"},0)),N(S9),0)+IF(ISNUMBER(MATCH(AH9,{"Expense|employee","Expense|general_admin","Expense|marketing","Expense|utilities","Expense|other_operating"},0)),N(T9),0)+IF(ISNUMBER(MATCH(AI9,{"Expense|employee","Expense|general_admin","Expense|marketing","Expense|utilities","Expense|other_operating"},0)),-N(AF9),0)+IF(ISNUMBER(MATCH(AJ9,{"Expense|employee","Expense|general_admin","Expense|marketing","Expense|utilities","Expense|other_operating"},0)),-N(AC9),0)+IF(ISNUMBER(MATCH(AK9,{"Expense|employee","Expense|general_admin","Expense|marketing","Expense|utilities","Expense|other_operating"},0)),-N(U9),0)</f>
        <v/>
      </c>
      <c r="AP9" s="23">
        <f>IF(AG9="Liability|payable",-N(S9),0)+IF(AH9="Liability|payable",-N(T9),0)+IF(AI9="Liability|payable",N(AF9),0)+IF(AJ9="Liability|payable",N(AC9),0)+IF(AK9="Liability|payable",N(U9),0)</f>
        <v/>
      </c>
      <c r="AQ9" s="23">
        <f>IF(AG9="Liability|accrued",-N(S9),0)+IF(AH9="Liability|accrued",-N(T9),0)+IF(AI9="Liability|accrued",N(AF9),0)+IF(AJ9="Liability|accrued",N(AC9),0)+IF(AK9="Liability|accrued",N(U9),0)</f>
        <v/>
      </c>
      <c r="AR9" s="23">
        <f>IF(AND(N(S9)&lt;&gt;0,AG9=""),1,0)+IF(AND(N(T9)&lt;&gt;0,AH9=""),1,0)+IF(AND(N(AF9)&lt;&gt;0,AI9=""),1,0)+IF(AND(N(AC9)&lt;&gt;0,AJ9=""),1,0)+IF(AND(N(U9)&lt;&gt;0,AK9=""),1,0)</f>
        <v/>
      </c>
    </row>
    <row r="10">
      <c r="A10" s="19" t="n"/>
      <c r="B10" s="14" t="n"/>
      <c r="C10" s="14" t="n"/>
      <c r="D10" s="14" t="n"/>
      <c r="E10" s="14" t="n"/>
      <c r="F10" s="14" t="n"/>
      <c r="G10" s="14" t="n"/>
      <c r="H10" s="20" t="n"/>
      <c r="I10" s="14" t="n"/>
      <c r="J10" s="14" t="n"/>
      <c r="K10" s="20" t="n"/>
      <c r="L10" s="14" t="n"/>
      <c r="M10" s="14" t="n"/>
      <c r="N10" s="14" t="n"/>
      <c r="O10" s="14" t="n"/>
      <c r="P10" s="14" t="n"/>
      <c r="Q10" s="14" t="n"/>
      <c r="R10" s="14" t="n"/>
      <c r="S10" s="21">
        <f>ROUND(ABS(N(G10))*N(H10),2)</f>
        <v/>
      </c>
      <c r="T10" s="21">
        <f>IF(B10="Receipt",ROUND(S10*IFERROR(VLOOKUP(Q10,'Tax Codes'!$A$5:$E$300,5,FALSE),0),2),0)</f>
        <v/>
      </c>
      <c r="U10" s="21">
        <f>IF(B10="Receipt",ROUND(S10*IFERROR(VLOOKUP(R10,'Tax Codes'!$A$5:$E$300,5,FALSE),0),2),0)</f>
        <v/>
      </c>
      <c r="V10" s="16">
        <f>INDEX('Chart of Accounts'!$A$5:$A$3000,MATCH("vat_input",'Chart of Accounts'!$F$5:$F$3000,0))</f>
        <v/>
      </c>
      <c r="W10" s="16">
        <f>INDEX('Chart of Accounts'!$A$5:$A$3000,MATCH("wht_payable",'Chart of Accounts'!$F$5:$F$3000,0))</f>
        <v/>
      </c>
      <c r="X10" s="16">
        <f>IF(M10="",INDEX('Chart of Accounts'!$A$5:$A$3000,MATCH("bank",'Chart of Accounts'!$F$5:$F$3000,0)),M10&amp;"")</f>
        <v/>
      </c>
      <c r="Y10" s="16">
        <f>IF(N10="",INDEX('Chart of Accounts'!$A$5:$A$3000,MATCH("ap",'Chart of Accounts'!$F$5:$F$3000,0)),N10&amp;"")</f>
        <v/>
      </c>
      <c r="Z10" s="16">
        <f>IF(O10="",INDEX('Chart of Accounts'!$A$5:$A$3000,MATCH("materials",'Chart of Accounts'!$F$5:$F$3000,0)),O10&amp;"")</f>
        <v/>
      </c>
      <c r="AA10" s="16">
        <f>IF(IFERROR(INDEX(Warehouses!$C$5:$C$1000,MATCH(C10,Warehouses!$A$5:$A$1000,0))&amp;"","")="",INDEX('Chart of Accounts'!$A$5:$A$3000,MATCH("inventory",'Chart of Accounts'!$F$5:$F$3000,0)),IFERROR(INDEX(Warehouses!$C$5:$C$1000,MATCH(C10,Warehouses!$A$5:$A$1000,0))&amp;"",""))</f>
        <v/>
      </c>
      <c r="AB10" s="16">
        <f>IF(IFERROR(INDEX(Warehouses!$C$5:$C$1000,MATCH(D10,Warehouses!$A$5:$A$1000,0))&amp;"","")="",INDEX('Chart of Accounts'!$A$5:$A$3000,MATCH("inventory",'Chart of Accounts'!$F$5:$F$3000,0)),IFERROR(INDEX(Warehouses!$C$5:$C$1000,MATCH(D10,Warehouses!$A$5:$A$1000,0))&amp;"",""))</f>
        <v/>
      </c>
      <c r="AC10" s="21">
        <f>IF(B10="Receipt",N(K10),0)</f>
        <v/>
      </c>
      <c r="AD10" s="16">
        <f>IF(B10="Receipt",AA10,IF(B10="Issue",Z10,IF(B10="Transfer",AB10,IF(N(G10)&gt;=0,AA10,INDEX('Chart of Accounts'!$A$5:$A$3000,MATCH("stock_adjust",'Chart of Accounts'!$F$5:$F$3000,0))))))</f>
        <v/>
      </c>
      <c r="AE10" s="16">
        <f>IF(B10="Receipt",Y10,IF(B10="Adjustment",IF(N(G10)&gt;=0,INDEX('Chart of Accounts'!$A$5:$A$3000,MATCH("stock_adjust",'Chart of Accounts'!$F$5:$F$3000,0)),AA10),AA10))</f>
        <v/>
      </c>
      <c r="AF10" s="21">
        <f>S10+T10-U10-AC10</f>
        <v/>
      </c>
      <c r="AG10" s="23">
        <f>IFERROR(INDEX('Chart of Accounts'!$C$5:$C$3000,MATCH(AD10&amp;"",'Chart of Accounts'!$A$5:$A$3000,0))&amp;"|"&amp;INDEX('Chart of Accounts'!$D$5:$D$3000,MATCH(AD10&amp;"",'Chart of Accounts'!$A$5:$A$3000,0)),"")</f>
        <v/>
      </c>
      <c r="AH10" s="23">
        <f>IFERROR(INDEX('Chart of Accounts'!$C$5:$C$3000,MATCH(V10&amp;"",'Chart of Accounts'!$A$5:$A$3000,0))&amp;"|"&amp;INDEX('Chart of Accounts'!$D$5:$D$3000,MATCH(V10&amp;"",'Chart of Accounts'!$A$5:$A$3000,0)),"")</f>
        <v/>
      </c>
      <c r="AI10" s="23">
        <f>IFERROR(INDEX('Chart of Accounts'!$C$5:$C$3000,MATCH(AE10&amp;"",'Chart of Accounts'!$A$5:$A$3000,0))&amp;"|"&amp;INDEX('Chart of Accounts'!$D$5:$D$3000,MATCH(AE10&amp;"",'Chart of Accounts'!$A$5:$A$3000,0)),"")</f>
        <v/>
      </c>
      <c r="AJ10" s="23">
        <f>IFERROR(INDEX('Chart of Accounts'!$C$5:$C$3000,MATCH(X10&amp;"",'Chart of Accounts'!$A$5:$A$3000,0))&amp;"|"&amp;INDEX('Chart of Accounts'!$D$5:$D$3000,MATCH(X10&amp;"",'Chart of Accounts'!$A$5:$A$3000,0)),"")</f>
        <v/>
      </c>
      <c r="AK10" s="23">
        <f>IFERROR(INDEX('Chart of Accounts'!$C$5:$C$3000,MATCH(W10&amp;"",'Chart of Accounts'!$A$5:$A$3000,0))&amp;"|"&amp;INDEX('Chart of Accounts'!$D$5:$D$3000,MATCH(W10&amp;"",'Chart of Accounts'!$A$5:$A$3000,0)),"")</f>
        <v/>
      </c>
      <c r="AL10" s="23">
        <f>IF(LEFT(AG10,8)="Revenue|",-N(S10),0)+IF(LEFT(AH10,8)="Revenue|",-N(T10),0)+IF(LEFT(AI10,8)="Revenue|",N(AF10),0)+IF(LEFT(AJ10,8)="Revenue|",N(AC10),0)+IF(LEFT(AK10,8)="Revenue|",N(U10),0)</f>
        <v/>
      </c>
      <c r="AM10" s="23">
        <f>IF(LEFT(AG10,5)="COGS|",N(S10),0)+IF(LEFT(AH10,5)="COGS|",N(T10),0)+IF(LEFT(AI10,5)="COGS|",-N(AF10),0)+IF(LEFT(AJ10,5)="COGS|",-N(AC10),0)+IF(LEFT(AK10,5)="COGS|",-N(U10),0)</f>
        <v/>
      </c>
      <c r="AN10" s="23">
        <f>IF(LEFT(AG10,8)="Expense|",N(S10),0)+IF(LEFT(AH10,8)="Expense|",N(T10),0)+IF(LEFT(AI10,8)="Expense|",-N(AF10),0)+IF(LEFT(AJ10,8)="Expense|",-N(AC10),0)+IF(LEFT(AK10,8)="Expense|",-N(U10),0)</f>
        <v/>
      </c>
      <c r="AO10" s="23">
        <f>IF(ISNUMBER(MATCH(AG10,{"Expense|employee","Expense|general_admin","Expense|marketing","Expense|utilities","Expense|other_operating"},0)),N(S10),0)+IF(ISNUMBER(MATCH(AH10,{"Expense|employee","Expense|general_admin","Expense|marketing","Expense|utilities","Expense|other_operating"},0)),N(T10),0)+IF(ISNUMBER(MATCH(AI10,{"Expense|employee","Expense|general_admin","Expense|marketing","Expense|utilities","Expense|other_operating"},0)),-N(AF10),0)+IF(ISNUMBER(MATCH(AJ10,{"Expense|employee","Expense|general_admin","Expense|marketing","Expense|utilities","Expense|other_operating"},0)),-N(AC10),0)+IF(ISNUMBER(MATCH(AK10,{"Expense|employee","Expense|general_admin","Expense|marketing","Expense|utilities","Expense|other_operating"},0)),-N(U10),0)</f>
        <v/>
      </c>
      <c r="AP10" s="23">
        <f>IF(AG10="Liability|payable",-N(S10),0)+IF(AH10="Liability|payable",-N(T10),0)+IF(AI10="Liability|payable",N(AF10),0)+IF(AJ10="Liability|payable",N(AC10),0)+IF(AK10="Liability|payable",N(U10),0)</f>
        <v/>
      </c>
      <c r="AQ10" s="23">
        <f>IF(AG10="Liability|accrued",-N(S10),0)+IF(AH10="Liability|accrued",-N(T10),0)+IF(AI10="Liability|accrued",N(AF10),0)+IF(AJ10="Liability|accrued",N(AC10),0)+IF(AK10="Liability|accrued",N(U10),0)</f>
        <v/>
      </c>
      <c r="AR10" s="23">
        <f>IF(AND(N(S10)&lt;&gt;0,AG10=""),1,0)+IF(AND(N(T10)&lt;&gt;0,AH10=""),1,0)+IF(AND(N(AF10)&lt;&gt;0,AI10=""),1,0)+IF(AND(N(AC10)&lt;&gt;0,AJ10=""),1,0)+IF(AND(N(U10)&lt;&gt;0,AK10=""),1,0)</f>
        <v/>
      </c>
    </row>
    <row r="11">
      <c r="A11" s="19" t="n"/>
      <c r="B11" s="14" t="n"/>
      <c r="C11" s="14" t="n"/>
      <c r="D11" s="14" t="n"/>
      <c r="E11" s="14" t="n"/>
      <c r="F11" s="14" t="n"/>
      <c r="G11" s="14" t="n"/>
      <c r="H11" s="20" t="n"/>
      <c r="I11" s="14" t="n"/>
      <c r="J11" s="14" t="n"/>
      <c r="K11" s="20" t="n"/>
      <c r="L11" s="14" t="n"/>
      <c r="M11" s="14" t="n"/>
      <c r="N11" s="14" t="n"/>
      <c r="O11" s="14" t="n"/>
      <c r="P11" s="14" t="n"/>
      <c r="Q11" s="14" t="n"/>
      <c r="R11" s="14" t="n"/>
      <c r="S11" s="21">
        <f>ROUND(ABS(N(G11))*N(H11),2)</f>
        <v/>
      </c>
      <c r="T11" s="21">
        <f>IF(B11="Receipt",ROUND(S11*IFERROR(VLOOKUP(Q11,'Tax Codes'!$A$5:$E$300,5,FALSE),0),2),0)</f>
        <v/>
      </c>
      <c r="U11" s="21">
        <f>IF(B11="Receipt",ROUND(S11*IFERROR(VLOOKUP(R11,'Tax Codes'!$A$5:$E$300,5,FALSE),0),2),0)</f>
        <v/>
      </c>
      <c r="V11" s="16">
        <f>INDEX('Chart of Accounts'!$A$5:$A$3000,MATCH("vat_input",'Chart of Accounts'!$F$5:$F$3000,0))</f>
        <v/>
      </c>
      <c r="W11" s="16">
        <f>INDEX('Chart of Accounts'!$A$5:$A$3000,MATCH("wht_payable",'Chart of Accounts'!$F$5:$F$3000,0))</f>
        <v/>
      </c>
      <c r="X11" s="16">
        <f>IF(M11="",INDEX('Chart of Accounts'!$A$5:$A$3000,MATCH("bank",'Chart of Accounts'!$F$5:$F$3000,0)),M11&amp;"")</f>
        <v/>
      </c>
      <c r="Y11" s="16">
        <f>IF(N11="",INDEX('Chart of Accounts'!$A$5:$A$3000,MATCH("ap",'Chart of Accounts'!$F$5:$F$3000,0)),N11&amp;"")</f>
        <v/>
      </c>
      <c r="Z11" s="16">
        <f>IF(O11="",INDEX('Chart of Accounts'!$A$5:$A$3000,MATCH("materials",'Chart of Accounts'!$F$5:$F$3000,0)),O11&amp;"")</f>
        <v/>
      </c>
      <c r="AA11" s="16">
        <f>IF(IFERROR(INDEX(Warehouses!$C$5:$C$1000,MATCH(C11,Warehouses!$A$5:$A$1000,0))&amp;"","")="",INDEX('Chart of Accounts'!$A$5:$A$3000,MATCH("inventory",'Chart of Accounts'!$F$5:$F$3000,0)),IFERROR(INDEX(Warehouses!$C$5:$C$1000,MATCH(C11,Warehouses!$A$5:$A$1000,0))&amp;"",""))</f>
        <v/>
      </c>
      <c r="AB11" s="16">
        <f>IF(IFERROR(INDEX(Warehouses!$C$5:$C$1000,MATCH(D11,Warehouses!$A$5:$A$1000,0))&amp;"","")="",INDEX('Chart of Accounts'!$A$5:$A$3000,MATCH("inventory",'Chart of Accounts'!$F$5:$F$3000,0)),IFERROR(INDEX(Warehouses!$C$5:$C$1000,MATCH(D11,Warehouses!$A$5:$A$1000,0))&amp;"",""))</f>
        <v/>
      </c>
      <c r="AC11" s="21">
        <f>IF(B11="Receipt",N(K11),0)</f>
        <v/>
      </c>
      <c r="AD11" s="16">
        <f>IF(B11="Receipt",AA11,IF(B11="Issue",Z11,IF(B11="Transfer",AB11,IF(N(G11)&gt;=0,AA11,INDEX('Chart of Accounts'!$A$5:$A$3000,MATCH("stock_adjust",'Chart of Accounts'!$F$5:$F$3000,0))))))</f>
        <v/>
      </c>
      <c r="AE11" s="16">
        <f>IF(B11="Receipt",Y11,IF(B11="Adjustment",IF(N(G11)&gt;=0,INDEX('Chart of Accounts'!$A$5:$A$3000,MATCH("stock_adjust",'Chart of Accounts'!$F$5:$F$3000,0)),AA11),AA11))</f>
        <v/>
      </c>
      <c r="AF11" s="21">
        <f>S11+T11-U11-AC11</f>
        <v/>
      </c>
      <c r="AG11" s="23">
        <f>IFERROR(INDEX('Chart of Accounts'!$C$5:$C$3000,MATCH(AD11&amp;"",'Chart of Accounts'!$A$5:$A$3000,0))&amp;"|"&amp;INDEX('Chart of Accounts'!$D$5:$D$3000,MATCH(AD11&amp;"",'Chart of Accounts'!$A$5:$A$3000,0)),"")</f>
        <v/>
      </c>
      <c r="AH11" s="23">
        <f>IFERROR(INDEX('Chart of Accounts'!$C$5:$C$3000,MATCH(V11&amp;"",'Chart of Accounts'!$A$5:$A$3000,0))&amp;"|"&amp;INDEX('Chart of Accounts'!$D$5:$D$3000,MATCH(V11&amp;"",'Chart of Accounts'!$A$5:$A$3000,0)),"")</f>
        <v/>
      </c>
      <c r="AI11" s="23">
        <f>IFERROR(INDEX('Chart of Accounts'!$C$5:$C$3000,MATCH(AE11&amp;"",'Chart of Accounts'!$A$5:$A$3000,0))&amp;"|"&amp;INDEX('Chart of Accounts'!$D$5:$D$3000,MATCH(AE11&amp;"",'Chart of Accounts'!$A$5:$A$3000,0)),"")</f>
        <v/>
      </c>
      <c r="AJ11" s="23">
        <f>IFERROR(INDEX('Chart of Accounts'!$C$5:$C$3000,MATCH(X11&amp;"",'Chart of Accounts'!$A$5:$A$3000,0))&amp;"|"&amp;INDEX('Chart of Accounts'!$D$5:$D$3000,MATCH(X11&amp;"",'Chart of Accounts'!$A$5:$A$3000,0)),"")</f>
        <v/>
      </c>
      <c r="AK11" s="23">
        <f>IFERROR(INDEX('Chart of Accounts'!$C$5:$C$3000,MATCH(W11&amp;"",'Chart of Accounts'!$A$5:$A$3000,0))&amp;"|"&amp;INDEX('Chart of Accounts'!$D$5:$D$3000,MATCH(W11&amp;"",'Chart of Accounts'!$A$5:$A$3000,0)),"")</f>
        <v/>
      </c>
      <c r="AL11" s="23">
        <f>IF(LEFT(AG11,8)="Revenue|",-N(S11),0)+IF(LEFT(AH11,8)="Revenue|",-N(T11),0)+IF(LEFT(AI11,8)="Revenue|",N(AF11),0)+IF(LEFT(AJ11,8)="Revenue|",N(AC11),0)+IF(LEFT(AK11,8)="Revenue|",N(U11),0)</f>
        <v/>
      </c>
      <c r="AM11" s="23">
        <f>IF(LEFT(AG11,5)="COGS|",N(S11),0)+IF(LEFT(AH11,5)="COGS|",N(T11),0)+IF(LEFT(AI11,5)="COGS|",-N(AF11),0)+IF(LEFT(AJ11,5)="COGS|",-N(AC11),0)+IF(LEFT(AK11,5)="COGS|",-N(U11),0)</f>
        <v/>
      </c>
      <c r="AN11" s="23">
        <f>IF(LEFT(AG11,8)="Expense|",N(S11),0)+IF(LEFT(AH11,8)="Expense|",N(T11),0)+IF(LEFT(AI11,8)="Expense|",-N(AF11),0)+IF(LEFT(AJ11,8)="Expense|",-N(AC11),0)+IF(LEFT(AK11,8)="Expense|",-N(U11),0)</f>
        <v/>
      </c>
      <c r="AO11" s="23">
        <f>IF(ISNUMBER(MATCH(AG11,{"Expense|employee","Expense|general_admin","Expense|marketing","Expense|utilities","Expense|other_operating"},0)),N(S11),0)+IF(ISNUMBER(MATCH(AH11,{"Expense|employee","Expense|general_admin","Expense|marketing","Expense|utilities","Expense|other_operating"},0)),N(T11),0)+IF(ISNUMBER(MATCH(AI11,{"Expense|employee","Expense|general_admin","Expense|marketing","Expense|utilities","Expense|other_operating"},0)),-N(AF11),0)+IF(ISNUMBER(MATCH(AJ11,{"Expense|employee","Expense|general_admin","Expense|marketing","Expense|utilities","Expense|other_operating"},0)),-N(AC11),0)+IF(ISNUMBER(MATCH(AK11,{"Expense|employee","Expense|general_admin","Expense|marketing","Expense|utilities","Expense|other_operating"},0)),-N(U11),0)</f>
        <v/>
      </c>
      <c r="AP11" s="23">
        <f>IF(AG11="Liability|payable",-N(S11),0)+IF(AH11="Liability|payable",-N(T11),0)+IF(AI11="Liability|payable",N(AF11),0)+IF(AJ11="Liability|payable",N(AC11),0)+IF(AK11="Liability|payable",N(U11),0)</f>
        <v/>
      </c>
      <c r="AQ11" s="23">
        <f>IF(AG11="Liability|accrued",-N(S11),0)+IF(AH11="Liability|accrued",-N(T11),0)+IF(AI11="Liability|accrued",N(AF11),0)+IF(AJ11="Liability|accrued",N(AC11),0)+IF(AK11="Liability|accrued",N(U11),0)</f>
        <v/>
      </c>
      <c r="AR11" s="23">
        <f>IF(AND(N(S11)&lt;&gt;0,AG11=""),1,0)+IF(AND(N(T11)&lt;&gt;0,AH11=""),1,0)+IF(AND(N(AF11)&lt;&gt;0,AI11=""),1,0)+IF(AND(N(AC11)&lt;&gt;0,AJ11=""),1,0)+IF(AND(N(U11)&lt;&gt;0,AK11=""),1,0)</f>
        <v/>
      </c>
    </row>
    <row r="12">
      <c r="A12" s="19" t="n"/>
      <c r="B12" s="14" t="n"/>
      <c r="C12" s="14" t="n"/>
      <c r="D12" s="14" t="n"/>
      <c r="E12" s="14" t="n"/>
      <c r="F12" s="14" t="n"/>
      <c r="G12" s="14" t="n"/>
      <c r="H12" s="20" t="n"/>
      <c r="I12" s="14" t="n"/>
      <c r="J12" s="14" t="n"/>
      <c r="K12" s="20" t="n"/>
      <c r="L12" s="14" t="n"/>
      <c r="M12" s="14" t="n"/>
      <c r="N12" s="14" t="n"/>
      <c r="O12" s="14" t="n"/>
      <c r="P12" s="14" t="n"/>
      <c r="Q12" s="14" t="n"/>
      <c r="R12" s="14" t="n"/>
      <c r="S12" s="21">
        <f>ROUND(ABS(N(G12))*N(H12),2)</f>
        <v/>
      </c>
      <c r="T12" s="21">
        <f>IF(B12="Receipt",ROUND(S12*IFERROR(VLOOKUP(Q12,'Tax Codes'!$A$5:$E$300,5,FALSE),0),2),0)</f>
        <v/>
      </c>
      <c r="U12" s="21">
        <f>IF(B12="Receipt",ROUND(S12*IFERROR(VLOOKUP(R12,'Tax Codes'!$A$5:$E$300,5,FALSE),0),2),0)</f>
        <v/>
      </c>
      <c r="V12" s="16">
        <f>INDEX('Chart of Accounts'!$A$5:$A$3000,MATCH("vat_input",'Chart of Accounts'!$F$5:$F$3000,0))</f>
        <v/>
      </c>
      <c r="W12" s="16">
        <f>INDEX('Chart of Accounts'!$A$5:$A$3000,MATCH("wht_payable",'Chart of Accounts'!$F$5:$F$3000,0))</f>
        <v/>
      </c>
      <c r="X12" s="16">
        <f>IF(M12="",INDEX('Chart of Accounts'!$A$5:$A$3000,MATCH("bank",'Chart of Accounts'!$F$5:$F$3000,0)),M12&amp;"")</f>
        <v/>
      </c>
      <c r="Y12" s="16">
        <f>IF(N12="",INDEX('Chart of Accounts'!$A$5:$A$3000,MATCH("ap",'Chart of Accounts'!$F$5:$F$3000,0)),N12&amp;"")</f>
        <v/>
      </c>
      <c r="Z12" s="16">
        <f>IF(O12="",INDEX('Chart of Accounts'!$A$5:$A$3000,MATCH("materials",'Chart of Accounts'!$F$5:$F$3000,0)),O12&amp;"")</f>
        <v/>
      </c>
      <c r="AA12" s="16">
        <f>IF(IFERROR(INDEX(Warehouses!$C$5:$C$1000,MATCH(C12,Warehouses!$A$5:$A$1000,0))&amp;"","")="",INDEX('Chart of Accounts'!$A$5:$A$3000,MATCH("inventory",'Chart of Accounts'!$F$5:$F$3000,0)),IFERROR(INDEX(Warehouses!$C$5:$C$1000,MATCH(C12,Warehouses!$A$5:$A$1000,0))&amp;"",""))</f>
        <v/>
      </c>
      <c r="AB12" s="16">
        <f>IF(IFERROR(INDEX(Warehouses!$C$5:$C$1000,MATCH(D12,Warehouses!$A$5:$A$1000,0))&amp;"","")="",INDEX('Chart of Accounts'!$A$5:$A$3000,MATCH("inventory",'Chart of Accounts'!$F$5:$F$3000,0)),IFERROR(INDEX(Warehouses!$C$5:$C$1000,MATCH(D12,Warehouses!$A$5:$A$1000,0))&amp;"",""))</f>
        <v/>
      </c>
      <c r="AC12" s="21">
        <f>IF(B12="Receipt",N(K12),0)</f>
        <v/>
      </c>
      <c r="AD12" s="16">
        <f>IF(B12="Receipt",AA12,IF(B12="Issue",Z12,IF(B12="Transfer",AB12,IF(N(G12)&gt;=0,AA12,INDEX('Chart of Accounts'!$A$5:$A$3000,MATCH("stock_adjust",'Chart of Accounts'!$F$5:$F$3000,0))))))</f>
        <v/>
      </c>
      <c r="AE12" s="16">
        <f>IF(B12="Receipt",Y12,IF(B12="Adjustment",IF(N(G12)&gt;=0,INDEX('Chart of Accounts'!$A$5:$A$3000,MATCH("stock_adjust",'Chart of Accounts'!$F$5:$F$3000,0)),AA12),AA12))</f>
        <v/>
      </c>
      <c r="AF12" s="21">
        <f>S12+T12-U12-AC12</f>
        <v/>
      </c>
      <c r="AG12" s="23">
        <f>IFERROR(INDEX('Chart of Accounts'!$C$5:$C$3000,MATCH(AD12&amp;"",'Chart of Accounts'!$A$5:$A$3000,0))&amp;"|"&amp;INDEX('Chart of Accounts'!$D$5:$D$3000,MATCH(AD12&amp;"",'Chart of Accounts'!$A$5:$A$3000,0)),"")</f>
        <v/>
      </c>
      <c r="AH12" s="23">
        <f>IFERROR(INDEX('Chart of Accounts'!$C$5:$C$3000,MATCH(V12&amp;"",'Chart of Accounts'!$A$5:$A$3000,0))&amp;"|"&amp;INDEX('Chart of Accounts'!$D$5:$D$3000,MATCH(V12&amp;"",'Chart of Accounts'!$A$5:$A$3000,0)),"")</f>
        <v/>
      </c>
      <c r="AI12" s="23">
        <f>IFERROR(INDEX('Chart of Accounts'!$C$5:$C$3000,MATCH(AE12&amp;"",'Chart of Accounts'!$A$5:$A$3000,0))&amp;"|"&amp;INDEX('Chart of Accounts'!$D$5:$D$3000,MATCH(AE12&amp;"",'Chart of Accounts'!$A$5:$A$3000,0)),"")</f>
        <v/>
      </c>
      <c r="AJ12" s="23">
        <f>IFERROR(INDEX('Chart of Accounts'!$C$5:$C$3000,MATCH(X12&amp;"",'Chart of Accounts'!$A$5:$A$3000,0))&amp;"|"&amp;INDEX('Chart of Accounts'!$D$5:$D$3000,MATCH(X12&amp;"",'Chart of Accounts'!$A$5:$A$3000,0)),"")</f>
        <v/>
      </c>
      <c r="AK12" s="23">
        <f>IFERROR(INDEX('Chart of Accounts'!$C$5:$C$3000,MATCH(W12&amp;"",'Chart of Accounts'!$A$5:$A$3000,0))&amp;"|"&amp;INDEX('Chart of Accounts'!$D$5:$D$3000,MATCH(W12&amp;"",'Chart of Accounts'!$A$5:$A$3000,0)),"")</f>
        <v/>
      </c>
      <c r="AL12" s="23">
        <f>IF(LEFT(AG12,8)="Revenue|",-N(S12),0)+IF(LEFT(AH12,8)="Revenue|",-N(T12),0)+IF(LEFT(AI12,8)="Revenue|",N(AF12),0)+IF(LEFT(AJ12,8)="Revenue|",N(AC12),0)+IF(LEFT(AK12,8)="Revenue|",N(U12),0)</f>
        <v/>
      </c>
      <c r="AM12" s="23">
        <f>IF(LEFT(AG12,5)="COGS|",N(S12),0)+IF(LEFT(AH12,5)="COGS|",N(T12),0)+IF(LEFT(AI12,5)="COGS|",-N(AF12),0)+IF(LEFT(AJ12,5)="COGS|",-N(AC12),0)+IF(LEFT(AK12,5)="COGS|",-N(U12),0)</f>
        <v/>
      </c>
      <c r="AN12" s="23">
        <f>IF(LEFT(AG12,8)="Expense|",N(S12),0)+IF(LEFT(AH12,8)="Expense|",N(T12),0)+IF(LEFT(AI12,8)="Expense|",-N(AF12),0)+IF(LEFT(AJ12,8)="Expense|",-N(AC12),0)+IF(LEFT(AK12,8)="Expense|",-N(U12),0)</f>
        <v/>
      </c>
      <c r="AO12" s="23">
        <f>IF(ISNUMBER(MATCH(AG12,{"Expense|employee","Expense|general_admin","Expense|marketing","Expense|utilities","Expense|other_operating"},0)),N(S12),0)+IF(ISNUMBER(MATCH(AH12,{"Expense|employee","Expense|general_admin","Expense|marketing","Expense|utilities","Expense|other_operating"},0)),N(T12),0)+IF(ISNUMBER(MATCH(AI12,{"Expense|employee","Expense|general_admin","Expense|marketing","Expense|utilities","Expense|other_operating"},0)),-N(AF12),0)+IF(ISNUMBER(MATCH(AJ12,{"Expense|employee","Expense|general_admin","Expense|marketing","Expense|utilities","Expense|other_operating"},0)),-N(AC12),0)+IF(ISNUMBER(MATCH(AK12,{"Expense|employee","Expense|general_admin","Expense|marketing","Expense|utilities","Expense|other_operating"},0)),-N(U12),0)</f>
        <v/>
      </c>
      <c r="AP12" s="23">
        <f>IF(AG12="Liability|payable",-N(S12),0)+IF(AH12="Liability|payable",-N(T12),0)+IF(AI12="Liability|payable",N(AF12),0)+IF(AJ12="Liability|payable",N(AC12),0)+IF(AK12="Liability|payable",N(U12),0)</f>
        <v/>
      </c>
      <c r="AQ12" s="23">
        <f>IF(AG12="Liability|accrued",-N(S12),0)+IF(AH12="Liability|accrued",-N(T12),0)+IF(AI12="Liability|accrued",N(AF12),0)+IF(AJ12="Liability|accrued",N(AC12),0)+IF(AK12="Liability|accrued",N(U12),0)</f>
        <v/>
      </c>
      <c r="AR12" s="23">
        <f>IF(AND(N(S12)&lt;&gt;0,AG12=""),1,0)+IF(AND(N(T12)&lt;&gt;0,AH12=""),1,0)+IF(AND(N(AF12)&lt;&gt;0,AI12=""),1,0)+IF(AND(N(AC12)&lt;&gt;0,AJ12=""),1,0)+IF(AND(N(U12)&lt;&gt;0,AK12=""),1,0)</f>
        <v/>
      </c>
    </row>
    <row r="13">
      <c r="A13" s="19" t="n"/>
      <c r="B13" s="14" t="n"/>
      <c r="C13" s="14" t="n"/>
      <c r="D13" s="14" t="n"/>
      <c r="E13" s="14" t="n"/>
      <c r="F13" s="14" t="n"/>
      <c r="G13" s="14" t="n"/>
      <c r="H13" s="20" t="n"/>
      <c r="I13" s="14" t="n"/>
      <c r="J13" s="14" t="n"/>
      <c r="K13" s="20" t="n"/>
      <c r="L13" s="14" t="n"/>
      <c r="M13" s="14" t="n"/>
      <c r="N13" s="14" t="n"/>
      <c r="O13" s="14" t="n"/>
      <c r="P13" s="14" t="n"/>
      <c r="Q13" s="14" t="n"/>
      <c r="R13" s="14" t="n"/>
      <c r="S13" s="21">
        <f>ROUND(ABS(N(G13))*N(H13),2)</f>
        <v/>
      </c>
      <c r="T13" s="21">
        <f>IF(B13="Receipt",ROUND(S13*IFERROR(VLOOKUP(Q13,'Tax Codes'!$A$5:$E$300,5,FALSE),0),2),0)</f>
        <v/>
      </c>
      <c r="U13" s="21">
        <f>IF(B13="Receipt",ROUND(S13*IFERROR(VLOOKUP(R13,'Tax Codes'!$A$5:$E$300,5,FALSE),0),2),0)</f>
        <v/>
      </c>
      <c r="V13" s="16">
        <f>INDEX('Chart of Accounts'!$A$5:$A$3000,MATCH("vat_input",'Chart of Accounts'!$F$5:$F$3000,0))</f>
        <v/>
      </c>
      <c r="W13" s="16">
        <f>INDEX('Chart of Accounts'!$A$5:$A$3000,MATCH("wht_payable",'Chart of Accounts'!$F$5:$F$3000,0))</f>
        <v/>
      </c>
      <c r="X13" s="16">
        <f>IF(M13="",INDEX('Chart of Accounts'!$A$5:$A$3000,MATCH("bank",'Chart of Accounts'!$F$5:$F$3000,0)),M13&amp;"")</f>
        <v/>
      </c>
      <c r="Y13" s="16">
        <f>IF(N13="",INDEX('Chart of Accounts'!$A$5:$A$3000,MATCH("ap",'Chart of Accounts'!$F$5:$F$3000,0)),N13&amp;"")</f>
        <v/>
      </c>
      <c r="Z13" s="16">
        <f>IF(O13="",INDEX('Chart of Accounts'!$A$5:$A$3000,MATCH("materials",'Chart of Accounts'!$F$5:$F$3000,0)),O13&amp;"")</f>
        <v/>
      </c>
      <c r="AA13" s="16">
        <f>IF(IFERROR(INDEX(Warehouses!$C$5:$C$1000,MATCH(C13,Warehouses!$A$5:$A$1000,0))&amp;"","")="",INDEX('Chart of Accounts'!$A$5:$A$3000,MATCH("inventory",'Chart of Accounts'!$F$5:$F$3000,0)),IFERROR(INDEX(Warehouses!$C$5:$C$1000,MATCH(C13,Warehouses!$A$5:$A$1000,0))&amp;"",""))</f>
        <v/>
      </c>
      <c r="AB13" s="16">
        <f>IF(IFERROR(INDEX(Warehouses!$C$5:$C$1000,MATCH(D13,Warehouses!$A$5:$A$1000,0))&amp;"","")="",INDEX('Chart of Accounts'!$A$5:$A$3000,MATCH("inventory",'Chart of Accounts'!$F$5:$F$3000,0)),IFERROR(INDEX(Warehouses!$C$5:$C$1000,MATCH(D13,Warehouses!$A$5:$A$1000,0))&amp;"",""))</f>
        <v/>
      </c>
      <c r="AC13" s="21">
        <f>IF(B13="Receipt",N(K13),0)</f>
        <v/>
      </c>
      <c r="AD13" s="16">
        <f>IF(B13="Receipt",AA13,IF(B13="Issue",Z13,IF(B13="Transfer",AB13,IF(N(G13)&gt;=0,AA13,INDEX('Chart of Accounts'!$A$5:$A$3000,MATCH("stock_adjust",'Chart of Accounts'!$F$5:$F$3000,0))))))</f>
        <v/>
      </c>
      <c r="AE13" s="16">
        <f>IF(B13="Receipt",Y13,IF(B13="Adjustment",IF(N(G13)&gt;=0,INDEX('Chart of Accounts'!$A$5:$A$3000,MATCH("stock_adjust",'Chart of Accounts'!$F$5:$F$3000,0)),AA13),AA13))</f>
        <v/>
      </c>
      <c r="AF13" s="21">
        <f>S13+T13-U13-AC13</f>
        <v/>
      </c>
      <c r="AG13" s="23">
        <f>IFERROR(INDEX('Chart of Accounts'!$C$5:$C$3000,MATCH(AD13&amp;"",'Chart of Accounts'!$A$5:$A$3000,0))&amp;"|"&amp;INDEX('Chart of Accounts'!$D$5:$D$3000,MATCH(AD13&amp;"",'Chart of Accounts'!$A$5:$A$3000,0)),"")</f>
        <v/>
      </c>
      <c r="AH13" s="23">
        <f>IFERROR(INDEX('Chart of Accounts'!$C$5:$C$3000,MATCH(V13&amp;"",'Chart of Accounts'!$A$5:$A$3000,0))&amp;"|"&amp;INDEX('Chart of Accounts'!$D$5:$D$3000,MATCH(V13&amp;"",'Chart of Accounts'!$A$5:$A$3000,0)),"")</f>
        <v/>
      </c>
      <c r="AI13" s="23">
        <f>IFERROR(INDEX('Chart of Accounts'!$C$5:$C$3000,MATCH(AE13&amp;"",'Chart of Accounts'!$A$5:$A$3000,0))&amp;"|"&amp;INDEX('Chart of Accounts'!$D$5:$D$3000,MATCH(AE13&amp;"",'Chart of Accounts'!$A$5:$A$3000,0)),"")</f>
        <v/>
      </c>
      <c r="AJ13" s="23">
        <f>IFERROR(INDEX('Chart of Accounts'!$C$5:$C$3000,MATCH(X13&amp;"",'Chart of Accounts'!$A$5:$A$3000,0))&amp;"|"&amp;INDEX('Chart of Accounts'!$D$5:$D$3000,MATCH(X13&amp;"",'Chart of Accounts'!$A$5:$A$3000,0)),"")</f>
        <v/>
      </c>
      <c r="AK13" s="23">
        <f>IFERROR(INDEX('Chart of Accounts'!$C$5:$C$3000,MATCH(W13&amp;"",'Chart of Accounts'!$A$5:$A$3000,0))&amp;"|"&amp;INDEX('Chart of Accounts'!$D$5:$D$3000,MATCH(W13&amp;"",'Chart of Accounts'!$A$5:$A$3000,0)),"")</f>
        <v/>
      </c>
      <c r="AL13" s="23">
        <f>IF(LEFT(AG13,8)="Revenue|",-N(S13),0)+IF(LEFT(AH13,8)="Revenue|",-N(T13),0)+IF(LEFT(AI13,8)="Revenue|",N(AF13),0)+IF(LEFT(AJ13,8)="Revenue|",N(AC13),0)+IF(LEFT(AK13,8)="Revenue|",N(U13),0)</f>
        <v/>
      </c>
      <c r="AM13" s="23">
        <f>IF(LEFT(AG13,5)="COGS|",N(S13),0)+IF(LEFT(AH13,5)="COGS|",N(T13),0)+IF(LEFT(AI13,5)="COGS|",-N(AF13),0)+IF(LEFT(AJ13,5)="COGS|",-N(AC13),0)+IF(LEFT(AK13,5)="COGS|",-N(U13),0)</f>
        <v/>
      </c>
      <c r="AN13" s="23">
        <f>IF(LEFT(AG13,8)="Expense|",N(S13),0)+IF(LEFT(AH13,8)="Expense|",N(T13),0)+IF(LEFT(AI13,8)="Expense|",-N(AF13),0)+IF(LEFT(AJ13,8)="Expense|",-N(AC13),0)+IF(LEFT(AK13,8)="Expense|",-N(U13),0)</f>
        <v/>
      </c>
      <c r="AO13" s="23">
        <f>IF(ISNUMBER(MATCH(AG13,{"Expense|employee","Expense|general_admin","Expense|marketing","Expense|utilities","Expense|other_operating"},0)),N(S13),0)+IF(ISNUMBER(MATCH(AH13,{"Expense|employee","Expense|general_admin","Expense|marketing","Expense|utilities","Expense|other_operating"},0)),N(T13),0)+IF(ISNUMBER(MATCH(AI13,{"Expense|employee","Expense|general_admin","Expense|marketing","Expense|utilities","Expense|other_operating"},0)),-N(AF13),0)+IF(ISNUMBER(MATCH(AJ13,{"Expense|employee","Expense|general_admin","Expense|marketing","Expense|utilities","Expense|other_operating"},0)),-N(AC13),0)+IF(ISNUMBER(MATCH(AK13,{"Expense|employee","Expense|general_admin","Expense|marketing","Expense|utilities","Expense|other_operating"},0)),-N(U13),0)</f>
        <v/>
      </c>
      <c r="AP13" s="23">
        <f>IF(AG13="Liability|payable",-N(S13),0)+IF(AH13="Liability|payable",-N(T13),0)+IF(AI13="Liability|payable",N(AF13),0)+IF(AJ13="Liability|payable",N(AC13),0)+IF(AK13="Liability|payable",N(U13),0)</f>
        <v/>
      </c>
      <c r="AQ13" s="23">
        <f>IF(AG13="Liability|accrued",-N(S13),0)+IF(AH13="Liability|accrued",-N(T13),0)+IF(AI13="Liability|accrued",N(AF13),0)+IF(AJ13="Liability|accrued",N(AC13),0)+IF(AK13="Liability|accrued",N(U13),0)</f>
        <v/>
      </c>
      <c r="AR13" s="23">
        <f>IF(AND(N(S13)&lt;&gt;0,AG13=""),1,0)+IF(AND(N(T13)&lt;&gt;0,AH13=""),1,0)+IF(AND(N(AF13)&lt;&gt;0,AI13=""),1,0)+IF(AND(N(AC13)&lt;&gt;0,AJ13=""),1,0)+IF(AND(N(U13)&lt;&gt;0,AK13=""),1,0)</f>
        <v/>
      </c>
    </row>
    <row r="14">
      <c r="A14" s="19" t="n"/>
      <c r="B14" s="14" t="n"/>
      <c r="C14" s="14" t="n"/>
      <c r="D14" s="14" t="n"/>
      <c r="E14" s="14" t="n"/>
      <c r="F14" s="14" t="n"/>
      <c r="G14" s="14" t="n"/>
      <c r="H14" s="20" t="n"/>
      <c r="I14" s="14" t="n"/>
      <c r="J14" s="14" t="n"/>
      <c r="K14" s="20" t="n"/>
      <c r="L14" s="14" t="n"/>
      <c r="M14" s="14" t="n"/>
      <c r="N14" s="14" t="n"/>
      <c r="O14" s="14" t="n"/>
      <c r="P14" s="14" t="n"/>
      <c r="Q14" s="14" t="n"/>
      <c r="R14" s="14" t="n"/>
      <c r="S14" s="21">
        <f>ROUND(ABS(N(G14))*N(H14),2)</f>
        <v/>
      </c>
      <c r="T14" s="21">
        <f>IF(B14="Receipt",ROUND(S14*IFERROR(VLOOKUP(Q14,'Tax Codes'!$A$5:$E$300,5,FALSE),0),2),0)</f>
        <v/>
      </c>
      <c r="U14" s="21">
        <f>IF(B14="Receipt",ROUND(S14*IFERROR(VLOOKUP(R14,'Tax Codes'!$A$5:$E$300,5,FALSE),0),2),0)</f>
        <v/>
      </c>
      <c r="V14" s="16">
        <f>INDEX('Chart of Accounts'!$A$5:$A$3000,MATCH("vat_input",'Chart of Accounts'!$F$5:$F$3000,0))</f>
        <v/>
      </c>
      <c r="W14" s="16">
        <f>INDEX('Chart of Accounts'!$A$5:$A$3000,MATCH("wht_payable",'Chart of Accounts'!$F$5:$F$3000,0))</f>
        <v/>
      </c>
      <c r="X14" s="16">
        <f>IF(M14="",INDEX('Chart of Accounts'!$A$5:$A$3000,MATCH("bank",'Chart of Accounts'!$F$5:$F$3000,0)),M14&amp;"")</f>
        <v/>
      </c>
      <c r="Y14" s="16">
        <f>IF(N14="",INDEX('Chart of Accounts'!$A$5:$A$3000,MATCH("ap",'Chart of Accounts'!$F$5:$F$3000,0)),N14&amp;"")</f>
        <v/>
      </c>
      <c r="Z14" s="16">
        <f>IF(O14="",INDEX('Chart of Accounts'!$A$5:$A$3000,MATCH("materials",'Chart of Accounts'!$F$5:$F$3000,0)),O14&amp;"")</f>
        <v/>
      </c>
      <c r="AA14" s="16">
        <f>IF(IFERROR(INDEX(Warehouses!$C$5:$C$1000,MATCH(C14,Warehouses!$A$5:$A$1000,0))&amp;"","")="",INDEX('Chart of Accounts'!$A$5:$A$3000,MATCH("inventory",'Chart of Accounts'!$F$5:$F$3000,0)),IFERROR(INDEX(Warehouses!$C$5:$C$1000,MATCH(C14,Warehouses!$A$5:$A$1000,0))&amp;"",""))</f>
        <v/>
      </c>
      <c r="AB14" s="16">
        <f>IF(IFERROR(INDEX(Warehouses!$C$5:$C$1000,MATCH(D14,Warehouses!$A$5:$A$1000,0))&amp;"","")="",INDEX('Chart of Accounts'!$A$5:$A$3000,MATCH("inventory",'Chart of Accounts'!$F$5:$F$3000,0)),IFERROR(INDEX(Warehouses!$C$5:$C$1000,MATCH(D14,Warehouses!$A$5:$A$1000,0))&amp;"",""))</f>
        <v/>
      </c>
      <c r="AC14" s="21">
        <f>IF(B14="Receipt",N(K14),0)</f>
        <v/>
      </c>
      <c r="AD14" s="16">
        <f>IF(B14="Receipt",AA14,IF(B14="Issue",Z14,IF(B14="Transfer",AB14,IF(N(G14)&gt;=0,AA14,INDEX('Chart of Accounts'!$A$5:$A$3000,MATCH("stock_adjust",'Chart of Accounts'!$F$5:$F$3000,0))))))</f>
        <v/>
      </c>
      <c r="AE14" s="16">
        <f>IF(B14="Receipt",Y14,IF(B14="Adjustment",IF(N(G14)&gt;=0,INDEX('Chart of Accounts'!$A$5:$A$3000,MATCH("stock_adjust",'Chart of Accounts'!$F$5:$F$3000,0)),AA14),AA14))</f>
        <v/>
      </c>
      <c r="AF14" s="21">
        <f>S14+T14-U14-AC14</f>
        <v/>
      </c>
      <c r="AG14" s="23">
        <f>IFERROR(INDEX('Chart of Accounts'!$C$5:$C$3000,MATCH(AD14&amp;"",'Chart of Accounts'!$A$5:$A$3000,0))&amp;"|"&amp;INDEX('Chart of Accounts'!$D$5:$D$3000,MATCH(AD14&amp;"",'Chart of Accounts'!$A$5:$A$3000,0)),"")</f>
        <v/>
      </c>
      <c r="AH14" s="23">
        <f>IFERROR(INDEX('Chart of Accounts'!$C$5:$C$3000,MATCH(V14&amp;"",'Chart of Accounts'!$A$5:$A$3000,0))&amp;"|"&amp;INDEX('Chart of Accounts'!$D$5:$D$3000,MATCH(V14&amp;"",'Chart of Accounts'!$A$5:$A$3000,0)),"")</f>
        <v/>
      </c>
      <c r="AI14" s="23">
        <f>IFERROR(INDEX('Chart of Accounts'!$C$5:$C$3000,MATCH(AE14&amp;"",'Chart of Accounts'!$A$5:$A$3000,0))&amp;"|"&amp;INDEX('Chart of Accounts'!$D$5:$D$3000,MATCH(AE14&amp;"",'Chart of Accounts'!$A$5:$A$3000,0)),"")</f>
        <v/>
      </c>
      <c r="AJ14" s="23">
        <f>IFERROR(INDEX('Chart of Accounts'!$C$5:$C$3000,MATCH(X14&amp;"",'Chart of Accounts'!$A$5:$A$3000,0))&amp;"|"&amp;INDEX('Chart of Accounts'!$D$5:$D$3000,MATCH(X14&amp;"",'Chart of Accounts'!$A$5:$A$3000,0)),"")</f>
        <v/>
      </c>
      <c r="AK14" s="23">
        <f>IFERROR(INDEX('Chart of Accounts'!$C$5:$C$3000,MATCH(W14&amp;"",'Chart of Accounts'!$A$5:$A$3000,0))&amp;"|"&amp;INDEX('Chart of Accounts'!$D$5:$D$3000,MATCH(W14&amp;"",'Chart of Accounts'!$A$5:$A$3000,0)),"")</f>
        <v/>
      </c>
      <c r="AL14" s="23">
        <f>IF(LEFT(AG14,8)="Revenue|",-N(S14),0)+IF(LEFT(AH14,8)="Revenue|",-N(T14),0)+IF(LEFT(AI14,8)="Revenue|",N(AF14),0)+IF(LEFT(AJ14,8)="Revenue|",N(AC14),0)+IF(LEFT(AK14,8)="Revenue|",N(U14),0)</f>
        <v/>
      </c>
      <c r="AM14" s="23">
        <f>IF(LEFT(AG14,5)="COGS|",N(S14),0)+IF(LEFT(AH14,5)="COGS|",N(T14),0)+IF(LEFT(AI14,5)="COGS|",-N(AF14),0)+IF(LEFT(AJ14,5)="COGS|",-N(AC14),0)+IF(LEFT(AK14,5)="COGS|",-N(U14),0)</f>
        <v/>
      </c>
      <c r="AN14" s="23">
        <f>IF(LEFT(AG14,8)="Expense|",N(S14),0)+IF(LEFT(AH14,8)="Expense|",N(T14),0)+IF(LEFT(AI14,8)="Expense|",-N(AF14),0)+IF(LEFT(AJ14,8)="Expense|",-N(AC14),0)+IF(LEFT(AK14,8)="Expense|",-N(U14),0)</f>
        <v/>
      </c>
      <c r="AO14" s="23">
        <f>IF(ISNUMBER(MATCH(AG14,{"Expense|employee","Expense|general_admin","Expense|marketing","Expense|utilities","Expense|other_operating"},0)),N(S14),0)+IF(ISNUMBER(MATCH(AH14,{"Expense|employee","Expense|general_admin","Expense|marketing","Expense|utilities","Expense|other_operating"},0)),N(T14),0)+IF(ISNUMBER(MATCH(AI14,{"Expense|employee","Expense|general_admin","Expense|marketing","Expense|utilities","Expense|other_operating"},0)),-N(AF14),0)+IF(ISNUMBER(MATCH(AJ14,{"Expense|employee","Expense|general_admin","Expense|marketing","Expense|utilities","Expense|other_operating"},0)),-N(AC14),0)+IF(ISNUMBER(MATCH(AK14,{"Expense|employee","Expense|general_admin","Expense|marketing","Expense|utilities","Expense|other_operating"},0)),-N(U14),0)</f>
        <v/>
      </c>
      <c r="AP14" s="23">
        <f>IF(AG14="Liability|payable",-N(S14),0)+IF(AH14="Liability|payable",-N(T14),0)+IF(AI14="Liability|payable",N(AF14),0)+IF(AJ14="Liability|payable",N(AC14),0)+IF(AK14="Liability|payable",N(U14),0)</f>
        <v/>
      </c>
      <c r="AQ14" s="23">
        <f>IF(AG14="Liability|accrued",-N(S14),0)+IF(AH14="Liability|accrued",-N(T14),0)+IF(AI14="Liability|accrued",N(AF14),0)+IF(AJ14="Liability|accrued",N(AC14),0)+IF(AK14="Liability|accrued",N(U14),0)</f>
        <v/>
      </c>
      <c r="AR14" s="23">
        <f>IF(AND(N(S14)&lt;&gt;0,AG14=""),1,0)+IF(AND(N(T14)&lt;&gt;0,AH14=""),1,0)+IF(AND(N(AF14)&lt;&gt;0,AI14=""),1,0)+IF(AND(N(AC14)&lt;&gt;0,AJ14=""),1,0)+IF(AND(N(U14)&lt;&gt;0,AK14=""),1,0)</f>
        <v/>
      </c>
    </row>
    <row r="15">
      <c r="A15" s="19" t="n"/>
      <c r="B15" s="14" t="n"/>
      <c r="C15" s="14" t="n"/>
      <c r="D15" s="14" t="n"/>
      <c r="E15" s="14" t="n"/>
      <c r="F15" s="14" t="n"/>
      <c r="G15" s="14" t="n"/>
      <c r="H15" s="20" t="n"/>
      <c r="I15" s="14" t="n"/>
      <c r="J15" s="14" t="n"/>
      <c r="K15" s="20" t="n"/>
      <c r="L15" s="14" t="n"/>
      <c r="M15" s="14" t="n"/>
      <c r="N15" s="14" t="n"/>
      <c r="O15" s="14" t="n"/>
      <c r="P15" s="14" t="n"/>
      <c r="Q15" s="14" t="n"/>
      <c r="R15" s="14" t="n"/>
      <c r="S15" s="21">
        <f>ROUND(ABS(N(G15))*N(H15),2)</f>
        <v/>
      </c>
      <c r="T15" s="21">
        <f>IF(B15="Receipt",ROUND(S15*IFERROR(VLOOKUP(Q15,'Tax Codes'!$A$5:$E$300,5,FALSE),0),2),0)</f>
        <v/>
      </c>
      <c r="U15" s="21">
        <f>IF(B15="Receipt",ROUND(S15*IFERROR(VLOOKUP(R15,'Tax Codes'!$A$5:$E$300,5,FALSE),0),2),0)</f>
        <v/>
      </c>
      <c r="V15" s="16">
        <f>INDEX('Chart of Accounts'!$A$5:$A$3000,MATCH("vat_input",'Chart of Accounts'!$F$5:$F$3000,0))</f>
        <v/>
      </c>
      <c r="W15" s="16">
        <f>INDEX('Chart of Accounts'!$A$5:$A$3000,MATCH("wht_payable",'Chart of Accounts'!$F$5:$F$3000,0))</f>
        <v/>
      </c>
      <c r="X15" s="16">
        <f>IF(M15="",INDEX('Chart of Accounts'!$A$5:$A$3000,MATCH("bank",'Chart of Accounts'!$F$5:$F$3000,0)),M15&amp;"")</f>
        <v/>
      </c>
      <c r="Y15" s="16">
        <f>IF(N15="",INDEX('Chart of Accounts'!$A$5:$A$3000,MATCH("ap",'Chart of Accounts'!$F$5:$F$3000,0)),N15&amp;"")</f>
        <v/>
      </c>
      <c r="Z15" s="16">
        <f>IF(O15="",INDEX('Chart of Accounts'!$A$5:$A$3000,MATCH("materials",'Chart of Accounts'!$F$5:$F$3000,0)),O15&amp;"")</f>
        <v/>
      </c>
      <c r="AA15" s="16">
        <f>IF(IFERROR(INDEX(Warehouses!$C$5:$C$1000,MATCH(C15,Warehouses!$A$5:$A$1000,0))&amp;"","")="",INDEX('Chart of Accounts'!$A$5:$A$3000,MATCH("inventory",'Chart of Accounts'!$F$5:$F$3000,0)),IFERROR(INDEX(Warehouses!$C$5:$C$1000,MATCH(C15,Warehouses!$A$5:$A$1000,0))&amp;"",""))</f>
        <v/>
      </c>
      <c r="AB15" s="16">
        <f>IF(IFERROR(INDEX(Warehouses!$C$5:$C$1000,MATCH(D15,Warehouses!$A$5:$A$1000,0))&amp;"","")="",INDEX('Chart of Accounts'!$A$5:$A$3000,MATCH("inventory",'Chart of Accounts'!$F$5:$F$3000,0)),IFERROR(INDEX(Warehouses!$C$5:$C$1000,MATCH(D15,Warehouses!$A$5:$A$1000,0))&amp;"",""))</f>
        <v/>
      </c>
      <c r="AC15" s="21">
        <f>IF(B15="Receipt",N(K15),0)</f>
        <v/>
      </c>
      <c r="AD15" s="16">
        <f>IF(B15="Receipt",AA15,IF(B15="Issue",Z15,IF(B15="Transfer",AB15,IF(N(G15)&gt;=0,AA15,INDEX('Chart of Accounts'!$A$5:$A$3000,MATCH("stock_adjust",'Chart of Accounts'!$F$5:$F$3000,0))))))</f>
        <v/>
      </c>
      <c r="AE15" s="16">
        <f>IF(B15="Receipt",Y15,IF(B15="Adjustment",IF(N(G15)&gt;=0,INDEX('Chart of Accounts'!$A$5:$A$3000,MATCH("stock_adjust",'Chart of Accounts'!$F$5:$F$3000,0)),AA15),AA15))</f>
        <v/>
      </c>
      <c r="AF15" s="21">
        <f>S15+T15-U15-AC15</f>
        <v/>
      </c>
      <c r="AG15" s="23">
        <f>IFERROR(INDEX('Chart of Accounts'!$C$5:$C$3000,MATCH(AD15&amp;"",'Chart of Accounts'!$A$5:$A$3000,0))&amp;"|"&amp;INDEX('Chart of Accounts'!$D$5:$D$3000,MATCH(AD15&amp;"",'Chart of Accounts'!$A$5:$A$3000,0)),"")</f>
        <v/>
      </c>
      <c r="AH15" s="23">
        <f>IFERROR(INDEX('Chart of Accounts'!$C$5:$C$3000,MATCH(V15&amp;"",'Chart of Accounts'!$A$5:$A$3000,0))&amp;"|"&amp;INDEX('Chart of Accounts'!$D$5:$D$3000,MATCH(V15&amp;"",'Chart of Accounts'!$A$5:$A$3000,0)),"")</f>
        <v/>
      </c>
      <c r="AI15" s="23">
        <f>IFERROR(INDEX('Chart of Accounts'!$C$5:$C$3000,MATCH(AE15&amp;"",'Chart of Accounts'!$A$5:$A$3000,0))&amp;"|"&amp;INDEX('Chart of Accounts'!$D$5:$D$3000,MATCH(AE15&amp;"",'Chart of Accounts'!$A$5:$A$3000,0)),"")</f>
        <v/>
      </c>
      <c r="AJ15" s="23">
        <f>IFERROR(INDEX('Chart of Accounts'!$C$5:$C$3000,MATCH(X15&amp;"",'Chart of Accounts'!$A$5:$A$3000,0))&amp;"|"&amp;INDEX('Chart of Accounts'!$D$5:$D$3000,MATCH(X15&amp;"",'Chart of Accounts'!$A$5:$A$3000,0)),"")</f>
        <v/>
      </c>
      <c r="AK15" s="23">
        <f>IFERROR(INDEX('Chart of Accounts'!$C$5:$C$3000,MATCH(W15&amp;"",'Chart of Accounts'!$A$5:$A$3000,0))&amp;"|"&amp;INDEX('Chart of Accounts'!$D$5:$D$3000,MATCH(W15&amp;"",'Chart of Accounts'!$A$5:$A$3000,0)),"")</f>
        <v/>
      </c>
      <c r="AL15" s="23">
        <f>IF(LEFT(AG15,8)="Revenue|",-N(S15),0)+IF(LEFT(AH15,8)="Revenue|",-N(T15),0)+IF(LEFT(AI15,8)="Revenue|",N(AF15),0)+IF(LEFT(AJ15,8)="Revenue|",N(AC15),0)+IF(LEFT(AK15,8)="Revenue|",N(U15),0)</f>
        <v/>
      </c>
      <c r="AM15" s="23">
        <f>IF(LEFT(AG15,5)="COGS|",N(S15),0)+IF(LEFT(AH15,5)="COGS|",N(T15),0)+IF(LEFT(AI15,5)="COGS|",-N(AF15),0)+IF(LEFT(AJ15,5)="COGS|",-N(AC15),0)+IF(LEFT(AK15,5)="COGS|",-N(U15),0)</f>
        <v/>
      </c>
      <c r="AN15" s="23">
        <f>IF(LEFT(AG15,8)="Expense|",N(S15),0)+IF(LEFT(AH15,8)="Expense|",N(T15),0)+IF(LEFT(AI15,8)="Expense|",-N(AF15),0)+IF(LEFT(AJ15,8)="Expense|",-N(AC15),0)+IF(LEFT(AK15,8)="Expense|",-N(U15),0)</f>
        <v/>
      </c>
      <c r="AO15" s="23">
        <f>IF(ISNUMBER(MATCH(AG15,{"Expense|employee","Expense|general_admin","Expense|marketing","Expense|utilities","Expense|other_operating"},0)),N(S15),0)+IF(ISNUMBER(MATCH(AH15,{"Expense|employee","Expense|general_admin","Expense|marketing","Expense|utilities","Expense|other_operating"},0)),N(T15),0)+IF(ISNUMBER(MATCH(AI15,{"Expense|employee","Expense|general_admin","Expense|marketing","Expense|utilities","Expense|other_operating"},0)),-N(AF15),0)+IF(ISNUMBER(MATCH(AJ15,{"Expense|employee","Expense|general_admin","Expense|marketing","Expense|utilities","Expense|other_operating"},0)),-N(AC15),0)+IF(ISNUMBER(MATCH(AK15,{"Expense|employee","Expense|general_admin","Expense|marketing","Expense|utilities","Expense|other_operating"},0)),-N(U15),0)</f>
        <v/>
      </c>
      <c r="AP15" s="23">
        <f>IF(AG15="Liability|payable",-N(S15),0)+IF(AH15="Liability|payable",-N(T15),0)+IF(AI15="Liability|payable",N(AF15),0)+IF(AJ15="Liability|payable",N(AC15),0)+IF(AK15="Liability|payable",N(U15),0)</f>
        <v/>
      </c>
      <c r="AQ15" s="23">
        <f>IF(AG15="Liability|accrued",-N(S15),0)+IF(AH15="Liability|accrued",-N(T15),0)+IF(AI15="Liability|accrued",N(AF15),0)+IF(AJ15="Liability|accrued",N(AC15),0)+IF(AK15="Liability|accrued",N(U15),0)</f>
        <v/>
      </c>
      <c r="AR15" s="23">
        <f>IF(AND(N(S15)&lt;&gt;0,AG15=""),1,0)+IF(AND(N(T15)&lt;&gt;0,AH15=""),1,0)+IF(AND(N(AF15)&lt;&gt;0,AI15=""),1,0)+IF(AND(N(AC15)&lt;&gt;0,AJ15=""),1,0)+IF(AND(N(U15)&lt;&gt;0,AK15=""),1,0)</f>
        <v/>
      </c>
    </row>
    <row r="16">
      <c r="A16" s="19" t="n"/>
      <c r="B16" s="14" t="n"/>
      <c r="C16" s="14" t="n"/>
      <c r="D16" s="14" t="n"/>
      <c r="E16" s="14" t="n"/>
      <c r="F16" s="14" t="n"/>
      <c r="G16" s="14" t="n"/>
      <c r="H16" s="20" t="n"/>
      <c r="I16" s="14" t="n"/>
      <c r="J16" s="14" t="n"/>
      <c r="K16" s="20" t="n"/>
      <c r="L16" s="14" t="n"/>
      <c r="M16" s="14" t="n"/>
      <c r="N16" s="14" t="n"/>
      <c r="O16" s="14" t="n"/>
      <c r="P16" s="14" t="n"/>
      <c r="Q16" s="14" t="n"/>
      <c r="R16" s="14" t="n"/>
      <c r="S16" s="21">
        <f>ROUND(ABS(N(G16))*N(H16),2)</f>
        <v/>
      </c>
      <c r="T16" s="21">
        <f>IF(B16="Receipt",ROUND(S16*IFERROR(VLOOKUP(Q16,'Tax Codes'!$A$5:$E$300,5,FALSE),0),2),0)</f>
        <v/>
      </c>
      <c r="U16" s="21">
        <f>IF(B16="Receipt",ROUND(S16*IFERROR(VLOOKUP(R16,'Tax Codes'!$A$5:$E$300,5,FALSE),0),2),0)</f>
        <v/>
      </c>
      <c r="V16" s="16">
        <f>INDEX('Chart of Accounts'!$A$5:$A$3000,MATCH("vat_input",'Chart of Accounts'!$F$5:$F$3000,0))</f>
        <v/>
      </c>
      <c r="W16" s="16">
        <f>INDEX('Chart of Accounts'!$A$5:$A$3000,MATCH("wht_payable",'Chart of Accounts'!$F$5:$F$3000,0))</f>
        <v/>
      </c>
      <c r="X16" s="16">
        <f>IF(M16="",INDEX('Chart of Accounts'!$A$5:$A$3000,MATCH("bank",'Chart of Accounts'!$F$5:$F$3000,0)),M16&amp;"")</f>
        <v/>
      </c>
      <c r="Y16" s="16">
        <f>IF(N16="",INDEX('Chart of Accounts'!$A$5:$A$3000,MATCH("ap",'Chart of Accounts'!$F$5:$F$3000,0)),N16&amp;"")</f>
        <v/>
      </c>
      <c r="Z16" s="16">
        <f>IF(O16="",INDEX('Chart of Accounts'!$A$5:$A$3000,MATCH("materials",'Chart of Accounts'!$F$5:$F$3000,0)),O16&amp;"")</f>
        <v/>
      </c>
      <c r="AA16" s="16">
        <f>IF(IFERROR(INDEX(Warehouses!$C$5:$C$1000,MATCH(C16,Warehouses!$A$5:$A$1000,0))&amp;"","")="",INDEX('Chart of Accounts'!$A$5:$A$3000,MATCH("inventory",'Chart of Accounts'!$F$5:$F$3000,0)),IFERROR(INDEX(Warehouses!$C$5:$C$1000,MATCH(C16,Warehouses!$A$5:$A$1000,0))&amp;"",""))</f>
        <v/>
      </c>
      <c r="AB16" s="16">
        <f>IF(IFERROR(INDEX(Warehouses!$C$5:$C$1000,MATCH(D16,Warehouses!$A$5:$A$1000,0))&amp;"","")="",INDEX('Chart of Accounts'!$A$5:$A$3000,MATCH("inventory",'Chart of Accounts'!$F$5:$F$3000,0)),IFERROR(INDEX(Warehouses!$C$5:$C$1000,MATCH(D16,Warehouses!$A$5:$A$1000,0))&amp;"",""))</f>
        <v/>
      </c>
      <c r="AC16" s="21">
        <f>IF(B16="Receipt",N(K16),0)</f>
        <v/>
      </c>
      <c r="AD16" s="16">
        <f>IF(B16="Receipt",AA16,IF(B16="Issue",Z16,IF(B16="Transfer",AB16,IF(N(G16)&gt;=0,AA16,INDEX('Chart of Accounts'!$A$5:$A$3000,MATCH("stock_adjust",'Chart of Accounts'!$F$5:$F$3000,0))))))</f>
        <v/>
      </c>
      <c r="AE16" s="16">
        <f>IF(B16="Receipt",Y16,IF(B16="Adjustment",IF(N(G16)&gt;=0,INDEX('Chart of Accounts'!$A$5:$A$3000,MATCH("stock_adjust",'Chart of Accounts'!$F$5:$F$3000,0)),AA16),AA16))</f>
        <v/>
      </c>
      <c r="AF16" s="21">
        <f>S16+T16-U16-AC16</f>
        <v/>
      </c>
      <c r="AG16" s="23">
        <f>IFERROR(INDEX('Chart of Accounts'!$C$5:$C$3000,MATCH(AD16&amp;"",'Chart of Accounts'!$A$5:$A$3000,0))&amp;"|"&amp;INDEX('Chart of Accounts'!$D$5:$D$3000,MATCH(AD16&amp;"",'Chart of Accounts'!$A$5:$A$3000,0)),"")</f>
        <v/>
      </c>
      <c r="AH16" s="23">
        <f>IFERROR(INDEX('Chart of Accounts'!$C$5:$C$3000,MATCH(V16&amp;"",'Chart of Accounts'!$A$5:$A$3000,0))&amp;"|"&amp;INDEX('Chart of Accounts'!$D$5:$D$3000,MATCH(V16&amp;"",'Chart of Accounts'!$A$5:$A$3000,0)),"")</f>
        <v/>
      </c>
      <c r="AI16" s="23">
        <f>IFERROR(INDEX('Chart of Accounts'!$C$5:$C$3000,MATCH(AE16&amp;"",'Chart of Accounts'!$A$5:$A$3000,0))&amp;"|"&amp;INDEX('Chart of Accounts'!$D$5:$D$3000,MATCH(AE16&amp;"",'Chart of Accounts'!$A$5:$A$3000,0)),"")</f>
        <v/>
      </c>
      <c r="AJ16" s="23">
        <f>IFERROR(INDEX('Chart of Accounts'!$C$5:$C$3000,MATCH(X16&amp;"",'Chart of Accounts'!$A$5:$A$3000,0))&amp;"|"&amp;INDEX('Chart of Accounts'!$D$5:$D$3000,MATCH(X16&amp;"",'Chart of Accounts'!$A$5:$A$3000,0)),"")</f>
        <v/>
      </c>
      <c r="AK16" s="23">
        <f>IFERROR(INDEX('Chart of Accounts'!$C$5:$C$3000,MATCH(W16&amp;"",'Chart of Accounts'!$A$5:$A$3000,0))&amp;"|"&amp;INDEX('Chart of Accounts'!$D$5:$D$3000,MATCH(W16&amp;"",'Chart of Accounts'!$A$5:$A$3000,0)),"")</f>
        <v/>
      </c>
      <c r="AL16" s="23">
        <f>IF(LEFT(AG16,8)="Revenue|",-N(S16),0)+IF(LEFT(AH16,8)="Revenue|",-N(T16),0)+IF(LEFT(AI16,8)="Revenue|",N(AF16),0)+IF(LEFT(AJ16,8)="Revenue|",N(AC16),0)+IF(LEFT(AK16,8)="Revenue|",N(U16),0)</f>
        <v/>
      </c>
      <c r="AM16" s="23">
        <f>IF(LEFT(AG16,5)="COGS|",N(S16),0)+IF(LEFT(AH16,5)="COGS|",N(T16),0)+IF(LEFT(AI16,5)="COGS|",-N(AF16),0)+IF(LEFT(AJ16,5)="COGS|",-N(AC16),0)+IF(LEFT(AK16,5)="COGS|",-N(U16),0)</f>
        <v/>
      </c>
      <c r="AN16" s="23">
        <f>IF(LEFT(AG16,8)="Expense|",N(S16),0)+IF(LEFT(AH16,8)="Expense|",N(T16),0)+IF(LEFT(AI16,8)="Expense|",-N(AF16),0)+IF(LEFT(AJ16,8)="Expense|",-N(AC16),0)+IF(LEFT(AK16,8)="Expense|",-N(U16),0)</f>
        <v/>
      </c>
      <c r="AO16" s="23">
        <f>IF(ISNUMBER(MATCH(AG16,{"Expense|employee","Expense|general_admin","Expense|marketing","Expense|utilities","Expense|other_operating"},0)),N(S16),0)+IF(ISNUMBER(MATCH(AH16,{"Expense|employee","Expense|general_admin","Expense|marketing","Expense|utilities","Expense|other_operating"},0)),N(T16),0)+IF(ISNUMBER(MATCH(AI16,{"Expense|employee","Expense|general_admin","Expense|marketing","Expense|utilities","Expense|other_operating"},0)),-N(AF16),0)+IF(ISNUMBER(MATCH(AJ16,{"Expense|employee","Expense|general_admin","Expense|marketing","Expense|utilities","Expense|other_operating"},0)),-N(AC16),0)+IF(ISNUMBER(MATCH(AK16,{"Expense|employee","Expense|general_admin","Expense|marketing","Expense|utilities","Expense|other_operating"},0)),-N(U16),0)</f>
        <v/>
      </c>
      <c r="AP16" s="23">
        <f>IF(AG16="Liability|payable",-N(S16),0)+IF(AH16="Liability|payable",-N(T16),0)+IF(AI16="Liability|payable",N(AF16),0)+IF(AJ16="Liability|payable",N(AC16),0)+IF(AK16="Liability|payable",N(U16),0)</f>
        <v/>
      </c>
      <c r="AQ16" s="23">
        <f>IF(AG16="Liability|accrued",-N(S16),0)+IF(AH16="Liability|accrued",-N(T16),0)+IF(AI16="Liability|accrued",N(AF16),0)+IF(AJ16="Liability|accrued",N(AC16),0)+IF(AK16="Liability|accrued",N(U16),0)</f>
        <v/>
      </c>
      <c r="AR16" s="23">
        <f>IF(AND(N(S16)&lt;&gt;0,AG16=""),1,0)+IF(AND(N(T16)&lt;&gt;0,AH16=""),1,0)+IF(AND(N(AF16)&lt;&gt;0,AI16=""),1,0)+IF(AND(N(AC16)&lt;&gt;0,AJ16=""),1,0)+IF(AND(N(U16)&lt;&gt;0,AK16=""),1,0)</f>
        <v/>
      </c>
    </row>
    <row r="17">
      <c r="A17" s="19" t="n"/>
      <c r="B17" s="14" t="n"/>
      <c r="C17" s="14" t="n"/>
      <c r="D17" s="14" t="n"/>
      <c r="E17" s="14" t="n"/>
      <c r="F17" s="14" t="n"/>
      <c r="G17" s="14" t="n"/>
      <c r="H17" s="20" t="n"/>
      <c r="I17" s="14" t="n"/>
      <c r="J17" s="14" t="n"/>
      <c r="K17" s="20" t="n"/>
      <c r="L17" s="14" t="n"/>
      <c r="M17" s="14" t="n"/>
      <c r="N17" s="14" t="n"/>
      <c r="O17" s="14" t="n"/>
      <c r="P17" s="14" t="n"/>
      <c r="Q17" s="14" t="n"/>
      <c r="R17" s="14" t="n"/>
      <c r="S17" s="21">
        <f>ROUND(ABS(N(G17))*N(H17),2)</f>
        <v/>
      </c>
      <c r="T17" s="21">
        <f>IF(B17="Receipt",ROUND(S17*IFERROR(VLOOKUP(Q17,'Tax Codes'!$A$5:$E$300,5,FALSE),0),2),0)</f>
        <v/>
      </c>
      <c r="U17" s="21">
        <f>IF(B17="Receipt",ROUND(S17*IFERROR(VLOOKUP(R17,'Tax Codes'!$A$5:$E$300,5,FALSE),0),2),0)</f>
        <v/>
      </c>
      <c r="V17" s="16">
        <f>INDEX('Chart of Accounts'!$A$5:$A$3000,MATCH("vat_input",'Chart of Accounts'!$F$5:$F$3000,0))</f>
        <v/>
      </c>
      <c r="W17" s="16">
        <f>INDEX('Chart of Accounts'!$A$5:$A$3000,MATCH("wht_payable",'Chart of Accounts'!$F$5:$F$3000,0))</f>
        <v/>
      </c>
      <c r="X17" s="16">
        <f>IF(M17="",INDEX('Chart of Accounts'!$A$5:$A$3000,MATCH("bank",'Chart of Accounts'!$F$5:$F$3000,0)),M17&amp;"")</f>
        <v/>
      </c>
      <c r="Y17" s="16">
        <f>IF(N17="",INDEX('Chart of Accounts'!$A$5:$A$3000,MATCH("ap",'Chart of Accounts'!$F$5:$F$3000,0)),N17&amp;"")</f>
        <v/>
      </c>
      <c r="Z17" s="16">
        <f>IF(O17="",INDEX('Chart of Accounts'!$A$5:$A$3000,MATCH("materials",'Chart of Accounts'!$F$5:$F$3000,0)),O17&amp;"")</f>
        <v/>
      </c>
      <c r="AA17" s="16">
        <f>IF(IFERROR(INDEX(Warehouses!$C$5:$C$1000,MATCH(C17,Warehouses!$A$5:$A$1000,0))&amp;"","")="",INDEX('Chart of Accounts'!$A$5:$A$3000,MATCH("inventory",'Chart of Accounts'!$F$5:$F$3000,0)),IFERROR(INDEX(Warehouses!$C$5:$C$1000,MATCH(C17,Warehouses!$A$5:$A$1000,0))&amp;"",""))</f>
        <v/>
      </c>
      <c r="AB17" s="16">
        <f>IF(IFERROR(INDEX(Warehouses!$C$5:$C$1000,MATCH(D17,Warehouses!$A$5:$A$1000,0))&amp;"","")="",INDEX('Chart of Accounts'!$A$5:$A$3000,MATCH("inventory",'Chart of Accounts'!$F$5:$F$3000,0)),IFERROR(INDEX(Warehouses!$C$5:$C$1000,MATCH(D17,Warehouses!$A$5:$A$1000,0))&amp;"",""))</f>
        <v/>
      </c>
      <c r="AC17" s="21">
        <f>IF(B17="Receipt",N(K17),0)</f>
        <v/>
      </c>
      <c r="AD17" s="16">
        <f>IF(B17="Receipt",AA17,IF(B17="Issue",Z17,IF(B17="Transfer",AB17,IF(N(G17)&gt;=0,AA17,INDEX('Chart of Accounts'!$A$5:$A$3000,MATCH("stock_adjust",'Chart of Accounts'!$F$5:$F$3000,0))))))</f>
        <v/>
      </c>
      <c r="AE17" s="16">
        <f>IF(B17="Receipt",Y17,IF(B17="Adjustment",IF(N(G17)&gt;=0,INDEX('Chart of Accounts'!$A$5:$A$3000,MATCH("stock_adjust",'Chart of Accounts'!$F$5:$F$3000,0)),AA17),AA17))</f>
        <v/>
      </c>
      <c r="AF17" s="21">
        <f>S17+T17-U17-AC17</f>
        <v/>
      </c>
      <c r="AG17" s="23">
        <f>IFERROR(INDEX('Chart of Accounts'!$C$5:$C$3000,MATCH(AD17&amp;"",'Chart of Accounts'!$A$5:$A$3000,0))&amp;"|"&amp;INDEX('Chart of Accounts'!$D$5:$D$3000,MATCH(AD17&amp;"",'Chart of Accounts'!$A$5:$A$3000,0)),"")</f>
        <v/>
      </c>
      <c r="AH17" s="23">
        <f>IFERROR(INDEX('Chart of Accounts'!$C$5:$C$3000,MATCH(V17&amp;"",'Chart of Accounts'!$A$5:$A$3000,0))&amp;"|"&amp;INDEX('Chart of Accounts'!$D$5:$D$3000,MATCH(V17&amp;"",'Chart of Accounts'!$A$5:$A$3000,0)),"")</f>
        <v/>
      </c>
      <c r="AI17" s="23">
        <f>IFERROR(INDEX('Chart of Accounts'!$C$5:$C$3000,MATCH(AE17&amp;"",'Chart of Accounts'!$A$5:$A$3000,0))&amp;"|"&amp;INDEX('Chart of Accounts'!$D$5:$D$3000,MATCH(AE17&amp;"",'Chart of Accounts'!$A$5:$A$3000,0)),"")</f>
        <v/>
      </c>
      <c r="AJ17" s="23">
        <f>IFERROR(INDEX('Chart of Accounts'!$C$5:$C$3000,MATCH(X17&amp;"",'Chart of Accounts'!$A$5:$A$3000,0))&amp;"|"&amp;INDEX('Chart of Accounts'!$D$5:$D$3000,MATCH(X17&amp;"",'Chart of Accounts'!$A$5:$A$3000,0)),"")</f>
        <v/>
      </c>
      <c r="AK17" s="23">
        <f>IFERROR(INDEX('Chart of Accounts'!$C$5:$C$3000,MATCH(W17&amp;"",'Chart of Accounts'!$A$5:$A$3000,0))&amp;"|"&amp;INDEX('Chart of Accounts'!$D$5:$D$3000,MATCH(W17&amp;"",'Chart of Accounts'!$A$5:$A$3000,0)),"")</f>
        <v/>
      </c>
      <c r="AL17" s="23">
        <f>IF(LEFT(AG17,8)="Revenue|",-N(S17),0)+IF(LEFT(AH17,8)="Revenue|",-N(T17),0)+IF(LEFT(AI17,8)="Revenue|",N(AF17),0)+IF(LEFT(AJ17,8)="Revenue|",N(AC17),0)+IF(LEFT(AK17,8)="Revenue|",N(U17),0)</f>
        <v/>
      </c>
      <c r="AM17" s="23">
        <f>IF(LEFT(AG17,5)="COGS|",N(S17),0)+IF(LEFT(AH17,5)="COGS|",N(T17),0)+IF(LEFT(AI17,5)="COGS|",-N(AF17),0)+IF(LEFT(AJ17,5)="COGS|",-N(AC17),0)+IF(LEFT(AK17,5)="COGS|",-N(U17),0)</f>
        <v/>
      </c>
      <c r="AN17" s="23">
        <f>IF(LEFT(AG17,8)="Expense|",N(S17),0)+IF(LEFT(AH17,8)="Expense|",N(T17),0)+IF(LEFT(AI17,8)="Expense|",-N(AF17),0)+IF(LEFT(AJ17,8)="Expense|",-N(AC17),0)+IF(LEFT(AK17,8)="Expense|",-N(U17),0)</f>
        <v/>
      </c>
      <c r="AO17" s="23">
        <f>IF(ISNUMBER(MATCH(AG17,{"Expense|employee","Expense|general_admin","Expense|marketing","Expense|utilities","Expense|other_operating"},0)),N(S17),0)+IF(ISNUMBER(MATCH(AH17,{"Expense|employee","Expense|general_admin","Expense|marketing","Expense|utilities","Expense|other_operating"},0)),N(T17),0)+IF(ISNUMBER(MATCH(AI17,{"Expense|employee","Expense|general_admin","Expense|marketing","Expense|utilities","Expense|other_operating"},0)),-N(AF17),0)+IF(ISNUMBER(MATCH(AJ17,{"Expense|employee","Expense|general_admin","Expense|marketing","Expense|utilities","Expense|other_operating"},0)),-N(AC17),0)+IF(ISNUMBER(MATCH(AK17,{"Expense|employee","Expense|general_admin","Expense|marketing","Expense|utilities","Expense|other_operating"},0)),-N(U17),0)</f>
        <v/>
      </c>
      <c r="AP17" s="23">
        <f>IF(AG17="Liability|payable",-N(S17),0)+IF(AH17="Liability|payable",-N(T17),0)+IF(AI17="Liability|payable",N(AF17),0)+IF(AJ17="Liability|payable",N(AC17),0)+IF(AK17="Liability|payable",N(U17),0)</f>
        <v/>
      </c>
      <c r="AQ17" s="23">
        <f>IF(AG17="Liability|accrued",-N(S17),0)+IF(AH17="Liability|accrued",-N(T17),0)+IF(AI17="Liability|accrued",N(AF17),0)+IF(AJ17="Liability|accrued",N(AC17),0)+IF(AK17="Liability|accrued",N(U17),0)</f>
        <v/>
      </c>
      <c r="AR17" s="23">
        <f>IF(AND(N(S17)&lt;&gt;0,AG17=""),1,0)+IF(AND(N(T17)&lt;&gt;0,AH17=""),1,0)+IF(AND(N(AF17)&lt;&gt;0,AI17=""),1,0)+IF(AND(N(AC17)&lt;&gt;0,AJ17=""),1,0)+IF(AND(N(U17)&lt;&gt;0,AK17=""),1,0)</f>
        <v/>
      </c>
    </row>
    <row r="18">
      <c r="A18" s="19" t="n"/>
      <c r="B18" s="14" t="n"/>
      <c r="C18" s="14" t="n"/>
      <c r="D18" s="14" t="n"/>
      <c r="E18" s="14" t="n"/>
      <c r="F18" s="14" t="n"/>
      <c r="G18" s="14" t="n"/>
      <c r="H18" s="20" t="n"/>
      <c r="I18" s="14" t="n"/>
      <c r="J18" s="14" t="n"/>
      <c r="K18" s="20" t="n"/>
      <c r="L18" s="14" t="n"/>
      <c r="M18" s="14" t="n"/>
      <c r="N18" s="14" t="n"/>
      <c r="O18" s="14" t="n"/>
      <c r="P18" s="14" t="n"/>
      <c r="Q18" s="14" t="n"/>
      <c r="R18" s="14" t="n"/>
      <c r="S18" s="21">
        <f>ROUND(ABS(N(G18))*N(H18),2)</f>
        <v/>
      </c>
      <c r="T18" s="21">
        <f>IF(B18="Receipt",ROUND(S18*IFERROR(VLOOKUP(Q18,'Tax Codes'!$A$5:$E$300,5,FALSE),0),2),0)</f>
        <v/>
      </c>
      <c r="U18" s="21">
        <f>IF(B18="Receipt",ROUND(S18*IFERROR(VLOOKUP(R18,'Tax Codes'!$A$5:$E$300,5,FALSE),0),2),0)</f>
        <v/>
      </c>
      <c r="V18" s="16">
        <f>INDEX('Chart of Accounts'!$A$5:$A$3000,MATCH("vat_input",'Chart of Accounts'!$F$5:$F$3000,0))</f>
        <v/>
      </c>
      <c r="W18" s="16">
        <f>INDEX('Chart of Accounts'!$A$5:$A$3000,MATCH("wht_payable",'Chart of Accounts'!$F$5:$F$3000,0))</f>
        <v/>
      </c>
      <c r="X18" s="16">
        <f>IF(M18="",INDEX('Chart of Accounts'!$A$5:$A$3000,MATCH("bank",'Chart of Accounts'!$F$5:$F$3000,0)),M18&amp;"")</f>
        <v/>
      </c>
      <c r="Y18" s="16">
        <f>IF(N18="",INDEX('Chart of Accounts'!$A$5:$A$3000,MATCH("ap",'Chart of Accounts'!$F$5:$F$3000,0)),N18&amp;"")</f>
        <v/>
      </c>
      <c r="Z18" s="16">
        <f>IF(O18="",INDEX('Chart of Accounts'!$A$5:$A$3000,MATCH("materials",'Chart of Accounts'!$F$5:$F$3000,0)),O18&amp;"")</f>
        <v/>
      </c>
      <c r="AA18" s="16">
        <f>IF(IFERROR(INDEX(Warehouses!$C$5:$C$1000,MATCH(C18,Warehouses!$A$5:$A$1000,0))&amp;"","")="",INDEX('Chart of Accounts'!$A$5:$A$3000,MATCH("inventory",'Chart of Accounts'!$F$5:$F$3000,0)),IFERROR(INDEX(Warehouses!$C$5:$C$1000,MATCH(C18,Warehouses!$A$5:$A$1000,0))&amp;"",""))</f>
        <v/>
      </c>
      <c r="AB18" s="16">
        <f>IF(IFERROR(INDEX(Warehouses!$C$5:$C$1000,MATCH(D18,Warehouses!$A$5:$A$1000,0))&amp;"","")="",INDEX('Chart of Accounts'!$A$5:$A$3000,MATCH("inventory",'Chart of Accounts'!$F$5:$F$3000,0)),IFERROR(INDEX(Warehouses!$C$5:$C$1000,MATCH(D18,Warehouses!$A$5:$A$1000,0))&amp;"",""))</f>
        <v/>
      </c>
      <c r="AC18" s="21">
        <f>IF(B18="Receipt",N(K18),0)</f>
        <v/>
      </c>
      <c r="AD18" s="16">
        <f>IF(B18="Receipt",AA18,IF(B18="Issue",Z18,IF(B18="Transfer",AB18,IF(N(G18)&gt;=0,AA18,INDEX('Chart of Accounts'!$A$5:$A$3000,MATCH("stock_adjust",'Chart of Accounts'!$F$5:$F$3000,0))))))</f>
        <v/>
      </c>
      <c r="AE18" s="16">
        <f>IF(B18="Receipt",Y18,IF(B18="Adjustment",IF(N(G18)&gt;=0,INDEX('Chart of Accounts'!$A$5:$A$3000,MATCH("stock_adjust",'Chart of Accounts'!$F$5:$F$3000,0)),AA18),AA18))</f>
        <v/>
      </c>
      <c r="AF18" s="21">
        <f>S18+T18-U18-AC18</f>
        <v/>
      </c>
      <c r="AG18" s="23">
        <f>IFERROR(INDEX('Chart of Accounts'!$C$5:$C$3000,MATCH(AD18&amp;"",'Chart of Accounts'!$A$5:$A$3000,0))&amp;"|"&amp;INDEX('Chart of Accounts'!$D$5:$D$3000,MATCH(AD18&amp;"",'Chart of Accounts'!$A$5:$A$3000,0)),"")</f>
        <v/>
      </c>
      <c r="AH18" s="23">
        <f>IFERROR(INDEX('Chart of Accounts'!$C$5:$C$3000,MATCH(V18&amp;"",'Chart of Accounts'!$A$5:$A$3000,0))&amp;"|"&amp;INDEX('Chart of Accounts'!$D$5:$D$3000,MATCH(V18&amp;"",'Chart of Accounts'!$A$5:$A$3000,0)),"")</f>
        <v/>
      </c>
      <c r="AI18" s="23">
        <f>IFERROR(INDEX('Chart of Accounts'!$C$5:$C$3000,MATCH(AE18&amp;"",'Chart of Accounts'!$A$5:$A$3000,0))&amp;"|"&amp;INDEX('Chart of Accounts'!$D$5:$D$3000,MATCH(AE18&amp;"",'Chart of Accounts'!$A$5:$A$3000,0)),"")</f>
        <v/>
      </c>
      <c r="AJ18" s="23">
        <f>IFERROR(INDEX('Chart of Accounts'!$C$5:$C$3000,MATCH(X18&amp;"",'Chart of Accounts'!$A$5:$A$3000,0))&amp;"|"&amp;INDEX('Chart of Accounts'!$D$5:$D$3000,MATCH(X18&amp;"",'Chart of Accounts'!$A$5:$A$3000,0)),"")</f>
        <v/>
      </c>
      <c r="AK18" s="23">
        <f>IFERROR(INDEX('Chart of Accounts'!$C$5:$C$3000,MATCH(W18&amp;"",'Chart of Accounts'!$A$5:$A$3000,0))&amp;"|"&amp;INDEX('Chart of Accounts'!$D$5:$D$3000,MATCH(W18&amp;"",'Chart of Accounts'!$A$5:$A$3000,0)),"")</f>
        <v/>
      </c>
      <c r="AL18" s="23">
        <f>IF(LEFT(AG18,8)="Revenue|",-N(S18),0)+IF(LEFT(AH18,8)="Revenue|",-N(T18),0)+IF(LEFT(AI18,8)="Revenue|",N(AF18),0)+IF(LEFT(AJ18,8)="Revenue|",N(AC18),0)+IF(LEFT(AK18,8)="Revenue|",N(U18),0)</f>
        <v/>
      </c>
      <c r="AM18" s="23">
        <f>IF(LEFT(AG18,5)="COGS|",N(S18),0)+IF(LEFT(AH18,5)="COGS|",N(T18),0)+IF(LEFT(AI18,5)="COGS|",-N(AF18),0)+IF(LEFT(AJ18,5)="COGS|",-N(AC18),0)+IF(LEFT(AK18,5)="COGS|",-N(U18),0)</f>
        <v/>
      </c>
      <c r="AN18" s="23">
        <f>IF(LEFT(AG18,8)="Expense|",N(S18),0)+IF(LEFT(AH18,8)="Expense|",N(T18),0)+IF(LEFT(AI18,8)="Expense|",-N(AF18),0)+IF(LEFT(AJ18,8)="Expense|",-N(AC18),0)+IF(LEFT(AK18,8)="Expense|",-N(U18),0)</f>
        <v/>
      </c>
      <c r="AO18" s="23">
        <f>IF(ISNUMBER(MATCH(AG18,{"Expense|employee","Expense|general_admin","Expense|marketing","Expense|utilities","Expense|other_operating"},0)),N(S18),0)+IF(ISNUMBER(MATCH(AH18,{"Expense|employee","Expense|general_admin","Expense|marketing","Expense|utilities","Expense|other_operating"},0)),N(T18),0)+IF(ISNUMBER(MATCH(AI18,{"Expense|employee","Expense|general_admin","Expense|marketing","Expense|utilities","Expense|other_operating"},0)),-N(AF18),0)+IF(ISNUMBER(MATCH(AJ18,{"Expense|employee","Expense|general_admin","Expense|marketing","Expense|utilities","Expense|other_operating"},0)),-N(AC18),0)+IF(ISNUMBER(MATCH(AK18,{"Expense|employee","Expense|general_admin","Expense|marketing","Expense|utilities","Expense|other_operating"},0)),-N(U18),0)</f>
        <v/>
      </c>
      <c r="AP18" s="23">
        <f>IF(AG18="Liability|payable",-N(S18),0)+IF(AH18="Liability|payable",-N(T18),0)+IF(AI18="Liability|payable",N(AF18),0)+IF(AJ18="Liability|payable",N(AC18),0)+IF(AK18="Liability|payable",N(U18),0)</f>
        <v/>
      </c>
      <c r="AQ18" s="23">
        <f>IF(AG18="Liability|accrued",-N(S18),0)+IF(AH18="Liability|accrued",-N(T18),0)+IF(AI18="Liability|accrued",N(AF18),0)+IF(AJ18="Liability|accrued",N(AC18),0)+IF(AK18="Liability|accrued",N(U18),0)</f>
        <v/>
      </c>
      <c r="AR18" s="23">
        <f>IF(AND(N(S18)&lt;&gt;0,AG18=""),1,0)+IF(AND(N(T18)&lt;&gt;0,AH18=""),1,0)+IF(AND(N(AF18)&lt;&gt;0,AI18=""),1,0)+IF(AND(N(AC18)&lt;&gt;0,AJ18=""),1,0)+IF(AND(N(U18)&lt;&gt;0,AK18=""),1,0)</f>
        <v/>
      </c>
    </row>
    <row r="19">
      <c r="A19" s="19" t="n"/>
      <c r="B19" s="14" t="n"/>
      <c r="C19" s="14" t="n"/>
      <c r="D19" s="14" t="n"/>
      <c r="E19" s="14" t="n"/>
      <c r="F19" s="14" t="n"/>
      <c r="G19" s="14" t="n"/>
      <c r="H19" s="20" t="n"/>
      <c r="I19" s="14" t="n"/>
      <c r="J19" s="14" t="n"/>
      <c r="K19" s="20" t="n"/>
      <c r="L19" s="14" t="n"/>
      <c r="M19" s="14" t="n"/>
      <c r="N19" s="14" t="n"/>
      <c r="O19" s="14" t="n"/>
      <c r="P19" s="14" t="n"/>
      <c r="Q19" s="14" t="n"/>
      <c r="R19" s="14" t="n"/>
      <c r="S19" s="21">
        <f>ROUND(ABS(N(G19))*N(H19),2)</f>
        <v/>
      </c>
      <c r="T19" s="21">
        <f>IF(B19="Receipt",ROUND(S19*IFERROR(VLOOKUP(Q19,'Tax Codes'!$A$5:$E$300,5,FALSE),0),2),0)</f>
        <v/>
      </c>
      <c r="U19" s="21">
        <f>IF(B19="Receipt",ROUND(S19*IFERROR(VLOOKUP(R19,'Tax Codes'!$A$5:$E$300,5,FALSE),0),2),0)</f>
        <v/>
      </c>
      <c r="V19" s="16">
        <f>INDEX('Chart of Accounts'!$A$5:$A$3000,MATCH("vat_input",'Chart of Accounts'!$F$5:$F$3000,0))</f>
        <v/>
      </c>
      <c r="W19" s="16">
        <f>INDEX('Chart of Accounts'!$A$5:$A$3000,MATCH("wht_payable",'Chart of Accounts'!$F$5:$F$3000,0))</f>
        <v/>
      </c>
      <c r="X19" s="16">
        <f>IF(M19="",INDEX('Chart of Accounts'!$A$5:$A$3000,MATCH("bank",'Chart of Accounts'!$F$5:$F$3000,0)),M19&amp;"")</f>
        <v/>
      </c>
      <c r="Y19" s="16">
        <f>IF(N19="",INDEX('Chart of Accounts'!$A$5:$A$3000,MATCH("ap",'Chart of Accounts'!$F$5:$F$3000,0)),N19&amp;"")</f>
        <v/>
      </c>
      <c r="Z19" s="16">
        <f>IF(O19="",INDEX('Chart of Accounts'!$A$5:$A$3000,MATCH("materials",'Chart of Accounts'!$F$5:$F$3000,0)),O19&amp;"")</f>
        <v/>
      </c>
      <c r="AA19" s="16">
        <f>IF(IFERROR(INDEX(Warehouses!$C$5:$C$1000,MATCH(C19,Warehouses!$A$5:$A$1000,0))&amp;"","")="",INDEX('Chart of Accounts'!$A$5:$A$3000,MATCH("inventory",'Chart of Accounts'!$F$5:$F$3000,0)),IFERROR(INDEX(Warehouses!$C$5:$C$1000,MATCH(C19,Warehouses!$A$5:$A$1000,0))&amp;"",""))</f>
        <v/>
      </c>
      <c r="AB19" s="16">
        <f>IF(IFERROR(INDEX(Warehouses!$C$5:$C$1000,MATCH(D19,Warehouses!$A$5:$A$1000,0))&amp;"","")="",INDEX('Chart of Accounts'!$A$5:$A$3000,MATCH("inventory",'Chart of Accounts'!$F$5:$F$3000,0)),IFERROR(INDEX(Warehouses!$C$5:$C$1000,MATCH(D19,Warehouses!$A$5:$A$1000,0))&amp;"",""))</f>
        <v/>
      </c>
      <c r="AC19" s="21">
        <f>IF(B19="Receipt",N(K19),0)</f>
        <v/>
      </c>
      <c r="AD19" s="16">
        <f>IF(B19="Receipt",AA19,IF(B19="Issue",Z19,IF(B19="Transfer",AB19,IF(N(G19)&gt;=0,AA19,INDEX('Chart of Accounts'!$A$5:$A$3000,MATCH("stock_adjust",'Chart of Accounts'!$F$5:$F$3000,0))))))</f>
        <v/>
      </c>
      <c r="AE19" s="16">
        <f>IF(B19="Receipt",Y19,IF(B19="Adjustment",IF(N(G19)&gt;=0,INDEX('Chart of Accounts'!$A$5:$A$3000,MATCH("stock_adjust",'Chart of Accounts'!$F$5:$F$3000,0)),AA19),AA19))</f>
        <v/>
      </c>
      <c r="AF19" s="21">
        <f>S19+T19-U19-AC19</f>
        <v/>
      </c>
      <c r="AG19" s="23">
        <f>IFERROR(INDEX('Chart of Accounts'!$C$5:$C$3000,MATCH(AD19&amp;"",'Chart of Accounts'!$A$5:$A$3000,0))&amp;"|"&amp;INDEX('Chart of Accounts'!$D$5:$D$3000,MATCH(AD19&amp;"",'Chart of Accounts'!$A$5:$A$3000,0)),"")</f>
        <v/>
      </c>
      <c r="AH19" s="23">
        <f>IFERROR(INDEX('Chart of Accounts'!$C$5:$C$3000,MATCH(V19&amp;"",'Chart of Accounts'!$A$5:$A$3000,0))&amp;"|"&amp;INDEX('Chart of Accounts'!$D$5:$D$3000,MATCH(V19&amp;"",'Chart of Accounts'!$A$5:$A$3000,0)),"")</f>
        <v/>
      </c>
      <c r="AI19" s="23">
        <f>IFERROR(INDEX('Chart of Accounts'!$C$5:$C$3000,MATCH(AE19&amp;"",'Chart of Accounts'!$A$5:$A$3000,0))&amp;"|"&amp;INDEX('Chart of Accounts'!$D$5:$D$3000,MATCH(AE19&amp;"",'Chart of Accounts'!$A$5:$A$3000,0)),"")</f>
        <v/>
      </c>
      <c r="AJ19" s="23">
        <f>IFERROR(INDEX('Chart of Accounts'!$C$5:$C$3000,MATCH(X19&amp;"",'Chart of Accounts'!$A$5:$A$3000,0))&amp;"|"&amp;INDEX('Chart of Accounts'!$D$5:$D$3000,MATCH(X19&amp;"",'Chart of Accounts'!$A$5:$A$3000,0)),"")</f>
        <v/>
      </c>
      <c r="AK19" s="23">
        <f>IFERROR(INDEX('Chart of Accounts'!$C$5:$C$3000,MATCH(W19&amp;"",'Chart of Accounts'!$A$5:$A$3000,0))&amp;"|"&amp;INDEX('Chart of Accounts'!$D$5:$D$3000,MATCH(W19&amp;"",'Chart of Accounts'!$A$5:$A$3000,0)),"")</f>
        <v/>
      </c>
      <c r="AL19" s="23">
        <f>IF(LEFT(AG19,8)="Revenue|",-N(S19),0)+IF(LEFT(AH19,8)="Revenue|",-N(T19),0)+IF(LEFT(AI19,8)="Revenue|",N(AF19),0)+IF(LEFT(AJ19,8)="Revenue|",N(AC19),0)+IF(LEFT(AK19,8)="Revenue|",N(U19),0)</f>
        <v/>
      </c>
      <c r="AM19" s="23">
        <f>IF(LEFT(AG19,5)="COGS|",N(S19),0)+IF(LEFT(AH19,5)="COGS|",N(T19),0)+IF(LEFT(AI19,5)="COGS|",-N(AF19),0)+IF(LEFT(AJ19,5)="COGS|",-N(AC19),0)+IF(LEFT(AK19,5)="COGS|",-N(U19),0)</f>
        <v/>
      </c>
      <c r="AN19" s="23">
        <f>IF(LEFT(AG19,8)="Expense|",N(S19),0)+IF(LEFT(AH19,8)="Expense|",N(T19),0)+IF(LEFT(AI19,8)="Expense|",-N(AF19),0)+IF(LEFT(AJ19,8)="Expense|",-N(AC19),0)+IF(LEFT(AK19,8)="Expense|",-N(U19),0)</f>
        <v/>
      </c>
      <c r="AO19" s="23">
        <f>IF(ISNUMBER(MATCH(AG19,{"Expense|employee","Expense|general_admin","Expense|marketing","Expense|utilities","Expense|other_operating"},0)),N(S19),0)+IF(ISNUMBER(MATCH(AH19,{"Expense|employee","Expense|general_admin","Expense|marketing","Expense|utilities","Expense|other_operating"},0)),N(T19),0)+IF(ISNUMBER(MATCH(AI19,{"Expense|employee","Expense|general_admin","Expense|marketing","Expense|utilities","Expense|other_operating"},0)),-N(AF19),0)+IF(ISNUMBER(MATCH(AJ19,{"Expense|employee","Expense|general_admin","Expense|marketing","Expense|utilities","Expense|other_operating"},0)),-N(AC19),0)+IF(ISNUMBER(MATCH(AK19,{"Expense|employee","Expense|general_admin","Expense|marketing","Expense|utilities","Expense|other_operating"},0)),-N(U19),0)</f>
        <v/>
      </c>
      <c r="AP19" s="23">
        <f>IF(AG19="Liability|payable",-N(S19),0)+IF(AH19="Liability|payable",-N(T19),0)+IF(AI19="Liability|payable",N(AF19),0)+IF(AJ19="Liability|payable",N(AC19),0)+IF(AK19="Liability|payable",N(U19),0)</f>
        <v/>
      </c>
      <c r="AQ19" s="23">
        <f>IF(AG19="Liability|accrued",-N(S19),0)+IF(AH19="Liability|accrued",-N(T19),0)+IF(AI19="Liability|accrued",N(AF19),0)+IF(AJ19="Liability|accrued",N(AC19),0)+IF(AK19="Liability|accrued",N(U19),0)</f>
        <v/>
      </c>
      <c r="AR19" s="23">
        <f>IF(AND(N(S19)&lt;&gt;0,AG19=""),1,0)+IF(AND(N(T19)&lt;&gt;0,AH19=""),1,0)+IF(AND(N(AF19)&lt;&gt;0,AI19=""),1,0)+IF(AND(N(AC19)&lt;&gt;0,AJ19=""),1,0)+IF(AND(N(U19)&lt;&gt;0,AK19=""),1,0)</f>
        <v/>
      </c>
    </row>
    <row r="20">
      <c r="A20" s="19" t="n"/>
      <c r="B20" s="14" t="n"/>
      <c r="C20" s="14" t="n"/>
      <c r="D20" s="14" t="n"/>
      <c r="E20" s="14" t="n"/>
      <c r="F20" s="14" t="n"/>
      <c r="G20" s="14" t="n"/>
      <c r="H20" s="20" t="n"/>
      <c r="I20" s="14" t="n"/>
      <c r="J20" s="14" t="n"/>
      <c r="K20" s="20" t="n"/>
      <c r="L20" s="14" t="n"/>
      <c r="M20" s="14" t="n"/>
      <c r="N20" s="14" t="n"/>
      <c r="O20" s="14" t="n"/>
      <c r="P20" s="14" t="n"/>
      <c r="Q20" s="14" t="n"/>
      <c r="R20" s="14" t="n"/>
      <c r="S20" s="21">
        <f>ROUND(ABS(N(G20))*N(H20),2)</f>
        <v/>
      </c>
      <c r="T20" s="21">
        <f>IF(B20="Receipt",ROUND(S20*IFERROR(VLOOKUP(Q20,'Tax Codes'!$A$5:$E$300,5,FALSE),0),2),0)</f>
        <v/>
      </c>
      <c r="U20" s="21">
        <f>IF(B20="Receipt",ROUND(S20*IFERROR(VLOOKUP(R20,'Tax Codes'!$A$5:$E$300,5,FALSE),0),2),0)</f>
        <v/>
      </c>
      <c r="V20" s="16">
        <f>INDEX('Chart of Accounts'!$A$5:$A$3000,MATCH("vat_input",'Chart of Accounts'!$F$5:$F$3000,0))</f>
        <v/>
      </c>
      <c r="W20" s="16">
        <f>INDEX('Chart of Accounts'!$A$5:$A$3000,MATCH("wht_payable",'Chart of Accounts'!$F$5:$F$3000,0))</f>
        <v/>
      </c>
      <c r="X20" s="16">
        <f>IF(M20="",INDEX('Chart of Accounts'!$A$5:$A$3000,MATCH("bank",'Chart of Accounts'!$F$5:$F$3000,0)),M20&amp;"")</f>
        <v/>
      </c>
      <c r="Y20" s="16">
        <f>IF(N20="",INDEX('Chart of Accounts'!$A$5:$A$3000,MATCH("ap",'Chart of Accounts'!$F$5:$F$3000,0)),N20&amp;"")</f>
        <v/>
      </c>
      <c r="Z20" s="16">
        <f>IF(O20="",INDEX('Chart of Accounts'!$A$5:$A$3000,MATCH("materials",'Chart of Accounts'!$F$5:$F$3000,0)),O20&amp;"")</f>
        <v/>
      </c>
      <c r="AA20" s="16">
        <f>IF(IFERROR(INDEX(Warehouses!$C$5:$C$1000,MATCH(C20,Warehouses!$A$5:$A$1000,0))&amp;"","")="",INDEX('Chart of Accounts'!$A$5:$A$3000,MATCH("inventory",'Chart of Accounts'!$F$5:$F$3000,0)),IFERROR(INDEX(Warehouses!$C$5:$C$1000,MATCH(C20,Warehouses!$A$5:$A$1000,0))&amp;"",""))</f>
        <v/>
      </c>
      <c r="AB20" s="16">
        <f>IF(IFERROR(INDEX(Warehouses!$C$5:$C$1000,MATCH(D20,Warehouses!$A$5:$A$1000,0))&amp;"","")="",INDEX('Chart of Accounts'!$A$5:$A$3000,MATCH("inventory",'Chart of Accounts'!$F$5:$F$3000,0)),IFERROR(INDEX(Warehouses!$C$5:$C$1000,MATCH(D20,Warehouses!$A$5:$A$1000,0))&amp;"",""))</f>
        <v/>
      </c>
      <c r="AC20" s="21">
        <f>IF(B20="Receipt",N(K20),0)</f>
        <v/>
      </c>
      <c r="AD20" s="16">
        <f>IF(B20="Receipt",AA20,IF(B20="Issue",Z20,IF(B20="Transfer",AB20,IF(N(G20)&gt;=0,AA20,INDEX('Chart of Accounts'!$A$5:$A$3000,MATCH("stock_adjust",'Chart of Accounts'!$F$5:$F$3000,0))))))</f>
        <v/>
      </c>
      <c r="AE20" s="16">
        <f>IF(B20="Receipt",Y20,IF(B20="Adjustment",IF(N(G20)&gt;=0,INDEX('Chart of Accounts'!$A$5:$A$3000,MATCH("stock_adjust",'Chart of Accounts'!$F$5:$F$3000,0)),AA20),AA20))</f>
        <v/>
      </c>
      <c r="AF20" s="21">
        <f>S20+T20-U20-AC20</f>
        <v/>
      </c>
      <c r="AG20" s="23">
        <f>IFERROR(INDEX('Chart of Accounts'!$C$5:$C$3000,MATCH(AD20&amp;"",'Chart of Accounts'!$A$5:$A$3000,0))&amp;"|"&amp;INDEX('Chart of Accounts'!$D$5:$D$3000,MATCH(AD20&amp;"",'Chart of Accounts'!$A$5:$A$3000,0)),"")</f>
        <v/>
      </c>
      <c r="AH20" s="23">
        <f>IFERROR(INDEX('Chart of Accounts'!$C$5:$C$3000,MATCH(V20&amp;"",'Chart of Accounts'!$A$5:$A$3000,0))&amp;"|"&amp;INDEX('Chart of Accounts'!$D$5:$D$3000,MATCH(V20&amp;"",'Chart of Accounts'!$A$5:$A$3000,0)),"")</f>
        <v/>
      </c>
      <c r="AI20" s="23">
        <f>IFERROR(INDEX('Chart of Accounts'!$C$5:$C$3000,MATCH(AE20&amp;"",'Chart of Accounts'!$A$5:$A$3000,0))&amp;"|"&amp;INDEX('Chart of Accounts'!$D$5:$D$3000,MATCH(AE20&amp;"",'Chart of Accounts'!$A$5:$A$3000,0)),"")</f>
        <v/>
      </c>
      <c r="AJ20" s="23">
        <f>IFERROR(INDEX('Chart of Accounts'!$C$5:$C$3000,MATCH(X20&amp;"",'Chart of Accounts'!$A$5:$A$3000,0))&amp;"|"&amp;INDEX('Chart of Accounts'!$D$5:$D$3000,MATCH(X20&amp;"",'Chart of Accounts'!$A$5:$A$3000,0)),"")</f>
        <v/>
      </c>
      <c r="AK20" s="23">
        <f>IFERROR(INDEX('Chart of Accounts'!$C$5:$C$3000,MATCH(W20&amp;"",'Chart of Accounts'!$A$5:$A$3000,0))&amp;"|"&amp;INDEX('Chart of Accounts'!$D$5:$D$3000,MATCH(W20&amp;"",'Chart of Accounts'!$A$5:$A$3000,0)),"")</f>
        <v/>
      </c>
      <c r="AL20" s="23">
        <f>IF(LEFT(AG20,8)="Revenue|",-N(S20),0)+IF(LEFT(AH20,8)="Revenue|",-N(T20),0)+IF(LEFT(AI20,8)="Revenue|",N(AF20),0)+IF(LEFT(AJ20,8)="Revenue|",N(AC20),0)+IF(LEFT(AK20,8)="Revenue|",N(U20),0)</f>
        <v/>
      </c>
      <c r="AM20" s="23">
        <f>IF(LEFT(AG20,5)="COGS|",N(S20),0)+IF(LEFT(AH20,5)="COGS|",N(T20),0)+IF(LEFT(AI20,5)="COGS|",-N(AF20),0)+IF(LEFT(AJ20,5)="COGS|",-N(AC20),0)+IF(LEFT(AK20,5)="COGS|",-N(U20),0)</f>
        <v/>
      </c>
      <c r="AN20" s="23">
        <f>IF(LEFT(AG20,8)="Expense|",N(S20),0)+IF(LEFT(AH20,8)="Expense|",N(T20),0)+IF(LEFT(AI20,8)="Expense|",-N(AF20),0)+IF(LEFT(AJ20,8)="Expense|",-N(AC20),0)+IF(LEFT(AK20,8)="Expense|",-N(U20),0)</f>
        <v/>
      </c>
      <c r="AO20" s="23">
        <f>IF(ISNUMBER(MATCH(AG20,{"Expense|employee","Expense|general_admin","Expense|marketing","Expense|utilities","Expense|other_operating"},0)),N(S20),0)+IF(ISNUMBER(MATCH(AH20,{"Expense|employee","Expense|general_admin","Expense|marketing","Expense|utilities","Expense|other_operating"},0)),N(T20),0)+IF(ISNUMBER(MATCH(AI20,{"Expense|employee","Expense|general_admin","Expense|marketing","Expense|utilities","Expense|other_operating"},0)),-N(AF20),0)+IF(ISNUMBER(MATCH(AJ20,{"Expense|employee","Expense|general_admin","Expense|marketing","Expense|utilities","Expense|other_operating"},0)),-N(AC20),0)+IF(ISNUMBER(MATCH(AK20,{"Expense|employee","Expense|general_admin","Expense|marketing","Expense|utilities","Expense|other_operating"},0)),-N(U20),0)</f>
        <v/>
      </c>
      <c r="AP20" s="23">
        <f>IF(AG20="Liability|payable",-N(S20),0)+IF(AH20="Liability|payable",-N(T20),0)+IF(AI20="Liability|payable",N(AF20),0)+IF(AJ20="Liability|payable",N(AC20),0)+IF(AK20="Liability|payable",N(U20),0)</f>
        <v/>
      </c>
      <c r="AQ20" s="23">
        <f>IF(AG20="Liability|accrued",-N(S20),0)+IF(AH20="Liability|accrued",-N(T20),0)+IF(AI20="Liability|accrued",N(AF20),0)+IF(AJ20="Liability|accrued",N(AC20),0)+IF(AK20="Liability|accrued",N(U20),0)</f>
        <v/>
      </c>
      <c r="AR20" s="23">
        <f>IF(AND(N(S20)&lt;&gt;0,AG20=""),1,0)+IF(AND(N(T20)&lt;&gt;0,AH20=""),1,0)+IF(AND(N(AF20)&lt;&gt;0,AI20=""),1,0)+IF(AND(N(AC20)&lt;&gt;0,AJ20=""),1,0)+IF(AND(N(U20)&lt;&gt;0,AK20=""),1,0)</f>
        <v/>
      </c>
    </row>
    <row r="21">
      <c r="A21" s="19" t="n"/>
      <c r="B21" s="14" t="n"/>
      <c r="C21" s="14" t="n"/>
      <c r="D21" s="14" t="n"/>
      <c r="E21" s="14" t="n"/>
      <c r="F21" s="14" t="n"/>
      <c r="G21" s="14" t="n"/>
      <c r="H21" s="20" t="n"/>
      <c r="I21" s="14" t="n"/>
      <c r="J21" s="14" t="n"/>
      <c r="K21" s="20" t="n"/>
      <c r="L21" s="14" t="n"/>
      <c r="M21" s="14" t="n"/>
      <c r="N21" s="14" t="n"/>
      <c r="O21" s="14" t="n"/>
      <c r="P21" s="14" t="n"/>
      <c r="Q21" s="14" t="n"/>
      <c r="R21" s="14" t="n"/>
      <c r="S21" s="21">
        <f>ROUND(ABS(N(G21))*N(H21),2)</f>
        <v/>
      </c>
      <c r="T21" s="21">
        <f>IF(B21="Receipt",ROUND(S21*IFERROR(VLOOKUP(Q21,'Tax Codes'!$A$5:$E$300,5,FALSE),0),2),0)</f>
        <v/>
      </c>
      <c r="U21" s="21">
        <f>IF(B21="Receipt",ROUND(S21*IFERROR(VLOOKUP(R21,'Tax Codes'!$A$5:$E$300,5,FALSE),0),2),0)</f>
        <v/>
      </c>
      <c r="V21" s="16">
        <f>INDEX('Chart of Accounts'!$A$5:$A$3000,MATCH("vat_input",'Chart of Accounts'!$F$5:$F$3000,0))</f>
        <v/>
      </c>
      <c r="W21" s="16">
        <f>INDEX('Chart of Accounts'!$A$5:$A$3000,MATCH("wht_payable",'Chart of Accounts'!$F$5:$F$3000,0))</f>
        <v/>
      </c>
      <c r="X21" s="16">
        <f>IF(M21="",INDEX('Chart of Accounts'!$A$5:$A$3000,MATCH("bank",'Chart of Accounts'!$F$5:$F$3000,0)),M21&amp;"")</f>
        <v/>
      </c>
      <c r="Y21" s="16">
        <f>IF(N21="",INDEX('Chart of Accounts'!$A$5:$A$3000,MATCH("ap",'Chart of Accounts'!$F$5:$F$3000,0)),N21&amp;"")</f>
        <v/>
      </c>
      <c r="Z21" s="16">
        <f>IF(O21="",INDEX('Chart of Accounts'!$A$5:$A$3000,MATCH("materials",'Chart of Accounts'!$F$5:$F$3000,0)),O21&amp;"")</f>
        <v/>
      </c>
      <c r="AA21" s="16">
        <f>IF(IFERROR(INDEX(Warehouses!$C$5:$C$1000,MATCH(C21,Warehouses!$A$5:$A$1000,0))&amp;"","")="",INDEX('Chart of Accounts'!$A$5:$A$3000,MATCH("inventory",'Chart of Accounts'!$F$5:$F$3000,0)),IFERROR(INDEX(Warehouses!$C$5:$C$1000,MATCH(C21,Warehouses!$A$5:$A$1000,0))&amp;"",""))</f>
        <v/>
      </c>
      <c r="AB21" s="16">
        <f>IF(IFERROR(INDEX(Warehouses!$C$5:$C$1000,MATCH(D21,Warehouses!$A$5:$A$1000,0))&amp;"","")="",INDEX('Chart of Accounts'!$A$5:$A$3000,MATCH("inventory",'Chart of Accounts'!$F$5:$F$3000,0)),IFERROR(INDEX(Warehouses!$C$5:$C$1000,MATCH(D21,Warehouses!$A$5:$A$1000,0))&amp;"",""))</f>
        <v/>
      </c>
      <c r="AC21" s="21">
        <f>IF(B21="Receipt",N(K21),0)</f>
        <v/>
      </c>
      <c r="AD21" s="16">
        <f>IF(B21="Receipt",AA21,IF(B21="Issue",Z21,IF(B21="Transfer",AB21,IF(N(G21)&gt;=0,AA21,INDEX('Chart of Accounts'!$A$5:$A$3000,MATCH("stock_adjust",'Chart of Accounts'!$F$5:$F$3000,0))))))</f>
        <v/>
      </c>
      <c r="AE21" s="16">
        <f>IF(B21="Receipt",Y21,IF(B21="Adjustment",IF(N(G21)&gt;=0,INDEX('Chart of Accounts'!$A$5:$A$3000,MATCH("stock_adjust",'Chart of Accounts'!$F$5:$F$3000,0)),AA21),AA21))</f>
        <v/>
      </c>
      <c r="AF21" s="21">
        <f>S21+T21-U21-AC21</f>
        <v/>
      </c>
      <c r="AG21" s="23">
        <f>IFERROR(INDEX('Chart of Accounts'!$C$5:$C$3000,MATCH(AD21&amp;"",'Chart of Accounts'!$A$5:$A$3000,0))&amp;"|"&amp;INDEX('Chart of Accounts'!$D$5:$D$3000,MATCH(AD21&amp;"",'Chart of Accounts'!$A$5:$A$3000,0)),"")</f>
        <v/>
      </c>
      <c r="AH21" s="23">
        <f>IFERROR(INDEX('Chart of Accounts'!$C$5:$C$3000,MATCH(V21&amp;"",'Chart of Accounts'!$A$5:$A$3000,0))&amp;"|"&amp;INDEX('Chart of Accounts'!$D$5:$D$3000,MATCH(V21&amp;"",'Chart of Accounts'!$A$5:$A$3000,0)),"")</f>
        <v/>
      </c>
      <c r="AI21" s="23">
        <f>IFERROR(INDEX('Chart of Accounts'!$C$5:$C$3000,MATCH(AE21&amp;"",'Chart of Accounts'!$A$5:$A$3000,0))&amp;"|"&amp;INDEX('Chart of Accounts'!$D$5:$D$3000,MATCH(AE21&amp;"",'Chart of Accounts'!$A$5:$A$3000,0)),"")</f>
        <v/>
      </c>
      <c r="AJ21" s="23">
        <f>IFERROR(INDEX('Chart of Accounts'!$C$5:$C$3000,MATCH(X21&amp;"",'Chart of Accounts'!$A$5:$A$3000,0))&amp;"|"&amp;INDEX('Chart of Accounts'!$D$5:$D$3000,MATCH(X21&amp;"",'Chart of Accounts'!$A$5:$A$3000,0)),"")</f>
        <v/>
      </c>
      <c r="AK21" s="23">
        <f>IFERROR(INDEX('Chart of Accounts'!$C$5:$C$3000,MATCH(W21&amp;"",'Chart of Accounts'!$A$5:$A$3000,0))&amp;"|"&amp;INDEX('Chart of Accounts'!$D$5:$D$3000,MATCH(W21&amp;"",'Chart of Accounts'!$A$5:$A$3000,0)),"")</f>
        <v/>
      </c>
      <c r="AL21" s="23">
        <f>IF(LEFT(AG21,8)="Revenue|",-N(S21),0)+IF(LEFT(AH21,8)="Revenue|",-N(T21),0)+IF(LEFT(AI21,8)="Revenue|",N(AF21),0)+IF(LEFT(AJ21,8)="Revenue|",N(AC21),0)+IF(LEFT(AK21,8)="Revenue|",N(U21),0)</f>
        <v/>
      </c>
      <c r="AM21" s="23">
        <f>IF(LEFT(AG21,5)="COGS|",N(S21),0)+IF(LEFT(AH21,5)="COGS|",N(T21),0)+IF(LEFT(AI21,5)="COGS|",-N(AF21),0)+IF(LEFT(AJ21,5)="COGS|",-N(AC21),0)+IF(LEFT(AK21,5)="COGS|",-N(U21),0)</f>
        <v/>
      </c>
      <c r="AN21" s="23">
        <f>IF(LEFT(AG21,8)="Expense|",N(S21),0)+IF(LEFT(AH21,8)="Expense|",N(T21),0)+IF(LEFT(AI21,8)="Expense|",-N(AF21),0)+IF(LEFT(AJ21,8)="Expense|",-N(AC21),0)+IF(LEFT(AK21,8)="Expense|",-N(U21),0)</f>
        <v/>
      </c>
      <c r="AO21" s="23">
        <f>IF(ISNUMBER(MATCH(AG21,{"Expense|employee","Expense|general_admin","Expense|marketing","Expense|utilities","Expense|other_operating"},0)),N(S21),0)+IF(ISNUMBER(MATCH(AH21,{"Expense|employee","Expense|general_admin","Expense|marketing","Expense|utilities","Expense|other_operating"},0)),N(T21),0)+IF(ISNUMBER(MATCH(AI21,{"Expense|employee","Expense|general_admin","Expense|marketing","Expense|utilities","Expense|other_operating"},0)),-N(AF21),0)+IF(ISNUMBER(MATCH(AJ21,{"Expense|employee","Expense|general_admin","Expense|marketing","Expense|utilities","Expense|other_operating"},0)),-N(AC21),0)+IF(ISNUMBER(MATCH(AK21,{"Expense|employee","Expense|general_admin","Expense|marketing","Expense|utilities","Expense|other_operating"},0)),-N(U21),0)</f>
        <v/>
      </c>
      <c r="AP21" s="23">
        <f>IF(AG21="Liability|payable",-N(S21),0)+IF(AH21="Liability|payable",-N(T21),0)+IF(AI21="Liability|payable",N(AF21),0)+IF(AJ21="Liability|payable",N(AC21),0)+IF(AK21="Liability|payable",N(U21),0)</f>
        <v/>
      </c>
      <c r="AQ21" s="23">
        <f>IF(AG21="Liability|accrued",-N(S21),0)+IF(AH21="Liability|accrued",-N(T21),0)+IF(AI21="Liability|accrued",N(AF21),0)+IF(AJ21="Liability|accrued",N(AC21),0)+IF(AK21="Liability|accrued",N(U21),0)</f>
        <v/>
      </c>
      <c r="AR21" s="23">
        <f>IF(AND(N(S21)&lt;&gt;0,AG21=""),1,0)+IF(AND(N(T21)&lt;&gt;0,AH21=""),1,0)+IF(AND(N(AF21)&lt;&gt;0,AI21=""),1,0)+IF(AND(N(AC21)&lt;&gt;0,AJ21=""),1,0)+IF(AND(N(U21)&lt;&gt;0,AK21=""),1,0)</f>
        <v/>
      </c>
    </row>
    <row r="22">
      <c r="A22" s="19" t="n"/>
      <c r="B22" s="14" t="n"/>
      <c r="C22" s="14" t="n"/>
      <c r="D22" s="14" t="n"/>
      <c r="E22" s="14" t="n"/>
      <c r="F22" s="14" t="n"/>
      <c r="G22" s="14" t="n"/>
      <c r="H22" s="20" t="n"/>
      <c r="I22" s="14" t="n"/>
      <c r="J22" s="14" t="n"/>
      <c r="K22" s="20" t="n"/>
      <c r="L22" s="14" t="n"/>
      <c r="M22" s="14" t="n"/>
      <c r="N22" s="14" t="n"/>
      <c r="O22" s="14" t="n"/>
      <c r="P22" s="14" t="n"/>
      <c r="Q22" s="14" t="n"/>
      <c r="R22" s="14" t="n"/>
      <c r="S22" s="21">
        <f>ROUND(ABS(N(G22))*N(H22),2)</f>
        <v/>
      </c>
      <c r="T22" s="21">
        <f>IF(B22="Receipt",ROUND(S22*IFERROR(VLOOKUP(Q22,'Tax Codes'!$A$5:$E$300,5,FALSE),0),2),0)</f>
        <v/>
      </c>
      <c r="U22" s="21">
        <f>IF(B22="Receipt",ROUND(S22*IFERROR(VLOOKUP(R22,'Tax Codes'!$A$5:$E$300,5,FALSE),0),2),0)</f>
        <v/>
      </c>
      <c r="V22" s="16">
        <f>INDEX('Chart of Accounts'!$A$5:$A$3000,MATCH("vat_input",'Chart of Accounts'!$F$5:$F$3000,0))</f>
        <v/>
      </c>
      <c r="W22" s="16">
        <f>INDEX('Chart of Accounts'!$A$5:$A$3000,MATCH("wht_payable",'Chart of Accounts'!$F$5:$F$3000,0))</f>
        <v/>
      </c>
      <c r="X22" s="16">
        <f>IF(M22="",INDEX('Chart of Accounts'!$A$5:$A$3000,MATCH("bank",'Chart of Accounts'!$F$5:$F$3000,0)),M22&amp;"")</f>
        <v/>
      </c>
      <c r="Y22" s="16">
        <f>IF(N22="",INDEX('Chart of Accounts'!$A$5:$A$3000,MATCH("ap",'Chart of Accounts'!$F$5:$F$3000,0)),N22&amp;"")</f>
        <v/>
      </c>
      <c r="Z22" s="16">
        <f>IF(O22="",INDEX('Chart of Accounts'!$A$5:$A$3000,MATCH("materials",'Chart of Accounts'!$F$5:$F$3000,0)),O22&amp;"")</f>
        <v/>
      </c>
      <c r="AA22" s="16">
        <f>IF(IFERROR(INDEX(Warehouses!$C$5:$C$1000,MATCH(C22,Warehouses!$A$5:$A$1000,0))&amp;"","")="",INDEX('Chart of Accounts'!$A$5:$A$3000,MATCH("inventory",'Chart of Accounts'!$F$5:$F$3000,0)),IFERROR(INDEX(Warehouses!$C$5:$C$1000,MATCH(C22,Warehouses!$A$5:$A$1000,0))&amp;"",""))</f>
        <v/>
      </c>
      <c r="AB22" s="16">
        <f>IF(IFERROR(INDEX(Warehouses!$C$5:$C$1000,MATCH(D22,Warehouses!$A$5:$A$1000,0))&amp;"","")="",INDEX('Chart of Accounts'!$A$5:$A$3000,MATCH("inventory",'Chart of Accounts'!$F$5:$F$3000,0)),IFERROR(INDEX(Warehouses!$C$5:$C$1000,MATCH(D22,Warehouses!$A$5:$A$1000,0))&amp;"",""))</f>
        <v/>
      </c>
      <c r="AC22" s="21">
        <f>IF(B22="Receipt",N(K22),0)</f>
        <v/>
      </c>
      <c r="AD22" s="16">
        <f>IF(B22="Receipt",AA22,IF(B22="Issue",Z22,IF(B22="Transfer",AB22,IF(N(G22)&gt;=0,AA22,INDEX('Chart of Accounts'!$A$5:$A$3000,MATCH("stock_adjust",'Chart of Accounts'!$F$5:$F$3000,0))))))</f>
        <v/>
      </c>
      <c r="AE22" s="16">
        <f>IF(B22="Receipt",Y22,IF(B22="Adjustment",IF(N(G22)&gt;=0,INDEX('Chart of Accounts'!$A$5:$A$3000,MATCH("stock_adjust",'Chart of Accounts'!$F$5:$F$3000,0)),AA22),AA22))</f>
        <v/>
      </c>
      <c r="AF22" s="21">
        <f>S22+T22-U22-AC22</f>
        <v/>
      </c>
      <c r="AG22" s="23">
        <f>IFERROR(INDEX('Chart of Accounts'!$C$5:$C$3000,MATCH(AD22&amp;"",'Chart of Accounts'!$A$5:$A$3000,0))&amp;"|"&amp;INDEX('Chart of Accounts'!$D$5:$D$3000,MATCH(AD22&amp;"",'Chart of Accounts'!$A$5:$A$3000,0)),"")</f>
        <v/>
      </c>
      <c r="AH22" s="23">
        <f>IFERROR(INDEX('Chart of Accounts'!$C$5:$C$3000,MATCH(V22&amp;"",'Chart of Accounts'!$A$5:$A$3000,0))&amp;"|"&amp;INDEX('Chart of Accounts'!$D$5:$D$3000,MATCH(V22&amp;"",'Chart of Accounts'!$A$5:$A$3000,0)),"")</f>
        <v/>
      </c>
      <c r="AI22" s="23">
        <f>IFERROR(INDEX('Chart of Accounts'!$C$5:$C$3000,MATCH(AE22&amp;"",'Chart of Accounts'!$A$5:$A$3000,0))&amp;"|"&amp;INDEX('Chart of Accounts'!$D$5:$D$3000,MATCH(AE22&amp;"",'Chart of Accounts'!$A$5:$A$3000,0)),"")</f>
        <v/>
      </c>
      <c r="AJ22" s="23">
        <f>IFERROR(INDEX('Chart of Accounts'!$C$5:$C$3000,MATCH(X22&amp;"",'Chart of Accounts'!$A$5:$A$3000,0))&amp;"|"&amp;INDEX('Chart of Accounts'!$D$5:$D$3000,MATCH(X22&amp;"",'Chart of Accounts'!$A$5:$A$3000,0)),"")</f>
        <v/>
      </c>
      <c r="AK22" s="23">
        <f>IFERROR(INDEX('Chart of Accounts'!$C$5:$C$3000,MATCH(W22&amp;"",'Chart of Accounts'!$A$5:$A$3000,0))&amp;"|"&amp;INDEX('Chart of Accounts'!$D$5:$D$3000,MATCH(W22&amp;"",'Chart of Accounts'!$A$5:$A$3000,0)),"")</f>
        <v/>
      </c>
      <c r="AL22" s="23">
        <f>IF(LEFT(AG22,8)="Revenue|",-N(S22),0)+IF(LEFT(AH22,8)="Revenue|",-N(T22),0)+IF(LEFT(AI22,8)="Revenue|",N(AF22),0)+IF(LEFT(AJ22,8)="Revenue|",N(AC22),0)+IF(LEFT(AK22,8)="Revenue|",N(U22),0)</f>
        <v/>
      </c>
      <c r="AM22" s="23">
        <f>IF(LEFT(AG22,5)="COGS|",N(S22),0)+IF(LEFT(AH22,5)="COGS|",N(T22),0)+IF(LEFT(AI22,5)="COGS|",-N(AF22),0)+IF(LEFT(AJ22,5)="COGS|",-N(AC22),0)+IF(LEFT(AK22,5)="COGS|",-N(U22),0)</f>
        <v/>
      </c>
      <c r="AN22" s="23">
        <f>IF(LEFT(AG22,8)="Expense|",N(S22),0)+IF(LEFT(AH22,8)="Expense|",N(T22),0)+IF(LEFT(AI22,8)="Expense|",-N(AF22),0)+IF(LEFT(AJ22,8)="Expense|",-N(AC22),0)+IF(LEFT(AK22,8)="Expense|",-N(U22),0)</f>
        <v/>
      </c>
      <c r="AO22" s="23">
        <f>IF(ISNUMBER(MATCH(AG22,{"Expense|employee","Expense|general_admin","Expense|marketing","Expense|utilities","Expense|other_operating"},0)),N(S22),0)+IF(ISNUMBER(MATCH(AH22,{"Expense|employee","Expense|general_admin","Expense|marketing","Expense|utilities","Expense|other_operating"},0)),N(T22),0)+IF(ISNUMBER(MATCH(AI22,{"Expense|employee","Expense|general_admin","Expense|marketing","Expense|utilities","Expense|other_operating"},0)),-N(AF22),0)+IF(ISNUMBER(MATCH(AJ22,{"Expense|employee","Expense|general_admin","Expense|marketing","Expense|utilities","Expense|other_operating"},0)),-N(AC22),0)+IF(ISNUMBER(MATCH(AK22,{"Expense|employee","Expense|general_admin","Expense|marketing","Expense|utilities","Expense|other_operating"},0)),-N(U22),0)</f>
        <v/>
      </c>
      <c r="AP22" s="23">
        <f>IF(AG22="Liability|payable",-N(S22),0)+IF(AH22="Liability|payable",-N(T22),0)+IF(AI22="Liability|payable",N(AF22),0)+IF(AJ22="Liability|payable",N(AC22),0)+IF(AK22="Liability|payable",N(U22),0)</f>
        <v/>
      </c>
      <c r="AQ22" s="23">
        <f>IF(AG22="Liability|accrued",-N(S22),0)+IF(AH22="Liability|accrued",-N(T22),0)+IF(AI22="Liability|accrued",N(AF22),0)+IF(AJ22="Liability|accrued",N(AC22),0)+IF(AK22="Liability|accrued",N(U22),0)</f>
        <v/>
      </c>
      <c r="AR22" s="23">
        <f>IF(AND(N(S22)&lt;&gt;0,AG22=""),1,0)+IF(AND(N(T22)&lt;&gt;0,AH22=""),1,0)+IF(AND(N(AF22)&lt;&gt;0,AI22=""),1,0)+IF(AND(N(AC22)&lt;&gt;0,AJ22=""),1,0)+IF(AND(N(U22)&lt;&gt;0,AK22=""),1,0)</f>
        <v/>
      </c>
    </row>
    <row r="23">
      <c r="A23" s="19" t="n"/>
      <c r="B23" s="14" t="n"/>
      <c r="C23" s="14" t="n"/>
      <c r="D23" s="14" t="n"/>
      <c r="E23" s="14" t="n"/>
      <c r="F23" s="14" t="n"/>
      <c r="G23" s="14" t="n"/>
      <c r="H23" s="20" t="n"/>
      <c r="I23" s="14" t="n"/>
      <c r="J23" s="14" t="n"/>
      <c r="K23" s="20" t="n"/>
      <c r="L23" s="14" t="n"/>
      <c r="M23" s="14" t="n"/>
      <c r="N23" s="14" t="n"/>
      <c r="O23" s="14" t="n"/>
      <c r="P23" s="14" t="n"/>
      <c r="Q23" s="14" t="n"/>
      <c r="R23" s="14" t="n"/>
      <c r="S23" s="21">
        <f>ROUND(ABS(N(G23))*N(H23),2)</f>
        <v/>
      </c>
      <c r="T23" s="21">
        <f>IF(B23="Receipt",ROUND(S23*IFERROR(VLOOKUP(Q23,'Tax Codes'!$A$5:$E$300,5,FALSE),0),2),0)</f>
        <v/>
      </c>
      <c r="U23" s="21">
        <f>IF(B23="Receipt",ROUND(S23*IFERROR(VLOOKUP(R23,'Tax Codes'!$A$5:$E$300,5,FALSE),0),2),0)</f>
        <v/>
      </c>
      <c r="V23" s="16">
        <f>INDEX('Chart of Accounts'!$A$5:$A$3000,MATCH("vat_input",'Chart of Accounts'!$F$5:$F$3000,0))</f>
        <v/>
      </c>
      <c r="W23" s="16">
        <f>INDEX('Chart of Accounts'!$A$5:$A$3000,MATCH("wht_payable",'Chart of Accounts'!$F$5:$F$3000,0))</f>
        <v/>
      </c>
      <c r="X23" s="16">
        <f>IF(M23="",INDEX('Chart of Accounts'!$A$5:$A$3000,MATCH("bank",'Chart of Accounts'!$F$5:$F$3000,0)),M23&amp;"")</f>
        <v/>
      </c>
      <c r="Y23" s="16">
        <f>IF(N23="",INDEX('Chart of Accounts'!$A$5:$A$3000,MATCH("ap",'Chart of Accounts'!$F$5:$F$3000,0)),N23&amp;"")</f>
        <v/>
      </c>
      <c r="Z23" s="16">
        <f>IF(O23="",INDEX('Chart of Accounts'!$A$5:$A$3000,MATCH("materials",'Chart of Accounts'!$F$5:$F$3000,0)),O23&amp;"")</f>
        <v/>
      </c>
      <c r="AA23" s="16">
        <f>IF(IFERROR(INDEX(Warehouses!$C$5:$C$1000,MATCH(C23,Warehouses!$A$5:$A$1000,0))&amp;"","")="",INDEX('Chart of Accounts'!$A$5:$A$3000,MATCH("inventory",'Chart of Accounts'!$F$5:$F$3000,0)),IFERROR(INDEX(Warehouses!$C$5:$C$1000,MATCH(C23,Warehouses!$A$5:$A$1000,0))&amp;"",""))</f>
        <v/>
      </c>
      <c r="AB23" s="16">
        <f>IF(IFERROR(INDEX(Warehouses!$C$5:$C$1000,MATCH(D23,Warehouses!$A$5:$A$1000,0))&amp;"","")="",INDEX('Chart of Accounts'!$A$5:$A$3000,MATCH("inventory",'Chart of Accounts'!$F$5:$F$3000,0)),IFERROR(INDEX(Warehouses!$C$5:$C$1000,MATCH(D23,Warehouses!$A$5:$A$1000,0))&amp;"",""))</f>
        <v/>
      </c>
      <c r="AC23" s="21">
        <f>IF(B23="Receipt",N(K23),0)</f>
        <v/>
      </c>
      <c r="AD23" s="16">
        <f>IF(B23="Receipt",AA23,IF(B23="Issue",Z23,IF(B23="Transfer",AB23,IF(N(G23)&gt;=0,AA23,INDEX('Chart of Accounts'!$A$5:$A$3000,MATCH("stock_adjust",'Chart of Accounts'!$F$5:$F$3000,0))))))</f>
        <v/>
      </c>
      <c r="AE23" s="16">
        <f>IF(B23="Receipt",Y23,IF(B23="Adjustment",IF(N(G23)&gt;=0,INDEX('Chart of Accounts'!$A$5:$A$3000,MATCH("stock_adjust",'Chart of Accounts'!$F$5:$F$3000,0)),AA23),AA23))</f>
        <v/>
      </c>
      <c r="AF23" s="21">
        <f>S23+T23-U23-AC23</f>
        <v/>
      </c>
      <c r="AG23" s="23">
        <f>IFERROR(INDEX('Chart of Accounts'!$C$5:$C$3000,MATCH(AD23&amp;"",'Chart of Accounts'!$A$5:$A$3000,0))&amp;"|"&amp;INDEX('Chart of Accounts'!$D$5:$D$3000,MATCH(AD23&amp;"",'Chart of Accounts'!$A$5:$A$3000,0)),"")</f>
        <v/>
      </c>
      <c r="AH23" s="23">
        <f>IFERROR(INDEX('Chart of Accounts'!$C$5:$C$3000,MATCH(V23&amp;"",'Chart of Accounts'!$A$5:$A$3000,0))&amp;"|"&amp;INDEX('Chart of Accounts'!$D$5:$D$3000,MATCH(V23&amp;"",'Chart of Accounts'!$A$5:$A$3000,0)),"")</f>
        <v/>
      </c>
      <c r="AI23" s="23">
        <f>IFERROR(INDEX('Chart of Accounts'!$C$5:$C$3000,MATCH(AE23&amp;"",'Chart of Accounts'!$A$5:$A$3000,0))&amp;"|"&amp;INDEX('Chart of Accounts'!$D$5:$D$3000,MATCH(AE23&amp;"",'Chart of Accounts'!$A$5:$A$3000,0)),"")</f>
        <v/>
      </c>
      <c r="AJ23" s="23">
        <f>IFERROR(INDEX('Chart of Accounts'!$C$5:$C$3000,MATCH(X23&amp;"",'Chart of Accounts'!$A$5:$A$3000,0))&amp;"|"&amp;INDEX('Chart of Accounts'!$D$5:$D$3000,MATCH(X23&amp;"",'Chart of Accounts'!$A$5:$A$3000,0)),"")</f>
        <v/>
      </c>
      <c r="AK23" s="23">
        <f>IFERROR(INDEX('Chart of Accounts'!$C$5:$C$3000,MATCH(W23&amp;"",'Chart of Accounts'!$A$5:$A$3000,0))&amp;"|"&amp;INDEX('Chart of Accounts'!$D$5:$D$3000,MATCH(W23&amp;"",'Chart of Accounts'!$A$5:$A$3000,0)),"")</f>
        <v/>
      </c>
      <c r="AL23" s="23">
        <f>IF(LEFT(AG23,8)="Revenue|",-N(S23),0)+IF(LEFT(AH23,8)="Revenue|",-N(T23),0)+IF(LEFT(AI23,8)="Revenue|",N(AF23),0)+IF(LEFT(AJ23,8)="Revenue|",N(AC23),0)+IF(LEFT(AK23,8)="Revenue|",N(U23),0)</f>
        <v/>
      </c>
      <c r="AM23" s="23">
        <f>IF(LEFT(AG23,5)="COGS|",N(S23),0)+IF(LEFT(AH23,5)="COGS|",N(T23),0)+IF(LEFT(AI23,5)="COGS|",-N(AF23),0)+IF(LEFT(AJ23,5)="COGS|",-N(AC23),0)+IF(LEFT(AK23,5)="COGS|",-N(U23),0)</f>
        <v/>
      </c>
      <c r="AN23" s="23">
        <f>IF(LEFT(AG23,8)="Expense|",N(S23),0)+IF(LEFT(AH23,8)="Expense|",N(T23),0)+IF(LEFT(AI23,8)="Expense|",-N(AF23),0)+IF(LEFT(AJ23,8)="Expense|",-N(AC23),0)+IF(LEFT(AK23,8)="Expense|",-N(U23),0)</f>
        <v/>
      </c>
      <c r="AO23" s="23">
        <f>IF(ISNUMBER(MATCH(AG23,{"Expense|employee","Expense|general_admin","Expense|marketing","Expense|utilities","Expense|other_operating"},0)),N(S23),0)+IF(ISNUMBER(MATCH(AH23,{"Expense|employee","Expense|general_admin","Expense|marketing","Expense|utilities","Expense|other_operating"},0)),N(T23),0)+IF(ISNUMBER(MATCH(AI23,{"Expense|employee","Expense|general_admin","Expense|marketing","Expense|utilities","Expense|other_operating"},0)),-N(AF23),0)+IF(ISNUMBER(MATCH(AJ23,{"Expense|employee","Expense|general_admin","Expense|marketing","Expense|utilities","Expense|other_operating"},0)),-N(AC23),0)+IF(ISNUMBER(MATCH(AK23,{"Expense|employee","Expense|general_admin","Expense|marketing","Expense|utilities","Expense|other_operating"},0)),-N(U23),0)</f>
        <v/>
      </c>
      <c r="AP23" s="23">
        <f>IF(AG23="Liability|payable",-N(S23),0)+IF(AH23="Liability|payable",-N(T23),0)+IF(AI23="Liability|payable",N(AF23),0)+IF(AJ23="Liability|payable",N(AC23),0)+IF(AK23="Liability|payable",N(U23),0)</f>
        <v/>
      </c>
      <c r="AQ23" s="23">
        <f>IF(AG23="Liability|accrued",-N(S23),0)+IF(AH23="Liability|accrued",-N(T23),0)+IF(AI23="Liability|accrued",N(AF23),0)+IF(AJ23="Liability|accrued",N(AC23),0)+IF(AK23="Liability|accrued",N(U23),0)</f>
        <v/>
      </c>
      <c r="AR23" s="23">
        <f>IF(AND(N(S23)&lt;&gt;0,AG23=""),1,0)+IF(AND(N(T23)&lt;&gt;0,AH23=""),1,0)+IF(AND(N(AF23)&lt;&gt;0,AI23=""),1,0)+IF(AND(N(AC23)&lt;&gt;0,AJ23=""),1,0)+IF(AND(N(U23)&lt;&gt;0,AK23=""),1,0)</f>
        <v/>
      </c>
    </row>
    <row r="24">
      <c r="A24" s="19" t="n"/>
      <c r="B24" s="14" t="n"/>
      <c r="C24" s="14" t="n"/>
      <c r="D24" s="14" t="n"/>
      <c r="E24" s="14" t="n"/>
      <c r="F24" s="14" t="n"/>
      <c r="G24" s="14" t="n"/>
      <c r="H24" s="20" t="n"/>
      <c r="I24" s="14" t="n"/>
      <c r="J24" s="14" t="n"/>
      <c r="K24" s="20" t="n"/>
      <c r="L24" s="14" t="n"/>
      <c r="M24" s="14" t="n"/>
      <c r="N24" s="14" t="n"/>
      <c r="O24" s="14" t="n"/>
      <c r="P24" s="14" t="n"/>
      <c r="Q24" s="14" t="n"/>
      <c r="R24" s="14" t="n"/>
      <c r="S24" s="21">
        <f>ROUND(ABS(N(G24))*N(H24),2)</f>
        <v/>
      </c>
      <c r="T24" s="21">
        <f>IF(B24="Receipt",ROUND(S24*IFERROR(VLOOKUP(Q24,'Tax Codes'!$A$5:$E$300,5,FALSE),0),2),0)</f>
        <v/>
      </c>
      <c r="U24" s="21">
        <f>IF(B24="Receipt",ROUND(S24*IFERROR(VLOOKUP(R24,'Tax Codes'!$A$5:$E$300,5,FALSE),0),2),0)</f>
        <v/>
      </c>
      <c r="V24" s="16">
        <f>INDEX('Chart of Accounts'!$A$5:$A$3000,MATCH("vat_input",'Chart of Accounts'!$F$5:$F$3000,0))</f>
        <v/>
      </c>
      <c r="W24" s="16">
        <f>INDEX('Chart of Accounts'!$A$5:$A$3000,MATCH("wht_payable",'Chart of Accounts'!$F$5:$F$3000,0))</f>
        <v/>
      </c>
      <c r="X24" s="16">
        <f>IF(M24="",INDEX('Chart of Accounts'!$A$5:$A$3000,MATCH("bank",'Chart of Accounts'!$F$5:$F$3000,0)),M24&amp;"")</f>
        <v/>
      </c>
      <c r="Y24" s="16">
        <f>IF(N24="",INDEX('Chart of Accounts'!$A$5:$A$3000,MATCH("ap",'Chart of Accounts'!$F$5:$F$3000,0)),N24&amp;"")</f>
        <v/>
      </c>
      <c r="Z24" s="16">
        <f>IF(O24="",INDEX('Chart of Accounts'!$A$5:$A$3000,MATCH("materials",'Chart of Accounts'!$F$5:$F$3000,0)),O24&amp;"")</f>
        <v/>
      </c>
      <c r="AA24" s="16">
        <f>IF(IFERROR(INDEX(Warehouses!$C$5:$C$1000,MATCH(C24,Warehouses!$A$5:$A$1000,0))&amp;"","")="",INDEX('Chart of Accounts'!$A$5:$A$3000,MATCH("inventory",'Chart of Accounts'!$F$5:$F$3000,0)),IFERROR(INDEX(Warehouses!$C$5:$C$1000,MATCH(C24,Warehouses!$A$5:$A$1000,0))&amp;"",""))</f>
        <v/>
      </c>
      <c r="AB24" s="16">
        <f>IF(IFERROR(INDEX(Warehouses!$C$5:$C$1000,MATCH(D24,Warehouses!$A$5:$A$1000,0))&amp;"","")="",INDEX('Chart of Accounts'!$A$5:$A$3000,MATCH("inventory",'Chart of Accounts'!$F$5:$F$3000,0)),IFERROR(INDEX(Warehouses!$C$5:$C$1000,MATCH(D24,Warehouses!$A$5:$A$1000,0))&amp;"",""))</f>
        <v/>
      </c>
      <c r="AC24" s="21">
        <f>IF(B24="Receipt",N(K24),0)</f>
        <v/>
      </c>
      <c r="AD24" s="16">
        <f>IF(B24="Receipt",AA24,IF(B24="Issue",Z24,IF(B24="Transfer",AB24,IF(N(G24)&gt;=0,AA24,INDEX('Chart of Accounts'!$A$5:$A$3000,MATCH("stock_adjust",'Chart of Accounts'!$F$5:$F$3000,0))))))</f>
        <v/>
      </c>
      <c r="AE24" s="16">
        <f>IF(B24="Receipt",Y24,IF(B24="Adjustment",IF(N(G24)&gt;=0,INDEX('Chart of Accounts'!$A$5:$A$3000,MATCH("stock_adjust",'Chart of Accounts'!$F$5:$F$3000,0)),AA24),AA24))</f>
        <v/>
      </c>
      <c r="AF24" s="21">
        <f>S24+T24-U24-AC24</f>
        <v/>
      </c>
      <c r="AG24" s="23">
        <f>IFERROR(INDEX('Chart of Accounts'!$C$5:$C$3000,MATCH(AD24&amp;"",'Chart of Accounts'!$A$5:$A$3000,0))&amp;"|"&amp;INDEX('Chart of Accounts'!$D$5:$D$3000,MATCH(AD24&amp;"",'Chart of Accounts'!$A$5:$A$3000,0)),"")</f>
        <v/>
      </c>
      <c r="AH24" s="23">
        <f>IFERROR(INDEX('Chart of Accounts'!$C$5:$C$3000,MATCH(V24&amp;"",'Chart of Accounts'!$A$5:$A$3000,0))&amp;"|"&amp;INDEX('Chart of Accounts'!$D$5:$D$3000,MATCH(V24&amp;"",'Chart of Accounts'!$A$5:$A$3000,0)),"")</f>
        <v/>
      </c>
      <c r="AI24" s="23">
        <f>IFERROR(INDEX('Chart of Accounts'!$C$5:$C$3000,MATCH(AE24&amp;"",'Chart of Accounts'!$A$5:$A$3000,0))&amp;"|"&amp;INDEX('Chart of Accounts'!$D$5:$D$3000,MATCH(AE24&amp;"",'Chart of Accounts'!$A$5:$A$3000,0)),"")</f>
        <v/>
      </c>
      <c r="AJ24" s="23">
        <f>IFERROR(INDEX('Chart of Accounts'!$C$5:$C$3000,MATCH(X24&amp;"",'Chart of Accounts'!$A$5:$A$3000,0))&amp;"|"&amp;INDEX('Chart of Accounts'!$D$5:$D$3000,MATCH(X24&amp;"",'Chart of Accounts'!$A$5:$A$3000,0)),"")</f>
        <v/>
      </c>
      <c r="AK24" s="23">
        <f>IFERROR(INDEX('Chart of Accounts'!$C$5:$C$3000,MATCH(W24&amp;"",'Chart of Accounts'!$A$5:$A$3000,0))&amp;"|"&amp;INDEX('Chart of Accounts'!$D$5:$D$3000,MATCH(W24&amp;"",'Chart of Accounts'!$A$5:$A$3000,0)),"")</f>
        <v/>
      </c>
      <c r="AL24" s="23">
        <f>IF(LEFT(AG24,8)="Revenue|",-N(S24),0)+IF(LEFT(AH24,8)="Revenue|",-N(T24),0)+IF(LEFT(AI24,8)="Revenue|",N(AF24),0)+IF(LEFT(AJ24,8)="Revenue|",N(AC24),0)+IF(LEFT(AK24,8)="Revenue|",N(U24),0)</f>
        <v/>
      </c>
      <c r="AM24" s="23">
        <f>IF(LEFT(AG24,5)="COGS|",N(S24),0)+IF(LEFT(AH24,5)="COGS|",N(T24),0)+IF(LEFT(AI24,5)="COGS|",-N(AF24),0)+IF(LEFT(AJ24,5)="COGS|",-N(AC24),0)+IF(LEFT(AK24,5)="COGS|",-N(U24),0)</f>
        <v/>
      </c>
      <c r="AN24" s="23">
        <f>IF(LEFT(AG24,8)="Expense|",N(S24),0)+IF(LEFT(AH24,8)="Expense|",N(T24),0)+IF(LEFT(AI24,8)="Expense|",-N(AF24),0)+IF(LEFT(AJ24,8)="Expense|",-N(AC24),0)+IF(LEFT(AK24,8)="Expense|",-N(U24),0)</f>
        <v/>
      </c>
      <c r="AO24" s="23">
        <f>IF(ISNUMBER(MATCH(AG24,{"Expense|employee","Expense|general_admin","Expense|marketing","Expense|utilities","Expense|other_operating"},0)),N(S24),0)+IF(ISNUMBER(MATCH(AH24,{"Expense|employee","Expense|general_admin","Expense|marketing","Expense|utilities","Expense|other_operating"},0)),N(T24),0)+IF(ISNUMBER(MATCH(AI24,{"Expense|employee","Expense|general_admin","Expense|marketing","Expense|utilities","Expense|other_operating"},0)),-N(AF24),0)+IF(ISNUMBER(MATCH(AJ24,{"Expense|employee","Expense|general_admin","Expense|marketing","Expense|utilities","Expense|other_operating"},0)),-N(AC24),0)+IF(ISNUMBER(MATCH(AK24,{"Expense|employee","Expense|general_admin","Expense|marketing","Expense|utilities","Expense|other_operating"},0)),-N(U24),0)</f>
        <v/>
      </c>
      <c r="AP24" s="23">
        <f>IF(AG24="Liability|payable",-N(S24),0)+IF(AH24="Liability|payable",-N(T24),0)+IF(AI24="Liability|payable",N(AF24),0)+IF(AJ24="Liability|payable",N(AC24),0)+IF(AK24="Liability|payable",N(U24),0)</f>
        <v/>
      </c>
      <c r="AQ24" s="23">
        <f>IF(AG24="Liability|accrued",-N(S24),0)+IF(AH24="Liability|accrued",-N(T24),0)+IF(AI24="Liability|accrued",N(AF24),0)+IF(AJ24="Liability|accrued",N(AC24),0)+IF(AK24="Liability|accrued",N(U24),0)</f>
        <v/>
      </c>
      <c r="AR24" s="23">
        <f>IF(AND(N(S24)&lt;&gt;0,AG24=""),1,0)+IF(AND(N(T24)&lt;&gt;0,AH24=""),1,0)+IF(AND(N(AF24)&lt;&gt;0,AI24=""),1,0)+IF(AND(N(AC24)&lt;&gt;0,AJ24=""),1,0)+IF(AND(N(U24)&lt;&gt;0,AK24=""),1,0)</f>
        <v/>
      </c>
    </row>
    <row r="25">
      <c r="A25" s="19" t="n"/>
      <c r="B25" s="14" t="n"/>
      <c r="C25" s="14" t="n"/>
      <c r="D25" s="14" t="n"/>
      <c r="E25" s="14" t="n"/>
      <c r="F25" s="14" t="n"/>
      <c r="G25" s="14" t="n"/>
      <c r="H25" s="20" t="n"/>
      <c r="I25" s="14" t="n"/>
      <c r="J25" s="14" t="n"/>
      <c r="K25" s="20" t="n"/>
      <c r="L25" s="14" t="n"/>
      <c r="M25" s="14" t="n"/>
      <c r="N25" s="14" t="n"/>
      <c r="O25" s="14" t="n"/>
      <c r="P25" s="14" t="n"/>
      <c r="Q25" s="14" t="n"/>
      <c r="R25" s="14" t="n"/>
      <c r="S25" s="21">
        <f>ROUND(ABS(N(G25))*N(H25),2)</f>
        <v/>
      </c>
      <c r="T25" s="21">
        <f>IF(B25="Receipt",ROUND(S25*IFERROR(VLOOKUP(Q25,'Tax Codes'!$A$5:$E$300,5,FALSE),0),2),0)</f>
        <v/>
      </c>
      <c r="U25" s="21">
        <f>IF(B25="Receipt",ROUND(S25*IFERROR(VLOOKUP(R25,'Tax Codes'!$A$5:$E$300,5,FALSE),0),2),0)</f>
        <v/>
      </c>
      <c r="V25" s="16">
        <f>INDEX('Chart of Accounts'!$A$5:$A$3000,MATCH("vat_input",'Chart of Accounts'!$F$5:$F$3000,0))</f>
        <v/>
      </c>
      <c r="W25" s="16">
        <f>INDEX('Chart of Accounts'!$A$5:$A$3000,MATCH("wht_payable",'Chart of Accounts'!$F$5:$F$3000,0))</f>
        <v/>
      </c>
      <c r="X25" s="16">
        <f>IF(M25="",INDEX('Chart of Accounts'!$A$5:$A$3000,MATCH("bank",'Chart of Accounts'!$F$5:$F$3000,0)),M25&amp;"")</f>
        <v/>
      </c>
      <c r="Y25" s="16">
        <f>IF(N25="",INDEX('Chart of Accounts'!$A$5:$A$3000,MATCH("ap",'Chart of Accounts'!$F$5:$F$3000,0)),N25&amp;"")</f>
        <v/>
      </c>
      <c r="Z25" s="16">
        <f>IF(O25="",INDEX('Chart of Accounts'!$A$5:$A$3000,MATCH("materials",'Chart of Accounts'!$F$5:$F$3000,0)),O25&amp;"")</f>
        <v/>
      </c>
      <c r="AA25" s="16">
        <f>IF(IFERROR(INDEX(Warehouses!$C$5:$C$1000,MATCH(C25,Warehouses!$A$5:$A$1000,0))&amp;"","")="",INDEX('Chart of Accounts'!$A$5:$A$3000,MATCH("inventory",'Chart of Accounts'!$F$5:$F$3000,0)),IFERROR(INDEX(Warehouses!$C$5:$C$1000,MATCH(C25,Warehouses!$A$5:$A$1000,0))&amp;"",""))</f>
        <v/>
      </c>
      <c r="AB25" s="16">
        <f>IF(IFERROR(INDEX(Warehouses!$C$5:$C$1000,MATCH(D25,Warehouses!$A$5:$A$1000,0))&amp;"","")="",INDEX('Chart of Accounts'!$A$5:$A$3000,MATCH("inventory",'Chart of Accounts'!$F$5:$F$3000,0)),IFERROR(INDEX(Warehouses!$C$5:$C$1000,MATCH(D25,Warehouses!$A$5:$A$1000,0))&amp;"",""))</f>
        <v/>
      </c>
      <c r="AC25" s="21">
        <f>IF(B25="Receipt",N(K25),0)</f>
        <v/>
      </c>
      <c r="AD25" s="16">
        <f>IF(B25="Receipt",AA25,IF(B25="Issue",Z25,IF(B25="Transfer",AB25,IF(N(G25)&gt;=0,AA25,INDEX('Chart of Accounts'!$A$5:$A$3000,MATCH("stock_adjust",'Chart of Accounts'!$F$5:$F$3000,0))))))</f>
        <v/>
      </c>
      <c r="AE25" s="16">
        <f>IF(B25="Receipt",Y25,IF(B25="Adjustment",IF(N(G25)&gt;=0,INDEX('Chart of Accounts'!$A$5:$A$3000,MATCH("stock_adjust",'Chart of Accounts'!$F$5:$F$3000,0)),AA25),AA25))</f>
        <v/>
      </c>
      <c r="AF25" s="21">
        <f>S25+T25-U25-AC25</f>
        <v/>
      </c>
      <c r="AG25" s="23">
        <f>IFERROR(INDEX('Chart of Accounts'!$C$5:$C$3000,MATCH(AD25&amp;"",'Chart of Accounts'!$A$5:$A$3000,0))&amp;"|"&amp;INDEX('Chart of Accounts'!$D$5:$D$3000,MATCH(AD25&amp;"",'Chart of Accounts'!$A$5:$A$3000,0)),"")</f>
        <v/>
      </c>
      <c r="AH25" s="23">
        <f>IFERROR(INDEX('Chart of Accounts'!$C$5:$C$3000,MATCH(V25&amp;"",'Chart of Accounts'!$A$5:$A$3000,0))&amp;"|"&amp;INDEX('Chart of Accounts'!$D$5:$D$3000,MATCH(V25&amp;"",'Chart of Accounts'!$A$5:$A$3000,0)),"")</f>
        <v/>
      </c>
      <c r="AI25" s="23">
        <f>IFERROR(INDEX('Chart of Accounts'!$C$5:$C$3000,MATCH(AE25&amp;"",'Chart of Accounts'!$A$5:$A$3000,0))&amp;"|"&amp;INDEX('Chart of Accounts'!$D$5:$D$3000,MATCH(AE25&amp;"",'Chart of Accounts'!$A$5:$A$3000,0)),"")</f>
        <v/>
      </c>
      <c r="AJ25" s="23">
        <f>IFERROR(INDEX('Chart of Accounts'!$C$5:$C$3000,MATCH(X25&amp;"",'Chart of Accounts'!$A$5:$A$3000,0))&amp;"|"&amp;INDEX('Chart of Accounts'!$D$5:$D$3000,MATCH(X25&amp;"",'Chart of Accounts'!$A$5:$A$3000,0)),"")</f>
        <v/>
      </c>
      <c r="AK25" s="23">
        <f>IFERROR(INDEX('Chart of Accounts'!$C$5:$C$3000,MATCH(W25&amp;"",'Chart of Accounts'!$A$5:$A$3000,0))&amp;"|"&amp;INDEX('Chart of Accounts'!$D$5:$D$3000,MATCH(W25&amp;"",'Chart of Accounts'!$A$5:$A$3000,0)),"")</f>
        <v/>
      </c>
      <c r="AL25" s="23">
        <f>IF(LEFT(AG25,8)="Revenue|",-N(S25),0)+IF(LEFT(AH25,8)="Revenue|",-N(T25),0)+IF(LEFT(AI25,8)="Revenue|",N(AF25),0)+IF(LEFT(AJ25,8)="Revenue|",N(AC25),0)+IF(LEFT(AK25,8)="Revenue|",N(U25),0)</f>
        <v/>
      </c>
      <c r="AM25" s="23">
        <f>IF(LEFT(AG25,5)="COGS|",N(S25),0)+IF(LEFT(AH25,5)="COGS|",N(T25),0)+IF(LEFT(AI25,5)="COGS|",-N(AF25),0)+IF(LEFT(AJ25,5)="COGS|",-N(AC25),0)+IF(LEFT(AK25,5)="COGS|",-N(U25),0)</f>
        <v/>
      </c>
      <c r="AN25" s="23">
        <f>IF(LEFT(AG25,8)="Expense|",N(S25),0)+IF(LEFT(AH25,8)="Expense|",N(T25),0)+IF(LEFT(AI25,8)="Expense|",-N(AF25),0)+IF(LEFT(AJ25,8)="Expense|",-N(AC25),0)+IF(LEFT(AK25,8)="Expense|",-N(U25),0)</f>
        <v/>
      </c>
      <c r="AO25" s="23">
        <f>IF(ISNUMBER(MATCH(AG25,{"Expense|employee","Expense|general_admin","Expense|marketing","Expense|utilities","Expense|other_operating"},0)),N(S25),0)+IF(ISNUMBER(MATCH(AH25,{"Expense|employee","Expense|general_admin","Expense|marketing","Expense|utilities","Expense|other_operating"},0)),N(T25),0)+IF(ISNUMBER(MATCH(AI25,{"Expense|employee","Expense|general_admin","Expense|marketing","Expense|utilities","Expense|other_operating"},0)),-N(AF25),0)+IF(ISNUMBER(MATCH(AJ25,{"Expense|employee","Expense|general_admin","Expense|marketing","Expense|utilities","Expense|other_operating"},0)),-N(AC25),0)+IF(ISNUMBER(MATCH(AK25,{"Expense|employee","Expense|general_admin","Expense|marketing","Expense|utilities","Expense|other_operating"},0)),-N(U25),0)</f>
        <v/>
      </c>
      <c r="AP25" s="23">
        <f>IF(AG25="Liability|payable",-N(S25),0)+IF(AH25="Liability|payable",-N(T25),0)+IF(AI25="Liability|payable",N(AF25),0)+IF(AJ25="Liability|payable",N(AC25),0)+IF(AK25="Liability|payable",N(U25),0)</f>
        <v/>
      </c>
      <c r="AQ25" s="23">
        <f>IF(AG25="Liability|accrued",-N(S25),0)+IF(AH25="Liability|accrued",-N(T25),0)+IF(AI25="Liability|accrued",N(AF25),0)+IF(AJ25="Liability|accrued",N(AC25),0)+IF(AK25="Liability|accrued",N(U25),0)</f>
        <v/>
      </c>
      <c r="AR25" s="23">
        <f>IF(AND(N(S25)&lt;&gt;0,AG25=""),1,0)+IF(AND(N(T25)&lt;&gt;0,AH25=""),1,0)+IF(AND(N(AF25)&lt;&gt;0,AI25=""),1,0)+IF(AND(N(AC25)&lt;&gt;0,AJ25=""),1,0)+IF(AND(N(U25)&lt;&gt;0,AK25=""),1,0)</f>
        <v/>
      </c>
    </row>
    <row r="26">
      <c r="A26" s="19" t="n"/>
      <c r="B26" s="14" t="n"/>
      <c r="C26" s="14" t="n"/>
      <c r="D26" s="14" t="n"/>
      <c r="E26" s="14" t="n"/>
      <c r="F26" s="14" t="n"/>
      <c r="G26" s="14" t="n"/>
      <c r="H26" s="20" t="n"/>
      <c r="I26" s="14" t="n"/>
      <c r="J26" s="14" t="n"/>
      <c r="K26" s="20" t="n"/>
      <c r="L26" s="14" t="n"/>
      <c r="M26" s="14" t="n"/>
      <c r="N26" s="14" t="n"/>
      <c r="O26" s="14" t="n"/>
      <c r="P26" s="14" t="n"/>
      <c r="Q26" s="14" t="n"/>
      <c r="R26" s="14" t="n"/>
      <c r="S26" s="21">
        <f>ROUND(ABS(N(G26))*N(H26),2)</f>
        <v/>
      </c>
      <c r="T26" s="21">
        <f>IF(B26="Receipt",ROUND(S26*IFERROR(VLOOKUP(Q26,'Tax Codes'!$A$5:$E$300,5,FALSE),0),2),0)</f>
        <v/>
      </c>
      <c r="U26" s="21">
        <f>IF(B26="Receipt",ROUND(S26*IFERROR(VLOOKUP(R26,'Tax Codes'!$A$5:$E$300,5,FALSE),0),2),0)</f>
        <v/>
      </c>
      <c r="V26" s="16">
        <f>INDEX('Chart of Accounts'!$A$5:$A$3000,MATCH("vat_input",'Chart of Accounts'!$F$5:$F$3000,0))</f>
        <v/>
      </c>
      <c r="W26" s="16">
        <f>INDEX('Chart of Accounts'!$A$5:$A$3000,MATCH("wht_payable",'Chart of Accounts'!$F$5:$F$3000,0))</f>
        <v/>
      </c>
      <c r="X26" s="16">
        <f>IF(M26="",INDEX('Chart of Accounts'!$A$5:$A$3000,MATCH("bank",'Chart of Accounts'!$F$5:$F$3000,0)),M26&amp;"")</f>
        <v/>
      </c>
      <c r="Y26" s="16">
        <f>IF(N26="",INDEX('Chart of Accounts'!$A$5:$A$3000,MATCH("ap",'Chart of Accounts'!$F$5:$F$3000,0)),N26&amp;"")</f>
        <v/>
      </c>
      <c r="Z26" s="16">
        <f>IF(O26="",INDEX('Chart of Accounts'!$A$5:$A$3000,MATCH("materials",'Chart of Accounts'!$F$5:$F$3000,0)),O26&amp;"")</f>
        <v/>
      </c>
      <c r="AA26" s="16">
        <f>IF(IFERROR(INDEX(Warehouses!$C$5:$C$1000,MATCH(C26,Warehouses!$A$5:$A$1000,0))&amp;"","")="",INDEX('Chart of Accounts'!$A$5:$A$3000,MATCH("inventory",'Chart of Accounts'!$F$5:$F$3000,0)),IFERROR(INDEX(Warehouses!$C$5:$C$1000,MATCH(C26,Warehouses!$A$5:$A$1000,0))&amp;"",""))</f>
        <v/>
      </c>
      <c r="AB26" s="16">
        <f>IF(IFERROR(INDEX(Warehouses!$C$5:$C$1000,MATCH(D26,Warehouses!$A$5:$A$1000,0))&amp;"","")="",INDEX('Chart of Accounts'!$A$5:$A$3000,MATCH("inventory",'Chart of Accounts'!$F$5:$F$3000,0)),IFERROR(INDEX(Warehouses!$C$5:$C$1000,MATCH(D26,Warehouses!$A$5:$A$1000,0))&amp;"",""))</f>
        <v/>
      </c>
      <c r="AC26" s="21">
        <f>IF(B26="Receipt",N(K26),0)</f>
        <v/>
      </c>
      <c r="AD26" s="16">
        <f>IF(B26="Receipt",AA26,IF(B26="Issue",Z26,IF(B26="Transfer",AB26,IF(N(G26)&gt;=0,AA26,INDEX('Chart of Accounts'!$A$5:$A$3000,MATCH("stock_adjust",'Chart of Accounts'!$F$5:$F$3000,0))))))</f>
        <v/>
      </c>
      <c r="AE26" s="16">
        <f>IF(B26="Receipt",Y26,IF(B26="Adjustment",IF(N(G26)&gt;=0,INDEX('Chart of Accounts'!$A$5:$A$3000,MATCH("stock_adjust",'Chart of Accounts'!$F$5:$F$3000,0)),AA26),AA26))</f>
        <v/>
      </c>
      <c r="AF26" s="21">
        <f>S26+T26-U26-AC26</f>
        <v/>
      </c>
      <c r="AG26" s="23">
        <f>IFERROR(INDEX('Chart of Accounts'!$C$5:$C$3000,MATCH(AD26&amp;"",'Chart of Accounts'!$A$5:$A$3000,0))&amp;"|"&amp;INDEX('Chart of Accounts'!$D$5:$D$3000,MATCH(AD26&amp;"",'Chart of Accounts'!$A$5:$A$3000,0)),"")</f>
        <v/>
      </c>
      <c r="AH26" s="23">
        <f>IFERROR(INDEX('Chart of Accounts'!$C$5:$C$3000,MATCH(V26&amp;"",'Chart of Accounts'!$A$5:$A$3000,0))&amp;"|"&amp;INDEX('Chart of Accounts'!$D$5:$D$3000,MATCH(V26&amp;"",'Chart of Accounts'!$A$5:$A$3000,0)),"")</f>
        <v/>
      </c>
      <c r="AI26" s="23">
        <f>IFERROR(INDEX('Chart of Accounts'!$C$5:$C$3000,MATCH(AE26&amp;"",'Chart of Accounts'!$A$5:$A$3000,0))&amp;"|"&amp;INDEX('Chart of Accounts'!$D$5:$D$3000,MATCH(AE26&amp;"",'Chart of Accounts'!$A$5:$A$3000,0)),"")</f>
        <v/>
      </c>
      <c r="AJ26" s="23">
        <f>IFERROR(INDEX('Chart of Accounts'!$C$5:$C$3000,MATCH(X26&amp;"",'Chart of Accounts'!$A$5:$A$3000,0))&amp;"|"&amp;INDEX('Chart of Accounts'!$D$5:$D$3000,MATCH(X26&amp;"",'Chart of Accounts'!$A$5:$A$3000,0)),"")</f>
        <v/>
      </c>
      <c r="AK26" s="23">
        <f>IFERROR(INDEX('Chart of Accounts'!$C$5:$C$3000,MATCH(W26&amp;"",'Chart of Accounts'!$A$5:$A$3000,0))&amp;"|"&amp;INDEX('Chart of Accounts'!$D$5:$D$3000,MATCH(W26&amp;"",'Chart of Accounts'!$A$5:$A$3000,0)),"")</f>
        <v/>
      </c>
      <c r="AL26" s="23">
        <f>IF(LEFT(AG26,8)="Revenue|",-N(S26),0)+IF(LEFT(AH26,8)="Revenue|",-N(T26),0)+IF(LEFT(AI26,8)="Revenue|",N(AF26),0)+IF(LEFT(AJ26,8)="Revenue|",N(AC26),0)+IF(LEFT(AK26,8)="Revenue|",N(U26),0)</f>
        <v/>
      </c>
      <c r="AM26" s="23">
        <f>IF(LEFT(AG26,5)="COGS|",N(S26),0)+IF(LEFT(AH26,5)="COGS|",N(T26),0)+IF(LEFT(AI26,5)="COGS|",-N(AF26),0)+IF(LEFT(AJ26,5)="COGS|",-N(AC26),0)+IF(LEFT(AK26,5)="COGS|",-N(U26),0)</f>
        <v/>
      </c>
      <c r="AN26" s="23">
        <f>IF(LEFT(AG26,8)="Expense|",N(S26),0)+IF(LEFT(AH26,8)="Expense|",N(T26),0)+IF(LEFT(AI26,8)="Expense|",-N(AF26),0)+IF(LEFT(AJ26,8)="Expense|",-N(AC26),0)+IF(LEFT(AK26,8)="Expense|",-N(U26),0)</f>
        <v/>
      </c>
      <c r="AO26" s="23">
        <f>IF(ISNUMBER(MATCH(AG26,{"Expense|employee","Expense|general_admin","Expense|marketing","Expense|utilities","Expense|other_operating"},0)),N(S26),0)+IF(ISNUMBER(MATCH(AH26,{"Expense|employee","Expense|general_admin","Expense|marketing","Expense|utilities","Expense|other_operating"},0)),N(T26),0)+IF(ISNUMBER(MATCH(AI26,{"Expense|employee","Expense|general_admin","Expense|marketing","Expense|utilities","Expense|other_operating"},0)),-N(AF26),0)+IF(ISNUMBER(MATCH(AJ26,{"Expense|employee","Expense|general_admin","Expense|marketing","Expense|utilities","Expense|other_operating"},0)),-N(AC26),0)+IF(ISNUMBER(MATCH(AK26,{"Expense|employee","Expense|general_admin","Expense|marketing","Expense|utilities","Expense|other_operating"},0)),-N(U26),0)</f>
        <v/>
      </c>
      <c r="AP26" s="23">
        <f>IF(AG26="Liability|payable",-N(S26),0)+IF(AH26="Liability|payable",-N(T26),0)+IF(AI26="Liability|payable",N(AF26),0)+IF(AJ26="Liability|payable",N(AC26),0)+IF(AK26="Liability|payable",N(U26),0)</f>
        <v/>
      </c>
      <c r="AQ26" s="23">
        <f>IF(AG26="Liability|accrued",-N(S26),0)+IF(AH26="Liability|accrued",-N(T26),0)+IF(AI26="Liability|accrued",N(AF26),0)+IF(AJ26="Liability|accrued",N(AC26),0)+IF(AK26="Liability|accrued",N(U26),0)</f>
        <v/>
      </c>
      <c r="AR26" s="23">
        <f>IF(AND(N(S26)&lt;&gt;0,AG26=""),1,0)+IF(AND(N(T26)&lt;&gt;0,AH26=""),1,0)+IF(AND(N(AF26)&lt;&gt;0,AI26=""),1,0)+IF(AND(N(AC26)&lt;&gt;0,AJ26=""),1,0)+IF(AND(N(U26)&lt;&gt;0,AK26=""),1,0)</f>
        <v/>
      </c>
    </row>
    <row r="27">
      <c r="A27" s="19" t="n"/>
      <c r="B27" s="14" t="n"/>
      <c r="C27" s="14" t="n"/>
      <c r="D27" s="14" t="n"/>
      <c r="E27" s="14" t="n"/>
      <c r="F27" s="14" t="n"/>
      <c r="G27" s="14" t="n"/>
      <c r="H27" s="20" t="n"/>
      <c r="I27" s="14" t="n"/>
      <c r="J27" s="14" t="n"/>
      <c r="K27" s="20" t="n"/>
      <c r="L27" s="14" t="n"/>
      <c r="M27" s="14" t="n"/>
      <c r="N27" s="14" t="n"/>
      <c r="O27" s="14" t="n"/>
      <c r="P27" s="14" t="n"/>
      <c r="Q27" s="14" t="n"/>
      <c r="R27" s="14" t="n"/>
      <c r="S27" s="21">
        <f>ROUND(ABS(N(G27))*N(H27),2)</f>
        <v/>
      </c>
      <c r="T27" s="21">
        <f>IF(B27="Receipt",ROUND(S27*IFERROR(VLOOKUP(Q27,'Tax Codes'!$A$5:$E$300,5,FALSE),0),2),0)</f>
        <v/>
      </c>
      <c r="U27" s="21">
        <f>IF(B27="Receipt",ROUND(S27*IFERROR(VLOOKUP(R27,'Tax Codes'!$A$5:$E$300,5,FALSE),0),2),0)</f>
        <v/>
      </c>
      <c r="V27" s="16">
        <f>INDEX('Chart of Accounts'!$A$5:$A$3000,MATCH("vat_input",'Chart of Accounts'!$F$5:$F$3000,0))</f>
        <v/>
      </c>
      <c r="W27" s="16">
        <f>INDEX('Chart of Accounts'!$A$5:$A$3000,MATCH("wht_payable",'Chart of Accounts'!$F$5:$F$3000,0))</f>
        <v/>
      </c>
      <c r="X27" s="16">
        <f>IF(M27="",INDEX('Chart of Accounts'!$A$5:$A$3000,MATCH("bank",'Chart of Accounts'!$F$5:$F$3000,0)),M27&amp;"")</f>
        <v/>
      </c>
      <c r="Y27" s="16">
        <f>IF(N27="",INDEX('Chart of Accounts'!$A$5:$A$3000,MATCH("ap",'Chart of Accounts'!$F$5:$F$3000,0)),N27&amp;"")</f>
        <v/>
      </c>
      <c r="Z27" s="16">
        <f>IF(O27="",INDEX('Chart of Accounts'!$A$5:$A$3000,MATCH("materials",'Chart of Accounts'!$F$5:$F$3000,0)),O27&amp;"")</f>
        <v/>
      </c>
      <c r="AA27" s="16">
        <f>IF(IFERROR(INDEX(Warehouses!$C$5:$C$1000,MATCH(C27,Warehouses!$A$5:$A$1000,0))&amp;"","")="",INDEX('Chart of Accounts'!$A$5:$A$3000,MATCH("inventory",'Chart of Accounts'!$F$5:$F$3000,0)),IFERROR(INDEX(Warehouses!$C$5:$C$1000,MATCH(C27,Warehouses!$A$5:$A$1000,0))&amp;"",""))</f>
        <v/>
      </c>
      <c r="AB27" s="16">
        <f>IF(IFERROR(INDEX(Warehouses!$C$5:$C$1000,MATCH(D27,Warehouses!$A$5:$A$1000,0))&amp;"","")="",INDEX('Chart of Accounts'!$A$5:$A$3000,MATCH("inventory",'Chart of Accounts'!$F$5:$F$3000,0)),IFERROR(INDEX(Warehouses!$C$5:$C$1000,MATCH(D27,Warehouses!$A$5:$A$1000,0))&amp;"",""))</f>
        <v/>
      </c>
      <c r="AC27" s="21">
        <f>IF(B27="Receipt",N(K27),0)</f>
        <v/>
      </c>
      <c r="AD27" s="16">
        <f>IF(B27="Receipt",AA27,IF(B27="Issue",Z27,IF(B27="Transfer",AB27,IF(N(G27)&gt;=0,AA27,INDEX('Chart of Accounts'!$A$5:$A$3000,MATCH("stock_adjust",'Chart of Accounts'!$F$5:$F$3000,0))))))</f>
        <v/>
      </c>
      <c r="AE27" s="16">
        <f>IF(B27="Receipt",Y27,IF(B27="Adjustment",IF(N(G27)&gt;=0,INDEX('Chart of Accounts'!$A$5:$A$3000,MATCH("stock_adjust",'Chart of Accounts'!$F$5:$F$3000,0)),AA27),AA27))</f>
        <v/>
      </c>
      <c r="AF27" s="21">
        <f>S27+T27-U27-AC27</f>
        <v/>
      </c>
      <c r="AG27" s="23">
        <f>IFERROR(INDEX('Chart of Accounts'!$C$5:$C$3000,MATCH(AD27&amp;"",'Chart of Accounts'!$A$5:$A$3000,0))&amp;"|"&amp;INDEX('Chart of Accounts'!$D$5:$D$3000,MATCH(AD27&amp;"",'Chart of Accounts'!$A$5:$A$3000,0)),"")</f>
        <v/>
      </c>
      <c r="AH27" s="23">
        <f>IFERROR(INDEX('Chart of Accounts'!$C$5:$C$3000,MATCH(V27&amp;"",'Chart of Accounts'!$A$5:$A$3000,0))&amp;"|"&amp;INDEX('Chart of Accounts'!$D$5:$D$3000,MATCH(V27&amp;"",'Chart of Accounts'!$A$5:$A$3000,0)),"")</f>
        <v/>
      </c>
      <c r="AI27" s="23">
        <f>IFERROR(INDEX('Chart of Accounts'!$C$5:$C$3000,MATCH(AE27&amp;"",'Chart of Accounts'!$A$5:$A$3000,0))&amp;"|"&amp;INDEX('Chart of Accounts'!$D$5:$D$3000,MATCH(AE27&amp;"",'Chart of Accounts'!$A$5:$A$3000,0)),"")</f>
        <v/>
      </c>
      <c r="AJ27" s="23">
        <f>IFERROR(INDEX('Chart of Accounts'!$C$5:$C$3000,MATCH(X27&amp;"",'Chart of Accounts'!$A$5:$A$3000,0))&amp;"|"&amp;INDEX('Chart of Accounts'!$D$5:$D$3000,MATCH(X27&amp;"",'Chart of Accounts'!$A$5:$A$3000,0)),"")</f>
        <v/>
      </c>
      <c r="AK27" s="23">
        <f>IFERROR(INDEX('Chart of Accounts'!$C$5:$C$3000,MATCH(W27&amp;"",'Chart of Accounts'!$A$5:$A$3000,0))&amp;"|"&amp;INDEX('Chart of Accounts'!$D$5:$D$3000,MATCH(W27&amp;"",'Chart of Accounts'!$A$5:$A$3000,0)),"")</f>
        <v/>
      </c>
      <c r="AL27" s="23">
        <f>IF(LEFT(AG27,8)="Revenue|",-N(S27),0)+IF(LEFT(AH27,8)="Revenue|",-N(T27),0)+IF(LEFT(AI27,8)="Revenue|",N(AF27),0)+IF(LEFT(AJ27,8)="Revenue|",N(AC27),0)+IF(LEFT(AK27,8)="Revenue|",N(U27),0)</f>
        <v/>
      </c>
      <c r="AM27" s="23">
        <f>IF(LEFT(AG27,5)="COGS|",N(S27),0)+IF(LEFT(AH27,5)="COGS|",N(T27),0)+IF(LEFT(AI27,5)="COGS|",-N(AF27),0)+IF(LEFT(AJ27,5)="COGS|",-N(AC27),0)+IF(LEFT(AK27,5)="COGS|",-N(U27),0)</f>
        <v/>
      </c>
      <c r="AN27" s="23">
        <f>IF(LEFT(AG27,8)="Expense|",N(S27),0)+IF(LEFT(AH27,8)="Expense|",N(T27),0)+IF(LEFT(AI27,8)="Expense|",-N(AF27),0)+IF(LEFT(AJ27,8)="Expense|",-N(AC27),0)+IF(LEFT(AK27,8)="Expense|",-N(U27),0)</f>
        <v/>
      </c>
      <c r="AO27" s="23">
        <f>IF(ISNUMBER(MATCH(AG27,{"Expense|employee","Expense|general_admin","Expense|marketing","Expense|utilities","Expense|other_operating"},0)),N(S27),0)+IF(ISNUMBER(MATCH(AH27,{"Expense|employee","Expense|general_admin","Expense|marketing","Expense|utilities","Expense|other_operating"},0)),N(T27),0)+IF(ISNUMBER(MATCH(AI27,{"Expense|employee","Expense|general_admin","Expense|marketing","Expense|utilities","Expense|other_operating"},0)),-N(AF27),0)+IF(ISNUMBER(MATCH(AJ27,{"Expense|employee","Expense|general_admin","Expense|marketing","Expense|utilities","Expense|other_operating"},0)),-N(AC27),0)+IF(ISNUMBER(MATCH(AK27,{"Expense|employee","Expense|general_admin","Expense|marketing","Expense|utilities","Expense|other_operating"},0)),-N(U27),0)</f>
        <v/>
      </c>
      <c r="AP27" s="23">
        <f>IF(AG27="Liability|payable",-N(S27),0)+IF(AH27="Liability|payable",-N(T27),0)+IF(AI27="Liability|payable",N(AF27),0)+IF(AJ27="Liability|payable",N(AC27),0)+IF(AK27="Liability|payable",N(U27),0)</f>
        <v/>
      </c>
      <c r="AQ27" s="23">
        <f>IF(AG27="Liability|accrued",-N(S27),0)+IF(AH27="Liability|accrued",-N(T27),0)+IF(AI27="Liability|accrued",N(AF27),0)+IF(AJ27="Liability|accrued",N(AC27),0)+IF(AK27="Liability|accrued",N(U27),0)</f>
        <v/>
      </c>
      <c r="AR27" s="23">
        <f>IF(AND(N(S27)&lt;&gt;0,AG27=""),1,0)+IF(AND(N(T27)&lt;&gt;0,AH27=""),1,0)+IF(AND(N(AF27)&lt;&gt;0,AI27=""),1,0)+IF(AND(N(AC27)&lt;&gt;0,AJ27=""),1,0)+IF(AND(N(U27)&lt;&gt;0,AK27=""),1,0)</f>
        <v/>
      </c>
    </row>
    <row r="28">
      <c r="A28" s="19" t="n"/>
      <c r="B28" s="14" t="n"/>
      <c r="C28" s="14" t="n"/>
      <c r="D28" s="14" t="n"/>
      <c r="E28" s="14" t="n"/>
      <c r="F28" s="14" t="n"/>
      <c r="G28" s="14" t="n"/>
      <c r="H28" s="20" t="n"/>
      <c r="I28" s="14" t="n"/>
      <c r="J28" s="14" t="n"/>
      <c r="K28" s="20" t="n"/>
      <c r="L28" s="14" t="n"/>
      <c r="M28" s="14" t="n"/>
      <c r="N28" s="14" t="n"/>
      <c r="O28" s="14" t="n"/>
      <c r="P28" s="14" t="n"/>
      <c r="Q28" s="14" t="n"/>
      <c r="R28" s="14" t="n"/>
      <c r="S28" s="21">
        <f>ROUND(ABS(N(G28))*N(H28),2)</f>
        <v/>
      </c>
      <c r="T28" s="21">
        <f>IF(B28="Receipt",ROUND(S28*IFERROR(VLOOKUP(Q28,'Tax Codes'!$A$5:$E$300,5,FALSE),0),2),0)</f>
        <v/>
      </c>
      <c r="U28" s="21">
        <f>IF(B28="Receipt",ROUND(S28*IFERROR(VLOOKUP(R28,'Tax Codes'!$A$5:$E$300,5,FALSE),0),2),0)</f>
        <v/>
      </c>
      <c r="V28" s="16">
        <f>INDEX('Chart of Accounts'!$A$5:$A$3000,MATCH("vat_input",'Chart of Accounts'!$F$5:$F$3000,0))</f>
        <v/>
      </c>
      <c r="W28" s="16">
        <f>INDEX('Chart of Accounts'!$A$5:$A$3000,MATCH("wht_payable",'Chart of Accounts'!$F$5:$F$3000,0))</f>
        <v/>
      </c>
      <c r="X28" s="16">
        <f>IF(M28="",INDEX('Chart of Accounts'!$A$5:$A$3000,MATCH("bank",'Chart of Accounts'!$F$5:$F$3000,0)),M28&amp;"")</f>
        <v/>
      </c>
      <c r="Y28" s="16">
        <f>IF(N28="",INDEX('Chart of Accounts'!$A$5:$A$3000,MATCH("ap",'Chart of Accounts'!$F$5:$F$3000,0)),N28&amp;"")</f>
        <v/>
      </c>
      <c r="Z28" s="16">
        <f>IF(O28="",INDEX('Chart of Accounts'!$A$5:$A$3000,MATCH("materials",'Chart of Accounts'!$F$5:$F$3000,0)),O28&amp;"")</f>
        <v/>
      </c>
      <c r="AA28" s="16">
        <f>IF(IFERROR(INDEX(Warehouses!$C$5:$C$1000,MATCH(C28,Warehouses!$A$5:$A$1000,0))&amp;"","")="",INDEX('Chart of Accounts'!$A$5:$A$3000,MATCH("inventory",'Chart of Accounts'!$F$5:$F$3000,0)),IFERROR(INDEX(Warehouses!$C$5:$C$1000,MATCH(C28,Warehouses!$A$5:$A$1000,0))&amp;"",""))</f>
        <v/>
      </c>
      <c r="AB28" s="16">
        <f>IF(IFERROR(INDEX(Warehouses!$C$5:$C$1000,MATCH(D28,Warehouses!$A$5:$A$1000,0))&amp;"","")="",INDEX('Chart of Accounts'!$A$5:$A$3000,MATCH("inventory",'Chart of Accounts'!$F$5:$F$3000,0)),IFERROR(INDEX(Warehouses!$C$5:$C$1000,MATCH(D28,Warehouses!$A$5:$A$1000,0))&amp;"",""))</f>
        <v/>
      </c>
      <c r="AC28" s="21">
        <f>IF(B28="Receipt",N(K28),0)</f>
        <v/>
      </c>
      <c r="AD28" s="16">
        <f>IF(B28="Receipt",AA28,IF(B28="Issue",Z28,IF(B28="Transfer",AB28,IF(N(G28)&gt;=0,AA28,INDEX('Chart of Accounts'!$A$5:$A$3000,MATCH("stock_adjust",'Chart of Accounts'!$F$5:$F$3000,0))))))</f>
        <v/>
      </c>
      <c r="AE28" s="16">
        <f>IF(B28="Receipt",Y28,IF(B28="Adjustment",IF(N(G28)&gt;=0,INDEX('Chart of Accounts'!$A$5:$A$3000,MATCH("stock_adjust",'Chart of Accounts'!$F$5:$F$3000,0)),AA28),AA28))</f>
        <v/>
      </c>
      <c r="AF28" s="21">
        <f>S28+T28-U28-AC28</f>
        <v/>
      </c>
      <c r="AG28" s="23">
        <f>IFERROR(INDEX('Chart of Accounts'!$C$5:$C$3000,MATCH(AD28&amp;"",'Chart of Accounts'!$A$5:$A$3000,0))&amp;"|"&amp;INDEX('Chart of Accounts'!$D$5:$D$3000,MATCH(AD28&amp;"",'Chart of Accounts'!$A$5:$A$3000,0)),"")</f>
        <v/>
      </c>
      <c r="AH28" s="23">
        <f>IFERROR(INDEX('Chart of Accounts'!$C$5:$C$3000,MATCH(V28&amp;"",'Chart of Accounts'!$A$5:$A$3000,0))&amp;"|"&amp;INDEX('Chart of Accounts'!$D$5:$D$3000,MATCH(V28&amp;"",'Chart of Accounts'!$A$5:$A$3000,0)),"")</f>
        <v/>
      </c>
      <c r="AI28" s="23">
        <f>IFERROR(INDEX('Chart of Accounts'!$C$5:$C$3000,MATCH(AE28&amp;"",'Chart of Accounts'!$A$5:$A$3000,0))&amp;"|"&amp;INDEX('Chart of Accounts'!$D$5:$D$3000,MATCH(AE28&amp;"",'Chart of Accounts'!$A$5:$A$3000,0)),"")</f>
        <v/>
      </c>
      <c r="AJ28" s="23">
        <f>IFERROR(INDEX('Chart of Accounts'!$C$5:$C$3000,MATCH(X28&amp;"",'Chart of Accounts'!$A$5:$A$3000,0))&amp;"|"&amp;INDEX('Chart of Accounts'!$D$5:$D$3000,MATCH(X28&amp;"",'Chart of Accounts'!$A$5:$A$3000,0)),"")</f>
        <v/>
      </c>
      <c r="AK28" s="23">
        <f>IFERROR(INDEX('Chart of Accounts'!$C$5:$C$3000,MATCH(W28&amp;"",'Chart of Accounts'!$A$5:$A$3000,0))&amp;"|"&amp;INDEX('Chart of Accounts'!$D$5:$D$3000,MATCH(W28&amp;"",'Chart of Accounts'!$A$5:$A$3000,0)),"")</f>
        <v/>
      </c>
      <c r="AL28" s="23">
        <f>IF(LEFT(AG28,8)="Revenue|",-N(S28),0)+IF(LEFT(AH28,8)="Revenue|",-N(T28),0)+IF(LEFT(AI28,8)="Revenue|",N(AF28),0)+IF(LEFT(AJ28,8)="Revenue|",N(AC28),0)+IF(LEFT(AK28,8)="Revenue|",N(U28),0)</f>
        <v/>
      </c>
      <c r="AM28" s="23">
        <f>IF(LEFT(AG28,5)="COGS|",N(S28),0)+IF(LEFT(AH28,5)="COGS|",N(T28),0)+IF(LEFT(AI28,5)="COGS|",-N(AF28),0)+IF(LEFT(AJ28,5)="COGS|",-N(AC28),0)+IF(LEFT(AK28,5)="COGS|",-N(U28),0)</f>
        <v/>
      </c>
      <c r="AN28" s="23">
        <f>IF(LEFT(AG28,8)="Expense|",N(S28),0)+IF(LEFT(AH28,8)="Expense|",N(T28),0)+IF(LEFT(AI28,8)="Expense|",-N(AF28),0)+IF(LEFT(AJ28,8)="Expense|",-N(AC28),0)+IF(LEFT(AK28,8)="Expense|",-N(U28),0)</f>
        <v/>
      </c>
      <c r="AO28" s="23">
        <f>IF(ISNUMBER(MATCH(AG28,{"Expense|employee","Expense|general_admin","Expense|marketing","Expense|utilities","Expense|other_operating"},0)),N(S28),0)+IF(ISNUMBER(MATCH(AH28,{"Expense|employee","Expense|general_admin","Expense|marketing","Expense|utilities","Expense|other_operating"},0)),N(T28),0)+IF(ISNUMBER(MATCH(AI28,{"Expense|employee","Expense|general_admin","Expense|marketing","Expense|utilities","Expense|other_operating"},0)),-N(AF28),0)+IF(ISNUMBER(MATCH(AJ28,{"Expense|employee","Expense|general_admin","Expense|marketing","Expense|utilities","Expense|other_operating"},0)),-N(AC28),0)+IF(ISNUMBER(MATCH(AK28,{"Expense|employee","Expense|general_admin","Expense|marketing","Expense|utilities","Expense|other_operating"},0)),-N(U28),0)</f>
        <v/>
      </c>
      <c r="AP28" s="23">
        <f>IF(AG28="Liability|payable",-N(S28),0)+IF(AH28="Liability|payable",-N(T28),0)+IF(AI28="Liability|payable",N(AF28),0)+IF(AJ28="Liability|payable",N(AC28),0)+IF(AK28="Liability|payable",N(U28),0)</f>
        <v/>
      </c>
      <c r="AQ28" s="23">
        <f>IF(AG28="Liability|accrued",-N(S28),0)+IF(AH28="Liability|accrued",-N(T28),0)+IF(AI28="Liability|accrued",N(AF28),0)+IF(AJ28="Liability|accrued",N(AC28),0)+IF(AK28="Liability|accrued",N(U28),0)</f>
        <v/>
      </c>
      <c r="AR28" s="23">
        <f>IF(AND(N(S28)&lt;&gt;0,AG28=""),1,0)+IF(AND(N(T28)&lt;&gt;0,AH28=""),1,0)+IF(AND(N(AF28)&lt;&gt;0,AI28=""),1,0)+IF(AND(N(AC28)&lt;&gt;0,AJ28=""),1,0)+IF(AND(N(U28)&lt;&gt;0,AK28=""),1,0)</f>
        <v/>
      </c>
    </row>
    <row r="29">
      <c r="A29" s="19" t="n"/>
      <c r="B29" s="14" t="n"/>
      <c r="C29" s="14" t="n"/>
      <c r="D29" s="14" t="n"/>
      <c r="E29" s="14" t="n"/>
      <c r="F29" s="14" t="n"/>
      <c r="G29" s="14" t="n"/>
      <c r="H29" s="20" t="n"/>
      <c r="I29" s="14" t="n"/>
      <c r="J29" s="14" t="n"/>
      <c r="K29" s="20" t="n"/>
      <c r="L29" s="14" t="n"/>
      <c r="M29" s="14" t="n"/>
      <c r="N29" s="14" t="n"/>
      <c r="O29" s="14" t="n"/>
      <c r="P29" s="14" t="n"/>
      <c r="Q29" s="14" t="n"/>
      <c r="R29" s="14" t="n"/>
      <c r="S29" s="21">
        <f>ROUND(ABS(N(G29))*N(H29),2)</f>
        <v/>
      </c>
      <c r="T29" s="21">
        <f>IF(B29="Receipt",ROUND(S29*IFERROR(VLOOKUP(Q29,'Tax Codes'!$A$5:$E$300,5,FALSE),0),2),0)</f>
        <v/>
      </c>
      <c r="U29" s="21">
        <f>IF(B29="Receipt",ROUND(S29*IFERROR(VLOOKUP(R29,'Tax Codes'!$A$5:$E$300,5,FALSE),0),2),0)</f>
        <v/>
      </c>
      <c r="V29" s="16">
        <f>INDEX('Chart of Accounts'!$A$5:$A$3000,MATCH("vat_input",'Chart of Accounts'!$F$5:$F$3000,0))</f>
        <v/>
      </c>
      <c r="W29" s="16">
        <f>INDEX('Chart of Accounts'!$A$5:$A$3000,MATCH("wht_payable",'Chart of Accounts'!$F$5:$F$3000,0))</f>
        <v/>
      </c>
      <c r="X29" s="16">
        <f>IF(M29="",INDEX('Chart of Accounts'!$A$5:$A$3000,MATCH("bank",'Chart of Accounts'!$F$5:$F$3000,0)),M29&amp;"")</f>
        <v/>
      </c>
      <c r="Y29" s="16">
        <f>IF(N29="",INDEX('Chart of Accounts'!$A$5:$A$3000,MATCH("ap",'Chart of Accounts'!$F$5:$F$3000,0)),N29&amp;"")</f>
        <v/>
      </c>
      <c r="Z29" s="16">
        <f>IF(O29="",INDEX('Chart of Accounts'!$A$5:$A$3000,MATCH("materials",'Chart of Accounts'!$F$5:$F$3000,0)),O29&amp;"")</f>
        <v/>
      </c>
      <c r="AA29" s="16">
        <f>IF(IFERROR(INDEX(Warehouses!$C$5:$C$1000,MATCH(C29,Warehouses!$A$5:$A$1000,0))&amp;"","")="",INDEX('Chart of Accounts'!$A$5:$A$3000,MATCH("inventory",'Chart of Accounts'!$F$5:$F$3000,0)),IFERROR(INDEX(Warehouses!$C$5:$C$1000,MATCH(C29,Warehouses!$A$5:$A$1000,0))&amp;"",""))</f>
        <v/>
      </c>
      <c r="AB29" s="16">
        <f>IF(IFERROR(INDEX(Warehouses!$C$5:$C$1000,MATCH(D29,Warehouses!$A$5:$A$1000,0))&amp;"","")="",INDEX('Chart of Accounts'!$A$5:$A$3000,MATCH("inventory",'Chart of Accounts'!$F$5:$F$3000,0)),IFERROR(INDEX(Warehouses!$C$5:$C$1000,MATCH(D29,Warehouses!$A$5:$A$1000,0))&amp;"",""))</f>
        <v/>
      </c>
      <c r="AC29" s="21">
        <f>IF(B29="Receipt",N(K29),0)</f>
        <v/>
      </c>
      <c r="AD29" s="16">
        <f>IF(B29="Receipt",AA29,IF(B29="Issue",Z29,IF(B29="Transfer",AB29,IF(N(G29)&gt;=0,AA29,INDEX('Chart of Accounts'!$A$5:$A$3000,MATCH("stock_adjust",'Chart of Accounts'!$F$5:$F$3000,0))))))</f>
        <v/>
      </c>
      <c r="AE29" s="16">
        <f>IF(B29="Receipt",Y29,IF(B29="Adjustment",IF(N(G29)&gt;=0,INDEX('Chart of Accounts'!$A$5:$A$3000,MATCH("stock_adjust",'Chart of Accounts'!$F$5:$F$3000,0)),AA29),AA29))</f>
        <v/>
      </c>
      <c r="AF29" s="21">
        <f>S29+T29-U29-AC29</f>
        <v/>
      </c>
      <c r="AG29" s="23">
        <f>IFERROR(INDEX('Chart of Accounts'!$C$5:$C$3000,MATCH(AD29&amp;"",'Chart of Accounts'!$A$5:$A$3000,0))&amp;"|"&amp;INDEX('Chart of Accounts'!$D$5:$D$3000,MATCH(AD29&amp;"",'Chart of Accounts'!$A$5:$A$3000,0)),"")</f>
        <v/>
      </c>
      <c r="AH29" s="23">
        <f>IFERROR(INDEX('Chart of Accounts'!$C$5:$C$3000,MATCH(V29&amp;"",'Chart of Accounts'!$A$5:$A$3000,0))&amp;"|"&amp;INDEX('Chart of Accounts'!$D$5:$D$3000,MATCH(V29&amp;"",'Chart of Accounts'!$A$5:$A$3000,0)),"")</f>
        <v/>
      </c>
      <c r="AI29" s="23">
        <f>IFERROR(INDEX('Chart of Accounts'!$C$5:$C$3000,MATCH(AE29&amp;"",'Chart of Accounts'!$A$5:$A$3000,0))&amp;"|"&amp;INDEX('Chart of Accounts'!$D$5:$D$3000,MATCH(AE29&amp;"",'Chart of Accounts'!$A$5:$A$3000,0)),"")</f>
        <v/>
      </c>
      <c r="AJ29" s="23">
        <f>IFERROR(INDEX('Chart of Accounts'!$C$5:$C$3000,MATCH(X29&amp;"",'Chart of Accounts'!$A$5:$A$3000,0))&amp;"|"&amp;INDEX('Chart of Accounts'!$D$5:$D$3000,MATCH(X29&amp;"",'Chart of Accounts'!$A$5:$A$3000,0)),"")</f>
        <v/>
      </c>
      <c r="AK29" s="23">
        <f>IFERROR(INDEX('Chart of Accounts'!$C$5:$C$3000,MATCH(W29&amp;"",'Chart of Accounts'!$A$5:$A$3000,0))&amp;"|"&amp;INDEX('Chart of Accounts'!$D$5:$D$3000,MATCH(W29&amp;"",'Chart of Accounts'!$A$5:$A$3000,0)),"")</f>
        <v/>
      </c>
      <c r="AL29" s="23">
        <f>IF(LEFT(AG29,8)="Revenue|",-N(S29),0)+IF(LEFT(AH29,8)="Revenue|",-N(T29),0)+IF(LEFT(AI29,8)="Revenue|",N(AF29),0)+IF(LEFT(AJ29,8)="Revenue|",N(AC29),0)+IF(LEFT(AK29,8)="Revenue|",N(U29),0)</f>
        <v/>
      </c>
      <c r="AM29" s="23">
        <f>IF(LEFT(AG29,5)="COGS|",N(S29),0)+IF(LEFT(AH29,5)="COGS|",N(T29),0)+IF(LEFT(AI29,5)="COGS|",-N(AF29),0)+IF(LEFT(AJ29,5)="COGS|",-N(AC29),0)+IF(LEFT(AK29,5)="COGS|",-N(U29),0)</f>
        <v/>
      </c>
      <c r="AN29" s="23">
        <f>IF(LEFT(AG29,8)="Expense|",N(S29),0)+IF(LEFT(AH29,8)="Expense|",N(T29),0)+IF(LEFT(AI29,8)="Expense|",-N(AF29),0)+IF(LEFT(AJ29,8)="Expense|",-N(AC29),0)+IF(LEFT(AK29,8)="Expense|",-N(U29),0)</f>
        <v/>
      </c>
      <c r="AO29" s="23">
        <f>IF(ISNUMBER(MATCH(AG29,{"Expense|employee","Expense|general_admin","Expense|marketing","Expense|utilities","Expense|other_operating"},0)),N(S29),0)+IF(ISNUMBER(MATCH(AH29,{"Expense|employee","Expense|general_admin","Expense|marketing","Expense|utilities","Expense|other_operating"},0)),N(T29),0)+IF(ISNUMBER(MATCH(AI29,{"Expense|employee","Expense|general_admin","Expense|marketing","Expense|utilities","Expense|other_operating"},0)),-N(AF29),0)+IF(ISNUMBER(MATCH(AJ29,{"Expense|employee","Expense|general_admin","Expense|marketing","Expense|utilities","Expense|other_operating"},0)),-N(AC29),0)+IF(ISNUMBER(MATCH(AK29,{"Expense|employee","Expense|general_admin","Expense|marketing","Expense|utilities","Expense|other_operating"},0)),-N(U29),0)</f>
        <v/>
      </c>
      <c r="AP29" s="23">
        <f>IF(AG29="Liability|payable",-N(S29),0)+IF(AH29="Liability|payable",-N(T29),0)+IF(AI29="Liability|payable",N(AF29),0)+IF(AJ29="Liability|payable",N(AC29),0)+IF(AK29="Liability|payable",N(U29),0)</f>
        <v/>
      </c>
      <c r="AQ29" s="23">
        <f>IF(AG29="Liability|accrued",-N(S29),0)+IF(AH29="Liability|accrued",-N(T29),0)+IF(AI29="Liability|accrued",N(AF29),0)+IF(AJ29="Liability|accrued",N(AC29),0)+IF(AK29="Liability|accrued",N(U29),0)</f>
        <v/>
      </c>
      <c r="AR29" s="23">
        <f>IF(AND(N(S29)&lt;&gt;0,AG29=""),1,0)+IF(AND(N(T29)&lt;&gt;0,AH29=""),1,0)+IF(AND(N(AF29)&lt;&gt;0,AI29=""),1,0)+IF(AND(N(AC29)&lt;&gt;0,AJ29=""),1,0)+IF(AND(N(U29)&lt;&gt;0,AK29=""),1,0)</f>
        <v/>
      </c>
    </row>
    <row r="30">
      <c r="A30" s="19" t="n"/>
      <c r="B30" s="14" t="n"/>
      <c r="C30" s="14" t="n"/>
      <c r="D30" s="14" t="n"/>
      <c r="E30" s="14" t="n"/>
      <c r="F30" s="14" t="n"/>
      <c r="G30" s="14" t="n"/>
      <c r="H30" s="20" t="n"/>
      <c r="I30" s="14" t="n"/>
      <c r="J30" s="14" t="n"/>
      <c r="K30" s="20" t="n"/>
      <c r="L30" s="14" t="n"/>
      <c r="M30" s="14" t="n"/>
      <c r="N30" s="14" t="n"/>
      <c r="O30" s="14" t="n"/>
      <c r="P30" s="14" t="n"/>
      <c r="Q30" s="14" t="n"/>
      <c r="R30" s="14" t="n"/>
      <c r="S30" s="21">
        <f>ROUND(ABS(N(G30))*N(H30),2)</f>
        <v/>
      </c>
      <c r="T30" s="21">
        <f>IF(B30="Receipt",ROUND(S30*IFERROR(VLOOKUP(Q30,'Tax Codes'!$A$5:$E$300,5,FALSE),0),2),0)</f>
        <v/>
      </c>
      <c r="U30" s="21">
        <f>IF(B30="Receipt",ROUND(S30*IFERROR(VLOOKUP(R30,'Tax Codes'!$A$5:$E$300,5,FALSE),0),2),0)</f>
        <v/>
      </c>
      <c r="V30" s="16">
        <f>INDEX('Chart of Accounts'!$A$5:$A$3000,MATCH("vat_input",'Chart of Accounts'!$F$5:$F$3000,0))</f>
        <v/>
      </c>
      <c r="W30" s="16">
        <f>INDEX('Chart of Accounts'!$A$5:$A$3000,MATCH("wht_payable",'Chart of Accounts'!$F$5:$F$3000,0))</f>
        <v/>
      </c>
      <c r="X30" s="16">
        <f>IF(M30="",INDEX('Chart of Accounts'!$A$5:$A$3000,MATCH("bank",'Chart of Accounts'!$F$5:$F$3000,0)),M30&amp;"")</f>
        <v/>
      </c>
      <c r="Y30" s="16">
        <f>IF(N30="",INDEX('Chart of Accounts'!$A$5:$A$3000,MATCH("ap",'Chart of Accounts'!$F$5:$F$3000,0)),N30&amp;"")</f>
        <v/>
      </c>
      <c r="Z30" s="16">
        <f>IF(O30="",INDEX('Chart of Accounts'!$A$5:$A$3000,MATCH("materials",'Chart of Accounts'!$F$5:$F$3000,0)),O30&amp;"")</f>
        <v/>
      </c>
      <c r="AA30" s="16">
        <f>IF(IFERROR(INDEX(Warehouses!$C$5:$C$1000,MATCH(C30,Warehouses!$A$5:$A$1000,0))&amp;"","")="",INDEX('Chart of Accounts'!$A$5:$A$3000,MATCH("inventory",'Chart of Accounts'!$F$5:$F$3000,0)),IFERROR(INDEX(Warehouses!$C$5:$C$1000,MATCH(C30,Warehouses!$A$5:$A$1000,0))&amp;"",""))</f>
        <v/>
      </c>
      <c r="AB30" s="16">
        <f>IF(IFERROR(INDEX(Warehouses!$C$5:$C$1000,MATCH(D30,Warehouses!$A$5:$A$1000,0))&amp;"","")="",INDEX('Chart of Accounts'!$A$5:$A$3000,MATCH("inventory",'Chart of Accounts'!$F$5:$F$3000,0)),IFERROR(INDEX(Warehouses!$C$5:$C$1000,MATCH(D30,Warehouses!$A$5:$A$1000,0))&amp;"",""))</f>
        <v/>
      </c>
      <c r="AC30" s="21">
        <f>IF(B30="Receipt",N(K30),0)</f>
        <v/>
      </c>
      <c r="AD30" s="16">
        <f>IF(B30="Receipt",AA30,IF(B30="Issue",Z30,IF(B30="Transfer",AB30,IF(N(G30)&gt;=0,AA30,INDEX('Chart of Accounts'!$A$5:$A$3000,MATCH("stock_adjust",'Chart of Accounts'!$F$5:$F$3000,0))))))</f>
        <v/>
      </c>
      <c r="AE30" s="16">
        <f>IF(B30="Receipt",Y30,IF(B30="Adjustment",IF(N(G30)&gt;=0,INDEX('Chart of Accounts'!$A$5:$A$3000,MATCH("stock_adjust",'Chart of Accounts'!$F$5:$F$3000,0)),AA30),AA30))</f>
        <v/>
      </c>
      <c r="AF30" s="21">
        <f>S30+T30-U30-AC30</f>
        <v/>
      </c>
      <c r="AG30" s="23">
        <f>IFERROR(INDEX('Chart of Accounts'!$C$5:$C$3000,MATCH(AD30&amp;"",'Chart of Accounts'!$A$5:$A$3000,0))&amp;"|"&amp;INDEX('Chart of Accounts'!$D$5:$D$3000,MATCH(AD30&amp;"",'Chart of Accounts'!$A$5:$A$3000,0)),"")</f>
        <v/>
      </c>
      <c r="AH30" s="23">
        <f>IFERROR(INDEX('Chart of Accounts'!$C$5:$C$3000,MATCH(V30&amp;"",'Chart of Accounts'!$A$5:$A$3000,0))&amp;"|"&amp;INDEX('Chart of Accounts'!$D$5:$D$3000,MATCH(V30&amp;"",'Chart of Accounts'!$A$5:$A$3000,0)),"")</f>
        <v/>
      </c>
      <c r="AI30" s="23">
        <f>IFERROR(INDEX('Chart of Accounts'!$C$5:$C$3000,MATCH(AE30&amp;"",'Chart of Accounts'!$A$5:$A$3000,0))&amp;"|"&amp;INDEX('Chart of Accounts'!$D$5:$D$3000,MATCH(AE30&amp;"",'Chart of Accounts'!$A$5:$A$3000,0)),"")</f>
        <v/>
      </c>
      <c r="AJ30" s="23">
        <f>IFERROR(INDEX('Chart of Accounts'!$C$5:$C$3000,MATCH(X30&amp;"",'Chart of Accounts'!$A$5:$A$3000,0))&amp;"|"&amp;INDEX('Chart of Accounts'!$D$5:$D$3000,MATCH(X30&amp;"",'Chart of Accounts'!$A$5:$A$3000,0)),"")</f>
        <v/>
      </c>
      <c r="AK30" s="23">
        <f>IFERROR(INDEX('Chart of Accounts'!$C$5:$C$3000,MATCH(W30&amp;"",'Chart of Accounts'!$A$5:$A$3000,0))&amp;"|"&amp;INDEX('Chart of Accounts'!$D$5:$D$3000,MATCH(W30&amp;"",'Chart of Accounts'!$A$5:$A$3000,0)),"")</f>
        <v/>
      </c>
      <c r="AL30" s="23">
        <f>IF(LEFT(AG30,8)="Revenue|",-N(S30),0)+IF(LEFT(AH30,8)="Revenue|",-N(T30),0)+IF(LEFT(AI30,8)="Revenue|",N(AF30),0)+IF(LEFT(AJ30,8)="Revenue|",N(AC30),0)+IF(LEFT(AK30,8)="Revenue|",N(U30),0)</f>
        <v/>
      </c>
      <c r="AM30" s="23">
        <f>IF(LEFT(AG30,5)="COGS|",N(S30),0)+IF(LEFT(AH30,5)="COGS|",N(T30),0)+IF(LEFT(AI30,5)="COGS|",-N(AF30),0)+IF(LEFT(AJ30,5)="COGS|",-N(AC30),0)+IF(LEFT(AK30,5)="COGS|",-N(U30),0)</f>
        <v/>
      </c>
      <c r="AN30" s="23">
        <f>IF(LEFT(AG30,8)="Expense|",N(S30),0)+IF(LEFT(AH30,8)="Expense|",N(T30),0)+IF(LEFT(AI30,8)="Expense|",-N(AF30),0)+IF(LEFT(AJ30,8)="Expense|",-N(AC30),0)+IF(LEFT(AK30,8)="Expense|",-N(U30),0)</f>
        <v/>
      </c>
      <c r="AO30" s="23">
        <f>IF(ISNUMBER(MATCH(AG30,{"Expense|employee","Expense|general_admin","Expense|marketing","Expense|utilities","Expense|other_operating"},0)),N(S30),0)+IF(ISNUMBER(MATCH(AH30,{"Expense|employee","Expense|general_admin","Expense|marketing","Expense|utilities","Expense|other_operating"},0)),N(T30),0)+IF(ISNUMBER(MATCH(AI30,{"Expense|employee","Expense|general_admin","Expense|marketing","Expense|utilities","Expense|other_operating"},0)),-N(AF30),0)+IF(ISNUMBER(MATCH(AJ30,{"Expense|employee","Expense|general_admin","Expense|marketing","Expense|utilities","Expense|other_operating"},0)),-N(AC30),0)+IF(ISNUMBER(MATCH(AK30,{"Expense|employee","Expense|general_admin","Expense|marketing","Expense|utilities","Expense|other_operating"},0)),-N(U30),0)</f>
        <v/>
      </c>
      <c r="AP30" s="23">
        <f>IF(AG30="Liability|payable",-N(S30),0)+IF(AH30="Liability|payable",-N(T30),0)+IF(AI30="Liability|payable",N(AF30),0)+IF(AJ30="Liability|payable",N(AC30),0)+IF(AK30="Liability|payable",N(U30),0)</f>
        <v/>
      </c>
      <c r="AQ30" s="23">
        <f>IF(AG30="Liability|accrued",-N(S30),0)+IF(AH30="Liability|accrued",-N(T30),0)+IF(AI30="Liability|accrued",N(AF30),0)+IF(AJ30="Liability|accrued",N(AC30),0)+IF(AK30="Liability|accrued",N(U30),0)</f>
        <v/>
      </c>
      <c r="AR30" s="23">
        <f>IF(AND(N(S30)&lt;&gt;0,AG30=""),1,0)+IF(AND(N(T30)&lt;&gt;0,AH30=""),1,0)+IF(AND(N(AF30)&lt;&gt;0,AI30=""),1,0)+IF(AND(N(AC30)&lt;&gt;0,AJ30=""),1,0)+IF(AND(N(U30)&lt;&gt;0,AK30=""),1,0)</f>
        <v/>
      </c>
    </row>
    <row r="31">
      <c r="A31" s="19" t="n"/>
      <c r="B31" s="14" t="n"/>
      <c r="C31" s="14" t="n"/>
      <c r="D31" s="14" t="n"/>
      <c r="E31" s="14" t="n"/>
      <c r="F31" s="14" t="n"/>
      <c r="G31" s="14" t="n"/>
      <c r="H31" s="20" t="n"/>
      <c r="I31" s="14" t="n"/>
      <c r="J31" s="14" t="n"/>
      <c r="K31" s="20" t="n"/>
      <c r="L31" s="14" t="n"/>
      <c r="M31" s="14" t="n"/>
      <c r="N31" s="14" t="n"/>
      <c r="O31" s="14" t="n"/>
      <c r="P31" s="14" t="n"/>
      <c r="Q31" s="14" t="n"/>
      <c r="R31" s="14" t="n"/>
      <c r="S31" s="21">
        <f>ROUND(ABS(N(G31))*N(H31),2)</f>
        <v/>
      </c>
      <c r="T31" s="21">
        <f>IF(B31="Receipt",ROUND(S31*IFERROR(VLOOKUP(Q31,'Tax Codes'!$A$5:$E$300,5,FALSE),0),2),0)</f>
        <v/>
      </c>
      <c r="U31" s="21">
        <f>IF(B31="Receipt",ROUND(S31*IFERROR(VLOOKUP(R31,'Tax Codes'!$A$5:$E$300,5,FALSE),0),2),0)</f>
        <v/>
      </c>
      <c r="V31" s="16">
        <f>INDEX('Chart of Accounts'!$A$5:$A$3000,MATCH("vat_input",'Chart of Accounts'!$F$5:$F$3000,0))</f>
        <v/>
      </c>
      <c r="W31" s="16">
        <f>INDEX('Chart of Accounts'!$A$5:$A$3000,MATCH("wht_payable",'Chart of Accounts'!$F$5:$F$3000,0))</f>
        <v/>
      </c>
      <c r="X31" s="16">
        <f>IF(M31="",INDEX('Chart of Accounts'!$A$5:$A$3000,MATCH("bank",'Chart of Accounts'!$F$5:$F$3000,0)),M31&amp;"")</f>
        <v/>
      </c>
      <c r="Y31" s="16">
        <f>IF(N31="",INDEX('Chart of Accounts'!$A$5:$A$3000,MATCH("ap",'Chart of Accounts'!$F$5:$F$3000,0)),N31&amp;"")</f>
        <v/>
      </c>
      <c r="Z31" s="16">
        <f>IF(O31="",INDEX('Chart of Accounts'!$A$5:$A$3000,MATCH("materials",'Chart of Accounts'!$F$5:$F$3000,0)),O31&amp;"")</f>
        <v/>
      </c>
      <c r="AA31" s="16">
        <f>IF(IFERROR(INDEX(Warehouses!$C$5:$C$1000,MATCH(C31,Warehouses!$A$5:$A$1000,0))&amp;"","")="",INDEX('Chart of Accounts'!$A$5:$A$3000,MATCH("inventory",'Chart of Accounts'!$F$5:$F$3000,0)),IFERROR(INDEX(Warehouses!$C$5:$C$1000,MATCH(C31,Warehouses!$A$5:$A$1000,0))&amp;"",""))</f>
        <v/>
      </c>
      <c r="AB31" s="16">
        <f>IF(IFERROR(INDEX(Warehouses!$C$5:$C$1000,MATCH(D31,Warehouses!$A$5:$A$1000,0))&amp;"","")="",INDEX('Chart of Accounts'!$A$5:$A$3000,MATCH("inventory",'Chart of Accounts'!$F$5:$F$3000,0)),IFERROR(INDEX(Warehouses!$C$5:$C$1000,MATCH(D31,Warehouses!$A$5:$A$1000,0))&amp;"",""))</f>
        <v/>
      </c>
      <c r="AC31" s="21">
        <f>IF(B31="Receipt",N(K31),0)</f>
        <v/>
      </c>
      <c r="AD31" s="16">
        <f>IF(B31="Receipt",AA31,IF(B31="Issue",Z31,IF(B31="Transfer",AB31,IF(N(G31)&gt;=0,AA31,INDEX('Chart of Accounts'!$A$5:$A$3000,MATCH("stock_adjust",'Chart of Accounts'!$F$5:$F$3000,0))))))</f>
        <v/>
      </c>
      <c r="AE31" s="16">
        <f>IF(B31="Receipt",Y31,IF(B31="Adjustment",IF(N(G31)&gt;=0,INDEX('Chart of Accounts'!$A$5:$A$3000,MATCH("stock_adjust",'Chart of Accounts'!$F$5:$F$3000,0)),AA31),AA31))</f>
        <v/>
      </c>
      <c r="AF31" s="21">
        <f>S31+T31-U31-AC31</f>
        <v/>
      </c>
      <c r="AG31" s="23">
        <f>IFERROR(INDEX('Chart of Accounts'!$C$5:$C$3000,MATCH(AD31&amp;"",'Chart of Accounts'!$A$5:$A$3000,0))&amp;"|"&amp;INDEX('Chart of Accounts'!$D$5:$D$3000,MATCH(AD31&amp;"",'Chart of Accounts'!$A$5:$A$3000,0)),"")</f>
        <v/>
      </c>
      <c r="AH31" s="23">
        <f>IFERROR(INDEX('Chart of Accounts'!$C$5:$C$3000,MATCH(V31&amp;"",'Chart of Accounts'!$A$5:$A$3000,0))&amp;"|"&amp;INDEX('Chart of Accounts'!$D$5:$D$3000,MATCH(V31&amp;"",'Chart of Accounts'!$A$5:$A$3000,0)),"")</f>
        <v/>
      </c>
      <c r="AI31" s="23">
        <f>IFERROR(INDEX('Chart of Accounts'!$C$5:$C$3000,MATCH(AE31&amp;"",'Chart of Accounts'!$A$5:$A$3000,0))&amp;"|"&amp;INDEX('Chart of Accounts'!$D$5:$D$3000,MATCH(AE31&amp;"",'Chart of Accounts'!$A$5:$A$3000,0)),"")</f>
        <v/>
      </c>
      <c r="AJ31" s="23">
        <f>IFERROR(INDEX('Chart of Accounts'!$C$5:$C$3000,MATCH(X31&amp;"",'Chart of Accounts'!$A$5:$A$3000,0))&amp;"|"&amp;INDEX('Chart of Accounts'!$D$5:$D$3000,MATCH(X31&amp;"",'Chart of Accounts'!$A$5:$A$3000,0)),"")</f>
        <v/>
      </c>
      <c r="AK31" s="23">
        <f>IFERROR(INDEX('Chart of Accounts'!$C$5:$C$3000,MATCH(W31&amp;"",'Chart of Accounts'!$A$5:$A$3000,0))&amp;"|"&amp;INDEX('Chart of Accounts'!$D$5:$D$3000,MATCH(W31&amp;"",'Chart of Accounts'!$A$5:$A$3000,0)),"")</f>
        <v/>
      </c>
      <c r="AL31" s="23">
        <f>IF(LEFT(AG31,8)="Revenue|",-N(S31),0)+IF(LEFT(AH31,8)="Revenue|",-N(T31),0)+IF(LEFT(AI31,8)="Revenue|",N(AF31),0)+IF(LEFT(AJ31,8)="Revenue|",N(AC31),0)+IF(LEFT(AK31,8)="Revenue|",N(U31),0)</f>
        <v/>
      </c>
      <c r="AM31" s="23">
        <f>IF(LEFT(AG31,5)="COGS|",N(S31),0)+IF(LEFT(AH31,5)="COGS|",N(T31),0)+IF(LEFT(AI31,5)="COGS|",-N(AF31),0)+IF(LEFT(AJ31,5)="COGS|",-N(AC31),0)+IF(LEFT(AK31,5)="COGS|",-N(U31),0)</f>
        <v/>
      </c>
      <c r="AN31" s="23">
        <f>IF(LEFT(AG31,8)="Expense|",N(S31),0)+IF(LEFT(AH31,8)="Expense|",N(T31),0)+IF(LEFT(AI31,8)="Expense|",-N(AF31),0)+IF(LEFT(AJ31,8)="Expense|",-N(AC31),0)+IF(LEFT(AK31,8)="Expense|",-N(U31),0)</f>
        <v/>
      </c>
      <c r="AO31" s="23">
        <f>IF(ISNUMBER(MATCH(AG31,{"Expense|employee","Expense|general_admin","Expense|marketing","Expense|utilities","Expense|other_operating"},0)),N(S31),0)+IF(ISNUMBER(MATCH(AH31,{"Expense|employee","Expense|general_admin","Expense|marketing","Expense|utilities","Expense|other_operating"},0)),N(T31),0)+IF(ISNUMBER(MATCH(AI31,{"Expense|employee","Expense|general_admin","Expense|marketing","Expense|utilities","Expense|other_operating"},0)),-N(AF31),0)+IF(ISNUMBER(MATCH(AJ31,{"Expense|employee","Expense|general_admin","Expense|marketing","Expense|utilities","Expense|other_operating"},0)),-N(AC31),0)+IF(ISNUMBER(MATCH(AK31,{"Expense|employee","Expense|general_admin","Expense|marketing","Expense|utilities","Expense|other_operating"},0)),-N(U31),0)</f>
        <v/>
      </c>
      <c r="AP31" s="23">
        <f>IF(AG31="Liability|payable",-N(S31),0)+IF(AH31="Liability|payable",-N(T31),0)+IF(AI31="Liability|payable",N(AF31),0)+IF(AJ31="Liability|payable",N(AC31),0)+IF(AK31="Liability|payable",N(U31),0)</f>
        <v/>
      </c>
      <c r="AQ31" s="23">
        <f>IF(AG31="Liability|accrued",-N(S31),0)+IF(AH31="Liability|accrued",-N(T31),0)+IF(AI31="Liability|accrued",N(AF31),0)+IF(AJ31="Liability|accrued",N(AC31),0)+IF(AK31="Liability|accrued",N(U31),0)</f>
        <v/>
      </c>
      <c r="AR31" s="23">
        <f>IF(AND(N(S31)&lt;&gt;0,AG31=""),1,0)+IF(AND(N(T31)&lt;&gt;0,AH31=""),1,0)+IF(AND(N(AF31)&lt;&gt;0,AI31=""),1,0)+IF(AND(N(AC31)&lt;&gt;0,AJ31=""),1,0)+IF(AND(N(U31)&lt;&gt;0,AK31=""),1,0)</f>
        <v/>
      </c>
    </row>
    <row r="32">
      <c r="A32" s="19" t="n"/>
      <c r="B32" s="14" t="n"/>
      <c r="C32" s="14" t="n"/>
      <c r="D32" s="14" t="n"/>
      <c r="E32" s="14" t="n"/>
      <c r="F32" s="14" t="n"/>
      <c r="G32" s="14" t="n"/>
      <c r="H32" s="20" t="n"/>
      <c r="I32" s="14" t="n"/>
      <c r="J32" s="14" t="n"/>
      <c r="K32" s="20" t="n"/>
      <c r="L32" s="14" t="n"/>
      <c r="M32" s="14" t="n"/>
      <c r="N32" s="14" t="n"/>
      <c r="O32" s="14" t="n"/>
      <c r="P32" s="14" t="n"/>
      <c r="Q32" s="14" t="n"/>
      <c r="R32" s="14" t="n"/>
      <c r="S32" s="21">
        <f>ROUND(ABS(N(G32))*N(H32),2)</f>
        <v/>
      </c>
      <c r="T32" s="21">
        <f>IF(B32="Receipt",ROUND(S32*IFERROR(VLOOKUP(Q32,'Tax Codes'!$A$5:$E$300,5,FALSE),0),2),0)</f>
        <v/>
      </c>
      <c r="U32" s="21">
        <f>IF(B32="Receipt",ROUND(S32*IFERROR(VLOOKUP(R32,'Tax Codes'!$A$5:$E$300,5,FALSE),0),2),0)</f>
        <v/>
      </c>
      <c r="V32" s="16">
        <f>INDEX('Chart of Accounts'!$A$5:$A$3000,MATCH("vat_input",'Chart of Accounts'!$F$5:$F$3000,0))</f>
        <v/>
      </c>
      <c r="W32" s="16">
        <f>INDEX('Chart of Accounts'!$A$5:$A$3000,MATCH("wht_payable",'Chart of Accounts'!$F$5:$F$3000,0))</f>
        <v/>
      </c>
      <c r="X32" s="16">
        <f>IF(M32="",INDEX('Chart of Accounts'!$A$5:$A$3000,MATCH("bank",'Chart of Accounts'!$F$5:$F$3000,0)),M32&amp;"")</f>
        <v/>
      </c>
      <c r="Y32" s="16">
        <f>IF(N32="",INDEX('Chart of Accounts'!$A$5:$A$3000,MATCH("ap",'Chart of Accounts'!$F$5:$F$3000,0)),N32&amp;"")</f>
        <v/>
      </c>
      <c r="Z32" s="16">
        <f>IF(O32="",INDEX('Chart of Accounts'!$A$5:$A$3000,MATCH("materials",'Chart of Accounts'!$F$5:$F$3000,0)),O32&amp;"")</f>
        <v/>
      </c>
      <c r="AA32" s="16">
        <f>IF(IFERROR(INDEX(Warehouses!$C$5:$C$1000,MATCH(C32,Warehouses!$A$5:$A$1000,0))&amp;"","")="",INDEX('Chart of Accounts'!$A$5:$A$3000,MATCH("inventory",'Chart of Accounts'!$F$5:$F$3000,0)),IFERROR(INDEX(Warehouses!$C$5:$C$1000,MATCH(C32,Warehouses!$A$5:$A$1000,0))&amp;"",""))</f>
        <v/>
      </c>
      <c r="AB32" s="16">
        <f>IF(IFERROR(INDEX(Warehouses!$C$5:$C$1000,MATCH(D32,Warehouses!$A$5:$A$1000,0))&amp;"","")="",INDEX('Chart of Accounts'!$A$5:$A$3000,MATCH("inventory",'Chart of Accounts'!$F$5:$F$3000,0)),IFERROR(INDEX(Warehouses!$C$5:$C$1000,MATCH(D32,Warehouses!$A$5:$A$1000,0))&amp;"",""))</f>
        <v/>
      </c>
      <c r="AC32" s="21">
        <f>IF(B32="Receipt",N(K32),0)</f>
        <v/>
      </c>
      <c r="AD32" s="16">
        <f>IF(B32="Receipt",AA32,IF(B32="Issue",Z32,IF(B32="Transfer",AB32,IF(N(G32)&gt;=0,AA32,INDEX('Chart of Accounts'!$A$5:$A$3000,MATCH("stock_adjust",'Chart of Accounts'!$F$5:$F$3000,0))))))</f>
        <v/>
      </c>
      <c r="AE32" s="16">
        <f>IF(B32="Receipt",Y32,IF(B32="Adjustment",IF(N(G32)&gt;=0,INDEX('Chart of Accounts'!$A$5:$A$3000,MATCH("stock_adjust",'Chart of Accounts'!$F$5:$F$3000,0)),AA32),AA32))</f>
        <v/>
      </c>
      <c r="AF32" s="21">
        <f>S32+T32-U32-AC32</f>
        <v/>
      </c>
      <c r="AG32" s="23">
        <f>IFERROR(INDEX('Chart of Accounts'!$C$5:$C$3000,MATCH(AD32&amp;"",'Chart of Accounts'!$A$5:$A$3000,0))&amp;"|"&amp;INDEX('Chart of Accounts'!$D$5:$D$3000,MATCH(AD32&amp;"",'Chart of Accounts'!$A$5:$A$3000,0)),"")</f>
        <v/>
      </c>
      <c r="AH32" s="23">
        <f>IFERROR(INDEX('Chart of Accounts'!$C$5:$C$3000,MATCH(V32&amp;"",'Chart of Accounts'!$A$5:$A$3000,0))&amp;"|"&amp;INDEX('Chart of Accounts'!$D$5:$D$3000,MATCH(V32&amp;"",'Chart of Accounts'!$A$5:$A$3000,0)),"")</f>
        <v/>
      </c>
      <c r="AI32" s="23">
        <f>IFERROR(INDEX('Chart of Accounts'!$C$5:$C$3000,MATCH(AE32&amp;"",'Chart of Accounts'!$A$5:$A$3000,0))&amp;"|"&amp;INDEX('Chart of Accounts'!$D$5:$D$3000,MATCH(AE32&amp;"",'Chart of Accounts'!$A$5:$A$3000,0)),"")</f>
        <v/>
      </c>
      <c r="AJ32" s="23">
        <f>IFERROR(INDEX('Chart of Accounts'!$C$5:$C$3000,MATCH(X32&amp;"",'Chart of Accounts'!$A$5:$A$3000,0))&amp;"|"&amp;INDEX('Chart of Accounts'!$D$5:$D$3000,MATCH(X32&amp;"",'Chart of Accounts'!$A$5:$A$3000,0)),"")</f>
        <v/>
      </c>
      <c r="AK32" s="23">
        <f>IFERROR(INDEX('Chart of Accounts'!$C$5:$C$3000,MATCH(W32&amp;"",'Chart of Accounts'!$A$5:$A$3000,0))&amp;"|"&amp;INDEX('Chart of Accounts'!$D$5:$D$3000,MATCH(W32&amp;"",'Chart of Accounts'!$A$5:$A$3000,0)),"")</f>
        <v/>
      </c>
      <c r="AL32" s="23">
        <f>IF(LEFT(AG32,8)="Revenue|",-N(S32),0)+IF(LEFT(AH32,8)="Revenue|",-N(T32),0)+IF(LEFT(AI32,8)="Revenue|",N(AF32),0)+IF(LEFT(AJ32,8)="Revenue|",N(AC32),0)+IF(LEFT(AK32,8)="Revenue|",N(U32),0)</f>
        <v/>
      </c>
      <c r="AM32" s="23">
        <f>IF(LEFT(AG32,5)="COGS|",N(S32),0)+IF(LEFT(AH32,5)="COGS|",N(T32),0)+IF(LEFT(AI32,5)="COGS|",-N(AF32),0)+IF(LEFT(AJ32,5)="COGS|",-N(AC32),0)+IF(LEFT(AK32,5)="COGS|",-N(U32),0)</f>
        <v/>
      </c>
      <c r="AN32" s="23">
        <f>IF(LEFT(AG32,8)="Expense|",N(S32),0)+IF(LEFT(AH32,8)="Expense|",N(T32),0)+IF(LEFT(AI32,8)="Expense|",-N(AF32),0)+IF(LEFT(AJ32,8)="Expense|",-N(AC32),0)+IF(LEFT(AK32,8)="Expense|",-N(U32),0)</f>
        <v/>
      </c>
      <c r="AO32" s="23">
        <f>IF(ISNUMBER(MATCH(AG32,{"Expense|employee","Expense|general_admin","Expense|marketing","Expense|utilities","Expense|other_operating"},0)),N(S32),0)+IF(ISNUMBER(MATCH(AH32,{"Expense|employee","Expense|general_admin","Expense|marketing","Expense|utilities","Expense|other_operating"},0)),N(T32),0)+IF(ISNUMBER(MATCH(AI32,{"Expense|employee","Expense|general_admin","Expense|marketing","Expense|utilities","Expense|other_operating"},0)),-N(AF32),0)+IF(ISNUMBER(MATCH(AJ32,{"Expense|employee","Expense|general_admin","Expense|marketing","Expense|utilities","Expense|other_operating"},0)),-N(AC32),0)+IF(ISNUMBER(MATCH(AK32,{"Expense|employee","Expense|general_admin","Expense|marketing","Expense|utilities","Expense|other_operating"},0)),-N(U32),0)</f>
        <v/>
      </c>
      <c r="AP32" s="23">
        <f>IF(AG32="Liability|payable",-N(S32),0)+IF(AH32="Liability|payable",-N(T32),0)+IF(AI32="Liability|payable",N(AF32),0)+IF(AJ32="Liability|payable",N(AC32),0)+IF(AK32="Liability|payable",N(U32),0)</f>
        <v/>
      </c>
      <c r="AQ32" s="23">
        <f>IF(AG32="Liability|accrued",-N(S32),0)+IF(AH32="Liability|accrued",-N(T32),0)+IF(AI32="Liability|accrued",N(AF32),0)+IF(AJ32="Liability|accrued",N(AC32),0)+IF(AK32="Liability|accrued",N(U32),0)</f>
        <v/>
      </c>
      <c r="AR32" s="23">
        <f>IF(AND(N(S32)&lt;&gt;0,AG32=""),1,0)+IF(AND(N(T32)&lt;&gt;0,AH32=""),1,0)+IF(AND(N(AF32)&lt;&gt;0,AI32=""),1,0)+IF(AND(N(AC32)&lt;&gt;0,AJ32=""),1,0)+IF(AND(N(U32)&lt;&gt;0,AK32=""),1,0)</f>
        <v/>
      </c>
    </row>
    <row r="33">
      <c r="A33" s="19" t="n"/>
      <c r="B33" s="14" t="n"/>
      <c r="C33" s="14" t="n"/>
      <c r="D33" s="14" t="n"/>
      <c r="E33" s="14" t="n"/>
      <c r="F33" s="14" t="n"/>
      <c r="G33" s="14" t="n"/>
      <c r="H33" s="20" t="n"/>
      <c r="I33" s="14" t="n"/>
      <c r="J33" s="14" t="n"/>
      <c r="K33" s="20" t="n"/>
      <c r="L33" s="14" t="n"/>
      <c r="M33" s="14" t="n"/>
      <c r="N33" s="14" t="n"/>
      <c r="O33" s="14" t="n"/>
      <c r="P33" s="14" t="n"/>
      <c r="Q33" s="14" t="n"/>
      <c r="R33" s="14" t="n"/>
      <c r="S33" s="21">
        <f>ROUND(ABS(N(G33))*N(H33),2)</f>
        <v/>
      </c>
      <c r="T33" s="21">
        <f>IF(B33="Receipt",ROUND(S33*IFERROR(VLOOKUP(Q33,'Tax Codes'!$A$5:$E$300,5,FALSE),0),2),0)</f>
        <v/>
      </c>
      <c r="U33" s="21">
        <f>IF(B33="Receipt",ROUND(S33*IFERROR(VLOOKUP(R33,'Tax Codes'!$A$5:$E$300,5,FALSE),0),2),0)</f>
        <v/>
      </c>
      <c r="V33" s="16">
        <f>INDEX('Chart of Accounts'!$A$5:$A$3000,MATCH("vat_input",'Chart of Accounts'!$F$5:$F$3000,0))</f>
        <v/>
      </c>
      <c r="W33" s="16">
        <f>INDEX('Chart of Accounts'!$A$5:$A$3000,MATCH("wht_payable",'Chart of Accounts'!$F$5:$F$3000,0))</f>
        <v/>
      </c>
      <c r="X33" s="16">
        <f>IF(M33="",INDEX('Chart of Accounts'!$A$5:$A$3000,MATCH("bank",'Chart of Accounts'!$F$5:$F$3000,0)),M33&amp;"")</f>
        <v/>
      </c>
      <c r="Y33" s="16">
        <f>IF(N33="",INDEX('Chart of Accounts'!$A$5:$A$3000,MATCH("ap",'Chart of Accounts'!$F$5:$F$3000,0)),N33&amp;"")</f>
        <v/>
      </c>
      <c r="Z33" s="16">
        <f>IF(O33="",INDEX('Chart of Accounts'!$A$5:$A$3000,MATCH("materials",'Chart of Accounts'!$F$5:$F$3000,0)),O33&amp;"")</f>
        <v/>
      </c>
      <c r="AA33" s="16">
        <f>IF(IFERROR(INDEX(Warehouses!$C$5:$C$1000,MATCH(C33,Warehouses!$A$5:$A$1000,0))&amp;"","")="",INDEX('Chart of Accounts'!$A$5:$A$3000,MATCH("inventory",'Chart of Accounts'!$F$5:$F$3000,0)),IFERROR(INDEX(Warehouses!$C$5:$C$1000,MATCH(C33,Warehouses!$A$5:$A$1000,0))&amp;"",""))</f>
        <v/>
      </c>
      <c r="AB33" s="16">
        <f>IF(IFERROR(INDEX(Warehouses!$C$5:$C$1000,MATCH(D33,Warehouses!$A$5:$A$1000,0))&amp;"","")="",INDEX('Chart of Accounts'!$A$5:$A$3000,MATCH("inventory",'Chart of Accounts'!$F$5:$F$3000,0)),IFERROR(INDEX(Warehouses!$C$5:$C$1000,MATCH(D33,Warehouses!$A$5:$A$1000,0))&amp;"",""))</f>
        <v/>
      </c>
      <c r="AC33" s="21">
        <f>IF(B33="Receipt",N(K33),0)</f>
        <v/>
      </c>
      <c r="AD33" s="16">
        <f>IF(B33="Receipt",AA33,IF(B33="Issue",Z33,IF(B33="Transfer",AB33,IF(N(G33)&gt;=0,AA33,INDEX('Chart of Accounts'!$A$5:$A$3000,MATCH("stock_adjust",'Chart of Accounts'!$F$5:$F$3000,0))))))</f>
        <v/>
      </c>
      <c r="AE33" s="16">
        <f>IF(B33="Receipt",Y33,IF(B33="Adjustment",IF(N(G33)&gt;=0,INDEX('Chart of Accounts'!$A$5:$A$3000,MATCH("stock_adjust",'Chart of Accounts'!$F$5:$F$3000,0)),AA33),AA33))</f>
        <v/>
      </c>
      <c r="AF33" s="21">
        <f>S33+T33-U33-AC33</f>
        <v/>
      </c>
      <c r="AG33" s="23">
        <f>IFERROR(INDEX('Chart of Accounts'!$C$5:$C$3000,MATCH(AD33&amp;"",'Chart of Accounts'!$A$5:$A$3000,0))&amp;"|"&amp;INDEX('Chart of Accounts'!$D$5:$D$3000,MATCH(AD33&amp;"",'Chart of Accounts'!$A$5:$A$3000,0)),"")</f>
        <v/>
      </c>
      <c r="AH33" s="23">
        <f>IFERROR(INDEX('Chart of Accounts'!$C$5:$C$3000,MATCH(V33&amp;"",'Chart of Accounts'!$A$5:$A$3000,0))&amp;"|"&amp;INDEX('Chart of Accounts'!$D$5:$D$3000,MATCH(V33&amp;"",'Chart of Accounts'!$A$5:$A$3000,0)),"")</f>
        <v/>
      </c>
      <c r="AI33" s="23">
        <f>IFERROR(INDEX('Chart of Accounts'!$C$5:$C$3000,MATCH(AE33&amp;"",'Chart of Accounts'!$A$5:$A$3000,0))&amp;"|"&amp;INDEX('Chart of Accounts'!$D$5:$D$3000,MATCH(AE33&amp;"",'Chart of Accounts'!$A$5:$A$3000,0)),"")</f>
        <v/>
      </c>
      <c r="AJ33" s="23">
        <f>IFERROR(INDEX('Chart of Accounts'!$C$5:$C$3000,MATCH(X33&amp;"",'Chart of Accounts'!$A$5:$A$3000,0))&amp;"|"&amp;INDEX('Chart of Accounts'!$D$5:$D$3000,MATCH(X33&amp;"",'Chart of Accounts'!$A$5:$A$3000,0)),"")</f>
        <v/>
      </c>
      <c r="AK33" s="23">
        <f>IFERROR(INDEX('Chart of Accounts'!$C$5:$C$3000,MATCH(W33&amp;"",'Chart of Accounts'!$A$5:$A$3000,0))&amp;"|"&amp;INDEX('Chart of Accounts'!$D$5:$D$3000,MATCH(W33&amp;"",'Chart of Accounts'!$A$5:$A$3000,0)),"")</f>
        <v/>
      </c>
      <c r="AL33" s="23">
        <f>IF(LEFT(AG33,8)="Revenue|",-N(S33),0)+IF(LEFT(AH33,8)="Revenue|",-N(T33),0)+IF(LEFT(AI33,8)="Revenue|",N(AF33),0)+IF(LEFT(AJ33,8)="Revenue|",N(AC33),0)+IF(LEFT(AK33,8)="Revenue|",N(U33),0)</f>
        <v/>
      </c>
      <c r="AM33" s="23">
        <f>IF(LEFT(AG33,5)="COGS|",N(S33),0)+IF(LEFT(AH33,5)="COGS|",N(T33),0)+IF(LEFT(AI33,5)="COGS|",-N(AF33),0)+IF(LEFT(AJ33,5)="COGS|",-N(AC33),0)+IF(LEFT(AK33,5)="COGS|",-N(U33),0)</f>
        <v/>
      </c>
      <c r="AN33" s="23">
        <f>IF(LEFT(AG33,8)="Expense|",N(S33),0)+IF(LEFT(AH33,8)="Expense|",N(T33),0)+IF(LEFT(AI33,8)="Expense|",-N(AF33),0)+IF(LEFT(AJ33,8)="Expense|",-N(AC33),0)+IF(LEFT(AK33,8)="Expense|",-N(U33),0)</f>
        <v/>
      </c>
      <c r="AO33" s="23">
        <f>IF(ISNUMBER(MATCH(AG33,{"Expense|employee","Expense|general_admin","Expense|marketing","Expense|utilities","Expense|other_operating"},0)),N(S33),0)+IF(ISNUMBER(MATCH(AH33,{"Expense|employee","Expense|general_admin","Expense|marketing","Expense|utilities","Expense|other_operating"},0)),N(T33),0)+IF(ISNUMBER(MATCH(AI33,{"Expense|employee","Expense|general_admin","Expense|marketing","Expense|utilities","Expense|other_operating"},0)),-N(AF33),0)+IF(ISNUMBER(MATCH(AJ33,{"Expense|employee","Expense|general_admin","Expense|marketing","Expense|utilities","Expense|other_operating"},0)),-N(AC33),0)+IF(ISNUMBER(MATCH(AK33,{"Expense|employee","Expense|general_admin","Expense|marketing","Expense|utilities","Expense|other_operating"},0)),-N(U33),0)</f>
        <v/>
      </c>
      <c r="AP33" s="23">
        <f>IF(AG33="Liability|payable",-N(S33),0)+IF(AH33="Liability|payable",-N(T33),0)+IF(AI33="Liability|payable",N(AF33),0)+IF(AJ33="Liability|payable",N(AC33),0)+IF(AK33="Liability|payable",N(U33),0)</f>
        <v/>
      </c>
      <c r="AQ33" s="23">
        <f>IF(AG33="Liability|accrued",-N(S33),0)+IF(AH33="Liability|accrued",-N(T33),0)+IF(AI33="Liability|accrued",N(AF33),0)+IF(AJ33="Liability|accrued",N(AC33),0)+IF(AK33="Liability|accrued",N(U33),0)</f>
        <v/>
      </c>
      <c r="AR33" s="23">
        <f>IF(AND(N(S33)&lt;&gt;0,AG33=""),1,0)+IF(AND(N(T33)&lt;&gt;0,AH33=""),1,0)+IF(AND(N(AF33)&lt;&gt;0,AI33=""),1,0)+IF(AND(N(AC33)&lt;&gt;0,AJ33=""),1,0)+IF(AND(N(U33)&lt;&gt;0,AK33=""),1,0)</f>
        <v/>
      </c>
    </row>
    <row r="34">
      <c r="A34" s="19" t="n"/>
      <c r="B34" s="14" t="n"/>
      <c r="C34" s="14" t="n"/>
      <c r="D34" s="14" t="n"/>
      <c r="E34" s="14" t="n"/>
      <c r="F34" s="14" t="n"/>
      <c r="G34" s="14" t="n"/>
      <c r="H34" s="20" t="n"/>
      <c r="I34" s="14" t="n"/>
      <c r="J34" s="14" t="n"/>
      <c r="K34" s="20" t="n"/>
      <c r="L34" s="14" t="n"/>
      <c r="M34" s="14" t="n"/>
      <c r="N34" s="14" t="n"/>
      <c r="O34" s="14" t="n"/>
      <c r="P34" s="14" t="n"/>
      <c r="Q34" s="14" t="n"/>
      <c r="R34" s="14" t="n"/>
      <c r="S34" s="21">
        <f>ROUND(ABS(N(G34))*N(H34),2)</f>
        <v/>
      </c>
      <c r="T34" s="21">
        <f>IF(B34="Receipt",ROUND(S34*IFERROR(VLOOKUP(Q34,'Tax Codes'!$A$5:$E$300,5,FALSE),0),2),0)</f>
        <v/>
      </c>
      <c r="U34" s="21">
        <f>IF(B34="Receipt",ROUND(S34*IFERROR(VLOOKUP(R34,'Tax Codes'!$A$5:$E$300,5,FALSE),0),2),0)</f>
        <v/>
      </c>
      <c r="V34" s="16">
        <f>INDEX('Chart of Accounts'!$A$5:$A$3000,MATCH("vat_input",'Chart of Accounts'!$F$5:$F$3000,0))</f>
        <v/>
      </c>
      <c r="W34" s="16">
        <f>INDEX('Chart of Accounts'!$A$5:$A$3000,MATCH("wht_payable",'Chart of Accounts'!$F$5:$F$3000,0))</f>
        <v/>
      </c>
      <c r="X34" s="16">
        <f>IF(M34="",INDEX('Chart of Accounts'!$A$5:$A$3000,MATCH("bank",'Chart of Accounts'!$F$5:$F$3000,0)),M34&amp;"")</f>
        <v/>
      </c>
      <c r="Y34" s="16">
        <f>IF(N34="",INDEX('Chart of Accounts'!$A$5:$A$3000,MATCH("ap",'Chart of Accounts'!$F$5:$F$3000,0)),N34&amp;"")</f>
        <v/>
      </c>
      <c r="Z34" s="16">
        <f>IF(O34="",INDEX('Chart of Accounts'!$A$5:$A$3000,MATCH("materials",'Chart of Accounts'!$F$5:$F$3000,0)),O34&amp;"")</f>
        <v/>
      </c>
      <c r="AA34" s="16">
        <f>IF(IFERROR(INDEX(Warehouses!$C$5:$C$1000,MATCH(C34,Warehouses!$A$5:$A$1000,0))&amp;"","")="",INDEX('Chart of Accounts'!$A$5:$A$3000,MATCH("inventory",'Chart of Accounts'!$F$5:$F$3000,0)),IFERROR(INDEX(Warehouses!$C$5:$C$1000,MATCH(C34,Warehouses!$A$5:$A$1000,0))&amp;"",""))</f>
        <v/>
      </c>
      <c r="AB34" s="16">
        <f>IF(IFERROR(INDEX(Warehouses!$C$5:$C$1000,MATCH(D34,Warehouses!$A$5:$A$1000,0))&amp;"","")="",INDEX('Chart of Accounts'!$A$5:$A$3000,MATCH("inventory",'Chart of Accounts'!$F$5:$F$3000,0)),IFERROR(INDEX(Warehouses!$C$5:$C$1000,MATCH(D34,Warehouses!$A$5:$A$1000,0))&amp;"",""))</f>
        <v/>
      </c>
      <c r="AC34" s="21">
        <f>IF(B34="Receipt",N(K34),0)</f>
        <v/>
      </c>
      <c r="AD34" s="16">
        <f>IF(B34="Receipt",AA34,IF(B34="Issue",Z34,IF(B34="Transfer",AB34,IF(N(G34)&gt;=0,AA34,INDEX('Chart of Accounts'!$A$5:$A$3000,MATCH("stock_adjust",'Chart of Accounts'!$F$5:$F$3000,0))))))</f>
        <v/>
      </c>
      <c r="AE34" s="16">
        <f>IF(B34="Receipt",Y34,IF(B34="Adjustment",IF(N(G34)&gt;=0,INDEX('Chart of Accounts'!$A$5:$A$3000,MATCH("stock_adjust",'Chart of Accounts'!$F$5:$F$3000,0)),AA34),AA34))</f>
        <v/>
      </c>
      <c r="AF34" s="21">
        <f>S34+T34-U34-AC34</f>
        <v/>
      </c>
      <c r="AG34" s="23">
        <f>IFERROR(INDEX('Chart of Accounts'!$C$5:$C$3000,MATCH(AD34&amp;"",'Chart of Accounts'!$A$5:$A$3000,0))&amp;"|"&amp;INDEX('Chart of Accounts'!$D$5:$D$3000,MATCH(AD34&amp;"",'Chart of Accounts'!$A$5:$A$3000,0)),"")</f>
        <v/>
      </c>
      <c r="AH34" s="23">
        <f>IFERROR(INDEX('Chart of Accounts'!$C$5:$C$3000,MATCH(V34&amp;"",'Chart of Accounts'!$A$5:$A$3000,0))&amp;"|"&amp;INDEX('Chart of Accounts'!$D$5:$D$3000,MATCH(V34&amp;"",'Chart of Accounts'!$A$5:$A$3000,0)),"")</f>
        <v/>
      </c>
      <c r="AI34" s="23">
        <f>IFERROR(INDEX('Chart of Accounts'!$C$5:$C$3000,MATCH(AE34&amp;"",'Chart of Accounts'!$A$5:$A$3000,0))&amp;"|"&amp;INDEX('Chart of Accounts'!$D$5:$D$3000,MATCH(AE34&amp;"",'Chart of Accounts'!$A$5:$A$3000,0)),"")</f>
        <v/>
      </c>
      <c r="AJ34" s="23">
        <f>IFERROR(INDEX('Chart of Accounts'!$C$5:$C$3000,MATCH(X34&amp;"",'Chart of Accounts'!$A$5:$A$3000,0))&amp;"|"&amp;INDEX('Chart of Accounts'!$D$5:$D$3000,MATCH(X34&amp;"",'Chart of Accounts'!$A$5:$A$3000,0)),"")</f>
        <v/>
      </c>
      <c r="AK34" s="23">
        <f>IFERROR(INDEX('Chart of Accounts'!$C$5:$C$3000,MATCH(W34&amp;"",'Chart of Accounts'!$A$5:$A$3000,0))&amp;"|"&amp;INDEX('Chart of Accounts'!$D$5:$D$3000,MATCH(W34&amp;"",'Chart of Accounts'!$A$5:$A$3000,0)),"")</f>
        <v/>
      </c>
      <c r="AL34" s="23">
        <f>IF(LEFT(AG34,8)="Revenue|",-N(S34),0)+IF(LEFT(AH34,8)="Revenue|",-N(T34),0)+IF(LEFT(AI34,8)="Revenue|",N(AF34),0)+IF(LEFT(AJ34,8)="Revenue|",N(AC34),0)+IF(LEFT(AK34,8)="Revenue|",N(U34),0)</f>
        <v/>
      </c>
      <c r="AM34" s="23">
        <f>IF(LEFT(AG34,5)="COGS|",N(S34),0)+IF(LEFT(AH34,5)="COGS|",N(T34),0)+IF(LEFT(AI34,5)="COGS|",-N(AF34),0)+IF(LEFT(AJ34,5)="COGS|",-N(AC34),0)+IF(LEFT(AK34,5)="COGS|",-N(U34),0)</f>
        <v/>
      </c>
      <c r="AN34" s="23">
        <f>IF(LEFT(AG34,8)="Expense|",N(S34),0)+IF(LEFT(AH34,8)="Expense|",N(T34),0)+IF(LEFT(AI34,8)="Expense|",-N(AF34),0)+IF(LEFT(AJ34,8)="Expense|",-N(AC34),0)+IF(LEFT(AK34,8)="Expense|",-N(U34),0)</f>
        <v/>
      </c>
      <c r="AO34" s="23">
        <f>IF(ISNUMBER(MATCH(AG34,{"Expense|employee","Expense|general_admin","Expense|marketing","Expense|utilities","Expense|other_operating"},0)),N(S34),0)+IF(ISNUMBER(MATCH(AH34,{"Expense|employee","Expense|general_admin","Expense|marketing","Expense|utilities","Expense|other_operating"},0)),N(T34),0)+IF(ISNUMBER(MATCH(AI34,{"Expense|employee","Expense|general_admin","Expense|marketing","Expense|utilities","Expense|other_operating"},0)),-N(AF34),0)+IF(ISNUMBER(MATCH(AJ34,{"Expense|employee","Expense|general_admin","Expense|marketing","Expense|utilities","Expense|other_operating"},0)),-N(AC34),0)+IF(ISNUMBER(MATCH(AK34,{"Expense|employee","Expense|general_admin","Expense|marketing","Expense|utilities","Expense|other_operating"},0)),-N(U34),0)</f>
        <v/>
      </c>
      <c r="AP34" s="23">
        <f>IF(AG34="Liability|payable",-N(S34),0)+IF(AH34="Liability|payable",-N(T34),0)+IF(AI34="Liability|payable",N(AF34),0)+IF(AJ34="Liability|payable",N(AC34),0)+IF(AK34="Liability|payable",N(U34),0)</f>
        <v/>
      </c>
      <c r="AQ34" s="23">
        <f>IF(AG34="Liability|accrued",-N(S34),0)+IF(AH34="Liability|accrued",-N(T34),0)+IF(AI34="Liability|accrued",N(AF34),0)+IF(AJ34="Liability|accrued",N(AC34),0)+IF(AK34="Liability|accrued",N(U34),0)</f>
        <v/>
      </c>
      <c r="AR34" s="23">
        <f>IF(AND(N(S34)&lt;&gt;0,AG34=""),1,0)+IF(AND(N(T34)&lt;&gt;0,AH34=""),1,0)+IF(AND(N(AF34)&lt;&gt;0,AI34=""),1,0)+IF(AND(N(AC34)&lt;&gt;0,AJ34=""),1,0)+IF(AND(N(U34)&lt;&gt;0,AK34=""),1,0)</f>
        <v/>
      </c>
    </row>
    <row r="35">
      <c r="A35" s="19" t="n"/>
      <c r="B35" s="14" t="n"/>
      <c r="C35" s="14" t="n"/>
      <c r="D35" s="14" t="n"/>
      <c r="E35" s="14" t="n"/>
      <c r="F35" s="14" t="n"/>
      <c r="G35" s="14" t="n"/>
      <c r="H35" s="20" t="n"/>
      <c r="I35" s="14" t="n"/>
      <c r="J35" s="14" t="n"/>
      <c r="K35" s="20" t="n"/>
      <c r="L35" s="14" t="n"/>
      <c r="M35" s="14" t="n"/>
      <c r="N35" s="14" t="n"/>
      <c r="O35" s="14" t="n"/>
      <c r="P35" s="14" t="n"/>
      <c r="Q35" s="14" t="n"/>
      <c r="R35" s="14" t="n"/>
      <c r="S35" s="21">
        <f>ROUND(ABS(N(G35))*N(H35),2)</f>
        <v/>
      </c>
      <c r="T35" s="21">
        <f>IF(B35="Receipt",ROUND(S35*IFERROR(VLOOKUP(Q35,'Tax Codes'!$A$5:$E$300,5,FALSE),0),2),0)</f>
        <v/>
      </c>
      <c r="U35" s="21">
        <f>IF(B35="Receipt",ROUND(S35*IFERROR(VLOOKUP(R35,'Tax Codes'!$A$5:$E$300,5,FALSE),0),2),0)</f>
        <v/>
      </c>
      <c r="V35" s="16">
        <f>INDEX('Chart of Accounts'!$A$5:$A$3000,MATCH("vat_input",'Chart of Accounts'!$F$5:$F$3000,0))</f>
        <v/>
      </c>
      <c r="W35" s="16">
        <f>INDEX('Chart of Accounts'!$A$5:$A$3000,MATCH("wht_payable",'Chart of Accounts'!$F$5:$F$3000,0))</f>
        <v/>
      </c>
      <c r="X35" s="16">
        <f>IF(M35="",INDEX('Chart of Accounts'!$A$5:$A$3000,MATCH("bank",'Chart of Accounts'!$F$5:$F$3000,0)),M35&amp;"")</f>
        <v/>
      </c>
      <c r="Y35" s="16">
        <f>IF(N35="",INDEX('Chart of Accounts'!$A$5:$A$3000,MATCH("ap",'Chart of Accounts'!$F$5:$F$3000,0)),N35&amp;"")</f>
        <v/>
      </c>
      <c r="Z35" s="16">
        <f>IF(O35="",INDEX('Chart of Accounts'!$A$5:$A$3000,MATCH("materials",'Chart of Accounts'!$F$5:$F$3000,0)),O35&amp;"")</f>
        <v/>
      </c>
      <c r="AA35" s="16">
        <f>IF(IFERROR(INDEX(Warehouses!$C$5:$C$1000,MATCH(C35,Warehouses!$A$5:$A$1000,0))&amp;"","")="",INDEX('Chart of Accounts'!$A$5:$A$3000,MATCH("inventory",'Chart of Accounts'!$F$5:$F$3000,0)),IFERROR(INDEX(Warehouses!$C$5:$C$1000,MATCH(C35,Warehouses!$A$5:$A$1000,0))&amp;"",""))</f>
        <v/>
      </c>
      <c r="AB35" s="16">
        <f>IF(IFERROR(INDEX(Warehouses!$C$5:$C$1000,MATCH(D35,Warehouses!$A$5:$A$1000,0))&amp;"","")="",INDEX('Chart of Accounts'!$A$5:$A$3000,MATCH("inventory",'Chart of Accounts'!$F$5:$F$3000,0)),IFERROR(INDEX(Warehouses!$C$5:$C$1000,MATCH(D35,Warehouses!$A$5:$A$1000,0))&amp;"",""))</f>
        <v/>
      </c>
      <c r="AC35" s="21">
        <f>IF(B35="Receipt",N(K35),0)</f>
        <v/>
      </c>
      <c r="AD35" s="16">
        <f>IF(B35="Receipt",AA35,IF(B35="Issue",Z35,IF(B35="Transfer",AB35,IF(N(G35)&gt;=0,AA35,INDEX('Chart of Accounts'!$A$5:$A$3000,MATCH("stock_adjust",'Chart of Accounts'!$F$5:$F$3000,0))))))</f>
        <v/>
      </c>
      <c r="AE35" s="16">
        <f>IF(B35="Receipt",Y35,IF(B35="Adjustment",IF(N(G35)&gt;=0,INDEX('Chart of Accounts'!$A$5:$A$3000,MATCH("stock_adjust",'Chart of Accounts'!$F$5:$F$3000,0)),AA35),AA35))</f>
        <v/>
      </c>
      <c r="AF35" s="21">
        <f>S35+T35-U35-AC35</f>
        <v/>
      </c>
      <c r="AG35" s="23">
        <f>IFERROR(INDEX('Chart of Accounts'!$C$5:$C$3000,MATCH(AD35&amp;"",'Chart of Accounts'!$A$5:$A$3000,0))&amp;"|"&amp;INDEX('Chart of Accounts'!$D$5:$D$3000,MATCH(AD35&amp;"",'Chart of Accounts'!$A$5:$A$3000,0)),"")</f>
        <v/>
      </c>
      <c r="AH35" s="23">
        <f>IFERROR(INDEX('Chart of Accounts'!$C$5:$C$3000,MATCH(V35&amp;"",'Chart of Accounts'!$A$5:$A$3000,0))&amp;"|"&amp;INDEX('Chart of Accounts'!$D$5:$D$3000,MATCH(V35&amp;"",'Chart of Accounts'!$A$5:$A$3000,0)),"")</f>
        <v/>
      </c>
      <c r="AI35" s="23">
        <f>IFERROR(INDEX('Chart of Accounts'!$C$5:$C$3000,MATCH(AE35&amp;"",'Chart of Accounts'!$A$5:$A$3000,0))&amp;"|"&amp;INDEX('Chart of Accounts'!$D$5:$D$3000,MATCH(AE35&amp;"",'Chart of Accounts'!$A$5:$A$3000,0)),"")</f>
        <v/>
      </c>
      <c r="AJ35" s="23">
        <f>IFERROR(INDEX('Chart of Accounts'!$C$5:$C$3000,MATCH(X35&amp;"",'Chart of Accounts'!$A$5:$A$3000,0))&amp;"|"&amp;INDEX('Chart of Accounts'!$D$5:$D$3000,MATCH(X35&amp;"",'Chart of Accounts'!$A$5:$A$3000,0)),"")</f>
        <v/>
      </c>
      <c r="AK35" s="23">
        <f>IFERROR(INDEX('Chart of Accounts'!$C$5:$C$3000,MATCH(W35&amp;"",'Chart of Accounts'!$A$5:$A$3000,0))&amp;"|"&amp;INDEX('Chart of Accounts'!$D$5:$D$3000,MATCH(W35&amp;"",'Chart of Accounts'!$A$5:$A$3000,0)),"")</f>
        <v/>
      </c>
      <c r="AL35" s="23">
        <f>IF(LEFT(AG35,8)="Revenue|",-N(S35),0)+IF(LEFT(AH35,8)="Revenue|",-N(T35),0)+IF(LEFT(AI35,8)="Revenue|",N(AF35),0)+IF(LEFT(AJ35,8)="Revenue|",N(AC35),0)+IF(LEFT(AK35,8)="Revenue|",N(U35),0)</f>
        <v/>
      </c>
      <c r="AM35" s="23">
        <f>IF(LEFT(AG35,5)="COGS|",N(S35),0)+IF(LEFT(AH35,5)="COGS|",N(T35),0)+IF(LEFT(AI35,5)="COGS|",-N(AF35),0)+IF(LEFT(AJ35,5)="COGS|",-N(AC35),0)+IF(LEFT(AK35,5)="COGS|",-N(U35),0)</f>
        <v/>
      </c>
      <c r="AN35" s="23">
        <f>IF(LEFT(AG35,8)="Expense|",N(S35),0)+IF(LEFT(AH35,8)="Expense|",N(T35),0)+IF(LEFT(AI35,8)="Expense|",-N(AF35),0)+IF(LEFT(AJ35,8)="Expense|",-N(AC35),0)+IF(LEFT(AK35,8)="Expense|",-N(U35),0)</f>
        <v/>
      </c>
      <c r="AO35" s="23">
        <f>IF(ISNUMBER(MATCH(AG35,{"Expense|employee","Expense|general_admin","Expense|marketing","Expense|utilities","Expense|other_operating"},0)),N(S35),0)+IF(ISNUMBER(MATCH(AH35,{"Expense|employee","Expense|general_admin","Expense|marketing","Expense|utilities","Expense|other_operating"},0)),N(T35),0)+IF(ISNUMBER(MATCH(AI35,{"Expense|employee","Expense|general_admin","Expense|marketing","Expense|utilities","Expense|other_operating"},0)),-N(AF35),0)+IF(ISNUMBER(MATCH(AJ35,{"Expense|employee","Expense|general_admin","Expense|marketing","Expense|utilities","Expense|other_operating"},0)),-N(AC35),0)+IF(ISNUMBER(MATCH(AK35,{"Expense|employee","Expense|general_admin","Expense|marketing","Expense|utilities","Expense|other_operating"},0)),-N(U35),0)</f>
        <v/>
      </c>
      <c r="AP35" s="23">
        <f>IF(AG35="Liability|payable",-N(S35),0)+IF(AH35="Liability|payable",-N(T35),0)+IF(AI35="Liability|payable",N(AF35),0)+IF(AJ35="Liability|payable",N(AC35),0)+IF(AK35="Liability|payable",N(U35),0)</f>
        <v/>
      </c>
      <c r="AQ35" s="23">
        <f>IF(AG35="Liability|accrued",-N(S35),0)+IF(AH35="Liability|accrued",-N(T35),0)+IF(AI35="Liability|accrued",N(AF35),0)+IF(AJ35="Liability|accrued",N(AC35),0)+IF(AK35="Liability|accrued",N(U35),0)</f>
        <v/>
      </c>
      <c r="AR35" s="23">
        <f>IF(AND(N(S35)&lt;&gt;0,AG35=""),1,0)+IF(AND(N(T35)&lt;&gt;0,AH35=""),1,0)+IF(AND(N(AF35)&lt;&gt;0,AI35=""),1,0)+IF(AND(N(AC35)&lt;&gt;0,AJ35=""),1,0)+IF(AND(N(U35)&lt;&gt;0,AK35=""),1,0)</f>
        <v/>
      </c>
    </row>
    <row r="36">
      <c r="A36" s="19" t="n"/>
      <c r="B36" s="14" t="n"/>
      <c r="C36" s="14" t="n"/>
      <c r="D36" s="14" t="n"/>
      <c r="E36" s="14" t="n"/>
      <c r="F36" s="14" t="n"/>
      <c r="G36" s="14" t="n"/>
      <c r="H36" s="20" t="n"/>
      <c r="I36" s="14" t="n"/>
      <c r="J36" s="14" t="n"/>
      <c r="K36" s="20" t="n"/>
      <c r="L36" s="14" t="n"/>
      <c r="M36" s="14" t="n"/>
      <c r="N36" s="14" t="n"/>
      <c r="O36" s="14" t="n"/>
      <c r="P36" s="14" t="n"/>
      <c r="Q36" s="14" t="n"/>
      <c r="R36" s="14" t="n"/>
      <c r="S36" s="21">
        <f>ROUND(ABS(N(G36))*N(H36),2)</f>
        <v/>
      </c>
      <c r="T36" s="21">
        <f>IF(B36="Receipt",ROUND(S36*IFERROR(VLOOKUP(Q36,'Tax Codes'!$A$5:$E$300,5,FALSE),0),2),0)</f>
        <v/>
      </c>
      <c r="U36" s="21">
        <f>IF(B36="Receipt",ROUND(S36*IFERROR(VLOOKUP(R36,'Tax Codes'!$A$5:$E$300,5,FALSE),0),2),0)</f>
        <v/>
      </c>
      <c r="V36" s="16">
        <f>INDEX('Chart of Accounts'!$A$5:$A$3000,MATCH("vat_input",'Chart of Accounts'!$F$5:$F$3000,0))</f>
        <v/>
      </c>
      <c r="W36" s="16">
        <f>INDEX('Chart of Accounts'!$A$5:$A$3000,MATCH("wht_payable",'Chart of Accounts'!$F$5:$F$3000,0))</f>
        <v/>
      </c>
      <c r="X36" s="16">
        <f>IF(M36="",INDEX('Chart of Accounts'!$A$5:$A$3000,MATCH("bank",'Chart of Accounts'!$F$5:$F$3000,0)),M36&amp;"")</f>
        <v/>
      </c>
      <c r="Y36" s="16">
        <f>IF(N36="",INDEX('Chart of Accounts'!$A$5:$A$3000,MATCH("ap",'Chart of Accounts'!$F$5:$F$3000,0)),N36&amp;"")</f>
        <v/>
      </c>
      <c r="Z36" s="16">
        <f>IF(O36="",INDEX('Chart of Accounts'!$A$5:$A$3000,MATCH("materials",'Chart of Accounts'!$F$5:$F$3000,0)),O36&amp;"")</f>
        <v/>
      </c>
      <c r="AA36" s="16">
        <f>IF(IFERROR(INDEX(Warehouses!$C$5:$C$1000,MATCH(C36,Warehouses!$A$5:$A$1000,0))&amp;"","")="",INDEX('Chart of Accounts'!$A$5:$A$3000,MATCH("inventory",'Chart of Accounts'!$F$5:$F$3000,0)),IFERROR(INDEX(Warehouses!$C$5:$C$1000,MATCH(C36,Warehouses!$A$5:$A$1000,0))&amp;"",""))</f>
        <v/>
      </c>
      <c r="AB36" s="16">
        <f>IF(IFERROR(INDEX(Warehouses!$C$5:$C$1000,MATCH(D36,Warehouses!$A$5:$A$1000,0))&amp;"","")="",INDEX('Chart of Accounts'!$A$5:$A$3000,MATCH("inventory",'Chart of Accounts'!$F$5:$F$3000,0)),IFERROR(INDEX(Warehouses!$C$5:$C$1000,MATCH(D36,Warehouses!$A$5:$A$1000,0))&amp;"",""))</f>
        <v/>
      </c>
      <c r="AC36" s="21">
        <f>IF(B36="Receipt",N(K36),0)</f>
        <v/>
      </c>
      <c r="AD36" s="16">
        <f>IF(B36="Receipt",AA36,IF(B36="Issue",Z36,IF(B36="Transfer",AB36,IF(N(G36)&gt;=0,AA36,INDEX('Chart of Accounts'!$A$5:$A$3000,MATCH("stock_adjust",'Chart of Accounts'!$F$5:$F$3000,0))))))</f>
        <v/>
      </c>
      <c r="AE36" s="16">
        <f>IF(B36="Receipt",Y36,IF(B36="Adjustment",IF(N(G36)&gt;=0,INDEX('Chart of Accounts'!$A$5:$A$3000,MATCH("stock_adjust",'Chart of Accounts'!$F$5:$F$3000,0)),AA36),AA36))</f>
        <v/>
      </c>
      <c r="AF36" s="21">
        <f>S36+T36-U36-AC36</f>
        <v/>
      </c>
      <c r="AG36" s="23">
        <f>IFERROR(INDEX('Chart of Accounts'!$C$5:$C$3000,MATCH(AD36&amp;"",'Chart of Accounts'!$A$5:$A$3000,0))&amp;"|"&amp;INDEX('Chart of Accounts'!$D$5:$D$3000,MATCH(AD36&amp;"",'Chart of Accounts'!$A$5:$A$3000,0)),"")</f>
        <v/>
      </c>
      <c r="AH36" s="23">
        <f>IFERROR(INDEX('Chart of Accounts'!$C$5:$C$3000,MATCH(V36&amp;"",'Chart of Accounts'!$A$5:$A$3000,0))&amp;"|"&amp;INDEX('Chart of Accounts'!$D$5:$D$3000,MATCH(V36&amp;"",'Chart of Accounts'!$A$5:$A$3000,0)),"")</f>
        <v/>
      </c>
      <c r="AI36" s="23">
        <f>IFERROR(INDEX('Chart of Accounts'!$C$5:$C$3000,MATCH(AE36&amp;"",'Chart of Accounts'!$A$5:$A$3000,0))&amp;"|"&amp;INDEX('Chart of Accounts'!$D$5:$D$3000,MATCH(AE36&amp;"",'Chart of Accounts'!$A$5:$A$3000,0)),"")</f>
        <v/>
      </c>
      <c r="AJ36" s="23">
        <f>IFERROR(INDEX('Chart of Accounts'!$C$5:$C$3000,MATCH(X36&amp;"",'Chart of Accounts'!$A$5:$A$3000,0))&amp;"|"&amp;INDEX('Chart of Accounts'!$D$5:$D$3000,MATCH(X36&amp;"",'Chart of Accounts'!$A$5:$A$3000,0)),"")</f>
        <v/>
      </c>
      <c r="AK36" s="23">
        <f>IFERROR(INDEX('Chart of Accounts'!$C$5:$C$3000,MATCH(W36&amp;"",'Chart of Accounts'!$A$5:$A$3000,0))&amp;"|"&amp;INDEX('Chart of Accounts'!$D$5:$D$3000,MATCH(W36&amp;"",'Chart of Accounts'!$A$5:$A$3000,0)),"")</f>
        <v/>
      </c>
      <c r="AL36" s="23">
        <f>IF(LEFT(AG36,8)="Revenue|",-N(S36),0)+IF(LEFT(AH36,8)="Revenue|",-N(T36),0)+IF(LEFT(AI36,8)="Revenue|",N(AF36),0)+IF(LEFT(AJ36,8)="Revenue|",N(AC36),0)+IF(LEFT(AK36,8)="Revenue|",N(U36),0)</f>
        <v/>
      </c>
      <c r="AM36" s="23">
        <f>IF(LEFT(AG36,5)="COGS|",N(S36),0)+IF(LEFT(AH36,5)="COGS|",N(T36),0)+IF(LEFT(AI36,5)="COGS|",-N(AF36),0)+IF(LEFT(AJ36,5)="COGS|",-N(AC36),0)+IF(LEFT(AK36,5)="COGS|",-N(U36),0)</f>
        <v/>
      </c>
      <c r="AN36" s="23">
        <f>IF(LEFT(AG36,8)="Expense|",N(S36),0)+IF(LEFT(AH36,8)="Expense|",N(T36),0)+IF(LEFT(AI36,8)="Expense|",-N(AF36),0)+IF(LEFT(AJ36,8)="Expense|",-N(AC36),0)+IF(LEFT(AK36,8)="Expense|",-N(U36),0)</f>
        <v/>
      </c>
      <c r="AO36" s="23">
        <f>IF(ISNUMBER(MATCH(AG36,{"Expense|employee","Expense|general_admin","Expense|marketing","Expense|utilities","Expense|other_operating"},0)),N(S36),0)+IF(ISNUMBER(MATCH(AH36,{"Expense|employee","Expense|general_admin","Expense|marketing","Expense|utilities","Expense|other_operating"},0)),N(T36),0)+IF(ISNUMBER(MATCH(AI36,{"Expense|employee","Expense|general_admin","Expense|marketing","Expense|utilities","Expense|other_operating"},0)),-N(AF36),0)+IF(ISNUMBER(MATCH(AJ36,{"Expense|employee","Expense|general_admin","Expense|marketing","Expense|utilities","Expense|other_operating"},0)),-N(AC36),0)+IF(ISNUMBER(MATCH(AK36,{"Expense|employee","Expense|general_admin","Expense|marketing","Expense|utilities","Expense|other_operating"},0)),-N(U36),0)</f>
        <v/>
      </c>
      <c r="AP36" s="23">
        <f>IF(AG36="Liability|payable",-N(S36),0)+IF(AH36="Liability|payable",-N(T36),0)+IF(AI36="Liability|payable",N(AF36),0)+IF(AJ36="Liability|payable",N(AC36),0)+IF(AK36="Liability|payable",N(U36),0)</f>
        <v/>
      </c>
      <c r="AQ36" s="23">
        <f>IF(AG36="Liability|accrued",-N(S36),0)+IF(AH36="Liability|accrued",-N(T36),0)+IF(AI36="Liability|accrued",N(AF36),0)+IF(AJ36="Liability|accrued",N(AC36),0)+IF(AK36="Liability|accrued",N(U36),0)</f>
        <v/>
      </c>
      <c r="AR36" s="23">
        <f>IF(AND(N(S36)&lt;&gt;0,AG36=""),1,0)+IF(AND(N(T36)&lt;&gt;0,AH36=""),1,0)+IF(AND(N(AF36)&lt;&gt;0,AI36=""),1,0)+IF(AND(N(AC36)&lt;&gt;0,AJ36=""),1,0)+IF(AND(N(U36)&lt;&gt;0,AK36=""),1,0)</f>
        <v/>
      </c>
    </row>
    <row r="37">
      <c r="A37" s="19" t="n"/>
      <c r="B37" s="14" t="n"/>
      <c r="C37" s="14" t="n"/>
      <c r="D37" s="14" t="n"/>
      <c r="E37" s="14" t="n"/>
      <c r="F37" s="14" t="n"/>
      <c r="G37" s="14" t="n"/>
      <c r="H37" s="20" t="n"/>
      <c r="I37" s="14" t="n"/>
      <c r="J37" s="14" t="n"/>
      <c r="K37" s="20" t="n"/>
      <c r="L37" s="14" t="n"/>
      <c r="M37" s="14" t="n"/>
      <c r="N37" s="14" t="n"/>
      <c r="O37" s="14" t="n"/>
      <c r="P37" s="14" t="n"/>
      <c r="Q37" s="14" t="n"/>
      <c r="R37" s="14" t="n"/>
      <c r="S37" s="21">
        <f>ROUND(ABS(N(G37))*N(H37),2)</f>
        <v/>
      </c>
      <c r="T37" s="21">
        <f>IF(B37="Receipt",ROUND(S37*IFERROR(VLOOKUP(Q37,'Tax Codes'!$A$5:$E$300,5,FALSE),0),2),0)</f>
        <v/>
      </c>
      <c r="U37" s="21">
        <f>IF(B37="Receipt",ROUND(S37*IFERROR(VLOOKUP(R37,'Tax Codes'!$A$5:$E$300,5,FALSE),0),2),0)</f>
        <v/>
      </c>
      <c r="V37" s="16">
        <f>INDEX('Chart of Accounts'!$A$5:$A$3000,MATCH("vat_input",'Chart of Accounts'!$F$5:$F$3000,0))</f>
        <v/>
      </c>
      <c r="W37" s="16">
        <f>INDEX('Chart of Accounts'!$A$5:$A$3000,MATCH("wht_payable",'Chart of Accounts'!$F$5:$F$3000,0))</f>
        <v/>
      </c>
      <c r="X37" s="16">
        <f>IF(M37="",INDEX('Chart of Accounts'!$A$5:$A$3000,MATCH("bank",'Chart of Accounts'!$F$5:$F$3000,0)),M37&amp;"")</f>
        <v/>
      </c>
      <c r="Y37" s="16">
        <f>IF(N37="",INDEX('Chart of Accounts'!$A$5:$A$3000,MATCH("ap",'Chart of Accounts'!$F$5:$F$3000,0)),N37&amp;"")</f>
        <v/>
      </c>
      <c r="Z37" s="16">
        <f>IF(O37="",INDEX('Chart of Accounts'!$A$5:$A$3000,MATCH("materials",'Chart of Accounts'!$F$5:$F$3000,0)),O37&amp;"")</f>
        <v/>
      </c>
      <c r="AA37" s="16">
        <f>IF(IFERROR(INDEX(Warehouses!$C$5:$C$1000,MATCH(C37,Warehouses!$A$5:$A$1000,0))&amp;"","")="",INDEX('Chart of Accounts'!$A$5:$A$3000,MATCH("inventory",'Chart of Accounts'!$F$5:$F$3000,0)),IFERROR(INDEX(Warehouses!$C$5:$C$1000,MATCH(C37,Warehouses!$A$5:$A$1000,0))&amp;"",""))</f>
        <v/>
      </c>
      <c r="AB37" s="16">
        <f>IF(IFERROR(INDEX(Warehouses!$C$5:$C$1000,MATCH(D37,Warehouses!$A$5:$A$1000,0))&amp;"","")="",INDEX('Chart of Accounts'!$A$5:$A$3000,MATCH("inventory",'Chart of Accounts'!$F$5:$F$3000,0)),IFERROR(INDEX(Warehouses!$C$5:$C$1000,MATCH(D37,Warehouses!$A$5:$A$1000,0))&amp;"",""))</f>
        <v/>
      </c>
      <c r="AC37" s="21">
        <f>IF(B37="Receipt",N(K37),0)</f>
        <v/>
      </c>
      <c r="AD37" s="16">
        <f>IF(B37="Receipt",AA37,IF(B37="Issue",Z37,IF(B37="Transfer",AB37,IF(N(G37)&gt;=0,AA37,INDEX('Chart of Accounts'!$A$5:$A$3000,MATCH("stock_adjust",'Chart of Accounts'!$F$5:$F$3000,0))))))</f>
        <v/>
      </c>
      <c r="AE37" s="16">
        <f>IF(B37="Receipt",Y37,IF(B37="Adjustment",IF(N(G37)&gt;=0,INDEX('Chart of Accounts'!$A$5:$A$3000,MATCH("stock_adjust",'Chart of Accounts'!$F$5:$F$3000,0)),AA37),AA37))</f>
        <v/>
      </c>
      <c r="AF37" s="21">
        <f>S37+T37-U37-AC37</f>
        <v/>
      </c>
      <c r="AG37" s="23">
        <f>IFERROR(INDEX('Chart of Accounts'!$C$5:$C$3000,MATCH(AD37&amp;"",'Chart of Accounts'!$A$5:$A$3000,0))&amp;"|"&amp;INDEX('Chart of Accounts'!$D$5:$D$3000,MATCH(AD37&amp;"",'Chart of Accounts'!$A$5:$A$3000,0)),"")</f>
        <v/>
      </c>
      <c r="AH37" s="23">
        <f>IFERROR(INDEX('Chart of Accounts'!$C$5:$C$3000,MATCH(V37&amp;"",'Chart of Accounts'!$A$5:$A$3000,0))&amp;"|"&amp;INDEX('Chart of Accounts'!$D$5:$D$3000,MATCH(V37&amp;"",'Chart of Accounts'!$A$5:$A$3000,0)),"")</f>
        <v/>
      </c>
      <c r="AI37" s="23">
        <f>IFERROR(INDEX('Chart of Accounts'!$C$5:$C$3000,MATCH(AE37&amp;"",'Chart of Accounts'!$A$5:$A$3000,0))&amp;"|"&amp;INDEX('Chart of Accounts'!$D$5:$D$3000,MATCH(AE37&amp;"",'Chart of Accounts'!$A$5:$A$3000,0)),"")</f>
        <v/>
      </c>
      <c r="AJ37" s="23">
        <f>IFERROR(INDEX('Chart of Accounts'!$C$5:$C$3000,MATCH(X37&amp;"",'Chart of Accounts'!$A$5:$A$3000,0))&amp;"|"&amp;INDEX('Chart of Accounts'!$D$5:$D$3000,MATCH(X37&amp;"",'Chart of Accounts'!$A$5:$A$3000,0)),"")</f>
        <v/>
      </c>
      <c r="AK37" s="23">
        <f>IFERROR(INDEX('Chart of Accounts'!$C$5:$C$3000,MATCH(W37&amp;"",'Chart of Accounts'!$A$5:$A$3000,0))&amp;"|"&amp;INDEX('Chart of Accounts'!$D$5:$D$3000,MATCH(W37&amp;"",'Chart of Accounts'!$A$5:$A$3000,0)),"")</f>
        <v/>
      </c>
      <c r="AL37" s="23">
        <f>IF(LEFT(AG37,8)="Revenue|",-N(S37),0)+IF(LEFT(AH37,8)="Revenue|",-N(T37),0)+IF(LEFT(AI37,8)="Revenue|",N(AF37),0)+IF(LEFT(AJ37,8)="Revenue|",N(AC37),0)+IF(LEFT(AK37,8)="Revenue|",N(U37),0)</f>
        <v/>
      </c>
      <c r="AM37" s="23">
        <f>IF(LEFT(AG37,5)="COGS|",N(S37),0)+IF(LEFT(AH37,5)="COGS|",N(T37),0)+IF(LEFT(AI37,5)="COGS|",-N(AF37),0)+IF(LEFT(AJ37,5)="COGS|",-N(AC37),0)+IF(LEFT(AK37,5)="COGS|",-N(U37),0)</f>
        <v/>
      </c>
      <c r="AN37" s="23">
        <f>IF(LEFT(AG37,8)="Expense|",N(S37),0)+IF(LEFT(AH37,8)="Expense|",N(T37),0)+IF(LEFT(AI37,8)="Expense|",-N(AF37),0)+IF(LEFT(AJ37,8)="Expense|",-N(AC37),0)+IF(LEFT(AK37,8)="Expense|",-N(U37),0)</f>
        <v/>
      </c>
      <c r="AO37" s="23">
        <f>IF(ISNUMBER(MATCH(AG37,{"Expense|employee","Expense|general_admin","Expense|marketing","Expense|utilities","Expense|other_operating"},0)),N(S37),0)+IF(ISNUMBER(MATCH(AH37,{"Expense|employee","Expense|general_admin","Expense|marketing","Expense|utilities","Expense|other_operating"},0)),N(T37),0)+IF(ISNUMBER(MATCH(AI37,{"Expense|employee","Expense|general_admin","Expense|marketing","Expense|utilities","Expense|other_operating"},0)),-N(AF37),0)+IF(ISNUMBER(MATCH(AJ37,{"Expense|employee","Expense|general_admin","Expense|marketing","Expense|utilities","Expense|other_operating"},0)),-N(AC37),0)+IF(ISNUMBER(MATCH(AK37,{"Expense|employee","Expense|general_admin","Expense|marketing","Expense|utilities","Expense|other_operating"},0)),-N(U37),0)</f>
        <v/>
      </c>
      <c r="AP37" s="23">
        <f>IF(AG37="Liability|payable",-N(S37),0)+IF(AH37="Liability|payable",-N(T37),0)+IF(AI37="Liability|payable",N(AF37),0)+IF(AJ37="Liability|payable",N(AC37),0)+IF(AK37="Liability|payable",N(U37),0)</f>
        <v/>
      </c>
      <c r="AQ37" s="23">
        <f>IF(AG37="Liability|accrued",-N(S37),0)+IF(AH37="Liability|accrued",-N(T37),0)+IF(AI37="Liability|accrued",N(AF37),0)+IF(AJ37="Liability|accrued",N(AC37),0)+IF(AK37="Liability|accrued",N(U37),0)</f>
        <v/>
      </c>
      <c r="AR37" s="23">
        <f>IF(AND(N(S37)&lt;&gt;0,AG37=""),1,0)+IF(AND(N(T37)&lt;&gt;0,AH37=""),1,0)+IF(AND(N(AF37)&lt;&gt;0,AI37=""),1,0)+IF(AND(N(AC37)&lt;&gt;0,AJ37=""),1,0)+IF(AND(N(U37)&lt;&gt;0,AK37=""),1,0)</f>
        <v/>
      </c>
    </row>
    <row r="38">
      <c r="A38" s="19" t="n"/>
      <c r="B38" s="14" t="n"/>
      <c r="C38" s="14" t="n"/>
      <c r="D38" s="14" t="n"/>
      <c r="E38" s="14" t="n"/>
      <c r="F38" s="14" t="n"/>
      <c r="G38" s="14" t="n"/>
      <c r="H38" s="20" t="n"/>
      <c r="I38" s="14" t="n"/>
      <c r="J38" s="14" t="n"/>
      <c r="K38" s="20" t="n"/>
      <c r="L38" s="14" t="n"/>
      <c r="M38" s="14" t="n"/>
      <c r="N38" s="14" t="n"/>
      <c r="O38" s="14" t="n"/>
      <c r="P38" s="14" t="n"/>
      <c r="Q38" s="14" t="n"/>
      <c r="R38" s="14" t="n"/>
      <c r="S38" s="21">
        <f>ROUND(ABS(N(G38))*N(H38),2)</f>
        <v/>
      </c>
      <c r="T38" s="21">
        <f>IF(B38="Receipt",ROUND(S38*IFERROR(VLOOKUP(Q38,'Tax Codes'!$A$5:$E$300,5,FALSE),0),2),0)</f>
        <v/>
      </c>
      <c r="U38" s="21">
        <f>IF(B38="Receipt",ROUND(S38*IFERROR(VLOOKUP(R38,'Tax Codes'!$A$5:$E$300,5,FALSE),0),2),0)</f>
        <v/>
      </c>
      <c r="V38" s="16">
        <f>INDEX('Chart of Accounts'!$A$5:$A$3000,MATCH("vat_input",'Chart of Accounts'!$F$5:$F$3000,0))</f>
        <v/>
      </c>
      <c r="W38" s="16">
        <f>INDEX('Chart of Accounts'!$A$5:$A$3000,MATCH("wht_payable",'Chart of Accounts'!$F$5:$F$3000,0))</f>
        <v/>
      </c>
      <c r="X38" s="16">
        <f>IF(M38="",INDEX('Chart of Accounts'!$A$5:$A$3000,MATCH("bank",'Chart of Accounts'!$F$5:$F$3000,0)),M38&amp;"")</f>
        <v/>
      </c>
      <c r="Y38" s="16">
        <f>IF(N38="",INDEX('Chart of Accounts'!$A$5:$A$3000,MATCH("ap",'Chart of Accounts'!$F$5:$F$3000,0)),N38&amp;"")</f>
        <v/>
      </c>
      <c r="Z38" s="16">
        <f>IF(O38="",INDEX('Chart of Accounts'!$A$5:$A$3000,MATCH("materials",'Chart of Accounts'!$F$5:$F$3000,0)),O38&amp;"")</f>
        <v/>
      </c>
      <c r="AA38" s="16">
        <f>IF(IFERROR(INDEX(Warehouses!$C$5:$C$1000,MATCH(C38,Warehouses!$A$5:$A$1000,0))&amp;"","")="",INDEX('Chart of Accounts'!$A$5:$A$3000,MATCH("inventory",'Chart of Accounts'!$F$5:$F$3000,0)),IFERROR(INDEX(Warehouses!$C$5:$C$1000,MATCH(C38,Warehouses!$A$5:$A$1000,0))&amp;"",""))</f>
        <v/>
      </c>
      <c r="AB38" s="16">
        <f>IF(IFERROR(INDEX(Warehouses!$C$5:$C$1000,MATCH(D38,Warehouses!$A$5:$A$1000,0))&amp;"","")="",INDEX('Chart of Accounts'!$A$5:$A$3000,MATCH("inventory",'Chart of Accounts'!$F$5:$F$3000,0)),IFERROR(INDEX(Warehouses!$C$5:$C$1000,MATCH(D38,Warehouses!$A$5:$A$1000,0))&amp;"",""))</f>
        <v/>
      </c>
      <c r="AC38" s="21">
        <f>IF(B38="Receipt",N(K38),0)</f>
        <v/>
      </c>
      <c r="AD38" s="16">
        <f>IF(B38="Receipt",AA38,IF(B38="Issue",Z38,IF(B38="Transfer",AB38,IF(N(G38)&gt;=0,AA38,INDEX('Chart of Accounts'!$A$5:$A$3000,MATCH("stock_adjust",'Chart of Accounts'!$F$5:$F$3000,0))))))</f>
        <v/>
      </c>
      <c r="AE38" s="16">
        <f>IF(B38="Receipt",Y38,IF(B38="Adjustment",IF(N(G38)&gt;=0,INDEX('Chart of Accounts'!$A$5:$A$3000,MATCH("stock_adjust",'Chart of Accounts'!$F$5:$F$3000,0)),AA38),AA38))</f>
        <v/>
      </c>
      <c r="AF38" s="21">
        <f>S38+T38-U38-AC38</f>
        <v/>
      </c>
      <c r="AG38" s="23">
        <f>IFERROR(INDEX('Chart of Accounts'!$C$5:$C$3000,MATCH(AD38&amp;"",'Chart of Accounts'!$A$5:$A$3000,0))&amp;"|"&amp;INDEX('Chart of Accounts'!$D$5:$D$3000,MATCH(AD38&amp;"",'Chart of Accounts'!$A$5:$A$3000,0)),"")</f>
        <v/>
      </c>
      <c r="AH38" s="23">
        <f>IFERROR(INDEX('Chart of Accounts'!$C$5:$C$3000,MATCH(V38&amp;"",'Chart of Accounts'!$A$5:$A$3000,0))&amp;"|"&amp;INDEX('Chart of Accounts'!$D$5:$D$3000,MATCH(V38&amp;"",'Chart of Accounts'!$A$5:$A$3000,0)),"")</f>
        <v/>
      </c>
      <c r="AI38" s="23">
        <f>IFERROR(INDEX('Chart of Accounts'!$C$5:$C$3000,MATCH(AE38&amp;"",'Chart of Accounts'!$A$5:$A$3000,0))&amp;"|"&amp;INDEX('Chart of Accounts'!$D$5:$D$3000,MATCH(AE38&amp;"",'Chart of Accounts'!$A$5:$A$3000,0)),"")</f>
        <v/>
      </c>
      <c r="AJ38" s="23">
        <f>IFERROR(INDEX('Chart of Accounts'!$C$5:$C$3000,MATCH(X38&amp;"",'Chart of Accounts'!$A$5:$A$3000,0))&amp;"|"&amp;INDEX('Chart of Accounts'!$D$5:$D$3000,MATCH(X38&amp;"",'Chart of Accounts'!$A$5:$A$3000,0)),"")</f>
        <v/>
      </c>
      <c r="AK38" s="23">
        <f>IFERROR(INDEX('Chart of Accounts'!$C$5:$C$3000,MATCH(W38&amp;"",'Chart of Accounts'!$A$5:$A$3000,0))&amp;"|"&amp;INDEX('Chart of Accounts'!$D$5:$D$3000,MATCH(W38&amp;"",'Chart of Accounts'!$A$5:$A$3000,0)),"")</f>
        <v/>
      </c>
      <c r="AL38" s="23">
        <f>IF(LEFT(AG38,8)="Revenue|",-N(S38),0)+IF(LEFT(AH38,8)="Revenue|",-N(T38),0)+IF(LEFT(AI38,8)="Revenue|",N(AF38),0)+IF(LEFT(AJ38,8)="Revenue|",N(AC38),0)+IF(LEFT(AK38,8)="Revenue|",N(U38),0)</f>
        <v/>
      </c>
      <c r="AM38" s="23">
        <f>IF(LEFT(AG38,5)="COGS|",N(S38),0)+IF(LEFT(AH38,5)="COGS|",N(T38),0)+IF(LEFT(AI38,5)="COGS|",-N(AF38),0)+IF(LEFT(AJ38,5)="COGS|",-N(AC38),0)+IF(LEFT(AK38,5)="COGS|",-N(U38),0)</f>
        <v/>
      </c>
      <c r="AN38" s="23">
        <f>IF(LEFT(AG38,8)="Expense|",N(S38),0)+IF(LEFT(AH38,8)="Expense|",N(T38),0)+IF(LEFT(AI38,8)="Expense|",-N(AF38),0)+IF(LEFT(AJ38,8)="Expense|",-N(AC38),0)+IF(LEFT(AK38,8)="Expense|",-N(U38),0)</f>
        <v/>
      </c>
      <c r="AO38" s="23">
        <f>IF(ISNUMBER(MATCH(AG38,{"Expense|employee","Expense|general_admin","Expense|marketing","Expense|utilities","Expense|other_operating"},0)),N(S38),0)+IF(ISNUMBER(MATCH(AH38,{"Expense|employee","Expense|general_admin","Expense|marketing","Expense|utilities","Expense|other_operating"},0)),N(T38),0)+IF(ISNUMBER(MATCH(AI38,{"Expense|employee","Expense|general_admin","Expense|marketing","Expense|utilities","Expense|other_operating"},0)),-N(AF38),0)+IF(ISNUMBER(MATCH(AJ38,{"Expense|employee","Expense|general_admin","Expense|marketing","Expense|utilities","Expense|other_operating"},0)),-N(AC38),0)+IF(ISNUMBER(MATCH(AK38,{"Expense|employee","Expense|general_admin","Expense|marketing","Expense|utilities","Expense|other_operating"},0)),-N(U38),0)</f>
        <v/>
      </c>
      <c r="AP38" s="23">
        <f>IF(AG38="Liability|payable",-N(S38),0)+IF(AH38="Liability|payable",-N(T38),0)+IF(AI38="Liability|payable",N(AF38),0)+IF(AJ38="Liability|payable",N(AC38),0)+IF(AK38="Liability|payable",N(U38),0)</f>
        <v/>
      </c>
      <c r="AQ38" s="23">
        <f>IF(AG38="Liability|accrued",-N(S38),0)+IF(AH38="Liability|accrued",-N(T38),0)+IF(AI38="Liability|accrued",N(AF38),0)+IF(AJ38="Liability|accrued",N(AC38),0)+IF(AK38="Liability|accrued",N(U38),0)</f>
        <v/>
      </c>
      <c r="AR38" s="23">
        <f>IF(AND(N(S38)&lt;&gt;0,AG38=""),1,0)+IF(AND(N(T38)&lt;&gt;0,AH38=""),1,0)+IF(AND(N(AF38)&lt;&gt;0,AI38=""),1,0)+IF(AND(N(AC38)&lt;&gt;0,AJ38=""),1,0)+IF(AND(N(U38)&lt;&gt;0,AK38=""),1,0)</f>
        <v/>
      </c>
    </row>
    <row r="39">
      <c r="A39" s="19" t="n"/>
      <c r="B39" s="14" t="n"/>
      <c r="C39" s="14" t="n"/>
      <c r="D39" s="14" t="n"/>
      <c r="E39" s="14" t="n"/>
      <c r="F39" s="14" t="n"/>
      <c r="G39" s="14" t="n"/>
      <c r="H39" s="20" t="n"/>
      <c r="I39" s="14" t="n"/>
      <c r="J39" s="14" t="n"/>
      <c r="K39" s="20" t="n"/>
      <c r="L39" s="14" t="n"/>
      <c r="M39" s="14" t="n"/>
      <c r="N39" s="14" t="n"/>
      <c r="O39" s="14" t="n"/>
      <c r="P39" s="14" t="n"/>
      <c r="Q39" s="14" t="n"/>
      <c r="R39" s="14" t="n"/>
      <c r="S39" s="21">
        <f>ROUND(ABS(N(G39))*N(H39),2)</f>
        <v/>
      </c>
      <c r="T39" s="21">
        <f>IF(B39="Receipt",ROUND(S39*IFERROR(VLOOKUP(Q39,'Tax Codes'!$A$5:$E$300,5,FALSE),0),2),0)</f>
        <v/>
      </c>
      <c r="U39" s="21">
        <f>IF(B39="Receipt",ROUND(S39*IFERROR(VLOOKUP(R39,'Tax Codes'!$A$5:$E$300,5,FALSE),0),2),0)</f>
        <v/>
      </c>
      <c r="V39" s="16">
        <f>INDEX('Chart of Accounts'!$A$5:$A$3000,MATCH("vat_input",'Chart of Accounts'!$F$5:$F$3000,0))</f>
        <v/>
      </c>
      <c r="W39" s="16">
        <f>INDEX('Chart of Accounts'!$A$5:$A$3000,MATCH("wht_payable",'Chart of Accounts'!$F$5:$F$3000,0))</f>
        <v/>
      </c>
      <c r="X39" s="16">
        <f>IF(M39="",INDEX('Chart of Accounts'!$A$5:$A$3000,MATCH("bank",'Chart of Accounts'!$F$5:$F$3000,0)),M39&amp;"")</f>
        <v/>
      </c>
      <c r="Y39" s="16">
        <f>IF(N39="",INDEX('Chart of Accounts'!$A$5:$A$3000,MATCH("ap",'Chart of Accounts'!$F$5:$F$3000,0)),N39&amp;"")</f>
        <v/>
      </c>
      <c r="Z39" s="16">
        <f>IF(O39="",INDEX('Chart of Accounts'!$A$5:$A$3000,MATCH("materials",'Chart of Accounts'!$F$5:$F$3000,0)),O39&amp;"")</f>
        <v/>
      </c>
      <c r="AA39" s="16">
        <f>IF(IFERROR(INDEX(Warehouses!$C$5:$C$1000,MATCH(C39,Warehouses!$A$5:$A$1000,0))&amp;"","")="",INDEX('Chart of Accounts'!$A$5:$A$3000,MATCH("inventory",'Chart of Accounts'!$F$5:$F$3000,0)),IFERROR(INDEX(Warehouses!$C$5:$C$1000,MATCH(C39,Warehouses!$A$5:$A$1000,0))&amp;"",""))</f>
        <v/>
      </c>
      <c r="AB39" s="16">
        <f>IF(IFERROR(INDEX(Warehouses!$C$5:$C$1000,MATCH(D39,Warehouses!$A$5:$A$1000,0))&amp;"","")="",INDEX('Chart of Accounts'!$A$5:$A$3000,MATCH("inventory",'Chart of Accounts'!$F$5:$F$3000,0)),IFERROR(INDEX(Warehouses!$C$5:$C$1000,MATCH(D39,Warehouses!$A$5:$A$1000,0))&amp;"",""))</f>
        <v/>
      </c>
      <c r="AC39" s="21">
        <f>IF(B39="Receipt",N(K39),0)</f>
        <v/>
      </c>
      <c r="AD39" s="16">
        <f>IF(B39="Receipt",AA39,IF(B39="Issue",Z39,IF(B39="Transfer",AB39,IF(N(G39)&gt;=0,AA39,INDEX('Chart of Accounts'!$A$5:$A$3000,MATCH("stock_adjust",'Chart of Accounts'!$F$5:$F$3000,0))))))</f>
        <v/>
      </c>
      <c r="AE39" s="16">
        <f>IF(B39="Receipt",Y39,IF(B39="Adjustment",IF(N(G39)&gt;=0,INDEX('Chart of Accounts'!$A$5:$A$3000,MATCH("stock_adjust",'Chart of Accounts'!$F$5:$F$3000,0)),AA39),AA39))</f>
        <v/>
      </c>
      <c r="AF39" s="21">
        <f>S39+T39-U39-AC39</f>
        <v/>
      </c>
      <c r="AG39" s="23">
        <f>IFERROR(INDEX('Chart of Accounts'!$C$5:$C$3000,MATCH(AD39&amp;"",'Chart of Accounts'!$A$5:$A$3000,0))&amp;"|"&amp;INDEX('Chart of Accounts'!$D$5:$D$3000,MATCH(AD39&amp;"",'Chart of Accounts'!$A$5:$A$3000,0)),"")</f>
        <v/>
      </c>
      <c r="AH39" s="23">
        <f>IFERROR(INDEX('Chart of Accounts'!$C$5:$C$3000,MATCH(V39&amp;"",'Chart of Accounts'!$A$5:$A$3000,0))&amp;"|"&amp;INDEX('Chart of Accounts'!$D$5:$D$3000,MATCH(V39&amp;"",'Chart of Accounts'!$A$5:$A$3000,0)),"")</f>
        <v/>
      </c>
      <c r="AI39" s="23">
        <f>IFERROR(INDEX('Chart of Accounts'!$C$5:$C$3000,MATCH(AE39&amp;"",'Chart of Accounts'!$A$5:$A$3000,0))&amp;"|"&amp;INDEX('Chart of Accounts'!$D$5:$D$3000,MATCH(AE39&amp;"",'Chart of Accounts'!$A$5:$A$3000,0)),"")</f>
        <v/>
      </c>
      <c r="AJ39" s="23">
        <f>IFERROR(INDEX('Chart of Accounts'!$C$5:$C$3000,MATCH(X39&amp;"",'Chart of Accounts'!$A$5:$A$3000,0))&amp;"|"&amp;INDEX('Chart of Accounts'!$D$5:$D$3000,MATCH(X39&amp;"",'Chart of Accounts'!$A$5:$A$3000,0)),"")</f>
        <v/>
      </c>
      <c r="AK39" s="23">
        <f>IFERROR(INDEX('Chart of Accounts'!$C$5:$C$3000,MATCH(W39&amp;"",'Chart of Accounts'!$A$5:$A$3000,0))&amp;"|"&amp;INDEX('Chart of Accounts'!$D$5:$D$3000,MATCH(W39&amp;"",'Chart of Accounts'!$A$5:$A$3000,0)),"")</f>
        <v/>
      </c>
      <c r="AL39" s="23">
        <f>IF(LEFT(AG39,8)="Revenue|",-N(S39),0)+IF(LEFT(AH39,8)="Revenue|",-N(T39),0)+IF(LEFT(AI39,8)="Revenue|",N(AF39),0)+IF(LEFT(AJ39,8)="Revenue|",N(AC39),0)+IF(LEFT(AK39,8)="Revenue|",N(U39),0)</f>
        <v/>
      </c>
      <c r="AM39" s="23">
        <f>IF(LEFT(AG39,5)="COGS|",N(S39),0)+IF(LEFT(AH39,5)="COGS|",N(T39),0)+IF(LEFT(AI39,5)="COGS|",-N(AF39),0)+IF(LEFT(AJ39,5)="COGS|",-N(AC39),0)+IF(LEFT(AK39,5)="COGS|",-N(U39),0)</f>
        <v/>
      </c>
      <c r="AN39" s="23">
        <f>IF(LEFT(AG39,8)="Expense|",N(S39),0)+IF(LEFT(AH39,8)="Expense|",N(T39),0)+IF(LEFT(AI39,8)="Expense|",-N(AF39),0)+IF(LEFT(AJ39,8)="Expense|",-N(AC39),0)+IF(LEFT(AK39,8)="Expense|",-N(U39),0)</f>
        <v/>
      </c>
      <c r="AO39" s="23">
        <f>IF(ISNUMBER(MATCH(AG39,{"Expense|employee","Expense|general_admin","Expense|marketing","Expense|utilities","Expense|other_operating"},0)),N(S39),0)+IF(ISNUMBER(MATCH(AH39,{"Expense|employee","Expense|general_admin","Expense|marketing","Expense|utilities","Expense|other_operating"},0)),N(T39),0)+IF(ISNUMBER(MATCH(AI39,{"Expense|employee","Expense|general_admin","Expense|marketing","Expense|utilities","Expense|other_operating"},0)),-N(AF39),0)+IF(ISNUMBER(MATCH(AJ39,{"Expense|employee","Expense|general_admin","Expense|marketing","Expense|utilities","Expense|other_operating"},0)),-N(AC39),0)+IF(ISNUMBER(MATCH(AK39,{"Expense|employee","Expense|general_admin","Expense|marketing","Expense|utilities","Expense|other_operating"},0)),-N(U39),0)</f>
        <v/>
      </c>
      <c r="AP39" s="23">
        <f>IF(AG39="Liability|payable",-N(S39),0)+IF(AH39="Liability|payable",-N(T39),0)+IF(AI39="Liability|payable",N(AF39),0)+IF(AJ39="Liability|payable",N(AC39),0)+IF(AK39="Liability|payable",N(U39),0)</f>
        <v/>
      </c>
      <c r="AQ39" s="23">
        <f>IF(AG39="Liability|accrued",-N(S39),0)+IF(AH39="Liability|accrued",-N(T39),0)+IF(AI39="Liability|accrued",N(AF39),0)+IF(AJ39="Liability|accrued",N(AC39),0)+IF(AK39="Liability|accrued",N(U39),0)</f>
        <v/>
      </c>
      <c r="AR39" s="23">
        <f>IF(AND(N(S39)&lt;&gt;0,AG39=""),1,0)+IF(AND(N(T39)&lt;&gt;0,AH39=""),1,0)+IF(AND(N(AF39)&lt;&gt;0,AI39=""),1,0)+IF(AND(N(AC39)&lt;&gt;0,AJ39=""),1,0)+IF(AND(N(U39)&lt;&gt;0,AK39=""),1,0)</f>
        <v/>
      </c>
    </row>
    <row r="40">
      <c r="A40" s="19" t="n"/>
      <c r="B40" s="14" t="n"/>
      <c r="C40" s="14" t="n"/>
      <c r="D40" s="14" t="n"/>
      <c r="E40" s="14" t="n"/>
      <c r="F40" s="14" t="n"/>
      <c r="G40" s="14" t="n"/>
      <c r="H40" s="20" t="n"/>
      <c r="I40" s="14" t="n"/>
      <c r="J40" s="14" t="n"/>
      <c r="K40" s="20" t="n"/>
      <c r="L40" s="14" t="n"/>
      <c r="M40" s="14" t="n"/>
      <c r="N40" s="14" t="n"/>
      <c r="O40" s="14" t="n"/>
      <c r="P40" s="14" t="n"/>
      <c r="Q40" s="14" t="n"/>
      <c r="R40" s="14" t="n"/>
      <c r="S40" s="21">
        <f>ROUND(ABS(N(G40))*N(H40),2)</f>
        <v/>
      </c>
      <c r="T40" s="21">
        <f>IF(B40="Receipt",ROUND(S40*IFERROR(VLOOKUP(Q40,'Tax Codes'!$A$5:$E$300,5,FALSE),0),2),0)</f>
        <v/>
      </c>
      <c r="U40" s="21">
        <f>IF(B40="Receipt",ROUND(S40*IFERROR(VLOOKUP(R40,'Tax Codes'!$A$5:$E$300,5,FALSE),0),2),0)</f>
        <v/>
      </c>
      <c r="V40" s="16">
        <f>INDEX('Chart of Accounts'!$A$5:$A$3000,MATCH("vat_input",'Chart of Accounts'!$F$5:$F$3000,0))</f>
        <v/>
      </c>
      <c r="W40" s="16">
        <f>INDEX('Chart of Accounts'!$A$5:$A$3000,MATCH("wht_payable",'Chart of Accounts'!$F$5:$F$3000,0))</f>
        <v/>
      </c>
      <c r="X40" s="16">
        <f>IF(M40="",INDEX('Chart of Accounts'!$A$5:$A$3000,MATCH("bank",'Chart of Accounts'!$F$5:$F$3000,0)),M40&amp;"")</f>
        <v/>
      </c>
      <c r="Y40" s="16">
        <f>IF(N40="",INDEX('Chart of Accounts'!$A$5:$A$3000,MATCH("ap",'Chart of Accounts'!$F$5:$F$3000,0)),N40&amp;"")</f>
        <v/>
      </c>
      <c r="Z40" s="16">
        <f>IF(O40="",INDEX('Chart of Accounts'!$A$5:$A$3000,MATCH("materials",'Chart of Accounts'!$F$5:$F$3000,0)),O40&amp;"")</f>
        <v/>
      </c>
      <c r="AA40" s="16">
        <f>IF(IFERROR(INDEX(Warehouses!$C$5:$C$1000,MATCH(C40,Warehouses!$A$5:$A$1000,0))&amp;"","")="",INDEX('Chart of Accounts'!$A$5:$A$3000,MATCH("inventory",'Chart of Accounts'!$F$5:$F$3000,0)),IFERROR(INDEX(Warehouses!$C$5:$C$1000,MATCH(C40,Warehouses!$A$5:$A$1000,0))&amp;"",""))</f>
        <v/>
      </c>
      <c r="AB40" s="16">
        <f>IF(IFERROR(INDEX(Warehouses!$C$5:$C$1000,MATCH(D40,Warehouses!$A$5:$A$1000,0))&amp;"","")="",INDEX('Chart of Accounts'!$A$5:$A$3000,MATCH("inventory",'Chart of Accounts'!$F$5:$F$3000,0)),IFERROR(INDEX(Warehouses!$C$5:$C$1000,MATCH(D40,Warehouses!$A$5:$A$1000,0))&amp;"",""))</f>
        <v/>
      </c>
      <c r="AC40" s="21">
        <f>IF(B40="Receipt",N(K40),0)</f>
        <v/>
      </c>
      <c r="AD40" s="16">
        <f>IF(B40="Receipt",AA40,IF(B40="Issue",Z40,IF(B40="Transfer",AB40,IF(N(G40)&gt;=0,AA40,INDEX('Chart of Accounts'!$A$5:$A$3000,MATCH("stock_adjust",'Chart of Accounts'!$F$5:$F$3000,0))))))</f>
        <v/>
      </c>
      <c r="AE40" s="16">
        <f>IF(B40="Receipt",Y40,IF(B40="Adjustment",IF(N(G40)&gt;=0,INDEX('Chart of Accounts'!$A$5:$A$3000,MATCH("stock_adjust",'Chart of Accounts'!$F$5:$F$3000,0)),AA40),AA40))</f>
        <v/>
      </c>
      <c r="AF40" s="21">
        <f>S40+T40-U40-AC40</f>
        <v/>
      </c>
      <c r="AG40" s="23">
        <f>IFERROR(INDEX('Chart of Accounts'!$C$5:$C$3000,MATCH(AD40&amp;"",'Chart of Accounts'!$A$5:$A$3000,0))&amp;"|"&amp;INDEX('Chart of Accounts'!$D$5:$D$3000,MATCH(AD40&amp;"",'Chart of Accounts'!$A$5:$A$3000,0)),"")</f>
        <v/>
      </c>
      <c r="AH40" s="23">
        <f>IFERROR(INDEX('Chart of Accounts'!$C$5:$C$3000,MATCH(V40&amp;"",'Chart of Accounts'!$A$5:$A$3000,0))&amp;"|"&amp;INDEX('Chart of Accounts'!$D$5:$D$3000,MATCH(V40&amp;"",'Chart of Accounts'!$A$5:$A$3000,0)),"")</f>
        <v/>
      </c>
      <c r="AI40" s="23">
        <f>IFERROR(INDEX('Chart of Accounts'!$C$5:$C$3000,MATCH(AE40&amp;"",'Chart of Accounts'!$A$5:$A$3000,0))&amp;"|"&amp;INDEX('Chart of Accounts'!$D$5:$D$3000,MATCH(AE40&amp;"",'Chart of Accounts'!$A$5:$A$3000,0)),"")</f>
        <v/>
      </c>
      <c r="AJ40" s="23">
        <f>IFERROR(INDEX('Chart of Accounts'!$C$5:$C$3000,MATCH(X40&amp;"",'Chart of Accounts'!$A$5:$A$3000,0))&amp;"|"&amp;INDEX('Chart of Accounts'!$D$5:$D$3000,MATCH(X40&amp;"",'Chart of Accounts'!$A$5:$A$3000,0)),"")</f>
        <v/>
      </c>
      <c r="AK40" s="23">
        <f>IFERROR(INDEX('Chart of Accounts'!$C$5:$C$3000,MATCH(W40&amp;"",'Chart of Accounts'!$A$5:$A$3000,0))&amp;"|"&amp;INDEX('Chart of Accounts'!$D$5:$D$3000,MATCH(W40&amp;"",'Chart of Accounts'!$A$5:$A$3000,0)),"")</f>
        <v/>
      </c>
      <c r="AL40" s="23">
        <f>IF(LEFT(AG40,8)="Revenue|",-N(S40),0)+IF(LEFT(AH40,8)="Revenue|",-N(T40),0)+IF(LEFT(AI40,8)="Revenue|",N(AF40),0)+IF(LEFT(AJ40,8)="Revenue|",N(AC40),0)+IF(LEFT(AK40,8)="Revenue|",N(U40),0)</f>
        <v/>
      </c>
      <c r="AM40" s="23">
        <f>IF(LEFT(AG40,5)="COGS|",N(S40),0)+IF(LEFT(AH40,5)="COGS|",N(T40),0)+IF(LEFT(AI40,5)="COGS|",-N(AF40),0)+IF(LEFT(AJ40,5)="COGS|",-N(AC40),0)+IF(LEFT(AK40,5)="COGS|",-N(U40),0)</f>
        <v/>
      </c>
      <c r="AN40" s="23">
        <f>IF(LEFT(AG40,8)="Expense|",N(S40),0)+IF(LEFT(AH40,8)="Expense|",N(T40),0)+IF(LEFT(AI40,8)="Expense|",-N(AF40),0)+IF(LEFT(AJ40,8)="Expense|",-N(AC40),0)+IF(LEFT(AK40,8)="Expense|",-N(U40),0)</f>
        <v/>
      </c>
      <c r="AO40" s="23">
        <f>IF(ISNUMBER(MATCH(AG40,{"Expense|employee","Expense|general_admin","Expense|marketing","Expense|utilities","Expense|other_operating"},0)),N(S40),0)+IF(ISNUMBER(MATCH(AH40,{"Expense|employee","Expense|general_admin","Expense|marketing","Expense|utilities","Expense|other_operating"},0)),N(T40),0)+IF(ISNUMBER(MATCH(AI40,{"Expense|employee","Expense|general_admin","Expense|marketing","Expense|utilities","Expense|other_operating"},0)),-N(AF40),0)+IF(ISNUMBER(MATCH(AJ40,{"Expense|employee","Expense|general_admin","Expense|marketing","Expense|utilities","Expense|other_operating"},0)),-N(AC40),0)+IF(ISNUMBER(MATCH(AK40,{"Expense|employee","Expense|general_admin","Expense|marketing","Expense|utilities","Expense|other_operating"},0)),-N(U40),0)</f>
        <v/>
      </c>
      <c r="AP40" s="23">
        <f>IF(AG40="Liability|payable",-N(S40),0)+IF(AH40="Liability|payable",-N(T40),0)+IF(AI40="Liability|payable",N(AF40),0)+IF(AJ40="Liability|payable",N(AC40),0)+IF(AK40="Liability|payable",N(U40),0)</f>
        <v/>
      </c>
      <c r="AQ40" s="23">
        <f>IF(AG40="Liability|accrued",-N(S40),0)+IF(AH40="Liability|accrued",-N(T40),0)+IF(AI40="Liability|accrued",N(AF40),0)+IF(AJ40="Liability|accrued",N(AC40),0)+IF(AK40="Liability|accrued",N(U40),0)</f>
        <v/>
      </c>
      <c r="AR40" s="23">
        <f>IF(AND(N(S40)&lt;&gt;0,AG40=""),1,0)+IF(AND(N(T40)&lt;&gt;0,AH40=""),1,0)+IF(AND(N(AF40)&lt;&gt;0,AI40=""),1,0)+IF(AND(N(AC40)&lt;&gt;0,AJ40=""),1,0)+IF(AND(N(U40)&lt;&gt;0,AK40=""),1,0)</f>
        <v/>
      </c>
    </row>
    <row r="41">
      <c r="A41" s="19" t="n"/>
      <c r="B41" s="14" t="n"/>
      <c r="C41" s="14" t="n"/>
      <c r="D41" s="14" t="n"/>
      <c r="E41" s="14" t="n"/>
      <c r="F41" s="14" t="n"/>
      <c r="G41" s="14" t="n"/>
      <c r="H41" s="20" t="n"/>
      <c r="I41" s="14" t="n"/>
      <c r="J41" s="14" t="n"/>
      <c r="K41" s="20" t="n"/>
      <c r="L41" s="14" t="n"/>
      <c r="M41" s="14" t="n"/>
      <c r="N41" s="14" t="n"/>
      <c r="O41" s="14" t="n"/>
      <c r="P41" s="14" t="n"/>
      <c r="Q41" s="14" t="n"/>
      <c r="R41" s="14" t="n"/>
      <c r="S41" s="21">
        <f>ROUND(ABS(N(G41))*N(H41),2)</f>
        <v/>
      </c>
      <c r="T41" s="21">
        <f>IF(B41="Receipt",ROUND(S41*IFERROR(VLOOKUP(Q41,'Tax Codes'!$A$5:$E$300,5,FALSE),0),2),0)</f>
        <v/>
      </c>
      <c r="U41" s="21">
        <f>IF(B41="Receipt",ROUND(S41*IFERROR(VLOOKUP(R41,'Tax Codes'!$A$5:$E$300,5,FALSE),0),2),0)</f>
        <v/>
      </c>
      <c r="V41" s="16">
        <f>INDEX('Chart of Accounts'!$A$5:$A$3000,MATCH("vat_input",'Chart of Accounts'!$F$5:$F$3000,0))</f>
        <v/>
      </c>
      <c r="W41" s="16">
        <f>INDEX('Chart of Accounts'!$A$5:$A$3000,MATCH("wht_payable",'Chart of Accounts'!$F$5:$F$3000,0))</f>
        <v/>
      </c>
      <c r="X41" s="16">
        <f>IF(M41="",INDEX('Chart of Accounts'!$A$5:$A$3000,MATCH("bank",'Chart of Accounts'!$F$5:$F$3000,0)),M41&amp;"")</f>
        <v/>
      </c>
      <c r="Y41" s="16">
        <f>IF(N41="",INDEX('Chart of Accounts'!$A$5:$A$3000,MATCH("ap",'Chart of Accounts'!$F$5:$F$3000,0)),N41&amp;"")</f>
        <v/>
      </c>
      <c r="Z41" s="16">
        <f>IF(O41="",INDEX('Chart of Accounts'!$A$5:$A$3000,MATCH("materials",'Chart of Accounts'!$F$5:$F$3000,0)),O41&amp;"")</f>
        <v/>
      </c>
      <c r="AA41" s="16">
        <f>IF(IFERROR(INDEX(Warehouses!$C$5:$C$1000,MATCH(C41,Warehouses!$A$5:$A$1000,0))&amp;"","")="",INDEX('Chart of Accounts'!$A$5:$A$3000,MATCH("inventory",'Chart of Accounts'!$F$5:$F$3000,0)),IFERROR(INDEX(Warehouses!$C$5:$C$1000,MATCH(C41,Warehouses!$A$5:$A$1000,0))&amp;"",""))</f>
        <v/>
      </c>
      <c r="AB41" s="16">
        <f>IF(IFERROR(INDEX(Warehouses!$C$5:$C$1000,MATCH(D41,Warehouses!$A$5:$A$1000,0))&amp;"","")="",INDEX('Chart of Accounts'!$A$5:$A$3000,MATCH("inventory",'Chart of Accounts'!$F$5:$F$3000,0)),IFERROR(INDEX(Warehouses!$C$5:$C$1000,MATCH(D41,Warehouses!$A$5:$A$1000,0))&amp;"",""))</f>
        <v/>
      </c>
      <c r="AC41" s="21">
        <f>IF(B41="Receipt",N(K41),0)</f>
        <v/>
      </c>
      <c r="AD41" s="16">
        <f>IF(B41="Receipt",AA41,IF(B41="Issue",Z41,IF(B41="Transfer",AB41,IF(N(G41)&gt;=0,AA41,INDEX('Chart of Accounts'!$A$5:$A$3000,MATCH("stock_adjust",'Chart of Accounts'!$F$5:$F$3000,0))))))</f>
        <v/>
      </c>
      <c r="AE41" s="16">
        <f>IF(B41="Receipt",Y41,IF(B41="Adjustment",IF(N(G41)&gt;=0,INDEX('Chart of Accounts'!$A$5:$A$3000,MATCH("stock_adjust",'Chart of Accounts'!$F$5:$F$3000,0)),AA41),AA41))</f>
        <v/>
      </c>
      <c r="AF41" s="21">
        <f>S41+T41-U41-AC41</f>
        <v/>
      </c>
      <c r="AG41" s="23">
        <f>IFERROR(INDEX('Chart of Accounts'!$C$5:$C$3000,MATCH(AD41&amp;"",'Chart of Accounts'!$A$5:$A$3000,0))&amp;"|"&amp;INDEX('Chart of Accounts'!$D$5:$D$3000,MATCH(AD41&amp;"",'Chart of Accounts'!$A$5:$A$3000,0)),"")</f>
        <v/>
      </c>
      <c r="AH41" s="23">
        <f>IFERROR(INDEX('Chart of Accounts'!$C$5:$C$3000,MATCH(V41&amp;"",'Chart of Accounts'!$A$5:$A$3000,0))&amp;"|"&amp;INDEX('Chart of Accounts'!$D$5:$D$3000,MATCH(V41&amp;"",'Chart of Accounts'!$A$5:$A$3000,0)),"")</f>
        <v/>
      </c>
      <c r="AI41" s="23">
        <f>IFERROR(INDEX('Chart of Accounts'!$C$5:$C$3000,MATCH(AE41&amp;"",'Chart of Accounts'!$A$5:$A$3000,0))&amp;"|"&amp;INDEX('Chart of Accounts'!$D$5:$D$3000,MATCH(AE41&amp;"",'Chart of Accounts'!$A$5:$A$3000,0)),"")</f>
        <v/>
      </c>
      <c r="AJ41" s="23">
        <f>IFERROR(INDEX('Chart of Accounts'!$C$5:$C$3000,MATCH(X41&amp;"",'Chart of Accounts'!$A$5:$A$3000,0))&amp;"|"&amp;INDEX('Chart of Accounts'!$D$5:$D$3000,MATCH(X41&amp;"",'Chart of Accounts'!$A$5:$A$3000,0)),"")</f>
        <v/>
      </c>
      <c r="AK41" s="23">
        <f>IFERROR(INDEX('Chart of Accounts'!$C$5:$C$3000,MATCH(W41&amp;"",'Chart of Accounts'!$A$5:$A$3000,0))&amp;"|"&amp;INDEX('Chart of Accounts'!$D$5:$D$3000,MATCH(W41&amp;"",'Chart of Accounts'!$A$5:$A$3000,0)),"")</f>
        <v/>
      </c>
      <c r="AL41" s="23">
        <f>IF(LEFT(AG41,8)="Revenue|",-N(S41),0)+IF(LEFT(AH41,8)="Revenue|",-N(T41),0)+IF(LEFT(AI41,8)="Revenue|",N(AF41),0)+IF(LEFT(AJ41,8)="Revenue|",N(AC41),0)+IF(LEFT(AK41,8)="Revenue|",N(U41),0)</f>
        <v/>
      </c>
      <c r="AM41" s="23">
        <f>IF(LEFT(AG41,5)="COGS|",N(S41),0)+IF(LEFT(AH41,5)="COGS|",N(T41),0)+IF(LEFT(AI41,5)="COGS|",-N(AF41),0)+IF(LEFT(AJ41,5)="COGS|",-N(AC41),0)+IF(LEFT(AK41,5)="COGS|",-N(U41),0)</f>
        <v/>
      </c>
      <c r="AN41" s="23">
        <f>IF(LEFT(AG41,8)="Expense|",N(S41),0)+IF(LEFT(AH41,8)="Expense|",N(T41),0)+IF(LEFT(AI41,8)="Expense|",-N(AF41),0)+IF(LEFT(AJ41,8)="Expense|",-N(AC41),0)+IF(LEFT(AK41,8)="Expense|",-N(U41),0)</f>
        <v/>
      </c>
      <c r="AO41" s="23">
        <f>IF(ISNUMBER(MATCH(AG41,{"Expense|employee","Expense|general_admin","Expense|marketing","Expense|utilities","Expense|other_operating"},0)),N(S41),0)+IF(ISNUMBER(MATCH(AH41,{"Expense|employee","Expense|general_admin","Expense|marketing","Expense|utilities","Expense|other_operating"},0)),N(T41),0)+IF(ISNUMBER(MATCH(AI41,{"Expense|employee","Expense|general_admin","Expense|marketing","Expense|utilities","Expense|other_operating"},0)),-N(AF41),0)+IF(ISNUMBER(MATCH(AJ41,{"Expense|employee","Expense|general_admin","Expense|marketing","Expense|utilities","Expense|other_operating"},0)),-N(AC41),0)+IF(ISNUMBER(MATCH(AK41,{"Expense|employee","Expense|general_admin","Expense|marketing","Expense|utilities","Expense|other_operating"},0)),-N(U41),0)</f>
        <v/>
      </c>
      <c r="AP41" s="23">
        <f>IF(AG41="Liability|payable",-N(S41),0)+IF(AH41="Liability|payable",-N(T41),0)+IF(AI41="Liability|payable",N(AF41),0)+IF(AJ41="Liability|payable",N(AC41),0)+IF(AK41="Liability|payable",N(U41),0)</f>
        <v/>
      </c>
      <c r="AQ41" s="23">
        <f>IF(AG41="Liability|accrued",-N(S41),0)+IF(AH41="Liability|accrued",-N(T41),0)+IF(AI41="Liability|accrued",N(AF41),0)+IF(AJ41="Liability|accrued",N(AC41),0)+IF(AK41="Liability|accrued",N(U41),0)</f>
        <v/>
      </c>
      <c r="AR41" s="23">
        <f>IF(AND(N(S41)&lt;&gt;0,AG41=""),1,0)+IF(AND(N(T41)&lt;&gt;0,AH41=""),1,0)+IF(AND(N(AF41)&lt;&gt;0,AI41=""),1,0)+IF(AND(N(AC41)&lt;&gt;0,AJ41=""),1,0)+IF(AND(N(U41)&lt;&gt;0,AK41=""),1,0)</f>
        <v/>
      </c>
    </row>
    <row r="42">
      <c r="A42" s="19" t="n"/>
      <c r="B42" s="14" t="n"/>
      <c r="C42" s="14" t="n"/>
      <c r="D42" s="14" t="n"/>
      <c r="E42" s="14" t="n"/>
      <c r="F42" s="14" t="n"/>
      <c r="G42" s="14" t="n"/>
      <c r="H42" s="20" t="n"/>
      <c r="I42" s="14" t="n"/>
      <c r="J42" s="14" t="n"/>
      <c r="K42" s="20" t="n"/>
      <c r="L42" s="14" t="n"/>
      <c r="M42" s="14" t="n"/>
      <c r="N42" s="14" t="n"/>
      <c r="O42" s="14" t="n"/>
      <c r="P42" s="14" t="n"/>
      <c r="Q42" s="14" t="n"/>
      <c r="R42" s="14" t="n"/>
      <c r="S42" s="21">
        <f>ROUND(ABS(N(G42))*N(H42),2)</f>
        <v/>
      </c>
      <c r="T42" s="21">
        <f>IF(B42="Receipt",ROUND(S42*IFERROR(VLOOKUP(Q42,'Tax Codes'!$A$5:$E$300,5,FALSE),0),2),0)</f>
        <v/>
      </c>
      <c r="U42" s="21">
        <f>IF(B42="Receipt",ROUND(S42*IFERROR(VLOOKUP(R42,'Tax Codes'!$A$5:$E$300,5,FALSE),0),2),0)</f>
        <v/>
      </c>
      <c r="V42" s="16">
        <f>INDEX('Chart of Accounts'!$A$5:$A$3000,MATCH("vat_input",'Chart of Accounts'!$F$5:$F$3000,0))</f>
        <v/>
      </c>
      <c r="W42" s="16">
        <f>INDEX('Chart of Accounts'!$A$5:$A$3000,MATCH("wht_payable",'Chart of Accounts'!$F$5:$F$3000,0))</f>
        <v/>
      </c>
      <c r="X42" s="16">
        <f>IF(M42="",INDEX('Chart of Accounts'!$A$5:$A$3000,MATCH("bank",'Chart of Accounts'!$F$5:$F$3000,0)),M42&amp;"")</f>
        <v/>
      </c>
      <c r="Y42" s="16">
        <f>IF(N42="",INDEX('Chart of Accounts'!$A$5:$A$3000,MATCH("ap",'Chart of Accounts'!$F$5:$F$3000,0)),N42&amp;"")</f>
        <v/>
      </c>
      <c r="Z42" s="16">
        <f>IF(O42="",INDEX('Chart of Accounts'!$A$5:$A$3000,MATCH("materials",'Chart of Accounts'!$F$5:$F$3000,0)),O42&amp;"")</f>
        <v/>
      </c>
      <c r="AA42" s="16">
        <f>IF(IFERROR(INDEX(Warehouses!$C$5:$C$1000,MATCH(C42,Warehouses!$A$5:$A$1000,0))&amp;"","")="",INDEX('Chart of Accounts'!$A$5:$A$3000,MATCH("inventory",'Chart of Accounts'!$F$5:$F$3000,0)),IFERROR(INDEX(Warehouses!$C$5:$C$1000,MATCH(C42,Warehouses!$A$5:$A$1000,0))&amp;"",""))</f>
        <v/>
      </c>
      <c r="AB42" s="16">
        <f>IF(IFERROR(INDEX(Warehouses!$C$5:$C$1000,MATCH(D42,Warehouses!$A$5:$A$1000,0))&amp;"","")="",INDEX('Chart of Accounts'!$A$5:$A$3000,MATCH("inventory",'Chart of Accounts'!$F$5:$F$3000,0)),IFERROR(INDEX(Warehouses!$C$5:$C$1000,MATCH(D42,Warehouses!$A$5:$A$1000,0))&amp;"",""))</f>
        <v/>
      </c>
      <c r="AC42" s="21">
        <f>IF(B42="Receipt",N(K42),0)</f>
        <v/>
      </c>
      <c r="AD42" s="16">
        <f>IF(B42="Receipt",AA42,IF(B42="Issue",Z42,IF(B42="Transfer",AB42,IF(N(G42)&gt;=0,AA42,INDEX('Chart of Accounts'!$A$5:$A$3000,MATCH("stock_adjust",'Chart of Accounts'!$F$5:$F$3000,0))))))</f>
        <v/>
      </c>
      <c r="AE42" s="16">
        <f>IF(B42="Receipt",Y42,IF(B42="Adjustment",IF(N(G42)&gt;=0,INDEX('Chart of Accounts'!$A$5:$A$3000,MATCH("stock_adjust",'Chart of Accounts'!$F$5:$F$3000,0)),AA42),AA42))</f>
        <v/>
      </c>
      <c r="AF42" s="21">
        <f>S42+T42-U42-AC42</f>
        <v/>
      </c>
      <c r="AG42" s="23">
        <f>IFERROR(INDEX('Chart of Accounts'!$C$5:$C$3000,MATCH(AD42&amp;"",'Chart of Accounts'!$A$5:$A$3000,0))&amp;"|"&amp;INDEX('Chart of Accounts'!$D$5:$D$3000,MATCH(AD42&amp;"",'Chart of Accounts'!$A$5:$A$3000,0)),"")</f>
        <v/>
      </c>
      <c r="AH42" s="23">
        <f>IFERROR(INDEX('Chart of Accounts'!$C$5:$C$3000,MATCH(V42&amp;"",'Chart of Accounts'!$A$5:$A$3000,0))&amp;"|"&amp;INDEX('Chart of Accounts'!$D$5:$D$3000,MATCH(V42&amp;"",'Chart of Accounts'!$A$5:$A$3000,0)),"")</f>
        <v/>
      </c>
      <c r="AI42" s="23">
        <f>IFERROR(INDEX('Chart of Accounts'!$C$5:$C$3000,MATCH(AE42&amp;"",'Chart of Accounts'!$A$5:$A$3000,0))&amp;"|"&amp;INDEX('Chart of Accounts'!$D$5:$D$3000,MATCH(AE42&amp;"",'Chart of Accounts'!$A$5:$A$3000,0)),"")</f>
        <v/>
      </c>
      <c r="AJ42" s="23">
        <f>IFERROR(INDEX('Chart of Accounts'!$C$5:$C$3000,MATCH(X42&amp;"",'Chart of Accounts'!$A$5:$A$3000,0))&amp;"|"&amp;INDEX('Chart of Accounts'!$D$5:$D$3000,MATCH(X42&amp;"",'Chart of Accounts'!$A$5:$A$3000,0)),"")</f>
        <v/>
      </c>
      <c r="AK42" s="23">
        <f>IFERROR(INDEX('Chart of Accounts'!$C$5:$C$3000,MATCH(W42&amp;"",'Chart of Accounts'!$A$5:$A$3000,0))&amp;"|"&amp;INDEX('Chart of Accounts'!$D$5:$D$3000,MATCH(W42&amp;"",'Chart of Accounts'!$A$5:$A$3000,0)),"")</f>
        <v/>
      </c>
      <c r="AL42" s="23">
        <f>IF(LEFT(AG42,8)="Revenue|",-N(S42),0)+IF(LEFT(AH42,8)="Revenue|",-N(T42),0)+IF(LEFT(AI42,8)="Revenue|",N(AF42),0)+IF(LEFT(AJ42,8)="Revenue|",N(AC42),0)+IF(LEFT(AK42,8)="Revenue|",N(U42),0)</f>
        <v/>
      </c>
      <c r="AM42" s="23">
        <f>IF(LEFT(AG42,5)="COGS|",N(S42),0)+IF(LEFT(AH42,5)="COGS|",N(T42),0)+IF(LEFT(AI42,5)="COGS|",-N(AF42),0)+IF(LEFT(AJ42,5)="COGS|",-N(AC42),0)+IF(LEFT(AK42,5)="COGS|",-N(U42),0)</f>
        <v/>
      </c>
      <c r="AN42" s="23">
        <f>IF(LEFT(AG42,8)="Expense|",N(S42),0)+IF(LEFT(AH42,8)="Expense|",N(T42),0)+IF(LEFT(AI42,8)="Expense|",-N(AF42),0)+IF(LEFT(AJ42,8)="Expense|",-N(AC42),0)+IF(LEFT(AK42,8)="Expense|",-N(U42),0)</f>
        <v/>
      </c>
      <c r="AO42" s="23">
        <f>IF(ISNUMBER(MATCH(AG42,{"Expense|employee","Expense|general_admin","Expense|marketing","Expense|utilities","Expense|other_operating"},0)),N(S42),0)+IF(ISNUMBER(MATCH(AH42,{"Expense|employee","Expense|general_admin","Expense|marketing","Expense|utilities","Expense|other_operating"},0)),N(T42),0)+IF(ISNUMBER(MATCH(AI42,{"Expense|employee","Expense|general_admin","Expense|marketing","Expense|utilities","Expense|other_operating"},0)),-N(AF42),0)+IF(ISNUMBER(MATCH(AJ42,{"Expense|employee","Expense|general_admin","Expense|marketing","Expense|utilities","Expense|other_operating"},0)),-N(AC42),0)+IF(ISNUMBER(MATCH(AK42,{"Expense|employee","Expense|general_admin","Expense|marketing","Expense|utilities","Expense|other_operating"},0)),-N(U42),0)</f>
        <v/>
      </c>
      <c r="AP42" s="23">
        <f>IF(AG42="Liability|payable",-N(S42),0)+IF(AH42="Liability|payable",-N(T42),0)+IF(AI42="Liability|payable",N(AF42),0)+IF(AJ42="Liability|payable",N(AC42),0)+IF(AK42="Liability|payable",N(U42),0)</f>
        <v/>
      </c>
      <c r="AQ42" s="23">
        <f>IF(AG42="Liability|accrued",-N(S42),0)+IF(AH42="Liability|accrued",-N(T42),0)+IF(AI42="Liability|accrued",N(AF42),0)+IF(AJ42="Liability|accrued",N(AC42),0)+IF(AK42="Liability|accrued",N(U42),0)</f>
        <v/>
      </c>
      <c r="AR42" s="23">
        <f>IF(AND(N(S42)&lt;&gt;0,AG42=""),1,0)+IF(AND(N(T42)&lt;&gt;0,AH42=""),1,0)+IF(AND(N(AF42)&lt;&gt;0,AI42=""),1,0)+IF(AND(N(AC42)&lt;&gt;0,AJ42=""),1,0)+IF(AND(N(U42)&lt;&gt;0,AK42=""),1,0)</f>
        <v/>
      </c>
    </row>
    <row r="43">
      <c r="A43" s="19" t="n"/>
      <c r="B43" s="14" t="n"/>
      <c r="C43" s="14" t="n"/>
      <c r="D43" s="14" t="n"/>
      <c r="E43" s="14" t="n"/>
      <c r="F43" s="14" t="n"/>
      <c r="G43" s="14" t="n"/>
      <c r="H43" s="20" t="n"/>
      <c r="I43" s="14" t="n"/>
      <c r="J43" s="14" t="n"/>
      <c r="K43" s="20" t="n"/>
      <c r="L43" s="14" t="n"/>
      <c r="M43" s="14" t="n"/>
      <c r="N43" s="14" t="n"/>
      <c r="O43" s="14" t="n"/>
      <c r="P43" s="14" t="n"/>
      <c r="Q43" s="14" t="n"/>
      <c r="R43" s="14" t="n"/>
      <c r="S43" s="21">
        <f>ROUND(ABS(N(G43))*N(H43),2)</f>
        <v/>
      </c>
      <c r="T43" s="21">
        <f>IF(B43="Receipt",ROUND(S43*IFERROR(VLOOKUP(Q43,'Tax Codes'!$A$5:$E$300,5,FALSE),0),2),0)</f>
        <v/>
      </c>
      <c r="U43" s="21">
        <f>IF(B43="Receipt",ROUND(S43*IFERROR(VLOOKUP(R43,'Tax Codes'!$A$5:$E$300,5,FALSE),0),2),0)</f>
        <v/>
      </c>
      <c r="V43" s="16">
        <f>INDEX('Chart of Accounts'!$A$5:$A$3000,MATCH("vat_input",'Chart of Accounts'!$F$5:$F$3000,0))</f>
        <v/>
      </c>
      <c r="W43" s="16">
        <f>INDEX('Chart of Accounts'!$A$5:$A$3000,MATCH("wht_payable",'Chart of Accounts'!$F$5:$F$3000,0))</f>
        <v/>
      </c>
      <c r="X43" s="16">
        <f>IF(M43="",INDEX('Chart of Accounts'!$A$5:$A$3000,MATCH("bank",'Chart of Accounts'!$F$5:$F$3000,0)),M43&amp;"")</f>
        <v/>
      </c>
      <c r="Y43" s="16">
        <f>IF(N43="",INDEX('Chart of Accounts'!$A$5:$A$3000,MATCH("ap",'Chart of Accounts'!$F$5:$F$3000,0)),N43&amp;"")</f>
        <v/>
      </c>
      <c r="Z43" s="16">
        <f>IF(O43="",INDEX('Chart of Accounts'!$A$5:$A$3000,MATCH("materials",'Chart of Accounts'!$F$5:$F$3000,0)),O43&amp;"")</f>
        <v/>
      </c>
      <c r="AA43" s="16">
        <f>IF(IFERROR(INDEX(Warehouses!$C$5:$C$1000,MATCH(C43,Warehouses!$A$5:$A$1000,0))&amp;"","")="",INDEX('Chart of Accounts'!$A$5:$A$3000,MATCH("inventory",'Chart of Accounts'!$F$5:$F$3000,0)),IFERROR(INDEX(Warehouses!$C$5:$C$1000,MATCH(C43,Warehouses!$A$5:$A$1000,0))&amp;"",""))</f>
        <v/>
      </c>
      <c r="AB43" s="16">
        <f>IF(IFERROR(INDEX(Warehouses!$C$5:$C$1000,MATCH(D43,Warehouses!$A$5:$A$1000,0))&amp;"","")="",INDEX('Chart of Accounts'!$A$5:$A$3000,MATCH("inventory",'Chart of Accounts'!$F$5:$F$3000,0)),IFERROR(INDEX(Warehouses!$C$5:$C$1000,MATCH(D43,Warehouses!$A$5:$A$1000,0))&amp;"",""))</f>
        <v/>
      </c>
      <c r="AC43" s="21">
        <f>IF(B43="Receipt",N(K43),0)</f>
        <v/>
      </c>
      <c r="AD43" s="16">
        <f>IF(B43="Receipt",AA43,IF(B43="Issue",Z43,IF(B43="Transfer",AB43,IF(N(G43)&gt;=0,AA43,INDEX('Chart of Accounts'!$A$5:$A$3000,MATCH("stock_adjust",'Chart of Accounts'!$F$5:$F$3000,0))))))</f>
        <v/>
      </c>
      <c r="AE43" s="16">
        <f>IF(B43="Receipt",Y43,IF(B43="Adjustment",IF(N(G43)&gt;=0,INDEX('Chart of Accounts'!$A$5:$A$3000,MATCH("stock_adjust",'Chart of Accounts'!$F$5:$F$3000,0)),AA43),AA43))</f>
        <v/>
      </c>
      <c r="AF43" s="21">
        <f>S43+T43-U43-AC43</f>
        <v/>
      </c>
      <c r="AG43" s="23">
        <f>IFERROR(INDEX('Chart of Accounts'!$C$5:$C$3000,MATCH(AD43&amp;"",'Chart of Accounts'!$A$5:$A$3000,0))&amp;"|"&amp;INDEX('Chart of Accounts'!$D$5:$D$3000,MATCH(AD43&amp;"",'Chart of Accounts'!$A$5:$A$3000,0)),"")</f>
        <v/>
      </c>
      <c r="AH43" s="23">
        <f>IFERROR(INDEX('Chart of Accounts'!$C$5:$C$3000,MATCH(V43&amp;"",'Chart of Accounts'!$A$5:$A$3000,0))&amp;"|"&amp;INDEX('Chart of Accounts'!$D$5:$D$3000,MATCH(V43&amp;"",'Chart of Accounts'!$A$5:$A$3000,0)),"")</f>
        <v/>
      </c>
      <c r="AI43" s="23">
        <f>IFERROR(INDEX('Chart of Accounts'!$C$5:$C$3000,MATCH(AE43&amp;"",'Chart of Accounts'!$A$5:$A$3000,0))&amp;"|"&amp;INDEX('Chart of Accounts'!$D$5:$D$3000,MATCH(AE43&amp;"",'Chart of Accounts'!$A$5:$A$3000,0)),"")</f>
        <v/>
      </c>
      <c r="AJ43" s="23">
        <f>IFERROR(INDEX('Chart of Accounts'!$C$5:$C$3000,MATCH(X43&amp;"",'Chart of Accounts'!$A$5:$A$3000,0))&amp;"|"&amp;INDEX('Chart of Accounts'!$D$5:$D$3000,MATCH(X43&amp;"",'Chart of Accounts'!$A$5:$A$3000,0)),"")</f>
        <v/>
      </c>
      <c r="AK43" s="23">
        <f>IFERROR(INDEX('Chart of Accounts'!$C$5:$C$3000,MATCH(W43&amp;"",'Chart of Accounts'!$A$5:$A$3000,0))&amp;"|"&amp;INDEX('Chart of Accounts'!$D$5:$D$3000,MATCH(W43&amp;"",'Chart of Accounts'!$A$5:$A$3000,0)),"")</f>
        <v/>
      </c>
      <c r="AL43" s="23">
        <f>IF(LEFT(AG43,8)="Revenue|",-N(S43),0)+IF(LEFT(AH43,8)="Revenue|",-N(T43),0)+IF(LEFT(AI43,8)="Revenue|",N(AF43),0)+IF(LEFT(AJ43,8)="Revenue|",N(AC43),0)+IF(LEFT(AK43,8)="Revenue|",N(U43),0)</f>
        <v/>
      </c>
      <c r="AM43" s="23">
        <f>IF(LEFT(AG43,5)="COGS|",N(S43),0)+IF(LEFT(AH43,5)="COGS|",N(T43),0)+IF(LEFT(AI43,5)="COGS|",-N(AF43),0)+IF(LEFT(AJ43,5)="COGS|",-N(AC43),0)+IF(LEFT(AK43,5)="COGS|",-N(U43),0)</f>
        <v/>
      </c>
      <c r="AN43" s="23">
        <f>IF(LEFT(AG43,8)="Expense|",N(S43),0)+IF(LEFT(AH43,8)="Expense|",N(T43),0)+IF(LEFT(AI43,8)="Expense|",-N(AF43),0)+IF(LEFT(AJ43,8)="Expense|",-N(AC43),0)+IF(LEFT(AK43,8)="Expense|",-N(U43),0)</f>
        <v/>
      </c>
      <c r="AO43" s="23">
        <f>IF(ISNUMBER(MATCH(AG43,{"Expense|employee","Expense|general_admin","Expense|marketing","Expense|utilities","Expense|other_operating"},0)),N(S43),0)+IF(ISNUMBER(MATCH(AH43,{"Expense|employee","Expense|general_admin","Expense|marketing","Expense|utilities","Expense|other_operating"},0)),N(T43),0)+IF(ISNUMBER(MATCH(AI43,{"Expense|employee","Expense|general_admin","Expense|marketing","Expense|utilities","Expense|other_operating"},0)),-N(AF43),0)+IF(ISNUMBER(MATCH(AJ43,{"Expense|employee","Expense|general_admin","Expense|marketing","Expense|utilities","Expense|other_operating"},0)),-N(AC43),0)+IF(ISNUMBER(MATCH(AK43,{"Expense|employee","Expense|general_admin","Expense|marketing","Expense|utilities","Expense|other_operating"},0)),-N(U43),0)</f>
        <v/>
      </c>
      <c r="AP43" s="23">
        <f>IF(AG43="Liability|payable",-N(S43),0)+IF(AH43="Liability|payable",-N(T43),0)+IF(AI43="Liability|payable",N(AF43),0)+IF(AJ43="Liability|payable",N(AC43),0)+IF(AK43="Liability|payable",N(U43),0)</f>
        <v/>
      </c>
      <c r="AQ43" s="23">
        <f>IF(AG43="Liability|accrued",-N(S43),0)+IF(AH43="Liability|accrued",-N(T43),0)+IF(AI43="Liability|accrued",N(AF43),0)+IF(AJ43="Liability|accrued",N(AC43),0)+IF(AK43="Liability|accrued",N(U43),0)</f>
        <v/>
      </c>
      <c r="AR43" s="23">
        <f>IF(AND(N(S43)&lt;&gt;0,AG43=""),1,0)+IF(AND(N(T43)&lt;&gt;0,AH43=""),1,0)+IF(AND(N(AF43)&lt;&gt;0,AI43=""),1,0)+IF(AND(N(AC43)&lt;&gt;0,AJ43=""),1,0)+IF(AND(N(U43)&lt;&gt;0,AK43=""),1,0)</f>
        <v/>
      </c>
    </row>
    <row r="44">
      <c r="A44" s="19" t="n"/>
      <c r="B44" s="14" t="n"/>
      <c r="C44" s="14" t="n"/>
      <c r="D44" s="14" t="n"/>
      <c r="E44" s="14" t="n"/>
      <c r="F44" s="14" t="n"/>
      <c r="G44" s="14" t="n"/>
      <c r="H44" s="20" t="n"/>
      <c r="I44" s="14" t="n"/>
      <c r="J44" s="14" t="n"/>
      <c r="K44" s="20" t="n"/>
      <c r="L44" s="14" t="n"/>
      <c r="M44" s="14" t="n"/>
      <c r="N44" s="14" t="n"/>
      <c r="O44" s="14" t="n"/>
      <c r="P44" s="14" t="n"/>
      <c r="Q44" s="14" t="n"/>
      <c r="R44" s="14" t="n"/>
      <c r="S44" s="21">
        <f>ROUND(ABS(N(G44))*N(H44),2)</f>
        <v/>
      </c>
      <c r="T44" s="21">
        <f>IF(B44="Receipt",ROUND(S44*IFERROR(VLOOKUP(Q44,'Tax Codes'!$A$5:$E$300,5,FALSE),0),2),0)</f>
        <v/>
      </c>
      <c r="U44" s="21">
        <f>IF(B44="Receipt",ROUND(S44*IFERROR(VLOOKUP(R44,'Tax Codes'!$A$5:$E$300,5,FALSE),0),2),0)</f>
        <v/>
      </c>
      <c r="V44" s="16">
        <f>INDEX('Chart of Accounts'!$A$5:$A$3000,MATCH("vat_input",'Chart of Accounts'!$F$5:$F$3000,0))</f>
        <v/>
      </c>
      <c r="W44" s="16">
        <f>INDEX('Chart of Accounts'!$A$5:$A$3000,MATCH("wht_payable",'Chart of Accounts'!$F$5:$F$3000,0))</f>
        <v/>
      </c>
      <c r="X44" s="16">
        <f>IF(M44="",INDEX('Chart of Accounts'!$A$5:$A$3000,MATCH("bank",'Chart of Accounts'!$F$5:$F$3000,0)),M44&amp;"")</f>
        <v/>
      </c>
      <c r="Y44" s="16">
        <f>IF(N44="",INDEX('Chart of Accounts'!$A$5:$A$3000,MATCH("ap",'Chart of Accounts'!$F$5:$F$3000,0)),N44&amp;"")</f>
        <v/>
      </c>
      <c r="Z44" s="16">
        <f>IF(O44="",INDEX('Chart of Accounts'!$A$5:$A$3000,MATCH("materials",'Chart of Accounts'!$F$5:$F$3000,0)),O44&amp;"")</f>
        <v/>
      </c>
      <c r="AA44" s="16">
        <f>IF(IFERROR(INDEX(Warehouses!$C$5:$C$1000,MATCH(C44,Warehouses!$A$5:$A$1000,0))&amp;"","")="",INDEX('Chart of Accounts'!$A$5:$A$3000,MATCH("inventory",'Chart of Accounts'!$F$5:$F$3000,0)),IFERROR(INDEX(Warehouses!$C$5:$C$1000,MATCH(C44,Warehouses!$A$5:$A$1000,0))&amp;"",""))</f>
        <v/>
      </c>
      <c r="AB44" s="16">
        <f>IF(IFERROR(INDEX(Warehouses!$C$5:$C$1000,MATCH(D44,Warehouses!$A$5:$A$1000,0))&amp;"","")="",INDEX('Chart of Accounts'!$A$5:$A$3000,MATCH("inventory",'Chart of Accounts'!$F$5:$F$3000,0)),IFERROR(INDEX(Warehouses!$C$5:$C$1000,MATCH(D44,Warehouses!$A$5:$A$1000,0))&amp;"",""))</f>
        <v/>
      </c>
      <c r="AC44" s="21">
        <f>IF(B44="Receipt",N(K44),0)</f>
        <v/>
      </c>
      <c r="AD44" s="16">
        <f>IF(B44="Receipt",AA44,IF(B44="Issue",Z44,IF(B44="Transfer",AB44,IF(N(G44)&gt;=0,AA44,INDEX('Chart of Accounts'!$A$5:$A$3000,MATCH("stock_adjust",'Chart of Accounts'!$F$5:$F$3000,0))))))</f>
        <v/>
      </c>
      <c r="AE44" s="16">
        <f>IF(B44="Receipt",Y44,IF(B44="Adjustment",IF(N(G44)&gt;=0,INDEX('Chart of Accounts'!$A$5:$A$3000,MATCH("stock_adjust",'Chart of Accounts'!$F$5:$F$3000,0)),AA44),AA44))</f>
        <v/>
      </c>
      <c r="AF44" s="21">
        <f>S44+T44-U44-AC44</f>
        <v/>
      </c>
      <c r="AG44" s="23">
        <f>IFERROR(INDEX('Chart of Accounts'!$C$5:$C$3000,MATCH(AD44&amp;"",'Chart of Accounts'!$A$5:$A$3000,0))&amp;"|"&amp;INDEX('Chart of Accounts'!$D$5:$D$3000,MATCH(AD44&amp;"",'Chart of Accounts'!$A$5:$A$3000,0)),"")</f>
        <v/>
      </c>
      <c r="AH44" s="23">
        <f>IFERROR(INDEX('Chart of Accounts'!$C$5:$C$3000,MATCH(V44&amp;"",'Chart of Accounts'!$A$5:$A$3000,0))&amp;"|"&amp;INDEX('Chart of Accounts'!$D$5:$D$3000,MATCH(V44&amp;"",'Chart of Accounts'!$A$5:$A$3000,0)),"")</f>
        <v/>
      </c>
      <c r="AI44" s="23">
        <f>IFERROR(INDEX('Chart of Accounts'!$C$5:$C$3000,MATCH(AE44&amp;"",'Chart of Accounts'!$A$5:$A$3000,0))&amp;"|"&amp;INDEX('Chart of Accounts'!$D$5:$D$3000,MATCH(AE44&amp;"",'Chart of Accounts'!$A$5:$A$3000,0)),"")</f>
        <v/>
      </c>
      <c r="AJ44" s="23">
        <f>IFERROR(INDEX('Chart of Accounts'!$C$5:$C$3000,MATCH(X44&amp;"",'Chart of Accounts'!$A$5:$A$3000,0))&amp;"|"&amp;INDEX('Chart of Accounts'!$D$5:$D$3000,MATCH(X44&amp;"",'Chart of Accounts'!$A$5:$A$3000,0)),"")</f>
        <v/>
      </c>
      <c r="AK44" s="23">
        <f>IFERROR(INDEX('Chart of Accounts'!$C$5:$C$3000,MATCH(W44&amp;"",'Chart of Accounts'!$A$5:$A$3000,0))&amp;"|"&amp;INDEX('Chart of Accounts'!$D$5:$D$3000,MATCH(W44&amp;"",'Chart of Accounts'!$A$5:$A$3000,0)),"")</f>
        <v/>
      </c>
      <c r="AL44" s="23">
        <f>IF(LEFT(AG44,8)="Revenue|",-N(S44),0)+IF(LEFT(AH44,8)="Revenue|",-N(T44),0)+IF(LEFT(AI44,8)="Revenue|",N(AF44),0)+IF(LEFT(AJ44,8)="Revenue|",N(AC44),0)+IF(LEFT(AK44,8)="Revenue|",N(U44),0)</f>
        <v/>
      </c>
      <c r="AM44" s="23">
        <f>IF(LEFT(AG44,5)="COGS|",N(S44),0)+IF(LEFT(AH44,5)="COGS|",N(T44),0)+IF(LEFT(AI44,5)="COGS|",-N(AF44),0)+IF(LEFT(AJ44,5)="COGS|",-N(AC44),0)+IF(LEFT(AK44,5)="COGS|",-N(U44),0)</f>
        <v/>
      </c>
      <c r="AN44" s="23">
        <f>IF(LEFT(AG44,8)="Expense|",N(S44),0)+IF(LEFT(AH44,8)="Expense|",N(T44),0)+IF(LEFT(AI44,8)="Expense|",-N(AF44),0)+IF(LEFT(AJ44,8)="Expense|",-N(AC44),0)+IF(LEFT(AK44,8)="Expense|",-N(U44),0)</f>
        <v/>
      </c>
      <c r="AO44" s="23">
        <f>IF(ISNUMBER(MATCH(AG44,{"Expense|employee","Expense|general_admin","Expense|marketing","Expense|utilities","Expense|other_operating"},0)),N(S44),0)+IF(ISNUMBER(MATCH(AH44,{"Expense|employee","Expense|general_admin","Expense|marketing","Expense|utilities","Expense|other_operating"},0)),N(T44),0)+IF(ISNUMBER(MATCH(AI44,{"Expense|employee","Expense|general_admin","Expense|marketing","Expense|utilities","Expense|other_operating"},0)),-N(AF44),0)+IF(ISNUMBER(MATCH(AJ44,{"Expense|employee","Expense|general_admin","Expense|marketing","Expense|utilities","Expense|other_operating"},0)),-N(AC44),0)+IF(ISNUMBER(MATCH(AK44,{"Expense|employee","Expense|general_admin","Expense|marketing","Expense|utilities","Expense|other_operating"},0)),-N(U44),0)</f>
        <v/>
      </c>
      <c r="AP44" s="23">
        <f>IF(AG44="Liability|payable",-N(S44),0)+IF(AH44="Liability|payable",-N(T44),0)+IF(AI44="Liability|payable",N(AF44),0)+IF(AJ44="Liability|payable",N(AC44),0)+IF(AK44="Liability|payable",N(U44),0)</f>
        <v/>
      </c>
      <c r="AQ44" s="23">
        <f>IF(AG44="Liability|accrued",-N(S44),0)+IF(AH44="Liability|accrued",-N(T44),0)+IF(AI44="Liability|accrued",N(AF44),0)+IF(AJ44="Liability|accrued",N(AC44),0)+IF(AK44="Liability|accrued",N(U44),0)</f>
        <v/>
      </c>
      <c r="AR44" s="23">
        <f>IF(AND(N(S44)&lt;&gt;0,AG44=""),1,0)+IF(AND(N(T44)&lt;&gt;0,AH44=""),1,0)+IF(AND(N(AF44)&lt;&gt;0,AI44=""),1,0)+IF(AND(N(AC44)&lt;&gt;0,AJ44=""),1,0)+IF(AND(N(U44)&lt;&gt;0,AK44=""),1,0)</f>
        <v/>
      </c>
    </row>
    <row r="45">
      <c r="A45" s="19" t="n"/>
      <c r="B45" s="14" t="n"/>
      <c r="C45" s="14" t="n"/>
      <c r="D45" s="14" t="n"/>
      <c r="E45" s="14" t="n"/>
      <c r="F45" s="14" t="n"/>
      <c r="G45" s="14" t="n"/>
      <c r="H45" s="20" t="n"/>
      <c r="I45" s="14" t="n"/>
      <c r="J45" s="14" t="n"/>
      <c r="K45" s="20" t="n"/>
      <c r="L45" s="14" t="n"/>
      <c r="M45" s="14" t="n"/>
      <c r="N45" s="14" t="n"/>
      <c r="O45" s="14" t="n"/>
      <c r="P45" s="14" t="n"/>
      <c r="Q45" s="14" t="n"/>
      <c r="R45" s="14" t="n"/>
      <c r="S45" s="21">
        <f>ROUND(ABS(N(G45))*N(H45),2)</f>
        <v/>
      </c>
      <c r="T45" s="21">
        <f>IF(B45="Receipt",ROUND(S45*IFERROR(VLOOKUP(Q45,'Tax Codes'!$A$5:$E$300,5,FALSE),0),2),0)</f>
        <v/>
      </c>
      <c r="U45" s="21">
        <f>IF(B45="Receipt",ROUND(S45*IFERROR(VLOOKUP(R45,'Tax Codes'!$A$5:$E$300,5,FALSE),0),2),0)</f>
        <v/>
      </c>
      <c r="V45" s="16">
        <f>INDEX('Chart of Accounts'!$A$5:$A$3000,MATCH("vat_input",'Chart of Accounts'!$F$5:$F$3000,0))</f>
        <v/>
      </c>
      <c r="W45" s="16">
        <f>INDEX('Chart of Accounts'!$A$5:$A$3000,MATCH("wht_payable",'Chart of Accounts'!$F$5:$F$3000,0))</f>
        <v/>
      </c>
      <c r="X45" s="16">
        <f>IF(M45="",INDEX('Chart of Accounts'!$A$5:$A$3000,MATCH("bank",'Chart of Accounts'!$F$5:$F$3000,0)),M45&amp;"")</f>
        <v/>
      </c>
      <c r="Y45" s="16">
        <f>IF(N45="",INDEX('Chart of Accounts'!$A$5:$A$3000,MATCH("ap",'Chart of Accounts'!$F$5:$F$3000,0)),N45&amp;"")</f>
        <v/>
      </c>
      <c r="Z45" s="16">
        <f>IF(O45="",INDEX('Chart of Accounts'!$A$5:$A$3000,MATCH("materials",'Chart of Accounts'!$F$5:$F$3000,0)),O45&amp;"")</f>
        <v/>
      </c>
      <c r="AA45" s="16">
        <f>IF(IFERROR(INDEX(Warehouses!$C$5:$C$1000,MATCH(C45,Warehouses!$A$5:$A$1000,0))&amp;"","")="",INDEX('Chart of Accounts'!$A$5:$A$3000,MATCH("inventory",'Chart of Accounts'!$F$5:$F$3000,0)),IFERROR(INDEX(Warehouses!$C$5:$C$1000,MATCH(C45,Warehouses!$A$5:$A$1000,0))&amp;"",""))</f>
        <v/>
      </c>
      <c r="AB45" s="16">
        <f>IF(IFERROR(INDEX(Warehouses!$C$5:$C$1000,MATCH(D45,Warehouses!$A$5:$A$1000,0))&amp;"","")="",INDEX('Chart of Accounts'!$A$5:$A$3000,MATCH("inventory",'Chart of Accounts'!$F$5:$F$3000,0)),IFERROR(INDEX(Warehouses!$C$5:$C$1000,MATCH(D45,Warehouses!$A$5:$A$1000,0))&amp;"",""))</f>
        <v/>
      </c>
      <c r="AC45" s="21">
        <f>IF(B45="Receipt",N(K45),0)</f>
        <v/>
      </c>
      <c r="AD45" s="16">
        <f>IF(B45="Receipt",AA45,IF(B45="Issue",Z45,IF(B45="Transfer",AB45,IF(N(G45)&gt;=0,AA45,INDEX('Chart of Accounts'!$A$5:$A$3000,MATCH("stock_adjust",'Chart of Accounts'!$F$5:$F$3000,0))))))</f>
        <v/>
      </c>
      <c r="AE45" s="16">
        <f>IF(B45="Receipt",Y45,IF(B45="Adjustment",IF(N(G45)&gt;=0,INDEX('Chart of Accounts'!$A$5:$A$3000,MATCH("stock_adjust",'Chart of Accounts'!$F$5:$F$3000,0)),AA45),AA45))</f>
        <v/>
      </c>
      <c r="AF45" s="21">
        <f>S45+T45-U45-AC45</f>
        <v/>
      </c>
      <c r="AG45" s="23">
        <f>IFERROR(INDEX('Chart of Accounts'!$C$5:$C$3000,MATCH(AD45&amp;"",'Chart of Accounts'!$A$5:$A$3000,0))&amp;"|"&amp;INDEX('Chart of Accounts'!$D$5:$D$3000,MATCH(AD45&amp;"",'Chart of Accounts'!$A$5:$A$3000,0)),"")</f>
        <v/>
      </c>
      <c r="AH45" s="23">
        <f>IFERROR(INDEX('Chart of Accounts'!$C$5:$C$3000,MATCH(V45&amp;"",'Chart of Accounts'!$A$5:$A$3000,0))&amp;"|"&amp;INDEX('Chart of Accounts'!$D$5:$D$3000,MATCH(V45&amp;"",'Chart of Accounts'!$A$5:$A$3000,0)),"")</f>
        <v/>
      </c>
      <c r="AI45" s="23">
        <f>IFERROR(INDEX('Chart of Accounts'!$C$5:$C$3000,MATCH(AE45&amp;"",'Chart of Accounts'!$A$5:$A$3000,0))&amp;"|"&amp;INDEX('Chart of Accounts'!$D$5:$D$3000,MATCH(AE45&amp;"",'Chart of Accounts'!$A$5:$A$3000,0)),"")</f>
        <v/>
      </c>
      <c r="AJ45" s="23">
        <f>IFERROR(INDEX('Chart of Accounts'!$C$5:$C$3000,MATCH(X45&amp;"",'Chart of Accounts'!$A$5:$A$3000,0))&amp;"|"&amp;INDEX('Chart of Accounts'!$D$5:$D$3000,MATCH(X45&amp;"",'Chart of Accounts'!$A$5:$A$3000,0)),"")</f>
        <v/>
      </c>
      <c r="AK45" s="23">
        <f>IFERROR(INDEX('Chart of Accounts'!$C$5:$C$3000,MATCH(W45&amp;"",'Chart of Accounts'!$A$5:$A$3000,0))&amp;"|"&amp;INDEX('Chart of Accounts'!$D$5:$D$3000,MATCH(W45&amp;"",'Chart of Accounts'!$A$5:$A$3000,0)),"")</f>
        <v/>
      </c>
      <c r="AL45" s="23">
        <f>IF(LEFT(AG45,8)="Revenue|",-N(S45),0)+IF(LEFT(AH45,8)="Revenue|",-N(T45),0)+IF(LEFT(AI45,8)="Revenue|",N(AF45),0)+IF(LEFT(AJ45,8)="Revenue|",N(AC45),0)+IF(LEFT(AK45,8)="Revenue|",N(U45),0)</f>
        <v/>
      </c>
      <c r="AM45" s="23">
        <f>IF(LEFT(AG45,5)="COGS|",N(S45),0)+IF(LEFT(AH45,5)="COGS|",N(T45),0)+IF(LEFT(AI45,5)="COGS|",-N(AF45),0)+IF(LEFT(AJ45,5)="COGS|",-N(AC45),0)+IF(LEFT(AK45,5)="COGS|",-N(U45),0)</f>
        <v/>
      </c>
      <c r="AN45" s="23">
        <f>IF(LEFT(AG45,8)="Expense|",N(S45),0)+IF(LEFT(AH45,8)="Expense|",N(T45),0)+IF(LEFT(AI45,8)="Expense|",-N(AF45),0)+IF(LEFT(AJ45,8)="Expense|",-N(AC45),0)+IF(LEFT(AK45,8)="Expense|",-N(U45),0)</f>
        <v/>
      </c>
      <c r="AO45" s="23">
        <f>IF(ISNUMBER(MATCH(AG45,{"Expense|employee","Expense|general_admin","Expense|marketing","Expense|utilities","Expense|other_operating"},0)),N(S45),0)+IF(ISNUMBER(MATCH(AH45,{"Expense|employee","Expense|general_admin","Expense|marketing","Expense|utilities","Expense|other_operating"},0)),N(T45),0)+IF(ISNUMBER(MATCH(AI45,{"Expense|employee","Expense|general_admin","Expense|marketing","Expense|utilities","Expense|other_operating"},0)),-N(AF45),0)+IF(ISNUMBER(MATCH(AJ45,{"Expense|employee","Expense|general_admin","Expense|marketing","Expense|utilities","Expense|other_operating"},0)),-N(AC45),0)+IF(ISNUMBER(MATCH(AK45,{"Expense|employee","Expense|general_admin","Expense|marketing","Expense|utilities","Expense|other_operating"},0)),-N(U45),0)</f>
        <v/>
      </c>
      <c r="AP45" s="23">
        <f>IF(AG45="Liability|payable",-N(S45),0)+IF(AH45="Liability|payable",-N(T45),0)+IF(AI45="Liability|payable",N(AF45),0)+IF(AJ45="Liability|payable",N(AC45),0)+IF(AK45="Liability|payable",N(U45),0)</f>
        <v/>
      </c>
      <c r="AQ45" s="23">
        <f>IF(AG45="Liability|accrued",-N(S45),0)+IF(AH45="Liability|accrued",-N(T45),0)+IF(AI45="Liability|accrued",N(AF45),0)+IF(AJ45="Liability|accrued",N(AC45),0)+IF(AK45="Liability|accrued",N(U45),0)</f>
        <v/>
      </c>
      <c r="AR45" s="23">
        <f>IF(AND(N(S45)&lt;&gt;0,AG45=""),1,0)+IF(AND(N(T45)&lt;&gt;0,AH45=""),1,0)+IF(AND(N(AF45)&lt;&gt;0,AI45=""),1,0)+IF(AND(N(AC45)&lt;&gt;0,AJ45=""),1,0)+IF(AND(N(U45)&lt;&gt;0,AK45=""),1,0)</f>
        <v/>
      </c>
    </row>
    <row r="46">
      <c r="A46" s="19" t="n"/>
      <c r="B46" s="14" t="n"/>
      <c r="C46" s="14" t="n"/>
      <c r="D46" s="14" t="n"/>
      <c r="E46" s="14" t="n"/>
      <c r="F46" s="14" t="n"/>
      <c r="G46" s="14" t="n"/>
      <c r="H46" s="20" t="n"/>
      <c r="I46" s="14" t="n"/>
      <c r="J46" s="14" t="n"/>
      <c r="K46" s="20" t="n"/>
      <c r="L46" s="14" t="n"/>
      <c r="M46" s="14" t="n"/>
      <c r="N46" s="14" t="n"/>
      <c r="O46" s="14" t="n"/>
      <c r="P46" s="14" t="n"/>
      <c r="Q46" s="14" t="n"/>
      <c r="R46" s="14" t="n"/>
      <c r="S46" s="21">
        <f>ROUND(ABS(N(G46))*N(H46),2)</f>
        <v/>
      </c>
      <c r="T46" s="21">
        <f>IF(B46="Receipt",ROUND(S46*IFERROR(VLOOKUP(Q46,'Tax Codes'!$A$5:$E$300,5,FALSE),0),2),0)</f>
        <v/>
      </c>
      <c r="U46" s="21">
        <f>IF(B46="Receipt",ROUND(S46*IFERROR(VLOOKUP(R46,'Tax Codes'!$A$5:$E$300,5,FALSE),0),2),0)</f>
        <v/>
      </c>
      <c r="V46" s="16">
        <f>INDEX('Chart of Accounts'!$A$5:$A$3000,MATCH("vat_input",'Chart of Accounts'!$F$5:$F$3000,0))</f>
        <v/>
      </c>
      <c r="W46" s="16">
        <f>INDEX('Chart of Accounts'!$A$5:$A$3000,MATCH("wht_payable",'Chart of Accounts'!$F$5:$F$3000,0))</f>
        <v/>
      </c>
      <c r="X46" s="16">
        <f>IF(M46="",INDEX('Chart of Accounts'!$A$5:$A$3000,MATCH("bank",'Chart of Accounts'!$F$5:$F$3000,0)),M46&amp;"")</f>
        <v/>
      </c>
      <c r="Y46" s="16">
        <f>IF(N46="",INDEX('Chart of Accounts'!$A$5:$A$3000,MATCH("ap",'Chart of Accounts'!$F$5:$F$3000,0)),N46&amp;"")</f>
        <v/>
      </c>
      <c r="Z46" s="16">
        <f>IF(O46="",INDEX('Chart of Accounts'!$A$5:$A$3000,MATCH("materials",'Chart of Accounts'!$F$5:$F$3000,0)),O46&amp;"")</f>
        <v/>
      </c>
      <c r="AA46" s="16">
        <f>IF(IFERROR(INDEX(Warehouses!$C$5:$C$1000,MATCH(C46,Warehouses!$A$5:$A$1000,0))&amp;"","")="",INDEX('Chart of Accounts'!$A$5:$A$3000,MATCH("inventory",'Chart of Accounts'!$F$5:$F$3000,0)),IFERROR(INDEX(Warehouses!$C$5:$C$1000,MATCH(C46,Warehouses!$A$5:$A$1000,0))&amp;"",""))</f>
        <v/>
      </c>
      <c r="AB46" s="16">
        <f>IF(IFERROR(INDEX(Warehouses!$C$5:$C$1000,MATCH(D46,Warehouses!$A$5:$A$1000,0))&amp;"","")="",INDEX('Chart of Accounts'!$A$5:$A$3000,MATCH("inventory",'Chart of Accounts'!$F$5:$F$3000,0)),IFERROR(INDEX(Warehouses!$C$5:$C$1000,MATCH(D46,Warehouses!$A$5:$A$1000,0))&amp;"",""))</f>
        <v/>
      </c>
      <c r="AC46" s="21">
        <f>IF(B46="Receipt",N(K46),0)</f>
        <v/>
      </c>
      <c r="AD46" s="16">
        <f>IF(B46="Receipt",AA46,IF(B46="Issue",Z46,IF(B46="Transfer",AB46,IF(N(G46)&gt;=0,AA46,INDEX('Chart of Accounts'!$A$5:$A$3000,MATCH("stock_adjust",'Chart of Accounts'!$F$5:$F$3000,0))))))</f>
        <v/>
      </c>
      <c r="AE46" s="16">
        <f>IF(B46="Receipt",Y46,IF(B46="Adjustment",IF(N(G46)&gt;=0,INDEX('Chart of Accounts'!$A$5:$A$3000,MATCH("stock_adjust",'Chart of Accounts'!$F$5:$F$3000,0)),AA46),AA46))</f>
        <v/>
      </c>
      <c r="AF46" s="21">
        <f>S46+T46-U46-AC46</f>
        <v/>
      </c>
      <c r="AG46" s="23">
        <f>IFERROR(INDEX('Chart of Accounts'!$C$5:$C$3000,MATCH(AD46&amp;"",'Chart of Accounts'!$A$5:$A$3000,0))&amp;"|"&amp;INDEX('Chart of Accounts'!$D$5:$D$3000,MATCH(AD46&amp;"",'Chart of Accounts'!$A$5:$A$3000,0)),"")</f>
        <v/>
      </c>
      <c r="AH46" s="23">
        <f>IFERROR(INDEX('Chart of Accounts'!$C$5:$C$3000,MATCH(V46&amp;"",'Chart of Accounts'!$A$5:$A$3000,0))&amp;"|"&amp;INDEX('Chart of Accounts'!$D$5:$D$3000,MATCH(V46&amp;"",'Chart of Accounts'!$A$5:$A$3000,0)),"")</f>
        <v/>
      </c>
      <c r="AI46" s="23">
        <f>IFERROR(INDEX('Chart of Accounts'!$C$5:$C$3000,MATCH(AE46&amp;"",'Chart of Accounts'!$A$5:$A$3000,0))&amp;"|"&amp;INDEX('Chart of Accounts'!$D$5:$D$3000,MATCH(AE46&amp;"",'Chart of Accounts'!$A$5:$A$3000,0)),"")</f>
        <v/>
      </c>
      <c r="AJ46" s="23">
        <f>IFERROR(INDEX('Chart of Accounts'!$C$5:$C$3000,MATCH(X46&amp;"",'Chart of Accounts'!$A$5:$A$3000,0))&amp;"|"&amp;INDEX('Chart of Accounts'!$D$5:$D$3000,MATCH(X46&amp;"",'Chart of Accounts'!$A$5:$A$3000,0)),"")</f>
        <v/>
      </c>
      <c r="AK46" s="23">
        <f>IFERROR(INDEX('Chart of Accounts'!$C$5:$C$3000,MATCH(W46&amp;"",'Chart of Accounts'!$A$5:$A$3000,0))&amp;"|"&amp;INDEX('Chart of Accounts'!$D$5:$D$3000,MATCH(W46&amp;"",'Chart of Accounts'!$A$5:$A$3000,0)),"")</f>
        <v/>
      </c>
      <c r="AL46" s="23">
        <f>IF(LEFT(AG46,8)="Revenue|",-N(S46),0)+IF(LEFT(AH46,8)="Revenue|",-N(T46),0)+IF(LEFT(AI46,8)="Revenue|",N(AF46),0)+IF(LEFT(AJ46,8)="Revenue|",N(AC46),0)+IF(LEFT(AK46,8)="Revenue|",N(U46),0)</f>
        <v/>
      </c>
      <c r="AM46" s="23">
        <f>IF(LEFT(AG46,5)="COGS|",N(S46),0)+IF(LEFT(AH46,5)="COGS|",N(T46),0)+IF(LEFT(AI46,5)="COGS|",-N(AF46),0)+IF(LEFT(AJ46,5)="COGS|",-N(AC46),0)+IF(LEFT(AK46,5)="COGS|",-N(U46),0)</f>
        <v/>
      </c>
      <c r="AN46" s="23">
        <f>IF(LEFT(AG46,8)="Expense|",N(S46),0)+IF(LEFT(AH46,8)="Expense|",N(T46),0)+IF(LEFT(AI46,8)="Expense|",-N(AF46),0)+IF(LEFT(AJ46,8)="Expense|",-N(AC46),0)+IF(LEFT(AK46,8)="Expense|",-N(U46),0)</f>
        <v/>
      </c>
      <c r="AO46" s="23">
        <f>IF(ISNUMBER(MATCH(AG46,{"Expense|employee","Expense|general_admin","Expense|marketing","Expense|utilities","Expense|other_operating"},0)),N(S46),0)+IF(ISNUMBER(MATCH(AH46,{"Expense|employee","Expense|general_admin","Expense|marketing","Expense|utilities","Expense|other_operating"},0)),N(T46),0)+IF(ISNUMBER(MATCH(AI46,{"Expense|employee","Expense|general_admin","Expense|marketing","Expense|utilities","Expense|other_operating"},0)),-N(AF46),0)+IF(ISNUMBER(MATCH(AJ46,{"Expense|employee","Expense|general_admin","Expense|marketing","Expense|utilities","Expense|other_operating"},0)),-N(AC46),0)+IF(ISNUMBER(MATCH(AK46,{"Expense|employee","Expense|general_admin","Expense|marketing","Expense|utilities","Expense|other_operating"},0)),-N(U46),0)</f>
        <v/>
      </c>
      <c r="AP46" s="23">
        <f>IF(AG46="Liability|payable",-N(S46),0)+IF(AH46="Liability|payable",-N(T46),0)+IF(AI46="Liability|payable",N(AF46),0)+IF(AJ46="Liability|payable",N(AC46),0)+IF(AK46="Liability|payable",N(U46),0)</f>
        <v/>
      </c>
      <c r="AQ46" s="23">
        <f>IF(AG46="Liability|accrued",-N(S46),0)+IF(AH46="Liability|accrued",-N(T46),0)+IF(AI46="Liability|accrued",N(AF46),0)+IF(AJ46="Liability|accrued",N(AC46),0)+IF(AK46="Liability|accrued",N(U46),0)</f>
        <v/>
      </c>
      <c r="AR46" s="23">
        <f>IF(AND(N(S46)&lt;&gt;0,AG46=""),1,0)+IF(AND(N(T46)&lt;&gt;0,AH46=""),1,0)+IF(AND(N(AF46)&lt;&gt;0,AI46=""),1,0)+IF(AND(N(AC46)&lt;&gt;0,AJ46=""),1,0)+IF(AND(N(U46)&lt;&gt;0,AK46=""),1,0)</f>
        <v/>
      </c>
    </row>
    <row r="47">
      <c r="A47" s="19" t="n"/>
      <c r="B47" s="14" t="n"/>
      <c r="C47" s="14" t="n"/>
      <c r="D47" s="14" t="n"/>
      <c r="E47" s="14" t="n"/>
      <c r="F47" s="14" t="n"/>
      <c r="G47" s="14" t="n"/>
      <c r="H47" s="20" t="n"/>
      <c r="I47" s="14" t="n"/>
      <c r="J47" s="14" t="n"/>
      <c r="K47" s="20" t="n"/>
      <c r="L47" s="14" t="n"/>
      <c r="M47" s="14" t="n"/>
      <c r="N47" s="14" t="n"/>
      <c r="O47" s="14" t="n"/>
      <c r="P47" s="14" t="n"/>
      <c r="Q47" s="14" t="n"/>
      <c r="R47" s="14" t="n"/>
      <c r="S47" s="21">
        <f>ROUND(ABS(N(G47))*N(H47),2)</f>
        <v/>
      </c>
      <c r="T47" s="21">
        <f>IF(B47="Receipt",ROUND(S47*IFERROR(VLOOKUP(Q47,'Tax Codes'!$A$5:$E$300,5,FALSE),0),2),0)</f>
        <v/>
      </c>
      <c r="U47" s="21">
        <f>IF(B47="Receipt",ROUND(S47*IFERROR(VLOOKUP(R47,'Tax Codes'!$A$5:$E$300,5,FALSE),0),2),0)</f>
        <v/>
      </c>
      <c r="V47" s="16">
        <f>INDEX('Chart of Accounts'!$A$5:$A$3000,MATCH("vat_input",'Chart of Accounts'!$F$5:$F$3000,0))</f>
        <v/>
      </c>
      <c r="W47" s="16">
        <f>INDEX('Chart of Accounts'!$A$5:$A$3000,MATCH("wht_payable",'Chart of Accounts'!$F$5:$F$3000,0))</f>
        <v/>
      </c>
      <c r="X47" s="16">
        <f>IF(M47="",INDEX('Chart of Accounts'!$A$5:$A$3000,MATCH("bank",'Chart of Accounts'!$F$5:$F$3000,0)),M47&amp;"")</f>
        <v/>
      </c>
      <c r="Y47" s="16">
        <f>IF(N47="",INDEX('Chart of Accounts'!$A$5:$A$3000,MATCH("ap",'Chart of Accounts'!$F$5:$F$3000,0)),N47&amp;"")</f>
        <v/>
      </c>
      <c r="Z47" s="16">
        <f>IF(O47="",INDEX('Chart of Accounts'!$A$5:$A$3000,MATCH("materials",'Chart of Accounts'!$F$5:$F$3000,0)),O47&amp;"")</f>
        <v/>
      </c>
      <c r="AA47" s="16">
        <f>IF(IFERROR(INDEX(Warehouses!$C$5:$C$1000,MATCH(C47,Warehouses!$A$5:$A$1000,0))&amp;"","")="",INDEX('Chart of Accounts'!$A$5:$A$3000,MATCH("inventory",'Chart of Accounts'!$F$5:$F$3000,0)),IFERROR(INDEX(Warehouses!$C$5:$C$1000,MATCH(C47,Warehouses!$A$5:$A$1000,0))&amp;"",""))</f>
        <v/>
      </c>
      <c r="AB47" s="16">
        <f>IF(IFERROR(INDEX(Warehouses!$C$5:$C$1000,MATCH(D47,Warehouses!$A$5:$A$1000,0))&amp;"","")="",INDEX('Chart of Accounts'!$A$5:$A$3000,MATCH("inventory",'Chart of Accounts'!$F$5:$F$3000,0)),IFERROR(INDEX(Warehouses!$C$5:$C$1000,MATCH(D47,Warehouses!$A$5:$A$1000,0))&amp;"",""))</f>
        <v/>
      </c>
      <c r="AC47" s="21">
        <f>IF(B47="Receipt",N(K47),0)</f>
        <v/>
      </c>
      <c r="AD47" s="16">
        <f>IF(B47="Receipt",AA47,IF(B47="Issue",Z47,IF(B47="Transfer",AB47,IF(N(G47)&gt;=0,AA47,INDEX('Chart of Accounts'!$A$5:$A$3000,MATCH("stock_adjust",'Chart of Accounts'!$F$5:$F$3000,0))))))</f>
        <v/>
      </c>
      <c r="AE47" s="16">
        <f>IF(B47="Receipt",Y47,IF(B47="Adjustment",IF(N(G47)&gt;=0,INDEX('Chart of Accounts'!$A$5:$A$3000,MATCH("stock_adjust",'Chart of Accounts'!$F$5:$F$3000,0)),AA47),AA47))</f>
        <v/>
      </c>
      <c r="AF47" s="21">
        <f>S47+T47-U47-AC47</f>
        <v/>
      </c>
      <c r="AG47" s="23">
        <f>IFERROR(INDEX('Chart of Accounts'!$C$5:$C$3000,MATCH(AD47&amp;"",'Chart of Accounts'!$A$5:$A$3000,0))&amp;"|"&amp;INDEX('Chart of Accounts'!$D$5:$D$3000,MATCH(AD47&amp;"",'Chart of Accounts'!$A$5:$A$3000,0)),"")</f>
        <v/>
      </c>
      <c r="AH47" s="23">
        <f>IFERROR(INDEX('Chart of Accounts'!$C$5:$C$3000,MATCH(V47&amp;"",'Chart of Accounts'!$A$5:$A$3000,0))&amp;"|"&amp;INDEX('Chart of Accounts'!$D$5:$D$3000,MATCH(V47&amp;"",'Chart of Accounts'!$A$5:$A$3000,0)),"")</f>
        <v/>
      </c>
      <c r="AI47" s="23">
        <f>IFERROR(INDEX('Chart of Accounts'!$C$5:$C$3000,MATCH(AE47&amp;"",'Chart of Accounts'!$A$5:$A$3000,0))&amp;"|"&amp;INDEX('Chart of Accounts'!$D$5:$D$3000,MATCH(AE47&amp;"",'Chart of Accounts'!$A$5:$A$3000,0)),"")</f>
        <v/>
      </c>
      <c r="AJ47" s="23">
        <f>IFERROR(INDEX('Chart of Accounts'!$C$5:$C$3000,MATCH(X47&amp;"",'Chart of Accounts'!$A$5:$A$3000,0))&amp;"|"&amp;INDEX('Chart of Accounts'!$D$5:$D$3000,MATCH(X47&amp;"",'Chart of Accounts'!$A$5:$A$3000,0)),"")</f>
        <v/>
      </c>
      <c r="AK47" s="23">
        <f>IFERROR(INDEX('Chart of Accounts'!$C$5:$C$3000,MATCH(W47&amp;"",'Chart of Accounts'!$A$5:$A$3000,0))&amp;"|"&amp;INDEX('Chart of Accounts'!$D$5:$D$3000,MATCH(W47&amp;"",'Chart of Accounts'!$A$5:$A$3000,0)),"")</f>
        <v/>
      </c>
      <c r="AL47" s="23">
        <f>IF(LEFT(AG47,8)="Revenue|",-N(S47),0)+IF(LEFT(AH47,8)="Revenue|",-N(T47),0)+IF(LEFT(AI47,8)="Revenue|",N(AF47),0)+IF(LEFT(AJ47,8)="Revenue|",N(AC47),0)+IF(LEFT(AK47,8)="Revenue|",N(U47),0)</f>
        <v/>
      </c>
      <c r="AM47" s="23">
        <f>IF(LEFT(AG47,5)="COGS|",N(S47),0)+IF(LEFT(AH47,5)="COGS|",N(T47),0)+IF(LEFT(AI47,5)="COGS|",-N(AF47),0)+IF(LEFT(AJ47,5)="COGS|",-N(AC47),0)+IF(LEFT(AK47,5)="COGS|",-N(U47),0)</f>
        <v/>
      </c>
      <c r="AN47" s="23">
        <f>IF(LEFT(AG47,8)="Expense|",N(S47),0)+IF(LEFT(AH47,8)="Expense|",N(T47),0)+IF(LEFT(AI47,8)="Expense|",-N(AF47),0)+IF(LEFT(AJ47,8)="Expense|",-N(AC47),0)+IF(LEFT(AK47,8)="Expense|",-N(U47),0)</f>
        <v/>
      </c>
      <c r="AO47" s="23">
        <f>IF(ISNUMBER(MATCH(AG47,{"Expense|employee","Expense|general_admin","Expense|marketing","Expense|utilities","Expense|other_operating"},0)),N(S47),0)+IF(ISNUMBER(MATCH(AH47,{"Expense|employee","Expense|general_admin","Expense|marketing","Expense|utilities","Expense|other_operating"},0)),N(T47),0)+IF(ISNUMBER(MATCH(AI47,{"Expense|employee","Expense|general_admin","Expense|marketing","Expense|utilities","Expense|other_operating"},0)),-N(AF47),0)+IF(ISNUMBER(MATCH(AJ47,{"Expense|employee","Expense|general_admin","Expense|marketing","Expense|utilities","Expense|other_operating"},0)),-N(AC47),0)+IF(ISNUMBER(MATCH(AK47,{"Expense|employee","Expense|general_admin","Expense|marketing","Expense|utilities","Expense|other_operating"},0)),-N(U47),0)</f>
        <v/>
      </c>
      <c r="AP47" s="23">
        <f>IF(AG47="Liability|payable",-N(S47),0)+IF(AH47="Liability|payable",-N(T47),0)+IF(AI47="Liability|payable",N(AF47),0)+IF(AJ47="Liability|payable",N(AC47),0)+IF(AK47="Liability|payable",N(U47),0)</f>
        <v/>
      </c>
      <c r="AQ47" s="23">
        <f>IF(AG47="Liability|accrued",-N(S47),0)+IF(AH47="Liability|accrued",-N(T47),0)+IF(AI47="Liability|accrued",N(AF47),0)+IF(AJ47="Liability|accrued",N(AC47),0)+IF(AK47="Liability|accrued",N(U47),0)</f>
        <v/>
      </c>
      <c r="AR47" s="23">
        <f>IF(AND(N(S47)&lt;&gt;0,AG47=""),1,0)+IF(AND(N(T47)&lt;&gt;0,AH47=""),1,0)+IF(AND(N(AF47)&lt;&gt;0,AI47=""),1,0)+IF(AND(N(AC47)&lt;&gt;0,AJ47=""),1,0)+IF(AND(N(U47)&lt;&gt;0,AK47=""),1,0)</f>
        <v/>
      </c>
    </row>
    <row r="48">
      <c r="A48" s="19" t="n"/>
      <c r="B48" s="14" t="n"/>
      <c r="C48" s="14" t="n"/>
      <c r="D48" s="14" t="n"/>
      <c r="E48" s="14" t="n"/>
      <c r="F48" s="14" t="n"/>
      <c r="G48" s="14" t="n"/>
      <c r="H48" s="20" t="n"/>
      <c r="I48" s="14" t="n"/>
      <c r="J48" s="14" t="n"/>
      <c r="K48" s="20" t="n"/>
      <c r="L48" s="14" t="n"/>
      <c r="M48" s="14" t="n"/>
      <c r="N48" s="14" t="n"/>
      <c r="O48" s="14" t="n"/>
      <c r="P48" s="14" t="n"/>
      <c r="Q48" s="14" t="n"/>
      <c r="R48" s="14" t="n"/>
      <c r="S48" s="21">
        <f>ROUND(ABS(N(G48))*N(H48),2)</f>
        <v/>
      </c>
      <c r="T48" s="21">
        <f>IF(B48="Receipt",ROUND(S48*IFERROR(VLOOKUP(Q48,'Tax Codes'!$A$5:$E$300,5,FALSE),0),2),0)</f>
        <v/>
      </c>
      <c r="U48" s="21">
        <f>IF(B48="Receipt",ROUND(S48*IFERROR(VLOOKUP(R48,'Tax Codes'!$A$5:$E$300,5,FALSE),0),2),0)</f>
        <v/>
      </c>
      <c r="V48" s="16">
        <f>INDEX('Chart of Accounts'!$A$5:$A$3000,MATCH("vat_input",'Chart of Accounts'!$F$5:$F$3000,0))</f>
        <v/>
      </c>
      <c r="W48" s="16">
        <f>INDEX('Chart of Accounts'!$A$5:$A$3000,MATCH("wht_payable",'Chart of Accounts'!$F$5:$F$3000,0))</f>
        <v/>
      </c>
      <c r="X48" s="16">
        <f>IF(M48="",INDEX('Chart of Accounts'!$A$5:$A$3000,MATCH("bank",'Chart of Accounts'!$F$5:$F$3000,0)),M48&amp;"")</f>
        <v/>
      </c>
      <c r="Y48" s="16">
        <f>IF(N48="",INDEX('Chart of Accounts'!$A$5:$A$3000,MATCH("ap",'Chart of Accounts'!$F$5:$F$3000,0)),N48&amp;"")</f>
        <v/>
      </c>
      <c r="Z48" s="16">
        <f>IF(O48="",INDEX('Chart of Accounts'!$A$5:$A$3000,MATCH("materials",'Chart of Accounts'!$F$5:$F$3000,0)),O48&amp;"")</f>
        <v/>
      </c>
      <c r="AA48" s="16">
        <f>IF(IFERROR(INDEX(Warehouses!$C$5:$C$1000,MATCH(C48,Warehouses!$A$5:$A$1000,0))&amp;"","")="",INDEX('Chart of Accounts'!$A$5:$A$3000,MATCH("inventory",'Chart of Accounts'!$F$5:$F$3000,0)),IFERROR(INDEX(Warehouses!$C$5:$C$1000,MATCH(C48,Warehouses!$A$5:$A$1000,0))&amp;"",""))</f>
        <v/>
      </c>
      <c r="AB48" s="16">
        <f>IF(IFERROR(INDEX(Warehouses!$C$5:$C$1000,MATCH(D48,Warehouses!$A$5:$A$1000,0))&amp;"","")="",INDEX('Chart of Accounts'!$A$5:$A$3000,MATCH("inventory",'Chart of Accounts'!$F$5:$F$3000,0)),IFERROR(INDEX(Warehouses!$C$5:$C$1000,MATCH(D48,Warehouses!$A$5:$A$1000,0))&amp;"",""))</f>
        <v/>
      </c>
      <c r="AC48" s="21">
        <f>IF(B48="Receipt",N(K48),0)</f>
        <v/>
      </c>
      <c r="AD48" s="16">
        <f>IF(B48="Receipt",AA48,IF(B48="Issue",Z48,IF(B48="Transfer",AB48,IF(N(G48)&gt;=0,AA48,INDEX('Chart of Accounts'!$A$5:$A$3000,MATCH("stock_adjust",'Chart of Accounts'!$F$5:$F$3000,0))))))</f>
        <v/>
      </c>
      <c r="AE48" s="16">
        <f>IF(B48="Receipt",Y48,IF(B48="Adjustment",IF(N(G48)&gt;=0,INDEX('Chart of Accounts'!$A$5:$A$3000,MATCH("stock_adjust",'Chart of Accounts'!$F$5:$F$3000,0)),AA48),AA48))</f>
        <v/>
      </c>
      <c r="AF48" s="21">
        <f>S48+T48-U48-AC48</f>
        <v/>
      </c>
      <c r="AG48" s="23">
        <f>IFERROR(INDEX('Chart of Accounts'!$C$5:$C$3000,MATCH(AD48&amp;"",'Chart of Accounts'!$A$5:$A$3000,0))&amp;"|"&amp;INDEX('Chart of Accounts'!$D$5:$D$3000,MATCH(AD48&amp;"",'Chart of Accounts'!$A$5:$A$3000,0)),"")</f>
        <v/>
      </c>
      <c r="AH48" s="23">
        <f>IFERROR(INDEX('Chart of Accounts'!$C$5:$C$3000,MATCH(V48&amp;"",'Chart of Accounts'!$A$5:$A$3000,0))&amp;"|"&amp;INDEX('Chart of Accounts'!$D$5:$D$3000,MATCH(V48&amp;"",'Chart of Accounts'!$A$5:$A$3000,0)),"")</f>
        <v/>
      </c>
      <c r="AI48" s="23">
        <f>IFERROR(INDEX('Chart of Accounts'!$C$5:$C$3000,MATCH(AE48&amp;"",'Chart of Accounts'!$A$5:$A$3000,0))&amp;"|"&amp;INDEX('Chart of Accounts'!$D$5:$D$3000,MATCH(AE48&amp;"",'Chart of Accounts'!$A$5:$A$3000,0)),"")</f>
        <v/>
      </c>
      <c r="AJ48" s="23">
        <f>IFERROR(INDEX('Chart of Accounts'!$C$5:$C$3000,MATCH(X48&amp;"",'Chart of Accounts'!$A$5:$A$3000,0))&amp;"|"&amp;INDEX('Chart of Accounts'!$D$5:$D$3000,MATCH(X48&amp;"",'Chart of Accounts'!$A$5:$A$3000,0)),"")</f>
        <v/>
      </c>
      <c r="AK48" s="23">
        <f>IFERROR(INDEX('Chart of Accounts'!$C$5:$C$3000,MATCH(W48&amp;"",'Chart of Accounts'!$A$5:$A$3000,0))&amp;"|"&amp;INDEX('Chart of Accounts'!$D$5:$D$3000,MATCH(W48&amp;"",'Chart of Accounts'!$A$5:$A$3000,0)),"")</f>
        <v/>
      </c>
      <c r="AL48" s="23">
        <f>IF(LEFT(AG48,8)="Revenue|",-N(S48),0)+IF(LEFT(AH48,8)="Revenue|",-N(T48),0)+IF(LEFT(AI48,8)="Revenue|",N(AF48),0)+IF(LEFT(AJ48,8)="Revenue|",N(AC48),0)+IF(LEFT(AK48,8)="Revenue|",N(U48),0)</f>
        <v/>
      </c>
      <c r="AM48" s="23">
        <f>IF(LEFT(AG48,5)="COGS|",N(S48),0)+IF(LEFT(AH48,5)="COGS|",N(T48),0)+IF(LEFT(AI48,5)="COGS|",-N(AF48),0)+IF(LEFT(AJ48,5)="COGS|",-N(AC48),0)+IF(LEFT(AK48,5)="COGS|",-N(U48),0)</f>
        <v/>
      </c>
      <c r="AN48" s="23">
        <f>IF(LEFT(AG48,8)="Expense|",N(S48),0)+IF(LEFT(AH48,8)="Expense|",N(T48),0)+IF(LEFT(AI48,8)="Expense|",-N(AF48),0)+IF(LEFT(AJ48,8)="Expense|",-N(AC48),0)+IF(LEFT(AK48,8)="Expense|",-N(U48),0)</f>
        <v/>
      </c>
      <c r="AO48" s="23">
        <f>IF(ISNUMBER(MATCH(AG48,{"Expense|employee","Expense|general_admin","Expense|marketing","Expense|utilities","Expense|other_operating"},0)),N(S48),0)+IF(ISNUMBER(MATCH(AH48,{"Expense|employee","Expense|general_admin","Expense|marketing","Expense|utilities","Expense|other_operating"},0)),N(T48),0)+IF(ISNUMBER(MATCH(AI48,{"Expense|employee","Expense|general_admin","Expense|marketing","Expense|utilities","Expense|other_operating"},0)),-N(AF48),0)+IF(ISNUMBER(MATCH(AJ48,{"Expense|employee","Expense|general_admin","Expense|marketing","Expense|utilities","Expense|other_operating"},0)),-N(AC48),0)+IF(ISNUMBER(MATCH(AK48,{"Expense|employee","Expense|general_admin","Expense|marketing","Expense|utilities","Expense|other_operating"},0)),-N(U48),0)</f>
        <v/>
      </c>
      <c r="AP48" s="23">
        <f>IF(AG48="Liability|payable",-N(S48),0)+IF(AH48="Liability|payable",-N(T48),0)+IF(AI48="Liability|payable",N(AF48),0)+IF(AJ48="Liability|payable",N(AC48),0)+IF(AK48="Liability|payable",N(U48),0)</f>
        <v/>
      </c>
      <c r="AQ48" s="23">
        <f>IF(AG48="Liability|accrued",-N(S48),0)+IF(AH48="Liability|accrued",-N(T48),0)+IF(AI48="Liability|accrued",N(AF48),0)+IF(AJ48="Liability|accrued",N(AC48),0)+IF(AK48="Liability|accrued",N(U48),0)</f>
        <v/>
      </c>
      <c r="AR48" s="23">
        <f>IF(AND(N(S48)&lt;&gt;0,AG48=""),1,0)+IF(AND(N(T48)&lt;&gt;0,AH48=""),1,0)+IF(AND(N(AF48)&lt;&gt;0,AI48=""),1,0)+IF(AND(N(AC48)&lt;&gt;0,AJ48=""),1,0)+IF(AND(N(U48)&lt;&gt;0,AK48=""),1,0)</f>
        <v/>
      </c>
    </row>
    <row r="49">
      <c r="A49" s="19" t="n"/>
      <c r="B49" s="14" t="n"/>
      <c r="C49" s="14" t="n"/>
      <c r="D49" s="14" t="n"/>
      <c r="E49" s="14" t="n"/>
      <c r="F49" s="14" t="n"/>
      <c r="G49" s="14" t="n"/>
      <c r="H49" s="20" t="n"/>
      <c r="I49" s="14" t="n"/>
      <c r="J49" s="14" t="n"/>
      <c r="K49" s="20" t="n"/>
      <c r="L49" s="14" t="n"/>
      <c r="M49" s="14" t="n"/>
      <c r="N49" s="14" t="n"/>
      <c r="O49" s="14" t="n"/>
      <c r="P49" s="14" t="n"/>
      <c r="Q49" s="14" t="n"/>
      <c r="R49" s="14" t="n"/>
      <c r="S49" s="21">
        <f>ROUND(ABS(N(G49))*N(H49),2)</f>
        <v/>
      </c>
      <c r="T49" s="21">
        <f>IF(B49="Receipt",ROUND(S49*IFERROR(VLOOKUP(Q49,'Tax Codes'!$A$5:$E$300,5,FALSE),0),2),0)</f>
        <v/>
      </c>
      <c r="U49" s="21">
        <f>IF(B49="Receipt",ROUND(S49*IFERROR(VLOOKUP(R49,'Tax Codes'!$A$5:$E$300,5,FALSE),0),2),0)</f>
        <v/>
      </c>
      <c r="V49" s="16">
        <f>INDEX('Chart of Accounts'!$A$5:$A$3000,MATCH("vat_input",'Chart of Accounts'!$F$5:$F$3000,0))</f>
        <v/>
      </c>
      <c r="W49" s="16">
        <f>INDEX('Chart of Accounts'!$A$5:$A$3000,MATCH("wht_payable",'Chart of Accounts'!$F$5:$F$3000,0))</f>
        <v/>
      </c>
      <c r="X49" s="16">
        <f>IF(M49="",INDEX('Chart of Accounts'!$A$5:$A$3000,MATCH("bank",'Chart of Accounts'!$F$5:$F$3000,0)),M49&amp;"")</f>
        <v/>
      </c>
      <c r="Y49" s="16">
        <f>IF(N49="",INDEX('Chart of Accounts'!$A$5:$A$3000,MATCH("ap",'Chart of Accounts'!$F$5:$F$3000,0)),N49&amp;"")</f>
        <v/>
      </c>
      <c r="Z49" s="16">
        <f>IF(O49="",INDEX('Chart of Accounts'!$A$5:$A$3000,MATCH("materials",'Chart of Accounts'!$F$5:$F$3000,0)),O49&amp;"")</f>
        <v/>
      </c>
      <c r="AA49" s="16">
        <f>IF(IFERROR(INDEX(Warehouses!$C$5:$C$1000,MATCH(C49,Warehouses!$A$5:$A$1000,0))&amp;"","")="",INDEX('Chart of Accounts'!$A$5:$A$3000,MATCH("inventory",'Chart of Accounts'!$F$5:$F$3000,0)),IFERROR(INDEX(Warehouses!$C$5:$C$1000,MATCH(C49,Warehouses!$A$5:$A$1000,0))&amp;"",""))</f>
        <v/>
      </c>
      <c r="AB49" s="16">
        <f>IF(IFERROR(INDEX(Warehouses!$C$5:$C$1000,MATCH(D49,Warehouses!$A$5:$A$1000,0))&amp;"","")="",INDEX('Chart of Accounts'!$A$5:$A$3000,MATCH("inventory",'Chart of Accounts'!$F$5:$F$3000,0)),IFERROR(INDEX(Warehouses!$C$5:$C$1000,MATCH(D49,Warehouses!$A$5:$A$1000,0))&amp;"",""))</f>
        <v/>
      </c>
      <c r="AC49" s="21">
        <f>IF(B49="Receipt",N(K49),0)</f>
        <v/>
      </c>
      <c r="AD49" s="16">
        <f>IF(B49="Receipt",AA49,IF(B49="Issue",Z49,IF(B49="Transfer",AB49,IF(N(G49)&gt;=0,AA49,INDEX('Chart of Accounts'!$A$5:$A$3000,MATCH("stock_adjust",'Chart of Accounts'!$F$5:$F$3000,0))))))</f>
        <v/>
      </c>
      <c r="AE49" s="16">
        <f>IF(B49="Receipt",Y49,IF(B49="Adjustment",IF(N(G49)&gt;=0,INDEX('Chart of Accounts'!$A$5:$A$3000,MATCH("stock_adjust",'Chart of Accounts'!$F$5:$F$3000,0)),AA49),AA49))</f>
        <v/>
      </c>
      <c r="AF49" s="21">
        <f>S49+T49-U49-AC49</f>
        <v/>
      </c>
      <c r="AG49" s="23">
        <f>IFERROR(INDEX('Chart of Accounts'!$C$5:$C$3000,MATCH(AD49&amp;"",'Chart of Accounts'!$A$5:$A$3000,0))&amp;"|"&amp;INDEX('Chart of Accounts'!$D$5:$D$3000,MATCH(AD49&amp;"",'Chart of Accounts'!$A$5:$A$3000,0)),"")</f>
        <v/>
      </c>
      <c r="AH49" s="23">
        <f>IFERROR(INDEX('Chart of Accounts'!$C$5:$C$3000,MATCH(V49&amp;"",'Chart of Accounts'!$A$5:$A$3000,0))&amp;"|"&amp;INDEX('Chart of Accounts'!$D$5:$D$3000,MATCH(V49&amp;"",'Chart of Accounts'!$A$5:$A$3000,0)),"")</f>
        <v/>
      </c>
      <c r="AI49" s="23">
        <f>IFERROR(INDEX('Chart of Accounts'!$C$5:$C$3000,MATCH(AE49&amp;"",'Chart of Accounts'!$A$5:$A$3000,0))&amp;"|"&amp;INDEX('Chart of Accounts'!$D$5:$D$3000,MATCH(AE49&amp;"",'Chart of Accounts'!$A$5:$A$3000,0)),"")</f>
        <v/>
      </c>
      <c r="AJ49" s="23">
        <f>IFERROR(INDEX('Chart of Accounts'!$C$5:$C$3000,MATCH(X49&amp;"",'Chart of Accounts'!$A$5:$A$3000,0))&amp;"|"&amp;INDEX('Chart of Accounts'!$D$5:$D$3000,MATCH(X49&amp;"",'Chart of Accounts'!$A$5:$A$3000,0)),"")</f>
        <v/>
      </c>
      <c r="AK49" s="23">
        <f>IFERROR(INDEX('Chart of Accounts'!$C$5:$C$3000,MATCH(W49&amp;"",'Chart of Accounts'!$A$5:$A$3000,0))&amp;"|"&amp;INDEX('Chart of Accounts'!$D$5:$D$3000,MATCH(W49&amp;"",'Chart of Accounts'!$A$5:$A$3000,0)),"")</f>
        <v/>
      </c>
      <c r="AL49" s="23">
        <f>IF(LEFT(AG49,8)="Revenue|",-N(S49),0)+IF(LEFT(AH49,8)="Revenue|",-N(T49),0)+IF(LEFT(AI49,8)="Revenue|",N(AF49),0)+IF(LEFT(AJ49,8)="Revenue|",N(AC49),0)+IF(LEFT(AK49,8)="Revenue|",N(U49),0)</f>
        <v/>
      </c>
      <c r="AM49" s="23">
        <f>IF(LEFT(AG49,5)="COGS|",N(S49),0)+IF(LEFT(AH49,5)="COGS|",N(T49),0)+IF(LEFT(AI49,5)="COGS|",-N(AF49),0)+IF(LEFT(AJ49,5)="COGS|",-N(AC49),0)+IF(LEFT(AK49,5)="COGS|",-N(U49),0)</f>
        <v/>
      </c>
      <c r="AN49" s="23">
        <f>IF(LEFT(AG49,8)="Expense|",N(S49),0)+IF(LEFT(AH49,8)="Expense|",N(T49),0)+IF(LEFT(AI49,8)="Expense|",-N(AF49),0)+IF(LEFT(AJ49,8)="Expense|",-N(AC49),0)+IF(LEFT(AK49,8)="Expense|",-N(U49),0)</f>
        <v/>
      </c>
      <c r="AO49" s="23">
        <f>IF(ISNUMBER(MATCH(AG49,{"Expense|employee","Expense|general_admin","Expense|marketing","Expense|utilities","Expense|other_operating"},0)),N(S49),0)+IF(ISNUMBER(MATCH(AH49,{"Expense|employee","Expense|general_admin","Expense|marketing","Expense|utilities","Expense|other_operating"},0)),N(T49),0)+IF(ISNUMBER(MATCH(AI49,{"Expense|employee","Expense|general_admin","Expense|marketing","Expense|utilities","Expense|other_operating"},0)),-N(AF49),0)+IF(ISNUMBER(MATCH(AJ49,{"Expense|employee","Expense|general_admin","Expense|marketing","Expense|utilities","Expense|other_operating"},0)),-N(AC49),0)+IF(ISNUMBER(MATCH(AK49,{"Expense|employee","Expense|general_admin","Expense|marketing","Expense|utilities","Expense|other_operating"},0)),-N(U49),0)</f>
        <v/>
      </c>
      <c r="AP49" s="23">
        <f>IF(AG49="Liability|payable",-N(S49),0)+IF(AH49="Liability|payable",-N(T49),0)+IF(AI49="Liability|payable",N(AF49),0)+IF(AJ49="Liability|payable",N(AC49),0)+IF(AK49="Liability|payable",N(U49),0)</f>
        <v/>
      </c>
      <c r="AQ49" s="23">
        <f>IF(AG49="Liability|accrued",-N(S49),0)+IF(AH49="Liability|accrued",-N(T49),0)+IF(AI49="Liability|accrued",N(AF49),0)+IF(AJ49="Liability|accrued",N(AC49),0)+IF(AK49="Liability|accrued",N(U49),0)</f>
        <v/>
      </c>
      <c r="AR49" s="23">
        <f>IF(AND(N(S49)&lt;&gt;0,AG49=""),1,0)+IF(AND(N(T49)&lt;&gt;0,AH49=""),1,0)+IF(AND(N(AF49)&lt;&gt;0,AI49=""),1,0)+IF(AND(N(AC49)&lt;&gt;0,AJ49=""),1,0)+IF(AND(N(U49)&lt;&gt;0,AK49=""),1,0)</f>
        <v/>
      </c>
    </row>
    <row r="50">
      <c r="A50" s="19" t="n"/>
      <c r="B50" s="14" t="n"/>
      <c r="C50" s="14" t="n"/>
      <c r="D50" s="14" t="n"/>
      <c r="E50" s="14" t="n"/>
      <c r="F50" s="14" t="n"/>
      <c r="G50" s="14" t="n"/>
      <c r="H50" s="20" t="n"/>
      <c r="I50" s="14" t="n"/>
      <c r="J50" s="14" t="n"/>
      <c r="K50" s="20" t="n"/>
      <c r="L50" s="14" t="n"/>
      <c r="M50" s="14" t="n"/>
      <c r="N50" s="14" t="n"/>
      <c r="O50" s="14" t="n"/>
      <c r="P50" s="14" t="n"/>
      <c r="Q50" s="14" t="n"/>
      <c r="R50" s="14" t="n"/>
      <c r="S50" s="21">
        <f>ROUND(ABS(N(G50))*N(H50),2)</f>
        <v/>
      </c>
      <c r="T50" s="21">
        <f>IF(B50="Receipt",ROUND(S50*IFERROR(VLOOKUP(Q50,'Tax Codes'!$A$5:$E$300,5,FALSE),0),2),0)</f>
        <v/>
      </c>
      <c r="U50" s="21">
        <f>IF(B50="Receipt",ROUND(S50*IFERROR(VLOOKUP(R50,'Tax Codes'!$A$5:$E$300,5,FALSE),0),2),0)</f>
        <v/>
      </c>
      <c r="V50" s="16">
        <f>INDEX('Chart of Accounts'!$A$5:$A$3000,MATCH("vat_input",'Chart of Accounts'!$F$5:$F$3000,0))</f>
        <v/>
      </c>
      <c r="W50" s="16">
        <f>INDEX('Chart of Accounts'!$A$5:$A$3000,MATCH("wht_payable",'Chart of Accounts'!$F$5:$F$3000,0))</f>
        <v/>
      </c>
      <c r="X50" s="16">
        <f>IF(M50="",INDEX('Chart of Accounts'!$A$5:$A$3000,MATCH("bank",'Chart of Accounts'!$F$5:$F$3000,0)),M50&amp;"")</f>
        <v/>
      </c>
      <c r="Y50" s="16">
        <f>IF(N50="",INDEX('Chart of Accounts'!$A$5:$A$3000,MATCH("ap",'Chart of Accounts'!$F$5:$F$3000,0)),N50&amp;"")</f>
        <v/>
      </c>
      <c r="Z50" s="16">
        <f>IF(O50="",INDEX('Chart of Accounts'!$A$5:$A$3000,MATCH("materials",'Chart of Accounts'!$F$5:$F$3000,0)),O50&amp;"")</f>
        <v/>
      </c>
      <c r="AA50" s="16">
        <f>IF(IFERROR(INDEX(Warehouses!$C$5:$C$1000,MATCH(C50,Warehouses!$A$5:$A$1000,0))&amp;"","")="",INDEX('Chart of Accounts'!$A$5:$A$3000,MATCH("inventory",'Chart of Accounts'!$F$5:$F$3000,0)),IFERROR(INDEX(Warehouses!$C$5:$C$1000,MATCH(C50,Warehouses!$A$5:$A$1000,0))&amp;"",""))</f>
        <v/>
      </c>
      <c r="AB50" s="16">
        <f>IF(IFERROR(INDEX(Warehouses!$C$5:$C$1000,MATCH(D50,Warehouses!$A$5:$A$1000,0))&amp;"","")="",INDEX('Chart of Accounts'!$A$5:$A$3000,MATCH("inventory",'Chart of Accounts'!$F$5:$F$3000,0)),IFERROR(INDEX(Warehouses!$C$5:$C$1000,MATCH(D50,Warehouses!$A$5:$A$1000,0))&amp;"",""))</f>
        <v/>
      </c>
      <c r="AC50" s="21">
        <f>IF(B50="Receipt",N(K50),0)</f>
        <v/>
      </c>
      <c r="AD50" s="16">
        <f>IF(B50="Receipt",AA50,IF(B50="Issue",Z50,IF(B50="Transfer",AB50,IF(N(G50)&gt;=0,AA50,INDEX('Chart of Accounts'!$A$5:$A$3000,MATCH("stock_adjust",'Chart of Accounts'!$F$5:$F$3000,0))))))</f>
        <v/>
      </c>
      <c r="AE50" s="16">
        <f>IF(B50="Receipt",Y50,IF(B50="Adjustment",IF(N(G50)&gt;=0,INDEX('Chart of Accounts'!$A$5:$A$3000,MATCH("stock_adjust",'Chart of Accounts'!$F$5:$F$3000,0)),AA50),AA50))</f>
        <v/>
      </c>
      <c r="AF50" s="21">
        <f>S50+T50-U50-AC50</f>
        <v/>
      </c>
      <c r="AG50" s="23">
        <f>IFERROR(INDEX('Chart of Accounts'!$C$5:$C$3000,MATCH(AD50&amp;"",'Chart of Accounts'!$A$5:$A$3000,0))&amp;"|"&amp;INDEX('Chart of Accounts'!$D$5:$D$3000,MATCH(AD50&amp;"",'Chart of Accounts'!$A$5:$A$3000,0)),"")</f>
        <v/>
      </c>
      <c r="AH50" s="23">
        <f>IFERROR(INDEX('Chart of Accounts'!$C$5:$C$3000,MATCH(V50&amp;"",'Chart of Accounts'!$A$5:$A$3000,0))&amp;"|"&amp;INDEX('Chart of Accounts'!$D$5:$D$3000,MATCH(V50&amp;"",'Chart of Accounts'!$A$5:$A$3000,0)),"")</f>
        <v/>
      </c>
      <c r="AI50" s="23">
        <f>IFERROR(INDEX('Chart of Accounts'!$C$5:$C$3000,MATCH(AE50&amp;"",'Chart of Accounts'!$A$5:$A$3000,0))&amp;"|"&amp;INDEX('Chart of Accounts'!$D$5:$D$3000,MATCH(AE50&amp;"",'Chart of Accounts'!$A$5:$A$3000,0)),"")</f>
        <v/>
      </c>
      <c r="AJ50" s="23">
        <f>IFERROR(INDEX('Chart of Accounts'!$C$5:$C$3000,MATCH(X50&amp;"",'Chart of Accounts'!$A$5:$A$3000,0))&amp;"|"&amp;INDEX('Chart of Accounts'!$D$5:$D$3000,MATCH(X50&amp;"",'Chart of Accounts'!$A$5:$A$3000,0)),"")</f>
        <v/>
      </c>
      <c r="AK50" s="23">
        <f>IFERROR(INDEX('Chart of Accounts'!$C$5:$C$3000,MATCH(W50&amp;"",'Chart of Accounts'!$A$5:$A$3000,0))&amp;"|"&amp;INDEX('Chart of Accounts'!$D$5:$D$3000,MATCH(W50&amp;"",'Chart of Accounts'!$A$5:$A$3000,0)),"")</f>
        <v/>
      </c>
      <c r="AL50" s="23">
        <f>IF(LEFT(AG50,8)="Revenue|",-N(S50),0)+IF(LEFT(AH50,8)="Revenue|",-N(T50),0)+IF(LEFT(AI50,8)="Revenue|",N(AF50),0)+IF(LEFT(AJ50,8)="Revenue|",N(AC50),0)+IF(LEFT(AK50,8)="Revenue|",N(U50),0)</f>
        <v/>
      </c>
      <c r="AM50" s="23">
        <f>IF(LEFT(AG50,5)="COGS|",N(S50),0)+IF(LEFT(AH50,5)="COGS|",N(T50),0)+IF(LEFT(AI50,5)="COGS|",-N(AF50),0)+IF(LEFT(AJ50,5)="COGS|",-N(AC50),0)+IF(LEFT(AK50,5)="COGS|",-N(U50),0)</f>
        <v/>
      </c>
      <c r="AN50" s="23">
        <f>IF(LEFT(AG50,8)="Expense|",N(S50),0)+IF(LEFT(AH50,8)="Expense|",N(T50),0)+IF(LEFT(AI50,8)="Expense|",-N(AF50),0)+IF(LEFT(AJ50,8)="Expense|",-N(AC50),0)+IF(LEFT(AK50,8)="Expense|",-N(U50),0)</f>
        <v/>
      </c>
      <c r="AO50" s="23">
        <f>IF(ISNUMBER(MATCH(AG50,{"Expense|employee","Expense|general_admin","Expense|marketing","Expense|utilities","Expense|other_operating"},0)),N(S50),0)+IF(ISNUMBER(MATCH(AH50,{"Expense|employee","Expense|general_admin","Expense|marketing","Expense|utilities","Expense|other_operating"},0)),N(T50),0)+IF(ISNUMBER(MATCH(AI50,{"Expense|employee","Expense|general_admin","Expense|marketing","Expense|utilities","Expense|other_operating"},0)),-N(AF50),0)+IF(ISNUMBER(MATCH(AJ50,{"Expense|employee","Expense|general_admin","Expense|marketing","Expense|utilities","Expense|other_operating"},0)),-N(AC50),0)+IF(ISNUMBER(MATCH(AK50,{"Expense|employee","Expense|general_admin","Expense|marketing","Expense|utilities","Expense|other_operating"},0)),-N(U50),0)</f>
        <v/>
      </c>
      <c r="AP50" s="23">
        <f>IF(AG50="Liability|payable",-N(S50),0)+IF(AH50="Liability|payable",-N(T50),0)+IF(AI50="Liability|payable",N(AF50),0)+IF(AJ50="Liability|payable",N(AC50),0)+IF(AK50="Liability|payable",N(U50),0)</f>
        <v/>
      </c>
      <c r="AQ50" s="23">
        <f>IF(AG50="Liability|accrued",-N(S50),0)+IF(AH50="Liability|accrued",-N(T50),0)+IF(AI50="Liability|accrued",N(AF50),0)+IF(AJ50="Liability|accrued",N(AC50),0)+IF(AK50="Liability|accrued",N(U50),0)</f>
        <v/>
      </c>
      <c r="AR50" s="23">
        <f>IF(AND(N(S50)&lt;&gt;0,AG50=""),1,0)+IF(AND(N(T50)&lt;&gt;0,AH50=""),1,0)+IF(AND(N(AF50)&lt;&gt;0,AI50=""),1,0)+IF(AND(N(AC50)&lt;&gt;0,AJ50=""),1,0)+IF(AND(N(U50)&lt;&gt;0,AK50=""),1,0)</f>
        <v/>
      </c>
    </row>
    <row r="51">
      <c r="A51" s="19" t="n"/>
      <c r="B51" s="14" t="n"/>
      <c r="C51" s="14" t="n"/>
      <c r="D51" s="14" t="n"/>
      <c r="E51" s="14" t="n"/>
      <c r="F51" s="14" t="n"/>
      <c r="G51" s="14" t="n"/>
      <c r="H51" s="20" t="n"/>
      <c r="I51" s="14" t="n"/>
      <c r="J51" s="14" t="n"/>
      <c r="K51" s="20" t="n"/>
      <c r="L51" s="14" t="n"/>
      <c r="M51" s="14" t="n"/>
      <c r="N51" s="14" t="n"/>
      <c r="O51" s="14" t="n"/>
      <c r="P51" s="14" t="n"/>
      <c r="Q51" s="14" t="n"/>
      <c r="R51" s="14" t="n"/>
      <c r="S51" s="21">
        <f>ROUND(ABS(N(G51))*N(H51),2)</f>
        <v/>
      </c>
      <c r="T51" s="21">
        <f>IF(B51="Receipt",ROUND(S51*IFERROR(VLOOKUP(Q51,'Tax Codes'!$A$5:$E$300,5,FALSE),0),2),0)</f>
        <v/>
      </c>
      <c r="U51" s="21">
        <f>IF(B51="Receipt",ROUND(S51*IFERROR(VLOOKUP(R51,'Tax Codes'!$A$5:$E$300,5,FALSE),0),2),0)</f>
        <v/>
      </c>
      <c r="V51" s="16">
        <f>INDEX('Chart of Accounts'!$A$5:$A$3000,MATCH("vat_input",'Chart of Accounts'!$F$5:$F$3000,0))</f>
        <v/>
      </c>
      <c r="W51" s="16">
        <f>INDEX('Chart of Accounts'!$A$5:$A$3000,MATCH("wht_payable",'Chart of Accounts'!$F$5:$F$3000,0))</f>
        <v/>
      </c>
      <c r="X51" s="16">
        <f>IF(M51="",INDEX('Chart of Accounts'!$A$5:$A$3000,MATCH("bank",'Chart of Accounts'!$F$5:$F$3000,0)),M51&amp;"")</f>
        <v/>
      </c>
      <c r="Y51" s="16">
        <f>IF(N51="",INDEX('Chart of Accounts'!$A$5:$A$3000,MATCH("ap",'Chart of Accounts'!$F$5:$F$3000,0)),N51&amp;"")</f>
        <v/>
      </c>
      <c r="Z51" s="16">
        <f>IF(O51="",INDEX('Chart of Accounts'!$A$5:$A$3000,MATCH("materials",'Chart of Accounts'!$F$5:$F$3000,0)),O51&amp;"")</f>
        <v/>
      </c>
      <c r="AA51" s="16">
        <f>IF(IFERROR(INDEX(Warehouses!$C$5:$C$1000,MATCH(C51,Warehouses!$A$5:$A$1000,0))&amp;"","")="",INDEX('Chart of Accounts'!$A$5:$A$3000,MATCH("inventory",'Chart of Accounts'!$F$5:$F$3000,0)),IFERROR(INDEX(Warehouses!$C$5:$C$1000,MATCH(C51,Warehouses!$A$5:$A$1000,0))&amp;"",""))</f>
        <v/>
      </c>
      <c r="AB51" s="16">
        <f>IF(IFERROR(INDEX(Warehouses!$C$5:$C$1000,MATCH(D51,Warehouses!$A$5:$A$1000,0))&amp;"","")="",INDEX('Chart of Accounts'!$A$5:$A$3000,MATCH("inventory",'Chart of Accounts'!$F$5:$F$3000,0)),IFERROR(INDEX(Warehouses!$C$5:$C$1000,MATCH(D51,Warehouses!$A$5:$A$1000,0))&amp;"",""))</f>
        <v/>
      </c>
      <c r="AC51" s="21">
        <f>IF(B51="Receipt",N(K51),0)</f>
        <v/>
      </c>
      <c r="AD51" s="16">
        <f>IF(B51="Receipt",AA51,IF(B51="Issue",Z51,IF(B51="Transfer",AB51,IF(N(G51)&gt;=0,AA51,INDEX('Chart of Accounts'!$A$5:$A$3000,MATCH("stock_adjust",'Chart of Accounts'!$F$5:$F$3000,0))))))</f>
        <v/>
      </c>
      <c r="AE51" s="16">
        <f>IF(B51="Receipt",Y51,IF(B51="Adjustment",IF(N(G51)&gt;=0,INDEX('Chart of Accounts'!$A$5:$A$3000,MATCH("stock_adjust",'Chart of Accounts'!$F$5:$F$3000,0)),AA51),AA51))</f>
        <v/>
      </c>
      <c r="AF51" s="21">
        <f>S51+T51-U51-AC51</f>
        <v/>
      </c>
      <c r="AG51" s="23">
        <f>IFERROR(INDEX('Chart of Accounts'!$C$5:$C$3000,MATCH(AD51&amp;"",'Chart of Accounts'!$A$5:$A$3000,0))&amp;"|"&amp;INDEX('Chart of Accounts'!$D$5:$D$3000,MATCH(AD51&amp;"",'Chart of Accounts'!$A$5:$A$3000,0)),"")</f>
        <v/>
      </c>
      <c r="AH51" s="23">
        <f>IFERROR(INDEX('Chart of Accounts'!$C$5:$C$3000,MATCH(V51&amp;"",'Chart of Accounts'!$A$5:$A$3000,0))&amp;"|"&amp;INDEX('Chart of Accounts'!$D$5:$D$3000,MATCH(V51&amp;"",'Chart of Accounts'!$A$5:$A$3000,0)),"")</f>
        <v/>
      </c>
      <c r="AI51" s="23">
        <f>IFERROR(INDEX('Chart of Accounts'!$C$5:$C$3000,MATCH(AE51&amp;"",'Chart of Accounts'!$A$5:$A$3000,0))&amp;"|"&amp;INDEX('Chart of Accounts'!$D$5:$D$3000,MATCH(AE51&amp;"",'Chart of Accounts'!$A$5:$A$3000,0)),"")</f>
        <v/>
      </c>
      <c r="AJ51" s="23">
        <f>IFERROR(INDEX('Chart of Accounts'!$C$5:$C$3000,MATCH(X51&amp;"",'Chart of Accounts'!$A$5:$A$3000,0))&amp;"|"&amp;INDEX('Chart of Accounts'!$D$5:$D$3000,MATCH(X51&amp;"",'Chart of Accounts'!$A$5:$A$3000,0)),"")</f>
        <v/>
      </c>
      <c r="AK51" s="23">
        <f>IFERROR(INDEX('Chart of Accounts'!$C$5:$C$3000,MATCH(W51&amp;"",'Chart of Accounts'!$A$5:$A$3000,0))&amp;"|"&amp;INDEX('Chart of Accounts'!$D$5:$D$3000,MATCH(W51&amp;"",'Chart of Accounts'!$A$5:$A$3000,0)),"")</f>
        <v/>
      </c>
      <c r="AL51" s="23">
        <f>IF(LEFT(AG51,8)="Revenue|",-N(S51),0)+IF(LEFT(AH51,8)="Revenue|",-N(T51),0)+IF(LEFT(AI51,8)="Revenue|",N(AF51),0)+IF(LEFT(AJ51,8)="Revenue|",N(AC51),0)+IF(LEFT(AK51,8)="Revenue|",N(U51),0)</f>
        <v/>
      </c>
      <c r="AM51" s="23">
        <f>IF(LEFT(AG51,5)="COGS|",N(S51),0)+IF(LEFT(AH51,5)="COGS|",N(T51),0)+IF(LEFT(AI51,5)="COGS|",-N(AF51),0)+IF(LEFT(AJ51,5)="COGS|",-N(AC51),0)+IF(LEFT(AK51,5)="COGS|",-N(U51),0)</f>
        <v/>
      </c>
      <c r="AN51" s="23">
        <f>IF(LEFT(AG51,8)="Expense|",N(S51),0)+IF(LEFT(AH51,8)="Expense|",N(T51),0)+IF(LEFT(AI51,8)="Expense|",-N(AF51),0)+IF(LEFT(AJ51,8)="Expense|",-N(AC51),0)+IF(LEFT(AK51,8)="Expense|",-N(U51),0)</f>
        <v/>
      </c>
      <c r="AO51" s="23">
        <f>IF(ISNUMBER(MATCH(AG51,{"Expense|employee","Expense|general_admin","Expense|marketing","Expense|utilities","Expense|other_operating"},0)),N(S51),0)+IF(ISNUMBER(MATCH(AH51,{"Expense|employee","Expense|general_admin","Expense|marketing","Expense|utilities","Expense|other_operating"},0)),N(T51),0)+IF(ISNUMBER(MATCH(AI51,{"Expense|employee","Expense|general_admin","Expense|marketing","Expense|utilities","Expense|other_operating"},0)),-N(AF51),0)+IF(ISNUMBER(MATCH(AJ51,{"Expense|employee","Expense|general_admin","Expense|marketing","Expense|utilities","Expense|other_operating"},0)),-N(AC51),0)+IF(ISNUMBER(MATCH(AK51,{"Expense|employee","Expense|general_admin","Expense|marketing","Expense|utilities","Expense|other_operating"},0)),-N(U51),0)</f>
        <v/>
      </c>
      <c r="AP51" s="23">
        <f>IF(AG51="Liability|payable",-N(S51),0)+IF(AH51="Liability|payable",-N(T51),0)+IF(AI51="Liability|payable",N(AF51),0)+IF(AJ51="Liability|payable",N(AC51),0)+IF(AK51="Liability|payable",N(U51),0)</f>
        <v/>
      </c>
      <c r="AQ51" s="23">
        <f>IF(AG51="Liability|accrued",-N(S51),0)+IF(AH51="Liability|accrued",-N(T51),0)+IF(AI51="Liability|accrued",N(AF51),0)+IF(AJ51="Liability|accrued",N(AC51),0)+IF(AK51="Liability|accrued",N(U51),0)</f>
        <v/>
      </c>
      <c r="AR51" s="23">
        <f>IF(AND(N(S51)&lt;&gt;0,AG51=""),1,0)+IF(AND(N(T51)&lt;&gt;0,AH51=""),1,0)+IF(AND(N(AF51)&lt;&gt;0,AI51=""),1,0)+IF(AND(N(AC51)&lt;&gt;0,AJ51=""),1,0)+IF(AND(N(U51)&lt;&gt;0,AK51=""),1,0)</f>
        <v/>
      </c>
    </row>
    <row r="52">
      <c r="A52" s="19" t="n"/>
      <c r="B52" s="14" t="n"/>
      <c r="C52" s="14" t="n"/>
      <c r="D52" s="14" t="n"/>
      <c r="E52" s="14" t="n"/>
      <c r="F52" s="14" t="n"/>
      <c r="G52" s="14" t="n"/>
      <c r="H52" s="20" t="n"/>
      <c r="I52" s="14" t="n"/>
      <c r="J52" s="14" t="n"/>
      <c r="K52" s="20" t="n"/>
      <c r="L52" s="14" t="n"/>
      <c r="M52" s="14" t="n"/>
      <c r="N52" s="14" t="n"/>
      <c r="O52" s="14" t="n"/>
      <c r="P52" s="14" t="n"/>
      <c r="Q52" s="14" t="n"/>
      <c r="R52" s="14" t="n"/>
      <c r="S52" s="21">
        <f>ROUND(ABS(N(G52))*N(H52),2)</f>
        <v/>
      </c>
      <c r="T52" s="21">
        <f>IF(B52="Receipt",ROUND(S52*IFERROR(VLOOKUP(Q52,'Tax Codes'!$A$5:$E$300,5,FALSE),0),2),0)</f>
        <v/>
      </c>
      <c r="U52" s="21">
        <f>IF(B52="Receipt",ROUND(S52*IFERROR(VLOOKUP(R52,'Tax Codes'!$A$5:$E$300,5,FALSE),0),2),0)</f>
        <v/>
      </c>
      <c r="V52" s="16">
        <f>INDEX('Chart of Accounts'!$A$5:$A$3000,MATCH("vat_input",'Chart of Accounts'!$F$5:$F$3000,0))</f>
        <v/>
      </c>
      <c r="W52" s="16">
        <f>INDEX('Chart of Accounts'!$A$5:$A$3000,MATCH("wht_payable",'Chart of Accounts'!$F$5:$F$3000,0))</f>
        <v/>
      </c>
      <c r="X52" s="16">
        <f>IF(M52="",INDEX('Chart of Accounts'!$A$5:$A$3000,MATCH("bank",'Chart of Accounts'!$F$5:$F$3000,0)),M52&amp;"")</f>
        <v/>
      </c>
      <c r="Y52" s="16">
        <f>IF(N52="",INDEX('Chart of Accounts'!$A$5:$A$3000,MATCH("ap",'Chart of Accounts'!$F$5:$F$3000,0)),N52&amp;"")</f>
        <v/>
      </c>
      <c r="Z52" s="16">
        <f>IF(O52="",INDEX('Chart of Accounts'!$A$5:$A$3000,MATCH("materials",'Chart of Accounts'!$F$5:$F$3000,0)),O52&amp;"")</f>
        <v/>
      </c>
      <c r="AA52" s="16">
        <f>IF(IFERROR(INDEX(Warehouses!$C$5:$C$1000,MATCH(C52,Warehouses!$A$5:$A$1000,0))&amp;"","")="",INDEX('Chart of Accounts'!$A$5:$A$3000,MATCH("inventory",'Chart of Accounts'!$F$5:$F$3000,0)),IFERROR(INDEX(Warehouses!$C$5:$C$1000,MATCH(C52,Warehouses!$A$5:$A$1000,0))&amp;"",""))</f>
        <v/>
      </c>
      <c r="AB52" s="16">
        <f>IF(IFERROR(INDEX(Warehouses!$C$5:$C$1000,MATCH(D52,Warehouses!$A$5:$A$1000,0))&amp;"","")="",INDEX('Chart of Accounts'!$A$5:$A$3000,MATCH("inventory",'Chart of Accounts'!$F$5:$F$3000,0)),IFERROR(INDEX(Warehouses!$C$5:$C$1000,MATCH(D52,Warehouses!$A$5:$A$1000,0))&amp;"",""))</f>
        <v/>
      </c>
      <c r="AC52" s="21">
        <f>IF(B52="Receipt",N(K52),0)</f>
        <v/>
      </c>
      <c r="AD52" s="16">
        <f>IF(B52="Receipt",AA52,IF(B52="Issue",Z52,IF(B52="Transfer",AB52,IF(N(G52)&gt;=0,AA52,INDEX('Chart of Accounts'!$A$5:$A$3000,MATCH("stock_adjust",'Chart of Accounts'!$F$5:$F$3000,0))))))</f>
        <v/>
      </c>
      <c r="AE52" s="16">
        <f>IF(B52="Receipt",Y52,IF(B52="Adjustment",IF(N(G52)&gt;=0,INDEX('Chart of Accounts'!$A$5:$A$3000,MATCH("stock_adjust",'Chart of Accounts'!$F$5:$F$3000,0)),AA52),AA52))</f>
        <v/>
      </c>
      <c r="AF52" s="21">
        <f>S52+T52-U52-AC52</f>
        <v/>
      </c>
      <c r="AG52" s="23">
        <f>IFERROR(INDEX('Chart of Accounts'!$C$5:$C$3000,MATCH(AD52&amp;"",'Chart of Accounts'!$A$5:$A$3000,0))&amp;"|"&amp;INDEX('Chart of Accounts'!$D$5:$D$3000,MATCH(AD52&amp;"",'Chart of Accounts'!$A$5:$A$3000,0)),"")</f>
        <v/>
      </c>
      <c r="AH52" s="23">
        <f>IFERROR(INDEX('Chart of Accounts'!$C$5:$C$3000,MATCH(V52&amp;"",'Chart of Accounts'!$A$5:$A$3000,0))&amp;"|"&amp;INDEX('Chart of Accounts'!$D$5:$D$3000,MATCH(V52&amp;"",'Chart of Accounts'!$A$5:$A$3000,0)),"")</f>
        <v/>
      </c>
      <c r="AI52" s="23">
        <f>IFERROR(INDEX('Chart of Accounts'!$C$5:$C$3000,MATCH(AE52&amp;"",'Chart of Accounts'!$A$5:$A$3000,0))&amp;"|"&amp;INDEX('Chart of Accounts'!$D$5:$D$3000,MATCH(AE52&amp;"",'Chart of Accounts'!$A$5:$A$3000,0)),"")</f>
        <v/>
      </c>
      <c r="AJ52" s="23">
        <f>IFERROR(INDEX('Chart of Accounts'!$C$5:$C$3000,MATCH(X52&amp;"",'Chart of Accounts'!$A$5:$A$3000,0))&amp;"|"&amp;INDEX('Chart of Accounts'!$D$5:$D$3000,MATCH(X52&amp;"",'Chart of Accounts'!$A$5:$A$3000,0)),"")</f>
        <v/>
      </c>
      <c r="AK52" s="23">
        <f>IFERROR(INDEX('Chart of Accounts'!$C$5:$C$3000,MATCH(W52&amp;"",'Chart of Accounts'!$A$5:$A$3000,0))&amp;"|"&amp;INDEX('Chart of Accounts'!$D$5:$D$3000,MATCH(W52&amp;"",'Chart of Accounts'!$A$5:$A$3000,0)),"")</f>
        <v/>
      </c>
      <c r="AL52" s="23">
        <f>IF(LEFT(AG52,8)="Revenue|",-N(S52),0)+IF(LEFT(AH52,8)="Revenue|",-N(T52),0)+IF(LEFT(AI52,8)="Revenue|",N(AF52),0)+IF(LEFT(AJ52,8)="Revenue|",N(AC52),0)+IF(LEFT(AK52,8)="Revenue|",N(U52),0)</f>
        <v/>
      </c>
      <c r="AM52" s="23">
        <f>IF(LEFT(AG52,5)="COGS|",N(S52),0)+IF(LEFT(AH52,5)="COGS|",N(T52),0)+IF(LEFT(AI52,5)="COGS|",-N(AF52),0)+IF(LEFT(AJ52,5)="COGS|",-N(AC52),0)+IF(LEFT(AK52,5)="COGS|",-N(U52),0)</f>
        <v/>
      </c>
      <c r="AN52" s="23">
        <f>IF(LEFT(AG52,8)="Expense|",N(S52),0)+IF(LEFT(AH52,8)="Expense|",N(T52),0)+IF(LEFT(AI52,8)="Expense|",-N(AF52),0)+IF(LEFT(AJ52,8)="Expense|",-N(AC52),0)+IF(LEFT(AK52,8)="Expense|",-N(U52),0)</f>
        <v/>
      </c>
      <c r="AO52" s="23">
        <f>IF(ISNUMBER(MATCH(AG52,{"Expense|employee","Expense|general_admin","Expense|marketing","Expense|utilities","Expense|other_operating"},0)),N(S52),0)+IF(ISNUMBER(MATCH(AH52,{"Expense|employee","Expense|general_admin","Expense|marketing","Expense|utilities","Expense|other_operating"},0)),N(T52),0)+IF(ISNUMBER(MATCH(AI52,{"Expense|employee","Expense|general_admin","Expense|marketing","Expense|utilities","Expense|other_operating"},0)),-N(AF52),0)+IF(ISNUMBER(MATCH(AJ52,{"Expense|employee","Expense|general_admin","Expense|marketing","Expense|utilities","Expense|other_operating"},0)),-N(AC52),0)+IF(ISNUMBER(MATCH(AK52,{"Expense|employee","Expense|general_admin","Expense|marketing","Expense|utilities","Expense|other_operating"},0)),-N(U52),0)</f>
        <v/>
      </c>
      <c r="AP52" s="23">
        <f>IF(AG52="Liability|payable",-N(S52),0)+IF(AH52="Liability|payable",-N(T52),0)+IF(AI52="Liability|payable",N(AF52),0)+IF(AJ52="Liability|payable",N(AC52),0)+IF(AK52="Liability|payable",N(U52),0)</f>
        <v/>
      </c>
      <c r="AQ52" s="23">
        <f>IF(AG52="Liability|accrued",-N(S52),0)+IF(AH52="Liability|accrued",-N(T52),0)+IF(AI52="Liability|accrued",N(AF52),0)+IF(AJ52="Liability|accrued",N(AC52),0)+IF(AK52="Liability|accrued",N(U52),0)</f>
        <v/>
      </c>
      <c r="AR52" s="23">
        <f>IF(AND(N(S52)&lt;&gt;0,AG52=""),1,0)+IF(AND(N(T52)&lt;&gt;0,AH52=""),1,0)+IF(AND(N(AF52)&lt;&gt;0,AI52=""),1,0)+IF(AND(N(AC52)&lt;&gt;0,AJ52=""),1,0)+IF(AND(N(U52)&lt;&gt;0,AK52=""),1,0)</f>
        <v/>
      </c>
    </row>
    <row r="53">
      <c r="A53" s="19" t="n"/>
      <c r="B53" s="14" t="n"/>
      <c r="C53" s="14" t="n"/>
      <c r="D53" s="14" t="n"/>
      <c r="E53" s="14" t="n"/>
      <c r="F53" s="14" t="n"/>
      <c r="G53" s="14" t="n"/>
      <c r="H53" s="20" t="n"/>
      <c r="I53" s="14" t="n"/>
      <c r="J53" s="14" t="n"/>
      <c r="K53" s="20" t="n"/>
      <c r="L53" s="14" t="n"/>
      <c r="M53" s="14" t="n"/>
      <c r="N53" s="14" t="n"/>
      <c r="O53" s="14" t="n"/>
      <c r="P53" s="14" t="n"/>
      <c r="Q53" s="14" t="n"/>
      <c r="R53" s="14" t="n"/>
      <c r="S53" s="21">
        <f>ROUND(ABS(N(G53))*N(H53),2)</f>
        <v/>
      </c>
      <c r="T53" s="21">
        <f>IF(B53="Receipt",ROUND(S53*IFERROR(VLOOKUP(Q53,'Tax Codes'!$A$5:$E$300,5,FALSE),0),2),0)</f>
        <v/>
      </c>
      <c r="U53" s="21">
        <f>IF(B53="Receipt",ROUND(S53*IFERROR(VLOOKUP(R53,'Tax Codes'!$A$5:$E$300,5,FALSE),0),2),0)</f>
        <v/>
      </c>
      <c r="V53" s="16">
        <f>INDEX('Chart of Accounts'!$A$5:$A$3000,MATCH("vat_input",'Chart of Accounts'!$F$5:$F$3000,0))</f>
        <v/>
      </c>
      <c r="W53" s="16">
        <f>INDEX('Chart of Accounts'!$A$5:$A$3000,MATCH("wht_payable",'Chart of Accounts'!$F$5:$F$3000,0))</f>
        <v/>
      </c>
      <c r="X53" s="16">
        <f>IF(M53="",INDEX('Chart of Accounts'!$A$5:$A$3000,MATCH("bank",'Chart of Accounts'!$F$5:$F$3000,0)),M53&amp;"")</f>
        <v/>
      </c>
      <c r="Y53" s="16">
        <f>IF(N53="",INDEX('Chart of Accounts'!$A$5:$A$3000,MATCH("ap",'Chart of Accounts'!$F$5:$F$3000,0)),N53&amp;"")</f>
        <v/>
      </c>
      <c r="Z53" s="16">
        <f>IF(O53="",INDEX('Chart of Accounts'!$A$5:$A$3000,MATCH("materials",'Chart of Accounts'!$F$5:$F$3000,0)),O53&amp;"")</f>
        <v/>
      </c>
      <c r="AA53" s="16">
        <f>IF(IFERROR(INDEX(Warehouses!$C$5:$C$1000,MATCH(C53,Warehouses!$A$5:$A$1000,0))&amp;"","")="",INDEX('Chart of Accounts'!$A$5:$A$3000,MATCH("inventory",'Chart of Accounts'!$F$5:$F$3000,0)),IFERROR(INDEX(Warehouses!$C$5:$C$1000,MATCH(C53,Warehouses!$A$5:$A$1000,0))&amp;"",""))</f>
        <v/>
      </c>
      <c r="AB53" s="16">
        <f>IF(IFERROR(INDEX(Warehouses!$C$5:$C$1000,MATCH(D53,Warehouses!$A$5:$A$1000,0))&amp;"","")="",INDEX('Chart of Accounts'!$A$5:$A$3000,MATCH("inventory",'Chart of Accounts'!$F$5:$F$3000,0)),IFERROR(INDEX(Warehouses!$C$5:$C$1000,MATCH(D53,Warehouses!$A$5:$A$1000,0))&amp;"",""))</f>
        <v/>
      </c>
      <c r="AC53" s="21">
        <f>IF(B53="Receipt",N(K53),0)</f>
        <v/>
      </c>
      <c r="AD53" s="16">
        <f>IF(B53="Receipt",AA53,IF(B53="Issue",Z53,IF(B53="Transfer",AB53,IF(N(G53)&gt;=0,AA53,INDEX('Chart of Accounts'!$A$5:$A$3000,MATCH("stock_adjust",'Chart of Accounts'!$F$5:$F$3000,0))))))</f>
        <v/>
      </c>
      <c r="AE53" s="16">
        <f>IF(B53="Receipt",Y53,IF(B53="Adjustment",IF(N(G53)&gt;=0,INDEX('Chart of Accounts'!$A$5:$A$3000,MATCH("stock_adjust",'Chart of Accounts'!$F$5:$F$3000,0)),AA53),AA53))</f>
        <v/>
      </c>
      <c r="AF53" s="21">
        <f>S53+T53-U53-AC53</f>
        <v/>
      </c>
      <c r="AG53" s="23">
        <f>IFERROR(INDEX('Chart of Accounts'!$C$5:$C$3000,MATCH(AD53&amp;"",'Chart of Accounts'!$A$5:$A$3000,0))&amp;"|"&amp;INDEX('Chart of Accounts'!$D$5:$D$3000,MATCH(AD53&amp;"",'Chart of Accounts'!$A$5:$A$3000,0)),"")</f>
        <v/>
      </c>
      <c r="AH53" s="23">
        <f>IFERROR(INDEX('Chart of Accounts'!$C$5:$C$3000,MATCH(V53&amp;"",'Chart of Accounts'!$A$5:$A$3000,0))&amp;"|"&amp;INDEX('Chart of Accounts'!$D$5:$D$3000,MATCH(V53&amp;"",'Chart of Accounts'!$A$5:$A$3000,0)),"")</f>
        <v/>
      </c>
      <c r="AI53" s="23">
        <f>IFERROR(INDEX('Chart of Accounts'!$C$5:$C$3000,MATCH(AE53&amp;"",'Chart of Accounts'!$A$5:$A$3000,0))&amp;"|"&amp;INDEX('Chart of Accounts'!$D$5:$D$3000,MATCH(AE53&amp;"",'Chart of Accounts'!$A$5:$A$3000,0)),"")</f>
        <v/>
      </c>
      <c r="AJ53" s="23">
        <f>IFERROR(INDEX('Chart of Accounts'!$C$5:$C$3000,MATCH(X53&amp;"",'Chart of Accounts'!$A$5:$A$3000,0))&amp;"|"&amp;INDEX('Chart of Accounts'!$D$5:$D$3000,MATCH(X53&amp;"",'Chart of Accounts'!$A$5:$A$3000,0)),"")</f>
        <v/>
      </c>
      <c r="AK53" s="23">
        <f>IFERROR(INDEX('Chart of Accounts'!$C$5:$C$3000,MATCH(W53&amp;"",'Chart of Accounts'!$A$5:$A$3000,0))&amp;"|"&amp;INDEX('Chart of Accounts'!$D$5:$D$3000,MATCH(W53&amp;"",'Chart of Accounts'!$A$5:$A$3000,0)),"")</f>
        <v/>
      </c>
      <c r="AL53" s="23">
        <f>IF(LEFT(AG53,8)="Revenue|",-N(S53),0)+IF(LEFT(AH53,8)="Revenue|",-N(T53),0)+IF(LEFT(AI53,8)="Revenue|",N(AF53),0)+IF(LEFT(AJ53,8)="Revenue|",N(AC53),0)+IF(LEFT(AK53,8)="Revenue|",N(U53),0)</f>
        <v/>
      </c>
      <c r="AM53" s="23">
        <f>IF(LEFT(AG53,5)="COGS|",N(S53),0)+IF(LEFT(AH53,5)="COGS|",N(T53),0)+IF(LEFT(AI53,5)="COGS|",-N(AF53),0)+IF(LEFT(AJ53,5)="COGS|",-N(AC53),0)+IF(LEFT(AK53,5)="COGS|",-N(U53),0)</f>
        <v/>
      </c>
      <c r="AN53" s="23">
        <f>IF(LEFT(AG53,8)="Expense|",N(S53),0)+IF(LEFT(AH53,8)="Expense|",N(T53),0)+IF(LEFT(AI53,8)="Expense|",-N(AF53),0)+IF(LEFT(AJ53,8)="Expense|",-N(AC53),0)+IF(LEFT(AK53,8)="Expense|",-N(U53),0)</f>
        <v/>
      </c>
      <c r="AO53" s="23">
        <f>IF(ISNUMBER(MATCH(AG53,{"Expense|employee","Expense|general_admin","Expense|marketing","Expense|utilities","Expense|other_operating"},0)),N(S53),0)+IF(ISNUMBER(MATCH(AH53,{"Expense|employee","Expense|general_admin","Expense|marketing","Expense|utilities","Expense|other_operating"},0)),N(T53),0)+IF(ISNUMBER(MATCH(AI53,{"Expense|employee","Expense|general_admin","Expense|marketing","Expense|utilities","Expense|other_operating"},0)),-N(AF53),0)+IF(ISNUMBER(MATCH(AJ53,{"Expense|employee","Expense|general_admin","Expense|marketing","Expense|utilities","Expense|other_operating"},0)),-N(AC53),0)+IF(ISNUMBER(MATCH(AK53,{"Expense|employee","Expense|general_admin","Expense|marketing","Expense|utilities","Expense|other_operating"},0)),-N(U53),0)</f>
        <v/>
      </c>
      <c r="AP53" s="23">
        <f>IF(AG53="Liability|payable",-N(S53),0)+IF(AH53="Liability|payable",-N(T53),0)+IF(AI53="Liability|payable",N(AF53),0)+IF(AJ53="Liability|payable",N(AC53),0)+IF(AK53="Liability|payable",N(U53),0)</f>
        <v/>
      </c>
      <c r="AQ53" s="23">
        <f>IF(AG53="Liability|accrued",-N(S53),0)+IF(AH53="Liability|accrued",-N(T53),0)+IF(AI53="Liability|accrued",N(AF53),0)+IF(AJ53="Liability|accrued",N(AC53),0)+IF(AK53="Liability|accrued",N(U53),0)</f>
        <v/>
      </c>
      <c r="AR53" s="23">
        <f>IF(AND(N(S53)&lt;&gt;0,AG53=""),1,0)+IF(AND(N(T53)&lt;&gt;0,AH53=""),1,0)+IF(AND(N(AF53)&lt;&gt;0,AI53=""),1,0)+IF(AND(N(AC53)&lt;&gt;0,AJ53=""),1,0)+IF(AND(N(U53)&lt;&gt;0,AK53=""),1,0)</f>
        <v/>
      </c>
    </row>
    <row r="54">
      <c r="A54" s="19" t="n"/>
      <c r="B54" s="14" t="n"/>
      <c r="C54" s="14" t="n"/>
      <c r="D54" s="14" t="n"/>
      <c r="E54" s="14" t="n"/>
      <c r="F54" s="14" t="n"/>
      <c r="G54" s="14" t="n"/>
      <c r="H54" s="20" t="n"/>
      <c r="I54" s="14" t="n"/>
      <c r="J54" s="14" t="n"/>
      <c r="K54" s="20" t="n"/>
      <c r="L54" s="14" t="n"/>
      <c r="M54" s="14" t="n"/>
      <c r="N54" s="14" t="n"/>
      <c r="O54" s="14" t="n"/>
      <c r="P54" s="14" t="n"/>
      <c r="Q54" s="14" t="n"/>
      <c r="R54" s="14" t="n"/>
      <c r="S54" s="21">
        <f>ROUND(ABS(N(G54))*N(H54),2)</f>
        <v/>
      </c>
      <c r="T54" s="21">
        <f>IF(B54="Receipt",ROUND(S54*IFERROR(VLOOKUP(Q54,'Tax Codes'!$A$5:$E$300,5,FALSE),0),2),0)</f>
        <v/>
      </c>
      <c r="U54" s="21">
        <f>IF(B54="Receipt",ROUND(S54*IFERROR(VLOOKUP(R54,'Tax Codes'!$A$5:$E$300,5,FALSE),0),2),0)</f>
        <v/>
      </c>
      <c r="V54" s="16">
        <f>INDEX('Chart of Accounts'!$A$5:$A$3000,MATCH("vat_input",'Chart of Accounts'!$F$5:$F$3000,0))</f>
        <v/>
      </c>
      <c r="W54" s="16">
        <f>INDEX('Chart of Accounts'!$A$5:$A$3000,MATCH("wht_payable",'Chart of Accounts'!$F$5:$F$3000,0))</f>
        <v/>
      </c>
      <c r="X54" s="16">
        <f>IF(M54="",INDEX('Chart of Accounts'!$A$5:$A$3000,MATCH("bank",'Chart of Accounts'!$F$5:$F$3000,0)),M54&amp;"")</f>
        <v/>
      </c>
      <c r="Y54" s="16">
        <f>IF(N54="",INDEX('Chart of Accounts'!$A$5:$A$3000,MATCH("ap",'Chart of Accounts'!$F$5:$F$3000,0)),N54&amp;"")</f>
        <v/>
      </c>
      <c r="Z54" s="16">
        <f>IF(O54="",INDEX('Chart of Accounts'!$A$5:$A$3000,MATCH("materials",'Chart of Accounts'!$F$5:$F$3000,0)),O54&amp;"")</f>
        <v/>
      </c>
      <c r="AA54" s="16">
        <f>IF(IFERROR(INDEX(Warehouses!$C$5:$C$1000,MATCH(C54,Warehouses!$A$5:$A$1000,0))&amp;"","")="",INDEX('Chart of Accounts'!$A$5:$A$3000,MATCH("inventory",'Chart of Accounts'!$F$5:$F$3000,0)),IFERROR(INDEX(Warehouses!$C$5:$C$1000,MATCH(C54,Warehouses!$A$5:$A$1000,0))&amp;"",""))</f>
        <v/>
      </c>
      <c r="AB54" s="16">
        <f>IF(IFERROR(INDEX(Warehouses!$C$5:$C$1000,MATCH(D54,Warehouses!$A$5:$A$1000,0))&amp;"","")="",INDEX('Chart of Accounts'!$A$5:$A$3000,MATCH("inventory",'Chart of Accounts'!$F$5:$F$3000,0)),IFERROR(INDEX(Warehouses!$C$5:$C$1000,MATCH(D54,Warehouses!$A$5:$A$1000,0))&amp;"",""))</f>
        <v/>
      </c>
      <c r="AC54" s="21">
        <f>IF(B54="Receipt",N(K54),0)</f>
        <v/>
      </c>
      <c r="AD54" s="16">
        <f>IF(B54="Receipt",AA54,IF(B54="Issue",Z54,IF(B54="Transfer",AB54,IF(N(G54)&gt;=0,AA54,INDEX('Chart of Accounts'!$A$5:$A$3000,MATCH("stock_adjust",'Chart of Accounts'!$F$5:$F$3000,0))))))</f>
        <v/>
      </c>
      <c r="AE54" s="16">
        <f>IF(B54="Receipt",Y54,IF(B54="Adjustment",IF(N(G54)&gt;=0,INDEX('Chart of Accounts'!$A$5:$A$3000,MATCH("stock_adjust",'Chart of Accounts'!$F$5:$F$3000,0)),AA54),AA54))</f>
        <v/>
      </c>
      <c r="AF54" s="21">
        <f>S54+T54-U54-AC54</f>
        <v/>
      </c>
      <c r="AG54" s="23">
        <f>IFERROR(INDEX('Chart of Accounts'!$C$5:$C$3000,MATCH(AD54&amp;"",'Chart of Accounts'!$A$5:$A$3000,0))&amp;"|"&amp;INDEX('Chart of Accounts'!$D$5:$D$3000,MATCH(AD54&amp;"",'Chart of Accounts'!$A$5:$A$3000,0)),"")</f>
        <v/>
      </c>
      <c r="AH54" s="23">
        <f>IFERROR(INDEX('Chart of Accounts'!$C$5:$C$3000,MATCH(V54&amp;"",'Chart of Accounts'!$A$5:$A$3000,0))&amp;"|"&amp;INDEX('Chart of Accounts'!$D$5:$D$3000,MATCH(V54&amp;"",'Chart of Accounts'!$A$5:$A$3000,0)),"")</f>
        <v/>
      </c>
      <c r="AI54" s="23">
        <f>IFERROR(INDEX('Chart of Accounts'!$C$5:$C$3000,MATCH(AE54&amp;"",'Chart of Accounts'!$A$5:$A$3000,0))&amp;"|"&amp;INDEX('Chart of Accounts'!$D$5:$D$3000,MATCH(AE54&amp;"",'Chart of Accounts'!$A$5:$A$3000,0)),"")</f>
        <v/>
      </c>
      <c r="AJ54" s="23">
        <f>IFERROR(INDEX('Chart of Accounts'!$C$5:$C$3000,MATCH(X54&amp;"",'Chart of Accounts'!$A$5:$A$3000,0))&amp;"|"&amp;INDEX('Chart of Accounts'!$D$5:$D$3000,MATCH(X54&amp;"",'Chart of Accounts'!$A$5:$A$3000,0)),"")</f>
        <v/>
      </c>
      <c r="AK54" s="23">
        <f>IFERROR(INDEX('Chart of Accounts'!$C$5:$C$3000,MATCH(W54&amp;"",'Chart of Accounts'!$A$5:$A$3000,0))&amp;"|"&amp;INDEX('Chart of Accounts'!$D$5:$D$3000,MATCH(W54&amp;"",'Chart of Accounts'!$A$5:$A$3000,0)),"")</f>
        <v/>
      </c>
      <c r="AL54" s="23">
        <f>IF(LEFT(AG54,8)="Revenue|",-N(S54),0)+IF(LEFT(AH54,8)="Revenue|",-N(T54),0)+IF(LEFT(AI54,8)="Revenue|",N(AF54),0)+IF(LEFT(AJ54,8)="Revenue|",N(AC54),0)+IF(LEFT(AK54,8)="Revenue|",N(U54),0)</f>
        <v/>
      </c>
      <c r="AM54" s="23">
        <f>IF(LEFT(AG54,5)="COGS|",N(S54),0)+IF(LEFT(AH54,5)="COGS|",N(T54),0)+IF(LEFT(AI54,5)="COGS|",-N(AF54),0)+IF(LEFT(AJ54,5)="COGS|",-N(AC54),0)+IF(LEFT(AK54,5)="COGS|",-N(U54),0)</f>
        <v/>
      </c>
      <c r="AN54" s="23">
        <f>IF(LEFT(AG54,8)="Expense|",N(S54),0)+IF(LEFT(AH54,8)="Expense|",N(T54),0)+IF(LEFT(AI54,8)="Expense|",-N(AF54),0)+IF(LEFT(AJ54,8)="Expense|",-N(AC54),0)+IF(LEFT(AK54,8)="Expense|",-N(U54),0)</f>
        <v/>
      </c>
      <c r="AO54" s="23">
        <f>IF(ISNUMBER(MATCH(AG54,{"Expense|employee","Expense|general_admin","Expense|marketing","Expense|utilities","Expense|other_operating"},0)),N(S54),0)+IF(ISNUMBER(MATCH(AH54,{"Expense|employee","Expense|general_admin","Expense|marketing","Expense|utilities","Expense|other_operating"},0)),N(T54),0)+IF(ISNUMBER(MATCH(AI54,{"Expense|employee","Expense|general_admin","Expense|marketing","Expense|utilities","Expense|other_operating"},0)),-N(AF54),0)+IF(ISNUMBER(MATCH(AJ54,{"Expense|employee","Expense|general_admin","Expense|marketing","Expense|utilities","Expense|other_operating"},0)),-N(AC54),0)+IF(ISNUMBER(MATCH(AK54,{"Expense|employee","Expense|general_admin","Expense|marketing","Expense|utilities","Expense|other_operating"},0)),-N(U54),0)</f>
        <v/>
      </c>
      <c r="AP54" s="23">
        <f>IF(AG54="Liability|payable",-N(S54),0)+IF(AH54="Liability|payable",-N(T54),0)+IF(AI54="Liability|payable",N(AF54),0)+IF(AJ54="Liability|payable",N(AC54),0)+IF(AK54="Liability|payable",N(U54),0)</f>
        <v/>
      </c>
      <c r="AQ54" s="23">
        <f>IF(AG54="Liability|accrued",-N(S54),0)+IF(AH54="Liability|accrued",-N(T54),0)+IF(AI54="Liability|accrued",N(AF54),0)+IF(AJ54="Liability|accrued",N(AC54),0)+IF(AK54="Liability|accrued",N(U54),0)</f>
        <v/>
      </c>
      <c r="AR54" s="23">
        <f>IF(AND(N(S54)&lt;&gt;0,AG54=""),1,0)+IF(AND(N(T54)&lt;&gt;0,AH54=""),1,0)+IF(AND(N(AF54)&lt;&gt;0,AI54=""),1,0)+IF(AND(N(AC54)&lt;&gt;0,AJ54=""),1,0)+IF(AND(N(U54)&lt;&gt;0,AK54=""),1,0)</f>
        <v/>
      </c>
    </row>
    <row r="55">
      <c r="A55" s="19" t="n"/>
      <c r="B55" s="14" t="n"/>
      <c r="C55" s="14" t="n"/>
      <c r="D55" s="14" t="n"/>
      <c r="E55" s="14" t="n"/>
      <c r="F55" s="14" t="n"/>
      <c r="G55" s="14" t="n"/>
      <c r="H55" s="20" t="n"/>
      <c r="I55" s="14" t="n"/>
      <c r="J55" s="14" t="n"/>
      <c r="K55" s="20" t="n"/>
      <c r="L55" s="14" t="n"/>
      <c r="M55" s="14" t="n"/>
      <c r="N55" s="14" t="n"/>
      <c r="O55" s="14" t="n"/>
      <c r="P55" s="14" t="n"/>
      <c r="Q55" s="14" t="n"/>
      <c r="R55" s="14" t="n"/>
      <c r="S55" s="21">
        <f>ROUND(ABS(N(G55))*N(H55),2)</f>
        <v/>
      </c>
      <c r="T55" s="21">
        <f>IF(B55="Receipt",ROUND(S55*IFERROR(VLOOKUP(Q55,'Tax Codes'!$A$5:$E$300,5,FALSE),0),2),0)</f>
        <v/>
      </c>
      <c r="U55" s="21">
        <f>IF(B55="Receipt",ROUND(S55*IFERROR(VLOOKUP(R55,'Tax Codes'!$A$5:$E$300,5,FALSE),0),2),0)</f>
        <v/>
      </c>
      <c r="V55" s="16">
        <f>INDEX('Chart of Accounts'!$A$5:$A$3000,MATCH("vat_input",'Chart of Accounts'!$F$5:$F$3000,0))</f>
        <v/>
      </c>
      <c r="W55" s="16">
        <f>INDEX('Chart of Accounts'!$A$5:$A$3000,MATCH("wht_payable",'Chart of Accounts'!$F$5:$F$3000,0))</f>
        <v/>
      </c>
      <c r="X55" s="16">
        <f>IF(M55="",INDEX('Chart of Accounts'!$A$5:$A$3000,MATCH("bank",'Chart of Accounts'!$F$5:$F$3000,0)),M55&amp;"")</f>
        <v/>
      </c>
      <c r="Y55" s="16">
        <f>IF(N55="",INDEX('Chart of Accounts'!$A$5:$A$3000,MATCH("ap",'Chart of Accounts'!$F$5:$F$3000,0)),N55&amp;"")</f>
        <v/>
      </c>
      <c r="Z55" s="16">
        <f>IF(O55="",INDEX('Chart of Accounts'!$A$5:$A$3000,MATCH("materials",'Chart of Accounts'!$F$5:$F$3000,0)),O55&amp;"")</f>
        <v/>
      </c>
      <c r="AA55" s="16">
        <f>IF(IFERROR(INDEX(Warehouses!$C$5:$C$1000,MATCH(C55,Warehouses!$A$5:$A$1000,0))&amp;"","")="",INDEX('Chart of Accounts'!$A$5:$A$3000,MATCH("inventory",'Chart of Accounts'!$F$5:$F$3000,0)),IFERROR(INDEX(Warehouses!$C$5:$C$1000,MATCH(C55,Warehouses!$A$5:$A$1000,0))&amp;"",""))</f>
        <v/>
      </c>
      <c r="AB55" s="16">
        <f>IF(IFERROR(INDEX(Warehouses!$C$5:$C$1000,MATCH(D55,Warehouses!$A$5:$A$1000,0))&amp;"","")="",INDEX('Chart of Accounts'!$A$5:$A$3000,MATCH("inventory",'Chart of Accounts'!$F$5:$F$3000,0)),IFERROR(INDEX(Warehouses!$C$5:$C$1000,MATCH(D55,Warehouses!$A$5:$A$1000,0))&amp;"",""))</f>
        <v/>
      </c>
      <c r="AC55" s="21">
        <f>IF(B55="Receipt",N(K55),0)</f>
        <v/>
      </c>
      <c r="AD55" s="16">
        <f>IF(B55="Receipt",AA55,IF(B55="Issue",Z55,IF(B55="Transfer",AB55,IF(N(G55)&gt;=0,AA55,INDEX('Chart of Accounts'!$A$5:$A$3000,MATCH("stock_adjust",'Chart of Accounts'!$F$5:$F$3000,0))))))</f>
        <v/>
      </c>
      <c r="AE55" s="16">
        <f>IF(B55="Receipt",Y55,IF(B55="Adjustment",IF(N(G55)&gt;=0,INDEX('Chart of Accounts'!$A$5:$A$3000,MATCH("stock_adjust",'Chart of Accounts'!$F$5:$F$3000,0)),AA55),AA55))</f>
        <v/>
      </c>
      <c r="AF55" s="21">
        <f>S55+T55-U55-AC55</f>
        <v/>
      </c>
      <c r="AG55" s="23">
        <f>IFERROR(INDEX('Chart of Accounts'!$C$5:$C$3000,MATCH(AD55&amp;"",'Chart of Accounts'!$A$5:$A$3000,0))&amp;"|"&amp;INDEX('Chart of Accounts'!$D$5:$D$3000,MATCH(AD55&amp;"",'Chart of Accounts'!$A$5:$A$3000,0)),"")</f>
        <v/>
      </c>
      <c r="AH55" s="23">
        <f>IFERROR(INDEX('Chart of Accounts'!$C$5:$C$3000,MATCH(V55&amp;"",'Chart of Accounts'!$A$5:$A$3000,0))&amp;"|"&amp;INDEX('Chart of Accounts'!$D$5:$D$3000,MATCH(V55&amp;"",'Chart of Accounts'!$A$5:$A$3000,0)),"")</f>
        <v/>
      </c>
      <c r="AI55" s="23">
        <f>IFERROR(INDEX('Chart of Accounts'!$C$5:$C$3000,MATCH(AE55&amp;"",'Chart of Accounts'!$A$5:$A$3000,0))&amp;"|"&amp;INDEX('Chart of Accounts'!$D$5:$D$3000,MATCH(AE55&amp;"",'Chart of Accounts'!$A$5:$A$3000,0)),"")</f>
        <v/>
      </c>
      <c r="AJ55" s="23">
        <f>IFERROR(INDEX('Chart of Accounts'!$C$5:$C$3000,MATCH(X55&amp;"",'Chart of Accounts'!$A$5:$A$3000,0))&amp;"|"&amp;INDEX('Chart of Accounts'!$D$5:$D$3000,MATCH(X55&amp;"",'Chart of Accounts'!$A$5:$A$3000,0)),"")</f>
        <v/>
      </c>
      <c r="AK55" s="23">
        <f>IFERROR(INDEX('Chart of Accounts'!$C$5:$C$3000,MATCH(W55&amp;"",'Chart of Accounts'!$A$5:$A$3000,0))&amp;"|"&amp;INDEX('Chart of Accounts'!$D$5:$D$3000,MATCH(W55&amp;"",'Chart of Accounts'!$A$5:$A$3000,0)),"")</f>
        <v/>
      </c>
      <c r="AL55" s="23">
        <f>IF(LEFT(AG55,8)="Revenue|",-N(S55),0)+IF(LEFT(AH55,8)="Revenue|",-N(T55),0)+IF(LEFT(AI55,8)="Revenue|",N(AF55),0)+IF(LEFT(AJ55,8)="Revenue|",N(AC55),0)+IF(LEFT(AK55,8)="Revenue|",N(U55),0)</f>
        <v/>
      </c>
      <c r="AM55" s="23">
        <f>IF(LEFT(AG55,5)="COGS|",N(S55),0)+IF(LEFT(AH55,5)="COGS|",N(T55),0)+IF(LEFT(AI55,5)="COGS|",-N(AF55),0)+IF(LEFT(AJ55,5)="COGS|",-N(AC55),0)+IF(LEFT(AK55,5)="COGS|",-N(U55),0)</f>
        <v/>
      </c>
      <c r="AN55" s="23">
        <f>IF(LEFT(AG55,8)="Expense|",N(S55),0)+IF(LEFT(AH55,8)="Expense|",N(T55),0)+IF(LEFT(AI55,8)="Expense|",-N(AF55),0)+IF(LEFT(AJ55,8)="Expense|",-N(AC55),0)+IF(LEFT(AK55,8)="Expense|",-N(U55),0)</f>
        <v/>
      </c>
      <c r="AO55" s="23">
        <f>IF(ISNUMBER(MATCH(AG55,{"Expense|employee","Expense|general_admin","Expense|marketing","Expense|utilities","Expense|other_operating"},0)),N(S55),0)+IF(ISNUMBER(MATCH(AH55,{"Expense|employee","Expense|general_admin","Expense|marketing","Expense|utilities","Expense|other_operating"},0)),N(T55),0)+IF(ISNUMBER(MATCH(AI55,{"Expense|employee","Expense|general_admin","Expense|marketing","Expense|utilities","Expense|other_operating"},0)),-N(AF55),0)+IF(ISNUMBER(MATCH(AJ55,{"Expense|employee","Expense|general_admin","Expense|marketing","Expense|utilities","Expense|other_operating"},0)),-N(AC55),0)+IF(ISNUMBER(MATCH(AK55,{"Expense|employee","Expense|general_admin","Expense|marketing","Expense|utilities","Expense|other_operating"},0)),-N(U55),0)</f>
        <v/>
      </c>
      <c r="AP55" s="23">
        <f>IF(AG55="Liability|payable",-N(S55),0)+IF(AH55="Liability|payable",-N(T55),0)+IF(AI55="Liability|payable",N(AF55),0)+IF(AJ55="Liability|payable",N(AC55),0)+IF(AK55="Liability|payable",N(U55),0)</f>
        <v/>
      </c>
      <c r="AQ55" s="23">
        <f>IF(AG55="Liability|accrued",-N(S55),0)+IF(AH55="Liability|accrued",-N(T55),0)+IF(AI55="Liability|accrued",N(AF55),0)+IF(AJ55="Liability|accrued",N(AC55),0)+IF(AK55="Liability|accrued",N(U55),0)</f>
        <v/>
      </c>
      <c r="AR55" s="23">
        <f>IF(AND(N(S55)&lt;&gt;0,AG55=""),1,0)+IF(AND(N(T55)&lt;&gt;0,AH55=""),1,0)+IF(AND(N(AF55)&lt;&gt;0,AI55=""),1,0)+IF(AND(N(AC55)&lt;&gt;0,AJ55=""),1,0)+IF(AND(N(U55)&lt;&gt;0,AK55=""),1,0)</f>
        <v/>
      </c>
    </row>
    <row r="56">
      <c r="A56" s="19" t="n"/>
      <c r="B56" s="14" t="n"/>
      <c r="C56" s="14" t="n"/>
      <c r="D56" s="14" t="n"/>
      <c r="E56" s="14" t="n"/>
      <c r="F56" s="14" t="n"/>
      <c r="G56" s="14" t="n"/>
      <c r="H56" s="20" t="n"/>
      <c r="I56" s="14" t="n"/>
      <c r="J56" s="14" t="n"/>
      <c r="K56" s="20" t="n"/>
      <c r="L56" s="14" t="n"/>
      <c r="M56" s="14" t="n"/>
      <c r="N56" s="14" t="n"/>
      <c r="O56" s="14" t="n"/>
      <c r="P56" s="14" t="n"/>
      <c r="Q56" s="14" t="n"/>
      <c r="R56" s="14" t="n"/>
      <c r="S56" s="21">
        <f>ROUND(ABS(N(G56))*N(H56),2)</f>
        <v/>
      </c>
      <c r="T56" s="21">
        <f>IF(B56="Receipt",ROUND(S56*IFERROR(VLOOKUP(Q56,'Tax Codes'!$A$5:$E$300,5,FALSE),0),2),0)</f>
        <v/>
      </c>
      <c r="U56" s="21">
        <f>IF(B56="Receipt",ROUND(S56*IFERROR(VLOOKUP(R56,'Tax Codes'!$A$5:$E$300,5,FALSE),0),2),0)</f>
        <v/>
      </c>
      <c r="V56" s="16">
        <f>INDEX('Chart of Accounts'!$A$5:$A$3000,MATCH("vat_input",'Chart of Accounts'!$F$5:$F$3000,0))</f>
        <v/>
      </c>
      <c r="W56" s="16">
        <f>INDEX('Chart of Accounts'!$A$5:$A$3000,MATCH("wht_payable",'Chart of Accounts'!$F$5:$F$3000,0))</f>
        <v/>
      </c>
      <c r="X56" s="16">
        <f>IF(M56="",INDEX('Chart of Accounts'!$A$5:$A$3000,MATCH("bank",'Chart of Accounts'!$F$5:$F$3000,0)),M56&amp;"")</f>
        <v/>
      </c>
      <c r="Y56" s="16">
        <f>IF(N56="",INDEX('Chart of Accounts'!$A$5:$A$3000,MATCH("ap",'Chart of Accounts'!$F$5:$F$3000,0)),N56&amp;"")</f>
        <v/>
      </c>
      <c r="Z56" s="16">
        <f>IF(O56="",INDEX('Chart of Accounts'!$A$5:$A$3000,MATCH("materials",'Chart of Accounts'!$F$5:$F$3000,0)),O56&amp;"")</f>
        <v/>
      </c>
      <c r="AA56" s="16">
        <f>IF(IFERROR(INDEX(Warehouses!$C$5:$C$1000,MATCH(C56,Warehouses!$A$5:$A$1000,0))&amp;"","")="",INDEX('Chart of Accounts'!$A$5:$A$3000,MATCH("inventory",'Chart of Accounts'!$F$5:$F$3000,0)),IFERROR(INDEX(Warehouses!$C$5:$C$1000,MATCH(C56,Warehouses!$A$5:$A$1000,0))&amp;"",""))</f>
        <v/>
      </c>
      <c r="AB56" s="16">
        <f>IF(IFERROR(INDEX(Warehouses!$C$5:$C$1000,MATCH(D56,Warehouses!$A$5:$A$1000,0))&amp;"","")="",INDEX('Chart of Accounts'!$A$5:$A$3000,MATCH("inventory",'Chart of Accounts'!$F$5:$F$3000,0)),IFERROR(INDEX(Warehouses!$C$5:$C$1000,MATCH(D56,Warehouses!$A$5:$A$1000,0))&amp;"",""))</f>
        <v/>
      </c>
      <c r="AC56" s="21">
        <f>IF(B56="Receipt",N(K56),0)</f>
        <v/>
      </c>
      <c r="AD56" s="16">
        <f>IF(B56="Receipt",AA56,IF(B56="Issue",Z56,IF(B56="Transfer",AB56,IF(N(G56)&gt;=0,AA56,INDEX('Chart of Accounts'!$A$5:$A$3000,MATCH("stock_adjust",'Chart of Accounts'!$F$5:$F$3000,0))))))</f>
        <v/>
      </c>
      <c r="AE56" s="16">
        <f>IF(B56="Receipt",Y56,IF(B56="Adjustment",IF(N(G56)&gt;=0,INDEX('Chart of Accounts'!$A$5:$A$3000,MATCH("stock_adjust",'Chart of Accounts'!$F$5:$F$3000,0)),AA56),AA56))</f>
        <v/>
      </c>
      <c r="AF56" s="21">
        <f>S56+T56-U56-AC56</f>
        <v/>
      </c>
      <c r="AG56" s="23">
        <f>IFERROR(INDEX('Chart of Accounts'!$C$5:$C$3000,MATCH(AD56&amp;"",'Chart of Accounts'!$A$5:$A$3000,0))&amp;"|"&amp;INDEX('Chart of Accounts'!$D$5:$D$3000,MATCH(AD56&amp;"",'Chart of Accounts'!$A$5:$A$3000,0)),"")</f>
        <v/>
      </c>
      <c r="AH56" s="23">
        <f>IFERROR(INDEX('Chart of Accounts'!$C$5:$C$3000,MATCH(V56&amp;"",'Chart of Accounts'!$A$5:$A$3000,0))&amp;"|"&amp;INDEX('Chart of Accounts'!$D$5:$D$3000,MATCH(V56&amp;"",'Chart of Accounts'!$A$5:$A$3000,0)),"")</f>
        <v/>
      </c>
      <c r="AI56" s="23">
        <f>IFERROR(INDEX('Chart of Accounts'!$C$5:$C$3000,MATCH(AE56&amp;"",'Chart of Accounts'!$A$5:$A$3000,0))&amp;"|"&amp;INDEX('Chart of Accounts'!$D$5:$D$3000,MATCH(AE56&amp;"",'Chart of Accounts'!$A$5:$A$3000,0)),"")</f>
        <v/>
      </c>
      <c r="AJ56" s="23">
        <f>IFERROR(INDEX('Chart of Accounts'!$C$5:$C$3000,MATCH(X56&amp;"",'Chart of Accounts'!$A$5:$A$3000,0))&amp;"|"&amp;INDEX('Chart of Accounts'!$D$5:$D$3000,MATCH(X56&amp;"",'Chart of Accounts'!$A$5:$A$3000,0)),"")</f>
        <v/>
      </c>
      <c r="AK56" s="23">
        <f>IFERROR(INDEX('Chart of Accounts'!$C$5:$C$3000,MATCH(W56&amp;"",'Chart of Accounts'!$A$5:$A$3000,0))&amp;"|"&amp;INDEX('Chart of Accounts'!$D$5:$D$3000,MATCH(W56&amp;"",'Chart of Accounts'!$A$5:$A$3000,0)),"")</f>
        <v/>
      </c>
      <c r="AL56" s="23">
        <f>IF(LEFT(AG56,8)="Revenue|",-N(S56),0)+IF(LEFT(AH56,8)="Revenue|",-N(T56),0)+IF(LEFT(AI56,8)="Revenue|",N(AF56),0)+IF(LEFT(AJ56,8)="Revenue|",N(AC56),0)+IF(LEFT(AK56,8)="Revenue|",N(U56),0)</f>
        <v/>
      </c>
      <c r="AM56" s="23">
        <f>IF(LEFT(AG56,5)="COGS|",N(S56),0)+IF(LEFT(AH56,5)="COGS|",N(T56),0)+IF(LEFT(AI56,5)="COGS|",-N(AF56),0)+IF(LEFT(AJ56,5)="COGS|",-N(AC56),0)+IF(LEFT(AK56,5)="COGS|",-N(U56),0)</f>
        <v/>
      </c>
      <c r="AN56" s="23">
        <f>IF(LEFT(AG56,8)="Expense|",N(S56),0)+IF(LEFT(AH56,8)="Expense|",N(T56),0)+IF(LEFT(AI56,8)="Expense|",-N(AF56),0)+IF(LEFT(AJ56,8)="Expense|",-N(AC56),0)+IF(LEFT(AK56,8)="Expense|",-N(U56),0)</f>
        <v/>
      </c>
      <c r="AO56" s="23">
        <f>IF(ISNUMBER(MATCH(AG56,{"Expense|employee","Expense|general_admin","Expense|marketing","Expense|utilities","Expense|other_operating"},0)),N(S56),0)+IF(ISNUMBER(MATCH(AH56,{"Expense|employee","Expense|general_admin","Expense|marketing","Expense|utilities","Expense|other_operating"},0)),N(T56),0)+IF(ISNUMBER(MATCH(AI56,{"Expense|employee","Expense|general_admin","Expense|marketing","Expense|utilities","Expense|other_operating"},0)),-N(AF56),0)+IF(ISNUMBER(MATCH(AJ56,{"Expense|employee","Expense|general_admin","Expense|marketing","Expense|utilities","Expense|other_operating"},0)),-N(AC56),0)+IF(ISNUMBER(MATCH(AK56,{"Expense|employee","Expense|general_admin","Expense|marketing","Expense|utilities","Expense|other_operating"},0)),-N(U56),0)</f>
        <v/>
      </c>
      <c r="AP56" s="23">
        <f>IF(AG56="Liability|payable",-N(S56),0)+IF(AH56="Liability|payable",-N(T56),0)+IF(AI56="Liability|payable",N(AF56),0)+IF(AJ56="Liability|payable",N(AC56),0)+IF(AK56="Liability|payable",N(U56),0)</f>
        <v/>
      </c>
      <c r="AQ56" s="23">
        <f>IF(AG56="Liability|accrued",-N(S56),0)+IF(AH56="Liability|accrued",-N(T56),0)+IF(AI56="Liability|accrued",N(AF56),0)+IF(AJ56="Liability|accrued",N(AC56),0)+IF(AK56="Liability|accrued",N(U56),0)</f>
        <v/>
      </c>
      <c r="AR56" s="23">
        <f>IF(AND(N(S56)&lt;&gt;0,AG56=""),1,0)+IF(AND(N(T56)&lt;&gt;0,AH56=""),1,0)+IF(AND(N(AF56)&lt;&gt;0,AI56=""),1,0)+IF(AND(N(AC56)&lt;&gt;0,AJ56=""),1,0)+IF(AND(N(U56)&lt;&gt;0,AK56=""),1,0)</f>
        <v/>
      </c>
    </row>
    <row r="57">
      <c r="A57" s="19" t="n"/>
      <c r="B57" s="14" t="n"/>
      <c r="C57" s="14" t="n"/>
      <c r="D57" s="14" t="n"/>
      <c r="E57" s="14" t="n"/>
      <c r="F57" s="14" t="n"/>
      <c r="G57" s="14" t="n"/>
      <c r="H57" s="20" t="n"/>
      <c r="I57" s="14" t="n"/>
      <c r="J57" s="14" t="n"/>
      <c r="K57" s="20" t="n"/>
      <c r="L57" s="14" t="n"/>
      <c r="M57" s="14" t="n"/>
      <c r="N57" s="14" t="n"/>
      <c r="O57" s="14" t="n"/>
      <c r="P57" s="14" t="n"/>
      <c r="Q57" s="14" t="n"/>
      <c r="R57" s="14" t="n"/>
      <c r="S57" s="21">
        <f>ROUND(ABS(N(G57))*N(H57),2)</f>
        <v/>
      </c>
      <c r="T57" s="21">
        <f>IF(B57="Receipt",ROUND(S57*IFERROR(VLOOKUP(Q57,'Tax Codes'!$A$5:$E$300,5,FALSE),0),2),0)</f>
        <v/>
      </c>
      <c r="U57" s="21">
        <f>IF(B57="Receipt",ROUND(S57*IFERROR(VLOOKUP(R57,'Tax Codes'!$A$5:$E$300,5,FALSE),0),2),0)</f>
        <v/>
      </c>
      <c r="V57" s="16">
        <f>INDEX('Chart of Accounts'!$A$5:$A$3000,MATCH("vat_input",'Chart of Accounts'!$F$5:$F$3000,0))</f>
        <v/>
      </c>
      <c r="W57" s="16">
        <f>INDEX('Chart of Accounts'!$A$5:$A$3000,MATCH("wht_payable",'Chart of Accounts'!$F$5:$F$3000,0))</f>
        <v/>
      </c>
      <c r="X57" s="16">
        <f>IF(M57="",INDEX('Chart of Accounts'!$A$5:$A$3000,MATCH("bank",'Chart of Accounts'!$F$5:$F$3000,0)),M57&amp;"")</f>
        <v/>
      </c>
      <c r="Y57" s="16">
        <f>IF(N57="",INDEX('Chart of Accounts'!$A$5:$A$3000,MATCH("ap",'Chart of Accounts'!$F$5:$F$3000,0)),N57&amp;"")</f>
        <v/>
      </c>
      <c r="Z57" s="16">
        <f>IF(O57="",INDEX('Chart of Accounts'!$A$5:$A$3000,MATCH("materials",'Chart of Accounts'!$F$5:$F$3000,0)),O57&amp;"")</f>
        <v/>
      </c>
      <c r="AA57" s="16">
        <f>IF(IFERROR(INDEX(Warehouses!$C$5:$C$1000,MATCH(C57,Warehouses!$A$5:$A$1000,0))&amp;"","")="",INDEX('Chart of Accounts'!$A$5:$A$3000,MATCH("inventory",'Chart of Accounts'!$F$5:$F$3000,0)),IFERROR(INDEX(Warehouses!$C$5:$C$1000,MATCH(C57,Warehouses!$A$5:$A$1000,0))&amp;"",""))</f>
        <v/>
      </c>
      <c r="AB57" s="16">
        <f>IF(IFERROR(INDEX(Warehouses!$C$5:$C$1000,MATCH(D57,Warehouses!$A$5:$A$1000,0))&amp;"","")="",INDEX('Chart of Accounts'!$A$5:$A$3000,MATCH("inventory",'Chart of Accounts'!$F$5:$F$3000,0)),IFERROR(INDEX(Warehouses!$C$5:$C$1000,MATCH(D57,Warehouses!$A$5:$A$1000,0))&amp;"",""))</f>
        <v/>
      </c>
      <c r="AC57" s="21">
        <f>IF(B57="Receipt",N(K57),0)</f>
        <v/>
      </c>
      <c r="AD57" s="16">
        <f>IF(B57="Receipt",AA57,IF(B57="Issue",Z57,IF(B57="Transfer",AB57,IF(N(G57)&gt;=0,AA57,INDEX('Chart of Accounts'!$A$5:$A$3000,MATCH("stock_adjust",'Chart of Accounts'!$F$5:$F$3000,0))))))</f>
        <v/>
      </c>
      <c r="AE57" s="16">
        <f>IF(B57="Receipt",Y57,IF(B57="Adjustment",IF(N(G57)&gt;=0,INDEX('Chart of Accounts'!$A$5:$A$3000,MATCH("stock_adjust",'Chart of Accounts'!$F$5:$F$3000,0)),AA57),AA57))</f>
        <v/>
      </c>
      <c r="AF57" s="21">
        <f>S57+T57-U57-AC57</f>
        <v/>
      </c>
      <c r="AG57" s="23">
        <f>IFERROR(INDEX('Chart of Accounts'!$C$5:$C$3000,MATCH(AD57&amp;"",'Chart of Accounts'!$A$5:$A$3000,0))&amp;"|"&amp;INDEX('Chart of Accounts'!$D$5:$D$3000,MATCH(AD57&amp;"",'Chart of Accounts'!$A$5:$A$3000,0)),"")</f>
        <v/>
      </c>
      <c r="AH57" s="23">
        <f>IFERROR(INDEX('Chart of Accounts'!$C$5:$C$3000,MATCH(V57&amp;"",'Chart of Accounts'!$A$5:$A$3000,0))&amp;"|"&amp;INDEX('Chart of Accounts'!$D$5:$D$3000,MATCH(V57&amp;"",'Chart of Accounts'!$A$5:$A$3000,0)),"")</f>
        <v/>
      </c>
      <c r="AI57" s="23">
        <f>IFERROR(INDEX('Chart of Accounts'!$C$5:$C$3000,MATCH(AE57&amp;"",'Chart of Accounts'!$A$5:$A$3000,0))&amp;"|"&amp;INDEX('Chart of Accounts'!$D$5:$D$3000,MATCH(AE57&amp;"",'Chart of Accounts'!$A$5:$A$3000,0)),"")</f>
        <v/>
      </c>
      <c r="AJ57" s="23">
        <f>IFERROR(INDEX('Chart of Accounts'!$C$5:$C$3000,MATCH(X57&amp;"",'Chart of Accounts'!$A$5:$A$3000,0))&amp;"|"&amp;INDEX('Chart of Accounts'!$D$5:$D$3000,MATCH(X57&amp;"",'Chart of Accounts'!$A$5:$A$3000,0)),"")</f>
        <v/>
      </c>
      <c r="AK57" s="23">
        <f>IFERROR(INDEX('Chart of Accounts'!$C$5:$C$3000,MATCH(W57&amp;"",'Chart of Accounts'!$A$5:$A$3000,0))&amp;"|"&amp;INDEX('Chart of Accounts'!$D$5:$D$3000,MATCH(W57&amp;"",'Chart of Accounts'!$A$5:$A$3000,0)),"")</f>
        <v/>
      </c>
      <c r="AL57" s="23">
        <f>IF(LEFT(AG57,8)="Revenue|",-N(S57),0)+IF(LEFT(AH57,8)="Revenue|",-N(T57),0)+IF(LEFT(AI57,8)="Revenue|",N(AF57),0)+IF(LEFT(AJ57,8)="Revenue|",N(AC57),0)+IF(LEFT(AK57,8)="Revenue|",N(U57),0)</f>
        <v/>
      </c>
      <c r="AM57" s="23">
        <f>IF(LEFT(AG57,5)="COGS|",N(S57),0)+IF(LEFT(AH57,5)="COGS|",N(T57),0)+IF(LEFT(AI57,5)="COGS|",-N(AF57),0)+IF(LEFT(AJ57,5)="COGS|",-N(AC57),0)+IF(LEFT(AK57,5)="COGS|",-N(U57),0)</f>
        <v/>
      </c>
      <c r="AN57" s="23">
        <f>IF(LEFT(AG57,8)="Expense|",N(S57),0)+IF(LEFT(AH57,8)="Expense|",N(T57),0)+IF(LEFT(AI57,8)="Expense|",-N(AF57),0)+IF(LEFT(AJ57,8)="Expense|",-N(AC57),0)+IF(LEFT(AK57,8)="Expense|",-N(U57),0)</f>
        <v/>
      </c>
      <c r="AO57" s="23">
        <f>IF(ISNUMBER(MATCH(AG57,{"Expense|employee","Expense|general_admin","Expense|marketing","Expense|utilities","Expense|other_operating"},0)),N(S57),0)+IF(ISNUMBER(MATCH(AH57,{"Expense|employee","Expense|general_admin","Expense|marketing","Expense|utilities","Expense|other_operating"},0)),N(T57),0)+IF(ISNUMBER(MATCH(AI57,{"Expense|employee","Expense|general_admin","Expense|marketing","Expense|utilities","Expense|other_operating"},0)),-N(AF57),0)+IF(ISNUMBER(MATCH(AJ57,{"Expense|employee","Expense|general_admin","Expense|marketing","Expense|utilities","Expense|other_operating"},0)),-N(AC57),0)+IF(ISNUMBER(MATCH(AK57,{"Expense|employee","Expense|general_admin","Expense|marketing","Expense|utilities","Expense|other_operating"},0)),-N(U57),0)</f>
        <v/>
      </c>
      <c r="AP57" s="23">
        <f>IF(AG57="Liability|payable",-N(S57),0)+IF(AH57="Liability|payable",-N(T57),0)+IF(AI57="Liability|payable",N(AF57),0)+IF(AJ57="Liability|payable",N(AC57),0)+IF(AK57="Liability|payable",N(U57),0)</f>
        <v/>
      </c>
      <c r="AQ57" s="23">
        <f>IF(AG57="Liability|accrued",-N(S57),0)+IF(AH57="Liability|accrued",-N(T57),0)+IF(AI57="Liability|accrued",N(AF57),0)+IF(AJ57="Liability|accrued",N(AC57),0)+IF(AK57="Liability|accrued",N(U57),0)</f>
        <v/>
      </c>
      <c r="AR57" s="23">
        <f>IF(AND(N(S57)&lt;&gt;0,AG57=""),1,0)+IF(AND(N(T57)&lt;&gt;0,AH57=""),1,0)+IF(AND(N(AF57)&lt;&gt;0,AI57=""),1,0)+IF(AND(N(AC57)&lt;&gt;0,AJ57=""),1,0)+IF(AND(N(U57)&lt;&gt;0,AK57=""),1,0)</f>
        <v/>
      </c>
    </row>
    <row r="58">
      <c r="A58" s="19" t="n"/>
      <c r="B58" s="14" t="n"/>
      <c r="C58" s="14" t="n"/>
      <c r="D58" s="14" t="n"/>
      <c r="E58" s="14" t="n"/>
      <c r="F58" s="14" t="n"/>
      <c r="G58" s="14" t="n"/>
      <c r="H58" s="20" t="n"/>
      <c r="I58" s="14" t="n"/>
      <c r="J58" s="14" t="n"/>
      <c r="K58" s="20" t="n"/>
      <c r="L58" s="14" t="n"/>
      <c r="M58" s="14" t="n"/>
      <c r="N58" s="14" t="n"/>
      <c r="O58" s="14" t="n"/>
      <c r="P58" s="14" t="n"/>
      <c r="Q58" s="14" t="n"/>
      <c r="R58" s="14" t="n"/>
      <c r="S58" s="21">
        <f>ROUND(ABS(N(G58))*N(H58),2)</f>
        <v/>
      </c>
      <c r="T58" s="21">
        <f>IF(B58="Receipt",ROUND(S58*IFERROR(VLOOKUP(Q58,'Tax Codes'!$A$5:$E$300,5,FALSE),0),2),0)</f>
        <v/>
      </c>
      <c r="U58" s="21">
        <f>IF(B58="Receipt",ROUND(S58*IFERROR(VLOOKUP(R58,'Tax Codes'!$A$5:$E$300,5,FALSE),0),2),0)</f>
        <v/>
      </c>
      <c r="V58" s="16">
        <f>INDEX('Chart of Accounts'!$A$5:$A$3000,MATCH("vat_input",'Chart of Accounts'!$F$5:$F$3000,0))</f>
        <v/>
      </c>
      <c r="W58" s="16">
        <f>INDEX('Chart of Accounts'!$A$5:$A$3000,MATCH("wht_payable",'Chart of Accounts'!$F$5:$F$3000,0))</f>
        <v/>
      </c>
      <c r="X58" s="16">
        <f>IF(M58="",INDEX('Chart of Accounts'!$A$5:$A$3000,MATCH("bank",'Chart of Accounts'!$F$5:$F$3000,0)),M58&amp;"")</f>
        <v/>
      </c>
      <c r="Y58" s="16">
        <f>IF(N58="",INDEX('Chart of Accounts'!$A$5:$A$3000,MATCH("ap",'Chart of Accounts'!$F$5:$F$3000,0)),N58&amp;"")</f>
        <v/>
      </c>
      <c r="Z58" s="16">
        <f>IF(O58="",INDEX('Chart of Accounts'!$A$5:$A$3000,MATCH("materials",'Chart of Accounts'!$F$5:$F$3000,0)),O58&amp;"")</f>
        <v/>
      </c>
      <c r="AA58" s="16">
        <f>IF(IFERROR(INDEX(Warehouses!$C$5:$C$1000,MATCH(C58,Warehouses!$A$5:$A$1000,0))&amp;"","")="",INDEX('Chart of Accounts'!$A$5:$A$3000,MATCH("inventory",'Chart of Accounts'!$F$5:$F$3000,0)),IFERROR(INDEX(Warehouses!$C$5:$C$1000,MATCH(C58,Warehouses!$A$5:$A$1000,0))&amp;"",""))</f>
        <v/>
      </c>
      <c r="AB58" s="16">
        <f>IF(IFERROR(INDEX(Warehouses!$C$5:$C$1000,MATCH(D58,Warehouses!$A$5:$A$1000,0))&amp;"","")="",INDEX('Chart of Accounts'!$A$5:$A$3000,MATCH("inventory",'Chart of Accounts'!$F$5:$F$3000,0)),IFERROR(INDEX(Warehouses!$C$5:$C$1000,MATCH(D58,Warehouses!$A$5:$A$1000,0))&amp;"",""))</f>
        <v/>
      </c>
      <c r="AC58" s="21">
        <f>IF(B58="Receipt",N(K58),0)</f>
        <v/>
      </c>
      <c r="AD58" s="16">
        <f>IF(B58="Receipt",AA58,IF(B58="Issue",Z58,IF(B58="Transfer",AB58,IF(N(G58)&gt;=0,AA58,INDEX('Chart of Accounts'!$A$5:$A$3000,MATCH("stock_adjust",'Chart of Accounts'!$F$5:$F$3000,0))))))</f>
        <v/>
      </c>
      <c r="AE58" s="16">
        <f>IF(B58="Receipt",Y58,IF(B58="Adjustment",IF(N(G58)&gt;=0,INDEX('Chart of Accounts'!$A$5:$A$3000,MATCH("stock_adjust",'Chart of Accounts'!$F$5:$F$3000,0)),AA58),AA58))</f>
        <v/>
      </c>
      <c r="AF58" s="21">
        <f>S58+T58-U58-AC58</f>
        <v/>
      </c>
      <c r="AG58" s="23">
        <f>IFERROR(INDEX('Chart of Accounts'!$C$5:$C$3000,MATCH(AD58&amp;"",'Chart of Accounts'!$A$5:$A$3000,0))&amp;"|"&amp;INDEX('Chart of Accounts'!$D$5:$D$3000,MATCH(AD58&amp;"",'Chart of Accounts'!$A$5:$A$3000,0)),"")</f>
        <v/>
      </c>
      <c r="AH58" s="23">
        <f>IFERROR(INDEX('Chart of Accounts'!$C$5:$C$3000,MATCH(V58&amp;"",'Chart of Accounts'!$A$5:$A$3000,0))&amp;"|"&amp;INDEX('Chart of Accounts'!$D$5:$D$3000,MATCH(V58&amp;"",'Chart of Accounts'!$A$5:$A$3000,0)),"")</f>
        <v/>
      </c>
      <c r="AI58" s="23">
        <f>IFERROR(INDEX('Chart of Accounts'!$C$5:$C$3000,MATCH(AE58&amp;"",'Chart of Accounts'!$A$5:$A$3000,0))&amp;"|"&amp;INDEX('Chart of Accounts'!$D$5:$D$3000,MATCH(AE58&amp;"",'Chart of Accounts'!$A$5:$A$3000,0)),"")</f>
        <v/>
      </c>
      <c r="AJ58" s="23">
        <f>IFERROR(INDEX('Chart of Accounts'!$C$5:$C$3000,MATCH(X58&amp;"",'Chart of Accounts'!$A$5:$A$3000,0))&amp;"|"&amp;INDEX('Chart of Accounts'!$D$5:$D$3000,MATCH(X58&amp;"",'Chart of Accounts'!$A$5:$A$3000,0)),"")</f>
        <v/>
      </c>
      <c r="AK58" s="23">
        <f>IFERROR(INDEX('Chart of Accounts'!$C$5:$C$3000,MATCH(W58&amp;"",'Chart of Accounts'!$A$5:$A$3000,0))&amp;"|"&amp;INDEX('Chart of Accounts'!$D$5:$D$3000,MATCH(W58&amp;"",'Chart of Accounts'!$A$5:$A$3000,0)),"")</f>
        <v/>
      </c>
      <c r="AL58" s="23">
        <f>IF(LEFT(AG58,8)="Revenue|",-N(S58),0)+IF(LEFT(AH58,8)="Revenue|",-N(T58),0)+IF(LEFT(AI58,8)="Revenue|",N(AF58),0)+IF(LEFT(AJ58,8)="Revenue|",N(AC58),0)+IF(LEFT(AK58,8)="Revenue|",N(U58),0)</f>
        <v/>
      </c>
      <c r="AM58" s="23">
        <f>IF(LEFT(AG58,5)="COGS|",N(S58),0)+IF(LEFT(AH58,5)="COGS|",N(T58),0)+IF(LEFT(AI58,5)="COGS|",-N(AF58),0)+IF(LEFT(AJ58,5)="COGS|",-N(AC58),0)+IF(LEFT(AK58,5)="COGS|",-N(U58),0)</f>
        <v/>
      </c>
      <c r="AN58" s="23">
        <f>IF(LEFT(AG58,8)="Expense|",N(S58),0)+IF(LEFT(AH58,8)="Expense|",N(T58),0)+IF(LEFT(AI58,8)="Expense|",-N(AF58),0)+IF(LEFT(AJ58,8)="Expense|",-N(AC58),0)+IF(LEFT(AK58,8)="Expense|",-N(U58),0)</f>
        <v/>
      </c>
      <c r="AO58" s="23">
        <f>IF(ISNUMBER(MATCH(AG58,{"Expense|employee","Expense|general_admin","Expense|marketing","Expense|utilities","Expense|other_operating"},0)),N(S58),0)+IF(ISNUMBER(MATCH(AH58,{"Expense|employee","Expense|general_admin","Expense|marketing","Expense|utilities","Expense|other_operating"},0)),N(T58),0)+IF(ISNUMBER(MATCH(AI58,{"Expense|employee","Expense|general_admin","Expense|marketing","Expense|utilities","Expense|other_operating"},0)),-N(AF58),0)+IF(ISNUMBER(MATCH(AJ58,{"Expense|employee","Expense|general_admin","Expense|marketing","Expense|utilities","Expense|other_operating"},0)),-N(AC58),0)+IF(ISNUMBER(MATCH(AK58,{"Expense|employee","Expense|general_admin","Expense|marketing","Expense|utilities","Expense|other_operating"},0)),-N(U58),0)</f>
        <v/>
      </c>
      <c r="AP58" s="23">
        <f>IF(AG58="Liability|payable",-N(S58),0)+IF(AH58="Liability|payable",-N(T58),0)+IF(AI58="Liability|payable",N(AF58),0)+IF(AJ58="Liability|payable",N(AC58),0)+IF(AK58="Liability|payable",N(U58),0)</f>
        <v/>
      </c>
      <c r="AQ58" s="23">
        <f>IF(AG58="Liability|accrued",-N(S58),0)+IF(AH58="Liability|accrued",-N(T58),0)+IF(AI58="Liability|accrued",N(AF58),0)+IF(AJ58="Liability|accrued",N(AC58),0)+IF(AK58="Liability|accrued",N(U58),0)</f>
        <v/>
      </c>
      <c r="AR58" s="23">
        <f>IF(AND(N(S58)&lt;&gt;0,AG58=""),1,0)+IF(AND(N(T58)&lt;&gt;0,AH58=""),1,0)+IF(AND(N(AF58)&lt;&gt;0,AI58=""),1,0)+IF(AND(N(AC58)&lt;&gt;0,AJ58=""),1,0)+IF(AND(N(U58)&lt;&gt;0,AK58=""),1,0)</f>
        <v/>
      </c>
    </row>
    <row r="59">
      <c r="A59" s="19" t="n"/>
      <c r="B59" s="14" t="n"/>
      <c r="C59" s="14" t="n"/>
      <c r="D59" s="14" t="n"/>
      <c r="E59" s="14" t="n"/>
      <c r="F59" s="14" t="n"/>
      <c r="G59" s="14" t="n"/>
      <c r="H59" s="20" t="n"/>
      <c r="I59" s="14" t="n"/>
      <c r="J59" s="14" t="n"/>
      <c r="K59" s="20" t="n"/>
      <c r="L59" s="14" t="n"/>
      <c r="M59" s="14" t="n"/>
      <c r="N59" s="14" t="n"/>
      <c r="O59" s="14" t="n"/>
      <c r="P59" s="14" t="n"/>
      <c r="Q59" s="14" t="n"/>
      <c r="R59" s="14" t="n"/>
      <c r="S59" s="21">
        <f>ROUND(ABS(N(G59))*N(H59),2)</f>
        <v/>
      </c>
      <c r="T59" s="21">
        <f>IF(B59="Receipt",ROUND(S59*IFERROR(VLOOKUP(Q59,'Tax Codes'!$A$5:$E$300,5,FALSE),0),2),0)</f>
        <v/>
      </c>
      <c r="U59" s="21">
        <f>IF(B59="Receipt",ROUND(S59*IFERROR(VLOOKUP(R59,'Tax Codes'!$A$5:$E$300,5,FALSE),0),2),0)</f>
        <v/>
      </c>
      <c r="V59" s="16">
        <f>INDEX('Chart of Accounts'!$A$5:$A$3000,MATCH("vat_input",'Chart of Accounts'!$F$5:$F$3000,0))</f>
        <v/>
      </c>
      <c r="W59" s="16">
        <f>INDEX('Chart of Accounts'!$A$5:$A$3000,MATCH("wht_payable",'Chart of Accounts'!$F$5:$F$3000,0))</f>
        <v/>
      </c>
      <c r="X59" s="16">
        <f>IF(M59="",INDEX('Chart of Accounts'!$A$5:$A$3000,MATCH("bank",'Chart of Accounts'!$F$5:$F$3000,0)),M59&amp;"")</f>
        <v/>
      </c>
      <c r="Y59" s="16">
        <f>IF(N59="",INDEX('Chart of Accounts'!$A$5:$A$3000,MATCH("ap",'Chart of Accounts'!$F$5:$F$3000,0)),N59&amp;"")</f>
        <v/>
      </c>
      <c r="Z59" s="16">
        <f>IF(O59="",INDEX('Chart of Accounts'!$A$5:$A$3000,MATCH("materials",'Chart of Accounts'!$F$5:$F$3000,0)),O59&amp;"")</f>
        <v/>
      </c>
      <c r="AA59" s="16">
        <f>IF(IFERROR(INDEX(Warehouses!$C$5:$C$1000,MATCH(C59,Warehouses!$A$5:$A$1000,0))&amp;"","")="",INDEX('Chart of Accounts'!$A$5:$A$3000,MATCH("inventory",'Chart of Accounts'!$F$5:$F$3000,0)),IFERROR(INDEX(Warehouses!$C$5:$C$1000,MATCH(C59,Warehouses!$A$5:$A$1000,0))&amp;"",""))</f>
        <v/>
      </c>
      <c r="AB59" s="16">
        <f>IF(IFERROR(INDEX(Warehouses!$C$5:$C$1000,MATCH(D59,Warehouses!$A$5:$A$1000,0))&amp;"","")="",INDEX('Chart of Accounts'!$A$5:$A$3000,MATCH("inventory",'Chart of Accounts'!$F$5:$F$3000,0)),IFERROR(INDEX(Warehouses!$C$5:$C$1000,MATCH(D59,Warehouses!$A$5:$A$1000,0))&amp;"",""))</f>
        <v/>
      </c>
      <c r="AC59" s="21">
        <f>IF(B59="Receipt",N(K59),0)</f>
        <v/>
      </c>
      <c r="AD59" s="16">
        <f>IF(B59="Receipt",AA59,IF(B59="Issue",Z59,IF(B59="Transfer",AB59,IF(N(G59)&gt;=0,AA59,INDEX('Chart of Accounts'!$A$5:$A$3000,MATCH("stock_adjust",'Chart of Accounts'!$F$5:$F$3000,0))))))</f>
        <v/>
      </c>
      <c r="AE59" s="16">
        <f>IF(B59="Receipt",Y59,IF(B59="Adjustment",IF(N(G59)&gt;=0,INDEX('Chart of Accounts'!$A$5:$A$3000,MATCH("stock_adjust",'Chart of Accounts'!$F$5:$F$3000,0)),AA59),AA59))</f>
        <v/>
      </c>
      <c r="AF59" s="21">
        <f>S59+T59-U59-AC59</f>
        <v/>
      </c>
      <c r="AG59" s="23">
        <f>IFERROR(INDEX('Chart of Accounts'!$C$5:$C$3000,MATCH(AD59&amp;"",'Chart of Accounts'!$A$5:$A$3000,0))&amp;"|"&amp;INDEX('Chart of Accounts'!$D$5:$D$3000,MATCH(AD59&amp;"",'Chart of Accounts'!$A$5:$A$3000,0)),"")</f>
        <v/>
      </c>
      <c r="AH59" s="23">
        <f>IFERROR(INDEX('Chart of Accounts'!$C$5:$C$3000,MATCH(V59&amp;"",'Chart of Accounts'!$A$5:$A$3000,0))&amp;"|"&amp;INDEX('Chart of Accounts'!$D$5:$D$3000,MATCH(V59&amp;"",'Chart of Accounts'!$A$5:$A$3000,0)),"")</f>
        <v/>
      </c>
      <c r="AI59" s="23">
        <f>IFERROR(INDEX('Chart of Accounts'!$C$5:$C$3000,MATCH(AE59&amp;"",'Chart of Accounts'!$A$5:$A$3000,0))&amp;"|"&amp;INDEX('Chart of Accounts'!$D$5:$D$3000,MATCH(AE59&amp;"",'Chart of Accounts'!$A$5:$A$3000,0)),"")</f>
        <v/>
      </c>
      <c r="AJ59" s="23">
        <f>IFERROR(INDEX('Chart of Accounts'!$C$5:$C$3000,MATCH(X59&amp;"",'Chart of Accounts'!$A$5:$A$3000,0))&amp;"|"&amp;INDEX('Chart of Accounts'!$D$5:$D$3000,MATCH(X59&amp;"",'Chart of Accounts'!$A$5:$A$3000,0)),"")</f>
        <v/>
      </c>
      <c r="AK59" s="23">
        <f>IFERROR(INDEX('Chart of Accounts'!$C$5:$C$3000,MATCH(W59&amp;"",'Chart of Accounts'!$A$5:$A$3000,0))&amp;"|"&amp;INDEX('Chart of Accounts'!$D$5:$D$3000,MATCH(W59&amp;"",'Chart of Accounts'!$A$5:$A$3000,0)),"")</f>
        <v/>
      </c>
      <c r="AL59" s="23">
        <f>IF(LEFT(AG59,8)="Revenue|",-N(S59),0)+IF(LEFT(AH59,8)="Revenue|",-N(T59),0)+IF(LEFT(AI59,8)="Revenue|",N(AF59),0)+IF(LEFT(AJ59,8)="Revenue|",N(AC59),0)+IF(LEFT(AK59,8)="Revenue|",N(U59),0)</f>
        <v/>
      </c>
      <c r="AM59" s="23">
        <f>IF(LEFT(AG59,5)="COGS|",N(S59),0)+IF(LEFT(AH59,5)="COGS|",N(T59),0)+IF(LEFT(AI59,5)="COGS|",-N(AF59),0)+IF(LEFT(AJ59,5)="COGS|",-N(AC59),0)+IF(LEFT(AK59,5)="COGS|",-N(U59),0)</f>
        <v/>
      </c>
      <c r="AN59" s="23">
        <f>IF(LEFT(AG59,8)="Expense|",N(S59),0)+IF(LEFT(AH59,8)="Expense|",N(T59),0)+IF(LEFT(AI59,8)="Expense|",-N(AF59),0)+IF(LEFT(AJ59,8)="Expense|",-N(AC59),0)+IF(LEFT(AK59,8)="Expense|",-N(U59),0)</f>
        <v/>
      </c>
      <c r="AO59" s="23">
        <f>IF(ISNUMBER(MATCH(AG59,{"Expense|employee","Expense|general_admin","Expense|marketing","Expense|utilities","Expense|other_operating"},0)),N(S59),0)+IF(ISNUMBER(MATCH(AH59,{"Expense|employee","Expense|general_admin","Expense|marketing","Expense|utilities","Expense|other_operating"},0)),N(T59),0)+IF(ISNUMBER(MATCH(AI59,{"Expense|employee","Expense|general_admin","Expense|marketing","Expense|utilities","Expense|other_operating"},0)),-N(AF59),0)+IF(ISNUMBER(MATCH(AJ59,{"Expense|employee","Expense|general_admin","Expense|marketing","Expense|utilities","Expense|other_operating"},0)),-N(AC59),0)+IF(ISNUMBER(MATCH(AK59,{"Expense|employee","Expense|general_admin","Expense|marketing","Expense|utilities","Expense|other_operating"},0)),-N(U59),0)</f>
        <v/>
      </c>
      <c r="AP59" s="23">
        <f>IF(AG59="Liability|payable",-N(S59),0)+IF(AH59="Liability|payable",-N(T59),0)+IF(AI59="Liability|payable",N(AF59),0)+IF(AJ59="Liability|payable",N(AC59),0)+IF(AK59="Liability|payable",N(U59),0)</f>
        <v/>
      </c>
      <c r="AQ59" s="23">
        <f>IF(AG59="Liability|accrued",-N(S59),0)+IF(AH59="Liability|accrued",-N(T59),0)+IF(AI59="Liability|accrued",N(AF59),0)+IF(AJ59="Liability|accrued",N(AC59),0)+IF(AK59="Liability|accrued",N(U59),0)</f>
        <v/>
      </c>
      <c r="AR59" s="23">
        <f>IF(AND(N(S59)&lt;&gt;0,AG59=""),1,0)+IF(AND(N(T59)&lt;&gt;0,AH59=""),1,0)+IF(AND(N(AF59)&lt;&gt;0,AI59=""),1,0)+IF(AND(N(AC59)&lt;&gt;0,AJ59=""),1,0)+IF(AND(N(U59)&lt;&gt;0,AK59=""),1,0)</f>
        <v/>
      </c>
    </row>
    <row r="60">
      <c r="A60" s="19" t="n"/>
      <c r="B60" s="14" t="n"/>
      <c r="C60" s="14" t="n"/>
      <c r="D60" s="14" t="n"/>
      <c r="E60" s="14" t="n"/>
      <c r="F60" s="14" t="n"/>
      <c r="G60" s="14" t="n"/>
      <c r="H60" s="20" t="n"/>
      <c r="I60" s="14" t="n"/>
      <c r="J60" s="14" t="n"/>
      <c r="K60" s="20" t="n"/>
      <c r="L60" s="14" t="n"/>
      <c r="M60" s="14" t="n"/>
      <c r="N60" s="14" t="n"/>
      <c r="O60" s="14" t="n"/>
      <c r="P60" s="14" t="n"/>
      <c r="Q60" s="14" t="n"/>
      <c r="R60" s="14" t="n"/>
      <c r="S60" s="21">
        <f>ROUND(ABS(N(G60))*N(H60),2)</f>
        <v/>
      </c>
      <c r="T60" s="21">
        <f>IF(B60="Receipt",ROUND(S60*IFERROR(VLOOKUP(Q60,'Tax Codes'!$A$5:$E$300,5,FALSE),0),2),0)</f>
        <v/>
      </c>
      <c r="U60" s="21">
        <f>IF(B60="Receipt",ROUND(S60*IFERROR(VLOOKUP(R60,'Tax Codes'!$A$5:$E$300,5,FALSE),0),2),0)</f>
        <v/>
      </c>
      <c r="V60" s="16">
        <f>INDEX('Chart of Accounts'!$A$5:$A$3000,MATCH("vat_input",'Chart of Accounts'!$F$5:$F$3000,0))</f>
        <v/>
      </c>
      <c r="W60" s="16">
        <f>INDEX('Chart of Accounts'!$A$5:$A$3000,MATCH("wht_payable",'Chart of Accounts'!$F$5:$F$3000,0))</f>
        <v/>
      </c>
      <c r="X60" s="16">
        <f>IF(M60="",INDEX('Chart of Accounts'!$A$5:$A$3000,MATCH("bank",'Chart of Accounts'!$F$5:$F$3000,0)),M60&amp;"")</f>
        <v/>
      </c>
      <c r="Y60" s="16">
        <f>IF(N60="",INDEX('Chart of Accounts'!$A$5:$A$3000,MATCH("ap",'Chart of Accounts'!$F$5:$F$3000,0)),N60&amp;"")</f>
        <v/>
      </c>
      <c r="Z60" s="16">
        <f>IF(O60="",INDEX('Chart of Accounts'!$A$5:$A$3000,MATCH("materials",'Chart of Accounts'!$F$5:$F$3000,0)),O60&amp;"")</f>
        <v/>
      </c>
      <c r="AA60" s="16">
        <f>IF(IFERROR(INDEX(Warehouses!$C$5:$C$1000,MATCH(C60,Warehouses!$A$5:$A$1000,0))&amp;"","")="",INDEX('Chart of Accounts'!$A$5:$A$3000,MATCH("inventory",'Chart of Accounts'!$F$5:$F$3000,0)),IFERROR(INDEX(Warehouses!$C$5:$C$1000,MATCH(C60,Warehouses!$A$5:$A$1000,0))&amp;"",""))</f>
        <v/>
      </c>
      <c r="AB60" s="16">
        <f>IF(IFERROR(INDEX(Warehouses!$C$5:$C$1000,MATCH(D60,Warehouses!$A$5:$A$1000,0))&amp;"","")="",INDEX('Chart of Accounts'!$A$5:$A$3000,MATCH("inventory",'Chart of Accounts'!$F$5:$F$3000,0)),IFERROR(INDEX(Warehouses!$C$5:$C$1000,MATCH(D60,Warehouses!$A$5:$A$1000,0))&amp;"",""))</f>
        <v/>
      </c>
      <c r="AC60" s="21">
        <f>IF(B60="Receipt",N(K60),0)</f>
        <v/>
      </c>
      <c r="AD60" s="16">
        <f>IF(B60="Receipt",AA60,IF(B60="Issue",Z60,IF(B60="Transfer",AB60,IF(N(G60)&gt;=0,AA60,INDEX('Chart of Accounts'!$A$5:$A$3000,MATCH("stock_adjust",'Chart of Accounts'!$F$5:$F$3000,0))))))</f>
        <v/>
      </c>
      <c r="AE60" s="16">
        <f>IF(B60="Receipt",Y60,IF(B60="Adjustment",IF(N(G60)&gt;=0,INDEX('Chart of Accounts'!$A$5:$A$3000,MATCH("stock_adjust",'Chart of Accounts'!$F$5:$F$3000,0)),AA60),AA60))</f>
        <v/>
      </c>
      <c r="AF60" s="21">
        <f>S60+T60-U60-AC60</f>
        <v/>
      </c>
      <c r="AG60" s="23">
        <f>IFERROR(INDEX('Chart of Accounts'!$C$5:$C$3000,MATCH(AD60&amp;"",'Chart of Accounts'!$A$5:$A$3000,0))&amp;"|"&amp;INDEX('Chart of Accounts'!$D$5:$D$3000,MATCH(AD60&amp;"",'Chart of Accounts'!$A$5:$A$3000,0)),"")</f>
        <v/>
      </c>
      <c r="AH60" s="23">
        <f>IFERROR(INDEX('Chart of Accounts'!$C$5:$C$3000,MATCH(V60&amp;"",'Chart of Accounts'!$A$5:$A$3000,0))&amp;"|"&amp;INDEX('Chart of Accounts'!$D$5:$D$3000,MATCH(V60&amp;"",'Chart of Accounts'!$A$5:$A$3000,0)),"")</f>
        <v/>
      </c>
      <c r="AI60" s="23">
        <f>IFERROR(INDEX('Chart of Accounts'!$C$5:$C$3000,MATCH(AE60&amp;"",'Chart of Accounts'!$A$5:$A$3000,0))&amp;"|"&amp;INDEX('Chart of Accounts'!$D$5:$D$3000,MATCH(AE60&amp;"",'Chart of Accounts'!$A$5:$A$3000,0)),"")</f>
        <v/>
      </c>
      <c r="AJ60" s="23">
        <f>IFERROR(INDEX('Chart of Accounts'!$C$5:$C$3000,MATCH(X60&amp;"",'Chart of Accounts'!$A$5:$A$3000,0))&amp;"|"&amp;INDEX('Chart of Accounts'!$D$5:$D$3000,MATCH(X60&amp;"",'Chart of Accounts'!$A$5:$A$3000,0)),"")</f>
        <v/>
      </c>
      <c r="AK60" s="23">
        <f>IFERROR(INDEX('Chart of Accounts'!$C$5:$C$3000,MATCH(W60&amp;"",'Chart of Accounts'!$A$5:$A$3000,0))&amp;"|"&amp;INDEX('Chart of Accounts'!$D$5:$D$3000,MATCH(W60&amp;"",'Chart of Accounts'!$A$5:$A$3000,0)),"")</f>
        <v/>
      </c>
      <c r="AL60" s="23">
        <f>IF(LEFT(AG60,8)="Revenue|",-N(S60),0)+IF(LEFT(AH60,8)="Revenue|",-N(T60),0)+IF(LEFT(AI60,8)="Revenue|",N(AF60),0)+IF(LEFT(AJ60,8)="Revenue|",N(AC60),0)+IF(LEFT(AK60,8)="Revenue|",N(U60),0)</f>
        <v/>
      </c>
      <c r="AM60" s="23">
        <f>IF(LEFT(AG60,5)="COGS|",N(S60),0)+IF(LEFT(AH60,5)="COGS|",N(T60),0)+IF(LEFT(AI60,5)="COGS|",-N(AF60),0)+IF(LEFT(AJ60,5)="COGS|",-N(AC60),0)+IF(LEFT(AK60,5)="COGS|",-N(U60),0)</f>
        <v/>
      </c>
      <c r="AN60" s="23">
        <f>IF(LEFT(AG60,8)="Expense|",N(S60),0)+IF(LEFT(AH60,8)="Expense|",N(T60),0)+IF(LEFT(AI60,8)="Expense|",-N(AF60),0)+IF(LEFT(AJ60,8)="Expense|",-N(AC60),0)+IF(LEFT(AK60,8)="Expense|",-N(U60),0)</f>
        <v/>
      </c>
      <c r="AO60" s="23">
        <f>IF(ISNUMBER(MATCH(AG60,{"Expense|employee","Expense|general_admin","Expense|marketing","Expense|utilities","Expense|other_operating"},0)),N(S60),0)+IF(ISNUMBER(MATCH(AH60,{"Expense|employee","Expense|general_admin","Expense|marketing","Expense|utilities","Expense|other_operating"},0)),N(T60),0)+IF(ISNUMBER(MATCH(AI60,{"Expense|employee","Expense|general_admin","Expense|marketing","Expense|utilities","Expense|other_operating"},0)),-N(AF60),0)+IF(ISNUMBER(MATCH(AJ60,{"Expense|employee","Expense|general_admin","Expense|marketing","Expense|utilities","Expense|other_operating"},0)),-N(AC60),0)+IF(ISNUMBER(MATCH(AK60,{"Expense|employee","Expense|general_admin","Expense|marketing","Expense|utilities","Expense|other_operating"},0)),-N(U60),0)</f>
        <v/>
      </c>
      <c r="AP60" s="23">
        <f>IF(AG60="Liability|payable",-N(S60),0)+IF(AH60="Liability|payable",-N(T60),0)+IF(AI60="Liability|payable",N(AF60),0)+IF(AJ60="Liability|payable",N(AC60),0)+IF(AK60="Liability|payable",N(U60),0)</f>
        <v/>
      </c>
      <c r="AQ60" s="23">
        <f>IF(AG60="Liability|accrued",-N(S60),0)+IF(AH60="Liability|accrued",-N(T60),0)+IF(AI60="Liability|accrued",N(AF60),0)+IF(AJ60="Liability|accrued",N(AC60),0)+IF(AK60="Liability|accrued",N(U60),0)</f>
        <v/>
      </c>
      <c r="AR60" s="23">
        <f>IF(AND(N(S60)&lt;&gt;0,AG60=""),1,0)+IF(AND(N(T60)&lt;&gt;0,AH60=""),1,0)+IF(AND(N(AF60)&lt;&gt;0,AI60=""),1,0)+IF(AND(N(AC60)&lt;&gt;0,AJ60=""),1,0)+IF(AND(N(U60)&lt;&gt;0,AK60=""),1,0)</f>
        <v/>
      </c>
    </row>
    <row r="61">
      <c r="A61" s="19" t="n"/>
      <c r="B61" s="14" t="n"/>
      <c r="C61" s="14" t="n"/>
      <c r="D61" s="14" t="n"/>
      <c r="E61" s="14" t="n"/>
      <c r="F61" s="14" t="n"/>
      <c r="G61" s="14" t="n"/>
      <c r="H61" s="20" t="n"/>
      <c r="I61" s="14" t="n"/>
      <c r="J61" s="14" t="n"/>
      <c r="K61" s="20" t="n"/>
      <c r="L61" s="14" t="n"/>
      <c r="M61" s="14" t="n"/>
      <c r="N61" s="14" t="n"/>
      <c r="O61" s="14" t="n"/>
      <c r="P61" s="14" t="n"/>
      <c r="Q61" s="14" t="n"/>
      <c r="R61" s="14" t="n"/>
      <c r="S61" s="21">
        <f>ROUND(ABS(N(G61))*N(H61),2)</f>
        <v/>
      </c>
      <c r="T61" s="21">
        <f>IF(B61="Receipt",ROUND(S61*IFERROR(VLOOKUP(Q61,'Tax Codes'!$A$5:$E$300,5,FALSE),0),2),0)</f>
        <v/>
      </c>
      <c r="U61" s="21">
        <f>IF(B61="Receipt",ROUND(S61*IFERROR(VLOOKUP(R61,'Tax Codes'!$A$5:$E$300,5,FALSE),0),2),0)</f>
        <v/>
      </c>
      <c r="V61" s="16">
        <f>INDEX('Chart of Accounts'!$A$5:$A$3000,MATCH("vat_input",'Chart of Accounts'!$F$5:$F$3000,0))</f>
        <v/>
      </c>
      <c r="W61" s="16">
        <f>INDEX('Chart of Accounts'!$A$5:$A$3000,MATCH("wht_payable",'Chart of Accounts'!$F$5:$F$3000,0))</f>
        <v/>
      </c>
      <c r="X61" s="16">
        <f>IF(M61="",INDEX('Chart of Accounts'!$A$5:$A$3000,MATCH("bank",'Chart of Accounts'!$F$5:$F$3000,0)),M61&amp;"")</f>
        <v/>
      </c>
      <c r="Y61" s="16">
        <f>IF(N61="",INDEX('Chart of Accounts'!$A$5:$A$3000,MATCH("ap",'Chart of Accounts'!$F$5:$F$3000,0)),N61&amp;"")</f>
        <v/>
      </c>
      <c r="Z61" s="16">
        <f>IF(O61="",INDEX('Chart of Accounts'!$A$5:$A$3000,MATCH("materials",'Chart of Accounts'!$F$5:$F$3000,0)),O61&amp;"")</f>
        <v/>
      </c>
      <c r="AA61" s="16">
        <f>IF(IFERROR(INDEX(Warehouses!$C$5:$C$1000,MATCH(C61,Warehouses!$A$5:$A$1000,0))&amp;"","")="",INDEX('Chart of Accounts'!$A$5:$A$3000,MATCH("inventory",'Chart of Accounts'!$F$5:$F$3000,0)),IFERROR(INDEX(Warehouses!$C$5:$C$1000,MATCH(C61,Warehouses!$A$5:$A$1000,0))&amp;"",""))</f>
        <v/>
      </c>
      <c r="AB61" s="16">
        <f>IF(IFERROR(INDEX(Warehouses!$C$5:$C$1000,MATCH(D61,Warehouses!$A$5:$A$1000,0))&amp;"","")="",INDEX('Chart of Accounts'!$A$5:$A$3000,MATCH("inventory",'Chart of Accounts'!$F$5:$F$3000,0)),IFERROR(INDEX(Warehouses!$C$5:$C$1000,MATCH(D61,Warehouses!$A$5:$A$1000,0))&amp;"",""))</f>
        <v/>
      </c>
      <c r="AC61" s="21">
        <f>IF(B61="Receipt",N(K61),0)</f>
        <v/>
      </c>
      <c r="AD61" s="16">
        <f>IF(B61="Receipt",AA61,IF(B61="Issue",Z61,IF(B61="Transfer",AB61,IF(N(G61)&gt;=0,AA61,INDEX('Chart of Accounts'!$A$5:$A$3000,MATCH("stock_adjust",'Chart of Accounts'!$F$5:$F$3000,0))))))</f>
        <v/>
      </c>
      <c r="AE61" s="16">
        <f>IF(B61="Receipt",Y61,IF(B61="Adjustment",IF(N(G61)&gt;=0,INDEX('Chart of Accounts'!$A$5:$A$3000,MATCH("stock_adjust",'Chart of Accounts'!$F$5:$F$3000,0)),AA61),AA61))</f>
        <v/>
      </c>
      <c r="AF61" s="21">
        <f>S61+T61-U61-AC61</f>
        <v/>
      </c>
      <c r="AG61" s="23">
        <f>IFERROR(INDEX('Chart of Accounts'!$C$5:$C$3000,MATCH(AD61&amp;"",'Chart of Accounts'!$A$5:$A$3000,0))&amp;"|"&amp;INDEX('Chart of Accounts'!$D$5:$D$3000,MATCH(AD61&amp;"",'Chart of Accounts'!$A$5:$A$3000,0)),"")</f>
        <v/>
      </c>
      <c r="AH61" s="23">
        <f>IFERROR(INDEX('Chart of Accounts'!$C$5:$C$3000,MATCH(V61&amp;"",'Chart of Accounts'!$A$5:$A$3000,0))&amp;"|"&amp;INDEX('Chart of Accounts'!$D$5:$D$3000,MATCH(V61&amp;"",'Chart of Accounts'!$A$5:$A$3000,0)),"")</f>
        <v/>
      </c>
      <c r="AI61" s="23">
        <f>IFERROR(INDEX('Chart of Accounts'!$C$5:$C$3000,MATCH(AE61&amp;"",'Chart of Accounts'!$A$5:$A$3000,0))&amp;"|"&amp;INDEX('Chart of Accounts'!$D$5:$D$3000,MATCH(AE61&amp;"",'Chart of Accounts'!$A$5:$A$3000,0)),"")</f>
        <v/>
      </c>
      <c r="AJ61" s="23">
        <f>IFERROR(INDEX('Chart of Accounts'!$C$5:$C$3000,MATCH(X61&amp;"",'Chart of Accounts'!$A$5:$A$3000,0))&amp;"|"&amp;INDEX('Chart of Accounts'!$D$5:$D$3000,MATCH(X61&amp;"",'Chart of Accounts'!$A$5:$A$3000,0)),"")</f>
        <v/>
      </c>
      <c r="AK61" s="23">
        <f>IFERROR(INDEX('Chart of Accounts'!$C$5:$C$3000,MATCH(W61&amp;"",'Chart of Accounts'!$A$5:$A$3000,0))&amp;"|"&amp;INDEX('Chart of Accounts'!$D$5:$D$3000,MATCH(W61&amp;"",'Chart of Accounts'!$A$5:$A$3000,0)),"")</f>
        <v/>
      </c>
      <c r="AL61" s="23">
        <f>IF(LEFT(AG61,8)="Revenue|",-N(S61),0)+IF(LEFT(AH61,8)="Revenue|",-N(T61),0)+IF(LEFT(AI61,8)="Revenue|",N(AF61),0)+IF(LEFT(AJ61,8)="Revenue|",N(AC61),0)+IF(LEFT(AK61,8)="Revenue|",N(U61),0)</f>
        <v/>
      </c>
      <c r="AM61" s="23">
        <f>IF(LEFT(AG61,5)="COGS|",N(S61),0)+IF(LEFT(AH61,5)="COGS|",N(T61),0)+IF(LEFT(AI61,5)="COGS|",-N(AF61),0)+IF(LEFT(AJ61,5)="COGS|",-N(AC61),0)+IF(LEFT(AK61,5)="COGS|",-N(U61),0)</f>
        <v/>
      </c>
      <c r="AN61" s="23">
        <f>IF(LEFT(AG61,8)="Expense|",N(S61),0)+IF(LEFT(AH61,8)="Expense|",N(T61),0)+IF(LEFT(AI61,8)="Expense|",-N(AF61),0)+IF(LEFT(AJ61,8)="Expense|",-N(AC61),0)+IF(LEFT(AK61,8)="Expense|",-N(U61),0)</f>
        <v/>
      </c>
      <c r="AO61" s="23">
        <f>IF(ISNUMBER(MATCH(AG61,{"Expense|employee","Expense|general_admin","Expense|marketing","Expense|utilities","Expense|other_operating"},0)),N(S61),0)+IF(ISNUMBER(MATCH(AH61,{"Expense|employee","Expense|general_admin","Expense|marketing","Expense|utilities","Expense|other_operating"},0)),N(T61),0)+IF(ISNUMBER(MATCH(AI61,{"Expense|employee","Expense|general_admin","Expense|marketing","Expense|utilities","Expense|other_operating"},0)),-N(AF61),0)+IF(ISNUMBER(MATCH(AJ61,{"Expense|employee","Expense|general_admin","Expense|marketing","Expense|utilities","Expense|other_operating"},0)),-N(AC61),0)+IF(ISNUMBER(MATCH(AK61,{"Expense|employee","Expense|general_admin","Expense|marketing","Expense|utilities","Expense|other_operating"},0)),-N(U61),0)</f>
        <v/>
      </c>
      <c r="AP61" s="23">
        <f>IF(AG61="Liability|payable",-N(S61),0)+IF(AH61="Liability|payable",-N(T61),0)+IF(AI61="Liability|payable",N(AF61),0)+IF(AJ61="Liability|payable",N(AC61),0)+IF(AK61="Liability|payable",N(U61),0)</f>
        <v/>
      </c>
      <c r="AQ61" s="23">
        <f>IF(AG61="Liability|accrued",-N(S61),0)+IF(AH61="Liability|accrued",-N(T61),0)+IF(AI61="Liability|accrued",N(AF61),0)+IF(AJ61="Liability|accrued",N(AC61),0)+IF(AK61="Liability|accrued",N(U61),0)</f>
        <v/>
      </c>
      <c r="AR61" s="23">
        <f>IF(AND(N(S61)&lt;&gt;0,AG61=""),1,0)+IF(AND(N(T61)&lt;&gt;0,AH61=""),1,0)+IF(AND(N(AF61)&lt;&gt;0,AI61=""),1,0)+IF(AND(N(AC61)&lt;&gt;0,AJ61=""),1,0)+IF(AND(N(U61)&lt;&gt;0,AK61=""),1,0)</f>
        <v/>
      </c>
    </row>
    <row r="62">
      <c r="A62" s="19" t="n"/>
      <c r="B62" s="14" t="n"/>
      <c r="C62" s="14" t="n"/>
      <c r="D62" s="14" t="n"/>
      <c r="E62" s="14" t="n"/>
      <c r="F62" s="14" t="n"/>
      <c r="G62" s="14" t="n"/>
      <c r="H62" s="20" t="n"/>
      <c r="I62" s="14" t="n"/>
      <c r="J62" s="14" t="n"/>
      <c r="K62" s="20" t="n"/>
      <c r="L62" s="14" t="n"/>
      <c r="M62" s="14" t="n"/>
      <c r="N62" s="14" t="n"/>
      <c r="O62" s="14" t="n"/>
      <c r="P62" s="14" t="n"/>
      <c r="Q62" s="14" t="n"/>
      <c r="R62" s="14" t="n"/>
      <c r="S62" s="21">
        <f>ROUND(ABS(N(G62))*N(H62),2)</f>
        <v/>
      </c>
      <c r="T62" s="21">
        <f>IF(B62="Receipt",ROUND(S62*IFERROR(VLOOKUP(Q62,'Tax Codes'!$A$5:$E$300,5,FALSE),0),2),0)</f>
        <v/>
      </c>
      <c r="U62" s="21">
        <f>IF(B62="Receipt",ROUND(S62*IFERROR(VLOOKUP(R62,'Tax Codes'!$A$5:$E$300,5,FALSE),0),2),0)</f>
        <v/>
      </c>
      <c r="V62" s="16">
        <f>INDEX('Chart of Accounts'!$A$5:$A$3000,MATCH("vat_input",'Chart of Accounts'!$F$5:$F$3000,0))</f>
        <v/>
      </c>
      <c r="W62" s="16">
        <f>INDEX('Chart of Accounts'!$A$5:$A$3000,MATCH("wht_payable",'Chart of Accounts'!$F$5:$F$3000,0))</f>
        <v/>
      </c>
      <c r="X62" s="16">
        <f>IF(M62="",INDEX('Chart of Accounts'!$A$5:$A$3000,MATCH("bank",'Chart of Accounts'!$F$5:$F$3000,0)),M62&amp;"")</f>
        <v/>
      </c>
      <c r="Y62" s="16">
        <f>IF(N62="",INDEX('Chart of Accounts'!$A$5:$A$3000,MATCH("ap",'Chart of Accounts'!$F$5:$F$3000,0)),N62&amp;"")</f>
        <v/>
      </c>
      <c r="Z62" s="16">
        <f>IF(O62="",INDEX('Chart of Accounts'!$A$5:$A$3000,MATCH("materials",'Chart of Accounts'!$F$5:$F$3000,0)),O62&amp;"")</f>
        <v/>
      </c>
      <c r="AA62" s="16">
        <f>IF(IFERROR(INDEX(Warehouses!$C$5:$C$1000,MATCH(C62,Warehouses!$A$5:$A$1000,0))&amp;"","")="",INDEX('Chart of Accounts'!$A$5:$A$3000,MATCH("inventory",'Chart of Accounts'!$F$5:$F$3000,0)),IFERROR(INDEX(Warehouses!$C$5:$C$1000,MATCH(C62,Warehouses!$A$5:$A$1000,0))&amp;"",""))</f>
        <v/>
      </c>
      <c r="AB62" s="16">
        <f>IF(IFERROR(INDEX(Warehouses!$C$5:$C$1000,MATCH(D62,Warehouses!$A$5:$A$1000,0))&amp;"","")="",INDEX('Chart of Accounts'!$A$5:$A$3000,MATCH("inventory",'Chart of Accounts'!$F$5:$F$3000,0)),IFERROR(INDEX(Warehouses!$C$5:$C$1000,MATCH(D62,Warehouses!$A$5:$A$1000,0))&amp;"",""))</f>
        <v/>
      </c>
      <c r="AC62" s="21">
        <f>IF(B62="Receipt",N(K62),0)</f>
        <v/>
      </c>
      <c r="AD62" s="16">
        <f>IF(B62="Receipt",AA62,IF(B62="Issue",Z62,IF(B62="Transfer",AB62,IF(N(G62)&gt;=0,AA62,INDEX('Chart of Accounts'!$A$5:$A$3000,MATCH("stock_adjust",'Chart of Accounts'!$F$5:$F$3000,0))))))</f>
        <v/>
      </c>
      <c r="AE62" s="16">
        <f>IF(B62="Receipt",Y62,IF(B62="Adjustment",IF(N(G62)&gt;=0,INDEX('Chart of Accounts'!$A$5:$A$3000,MATCH("stock_adjust",'Chart of Accounts'!$F$5:$F$3000,0)),AA62),AA62))</f>
        <v/>
      </c>
      <c r="AF62" s="21">
        <f>S62+T62-U62-AC62</f>
        <v/>
      </c>
      <c r="AG62" s="23">
        <f>IFERROR(INDEX('Chart of Accounts'!$C$5:$C$3000,MATCH(AD62&amp;"",'Chart of Accounts'!$A$5:$A$3000,0))&amp;"|"&amp;INDEX('Chart of Accounts'!$D$5:$D$3000,MATCH(AD62&amp;"",'Chart of Accounts'!$A$5:$A$3000,0)),"")</f>
        <v/>
      </c>
      <c r="AH62" s="23">
        <f>IFERROR(INDEX('Chart of Accounts'!$C$5:$C$3000,MATCH(V62&amp;"",'Chart of Accounts'!$A$5:$A$3000,0))&amp;"|"&amp;INDEX('Chart of Accounts'!$D$5:$D$3000,MATCH(V62&amp;"",'Chart of Accounts'!$A$5:$A$3000,0)),"")</f>
        <v/>
      </c>
      <c r="AI62" s="23">
        <f>IFERROR(INDEX('Chart of Accounts'!$C$5:$C$3000,MATCH(AE62&amp;"",'Chart of Accounts'!$A$5:$A$3000,0))&amp;"|"&amp;INDEX('Chart of Accounts'!$D$5:$D$3000,MATCH(AE62&amp;"",'Chart of Accounts'!$A$5:$A$3000,0)),"")</f>
        <v/>
      </c>
      <c r="AJ62" s="23">
        <f>IFERROR(INDEX('Chart of Accounts'!$C$5:$C$3000,MATCH(X62&amp;"",'Chart of Accounts'!$A$5:$A$3000,0))&amp;"|"&amp;INDEX('Chart of Accounts'!$D$5:$D$3000,MATCH(X62&amp;"",'Chart of Accounts'!$A$5:$A$3000,0)),"")</f>
        <v/>
      </c>
      <c r="AK62" s="23">
        <f>IFERROR(INDEX('Chart of Accounts'!$C$5:$C$3000,MATCH(W62&amp;"",'Chart of Accounts'!$A$5:$A$3000,0))&amp;"|"&amp;INDEX('Chart of Accounts'!$D$5:$D$3000,MATCH(W62&amp;"",'Chart of Accounts'!$A$5:$A$3000,0)),"")</f>
        <v/>
      </c>
      <c r="AL62" s="23">
        <f>IF(LEFT(AG62,8)="Revenue|",-N(S62),0)+IF(LEFT(AH62,8)="Revenue|",-N(T62),0)+IF(LEFT(AI62,8)="Revenue|",N(AF62),0)+IF(LEFT(AJ62,8)="Revenue|",N(AC62),0)+IF(LEFT(AK62,8)="Revenue|",N(U62),0)</f>
        <v/>
      </c>
      <c r="AM62" s="23">
        <f>IF(LEFT(AG62,5)="COGS|",N(S62),0)+IF(LEFT(AH62,5)="COGS|",N(T62),0)+IF(LEFT(AI62,5)="COGS|",-N(AF62),0)+IF(LEFT(AJ62,5)="COGS|",-N(AC62),0)+IF(LEFT(AK62,5)="COGS|",-N(U62),0)</f>
        <v/>
      </c>
      <c r="AN62" s="23">
        <f>IF(LEFT(AG62,8)="Expense|",N(S62),0)+IF(LEFT(AH62,8)="Expense|",N(T62),0)+IF(LEFT(AI62,8)="Expense|",-N(AF62),0)+IF(LEFT(AJ62,8)="Expense|",-N(AC62),0)+IF(LEFT(AK62,8)="Expense|",-N(U62),0)</f>
        <v/>
      </c>
      <c r="AO62" s="23">
        <f>IF(ISNUMBER(MATCH(AG62,{"Expense|employee","Expense|general_admin","Expense|marketing","Expense|utilities","Expense|other_operating"},0)),N(S62),0)+IF(ISNUMBER(MATCH(AH62,{"Expense|employee","Expense|general_admin","Expense|marketing","Expense|utilities","Expense|other_operating"},0)),N(T62),0)+IF(ISNUMBER(MATCH(AI62,{"Expense|employee","Expense|general_admin","Expense|marketing","Expense|utilities","Expense|other_operating"},0)),-N(AF62),0)+IF(ISNUMBER(MATCH(AJ62,{"Expense|employee","Expense|general_admin","Expense|marketing","Expense|utilities","Expense|other_operating"},0)),-N(AC62),0)+IF(ISNUMBER(MATCH(AK62,{"Expense|employee","Expense|general_admin","Expense|marketing","Expense|utilities","Expense|other_operating"},0)),-N(U62),0)</f>
        <v/>
      </c>
      <c r="AP62" s="23">
        <f>IF(AG62="Liability|payable",-N(S62),0)+IF(AH62="Liability|payable",-N(T62),0)+IF(AI62="Liability|payable",N(AF62),0)+IF(AJ62="Liability|payable",N(AC62),0)+IF(AK62="Liability|payable",N(U62),0)</f>
        <v/>
      </c>
      <c r="AQ62" s="23">
        <f>IF(AG62="Liability|accrued",-N(S62),0)+IF(AH62="Liability|accrued",-N(T62),0)+IF(AI62="Liability|accrued",N(AF62),0)+IF(AJ62="Liability|accrued",N(AC62),0)+IF(AK62="Liability|accrued",N(U62),0)</f>
        <v/>
      </c>
      <c r="AR62" s="23">
        <f>IF(AND(N(S62)&lt;&gt;0,AG62=""),1,0)+IF(AND(N(T62)&lt;&gt;0,AH62=""),1,0)+IF(AND(N(AF62)&lt;&gt;0,AI62=""),1,0)+IF(AND(N(AC62)&lt;&gt;0,AJ62=""),1,0)+IF(AND(N(U62)&lt;&gt;0,AK62=""),1,0)</f>
        <v/>
      </c>
    </row>
    <row r="63">
      <c r="A63" s="19" t="n"/>
      <c r="B63" s="14" t="n"/>
      <c r="C63" s="14" t="n"/>
      <c r="D63" s="14" t="n"/>
      <c r="E63" s="14" t="n"/>
      <c r="F63" s="14" t="n"/>
      <c r="G63" s="14" t="n"/>
      <c r="H63" s="20" t="n"/>
      <c r="I63" s="14" t="n"/>
      <c r="J63" s="14" t="n"/>
      <c r="K63" s="20" t="n"/>
      <c r="L63" s="14" t="n"/>
      <c r="M63" s="14" t="n"/>
      <c r="N63" s="14" t="n"/>
      <c r="O63" s="14" t="n"/>
      <c r="P63" s="14" t="n"/>
      <c r="Q63" s="14" t="n"/>
      <c r="R63" s="14" t="n"/>
      <c r="S63" s="21">
        <f>ROUND(ABS(N(G63))*N(H63),2)</f>
        <v/>
      </c>
      <c r="T63" s="21">
        <f>IF(B63="Receipt",ROUND(S63*IFERROR(VLOOKUP(Q63,'Tax Codes'!$A$5:$E$300,5,FALSE),0),2),0)</f>
        <v/>
      </c>
      <c r="U63" s="21">
        <f>IF(B63="Receipt",ROUND(S63*IFERROR(VLOOKUP(R63,'Tax Codes'!$A$5:$E$300,5,FALSE),0),2),0)</f>
        <v/>
      </c>
      <c r="V63" s="16">
        <f>INDEX('Chart of Accounts'!$A$5:$A$3000,MATCH("vat_input",'Chart of Accounts'!$F$5:$F$3000,0))</f>
        <v/>
      </c>
      <c r="W63" s="16">
        <f>INDEX('Chart of Accounts'!$A$5:$A$3000,MATCH("wht_payable",'Chart of Accounts'!$F$5:$F$3000,0))</f>
        <v/>
      </c>
      <c r="X63" s="16">
        <f>IF(M63="",INDEX('Chart of Accounts'!$A$5:$A$3000,MATCH("bank",'Chart of Accounts'!$F$5:$F$3000,0)),M63&amp;"")</f>
        <v/>
      </c>
      <c r="Y63" s="16">
        <f>IF(N63="",INDEX('Chart of Accounts'!$A$5:$A$3000,MATCH("ap",'Chart of Accounts'!$F$5:$F$3000,0)),N63&amp;"")</f>
        <v/>
      </c>
      <c r="Z63" s="16">
        <f>IF(O63="",INDEX('Chart of Accounts'!$A$5:$A$3000,MATCH("materials",'Chart of Accounts'!$F$5:$F$3000,0)),O63&amp;"")</f>
        <v/>
      </c>
      <c r="AA63" s="16">
        <f>IF(IFERROR(INDEX(Warehouses!$C$5:$C$1000,MATCH(C63,Warehouses!$A$5:$A$1000,0))&amp;"","")="",INDEX('Chart of Accounts'!$A$5:$A$3000,MATCH("inventory",'Chart of Accounts'!$F$5:$F$3000,0)),IFERROR(INDEX(Warehouses!$C$5:$C$1000,MATCH(C63,Warehouses!$A$5:$A$1000,0))&amp;"",""))</f>
        <v/>
      </c>
      <c r="AB63" s="16">
        <f>IF(IFERROR(INDEX(Warehouses!$C$5:$C$1000,MATCH(D63,Warehouses!$A$5:$A$1000,0))&amp;"","")="",INDEX('Chart of Accounts'!$A$5:$A$3000,MATCH("inventory",'Chart of Accounts'!$F$5:$F$3000,0)),IFERROR(INDEX(Warehouses!$C$5:$C$1000,MATCH(D63,Warehouses!$A$5:$A$1000,0))&amp;"",""))</f>
        <v/>
      </c>
      <c r="AC63" s="21">
        <f>IF(B63="Receipt",N(K63),0)</f>
        <v/>
      </c>
      <c r="AD63" s="16">
        <f>IF(B63="Receipt",AA63,IF(B63="Issue",Z63,IF(B63="Transfer",AB63,IF(N(G63)&gt;=0,AA63,INDEX('Chart of Accounts'!$A$5:$A$3000,MATCH("stock_adjust",'Chart of Accounts'!$F$5:$F$3000,0))))))</f>
        <v/>
      </c>
      <c r="AE63" s="16">
        <f>IF(B63="Receipt",Y63,IF(B63="Adjustment",IF(N(G63)&gt;=0,INDEX('Chart of Accounts'!$A$5:$A$3000,MATCH("stock_adjust",'Chart of Accounts'!$F$5:$F$3000,0)),AA63),AA63))</f>
        <v/>
      </c>
      <c r="AF63" s="21">
        <f>S63+T63-U63-AC63</f>
        <v/>
      </c>
      <c r="AG63" s="23">
        <f>IFERROR(INDEX('Chart of Accounts'!$C$5:$C$3000,MATCH(AD63&amp;"",'Chart of Accounts'!$A$5:$A$3000,0))&amp;"|"&amp;INDEX('Chart of Accounts'!$D$5:$D$3000,MATCH(AD63&amp;"",'Chart of Accounts'!$A$5:$A$3000,0)),"")</f>
        <v/>
      </c>
      <c r="AH63" s="23">
        <f>IFERROR(INDEX('Chart of Accounts'!$C$5:$C$3000,MATCH(V63&amp;"",'Chart of Accounts'!$A$5:$A$3000,0))&amp;"|"&amp;INDEX('Chart of Accounts'!$D$5:$D$3000,MATCH(V63&amp;"",'Chart of Accounts'!$A$5:$A$3000,0)),"")</f>
        <v/>
      </c>
      <c r="AI63" s="23">
        <f>IFERROR(INDEX('Chart of Accounts'!$C$5:$C$3000,MATCH(AE63&amp;"",'Chart of Accounts'!$A$5:$A$3000,0))&amp;"|"&amp;INDEX('Chart of Accounts'!$D$5:$D$3000,MATCH(AE63&amp;"",'Chart of Accounts'!$A$5:$A$3000,0)),"")</f>
        <v/>
      </c>
      <c r="AJ63" s="23">
        <f>IFERROR(INDEX('Chart of Accounts'!$C$5:$C$3000,MATCH(X63&amp;"",'Chart of Accounts'!$A$5:$A$3000,0))&amp;"|"&amp;INDEX('Chart of Accounts'!$D$5:$D$3000,MATCH(X63&amp;"",'Chart of Accounts'!$A$5:$A$3000,0)),"")</f>
        <v/>
      </c>
      <c r="AK63" s="23">
        <f>IFERROR(INDEX('Chart of Accounts'!$C$5:$C$3000,MATCH(W63&amp;"",'Chart of Accounts'!$A$5:$A$3000,0))&amp;"|"&amp;INDEX('Chart of Accounts'!$D$5:$D$3000,MATCH(W63&amp;"",'Chart of Accounts'!$A$5:$A$3000,0)),"")</f>
        <v/>
      </c>
      <c r="AL63" s="23">
        <f>IF(LEFT(AG63,8)="Revenue|",-N(S63),0)+IF(LEFT(AH63,8)="Revenue|",-N(T63),0)+IF(LEFT(AI63,8)="Revenue|",N(AF63),0)+IF(LEFT(AJ63,8)="Revenue|",N(AC63),0)+IF(LEFT(AK63,8)="Revenue|",N(U63),0)</f>
        <v/>
      </c>
      <c r="AM63" s="23">
        <f>IF(LEFT(AG63,5)="COGS|",N(S63),0)+IF(LEFT(AH63,5)="COGS|",N(T63),0)+IF(LEFT(AI63,5)="COGS|",-N(AF63),0)+IF(LEFT(AJ63,5)="COGS|",-N(AC63),0)+IF(LEFT(AK63,5)="COGS|",-N(U63),0)</f>
        <v/>
      </c>
      <c r="AN63" s="23">
        <f>IF(LEFT(AG63,8)="Expense|",N(S63),0)+IF(LEFT(AH63,8)="Expense|",N(T63),0)+IF(LEFT(AI63,8)="Expense|",-N(AF63),0)+IF(LEFT(AJ63,8)="Expense|",-N(AC63),0)+IF(LEFT(AK63,8)="Expense|",-N(U63),0)</f>
        <v/>
      </c>
      <c r="AO63" s="23">
        <f>IF(ISNUMBER(MATCH(AG63,{"Expense|employee","Expense|general_admin","Expense|marketing","Expense|utilities","Expense|other_operating"},0)),N(S63),0)+IF(ISNUMBER(MATCH(AH63,{"Expense|employee","Expense|general_admin","Expense|marketing","Expense|utilities","Expense|other_operating"},0)),N(T63),0)+IF(ISNUMBER(MATCH(AI63,{"Expense|employee","Expense|general_admin","Expense|marketing","Expense|utilities","Expense|other_operating"},0)),-N(AF63),0)+IF(ISNUMBER(MATCH(AJ63,{"Expense|employee","Expense|general_admin","Expense|marketing","Expense|utilities","Expense|other_operating"},0)),-N(AC63),0)+IF(ISNUMBER(MATCH(AK63,{"Expense|employee","Expense|general_admin","Expense|marketing","Expense|utilities","Expense|other_operating"},0)),-N(U63),0)</f>
        <v/>
      </c>
      <c r="AP63" s="23">
        <f>IF(AG63="Liability|payable",-N(S63),0)+IF(AH63="Liability|payable",-N(T63),0)+IF(AI63="Liability|payable",N(AF63),0)+IF(AJ63="Liability|payable",N(AC63),0)+IF(AK63="Liability|payable",N(U63),0)</f>
        <v/>
      </c>
      <c r="AQ63" s="23">
        <f>IF(AG63="Liability|accrued",-N(S63),0)+IF(AH63="Liability|accrued",-N(T63),0)+IF(AI63="Liability|accrued",N(AF63),0)+IF(AJ63="Liability|accrued",N(AC63),0)+IF(AK63="Liability|accrued",N(U63),0)</f>
        <v/>
      </c>
      <c r="AR63" s="23">
        <f>IF(AND(N(S63)&lt;&gt;0,AG63=""),1,0)+IF(AND(N(T63)&lt;&gt;0,AH63=""),1,0)+IF(AND(N(AF63)&lt;&gt;0,AI63=""),1,0)+IF(AND(N(AC63)&lt;&gt;0,AJ63=""),1,0)+IF(AND(N(U63)&lt;&gt;0,AK63=""),1,0)</f>
        <v/>
      </c>
    </row>
    <row r="64">
      <c r="A64" s="19" t="n"/>
      <c r="B64" s="14" t="n"/>
      <c r="C64" s="14" t="n"/>
      <c r="D64" s="14" t="n"/>
      <c r="E64" s="14" t="n"/>
      <c r="F64" s="14" t="n"/>
      <c r="G64" s="14" t="n"/>
      <c r="H64" s="20" t="n"/>
      <c r="I64" s="14" t="n"/>
      <c r="J64" s="14" t="n"/>
      <c r="K64" s="20" t="n"/>
      <c r="L64" s="14" t="n"/>
      <c r="M64" s="14" t="n"/>
      <c r="N64" s="14" t="n"/>
      <c r="O64" s="14" t="n"/>
      <c r="P64" s="14" t="n"/>
      <c r="Q64" s="14" t="n"/>
      <c r="R64" s="14" t="n"/>
      <c r="S64" s="21">
        <f>ROUND(ABS(N(G64))*N(H64),2)</f>
        <v/>
      </c>
      <c r="T64" s="21">
        <f>IF(B64="Receipt",ROUND(S64*IFERROR(VLOOKUP(Q64,'Tax Codes'!$A$5:$E$300,5,FALSE),0),2),0)</f>
        <v/>
      </c>
      <c r="U64" s="21">
        <f>IF(B64="Receipt",ROUND(S64*IFERROR(VLOOKUP(R64,'Tax Codes'!$A$5:$E$300,5,FALSE),0),2),0)</f>
        <v/>
      </c>
      <c r="V64" s="16">
        <f>INDEX('Chart of Accounts'!$A$5:$A$3000,MATCH("vat_input",'Chart of Accounts'!$F$5:$F$3000,0))</f>
        <v/>
      </c>
      <c r="W64" s="16">
        <f>INDEX('Chart of Accounts'!$A$5:$A$3000,MATCH("wht_payable",'Chart of Accounts'!$F$5:$F$3000,0))</f>
        <v/>
      </c>
      <c r="X64" s="16">
        <f>IF(M64="",INDEX('Chart of Accounts'!$A$5:$A$3000,MATCH("bank",'Chart of Accounts'!$F$5:$F$3000,0)),M64&amp;"")</f>
        <v/>
      </c>
      <c r="Y64" s="16">
        <f>IF(N64="",INDEX('Chart of Accounts'!$A$5:$A$3000,MATCH("ap",'Chart of Accounts'!$F$5:$F$3000,0)),N64&amp;"")</f>
        <v/>
      </c>
      <c r="Z64" s="16">
        <f>IF(O64="",INDEX('Chart of Accounts'!$A$5:$A$3000,MATCH("materials",'Chart of Accounts'!$F$5:$F$3000,0)),O64&amp;"")</f>
        <v/>
      </c>
      <c r="AA64" s="16">
        <f>IF(IFERROR(INDEX(Warehouses!$C$5:$C$1000,MATCH(C64,Warehouses!$A$5:$A$1000,0))&amp;"","")="",INDEX('Chart of Accounts'!$A$5:$A$3000,MATCH("inventory",'Chart of Accounts'!$F$5:$F$3000,0)),IFERROR(INDEX(Warehouses!$C$5:$C$1000,MATCH(C64,Warehouses!$A$5:$A$1000,0))&amp;"",""))</f>
        <v/>
      </c>
      <c r="AB64" s="16">
        <f>IF(IFERROR(INDEX(Warehouses!$C$5:$C$1000,MATCH(D64,Warehouses!$A$5:$A$1000,0))&amp;"","")="",INDEX('Chart of Accounts'!$A$5:$A$3000,MATCH("inventory",'Chart of Accounts'!$F$5:$F$3000,0)),IFERROR(INDEX(Warehouses!$C$5:$C$1000,MATCH(D64,Warehouses!$A$5:$A$1000,0))&amp;"",""))</f>
        <v/>
      </c>
      <c r="AC64" s="21">
        <f>IF(B64="Receipt",N(K64),0)</f>
        <v/>
      </c>
      <c r="AD64" s="16">
        <f>IF(B64="Receipt",AA64,IF(B64="Issue",Z64,IF(B64="Transfer",AB64,IF(N(G64)&gt;=0,AA64,INDEX('Chart of Accounts'!$A$5:$A$3000,MATCH("stock_adjust",'Chart of Accounts'!$F$5:$F$3000,0))))))</f>
        <v/>
      </c>
      <c r="AE64" s="16">
        <f>IF(B64="Receipt",Y64,IF(B64="Adjustment",IF(N(G64)&gt;=0,INDEX('Chart of Accounts'!$A$5:$A$3000,MATCH("stock_adjust",'Chart of Accounts'!$F$5:$F$3000,0)),AA64),AA64))</f>
        <v/>
      </c>
      <c r="AF64" s="21">
        <f>S64+T64-U64-AC64</f>
        <v/>
      </c>
      <c r="AG64" s="23">
        <f>IFERROR(INDEX('Chart of Accounts'!$C$5:$C$3000,MATCH(AD64&amp;"",'Chart of Accounts'!$A$5:$A$3000,0))&amp;"|"&amp;INDEX('Chart of Accounts'!$D$5:$D$3000,MATCH(AD64&amp;"",'Chart of Accounts'!$A$5:$A$3000,0)),"")</f>
        <v/>
      </c>
      <c r="AH64" s="23">
        <f>IFERROR(INDEX('Chart of Accounts'!$C$5:$C$3000,MATCH(V64&amp;"",'Chart of Accounts'!$A$5:$A$3000,0))&amp;"|"&amp;INDEX('Chart of Accounts'!$D$5:$D$3000,MATCH(V64&amp;"",'Chart of Accounts'!$A$5:$A$3000,0)),"")</f>
        <v/>
      </c>
      <c r="AI64" s="23">
        <f>IFERROR(INDEX('Chart of Accounts'!$C$5:$C$3000,MATCH(AE64&amp;"",'Chart of Accounts'!$A$5:$A$3000,0))&amp;"|"&amp;INDEX('Chart of Accounts'!$D$5:$D$3000,MATCH(AE64&amp;"",'Chart of Accounts'!$A$5:$A$3000,0)),"")</f>
        <v/>
      </c>
      <c r="AJ64" s="23">
        <f>IFERROR(INDEX('Chart of Accounts'!$C$5:$C$3000,MATCH(X64&amp;"",'Chart of Accounts'!$A$5:$A$3000,0))&amp;"|"&amp;INDEX('Chart of Accounts'!$D$5:$D$3000,MATCH(X64&amp;"",'Chart of Accounts'!$A$5:$A$3000,0)),"")</f>
        <v/>
      </c>
      <c r="AK64" s="23">
        <f>IFERROR(INDEX('Chart of Accounts'!$C$5:$C$3000,MATCH(W64&amp;"",'Chart of Accounts'!$A$5:$A$3000,0))&amp;"|"&amp;INDEX('Chart of Accounts'!$D$5:$D$3000,MATCH(W64&amp;"",'Chart of Accounts'!$A$5:$A$3000,0)),"")</f>
        <v/>
      </c>
      <c r="AL64" s="23">
        <f>IF(LEFT(AG64,8)="Revenue|",-N(S64),0)+IF(LEFT(AH64,8)="Revenue|",-N(T64),0)+IF(LEFT(AI64,8)="Revenue|",N(AF64),0)+IF(LEFT(AJ64,8)="Revenue|",N(AC64),0)+IF(LEFT(AK64,8)="Revenue|",N(U64),0)</f>
        <v/>
      </c>
      <c r="AM64" s="23">
        <f>IF(LEFT(AG64,5)="COGS|",N(S64),0)+IF(LEFT(AH64,5)="COGS|",N(T64),0)+IF(LEFT(AI64,5)="COGS|",-N(AF64),0)+IF(LEFT(AJ64,5)="COGS|",-N(AC64),0)+IF(LEFT(AK64,5)="COGS|",-N(U64),0)</f>
        <v/>
      </c>
      <c r="AN64" s="23">
        <f>IF(LEFT(AG64,8)="Expense|",N(S64),0)+IF(LEFT(AH64,8)="Expense|",N(T64),0)+IF(LEFT(AI64,8)="Expense|",-N(AF64),0)+IF(LEFT(AJ64,8)="Expense|",-N(AC64),0)+IF(LEFT(AK64,8)="Expense|",-N(U64),0)</f>
        <v/>
      </c>
      <c r="AO64" s="23">
        <f>IF(ISNUMBER(MATCH(AG64,{"Expense|employee","Expense|general_admin","Expense|marketing","Expense|utilities","Expense|other_operating"},0)),N(S64),0)+IF(ISNUMBER(MATCH(AH64,{"Expense|employee","Expense|general_admin","Expense|marketing","Expense|utilities","Expense|other_operating"},0)),N(T64),0)+IF(ISNUMBER(MATCH(AI64,{"Expense|employee","Expense|general_admin","Expense|marketing","Expense|utilities","Expense|other_operating"},0)),-N(AF64),0)+IF(ISNUMBER(MATCH(AJ64,{"Expense|employee","Expense|general_admin","Expense|marketing","Expense|utilities","Expense|other_operating"},0)),-N(AC64),0)+IF(ISNUMBER(MATCH(AK64,{"Expense|employee","Expense|general_admin","Expense|marketing","Expense|utilities","Expense|other_operating"},0)),-N(U64),0)</f>
        <v/>
      </c>
      <c r="AP64" s="23">
        <f>IF(AG64="Liability|payable",-N(S64),0)+IF(AH64="Liability|payable",-N(T64),0)+IF(AI64="Liability|payable",N(AF64),0)+IF(AJ64="Liability|payable",N(AC64),0)+IF(AK64="Liability|payable",N(U64),0)</f>
        <v/>
      </c>
      <c r="AQ64" s="23">
        <f>IF(AG64="Liability|accrued",-N(S64),0)+IF(AH64="Liability|accrued",-N(T64),0)+IF(AI64="Liability|accrued",N(AF64),0)+IF(AJ64="Liability|accrued",N(AC64),0)+IF(AK64="Liability|accrued",N(U64),0)</f>
        <v/>
      </c>
      <c r="AR64" s="23">
        <f>IF(AND(N(S64)&lt;&gt;0,AG64=""),1,0)+IF(AND(N(T64)&lt;&gt;0,AH64=""),1,0)+IF(AND(N(AF64)&lt;&gt;0,AI64=""),1,0)+IF(AND(N(AC64)&lt;&gt;0,AJ64=""),1,0)+IF(AND(N(U64)&lt;&gt;0,AK64=""),1,0)</f>
        <v/>
      </c>
    </row>
    <row r="65">
      <c r="A65" s="19" t="n"/>
      <c r="B65" s="14" t="n"/>
      <c r="C65" s="14" t="n"/>
      <c r="D65" s="14" t="n"/>
      <c r="E65" s="14" t="n"/>
      <c r="F65" s="14" t="n"/>
      <c r="G65" s="14" t="n"/>
      <c r="H65" s="20" t="n"/>
      <c r="I65" s="14" t="n"/>
      <c r="J65" s="14" t="n"/>
      <c r="K65" s="20" t="n"/>
      <c r="L65" s="14" t="n"/>
      <c r="M65" s="14" t="n"/>
      <c r="N65" s="14" t="n"/>
      <c r="O65" s="14" t="n"/>
      <c r="P65" s="14" t="n"/>
      <c r="Q65" s="14" t="n"/>
      <c r="R65" s="14" t="n"/>
      <c r="S65" s="21">
        <f>ROUND(ABS(N(G65))*N(H65),2)</f>
        <v/>
      </c>
      <c r="T65" s="21">
        <f>IF(B65="Receipt",ROUND(S65*IFERROR(VLOOKUP(Q65,'Tax Codes'!$A$5:$E$300,5,FALSE),0),2),0)</f>
        <v/>
      </c>
      <c r="U65" s="21">
        <f>IF(B65="Receipt",ROUND(S65*IFERROR(VLOOKUP(R65,'Tax Codes'!$A$5:$E$300,5,FALSE),0),2),0)</f>
        <v/>
      </c>
      <c r="V65" s="16">
        <f>INDEX('Chart of Accounts'!$A$5:$A$3000,MATCH("vat_input",'Chart of Accounts'!$F$5:$F$3000,0))</f>
        <v/>
      </c>
      <c r="W65" s="16">
        <f>INDEX('Chart of Accounts'!$A$5:$A$3000,MATCH("wht_payable",'Chart of Accounts'!$F$5:$F$3000,0))</f>
        <v/>
      </c>
      <c r="X65" s="16">
        <f>IF(M65="",INDEX('Chart of Accounts'!$A$5:$A$3000,MATCH("bank",'Chart of Accounts'!$F$5:$F$3000,0)),M65&amp;"")</f>
        <v/>
      </c>
      <c r="Y65" s="16">
        <f>IF(N65="",INDEX('Chart of Accounts'!$A$5:$A$3000,MATCH("ap",'Chart of Accounts'!$F$5:$F$3000,0)),N65&amp;"")</f>
        <v/>
      </c>
      <c r="Z65" s="16">
        <f>IF(O65="",INDEX('Chart of Accounts'!$A$5:$A$3000,MATCH("materials",'Chart of Accounts'!$F$5:$F$3000,0)),O65&amp;"")</f>
        <v/>
      </c>
      <c r="AA65" s="16">
        <f>IF(IFERROR(INDEX(Warehouses!$C$5:$C$1000,MATCH(C65,Warehouses!$A$5:$A$1000,0))&amp;"","")="",INDEX('Chart of Accounts'!$A$5:$A$3000,MATCH("inventory",'Chart of Accounts'!$F$5:$F$3000,0)),IFERROR(INDEX(Warehouses!$C$5:$C$1000,MATCH(C65,Warehouses!$A$5:$A$1000,0))&amp;"",""))</f>
        <v/>
      </c>
      <c r="AB65" s="16">
        <f>IF(IFERROR(INDEX(Warehouses!$C$5:$C$1000,MATCH(D65,Warehouses!$A$5:$A$1000,0))&amp;"","")="",INDEX('Chart of Accounts'!$A$5:$A$3000,MATCH("inventory",'Chart of Accounts'!$F$5:$F$3000,0)),IFERROR(INDEX(Warehouses!$C$5:$C$1000,MATCH(D65,Warehouses!$A$5:$A$1000,0))&amp;"",""))</f>
        <v/>
      </c>
      <c r="AC65" s="21">
        <f>IF(B65="Receipt",N(K65),0)</f>
        <v/>
      </c>
      <c r="AD65" s="16">
        <f>IF(B65="Receipt",AA65,IF(B65="Issue",Z65,IF(B65="Transfer",AB65,IF(N(G65)&gt;=0,AA65,INDEX('Chart of Accounts'!$A$5:$A$3000,MATCH("stock_adjust",'Chart of Accounts'!$F$5:$F$3000,0))))))</f>
        <v/>
      </c>
      <c r="AE65" s="16">
        <f>IF(B65="Receipt",Y65,IF(B65="Adjustment",IF(N(G65)&gt;=0,INDEX('Chart of Accounts'!$A$5:$A$3000,MATCH("stock_adjust",'Chart of Accounts'!$F$5:$F$3000,0)),AA65),AA65))</f>
        <v/>
      </c>
      <c r="AF65" s="21">
        <f>S65+T65-U65-AC65</f>
        <v/>
      </c>
      <c r="AG65" s="23">
        <f>IFERROR(INDEX('Chart of Accounts'!$C$5:$C$3000,MATCH(AD65&amp;"",'Chart of Accounts'!$A$5:$A$3000,0))&amp;"|"&amp;INDEX('Chart of Accounts'!$D$5:$D$3000,MATCH(AD65&amp;"",'Chart of Accounts'!$A$5:$A$3000,0)),"")</f>
        <v/>
      </c>
      <c r="AH65" s="23">
        <f>IFERROR(INDEX('Chart of Accounts'!$C$5:$C$3000,MATCH(V65&amp;"",'Chart of Accounts'!$A$5:$A$3000,0))&amp;"|"&amp;INDEX('Chart of Accounts'!$D$5:$D$3000,MATCH(V65&amp;"",'Chart of Accounts'!$A$5:$A$3000,0)),"")</f>
        <v/>
      </c>
      <c r="AI65" s="23">
        <f>IFERROR(INDEX('Chart of Accounts'!$C$5:$C$3000,MATCH(AE65&amp;"",'Chart of Accounts'!$A$5:$A$3000,0))&amp;"|"&amp;INDEX('Chart of Accounts'!$D$5:$D$3000,MATCH(AE65&amp;"",'Chart of Accounts'!$A$5:$A$3000,0)),"")</f>
        <v/>
      </c>
      <c r="AJ65" s="23">
        <f>IFERROR(INDEX('Chart of Accounts'!$C$5:$C$3000,MATCH(X65&amp;"",'Chart of Accounts'!$A$5:$A$3000,0))&amp;"|"&amp;INDEX('Chart of Accounts'!$D$5:$D$3000,MATCH(X65&amp;"",'Chart of Accounts'!$A$5:$A$3000,0)),"")</f>
        <v/>
      </c>
      <c r="AK65" s="23">
        <f>IFERROR(INDEX('Chart of Accounts'!$C$5:$C$3000,MATCH(W65&amp;"",'Chart of Accounts'!$A$5:$A$3000,0))&amp;"|"&amp;INDEX('Chart of Accounts'!$D$5:$D$3000,MATCH(W65&amp;"",'Chart of Accounts'!$A$5:$A$3000,0)),"")</f>
        <v/>
      </c>
      <c r="AL65" s="23">
        <f>IF(LEFT(AG65,8)="Revenue|",-N(S65),0)+IF(LEFT(AH65,8)="Revenue|",-N(T65),0)+IF(LEFT(AI65,8)="Revenue|",N(AF65),0)+IF(LEFT(AJ65,8)="Revenue|",N(AC65),0)+IF(LEFT(AK65,8)="Revenue|",N(U65),0)</f>
        <v/>
      </c>
      <c r="AM65" s="23">
        <f>IF(LEFT(AG65,5)="COGS|",N(S65),0)+IF(LEFT(AH65,5)="COGS|",N(T65),0)+IF(LEFT(AI65,5)="COGS|",-N(AF65),0)+IF(LEFT(AJ65,5)="COGS|",-N(AC65),0)+IF(LEFT(AK65,5)="COGS|",-N(U65),0)</f>
        <v/>
      </c>
      <c r="AN65" s="23">
        <f>IF(LEFT(AG65,8)="Expense|",N(S65),0)+IF(LEFT(AH65,8)="Expense|",N(T65),0)+IF(LEFT(AI65,8)="Expense|",-N(AF65),0)+IF(LEFT(AJ65,8)="Expense|",-N(AC65),0)+IF(LEFT(AK65,8)="Expense|",-N(U65),0)</f>
        <v/>
      </c>
      <c r="AO65" s="23">
        <f>IF(ISNUMBER(MATCH(AG65,{"Expense|employee","Expense|general_admin","Expense|marketing","Expense|utilities","Expense|other_operating"},0)),N(S65),0)+IF(ISNUMBER(MATCH(AH65,{"Expense|employee","Expense|general_admin","Expense|marketing","Expense|utilities","Expense|other_operating"},0)),N(T65),0)+IF(ISNUMBER(MATCH(AI65,{"Expense|employee","Expense|general_admin","Expense|marketing","Expense|utilities","Expense|other_operating"},0)),-N(AF65),0)+IF(ISNUMBER(MATCH(AJ65,{"Expense|employee","Expense|general_admin","Expense|marketing","Expense|utilities","Expense|other_operating"},0)),-N(AC65),0)+IF(ISNUMBER(MATCH(AK65,{"Expense|employee","Expense|general_admin","Expense|marketing","Expense|utilities","Expense|other_operating"},0)),-N(U65),0)</f>
        <v/>
      </c>
      <c r="AP65" s="23">
        <f>IF(AG65="Liability|payable",-N(S65),0)+IF(AH65="Liability|payable",-N(T65),0)+IF(AI65="Liability|payable",N(AF65),0)+IF(AJ65="Liability|payable",N(AC65),0)+IF(AK65="Liability|payable",N(U65),0)</f>
        <v/>
      </c>
      <c r="AQ65" s="23">
        <f>IF(AG65="Liability|accrued",-N(S65),0)+IF(AH65="Liability|accrued",-N(T65),0)+IF(AI65="Liability|accrued",N(AF65),0)+IF(AJ65="Liability|accrued",N(AC65),0)+IF(AK65="Liability|accrued",N(U65),0)</f>
        <v/>
      </c>
      <c r="AR65" s="23">
        <f>IF(AND(N(S65)&lt;&gt;0,AG65=""),1,0)+IF(AND(N(T65)&lt;&gt;0,AH65=""),1,0)+IF(AND(N(AF65)&lt;&gt;0,AI65=""),1,0)+IF(AND(N(AC65)&lt;&gt;0,AJ65=""),1,0)+IF(AND(N(U65)&lt;&gt;0,AK65=""),1,0)</f>
        <v/>
      </c>
    </row>
    <row r="66">
      <c r="A66" s="19" t="n"/>
      <c r="B66" s="14" t="n"/>
      <c r="C66" s="14" t="n"/>
      <c r="D66" s="14" t="n"/>
      <c r="E66" s="14" t="n"/>
      <c r="F66" s="14" t="n"/>
      <c r="G66" s="14" t="n"/>
      <c r="H66" s="20" t="n"/>
      <c r="I66" s="14" t="n"/>
      <c r="J66" s="14" t="n"/>
      <c r="K66" s="20" t="n"/>
      <c r="L66" s="14" t="n"/>
      <c r="M66" s="14" t="n"/>
      <c r="N66" s="14" t="n"/>
      <c r="O66" s="14" t="n"/>
      <c r="P66" s="14" t="n"/>
      <c r="Q66" s="14" t="n"/>
      <c r="R66" s="14" t="n"/>
      <c r="S66" s="21">
        <f>ROUND(ABS(N(G66))*N(H66),2)</f>
        <v/>
      </c>
      <c r="T66" s="21">
        <f>IF(B66="Receipt",ROUND(S66*IFERROR(VLOOKUP(Q66,'Tax Codes'!$A$5:$E$300,5,FALSE),0),2),0)</f>
        <v/>
      </c>
      <c r="U66" s="21">
        <f>IF(B66="Receipt",ROUND(S66*IFERROR(VLOOKUP(R66,'Tax Codes'!$A$5:$E$300,5,FALSE),0),2),0)</f>
        <v/>
      </c>
      <c r="V66" s="16">
        <f>INDEX('Chart of Accounts'!$A$5:$A$3000,MATCH("vat_input",'Chart of Accounts'!$F$5:$F$3000,0))</f>
        <v/>
      </c>
      <c r="W66" s="16">
        <f>INDEX('Chart of Accounts'!$A$5:$A$3000,MATCH("wht_payable",'Chart of Accounts'!$F$5:$F$3000,0))</f>
        <v/>
      </c>
      <c r="X66" s="16">
        <f>IF(M66="",INDEX('Chart of Accounts'!$A$5:$A$3000,MATCH("bank",'Chart of Accounts'!$F$5:$F$3000,0)),M66&amp;"")</f>
        <v/>
      </c>
      <c r="Y66" s="16">
        <f>IF(N66="",INDEX('Chart of Accounts'!$A$5:$A$3000,MATCH("ap",'Chart of Accounts'!$F$5:$F$3000,0)),N66&amp;"")</f>
        <v/>
      </c>
      <c r="Z66" s="16">
        <f>IF(O66="",INDEX('Chart of Accounts'!$A$5:$A$3000,MATCH("materials",'Chart of Accounts'!$F$5:$F$3000,0)),O66&amp;"")</f>
        <v/>
      </c>
      <c r="AA66" s="16">
        <f>IF(IFERROR(INDEX(Warehouses!$C$5:$C$1000,MATCH(C66,Warehouses!$A$5:$A$1000,0))&amp;"","")="",INDEX('Chart of Accounts'!$A$5:$A$3000,MATCH("inventory",'Chart of Accounts'!$F$5:$F$3000,0)),IFERROR(INDEX(Warehouses!$C$5:$C$1000,MATCH(C66,Warehouses!$A$5:$A$1000,0))&amp;"",""))</f>
        <v/>
      </c>
      <c r="AB66" s="16">
        <f>IF(IFERROR(INDEX(Warehouses!$C$5:$C$1000,MATCH(D66,Warehouses!$A$5:$A$1000,0))&amp;"","")="",INDEX('Chart of Accounts'!$A$5:$A$3000,MATCH("inventory",'Chart of Accounts'!$F$5:$F$3000,0)),IFERROR(INDEX(Warehouses!$C$5:$C$1000,MATCH(D66,Warehouses!$A$5:$A$1000,0))&amp;"",""))</f>
        <v/>
      </c>
      <c r="AC66" s="21">
        <f>IF(B66="Receipt",N(K66),0)</f>
        <v/>
      </c>
      <c r="AD66" s="16">
        <f>IF(B66="Receipt",AA66,IF(B66="Issue",Z66,IF(B66="Transfer",AB66,IF(N(G66)&gt;=0,AA66,INDEX('Chart of Accounts'!$A$5:$A$3000,MATCH("stock_adjust",'Chart of Accounts'!$F$5:$F$3000,0))))))</f>
        <v/>
      </c>
      <c r="AE66" s="16">
        <f>IF(B66="Receipt",Y66,IF(B66="Adjustment",IF(N(G66)&gt;=0,INDEX('Chart of Accounts'!$A$5:$A$3000,MATCH("stock_adjust",'Chart of Accounts'!$F$5:$F$3000,0)),AA66),AA66))</f>
        <v/>
      </c>
      <c r="AF66" s="21">
        <f>S66+T66-U66-AC66</f>
        <v/>
      </c>
      <c r="AG66" s="23">
        <f>IFERROR(INDEX('Chart of Accounts'!$C$5:$C$3000,MATCH(AD66&amp;"",'Chart of Accounts'!$A$5:$A$3000,0))&amp;"|"&amp;INDEX('Chart of Accounts'!$D$5:$D$3000,MATCH(AD66&amp;"",'Chart of Accounts'!$A$5:$A$3000,0)),"")</f>
        <v/>
      </c>
      <c r="AH66" s="23">
        <f>IFERROR(INDEX('Chart of Accounts'!$C$5:$C$3000,MATCH(V66&amp;"",'Chart of Accounts'!$A$5:$A$3000,0))&amp;"|"&amp;INDEX('Chart of Accounts'!$D$5:$D$3000,MATCH(V66&amp;"",'Chart of Accounts'!$A$5:$A$3000,0)),"")</f>
        <v/>
      </c>
      <c r="AI66" s="23">
        <f>IFERROR(INDEX('Chart of Accounts'!$C$5:$C$3000,MATCH(AE66&amp;"",'Chart of Accounts'!$A$5:$A$3000,0))&amp;"|"&amp;INDEX('Chart of Accounts'!$D$5:$D$3000,MATCH(AE66&amp;"",'Chart of Accounts'!$A$5:$A$3000,0)),"")</f>
        <v/>
      </c>
      <c r="AJ66" s="23">
        <f>IFERROR(INDEX('Chart of Accounts'!$C$5:$C$3000,MATCH(X66&amp;"",'Chart of Accounts'!$A$5:$A$3000,0))&amp;"|"&amp;INDEX('Chart of Accounts'!$D$5:$D$3000,MATCH(X66&amp;"",'Chart of Accounts'!$A$5:$A$3000,0)),"")</f>
        <v/>
      </c>
      <c r="AK66" s="23">
        <f>IFERROR(INDEX('Chart of Accounts'!$C$5:$C$3000,MATCH(W66&amp;"",'Chart of Accounts'!$A$5:$A$3000,0))&amp;"|"&amp;INDEX('Chart of Accounts'!$D$5:$D$3000,MATCH(W66&amp;"",'Chart of Accounts'!$A$5:$A$3000,0)),"")</f>
        <v/>
      </c>
      <c r="AL66" s="23">
        <f>IF(LEFT(AG66,8)="Revenue|",-N(S66),0)+IF(LEFT(AH66,8)="Revenue|",-N(T66),0)+IF(LEFT(AI66,8)="Revenue|",N(AF66),0)+IF(LEFT(AJ66,8)="Revenue|",N(AC66),0)+IF(LEFT(AK66,8)="Revenue|",N(U66),0)</f>
        <v/>
      </c>
      <c r="AM66" s="23">
        <f>IF(LEFT(AG66,5)="COGS|",N(S66),0)+IF(LEFT(AH66,5)="COGS|",N(T66),0)+IF(LEFT(AI66,5)="COGS|",-N(AF66),0)+IF(LEFT(AJ66,5)="COGS|",-N(AC66),0)+IF(LEFT(AK66,5)="COGS|",-N(U66),0)</f>
        <v/>
      </c>
      <c r="AN66" s="23">
        <f>IF(LEFT(AG66,8)="Expense|",N(S66),0)+IF(LEFT(AH66,8)="Expense|",N(T66),0)+IF(LEFT(AI66,8)="Expense|",-N(AF66),0)+IF(LEFT(AJ66,8)="Expense|",-N(AC66),0)+IF(LEFT(AK66,8)="Expense|",-N(U66),0)</f>
        <v/>
      </c>
      <c r="AO66" s="23">
        <f>IF(ISNUMBER(MATCH(AG66,{"Expense|employee","Expense|general_admin","Expense|marketing","Expense|utilities","Expense|other_operating"},0)),N(S66),0)+IF(ISNUMBER(MATCH(AH66,{"Expense|employee","Expense|general_admin","Expense|marketing","Expense|utilities","Expense|other_operating"},0)),N(T66),0)+IF(ISNUMBER(MATCH(AI66,{"Expense|employee","Expense|general_admin","Expense|marketing","Expense|utilities","Expense|other_operating"},0)),-N(AF66),0)+IF(ISNUMBER(MATCH(AJ66,{"Expense|employee","Expense|general_admin","Expense|marketing","Expense|utilities","Expense|other_operating"},0)),-N(AC66),0)+IF(ISNUMBER(MATCH(AK66,{"Expense|employee","Expense|general_admin","Expense|marketing","Expense|utilities","Expense|other_operating"},0)),-N(U66),0)</f>
        <v/>
      </c>
      <c r="AP66" s="23">
        <f>IF(AG66="Liability|payable",-N(S66),0)+IF(AH66="Liability|payable",-N(T66),0)+IF(AI66="Liability|payable",N(AF66),0)+IF(AJ66="Liability|payable",N(AC66),0)+IF(AK66="Liability|payable",N(U66),0)</f>
        <v/>
      </c>
      <c r="AQ66" s="23">
        <f>IF(AG66="Liability|accrued",-N(S66),0)+IF(AH66="Liability|accrued",-N(T66),0)+IF(AI66="Liability|accrued",N(AF66),0)+IF(AJ66="Liability|accrued",N(AC66),0)+IF(AK66="Liability|accrued",N(U66),0)</f>
        <v/>
      </c>
      <c r="AR66" s="23">
        <f>IF(AND(N(S66)&lt;&gt;0,AG66=""),1,0)+IF(AND(N(T66)&lt;&gt;0,AH66=""),1,0)+IF(AND(N(AF66)&lt;&gt;0,AI66=""),1,0)+IF(AND(N(AC66)&lt;&gt;0,AJ66=""),1,0)+IF(AND(N(U66)&lt;&gt;0,AK66=""),1,0)</f>
        <v/>
      </c>
    </row>
    <row r="67">
      <c r="A67" s="19" t="n"/>
      <c r="B67" s="14" t="n"/>
      <c r="C67" s="14" t="n"/>
      <c r="D67" s="14" t="n"/>
      <c r="E67" s="14" t="n"/>
      <c r="F67" s="14" t="n"/>
      <c r="G67" s="14" t="n"/>
      <c r="H67" s="20" t="n"/>
      <c r="I67" s="14" t="n"/>
      <c r="J67" s="14" t="n"/>
      <c r="K67" s="20" t="n"/>
      <c r="L67" s="14" t="n"/>
      <c r="M67" s="14" t="n"/>
      <c r="N67" s="14" t="n"/>
      <c r="O67" s="14" t="n"/>
      <c r="P67" s="14" t="n"/>
      <c r="Q67" s="14" t="n"/>
      <c r="R67" s="14" t="n"/>
      <c r="S67" s="21">
        <f>ROUND(ABS(N(G67))*N(H67),2)</f>
        <v/>
      </c>
      <c r="T67" s="21">
        <f>IF(B67="Receipt",ROUND(S67*IFERROR(VLOOKUP(Q67,'Tax Codes'!$A$5:$E$300,5,FALSE),0),2),0)</f>
        <v/>
      </c>
      <c r="U67" s="21">
        <f>IF(B67="Receipt",ROUND(S67*IFERROR(VLOOKUP(R67,'Tax Codes'!$A$5:$E$300,5,FALSE),0),2),0)</f>
        <v/>
      </c>
      <c r="V67" s="16">
        <f>INDEX('Chart of Accounts'!$A$5:$A$3000,MATCH("vat_input",'Chart of Accounts'!$F$5:$F$3000,0))</f>
        <v/>
      </c>
      <c r="W67" s="16">
        <f>INDEX('Chart of Accounts'!$A$5:$A$3000,MATCH("wht_payable",'Chart of Accounts'!$F$5:$F$3000,0))</f>
        <v/>
      </c>
      <c r="X67" s="16">
        <f>IF(M67="",INDEX('Chart of Accounts'!$A$5:$A$3000,MATCH("bank",'Chart of Accounts'!$F$5:$F$3000,0)),M67&amp;"")</f>
        <v/>
      </c>
      <c r="Y67" s="16">
        <f>IF(N67="",INDEX('Chart of Accounts'!$A$5:$A$3000,MATCH("ap",'Chart of Accounts'!$F$5:$F$3000,0)),N67&amp;"")</f>
        <v/>
      </c>
      <c r="Z67" s="16">
        <f>IF(O67="",INDEX('Chart of Accounts'!$A$5:$A$3000,MATCH("materials",'Chart of Accounts'!$F$5:$F$3000,0)),O67&amp;"")</f>
        <v/>
      </c>
      <c r="AA67" s="16">
        <f>IF(IFERROR(INDEX(Warehouses!$C$5:$C$1000,MATCH(C67,Warehouses!$A$5:$A$1000,0))&amp;"","")="",INDEX('Chart of Accounts'!$A$5:$A$3000,MATCH("inventory",'Chart of Accounts'!$F$5:$F$3000,0)),IFERROR(INDEX(Warehouses!$C$5:$C$1000,MATCH(C67,Warehouses!$A$5:$A$1000,0))&amp;"",""))</f>
        <v/>
      </c>
      <c r="AB67" s="16">
        <f>IF(IFERROR(INDEX(Warehouses!$C$5:$C$1000,MATCH(D67,Warehouses!$A$5:$A$1000,0))&amp;"","")="",INDEX('Chart of Accounts'!$A$5:$A$3000,MATCH("inventory",'Chart of Accounts'!$F$5:$F$3000,0)),IFERROR(INDEX(Warehouses!$C$5:$C$1000,MATCH(D67,Warehouses!$A$5:$A$1000,0))&amp;"",""))</f>
        <v/>
      </c>
      <c r="AC67" s="21">
        <f>IF(B67="Receipt",N(K67),0)</f>
        <v/>
      </c>
      <c r="AD67" s="16">
        <f>IF(B67="Receipt",AA67,IF(B67="Issue",Z67,IF(B67="Transfer",AB67,IF(N(G67)&gt;=0,AA67,INDEX('Chart of Accounts'!$A$5:$A$3000,MATCH("stock_adjust",'Chart of Accounts'!$F$5:$F$3000,0))))))</f>
        <v/>
      </c>
      <c r="AE67" s="16">
        <f>IF(B67="Receipt",Y67,IF(B67="Adjustment",IF(N(G67)&gt;=0,INDEX('Chart of Accounts'!$A$5:$A$3000,MATCH("stock_adjust",'Chart of Accounts'!$F$5:$F$3000,0)),AA67),AA67))</f>
        <v/>
      </c>
      <c r="AF67" s="21">
        <f>S67+T67-U67-AC67</f>
        <v/>
      </c>
      <c r="AG67" s="23">
        <f>IFERROR(INDEX('Chart of Accounts'!$C$5:$C$3000,MATCH(AD67&amp;"",'Chart of Accounts'!$A$5:$A$3000,0))&amp;"|"&amp;INDEX('Chart of Accounts'!$D$5:$D$3000,MATCH(AD67&amp;"",'Chart of Accounts'!$A$5:$A$3000,0)),"")</f>
        <v/>
      </c>
      <c r="AH67" s="23">
        <f>IFERROR(INDEX('Chart of Accounts'!$C$5:$C$3000,MATCH(V67&amp;"",'Chart of Accounts'!$A$5:$A$3000,0))&amp;"|"&amp;INDEX('Chart of Accounts'!$D$5:$D$3000,MATCH(V67&amp;"",'Chart of Accounts'!$A$5:$A$3000,0)),"")</f>
        <v/>
      </c>
      <c r="AI67" s="23">
        <f>IFERROR(INDEX('Chart of Accounts'!$C$5:$C$3000,MATCH(AE67&amp;"",'Chart of Accounts'!$A$5:$A$3000,0))&amp;"|"&amp;INDEX('Chart of Accounts'!$D$5:$D$3000,MATCH(AE67&amp;"",'Chart of Accounts'!$A$5:$A$3000,0)),"")</f>
        <v/>
      </c>
      <c r="AJ67" s="23">
        <f>IFERROR(INDEX('Chart of Accounts'!$C$5:$C$3000,MATCH(X67&amp;"",'Chart of Accounts'!$A$5:$A$3000,0))&amp;"|"&amp;INDEX('Chart of Accounts'!$D$5:$D$3000,MATCH(X67&amp;"",'Chart of Accounts'!$A$5:$A$3000,0)),"")</f>
        <v/>
      </c>
      <c r="AK67" s="23">
        <f>IFERROR(INDEX('Chart of Accounts'!$C$5:$C$3000,MATCH(W67&amp;"",'Chart of Accounts'!$A$5:$A$3000,0))&amp;"|"&amp;INDEX('Chart of Accounts'!$D$5:$D$3000,MATCH(W67&amp;"",'Chart of Accounts'!$A$5:$A$3000,0)),"")</f>
        <v/>
      </c>
      <c r="AL67" s="23">
        <f>IF(LEFT(AG67,8)="Revenue|",-N(S67),0)+IF(LEFT(AH67,8)="Revenue|",-N(T67),0)+IF(LEFT(AI67,8)="Revenue|",N(AF67),0)+IF(LEFT(AJ67,8)="Revenue|",N(AC67),0)+IF(LEFT(AK67,8)="Revenue|",N(U67),0)</f>
        <v/>
      </c>
      <c r="AM67" s="23">
        <f>IF(LEFT(AG67,5)="COGS|",N(S67),0)+IF(LEFT(AH67,5)="COGS|",N(T67),0)+IF(LEFT(AI67,5)="COGS|",-N(AF67),0)+IF(LEFT(AJ67,5)="COGS|",-N(AC67),0)+IF(LEFT(AK67,5)="COGS|",-N(U67),0)</f>
        <v/>
      </c>
      <c r="AN67" s="23">
        <f>IF(LEFT(AG67,8)="Expense|",N(S67),0)+IF(LEFT(AH67,8)="Expense|",N(T67),0)+IF(LEFT(AI67,8)="Expense|",-N(AF67),0)+IF(LEFT(AJ67,8)="Expense|",-N(AC67),0)+IF(LEFT(AK67,8)="Expense|",-N(U67),0)</f>
        <v/>
      </c>
      <c r="AO67" s="23">
        <f>IF(ISNUMBER(MATCH(AG67,{"Expense|employee","Expense|general_admin","Expense|marketing","Expense|utilities","Expense|other_operating"},0)),N(S67),0)+IF(ISNUMBER(MATCH(AH67,{"Expense|employee","Expense|general_admin","Expense|marketing","Expense|utilities","Expense|other_operating"},0)),N(T67),0)+IF(ISNUMBER(MATCH(AI67,{"Expense|employee","Expense|general_admin","Expense|marketing","Expense|utilities","Expense|other_operating"},0)),-N(AF67),0)+IF(ISNUMBER(MATCH(AJ67,{"Expense|employee","Expense|general_admin","Expense|marketing","Expense|utilities","Expense|other_operating"},0)),-N(AC67),0)+IF(ISNUMBER(MATCH(AK67,{"Expense|employee","Expense|general_admin","Expense|marketing","Expense|utilities","Expense|other_operating"},0)),-N(U67),0)</f>
        <v/>
      </c>
      <c r="AP67" s="23">
        <f>IF(AG67="Liability|payable",-N(S67),0)+IF(AH67="Liability|payable",-N(T67),0)+IF(AI67="Liability|payable",N(AF67),0)+IF(AJ67="Liability|payable",N(AC67),0)+IF(AK67="Liability|payable",N(U67),0)</f>
        <v/>
      </c>
      <c r="AQ67" s="23">
        <f>IF(AG67="Liability|accrued",-N(S67),0)+IF(AH67="Liability|accrued",-N(T67),0)+IF(AI67="Liability|accrued",N(AF67),0)+IF(AJ67="Liability|accrued",N(AC67),0)+IF(AK67="Liability|accrued",N(U67),0)</f>
        <v/>
      </c>
      <c r="AR67" s="23">
        <f>IF(AND(N(S67)&lt;&gt;0,AG67=""),1,0)+IF(AND(N(T67)&lt;&gt;0,AH67=""),1,0)+IF(AND(N(AF67)&lt;&gt;0,AI67=""),1,0)+IF(AND(N(AC67)&lt;&gt;0,AJ67=""),1,0)+IF(AND(N(U67)&lt;&gt;0,AK67=""),1,0)</f>
        <v/>
      </c>
    </row>
    <row r="68">
      <c r="A68" s="19" t="n"/>
      <c r="B68" s="14" t="n"/>
      <c r="C68" s="14" t="n"/>
      <c r="D68" s="14" t="n"/>
      <c r="E68" s="14" t="n"/>
      <c r="F68" s="14" t="n"/>
      <c r="G68" s="14" t="n"/>
      <c r="H68" s="20" t="n"/>
      <c r="I68" s="14" t="n"/>
      <c r="J68" s="14" t="n"/>
      <c r="K68" s="20" t="n"/>
      <c r="L68" s="14" t="n"/>
      <c r="M68" s="14" t="n"/>
      <c r="N68" s="14" t="n"/>
      <c r="O68" s="14" t="n"/>
      <c r="P68" s="14" t="n"/>
      <c r="Q68" s="14" t="n"/>
      <c r="R68" s="14" t="n"/>
      <c r="S68" s="21">
        <f>ROUND(ABS(N(G68))*N(H68),2)</f>
        <v/>
      </c>
      <c r="T68" s="21">
        <f>IF(B68="Receipt",ROUND(S68*IFERROR(VLOOKUP(Q68,'Tax Codes'!$A$5:$E$300,5,FALSE),0),2),0)</f>
        <v/>
      </c>
      <c r="U68" s="21">
        <f>IF(B68="Receipt",ROUND(S68*IFERROR(VLOOKUP(R68,'Tax Codes'!$A$5:$E$300,5,FALSE),0),2),0)</f>
        <v/>
      </c>
      <c r="V68" s="16">
        <f>INDEX('Chart of Accounts'!$A$5:$A$3000,MATCH("vat_input",'Chart of Accounts'!$F$5:$F$3000,0))</f>
        <v/>
      </c>
      <c r="W68" s="16">
        <f>INDEX('Chart of Accounts'!$A$5:$A$3000,MATCH("wht_payable",'Chart of Accounts'!$F$5:$F$3000,0))</f>
        <v/>
      </c>
      <c r="X68" s="16">
        <f>IF(M68="",INDEX('Chart of Accounts'!$A$5:$A$3000,MATCH("bank",'Chart of Accounts'!$F$5:$F$3000,0)),M68&amp;"")</f>
        <v/>
      </c>
      <c r="Y68" s="16">
        <f>IF(N68="",INDEX('Chart of Accounts'!$A$5:$A$3000,MATCH("ap",'Chart of Accounts'!$F$5:$F$3000,0)),N68&amp;"")</f>
        <v/>
      </c>
      <c r="Z68" s="16">
        <f>IF(O68="",INDEX('Chart of Accounts'!$A$5:$A$3000,MATCH("materials",'Chart of Accounts'!$F$5:$F$3000,0)),O68&amp;"")</f>
        <v/>
      </c>
      <c r="AA68" s="16">
        <f>IF(IFERROR(INDEX(Warehouses!$C$5:$C$1000,MATCH(C68,Warehouses!$A$5:$A$1000,0))&amp;"","")="",INDEX('Chart of Accounts'!$A$5:$A$3000,MATCH("inventory",'Chart of Accounts'!$F$5:$F$3000,0)),IFERROR(INDEX(Warehouses!$C$5:$C$1000,MATCH(C68,Warehouses!$A$5:$A$1000,0))&amp;"",""))</f>
        <v/>
      </c>
      <c r="AB68" s="16">
        <f>IF(IFERROR(INDEX(Warehouses!$C$5:$C$1000,MATCH(D68,Warehouses!$A$5:$A$1000,0))&amp;"","")="",INDEX('Chart of Accounts'!$A$5:$A$3000,MATCH("inventory",'Chart of Accounts'!$F$5:$F$3000,0)),IFERROR(INDEX(Warehouses!$C$5:$C$1000,MATCH(D68,Warehouses!$A$5:$A$1000,0))&amp;"",""))</f>
        <v/>
      </c>
      <c r="AC68" s="21">
        <f>IF(B68="Receipt",N(K68),0)</f>
        <v/>
      </c>
      <c r="AD68" s="16">
        <f>IF(B68="Receipt",AA68,IF(B68="Issue",Z68,IF(B68="Transfer",AB68,IF(N(G68)&gt;=0,AA68,INDEX('Chart of Accounts'!$A$5:$A$3000,MATCH("stock_adjust",'Chart of Accounts'!$F$5:$F$3000,0))))))</f>
        <v/>
      </c>
      <c r="AE68" s="16">
        <f>IF(B68="Receipt",Y68,IF(B68="Adjustment",IF(N(G68)&gt;=0,INDEX('Chart of Accounts'!$A$5:$A$3000,MATCH("stock_adjust",'Chart of Accounts'!$F$5:$F$3000,0)),AA68),AA68))</f>
        <v/>
      </c>
      <c r="AF68" s="21">
        <f>S68+T68-U68-AC68</f>
        <v/>
      </c>
      <c r="AG68" s="23">
        <f>IFERROR(INDEX('Chart of Accounts'!$C$5:$C$3000,MATCH(AD68&amp;"",'Chart of Accounts'!$A$5:$A$3000,0))&amp;"|"&amp;INDEX('Chart of Accounts'!$D$5:$D$3000,MATCH(AD68&amp;"",'Chart of Accounts'!$A$5:$A$3000,0)),"")</f>
        <v/>
      </c>
      <c r="AH68" s="23">
        <f>IFERROR(INDEX('Chart of Accounts'!$C$5:$C$3000,MATCH(V68&amp;"",'Chart of Accounts'!$A$5:$A$3000,0))&amp;"|"&amp;INDEX('Chart of Accounts'!$D$5:$D$3000,MATCH(V68&amp;"",'Chart of Accounts'!$A$5:$A$3000,0)),"")</f>
        <v/>
      </c>
      <c r="AI68" s="23">
        <f>IFERROR(INDEX('Chart of Accounts'!$C$5:$C$3000,MATCH(AE68&amp;"",'Chart of Accounts'!$A$5:$A$3000,0))&amp;"|"&amp;INDEX('Chart of Accounts'!$D$5:$D$3000,MATCH(AE68&amp;"",'Chart of Accounts'!$A$5:$A$3000,0)),"")</f>
        <v/>
      </c>
      <c r="AJ68" s="23">
        <f>IFERROR(INDEX('Chart of Accounts'!$C$5:$C$3000,MATCH(X68&amp;"",'Chart of Accounts'!$A$5:$A$3000,0))&amp;"|"&amp;INDEX('Chart of Accounts'!$D$5:$D$3000,MATCH(X68&amp;"",'Chart of Accounts'!$A$5:$A$3000,0)),"")</f>
        <v/>
      </c>
      <c r="AK68" s="23">
        <f>IFERROR(INDEX('Chart of Accounts'!$C$5:$C$3000,MATCH(W68&amp;"",'Chart of Accounts'!$A$5:$A$3000,0))&amp;"|"&amp;INDEX('Chart of Accounts'!$D$5:$D$3000,MATCH(W68&amp;"",'Chart of Accounts'!$A$5:$A$3000,0)),"")</f>
        <v/>
      </c>
      <c r="AL68" s="23">
        <f>IF(LEFT(AG68,8)="Revenue|",-N(S68),0)+IF(LEFT(AH68,8)="Revenue|",-N(T68),0)+IF(LEFT(AI68,8)="Revenue|",N(AF68),0)+IF(LEFT(AJ68,8)="Revenue|",N(AC68),0)+IF(LEFT(AK68,8)="Revenue|",N(U68),0)</f>
        <v/>
      </c>
      <c r="AM68" s="23">
        <f>IF(LEFT(AG68,5)="COGS|",N(S68),0)+IF(LEFT(AH68,5)="COGS|",N(T68),0)+IF(LEFT(AI68,5)="COGS|",-N(AF68),0)+IF(LEFT(AJ68,5)="COGS|",-N(AC68),0)+IF(LEFT(AK68,5)="COGS|",-N(U68),0)</f>
        <v/>
      </c>
      <c r="AN68" s="23">
        <f>IF(LEFT(AG68,8)="Expense|",N(S68),0)+IF(LEFT(AH68,8)="Expense|",N(T68),0)+IF(LEFT(AI68,8)="Expense|",-N(AF68),0)+IF(LEFT(AJ68,8)="Expense|",-N(AC68),0)+IF(LEFT(AK68,8)="Expense|",-N(U68),0)</f>
        <v/>
      </c>
      <c r="AO68" s="23">
        <f>IF(ISNUMBER(MATCH(AG68,{"Expense|employee","Expense|general_admin","Expense|marketing","Expense|utilities","Expense|other_operating"},0)),N(S68),0)+IF(ISNUMBER(MATCH(AH68,{"Expense|employee","Expense|general_admin","Expense|marketing","Expense|utilities","Expense|other_operating"},0)),N(T68),0)+IF(ISNUMBER(MATCH(AI68,{"Expense|employee","Expense|general_admin","Expense|marketing","Expense|utilities","Expense|other_operating"},0)),-N(AF68),0)+IF(ISNUMBER(MATCH(AJ68,{"Expense|employee","Expense|general_admin","Expense|marketing","Expense|utilities","Expense|other_operating"},0)),-N(AC68),0)+IF(ISNUMBER(MATCH(AK68,{"Expense|employee","Expense|general_admin","Expense|marketing","Expense|utilities","Expense|other_operating"},0)),-N(U68),0)</f>
        <v/>
      </c>
      <c r="AP68" s="23">
        <f>IF(AG68="Liability|payable",-N(S68),0)+IF(AH68="Liability|payable",-N(T68),0)+IF(AI68="Liability|payable",N(AF68),0)+IF(AJ68="Liability|payable",N(AC68),0)+IF(AK68="Liability|payable",N(U68),0)</f>
        <v/>
      </c>
      <c r="AQ68" s="23">
        <f>IF(AG68="Liability|accrued",-N(S68),0)+IF(AH68="Liability|accrued",-N(T68),0)+IF(AI68="Liability|accrued",N(AF68),0)+IF(AJ68="Liability|accrued",N(AC68),0)+IF(AK68="Liability|accrued",N(U68),0)</f>
        <v/>
      </c>
      <c r="AR68" s="23">
        <f>IF(AND(N(S68)&lt;&gt;0,AG68=""),1,0)+IF(AND(N(T68)&lt;&gt;0,AH68=""),1,0)+IF(AND(N(AF68)&lt;&gt;0,AI68=""),1,0)+IF(AND(N(AC68)&lt;&gt;0,AJ68=""),1,0)+IF(AND(N(U68)&lt;&gt;0,AK68=""),1,0)</f>
        <v/>
      </c>
    </row>
    <row r="69">
      <c r="A69" s="19" t="n"/>
      <c r="B69" s="14" t="n"/>
      <c r="C69" s="14" t="n"/>
      <c r="D69" s="14" t="n"/>
      <c r="E69" s="14" t="n"/>
      <c r="F69" s="14" t="n"/>
      <c r="G69" s="14" t="n"/>
      <c r="H69" s="20" t="n"/>
      <c r="I69" s="14" t="n"/>
      <c r="J69" s="14" t="n"/>
      <c r="K69" s="20" t="n"/>
      <c r="L69" s="14" t="n"/>
      <c r="M69" s="14" t="n"/>
      <c r="N69" s="14" t="n"/>
      <c r="O69" s="14" t="n"/>
      <c r="P69" s="14" t="n"/>
      <c r="Q69" s="14" t="n"/>
      <c r="R69" s="14" t="n"/>
      <c r="S69" s="21">
        <f>ROUND(ABS(N(G69))*N(H69),2)</f>
        <v/>
      </c>
      <c r="T69" s="21">
        <f>IF(B69="Receipt",ROUND(S69*IFERROR(VLOOKUP(Q69,'Tax Codes'!$A$5:$E$300,5,FALSE),0),2),0)</f>
        <v/>
      </c>
      <c r="U69" s="21">
        <f>IF(B69="Receipt",ROUND(S69*IFERROR(VLOOKUP(R69,'Tax Codes'!$A$5:$E$300,5,FALSE),0),2),0)</f>
        <v/>
      </c>
      <c r="V69" s="16">
        <f>INDEX('Chart of Accounts'!$A$5:$A$3000,MATCH("vat_input",'Chart of Accounts'!$F$5:$F$3000,0))</f>
        <v/>
      </c>
      <c r="W69" s="16">
        <f>INDEX('Chart of Accounts'!$A$5:$A$3000,MATCH("wht_payable",'Chart of Accounts'!$F$5:$F$3000,0))</f>
        <v/>
      </c>
      <c r="X69" s="16">
        <f>IF(M69="",INDEX('Chart of Accounts'!$A$5:$A$3000,MATCH("bank",'Chart of Accounts'!$F$5:$F$3000,0)),M69&amp;"")</f>
        <v/>
      </c>
      <c r="Y69" s="16">
        <f>IF(N69="",INDEX('Chart of Accounts'!$A$5:$A$3000,MATCH("ap",'Chart of Accounts'!$F$5:$F$3000,0)),N69&amp;"")</f>
        <v/>
      </c>
      <c r="Z69" s="16">
        <f>IF(O69="",INDEX('Chart of Accounts'!$A$5:$A$3000,MATCH("materials",'Chart of Accounts'!$F$5:$F$3000,0)),O69&amp;"")</f>
        <v/>
      </c>
      <c r="AA69" s="16">
        <f>IF(IFERROR(INDEX(Warehouses!$C$5:$C$1000,MATCH(C69,Warehouses!$A$5:$A$1000,0))&amp;"","")="",INDEX('Chart of Accounts'!$A$5:$A$3000,MATCH("inventory",'Chart of Accounts'!$F$5:$F$3000,0)),IFERROR(INDEX(Warehouses!$C$5:$C$1000,MATCH(C69,Warehouses!$A$5:$A$1000,0))&amp;"",""))</f>
        <v/>
      </c>
      <c r="AB69" s="16">
        <f>IF(IFERROR(INDEX(Warehouses!$C$5:$C$1000,MATCH(D69,Warehouses!$A$5:$A$1000,0))&amp;"","")="",INDEX('Chart of Accounts'!$A$5:$A$3000,MATCH("inventory",'Chart of Accounts'!$F$5:$F$3000,0)),IFERROR(INDEX(Warehouses!$C$5:$C$1000,MATCH(D69,Warehouses!$A$5:$A$1000,0))&amp;"",""))</f>
        <v/>
      </c>
      <c r="AC69" s="21">
        <f>IF(B69="Receipt",N(K69),0)</f>
        <v/>
      </c>
      <c r="AD69" s="16">
        <f>IF(B69="Receipt",AA69,IF(B69="Issue",Z69,IF(B69="Transfer",AB69,IF(N(G69)&gt;=0,AA69,INDEX('Chart of Accounts'!$A$5:$A$3000,MATCH("stock_adjust",'Chart of Accounts'!$F$5:$F$3000,0))))))</f>
        <v/>
      </c>
      <c r="AE69" s="16">
        <f>IF(B69="Receipt",Y69,IF(B69="Adjustment",IF(N(G69)&gt;=0,INDEX('Chart of Accounts'!$A$5:$A$3000,MATCH("stock_adjust",'Chart of Accounts'!$F$5:$F$3000,0)),AA69),AA69))</f>
        <v/>
      </c>
      <c r="AF69" s="21">
        <f>S69+T69-U69-AC69</f>
        <v/>
      </c>
      <c r="AG69" s="23">
        <f>IFERROR(INDEX('Chart of Accounts'!$C$5:$C$3000,MATCH(AD69&amp;"",'Chart of Accounts'!$A$5:$A$3000,0))&amp;"|"&amp;INDEX('Chart of Accounts'!$D$5:$D$3000,MATCH(AD69&amp;"",'Chart of Accounts'!$A$5:$A$3000,0)),"")</f>
        <v/>
      </c>
      <c r="AH69" s="23">
        <f>IFERROR(INDEX('Chart of Accounts'!$C$5:$C$3000,MATCH(V69&amp;"",'Chart of Accounts'!$A$5:$A$3000,0))&amp;"|"&amp;INDEX('Chart of Accounts'!$D$5:$D$3000,MATCH(V69&amp;"",'Chart of Accounts'!$A$5:$A$3000,0)),"")</f>
        <v/>
      </c>
      <c r="AI69" s="23">
        <f>IFERROR(INDEX('Chart of Accounts'!$C$5:$C$3000,MATCH(AE69&amp;"",'Chart of Accounts'!$A$5:$A$3000,0))&amp;"|"&amp;INDEX('Chart of Accounts'!$D$5:$D$3000,MATCH(AE69&amp;"",'Chart of Accounts'!$A$5:$A$3000,0)),"")</f>
        <v/>
      </c>
      <c r="AJ69" s="23">
        <f>IFERROR(INDEX('Chart of Accounts'!$C$5:$C$3000,MATCH(X69&amp;"",'Chart of Accounts'!$A$5:$A$3000,0))&amp;"|"&amp;INDEX('Chart of Accounts'!$D$5:$D$3000,MATCH(X69&amp;"",'Chart of Accounts'!$A$5:$A$3000,0)),"")</f>
        <v/>
      </c>
      <c r="AK69" s="23">
        <f>IFERROR(INDEX('Chart of Accounts'!$C$5:$C$3000,MATCH(W69&amp;"",'Chart of Accounts'!$A$5:$A$3000,0))&amp;"|"&amp;INDEX('Chart of Accounts'!$D$5:$D$3000,MATCH(W69&amp;"",'Chart of Accounts'!$A$5:$A$3000,0)),"")</f>
        <v/>
      </c>
      <c r="AL69" s="23">
        <f>IF(LEFT(AG69,8)="Revenue|",-N(S69),0)+IF(LEFT(AH69,8)="Revenue|",-N(T69),0)+IF(LEFT(AI69,8)="Revenue|",N(AF69),0)+IF(LEFT(AJ69,8)="Revenue|",N(AC69),0)+IF(LEFT(AK69,8)="Revenue|",N(U69),0)</f>
        <v/>
      </c>
      <c r="AM69" s="23">
        <f>IF(LEFT(AG69,5)="COGS|",N(S69),0)+IF(LEFT(AH69,5)="COGS|",N(T69),0)+IF(LEFT(AI69,5)="COGS|",-N(AF69),0)+IF(LEFT(AJ69,5)="COGS|",-N(AC69),0)+IF(LEFT(AK69,5)="COGS|",-N(U69),0)</f>
        <v/>
      </c>
      <c r="AN69" s="23">
        <f>IF(LEFT(AG69,8)="Expense|",N(S69),0)+IF(LEFT(AH69,8)="Expense|",N(T69),0)+IF(LEFT(AI69,8)="Expense|",-N(AF69),0)+IF(LEFT(AJ69,8)="Expense|",-N(AC69),0)+IF(LEFT(AK69,8)="Expense|",-N(U69),0)</f>
        <v/>
      </c>
      <c r="AO69" s="23">
        <f>IF(ISNUMBER(MATCH(AG69,{"Expense|employee","Expense|general_admin","Expense|marketing","Expense|utilities","Expense|other_operating"},0)),N(S69),0)+IF(ISNUMBER(MATCH(AH69,{"Expense|employee","Expense|general_admin","Expense|marketing","Expense|utilities","Expense|other_operating"},0)),N(T69),0)+IF(ISNUMBER(MATCH(AI69,{"Expense|employee","Expense|general_admin","Expense|marketing","Expense|utilities","Expense|other_operating"},0)),-N(AF69),0)+IF(ISNUMBER(MATCH(AJ69,{"Expense|employee","Expense|general_admin","Expense|marketing","Expense|utilities","Expense|other_operating"},0)),-N(AC69),0)+IF(ISNUMBER(MATCH(AK69,{"Expense|employee","Expense|general_admin","Expense|marketing","Expense|utilities","Expense|other_operating"},0)),-N(U69),0)</f>
        <v/>
      </c>
      <c r="AP69" s="23">
        <f>IF(AG69="Liability|payable",-N(S69),0)+IF(AH69="Liability|payable",-N(T69),0)+IF(AI69="Liability|payable",N(AF69),0)+IF(AJ69="Liability|payable",N(AC69),0)+IF(AK69="Liability|payable",N(U69),0)</f>
        <v/>
      </c>
      <c r="AQ69" s="23">
        <f>IF(AG69="Liability|accrued",-N(S69),0)+IF(AH69="Liability|accrued",-N(T69),0)+IF(AI69="Liability|accrued",N(AF69),0)+IF(AJ69="Liability|accrued",N(AC69),0)+IF(AK69="Liability|accrued",N(U69),0)</f>
        <v/>
      </c>
      <c r="AR69" s="23">
        <f>IF(AND(N(S69)&lt;&gt;0,AG69=""),1,0)+IF(AND(N(T69)&lt;&gt;0,AH69=""),1,0)+IF(AND(N(AF69)&lt;&gt;0,AI69=""),1,0)+IF(AND(N(AC69)&lt;&gt;0,AJ69=""),1,0)+IF(AND(N(U69)&lt;&gt;0,AK69=""),1,0)</f>
        <v/>
      </c>
    </row>
    <row r="70">
      <c r="A70" s="19" t="n"/>
      <c r="B70" s="14" t="n"/>
      <c r="C70" s="14" t="n"/>
      <c r="D70" s="14" t="n"/>
      <c r="E70" s="14" t="n"/>
      <c r="F70" s="14" t="n"/>
      <c r="G70" s="14" t="n"/>
      <c r="H70" s="20" t="n"/>
      <c r="I70" s="14" t="n"/>
      <c r="J70" s="14" t="n"/>
      <c r="K70" s="20" t="n"/>
      <c r="L70" s="14" t="n"/>
      <c r="M70" s="14" t="n"/>
      <c r="N70" s="14" t="n"/>
      <c r="O70" s="14" t="n"/>
      <c r="P70" s="14" t="n"/>
      <c r="Q70" s="14" t="n"/>
      <c r="R70" s="14" t="n"/>
      <c r="S70" s="21">
        <f>ROUND(ABS(N(G70))*N(H70),2)</f>
        <v/>
      </c>
      <c r="T70" s="21">
        <f>IF(B70="Receipt",ROUND(S70*IFERROR(VLOOKUP(Q70,'Tax Codes'!$A$5:$E$300,5,FALSE),0),2),0)</f>
        <v/>
      </c>
      <c r="U70" s="21">
        <f>IF(B70="Receipt",ROUND(S70*IFERROR(VLOOKUP(R70,'Tax Codes'!$A$5:$E$300,5,FALSE),0),2),0)</f>
        <v/>
      </c>
      <c r="V70" s="16">
        <f>INDEX('Chart of Accounts'!$A$5:$A$3000,MATCH("vat_input",'Chart of Accounts'!$F$5:$F$3000,0))</f>
        <v/>
      </c>
      <c r="W70" s="16">
        <f>INDEX('Chart of Accounts'!$A$5:$A$3000,MATCH("wht_payable",'Chart of Accounts'!$F$5:$F$3000,0))</f>
        <v/>
      </c>
      <c r="X70" s="16">
        <f>IF(M70="",INDEX('Chart of Accounts'!$A$5:$A$3000,MATCH("bank",'Chart of Accounts'!$F$5:$F$3000,0)),M70&amp;"")</f>
        <v/>
      </c>
      <c r="Y70" s="16">
        <f>IF(N70="",INDEX('Chart of Accounts'!$A$5:$A$3000,MATCH("ap",'Chart of Accounts'!$F$5:$F$3000,0)),N70&amp;"")</f>
        <v/>
      </c>
      <c r="Z70" s="16">
        <f>IF(O70="",INDEX('Chart of Accounts'!$A$5:$A$3000,MATCH("materials",'Chart of Accounts'!$F$5:$F$3000,0)),O70&amp;"")</f>
        <v/>
      </c>
      <c r="AA70" s="16">
        <f>IF(IFERROR(INDEX(Warehouses!$C$5:$C$1000,MATCH(C70,Warehouses!$A$5:$A$1000,0))&amp;"","")="",INDEX('Chart of Accounts'!$A$5:$A$3000,MATCH("inventory",'Chart of Accounts'!$F$5:$F$3000,0)),IFERROR(INDEX(Warehouses!$C$5:$C$1000,MATCH(C70,Warehouses!$A$5:$A$1000,0))&amp;"",""))</f>
        <v/>
      </c>
      <c r="AB70" s="16">
        <f>IF(IFERROR(INDEX(Warehouses!$C$5:$C$1000,MATCH(D70,Warehouses!$A$5:$A$1000,0))&amp;"","")="",INDEX('Chart of Accounts'!$A$5:$A$3000,MATCH("inventory",'Chart of Accounts'!$F$5:$F$3000,0)),IFERROR(INDEX(Warehouses!$C$5:$C$1000,MATCH(D70,Warehouses!$A$5:$A$1000,0))&amp;"",""))</f>
        <v/>
      </c>
      <c r="AC70" s="21">
        <f>IF(B70="Receipt",N(K70),0)</f>
        <v/>
      </c>
      <c r="AD70" s="16">
        <f>IF(B70="Receipt",AA70,IF(B70="Issue",Z70,IF(B70="Transfer",AB70,IF(N(G70)&gt;=0,AA70,INDEX('Chart of Accounts'!$A$5:$A$3000,MATCH("stock_adjust",'Chart of Accounts'!$F$5:$F$3000,0))))))</f>
        <v/>
      </c>
      <c r="AE70" s="16">
        <f>IF(B70="Receipt",Y70,IF(B70="Adjustment",IF(N(G70)&gt;=0,INDEX('Chart of Accounts'!$A$5:$A$3000,MATCH("stock_adjust",'Chart of Accounts'!$F$5:$F$3000,0)),AA70),AA70))</f>
        <v/>
      </c>
      <c r="AF70" s="21">
        <f>S70+T70-U70-AC70</f>
        <v/>
      </c>
      <c r="AG70" s="23">
        <f>IFERROR(INDEX('Chart of Accounts'!$C$5:$C$3000,MATCH(AD70&amp;"",'Chart of Accounts'!$A$5:$A$3000,0))&amp;"|"&amp;INDEX('Chart of Accounts'!$D$5:$D$3000,MATCH(AD70&amp;"",'Chart of Accounts'!$A$5:$A$3000,0)),"")</f>
        <v/>
      </c>
      <c r="AH70" s="23">
        <f>IFERROR(INDEX('Chart of Accounts'!$C$5:$C$3000,MATCH(V70&amp;"",'Chart of Accounts'!$A$5:$A$3000,0))&amp;"|"&amp;INDEX('Chart of Accounts'!$D$5:$D$3000,MATCH(V70&amp;"",'Chart of Accounts'!$A$5:$A$3000,0)),"")</f>
        <v/>
      </c>
      <c r="AI70" s="23">
        <f>IFERROR(INDEX('Chart of Accounts'!$C$5:$C$3000,MATCH(AE70&amp;"",'Chart of Accounts'!$A$5:$A$3000,0))&amp;"|"&amp;INDEX('Chart of Accounts'!$D$5:$D$3000,MATCH(AE70&amp;"",'Chart of Accounts'!$A$5:$A$3000,0)),"")</f>
        <v/>
      </c>
      <c r="AJ70" s="23">
        <f>IFERROR(INDEX('Chart of Accounts'!$C$5:$C$3000,MATCH(X70&amp;"",'Chart of Accounts'!$A$5:$A$3000,0))&amp;"|"&amp;INDEX('Chart of Accounts'!$D$5:$D$3000,MATCH(X70&amp;"",'Chart of Accounts'!$A$5:$A$3000,0)),"")</f>
        <v/>
      </c>
      <c r="AK70" s="23">
        <f>IFERROR(INDEX('Chart of Accounts'!$C$5:$C$3000,MATCH(W70&amp;"",'Chart of Accounts'!$A$5:$A$3000,0))&amp;"|"&amp;INDEX('Chart of Accounts'!$D$5:$D$3000,MATCH(W70&amp;"",'Chart of Accounts'!$A$5:$A$3000,0)),"")</f>
        <v/>
      </c>
      <c r="AL70" s="23">
        <f>IF(LEFT(AG70,8)="Revenue|",-N(S70),0)+IF(LEFT(AH70,8)="Revenue|",-N(T70),0)+IF(LEFT(AI70,8)="Revenue|",N(AF70),0)+IF(LEFT(AJ70,8)="Revenue|",N(AC70),0)+IF(LEFT(AK70,8)="Revenue|",N(U70),0)</f>
        <v/>
      </c>
      <c r="AM70" s="23">
        <f>IF(LEFT(AG70,5)="COGS|",N(S70),0)+IF(LEFT(AH70,5)="COGS|",N(T70),0)+IF(LEFT(AI70,5)="COGS|",-N(AF70),0)+IF(LEFT(AJ70,5)="COGS|",-N(AC70),0)+IF(LEFT(AK70,5)="COGS|",-N(U70),0)</f>
        <v/>
      </c>
      <c r="AN70" s="23">
        <f>IF(LEFT(AG70,8)="Expense|",N(S70),0)+IF(LEFT(AH70,8)="Expense|",N(T70),0)+IF(LEFT(AI70,8)="Expense|",-N(AF70),0)+IF(LEFT(AJ70,8)="Expense|",-N(AC70),0)+IF(LEFT(AK70,8)="Expense|",-N(U70),0)</f>
        <v/>
      </c>
      <c r="AO70" s="23">
        <f>IF(ISNUMBER(MATCH(AG70,{"Expense|employee","Expense|general_admin","Expense|marketing","Expense|utilities","Expense|other_operating"},0)),N(S70),0)+IF(ISNUMBER(MATCH(AH70,{"Expense|employee","Expense|general_admin","Expense|marketing","Expense|utilities","Expense|other_operating"},0)),N(T70),0)+IF(ISNUMBER(MATCH(AI70,{"Expense|employee","Expense|general_admin","Expense|marketing","Expense|utilities","Expense|other_operating"},0)),-N(AF70),0)+IF(ISNUMBER(MATCH(AJ70,{"Expense|employee","Expense|general_admin","Expense|marketing","Expense|utilities","Expense|other_operating"},0)),-N(AC70),0)+IF(ISNUMBER(MATCH(AK70,{"Expense|employee","Expense|general_admin","Expense|marketing","Expense|utilities","Expense|other_operating"},0)),-N(U70),0)</f>
        <v/>
      </c>
      <c r="AP70" s="23">
        <f>IF(AG70="Liability|payable",-N(S70),0)+IF(AH70="Liability|payable",-N(T70),0)+IF(AI70="Liability|payable",N(AF70),0)+IF(AJ70="Liability|payable",N(AC70),0)+IF(AK70="Liability|payable",N(U70),0)</f>
        <v/>
      </c>
      <c r="AQ70" s="23">
        <f>IF(AG70="Liability|accrued",-N(S70),0)+IF(AH70="Liability|accrued",-N(T70),0)+IF(AI70="Liability|accrued",N(AF70),0)+IF(AJ70="Liability|accrued",N(AC70),0)+IF(AK70="Liability|accrued",N(U70),0)</f>
        <v/>
      </c>
      <c r="AR70" s="23">
        <f>IF(AND(N(S70)&lt;&gt;0,AG70=""),1,0)+IF(AND(N(T70)&lt;&gt;0,AH70=""),1,0)+IF(AND(N(AF70)&lt;&gt;0,AI70=""),1,0)+IF(AND(N(AC70)&lt;&gt;0,AJ70=""),1,0)+IF(AND(N(U70)&lt;&gt;0,AK70=""),1,0)</f>
        <v/>
      </c>
    </row>
    <row r="71">
      <c r="A71" s="19" t="n"/>
      <c r="B71" s="14" t="n"/>
      <c r="C71" s="14" t="n"/>
      <c r="D71" s="14" t="n"/>
      <c r="E71" s="14" t="n"/>
      <c r="F71" s="14" t="n"/>
      <c r="G71" s="14" t="n"/>
      <c r="H71" s="20" t="n"/>
      <c r="I71" s="14" t="n"/>
      <c r="J71" s="14" t="n"/>
      <c r="K71" s="20" t="n"/>
      <c r="L71" s="14" t="n"/>
      <c r="M71" s="14" t="n"/>
      <c r="N71" s="14" t="n"/>
      <c r="O71" s="14" t="n"/>
      <c r="P71" s="14" t="n"/>
      <c r="Q71" s="14" t="n"/>
      <c r="R71" s="14" t="n"/>
      <c r="S71" s="21">
        <f>ROUND(ABS(N(G71))*N(H71),2)</f>
        <v/>
      </c>
      <c r="T71" s="21">
        <f>IF(B71="Receipt",ROUND(S71*IFERROR(VLOOKUP(Q71,'Tax Codes'!$A$5:$E$300,5,FALSE),0),2),0)</f>
        <v/>
      </c>
      <c r="U71" s="21">
        <f>IF(B71="Receipt",ROUND(S71*IFERROR(VLOOKUP(R71,'Tax Codes'!$A$5:$E$300,5,FALSE),0),2),0)</f>
        <v/>
      </c>
      <c r="V71" s="16">
        <f>INDEX('Chart of Accounts'!$A$5:$A$3000,MATCH("vat_input",'Chart of Accounts'!$F$5:$F$3000,0))</f>
        <v/>
      </c>
      <c r="W71" s="16">
        <f>INDEX('Chart of Accounts'!$A$5:$A$3000,MATCH("wht_payable",'Chart of Accounts'!$F$5:$F$3000,0))</f>
        <v/>
      </c>
      <c r="X71" s="16">
        <f>IF(M71="",INDEX('Chart of Accounts'!$A$5:$A$3000,MATCH("bank",'Chart of Accounts'!$F$5:$F$3000,0)),M71&amp;"")</f>
        <v/>
      </c>
      <c r="Y71" s="16">
        <f>IF(N71="",INDEX('Chart of Accounts'!$A$5:$A$3000,MATCH("ap",'Chart of Accounts'!$F$5:$F$3000,0)),N71&amp;"")</f>
        <v/>
      </c>
      <c r="Z71" s="16">
        <f>IF(O71="",INDEX('Chart of Accounts'!$A$5:$A$3000,MATCH("materials",'Chart of Accounts'!$F$5:$F$3000,0)),O71&amp;"")</f>
        <v/>
      </c>
      <c r="AA71" s="16">
        <f>IF(IFERROR(INDEX(Warehouses!$C$5:$C$1000,MATCH(C71,Warehouses!$A$5:$A$1000,0))&amp;"","")="",INDEX('Chart of Accounts'!$A$5:$A$3000,MATCH("inventory",'Chart of Accounts'!$F$5:$F$3000,0)),IFERROR(INDEX(Warehouses!$C$5:$C$1000,MATCH(C71,Warehouses!$A$5:$A$1000,0))&amp;"",""))</f>
        <v/>
      </c>
      <c r="AB71" s="16">
        <f>IF(IFERROR(INDEX(Warehouses!$C$5:$C$1000,MATCH(D71,Warehouses!$A$5:$A$1000,0))&amp;"","")="",INDEX('Chart of Accounts'!$A$5:$A$3000,MATCH("inventory",'Chart of Accounts'!$F$5:$F$3000,0)),IFERROR(INDEX(Warehouses!$C$5:$C$1000,MATCH(D71,Warehouses!$A$5:$A$1000,0))&amp;"",""))</f>
        <v/>
      </c>
      <c r="AC71" s="21">
        <f>IF(B71="Receipt",N(K71),0)</f>
        <v/>
      </c>
      <c r="AD71" s="16">
        <f>IF(B71="Receipt",AA71,IF(B71="Issue",Z71,IF(B71="Transfer",AB71,IF(N(G71)&gt;=0,AA71,INDEX('Chart of Accounts'!$A$5:$A$3000,MATCH("stock_adjust",'Chart of Accounts'!$F$5:$F$3000,0))))))</f>
        <v/>
      </c>
      <c r="AE71" s="16">
        <f>IF(B71="Receipt",Y71,IF(B71="Adjustment",IF(N(G71)&gt;=0,INDEX('Chart of Accounts'!$A$5:$A$3000,MATCH("stock_adjust",'Chart of Accounts'!$F$5:$F$3000,0)),AA71),AA71))</f>
        <v/>
      </c>
      <c r="AF71" s="21">
        <f>S71+T71-U71-AC71</f>
        <v/>
      </c>
      <c r="AG71" s="23">
        <f>IFERROR(INDEX('Chart of Accounts'!$C$5:$C$3000,MATCH(AD71&amp;"",'Chart of Accounts'!$A$5:$A$3000,0))&amp;"|"&amp;INDEX('Chart of Accounts'!$D$5:$D$3000,MATCH(AD71&amp;"",'Chart of Accounts'!$A$5:$A$3000,0)),"")</f>
        <v/>
      </c>
      <c r="AH71" s="23">
        <f>IFERROR(INDEX('Chart of Accounts'!$C$5:$C$3000,MATCH(V71&amp;"",'Chart of Accounts'!$A$5:$A$3000,0))&amp;"|"&amp;INDEX('Chart of Accounts'!$D$5:$D$3000,MATCH(V71&amp;"",'Chart of Accounts'!$A$5:$A$3000,0)),"")</f>
        <v/>
      </c>
      <c r="AI71" s="23">
        <f>IFERROR(INDEX('Chart of Accounts'!$C$5:$C$3000,MATCH(AE71&amp;"",'Chart of Accounts'!$A$5:$A$3000,0))&amp;"|"&amp;INDEX('Chart of Accounts'!$D$5:$D$3000,MATCH(AE71&amp;"",'Chart of Accounts'!$A$5:$A$3000,0)),"")</f>
        <v/>
      </c>
      <c r="AJ71" s="23">
        <f>IFERROR(INDEX('Chart of Accounts'!$C$5:$C$3000,MATCH(X71&amp;"",'Chart of Accounts'!$A$5:$A$3000,0))&amp;"|"&amp;INDEX('Chart of Accounts'!$D$5:$D$3000,MATCH(X71&amp;"",'Chart of Accounts'!$A$5:$A$3000,0)),"")</f>
        <v/>
      </c>
      <c r="AK71" s="23">
        <f>IFERROR(INDEX('Chart of Accounts'!$C$5:$C$3000,MATCH(W71&amp;"",'Chart of Accounts'!$A$5:$A$3000,0))&amp;"|"&amp;INDEX('Chart of Accounts'!$D$5:$D$3000,MATCH(W71&amp;"",'Chart of Accounts'!$A$5:$A$3000,0)),"")</f>
        <v/>
      </c>
      <c r="AL71" s="23">
        <f>IF(LEFT(AG71,8)="Revenue|",-N(S71),0)+IF(LEFT(AH71,8)="Revenue|",-N(T71),0)+IF(LEFT(AI71,8)="Revenue|",N(AF71),0)+IF(LEFT(AJ71,8)="Revenue|",N(AC71),0)+IF(LEFT(AK71,8)="Revenue|",N(U71),0)</f>
        <v/>
      </c>
      <c r="AM71" s="23">
        <f>IF(LEFT(AG71,5)="COGS|",N(S71),0)+IF(LEFT(AH71,5)="COGS|",N(T71),0)+IF(LEFT(AI71,5)="COGS|",-N(AF71),0)+IF(LEFT(AJ71,5)="COGS|",-N(AC71),0)+IF(LEFT(AK71,5)="COGS|",-N(U71),0)</f>
        <v/>
      </c>
      <c r="AN71" s="23">
        <f>IF(LEFT(AG71,8)="Expense|",N(S71),0)+IF(LEFT(AH71,8)="Expense|",N(T71),0)+IF(LEFT(AI71,8)="Expense|",-N(AF71),0)+IF(LEFT(AJ71,8)="Expense|",-N(AC71),0)+IF(LEFT(AK71,8)="Expense|",-N(U71),0)</f>
        <v/>
      </c>
      <c r="AO71" s="23">
        <f>IF(ISNUMBER(MATCH(AG71,{"Expense|employee","Expense|general_admin","Expense|marketing","Expense|utilities","Expense|other_operating"},0)),N(S71),0)+IF(ISNUMBER(MATCH(AH71,{"Expense|employee","Expense|general_admin","Expense|marketing","Expense|utilities","Expense|other_operating"},0)),N(T71),0)+IF(ISNUMBER(MATCH(AI71,{"Expense|employee","Expense|general_admin","Expense|marketing","Expense|utilities","Expense|other_operating"},0)),-N(AF71),0)+IF(ISNUMBER(MATCH(AJ71,{"Expense|employee","Expense|general_admin","Expense|marketing","Expense|utilities","Expense|other_operating"},0)),-N(AC71),0)+IF(ISNUMBER(MATCH(AK71,{"Expense|employee","Expense|general_admin","Expense|marketing","Expense|utilities","Expense|other_operating"},0)),-N(U71),0)</f>
        <v/>
      </c>
      <c r="AP71" s="23">
        <f>IF(AG71="Liability|payable",-N(S71),0)+IF(AH71="Liability|payable",-N(T71),0)+IF(AI71="Liability|payable",N(AF71),0)+IF(AJ71="Liability|payable",N(AC71),0)+IF(AK71="Liability|payable",N(U71),0)</f>
        <v/>
      </c>
      <c r="AQ71" s="23">
        <f>IF(AG71="Liability|accrued",-N(S71),0)+IF(AH71="Liability|accrued",-N(T71),0)+IF(AI71="Liability|accrued",N(AF71),0)+IF(AJ71="Liability|accrued",N(AC71),0)+IF(AK71="Liability|accrued",N(U71),0)</f>
        <v/>
      </c>
      <c r="AR71" s="23">
        <f>IF(AND(N(S71)&lt;&gt;0,AG71=""),1,0)+IF(AND(N(T71)&lt;&gt;0,AH71=""),1,0)+IF(AND(N(AF71)&lt;&gt;0,AI71=""),1,0)+IF(AND(N(AC71)&lt;&gt;0,AJ71=""),1,0)+IF(AND(N(U71)&lt;&gt;0,AK71=""),1,0)</f>
        <v/>
      </c>
    </row>
    <row r="72">
      <c r="A72" s="19" t="n"/>
      <c r="B72" s="14" t="n"/>
      <c r="C72" s="14" t="n"/>
      <c r="D72" s="14" t="n"/>
      <c r="E72" s="14" t="n"/>
      <c r="F72" s="14" t="n"/>
      <c r="G72" s="14" t="n"/>
      <c r="H72" s="20" t="n"/>
      <c r="I72" s="14" t="n"/>
      <c r="J72" s="14" t="n"/>
      <c r="K72" s="20" t="n"/>
      <c r="L72" s="14" t="n"/>
      <c r="M72" s="14" t="n"/>
      <c r="N72" s="14" t="n"/>
      <c r="O72" s="14" t="n"/>
      <c r="P72" s="14" t="n"/>
      <c r="Q72" s="14" t="n"/>
      <c r="R72" s="14" t="n"/>
      <c r="S72" s="21">
        <f>ROUND(ABS(N(G72))*N(H72),2)</f>
        <v/>
      </c>
      <c r="T72" s="21">
        <f>IF(B72="Receipt",ROUND(S72*IFERROR(VLOOKUP(Q72,'Tax Codes'!$A$5:$E$300,5,FALSE),0),2),0)</f>
        <v/>
      </c>
      <c r="U72" s="21">
        <f>IF(B72="Receipt",ROUND(S72*IFERROR(VLOOKUP(R72,'Tax Codes'!$A$5:$E$300,5,FALSE),0),2),0)</f>
        <v/>
      </c>
      <c r="V72" s="16">
        <f>INDEX('Chart of Accounts'!$A$5:$A$3000,MATCH("vat_input",'Chart of Accounts'!$F$5:$F$3000,0))</f>
        <v/>
      </c>
      <c r="W72" s="16">
        <f>INDEX('Chart of Accounts'!$A$5:$A$3000,MATCH("wht_payable",'Chart of Accounts'!$F$5:$F$3000,0))</f>
        <v/>
      </c>
      <c r="X72" s="16">
        <f>IF(M72="",INDEX('Chart of Accounts'!$A$5:$A$3000,MATCH("bank",'Chart of Accounts'!$F$5:$F$3000,0)),M72&amp;"")</f>
        <v/>
      </c>
      <c r="Y72" s="16">
        <f>IF(N72="",INDEX('Chart of Accounts'!$A$5:$A$3000,MATCH("ap",'Chart of Accounts'!$F$5:$F$3000,0)),N72&amp;"")</f>
        <v/>
      </c>
      <c r="Z72" s="16">
        <f>IF(O72="",INDEX('Chart of Accounts'!$A$5:$A$3000,MATCH("materials",'Chart of Accounts'!$F$5:$F$3000,0)),O72&amp;"")</f>
        <v/>
      </c>
      <c r="AA72" s="16">
        <f>IF(IFERROR(INDEX(Warehouses!$C$5:$C$1000,MATCH(C72,Warehouses!$A$5:$A$1000,0))&amp;"","")="",INDEX('Chart of Accounts'!$A$5:$A$3000,MATCH("inventory",'Chart of Accounts'!$F$5:$F$3000,0)),IFERROR(INDEX(Warehouses!$C$5:$C$1000,MATCH(C72,Warehouses!$A$5:$A$1000,0))&amp;"",""))</f>
        <v/>
      </c>
      <c r="AB72" s="16">
        <f>IF(IFERROR(INDEX(Warehouses!$C$5:$C$1000,MATCH(D72,Warehouses!$A$5:$A$1000,0))&amp;"","")="",INDEX('Chart of Accounts'!$A$5:$A$3000,MATCH("inventory",'Chart of Accounts'!$F$5:$F$3000,0)),IFERROR(INDEX(Warehouses!$C$5:$C$1000,MATCH(D72,Warehouses!$A$5:$A$1000,0))&amp;"",""))</f>
        <v/>
      </c>
      <c r="AC72" s="21">
        <f>IF(B72="Receipt",N(K72),0)</f>
        <v/>
      </c>
      <c r="AD72" s="16">
        <f>IF(B72="Receipt",AA72,IF(B72="Issue",Z72,IF(B72="Transfer",AB72,IF(N(G72)&gt;=0,AA72,INDEX('Chart of Accounts'!$A$5:$A$3000,MATCH("stock_adjust",'Chart of Accounts'!$F$5:$F$3000,0))))))</f>
        <v/>
      </c>
      <c r="AE72" s="16">
        <f>IF(B72="Receipt",Y72,IF(B72="Adjustment",IF(N(G72)&gt;=0,INDEX('Chart of Accounts'!$A$5:$A$3000,MATCH("stock_adjust",'Chart of Accounts'!$F$5:$F$3000,0)),AA72),AA72))</f>
        <v/>
      </c>
      <c r="AF72" s="21">
        <f>S72+T72-U72-AC72</f>
        <v/>
      </c>
      <c r="AG72" s="23">
        <f>IFERROR(INDEX('Chart of Accounts'!$C$5:$C$3000,MATCH(AD72&amp;"",'Chart of Accounts'!$A$5:$A$3000,0))&amp;"|"&amp;INDEX('Chart of Accounts'!$D$5:$D$3000,MATCH(AD72&amp;"",'Chart of Accounts'!$A$5:$A$3000,0)),"")</f>
        <v/>
      </c>
      <c r="AH72" s="23">
        <f>IFERROR(INDEX('Chart of Accounts'!$C$5:$C$3000,MATCH(V72&amp;"",'Chart of Accounts'!$A$5:$A$3000,0))&amp;"|"&amp;INDEX('Chart of Accounts'!$D$5:$D$3000,MATCH(V72&amp;"",'Chart of Accounts'!$A$5:$A$3000,0)),"")</f>
        <v/>
      </c>
      <c r="AI72" s="23">
        <f>IFERROR(INDEX('Chart of Accounts'!$C$5:$C$3000,MATCH(AE72&amp;"",'Chart of Accounts'!$A$5:$A$3000,0))&amp;"|"&amp;INDEX('Chart of Accounts'!$D$5:$D$3000,MATCH(AE72&amp;"",'Chart of Accounts'!$A$5:$A$3000,0)),"")</f>
        <v/>
      </c>
      <c r="AJ72" s="23">
        <f>IFERROR(INDEX('Chart of Accounts'!$C$5:$C$3000,MATCH(X72&amp;"",'Chart of Accounts'!$A$5:$A$3000,0))&amp;"|"&amp;INDEX('Chart of Accounts'!$D$5:$D$3000,MATCH(X72&amp;"",'Chart of Accounts'!$A$5:$A$3000,0)),"")</f>
        <v/>
      </c>
      <c r="AK72" s="23">
        <f>IFERROR(INDEX('Chart of Accounts'!$C$5:$C$3000,MATCH(W72&amp;"",'Chart of Accounts'!$A$5:$A$3000,0))&amp;"|"&amp;INDEX('Chart of Accounts'!$D$5:$D$3000,MATCH(W72&amp;"",'Chart of Accounts'!$A$5:$A$3000,0)),"")</f>
        <v/>
      </c>
      <c r="AL72" s="23">
        <f>IF(LEFT(AG72,8)="Revenue|",-N(S72),0)+IF(LEFT(AH72,8)="Revenue|",-N(T72),0)+IF(LEFT(AI72,8)="Revenue|",N(AF72),0)+IF(LEFT(AJ72,8)="Revenue|",N(AC72),0)+IF(LEFT(AK72,8)="Revenue|",N(U72),0)</f>
        <v/>
      </c>
      <c r="AM72" s="23">
        <f>IF(LEFT(AG72,5)="COGS|",N(S72),0)+IF(LEFT(AH72,5)="COGS|",N(T72),0)+IF(LEFT(AI72,5)="COGS|",-N(AF72),0)+IF(LEFT(AJ72,5)="COGS|",-N(AC72),0)+IF(LEFT(AK72,5)="COGS|",-N(U72),0)</f>
        <v/>
      </c>
      <c r="AN72" s="23">
        <f>IF(LEFT(AG72,8)="Expense|",N(S72),0)+IF(LEFT(AH72,8)="Expense|",N(T72),0)+IF(LEFT(AI72,8)="Expense|",-N(AF72),0)+IF(LEFT(AJ72,8)="Expense|",-N(AC72),0)+IF(LEFT(AK72,8)="Expense|",-N(U72),0)</f>
        <v/>
      </c>
      <c r="AO72" s="23">
        <f>IF(ISNUMBER(MATCH(AG72,{"Expense|employee","Expense|general_admin","Expense|marketing","Expense|utilities","Expense|other_operating"},0)),N(S72),0)+IF(ISNUMBER(MATCH(AH72,{"Expense|employee","Expense|general_admin","Expense|marketing","Expense|utilities","Expense|other_operating"},0)),N(T72),0)+IF(ISNUMBER(MATCH(AI72,{"Expense|employee","Expense|general_admin","Expense|marketing","Expense|utilities","Expense|other_operating"},0)),-N(AF72),0)+IF(ISNUMBER(MATCH(AJ72,{"Expense|employee","Expense|general_admin","Expense|marketing","Expense|utilities","Expense|other_operating"},0)),-N(AC72),0)+IF(ISNUMBER(MATCH(AK72,{"Expense|employee","Expense|general_admin","Expense|marketing","Expense|utilities","Expense|other_operating"},0)),-N(U72),0)</f>
        <v/>
      </c>
      <c r="AP72" s="23">
        <f>IF(AG72="Liability|payable",-N(S72),0)+IF(AH72="Liability|payable",-N(T72),0)+IF(AI72="Liability|payable",N(AF72),0)+IF(AJ72="Liability|payable",N(AC72),0)+IF(AK72="Liability|payable",N(U72),0)</f>
        <v/>
      </c>
      <c r="AQ72" s="23">
        <f>IF(AG72="Liability|accrued",-N(S72),0)+IF(AH72="Liability|accrued",-N(T72),0)+IF(AI72="Liability|accrued",N(AF72),0)+IF(AJ72="Liability|accrued",N(AC72),0)+IF(AK72="Liability|accrued",N(U72),0)</f>
        <v/>
      </c>
      <c r="AR72" s="23">
        <f>IF(AND(N(S72)&lt;&gt;0,AG72=""),1,0)+IF(AND(N(T72)&lt;&gt;0,AH72=""),1,0)+IF(AND(N(AF72)&lt;&gt;0,AI72=""),1,0)+IF(AND(N(AC72)&lt;&gt;0,AJ72=""),1,0)+IF(AND(N(U72)&lt;&gt;0,AK72=""),1,0)</f>
        <v/>
      </c>
    </row>
    <row r="73">
      <c r="A73" s="19" t="n"/>
      <c r="B73" s="14" t="n"/>
      <c r="C73" s="14" t="n"/>
      <c r="D73" s="14" t="n"/>
      <c r="E73" s="14" t="n"/>
      <c r="F73" s="14" t="n"/>
      <c r="G73" s="14" t="n"/>
      <c r="H73" s="20" t="n"/>
      <c r="I73" s="14" t="n"/>
      <c r="J73" s="14" t="n"/>
      <c r="K73" s="20" t="n"/>
      <c r="L73" s="14" t="n"/>
      <c r="M73" s="14" t="n"/>
      <c r="N73" s="14" t="n"/>
      <c r="O73" s="14" t="n"/>
      <c r="P73" s="14" t="n"/>
      <c r="Q73" s="14" t="n"/>
      <c r="R73" s="14" t="n"/>
      <c r="S73" s="21">
        <f>ROUND(ABS(N(G73))*N(H73),2)</f>
        <v/>
      </c>
      <c r="T73" s="21">
        <f>IF(B73="Receipt",ROUND(S73*IFERROR(VLOOKUP(Q73,'Tax Codes'!$A$5:$E$300,5,FALSE),0),2),0)</f>
        <v/>
      </c>
      <c r="U73" s="21">
        <f>IF(B73="Receipt",ROUND(S73*IFERROR(VLOOKUP(R73,'Tax Codes'!$A$5:$E$300,5,FALSE),0),2),0)</f>
        <v/>
      </c>
      <c r="V73" s="16">
        <f>INDEX('Chart of Accounts'!$A$5:$A$3000,MATCH("vat_input",'Chart of Accounts'!$F$5:$F$3000,0))</f>
        <v/>
      </c>
      <c r="W73" s="16">
        <f>INDEX('Chart of Accounts'!$A$5:$A$3000,MATCH("wht_payable",'Chart of Accounts'!$F$5:$F$3000,0))</f>
        <v/>
      </c>
      <c r="X73" s="16">
        <f>IF(M73="",INDEX('Chart of Accounts'!$A$5:$A$3000,MATCH("bank",'Chart of Accounts'!$F$5:$F$3000,0)),M73&amp;"")</f>
        <v/>
      </c>
      <c r="Y73" s="16">
        <f>IF(N73="",INDEX('Chart of Accounts'!$A$5:$A$3000,MATCH("ap",'Chart of Accounts'!$F$5:$F$3000,0)),N73&amp;"")</f>
        <v/>
      </c>
      <c r="Z73" s="16">
        <f>IF(O73="",INDEX('Chart of Accounts'!$A$5:$A$3000,MATCH("materials",'Chart of Accounts'!$F$5:$F$3000,0)),O73&amp;"")</f>
        <v/>
      </c>
      <c r="AA73" s="16">
        <f>IF(IFERROR(INDEX(Warehouses!$C$5:$C$1000,MATCH(C73,Warehouses!$A$5:$A$1000,0))&amp;"","")="",INDEX('Chart of Accounts'!$A$5:$A$3000,MATCH("inventory",'Chart of Accounts'!$F$5:$F$3000,0)),IFERROR(INDEX(Warehouses!$C$5:$C$1000,MATCH(C73,Warehouses!$A$5:$A$1000,0))&amp;"",""))</f>
        <v/>
      </c>
      <c r="AB73" s="16">
        <f>IF(IFERROR(INDEX(Warehouses!$C$5:$C$1000,MATCH(D73,Warehouses!$A$5:$A$1000,0))&amp;"","")="",INDEX('Chart of Accounts'!$A$5:$A$3000,MATCH("inventory",'Chart of Accounts'!$F$5:$F$3000,0)),IFERROR(INDEX(Warehouses!$C$5:$C$1000,MATCH(D73,Warehouses!$A$5:$A$1000,0))&amp;"",""))</f>
        <v/>
      </c>
      <c r="AC73" s="21">
        <f>IF(B73="Receipt",N(K73),0)</f>
        <v/>
      </c>
      <c r="AD73" s="16">
        <f>IF(B73="Receipt",AA73,IF(B73="Issue",Z73,IF(B73="Transfer",AB73,IF(N(G73)&gt;=0,AA73,INDEX('Chart of Accounts'!$A$5:$A$3000,MATCH("stock_adjust",'Chart of Accounts'!$F$5:$F$3000,0))))))</f>
        <v/>
      </c>
      <c r="AE73" s="16">
        <f>IF(B73="Receipt",Y73,IF(B73="Adjustment",IF(N(G73)&gt;=0,INDEX('Chart of Accounts'!$A$5:$A$3000,MATCH("stock_adjust",'Chart of Accounts'!$F$5:$F$3000,0)),AA73),AA73))</f>
        <v/>
      </c>
      <c r="AF73" s="21">
        <f>S73+T73-U73-AC73</f>
        <v/>
      </c>
      <c r="AG73" s="23">
        <f>IFERROR(INDEX('Chart of Accounts'!$C$5:$C$3000,MATCH(AD73&amp;"",'Chart of Accounts'!$A$5:$A$3000,0))&amp;"|"&amp;INDEX('Chart of Accounts'!$D$5:$D$3000,MATCH(AD73&amp;"",'Chart of Accounts'!$A$5:$A$3000,0)),"")</f>
        <v/>
      </c>
      <c r="AH73" s="23">
        <f>IFERROR(INDEX('Chart of Accounts'!$C$5:$C$3000,MATCH(V73&amp;"",'Chart of Accounts'!$A$5:$A$3000,0))&amp;"|"&amp;INDEX('Chart of Accounts'!$D$5:$D$3000,MATCH(V73&amp;"",'Chart of Accounts'!$A$5:$A$3000,0)),"")</f>
        <v/>
      </c>
      <c r="AI73" s="23">
        <f>IFERROR(INDEX('Chart of Accounts'!$C$5:$C$3000,MATCH(AE73&amp;"",'Chart of Accounts'!$A$5:$A$3000,0))&amp;"|"&amp;INDEX('Chart of Accounts'!$D$5:$D$3000,MATCH(AE73&amp;"",'Chart of Accounts'!$A$5:$A$3000,0)),"")</f>
        <v/>
      </c>
      <c r="AJ73" s="23">
        <f>IFERROR(INDEX('Chart of Accounts'!$C$5:$C$3000,MATCH(X73&amp;"",'Chart of Accounts'!$A$5:$A$3000,0))&amp;"|"&amp;INDEX('Chart of Accounts'!$D$5:$D$3000,MATCH(X73&amp;"",'Chart of Accounts'!$A$5:$A$3000,0)),"")</f>
        <v/>
      </c>
      <c r="AK73" s="23">
        <f>IFERROR(INDEX('Chart of Accounts'!$C$5:$C$3000,MATCH(W73&amp;"",'Chart of Accounts'!$A$5:$A$3000,0))&amp;"|"&amp;INDEX('Chart of Accounts'!$D$5:$D$3000,MATCH(W73&amp;"",'Chart of Accounts'!$A$5:$A$3000,0)),"")</f>
        <v/>
      </c>
      <c r="AL73" s="23">
        <f>IF(LEFT(AG73,8)="Revenue|",-N(S73),0)+IF(LEFT(AH73,8)="Revenue|",-N(T73),0)+IF(LEFT(AI73,8)="Revenue|",N(AF73),0)+IF(LEFT(AJ73,8)="Revenue|",N(AC73),0)+IF(LEFT(AK73,8)="Revenue|",N(U73),0)</f>
        <v/>
      </c>
      <c r="AM73" s="23">
        <f>IF(LEFT(AG73,5)="COGS|",N(S73),0)+IF(LEFT(AH73,5)="COGS|",N(T73),0)+IF(LEFT(AI73,5)="COGS|",-N(AF73),0)+IF(LEFT(AJ73,5)="COGS|",-N(AC73),0)+IF(LEFT(AK73,5)="COGS|",-N(U73),0)</f>
        <v/>
      </c>
      <c r="AN73" s="23">
        <f>IF(LEFT(AG73,8)="Expense|",N(S73),0)+IF(LEFT(AH73,8)="Expense|",N(T73),0)+IF(LEFT(AI73,8)="Expense|",-N(AF73),0)+IF(LEFT(AJ73,8)="Expense|",-N(AC73),0)+IF(LEFT(AK73,8)="Expense|",-N(U73),0)</f>
        <v/>
      </c>
      <c r="AO73" s="23">
        <f>IF(ISNUMBER(MATCH(AG73,{"Expense|employee","Expense|general_admin","Expense|marketing","Expense|utilities","Expense|other_operating"},0)),N(S73),0)+IF(ISNUMBER(MATCH(AH73,{"Expense|employee","Expense|general_admin","Expense|marketing","Expense|utilities","Expense|other_operating"},0)),N(T73),0)+IF(ISNUMBER(MATCH(AI73,{"Expense|employee","Expense|general_admin","Expense|marketing","Expense|utilities","Expense|other_operating"},0)),-N(AF73),0)+IF(ISNUMBER(MATCH(AJ73,{"Expense|employee","Expense|general_admin","Expense|marketing","Expense|utilities","Expense|other_operating"},0)),-N(AC73),0)+IF(ISNUMBER(MATCH(AK73,{"Expense|employee","Expense|general_admin","Expense|marketing","Expense|utilities","Expense|other_operating"},0)),-N(U73),0)</f>
        <v/>
      </c>
      <c r="AP73" s="23">
        <f>IF(AG73="Liability|payable",-N(S73),0)+IF(AH73="Liability|payable",-N(T73),0)+IF(AI73="Liability|payable",N(AF73),0)+IF(AJ73="Liability|payable",N(AC73),0)+IF(AK73="Liability|payable",N(U73),0)</f>
        <v/>
      </c>
      <c r="AQ73" s="23">
        <f>IF(AG73="Liability|accrued",-N(S73),0)+IF(AH73="Liability|accrued",-N(T73),0)+IF(AI73="Liability|accrued",N(AF73),0)+IF(AJ73="Liability|accrued",N(AC73),0)+IF(AK73="Liability|accrued",N(U73),0)</f>
        <v/>
      </c>
      <c r="AR73" s="23">
        <f>IF(AND(N(S73)&lt;&gt;0,AG73=""),1,0)+IF(AND(N(T73)&lt;&gt;0,AH73=""),1,0)+IF(AND(N(AF73)&lt;&gt;0,AI73=""),1,0)+IF(AND(N(AC73)&lt;&gt;0,AJ73=""),1,0)+IF(AND(N(U73)&lt;&gt;0,AK73=""),1,0)</f>
        <v/>
      </c>
    </row>
    <row r="74">
      <c r="A74" s="19" t="n"/>
      <c r="B74" s="14" t="n"/>
      <c r="C74" s="14" t="n"/>
      <c r="D74" s="14" t="n"/>
      <c r="E74" s="14" t="n"/>
      <c r="F74" s="14" t="n"/>
      <c r="G74" s="14" t="n"/>
      <c r="H74" s="20" t="n"/>
      <c r="I74" s="14" t="n"/>
      <c r="J74" s="14" t="n"/>
      <c r="K74" s="20" t="n"/>
      <c r="L74" s="14" t="n"/>
      <c r="M74" s="14" t="n"/>
      <c r="N74" s="14" t="n"/>
      <c r="O74" s="14" t="n"/>
      <c r="P74" s="14" t="n"/>
      <c r="Q74" s="14" t="n"/>
      <c r="R74" s="14" t="n"/>
      <c r="S74" s="21">
        <f>ROUND(ABS(N(G74))*N(H74),2)</f>
        <v/>
      </c>
      <c r="T74" s="21">
        <f>IF(B74="Receipt",ROUND(S74*IFERROR(VLOOKUP(Q74,'Tax Codes'!$A$5:$E$300,5,FALSE),0),2),0)</f>
        <v/>
      </c>
      <c r="U74" s="21">
        <f>IF(B74="Receipt",ROUND(S74*IFERROR(VLOOKUP(R74,'Tax Codes'!$A$5:$E$300,5,FALSE),0),2),0)</f>
        <v/>
      </c>
      <c r="V74" s="16">
        <f>INDEX('Chart of Accounts'!$A$5:$A$3000,MATCH("vat_input",'Chart of Accounts'!$F$5:$F$3000,0))</f>
        <v/>
      </c>
      <c r="W74" s="16">
        <f>INDEX('Chart of Accounts'!$A$5:$A$3000,MATCH("wht_payable",'Chart of Accounts'!$F$5:$F$3000,0))</f>
        <v/>
      </c>
      <c r="X74" s="16">
        <f>IF(M74="",INDEX('Chart of Accounts'!$A$5:$A$3000,MATCH("bank",'Chart of Accounts'!$F$5:$F$3000,0)),M74&amp;"")</f>
        <v/>
      </c>
      <c r="Y74" s="16">
        <f>IF(N74="",INDEX('Chart of Accounts'!$A$5:$A$3000,MATCH("ap",'Chart of Accounts'!$F$5:$F$3000,0)),N74&amp;"")</f>
        <v/>
      </c>
      <c r="Z74" s="16">
        <f>IF(O74="",INDEX('Chart of Accounts'!$A$5:$A$3000,MATCH("materials",'Chart of Accounts'!$F$5:$F$3000,0)),O74&amp;"")</f>
        <v/>
      </c>
      <c r="AA74" s="16">
        <f>IF(IFERROR(INDEX(Warehouses!$C$5:$C$1000,MATCH(C74,Warehouses!$A$5:$A$1000,0))&amp;"","")="",INDEX('Chart of Accounts'!$A$5:$A$3000,MATCH("inventory",'Chart of Accounts'!$F$5:$F$3000,0)),IFERROR(INDEX(Warehouses!$C$5:$C$1000,MATCH(C74,Warehouses!$A$5:$A$1000,0))&amp;"",""))</f>
        <v/>
      </c>
      <c r="AB74" s="16">
        <f>IF(IFERROR(INDEX(Warehouses!$C$5:$C$1000,MATCH(D74,Warehouses!$A$5:$A$1000,0))&amp;"","")="",INDEX('Chart of Accounts'!$A$5:$A$3000,MATCH("inventory",'Chart of Accounts'!$F$5:$F$3000,0)),IFERROR(INDEX(Warehouses!$C$5:$C$1000,MATCH(D74,Warehouses!$A$5:$A$1000,0))&amp;"",""))</f>
        <v/>
      </c>
      <c r="AC74" s="21">
        <f>IF(B74="Receipt",N(K74),0)</f>
        <v/>
      </c>
      <c r="AD74" s="16">
        <f>IF(B74="Receipt",AA74,IF(B74="Issue",Z74,IF(B74="Transfer",AB74,IF(N(G74)&gt;=0,AA74,INDEX('Chart of Accounts'!$A$5:$A$3000,MATCH("stock_adjust",'Chart of Accounts'!$F$5:$F$3000,0))))))</f>
        <v/>
      </c>
      <c r="AE74" s="16">
        <f>IF(B74="Receipt",Y74,IF(B74="Adjustment",IF(N(G74)&gt;=0,INDEX('Chart of Accounts'!$A$5:$A$3000,MATCH("stock_adjust",'Chart of Accounts'!$F$5:$F$3000,0)),AA74),AA74))</f>
        <v/>
      </c>
      <c r="AF74" s="21">
        <f>S74+T74-U74-AC74</f>
        <v/>
      </c>
      <c r="AG74" s="23">
        <f>IFERROR(INDEX('Chart of Accounts'!$C$5:$C$3000,MATCH(AD74&amp;"",'Chart of Accounts'!$A$5:$A$3000,0))&amp;"|"&amp;INDEX('Chart of Accounts'!$D$5:$D$3000,MATCH(AD74&amp;"",'Chart of Accounts'!$A$5:$A$3000,0)),"")</f>
        <v/>
      </c>
      <c r="AH74" s="23">
        <f>IFERROR(INDEX('Chart of Accounts'!$C$5:$C$3000,MATCH(V74&amp;"",'Chart of Accounts'!$A$5:$A$3000,0))&amp;"|"&amp;INDEX('Chart of Accounts'!$D$5:$D$3000,MATCH(V74&amp;"",'Chart of Accounts'!$A$5:$A$3000,0)),"")</f>
        <v/>
      </c>
      <c r="AI74" s="23">
        <f>IFERROR(INDEX('Chart of Accounts'!$C$5:$C$3000,MATCH(AE74&amp;"",'Chart of Accounts'!$A$5:$A$3000,0))&amp;"|"&amp;INDEX('Chart of Accounts'!$D$5:$D$3000,MATCH(AE74&amp;"",'Chart of Accounts'!$A$5:$A$3000,0)),"")</f>
        <v/>
      </c>
      <c r="AJ74" s="23">
        <f>IFERROR(INDEX('Chart of Accounts'!$C$5:$C$3000,MATCH(X74&amp;"",'Chart of Accounts'!$A$5:$A$3000,0))&amp;"|"&amp;INDEX('Chart of Accounts'!$D$5:$D$3000,MATCH(X74&amp;"",'Chart of Accounts'!$A$5:$A$3000,0)),"")</f>
        <v/>
      </c>
      <c r="AK74" s="23">
        <f>IFERROR(INDEX('Chart of Accounts'!$C$5:$C$3000,MATCH(W74&amp;"",'Chart of Accounts'!$A$5:$A$3000,0))&amp;"|"&amp;INDEX('Chart of Accounts'!$D$5:$D$3000,MATCH(W74&amp;"",'Chart of Accounts'!$A$5:$A$3000,0)),"")</f>
        <v/>
      </c>
      <c r="AL74" s="23">
        <f>IF(LEFT(AG74,8)="Revenue|",-N(S74),0)+IF(LEFT(AH74,8)="Revenue|",-N(T74),0)+IF(LEFT(AI74,8)="Revenue|",N(AF74),0)+IF(LEFT(AJ74,8)="Revenue|",N(AC74),0)+IF(LEFT(AK74,8)="Revenue|",N(U74),0)</f>
        <v/>
      </c>
      <c r="AM74" s="23">
        <f>IF(LEFT(AG74,5)="COGS|",N(S74),0)+IF(LEFT(AH74,5)="COGS|",N(T74),0)+IF(LEFT(AI74,5)="COGS|",-N(AF74),0)+IF(LEFT(AJ74,5)="COGS|",-N(AC74),0)+IF(LEFT(AK74,5)="COGS|",-N(U74),0)</f>
        <v/>
      </c>
      <c r="AN74" s="23">
        <f>IF(LEFT(AG74,8)="Expense|",N(S74),0)+IF(LEFT(AH74,8)="Expense|",N(T74),0)+IF(LEFT(AI74,8)="Expense|",-N(AF74),0)+IF(LEFT(AJ74,8)="Expense|",-N(AC74),0)+IF(LEFT(AK74,8)="Expense|",-N(U74),0)</f>
        <v/>
      </c>
      <c r="AO74" s="23">
        <f>IF(ISNUMBER(MATCH(AG74,{"Expense|employee","Expense|general_admin","Expense|marketing","Expense|utilities","Expense|other_operating"},0)),N(S74),0)+IF(ISNUMBER(MATCH(AH74,{"Expense|employee","Expense|general_admin","Expense|marketing","Expense|utilities","Expense|other_operating"},0)),N(T74),0)+IF(ISNUMBER(MATCH(AI74,{"Expense|employee","Expense|general_admin","Expense|marketing","Expense|utilities","Expense|other_operating"},0)),-N(AF74),0)+IF(ISNUMBER(MATCH(AJ74,{"Expense|employee","Expense|general_admin","Expense|marketing","Expense|utilities","Expense|other_operating"},0)),-N(AC74),0)+IF(ISNUMBER(MATCH(AK74,{"Expense|employee","Expense|general_admin","Expense|marketing","Expense|utilities","Expense|other_operating"},0)),-N(U74),0)</f>
        <v/>
      </c>
      <c r="AP74" s="23">
        <f>IF(AG74="Liability|payable",-N(S74),0)+IF(AH74="Liability|payable",-N(T74),0)+IF(AI74="Liability|payable",N(AF74),0)+IF(AJ74="Liability|payable",N(AC74),0)+IF(AK74="Liability|payable",N(U74),0)</f>
        <v/>
      </c>
      <c r="AQ74" s="23">
        <f>IF(AG74="Liability|accrued",-N(S74),0)+IF(AH74="Liability|accrued",-N(T74),0)+IF(AI74="Liability|accrued",N(AF74),0)+IF(AJ74="Liability|accrued",N(AC74),0)+IF(AK74="Liability|accrued",N(U74),0)</f>
        <v/>
      </c>
      <c r="AR74" s="23">
        <f>IF(AND(N(S74)&lt;&gt;0,AG74=""),1,0)+IF(AND(N(T74)&lt;&gt;0,AH74=""),1,0)+IF(AND(N(AF74)&lt;&gt;0,AI74=""),1,0)+IF(AND(N(AC74)&lt;&gt;0,AJ74=""),1,0)+IF(AND(N(U74)&lt;&gt;0,AK74=""),1,0)</f>
        <v/>
      </c>
    </row>
    <row r="75">
      <c r="A75" s="19" t="n"/>
      <c r="B75" s="14" t="n"/>
      <c r="C75" s="14" t="n"/>
      <c r="D75" s="14" t="n"/>
      <c r="E75" s="14" t="n"/>
      <c r="F75" s="14" t="n"/>
      <c r="G75" s="14" t="n"/>
      <c r="H75" s="20" t="n"/>
      <c r="I75" s="14" t="n"/>
      <c r="J75" s="14" t="n"/>
      <c r="K75" s="20" t="n"/>
      <c r="L75" s="14" t="n"/>
      <c r="M75" s="14" t="n"/>
      <c r="N75" s="14" t="n"/>
      <c r="O75" s="14" t="n"/>
      <c r="P75" s="14" t="n"/>
      <c r="Q75" s="14" t="n"/>
      <c r="R75" s="14" t="n"/>
      <c r="S75" s="21">
        <f>ROUND(ABS(N(G75))*N(H75),2)</f>
        <v/>
      </c>
      <c r="T75" s="21">
        <f>IF(B75="Receipt",ROUND(S75*IFERROR(VLOOKUP(Q75,'Tax Codes'!$A$5:$E$300,5,FALSE),0),2),0)</f>
        <v/>
      </c>
      <c r="U75" s="21">
        <f>IF(B75="Receipt",ROUND(S75*IFERROR(VLOOKUP(R75,'Tax Codes'!$A$5:$E$300,5,FALSE),0),2),0)</f>
        <v/>
      </c>
      <c r="V75" s="16">
        <f>INDEX('Chart of Accounts'!$A$5:$A$3000,MATCH("vat_input",'Chart of Accounts'!$F$5:$F$3000,0))</f>
        <v/>
      </c>
      <c r="W75" s="16">
        <f>INDEX('Chart of Accounts'!$A$5:$A$3000,MATCH("wht_payable",'Chart of Accounts'!$F$5:$F$3000,0))</f>
        <v/>
      </c>
      <c r="X75" s="16">
        <f>IF(M75="",INDEX('Chart of Accounts'!$A$5:$A$3000,MATCH("bank",'Chart of Accounts'!$F$5:$F$3000,0)),M75&amp;"")</f>
        <v/>
      </c>
      <c r="Y75" s="16">
        <f>IF(N75="",INDEX('Chart of Accounts'!$A$5:$A$3000,MATCH("ap",'Chart of Accounts'!$F$5:$F$3000,0)),N75&amp;"")</f>
        <v/>
      </c>
      <c r="Z75" s="16">
        <f>IF(O75="",INDEX('Chart of Accounts'!$A$5:$A$3000,MATCH("materials",'Chart of Accounts'!$F$5:$F$3000,0)),O75&amp;"")</f>
        <v/>
      </c>
      <c r="AA75" s="16">
        <f>IF(IFERROR(INDEX(Warehouses!$C$5:$C$1000,MATCH(C75,Warehouses!$A$5:$A$1000,0))&amp;"","")="",INDEX('Chart of Accounts'!$A$5:$A$3000,MATCH("inventory",'Chart of Accounts'!$F$5:$F$3000,0)),IFERROR(INDEX(Warehouses!$C$5:$C$1000,MATCH(C75,Warehouses!$A$5:$A$1000,0))&amp;"",""))</f>
        <v/>
      </c>
      <c r="AB75" s="16">
        <f>IF(IFERROR(INDEX(Warehouses!$C$5:$C$1000,MATCH(D75,Warehouses!$A$5:$A$1000,0))&amp;"","")="",INDEX('Chart of Accounts'!$A$5:$A$3000,MATCH("inventory",'Chart of Accounts'!$F$5:$F$3000,0)),IFERROR(INDEX(Warehouses!$C$5:$C$1000,MATCH(D75,Warehouses!$A$5:$A$1000,0))&amp;"",""))</f>
        <v/>
      </c>
      <c r="AC75" s="21">
        <f>IF(B75="Receipt",N(K75),0)</f>
        <v/>
      </c>
      <c r="AD75" s="16">
        <f>IF(B75="Receipt",AA75,IF(B75="Issue",Z75,IF(B75="Transfer",AB75,IF(N(G75)&gt;=0,AA75,INDEX('Chart of Accounts'!$A$5:$A$3000,MATCH("stock_adjust",'Chart of Accounts'!$F$5:$F$3000,0))))))</f>
        <v/>
      </c>
      <c r="AE75" s="16">
        <f>IF(B75="Receipt",Y75,IF(B75="Adjustment",IF(N(G75)&gt;=0,INDEX('Chart of Accounts'!$A$5:$A$3000,MATCH("stock_adjust",'Chart of Accounts'!$F$5:$F$3000,0)),AA75),AA75))</f>
        <v/>
      </c>
      <c r="AF75" s="21">
        <f>S75+T75-U75-AC75</f>
        <v/>
      </c>
      <c r="AG75" s="23">
        <f>IFERROR(INDEX('Chart of Accounts'!$C$5:$C$3000,MATCH(AD75&amp;"",'Chart of Accounts'!$A$5:$A$3000,0))&amp;"|"&amp;INDEX('Chart of Accounts'!$D$5:$D$3000,MATCH(AD75&amp;"",'Chart of Accounts'!$A$5:$A$3000,0)),"")</f>
        <v/>
      </c>
      <c r="AH75" s="23">
        <f>IFERROR(INDEX('Chart of Accounts'!$C$5:$C$3000,MATCH(V75&amp;"",'Chart of Accounts'!$A$5:$A$3000,0))&amp;"|"&amp;INDEX('Chart of Accounts'!$D$5:$D$3000,MATCH(V75&amp;"",'Chart of Accounts'!$A$5:$A$3000,0)),"")</f>
        <v/>
      </c>
      <c r="AI75" s="23">
        <f>IFERROR(INDEX('Chart of Accounts'!$C$5:$C$3000,MATCH(AE75&amp;"",'Chart of Accounts'!$A$5:$A$3000,0))&amp;"|"&amp;INDEX('Chart of Accounts'!$D$5:$D$3000,MATCH(AE75&amp;"",'Chart of Accounts'!$A$5:$A$3000,0)),"")</f>
        <v/>
      </c>
      <c r="AJ75" s="23">
        <f>IFERROR(INDEX('Chart of Accounts'!$C$5:$C$3000,MATCH(X75&amp;"",'Chart of Accounts'!$A$5:$A$3000,0))&amp;"|"&amp;INDEX('Chart of Accounts'!$D$5:$D$3000,MATCH(X75&amp;"",'Chart of Accounts'!$A$5:$A$3000,0)),"")</f>
        <v/>
      </c>
      <c r="AK75" s="23">
        <f>IFERROR(INDEX('Chart of Accounts'!$C$5:$C$3000,MATCH(W75&amp;"",'Chart of Accounts'!$A$5:$A$3000,0))&amp;"|"&amp;INDEX('Chart of Accounts'!$D$5:$D$3000,MATCH(W75&amp;"",'Chart of Accounts'!$A$5:$A$3000,0)),"")</f>
        <v/>
      </c>
      <c r="AL75" s="23">
        <f>IF(LEFT(AG75,8)="Revenue|",-N(S75),0)+IF(LEFT(AH75,8)="Revenue|",-N(T75),0)+IF(LEFT(AI75,8)="Revenue|",N(AF75),0)+IF(LEFT(AJ75,8)="Revenue|",N(AC75),0)+IF(LEFT(AK75,8)="Revenue|",N(U75),0)</f>
        <v/>
      </c>
      <c r="AM75" s="23">
        <f>IF(LEFT(AG75,5)="COGS|",N(S75),0)+IF(LEFT(AH75,5)="COGS|",N(T75),0)+IF(LEFT(AI75,5)="COGS|",-N(AF75),0)+IF(LEFT(AJ75,5)="COGS|",-N(AC75),0)+IF(LEFT(AK75,5)="COGS|",-N(U75),0)</f>
        <v/>
      </c>
      <c r="AN75" s="23">
        <f>IF(LEFT(AG75,8)="Expense|",N(S75),0)+IF(LEFT(AH75,8)="Expense|",N(T75),0)+IF(LEFT(AI75,8)="Expense|",-N(AF75),0)+IF(LEFT(AJ75,8)="Expense|",-N(AC75),0)+IF(LEFT(AK75,8)="Expense|",-N(U75),0)</f>
        <v/>
      </c>
      <c r="AO75" s="23">
        <f>IF(ISNUMBER(MATCH(AG75,{"Expense|employee","Expense|general_admin","Expense|marketing","Expense|utilities","Expense|other_operating"},0)),N(S75),0)+IF(ISNUMBER(MATCH(AH75,{"Expense|employee","Expense|general_admin","Expense|marketing","Expense|utilities","Expense|other_operating"},0)),N(T75),0)+IF(ISNUMBER(MATCH(AI75,{"Expense|employee","Expense|general_admin","Expense|marketing","Expense|utilities","Expense|other_operating"},0)),-N(AF75),0)+IF(ISNUMBER(MATCH(AJ75,{"Expense|employee","Expense|general_admin","Expense|marketing","Expense|utilities","Expense|other_operating"},0)),-N(AC75),0)+IF(ISNUMBER(MATCH(AK75,{"Expense|employee","Expense|general_admin","Expense|marketing","Expense|utilities","Expense|other_operating"},0)),-N(U75),0)</f>
        <v/>
      </c>
      <c r="AP75" s="23">
        <f>IF(AG75="Liability|payable",-N(S75),0)+IF(AH75="Liability|payable",-N(T75),0)+IF(AI75="Liability|payable",N(AF75),0)+IF(AJ75="Liability|payable",N(AC75),0)+IF(AK75="Liability|payable",N(U75),0)</f>
        <v/>
      </c>
      <c r="AQ75" s="23">
        <f>IF(AG75="Liability|accrued",-N(S75),0)+IF(AH75="Liability|accrued",-N(T75),0)+IF(AI75="Liability|accrued",N(AF75),0)+IF(AJ75="Liability|accrued",N(AC75),0)+IF(AK75="Liability|accrued",N(U75),0)</f>
        <v/>
      </c>
      <c r="AR75" s="23">
        <f>IF(AND(N(S75)&lt;&gt;0,AG75=""),1,0)+IF(AND(N(T75)&lt;&gt;0,AH75=""),1,0)+IF(AND(N(AF75)&lt;&gt;0,AI75=""),1,0)+IF(AND(N(AC75)&lt;&gt;0,AJ75=""),1,0)+IF(AND(N(U75)&lt;&gt;0,AK75=""),1,0)</f>
        <v/>
      </c>
    </row>
    <row r="76">
      <c r="A76" s="19" t="n"/>
      <c r="B76" s="14" t="n"/>
      <c r="C76" s="14" t="n"/>
      <c r="D76" s="14" t="n"/>
      <c r="E76" s="14" t="n"/>
      <c r="F76" s="14" t="n"/>
      <c r="G76" s="14" t="n"/>
      <c r="H76" s="20" t="n"/>
      <c r="I76" s="14" t="n"/>
      <c r="J76" s="14" t="n"/>
      <c r="K76" s="20" t="n"/>
      <c r="L76" s="14" t="n"/>
      <c r="M76" s="14" t="n"/>
      <c r="N76" s="14" t="n"/>
      <c r="O76" s="14" t="n"/>
      <c r="P76" s="14" t="n"/>
      <c r="Q76" s="14" t="n"/>
      <c r="R76" s="14" t="n"/>
      <c r="S76" s="21">
        <f>ROUND(ABS(N(G76))*N(H76),2)</f>
        <v/>
      </c>
      <c r="T76" s="21">
        <f>IF(B76="Receipt",ROUND(S76*IFERROR(VLOOKUP(Q76,'Tax Codes'!$A$5:$E$300,5,FALSE),0),2),0)</f>
        <v/>
      </c>
      <c r="U76" s="21">
        <f>IF(B76="Receipt",ROUND(S76*IFERROR(VLOOKUP(R76,'Tax Codes'!$A$5:$E$300,5,FALSE),0),2),0)</f>
        <v/>
      </c>
      <c r="V76" s="16">
        <f>INDEX('Chart of Accounts'!$A$5:$A$3000,MATCH("vat_input",'Chart of Accounts'!$F$5:$F$3000,0))</f>
        <v/>
      </c>
      <c r="W76" s="16">
        <f>INDEX('Chart of Accounts'!$A$5:$A$3000,MATCH("wht_payable",'Chart of Accounts'!$F$5:$F$3000,0))</f>
        <v/>
      </c>
      <c r="X76" s="16">
        <f>IF(M76="",INDEX('Chart of Accounts'!$A$5:$A$3000,MATCH("bank",'Chart of Accounts'!$F$5:$F$3000,0)),M76&amp;"")</f>
        <v/>
      </c>
      <c r="Y76" s="16">
        <f>IF(N76="",INDEX('Chart of Accounts'!$A$5:$A$3000,MATCH("ap",'Chart of Accounts'!$F$5:$F$3000,0)),N76&amp;"")</f>
        <v/>
      </c>
      <c r="Z76" s="16">
        <f>IF(O76="",INDEX('Chart of Accounts'!$A$5:$A$3000,MATCH("materials",'Chart of Accounts'!$F$5:$F$3000,0)),O76&amp;"")</f>
        <v/>
      </c>
      <c r="AA76" s="16">
        <f>IF(IFERROR(INDEX(Warehouses!$C$5:$C$1000,MATCH(C76,Warehouses!$A$5:$A$1000,0))&amp;"","")="",INDEX('Chart of Accounts'!$A$5:$A$3000,MATCH("inventory",'Chart of Accounts'!$F$5:$F$3000,0)),IFERROR(INDEX(Warehouses!$C$5:$C$1000,MATCH(C76,Warehouses!$A$5:$A$1000,0))&amp;"",""))</f>
        <v/>
      </c>
      <c r="AB76" s="16">
        <f>IF(IFERROR(INDEX(Warehouses!$C$5:$C$1000,MATCH(D76,Warehouses!$A$5:$A$1000,0))&amp;"","")="",INDEX('Chart of Accounts'!$A$5:$A$3000,MATCH("inventory",'Chart of Accounts'!$F$5:$F$3000,0)),IFERROR(INDEX(Warehouses!$C$5:$C$1000,MATCH(D76,Warehouses!$A$5:$A$1000,0))&amp;"",""))</f>
        <v/>
      </c>
      <c r="AC76" s="21">
        <f>IF(B76="Receipt",N(K76),0)</f>
        <v/>
      </c>
      <c r="AD76" s="16">
        <f>IF(B76="Receipt",AA76,IF(B76="Issue",Z76,IF(B76="Transfer",AB76,IF(N(G76)&gt;=0,AA76,INDEX('Chart of Accounts'!$A$5:$A$3000,MATCH("stock_adjust",'Chart of Accounts'!$F$5:$F$3000,0))))))</f>
        <v/>
      </c>
      <c r="AE76" s="16">
        <f>IF(B76="Receipt",Y76,IF(B76="Adjustment",IF(N(G76)&gt;=0,INDEX('Chart of Accounts'!$A$5:$A$3000,MATCH("stock_adjust",'Chart of Accounts'!$F$5:$F$3000,0)),AA76),AA76))</f>
        <v/>
      </c>
      <c r="AF76" s="21">
        <f>S76+T76-U76-AC76</f>
        <v/>
      </c>
      <c r="AG76" s="23">
        <f>IFERROR(INDEX('Chart of Accounts'!$C$5:$C$3000,MATCH(AD76&amp;"",'Chart of Accounts'!$A$5:$A$3000,0))&amp;"|"&amp;INDEX('Chart of Accounts'!$D$5:$D$3000,MATCH(AD76&amp;"",'Chart of Accounts'!$A$5:$A$3000,0)),"")</f>
        <v/>
      </c>
      <c r="AH76" s="23">
        <f>IFERROR(INDEX('Chart of Accounts'!$C$5:$C$3000,MATCH(V76&amp;"",'Chart of Accounts'!$A$5:$A$3000,0))&amp;"|"&amp;INDEX('Chart of Accounts'!$D$5:$D$3000,MATCH(V76&amp;"",'Chart of Accounts'!$A$5:$A$3000,0)),"")</f>
        <v/>
      </c>
      <c r="AI76" s="23">
        <f>IFERROR(INDEX('Chart of Accounts'!$C$5:$C$3000,MATCH(AE76&amp;"",'Chart of Accounts'!$A$5:$A$3000,0))&amp;"|"&amp;INDEX('Chart of Accounts'!$D$5:$D$3000,MATCH(AE76&amp;"",'Chart of Accounts'!$A$5:$A$3000,0)),"")</f>
        <v/>
      </c>
      <c r="AJ76" s="23">
        <f>IFERROR(INDEX('Chart of Accounts'!$C$5:$C$3000,MATCH(X76&amp;"",'Chart of Accounts'!$A$5:$A$3000,0))&amp;"|"&amp;INDEX('Chart of Accounts'!$D$5:$D$3000,MATCH(X76&amp;"",'Chart of Accounts'!$A$5:$A$3000,0)),"")</f>
        <v/>
      </c>
      <c r="AK76" s="23">
        <f>IFERROR(INDEX('Chart of Accounts'!$C$5:$C$3000,MATCH(W76&amp;"",'Chart of Accounts'!$A$5:$A$3000,0))&amp;"|"&amp;INDEX('Chart of Accounts'!$D$5:$D$3000,MATCH(W76&amp;"",'Chart of Accounts'!$A$5:$A$3000,0)),"")</f>
        <v/>
      </c>
      <c r="AL76" s="23">
        <f>IF(LEFT(AG76,8)="Revenue|",-N(S76),0)+IF(LEFT(AH76,8)="Revenue|",-N(T76),0)+IF(LEFT(AI76,8)="Revenue|",N(AF76),0)+IF(LEFT(AJ76,8)="Revenue|",N(AC76),0)+IF(LEFT(AK76,8)="Revenue|",N(U76),0)</f>
        <v/>
      </c>
      <c r="AM76" s="23">
        <f>IF(LEFT(AG76,5)="COGS|",N(S76),0)+IF(LEFT(AH76,5)="COGS|",N(T76),0)+IF(LEFT(AI76,5)="COGS|",-N(AF76),0)+IF(LEFT(AJ76,5)="COGS|",-N(AC76),0)+IF(LEFT(AK76,5)="COGS|",-N(U76),0)</f>
        <v/>
      </c>
      <c r="AN76" s="23">
        <f>IF(LEFT(AG76,8)="Expense|",N(S76),0)+IF(LEFT(AH76,8)="Expense|",N(T76),0)+IF(LEFT(AI76,8)="Expense|",-N(AF76),0)+IF(LEFT(AJ76,8)="Expense|",-N(AC76),0)+IF(LEFT(AK76,8)="Expense|",-N(U76),0)</f>
        <v/>
      </c>
      <c r="AO76" s="23">
        <f>IF(ISNUMBER(MATCH(AG76,{"Expense|employee","Expense|general_admin","Expense|marketing","Expense|utilities","Expense|other_operating"},0)),N(S76),0)+IF(ISNUMBER(MATCH(AH76,{"Expense|employee","Expense|general_admin","Expense|marketing","Expense|utilities","Expense|other_operating"},0)),N(T76),0)+IF(ISNUMBER(MATCH(AI76,{"Expense|employee","Expense|general_admin","Expense|marketing","Expense|utilities","Expense|other_operating"},0)),-N(AF76),0)+IF(ISNUMBER(MATCH(AJ76,{"Expense|employee","Expense|general_admin","Expense|marketing","Expense|utilities","Expense|other_operating"},0)),-N(AC76),0)+IF(ISNUMBER(MATCH(AK76,{"Expense|employee","Expense|general_admin","Expense|marketing","Expense|utilities","Expense|other_operating"},0)),-N(U76),0)</f>
        <v/>
      </c>
      <c r="AP76" s="23">
        <f>IF(AG76="Liability|payable",-N(S76),0)+IF(AH76="Liability|payable",-N(T76),0)+IF(AI76="Liability|payable",N(AF76),0)+IF(AJ76="Liability|payable",N(AC76),0)+IF(AK76="Liability|payable",N(U76),0)</f>
        <v/>
      </c>
      <c r="AQ76" s="23">
        <f>IF(AG76="Liability|accrued",-N(S76),0)+IF(AH76="Liability|accrued",-N(T76),0)+IF(AI76="Liability|accrued",N(AF76),0)+IF(AJ76="Liability|accrued",N(AC76),0)+IF(AK76="Liability|accrued",N(U76),0)</f>
        <v/>
      </c>
      <c r="AR76" s="23">
        <f>IF(AND(N(S76)&lt;&gt;0,AG76=""),1,0)+IF(AND(N(T76)&lt;&gt;0,AH76=""),1,0)+IF(AND(N(AF76)&lt;&gt;0,AI76=""),1,0)+IF(AND(N(AC76)&lt;&gt;0,AJ76=""),1,0)+IF(AND(N(U76)&lt;&gt;0,AK76=""),1,0)</f>
        <v/>
      </c>
    </row>
    <row r="77">
      <c r="A77" s="19" t="n"/>
      <c r="B77" s="14" t="n"/>
      <c r="C77" s="14" t="n"/>
      <c r="D77" s="14" t="n"/>
      <c r="E77" s="14" t="n"/>
      <c r="F77" s="14" t="n"/>
      <c r="G77" s="14" t="n"/>
      <c r="H77" s="20" t="n"/>
      <c r="I77" s="14" t="n"/>
      <c r="J77" s="14" t="n"/>
      <c r="K77" s="20" t="n"/>
      <c r="L77" s="14" t="n"/>
      <c r="M77" s="14" t="n"/>
      <c r="N77" s="14" t="n"/>
      <c r="O77" s="14" t="n"/>
      <c r="P77" s="14" t="n"/>
      <c r="Q77" s="14" t="n"/>
      <c r="R77" s="14" t="n"/>
      <c r="S77" s="21">
        <f>ROUND(ABS(N(G77))*N(H77),2)</f>
        <v/>
      </c>
      <c r="T77" s="21">
        <f>IF(B77="Receipt",ROUND(S77*IFERROR(VLOOKUP(Q77,'Tax Codes'!$A$5:$E$300,5,FALSE),0),2),0)</f>
        <v/>
      </c>
      <c r="U77" s="21">
        <f>IF(B77="Receipt",ROUND(S77*IFERROR(VLOOKUP(R77,'Tax Codes'!$A$5:$E$300,5,FALSE),0),2),0)</f>
        <v/>
      </c>
      <c r="V77" s="16">
        <f>INDEX('Chart of Accounts'!$A$5:$A$3000,MATCH("vat_input",'Chart of Accounts'!$F$5:$F$3000,0))</f>
        <v/>
      </c>
      <c r="W77" s="16">
        <f>INDEX('Chart of Accounts'!$A$5:$A$3000,MATCH("wht_payable",'Chart of Accounts'!$F$5:$F$3000,0))</f>
        <v/>
      </c>
      <c r="X77" s="16">
        <f>IF(M77="",INDEX('Chart of Accounts'!$A$5:$A$3000,MATCH("bank",'Chart of Accounts'!$F$5:$F$3000,0)),M77&amp;"")</f>
        <v/>
      </c>
      <c r="Y77" s="16">
        <f>IF(N77="",INDEX('Chart of Accounts'!$A$5:$A$3000,MATCH("ap",'Chart of Accounts'!$F$5:$F$3000,0)),N77&amp;"")</f>
        <v/>
      </c>
      <c r="Z77" s="16">
        <f>IF(O77="",INDEX('Chart of Accounts'!$A$5:$A$3000,MATCH("materials",'Chart of Accounts'!$F$5:$F$3000,0)),O77&amp;"")</f>
        <v/>
      </c>
      <c r="AA77" s="16">
        <f>IF(IFERROR(INDEX(Warehouses!$C$5:$C$1000,MATCH(C77,Warehouses!$A$5:$A$1000,0))&amp;"","")="",INDEX('Chart of Accounts'!$A$5:$A$3000,MATCH("inventory",'Chart of Accounts'!$F$5:$F$3000,0)),IFERROR(INDEX(Warehouses!$C$5:$C$1000,MATCH(C77,Warehouses!$A$5:$A$1000,0))&amp;"",""))</f>
        <v/>
      </c>
      <c r="AB77" s="16">
        <f>IF(IFERROR(INDEX(Warehouses!$C$5:$C$1000,MATCH(D77,Warehouses!$A$5:$A$1000,0))&amp;"","")="",INDEX('Chart of Accounts'!$A$5:$A$3000,MATCH("inventory",'Chart of Accounts'!$F$5:$F$3000,0)),IFERROR(INDEX(Warehouses!$C$5:$C$1000,MATCH(D77,Warehouses!$A$5:$A$1000,0))&amp;"",""))</f>
        <v/>
      </c>
      <c r="AC77" s="21">
        <f>IF(B77="Receipt",N(K77),0)</f>
        <v/>
      </c>
      <c r="AD77" s="16">
        <f>IF(B77="Receipt",AA77,IF(B77="Issue",Z77,IF(B77="Transfer",AB77,IF(N(G77)&gt;=0,AA77,INDEX('Chart of Accounts'!$A$5:$A$3000,MATCH("stock_adjust",'Chart of Accounts'!$F$5:$F$3000,0))))))</f>
        <v/>
      </c>
      <c r="AE77" s="16">
        <f>IF(B77="Receipt",Y77,IF(B77="Adjustment",IF(N(G77)&gt;=0,INDEX('Chart of Accounts'!$A$5:$A$3000,MATCH("stock_adjust",'Chart of Accounts'!$F$5:$F$3000,0)),AA77),AA77))</f>
        <v/>
      </c>
      <c r="AF77" s="21">
        <f>S77+T77-U77-AC77</f>
        <v/>
      </c>
      <c r="AG77" s="23">
        <f>IFERROR(INDEX('Chart of Accounts'!$C$5:$C$3000,MATCH(AD77&amp;"",'Chart of Accounts'!$A$5:$A$3000,0))&amp;"|"&amp;INDEX('Chart of Accounts'!$D$5:$D$3000,MATCH(AD77&amp;"",'Chart of Accounts'!$A$5:$A$3000,0)),"")</f>
        <v/>
      </c>
      <c r="AH77" s="23">
        <f>IFERROR(INDEX('Chart of Accounts'!$C$5:$C$3000,MATCH(V77&amp;"",'Chart of Accounts'!$A$5:$A$3000,0))&amp;"|"&amp;INDEX('Chart of Accounts'!$D$5:$D$3000,MATCH(V77&amp;"",'Chart of Accounts'!$A$5:$A$3000,0)),"")</f>
        <v/>
      </c>
      <c r="AI77" s="23">
        <f>IFERROR(INDEX('Chart of Accounts'!$C$5:$C$3000,MATCH(AE77&amp;"",'Chart of Accounts'!$A$5:$A$3000,0))&amp;"|"&amp;INDEX('Chart of Accounts'!$D$5:$D$3000,MATCH(AE77&amp;"",'Chart of Accounts'!$A$5:$A$3000,0)),"")</f>
        <v/>
      </c>
      <c r="AJ77" s="23">
        <f>IFERROR(INDEX('Chart of Accounts'!$C$5:$C$3000,MATCH(X77&amp;"",'Chart of Accounts'!$A$5:$A$3000,0))&amp;"|"&amp;INDEX('Chart of Accounts'!$D$5:$D$3000,MATCH(X77&amp;"",'Chart of Accounts'!$A$5:$A$3000,0)),"")</f>
        <v/>
      </c>
      <c r="AK77" s="23">
        <f>IFERROR(INDEX('Chart of Accounts'!$C$5:$C$3000,MATCH(W77&amp;"",'Chart of Accounts'!$A$5:$A$3000,0))&amp;"|"&amp;INDEX('Chart of Accounts'!$D$5:$D$3000,MATCH(W77&amp;"",'Chart of Accounts'!$A$5:$A$3000,0)),"")</f>
        <v/>
      </c>
      <c r="AL77" s="23">
        <f>IF(LEFT(AG77,8)="Revenue|",-N(S77),0)+IF(LEFT(AH77,8)="Revenue|",-N(T77),0)+IF(LEFT(AI77,8)="Revenue|",N(AF77),0)+IF(LEFT(AJ77,8)="Revenue|",N(AC77),0)+IF(LEFT(AK77,8)="Revenue|",N(U77),0)</f>
        <v/>
      </c>
      <c r="AM77" s="23">
        <f>IF(LEFT(AG77,5)="COGS|",N(S77),0)+IF(LEFT(AH77,5)="COGS|",N(T77),0)+IF(LEFT(AI77,5)="COGS|",-N(AF77),0)+IF(LEFT(AJ77,5)="COGS|",-N(AC77),0)+IF(LEFT(AK77,5)="COGS|",-N(U77),0)</f>
        <v/>
      </c>
      <c r="AN77" s="23">
        <f>IF(LEFT(AG77,8)="Expense|",N(S77),0)+IF(LEFT(AH77,8)="Expense|",N(T77),0)+IF(LEFT(AI77,8)="Expense|",-N(AF77),0)+IF(LEFT(AJ77,8)="Expense|",-N(AC77),0)+IF(LEFT(AK77,8)="Expense|",-N(U77),0)</f>
        <v/>
      </c>
      <c r="AO77" s="23">
        <f>IF(ISNUMBER(MATCH(AG77,{"Expense|employee","Expense|general_admin","Expense|marketing","Expense|utilities","Expense|other_operating"},0)),N(S77),0)+IF(ISNUMBER(MATCH(AH77,{"Expense|employee","Expense|general_admin","Expense|marketing","Expense|utilities","Expense|other_operating"},0)),N(T77),0)+IF(ISNUMBER(MATCH(AI77,{"Expense|employee","Expense|general_admin","Expense|marketing","Expense|utilities","Expense|other_operating"},0)),-N(AF77),0)+IF(ISNUMBER(MATCH(AJ77,{"Expense|employee","Expense|general_admin","Expense|marketing","Expense|utilities","Expense|other_operating"},0)),-N(AC77),0)+IF(ISNUMBER(MATCH(AK77,{"Expense|employee","Expense|general_admin","Expense|marketing","Expense|utilities","Expense|other_operating"},0)),-N(U77),0)</f>
        <v/>
      </c>
      <c r="AP77" s="23">
        <f>IF(AG77="Liability|payable",-N(S77),0)+IF(AH77="Liability|payable",-N(T77),0)+IF(AI77="Liability|payable",N(AF77),0)+IF(AJ77="Liability|payable",N(AC77),0)+IF(AK77="Liability|payable",N(U77),0)</f>
        <v/>
      </c>
      <c r="AQ77" s="23">
        <f>IF(AG77="Liability|accrued",-N(S77),0)+IF(AH77="Liability|accrued",-N(T77),0)+IF(AI77="Liability|accrued",N(AF77),0)+IF(AJ77="Liability|accrued",N(AC77),0)+IF(AK77="Liability|accrued",N(U77),0)</f>
        <v/>
      </c>
      <c r="AR77" s="23">
        <f>IF(AND(N(S77)&lt;&gt;0,AG77=""),1,0)+IF(AND(N(T77)&lt;&gt;0,AH77=""),1,0)+IF(AND(N(AF77)&lt;&gt;0,AI77=""),1,0)+IF(AND(N(AC77)&lt;&gt;0,AJ77=""),1,0)+IF(AND(N(U77)&lt;&gt;0,AK77=""),1,0)</f>
        <v/>
      </c>
    </row>
    <row r="78">
      <c r="A78" s="19" t="n"/>
      <c r="B78" s="14" t="n"/>
      <c r="C78" s="14" t="n"/>
      <c r="D78" s="14" t="n"/>
      <c r="E78" s="14" t="n"/>
      <c r="F78" s="14" t="n"/>
      <c r="G78" s="14" t="n"/>
      <c r="H78" s="20" t="n"/>
      <c r="I78" s="14" t="n"/>
      <c r="J78" s="14" t="n"/>
      <c r="K78" s="20" t="n"/>
      <c r="L78" s="14" t="n"/>
      <c r="M78" s="14" t="n"/>
      <c r="N78" s="14" t="n"/>
      <c r="O78" s="14" t="n"/>
      <c r="P78" s="14" t="n"/>
      <c r="Q78" s="14" t="n"/>
      <c r="R78" s="14" t="n"/>
      <c r="S78" s="21">
        <f>ROUND(ABS(N(G78))*N(H78),2)</f>
        <v/>
      </c>
      <c r="T78" s="21">
        <f>IF(B78="Receipt",ROUND(S78*IFERROR(VLOOKUP(Q78,'Tax Codes'!$A$5:$E$300,5,FALSE),0),2),0)</f>
        <v/>
      </c>
      <c r="U78" s="21">
        <f>IF(B78="Receipt",ROUND(S78*IFERROR(VLOOKUP(R78,'Tax Codes'!$A$5:$E$300,5,FALSE),0),2),0)</f>
        <v/>
      </c>
      <c r="V78" s="16">
        <f>INDEX('Chart of Accounts'!$A$5:$A$3000,MATCH("vat_input",'Chart of Accounts'!$F$5:$F$3000,0))</f>
        <v/>
      </c>
      <c r="W78" s="16">
        <f>INDEX('Chart of Accounts'!$A$5:$A$3000,MATCH("wht_payable",'Chart of Accounts'!$F$5:$F$3000,0))</f>
        <v/>
      </c>
      <c r="X78" s="16">
        <f>IF(M78="",INDEX('Chart of Accounts'!$A$5:$A$3000,MATCH("bank",'Chart of Accounts'!$F$5:$F$3000,0)),M78&amp;"")</f>
        <v/>
      </c>
      <c r="Y78" s="16">
        <f>IF(N78="",INDEX('Chart of Accounts'!$A$5:$A$3000,MATCH("ap",'Chart of Accounts'!$F$5:$F$3000,0)),N78&amp;"")</f>
        <v/>
      </c>
      <c r="Z78" s="16">
        <f>IF(O78="",INDEX('Chart of Accounts'!$A$5:$A$3000,MATCH("materials",'Chart of Accounts'!$F$5:$F$3000,0)),O78&amp;"")</f>
        <v/>
      </c>
      <c r="AA78" s="16">
        <f>IF(IFERROR(INDEX(Warehouses!$C$5:$C$1000,MATCH(C78,Warehouses!$A$5:$A$1000,0))&amp;"","")="",INDEX('Chart of Accounts'!$A$5:$A$3000,MATCH("inventory",'Chart of Accounts'!$F$5:$F$3000,0)),IFERROR(INDEX(Warehouses!$C$5:$C$1000,MATCH(C78,Warehouses!$A$5:$A$1000,0))&amp;"",""))</f>
        <v/>
      </c>
      <c r="AB78" s="16">
        <f>IF(IFERROR(INDEX(Warehouses!$C$5:$C$1000,MATCH(D78,Warehouses!$A$5:$A$1000,0))&amp;"","")="",INDEX('Chart of Accounts'!$A$5:$A$3000,MATCH("inventory",'Chart of Accounts'!$F$5:$F$3000,0)),IFERROR(INDEX(Warehouses!$C$5:$C$1000,MATCH(D78,Warehouses!$A$5:$A$1000,0))&amp;"",""))</f>
        <v/>
      </c>
      <c r="AC78" s="21">
        <f>IF(B78="Receipt",N(K78),0)</f>
        <v/>
      </c>
      <c r="AD78" s="16">
        <f>IF(B78="Receipt",AA78,IF(B78="Issue",Z78,IF(B78="Transfer",AB78,IF(N(G78)&gt;=0,AA78,INDEX('Chart of Accounts'!$A$5:$A$3000,MATCH("stock_adjust",'Chart of Accounts'!$F$5:$F$3000,0))))))</f>
        <v/>
      </c>
      <c r="AE78" s="16">
        <f>IF(B78="Receipt",Y78,IF(B78="Adjustment",IF(N(G78)&gt;=0,INDEX('Chart of Accounts'!$A$5:$A$3000,MATCH("stock_adjust",'Chart of Accounts'!$F$5:$F$3000,0)),AA78),AA78))</f>
        <v/>
      </c>
      <c r="AF78" s="21">
        <f>S78+T78-U78-AC78</f>
        <v/>
      </c>
      <c r="AG78" s="23">
        <f>IFERROR(INDEX('Chart of Accounts'!$C$5:$C$3000,MATCH(AD78&amp;"",'Chart of Accounts'!$A$5:$A$3000,0))&amp;"|"&amp;INDEX('Chart of Accounts'!$D$5:$D$3000,MATCH(AD78&amp;"",'Chart of Accounts'!$A$5:$A$3000,0)),"")</f>
        <v/>
      </c>
      <c r="AH78" s="23">
        <f>IFERROR(INDEX('Chart of Accounts'!$C$5:$C$3000,MATCH(V78&amp;"",'Chart of Accounts'!$A$5:$A$3000,0))&amp;"|"&amp;INDEX('Chart of Accounts'!$D$5:$D$3000,MATCH(V78&amp;"",'Chart of Accounts'!$A$5:$A$3000,0)),"")</f>
        <v/>
      </c>
      <c r="AI78" s="23">
        <f>IFERROR(INDEX('Chart of Accounts'!$C$5:$C$3000,MATCH(AE78&amp;"",'Chart of Accounts'!$A$5:$A$3000,0))&amp;"|"&amp;INDEX('Chart of Accounts'!$D$5:$D$3000,MATCH(AE78&amp;"",'Chart of Accounts'!$A$5:$A$3000,0)),"")</f>
        <v/>
      </c>
      <c r="AJ78" s="23">
        <f>IFERROR(INDEX('Chart of Accounts'!$C$5:$C$3000,MATCH(X78&amp;"",'Chart of Accounts'!$A$5:$A$3000,0))&amp;"|"&amp;INDEX('Chart of Accounts'!$D$5:$D$3000,MATCH(X78&amp;"",'Chart of Accounts'!$A$5:$A$3000,0)),"")</f>
        <v/>
      </c>
      <c r="AK78" s="23">
        <f>IFERROR(INDEX('Chart of Accounts'!$C$5:$C$3000,MATCH(W78&amp;"",'Chart of Accounts'!$A$5:$A$3000,0))&amp;"|"&amp;INDEX('Chart of Accounts'!$D$5:$D$3000,MATCH(W78&amp;"",'Chart of Accounts'!$A$5:$A$3000,0)),"")</f>
        <v/>
      </c>
      <c r="AL78" s="23">
        <f>IF(LEFT(AG78,8)="Revenue|",-N(S78),0)+IF(LEFT(AH78,8)="Revenue|",-N(T78),0)+IF(LEFT(AI78,8)="Revenue|",N(AF78),0)+IF(LEFT(AJ78,8)="Revenue|",N(AC78),0)+IF(LEFT(AK78,8)="Revenue|",N(U78),0)</f>
        <v/>
      </c>
      <c r="AM78" s="23">
        <f>IF(LEFT(AG78,5)="COGS|",N(S78),0)+IF(LEFT(AH78,5)="COGS|",N(T78),0)+IF(LEFT(AI78,5)="COGS|",-N(AF78),0)+IF(LEFT(AJ78,5)="COGS|",-N(AC78),0)+IF(LEFT(AK78,5)="COGS|",-N(U78),0)</f>
        <v/>
      </c>
      <c r="AN78" s="23">
        <f>IF(LEFT(AG78,8)="Expense|",N(S78),0)+IF(LEFT(AH78,8)="Expense|",N(T78),0)+IF(LEFT(AI78,8)="Expense|",-N(AF78),0)+IF(LEFT(AJ78,8)="Expense|",-N(AC78),0)+IF(LEFT(AK78,8)="Expense|",-N(U78),0)</f>
        <v/>
      </c>
      <c r="AO78" s="23">
        <f>IF(ISNUMBER(MATCH(AG78,{"Expense|employee","Expense|general_admin","Expense|marketing","Expense|utilities","Expense|other_operating"},0)),N(S78),0)+IF(ISNUMBER(MATCH(AH78,{"Expense|employee","Expense|general_admin","Expense|marketing","Expense|utilities","Expense|other_operating"},0)),N(T78),0)+IF(ISNUMBER(MATCH(AI78,{"Expense|employee","Expense|general_admin","Expense|marketing","Expense|utilities","Expense|other_operating"},0)),-N(AF78),0)+IF(ISNUMBER(MATCH(AJ78,{"Expense|employee","Expense|general_admin","Expense|marketing","Expense|utilities","Expense|other_operating"},0)),-N(AC78),0)+IF(ISNUMBER(MATCH(AK78,{"Expense|employee","Expense|general_admin","Expense|marketing","Expense|utilities","Expense|other_operating"},0)),-N(U78),0)</f>
        <v/>
      </c>
      <c r="AP78" s="23">
        <f>IF(AG78="Liability|payable",-N(S78),0)+IF(AH78="Liability|payable",-N(T78),0)+IF(AI78="Liability|payable",N(AF78),0)+IF(AJ78="Liability|payable",N(AC78),0)+IF(AK78="Liability|payable",N(U78),0)</f>
        <v/>
      </c>
      <c r="AQ78" s="23">
        <f>IF(AG78="Liability|accrued",-N(S78),0)+IF(AH78="Liability|accrued",-N(T78),0)+IF(AI78="Liability|accrued",N(AF78),0)+IF(AJ78="Liability|accrued",N(AC78),0)+IF(AK78="Liability|accrued",N(U78),0)</f>
        <v/>
      </c>
      <c r="AR78" s="23">
        <f>IF(AND(N(S78)&lt;&gt;0,AG78=""),1,0)+IF(AND(N(T78)&lt;&gt;0,AH78=""),1,0)+IF(AND(N(AF78)&lt;&gt;0,AI78=""),1,0)+IF(AND(N(AC78)&lt;&gt;0,AJ78=""),1,0)+IF(AND(N(U78)&lt;&gt;0,AK78=""),1,0)</f>
        <v/>
      </c>
    </row>
    <row r="79">
      <c r="A79" s="19" t="n"/>
      <c r="B79" s="14" t="n"/>
      <c r="C79" s="14" t="n"/>
      <c r="D79" s="14" t="n"/>
      <c r="E79" s="14" t="n"/>
      <c r="F79" s="14" t="n"/>
      <c r="G79" s="14" t="n"/>
      <c r="H79" s="20" t="n"/>
      <c r="I79" s="14" t="n"/>
      <c r="J79" s="14" t="n"/>
      <c r="K79" s="20" t="n"/>
      <c r="L79" s="14" t="n"/>
      <c r="M79" s="14" t="n"/>
      <c r="N79" s="14" t="n"/>
      <c r="O79" s="14" t="n"/>
      <c r="P79" s="14" t="n"/>
      <c r="Q79" s="14" t="n"/>
      <c r="R79" s="14" t="n"/>
      <c r="S79" s="21">
        <f>ROUND(ABS(N(G79))*N(H79),2)</f>
        <v/>
      </c>
      <c r="T79" s="21">
        <f>IF(B79="Receipt",ROUND(S79*IFERROR(VLOOKUP(Q79,'Tax Codes'!$A$5:$E$300,5,FALSE),0),2),0)</f>
        <v/>
      </c>
      <c r="U79" s="21">
        <f>IF(B79="Receipt",ROUND(S79*IFERROR(VLOOKUP(R79,'Tax Codes'!$A$5:$E$300,5,FALSE),0),2),0)</f>
        <v/>
      </c>
      <c r="V79" s="16">
        <f>INDEX('Chart of Accounts'!$A$5:$A$3000,MATCH("vat_input",'Chart of Accounts'!$F$5:$F$3000,0))</f>
        <v/>
      </c>
      <c r="W79" s="16">
        <f>INDEX('Chart of Accounts'!$A$5:$A$3000,MATCH("wht_payable",'Chart of Accounts'!$F$5:$F$3000,0))</f>
        <v/>
      </c>
      <c r="X79" s="16">
        <f>IF(M79="",INDEX('Chart of Accounts'!$A$5:$A$3000,MATCH("bank",'Chart of Accounts'!$F$5:$F$3000,0)),M79&amp;"")</f>
        <v/>
      </c>
      <c r="Y79" s="16">
        <f>IF(N79="",INDEX('Chart of Accounts'!$A$5:$A$3000,MATCH("ap",'Chart of Accounts'!$F$5:$F$3000,0)),N79&amp;"")</f>
        <v/>
      </c>
      <c r="Z79" s="16">
        <f>IF(O79="",INDEX('Chart of Accounts'!$A$5:$A$3000,MATCH("materials",'Chart of Accounts'!$F$5:$F$3000,0)),O79&amp;"")</f>
        <v/>
      </c>
      <c r="AA79" s="16">
        <f>IF(IFERROR(INDEX(Warehouses!$C$5:$C$1000,MATCH(C79,Warehouses!$A$5:$A$1000,0))&amp;"","")="",INDEX('Chart of Accounts'!$A$5:$A$3000,MATCH("inventory",'Chart of Accounts'!$F$5:$F$3000,0)),IFERROR(INDEX(Warehouses!$C$5:$C$1000,MATCH(C79,Warehouses!$A$5:$A$1000,0))&amp;"",""))</f>
        <v/>
      </c>
      <c r="AB79" s="16">
        <f>IF(IFERROR(INDEX(Warehouses!$C$5:$C$1000,MATCH(D79,Warehouses!$A$5:$A$1000,0))&amp;"","")="",INDEX('Chart of Accounts'!$A$5:$A$3000,MATCH("inventory",'Chart of Accounts'!$F$5:$F$3000,0)),IFERROR(INDEX(Warehouses!$C$5:$C$1000,MATCH(D79,Warehouses!$A$5:$A$1000,0))&amp;"",""))</f>
        <v/>
      </c>
      <c r="AC79" s="21">
        <f>IF(B79="Receipt",N(K79),0)</f>
        <v/>
      </c>
      <c r="AD79" s="16">
        <f>IF(B79="Receipt",AA79,IF(B79="Issue",Z79,IF(B79="Transfer",AB79,IF(N(G79)&gt;=0,AA79,INDEX('Chart of Accounts'!$A$5:$A$3000,MATCH("stock_adjust",'Chart of Accounts'!$F$5:$F$3000,0))))))</f>
        <v/>
      </c>
      <c r="AE79" s="16">
        <f>IF(B79="Receipt",Y79,IF(B79="Adjustment",IF(N(G79)&gt;=0,INDEX('Chart of Accounts'!$A$5:$A$3000,MATCH("stock_adjust",'Chart of Accounts'!$F$5:$F$3000,0)),AA79),AA79))</f>
        <v/>
      </c>
      <c r="AF79" s="21">
        <f>S79+T79-U79-AC79</f>
        <v/>
      </c>
      <c r="AG79" s="23">
        <f>IFERROR(INDEX('Chart of Accounts'!$C$5:$C$3000,MATCH(AD79&amp;"",'Chart of Accounts'!$A$5:$A$3000,0))&amp;"|"&amp;INDEX('Chart of Accounts'!$D$5:$D$3000,MATCH(AD79&amp;"",'Chart of Accounts'!$A$5:$A$3000,0)),"")</f>
        <v/>
      </c>
      <c r="AH79" s="23">
        <f>IFERROR(INDEX('Chart of Accounts'!$C$5:$C$3000,MATCH(V79&amp;"",'Chart of Accounts'!$A$5:$A$3000,0))&amp;"|"&amp;INDEX('Chart of Accounts'!$D$5:$D$3000,MATCH(V79&amp;"",'Chart of Accounts'!$A$5:$A$3000,0)),"")</f>
        <v/>
      </c>
      <c r="AI79" s="23">
        <f>IFERROR(INDEX('Chart of Accounts'!$C$5:$C$3000,MATCH(AE79&amp;"",'Chart of Accounts'!$A$5:$A$3000,0))&amp;"|"&amp;INDEX('Chart of Accounts'!$D$5:$D$3000,MATCH(AE79&amp;"",'Chart of Accounts'!$A$5:$A$3000,0)),"")</f>
        <v/>
      </c>
      <c r="AJ79" s="23">
        <f>IFERROR(INDEX('Chart of Accounts'!$C$5:$C$3000,MATCH(X79&amp;"",'Chart of Accounts'!$A$5:$A$3000,0))&amp;"|"&amp;INDEX('Chart of Accounts'!$D$5:$D$3000,MATCH(X79&amp;"",'Chart of Accounts'!$A$5:$A$3000,0)),"")</f>
        <v/>
      </c>
      <c r="AK79" s="23">
        <f>IFERROR(INDEX('Chart of Accounts'!$C$5:$C$3000,MATCH(W79&amp;"",'Chart of Accounts'!$A$5:$A$3000,0))&amp;"|"&amp;INDEX('Chart of Accounts'!$D$5:$D$3000,MATCH(W79&amp;"",'Chart of Accounts'!$A$5:$A$3000,0)),"")</f>
        <v/>
      </c>
      <c r="AL79" s="23">
        <f>IF(LEFT(AG79,8)="Revenue|",-N(S79),0)+IF(LEFT(AH79,8)="Revenue|",-N(T79),0)+IF(LEFT(AI79,8)="Revenue|",N(AF79),0)+IF(LEFT(AJ79,8)="Revenue|",N(AC79),0)+IF(LEFT(AK79,8)="Revenue|",N(U79),0)</f>
        <v/>
      </c>
      <c r="AM79" s="23">
        <f>IF(LEFT(AG79,5)="COGS|",N(S79),0)+IF(LEFT(AH79,5)="COGS|",N(T79),0)+IF(LEFT(AI79,5)="COGS|",-N(AF79),0)+IF(LEFT(AJ79,5)="COGS|",-N(AC79),0)+IF(LEFT(AK79,5)="COGS|",-N(U79),0)</f>
        <v/>
      </c>
      <c r="AN79" s="23">
        <f>IF(LEFT(AG79,8)="Expense|",N(S79),0)+IF(LEFT(AH79,8)="Expense|",N(T79),0)+IF(LEFT(AI79,8)="Expense|",-N(AF79),0)+IF(LEFT(AJ79,8)="Expense|",-N(AC79),0)+IF(LEFT(AK79,8)="Expense|",-N(U79),0)</f>
        <v/>
      </c>
      <c r="AO79" s="23">
        <f>IF(ISNUMBER(MATCH(AG79,{"Expense|employee","Expense|general_admin","Expense|marketing","Expense|utilities","Expense|other_operating"},0)),N(S79),0)+IF(ISNUMBER(MATCH(AH79,{"Expense|employee","Expense|general_admin","Expense|marketing","Expense|utilities","Expense|other_operating"},0)),N(T79),0)+IF(ISNUMBER(MATCH(AI79,{"Expense|employee","Expense|general_admin","Expense|marketing","Expense|utilities","Expense|other_operating"},0)),-N(AF79),0)+IF(ISNUMBER(MATCH(AJ79,{"Expense|employee","Expense|general_admin","Expense|marketing","Expense|utilities","Expense|other_operating"},0)),-N(AC79),0)+IF(ISNUMBER(MATCH(AK79,{"Expense|employee","Expense|general_admin","Expense|marketing","Expense|utilities","Expense|other_operating"},0)),-N(U79),0)</f>
        <v/>
      </c>
      <c r="AP79" s="23">
        <f>IF(AG79="Liability|payable",-N(S79),0)+IF(AH79="Liability|payable",-N(T79),0)+IF(AI79="Liability|payable",N(AF79),0)+IF(AJ79="Liability|payable",N(AC79),0)+IF(AK79="Liability|payable",N(U79),0)</f>
        <v/>
      </c>
      <c r="AQ79" s="23">
        <f>IF(AG79="Liability|accrued",-N(S79),0)+IF(AH79="Liability|accrued",-N(T79),0)+IF(AI79="Liability|accrued",N(AF79),0)+IF(AJ79="Liability|accrued",N(AC79),0)+IF(AK79="Liability|accrued",N(U79),0)</f>
        <v/>
      </c>
      <c r="AR79" s="23">
        <f>IF(AND(N(S79)&lt;&gt;0,AG79=""),1,0)+IF(AND(N(T79)&lt;&gt;0,AH79=""),1,0)+IF(AND(N(AF79)&lt;&gt;0,AI79=""),1,0)+IF(AND(N(AC79)&lt;&gt;0,AJ79=""),1,0)+IF(AND(N(U79)&lt;&gt;0,AK79=""),1,0)</f>
        <v/>
      </c>
    </row>
    <row r="80">
      <c r="A80" s="19" t="n"/>
      <c r="B80" s="14" t="n"/>
      <c r="C80" s="14" t="n"/>
      <c r="D80" s="14" t="n"/>
      <c r="E80" s="14" t="n"/>
      <c r="F80" s="14" t="n"/>
      <c r="G80" s="14" t="n"/>
      <c r="H80" s="20" t="n"/>
      <c r="I80" s="14" t="n"/>
      <c r="J80" s="14" t="n"/>
      <c r="K80" s="20" t="n"/>
      <c r="L80" s="14" t="n"/>
      <c r="M80" s="14" t="n"/>
      <c r="N80" s="14" t="n"/>
      <c r="O80" s="14" t="n"/>
      <c r="P80" s="14" t="n"/>
      <c r="Q80" s="14" t="n"/>
      <c r="R80" s="14" t="n"/>
      <c r="S80" s="21">
        <f>ROUND(ABS(N(G80))*N(H80),2)</f>
        <v/>
      </c>
      <c r="T80" s="21">
        <f>IF(B80="Receipt",ROUND(S80*IFERROR(VLOOKUP(Q80,'Tax Codes'!$A$5:$E$300,5,FALSE),0),2),0)</f>
        <v/>
      </c>
      <c r="U80" s="21">
        <f>IF(B80="Receipt",ROUND(S80*IFERROR(VLOOKUP(R80,'Tax Codes'!$A$5:$E$300,5,FALSE),0),2),0)</f>
        <v/>
      </c>
      <c r="V80" s="16">
        <f>INDEX('Chart of Accounts'!$A$5:$A$3000,MATCH("vat_input",'Chart of Accounts'!$F$5:$F$3000,0))</f>
        <v/>
      </c>
      <c r="W80" s="16">
        <f>INDEX('Chart of Accounts'!$A$5:$A$3000,MATCH("wht_payable",'Chart of Accounts'!$F$5:$F$3000,0))</f>
        <v/>
      </c>
      <c r="X80" s="16">
        <f>IF(M80="",INDEX('Chart of Accounts'!$A$5:$A$3000,MATCH("bank",'Chart of Accounts'!$F$5:$F$3000,0)),M80&amp;"")</f>
        <v/>
      </c>
      <c r="Y80" s="16">
        <f>IF(N80="",INDEX('Chart of Accounts'!$A$5:$A$3000,MATCH("ap",'Chart of Accounts'!$F$5:$F$3000,0)),N80&amp;"")</f>
        <v/>
      </c>
      <c r="Z80" s="16">
        <f>IF(O80="",INDEX('Chart of Accounts'!$A$5:$A$3000,MATCH("materials",'Chart of Accounts'!$F$5:$F$3000,0)),O80&amp;"")</f>
        <v/>
      </c>
      <c r="AA80" s="16">
        <f>IF(IFERROR(INDEX(Warehouses!$C$5:$C$1000,MATCH(C80,Warehouses!$A$5:$A$1000,0))&amp;"","")="",INDEX('Chart of Accounts'!$A$5:$A$3000,MATCH("inventory",'Chart of Accounts'!$F$5:$F$3000,0)),IFERROR(INDEX(Warehouses!$C$5:$C$1000,MATCH(C80,Warehouses!$A$5:$A$1000,0))&amp;"",""))</f>
        <v/>
      </c>
      <c r="AB80" s="16">
        <f>IF(IFERROR(INDEX(Warehouses!$C$5:$C$1000,MATCH(D80,Warehouses!$A$5:$A$1000,0))&amp;"","")="",INDEX('Chart of Accounts'!$A$5:$A$3000,MATCH("inventory",'Chart of Accounts'!$F$5:$F$3000,0)),IFERROR(INDEX(Warehouses!$C$5:$C$1000,MATCH(D80,Warehouses!$A$5:$A$1000,0))&amp;"",""))</f>
        <v/>
      </c>
      <c r="AC80" s="21">
        <f>IF(B80="Receipt",N(K80),0)</f>
        <v/>
      </c>
      <c r="AD80" s="16">
        <f>IF(B80="Receipt",AA80,IF(B80="Issue",Z80,IF(B80="Transfer",AB80,IF(N(G80)&gt;=0,AA80,INDEX('Chart of Accounts'!$A$5:$A$3000,MATCH("stock_adjust",'Chart of Accounts'!$F$5:$F$3000,0))))))</f>
        <v/>
      </c>
      <c r="AE80" s="16">
        <f>IF(B80="Receipt",Y80,IF(B80="Adjustment",IF(N(G80)&gt;=0,INDEX('Chart of Accounts'!$A$5:$A$3000,MATCH("stock_adjust",'Chart of Accounts'!$F$5:$F$3000,0)),AA80),AA80))</f>
        <v/>
      </c>
      <c r="AF80" s="21">
        <f>S80+T80-U80-AC80</f>
        <v/>
      </c>
      <c r="AG80" s="23">
        <f>IFERROR(INDEX('Chart of Accounts'!$C$5:$C$3000,MATCH(AD80&amp;"",'Chart of Accounts'!$A$5:$A$3000,0))&amp;"|"&amp;INDEX('Chart of Accounts'!$D$5:$D$3000,MATCH(AD80&amp;"",'Chart of Accounts'!$A$5:$A$3000,0)),"")</f>
        <v/>
      </c>
      <c r="AH80" s="23">
        <f>IFERROR(INDEX('Chart of Accounts'!$C$5:$C$3000,MATCH(V80&amp;"",'Chart of Accounts'!$A$5:$A$3000,0))&amp;"|"&amp;INDEX('Chart of Accounts'!$D$5:$D$3000,MATCH(V80&amp;"",'Chart of Accounts'!$A$5:$A$3000,0)),"")</f>
        <v/>
      </c>
      <c r="AI80" s="23">
        <f>IFERROR(INDEX('Chart of Accounts'!$C$5:$C$3000,MATCH(AE80&amp;"",'Chart of Accounts'!$A$5:$A$3000,0))&amp;"|"&amp;INDEX('Chart of Accounts'!$D$5:$D$3000,MATCH(AE80&amp;"",'Chart of Accounts'!$A$5:$A$3000,0)),"")</f>
        <v/>
      </c>
      <c r="AJ80" s="23">
        <f>IFERROR(INDEX('Chart of Accounts'!$C$5:$C$3000,MATCH(X80&amp;"",'Chart of Accounts'!$A$5:$A$3000,0))&amp;"|"&amp;INDEX('Chart of Accounts'!$D$5:$D$3000,MATCH(X80&amp;"",'Chart of Accounts'!$A$5:$A$3000,0)),"")</f>
        <v/>
      </c>
      <c r="AK80" s="23">
        <f>IFERROR(INDEX('Chart of Accounts'!$C$5:$C$3000,MATCH(W80&amp;"",'Chart of Accounts'!$A$5:$A$3000,0))&amp;"|"&amp;INDEX('Chart of Accounts'!$D$5:$D$3000,MATCH(W80&amp;"",'Chart of Accounts'!$A$5:$A$3000,0)),"")</f>
        <v/>
      </c>
      <c r="AL80" s="23">
        <f>IF(LEFT(AG80,8)="Revenue|",-N(S80),0)+IF(LEFT(AH80,8)="Revenue|",-N(T80),0)+IF(LEFT(AI80,8)="Revenue|",N(AF80),0)+IF(LEFT(AJ80,8)="Revenue|",N(AC80),0)+IF(LEFT(AK80,8)="Revenue|",N(U80),0)</f>
        <v/>
      </c>
      <c r="AM80" s="23">
        <f>IF(LEFT(AG80,5)="COGS|",N(S80),0)+IF(LEFT(AH80,5)="COGS|",N(T80),0)+IF(LEFT(AI80,5)="COGS|",-N(AF80),0)+IF(LEFT(AJ80,5)="COGS|",-N(AC80),0)+IF(LEFT(AK80,5)="COGS|",-N(U80),0)</f>
        <v/>
      </c>
      <c r="AN80" s="23">
        <f>IF(LEFT(AG80,8)="Expense|",N(S80),0)+IF(LEFT(AH80,8)="Expense|",N(T80),0)+IF(LEFT(AI80,8)="Expense|",-N(AF80),0)+IF(LEFT(AJ80,8)="Expense|",-N(AC80),0)+IF(LEFT(AK80,8)="Expense|",-N(U80),0)</f>
        <v/>
      </c>
      <c r="AO80" s="23">
        <f>IF(ISNUMBER(MATCH(AG80,{"Expense|employee","Expense|general_admin","Expense|marketing","Expense|utilities","Expense|other_operating"},0)),N(S80),0)+IF(ISNUMBER(MATCH(AH80,{"Expense|employee","Expense|general_admin","Expense|marketing","Expense|utilities","Expense|other_operating"},0)),N(T80),0)+IF(ISNUMBER(MATCH(AI80,{"Expense|employee","Expense|general_admin","Expense|marketing","Expense|utilities","Expense|other_operating"},0)),-N(AF80),0)+IF(ISNUMBER(MATCH(AJ80,{"Expense|employee","Expense|general_admin","Expense|marketing","Expense|utilities","Expense|other_operating"},0)),-N(AC80),0)+IF(ISNUMBER(MATCH(AK80,{"Expense|employee","Expense|general_admin","Expense|marketing","Expense|utilities","Expense|other_operating"},0)),-N(U80),0)</f>
        <v/>
      </c>
      <c r="AP80" s="23">
        <f>IF(AG80="Liability|payable",-N(S80),0)+IF(AH80="Liability|payable",-N(T80),0)+IF(AI80="Liability|payable",N(AF80),0)+IF(AJ80="Liability|payable",N(AC80),0)+IF(AK80="Liability|payable",N(U80),0)</f>
        <v/>
      </c>
      <c r="AQ80" s="23">
        <f>IF(AG80="Liability|accrued",-N(S80),0)+IF(AH80="Liability|accrued",-N(T80),0)+IF(AI80="Liability|accrued",N(AF80),0)+IF(AJ80="Liability|accrued",N(AC80),0)+IF(AK80="Liability|accrued",N(U80),0)</f>
        <v/>
      </c>
      <c r="AR80" s="23">
        <f>IF(AND(N(S80)&lt;&gt;0,AG80=""),1,0)+IF(AND(N(T80)&lt;&gt;0,AH80=""),1,0)+IF(AND(N(AF80)&lt;&gt;0,AI80=""),1,0)+IF(AND(N(AC80)&lt;&gt;0,AJ80=""),1,0)+IF(AND(N(U80)&lt;&gt;0,AK80=""),1,0)</f>
        <v/>
      </c>
    </row>
    <row r="81">
      <c r="A81" s="19" t="n"/>
      <c r="B81" s="14" t="n"/>
      <c r="C81" s="14" t="n"/>
      <c r="D81" s="14" t="n"/>
      <c r="E81" s="14" t="n"/>
      <c r="F81" s="14" t="n"/>
      <c r="G81" s="14" t="n"/>
      <c r="H81" s="20" t="n"/>
      <c r="I81" s="14" t="n"/>
      <c r="J81" s="14" t="n"/>
      <c r="K81" s="20" t="n"/>
      <c r="L81" s="14" t="n"/>
      <c r="M81" s="14" t="n"/>
      <c r="N81" s="14" t="n"/>
      <c r="O81" s="14" t="n"/>
      <c r="P81" s="14" t="n"/>
      <c r="Q81" s="14" t="n"/>
      <c r="R81" s="14" t="n"/>
      <c r="S81" s="21">
        <f>ROUND(ABS(N(G81))*N(H81),2)</f>
        <v/>
      </c>
      <c r="T81" s="21">
        <f>IF(B81="Receipt",ROUND(S81*IFERROR(VLOOKUP(Q81,'Tax Codes'!$A$5:$E$300,5,FALSE),0),2),0)</f>
        <v/>
      </c>
      <c r="U81" s="21">
        <f>IF(B81="Receipt",ROUND(S81*IFERROR(VLOOKUP(R81,'Tax Codes'!$A$5:$E$300,5,FALSE),0),2),0)</f>
        <v/>
      </c>
      <c r="V81" s="16">
        <f>INDEX('Chart of Accounts'!$A$5:$A$3000,MATCH("vat_input",'Chart of Accounts'!$F$5:$F$3000,0))</f>
        <v/>
      </c>
      <c r="W81" s="16">
        <f>INDEX('Chart of Accounts'!$A$5:$A$3000,MATCH("wht_payable",'Chart of Accounts'!$F$5:$F$3000,0))</f>
        <v/>
      </c>
      <c r="X81" s="16">
        <f>IF(M81="",INDEX('Chart of Accounts'!$A$5:$A$3000,MATCH("bank",'Chart of Accounts'!$F$5:$F$3000,0)),M81&amp;"")</f>
        <v/>
      </c>
      <c r="Y81" s="16">
        <f>IF(N81="",INDEX('Chart of Accounts'!$A$5:$A$3000,MATCH("ap",'Chart of Accounts'!$F$5:$F$3000,0)),N81&amp;"")</f>
        <v/>
      </c>
      <c r="Z81" s="16">
        <f>IF(O81="",INDEX('Chart of Accounts'!$A$5:$A$3000,MATCH("materials",'Chart of Accounts'!$F$5:$F$3000,0)),O81&amp;"")</f>
        <v/>
      </c>
      <c r="AA81" s="16">
        <f>IF(IFERROR(INDEX(Warehouses!$C$5:$C$1000,MATCH(C81,Warehouses!$A$5:$A$1000,0))&amp;"","")="",INDEX('Chart of Accounts'!$A$5:$A$3000,MATCH("inventory",'Chart of Accounts'!$F$5:$F$3000,0)),IFERROR(INDEX(Warehouses!$C$5:$C$1000,MATCH(C81,Warehouses!$A$5:$A$1000,0))&amp;"",""))</f>
        <v/>
      </c>
      <c r="AB81" s="16">
        <f>IF(IFERROR(INDEX(Warehouses!$C$5:$C$1000,MATCH(D81,Warehouses!$A$5:$A$1000,0))&amp;"","")="",INDEX('Chart of Accounts'!$A$5:$A$3000,MATCH("inventory",'Chart of Accounts'!$F$5:$F$3000,0)),IFERROR(INDEX(Warehouses!$C$5:$C$1000,MATCH(D81,Warehouses!$A$5:$A$1000,0))&amp;"",""))</f>
        <v/>
      </c>
      <c r="AC81" s="21">
        <f>IF(B81="Receipt",N(K81),0)</f>
        <v/>
      </c>
      <c r="AD81" s="16">
        <f>IF(B81="Receipt",AA81,IF(B81="Issue",Z81,IF(B81="Transfer",AB81,IF(N(G81)&gt;=0,AA81,INDEX('Chart of Accounts'!$A$5:$A$3000,MATCH("stock_adjust",'Chart of Accounts'!$F$5:$F$3000,0))))))</f>
        <v/>
      </c>
      <c r="AE81" s="16">
        <f>IF(B81="Receipt",Y81,IF(B81="Adjustment",IF(N(G81)&gt;=0,INDEX('Chart of Accounts'!$A$5:$A$3000,MATCH("stock_adjust",'Chart of Accounts'!$F$5:$F$3000,0)),AA81),AA81))</f>
        <v/>
      </c>
      <c r="AF81" s="21">
        <f>S81+T81-U81-AC81</f>
        <v/>
      </c>
      <c r="AG81" s="23">
        <f>IFERROR(INDEX('Chart of Accounts'!$C$5:$C$3000,MATCH(AD81&amp;"",'Chart of Accounts'!$A$5:$A$3000,0))&amp;"|"&amp;INDEX('Chart of Accounts'!$D$5:$D$3000,MATCH(AD81&amp;"",'Chart of Accounts'!$A$5:$A$3000,0)),"")</f>
        <v/>
      </c>
      <c r="AH81" s="23">
        <f>IFERROR(INDEX('Chart of Accounts'!$C$5:$C$3000,MATCH(V81&amp;"",'Chart of Accounts'!$A$5:$A$3000,0))&amp;"|"&amp;INDEX('Chart of Accounts'!$D$5:$D$3000,MATCH(V81&amp;"",'Chart of Accounts'!$A$5:$A$3000,0)),"")</f>
        <v/>
      </c>
      <c r="AI81" s="23">
        <f>IFERROR(INDEX('Chart of Accounts'!$C$5:$C$3000,MATCH(AE81&amp;"",'Chart of Accounts'!$A$5:$A$3000,0))&amp;"|"&amp;INDEX('Chart of Accounts'!$D$5:$D$3000,MATCH(AE81&amp;"",'Chart of Accounts'!$A$5:$A$3000,0)),"")</f>
        <v/>
      </c>
      <c r="AJ81" s="23">
        <f>IFERROR(INDEX('Chart of Accounts'!$C$5:$C$3000,MATCH(X81&amp;"",'Chart of Accounts'!$A$5:$A$3000,0))&amp;"|"&amp;INDEX('Chart of Accounts'!$D$5:$D$3000,MATCH(X81&amp;"",'Chart of Accounts'!$A$5:$A$3000,0)),"")</f>
        <v/>
      </c>
      <c r="AK81" s="23">
        <f>IFERROR(INDEX('Chart of Accounts'!$C$5:$C$3000,MATCH(W81&amp;"",'Chart of Accounts'!$A$5:$A$3000,0))&amp;"|"&amp;INDEX('Chart of Accounts'!$D$5:$D$3000,MATCH(W81&amp;"",'Chart of Accounts'!$A$5:$A$3000,0)),"")</f>
        <v/>
      </c>
      <c r="AL81" s="23">
        <f>IF(LEFT(AG81,8)="Revenue|",-N(S81),0)+IF(LEFT(AH81,8)="Revenue|",-N(T81),0)+IF(LEFT(AI81,8)="Revenue|",N(AF81),0)+IF(LEFT(AJ81,8)="Revenue|",N(AC81),0)+IF(LEFT(AK81,8)="Revenue|",N(U81),0)</f>
        <v/>
      </c>
      <c r="AM81" s="23">
        <f>IF(LEFT(AG81,5)="COGS|",N(S81),0)+IF(LEFT(AH81,5)="COGS|",N(T81),0)+IF(LEFT(AI81,5)="COGS|",-N(AF81),0)+IF(LEFT(AJ81,5)="COGS|",-N(AC81),0)+IF(LEFT(AK81,5)="COGS|",-N(U81),0)</f>
        <v/>
      </c>
      <c r="AN81" s="23">
        <f>IF(LEFT(AG81,8)="Expense|",N(S81),0)+IF(LEFT(AH81,8)="Expense|",N(T81),0)+IF(LEFT(AI81,8)="Expense|",-N(AF81),0)+IF(LEFT(AJ81,8)="Expense|",-N(AC81),0)+IF(LEFT(AK81,8)="Expense|",-N(U81),0)</f>
        <v/>
      </c>
      <c r="AO81" s="23">
        <f>IF(ISNUMBER(MATCH(AG81,{"Expense|employee","Expense|general_admin","Expense|marketing","Expense|utilities","Expense|other_operating"},0)),N(S81),0)+IF(ISNUMBER(MATCH(AH81,{"Expense|employee","Expense|general_admin","Expense|marketing","Expense|utilities","Expense|other_operating"},0)),N(T81),0)+IF(ISNUMBER(MATCH(AI81,{"Expense|employee","Expense|general_admin","Expense|marketing","Expense|utilities","Expense|other_operating"},0)),-N(AF81),0)+IF(ISNUMBER(MATCH(AJ81,{"Expense|employee","Expense|general_admin","Expense|marketing","Expense|utilities","Expense|other_operating"},0)),-N(AC81),0)+IF(ISNUMBER(MATCH(AK81,{"Expense|employee","Expense|general_admin","Expense|marketing","Expense|utilities","Expense|other_operating"},0)),-N(U81),0)</f>
        <v/>
      </c>
      <c r="AP81" s="23">
        <f>IF(AG81="Liability|payable",-N(S81),0)+IF(AH81="Liability|payable",-N(T81),0)+IF(AI81="Liability|payable",N(AF81),0)+IF(AJ81="Liability|payable",N(AC81),0)+IF(AK81="Liability|payable",N(U81),0)</f>
        <v/>
      </c>
      <c r="AQ81" s="23">
        <f>IF(AG81="Liability|accrued",-N(S81),0)+IF(AH81="Liability|accrued",-N(T81),0)+IF(AI81="Liability|accrued",N(AF81),0)+IF(AJ81="Liability|accrued",N(AC81),0)+IF(AK81="Liability|accrued",N(U81),0)</f>
        <v/>
      </c>
      <c r="AR81" s="23">
        <f>IF(AND(N(S81)&lt;&gt;0,AG81=""),1,0)+IF(AND(N(T81)&lt;&gt;0,AH81=""),1,0)+IF(AND(N(AF81)&lt;&gt;0,AI81=""),1,0)+IF(AND(N(AC81)&lt;&gt;0,AJ81=""),1,0)+IF(AND(N(U81)&lt;&gt;0,AK81=""),1,0)</f>
        <v/>
      </c>
    </row>
    <row r="82">
      <c r="A82" s="19" t="n"/>
      <c r="B82" s="14" t="n"/>
      <c r="C82" s="14" t="n"/>
      <c r="D82" s="14" t="n"/>
      <c r="E82" s="14" t="n"/>
      <c r="F82" s="14" t="n"/>
      <c r="G82" s="14" t="n"/>
      <c r="H82" s="20" t="n"/>
      <c r="I82" s="14" t="n"/>
      <c r="J82" s="14" t="n"/>
      <c r="K82" s="20" t="n"/>
      <c r="L82" s="14" t="n"/>
      <c r="M82" s="14" t="n"/>
      <c r="N82" s="14" t="n"/>
      <c r="O82" s="14" t="n"/>
      <c r="P82" s="14" t="n"/>
      <c r="Q82" s="14" t="n"/>
      <c r="R82" s="14" t="n"/>
      <c r="S82" s="21">
        <f>ROUND(ABS(N(G82))*N(H82),2)</f>
        <v/>
      </c>
      <c r="T82" s="21">
        <f>IF(B82="Receipt",ROUND(S82*IFERROR(VLOOKUP(Q82,'Tax Codes'!$A$5:$E$300,5,FALSE),0),2),0)</f>
        <v/>
      </c>
      <c r="U82" s="21">
        <f>IF(B82="Receipt",ROUND(S82*IFERROR(VLOOKUP(R82,'Tax Codes'!$A$5:$E$300,5,FALSE),0),2),0)</f>
        <v/>
      </c>
      <c r="V82" s="16">
        <f>INDEX('Chart of Accounts'!$A$5:$A$3000,MATCH("vat_input",'Chart of Accounts'!$F$5:$F$3000,0))</f>
        <v/>
      </c>
      <c r="W82" s="16">
        <f>INDEX('Chart of Accounts'!$A$5:$A$3000,MATCH("wht_payable",'Chart of Accounts'!$F$5:$F$3000,0))</f>
        <v/>
      </c>
      <c r="X82" s="16">
        <f>IF(M82="",INDEX('Chart of Accounts'!$A$5:$A$3000,MATCH("bank",'Chart of Accounts'!$F$5:$F$3000,0)),M82&amp;"")</f>
        <v/>
      </c>
      <c r="Y82" s="16">
        <f>IF(N82="",INDEX('Chart of Accounts'!$A$5:$A$3000,MATCH("ap",'Chart of Accounts'!$F$5:$F$3000,0)),N82&amp;"")</f>
        <v/>
      </c>
      <c r="Z82" s="16">
        <f>IF(O82="",INDEX('Chart of Accounts'!$A$5:$A$3000,MATCH("materials",'Chart of Accounts'!$F$5:$F$3000,0)),O82&amp;"")</f>
        <v/>
      </c>
      <c r="AA82" s="16">
        <f>IF(IFERROR(INDEX(Warehouses!$C$5:$C$1000,MATCH(C82,Warehouses!$A$5:$A$1000,0))&amp;"","")="",INDEX('Chart of Accounts'!$A$5:$A$3000,MATCH("inventory",'Chart of Accounts'!$F$5:$F$3000,0)),IFERROR(INDEX(Warehouses!$C$5:$C$1000,MATCH(C82,Warehouses!$A$5:$A$1000,0))&amp;"",""))</f>
        <v/>
      </c>
      <c r="AB82" s="16">
        <f>IF(IFERROR(INDEX(Warehouses!$C$5:$C$1000,MATCH(D82,Warehouses!$A$5:$A$1000,0))&amp;"","")="",INDEX('Chart of Accounts'!$A$5:$A$3000,MATCH("inventory",'Chart of Accounts'!$F$5:$F$3000,0)),IFERROR(INDEX(Warehouses!$C$5:$C$1000,MATCH(D82,Warehouses!$A$5:$A$1000,0))&amp;"",""))</f>
        <v/>
      </c>
      <c r="AC82" s="21">
        <f>IF(B82="Receipt",N(K82),0)</f>
        <v/>
      </c>
      <c r="AD82" s="16">
        <f>IF(B82="Receipt",AA82,IF(B82="Issue",Z82,IF(B82="Transfer",AB82,IF(N(G82)&gt;=0,AA82,INDEX('Chart of Accounts'!$A$5:$A$3000,MATCH("stock_adjust",'Chart of Accounts'!$F$5:$F$3000,0))))))</f>
        <v/>
      </c>
      <c r="AE82" s="16">
        <f>IF(B82="Receipt",Y82,IF(B82="Adjustment",IF(N(G82)&gt;=0,INDEX('Chart of Accounts'!$A$5:$A$3000,MATCH("stock_adjust",'Chart of Accounts'!$F$5:$F$3000,0)),AA82),AA82))</f>
        <v/>
      </c>
      <c r="AF82" s="21">
        <f>S82+T82-U82-AC82</f>
        <v/>
      </c>
      <c r="AG82" s="23">
        <f>IFERROR(INDEX('Chart of Accounts'!$C$5:$C$3000,MATCH(AD82&amp;"",'Chart of Accounts'!$A$5:$A$3000,0))&amp;"|"&amp;INDEX('Chart of Accounts'!$D$5:$D$3000,MATCH(AD82&amp;"",'Chart of Accounts'!$A$5:$A$3000,0)),"")</f>
        <v/>
      </c>
      <c r="AH82" s="23">
        <f>IFERROR(INDEX('Chart of Accounts'!$C$5:$C$3000,MATCH(V82&amp;"",'Chart of Accounts'!$A$5:$A$3000,0))&amp;"|"&amp;INDEX('Chart of Accounts'!$D$5:$D$3000,MATCH(V82&amp;"",'Chart of Accounts'!$A$5:$A$3000,0)),"")</f>
        <v/>
      </c>
      <c r="AI82" s="23">
        <f>IFERROR(INDEX('Chart of Accounts'!$C$5:$C$3000,MATCH(AE82&amp;"",'Chart of Accounts'!$A$5:$A$3000,0))&amp;"|"&amp;INDEX('Chart of Accounts'!$D$5:$D$3000,MATCH(AE82&amp;"",'Chart of Accounts'!$A$5:$A$3000,0)),"")</f>
        <v/>
      </c>
      <c r="AJ82" s="23">
        <f>IFERROR(INDEX('Chart of Accounts'!$C$5:$C$3000,MATCH(X82&amp;"",'Chart of Accounts'!$A$5:$A$3000,0))&amp;"|"&amp;INDEX('Chart of Accounts'!$D$5:$D$3000,MATCH(X82&amp;"",'Chart of Accounts'!$A$5:$A$3000,0)),"")</f>
        <v/>
      </c>
      <c r="AK82" s="23">
        <f>IFERROR(INDEX('Chart of Accounts'!$C$5:$C$3000,MATCH(W82&amp;"",'Chart of Accounts'!$A$5:$A$3000,0))&amp;"|"&amp;INDEX('Chart of Accounts'!$D$5:$D$3000,MATCH(W82&amp;"",'Chart of Accounts'!$A$5:$A$3000,0)),"")</f>
        <v/>
      </c>
      <c r="AL82" s="23">
        <f>IF(LEFT(AG82,8)="Revenue|",-N(S82),0)+IF(LEFT(AH82,8)="Revenue|",-N(T82),0)+IF(LEFT(AI82,8)="Revenue|",N(AF82),0)+IF(LEFT(AJ82,8)="Revenue|",N(AC82),0)+IF(LEFT(AK82,8)="Revenue|",N(U82),0)</f>
        <v/>
      </c>
      <c r="AM82" s="23">
        <f>IF(LEFT(AG82,5)="COGS|",N(S82),0)+IF(LEFT(AH82,5)="COGS|",N(T82),0)+IF(LEFT(AI82,5)="COGS|",-N(AF82),0)+IF(LEFT(AJ82,5)="COGS|",-N(AC82),0)+IF(LEFT(AK82,5)="COGS|",-N(U82),0)</f>
        <v/>
      </c>
      <c r="AN82" s="23">
        <f>IF(LEFT(AG82,8)="Expense|",N(S82),0)+IF(LEFT(AH82,8)="Expense|",N(T82),0)+IF(LEFT(AI82,8)="Expense|",-N(AF82),0)+IF(LEFT(AJ82,8)="Expense|",-N(AC82),0)+IF(LEFT(AK82,8)="Expense|",-N(U82),0)</f>
        <v/>
      </c>
      <c r="AO82" s="23">
        <f>IF(ISNUMBER(MATCH(AG82,{"Expense|employee","Expense|general_admin","Expense|marketing","Expense|utilities","Expense|other_operating"},0)),N(S82),0)+IF(ISNUMBER(MATCH(AH82,{"Expense|employee","Expense|general_admin","Expense|marketing","Expense|utilities","Expense|other_operating"},0)),N(T82),0)+IF(ISNUMBER(MATCH(AI82,{"Expense|employee","Expense|general_admin","Expense|marketing","Expense|utilities","Expense|other_operating"},0)),-N(AF82),0)+IF(ISNUMBER(MATCH(AJ82,{"Expense|employee","Expense|general_admin","Expense|marketing","Expense|utilities","Expense|other_operating"},0)),-N(AC82),0)+IF(ISNUMBER(MATCH(AK82,{"Expense|employee","Expense|general_admin","Expense|marketing","Expense|utilities","Expense|other_operating"},0)),-N(U82),0)</f>
        <v/>
      </c>
      <c r="AP82" s="23">
        <f>IF(AG82="Liability|payable",-N(S82),0)+IF(AH82="Liability|payable",-N(T82),0)+IF(AI82="Liability|payable",N(AF82),0)+IF(AJ82="Liability|payable",N(AC82),0)+IF(AK82="Liability|payable",N(U82),0)</f>
        <v/>
      </c>
      <c r="AQ82" s="23">
        <f>IF(AG82="Liability|accrued",-N(S82),0)+IF(AH82="Liability|accrued",-N(T82),0)+IF(AI82="Liability|accrued",N(AF82),0)+IF(AJ82="Liability|accrued",N(AC82),0)+IF(AK82="Liability|accrued",N(U82),0)</f>
        <v/>
      </c>
      <c r="AR82" s="23">
        <f>IF(AND(N(S82)&lt;&gt;0,AG82=""),1,0)+IF(AND(N(T82)&lt;&gt;0,AH82=""),1,0)+IF(AND(N(AF82)&lt;&gt;0,AI82=""),1,0)+IF(AND(N(AC82)&lt;&gt;0,AJ82=""),1,0)+IF(AND(N(U82)&lt;&gt;0,AK82=""),1,0)</f>
        <v/>
      </c>
    </row>
    <row r="83">
      <c r="A83" s="19" t="n"/>
      <c r="B83" s="14" t="n"/>
      <c r="C83" s="14" t="n"/>
      <c r="D83" s="14" t="n"/>
      <c r="E83" s="14" t="n"/>
      <c r="F83" s="14" t="n"/>
      <c r="G83" s="14" t="n"/>
      <c r="H83" s="20" t="n"/>
      <c r="I83" s="14" t="n"/>
      <c r="J83" s="14" t="n"/>
      <c r="K83" s="20" t="n"/>
      <c r="L83" s="14" t="n"/>
      <c r="M83" s="14" t="n"/>
      <c r="N83" s="14" t="n"/>
      <c r="O83" s="14" t="n"/>
      <c r="P83" s="14" t="n"/>
      <c r="Q83" s="14" t="n"/>
      <c r="R83" s="14" t="n"/>
      <c r="S83" s="21">
        <f>ROUND(ABS(N(G83))*N(H83),2)</f>
        <v/>
      </c>
      <c r="T83" s="21">
        <f>IF(B83="Receipt",ROUND(S83*IFERROR(VLOOKUP(Q83,'Tax Codes'!$A$5:$E$300,5,FALSE),0),2),0)</f>
        <v/>
      </c>
      <c r="U83" s="21">
        <f>IF(B83="Receipt",ROUND(S83*IFERROR(VLOOKUP(R83,'Tax Codes'!$A$5:$E$300,5,FALSE),0),2),0)</f>
        <v/>
      </c>
      <c r="V83" s="16">
        <f>INDEX('Chart of Accounts'!$A$5:$A$3000,MATCH("vat_input",'Chart of Accounts'!$F$5:$F$3000,0))</f>
        <v/>
      </c>
      <c r="W83" s="16">
        <f>INDEX('Chart of Accounts'!$A$5:$A$3000,MATCH("wht_payable",'Chart of Accounts'!$F$5:$F$3000,0))</f>
        <v/>
      </c>
      <c r="X83" s="16">
        <f>IF(M83="",INDEX('Chart of Accounts'!$A$5:$A$3000,MATCH("bank",'Chart of Accounts'!$F$5:$F$3000,0)),M83&amp;"")</f>
        <v/>
      </c>
      <c r="Y83" s="16">
        <f>IF(N83="",INDEX('Chart of Accounts'!$A$5:$A$3000,MATCH("ap",'Chart of Accounts'!$F$5:$F$3000,0)),N83&amp;"")</f>
        <v/>
      </c>
      <c r="Z83" s="16">
        <f>IF(O83="",INDEX('Chart of Accounts'!$A$5:$A$3000,MATCH("materials",'Chart of Accounts'!$F$5:$F$3000,0)),O83&amp;"")</f>
        <v/>
      </c>
      <c r="AA83" s="16">
        <f>IF(IFERROR(INDEX(Warehouses!$C$5:$C$1000,MATCH(C83,Warehouses!$A$5:$A$1000,0))&amp;"","")="",INDEX('Chart of Accounts'!$A$5:$A$3000,MATCH("inventory",'Chart of Accounts'!$F$5:$F$3000,0)),IFERROR(INDEX(Warehouses!$C$5:$C$1000,MATCH(C83,Warehouses!$A$5:$A$1000,0))&amp;"",""))</f>
        <v/>
      </c>
      <c r="AB83" s="16">
        <f>IF(IFERROR(INDEX(Warehouses!$C$5:$C$1000,MATCH(D83,Warehouses!$A$5:$A$1000,0))&amp;"","")="",INDEX('Chart of Accounts'!$A$5:$A$3000,MATCH("inventory",'Chart of Accounts'!$F$5:$F$3000,0)),IFERROR(INDEX(Warehouses!$C$5:$C$1000,MATCH(D83,Warehouses!$A$5:$A$1000,0))&amp;"",""))</f>
        <v/>
      </c>
      <c r="AC83" s="21">
        <f>IF(B83="Receipt",N(K83),0)</f>
        <v/>
      </c>
      <c r="AD83" s="16">
        <f>IF(B83="Receipt",AA83,IF(B83="Issue",Z83,IF(B83="Transfer",AB83,IF(N(G83)&gt;=0,AA83,INDEX('Chart of Accounts'!$A$5:$A$3000,MATCH("stock_adjust",'Chart of Accounts'!$F$5:$F$3000,0))))))</f>
        <v/>
      </c>
      <c r="AE83" s="16">
        <f>IF(B83="Receipt",Y83,IF(B83="Adjustment",IF(N(G83)&gt;=0,INDEX('Chart of Accounts'!$A$5:$A$3000,MATCH("stock_adjust",'Chart of Accounts'!$F$5:$F$3000,0)),AA83),AA83))</f>
        <v/>
      </c>
      <c r="AF83" s="21">
        <f>S83+T83-U83-AC83</f>
        <v/>
      </c>
      <c r="AG83" s="23">
        <f>IFERROR(INDEX('Chart of Accounts'!$C$5:$C$3000,MATCH(AD83&amp;"",'Chart of Accounts'!$A$5:$A$3000,0))&amp;"|"&amp;INDEX('Chart of Accounts'!$D$5:$D$3000,MATCH(AD83&amp;"",'Chart of Accounts'!$A$5:$A$3000,0)),"")</f>
        <v/>
      </c>
      <c r="AH83" s="23">
        <f>IFERROR(INDEX('Chart of Accounts'!$C$5:$C$3000,MATCH(V83&amp;"",'Chart of Accounts'!$A$5:$A$3000,0))&amp;"|"&amp;INDEX('Chart of Accounts'!$D$5:$D$3000,MATCH(V83&amp;"",'Chart of Accounts'!$A$5:$A$3000,0)),"")</f>
        <v/>
      </c>
      <c r="AI83" s="23">
        <f>IFERROR(INDEX('Chart of Accounts'!$C$5:$C$3000,MATCH(AE83&amp;"",'Chart of Accounts'!$A$5:$A$3000,0))&amp;"|"&amp;INDEX('Chart of Accounts'!$D$5:$D$3000,MATCH(AE83&amp;"",'Chart of Accounts'!$A$5:$A$3000,0)),"")</f>
        <v/>
      </c>
      <c r="AJ83" s="23">
        <f>IFERROR(INDEX('Chart of Accounts'!$C$5:$C$3000,MATCH(X83&amp;"",'Chart of Accounts'!$A$5:$A$3000,0))&amp;"|"&amp;INDEX('Chart of Accounts'!$D$5:$D$3000,MATCH(X83&amp;"",'Chart of Accounts'!$A$5:$A$3000,0)),"")</f>
        <v/>
      </c>
      <c r="AK83" s="23">
        <f>IFERROR(INDEX('Chart of Accounts'!$C$5:$C$3000,MATCH(W83&amp;"",'Chart of Accounts'!$A$5:$A$3000,0))&amp;"|"&amp;INDEX('Chart of Accounts'!$D$5:$D$3000,MATCH(W83&amp;"",'Chart of Accounts'!$A$5:$A$3000,0)),"")</f>
        <v/>
      </c>
      <c r="AL83" s="23">
        <f>IF(LEFT(AG83,8)="Revenue|",-N(S83),0)+IF(LEFT(AH83,8)="Revenue|",-N(T83),0)+IF(LEFT(AI83,8)="Revenue|",N(AF83),0)+IF(LEFT(AJ83,8)="Revenue|",N(AC83),0)+IF(LEFT(AK83,8)="Revenue|",N(U83),0)</f>
        <v/>
      </c>
      <c r="AM83" s="23">
        <f>IF(LEFT(AG83,5)="COGS|",N(S83),0)+IF(LEFT(AH83,5)="COGS|",N(T83),0)+IF(LEFT(AI83,5)="COGS|",-N(AF83),0)+IF(LEFT(AJ83,5)="COGS|",-N(AC83),0)+IF(LEFT(AK83,5)="COGS|",-N(U83),0)</f>
        <v/>
      </c>
      <c r="AN83" s="23">
        <f>IF(LEFT(AG83,8)="Expense|",N(S83),0)+IF(LEFT(AH83,8)="Expense|",N(T83),0)+IF(LEFT(AI83,8)="Expense|",-N(AF83),0)+IF(LEFT(AJ83,8)="Expense|",-N(AC83),0)+IF(LEFT(AK83,8)="Expense|",-N(U83),0)</f>
        <v/>
      </c>
      <c r="AO83" s="23">
        <f>IF(ISNUMBER(MATCH(AG83,{"Expense|employee","Expense|general_admin","Expense|marketing","Expense|utilities","Expense|other_operating"},0)),N(S83),0)+IF(ISNUMBER(MATCH(AH83,{"Expense|employee","Expense|general_admin","Expense|marketing","Expense|utilities","Expense|other_operating"},0)),N(T83),0)+IF(ISNUMBER(MATCH(AI83,{"Expense|employee","Expense|general_admin","Expense|marketing","Expense|utilities","Expense|other_operating"},0)),-N(AF83),0)+IF(ISNUMBER(MATCH(AJ83,{"Expense|employee","Expense|general_admin","Expense|marketing","Expense|utilities","Expense|other_operating"},0)),-N(AC83),0)+IF(ISNUMBER(MATCH(AK83,{"Expense|employee","Expense|general_admin","Expense|marketing","Expense|utilities","Expense|other_operating"},0)),-N(U83),0)</f>
        <v/>
      </c>
      <c r="AP83" s="23">
        <f>IF(AG83="Liability|payable",-N(S83),0)+IF(AH83="Liability|payable",-N(T83),0)+IF(AI83="Liability|payable",N(AF83),0)+IF(AJ83="Liability|payable",N(AC83),0)+IF(AK83="Liability|payable",N(U83),0)</f>
        <v/>
      </c>
      <c r="AQ83" s="23">
        <f>IF(AG83="Liability|accrued",-N(S83),0)+IF(AH83="Liability|accrued",-N(T83),0)+IF(AI83="Liability|accrued",N(AF83),0)+IF(AJ83="Liability|accrued",N(AC83),0)+IF(AK83="Liability|accrued",N(U83),0)</f>
        <v/>
      </c>
      <c r="AR83" s="23">
        <f>IF(AND(N(S83)&lt;&gt;0,AG83=""),1,0)+IF(AND(N(T83)&lt;&gt;0,AH83=""),1,0)+IF(AND(N(AF83)&lt;&gt;0,AI83=""),1,0)+IF(AND(N(AC83)&lt;&gt;0,AJ83=""),1,0)+IF(AND(N(U83)&lt;&gt;0,AK83=""),1,0)</f>
        <v/>
      </c>
    </row>
    <row r="84">
      <c r="A84" s="19" t="n"/>
      <c r="B84" s="14" t="n"/>
      <c r="C84" s="14" t="n"/>
      <c r="D84" s="14" t="n"/>
      <c r="E84" s="14" t="n"/>
      <c r="F84" s="14" t="n"/>
      <c r="G84" s="14" t="n"/>
      <c r="H84" s="20" t="n"/>
      <c r="I84" s="14" t="n"/>
      <c r="J84" s="14" t="n"/>
      <c r="K84" s="20" t="n"/>
      <c r="L84" s="14" t="n"/>
      <c r="M84" s="14" t="n"/>
      <c r="N84" s="14" t="n"/>
      <c r="O84" s="14" t="n"/>
      <c r="P84" s="14" t="n"/>
      <c r="Q84" s="14" t="n"/>
      <c r="R84" s="14" t="n"/>
      <c r="S84" s="21">
        <f>ROUND(ABS(N(G84))*N(H84),2)</f>
        <v/>
      </c>
      <c r="T84" s="21">
        <f>IF(B84="Receipt",ROUND(S84*IFERROR(VLOOKUP(Q84,'Tax Codes'!$A$5:$E$300,5,FALSE),0),2),0)</f>
        <v/>
      </c>
      <c r="U84" s="21">
        <f>IF(B84="Receipt",ROUND(S84*IFERROR(VLOOKUP(R84,'Tax Codes'!$A$5:$E$300,5,FALSE),0),2),0)</f>
        <v/>
      </c>
      <c r="V84" s="16">
        <f>INDEX('Chart of Accounts'!$A$5:$A$3000,MATCH("vat_input",'Chart of Accounts'!$F$5:$F$3000,0))</f>
        <v/>
      </c>
      <c r="W84" s="16">
        <f>INDEX('Chart of Accounts'!$A$5:$A$3000,MATCH("wht_payable",'Chart of Accounts'!$F$5:$F$3000,0))</f>
        <v/>
      </c>
      <c r="X84" s="16">
        <f>IF(M84="",INDEX('Chart of Accounts'!$A$5:$A$3000,MATCH("bank",'Chart of Accounts'!$F$5:$F$3000,0)),M84&amp;"")</f>
        <v/>
      </c>
      <c r="Y84" s="16">
        <f>IF(N84="",INDEX('Chart of Accounts'!$A$5:$A$3000,MATCH("ap",'Chart of Accounts'!$F$5:$F$3000,0)),N84&amp;"")</f>
        <v/>
      </c>
      <c r="Z84" s="16">
        <f>IF(O84="",INDEX('Chart of Accounts'!$A$5:$A$3000,MATCH("materials",'Chart of Accounts'!$F$5:$F$3000,0)),O84&amp;"")</f>
        <v/>
      </c>
      <c r="AA84" s="16">
        <f>IF(IFERROR(INDEX(Warehouses!$C$5:$C$1000,MATCH(C84,Warehouses!$A$5:$A$1000,0))&amp;"","")="",INDEX('Chart of Accounts'!$A$5:$A$3000,MATCH("inventory",'Chart of Accounts'!$F$5:$F$3000,0)),IFERROR(INDEX(Warehouses!$C$5:$C$1000,MATCH(C84,Warehouses!$A$5:$A$1000,0))&amp;"",""))</f>
        <v/>
      </c>
      <c r="AB84" s="16">
        <f>IF(IFERROR(INDEX(Warehouses!$C$5:$C$1000,MATCH(D84,Warehouses!$A$5:$A$1000,0))&amp;"","")="",INDEX('Chart of Accounts'!$A$5:$A$3000,MATCH("inventory",'Chart of Accounts'!$F$5:$F$3000,0)),IFERROR(INDEX(Warehouses!$C$5:$C$1000,MATCH(D84,Warehouses!$A$5:$A$1000,0))&amp;"",""))</f>
        <v/>
      </c>
      <c r="AC84" s="21">
        <f>IF(B84="Receipt",N(K84),0)</f>
        <v/>
      </c>
      <c r="AD84" s="16">
        <f>IF(B84="Receipt",AA84,IF(B84="Issue",Z84,IF(B84="Transfer",AB84,IF(N(G84)&gt;=0,AA84,INDEX('Chart of Accounts'!$A$5:$A$3000,MATCH("stock_adjust",'Chart of Accounts'!$F$5:$F$3000,0))))))</f>
        <v/>
      </c>
      <c r="AE84" s="16">
        <f>IF(B84="Receipt",Y84,IF(B84="Adjustment",IF(N(G84)&gt;=0,INDEX('Chart of Accounts'!$A$5:$A$3000,MATCH("stock_adjust",'Chart of Accounts'!$F$5:$F$3000,0)),AA84),AA84))</f>
        <v/>
      </c>
      <c r="AF84" s="21">
        <f>S84+T84-U84-AC84</f>
        <v/>
      </c>
      <c r="AG84" s="23">
        <f>IFERROR(INDEX('Chart of Accounts'!$C$5:$C$3000,MATCH(AD84&amp;"",'Chart of Accounts'!$A$5:$A$3000,0))&amp;"|"&amp;INDEX('Chart of Accounts'!$D$5:$D$3000,MATCH(AD84&amp;"",'Chart of Accounts'!$A$5:$A$3000,0)),"")</f>
        <v/>
      </c>
      <c r="AH84" s="23">
        <f>IFERROR(INDEX('Chart of Accounts'!$C$5:$C$3000,MATCH(V84&amp;"",'Chart of Accounts'!$A$5:$A$3000,0))&amp;"|"&amp;INDEX('Chart of Accounts'!$D$5:$D$3000,MATCH(V84&amp;"",'Chart of Accounts'!$A$5:$A$3000,0)),"")</f>
        <v/>
      </c>
      <c r="AI84" s="23">
        <f>IFERROR(INDEX('Chart of Accounts'!$C$5:$C$3000,MATCH(AE84&amp;"",'Chart of Accounts'!$A$5:$A$3000,0))&amp;"|"&amp;INDEX('Chart of Accounts'!$D$5:$D$3000,MATCH(AE84&amp;"",'Chart of Accounts'!$A$5:$A$3000,0)),"")</f>
        <v/>
      </c>
      <c r="AJ84" s="23">
        <f>IFERROR(INDEX('Chart of Accounts'!$C$5:$C$3000,MATCH(X84&amp;"",'Chart of Accounts'!$A$5:$A$3000,0))&amp;"|"&amp;INDEX('Chart of Accounts'!$D$5:$D$3000,MATCH(X84&amp;"",'Chart of Accounts'!$A$5:$A$3000,0)),"")</f>
        <v/>
      </c>
      <c r="AK84" s="23">
        <f>IFERROR(INDEX('Chart of Accounts'!$C$5:$C$3000,MATCH(W84&amp;"",'Chart of Accounts'!$A$5:$A$3000,0))&amp;"|"&amp;INDEX('Chart of Accounts'!$D$5:$D$3000,MATCH(W84&amp;"",'Chart of Accounts'!$A$5:$A$3000,0)),"")</f>
        <v/>
      </c>
      <c r="AL84" s="23">
        <f>IF(LEFT(AG84,8)="Revenue|",-N(S84),0)+IF(LEFT(AH84,8)="Revenue|",-N(T84),0)+IF(LEFT(AI84,8)="Revenue|",N(AF84),0)+IF(LEFT(AJ84,8)="Revenue|",N(AC84),0)+IF(LEFT(AK84,8)="Revenue|",N(U84),0)</f>
        <v/>
      </c>
      <c r="AM84" s="23">
        <f>IF(LEFT(AG84,5)="COGS|",N(S84),0)+IF(LEFT(AH84,5)="COGS|",N(T84),0)+IF(LEFT(AI84,5)="COGS|",-N(AF84),0)+IF(LEFT(AJ84,5)="COGS|",-N(AC84),0)+IF(LEFT(AK84,5)="COGS|",-N(U84),0)</f>
        <v/>
      </c>
      <c r="AN84" s="23">
        <f>IF(LEFT(AG84,8)="Expense|",N(S84),0)+IF(LEFT(AH84,8)="Expense|",N(T84),0)+IF(LEFT(AI84,8)="Expense|",-N(AF84),0)+IF(LEFT(AJ84,8)="Expense|",-N(AC84),0)+IF(LEFT(AK84,8)="Expense|",-N(U84),0)</f>
        <v/>
      </c>
      <c r="AO84" s="23">
        <f>IF(ISNUMBER(MATCH(AG84,{"Expense|employee","Expense|general_admin","Expense|marketing","Expense|utilities","Expense|other_operating"},0)),N(S84),0)+IF(ISNUMBER(MATCH(AH84,{"Expense|employee","Expense|general_admin","Expense|marketing","Expense|utilities","Expense|other_operating"},0)),N(T84),0)+IF(ISNUMBER(MATCH(AI84,{"Expense|employee","Expense|general_admin","Expense|marketing","Expense|utilities","Expense|other_operating"},0)),-N(AF84),0)+IF(ISNUMBER(MATCH(AJ84,{"Expense|employee","Expense|general_admin","Expense|marketing","Expense|utilities","Expense|other_operating"},0)),-N(AC84),0)+IF(ISNUMBER(MATCH(AK84,{"Expense|employee","Expense|general_admin","Expense|marketing","Expense|utilities","Expense|other_operating"},0)),-N(U84),0)</f>
        <v/>
      </c>
      <c r="AP84" s="23">
        <f>IF(AG84="Liability|payable",-N(S84),0)+IF(AH84="Liability|payable",-N(T84),0)+IF(AI84="Liability|payable",N(AF84),0)+IF(AJ84="Liability|payable",N(AC84),0)+IF(AK84="Liability|payable",N(U84),0)</f>
        <v/>
      </c>
      <c r="AQ84" s="23">
        <f>IF(AG84="Liability|accrued",-N(S84),0)+IF(AH84="Liability|accrued",-N(T84),0)+IF(AI84="Liability|accrued",N(AF84),0)+IF(AJ84="Liability|accrued",N(AC84),0)+IF(AK84="Liability|accrued",N(U84),0)</f>
        <v/>
      </c>
      <c r="AR84" s="23">
        <f>IF(AND(N(S84)&lt;&gt;0,AG84=""),1,0)+IF(AND(N(T84)&lt;&gt;0,AH84=""),1,0)+IF(AND(N(AF84)&lt;&gt;0,AI84=""),1,0)+IF(AND(N(AC84)&lt;&gt;0,AJ84=""),1,0)+IF(AND(N(U84)&lt;&gt;0,AK84=""),1,0)</f>
        <v/>
      </c>
    </row>
    <row r="85">
      <c r="A85" s="19" t="n"/>
      <c r="B85" s="14" t="n"/>
      <c r="C85" s="14" t="n"/>
      <c r="D85" s="14" t="n"/>
      <c r="E85" s="14" t="n"/>
      <c r="F85" s="14" t="n"/>
      <c r="G85" s="14" t="n"/>
      <c r="H85" s="20" t="n"/>
      <c r="I85" s="14" t="n"/>
      <c r="J85" s="14" t="n"/>
      <c r="K85" s="20" t="n"/>
      <c r="L85" s="14" t="n"/>
      <c r="M85" s="14" t="n"/>
      <c r="N85" s="14" t="n"/>
      <c r="O85" s="14" t="n"/>
      <c r="P85" s="14" t="n"/>
      <c r="Q85" s="14" t="n"/>
      <c r="R85" s="14" t="n"/>
      <c r="S85" s="21">
        <f>ROUND(ABS(N(G85))*N(H85),2)</f>
        <v/>
      </c>
      <c r="T85" s="21">
        <f>IF(B85="Receipt",ROUND(S85*IFERROR(VLOOKUP(Q85,'Tax Codes'!$A$5:$E$300,5,FALSE),0),2),0)</f>
        <v/>
      </c>
      <c r="U85" s="21">
        <f>IF(B85="Receipt",ROUND(S85*IFERROR(VLOOKUP(R85,'Tax Codes'!$A$5:$E$300,5,FALSE),0),2),0)</f>
        <v/>
      </c>
      <c r="V85" s="16">
        <f>INDEX('Chart of Accounts'!$A$5:$A$3000,MATCH("vat_input",'Chart of Accounts'!$F$5:$F$3000,0))</f>
        <v/>
      </c>
      <c r="W85" s="16">
        <f>INDEX('Chart of Accounts'!$A$5:$A$3000,MATCH("wht_payable",'Chart of Accounts'!$F$5:$F$3000,0))</f>
        <v/>
      </c>
      <c r="X85" s="16">
        <f>IF(M85="",INDEX('Chart of Accounts'!$A$5:$A$3000,MATCH("bank",'Chart of Accounts'!$F$5:$F$3000,0)),M85&amp;"")</f>
        <v/>
      </c>
      <c r="Y85" s="16">
        <f>IF(N85="",INDEX('Chart of Accounts'!$A$5:$A$3000,MATCH("ap",'Chart of Accounts'!$F$5:$F$3000,0)),N85&amp;"")</f>
        <v/>
      </c>
      <c r="Z85" s="16">
        <f>IF(O85="",INDEX('Chart of Accounts'!$A$5:$A$3000,MATCH("materials",'Chart of Accounts'!$F$5:$F$3000,0)),O85&amp;"")</f>
        <v/>
      </c>
      <c r="AA85" s="16">
        <f>IF(IFERROR(INDEX(Warehouses!$C$5:$C$1000,MATCH(C85,Warehouses!$A$5:$A$1000,0))&amp;"","")="",INDEX('Chart of Accounts'!$A$5:$A$3000,MATCH("inventory",'Chart of Accounts'!$F$5:$F$3000,0)),IFERROR(INDEX(Warehouses!$C$5:$C$1000,MATCH(C85,Warehouses!$A$5:$A$1000,0))&amp;"",""))</f>
        <v/>
      </c>
      <c r="AB85" s="16">
        <f>IF(IFERROR(INDEX(Warehouses!$C$5:$C$1000,MATCH(D85,Warehouses!$A$5:$A$1000,0))&amp;"","")="",INDEX('Chart of Accounts'!$A$5:$A$3000,MATCH("inventory",'Chart of Accounts'!$F$5:$F$3000,0)),IFERROR(INDEX(Warehouses!$C$5:$C$1000,MATCH(D85,Warehouses!$A$5:$A$1000,0))&amp;"",""))</f>
        <v/>
      </c>
      <c r="AC85" s="21">
        <f>IF(B85="Receipt",N(K85),0)</f>
        <v/>
      </c>
      <c r="AD85" s="16">
        <f>IF(B85="Receipt",AA85,IF(B85="Issue",Z85,IF(B85="Transfer",AB85,IF(N(G85)&gt;=0,AA85,INDEX('Chart of Accounts'!$A$5:$A$3000,MATCH("stock_adjust",'Chart of Accounts'!$F$5:$F$3000,0))))))</f>
        <v/>
      </c>
      <c r="AE85" s="16">
        <f>IF(B85="Receipt",Y85,IF(B85="Adjustment",IF(N(G85)&gt;=0,INDEX('Chart of Accounts'!$A$5:$A$3000,MATCH("stock_adjust",'Chart of Accounts'!$F$5:$F$3000,0)),AA85),AA85))</f>
        <v/>
      </c>
      <c r="AF85" s="21">
        <f>S85+T85-U85-AC85</f>
        <v/>
      </c>
      <c r="AG85" s="23">
        <f>IFERROR(INDEX('Chart of Accounts'!$C$5:$C$3000,MATCH(AD85&amp;"",'Chart of Accounts'!$A$5:$A$3000,0))&amp;"|"&amp;INDEX('Chart of Accounts'!$D$5:$D$3000,MATCH(AD85&amp;"",'Chart of Accounts'!$A$5:$A$3000,0)),"")</f>
        <v/>
      </c>
      <c r="AH85" s="23">
        <f>IFERROR(INDEX('Chart of Accounts'!$C$5:$C$3000,MATCH(V85&amp;"",'Chart of Accounts'!$A$5:$A$3000,0))&amp;"|"&amp;INDEX('Chart of Accounts'!$D$5:$D$3000,MATCH(V85&amp;"",'Chart of Accounts'!$A$5:$A$3000,0)),"")</f>
        <v/>
      </c>
      <c r="AI85" s="23">
        <f>IFERROR(INDEX('Chart of Accounts'!$C$5:$C$3000,MATCH(AE85&amp;"",'Chart of Accounts'!$A$5:$A$3000,0))&amp;"|"&amp;INDEX('Chart of Accounts'!$D$5:$D$3000,MATCH(AE85&amp;"",'Chart of Accounts'!$A$5:$A$3000,0)),"")</f>
        <v/>
      </c>
      <c r="AJ85" s="23">
        <f>IFERROR(INDEX('Chart of Accounts'!$C$5:$C$3000,MATCH(X85&amp;"",'Chart of Accounts'!$A$5:$A$3000,0))&amp;"|"&amp;INDEX('Chart of Accounts'!$D$5:$D$3000,MATCH(X85&amp;"",'Chart of Accounts'!$A$5:$A$3000,0)),"")</f>
        <v/>
      </c>
      <c r="AK85" s="23">
        <f>IFERROR(INDEX('Chart of Accounts'!$C$5:$C$3000,MATCH(W85&amp;"",'Chart of Accounts'!$A$5:$A$3000,0))&amp;"|"&amp;INDEX('Chart of Accounts'!$D$5:$D$3000,MATCH(W85&amp;"",'Chart of Accounts'!$A$5:$A$3000,0)),"")</f>
        <v/>
      </c>
      <c r="AL85" s="23">
        <f>IF(LEFT(AG85,8)="Revenue|",-N(S85),0)+IF(LEFT(AH85,8)="Revenue|",-N(T85),0)+IF(LEFT(AI85,8)="Revenue|",N(AF85),0)+IF(LEFT(AJ85,8)="Revenue|",N(AC85),0)+IF(LEFT(AK85,8)="Revenue|",N(U85),0)</f>
        <v/>
      </c>
      <c r="AM85" s="23">
        <f>IF(LEFT(AG85,5)="COGS|",N(S85),0)+IF(LEFT(AH85,5)="COGS|",N(T85),0)+IF(LEFT(AI85,5)="COGS|",-N(AF85),0)+IF(LEFT(AJ85,5)="COGS|",-N(AC85),0)+IF(LEFT(AK85,5)="COGS|",-N(U85),0)</f>
        <v/>
      </c>
      <c r="AN85" s="23">
        <f>IF(LEFT(AG85,8)="Expense|",N(S85),0)+IF(LEFT(AH85,8)="Expense|",N(T85),0)+IF(LEFT(AI85,8)="Expense|",-N(AF85),0)+IF(LEFT(AJ85,8)="Expense|",-N(AC85),0)+IF(LEFT(AK85,8)="Expense|",-N(U85),0)</f>
        <v/>
      </c>
      <c r="AO85" s="23">
        <f>IF(ISNUMBER(MATCH(AG85,{"Expense|employee","Expense|general_admin","Expense|marketing","Expense|utilities","Expense|other_operating"},0)),N(S85),0)+IF(ISNUMBER(MATCH(AH85,{"Expense|employee","Expense|general_admin","Expense|marketing","Expense|utilities","Expense|other_operating"},0)),N(T85),0)+IF(ISNUMBER(MATCH(AI85,{"Expense|employee","Expense|general_admin","Expense|marketing","Expense|utilities","Expense|other_operating"},0)),-N(AF85),0)+IF(ISNUMBER(MATCH(AJ85,{"Expense|employee","Expense|general_admin","Expense|marketing","Expense|utilities","Expense|other_operating"},0)),-N(AC85),0)+IF(ISNUMBER(MATCH(AK85,{"Expense|employee","Expense|general_admin","Expense|marketing","Expense|utilities","Expense|other_operating"},0)),-N(U85),0)</f>
        <v/>
      </c>
      <c r="AP85" s="23">
        <f>IF(AG85="Liability|payable",-N(S85),0)+IF(AH85="Liability|payable",-N(T85),0)+IF(AI85="Liability|payable",N(AF85),0)+IF(AJ85="Liability|payable",N(AC85),0)+IF(AK85="Liability|payable",N(U85),0)</f>
        <v/>
      </c>
      <c r="AQ85" s="23">
        <f>IF(AG85="Liability|accrued",-N(S85),0)+IF(AH85="Liability|accrued",-N(T85),0)+IF(AI85="Liability|accrued",N(AF85),0)+IF(AJ85="Liability|accrued",N(AC85),0)+IF(AK85="Liability|accrued",N(U85),0)</f>
        <v/>
      </c>
      <c r="AR85" s="23">
        <f>IF(AND(N(S85)&lt;&gt;0,AG85=""),1,0)+IF(AND(N(T85)&lt;&gt;0,AH85=""),1,0)+IF(AND(N(AF85)&lt;&gt;0,AI85=""),1,0)+IF(AND(N(AC85)&lt;&gt;0,AJ85=""),1,0)+IF(AND(N(U85)&lt;&gt;0,AK85=""),1,0)</f>
        <v/>
      </c>
    </row>
    <row r="86">
      <c r="A86" s="19" t="n"/>
      <c r="B86" s="14" t="n"/>
      <c r="C86" s="14" t="n"/>
      <c r="D86" s="14" t="n"/>
      <c r="E86" s="14" t="n"/>
      <c r="F86" s="14" t="n"/>
      <c r="G86" s="14" t="n"/>
      <c r="H86" s="20" t="n"/>
      <c r="I86" s="14" t="n"/>
      <c r="J86" s="14" t="n"/>
      <c r="K86" s="20" t="n"/>
      <c r="L86" s="14" t="n"/>
      <c r="M86" s="14" t="n"/>
      <c r="N86" s="14" t="n"/>
      <c r="O86" s="14" t="n"/>
      <c r="P86" s="14" t="n"/>
      <c r="Q86" s="14" t="n"/>
      <c r="R86" s="14" t="n"/>
      <c r="S86" s="21">
        <f>ROUND(ABS(N(G86))*N(H86),2)</f>
        <v/>
      </c>
      <c r="T86" s="21">
        <f>IF(B86="Receipt",ROUND(S86*IFERROR(VLOOKUP(Q86,'Tax Codes'!$A$5:$E$300,5,FALSE),0),2),0)</f>
        <v/>
      </c>
      <c r="U86" s="21">
        <f>IF(B86="Receipt",ROUND(S86*IFERROR(VLOOKUP(R86,'Tax Codes'!$A$5:$E$300,5,FALSE),0),2),0)</f>
        <v/>
      </c>
      <c r="V86" s="16">
        <f>INDEX('Chart of Accounts'!$A$5:$A$3000,MATCH("vat_input",'Chart of Accounts'!$F$5:$F$3000,0))</f>
        <v/>
      </c>
      <c r="W86" s="16">
        <f>INDEX('Chart of Accounts'!$A$5:$A$3000,MATCH("wht_payable",'Chart of Accounts'!$F$5:$F$3000,0))</f>
        <v/>
      </c>
      <c r="X86" s="16">
        <f>IF(M86="",INDEX('Chart of Accounts'!$A$5:$A$3000,MATCH("bank",'Chart of Accounts'!$F$5:$F$3000,0)),M86&amp;"")</f>
        <v/>
      </c>
      <c r="Y86" s="16">
        <f>IF(N86="",INDEX('Chart of Accounts'!$A$5:$A$3000,MATCH("ap",'Chart of Accounts'!$F$5:$F$3000,0)),N86&amp;"")</f>
        <v/>
      </c>
      <c r="Z86" s="16">
        <f>IF(O86="",INDEX('Chart of Accounts'!$A$5:$A$3000,MATCH("materials",'Chart of Accounts'!$F$5:$F$3000,0)),O86&amp;"")</f>
        <v/>
      </c>
      <c r="AA86" s="16">
        <f>IF(IFERROR(INDEX(Warehouses!$C$5:$C$1000,MATCH(C86,Warehouses!$A$5:$A$1000,0))&amp;"","")="",INDEX('Chart of Accounts'!$A$5:$A$3000,MATCH("inventory",'Chart of Accounts'!$F$5:$F$3000,0)),IFERROR(INDEX(Warehouses!$C$5:$C$1000,MATCH(C86,Warehouses!$A$5:$A$1000,0))&amp;"",""))</f>
        <v/>
      </c>
      <c r="AB86" s="16">
        <f>IF(IFERROR(INDEX(Warehouses!$C$5:$C$1000,MATCH(D86,Warehouses!$A$5:$A$1000,0))&amp;"","")="",INDEX('Chart of Accounts'!$A$5:$A$3000,MATCH("inventory",'Chart of Accounts'!$F$5:$F$3000,0)),IFERROR(INDEX(Warehouses!$C$5:$C$1000,MATCH(D86,Warehouses!$A$5:$A$1000,0))&amp;"",""))</f>
        <v/>
      </c>
      <c r="AC86" s="21">
        <f>IF(B86="Receipt",N(K86),0)</f>
        <v/>
      </c>
      <c r="AD86" s="16">
        <f>IF(B86="Receipt",AA86,IF(B86="Issue",Z86,IF(B86="Transfer",AB86,IF(N(G86)&gt;=0,AA86,INDEX('Chart of Accounts'!$A$5:$A$3000,MATCH("stock_adjust",'Chart of Accounts'!$F$5:$F$3000,0))))))</f>
        <v/>
      </c>
      <c r="AE86" s="16">
        <f>IF(B86="Receipt",Y86,IF(B86="Adjustment",IF(N(G86)&gt;=0,INDEX('Chart of Accounts'!$A$5:$A$3000,MATCH("stock_adjust",'Chart of Accounts'!$F$5:$F$3000,0)),AA86),AA86))</f>
        <v/>
      </c>
      <c r="AF86" s="21">
        <f>S86+T86-U86-AC86</f>
        <v/>
      </c>
      <c r="AG86" s="23">
        <f>IFERROR(INDEX('Chart of Accounts'!$C$5:$C$3000,MATCH(AD86&amp;"",'Chart of Accounts'!$A$5:$A$3000,0))&amp;"|"&amp;INDEX('Chart of Accounts'!$D$5:$D$3000,MATCH(AD86&amp;"",'Chart of Accounts'!$A$5:$A$3000,0)),"")</f>
        <v/>
      </c>
      <c r="AH86" s="23">
        <f>IFERROR(INDEX('Chart of Accounts'!$C$5:$C$3000,MATCH(V86&amp;"",'Chart of Accounts'!$A$5:$A$3000,0))&amp;"|"&amp;INDEX('Chart of Accounts'!$D$5:$D$3000,MATCH(V86&amp;"",'Chart of Accounts'!$A$5:$A$3000,0)),"")</f>
        <v/>
      </c>
      <c r="AI86" s="23">
        <f>IFERROR(INDEX('Chart of Accounts'!$C$5:$C$3000,MATCH(AE86&amp;"",'Chart of Accounts'!$A$5:$A$3000,0))&amp;"|"&amp;INDEX('Chart of Accounts'!$D$5:$D$3000,MATCH(AE86&amp;"",'Chart of Accounts'!$A$5:$A$3000,0)),"")</f>
        <v/>
      </c>
      <c r="AJ86" s="23">
        <f>IFERROR(INDEX('Chart of Accounts'!$C$5:$C$3000,MATCH(X86&amp;"",'Chart of Accounts'!$A$5:$A$3000,0))&amp;"|"&amp;INDEX('Chart of Accounts'!$D$5:$D$3000,MATCH(X86&amp;"",'Chart of Accounts'!$A$5:$A$3000,0)),"")</f>
        <v/>
      </c>
      <c r="AK86" s="23">
        <f>IFERROR(INDEX('Chart of Accounts'!$C$5:$C$3000,MATCH(W86&amp;"",'Chart of Accounts'!$A$5:$A$3000,0))&amp;"|"&amp;INDEX('Chart of Accounts'!$D$5:$D$3000,MATCH(W86&amp;"",'Chart of Accounts'!$A$5:$A$3000,0)),"")</f>
        <v/>
      </c>
      <c r="AL86" s="23">
        <f>IF(LEFT(AG86,8)="Revenue|",-N(S86),0)+IF(LEFT(AH86,8)="Revenue|",-N(T86),0)+IF(LEFT(AI86,8)="Revenue|",N(AF86),0)+IF(LEFT(AJ86,8)="Revenue|",N(AC86),0)+IF(LEFT(AK86,8)="Revenue|",N(U86),0)</f>
        <v/>
      </c>
      <c r="AM86" s="23">
        <f>IF(LEFT(AG86,5)="COGS|",N(S86),0)+IF(LEFT(AH86,5)="COGS|",N(T86),0)+IF(LEFT(AI86,5)="COGS|",-N(AF86),0)+IF(LEFT(AJ86,5)="COGS|",-N(AC86),0)+IF(LEFT(AK86,5)="COGS|",-N(U86),0)</f>
        <v/>
      </c>
      <c r="AN86" s="23">
        <f>IF(LEFT(AG86,8)="Expense|",N(S86),0)+IF(LEFT(AH86,8)="Expense|",N(T86),0)+IF(LEFT(AI86,8)="Expense|",-N(AF86),0)+IF(LEFT(AJ86,8)="Expense|",-N(AC86),0)+IF(LEFT(AK86,8)="Expense|",-N(U86),0)</f>
        <v/>
      </c>
      <c r="AO86" s="23">
        <f>IF(ISNUMBER(MATCH(AG86,{"Expense|employee","Expense|general_admin","Expense|marketing","Expense|utilities","Expense|other_operating"},0)),N(S86),0)+IF(ISNUMBER(MATCH(AH86,{"Expense|employee","Expense|general_admin","Expense|marketing","Expense|utilities","Expense|other_operating"},0)),N(T86),0)+IF(ISNUMBER(MATCH(AI86,{"Expense|employee","Expense|general_admin","Expense|marketing","Expense|utilities","Expense|other_operating"},0)),-N(AF86),0)+IF(ISNUMBER(MATCH(AJ86,{"Expense|employee","Expense|general_admin","Expense|marketing","Expense|utilities","Expense|other_operating"},0)),-N(AC86),0)+IF(ISNUMBER(MATCH(AK86,{"Expense|employee","Expense|general_admin","Expense|marketing","Expense|utilities","Expense|other_operating"},0)),-N(U86),0)</f>
        <v/>
      </c>
      <c r="AP86" s="23">
        <f>IF(AG86="Liability|payable",-N(S86),0)+IF(AH86="Liability|payable",-N(T86),0)+IF(AI86="Liability|payable",N(AF86),0)+IF(AJ86="Liability|payable",N(AC86),0)+IF(AK86="Liability|payable",N(U86),0)</f>
        <v/>
      </c>
      <c r="AQ86" s="23">
        <f>IF(AG86="Liability|accrued",-N(S86),0)+IF(AH86="Liability|accrued",-N(T86),0)+IF(AI86="Liability|accrued",N(AF86),0)+IF(AJ86="Liability|accrued",N(AC86),0)+IF(AK86="Liability|accrued",N(U86),0)</f>
        <v/>
      </c>
      <c r="AR86" s="23">
        <f>IF(AND(N(S86)&lt;&gt;0,AG86=""),1,0)+IF(AND(N(T86)&lt;&gt;0,AH86=""),1,0)+IF(AND(N(AF86)&lt;&gt;0,AI86=""),1,0)+IF(AND(N(AC86)&lt;&gt;0,AJ86=""),1,0)+IF(AND(N(U86)&lt;&gt;0,AK86=""),1,0)</f>
        <v/>
      </c>
    </row>
    <row r="87">
      <c r="A87" s="19" t="n"/>
      <c r="B87" s="14" t="n"/>
      <c r="C87" s="14" t="n"/>
      <c r="D87" s="14" t="n"/>
      <c r="E87" s="14" t="n"/>
      <c r="F87" s="14" t="n"/>
      <c r="G87" s="14" t="n"/>
      <c r="H87" s="20" t="n"/>
      <c r="I87" s="14" t="n"/>
      <c r="J87" s="14" t="n"/>
      <c r="K87" s="20" t="n"/>
      <c r="L87" s="14" t="n"/>
      <c r="M87" s="14" t="n"/>
      <c r="N87" s="14" t="n"/>
      <c r="O87" s="14" t="n"/>
      <c r="P87" s="14" t="n"/>
      <c r="Q87" s="14" t="n"/>
      <c r="R87" s="14" t="n"/>
      <c r="S87" s="21">
        <f>ROUND(ABS(N(G87))*N(H87),2)</f>
        <v/>
      </c>
      <c r="T87" s="21">
        <f>IF(B87="Receipt",ROUND(S87*IFERROR(VLOOKUP(Q87,'Tax Codes'!$A$5:$E$300,5,FALSE),0),2),0)</f>
        <v/>
      </c>
      <c r="U87" s="21">
        <f>IF(B87="Receipt",ROUND(S87*IFERROR(VLOOKUP(R87,'Tax Codes'!$A$5:$E$300,5,FALSE),0),2),0)</f>
        <v/>
      </c>
      <c r="V87" s="16">
        <f>INDEX('Chart of Accounts'!$A$5:$A$3000,MATCH("vat_input",'Chart of Accounts'!$F$5:$F$3000,0))</f>
        <v/>
      </c>
      <c r="W87" s="16">
        <f>INDEX('Chart of Accounts'!$A$5:$A$3000,MATCH("wht_payable",'Chart of Accounts'!$F$5:$F$3000,0))</f>
        <v/>
      </c>
      <c r="X87" s="16">
        <f>IF(M87="",INDEX('Chart of Accounts'!$A$5:$A$3000,MATCH("bank",'Chart of Accounts'!$F$5:$F$3000,0)),M87&amp;"")</f>
        <v/>
      </c>
      <c r="Y87" s="16">
        <f>IF(N87="",INDEX('Chart of Accounts'!$A$5:$A$3000,MATCH("ap",'Chart of Accounts'!$F$5:$F$3000,0)),N87&amp;"")</f>
        <v/>
      </c>
      <c r="Z87" s="16">
        <f>IF(O87="",INDEX('Chart of Accounts'!$A$5:$A$3000,MATCH("materials",'Chart of Accounts'!$F$5:$F$3000,0)),O87&amp;"")</f>
        <v/>
      </c>
      <c r="AA87" s="16">
        <f>IF(IFERROR(INDEX(Warehouses!$C$5:$C$1000,MATCH(C87,Warehouses!$A$5:$A$1000,0))&amp;"","")="",INDEX('Chart of Accounts'!$A$5:$A$3000,MATCH("inventory",'Chart of Accounts'!$F$5:$F$3000,0)),IFERROR(INDEX(Warehouses!$C$5:$C$1000,MATCH(C87,Warehouses!$A$5:$A$1000,0))&amp;"",""))</f>
        <v/>
      </c>
      <c r="AB87" s="16">
        <f>IF(IFERROR(INDEX(Warehouses!$C$5:$C$1000,MATCH(D87,Warehouses!$A$5:$A$1000,0))&amp;"","")="",INDEX('Chart of Accounts'!$A$5:$A$3000,MATCH("inventory",'Chart of Accounts'!$F$5:$F$3000,0)),IFERROR(INDEX(Warehouses!$C$5:$C$1000,MATCH(D87,Warehouses!$A$5:$A$1000,0))&amp;"",""))</f>
        <v/>
      </c>
      <c r="AC87" s="21">
        <f>IF(B87="Receipt",N(K87),0)</f>
        <v/>
      </c>
      <c r="AD87" s="16">
        <f>IF(B87="Receipt",AA87,IF(B87="Issue",Z87,IF(B87="Transfer",AB87,IF(N(G87)&gt;=0,AA87,INDEX('Chart of Accounts'!$A$5:$A$3000,MATCH("stock_adjust",'Chart of Accounts'!$F$5:$F$3000,0))))))</f>
        <v/>
      </c>
      <c r="AE87" s="16">
        <f>IF(B87="Receipt",Y87,IF(B87="Adjustment",IF(N(G87)&gt;=0,INDEX('Chart of Accounts'!$A$5:$A$3000,MATCH("stock_adjust",'Chart of Accounts'!$F$5:$F$3000,0)),AA87),AA87))</f>
        <v/>
      </c>
      <c r="AF87" s="21">
        <f>S87+T87-U87-AC87</f>
        <v/>
      </c>
      <c r="AG87" s="23">
        <f>IFERROR(INDEX('Chart of Accounts'!$C$5:$C$3000,MATCH(AD87&amp;"",'Chart of Accounts'!$A$5:$A$3000,0))&amp;"|"&amp;INDEX('Chart of Accounts'!$D$5:$D$3000,MATCH(AD87&amp;"",'Chart of Accounts'!$A$5:$A$3000,0)),"")</f>
        <v/>
      </c>
      <c r="AH87" s="23">
        <f>IFERROR(INDEX('Chart of Accounts'!$C$5:$C$3000,MATCH(V87&amp;"",'Chart of Accounts'!$A$5:$A$3000,0))&amp;"|"&amp;INDEX('Chart of Accounts'!$D$5:$D$3000,MATCH(V87&amp;"",'Chart of Accounts'!$A$5:$A$3000,0)),"")</f>
        <v/>
      </c>
      <c r="AI87" s="23">
        <f>IFERROR(INDEX('Chart of Accounts'!$C$5:$C$3000,MATCH(AE87&amp;"",'Chart of Accounts'!$A$5:$A$3000,0))&amp;"|"&amp;INDEX('Chart of Accounts'!$D$5:$D$3000,MATCH(AE87&amp;"",'Chart of Accounts'!$A$5:$A$3000,0)),"")</f>
        <v/>
      </c>
      <c r="AJ87" s="23">
        <f>IFERROR(INDEX('Chart of Accounts'!$C$5:$C$3000,MATCH(X87&amp;"",'Chart of Accounts'!$A$5:$A$3000,0))&amp;"|"&amp;INDEX('Chart of Accounts'!$D$5:$D$3000,MATCH(X87&amp;"",'Chart of Accounts'!$A$5:$A$3000,0)),"")</f>
        <v/>
      </c>
      <c r="AK87" s="23">
        <f>IFERROR(INDEX('Chart of Accounts'!$C$5:$C$3000,MATCH(W87&amp;"",'Chart of Accounts'!$A$5:$A$3000,0))&amp;"|"&amp;INDEX('Chart of Accounts'!$D$5:$D$3000,MATCH(W87&amp;"",'Chart of Accounts'!$A$5:$A$3000,0)),"")</f>
        <v/>
      </c>
      <c r="AL87" s="23">
        <f>IF(LEFT(AG87,8)="Revenue|",-N(S87),0)+IF(LEFT(AH87,8)="Revenue|",-N(T87),0)+IF(LEFT(AI87,8)="Revenue|",N(AF87),0)+IF(LEFT(AJ87,8)="Revenue|",N(AC87),0)+IF(LEFT(AK87,8)="Revenue|",N(U87),0)</f>
        <v/>
      </c>
      <c r="AM87" s="23">
        <f>IF(LEFT(AG87,5)="COGS|",N(S87),0)+IF(LEFT(AH87,5)="COGS|",N(T87),0)+IF(LEFT(AI87,5)="COGS|",-N(AF87),0)+IF(LEFT(AJ87,5)="COGS|",-N(AC87),0)+IF(LEFT(AK87,5)="COGS|",-N(U87),0)</f>
        <v/>
      </c>
      <c r="AN87" s="23">
        <f>IF(LEFT(AG87,8)="Expense|",N(S87),0)+IF(LEFT(AH87,8)="Expense|",N(T87),0)+IF(LEFT(AI87,8)="Expense|",-N(AF87),0)+IF(LEFT(AJ87,8)="Expense|",-N(AC87),0)+IF(LEFT(AK87,8)="Expense|",-N(U87),0)</f>
        <v/>
      </c>
      <c r="AO87" s="23">
        <f>IF(ISNUMBER(MATCH(AG87,{"Expense|employee","Expense|general_admin","Expense|marketing","Expense|utilities","Expense|other_operating"},0)),N(S87),0)+IF(ISNUMBER(MATCH(AH87,{"Expense|employee","Expense|general_admin","Expense|marketing","Expense|utilities","Expense|other_operating"},0)),N(T87),0)+IF(ISNUMBER(MATCH(AI87,{"Expense|employee","Expense|general_admin","Expense|marketing","Expense|utilities","Expense|other_operating"},0)),-N(AF87),0)+IF(ISNUMBER(MATCH(AJ87,{"Expense|employee","Expense|general_admin","Expense|marketing","Expense|utilities","Expense|other_operating"},0)),-N(AC87),0)+IF(ISNUMBER(MATCH(AK87,{"Expense|employee","Expense|general_admin","Expense|marketing","Expense|utilities","Expense|other_operating"},0)),-N(U87),0)</f>
        <v/>
      </c>
      <c r="AP87" s="23">
        <f>IF(AG87="Liability|payable",-N(S87),0)+IF(AH87="Liability|payable",-N(T87),0)+IF(AI87="Liability|payable",N(AF87),0)+IF(AJ87="Liability|payable",N(AC87),0)+IF(AK87="Liability|payable",N(U87),0)</f>
        <v/>
      </c>
      <c r="AQ87" s="23">
        <f>IF(AG87="Liability|accrued",-N(S87),0)+IF(AH87="Liability|accrued",-N(T87),0)+IF(AI87="Liability|accrued",N(AF87),0)+IF(AJ87="Liability|accrued",N(AC87),0)+IF(AK87="Liability|accrued",N(U87),0)</f>
        <v/>
      </c>
      <c r="AR87" s="23">
        <f>IF(AND(N(S87)&lt;&gt;0,AG87=""),1,0)+IF(AND(N(T87)&lt;&gt;0,AH87=""),1,0)+IF(AND(N(AF87)&lt;&gt;0,AI87=""),1,0)+IF(AND(N(AC87)&lt;&gt;0,AJ87=""),1,0)+IF(AND(N(U87)&lt;&gt;0,AK87=""),1,0)</f>
        <v/>
      </c>
    </row>
    <row r="88">
      <c r="A88" s="19" t="n"/>
      <c r="B88" s="14" t="n"/>
      <c r="C88" s="14" t="n"/>
      <c r="D88" s="14" t="n"/>
      <c r="E88" s="14" t="n"/>
      <c r="F88" s="14" t="n"/>
      <c r="G88" s="14" t="n"/>
      <c r="H88" s="20" t="n"/>
      <c r="I88" s="14" t="n"/>
      <c r="J88" s="14" t="n"/>
      <c r="K88" s="20" t="n"/>
      <c r="L88" s="14" t="n"/>
      <c r="M88" s="14" t="n"/>
      <c r="N88" s="14" t="n"/>
      <c r="O88" s="14" t="n"/>
      <c r="P88" s="14" t="n"/>
      <c r="Q88" s="14" t="n"/>
      <c r="R88" s="14" t="n"/>
      <c r="S88" s="21">
        <f>ROUND(ABS(N(G88))*N(H88),2)</f>
        <v/>
      </c>
      <c r="T88" s="21">
        <f>IF(B88="Receipt",ROUND(S88*IFERROR(VLOOKUP(Q88,'Tax Codes'!$A$5:$E$300,5,FALSE),0),2),0)</f>
        <v/>
      </c>
      <c r="U88" s="21">
        <f>IF(B88="Receipt",ROUND(S88*IFERROR(VLOOKUP(R88,'Tax Codes'!$A$5:$E$300,5,FALSE),0),2),0)</f>
        <v/>
      </c>
      <c r="V88" s="16">
        <f>INDEX('Chart of Accounts'!$A$5:$A$3000,MATCH("vat_input",'Chart of Accounts'!$F$5:$F$3000,0))</f>
        <v/>
      </c>
      <c r="W88" s="16">
        <f>INDEX('Chart of Accounts'!$A$5:$A$3000,MATCH("wht_payable",'Chart of Accounts'!$F$5:$F$3000,0))</f>
        <v/>
      </c>
      <c r="X88" s="16">
        <f>IF(M88="",INDEX('Chart of Accounts'!$A$5:$A$3000,MATCH("bank",'Chart of Accounts'!$F$5:$F$3000,0)),M88&amp;"")</f>
        <v/>
      </c>
      <c r="Y88" s="16">
        <f>IF(N88="",INDEX('Chart of Accounts'!$A$5:$A$3000,MATCH("ap",'Chart of Accounts'!$F$5:$F$3000,0)),N88&amp;"")</f>
        <v/>
      </c>
      <c r="Z88" s="16">
        <f>IF(O88="",INDEX('Chart of Accounts'!$A$5:$A$3000,MATCH("materials",'Chart of Accounts'!$F$5:$F$3000,0)),O88&amp;"")</f>
        <v/>
      </c>
      <c r="AA88" s="16">
        <f>IF(IFERROR(INDEX(Warehouses!$C$5:$C$1000,MATCH(C88,Warehouses!$A$5:$A$1000,0))&amp;"","")="",INDEX('Chart of Accounts'!$A$5:$A$3000,MATCH("inventory",'Chart of Accounts'!$F$5:$F$3000,0)),IFERROR(INDEX(Warehouses!$C$5:$C$1000,MATCH(C88,Warehouses!$A$5:$A$1000,0))&amp;"",""))</f>
        <v/>
      </c>
      <c r="AB88" s="16">
        <f>IF(IFERROR(INDEX(Warehouses!$C$5:$C$1000,MATCH(D88,Warehouses!$A$5:$A$1000,0))&amp;"","")="",INDEX('Chart of Accounts'!$A$5:$A$3000,MATCH("inventory",'Chart of Accounts'!$F$5:$F$3000,0)),IFERROR(INDEX(Warehouses!$C$5:$C$1000,MATCH(D88,Warehouses!$A$5:$A$1000,0))&amp;"",""))</f>
        <v/>
      </c>
      <c r="AC88" s="21">
        <f>IF(B88="Receipt",N(K88),0)</f>
        <v/>
      </c>
      <c r="AD88" s="16">
        <f>IF(B88="Receipt",AA88,IF(B88="Issue",Z88,IF(B88="Transfer",AB88,IF(N(G88)&gt;=0,AA88,INDEX('Chart of Accounts'!$A$5:$A$3000,MATCH("stock_adjust",'Chart of Accounts'!$F$5:$F$3000,0))))))</f>
        <v/>
      </c>
      <c r="AE88" s="16">
        <f>IF(B88="Receipt",Y88,IF(B88="Adjustment",IF(N(G88)&gt;=0,INDEX('Chart of Accounts'!$A$5:$A$3000,MATCH("stock_adjust",'Chart of Accounts'!$F$5:$F$3000,0)),AA88),AA88))</f>
        <v/>
      </c>
      <c r="AF88" s="21">
        <f>S88+T88-U88-AC88</f>
        <v/>
      </c>
      <c r="AG88" s="23">
        <f>IFERROR(INDEX('Chart of Accounts'!$C$5:$C$3000,MATCH(AD88&amp;"",'Chart of Accounts'!$A$5:$A$3000,0))&amp;"|"&amp;INDEX('Chart of Accounts'!$D$5:$D$3000,MATCH(AD88&amp;"",'Chart of Accounts'!$A$5:$A$3000,0)),"")</f>
        <v/>
      </c>
      <c r="AH88" s="23">
        <f>IFERROR(INDEX('Chart of Accounts'!$C$5:$C$3000,MATCH(V88&amp;"",'Chart of Accounts'!$A$5:$A$3000,0))&amp;"|"&amp;INDEX('Chart of Accounts'!$D$5:$D$3000,MATCH(V88&amp;"",'Chart of Accounts'!$A$5:$A$3000,0)),"")</f>
        <v/>
      </c>
      <c r="AI88" s="23">
        <f>IFERROR(INDEX('Chart of Accounts'!$C$5:$C$3000,MATCH(AE88&amp;"",'Chart of Accounts'!$A$5:$A$3000,0))&amp;"|"&amp;INDEX('Chart of Accounts'!$D$5:$D$3000,MATCH(AE88&amp;"",'Chart of Accounts'!$A$5:$A$3000,0)),"")</f>
        <v/>
      </c>
      <c r="AJ88" s="23">
        <f>IFERROR(INDEX('Chart of Accounts'!$C$5:$C$3000,MATCH(X88&amp;"",'Chart of Accounts'!$A$5:$A$3000,0))&amp;"|"&amp;INDEX('Chart of Accounts'!$D$5:$D$3000,MATCH(X88&amp;"",'Chart of Accounts'!$A$5:$A$3000,0)),"")</f>
        <v/>
      </c>
      <c r="AK88" s="23">
        <f>IFERROR(INDEX('Chart of Accounts'!$C$5:$C$3000,MATCH(W88&amp;"",'Chart of Accounts'!$A$5:$A$3000,0))&amp;"|"&amp;INDEX('Chart of Accounts'!$D$5:$D$3000,MATCH(W88&amp;"",'Chart of Accounts'!$A$5:$A$3000,0)),"")</f>
        <v/>
      </c>
      <c r="AL88" s="23">
        <f>IF(LEFT(AG88,8)="Revenue|",-N(S88),0)+IF(LEFT(AH88,8)="Revenue|",-N(T88),0)+IF(LEFT(AI88,8)="Revenue|",N(AF88),0)+IF(LEFT(AJ88,8)="Revenue|",N(AC88),0)+IF(LEFT(AK88,8)="Revenue|",N(U88),0)</f>
        <v/>
      </c>
      <c r="AM88" s="23">
        <f>IF(LEFT(AG88,5)="COGS|",N(S88),0)+IF(LEFT(AH88,5)="COGS|",N(T88),0)+IF(LEFT(AI88,5)="COGS|",-N(AF88),0)+IF(LEFT(AJ88,5)="COGS|",-N(AC88),0)+IF(LEFT(AK88,5)="COGS|",-N(U88),0)</f>
        <v/>
      </c>
      <c r="AN88" s="23">
        <f>IF(LEFT(AG88,8)="Expense|",N(S88),0)+IF(LEFT(AH88,8)="Expense|",N(T88),0)+IF(LEFT(AI88,8)="Expense|",-N(AF88),0)+IF(LEFT(AJ88,8)="Expense|",-N(AC88),0)+IF(LEFT(AK88,8)="Expense|",-N(U88),0)</f>
        <v/>
      </c>
      <c r="AO88" s="23">
        <f>IF(ISNUMBER(MATCH(AG88,{"Expense|employee","Expense|general_admin","Expense|marketing","Expense|utilities","Expense|other_operating"},0)),N(S88),0)+IF(ISNUMBER(MATCH(AH88,{"Expense|employee","Expense|general_admin","Expense|marketing","Expense|utilities","Expense|other_operating"},0)),N(T88),0)+IF(ISNUMBER(MATCH(AI88,{"Expense|employee","Expense|general_admin","Expense|marketing","Expense|utilities","Expense|other_operating"},0)),-N(AF88),0)+IF(ISNUMBER(MATCH(AJ88,{"Expense|employee","Expense|general_admin","Expense|marketing","Expense|utilities","Expense|other_operating"},0)),-N(AC88),0)+IF(ISNUMBER(MATCH(AK88,{"Expense|employee","Expense|general_admin","Expense|marketing","Expense|utilities","Expense|other_operating"},0)),-N(U88),0)</f>
        <v/>
      </c>
      <c r="AP88" s="23">
        <f>IF(AG88="Liability|payable",-N(S88),0)+IF(AH88="Liability|payable",-N(T88),0)+IF(AI88="Liability|payable",N(AF88),0)+IF(AJ88="Liability|payable",N(AC88),0)+IF(AK88="Liability|payable",N(U88),0)</f>
        <v/>
      </c>
      <c r="AQ88" s="23">
        <f>IF(AG88="Liability|accrued",-N(S88),0)+IF(AH88="Liability|accrued",-N(T88),0)+IF(AI88="Liability|accrued",N(AF88),0)+IF(AJ88="Liability|accrued",N(AC88),0)+IF(AK88="Liability|accrued",N(U88),0)</f>
        <v/>
      </c>
      <c r="AR88" s="23">
        <f>IF(AND(N(S88)&lt;&gt;0,AG88=""),1,0)+IF(AND(N(T88)&lt;&gt;0,AH88=""),1,0)+IF(AND(N(AF88)&lt;&gt;0,AI88=""),1,0)+IF(AND(N(AC88)&lt;&gt;0,AJ88=""),1,0)+IF(AND(N(U88)&lt;&gt;0,AK88=""),1,0)</f>
        <v/>
      </c>
    </row>
    <row r="89">
      <c r="A89" s="19" t="n"/>
      <c r="B89" s="14" t="n"/>
      <c r="C89" s="14" t="n"/>
      <c r="D89" s="14" t="n"/>
      <c r="E89" s="14" t="n"/>
      <c r="F89" s="14" t="n"/>
      <c r="G89" s="14" t="n"/>
      <c r="H89" s="20" t="n"/>
      <c r="I89" s="14" t="n"/>
      <c r="J89" s="14" t="n"/>
      <c r="K89" s="20" t="n"/>
      <c r="L89" s="14" t="n"/>
      <c r="M89" s="14" t="n"/>
      <c r="N89" s="14" t="n"/>
      <c r="O89" s="14" t="n"/>
      <c r="P89" s="14" t="n"/>
      <c r="Q89" s="14" t="n"/>
      <c r="R89" s="14" t="n"/>
      <c r="S89" s="21">
        <f>ROUND(ABS(N(G89))*N(H89),2)</f>
        <v/>
      </c>
      <c r="T89" s="21">
        <f>IF(B89="Receipt",ROUND(S89*IFERROR(VLOOKUP(Q89,'Tax Codes'!$A$5:$E$300,5,FALSE),0),2),0)</f>
        <v/>
      </c>
      <c r="U89" s="21">
        <f>IF(B89="Receipt",ROUND(S89*IFERROR(VLOOKUP(R89,'Tax Codes'!$A$5:$E$300,5,FALSE),0),2),0)</f>
        <v/>
      </c>
      <c r="V89" s="16">
        <f>INDEX('Chart of Accounts'!$A$5:$A$3000,MATCH("vat_input",'Chart of Accounts'!$F$5:$F$3000,0))</f>
        <v/>
      </c>
      <c r="W89" s="16">
        <f>INDEX('Chart of Accounts'!$A$5:$A$3000,MATCH("wht_payable",'Chart of Accounts'!$F$5:$F$3000,0))</f>
        <v/>
      </c>
      <c r="X89" s="16">
        <f>IF(M89="",INDEX('Chart of Accounts'!$A$5:$A$3000,MATCH("bank",'Chart of Accounts'!$F$5:$F$3000,0)),M89&amp;"")</f>
        <v/>
      </c>
      <c r="Y89" s="16">
        <f>IF(N89="",INDEX('Chart of Accounts'!$A$5:$A$3000,MATCH("ap",'Chart of Accounts'!$F$5:$F$3000,0)),N89&amp;"")</f>
        <v/>
      </c>
      <c r="Z89" s="16">
        <f>IF(O89="",INDEX('Chart of Accounts'!$A$5:$A$3000,MATCH("materials",'Chart of Accounts'!$F$5:$F$3000,0)),O89&amp;"")</f>
        <v/>
      </c>
      <c r="AA89" s="16">
        <f>IF(IFERROR(INDEX(Warehouses!$C$5:$C$1000,MATCH(C89,Warehouses!$A$5:$A$1000,0))&amp;"","")="",INDEX('Chart of Accounts'!$A$5:$A$3000,MATCH("inventory",'Chart of Accounts'!$F$5:$F$3000,0)),IFERROR(INDEX(Warehouses!$C$5:$C$1000,MATCH(C89,Warehouses!$A$5:$A$1000,0))&amp;"",""))</f>
        <v/>
      </c>
      <c r="AB89" s="16">
        <f>IF(IFERROR(INDEX(Warehouses!$C$5:$C$1000,MATCH(D89,Warehouses!$A$5:$A$1000,0))&amp;"","")="",INDEX('Chart of Accounts'!$A$5:$A$3000,MATCH("inventory",'Chart of Accounts'!$F$5:$F$3000,0)),IFERROR(INDEX(Warehouses!$C$5:$C$1000,MATCH(D89,Warehouses!$A$5:$A$1000,0))&amp;"",""))</f>
        <v/>
      </c>
      <c r="AC89" s="21">
        <f>IF(B89="Receipt",N(K89),0)</f>
        <v/>
      </c>
      <c r="AD89" s="16">
        <f>IF(B89="Receipt",AA89,IF(B89="Issue",Z89,IF(B89="Transfer",AB89,IF(N(G89)&gt;=0,AA89,INDEX('Chart of Accounts'!$A$5:$A$3000,MATCH("stock_adjust",'Chart of Accounts'!$F$5:$F$3000,0))))))</f>
        <v/>
      </c>
      <c r="AE89" s="16">
        <f>IF(B89="Receipt",Y89,IF(B89="Adjustment",IF(N(G89)&gt;=0,INDEX('Chart of Accounts'!$A$5:$A$3000,MATCH("stock_adjust",'Chart of Accounts'!$F$5:$F$3000,0)),AA89),AA89))</f>
        <v/>
      </c>
      <c r="AF89" s="21">
        <f>S89+T89-U89-AC89</f>
        <v/>
      </c>
      <c r="AG89" s="23">
        <f>IFERROR(INDEX('Chart of Accounts'!$C$5:$C$3000,MATCH(AD89&amp;"",'Chart of Accounts'!$A$5:$A$3000,0))&amp;"|"&amp;INDEX('Chart of Accounts'!$D$5:$D$3000,MATCH(AD89&amp;"",'Chart of Accounts'!$A$5:$A$3000,0)),"")</f>
        <v/>
      </c>
      <c r="AH89" s="23">
        <f>IFERROR(INDEX('Chart of Accounts'!$C$5:$C$3000,MATCH(V89&amp;"",'Chart of Accounts'!$A$5:$A$3000,0))&amp;"|"&amp;INDEX('Chart of Accounts'!$D$5:$D$3000,MATCH(V89&amp;"",'Chart of Accounts'!$A$5:$A$3000,0)),"")</f>
        <v/>
      </c>
      <c r="AI89" s="23">
        <f>IFERROR(INDEX('Chart of Accounts'!$C$5:$C$3000,MATCH(AE89&amp;"",'Chart of Accounts'!$A$5:$A$3000,0))&amp;"|"&amp;INDEX('Chart of Accounts'!$D$5:$D$3000,MATCH(AE89&amp;"",'Chart of Accounts'!$A$5:$A$3000,0)),"")</f>
        <v/>
      </c>
      <c r="AJ89" s="23">
        <f>IFERROR(INDEX('Chart of Accounts'!$C$5:$C$3000,MATCH(X89&amp;"",'Chart of Accounts'!$A$5:$A$3000,0))&amp;"|"&amp;INDEX('Chart of Accounts'!$D$5:$D$3000,MATCH(X89&amp;"",'Chart of Accounts'!$A$5:$A$3000,0)),"")</f>
        <v/>
      </c>
      <c r="AK89" s="23">
        <f>IFERROR(INDEX('Chart of Accounts'!$C$5:$C$3000,MATCH(W89&amp;"",'Chart of Accounts'!$A$5:$A$3000,0))&amp;"|"&amp;INDEX('Chart of Accounts'!$D$5:$D$3000,MATCH(W89&amp;"",'Chart of Accounts'!$A$5:$A$3000,0)),"")</f>
        <v/>
      </c>
      <c r="AL89" s="23">
        <f>IF(LEFT(AG89,8)="Revenue|",-N(S89),0)+IF(LEFT(AH89,8)="Revenue|",-N(T89),0)+IF(LEFT(AI89,8)="Revenue|",N(AF89),0)+IF(LEFT(AJ89,8)="Revenue|",N(AC89),0)+IF(LEFT(AK89,8)="Revenue|",N(U89),0)</f>
        <v/>
      </c>
      <c r="AM89" s="23">
        <f>IF(LEFT(AG89,5)="COGS|",N(S89),0)+IF(LEFT(AH89,5)="COGS|",N(T89),0)+IF(LEFT(AI89,5)="COGS|",-N(AF89),0)+IF(LEFT(AJ89,5)="COGS|",-N(AC89),0)+IF(LEFT(AK89,5)="COGS|",-N(U89),0)</f>
        <v/>
      </c>
      <c r="AN89" s="23">
        <f>IF(LEFT(AG89,8)="Expense|",N(S89),0)+IF(LEFT(AH89,8)="Expense|",N(T89),0)+IF(LEFT(AI89,8)="Expense|",-N(AF89),0)+IF(LEFT(AJ89,8)="Expense|",-N(AC89),0)+IF(LEFT(AK89,8)="Expense|",-N(U89),0)</f>
        <v/>
      </c>
      <c r="AO89" s="23">
        <f>IF(ISNUMBER(MATCH(AG89,{"Expense|employee","Expense|general_admin","Expense|marketing","Expense|utilities","Expense|other_operating"},0)),N(S89),0)+IF(ISNUMBER(MATCH(AH89,{"Expense|employee","Expense|general_admin","Expense|marketing","Expense|utilities","Expense|other_operating"},0)),N(T89),0)+IF(ISNUMBER(MATCH(AI89,{"Expense|employee","Expense|general_admin","Expense|marketing","Expense|utilities","Expense|other_operating"},0)),-N(AF89),0)+IF(ISNUMBER(MATCH(AJ89,{"Expense|employee","Expense|general_admin","Expense|marketing","Expense|utilities","Expense|other_operating"},0)),-N(AC89),0)+IF(ISNUMBER(MATCH(AK89,{"Expense|employee","Expense|general_admin","Expense|marketing","Expense|utilities","Expense|other_operating"},0)),-N(U89),0)</f>
        <v/>
      </c>
      <c r="AP89" s="23">
        <f>IF(AG89="Liability|payable",-N(S89),0)+IF(AH89="Liability|payable",-N(T89),0)+IF(AI89="Liability|payable",N(AF89),0)+IF(AJ89="Liability|payable",N(AC89),0)+IF(AK89="Liability|payable",N(U89),0)</f>
        <v/>
      </c>
      <c r="AQ89" s="23">
        <f>IF(AG89="Liability|accrued",-N(S89),0)+IF(AH89="Liability|accrued",-N(T89),0)+IF(AI89="Liability|accrued",N(AF89),0)+IF(AJ89="Liability|accrued",N(AC89),0)+IF(AK89="Liability|accrued",N(U89),0)</f>
        <v/>
      </c>
      <c r="AR89" s="23">
        <f>IF(AND(N(S89)&lt;&gt;0,AG89=""),1,0)+IF(AND(N(T89)&lt;&gt;0,AH89=""),1,0)+IF(AND(N(AF89)&lt;&gt;0,AI89=""),1,0)+IF(AND(N(AC89)&lt;&gt;0,AJ89=""),1,0)+IF(AND(N(U89)&lt;&gt;0,AK89=""),1,0)</f>
        <v/>
      </c>
    </row>
    <row r="90">
      <c r="A90" s="19" t="n"/>
      <c r="B90" s="14" t="n"/>
      <c r="C90" s="14" t="n"/>
      <c r="D90" s="14" t="n"/>
      <c r="E90" s="14" t="n"/>
      <c r="F90" s="14" t="n"/>
      <c r="G90" s="14" t="n"/>
      <c r="H90" s="20" t="n"/>
      <c r="I90" s="14" t="n"/>
      <c r="J90" s="14" t="n"/>
      <c r="K90" s="20" t="n"/>
      <c r="L90" s="14" t="n"/>
      <c r="M90" s="14" t="n"/>
      <c r="N90" s="14" t="n"/>
      <c r="O90" s="14" t="n"/>
      <c r="P90" s="14" t="n"/>
      <c r="Q90" s="14" t="n"/>
      <c r="R90" s="14" t="n"/>
      <c r="S90" s="21">
        <f>ROUND(ABS(N(G90))*N(H90),2)</f>
        <v/>
      </c>
      <c r="T90" s="21">
        <f>IF(B90="Receipt",ROUND(S90*IFERROR(VLOOKUP(Q90,'Tax Codes'!$A$5:$E$300,5,FALSE),0),2),0)</f>
        <v/>
      </c>
      <c r="U90" s="21">
        <f>IF(B90="Receipt",ROUND(S90*IFERROR(VLOOKUP(R90,'Tax Codes'!$A$5:$E$300,5,FALSE),0),2),0)</f>
        <v/>
      </c>
      <c r="V90" s="16">
        <f>INDEX('Chart of Accounts'!$A$5:$A$3000,MATCH("vat_input",'Chart of Accounts'!$F$5:$F$3000,0))</f>
        <v/>
      </c>
      <c r="W90" s="16">
        <f>INDEX('Chart of Accounts'!$A$5:$A$3000,MATCH("wht_payable",'Chart of Accounts'!$F$5:$F$3000,0))</f>
        <v/>
      </c>
      <c r="X90" s="16">
        <f>IF(M90="",INDEX('Chart of Accounts'!$A$5:$A$3000,MATCH("bank",'Chart of Accounts'!$F$5:$F$3000,0)),M90&amp;"")</f>
        <v/>
      </c>
      <c r="Y90" s="16">
        <f>IF(N90="",INDEX('Chart of Accounts'!$A$5:$A$3000,MATCH("ap",'Chart of Accounts'!$F$5:$F$3000,0)),N90&amp;"")</f>
        <v/>
      </c>
      <c r="Z90" s="16">
        <f>IF(O90="",INDEX('Chart of Accounts'!$A$5:$A$3000,MATCH("materials",'Chart of Accounts'!$F$5:$F$3000,0)),O90&amp;"")</f>
        <v/>
      </c>
      <c r="AA90" s="16">
        <f>IF(IFERROR(INDEX(Warehouses!$C$5:$C$1000,MATCH(C90,Warehouses!$A$5:$A$1000,0))&amp;"","")="",INDEX('Chart of Accounts'!$A$5:$A$3000,MATCH("inventory",'Chart of Accounts'!$F$5:$F$3000,0)),IFERROR(INDEX(Warehouses!$C$5:$C$1000,MATCH(C90,Warehouses!$A$5:$A$1000,0))&amp;"",""))</f>
        <v/>
      </c>
      <c r="AB90" s="16">
        <f>IF(IFERROR(INDEX(Warehouses!$C$5:$C$1000,MATCH(D90,Warehouses!$A$5:$A$1000,0))&amp;"","")="",INDEX('Chart of Accounts'!$A$5:$A$3000,MATCH("inventory",'Chart of Accounts'!$F$5:$F$3000,0)),IFERROR(INDEX(Warehouses!$C$5:$C$1000,MATCH(D90,Warehouses!$A$5:$A$1000,0))&amp;"",""))</f>
        <v/>
      </c>
      <c r="AC90" s="21">
        <f>IF(B90="Receipt",N(K90),0)</f>
        <v/>
      </c>
      <c r="AD90" s="16">
        <f>IF(B90="Receipt",AA90,IF(B90="Issue",Z90,IF(B90="Transfer",AB90,IF(N(G90)&gt;=0,AA90,INDEX('Chart of Accounts'!$A$5:$A$3000,MATCH("stock_adjust",'Chart of Accounts'!$F$5:$F$3000,0))))))</f>
        <v/>
      </c>
      <c r="AE90" s="16">
        <f>IF(B90="Receipt",Y90,IF(B90="Adjustment",IF(N(G90)&gt;=0,INDEX('Chart of Accounts'!$A$5:$A$3000,MATCH("stock_adjust",'Chart of Accounts'!$F$5:$F$3000,0)),AA90),AA90))</f>
        <v/>
      </c>
      <c r="AF90" s="21">
        <f>S90+T90-U90-AC90</f>
        <v/>
      </c>
      <c r="AG90" s="23">
        <f>IFERROR(INDEX('Chart of Accounts'!$C$5:$C$3000,MATCH(AD90&amp;"",'Chart of Accounts'!$A$5:$A$3000,0))&amp;"|"&amp;INDEX('Chart of Accounts'!$D$5:$D$3000,MATCH(AD90&amp;"",'Chart of Accounts'!$A$5:$A$3000,0)),"")</f>
        <v/>
      </c>
      <c r="AH90" s="23">
        <f>IFERROR(INDEX('Chart of Accounts'!$C$5:$C$3000,MATCH(V90&amp;"",'Chart of Accounts'!$A$5:$A$3000,0))&amp;"|"&amp;INDEX('Chart of Accounts'!$D$5:$D$3000,MATCH(V90&amp;"",'Chart of Accounts'!$A$5:$A$3000,0)),"")</f>
        <v/>
      </c>
      <c r="AI90" s="23">
        <f>IFERROR(INDEX('Chart of Accounts'!$C$5:$C$3000,MATCH(AE90&amp;"",'Chart of Accounts'!$A$5:$A$3000,0))&amp;"|"&amp;INDEX('Chart of Accounts'!$D$5:$D$3000,MATCH(AE90&amp;"",'Chart of Accounts'!$A$5:$A$3000,0)),"")</f>
        <v/>
      </c>
      <c r="AJ90" s="23">
        <f>IFERROR(INDEX('Chart of Accounts'!$C$5:$C$3000,MATCH(X90&amp;"",'Chart of Accounts'!$A$5:$A$3000,0))&amp;"|"&amp;INDEX('Chart of Accounts'!$D$5:$D$3000,MATCH(X90&amp;"",'Chart of Accounts'!$A$5:$A$3000,0)),"")</f>
        <v/>
      </c>
      <c r="AK90" s="23">
        <f>IFERROR(INDEX('Chart of Accounts'!$C$5:$C$3000,MATCH(W90&amp;"",'Chart of Accounts'!$A$5:$A$3000,0))&amp;"|"&amp;INDEX('Chart of Accounts'!$D$5:$D$3000,MATCH(W90&amp;"",'Chart of Accounts'!$A$5:$A$3000,0)),"")</f>
        <v/>
      </c>
      <c r="AL90" s="23">
        <f>IF(LEFT(AG90,8)="Revenue|",-N(S90),0)+IF(LEFT(AH90,8)="Revenue|",-N(T90),0)+IF(LEFT(AI90,8)="Revenue|",N(AF90),0)+IF(LEFT(AJ90,8)="Revenue|",N(AC90),0)+IF(LEFT(AK90,8)="Revenue|",N(U90),0)</f>
        <v/>
      </c>
      <c r="AM90" s="23">
        <f>IF(LEFT(AG90,5)="COGS|",N(S90),0)+IF(LEFT(AH90,5)="COGS|",N(T90),0)+IF(LEFT(AI90,5)="COGS|",-N(AF90),0)+IF(LEFT(AJ90,5)="COGS|",-N(AC90),0)+IF(LEFT(AK90,5)="COGS|",-N(U90),0)</f>
        <v/>
      </c>
      <c r="AN90" s="23">
        <f>IF(LEFT(AG90,8)="Expense|",N(S90),0)+IF(LEFT(AH90,8)="Expense|",N(T90),0)+IF(LEFT(AI90,8)="Expense|",-N(AF90),0)+IF(LEFT(AJ90,8)="Expense|",-N(AC90),0)+IF(LEFT(AK90,8)="Expense|",-N(U90),0)</f>
        <v/>
      </c>
      <c r="AO90" s="23">
        <f>IF(ISNUMBER(MATCH(AG90,{"Expense|employee","Expense|general_admin","Expense|marketing","Expense|utilities","Expense|other_operating"},0)),N(S90),0)+IF(ISNUMBER(MATCH(AH90,{"Expense|employee","Expense|general_admin","Expense|marketing","Expense|utilities","Expense|other_operating"},0)),N(T90),0)+IF(ISNUMBER(MATCH(AI90,{"Expense|employee","Expense|general_admin","Expense|marketing","Expense|utilities","Expense|other_operating"},0)),-N(AF90),0)+IF(ISNUMBER(MATCH(AJ90,{"Expense|employee","Expense|general_admin","Expense|marketing","Expense|utilities","Expense|other_operating"},0)),-N(AC90),0)+IF(ISNUMBER(MATCH(AK90,{"Expense|employee","Expense|general_admin","Expense|marketing","Expense|utilities","Expense|other_operating"},0)),-N(U90),0)</f>
        <v/>
      </c>
      <c r="AP90" s="23">
        <f>IF(AG90="Liability|payable",-N(S90),0)+IF(AH90="Liability|payable",-N(T90),0)+IF(AI90="Liability|payable",N(AF90),0)+IF(AJ90="Liability|payable",N(AC90),0)+IF(AK90="Liability|payable",N(U90),0)</f>
        <v/>
      </c>
      <c r="AQ90" s="23">
        <f>IF(AG90="Liability|accrued",-N(S90),0)+IF(AH90="Liability|accrued",-N(T90),0)+IF(AI90="Liability|accrued",N(AF90),0)+IF(AJ90="Liability|accrued",N(AC90),0)+IF(AK90="Liability|accrued",N(U90),0)</f>
        <v/>
      </c>
      <c r="AR90" s="23">
        <f>IF(AND(N(S90)&lt;&gt;0,AG90=""),1,0)+IF(AND(N(T90)&lt;&gt;0,AH90=""),1,0)+IF(AND(N(AF90)&lt;&gt;0,AI90=""),1,0)+IF(AND(N(AC90)&lt;&gt;0,AJ90=""),1,0)+IF(AND(N(U90)&lt;&gt;0,AK90=""),1,0)</f>
        <v/>
      </c>
    </row>
    <row r="91">
      <c r="A91" s="19" t="n"/>
      <c r="B91" s="14" t="n"/>
      <c r="C91" s="14" t="n"/>
      <c r="D91" s="14" t="n"/>
      <c r="E91" s="14" t="n"/>
      <c r="F91" s="14" t="n"/>
      <c r="G91" s="14" t="n"/>
      <c r="H91" s="20" t="n"/>
      <c r="I91" s="14" t="n"/>
      <c r="J91" s="14" t="n"/>
      <c r="K91" s="20" t="n"/>
      <c r="L91" s="14" t="n"/>
      <c r="M91" s="14" t="n"/>
      <c r="N91" s="14" t="n"/>
      <c r="O91" s="14" t="n"/>
      <c r="P91" s="14" t="n"/>
      <c r="Q91" s="14" t="n"/>
      <c r="R91" s="14" t="n"/>
      <c r="S91" s="21">
        <f>ROUND(ABS(N(G91))*N(H91),2)</f>
        <v/>
      </c>
      <c r="T91" s="21">
        <f>IF(B91="Receipt",ROUND(S91*IFERROR(VLOOKUP(Q91,'Tax Codes'!$A$5:$E$300,5,FALSE),0),2),0)</f>
        <v/>
      </c>
      <c r="U91" s="21">
        <f>IF(B91="Receipt",ROUND(S91*IFERROR(VLOOKUP(R91,'Tax Codes'!$A$5:$E$300,5,FALSE),0),2),0)</f>
        <v/>
      </c>
      <c r="V91" s="16">
        <f>INDEX('Chart of Accounts'!$A$5:$A$3000,MATCH("vat_input",'Chart of Accounts'!$F$5:$F$3000,0))</f>
        <v/>
      </c>
      <c r="W91" s="16">
        <f>INDEX('Chart of Accounts'!$A$5:$A$3000,MATCH("wht_payable",'Chart of Accounts'!$F$5:$F$3000,0))</f>
        <v/>
      </c>
      <c r="X91" s="16">
        <f>IF(M91="",INDEX('Chart of Accounts'!$A$5:$A$3000,MATCH("bank",'Chart of Accounts'!$F$5:$F$3000,0)),M91&amp;"")</f>
        <v/>
      </c>
      <c r="Y91" s="16">
        <f>IF(N91="",INDEX('Chart of Accounts'!$A$5:$A$3000,MATCH("ap",'Chart of Accounts'!$F$5:$F$3000,0)),N91&amp;"")</f>
        <v/>
      </c>
      <c r="Z91" s="16">
        <f>IF(O91="",INDEX('Chart of Accounts'!$A$5:$A$3000,MATCH("materials",'Chart of Accounts'!$F$5:$F$3000,0)),O91&amp;"")</f>
        <v/>
      </c>
      <c r="AA91" s="16">
        <f>IF(IFERROR(INDEX(Warehouses!$C$5:$C$1000,MATCH(C91,Warehouses!$A$5:$A$1000,0))&amp;"","")="",INDEX('Chart of Accounts'!$A$5:$A$3000,MATCH("inventory",'Chart of Accounts'!$F$5:$F$3000,0)),IFERROR(INDEX(Warehouses!$C$5:$C$1000,MATCH(C91,Warehouses!$A$5:$A$1000,0))&amp;"",""))</f>
        <v/>
      </c>
      <c r="AB91" s="16">
        <f>IF(IFERROR(INDEX(Warehouses!$C$5:$C$1000,MATCH(D91,Warehouses!$A$5:$A$1000,0))&amp;"","")="",INDEX('Chart of Accounts'!$A$5:$A$3000,MATCH("inventory",'Chart of Accounts'!$F$5:$F$3000,0)),IFERROR(INDEX(Warehouses!$C$5:$C$1000,MATCH(D91,Warehouses!$A$5:$A$1000,0))&amp;"",""))</f>
        <v/>
      </c>
      <c r="AC91" s="21">
        <f>IF(B91="Receipt",N(K91),0)</f>
        <v/>
      </c>
      <c r="AD91" s="16">
        <f>IF(B91="Receipt",AA91,IF(B91="Issue",Z91,IF(B91="Transfer",AB91,IF(N(G91)&gt;=0,AA91,INDEX('Chart of Accounts'!$A$5:$A$3000,MATCH("stock_adjust",'Chart of Accounts'!$F$5:$F$3000,0))))))</f>
        <v/>
      </c>
      <c r="AE91" s="16">
        <f>IF(B91="Receipt",Y91,IF(B91="Adjustment",IF(N(G91)&gt;=0,INDEX('Chart of Accounts'!$A$5:$A$3000,MATCH("stock_adjust",'Chart of Accounts'!$F$5:$F$3000,0)),AA91),AA91))</f>
        <v/>
      </c>
      <c r="AF91" s="21">
        <f>S91+T91-U91-AC91</f>
        <v/>
      </c>
      <c r="AG91" s="23">
        <f>IFERROR(INDEX('Chart of Accounts'!$C$5:$C$3000,MATCH(AD91&amp;"",'Chart of Accounts'!$A$5:$A$3000,0))&amp;"|"&amp;INDEX('Chart of Accounts'!$D$5:$D$3000,MATCH(AD91&amp;"",'Chart of Accounts'!$A$5:$A$3000,0)),"")</f>
        <v/>
      </c>
      <c r="AH91" s="23">
        <f>IFERROR(INDEX('Chart of Accounts'!$C$5:$C$3000,MATCH(V91&amp;"",'Chart of Accounts'!$A$5:$A$3000,0))&amp;"|"&amp;INDEX('Chart of Accounts'!$D$5:$D$3000,MATCH(V91&amp;"",'Chart of Accounts'!$A$5:$A$3000,0)),"")</f>
        <v/>
      </c>
      <c r="AI91" s="23">
        <f>IFERROR(INDEX('Chart of Accounts'!$C$5:$C$3000,MATCH(AE91&amp;"",'Chart of Accounts'!$A$5:$A$3000,0))&amp;"|"&amp;INDEX('Chart of Accounts'!$D$5:$D$3000,MATCH(AE91&amp;"",'Chart of Accounts'!$A$5:$A$3000,0)),"")</f>
        <v/>
      </c>
      <c r="AJ91" s="23">
        <f>IFERROR(INDEX('Chart of Accounts'!$C$5:$C$3000,MATCH(X91&amp;"",'Chart of Accounts'!$A$5:$A$3000,0))&amp;"|"&amp;INDEX('Chart of Accounts'!$D$5:$D$3000,MATCH(X91&amp;"",'Chart of Accounts'!$A$5:$A$3000,0)),"")</f>
        <v/>
      </c>
      <c r="AK91" s="23">
        <f>IFERROR(INDEX('Chart of Accounts'!$C$5:$C$3000,MATCH(W91&amp;"",'Chart of Accounts'!$A$5:$A$3000,0))&amp;"|"&amp;INDEX('Chart of Accounts'!$D$5:$D$3000,MATCH(W91&amp;"",'Chart of Accounts'!$A$5:$A$3000,0)),"")</f>
        <v/>
      </c>
      <c r="AL91" s="23">
        <f>IF(LEFT(AG91,8)="Revenue|",-N(S91),0)+IF(LEFT(AH91,8)="Revenue|",-N(T91),0)+IF(LEFT(AI91,8)="Revenue|",N(AF91),0)+IF(LEFT(AJ91,8)="Revenue|",N(AC91),0)+IF(LEFT(AK91,8)="Revenue|",N(U91),0)</f>
        <v/>
      </c>
      <c r="AM91" s="23">
        <f>IF(LEFT(AG91,5)="COGS|",N(S91),0)+IF(LEFT(AH91,5)="COGS|",N(T91),0)+IF(LEFT(AI91,5)="COGS|",-N(AF91),0)+IF(LEFT(AJ91,5)="COGS|",-N(AC91),0)+IF(LEFT(AK91,5)="COGS|",-N(U91),0)</f>
        <v/>
      </c>
      <c r="AN91" s="23">
        <f>IF(LEFT(AG91,8)="Expense|",N(S91),0)+IF(LEFT(AH91,8)="Expense|",N(T91),0)+IF(LEFT(AI91,8)="Expense|",-N(AF91),0)+IF(LEFT(AJ91,8)="Expense|",-N(AC91),0)+IF(LEFT(AK91,8)="Expense|",-N(U91),0)</f>
        <v/>
      </c>
      <c r="AO91" s="23">
        <f>IF(ISNUMBER(MATCH(AG91,{"Expense|employee","Expense|general_admin","Expense|marketing","Expense|utilities","Expense|other_operating"},0)),N(S91),0)+IF(ISNUMBER(MATCH(AH91,{"Expense|employee","Expense|general_admin","Expense|marketing","Expense|utilities","Expense|other_operating"},0)),N(T91),0)+IF(ISNUMBER(MATCH(AI91,{"Expense|employee","Expense|general_admin","Expense|marketing","Expense|utilities","Expense|other_operating"},0)),-N(AF91),0)+IF(ISNUMBER(MATCH(AJ91,{"Expense|employee","Expense|general_admin","Expense|marketing","Expense|utilities","Expense|other_operating"},0)),-N(AC91),0)+IF(ISNUMBER(MATCH(AK91,{"Expense|employee","Expense|general_admin","Expense|marketing","Expense|utilities","Expense|other_operating"},0)),-N(U91),0)</f>
        <v/>
      </c>
      <c r="AP91" s="23">
        <f>IF(AG91="Liability|payable",-N(S91),0)+IF(AH91="Liability|payable",-N(T91),0)+IF(AI91="Liability|payable",N(AF91),0)+IF(AJ91="Liability|payable",N(AC91),0)+IF(AK91="Liability|payable",N(U91),0)</f>
        <v/>
      </c>
      <c r="AQ91" s="23">
        <f>IF(AG91="Liability|accrued",-N(S91),0)+IF(AH91="Liability|accrued",-N(T91),0)+IF(AI91="Liability|accrued",N(AF91),0)+IF(AJ91="Liability|accrued",N(AC91),0)+IF(AK91="Liability|accrued",N(U91),0)</f>
        <v/>
      </c>
      <c r="AR91" s="23">
        <f>IF(AND(N(S91)&lt;&gt;0,AG91=""),1,0)+IF(AND(N(T91)&lt;&gt;0,AH91=""),1,0)+IF(AND(N(AF91)&lt;&gt;0,AI91=""),1,0)+IF(AND(N(AC91)&lt;&gt;0,AJ91=""),1,0)+IF(AND(N(U91)&lt;&gt;0,AK91=""),1,0)</f>
        <v/>
      </c>
    </row>
    <row r="92">
      <c r="A92" s="19" t="n"/>
      <c r="B92" s="14" t="n"/>
      <c r="C92" s="14" t="n"/>
      <c r="D92" s="14" t="n"/>
      <c r="E92" s="14" t="n"/>
      <c r="F92" s="14" t="n"/>
      <c r="G92" s="14" t="n"/>
      <c r="H92" s="20" t="n"/>
      <c r="I92" s="14" t="n"/>
      <c r="J92" s="14" t="n"/>
      <c r="K92" s="20" t="n"/>
      <c r="L92" s="14" t="n"/>
      <c r="M92" s="14" t="n"/>
      <c r="N92" s="14" t="n"/>
      <c r="O92" s="14" t="n"/>
      <c r="P92" s="14" t="n"/>
      <c r="Q92" s="14" t="n"/>
      <c r="R92" s="14" t="n"/>
      <c r="S92" s="21">
        <f>ROUND(ABS(N(G92))*N(H92),2)</f>
        <v/>
      </c>
      <c r="T92" s="21">
        <f>IF(B92="Receipt",ROUND(S92*IFERROR(VLOOKUP(Q92,'Tax Codes'!$A$5:$E$300,5,FALSE),0),2),0)</f>
        <v/>
      </c>
      <c r="U92" s="21">
        <f>IF(B92="Receipt",ROUND(S92*IFERROR(VLOOKUP(R92,'Tax Codes'!$A$5:$E$300,5,FALSE),0),2),0)</f>
        <v/>
      </c>
      <c r="V92" s="16">
        <f>INDEX('Chart of Accounts'!$A$5:$A$3000,MATCH("vat_input",'Chart of Accounts'!$F$5:$F$3000,0))</f>
        <v/>
      </c>
      <c r="W92" s="16">
        <f>INDEX('Chart of Accounts'!$A$5:$A$3000,MATCH("wht_payable",'Chart of Accounts'!$F$5:$F$3000,0))</f>
        <v/>
      </c>
      <c r="X92" s="16">
        <f>IF(M92="",INDEX('Chart of Accounts'!$A$5:$A$3000,MATCH("bank",'Chart of Accounts'!$F$5:$F$3000,0)),M92&amp;"")</f>
        <v/>
      </c>
      <c r="Y92" s="16">
        <f>IF(N92="",INDEX('Chart of Accounts'!$A$5:$A$3000,MATCH("ap",'Chart of Accounts'!$F$5:$F$3000,0)),N92&amp;"")</f>
        <v/>
      </c>
      <c r="Z92" s="16">
        <f>IF(O92="",INDEX('Chart of Accounts'!$A$5:$A$3000,MATCH("materials",'Chart of Accounts'!$F$5:$F$3000,0)),O92&amp;"")</f>
        <v/>
      </c>
      <c r="AA92" s="16">
        <f>IF(IFERROR(INDEX(Warehouses!$C$5:$C$1000,MATCH(C92,Warehouses!$A$5:$A$1000,0))&amp;"","")="",INDEX('Chart of Accounts'!$A$5:$A$3000,MATCH("inventory",'Chart of Accounts'!$F$5:$F$3000,0)),IFERROR(INDEX(Warehouses!$C$5:$C$1000,MATCH(C92,Warehouses!$A$5:$A$1000,0))&amp;"",""))</f>
        <v/>
      </c>
      <c r="AB92" s="16">
        <f>IF(IFERROR(INDEX(Warehouses!$C$5:$C$1000,MATCH(D92,Warehouses!$A$5:$A$1000,0))&amp;"","")="",INDEX('Chart of Accounts'!$A$5:$A$3000,MATCH("inventory",'Chart of Accounts'!$F$5:$F$3000,0)),IFERROR(INDEX(Warehouses!$C$5:$C$1000,MATCH(D92,Warehouses!$A$5:$A$1000,0))&amp;"",""))</f>
        <v/>
      </c>
      <c r="AC92" s="21">
        <f>IF(B92="Receipt",N(K92),0)</f>
        <v/>
      </c>
      <c r="AD92" s="16">
        <f>IF(B92="Receipt",AA92,IF(B92="Issue",Z92,IF(B92="Transfer",AB92,IF(N(G92)&gt;=0,AA92,INDEX('Chart of Accounts'!$A$5:$A$3000,MATCH("stock_adjust",'Chart of Accounts'!$F$5:$F$3000,0))))))</f>
        <v/>
      </c>
      <c r="AE92" s="16">
        <f>IF(B92="Receipt",Y92,IF(B92="Adjustment",IF(N(G92)&gt;=0,INDEX('Chart of Accounts'!$A$5:$A$3000,MATCH("stock_adjust",'Chart of Accounts'!$F$5:$F$3000,0)),AA92),AA92))</f>
        <v/>
      </c>
      <c r="AF92" s="21">
        <f>S92+T92-U92-AC92</f>
        <v/>
      </c>
      <c r="AG92" s="23">
        <f>IFERROR(INDEX('Chart of Accounts'!$C$5:$C$3000,MATCH(AD92&amp;"",'Chart of Accounts'!$A$5:$A$3000,0))&amp;"|"&amp;INDEX('Chart of Accounts'!$D$5:$D$3000,MATCH(AD92&amp;"",'Chart of Accounts'!$A$5:$A$3000,0)),"")</f>
        <v/>
      </c>
      <c r="AH92" s="23">
        <f>IFERROR(INDEX('Chart of Accounts'!$C$5:$C$3000,MATCH(V92&amp;"",'Chart of Accounts'!$A$5:$A$3000,0))&amp;"|"&amp;INDEX('Chart of Accounts'!$D$5:$D$3000,MATCH(V92&amp;"",'Chart of Accounts'!$A$5:$A$3000,0)),"")</f>
        <v/>
      </c>
      <c r="AI92" s="23">
        <f>IFERROR(INDEX('Chart of Accounts'!$C$5:$C$3000,MATCH(AE92&amp;"",'Chart of Accounts'!$A$5:$A$3000,0))&amp;"|"&amp;INDEX('Chart of Accounts'!$D$5:$D$3000,MATCH(AE92&amp;"",'Chart of Accounts'!$A$5:$A$3000,0)),"")</f>
        <v/>
      </c>
      <c r="AJ92" s="23">
        <f>IFERROR(INDEX('Chart of Accounts'!$C$5:$C$3000,MATCH(X92&amp;"",'Chart of Accounts'!$A$5:$A$3000,0))&amp;"|"&amp;INDEX('Chart of Accounts'!$D$5:$D$3000,MATCH(X92&amp;"",'Chart of Accounts'!$A$5:$A$3000,0)),"")</f>
        <v/>
      </c>
      <c r="AK92" s="23">
        <f>IFERROR(INDEX('Chart of Accounts'!$C$5:$C$3000,MATCH(W92&amp;"",'Chart of Accounts'!$A$5:$A$3000,0))&amp;"|"&amp;INDEX('Chart of Accounts'!$D$5:$D$3000,MATCH(W92&amp;"",'Chart of Accounts'!$A$5:$A$3000,0)),"")</f>
        <v/>
      </c>
      <c r="AL92" s="23">
        <f>IF(LEFT(AG92,8)="Revenue|",-N(S92),0)+IF(LEFT(AH92,8)="Revenue|",-N(T92),0)+IF(LEFT(AI92,8)="Revenue|",N(AF92),0)+IF(LEFT(AJ92,8)="Revenue|",N(AC92),0)+IF(LEFT(AK92,8)="Revenue|",N(U92),0)</f>
        <v/>
      </c>
      <c r="AM92" s="23">
        <f>IF(LEFT(AG92,5)="COGS|",N(S92),0)+IF(LEFT(AH92,5)="COGS|",N(T92),0)+IF(LEFT(AI92,5)="COGS|",-N(AF92),0)+IF(LEFT(AJ92,5)="COGS|",-N(AC92),0)+IF(LEFT(AK92,5)="COGS|",-N(U92),0)</f>
        <v/>
      </c>
      <c r="AN92" s="23">
        <f>IF(LEFT(AG92,8)="Expense|",N(S92),0)+IF(LEFT(AH92,8)="Expense|",N(T92),0)+IF(LEFT(AI92,8)="Expense|",-N(AF92),0)+IF(LEFT(AJ92,8)="Expense|",-N(AC92),0)+IF(LEFT(AK92,8)="Expense|",-N(U92),0)</f>
        <v/>
      </c>
      <c r="AO92" s="23">
        <f>IF(ISNUMBER(MATCH(AG92,{"Expense|employee","Expense|general_admin","Expense|marketing","Expense|utilities","Expense|other_operating"},0)),N(S92),0)+IF(ISNUMBER(MATCH(AH92,{"Expense|employee","Expense|general_admin","Expense|marketing","Expense|utilities","Expense|other_operating"},0)),N(T92),0)+IF(ISNUMBER(MATCH(AI92,{"Expense|employee","Expense|general_admin","Expense|marketing","Expense|utilities","Expense|other_operating"},0)),-N(AF92),0)+IF(ISNUMBER(MATCH(AJ92,{"Expense|employee","Expense|general_admin","Expense|marketing","Expense|utilities","Expense|other_operating"},0)),-N(AC92),0)+IF(ISNUMBER(MATCH(AK92,{"Expense|employee","Expense|general_admin","Expense|marketing","Expense|utilities","Expense|other_operating"},0)),-N(U92),0)</f>
        <v/>
      </c>
      <c r="AP92" s="23">
        <f>IF(AG92="Liability|payable",-N(S92),0)+IF(AH92="Liability|payable",-N(T92),0)+IF(AI92="Liability|payable",N(AF92),0)+IF(AJ92="Liability|payable",N(AC92),0)+IF(AK92="Liability|payable",N(U92),0)</f>
        <v/>
      </c>
      <c r="AQ92" s="23">
        <f>IF(AG92="Liability|accrued",-N(S92),0)+IF(AH92="Liability|accrued",-N(T92),0)+IF(AI92="Liability|accrued",N(AF92),0)+IF(AJ92="Liability|accrued",N(AC92),0)+IF(AK92="Liability|accrued",N(U92),0)</f>
        <v/>
      </c>
      <c r="AR92" s="23">
        <f>IF(AND(N(S92)&lt;&gt;0,AG92=""),1,0)+IF(AND(N(T92)&lt;&gt;0,AH92=""),1,0)+IF(AND(N(AF92)&lt;&gt;0,AI92=""),1,0)+IF(AND(N(AC92)&lt;&gt;0,AJ92=""),1,0)+IF(AND(N(U92)&lt;&gt;0,AK92=""),1,0)</f>
        <v/>
      </c>
    </row>
    <row r="93">
      <c r="A93" s="19" t="n"/>
      <c r="B93" s="14" t="n"/>
      <c r="C93" s="14" t="n"/>
      <c r="D93" s="14" t="n"/>
      <c r="E93" s="14" t="n"/>
      <c r="F93" s="14" t="n"/>
      <c r="G93" s="14" t="n"/>
      <c r="H93" s="20" t="n"/>
      <c r="I93" s="14" t="n"/>
      <c r="J93" s="14" t="n"/>
      <c r="K93" s="20" t="n"/>
      <c r="L93" s="14" t="n"/>
      <c r="M93" s="14" t="n"/>
      <c r="N93" s="14" t="n"/>
      <c r="O93" s="14" t="n"/>
      <c r="P93" s="14" t="n"/>
      <c r="Q93" s="14" t="n"/>
      <c r="R93" s="14" t="n"/>
      <c r="S93" s="21">
        <f>ROUND(ABS(N(G93))*N(H93),2)</f>
        <v/>
      </c>
      <c r="T93" s="21">
        <f>IF(B93="Receipt",ROUND(S93*IFERROR(VLOOKUP(Q93,'Tax Codes'!$A$5:$E$300,5,FALSE),0),2),0)</f>
        <v/>
      </c>
      <c r="U93" s="21">
        <f>IF(B93="Receipt",ROUND(S93*IFERROR(VLOOKUP(R93,'Tax Codes'!$A$5:$E$300,5,FALSE),0),2),0)</f>
        <v/>
      </c>
      <c r="V93" s="16">
        <f>INDEX('Chart of Accounts'!$A$5:$A$3000,MATCH("vat_input",'Chart of Accounts'!$F$5:$F$3000,0))</f>
        <v/>
      </c>
      <c r="W93" s="16">
        <f>INDEX('Chart of Accounts'!$A$5:$A$3000,MATCH("wht_payable",'Chart of Accounts'!$F$5:$F$3000,0))</f>
        <v/>
      </c>
      <c r="X93" s="16">
        <f>IF(M93="",INDEX('Chart of Accounts'!$A$5:$A$3000,MATCH("bank",'Chart of Accounts'!$F$5:$F$3000,0)),M93&amp;"")</f>
        <v/>
      </c>
      <c r="Y93" s="16">
        <f>IF(N93="",INDEX('Chart of Accounts'!$A$5:$A$3000,MATCH("ap",'Chart of Accounts'!$F$5:$F$3000,0)),N93&amp;"")</f>
        <v/>
      </c>
      <c r="Z93" s="16">
        <f>IF(O93="",INDEX('Chart of Accounts'!$A$5:$A$3000,MATCH("materials",'Chart of Accounts'!$F$5:$F$3000,0)),O93&amp;"")</f>
        <v/>
      </c>
      <c r="AA93" s="16">
        <f>IF(IFERROR(INDEX(Warehouses!$C$5:$C$1000,MATCH(C93,Warehouses!$A$5:$A$1000,0))&amp;"","")="",INDEX('Chart of Accounts'!$A$5:$A$3000,MATCH("inventory",'Chart of Accounts'!$F$5:$F$3000,0)),IFERROR(INDEX(Warehouses!$C$5:$C$1000,MATCH(C93,Warehouses!$A$5:$A$1000,0))&amp;"",""))</f>
        <v/>
      </c>
      <c r="AB93" s="16">
        <f>IF(IFERROR(INDEX(Warehouses!$C$5:$C$1000,MATCH(D93,Warehouses!$A$5:$A$1000,0))&amp;"","")="",INDEX('Chart of Accounts'!$A$5:$A$3000,MATCH("inventory",'Chart of Accounts'!$F$5:$F$3000,0)),IFERROR(INDEX(Warehouses!$C$5:$C$1000,MATCH(D93,Warehouses!$A$5:$A$1000,0))&amp;"",""))</f>
        <v/>
      </c>
      <c r="AC93" s="21">
        <f>IF(B93="Receipt",N(K93),0)</f>
        <v/>
      </c>
      <c r="AD93" s="16">
        <f>IF(B93="Receipt",AA93,IF(B93="Issue",Z93,IF(B93="Transfer",AB93,IF(N(G93)&gt;=0,AA93,INDEX('Chart of Accounts'!$A$5:$A$3000,MATCH("stock_adjust",'Chart of Accounts'!$F$5:$F$3000,0))))))</f>
        <v/>
      </c>
      <c r="AE93" s="16">
        <f>IF(B93="Receipt",Y93,IF(B93="Adjustment",IF(N(G93)&gt;=0,INDEX('Chart of Accounts'!$A$5:$A$3000,MATCH("stock_adjust",'Chart of Accounts'!$F$5:$F$3000,0)),AA93),AA93))</f>
        <v/>
      </c>
      <c r="AF93" s="21">
        <f>S93+T93-U93-AC93</f>
        <v/>
      </c>
      <c r="AG93" s="23">
        <f>IFERROR(INDEX('Chart of Accounts'!$C$5:$C$3000,MATCH(AD93&amp;"",'Chart of Accounts'!$A$5:$A$3000,0))&amp;"|"&amp;INDEX('Chart of Accounts'!$D$5:$D$3000,MATCH(AD93&amp;"",'Chart of Accounts'!$A$5:$A$3000,0)),"")</f>
        <v/>
      </c>
      <c r="AH93" s="23">
        <f>IFERROR(INDEX('Chart of Accounts'!$C$5:$C$3000,MATCH(V93&amp;"",'Chart of Accounts'!$A$5:$A$3000,0))&amp;"|"&amp;INDEX('Chart of Accounts'!$D$5:$D$3000,MATCH(V93&amp;"",'Chart of Accounts'!$A$5:$A$3000,0)),"")</f>
        <v/>
      </c>
      <c r="AI93" s="23">
        <f>IFERROR(INDEX('Chart of Accounts'!$C$5:$C$3000,MATCH(AE93&amp;"",'Chart of Accounts'!$A$5:$A$3000,0))&amp;"|"&amp;INDEX('Chart of Accounts'!$D$5:$D$3000,MATCH(AE93&amp;"",'Chart of Accounts'!$A$5:$A$3000,0)),"")</f>
        <v/>
      </c>
      <c r="AJ93" s="23">
        <f>IFERROR(INDEX('Chart of Accounts'!$C$5:$C$3000,MATCH(X93&amp;"",'Chart of Accounts'!$A$5:$A$3000,0))&amp;"|"&amp;INDEX('Chart of Accounts'!$D$5:$D$3000,MATCH(X93&amp;"",'Chart of Accounts'!$A$5:$A$3000,0)),"")</f>
        <v/>
      </c>
      <c r="AK93" s="23">
        <f>IFERROR(INDEX('Chart of Accounts'!$C$5:$C$3000,MATCH(W93&amp;"",'Chart of Accounts'!$A$5:$A$3000,0))&amp;"|"&amp;INDEX('Chart of Accounts'!$D$5:$D$3000,MATCH(W93&amp;"",'Chart of Accounts'!$A$5:$A$3000,0)),"")</f>
        <v/>
      </c>
      <c r="AL93" s="23">
        <f>IF(LEFT(AG93,8)="Revenue|",-N(S93),0)+IF(LEFT(AH93,8)="Revenue|",-N(T93),0)+IF(LEFT(AI93,8)="Revenue|",N(AF93),0)+IF(LEFT(AJ93,8)="Revenue|",N(AC93),0)+IF(LEFT(AK93,8)="Revenue|",N(U93),0)</f>
        <v/>
      </c>
      <c r="AM93" s="23">
        <f>IF(LEFT(AG93,5)="COGS|",N(S93),0)+IF(LEFT(AH93,5)="COGS|",N(T93),0)+IF(LEFT(AI93,5)="COGS|",-N(AF93),0)+IF(LEFT(AJ93,5)="COGS|",-N(AC93),0)+IF(LEFT(AK93,5)="COGS|",-N(U93),0)</f>
        <v/>
      </c>
      <c r="AN93" s="23">
        <f>IF(LEFT(AG93,8)="Expense|",N(S93),0)+IF(LEFT(AH93,8)="Expense|",N(T93),0)+IF(LEFT(AI93,8)="Expense|",-N(AF93),0)+IF(LEFT(AJ93,8)="Expense|",-N(AC93),0)+IF(LEFT(AK93,8)="Expense|",-N(U93),0)</f>
        <v/>
      </c>
      <c r="AO93" s="23">
        <f>IF(ISNUMBER(MATCH(AG93,{"Expense|employee","Expense|general_admin","Expense|marketing","Expense|utilities","Expense|other_operating"},0)),N(S93),0)+IF(ISNUMBER(MATCH(AH93,{"Expense|employee","Expense|general_admin","Expense|marketing","Expense|utilities","Expense|other_operating"},0)),N(T93),0)+IF(ISNUMBER(MATCH(AI93,{"Expense|employee","Expense|general_admin","Expense|marketing","Expense|utilities","Expense|other_operating"},0)),-N(AF93),0)+IF(ISNUMBER(MATCH(AJ93,{"Expense|employee","Expense|general_admin","Expense|marketing","Expense|utilities","Expense|other_operating"},0)),-N(AC93),0)+IF(ISNUMBER(MATCH(AK93,{"Expense|employee","Expense|general_admin","Expense|marketing","Expense|utilities","Expense|other_operating"},0)),-N(U93),0)</f>
        <v/>
      </c>
      <c r="AP93" s="23">
        <f>IF(AG93="Liability|payable",-N(S93),0)+IF(AH93="Liability|payable",-N(T93),0)+IF(AI93="Liability|payable",N(AF93),0)+IF(AJ93="Liability|payable",N(AC93),0)+IF(AK93="Liability|payable",N(U93),0)</f>
        <v/>
      </c>
      <c r="AQ93" s="23">
        <f>IF(AG93="Liability|accrued",-N(S93),0)+IF(AH93="Liability|accrued",-N(T93),0)+IF(AI93="Liability|accrued",N(AF93),0)+IF(AJ93="Liability|accrued",N(AC93),0)+IF(AK93="Liability|accrued",N(U93),0)</f>
        <v/>
      </c>
      <c r="AR93" s="23">
        <f>IF(AND(N(S93)&lt;&gt;0,AG93=""),1,0)+IF(AND(N(T93)&lt;&gt;0,AH93=""),1,0)+IF(AND(N(AF93)&lt;&gt;0,AI93=""),1,0)+IF(AND(N(AC93)&lt;&gt;0,AJ93=""),1,0)+IF(AND(N(U93)&lt;&gt;0,AK93=""),1,0)</f>
        <v/>
      </c>
    </row>
    <row r="94">
      <c r="A94" s="19" t="n"/>
      <c r="B94" s="14" t="n"/>
      <c r="C94" s="14" t="n"/>
      <c r="D94" s="14" t="n"/>
      <c r="E94" s="14" t="n"/>
      <c r="F94" s="14" t="n"/>
      <c r="G94" s="14" t="n"/>
      <c r="H94" s="20" t="n"/>
      <c r="I94" s="14" t="n"/>
      <c r="J94" s="14" t="n"/>
      <c r="K94" s="20" t="n"/>
      <c r="L94" s="14" t="n"/>
      <c r="M94" s="14" t="n"/>
      <c r="N94" s="14" t="n"/>
      <c r="O94" s="14" t="n"/>
      <c r="P94" s="14" t="n"/>
      <c r="Q94" s="14" t="n"/>
      <c r="R94" s="14" t="n"/>
      <c r="S94" s="21">
        <f>ROUND(ABS(N(G94))*N(H94),2)</f>
        <v/>
      </c>
      <c r="T94" s="21">
        <f>IF(B94="Receipt",ROUND(S94*IFERROR(VLOOKUP(Q94,'Tax Codes'!$A$5:$E$300,5,FALSE),0),2),0)</f>
        <v/>
      </c>
      <c r="U94" s="21">
        <f>IF(B94="Receipt",ROUND(S94*IFERROR(VLOOKUP(R94,'Tax Codes'!$A$5:$E$300,5,FALSE),0),2),0)</f>
        <v/>
      </c>
      <c r="V94" s="16">
        <f>INDEX('Chart of Accounts'!$A$5:$A$3000,MATCH("vat_input",'Chart of Accounts'!$F$5:$F$3000,0))</f>
        <v/>
      </c>
      <c r="W94" s="16">
        <f>INDEX('Chart of Accounts'!$A$5:$A$3000,MATCH("wht_payable",'Chart of Accounts'!$F$5:$F$3000,0))</f>
        <v/>
      </c>
      <c r="X94" s="16">
        <f>IF(M94="",INDEX('Chart of Accounts'!$A$5:$A$3000,MATCH("bank",'Chart of Accounts'!$F$5:$F$3000,0)),M94&amp;"")</f>
        <v/>
      </c>
      <c r="Y94" s="16">
        <f>IF(N94="",INDEX('Chart of Accounts'!$A$5:$A$3000,MATCH("ap",'Chart of Accounts'!$F$5:$F$3000,0)),N94&amp;"")</f>
        <v/>
      </c>
      <c r="Z94" s="16">
        <f>IF(O94="",INDEX('Chart of Accounts'!$A$5:$A$3000,MATCH("materials",'Chart of Accounts'!$F$5:$F$3000,0)),O94&amp;"")</f>
        <v/>
      </c>
      <c r="AA94" s="16">
        <f>IF(IFERROR(INDEX(Warehouses!$C$5:$C$1000,MATCH(C94,Warehouses!$A$5:$A$1000,0))&amp;"","")="",INDEX('Chart of Accounts'!$A$5:$A$3000,MATCH("inventory",'Chart of Accounts'!$F$5:$F$3000,0)),IFERROR(INDEX(Warehouses!$C$5:$C$1000,MATCH(C94,Warehouses!$A$5:$A$1000,0))&amp;"",""))</f>
        <v/>
      </c>
      <c r="AB94" s="16">
        <f>IF(IFERROR(INDEX(Warehouses!$C$5:$C$1000,MATCH(D94,Warehouses!$A$5:$A$1000,0))&amp;"","")="",INDEX('Chart of Accounts'!$A$5:$A$3000,MATCH("inventory",'Chart of Accounts'!$F$5:$F$3000,0)),IFERROR(INDEX(Warehouses!$C$5:$C$1000,MATCH(D94,Warehouses!$A$5:$A$1000,0))&amp;"",""))</f>
        <v/>
      </c>
      <c r="AC94" s="21">
        <f>IF(B94="Receipt",N(K94),0)</f>
        <v/>
      </c>
      <c r="AD94" s="16">
        <f>IF(B94="Receipt",AA94,IF(B94="Issue",Z94,IF(B94="Transfer",AB94,IF(N(G94)&gt;=0,AA94,INDEX('Chart of Accounts'!$A$5:$A$3000,MATCH("stock_adjust",'Chart of Accounts'!$F$5:$F$3000,0))))))</f>
        <v/>
      </c>
      <c r="AE94" s="16">
        <f>IF(B94="Receipt",Y94,IF(B94="Adjustment",IF(N(G94)&gt;=0,INDEX('Chart of Accounts'!$A$5:$A$3000,MATCH("stock_adjust",'Chart of Accounts'!$F$5:$F$3000,0)),AA94),AA94))</f>
        <v/>
      </c>
      <c r="AF94" s="21">
        <f>S94+T94-U94-AC94</f>
        <v/>
      </c>
      <c r="AG94" s="23">
        <f>IFERROR(INDEX('Chart of Accounts'!$C$5:$C$3000,MATCH(AD94&amp;"",'Chart of Accounts'!$A$5:$A$3000,0))&amp;"|"&amp;INDEX('Chart of Accounts'!$D$5:$D$3000,MATCH(AD94&amp;"",'Chart of Accounts'!$A$5:$A$3000,0)),"")</f>
        <v/>
      </c>
      <c r="AH94" s="23">
        <f>IFERROR(INDEX('Chart of Accounts'!$C$5:$C$3000,MATCH(V94&amp;"",'Chart of Accounts'!$A$5:$A$3000,0))&amp;"|"&amp;INDEX('Chart of Accounts'!$D$5:$D$3000,MATCH(V94&amp;"",'Chart of Accounts'!$A$5:$A$3000,0)),"")</f>
        <v/>
      </c>
      <c r="AI94" s="23">
        <f>IFERROR(INDEX('Chart of Accounts'!$C$5:$C$3000,MATCH(AE94&amp;"",'Chart of Accounts'!$A$5:$A$3000,0))&amp;"|"&amp;INDEX('Chart of Accounts'!$D$5:$D$3000,MATCH(AE94&amp;"",'Chart of Accounts'!$A$5:$A$3000,0)),"")</f>
        <v/>
      </c>
      <c r="AJ94" s="23">
        <f>IFERROR(INDEX('Chart of Accounts'!$C$5:$C$3000,MATCH(X94&amp;"",'Chart of Accounts'!$A$5:$A$3000,0))&amp;"|"&amp;INDEX('Chart of Accounts'!$D$5:$D$3000,MATCH(X94&amp;"",'Chart of Accounts'!$A$5:$A$3000,0)),"")</f>
        <v/>
      </c>
      <c r="AK94" s="23">
        <f>IFERROR(INDEX('Chart of Accounts'!$C$5:$C$3000,MATCH(W94&amp;"",'Chart of Accounts'!$A$5:$A$3000,0))&amp;"|"&amp;INDEX('Chart of Accounts'!$D$5:$D$3000,MATCH(W94&amp;"",'Chart of Accounts'!$A$5:$A$3000,0)),"")</f>
        <v/>
      </c>
      <c r="AL94" s="23">
        <f>IF(LEFT(AG94,8)="Revenue|",-N(S94),0)+IF(LEFT(AH94,8)="Revenue|",-N(T94),0)+IF(LEFT(AI94,8)="Revenue|",N(AF94),0)+IF(LEFT(AJ94,8)="Revenue|",N(AC94),0)+IF(LEFT(AK94,8)="Revenue|",N(U94),0)</f>
        <v/>
      </c>
      <c r="AM94" s="23">
        <f>IF(LEFT(AG94,5)="COGS|",N(S94),0)+IF(LEFT(AH94,5)="COGS|",N(T94),0)+IF(LEFT(AI94,5)="COGS|",-N(AF94),0)+IF(LEFT(AJ94,5)="COGS|",-N(AC94),0)+IF(LEFT(AK94,5)="COGS|",-N(U94),0)</f>
        <v/>
      </c>
      <c r="AN94" s="23">
        <f>IF(LEFT(AG94,8)="Expense|",N(S94),0)+IF(LEFT(AH94,8)="Expense|",N(T94),0)+IF(LEFT(AI94,8)="Expense|",-N(AF94),0)+IF(LEFT(AJ94,8)="Expense|",-N(AC94),0)+IF(LEFT(AK94,8)="Expense|",-N(U94),0)</f>
        <v/>
      </c>
      <c r="AO94" s="23">
        <f>IF(ISNUMBER(MATCH(AG94,{"Expense|employee","Expense|general_admin","Expense|marketing","Expense|utilities","Expense|other_operating"},0)),N(S94),0)+IF(ISNUMBER(MATCH(AH94,{"Expense|employee","Expense|general_admin","Expense|marketing","Expense|utilities","Expense|other_operating"},0)),N(T94),0)+IF(ISNUMBER(MATCH(AI94,{"Expense|employee","Expense|general_admin","Expense|marketing","Expense|utilities","Expense|other_operating"},0)),-N(AF94),0)+IF(ISNUMBER(MATCH(AJ94,{"Expense|employee","Expense|general_admin","Expense|marketing","Expense|utilities","Expense|other_operating"},0)),-N(AC94),0)+IF(ISNUMBER(MATCH(AK94,{"Expense|employee","Expense|general_admin","Expense|marketing","Expense|utilities","Expense|other_operating"},0)),-N(U94),0)</f>
        <v/>
      </c>
      <c r="AP94" s="23">
        <f>IF(AG94="Liability|payable",-N(S94),0)+IF(AH94="Liability|payable",-N(T94),0)+IF(AI94="Liability|payable",N(AF94),0)+IF(AJ94="Liability|payable",N(AC94),0)+IF(AK94="Liability|payable",N(U94),0)</f>
        <v/>
      </c>
      <c r="AQ94" s="23">
        <f>IF(AG94="Liability|accrued",-N(S94),0)+IF(AH94="Liability|accrued",-N(T94),0)+IF(AI94="Liability|accrued",N(AF94),0)+IF(AJ94="Liability|accrued",N(AC94),0)+IF(AK94="Liability|accrued",N(U94),0)</f>
        <v/>
      </c>
      <c r="AR94" s="23">
        <f>IF(AND(N(S94)&lt;&gt;0,AG94=""),1,0)+IF(AND(N(T94)&lt;&gt;0,AH94=""),1,0)+IF(AND(N(AF94)&lt;&gt;0,AI94=""),1,0)+IF(AND(N(AC94)&lt;&gt;0,AJ94=""),1,0)+IF(AND(N(U94)&lt;&gt;0,AK94=""),1,0)</f>
        <v/>
      </c>
    </row>
    <row r="95">
      <c r="A95" s="19" t="n"/>
      <c r="B95" s="14" t="n"/>
      <c r="C95" s="14" t="n"/>
      <c r="D95" s="14" t="n"/>
      <c r="E95" s="14" t="n"/>
      <c r="F95" s="14" t="n"/>
      <c r="G95" s="14" t="n"/>
      <c r="H95" s="20" t="n"/>
      <c r="I95" s="14" t="n"/>
      <c r="J95" s="14" t="n"/>
      <c r="K95" s="20" t="n"/>
      <c r="L95" s="14" t="n"/>
      <c r="M95" s="14" t="n"/>
      <c r="N95" s="14" t="n"/>
      <c r="O95" s="14" t="n"/>
      <c r="P95" s="14" t="n"/>
      <c r="Q95" s="14" t="n"/>
      <c r="R95" s="14" t="n"/>
      <c r="S95" s="21">
        <f>ROUND(ABS(N(G95))*N(H95),2)</f>
        <v/>
      </c>
      <c r="T95" s="21">
        <f>IF(B95="Receipt",ROUND(S95*IFERROR(VLOOKUP(Q95,'Tax Codes'!$A$5:$E$300,5,FALSE),0),2),0)</f>
        <v/>
      </c>
      <c r="U95" s="21">
        <f>IF(B95="Receipt",ROUND(S95*IFERROR(VLOOKUP(R95,'Tax Codes'!$A$5:$E$300,5,FALSE),0),2),0)</f>
        <v/>
      </c>
      <c r="V95" s="16">
        <f>INDEX('Chart of Accounts'!$A$5:$A$3000,MATCH("vat_input",'Chart of Accounts'!$F$5:$F$3000,0))</f>
        <v/>
      </c>
      <c r="W95" s="16">
        <f>INDEX('Chart of Accounts'!$A$5:$A$3000,MATCH("wht_payable",'Chart of Accounts'!$F$5:$F$3000,0))</f>
        <v/>
      </c>
      <c r="X95" s="16">
        <f>IF(M95="",INDEX('Chart of Accounts'!$A$5:$A$3000,MATCH("bank",'Chart of Accounts'!$F$5:$F$3000,0)),M95&amp;"")</f>
        <v/>
      </c>
      <c r="Y95" s="16">
        <f>IF(N95="",INDEX('Chart of Accounts'!$A$5:$A$3000,MATCH("ap",'Chart of Accounts'!$F$5:$F$3000,0)),N95&amp;"")</f>
        <v/>
      </c>
      <c r="Z95" s="16">
        <f>IF(O95="",INDEX('Chart of Accounts'!$A$5:$A$3000,MATCH("materials",'Chart of Accounts'!$F$5:$F$3000,0)),O95&amp;"")</f>
        <v/>
      </c>
      <c r="AA95" s="16">
        <f>IF(IFERROR(INDEX(Warehouses!$C$5:$C$1000,MATCH(C95,Warehouses!$A$5:$A$1000,0))&amp;"","")="",INDEX('Chart of Accounts'!$A$5:$A$3000,MATCH("inventory",'Chart of Accounts'!$F$5:$F$3000,0)),IFERROR(INDEX(Warehouses!$C$5:$C$1000,MATCH(C95,Warehouses!$A$5:$A$1000,0))&amp;"",""))</f>
        <v/>
      </c>
      <c r="AB95" s="16">
        <f>IF(IFERROR(INDEX(Warehouses!$C$5:$C$1000,MATCH(D95,Warehouses!$A$5:$A$1000,0))&amp;"","")="",INDEX('Chart of Accounts'!$A$5:$A$3000,MATCH("inventory",'Chart of Accounts'!$F$5:$F$3000,0)),IFERROR(INDEX(Warehouses!$C$5:$C$1000,MATCH(D95,Warehouses!$A$5:$A$1000,0))&amp;"",""))</f>
        <v/>
      </c>
      <c r="AC95" s="21">
        <f>IF(B95="Receipt",N(K95),0)</f>
        <v/>
      </c>
      <c r="AD95" s="16">
        <f>IF(B95="Receipt",AA95,IF(B95="Issue",Z95,IF(B95="Transfer",AB95,IF(N(G95)&gt;=0,AA95,INDEX('Chart of Accounts'!$A$5:$A$3000,MATCH("stock_adjust",'Chart of Accounts'!$F$5:$F$3000,0))))))</f>
        <v/>
      </c>
      <c r="AE95" s="16">
        <f>IF(B95="Receipt",Y95,IF(B95="Adjustment",IF(N(G95)&gt;=0,INDEX('Chart of Accounts'!$A$5:$A$3000,MATCH("stock_adjust",'Chart of Accounts'!$F$5:$F$3000,0)),AA95),AA95))</f>
        <v/>
      </c>
      <c r="AF95" s="21">
        <f>S95+T95-U95-AC95</f>
        <v/>
      </c>
      <c r="AG95" s="23">
        <f>IFERROR(INDEX('Chart of Accounts'!$C$5:$C$3000,MATCH(AD95&amp;"",'Chart of Accounts'!$A$5:$A$3000,0))&amp;"|"&amp;INDEX('Chart of Accounts'!$D$5:$D$3000,MATCH(AD95&amp;"",'Chart of Accounts'!$A$5:$A$3000,0)),"")</f>
        <v/>
      </c>
      <c r="AH95" s="23">
        <f>IFERROR(INDEX('Chart of Accounts'!$C$5:$C$3000,MATCH(V95&amp;"",'Chart of Accounts'!$A$5:$A$3000,0))&amp;"|"&amp;INDEX('Chart of Accounts'!$D$5:$D$3000,MATCH(V95&amp;"",'Chart of Accounts'!$A$5:$A$3000,0)),"")</f>
        <v/>
      </c>
      <c r="AI95" s="23">
        <f>IFERROR(INDEX('Chart of Accounts'!$C$5:$C$3000,MATCH(AE95&amp;"",'Chart of Accounts'!$A$5:$A$3000,0))&amp;"|"&amp;INDEX('Chart of Accounts'!$D$5:$D$3000,MATCH(AE95&amp;"",'Chart of Accounts'!$A$5:$A$3000,0)),"")</f>
        <v/>
      </c>
      <c r="AJ95" s="23">
        <f>IFERROR(INDEX('Chart of Accounts'!$C$5:$C$3000,MATCH(X95&amp;"",'Chart of Accounts'!$A$5:$A$3000,0))&amp;"|"&amp;INDEX('Chart of Accounts'!$D$5:$D$3000,MATCH(X95&amp;"",'Chart of Accounts'!$A$5:$A$3000,0)),"")</f>
        <v/>
      </c>
      <c r="AK95" s="23">
        <f>IFERROR(INDEX('Chart of Accounts'!$C$5:$C$3000,MATCH(W95&amp;"",'Chart of Accounts'!$A$5:$A$3000,0))&amp;"|"&amp;INDEX('Chart of Accounts'!$D$5:$D$3000,MATCH(W95&amp;"",'Chart of Accounts'!$A$5:$A$3000,0)),"")</f>
        <v/>
      </c>
      <c r="AL95" s="23">
        <f>IF(LEFT(AG95,8)="Revenue|",-N(S95),0)+IF(LEFT(AH95,8)="Revenue|",-N(T95),0)+IF(LEFT(AI95,8)="Revenue|",N(AF95),0)+IF(LEFT(AJ95,8)="Revenue|",N(AC95),0)+IF(LEFT(AK95,8)="Revenue|",N(U95),0)</f>
        <v/>
      </c>
      <c r="AM95" s="23">
        <f>IF(LEFT(AG95,5)="COGS|",N(S95),0)+IF(LEFT(AH95,5)="COGS|",N(T95),0)+IF(LEFT(AI95,5)="COGS|",-N(AF95),0)+IF(LEFT(AJ95,5)="COGS|",-N(AC95),0)+IF(LEFT(AK95,5)="COGS|",-N(U95),0)</f>
        <v/>
      </c>
      <c r="AN95" s="23">
        <f>IF(LEFT(AG95,8)="Expense|",N(S95),0)+IF(LEFT(AH95,8)="Expense|",N(T95),0)+IF(LEFT(AI95,8)="Expense|",-N(AF95),0)+IF(LEFT(AJ95,8)="Expense|",-N(AC95),0)+IF(LEFT(AK95,8)="Expense|",-N(U95),0)</f>
        <v/>
      </c>
      <c r="AO95" s="23">
        <f>IF(ISNUMBER(MATCH(AG95,{"Expense|employee","Expense|general_admin","Expense|marketing","Expense|utilities","Expense|other_operating"},0)),N(S95),0)+IF(ISNUMBER(MATCH(AH95,{"Expense|employee","Expense|general_admin","Expense|marketing","Expense|utilities","Expense|other_operating"},0)),N(T95),0)+IF(ISNUMBER(MATCH(AI95,{"Expense|employee","Expense|general_admin","Expense|marketing","Expense|utilities","Expense|other_operating"},0)),-N(AF95),0)+IF(ISNUMBER(MATCH(AJ95,{"Expense|employee","Expense|general_admin","Expense|marketing","Expense|utilities","Expense|other_operating"},0)),-N(AC95),0)+IF(ISNUMBER(MATCH(AK95,{"Expense|employee","Expense|general_admin","Expense|marketing","Expense|utilities","Expense|other_operating"},0)),-N(U95),0)</f>
        <v/>
      </c>
      <c r="AP95" s="23">
        <f>IF(AG95="Liability|payable",-N(S95),0)+IF(AH95="Liability|payable",-N(T95),0)+IF(AI95="Liability|payable",N(AF95),0)+IF(AJ95="Liability|payable",N(AC95),0)+IF(AK95="Liability|payable",N(U95),0)</f>
        <v/>
      </c>
      <c r="AQ95" s="23">
        <f>IF(AG95="Liability|accrued",-N(S95),0)+IF(AH95="Liability|accrued",-N(T95),0)+IF(AI95="Liability|accrued",N(AF95),0)+IF(AJ95="Liability|accrued",N(AC95),0)+IF(AK95="Liability|accrued",N(U95),0)</f>
        <v/>
      </c>
      <c r="AR95" s="23">
        <f>IF(AND(N(S95)&lt;&gt;0,AG95=""),1,0)+IF(AND(N(T95)&lt;&gt;0,AH95=""),1,0)+IF(AND(N(AF95)&lt;&gt;0,AI95=""),1,0)+IF(AND(N(AC95)&lt;&gt;0,AJ95=""),1,0)+IF(AND(N(U95)&lt;&gt;0,AK95=""),1,0)</f>
        <v/>
      </c>
    </row>
    <row r="96">
      <c r="A96" s="19" t="n"/>
      <c r="B96" s="14" t="n"/>
      <c r="C96" s="14" t="n"/>
      <c r="D96" s="14" t="n"/>
      <c r="E96" s="14" t="n"/>
      <c r="F96" s="14" t="n"/>
      <c r="G96" s="14" t="n"/>
      <c r="H96" s="20" t="n"/>
      <c r="I96" s="14" t="n"/>
      <c r="J96" s="14" t="n"/>
      <c r="K96" s="20" t="n"/>
      <c r="L96" s="14" t="n"/>
      <c r="M96" s="14" t="n"/>
      <c r="N96" s="14" t="n"/>
      <c r="O96" s="14" t="n"/>
      <c r="P96" s="14" t="n"/>
      <c r="Q96" s="14" t="n"/>
      <c r="R96" s="14" t="n"/>
      <c r="S96" s="21">
        <f>ROUND(ABS(N(G96))*N(H96),2)</f>
        <v/>
      </c>
      <c r="T96" s="21">
        <f>IF(B96="Receipt",ROUND(S96*IFERROR(VLOOKUP(Q96,'Tax Codes'!$A$5:$E$300,5,FALSE),0),2),0)</f>
        <v/>
      </c>
      <c r="U96" s="21">
        <f>IF(B96="Receipt",ROUND(S96*IFERROR(VLOOKUP(R96,'Tax Codes'!$A$5:$E$300,5,FALSE),0),2),0)</f>
        <v/>
      </c>
      <c r="V96" s="16">
        <f>INDEX('Chart of Accounts'!$A$5:$A$3000,MATCH("vat_input",'Chart of Accounts'!$F$5:$F$3000,0))</f>
        <v/>
      </c>
      <c r="W96" s="16">
        <f>INDEX('Chart of Accounts'!$A$5:$A$3000,MATCH("wht_payable",'Chart of Accounts'!$F$5:$F$3000,0))</f>
        <v/>
      </c>
      <c r="X96" s="16">
        <f>IF(M96="",INDEX('Chart of Accounts'!$A$5:$A$3000,MATCH("bank",'Chart of Accounts'!$F$5:$F$3000,0)),M96&amp;"")</f>
        <v/>
      </c>
      <c r="Y96" s="16">
        <f>IF(N96="",INDEX('Chart of Accounts'!$A$5:$A$3000,MATCH("ap",'Chart of Accounts'!$F$5:$F$3000,0)),N96&amp;"")</f>
        <v/>
      </c>
      <c r="Z96" s="16">
        <f>IF(O96="",INDEX('Chart of Accounts'!$A$5:$A$3000,MATCH("materials",'Chart of Accounts'!$F$5:$F$3000,0)),O96&amp;"")</f>
        <v/>
      </c>
      <c r="AA96" s="16">
        <f>IF(IFERROR(INDEX(Warehouses!$C$5:$C$1000,MATCH(C96,Warehouses!$A$5:$A$1000,0))&amp;"","")="",INDEX('Chart of Accounts'!$A$5:$A$3000,MATCH("inventory",'Chart of Accounts'!$F$5:$F$3000,0)),IFERROR(INDEX(Warehouses!$C$5:$C$1000,MATCH(C96,Warehouses!$A$5:$A$1000,0))&amp;"",""))</f>
        <v/>
      </c>
      <c r="AB96" s="16">
        <f>IF(IFERROR(INDEX(Warehouses!$C$5:$C$1000,MATCH(D96,Warehouses!$A$5:$A$1000,0))&amp;"","")="",INDEX('Chart of Accounts'!$A$5:$A$3000,MATCH("inventory",'Chart of Accounts'!$F$5:$F$3000,0)),IFERROR(INDEX(Warehouses!$C$5:$C$1000,MATCH(D96,Warehouses!$A$5:$A$1000,0))&amp;"",""))</f>
        <v/>
      </c>
      <c r="AC96" s="21">
        <f>IF(B96="Receipt",N(K96),0)</f>
        <v/>
      </c>
      <c r="AD96" s="16">
        <f>IF(B96="Receipt",AA96,IF(B96="Issue",Z96,IF(B96="Transfer",AB96,IF(N(G96)&gt;=0,AA96,INDEX('Chart of Accounts'!$A$5:$A$3000,MATCH("stock_adjust",'Chart of Accounts'!$F$5:$F$3000,0))))))</f>
        <v/>
      </c>
      <c r="AE96" s="16">
        <f>IF(B96="Receipt",Y96,IF(B96="Adjustment",IF(N(G96)&gt;=0,INDEX('Chart of Accounts'!$A$5:$A$3000,MATCH("stock_adjust",'Chart of Accounts'!$F$5:$F$3000,0)),AA96),AA96))</f>
        <v/>
      </c>
      <c r="AF96" s="21">
        <f>S96+T96-U96-AC96</f>
        <v/>
      </c>
      <c r="AG96" s="23">
        <f>IFERROR(INDEX('Chart of Accounts'!$C$5:$C$3000,MATCH(AD96&amp;"",'Chart of Accounts'!$A$5:$A$3000,0))&amp;"|"&amp;INDEX('Chart of Accounts'!$D$5:$D$3000,MATCH(AD96&amp;"",'Chart of Accounts'!$A$5:$A$3000,0)),"")</f>
        <v/>
      </c>
      <c r="AH96" s="23">
        <f>IFERROR(INDEX('Chart of Accounts'!$C$5:$C$3000,MATCH(V96&amp;"",'Chart of Accounts'!$A$5:$A$3000,0))&amp;"|"&amp;INDEX('Chart of Accounts'!$D$5:$D$3000,MATCH(V96&amp;"",'Chart of Accounts'!$A$5:$A$3000,0)),"")</f>
        <v/>
      </c>
      <c r="AI96" s="23">
        <f>IFERROR(INDEX('Chart of Accounts'!$C$5:$C$3000,MATCH(AE96&amp;"",'Chart of Accounts'!$A$5:$A$3000,0))&amp;"|"&amp;INDEX('Chart of Accounts'!$D$5:$D$3000,MATCH(AE96&amp;"",'Chart of Accounts'!$A$5:$A$3000,0)),"")</f>
        <v/>
      </c>
      <c r="AJ96" s="23">
        <f>IFERROR(INDEX('Chart of Accounts'!$C$5:$C$3000,MATCH(X96&amp;"",'Chart of Accounts'!$A$5:$A$3000,0))&amp;"|"&amp;INDEX('Chart of Accounts'!$D$5:$D$3000,MATCH(X96&amp;"",'Chart of Accounts'!$A$5:$A$3000,0)),"")</f>
        <v/>
      </c>
      <c r="AK96" s="23">
        <f>IFERROR(INDEX('Chart of Accounts'!$C$5:$C$3000,MATCH(W96&amp;"",'Chart of Accounts'!$A$5:$A$3000,0))&amp;"|"&amp;INDEX('Chart of Accounts'!$D$5:$D$3000,MATCH(W96&amp;"",'Chart of Accounts'!$A$5:$A$3000,0)),"")</f>
        <v/>
      </c>
      <c r="AL96" s="23">
        <f>IF(LEFT(AG96,8)="Revenue|",-N(S96),0)+IF(LEFT(AH96,8)="Revenue|",-N(T96),0)+IF(LEFT(AI96,8)="Revenue|",N(AF96),0)+IF(LEFT(AJ96,8)="Revenue|",N(AC96),0)+IF(LEFT(AK96,8)="Revenue|",N(U96),0)</f>
        <v/>
      </c>
      <c r="AM96" s="23">
        <f>IF(LEFT(AG96,5)="COGS|",N(S96),0)+IF(LEFT(AH96,5)="COGS|",N(T96),0)+IF(LEFT(AI96,5)="COGS|",-N(AF96),0)+IF(LEFT(AJ96,5)="COGS|",-N(AC96),0)+IF(LEFT(AK96,5)="COGS|",-N(U96),0)</f>
        <v/>
      </c>
      <c r="AN96" s="23">
        <f>IF(LEFT(AG96,8)="Expense|",N(S96),0)+IF(LEFT(AH96,8)="Expense|",N(T96),0)+IF(LEFT(AI96,8)="Expense|",-N(AF96),0)+IF(LEFT(AJ96,8)="Expense|",-N(AC96),0)+IF(LEFT(AK96,8)="Expense|",-N(U96),0)</f>
        <v/>
      </c>
      <c r="AO96" s="23">
        <f>IF(ISNUMBER(MATCH(AG96,{"Expense|employee","Expense|general_admin","Expense|marketing","Expense|utilities","Expense|other_operating"},0)),N(S96),0)+IF(ISNUMBER(MATCH(AH96,{"Expense|employee","Expense|general_admin","Expense|marketing","Expense|utilities","Expense|other_operating"},0)),N(T96),0)+IF(ISNUMBER(MATCH(AI96,{"Expense|employee","Expense|general_admin","Expense|marketing","Expense|utilities","Expense|other_operating"},0)),-N(AF96),0)+IF(ISNUMBER(MATCH(AJ96,{"Expense|employee","Expense|general_admin","Expense|marketing","Expense|utilities","Expense|other_operating"},0)),-N(AC96),0)+IF(ISNUMBER(MATCH(AK96,{"Expense|employee","Expense|general_admin","Expense|marketing","Expense|utilities","Expense|other_operating"},0)),-N(U96),0)</f>
        <v/>
      </c>
      <c r="AP96" s="23">
        <f>IF(AG96="Liability|payable",-N(S96),0)+IF(AH96="Liability|payable",-N(T96),0)+IF(AI96="Liability|payable",N(AF96),0)+IF(AJ96="Liability|payable",N(AC96),0)+IF(AK96="Liability|payable",N(U96),0)</f>
        <v/>
      </c>
      <c r="AQ96" s="23">
        <f>IF(AG96="Liability|accrued",-N(S96),0)+IF(AH96="Liability|accrued",-N(T96),0)+IF(AI96="Liability|accrued",N(AF96),0)+IF(AJ96="Liability|accrued",N(AC96),0)+IF(AK96="Liability|accrued",N(U96),0)</f>
        <v/>
      </c>
      <c r="AR96" s="23">
        <f>IF(AND(N(S96)&lt;&gt;0,AG96=""),1,0)+IF(AND(N(T96)&lt;&gt;0,AH96=""),1,0)+IF(AND(N(AF96)&lt;&gt;0,AI96=""),1,0)+IF(AND(N(AC96)&lt;&gt;0,AJ96=""),1,0)+IF(AND(N(U96)&lt;&gt;0,AK96=""),1,0)</f>
        <v/>
      </c>
    </row>
    <row r="97">
      <c r="A97" s="19" t="n"/>
      <c r="B97" s="14" t="n"/>
      <c r="C97" s="14" t="n"/>
      <c r="D97" s="14" t="n"/>
      <c r="E97" s="14" t="n"/>
      <c r="F97" s="14" t="n"/>
      <c r="G97" s="14" t="n"/>
      <c r="H97" s="20" t="n"/>
      <c r="I97" s="14" t="n"/>
      <c r="J97" s="14" t="n"/>
      <c r="K97" s="20" t="n"/>
      <c r="L97" s="14" t="n"/>
      <c r="M97" s="14" t="n"/>
      <c r="N97" s="14" t="n"/>
      <c r="O97" s="14" t="n"/>
      <c r="P97" s="14" t="n"/>
      <c r="Q97" s="14" t="n"/>
      <c r="R97" s="14" t="n"/>
      <c r="S97" s="21">
        <f>ROUND(ABS(N(G97))*N(H97),2)</f>
        <v/>
      </c>
      <c r="T97" s="21">
        <f>IF(B97="Receipt",ROUND(S97*IFERROR(VLOOKUP(Q97,'Tax Codes'!$A$5:$E$300,5,FALSE),0),2),0)</f>
        <v/>
      </c>
      <c r="U97" s="21">
        <f>IF(B97="Receipt",ROUND(S97*IFERROR(VLOOKUP(R97,'Tax Codes'!$A$5:$E$300,5,FALSE),0),2),0)</f>
        <v/>
      </c>
      <c r="V97" s="16">
        <f>INDEX('Chart of Accounts'!$A$5:$A$3000,MATCH("vat_input",'Chart of Accounts'!$F$5:$F$3000,0))</f>
        <v/>
      </c>
      <c r="W97" s="16">
        <f>INDEX('Chart of Accounts'!$A$5:$A$3000,MATCH("wht_payable",'Chart of Accounts'!$F$5:$F$3000,0))</f>
        <v/>
      </c>
      <c r="X97" s="16">
        <f>IF(M97="",INDEX('Chart of Accounts'!$A$5:$A$3000,MATCH("bank",'Chart of Accounts'!$F$5:$F$3000,0)),M97&amp;"")</f>
        <v/>
      </c>
      <c r="Y97" s="16">
        <f>IF(N97="",INDEX('Chart of Accounts'!$A$5:$A$3000,MATCH("ap",'Chart of Accounts'!$F$5:$F$3000,0)),N97&amp;"")</f>
        <v/>
      </c>
      <c r="Z97" s="16">
        <f>IF(O97="",INDEX('Chart of Accounts'!$A$5:$A$3000,MATCH("materials",'Chart of Accounts'!$F$5:$F$3000,0)),O97&amp;"")</f>
        <v/>
      </c>
      <c r="AA97" s="16">
        <f>IF(IFERROR(INDEX(Warehouses!$C$5:$C$1000,MATCH(C97,Warehouses!$A$5:$A$1000,0))&amp;"","")="",INDEX('Chart of Accounts'!$A$5:$A$3000,MATCH("inventory",'Chart of Accounts'!$F$5:$F$3000,0)),IFERROR(INDEX(Warehouses!$C$5:$C$1000,MATCH(C97,Warehouses!$A$5:$A$1000,0))&amp;"",""))</f>
        <v/>
      </c>
      <c r="AB97" s="16">
        <f>IF(IFERROR(INDEX(Warehouses!$C$5:$C$1000,MATCH(D97,Warehouses!$A$5:$A$1000,0))&amp;"","")="",INDEX('Chart of Accounts'!$A$5:$A$3000,MATCH("inventory",'Chart of Accounts'!$F$5:$F$3000,0)),IFERROR(INDEX(Warehouses!$C$5:$C$1000,MATCH(D97,Warehouses!$A$5:$A$1000,0))&amp;"",""))</f>
        <v/>
      </c>
      <c r="AC97" s="21">
        <f>IF(B97="Receipt",N(K97),0)</f>
        <v/>
      </c>
      <c r="AD97" s="16">
        <f>IF(B97="Receipt",AA97,IF(B97="Issue",Z97,IF(B97="Transfer",AB97,IF(N(G97)&gt;=0,AA97,INDEX('Chart of Accounts'!$A$5:$A$3000,MATCH("stock_adjust",'Chart of Accounts'!$F$5:$F$3000,0))))))</f>
        <v/>
      </c>
      <c r="AE97" s="16">
        <f>IF(B97="Receipt",Y97,IF(B97="Adjustment",IF(N(G97)&gt;=0,INDEX('Chart of Accounts'!$A$5:$A$3000,MATCH("stock_adjust",'Chart of Accounts'!$F$5:$F$3000,0)),AA97),AA97))</f>
        <v/>
      </c>
      <c r="AF97" s="21">
        <f>S97+T97-U97-AC97</f>
        <v/>
      </c>
      <c r="AG97" s="23">
        <f>IFERROR(INDEX('Chart of Accounts'!$C$5:$C$3000,MATCH(AD97&amp;"",'Chart of Accounts'!$A$5:$A$3000,0))&amp;"|"&amp;INDEX('Chart of Accounts'!$D$5:$D$3000,MATCH(AD97&amp;"",'Chart of Accounts'!$A$5:$A$3000,0)),"")</f>
        <v/>
      </c>
      <c r="AH97" s="23">
        <f>IFERROR(INDEX('Chart of Accounts'!$C$5:$C$3000,MATCH(V97&amp;"",'Chart of Accounts'!$A$5:$A$3000,0))&amp;"|"&amp;INDEX('Chart of Accounts'!$D$5:$D$3000,MATCH(V97&amp;"",'Chart of Accounts'!$A$5:$A$3000,0)),"")</f>
        <v/>
      </c>
      <c r="AI97" s="23">
        <f>IFERROR(INDEX('Chart of Accounts'!$C$5:$C$3000,MATCH(AE97&amp;"",'Chart of Accounts'!$A$5:$A$3000,0))&amp;"|"&amp;INDEX('Chart of Accounts'!$D$5:$D$3000,MATCH(AE97&amp;"",'Chart of Accounts'!$A$5:$A$3000,0)),"")</f>
        <v/>
      </c>
      <c r="AJ97" s="23">
        <f>IFERROR(INDEX('Chart of Accounts'!$C$5:$C$3000,MATCH(X97&amp;"",'Chart of Accounts'!$A$5:$A$3000,0))&amp;"|"&amp;INDEX('Chart of Accounts'!$D$5:$D$3000,MATCH(X97&amp;"",'Chart of Accounts'!$A$5:$A$3000,0)),"")</f>
        <v/>
      </c>
      <c r="AK97" s="23">
        <f>IFERROR(INDEX('Chart of Accounts'!$C$5:$C$3000,MATCH(W97&amp;"",'Chart of Accounts'!$A$5:$A$3000,0))&amp;"|"&amp;INDEX('Chart of Accounts'!$D$5:$D$3000,MATCH(W97&amp;"",'Chart of Accounts'!$A$5:$A$3000,0)),"")</f>
        <v/>
      </c>
      <c r="AL97" s="23">
        <f>IF(LEFT(AG97,8)="Revenue|",-N(S97),0)+IF(LEFT(AH97,8)="Revenue|",-N(T97),0)+IF(LEFT(AI97,8)="Revenue|",N(AF97),0)+IF(LEFT(AJ97,8)="Revenue|",N(AC97),0)+IF(LEFT(AK97,8)="Revenue|",N(U97),0)</f>
        <v/>
      </c>
      <c r="AM97" s="23">
        <f>IF(LEFT(AG97,5)="COGS|",N(S97),0)+IF(LEFT(AH97,5)="COGS|",N(T97),0)+IF(LEFT(AI97,5)="COGS|",-N(AF97),0)+IF(LEFT(AJ97,5)="COGS|",-N(AC97),0)+IF(LEFT(AK97,5)="COGS|",-N(U97),0)</f>
        <v/>
      </c>
      <c r="AN97" s="23">
        <f>IF(LEFT(AG97,8)="Expense|",N(S97),0)+IF(LEFT(AH97,8)="Expense|",N(T97),0)+IF(LEFT(AI97,8)="Expense|",-N(AF97),0)+IF(LEFT(AJ97,8)="Expense|",-N(AC97),0)+IF(LEFT(AK97,8)="Expense|",-N(U97),0)</f>
        <v/>
      </c>
      <c r="AO97" s="23">
        <f>IF(ISNUMBER(MATCH(AG97,{"Expense|employee","Expense|general_admin","Expense|marketing","Expense|utilities","Expense|other_operating"},0)),N(S97),0)+IF(ISNUMBER(MATCH(AH97,{"Expense|employee","Expense|general_admin","Expense|marketing","Expense|utilities","Expense|other_operating"},0)),N(T97),0)+IF(ISNUMBER(MATCH(AI97,{"Expense|employee","Expense|general_admin","Expense|marketing","Expense|utilities","Expense|other_operating"},0)),-N(AF97),0)+IF(ISNUMBER(MATCH(AJ97,{"Expense|employee","Expense|general_admin","Expense|marketing","Expense|utilities","Expense|other_operating"},0)),-N(AC97),0)+IF(ISNUMBER(MATCH(AK97,{"Expense|employee","Expense|general_admin","Expense|marketing","Expense|utilities","Expense|other_operating"},0)),-N(U97),0)</f>
        <v/>
      </c>
      <c r="AP97" s="23">
        <f>IF(AG97="Liability|payable",-N(S97),0)+IF(AH97="Liability|payable",-N(T97),0)+IF(AI97="Liability|payable",N(AF97),0)+IF(AJ97="Liability|payable",N(AC97),0)+IF(AK97="Liability|payable",N(U97),0)</f>
        <v/>
      </c>
      <c r="AQ97" s="23">
        <f>IF(AG97="Liability|accrued",-N(S97),0)+IF(AH97="Liability|accrued",-N(T97),0)+IF(AI97="Liability|accrued",N(AF97),0)+IF(AJ97="Liability|accrued",N(AC97),0)+IF(AK97="Liability|accrued",N(U97),0)</f>
        <v/>
      </c>
      <c r="AR97" s="23">
        <f>IF(AND(N(S97)&lt;&gt;0,AG97=""),1,0)+IF(AND(N(T97)&lt;&gt;0,AH97=""),1,0)+IF(AND(N(AF97)&lt;&gt;0,AI97=""),1,0)+IF(AND(N(AC97)&lt;&gt;0,AJ97=""),1,0)+IF(AND(N(U97)&lt;&gt;0,AK97=""),1,0)</f>
        <v/>
      </c>
    </row>
    <row r="98">
      <c r="A98" s="19" t="n"/>
      <c r="B98" s="14" t="n"/>
      <c r="C98" s="14" t="n"/>
      <c r="D98" s="14" t="n"/>
      <c r="E98" s="14" t="n"/>
      <c r="F98" s="14" t="n"/>
      <c r="G98" s="14" t="n"/>
      <c r="H98" s="20" t="n"/>
      <c r="I98" s="14" t="n"/>
      <c r="J98" s="14" t="n"/>
      <c r="K98" s="20" t="n"/>
      <c r="L98" s="14" t="n"/>
      <c r="M98" s="14" t="n"/>
      <c r="N98" s="14" t="n"/>
      <c r="O98" s="14" t="n"/>
      <c r="P98" s="14" t="n"/>
      <c r="Q98" s="14" t="n"/>
      <c r="R98" s="14" t="n"/>
      <c r="S98" s="21">
        <f>ROUND(ABS(N(G98))*N(H98),2)</f>
        <v/>
      </c>
      <c r="T98" s="21">
        <f>IF(B98="Receipt",ROUND(S98*IFERROR(VLOOKUP(Q98,'Tax Codes'!$A$5:$E$300,5,FALSE),0),2),0)</f>
        <v/>
      </c>
      <c r="U98" s="21">
        <f>IF(B98="Receipt",ROUND(S98*IFERROR(VLOOKUP(R98,'Tax Codes'!$A$5:$E$300,5,FALSE),0),2),0)</f>
        <v/>
      </c>
      <c r="V98" s="16">
        <f>INDEX('Chart of Accounts'!$A$5:$A$3000,MATCH("vat_input",'Chart of Accounts'!$F$5:$F$3000,0))</f>
        <v/>
      </c>
      <c r="W98" s="16">
        <f>INDEX('Chart of Accounts'!$A$5:$A$3000,MATCH("wht_payable",'Chart of Accounts'!$F$5:$F$3000,0))</f>
        <v/>
      </c>
      <c r="X98" s="16">
        <f>IF(M98="",INDEX('Chart of Accounts'!$A$5:$A$3000,MATCH("bank",'Chart of Accounts'!$F$5:$F$3000,0)),M98&amp;"")</f>
        <v/>
      </c>
      <c r="Y98" s="16">
        <f>IF(N98="",INDEX('Chart of Accounts'!$A$5:$A$3000,MATCH("ap",'Chart of Accounts'!$F$5:$F$3000,0)),N98&amp;"")</f>
        <v/>
      </c>
      <c r="Z98" s="16">
        <f>IF(O98="",INDEX('Chart of Accounts'!$A$5:$A$3000,MATCH("materials",'Chart of Accounts'!$F$5:$F$3000,0)),O98&amp;"")</f>
        <v/>
      </c>
      <c r="AA98" s="16">
        <f>IF(IFERROR(INDEX(Warehouses!$C$5:$C$1000,MATCH(C98,Warehouses!$A$5:$A$1000,0))&amp;"","")="",INDEX('Chart of Accounts'!$A$5:$A$3000,MATCH("inventory",'Chart of Accounts'!$F$5:$F$3000,0)),IFERROR(INDEX(Warehouses!$C$5:$C$1000,MATCH(C98,Warehouses!$A$5:$A$1000,0))&amp;"",""))</f>
        <v/>
      </c>
      <c r="AB98" s="16">
        <f>IF(IFERROR(INDEX(Warehouses!$C$5:$C$1000,MATCH(D98,Warehouses!$A$5:$A$1000,0))&amp;"","")="",INDEX('Chart of Accounts'!$A$5:$A$3000,MATCH("inventory",'Chart of Accounts'!$F$5:$F$3000,0)),IFERROR(INDEX(Warehouses!$C$5:$C$1000,MATCH(D98,Warehouses!$A$5:$A$1000,0))&amp;"",""))</f>
        <v/>
      </c>
      <c r="AC98" s="21">
        <f>IF(B98="Receipt",N(K98),0)</f>
        <v/>
      </c>
      <c r="AD98" s="16">
        <f>IF(B98="Receipt",AA98,IF(B98="Issue",Z98,IF(B98="Transfer",AB98,IF(N(G98)&gt;=0,AA98,INDEX('Chart of Accounts'!$A$5:$A$3000,MATCH("stock_adjust",'Chart of Accounts'!$F$5:$F$3000,0))))))</f>
        <v/>
      </c>
      <c r="AE98" s="16">
        <f>IF(B98="Receipt",Y98,IF(B98="Adjustment",IF(N(G98)&gt;=0,INDEX('Chart of Accounts'!$A$5:$A$3000,MATCH("stock_adjust",'Chart of Accounts'!$F$5:$F$3000,0)),AA98),AA98))</f>
        <v/>
      </c>
      <c r="AF98" s="21">
        <f>S98+T98-U98-AC98</f>
        <v/>
      </c>
      <c r="AG98" s="23">
        <f>IFERROR(INDEX('Chart of Accounts'!$C$5:$C$3000,MATCH(AD98&amp;"",'Chart of Accounts'!$A$5:$A$3000,0))&amp;"|"&amp;INDEX('Chart of Accounts'!$D$5:$D$3000,MATCH(AD98&amp;"",'Chart of Accounts'!$A$5:$A$3000,0)),"")</f>
        <v/>
      </c>
      <c r="AH98" s="23">
        <f>IFERROR(INDEX('Chart of Accounts'!$C$5:$C$3000,MATCH(V98&amp;"",'Chart of Accounts'!$A$5:$A$3000,0))&amp;"|"&amp;INDEX('Chart of Accounts'!$D$5:$D$3000,MATCH(V98&amp;"",'Chart of Accounts'!$A$5:$A$3000,0)),"")</f>
        <v/>
      </c>
      <c r="AI98" s="23">
        <f>IFERROR(INDEX('Chart of Accounts'!$C$5:$C$3000,MATCH(AE98&amp;"",'Chart of Accounts'!$A$5:$A$3000,0))&amp;"|"&amp;INDEX('Chart of Accounts'!$D$5:$D$3000,MATCH(AE98&amp;"",'Chart of Accounts'!$A$5:$A$3000,0)),"")</f>
        <v/>
      </c>
      <c r="AJ98" s="23">
        <f>IFERROR(INDEX('Chart of Accounts'!$C$5:$C$3000,MATCH(X98&amp;"",'Chart of Accounts'!$A$5:$A$3000,0))&amp;"|"&amp;INDEX('Chart of Accounts'!$D$5:$D$3000,MATCH(X98&amp;"",'Chart of Accounts'!$A$5:$A$3000,0)),"")</f>
        <v/>
      </c>
      <c r="AK98" s="23">
        <f>IFERROR(INDEX('Chart of Accounts'!$C$5:$C$3000,MATCH(W98&amp;"",'Chart of Accounts'!$A$5:$A$3000,0))&amp;"|"&amp;INDEX('Chart of Accounts'!$D$5:$D$3000,MATCH(W98&amp;"",'Chart of Accounts'!$A$5:$A$3000,0)),"")</f>
        <v/>
      </c>
      <c r="AL98" s="23">
        <f>IF(LEFT(AG98,8)="Revenue|",-N(S98),0)+IF(LEFT(AH98,8)="Revenue|",-N(T98),0)+IF(LEFT(AI98,8)="Revenue|",N(AF98),0)+IF(LEFT(AJ98,8)="Revenue|",N(AC98),0)+IF(LEFT(AK98,8)="Revenue|",N(U98),0)</f>
        <v/>
      </c>
      <c r="AM98" s="23">
        <f>IF(LEFT(AG98,5)="COGS|",N(S98),0)+IF(LEFT(AH98,5)="COGS|",N(T98),0)+IF(LEFT(AI98,5)="COGS|",-N(AF98),0)+IF(LEFT(AJ98,5)="COGS|",-N(AC98),0)+IF(LEFT(AK98,5)="COGS|",-N(U98),0)</f>
        <v/>
      </c>
      <c r="AN98" s="23">
        <f>IF(LEFT(AG98,8)="Expense|",N(S98),0)+IF(LEFT(AH98,8)="Expense|",N(T98),0)+IF(LEFT(AI98,8)="Expense|",-N(AF98),0)+IF(LEFT(AJ98,8)="Expense|",-N(AC98),0)+IF(LEFT(AK98,8)="Expense|",-N(U98),0)</f>
        <v/>
      </c>
      <c r="AO98" s="23">
        <f>IF(ISNUMBER(MATCH(AG98,{"Expense|employee","Expense|general_admin","Expense|marketing","Expense|utilities","Expense|other_operating"},0)),N(S98),0)+IF(ISNUMBER(MATCH(AH98,{"Expense|employee","Expense|general_admin","Expense|marketing","Expense|utilities","Expense|other_operating"},0)),N(T98),0)+IF(ISNUMBER(MATCH(AI98,{"Expense|employee","Expense|general_admin","Expense|marketing","Expense|utilities","Expense|other_operating"},0)),-N(AF98),0)+IF(ISNUMBER(MATCH(AJ98,{"Expense|employee","Expense|general_admin","Expense|marketing","Expense|utilities","Expense|other_operating"},0)),-N(AC98),0)+IF(ISNUMBER(MATCH(AK98,{"Expense|employee","Expense|general_admin","Expense|marketing","Expense|utilities","Expense|other_operating"},0)),-N(U98),0)</f>
        <v/>
      </c>
      <c r="AP98" s="23">
        <f>IF(AG98="Liability|payable",-N(S98),0)+IF(AH98="Liability|payable",-N(T98),0)+IF(AI98="Liability|payable",N(AF98),0)+IF(AJ98="Liability|payable",N(AC98),0)+IF(AK98="Liability|payable",N(U98),0)</f>
        <v/>
      </c>
      <c r="AQ98" s="23">
        <f>IF(AG98="Liability|accrued",-N(S98),0)+IF(AH98="Liability|accrued",-N(T98),0)+IF(AI98="Liability|accrued",N(AF98),0)+IF(AJ98="Liability|accrued",N(AC98),0)+IF(AK98="Liability|accrued",N(U98),0)</f>
        <v/>
      </c>
      <c r="AR98" s="23">
        <f>IF(AND(N(S98)&lt;&gt;0,AG98=""),1,0)+IF(AND(N(T98)&lt;&gt;0,AH98=""),1,0)+IF(AND(N(AF98)&lt;&gt;0,AI98=""),1,0)+IF(AND(N(AC98)&lt;&gt;0,AJ98=""),1,0)+IF(AND(N(U98)&lt;&gt;0,AK98=""),1,0)</f>
        <v/>
      </c>
    </row>
    <row r="99">
      <c r="A99" s="19" t="n"/>
      <c r="B99" s="14" t="n"/>
      <c r="C99" s="14" t="n"/>
      <c r="D99" s="14" t="n"/>
      <c r="E99" s="14" t="n"/>
      <c r="F99" s="14" t="n"/>
      <c r="G99" s="14" t="n"/>
      <c r="H99" s="20" t="n"/>
      <c r="I99" s="14" t="n"/>
      <c r="J99" s="14" t="n"/>
      <c r="K99" s="20" t="n"/>
      <c r="L99" s="14" t="n"/>
      <c r="M99" s="14" t="n"/>
      <c r="N99" s="14" t="n"/>
      <c r="O99" s="14" t="n"/>
      <c r="P99" s="14" t="n"/>
      <c r="Q99" s="14" t="n"/>
      <c r="R99" s="14" t="n"/>
      <c r="S99" s="21">
        <f>ROUND(ABS(N(G99))*N(H99),2)</f>
        <v/>
      </c>
      <c r="T99" s="21">
        <f>IF(B99="Receipt",ROUND(S99*IFERROR(VLOOKUP(Q99,'Tax Codes'!$A$5:$E$300,5,FALSE),0),2),0)</f>
        <v/>
      </c>
      <c r="U99" s="21">
        <f>IF(B99="Receipt",ROUND(S99*IFERROR(VLOOKUP(R99,'Tax Codes'!$A$5:$E$300,5,FALSE),0),2),0)</f>
        <v/>
      </c>
      <c r="V99" s="16">
        <f>INDEX('Chart of Accounts'!$A$5:$A$3000,MATCH("vat_input",'Chart of Accounts'!$F$5:$F$3000,0))</f>
        <v/>
      </c>
      <c r="W99" s="16">
        <f>INDEX('Chart of Accounts'!$A$5:$A$3000,MATCH("wht_payable",'Chart of Accounts'!$F$5:$F$3000,0))</f>
        <v/>
      </c>
      <c r="X99" s="16">
        <f>IF(M99="",INDEX('Chart of Accounts'!$A$5:$A$3000,MATCH("bank",'Chart of Accounts'!$F$5:$F$3000,0)),M99&amp;"")</f>
        <v/>
      </c>
      <c r="Y99" s="16">
        <f>IF(N99="",INDEX('Chart of Accounts'!$A$5:$A$3000,MATCH("ap",'Chart of Accounts'!$F$5:$F$3000,0)),N99&amp;"")</f>
        <v/>
      </c>
      <c r="Z99" s="16">
        <f>IF(O99="",INDEX('Chart of Accounts'!$A$5:$A$3000,MATCH("materials",'Chart of Accounts'!$F$5:$F$3000,0)),O99&amp;"")</f>
        <v/>
      </c>
      <c r="AA99" s="16">
        <f>IF(IFERROR(INDEX(Warehouses!$C$5:$C$1000,MATCH(C99,Warehouses!$A$5:$A$1000,0))&amp;"","")="",INDEX('Chart of Accounts'!$A$5:$A$3000,MATCH("inventory",'Chart of Accounts'!$F$5:$F$3000,0)),IFERROR(INDEX(Warehouses!$C$5:$C$1000,MATCH(C99,Warehouses!$A$5:$A$1000,0))&amp;"",""))</f>
        <v/>
      </c>
      <c r="AB99" s="16">
        <f>IF(IFERROR(INDEX(Warehouses!$C$5:$C$1000,MATCH(D99,Warehouses!$A$5:$A$1000,0))&amp;"","")="",INDEX('Chart of Accounts'!$A$5:$A$3000,MATCH("inventory",'Chart of Accounts'!$F$5:$F$3000,0)),IFERROR(INDEX(Warehouses!$C$5:$C$1000,MATCH(D99,Warehouses!$A$5:$A$1000,0))&amp;"",""))</f>
        <v/>
      </c>
      <c r="AC99" s="21">
        <f>IF(B99="Receipt",N(K99),0)</f>
        <v/>
      </c>
      <c r="AD99" s="16">
        <f>IF(B99="Receipt",AA99,IF(B99="Issue",Z99,IF(B99="Transfer",AB99,IF(N(G99)&gt;=0,AA99,INDEX('Chart of Accounts'!$A$5:$A$3000,MATCH("stock_adjust",'Chart of Accounts'!$F$5:$F$3000,0))))))</f>
        <v/>
      </c>
      <c r="AE99" s="16">
        <f>IF(B99="Receipt",Y99,IF(B99="Adjustment",IF(N(G99)&gt;=0,INDEX('Chart of Accounts'!$A$5:$A$3000,MATCH("stock_adjust",'Chart of Accounts'!$F$5:$F$3000,0)),AA99),AA99))</f>
        <v/>
      </c>
      <c r="AF99" s="21">
        <f>S99+T99-U99-AC99</f>
        <v/>
      </c>
      <c r="AG99" s="23">
        <f>IFERROR(INDEX('Chart of Accounts'!$C$5:$C$3000,MATCH(AD99&amp;"",'Chart of Accounts'!$A$5:$A$3000,0))&amp;"|"&amp;INDEX('Chart of Accounts'!$D$5:$D$3000,MATCH(AD99&amp;"",'Chart of Accounts'!$A$5:$A$3000,0)),"")</f>
        <v/>
      </c>
      <c r="AH99" s="23">
        <f>IFERROR(INDEX('Chart of Accounts'!$C$5:$C$3000,MATCH(V99&amp;"",'Chart of Accounts'!$A$5:$A$3000,0))&amp;"|"&amp;INDEX('Chart of Accounts'!$D$5:$D$3000,MATCH(V99&amp;"",'Chart of Accounts'!$A$5:$A$3000,0)),"")</f>
        <v/>
      </c>
      <c r="AI99" s="23">
        <f>IFERROR(INDEX('Chart of Accounts'!$C$5:$C$3000,MATCH(AE99&amp;"",'Chart of Accounts'!$A$5:$A$3000,0))&amp;"|"&amp;INDEX('Chart of Accounts'!$D$5:$D$3000,MATCH(AE99&amp;"",'Chart of Accounts'!$A$5:$A$3000,0)),"")</f>
        <v/>
      </c>
      <c r="AJ99" s="23">
        <f>IFERROR(INDEX('Chart of Accounts'!$C$5:$C$3000,MATCH(X99&amp;"",'Chart of Accounts'!$A$5:$A$3000,0))&amp;"|"&amp;INDEX('Chart of Accounts'!$D$5:$D$3000,MATCH(X99&amp;"",'Chart of Accounts'!$A$5:$A$3000,0)),"")</f>
        <v/>
      </c>
      <c r="AK99" s="23">
        <f>IFERROR(INDEX('Chart of Accounts'!$C$5:$C$3000,MATCH(W99&amp;"",'Chart of Accounts'!$A$5:$A$3000,0))&amp;"|"&amp;INDEX('Chart of Accounts'!$D$5:$D$3000,MATCH(W99&amp;"",'Chart of Accounts'!$A$5:$A$3000,0)),"")</f>
        <v/>
      </c>
      <c r="AL99" s="23">
        <f>IF(LEFT(AG99,8)="Revenue|",-N(S99),0)+IF(LEFT(AH99,8)="Revenue|",-N(T99),0)+IF(LEFT(AI99,8)="Revenue|",N(AF99),0)+IF(LEFT(AJ99,8)="Revenue|",N(AC99),0)+IF(LEFT(AK99,8)="Revenue|",N(U99),0)</f>
        <v/>
      </c>
      <c r="AM99" s="23">
        <f>IF(LEFT(AG99,5)="COGS|",N(S99),0)+IF(LEFT(AH99,5)="COGS|",N(T99),0)+IF(LEFT(AI99,5)="COGS|",-N(AF99),0)+IF(LEFT(AJ99,5)="COGS|",-N(AC99),0)+IF(LEFT(AK99,5)="COGS|",-N(U99),0)</f>
        <v/>
      </c>
      <c r="AN99" s="23">
        <f>IF(LEFT(AG99,8)="Expense|",N(S99),0)+IF(LEFT(AH99,8)="Expense|",N(T99),0)+IF(LEFT(AI99,8)="Expense|",-N(AF99),0)+IF(LEFT(AJ99,8)="Expense|",-N(AC99),0)+IF(LEFT(AK99,8)="Expense|",-N(U99),0)</f>
        <v/>
      </c>
      <c r="AO99" s="23">
        <f>IF(ISNUMBER(MATCH(AG99,{"Expense|employee","Expense|general_admin","Expense|marketing","Expense|utilities","Expense|other_operating"},0)),N(S99),0)+IF(ISNUMBER(MATCH(AH99,{"Expense|employee","Expense|general_admin","Expense|marketing","Expense|utilities","Expense|other_operating"},0)),N(T99),0)+IF(ISNUMBER(MATCH(AI99,{"Expense|employee","Expense|general_admin","Expense|marketing","Expense|utilities","Expense|other_operating"},0)),-N(AF99),0)+IF(ISNUMBER(MATCH(AJ99,{"Expense|employee","Expense|general_admin","Expense|marketing","Expense|utilities","Expense|other_operating"},0)),-N(AC99),0)+IF(ISNUMBER(MATCH(AK99,{"Expense|employee","Expense|general_admin","Expense|marketing","Expense|utilities","Expense|other_operating"},0)),-N(U99),0)</f>
        <v/>
      </c>
      <c r="AP99" s="23">
        <f>IF(AG99="Liability|payable",-N(S99),0)+IF(AH99="Liability|payable",-N(T99),0)+IF(AI99="Liability|payable",N(AF99),0)+IF(AJ99="Liability|payable",N(AC99),0)+IF(AK99="Liability|payable",N(U99),0)</f>
        <v/>
      </c>
      <c r="AQ99" s="23">
        <f>IF(AG99="Liability|accrued",-N(S99),0)+IF(AH99="Liability|accrued",-N(T99),0)+IF(AI99="Liability|accrued",N(AF99),0)+IF(AJ99="Liability|accrued",N(AC99),0)+IF(AK99="Liability|accrued",N(U99),0)</f>
        <v/>
      </c>
      <c r="AR99" s="23">
        <f>IF(AND(N(S99)&lt;&gt;0,AG99=""),1,0)+IF(AND(N(T99)&lt;&gt;0,AH99=""),1,0)+IF(AND(N(AF99)&lt;&gt;0,AI99=""),1,0)+IF(AND(N(AC99)&lt;&gt;0,AJ99=""),1,0)+IF(AND(N(U99)&lt;&gt;0,AK99=""),1,0)</f>
        <v/>
      </c>
    </row>
    <row r="100">
      <c r="A100" s="19" t="n"/>
      <c r="B100" s="14" t="n"/>
      <c r="C100" s="14" t="n"/>
      <c r="D100" s="14" t="n"/>
      <c r="E100" s="14" t="n"/>
      <c r="F100" s="14" t="n"/>
      <c r="G100" s="14" t="n"/>
      <c r="H100" s="20" t="n"/>
      <c r="I100" s="14" t="n"/>
      <c r="J100" s="14" t="n"/>
      <c r="K100" s="20" t="n"/>
      <c r="L100" s="14" t="n"/>
      <c r="M100" s="14" t="n"/>
      <c r="N100" s="14" t="n"/>
      <c r="O100" s="14" t="n"/>
      <c r="P100" s="14" t="n"/>
      <c r="Q100" s="14" t="n"/>
      <c r="R100" s="14" t="n"/>
      <c r="S100" s="21">
        <f>ROUND(ABS(N(G100))*N(H100),2)</f>
        <v/>
      </c>
      <c r="T100" s="21">
        <f>IF(B100="Receipt",ROUND(S100*IFERROR(VLOOKUP(Q100,'Tax Codes'!$A$5:$E$300,5,FALSE),0),2),0)</f>
        <v/>
      </c>
      <c r="U100" s="21">
        <f>IF(B100="Receipt",ROUND(S100*IFERROR(VLOOKUP(R100,'Tax Codes'!$A$5:$E$300,5,FALSE),0),2),0)</f>
        <v/>
      </c>
      <c r="V100" s="16">
        <f>INDEX('Chart of Accounts'!$A$5:$A$3000,MATCH("vat_input",'Chart of Accounts'!$F$5:$F$3000,0))</f>
        <v/>
      </c>
      <c r="W100" s="16">
        <f>INDEX('Chart of Accounts'!$A$5:$A$3000,MATCH("wht_payable",'Chart of Accounts'!$F$5:$F$3000,0))</f>
        <v/>
      </c>
      <c r="X100" s="16">
        <f>IF(M100="",INDEX('Chart of Accounts'!$A$5:$A$3000,MATCH("bank",'Chart of Accounts'!$F$5:$F$3000,0)),M100&amp;"")</f>
        <v/>
      </c>
      <c r="Y100" s="16">
        <f>IF(N100="",INDEX('Chart of Accounts'!$A$5:$A$3000,MATCH("ap",'Chart of Accounts'!$F$5:$F$3000,0)),N100&amp;"")</f>
        <v/>
      </c>
      <c r="Z100" s="16">
        <f>IF(O100="",INDEX('Chart of Accounts'!$A$5:$A$3000,MATCH("materials",'Chart of Accounts'!$F$5:$F$3000,0)),O100&amp;"")</f>
        <v/>
      </c>
      <c r="AA100" s="16">
        <f>IF(IFERROR(INDEX(Warehouses!$C$5:$C$1000,MATCH(C100,Warehouses!$A$5:$A$1000,0))&amp;"","")="",INDEX('Chart of Accounts'!$A$5:$A$3000,MATCH("inventory",'Chart of Accounts'!$F$5:$F$3000,0)),IFERROR(INDEX(Warehouses!$C$5:$C$1000,MATCH(C100,Warehouses!$A$5:$A$1000,0))&amp;"",""))</f>
        <v/>
      </c>
      <c r="AB100" s="16">
        <f>IF(IFERROR(INDEX(Warehouses!$C$5:$C$1000,MATCH(D100,Warehouses!$A$5:$A$1000,0))&amp;"","")="",INDEX('Chart of Accounts'!$A$5:$A$3000,MATCH("inventory",'Chart of Accounts'!$F$5:$F$3000,0)),IFERROR(INDEX(Warehouses!$C$5:$C$1000,MATCH(D100,Warehouses!$A$5:$A$1000,0))&amp;"",""))</f>
        <v/>
      </c>
      <c r="AC100" s="21">
        <f>IF(B100="Receipt",N(K100),0)</f>
        <v/>
      </c>
      <c r="AD100" s="16">
        <f>IF(B100="Receipt",AA100,IF(B100="Issue",Z100,IF(B100="Transfer",AB100,IF(N(G100)&gt;=0,AA100,INDEX('Chart of Accounts'!$A$5:$A$3000,MATCH("stock_adjust",'Chart of Accounts'!$F$5:$F$3000,0))))))</f>
        <v/>
      </c>
      <c r="AE100" s="16">
        <f>IF(B100="Receipt",Y100,IF(B100="Adjustment",IF(N(G100)&gt;=0,INDEX('Chart of Accounts'!$A$5:$A$3000,MATCH("stock_adjust",'Chart of Accounts'!$F$5:$F$3000,0)),AA100),AA100))</f>
        <v/>
      </c>
      <c r="AF100" s="21">
        <f>S100+T100-U100-AC100</f>
        <v/>
      </c>
      <c r="AG100" s="23">
        <f>IFERROR(INDEX('Chart of Accounts'!$C$5:$C$3000,MATCH(AD100&amp;"",'Chart of Accounts'!$A$5:$A$3000,0))&amp;"|"&amp;INDEX('Chart of Accounts'!$D$5:$D$3000,MATCH(AD100&amp;"",'Chart of Accounts'!$A$5:$A$3000,0)),"")</f>
        <v/>
      </c>
      <c r="AH100" s="23">
        <f>IFERROR(INDEX('Chart of Accounts'!$C$5:$C$3000,MATCH(V100&amp;"",'Chart of Accounts'!$A$5:$A$3000,0))&amp;"|"&amp;INDEX('Chart of Accounts'!$D$5:$D$3000,MATCH(V100&amp;"",'Chart of Accounts'!$A$5:$A$3000,0)),"")</f>
        <v/>
      </c>
      <c r="AI100" s="23">
        <f>IFERROR(INDEX('Chart of Accounts'!$C$5:$C$3000,MATCH(AE100&amp;"",'Chart of Accounts'!$A$5:$A$3000,0))&amp;"|"&amp;INDEX('Chart of Accounts'!$D$5:$D$3000,MATCH(AE100&amp;"",'Chart of Accounts'!$A$5:$A$3000,0)),"")</f>
        <v/>
      </c>
      <c r="AJ100" s="23">
        <f>IFERROR(INDEX('Chart of Accounts'!$C$5:$C$3000,MATCH(X100&amp;"",'Chart of Accounts'!$A$5:$A$3000,0))&amp;"|"&amp;INDEX('Chart of Accounts'!$D$5:$D$3000,MATCH(X100&amp;"",'Chart of Accounts'!$A$5:$A$3000,0)),"")</f>
        <v/>
      </c>
      <c r="AK100" s="23">
        <f>IFERROR(INDEX('Chart of Accounts'!$C$5:$C$3000,MATCH(W100&amp;"",'Chart of Accounts'!$A$5:$A$3000,0))&amp;"|"&amp;INDEX('Chart of Accounts'!$D$5:$D$3000,MATCH(W100&amp;"",'Chart of Accounts'!$A$5:$A$3000,0)),"")</f>
        <v/>
      </c>
      <c r="AL100" s="23">
        <f>IF(LEFT(AG100,8)="Revenue|",-N(S100),0)+IF(LEFT(AH100,8)="Revenue|",-N(T100),0)+IF(LEFT(AI100,8)="Revenue|",N(AF100),0)+IF(LEFT(AJ100,8)="Revenue|",N(AC100),0)+IF(LEFT(AK100,8)="Revenue|",N(U100),0)</f>
        <v/>
      </c>
      <c r="AM100" s="23">
        <f>IF(LEFT(AG100,5)="COGS|",N(S100),0)+IF(LEFT(AH100,5)="COGS|",N(T100),0)+IF(LEFT(AI100,5)="COGS|",-N(AF100),0)+IF(LEFT(AJ100,5)="COGS|",-N(AC100),0)+IF(LEFT(AK100,5)="COGS|",-N(U100),0)</f>
        <v/>
      </c>
      <c r="AN100" s="23">
        <f>IF(LEFT(AG100,8)="Expense|",N(S100),0)+IF(LEFT(AH100,8)="Expense|",N(T100),0)+IF(LEFT(AI100,8)="Expense|",-N(AF100),0)+IF(LEFT(AJ100,8)="Expense|",-N(AC100),0)+IF(LEFT(AK100,8)="Expense|",-N(U100),0)</f>
        <v/>
      </c>
      <c r="AO100" s="23">
        <f>IF(ISNUMBER(MATCH(AG100,{"Expense|employee","Expense|general_admin","Expense|marketing","Expense|utilities","Expense|other_operating"},0)),N(S100),0)+IF(ISNUMBER(MATCH(AH100,{"Expense|employee","Expense|general_admin","Expense|marketing","Expense|utilities","Expense|other_operating"},0)),N(T100),0)+IF(ISNUMBER(MATCH(AI100,{"Expense|employee","Expense|general_admin","Expense|marketing","Expense|utilities","Expense|other_operating"},0)),-N(AF100),0)+IF(ISNUMBER(MATCH(AJ100,{"Expense|employee","Expense|general_admin","Expense|marketing","Expense|utilities","Expense|other_operating"},0)),-N(AC100),0)+IF(ISNUMBER(MATCH(AK100,{"Expense|employee","Expense|general_admin","Expense|marketing","Expense|utilities","Expense|other_operating"},0)),-N(U100),0)</f>
        <v/>
      </c>
      <c r="AP100" s="23">
        <f>IF(AG100="Liability|payable",-N(S100),0)+IF(AH100="Liability|payable",-N(T100),0)+IF(AI100="Liability|payable",N(AF100),0)+IF(AJ100="Liability|payable",N(AC100),0)+IF(AK100="Liability|payable",N(U100),0)</f>
        <v/>
      </c>
      <c r="AQ100" s="23">
        <f>IF(AG100="Liability|accrued",-N(S100),0)+IF(AH100="Liability|accrued",-N(T100),0)+IF(AI100="Liability|accrued",N(AF100),0)+IF(AJ100="Liability|accrued",N(AC100),0)+IF(AK100="Liability|accrued",N(U100),0)</f>
        <v/>
      </c>
      <c r="AR100" s="23">
        <f>IF(AND(N(S100)&lt;&gt;0,AG100=""),1,0)+IF(AND(N(T100)&lt;&gt;0,AH100=""),1,0)+IF(AND(N(AF100)&lt;&gt;0,AI100=""),1,0)+IF(AND(N(AC100)&lt;&gt;0,AJ100=""),1,0)+IF(AND(N(U100)&lt;&gt;0,AK100=""),1,0)</f>
        <v/>
      </c>
    </row>
    <row r="101">
      <c r="A101" s="19" t="n"/>
      <c r="B101" s="14" t="n"/>
      <c r="C101" s="14" t="n"/>
      <c r="D101" s="14" t="n"/>
      <c r="E101" s="14" t="n"/>
      <c r="F101" s="14" t="n"/>
      <c r="G101" s="14" t="n"/>
      <c r="H101" s="20" t="n"/>
      <c r="I101" s="14" t="n"/>
      <c r="J101" s="14" t="n"/>
      <c r="K101" s="20" t="n"/>
      <c r="L101" s="14" t="n"/>
      <c r="M101" s="14" t="n"/>
      <c r="N101" s="14" t="n"/>
      <c r="O101" s="14" t="n"/>
      <c r="P101" s="14" t="n"/>
      <c r="Q101" s="14" t="n"/>
      <c r="R101" s="14" t="n"/>
      <c r="S101" s="21">
        <f>ROUND(ABS(N(G101))*N(H101),2)</f>
        <v/>
      </c>
      <c r="T101" s="21">
        <f>IF(B101="Receipt",ROUND(S101*IFERROR(VLOOKUP(Q101,'Tax Codes'!$A$5:$E$300,5,FALSE),0),2),0)</f>
        <v/>
      </c>
      <c r="U101" s="21">
        <f>IF(B101="Receipt",ROUND(S101*IFERROR(VLOOKUP(R101,'Tax Codes'!$A$5:$E$300,5,FALSE),0),2),0)</f>
        <v/>
      </c>
      <c r="V101" s="16">
        <f>INDEX('Chart of Accounts'!$A$5:$A$3000,MATCH("vat_input",'Chart of Accounts'!$F$5:$F$3000,0))</f>
        <v/>
      </c>
      <c r="W101" s="16">
        <f>INDEX('Chart of Accounts'!$A$5:$A$3000,MATCH("wht_payable",'Chart of Accounts'!$F$5:$F$3000,0))</f>
        <v/>
      </c>
      <c r="X101" s="16">
        <f>IF(M101="",INDEX('Chart of Accounts'!$A$5:$A$3000,MATCH("bank",'Chart of Accounts'!$F$5:$F$3000,0)),M101&amp;"")</f>
        <v/>
      </c>
      <c r="Y101" s="16">
        <f>IF(N101="",INDEX('Chart of Accounts'!$A$5:$A$3000,MATCH("ap",'Chart of Accounts'!$F$5:$F$3000,0)),N101&amp;"")</f>
        <v/>
      </c>
      <c r="Z101" s="16">
        <f>IF(O101="",INDEX('Chart of Accounts'!$A$5:$A$3000,MATCH("materials",'Chart of Accounts'!$F$5:$F$3000,0)),O101&amp;"")</f>
        <v/>
      </c>
      <c r="AA101" s="16">
        <f>IF(IFERROR(INDEX(Warehouses!$C$5:$C$1000,MATCH(C101,Warehouses!$A$5:$A$1000,0))&amp;"","")="",INDEX('Chart of Accounts'!$A$5:$A$3000,MATCH("inventory",'Chart of Accounts'!$F$5:$F$3000,0)),IFERROR(INDEX(Warehouses!$C$5:$C$1000,MATCH(C101,Warehouses!$A$5:$A$1000,0))&amp;"",""))</f>
        <v/>
      </c>
      <c r="AB101" s="16">
        <f>IF(IFERROR(INDEX(Warehouses!$C$5:$C$1000,MATCH(D101,Warehouses!$A$5:$A$1000,0))&amp;"","")="",INDEX('Chart of Accounts'!$A$5:$A$3000,MATCH("inventory",'Chart of Accounts'!$F$5:$F$3000,0)),IFERROR(INDEX(Warehouses!$C$5:$C$1000,MATCH(D101,Warehouses!$A$5:$A$1000,0))&amp;"",""))</f>
        <v/>
      </c>
      <c r="AC101" s="21">
        <f>IF(B101="Receipt",N(K101),0)</f>
        <v/>
      </c>
      <c r="AD101" s="16">
        <f>IF(B101="Receipt",AA101,IF(B101="Issue",Z101,IF(B101="Transfer",AB101,IF(N(G101)&gt;=0,AA101,INDEX('Chart of Accounts'!$A$5:$A$3000,MATCH("stock_adjust",'Chart of Accounts'!$F$5:$F$3000,0))))))</f>
        <v/>
      </c>
      <c r="AE101" s="16">
        <f>IF(B101="Receipt",Y101,IF(B101="Adjustment",IF(N(G101)&gt;=0,INDEX('Chart of Accounts'!$A$5:$A$3000,MATCH("stock_adjust",'Chart of Accounts'!$F$5:$F$3000,0)),AA101),AA101))</f>
        <v/>
      </c>
      <c r="AF101" s="21">
        <f>S101+T101-U101-AC101</f>
        <v/>
      </c>
      <c r="AG101" s="23">
        <f>IFERROR(INDEX('Chart of Accounts'!$C$5:$C$3000,MATCH(AD101&amp;"",'Chart of Accounts'!$A$5:$A$3000,0))&amp;"|"&amp;INDEX('Chart of Accounts'!$D$5:$D$3000,MATCH(AD101&amp;"",'Chart of Accounts'!$A$5:$A$3000,0)),"")</f>
        <v/>
      </c>
      <c r="AH101" s="23">
        <f>IFERROR(INDEX('Chart of Accounts'!$C$5:$C$3000,MATCH(V101&amp;"",'Chart of Accounts'!$A$5:$A$3000,0))&amp;"|"&amp;INDEX('Chart of Accounts'!$D$5:$D$3000,MATCH(V101&amp;"",'Chart of Accounts'!$A$5:$A$3000,0)),"")</f>
        <v/>
      </c>
      <c r="AI101" s="23">
        <f>IFERROR(INDEX('Chart of Accounts'!$C$5:$C$3000,MATCH(AE101&amp;"",'Chart of Accounts'!$A$5:$A$3000,0))&amp;"|"&amp;INDEX('Chart of Accounts'!$D$5:$D$3000,MATCH(AE101&amp;"",'Chart of Accounts'!$A$5:$A$3000,0)),"")</f>
        <v/>
      </c>
      <c r="AJ101" s="23">
        <f>IFERROR(INDEX('Chart of Accounts'!$C$5:$C$3000,MATCH(X101&amp;"",'Chart of Accounts'!$A$5:$A$3000,0))&amp;"|"&amp;INDEX('Chart of Accounts'!$D$5:$D$3000,MATCH(X101&amp;"",'Chart of Accounts'!$A$5:$A$3000,0)),"")</f>
        <v/>
      </c>
      <c r="AK101" s="23">
        <f>IFERROR(INDEX('Chart of Accounts'!$C$5:$C$3000,MATCH(W101&amp;"",'Chart of Accounts'!$A$5:$A$3000,0))&amp;"|"&amp;INDEX('Chart of Accounts'!$D$5:$D$3000,MATCH(W101&amp;"",'Chart of Accounts'!$A$5:$A$3000,0)),"")</f>
        <v/>
      </c>
      <c r="AL101" s="23">
        <f>IF(LEFT(AG101,8)="Revenue|",-N(S101),0)+IF(LEFT(AH101,8)="Revenue|",-N(T101),0)+IF(LEFT(AI101,8)="Revenue|",N(AF101),0)+IF(LEFT(AJ101,8)="Revenue|",N(AC101),0)+IF(LEFT(AK101,8)="Revenue|",N(U101),0)</f>
        <v/>
      </c>
      <c r="AM101" s="23">
        <f>IF(LEFT(AG101,5)="COGS|",N(S101),0)+IF(LEFT(AH101,5)="COGS|",N(T101),0)+IF(LEFT(AI101,5)="COGS|",-N(AF101),0)+IF(LEFT(AJ101,5)="COGS|",-N(AC101),0)+IF(LEFT(AK101,5)="COGS|",-N(U101),0)</f>
        <v/>
      </c>
      <c r="AN101" s="23">
        <f>IF(LEFT(AG101,8)="Expense|",N(S101),0)+IF(LEFT(AH101,8)="Expense|",N(T101),0)+IF(LEFT(AI101,8)="Expense|",-N(AF101),0)+IF(LEFT(AJ101,8)="Expense|",-N(AC101),0)+IF(LEFT(AK101,8)="Expense|",-N(U101),0)</f>
        <v/>
      </c>
      <c r="AO101" s="23">
        <f>IF(ISNUMBER(MATCH(AG101,{"Expense|employee","Expense|general_admin","Expense|marketing","Expense|utilities","Expense|other_operating"},0)),N(S101),0)+IF(ISNUMBER(MATCH(AH101,{"Expense|employee","Expense|general_admin","Expense|marketing","Expense|utilities","Expense|other_operating"},0)),N(T101),0)+IF(ISNUMBER(MATCH(AI101,{"Expense|employee","Expense|general_admin","Expense|marketing","Expense|utilities","Expense|other_operating"},0)),-N(AF101),0)+IF(ISNUMBER(MATCH(AJ101,{"Expense|employee","Expense|general_admin","Expense|marketing","Expense|utilities","Expense|other_operating"},0)),-N(AC101),0)+IF(ISNUMBER(MATCH(AK101,{"Expense|employee","Expense|general_admin","Expense|marketing","Expense|utilities","Expense|other_operating"},0)),-N(U101),0)</f>
        <v/>
      </c>
      <c r="AP101" s="23">
        <f>IF(AG101="Liability|payable",-N(S101),0)+IF(AH101="Liability|payable",-N(T101),0)+IF(AI101="Liability|payable",N(AF101),0)+IF(AJ101="Liability|payable",N(AC101),0)+IF(AK101="Liability|payable",N(U101),0)</f>
        <v/>
      </c>
      <c r="AQ101" s="23">
        <f>IF(AG101="Liability|accrued",-N(S101),0)+IF(AH101="Liability|accrued",-N(T101),0)+IF(AI101="Liability|accrued",N(AF101),0)+IF(AJ101="Liability|accrued",N(AC101),0)+IF(AK101="Liability|accrued",N(U101),0)</f>
        <v/>
      </c>
      <c r="AR101" s="23">
        <f>IF(AND(N(S101)&lt;&gt;0,AG101=""),1,0)+IF(AND(N(T101)&lt;&gt;0,AH101=""),1,0)+IF(AND(N(AF101)&lt;&gt;0,AI101=""),1,0)+IF(AND(N(AC101)&lt;&gt;0,AJ101=""),1,0)+IF(AND(N(U101)&lt;&gt;0,AK101=""),1,0)</f>
        <v/>
      </c>
    </row>
    <row r="102">
      <c r="A102" s="19" t="n"/>
      <c r="B102" s="14" t="n"/>
      <c r="C102" s="14" t="n"/>
      <c r="D102" s="14" t="n"/>
      <c r="E102" s="14" t="n"/>
      <c r="F102" s="14" t="n"/>
      <c r="G102" s="14" t="n"/>
      <c r="H102" s="20" t="n"/>
      <c r="I102" s="14" t="n"/>
      <c r="J102" s="14" t="n"/>
      <c r="K102" s="20" t="n"/>
      <c r="L102" s="14" t="n"/>
      <c r="M102" s="14" t="n"/>
      <c r="N102" s="14" t="n"/>
      <c r="O102" s="14" t="n"/>
      <c r="P102" s="14" t="n"/>
      <c r="Q102" s="14" t="n"/>
      <c r="R102" s="14" t="n"/>
      <c r="S102" s="21">
        <f>ROUND(ABS(N(G102))*N(H102),2)</f>
        <v/>
      </c>
      <c r="T102" s="21">
        <f>IF(B102="Receipt",ROUND(S102*IFERROR(VLOOKUP(Q102,'Tax Codes'!$A$5:$E$300,5,FALSE),0),2),0)</f>
        <v/>
      </c>
      <c r="U102" s="21">
        <f>IF(B102="Receipt",ROUND(S102*IFERROR(VLOOKUP(R102,'Tax Codes'!$A$5:$E$300,5,FALSE),0),2),0)</f>
        <v/>
      </c>
      <c r="V102" s="16">
        <f>INDEX('Chart of Accounts'!$A$5:$A$3000,MATCH("vat_input",'Chart of Accounts'!$F$5:$F$3000,0))</f>
        <v/>
      </c>
      <c r="W102" s="16">
        <f>INDEX('Chart of Accounts'!$A$5:$A$3000,MATCH("wht_payable",'Chart of Accounts'!$F$5:$F$3000,0))</f>
        <v/>
      </c>
      <c r="X102" s="16">
        <f>IF(M102="",INDEX('Chart of Accounts'!$A$5:$A$3000,MATCH("bank",'Chart of Accounts'!$F$5:$F$3000,0)),M102&amp;"")</f>
        <v/>
      </c>
      <c r="Y102" s="16">
        <f>IF(N102="",INDEX('Chart of Accounts'!$A$5:$A$3000,MATCH("ap",'Chart of Accounts'!$F$5:$F$3000,0)),N102&amp;"")</f>
        <v/>
      </c>
      <c r="Z102" s="16">
        <f>IF(O102="",INDEX('Chart of Accounts'!$A$5:$A$3000,MATCH("materials",'Chart of Accounts'!$F$5:$F$3000,0)),O102&amp;"")</f>
        <v/>
      </c>
      <c r="AA102" s="16">
        <f>IF(IFERROR(INDEX(Warehouses!$C$5:$C$1000,MATCH(C102,Warehouses!$A$5:$A$1000,0))&amp;"","")="",INDEX('Chart of Accounts'!$A$5:$A$3000,MATCH("inventory",'Chart of Accounts'!$F$5:$F$3000,0)),IFERROR(INDEX(Warehouses!$C$5:$C$1000,MATCH(C102,Warehouses!$A$5:$A$1000,0))&amp;"",""))</f>
        <v/>
      </c>
      <c r="AB102" s="16">
        <f>IF(IFERROR(INDEX(Warehouses!$C$5:$C$1000,MATCH(D102,Warehouses!$A$5:$A$1000,0))&amp;"","")="",INDEX('Chart of Accounts'!$A$5:$A$3000,MATCH("inventory",'Chart of Accounts'!$F$5:$F$3000,0)),IFERROR(INDEX(Warehouses!$C$5:$C$1000,MATCH(D102,Warehouses!$A$5:$A$1000,0))&amp;"",""))</f>
        <v/>
      </c>
      <c r="AC102" s="21">
        <f>IF(B102="Receipt",N(K102),0)</f>
        <v/>
      </c>
      <c r="AD102" s="16">
        <f>IF(B102="Receipt",AA102,IF(B102="Issue",Z102,IF(B102="Transfer",AB102,IF(N(G102)&gt;=0,AA102,INDEX('Chart of Accounts'!$A$5:$A$3000,MATCH("stock_adjust",'Chart of Accounts'!$F$5:$F$3000,0))))))</f>
        <v/>
      </c>
      <c r="AE102" s="16">
        <f>IF(B102="Receipt",Y102,IF(B102="Adjustment",IF(N(G102)&gt;=0,INDEX('Chart of Accounts'!$A$5:$A$3000,MATCH("stock_adjust",'Chart of Accounts'!$F$5:$F$3000,0)),AA102),AA102))</f>
        <v/>
      </c>
      <c r="AF102" s="21">
        <f>S102+T102-U102-AC102</f>
        <v/>
      </c>
      <c r="AG102" s="23">
        <f>IFERROR(INDEX('Chart of Accounts'!$C$5:$C$3000,MATCH(AD102&amp;"",'Chart of Accounts'!$A$5:$A$3000,0))&amp;"|"&amp;INDEX('Chart of Accounts'!$D$5:$D$3000,MATCH(AD102&amp;"",'Chart of Accounts'!$A$5:$A$3000,0)),"")</f>
        <v/>
      </c>
      <c r="AH102" s="23">
        <f>IFERROR(INDEX('Chart of Accounts'!$C$5:$C$3000,MATCH(V102&amp;"",'Chart of Accounts'!$A$5:$A$3000,0))&amp;"|"&amp;INDEX('Chart of Accounts'!$D$5:$D$3000,MATCH(V102&amp;"",'Chart of Accounts'!$A$5:$A$3000,0)),"")</f>
        <v/>
      </c>
      <c r="AI102" s="23">
        <f>IFERROR(INDEX('Chart of Accounts'!$C$5:$C$3000,MATCH(AE102&amp;"",'Chart of Accounts'!$A$5:$A$3000,0))&amp;"|"&amp;INDEX('Chart of Accounts'!$D$5:$D$3000,MATCH(AE102&amp;"",'Chart of Accounts'!$A$5:$A$3000,0)),"")</f>
        <v/>
      </c>
      <c r="AJ102" s="23">
        <f>IFERROR(INDEX('Chart of Accounts'!$C$5:$C$3000,MATCH(X102&amp;"",'Chart of Accounts'!$A$5:$A$3000,0))&amp;"|"&amp;INDEX('Chart of Accounts'!$D$5:$D$3000,MATCH(X102&amp;"",'Chart of Accounts'!$A$5:$A$3000,0)),"")</f>
        <v/>
      </c>
      <c r="AK102" s="23">
        <f>IFERROR(INDEX('Chart of Accounts'!$C$5:$C$3000,MATCH(W102&amp;"",'Chart of Accounts'!$A$5:$A$3000,0))&amp;"|"&amp;INDEX('Chart of Accounts'!$D$5:$D$3000,MATCH(W102&amp;"",'Chart of Accounts'!$A$5:$A$3000,0)),"")</f>
        <v/>
      </c>
      <c r="AL102" s="23">
        <f>IF(LEFT(AG102,8)="Revenue|",-N(S102),0)+IF(LEFT(AH102,8)="Revenue|",-N(T102),0)+IF(LEFT(AI102,8)="Revenue|",N(AF102),0)+IF(LEFT(AJ102,8)="Revenue|",N(AC102),0)+IF(LEFT(AK102,8)="Revenue|",N(U102),0)</f>
        <v/>
      </c>
      <c r="AM102" s="23">
        <f>IF(LEFT(AG102,5)="COGS|",N(S102),0)+IF(LEFT(AH102,5)="COGS|",N(T102),0)+IF(LEFT(AI102,5)="COGS|",-N(AF102),0)+IF(LEFT(AJ102,5)="COGS|",-N(AC102),0)+IF(LEFT(AK102,5)="COGS|",-N(U102),0)</f>
        <v/>
      </c>
      <c r="AN102" s="23">
        <f>IF(LEFT(AG102,8)="Expense|",N(S102),0)+IF(LEFT(AH102,8)="Expense|",N(T102),0)+IF(LEFT(AI102,8)="Expense|",-N(AF102),0)+IF(LEFT(AJ102,8)="Expense|",-N(AC102),0)+IF(LEFT(AK102,8)="Expense|",-N(U102),0)</f>
        <v/>
      </c>
      <c r="AO102" s="23">
        <f>IF(ISNUMBER(MATCH(AG102,{"Expense|employee","Expense|general_admin","Expense|marketing","Expense|utilities","Expense|other_operating"},0)),N(S102),0)+IF(ISNUMBER(MATCH(AH102,{"Expense|employee","Expense|general_admin","Expense|marketing","Expense|utilities","Expense|other_operating"},0)),N(T102),0)+IF(ISNUMBER(MATCH(AI102,{"Expense|employee","Expense|general_admin","Expense|marketing","Expense|utilities","Expense|other_operating"},0)),-N(AF102),0)+IF(ISNUMBER(MATCH(AJ102,{"Expense|employee","Expense|general_admin","Expense|marketing","Expense|utilities","Expense|other_operating"},0)),-N(AC102),0)+IF(ISNUMBER(MATCH(AK102,{"Expense|employee","Expense|general_admin","Expense|marketing","Expense|utilities","Expense|other_operating"},0)),-N(U102),0)</f>
        <v/>
      </c>
      <c r="AP102" s="23">
        <f>IF(AG102="Liability|payable",-N(S102),0)+IF(AH102="Liability|payable",-N(T102),0)+IF(AI102="Liability|payable",N(AF102),0)+IF(AJ102="Liability|payable",N(AC102),0)+IF(AK102="Liability|payable",N(U102),0)</f>
        <v/>
      </c>
      <c r="AQ102" s="23">
        <f>IF(AG102="Liability|accrued",-N(S102),0)+IF(AH102="Liability|accrued",-N(T102),0)+IF(AI102="Liability|accrued",N(AF102),0)+IF(AJ102="Liability|accrued",N(AC102),0)+IF(AK102="Liability|accrued",N(U102),0)</f>
        <v/>
      </c>
      <c r="AR102" s="23">
        <f>IF(AND(N(S102)&lt;&gt;0,AG102=""),1,0)+IF(AND(N(T102)&lt;&gt;0,AH102=""),1,0)+IF(AND(N(AF102)&lt;&gt;0,AI102=""),1,0)+IF(AND(N(AC102)&lt;&gt;0,AJ102=""),1,0)+IF(AND(N(U102)&lt;&gt;0,AK102=""),1,0)</f>
        <v/>
      </c>
    </row>
    <row r="103">
      <c r="A103" s="19" t="n"/>
      <c r="B103" s="14" t="n"/>
      <c r="C103" s="14" t="n"/>
      <c r="D103" s="14" t="n"/>
      <c r="E103" s="14" t="n"/>
      <c r="F103" s="14" t="n"/>
      <c r="G103" s="14" t="n"/>
      <c r="H103" s="20" t="n"/>
      <c r="I103" s="14" t="n"/>
      <c r="J103" s="14" t="n"/>
      <c r="K103" s="20" t="n"/>
      <c r="L103" s="14" t="n"/>
      <c r="M103" s="14" t="n"/>
      <c r="N103" s="14" t="n"/>
      <c r="O103" s="14" t="n"/>
      <c r="P103" s="14" t="n"/>
      <c r="Q103" s="14" t="n"/>
      <c r="R103" s="14" t="n"/>
      <c r="S103" s="21">
        <f>ROUND(ABS(N(G103))*N(H103),2)</f>
        <v/>
      </c>
      <c r="T103" s="21">
        <f>IF(B103="Receipt",ROUND(S103*IFERROR(VLOOKUP(Q103,'Tax Codes'!$A$5:$E$300,5,FALSE),0),2),0)</f>
        <v/>
      </c>
      <c r="U103" s="21">
        <f>IF(B103="Receipt",ROUND(S103*IFERROR(VLOOKUP(R103,'Tax Codes'!$A$5:$E$300,5,FALSE),0),2),0)</f>
        <v/>
      </c>
      <c r="V103" s="16">
        <f>INDEX('Chart of Accounts'!$A$5:$A$3000,MATCH("vat_input",'Chart of Accounts'!$F$5:$F$3000,0))</f>
        <v/>
      </c>
      <c r="W103" s="16">
        <f>INDEX('Chart of Accounts'!$A$5:$A$3000,MATCH("wht_payable",'Chart of Accounts'!$F$5:$F$3000,0))</f>
        <v/>
      </c>
      <c r="X103" s="16">
        <f>IF(M103="",INDEX('Chart of Accounts'!$A$5:$A$3000,MATCH("bank",'Chart of Accounts'!$F$5:$F$3000,0)),M103&amp;"")</f>
        <v/>
      </c>
      <c r="Y103" s="16">
        <f>IF(N103="",INDEX('Chart of Accounts'!$A$5:$A$3000,MATCH("ap",'Chart of Accounts'!$F$5:$F$3000,0)),N103&amp;"")</f>
        <v/>
      </c>
      <c r="Z103" s="16">
        <f>IF(O103="",INDEX('Chart of Accounts'!$A$5:$A$3000,MATCH("materials",'Chart of Accounts'!$F$5:$F$3000,0)),O103&amp;"")</f>
        <v/>
      </c>
      <c r="AA103" s="16">
        <f>IF(IFERROR(INDEX(Warehouses!$C$5:$C$1000,MATCH(C103,Warehouses!$A$5:$A$1000,0))&amp;"","")="",INDEX('Chart of Accounts'!$A$5:$A$3000,MATCH("inventory",'Chart of Accounts'!$F$5:$F$3000,0)),IFERROR(INDEX(Warehouses!$C$5:$C$1000,MATCH(C103,Warehouses!$A$5:$A$1000,0))&amp;"",""))</f>
        <v/>
      </c>
      <c r="AB103" s="16">
        <f>IF(IFERROR(INDEX(Warehouses!$C$5:$C$1000,MATCH(D103,Warehouses!$A$5:$A$1000,0))&amp;"","")="",INDEX('Chart of Accounts'!$A$5:$A$3000,MATCH("inventory",'Chart of Accounts'!$F$5:$F$3000,0)),IFERROR(INDEX(Warehouses!$C$5:$C$1000,MATCH(D103,Warehouses!$A$5:$A$1000,0))&amp;"",""))</f>
        <v/>
      </c>
      <c r="AC103" s="21">
        <f>IF(B103="Receipt",N(K103),0)</f>
        <v/>
      </c>
      <c r="AD103" s="16">
        <f>IF(B103="Receipt",AA103,IF(B103="Issue",Z103,IF(B103="Transfer",AB103,IF(N(G103)&gt;=0,AA103,INDEX('Chart of Accounts'!$A$5:$A$3000,MATCH("stock_adjust",'Chart of Accounts'!$F$5:$F$3000,0))))))</f>
        <v/>
      </c>
      <c r="AE103" s="16">
        <f>IF(B103="Receipt",Y103,IF(B103="Adjustment",IF(N(G103)&gt;=0,INDEX('Chart of Accounts'!$A$5:$A$3000,MATCH("stock_adjust",'Chart of Accounts'!$F$5:$F$3000,0)),AA103),AA103))</f>
        <v/>
      </c>
      <c r="AF103" s="21">
        <f>S103+T103-U103-AC103</f>
        <v/>
      </c>
      <c r="AG103" s="23">
        <f>IFERROR(INDEX('Chart of Accounts'!$C$5:$C$3000,MATCH(AD103&amp;"",'Chart of Accounts'!$A$5:$A$3000,0))&amp;"|"&amp;INDEX('Chart of Accounts'!$D$5:$D$3000,MATCH(AD103&amp;"",'Chart of Accounts'!$A$5:$A$3000,0)),"")</f>
        <v/>
      </c>
      <c r="AH103" s="23">
        <f>IFERROR(INDEX('Chart of Accounts'!$C$5:$C$3000,MATCH(V103&amp;"",'Chart of Accounts'!$A$5:$A$3000,0))&amp;"|"&amp;INDEX('Chart of Accounts'!$D$5:$D$3000,MATCH(V103&amp;"",'Chart of Accounts'!$A$5:$A$3000,0)),"")</f>
        <v/>
      </c>
      <c r="AI103" s="23">
        <f>IFERROR(INDEX('Chart of Accounts'!$C$5:$C$3000,MATCH(AE103&amp;"",'Chart of Accounts'!$A$5:$A$3000,0))&amp;"|"&amp;INDEX('Chart of Accounts'!$D$5:$D$3000,MATCH(AE103&amp;"",'Chart of Accounts'!$A$5:$A$3000,0)),"")</f>
        <v/>
      </c>
      <c r="AJ103" s="23">
        <f>IFERROR(INDEX('Chart of Accounts'!$C$5:$C$3000,MATCH(X103&amp;"",'Chart of Accounts'!$A$5:$A$3000,0))&amp;"|"&amp;INDEX('Chart of Accounts'!$D$5:$D$3000,MATCH(X103&amp;"",'Chart of Accounts'!$A$5:$A$3000,0)),"")</f>
        <v/>
      </c>
      <c r="AK103" s="23">
        <f>IFERROR(INDEX('Chart of Accounts'!$C$5:$C$3000,MATCH(W103&amp;"",'Chart of Accounts'!$A$5:$A$3000,0))&amp;"|"&amp;INDEX('Chart of Accounts'!$D$5:$D$3000,MATCH(W103&amp;"",'Chart of Accounts'!$A$5:$A$3000,0)),"")</f>
        <v/>
      </c>
      <c r="AL103" s="23">
        <f>IF(LEFT(AG103,8)="Revenue|",-N(S103),0)+IF(LEFT(AH103,8)="Revenue|",-N(T103),0)+IF(LEFT(AI103,8)="Revenue|",N(AF103),0)+IF(LEFT(AJ103,8)="Revenue|",N(AC103),0)+IF(LEFT(AK103,8)="Revenue|",N(U103),0)</f>
        <v/>
      </c>
      <c r="AM103" s="23">
        <f>IF(LEFT(AG103,5)="COGS|",N(S103),0)+IF(LEFT(AH103,5)="COGS|",N(T103),0)+IF(LEFT(AI103,5)="COGS|",-N(AF103),0)+IF(LEFT(AJ103,5)="COGS|",-N(AC103),0)+IF(LEFT(AK103,5)="COGS|",-N(U103),0)</f>
        <v/>
      </c>
      <c r="AN103" s="23">
        <f>IF(LEFT(AG103,8)="Expense|",N(S103),0)+IF(LEFT(AH103,8)="Expense|",N(T103),0)+IF(LEFT(AI103,8)="Expense|",-N(AF103),0)+IF(LEFT(AJ103,8)="Expense|",-N(AC103),0)+IF(LEFT(AK103,8)="Expense|",-N(U103),0)</f>
        <v/>
      </c>
      <c r="AO103" s="23">
        <f>IF(ISNUMBER(MATCH(AG103,{"Expense|employee","Expense|general_admin","Expense|marketing","Expense|utilities","Expense|other_operating"},0)),N(S103),0)+IF(ISNUMBER(MATCH(AH103,{"Expense|employee","Expense|general_admin","Expense|marketing","Expense|utilities","Expense|other_operating"},0)),N(T103),0)+IF(ISNUMBER(MATCH(AI103,{"Expense|employee","Expense|general_admin","Expense|marketing","Expense|utilities","Expense|other_operating"},0)),-N(AF103),0)+IF(ISNUMBER(MATCH(AJ103,{"Expense|employee","Expense|general_admin","Expense|marketing","Expense|utilities","Expense|other_operating"},0)),-N(AC103),0)+IF(ISNUMBER(MATCH(AK103,{"Expense|employee","Expense|general_admin","Expense|marketing","Expense|utilities","Expense|other_operating"},0)),-N(U103),0)</f>
        <v/>
      </c>
      <c r="AP103" s="23">
        <f>IF(AG103="Liability|payable",-N(S103),0)+IF(AH103="Liability|payable",-N(T103),0)+IF(AI103="Liability|payable",N(AF103),0)+IF(AJ103="Liability|payable",N(AC103),0)+IF(AK103="Liability|payable",N(U103),0)</f>
        <v/>
      </c>
      <c r="AQ103" s="23">
        <f>IF(AG103="Liability|accrued",-N(S103),0)+IF(AH103="Liability|accrued",-N(T103),0)+IF(AI103="Liability|accrued",N(AF103),0)+IF(AJ103="Liability|accrued",N(AC103),0)+IF(AK103="Liability|accrued",N(U103),0)</f>
        <v/>
      </c>
      <c r="AR103" s="23">
        <f>IF(AND(N(S103)&lt;&gt;0,AG103=""),1,0)+IF(AND(N(T103)&lt;&gt;0,AH103=""),1,0)+IF(AND(N(AF103)&lt;&gt;0,AI103=""),1,0)+IF(AND(N(AC103)&lt;&gt;0,AJ103=""),1,0)+IF(AND(N(U103)&lt;&gt;0,AK103=""),1,0)</f>
        <v/>
      </c>
    </row>
    <row r="104">
      <c r="A104" s="19" t="n"/>
      <c r="B104" s="14" t="n"/>
      <c r="C104" s="14" t="n"/>
      <c r="D104" s="14" t="n"/>
      <c r="E104" s="14" t="n"/>
      <c r="F104" s="14" t="n"/>
      <c r="G104" s="14" t="n"/>
      <c r="H104" s="20" t="n"/>
      <c r="I104" s="14" t="n"/>
      <c r="J104" s="14" t="n"/>
      <c r="K104" s="20" t="n"/>
      <c r="L104" s="14" t="n"/>
      <c r="M104" s="14" t="n"/>
      <c r="N104" s="14" t="n"/>
      <c r="O104" s="14" t="n"/>
      <c r="P104" s="14" t="n"/>
      <c r="Q104" s="14" t="n"/>
      <c r="R104" s="14" t="n"/>
      <c r="S104" s="21">
        <f>ROUND(ABS(N(G104))*N(H104),2)</f>
        <v/>
      </c>
      <c r="T104" s="21">
        <f>IF(B104="Receipt",ROUND(S104*IFERROR(VLOOKUP(Q104,'Tax Codes'!$A$5:$E$300,5,FALSE),0),2),0)</f>
        <v/>
      </c>
      <c r="U104" s="21">
        <f>IF(B104="Receipt",ROUND(S104*IFERROR(VLOOKUP(R104,'Tax Codes'!$A$5:$E$300,5,FALSE),0),2),0)</f>
        <v/>
      </c>
      <c r="V104" s="16">
        <f>INDEX('Chart of Accounts'!$A$5:$A$3000,MATCH("vat_input",'Chart of Accounts'!$F$5:$F$3000,0))</f>
        <v/>
      </c>
      <c r="W104" s="16">
        <f>INDEX('Chart of Accounts'!$A$5:$A$3000,MATCH("wht_payable",'Chart of Accounts'!$F$5:$F$3000,0))</f>
        <v/>
      </c>
      <c r="X104" s="16">
        <f>IF(M104="",INDEX('Chart of Accounts'!$A$5:$A$3000,MATCH("bank",'Chart of Accounts'!$F$5:$F$3000,0)),M104&amp;"")</f>
        <v/>
      </c>
      <c r="Y104" s="16">
        <f>IF(N104="",INDEX('Chart of Accounts'!$A$5:$A$3000,MATCH("ap",'Chart of Accounts'!$F$5:$F$3000,0)),N104&amp;"")</f>
        <v/>
      </c>
      <c r="Z104" s="16">
        <f>IF(O104="",INDEX('Chart of Accounts'!$A$5:$A$3000,MATCH("materials",'Chart of Accounts'!$F$5:$F$3000,0)),O104&amp;"")</f>
        <v/>
      </c>
      <c r="AA104" s="16">
        <f>IF(IFERROR(INDEX(Warehouses!$C$5:$C$1000,MATCH(C104,Warehouses!$A$5:$A$1000,0))&amp;"","")="",INDEX('Chart of Accounts'!$A$5:$A$3000,MATCH("inventory",'Chart of Accounts'!$F$5:$F$3000,0)),IFERROR(INDEX(Warehouses!$C$5:$C$1000,MATCH(C104,Warehouses!$A$5:$A$1000,0))&amp;"",""))</f>
        <v/>
      </c>
      <c r="AB104" s="16">
        <f>IF(IFERROR(INDEX(Warehouses!$C$5:$C$1000,MATCH(D104,Warehouses!$A$5:$A$1000,0))&amp;"","")="",INDEX('Chart of Accounts'!$A$5:$A$3000,MATCH("inventory",'Chart of Accounts'!$F$5:$F$3000,0)),IFERROR(INDEX(Warehouses!$C$5:$C$1000,MATCH(D104,Warehouses!$A$5:$A$1000,0))&amp;"",""))</f>
        <v/>
      </c>
      <c r="AC104" s="21">
        <f>IF(B104="Receipt",N(K104),0)</f>
        <v/>
      </c>
      <c r="AD104" s="16">
        <f>IF(B104="Receipt",AA104,IF(B104="Issue",Z104,IF(B104="Transfer",AB104,IF(N(G104)&gt;=0,AA104,INDEX('Chart of Accounts'!$A$5:$A$3000,MATCH("stock_adjust",'Chart of Accounts'!$F$5:$F$3000,0))))))</f>
        <v/>
      </c>
      <c r="AE104" s="16">
        <f>IF(B104="Receipt",Y104,IF(B104="Adjustment",IF(N(G104)&gt;=0,INDEX('Chart of Accounts'!$A$5:$A$3000,MATCH("stock_adjust",'Chart of Accounts'!$F$5:$F$3000,0)),AA104),AA104))</f>
        <v/>
      </c>
      <c r="AF104" s="21">
        <f>S104+T104-U104-AC104</f>
        <v/>
      </c>
      <c r="AG104" s="23">
        <f>IFERROR(INDEX('Chart of Accounts'!$C$5:$C$3000,MATCH(AD104&amp;"",'Chart of Accounts'!$A$5:$A$3000,0))&amp;"|"&amp;INDEX('Chart of Accounts'!$D$5:$D$3000,MATCH(AD104&amp;"",'Chart of Accounts'!$A$5:$A$3000,0)),"")</f>
        <v/>
      </c>
      <c r="AH104" s="23">
        <f>IFERROR(INDEX('Chart of Accounts'!$C$5:$C$3000,MATCH(V104&amp;"",'Chart of Accounts'!$A$5:$A$3000,0))&amp;"|"&amp;INDEX('Chart of Accounts'!$D$5:$D$3000,MATCH(V104&amp;"",'Chart of Accounts'!$A$5:$A$3000,0)),"")</f>
        <v/>
      </c>
      <c r="AI104" s="23">
        <f>IFERROR(INDEX('Chart of Accounts'!$C$5:$C$3000,MATCH(AE104&amp;"",'Chart of Accounts'!$A$5:$A$3000,0))&amp;"|"&amp;INDEX('Chart of Accounts'!$D$5:$D$3000,MATCH(AE104&amp;"",'Chart of Accounts'!$A$5:$A$3000,0)),"")</f>
        <v/>
      </c>
      <c r="AJ104" s="23">
        <f>IFERROR(INDEX('Chart of Accounts'!$C$5:$C$3000,MATCH(X104&amp;"",'Chart of Accounts'!$A$5:$A$3000,0))&amp;"|"&amp;INDEX('Chart of Accounts'!$D$5:$D$3000,MATCH(X104&amp;"",'Chart of Accounts'!$A$5:$A$3000,0)),"")</f>
        <v/>
      </c>
      <c r="AK104" s="23">
        <f>IFERROR(INDEX('Chart of Accounts'!$C$5:$C$3000,MATCH(W104&amp;"",'Chart of Accounts'!$A$5:$A$3000,0))&amp;"|"&amp;INDEX('Chart of Accounts'!$D$5:$D$3000,MATCH(W104&amp;"",'Chart of Accounts'!$A$5:$A$3000,0)),"")</f>
        <v/>
      </c>
      <c r="AL104" s="23">
        <f>IF(LEFT(AG104,8)="Revenue|",-N(S104),0)+IF(LEFT(AH104,8)="Revenue|",-N(T104),0)+IF(LEFT(AI104,8)="Revenue|",N(AF104),0)+IF(LEFT(AJ104,8)="Revenue|",N(AC104),0)+IF(LEFT(AK104,8)="Revenue|",N(U104),0)</f>
        <v/>
      </c>
      <c r="AM104" s="23">
        <f>IF(LEFT(AG104,5)="COGS|",N(S104),0)+IF(LEFT(AH104,5)="COGS|",N(T104),0)+IF(LEFT(AI104,5)="COGS|",-N(AF104),0)+IF(LEFT(AJ104,5)="COGS|",-N(AC104),0)+IF(LEFT(AK104,5)="COGS|",-N(U104),0)</f>
        <v/>
      </c>
      <c r="AN104" s="23">
        <f>IF(LEFT(AG104,8)="Expense|",N(S104),0)+IF(LEFT(AH104,8)="Expense|",N(T104),0)+IF(LEFT(AI104,8)="Expense|",-N(AF104),0)+IF(LEFT(AJ104,8)="Expense|",-N(AC104),0)+IF(LEFT(AK104,8)="Expense|",-N(U104),0)</f>
        <v/>
      </c>
      <c r="AO104" s="23">
        <f>IF(ISNUMBER(MATCH(AG104,{"Expense|employee","Expense|general_admin","Expense|marketing","Expense|utilities","Expense|other_operating"},0)),N(S104),0)+IF(ISNUMBER(MATCH(AH104,{"Expense|employee","Expense|general_admin","Expense|marketing","Expense|utilities","Expense|other_operating"},0)),N(T104),0)+IF(ISNUMBER(MATCH(AI104,{"Expense|employee","Expense|general_admin","Expense|marketing","Expense|utilities","Expense|other_operating"},0)),-N(AF104),0)+IF(ISNUMBER(MATCH(AJ104,{"Expense|employee","Expense|general_admin","Expense|marketing","Expense|utilities","Expense|other_operating"},0)),-N(AC104),0)+IF(ISNUMBER(MATCH(AK104,{"Expense|employee","Expense|general_admin","Expense|marketing","Expense|utilities","Expense|other_operating"},0)),-N(U104),0)</f>
        <v/>
      </c>
      <c r="AP104" s="23">
        <f>IF(AG104="Liability|payable",-N(S104),0)+IF(AH104="Liability|payable",-N(T104),0)+IF(AI104="Liability|payable",N(AF104),0)+IF(AJ104="Liability|payable",N(AC104),0)+IF(AK104="Liability|payable",N(U104),0)</f>
        <v/>
      </c>
      <c r="AQ104" s="23">
        <f>IF(AG104="Liability|accrued",-N(S104),0)+IF(AH104="Liability|accrued",-N(T104),0)+IF(AI104="Liability|accrued",N(AF104),0)+IF(AJ104="Liability|accrued",N(AC104),0)+IF(AK104="Liability|accrued",N(U104),0)</f>
        <v/>
      </c>
      <c r="AR104" s="23">
        <f>IF(AND(N(S104)&lt;&gt;0,AG104=""),1,0)+IF(AND(N(T104)&lt;&gt;0,AH104=""),1,0)+IF(AND(N(AF104)&lt;&gt;0,AI104=""),1,0)+IF(AND(N(AC104)&lt;&gt;0,AJ104=""),1,0)+IF(AND(N(U104)&lt;&gt;0,AK104=""),1,0)</f>
        <v/>
      </c>
    </row>
    <row r="105">
      <c r="A105" s="19" t="n"/>
      <c r="B105" s="14" t="n"/>
      <c r="C105" s="14" t="n"/>
      <c r="D105" s="14" t="n"/>
      <c r="E105" s="14" t="n"/>
      <c r="F105" s="14" t="n"/>
      <c r="G105" s="14" t="n"/>
      <c r="H105" s="20" t="n"/>
      <c r="I105" s="14" t="n"/>
      <c r="J105" s="14" t="n"/>
      <c r="K105" s="20" t="n"/>
      <c r="L105" s="14" t="n"/>
      <c r="M105" s="14" t="n"/>
      <c r="N105" s="14" t="n"/>
      <c r="O105" s="14" t="n"/>
      <c r="P105" s="14" t="n"/>
      <c r="Q105" s="14" t="n"/>
      <c r="R105" s="14" t="n"/>
      <c r="S105" s="21">
        <f>ROUND(ABS(N(G105))*N(H105),2)</f>
        <v/>
      </c>
      <c r="T105" s="21">
        <f>IF(B105="Receipt",ROUND(S105*IFERROR(VLOOKUP(Q105,'Tax Codes'!$A$5:$E$300,5,FALSE),0),2),0)</f>
        <v/>
      </c>
      <c r="U105" s="21">
        <f>IF(B105="Receipt",ROUND(S105*IFERROR(VLOOKUP(R105,'Tax Codes'!$A$5:$E$300,5,FALSE),0),2),0)</f>
        <v/>
      </c>
      <c r="V105" s="16">
        <f>INDEX('Chart of Accounts'!$A$5:$A$3000,MATCH("vat_input",'Chart of Accounts'!$F$5:$F$3000,0))</f>
        <v/>
      </c>
      <c r="W105" s="16">
        <f>INDEX('Chart of Accounts'!$A$5:$A$3000,MATCH("wht_payable",'Chart of Accounts'!$F$5:$F$3000,0))</f>
        <v/>
      </c>
      <c r="X105" s="16">
        <f>IF(M105="",INDEX('Chart of Accounts'!$A$5:$A$3000,MATCH("bank",'Chart of Accounts'!$F$5:$F$3000,0)),M105&amp;"")</f>
        <v/>
      </c>
      <c r="Y105" s="16">
        <f>IF(N105="",INDEX('Chart of Accounts'!$A$5:$A$3000,MATCH("ap",'Chart of Accounts'!$F$5:$F$3000,0)),N105&amp;"")</f>
        <v/>
      </c>
      <c r="Z105" s="16">
        <f>IF(O105="",INDEX('Chart of Accounts'!$A$5:$A$3000,MATCH("materials",'Chart of Accounts'!$F$5:$F$3000,0)),O105&amp;"")</f>
        <v/>
      </c>
      <c r="AA105" s="16">
        <f>IF(IFERROR(INDEX(Warehouses!$C$5:$C$1000,MATCH(C105,Warehouses!$A$5:$A$1000,0))&amp;"","")="",INDEX('Chart of Accounts'!$A$5:$A$3000,MATCH("inventory",'Chart of Accounts'!$F$5:$F$3000,0)),IFERROR(INDEX(Warehouses!$C$5:$C$1000,MATCH(C105,Warehouses!$A$5:$A$1000,0))&amp;"",""))</f>
        <v/>
      </c>
      <c r="AB105" s="16">
        <f>IF(IFERROR(INDEX(Warehouses!$C$5:$C$1000,MATCH(D105,Warehouses!$A$5:$A$1000,0))&amp;"","")="",INDEX('Chart of Accounts'!$A$5:$A$3000,MATCH("inventory",'Chart of Accounts'!$F$5:$F$3000,0)),IFERROR(INDEX(Warehouses!$C$5:$C$1000,MATCH(D105,Warehouses!$A$5:$A$1000,0))&amp;"",""))</f>
        <v/>
      </c>
      <c r="AC105" s="21">
        <f>IF(B105="Receipt",N(K105),0)</f>
        <v/>
      </c>
      <c r="AD105" s="16">
        <f>IF(B105="Receipt",AA105,IF(B105="Issue",Z105,IF(B105="Transfer",AB105,IF(N(G105)&gt;=0,AA105,INDEX('Chart of Accounts'!$A$5:$A$3000,MATCH("stock_adjust",'Chart of Accounts'!$F$5:$F$3000,0))))))</f>
        <v/>
      </c>
      <c r="AE105" s="16">
        <f>IF(B105="Receipt",Y105,IF(B105="Adjustment",IF(N(G105)&gt;=0,INDEX('Chart of Accounts'!$A$5:$A$3000,MATCH("stock_adjust",'Chart of Accounts'!$F$5:$F$3000,0)),AA105),AA105))</f>
        <v/>
      </c>
      <c r="AF105" s="21">
        <f>S105+T105-U105-AC105</f>
        <v/>
      </c>
      <c r="AG105" s="23">
        <f>IFERROR(INDEX('Chart of Accounts'!$C$5:$C$3000,MATCH(AD105&amp;"",'Chart of Accounts'!$A$5:$A$3000,0))&amp;"|"&amp;INDEX('Chart of Accounts'!$D$5:$D$3000,MATCH(AD105&amp;"",'Chart of Accounts'!$A$5:$A$3000,0)),"")</f>
        <v/>
      </c>
      <c r="AH105" s="23">
        <f>IFERROR(INDEX('Chart of Accounts'!$C$5:$C$3000,MATCH(V105&amp;"",'Chart of Accounts'!$A$5:$A$3000,0))&amp;"|"&amp;INDEX('Chart of Accounts'!$D$5:$D$3000,MATCH(V105&amp;"",'Chart of Accounts'!$A$5:$A$3000,0)),"")</f>
        <v/>
      </c>
      <c r="AI105" s="23">
        <f>IFERROR(INDEX('Chart of Accounts'!$C$5:$C$3000,MATCH(AE105&amp;"",'Chart of Accounts'!$A$5:$A$3000,0))&amp;"|"&amp;INDEX('Chart of Accounts'!$D$5:$D$3000,MATCH(AE105&amp;"",'Chart of Accounts'!$A$5:$A$3000,0)),"")</f>
        <v/>
      </c>
      <c r="AJ105" s="23">
        <f>IFERROR(INDEX('Chart of Accounts'!$C$5:$C$3000,MATCH(X105&amp;"",'Chart of Accounts'!$A$5:$A$3000,0))&amp;"|"&amp;INDEX('Chart of Accounts'!$D$5:$D$3000,MATCH(X105&amp;"",'Chart of Accounts'!$A$5:$A$3000,0)),"")</f>
        <v/>
      </c>
      <c r="AK105" s="23">
        <f>IFERROR(INDEX('Chart of Accounts'!$C$5:$C$3000,MATCH(W105&amp;"",'Chart of Accounts'!$A$5:$A$3000,0))&amp;"|"&amp;INDEX('Chart of Accounts'!$D$5:$D$3000,MATCH(W105&amp;"",'Chart of Accounts'!$A$5:$A$3000,0)),"")</f>
        <v/>
      </c>
      <c r="AL105" s="23">
        <f>IF(LEFT(AG105,8)="Revenue|",-N(S105),0)+IF(LEFT(AH105,8)="Revenue|",-N(T105),0)+IF(LEFT(AI105,8)="Revenue|",N(AF105),0)+IF(LEFT(AJ105,8)="Revenue|",N(AC105),0)+IF(LEFT(AK105,8)="Revenue|",N(U105),0)</f>
        <v/>
      </c>
      <c r="AM105" s="23">
        <f>IF(LEFT(AG105,5)="COGS|",N(S105),0)+IF(LEFT(AH105,5)="COGS|",N(T105),0)+IF(LEFT(AI105,5)="COGS|",-N(AF105),0)+IF(LEFT(AJ105,5)="COGS|",-N(AC105),0)+IF(LEFT(AK105,5)="COGS|",-N(U105),0)</f>
        <v/>
      </c>
      <c r="AN105" s="23">
        <f>IF(LEFT(AG105,8)="Expense|",N(S105),0)+IF(LEFT(AH105,8)="Expense|",N(T105),0)+IF(LEFT(AI105,8)="Expense|",-N(AF105),0)+IF(LEFT(AJ105,8)="Expense|",-N(AC105),0)+IF(LEFT(AK105,8)="Expense|",-N(U105),0)</f>
        <v/>
      </c>
      <c r="AO105" s="23">
        <f>IF(ISNUMBER(MATCH(AG105,{"Expense|employee","Expense|general_admin","Expense|marketing","Expense|utilities","Expense|other_operating"},0)),N(S105),0)+IF(ISNUMBER(MATCH(AH105,{"Expense|employee","Expense|general_admin","Expense|marketing","Expense|utilities","Expense|other_operating"},0)),N(T105),0)+IF(ISNUMBER(MATCH(AI105,{"Expense|employee","Expense|general_admin","Expense|marketing","Expense|utilities","Expense|other_operating"},0)),-N(AF105),0)+IF(ISNUMBER(MATCH(AJ105,{"Expense|employee","Expense|general_admin","Expense|marketing","Expense|utilities","Expense|other_operating"},0)),-N(AC105),0)+IF(ISNUMBER(MATCH(AK105,{"Expense|employee","Expense|general_admin","Expense|marketing","Expense|utilities","Expense|other_operating"},0)),-N(U105),0)</f>
        <v/>
      </c>
      <c r="AP105" s="23">
        <f>IF(AG105="Liability|payable",-N(S105),0)+IF(AH105="Liability|payable",-N(T105),0)+IF(AI105="Liability|payable",N(AF105),0)+IF(AJ105="Liability|payable",N(AC105),0)+IF(AK105="Liability|payable",N(U105),0)</f>
        <v/>
      </c>
      <c r="AQ105" s="23">
        <f>IF(AG105="Liability|accrued",-N(S105),0)+IF(AH105="Liability|accrued",-N(T105),0)+IF(AI105="Liability|accrued",N(AF105),0)+IF(AJ105="Liability|accrued",N(AC105),0)+IF(AK105="Liability|accrued",N(U105),0)</f>
        <v/>
      </c>
      <c r="AR105" s="23">
        <f>IF(AND(N(S105)&lt;&gt;0,AG105=""),1,0)+IF(AND(N(T105)&lt;&gt;0,AH105=""),1,0)+IF(AND(N(AF105)&lt;&gt;0,AI105=""),1,0)+IF(AND(N(AC105)&lt;&gt;0,AJ105=""),1,0)+IF(AND(N(U105)&lt;&gt;0,AK105=""),1,0)</f>
        <v/>
      </c>
    </row>
    <row r="106">
      <c r="A106" s="19" t="n"/>
      <c r="B106" s="14" t="n"/>
      <c r="C106" s="14" t="n"/>
      <c r="D106" s="14" t="n"/>
      <c r="E106" s="14" t="n"/>
      <c r="F106" s="14" t="n"/>
      <c r="G106" s="14" t="n"/>
      <c r="H106" s="20" t="n"/>
      <c r="I106" s="14" t="n"/>
      <c r="J106" s="14" t="n"/>
      <c r="K106" s="20" t="n"/>
      <c r="L106" s="14" t="n"/>
      <c r="M106" s="14" t="n"/>
      <c r="N106" s="14" t="n"/>
      <c r="O106" s="14" t="n"/>
      <c r="P106" s="14" t="n"/>
      <c r="Q106" s="14" t="n"/>
      <c r="R106" s="14" t="n"/>
      <c r="S106" s="21">
        <f>ROUND(ABS(N(G106))*N(H106),2)</f>
        <v/>
      </c>
      <c r="T106" s="21">
        <f>IF(B106="Receipt",ROUND(S106*IFERROR(VLOOKUP(Q106,'Tax Codes'!$A$5:$E$300,5,FALSE),0),2),0)</f>
        <v/>
      </c>
      <c r="U106" s="21">
        <f>IF(B106="Receipt",ROUND(S106*IFERROR(VLOOKUP(R106,'Tax Codes'!$A$5:$E$300,5,FALSE),0),2),0)</f>
        <v/>
      </c>
      <c r="V106" s="16">
        <f>INDEX('Chart of Accounts'!$A$5:$A$3000,MATCH("vat_input",'Chart of Accounts'!$F$5:$F$3000,0))</f>
        <v/>
      </c>
      <c r="W106" s="16">
        <f>INDEX('Chart of Accounts'!$A$5:$A$3000,MATCH("wht_payable",'Chart of Accounts'!$F$5:$F$3000,0))</f>
        <v/>
      </c>
      <c r="X106" s="16">
        <f>IF(M106="",INDEX('Chart of Accounts'!$A$5:$A$3000,MATCH("bank",'Chart of Accounts'!$F$5:$F$3000,0)),M106&amp;"")</f>
        <v/>
      </c>
      <c r="Y106" s="16">
        <f>IF(N106="",INDEX('Chart of Accounts'!$A$5:$A$3000,MATCH("ap",'Chart of Accounts'!$F$5:$F$3000,0)),N106&amp;"")</f>
        <v/>
      </c>
      <c r="Z106" s="16">
        <f>IF(O106="",INDEX('Chart of Accounts'!$A$5:$A$3000,MATCH("materials",'Chart of Accounts'!$F$5:$F$3000,0)),O106&amp;"")</f>
        <v/>
      </c>
      <c r="AA106" s="16">
        <f>IF(IFERROR(INDEX(Warehouses!$C$5:$C$1000,MATCH(C106,Warehouses!$A$5:$A$1000,0))&amp;"","")="",INDEX('Chart of Accounts'!$A$5:$A$3000,MATCH("inventory",'Chart of Accounts'!$F$5:$F$3000,0)),IFERROR(INDEX(Warehouses!$C$5:$C$1000,MATCH(C106,Warehouses!$A$5:$A$1000,0))&amp;"",""))</f>
        <v/>
      </c>
      <c r="AB106" s="16">
        <f>IF(IFERROR(INDEX(Warehouses!$C$5:$C$1000,MATCH(D106,Warehouses!$A$5:$A$1000,0))&amp;"","")="",INDEX('Chart of Accounts'!$A$5:$A$3000,MATCH("inventory",'Chart of Accounts'!$F$5:$F$3000,0)),IFERROR(INDEX(Warehouses!$C$5:$C$1000,MATCH(D106,Warehouses!$A$5:$A$1000,0))&amp;"",""))</f>
        <v/>
      </c>
      <c r="AC106" s="21">
        <f>IF(B106="Receipt",N(K106),0)</f>
        <v/>
      </c>
      <c r="AD106" s="16">
        <f>IF(B106="Receipt",AA106,IF(B106="Issue",Z106,IF(B106="Transfer",AB106,IF(N(G106)&gt;=0,AA106,INDEX('Chart of Accounts'!$A$5:$A$3000,MATCH("stock_adjust",'Chart of Accounts'!$F$5:$F$3000,0))))))</f>
        <v/>
      </c>
      <c r="AE106" s="16">
        <f>IF(B106="Receipt",Y106,IF(B106="Adjustment",IF(N(G106)&gt;=0,INDEX('Chart of Accounts'!$A$5:$A$3000,MATCH("stock_adjust",'Chart of Accounts'!$F$5:$F$3000,0)),AA106),AA106))</f>
        <v/>
      </c>
      <c r="AF106" s="21">
        <f>S106+T106-U106-AC106</f>
        <v/>
      </c>
      <c r="AG106" s="23">
        <f>IFERROR(INDEX('Chart of Accounts'!$C$5:$C$3000,MATCH(AD106&amp;"",'Chart of Accounts'!$A$5:$A$3000,0))&amp;"|"&amp;INDEX('Chart of Accounts'!$D$5:$D$3000,MATCH(AD106&amp;"",'Chart of Accounts'!$A$5:$A$3000,0)),"")</f>
        <v/>
      </c>
      <c r="AH106" s="23">
        <f>IFERROR(INDEX('Chart of Accounts'!$C$5:$C$3000,MATCH(V106&amp;"",'Chart of Accounts'!$A$5:$A$3000,0))&amp;"|"&amp;INDEX('Chart of Accounts'!$D$5:$D$3000,MATCH(V106&amp;"",'Chart of Accounts'!$A$5:$A$3000,0)),"")</f>
        <v/>
      </c>
      <c r="AI106" s="23">
        <f>IFERROR(INDEX('Chart of Accounts'!$C$5:$C$3000,MATCH(AE106&amp;"",'Chart of Accounts'!$A$5:$A$3000,0))&amp;"|"&amp;INDEX('Chart of Accounts'!$D$5:$D$3000,MATCH(AE106&amp;"",'Chart of Accounts'!$A$5:$A$3000,0)),"")</f>
        <v/>
      </c>
      <c r="AJ106" s="23">
        <f>IFERROR(INDEX('Chart of Accounts'!$C$5:$C$3000,MATCH(X106&amp;"",'Chart of Accounts'!$A$5:$A$3000,0))&amp;"|"&amp;INDEX('Chart of Accounts'!$D$5:$D$3000,MATCH(X106&amp;"",'Chart of Accounts'!$A$5:$A$3000,0)),"")</f>
        <v/>
      </c>
      <c r="AK106" s="23">
        <f>IFERROR(INDEX('Chart of Accounts'!$C$5:$C$3000,MATCH(W106&amp;"",'Chart of Accounts'!$A$5:$A$3000,0))&amp;"|"&amp;INDEX('Chart of Accounts'!$D$5:$D$3000,MATCH(W106&amp;"",'Chart of Accounts'!$A$5:$A$3000,0)),"")</f>
        <v/>
      </c>
      <c r="AL106" s="23">
        <f>IF(LEFT(AG106,8)="Revenue|",-N(S106),0)+IF(LEFT(AH106,8)="Revenue|",-N(T106),0)+IF(LEFT(AI106,8)="Revenue|",N(AF106),0)+IF(LEFT(AJ106,8)="Revenue|",N(AC106),0)+IF(LEFT(AK106,8)="Revenue|",N(U106),0)</f>
        <v/>
      </c>
      <c r="AM106" s="23">
        <f>IF(LEFT(AG106,5)="COGS|",N(S106),0)+IF(LEFT(AH106,5)="COGS|",N(T106),0)+IF(LEFT(AI106,5)="COGS|",-N(AF106),0)+IF(LEFT(AJ106,5)="COGS|",-N(AC106),0)+IF(LEFT(AK106,5)="COGS|",-N(U106),0)</f>
        <v/>
      </c>
      <c r="AN106" s="23">
        <f>IF(LEFT(AG106,8)="Expense|",N(S106),0)+IF(LEFT(AH106,8)="Expense|",N(T106),0)+IF(LEFT(AI106,8)="Expense|",-N(AF106),0)+IF(LEFT(AJ106,8)="Expense|",-N(AC106),0)+IF(LEFT(AK106,8)="Expense|",-N(U106),0)</f>
        <v/>
      </c>
      <c r="AO106" s="23">
        <f>IF(ISNUMBER(MATCH(AG106,{"Expense|employee","Expense|general_admin","Expense|marketing","Expense|utilities","Expense|other_operating"},0)),N(S106),0)+IF(ISNUMBER(MATCH(AH106,{"Expense|employee","Expense|general_admin","Expense|marketing","Expense|utilities","Expense|other_operating"},0)),N(T106),0)+IF(ISNUMBER(MATCH(AI106,{"Expense|employee","Expense|general_admin","Expense|marketing","Expense|utilities","Expense|other_operating"},0)),-N(AF106),0)+IF(ISNUMBER(MATCH(AJ106,{"Expense|employee","Expense|general_admin","Expense|marketing","Expense|utilities","Expense|other_operating"},0)),-N(AC106),0)+IF(ISNUMBER(MATCH(AK106,{"Expense|employee","Expense|general_admin","Expense|marketing","Expense|utilities","Expense|other_operating"},0)),-N(U106),0)</f>
        <v/>
      </c>
      <c r="AP106" s="23">
        <f>IF(AG106="Liability|payable",-N(S106),0)+IF(AH106="Liability|payable",-N(T106),0)+IF(AI106="Liability|payable",N(AF106),0)+IF(AJ106="Liability|payable",N(AC106),0)+IF(AK106="Liability|payable",N(U106),0)</f>
        <v/>
      </c>
      <c r="AQ106" s="23">
        <f>IF(AG106="Liability|accrued",-N(S106),0)+IF(AH106="Liability|accrued",-N(T106),0)+IF(AI106="Liability|accrued",N(AF106),0)+IF(AJ106="Liability|accrued",N(AC106),0)+IF(AK106="Liability|accrued",N(U106),0)</f>
        <v/>
      </c>
      <c r="AR106" s="23">
        <f>IF(AND(N(S106)&lt;&gt;0,AG106=""),1,0)+IF(AND(N(T106)&lt;&gt;0,AH106=""),1,0)+IF(AND(N(AF106)&lt;&gt;0,AI106=""),1,0)+IF(AND(N(AC106)&lt;&gt;0,AJ106=""),1,0)+IF(AND(N(U106)&lt;&gt;0,AK106=""),1,0)</f>
        <v/>
      </c>
    </row>
    <row r="107">
      <c r="A107" s="19" t="n"/>
      <c r="B107" s="14" t="n"/>
      <c r="C107" s="14" t="n"/>
      <c r="D107" s="14" t="n"/>
      <c r="E107" s="14" t="n"/>
      <c r="F107" s="14" t="n"/>
      <c r="G107" s="14" t="n"/>
      <c r="H107" s="20" t="n"/>
      <c r="I107" s="14" t="n"/>
      <c r="J107" s="14" t="n"/>
      <c r="K107" s="20" t="n"/>
      <c r="L107" s="14" t="n"/>
      <c r="M107" s="14" t="n"/>
      <c r="N107" s="14" t="n"/>
      <c r="O107" s="14" t="n"/>
      <c r="P107" s="14" t="n"/>
      <c r="Q107" s="14" t="n"/>
      <c r="R107" s="14" t="n"/>
      <c r="S107" s="21">
        <f>ROUND(ABS(N(G107))*N(H107),2)</f>
        <v/>
      </c>
      <c r="T107" s="21">
        <f>IF(B107="Receipt",ROUND(S107*IFERROR(VLOOKUP(Q107,'Tax Codes'!$A$5:$E$300,5,FALSE),0),2),0)</f>
        <v/>
      </c>
      <c r="U107" s="21">
        <f>IF(B107="Receipt",ROUND(S107*IFERROR(VLOOKUP(R107,'Tax Codes'!$A$5:$E$300,5,FALSE),0),2),0)</f>
        <v/>
      </c>
      <c r="V107" s="16">
        <f>INDEX('Chart of Accounts'!$A$5:$A$3000,MATCH("vat_input",'Chart of Accounts'!$F$5:$F$3000,0))</f>
        <v/>
      </c>
      <c r="W107" s="16">
        <f>INDEX('Chart of Accounts'!$A$5:$A$3000,MATCH("wht_payable",'Chart of Accounts'!$F$5:$F$3000,0))</f>
        <v/>
      </c>
      <c r="X107" s="16">
        <f>IF(M107="",INDEX('Chart of Accounts'!$A$5:$A$3000,MATCH("bank",'Chart of Accounts'!$F$5:$F$3000,0)),M107&amp;"")</f>
        <v/>
      </c>
      <c r="Y107" s="16">
        <f>IF(N107="",INDEX('Chart of Accounts'!$A$5:$A$3000,MATCH("ap",'Chart of Accounts'!$F$5:$F$3000,0)),N107&amp;"")</f>
        <v/>
      </c>
      <c r="Z107" s="16">
        <f>IF(O107="",INDEX('Chart of Accounts'!$A$5:$A$3000,MATCH("materials",'Chart of Accounts'!$F$5:$F$3000,0)),O107&amp;"")</f>
        <v/>
      </c>
      <c r="AA107" s="16">
        <f>IF(IFERROR(INDEX(Warehouses!$C$5:$C$1000,MATCH(C107,Warehouses!$A$5:$A$1000,0))&amp;"","")="",INDEX('Chart of Accounts'!$A$5:$A$3000,MATCH("inventory",'Chart of Accounts'!$F$5:$F$3000,0)),IFERROR(INDEX(Warehouses!$C$5:$C$1000,MATCH(C107,Warehouses!$A$5:$A$1000,0))&amp;"",""))</f>
        <v/>
      </c>
      <c r="AB107" s="16">
        <f>IF(IFERROR(INDEX(Warehouses!$C$5:$C$1000,MATCH(D107,Warehouses!$A$5:$A$1000,0))&amp;"","")="",INDEX('Chart of Accounts'!$A$5:$A$3000,MATCH("inventory",'Chart of Accounts'!$F$5:$F$3000,0)),IFERROR(INDEX(Warehouses!$C$5:$C$1000,MATCH(D107,Warehouses!$A$5:$A$1000,0))&amp;"",""))</f>
        <v/>
      </c>
      <c r="AC107" s="21">
        <f>IF(B107="Receipt",N(K107),0)</f>
        <v/>
      </c>
      <c r="AD107" s="16">
        <f>IF(B107="Receipt",AA107,IF(B107="Issue",Z107,IF(B107="Transfer",AB107,IF(N(G107)&gt;=0,AA107,INDEX('Chart of Accounts'!$A$5:$A$3000,MATCH("stock_adjust",'Chart of Accounts'!$F$5:$F$3000,0))))))</f>
        <v/>
      </c>
      <c r="AE107" s="16">
        <f>IF(B107="Receipt",Y107,IF(B107="Adjustment",IF(N(G107)&gt;=0,INDEX('Chart of Accounts'!$A$5:$A$3000,MATCH("stock_adjust",'Chart of Accounts'!$F$5:$F$3000,0)),AA107),AA107))</f>
        <v/>
      </c>
      <c r="AF107" s="21">
        <f>S107+T107-U107-AC107</f>
        <v/>
      </c>
      <c r="AG107" s="23">
        <f>IFERROR(INDEX('Chart of Accounts'!$C$5:$C$3000,MATCH(AD107&amp;"",'Chart of Accounts'!$A$5:$A$3000,0))&amp;"|"&amp;INDEX('Chart of Accounts'!$D$5:$D$3000,MATCH(AD107&amp;"",'Chart of Accounts'!$A$5:$A$3000,0)),"")</f>
        <v/>
      </c>
      <c r="AH107" s="23">
        <f>IFERROR(INDEX('Chart of Accounts'!$C$5:$C$3000,MATCH(V107&amp;"",'Chart of Accounts'!$A$5:$A$3000,0))&amp;"|"&amp;INDEX('Chart of Accounts'!$D$5:$D$3000,MATCH(V107&amp;"",'Chart of Accounts'!$A$5:$A$3000,0)),"")</f>
        <v/>
      </c>
      <c r="AI107" s="23">
        <f>IFERROR(INDEX('Chart of Accounts'!$C$5:$C$3000,MATCH(AE107&amp;"",'Chart of Accounts'!$A$5:$A$3000,0))&amp;"|"&amp;INDEX('Chart of Accounts'!$D$5:$D$3000,MATCH(AE107&amp;"",'Chart of Accounts'!$A$5:$A$3000,0)),"")</f>
        <v/>
      </c>
      <c r="AJ107" s="23">
        <f>IFERROR(INDEX('Chart of Accounts'!$C$5:$C$3000,MATCH(X107&amp;"",'Chart of Accounts'!$A$5:$A$3000,0))&amp;"|"&amp;INDEX('Chart of Accounts'!$D$5:$D$3000,MATCH(X107&amp;"",'Chart of Accounts'!$A$5:$A$3000,0)),"")</f>
        <v/>
      </c>
      <c r="AK107" s="23">
        <f>IFERROR(INDEX('Chart of Accounts'!$C$5:$C$3000,MATCH(W107&amp;"",'Chart of Accounts'!$A$5:$A$3000,0))&amp;"|"&amp;INDEX('Chart of Accounts'!$D$5:$D$3000,MATCH(W107&amp;"",'Chart of Accounts'!$A$5:$A$3000,0)),"")</f>
        <v/>
      </c>
      <c r="AL107" s="23">
        <f>IF(LEFT(AG107,8)="Revenue|",-N(S107),0)+IF(LEFT(AH107,8)="Revenue|",-N(T107),0)+IF(LEFT(AI107,8)="Revenue|",N(AF107),0)+IF(LEFT(AJ107,8)="Revenue|",N(AC107),0)+IF(LEFT(AK107,8)="Revenue|",N(U107),0)</f>
        <v/>
      </c>
      <c r="AM107" s="23">
        <f>IF(LEFT(AG107,5)="COGS|",N(S107),0)+IF(LEFT(AH107,5)="COGS|",N(T107),0)+IF(LEFT(AI107,5)="COGS|",-N(AF107),0)+IF(LEFT(AJ107,5)="COGS|",-N(AC107),0)+IF(LEFT(AK107,5)="COGS|",-N(U107),0)</f>
        <v/>
      </c>
      <c r="AN107" s="23">
        <f>IF(LEFT(AG107,8)="Expense|",N(S107),0)+IF(LEFT(AH107,8)="Expense|",N(T107),0)+IF(LEFT(AI107,8)="Expense|",-N(AF107),0)+IF(LEFT(AJ107,8)="Expense|",-N(AC107),0)+IF(LEFT(AK107,8)="Expense|",-N(U107),0)</f>
        <v/>
      </c>
      <c r="AO107" s="23">
        <f>IF(ISNUMBER(MATCH(AG107,{"Expense|employee","Expense|general_admin","Expense|marketing","Expense|utilities","Expense|other_operating"},0)),N(S107),0)+IF(ISNUMBER(MATCH(AH107,{"Expense|employee","Expense|general_admin","Expense|marketing","Expense|utilities","Expense|other_operating"},0)),N(T107),0)+IF(ISNUMBER(MATCH(AI107,{"Expense|employee","Expense|general_admin","Expense|marketing","Expense|utilities","Expense|other_operating"},0)),-N(AF107),0)+IF(ISNUMBER(MATCH(AJ107,{"Expense|employee","Expense|general_admin","Expense|marketing","Expense|utilities","Expense|other_operating"},0)),-N(AC107),0)+IF(ISNUMBER(MATCH(AK107,{"Expense|employee","Expense|general_admin","Expense|marketing","Expense|utilities","Expense|other_operating"},0)),-N(U107),0)</f>
        <v/>
      </c>
      <c r="AP107" s="23">
        <f>IF(AG107="Liability|payable",-N(S107),0)+IF(AH107="Liability|payable",-N(T107),0)+IF(AI107="Liability|payable",N(AF107),0)+IF(AJ107="Liability|payable",N(AC107),0)+IF(AK107="Liability|payable",N(U107),0)</f>
        <v/>
      </c>
      <c r="AQ107" s="23">
        <f>IF(AG107="Liability|accrued",-N(S107),0)+IF(AH107="Liability|accrued",-N(T107),0)+IF(AI107="Liability|accrued",N(AF107),0)+IF(AJ107="Liability|accrued",N(AC107),0)+IF(AK107="Liability|accrued",N(U107),0)</f>
        <v/>
      </c>
      <c r="AR107" s="23">
        <f>IF(AND(N(S107)&lt;&gt;0,AG107=""),1,0)+IF(AND(N(T107)&lt;&gt;0,AH107=""),1,0)+IF(AND(N(AF107)&lt;&gt;0,AI107=""),1,0)+IF(AND(N(AC107)&lt;&gt;0,AJ107=""),1,0)+IF(AND(N(U107)&lt;&gt;0,AK107=""),1,0)</f>
        <v/>
      </c>
    </row>
    <row r="108">
      <c r="A108" s="19" t="n"/>
      <c r="B108" s="14" t="n"/>
      <c r="C108" s="14" t="n"/>
      <c r="D108" s="14" t="n"/>
      <c r="E108" s="14" t="n"/>
      <c r="F108" s="14" t="n"/>
      <c r="G108" s="14" t="n"/>
      <c r="H108" s="20" t="n"/>
      <c r="I108" s="14" t="n"/>
      <c r="J108" s="14" t="n"/>
      <c r="K108" s="20" t="n"/>
      <c r="L108" s="14" t="n"/>
      <c r="M108" s="14" t="n"/>
      <c r="N108" s="14" t="n"/>
      <c r="O108" s="14" t="n"/>
      <c r="P108" s="14" t="n"/>
      <c r="Q108" s="14" t="n"/>
      <c r="R108" s="14" t="n"/>
      <c r="S108" s="21">
        <f>ROUND(ABS(N(G108))*N(H108),2)</f>
        <v/>
      </c>
      <c r="T108" s="21">
        <f>IF(B108="Receipt",ROUND(S108*IFERROR(VLOOKUP(Q108,'Tax Codes'!$A$5:$E$300,5,FALSE),0),2),0)</f>
        <v/>
      </c>
      <c r="U108" s="21">
        <f>IF(B108="Receipt",ROUND(S108*IFERROR(VLOOKUP(R108,'Tax Codes'!$A$5:$E$300,5,FALSE),0),2),0)</f>
        <v/>
      </c>
      <c r="V108" s="16">
        <f>INDEX('Chart of Accounts'!$A$5:$A$3000,MATCH("vat_input",'Chart of Accounts'!$F$5:$F$3000,0))</f>
        <v/>
      </c>
      <c r="W108" s="16">
        <f>INDEX('Chart of Accounts'!$A$5:$A$3000,MATCH("wht_payable",'Chart of Accounts'!$F$5:$F$3000,0))</f>
        <v/>
      </c>
      <c r="X108" s="16">
        <f>IF(M108="",INDEX('Chart of Accounts'!$A$5:$A$3000,MATCH("bank",'Chart of Accounts'!$F$5:$F$3000,0)),M108&amp;"")</f>
        <v/>
      </c>
      <c r="Y108" s="16">
        <f>IF(N108="",INDEX('Chart of Accounts'!$A$5:$A$3000,MATCH("ap",'Chart of Accounts'!$F$5:$F$3000,0)),N108&amp;"")</f>
        <v/>
      </c>
      <c r="Z108" s="16">
        <f>IF(O108="",INDEX('Chart of Accounts'!$A$5:$A$3000,MATCH("materials",'Chart of Accounts'!$F$5:$F$3000,0)),O108&amp;"")</f>
        <v/>
      </c>
      <c r="AA108" s="16">
        <f>IF(IFERROR(INDEX(Warehouses!$C$5:$C$1000,MATCH(C108,Warehouses!$A$5:$A$1000,0))&amp;"","")="",INDEX('Chart of Accounts'!$A$5:$A$3000,MATCH("inventory",'Chart of Accounts'!$F$5:$F$3000,0)),IFERROR(INDEX(Warehouses!$C$5:$C$1000,MATCH(C108,Warehouses!$A$5:$A$1000,0))&amp;"",""))</f>
        <v/>
      </c>
      <c r="AB108" s="16">
        <f>IF(IFERROR(INDEX(Warehouses!$C$5:$C$1000,MATCH(D108,Warehouses!$A$5:$A$1000,0))&amp;"","")="",INDEX('Chart of Accounts'!$A$5:$A$3000,MATCH("inventory",'Chart of Accounts'!$F$5:$F$3000,0)),IFERROR(INDEX(Warehouses!$C$5:$C$1000,MATCH(D108,Warehouses!$A$5:$A$1000,0))&amp;"",""))</f>
        <v/>
      </c>
      <c r="AC108" s="21">
        <f>IF(B108="Receipt",N(K108),0)</f>
        <v/>
      </c>
      <c r="AD108" s="16">
        <f>IF(B108="Receipt",AA108,IF(B108="Issue",Z108,IF(B108="Transfer",AB108,IF(N(G108)&gt;=0,AA108,INDEX('Chart of Accounts'!$A$5:$A$3000,MATCH("stock_adjust",'Chart of Accounts'!$F$5:$F$3000,0))))))</f>
        <v/>
      </c>
      <c r="AE108" s="16">
        <f>IF(B108="Receipt",Y108,IF(B108="Adjustment",IF(N(G108)&gt;=0,INDEX('Chart of Accounts'!$A$5:$A$3000,MATCH("stock_adjust",'Chart of Accounts'!$F$5:$F$3000,0)),AA108),AA108))</f>
        <v/>
      </c>
      <c r="AF108" s="21">
        <f>S108+T108-U108-AC108</f>
        <v/>
      </c>
      <c r="AG108" s="23">
        <f>IFERROR(INDEX('Chart of Accounts'!$C$5:$C$3000,MATCH(AD108&amp;"",'Chart of Accounts'!$A$5:$A$3000,0))&amp;"|"&amp;INDEX('Chart of Accounts'!$D$5:$D$3000,MATCH(AD108&amp;"",'Chart of Accounts'!$A$5:$A$3000,0)),"")</f>
        <v/>
      </c>
      <c r="AH108" s="23">
        <f>IFERROR(INDEX('Chart of Accounts'!$C$5:$C$3000,MATCH(V108&amp;"",'Chart of Accounts'!$A$5:$A$3000,0))&amp;"|"&amp;INDEX('Chart of Accounts'!$D$5:$D$3000,MATCH(V108&amp;"",'Chart of Accounts'!$A$5:$A$3000,0)),"")</f>
        <v/>
      </c>
      <c r="AI108" s="23">
        <f>IFERROR(INDEX('Chart of Accounts'!$C$5:$C$3000,MATCH(AE108&amp;"",'Chart of Accounts'!$A$5:$A$3000,0))&amp;"|"&amp;INDEX('Chart of Accounts'!$D$5:$D$3000,MATCH(AE108&amp;"",'Chart of Accounts'!$A$5:$A$3000,0)),"")</f>
        <v/>
      </c>
      <c r="AJ108" s="23">
        <f>IFERROR(INDEX('Chart of Accounts'!$C$5:$C$3000,MATCH(X108&amp;"",'Chart of Accounts'!$A$5:$A$3000,0))&amp;"|"&amp;INDEX('Chart of Accounts'!$D$5:$D$3000,MATCH(X108&amp;"",'Chart of Accounts'!$A$5:$A$3000,0)),"")</f>
        <v/>
      </c>
      <c r="AK108" s="23">
        <f>IFERROR(INDEX('Chart of Accounts'!$C$5:$C$3000,MATCH(W108&amp;"",'Chart of Accounts'!$A$5:$A$3000,0))&amp;"|"&amp;INDEX('Chart of Accounts'!$D$5:$D$3000,MATCH(W108&amp;"",'Chart of Accounts'!$A$5:$A$3000,0)),"")</f>
        <v/>
      </c>
      <c r="AL108" s="23">
        <f>IF(LEFT(AG108,8)="Revenue|",-N(S108),0)+IF(LEFT(AH108,8)="Revenue|",-N(T108),0)+IF(LEFT(AI108,8)="Revenue|",N(AF108),0)+IF(LEFT(AJ108,8)="Revenue|",N(AC108),0)+IF(LEFT(AK108,8)="Revenue|",N(U108),0)</f>
        <v/>
      </c>
      <c r="AM108" s="23">
        <f>IF(LEFT(AG108,5)="COGS|",N(S108),0)+IF(LEFT(AH108,5)="COGS|",N(T108),0)+IF(LEFT(AI108,5)="COGS|",-N(AF108),0)+IF(LEFT(AJ108,5)="COGS|",-N(AC108),0)+IF(LEFT(AK108,5)="COGS|",-N(U108),0)</f>
        <v/>
      </c>
      <c r="AN108" s="23">
        <f>IF(LEFT(AG108,8)="Expense|",N(S108),0)+IF(LEFT(AH108,8)="Expense|",N(T108),0)+IF(LEFT(AI108,8)="Expense|",-N(AF108),0)+IF(LEFT(AJ108,8)="Expense|",-N(AC108),0)+IF(LEFT(AK108,8)="Expense|",-N(U108),0)</f>
        <v/>
      </c>
      <c r="AO108" s="23">
        <f>IF(ISNUMBER(MATCH(AG108,{"Expense|employee","Expense|general_admin","Expense|marketing","Expense|utilities","Expense|other_operating"},0)),N(S108),0)+IF(ISNUMBER(MATCH(AH108,{"Expense|employee","Expense|general_admin","Expense|marketing","Expense|utilities","Expense|other_operating"},0)),N(T108),0)+IF(ISNUMBER(MATCH(AI108,{"Expense|employee","Expense|general_admin","Expense|marketing","Expense|utilities","Expense|other_operating"},0)),-N(AF108),0)+IF(ISNUMBER(MATCH(AJ108,{"Expense|employee","Expense|general_admin","Expense|marketing","Expense|utilities","Expense|other_operating"},0)),-N(AC108),0)+IF(ISNUMBER(MATCH(AK108,{"Expense|employee","Expense|general_admin","Expense|marketing","Expense|utilities","Expense|other_operating"},0)),-N(U108),0)</f>
        <v/>
      </c>
      <c r="AP108" s="23">
        <f>IF(AG108="Liability|payable",-N(S108),0)+IF(AH108="Liability|payable",-N(T108),0)+IF(AI108="Liability|payable",N(AF108),0)+IF(AJ108="Liability|payable",N(AC108),0)+IF(AK108="Liability|payable",N(U108),0)</f>
        <v/>
      </c>
      <c r="AQ108" s="23">
        <f>IF(AG108="Liability|accrued",-N(S108),0)+IF(AH108="Liability|accrued",-N(T108),0)+IF(AI108="Liability|accrued",N(AF108),0)+IF(AJ108="Liability|accrued",N(AC108),0)+IF(AK108="Liability|accrued",N(U108),0)</f>
        <v/>
      </c>
      <c r="AR108" s="23">
        <f>IF(AND(N(S108)&lt;&gt;0,AG108=""),1,0)+IF(AND(N(T108)&lt;&gt;0,AH108=""),1,0)+IF(AND(N(AF108)&lt;&gt;0,AI108=""),1,0)+IF(AND(N(AC108)&lt;&gt;0,AJ108=""),1,0)+IF(AND(N(U108)&lt;&gt;0,AK108=""),1,0)</f>
        <v/>
      </c>
    </row>
    <row r="109">
      <c r="A109" s="19" t="n"/>
      <c r="B109" s="14" t="n"/>
      <c r="C109" s="14" t="n"/>
      <c r="D109" s="14" t="n"/>
      <c r="E109" s="14" t="n"/>
      <c r="F109" s="14" t="n"/>
      <c r="G109" s="14" t="n"/>
      <c r="H109" s="20" t="n"/>
      <c r="I109" s="14" t="n"/>
      <c r="J109" s="14" t="n"/>
      <c r="K109" s="20" t="n"/>
      <c r="L109" s="14" t="n"/>
      <c r="M109" s="14" t="n"/>
      <c r="N109" s="14" t="n"/>
      <c r="O109" s="14" t="n"/>
      <c r="P109" s="14" t="n"/>
      <c r="Q109" s="14" t="n"/>
      <c r="R109" s="14" t="n"/>
      <c r="S109" s="21">
        <f>ROUND(ABS(N(G109))*N(H109),2)</f>
        <v/>
      </c>
      <c r="T109" s="21">
        <f>IF(B109="Receipt",ROUND(S109*IFERROR(VLOOKUP(Q109,'Tax Codes'!$A$5:$E$300,5,FALSE),0),2),0)</f>
        <v/>
      </c>
      <c r="U109" s="21">
        <f>IF(B109="Receipt",ROUND(S109*IFERROR(VLOOKUP(R109,'Tax Codes'!$A$5:$E$300,5,FALSE),0),2),0)</f>
        <v/>
      </c>
      <c r="V109" s="16">
        <f>INDEX('Chart of Accounts'!$A$5:$A$3000,MATCH("vat_input",'Chart of Accounts'!$F$5:$F$3000,0))</f>
        <v/>
      </c>
      <c r="W109" s="16">
        <f>INDEX('Chart of Accounts'!$A$5:$A$3000,MATCH("wht_payable",'Chart of Accounts'!$F$5:$F$3000,0))</f>
        <v/>
      </c>
      <c r="X109" s="16">
        <f>IF(M109="",INDEX('Chart of Accounts'!$A$5:$A$3000,MATCH("bank",'Chart of Accounts'!$F$5:$F$3000,0)),M109&amp;"")</f>
        <v/>
      </c>
      <c r="Y109" s="16">
        <f>IF(N109="",INDEX('Chart of Accounts'!$A$5:$A$3000,MATCH("ap",'Chart of Accounts'!$F$5:$F$3000,0)),N109&amp;"")</f>
        <v/>
      </c>
      <c r="Z109" s="16">
        <f>IF(O109="",INDEX('Chart of Accounts'!$A$5:$A$3000,MATCH("materials",'Chart of Accounts'!$F$5:$F$3000,0)),O109&amp;"")</f>
        <v/>
      </c>
      <c r="AA109" s="16">
        <f>IF(IFERROR(INDEX(Warehouses!$C$5:$C$1000,MATCH(C109,Warehouses!$A$5:$A$1000,0))&amp;"","")="",INDEX('Chart of Accounts'!$A$5:$A$3000,MATCH("inventory",'Chart of Accounts'!$F$5:$F$3000,0)),IFERROR(INDEX(Warehouses!$C$5:$C$1000,MATCH(C109,Warehouses!$A$5:$A$1000,0))&amp;"",""))</f>
        <v/>
      </c>
      <c r="AB109" s="16">
        <f>IF(IFERROR(INDEX(Warehouses!$C$5:$C$1000,MATCH(D109,Warehouses!$A$5:$A$1000,0))&amp;"","")="",INDEX('Chart of Accounts'!$A$5:$A$3000,MATCH("inventory",'Chart of Accounts'!$F$5:$F$3000,0)),IFERROR(INDEX(Warehouses!$C$5:$C$1000,MATCH(D109,Warehouses!$A$5:$A$1000,0))&amp;"",""))</f>
        <v/>
      </c>
      <c r="AC109" s="21">
        <f>IF(B109="Receipt",N(K109),0)</f>
        <v/>
      </c>
      <c r="AD109" s="16">
        <f>IF(B109="Receipt",AA109,IF(B109="Issue",Z109,IF(B109="Transfer",AB109,IF(N(G109)&gt;=0,AA109,INDEX('Chart of Accounts'!$A$5:$A$3000,MATCH("stock_adjust",'Chart of Accounts'!$F$5:$F$3000,0))))))</f>
        <v/>
      </c>
      <c r="AE109" s="16">
        <f>IF(B109="Receipt",Y109,IF(B109="Adjustment",IF(N(G109)&gt;=0,INDEX('Chart of Accounts'!$A$5:$A$3000,MATCH("stock_adjust",'Chart of Accounts'!$F$5:$F$3000,0)),AA109),AA109))</f>
        <v/>
      </c>
      <c r="AF109" s="21">
        <f>S109+T109-U109-AC109</f>
        <v/>
      </c>
      <c r="AG109" s="23">
        <f>IFERROR(INDEX('Chart of Accounts'!$C$5:$C$3000,MATCH(AD109&amp;"",'Chart of Accounts'!$A$5:$A$3000,0))&amp;"|"&amp;INDEX('Chart of Accounts'!$D$5:$D$3000,MATCH(AD109&amp;"",'Chart of Accounts'!$A$5:$A$3000,0)),"")</f>
        <v/>
      </c>
      <c r="AH109" s="23">
        <f>IFERROR(INDEX('Chart of Accounts'!$C$5:$C$3000,MATCH(V109&amp;"",'Chart of Accounts'!$A$5:$A$3000,0))&amp;"|"&amp;INDEX('Chart of Accounts'!$D$5:$D$3000,MATCH(V109&amp;"",'Chart of Accounts'!$A$5:$A$3000,0)),"")</f>
        <v/>
      </c>
      <c r="AI109" s="23">
        <f>IFERROR(INDEX('Chart of Accounts'!$C$5:$C$3000,MATCH(AE109&amp;"",'Chart of Accounts'!$A$5:$A$3000,0))&amp;"|"&amp;INDEX('Chart of Accounts'!$D$5:$D$3000,MATCH(AE109&amp;"",'Chart of Accounts'!$A$5:$A$3000,0)),"")</f>
        <v/>
      </c>
      <c r="AJ109" s="23">
        <f>IFERROR(INDEX('Chart of Accounts'!$C$5:$C$3000,MATCH(X109&amp;"",'Chart of Accounts'!$A$5:$A$3000,0))&amp;"|"&amp;INDEX('Chart of Accounts'!$D$5:$D$3000,MATCH(X109&amp;"",'Chart of Accounts'!$A$5:$A$3000,0)),"")</f>
        <v/>
      </c>
      <c r="AK109" s="23">
        <f>IFERROR(INDEX('Chart of Accounts'!$C$5:$C$3000,MATCH(W109&amp;"",'Chart of Accounts'!$A$5:$A$3000,0))&amp;"|"&amp;INDEX('Chart of Accounts'!$D$5:$D$3000,MATCH(W109&amp;"",'Chart of Accounts'!$A$5:$A$3000,0)),"")</f>
        <v/>
      </c>
      <c r="AL109" s="23">
        <f>IF(LEFT(AG109,8)="Revenue|",-N(S109),0)+IF(LEFT(AH109,8)="Revenue|",-N(T109),0)+IF(LEFT(AI109,8)="Revenue|",N(AF109),0)+IF(LEFT(AJ109,8)="Revenue|",N(AC109),0)+IF(LEFT(AK109,8)="Revenue|",N(U109),0)</f>
        <v/>
      </c>
      <c r="AM109" s="23">
        <f>IF(LEFT(AG109,5)="COGS|",N(S109),0)+IF(LEFT(AH109,5)="COGS|",N(T109),0)+IF(LEFT(AI109,5)="COGS|",-N(AF109),0)+IF(LEFT(AJ109,5)="COGS|",-N(AC109),0)+IF(LEFT(AK109,5)="COGS|",-N(U109),0)</f>
        <v/>
      </c>
      <c r="AN109" s="23">
        <f>IF(LEFT(AG109,8)="Expense|",N(S109),0)+IF(LEFT(AH109,8)="Expense|",N(T109),0)+IF(LEFT(AI109,8)="Expense|",-N(AF109),0)+IF(LEFT(AJ109,8)="Expense|",-N(AC109),0)+IF(LEFT(AK109,8)="Expense|",-N(U109),0)</f>
        <v/>
      </c>
      <c r="AO109" s="23">
        <f>IF(ISNUMBER(MATCH(AG109,{"Expense|employee","Expense|general_admin","Expense|marketing","Expense|utilities","Expense|other_operating"},0)),N(S109),0)+IF(ISNUMBER(MATCH(AH109,{"Expense|employee","Expense|general_admin","Expense|marketing","Expense|utilities","Expense|other_operating"},0)),N(T109),0)+IF(ISNUMBER(MATCH(AI109,{"Expense|employee","Expense|general_admin","Expense|marketing","Expense|utilities","Expense|other_operating"},0)),-N(AF109),0)+IF(ISNUMBER(MATCH(AJ109,{"Expense|employee","Expense|general_admin","Expense|marketing","Expense|utilities","Expense|other_operating"},0)),-N(AC109),0)+IF(ISNUMBER(MATCH(AK109,{"Expense|employee","Expense|general_admin","Expense|marketing","Expense|utilities","Expense|other_operating"},0)),-N(U109),0)</f>
        <v/>
      </c>
      <c r="AP109" s="23">
        <f>IF(AG109="Liability|payable",-N(S109),0)+IF(AH109="Liability|payable",-N(T109),0)+IF(AI109="Liability|payable",N(AF109),0)+IF(AJ109="Liability|payable",N(AC109),0)+IF(AK109="Liability|payable",N(U109),0)</f>
        <v/>
      </c>
      <c r="AQ109" s="23">
        <f>IF(AG109="Liability|accrued",-N(S109),0)+IF(AH109="Liability|accrued",-N(T109),0)+IF(AI109="Liability|accrued",N(AF109),0)+IF(AJ109="Liability|accrued",N(AC109),0)+IF(AK109="Liability|accrued",N(U109),0)</f>
        <v/>
      </c>
      <c r="AR109" s="23">
        <f>IF(AND(N(S109)&lt;&gt;0,AG109=""),1,0)+IF(AND(N(T109)&lt;&gt;0,AH109=""),1,0)+IF(AND(N(AF109)&lt;&gt;0,AI109=""),1,0)+IF(AND(N(AC109)&lt;&gt;0,AJ109=""),1,0)+IF(AND(N(U109)&lt;&gt;0,AK109=""),1,0)</f>
        <v/>
      </c>
    </row>
    <row r="110">
      <c r="A110" s="19" t="n"/>
      <c r="B110" s="14" t="n"/>
      <c r="C110" s="14" t="n"/>
      <c r="D110" s="14" t="n"/>
      <c r="E110" s="14" t="n"/>
      <c r="F110" s="14" t="n"/>
      <c r="G110" s="14" t="n"/>
      <c r="H110" s="20" t="n"/>
      <c r="I110" s="14" t="n"/>
      <c r="J110" s="14" t="n"/>
      <c r="K110" s="20" t="n"/>
      <c r="L110" s="14" t="n"/>
      <c r="M110" s="14" t="n"/>
      <c r="N110" s="14" t="n"/>
      <c r="O110" s="14" t="n"/>
      <c r="P110" s="14" t="n"/>
      <c r="Q110" s="14" t="n"/>
      <c r="R110" s="14" t="n"/>
      <c r="S110" s="21">
        <f>ROUND(ABS(N(G110))*N(H110),2)</f>
        <v/>
      </c>
      <c r="T110" s="21">
        <f>IF(B110="Receipt",ROUND(S110*IFERROR(VLOOKUP(Q110,'Tax Codes'!$A$5:$E$300,5,FALSE),0),2),0)</f>
        <v/>
      </c>
      <c r="U110" s="21">
        <f>IF(B110="Receipt",ROUND(S110*IFERROR(VLOOKUP(R110,'Tax Codes'!$A$5:$E$300,5,FALSE),0),2),0)</f>
        <v/>
      </c>
      <c r="V110" s="16">
        <f>INDEX('Chart of Accounts'!$A$5:$A$3000,MATCH("vat_input",'Chart of Accounts'!$F$5:$F$3000,0))</f>
        <v/>
      </c>
      <c r="W110" s="16">
        <f>INDEX('Chart of Accounts'!$A$5:$A$3000,MATCH("wht_payable",'Chart of Accounts'!$F$5:$F$3000,0))</f>
        <v/>
      </c>
      <c r="X110" s="16">
        <f>IF(M110="",INDEX('Chart of Accounts'!$A$5:$A$3000,MATCH("bank",'Chart of Accounts'!$F$5:$F$3000,0)),M110&amp;"")</f>
        <v/>
      </c>
      <c r="Y110" s="16">
        <f>IF(N110="",INDEX('Chart of Accounts'!$A$5:$A$3000,MATCH("ap",'Chart of Accounts'!$F$5:$F$3000,0)),N110&amp;"")</f>
        <v/>
      </c>
      <c r="Z110" s="16">
        <f>IF(O110="",INDEX('Chart of Accounts'!$A$5:$A$3000,MATCH("materials",'Chart of Accounts'!$F$5:$F$3000,0)),O110&amp;"")</f>
        <v/>
      </c>
      <c r="AA110" s="16">
        <f>IF(IFERROR(INDEX(Warehouses!$C$5:$C$1000,MATCH(C110,Warehouses!$A$5:$A$1000,0))&amp;"","")="",INDEX('Chart of Accounts'!$A$5:$A$3000,MATCH("inventory",'Chart of Accounts'!$F$5:$F$3000,0)),IFERROR(INDEX(Warehouses!$C$5:$C$1000,MATCH(C110,Warehouses!$A$5:$A$1000,0))&amp;"",""))</f>
        <v/>
      </c>
      <c r="AB110" s="16">
        <f>IF(IFERROR(INDEX(Warehouses!$C$5:$C$1000,MATCH(D110,Warehouses!$A$5:$A$1000,0))&amp;"","")="",INDEX('Chart of Accounts'!$A$5:$A$3000,MATCH("inventory",'Chart of Accounts'!$F$5:$F$3000,0)),IFERROR(INDEX(Warehouses!$C$5:$C$1000,MATCH(D110,Warehouses!$A$5:$A$1000,0))&amp;"",""))</f>
        <v/>
      </c>
      <c r="AC110" s="21">
        <f>IF(B110="Receipt",N(K110),0)</f>
        <v/>
      </c>
      <c r="AD110" s="16">
        <f>IF(B110="Receipt",AA110,IF(B110="Issue",Z110,IF(B110="Transfer",AB110,IF(N(G110)&gt;=0,AA110,INDEX('Chart of Accounts'!$A$5:$A$3000,MATCH("stock_adjust",'Chart of Accounts'!$F$5:$F$3000,0))))))</f>
        <v/>
      </c>
      <c r="AE110" s="16">
        <f>IF(B110="Receipt",Y110,IF(B110="Adjustment",IF(N(G110)&gt;=0,INDEX('Chart of Accounts'!$A$5:$A$3000,MATCH("stock_adjust",'Chart of Accounts'!$F$5:$F$3000,0)),AA110),AA110))</f>
        <v/>
      </c>
      <c r="AF110" s="21">
        <f>S110+T110-U110-AC110</f>
        <v/>
      </c>
      <c r="AG110" s="23">
        <f>IFERROR(INDEX('Chart of Accounts'!$C$5:$C$3000,MATCH(AD110&amp;"",'Chart of Accounts'!$A$5:$A$3000,0))&amp;"|"&amp;INDEX('Chart of Accounts'!$D$5:$D$3000,MATCH(AD110&amp;"",'Chart of Accounts'!$A$5:$A$3000,0)),"")</f>
        <v/>
      </c>
      <c r="AH110" s="23">
        <f>IFERROR(INDEX('Chart of Accounts'!$C$5:$C$3000,MATCH(V110&amp;"",'Chart of Accounts'!$A$5:$A$3000,0))&amp;"|"&amp;INDEX('Chart of Accounts'!$D$5:$D$3000,MATCH(V110&amp;"",'Chart of Accounts'!$A$5:$A$3000,0)),"")</f>
        <v/>
      </c>
      <c r="AI110" s="23">
        <f>IFERROR(INDEX('Chart of Accounts'!$C$5:$C$3000,MATCH(AE110&amp;"",'Chart of Accounts'!$A$5:$A$3000,0))&amp;"|"&amp;INDEX('Chart of Accounts'!$D$5:$D$3000,MATCH(AE110&amp;"",'Chart of Accounts'!$A$5:$A$3000,0)),"")</f>
        <v/>
      </c>
      <c r="AJ110" s="23">
        <f>IFERROR(INDEX('Chart of Accounts'!$C$5:$C$3000,MATCH(X110&amp;"",'Chart of Accounts'!$A$5:$A$3000,0))&amp;"|"&amp;INDEX('Chart of Accounts'!$D$5:$D$3000,MATCH(X110&amp;"",'Chart of Accounts'!$A$5:$A$3000,0)),"")</f>
        <v/>
      </c>
      <c r="AK110" s="23">
        <f>IFERROR(INDEX('Chart of Accounts'!$C$5:$C$3000,MATCH(W110&amp;"",'Chart of Accounts'!$A$5:$A$3000,0))&amp;"|"&amp;INDEX('Chart of Accounts'!$D$5:$D$3000,MATCH(W110&amp;"",'Chart of Accounts'!$A$5:$A$3000,0)),"")</f>
        <v/>
      </c>
      <c r="AL110" s="23">
        <f>IF(LEFT(AG110,8)="Revenue|",-N(S110),0)+IF(LEFT(AH110,8)="Revenue|",-N(T110),0)+IF(LEFT(AI110,8)="Revenue|",N(AF110),0)+IF(LEFT(AJ110,8)="Revenue|",N(AC110),0)+IF(LEFT(AK110,8)="Revenue|",N(U110),0)</f>
        <v/>
      </c>
      <c r="AM110" s="23">
        <f>IF(LEFT(AG110,5)="COGS|",N(S110),0)+IF(LEFT(AH110,5)="COGS|",N(T110),0)+IF(LEFT(AI110,5)="COGS|",-N(AF110),0)+IF(LEFT(AJ110,5)="COGS|",-N(AC110),0)+IF(LEFT(AK110,5)="COGS|",-N(U110),0)</f>
        <v/>
      </c>
      <c r="AN110" s="23">
        <f>IF(LEFT(AG110,8)="Expense|",N(S110),0)+IF(LEFT(AH110,8)="Expense|",N(T110),0)+IF(LEFT(AI110,8)="Expense|",-N(AF110),0)+IF(LEFT(AJ110,8)="Expense|",-N(AC110),0)+IF(LEFT(AK110,8)="Expense|",-N(U110),0)</f>
        <v/>
      </c>
      <c r="AO110" s="23">
        <f>IF(ISNUMBER(MATCH(AG110,{"Expense|employee","Expense|general_admin","Expense|marketing","Expense|utilities","Expense|other_operating"},0)),N(S110),0)+IF(ISNUMBER(MATCH(AH110,{"Expense|employee","Expense|general_admin","Expense|marketing","Expense|utilities","Expense|other_operating"},0)),N(T110),0)+IF(ISNUMBER(MATCH(AI110,{"Expense|employee","Expense|general_admin","Expense|marketing","Expense|utilities","Expense|other_operating"},0)),-N(AF110),0)+IF(ISNUMBER(MATCH(AJ110,{"Expense|employee","Expense|general_admin","Expense|marketing","Expense|utilities","Expense|other_operating"},0)),-N(AC110),0)+IF(ISNUMBER(MATCH(AK110,{"Expense|employee","Expense|general_admin","Expense|marketing","Expense|utilities","Expense|other_operating"},0)),-N(U110),0)</f>
        <v/>
      </c>
      <c r="AP110" s="23">
        <f>IF(AG110="Liability|payable",-N(S110),0)+IF(AH110="Liability|payable",-N(T110),0)+IF(AI110="Liability|payable",N(AF110),0)+IF(AJ110="Liability|payable",N(AC110),0)+IF(AK110="Liability|payable",N(U110),0)</f>
        <v/>
      </c>
      <c r="AQ110" s="23">
        <f>IF(AG110="Liability|accrued",-N(S110),0)+IF(AH110="Liability|accrued",-N(T110),0)+IF(AI110="Liability|accrued",N(AF110),0)+IF(AJ110="Liability|accrued",N(AC110),0)+IF(AK110="Liability|accrued",N(U110),0)</f>
        <v/>
      </c>
      <c r="AR110" s="23">
        <f>IF(AND(N(S110)&lt;&gt;0,AG110=""),1,0)+IF(AND(N(T110)&lt;&gt;0,AH110=""),1,0)+IF(AND(N(AF110)&lt;&gt;0,AI110=""),1,0)+IF(AND(N(AC110)&lt;&gt;0,AJ110=""),1,0)+IF(AND(N(U110)&lt;&gt;0,AK110=""),1,0)</f>
        <v/>
      </c>
    </row>
    <row r="111">
      <c r="A111" s="19" t="n"/>
      <c r="B111" s="14" t="n"/>
      <c r="C111" s="14" t="n"/>
      <c r="D111" s="14" t="n"/>
      <c r="E111" s="14" t="n"/>
      <c r="F111" s="14" t="n"/>
      <c r="G111" s="14" t="n"/>
      <c r="H111" s="20" t="n"/>
      <c r="I111" s="14" t="n"/>
      <c r="J111" s="14" t="n"/>
      <c r="K111" s="20" t="n"/>
      <c r="L111" s="14" t="n"/>
      <c r="M111" s="14" t="n"/>
      <c r="N111" s="14" t="n"/>
      <c r="O111" s="14" t="n"/>
      <c r="P111" s="14" t="n"/>
      <c r="Q111" s="14" t="n"/>
      <c r="R111" s="14" t="n"/>
      <c r="S111" s="21">
        <f>ROUND(ABS(N(G111))*N(H111),2)</f>
        <v/>
      </c>
      <c r="T111" s="21">
        <f>IF(B111="Receipt",ROUND(S111*IFERROR(VLOOKUP(Q111,'Tax Codes'!$A$5:$E$300,5,FALSE),0),2),0)</f>
        <v/>
      </c>
      <c r="U111" s="21">
        <f>IF(B111="Receipt",ROUND(S111*IFERROR(VLOOKUP(R111,'Tax Codes'!$A$5:$E$300,5,FALSE),0),2),0)</f>
        <v/>
      </c>
      <c r="V111" s="16">
        <f>INDEX('Chart of Accounts'!$A$5:$A$3000,MATCH("vat_input",'Chart of Accounts'!$F$5:$F$3000,0))</f>
        <v/>
      </c>
      <c r="W111" s="16">
        <f>INDEX('Chart of Accounts'!$A$5:$A$3000,MATCH("wht_payable",'Chart of Accounts'!$F$5:$F$3000,0))</f>
        <v/>
      </c>
      <c r="X111" s="16">
        <f>IF(M111="",INDEX('Chart of Accounts'!$A$5:$A$3000,MATCH("bank",'Chart of Accounts'!$F$5:$F$3000,0)),M111&amp;"")</f>
        <v/>
      </c>
      <c r="Y111" s="16">
        <f>IF(N111="",INDEX('Chart of Accounts'!$A$5:$A$3000,MATCH("ap",'Chart of Accounts'!$F$5:$F$3000,0)),N111&amp;"")</f>
        <v/>
      </c>
      <c r="Z111" s="16">
        <f>IF(O111="",INDEX('Chart of Accounts'!$A$5:$A$3000,MATCH("materials",'Chart of Accounts'!$F$5:$F$3000,0)),O111&amp;"")</f>
        <v/>
      </c>
      <c r="AA111" s="16">
        <f>IF(IFERROR(INDEX(Warehouses!$C$5:$C$1000,MATCH(C111,Warehouses!$A$5:$A$1000,0))&amp;"","")="",INDEX('Chart of Accounts'!$A$5:$A$3000,MATCH("inventory",'Chart of Accounts'!$F$5:$F$3000,0)),IFERROR(INDEX(Warehouses!$C$5:$C$1000,MATCH(C111,Warehouses!$A$5:$A$1000,0))&amp;"",""))</f>
        <v/>
      </c>
      <c r="AB111" s="16">
        <f>IF(IFERROR(INDEX(Warehouses!$C$5:$C$1000,MATCH(D111,Warehouses!$A$5:$A$1000,0))&amp;"","")="",INDEX('Chart of Accounts'!$A$5:$A$3000,MATCH("inventory",'Chart of Accounts'!$F$5:$F$3000,0)),IFERROR(INDEX(Warehouses!$C$5:$C$1000,MATCH(D111,Warehouses!$A$5:$A$1000,0))&amp;"",""))</f>
        <v/>
      </c>
      <c r="AC111" s="21">
        <f>IF(B111="Receipt",N(K111),0)</f>
        <v/>
      </c>
      <c r="AD111" s="16">
        <f>IF(B111="Receipt",AA111,IF(B111="Issue",Z111,IF(B111="Transfer",AB111,IF(N(G111)&gt;=0,AA111,INDEX('Chart of Accounts'!$A$5:$A$3000,MATCH("stock_adjust",'Chart of Accounts'!$F$5:$F$3000,0))))))</f>
        <v/>
      </c>
      <c r="AE111" s="16">
        <f>IF(B111="Receipt",Y111,IF(B111="Adjustment",IF(N(G111)&gt;=0,INDEX('Chart of Accounts'!$A$5:$A$3000,MATCH("stock_adjust",'Chart of Accounts'!$F$5:$F$3000,0)),AA111),AA111))</f>
        <v/>
      </c>
      <c r="AF111" s="21">
        <f>S111+T111-U111-AC111</f>
        <v/>
      </c>
      <c r="AG111" s="23">
        <f>IFERROR(INDEX('Chart of Accounts'!$C$5:$C$3000,MATCH(AD111&amp;"",'Chart of Accounts'!$A$5:$A$3000,0))&amp;"|"&amp;INDEX('Chart of Accounts'!$D$5:$D$3000,MATCH(AD111&amp;"",'Chart of Accounts'!$A$5:$A$3000,0)),"")</f>
        <v/>
      </c>
      <c r="AH111" s="23">
        <f>IFERROR(INDEX('Chart of Accounts'!$C$5:$C$3000,MATCH(V111&amp;"",'Chart of Accounts'!$A$5:$A$3000,0))&amp;"|"&amp;INDEX('Chart of Accounts'!$D$5:$D$3000,MATCH(V111&amp;"",'Chart of Accounts'!$A$5:$A$3000,0)),"")</f>
        <v/>
      </c>
      <c r="AI111" s="23">
        <f>IFERROR(INDEX('Chart of Accounts'!$C$5:$C$3000,MATCH(AE111&amp;"",'Chart of Accounts'!$A$5:$A$3000,0))&amp;"|"&amp;INDEX('Chart of Accounts'!$D$5:$D$3000,MATCH(AE111&amp;"",'Chart of Accounts'!$A$5:$A$3000,0)),"")</f>
        <v/>
      </c>
      <c r="AJ111" s="23">
        <f>IFERROR(INDEX('Chart of Accounts'!$C$5:$C$3000,MATCH(X111&amp;"",'Chart of Accounts'!$A$5:$A$3000,0))&amp;"|"&amp;INDEX('Chart of Accounts'!$D$5:$D$3000,MATCH(X111&amp;"",'Chart of Accounts'!$A$5:$A$3000,0)),"")</f>
        <v/>
      </c>
      <c r="AK111" s="23">
        <f>IFERROR(INDEX('Chart of Accounts'!$C$5:$C$3000,MATCH(W111&amp;"",'Chart of Accounts'!$A$5:$A$3000,0))&amp;"|"&amp;INDEX('Chart of Accounts'!$D$5:$D$3000,MATCH(W111&amp;"",'Chart of Accounts'!$A$5:$A$3000,0)),"")</f>
        <v/>
      </c>
      <c r="AL111" s="23">
        <f>IF(LEFT(AG111,8)="Revenue|",-N(S111),0)+IF(LEFT(AH111,8)="Revenue|",-N(T111),0)+IF(LEFT(AI111,8)="Revenue|",N(AF111),0)+IF(LEFT(AJ111,8)="Revenue|",N(AC111),0)+IF(LEFT(AK111,8)="Revenue|",N(U111),0)</f>
        <v/>
      </c>
      <c r="AM111" s="23">
        <f>IF(LEFT(AG111,5)="COGS|",N(S111),0)+IF(LEFT(AH111,5)="COGS|",N(T111),0)+IF(LEFT(AI111,5)="COGS|",-N(AF111),0)+IF(LEFT(AJ111,5)="COGS|",-N(AC111),0)+IF(LEFT(AK111,5)="COGS|",-N(U111),0)</f>
        <v/>
      </c>
      <c r="AN111" s="23">
        <f>IF(LEFT(AG111,8)="Expense|",N(S111),0)+IF(LEFT(AH111,8)="Expense|",N(T111),0)+IF(LEFT(AI111,8)="Expense|",-N(AF111),0)+IF(LEFT(AJ111,8)="Expense|",-N(AC111),0)+IF(LEFT(AK111,8)="Expense|",-N(U111),0)</f>
        <v/>
      </c>
      <c r="AO111" s="23">
        <f>IF(ISNUMBER(MATCH(AG111,{"Expense|employee","Expense|general_admin","Expense|marketing","Expense|utilities","Expense|other_operating"},0)),N(S111),0)+IF(ISNUMBER(MATCH(AH111,{"Expense|employee","Expense|general_admin","Expense|marketing","Expense|utilities","Expense|other_operating"},0)),N(T111),0)+IF(ISNUMBER(MATCH(AI111,{"Expense|employee","Expense|general_admin","Expense|marketing","Expense|utilities","Expense|other_operating"},0)),-N(AF111),0)+IF(ISNUMBER(MATCH(AJ111,{"Expense|employee","Expense|general_admin","Expense|marketing","Expense|utilities","Expense|other_operating"},0)),-N(AC111),0)+IF(ISNUMBER(MATCH(AK111,{"Expense|employee","Expense|general_admin","Expense|marketing","Expense|utilities","Expense|other_operating"},0)),-N(U111),0)</f>
        <v/>
      </c>
      <c r="AP111" s="23">
        <f>IF(AG111="Liability|payable",-N(S111),0)+IF(AH111="Liability|payable",-N(T111),0)+IF(AI111="Liability|payable",N(AF111),0)+IF(AJ111="Liability|payable",N(AC111),0)+IF(AK111="Liability|payable",N(U111),0)</f>
        <v/>
      </c>
      <c r="AQ111" s="23">
        <f>IF(AG111="Liability|accrued",-N(S111),0)+IF(AH111="Liability|accrued",-N(T111),0)+IF(AI111="Liability|accrued",N(AF111),0)+IF(AJ111="Liability|accrued",N(AC111),0)+IF(AK111="Liability|accrued",N(U111),0)</f>
        <v/>
      </c>
      <c r="AR111" s="23">
        <f>IF(AND(N(S111)&lt;&gt;0,AG111=""),1,0)+IF(AND(N(T111)&lt;&gt;0,AH111=""),1,0)+IF(AND(N(AF111)&lt;&gt;0,AI111=""),1,0)+IF(AND(N(AC111)&lt;&gt;0,AJ111=""),1,0)+IF(AND(N(U111)&lt;&gt;0,AK111=""),1,0)</f>
        <v/>
      </c>
    </row>
    <row r="112">
      <c r="A112" s="19" t="n"/>
      <c r="B112" s="14" t="n"/>
      <c r="C112" s="14" t="n"/>
      <c r="D112" s="14" t="n"/>
      <c r="E112" s="14" t="n"/>
      <c r="F112" s="14" t="n"/>
      <c r="G112" s="14" t="n"/>
      <c r="H112" s="20" t="n"/>
      <c r="I112" s="14" t="n"/>
      <c r="J112" s="14" t="n"/>
      <c r="K112" s="20" t="n"/>
      <c r="L112" s="14" t="n"/>
      <c r="M112" s="14" t="n"/>
      <c r="N112" s="14" t="n"/>
      <c r="O112" s="14" t="n"/>
      <c r="P112" s="14" t="n"/>
      <c r="Q112" s="14" t="n"/>
      <c r="R112" s="14" t="n"/>
      <c r="S112" s="21">
        <f>ROUND(ABS(N(G112))*N(H112),2)</f>
        <v/>
      </c>
      <c r="T112" s="21">
        <f>IF(B112="Receipt",ROUND(S112*IFERROR(VLOOKUP(Q112,'Tax Codes'!$A$5:$E$300,5,FALSE),0),2),0)</f>
        <v/>
      </c>
      <c r="U112" s="21">
        <f>IF(B112="Receipt",ROUND(S112*IFERROR(VLOOKUP(R112,'Tax Codes'!$A$5:$E$300,5,FALSE),0),2),0)</f>
        <v/>
      </c>
      <c r="V112" s="16">
        <f>INDEX('Chart of Accounts'!$A$5:$A$3000,MATCH("vat_input",'Chart of Accounts'!$F$5:$F$3000,0))</f>
        <v/>
      </c>
      <c r="W112" s="16">
        <f>INDEX('Chart of Accounts'!$A$5:$A$3000,MATCH("wht_payable",'Chart of Accounts'!$F$5:$F$3000,0))</f>
        <v/>
      </c>
      <c r="X112" s="16">
        <f>IF(M112="",INDEX('Chart of Accounts'!$A$5:$A$3000,MATCH("bank",'Chart of Accounts'!$F$5:$F$3000,0)),M112&amp;"")</f>
        <v/>
      </c>
      <c r="Y112" s="16">
        <f>IF(N112="",INDEX('Chart of Accounts'!$A$5:$A$3000,MATCH("ap",'Chart of Accounts'!$F$5:$F$3000,0)),N112&amp;"")</f>
        <v/>
      </c>
      <c r="Z112" s="16">
        <f>IF(O112="",INDEX('Chart of Accounts'!$A$5:$A$3000,MATCH("materials",'Chart of Accounts'!$F$5:$F$3000,0)),O112&amp;"")</f>
        <v/>
      </c>
      <c r="AA112" s="16">
        <f>IF(IFERROR(INDEX(Warehouses!$C$5:$C$1000,MATCH(C112,Warehouses!$A$5:$A$1000,0))&amp;"","")="",INDEX('Chart of Accounts'!$A$5:$A$3000,MATCH("inventory",'Chart of Accounts'!$F$5:$F$3000,0)),IFERROR(INDEX(Warehouses!$C$5:$C$1000,MATCH(C112,Warehouses!$A$5:$A$1000,0))&amp;"",""))</f>
        <v/>
      </c>
      <c r="AB112" s="16">
        <f>IF(IFERROR(INDEX(Warehouses!$C$5:$C$1000,MATCH(D112,Warehouses!$A$5:$A$1000,0))&amp;"","")="",INDEX('Chart of Accounts'!$A$5:$A$3000,MATCH("inventory",'Chart of Accounts'!$F$5:$F$3000,0)),IFERROR(INDEX(Warehouses!$C$5:$C$1000,MATCH(D112,Warehouses!$A$5:$A$1000,0))&amp;"",""))</f>
        <v/>
      </c>
      <c r="AC112" s="21">
        <f>IF(B112="Receipt",N(K112),0)</f>
        <v/>
      </c>
      <c r="AD112" s="16">
        <f>IF(B112="Receipt",AA112,IF(B112="Issue",Z112,IF(B112="Transfer",AB112,IF(N(G112)&gt;=0,AA112,INDEX('Chart of Accounts'!$A$5:$A$3000,MATCH("stock_adjust",'Chart of Accounts'!$F$5:$F$3000,0))))))</f>
        <v/>
      </c>
      <c r="AE112" s="16">
        <f>IF(B112="Receipt",Y112,IF(B112="Adjustment",IF(N(G112)&gt;=0,INDEX('Chart of Accounts'!$A$5:$A$3000,MATCH("stock_adjust",'Chart of Accounts'!$F$5:$F$3000,0)),AA112),AA112))</f>
        <v/>
      </c>
      <c r="AF112" s="21">
        <f>S112+T112-U112-AC112</f>
        <v/>
      </c>
      <c r="AG112" s="23">
        <f>IFERROR(INDEX('Chart of Accounts'!$C$5:$C$3000,MATCH(AD112&amp;"",'Chart of Accounts'!$A$5:$A$3000,0))&amp;"|"&amp;INDEX('Chart of Accounts'!$D$5:$D$3000,MATCH(AD112&amp;"",'Chart of Accounts'!$A$5:$A$3000,0)),"")</f>
        <v/>
      </c>
      <c r="AH112" s="23">
        <f>IFERROR(INDEX('Chart of Accounts'!$C$5:$C$3000,MATCH(V112&amp;"",'Chart of Accounts'!$A$5:$A$3000,0))&amp;"|"&amp;INDEX('Chart of Accounts'!$D$5:$D$3000,MATCH(V112&amp;"",'Chart of Accounts'!$A$5:$A$3000,0)),"")</f>
        <v/>
      </c>
      <c r="AI112" s="23">
        <f>IFERROR(INDEX('Chart of Accounts'!$C$5:$C$3000,MATCH(AE112&amp;"",'Chart of Accounts'!$A$5:$A$3000,0))&amp;"|"&amp;INDEX('Chart of Accounts'!$D$5:$D$3000,MATCH(AE112&amp;"",'Chart of Accounts'!$A$5:$A$3000,0)),"")</f>
        <v/>
      </c>
      <c r="AJ112" s="23">
        <f>IFERROR(INDEX('Chart of Accounts'!$C$5:$C$3000,MATCH(X112&amp;"",'Chart of Accounts'!$A$5:$A$3000,0))&amp;"|"&amp;INDEX('Chart of Accounts'!$D$5:$D$3000,MATCH(X112&amp;"",'Chart of Accounts'!$A$5:$A$3000,0)),"")</f>
        <v/>
      </c>
      <c r="AK112" s="23">
        <f>IFERROR(INDEX('Chart of Accounts'!$C$5:$C$3000,MATCH(W112&amp;"",'Chart of Accounts'!$A$5:$A$3000,0))&amp;"|"&amp;INDEX('Chart of Accounts'!$D$5:$D$3000,MATCH(W112&amp;"",'Chart of Accounts'!$A$5:$A$3000,0)),"")</f>
        <v/>
      </c>
      <c r="AL112" s="23">
        <f>IF(LEFT(AG112,8)="Revenue|",-N(S112),0)+IF(LEFT(AH112,8)="Revenue|",-N(T112),0)+IF(LEFT(AI112,8)="Revenue|",N(AF112),0)+IF(LEFT(AJ112,8)="Revenue|",N(AC112),0)+IF(LEFT(AK112,8)="Revenue|",N(U112),0)</f>
        <v/>
      </c>
      <c r="AM112" s="23">
        <f>IF(LEFT(AG112,5)="COGS|",N(S112),0)+IF(LEFT(AH112,5)="COGS|",N(T112),0)+IF(LEFT(AI112,5)="COGS|",-N(AF112),0)+IF(LEFT(AJ112,5)="COGS|",-N(AC112),0)+IF(LEFT(AK112,5)="COGS|",-N(U112),0)</f>
        <v/>
      </c>
      <c r="AN112" s="23">
        <f>IF(LEFT(AG112,8)="Expense|",N(S112),0)+IF(LEFT(AH112,8)="Expense|",N(T112),0)+IF(LEFT(AI112,8)="Expense|",-N(AF112),0)+IF(LEFT(AJ112,8)="Expense|",-N(AC112),0)+IF(LEFT(AK112,8)="Expense|",-N(U112),0)</f>
        <v/>
      </c>
      <c r="AO112" s="23">
        <f>IF(ISNUMBER(MATCH(AG112,{"Expense|employee","Expense|general_admin","Expense|marketing","Expense|utilities","Expense|other_operating"},0)),N(S112),0)+IF(ISNUMBER(MATCH(AH112,{"Expense|employee","Expense|general_admin","Expense|marketing","Expense|utilities","Expense|other_operating"},0)),N(T112),0)+IF(ISNUMBER(MATCH(AI112,{"Expense|employee","Expense|general_admin","Expense|marketing","Expense|utilities","Expense|other_operating"},0)),-N(AF112),0)+IF(ISNUMBER(MATCH(AJ112,{"Expense|employee","Expense|general_admin","Expense|marketing","Expense|utilities","Expense|other_operating"},0)),-N(AC112),0)+IF(ISNUMBER(MATCH(AK112,{"Expense|employee","Expense|general_admin","Expense|marketing","Expense|utilities","Expense|other_operating"},0)),-N(U112),0)</f>
        <v/>
      </c>
      <c r="AP112" s="23">
        <f>IF(AG112="Liability|payable",-N(S112),0)+IF(AH112="Liability|payable",-N(T112),0)+IF(AI112="Liability|payable",N(AF112),0)+IF(AJ112="Liability|payable",N(AC112),0)+IF(AK112="Liability|payable",N(U112),0)</f>
        <v/>
      </c>
      <c r="AQ112" s="23">
        <f>IF(AG112="Liability|accrued",-N(S112),0)+IF(AH112="Liability|accrued",-N(T112),0)+IF(AI112="Liability|accrued",N(AF112),0)+IF(AJ112="Liability|accrued",N(AC112),0)+IF(AK112="Liability|accrued",N(U112),0)</f>
        <v/>
      </c>
      <c r="AR112" s="23">
        <f>IF(AND(N(S112)&lt;&gt;0,AG112=""),1,0)+IF(AND(N(T112)&lt;&gt;0,AH112=""),1,0)+IF(AND(N(AF112)&lt;&gt;0,AI112=""),1,0)+IF(AND(N(AC112)&lt;&gt;0,AJ112=""),1,0)+IF(AND(N(U112)&lt;&gt;0,AK112=""),1,0)</f>
        <v/>
      </c>
    </row>
    <row r="113">
      <c r="A113" s="19" t="n"/>
      <c r="B113" s="14" t="n"/>
      <c r="C113" s="14" t="n"/>
      <c r="D113" s="14" t="n"/>
      <c r="E113" s="14" t="n"/>
      <c r="F113" s="14" t="n"/>
      <c r="G113" s="14" t="n"/>
      <c r="H113" s="20" t="n"/>
      <c r="I113" s="14" t="n"/>
      <c r="J113" s="14" t="n"/>
      <c r="K113" s="20" t="n"/>
      <c r="L113" s="14" t="n"/>
      <c r="M113" s="14" t="n"/>
      <c r="N113" s="14" t="n"/>
      <c r="O113" s="14" t="n"/>
      <c r="P113" s="14" t="n"/>
      <c r="Q113" s="14" t="n"/>
      <c r="R113" s="14" t="n"/>
      <c r="S113" s="21">
        <f>ROUND(ABS(N(G113))*N(H113),2)</f>
        <v/>
      </c>
      <c r="T113" s="21">
        <f>IF(B113="Receipt",ROUND(S113*IFERROR(VLOOKUP(Q113,'Tax Codes'!$A$5:$E$300,5,FALSE),0),2),0)</f>
        <v/>
      </c>
      <c r="U113" s="21">
        <f>IF(B113="Receipt",ROUND(S113*IFERROR(VLOOKUP(R113,'Tax Codes'!$A$5:$E$300,5,FALSE),0),2),0)</f>
        <v/>
      </c>
      <c r="V113" s="16">
        <f>INDEX('Chart of Accounts'!$A$5:$A$3000,MATCH("vat_input",'Chart of Accounts'!$F$5:$F$3000,0))</f>
        <v/>
      </c>
      <c r="W113" s="16">
        <f>INDEX('Chart of Accounts'!$A$5:$A$3000,MATCH("wht_payable",'Chart of Accounts'!$F$5:$F$3000,0))</f>
        <v/>
      </c>
      <c r="X113" s="16">
        <f>IF(M113="",INDEX('Chart of Accounts'!$A$5:$A$3000,MATCH("bank",'Chart of Accounts'!$F$5:$F$3000,0)),M113&amp;"")</f>
        <v/>
      </c>
      <c r="Y113" s="16">
        <f>IF(N113="",INDEX('Chart of Accounts'!$A$5:$A$3000,MATCH("ap",'Chart of Accounts'!$F$5:$F$3000,0)),N113&amp;"")</f>
        <v/>
      </c>
      <c r="Z113" s="16">
        <f>IF(O113="",INDEX('Chart of Accounts'!$A$5:$A$3000,MATCH("materials",'Chart of Accounts'!$F$5:$F$3000,0)),O113&amp;"")</f>
        <v/>
      </c>
      <c r="AA113" s="16">
        <f>IF(IFERROR(INDEX(Warehouses!$C$5:$C$1000,MATCH(C113,Warehouses!$A$5:$A$1000,0))&amp;"","")="",INDEX('Chart of Accounts'!$A$5:$A$3000,MATCH("inventory",'Chart of Accounts'!$F$5:$F$3000,0)),IFERROR(INDEX(Warehouses!$C$5:$C$1000,MATCH(C113,Warehouses!$A$5:$A$1000,0))&amp;"",""))</f>
        <v/>
      </c>
      <c r="AB113" s="16">
        <f>IF(IFERROR(INDEX(Warehouses!$C$5:$C$1000,MATCH(D113,Warehouses!$A$5:$A$1000,0))&amp;"","")="",INDEX('Chart of Accounts'!$A$5:$A$3000,MATCH("inventory",'Chart of Accounts'!$F$5:$F$3000,0)),IFERROR(INDEX(Warehouses!$C$5:$C$1000,MATCH(D113,Warehouses!$A$5:$A$1000,0))&amp;"",""))</f>
        <v/>
      </c>
      <c r="AC113" s="21">
        <f>IF(B113="Receipt",N(K113),0)</f>
        <v/>
      </c>
      <c r="AD113" s="16">
        <f>IF(B113="Receipt",AA113,IF(B113="Issue",Z113,IF(B113="Transfer",AB113,IF(N(G113)&gt;=0,AA113,INDEX('Chart of Accounts'!$A$5:$A$3000,MATCH("stock_adjust",'Chart of Accounts'!$F$5:$F$3000,0))))))</f>
        <v/>
      </c>
      <c r="AE113" s="16">
        <f>IF(B113="Receipt",Y113,IF(B113="Adjustment",IF(N(G113)&gt;=0,INDEX('Chart of Accounts'!$A$5:$A$3000,MATCH("stock_adjust",'Chart of Accounts'!$F$5:$F$3000,0)),AA113),AA113))</f>
        <v/>
      </c>
      <c r="AF113" s="21">
        <f>S113+T113-U113-AC113</f>
        <v/>
      </c>
      <c r="AG113" s="23">
        <f>IFERROR(INDEX('Chart of Accounts'!$C$5:$C$3000,MATCH(AD113&amp;"",'Chart of Accounts'!$A$5:$A$3000,0))&amp;"|"&amp;INDEX('Chart of Accounts'!$D$5:$D$3000,MATCH(AD113&amp;"",'Chart of Accounts'!$A$5:$A$3000,0)),"")</f>
        <v/>
      </c>
      <c r="AH113" s="23">
        <f>IFERROR(INDEX('Chart of Accounts'!$C$5:$C$3000,MATCH(V113&amp;"",'Chart of Accounts'!$A$5:$A$3000,0))&amp;"|"&amp;INDEX('Chart of Accounts'!$D$5:$D$3000,MATCH(V113&amp;"",'Chart of Accounts'!$A$5:$A$3000,0)),"")</f>
        <v/>
      </c>
      <c r="AI113" s="23">
        <f>IFERROR(INDEX('Chart of Accounts'!$C$5:$C$3000,MATCH(AE113&amp;"",'Chart of Accounts'!$A$5:$A$3000,0))&amp;"|"&amp;INDEX('Chart of Accounts'!$D$5:$D$3000,MATCH(AE113&amp;"",'Chart of Accounts'!$A$5:$A$3000,0)),"")</f>
        <v/>
      </c>
      <c r="AJ113" s="23">
        <f>IFERROR(INDEX('Chart of Accounts'!$C$5:$C$3000,MATCH(X113&amp;"",'Chart of Accounts'!$A$5:$A$3000,0))&amp;"|"&amp;INDEX('Chart of Accounts'!$D$5:$D$3000,MATCH(X113&amp;"",'Chart of Accounts'!$A$5:$A$3000,0)),"")</f>
        <v/>
      </c>
      <c r="AK113" s="23">
        <f>IFERROR(INDEX('Chart of Accounts'!$C$5:$C$3000,MATCH(W113&amp;"",'Chart of Accounts'!$A$5:$A$3000,0))&amp;"|"&amp;INDEX('Chart of Accounts'!$D$5:$D$3000,MATCH(W113&amp;"",'Chart of Accounts'!$A$5:$A$3000,0)),"")</f>
        <v/>
      </c>
      <c r="AL113" s="23">
        <f>IF(LEFT(AG113,8)="Revenue|",-N(S113),0)+IF(LEFT(AH113,8)="Revenue|",-N(T113),0)+IF(LEFT(AI113,8)="Revenue|",N(AF113),0)+IF(LEFT(AJ113,8)="Revenue|",N(AC113),0)+IF(LEFT(AK113,8)="Revenue|",N(U113),0)</f>
        <v/>
      </c>
      <c r="AM113" s="23">
        <f>IF(LEFT(AG113,5)="COGS|",N(S113),0)+IF(LEFT(AH113,5)="COGS|",N(T113),0)+IF(LEFT(AI113,5)="COGS|",-N(AF113),0)+IF(LEFT(AJ113,5)="COGS|",-N(AC113),0)+IF(LEFT(AK113,5)="COGS|",-N(U113),0)</f>
        <v/>
      </c>
      <c r="AN113" s="23">
        <f>IF(LEFT(AG113,8)="Expense|",N(S113),0)+IF(LEFT(AH113,8)="Expense|",N(T113),0)+IF(LEFT(AI113,8)="Expense|",-N(AF113),0)+IF(LEFT(AJ113,8)="Expense|",-N(AC113),0)+IF(LEFT(AK113,8)="Expense|",-N(U113),0)</f>
        <v/>
      </c>
      <c r="AO113" s="23">
        <f>IF(ISNUMBER(MATCH(AG113,{"Expense|employee","Expense|general_admin","Expense|marketing","Expense|utilities","Expense|other_operating"},0)),N(S113),0)+IF(ISNUMBER(MATCH(AH113,{"Expense|employee","Expense|general_admin","Expense|marketing","Expense|utilities","Expense|other_operating"},0)),N(T113),0)+IF(ISNUMBER(MATCH(AI113,{"Expense|employee","Expense|general_admin","Expense|marketing","Expense|utilities","Expense|other_operating"},0)),-N(AF113),0)+IF(ISNUMBER(MATCH(AJ113,{"Expense|employee","Expense|general_admin","Expense|marketing","Expense|utilities","Expense|other_operating"},0)),-N(AC113),0)+IF(ISNUMBER(MATCH(AK113,{"Expense|employee","Expense|general_admin","Expense|marketing","Expense|utilities","Expense|other_operating"},0)),-N(U113),0)</f>
        <v/>
      </c>
      <c r="AP113" s="23">
        <f>IF(AG113="Liability|payable",-N(S113),0)+IF(AH113="Liability|payable",-N(T113),0)+IF(AI113="Liability|payable",N(AF113),0)+IF(AJ113="Liability|payable",N(AC113),0)+IF(AK113="Liability|payable",N(U113),0)</f>
        <v/>
      </c>
      <c r="AQ113" s="23">
        <f>IF(AG113="Liability|accrued",-N(S113),0)+IF(AH113="Liability|accrued",-N(T113),0)+IF(AI113="Liability|accrued",N(AF113),0)+IF(AJ113="Liability|accrued",N(AC113),0)+IF(AK113="Liability|accrued",N(U113),0)</f>
        <v/>
      </c>
      <c r="AR113" s="23">
        <f>IF(AND(N(S113)&lt;&gt;0,AG113=""),1,0)+IF(AND(N(T113)&lt;&gt;0,AH113=""),1,0)+IF(AND(N(AF113)&lt;&gt;0,AI113=""),1,0)+IF(AND(N(AC113)&lt;&gt;0,AJ113=""),1,0)+IF(AND(N(U113)&lt;&gt;0,AK113=""),1,0)</f>
        <v/>
      </c>
    </row>
    <row r="114">
      <c r="A114" s="19" t="n"/>
      <c r="B114" s="14" t="n"/>
      <c r="C114" s="14" t="n"/>
      <c r="D114" s="14" t="n"/>
      <c r="E114" s="14" t="n"/>
      <c r="F114" s="14" t="n"/>
      <c r="G114" s="14" t="n"/>
      <c r="H114" s="20" t="n"/>
      <c r="I114" s="14" t="n"/>
      <c r="J114" s="14" t="n"/>
      <c r="K114" s="20" t="n"/>
      <c r="L114" s="14" t="n"/>
      <c r="M114" s="14" t="n"/>
      <c r="N114" s="14" t="n"/>
      <c r="O114" s="14" t="n"/>
      <c r="P114" s="14" t="n"/>
      <c r="Q114" s="14" t="n"/>
      <c r="R114" s="14" t="n"/>
      <c r="S114" s="21">
        <f>ROUND(ABS(N(G114))*N(H114),2)</f>
        <v/>
      </c>
      <c r="T114" s="21">
        <f>IF(B114="Receipt",ROUND(S114*IFERROR(VLOOKUP(Q114,'Tax Codes'!$A$5:$E$300,5,FALSE),0),2),0)</f>
        <v/>
      </c>
      <c r="U114" s="21">
        <f>IF(B114="Receipt",ROUND(S114*IFERROR(VLOOKUP(R114,'Tax Codes'!$A$5:$E$300,5,FALSE),0),2),0)</f>
        <v/>
      </c>
      <c r="V114" s="16">
        <f>INDEX('Chart of Accounts'!$A$5:$A$3000,MATCH("vat_input",'Chart of Accounts'!$F$5:$F$3000,0))</f>
        <v/>
      </c>
      <c r="W114" s="16">
        <f>INDEX('Chart of Accounts'!$A$5:$A$3000,MATCH("wht_payable",'Chart of Accounts'!$F$5:$F$3000,0))</f>
        <v/>
      </c>
      <c r="X114" s="16">
        <f>IF(M114="",INDEX('Chart of Accounts'!$A$5:$A$3000,MATCH("bank",'Chart of Accounts'!$F$5:$F$3000,0)),M114&amp;"")</f>
        <v/>
      </c>
      <c r="Y114" s="16">
        <f>IF(N114="",INDEX('Chart of Accounts'!$A$5:$A$3000,MATCH("ap",'Chart of Accounts'!$F$5:$F$3000,0)),N114&amp;"")</f>
        <v/>
      </c>
      <c r="Z114" s="16">
        <f>IF(O114="",INDEX('Chart of Accounts'!$A$5:$A$3000,MATCH("materials",'Chart of Accounts'!$F$5:$F$3000,0)),O114&amp;"")</f>
        <v/>
      </c>
      <c r="AA114" s="16">
        <f>IF(IFERROR(INDEX(Warehouses!$C$5:$C$1000,MATCH(C114,Warehouses!$A$5:$A$1000,0))&amp;"","")="",INDEX('Chart of Accounts'!$A$5:$A$3000,MATCH("inventory",'Chart of Accounts'!$F$5:$F$3000,0)),IFERROR(INDEX(Warehouses!$C$5:$C$1000,MATCH(C114,Warehouses!$A$5:$A$1000,0))&amp;"",""))</f>
        <v/>
      </c>
      <c r="AB114" s="16">
        <f>IF(IFERROR(INDEX(Warehouses!$C$5:$C$1000,MATCH(D114,Warehouses!$A$5:$A$1000,0))&amp;"","")="",INDEX('Chart of Accounts'!$A$5:$A$3000,MATCH("inventory",'Chart of Accounts'!$F$5:$F$3000,0)),IFERROR(INDEX(Warehouses!$C$5:$C$1000,MATCH(D114,Warehouses!$A$5:$A$1000,0))&amp;"",""))</f>
        <v/>
      </c>
      <c r="AC114" s="21">
        <f>IF(B114="Receipt",N(K114),0)</f>
        <v/>
      </c>
      <c r="AD114" s="16">
        <f>IF(B114="Receipt",AA114,IF(B114="Issue",Z114,IF(B114="Transfer",AB114,IF(N(G114)&gt;=0,AA114,INDEX('Chart of Accounts'!$A$5:$A$3000,MATCH("stock_adjust",'Chart of Accounts'!$F$5:$F$3000,0))))))</f>
        <v/>
      </c>
      <c r="AE114" s="16">
        <f>IF(B114="Receipt",Y114,IF(B114="Adjustment",IF(N(G114)&gt;=0,INDEX('Chart of Accounts'!$A$5:$A$3000,MATCH("stock_adjust",'Chart of Accounts'!$F$5:$F$3000,0)),AA114),AA114))</f>
        <v/>
      </c>
      <c r="AF114" s="21">
        <f>S114+T114-U114-AC114</f>
        <v/>
      </c>
      <c r="AG114" s="23">
        <f>IFERROR(INDEX('Chart of Accounts'!$C$5:$C$3000,MATCH(AD114&amp;"",'Chart of Accounts'!$A$5:$A$3000,0))&amp;"|"&amp;INDEX('Chart of Accounts'!$D$5:$D$3000,MATCH(AD114&amp;"",'Chart of Accounts'!$A$5:$A$3000,0)),"")</f>
        <v/>
      </c>
      <c r="AH114" s="23">
        <f>IFERROR(INDEX('Chart of Accounts'!$C$5:$C$3000,MATCH(V114&amp;"",'Chart of Accounts'!$A$5:$A$3000,0))&amp;"|"&amp;INDEX('Chart of Accounts'!$D$5:$D$3000,MATCH(V114&amp;"",'Chart of Accounts'!$A$5:$A$3000,0)),"")</f>
        <v/>
      </c>
      <c r="AI114" s="23">
        <f>IFERROR(INDEX('Chart of Accounts'!$C$5:$C$3000,MATCH(AE114&amp;"",'Chart of Accounts'!$A$5:$A$3000,0))&amp;"|"&amp;INDEX('Chart of Accounts'!$D$5:$D$3000,MATCH(AE114&amp;"",'Chart of Accounts'!$A$5:$A$3000,0)),"")</f>
        <v/>
      </c>
      <c r="AJ114" s="23">
        <f>IFERROR(INDEX('Chart of Accounts'!$C$5:$C$3000,MATCH(X114&amp;"",'Chart of Accounts'!$A$5:$A$3000,0))&amp;"|"&amp;INDEX('Chart of Accounts'!$D$5:$D$3000,MATCH(X114&amp;"",'Chart of Accounts'!$A$5:$A$3000,0)),"")</f>
        <v/>
      </c>
      <c r="AK114" s="23">
        <f>IFERROR(INDEX('Chart of Accounts'!$C$5:$C$3000,MATCH(W114&amp;"",'Chart of Accounts'!$A$5:$A$3000,0))&amp;"|"&amp;INDEX('Chart of Accounts'!$D$5:$D$3000,MATCH(W114&amp;"",'Chart of Accounts'!$A$5:$A$3000,0)),"")</f>
        <v/>
      </c>
      <c r="AL114" s="23">
        <f>IF(LEFT(AG114,8)="Revenue|",-N(S114),0)+IF(LEFT(AH114,8)="Revenue|",-N(T114),0)+IF(LEFT(AI114,8)="Revenue|",N(AF114),0)+IF(LEFT(AJ114,8)="Revenue|",N(AC114),0)+IF(LEFT(AK114,8)="Revenue|",N(U114),0)</f>
        <v/>
      </c>
      <c r="AM114" s="23">
        <f>IF(LEFT(AG114,5)="COGS|",N(S114),0)+IF(LEFT(AH114,5)="COGS|",N(T114),0)+IF(LEFT(AI114,5)="COGS|",-N(AF114),0)+IF(LEFT(AJ114,5)="COGS|",-N(AC114),0)+IF(LEFT(AK114,5)="COGS|",-N(U114),0)</f>
        <v/>
      </c>
      <c r="AN114" s="23">
        <f>IF(LEFT(AG114,8)="Expense|",N(S114),0)+IF(LEFT(AH114,8)="Expense|",N(T114),0)+IF(LEFT(AI114,8)="Expense|",-N(AF114),0)+IF(LEFT(AJ114,8)="Expense|",-N(AC114),0)+IF(LEFT(AK114,8)="Expense|",-N(U114),0)</f>
        <v/>
      </c>
      <c r="AO114" s="23">
        <f>IF(ISNUMBER(MATCH(AG114,{"Expense|employee","Expense|general_admin","Expense|marketing","Expense|utilities","Expense|other_operating"},0)),N(S114),0)+IF(ISNUMBER(MATCH(AH114,{"Expense|employee","Expense|general_admin","Expense|marketing","Expense|utilities","Expense|other_operating"},0)),N(T114),0)+IF(ISNUMBER(MATCH(AI114,{"Expense|employee","Expense|general_admin","Expense|marketing","Expense|utilities","Expense|other_operating"},0)),-N(AF114),0)+IF(ISNUMBER(MATCH(AJ114,{"Expense|employee","Expense|general_admin","Expense|marketing","Expense|utilities","Expense|other_operating"},0)),-N(AC114),0)+IF(ISNUMBER(MATCH(AK114,{"Expense|employee","Expense|general_admin","Expense|marketing","Expense|utilities","Expense|other_operating"},0)),-N(U114),0)</f>
        <v/>
      </c>
      <c r="AP114" s="23">
        <f>IF(AG114="Liability|payable",-N(S114),0)+IF(AH114="Liability|payable",-N(T114),0)+IF(AI114="Liability|payable",N(AF114),0)+IF(AJ114="Liability|payable",N(AC114),0)+IF(AK114="Liability|payable",N(U114),0)</f>
        <v/>
      </c>
      <c r="AQ114" s="23">
        <f>IF(AG114="Liability|accrued",-N(S114),0)+IF(AH114="Liability|accrued",-N(T114),0)+IF(AI114="Liability|accrued",N(AF114),0)+IF(AJ114="Liability|accrued",N(AC114),0)+IF(AK114="Liability|accrued",N(U114),0)</f>
        <v/>
      </c>
      <c r="AR114" s="23">
        <f>IF(AND(N(S114)&lt;&gt;0,AG114=""),1,0)+IF(AND(N(T114)&lt;&gt;0,AH114=""),1,0)+IF(AND(N(AF114)&lt;&gt;0,AI114=""),1,0)+IF(AND(N(AC114)&lt;&gt;0,AJ114=""),1,0)+IF(AND(N(U114)&lt;&gt;0,AK114=""),1,0)</f>
        <v/>
      </c>
    </row>
    <row r="115">
      <c r="A115" s="19" t="n"/>
      <c r="B115" s="14" t="n"/>
      <c r="C115" s="14" t="n"/>
      <c r="D115" s="14" t="n"/>
      <c r="E115" s="14" t="n"/>
      <c r="F115" s="14" t="n"/>
      <c r="G115" s="14" t="n"/>
      <c r="H115" s="20" t="n"/>
      <c r="I115" s="14" t="n"/>
      <c r="J115" s="14" t="n"/>
      <c r="K115" s="20" t="n"/>
      <c r="L115" s="14" t="n"/>
      <c r="M115" s="14" t="n"/>
      <c r="N115" s="14" t="n"/>
      <c r="O115" s="14" t="n"/>
      <c r="P115" s="14" t="n"/>
      <c r="Q115" s="14" t="n"/>
      <c r="R115" s="14" t="n"/>
      <c r="S115" s="21">
        <f>ROUND(ABS(N(G115))*N(H115),2)</f>
        <v/>
      </c>
      <c r="T115" s="21">
        <f>IF(B115="Receipt",ROUND(S115*IFERROR(VLOOKUP(Q115,'Tax Codes'!$A$5:$E$300,5,FALSE),0),2),0)</f>
        <v/>
      </c>
      <c r="U115" s="21">
        <f>IF(B115="Receipt",ROUND(S115*IFERROR(VLOOKUP(R115,'Tax Codes'!$A$5:$E$300,5,FALSE),0),2),0)</f>
        <v/>
      </c>
      <c r="V115" s="16">
        <f>INDEX('Chart of Accounts'!$A$5:$A$3000,MATCH("vat_input",'Chart of Accounts'!$F$5:$F$3000,0))</f>
        <v/>
      </c>
      <c r="W115" s="16">
        <f>INDEX('Chart of Accounts'!$A$5:$A$3000,MATCH("wht_payable",'Chart of Accounts'!$F$5:$F$3000,0))</f>
        <v/>
      </c>
      <c r="X115" s="16">
        <f>IF(M115="",INDEX('Chart of Accounts'!$A$5:$A$3000,MATCH("bank",'Chart of Accounts'!$F$5:$F$3000,0)),M115&amp;"")</f>
        <v/>
      </c>
      <c r="Y115" s="16">
        <f>IF(N115="",INDEX('Chart of Accounts'!$A$5:$A$3000,MATCH("ap",'Chart of Accounts'!$F$5:$F$3000,0)),N115&amp;"")</f>
        <v/>
      </c>
      <c r="Z115" s="16">
        <f>IF(O115="",INDEX('Chart of Accounts'!$A$5:$A$3000,MATCH("materials",'Chart of Accounts'!$F$5:$F$3000,0)),O115&amp;"")</f>
        <v/>
      </c>
      <c r="AA115" s="16">
        <f>IF(IFERROR(INDEX(Warehouses!$C$5:$C$1000,MATCH(C115,Warehouses!$A$5:$A$1000,0))&amp;"","")="",INDEX('Chart of Accounts'!$A$5:$A$3000,MATCH("inventory",'Chart of Accounts'!$F$5:$F$3000,0)),IFERROR(INDEX(Warehouses!$C$5:$C$1000,MATCH(C115,Warehouses!$A$5:$A$1000,0))&amp;"",""))</f>
        <v/>
      </c>
      <c r="AB115" s="16">
        <f>IF(IFERROR(INDEX(Warehouses!$C$5:$C$1000,MATCH(D115,Warehouses!$A$5:$A$1000,0))&amp;"","")="",INDEX('Chart of Accounts'!$A$5:$A$3000,MATCH("inventory",'Chart of Accounts'!$F$5:$F$3000,0)),IFERROR(INDEX(Warehouses!$C$5:$C$1000,MATCH(D115,Warehouses!$A$5:$A$1000,0))&amp;"",""))</f>
        <v/>
      </c>
      <c r="AC115" s="21">
        <f>IF(B115="Receipt",N(K115),0)</f>
        <v/>
      </c>
      <c r="AD115" s="16">
        <f>IF(B115="Receipt",AA115,IF(B115="Issue",Z115,IF(B115="Transfer",AB115,IF(N(G115)&gt;=0,AA115,INDEX('Chart of Accounts'!$A$5:$A$3000,MATCH("stock_adjust",'Chart of Accounts'!$F$5:$F$3000,0))))))</f>
        <v/>
      </c>
      <c r="AE115" s="16">
        <f>IF(B115="Receipt",Y115,IF(B115="Adjustment",IF(N(G115)&gt;=0,INDEX('Chart of Accounts'!$A$5:$A$3000,MATCH("stock_adjust",'Chart of Accounts'!$F$5:$F$3000,0)),AA115),AA115))</f>
        <v/>
      </c>
      <c r="AF115" s="21">
        <f>S115+T115-U115-AC115</f>
        <v/>
      </c>
      <c r="AG115" s="23">
        <f>IFERROR(INDEX('Chart of Accounts'!$C$5:$C$3000,MATCH(AD115&amp;"",'Chart of Accounts'!$A$5:$A$3000,0))&amp;"|"&amp;INDEX('Chart of Accounts'!$D$5:$D$3000,MATCH(AD115&amp;"",'Chart of Accounts'!$A$5:$A$3000,0)),"")</f>
        <v/>
      </c>
      <c r="AH115" s="23">
        <f>IFERROR(INDEX('Chart of Accounts'!$C$5:$C$3000,MATCH(V115&amp;"",'Chart of Accounts'!$A$5:$A$3000,0))&amp;"|"&amp;INDEX('Chart of Accounts'!$D$5:$D$3000,MATCH(V115&amp;"",'Chart of Accounts'!$A$5:$A$3000,0)),"")</f>
        <v/>
      </c>
      <c r="AI115" s="23">
        <f>IFERROR(INDEX('Chart of Accounts'!$C$5:$C$3000,MATCH(AE115&amp;"",'Chart of Accounts'!$A$5:$A$3000,0))&amp;"|"&amp;INDEX('Chart of Accounts'!$D$5:$D$3000,MATCH(AE115&amp;"",'Chart of Accounts'!$A$5:$A$3000,0)),"")</f>
        <v/>
      </c>
      <c r="AJ115" s="23">
        <f>IFERROR(INDEX('Chart of Accounts'!$C$5:$C$3000,MATCH(X115&amp;"",'Chart of Accounts'!$A$5:$A$3000,0))&amp;"|"&amp;INDEX('Chart of Accounts'!$D$5:$D$3000,MATCH(X115&amp;"",'Chart of Accounts'!$A$5:$A$3000,0)),"")</f>
        <v/>
      </c>
      <c r="AK115" s="23">
        <f>IFERROR(INDEX('Chart of Accounts'!$C$5:$C$3000,MATCH(W115&amp;"",'Chart of Accounts'!$A$5:$A$3000,0))&amp;"|"&amp;INDEX('Chart of Accounts'!$D$5:$D$3000,MATCH(W115&amp;"",'Chart of Accounts'!$A$5:$A$3000,0)),"")</f>
        <v/>
      </c>
      <c r="AL115" s="23">
        <f>IF(LEFT(AG115,8)="Revenue|",-N(S115),0)+IF(LEFT(AH115,8)="Revenue|",-N(T115),0)+IF(LEFT(AI115,8)="Revenue|",N(AF115),0)+IF(LEFT(AJ115,8)="Revenue|",N(AC115),0)+IF(LEFT(AK115,8)="Revenue|",N(U115),0)</f>
        <v/>
      </c>
      <c r="AM115" s="23">
        <f>IF(LEFT(AG115,5)="COGS|",N(S115),0)+IF(LEFT(AH115,5)="COGS|",N(T115),0)+IF(LEFT(AI115,5)="COGS|",-N(AF115),0)+IF(LEFT(AJ115,5)="COGS|",-N(AC115),0)+IF(LEFT(AK115,5)="COGS|",-N(U115),0)</f>
        <v/>
      </c>
      <c r="AN115" s="23">
        <f>IF(LEFT(AG115,8)="Expense|",N(S115),0)+IF(LEFT(AH115,8)="Expense|",N(T115),0)+IF(LEFT(AI115,8)="Expense|",-N(AF115),0)+IF(LEFT(AJ115,8)="Expense|",-N(AC115),0)+IF(LEFT(AK115,8)="Expense|",-N(U115),0)</f>
        <v/>
      </c>
      <c r="AO115" s="23">
        <f>IF(ISNUMBER(MATCH(AG115,{"Expense|employee","Expense|general_admin","Expense|marketing","Expense|utilities","Expense|other_operating"},0)),N(S115),0)+IF(ISNUMBER(MATCH(AH115,{"Expense|employee","Expense|general_admin","Expense|marketing","Expense|utilities","Expense|other_operating"},0)),N(T115),0)+IF(ISNUMBER(MATCH(AI115,{"Expense|employee","Expense|general_admin","Expense|marketing","Expense|utilities","Expense|other_operating"},0)),-N(AF115),0)+IF(ISNUMBER(MATCH(AJ115,{"Expense|employee","Expense|general_admin","Expense|marketing","Expense|utilities","Expense|other_operating"},0)),-N(AC115),0)+IF(ISNUMBER(MATCH(AK115,{"Expense|employee","Expense|general_admin","Expense|marketing","Expense|utilities","Expense|other_operating"},0)),-N(U115),0)</f>
        <v/>
      </c>
      <c r="AP115" s="23">
        <f>IF(AG115="Liability|payable",-N(S115),0)+IF(AH115="Liability|payable",-N(T115),0)+IF(AI115="Liability|payable",N(AF115),0)+IF(AJ115="Liability|payable",N(AC115),0)+IF(AK115="Liability|payable",N(U115),0)</f>
        <v/>
      </c>
      <c r="AQ115" s="23">
        <f>IF(AG115="Liability|accrued",-N(S115),0)+IF(AH115="Liability|accrued",-N(T115),0)+IF(AI115="Liability|accrued",N(AF115),0)+IF(AJ115="Liability|accrued",N(AC115),0)+IF(AK115="Liability|accrued",N(U115),0)</f>
        <v/>
      </c>
      <c r="AR115" s="23">
        <f>IF(AND(N(S115)&lt;&gt;0,AG115=""),1,0)+IF(AND(N(T115)&lt;&gt;0,AH115=""),1,0)+IF(AND(N(AF115)&lt;&gt;0,AI115=""),1,0)+IF(AND(N(AC115)&lt;&gt;0,AJ115=""),1,0)+IF(AND(N(U115)&lt;&gt;0,AK115=""),1,0)</f>
        <v/>
      </c>
    </row>
    <row r="116">
      <c r="A116" s="19" t="n"/>
      <c r="B116" s="14" t="n"/>
      <c r="C116" s="14" t="n"/>
      <c r="D116" s="14" t="n"/>
      <c r="E116" s="14" t="n"/>
      <c r="F116" s="14" t="n"/>
      <c r="G116" s="14" t="n"/>
      <c r="H116" s="20" t="n"/>
      <c r="I116" s="14" t="n"/>
      <c r="J116" s="14" t="n"/>
      <c r="K116" s="20" t="n"/>
      <c r="L116" s="14" t="n"/>
      <c r="M116" s="14" t="n"/>
      <c r="N116" s="14" t="n"/>
      <c r="O116" s="14" t="n"/>
      <c r="P116" s="14" t="n"/>
      <c r="Q116" s="14" t="n"/>
      <c r="R116" s="14" t="n"/>
      <c r="S116" s="21">
        <f>ROUND(ABS(N(G116))*N(H116),2)</f>
        <v/>
      </c>
      <c r="T116" s="21">
        <f>IF(B116="Receipt",ROUND(S116*IFERROR(VLOOKUP(Q116,'Tax Codes'!$A$5:$E$300,5,FALSE),0),2),0)</f>
        <v/>
      </c>
      <c r="U116" s="21">
        <f>IF(B116="Receipt",ROUND(S116*IFERROR(VLOOKUP(R116,'Tax Codes'!$A$5:$E$300,5,FALSE),0),2),0)</f>
        <v/>
      </c>
      <c r="V116" s="16">
        <f>INDEX('Chart of Accounts'!$A$5:$A$3000,MATCH("vat_input",'Chart of Accounts'!$F$5:$F$3000,0))</f>
        <v/>
      </c>
      <c r="W116" s="16">
        <f>INDEX('Chart of Accounts'!$A$5:$A$3000,MATCH("wht_payable",'Chart of Accounts'!$F$5:$F$3000,0))</f>
        <v/>
      </c>
      <c r="X116" s="16">
        <f>IF(M116="",INDEX('Chart of Accounts'!$A$5:$A$3000,MATCH("bank",'Chart of Accounts'!$F$5:$F$3000,0)),M116&amp;"")</f>
        <v/>
      </c>
      <c r="Y116" s="16">
        <f>IF(N116="",INDEX('Chart of Accounts'!$A$5:$A$3000,MATCH("ap",'Chart of Accounts'!$F$5:$F$3000,0)),N116&amp;"")</f>
        <v/>
      </c>
      <c r="Z116" s="16">
        <f>IF(O116="",INDEX('Chart of Accounts'!$A$5:$A$3000,MATCH("materials",'Chart of Accounts'!$F$5:$F$3000,0)),O116&amp;"")</f>
        <v/>
      </c>
      <c r="AA116" s="16">
        <f>IF(IFERROR(INDEX(Warehouses!$C$5:$C$1000,MATCH(C116,Warehouses!$A$5:$A$1000,0))&amp;"","")="",INDEX('Chart of Accounts'!$A$5:$A$3000,MATCH("inventory",'Chart of Accounts'!$F$5:$F$3000,0)),IFERROR(INDEX(Warehouses!$C$5:$C$1000,MATCH(C116,Warehouses!$A$5:$A$1000,0))&amp;"",""))</f>
        <v/>
      </c>
      <c r="AB116" s="16">
        <f>IF(IFERROR(INDEX(Warehouses!$C$5:$C$1000,MATCH(D116,Warehouses!$A$5:$A$1000,0))&amp;"","")="",INDEX('Chart of Accounts'!$A$5:$A$3000,MATCH("inventory",'Chart of Accounts'!$F$5:$F$3000,0)),IFERROR(INDEX(Warehouses!$C$5:$C$1000,MATCH(D116,Warehouses!$A$5:$A$1000,0))&amp;"",""))</f>
        <v/>
      </c>
      <c r="AC116" s="21">
        <f>IF(B116="Receipt",N(K116),0)</f>
        <v/>
      </c>
      <c r="AD116" s="16">
        <f>IF(B116="Receipt",AA116,IF(B116="Issue",Z116,IF(B116="Transfer",AB116,IF(N(G116)&gt;=0,AA116,INDEX('Chart of Accounts'!$A$5:$A$3000,MATCH("stock_adjust",'Chart of Accounts'!$F$5:$F$3000,0))))))</f>
        <v/>
      </c>
      <c r="AE116" s="16">
        <f>IF(B116="Receipt",Y116,IF(B116="Adjustment",IF(N(G116)&gt;=0,INDEX('Chart of Accounts'!$A$5:$A$3000,MATCH("stock_adjust",'Chart of Accounts'!$F$5:$F$3000,0)),AA116),AA116))</f>
        <v/>
      </c>
      <c r="AF116" s="21">
        <f>S116+T116-U116-AC116</f>
        <v/>
      </c>
      <c r="AG116" s="23">
        <f>IFERROR(INDEX('Chart of Accounts'!$C$5:$C$3000,MATCH(AD116&amp;"",'Chart of Accounts'!$A$5:$A$3000,0))&amp;"|"&amp;INDEX('Chart of Accounts'!$D$5:$D$3000,MATCH(AD116&amp;"",'Chart of Accounts'!$A$5:$A$3000,0)),"")</f>
        <v/>
      </c>
      <c r="AH116" s="23">
        <f>IFERROR(INDEX('Chart of Accounts'!$C$5:$C$3000,MATCH(V116&amp;"",'Chart of Accounts'!$A$5:$A$3000,0))&amp;"|"&amp;INDEX('Chart of Accounts'!$D$5:$D$3000,MATCH(V116&amp;"",'Chart of Accounts'!$A$5:$A$3000,0)),"")</f>
        <v/>
      </c>
      <c r="AI116" s="23">
        <f>IFERROR(INDEX('Chart of Accounts'!$C$5:$C$3000,MATCH(AE116&amp;"",'Chart of Accounts'!$A$5:$A$3000,0))&amp;"|"&amp;INDEX('Chart of Accounts'!$D$5:$D$3000,MATCH(AE116&amp;"",'Chart of Accounts'!$A$5:$A$3000,0)),"")</f>
        <v/>
      </c>
      <c r="AJ116" s="23">
        <f>IFERROR(INDEX('Chart of Accounts'!$C$5:$C$3000,MATCH(X116&amp;"",'Chart of Accounts'!$A$5:$A$3000,0))&amp;"|"&amp;INDEX('Chart of Accounts'!$D$5:$D$3000,MATCH(X116&amp;"",'Chart of Accounts'!$A$5:$A$3000,0)),"")</f>
        <v/>
      </c>
      <c r="AK116" s="23">
        <f>IFERROR(INDEX('Chart of Accounts'!$C$5:$C$3000,MATCH(W116&amp;"",'Chart of Accounts'!$A$5:$A$3000,0))&amp;"|"&amp;INDEX('Chart of Accounts'!$D$5:$D$3000,MATCH(W116&amp;"",'Chart of Accounts'!$A$5:$A$3000,0)),"")</f>
        <v/>
      </c>
      <c r="AL116" s="23">
        <f>IF(LEFT(AG116,8)="Revenue|",-N(S116),0)+IF(LEFT(AH116,8)="Revenue|",-N(T116),0)+IF(LEFT(AI116,8)="Revenue|",N(AF116),0)+IF(LEFT(AJ116,8)="Revenue|",N(AC116),0)+IF(LEFT(AK116,8)="Revenue|",N(U116),0)</f>
        <v/>
      </c>
      <c r="AM116" s="23">
        <f>IF(LEFT(AG116,5)="COGS|",N(S116),0)+IF(LEFT(AH116,5)="COGS|",N(T116),0)+IF(LEFT(AI116,5)="COGS|",-N(AF116),0)+IF(LEFT(AJ116,5)="COGS|",-N(AC116),0)+IF(LEFT(AK116,5)="COGS|",-N(U116),0)</f>
        <v/>
      </c>
      <c r="AN116" s="23">
        <f>IF(LEFT(AG116,8)="Expense|",N(S116),0)+IF(LEFT(AH116,8)="Expense|",N(T116),0)+IF(LEFT(AI116,8)="Expense|",-N(AF116),0)+IF(LEFT(AJ116,8)="Expense|",-N(AC116),0)+IF(LEFT(AK116,8)="Expense|",-N(U116),0)</f>
        <v/>
      </c>
      <c r="AO116" s="23">
        <f>IF(ISNUMBER(MATCH(AG116,{"Expense|employee","Expense|general_admin","Expense|marketing","Expense|utilities","Expense|other_operating"},0)),N(S116),0)+IF(ISNUMBER(MATCH(AH116,{"Expense|employee","Expense|general_admin","Expense|marketing","Expense|utilities","Expense|other_operating"},0)),N(T116),0)+IF(ISNUMBER(MATCH(AI116,{"Expense|employee","Expense|general_admin","Expense|marketing","Expense|utilities","Expense|other_operating"},0)),-N(AF116),0)+IF(ISNUMBER(MATCH(AJ116,{"Expense|employee","Expense|general_admin","Expense|marketing","Expense|utilities","Expense|other_operating"},0)),-N(AC116),0)+IF(ISNUMBER(MATCH(AK116,{"Expense|employee","Expense|general_admin","Expense|marketing","Expense|utilities","Expense|other_operating"},0)),-N(U116),0)</f>
        <v/>
      </c>
      <c r="AP116" s="23">
        <f>IF(AG116="Liability|payable",-N(S116),0)+IF(AH116="Liability|payable",-N(T116),0)+IF(AI116="Liability|payable",N(AF116),0)+IF(AJ116="Liability|payable",N(AC116),0)+IF(AK116="Liability|payable",N(U116),0)</f>
        <v/>
      </c>
      <c r="AQ116" s="23">
        <f>IF(AG116="Liability|accrued",-N(S116),0)+IF(AH116="Liability|accrued",-N(T116),0)+IF(AI116="Liability|accrued",N(AF116),0)+IF(AJ116="Liability|accrued",N(AC116),0)+IF(AK116="Liability|accrued",N(U116),0)</f>
        <v/>
      </c>
      <c r="AR116" s="23">
        <f>IF(AND(N(S116)&lt;&gt;0,AG116=""),1,0)+IF(AND(N(T116)&lt;&gt;0,AH116=""),1,0)+IF(AND(N(AF116)&lt;&gt;0,AI116=""),1,0)+IF(AND(N(AC116)&lt;&gt;0,AJ116=""),1,0)+IF(AND(N(U116)&lt;&gt;0,AK116=""),1,0)</f>
        <v/>
      </c>
    </row>
    <row r="117">
      <c r="A117" s="19" t="n"/>
      <c r="B117" s="14" t="n"/>
      <c r="C117" s="14" t="n"/>
      <c r="D117" s="14" t="n"/>
      <c r="E117" s="14" t="n"/>
      <c r="F117" s="14" t="n"/>
      <c r="G117" s="14" t="n"/>
      <c r="H117" s="20" t="n"/>
      <c r="I117" s="14" t="n"/>
      <c r="J117" s="14" t="n"/>
      <c r="K117" s="20" t="n"/>
      <c r="L117" s="14" t="n"/>
      <c r="M117" s="14" t="n"/>
      <c r="N117" s="14" t="n"/>
      <c r="O117" s="14" t="n"/>
      <c r="P117" s="14" t="n"/>
      <c r="Q117" s="14" t="n"/>
      <c r="R117" s="14" t="n"/>
      <c r="S117" s="21">
        <f>ROUND(ABS(N(G117))*N(H117),2)</f>
        <v/>
      </c>
      <c r="T117" s="21">
        <f>IF(B117="Receipt",ROUND(S117*IFERROR(VLOOKUP(Q117,'Tax Codes'!$A$5:$E$300,5,FALSE),0),2),0)</f>
        <v/>
      </c>
      <c r="U117" s="21">
        <f>IF(B117="Receipt",ROUND(S117*IFERROR(VLOOKUP(R117,'Tax Codes'!$A$5:$E$300,5,FALSE),0),2),0)</f>
        <v/>
      </c>
      <c r="V117" s="16">
        <f>INDEX('Chart of Accounts'!$A$5:$A$3000,MATCH("vat_input",'Chart of Accounts'!$F$5:$F$3000,0))</f>
        <v/>
      </c>
      <c r="W117" s="16">
        <f>INDEX('Chart of Accounts'!$A$5:$A$3000,MATCH("wht_payable",'Chart of Accounts'!$F$5:$F$3000,0))</f>
        <v/>
      </c>
      <c r="X117" s="16">
        <f>IF(M117="",INDEX('Chart of Accounts'!$A$5:$A$3000,MATCH("bank",'Chart of Accounts'!$F$5:$F$3000,0)),M117&amp;"")</f>
        <v/>
      </c>
      <c r="Y117" s="16">
        <f>IF(N117="",INDEX('Chart of Accounts'!$A$5:$A$3000,MATCH("ap",'Chart of Accounts'!$F$5:$F$3000,0)),N117&amp;"")</f>
        <v/>
      </c>
      <c r="Z117" s="16">
        <f>IF(O117="",INDEX('Chart of Accounts'!$A$5:$A$3000,MATCH("materials",'Chart of Accounts'!$F$5:$F$3000,0)),O117&amp;"")</f>
        <v/>
      </c>
      <c r="AA117" s="16">
        <f>IF(IFERROR(INDEX(Warehouses!$C$5:$C$1000,MATCH(C117,Warehouses!$A$5:$A$1000,0))&amp;"","")="",INDEX('Chart of Accounts'!$A$5:$A$3000,MATCH("inventory",'Chart of Accounts'!$F$5:$F$3000,0)),IFERROR(INDEX(Warehouses!$C$5:$C$1000,MATCH(C117,Warehouses!$A$5:$A$1000,0))&amp;"",""))</f>
        <v/>
      </c>
      <c r="AB117" s="16">
        <f>IF(IFERROR(INDEX(Warehouses!$C$5:$C$1000,MATCH(D117,Warehouses!$A$5:$A$1000,0))&amp;"","")="",INDEX('Chart of Accounts'!$A$5:$A$3000,MATCH("inventory",'Chart of Accounts'!$F$5:$F$3000,0)),IFERROR(INDEX(Warehouses!$C$5:$C$1000,MATCH(D117,Warehouses!$A$5:$A$1000,0))&amp;"",""))</f>
        <v/>
      </c>
      <c r="AC117" s="21">
        <f>IF(B117="Receipt",N(K117),0)</f>
        <v/>
      </c>
      <c r="AD117" s="16">
        <f>IF(B117="Receipt",AA117,IF(B117="Issue",Z117,IF(B117="Transfer",AB117,IF(N(G117)&gt;=0,AA117,INDEX('Chart of Accounts'!$A$5:$A$3000,MATCH("stock_adjust",'Chart of Accounts'!$F$5:$F$3000,0))))))</f>
        <v/>
      </c>
      <c r="AE117" s="16">
        <f>IF(B117="Receipt",Y117,IF(B117="Adjustment",IF(N(G117)&gt;=0,INDEX('Chart of Accounts'!$A$5:$A$3000,MATCH("stock_adjust",'Chart of Accounts'!$F$5:$F$3000,0)),AA117),AA117))</f>
        <v/>
      </c>
      <c r="AF117" s="21">
        <f>S117+T117-U117-AC117</f>
        <v/>
      </c>
      <c r="AG117" s="23">
        <f>IFERROR(INDEX('Chart of Accounts'!$C$5:$C$3000,MATCH(AD117&amp;"",'Chart of Accounts'!$A$5:$A$3000,0))&amp;"|"&amp;INDEX('Chart of Accounts'!$D$5:$D$3000,MATCH(AD117&amp;"",'Chart of Accounts'!$A$5:$A$3000,0)),"")</f>
        <v/>
      </c>
      <c r="AH117" s="23">
        <f>IFERROR(INDEX('Chart of Accounts'!$C$5:$C$3000,MATCH(V117&amp;"",'Chart of Accounts'!$A$5:$A$3000,0))&amp;"|"&amp;INDEX('Chart of Accounts'!$D$5:$D$3000,MATCH(V117&amp;"",'Chart of Accounts'!$A$5:$A$3000,0)),"")</f>
        <v/>
      </c>
      <c r="AI117" s="23">
        <f>IFERROR(INDEX('Chart of Accounts'!$C$5:$C$3000,MATCH(AE117&amp;"",'Chart of Accounts'!$A$5:$A$3000,0))&amp;"|"&amp;INDEX('Chart of Accounts'!$D$5:$D$3000,MATCH(AE117&amp;"",'Chart of Accounts'!$A$5:$A$3000,0)),"")</f>
        <v/>
      </c>
      <c r="AJ117" s="23">
        <f>IFERROR(INDEX('Chart of Accounts'!$C$5:$C$3000,MATCH(X117&amp;"",'Chart of Accounts'!$A$5:$A$3000,0))&amp;"|"&amp;INDEX('Chart of Accounts'!$D$5:$D$3000,MATCH(X117&amp;"",'Chart of Accounts'!$A$5:$A$3000,0)),"")</f>
        <v/>
      </c>
      <c r="AK117" s="23">
        <f>IFERROR(INDEX('Chart of Accounts'!$C$5:$C$3000,MATCH(W117&amp;"",'Chart of Accounts'!$A$5:$A$3000,0))&amp;"|"&amp;INDEX('Chart of Accounts'!$D$5:$D$3000,MATCH(W117&amp;"",'Chart of Accounts'!$A$5:$A$3000,0)),"")</f>
        <v/>
      </c>
      <c r="AL117" s="23">
        <f>IF(LEFT(AG117,8)="Revenue|",-N(S117),0)+IF(LEFT(AH117,8)="Revenue|",-N(T117),0)+IF(LEFT(AI117,8)="Revenue|",N(AF117),0)+IF(LEFT(AJ117,8)="Revenue|",N(AC117),0)+IF(LEFT(AK117,8)="Revenue|",N(U117),0)</f>
        <v/>
      </c>
      <c r="AM117" s="23">
        <f>IF(LEFT(AG117,5)="COGS|",N(S117),0)+IF(LEFT(AH117,5)="COGS|",N(T117),0)+IF(LEFT(AI117,5)="COGS|",-N(AF117),0)+IF(LEFT(AJ117,5)="COGS|",-N(AC117),0)+IF(LEFT(AK117,5)="COGS|",-N(U117),0)</f>
        <v/>
      </c>
      <c r="AN117" s="23">
        <f>IF(LEFT(AG117,8)="Expense|",N(S117),0)+IF(LEFT(AH117,8)="Expense|",N(T117),0)+IF(LEFT(AI117,8)="Expense|",-N(AF117),0)+IF(LEFT(AJ117,8)="Expense|",-N(AC117),0)+IF(LEFT(AK117,8)="Expense|",-N(U117),0)</f>
        <v/>
      </c>
      <c r="AO117" s="23">
        <f>IF(ISNUMBER(MATCH(AG117,{"Expense|employee","Expense|general_admin","Expense|marketing","Expense|utilities","Expense|other_operating"},0)),N(S117),0)+IF(ISNUMBER(MATCH(AH117,{"Expense|employee","Expense|general_admin","Expense|marketing","Expense|utilities","Expense|other_operating"},0)),N(T117),0)+IF(ISNUMBER(MATCH(AI117,{"Expense|employee","Expense|general_admin","Expense|marketing","Expense|utilities","Expense|other_operating"},0)),-N(AF117),0)+IF(ISNUMBER(MATCH(AJ117,{"Expense|employee","Expense|general_admin","Expense|marketing","Expense|utilities","Expense|other_operating"},0)),-N(AC117),0)+IF(ISNUMBER(MATCH(AK117,{"Expense|employee","Expense|general_admin","Expense|marketing","Expense|utilities","Expense|other_operating"},0)),-N(U117),0)</f>
        <v/>
      </c>
      <c r="AP117" s="23">
        <f>IF(AG117="Liability|payable",-N(S117),0)+IF(AH117="Liability|payable",-N(T117),0)+IF(AI117="Liability|payable",N(AF117),0)+IF(AJ117="Liability|payable",N(AC117),0)+IF(AK117="Liability|payable",N(U117),0)</f>
        <v/>
      </c>
      <c r="AQ117" s="23">
        <f>IF(AG117="Liability|accrued",-N(S117),0)+IF(AH117="Liability|accrued",-N(T117),0)+IF(AI117="Liability|accrued",N(AF117),0)+IF(AJ117="Liability|accrued",N(AC117),0)+IF(AK117="Liability|accrued",N(U117),0)</f>
        <v/>
      </c>
      <c r="AR117" s="23">
        <f>IF(AND(N(S117)&lt;&gt;0,AG117=""),1,0)+IF(AND(N(T117)&lt;&gt;0,AH117=""),1,0)+IF(AND(N(AF117)&lt;&gt;0,AI117=""),1,0)+IF(AND(N(AC117)&lt;&gt;0,AJ117=""),1,0)+IF(AND(N(U117)&lt;&gt;0,AK117=""),1,0)</f>
        <v/>
      </c>
    </row>
    <row r="118">
      <c r="A118" s="19" t="n"/>
      <c r="B118" s="14" t="n"/>
      <c r="C118" s="14" t="n"/>
      <c r="D118" s="14" t="n"/>
      <c r="E118" s="14" t="n"/>
      <c r="F118" s="14" t="n"/>
      <c r="G118" s="14" t="n"/>
      <c r="H118" s="20" t="n"/>
      <c r="I118" s="14" t="n"/>
      <c r="J118" s="14" t="n"/>
      <c r="K118" s="20" t="n"/>
      <c r="L118" s="14" t="n"/>
      <c r="M118" s="14" t="n"/>
      <c r="N118" s="14" t="n"/>
      <c r="O118" s="14" t="n"/>
      <c r="P118" s="14" t="n"/>
      <c r="Q118" s="14" t="n"/>
      <c r="R118" s="14" t="n"/>
      <c r="S118" s="21">
        <f>ROUND(ABS(N(G118))*N(H118),2)</f>
        <v/>
      </c>
      <c r="T118" s="21">
        <f>IF(B118="Receipt",ROUND(S118*IFERROR(VLOOKUP(Q118,'Tax Codes'!$A$5:$E$300,5,FALSE),0),2),0)</f>
        <v/>
      </c>
      <c r="U118" s="21">
        <f>IF(B118="Receipt",ROUND(S118*IFERROR(VLOOKUP(R118,'Tax Codes'!$A$5:$E$300,5,FALSE),0),2),0)</f>
        <v/>
      </c>
      <c r="V118" s="16">
        <f>INDEX('Chart of Accounts'!$A$5:$A$3000,MATCH("vat_input",'Chart of Accounts'!$F$5:$F$3000,0))</f>
        <v/>
      </c>
      <c r="W118" s="16">
        <f>INDEX('Chart of Accounts'!$A$5:$A$3000,MATCH("wht_payable",'Chart of Accounts'!$F$5:$F$3000,0))</f>
        <v/>
      </c>
      <c r="X118" s="16">
        <f>IF(M118="",INDEX('Chart of Accounts'!$A$5:$A$3000,MATCH("bank",'Chart of Accounts'!$F$5:$F$3000,0)),M118&amp;"")</f>
        <v/>
      </c>
      <c r="Y118" s="16">
        <f>IF(N118="",INDEX('Chart of Accounts'!$A$5:$A$3000,MATCH("ap",'Chart of Accounts'!$F$5:$F$3000,0)),N118&amp;"")</f>
        <v/>
      </c>
      <c r="Z118" s="16">
        <f>IF(O118="",INDEX('Chart of Accounts'!$A$5:$A$3000,MATCH("materials",'Chart of Accounts'!$F$5:$F$3000,0)),O118&amp;"")</f>
        <v/>
      </c>
      <c r="AA118" s="16">
        <f>IF(IFERROR(INDEX(Warehouses!$C$5:$C$1000,MATCH(C118,Warehouses!$A$5:$A$1000,0))&amp;"","")="",INDEX('Chart of Accounts'!$A$5:$A$3000,MATCH("inventory",'Chart of Accounts'!$F$5:$F$3000,0)),IFERROR(INDEX(Warehouses!$C$5:$C$1000,MATCH(C118,Warehouses!$A$5:$A$1000,0))&amp;"",""))</f>
        <v/>
      </c>
      <c r="AB118" s="16">
        <f>IF(IFERROR(INDEX(Warehouses!$C$5:$C$1000,MATCH(D118,Warehouses!$A$5:$A$1000,0))&amp;"","")="",INDEX('Chart of Accounts'!$A$5:$A$3000,MATCH("inventory",'Chart of Accounts'!$F$5:$F$3000,0)),IFERROR(INDEX(Warehouses!$C$5:$C$1000,MATCH(D118,Warehouses!$A$5:$A$1000,0))&amp;"",""))</f>
        <v/>
      </c>
      <c r="AC118" s="21">
        <f>IF(B118="Receipt",N(K118),0)</f>
        <v/>
      </c>
      <c r="AD118" s="16">
        <f>IF(B118="Receipt",AA118,IF(B118="Issue",Z118,IF(B118="Transfer",AB118,IF(N(G118)&gt;=0,AA118,INDEX('Chart of Accounts'!$A$5:$A$3000,MATCH("stock_adjust",'Chart of Accounts'!$F$5:$F$3000,0))))))</f>
        <v/>
      </c>
      <c r="AE118" s="16">
        <f>IF(B118="Receipt",Y118,IF(B118="Adjustment",IF(N(G118)&gt;=0,INDEX('Chart of Accounts'!$A$5:$A$3000,MATCH("stock_adjust",'Chart of Accounts'!$F$5:$F$3000,0)),AA118),AA118))</f>
        <v/>
      </c>
      <c r="AF118" s="21">
        <f>S118+T118-U118-AC118</f>
        <v/>
      </c>
      <c r="AG118" s="23">
        <f>IFERROR(INDEX('Chart of Accounts'!$C$5:$C$3000,MATCH(AD118&amp;"",'Chart of Accounts'!$A$5:$A$3000,0))&amp;"|"&amp;INDEX('Chart of Accounts'!$D$5:$D$3000,MATCH(AD118&amp;"",'Chart of Accounts'!$A$5:$A$3000,0)),"")</f>
        <v/>
      </c>
      <c r="AH118" s="23">
        <f>IFERROR(INDEX('Chart of Accounts'!$C$5:$C$3000,MATCH(V118&amp;"",'Chart of Accounts'!$A$5:$A$3000,0))&amp;"|"&amp;INDEX('Chart of Accounts'!$D$5:$D$3000,MATCH(V118&amp;"",'Chart of Accounts'!$A$5:$A$3000,0)),"")</f>
        <v/>
      </c>
      <c r="AI118" s="23">
        <f>IFERROR(INDEX('Chart of Accounts'!$C$5:$C$3000,MATCH(AE118&amp;"",'Chart of Accounts'!$A$5:$A$3000,0))&amp;"|"&amp;INDEX('Chart of Accounts'!$D$5:$D$3000,MATCH(AE118&amp;"",'Chart of Accounts'!$A$5:$A$3000,0)),"")</f>
        <v/>
      </c>
      <c r="AJ118" s="23">
        <f>IFERROR(INDEX('Chart of Accounts'!$C$5:$C$3000,MATCH(X118&amp;"",'Chart of Accounts'!$A$5:$A$3000,0))&amp;"|"&amp;INDEX('Chart of Accounts'!$D$5:$D$3000,MATCH(X118&amp;"",'Chart of Accounts'!$A$5:$A$3000,0)),"")</f>
        <v/>
      </c>
      <c r="AK118" s="23">
        <f>IFERROR(INDEX('Chart of Accounts'!$C$5:$C$3000,MATCH(W118&amp;"",'Chart of Accounts'!$A$5:$A$3000,0))&amp;"|"&amp;INDEX('Chart of Accounts'!$D$5:$D$3000,MATCH(W118&amp;"",'Chart of Accounts'!$A$5:$A$3000,0)),"")</f>
        <v/>
      </c>
      <c r="AL118" s="23">
        <f>IF(LEFT(AG118,8)="Revenue|",-N(S118),0)+IF(LEFT(AH118,8)="Revenue|",-N(T118),0)+IF(LEFT(AI118,8)="Revenue|",N(AF118),0)+IF(LEFT(AJ118,8)="Revenue|",N(AC118),0)+IF(LEFT(AK118,8)="Revenue|",N(U118),0)</f>
        <v/>
      </c>
      <c r="AM118" s="23">
        <f>IF(LEFT(AG118,5)="COGS|",N(S118),0)+IF(LEFT(AH118,5)="COGS|",N(T118),0)+IF(LEFT(AI118,5)="COGS|",-N(AF118),0)+IF(LEFT(AJ118,5)="COGS|",-N(AC118),0)+IF(LEFT(AK118,5)="COGS|",-N(U118),0)</f>
        <v/>
      </c>
      <c r="AN118" s="23">
        <f>IF(LEFT(AG118,8)="Expense|",N(S118),0)+IF(LEFT(AH118,8)="Expense|",N(T118),0)+IF(LEFT(AI118,8)="Expense|",-N(AF118),0)+IF(LEFT(AJ118,8)="Expense|",-N(AC118),0)+IF(LEFT(AK118,8)="Expense|",-N(U118),0)</f>
        <v/>
      </c>
      <c r="AO118" s="23">
        <f>IF(ISNUMBER(MATCH(AG118,{"Expense|employee","Expense|general_admin","Expense|marketing","Expense|utilities","Expense|other_operating"},0)),N(S118),0)+IF(ISNUMBER(MATCH(AH118,{"Expense|employee","Expense|general_admin","Expense|marketing","Expense|utilities","Expense|other_operating"},0)),N(T118),0)+IF(ISNUMBER(MATCH(AI118,{"Expense|employee","Expense|general_admin","Expense|marketing","Expense|utilities","Expense|other_operating"},0)),-N(AF118),0)+IF(ISNUMBER(MATCH(AJ118,{"Expense|employee","Expense|general_admin","Expense|marketing","Expense|utilities","Expense|other_operating"},0)),-N(AC118),0)+IF(ISNUMBER(MATCH(AK118,{"Expense|employee","Expense|general_admin","Expense|marketing","Expense|utilities","Expense|other_operating"},0)),-N(U118),0)</f>
        <v/>
      </c>
      <c r="AP118" s="23">
        <f>IF(AG118="Liability|payable",-N(S118),0)+IF(AH118="Liability|payable",-N(T118),0)+IF(AI118="Liability|payable",N(AF118),0)+IF(AJ118="Liability|payable",N(AC118),0)+IF(AK118="Liability|payable",N(U118),0)</f>
        <v/>
      </c>
      <c r="AQ118" s="23">
        <f>IF(AG118="Liability|accrued",-N(S118),0)+IF(AH118="Liability|accrued",-N(T118),0)+IF(AI118="Liability|accrued",N(AF118),0)+IF(AJ118="Liability|accrued",N(AC118),0)+IF(AK118="Liability|accrued",N(U118),0)</f>
        <v/>
      </c>
      <c r="AR118" s="23">
        <f>IF(AND(N(S118)&lt;&gt;0,AG118=""),1,0)+IF(AND(N(T118)&lt;&gt;0,AH118=""),1,0)+IF(AND(N(AF118)&lt;&gt;0,AI118=""),1,0)+IF(AND(N(AC118)&lt;&gt;0,AJ118=""),1,0)+IF(AND(N(U118)&lt;&gt;0,AK118=""),1,0)</f>
        <v/>
      </c>
    </row>
    <row r="119">
      <c r="A119" s="19" t="n"/>
      <c r="B119" s="14" t="n"/>
      <c r="C119" s="14" t="n"/>
      <c r="D119" s="14" t="n"/>
      <c r="E119" s="14" t="n"/>
      <c r="F119" s="14" t="n"/>
      <c r="G119" s="14" t="n"/>
      <c r="H119" s="20" t="n"/>
      <c r="I119" s="14" t="n"/>
      <c r="J119" s="14" t="n"/>
      <c r="K119" s="20" t="n"/>
      <c r="L119" s="14" t="n"/>
      <c r="M119" s="14" t="n"/>
      <c r="N119" s="14" t="n"/>
      <c r="O119" s="14" t="n"/>
      <c r="P119" s="14" t="n"/>
      <c r="Q119" s="14" t="n"/>
      <c r="R119" s="14" t="n"/>
      <c r="S119" s="21">
        <f>ROUND(ABS(N(G119))*N(H119),2)</f>
        <v/>
      </c>
      <c r="T119" s="21">
        <f>IF(B119="Receipt",ROUND(S119*IFERROR(VLOOKUP(Q119,'Tax Codes'!$A$5:$E$300,5,FALSE),0),2),0)</f>
        <v/>
      </c>
      <c r="U119" s="21">
        <f>IF(B119="Receipt",ROUND(S119*IFERROR(VLOOKUP(R119,'Tax Codes'!$A$5:$E$300,5,FALSE),0),2),0)</f>
        <v/>
      </c>
      <c r="V119" s="16">
        <f>INDEX('Chart of Accounts'!$A$5:$A$3000,MATCH("vat_input",'Chart of Accounts'!$F$5:$F$3000,0))</f>
        <v/>
      </c>
      <c r="W119" s="16">
        <f>INDEX('Chart of Accounts'!$A$5:$A$3000,MATCH("wht_payable",'Chart of Accounts'!$F$5:$F$3000,0))</f>
        <v/>
      </c>
      <c r="X119" s="16">
        <f>IF(M119="",INDEX('Chart of Accounts'!$A$5:$A$3000,MATCH("bank",'Chart of Accounts'!$F$5:$F$3000,0)),M119&amp;"")</f>
        <v/>
      </c>
      <c r="Y119" s="16">
        <f>IF(N119="",INDEX('Chart of Accounts'!$A$5:$A$3000,MATCH("ap",'Chart of Accounts'!$F$5:$F$3000,0)),N119&amp;"")</f>
        <v/>
      </c>
      <c r="Z119" s="16">
        <f>IF(O119="",INDEX('Chart of Accounts'!$A$5:$A$3000,MATCH("materials",'Chart of Accounts'!$F$5:$F$3000,0)),O119&amp;"")</f>
        <v/>
      </c>
      <c r="AA119" s="16">
        <f>IF(IFERROR(INDEX(Warehouses!$C$5:$C$1000,MATCH(C119,Warehouses!$A$5:$A$1000,0))&amp;"","")="",INDEX('Chart of Accounts'!$A$5:$A$3000,MATCH("inventory",'Chart of Accounts'!$F$5:$F$3000,0)),IFERROR(INDEX(Warehouses!$C$5:$C$1000,MATCH(C119,Warehouses!$A$5:$A$1000,0))&amp;"",""))</f>
        <v/>
      </c>
      <c r="AB119" s="16">
        <f>IF(IFERROR(INDEX(Warehouses!$C$5:$C$1000,MATCH(D119,Warehouses!$A$5:$A$1000,0))&amp;"","")="",INDEX('Chart of Accounts'!$A$5:$A$3000,MATCH("inventory",'Chart of Accounts'!$F$5:$F$3000,0)),IFERROR(INDEX(Warehouses!$C$5:$C$1000,MATCH(D119,Warehouses!$A$5:$A$1000,0))&amp;"",""))</f>
        <v/>
      </c>
      <c r="AC119" s="21">
        <f>IF(B119="Receipt",N(K119),0)</f>
        <v/>
      </c>
      <c r="AD119" s="16">
        <f>IF(B119="Receipt",AA119,IF(B119="Issue",Z119,IF(B119="Transfer",AB119,IF(N(G119)&gt;=0,AA119,INDEX('Chart of Accounts'!$A$5:$A$3000,MATCH("stock_adjust",'Chart of Accounts'!$F$5:$F$3000,0))))))</f>
        <v/>
      </c>
      <c r="AE119" s="16">
        <f>IF(B119="Receipt",Y119,IF(B119="Adjustment",IF(N(G119)&gt;=0,INDEX('Chart of Accounts'!$A$5:$A$3000,MATCH("stock_adjust",'Chart of Accounts'!$F$5:$F$3000,0)),AA119),AA119))</f>
        <v/>
      </c>
      <c r="AF119" s="21">
        <f>S119+T119-U119-AC119</f>
        <v/>
      </c>
      <c r="AG119" s="23">
        <f>IFERROR(INDEX('Chart of Accounts'!$C$5:$C$3000,MATCH(AD119&amp;"",'Chart of Accounts'!$A$5:$A$3000,0))&amp;"|"&amp;INDEX('Chart of Accounts'!$D$5:$D$3000,MATCH(AD119&amp;"",'Chart of Accounts'!$A$5:$A$3000,0)),"")</f>
        <v/>
      </c>
      <c r="AH119" s="23">
        <f>IFERROR(INDEX('Chart of Accounts'!$C$5:$C$3000,MATCH(V119&amp;"",'Chart of Accounts'!$A$5:$A$3000,0))&amp;"|"&amp;INDEX('Chart of Accounts'!$D$5:$D$3000,MATCH(V119&amp;"",'Chart of Accounts'!$A$5:$A$3000,0)),"")</f>
        <v/>
      </c>
      <c r="AI119" s="23">
        <f>IFERROR(INDEX('Chart of Accounts'!$C$5:$C$3000,MATCH(AE119&amp;"",'Chart of Accounts'!$A$5:$A$3000,0))&amp;"|"&amp;INDEX('Chart of Accounts'!$D$5:$D$3000,MATCH(AE119&amp;"",'Chart of Accounts'!$A$5:$A$3000,0)),"")</f>
        <v/>
      </c>
      <c r="AJ119" s="23">
        <f>IFERROR(INDEX('Chart of Accounts'!$C$5:$C$3000,MATCH(X119&amp;"",'Chart of Accounts'!$A$5:$A$3000,0))&amp;"|"&amp;INDEX('Chart of Accounts'!$D$5:$D$3000,MATCH(X119&amp;"",'Chart of Accounts'!$A$5:$A$3000,0)),"")</f>
        <v/>
      </c>
      <c r="AK119" s="23">
        <f>IFERROR(INDEX('Chart of Accounts'!$C$5:$C$3000,MATCH(W119&amp;"",'Chart of Accounts'!$A$5:$A$3000,0))&amp;"|"&amp;INDEX('Chart of Accounts'!$D$5:$D$3000,MATCH(W119&amp;"",'Chart of Accounts'!$A$5:$A$3000,0)),"")</f>
        <v/>
      </c>
      <c r="AL119" s="23">
        <f>IF(LEFT(AG119,8)="Revenue|",-N(S119),0)+IF(LEFT(AH119,8)="Revenue|",-N(T119),0)+IF(LEFT(AI119,8)="Revenue|",N(AF119),0)+IF(LEFT(AJ119,8)="Revenue|",N(AC119),0)+IF(LEFT(AK119,8)="Revenue|",N(U119),0)</f>
        <v/>
      </c>
      <c r="AM119" s="23">
        <f>IF(LEFT(AG119,5)="COGS|",N(S119),0)+IF(LEFT(AH119,5)="COGS|",N(T119),0)+IF(LEFT(AI119,5)="COGS|",-N(AF119),0)+IF(LEFT(AJ119,5)="COGS|",-N(AC119),0)+IF(LEFT(AK119,5)="COGS|",-N(U119),0)</f>
        <v/>
      </c>
      <c r="AN119" s="23">
        <f>IF(LEFT(AG119,8)="Expense|",N(S119),0)+IF(LEFT(AH119,8)="Expense|",N(T119),0)+IF(LEFT(AI119,8)="Expense|",-N(AF119),0)+IF(LEFT(AJ119,8)="Expense|",-N(AC119),0)+IF(LEFT(AK119,8)="Expense|",-N(U119),0)</f>
        <v/>
      </c>
      <c r="AO119" s="23">
        <f>IF(ISNUMBER(MATCH(AG119,{"Expense|employee","Expense|general_admin","Expense|marketing","Expense|utilities","Expense|other_operating"},0)),N(S119),0)+IF(ISNUMBER(MATCH(AH119,{"Expense|employee","Expense|general_admin","Expense|marketing","Expense|utilities","Expense|other_operating"},0)),N(T119),0)+IF(ISNUMBER(MATCH(AI119,{"Expense|employee","Expense|general_admin","Expense|marketing","Expense|utilities","Expense|other_operating"},0)),-N(AF119),0)+IF(ISNUMBER(MATCH(AJ119,{"Expense|employee","Expense|general_admin","Expense|marketing","Expense|utilities","Expense|other_operating"},0)),-N(AC119),0)+IF(ISNUMBER(MATCH(AK119,{"Expense|employee","Expense|general_admin","Expense|marketing","Expense|utilities","Expense|other_operating"},0)),-N(U119),0)</f>
        <v/>
      </c>
      <c r="AP119" s="23">
        <f>IF(AG119="Liability|payable",-N(S119),0)+IF(AH119="Liability|payable",-N(T119),0)+IF(AI119="Liability|payable",N(AF119),0)+IF(AJ119="Liability|payable",N(AC119),0)+IF(AK119="Liability|payable",N(U119),0)</f>
        <v/>
      </c>
      <c r="AQ119" s="23">
        <f>IF(AG119="Liability|accrued",-N(S119),0)+IF(AH119="Liability|accrued",-N(T119),0)+IF(AI119="Liability|accrued",N(AF119),0)+IF(AJ119="Liability|accrued",N(AC119),0)+IF(AK119="Liability|accrued",N(U119),0)</f>
        <v/>
      </c>
      <c r="AR119" s="23">
        <f>IF(AND(N(S119)&lt;&gt;0,AG119=""),1,0)+IF(AND(N(T119)&lt;&gt;0,AH119=""),1,0)+IF(AND(N(AF119)&lt;&gt;0,AI119=""),1,0)+IF(AND(N(AC119)&lt;&gt;0,AJ119=""),1,0)+IF(AND(N(U119)&lt;&gt;0,AK119=""),1,0)</f>
        <v/>
      </c>
    </row>
    <row r="120">
      <c r="A120" s="19" t="n"/>
      <c r="B120" s="14" t="n"/>
      <c r="C120" s="14" t="n"/>
      <c r="D120" s="14" t="n"/>
      <c r="E120" s="14" t="n"/>
      <c r="F120" s="14" t="n"/>
      <c r="G120" s="14" t="n"/>
      <c r="H120" s="20" t="n"/>
      <c r="I120" s="14" t="n"/>
      <c r="J120" s="14" t="n"/>
      <c r="K120" s="20" t="n"/>
      <c r="L120" s="14" t="n"/>
      <c r="M120" s="14" t="n"/>
      <c r="N120" s="14" t="n"/>
      <c r="O120" s="14" t="n"/>
      <c r="P120" s="14" t="n"/>
      <c r="Q120" s="14" t="n"/>
      <c r="R120" s="14" t="n"/>
      <c r="S120" s="21">
        <f>ROUND(ABS(N(G120))*N(H120),2)</f>
        <v/>
      </c>
      <c r="T120" s="21">
        <f>IF(B120="Receipt",ROUND(S120*IFERROR(VLOOKUP(Q120,'Tax Codes'!$A$5:$E$300,5,FALSE),0),2),0)</f>
        <v/>
      </c>
      <c r="U120" s="21">
        <f>IF(B120="Receipt",ROUND(S120*IFERROR(VLOOKUP(R120,'Tax Codes'!$A$5:$E$300,5,FALSE),0),2),0)</f>
        <v/>
      </c>
      <c r="V120" s="16">
        <f>INDEX('Chart of Accounts'!$A$5:$A$3000,MATCH("vat_input",'Chart of Accounts'!$F$5:$F$3000,0))</f>
        <v/>
      </c>
      <c r="W120" s="16">
        <f>INDEX('Chart of Accounts'!$A$5:$A$3000,MATCH("wht_payable",'Chart of Accounts'!$F$5:$F$3000,0))</f>
        <v/>
      </c>
      <c r="X120" s="16">
        <f>IF(M120="",INDEX('Chart of Accounts'!$A$5:$A$3000,MATCH("bank",'Chart of Accounts'!$F$5:$F$3000,0)),M120&amp;"")</f>
        <v/>
      </c>
      <c r="Y120" s="16">
        <f>IF(N120="",INDEX('Chart of Accounts'!$A$5:$A$3000,MATCH("ap",'Chart of Accounts'!$F$5:$F$3000,0)),N120&amp;"")</f>
        <v/>
      </c>
      <c r="Z120" s="16">
        <f>IF(O120="",INDEX('Chart of Accounts'!$A$5:$A$3000,MATCH("materials",'Chart of Accounts'!$F$5:$F$3000,0)),O120&amp;"")</f>
        <v/>
      </c>
      <c r="AA120" s="16">
        <f>IF(IFERROR(INDEX(Warehouses!$C$5:$C$1000,MATCH(C120,Warehouses!$A$5:$A$1000,0))&amp;"","")="",INDEX('Chart of Accounts'!$A$5:$A$3000,MATCH("inventory",'Chart of Accounts'!$F$5:$F$3000,0)),IFERROR(INDEX(Warehouses!$C$5:$C$1000,MATCH(C120,Warehouses!$A$5:$A$1000,0))&amp;"",""))</f>
        <v/>
      </c>
      <c r="AB120" s="16">
        <f>IF(IFERROR(INDEX(Warehouses!$C$5:$C$1000,MATCH(D120,Warehouses!$A$5:$A$1000,0))&amp;"","")="",INDEX('Chart of Accounts'!$A$5:$A$3000,MATCH("inventory",'Chart of Accounts'!$F$5:$F$3000,0)),IFERROR(INDEX(Warehouses!$C$5:$C$1000,MATCH(D120,Warehouses!$A$5:$A$1000,0))&amp;"",""))</f>
        <v/>
      </c>
      <c r="AC120" s="21">
        <f>IF(B120="Receipt",N(K120),0)</f>
        <v/>
      </c>
      <c r="AD120" s="16">
        <f>IF(B120="Receipt",AA120,IF(B120="Issue",Z120,IF(B120="Transfer",AB120,IF(N(G120)&gt;=0,AA120,INDEX('Chart of Accounts'!$A$5:$A$3000,MATCH("stock_adjust",'Chart of Accounts'!$F$5:$F$3000,0))))))</f>
        <v/>
      </c>
      <c r="AE120" s="16">
        <f>IF(B120="Receipt",Y120,IF(B120="Adjustment",IF(N(G120)&gt;=0,INDEX('Chart of Accounts'!$A$5:$A$3000,MATCH("stock_adjust",'Chart of Accounts'!$F$5:$F$3000,0)),AA120),AA120))</f>
        <v/>
      </c>
      <c r="AF120" s="21">
        <f>S120+T120-U120-AC120</f>
        <v/>
      </c>
      <c r="AG120" s="23">
        <f>IFERROR(INDEX('Chart of Accounts'!$C$5:$C$3000,MATCH(AD120&amp;"",'Chart of Accounts'!$A$5:$A$3000,0))&amp;"|"&amp;INDEX('Chart of Accounts'!$D$5:$D$3000,MATCH(AD120&amp;"",'Chart of Accounts'!$A$5:$A$3000,0)),"")</f>
        <v/>
      </c>
      <c r="AH120" s="23">
        <f>IFERROR(INDEX('Chart of Accounts'!$C$5:$C$3000,MATCH(V120&amp;"",'Chart of Accounts'!$A$5:$A$3000,0))&amp;"|"&amp;INDEX('Chart of Accounts'!$D$5:$D$3000,MATCH(V120&amp;"",'Chart of Accounts'!$A$5:$A$3000,0)),"")</f>
        <v/>
      </c>
      <c r="AI120" s="23">
        <f>IFERROR(INDEX('Chart of Accounts'!$C$5:$C$3000,MATCH(AE120&amp;"",'Chart of Accounts'!$A$5:$A$3000,0))&amp;"|"&amp;INDEX('Chart of Accounts'!$D$5:$D$3000,MATCH(AE120&amp;"",'Chart of Accounts'!$A$5:$A$3000,0)),"")</f>
        <v/>
      </c>
      <c r="AJ120" s="23">
        <f>IFERROR(INDEX('Chart of Accounts'!$C$5:$C$3000,MATCH(X120&amp;"",'Chart of Accounts'!$A$5:$A$3000,0))&amp;"|"&amp;INDEX('Chart of Accounts'!$D$5:$D$3000,MATCH(X120&amp;"",'Chart of Accounts'!$A$5:$A$3000,0)),"")</f>
        <v/>
      </c>
      <c r="AK120" s="23">
        <f>IFERROR(INDEX('Chart of Accounts'!$C$5:$C$3000,MATCH(W120&amp;"",'Chart of Accounts'!$A$5:$A$3000,0))&amp;"|"&amp;INDEX('Chart of Accounts'!$D$5:$D$3000,MATCH(W120&amp;"",'Chart of Accounts'!$A$5:$A$3000,0)),"")</f>
        <v/>
      </c>
      <c r="AL120" s="23">
        <f>IF(LEFT(AG120,8)="Revenue|",-N(S120),0)+IF(LEFT(AH120,8)="Revenue|",-N(T120),0)+IF(LEFT(AI120,8)="Revenue|",N(AF120),0)+IF(LEFT(AJ120,8)="Revenue|",N(AC120),0)+IF(LEFT(AK120,8)="Revenue|",N(U120),0)</f>
        <v/>
      </c>
      <c r="AM120" s="23">
        <f>IF(LEFT(AG120,5)="COGS|",N(S120),0)+IF(LEFT(AH120,5)="COGS|",N(T120),0)+IF(LEFT(AI120,5)="COGS|",-N(AF120),0)+IF(LEFT(AJ120,5)="COGS|",-N(AC120),0)+IF(LEFT(AK120,5)="COGS|",-N(U120),0)</f>
        <v/>
      </c>
      <c r="AN120" s="23">
        <f>IF(LEFT(AG120,8)="Expense|",N(S120),0)+IF(LEFT(AH120,8)="Expense|",N(T120),0)+IF(LEFT(AI120,8)="Expense|",-N(AF120),0)+IF(LEFT(AJ120,8)="Expense|",-N(AC120),0)+IF(LEFT(AK120,8)="Expense|",-N(U120),0)</f>
        <v/>
      </c>
      <c r="AO120" s="23">
        <f>IF(ISNUMBER(MATCH(AG120,{"Expense|employee","Expense|general_admin","Expense|marketing","Expense|utilities","Expense|other_operating"},0)),N(S120),0)+IF(ISNUMBER(MATCH(AH120,{"Expense|employee","Expense|general_admin","Expense|marketing","Expense|utilities","Expense|other_operating"},0)),N(T120),0)+IF(ISNUMBER(MATCH(AI120,{"Expense|employee","Expense|general_admin","Expense|marketing","Expense|utilities","Expense|other_operating"},0)),-N(AF120),0)+IF(ISNUMBER(MATCH(AJ120,{"Expense|employee","Expense|general_admin","Expense|marketing","Expense|utilities","Expense|other_operating"},0)),-N(AC120),0)+IF(ISNUMBER(MATCH(AK120,{"Expense|employee","Expense|general_admin","Expense|marketing","Expense|utilities","Expense|other_operating"},0)),-N(U120),0)</f>
        <v/>
      </c>
      <c r="AP120" s="23">
        <f>IF(AG120="Liability|payable",-N(S120),0)+IF(AH120="Liability|payable",-N(T120),0)+IF(AI120="Liability|payable",N(AF120),0)+IF(AJ120="Liability|payable",N(AC120),0)+IF(AK120="Liability|payable",N(U120),0)</f>
        <v/>
      </c>
      <c r="AQ120" s="23">
        <f>IF(AG120="Liability|accrued",-N(S120),0)+IF(AH120="Liability|accrued",-N(T120),0)+IF(AI120="Liability|accrued",N(AF120),0)+IF(AJ120="Liability|accrued",N(AC120),0)+IF(AK120="Liability|accrued",N(U120),0)</f>
        <v/>
      </c>
      <c r="AR120" s="23">
        <f>IF(AND(N(S120)&lt;&gt;0,AG120=""),1,0)+IF(AND(N(T120)&lt;&gt;0,AH120=""),1,0)+IF(AND(N(AF120)&lt;&gt;0,AI120=""),1,0)+IF(AND(N(AC120)&lt;&gt;0,AJ120=""),1,0)+IF(AND(N(U120)&lt;&gt;0,AK120=""),1,0)</f>
        <v/>
      </c>
    </row>
    <row r="121">
      <c r="A121" s="19" t="n"/>
      <c r="B121" s="14" t="n"/>
      <c r="C121" s="14" t="n"/>
      <c r="D121" s="14" t="n"/>
      <c r="E121" s="14" t="n"/>
      <c r="F121" s="14" t="n"/>
      <c r="G121" s="14" t="n"/>
      <c r="H121" s="20" t="n"/>
      <c r="I121" s="14" t="n"/>
      <c r="J121" s="14" t="n"/>
      <c r="K121" s="20" t="n"/>
      <c r="L121" s="14" t="n"/>
      <c r="M121" s="14" t="n"/>
      <c r="N121" s="14" t="n"/>
      <c r="O121" s="14" t="n"/>
      <c r="P121" s="14" t="n"/>
      <c r="Q121" s="14" t="n"/>
      <c r="R121" s="14" t="n"/>
      <c r="S121" s="21">
        <f>ROUND(ABS(N(G121))*N(H121),2)</f>
        <v/>
      </c>
      <c r="T121" s="21">
        <f>IF(B121="Receipt",ROUND(S121*IFERROR(VLOOKUP(Q121,'Tax Codes'!$A$5:$E$300,5,FALSE),0),2),0)</f>
        <v/>
      </c>
      <c r="U121" s="21">
        <f>IF(B121="Receipt",ROUND(S121*IFERROR(VLOOKUP(R121,'Tax Codes'!$A$5:$E$300,5,FALSE),0),2),0)</f>
        <v/>
      </c>
      <c r="V121" s="16">
        <f>INDEX('Chart of Accounts'!$A$5:$A$3000,MATCH("vat_input",'Chart of Accounts'!$F$5:$F$3000,0))</f>
        <v/>
      </c>
      <c r="W121" s="16">
        <f>INDEX('Chart of Accounts'!$A$5:$A$3000,MATCH("wht_payable",'Chart of Accounts'!$F$5:$F$3000,0))</f>
        <v/>
      </c>
      <c r="X121" s="16">
        <f>IF(M121="",INDEX('Chart of Accounts'!$A$5:$A$3000,MATCH("bank",'Chart of Accounts'!$F$5:$F$3000,0)),M121&amp;"")</f>
        <v/>
      </c>
      <c r="Y121" s="16">
        <f>IF(N121="",INDEX('Chart of Accounts'!$A$5:$A$3000,MATCH("ap",'Chart of Accounts'!$F$5:$F$3000,0)),N121&amp;"")</f>
        <v/>
      </c>
      <c r="Z121" s="16">
        <f>IF(O121="",INDEX('Chart of Accounts'!$A$5:$A$3000,MATCH("materials",'Chart of Accounts'!$F$5:$F$3000,0)),O121&amp;"")</f>
        <v/>
      </c>
      <c r="AA121" s="16">
        <f>IF(IFERROR(INDEX(Warehouses!$C$5:$C$1000,MATCH(C121,Warehouses!$A$5:$A$1000,0))&amp;"","")="",INDEX('Chart of Accounts'!$A$5:$A$3000,MATCH("inventory",'Chart of Accounts'!$F$5:$F$3000,0)),IFERROR(INDEX(Warehouses!$C$5:$C$1000,MATCH(C121,Warehouses!$A$5:$A$1000,0))&amp;"",""))</f>
        <v/>
      </c>
      <c r="AB121" s="16">
        <f>IF(IFERROR(INDEX(Warehouses!$C$5:$C$1000,MATCH(D121,Warehouses!$A$5:$A$1000,0))&amp;"","")="",INDEX('Chart of Accounts'!$A$5:$A$3000,MATCH("inventory",'Chart of Accounts'!$F$5:$F$3000,0)),IFERROR(INDEX(Warehouses!$C$5:$C$1000,MATCH(D121,Warehouses!$A$5:$A$1000,0))&amp;"",""))</f>
        <v/>
      </c>
      <c r="AC121" s="21">
        <f>IF(B121="Receipt",N(K121),0)</f>
        <v/>
      </c>
      <c r="AD121" s="16">
        <f>IF(B121="Receipt",AA121,IF(B121="Issue",Z121,IF(B121="Transfer",AB121,IF(N(G121)&gt;=0,AA121,INDEX('Chart of Accounts'!$A$5:$A$3000,MATCH("stock_adjust",'Chart of Accounts'!$F$5:$F$3000,0))))))</f>
        <v/>
      </c>
      <c r="AE121" s="16">
        <f>IF(B121="Receipt",Y121,IF(B121="Adjustment",IF(N(G121)&gt;=0,INDEX('Chart of Accounts'!$A$5:$A$3000,MATCH("stock_adjust",'Chart of Accounts'!$F$5:$F$3000,0)),AA121),AA121))</f>
        <v/>
      </c>
      <c r="AF121" s="21">
        <f>S121+T121-U121-AC121</f>
        <v/>
      </c>
      <c r="AG121" s="23">
        <f>IFERROR(INDEX('Chart of Accounts'!$C$5:$C$3000,MATCH(AD121&amp;"",'Chart of Accounts'!$A$5:$A$3000,0))&amp;"|"&amp;INDEX('Chart of Accounts'!$D$5:$D$3000,MATCH(AD121&amp;"",'Chart of Accounts'!$A$5:$A$3000,0)),"")</f>
        <v/>
      </c>
      <c r="AH121" s="23">
        <f>IFERROR(INDEX('Chart of Accounts'!$C$5:$C$3000,MATCH(V121&amp;"",'Chart of Accounts'!$A$5:$A$3000,0))&amp;"|"&amp;INDEX('Chart of Accounts'!$D$5:$D$3000,MATCH(V121&amp;"",'Chart of Accounts'!$A$5:$A$3000,0)),"")</f>
        <v/>
      </c>
      <c r="AI121" s="23">
        <f>IFERROR(INDEX('Chart of Accounts'!$C$5:$C$3000,MATCH(AE121&amp;"",'Chart of Accounts'!$A$5:$A$3000,0))&amp;"|"&amp;INDEX('Chart of Accounts'!$D$5:$D$3000,MATCH(AE121&amp;"",'Chart of Accounts'!$A$5:$A$3000,0)),"")</f>
        <v/>
      </c>
      <c r="AJ121" s="23">
        <f>IFERROR(INDEX('Chart of Accounts'!$C$5:$C$3000,MATCH(X121&amp;"",'Chart of Accounts'!$A$5:$A$3000,0))&amp;"|"&amp;INDEX('Chart of Accounts'!$D$5:$D$3000,MATCH(X121&amp;"",'Chart of Accounts'!$A$5:$A$3000,0)),"")</f>
        <v/>
      </c>
      <c r="AK121" s="23">
        <f>IFERROR(INDEX('Chart of Accounts'!$C$5:$C$3000,MATCH(W121&amp;"",'Chart of Accounts'!$A$5:$A$3000,0))&amp;"|"&amp;INDEX('Chart of Accounts'!$D$5:$D$3000,MATCH(W121&amp;"",'Chart of Accounts'!$A$5:$A$3000,0)),"")</f>
        <v/>
      </c>
      <c r="AL121" s="23">
        <f>IF(LEFT(AG121,8)="Revenue|",-N(S121),0)+IF(LEFT(AH121,8)="Revenue|",-N(T121),0)+IF(LEFT(AI121,8)="Revenue|",N(AF121),0)+IF(LEFT(AJ121,8)="Revenue|",N(AC121),0)+IF(LEFT(AK121,8)="Revenue|",N(U121),0)</f>
        <v/>
      </c>
      <c r="AM121" s="23">
        <f>IF(LEFT(AG121,5)="COGS|",N(S121),0)+IF(LEFT(AH121,5)="COGS|",N(T121),0)+IF(LEFT(AI121,5)="COGS|",-N(AF121),0)+IF(LEFT(AJ121,5)="COGS|",-N(AC121),0)+IF(LEFT(AK121,5)="COGS|",-N(U121),0)</f>
        <v/>
      </c>
      <c r="AN121" s="23">
        <f>IF(LEFT(AG121,8)="Expense|",N(S121),0)+IF(LEFT(AH121,8)="Expense|",N(T121),0)+IF(LEFT(AI121,8)="Expense|",-N(AF121),0)+IF(LEFT(AJ121,8)="Expense|",-N(AC121),0)+IF(LEFT(AK121,8)="Expense|",-N(U121),0)</f>
        <v/>
      </c>
      <c r="AO121" s="23">
        <f>IF(ISNUMBER(MATCH(AG121,{"Expense|employee","Expense|general_admin","Expense|marketing","Expense|utilities","Expense|other_operating"},0)),N(S121),0)+IF(ISNUMBER(MATCH(AH121,{"Expense|employee","Expense|general_admin","Expense|marketing","Expense|utilities","Expense|other_operating"},0)),N(T121),0)+IF(ISNUMBER(MATCH(AI121,{"Expense|employee","Expense|general_admin","Expense|marketing","Expense|utilities","Expense|other_operating"},0)),-N(AF121),0)+IF(ISNUMBER(MATCH(AJ121,{"Expense|employee","Expense|general_admin","Expense|marketing","Expense|utilities","Expense|other_operating"},0)),-N(AC121),0)+IF(ISNUMBER(MATCH(AK121,{"Expense|employee","Expense|general_admin","Expense|marketing","Expense|utilities","Expense|other_operating"},0)),-N(U121),0)</f>
        <v/>
      </c>
      <c r="AP121" s="23">
        <f>IF(AG121="Liability|payable",-N(S121),0)+IF(AH121="Liability|payable",-N(T121),0)+IF(AI121="Liability|payable",N(AF121),0)+IF(AJ121="Liability|payable",N(AC121),0)+IF(AK121="Liability|payable",N(U121),0)</f>
        <v/>
      </c>
      <c r="AQ121" s="23">
        <f>IF(AG121="Liability|accrued",-N(S121),0)+IF(AH121="Liability|accrued",-N(T121),0)+IF(AI121="Liability|accrued",N(AF121),0)+IF(AJ121="Liability|accrued",N(AC121),0)+IF(AK121="Liability|accrued",N(U121),0)</f>
        <v/>
      </c>
      <c r="AR121" s="23">
        <f>IF(AND(N(S121)&lt;&gt;0,AG121=""),1,0)+IF(AND(N(T121)&lt;&gt;0,AH121=""),1,0)+IF(AND(N(AF121)&lt;&gt;0,AI121=""),1,0)+IF(AND(N(AC121)&lt;&gt;0,AJ121=""),1,0)+IF(AND(N(U121)&lt;&gt;0,AK121=""),1,0)</f>
        <v/>
      </c>
    </row>
    <row r="122">
      <c r="A122" s="19" t="n"/>
      <c r="B122" s="14" t="n"/>
      <c r="C122" s="14" t="n"/>
      <c r="D122" s="14" t="n"/>
      <c r="E122" s="14" t="n"/>
      <c r="F122" s="14" t="n"/>
      <c r="G122" s="14" t="n"/>
      <c r="H122" s="20" t="n"/>
      <c r="I122" s="14" t="n"/>
      <c r="J122" s="14" t="n"/>
      <c r="K122" s="20" t="n"/>
      <c r="L122" s="14" t="n"/>
      <c r="M122" s="14" t="n"/>
      <c r="N122" s="14" t="n"/>
      <c r="O122" s="14" t="n"/>
      <c r="P122" s="14" t="n"/>
      <c r="Q122" s="14" t="n"/>
      <c r="R122" s="14" t="n"/>
      <c r="S122" s="21">
        <f>ROUND(ABS(N(G122))*N(H122),2)</f>
        <v/>
      </c>
      <c r="T122" s="21">
        <f>IF(B122="Receipt",ROUND(S122*IFERROR(VLOOKUP(Q122,'Tax Codes'!$A$5:$E$300,5,FALSE),0),2),0)</f>
        <v/>
      </c>
      <c r="U122" s="21">
        <f>IF(B122="Receipt",ROUND(S122*IFERROR(VLOOKUP(R122,'Tax Codes'!$A$5:$E$300,5,FALSE),0),2),0)</f>
        <v/>
      </c>
      <c r="V122" s="16">
        <f>INDEX('Chart of Accounts'!$A$5:$A$3000,MATCH("vat_input",'Chart of Accounts'!$F$5:$F$3000,0))</f>
        <v/>
      </c>
      <c r="W122" s="16">
        <f>INDEX('Chart of Accounts'!$A$5:$A$3000,MATCH("wht_payable",'Chart of Accounts'!$F$5:$F$3000,0))</f>
        <v/>
      </c>
      <c r="X122" s="16">
        <f>IF(M122="",INDEX('Chart of Accounts'!$A$5:$A$3000,MATCH("bank",'Chart of Accounts'!$F$5:$F$3000,0)),M122&amp;"")</f>
        <v/>
      </c>
      <c r="Y122" s="16">
        <f>IF(N122="",INDEX('Chart of Accounts'!$A$5:$A$3000,MATCH("ap",'Chart of Accounts'!$F$5:$F$3000,0)),N122&amp;"")</f>
        <v/>
      </c>
      <c r="Z122" s="16">
        <f>IF(O122="",INDEX('Chart of Accounts'!$A$5:$A$3000,MATCH("materials",'Chart of Accounts'!$F$5:$F$3000,0)),O122&amp;"")</f>
        <v/>
      </c>
      <c r="AA122" s="16">
        <f>IF(IFERROR(INDEX(Warehouses!$C$5:$C$1000,MATCH(C122,Warehouses!$A$5:$A$1000,0))&amp;"","")="",INDEX('Chart of Accounts'!$A$5:$A$3000,MATCH("inventory",'Chart of Accounts'!$F$5:$F$3000,0)),IFERROR(INDEX(Warehouses!$C$5:$C$1000,MATCH(C122,Warehouses!$A$5:$A$1000,0))&amp;"",""))</f>
        <v/>
      </c>
      <c r="AB122" s="16">
        <f>IF(IFERROR(INDEX(Warehouses!$C$5:$C$1000,MATCH(D122,Warehouses!$A$5:$A$1000,0))&amp;"","")="",INDEX('Chart of Accounts'!$A$5:$A$3000,MATCH("inventory",'Chart of Accounts'!$F$5:$F$3000,0)),IFERROR(INDEX(Warehouses!$C$5:$C$1000,MATCH(D122,Warehouses!$A$5:$A$1000,0))&amp;"",""))</f>
        <v/>
      </c>
      <c r="AC122" s="21">
        <f>IF(B122="Receipt",N(K122),0)</f>
        <v/>
      </c>
      <c r="AD122" s="16">
        <f>IF(B122="Receipt",AA122,IF(B122="Issue",Z122,IF(B122="Transfer",AB122,IF(N(G122)&gt;=0,AA122,INDEX('Chart of Accounts'!$A$5:$A$3000,MATCH("stock_adjust",'Chart of Accounts'!$F$5:$F$3000,0))))))</f>
        <v/>
      </c>
      <c r="AE122" s="16">
        <f>IF(B122="Receipt",Y122,IF(B122="Adjustment",IF(N(G122)&gt;=0,INDEX('Chart of Accounts'!$A$5:$A$3000,MATCH("stock_adjust",'Chart of Accounts'!$F$5:$F$3000,0)),AA122),AA122))</f>
        <v/>
      </c>
      <c r="AF122" s="21">
        <f>S122+T122-U122-AC122</f>
        <v/>
      </c>
      <c r="AG122" s="23">
        <f>IFERROR(INDEX('Chart of Accounts'!$C$5:$C$3000,MATCH(AD122&amp;"",'Chart of Accounts'!$A$5:$A$3000,0))&amp;"|"&amp;INDEX('Chart of Accounts'!$D$5:$D$3000,MATCH(AD122&amp;"",'Chart of Accounts'!$A$5:$A$3000,0)),"")</f>
        <v/>
      </c>
      <c r="AH122" s="23">
        <f>IFERROR(INDEX('Chart of Accounts'!$C$5:$C$3000,MATCH(V122&amp;"",'Chart of Accounts'!$A$5:$A$3000,0))&amp;"|"&amp;INDEX('Chart of Accounts'!$D$5:$D$3000,MATCH(V122&amp;"",'Chart of Accounts'!$A$5:$A$3000,0)),"")</f>
        <v/>
      </c>
      <c r="AI122" s="23">
        <f>IFERROR(INDEX('Chart of Accounts'!$C$5:$C$3000,MATCH(AE122&amp;"",'Chart of Accounts'!$A$5:$A$3000,0))&amp;"|"&amp;INDEX('Chart of Accounts'!$D$5:$D$3000,MATCH(AE122&amp;"",'Chart of Accounts'!$A$5:$A$3000,0)),"")</f>
        <v/>
      </c>
      <c r="AJ122" s="23">
        <f>IFERROR(INDEX('Chart of Accounts'!$C$5:$C$3000,MATCH(X122&amp;"",'Chart of Accounts'!$A$5:$A$3000,0))&amp;"|"&amp;INDEX('Chart of Accounts'!$D$5:$D$3000,MATCH(X122&amp;"",'Chart of Accounts'!$A$5:$A$3000,0)),"")</f>
        <v/>
      </c>
      <c r="AK122" s="23">
        <f>IFERROR(INDEX('Chart of Accounts'!$C$5:$C$3000,MATCH(W122&amp;"",'Chart of Accounts'!$A$5:$A$3000,0))&amp;"|"&amp;INDEX('Chart of Accounts'!$D$5:$D$3000,MATCH(W122&amp;"",'Chart of Accounts'!$A$5:$A$3000,0)),"")</f>
        <v/>
      </c>
      <c r="AL122" s="23">
        <f>IF(LEFT(AG122,8)="Revenue|",-N(S122),0)+IF(LEFT(AH122,8)="Revenue|",-N(T122),0)+IF(LEFT(AI122,8)="Revenue|",N(AF122),0)+IF(LEFT(AJ122,8)="Revenue|",N(AC122),0)+IF(LEFT(AK122,8)="Revenue|",N(U122),0)</f>
        <v/>
      </c>
      <c r="AM122" s="23">
        <f>IF(LEFT(AG122,5)="COGS|",N(S122),0)+IF(LEFT(AH122,5)="COGS|",N(T122),0)+IF(LEFT(AI122,5)="COGS|",-N(AF122),0)+IF(LEFT(AJ122,5)="COGS|",-N(AC122),0)+IF(LEFT(AK122,5)="COGS|",-N(U122),0)</f>
        <v/>
      </c>
      <c r="AN122" s="23">
        <f>IF(LEFT(AG122,8)="Expense|",N(S122),0)+IF(LEFT(AH122,8)="Expense|",N(T122),0)+IF(LEFT(AI122,8)="Expense|",-N(AF122),0)+IF(LEFT(AJ122,8)="Expense|",-N(AC122),0)+IF(LEFT(AK122,8)="Expense|",-N(U122),0)</f>
        <v/>
      </c>
      <c r="AO122" s="23">
        <f>IF(ISNUMBER(MATCH(AG122,{"Expense|employee","Expense|general_admin","Expense|marketing","Expense|utilities","Expense|other_operating"},0)),N(S122),0)+IF(ISNUMBER(MATCH(AH122,{"Expense|employee","Expense|general_admin","Expense|marketing","Expense|utilities","Expense|other_operating"},0)),N(T122),0)+IF(ISNUMBER(MATCH(AI122,{"Expense|employee","Expense|general_admin","Expense|marketing","Expense|utilities","Expense|other_operating"},0)),-N(AF122),0)+IF(ISNUMBER(MATCH(AJ122,{"Expense|employee","Expense|general_admin","Expense|marketing","Expense|utilities","Expense|other_operating"},0)),-N(AC122),0)+IF(ISNUMBER(MATCH(AK122,{"Expense|employee","Expense|general_admin","Expense|marketing","Expense|utilities","Expense|other_operating"},0)),-N(U122),0)</f>
        <v/>
      </c>
      <c r="AP122" s="23">
        <f>IF(AG122="Liability|payable",-N(S122),0)+IF(AH122="Liability|payable",-N(T122),0)+IF(AI122="Liability|payable",N(AF122),0)+IF(AJ122="Liability|payable",N(AC122),0)+IF(AK122="Liability|payable",N(U122),0)</f>
        <v/>
      </c>
      <c r="AQ122" s="23">
        <f>IF(AG122="Liability|accrued",-N(S122),0)+IF(AH122="Liability|accrued",-N(T122),0)+IF(AI122="Liability|accrued",N(AF122),0)+IF(AJ122="Liability|accrued",N(AC122),0)+IF(AK122="Liability|accrued",N(U122),0)</f>
        <v/>
      </c>
      <c r="AR122" s="23">
        <f>IF(AND(N(S122)&lt;&gt;0,AG122=""),1,0)+IF(AND(N(T122)&lt;&gt;0,AH122=""),1,0)+IF(AND(N(AF122)&lt;&gt;0,AI122=""),1,0)+IF(AND(N(AC122)&lt;&gt;0,AJ122=""),1,0)+IF(AND(N(U122)&lt;&gt;0,AK122=""),1,0)</f>
        <v/>
      </c>
    </row>
    <row r="123">
      <c r="A123" s="19" t="n"/>
      <c r="B123" s="14" t="n"/>
      <c r="C123" s="14" t="n"/>
      <c r="D123" s="14" t="n"/>
      <c r="E123" s="14" t="n"/>
      <c r="F123" s="14" t="n"/>
      <c r="G123" s="14" t="n"/>
      <c r="H123" s="20" t="n"/>
      <c r="I123" s="14" t="n"/>
      <c r="J123" s="14" t="n"/>
      <c r="K123" s="20" t="n"/>
      <c r="L123" s="14" t="n"/>
      <c r="M123" s="14" t="n"/>
      <c r="N123" s="14" t="n"/>
      <c r="O123" s="14" t="n"/>
      <c r="P123" s="14" t="n"/>
      <c r="Q123" s="14" t="n"/>
      <c r="R123" s="14" t="n"/>
      <c r="S123" s="21">
        <f>ROUND(ABS(N(G123))*N(H123),2)</f>
        <v/>
      </c>
      <c r="T123" s="21">
        <f>IF(B123="Receipt",ROUND(S123*IFERROR(VLOOKUP(Q123,'Tax Codes'!$A$5:$E$300,5,FALSE),0),2),0)</f>
        <v/>
      </c>
      <c r="U123" s="21">
        <f>IF(B123="Receipt",ROUND(S123*IFERROR(VLOOKUP(R123,'Tax Codes'!$A$5:$E$300,5,FALSE),0),2),0)</f>
        <v/>
      </c>
      <c r="V123" s="16">
        <f>INDEX('Chart of Accounts'!$A$5:$A$3000,MATCH("vat_input",'Chart of Accounts'!$F$5:$F$3000,0))</f>
        <v/>
      </c>
      <c r="W123" s="16">
        <f>INDEX('Chart of Accounts'!$A$5:$A$3000,MATCH("wht_payable",'Chart of Accounts'!$F$5:$F$3000,0))</f>
        <v/>
      </c>
      <c r="X123" s="16">
        <f>IF(M123="",INDEX('Chart of Accounts'!$A$5:$A$3000,MATCH("bank",'Chart of Accounts'!$F$5:$F$3000,0)),M123&amp;"")</f>
        <v/>
      </c>
      <c r="Y123" s="16">
        <f>IF(N123="",INDEX('Chart of Accounts'!$A$5:$A$3000,MATCH("ap",'Chart of Accounts'!$F$5:$F$3000,0)),N123&amp;"")</f>
        <v/>
      </c>
      <c r="Z123" s="16">
        <f>IF(O123="",INDEX('Chart of Accounts'!$A$5:$A$3000,MATCH("materials",'Chart of Accounts'!$F$5:$F$3000,0)),O123&amp;"")</f>
        <v/>
      </c>
      <c r="AA123" s="16">
        <f>IF(IFERROR(INDEX(Warehouses!$C$5:$C$1000,MATCH(C123,Warehouses!$A$5:$A$1000,0))&amp;"","")="",INDEX('Chart of Accounts'!$A$5:$A$3000,MATCH("inventory",'Chart of Accounts'!$F$5:$F$3000,0)),IFERROR(INDEX(Warehouses!$C$5:$C$1000,MATCH(C123,Warehouses!$A$5:$A$1000,0))&amp;"",""))</f>
        <v/>
      </c>
      <c r="AB123" s="16">
        <f>IF(IFERROR(INDEX(Warehouses!$C$5:$C$1000,MATCH(D123,Warehouses!$A$5:$A$1000,0))&amp;"","")="",INDEX('Chart of Accounts'!$A$5:$A$3000,MATCH("inventory",'Chart of Accounts'!$F$5:$F$3000,0)),IFERROR(INDEX(Warehouses!$C$5:$C$1000,MATCH(D123,Warehouses!$A$5:$A$1000,0))&amp;"",""))</f>
        <v/>
      </c>
      <c r="AC123" s="21">
        <f>IF(B123="Receipt",N(K123),0)</f>
        <v/>
      </c>
      <c r="AD123" s="16">
        <f>IF(B123="Receipt",AA123,IF(B123="Issue",Z123,IF(B123="Transfer",AB123,IF(N(G123)&gt;=0,AA123,INDEX('Chart of Accounts'!$A$5:$A$3000,MATCH("stock_adjust",'Chart of Accounts'!$F$5:$F$3000,0))))))</f>
        <v/>
      </c>
      <c r="AE123" s="16">
        <f>IF(B123="Receipt",Y123,IF(B123="Adjustment",IF(N(G123)&gt;=0,INDEX('Chart of Accounts'!$A$5:$A$3000,MATCH("stock_adjust",'Chart of Accounts'!$F$5:$F$3000,0)),AA123),AA123))</f>
        <v/>
      </c>
      <c r="AF123" s="21">
        <f>S123+T123-U123-AC123</f>
        <v/>
      </c>
      <c r="AG123" s="23">
        <f>IFERROR(INDEX('Chart of Accounts'!$C$5:$C$3000,MATCH(AD123&amp;"",'Chart of Accounts'!$A$5:$A$3000,0))&amp;"|"&amp;INDEX('Chart of Accounts'!$D$5:$D$3000,MATCH(AD123&amp;"",'Chart of Accounts'!$A$5:$A$3000,0)),"")</f>
        <v/>
      </c>
      <c r="AH123" s="23">
        <f>IFERROR(INDEX('Chart of Accounts'!$C$5:$C$3000,MATCH(V123&amp;"",'Chart of Accounts'!$A$5:$A$3000,0))&amp;"|"&amp;INDEX('Chart of Accounts'!$D$5:$D$3000,MATCH(V123&amp;"",'Chart of Accounts'!$A$5:$A$3000,0)),"")</f>
        <v/>
      </c>
      <c r="AI123" s="23">
        <f>IFERROR(INDEX('Chart of Accounts'!$C$5:$C$3000,MATCH(AE123&amp;"",'Chart of Accounts'!$A$5:$A$3000,0))&amp;"|"&amp;INDEX('Chart of Accounts'!$D$5:$D$3000,MATCH(AE123&amp;"",'Chart of Accounts'!$A$5:$A$3000,0)),"")</f>
        <v/>
      </c>
      <c r="AJ123" s="23">
        <f>IFERROR(INDEX('Chart of Accounts'!$C$5:$C$3000,MATCH(X123&amp;"",'Chart of Accounts'!$A$5:$A$3000,0))&amp;"|"&amp;INDEX('Chart of Accounts'!$D$5:$D$3000,MATCH(X123&amp;"",'Chart of Accounts'!$A$5:$A$3000,0)),"")</f>
        <v/>
      </c>
      <c r="AK123" s="23">
        <f>IFERROR(INDEX('Chart of Accounts'!$C$5:$C$3000,MATCH(W123&amp;"",'Chart of Accounts'!$A$5:$A$3000,0))&amp;"|"&amp;INDEX('Chart of Accounts'!$D$5:$D$3000,MATCH(W123&amp;"",'Chart of Accounts'!$A$5:$A$3000,0)),"")</f>
        <v/>
      </c>
      <c r="AL123" s="23">
        <f>IF(LEFT(AG123,8)="Revenue|",-N(S123),0)+IF(LEFT(AH123,8)="Revenue|",-N(T123),0)+IF(LEFT(AI123,8)="Revenue|",N(AF123),0)+IF(LEFT(AJ123,8)="Revenue|",N(AC123),0)+IF(LEFT(AK123,8)="Revenue|",N(U123),0)</f>
        <v/>
      </c>
      <c r="AM123" s="23">
        <f>IF(LEFT(AG123,5)="COGS|",N(S123),0)+IF(LEFT(AH123,5)="COGS|",N(T123),0)+IF(LEFT(AI123,5)="COGS|",-N(AF123),0)+IF(LEFT(AJ123,5)="COGS|",-N(AC123),0)+IF(LEFT(AK123,5)="COGS|",-N(U123),0)</f>
        <v/>
      </c>
      <c r="AN123" s="23">
        <f>IF(LEFT(AG123,8)="Expense|",N(S123),0)+IF(LEFT(AH123,8)="Expense|",N(T123),0)+IF(LEFT(AI123,8)="Expense|",-N(AF123),0)+IF(LEFT(AJ123,8)="Expense|",-N(AC123),0)+IF(LEFT(AK123,8)="Expense|",-N(U123),0)</f>
        <v/>
      </c>
      <c r="AO123" s="23">
        <f>IF(ISNUMBER(MATCH(AG123,{"Expense|employee","Expense|general_admin","Expense|marketing","Expense|utilities","Expense|other_operating"},0)),N(S123),0)+IF(ISNUMBER(MATCH(AH123,{"Expense|employee","Expense|general_admin","Expense|marketing","Expense|utilities","Expense|other_operating"},0)),N(T123),0)+IF(ISNUMBER(MATCH(AI123,{"Expense|employee","Expense|general_admin","Expense|marketing","Expense|utilities","Expense|other_operating"},0)),-N(AF123),0)+IF(ISNUMBER(MATCH(AJ123,{"Expense|employee","Expense|general_admin","Expense|marketing","Expense|utilities","Expense|other_operating"},0)),-N(AC123),0)+IF(ISNUMBER(MATCH(AK123,{"Expense|employee","Expense|general_admin","Expense|marketing","Expense|utilities","Expense|other_operating"},0)),-N(U123),0)</f>
        <v/>
      </c>
      <c r="AP123" s="23">
        <f>IF(AG123="Liability|payable",-N(S123),0)+IF(AH123="Liability|payable",-N(T123),0)+IF(AI123="Liability|payable",N(AF123),0)+IF(AJ123="Liability|payable",N(AC123),0)+IF(AK123="Liability|payable",N(U123),0)</f>
        <v/>
      </c>
      <c r="AQ123" s="23">
        <f>IF(AG123="Liability|accrued",-N(S123),0)+IF(AH123="Liability|accrued",-N(T123),0)+IF(AI123="Liability|accrued",N(AF123),0)+IF(AJ123="Liability|accrued",N(AC123),0)+IF(AK123="Liability|accrued",N(U123),0)</f>
        <v/>
      </c>
      <c r="AR123" s="23">
        <f>IF(AND(N(S123)&lt;&gt;0,AG123=""),1,0)+IF(AND(N(T123)&lt;&gt;0,AH123=""),1,0)+IF(AND(N(AF123)&lt;&gt;0,AI123=""),1,0)+IF(AND(N(AC123)&lt;&gt;0,AJ123=""),1,0)+IF(AND(N(U123)&lt;&gt;0,AK123=""),1,0)</f>
        <v/>
      </c>
    </row>
    <row r="124">
      <c r="A124" s="19" t="n"/>
      <c r="B124" s="14" t="n"/>
      <c r="C124" s="14" t="n"/>
      <c r="D124" s="14" t="n"/>
      <c r="E124" s="14" t="n"/>
      <c r="F124" s="14" t="n"/>
      <c r="G124" s="14" t="n"/>
      <c r="H124" s="20" t="n"/>
      <c r="I124" s="14" t="n"/>
      <c r="J124" s="14" t="n"/>
      <c r="K124" s="20" t="n"/>
      <c r="L124" s="14" t="n"/>
      <c r="M124" s="14" t="n"/>
      <c r="N124" s="14" t="n"/>
      <c r="O124" s="14" t="n"/>
      <c r="P124" s="14" t="n"/>
      <c r="Q124" s="14" t="n"/>
      <c r="R124" s="14" t="n"/>
      <c r="S124" s="21">
        <f>ROUND(ABS(N(G124))*N(H124),2)</f>
        <v/>
      </c>
      <c r="T124" s="21">
        <f>IF(B124="Receipt",ROUND(S124*IFERROR(VLOOKUP(Q124,'Tax Codes'!$A$5:$E$300,5,FALSE),0),2),0)</f>
        <v/>
      </c>
      <c r="U124" s="21">
        <f>IF(B124="Receipt",ROUND(S124*IFERROR(VLOOKUP(R124,'Tax Codes'!$A$5:$E$300,5,FALSE),0),2),0)</f>
        <v/>
      </c>
      <c r="V124" s="16">
        <f>INDEX('Chart of Accounts'!$A$5:$A$3000,MATCH("vat_input",'Chart of Accounts'!$F$5:$F$3000,0))</f>
        <v/>
      </c>
      <c r="W124" s="16">
        <f>INDEX('Chart of Accounts'!$A$5:$A$3000,MATCH("wht_payable",'Chart of Accounts'!$F$5:$F$3000,0))</f>
        <v/>
      </c>
      <c r="X124" s="16">
        <f>IF(M124="",INDEX('Chart of Accounts'!$A$5:$A$3000,MATCH("bank",'Chart of Accounts'!$F$5:$F$3000,0)),M124&amp;"")</f>
        <v/>
      </c>
      <c r="Y124" s="16">
        <f>IF(N124="",INDEX('Chart of Accounts'!$A$5:$A$3000,MATCH("ap",'Chart of Accounts'!$F$5:$F$3000,0)),N124&amp;"")</f>
        <v/>
      </c>
      <c r="Z124" s="16">
        <f>IF(O124="",INDEX('Chart of Accounts'!$A$5:$A$3000,MATCH("materials",'Chart of Accounts'!$F$5:$F$3000,0)),O124&amp;"")</f>
        <v/>
      </c>
      <c r="AA124" s="16">
        <f>IF(IFERROR(INDEX(Warehouses!$C$5:$C$1000,MATCH(C124,Warehouses!$A$5:$A$1000,0))&amp;"","")="",INDEX('Chart of Accounts'!$A$5:$A$3000,MATCH("inventory",'Chart of Accounts'!$F$5:$F$3000,0)),IFERROR(INDEX(Warehouses!$C$5:$C$1000,MATCH(C124,Warehouses!$A$5:$A$1000,0))&amp;"",""))</f>
        <v/>
      </c>
      <c r="AB124" s="16">
        <f>IF(IFERROR(INDEX(Warehouses!$C$5:$C$1000,MATCH(D124,Warehouses!$A$5:$A$1000,0))&amp;"","")="",INDEX('Chart of Accounts'!$A$5:$A$3000,MATCH("inventory",'Chart of Accounts'!$F$5:$F$3000,0)),IFERROR(INDEX(Warehouses!$C$5:$C$1000,MATCH(D124,Warehouses!$A$5:$A$1000,0))&amp;"",""))</f>
        <v/>
      </c>
      <c r="AC124" s="21">
        <f>IF(B124="Receipt",N(K124),0)</f>
        <v/>
      </c>
      <c r="AD124" s="16">
        <f>IF(B124="Receipt",AA124,IF(B124="Issue",Z124,IF(B124="Transfer",AB124,IF(N(G124)&gt;=0,AA124,INDEX('Chart of Accounts'!$A$5:$A$3000,MATCH("stock_adjust",'Chart of Accounts'!$F$5:$F$3000,0))))))</f>
        <v/>
      </c>
      <c r="AE124" s="16">
        <f>IF(B124="Receipt",Y124,IF(B124="Adjustment",IF(N(G124)&gt;=0,INDEX('Chart of Accounts'!$A$5:$A$3000,MATCH("stock_adjust",'Chart of Accounts'!$F$5:$F$3000,0)),AA124),AA124))</f>
        <v/>
      </c>
      <c r="AF124" s="21">
        <f>S124+T124-U124-AC124</f>
        <v/>
      </c>
      <c r="AG124" s="23">
        <f>IFERROR(INDEX('Chart of Accounts'!$C$5:$C$3000,MATCH(AD124&amp;"",'Chart of Accounts'!$A$5:$A$3000,0))&amp;"|"&amp;INDEX('Chart of Accounts'!$D$5:$D$3000,MATCH(AD124&amp;"",'Chart of Accounts'!$A$5:$A$3000,0)),"")</f>
        <v/>
      </c>
      <c r="AH124" s="23">
        <f>IFERROR(INDEX('Chart of Accounts'!$C$5:$C$3000,MATCH(V124&amp;"",'Chart of Accounts'!$A$5:$A$3000,0))&amp;"|"&amp;INDEX('Chart of Accounts'!$D$5:$D$3000,MATCH(V124&amp;"",'Chart of Accounts'!$A$5:$A$3000,0)),"")</f>
        <v/>
      </c>
      <c r="AI124" s="23">
        <f>IFERROR(INDEX('Chart of Accounts'!$C$5:$C$3000,MATCH(AE124&amp;"",'Chart of Accounts'!$A$5:$A$3000,0))&amp;"|"&amp;INDEX('Chart of Accounts'!$D$5:$D$3000,MATCH(AE124&amp;"",'Chart of Accounts'!$A$5:$A$3000,0)),"")</f>
        <v/>
      </c>
      <c r="AJ124" s="23">
        <f>IFERROR(INDEX('Chart of Accounts'!$C$5:$C$3000,MATCH(X124&amp;"",'Chart of Accounts'!$A$5:$A$3000,0))&amp;"|"&amp;INDEX('Chart of Accounts'!$D$5:$D$3000,MATCH(X124&amp;"",'Chart of Accounts'!$A$5:$A$3000,0)),"")</f>
        <v/>
      </c>
      <c r="AK124" s="23">
        <f>IFERROR(INDEX('Chart of Accounts'!$C$5:$C$3000,MATCH(W124&amp;"",'Chart of Accounts'!$A$5:$A$3000,0))&amp;"|"&amp;INDEX('Chart of Accounts'!$D$5:$D$3000,MATCH(W124&amp;"",'Chart of Accounts'!$A$5:$A$3000,0)),"")</f>
        <v/>
      </c>
      <c r="AL124" s="23">
        <f>IF(LEFT(AG124,8)="Revenue|",-N(S124),0)+IF(LEFT(AH124,8)="Revenue|",-N(T124),0)+IF(LEFT(AI124,8)="Revenue|",N(AF124),0)+IF(LEFT(AJ124,8)="Revenue|",N(AC124),0)+IF(LEFT(AK124,8)="Revenue|",N(U124),0)</f>
        <v/>
      </c>
      <c r="AM124" s="23">
        <f>IF(LEFT(AG124,5)="COGS|",N(S124),0)+IF(LEFT(AH124,5)="COGS|",N(T124),0)+IF(LEFT(AI124,5)="COGS|",-N(AF124),0)+IF(LEFT(AJ124,5)="COGS|",-N(AC124),0)+IF(LEFT(AK124,5)="COGS|",-N(U124),0)</f>
        <v/>
      </c>
      <c r="AN124" s="23">
        <f>IF(LEFT(AG124,8)="Expense|",N(S124),0)+IF(LEFT(AH124,8)="Expense|",N(T124),0)+IF(LEFT(AI124,8)="Expense|",-N(AF124),0)+IF(LEFT(AJ124,8)="Expense|",-N(AC124),0)+IF(LEFT(AK124,8)="Expense|",-N(U124),0)</f>
        <v/>
      </c>
      <c r="AO124" s="23">
        <f>IF(ISNUMBER(MATCH(AG124,{"Expense|employee","Expense|general_admin","Expense|marketing","Expense|utilities","Expense|other_operating"},0)),N(S124),0)+IF(ISNUMBER(MATCH(AH124,{"Expense|employee","Expense|general_admin","Expense|marketing","Expense|utilities","Expense|other_operating"},0)),N(T124),0)+IF(ISNUMBER(MATCH(AI124,{"Expense|employee","Expense|general_admin","Expense|marketing","Expense|utilities","Expense|other_operating"},0)),-N(AF124),0)+IF(ISNUMBER(MATCH(AJ124,{"Expense|employee","Expense|general_admin","Expense|marketing","Expense|utilities","Expense|other_operating"},0)),-N(AC124),0)+IF(ISNUMBER(MATCH(AK124,{"Expense|employee","Expense|general_admin","Expense|marketing","Expense|utilities","Expense|other_operating"},0)),-N(U124),0)</f>
        <v/>
      </c>
      <c r="AP124" s="23">
        <f>IF(AG124="Liability|payable",-N(S124),0)+IF(AH124="Liability|payable",-N(T124),0)+IF(AI124="Liability|payable",N(AF124),0)+IF(AJ124="Liability|payable",N(AC124),0)+IF(AK124="Liability|payable",N(U124),0)</f>
        <v/>
      </c>
      <c r="AQ124" s="23">
        <f>IF(AG124="Liability|accrued",-N(S124),0)+IF(AH124="Liability|accrued",-N(T124),0)+IF(AI124="Liability|accrued",N(AF124),0)+IF(AJ124="Liability|accrued",N(AC124),0)+IF(AK124="Liability|accrued",N(U124),0)</f>
        <v/>
      </c>
      <c r="AR124" s="23">
        <f>IF(AND(N(S124)&lt;&gt;0,AG124=""),1,0)+IF(AND(N(T124)&lt;&gt;0,AH124=""),1,0)+IF(AND(N(AF124)&lt;&gt;0,AI124=""),1,0)+IF(AND(N(AC124)&lt;&gt;0,AJ124=""),1,0)+IF(AND(N(U124)&lt;&gt;0,AK124=""),1,0)</f>
        <v/>
      </c>
    </row>
    <row r="125">
      <c r="A125" s="19" t="n"/>
      <c r="B125" s="14" t="n"/>
      <c r="C125" s="14" t="n"/>
      <c r="D125" s="14" t="n"/>
      <c r="E125" s="14" t="n"/>
      <c r="F125" s="14" t="n"/>
      <c r="G125" s="14" t="n"/>
      <c r="H125" s="20" t="n"/>
      <c r="I125" s="14" t="n"/>
      <c r="J125" s="14" t="n"/>
      <c r="K125" s="20" t="n"/>
      <c r="L125" s="14" t="n"/>
      <c r="M125" s="14" t="n"/>
      <c r="N125" s="14" t="n"/>
      <c r="O125" s="14" t="n"/>
      <c r="P125" s="14" t="n"/>
      <c r="Q125" s="14" t="n"/>
      <c r="R125" s="14" t="n"/>
      <c r="S125" s="21">
        <f>ROUND(ABS(N(G125))*N(H125),2)</f>
        <v/>
      </c>
      <c r="T125" s="21">
        <f>IF(B125="Receipt",ROUND(S125*IFERROR(VLOOKUP(Q125,'Tax Codes'!$A$5:$E$300,5,FALSE),0),2),0)</f>
        <v/>
      </c>
      <c r="U125" s="21">
        <f>IF(B125="Receipt",ROUND(S125*IFERROR(VLOOKUP(R125,'Tax Codes'!$A$5:$E$300,5,FALSE),0),2),0)</f>
        <v/>
      </c>
      <c r="V125" s="16">
        <f>INDEX('Chart of Accounts'!$A$5:$A$3000,MATCH("vat_input",'Chart of Accounts'!$F$5:$F$3000,0))</f>
        <v/>
      </c>
      <c r="W125" s="16">
        <f>INDEX('Chart of Accounts'!$A$5:$A$3000,MATCH("wht_payable",'Chart of Accounts'!$F$5:$F$3000,0))</f>
        <v/>
      </c>
      <c r="X125" s="16">
        <f>IF(M125="",INDEX('Chart of Accounts'!$A$5:$A$3000,MATCH("bank",'Chart of Accounts'!$F$5:$F$3000,0)),M125&amp;"")</f>
        <v/>
      </c>
      <c r="Y125" s="16">
        <f>IF(N125="",INDEX('Chart of Accounts'!$A$5:$A$3000,MATCH("ap",'Chart of Accounts'!$F$5:$F$3000,0)),N125&amp;"")</f>
        <v/>
      </c>
      <c r="Z125" s="16">
        <f>IF(O125="",INDEX('Chart of Accounts'!$A$5:$A$3000,MATCH("materials",'Chart of Accounts'!$F$5:$F$3000,0)),O125&amp;"")</f>
        <v/>
      </c>
      <c r="AA125" s="16">
        <f>IF(IFERROR(INDEX(Warehouses!$C$5:$C$1000,MATCH(C125,Warehouses!$A$5:$A$1000,0))&amp;"","")="",INDEX('Chart of Accounts'!$A$5:$A$3000,MATCH("inventory",'Chart of Accounts'!$F$5:$F$3000,0)),IFERROR(INDEX(Warehouses!$C$5:$C$1000,MATCH(C125,Warehouses!$A$5:$A$1000,0))&amp;"",""))</f>
        <v/>
      </c>
      <c r="AB125" s="16">
        <f>IF(IFERROR(INDEX(Warehouses!$C$5:$C$1000,MATCH(D125,Warehouses!$A$5:$A$1000,0))&amp;"","")="",INDEX('Chart of Accounts'!$A$5:$A$3000,MATCH("inventory",'Chart of Accounts'!$F$5:$F$3000,0)),IFERROR(INDEX(Warehouses!$C$5:$C$1000,MATCH(D125,Warehouses!$A$5:$A$1000,0))&amp;"",""))</f>
        <v/>
      </c>
      <c r="AC125" s="21">
        <f>IF(B125="Receipt",N(K125),0)</f>
        <v/>
      </c>
      <c r="AD125" s="16">
        <f>IF(B125="Receipt",AA125,IF(B125="Issue",Z125,IF(B125="Transfer",AB125,IF(N(G125)&gt;=0,AA125,INDEX('Chart of Accounts'!$A$5:$A$3000,MATCH("stock_adjust",'Chart of Accounts'!$F$5:$F$3000,0))))))</f>
        <v/>
      </c>
      <c r="AE125" s="16">
        <f>IF(B125="Receipt",Y125,IF(B125="Adjustment",IF(N(G125)&gt;=0,INDEX('Chart of Accounts'!$A$5:$A$3000,MATCH("stock_adjust",'Chart of Accounts'!$F$5:$F$3000,0)),AA125),AA125))</f>
        <v/>
      </c>
      <c r="AF125" s="21">
        <f>S125+T125-U125-AC125</f>
        <v/>
      </c>
      <c r="AG125" s="23">
        <f>IFERROR(INDEX('Chart of Accounts'!$C$5:$C$3000,MATCH(AD125&amp;"",'Chart of Accounts'!$A$5:$A$3000,0))&amp;"|"&amp;INDEX('Chart of Accounts'!$D$5:$D$3000,MATCH(AD125&amp;"",'Chart of Accounts'!$A$5:$A$3000,0)),"")</f>
        <v/>
      </c>
      <c r="AH125" s="23">
        <f>IFERROR(INDEX('Chart of Accounts'!$C$5:$C$3000,MATCH(V125&amp;"",'Chart of Accounts'!$A$5:$A$3000,0))&amp;"|"&amp;INDEX('Chart of Accounts'!$D$5:$D$3000,MATCH(V125&amp;"",'Chart of Accounts'!$A$5:$A$3000,0)),"")</f>
        <v/>
      </c>
      <c r="AI125" s="23">
        <f>IFERROR(INDEX('Chart of Accounts'!$C$5:$C$3000,MATCH(AE125&amp;"",'Chart of Accounts'!$A$5:$A$3000,0))&amp;"|"&amp;INDEX('Chart of Accounts'!$D$5:$D$3000,MATCH(AE125&amp;"",'Chart of Accounts'!$A$5:$A$3000,0)),"")</f>
        <v/>
      </c>
      <c r="AJ125" s="23">
        <f>IFERROR(INDEX('Chart of Accounts'!$C$5:$C$3000,MATCH(X125&amp;"",'Chart of Accounts'!$A$5:$A$3000,0))&amp;"|"&amp;INDEX('Chart of Accounts'!$D$5:$D$3000,MATCH(X125&amp;"",'Chart of Accounts'!$A$5:$A$3000,0)),"")</f>
        <v/>
      </c>
      <c r="AK125" s="23">
        <f>IFERROR(INDEX('Chart of Accounts'!$C$5:$C$3000,MATCH(W125&amp;"",'Chart of Accounts'!$A$5:$A$3000,0))&amp;"|"&amp;INDEX('Chart of Accounts'!$D$5:$D$3000,MATCH(W125&amp;"",'Chart of Accounts'!$A$5:$A$3000,0)),"")</f>
        <v/>
      </c>
      <c r="AL125" s="23">
        <f>IF(LEFT(AG125,8)="Revenue|",-N(S125),0)+IF(LEFT(AH125,8)="Revenue|",-N(T125),0)+IF(LEFT(AI125,8)="Revenue|",N(AF125),0)+IF(LEFT(AJ125,8)="Revenue|",N(AC125),0)+IF(LEFT(AK125,8)="Revenue|",N(U125),0)</f>
        <v/>
      </c>
      <c r="AM125" s="23">
        <f>IF(LEFT(AG125,5)="COGS|",N(S125),0)+IF(LEFT(AH125,5)="COGS|",N(T125),0)+IF(LEFT(AI125,5)="COGS|",-N(AF125),0)+IF(LEFT(AJ125,5)="COGS|",-N(AC125),0)+IF(LEFT(AK125,5)="COGS|",-N(U125),0)</f>
        <v/>
      </c>
      <c r="AN125" s="23">
        <f>IF(LEFT(AG125,8)="Expense|",N(S125),0)+IF(LEFT(AH125,8)="Expense|",N(T125),0)+IF(LEFT(AI125,8)="Expense|",-N(AF125),0)+IF(LEFT(AJ125,8)="Expense|",-N(AC125),0)+IF(LEFT(AK125,8)="Expense|",-N(U125),0)</f>
        <v/>
      </c>
      <c r="AO125" s="23">
        <f>IF(ISNUMBER(MATCH(AG125,{"Expense|employee","Expense|general_admin","Expense|marketing","Expense|utilities","Expense|other_operating"},0)),N(S125),0)+IF(ISNUMBER(MATCH(AH125,{"Expense|employee","Expense|general_admin","Expense|marketing","Expense|utilities","Expense|other_operating"},0)),N(T125),0)+IF(ISNUMBER(MATCH(AI125,{"Expense|employee","Expense|general_admin","Expense|marketing","Expense|utilities","Expense|other_operating"},0)),-N(AF125),0)+IF(ISNUMBER(MATCH(AJ125,{"Expense|employee","Expense|general_admin","Expense|marketing","Expense|utilities","Expense|other_operating"},0)),-N(AC125),0)+IF(ISNUMBER(MATCH(AK125,{"Expense|employee","Expense|general_admin","Expense|marketing","Expense|utilities","Expense|other_operating"},0)),-N(U125),0)</f>
        <v/>
      </c>
      <c r="AP125" s="23">
        <f>IF(AG125="Liability|payable",-N(S125),0)+IF(AH125="Liability|payable",-N(T125),0)+IF(AI125="Liability|payable",N(AF125),0)+IF(AJ125="Liability|payable",N(AC125),0)+IF(AK125="Liability|payable",N(U125),0)</f>
        <v/>
      </c>
      <c r="AQ125" s="23">
        <f>IF(AG125="Liability|accrued",-N(S125),0)+IF(AH125="Liability|accrued",-N(T125),0)+IF(AI125="Liability|accrued",N(AF125),0)+IF(AJ125="Liability|accrued",N(AC125),0)+IF(AK125="Liability|accrued",N(U125),0)</f>
        <v/>
      </c>
      <c r="AR125" s="23">
        <f>IF(AND(N(S125)&lt;&gt;0,AG125=""),1,0)+IF(AND(N(T125)&lt;&gt;0,AH125=""),1,0)+IF(AND(N(AF125)&lt;&gt;0,AI125=""),1,0)+IF(AND(N(AC125)&lt;&gt;0,AJ125=""),1,0)+IF(AND(N(U125)&lt;&gt;0,AK125=""),1,0)</f>
        <v/>
      </c>
    </row>
    <row r="126">
      <c r="A126" s="19" t="n"/>
      <c r="B126" s="14" t="n"/>
      <c r="C126" s="14" t="n"/>
      <c r="D126" s="14" t="n"/>
      <c r="E126" s="14" t="n"/>
      <c r="F126" s="14" t="n"/>
      <c r="G126" s="14" t="n"/>
      <c r="H126" s="20" t="n"/>
      <c r="I126" s="14" t="n"/>
      <c r="J126" s="14" t="n"/>
      <c r="K126" s="20" t="n"/>
      <c r="L126" s="14" t="n"/>
      <c r="M126" s="14" t="n"/>
      <c r="N126" s="14" t="n"/>
      <c r="O126" s="14" t="n"/>
      <c r="P126" s="14" t="n"/>
      <c r="Q126" s="14" t="n"/>
      <c r="R126" s="14" t="n"/>
      <c r="S126" s="21">
        <f>ROUND(ABS(N(G126))*N(H126),2)</f>
        <v/>
      </c>
      <c r="T126" s="21">
        <f>IF(B126="Receipt",ROUND(S126*IFERROR(VLOOKUP(Q126,'Tax Codes'!$A$5:$E$300,5,FALSE),0),2),0)</f>
        <v/>
      </c>
      <c r="U126" s="21">
        <f>IF(B126="Receipt",ROUND(S126*IFERROR(VLOOKUP(R126,'Tax Codes'!$A$5:$E$300,5,FALSE),0),2),0)</f>
        <v/>
      </c>
      <c r="V126" s="16">
        <f>INDEX('Chart of Accounts'!$A$5:$A$3000,MATCH("vat_input",'Chart of Accounts'!$F$5:$F$3000,0))</f>
        <v/>
      </c>
      <c r="W126" s="16">
        <f>INDEX('Chart of Accounts'!$A$5:$A$3000,MATCH("wht_payable",'Chart of Accounts'!$F$5:$F$3000,0))</f>
        <v/>
      </c>
      <c r="X126" s="16">
        <f>IF(M126="",INDEX('Chart of Accounts'!$A$5:$A$3000,MATCH("bank",'Chart of Accounts'!$F$5:$F$3000,0)),M126&amp;"")</f>
        <v/>
      </c>
      <c r="Y126" s="16">
        <f>IF(N126="",INDEX('Chart of Accounts'!$A$5:$A$3000,MATCH("ap",'Chart of Accounts'!$F$5:$F$3000,0)),N126&amp;"")</f>
        <v/>
      </c>
      <c r="Z126" s="16">
        <f>IF(O126="",INDEX('Chart of Accounts'!$A$5:$A$3000,MATCH("materials",'Chart of Accounts'!$F$5:$F$3000,0)),O126&amp;"")</f>
        <v/>
      </c>
      <c r="AA126" s="16">
        <f>IF(IFERROR(INDEX(Warehouses!$C$5:$C$1000,MATCH(C126,Warehouses!$A$5:$A$1000,0))&amp;"","")="",INDEX('Chart of Accounts'!$A$5:$A$3000,MATCH("inventory",'Chart of Accounts'!$F$5:$F$3000,0)),IFERROR(INDEX(Warehouses!$C$5:$C$1000,MATCH(C126,Warehouses!$A$5:$A$1000,0))&amp;"",""))</f>
        <v/>
      </c>
      <c r="AB126" s="16">
        <f>IF(IFERROR(INDEX(Warehouses!$C$5:$C$1000,MATCH(D126,Warehouses!$A$5:$A$1000,0))&amp;"","")="",INDEX('Chart of Accounts'!$A$5:$A$3000,MATCH("inventory",'Chart of Accounts'!$F$5:$F$3000,0)),IFERROR(INDEX(Warehouses!$C$5:$C$1000,MATCH(D126,Warehouses!$A$5:$A$1000,0))&amp;"",""))</f>
        <v/>
      </c>
      <c r="AC126" s="21">
        <f>IF(B126="Receipt",N(K126),0)</f>
        <v/>
      </c>
      <c r="AD126" s="16">
        <f>IF(B126="Receipt",AA126,IF(B126="Issue",Z126,IF(B126="Transfer",AB126,IF(N(G126)&gt;=0,AA126,INDEX('Chart of Accounts'!$A$5:$A$3000,MATCH("stock_adjust",'Chart of Accounts'!$F$5:$F$3000,0))))))</f>
        <v/>
      </c>
      <c r="AE126" s="16">
        <f>IF(B126="Receipt",Y126,IF(B126="Adjustment",IF(N(G126)&gt;=0,INDEX('Chart of Accounts'!$A$5:$A$3000,MATCH("stock_adjust",'Chart of Accounts'!$F$5:$F$3000,0)),AA126),AA126))</f>
        <v/>
      </c>
      <c r="AF126" s="21">
        <f>S126+T126-U126-AC126</f>
        <v/>
      </c>
      <c r="AG126" s="23">
        <f>IFERROR(INDEX('Chart of Accounts'!$C$5:$C$3000,MATCH(AD126&amp;"",'Chart of Accounts'!$A$5:$A$3000,0))&amp;"|"&amp;INDEX('Chart of Accounts'!$D$5:$D$3000,MATCH(AD126&amp;"",'Chart of Accounts'!$A$5:$A$3000,0)),"")</f>
        <v/>
      </c>
      <c r="AH126" s="23">
        <f>IFERROR(INDEX('Chart of Accounts'!$C$5:$C$3000,MATCH(V126&amp;"",'Chart of Accounts'!$A$5:$A$3000,0))&amp;"|"&amp;INDEX('Chart of Accounts'!$D$5:$D$3000,MATCH(V126&amp;"",'Chart of Accounts'!$A$5:$A$3000,0)),"")</f>
        <v/>
      </c>
      <c r="AI126" s="23">
        <f>IFERROR(INDEX('Chart of Accounts'!$C$5:$C$3000,MATCH(AE126&amp;"",'Chart of Accounts'!$A$5:$A$3000,0))&amp;"|"&amp;INDEX('Chart of Accounts'!$D$5:$D$3000,MATCH(AE126&amp;"",'Chart of Accounts'!$A$5:$A$3000,0)),"")</f>
        <v/>
      </c>
      <c r="AJ126" s="23">
        <f>IFERROR(INDEX('Chart of Accounts'!$C$5:$C$3000,MATCH(X126&amp;"",'Chart of Accounts'!$A$5:$A$3000,0))&amp;"|"&amp;INDEX('Chart of Accounts'!$D$5:$D$3000,MATCH(X126&amp;"",'Chart of Accounts'!$A$5:$A$3000,0)),"")</f>
        <v/>
      </c>
      <c r="AK126" s="23">
        <f>IFERROR(INDEX('Chart of Accounts'!$C$5:$C$3000,MATCH(W126&amp;"",'Chart of Accounts'!$A$5:$A$3000,0))&amp;"|"&amp;INDEX('Chart of Accounts'!$D$5:$D$3000,MATCH(W126&amp;"",'Chart of Accounts'!$A$5:$A$3000,0)),"")</f>
        <v/>
      </c>
      <c r="AL126" s="23">
        <f>IF(LEFT(AG126,8)="Revenue|",-N(S126),0)+IF(LEFT(AH126,8)="Revenue|",-N(T126),0)+IF(LEFT(AI126,8)="Revenue|",N(AF126),0)+IF(LEFT(AJ126,8)="Revenue|",N(AC126),0)+IF(LEFT(AK126,8)="Revenue|",N(U126),0)</f>
        <v/>
      </c>
      <c r="AM126" s="23">
        <f>IF(LEFT(AG126,5)="COGS|",N(S126),0)+IF(LEFT(AH126,5)="COGS|",N(T126),0)+IF(LEFT(AI126,5)="COGS|",-N(AF126),0)+IF(LEFT(AJ126,5)="COGS|",-N(AC126),0)+IF(LEFT(AK126,5)="COGS|",-N(U126),0)</f>
        <v/>
      </c>
      <c r="AN126" s="23">
        <f>IF(LEFT(AG126,8)="Expense|",N(S126),0)+IF(LEFT(AH126,8)="Expense|",N(T126),0)+IF(LEFT(AI126,8)="Expense|",-N(AF126),0)+IF(LEFT(AJ126,8)="Expense|",-N(AC126),0)+IF(LEFT(AK126,8)="Expense|",-N(U126),0)</f>
        <v/>
      </c>
      <c r="AO126" s="23">
        <f>IF(ISNUMBER(MATCH(AG126,{"Expense|employee","Expense|general_admin","Expense|marketing","Expense|utilities","Expense|other_operating"},0)),N(S126),0)+IF(ISNUMBER(MATCH(AH126,{"Expense|employee","Expense|general_admin","Expense|marketing","Expense|utilities","Expense|other_operating"},0)),N(T126),0)+IF(ISNUMBER(MATCH(AI126,{"Expense|employee","Expense|general_admin","Expense|marketing","Expense|utilities","Expense|other_operating"},0)),-N(AF126),0)+IF(ISNUMBER(MATCH(AJ126,{"Expense|employee","Expense|general_admin","Expense|marketing","Expense|utilities","Expense|other_operating"},0)),-N(AC126),0)+IF(ISNUMBER(MATCH(AK126,{"Expense|employee","Expense|general_admin","Expense|marketing","Expense|utilities","Expense|other_operating"},0)),-N(U126),0)</f>
        <v/>
      </c>
      <c r="AP126" s="23">
        <f>IF(AG126="Liability|payable",-N(S126),0)+IF(AH126="Liability|payable",-N(T126),0)+IF(AI126="Liability|payable",N(AF126),0)+IF(AJ126="Liability|payable",N(AC126),0)+IF(AK126="Liability|payable",N(U126),0)</f>
        <v/>
      </c>
      <c r="AQ126" s="23">
        <f>IF(AG126="Liability|accrued",-N(S126),0)+IF(AH126="Liability|accrued",-N(T126),0)+IF(AI126="Liability|accrued",N(AF126),0)+IF(AJ126="Liability|accrued",N(AC126),0)+IF(AK126="Liability|accrued",N(U126),0)</f>
        <v/>
      </c>
      <c r="AR126" s="23">
        <f>IF(AND(N(S126)&lt;&gt;0,AG126=""),1,0)+IF(AND(N(T126)&lt;&gt;0,AH126=""),1,0)+IF(AND(N(AF126)&lt;&gt;0,AI126=""),1,0)+IF(AND(N(AC126)&lt;&gt;0,AJ126=""),1,0)+IF(AND(N(U126)&lt;&gt;0,AK126=""),1,0)</f>
        <v/>
      </c>
    </row>
    <row r="127">
      <c r="A127" s="19" t="n"/>
      <c r="B127" s="14" t="n"/>
      <c r="C127" s="14" t="n"/>
      <c r="D127" s="14" t="n"/>
      <c r="E127" s="14" t="n"/>
      <c r="F127" s="14" t="n"/>
      <c r="G127" s="14" t="n"/>
      <c r="H127" s="20" t="n"/>
      <c r="I127" s="14" t="n"/>
      <c r="J127" s="14" t="n"/>
      <c r="K127" s="20" t="n"/>
      <c r="L127" s="14" t="n"/>
      <c r="M127" s="14" t="n"/>
      <c r="N127" s="14" t="n"/>
      <c r="O127" s="14" t="n"/>
      <c r="P127" s="14" t="n"/>
      <c r="Q127" s="14" t="n"/>
      <c r="R127" s="14" t="n"/>
      <c r="S127" s="21">
        <f>ROUND(ABS(N(G127))*N(H127),2)</f>
        <v/>
      </c>
      <c r="T127" s="21">
        <f>IF(B127="Receipt",ROUND(S127*IFERROR(VLOOKUP(Q127,'Tax Codes'!$A$5:$E$300,5,FALSE),0),2),0)</f>
        <v/>
      </c>
      <c r="U127" s="21">
        <f>IF(B127="Receipt",ROUND(S127*IFERROR(VLOOKUP(R127,'Tax Codes'!$A$5:$E$300,5,FALSE),0),2),0)</f>
        <v/>
      </c>
      <c r="V127" s="16">
        <f>INDEX('Chart of Accounts'!$A$5:$A$3000,MATCH("vat_input",'Chart of Accounts'!$F$5:$F$3000,0))</f>
        <v/>
      </c>
      <c r="W127" s="16">
        <f>INDEX('Chart of Accounts'!$A$5:$A$3000,MATCH("wht_payable",'Chart of Accounts'!$F$5:$F$3000,0))</f>
        <v/>
      </c>
      <c r="X127" s="16">
        <f>IF(M127="",INDEX('Chart of Accounts'!$A$5:$A$3000,MATCH("bank",'Chart of Accounts'!$F$5:$F$3000,0)),M127&amp;"")</f>
        <v/>
      </c>
      <c r="Y127" s="16">
        <f>IF(N127="",INDEX('Chart of Accounts'!$A$5:$A$3000,MATCH("ap",'Chart of Accounts'!$F$5:$F$3000,0)),N127&amp;"")</f>
        <v/>
      </c>
      <c r="Z127" s="16">
        <f>IF(O127="",INDEX('Chart of Accounts'!$A$5:$A$3000,MATCH("materials",'Chart of Accounts'!$F$5:$F$3000,0)),O127&amp;"")</f>
        <v/>
      </c>
      <c r="AA127" s="16">
        <f>IF(IFERROR(INDEX(Warehouses!$C$5:$C$1000,MATCH(C127,Warehouses!$A$5:$A$1000,0))&amp;"","")="",INDEX('Chart of Accounts'!$A$5:$A$3000,MATCH("inventory",'Chart of Accounts'!$F$5:$F$3000,0)),IFERROR(INDEX(Warehouses!$C$5:$C$1000,MATCH(C127,Warehouses!$A$5:$A$1000,0))&amp;"",""))</f>
        <v/>
      </c>
      <c r="AB127" s="16">
        <f>IF(IFERROR(INDEX(Warehouses!$C$5:$C$1000,MATCH(D127,Warehouses!$A$5:$A$1000,0))&amp;"","")="",INDEX('Chart of Accounts'!$A$5:$A$3000,MATCH("inventory",'Chart of Accounts'!$F$5:$F$3000,0)),IFERROR(INDEX(Warehouses!$C$5:$C$1000,MATCH(D127,Warehouses!$A$5:$A$1000,0))&amp;"",""))</f>
        <v/>
      </c>
      <c r="AC127" s="21">
        <f>IF(B127="Receipt",N(K127),0)</f>
        <v/>
      </c>
      <c r="AD127" s="16">
        <f>IF(B127="Receipt",AA127,IF(B127="Issue",Z127,IF(B127="Transfer",AB127,IF(N(G127)&gt;=0,AA127,INDEX('Chart of Accounts'!$A$5:$A$3000,MATCH("stock_adjust",'Chart of Accounts'!$F$5:$F$3000,0))))))</f>
        <v/>
      </c>
      <c r="AE127" s="16">
        <f>IF(B127="Receipt",Y127,IF(B127="Adjustment",IF(N(G127)&gt;=0,INDEX('Chart of Accounts'!$A$5:$A$3000,MATCH("stock_adjust",'Chart of Accounts'!$F$5:$F$3000,0)),AA127),AA127))</f>
        <v/>
      </c>
      <c r="AF127" s="21">
        <f>S127+T127-U127-AC127</f>
        <v/>
      </c>
      <c r="AG127" s="23">
        <f>IFERROR(INDEX('Chart of Accounts'!$C$5:$C$3000,MATCH(AD127&amp;"",'Chart of Accounts'!$A$5:$A$3000,0))&amp;"|"&amp;INDEX('Chart of Accounts'!$D$5:$D$3000,MATCH(AD127&amp;"",'Chart of Accounts'!$A$5:$A$3000,0)),"")</f>
        <v/>
      </c>
      <c r="AH127" s="23">
        <f>IFERROR(INDEX('Chart of Accounts'!$C$5:$C$3000,MATCH(V127&amp;"",'Chart of Accounts'!$A$5:$A$3000,0))&amp;"|"&amp;INDEX('Chart of Accounts'!$D$5:$D$3000,MATCH(V127&amp;"",'Chart of Accounts'!$A$5:$A$3000,0)),"")</f>
        <v/>
      </c>
      <c r="AI127" s="23">
        <f>IFERROR(INDEX('Chart of Accounts'!$C$5:$C$3000,MATCH(AE127&amp;"",'Chart of Accounts'!$A$5:$A$3000,0))&amp;"|"&amp;INDEX('Chart of Accounts'!$D$5:$D$3000,MATCH(AE127&amp;"",'Chart of Accounts'!$A$5:$A$3000,0)),"")</f>
        <v/>
      </c>
      <c r="AJ127" s="23">
        <f>IFERROR(INDEX('Chart of Accounts'!$C$5:$C$3000,MATCH(X127&amp;"",'Chart of Accounts'!$A$5:$A$3000,0))&amp;"|"&amp;INDEX('Chart of Accounts'!$D$5:$D$3000,MATCH(X127&amp;"",'Chart of Accounts'!$A$5:$A$3000,0)),"")</f>
        <v/>
      </c>
      <c r="AK127" s="23">
        <f>IFERROR(INDEX('Chart of Accounts'!$C$5:$C$3000,MATCH(W127&amp;"",'Chart of Accounts'!$A$5:$A$3000,0))&amp;"|"&amp;INDEX('Chart of Accounts'!$D$5:$D$3000,MATCH(W127&amp;"",'Chart of Accounts'!$A$5:$A$3000,0)),"")</f>
        <v/>
      </c>
      <c r="AL127" s="23">
        <f>IF(LEFT(AG127,8)="Revenue|",-N(S127),0)+IF(LEFT(AH127,8)="Revenue|",-N(T127),0)+IF(LEFT(AI127,8)="Revenue|",N(AF127),0)+IF(LEFT(AJ127,8)="Revenue|",N(AC127),0)+IF(LEFT(AK127,8)="Revenue|",N(U127),0)</f>
        <v/>
      </c>
      <c r="AM127" s="23">
        <f>IF(LEFT(AG127,5)="COGS|",N(S127),0)+IF(LEFT(AH127,5)="COGS|",N(T127),0)+IF(LEFT(AI127,5)="COGS|",-N(AF127),0)+IF(LEFT(AJ127,5)="COGS|",-N(AC127),0)+IF(LEFT(AK127,5)="COGS|",-N(U127),0)</f>
        <v/>
      </c>
      <c r="AN127" s="23">
        <f>IF(LEFT(AG127,8)="Expense|",N(S127),0)+IF(LEFT(AH127,8)="Expense|",N(T127),0)+IF(LEFT(AI127,8)="Expense|",-N(AF127),0)+IF(LEFT(AJ127,8)="Expense|",-N(AC127),0)+IF(LEFT(AK127,8)="Expense|",-N(U127),0)</f>
        <v/>
      </c>
      <c r="AO127" s="23">
        <f>IF(ISNUMBER(MATCH(AG127,{"Expense|employee","Expense|general_admin","Expense|marketing","Expense|utilities","Expense|other_operating"},0)),N(S127),0)+IF(ISNUMBER(MATCH(AH127,{"Expense|employee","Expense|general_admin","Expense|marketing","Expense|utilities","Expense|other_operating"},0)),N(T127),0)+IF(ISNUMBER(MATCH(AI127,{"Expense|employee","Expense|general_admin","Expense|marketing","Expense|utilities","Expense|other_operating"},0)),-N(AF127),0)+IF(ISNUMBER(MATCH(AJ127,{"Expense|employee","Expense|general_admin","Expense|marketing","Expense|utilities","Expense|other_operating"},0)),-N(AC127),0)+IF(ISNUMBER(MATCH(AK127,{"Expense|employee","Expense|general_admin","Expense|marketing","Expense|utilities","Expense|other_operating"},0)),-N(U127),0)</f>
        <v/>
      </c>
      <c r="AP127" s="23">
        <f>IF(AG127="Liability|payable",-N(S127),0)+IF(AH127="Liability|payable",-N(T127),0)+IF(AI127="Liability|payable",N(AF127),0)+IF(AJ127="Liability|payable",N(AC127),0)+IF(AK127="Liability|payable",N(U127),0)</f>
        <v/>
      </c>
      <c r="AQ127" s="23">
        <f>IF(AG127="Liability|accrued",-N(S127),0)+IF(AH127="Liability|accrued",-N(T127),0)+IF(AI127="Liability|accrued",N(AF127),0)+IF(AJ127="Liability|accrued",N(AC127),0)+IF(AK127="Liability|accrued",N(U127),0)</f>
        <v/>
      </c>
      <c r="AR127" s="23">
        <f>IF(AND(N(S127)&lt;&gt;0,AG127=""),1,0)+IF(AND(N(T127)&lt;&gt;0,AH127=""),1,0)+IF(AND(N(AF127)&lt;&gt;0,AI127=""),1,0)+IF(AND(N(AC127)&lt;&gt;0,AJ127=""),1,0)+IF(AND(N(U127)&lt;&gt;0,AK127=""),1,0)</f>
        <v/>
      </c>
    </row>
    <row r="128">
      <c r="A128" s="19" t="n"/>
      <c r="B128" s="14" t="n"/>
      <c r="C128" s="14" t="n"/>
      <c r="D128" s="14" t="n"/>
      <c r="E128" s="14" t="n"/>
      <c r="F128" s="14" t="n"/>
      <c r="G128" s="14" t="n"/>
      <c r="H128" s="20" t="n"/>
      <c r="I128" s="14" t="n"/>
      <c r="J128" s="14" t="n"/>
      <c r="K128" s="20" t="n"/>
      <c r="L128" s="14" t="n"/>
      <c r="M128" s="14" t="n"/>
      <c r="N128" s="14" t="n"/>
      <c r="O128" s="14" t="n"/>
      <c r="P128" s="14" t="n"/>
      <c r="Q128" s="14" t="n"/>
      <c r="R128" s="14" t="n"/>
      <c r="S128" s="21">
        <f>ROUND(ABS(N(G128))*N(H128),2)</f>
        <v/>
      </c>
      <c r="T128" s="21">
        <f>IF(B128="Receipt",ROUND(S128*IFERROR(VLOOKUP(Q128,'Tax Codes'!$A$5:$E$300,5,FALSE),0),2),0)</f>
        <v/>
      </c>
      <c r="U128" s="21">
        <f>IF(B128="Receipt",ROUND(S128*IFERROR(VLOOKUP(R128,'Tax Codes'!$A$5:$E$300,5,FALSE),0),2),0)</f>
        <v/>
      </c>
      <c r="V128" s="16">
        <f>INDEX('Chart of Accounts'!$A$5:$A$3000,MATCH("vat_input",'Chart of Accounts'!$F$5:$F$3000,0))</f>
        <v/>
      </c>
      <c r="W128" s="16">
        <f>INDEX('Chart of Accounts'!$A$5:$A$3000,MATCH("wht_payable",'Chart of Accounts'!$F$5:$F$3000,0))</f>
        <v/>
      </c>
      <c r="X128" s="16">
        <f>IF(M128="",INDEX('Chart of Accounts'!$A$5:$A$3000,MATCH("bank",'Chart of Accounts'!$F$5:$F$3000,0)),M128&amp;"")</f>
        <v/>
      </c>
      <c r="Y128" s="16">
        <f>IF(N128="",INDEX('Chart of Accounts'!$A$5:$A$3000,MATCH("ap",'Chart of Accounts'!$F$5:$F$3000,0)),N128&amp;"")</f>
        <v/>
      </c>
      <c r="Z128" s="16">
        <f>IF(O128="",INDEX('Chart of Accounts'!$A$5:$A$3000,MATCH("materials",'Chart of Accounts'!$F$5:$F$3000,0)),O128&amp;"")</f>
        <v/>
      </c>
      <c r="AA128" s="16">
        <f>IF(IFERROR(INDEX(Warehouses!$C$5:$C$1000,MATCH(C128,Warehouses!$A$5:$A$1000,0))&amp;"","")="",INDEX('Chart of Accounts'!$A$5:$A$3000,MATCH("inventory",'Chart of Accounts'!$F$5:$F$3000,0)),IFERROR(INDEX(Warehouses!$C$5:$C$1000,MATCH(C128,Warehouses!$A$5:$A$1000,0))&amp;"",""))</f>
        <v/>
      </c>
      <c r="AB128" s="16">
        <f>IF(IFERROR(INDEX(Warehouses!$C$5:$C$1000,MATCH(D128,Warehouses!$A$5:$A$1000,0))&amp;"","")="",INDEX('Chart of Accounts'!$A$5:$A$3000,MATCH("inventory",'Chart of Accounts'!$F$5:$F$3000,0)),IFERROR(INDEX(Warehouses!$C$5:$C$1000,MATCH(D128,Warehouses!$A$5:$A$1000,0))&amp;"",""))</f>
        <v/>
      </c>
      <c r="AC128" s="21">
        <f>IF(B128="Receipt",N(K128),0)</f>
        <v/>
      </c>
      <c r="AD128" s="16">
        <f>IF(B128="Receipt",AA128,IF(B128="Issue",Z128,IF(B128="Transfer",AB128,IF(N(G128)&gt;=0,AA128,INDEX('Chart of Accounts'!$A$5:$A$3000,MATCH("stock_adjust",'Chart of Accounts'!$F$5:$F$3000,0))))))</f>
        <v/>
      </c>
      <c r="AE128" s="16">
        <f>IF(B128="Receipt",Y128,IF(B128="Adjustment",IF(N(G128)&gt;=0,INDEX('Chart of Accounts'!$A$5:$A$3000,MATCH("stock_adjust",'Chart of Accounts'!$F$5:$F$3000,0)),AA128),AA128))</f>
        <v/>
      </c>
      <c r="AF128" s="21">
        <f>S128+T128-U128-AC128</f>
        <v/>
      </c>
      <c r="AG128" s="23">
        <f>IFERROR(INDEX('Chart of Accounts'!$C$5:$C$3000,MATCH(AD128&amp;"",'Chart of Accounts'!$A$5:$A$3000,0))&amp;"|"&amp;INDEX('Chart of Accounts'!$D$5:$D$3000,MATCH(AD128&amp;"",'Chart of Accounts'!$A$5:$A$3000,0)),"")</f>
        <v/>
      </c>
      <c r="AH128" s="23">
        <f>IFERROR(INDEX('Chart of Accounts'!$C$5:$C$3000,MATCH(V128&amp;"",'Chart of Accounts'!$A$5:$A$3000,0))&amp;"|"&amp;INDEX('Chart of Accounts'!$D$5:$D$3000,MATCH(V128&amp;"",'Chart of Accounts'!$A$5:$A$3000,0)),"")</f>
        <v/>
      </c>
      <c r="AI128" s="23">
        <f>IFERROR(INDEX('Chart of Accounts'!$C$5:$C$3000,MATCH(AE128&amp;"",'Chart of Accounts'!$A$5:$A$3000,0))&amp;"|"&amp;INDEX('Chart of Accounts'!$D$5:$D$3000,MATCH(AE128&amp;"",'Chart of Accounts'!$A$5:$A$3000,0)),"")</f>
        <v/>
      </c>
      <c r="AJ128" s="23">
        <f>IFERROR(INDEX('Chart of Accounts'!$C$5:$C$3000,MATCH(X128&amp;"",'Chart of Accounts'!$A$5:$A$3000,0))&amp;"|"&amp;INDEX('Chart of Accounts'!$D$5:$D$3000,MATCH(X128&amp;"",'Chart of Accounts'!$A$5:$A$3000,0)),"")</f>
        <v/>
      </c>
      <c r="AK128" s="23">
        <f>IFERROR(INDEX('Chart of Accounts'!$C$5:$C$3000,MATCH(W128&amp;"",'Chart of Accounts'!$A$5:$A$3000,0))&amp;"|"&amp;INDEX('Chart of Accounts'!$D$5:$D$3000,MATCH(W128&amp;"",'Chart of Accounts'!$A$5:$A$3000,0)),"")</f>
        <v/>
      </c>
      <c r="AL128" s="23">
        <f>IF(LEFT(AG128,8)="Revenue|",-N(S128),0)+IF(LEFT(AH128,8)="Revenue|",-N(T128),0)+IF(LEFT(AI128,8)="Revenue|",N(AF128),0)+IF(LEFT(AJ128,8)="Revenue|",N(AC128),0)+IF(LEFT(AK128,8)="Revenue|",N(U128),0)</f>
        <v/>
      </c>
      <c r="AM128" s="23">
        <f>IF(LEFT(AG128,5)="COGS|",N(S128),0)+IF(LEFT(AH128,5)="COGS|",N(T128),0)+IF(LEFT(AI128,5)="COGS|",-N(AF128),0)+IF(LEFT(AJ128,5)="COGS|",-N(AC128),0)+IF(LEFT(AK128,5)="COGS|",-N(U128),0)</f>
        <v/>
      </c>
      <c r="AN128" s="23">
        <f>IF(LEFT(AG128,8)="Expense|",N(S128),0)+IF(LEFT(AH128,8)="Expense|",N(T128),0)+IF(LEFT(AI128,8)="Expense|",-N(AF128),0)+IF(LEFT(AJ128,8)="Expense|",-N(AC128),0)+IF(LEFT(AK128,8)="Expense|",-N(U128),0)</f>
        <v/>
      </c>
      <c r="AO128" s="23">
        <f>IF(ISNUMBER(MATCH(AG128,{"Expense|employee","Expense|general_admin","Expense|marketing","Expense|utilities","Expense|other_operating"},0)),N(S128),0)+IF(ISNUMBER(MATCH(AH128,{"Expense|employee","Expense|general_admin","Expense|marketing","Expense|utilities","Expense|other_operating"},0)),N(T128),0)+IF(ISNUMBER(MATCH(AI128,{"Expense|employee","Expense|general_admin","Expense|marketing","Expense|utilities","Expense|other_operating"},0)),-N(AF128),0)+IF(ISNUMBER(MATCH(AJ128,{"Expense|employee","Expense|general_admin","Expense|marketing","Expense|utilities","Expense|other_operating"},0)),-N(AC128),0)+IF(ISNUMBER(MATCH(AK128,{"Expense|employee","Expense|general_admin","Expense|marketing","Expense|utilities","Expense|other_operating"},0)),-N(U128),0)</f>
        <v/>
      </c>
      <c r="AP128" s="23">
        <f>IF(AG128="Liability|payable",-N(S128),0)+IF(AH128="Liability|payable",-N(T128),0)+IF(AI128="Liability|payable",N(AF128),0)+IF(AJ128="Liability|payable",N(AC128),0)+IF(AK128="Liability|payable",N(U128),0)</f>
        <v/>
      </c>
      <c r="AQ128" s="23">
        <f>IF(AG128="Liability|accrued",-N(S128),0)+IF(AH128="Liability|accrued",-N(T128),0)+IF(AI128="Liability|accrued",N(AF128),0)+IF(AJ128="Liability|accrued",N(AC128),0)+IF(AK128="Liability|accrued",N(U128),0)</f>
        <v/>
      </c>
      <c r="AR128" s="23">
        <f>IF(AND(N(S128)&lt;&gt;0,AG128=""),1,0)+IF(AND(N(T128)&lt;&gt;0,AH128=""),1,0)+IF(AND(N(AF128)&lt;&gt;0,AI128=""),1,0)+IF(AND(N(AC128)&lt;&gt;0,AJ128=""),1,0)+IF(AND(N(U128)&lt;&gt;0,AK128=""),1,0)</f>
        <v/>
      </c>
    </row>
    <row r="129">
      <c r="A129" s="19" t="n"/>
      <c r="B129" s="14" t="n"/>
      <c r="C129" s="14" t="n"/>
      <c r="D129" s="14" t="n"/>
      <c r="E129" s="14" t="n"/>
      <c r="F129" s="14" t="n"/>
      <c r="G129" s="14" t="n"/>
      <c r="H129" s="20" t="n"/>
      <c r="I129" s="14" t="n"/>
      <c r="J129" s="14" t="n"/>
      <c r="K129" s="20" t="n"/>
      <c r="L129" s="14" t="n"/>
      <c r="M129" s="14" t="n"/>
      <c r="N129" s="14" t="n"/>
      <c r="O129" s="14" t="n"/>
      <c r="P129" s="14" t="n"/>
      <c r="Q129" s="14" t="n"/>
      <c r="R129" s="14" t="n"/>
      <c r="S129" s="21">
        <f>ROUND(ABS(N(G129))*N(H129),2)</f>
        <v/>
      </c>
      <c r="T129" s="21">
        <f>IF(B129="Receipt",ROUND(S129*IFERROR(VLOOKUP(Q129,'Tax Codes'!$A$5:$E$300,5,FALSE),0),2),0)</f>
        <v/>
      </c>
      <c r="U129" s="21">
        <f>IF(B129="Receipt",ROUND(S129*IFERROR(VLOOKUP(R129,'Tax Codes'!$A$5:$E$300,5,FALSE),0),2),0)</f>
        <v/>
      </c>
      <c r="V129" s="16">
        <f>INDEX('Chart of Accounts'!$A$5:$A$3000,MATCH("vat_input",'Chart of Accounts'!$F$5:$F$3000,0))</f>
        <v/>
      </c>
      <c r="W129" s="16">
        <f>INDEX('Chart of Accounts'!$A$5:$A$3000,MATCH("wht_payable",'Chart of Accounts'!$F$5:$F$3000,0))</f>
        <v/>
      </c>
      <c r="X129" s="16">
        <f>IF(M129="",INDEX('Chart of Accounts'!$A$5:$A$3000,MATCH("bank",'Chart of Accounts'!$F$5:$F$3000,0)),M129&amp;"")</f>
        <v/>
      </c>
      <c r="Y129" s="16">
        <f>IF(N129="",INDEX('Chart of Accounts'!$A$5:$A$3000,MATCH("ap",'Chart of Accounts'!$F$5:$F$3000,0)),N129&amp;"")</f>
        <v/>
      </c>
      <c r="Z129" s="16">
        <f>IF(O129="",INDEX('Chart of Accounts'!$A$5:$A$3000,MATCH("materials",'Chart of Accounts'!$F$5:$F$3000,0)),O129&amp;"")</f>
        <v/>
      </c>
      <c r="AA129" s="16">
        <f>IF(IFERROR(INDEX(Warehouses!$C$5:$C$1000,MATCH(C129,Warehouses!$A$5:$A$1000,0))&amp;"","")="",INDEX('Chart of Accounts'!$A$5:$A$3000,MATCH("inventory",'Chart of Accounts'!$F$5:$F$3000,0)),IFERROR(INDEX(Warehouses!$C$5:$C$1000,MATCH(C129,Warehouses!$A$5:$A$1000,0))&amp;"",""))</f>
        <v/>
      </c>
      <c r="AB129" s="16">
        <f>IF(IFERROR(INDEX(Warehouses!$C$5:$C$1000,MATCH(D129,Warehouses!$A$5:$A$1000,0))&amp;"","")="",INDEX('Chart of Accounts'!$A$5:$A$3000,MATCH("inventory",'Chart of Accounts'!$F$5:$F$3000,0)),IFERROR(INDEX(Warehouses!$C$5:$C$1000,MATCH(D129,Warehouses!$A$5:$A$1000,0))&amp;"",""))</f>
        <v/>
      </c>
      <c r="AC129" s="21">
        <f>IF(B129="Receipt",N(K129),0)</f>
        <v/>
      </c>
      <c r="AD129" s="16">
        <f>IF(B129="Receipt",AA129,IF(B129="Issue",Z129,IF(B129="Transfer",AB129,IF(N(G129)&gt;=0,AA129,INDEX('Chart of Accounts'!$A$5:$A$3000,MATCH("stock_adjust",'Chart of Accounts'!$F$5:$F$3000,0))))))</f>
        <v/>
      </c>
      <c r="AE129" s="16">
        <f>IF(B129="Receipt",Y129,IF(B129="Adjustment",IF(N(G129)&gt;=0,INDEX('Chart of Accounts'!$A$5:$A$3000,MATCH("stock_adjust",'Chart of Accounts'!$F$5:$F$3000,0)),AA129),AA129))</f>
        <v/>
      </c>
      <c r="AF129" s="21">
        <f>S129+T129-U129-AC129</f>
        <v/>
      </c>
      <c r="AG129" s="23">
        <f>IFERROR(INDEX('Chart of Accounts'!$C$5:$C$3000,MATCH(AD129&amp;"",'Chart of Accounts'!$A$5:$A$3000,0))&amp;"|"&amp;INDEX('Chart of Accounts'!$D$5:$D$3000,MATCH(AD129&amp;"",'Chart of Accounts'!$A$5:$A$3000,0)),"")</f>
        <v/>
      </c>
      <c r="AH129" s="23">
        <f>IFERROR(INDEX('Chart of Accounts'!$C$5:$C$3000,MATCH(V129&amp;"",'Chart of Accounts'!$A$5:$A$3000,0))&amp;"|"&amp;INDEX('Chart of Accounts'!$D$5:$D$3000,MATCH(V129&amp;"",'Chart of Accounts'!$A$5:$A$3000,0)),"")</f>
        <v/>
      </c>
      <c r="AI129" s="23">
        <f>IFERROR(INDEX('Chart of Accounts'!$C$5:$C$3000,MATCH(AE129&amp;"",'Chart of Accounts'!$A$5:$A$3000,0))&amp;"|"&amp;INDEX('Chart of Accounts'!$D$5:$D$3000,MATCH(AE129&amp;"",'Chart of Accounts'!$A$5:$A$3000,0)),"")</f>
        <v/>
      </c>
      <c r="AJ129" s="23">
        <f>IFERROR(INDEX('Chart of Accounts'!$C$5:$C$3000,MATCH(X129&amp;"",'Chart of Accounts'!$A$5:$A$3000,0))&amp;"|"&amp;INDEX('Chart of Accounts'!$D$5:$D$3000,MATCH(X129&amp;"",'Chart of Accounts'!$A$5:$A$3000,0)),"")</f>
        <v/>
      </c>
      <c r="AK129" s="23">
        <f>IFERROR(INDEX('Chart of Accounts'!$C$5:$C$3000,MATCH(W129&amp;"",'Chart of Accounts'!$A$5:$A$3000,0))&amp;"|"&amp;INDEX('Chart of Accounts'!$D$5:$D$3000,MATCH(W129&amp;"",'Chart of Accounts'!$A$5:$A$3000,0)),"")</f>
        <v/>
      </c>
      <c r="AL129" s="23">
        <f>IF(LEFT(AG129,8)="Revenue|",-N(S129),0)+IF(LEFT(AH129,8)="Revenue|",-N(T129),0)+IF(LEFT(AI129,8)="Revenue|",N(AF129),0)+IF(LEFT(AJ129,8)="Revenue|",N(AC129),0)+IF(LEFT(AK129,8)="Revenue|",N(U129),0)</f>
        <v/>
      </c>
      <c r="AM129" s="23">
        <f>IF(LEFT(AG129,5)="COGS|",N(S129),0)+IF(LEFT(AH129,5)="COGS|",N(T129),0)+IF(LEFT(AI129,5)="COGS|",-N(AF129),0)+IF(LEFT(AJ129,5)="COGS|",-N(AC129),0)+IF(LEFT(AK129,5)="COGS|",-N(U129),0)</f>
        <v/>
      </c>
      <c r="AN129" s="23">
        <f>IF(LEFT(AG129,8)="Expense|",N(S129),0)+IF(LEFT(AH129,8)="Expense|",N(T129),0)+IF(LEFT(AI129,8)="Expense|",-N(AF129),0)+IF(LEFT(AJ129,8)="Expense|",-N(AC129),0)+IF(LEFT(AK129,8)="Expense|",-N(U129),0)</f>
        <v/>
      </c>
      <c r="AO129" s="23">
        <f>IF(ISNUMBER(MATCH(AG129,{"Expense|employee","Expense|general_admin","Expense|marketing","Expense|utilities","Expense|other_operating"},0)),N(S129),0)+IF(ISNUMBER(MATCH(AH129,{"Expense|employee","Expense|general_admin","Expense|marketing","Expense|utilities","Expense|other_operating"},0)),N(T129),0)+IF(ISNUMBER(MATCH(AI129,{"Expense|employee","Expense|general_admin","Expense|marketing","Expense|utilities","Expense|other_operating"},0)),-N(AF129),0)+IF(ISNUMBER(MATCH(AJ129,{"Expense|employee","Expense|general_admin","Expense|marketing","Expense|utilities","Expense|other_operating"},0)),-N(AC129),0)+IF(ISNUMBER(MATCH(AK129,{"Expense|employee","Expense|general_admin","Expense|marketing","Expense|utilities","Expense|other_operating"},0)),-N(U129),0)</f>
        <v/>
      </c>
      <c r="AP129" s="23">
        <f>IF(AG129="Liability|payable",-N(S129),0)+IF(AH129="Liability|payable",-N(T129),0)+IF(AI129="Liability|payable",N(AF129),0)+IF(AJ129="Liability|payable",N(AC129),0)+IF(AK129="Liability|payable",N(U129),0)</f>
        <v/>
      </c>
      <c r="AQ129" s="23">
        <f>IF(AG129="Liability|accrued",-N(S129),0)+IF(AH129="Liability|accrued",-N(T129),0)+IF(AI129="Liability|accrued",N(AF129),0)+IF(AJ129="Liability|accrued",N(AC129),0)+IF(AK129="Liability|accrued",N(U129),0)</f>
        <v/>
      </c>
      <c r="AR129" s="23">
        <f>IF(AND(N(S129)&lt;&gt;0,AG129=""),1,0)+IF(AND(N(T129)&lt;&gt;0,AH129=""),1,0)+IF(AND(N(AF129)&lt;&gt;0,AI129=""),1,0)+IF(AND(N(AC129)&lt;&gt;0,AJ129=""),1,0)+IF(AND(N(U129)&lt;&gt;0,AK129=""),1,0)</f>
        <v/>
      </c>
    </row>
    <row r="130">
      <c r="A130" s="19" t="n"/>
      <c r="B130" s="14" t="n"/>
      <c r="C130" s="14" t="n"/>
      <c r="D130" s="14" t="n"/>
      <c r="E130" s="14" t="n"/>
      <c r="F130" s="14" t="n"/>
      <c r="G130" s="14" t="n"/>
      <c r="H130" s="20" t="n"/>
      <c r="I130" s="14" t="n"/>
      <c r="J130" s="14" t="n"/>
      <c r="K130" s="20" t="n"/>
      <c r="L130" s="14" t="n"/>
      <c r="M130" s="14" t="n"/>
      <c r="N130" s="14" t="n"/>
      <c r="O130" s="14" t="n"/>
      <c r="P130" s="14" t="n"/>
      <c r="Q130" s="14" t="n"/>
      <c r="R130" s="14" t="n"/>
      <c r="S130" s="21">
        <f>ROUND(ABS(N(G130))*N(H130),2)</f>
        <v/>
      </c>
      <c r="T130" s="21">
        <f>IF(B130="Receipt",ROUND(S130*IFERROR(VLOOKUP(Q130,'Tax Codes'!$A$5:$E$300,5,FALSE),0),2),0)</f>
        <v/>
      </c>
      <c r="U130" s="21">
        <f>IF(B130="Receipt",ROUND(S130*IFERROR(VLOOKUP(R130,'Tax Codes'!$A$5:$E$300,5,FALSE),0),2),0)</f>
        <v/>
      </c>
      <c r="V130" s="16">
        <f>INDEX('Chart of Accounts'!$A$5:$A$3000,MATCH("vat_input",'Chart of Accounts'!$F$5:$F$3000,0))</f>
        <v/>
      </c>
      <c r="W130" s="16">
        <f>INDEX('Chart of Accounts'!$A$5:$A$3000,MATCH("wht_payable",'Chart of Accounts'!$F$5:$F$3000,0))</f>
        <v/>
      </c>
      <c r="X130" s="16">
        <f>IF(M130="",INDEX('Chart of Accounts'!$A$5:$A$3000,MATCH("bank",'Chart of Accounts'!$F$5:$F$3000,0)),M130&amp;"")</f>
        <v/>
      </c>
      <c r="Y130" s="16">
        <f>IF(N130="",INDEX('Chart of Accounts'!$A$5:$A$3000,MATCH("ap",'Chart of Accounts'!$F$5:$F$3000,0)),N130&amp;"")</f>
        <v/>
      </c>
      <c r="Z130" s="16">
        <f>IF(O130="",INDEX('Chart of Accounts'!$A$5:$A$3000,MATCH("materials",'Chart of Accounts'!$F$5:$F$3000,0)),O130&amp;"")</f>
        <v/>
      </c>
      <c r="AA130" s="16">
        <f>IF(IFERROR(INDEX(Warehouses!$C$5:$C$1000,MATCH(C130,Warehouses!$A$5:$A$1000,0))&amp;"","")="",INDEX('Chart of Accounts'!$A$5:$A$3000,MATCH("inventory",'Chart of Accounts'!$F$5:$F$3000,0)),IFERROR(INDEX(Warehouses!$C$5:$C$1000,MATCH(C130,Warehouses!$A$5:$A$1000,0))&amp;"",""))</f>
        <v/>
      </c>
      <c r="AB130" s="16">
        <f>IF(IFERROR(INDEX(Warehouses!$C$5:$C$1000,MATCH(D130,Warehouses!$A$5:$A$1000,0))&amp;"","")="",INDEX('Chart of Accounts'!$A$5:$A$3000,MATCH("inventory",'Chart of Accounts'!$F$5:$F$3000,0)),IFERROR(INDEX(Warehouses!$C$5:$C$1000,MATCH(D130,Warehouses!$A$5:$A$1000,0))&amp;"",""))</f>
        <v/>
      </c>
      <c r="AC130" s="21">
        <f>IF(B130="Receipt",N(K130),0)</f>
        <v/>
      </c>
      <c r="AD130" s="16">
        <f>IF(B130="Receipt",AA130,IF(B130="Issue",Z130,IF(B130="Transfer",AB130,IF(N(G130)&gt;=0,AA130,INDEX('Chart of Accounts'!$A$5:$A$3000,MATCH("stock_adjust",'Chart of Accounts'!$F$5:$F$3000,0))))))</f>
        <v/>
      </c>
      <c r="AE130" s="16">
        <f>IF(B130="Receipt",Y130,IF(B130="Adjustment",IF(N(G130)&gt;=0,INDEX('Chart of Accounts'!$A$5:$A$3000,MATCH("stock_adjust",'Chart of Accounts'!$F$5:$F$3000,0)),AA130),AA130))</f>
        <v/>
      </c>
      <c r="AF130" s="21">
        <f>S130+T130-U130-AC130</f>
        <v/>
      </c>
      <c r="AG130" s="23">
        <f>IFERROR(INDEX('Chart of Accounts'!$C$5:$C$3000,MATCH(AD130&amp;"",'Chart of Accounts'!$A$5:$A$3000,0))&amp;"|"&amp;INDEX('Chart of Accounts'!$D$5:$D$3000,MATCH(AD130&amp;"",'Chart of Accounts'!$A$5:$A$3000,0)),"")</f>
        <v/>
      </c>
      <c r="AH130" s="23">
        <f>IFERROR(INDEX('Chart of Accounts'!$C$5:$C$3000,MATCH(V130&amp;"",'Chart of Accounts'!$A$5:$A$3000,0))&amp;"|"&amp;INDEX('Chart of Accounts'!$D$5:$D$3000,MATCH(V130&amp;"",'Chart of Accounts'!$A$5:$A$3000,0)),"")</f>
        <v/>
      </c>
      <c r="AI130" s="23">
        <f>IFERROR(INDEX('Chart of Accounts'!$C$5:$C$3000,MATCH(AE130&amp;"",'Chart of Accounts'!$A$5:$A$3000,0))&amp;"|"&amp;INDEX('Chart of Accounts'!$D$5:$D$3000,MATCH(AE130&amp;"",'Chart of Accounts'!$A$5:$A$3000,0)),"")</f>
        <v/>
      </c>
      <c r="AJ130" s="23">
        <f>IFERROR(INDEX('Chart of Accounts'!$C$5:$C$3000,MATCH(X130&amp;"",'Chart of Accounts'!$A$5:$A$3000,0))&amp;"|"&amp;INDEX('Chart of Accounts'!$D$5:$D$3000,MATCH(X130&amp;"",'Chart of Accounts'!$A$5:$A$3000,0)),"")</f>
        <v/>
      </c>
      <c r="AK130" s="23">
        <f>IFERROR(INDEX('Chart of Accounts'!$C$5:$C$3000,MATCH(W130&amp;"",'Chart of Accounts'!$A$5:$A$3000,0))&amp;"|"&amp;INDEX('Chart of Accounts'!$D$5:$D$3000,MATCH(W130&amp;"",'Chart of Accounts'!$A$5:$A$3000,0)),"")</f>
        <v/>
      </c>
      <c r="AL130" s="23">
        <f>IF(LEFT(AG130,8)="Revenue|",-N(S130),0)+IF(LEFT(AH130,8)="Revenue|",-N(T130),0)+IF(LEFT(AI130,8)="Revenue|",N(AF130),0)+IF(LEFT(AJ130,8)="Revenue|",N(AC130),0)+IF(LEFT(AK130,8)="Revenue|",N(U130),0)</f>
        <v/>
      </c>
      <c r="AM130" s="23">
        <f>IF(LEFT(AG130,5)="COGS|",N(S130),0)+IF(LEFT(AH130,5)="COGS|",N(T130),0)+IF(LEFT(AI130,5)="COGS|",-N(AF130),0)+IF(LEFT(AJ130,5)="COGS|",-N(AC130),0)+IF(LEFT(AK130,5)="COGS|",-N(U130),0)</f>
        <v/>
      </c>
      <c r="AN130" s="23">
        <f>IF(LEFT(AG130,8)="Expense|",N(S130),0)+IF(LEFT(AH130,8)="Expense|",N(T130),0)+IF(LEFT(AI130,8)="Expense|",-N(AF130),0)+IF(LEFT(AJ130,8)="Expense|",-N(AC130),0)+IF(LEFT(AK130,8)="Expense|",-N(U130),0)</f>
        <v/>
      </c>
      <c r="AO130" s="23">
        <f>IF(ISNUMBER(MATCH(AG130,{"Expense|employee","Expense|general_admin","Expense|marketing","Expense|utilities","Expense|other_operating"},0)),N(S130),0)+IF(ISNUMBER(MATCH(AH130,{"Expense|employee","Expense|general_admin","Expense|marketing","Expense|utilities","Expense|other_operating"},0)),N(T130),0)+IF(ISNUMBER(MATCH(AI130,{"Expense|employee","Expense|general_admin","Expense|marketing","Expense|utilities","Expense|other_operating"},0)),-N(AF130),0)+IF(ISNUMBER(MATCH(AJ130,{"Expense|employee","Expense|general_admin","Expense|marketing","Expense|utilities","Expense|other_operating"},0)),-N(AC130),0)+IF(ISNUMBER(MATCH(AK130,{"Expense|employee","Expense|general_admin","Expense|marketing","Expense|utilities","Expense|other_operating"},0)),-N(U130),0)</f>
        <v/>
      </c>
      <c r="AP130" s="23">
        <f>IF(AG130="Liability|payable",-N(S130),0)+IF(AH130="Liability|payable",-N(T130),0)+IF(AI130="Liability|payable",N(AF130),0)+IF(AJ130="Liability|payable",N(AC130),0)+IF(AK130="Liability|payable",N(U130),0)</f>
        <v/>
      </c>
      <c r="AQ130" s="23">
        <f>IF(AG130="Liability|accrued",-N(S130),0)+IF(AH130="Liability|accrued",-N(T130),0)+IF(AI130="Liability|accrued",N(AF130),0)+IF(AJ130="Liability|accrued",N(AC130),0)+IF(AK130="Liability|accrued",N(U130),0)</f>
        <v/>
      </c>
      <c r="AR130" s="23">
        <f>IF(AND(N(S130)&lt;&gt;0,AG130=""),1,0)+IF(AND(N(T130)&lt;&gt;0,AH130=""),1,0)+IF(AND(N(AF130)&lt;&gt;0,AI130=""),1,0)+IF(AND(N(AC130)&lt;&gt;0,AJ130=""),1,0)+IF(AND(N(U130)&lt;&gt;0,AK130=""),1,0)</f>
        <v/>
      </c>
    </row>
    <row r="131">
      <c r="A131" s="19" t="n"/>
      <c r="B131" s="14" t="n"/>
      <c r="C131" s="14" t="n"/>
      <c r="D131" s="14" t="n"/>
      <c r="E131" s="14" t="n"/>
      <c r="F131" s="14" t="n"/>
      <c r="G131" s="14" t="n"/>
      <c r="H131" s="20" t="n"/>
      <c r="I131" s="14" t="n"/>
      <c r="J131" s="14" t="n"/>
      <c r="K131" s="20" t="n"/>
      <c r="L131" s="14" t="n"/>
      <c r="M131" s="14" t="n"/>
      <c r="N131" s="14" t="n"/>
      <c r="O131" s="14" t="n"/>
      <c r="P131" s="14" t="n"/>
      <c r="Q131" s="14" t="n"/>
      <c r="R131" s="14" t="n"/>
      <c r="S131" s="21">
        <f>ROUND(ABS(N(G131))*N(H131),2)</f>
        <v/>
      </c>
      <c r="T131" s="21">
        <f>IF(B131="Receipt",ROUND(S131*IFERROR(VLOOKUP(Q131,'Tax Codes'!$A$5:$E$300,5,FALSE),0),2),0)</f>
        <v/>
      </c>
      <c r="U131" s="21">
        <f>IF(B131="Receipt",ROUND(S131*IFERROR(VLOOKUP(R131,'Tax Codes'!$A$5:$E$300,5,FALSE),0),2),0)</f>
        <v/>
      </c>
      <c r="V131" s="16">
        <f>INDEX('Chart of Accounts'!$A$5:$A$3000,MATCH("vat_input",'Chart of Accounts'!$F$5:$F$3000,0))</f>
        <v/>
      </c>
      <c r="W131" s="16">
        <f>INDEX('Chart of Accounts'!$A$5:$A$3000,MATCH("wht_payable",'Chart of Accounts'!$F$5:$F$3000,0))</f>
        <v/>
      </c>
      <c r="X131" s="16">
        <f>IF(M131="",INDEX('Chart of Accounts'!$A$5:$A$3000,MATCH("bank",'Chart of Accounts'!$F$5:$F$3000,0)),M131&amp;"")</f>
        <v/>
      </c>
      <c r="Y131" s="16">
        <f>IF(N131="",INDEX('Chart of Accounts'!$A$5:$A$3000,MATCH("ap",'Chart of Accounts'!$F$5:$F$3000,0)),N131&amp;"")</f>
        <v/>
      </c>
      <c r="Z131" s="16">
        <f>IF(O131="",INDEX('Chart of Accounts'!$A$5:$A$3000,MATCH("materials",'Chart of Accounts'!$F$5:$F$3000,0)),O131&amp;"")</f>
        <v/>
      </c>
      <c r="AA131" s="16">
        <f>IF(IFERROR(INDEX(Warehouses!$C$5:$C$1000,MATCH(C131,Warehouses!$A$5:$A$1000,0))&amp;"","")="",INDEX('Chart of Accounts'!$A$5:$A$3000,MATCH("inventory",'Chart of Accounts'!$F$5:$F$3000,0)),IFERROR(INDEX(Warehouses!$C$5:$C$1000,MATCH(C131,Warehouses!$A$5:$A$1000,0))&amp;"",""))</f>
        <v/>
      </c>
      <c r="AB131" s="16">
        <f>IF(IFERROR(INDEX(Warehouses!$C$5:$C$1000,MATCH(D131,Warehouses!$A$5:$A$1000,0))&amp;"","")="",INDEX('Chart of Accounts'!$A$5:$A$3000,MATCH("inventory",'Chart of Accounts'!$F$5:$F$3000,0)),IFERROR(INDEX(Warehouses!$C$5:$C$1000,MATCH(D131,Warehouses!$A$5:$A$1000,0))&amp;"",""))</f>
        <v/>
      </c>
      <c r="AC131" s="21">
        <f>IF(B131="Receipt",N(K131),0)</f>
        <v/>
      </c>
      <c r="AD131" s="16">
        <f>IF(B131="Receipt",AA131,IF(B131="Issue",Z131,IF(B131="Transfer",AB131,IF(N(G131)&gt;=0,AA131,INDEX('Chart of Accounts'!$A$5:$A$3000,MATCH("stock_adjust",'Chart of Accounts'!$F$5:$F$3000,0))))))</f>
        <v/>
      </c>
      <c r="AE131" s="16">
        <f>IF(B131="Receipt",Y131,IF(B131="Adjustment",IF(N(G131)&gt;=0,INDEX('Chart of Accounts'!$A$5:$A$3000,MATCH("stock_adjust",'Chart of Accounts'!$F$5:$F$3000,0)),AA131),AA131))</f>
        <v/>
      </c>
      <c r="AF131" s="21">
        <f>S131+T131-U131-AC131</f>
        <v/>
      </c>
      <c r="AG131" s="23">
        <f>IFERROR(INDEX('Chart of Accounts'!$C$5:$C$3000,MATCH(AD131&amp;"",'Chart of Accounts'!$A$5:$A$3000,0))&amp;"|"&amp;INDEX('Chart of Accounts'!$D$5:$D$3000,MATCH(AD131&amp;"",'Chart of Accounts'!$A$5:$A$3000,0)),"")</f>
        <v/>
      </c>
      <c r="AH131" s="23">
        <f>IFERROR(INDEX('Chart of Accounts'!$C$5:$C$3000,MATCH(V131&amp;"",'Chart of Accounts'!$A$5:$A$3000,0))&amp;"|"&amp;INDEX('Chart of Accounts'!$D$5:$D$3000,MATCH(V131&amp;"",'Chart of Accounts'!$A$5:$A$3000,0)),"")</f>
        <v/>
      </c>
      <c r="AI131" s="23">
        <f>IFERROR(INDEX('Chart of Accounts'!$C$5:$C$3000,MATCH(AE131&amp;"",'Chart of Accounts'!$A$5:$A$3000,0))&amp;"|"&amp;INDEX('Chart of Accounts'!$D$5:$D$3000,MATCH(AE131&amp;"",'Chart of Accounts'!$A$5:$A$3000,0)),"")</f>
        <v/>
      </c>
      <c r="AJ131" s="23">
        <f>IFERROR(INDEX('Chart of Accounts'!$C$5:$C$3000,MATCH(X131&amp;"",'Chart of Accounts'!$A$5:$A$3000,0))&amp;"|"&amp;INDEX('Chart of Accounts'!$D$5:$D$3000,MATCH(X131&amp;"",'Chart of Accounts'!$A$5:$A$3000,0)),"")</f>
        <v/>
      </c>
      <c r="AK131" s="23">
        <f>IFERROR(INDEX('Chart of Accounts'!$C$5:$C$3000,MATCH(W131&amp;"",'Chart of Accounts'!$A$5:$A$3000,0))&amp;"|"&amp;INDEX('Chart of Accounts'!$D$5:$D$3000,MATCH(W131&amp;"",'Chart of Accounts'!$A$5:$A$3000,0)),"")</f>
        <v/>
      </c>
      <c r="AL131" s="23">
        <f>IF(LEFT(AG131,8)="Revenue|",-N(S131),0)+IF(LEFT(AH131,8)="Revenue|",-N(T131),0)+IF(LEFT(AI131,8)="Revenue|",N(AF131),0)+IF(LEFT(AJ131,8)="Revenue|",N(AC131),0)+IF(LEFT(AK131,8)="Revenue|",N(U131),0)</f>
        <v/>
      </c>
      <c r="AM131" s="23">
        <f>IF(LEFT(AG131,5)="COGS|",N(S131),0)+IF(LEFT(AH131,5)="COGS|",N(T131),0)+IF(LEFT(AI131,5)="COGS|",-N(AF131),0)+IF(LEFT(AJ131,5)="COGS|",-N(AC131),0)+IF(LEFT(AK131,5)="COGS|",-N(U131),0)</f>
        <v/>
      </c>
      <c r="AN131" s="23">
        <f>IF(LEFT(AG131,8)="Expense|",N(S131),0)+IF(LEFT(AH131,8)="Expense|",N(T131),0)+IF(LEFT(AI131,8)="Expense|",-N(AF131),0)+IF(LEFT(AJ131,8)="Expense|",-N(AC131),0)+IF(LEFT(AK131,8)="Expense|",-N(U131),0)</f>
        <v/>
      </c>
      <c r="AO131" s="23">
        <f>IF(ISNUMBER(MATCH(AG131,{"Expense|employee","Expense|general_admin","Expense|marketing","Expense|utilities","Expense|other_operating"},0)),N(S131),0)+IF(ISNUMBER(MATCH(AH131,{"Expense|employee","Expense|general_admin","Expense|marketing","Expense|utilities","Expense|other_operating"},0)),N(T131),0)+IF(ISNUMBER(MATCH(AI131,{"Expense|employee","Expense|general_admin","Expense|marketing","Expense|utilities","Expense|other_operating"},0)),-N(AF131),0)+IF(ISNUMBER(MATCH(AJ131,{"Expense|employee","Expense|general_admin","Expense|marketing","Expense|utilities","Expense|other_operating"},0)),-N(AC131),0)+IF(ISNUMBER(MATCH(AK131,{"Expense|employee","Expense|general_admin","Expense|marketing","Expense|utilities","Expense|other_operating"},0)),-N(U131),0)</f>
        <v/>
      </c>
      <c r="AP131" s="23">
        <f>IF(AG131="Liability|payable",-N(S131),0)+IF(AH131="Liability|payable",-N(T131),0)+IF(AI131="Liability|payable",N(AF131),0)+IF(AJ131="Liability|payable",N(AC131),0)+IF(AK131="Liability|payable",N(U131),0)</f>
        <v/>
      </c>
      <c r="AQ131" s="23">
        <f>IF(AG131="Liability|accrued",-N(S131),0)+IF(AH131="Liability|accrued",-N(T131),0)+IF(AI131="Liability|accrued",N(AF131),0)+IF(AJ131="Liability|accrued",N(AC131),0)+IF(AK131="Liability|accrued",N(U131),0)</f>
        <v/>
      </c>
      <c r="AR131" s="23">
        <f>IF(AND(N(S131)&lt;&gt;0,AG131=""),1,0)+IF(AND(N(T131)&lt;&gt;0,AH131=""),1,0)+IF(AND(N(AF131)&lt;&gt;0,AI131=""),1,0)+IF(AND(N(AC131)&lt;&gt;0,AJ131=""),1,0)+IF(AND(N(U131)&lt;&gt;0,AK131=""),1,0)</f>
        <v/>
      </c>
    </row>
    <row r="132">
      <c r="A132" s="19" t="n"/>
      <c r="B132" s="14" t="n"/>
      <c r="C132" s="14" t="n"/>
      <c r="D132" s="14" t="n"/>
      <c r="E132" s="14" t="n"/>
      <c r="F132" s="14" t="n"/>
      <c r="G132" s="14" t="n"/>
      <c r="H132" s="20" t="n"/>
      <c r="I132" s="14" t="n"/>
      <c r="J132" s="14" t="n"/>
      <c r="K132" s="20" t="n"/>
      <c r="L132" s="14" t="n"/>
      <c r="M132" s="14" t="n"/>
      <c r="N132" s="14" t="n"/>
      <c r="O132" s="14" t="n"/>
      <c r="P132" s="14" t="n"/>
      <c r="Q132" s="14" t="n"/>
      <c r="R132" s="14" t="n"/>
      <c r="S132" s="21">
        <f>ROUND(ABS(N(G132))*N(H132),2)</f>
        <v/>
      </c>
      <c r="T132" s="21">
        <f>IF(B132="Receipt",ROUND(S132*IFERROR(VLOOKUP(Q132,'Tax Codes'!$A$5:$E$300,5,FALSE),0),2),0)</f>
        <v/>
      </c>
      <c r="U132" s="21">
        <f>IF(B132="Receipt",ROUND(S132*IFERROR(VLOOKUP(R132,'Tax Codes'!$A$5:$E$300,5,FALSE),0),2),0)</f>
        <v/>
      </c>
      <c r="V132" s="16">
        <f>INDEX('Chart of Accounts'!$A$5:$A$3000,MATCH("vat_input",'Chart of Accounts'!$F$5:$F$3000,0))</f>
        <v/>
      </c>
      <c r="W132" s="16">
        <f>INDEX('Chart of Accounts'!$A$5:$A$3000,MATCH("wht_payable",'Chart of Accounts'!$F$5:$F$3000,0))</f>
        <v/>
      </c>
      <c r="X132" s="16">
        <f>IF(M132="",INDEX('Chart of Accounts'!$A$5:$A$3000,MATCH("bank",'Chart of Accounts'!$F$5:$F$3000,0)),M132&amp;"")</f>
        <v/>
      </c>
      <c r="Y132" s="16">
        <f>IF(N132="",INDEX('Chart of Accounts'!$A$5:$A$3000,MATCH("ap",'Chart of Accounts'!$F$5:$F$3000,0)),N132&amp;"")</f>
        <v/>
      </c>
      <c r="Z132" s="16">
        <f>IF(O132="",INDEX('Chart of Accounts'!$A$5:$A$3000,MATCH("materials",'Chart of Accounts'!$F$5:$F$3000,0)),O132&amp;"")</f>
        <v/>
      </c>
      <c r="AA132" s="16">
        <f>IF(IFERROR(INDEX(Warehouses!$C$5:$C$1000,MATCH(C132,Warehouses!$A$5:$A$1000,0))&amp;"","")="",INDEX('Chart of Accounts'!$A$5:$A$3000,MATCH("inventory",'Chart of Accounts'!$F$5:$F$3000,0)),IFERROR(INDEX(Warehouses!$C$5:$C$1000,MATCH(C132,Warehouses!$A$5:$A$1000,0))&amp;"",""))</f>
        <v/>
      </c>
      <c r="AB132" s="16">
        <f>IF(IFERROR(INDEX(Warehouses!$C$5:$C$1000,MATCH(D132,Warehouses!$A$5:$A$1000,0))&amp;"","")="",INDEX('Chart of Accounts'!$A$5:$A$3000,MATCH("inventory",'Chart of Accounts'!$F$5:$F$3000,0)),IFERROR(INDEX(Warehouses!$C$5:$C$1000,MATCH(D132,Warehouses!$A$5:$A$1000,0))&amp;"",""))</f>
        <v/>
      </c>
      <c r="AC132" s="21">
        <f>IF(B132="Receipt",N(K132),0)</f>
        <v/>
      </c>
      <c r="AD132" s="16">
        <f>IF(B132="Receipt",AA132,IF(B132="Issue",Z132,IF(B132="Transfer",AB132,IF(N(G132)&gt;=0,AA132,INDEX('Chart of Accounts'!$A$5:$A$3000,MATCH("stock_adjust",'Chart of Accounts'!$F$5:$F$3000,0))))))</f>
        <v/>
      </c>
      <c r="AE132" s="16">
        <f>IF(B132="Receipt",Y132,IF(B132="Adjustment",IF(N(G132)&gt;=0,INDEX('Chart of Accounts'!$A$5:$A$3000,MATCH("stock_adjust",'Chart of Accounts'!$F$5:$F$3000,0)),AA132),AA132))</f>
        <v/>
      </c>
      <c r="AF132" s="21">
        <f>S132+T132-U132-AC132</f>
        <v/>
      </c>
      <c r="AG132" s="23">
        <f>IFERROR(INDEX('Chart of Accounts'!$C$5:$C$3000,MATCH(AD132&amp;"",'Chart of Accounts'!$A$5:$A$3000,0))&amp;"|"&amp;INDEX('Chart of Accounts'!$D$5:$D$3000,MATCH(AD132&amp;"",'Chart of Accounts'!$A$5:$A$3000,0)),"")</f>
        <v/>
      </c>
      <c r="AH132" s="23">
        <f>IFERROR(INDEX('Chart of Accounts'!$C$5:$C$3000,MATCH(V132&amp;"",'Chart of Accounts'!$A$5:$A$3000,0))&amp;"|"&amp;INDEX('Chart of Accounts'!$D$5:$D$3000,MATCH(V132&amp;"",'Chart of Accounts'!$A$5:$A$3000,0)),"")</f>
        <v/>
      </c>
      <c r="AI132" s="23">
        <f>IFERROR(INDEX('Chart of Accounts'!$C$5:$C$3000,MATCH(AE132&amp;"",'Chart of Accounts'!$A$5:$A$3000,0))&amp;"|"&amp;INDEX('Chart of Accounts'!$D$5:$D$3000,MATCH(AE132&amp;"",'Chart of Accounts'!$A$5:$A$3000,0)),"")</f>
        <v/>
      </c>
      <c r="AJ132" s="23">
        <f>IFERROR(INDEX('Chart of Accounts'!$C$5:$C$3000,MATCH(X132&amp;"",'Chart of Accounts'!$A$5:$A$3000,0))&amp;"|"&amp;INDEX('Chart of Accounts'!$D$5:$D$3000,MATCH(X132&amp;"",'Chart of Accounts'!$A$5:$A$3000,0)),"")</f>
        <v/>
      </c>
      <c r="AK132" s="23">
        <f>IFERROR(INDEX('Chart of Accounts'!$C$5:$C$3000,MATCH(W132&amp;"",'Chart of Accounts'!$A$5:$A$3000,0))&amp;"|"&amp;INDEX('Chart of Accounts'!$D$5:$D$3000,MATCH(W132&amp;"",'Chart of Accounts'!$A$5:$A$3000,0)),"")</f>
        <v/>
      </c>
      <c r="AL132" s="23">
        <f>IF(LEFT(AG132,8)="Revenue|",-N(S132),0)+IF(LEFT(AH132,8)="Revenue|",-N(T132),0)+IF(LEFT(AI132,8)="Revenue|",N(AF132),0)+IF(LEFT(AJ132,8)="Revenue|",N(AC132),0)+IF(LEFT(AK132,8)="Revenue|",N(U132),0)</f>
        <v/>
      </c>
      <c r="AM132" s="23">
        <f>IF(LEFT(AG132,5)="COGS|",N(S132),0)+IF(LEFT(AH132,5)="COGS|",N(T132),0)+IF(LEFT(AI132,5)="COGS|",-N(AF132),0)+IF(LEFT(AJ132,5)="COGS|",-N(AC132),0)+IF(LEFT(AK132,5)="COGS|",-N(U132),0)</f>
        <v/>
      </c>
      <c r="AN132" s="23">
        <f>IF(LEFT(AG132,8)="Expense|",N(S132),0)+IF(LEFT(AH132,8)="Expense|",N(T132),0)+IF(LEFT(AI132,8)="Expense|",-N(AF132),0)+IF(LEFT(AJ132,8)="Expense|",-N(AC132),0)+IF(LEFT(AK132,8)="Expense|",-N(U132),0)</f>
        <v/>
      </c>
      <c r="AO132" s="23">
        <f>IF(ISNUMBER(MATCH(AG132,{"Expense|employee","Expense|general_admin","Expense|marketing","Expense|utilities","Expense|other_operating"},0)),N(S132),0)+IF(ISNUMBER(MATCH(AH132,{"Expense|employee","Expense|general_admin","Expense|marketing","Expense|utilities","Expense|other_operating"},0)),N(T132),0)+IF(ISNUMBER(MATCH(AI132,{"Expense|employee","Expense|general_admin","Expense|marketing","Expense|utilities","Expense|other_operating"},0)),-N(AF132),0)+IF(ISNUMBER(MATCH(AJ132,{"Expense|employee","Expense|general_admin","Expense|marketing","Expense|utilities","Expense|other_operating"},0)),-N(AC132),0)+IF(ISNUMBER(MATCH(AK132,{"Expense|employee","Expense|general_admin","Expense|marketing","Expense|utilities","Expense|other_operating"},0)),-N(U132),0)</f>
        <v/>
      </c>
      <c r="AP132" s="23">
        <f>IF(AG132="Liability|payable",-N(S132),0)+IF(AH132="Liability|payable",-N(T132),0)+IF(AI132="Liability|payable",N(AF132),0)+IF(AJ132="Liability|payable",N(AC132),0)+IF(AK132="Liability|payable",N(U132),0)</f>
        <v/>
      </c>
      <c r="AQ132" s="23">
        <f>IF(AG132="Liability|accrued",-N(S132),0)+IF(AH132="Liability|accrued",-N(T132),0)+IF(AI132="Liability|accrued",N(AF132),0)+IF(AJ132="Liability|accrued",N(AC132),0)+IF(AK132="Liability|accrued",N(U132),0)</f>
        <v/>
      </c>
      <c r="AR132" s="23">
        <f>IF(AND(N(S132)&lt;&gt;0,AG132=""),1,0)+IF(AND(N(T132)&lt;&gt;0,AH132=""),1,0)+IF(AND(N(AF132)&lt;&gt;0,AI132=""),1,0)+IF(AND(N(AC132)&lt;&gt;0,AJ132=""),1,0)+IF(AND(N(U132)&lt;&gt;0,AK132=""),1,0)</f>
        <v/>
      </c>
    </row>
    <row r="133">
      <c r="A133" s="19" t="n"/>
      <c r="B133" s="14" t="n"/>
      <c r="C133" s="14" t="n"/>
      <c r="D133" s="14" t="n"/>
      <c r="E133" s="14" t="n"/>
      <c r="F133" s="14" t="n"/>
      <c r="G133" s="14" t="n"/>
      <c r="H133" s="20" t="n"/>
      <c r="I133" s="14" t="n"/>
      <c r="J133" s="14" t="n"/>
      <c r="K133" s="20" t="n"/>
      <c r="L133" s="14" t="n"/>
      <c r="M133" s="14" t="n"/>
      <c r="N133" s="14" t="n"/>
      <c r="O133" s="14" t="n"/>
      <c r="P133" s="14" t="n"/>
      <c r="Q133" s="14" t="n"/>
      <c r="R133" s="14" t="n"/>
      <c r="S133" s="21">
        <f>ROUND(ABS(N(G133))*N(H133),2)</f>
        <v/>
      </c>
      <c r="T133" s="21">
        <f>IF(B133="Receipt",ROUND(S133*IFERROR(VLOOKUP(Q133,'Tax Codes'!$A$5:$E$300,5,FALSE),0),2),0)</f>
        <v/>
      </c>
      <c r="U133" s="21">
        <f>IF(B133="Receipt",ROUND(S133*IFERROR(VLOOKUP(R133,'Tax Codes'!$A$5:$E$300,5,FALSE),0),2),0)</f>
        <v/>
      </c>
      <c r="V133" s="16">
        <f>INDEX('Chart of Accounts'!$A$5:$A$3000,MATCH("vat_input",'Chart of Accounts'!$F$5:$F$3000,0))</f>
        <v/>
      </c>
      <c r="W133" s="16">
        <f>INDEX('Chart of Accounts'!$A$5:$A$3000,MATCH("wht_payable",'Chart of Accounts'!$F$5:$F$3000,0))</f>
        <v/>
      </c>
      <c r="X133" s="16">
        <f>IF(M133="",INDEX('Chart of Accounts'!$A$5:$A$3000,MATCH("bank",'Chart of Accounts'!$F$5:$F$3000,0)),M133&amp;"")</f>
        <v/>
      </c>
      <c r="Y133" s="16">
        <f>IF(N133="",INDEX('Chart of Accounts'!$A$5:$A$3000,MATCH("ap",'Chart of Accounts'!$F$5:$F$3000,0)),N133&amp;"")</f>
        <v/>
      </c>
      <c r="Z133" s="16">
        <f>IF(O133="",INDEX('Chart of Accounts'!$A$5:$A$3000,MATCH("materials",'Chart of Accounts'!$F$5:$F$3000,0)),O133&amp;"")</f>
        <v/>
      </c>
      <c r="AA133" s="16">
        <f>IF(IFERROR(INDEX(Warehouses!$C$5:$C$1000,MATCH(C133,Warehouses!$A$5:$A$1000,0))&amp;"","")="",INDEX('Chart of Accounts'!$A$5:$A$3000,MATCH("inventory",'Chart of Accounts'!$F$5:$F$3000,0)),IFERROR(INDEX(Warehouses!$C$5:$C$1000,MATCH(C133,Warehouses!$A$5:$A$1000,0))&amp;"",""))</f>
        <v/>
      </c>
      <c r="AB133" s="16">
        <f>IF(IFERROR(INDEX(Warehouses!$C$5:$C$1000,MATCH(D133,Warehouses!$A$5:$A$1000,0))&amp;"","")="",INDEX('Chart of Accounts'!$A$5:$A$3000,MATCH("inventory",'Chart of Accounts'!$F$5:$F$3000,0)),IFERROR(INDEX(Warehouses!$C$5:$C$1000,MATCH(D133,Warehouses!$A$5:$A$1000,0))&amp;"",""))</f>
        <v/>
      </c>
      <c r="AC133" s="21">
        <f>IF(B133="Receipt",N(K133),0)</f>
        <v/>
      </c>
      <c r="AD133" s="16">
        <f>IF(B133="Receipt",AA133,IF(B133="Issue",Z133,IF(B133="Transfer",AB133,IF(N(G133)&gt;=0,AA133,INDEX('Chart of Accounts'!$A$5:$A$3000,MATCH("stock_adjust",'Chart of Accounts'!$F$5:$F$3000,0))))))</f>
        <v/>
      </c>
      <c r="AE133" s="16">
        <f>IF(B133="Receipt",Y133,IF(B133="Adjustment",IF(N(G133)&gt;=0,INDEX('Chart of Accounts'!$A$5:$A$3000,MATCH("stock_adjust",'Chart of Accounts'!$F$5:$F$3000,0)),AA133),AA133))</f>
        <v/>
      </c>
      <c r="AF133" s="21">
        <f>S133+T133-U133-AC133</f>
        <v/>
      </c>
      <c r="AG133" s="23">
        <f>IFERROR(INDEX('Chart of Accounts'!$C$5:$C$3000,MATCH(AD133&amp;"",'Chart of Accounts'!$A$5:$A$3000,0))&amp;"|"&amp;INDEX('Chart of Accounts'!$D$5:$D$3000,MATCH(AD133&amp;"",'Chart of Accounts'!$A$5:$A$3000,0)),"")</f>
        <v/>
      </c>
      <c r="AH133" s="23">
        <f>IFERROR(INDEX('Chart of Accounts'!$C$5:$C$3000,MATCH(V133&amp;"",'Chart of Accounts'!$A$5:$A$3000,0))&amp;"|"&amp;INDEX('Chart of Accounts'!$D$5:$D$3000,MATCH(V133&amp;"",'Chart of Accounts'!$A$5:$A$3000,0)),"")</f>
        <v/>
      </c>
      <c r="AI133" s="23">
        <f>IFERROR(INDEX('Chart of Accounts'!$C$5:$C$3000,MATCH(AE133&amp;"",'Chart of Accounts'!$A$5:$A$3000,0))&amp;"|"&amp;INDEX('Chart of Accounts'!$D$5:$D$3000,MATCH(AE133&amp;"",'Chart of Accounts'!$A$5:$A$3000,0)),"")</f>
        <v/>
      </c>
      <c r="AJ133" s="23">
        <f>IFERROR(INDEX('Chart of Accounts'!$C$5:$C$3000,MATCH(X133&amp;"",'Chart of Accounts'!$A$5:$A$3000,0))&amp;"|"&amp;INDEX('Chart of Accounts'!$D$5:$D$3000,MATCH(X133&amp;"",'Chart of Accounts'!$A$5:$A$3000,0)),"")</f>
        <v/>
      </c>
      <c r="AK133" s="23">
        <f>IFERROR(INDEX('Chart of Accounts'!$C$5:$C$3000,MATCH(W133&amp;"",'Chart of Accounts'!$A$5:$A$3000,0))&amp;"|"&amp;INDEX('Chart of Accounts'!$D$5:$D$3000,MATCH(W133&amp;"",'Chart of Accounts'!$A$5:$A$3000,0)),"")</f>
        <v/>
      </c>
      <c r="AL133" s="23">
        <f>IF(LEFT(AG133,8)="Revenue|",-N(S133),0)+IF(LEFT(AH133,8)="Revenue|",-N(T133),0)+IF(LEFT(AI133,8)="Revenue|",N(AF133),0)+IF(LEFT(AJ133,8)="Revenue|",N(AC133),0)+IF(LEFT(AK133,8)="Revenue|",N(U133),0)</f>
        <v/>
      </c>
      <c r="AM133" s="23">
        <f>IF(LEFT(AG133,5)="COGS|",N(S133),0)+IF(LEFT(AH133,5)="COGS|",N(T133),0)+IF(LEFT(AI133,5)="COGS|",-N(AF133),0)+IF(LEFT(AJ133,5)="COGS|",-N(AC133),0)+IF(LEFT(AK133,5)="COGS|",-N(U133),0)</f>
        <v/>
      </c>
      <c r="AN133" s="23">
        <f>IF(LEFT(AG133,8)="Expense|",N(S133),0)+IF(LEFT(AH133,8)="Expense|",N(T133),0)+IF(LEFT(AI133,8)="Expense|",-N(AF133),0)+IF(LEFT(AJ133,8)="Expense|",-N(AC133),0)+IF(LEFT(AK133,8)="Expense|",-N(U133),0)</f>
        <v/>
      </c>
      <c r="AO133" s="23">
        <f>IF(ISNUMBER(MATCH(AG133,{"Expense|employee","Expense|general_admin","Expense|marketing","Expense|utilities","Expense|other_operating"},0)),N(S133),0)+IF(ISNUMBER(MATCH(AH133,{"Expense|employee","Expense|general_admin","Expense|marketing","Expense|utilities","Expense|other_operating"},0)),N(T133),0)+IF(ISNUMBER(MATCH(AI133,{"Expense|employee","Expense|general_admin","Expense|marketing","Expense|utilities","Expense|other_operating"},0)),-N(AF133),0)+IF(ISNUMBER(MATCH(AJ133,{"Expense|employee","Expense|general_admin","Expense|marketing","Expense|utilities","Expense|other_operating"},0)),-N(AC133),0)+IF(ISNUMBER(MATCH(AK133,{"Expense|employee","Expense|general_admin","Expense|marketing","Expense|utilities","Expense|other_operating"},0)),-N(U133),0)</f>
        <v/>
      </c>
      <c r="AP133" s="23">
        <f>IF(AG133="Liability|payable",-N(S133),0)+IF(AH133="Liability|payable",-N(T133),0)+IF(AI133="Liability|payable",N(AF133),0)+IF(AJ133="Liability|payable",N(AC133),0)+IF(AK133="Liability|payable",N(U133),0)</f>
        <v/>
      </c>
      <c r="AQ133" s="23">
        <f>IF(AG133="Liability|accrued",-N(S133),0)+IF(AH133="Liability|accrued",-N(T133),0)+IF(AI133="Liability|accrued",N(AF133),0)+IF(AJ133="Liability|accrued",N(AC133),0)+IF(AK133="Liability|accrued",N(U133),0)</f>
        <v/>
      </c>
      <c r="AR133" s="23">
        <f>IF(AND(N(S133)&lt;&gt;0,AG133=""),1,0)+IF(AND(N(T133)&lt;&gt;0,AH133=""),1,0)+IF(AND(N(AF133)&lt;&gt;0,AI133=""),1,0)+IF(AND(N(AC133)&lt;&gt;0,AJ133=""),1,0)+IF(AND(N(U133)&lt;&gt;0,AK133=""),1,0)</f>
        <v/>
      </c>
    </row>
    <row r="134">
      <c r="A134" s="19" t="n"/>
      <c r="B134" s="14" t="n"/>
      <c r="C134" s="14" t="n"/>
      <c r="D134" s="14" t="n"/>
      <c r="E134" s="14" t="n"/>
      <c r="F134" s="14" t="n"/>
      <c r="G134" s="14" t="n"/>
      <c r="H134" s="20" t="n"/>
      <c r="I134" s="14" t="n"/>
      <c r="J134" s="14" t="n"/>
      <c r="K134" s="20" t="n"/>
      <c r="L134" s="14" t="n"/>
      <c r="M134" s="14" t="n"/>
      <c r="N134" s="14" t="n"/>
      <c r="O134" s="14" t="n"/>
      <c r="P134" s="14" t="n"/>
      <c r="Q134" s="14" t="n"/>
      <c r="R134" s="14" t="n"/>
      <c r="S134" s="21">
        <f>ROUND(ABS(N(G134))*N(H134),2)</f>
        <v/>
      </c>
      <c r="T134" s="21">
        <f>IF(B134="Receipt",ROUND(S134*IFERROR(VLOOKUP(Q134,'Tax Codes'!$A$5:$E$300,5,FALSE),0),2),0)</f>
        <v/>
      </c>
      <c r="U134" s="21">
        <f>IF(B134="Receipt",ROUND(S134*IFERROR(VLOOKUP(R134,'Tax Codes'!$A$5:$E$300,5,FALSE),0),2),0)</f>
        <v/>
      </c>
      <c r="V134" s="16">
        <f>INDEX('Chart of Accounts'!$A$5:$A$3000,MATCH("vat_input",'Chart of Accounts'!$F$5:$F$3000,0))</f>
        <v/>
      </c>
      <c r="W134" s="16">
        <f>INDEX('Chart of Accounts'!$A$5:$A$3000,MATCH("wht_payable",'Chart of Accounts'!$F$5:$F$3000,0))</f>
        <v/>
      </c>
      <c r="X134" s="16">
        <f>IF(M134="",INDEX('Chart of Accounts'!$A$5:$A$3000,MATCH("bank",'Chart of Accounts'!$F$5:$F$3000,0)),M134&amp;"")</f>
        <v/>
      </c>
      <c r="Y134" s="16">
        <f>IF(N134="",INDEX('Chart of Accounts'!$A$5:$A$3000,MATCH("ap",'Chart of Accounts'!$F$5:$F$3000,0)),N134&amp;"")</f>
        <v/>
      </c>
      <c r="Z134" s="16">
        <f>IF(O134="",INDEX('Chart of Accounts'!$A$5:$A$3000,MATCH("materials",'Chart of Accounts'!$F$5:$F$3000,0)),O134&amp;"")</f>
        <v/>
      </c>
      <c r="AA134" s="16">
        <f>IF(IFERROR(INDEX(Warehouses!$C$5:$C$1000,MATCH(C134,Warehouses!$A$5:$A$1000,0))&amp;"","")="",INDEX('Chart of Accounts'!$A$5:$A$3000,MATCH("inventory",'Chart of Accounts'!$F$5:$F$3000,0)),IFERROR(INDEX(Warehouses!$C$5:$C$1000,MATCH(C134,Warehouses!$A$5:$A$1000,0))&amp;"",""))</f>
        <v/>
      </c>
      <c r="AB134" s="16">
        <f>IF(IFERROR(INDEX(Warehouses!$C$5:$C$1000,MATCH(D134,Warehouses!$A$5:$A$1000,0))&amp;"","")="",INDEX('Chart of Accounts'!$A$5:$A$3000,MATCH("inventory",'Chart of Accounts'!$F$5:$F$3000,0)),IFERROR(INDEX(Warehouses!$C$5:$C$1000,MATCH(D134,Warehouses!$A$5:$A$1000,0))&amp;"",""))</f>
        <v/>
      </c>
      <c r="AC134" s="21">
        <f>IF(B134="Receipt",N(K134),0)</f>
        <v/>
      </c>
      <c r="AD134" s="16">
        <f>IF(B134="Receipt",AA134,IF(B134="Issue",Z134,IF(B134="Transfer",AB134,IF(N(G134)&gt;=0,AA134,INDEX('Chart of Accounts'!$A$5:$A$3000,MATCH("stock_adjust",'Chart of Accounts'!$F$5:$F$3000,0))))))</f>
        <v/>
      </c>
      <c r="AE134" s="16">
        <f>IF(B134="Receipt",Y134,IF(B134="Adjustment",IF(N(G134)&gt;=0,INDEX('Chart of Accounts'!$A$5:$A$3000,MATCH("stock_adjust",'Chart of Accounts'!$F$5:$F$3000,0)),AA134),AA134))</f>
        <v/>
      </c>
      <c r="AF134" s="21">
        <f>S134+T134-U134-AC134</f>
        <v/>
      </c>
      <c r="AG134" s="23">
        <f>IFERROR(INDEX('Chart of Accounts'!$C$5:$C$3000,MATCH(AD134&amp;"",'Chart of Accounts'!$A$5:$A$3000,0))&amp;"|"&amp;INDEX('Chart of Accounts'!$D$5:$D$3000,MATCH(AD134&amp;"",'Chart of Accounts'!$A$5:$A$3000,0)),"")</f>
        <v/>
      </c>
      <c r="AH134" s="23">
        <f>IFERROR(INDEX('Chart of Accounts'!$C$5:$C$3000,MATCH(V134&amp;"",'Chart of Accounts'!$A$5:$A$3000,0))&amp;"|"&amp;INDEX('Chart of Accounts'!$D$5:$D$3000,MATCH(V134&amp;"",'Chart of Accounts'!$A$5:$A$3000,0)),"")</f>
        <v/>
      </c>
      <c r="AI134" s="23">
        <f>IFERROR(INDEX('Chart of Accounts'!$C$5:$C$3000,MATCH(AE134&amp;"",'Chart of Accounts'!$A$5:$A$3000,0))&amp;"|"&amp;INDEX('Chart of Accounts'!$D$5:$D$3000,MATCH(AE134&amp;"",'Chart of Accounts'!$A$5:$A$3000,0)),"")</f>
        <v/>
      </c>
      <c r="AJ134" s="23">
        <f>IFERROR(INDEX('Chart of Accounts'!$C$5:$C$3000,MATCH(X134&amp;"",'Chart of Accounts'!$A$5:$A$3000,0))&amp;"|"&amp;INDEX('Chart of Accounts'!$D$5:$D$3000,MATCH(X134&amp;"",'Chart of Accounts'!$A$5:$A$3000,0)),"")</f>
        <v/>
      </c>
      <c r="AK134" s="23">
        <f>IFERROR(INDEX('Chart of Accounts'!$C$5:$C$3000,MATCH(W134&amp;"",'Chart of Accounts'!$A$5:$A$3000,0))&amp;"|"&amp;INDEX('Chart of Accounts'!$D$5:$D$3000,MATCH(W134&amp;"",'Chart of Accounts'!$A$5:$A$3000,0)),"")</f>
        <v/>
      </c>
      <c r="AL134" s="23">
        <f>IF(LEFT(AG134,8)="Revenue|",-N(S134),0)+IF(LEFT(AH134,8)="Revenue|",-N(T134),0)+IF(LEFT(AI134,8)="Revenue|",N(AF134),0)+IF(LEFT(AJ134,8)="Revenue|",N(AC134),0)+IF(LEFT(AK134,8)="Revenue|",N(U134),0)</f>
        <v/>
      </c>
      <c r="AM134" s="23">
        <f>IF(LEFT(AG134,5)="COGS|",N(S134),0)+IF(LEFT(AH134,5)="COGS|",N(T134),0)+IF(LEFT(AI134,5)="COGS|",-N(AF134),0)+IF(LEFT(AJ134,5)="COGS|",-N(AC134),0)+IF(LEFT(AK134,5)="COGS|",-N(U134),0)</f>
        <v/>
      </c>
      <c r="AN134" s="23">
        <f>IF(LEFT(AG134,8)="Expense|",N(S134),0)+IF(LEFT(AH134,8)="Expense|",N(T134),0)+IF(LEFT(AI134,8)="Expense|",-N(AF134),0)+IF(LEFT(AJ134,8)="Expense|",-N(AC134),0)+IF(LEFT(AK134,8)="Expense|",-N(U134),0)</f>
        <v/>
      </c>
      <c r="AO134" s="23">
        <f>IF(ISNUMBER(MATCH(AG134,{"Expense|employee","Expense|general_admin","Expense|marketing","Expense|utilities","Expense|other_operating"},0)),N(S134),0)+IF(ISNUMBER(MATCH(AH134,{"Expense|employee","Expense|general_admin","Expense|marketing","Expense|utilities","Expense|other_operating"},0)),N(T134),0)+IF(ISNUMBER(MATCH(AI134,{"Expense|employee","Expense|general_admin","Expense|marketing","Expense|utilities","Expense|other_operating"},0)),-N(AF134),0)+IF(ISNUMBER(MATCH(AJ134,{"Expense|employee","Expense|general_admin","Expense|marketing","Expense|utilities","Expense|other_operating"},0)),-N(AC134),0)+IF(ISNUMBER(MATCH(AK134,{"Expense|employee","Expense|general_admin","Expense|marketing","Expense|utilities","Expense|other_operating"},0)),-N(U134),0)</f>
        <v/>
      </c>
      <c r="AP134" s="23">
        <f>IF(AG134="Liability|payable",-N(S134),0)+IF(AH134="Liability|payable",-N(T134),0)+IF(AI134="Liability|payable",N(AF134),0)+IF(AJ134="Liability|payable",N(AC134),0)+IF(AK134="Liability|payable",N(U134),0)</f>
        <v/>
      </c>
      <c r="AQ134" s="23">
        <f>IF(AG134="Liability|accrued",-N(S134),0)+IF(AH134="Liability|accrued",-N(T134),0)+IF(AI134="Liability|accrued",N(AF134),0)+IF(AJ134="Liability|accrued",N(AC134),0)+IF(AK134="Liability|accrued",N(U134),0)</f>
        <v/>
      </c>
      <c r="AR134" s="23">
        <f>IF(AND(N(S134)&lt;&gt;0,AG134=""),1,0)+IF(AND(N(T134)&lt;&gt;0,AH134=""),1,0)+IF(AND(N(AF134)&lt;&gt;0,AI134=""),1,0)+IF(AND(N(AC134)&lt;&gt;0,AJ134=""),1,0)+IF(AND(N(U134)&lt;&gt;0,AK134=""),1,0)</f>
        <v/>
      </c>
    </row>
    <row r="135">
      <c r="A135" s="19" t="n"/>
      <c r="B135" s="14" t="n"/>
      <c r="C135" s="14" t="n"/>
      <c r="D135" s="14" t="n"/>
      <c r="E135" s="14" t="n"/>
      <c r="F135" s="14" t="n"/>
      <c r="G135" s="14" t="n"/>
      <c r="H135" s="20" t="n"/>
      <c r="I135" s="14" t="n"/>
      <c r="J135" s="14" t="n"/>
      <c r="K135" s="20" t="n"/>
      <c r="L135" s="14" t="n"/>
      <c r="M135" s="14" t="n"/>
      <c r="N135" s="14" t="n"/>
      <c r="O135" s="14" t="n"/>
      <c r="P135" s="14" t="n"/>
      <c r="Q135" s="14" t="n"/>
      <c r="R135" s="14" t="n"/>
      <c r="S135" s="21">
        <f>ROUND(ABS(N(G135))*N(H135),2)</f>
        <v/>
      </c>
      <c r="T135" s="21">
        <f>IF(B135="Receipt",ROUND(S135*IFERROR(VLOOKUP(Q135,'Tax Codes'!$A$5:$E$300,5,FALSE),0),2),0)</f>
        <v/>
      </c>
      <c r="U135" s="21">
        <f>IF(B135="Receipt",ROUND(S135*IFERROR(VLOOKUP(R135,'Tax Codes'!$A$5:$E$300,5,FALSE),0),2),0)</f>
        <v/>
      </c>
      <c r="V135" s="16">
        <f>INDEX('Chart of Accounts'!$A$5:$A$3000,MATCH("vat_input",'Chart of Accounts'!$F$5:$F$3000,0))</f>
        <v/>
      </c>
      <c r="W135" s="16">
        <f>INDEX('Chart of Accounts'!$A$5:$A$3000,MATCH("wht_payable",'Chart of Accounts'!$F$5:$F$3000,0))</f>
        <v/>
      </c>
      <c r="X135" s="16">
        <f>IF(M135="",INDEX('Chart of Accounts'!$A$5:$A$3000,MATCH("bank",'Chart of Accounts'!$F$5:$F$3000,0)),M135&amp;"")</f>
        <v/>
      </c>
      <c r="Y135" s="16">
        <f>IF(N135="",INDEX('Chart of Accounts'!$A$5:$A$3000,MATCH("ap",'Chart of Accounts'!$F$5:$F$3000,0)),N135&amp;"")</f>
        <v/>
      </c>
      <c r="Z135" s="16">
        <f>IF(O135="",INDEX('Chart of Accounts'!$A$5:$A$3000,MATCH("materials",'Chart of Accounts'!$F$5:$F$3000,0)),O135&amp;"")</f>
        <v/>
      </c>
      <c r="AA135" s="16">
        <f>IF(IFERROR(INDEX(Warehouses!$C$5:$C$1000,MATCH(C135,Warehouses!$A$5:$A$1000,0))&amp;"","")="",INDEX('Chart of Accounts'!$A$5:$A$3000,MATCH("inventory",'Chart of Accounts'!$F$5:$F$3000,0)),IFERROR(INDEX(Warehouses!$C$5:$C$1000,MATCH(C135,Warehouses!$A$5:$A$1000,0))&amp;"",""))</f>
        <v/>
      </c>
      <c r="AB135" s="16">
        <f>IF(IFERROR(INDEX(Warehouses!$C$5:$C$1000,MATCH(D135,Warehouses!$A$5:$A$1000,0))&amp;"","")="",INDEX('Chart of Accounts'!$A$5:$A$3000,MATCH("inventory",'Chart of Accounts'!$F$5:$F$3000,0)),IFERROR(INDEX(Warehouses!$C$5:$C$1000,MATCH(D135,Warehouses!$A$5:$A$1000,0))&amp;"",""))</f>
        <v/>
      </c>
      <c r="AC135" s="21">
        <f>IF(B135="Receipt",N(K135),0)</f>
        <v/>
      </c>
      <c r="AD135" s="16">
        <f>IF(B135="Receipt",AA135,IF(B135="Issue",Z135,IF(B135="Transfer",AB135,IF(N(G135)&gt;=0,AA135,INDEX('Chart of Accounts'!$A$5:$A$3000,MATCH("stock_adjust",'Chart of Accounts'!$F$5:$F$3000,0))))))</f>
        <v/>
      </c>
      <c r="AE135" s="16">
        <f>IF(B135="Receipt",Y135,IF(B135="Adjustment",IF(N(G135)&gt;=0,INDEX('Chart of Accounts'!$A$5:$A$3000,MATCH("stock_adjust",'Chart of Accounts'!$F$5:$F$3000,0)),AA135),AA135))</f>
        <v/>
      </c>
      <c r="AF135" s="21">
        <f>S135+T135-U135-AC135</f>
        <v/>
      </c>
      <c r="AG135" s="23">
        <f>IFERROR(INDEX('Chart of Accounts'!$C$5:$C$3000,MATCH(AD135&amp;"",'Chart of Accounts'!$A$5:$A$3000,0))&amp;"|"&amp;INDEX('Chart of Accounts'!$D$5:$D$3000,MATCH(AD135&amp;"",'Chart of Accounts'!$A$5:$A$3000,0)),"")</f>
        <v/>
      </c>
      <c r="AH135" s="23">
        <f>IFERROR(INDEX('Chart of Accounts'!$C$5:$C$3000,MATCH(V135&amp;"",'Chart of Accounts'!$A$5:$A$3000,0))&amp;"|"&amp;INDEX('Chart of Accounts'!$D$5:$D$3000,MATCH(V135&amp;"",'Chart of Accounts'!$A$5:$A$3000,0)),"")</f>
        <v/>
      </c>
      <c r="AI135" s="23">
        <f>IFERROR(INDEX('Chart of Accounts'!$C$5:$C$3000,MATCH(AE135&amp;"",'Chart of Accounts'!$A$5:$A$3000,0))&amp;"|"&amp;INDEX('Chart of Accounts'!$D$5:$D$3000,MATCH(AE135&amp;"",'Chart of Accounts'!$A$5:$A$3000,0)),"")</f>
        <v/>
      </c>
      <c r="AJ135" s="23">
        <f>IFERROR(INDEX('Chart of Accounts'!$C$5:$C$3000,MATCH(X135&amp;"",'Chart of Accounts'!$A$5:$A$3000,0))&amp;"|"&amp;INDEX('Chart of Accounts'!$D$5:$D$3000,MATCH(X135&amp;"",'Chart of Accounts'!$A$5:$A$3000,0)),"")</f>
        <v/>
      </c>
      <c r="AK135" s="23">
        <f>IFERROR(INDEX('Chart of Accounts'!$C$5:$C$3000,MATCH(W135&amp;"",'Chart of Accounts'!$A$5:$A$3000,0))&amp;"|"&amp;INDEX('Chart of Accounts'!$D$5:$D$3000,MATCH(W135&amp;"",'Chart of Accounts'!$A$5:$A$3000,0)),"")</f>
        <v/>
      </c>
      <c r="AL135" s="23">
        <f>IF(LEFT(AG135,8)="Revenue|",-N(S135),0)+IF(LEFT(AH135,8)="Revenue|",-N(T135),0)+IF(LEFT(AI135,8)="Revenue|",N(AF135),0)+IF(LEFT(AJ135,8)="Revenue|",N(AC135),0)+IF(LEFT(AK135,8)="Revenue|",N(U135),0)</f>
        <v/>
      </c>
      <c r="AM135" s="23">
        <f>IF(LEFT(AG135,5)="COGS|",N(S135),0)+IF(LEFT(AH135,5)="COGS|",N(T135),0)+IF(LEFT(AI135,5)="COGS|",-N(AF135),0)+IF(LEFT(AJ135,5)="COGS|",-N(AC135),0)+IF(LEFT(AK135,5)="COGS|",-N(U135),0)</f>
        <v/>
      </c>
      <c r="AN135" s="23">
        <f>IF(LEFT(AG135,8)="Expense|",N(S135),0)+IF(LEFT(AH135,8)="Expense|",N(T135),0)+IF(LEFT(AI135,8)="Expense|",-N(AF135),0)+IF(LEFT(AJ135,8)="Expense|",-N(AC135),0)+IF(LEFT(AK135,8)="Expense|",-N(U135),0)</f>
        <v/>
      </c>
      <c r="AO135" s="23">
        <f>IF(ISNUMBER(MATCH(AG135,{"Expense|employee","Expense|general_admin","Expense|marketing","Expense|utilities","Expense|other_operating"},0)),N(S135),0)+IF(ISNUMBER(MATCH(AH135,{"Expense|employee","Expense|general_admin","Expense|marketing","Expense|utilities","Expense|other_operating"},0)),N(T135),0)+IF(ISNUMBER(MATCH(AI135,{"Expense|employee","Expense|general_admin","Expense|marketing","Expense|utilities","Expense|other_operating"},0)),-N(AF135),0)+IF(ISNUMBER(MATCH(AJ135,{"Expense|employee","Expense|general_admin","Expense|marketing","Expense|utilities","Expense|other_operating"},0)),-N(AC135),0)+IF(ISNUMBER(MATCH(AK135,{"Expense|employee","Expense|general_admin","Expense|marketing","Expense|utilities","Expense|other_operating"},0)),-N(U135),0)</f>
        <v/>
      </c>
      <c r="AP135" s="23">
        <f>IF(AG135="Liability|payable",-N(S135),0)+IF(AH135="Liability|payable",-N(T135),0)+IF(AI135="Liability|payable",N(AF135),0)+IF(AJ135="Liability|payable",N(AC135),0)+IF(AK135="Liability|payable",N(U135),0)</f>
        <v/>
      </c>
      <c r="AQ135" s="23">
        <f>IF(AG135="Liability|accrued",-N(S135),0)+IF(AH135="Liability|accrued",-N(T135),0)+IF(AI135="Liability|accrued",N(AF135),0)+IF(AJ135="Liability|accrued",N(AC135),0)+IF(AK135="Liability|accrued",N(U135),0)</f>
        <v/>
      </c>
      <c r="AR135" s="23">
        <f>IF(AND(N(S135)&lt;&gt;0,AG135=""),1,0)+IF(AND(N(T135)&lt;&gt;0,AH135=""),1,0)+IF(AND(N(AF135)&lt;&gt;0,AI135=""),1,0)+IF(AND(N(AC135)&lt;&gt;0,AJ135=""),1,0)+IF(AND(N(U135)&lt;&gt;0,AK135=""),1,0)</f>
        <v/>
      </c>
    </row>
    <row r="136">
      <c r="A136" s="19" t="n"/>
      <c r="B136" s="14" t="n"/>
      <c r="C136" s="14" t="n"/>
      <c r="D136" s="14" t="n"/>
      <c r="E136" s="14" t="n"/>
      <c r="F136" s="14" t="n"/>
      <c r="G136" s="14" t="n"/>
      <c r="H136" s="20" t="n"/>
      <c r="I136" s="14" t="n"/>
      <c r="J136" s="14" t="n"/>
      <c r="K136" s="20" t="n"/>
      <c r="L136" s="14" t="n"/>
      <c r="M136" s="14" t="n"/>
      <c r="N136" s="14" t="n"/>
      <c r="O136" s="14" t="n"/>
      <c r="P136" s="14" t="n"/>
      <c r="Q136" s="14" t="n"/>
      <c r="R136" s="14" t="n"/>
      <c r="S136" s="21">
        <f>ROUND(ABS(N(G136))*N(H136),2)</f>
        <v/>
      </c>
      <c r="T136" s="21">
        <f>IF(B136="Receipt",ROUND(S136*IFERROR(VLOOKUP(Q136,'Tax Codes'!$A$5:$E$300,5,FALSE),0),2),0)</f>
        <v/>
      </c>
      <c r="U136" s="21">
        <f>IF(B136="Receipt",ROUND(S136*IFERROR(VLOOKUP(R136,'Tax Codes'!$A$5:$E$300,5,FALSE),0),2),0)</f>
        <v/>
      </c>
      <c r="V136" s="16">
        <f>INDEX('Chart of Accounts'!$A$5:$A$3000,MATCH("vat_input",'Chart of Accounts'!$F$5:$F$3000,0))</f>
        <v/>
      </c>
      <c r="W136" s="16">
        <f>INDEX('Chart of Accounts'!$A$5:$A$3000,MATCH("wht_payable",'Chart of Accounts'!$F$5:$F$3000,0))</f>
        <v/>
      </c>
      <c r="X136" s="16">
        <f>IF(M136="",INDEX('Chart of Accounts'!$A$5:$A$3000,MATCH("bank",'Chart of Accounts'!$F$5:$F$3000,0)),M136&amp;"")</f>
        <v/>
      </c>
      <c r="Y136" s="16">
        <f>IF(N136="",INDEX('Chart of Accounts'!$A$5:$A$3000,MATCH("ap",'Chart of Accounts'!$F$5:$F$3000,0)),N136&amp;"")</f>
        <v/>
      </c>
      <c r="Z136" s="16">
        <f>IF(O136="",INDEX('Chart of Accounts'!$A$5:$A$3000,MATCH("materials",'Chart of Accounts'!$F$5:$F$3000,0)),O136&amp;"")</f>
        <v/>
      </c>
      <c r="AA136" s="16">
        <f>IF(IFERROR(INDEX(Warehouses!$C$5:$C$1000,MATCH(C136,Warehouses!$A$5:$A$1000,0))&amp;"","")="",INDEX('Chart of Accounts'!$A$5:$A$3000,MATCH("inventory",'Chart of Accounts'!$F$5:$F$3000,0)),IFERROR(INDEX(Warehouses!$C$5:$C$1000,MATCH(C136,Warehouses!$A$5:$A$1000,0))&amp;"",""))</f>
        <v/>
      </c>
      <c r="AB136" s="16">
        <f>IF(IFERROR(INDEX(Warehouses!$C$5:$C$1000,MATCH(D136,Warehouses!$A$5:$A$1000,0))&amp;"","")="",INDEX('Chart of Accounts'!$A$5:$A$3000,MATCH("inventory",'Chart of Accounts'!$F$5:$F$3000,0)),IFERROR(INDEX(Warehouses!$C$5:$C$1000,MATCH(D136,Warehouses!$A$5:$A$1000,0))&amp;"",""))</f>
        <v/>
      </c>
      <c r="AC136" s="21">
        <f>IF(B136="Receipt",N(K136),0)</f>
        <v/>
      </c>
      <c r="AD136" s="16">
        <f>IF(B136="Receipt",AA136,IF(B136="Issue",Z136,IF(B136="Transfer",AB136,IF(N(G136)&gt;=0,AA136,INDEX('Chart of Accounts'!$A$5:$A$3000,MATCH("stock_adjust",'Chart of Accounts'!$F$5:$F$3000,0))))))</f>
        <v/>
      </c>
      <c r="AE136" s="16">
        <f>IF(B136="Receipt",Y136,IF(B136="Adjustment",IF(N(G136)&gt;=0,INDEX('Chart of Accounts'!$A$5:$A$3000,MATCH("stock_adjust",'Chart of Accounts'!$F$5:$F$3000,0)),AA136),AA136))</f>
        <v/>
      </c>
      <c r="AF136" s="21">
        <f>S136+T136-U136-AC136</f>
        <v/>
      </c>
      <c r="AG136" s="23">
        <f>IFERROR(INDEX('Chart of Accounts'!$C$5:$C$3000,MATCH(AD136&amp;"",'Chart of Accounts'!$A$5:$A$3000,0))&amp;"|"&amp;INDEX('Chart of Accounts'!$D$5:$D$3000,MATCH(AD136&amp;"",'Chart of Accounts'!$A$5:$A$3000,0)),"")</f>
        <v/>
      </c>
      <c r="AH136" s="23">
        <f>IFERROR(INDEX('Chart of Accounts'!$C$5:$C$3000,MATCH(V136&amp;"",'Chart of Accounts'!$A$5:$A$3000,0))&amp;"|"&amp;INDEX('Chart of Accounts'!$D$5:$D$3000,MATCH(V136&amp;"",'Chart of Accounts'!$A$5:$A$3000,0)),"")</f>
        <v/>
      </c>
      <c r="AI136" s="23">
        <f>IFERROR(INDEX('Chart of Accounts'!$C$5:$C$3000,MATCH(AE136&amp;"",'Chart of Accounts'!$A$5:$A$3000,0))&amp;"|"&amp;INDEX('Chart of Accounts'!$D$5:$D$3000,MATCH(AE136&amp;"",'Chart of Accounts'!$A$5:$A$3000,0)),"")</f>
        <v/>
      </c>
      <c r="AJ136" s="23">
        <f>IFERROR(INDEX('Chart of Accounts'!$C$5:$C$3000,MATCH(X136&amp;"",'Chart of Accounts'!$A$5:$A$3000,0))&amp;"|"&amp;INDEX('Chart of Accounts'!$D$5:$D$3000,MATCH(X136&amp;"",'Chart of Accounts'!$A$5:$A$3000,0)),"")</f>
        <v/>
      </c>
      <c r="AK136" s="23">
        <f>IFERROR(INDEX('Chart of Accounts'!$C$5:$C$3000,MATCH(W136&amp;"",'Chart of Accounts'!$A$5:$A$3000,0))&amp;"|"&amp;INDEX('Chart of Accounts'!$D$5:$D$3000,MATCH(W136&amp;"",'Chart of Accounts'!$A$5:$A$3000,0)),"")</f>
        <v/>
      </c>
      <c r="AL136" s="23">
        <f>IF(LEFT(AG136,8)="Revenue|",-N(S136),0)+IF(LEFT(AH136,8)="Revenue|",-N(T136),0)+IF(LEFT(AI136,8)="Revenue|",N(AF136),0)+IF(LEFT(AJ136,8)="Revenue|",N(AC136),0)+IF(LEFT(AK136,8)="Revenue|",N(U136),0)</f>
        <v/>
      </c>
      <c r="AM136" s="23">
        <f>IF(LEFT(AG136,5)="COGS|",N(S136),0)+IF(LEFT(AH136,5)="COGS|",N(T136),0)+IF(LEFT(AI136,5)="COGS|",-N(AF136),0)+IF(LEFT(AJ136,5)="COGS|",-N(AC136),0)+IF(LEFT(AK136,5)="COGS|",-N(U136),0)</f>
        <v/>
      </c>
      <c r="AN136" s="23">
        <f>IF(LEFT(AG136,8)="Expense|",N(S136),0)+IF(LEFT(AH136,8)="Expense|",N(T136),0)+IF(LEFT(AI136,8)="Expense|",-N(AF136),0)+IF(LEFT(AJ136,8)="Expense|",-N(AC136),0)+IF(LEFT(AK136,8)="Expense|",-N(U136),0)</f>
        <v/>
      </c>
      <c r="AO136" s="23">
        <f>IF(ISNUMBER(MATCH(AG136,{"Expense|employee","Expense|general_admin","Expense|marketing","Expense|utilities","Expense|other_operating"},0)),N(S136),0)+IF(ISNUMBER(MATCH(AH136,{"Expense|employee","Expense|general_admin","Expense|marketing","Expense|utilities","Expense|other_operating"},0)),N(T136),0)+IF(ISNUMBER(MATCH(AI136,{"Expense|employee","Expense|general_admin","Expense|marketing","Expense|utilities","Expense|other_operating"},0)),-N(AF136),0)+IF(ISNUMBER(MATCH(AJ136,{"Expense|employee","Expense|general_admin","Expense|marketing","Expense|utilities","Expense|other_operating"},0)),-N(AC136),0)+IF(ISNUMBER(MATCH(AK136,{"Expense|employee","Expense|general_admin","Expense|marketing","Expense|utilities","Expense|other_operating"},0)),-N(U136),0)</f>
        <v/>
      </c>
      <c r="AP136" s="23">
        <f>IF(AG136="Liability|payable",-N(S136),0)+IF(AH136="Liability|payable",-N(T136),0)+IF(AI136="Liability|payable",N(AF136),0)+IF(AJ136="Liability|payable",N(AC136),0)+IF(AK136="Liability|payable",N(U136),0)</f>
        <v/>
      </c>
      <c r="AQ136" s="23">
        <f>IF(AG136="Liability|accrued",-N(S136),0)+IF(AH136="Liability|accrued",-N(T136),0)+IF(AI136="Liability|accrued",N(AF136),0)+IF(AJ136="Liability|accrued",N(AC136),0)+IF(AK136="Liability|accrued",N(U136),0)</f>
        <v/>
      </c>
      <c r="AR136" s="23">
        <f>IF(AND(N(S136)&lt;&gt;0,AG136=""),1,0)+IF(AND(N(T136)&lt;&gt;0,AH136=""),1,0)+IF(AND(N(AF136)&lt;&gt;0,AI136=""),1,0)+IF(AND(N(AC136)&lt;&gt;0,AJ136=""),1,0)+IF(AND(N(U136)&lt;&gt;0,AK136=""),1,0)</f>
        <v/>
      </c>
    </row>
    <row r="137">
      <c r="A137" s="19" t="n"/>
      <c r="B137" s="14" t="n"/>
      <c r="C137" s="14" t="n"/>
      <c r="D137" s="14" t="n"/>
      <c r="E137" s="14" t="n"/>
      <c r="F137" s="14" t="n"/>
      <c r="G137" s="14" t="n"/>
      <c r="H137" s="20" t="n"/>
      <c r="I137" s="14" t="n"/>
      <c r="J137" s="14" t="n"/>
      <c r="K137" s="20" t="n"/>
      <c r="L137" s="14" t="n"/>
      <c r="M137" s="14" t="n"/>
      <c r="N137" s="14" t="n"/>
      <c r="O137" s="14" t="n"/>
      <c r="P137" s="14" t="n"/>
      <c r="Q137" s="14" t="n"/>
      <c r="R137" s="14" t="n"/>
      <c r="S137" s="21">
        <f>ROUND(ABS(N(G137))*N(H137),2)</f>
        <v/>
      </c>
      <c r="T137" s="21">
        <f>IF(B137="Receipt",ROUND(S137*IFERROR(VLOOKUP(Q137,'Tax Codes'!$A$5:$E$300,5,FALSE),0),2),0)</f>
        <v/>
      </c>
      <c r="U137" s="21">
        <f>IF(B137="Receipt",ROUND(S137*IFERROR(VLOOKUP(R137,'Tax Codes'!$A$5:$E$300,5,FALSE),0),2),0)</f>
        <v/>
      </c>
      <c r="V137" s="16">
        <f>INDEX('Chart of Accounts'!$A$5:$A$3000,MATCH("vat_input",'Chart of Accounts'!$F$5:$F$3000,0))</f>
        <v/>
      </c>
      <c r="W137" s="16">
        <f>INDEX('Chart of Accounts'!$A$5:$A$3000,MATCH("wht_payable",'Chart of Accounts'!$F$5:$F$3000,0))</f>
        <v/>
      </c>
      <c r="X137" s="16">
        <f>IF(M137="",INDEX('Chart of Accounts'!$A$5:$A$3000,MATCH("bank",'Chart of Accounts'!$F$5:$F$3000,0)),M137&amp;"")</f>
        <v/>
      </c>
      <c r="Y137" s="16">
        <f>IF(N137="",INDEX('Chart of Accounts'!$A$5:$A$3000,MATCH("ap",'Chart of Accounts'!$F$5:$F$3000,0)),N137&amp;"")</f>
        <v/>
      </c>
      <c r="Z137" s="16">
        <f>IF(O137="",INDEX('Chart of Accounts'!$A$5:$A$3000,MATCH("materials",'Chart of Accounts'!$F$5:$F$3000,0)),O137&amp;"")</f>
        <v/>
      </c>
      <c r="AA137" s="16">
        <f>IF(IFERROR(INDEX(Warehouses!$C$5:$C$1000,MATCH(C137,Warehouses!$A$5:$A$1000,0))&amp;"","")="",INDEX('Chart of Accounts'!$A$5:$A$3000,MATCH("inventory",'Chart of Accounts'!$F$5:$F$3000,0)),IFERROR(INDEX(Warehouses!$C$5:$C$1000,MATCH(C137,Warehouses!$A$5:$A$1000,0))&amp;"",""))</f>
        <v/>
      </c>
      <c r="AB137" s="16">
        <f>IF(IFERROR(INDEX(Warehouses!$C$5:$C$1000,MATCH(D137,Warehouses!$A$5:$A$1000,0))&amp;"","")="",INDEX('Chart of Accounts'!$A$5:$A$3000,MATCH("inventory",'Chart of Accounts'!$F$5:$F$3000,0)),IFERROR(INDEX(Warehouses!$C$5:$C$1000,MATCH(D137,Warehouses!$A$5:$A$1000,0))&amp;"",""))</f>
        <v/>
      </c>
      <c r="AC137" s="21">
        <f>IF(B137="Receipt",N(K137),0)</f>
        <v/>
      </c>
      <c r="AD137" s="16">
        <f>IF(B137="Receipt",AA137,IF(B137="Issue",Z137,IF(B137="Transfer",AB137,IF(N(G137)&gt;=0,AA137,INDEX('Chart of Accounts'!$A$5:$A$3000,MATCH("stock_adjust",'Chart of Accounts'!$F$5:$F$3000,0))))))</f>
        <v/>
      </c>
      <c r="AE137" s="16">
        <f>IF(B137="Receipt",Y137,IF(B137="Adjustment",IF(N(G137)&gt;=0,INDEX('Chart of Accounts'!$A$5:$A$3000,MATCH("stock_adjust",'Chart of Accounts'!$F$5:$F$3000,0)),AA137),AA137))</f>
        <v/>
      </c>
      <c r="AF137" s="21">
        <f>S137+T137-U137-AC137</f>
        <v/>
      </c>
      <c r="AG137" s="23">
        <f>IFERROR(INDEX('Chart of Accounts'!$C$5:$C$3000,MATCH(AD137&amp;"",'Chart of Accounts'!$A$5:$A$3000,0))&amp;"|"&amp;INDEX('Chart of Accounts'!$D$5:$D$3000,MATCH(AD137&amp;"",'Chart of Accounts'!$A$5:$A$3000,0)),"")</f>
        <v/>
      </c>
      <c r="AH137" s="23">
        <f>IFERROR(INDEX('Chart of Accounts'!$C$5:$C$3000,MATCH(V137&amp;"",'Chart of Accounts'!$A$5:$A$3000,0))&amp;"|"&amp;INDEX('Chart of Accounts'!$D$5:$D$3000,MATCH(V137&amp;"",'Chart of Accounts'!$A$5:$A$3000,0)),"")</f>
        <v/>
      </c>
      <c r="AI137" s="23">
        <f>IFERROR(INDEX('Chart of Accounts'!$C$5:$C$3000,MATCH(AE137&amp;"",'Chart of Accounts'!$A$5:$A$3000,0))&amp;"|"&amp;INDEX('Chart of Accounts'!$D$5:$D$3000,MATCH(AE137&amp;"",'Chart of Accounts'!$A$5:$A$3000,0)),"")</f>
        <v/>
      </c>
      <c r="AJ137" s="23">
        <f>IFERROR(INDEX('Chart of Accounts'!$C$5:$C$3000,MATCH(X137&amp;"",'Chart of Accounts'!$A$5:$A$3000,0))&amp;"|"&amp;INDEX('Chart of Accounts'!$D$5:$D$3000,MATCH(X137&amp;"",'Chart of Accounts'!$A$5:$A$3000,0)),"")</f>
        <v/>
      </c>
      <c r="AK137" s="23">
        <f>IFERROR(INDEX('Chart of Accounts'!$C$5:$C$3000,MATCH(W137&amp;"",'Chart of Accounts'!$A$5:$A$3000,0))&amp;"|"&amp;INDEX('Chart of Accounts'!$D$5:$D$3000,MATCH(W137&amp;"",'Chart of Accounts'!$A$5:$A$3000,0)),"")</f>
        <v/>
      </c>
      <c r="AL137" s="23">
        <f>IF(LEFT(AG137,8)="Revenue|",-N(S137),0)+IF(LEFT(AH137,8)="Revenue|",-N(T137),0)+IF(LEFT(AI137,8)="Revenue|",N(AF137),0)+IF(LEFT(AJ137,8)="Revenue|",N(AC137),0)+IF(LEFT(AK137,8)="Revenue|",N(U137),0)</f>
        <v/>
      </c>
      <c r="AM137" s="23">
        <f>IF(LEFT(AG137,5)="COGS|",N(S137),0)+IF(LEFT(AH137,5)="COGS|",N(T137),0)+IF(LEFT(AI137,5)="COGS|",-N(AF137),0)+IF(LEFT(AJ137,5)="COGS|",-N(AC137),0)+IF(LEFT(AK137,5)="COGS|",-N(U137),0)</f>
        <v/>
      </c>
      <c r="AN137" s="23">
        <f>IF(LEFT(AG137,8)="Expense|",N(S137),0)+IF(LEFT(AH137,8)="Expense|",N(T137),0)+IF(LEFT(AI137,8)="Expense|",-N(AF137),0)+IF(LEFT(AJ137,8)="Expense|",-N(AC137),0)+IF(LEFT(AK137,8)="Expense|",-N(U137),0)</f>
        <v/>
      </c>
      <c r="AO137" s="23">
        <f>IF(ISNUMBER(MATCH(AG137,{"Expense|employee","Expense|general_admin","Expense|marketing","Expense|utilities","Expense|other_operating"},0)),N(S137),0)+IF(ISNUMBER(MATCH(AH137,{"Expense|employee","Expense|general_admin","Expense|marketing","Expense|utilities","Expense|other_operating"},0)),N(T137),0)+IF(ISNUMBER(MATCH(AI137,{"Expense|employee","Expense|general_admin","Expense|marketing","Expense|utilities","Expense|other_operating"},0)),-N(AF137),0)+IF(ISNUMBER(MATCH(AJ137,{"Expense|employee","Expense|general_admin","Expense|marketing","Expense|utilities","Expense|other_operating"},0)),-N(AC137),0)+IF(ISNUMBER(MATCH(AK137,{"Expense|employee","Expense|general_admin","Expense|marketing","Expense|utilities","Expense|other_operating"},0)),-N(U137),0)</f>
        <v/>
      </c>
      <c r="AP137" s="23">
        <f>IF(AG137="Liability|payable",-N(S137),0)+IF(AH137="Liability|payable",-N(T137),0)+IF(AI137="Liability|payable",N(AF137),0)+IF(AJ137="Liability|payable",N(AC137),0)+IF(AK137="Liability|payable",N(U137),0)</f>
        <v/>
      </c>
      <c r="AQ137" s="23">
        <f>IF(AG137="Liability|accrued",-N(S137),0)+IF(AH137="Liability|accrued",-N(T137),0)+IF(AI137="Liability|accrued",N(AF137),0)+IF(AJ137="Liability|accrued",N(AC137),0)+IF(AK137="Liability|accrued",N(U137),0)</f>
        <v/>
      </c>
      <c r="AR137" s="23">
        <f>IF(AND(N(S137)&lt;&gt;0,AG137=""),1,0)+IF(AND(N(T137)&lt;&gt;0,AH137=""),1,0)+IF(AND(N(AF137)&lt;&gt;0,AI137=""),1,0)+IF(AND(N(AC137)&lt;&gt;0,AJ137=""),1,0)+IF(AND(N(U137)&lt;&gt;0,AK137=""),1,0)</f>
        <v/>
      </c>
    </row>
    <row r="138">
      <c r="A138" s="19" t="n"/>
      <c r="B138" s="14" t="n"/>
      <c r="C138" s="14" t="n"/>
      <c r="D138" s="14" t="n"/>
      <c r="E138" s="14" t="n"/>
      <c r="F138" s="14" t="n"/>
      <c r="G138" s="14" t="n"/>
      <c r="H138" s="20" t="n"/>
      <c r="I138" s="14" t="n"/>
      <c r="J138" s="14" t="n"/>
      <c r="K138" s="20" t="n"/>
      <c r="L138" s="14" t="n"/>
      <c r="M138" s="14" t="n"/>
      <c r="N138" s="14" t="n"/>
      <c r="O138" s="14" t="n"/>
      <c r="P138" s="14" t="n"/>
      <c r="Q138" s="14" t="n"/>
      <c r="R138" s="14" t="n"/>
      <c r="S138" s="21">
        <f>ROUND(ABS(N(G138))*N(H138),2)</f>
        <v/>
      </c>
      <c r="T138" s="21">
        <f>IF(B138="Receipt",ROUND(S138*IFERROR(VLOOKUP(Q138,'Tax Codes'!$A$5:$E$300,5,FALSE),0),2),0)</f>
        <v/>
      </c>
      <c r="U138" s="21">
        <f>IF(B138="Receipt",ROUND(S138*IFERROR(VLOOKUP(R138,'Tax Codes'!$A$5:$E$300,5,FALSE),0),2),0)</f>
        <v/>
      </c>
      <c r="V138" s="16">
        <f>INDEX('Chart of Accounts'!$A$5:$A$3000,MATCH("vat_input",'Chart of Accounts'!$F$5:$F$3000,0))</f>
        <v/>
      </c>
      <c r="W138" s="16">
        <f>INDEX('Chart of Accounts'!$A$5:$A$3000,MATCH("wht_payable",'Chart of Accounts'!$F$5:$F$3000,0))</f>
        <v/>
      </c>
      <c r="X138" s="16">
        <f>IF(M138="",INDEX('Chart of Accounts'!$A$5:$A$3000,MATCH("bank",'Chart of Accounts'!$F$5:$F$3000,0)),M138&amp;"")</f>
        <v/>
      </c>
      <c r="Y138" s="16">
        <f>IF(N138="",INDEX('Chart of Accounts'!$A$5:$A$3000,MATCH("ap",'Chart of Accounts'!$F$5:$F$3000,0)),N138&amp;"")</f>
        <v/>
      </c>
      <c r="Z138" s="16">
        <f>IF(O138="",INDEX('Chart of Accounts'!$A$5:$A$3000,MATCH("materials",'Chart of Accounts'!$F$5:$F$3000,0)),O138&amp;"")</f>
        <v/>
      </c>
      <c r="AA138" s="16">
        <f>IF(IFERROR(INDEX(Warehouses!$C$5:$C$1000,MATCH(C138,Warehouses!$A$5:$A$1000,0))&amp;"","")="",INDEX('Chart of Accounts'!$A$5:$A$3000,MATCH("inventory",'Chart of Accounts'!$F$5:$F$3000,0)),IFERROR(INDEX(Warehouses!$C$5:$C$1000,MATCH(C138,Warehouses!$A$5:$A$1000,0))&amp;"",""))</f>
        <v/>
      </c>
      <c r="AB138" s="16">
        <f>IF(IFERROR(INDEX(Warehouses!$C$5:$C$1000,MATCH(D138,Warehouses!$A$5:$A$1000,0))&amp;"","")="",INDEX('Chart of Accounts'!$A$5:$A$3000,MATCH("inventory",'Chart of Accounts'!$F$5:$F$3000,0)),IFERROR(INDEX(Warehouses!$C$5:$C$1000,MATCH(D138,Warehouses!$A$5:$A$1000,0))&amp;"",""))</f>
        <v/>
      </c>
      <c r="AC138" s="21">
        <f>IF(B138="Receipt",N(K138),0)</f>
        <v/>
      </c>
      <c r="AD138" s="16">
        <f>IF(B138="Receipt",AA138,IF(B138="Issue",Z138,IF(B138="Transfer",AB138,IF(N(G138)&gt;=0,AA138,INDEX('Chart of Accounts'!$A$5:$A$3000,MATCH("stock_adjust",'Chart of Accounts'!$F$5:$F$3000,0))))))</f>
        <v/>
      </c>
      <c r="AE138" s="16">
        <f>IF(B138="Receipt",Y138,IF(B138="Adjustment",IF(N(G138)&gt;=0,INDEX('Chart of Accounts'!$A$5:$A$3000,MATCH("stock_adjust",'Chart of Accounts'!$F$5:$F$3000,0)),AA138),AA138))</f>
        <v/>
      </c>
      <c r="AF138" s="21">
        <f>S138+T138-U138-AC138</f>
        <v/>
      </c>
      <c r="AG138" s="23">
        <f>IFERROR(INDEX('Chart of Accounts'!$C$5:$C$3000,MATCH(AD138&amp;"",'Chart of Accounts'!$A$5:$A$3000,0))&amp;"|"&amp;INDEX('Chart of Accounts'!$D$5:$D$3000,MATCH(AD138&amp;"",'Chart of Accounts'!$A$5:$A$3000,0)),"")</f>
        <v/>
      </c>
      <c r="AH138" s="23">
        <f>IFERROR(INDEX('Chart of Accounts'!$C$5:$C$3000,MATCH(V138&amp;"",'Chart of Accounts'!$A$5:$A$3000,0))&amp;"|"&amp;INDEX('Chart of Accounts'!$D$5:$D$3000,MATCH(V138&amp;"",'Chart of Accounts'!$A$5:$A$3000,0)),"")</f>
        <v/>
      </c>
      <c r="AI138" s="23">
        <f>IFERROR(INDEX('Chart of Accounts'!$C$5:$C$3000,MATCH(AE138&amp;"",'Chart of Accounts'!$A$5:$A$3000,0))&amp;"|"&amp;INDEX('Chart of Accounts'!$D$5:$D$3000,MATCH(AE138&amp;"",'Chart of Accounts'!$A$5:$A$3000,0)),"")</f>
        <v/>
      </c>
      <c r="AJ138" s="23">
        <f>IFERROR(INDEX('Chart of Accounts'!$C$5:$C$3000,MATCH(X138&amp;"",'Chart of Accounts'!$A$5:$A$3000,0))&amp;"|"&amp;INDEX('Chart of Accounts'!$D$5:$D$3000,MATCH(X138&amp;"",'Chart of Accounts'!$A$5:$A$3000,0)),"")</f>
        <v/>
      </c>
      <c r="AK138" s="23">
        <f>IFERROR(INDEX('Chart of Accounts'!$C$5:$C$3000,MATCH(W138&amp;"",'Chart of Accounts'!$A$5:$A$3000,0))&amp;"|"&amp;INDEX('Chart of Accounts'!$D$5:$D$3000,MATCH(W138&amp;"",'Chart of Accounts'!$A$5:$A$3000,0)),"")</f>
        <v/>
      </c>
      <c r="AL138" s="23">
        <f>IF(LEFT(AG138,8)="Revenue|",-N(S138),0)+IF(LEFT(AH138,8)="Revenue|",-N(T138),0)+IF(LEFT(AI138,8)="Revenue|",N(AF138),0)+IF(LEFT(AJ138,8)="Revenue|",N(AC138),0)+IF(LEFT(AK138,8)="Revenue|",N(U138),0)</f>
        <v/>
      </c>
      <c r="AM138" s="23">
        <f>IF(LEFT(AG138,5)="COGS|",N(S138),0)+IF(LEFT(AH138,5)="COGS|",N(T138),0)+IF(LEFT(AI138,5)="COGS|",-N(AF138),0)+IF(LEFT(AJ138,5)="COGS|",-N(AC138),0)+IF(LEFT(AK138,5)="COGS|",-N(U138),0)</f>
        <v/>
      </c>
      <c r="AN138" s="23">
        <f>IF(LEFT(AG138,8)="Expense|",N(S138),0)+IF(LEFT(AH138,8)="Expense|",N(T138),0)+IF(LEFT(AI138,8)="Expense|",-N(AF138),0)+IF(LEFT(AJ138,8)="Expense|",-N(AC138),0)+IF(LEFT(AK138,8)="Expense|",-N(U138),0)</f>
        <v/>
      </c>
      <c r="AO138" s="23">
        <f>IF(ISNUMBER(MATCH(AG138,{"Expense|employee","Expense|general_admin","Expense|marketing","Expense|utilities","Expense|other_operating"},0)),N(S138),0)+IF(ISNUMBER(MATCH(AH138,{"Expense|employee","Expense|general_admin","Expense|marketing","Expense|utilities","Expense|other_operating"},0)),N(T138),0)+IF(ISNUMBER(MATCH(AI138,{"Expense|employee","Expense|general_admin","Expense|marketing","Expense|utilities","Expense|other_operating"},0)),-N(AF138),0)+IF(ISNUMBER(MATCH(AJ138,{"Expense|employee","Expense|general_admin","Expense|marketing","Expense|utilities","Expense|other_operating"},0)),-N(AC138),0)+IF(ISNUMBER(MATCH(AK138,{"Expense|employee","Expense|general_admin","Expense|marketing","Expense|utilities","Expense|other_operating"},0)),-N(U138),0)</f>
        <v/>
      </c>
      <c r="AP138" s="23">
        <f>IF(AG138="Liability|payable",-N(S138),0)+IF(AH138="Liability|payable",-N(T138),0)+IF(AI138="Liability|payable",N(AF138),0)+IF(AJ138="Liability|payable",N(AC138),0)+IF(AK138="Liability|payable",N(U138),0)</f>
        <v/>
      </c>
      <c r="AQ138" s="23">
        <f>IF(AG138="Liability|accrued",-N(S138),0)+IF(AH138="Liability|accrued",-N(T138),0)+IF(AI138="Liability|accrued",N(AF138),0)+IF(AJ138="Liability|accrued",N(AC138),0)+IF(AK138="Liability|accrued",N(U138),0)</f>
        <v/>
      </c>
      <c r="AR138" s="23">
        <f>IF(AND(N(S138)&lt;&gt;0,AG138=""),1,0)+IF(AND(N(T138)&lt;&gt;0,AH138=""),1,0)+IF(AND(N(AF138)&lt;&gt;0,AI138=""),1,0)+IF(AND(N(AC138)&lt;&gt;0,AJ138=""),1,0)+IF(AND(N(U138)&lt;&gt;0,AK138=""),1,0)</f>
        <v/>
      </c>
    </row>
    <row r="139">
      <c r="A139" s="19" t="n"/>
      <c r="B139" s="14" t="n"/>
      <c r="C139" s="14" t="n"/>
      <c r="D139" s="14" t="n"/>
      <c r="E139" s="14" t="n"/>
      <c r="F139" s="14" t="n"/>
      <c r="G139" s="14" t="n"/>
      <c r="H139" s="20" t="n"/>
      <c r="I139" s="14" t="n"/>
      <c r="J139" s="14" t="n"/>
      <c r="K139" s="20" t="n"/>
      <c r="L139" s="14" t="n"/>
      <c r="M139" s="14" t="n"/>
      <c r="N139" s="14" t="n"/>
      <c r="O139" s="14" t="n"/>
      <c r="P139" s="14" t="n"/>
      <c r="Q139" s="14" t="n"/>
      <c r="R139" s="14" t="n"/>
      <c r="S139" s="21">
        <f>ROUND(ABS(N(G139))*N(H139),2)</f>
        <v/>
      </c>
      <c r="T139" s="21">
        <f>IF(B139="Receipt",ROUND(S139*IFERROR(VLOOKUP(Q139,'Tax Codes'!$A$5:$E$300,5,FALSE),0),2),0)</f>
        <v/>
      </c>
      <c r="U139" s="21">
        <f>IF(B139="Receipt",ROUND(S139*IFERROR(VLOOKUP(R139,'Tax Codes'!$A$5:$E$300,5,FALSE),0),2),0)</f>
        <v/>
      </c>
      <c r="V139" s="16">
        <f>INDEX('Chart of Accounts'!$A$5:$A$3000,MATCH("vat_input",'Chart of Accounts'!$F$5:$F$3000,0))</f>
        <v/>
      </c>
      <c r="W139" s="16">
        <f>INDEX('Chart of Accounts'!$A$5:$A$3000,MATCH("wht_payable",'Chart of Accounts'!$F$5:$F$3000,0))</f>
        <v/>
      </c>
      <c r="X139" s="16">
        <f>IF(M139="",INDEX('Chart of Accounts'!$A$5:$A$3000,MATCH("bank",'Chart of Accounts'!$F$5:$F$3000,0)),M139&amp;"")</f>
        <v/>
      </c>
      <c r="Y139" s="16">
        <f>IF(N139="",INDEX('Chart of Accounts'!$A$5:$A$3000,MATCH("ap",'Chart of Accounts'!$F$5:$F$3000,0)),N139&amp;"")</f>
        <v/>
      </c>
      <c r="Z139" s="16">
        <f>IF(O139="",INDEX('Chart of Accounts'!$A$5:$A$3000,MATCH("materials",'Chart of Accounts'!$F$5:$F$3000,0)),O139&amp;"")</f>
        <v/>
      </c>
      <c r="AA139" s="16">
        <f>IF(IFERROR(INDEX(Warehouses!$C$5:$C$1000,MATCH(C139,Warehouses!$A$5:$A$1000,0))&amp;"","")="",INDEX('Chart of Accounts'!$A$5:$A$3000,MATCH("inventory",'Chart of Accounts'!$F$5:$F$3000,0)),IFERROR(INDEX(Warehouses!$C$5:$C$1000,MATCH(C139,Warehouses!$A$5:$A$1000,0))&amp;"",""))</f>
        <v/>
      </c>
      <c r="AB139" s="16">
        <f>IF(IFERROR(INDEX(Warehouses!$C$5:$C$1000,MATCH(D139,Warehouses!$A$5:$A$1000,0))&amp;"","")="",INDEX('Chart of Accounts'!$A$5:$A$3000,MATCH("inventory",'Chart of Accounts'!$F$5:$F$3000,0)),IFERROR(INDEX(Warehouses!$C$5:$C$1000,MATCH(D139,Warehouses!$A$5:$A$1000,0))&amp;"",""))</f>
        <v/>
      </c>
      <c r="AC139" s="21">
        <f>IF(B139="Receipt",N(K139),0)</f>
        <v/>
      </c>
      <c r="AD139" s="16">
        <f>IF(B139="Receipt",AA139,IF(B139="Issue",Z139,IF(B139="Transfer",AB139,IF(N(G139)&gt;=0,AA139,INDEX('Chart of Accounts'!$A$5:$A$3000,MATCH("stock_adjust",'Chart of Accounts'!$F$5:$F$3000,0))))))</f>
        <v/>
      </c>
      <c r="AE139" s="16">
        <f>IF(B139="Receipt",Y139,IF(B139="Adjustment",IF(N(G139)&gt;=0,INDEX('Chart of Accounts'!$A$5:$A$3000,MATCH("stock_adjust",'Chart of Accounts'!$F$5:$F$3000,0)),AA139),AA139))</f>
        <v/>
      </c>
      <c r="AF139" s="21">
        <f>S139+T139-U139-AC139</f>
        <v/>
      </c>
      <c r="AG139" s="23">
        <f>IFERROR(INDEX('Chart of Accounts'!$C$5:$C$3000,MATCH(AD139&amp;"",'Chart of Accounts'!$A$5:$A$3000,0))&amp;"|"&amp;INDEX('Chart of Accounts'!$D$5:$D$3000,MATCH(AD139&amp;"",'Chart of Accounts'!$A$5:$A$3000,0)),"")</f>
        <v/>
      </c>
      <c r="AH139" s="23">
        <f>IFERROR(INDEX('Chart of Accounts'!$C$5:$C$3000,MATCH(V139&amp;"",'Chart of Accounts'!$A$5:$A$3000,0))&amp;"|"&amp;INDEX('Chart of Accounts'!$D$5:$D$3000,MATCH(V139&amp;"",'Chart of Accounts'!$A$5:$A$3000,0)),"")</f>
        <v/>
      </c>
      <c r="AI139" s="23">
        <f>IFERROR(INDEX('Chart of Accounts'!$C$5:$C$3000,MATCH(AE139&amp;"",'Chart of Accounts'!$A$5:$A$3000,0))&amp;"|"&amp;INDEX('Chart of Accounts'!$D$5:$D$3000,MATCH(AE139&amp;"",'Chart of Accounts'!$A$5:$A$3000,0)),"")</f>
        <v/>
      </c>
      <c r="AJ139" s="23">
        <f>IFERROR(INDEX('Chart of Accounts'!$C$5:$C$3000,MATCH(X139&amp;"",'Chart of Accounts'!$A$5:$A$3000,0))&amp;"|"&amp;INDEX('Chart of Accounts'!$D$5:$D$3000,MATCH(X139&amp;"",'Chart of Accounts'!$A$5:$A$3000,0)),"")</f>
        <v/>
      </c>
      <c r="AK139" s="23">
        <f>IFERROR(INDEX('Chart of Accounts'!$C$5:$C$3000,MATCH(W139&amp;"",'Chart of Accounts'!$A$5:$A$3000,0))&amp;"|"&amp;INDEX('Chart of Accounts'!$D$5:$D$3000,MATCH(W139&amp;"",'Chart of Accounts'!$A$5:$A$3000,0)),"")</f>
        <v/>
      </c>
      <c r="AL139" s="23">
        <f>IF(LEFT(AG139,8)="Revenue|",-N(S139),0)+IF(LEFT(AH139,8)="Revenue|",-N(T139),0)+IF(LEFT(AI139,8)="Revenue|",N(AF139),0)+IF(LEFT(AJ139,8)="Revenue|",N(AC139),0)+IF(LEFT(AK139,8)="Revenue|",N(U139),0)</f>
        <v/>
      </c>
      <c r="AM139" s="23">
        <f>IF(LEFT(AG139,5)="COGS|",N(S139),0)+IF(LEFT(AH139,5)="COGS|",N(T139),0)+IF(LEFT(AI139,5)="COGS|",-N(AF139),0)+IF(LEFT(AJ139,5)="COGS|",-N(AC139),0)+IF(LEFT(AK139,5)="COGS|",-N(U139),0)</f>
        <v/>
      </c>
      <c r="AN139" s="23">
        <f>IF(LEFT(AG139,8)="Expense|",N(S139),0)+IF(LEFT(AH139,8)="Expense|",N(T139),0)+IF(LEFT(AI139,8)="Expense|",-N(AF139),0)+IF(LEFT(AJ139,8)="Expense|",-N(AC139),0)+IF(LEFT(AK139,8)="Expense|",-N(U139),0)</f>
        <v/>
      </c>
      <c r="AO139" s="23">
        <f>IF(ISNUMBER(MATCH(AG139,{"Expense|employee","Expense|general_admin","Expense|marketing","Expense|utilities","Expense|other_operating"},0)),N(S139),0)+IF(ISNUMBER(MATCH(AH139,{"Expense|employee","Expense|general_admin","Expense|marketing","Expense|utilities","Expense|other_operating"},0)),N(T139),0)+IF(ISNUMBER(MATCH(AI139,{"Expense|employee","Expense|general_admin","Expense|marketing","Expense|utilities","Expense|other_operating"},0)),-N(AF139),0)+IF(ISNUMBER(MATCH(AJ139,{"Expense|employee","Expense|general_admin","Expense|marketing","Expense|utilities","Expense|other_operating"},0)),-N(AC139),0)+IF(ISNUMBER(MATCH(AK139,{"Expense|employee","Expense|general_admin","Expense|marketing","Expense|utilities","Expense|other_operating"},0)),-N(U139),0)</f>
        <v/>
      </c>
      <c r="AP139" s="23">
        <f>IF(AG139="Liability|payable",-N(S139),0)+IF(AH139="Liability|payable",-N(T139),0)+IF(AI139="Liability|payable",N(AF139),0)+IF(AJ139="Liability|payable",N(AC139),0)+IF(AK139="Liability|payable",N(U139),0)</f>
        <v/>
      </c>
      <c r="AQ139" s="23">
        <f>IF(AG139="Liability|accrued",-N(S139),0)+IF(AH139="Liability|accrued",-N(T139),0)+IF(AI139="Liability|accrued",N(AF139),0)+IF(AJ139="Liability|accrued",N(AC139),0)+IF(AK139="Liability|accrued",N(U139),0)</f>
        <v/>
      </c>
      <c r="AR139" s="23">
        <f>IF(AND(N(S139)&lt;&gt;0,AG139=""),1,0)+IF(AND(N(T139)&lt;&gt;0,AH139=""),1,0)+IF(AND(N(AF139)&lt;&gt;0,AI139=""),1,0)+IF(AND(N(AC139)&lt;&gt;0,AJ139=""),1,0)+IF(AND(N(U139)&lt;&gt;0,AK139=""),1,0)</f>
        <v/>
      </c>
    </row>
    <row r="140">
      <c r="A140" s="19" t="n"/>
      <c r="B140" s="14" t="n"/>
      <c r="C140" s="14" t="n"/>
      <c r="D140" s="14" t="n"/>
      <c r="E140" s="14" t="n"/>
      <c r="F140" s="14" t="n"/>
      <c r="G140" s="14" t="n"/>
      <c r="H140" s="20" t="n"/>
      <c r="I140" s="14" t="n"/>
      <c r="J140" s="14" t="n"/>
      <c r="K140" s="20" t="n"/>
      <c r="L140" s="14" t="n"/>
      <c r="M140" s="14" t="n"/>
      <c r="N140" s="14" t="n"/>
      <c r="O140" s="14" t="n"/>
      <c r="P140" s="14" t="n"/>
      <c r="Q140" s="14" t="n"/>
      <c r="R140" s="14" t="n"/>
      <c r="S140" s="21">
        <f>ROUND(ABS(N(G140))*N(H140),2)</f>
        <v/>
      </c>
      <c r="T140" s="21">
        <f>IF(B140="Receipt",ROUND(S140*IFERROR(VLOOKUP(Q140,'Tax Codes'!$A$5:$E$300,5,FALSE),0),2),0)</f>
        <v/>
      </c>
      <c r="U140" s="21">
        <f>IF(B140="Receipt",ROUND(S140*IFERROR(VLOOKUP(R140,'Tax Codes'!$A$5:$E$300,5,FALSE),0),2),0)</f>
        <v/>
      </c>
      <c r="V140" s="16">
        <f>INDEX('Chart of Accounts'!$A$5:$A$3000,MATCH("vat_input",'Chart of Accounts'!$F$5:$F$3000,0))</f>
        <v/>
      </c>
      <c r="W140" s="16">
        <f>INDEX('Chart of Accounts'!$A$5:$A$3000,MATCH("wht_payable",'Chart of Accounts'!$F$5:$F$3000,0))</f>
        <v/>
      </c>
      <c r="X140" s="16">
        <f>IF(M140="",INDEX('Chart of Accounts'!$A$5:$A$3000,MATCH("bank",'Chart of Accounts'!$F$5:$F$3000,0)),M140&amp;"")</f>
        <v/>
      </c>
      <c r="Y140" s="16">
        <f>IF(N140="",INDEX('Chart of Accounts'!$A$5:$A$3000,MATCH("ap",'Chart of Accounts'!$F$5:$F$3000,0)),N140&amp;"")</f>
        <v/>
      </c>
      <c r="Z140" s="16">
        <f>IF(O140="",INDEX('Chart of Accounts'!$A$5:$A$3000,MATCH("materials",'Chart of Accounts'!$F$5:$F$3000,0)),O140&amp;"")</f>
        <v/>
      </c>
      <c r="AA140" s="16">
        <f>IF(IFERROR(INDEX(Warehouses!$C$5:$C$1000,MATCH(C140,Warehouses!$A$5:$A$1000,0))&amp;"","")="",INDEX('Chart of Accounts'!$A$5:$A$3000,MATCH("inventory",'Chart of Accounts'!$F$5:$F$3000,0)),IFERROR(INDEX(Warehouses!$C$5:$C$1000,MATCH(C140,Warehouses!$A$5:$A$1000,0))&amp;"",""))</f>
        <v/>
      </c>
      <c r="AB140" s="16">
        <f>IF(IFERROR(INDEX(Warehouses!$C$5:$C$1000,MATCH(D140,Warehouses!$A$5:$A$1000,0))&amp;"","")="",INDEX('Chart of Accounts'!$A$5:$A$3000,MATCH("inventory",'Chart of Accounts'!$F$5:$F$3000,0)),IFERROR(INDEX(Warehouses!$C$5:$C$1000,MATCH(D140,Warehouses!$A$5:$A$1000,0))&amp;"",""))</f>
        <v/>
      </c>
      <c r="AC140" s="21">
        <f>IF(B140="Receipt",N(K140),0)</f>
        <v/>
      </c>
      <c r="AD140" s="16">
        <f>IF(B140="Receipt",AA140,IF(B140="Issue",Z140,IF(B140="Transfer",AB140,IF(N(G140)&gt;=0,AA140,INDEX('Chart of Accounts'!$A$5:$A$3000,MATCH("stock_adjust",'Chart of Accounts'!$F$5:$F$3000,0))))))</f>
        <v/>
      </c>
      <c r="AE140" s="16">
        <f>IF(B140="Receipt",Y140,IF(B140="Adjustment",IF(N(G140)&gt;=0,INDEX('Chart of Accounts'!$A$5:$A$3000,MATCH("stock_adjust",'Chart of Accounts'!$F$5:$F$3000,0)),AA140),AA140))</f>
        <v/>
      </c>
      <c r="AF140" s="21">
        <f>S140+T140-U140-AC140</f>
        <v/>
      </c>
      <c r="AG140" s="23">
        <f>IFERROR(INDEX('Chart of Accounts'!$C$5:$C$3000,MATCH(AD140&amp;"",'Chart of Accounts'!$A$5:$A$3000,0))&amp;"|"&amp;INDEX('Chart of Accounts'!$D$5:$D$3000,MATCH(AD140&amp;"",'Chart of Accounts'!$A$5:$A$3000,0)),"")</f>
        <v/>
      </c>
      <c r="AH140" s="23">
        <f>IFERROR(INDEX('Chart of Accounts'!$C$5:$C$3000,MATCH(V140&amp;"",'Chart of Accounts'!$A$5:$A$3000,0))&amp;"|"&amp;INDEX('Chart of Accounts'!$D$5:$D$3000,MATCH(V140&amp;"",'Chart of Accounts'!$A$5:$A$3000,0)),"")</f>
        <v/>
      </c>
      <c r="AI140" s="23">
        <f>IFERROR(INDEX('Chart of Accounts'!$C$5:$C$3000,MATCH(AE140&amp;"",'Chart of Accounts'!$A$5:$A$3000,0))&amp;"|"&amp;INDEX('Chart of Accounts'!$D$5:$D$3000,MATCH(AE140&amp;"",'Chart of Accounts'!$A$5:$A$3000,0)),"")</f>
        <v/>
      </c>
      <c r="AJ140" s="23">
        <f>IFERROR(INDEX('Chart of Accounts'!$C$5:$C$3000,MATCH(X140&amp;"",'Chart of Accounts'!$A$5:$A$3000,0))&amp;"|"&amp;INDEX('Chart of Accounts'!$D$5:$D$3000,MATCH(X140&amp;"",'Chart of Accounts'!$A$5:$A$3000,0)),"")</f>
        <v/>
      </c>
      <c r="AK140" s="23">
        <f>IFERROR(INDEX('Chart of Accounts'!$C$5:$C$3000,MATCH(W140&amp;"",'Chart of Accounts'!$A$5:$A$3000,0))&amp;"|"&amp;INDEX('Chart of Accounts'!$D$5:$D$3000,MATCH(W140&amp;"",'Chart of Accounts'!$A$5:$A$3000,0)),"")</f>
        <v/>
      </c>
      <c r="AL140" s="23">
        <f>IF(LEFT(AG140,8)="Revenue|",-N(S140),0)+IF(LEFT(AH140,8)="Revenue|",-N(T140),0)+IF(LEFT(AI140,8)="Revenue|",N(AF140),0)+IF(LEFT(AJ140,8)="Revenue|",N(AC140),0)+IF(LEFT(AK140,8)="Revenue|",N(U140),0)</f>
        <v/>
      </c>
      <c r="AM140" s="23">
        <f>IF(LEFT(AG140,5)="COGS|",N(S140),0)+IF(LEFT(AH140,5)="COGS|",N(T140),0)+IF(LEFT(AI140,5)="COGS|",-N(AF140),0)+IF(LEFT(AJ140,5)="COGS|",-N(AC140),0)+IF(LEFT(AK140,5)="COGS|",-N(U140),0)</f>
        <v/>
      </c>
      <c r="AN140" s="23">
        <f>IF(LEFT(AG140,8)="Expense|",N(S140),0)+IF(LEFT(AH140,8)="Expense|",N(T140),0)+IF(LEFT(AI140,8)="Expense|",-N(AF140),0)+IF(LEFT(AJ140,8)="Expense|",-N(AC140),0)+IF(LEFT(AK140,8)="Expense|",-N(U140),0)</f>
        <v/>
      </c>
      <c r="AO140" s="23">
        <f>IF(ISNUMBER(MATCH(AG140,{"Expense|employee","Expense|general_admin","Expense|marketing","Expense|utilities","Expense|other_operating"},0)),N(S140),0)+IF(ISNUMBER(MATCH(AH140,{"Expense|employee","Expense|general_admin","Expense|marketing","Expense|utilities","Expense|other_operating"},0)),N(T140),0)+IF(ISNUMBER(MATCH(AI140,{"Expense|employee","Expense|general_admin","Expense|marketing","Expense|utilities","Expense|other_operating"},0)),-N(AF140),0)+IF(ISNUMBER(MATCH(AJ140,{"Expense|employee","Expense|general_admin","Expense|marketing","Expense|utilities","Expense|other_operating"},0)),-N(AC140),0)+IF(ISNUMBER(MATCH(AK140,{"Expense|employee","Expense|general_admin","Expense|marketing","Expense|utilities","Expense|other_operating"},0)),-N(U140),0)</f>
        <v/>
      </c>
      <c r="AP140" s="23">
        <f>IF(AG140="Liability|payable",-N(S140),0)+IF(AH140="Liability|payable",-N(T140),0)+IF(AI140="Liability|payable",N(AF140),0)+IF(AJ140="Liability|payable",N(AC140),0)+IF(AK140="Liability|payable",N(U140),0)</f>
        <v/>
      </c>
      <c r="AQ140" s="23">
        <f>IF(AG140="Liability|accrued",-N(S140),0)+IF(AH140="Liability|accrued",-N(T140),0)+IF(AI140="Liability|accrued",N(AF140),0)+IF(AJ140="Liability|accrued",N(AC140),0)+IF(AK140="Liability|accrued",N(U140),0)</f>
        <v/>
      </c>
      <c r="AR140" s="23">
        <f>IF(AND(N(S140)&lt;&gt;0,AG140=""),1,0)+IF(AND(N(T140)&lt;&gt;0,AH140=""),1,0)+IF(AND(N(AF140)&lt;&gt;0,AI140=""),1,0)+IF(AND(N(AC140)&lt;&gt;0,AJ140=""),1,0)+IF(AND(N(U140)&lt;&gt;0,AK140=""),1,0)</f>
        <v/>
      </c>
    </row>
    <row r="141">
      <c r="A141" s="19" t="n"/>
      <c r="B141" s="14" t="n"/>
      <c r="C141" s="14" t="n"/>
      <c r="D141" s="14" t="n"/>
      <c r="E141" s="14" t="n"/>
      <c r="F141" s="14" t="n"/>
      <c r="G141" s="14" t="n"/>
      <c r="H141" s="20" t="n"/>
      <c r="I141" s="14" t="n"/>
      <c r="J141" s="14" t="n"/>
      <c r="K141" s="20" t="n"/>
      <c r="L141" s="14" t="n"/>
      <c r="M141" s="14" t="n"/>
      <c r="N141" s="14" t="n"/>
      <c r="O141" s="14" t="n"/>
      <c r="P141" s="14" t="n"/>
      <c r="Q141" s="14" t="n"/>
      <c r="R141" s="14" t="n"/>
      <c r="S141" s="21">
        <f>ROUND(ABS(N(G141))*N(H141),2)</f>
        <v/>
      </c>
      <c r="T141" s="21">
        <f>IF(B141="Receipt",ROUND(S141*IFERROR(VLOOKUP(Q141,'Tax Codes'!$A$5:$E$300,5,FALSE),0),2),0)</f>
        <v/>
      </c>
      <c r="U141" s="21">
        <f>IF(B141="Receipt",ROUND(S141*IFERROR(VLOOKUP(R141,'Tax Codes'!$A$5:$E$300,5,FALSE),0),2),0)</f>
        <v/>
      </c>
      <c r="V141" s="16">
        <f>INDEX('Chart of Accounts'!$A$5:$A$3000,MATCH("vat_input",'Chart of Accounts'!$F$5:$F$3000,0))</f>
        <v/>
      </c>
      <c r="W141" s="16">
        <f>INDEX('Chart of Accounts'!$A$5:$A$3000,MATCH("wht_payable",'Chart of Accounts'!$F$5:$F$3000,0))</f>
        <v/>
      </c>
      <c r="X141" s="16">
        <f>IF(M141="",INDEX('Chart of Accounts'!$A$5:$A$3000,MATCH("bank",'Chart of Accounts'!$F$5:$F$3000,0)),M141&amp;"")</f>
        <v/>
      </c>
      <c r="Y141" s="16">
        <f>IF(N141="",INDEX('Chart of Accounts'!$A$5:$A$3000,MATCH("ap",'Chart of Accounts'!$F$5:$F$3000,0)),N141&amp;"")</f>
        <v/>
      </c>
      <c r="Z141" s="16">
        <f>IF(O141="",INDEX('Chart of Accounts'!$A$5:$A$3000,MATCH("materials",'Chart of Accounts'!$F$5:$F$3000,0)),O141&amp;"")</f>
        <v/>
      </c>
      <c r="AA141" s="16">
        <f>IF(IFERROR(INDEX(Warehouses!$C$5:$C$1000,MATCH(C141,Warehouses!$A$5:$A$1000,0))&amp;"","")="",INDEX('Chart of Accounts'!$A$5:$A$3000,MATCH("inventory",'Chart of Accounts'!$F$5:$F$3000,0)),IFERROR(INDEX(Warehouses!$C$5:$C$1000,MATCH(C141,Warehouses!$A$5:$A$1000,0))&amp;"",""))</f>
        <v/>
      </c>
      <c r="AB141" s="16">
        <f>IF(IFERROR(INDEX(Warehouses!$C$5:$C$1000,MATCH(D141,Warehouses!$A$5:$A$1000,0))&amp;"","")="",INDEX('Chart of Accounts'!$A$5:$A$3000,MATCH("inventory",'Chart of Accounts'!$F$5:$F$3000,0)),IFERROR(INDEX(Warehouses!$C$5:$C$1000,MATCH(D141,Warehouses!$A$5:$A$1000,0))&amp;"",""))</f>
        <v/>
      </c>
      <c r="AC141" s="21">
        <f>IF(B141="Receipt",N(K141),0)</f>
        <v/>
      </c>
      <c r="AD141" s="16">
        <f>IF(B141="Receipt",AA141,IF(B141="Issue",Z141,IF(B141="Transfer",AB141,IF(N(G141)&gt;=0,AA141,INDEX('Chart of Accounts'!$A$5:$A$3000,MATCH("stock_adjust",'Chart of Accounts'!$F$5:$F$3000,0))))))</f>
        <v/>
      </c>
      <c r="AE141" s="16">
        <f>IF(B141="Receipt",Y141,IF(B141="Adjustment",IF(N(G141)&gt;=0,INDEX('Chart of Accounts'!$A$5:$A$3000,MATCH("stock_adjust",'Chart of Accounts'!$F$5:$F$3000,0)),AA141),AA141))</f>
        <v/>
      </c>
      <c r="AF141" s="21">
        <f>S141+T141-U141-AC141</f>
        <v/>
      </c>
      <c r="AG141" s="23">
        <f>IFERROR(INDEX('Chart of Accounts'!$C$5:$C$3000,MATCH(AD141&amp;"",'Chart of Accounts'!$A$5:$A$3000,0))&amp;"|"&amp;INDEX('Chart of Accounts'!$D$5:$D$3000,MATCH(AD141&amp;"",'Chart of Accounts'!$A$5:$A$3000,0)),"")</f>
        <v/>
      </c>
      <c r="AH141" s="23">
        <f>IFERROR(INDEX('Chart of Accounts'!$C$5:$C$3000,MATCH(V141&amp;"",'Chart of Accounts'!$A$5:$A$3000,0))&amp;"|"&amp;INDEX('Chart of Accounts'!$D$5:$D$3000,MATCH(V141&amp;"",'Chart of Accounts'!$A$5:$A$3000,0)),"")</f>
        <v/>
      </c>
      <c r="AI141" s="23">
        <f>IFERROR(INDEX('Chart of Accounts'!$C$5:$C$3000,MATCH(AE141&amp;"",'Chart of Accounts'!$A$5:$A$3000,0))&amp;"|"&amp;INDEX('Chart of Accounts'!$D$5:$D$3000,MATCH(AE141&amp;"",'Chart of Accounts'!$A$5:$A$3000,0)),"")</f>
        <v/>
      </c>
      <c r="AJ141" s="23">
        <f>IFERROR(INDEX('Chart of Accounts'!$C$5:$C$3000,MATCH(X141&amp;"",'Chart of Accounts'!$A$5:$A$3000,0))&amp;"|"&amp;INDEX('Chart of Accounts'!$D$5:$D$3000,MATCH(X141&amp;"",'Chart of Accounts'!$A$5:$A$3000,0)),"")</f>
        <v/>
      </c>
      <c r="AK141" s="23">
        <f>IFERROR(INDEX('Chart of Accounts'!$C$5:$C$3000,MATCH(W141&amp;"",'Chart of Accounts'!$A$5:$A$3000,0))&amp;"|"&amp;INDEX('Chart of Accounts'!$D$5:$D$3000,MATCH(W141&amp;"",'Chart of Accounts'!$A$5:$A$3000,0)),"")</f>
        <v/>
      </c>
      <c r="AL141" s="23">
        <f>IF(LEFT(AG141,8)="Revenue|",-N(S141),0)+IF(LEFT(AH141,8)="Revenue|",-N(T141),0)+IF(LEFT(AI141,8)="Revenue|",N(AF141),0)+IF(LEFT(AJ141,8)="Revenue|",N(AC141),0)+IF(LEFT(AK141,8)="Revenue|",N(U141),0)</f>
        <v/>
      </c>
      <c r="AM141" s="23">
        <f>IF(LEFT(AG141,5)="COGS|",N(S141),0)+IF(LEFT(AH141,5)="COGS|",N(T141),0)+IF(LEFT(AI141,5)="COGS|",-N(AF141),0)+IF(LEFT(AJ141,5)="COGS|",-N(AC141),0)+IF(LEFT(AK141,5)="COGS|",-N(U141),0)</f>
        <v/>
      </c>
      <c r="AN141" s="23">
        <f>IF(LEFT(AG141,8)="Expense|",N(S141),0)+IF(LEFT(AH141,8)="Expense|",N(T141),0)+IF(LEFT(AI141,8)="Expense|",-N(AF141),0)+IF(LEFT(AJ141,8)="Expense|",-N(AC141),0)+IF(LEFT(AK141,8)="Expense|",-N(U141),0)</f>
        <v/>
      </c>
      <c r="AO141" s="23">
        <f>IF(ISNUMBER(MATCH(AG141,{"Expense|employee","Expense|general_admin","Expense|marketing","Expense|utilities","Expense|other_operating"},0)),N(S141),0)+IF(ISNUMBER(MATCH(AH141,{"Expense|employee","Expense|general_admin","Expense|marketing","Expense|utilities","Expense|other_operating"},0)),N(T141),0)+IF(ISNUMBER(MATCH(AI141,{"Expense|employee","Expense|general_admin","Expense|marketing","Expense|utilities","Expense|other_operating"},0)),-N(AF141),0)+IF(ISNUMBER(MATCH(AJ141,{"Expense|employee","Expense|general_admin","Expense|marketing","Expense|utilities","Expense|other_operating"},0)),-N(AC141),0)+IF(ISNUMBER(MATCH(AK141,{"Expense|employee","Expense|general_admin","Expense|marketing","Expense|utilities","Expense|other_operating"},0)),-N(U141),0)</f>
        <v/>
      </c>
      <c r="AP141" s="23">
        <f>IF(AG141="Liability|payable",-N(S141),0)+IF(AH141="Liability|payable",-N(T141),0)+IF(AI141="Liability|payable",N(AF141),0)+IF(AJ141="Liability|payable",N(AC141),0)+IF(AK141="Liability|payable",N(U141),0)</f>
        <v/>
      </c>
      <c r="AQ141" s="23">
        <f>IF(AG141="Liability|accrued",-N(S141),0)+IF(AH141="Liability|accrued",-N(T141),0)+IF(AI141="Liability|accrued",N(AF141),0)+IF(AJ141="Liability|accrued",N(AC141),0)+IF(AK141="Liability|accrued",N(U141),0)</f>
        <v/>
      </c>
      <c r="AR141" s="23">
        <f>IF(AND(N(S141)&lt;&gt;0,AG141=""),1,0)+IF(AND(N(T141)&lt;&gt;0,AH141=""),1,0)+IF(AND(N(AF141)&lt;&gt;0,AI141=""),1,0)+IF(AND(N(AC141)&lt;&gt;0,AJ141=""),1,0)+IF(AND(N(U141)&lt;&gt;0,AK141=""),1,0)</f>
        <v/>
      </c>
    </row>
    <row r="142">
      <c r="A142" s="19" t="n"/>
      <c r="B142" s="14" t="n"/>
      <c r="C142" s="14" t="n"/>
      <c r="D142" s="14" t="n"/>
      <c r="E142" s="14" t="n"/>
      <c r="F142" s="14" t="n"/>
      <c r="G142" s="14" t="n"/>
      <c r="H142" s="20" t="n"/>
      <c r="I142" s="14" t="n"/>
      <c r="J142" s="14" t="n"/>
      <c r="K142" s="20" t="n"/>
      <c r="L142" s="14" t="n"/>
      <c r="M142" s="14" t="n"/>
      <c r="N142" s="14" t="n"/>
      <c r="O142" s="14" t="n"/>
      <c r="P142" s="14" t="n"/>
      <c r="Q142" s="14" t="n"/>
      <c r="R142" s="14" t="n"/>
      <c r="S142" s="21">
        <f>ROUND(ABS(N(G142))*N(H142),2)</f>
        <v/>
      </c>
      <c r="T142" s="21">
        <f>IF(B142="Receipt",ROUND(S142*IFERROR(VLOOKUP(Q142,'Tax Codes'!$A$5:$E$300,5,FALSE),0),2),0)</f>
        <v/>
      </c>
      <c r="U142" s="21">
        <f>IF(B142="Receipt",ROUND(S142*IFERROR(VLOOKUP(R142,'Tax Codes'!$A$5:$E$300,5,FALSE),0),2),0)</f>
        <v/>
      </c>
      <c r="V142" s="16">
        <f>INDEX('Chart of Accounts'!$A$5:$A$3000,MATCH("vat_input",'Chart of Accounts'!$F$5:$F$3000,0))</f>
        <v/>
      </c>
      <c r="W142" s="16">
        <f>INDEX('Chart of Accounts'!$A$5:$A$3000,MATCH("wht_payable",'Chart of Accounts'!$F$5:$F$3000,0))</f>
        <v/>
      </c>
      <c r="X142" s="16">
        <f>IF(M142="",INDEX('Chart of Accounts'!$A$5:$A$3000,MATCH("bank",'Chart of Accounts'!$F$5:$F$3000,0)),M142&amp;"")</f>
        <v/>
      </c>
      <c r="Y142" s="16">
        <f>IF(N142="",INDEX('Chart of Accounts'!$A$5:$A$3000,MATCH("ap",'Chart of Accounts'!$F$5:$F$3000,0)),N142&amp;"")</f>
        <v/>
      </c>
      <c r="Z142" s="16">
        <f>IF(O142="",INDEX('Chart of Accounts'!$A$5:$A$3000,MATCH("materials",'Chart of Accounts'!$F$5:$F$3000,0)),O142&amp;"")</f>
        <v/>
      </c>
      <c r="AA142" s="16">
        <f>IF(IFERROR(INDEX(Warehouses!$C$5:$C$1000,MATCH(C142,Warehouses!$A$5:$A$1000,0))&amp;"","")="",INDEX('Chart of Accounts'!$A$5:$A$3000,MATCH("inventory",'Chart of Accounts'!$F$5:$F$3000,0)),IFERROR(INDEX(Warehouses!$C$5:$C$1000,MATCH(C142,Warehouses!$A$5:$A$1000,0))&amp;"",""))</f>
        <v/>
      </c>
      <c r="AB142" s="16">
        <f>IF(IFERROR(INDEX(Warehouses!$C$5:$C$1000,MATCH(D142,Warehouses!$A$5:$A$1000,0))&amp;"","")="",INDEX('Chart of Accounts'!$A$5:$A$3000,MATCH("inventory",'Chart of Accounts'!$F$5:$F$3000,0)),IFERROR(INDEX(Warehouses!$C$5:$C$1000,MATCH(D142,Warehouses!$A$5:$A$1000,0))&amp;"",""))</f>
        <v/>
      </c>
      <c r="AC142" s="21">
        <f>IF(B142="Receipt",N(K142),0)</f>
        <v/>
      </c>
      <c r="AD142" s="16">
        <f>IF(B142="Receipt",AA142,IF(B142="Issue",Z142,IF(B142="Transfer",AB142,IF(N(G142)&gt;=0,AA142,INDEX('Chart of Accounts'!$A$5:$A$3000,MATCH("stock_adjust",'Chart of Accounts'!$F$5:$F$3000,0))))))</f>
        <v/>
      </c>
      <c r="AE142" s="16">
        <f>IF(B142="Receipt",Y142,IF(B142="Adjustment",IF(N(G142)&gt;=0,INDEX('Chart of Accounts'!$A$5:$A$3000,MATCH("stock_adjust",'Chart of Accounts'!$F$5:$F$3000,0)),AA142),AA142))</f>
        <v/>
      </c>
      <c r="AF142" s="21">
        <f>S142+T142-U142-AC142</f>
        <v/>
      </c>
      <c r="AG142" s="23">
        <f>IFERROR(INDEX('Chart of Accounts'!$C$5:$C$3000,MATCH(AD142&amp;"",'Chart of Accounts'!$A$5:$A$3000,0))&amp;"|"&amp;INDEX('Chart of Accounts'!$D$5:$D$3000,MATCH(AD142&amp;"",'Chart of Accounts'!$A$5:$A$3000,0)),"")</f>
        <v/>
      </c>
      <c r="AH142" s="23">
        <f>IFERROR(INDEX('Chart of Accounts'!$C$5:$C$3000,MATCH(V142&amp;"",'Chart of Accounts'!$A$5:$A$3000,0))&amp;"|"&amp;INDEX('Chart of Accounts'!$D$5:$D$3000,MATCH(V142&amp;"",'Chart of Accounts'!$A$5:$A$3000,0)),"")</f>
        <v/>
      </c>
      <c r="AI142" s="23">
        <f>IFERROR(INDEX('Chart of Accounts'!$C$5:$C$3000,MATCH(AE142&amp;"",'Chart of Accounts'!$A$5:$A$3000,0))&amp;"|"&amp;INDEX('Chart of Accounts'!$D$5:$D$3000,MATCH(AE142&amp;"",'Chart of Accounts'!$A$5:$A$3000,0)),"")</f>
        <v/>
      </c>
      <c r="AJ142" s="23">
        <f>IFERROR(INDEX('Chart of Accounts'!$C$5:$C$3000,MATCH(X142&amp;"",'Chart of Accounts'!$A$5:$A$3000,0))&amp;"|"&amp;INDEX('Chart of Accounts'!$D$5:$D$3000,MATCH(X142&amp;"",'Chart of Accounts'!$A$5:$A$3000,0)),"")</f>
        <v/>
      </c>
      <c r="AK142" s="23">
        <f>IFERROR(INDEX('Chart of Accounts'!$C$5:$C$3000,MATCH(W142&amp;"",'Chart of Accounts'!$A$5:$A$3000,0))&amp;"|"&amp;INDEX('Chart of Accounts'!$D$5:$D$3000,MATCH(W142&amp;"",'Chart of Accounts'!$A$5:$A$3000,0)),"")</f>
        <v/>
      </c>
      <c r="AL142" s="23">
        <f>IF(LEFT(AG142,8)="Revenue|",-N(S142),0)+IF(LEFT(AH142,8)="Revenue|",-N(T142),0)+IF(LEFT(AI142,8)="Revenue|",N(AF142),0)+IF(LEFT(AJ142,8)="Revenue|",N(AC142),0)+IF(LEFT(AK142,8)="Revenue|",N(U142),0)</f>
        <v/>
      </c>
      <c r="AM142" s="23">
        <f>IF(LEFT(AG142,5)="COGS|",N(S142),0)+IF(LEFT(AH142,5)="COGS|",N(T142),0)+IF(LEFT(AI142,5)="COGS|",-N(AF142),0)+IF(LEFT(AJ142,5)="COGS|",-N(AC142),0)+IF(LEFT(AK142,5)="COGS|",-N(U142),0)</f>
        <v/>
      </c>
      <c r="AN142" s="23">
        <f>IF(LEFT(AG142,8)="Expense|",N(S142),0)+IF(LEFT(AH142,8)="Expense|",N(T142),0)+IF(LEFT(AI142,8)="Expense|",-N(AF142),0)+IF(LEFT(AJ142,8)="Expense|",-N(AC142),0)+IF(LEFT(AK142,8)="Expense|",-N(U142),0)</f>
        <v/>
      </c>
      <c r="AO142" s="23">
        <f>IF(ISNUMBER(MATCH(AG142,{"Expense|employee","Expense|general_admin","Expense|marketing","Expense|utilities","Expense|other_operating"},0)),N(S142),0)+IF(ISNUMBER(MATCH(AH142,{"Expense|employee","Expense|general_admin","Expense|marketing","Expense|utilities","Expense|other_operating"},0)),N(T142),0)+IF(ISNUMBER(MATCH(AI142,{"Expense|employee","Expense|general_admin","Expense|marketing","Expense|utilities","Expense|other_operating"},0)),-N(AF142),0)+IF(ISNUMBER(MATCH(AJ142,{"Expense|employee","Expense|general_admin","Expense|marketing","Expense|utilities","Expense|other_operating"},0)),-N(AC142),0)+IF(ISNUMBER(MATCH(AK142,{"Expense|employee","Expense|general_admin","Expense|marketing","Expense|utilities","Expense|other_operating"},0)),-N(U142),0)</f>
        <v/>
      </c>
      <c r="AP142" s="23">
        <f>IF(AG142="Liability|payable",-N(S142),0)+IF(AH142="Liability|payable",-N(T142),0)+IF(AI142="Liability|payable",N(AF142),0)+IF(AJ142="Liability|payable",N(AC142),0)+IF(AK142="Liability|payable",N(U142),0)</f>
        <v/>
      </c>
      <c r="AQ142" s="23">
        <f>IF(AG142="Liability|accrued",-N(S142),0)+IF(AH142="Liability|accrued",-N(T142),0)+IF(AI142="Liability|accrued",N(AF142),0)+IF(AJ142="Liability|accrued",N(AC142),0)+IF(AK142="Liability|accrued",N(U142),0)</f>
        <v/>
      </c>
      <c r="AR142" s="23">
        <f>IF(AND(N(S142)&lt;&gt;0,AG142=""),1,0)+IF(AND(N(T142)&lt;&gt;0,AH142=""),1,0)+IF(AND(N(AF142)&lt;&gt;0,AI142=""),1,0)+IF(AND(N(AC142)&lt;&gt;0,AJ142=""),1,0)+IF(AND(N(U142)&lt;&gt;0,AK142=""),1,0)</f>
        <v/>
      </c>
    </row>
    <row r="143">
      <c r="A143" s="19" t="n"/>
      <c r="B143" s="14" t="n"/>
      <c r="C143" s="14" t="n"/>
      <c r="D143" s="14" t="n"/>
      <c r="E143" s="14" t="n"/>
      <c r="F143" s="14" t="n"/>
      <c r="G143" s="14" t="n"/>
      <c r="H143" s="20" t="n"/>
      <c r="I143" s="14" t="n"/>
      <c r="J143" s="14" t="n"/>
      <c r="K143" s="20" t="n"/>
      <c r="L143" s="14" t="n"/>
      <c r="M143" s="14" t="n"/>
      <c r="N143" s="14" t="n"/>
      <c r="O143" s="14" t="n"/>
      <c r="P143" s="14" t="n"/>
      <c r="Q143" s="14" t="n"/>
      <c r="R143" s="14" t="n"/>
      <c r="S143" s="21">
        <f>ROUND(ABS(N(G143))*N(H143),2)</f>
        <v/>
      </c>
      <c r="T143" s="21">
        <f>IF(B143="Receipt",ROUND(S143*IFERROR(VLOOKUP(Q143,'Tax Codes'!$A$5:$E$300,5,FALSE),0),2),0)</f>
        <v/>
      </c>
      <c r="U143" s="21">
        <f>IF(B143="Receipt",ROUND(S143*IFERROR(VLOOKUP(R143,'Tax Codes'!$A$5:$E$300,5,FALSE),0),2),0)</f>
        <v/>
      </c>
      <c r="V143" s="16">
        <f>INDEX('Chart of Accounts'!$A$5:$A$3000,MATCH("vat_input",'Chart of Accounts'!$F$5:$F$3000,0))</f>
        <v/>
      </c>
      <c r="W143" s="16">
        <f>INDEX('Chart of Accounts'!$A$5:$A$3000,MATCH("wht_payable",'Chart of Accounts'!$F$5:$F$3000,0))</f>
        <v/>
      </c>
      <c r="X143" s="16">
        <f>IF(M143="",INDEX('Chart of Accounts'!$A$5:$A$3000,MATCH("bank",'Chart of Accounts'!$F$5:$F$3000,0)),M143&amp;"")</f>
        <v/>
      </c>
      <c r="Y143" s="16">
        <f>IF(N143="",INDEX('Chart of Accounts'!$A$5:$A$3000,MATCH("ap",'Chart of Accounts'!$F$5:$F$3000,0)),N143&amp;"")</f>
        <v/>
      </c>
      <c r="Z143" s="16">
        <f>IF(O143="",INDEX('Chart of Accounts'!$A$5:$A$3000,MATCH("materials",'Chart of Accounts'!$F$5:$F$3000,0)),O143&amp;"")</f>
        <v/>
      </c>
      <c r="AA143" s="16">
        <f>IF(IFERROR(INDEX(Warehouses!$C$5:$C$1000,MATCH(C143,Warehouses!$A$5:$A$1000,0))&amp;"","")="",INDEX('Chart of Accounts'!$A$5:$A$3000,MATCH("inventory",'Chart of Accounts'!$F$5:$F$3000,0)),IFERROR(INDEX(Warehouses!$C$5:$C$1000,MATCH(C143,Warehouses!$A$5:$A$1000,0))&amp;"",""))</f>
        <v/>
      </c>
      <c r="AB143" s="16">
        <f>IF(IFERROR(INDEX(Warehouses!$C$5:$C$1000,MATCH(D143,Warehouses!$A$5:$A$1000,0))&amp;"","")="",INDEX('Chart of Accounts'!$A$5:$A$3000,MATCH("inventory",'Chart of Accounts'!$F$5:$F$3000,0)),IFERROR(INDEX(Warehouses!$C$5:$C$1000,MATCH(D143,Warehouses!$A$5:$A$1000,0))&amp;"",""))</f>
        <v/>
      </c>
      <c r="AC143" s="21">
        <f>IF(B143="Receipt",N(K143),0)</f>
        <v/>
      </c>
      <c r="AD143" s="16">
        <f>IF(B143="Receipt",AA143,IF(B143="Issue",Z143,IF(B143="Transfer",AB143,IF(N(G143)&gt;=0,AA143,INDEX('Chart of Accounts'!$A$5:$A$3000,MATCH("stock_adjust",'Chart of Accounts'!$F$5:$F$3000,0))))))</f>
        <v/>
      </c>
      <c r="AE143" s="16">
        <f>IF(B143="Receipt",Y143,IF(B143="Adjustment",IF(N(G143)&gt;=0,INDEX('Chart of Accounts'!$A$5:$A$3000,MATCH("stock_adjust",'Chart of Accounts'!$F$5:$F$3000,0)),AA143),AA143))</f>
        <v/>
      </c>
      <c r="AF143" s="21">
        <f>S143+T143-U143-AC143</f>
        <v/>
      </c>
      <c r="AG143" s="23">
        <f>IFERROR(INDEX('Chart of Accounts'!$C$5:$C$3000,MATCH(AD143&amp;"",'Chart of Accounts'!$A$5:$A$3000,0))&amp;"|"&amp;INDEX('Chart of Accounts'!$D$5:$D$3000,MATCH(AD143&amp;"",'Chart of Accounts'!$A$5:$A$3000,0)),"")</f>
        <v/>
      </c>
      <c r="AH143" s="23">
        <f>IFERROR(INDEX('Chart of Accounts'!$C$5:$C$3000,MATCH(V143&amp;"",'Chart of Accounts'!$A$5:$A$3000,0))&amp;"|"&amp;INDEX('Chart of Accounts'!$D$5:$D$3000,MATCH(V143&amp;"",'Chart of Accounts'!$A$5:$A$3000,0)),"")</f>
        <v/>
      </c>
      <c r="AI143" s="23">
        <f>IFERROR(INDEX('Chart of Accounts'!$C$5:$C$3000,MATCH(AE143&amp;"",'Chart of Accounts'!$A$5:$A$3000,0))&amp;"|"&amp;INDEX('Chart of Accounts'!$D$5:$D$3000,MATCH(AE143&amp;"",'Chart of Accounts'!$A$5:$A$3000,0)),"")</f>
        <v/>
      </c>
      <c r="AJ143" s="23">
        <f>IFERROR(INDEX('Chart of Accounts'!$C$5:$C$3000,MATCH(X143&amp;"",'Chart of Accounts'!$A$5:$A$3000,0))&amp;"|"&amp;INDEX('Chart of Accounts'!$D$5:$D$3000,MATCH(X143&amp;"",'Chart of Accounts'!$A$5:$A$3000,0)),"")</f>
        <v/>
      </c>
      <c r="AK143" s="23">
        <f>IFERROR(INDEX('Chart of Accounts'!$C$5:$C$3000,MATCH(W143&amp;"",'Chart of Accounts'!$A$5:$A$3000,0))&amp;"|"&amp;INDEX('Chart of Accounts'!$D$5:$D$3000,MATCH(W143&amp;"",'Chart of Accounts'!$A$5:$A$3000,0)),"")</f>
        <v/>
      </c>
      <c r="AL143" s="23">
        <f>IF(LEFT(AG143,8)="Revenue|",-N(S143),0)+IF(LEFT(AH143,8)="Revenue|",-N(T143),0)+IF(LEFT(AI143,8)="Revenue|",N(AF143),0)+IF(LEFT(AJ143,8)="Revenue|",N(AC143),0)+IF(LEFT(AK143,8)="Revenue|",N(U143),0)</f>
        <v/>
      </c>
      <c r="AM143" s="23">
        <f>IF(LEFT(AG143,5)="COGS|",N(S143),0)+IF(LEFT(AH143,5)="COGS|",N(T143),0)+IF(LEFT(AI143,5)="COGS|",-N(AF143),0)+IF(LEFT(AJ143,5)="COGS|",-N(AC143),0)+IF(LEFT(AK143,5)="COGS|",-N(U143),0)</f>
        <v/>
      </c>
      <c r="AN143" s="23">
        <f>IF(LEFT(AG143,8)="Expense|",N(S143),0)+IF(LEFT(AH143,8)="Expense|",N(T143),0)+IF(LEFT(AI143,8)="Expense|",-N(AF143),0)+IF(LEFT(AJ143,8)="Expense|",-N(AC143),0)+IF(LEFT(AK143,8)="Expense|",-N(U143),0)</f>
        <v/>
      </c>
      <c r="AO143" s="23">
        <f>IF(ISNUMBER(MATCH(AG143,{"Expense|employee","Expense|general_admin","Expense|marketing","Expense|utilities","Expense|other_operating"},0)),N(S143),0)+IF(ISNUMBER(MATCH(AH143,{"Expense|employee","Expense|general_admin","Expense|marketing","Expense|utilities","Expense|other_operating"},0)),N(T143),0)+IF(ISNUMBER(MATCH(AI143,{"Expense|employee","Expense|general_admin","Expense|marketing","Expense|utilities","Expense|other_operating"},0)),-N(AF143),0)+IF(ISNUMBER(MATCH(AJ143,{"Expense|employee","Expense|general_admin","Expense|marketing","Expense|utilities","Expense|other_operating"},0)),-N(AC143),0)+IF(ISNUMBER(MATCH(AK143,{"Expense|employee","Expense|general_admin","Expense|marketing","Expense|utilities","Expense|other_operating"},0)),-N(U143),0)</f>
        <v/>
      </c>
      <c r="AP143" s="23">
        <f>IF(AG143="Liability|payable",-N(S143),0)+IF(AH143="Liability|payable",-N(T143),0)+IF(AI143="Liability|payable",N(AF143),0)+IF(AJ143="Liability|payable",N(AC143),0)+IF(AK143="Liability|payable",N(U143),0)</f>
        <v/>
      </c>
      <c r="AQ143" s="23">
        <f>IF(AG143="Liability|accrued",-N(S143),0)+IF(AH143="Liability|accrued",-N(T143),0)+IF(AI143="Liability|accrued",N(AF143),0)+IF(AJ143="Liability|accrued",N(AC143),0)+IF(AK143="Liability|accrued",N(U143),0)</f>
        <v/>
      </c>
      <c r="AR143" s="23">
        <f>IF(AND(N(S143)&lt;&gt;0,AG143=""),1,0)+IF(AND(N(T143)&lt;&gt;0,AH143=""),1,0)+IF(AND(N(AF143)&lt;&gt;0,AI143=""),1,0)+IF(AND(N(AC143)&lt;&gt;0,AJ143=""),1,0)+IF(AND(N(U143)&lt;&gt;0,AK143=""),1,0)</f>
        <v/>
      </c>
    </row>
    <row r="144">
      <c r="A144" s="19" t="n"/>
      <c r="B144" s="14" t="n"/>
      <c r="C144" s="14" t="n"/>
      <c r="D144" s="14" t="n"/>
      <c r="E144" s="14" t="n"/>
      <c r="F144" s="14" t="n"/>
      <c r="G144" s="14" t="n"/>
      <c r="H144" s="20" t="n"/>
      <c r="I144" s="14" t="n"/>
      <c r="J144" s="14" t="n"/>
      <c r="K144" s="20" t="n"/>
      <c r="L144" s="14" t="n"/>
      <c r="M144" s="14" t="n"/>
      <c r="N144" s="14" t="n"/>
      <c r="O144" s="14" t="n"/>
      <c r="P144" s="14" t="n"/>
      <c r="Q144" s="14" t="n"/>
      <c r="R144" s="14" t="n"/>
      <c r="S144" s="21">
        <f>ROUND(ABS(N(G144))*N(H144),2)</f>
        <v/>
      </c>
      <c r="T144" s="21">
        <f>IF(B144="Receipt",ROUND(S144*IFERROR(VLOOKUP(Q144,'Tax Codes'!$A$5:$E$300,5,FALSE),0),2),0)</f>
        <v/>
      </c>
      <c r="U144" s="21">
        <f>IF(B144="Receipt",ROUND(S144*IFERROR(VLOOKUP(R144,'Tax Codes'!$A$5:$E$300,5,FALSE),0),2),0)</f>
        <v/>
      </c>
      <c r="V144" s="16">
        <f>INDEX('Chart of Accounts'!$A$5:$A$3000,MATCH("vat_input",'Chart of Accounts'!$F$5:$F$3000,0))</f>
        <v/>
      </c>
      <c r="W144" s="16">
        <f>INDEX('Chart of Accounts'!$A$5:$A$3000,MATCH("wht_payable",'Chart of Accounts'!$F$5:$F$3000,0))</f>
        <v/>
      </c>
      <c r="X144" s="16">
        <f>IF(M144="",INDEX('Chart of Accounts'!$A$5:$A$3000,MATCH("bank",'Chart of Accounts'!$F$5:$F$3000,0)),M144&amp;"")</f>
        <v/>
      </c>
      <c r="Y144" s="16">
        <f>IF(N144="",INDEX('Chart of Accounts'!$A$5:$A$3000,MATCH("ap",'Chart of Accounts'!$F$5:$F$3000,0)),N144&amp;"")</f>
        <v/>
      </c>
      <c r="Z144" s="16">
        <f>IF(O144="",INDEX('Chart of Accounts'!$A$5:$A$3000,MATCH("materials",'Chart of Accounts'!$F$5:$F$3000,0)),O144&amp;"")</f>
        <v/>
      </c>
      <c r="AA144" s="16">
        <f>IF(IFERROR(INDEX(Warehouses!$C$5:$C$1000,MATCH(C144,Warehouses!$A$5:$A$1000,0))&amp;"","")="",INDEX('Chart of Accounts'!$A$5:$A$3000,MATCH("inventory",'Chart of Accounts'!$F$5:$F$3000,0)),IFERROR(INDEX(Warehouses!$C$5:$C$1000,MATCH(C144,Warehouses!$A$5:$A$1000,0))&amp;"",""))</f>
        <v/>
      </c>
      <c r="AB144" s="16">
        <f>IF(IFERROR(INDEX(Warehouses!$C$5:$C$1000,MATCH(D144,Warehouses!$A$5:$A$1000,0))&amp;"","")="",INDEX('Chart of Accounts'!$A$5:$A$3000,MATCH("inventory",'Chart of Accounts'!$F$5:$F$3000,0)),IFERROR(INDEX(Warehouses!$C$5:$C$1000,MATCH(D144,Warehouses!$A$5:$A$1000,0))&amp;"",""))</f>
        <v/>
      </c>
      <c r="AC144" s="21">
        <f>IF(B144="Receipt",N(K144),0)</f>
        <v/>
      </c>
      <c r="AD144" s="16">
        <f>IF(B144="Receipt",AA144,IF(B144="Issue",Z144,IF(B144="Transfer",AB144,IF(N(G144)&gt;=0,AA144,INDEX('Chart of Accounts'!$A$5:$A$3000,MATCH("stock_adjust",'Chart of Accounts'!$F$5:$F$3000,0))))))</f>
        <v/>
      </c>
      <c r="AE144" s="16">
        <f>IF(B144="Receipt",Y144,IF(B144="Adjustment",IF(N(G144)&gt;=0,INDEX('Chart of Accounts'!$A$5:$A$3000,MATCH("stock_adjust",'Chart of Accounts'!$F$5:$F$3000,0)),AA144),AA144))</f>
        <v/>
      </c>
      <c r="AF144" s="21">
        <f>S144+T144-U144-AC144</f>
        <v/>
      </c>
      <c r="AG144" s="23">
        <f>IFERROR(INDEX('Chart of Accounts'!$C$5:$C$3000,MATCH(AD144&amp;"",'Chart of Accounts'!$A$5:$A$3000,0))&amp;"|"&amp;INDEX('Chart of Accounts'!$D$5:$D$3000,MATCH(AD144&amp;"",'Chart of Accounts'!$A$5:$A$3000,0)),"")</f>
        <v/>
      </c>
      <c r="AH144" s="23">
        <f>IFERROR(INDEX('Chart of Accounts'!$C$5:$C$3000,MATCH(V144&amp;"",'Chart of Accounts'!$A$5:$A$3000,0))&amp;"|"&amp;INDEX('Chart of Accounts'!$D$5:$D$3000,MATCH(V144&amp;"",'Chart of Accounts'!$A$5:$A$3000,0)),"")</f>
        <v/>
      </c>
      <c r="AI144" s="23">
        <f>IFERROR(INDEX('Chart of Accounts'!$C$5:$C$3000,MATCH(AE144&amp;"",'Chart of Accounts'!$A$5:$A$3000,0))&amp;"|"&amp;INDEX('Chart of Accounts'!$D$5:$D$3000,MATCH(AE144&amp;"",'Chart of Accounts'!$A$5:$A$3000,0)),"")</f>
        <v/>
      </c>
      <c r="AJ144" s="23">
        <f>IFERROR(INDEX('Chart of Accounts'!$C$5:$C$3000,MATCH(X144&amp;"",'Chart of Accounts'!$A$5:$A$3000,0))&amp;"|"&amp;INDEX('Chart of Accounts'!$D$5:$D$3000,MATCH(X144&amp;"",'Chart of Accounts'!$A$5:$A$3000,0)),"")</f>
        <v/>
      </c>
      <c r="AK144" s="23">
        <f>IFERROR(INDEX('Chart of Accounts'!$C$5:$C$3000,MATCH(W144&amp;"",'Chart of Accounts'!$A$5:$A$3000,0))&amp;"|"&amp;INDEX('Chart of Accounts'!$D$5:$D$3000,MATCH(W144&amp;"",'Chart of Accounts'!$A$5:$A$3000,0)),"")</f>
        <v/>
      </c>
      <c r="AL144" s="23">
        <f>IF(LEFT(AG144,8)="Revenue|",-N(S144),0)+IF(LEFT(AH144,8)="Revenue|",-N(T144),0)+IF(LEFT(AI144,8)="Revenue|",N(AF144),0)+IF(LEFT(AJ144,8)="Revenue|",N(AC144),0)+IF(LEFT(AK144,8)="Revenue|",N(U144),0)</f>
        <v/>
      </c>
      <c r="AM144" s="23">
        <f>IF(LEFT(AG144,5)="COGS|",N(S144),0)+IF(LEFT(AH144,5)="COGS|",N(T144),0)+IF(LEFT(AI144,5)="COGS|",-N(AF144),0)+IF(LEFT(AJ144,5)="COGS|",-N(AC144),0)+IF(LEFT(AK144,5)="COGS|",-N(U144),0)</f>
        <v/>
      </c>
      <c r="AN144" s="23">
        <f>IF(LEFT(AG144,8)="Expense|",N(S144),0)+IF(LEFT(AH144,8)="Expense|",N(T144),0)+IF(LEFT(AI144,8)="Expense|",-N(AF144),0)+IF(LEFT(AJ144,8)="Expense|",-N(AC144),0)+IF(LEFT(AK144,8)="Expense|",-N(U144),0)</f>
        <v/>
      </c>
      <c r="AO144" s="23">
        <f>IF(ISNUMBER(MATCH(AG144,{"Expense|employee","Expense|general_admin","Expense|marketing","Expense|utilities","Expense|other_operating"},0)),N(S144),0)+IF(ISNUMBER(MATCH(AH144,{"Expense|employee","Expense|general_admin","Expense|marketing","Expense|utilities","Expense|other_operating"},0)),N(T144),0)+IF(ISNUMBER(MATCH(AI144,{"Expense|employee","Expense|general_admin","Expense|marketing","Expense|utilities","Expense|other_operating"},0)),-N(AF144),0)+IF(ISNUMBER(MATCH(AJ144,{"Expense|employee","Expense|general_admin","Expense|marketing","Expense|utilities","Expense|other_operating"},0)),-N(AC144),0)+IF(ISNUMBER(MATCH(AK144,{"Expense|employee","Expense|general_admin","Expense|marketing","Expense|utilities","Expense|other_operating"},0)),-N(U144),0)</f>
        <v/>
      </c>
      <c r="AP144" s="23">
        <f>IF(AG144="Liability|payable",-N(S144),0)+IF(AH144="Liability|payable",-N(T144),0)+IF(AI144="Liability|payable",N(AF144),0)+IF(AJ144="Liability|payable",N(AC144),0)+IF(AK144="Liability|payable",N(U144),0)</f>
        <v/>
      </c>
      <c r="AQ144" s="23">
        <f>IF(AG144="Liability|accrued",-N(S144),0)+IF(AH144="Liability|accrued",-N(T144),0)+IF(AI144="Liability|accrued",N(AF144),0)+IF(AJ144="Liability|accrued",N(AC144),0)+IF(AK144="Liability|accrued",N(U144),0)</f>
        <v/>
      </c>
      <c r="AR144" s="23">
        <f>IF(AND(N(S144)&lt;&gt;0,AG144=""),1,0)+IF(AND(N(T144)&lt;&gt;0,AH144=""),1,0)+IF(AND(N(AF144)&lt;&gt;0,AI144=""),1,0)+IF(AND(N(AC144)&lt;&gt;0,AJ144=""),1,0)+IF(AND(N(U144)&lt;&gt;0,AK144=""),1,0)</f>
        <v/>
      </c>
    </row>
    <row r="145">
      <c r="A145" s="19" t="n"/>
      <c r="B145" s="14" t="n"/>
      <c r="C145" s="14" t="n"/>
      <c r="D145" s="14" t="n"/>
      <c r="E145" s="14" t="n"/>
      <c r="F145" s="14" t="n"/>
      <c r="G145" s="14" t="n"/>
      <c r="H145" s="20" t="n"/>
      <c r="I145" s="14" t="n"/>
      <c r="J145" s="14" t="n"/>
      <c r="K145" s="20" t="n"/>
      <c r="L145" s="14" t="n"/>
      <c r="M145" s="14" t="n"/>
      <c r="N145" s="14" t="n"/>
      <c r="O145" s="14" t="n"/>
      <c r="P145" s="14" t="n"/>
      <c r="Q145" s="14" t="n"/>
      <c r="R145" s="14" t="n"/>
      <c r="S145" s="21">
        <f>ROUND(ABS(N(G145))*N(H145),2)</f>
        <v/>
      </c>
      <c r="T145" s="21">
        <f>IF(B145="Receipt",ROUND(S145*IFERROR(VLOOKUP(Q145,'Tax Codes'!$A$5:$E$300,5,FALSE),0),2),0)</f>
        <v/>
      </c>
      <c r="U145" s="21">
        <f>IF(B145="Receipt",ROUND(S145*IFERROR(VLOOKUP(R145,'Tax Codes'!$A$5:$E$300,5,FALSE),0),2),0)</f>
        <v/>
      </c>
      <c r="V145" s="16">
        <f>INDEX('Chart of Accounts'!$A$5:$A$3000,MATCH("vat_input",'Chart of Accounts'!$F$5:$F$3000,0))</f>
        <v/>
      </c>
      <c r="W145" s="16">
        <f>INDEX('Chart of Accounts'!$A$5:$A$3000,MATCH("wht_payable",'Chart of Accounts'!$F$5:$F$3000,0))</f>
        <v/>
      </c>
      <c r="X145" s="16">
        <f>IF(M145="",INDEX('Chart of Accounts'!$A$5:$A$3000,MATCH("bank",'Chart of Accounts'!$F$5:$F$3000,0)),M145&amp;"")</f>
        <v/>
      </c>
      <c r="Y145" s="16">
        <f>IF(N145="",INDEX('Chart of Accounts'!$A$5:$A$3000,MATCH("ap",'Chart of Accounts'!$F$5:$F$3000,0)),N145&amp;"")</f>
        <v/>
      </c>
      <c r="Z145" s="16">
        <f>IF(O145="",INDEX('Chart of Accounts'!$A$5:$A$3000,MATCH("materials",'Chart of Accounts'!$F$5:$F$3000,0)),O145&amp;"")</f>
        <v/>
      </c>
      <c r="AA145" s="16">
        <f>IF(IFERROR(INDEX(Warehouses!$C$5:$C$1000,MATCH(C145,Warehouses!$A$5:$A$1000,0))&amp;"","")="",INDEX('Chart of Accounts'!$A$5:$A$3000,MATCH("inventory",'Chart of Accounts'!$F$5:$F$3000,0)),IFERROR(INDEX(Warehouses!$C$5:$C$1000,MATCH(C145,Warehouses!$A$5:$A$1000,0))&amp;"",""))</f>
        <v/>
      </c>
      <c r="AB145" s="16">
        <f>IF(IFERROR(INDEX(Warehouses!$C$5:$C$1000,MATCH(D145,Warehouses!$A$5:$A$1000,0))&amp;"","")="",INDEX('Chart of Accounts'!$A$5:$A$3000,MATCH("inventory",'Chart of Accounts'!$F$5:$F$3000,0)),IFERROR(INDEX(Warehouses!$C$5:$C$1000,MATCH(D145,Warehouses!$A$5:$A$1000,0))&amp;"",""))</f>
        <v/>
      </c>
      <c r="AC145" s="21">
        <f>IF(B145="Receipt",N(K145),0)</f>
        <v/>
      </c>
      <c r="AD145" s="16">
        <f>IF(B145="Receipt",AA145,IF(B145="Issue",Z145,IF(B145="Transfer",AB145,IF(N(G145)&gt;=0,AA145,INDEX('Chart of Accounts'!$A$5:$A$3000,MATCH("stock_adjust",'Chart of Accounts'!$F$5:$F$3000,0))))))</f>
        <v/>
      </c>
      <c r="AE145" s="16">
        <f>IF(B145="Receipt",Y145,IF(B145="Adjustment",IF(N(G145)&gt;=0,INDEX('Chart of Accounts'!$A$5:$A$3000,MATCH("stock_adjust",'Chart of Accounts'!$F$5:$F$3000,0)),AA145),AA145))</f>
        <v/>
      </c>
      <c r="AF145" s="21">
        <f>S145+T145-U145-AC145</f>
        <v/>
      </c>
      <c r="AG145" s="23">
        <f>IFERROR(INDEX('Chart of Accounts'!$C$5:$C$3000,MATCH(AD145&amp;"",'Chart of Accounts'!$A$5:$A$3000,0))&amp;"|"&amp;INDEX('Chart of Accounts'!$D$5:$D$3000,MATCH(AD145&amp;"",'Chart of Accounts'!$A$5:$A$3000,0)),"")</f>
        <v/>
      </c>
      <c r="AH145" s="23">
        <f>IFERROR(INDEX('Chart of Accounts'!$C$5:$C$3000,MATCH(V145&amp;"",'Chart of Accounts'!$A$5:$A$3000,0))&amp;"|"&amp;INDEX('Chart of Accounts'!$D$5:$D$3000,MATCH(V145&amp;"",'Chart of Accounts'!$A$5:$A$3000,0)),"")</f>
        <v/>
      </c>
      <c r="AI145" s="23">
        <f>IFERROR(INDEX('Chart of Accounts'!$C$5:$C$3000,MATCH(AE145&amp;"",'Chart of Accounts'!$A$5:$A$3000,0))&amp;"|"&amp;INDEX('Chart of Accounts'!$D$5:$D$3000,MATCH(AE145&amp;"",'Chart of Accounts'!$A$5:$A$3000,0)),"")</f>
        <v/>
      </c>
      <c r="AJ145" s="23">
        <f>IFERROR(INDEX('Chart of Accounts'!$C$5:$C$3000,MATCH(X145&amp;"",'Chart of Accounts'!$A$5:$A$3000,0))&amp;"|"&amp;INDEX('Chart of Accounts'!$D$5:$D$3000,MATCH(X145&amp;"",'Chart of Accounts'!$A$5:$A$3000,0)),"")</f>
        <v/>
      </c>
      <c r="AK145" s="23">
        <f>IFERROR(INDEX('Chart of Accounts'!$C$5:$C$3000,MATCH(W145&amp;"",'Chart of Accounts'!$A$5:$A$3000,0))&amp;"|"&amp;INDEX('Chart of Accounts'!$D$5:$D$3000,MATCH(W145&amp;"",'Chart of Accounts'!$A$5:$A$3000,0)),"")</f>
        <v/>
      </c>
      <c r="AL145" s="23">
        <f>IF(LEFT(AG145,8)="Revenue|",-N(S145),0)+IF(LEFT(AH145,8)="Revenue|",-N(T145),0)+IF(LEFT(AI145,8)="Revenue|",N(AF145),0)+IF(LEFT(AJ145,8)="Revenue|",N(AC145),0)+IF(LEFT(AK145,8)="Revenue|",N(U145),0)</f>
        <v/>
      </c>
      <c r="AM145" s="23">
        <f>IF(LEFT(AG145,5)="COGS|",N(S145),0)+IF(LEFT(AH145,5)="COGS|",N(T145),0)+IF(LEFT(AI145,5)="COGS|",-N(AF145),0)+IF(LEFT(AJ145,5)="COGS|",-N(AC145),0)+IF(LEFT(AK145,5)="COGS|",-N(U145),0)</f>
        <v/>
      </c>
      <c r="AN145" s="23">
        <f>IF(LEFT(AG145,8)="Expense|",N(S145),0)+IF(LEFT(AH145,8)="Expense|",N(T145),0)+IF(LEFT(AI145,8)="Expense|",-N(AF145),0)+IF(LEFT(AJ145,8)="Expense|",-N(AC145),0)+IF(LEFT(AK145,8)="Expense|",-N(U145),0)</f>
        <v/>
      </c>
      <c r="AO145" s="23">
        <f>IF(ISNUMBER(MATCH(AG145,{"Expense|employee","Expense|general_admin","Expense|marketing","Expense|utilities","Expense|other_operating"},0)),N(S145),0)+IF(ISNUMBER(MATCH(AH145,{"Expense|employee","Expense|general_admin","Expense|marketing","Expense|utilities","Expense|other_operating"},0)),N(T145),0)+IF(ISNUMBER(MATCH(AI145,{"Expense|employee","Expense|general_admin","Expense|marketing","Expense|utilities","Expense|other_operating"},0)),-N(AF145),0)+IF(ISNUMBER(MATCH(AJ145,{"Expense|employee","Expense|general_admin","Expense|marketing","Expense|utilities","Expense|other_operating"},0)),-N(AC145),0)+IF(ISNUMBER(MATCH(AK145,{"Expense|employee","Expense|general_admin","Expense|marketing","Expense|utilities","Expense|other_operating"},0)),-N(U145),0)</f>
        <v/>
      </c>
      <c r="AP145" s="23">
        <f>IF(AG145="Liability|payable",-N(S145),0)+IF(AH145="Liability|payable",-N(T145),0)+IF(AI145="Liability|payable",N(AF145),0)+IF(AJ145="Liability|payable",N(AC145),0)+IF(AK145="Liability|payable",N(U145),0)</f>
        <v/>
      </c>
      <c r="AQ145" s="23">
        <f>IF(AG145="Liability|accrued",-N(S145),0)+IF(AH145="Liability|accrued",-N(T145),0)+IF(AI145="Liability|accrued",N(AF145),0)+IF(AJ145="Liability|accrued",N(AC145),0)+IF(AK145="Liability|accrued",N(U145),0)</f>
        <v/>
      </c>
      <c r="AR145" s="23">
        <f>IF(AND(N(S145)&lt;&gt;0,AG145=""),1,0)+IF(AND(N(T145)&lt;&gt;0,AH145=""),1,0)+IF(AND(N(AF145)&lt;&gt;0,AI145=""),1,0)+IF(AND(N(AC145)&lt;&gt;0,AJ145=""),1,0)+IF(AND(N(U145)&lt;&gt;0,AK145=""),1,0)</f>
        <v/>
      </c>
    </row>
    <row r="146">
      <c r="A146" s="19" t="n"/>
      <c r="B146" s="14" t="n"/>
      <c r="C146" s="14" t="n"/>
      <c r="D146" s="14" t="n"/>
      <c r="E146" s="14" t="n"/>
      <c r="F146" s="14" t="n"/>
      <c r="G146" s="14" t="n"/>
      <c r="H146" s="20" t="n"/>
      <c r="I146" s="14" t="n"/>
      <c r="J146" s="14" t="n"/>
      <c r="K146" s="20" t="n"/>
      <c r="L146" s="14" t="n"/>
      <c r="M146" s="14" t="n"/>
      <c r="N146" s="14" t="n"/>
      <c r="O146" s="14" t="n"/>
      <c r="P146" s="14" t="n"/>
      <c r="Q146" s="14" t="n"/>
      <c r="R146" s="14" t="n"/>
      <c r="S146" s="21">
        <f>ROUND(ABS(N(G146))*N(H146),2)</f>
        <v/>
      </c>
      <c r="T146" s="21">
        <f>IF(B146="Receipt",ROUND(S146*IFERROR(VLOOKUP(Q146,'Tax Codes'!$A$5:$E$300,5,FALSE),0),2),0)</f>
        <v/>
      </c>
      <c r="U146" s="21">
        <f>IF(B146="Receipt",ROUND(S146*IFERROR(VLOOKUP(R146,'Tax Codes'!$A$5:$E$300,5,FALSE),0),2),0)</f>
        <v/>
      </c>
      <c r="V146" s="16">
        <f>INDEX('Chart of Accounts'!$A$5:$A$3000,MATCH("vat_input",'Chart of Accounts'!$F$5:$F$3000,0))</f>
        <v/>
      </c>
      <c r="W146" s="16">
        <f>INDEX('Chart of Accounts'!$A$5:$A$3000,MATCH("wht_payable",'Chart of Accounts'!$F$5:$F$3000,0))</f>
        <v/>
      </c>
      <c r="X146" s="16">
        <f>IF(M146="",INDEX('Chart of Accounts'!$A$5:$A$3000,MATCH("bank",'Chart of Accounts'!$F$5:$F$3000,0)),M146&amp;"")</f>
        <v/>
      </c>
      <c r="Y146" s="16">
        <f>IF(N146="",INDEX('Chart of Accounts'!$A$5:$A$3000,MATCH("ap",'Chart of Accounts'!$F$5:$F$3000,0)),N146&amp;"")</f>
        <v/>
      </c>
      <c r="Z146" s="16">
        <f>IF(O146="",INDEX('Chart of Accounts'!$A$5:$A$3000,MATCH("materials",'Chart of Accounts'!$F$5:$F$3000,0)),O146&amp;"")</f>
        <v/>
      </c>
      <c r="AA146" s="16">
        <f>IF(IFERROR(INDEX(Warehouses!$C$5:$C$1000,MATCH(C146,Warehouses!$A$5:$A$1000,0))&amp;"","")="",INDEX('Chart of Accounts'!$A$5:$A$3000,MATCH("inventory",'Chart of Accounts'!$F$5:$F$3000,0)),IFERROR(INDEX(Warehouses!$C$5:$C$1000,MATCH(C146,Warehouses!$A$5:$A$1000,0))&amp;"",""))</f>
        <v/>
      </c>
      <c r="AB146" s="16">
        <f>IF(IFERROR(INDEX(Warehouses!$C$5:$C$1000,MATCH(D146,Warehouses!$A$5:$A$1000,0))&amp;"","")="",INDEX('Chart of Accounts'!$A$5:$A$3000,MATCH("inventory",'Chart of Accounts'!$F$5:$F$3000,0)),IFERROR(INDEX(Warehouses!$C$5:$C$1000,MATCH(D146,Warehouses!$A$5:$A$1000,0))&amp;"",""))</f>
        <v/>
      </c>
      <c r="AC146" s="21">
        <f>IF(B146="Receipt",N(K146),0)</f>
        <v/>
      </c>
      <c r="AD146" s="16">
        <f>IF(B146="Receipt",AA146,IF(B146="Issue",Z146,IF(B146="Transfer",AB146,IF(N(G146)&gt;=0,AA146,INDEX('Chart of Accounts'!$A$5:$A$3000,MATCH("stock_adjust",'Chart of Accounts'!$F$5:$F$3000,0))))))</f>
        <v/>
      </c>
      <c r="AE146" s="16">
        <f>IF(B146="Receipt",Y146,IF(B146="Adjustment",IF(N(G146)&gt;=0,INDEX('Chart of Accounts'!$A$5:$A$3000,MATCH("stock_adjust",'Chart of Accounts'!$F$5:$F$3000,0)),AA146),AA146))</f>
        <v/>
      </c>
      <c r="AF146" s="21">
        <f>S146+T146-U146-AC146</f>
        <v/>
      </c>
      <c r="AG146" s="23">
        <f>IFERROR(INDEX('Chart of Accounts'!$C$5:$C$3000,MATCH(AD146&amp;"",'Chart of Accounts'!$A$5:$A$3000,0))&amp;"|"&amp;INDEX('Chart of Accounts'!$D$5:$D$3000,MATCH(AD146&amp;"",'Chart of Accounts'!$A$5:$A$3000,0)),"")</f>
        <v/>
      </c>
      <c r="AH146" s="23">
        <f>IFERROR(INDEX('Chart of Accounts'!$C$5:$C$3000,MATCH(V146&amp;"",'Chart of Accounts'!$A$5:$A$3000,0))&amp;"|"&amp;INDEX('Chart of Accounts'!$D$5:$D$3000,MATCH(V146&amp;"",'Chart of Accounts'!$A$5:$A$3000,0)),"")</f>
        <v/>
      </c>
      <c r="AI146" s="23">
        <f>IFERROR(INDEX('Chart of Accounts'!$C$5:$C$3000,MATCH(AE146&amp;"",'Chart of Accounts'!$A$5:$A$3000,0))&amp;"|"&amp;INDEX('Chart of Accounts'!$D$5:$D$3000,MATCH(AE146&amp;"",'Chart of Accounts'!$A$5:$A$3000,0)),"")</f>
        <v/>
      </c>
      <c r="AJ146" s="23">
        <f>IFERROR(INDEX('Chart of Accounts'!$C$5:$C$3000,MATCH(X146&amp;"",'Chart of Accounts'!$A$5:$A$3000,0))&amp;"|"&amp;INDEX('Chart of Accounts'!$D$5:$D$3000,MATCH(X146&amp;"",'Chart of Accounts'!$A$5:$A$3000,0)),"")</f>
        <v/>
      </c>
      <c r="AK146" s="23">
        <f>IFERROR(INDEX('Chart of Accounts'!$C$5:$C$3000,MATCH(W146&amp;"",'Chart of Accounts'!$A$5:$A$3000,0))&amp;"|"&amp;INDEX('Chart of Accounts'!$D$5:$D$3000,MATCH(W146&amp;"",'Chart of Accounts'!$A$5:$A$3000,0)),"")</f>
        <v/>
      </c>
      <c r="AL146" s="23">
        <f>IF(LEFT(AG146,8)="Revenue|",-N(S146),0)+IF(LEFT(AH146,8)="Revenue|",-N(T146),0)+IF(LEFT(AI146,8)="Revenue|",N(AF146),0)+IF(LEFT(AJ146,8)="Revenue|",N(AC146),0)+IF(LEFT(AK146,8)="Revenue|",N(U146),0)</f>
        <v/>
      </c>
      <c r="AM146" s="23">
        <f>IF(LEFT(AG146,5)="COGS|",N(S146),0)+IF(LEFT(AH146,5)="COGS|",N(T146),0)+IF(LEFT(AI146,5)="COGS|",-N(AF146),0)+IF(LEFT(AJ146,5)="COGS|",-N(AC146),0)+IF(LEFT(AK146,5)="COGS|",-N(U146),0)</f>
        <v/>
      </c>
      <c r="AN146" s="23">
        <f>IF(LEFT(AG146,8)="Expense|",N(S146),0)+IF(LEFT(AH146,8)="Expense|",N(T146),0)+IF(LEFT(AI146,8)="Expense|",-N(AF146),0)+IF(LEFT(AJ146,8)="Expense|",-N(AC146),0)+IF(LEFT(AK146,8)="Expense|",-N(U146),0)</f>
        <v/>
      </c>
      <c r="AO146" s="23">
        <f>IF(ISNUMBER(MATCH(AG146,{"Expense|employee","Expense|general_admin","Expense|marketing","Expense|utilities","Expense|other_operating"},0)),N(S146),0)+IF(ISNUMBER(MATCH(AH146,{"Expense|employee","Expense|general_admin","Expense|marketing","Expense|utilities","Expense|other_operating"},0)),N(T146),0)+IF(ISNUMBER(MATCH(AI146,{"Expense|employee","Expense|general_admin","Expense|marketing","Expense|utilities","Expense|other_operating"},0)),-N(AF146),0)+IF(ISNUMBER(MATCH(AJ146,{"Expense|employee","Expense|general_admin","Expense|marketing","Expense|utilities","Expense|other_operating"},0)),-N(AC146),0)+IF(ISNUMBER(MATCH(AK146,{"Expense|employee","Expense|general_admin","Expense|marketing","Expense|utilities","Expense|other_operating"},0)),-N(U146),0)</f>
        <v/>
      </c>
      <c r="AP146" s="23">
        <f>IF(AG146="Liability|payable",-N(S146),0)+IF(AH146="Liability|payable",-N(T146),0)+IF(AI146="Liability|payable",N(AF146),0)+IF(AJ146="Liability|payable",N(AC146),0)+IF(AK146="Liability|payable",N(U146),0)</f>
        <v/>
      </c>
      <c r="AQ146" s="23">
        <f>IF(AG146="Liability|accrued",-N(S146),0)+IF(AH146="Liability|accrued",-N(T146),0)+IF(AI146="Liability|accrued",N(AF146),0)+IF(AJ146="Liability|accrued",N(AC146),0)+IF(AK146="Liability|accrued",N(U146),0)</f>
        <v/>
      </c>
      <c r="AR146" s="23">
        <f>IF(AND(N(S146)&lt;&gt;0,AG146=""),1,0)+IF(AND(N(T146)&lt;&gt;0,AH146=""),1,0)+IF(AND(N(AF146)&lt;&gt;0,AI146=""),1,0)+IF(AND(N(AC146)&lt;&gt;0,AJ146=""),1,0)+IF(AND(N(U146)&lt;&gt;0,AK146=""),1,0)</f>
        <v/>
      </c>
    </row>
    <row r="147">
      <c r="A147" s="19" t="n"/>
      <c r="B147" s="14" t="n"/>
      <c r="C147" s="14" t="n"/>
      <c r="D147" s="14" t="n"/>
      <c r="E147" s="14" t="n"/>
      <c r="F147" s="14" t="n"/>
      <c r="G147" s="14" t="n"/>
      <c r="H147" s="20" t="n"/>
      <c r="I147" s="14" t="n"/>
      <c r="J147" s="14" t="n"/>
      <c r="K147" s="20" t="n"/>
      <c r="L147" s="14" t="n"/>
      <c r="M147" s="14" t="n"/>
      <c r="N147" s="14" t="n"/>
      <c r="O147" s="14" t="n"/>
      <c r="P147" s="14" t="n"/>
      <c r="Q147" s="14" t="n"/>
      <c r="R147" s="14" t="n"/>
      <c r="S147" s="21">
        <f>ROUND(ABS(N(G147))*N(H147),2)</f>
        <v/>
      </c>
      <c r="T147" s="21">
        <f>IF(B147="Receipt",ROUND(S147*IFERROR(VLOOKUP(Q147,'Tax Codes'!$A$5:$E$300,5,FALSE),0),2),0)</f>
        <v/>
      </c>
      <c r="U147" s="21">
        <f>IF(B147="Receipt",ROUND(S147*IFERROR(VLOOKUP(R147,'Tax Codes'!$A$5:$E$300,5,FALSE),0),2),0)</f>
        <v/>
      </c>
      <c r="V147" s="16">
        <f>INDEX('Chart of Accounts'!$A$5:$A$3000,MATCH("vat_input",'Chart of Accounts'!$F$5:$F$3000,0))</f>
        <v/>
      </c>
      <c r="W147" s="16">
        <f>INDEX('Chart of Accounts'!$A$5:$A$3000,MATCH("wht_payable",'Chart of Accounts'!$F$5:$F$3000,0))</f>
        <v/>
      </c>
      <c r="X147" s="16">
        <f>IF(M147="",INDEX('Chart of Accounts'!$A$5:$A$3000,MATCH("bank",'Chart of Accounts'!$F$5:$F$3000,0)),M147&amp;"")</f>
        <v/>
      </c>
      <c r="Y147" s="16">
        <f>IF(N147="",INDEX('Chart of Accounts'!$A$5:$A$3000,MATCH("ap",'Chart of Accounts'!$F$5:$F$3000,0)),N147&amp;"")</f>
        <v/>
      </c>
      <c r="Z147" s="16">
        <f>IF(O147="",INDEX('Chart of Accounts'!$A$5:$A$3000,MATCH("materials",'Chart of Accounts'!$F$5:$F$3000,0)),O147&amp;"")</f>
        <v/>
      </c>
      <c r="AA147" s="16">
        <f>IF(IFERROR(INDEX(Warehouses!$C$5:$C$1000,MATCH(C147,Warehouses!$A$5:$A$1000,0))&amp;"","")="",INDEX('Chart of Accounts'!$A$5:$A$3000,MATCH("inventory",'Chart of Accounts'!$F$5:$F$3000,0)),IFERROR(INDEX(Warehouses!$C$5:$C$1000,MATCH(C147,Warehouses!$A$5:$A$1000,0))&amp;"",""))</f>
        <v/>
      </c>
      <c r="AB147" s="16">
        <f>IF(IFERROR(INDEX(Warehouses!$C$5:$C$1000,MATCH(D147,Warehouses!$A$5:$A$1000,0))&amp;"","")="",INDEX('Chart of Accounts'!$A$5:$A$3000,MATCH("inventory",'Chart of Accounts'!$F$5:$F$3000,0)),IFERROR(INDEX(Warehouses!$C$5:$C$1000,MATCH(D147,Warehouses!$A$5:$A$1000,0))&amp;"",""))</f>
        <v/>
      </c>
      <c r="AC147" s="21">
        <f>IF(B147="Receipt",N(K147),0)</f>
        <v/>
      </c>
      <c r="AD147" s="16">
        <f>IF(B147="Receipt",AA147,IF(B147="Issue",Z147,IF(B147="Transfer",AB147,IF(N(G147)&gt;=0,AA147,INDEX('Chart of Accounts'!$A$5:$A$3000,MATCH("stock_adjust",'Chart of Accounts'!$F$5:$F$3000,0))))))</f>
        <v/>
      </c>
      <c r="AE147" s="16">
        <f>IF(B147="Receipt",Y147,IF(B147="Adjustment",IF(N(G147)&gt;=0,INDEX('Chart of Accounts'!$A$5:$A$3000,MATCH("stock_adjust",'Chart of Accounts'!$F$5:$F$3000,0)),AA147),AA147))</f>
        <v/>
      </c>
      <c r="AF147" s="21">
        <f>S147+T147-U147-AC147</f>
        <v/>
      </c>
      <c r="AG147" s="23">
        <f>IFERROR(INDEX('Chart of Accounts'!$C$5:$C$3000,MATCH(AD147&amp;"",'Chart of Accounts'!$A$5:$A$3000,0))&amp;"|"&amp;INDEX('Chart of Accounts'!$D$5:$D$3000,MATCH(AD147&amp;"",'Chart of Accounts'!$A$5:$A$3000,0)),"")</f>
        <v/>
      </c>
      <c r="AH147" s="23">
        <f>IFERROR(INDEX('Chart of Accounts'!$C$5:$C$3000,MATCH(V147&amp;"",'Chart of Accounts'!$A$5:$A$3000,0))&amp;"|"&amp;INDEX('Chart of Accounts'!$D$5:$D$3000,MATCH(V147&amp;"",'Chart of Accounts'!$A$5:$A$3000,0)),"")</f>
        <v/>
      </c>
      <c r="AI147" s="23">
        <f>IFERROR(INDEX('Chart of Accounts'!$C$5:$C$3000,MATCH(AE147&amp;"",'Chart of Accounts'!$A$5:$A$3000,0))&amp;"|"&amp;INDEX('Chart of Accounts'!$D$5:$D$3000,MATCH(AE147&amp;"",'Chart of Accounts'!$A$5:$A$3000,0)),"")</f>
        <v/>
      </c>
      <c r="AJ147" s="23">
        <f>IFERROR(INDEX('Chart of Accounts'!$C$5:$C$3000,MATCH(X147&amp;"",'Chart of Accounts'!$A$5:$A$3000,0))&amp;"|"&amp;INDEX('Chart of Accounts'!$D$5:$D$3000,MATCH(X147&amp;"",'Chart of Accounts'!$A$5:$A$3000,0)),"")</f>
        <v/>
      </c>
      <c r="AK147" s="23">
        <f>IFERROR(INDEX('Chart of Accounts'!$C$5:$C$3000,MATCH(W147&amp;"",'Chart of Accounts'!$A$5:$A$3000,0))&amp;"|"&amp;INDEX('Chart of Accounts'!$D$5:$D$3000,MATCH(W147&amp;"",'Chart of Accounts'!$A$5:$A$3000,0)),"")</f>
        <v/>
      </c>
      <c r="AL147" s="23">
        <f>IF(LEFT(AG147,8)="Revenue|",-N(S147),0)+IF(LEFT(AH147,8)="Revenue|",-N(T147),0)+IF(LEFT(AI147,8)="Revenue|",N(AF147),0)+IF(LEFT(AJ147,8)="Revenue|",N(AC147),0)+IF(LEFT(AK147,8)="Revenue|",N(U147),0)</f>
        <v/>
      </c>
      <c r="AM147" s="23">
        <f>IF(LEFT(AG147,5)="COGS|",N(S147),0)+IF(LEFT(AH147,5)="COGS|",N(T147),0)+IF(LEFT(AI147,5)="COGS|",-N(AF147),0)+IF(LEFT(AJ147,5)="COGS|",-N(AC147),0)+IF(LEFT(AK147,5)="COGS|",-N(U147),0)</f>
        <v/>
      </c>
      <c r="AN147" s="23">
        <f>IF(LEFT(AG147,8)="Expense|",N(S147),0)+IF(LEFT(AH147,8)="Expense|",N(T147),0)+IF(LEFT(AI147,8)="Expense|",-N(AF147),0)+IF(LEFT(AJ147,8)="Expense|",-N(AC147),0)+IF(LEFT(AK147,8)="Expense|",-N(U147),0)</f>
        <v/>
      </c>
      <c r="AO147" s="23">
        <f>IF(ISNUMBER(MATCH(AG147,{"Expense|employee","Expense|general_admin","Expense|marketing","Expense|utilities","Expense|other_operating"},0)),N(S147),0)+IF(ISNUMBER(MATCH(AH147,{"Expense|employee","Expense|general_admin","Expense|marketing","Expense|utilities","Expense|other_operating"},0)),N(T147),0)+IF(ISNUMBER(MATCH(AI147,{"Expense|employee","Expense|general_admin","Expense|marketing","Expense|utilities","Expense|other_operating"},0)),-N(AF147),0)+IF(ISNUMBER(MATCH(AJ147,{"Expense|employee","Expense|general_admin","Expense|marketing","Expense|utilities","Expense|other_operating"},0)),-N(AC147),0)+IF(ISNUMBER(MATCH(AK147,{"Expense|employee","Expense|general_admin","Expense|marketing","Expense|utilities","Expense|other_operating"},0)),-N(U147),0)</f>
        <v/>
      </c>
      <c r="AP147" s="23">
        <f>IF(AG147="Liability|payable",-N(S147),0)+IF(AH147="Liability|payable",-N(T147),0)+IF(AI147="Liability|payable",N(AF147),0)+IF(AJ147="Liability|payable",N(AC147),0)+IF(AK147="Liability|payable",N(U147),0)</f>
        <v/>
      </c>
      <c r="AQ147" s="23">
        <f>IF(AG147="Liability|accrued",-N(S147),0)+IF(AH147="Liability|accrued",-N(T147),0)+IF(AI147="Liability|accrued",N(AF147),0)+IF(AJ147="Liability|accrued",N(AC147),0)+IF(AK147="Liability|accrued",N(U147),0)</f>
        <v/>
      </c>
      <c r="AR147" s="23">
        <f>IF(AND(N(S147)&lt;&gt;0,AG147=""),1,0)+IF(AND(N(T147)&lt;&gt;0,AH147=""),1,0)+IF(AND(N(AF147)&lt;&gt;0,AI147=""),1,0)+IF(AND(N(AC147)&lt;&gt;0,AJ147=""),1,0)+IF(AND(N(U147)&lt;&gt;0,AK147=""),1,0)</f>
        <v/>
      </c>
    </row>
    <row r="148">
      <c r="A148" s="19" t="n"/>
      <c r="B148" s="14" t="n"/>
      <c r="C148" s="14" t="n"/>
      <c r="D148" s="14" t="n"/>
      <c r="E148" s="14" t="n"/>
      <c r="F148" s="14" t="n"/>
      <c r="G148" s="14" t="n"/>
      <c r="H148" s="20" t="n"/>
      <c r="I148" s="14" t="n"/>
      <c r="J148" s="14" t="n"/>
      <c r="K148" s="20" t="n"/>
      <c r="L148" s="14" t="n"/>
      <c r="M148" s="14" t="n"/>
      <c r="N148" s="14" t="n"/>
      <c r="O148" s="14" t="n"/>
      <c r="P148" s="14" t="n"/>
      <c r="Q148" s="14" t="n"/>
      <c r="R148" s="14" t="n"/>
      <c r="S148" s="21">
        <f>ROUND(ABS(N(G148))*N(H148),2)</f>
        <v/>
      </c>
      <c r="T148" s="21">
        <f>IF(B148="Receipt",ROUND(S148*IFERROR(VLOOKUP(Q148,'Tax Codes'!$A$5:$E$300,5,FALSE),0),2),0)</f>
        <v/>
      </c>
      <c r="U148" s="21">
        <f>IF(B148="Receipt",ROUND(S148*IFERROR(VLOOKUP(R148,'Tax Codes'!$A$5:$E$300,5,FALSE),0),2),0)</f>
        <v/>
      </c>
      <c r="V148" s="16">
        <f>INDEX('Chart of Accounts'!$A$5:$A$3000,MATCH("vat_input",'Chart of Accounts'!$F$5:$F$3000,0))</f>
        <v/>
      </c>
      <c r="W148" s="16">
        <f>INDEX('Chart of Accounts'!$A$5:$A$3000,MATCH("wht_payable",'Chart of Accounts'!$F$5:$F$3000,0))</f>
        <v/>
      </c>
      <c r="X148" s="16">
        <f>IF(M148="",INDEX('Chart of Accounts'!$A$5:$A$3000,MATCH("bank",'Chart of Accounts'!$F$5:$F$3000,0)),M148&amp;"")</f>
        <v/>
      </c>
      <c r="Y148" s="16">
        <f>IF(N148="",INDEX('Chart of Accounts'!$A$5:$A$3000,MATCH("ap",'Chart of Accounts'!$F$5:$F$3000,0)),N148&amp;"")</f>
        <v/>
      </c>
      <c r="Z148" s="16">
        <f>IF(O148="",INDEX('Chart of Accounts'!$A$5:$A$3000,MATCH("materials",'Chart of Accounts'!$F$5:$F$3000,0)),O148&amp;"")</f>
        <v/>
      </c>
      <c r="AA148" s="16">
        <f>IF(IFERROR(INDEX(Warehouses!$C$5:$C$1000,MATCH(C148,Warehouses!$A$5:$A$1000,0))&amp;"","")="",INDEX('Chart of Accounts'!$A$5:$A$3000,MATCH("inventory",'Chart of Accounts'!$F$5:$F$3000,0)),IFERROR(INDEX(Warehouses!$C$5:$C$1000,MATCH(C148,Warehouses!$A$5:$A$1000,0))&amp;"",""))</f>
        <v/>
      </c>
      <c r="AB148" s="16">
        <f>IF(IFERROR(INDEX(Warehouses!$C$5:$C$1000,MATCH(D148,Warehouses!$A$5:$A$1000,0))&amp;"","")="",INDEX('Chart of Accounts'!$A$5:$A$3000,MATCH("inventory",'Chart of Accounts'!$F$5:$F$3000,0)),IFERROR(INDEX(Warehouses!$C$5:$C$1000,MATCH(D148,Warehouses!$A$5:$A$1000,0))&amp;"",""))</f>
        <v/>
      </c>
      <c r="AC148" s="21">
        <f>IF(B148="Receipt",N(K148),0)</f>
        <v/>
      </c>
      <c r="AD148" s="16">
        <f>IF(B148="Receipt",AA148,IF(B148="Issue",Z148,IF(B148="Transfer",AB148,IF(N(G148)&gt;=0,AA148,INDEX('Chart of Accounts'!$A$5:$A$3000,MATCH("stock_adjust",'Chart of Accounts'!$F$5:$F$3000,0))))))</f>
        <v/>
      </c>
      <c r="AE148" s="16">
        <f>IF(B148="Receipt",Y148,IF(B148="Adjustment",IF(N(G148)&gt;=0,INDEX('Chart of Accounts'!$A$5:$A$3000,MATCH("stock_adjust",'Chart of Accounts'!$F$5:$F$3000,0)),AA148),AA148))</f>
        <v/>
      </c>
      <c r="AF148" s="21">
        <f>S148+T148-U148-AC148</f>
        <v/>
      </c>
      <c r="AG148" s="23">
        <f>IFERROR(INDEX('Chart of Accounts'!$C$5:$C$3000,MATCH(AD148&amp;"",'Chart of Accounts'!$A$5:$A$3000,0))&amp;"|"&amp;INDEX('Chart of Accounts'!$D$5:$D$3000,MATCH(AD148&amp;"",'Chart of Accounts'!$A$5:$A$3000,0)),"")</f>
        <v/>
      </c>
      <c r="AH148" s="23">
        <f>IFERROR(INDEX('Chart of Accounts'!$C$5:$C$3000,MATCH(V148&amp;"",'Chart of Accounts'!$A$5:$A$3000,0))&amp;"|"&amp;INDEX('Chart of Accounts'!$D$5:$D$3000,MATCH(V148&amp;"",'Chart of Accounts'!$A$5:$A$3000,0)),"")</f>
        <v/>
      </c>
      <c r="AI148" s="23">
        <f>IFERROR(INDEX('Chart of Accounts'!$C$5:$C$3000,MATCH(AE148&amp;"",'Chart of Accounts'!$A$5:$A$3000,0))&amp;"|"&amp;INDEX('Chart of Accounts'!$D$5:$D$3000,MATCH(AE148&amp;"",'Chart of Accounts'!$A$5:$A$3000,0)),"")</f>
        <v/>
      </c>
      <c r="AJ148" s="23">
        <f>IFERROR(INDEX('Chart of Accounts'!$C$5:$C$3000,MATCH(X148&amp;"",'Chart of Accounts'!$A$5:$A$3000,0))&amp;"|"&amp;INDEX('Chart of Accounts'!$D$5:$D$3000,MATCH(X148&amp;"",'Chart of Accounts'!$A$5:$A$3000,0)),"")</f>
        <v/>
      </c>
      <c r="AK148" s="23">
        <f>IFERROR(INDEX('Chart of Accounts'!$C$5:$C$3000,MATCH(W148&amp;"",'Chart of Accounts'!$A$5:$A$3000,0))&amp;"|"&amp;INDEX('Chart of Accounts'!$D$5:$D$3000,MATCH(W148&amp;"",'Chart of Accounts'!$A$5:$A$3000,0)),"")</f>
        <v/>
      </c>
      <c r="AL148" s="23">
        <f>IF(LEFT(AG148,8)="Revenue|",-N(S148),0)+IF(LEFT(AH148,8)="Revenue|",-N(T148),0)+IF(LEFT(AI148,8)="Revenue|",N(AF148),0)+IF(LEFT(AJ148,8)="Revenue|",N(AC148),0)+IF(LEFT(AK148,8)="Revenue|",N(U148),0)</f>
        <v/>
      </c>
      <c r="AM148" s="23">
        <f>IF(LEFT(AG148,5)="COGS|",N(S148),0)+IF(LEFT(AH148,5)="COGS|",N(T148),0)+IF(LEFT(AI148,5)="COGS|",-N(AF148),0)+IF(LEFT(AJ148,5)="COGS|",-N(AC148),0)+IF(LEFT(AK148,5)="COGS|",-N(U148),0)</f>
        <v/>
      </c>
      <c r="AN148" s="23">
        <f>IF(LEFT(AG148,8)="Expense|",N(S148),0)+IF(LEFT(AH148,8)="Expense|",N(T148),0)+IF(LEFT(AI148,8)="Expense|",-N(AF148),0)+IF(LEFT(AJ148,8)="Expense|",-N(AC148),0)+IF(LEFT(AK148,8)="Expense|",-N(U148),0)</f>
        <v/>
      </c>
      <c r="AO148" s="23">
        <f>IF(ISNUMBER(MATCH(AG148,{"Expense|employee","Expense|general_admin","Expense|marketing","Expense|utilities","Expense|other_operating"},0)),N(S148),0)+IF(ISNUMBER(MATCH(AH148,{"Expense|employee","Expense|general_admin","Expense|marketing","Expense|utilities","Expense|other_operating"},0)),N(T148),0)+IF(ISNUMBER(MATCH(AI148,{"Expense|employee","Expense|general_admin","Expense|marketing","Expense|utilities","Expense|other_operating"},0)),-N(AF148),0)+IF(ISNUMBER(MATCH(AJ148,{"Expense|employee","Expense|general_admin","Expense|marketing","Expense|utilities","Expense|other_operating"},0)),-N(AC148),0)+IF(ISNUMBER(MATCH(AK148,{"Expense|employee","Expense|general_admin","Expense|marketing","Expense|utilities","Expense|other_operating"},0)),-N(U148),0)</f>
        <v/>
      </c>
      <c r="AP148" s="23">
        <f>IF(AG148="Liability|payable",-N(S148),0)+IF(AH148="Liability|payable",-N(T148),0)+IF(AI148="Liability|payable",N(AF148),0)+IF(AJ148="Liability|payable",N(AC148),0)+IF(AK148="Liability|payable",N(U148),0)</f>
        <v/>
      </c>
      <c r="AQ148" s="23">
        <f>IF(AG148="Liability|accrued",-N(S148),0)+IF(AH148="Liability|accrued",-N(T148),0)+IF(AI148="Liability|accrued",N(AF148),0)+IF(AJ148="Liability|accrued",N(AC148),0)+IF(AK148="Liability|accrued",N(U148),0)</f>
        <v/>
      </c>
      <c r="AR148" s="23">
        <f>IF(AND(N(S148)&lt;&gt;0,AG148=""),1,0)+IF(AND(N(T148)&lt;&gt;0,AH148=""),1,0)+IF(AND(N(AF148)&lt;&gt;0,AI148=""),1,0)+IF(AND(N(AC148)&lt;&gt;0,AJ148=""),1,0)+IF(AND(N(U148)&lt;&gt;0,AK148=""),1,0)</f>
        <v/>
      </c>
    </row>
    <row r="149">
      <c r="A149" s="19" t="n"/>
      <c r="B149" s="14" t="n"/>
      <c r="C149" s="14" t="n"/>
      <c r="D149" s="14" t="n"/>
      <c r="E149" s="14" t="n"/>
      <c r="F149" s="14" t="n"/>
      <c r="G149" s="14" t="n"/>
      <c r="H149" s="20" t="n"/>
      <c r="I149" s="14" t="n"/>
      <c r="J149" s="14" t="n"/>
      <c r="K149" s="20" t="n"/>
      <c r="L149" s="14" t="n"/>
      <c r="M149" s="14" t="n"/>
      <c r="N149" s="14" t="n"/>
      <c r="O149" s="14" t="n"/>
      <c r="P149" s="14" t="n"/>
      <c r="Q149" s="14" t="n"/>
      <c r="R149" s="14" t="n"/>
      <c r="S149" s="21">
        <f>ROUND(ABS(N(G149))*N(H149),2)</f>
        <v/>
      </c>
      <c r="T149" s="21">
        <f>IF(B149="Receipt",ROUND(S149*IFERROR(VLOOKUP(Q149,'Tax Codes'!$A$5:$E$300,5,FALSE),0),2),0)</f>
        <v/>
      </c>
      <c r="U149" s="21">
        <f>IF(B149="Receipt",ROUND(S149*IFERROR(VLOOKUP(R149,'Tax Codes'!$A$5:$E$300,5,FALSE),0),2),0)</f>
        <v/>
      </c>
      <c r="V149" s="16">
        <f>INDEX('Chart of Accounts'!$A$5:$A$3000,MATCH("vat_input",'Chart of Accounts'!$F$5:$F$3000,0))</f>
        <v/>
      </c>
      <c r="W149" s="16">
        <f>INDEX('Chart of Accounts'!$A$5:$A$3000,MATCH("wht_payable",'Chart of Accounts'!$F$5:$F$3000,0))</f>
        <v/>
      </c>
      <c r="X149" s="16">
        <f>IF(M149="",INDEX('Chart of Accounts'!$A$5:$A$3000,MATCH("bank",'Chart of Accounts'!$F$5:$F$3000,0)),M149&amp;"")</f>
        <v/>
      </c>
      <c r="Y149" s="16">
        <f>IF(N149="",INDEX('Chart of Accounts'!$A$5:$A$3000,MATCH("ap",'Chart of Accounts'!$F$5:$F$3000,0)),N149&amp;"")</f>
        <v/>
      </c>
      <c r="Z149" s="16">
        <f>IF(O149="",INDEX('Chart of Accounts'!$A$5:$A$3000,MATCH("materials",'Chart of Accounts'!$F$5:$F$3000,0)),O149&amp;"")</f>
        <v/>
      </c>
      <c r="AA149" s="16">
        <f>IF(IFERROR(INDEX(Warehouses!$C$5:$C$1000,MATCH(C149,Warehouses!$A$5:$A$1000,0))&amp;"","")="",INDEX('Chart of Accounts'!$A$5:$A$3000,MATCH("inventory",'Chart of Accounts'!$F$5:$F$3000,0)),IFERROR(INDEX(Warehouses!$C$5:$C$1000,MATCH(C149,Warehouses!$A$5:$A$1000,0))&amp;"",""))</f>
        <v/>
      </c>
      <c r="AB149" s="16">
        <f>IF(IFERROR(INDEX(Warehouses!$C$5:$C$1000,MATCH(D149,Warehouses!$A$5:$A$1000,0))&amp;"","")="",INDEX('Chart of Accounts'!$A$5:$A$3000,MATCH("inventory",'Chart of Accounts'!$F$5:$F$3000,0)),IFERROR(INDEX(Warehouses!$C$5:$C$1000,MATCH(D149,Warehouses!$A$5:$A$1000,0))&amp;"",""))</f>
        <v/>
      </c>
      <c r="AC149" s="21">
        <f>IF(B149="Receipt",N(K149),0)</f>
        <v/>
      </c>
      <c r="AD149" s="16">
        <f>IF(B149="Receipt",AA149,IF(B149="Issue",Z149,IF(B149="Transfer",AB149,IF(N(G149)&gt;=0,AA149,INDEX('Chart of Accounts'!$A$5:$A$3000,MATCH("stock_adjust",'Chart of Accounts'!$F$5:$F$3000,0))))))</f>
        <v/>
      </c>
      <c r="AE149" s="16">
        <f>IF(B149="Receipt",Y149,IF(B149="Adjustment",IF(N(G149)&gt;=0,INDEX('Chart of Accounts'!$A$5:$A$3000,MATCH("stock_adjust",'Chart of Accounts'!$F$5:$F$3000,0)),AA149),AA149))</f>
        <v/>
      </c>
      <c r="AF149" s="21">
        <f>S149+T149-U149-AC149</f>
        <v/>
      </c>
      <c r="AG149" s="23">
        <f>IFERROR(INDEX('Chart of Accounts'!$C$5:$C$3000,MATCH(AD149&amp;"",'Chart of Accounts'!$A$5:$A$3000,0))&amp;"|"&amp;INDEX('Chart of Accounts'!$D$5:$D$3000,MATCH(AD149&amp;"",'Chart of Accounts'!$A$5:$A$3000,0)),"")</f>
        <v/>
      </c>
      <c r="AH149" s="23">
        <f>IFERROR(INDEX('Chart of Accounts'!$C$5:$C$3000,MATCH(V149&amp;"",'Chart of Accounts'!$A$5:$A$3000,0))&amp;"|"&amp;INDEX('Chart of Accounts'!$D$5:$D$3000,MATCH(V149&amp;"",'Chart of Accounts'!$A$5:$A$3000,0)),"")</f>
        <v/>
      </c>
      <c r="AI149" s="23">
        <f>IFERROR(INDEX('Chart of Accounts'!$C$5:$C$3000,MATCH(AE149&amp;"",'Chart of Accounts'!$A$5:$A$3000,0))&amp;"|"&amp;INDEX('Chart of Accounts'!$D$5:$D$3000,MATCH(AE149&amp;"",'Chart of Accounts'!$A$5:$A$3000,0)),"")</f>
        <v/>
      </c>
      <c r="AJ149" s="23">
        <f>IFERROR(INDEX('Chart of Accounts'!$C$5:$C$3000,MATCH(X149&amp;"",'Chart of Accounts'!$A$5:$A$3000,0))&amp;"|"&amp;INDEX('Chart of Accounts'!$D$5:$D$3000,MATCH(X149&amp;"",'Chart of Accounts'!$A$5:$A$3000,0)),"")</f>
        <v/>
      </c>
      <c r="AK149" s="23">
        <f>IFERROR(INDEX('Chart of Accounts'!$C$5:$C$3000,MATCH(W149&amp;"",'Chart of Accounts'!$A$5:$A$3000,0))&amp;"|"&amp;INDEX('Chart of Accounts'!$D$5:$D$3000,MATCH(W149&amp;"",'Chart of Accounts'!$A$5:$A$3000,0)),"")</f>
        <v/>
      </c>
      <c r="AL149" s="23">
        <f>IF(LEFT(AG149,8)="Revenue|",-N(S149),0)+IF(LEFT(AH149,8)="Revenue|",-N(T149),0)+IF(LEFT(AI149,8)="Revenue|",N(AF149),0)+IF(LEFT(AJ149,8)="Revenue|",N(AC149),0)+IF(LEFT(AK149,8)="Revenue|",N(U149),0)</f>
        <v/>
      </c>
      <c r="AM149" s="23">
        <f>IF(LEFT(AG149,5)="COGS|",N(S149),0)+IF(LEFT(AH149,5)="COGS|",N(T149),0)+IF(LEFT(AI149,5)="COGS|",-N(AF149),0)+IF(LEFT(AJ149,5)="COGS|",-N(AC149),0)+IF(LEFT(AK149,5)="COGS|",-N(U149),0)</f>
        <v/>
      </c>
      <c r="AN149" s="23">
        <f>IF(LEFT(AG149,8)="Expense|",N(S149),0)+IF(LEFT(AH149,8)="Expense|",N(T149),0)+IF(LEFT(AI149,8)="Expense|",-N(AF149),0)+IF(LEFT(AJ149,8)="Expense|",-N(AC149),0)+IF(LEFT(AK149,8)="Expense|",-N(U149),0)</f>
        <v/>
      </c>
      <c r="AO149" s="23">
        <f>IF(ISNUMBER(MATCH(AG149,{"Expense|employee","Expense|general_admin","Expense|marketing","Expense|utilities","Expense|other_operating"},0)),N(S149),0)+IF(ISNUMBER(MATCH(AH149,{"Expense|employee","Expense|general_admin","Expense|marketing","Expense|utilities","Expense|other_operating"},0)),N(T149),0)+IF(ISNUMBER(MATCH(AI149,{"Expense|employee","Expense|general_admin","Expense|marketing","Expense|utilities","Expense|other_operating"},0)),-N(AF149),0)+IF(ISNUMBER(MATCH(AJ149,{"Expense|employee","Expense|general_admin","Expense|marketing","Expense|utilities","Expense|other_operating"},0)),-N(AC149),0)+IF(ISNUMBER(MATCH(AK149,{"Expense|employee","Expense|general_admin","Expense|marketing","Expense|utilities","Expense|other_operating"},0)),-N(U149),0)</f>
        <v/>
      </c>
      <c r="AP149" s="23">
        <f>IF(AG149="Liability|payable",-N(S149),0)+IF(AH149="Liability|payable",-N(T149),0)+IF(AI149="Liability|payable",N(AF149),0)+IF(AJ149="Liability|payable",N(AC149),0)+IF(AK149="Liability|payable",N(U149),0)</f>
        <v/>
      </c>
      <c r="AQ149" s="23">
        <f>IF(AG149="Liability|accrued",-N(S149),0)+IF(AH149="Liability|accrued",-N(T149),0)+IF(AI149="Liability|accrued",N(AF149),0)+IF(AJ149="Liability|accrued",N(AC149),0)+IF(AK149="Liability|accrued",N(U149),0)</f>
        <v/>
      </c>
      <c r="AR149" s="23">
        <f>IF(AND(N(S149)&lt;&gt;0,AG149=""),1,0)+IF(AND(N(T149)&lt;&gt;0,AH149=""),1,0)+IF(AND(N(AF149)&lt;&gt;0,AI149=""),1,0)+IF(AND(N(AC149)&lt;&gt;0,AJ149=""),1,0)+IF(AND(N(U149)&lt;&gt;0,AK149=""),1,0)</f>
        <v/>
      </c>
    </row>
    <row r="150">
      <c r="A150" s="19" t="n"/>
      <c r="B150" s="14" t="n"/>
      <c r="C150" s="14" t="n"/>
      <c r="D150" s="14" t="n"/>
      <c r="E150" s="14" t="n"/>
      <c r="F150" s="14" t="n"/>
      <c r="G150" s="14" t="n"/>
      <c r="H150" s="20" t="n"/>
      <c r="I150" s="14" t="n"/>
      <c r="J150" s="14" t="n"/>
      <c r="K150" s="20" t="n"/>
      <c r="L150" s="14" t="n"/>
      <c r="M150" s="14" t="n"/>
      <c r="N150" s="14" t="n"/>
      <c r="O150" s="14" t="n"/>
      <c r="P150" s="14" t="n"/>
      <c r="Q150" s="14" t="n"/>
      <c r="R150" s="14" t="n"/>
      <c r="S150" s="21">
        <f>ROUND(ABS(N(G150))*N(H150),2)</f>
        <v/>
      </c>
      <c r="T150" s="21">
        <f>IF(B150="Receipt",ROUND(S150*IFERROR(VLOOKUP(Q150,'Tax Codes'!$A$5:$E$300,5,FALSE),0),2),0)</f>
        <v/>
      </c>
      <c r="U150" s="21">
        <f>IF(B150="Receipt",ROUND(S150*IFERROR(VLOOKUP(R150,'Tax Codes'!$A$5:$E$300,5,FALSE),0),2),0)</f>
        <v/>
      </c>
      <c r="V150" s="16">
        <f>INDEX('Chart of Accounts'!$A$5:$A$3000,MATCH("vat_input",'Chart of Accounts'!$F$5:$F$3000,0))</f>
        <v/>
      </c>
      <c r="W150" s="16">
        <f>INDEX('Chart of Accounts'!$A$5:$A$3000,MATCH("wht_payable",'Chart of Accounts'!$F$5:$F$3000,0))</f>
        <v/>
      </c>
      <c r="X150" s="16">
        <f>IF(M150="",INDEX('Chart of Accounts'!$A$5:$A$3000,MATCH("bank",'Chart of Accounts'!$F$5:$F$3000,0)),M150&amp;"")</f>
        <v/>
      </c>
      <c r="Y150" s="16">
        <f>IF(N150="",INDEX('Chart of Accounts'!$A$5:$A$3000,MATCH("ap",'Chart of Accounts'!$F$5:$F$3000,0)),N150&amp;"")</f>
        <v/>
      </c>
      <c r="Z150" s="16">
        <f>IF(O150="",INDEX('Chart of Accounts'!$A$5:$A$3000,MATCH("materials",'Chart of Accounts'!$F$5:$F$3000,0)),O150&amp;"")</f>
        <v/>
      </c>
      <c r="AA150" s="16">
        <f>IF(IFERROR(INDEX(Warehouses!$C$5:$C$1000,MATCH(C150,Warehouses!$A$5:$A$1000,0))&amp;"","")="",INDEX('Chart of Accounts'!$A$5:$A$3000,MATCH("inventory",'Chart of Accounts'!$F$5:$F$3000,0)),IFERROR(INDEX(Warehouses!$C$5:$C$1000,MATCH(C150,Warehouses!$A$5:$A$1000,0))&amp;"",""))</f>
        <v/>
      </c>
      <c r="AB150" s="16">
        <f>IF(IFERROR(INDEX(Warehouses!$C$5:$C$1000,MATCH(D150,Warehouses!$A$5:$A$1000,0))&amp;"","")="",INDEX('Chart of Accounts'!$A$5:$A$3000,MATCH("inventory",'Chart of Accounts'!$F$5:$F$3000,0)),IFERROR(INDEX(Warehouses!$C$5:$C$1000,MATCH(D150,Warehouses!$A$5:$A$1000,0))&amp;"",""))</f>
        <v/>
      </c>
      <c r="AC150" s="21">
        <f>IF(B150="Receipt",N(K150),0)</f>
        <v/>
      </c>
      <c r="AD150" s="16">
        <f>IF(B150="Receipt",AA150,IF(B150="Issue",Z150,IF(B150="Transfer",AB150,IF(N(G150)&gt;=0,AA150,INDEX('Chart of Accounts'!$A$5:$A$3000,MATCH("stock_adjust",'Chart of Accounts'!$F$5:$F$3000,0))))))</f>
        <v/>
      </c>
      <c r="AE150" s="16">
        <f>IF(B150="Receipt",Y150,IF(B150="Adjustment",IF(N(G150)&gt;=0,INDEX('Chart of Accounts'!$A$5:$A$3000,MATCH("stock_adjust",'Chart of Accounts'!$F$5:$F$3000,0)),AA150),AA150))</f>
        <v/>
      </c>
      <c r="AF150" s="21">
        <f>S150+T150-U150-AC150</f>
        <v/>
      </c>
      <c r="AG150" s="23">
        <f>IFERROR(INDEX('Chart of Accounts'!$C$5:$C$3000,MATCH(AD150&amp;"",'Chart of Accounts'!$A$5:$A$3000,0))&amp;"|"&amp;INDEX('Chart of Accounts'!$D$5:$D$3000,MATCH(AD150&amp;"",'Chart of Accounts'!$A$5:$A$3000,0)),"")</f>
        <v/>
      </c>
      <c r="AH150" s="23">
        <f>IFERROR(INDEX('Chart of Accounts'!$C$5:$C$3000,MATCH(V150&amp;"",'Chart of Accounts'!$A$5:$A$3000,0))&amp;"|"&amp;INDEX('Chart of Accounts'!$D$5:$D$3000,MATCH(V150&amp;"",'Chart of Accounts'!$A$5:$A$3000,0)),"")</f>
        <v/>
      </c>
      <c r="AI150" s="23">
        <f>IFERROR(INDEX('Chart of Accounts'!$C$5:$C$3000,MATCH(AE150&amp;"",'Chart of Accounts'!$A$5:$A$3000,0))&amp;"|"&amp;INDEX('Chart of Accounts'!$D$5:$D$3000,MATCH(AE150&amp;"",'Chart of Accounts'!$A$5:$A$3000,0)),"")</f>
        <v/>
      </c>
      <c r="AJ150" s="23">
        <f>IFERROR(INDEX('Chart of Accounts'!$C$5:$C$3000,MATCH(X150&amp;"",'Chart of Accounts'!$A$5:$A$3000,0))&amp;"|"&amp;INDEX('Chart of Accounts'!$D$5:$D$3000,MATCH(X150&amp;"",'Chart of Accounts'!$A$5:$A$3000,0)),"")</f>
        <v/>
      </c>
      <c r="AK150" s="23">
        <f>IFERROR(INDEX('Chart of Accounts'!$C$5:$C$3000,MATCH(W150&amp;"",'Chart of Accounts'!$A$5:$A$3000,0))&amp;"|"&amp;INDEX('Chart of Accounts'!$D$5:$D$3000,MATCH(W150&amp;"",'Chart of Accounts'!$A$5:$A$3000,0)),"")</f>
        <v/>
      </c>
      <c r="AL150" s="23">
        <f>IF(LEFT(AG150,8)="Revenue|",-N(S150),0)+IF(LEFT(AH150,8)="Revenue|",-N(T150),0)+IF(LEFT(AI150,8)="Revenue|",N(AF150),0)+IF(LEFT(AJ150,8)="Revenue|",N(AC150),0)+IF(LEFT(AK150,8)="Revenue|",N(U150),0)</f>
        <v/>
      </c>
      <c r="AM150" s="23">
        <f>IF(LEFT(AG150,5)="COGS|",N(S150),0)+IF(LEFT(AH150,5)="COGS|",N(T150),0)+IF(LEFT(AI150,5)="COGS|",-N(AF150),0)+IF(LEFT(AJ150,5)="COGS|",-N(AC150),0)+IF(LEFT(AK150,5)="COGS|",-N(U150),0)</f>
        <v/>
      </c>
      <c r="AN150" s="23">
        <f>IF(LEFT(AG150,8)="Expense|",N(S150),0)+IF(LEFT(AH150,8)="Expense|",N(T150),0)+IF(LEFT(AI150,8)="Expense|",-N(AF150),0)+IF(LEFT(AJ150,8)="Expense|",-N(AC150),0)+IF(LEFT(AK150,8)="Expense|",-N(U150),0)</f>
        <v/>
      </c>
      <c r="AO150" s="23">
        <f>IF(ISNUMBER(MATCH(AG150,{"Expense|employee","Expense|general_admin","Expense|marketing","Expense|utilities","Expense|other_operating"},0)),N(S150),0)+IF(ISNUMBER(MATCH(AH150,{"Expense|employee","Expense|general_admin","Expense|marketing","Expense|utilities","Expense|other_operating"},0)),N(T150),0)+IF(ISNUMBER(MATCH(AI150,{"Expense|employee","Expense|general_admin","Expense|marketing","Expense|utilities","Expense|other_operating"},0)),-N(AF150),0)+IF(ISNUMBER(MATCH(AJ150,{"Expense|employee","Expense|general_admin","Expense|marketing","Expense|utilities","Expense|other_operating"},0)),-N(AC150),0)+IF(ISNUMBER(MATCH(AK150,{"Expense|employee","Expense|general_admin","Expense|marketing","Expense|utilities","Expense|other_operating"},0)),-N(U150),0)</f>
        <v/>
      </c>
      <c r="AP150" s="23">
        <f>IF(AG150="Liability|payable",-N(S150),0)+IF(AH150="Liability|payable",-N(T150),0)+IF(AI150="Liability|payable",N(AF150),0)+IF(AJ150="Liability|payable",N(AC150),0)+IF(AK150="Liability|payable",N(U150),0)</f>
        <v/>
      </c>
      <c r="AQ150" s="23">
        <f>IF(AG150="Liability|accrued",-N(S150),0)+IF(AH150="Liability|accrued",-N(T150),0)+IF(AI150="Liability|accrued",N(AF150),0)+IF(AJ150="Liability|accrued",N(AC150),0)+IF(AK150="Liability|accrued",N(U150),0)</f>
        <v/>
      </c>
      <c r="AR150" s="23">
        <f>IF(AND(N(S150)&lt;&gt;0,AG150=""),1,0)+IF(AND(N(T150)&lt;&gt;0,AH150=""),1,0)+IF(AND(N(AF150)&lt;&gt;0,AI150=""),1,0)+IF(AND(N(AC150)&lt;&gt;0,AJ150=""),1,0)+IF(AND(N(U150)&lt;&gt;0,AK150=""),1,0)</f>
        <v/>
      </c>
    </row>
    <row r="151">
      <c r="A151" s="19" t="n"/>
      <c r="B151" s="14" t="n"/>
      <c r="C151" s="14" t="n"/>
      <c r="D151" s="14" t="n"/>
      <c r="E151" s="14" t="n"/>
      <c r="F151" s="14" t="n"/>
      <c r="G151" s="14" t="n"/>
      <c r="H151" s="20" t="n"/>
      <c r="I151" s="14" t="n"/>
      <c r="J151" s="14" t="n"/>
      <c r="K151" s="20" t="n"/>
      <c r="L151" s="14" t="n"/>
      <c r="M151" s="14" t="n"/>
      <c r="N151" s="14" t="n"/>
      <c r="O151" s="14" t="n"/>
      <c r="P151" s="14" t="n"/>
      <c r="Q151" s="14" t="n"/>
      <c r="R151" s="14" t="n"/>
      <c r="S151" s="21">
        <f>ROUND(ABS(N(G151))*N(H151),2)</f>
        <v/>
      </c>
      <c r="T151" s="21">
        <f>IF(B151="Receipt",ROUND(S151*IFERROR(VLOOKUP(Q151,'Tax Codes'!$A$5:$E$300,5,FALSE),0),2),0)</f>
        <v/>
      </c>
      <c r="U151" s="21">
        <f>IF(B151="Receipt",ROUND(S151*IFERROR(VLOOKUP(R151,'Tax Codes'!$A$5:$E$300,5,FALSE),0),2),0)</f>
        <v/>
      </c>
      <c r="V151" s="16">
        <f>INDEX('Chart of Accounts'!$A$5:$A$3000,MATCH("vat_input",'Chart of Accounts'!$F$5:$F$3000,0))</f>
        <v/>
      </c>
      <c r="W151" s="16">
        <f>INDEX('Chart of Accounts'!$A$5:$A$3000,MATCH("wht_payable",'Chart of Accounts'!$F$5:$F$3000,0))</f>
        <v/>
      </c>
      <c r="X151" s="16">
        <f>IF(M151="",INDEX('Chart of Accounts'!$A$5:$A$3000,MATCH("bank",'Chart of Accounts'!$F$5:$F$3000,0)),M151&amp;"")</f>
        <v/>
      </c>
      <c r="Y151" s="16">
        <f>IF(N151="",INDEX('Chart of Accounts'!$A$5:$A$3000,MATCH("ap",'Chart of Accounts'!$F$5:$F$3000,0)),N151&amp;"")</f>
        <v/>
      </c>
      <c r="Z151" s="16">
        <f>IF(O151="",INDEX('Chart of Accounts'!$A$5:$A$3000,MATCH("materials",'Chart of Accounts'!$F$5:$F$3000,0)),O151&amp;"")</f>
        <v/>
      </c>
      <c r="AA151" s="16">
        <f>IF(IFERROR(INDEX(Warehouses!$C$5:$C$1000,MATCH(C151,Warehouses!$A$5:$A$1000,0))&amp;"","")="",INDEX('Chart of Accounts'!$A$5:$A$3000,MATCH("inventory",'Chart of Accounts'!$F$5:$F$3000,0)),IFERROR(INDEX(Warehouses!$C$5:$C$1000,MATCH(C151,Warehouses!$A$5:$A$1000,0))&amp;"",""))</f>
        <v/>
      </c>
      <c r="AB151" s="16">
        <f>IF(IFERROR(INDEX(Warehouses!$C$5:$C$1000,MATCH(D151,Warehouses!$A$5:$A$1000,0))&amp;"","")="",INDEX('Chart of Accounts'!$A$5:$A$3000,MATCH("inventory",'Chart of Accounts'!$F$5:$F$3000,0)),IFERROR(INDEX(Warehouses!$C$5:$C$1000,MATCH(D151,Warehouses!$A$5:$A$1000,0))&amp;"",""))</f>
        <v/>
      </c>
      <c r="AC151" s="21">
        <f>IF(B151="Receipt",N(K151),0)</f>
        <v/>
      </c>
      <c r="AD151" s="16">
        <f>IF(B151="Receipt",AA151,IF(B151="Issue",Z151,IF(B151="Transfer",AB151,IF(N(G151)&gt;=0,AA151,INDEX('Chart of Accounts'!$A$5:$A$3000,MATCH("stock_adjust",'Chart of Accounts'!$F$5:$F$3000,0))))))</f>
        <v/>
      </c>
      <c r="AE151" s="16">
        <f>IF(B151="Receipt",Y151,IF(B151="Adjustment",IF(N(G151)&gt;=0,INDEX('Chart of Accounts'!$A$5:$A$3000,MATCH("stock_adjust",'Chart of Accounts'!$F$5:$F$3000,0)),AA151),AA151))</f>
        <v/>
      </c>
      <c r="AF151" s="21">
        <f>S151+T151-U151-AC151</f>
        <v/>
      </c>
      <c r="AG151" s="23">
        <f>IFERROR(INDEX('Chart of Accounts'!$C$5:$C$3000,MATCH(AD151&amp;"",'Chart of Accounts'!$A$5:$A$3000,0))&amp;"|"&amp;INDEX('Chart of Accounts'!$D$5:$D$3000,MATCH(AD151&amp;"",'Chart of Accounts'!$A$5:$A$3000,0)),"")</f>
        <v/>
      </c>
      <c r="AH151" s="23">
        <f>IFERROR(INDEX('Chart of Accounts'!$C$5:$C$3000,MATCH(V151&amp;"",'Chart of Accounts'!$A$5:$A$3000,0))&amp;"|"&amp;INDEX('Chart of Accounts'!$D$5:$D$3000,MATCH(V151&amp;"",'Chart of Accounts'!$A$5:$A$3000,0)),"")</f>
        <v/>
      </c>
      <c r="AI151" s="23">
        <f>IFERROR(INDEX('Chart of Accounts'!$C$5:$C$3000,MATCH(AE151&amp;"",'Chart of Accounts'!$A$5:$A$3000,0))&amp;"|"&amp;INDEX('Chart of Accounts'!$D$5:$D$3000,MATCH(AE151&amp;"",'Chart of Accounts'!$A$5:$A$3000,0)),"")</f>
        <v/>
      </c>
      <c r="AJ151" s="23">
        <f>IFERROR(INDEX('Chart of Accounts'!$C$5:$C$3000,MATCH(X151&amp;"",'Chart of Accounts'!$A$5:$A$3000,0))&amp;"|"&amp;INDEX('Chart of Accounts'!$D$5:$D$3000,MATCH(X151&amp;"",'Chart of Accounts'!$A$5:$A$3000,0)),"")</f>
        <v/>
      </c>
      <c r="AK151" s="23">
        <f>IFERROR(INDEX('Chart of Accounts'!$C$5:$C$3000,MATCH(W151&amp;"",'Chart of Accounts'!$A$5:$A$3000,0))&amp;"|"&amp;INDEX('Chart of Accounts'!$D$5:$D$3000,MATCH(W151&amp;"",'Chart of Accounts'!$A$5:$A$3000,0)),"")</f>
        <v/>
      </c>
      <c r="AL151" s="23">
        <f>IF(LEFT(AG151,8)="Revenue|",-N(S151),0)+IF(LEFT(AH151,8)="Revenue|",-N(T151),0)+IF(LEFT(AI151,8)="Revenue|",N(AF151),0)+IF(LEFT(AJ151,8)="Revenue|",N(AC151),0)+IF(LEFT(AK151,8)="Revenue|",N(U151),0)</f>
        <v/>
      </c>
      <c r="AM151" s="23">
        <f>IF(LEFT(AG151,5)="COGS|",N(S151),0)+IF(LEFT(AH151,5)="COGS|",N(T151),0)+IF(LEFT(AI151,5)="COGS|",-N(AF151),0)+IF(LEFT(AJ151,5)="COGS|",-N(AC151),0)+IF(LEFT(AK151,5)="COGS|",-N(U151),0)</f>
        <v/>
      </c>
      <c r="AN151" s="23">
        <f>IF(LEFT(AG151,8)="Expense|",N(S151),0)+IF(LEFT(AH151,8)="Expense|",N(T151),0)+IF(LEFT(AI151,8)="Expense|",-N(AF151),0)+IF(LEFT(AJ151,8)="Expense|",-N(AC151),0)+IF(LEFT(AK151,8)="Expense|",-N(U151),0)</f>
        <v/>
      </c>
      <c r="AO151" s="23">
        <f>IF(ISNUMBER(MATCH(AG151,{"Expense|employee","Expense|general_admin","Expense|marketing","Expense|utilities","Expense|other_operating"},0)),N(S151),0)+IF(ISNUMBER(MATCH(AH151,{"Expense|employee","Expense|general_admin","Expense|marketing","Expense|utilities","Expense|other_operating"},0)),N(T151),0)+IF(ISNUMBER(MATCH(AI151,{"Expense|employee","Expense|general_admin","Expense|marketing","Expense|utilities","Expense|other_operating"},0)),-N(AF151),0)+IF(ISNUMBER(MATCH(AJ151,{"Expense|employee","Expense|general_admin","Expense|marketing","Expense|utilities","Expense|other_operating"},0)),-N(AC151),0)+IF(ISNUMBER(MATCH(AK151,{"Expense|employee","Expense|general_admin","Expense|marketing","Expense|utilities","Expense|other_operating"},0)),-N(U151),0)</f>
        <v/>
      </c>
      <c r="AP151" s="23">
        <f>IF(AG151="Liability|payable",-N(S151),0)+IF(AH151="Liability|payable",-N(T151),0)+IF(AI151="Liability|payable",N(AF151),0)+IF(AJ151="Liability|payable",N(AC151),0)+IF(AK151="Liability|payable",N(U151),0)</f>
        <v/>
      </c>
      <c r="AQ151" s="23">
        <f>IF(AG151="Liability|accrued",-N(S151),0)+IF(AH151="Liability|accrued",-N(T151),0)+IF(AI151="Liability|accrued",N(AF151),0)+IF(AJ151="Liability|accrued",N(AC151),0)+IF(AK151="Liability|accrued",N(U151),0)</f>
        <v/>
      </c>
      <c r="AR151" s="23">
        <f>IF(AND(N(S151)&lt;&gt;0,AG151=""),1,0)+IF(AND(N(T151)&lt;&gt;0,AH151=""),1,0)+IF(AND(N(AF151)&lt;&gt;0,AI151=""),1,0)+IF(AND(N(AC151)&lt;&gt;0,AJ151=""),1,0)+IF(AND(N(U151)&lt;&gt;0,AK151=""),1,0)</f>
        <v/>
      </c>
    </row>
    <row r="152">
      <c r="A152" s="19" t="n"/>
      <c r="B152" s="14" t="n"/>
      <c r="C152" s="14" t="n"/>
      <c r="D152" s="14" t="n"/>
      <c r="E152" s="14" t="n"/>
      <c r="F152" s="14" t="n"/>
      <c r="G152" s="14" t="n"/>
      <c r="H152" s="20" t="n"/>
      <c r="I152" s="14" t="n"/>
      <c r="J152" s="14" t="n"/>
      <c r="K152" s="20" t="n"/>
      <c r="L152" s="14" t="n"/>
      <c r="M152" s="14" t="n"/>
      <c r="N152" s="14" t="n"/>
      <c r="O152" s="14" t="n"/>
      <c r="P152" s="14" t="n"/>
      <c r="Q152" s="14" t="n"/>
      <c r="R152" s="14" t="n"/>
      <c r="S152" s="21">
        <f>ROUND(ABS(N(G152))*N(H152),2)</f>
        <v/>
      </c>
      <c r="T152" s="21">
        <f>IF(B152="Receipt",ROUND(S152*IFERROR(VLOOKUP(Q152,'Tax Codes'!$A$5:$E$300,5,FALSE),0),2),0)</f>
        <v/>
      </c>
      <c r="U152" s="21">
        <f>IF(B152="Receipt",ROUND(S152*IFERROR(VLOOKUP(R152,'Tax Codes'!$A$5:$E$300,5,FALSE),0),2),0)</f>
        <v/>
      </c>
      <c r="V152" s="16">
        <f>INDEX('Chart of Accounts'!$A$5:$A$3000,MATCH("vat_input",'Chart of Accounts'!$F$5:$F$3000,0))</f>
        <v/>
      </c>
      <c r="W152" s="16">
        <f>INDEX('Chart of Accounts'!$A$5:$A$3000,MATCH("wht_payable",'Chart of Accounts'!$F$5:$F$3000,0))</f>
        <v/>
      </c>
      <c r="X152" s="16">
        <f>IF(M152="",INDEX('Chart of Accounts'!$A$5:$A$3000,MATCH("bank",'Chart of Accounts'!$F$5:$F$3000,0)),M152&amp;"")</f>
        <v/>
      </c>
      <c r="Y152" s="16">
        <f>IF(N152="",INDEX('Chart of Accounts'!$A$5:$A$3000,MATCH("ap",'Chart of Accounts'!$F$5:$F$3000,0)),N152&amp;"")</f>
        <v/>
      </c>
      <c r="Z152" s="16">
        <f>IF(O152="",INDEX('Chart of Accounts'!$A$5:$A$3000,MATCH("materials",'Chart of Accounts'!$F$5:$F$3000,0)),O152&amp;"")</f>
        <v/>
      </c>
      <c r="AA152" s="16">
        <f>IF(IFERROR(INDEX(Warehouses!$C$5:$C$1000,MATCH(C152,Warehouses!$A$5:$A$1000,0))&amp;"","")="",INDEX('Chart of Accounts'!$A$5:$A$3000,MATCH("inventory",'Chart of Accounts'!$F$5:$F$3000,0)),IFERROR(INDEX(Warehouses!$C$5:$C$1000,MATCH(C152,Warehouses!$A$5:$A$1000,0))&amp;"",""))</f>
        <v/>
      </c>
      <c r="AB152" s="16">
        <f>IF(IFERROR(INDEX(Warehouses!$C$5:$C$1000,MATCH(D152,Warehouses!$A$5:$A$1000,0))&amp;"","")="",INDEX('Chart of Accounts'!$A$5:$A$3000,MATCH("inventory",'Chart of Accounts'!$F$5:$F$3000,0)),IFERROR(INDEX(Warehouses!$C$5:$C$1000,MATCH(D152,Warehouses!$A$5:$A$1000,0))&amp;"",""))</f>
        <v/>
      </c>
      <c r="AC152" s="21">
        <f>IF(B152="Receipt",N(K152),0)</f>
        <v/>
      </c>
      <c r="AD152" s="16">
        <f>IF(B152="Receipt",AA152,IF(B152="Issue",Z152,IF(B152="Transfer",AB152,IF(N(G152)&gt;=0,AA152,INDEX('Chart of Accounts'!$A$5:$A$3000,MATCH("stock_adjust",'Chart of Accounts'!$F$5:$F$3000,0))))))</f>
        <v/>
      </c>
      <c r="AE152" s="16">
        <f>IF(B152="Receipt",Y152,IF(B152="Adjustment",IF(N(G152)&gt;=0,INDEX('Chart of Accounts'!$A$5:$A$3000,MATCH("stock_adjust",'Chart of Accounts'!$F$5:$F$3000,0)),AA152),AA152))</f>
        <v/>
      </c>
      <c r="AF152" s="21">
        <f>S152+T152-U152-AC152</f>
        <v/>
      </c>
      <c r="AG152" s="23">
        <f>IFERROR(INDEX('Chart of Accounts'!$C$5:$C$3000,MATCH(AD152&amp;"",'Chart of Accounts'!$A$5:$A$3000,0))&amp;"|"&amp;INDEX('Chart of Accounts'!$D$5:$D$3000,MATCH(AD152&amp;"",'Chart of Accounts'!$A$5:$A$3000,0)),"")</f>
        <v/>
      </c>
      <c r="AH152" s="23">
        <f>IFERROR(INDEX('Chart of Accounts'!$C$5:$C$3000,MATCH(V152&amp;"",'Chart of Accounts'!$A$5:$A$3000,0))&amp;"|"&amp;INDEX('Chart of Accounts'!$D$5:$D$3000,MATCH(V152&amp;"",'Chart of Accounts'!$A$5:$A$3000,0)),"")</f>
        <v/>
      </c>
      <c r="AI152" s="23">
        <f>IFERROR(INDEX('Chart of Accounts'!$C$5:$C$3000,MATCH(AE152&amp;"",'Chart of Accounts'!$A$5:$A$3000,0))&amp;"|"&amp;INDEX('Chart of Accounts'!$D$5:$D$3000,MATCH(AE152&amp;"",'Chart of Accounts'!$A$5:$A$3000,0)),"")</f>
        <v/>
      </c>
      <c r="AJ152" s="23">
        <f>IFERROR(INDEX('Chart of Accounts'!$C$5:$C$3000,MATCH(X152&amp;"",'Chart of Accounts'!$A$5:$A$3000,0))&amp;"|"&amp;INDEX('Chart of Accounts'!$D$5:$D$3000,MATCH(X152&amp;"",'Chart of Accounts'!$A$5:$A$3000,0)),"")</f>
        <v/>
      </c>
      <c r="AK152" s="23">
        <f>IFERROR(INDEX('Chart of Accounts'!$C$5:$C$3000,MATCH(W152&amp;"",'Chart of Accounts'!$A$5:$A$3000,0))&amp;"|"&amp;INDEX('Chart of Accounts'!$D$5:$D$3000,MATCH(W152&amp;"",'Chart of Accounts'!$A$5:$A$3000,0)),"")</f>
        <v/>
      </c>
      <c r="AL152" s="23">
        <f>IF(LEFT(AG152,8)="Revenue|",-N(S152),0)+IF(LEFT(AH152,8)="Revenue|",-N(T152),0)+IF(LEFT(AI152,8)="Revenue|",N(AF152),0)+IF(LEFT(AJ152,8)="Revenue|",N(AC152),0)+IF(LEFT(AK152,8)="Revenue|",N(U152),0)</f>
        <v/>
      </c>
      <c r="AM152" s="23">
        <f>IF(LEFT(AG152,5)="COGS|",N(S152),0)+IF(LEFT(AH152,5)="COGS|",N(T152),0)+IF(LEFT(AI152,5)="COGS|",-N(AF152),0)+IF(LEFT(AJ152,5)="COGS|",-N(AC152),0)+IF(LEFT(AK152,5)="COGS|",-N(U152),0)</f>
        <v/>
      </c>
      <c r="AN152" s="23">
        <f>IF(LEFT(AG152,8)="Expense|",N(S152),0)+IF(LEFT(AH152,8)="Expense|",N(T152),0)+IF(LEFT(AI152,8)="Expense|",-N(AF152),0)+IF(LEFT(AJ152,8)="Expense|",-N(AC152),0)+IF(LEFT(AK152,8)="Expense|",-N(U152),0)</f>
        <v/>
      </c>
      <c r="AO152" s="23">
        <f>IF(ISNUMBER(MATCH(AG152,{"Expense|employee","Expense|general_admin","Expense|marketing","Expense|utilities","Expense|other_operating"},0)),N(S152),0)+IF(ISNUMBER(MATCH(AH152,{"Expense|employee","Expense|general_admin","Expense|marketing","Expense|utilities","Expense|other_operating"},0)),N(T152),0)+IF(ISNUMBER(MATCH(AI152,{"Expense|employee","Expense|general_admin","Expense|marketing","Expense|utilities","Expense|other_operating"},0)),-N(AF152),0)+IF(ISNUMBER(MATCH(AJ152,{"Expense|employee","Expense|general_admin","Expense|marketing","Expense|utilities","Expense|other_operating"},0)),-N(AC152),0)+IF(ISNUMBER(MATCH(AK152,{"Expense|employee","Expense|general_admin","Expense|marketing","Expense|utilities","Expense|other_operating"},0)),-N(U152),0)</f>
        <v/>
      </c>
      <c r="AP152" s="23">
        <f>IF(AG152="Liability|payable",-N(S152),0)+IF(AH152="Liability|payable",-N(T152),0)+IF(AI152="Liability|payable",N(AF152),0)+IF(AJ152="Liability|payable",N(AC152),0)+IF(AK152="Liability|payable",N(U152),0)</f>
        <v/>
      </c>
      <c r="AQ152" s="23">
        <f>IF(AG152="Liability|accrued",-N(S152),0)+IF(AH152="Liability|accrued",-N(T152),0)+IF(AI152="Liability|accrued",N(AF152),0)+IF(AJ152="Liability|accrued",N(AC152),0)+IF(AK152="Liability|accrued",N(U152),0)</f>
        <v/>
      </c>
      <c r="AR152" s="23">
        <f>IF(AND(N(S152)&lt;&gt;0,AG152=""),1,0)+IF(AND(N(T152)&lt;&gt;0,AH152=""),1,0)+IF(AND(N(AF152)&lt;&gt;0,AI152=""),1,0)+IF(AND(N(AC152)&lt;&gt;0,AJ152=""),1,0)+IF(AND(N(U152)&lt;&gt;0,AK152=""),1,0)</f>
        <v/>
      </c>
    </row>
    <row r="153">
      <c r="A153" s="19" t="n"/>
      <c r="B153" s="14" t="n"/>
      <c r="C153" s="14" t="n"/>
      <c r="D153" s="14" t="n"/>
      <c r="E153" s="14" t="n"/>
      <c r="F153" s="14" t="n"/>
      <c r="G153" s="14" t="n"/>
      <c r="H153" s="20" t="n"/>
      <c r="I153" s="14" t="n"/>
      <c r="J153" s="14" t="n"/>
      <c r="K153" s="20" t="n"/>
      <c r="L153" s="14" t="n"/>
      <c r="M153" s="14" t="n"/>
      <c r="N153" s="14" t="n"/>
      <c r="O153" s="14" t="n"/>
      <c r="P153" s="14" t="n"/>
      <c r="Q153" s="14" t="n"/>
      <c r="R153" s="14" t="n"/>
      <c r="S153" s="21">
        <f>ROUND(ABS(N(G153))*N(H153),2)</f>
        <v/>
      </c>
      <c r="T153" s="21">
        <f>IF(B153="Receipt",ROUND(S153*IFERROR(VLOOKUP(Q153,'Tax Codes'!$A$5:$E$300,5,FALSE),0),2),0)</f>
        <v/>
      </c>
      <c r="U153" s="21">
        <f>IF(B153="Receipt",ROUND(S153*IFERROR(VLOOKUP(R153,'Tax Codes'!$A$5:$E$300,5,FALSE),0),2),0)</f>
        <v/>
      </c>
      <c r="V153" s="16">
        <f>INDEX('Chart of Accounts'!$A$5:$A$3000,MATCH("vat_input",'Chart of Accounts'!$F$5:$F$3000,0))</f>
        <v/>
      </c>
      <c r="W153" s="16">
        <f>INDEX('Chart of Accounts'!$A$5:$A$3000,MATCH("wht_payable",'Chart of Accounts'!$F$5:$F$3000,0))</f>
        <v/>
      </c>
      <c r="X153" s="16">
        <f>IF(M153="",INDEX('Chart of Accounts'!$A$5:$A$3000,MATCH("bank",'Chart of Accounts'!$F$5:$F$3000,0)),M153&amp;"")</f>
        <v/>
      </c>
      <c r="Y153" s="16">
        <f>IF(N153="",INDEX('Chart of Accounts'!$A$5:$A$3000,MATCH("ap",'Chart of Accounts'!$F$5:$F$3000,0)),N153&amp;"")</f>
        <v/>
      </c>
      <c r="Z153" s="16">
        <f>IF(O153="",INDEX('Chart of Accounts'!$A$5:$A$3000,MATCH("materials",'Chart of Accounts'!$F$5:$F$3000,0)),O153&amp;"")</f>
        <v/>
      </c>
      <c r="AA153" s="16">
        <f>IF(IFERROR(INDEX(Warehouses!$C$5:$C$1000,MATCH(C153,Warehouses!$A$5:$A$1000,0))&amp;"","")="",INDEX('Chart of Accounts'!$A$5:$A$3000,MATCH("inventory",'Chart of Accounts'!$F$5:$F$3000,0)),IFERROR(INDEX(Warehouses!$C$5:$C$1000,MATCH(C153,Warehouses!$A$5:$A$1000,0))&amp;"",""))</f>
        <v/>
      </c>
      <c r="AB153" s="16">
        <f>IF(IFERROR(INDEX(Warehouses!$C$5:$C$1000,MATCH(D153,Warehouses!$A$5:$A$1000,0))&amp;"","")="",INDEX('Chart of Accounts'!$A$5:$A$3000,MATCH("inventory",'Chart of Accounts'!$F$5:$F$3000,0)),IFERROR(INDEX(Warehouses!$C$5:$C$1000,MATCH(D153,Warehouses!$A$5:$A$1000,0))&amp;"",""))</f>
        <v/>
      </c>
      <c r="AC153" s="21">
        <f>IF(B153="Receipt",N(K153),0)</f>
        <v/>
      </c>
      <c r="AD153" s="16">
        <f>IF(B153="Receipt",AA153,IF(B153="Issue",Z153,IF(B153="Transfer",AB153,IF(N(G153)&gt;=0,AA153,INDEX('Chart of Accounts'!$A$5:$A$3000,MATCH("stock_adjust",'Chart of Accounts'!$F$5:$F$3000,0))))))</f>
        <v/>
      </c>
      <c r="AE153" s="16">
        <f>IF(B153="Receipt",Y153,IF(B153="Adjustment",IF(N(G153)&gt;=0,INDEX('Chart of Accounts'!$A$5:$A$3000,MATCH("stock_adjust",'Chart of Accounts'!$F$5:$F$3000,0)),AA153),AA153))</f>
        <v/>
      </c>
      <c r="AF153" s="21">
        <f>S153+T153-U153-AC153</f>
        <v/>
      </c>
      <c r="AG153" s="23">
        <f>IFERROR(INDEX('Chart of Accounts'!$C$5:$C$3000,MATCH(AD153&amp;"",'Chart of Accounts'!$A$5:$A$3000,0))&amp;"|"&amp;INDEX('Chart of Accounts'!$D$5:$D$3000,MATCH(AD153&amp;"",'Chart of Accounts'!$A$5:$A$3000,0)),"")</f>
        <v/>
      </c>
      <c r="AH153" s="23">
        <f>IFERROR(INDEX('Chart of Accounts'!$C$5:$C$3000,MATCH(V153&amp;"",'Chart of Accounts'!$A$5:$A$3000,0))&amp;"|"&amp;INDEX('Chart of Accounts'!$D$5:$D$3000,MATCH(V153&amp;"",'Chart of Accounts'!$A$5:$A$3000,0)),"")</f>
        <v/>
      </c>
      <c r="AI153" s="23">
        <f>IFERROR(INDEX('Chart of Accounts'!$C$5:$C$3000,MATCH(AE153&amp;"",'Chart of Accounts'!$A$5:$A$3000,0))&amp;"|"&amp;INDEX('Chart of Accounts'!$D$5:$D$3000,MATCH(AE153&amp;"",'Chart of Accounts'!$A$5:$A$3000,0)),"")</f>
        <v/>
      </c>
      <c r="AJ153" s="23">
        <f>IFERROR(INDEX('Chart of Accounts'!$C$5:$C$3000,MATCH(X153&amp;"",'Chart of Accounts'!$A$5:$A$3000,0))&amp;"|"&amp;INDEX('Chart of Accounts'!$D$5:$D$3000,MATCH(X153&amp;"",'Chart of Accounts'!$A$5:$A$3000,0)),"")</f>
        <v/>
      </c>
      <c r="AK153" s="23">
        <f>IFERROR(INDEX('Chart of Accounts'!$C$5:$C$3000,MATCH(W153&amp;"",'Chart of Accounts'!$A$5:$A$3000,0))&amp;"|"&amp;INDEX('Chart of Accounts'!$D$5:$D$3000,MATCH(W153&amp;"",'Chart of Accounts'!$A$5:$A$3000,0)),"")</f>
        <v/>
      </c>
      <c r="AL153" s="23">
        <f>IF(LEFT(AG153,8)="Revenue|",-N(S153),0)+IF(LEFT(AH153,8)="Revenue|",-N(T153),0)+IF(LEFT(AI153,8)="Revenue|",N(AF153),0)+IF(LEFT(AJ153,8)="Revenue|",N(AC153),0)+IF(LEFT(AK153,8)="Revenue|",N(U153),0)</f>
        <v/>
      </c>
      <c r="AM153" s="23">
        <f>IF(LEFT(AG153,5)="COGS|",N(S153),0)+IF(LEFT(AH153,5)="COGS|",N(T153),0)+IF(LEFT(AI153,5)="COGS|",-N(AF153),0)+IF(LEFT(AJ153,5)="COGS|",-N(AC153),0)+IF(LEFT(AK153,5)="COGS|",-N(U153),0)</f>
        <v/>
      </c>
      <c r="AN153" s="23">
        <f>IF(LEFT(AG153,8)="Expense|",N(S153),0)+IF(LEFT(AH153,8)="Expense|",N(T153),0)+IF(LEFT(AI153,8)="Expense|",-N(AF153),0)+IF(LEFT(AJ153,8)="Expense|",-N(AC153),0)+IF(LEFT(AK153,8)="Expense|",-N(U153),0)</f>
        <v/>
      </c>
      <c r="AO153" s="23">
        <f>IF(ISNUMBER(MATCH(AG153,{"Expense|employee","Expense|general_admin","Expense|marketing","Expense|utilities","Expense|other_operating"},0)),N(S153),0)+IF(ISNUMBER(MATCH(AH153,{"Expense|employee","Expense|general_admin","Expense|marketing","Expense|utilities","Expense|other_operating"},0)),N(T153),0)+IF(ISNUMBER(MATCH(AI153,{"Expense|employee","Expense|general_admin","Expense|marketing","Expense|utilities","Expense|other_operating"},0)),-N(AF153),0)+IF(ISNUMBER(MATCH(AJ153,{"Expense|employee","Expense|general_admin","Expense|marketing","Expense|utilities","Expense|other_operating"},0)),-N(AC153),0)+IF(ISNUMBER(MATCH(AK153,{"Expense|employee","Expense|general_admin","Expense|marketing","Expense|utilities","Expense|other_operating"},0)),-N(U153),0)</f>
        <v/>
      </c>
      <c r="AP153" s="23">
        <f>IF(AG153="Liability|payable",-N(S153),0)+IF(AH153="Liability|payable",-N(T153),0)+IF(AI153="Liability|payable",N(AF153),0)+IF(AJ153="Liability|payable",N(AC153),0)+IF(AK153="Liability|payable",N(U153),0)</f>
        <v/>
      </c>
      <c r="AQ153" s="23">
        <f>IF(AG153="Liability|accrued",-N(S153),0)+IF(AH153="Liability|accrued",-N(T153),0)+IF(AI153="Liability|accrued",N(AF153),0)+IF(AJ153="Liability|accrued",N(AC153),0)+IF(AK153="Liability|accrued",N(U153),0)</f>
        <v/>
      </c>
      <c r="AR153" s="23">
        <f>IF(AND(N(S153)&lt;&gt;0,AG153=""),1,0)+IF(AND(N(T153)&lt;&gt;0,AH153=""),1,0)+IF(AND(N(AF153)&lt;&gt;0,AI153=""),1,0)+IF(AND(N(AC153)&lt;&gt;0,AJ153=""),1,0)+IF(AND(N(U153)&lt;&gt;0,AK153=""),1,0)</f>
        <v/>
      </c>
    </row>
    <row r="154">
      <c r="A154" s="19" t="n"/>
      <c r="B154" s="14" t="n"/>
      <c r="C154" s="14" t="n"/>
      <c r="D154" s="14" t="n"/>
      <c r="E154" s="14" t="n"/>
      <c r="F154" s="14" t="n"/>
      <c r="G154" s="14" t="n"/>
      <c r="H154" s="20" t="n"/>
      <c r="I154" s="14" t="n"/>
      <c r="J154" s="14" t="n"/>
      <c r="K154" s="20" t="n"/>
      <c r="L154" s="14" t="n"/>
      <c r="M154" s="14" t="n"/>
      <c r="N154" s="14" t="n"/>
      <c r="O154" s="14" t="n"/>
      <c r="P154" s="14" t="n"/>
      <c r="Q154" s="14" t="n"/>
      <c r="R154" s="14" t="n"/>
      <c r="S154" s="21">
        <f>ROUND(ABS(N(G154))*N(H154),2)</f>
        <v/>
      </c>
      <c r="T154" s="21">
        <f>IF(B154="Receipt",ROUND(S154*IFERROR(VLOOKUP(Q154,'Tax Codes'!$A$5:$E$300,5,FALSE),0),2),0)</f>
        <v/>
      </c>
      <c r="U154" s="21">
        <f>IF(B154="Receipt",ROUND(S154*IFERROR(VLOOKUP(R154,'Tax Codes'!$A$5:$E$300,5,FALSE),0),2),0)</f>
        <v/>
      </c>
      <c r="V154" s="16">
        <f>INDEX('Chart of Accounts'!$A$5:$A$3000,MATCH("vat_input",'Chart of Accounts'!$F$5:$F$3000,0))</f>
        <v/>
      </c>
      <c r="W154" s="16">
        <f>INDEX('Chart of Accounts'!$A$5:$A$3000,MATCH("wht_payable",'Chart of Accounts'!$F$5:$F$3000,0))</f>
        <v/>
      </c>
      <c r="X154" s="16">
        <f>IF(M154="",INDEX('Chart of Accounts'!$A$5:$A$3000,MATCH("bank",'Chart of Accounts'!$F$5:$F$3000,0)),M154&amp;"")</f>
        <v/>
      </c>
      <c r="Y154" s="16">
        <f>IF(N154="",INDEX('Chart of Accounts'!$A$5:$A$3000,MATCH("ap",'Chart of Accounts'!$F$5:$F$3000,0)),N154&amp;"")</f>
        <v/>
      </c>
      <c r="Z154" s="16">
        <f>IF(O154="",INDEX('Chart of Accounts'!$A$5:$A$3000,MATCH("materials",'Chart of Accounts'!$F$5:$F$3000,0)),O154&amp;"")</f>
        <v/>
      </c>
      <c r="AA154" s="16">
        <f>IF(IFERROR(INDEX(Warehouses!$C$5:$C$1000,MATCH(C154,Warehouses!$A$5:$A$1000,0))&amp;"","")="",INDEX('Chart of Accounts'!$A$5:$A$3000,MATCH("inventory",'Chart of Accounts'!$F$5:$F$3000,0)),IFERROR(INDEX(Warehouses!$C$5:$C$1000,MATCH(C154,Warehouses!$A$5:$A$1000,0))&amp;"",""))</f>
        <v/>
      </c>
      <c r="AB154" s="16">
        <f>IF(IFERROR(INDEX(Warehouses!$C$5:$C$1000,MATCH(D154,Warehouses!$A$5:$A$1000,0))&amp;"","")="",INDEX('Chart of Accounts'!$A$5:$A$3000,MATCH("inventory",'Chart of Accounts'!$F$5:$F$3000,0)),IFERROR(INDEX(Warehouses!$C$5:$C$1000,MATCH(D154,Warehouses!$A$5:$A$1000,0))&amp;"",""))</f>
        <v/>
      </c>
      <c r="AC154" s="21">
        <f>IF(B154="Receipt",N(K154),0)</f>
        <v/>
      </c>
      <c r="AD154" s="16">
        <f>IF(B154="Receipt",AA154,IF(B154="Issue",Z154,IF(B154="Transfer",AB154,IF(N(G154)&gt;=0,AA154,INDEX('Chart of Accounts'!$A$5:$A$3000,MATCH("stock_adjust",'Chart of Accounts'!$F$5:$F$3000,0))))))</f>
        <v/>
      </c>
      <c r="AE154" s="16">
        <f>IF(B154="Receipt",Y154,IF(B154="Adjustment",IF(N(G154)&gt;=0,INDEX('Chart of Accounts'!$A$5:$A$3000,MATCH("stock_adjust",'Chart of Accounts'!$F$5:$F$3000,0)),AA154),AA154))</f>
        <v/>
      </c>
      <c r="AF154" s="21">
        <f>S154+T154-U154-AC154</f>
        <v/>
      </c>
      <c r="AG154" s="23">
        <f>IFERROR(INDEX('Chart of Accounts'!$C$5:$C$3000,MATCH(AD154&amp;"",'Chart of Accounts'!$A$5:$A$3000,0))&amp;"|"&amp;INDEX('Chart of Accounts'!$D$5:$D$3000,MATCH(AD154&amp;"",'Chart of Accounts'!$A$5:$A$3000,0)),"")</f>
        <v/>
      </c>
      <c r="AH154" s="23">
        <f>IFERROR(INDEX('Chart of Accounts'!$C$5:$C$3000,MATCH(V154&amp;"",'Chart of Accounts'!$A$5:$A$3000,0))&amp;"|"&amp;INDEX('Chart of Accounts'!$D$5:$D$3000,MATCH(V154&amp;"",'Chart of Accounts'!$A$5:$A$3000,0)),"")</f>
        <v/>
      </c>
      <c r="AI154" s="23">
        <f>IFERROR(INDEX('Chart of Accounts'!$C$5:$C$3000,MATCH(AE154&amp;"",'Chart of Accounts'!$A$5:$A$3000,0))&amp;"|"&amp;INDEX('Chart of Accounts'!$D$5:$D$3000,MATCH(AE154&amp;"",'Chart of Accounts'!$A$5:$A$3000,0)),"")</f>
        <v/>
      </c>
      <c r="AJ154" s="23">
        <f>IFERROR(INDEX('Chart of Accounts'!$C$5:$C$3000,MATCH(X154&amp;"",'Chart of Accounts'!$A$5:$A$3000,0))&amp;"|"&amp;INDEX('Chart of Accounts'!$D$5:$D$3000,MATCH(X154&amp;"",'Chart of Accounts'!$A$5:$A$3000,0)),"")</f>
        <v/>
      </c>
      <c r="AK154" s="23">
        <f>IFERROR(INDEX('Chart of Accounts'!$C$5:$C$3000,MATCH(W154&amp;"",'Chart of Accounts'!$A$5:$A$3000,0))&amp;"|"&amp;INDEX('Chart of Accounts'!$D$5:$D$3000,MATCH(W154&amp;"",'Chart of Accounts'!$A$5:$A$3000,0)),"")</f>
        <v/>
      </c>
      <c r="AL154" s="23">
        <f>IF(LEFT(AG154,8)="Revenue|",-N(S154),0)+IF(LEFT(AH154,8)="Revenue|",-N(T154),0)+IF(LEFT(AI154,8)="Revenue|",N(AF154),0)+IF(LEFT(AJ154,8)="Revenue|",N(AC154),0)+IF(LEFT(AK154,8)="Revenue|",N(U154),0)</f>
        <v/>
      </c>
      <c r="AM154" s="23">
        <f>IF(LEFT(AG154,5)="COGS|",N(S154),0)+IF(LEFT(AH154,5)="COGS|",N(T154),0)+IF(LEFT(AI154,5)="COGS|",-N(AF154),0)+IF(LEFT(AJ154,5)="COGS|",-N(AC154),0)+IF(LEFT(AK154,5)="COGS|",-N(U154),0)</f>
        <v/>
      </c>
      <c r="AN154" s="23">
        <f>IF(LEFT(AG154,8)="Expense|",N(S154),0)+IF(LEFT(AH154,8)="Expense|",N(T154),0)+IF(LEFT(AI154,8)="Expense|",-N(AF154),0)+IF(LEFT(AJ154,8)="Expense|",-N(AC154),0)+IF(LEFT(AK154,8)="Expense|",-N(U154),0)</f>
        <v/>
      </c>
      <c r="AO154" s="23">
        <f>IF(ISNUMBER(MATCH(AG154,{"Expense|employee","Expense|general_admin","Expense|marketing","Expense|utilities","Expense|other_operating"},0)),N(S154),0)+IF(ISNUMBER(MATCH(AH154,{"Expense|employee","Expense|general_admin","Expense|marketing","Expense|utilities","Expense|other_operating"},0)),N(T154),0)+IF(ISNUMBER(MATCH(AI154,{"Expense|employee","Expense|general_admin","Expense|marketing","Expense|utilities","Expense|other_operating"},0)),-N(AF154),0)+IF(ISNUMBER(MATCH(AJ154,{"Expense|employee","Expense|general_admin","Expense|marketing","Expense|utilities","Expense|other_operating"},0)),-N(AC154),0)+IF(ISNUMBER(MATCH(AK154,{"Expense|employee","Expense|general_admin","Expense|marketing","Expense|utilities","Expense|other_operating"},0)),-N(U154),0)</f>
        <v/>
      </c>
      <c r="AP154" s="23">
        <f>IF(AG154="Liability|payable",-N(S154),0)+IF(AH154="Liability|payable",-N(T154),0)+IF(AI154="Liability|payable",N(AF154),0)+IF(AJ154="Liability|payable",N(AC154),0)+IF(AK154="Liability|payable",N(U154),0)</f>
        <v/>
      </c>
      <c r="AQ154" s="23">
        <f>IF(AG154="Liability|accrued",-N(S154),0)+IF(AH154="Liability|accrued",-N(T154),0)+IF(AI154="Liability|accrued",N(AF154),0)+IF(AJ154="Liability|accrued",N(AC154),0)+IF(AK154="Liability|accrued",N(U154),0)</f>
        <v/>
      </c>
      <c r="AR154" s="23">
        <f>IF(AND(N(S154)&lt;&gt;0,AG154=""),1,0)+IF(AND(N(T154)&lt;&gt;0,AH154=""),1,0)+IF(AND(N(AF154)&lt;&gt;0,AI154=""),1,0)+IF(AND(N(AC154)&lt;&gt;0,AJ154=""),1,0)+IF(AND(N(U154)&lt;&gt;0,AK154=""),1,0)</f>
        <v/>
      </c>
    </row>
    <row r="155">
      <c r="A155" s="19" t="n"/>
      <c r="B155" s="14" t="n"/>
      <c r="C155" s="14" t="n"/>
      <c r="D155" s="14" t="n"/>
      <c r="E155" s="14" t="n"/>
      <c r="F155" s="14" t="n"/>
      <c r="G155" s="14" t="n"/>
      <c r="H155" s="20" t="n"/>
      <c r="I155" s="14" t="n"/>
      <c r="J155" s="14" t="n"/>
      <c r="K155" s="20" t="n"/>
      <c r="L155" s="14" t="n"/>
      <c r="M155" s="14" t="n"/>
      <c r="N155" s="14" t="n"/>
      <c r="O155" s="14" t="n"/>
      <c r="P155" s="14" t="n"/>
      <c r="Q155" s="14" t="n"/>
      <c r="R155" s="14" t="n"/>
      <c r="S155" s="21">
        <f>ROUND(ABS(N(G155))*N(H155),2)</f>
        <v/>
      </c>
      <c r="T155" s="21">
        <f>IF(B155="Receipt",ROUND(S155*IFERROR(VLOOKUP(Q155,'Tax Codes'!$A$5:$E$300,5,FALSE),0),2),0)</f>
        <v/>
      </c>
      <c r="U155" s="21">
        <f>IF(B155="Receipt",ROUND(S155*IFERROR(VLOOKUP(R155,'Tax Codes'!$A$5:$E$300,5,FALSE),0),2),0)</f>
        <v/>
      </c>
      <c r="V155" s="16">
        <f>INDEX('Chart of Accounts'!$A$5:$A$3000,MATCH("vat_input",'Chart of Accounts'!$F$5:$F$3000,0))</f>
        <v/>
      </c>
      <c r="W155" s="16">
        <f>INDEX('Chart of Accounts'!$A$5:$A$3000,MATCH("wht_payable",'Chart of Accounts'!$F$5:$F$3000,0))</f>
        <v/>
      </c>
      <c r="X155" s="16">
        <f>IF(M155="",INDEX('Chart of Accounts'!$A$5:$A$3000,MATCH("bank",'Chart of Accounts'!$F$5:$F$3000,0)),M155&amp;"")</f>
        <v/>
      </c>
      <c r="Y155" s="16">
        <f>IF(N155="",INDEX('Chart of Accounts'!$A$5:$A$3000,MATCH("ap",'Chart of Accounts'!$F$5:$F$3000,0)),N155&amp;"")</f>
        <v/>
      </c>
      <c r="Z155" s="16">
        <f>IF(O155="",INDEX('Chart of Accounts'!$A$5:$A$3000,MATCH("materials",'Chart of Accounts'!$F$5:$F$3000,0)),O155&amp;"")</f>
        <v/>
      </c>
      <c r="AA155" s="16">
        <f>IF(IFERROR(INDEX(Warehouses!$C$5:$C$1000,MATCH(C155,Warehouses!$A$5:$A$1000,0))&amp;"","")="",INDEX('Chart of Accounts'!$A$5:$A$3000,MATCH("inventory",'Chart of Accounts'!$F$5:$F$3000,0)),IFERROR(INDEX(Warehouses!$C$5:$C$1000,MATCH(C155,Warehouses!$A$5:$A$1000,0))&amp;"",""))</f>
        <v/>
      </c>
      <c r="AB155" s="16">
        <f>IF(IFERROR(INDEX(Warehouses!$C$5:$C$1000,MATCH(D155,Warehouses!$A$5:$A$1000,0))&amp;"","")="",INDEX('Chart of Accounts'!$A$5:$A$3000,MATCH("inventory",'Chart of Accounts'!$F$5:$F$3000,0)),IFERROR(INDEX(Warehouses!$C$5:$C$1000,MATCH(D155,Warehouses!$A$5:$A$1000,0))&amp;"",""))</f>
        <v/>
      </c>
      <c r="AC155" s="21">
        <f>IF(B155="Receipt",N(K155),0)</f>
        <v/>
      </c>
      <c r="AD155" s="16">
        <f>IF(B155="Receipt",AA155,IF(B155="Issue",Z155,IF(B155="Transfer",AB155,IF(N(G155)&gt;=0,AA155,INDEX('Chart of Accounts'!$A$5:$A$3000,MATCH("stock_adjust",'Chart of Accounts'!$F$5:$F$3000,0))))))</f>
        <v/>
      </c>
      <c r="AE155" s="16">
        <f>IF(B155="Receipt",Y155,IF(B155="Adjustment",IF(N(G155)&gt;=0,INDEX('Chart of Accounts'!$A$5:$A$3000,MATCH("stock_adjust",'Chart of Accounts'!$F$5:$F$3000,0)),AA155),AA155))</f>
        <v/>
      </c>
      <c r="AF155" s="21">
        <f>S155+T155-U155-AC155</f>
        <v/>
      </c>
      <c r="AG155" s="23">
        <f>IFERROR(INDEX('Chart of Accounts'!$C$5:$C$3000,MATCH(AD155&amp;"",'Chart of Accounts'!$A$5:$A$3000,0))&amp;"|"&amp;INDEX('Chart of Accounts'!$D$5:$D$3000,MATCH(AD155&amp;"",'Chart of Accounts'!$A$5:$A$3000,0)),"")</f>
        <v/>
      </c>
      <c r="AH155" s="23">
        <f>IFERROR(INDEX('Chart of Accounts'!$C$5:$C$3000,MATCH(V155&amp;"",'Chart of Accounts'!$A$5:$A$3000,0))&amp;"|"&amp;INDEX('Chart of Accounts'!$D$5:$D$3000,MATCH(V155&amp;"",'Chart of Accounts'!$A$5:$A$3000,0)),"")</f>
        <v/>
      </c>
      <c r="AI155" s="23">
        <f>IFERROR(INDEX('Chart of Accounts'!$C$5:$C$3000,MATCH(AE155&amp;"",'Chart of Accounts'!$A$5:$A$3000,0))&amp;"|"&amp;INDEX('Chart of Accounts'!$D$5:$D$3000,MATCH(AE155&amp;"",'Chart of Accounts'!$A$5:$A$3000,0)),"")</f>
        <v/>
      </c>
      <c r="AJ155" s="23">
        <f>IFERROR(INDEX('Chart of Accounts'!$C$5:$C$3000,MATCH(X155&amp;"",'Chart of Accounts'!$A$5:$A$3000,0))&amp;"|"&amp;INDEX('Chart of Accounts'!$D$5:$D$3000,MATCH(X155&amp;"",'Chart of Accounts'!$A$5:$A$3000,0)),"")</f>
        <v/>
      </c>
      <c r="AK155" s="23">
        <f>IFERROR(INDEX('Chart of Accounts'!$C$5:$C$3000,MATCH(W155&amp;"",'Chart of Accounts'!$A$5:$A$3000,0))&amp;"|"&amp;INDEX('Chart of Accounts'!$D$5:$D$3000,MATCH(W155&amp;"",'Chart of Accounts'!$A$5:$A$3000,0)),"")</f>
        <v/>
      </c>
      <c r="AL155" s="23">
        <f>IF(LEFT(AG155,8)="Revenue|",-N(S155),0)+IF(LEFT(AH155,8)="Revenue|",-N(T155),0)+IF(LEFT(AI155,8)="Revenue|",N(AF155),0)+IF(LEFT(AJ155,8)="Revenue|",N(AC155),0)+IF(LEFT(AK155,8)="Revenue|",N(U155),0)</f>
        <v/>
      </c>
      <c r="AM155" s="23">
        <f>IF(LEFT(AG155,5)="COGS|",N(S155),0)+IF(LEFT(AH155,5)="COGS|",N(T155),0)+IF(LEFT(AI155,5)="COGS|",-N(AF155),0)+IF(LEFT(AJ155,5)="COGS|",-N(AC155),0)+IF(LEFT(AK155,5)="COGS|",-N(U155),0)</f>
        <v/>
      </c>
      <c r="AN155" s="23">
        <f>IF(LEFT(AG155,8)="Expense|",N(S155),0)+IF(LEFT(AH155,8)="Expense|",N(T155),0)+IF(LEFT(AI155,8)="Expense|",-N(AF155),0)+IF(LEFT(AJ155,8)="Expense|",-N(AC155),0)+IF(LEFT(AK155,8)="Expense|",-N(U155),0)</f>
        <v/>
      </c>
      <c r="AO155" s="23">
        <f>IF(ISNUMBER(MATCH(AG155,{"Expense|employee","Expense|general_admin","Expense|marketing","Expense|utilities","Expense|other_operating"},0)),N(S155),0)+IF(ISNUMBER(MATCH(AH155,{"Expense|employee","Expense|general_admin","Expense|marketing","Expense|utilities","Expense|other_operating"},0)),N(T155),0)+IF(ISNUMBER(MATCH(AI155,{"Expense|employee","Expense|general_admin","Expense|marketing","Expense|utilities","Expense|other_operating"},0)),-N(AF155),0)+IF(ISNUMBER(MATCH(AJ155,{"Expense|employee","Expense|general_admin","Expense|marketing","Expense|utilities","Expense|other_operating"},0)),-N(AC155),0)+IF(ISNUMBER(MATCH(AK155,{"Expense|employee","Expense|general_admin","Expense|marketing","Expense|utilities","Expense|other_operating"},0)),-N(U155),0)</f>
        <v/>
      </c>
      <c r="AP155" s="23">
        <f>IF(AG155="Liability|payable",-N(S155),0)+IF(AH155="Liability|payable",-N(T155),0)+IF(AI155="Liability|payable",N(AF155),0)+IF(AJ155="Liability|payable",N(AC155),0)+IF(AK155="Liability|payable",N(U155),0)</f>
        <v/>
      </c>
      <c r="AQ155" s="23">
        <f>IF(AG155="Liability|accrued",-N(S155),0)+IF(AH155="Liability|accrued",-N(T155),0)+IF(AI155="Liability|accrued",N(AF155),0)+IF(AJ155="Liability|accrued",N(AC155),0)+IF(AK155="Liability|accrued",N(U155),0)</f>
        <v/>
      </c>
      <c r="AR155" s="23">
        <f>IF(AND(N(S155)&lt;&gt;0,AG155=""),1,0)+IF(AND(N(T155)&lt;&gt;0,AH155=""),1,0)+IF(AND(N(AF155)&lt;&gt;0,AI155=""),1,0)+IF(AND(N(AC155)&lt;&gt;0,AJ155=""),1,0)+IF(AND(N(U155)&lt;&gt;0,AK155=""),1,0)</f>
        <v/>
      </c>
    </row>
    <row r="156">
      <c r="A156" s="19" t="n"/>
      <c r="B156" s="14" t="n"/>
      <c r="C156" s="14" t="n"/>
      <c r="D156" s="14" t="n"/>
      <c r="E156" s="14" t="n"/>
      <c r="F156" s="14" t="n"/>
      <c r="G156" s="14" t="n"/>
      <c r="H156" s="20" t="n"/>
      <c r="I156" s="14" t="n"/>
      <c r="J156" s="14" t="n"/>
      <c r="K156" s="20" t="n"/>
      <c r="L156" s="14" t="n"/>
      <c r="M156" s="14" t="n"/>
      <c r="N156" s="14" t="n"/>
      <c r="O156" s="14" t="n"/>
      <c r="P156" s="14" t="n"/>
      <c r="Q156" s="14" t="n"/>
      <c r="R156" s="14" t="n"/>
      <c r="S156" s="21">
        <f>ROUND(ABS(N(G156))*N(H156),2)</f>
        <v/>
      </c>
      <c r="T156" s="21">
        <f>IF(B156="Receipt",ROUND(S156*IFERROR(VLOOKUP(Q156,'Tax Codes'!$A$5:$E$300,5,FALSE),0),2),0)</f>
        <v/>
      </c>
      <c r="U156" s="21">
        <f>IF(B156="Receipt",ROUND(S156*IFERROR(VLOOKUP(R156,'Tax Codes'!$A$5:$E$300,5,FALSE),0),2),0)</f>
        <v/>
      </c>
      <c r="V156" s="16">
        <f>INDEX('Chart of Accounts'!$A$5:$A$3000,MATCH("vat_input",'Chart of Accounts'!$F$5:$F$3000,0))</f>
        <v/>
      </c>
      <c r="W156" s="16">
        <f>INDEX('Chart of Accounts'!$A$5:$A$3000,MATCH("wht_payable",'Chart of Accounts'!$F$5:$F$3000,0))</f>
        <v/>
      </c>
      <c r="X156" s="16">
        <f>IF(M156="",INDEX('Chart of Accounts'!$A$5:$A$3000,MATCH("bank",'Chart of Accounts'!$F$5:$F$3000,0)),M156&amp;"")</f>
        <v/>
      </c>
      <c r="Y156" s="16">
        <f>IF(N156="",INDEX('Chart of Accounts'!$A$5:$A$3000,MATCH("ap",'Chart of Accounts'!$F$5:$F$3000,0)),N156&amp;"")</f>
        <v/>
      </c>
      <c r="Z156" s="16">
        <f>IF(O156="",INDEX('Chart of Accounts'!$A$5:$A$3000,MATCH("materials",'Chart of Accounts'!$F$5:$F$3000,0)),O156&amp;"")</f>
        <v/>
      </c>
      <c r="AA156" s="16">
        <f>IF(IFERROR(INDEX(Warehouses!$C$5:$C$1000,MATCH(C156,Warehouses!$A$5:$A$1000,0))&amp;"","")="",INDEX('Chart of Accounts'!$A$5:$A$3000,MATCH("inventory",'Chart of Accounts'!$F$5:$F$3000,0)),IFERROR(INDEX(Warehouses!$C$5:$C$1000,MATCH(C156,Warehouses!$A$5:$A$1000,0))&amp;"",""))</f>
        <v/>
      </c>
      <c r="AB156" s="16">
        <f>IF(IFERROR(INDEX(Warehouses!$C$5:$C$1000,MATCH(D156,Warehouses!$A$5:$A$1000,0))&amp;"","")="",INDEX('Chart of Accounts'!$A$5:$A$3000,MATCH("inventory",'Chart of Accounts'!$F$5:$F$3000,0)),IFERROR(INDEX(Warehouses!$C$5:$C$1000,MATCH(D156,Warehouses!$A$5:$A$1000,0))&amp;"",""))</f>
        <v/>
      </c>
      <c r="AC156" s="21">
        <f>IF(B156="Receipt",N(K156),0)</f>
        <v/>
      </c>
      <c r="AD156" s="16">
        <f>IF(B156="Receipt",AA156,IF(B156="Issue",Z156,IF(B156="Transfer",AB156,IF(N(G156)&gt;=0,AA156,INDEX('Chart of Accounts'!$A$5:$A$3000,MATCH("stock_adjust",'Chart of Accounts'!$F$5:$F$3000,0))))))</f>
        <v/>
      </c>
      <c r="AE156" s="16">
        <f>IF(B156="Receipt",Y156,IF(B156="Adjustment",IF(N(G156)&gt;=0,INDEX('Chart of Accounts'!$A$5:$A$3000,MATCH("stock_adjust",'Chart of Accounts'!$F$5:$F$3000,0)),AA156),AA156))</f>
        <v/>
      </c>
      <c r="AF156" s="21">
        <f>S156+T156-U156-AC156</f>
        <v/>
      </c>
      <c r="AG156" s="23">
        <f>IFERROR(INDEX('Chart of Accounts'!$C$5:$C$3000,MATCH(AD156&amp;"",'Chart of Accounts'!$A$5:$A$3000,0))&amp;"|"&amp;INDEX('Chart of Accounts'!$D$5:$D$3000,MATCH(AD156&amp;"",'Chart of Accounts'!$A$5:$A$3000,0)),"")</f>
        <v/>
      </c>
      <c r="AH156" s="23">
        <f>IFERROR(INDEX('Chart of Accounts'!$C$5:$C$3000,MATCH(V156&amp;"",'Chart of Accounts'!$A$5:$A$3000,0))&amp;"|"&amp;INDEX('Chart of Accounts'!$D$5:$D$3000,MATCH(V156&amp;"",'Chart of Accounts'!$A$5:$A$3000,0)),"")</f>
        <v/>
      </c>
      <c r="AI156" s="23">
        <f>IFERROR(INDEX('Chart of Accounts'!$C$5:$C$3000,MATCH(AE156&amp;"",'Chart of Accounts'!$A$5:$A$3000,0))&amp;"|"&amp;INDEX('Chart of Accounts'!$D$5:$D$3000,MATCH(AE156&amp;"",'Chart of Accounts'!$A$5:$A$3000,0)),"")</f>
        <v/>
      </c>
      <c r="AJ156" s="23">
        <f>IFERROR(INDEX('Chart of Accounts'!$C$5:$C$3000,MATCH(X156&amp;"",'Chart of Accounts'!$A$5:$A$3000,0))&amp;"|"&amp;INDEX('Chart of Accounts'!$D$5:$D$3000,MATCH(X156&amp;"",'Chart of Accounts'!$A$5:$A$3000,0)),"")</f>
        <v/>
      </c>
      <c r="AK156" s="23">
        <f>IFERROR(INDEX('Chart of Accounts'!$C$5:$C$3000,MATCH(W156&amp;"",'Chart of Accounts'!$A$5:$A$3000,0))&amp;"|"&amp;INDEX('Chart of Accounts'!$D$5:$D$3000,MATCH(W156&amp;"",'Chart of Accounts'!$A$5:$A$3000,0)),"")</f>
        <v/>
      </c>
      <c r="AL156" s="23">
        <f>IF(LEFT(AG156,8)="Revenue|",-N(S156),0)+IF(LEFT(AH156,8)="Revenue|",-N(T156),0)+IF(LEFT(AI156,8)="Revenue|",N(AF156),0)+IF(LEFT(AJ156,8)="Revenue|",N(AC156),0)+IF(LEFT(AK156,8)="Revenue|",N(U156),0)</f>
        <v/>
      </c>
      <c r="AM156" s="23">
        <f>IF(LEFT(AG156,5)="COGS|",N(S156),0)+IF(LEFT(AH156,5)="COGS|",N(T156),0)+IF(LEFT(AI156,5)="COGS|",-N(AF156),0)+IF(LEFT(AJ156,5)="COGS|",-N(AC156),0)+IF(LEFT(AK156,5)="COGS|",-N(U156),0)</f>
        <v/>
      </c>
      <c r="AN156" s="23">
        <f>IF(LEFT(AG156,8)="Expense|",N(S156),0)+IF(LEFT(AH156,8)="Expense|",N(T156),0)+IF(LEFT(AI156,8)="Expense|",-N(AF156),0)+IF(LEFT(AJ156,8)="Expense|",-N(AC156),0)+IF(LEFT(AK156,8)="Expense|",-N(U156),0)</f>
        <v/>
      </c>
      <c r="AO156" s="23">
        <f>IF(ISNUMBER(MATCH(AG156,{"Expense|employee","Expense|general_admin","Expense|marketing","Expense|utilities","Expense|other_operating"},0)),N(S156),0)+IF(ISNUMBER(MATCH(AH156,{"Expense|employee","Expense|general_admin","Expense|marketing","Expense|utilities","Expense|other_operating"},0)),N(T156),0)+IF(ISNUMBER(MATCH(AI156,{"Expense|employee","Expense|general_admin","Expense|marketing","Expense|utilities","Expense|other_operating"},0)),-N(AF156),0)+IF(ISNUMBER(MATCH(AJ156,{"Expense|employee","Expense|general_admin","Expense|marketing","Expense|utilities","Expense|other_operating"},0)),-N(AC156),0)+IF(ISNUMBER(MATCH(AK156,{"Expense|employee","Expense|general_admin","Expense|marketing","Expense|utilities","Expense|other_operating"},0)),-N(U156),0)</f>
        <v/>
      </c>
      <c r="AP156" s="23">
        <f>IF(AG156="Liability|payable",-N(S156),0)+IF(AH156="Liability|payable",-N(T156),0)+IF(AI156="Liability|payable",N(AF156),0)+IF(AJ156="Liability|payable",N(AC156),0)+IF(AK156="Liability|payable",N(U156),0)</f>
        <v/>
      </c>
      <c r="AQ156" s="23">
        <f>IF(AG156="Liability|accrued",-N(S156),0)+IF(AH156="Liability|accrued",-N(T156),0)+IF(AI156="Liability|accrued",N(AF156),0)+IF(AJ156="Liability|accrued",N(AC156),0)+IF(AK156="Liability|accrued",N(U156),0)</f>
        <v/>
      </c>
      <c r="AR156" s="23">
        <f>IF(AND(N(S156)&lt;&gt;0,AG156=""),1,0)+IF(AND(N(T156)&lt;&gt;0,AH156=""),1,0)+IF(AND(N(AF156)&lt;&gt;0,AI156=""),1,0)+IF(AND(N(AC156)&lt;&gt;0,AJ156=""),1,0)+IF(AND(N(U156)&lt;&gt;0,AK156=""),1,0)</f>
        <v/>
      </c>
    </row>
    <row r="157">
      <c r="A157" s="19" t="n"/>
      <c r="B157" s="14" t="n"/>
      <c r="C157" s="14" t="n"/>
      <c r="D157" s="14" t="n"/>
      <c r="E157" s="14" t="n"/>
      <c r="F157" s="14" t="n"/>
      <c r="G157" s="14" t="n"/>
      <c r="H157" s="20" t="n"/>
      <c r="I157" s="14" t="n"/>
      <c r="J157" s="14" t="n"/>
      <c r="K157" s="20" t="n"/>
      <c r="L157" s="14" t="n"/>
      <c r="M157" s="14" t="n"/>
      <c r="N157" s="14" t="n"/>
      <c r="O157" s="14" t="n"/>
      <c r="P157" s="14" t="n"/>
      <c r="Q157" s="14" t="n"/>
      <c r="R157" s="14" t="n"/>
      <c r="S157" s="21">
        <f>ROUND(ABS(N(G157))*N(H157),2)</f>
        <v/>
      </c>
      <c r="T157" s="21">
        <f>IF(B157="Receipt",ROUND(S157*IFERROR(VLOOKUP(Q157,'Tax Codes'!$A$5:$E$300,5,FALSE),0),2),0)</f>
        <v/>
      </c>
      <c r="U157" s="21">
        <f>IF(B157="Receipt",ROUND(S157*IFERROR(VLOOKUP(R157,'Tax Codes'!$A$5:$E$300,5,FALSE),0),2),0)</f>
        <v/>
      </c>
      <c r="V157" s="16">
        <f>INDEX('Chart of Accounts'!$A$5:$A$3000,MATCH("vat_input",'Chart of Accounts'!$F$5:$F$3000,0))</f>
        <v/>
      </c>
      <c r="W157" s="16">
        <f>INDEX('Chart of Accounts'!$A$5:$A$3000,MATCH("wht_payable",'Chart of Accounts'!$F$5:$F$3000,0))</f>
        <v/>
      </c>
      <c r="X157" s="16">
        <f>IF(M157="",INDEX('Chart of Accounts'!$A$5:$A$3000,MATCH("bank",'Chart of Accounts'!$F$5:$F$3000,0)),M157&amp;"")</f>
        <v/>
      </c>
      <c r="Y157" s="16">
        <f>IF(N157="",INDEX('Chart of Accounts'!$A$5:$A$3000,MATCH("ap",'Chart of Accounts'!$F$5:$F$3000,0)),N157&amp;"")</f>
        <v/>
      </c>
      <c r="Z157" s="16">
        <f>IF(O157="",INDEX('Chart of Accounts'!$A$5:$A$3000,MATCH("materials",'Chart of Accounts'!$F$5:$F$3000,0)),O157&amp;"")</f>
        <v/>
      </c>
      <c r="AA157" s="16">
        <f>IF(IFERROR(INDEX(Warehouses!$C$5:$C$1000,MATCH(C157,Warehouses!$A$5:$A$1000,0))&amp;"","")="",INDEX('Chart of Accounts'!$A$5:$A$3000,MATCH("inventory",'Chart of Accounts'!$F$5:$F$3000,0)),IFERROR(INDEX(Warehouses!$C$5:$C$1000,MATCH(C157,Warehouses!$A$5:$A$1000,0))&amp;"",""))</f>
        <v/>
      </c>
      <c r="AB157" s="16">
        <f>IF(IFERROR(INDEX(Warehouses!$C$5:$C$1000,MATCH(D157,Warehouses!$A$5:$A$1000,0))&amp;"","")="",INDEX('Chart of Accounts'!$A$5:$A$3000,MATCH("inventory",'Chart of Accounts'!$F$5:$F$3000,0)),IFERROR(INDEX(Warehouses!$C$5:$C$1000,MATCH(D157,Warehouses!$A$5:$A$1000,0))&amp;"",""))</f>
        <v/>
      </c>
      <c r="AC157" s="21">
        <f>IF(B157="Receipt",N(K157),0)</f>
        <v/>
      </c>
      <c r="AD157" s="16">
        <f>IF(B157="Receipt",AA157,IF(B157="Issue",Z157,IF(B157="Transfer",AB157,IF(N(G157)&gt;=0,AA157,INDEX('Chart of Accounts'!$A$5:$A$3000,MATCH("stock_adjust",'Chart of Accounts'!$F$5:$F$3000,0))))))</f>
        <v/>
      </c>
      <c r="AE157" s="16">
        <f>IF(B157="Receipt",Y157,IF(B157="Adjustment",IF(N(G157)&gt;=0,INDEX('Chart of Accounts'!$A$5:$A$3000,MATCH("stock_adjust",'Chart of Accounts'!$F$5:$F$3000,0)),AA157),AA157))</f>
        <v/>
      </c>
      <c r="AF157" s="21">
        <f>S157+T157-U157-AC157</f>
        <v/>
      </c>
      <c r="AG157" s="23">
        <f>IFERROR(INDEX('Chart of Accounts'!$C$5:$C$3000,MATCH(AD157&amp;"",'Chart of Accounts'!$A$5:$A$3000,0))&amp;"|"&amp;INDEX('Chart of Accounts'!$D$5:$D$3000,MATCH(AD157&amp;"",'Chart of Accounts'!$A$5:$A$3000,0)),"")</f>
        <v/>
      </c>
      <c r="AH157" s="23">
        <f>IFERROR(INDEX('Chart of Accounts'!$C$5:$C$3000,MATCH(V157&amp;"",'Chart of Accounts'!$A$5:$A$3000,0))&amp;"|"&amp;INDEX('Chart of Accounts'!$D$5:$D$3000,MATCH(V157&amp;"",'Chart of Accounts'!$A$5:$A$3000,0)),"")</f>
        <v/>
      </c>
      <c r="AI157" s="23">
        <f>IFERROR(INDEX('Chart of Accounts'!$C$5:$C$3000,MATCH(AE157&amp;"",'Chart of Accounts'!$A$5:$A$3000,0))&amp;"|"&amp;INDEX('Chart of Accounts'!$D$5:$D$3000,MATCH(AE157&amp;"",'Chart of Accounts'!$A$5:$A$3000,0)),"")</f>
        <v/>
      </c>
      <c r="AJ157" s="23">
        <f>IFERROR(INDEX('Chart of Accounts'!$C$5:$C$3000,MATCH(X157&amp;"",'Chart of Accounts'!$A$5:$A$3000,0))&amp;"|"&amp;INDEX('Chart of Accounts'!$D$5:$D$3000,MATCH(X157&amp;"",'Chart of Accounts'!$A$5:$A$3000,0)),"")</f>
        <v/>
      </c>
      <c r="AK157" s="23">
        <f>IFERROR(INDEX('Chart of Accounts'!$C$5:$C$3000,MATCH(W157&amp;"",'Chart of Accounts'!$A$5:$A$3000,0))&amp;"|"&amp;INDEX('Chart of Accounts'!$D$5:$D$3000,MATCH(W157&amp;"",'Chart of Accounts'!$A$5:$A$3000,0)),"")</f>
        <v/>
      </c>
      <c r="AL157" s="23">
        <f>IF(LEFT(AG157,8)="Revenue|",-N(S157),0)+IF(LEFT(AH157,8)="Revenue|",-N(T157),0)+IF(LEFT(AI157,8)="Revenue|",N(AF157),0)+IF(LEFT(AJ157,8)="Revenue|",N(AC157),0)+IF(LEFT(AK157,8)="Revenue|",N(U157),0)</f>
        <v/>
      </c>
      <c r="AM157" s="23">
        <f>IF(LEFT(AG157,5)="COGS|",N(S157),0)+IF(LEFT(AH157,5)="COGS|",N(T157),0)+IF(LEFT(AI157,5)="COGS|",-N(AF157),0)+IF(LEFT(AJ157,5)="COGS|",-N(AC157),0)+IF(LEFT(AK157,5)="COGS|",-N(U157),0)</f>
        <v/>
      </c>
      <c r="AN157" s="23">
        <f>IF(LEFT(AG157,8)="Expense|",N(S157),0)+IF(LEFT(AH157,8)="Expense|",N(T157),0)+IF(LEFT(AI157,8)="Expense|",-N(AF157),0)+IF(LEFT(AJ157,8)="Expense|",-N(AC157),0)+IF(LEFT(AK157,8)="Expense|",-N(U157),0)</f>
        <v/>
      </c>
      <c r="AO157" s="23">
        <f>IF(ISNUMBER(MATCH(AG157,{"Expense|employee","Expense|general_admin","Expense|marketing","Expense|utilities","Expense|other_operating"},0)),N(S157),0)+IF(ISNUMBER(MATCH(AH157,{"Expense|employee","Expense|general_admin","Expense|marketing","Expense|utilities","Expense|other_operating"},0)),N(T157),0)+IF(ISNUMBER(MATCH(AI157,{"Expense|employee","Expense|general_admin","Expense|marketing","Expense|utilities","Expense|other_operating"},0)),-N(AF157),0)+IF(ISNUMBER(MATCH(AJ157,{"Expense|employee","Expense|general_admin","Expense|marketing","Expense|utilities","Expense|other_operating"},0)),-N(AC157),0)+IF(ISNUMBER(MATCH(AK157,{"Expense|employee","Expense|general_admin","Expense|marketing","Expense|utilities","Expense|other_operating"},0)),-N(U157),0)</f>
        <v/>
      </c>
      <c r="AP157" s="23">
        <f>IF(AG157="Liability|payable",-N(S157),0)+IF(AH157="Liability|payable",-N(T157),0)+IF(AI157="Liability|payable",N(AF157),0)+IF(AJ157="Liability|payable",N(AC157),0)+IF(AK157="Liability|payable",N(U157),0)</f>
        <v/>
      </c>
      <c r="AQ157" s="23">
        <f>IF(AG157="Liability|accrued",-N(S157),0)+IF(AH157="Liability|accrued",-N(T157),0)+IF(AI157="Liability|accrued",N(AF157),0)+IF(AJ157="Liability|accrued",N(AC157),0)+IF(AK157="Liability|accrued",N(U157),0)</f>
        <v/>
      </c>
      <c r="AR157" s="23">
        <f>IF(AND(N(S157)&lt;&gt;0,AG157=""),1,0)+IF(AND(N(T157)&lt;&gt;0,AH157=""),1,0)+IF(AND(N(AF157)&lt;&gt;0,AI157=""),1,0)+IF(AND(N(AC157)&lt;&gt;0,AJ157=""),1,0)+IF(AND(N(U157)&lt;&gt;0,AK157=""),1,0)</f>
        <v/>
      </c>
    </row>
    <row r="158">
      <c r="A158" s="19" t="n"/>
      <c r="B158" s="14" t="n"/>
      <c r="C158" s="14" t="n"/>
      <c r="D158" s="14" t="n"/>
      <c r="E158" s="14" t="n"/>
      <c r="F158" s="14" t="n"/>
      <c r="G158" s="14" t="n"/>
      <c r="H158" s="20" t="n"/>
      <c r="I158" s="14" t="n"/>
      <c r="J158" s="14" t="n"/>
      <c r="K158" s="20" t="n"/>
      <c r="L158" s="14" t="n"/>
      <c r="M158" s="14" t="n"/>
      <c r="N158" s="14" t="n"/>
      <c r="O158" s="14" t="n"/>
      <c r="P158" s="14" t="n"/>
      <c r="Q158" s="14" t="n"/>
      <c r="R158" s="14" t="n"/>
      <c r="S158" s="21">
        <f>ROUND(ABS(N(G158))*N(H158),2)</f>
        <v/>
      </c>
      <c r="T158" s="21">
        <f>IF(B158="Receipt",ROUND(S158*IFERROR(VLOOKUP(Q158,'Tax Codes'!$A$5:$E$300,5,FALSE),0),2),0)</f>
        <v/>
      </c>
      <c r="U158" s="21">
        <f>IF(B158="Receipt",ROUND(S158*IFERROR(VLOOKUP(R158,'Tax Codes'!$A$5:$E$300,5,FALSE),0),2),0)</f>
        <v/>
      </c>
      <c r="V158" s="16">
        <f>INDEX('Chart of Accounts'!$A$5:$A$3000,MATCH("vat_input",'Chart of Accounts'!$F$5:$F$3000,0))</f>
        <v/>
      </c>
      <c r="W158" s="16">
        <f>INDEX('Chart of Accounts'!$A$5:$A$3000,MATCH("wht_payable",'Chart of Accounts'!$F$5:$F$3000,0))</f>
        <v/>
      </c>
      <c r="X158" s="16">
        <f>IF(M158="",INDEX('Chart of Accounts'!$A$5:$A$3000,MATCH("bank",'Chart of Accounts'!$F$5:$F$3000,0)),M158&amp;"")</f>
        <v/>
      </c>
      <c r="Y158" s="16">
        <f>IF(N158="",INDEX('Chart of Accounts'!$A$5:$A$3000,MATCH("ap",'Chart of Accounts'!$F$5:$F$3000,0)),N158&amp;"")</f>
        <v/>
      </c>
      <c r="Z158" s="16">
        <f>IF(O158="",INDEX('Chart of Accounts'!$A$5:$A$3000,MATCH("materials",'Chart of Accounts'!$F$5:$F$3000,0)),O158&amp;"")</f>
        <v/>
      </c>
      <c r="AA158" s="16">
        <f>IF(IFERROR(INDEX(Warehouses!$C$5:$C$1000,MATCH(C158,Warehouses!$A$5:$A$1000,0))&amp;"","")="",INDEX('Chart of Accounts'!$A$5:$A$3000,MATCH("inventory",'Chart of Accounts'!$F$5:$F$3000,0)),IFERROR(INDEX(Warehouses!$C$5:$C$1000,MATCH(C158,Warehouses!$A$5:$A$1000,0))&amp;"",""))</f>
        <v/>
      </c>
      <c r="AB158" s="16">
        <f>IF(IFERROR(INDEX(Warehouses!$C$5:$C$1000,MATCH(D158,Warehouses!$A$5:$A$1000,0))&amp;"","")="",INDEX('Chart of Accounts'!$A$5:$A$3000,MATCH("inventory",'Chart of Accounts'!$F$5:$F$3000,0)),IFERROR(INDEX(Warehouses!$C$5:$C$1000,MATCH(D158,Warehouses!$A$5:$A$1000,0))&amp;"",""))</f>
        <v/>
      </c>
      <c r="AC158" s="21">
        <f>IF(B158="Receipt",N(K158),0)</f>
        <v/>
      </c>
      <c r="AD158" s="16">
        <f>IF(B158="Receipt",AA158,IF(B158="Issue",Z158,IF(B158="Transfer",AB158,IF(N(G158)&gt;=0,AA158,INDEX('Chart of Accounts'!$A$5:$A$3000,MATCH("stock_adjust",'Chart of Accounts'!$F$5:$F$3000,0))))))</f>
        <v/>
      </c>
      <c r="AE158" s="16">
        <f>IF(B158="Receipt",Y158,IF(B158="Adjustment",IF(N(G158)&gt;=0,INDEX('Chart of Accounts'!$A$5:$A$3000,MATCH("stock_adjust",'Chart of Accounts'!$F$5:$F$3000,0)),AA158),AA158))</f>
        <v/>
      </c>
      <c r="AF158" s="21">
        <f>S158+T158-U158-AC158</f>
        <v/>
      </c>
      <c r="AG158" s="23">
        <f>IFERROR(INDEX('Chart of Accounts'!$C$5:$C$3000,MATCH(AD158&amp;"",'Chart of Accounts'!$A$5:$A$3000,0))&amp;"|"&amp;INDEX('Chart of Accounts'!$D$5:$D$3000,MATCH(AD158&amp;"",'Chart of Accounts'!$A$5:$A$3000,0)),"")</f>
        <v/>
      </c>
      <c r="AH158" s="23">
        <f>IFERROR(INDEX('Chart of Accounts'!$C$5:$C$3000,MATCH(V158&amp;"",'Chart of Accounts'!$A$5:$A$3000,0))&amp;"|"&amp;INDEX('Chart of Accounts'!$D$5:$D$3000,MATCH(V158&amp;"",'Chart of Accounts'!$A$5:$A$3000,0)),"")</f>
        <v/>
      </c>
      <c r="AI158" s="23">
        <f>IFERROR(INDEX('Chart of Accounts'!$C$5:$C$3000,MATCH(AE158&amp;"",'Chart of Accounts'!$A$5:$A$3000,0))&amp;"|"&amp;INDEX('Chart of Accounts'!$D$5:$D$3000,MATCH(AE158&amp;"",'Chart of Accounts'!$A$5:$A$3000,0)),"")</f>
        <v/>
      </c>
      <c r="AJ158" s="23">
        <f>IFERROR(INDEX('Chart of Accounts'!$C$5:$C$3000,MATCH(X158&amp;"",'Chart of Accounts'!$A$5:$A$3000,0))&amp;"|"&amp;INDEX('Chart of Accounts'!$D$5:$D$3000,MATCH(X158&amp;"",'Chart of Accounts'!$A$5:$A$3000,0)),"")</f>
        <v/>
      </c>
      <c r="AK158" s="23">
        <f>IFERROR(INDEX('Chart of Accounts'!$C$5:$C$3000,MATCH(W158&amp;"",'Chart of Accounts'!$A$5:$A$3000,0))&amp;"|"&amp;INDEX('Chart of Accounts'!$D$5:$D$3000,MATCH(W158&amp;"",'Chart of Accounts'!$A$5:$A$3000,0)),"")</f>
        <v/>
      </c>
      <c r="AL158" s="23">
        <f>IF(LEFT(AG158,8)="Revenue|",-N(S158),0)+IF(LEFT(AH158,8)="Revenue|",-N(T158),0)+IF(LEFT(AI158,8)="Revenue|",N(AF158),0)+IF(LEFT(AJ158,8)="Revenue|",N(AC158),0)+IF(LEFT(AK158,8)="Revenue|",N(U158),0)</f>
        <v/>
      </c>
      <c r="AM158" s="23">
        <f>IF(LEFT(AG158,5)="COGS|",N(S158),0)+IF(LEFT(AH158,5)="COGS|",N(T158),0)+IF(LEFT(AI158,5)="COGS|",-N(AF158),0)+IF(LEFT(AJ158,5)="COGS|",-N(AC158),0)+IF(LEFT(AK158,5)="COGS|",-N(U158),0)</f>
        <v/>
      </c>
      <c r="AN158" s="23">
        <f>IF(LEFT(AG158,8)="Expense|",N(S158),0)+IF(LEFT(AH158,8)="Expense|",N(T158),0)+IF(LEFT(AI158,8)="Expense|",-N(AF158),0)+IF(LEFT(AJ158,8)="Expense|",-N(AC158),0)+IF(LEFT(AK158,8)="Expense|",-N(U158),0)</f>
        <v/>
      </c>
      <c r="AO158" s="23">
        <f>IF(ISNUMBER(MATCH(AG158,{"Expense|employee","Expense|general_admin","Expense|marketing","Expense|utilities","Expense|other_operating"},0)),N(S158),0)+IF(ISNUMBER(MATCH(AH158,{"Expense|employee","Expense|general_admin","Expense|marketing","Expense|utilities","Expense|other_operating"},0)),N(T158),0)+IF(ISNUMBER(MATCH(AI158,{"Expense|employee","Expense|general_admin","Expense|marketing","Expense|utilities","Expense|other_operating"},0)),-N(AF158),0)+IF(ISNUMBER(MATCH(AJ158,{"Expense|employee","Expense|general_admin","Expense|marketing","Expense|utilities","Expense|other_operating"},0)),-N(AC158),0)+IF(ISNUMBER(MATCH(AK158,{"Expense|employee","Expense|general_admin","Expense|marketing","Expense|utilities","Expense|other_operating"},0)),-N(U158),0)</f>
        <v/>
      </c>
      <c r="AP158" s="23">
        <f>IF(AG158="Liability|payable",-N(S158),0)+IF(AH158="Liability|payable",-N(T158),0)+IF(AI158="Liability|payable",N(AF158),0)+IF(AJ158="Liability|payable",N(AC158),0)+IF(AK158="Liability|payable",N(U158),0)</f>
        <v/>
      </c>
      <c r="AQ158" s="23">
        <f>IF(AG158="Liability|accrued",-N(S158),0)+IF(AH158="Liability|accrued",-N(T158),0)+IF(AI158="Liability|accrued",N(AF158),0)+IF(AJ158="Liability|accrued",N(AC158),0)+IF(AK158="Liability|accrued",N(U158),0)</f>
        <v/>
      </c>
      <c r="AR158" s="23">
        <f>IF(AND(N(S158)&lt;&gt;0,AG158=""),1,0)+IF(AND(N(T158)&lt;&gt;0,AH158=""),1,0)+IF(AND(N(AF158)&lt;&gt;0,AI158=""),1,0)+IF(AND(N(AC158)&lt;&gt;0,AJ158=""),1,0)+IF(AND(N(U158)&lt;&gt;0,AK158=""),1,0)</f>
        <v/>
      </c>
    </row>
    <row r="159">
      <c r="A159" s="19" t="n"/>
      <c r="B159" s="14" t="n"/>
      <c r="C159" s="14" t="n"/>
      <c r="D159" s="14" t="n"/>
      <c r="E159" s="14" t="n"/>
      <c r="F159" s="14" t="n"/>
      <c r="G159" s="14" t="n"/>
      <c r="H159" s="20" t="n"/>
      <c r="I159" s="14" t="n"/>
      <c r="J159" s="14" t="n"/>
      <c r="K159" s="20" t="n"/>
      <c r="L159" s="14" t="n"/>
      <c r="M159" s="14" t="n"/>
      <c r="N159" s="14" t="n"/>
      <c r="O159" s="14" t="n"/>
      <c r="P159" s="14" t="n"/>
      <c r="Q159" s="14" t="n"/>
      <c r="R159" s="14" t="n"/>
      <c r="S159" s="21">
        <f>ROUND(ABS(N(G159))*N(H159),2)</f>
        <v/>
      </c>
      <c r="T159" s="21">
        <f>IF(B159="Receipt",ROUND(S159*IFERROR(VLOOKUP(Q159,'Tax Codes'!$A$5:$E$300,5,FALSE),0),2),0)</f>
        <v/>
      </c>
      <c r="U159" s="21">
        <f>IF(B159="Receipt",ROUND(S159*IFERROR(VLOOKUP(R159,'Tax Codes'!$A$5:$E$300,5,FALSE),0),2),0)</f>
        <v/>
      </c>
      <c r="V159" s="16">
        <f>INDEX('Chart of Accounts'!$A$5:$A$3000,MATCH("vat_input",'Chart of Accounts'!$F$5:$F$3000,0))</f>
        <v/>
      </c>
      <c r="W159" s="16">
        <f>INDEX('Chart of Accounts'!$A$5:$A$3000,MATCH("wht_payable",'Chart of Accounts'!$F$5:$F$3000,0))</f>
        <v/>
      </c>
      <c r="X159" s="16">
        <f>IF(M159="",INDEX('Chart of Accounts'!$A$5:$A$3000,MATCH("bank",'Chart of Accounts'!$F$5:$F$3000,0)),M159&amp;"")</f>
        <v/>
      </c>
      <c r="Y159" s="16">
        <f>IF(N159="",INDEX('Chart of Accounts'!$A$5:$A$3000,MATCH("ap",'Chart of Accounts'!$F$5:$F$3000,0)),N159&amp;"")</f>
        <v/>
      </c>
      <c r="Z159" s="16">
        <f>IF(O159="",INDEX('Chart of Accounts'!$A$5:$A$3000,MATCH("materials",'Chart of Accounts'!$F$5:$F$3000,0)),O159&amp;"")</f>
        <v/>
      </c>
      <c r="AA159" s="16">
        <f>IF(IFERROR(INDEX(Warehouses!$C$5:$C$1000,MATCH(C159,Warehouses!$A$5:$A$1000,0))&amp;"","")="",INDEX('Chart of Accounts'!$A$5:$A$3000,MATCH("inventory",'Chart of Accounts'!$F$5:$F$3000,0)),IFERROR(INDEX(Warehouses!$C$5:$C$1000,MATCH(C159,Warehouses!$A$5:$A$1000,0))&amp;"",""))</f>
        <v/>
      </c>
      <c r="AB159" s="16">
        <f>IF(IFERROR(INDEX(Warehouses!$C$5:$C$1000,MATCH(D159,Warehouses!$A$5:$A$1000,0))&amp;"","")="",INDEX('Chart of Accounts'!$A$5:$A$3000,MATCH("inventory",'Chart of Accounts'!$F$5:$F$3000,0)),IFERROR(INDEX(Warehouses!$C$5:$C$1000,MATCH(D159,Warehouses!$A$5:$A$1000,0))&amp;"",""))</f>
        <v/>
      </c>
      <c r="AC159" s="21">
        <f>IF(B159="Receipt",N(K159),0)</f>
        <v/>
      </c>
      <c r="AD159" s="16">
        <f>IF(B159="Receipt",AA159,IF(B159="Issue",Z159,IF(B159="Transfer",AB159,IF(N(G159)&gt;=0,AA159,INDEX('Chart of Accounts'!$A$5:$A$3000,MATCH("stock_adjust",'Chart of Accounts'!$F$5:$F$3000,0))))))</f>
        <v/>
      </c>
      <c r="AE159" s="16">
        <f>IF(B159="Receipt",Y159,IF(B159="Adjustment",IF(N(G159)&gt;=0,INDEX('Chart of Accounts'!$A$5:$A$3000,MATCH("stock_adjust",'Chart of Accounts'!$F$5:$F$3000,0)),AA159),AA159))</f>
        <v/>
      </c>
      <c r="AF159" s="21">
        <f>S159+T159-U159-AC159</f>
        <v/>
      </c>
      <c r="AG159" s="23">
        <f>IFERROR(INDEX('Chart of Accounts'!$C$5:$C$3000,MATCH(AD159&amp;"",'Chart of Accounts'!$A$5:$A$3000,0))&amp;"|"&amp;INDEX('Chart of Accounts'!$D$5:$D$3000,MATCH(AD159&amp;"",'Chart of Accounts'!$A$5:$A$3000,0)),"")</f>
        <v/>
      </c>
      <c r="AH159" s="23">
        <f>IFERROR(INDEX('Chart of Accounts'!$C$5:$C$3000,MATCH(V159&amp;"",'Chart of Accounts'!$A$5:$A$3000,0))&amp;"|"&amp;INDEX('Chart of Accounts'!$D$5:$D$3000,MATCH(V159&amp;"",'Chart of Accounts'!$A$5:$A$3000,0)),"")</f>
        <v/>
      </c>
      <c r="AI159" s="23">
        <f>IFERROR(INDEX('Chart of Accounts'!$C$5:$C$3000,MATCH(AE159&amp;"",'Chart of Accounts'!$A$5:$A$3000,0))&amp;"|"&amp;INDEX('Chart of Accounts'!$D$5:$D$3000,MATCH(AE159&amp;"",'Chart of Accounts'!$A$5:$A$3000,0)),"")</f>
        <v/>
      </c>
      <c r="AJ159" s="23">
        <f>IFERROR(INDEX('Chart of Accounts'!$C$5:$C$3000,MATCH(X159&amp;"",'Chart of Accounts'!$A$5:$A$3000,0))&amp;"|"&amp;INDEX('Chart of Accounts'!$D$5:$D$3000,MATCH(X159&amp;"",'Chart of Accounts'!$A$5:$A$3000,0)),"")</f>
        <v/>
      </c>
      <c r="AK159" s="23">
        <f>IFERROR(INDEX('Chart of Accounts'!$C$5:$C$3000,MATCH(W159&amp;"",'Chart of Accounts'!$A$5:$A$3000,0))&amp;"|"&amp;INDEX('Chart of Accounts'!$D$5:$D$3000,MATCH(W159&amp;"",'Chart of Accounts'!$A$5:$A$3000,0)),"")</f>
        <v/>
      </c>
      <c r="AL159" s="23">
        <f>IF(LEFT(AG159,8)="Revenue|",-N(S159),0)+IF(LEFT(AH159,8)="Revenue|",-N(T159),0)+IF(LEFT(AI159,8)="Revenue|",N(AF159),0)+IF(LEFT(AJ159,8)="Revenue|",N(AC159),0)+IF(LEFT(AK159,8)="Revenue|",N(U159),0)</f>
        <v/>
      </c>
      <c r="AM159" s="23">
        <f>IF(LEFT(AG159,5)="COGS|",N(S159),0)+IF(LEFT(AH159,5)="COGS|",N(T159),0)+IF(LEFT(AI159,5)="COGS|",-N(AF159),0)+IF(LEFT(AJ159,5)="COGS|",-N(AC159),0)+IF(LEFT(AK159,5)="COGS|",-N(U159),0)</f>
        <v/>
      </c>
      <c r="AN159" s="23">
        <f>IF(LEFT(AG159,8)="Expense|",N(S159),0)+IF(LEFT(AH159,8)="Expense|",N(T159),0)+IF(LEFT(AI159,8)="Expense|",-N(AF159),0)+IF(LEFT(AJ159,8)="Expense|",-N(AC159),0)+IF(LEFT(AK159,8)="Expense|",-N(U159),0)</f>
        <v/>
      </c>
      <c r="AO159" s="23">
        <f>IF(ISNUMBER(MATCH(AG159,{"Expense|employee","Expense|general_admin","Expense|marketing","Expense|utilities","Expense|other_operating"},0)),N(S159),0)+IF(ISNUMBER(MATCH(AH159,{"Expense|employee","Expense|general_admin","Expense|marketing","Expense|utilities","Expense|other_operating"},0)),N(T159),0)+IF(ISNUMBER(MATCH(AI159,{"Expense|employee","Expense|general_admin","Expense|marketing","Expense|utilities","Expense|other_operating"},0)),-N(AF159),0)+IF(ISNUMBER(MATCH(AJ159,{"Expense|employee","Expense|general_admin","Expense|marketing","Expense|utilities","Expense|other_operating"},0)),-N(AC159),0)+IF(ISNUMBER(MATCH(AK159,{"Expense|employee","Expense|general_admin","Expense|marketing","Expense|utilities","Expense|other_operating"},0)),-N(U159),0)</f>
        <v/>
      </c>
      <c r="AP159" s="23">
        <f>IF(AG159="Liability|payable",-N(S159),0)+IF(AH159="Liability|payable",-N(T159),0)+IF(AI159="Liability|payable",N(AF159),0)+IF(AJ159="Liability|payable",N(AC159),0)+IF(AK159="Liability|payable",N(U159),0)</f>
        <v/>
      </c>
      <c r="AQ159" s="23">
        <f>IF(AG159="Liability|accrued",-N(S159),0)+IF(AH159="Liability|accrued",-N(T159),0)+IF(AI159="Liability|accrued",N(AF159),0)+IF(AJ159="Liability|accrued",N(AC159),0)+IF(AK159="Liability|accrued",N(U159),0)</f>
        <v/>
      </c>
      <c r="AR159" s="23">
        <f>IF(AND(N(S159)&lt;&gt;0,AG159=""),1,0)+IF(AND(N(T159)&lt;&gt;0,AH159=""),1,0)+IF(AND(N(AF159)&lt;&gt;0,AI159=""),1,0)+IF(AND(N(AC159)&lt;&gt;0,AJ159=""),1,0)+IF(AND(N(U159)&lt;&gt;0,AK159=""),1,0)</f>
        <v/>
      </c>
    </row>
    <row r="160">
      <c r="A160" s="19" t="n"/>
      <c r="B160" s="14" t="n"/>
      <c r="C160" s="14" t="n"/>
      <c r="D160" s="14" t="n"/>
      <c r="E160" s="14" t="n"/>
      <c r="F160" s="14" t="n"/>
      <c r="G160" s="14" t="n"/>
      <c r="H160" s="20" t="n"/>
      <c r="I160" s="14" t="n"/>
      <c r="J160" s="14" t="n"/>
      <c r="K160" s="20" t="n"/>
      <c r="L160" s="14" t="n"/>
      <c r="M160" s="14" t="n"/>
      <c r="N160" s="14" t="n"/>
      <c r="O160" s="14" t="n"/>
      <c r="P160" s="14" t="n"/>
      <c r="Q160" s="14" t="n"/>
      <c r="R160" s="14" t="n"/>
      <c r="S160" s="21">
        <f>ROUND(ABS(N(G160))*N(H160),2)</f>
        <v/>
      </c>
      <c r="T160" s="21">
        <f>IF(B160="Receipt",ROUND(S160*IFERROR(VLOOKUP(Q160,'Tax Codes'!$A$5:$E$300,5,FALSE),0),2),0)</f>
        <v/>
      </c>
      <c r="U160" s="21">
        <f>IF(B160="Receipt",ROUND(S160*IFERROR(VLOOKUP(R160,'Tax Codes'!$A$5:$E$300,5,FALSE),0),2),0)</f>
        <v/>
      </c>
      <c r="V160" s="16">
        <f>INDEX('Chart of Accounts'!$A$5:$A$3000,MATCH("vat_input",'Chart of Accounts'!$F$5:$F$3000,0))</f>
        <v/>
      </c>
      <c r="W160" s="16">
        <f>INDEX('Chart of Accounts'!$A$5:$A$3000,MATCH("wht_payable",'Chart of Accounts'!$F$5:$F$3000,0))</f>
        <v/>
      </c>
      <c r="X160" s="16">
        <f>IF(M160="",INDEX('Chart of Accounts'!$A$5:$A$3000,MATCH("bank",'Chart of Accounts'!$F$5:$F$3000,0)),M160&amp;"")</f>
        <v/>
      </c>
      <c r="Y160" s="16">
        <f>IF(N160="",INDEX('Chart of Accounts'!$A$5:$A$3000,MATCH("ap",'Chart of Accounts'!$F$5:$F$3000,0)),N160&amp;"")</f>
        <v/>
      </c>
      <c r="Z160" s="16">
        <f>IF(O160="",INDEX('Chart of Accounts'!$A$5:$A$3000,MATCH("materials",'Chart of Accounts'!$F$5:$F$3000,0)),O160&amp;"")</f>
        <v/>
      </c>
      <c r="AA160" s="16">
        <f>IF(IFERROR(INDEX(Warehouses!$C$5:$C$1000,MATCH(C160,Warehouses!$A$5:$A$1000,0))&amp;"","")="",INDEX('Chart of Accounts'!$A$5:$A$3000,MATCH("inventory",'Chart of Accounts'!$F$5:$F$3000,0)),IFERROR(INDEX(Warehouses!$C$5:$C$1000,MATCH(C160,Warehouses!$A$5:$A$1000,0))&amp;"",""))</f>
        <v/>
      </c>
      <c r="AB160" s="16">
        <f>IF(IFERROR(INDEX(Warehouses!$C$5:$C$1000,MATCH(D160,Warehouses!$A$5:$A$1000,0))&amp;"","")="",INDEX('Chart of Accounts'!$A$5:$A$3000,MATCH("inventory",'Chart of Accounts'!$F$5:$F$3000,0)),IFERROR(INDEX(Warehouses!$C$5:$C$1000,MATCH(D160,Warehouses!$A$5:$A$1000,0))&amp;"",""))</f>
        <v/>
      </c>
      <c r="AC160" s="21">
        <f>IF(B160="Receipt",N(K160),0)</f>
        <v/>
      </c>
      <c r="AD160" s="16">
        <f>IF(B160="Receipt",AA160,IF(B160="Issue",Z160,IF(B160="Transfer",AB160,IF(N(G160)&gt;=0,AA160,INDEX('Chart of Accounts'!$A$5:$A$3000,MATCH("stock_adjust",'Chart of Accounts'!$F$5:$F$3000,0))))))</f>
        <v/>
      </c>
      <c r="AE160" s="16">
        <f>IF(B160="Receipt",Y160,IF(B160="Adjustment",IF(N(G160)&gt;=0,INDEX('Chart of Accounts'!$A$5:$A$3000,MATCH("stock_adjust",'Chart of Accounts'!$F$5:$F$3000,0)),AA160),AA160))</f>
        <v/>
      </c>
      <c r="AF160" s="21">
        <f>S160+T160-U160-AC160</f>
        <v/>
      </c>
      <c r="AG160" s="23">
        <f>IFERROR(INDEX('Chart of Accounts'!$C$5:$C$3000,MATCH(AD160&amp;"",'Chart of Accounts'!$A$5:$A$3000,0))&amp;"|"&amp;INDEX('Chart of Accounts'!$D$5:$D$3000,MATCH(AD160&amp;"",'Chart of Accounts'!$A$5:$A$3000,0)),"")</f>
        <v/>
      </c>
      <c r="AH160" s="23">
        <f>IFERROR(INDEX('Chart of Accounts'!$C$5:$C$3000,MATCH(V160&amp;"",'Chart of Accounts'!$A$5:$A$3000,0))&amp;"|"&amp;INDEX('Chart of Accounts'!$D$5:$D$3000,MATCH(V160&amp;"",'Chart of Accounts'!$A$5:$A$3000,0)),"")</f>
        <v/>
      </c>
      <c r="AI160" s="23">
        <f>IFERROR(INDEX('Chart of Accounts'!$C$5:$C$3000,MATCH(AE160&amp;"",'Chart of Accounts'!$A$5:$A$3000,0))&amp;"|"&amp;INDEX('Chart of Accounts'!$D$5:$D$3000,MATCH(AE160&amp;"",'Chart of Accounts'!$A$5:$A$3000,0)),"")</f>
        <v/>
      </c>
      <c r="AJ160" s="23">
        <f>IFERROR(INDEX('Chart of Accounts'!$C$5:$C$3000,MATCH(X160&amp;"",'Chart of Accounts'!$A$5:$A$3000,0))&amp;"|"&amp;INDEX('Chart of Accounts'!$D$5:$D$3000,MATCH(X160&amp;"",'Chart of Accounts'!$A$5:$A$3000,0)),"")</f>
        <v/>
      </c>
      <c r="AK160" s="23">
        <f>IFERROR(INDEX('Chart of Accounts'!$C$5:$C$3000,MATCH(W160&amp;"",'Chart of Accounts'!$A$5:$A$3000,0))&amp;"|"&amp;INDEX('Chart of Accounts'!$D$5:$D$3000,MATCH(W160&amp;"",'Chart of Accounts'!$A$5:$A$3000,0)),"")</f>
        <v/>
      </c>
      <c r="AL160" s="23">
        <f>IF(LEFT(AG160,8)="Revenue|",-N(S160),0)+IF(LEFT(AH160,8)="Revenue|",-N(T160),0)+IF(LEFT(AI160,8)="Revenue|",N(AF160),0)+IF(LEFT(AJ160,8)="Revenue|",N(AC160),0)+IF(LEFT(AK160,8)="Revenue|",N(U160),0)</f>
        <v/>
      </c>
      <c r="AM160" s="23">
        <f>IF(LEFT(AG160,5)="COGS|",N(S160),0)+IF(LEFT(AH160,5)="COGS|",N(T160),0)+IF(LEFT(AI160,5)="COGS|",-N(AF160),0)+IF(LEFT(AJ160,5)="COGS|",-N(AC160),0)+IF(LEFT(AK160,5)="COGS|",-N(U160),0)</f>
        <v/>
      </c>
      <c r="AN160" s="23">
        <f>IF(LEFT(AG160,8)="Expense|",N(S160),0)+IF(LEFT(AH160,8)="Expense|",N(T160),0)+IF(LEFT(AI160,8)="Expense|",-N(AF160),0)+IF(LEFT(AJ160,8)="Expense|",-N(AC160),0)+IF(LEFT(AK160,8)="Expense|",-N(U160),0)</f>
        <v/>
      </c>
      <c r="AO160" s="23">
        <f>IF(ISNUMBER(MATCH(AG160,{"Expense|employee","Expense|general_admin","Expense|marketing","Expense|utilities","Expense|other_operating"},0)),N(S160),0)+IF(ISNUMBER(MATCH(AH160,{"Expense|employee","Expense|general_admin","Expense|marketing","Expense|utilities","Expense|other_operating"},0)),N(T160),0)+IF(ISNUMBER(MATCH(AI160,{"Expense|employee","Expense|general_admin","Expense|marketing","Expense|utilities","Expense|other_operating"},0)),-N(AF160),0)+IF(ISNUMBER(MATCH(AJ160,{"Expense|employee","Expense|general_admin","Expense|marketing","Expense|utilities","Expense|other_operating"},0)),-N(AC160),0)+IF(ISNUMBER(MATCH(AK160,{"Expense|employee","Expense|general_admin","Expense|marketing","Expense|utilities","Expense|other_operating"},0)),-N(U160),0)</f>
        <v/>
      </c>
      <c r="AP160" s="23">
        <f>IF(AG160="Liability|payable",-N(S160),0)+IF(AH160="Liability|payable",-N(T160),0)+IF(AI160="Liability|payable",N(AF160),0)+IF(AJ160="Liability|payable",N(AC160),0)+IF(AK160="Liability|payable",N(U160),0)</f>
        <v/>
      </c>
      <c r="AQ160" s="23">
        <f>IF(AG160="Liability|accrued",-N(S160),0)+IF(AH160="Liability|accrued",-N(T160),0)+IF(AI160="Liability|accrued",N(AF160),0)+IF(AJ160="Liability|accrued",N(AC160),0)+IF(AK160="Liability|accrued",N(U160),0)</f>
        <v/>
      </c>
      <c r="AR160" s="23">
        <f>IF(AND(N(S160)&lt;&gt;0,AG160=""),1,0)+IF(AND(N(T160)&lt;&gt;0,AH160=""),1,0)+IF(AND(N(AF160)&lt;&gt;0,AI160=""),1,0)+IF(AND(N(AC160)&lt;&gt;0,AJ160=""),1,0)+IF(AND(N(U160)&lt;&gt;0,AK160=""),1,0)</f>
        <v/>
      </c>
    </row>
    <row r="161">
      <c r="A161" s="19" t="n"/>
      <c r="B161" s="14" t="n"/>
      <c r="C161" s="14" t="n"/>
      <c r="D161" s="14" t="n"/>
      <c r="E161" s="14" t="n"/>
      <c r="F161" s="14" t="n"/>
      <c r="G161" s="14" t="n"/>
      <c r="H161" s="20" t="n"/>
      <c r="I161" s="14" t="n"/>
      <c r="J161" s="14" t="n"/>
      <c r="K161" s="20" t="n"/>
      <c r="L161" s="14" t="n"/>
      <c r="M161" s="14" t="n"/>
      <c r="N161" s="14" t="n"/>
      <c r="O161" s="14" t="n"/>
      <c r="P161" s="14" t="n"/>
      <c r="Q161" s="14" t="n"/>
      <c r="R161" s="14" t="n"/>
      <c r="S161" s="21">
        <f>ROUND(ABS(N(G161))*N(H161),2)</f>
        <v/>
      </c>
      <c r="T161" s="21">
        <f>IF(B161="Receipt",ROUND(S161*IFERROR(VLOOKUP(Q161,'Tax Codes'!$A$5:$E$300,5,FALSE),0),2),0)</f>
        <v/>
      </c>
      <c r="U161" s="21">
        <f>IF(B161="Receipt",ROUND(S161*IFERROR(VLOOKUP(R161,'Tax Codes'!$A$5:$E$300,5,FALSE),0),2),0)</f>
        <v/>
      </c>
      <c r="V161" s="16">
        <f>INDEX('Chart of Accounts'!$A$5:$A$3000,MATCH("vat_input",'Chart of Accounts'!$F$5:$F$3000,0))</f>
        <v/>
      </c>
      <c r="W161" s="16">
        <f>INDEX('Chart of Accounts'!$A$5:$A$3000,MATCH("wht_payable",'Chart of Accounts'!$F$5:$F$3000,0))</f>
        <v/>
      </c>
      <c r="X161" s="16">
        <f>IF(M161="",INDEX('Chart of Accounts'!$A$5:$A$3000,MATCH("bank",'Chart of Accounts'!$F$5:$F$3000,0)),M161&amp;"")</f>
        <v/>
      </c>
      <c r="Y161" s="16">
        <f>IF(N161="",INDEX('Chart of Accounts'!$A$5:$A$3000,MATCH("ap",'Chart of Accounts'!$F$5:$F$3000,0)),N161&amp;"")</f>
        <v/>
      </c>
      <c r="Z161" s="16">
        <f>IF(O161="",INDEX('Chart of Accounts'!$A$5:$A$3000,MATCH("materials",'Chart of Accounts'!$F$5:$F$3000,0)),O161&amp;"")</f>
        <v/>
      </c>
      <c r="AA161" s="16">
        <f>IF(IFERROR(INDEX(Warehouses!$C$5:$C$1000,MATCH(C161,Warehouses!$A$5:$A$1000,0))&amp;"","")="",INDEX('Chart of Accounts'!$A$5:$A$3000,MATCH("inventory",'Chart of Accounts'!$F$5:$F$3000,0)),IFERROR(INDEX(Warehouses!$C$5:$C$1000,MATCH(C161,Warehouses!$A$5:$A$1000,0))&amp;"",""))</f>
        <v/>
      </c>
      <c r="AB161" s="16">
        <f>IF(IFERROR(INDEX(Warehouses!$C$5:$C$1000,MATCH(D161,Warehouses!$A$5:$A$1000,0))&amp;"","")="",INDEX('Chart of Accounts'!$A$5:$A$3000,MATCH("inventory",'Chart of Accounts'!$F$5:$F$3000,0)),IFERROR(INDEX(Warehouses!$C$5:$C$1000,MATCH(D161,Warehouses!$A$5:$A$1000,0))&amp;"",""))</f>
        <v/>
      </c>
      <c r="AC161" s="21">
        <f>IF(B161="Receipt",N(K161),0)</f>
        <v/>
      </c>
      <c r="AD161" s="16">
        <f>IF(B161="Receipt",AA161,IF(B161="Issue",Z161,IF(B161="Transfer",AB161,IF(N(G161)&gt;=0,AA161,INDEX('Chart of Accounts'!$A$5:$A$3000,MATCH("stock_adjust",'Chart of Accounts'!$F$5:$F$3000,0))))))</f>
        <v/>
      </c>
      <c r="AE161" s="16">
        <f>IF(B161="Receipt",Y161,IF(B161="Adjustment",IF(N(G161)&gt;=0,INDEX('Chart of Accounts'!$A$5:$A$3000,MATCH("stock_adjust",'Chart of Accounts'!$F$5:$F$3000,0)),AA161),AA161))</f>
        <v/>
      </c>
      <c r="AF161" s="21">
        <f>S161+T161-U161-AC161</f>
        <v/>
      </c>
      <c r="AG161" s="23">
        <f>IFERROR(INDEX('Chart of Accounts'!$C$5:$C$3000,MATCH(AD161&amp;"",'Chart of Accounts'!$A$5:$A$3000,0))&amp;"|"&amp;INDEX('Chart of Accounts'!$D$5:$D$3000,MATCH(AD161&amp;"",'Chart of Accounts'!$A$5:$A$3000,0)),"")</f>
        <v/>
      </c>
      <c r="AH161" s="23">
        <f>IFERROR(INDEX('Chart of Accounts'!$C$5:$C$3000,MATCH(V161&amp;"",'Chart of Accounts'!$A$5:$A$3000,0))&amp;"|"&amp;INDEX('Chart of Accounts'!$D$5:$D$3000,MATCH(V161&amp;"",'Chart of Accounts'!$A$5:$A$3000,0)),"")</f>
        <v/>
      </c>
      <c r="AI161" s="23">
        <f>IFERROR(INDEX('Chart of Accounts'!$C$5:$C$3000,MATCH(AE161&amp;"",'Chart of Accounts'!$A$5:$A$3000,0))&amp;"|"&amp;INDEX('Chart of Accounts'!$D$5:$D$3000,MATCH(AE161&amp;"",'Chart of Accounts'!$A$5:$A$3000,0)),"")</f>
        <v/>
      </c>
      <c r="AJ161" s="23">
        <f>IFERROR(INDEX('Chart of Accounts'!$C$5:$C$3000,MATCH(X161&amp;"",'Chart of Accounts'!$A$5:$A$3000,0))&amp;"|"&amp;INDEX('Chart of Accounts'!$D$5:$D$3000,MATCH(X161&amp;"",'Chart of Accounts'!$A$5:$A$3000,0)),"")</f>
        <v/>
      </c>
      <c r="AK161" s="23">
        <f>IFERROR(INDEX('Chart of Accounts'!$C$5:$C$3000,MATCH(W161&amp;"",'Chart of Accounts'!$A$5:$A$3000,0))&amp;"|"&amp;INDEX('Chart of Accounts'!$D$5:$D$3000,MATCH(W161&amp;"",'Chart of Accounts'!$A$5:$A$3000,0)),"")</f>
        <v/>
      </c>
      <c r="AL161" s="23">
        <f>IF(LEFT(AG161,8)="Revenue|",-N(S161),0)+IF(LEFT(AH161,8)="Revenue|",-N(T161),0)+IF(LEFT(AI161,8)="Revenue|",N(AF161),0)+IF(LEFT(AJ161,8)="Revenue|",N(AC161),0)+IF(LEFT(AK161,8)="Revenue|",N(U161),0)</f>
        <v/>
      </c>
      <c r="AM161" s="23">
        <f>IF(LEFT(AG161,5)="COGS|",N(S161),0)+IF(LEFT(AH161,5)="COGS|",N(T161),0)+IF(LEFT(AI161,5)="COGS|",-N(AF161),0)+IF(LEFT(AJ161,5)="COGS|",-N(AC161),0)+IF(LEFT(AK161,5)="COGS|",-N(U161),0)</f>
        <v/>
      </c>
      <c r="AN161" s="23">
        <f>IF(LEFT(AG161,8)="Expense|",N(S161),0)+IF(LEFT(AH161,8)="Expense|",N(T161),0)+IF(LEFT(AI161,8)="Expense|",-N(AF161),0)+IF(LEFT(AJ161,8)="Expense|",-N(AC161),0)+IF(LEFT(AK161,8)="Expense|",-N(U161),0)</f>
        <v/>
      </c>
      <c r="AO161" s="23">
        <f>IF(ISNUMBER(MATCH(AG161,{"Expense|employee","Expense|general_admin","Expense|marketing","Expense|utilities","Expense|other_operating"},0)),N(S161),0)+IF(ISNUMBER(MATCH(AH161,{"Expense|employee","Expense|general_admin","Expense|marketing","Expense|utilities","Expense|other_operating"},0)),N(T161),0)+IF(ISNUMBER(MATCH(AI161,{"Expense|employee","Expense|general_admin","Expense|marketing","Expense|utilities","Expense|other_operating"},0)),-N(AF161),0)+IF(ISNUMBER(MATCH(AJ161,{"Expense|employee","Expense|general_admin","Expense|marketing","Expense|utilities","Expense|other_operating"},0)),-N(AC161),0)+IF(ISNUMBER(MATCH(AK161,{"Expense|employee","Expense|general_admin","Expense|marketing","Expense|utilities","Expense|other_operating"},0)),-N(U161),0)</f>
        <v/>
      </c>
      <c r="AP161" s="23">
        <f>IF(AG161="Liability|payable",-N(S161),0)+IF(AH161="Liability|payable",-N(T161),0)+IF(AI161="Liability|payable",N(AF161),0)+IF(AJ161="Liability|payable",N(AC161),0)+IF(AK161="Liability|payable",N(U161),0)</f>
        <v/>
      </c>
      <c r="AQ161" s="23">
        <f>IF(AG161="Liability|accrued",-N(S161),0)+IF(AH161="Liability|accrued",-N(T161),0)+IF(AI161="Liability|accrued",N(AF161),0)+IF(AJ161="Liability|accrued",N(AC161),0)+IF(AK161="Liability|accrued",N(U161),0)</f>
        <v/>
      </c>
      <c r="AR161" s="23">
        <f>IF(AND(N(S161)&lt;&gt;0,AG161=""),1,0)+IF(AND(N(T161)&lt;&gt;0,AH161=""),1,0)+IF(AND(N(AF161)&lt;&gt;0,AI161=""),1,0)+IF(AND(N(AC161)&lt;&gt;0,AJ161=""),1,0)+IF(AND(N(U161)&lt;&gt;0,AK161=""),1,0)</f>
        <v/>
      </c>
    </row>
    <row r="162">
      <c r="A162" s="19" t="n"/>
      <c r="B162" s="14" t="n"/>
      <c r="C162" s="14" t="n"/>
      <c r="D162" s="14" t="n"/>
      <c r="E162" s="14" t="n"/>
      <c r="F162" s="14" t="n"/>
      <c r="G162" s="14" t="n"/>
      <c r="H162" s="20" t="n"/>
      <c r="I162" s="14" t="n"/>
      <c r="J162" s="14" t="n"/>
      <c r="K162" s="20" t="n"/>
      <c r="L162" s="14" t="n"/>
      <c r="M162" s="14" t="n"/>
      <c r="N162" s="14" t="n"/>
      <c r="O162" s="14" t="n"/>
      <c r="P162" s="14" t="n"/>
      <c r="Q162" s="14" t="n"/>
      <c r="R162" s="14" t="n"/>
      <c r="S162" s="21">
        <f>ROUND(ABS(N(G162))*N(H162),2)</f>
        <v/>
      </c>
      <c r="T162" s="21">
        <f>IF(B162="Receipt",ROUND(S162*IFERROR(VLOOKUP(Q162,'Tax Codes'!$A$5:$E$300,5,FALSE),0),2),0)</f>
        <v/>
      </c>
      <c r="U162" s="21">
        <f>IF(B162="Receipt",ROUND(S162*IFERROR(VLOOKUP(R162,'Tax Codes'!$A$5:$E$300,5,FALSE),0),2),0)</f>
        <v/>
      </c>
      <c r="V162" s="16">
        <f>INDEX('Chart of Accounts'!$A$5:$A$3000,MATCH("vat_input",'Chart of Accounts'!$F$5:$F$3000,0))</f>
        <v/>
      </c>
      <c r="W162" s="16">
        <f>INDEX('Chart of Accounts'!$A$5:$A$3000,MATCH("wht_payable",'Chart of Accounts'!$F$5:$F$3000,0))</f>
        <v/>
      </c>
      <c r="X162" s="16">
        <f>IF(M162="",INDEX('Chart of Accounts'!$A$5:$A$3000,MATCH("bank",'Chart of Accounts'!$F$5:$F$3000,0)),M162&amp;"")</f>
        <v/>
      </c>
      <c r="Y162" s="16">
        <f>IF(N162="",INDEX('Chart of Accounts'!$A$5:$A$3000,MATCH("ap",'Chart of Accounts'!$F$5:$F$3000,0)),N162&amp;"")</f>
        <v/>
      </c>
      <c r="Z162" s="16">
        <f>IF(O162="",INDEX('Chart of Accounts'!$A$5:$A$3000,MATCH("materials",'Chart of Accounts'!$F$5:$F$3000,0)),O162&amp;"")</f>
        <v/>
      </c>
      <c r="AA162" s="16">
        <f>IF(IFERROR(INDEX(Warehouses!$C$5:$C$1000,MATCH(C162,Warehouses!$A$5:$A$1000,0))&amp;"","")="",INDEX('Chart of Accounts'!$A$5:$A$3000,MATCH("inventory",'Chart of Accounts'!$F$5:$F$3000,0)),IFERROR(INDEX(Warehouses!$C$5:$C$1000,MATCH(C162,Warehouses!$A$5:$A$1000,0))&amp;"",""))</f>
        <v/>
      </c>
      <c r="AB162" s="16">
        <f>IF(IFERROR(INDEX(Warehouses!$C$5:$C$1000,MATCH(D162,Warehouses!$A$5:$A$1000,0))&amp;"","")="",INDEX('Chart of Accounts'!$A$5:$A$3000,MATCH("inventory",'Chart of Accounts'!$F$5:$F$3000,0)),IFERROR(INDEX(Warehouses!$C$5:$C$1000,MATCH(D162,Warehouses!$A$5:$A$1000,0))&amp;"",""))</f>
        <v/>
      </c>
      <c r="AC162" s="21">
        <f>IF(B162="Receipt",N(K162),0)</f>
        <v/>
      </c>
      <c r="AD162" s="16">
        <f>IF(B162="Receipt",AA162,IF(B162="Issue",Z162,IF(B162="Transfer",AB162,IF(N(G162)&gt;=0,AA162,INDEX('Chart of Accounts'!$A$5:$A$3000,MATCH("stock_adjust",'Chart of Accounts'!$F$5:$F$3000,0))))))</f>
        <v/>
      </c>
      <c r="AE162" s="16">
        <f>IF(B162="Receipt",Y162,IF(B162="Adjustment",IF(N(G162)&gt;=0,INDEX('Chart of Accounts'!$A$5:$A$3000,MATCH("stock_adjust",'Chart of Accounts'!$F$5:$F$3000,0)),AA162),AA162))</f>
        <v/>
      </c>
      <c r="AF162" s="21">
        <f>S162+T162-U162-AC162</f>
        <v/>
      </c>
      <c r="AG162" s="23">
        <f>IFERROR(INDEX('Chart of Accounts'!$C$5:$C$3000,MATCH(AD162&amp;"",'Chart of Accounts'!$A$5:$A$3000,0))&amp;"|"&amp;INDEX('Chart of Accounts'!$D$5:$D$3000,MATCH(AD162&amp;"",'Chart of Accounts'!$A$5:$A$3000,0)),"")</f>
        <v/>
      </c>
      <c r="AH162" s="23">
        <f>IFERROR(INDEX('Chart of Accounts'!$C$5:$C$3000,MATCH(V162&amp;"",'Chart of Accounts'!$A$5:$A$3000,0))&amp;"|"&amp;INDEX('Chart of Accounts'!$D$5:$D$3000,MATCH(V162&amp;"",'Chart of Accounts'!$A$5:$A$3000,0)),"")</f>
        <v/>
      </c>
      <c r="AI162" s="23">
        <f>IFERROR(INDEX('Chart of Accounts'!$C$5:$C$3000,MATCH(AE162&amp;"",'Chart of Accounts'!$A$5:$A$3000,0))&amp;"|"&amp;INDEX('Chart of Accounts'!$D$5:$D$3000,MATCH(AE162&amp;"",'Chart of Accounts'!$A$5:$A$3000,0)),"")</f>
        <v/>
      </c>
      <c r="AJ162" s="23">
        <f>IFERROR(INDEX('Chart of Accounts'!$C$5:$C$3000,MATCH(X162&amp;"",'Chart of Accounts'!$A$5:$A$3000,0))&amp;"|"&amp;INDEX('Chart of Accounts'!$D$5:$D$3000,MATCH(X162&amp;"",'Chart of Accounts'!$A$5:$A$3000,0)),"")</f>
        <v/>
      </c>
      <c r="AK162" s="23">
        <f>IFERROR(INDEX('Chart of Accounts'!$C$5:$C$3000,MATCH(W162&amp;"",'Chart of Accounts'!$A$5:$A$3000,0))&amp;"|"&amp;INDEX('Chart of Accounts'!$D$5:$D$3000,MATCH(W162&amp;"",'Chart of Accounts'!$A$5:$A$3000,0)),"")</f>
        <v/>
      </c>
      <c r="AL162" s="23">
        <f>IF(LEFT(AG162,8)="Revenue|",-N(S162),0)+IF(LEFT(AH162,8)="Revenue|",-N(T162),0)+IF(LEFT(AI162,8)="Revenue|",N(AF162),0)+IF(LEFT(AJ162,8)="Revenue|",N(AC162),0)+IF(LEFT(AK162,8)="Revenue|",N(U162),0)</f>
        <v/>
      </c>
      <c r="AM162" s="23">
        <f>IF(LEFT(AG162,5)="COGS|",N(S162),0)+IF(LEFT(AH162,5)="COGS|",N(T162),0)+IF(LEFT(AI162,5)="COGS|",-N(AF162),0)+IF(LEFT(AJ162,5)="COGS|",-N(AC162),0)+IF(LEFT(AK162,5)="COGS|",-N(U162),0)</f>
        <v/>
      </c>
      <c r="AN162" s="23">
        <f>IF(LEFT(AG162,8)="Expense|",N(S162),0)+IF(LEFT(AH162,8)="Expense|",N(T162),0)+IF(LEFT(AI162,8)="Expense|",-N(AF162),0)+IF(LEFT(AJ162,8)="Expense|",-N(AC162),0)+IF(LEFT(AK162,8)="Expense|",-N(U162),0)</f>
        <v/>
      </c>
      <c r="AO162" s="23">
        <f>IF(ISNUMBER(MATCH(AG162,{"Expense|employee","Expense|general_admin","Expense|marketing","Expense|utilities","Expense|other_operating"},0)),N(S162),0)+IF(ISNUMBER(MATCH(AH162,{"Expense|employee","Expense|general_admin","Expense|marketing","Expense|utilities","Expense|other_operating"},0)),N(T162),0)+IF(ISNUMBER(MATCH(AI162,{"Expense|employee","Expense|general_admin","Expense|marketing","Expense|utilities","Expense|other_operating"},0)),-N(AF162),0)+IF(ISNUMBER(MATCH(AJ162,{"Expense|employee","Expense|general_admin","Expense|marketing","Expense|utilities","Expense|other_operating"},0)),-N(AC162),0)+IF(ISNUMBER(MATCH(AK162,{"Expense|employee","Expense|general_admin","Expense|marketing","Expense|utilities","Expense|other_operating"},0)),-N(U162),0)</f>
        <v/>
      </c>
      <c r="AP162" s="23">
        <f>IF(AG162="Liability|payable",-N(S162),0)+IF(AH162="Liability|payable",-N(T162),0)+IF(AI162="Liability|payable",N(AF162),0)+IF(AJ162="Liability|payable",N(AC162),0)+IF(AK162="Liability|payable",N(U162),0)</f>
        <v/>
      </c>
      <c r="AQ162" s="23">
        <f>IF(AG162="Liability|accrued",-N(S162),0)+IF(AH162="Liability|accrued",-N(T162),0)+IF(AI162="Liability|accrued",N(AF162),0)+IF(AJ162="Liability|accrued",N(AC162),0)+IF(AK162="Liability|accrued",N(U162),0)</f>
        <v/>
      </c>
      <c r="AR162" s="23">
        <f>IF(AND(N(S162)&lt;&gt;0,AG162=""),1,0)+IF(AND(N(T162)&lt;&gt;0,AH162=""),1,0)+IF(AND(N(AF162)&lt;&gt;0,AI162=""),1,0)+IF(AND(N(AC162)&lt;&gt;0,AJ162=""),1,0)+IF(AND(N(U162)&lt;&gt;0,AK162=""),1,0)</f>
        <v/>
      </c>
    </row>
    <row r="163">
      <c r="A163" s="19" t="n"/>
      <c r="B163" s="14" t="n"/>
      <c r="C163" s="14" t="n"/>
      <c r="D163" s="14" t="n"/>
      <c r="E163" s="14" t="n"/>
      <c r="F163" s="14" t="n"/>
      <c r="G163" s="14" t="n"/>
      <c r="H163" s="20" t="n"/>
      <c r="I163" s="14" t="n"/>
      <c r="J163" s="14" t="n"/>
      <c r="K163" s="20" t="n"/>
      <c r="L163" s="14" t="n"/>
      <c r="M163" s="14" t="n"/>
      <c r="N163" s="14" t="n"/>
      <c r="O163" s="14" t="n"/>
      <c r="P163" s="14" t="n"/>
      <c r="Q163" s="14" t="n"/>
      <c r="R163" s="14" t="n"/>
      <c r="S163" s="21">
        <f>ROUND(ABS(N(G163))*N(H163),2)</f>
        <v/>
      </c>
      <c r="T163" s="21">
        <f>IF(B163="Receipt",ROUND(S163*IFERROR(VLOOKUP(Q163,'Tax Codes'!$A$5:$E$300,5,FALSE),0),2),0)</f>
        <v/>
      </c>
      <c r="U163" s="21">
        <f>IF(B163="Receipt",ROUND(S163*IFERROR(VLOOKUP(R163,'Tax Codes'!$A$5:$E$300,5,FALSE),0),2),0)</f>
        <v/>
      </c>
      <c r="V163" s="16">
        <f>INDEX('Chart of Accounts'!$A$5:$A$3000,MATCH("vat_input",'Chart of Accounts'!$F$5:$F$3000,0))</f>
        <v/>
      </c>
      <c r="W163" s="16">
        <f>INDEX('Chart of Accounts'!$A$5:$A$3000,MATCH("wht_payable",'Chart of Accounts'!$F$5:$F$3000,0))</f>
        <v/>
      </c>
      <c r="X163" s="16">
        <f>IF(M163="",INDEX('Chart of Accounts'!$A$5:$A$3000,MATCH("bank",'Chart of Accounts'!$F$5:$F$3000,0)),M163&amp;"")</f>
        <v/>
      </c>
      <c r="Y163" s="16">
        <f>IF(N163="",INDEX('Chart of Accounts'!$A$5:$A$3000,MATCH("ap",'Chart of Accounts'!$F$5:$F$3000,0)),N163&amp;"")</f>
        <v/>
      </c>
      <c r="Z163" s="16">
        <f>IF(O163="",INDEX('Chart of Accounts'!$A$5:$A$3000,MATCH("materials",'Chart of Accounts'!$F$5:$F$3000,0)),O163&amp;"")</f>
        <v/>
      </c>
      <c r="AA163" s="16">
        <f>IF(IFERROR(INDEX(Warehouses!$C$5:$C$1000,MATCH(C163,Warehouses!$A$5:$A$1000,0))&amp;"","")="",INDEX('Chart of Accounts'!$A$5:$A$3000,MATCH("inventory",'Chart of Accounts'!$F$5:$F$3000,0)),IFERROR(INDEX(Warehouses!$C$5:$C$1000,MATCH(C163,Warehouses!$A$5:$A$1000,0))&amp;"",""))</f>
        <v/>
      </c>
      <c r="AB163" s="16">
        <f>IF(IFERROR(INDEX(Warehouses!$C$5:$C$1000,MATCH(D163,Warehouses!$A$5:$A$1000,0))&amp;"","")="",INDEX('Chart of Accounts'!$A$5:$A$3000,MATCH("inventory",'Chart of Accounts'!$F$5:$F$3000,0)),IFERROR(INDEX(Warehouses!$C$5:$C$1000,MATCH(D163,Warehouses!$A$5:$A$1000,0))&amp;"",""))</f>
        <v/>
      </c>
      <c r="AC163" s="21">
        <f>IF(B163="Receipt",N(K163),0)</f>
        <v/>
      </c>
      <c r="AD163" s="16">
        <f>IF(B163="Receipt",AA163,IF(B163="Issue",Z163,IF(B163="Transfer",AB163,IF(N(G163)&gt;=0,AA163,INDEX('Chart of Accounts'!$A$5:$A$3000,MATCH("stock_adjust",'Chart of Accounts'!$F$5:$F$3000,0))))))</f>
        <v/>
      </c>
      <c r="AE163" s="16">
        <f>IF(B163="Receipt",Y163,IF(B163="Adjustment",IF(N(G163)&gt;=0,INDEX('Chart of Accounts'!$A$5:$A$3000,MATCH("stock_adjust",'Chart of Accounts'!$F$5:$F$3000,0)),AA163),AA163))</f>
        <v/>
      </c>
      <c r="AF163" s="21">
        <f>S163+T163-U163-AC163</f>
        <v/>
      </c>
      <c r="AG163" s="23">
        <f>IFERROR(INDEX('Chart of Accounts'!$C$5:$C$3000,MATCH(AD163&amp;"",'Chart of Accounts'!$A$5:$A$3000,0))&amp;"|"&amp;INDEX('Chart of Accounts'!$D$5:$D$3000,MATCH(AD163&amp;"",'Chart of Accounts'!$A$5:$A$3000,0)),"")</f>
        <v/>
      </c>
      <c r="AH163" s="23">
        <f>IFERROR(INDEX('Chart of Accounts'!$C$5:$C$3000,MATCH(V163&amp;"",'Chart of Accounts'!$A$5:$A$3000,0))&amp;"|"&amp;INDEX('Chart of Accounts'!$D$5:$D$3000,MATCH(V163&amp;"",'Chart of Accounts'!$A$5:$A$3000,0)),"")</f>
        <v/>
      </c>
      <c r="AI163" s="23">
        <f>IFERROR(INDEX('Chart of Accounts'!$C$5:$C$3000,MATCH(AE163&amp;"",'Chart of Accounts'!$A$5:$A$3000,0))&amp;"|"&amp;INDEX('Chart of Accounts'!$D$5:$D$3000,MATCH(AE163&amp;"",'Chart of Accounts'!$A$5:$A$3000,0)),"")</f>
        <v/>
      </c>
      <c r="AJ163" s="23">
        <f>IFERROR(INDEX('Chart of Accounts'!$C$5:$C$3000,MATCH(X163&amp;"",'Chart of Accounts'!$A$5:$A$3000,0))&amp;"|"&amp;INDEX('Chart of Accounts'!$D$5:$D$3000,MATCH(X163&amp;"",'Chart of Accounts'!$A$5:$A$3000,0)),"")</f>
        <v/>
      </c>
      <c r="AK163" s="23">
        <f>IFERROR(INDEX('Chart of Accounts'!$C$5:$C$3000,MATCH(W163&amp;"",'Chart of Accounts'!$A$5:$A$3000,0))&amp;"|"&amp;INDEX('Chart of Accounts'!$D$5:$D$3000,MATCH(W163&amp;"",'Chart of Accounts'!$A$5:$A$3000,0)),"")</f>
        <v/>
      </c>
      <c r="AL163" s="23">
        <f>IF(LEFT(AG163,8)="Revenue|",-N(S163),0)+IF(LEFT(AH163,8)="Revenue|",-N(T163),0)+IF(LEFT(AI163,8)="Revenue|",N(AF163),0)+IF(LEFT(AJ163,8)="Revenue|",N(AC163),0)+IF(LEFT(AK163,8)="Revenue|",N(U163),0)</f>
        <v/>
      </c>
      <c r="AM163" s="23">
        <f>IF(LEFT(AG163,5)="COGS|",N(S163),0)+IF(LEFT(AH163,5)="COGS|",N(T163),0)+IF(LEFT(AI163,5)="COGS|",-N(AF163),0)+IF(LEFT(AJ163,5)="COGS|",-N(AC163),0)+IF(LEFT(AK163,5)="COGS|",-N(U163),0)</f>
        <v/>
      </c>
      <c r="AN163" s="23">
        <f>IF(LEFT(AG163,8)="Expense|",N(S163),0)+IF(LEFT(AH163,8)="Expense|",N(T163),0)+IF(LEFT(AI163,8)="Expense|",-N(AF163),0)+IF(LEFT(AJ163,8)="Expense|",-N(AC163),0)+IF(LEFT(AK163,8)="Expense|",-N(U163),0)</f>
        <v/>
      </c>
      <c r="AO163" s="23">
        <f>IF(ISNUMBER(MATCH(AG163,{"Expense|employee","Expense|general_admin","Expense|marketing","Expense|utilities","Expense|other_operating"},0)),N(S163),0)+IF(ISNUMBER(MATCH(AH163,{"Expense|employee","Expense|general_admin","Expense|marketing","Expense|utilities","Expense|other_operating"},0)),N(T163),0)+IF(ISNUMBER(MATCH(AI163,{"Expense|employee","Expense|general_admin","Expense|marketing","Expense|utilities","Expense|other_operating"},0)),-N(AF163),0)+IF(ISNUMBER(MATCH(AJ163,{"Expense|employee","Expense|general_admin","Expense|marketing","Expense|utilities","Expense|other_operating"},0)),-N(AC163),0)+IF(ISNUMBER(MATCH(AK163,{"Expense|employee","Expense|general_admin","Expense|marketing","Expense|utilities","Expense|other_operating"},0)),-N(U163),0)</f>
        <v/>
      </c>
      <c r="AP163" s="23">
        <f>IF(AG163="Liability|payable",-N(S163),0)+IF(AH163="Liability|payable",-N(T163),0)+IF(AI163="Liability|payable",N(AF163),0)+IF(AJ163="Liability|payable",N(AC163),0)+IF(AK163="Liability|payable",N(U163),0)</f>
        <v/>
      </c>
      <c r="AQ163" s="23">
        <f>IF(AG163="Liability|accrued",-N(S163),0)+IF(AH163="Liability|accrued",-N(T163),0)+IF(AI163="Liability|accrued",N(AF163),0)+IF(AJ163="Liability|accrued",N(AC163),0)+IF(AK163="Liability|accrued",N(U163),0)</f>
        <v/>
      </c>
      <c r="AR163" s="23">
        <f>IF(AND(N(S163)&lt;&gt;0,AG163=""),1,0)+IF(AND(N(T163)&lt;&gt;0,AH163=""),1,0)+IF(AND(N(AF163)&lt;&gt;0,AI163=""),1,0)+IF(AND(N(AC163)&lt;&gt;0,AJ163=""),1,0)+IF(AND(N(U163)&lt;&gt;0,AK163=""),1,0)</f>
        <v/>
      </c>
    </row>
    <row r="164">
      <c r="A164" s="19" t="n"/>
      <c r="B164" s="14" t="n"/>
      <c r="C164" s="14" t="n"/>
      <c r="D164" s="14" t="n"/>
      <c r="E164" s="14" t="n"/>
      <c r="F164" s="14" t="n"/>
      <c r="G164" s="14" t="n"/>
      <c r="H164" s="20" t="n"/>
      <c r="I164" s="14" t="n"/>
      <c r="J164" s="14" t="n"/>
      <c r="K164" s="20" t="n"/>
      <c r="L164" s="14" t="n"/>
      <c r="M164" s="14" t="n"/>
      <c r="N164" s="14" t="n"/>
      <c r="O164" s="14" t="n"/>
      <c r="P164" s="14" t="n"/>
      <c r="Q164" s="14" t="n"/>
      <c r="R164" s="14" t="n"/>
      <c r="S164" s="21">
        <f>ROUND(ABS(N(G164))*N(H164),2)</f>
        <v/>
      </c>
      <c r="T164" s="21">
        <f>IF(B164="Receipt",ROUND(S164*IFERROR(VLOOKUP(Q164,'Tax Codes'!$A$5:$E$300,5,FALSE),0),2),0)</f>
        <v/>
      </c>
      <c r="U164" s="21">
        <f>IF(B164="Receipt",ROUND(S164*IFERROR(VLOOKUP(R164,'Tax Codes'!$A$5:$E$300,5,FALSE),0),2),0)</f>
        <v/>
      </c>
      <c r="V164" s="16">
        <f>INDEX('Chart of Accounts'!$A$5:$A$3000,MATCH("vat_input",'Chart of Accounts'!$F$5:$F$3000,0))</f>
        <v/>
      </c>
      <c r="W164" s="16">
        <f>INDEX('Chart of Accounts'!$A$5:$A$3000,MATCH("wht_payable",'Chart of Accounts'!$F$5:$F$3000,0))</f>
        <v/>
      </c>
      <c r="X164" s="16">
        <f>IF(M164="",INDEX('Chart of Accounts'!$A$5:$A$3000,MATCH("bank",'Chart of Accounts'!$F$5:$F$3000,0)),M164&amp;"")</f>
        <v/>
      </c>
      <c r="Y164" s="16">
        <f>IF(N164="",INDEX('Chart of Accounts'!$A$5:$A$3000,MATCH("ap",'Chart of Accounts'!$F$5:$F$3000,0)),N164&amp;"")</f>
        <v/>
      </c>
      <c r="Z164" s="16">
        <f>IF(O164="",INDEX('Chart of Accounts'!$A$5:$A$3000,MATCH("materials",'Chart of Accounts'!$F$5:$F$3000,0)),O164&amp;"")</f>
        <v/>
      </c>
      <c r="AA164" s="16">
        <f>IF(IFERROR(INDEX(Warehouses!$C$5:$C$1000,MATCH(C164,Warehouses!$A$5:$A$1000,0))&amp;"","")="",INDEX('Chart of Accounts'!$A$5:$A$3000,MATCH("inventory",'Chart of Accounts'!$F$5:$F$3000,0)),IFERROR(INDEX(Warehouses!$C$5:$C$1000,MATCH(C164,Warehouses!$A$5:$A$1000,0))&amp;"",""))</f>
        <v/>
      </c>
      <c r="AB164" s="16">
        <f>IF(IFERROR(INDEX(Warehouses!$C$5:$C$1000,MATCH(D164,Warehouses!$A$5:$A$1000,0))&amp;"","")="",INDEX('Chart of Accounts'!$A$5:$A$3000,MATCH("inventory",'Chart of Accounts'!$F$5:$F$3000,0)),IFERROR(INDEX(Warehouses!$C$5:$C$1000,MATCH(D164,Warehouses!$A$5:$A$1000,0))&amp;"",""))</f>
        <v/>
      </c>
      <c r="AC164" s="21">
        <f>IF(B164="Receipt",N(K164),0)</f>
        <v/>
      </c>
      <c r="AD164" s="16">
        <f>IF(B164="Receipt",AA164,IF(B164="Issue",Z164,IF(B164="Transfer",AB164,IF(N(G164)&gt;=0,AA164,INDEX('Chart of Accounts'!$A$5:$A$3000,MATCH("stock_adjust",'Chart of Accounts'!$F$5:$F$3000,0))))))</f>
        <v/>
      </c>
      <c r="AE164" s="16">
        <f>IF(B164="Receipt",Y164,IF(B164="Adjustment",IF(N(G164)&gt;=0,INDEX('Chart of Accounts'!$A$5:$A$3000,MATCH("stock_adjust",'Chart of Accounts'!$F$5:$F$3000,0)),AA164),AA164))</f>
        <v/>
      </c>
      <c r="AF164" s="21">
        <f>S164+T164-U164-AC164</f>
        <v/>
      </c>
      <c r="AG164" s="23">
        <f>IFERROR(INDEX('Chart of Accounts'!$C$5:$C$3000,MATCH(AD164&amp;"",'Chart of Accounts'!$A$5:$A$3000,0))&amp;"|"&amp;INDEX('Chart of Accounts'!$D$5:$D$3000,MATCH(AD164&amp;"",'Chart of Accounts'!$A$5:$A$3000,0)),"")</f>
        <v/>
      </c>
      <c r="AH164" s="23">
        <f>IFERROR(INDEX('Chart of Accounts'!$C$5:$C$3000,MATCH(V164&amp;"",'Chart of Accounts'!$A$5:$A$3000,0))&amp;"|"&amp;INDEX('Chart of Accounts'!$D$5:$D$3000,MATCH(V164&amp;"",'Chart of Accounts'!$A$5:$A$3000,0)),"")</f>
        <v/>
      </c>
      <c r="AI164" s="23">
        <f>IFERROR(INDEX('Chart of Accounts'!$C$5:$C$3000,MATCH(AE164&amp;"",'Chart of Accounts'!$A$5:$A$3000,0))&amp;"|"&amp;INDEX('Chart of Accounts'!$D$5:$D$3000,MATCH(AE164&amp;"",'Chart of Accounts'!$A$5:$A$3000,0)),"")</f>
        <v/>
      </c>
      <c r="AJ164" s="23">
        <f>IFERROR(INDEX('Chart of Accounts'!$C$5:$C$3000,MATCH(X164&amp;"",'Chart of Accounts'!$A$5:$A$3000,0))&amp;"|"&amp;INDEX('Chart of Accounts'!$D$5:$D$3000,MATCH(X164&amp;"",'Chart of Accounts'!$A$5:$A$3000,0)),"")</f>
        <v/>
      </c>
      <c r="AK164" s="23">
        <f>IFERROR(INDEX('Chart of Accounts'!$C$5:$C$3000,MATCH(W164&amp;"",'Chart of Accounts'!$A$5:$A$3000,0))&amp;"|"&amp;INDEX('Chart of Accounts'!$D$5:$D$3000,MATCH(W164&amp;"",'Chart of Accounts'!$A$5:$A$3000,0)),"")</f>
        <v/>
      </c>
      <c r="AL164" s="23">
        <f>IF(LEFT(AG164,8)="Revenue|",-N(S164),0)+IF(LEFT(AH164,8)="Revenue|",-N(T164),0)+IF(LEFT(AI164,8)="Revenue|",N(AF164),0)+IF(LEFT(AJ164,8)="Revenue|",N(AC164),0)+IF(LEFT(AK164,8)="Revenue|",N(U164),0)</f>
        <v/>
      </c>
      <c r="AM164" s="23">
        <f>IF(LEFT(AG164,5)="COGS|",N(S164),0)+IF(LEFT(AH164,5)="COGS|",N(T164),0)+IF(LEFT(AI164,5)="COGS|",-N(AF164),0)+IF(LEFT(AJ164,5)="COGS|",-N(AC164),0)+IF(LEFT(AK164,5)="COGS|",-N(U164),0)</f>
        <v/>
      </c>
      <c r="AN164" s="23">
        <f>IF(LEFT(AG164,8)="Expense|",N(S164),0)+IF(LEFT(AH164,8)="Expense|",N(T164),0)+IF(LEFT(AI164,8)="Expense|",-N(AF164),0)+IF(LEFT(AJ164,8)="Expense|",-N(AC164),0)+IF(LEFT(AK164,8)="Expense|",-N(U164),0)</f>
        <v/>
      </c>
      <c r="AO164" s="23">
        <f>IF(ISNUMBER(MATCH(AG164,{"Expense|employee","Expense|general_admin","Expense|marketing","Expense|utilities","Expense|other_operating"},0)),N(S164),0)+IF(ISNUMBER(MATCH(AH164,{"Expense|employee","Expense|general_admin","Expense|marketing","Expense|utilities","Expense|other_operating"},0)),N(T164),0)+IF(ISNUMBER(MATCH(AI164,{"Expense|employee","Expense|general_admin","Expense|marketing","Expense|utilities","Expense|other_operating"},0)),-N(AF164),0)+IF(ISNUMBER(MATCH(AJ164,{"Expense|employee","Expense|general_admin","Expense|marketing","Expense|utilities","Expense|other_operating"},0)),-N(AC164),0)+IF(ISNUMBER(MATCH(AK164,{"Expense|employee","Expense|general_admin","Expense|marketing","Expense|utilities","Expense|other_operating"},0)),-N(U164),0)</f>
        <v/>
      </c>
      <c r="AP164" s="23">
        <f>IF(AG164="Liability|payable",-N(S164),0)+IF(AH164="Liability|payable",-N(T164),0)+IF(AI164="Liability|payable",N(AF164),0)+IF(AJ164="Liability|payable",N(AC164),0)+IF(AK164="Liability|payable",N(U164),0)</f>
        <v/>
      </c>
      <c r="AQ164" s="23">
        <f>IF(AG164="Liability|accrued",-N(S164),0)+IF(AH164="Liability|accrued",-N(T164),0)+IF(AI164="Liability|accrued",N(AF164),0)+IF(AJ164="Liability|accrued",N(AC164),0)+IF(AK164="Liability|accrued",N(U164),0)</f>
        <v/>
      </c>
      <c r="AR164" s="23">
        <f>IF(AND(N(S164)&lt;&gt;0,AG164=""),1,0)+IF(AND(N(T164)&lt;&gt;0,AH164=""),1,0)+IF(AND(N(AF164)&lt;&gt;0,AI164=""),1,0)+IF(AND(N(AC164)&lt;&gt;0,AJ164=""),1,0)+IF(AND(N(U164)&lt;&gt;0,AK164=""),1,0)</f>
        <v/>
      </c>
    </row>
    <row r="165">
      <c r="A165" s="19" t="n"/>
      <c r="B165" s="14" t="n"/>
      <c r="C165" s="14" t="n"/>
      <c r="D165" s="14" t="n"/>
      <c r="E165" s="14" t="n"/>
      <c r="F165" s="14" t="n"/>
      <c r="G165" s="14" t="n"/>
      <c r="H165" s="20" t="n"/>
      <c r="I165" s="14" t="n"/>
      <c r="J165" s="14" t="n"/>
      <c r="K165" s="20" t="n"/>
      <c r="L165" s="14" t="n"/>
      <c r="M165" s="14" t="n"/>
      <c r="N165" s="14" t="n"/>
      <c r="O165" s="14" t="n"/>
      <c r="P165" s="14" t="n"/>
      <c r="Q165" s="14" t="n"/>
      <c r="R165" s="14" t="n"/>
      <c r="S165" s="21">
        <f>ROUND(ABS(N(G165))*N(H165),2)</f>
        <v/>
      </c>
      <c r="T165" s="21">
        <f>IF(B165="Receipt",ROUND(S165*IFERROR(VLOOKUP(Q165,'Tax Codes'!$A$5:$E$300,5,FALSE),0),2),0)</f>
        <v/>
      </c>
      <c r="U165" s="21">
        <f>IF(B165="Receipt",ROUND(S165*IFERROR(VLOOKUP(R165,'Tax Codes'!$A$5:$E$300,5,FALSE),0),2),0)</f>
        <v/>
      </c>
      <c r="V165" s="16">
        <f>INDEX('Chart of Accounts'!$A$5:$A$3000,MATCH("vat_input",'Chart of Accounts'!$F$5:$F$3000,0))</f>
        <v/>
      </c>
      <c r="W165" s="16">
        <f>INDEX('Chart of Accounts'!$A$5:$A$3000,MATCH("wht_payable",'Chart of Accounts'!$F$5:$F$3000,0))</f>
        <v/>
      </c>
      <c r="X165" s="16">
        <f>IF(M165="",INDEX('Chart of Accounts'!$A$5:$A$3000,MATCH("bank",'Chart of Accounts'!$F$5:$F$3000,0)),M165&amp;"")</f>
        <v/>
      </c>
      <c r="Y165" s="16">
        <f>IF(N165="",INDEX('Chart of Accounts'!$A$5:$A$3000,MATCH("ap",'Chart of Accounts'!$F$5:$F$3000,0)),N165&amp;"")</f>
        <v/>
      </c>
      <c r="Z165" s="16">
        <f>IF(O165="",INDEX('Chart of Accounts'!$A$5:$A$3000,MATCH("materials",'Chart of Accounts'!$F$5:$F$3000,0)),O165&amp;"")</f>
        <v/>
      </c>
      <c r="AA165" s="16">
        <f>IF(IFERROR(INDEX(Warehouses!$C$5:$C$1000,MATCH(C165,Warehouses!$A$5:$A$1000,0))&amp;"","")="",INDEX('Chart of Accounts'!$A$5:$A$3000,MATCH("inventory",'Chart of Accounts'!$F$5:$F$3000,0)),IFERROR(INDEX(Warehouses!$C$5:$C$1000,MATCH(C165,Warehouses!$A$5:$A$1000,0))&amp;"",""))</f>
        <v/>
      </c>
      <c r="AB165" s="16">
        <f>IF(IFERROR(INDEX(Warehouses!$C$5:$C$1000,MATCH(D165,Warehouses!$A$5:$A$1000,0))&amp;"","")="",INDEX('Chart of Accounts'!$A$5:$A$3000,MATCH("inventory",'Chart of Accounts'!$F$5:$F$3000,0)),IFERROR(INDEX(Warehouses!$C$5:$C$1000,MATCH(D165,Warehouses!$A$5:$A$1000,0))&amp;"",""))</f>
        <v/>
      </c>
      <c r="AC165" s="21">
        <f>IF(B165="Receipt",N(K165),0)</f>
        <v/>
      </c>
      <c r="AD165" s="16">
        <f>IF(B165="Receipt",AA165,IF(B165="Issue",Z165,IF(B165="Transfer",AB165,IF(N(G165)&gt;=0,AA165,INDEX('Chart of Accounts'!$A$5:$A$3000,MATCH("stock_adjust",'Chart of Accounts'!$F$5:$F$3000,0))))))</f>
        <v/>
      </c>
      <c r="AE165" s="16">
        <f>IF(B165="Receipt",Y165,IF(B165="Adjustment",IF(N(G165)&gt;=0,INDEX('Chart of Accounts'!$A$5:$A$3000,MATCH("stock_adjust",'Chart of Accounts'!$F$5:$F$3000,0)),AA165),AA165))</f>
        <v/>
      </c>
      <c r="AF165" s="21">
        <f>S165+T165-U165-AC165</f>
        <v/>
      </c>
      <c r="AG165" s="23">
        <f>IFERROR(INDEX('Chart of Accounts'!$C$5:$C$3000,MATCH(AD165&amp;"",'Chart of Accounts'!$A$5:$A$3000,0))&amp;"|"&amp;INDEX('Chart of Accounts'!$D$5:$D$3000,MATCH(AD165&amp;"",'Chart of Accounts'!$A$5:$A$3000,0)),"")</f>
        <v/>
      </c>
      <c r="AH165" s="23">
        <f>IFERROR(INDEX('Chart of Accounts'!$C$5:$C$3000,MATCH(V165&amp;"",'Chart of Accounts'!$A$5:$A$3000,0))&amp;"|"&amp;INDEX('Chart of Accounts'!$D$5:$D$3000,MATCH(V165&amp;"",'Chart of Accounts'!$A$5:$A$3000,0)),"")</f>
        <v/>
      </c>
      <c r="AI165" s="23">
        <f>IFERROR(INDEX('Chart of Accounts'!$C$5:$C$3000,MATCH(AE165&amp;"",'Chart of Accounts'!$A$5:$A$3000,0))&amp;"|"&amp;INDEX('Chart of Accounts'!$D$5:$D$3000,MATCH(AE165&amp;"",'Chart of Accounts'!$A$5:$A$3000,0)),"")</f>
        <v/>
      </c>
      <c r="AJ165" s="23">
        <f>IFERROR(INDEX('Chart of Accounts'!$C$5:$C$3000,MATCH(X165&amp;"",'Chart of Accounts'!$A$5:$A$3000,0))&amp;"|"&amp;INDEX('Chart of Accounts'!$D$5:$D$3000,MATCH(X165&amp;"",'Chart of Accounts'!$A$5:$A$3000,0)),"")</f>
        <v/>
      </c>
      <c r="AK165" s="23">
        <f>IFERROR(INDEX('Chart of Accounts'!$C$5:$C$3000,MATCH(W165&amp;"",'Chart of Accounts'!$A$5:$A$3000,0))&amp;"|"&amp;INDEX('Chart of Accounts'!$D$5:$D$3000,MATCH(W165&amp;"",'Chart of Accounts'!$A$5:$A$3000,0)),"")</f>
        <v/>
      </c>
      <c r="AL165" s="23">
        <f>IF(LEFT(AG165,8)="Revenue|",-N(S165),0)+IF(LEFT(AH165,8)="Revenue|",-N(T165),0)+IF(LEFT(AI165,8)="Revenue|",N(AF165),0)+IF(LEFT(AJ165,8)="Revenue|",N(AC165),0)+IF(LEFT(AK165,8)="Revenue|",N(U165),0)</f>
        <v/>
      </c>
      <c r="AM165" s="23">
        <f>IF(LEFT(AG165,5)="COGS|",N(S165),0)+IF(LEFT(AH165,5)="COGS|",N(T165),0)+IF(LEFT(AI165,5)="COGS|",-N(AF165),0)+IF(LEFT(AJ165,5)="COGS|",-N(AC165),0)+IF(LEFT(AK165,5)="COGS|",-N(U165),0)</f>
        <v/>
      </c>
      <c r="AN165" s="23">
        <f>IF(LEFT(AG165,8)="Expense|",N(S165),0)+IF(LEFT(AH165,8)="Expense|",N(T165),0)+IF(LEFT(AI165,8)="Expense|",-N(AF165),0)+IF(LEFT(AJ165,8)="Expense|",-N(AC165),0)+IF(LEFT(AK165,8)="Expense|",-N(U165),0)</f>
        <v/>
      </c>
      <c r="AO165" s="23">
        <f>IF(ISNUMBER(MATCH(AG165,{"Expense|employee","Expense|general_admin","Expense|marketing","Expense|utilities","Expense|other_operating"},0)),N(S165),0)+IF(ISNUMBER(MATCH(AH165,{"Expense|employee","Expense|general_admin","Expense|marketing","Expense|utilities","Expense|other_operating"},0)),N(T165),0)+IF(ISNUMBER(MATCH(AI165,{"Expense|employee","Expense|general_admin","Expense|marketing","Expense|utilities","Expense|other_operating"},0)),-N(AF165),0)+IF(ISNUMBER(MATCH(AJ165,{"Expense|employee","Expense|general_admin","Expense|marketing","Expense|utilities","Expense|other_operating"},0)),-N(AC165),0)+IF(ISNUMBER(MATCH(AK165,{"Expense|employee","Expense|general_admin","Expense|marketing","Expense|utilities","Expense|other_operating"},0)),-N(U165),0)</f>
        <v/>
      </c>
      <c r="AP165" s="23">
        <f>IF(AG165="Liability|payable",-N(S165),0)+IF(AH165="Liability|payable",-N(T165),0)+IF(AI165="Liability|payable",N(AF165),0)+IF(AJ165="Liability|payable",N(AC165),0)+IF(AK165="Liability|payable",N(U165),0)</f>
        <v/>
      </c>
      <c r="AQ165" s="23">
        <f>IF(AG165="Liability|accrued",-N(S165),0)+IF(AH165="Liability|accrued",-N(T165),0)+IF(AI165="Liability|accrued",N(AF165),0)+IF(AJ165="Liability|accrued",N(AC165),0)+IF(AK165="Liability|accrued",N(U165),0)</f>
        <v/>
      </c>
      <c r="AR165" s="23">
        <f>IF(AND(N(S165)&lt;&gt;0,AG165=""),1,0)+IF(AND(N(T165)&lt;&gt;0,AH165=""),1,0)+IF(AND(N(AF165)&lt;&gt;0,AI165=""),1,0)+IF(AND(N(AC165)&lt;&gt;0,AJ165=""),1,0)+IF(AND(N(U165)&lt;&gt;0,AK165=""),1,0)</f>
        <v/>
      </c>
    </row>
    <row r="166">
      <c r="A166" s="19" t="n"/>
      <c r="B166" s="14" t="n"/>
      <c r="C166" s="14" t="n"/>
      <c r="D166" s="14" t="n"/>
      <c r="E166" s="14" t="n"/>
      <c r="F166" s="14" t="n"/>
      <c r="G166" s="14" t="n"/>
      <c r="H166" s="20" t="n"/>
      <c r="I166" s="14" t="n"/>
      <c r="J166" s="14" t="n"/>
      <c r="K166" s="20" t="n"/>
      <c r="L166" s="14" t="n"/>
      <c r="M166" s="14" t="n"/>
      <c r="N166" s="14" t="n"/>
      <c r="O166" s="14" t="n"/>
      <c r="P166" s="14" t="n"/>
      <c r="Q166" s="14" t="n"/>
      <c r="R166" s="14" t="n"/>
      <c r="S166" s="21">
        <f>ROUND(ABS(N(G166))*N(H166),2)</f>
        <v/>
      </c>
      <c r="T166" s="21">
        <f>IF(B166="Receipt",ROUND(S166*IFERROR(VLOOKUP(Q166,'Tax Codes'!$A$5:$E$300,5,FALSE),0),2),0)</f>
        <v/>
      </c>
      <c r="U166" s="21">
        <f>IF(B166="Receipt",ROUND(S166*IFERROR(VLOOKUP(R166,'Tax Codes'!$A$5:$E$300,5,FALSE),0),2),0)</f>
        <v/>
      </c>
      <c r="V166" s="16">
        <f>INDEX('Chart of Accounts'!$A$5:$A$3000,MATCH("vat_input",'Chart of Accounts'!$F$5:$F$3000,0))</f>
        <v/>
      </c>
      <c r="W166" s="16">
        <f>INDEX('Chart of Accounts'!$A$5:$A$3000,MATCH("wht_payable",'Chart of Accounts'!$F$5:$F$3000,0))</f>
        <v/>
      </c>
      <c r="X166" s="16">
        <f>IF(M166="",INDEX('Chart of Accounts'!$A$5:$A$3000,MATCH("bank",'Chart of Accounts'!$F$5:$F$3000,0)),M166&amp;"")</f>
        <v/>
      </c>
      <c r="Y166" s="16">
        <f>IF(N166="",INDEX('Chart of Accounts'!$A$5:$A$3000,MATCH("ap",'Chart of Accounts'!$F$5:$F$3000,0)),N166&amp;"")</f>
        <v/>
      </c>
      <c r="Z166" s="16">
        <f>IF(O166="",INDEX('Chart of Accounts'!$A$5:$A$3000,MATCH("materials",'Chart of Accounts'!$F$5:$F$3000,0)),O166&amp;"")</f>
        <v/>
      </c>
      <c r="AA166" s="16">
        <f>IF(IFERROR(INDEX(Warehouses!$C$5:$C$1000,MATCH(C166,Warehouses!$A$5:$A$1000,0))&amp;"","")="",INDEX('Chart of Accounts'!$A$5:$A$3000,MATCH("inventory",'Chart of Accounts'!$F$5:$F$3000,0)),IFERROR(INDEX(Warehouses!$C$5:$C$1000,MATCH(C166,Warehouses!$A$5:$A$1000,0))&amp;"",""))</f>
        <v/>
      </c>
      <c r="AB166" s="16">
        <f>IF(IFERROR(INDEX(Warehouses!$C$5:$C$1000,MATCH(D166,Warehouses!$A$5:$A$1000,0))&amp;"","")="",INDEX('Chart of Accounts'!$A$5:$A$3000,MATCH("inventory",'Chart of Accounts'!$F$5:$F$3000,0)),IFERROR(INDEX(Warehouses!$C$5:$C$1000,MATCH(D166,Warehouses!$A$5:$A$1000,0))&amp;"",""))</f>
        <v/>
      </c>
      <c r="AC166" s="21">
        <f>IF(B166="Receipt",N(K166),0)</f>
        <v/>
      </c>
      <c r="AD166" s="16">
        <f>IF(B166="Receipt",AA166,IF(B166="Issue",Z166,IF(B166="Transfer",AB166,IF(N(G166)&gt;=0,AA166,INDEX('Chart of Accounts'!$A$5:$A$3000,MATCH("stock_adjust",'Chart of Accounts'!$F$5:$F$3000,0))))))</f>
        <v/>
      </c>
      <c r="AE166" s="16">
        <f>IF(B166="Receipt",Y166,IF(B166="Adjustment",IF(N(G166)&gt;=0,INDEX('Chart of Accounts'!$A$5:$A$3000,MATCH("stock_adjust",'Chart of Accounts'!$F$5:$F$3000,0)),AA166),AA166))</f>
        <v/>
      </c>
      <c r="AF166" s="21">
        <f>S166+T166-U166-AC166</f>
        <v/>
      </c>
      <c r="AG166" s="23">
        <f>IFERROR(INDEX('Chart of Accounts'!$C$5:$C$3000,MATCH(AD166&amp;"",'Chart of Accounts'!$A$5:$A$3000,0))&amp;"|"&amp;INDEX('Chart of Accounts'!$D$5:$D$3000,MATCH(AD166&amp;"",'Chart of Accounts'!$A$5:$A$3000,0)),"")</f>
        <v/>
      </c>
      <c r="AH166" s="23">
        <f>IFERROR(INDEX('Chart of Accounts'!$C$5:$C$3000,MATCH(V166&amp;"",'Chart of Accounts'!$A$5:$A$3000,0))&amp;"|"&amp;INDEX('Chart of Accounts'!$D$5:$D$3000,MATCH(V166&amp;"",'Chart of Accounts'!$A$5:$A$3000,0)),"")</f>
        <v/>
      </c>
      <c r="AI166" s="23">
        <f>IFERROR(INDEX('Chart of Accounts'!$C$5:$C$3000,MATCH(AE166&amp;"",'Chart of Accounts'!$A$5:$A$3000,0))&amp;"|"&amp;INDEX('Chart of Accounts'!$D$5:$D$3000,MATCH(AE166&amp;"",'Chart of Accounts'!$A$5:$A$3000,0)),"")</f>
        <v/>
      </c>
      <c r="AJ166" s="23">
        <f>IFERROR(INDEX('Chart of Accounts'!$C$5:$C$3000,MATCH(X166&amp;"",'Chart of Accounts'!$A$5:$A$3000,0))&amp;"|"&amp;INDEX('Chart of Accounts'!$D$5:$D$3000,MATCH(X166&amp;"",'Chart of Accounts'!$A$5:$A$3000,0)),"")</f>
        <v/>
      </c>
      <c r="AK166" s="23">
        <f>IFERROR(INDEX('Chart of Accounts'!$C$5:$C$3000,MATCH(W166&amp;"",'Chart of Accounts'!$A$5:$A$3000,0))&amp;"|"&amp;INDEX('Chart of Accounts'!$D$5:$D$3000,MATCH(W166&amp;"",'Chart of Accounts'!$A$5:$A$3000,0)),"")</f>
        <v/>
      </c>
      <c r="AL166" s="23">
        <f>IF(LEFT(AG166,8)="Revenue|",-N(S166),0)+IF(LEFT(AH166,8)="Revenue|",-N(T166),0)+IF(LEFT(AI166,8)="Revenue|",N(AF166),0)+IF(LEFT(AJ166,8)="Revenue|",N(AC166),0)+IF(LEFT(AK166,8)="Revenue|",N(U166),0)</f>
        <v/>
      </c>
      <c r="AM166" s="23">
        <f>IF(LEFT(AG166,5)="COGS|",N(S166),0)+IF(LEFT(AH166,5)="COGS|",N(T166),0)+IF(LEFT(AI166,5)="COGS|",-N(AF166),0)+IF(LEFT(AJ166,5)="COGS|",-N(AC166),0)+IF(LEFT(AK166,5)="COGS|",-N(U166),0)</f>
        <v/>
      </c>
      <c r="AN166" s="23">
        <f>IF(LEFT(AG166,8)="Expense|",N(S166),0)+IF(LEFT(AH166,8)="Expense|",N(T166),0)+IF(LEFT(AI166,8)="Expense|",-N(AF166),0)+IF(LEFT(AJ166,8)="Expense|",-N(AC166),0)+IF(LEFT(AK166,8)="Expense|",-N(U166),0)</f>
        <v/>
      </c>
      <c r="AO166" s="23">
        <f>IF(ISNUMBER(MATCH(AG166,{"Expense|employee","Expense|general_admin","Expense|marketing","Expense|utilities","Expense|other_operating"},0)),N(S166),0)+IF(ISNUMBER(MATCH(AH166,{"Expense|employee","Expense|general_admin","Expense|marketing","Expense|utilities","Expense|other_operating"},0)),N(T166),0)+IF(ISNUMBER(MATCH(AI166,{"Expense|employee","Expense|general_admin","Expense|marketing","Expense|utilities","Expense|other_operating"},0)),-N(AF166),0)+IF(ISNUMBER(MATCH(AJ166,{"Expense|employee","Expense|general_admin","Expense|marketing","Expense|utilities","Expense|other_operating"},0)),-N(AC166),0)+IF(ISNUMBER(MATCH(AK166,{"Expense|employee","Expense|general_admin","Expense|marketing","Expense|utilities","Expense|other_operating"},0)),-N(U166),0)</f>
        <v/>
      </c>
      <c r="AP166" s="23">
        <f>IF(AG166="Liability|payable",-N(S166),0)+IF(AH166="Liability|payable",-N(T166),0)+IF(AI166="Liability|payable",N(AF166),0)+IF(AJ166="Liability|payable",N(AC166),0)+IF(AK166="Liability|payable",N(U166),0)</f>
        <v/>
      </c>
      <c r="AQ166" s="23">
        <f>IF(AG166="Liability|accrued",-N(S166),0)+IF(AH166="Liability|accrued",-N(T166),0)+IF(AI166="Liability|accrued",N(AF166),0)+IF(AJ166="Liability|accrued",N(AC166),0)+IF(AK166="Liability|accrued",N(U166),0)</f>
        <v/>
      </c>
      <c r="AR166" s="23">
        <f>IF(AND(N(S166)&lt;&gt;0,AG166=""),1,0)+IF(AND(N(T166)&lt;&gt;0,AH166=""),1,0)+IF(AND(N(AF166)&lt;&gt;0,AI166=""),1,0)+IF(AND(N(AC166)&lt;&gt;0,AJ166=""),1,0)+IF(AND(N(U166)&lt;&gt;0,AK166=""),1,0)</f>
        <v/>
      </c>
    </row>
    <row r="167">
      <c r="A167" s="19" t="n"/>
      <c r="B167" s="14" t="n"/>
      <c r="C167" s="14" t="n"/>
      <c r="D167" s="14" t="n"/>
      <c r="E167" s="14" t="n"/>
      <c r="F167" s="14" t="n"/>
      <c r="G167" s="14" t="n"/>
      <c r="H167" s="20" t="n"/>
      <c r="I167" s="14" t="n"/>
      <c r="J167" s="14" t="n"/>
      <c r="K167" s="20" t="n"/>
      <c r="L167" s="14" t="n"/>
      <c r="M167" s="14" t="n"/>
      <c r="N167" s="14" t="n"/>
      <c r="O167" s="14" t="n"/>
      <c r="P167" s="14" t="n"/>
      <c r="Q167" s="14" t="n"/>
      <c r="R167" s="14" t="n"/>
      <c r="S167" s="21">
        <f>ROUND(ABS(N(G167))*N(H167),2)</f>
        <v/>
      </c>
      <c r="T167" s="21">
        <f>IF(B167="Receipt",ROUND(S167*IFERROR(VLOOKUP(Q167,'Tax Codes'!$A$5:$E$300,5,FALSE),0),2),0)</f>
        <v/>
      </c>
      <c r="U167" s="21">
        <f>IF(B167="Receipt",ROUND(S167*IFERROR(VLOOKUP(R167,'Tax Codes'!$A$5:$E$300,5,FALSE),0),2),0)</f>
        <v/>
      </c>
      <c r="V167" s="16">
        <f>INDEX('Chart of Accounts'!$A$5:$A$3000,MATCH("vat_input",'Chart of Accounts'!$F$5:$F$3000,0))</f>
        <v/>
      </c>
      <c r="W167" s="16">
        <f>INDEX('Chart of Accounts'!$A$5:$A$3000,MATCH("wht_payable",'Chart of Accounts'!$F$5:$F$3000,0))</f>
        <v/>
      </c>
      <c r="X167" s="16">
        <f>IF(M167="",INDEX('Chart of Accounts'!$A$5:$A$3000,MATCH("bank",'Chart of Accounts'!$F$5:$F$3000,0)),M167&amp;"")</f>
        <v/>
      </c>
      <c r="Y167" s="16">
        <f>IF(N167="",INDEX('Chart of Accounts'!$A$5:$A$3000,MATCH("ap",'Chart of Accounts'!$F$5:$F$3000,0)),N167&amp;"")</f>
        <v/>
      </c>
      <c r="Z167" s="16">
        <f>IF(O167="",INDEX('Chart of Accounts'!$A$5:$A$3000,MATCH("materials",'Chart of Accounts'!$F$5:$F$3000,0)),O167&amp;"")</f>
        <v/>
      </c>
      <c r="AA167" s="16">
        <f>IF(IFERROR(INDEX(Warehouses!$C$5:$C$1000,MATCH(C167,Warehouses!$A$5:$A$1000,0))&amp;"","")="",INDEX('Chart of Accounts'!$A$5:$A$3000,MATCH("inventory",'Chart of Accounts'!$F$5:$F$3000,0)),IFERROR(INDEX(Warehouses!$C$5:$C$1000,MATCH(C167,Warehouses!$A$5:$A$1000,0))&amp;"",""))</f>
        <v/>
      </c>
      <c r="AB167" s="16">
        <f>IF(IFERROR(INDEX(Warehouses!$C$5:$C$1000,MATCH(D167,Warehouses!$A$5:$A$1000,0))&amp;"","")="",INDEX('Chart of Accounts'!$A$5:$A$3000,MATCH("inventory",'Chart of Accounts'!$F$5:$F$3000,0)),IFERROR(INDEX(Warehouses!$C$5:$C$1000,MATCH(D167,Warehouses!$A$5:$A$1000,0))&amp;"",""))</f>
        <v/>
      </c>
      <c r="AC167" s="21">
        <f>IF(B167="Receipt",N(K167),0)</f>
        <v/>
      </c>
      <c r="AD167" s="16">
        <f>IF(B167="Receipt",AA167,IF(B167="Issue",Z167,IF(B167="Transfer",AB167,IF(N(G167)&gt;=0,AA167,INDEX('Chart of Accounts'!$A$5:$A$3000,MATCH("stock_adjust",'Chart of Accounts'!$F$5:$F$3000,0))))))</f>
        <v/>
      </c>
      <c r="AE167" s="16">
        <f>IF(B167="Receipt",Y167,IF(B167="Adjustment",IF(N(G167)&gt;=0,INDEX('Chart of Accounts'!$A$5:$A$3000,MATCH("stock_adjust",'Chart of Accounts'!$F$5:$F$3000,0)),AA167),AA167))</f>
        <v/>
      </c>
      <c r="AF167" s="21">
        <f>S167+T167-U167-AC167</f>
        <v/>
      </c>
      <c r="AG167" s="23">
        <f>IFERROR(INDEX('Chart of Accounts'!$C$5:$C$3000,MATCH(AD167&amp;"",'Chart of Accounts'!$A$5:$A$3000,0))&amp;"|"&amp;INDEX('Chart of Accounts'!$D$5:$D$3000,MATCH(AD167&amp;"",'Chart of Accounts'!$A$5:$A$3000,0)),"")</f>
        <v/>
      </c>
      <c r="AH167" s="23">
        <f>IFERROR(INDEX('Chart of Accounts'!$C$5:$C$3000,MATCH(V167&amp;"",'Chart of Accounts'!$A$5:$A$3000,0))&amp;"|"&amp;INDEX('Chart of Accounts'!$D$5:$D$3000,MATCH(V167&amp;"",'Chart of Accounts'!$A$5:$A$3000,0)),"")</f>
        <v/>
      </c>
      <c r="AI167" s="23">
        <f>IFERROR(INDEX('Chart of Accounts'!$C$5:$C$3000,MATCH(AE167&amp;"",'Chart of Accounts'!$A$5:$A$3000,0))&amp;"|"&amp;INDEX('Chart of Accounts'!$D$5:$D$3000,MATCH(AE167&amp;"",'Chart of Accounts'!$A$5:$A$3000,0)),"")</f>
        <v/>
      </c>
      <c r="AJ167" s="23">
        <f>IFERROR(INDEX('Chart of Accounts'!$C$5:$C$3000,MATCH(X167&amp;"",'Chart of Accounts'!$A$5:$A$3000,0))&amp;"|"&amp;INDEX('Chart of Accounts'!$D$5:$D$3000,MATCH(X167&amp;"",'Chart of Accounts'!$A$5:$A$3000,0)),"")</f>
        <v/>
      </c>
      <c r="AK167" s="23">
        <f>IFERROR(INDEX('Chart of Accounts'!$C$5:$C$3000,MATCH(W167&amp;"",'Chart of Accounts'!$A$5:$A$3000,0))&amp;"|"&amp;INDEX('Chart of Accounts'!$D$5:$D$3000,MATCH(W167&amp;"",'Chart of Accounts'!$A$5:$A$3000,0)),"")</f>
        <v/>
      </c>
      <c r="AL167" s="23">
        <f>IF(LEFT(AG167,8)="Revenue|",-N(S167),0)+IF(LEFT(AH167,8)="Revenue|",-N(T167),0)+IF(LEFT(AI167,8)="Revenue|",N(AF167),0)+IF(LEFT(AJ167,8)="Revenue|",N(AC167),0)+IF(LEFT(AK167,8)="Revenue|",N(U167),0)</f>
        <v/>
      </c>
      <c r="AM167" s="23">
        <f>IF(LEFT(AG167,5)="COGS|",N(S167),0)+IF(LEFT(AH167,5)="COGS|",N(T167),0)+IF(LEFT(AI167,5)="COGS|",-N(AF167),0)+IF(LEFT(AJ167,5)="COGS|",-N(AC167),0)+IF(LEFT(AK167,5)="COGS|",-N(U167),0)</f>
        <v/>
      </c>
      <c r="AN167" s="23">
        <f>IF(LEFT(AG167,8)="Expense|",N(S167),0)+IF(LEFT(AH167,8)="Expense|",N(T167),0)+IF(LEFT(AI167,8)="Expense|",-N(AF167),0)+IF(LEFT(AJ167,8)="Expense|",-N(AC167),0)+IF(LEFT(AK167,8)="Expense|",-N(U167),0)</f>
        <v/>
      </c>
      <c r="AO167" s="23">
        <f>IF(ISNUMBER(MATCH(AG167,{"Expense|employee","Expense|general_admin","Expense|marketing","Expense|utilities","Expense|other_operating"},0)),N(S167),0)+IF(ISNUMBER(MATCH(AH167,{"Expense|employee","Expense|general_admin","Expense|marketing","Expense|utilities","Expense|other_operating"},0)),N(T167),0)+IF(ISNUMBER(MATCH(AI167,{"Expense|employee","Expense|general_admin","Expense|marketing","Expense|utilities","Expense|other_operating"},0)),-N(AF167),0)+IF(ISNUMBER(MATCH(AJ167,{"Expense|employee","Expense|general_admin","Expense|marketing","Expense|utilities","Expense|other_operating"},0)),-N(AC167),0)+IF(ISNUMBER(MATCH(AK167,{"Expense|employee","Expense|general_admin","Expense|marketing","Expense|utilities","Expense|other_operating"},0)),-N(U167),0)</f>
        <v/>
      </c>
      <c r="AP167" s="23">
        <f>IF(AG167="Liability|payable",-N(S167),0)+IF(AH167="Liability|payable",-N(T167),0)+IF(AI167="Liability|payable",N(AF167),0)+IF(AJ167="Liability|payable",N(AC167),0)+IF(AK167="Liability|payable",N(U167),0)</f>
        <v/>
      </c>
      <c r="AQ167" s="23">
        <f>IF(AG167="Liability|accrued",-N(S167),0)+IF(AH167="Liability|accrued",-N(T167),0)+IF(AI167="Liability|accrued",N(AF167),0)+IF(AJ167="Liability|accrued",N(AC167),0)+IF(AK167="Liability|accrued",N(U167),0)</f>
        <v/>
      </c>
      <c r="AR167" s="23">
        <f>IF(AND(N(S167)&lt;&gt;0,AG167=""),1,0)+IF(AND(N(T167)&lt;&gt;0,AH167=""),1,0)+IF(AND(N(AF167)&lt;&gt;0,AI167=""),1,0)+IF(AND(N(AC167)&lt;&gt;0,AJ167=""),1,0)+IF(AND(N(U167)&lt;&gt;0,AK167=""),1,0)</f>
        <v/>
      </c>
    </row>
    <row r="168">
      <c r="A168" s="19" t="n"/>
      <c r="B168" s="14" t="n"/>
      <c r="C168" s="14" t="n"/>
      <c r="D168" s="14" t="n"/>
      <c r="E168" s="14" t="n"/>
      <c r="F168" s="14" t="n"/>
      <c r="G168" s="14" t="n"/>
      <c r="H168" s="20" t="n"/>
      <c r="I168" s="14" t="n"/>
      <c r="J168" s="14" t="n"/>
      <c r="K168" s="20" t="n"/>
      <c r="L168" s="14" t="n"/>
      <c r="M168" s="14" t="n"/>
      <c r="N168" s="14" t="n"/>
      <c r="O168" s="14" t="n"/>
      <c r="P168" s="14" t="n"/>
      <c r="Q168" s="14" t="n"/>
      <c r="R168" s="14" t="n"/>
      <c r="S168" s="21">
        <f>ROUND(ABS(N(G168))*N(H168),2)</f>
        <v/>
      </c>
      <c r="T168" s="21">
        <f>IF(B168="Receipt",ROUND(S168*IFERROR(VLOOKUP(Q168,'Tax Codes'!$A$5:$E$300,5,FALSE),0),2),0)</f>
        <v/>
      </c>
      <c r="U168" s="21">
        <f>IF(B168="Receipt",ROUND(S168*IFERROR(VLOOKUP(R168,'Tax Codes'!$A$5:$E$300,5,FALSE),0),2),0)</f>
        <v/>
      </c>
      <c r="V168" s="16">
        <f>INDEX('Chart of Accounts'!$A$5:$A$3000,MATCH("vat_input",'Chart of Accounts'!$F$5:$F$3000,0))</f>
        <v/>
      </c>
      <c r="W168" s="16">
        <f>INDEX('Chart of Accounts'!$A$5:$A$3000,MATCH("wht_payable",'Chart of Accounts'!$F$5:$F$3000,0))</f>
        <v/>
      </c>
      <c r="X168" s="16">
        <f>IF(M168="",INDEX('Chart of Accounts'!$A$5:$A$3000,MATCH("bank",'Chart of Accounts'!$F$5:$F$3000,0)),M168&amp;"")</f>
        <v/>
      </c>
      <c r="Y168" s="16">
        <f>IF(N168="",INDEX('Chart of Accounts'!$A$5:$A$3000,MATCH("ap",'Chart of Accounts'!$F$5:$F$3000,0)),N168&amp;"")</f>
        <v/>
      </c>
      <c r="Z168" s="16">
        <f>IF(O168="",INDEX('Chart of Accounts'!$A$5:$A$3000,MATCH("materials",'Chart of Accounts'!$F$5:$F$3000,0)),O168&amp;"")</f>
        <v/>
      </c>
      <c r="AA168" s="16">
        <f>IF(IFERROR(INDEX(Warehouses!$C$5:$C$1000,MATCH(C168,Warehouses!$A$5:$A$1000,0))&amp;"","")="",INDEX('Chart of Accounts'!$A$5:$A$3000,MATCH("inventory",'Chart of Accounts'!$F$5:$F$3000,0)),IFERROR(INDEX(Warehouses!$C$5:$C$1000,MATCH(C168,Warehouses!$A$5:$A$1000,0))&amp;"",""))</f>
        <v/>
      </c>
      <c r="AB168" s="16">
        <f>IF(IFERROR(INDEX(Warehouses!$C$5:$C$1000,MATCH(D168,Warehouses!$A$5:$A$1000,0))&amp;"","")="",INDEX('Chart of Accounts'!$A$5:$A$3000,MATCH("inventory",'Chart of Accounts'!$F$5:$F$3000,0)),IFERROR(INDEX(Warehouses!$C$5:$C$1000,MATCH(D168,Warehouses!$A$5:$A$1000,0))&amp;"",""))</f>
        <v/>
      </c>
      <c r="AC168" s="21">
        <f>IF(B168="Receipt",N(K168),0)</f>
        <v/>
      </c>
      <c r="AD168" s="16">
        <f>IF(B168="Receipt",AA168,IF(B168="Issue",Z168,IF(B168="Transfer",AB168,IF(N(G168)&gt;=0,AA168,INDEX('Chart of Accounts'!$A$5:$A$3000,MATCH("stock_adjust",'Chart of Accounts'!$F$5:$F$3000,0))))))</f>
        <v/>
      </c>
      <c r="AE168" s="16">
        <f>IF(B168="Receipt",Y168,IF(B168="Adjustment",IF(N(G168)&gt;=0,INDEX('Chart of Accounts'!$A$5:$A$3000,MATCH("stock_adjust",'Chart of Accounts'!$F$5:$F$3000,0)),AA168),AA168))</f>
        <v/>
      </c>
      <c r="AF168" s="21">
        <f>S168+T168-U168-AC168</f>
        <v/>
      </c>
      <c r="AG168" s="23">
        <f>IFERROR(INDEX('Chart of Accounts'!$C$5:$C$3000,MATCH(AD168&amp;"",'Chart of Accounts'!$A$5:$A$3000,0))&amp;"|"&amp;INDEX('Chart of Accounts'!$D$5:$D$3000,MATCH(AD168&amp;"",'Chart of Accounts'!$A$5:$A$3000,0)),"")</f>
        <v/>
      </c>
      <c r="AH168" s="23">
        <f>IFERROR(INDEX('Chart of Accounts'!$C$5:$C$3000,MATCH(V168&amp;"",'Chart of Accounts'!$A$5:$A$3000,0))&amp;"|"&amp;INDEX('Chart of Accounts'!$D$5:$D$3000,MATCH(V168&amp;"",'Chart of Accounts'!$A$5:$A$3000,0)),"")</f>
        <v/>
      </c>
      <c r="AI168" s="23">
        <f>IFERROR(INDEX('Chart of Accounts'!$C$5:$C$3000,MATCH(AE168&amp;"",'Chart of Accounts'!$A$5:$A$3000,0))&amp;"|"&amp;INDEX('Chart of Accounts'!$D$5:$D$3000,MATCH(AE168&amp;"",'Chart of Accounts'!$A$5:$A$3000,0)),"")</f>
        <v/>
      </c>
      <c r="AJ168" s="23">
        <f>IFERROR(INDEX('Chart of Accounts'!$C$5:$C$3000,MATCH(X168&amp;"",'Chart of Accounts'!$A$5:$A$3000,0))&amp;"|"&amp;INDEX('Chart of Accounts'!$D$5:$D$3000,MATCH(X168&amp;"",'Chart of Accounts'!$A$5:$A$3000,0)),"")</f>
        <v/>
      </c>
      <c r="AK168" s="23">
        <f>IFERROR(INDEX('Chart of Accounts'!$C$5:$C$3000,MATCH(W168&amp;"",'Chart of Accounts'!$A$5:$A$3000,0))&amp;"|"&amp;INDEX('Chart of Accounts'!$D$5:$D$3000,MATCH(W168&amp;"",'Chart of Accounts'!$A$5:$A$3000,0)),"")</f>
        <v/>
      </c>
      <c r="AL168" s="23">
        <f>IF(LEFT(AG168,8)="Revenue|",-N(S168),0)+IF(LEFT(AH168,8)="Revenue|",-N(T168),0)+IF(LEFT(AI168,8)="Revenue|",N(AF168),0)+IF(LEFT(AJ168,8)="Revenue|",N(AC168),0)+IF(LEFT(AK168,8)="Revenue|",N(U168),0)</f>
        <v/>
      </c>
      <c r="AM168" s="23">
        <f>IF(LEFT(AG168,5)="COGS|",N(S168),0)+IF(LEFT(AH168,5)="COGS|",N(T168),0)+IF(LEFT(AI168,5)="COGS|",-N(AF168),0)+IF(LEFT(AJ168,5)="COGS|",-N(AC168),0)+IF(LEFT(AK168,5)="COGS|",-N(U168),0)</f>
        <v/>
      </c>
      <c r="AN168" s="23">
        <f>IF(LEFT(AG168,8)="Expense|",N(S168),0)+IF(LEFT(AH168,8)="Expense|",N(T168),0)+IF(LEFT(AI168,8)="Expense|",-N(AF168),0)+IF(LEFT(AJ168,8)="Expense|",-N(AC168),0)+IF(LEFT(AK168,8)="Expense|",-N(U168),0)</f>
        <v/>
      </c>
      <c r="AO168" s="23">
        <f>IF(ISNUMBER(MATCH(AG168,{"Expense|employee","Expense|general_admin","Expense|marketing","Expense|utilities","Expense|other_operating"},0)),N(S168),0)+IF(ISNUMBER(MATCH(AH168,{"Expense|employee","Expense|general_admin","Expense|marketing","Expense|utilities","Expense|other_operating"},0)),N(T168),0)+IF(ISNUMBER(MATCH(AI168,{"Expense|employee","Expense|general_admin","Expense|marketing","Expense|utilities","Expense|other_operating"},0)),-N(AF168),0)+IF(ISNUMBER(MATCH(AJ168,{"Expense|employee","Expense|general_admin","Expense|marketing","Expense|utilities","Expense|other_operating"},0)),-N(AC168),0)+IF(ISNUMBER(MATCH(AK168,{"Expense|employee","Expense|general_admin","Expense|marketing","Expense|utilities","Expense|other_operating"},0)),-N(U168),0)</f>
        <v/>
      </c>
      <c r="AP168" s="23">
        <f>IF(AG168="Liability|payable",-N(S168),0)+IF(AH168="Liability|payable",-N(T168),0)+IF(AI168="Liability|payable",N(AF168),0)+IF(AJ168="Liability|payable",N(AC168),0)+IF(AK168="Liability|payable",N(U168),0)</f>
        <v/>
      </c>
      <c r="AQ168" s="23">
        <f>IF(AG168="Liability|accrued",-N(S168),0)+IF(AH168="Liability|accrued",-N(T168),0)+IF(AI168="Liability|accrued",N(AF168),0)+IF(AJ168="Liability|accrued",N(AC168),0)+IF(AK168="Liability|accrued",N(U168),0)</f>
        <v/>
      </c>
      <c r="AR168" s="23">
        <f>IF(AND(N(S168)&lt;&gt;0,AG168=""),1,0)+IF(AND(N(T168)&lt;&gt;0,AH168=""),1,0)+IF(AND(N(AF168)&lt;&gt;0,AI168=""),1,0)+IF(AND(N(AC168)&lt;&gt;0,AJ168=""),1,0)+IF(AND(N(U168)&lt;&gt;0,AK168=""),1,0)</f>
        <v/>
      </c>
    </row>
    <row r="169">
      <c r="A169" s="19" t="n"/>
      <c r="B169" s="14" t="n"/>
      <c r="C169" s="14" t="n"/>
      <c r="D169" s="14" t="n"/>
      <c r="E169" s="14" t="n"/>
      <c r="F169" s="14" t="n"/>
      <c r="G169" s="14" t="n"/>
      <c r="H169" s="20" t="n"/>
      <c r="I169" s="14" t="n"/>
      <c r="J169" s="14" t="n"/>
      <c r="K169" s="20" t="n"/>
      <c r="L169" s="14" t="n"/>
      <c r="M169" s="14" t="n"/>
      <c r="N169" s="14" t="n"/>
      <c r="O169" s="14" t="n"/>
      <c r="P169" s="14" t="n"/>
      <c r="Q169" s="14" t="n"/>
      <c r="R169" s="14" t="n"/>
      <c r="S169" s="21">
        <f>ROUND(ABS(N(G169))*N(H169),2)</f>
        <v/>
      </c>
      <c r="T169" s="21">
        <f>IF(B169="Receipt",ROUND(S169*IFERROR(VLOOKUP(Q169,'Tax Codes'!$A$5:$E$300,5,FALSE),0),2),0)</f>
        <v/>
      </c>
      <c r="U169" s="21">
        <f>IF(B169="Receipt",ROUND(S169*IFERROR(VLOOKUP(R169,'Tax Codes'!$A$5:$E$300,5,FALSE),0),2),0)</f>
        <v/>
      </c>
      <c r="V169" s="16">
        <f>INDEX('Chart of Accounts'!$A$5:$A$3000,MATCH("vat_input",'Chart of Accounts'!$F$5:$F$3000,0))</f>
        <v/>
      </c>
      <c r="W169" s="16">
        <f>INDEX('Chart of Accounts'!$A$5:$A$3000,MATCH("wht_payable",'Chart of Accounts'!$F$5:$F$3000,0))</f>
        <v/>
      </c>
      <c r="X169" s="16">
        <f>IF(M169="",INDEX('Chart of Accounts'!$A$5:$A$3000,MATCH("bank",'Chart of Accounts'!$F$5:$F$3000,0)),M169&amp;"")</f>
        <v/>
      </c>
      <c r="Y169" s="16">
        <f>IF(N169="",INDEX('Chart of Accounts'!$A$5:$A$3000,MATCH("ap",'Chart of Accounts'!$F$5:$F$3000,0)),N169&amp;"")</f>
        <v/>
      </c>
      <c r="Z169" s="16">
        <f>IF(O169="",INDEX('Chart of Accounts'!$A$5:$A$3000,MATCH("materials",'Chart of Accounts'!$F$5:$F$3000,0)),O169&amp;"")</f>
        <v/>
      </c>
      <c r="AA169" s="16">
        <f>IF(IFERROR(INDEX(Warehouses!$C$5:$C$1000,MATCH(C169,Warehouses!$A$5:$A$1000,0))&amp;"","")="",INDEX('Chart of Accounts'!$A$5:$A$3000,MATCH("inventory",'Chart of Accounts'!$F$5:$F$3000,0)),IFERROR(INDEX(Warehouses!$C$5:$C$1000,MATCH(C169,Warehouses!$A$5:$A$1000,0))&amp;"",""))</f>
        <v/>
      </c>
      <c r="AB169" s="16">
        <f>IF(IFERROR(INDEX(Warehouses!$C$5:$C$1000,MATCH(D169,Warehouses!$A$5:$A$1000,0))&amp;"","")="",INDEX('Chart of Accounts'!$A$5:$A$3000,MATCH("inventory",'Chart of Accounts'!$F$5:$F$3000,0)),IFERROR(INDEX(Warehouses!$C$5:$C$1000,MATCH(D169,Warehouses!$A$5:$A$1000,0))&amp;"",""))</f>
        <v/>
      </c>
      <c r="AC169" s="21">
        <f>IF(B169="Receipt",N(K169),0)</f>
        <v/>
      </c>
      <c r="AD169" s="16">
        <f>IF(B169="Receipt",AA169,IF(B169="Issue",Z169,IF(B169="Transfer",AB169,IF(N(G169)&gt;=0,AA169,INDEX('Chart of Accounts'!$A$5:$A$3000,MATCH("stock_adjust",'Chart of Accounts'!$F$5:$F$3000,0))))))</f>
        <v/>
      </c>
      <c r="AE169" s="16">
        <f>IF(B169="Receipt",Y169,IF(B169="Adjustment",IF(N(G169)&gt;=0,INDEX('Chart of Accounts'!$A$5:$A$3000,MATCH("stock_adjust",'Chart of Accounts'!$F$5:$F$3000,0)),AA169),AA169))</f>
        <v/>
      </c>
      <c r="AF169" s="21">
        <f>S169+T169-U169-AC169</f>
        <v/>
      </c>
      <c r="AG169" s="23">
        <f>IFERROR(INDEX('Chart of Accounts'!$C$5:$C$3000,MATCH(AD169&amp;"",'Chart of Accounts'!$A$5:$A$3000,0))&amp;"|"&amp;INDEX('Chart of Accounts'!$D$5:$D$3000,MATCH(AD169&amp;"",'Chart of Accounts'!$A$5:$A$3000,0)),"")</f>
        <v/>
      </c>
      <c r="AH169" s="23">
        <f>IFERROR(INDEX('Chart of Accounts'!$C$5:$C$3000,MATCH(V169&amp;"",'Chart of Accounts'!$A$5:$A$3000,0))&amp;"|"&amp;INDEX('Chart of Accounts'!$D$5:$D$3000,MATCH(V169&amp;"",'Chart of Accounts'!$A$5:$A$3000,0)),"")</f>
        <v/>
      </c>
      <c r="AI169" s="23">
        <f>IFERROR(INDEX('Chart of Accounts'!$C$5:$C$3000,MATCH(AE169&amp;"",'Chart of Accounts'!$A$5:$A$3000,0))&amp;"|"&amp;INDEX('Chart of Accounts'!$D$5:$D$3000,MATCH(AE169&amp;"",'Chart of Accounts'!$A$5:$A$3000,0)),"")</f>
        <v/>
      </c>
      <c r="AJ169" s="23">
        <f>IFERROR(INDEX('Chart of Accounts'!$C$5:$C$3000,MATCH(X169&amp;"",'Chart of Accounts'!$A$5:$A$3000,0))&amp;"|"&amp;INDEX('Chart of Accounts'!$D$5:$D$3000,MATCH(X169&amp;"",'Chart of Accounts'!$A$5:$A$3000,0)),"")</f>
        <v/>
      </c>
      <c r="AK169" s="23">
        <f>IFERROR(INDEX('Chart of Accounts'!$C$5:$C$3000,MATCH(W169&amp;"",'Chart of Accounts'!$A$5:$A$3000,0))&amp;"|"&amp;INDEX('Chart of Accounts'!$D$5:$D$3000,MATCH(W169&amp;"",'Chart of Accounts'!$A$5:$A$3000,0)),"")</f>
        <v/>
      </c>
      <c r="AL169" s="23">
        <f>IF(LEFT(AG169,8)="Revenue|",-N(S169),0)+IF(LEFT(AH169,8)="Revenue|",-N(T169),0)+IF(LEFT(AI169,8)="Revenue|",N(AF169),0)+IF(LEFT(AJ169,8)="Revenue|",N(AC169),0)+IF(LEFT(AK169,8)="Revenue|",N(U169),0)</f>
        <v/>
      </c>
      <c r="AM169" s="23">
        <f>IF(LEFT(AG169,5)="COGS|",N(S169),0)+IF(LEFT(AH169,5)="COGS|",N(T169),0)+IF(LEFT(AI169,5)="COGS|",-N(AF169),0)+IF(LEFT(AJ169,5)="COGS|",-N(AC169),0)+IF(LEFT(AK169,5)="COGS|",-N(U169),0)</f>
        <v/>
      </c>
      <c r="AN169" s="23">
        <f>IF(LEFT(AG169,8)="Expense|",N(S169),0)+IF(LEFT(AH169,8)="Expense|",N(T169),0)+IF(LEFT(AI169,8)="Expense|",-N(AF169),0)+IF(LEFT(AJ169,8)="Expense|",-N(AC169),0)+IF(LEFT(AK169,8)="Expense|",-N(U169),0)</f>
        <v/>
      </c>
      <c r="AO169" s="23">
        <f>IF(ISNUMBER(MATCH(AG169,{"Expense|employee","Expense|general_admin","Expense|marketing","Expense|utilities","Expense|other_operating"},0)),N(S169),0)+IF(ISNUMBER(MATCH(AH169,{"Expense|employee","Expense|general_admin","Expense|marketing","Expense|utilities","Expense|other_operating"},0)),N(T169),0)+IF(ISNUMBER(MATCH(AI169,{"Expense|employee","Expense|general_admin","Expense|marketing","Expense|utilities","Expense|other_operating"},0)),-N(AF169),0)+IF(ISNUMBER(MATCH(AJ169,{"Expense|employee","Expense|general_admin","Expense|marketing","Expense|utilities","Expense|other_operating"},0)),-N(AC169),0)+IF(ISNUMBER(MATCH(AK169,{"Expense|employee","Expense|general_admin","Expense|marketing","Expense|utilities","Expense|other_operating"},0)),-N(U169),0)</f>
        <v/>
      </c>
      <c r="AP169" s="23">
        <f>IF(AG169="Liability|payable",-N(S169),0)+IF(AH169="Liability|payable",-N(T169),0)+IF(AI169="Liability|payable",N(AF169),0)+IF(AJ169="Liability|payable",N(AC169),0)+IF(AK169="Liability|payable",N(U169),0)</f>
        <v/>
      </c>
      <c r="AQ169" s="23">
        <f>IF(AG169="Liability|accrued",-N(S169),0)+IF(AH169="Liability|accrued",-N(T169),0)+IF(AI169="Liability|accrued",N(AF169),0)+IF(AJ169="Liability|accrued",N(AC169),0)+IF(AK169="Liability|accrued",N(U169),0)</f>
        <v/>
      </c>
      <c r="AR169" s="23">
        <f>IF(AND(N(S169)&lt;&gt;0,AG169=""),1,0)+IF(AND(N(T169)&lt;&gt;0,AH169=""),1,0)+IF(AND(N(AF169)&lt;&gt;0,AI169=""),1,0)+IF(AND(N(AC169)&lt;&gt;0,AJ169=""),1,0)+IF(AND(N(U169)&lt;&gt;0,AK169=""),1,0)</f>
        <v/>
      </c>
    </row>
    <row r="170">
      <c r="A170" s="19" t="n"/>
      <c r="B170" s="14" t="n"/>
      <c r="C170" s="14" t="n"/>
      <c r="D170" s="14" t="n"/>
      <c r="E170" s="14" t="n"/>
      <c r="F170" s="14" t="n"/>
      <c r="G170" s="14" t="n"/>
      <c r="H170" s="20" t="n"/>
      <c r="I170" s="14" t="n"/>
      <c r="J170" s="14" t="n"/>
      <c r="K170" s="20" t="n"/>
      <c r="L170" s="14" t="n"/>
      <c r="M170" s="14" t="n"/>
      <c r="N170" s="14" t="n"/>
      <c r="O170" s="14" t="n"/>
      <c r="P170" s="14" t="n"/>
      <c r="Q170" s="14" t="n"/>
      <c r="R170" s="14" t="n"/>
      <c r="S170" s="21">
        <f>ROUND(ABS(N(G170))*N(H170),2)</f>
        <v/>
      </c>
      <c r="T170" s="21">
        <f>IF(B170="Receipt",ROUND(S170*IFERROR(VLOOKUP(Q170,'Tax Codes'!$A$5:$E$300,5,FALSE),0),2),0)</f>
        <v/>
      </c>
      <c r="U170" s="21">
        <f>IF(B170="Receipt",ROUND(S170*IFERROR(VLOOKUP(R170,'Tax Codes'!$A$5:$E$300,5,FALSE),0),2),0)</f>
        <v/>
      </c>
      <c r="V170" s="16">
        <f>INDEX('Chart of Accounts'!$A$5:$A$3000,MATCH("vat_input",'Chart of Accounts'!$F$5:$F$3000,0))</f>
        <v/>
      </c>
      <c r="W170" s="16">
        <f>INDEX('Chart of Accounts'!$A$5:$A$3000,MATCH("wht_payable",'Chart of Accounts'!$F$5:$F$3000,0))</f>
        <v/>
      </c>
      <c r="X170" s="16">
        <f>IF(M170="",INDEX('Chart of Accounts'!$A$5:$A$3000,MATCH("bank",'Chart of Accounts'!$F$5:$F$3000,0)),M170&amp;"")</f>
        <v/>
      </c>
      <c r="Y170" s="16">
        <f>IF(N170="",INDEX('Chart of Accounts'!$A$5:$A$3000,MATCH("ap",'Chart of Accounts'!$F$5:$F$3000,0)),N170&amp;"")</f>
        <v/>
      </c>
      <c r="Z170" s="16">
        <f>IF(O170="",INDEX('Chart of Accounts'!$A$5:$A$3000,MATCH("materials",'Chart of Accounts'!$F$5:$F$3000,0)),O170&amp;"")</f>
        <v/>
      </c>
      <c r="AA170" s="16">
        <f>IF(IFERROR(INDEX(Warehouses!$C$5:$C$1000,MATCH(C170,Warehouses!$A$5:$A$1000,0))&amp;"","")="",INDEX('Chart of Accounts'!$A$5:$A$3000,MATCH("inventory",'Chart of Accounts'!$F$5:$F$3000,0)),IFERROR(INDEX(Warehouses!$C$5:$C$1000,MATCH(C170,Warehouses!$A$5:$A$1000,0))&amp;"",""))</f>
        <v/>
      </c>
      <c r="AB170" s="16">
        <f>IF(IFERROR(INDEX(Warehouses!$C$5:$C$1000,MATCH(D170,Warehouses!$A$5:$A$1000,0))&amp;"","")="",INDEX('Chart of Accounts'!$A$5:$A$3000,MATCH("inventory",'Chart of Accounts'!$F$5:$F$3000,0)),IFERROR(INDEX(Warehouses!$C$5:$C$1000,MATCH(D170,Warehouses!$A$5:$A$1000,0))&amp;"",""))</f>
        <v/>
      </c>
      <c r="AC170" s="21">
        <f>IF(B170="Receipt",N(K170),0)</f>
        <v/>
      </c>
      <c r="AD170" s="16">
        <f>IF(B170="Receipt",AA170,IF(B170="Issue",Z170,IF(B170="Transfer",AB170,IF(N(G170)&gt;=0,AA170,INDEX('Chart of Accounts'!$A$5:$A$3000,MATCH("stock_adjust",'Chart of Accounts'!$F$5:$F$3000,0))))))</f>
        <v/>
      </c>
      <c r="AE170" s="16">
        <f>IF(B170="Receipt",Y170,IF(B170="Adjustment",IF(N(G170)&gt;=0,INDEX('Chart of Accounts'!$A$5:$A$3000,MATCH("stock_adjust",'Chart of Accounts'!$F$5:$F$3000,0)),AA170),AA170))</f>
        <v/>
      </c>
      <c r="AF170" s="21">
        <f>S170+T170-U170-AC170</f>
        <v/>
      </c>
      <c r="AG170" s="23">
        <f>IFERROR(INDEX('Chart of Accounts'!$C$5:$C$3000,MATCH(AD170&amp;"",'Chart of Accounts'!$A$5:$A$3000,0))&amp;"|"&amp;INDEX('Chart of Accounts'!$D$5:$D$3000,MATCH(AD170&amp;"",'Chart of Accounts'!$A$5:$A$3000,0)),"")</f>
        <v/>
      </c>
      <c r="AH170" s="23">
        <f>IFERROR(INDEX('Chart of Accounts'!$C$5:$C$3000,MATCH(V170&amp;"",'Chart of Accounts'!$A$5:$A$3000,0))&amp;"|"&amp;INDEX('Chart of Accounts'!$D$5:$D$3000,MATCH(V170&amp;"",'Chart of Accounts'!$A$5:$A$3000,0)),"")</f>
        <v/>
      </c>
      <c r="AI170" s="23">
        <f>IFERROR(INDEX('Chart of Accounts'!$C$5:$C$3000,MATCH(AE170&amp;"",'Chart of Accounts'!$A$5:$A$3000,0))&amp;"|"&amp;INDEX('Chart of Accounts'!$D$5:$D$3000,MATCH(AE170&amp;"",'Chart of Accounts'!$A$5:$A$3000,0)),"")</f>
        <v/>
      </c>
      <c r="AJ170" s="23">
        <f>IFERROR(INDEX('Chart of Accounts'!$C$5:$C$3000,MATCH(X170&amp;"",'Chart of Accounts'!$A$5:$A$3000,0))&amp;"|"&amp;INDEX('Chart of Accounts'!$D$5:$D$3000,MATCH(X170&amp;"",'Chart of Accounts'!$A$5:$A$3000,0)),"")</f>
        <v/>
      </c>
      <c r="AK170" s="23">
        <f>IFERROR(INDEX('Chart of Accounts'!$C$5:$C$3000,MATCH(W170&amp;"",'Chart of Accounts'!$A$5:$A$3000,0))&amp;"|"&amp;INDEX('Chart of Accounts'!$D$5:$D$3000,MATCH(W170&amp;"",'Chart of Accounts'!$A$5:$A$3000,0)),"")</f>
        <v/>
      </c>
      <c r="AL170" s="23">
        <f>IF(LEFT(AG170,8)="Revenue|",-N(S170),0)+IF(LEFT(AH170,8)="Revenue|",-N(T170),0)+IF(LEFT(AI170,8)="Revenue|",N(AF170),0)+IF(LEFT(AJ170,8)="Revenue|",N(AC170),0)+IF(LEFT(AK170,8)="Revenue|",N(U170),0)</f>
        <v/>
      </c>
      <c r="AM170" s="23">
        <f>IF(LEFT(AG170,5)="COGS|",N(S170),0)+IF(LEFT(AH170,5)="COGS|",N(T170),0)+IF(LEFT(AI170,5)="COGS|",-N(AF170),0)+IF(LEFT(AJ170,5)="COGS|",-N(AC170),0)+IF(LEFT(AK170,5)="COGS|",-N(U170),0)</f>
        <v/>
      </c>
      <c r="AN170" s="23">
        <f>IF(LEFT(AG170,8)="Expense|",N(S170),0)+IF(LEFT(AH170,8)="Expense|",N(T170),0)+IF(LEFT(AI170,8)="Expense|",-N(AF170),0)+IF(LEFT(AJ170,8)="Expense|",-N(AC170),0)+IF(LEFT(AK170,8)="Expense|",-N(U170),0)</f>
        <v/>
      </c>
      <c r="AO170" s="23">
        <f>IF(ISNUMBER(MATCH(AG170,{"Expense|employee","Expense|general_admin","Expense|marketing","Expense|utilities","Expense|other_operating"},0)),N(S170),0)+IF(ISNUMBER(MATCH(AH170,{"Expense|employee","Expense|general_admin","Expense|marketing","Expense|utilities","Expense|other_operating"},0)),N(T170),0)+IF(ISNUMBER(MATCH(AI170,{"Expense|employee","Expense|general_admin","Expense|marketing","Expense|utilities","Expense|other_operating"},0)),-N(AF170),0)+IF(ISNUMBER(MATCH(AJ170,{"Expense|employee","Expense|general_admin","Expense|marketing","Expense|utilities","Expense|other_operating"},0)),-N(AC170),0)+IF(ISNUMBER(MATCH(AK170,{"Expense|employee","Expense|general_admin","Expense|marketing","Expense|utilities","Expense|other_operating"},0)),-N(U170),0)</f>
        <v/>
      </c>
      <c r="AP170" s="23">
        <f>IF(AG170="Liability|payable",-N(S170),0)+IF(AH170="Liability|payable",-N(T170),0)+IF(AI170="Liability|payable",N(AF170),0)+IF(AJ170="Liability|payable",N(AC170),0)+IF(AK170="Liability|payable",N(U170),0)</f>
        <v/>
      </c>
      <c r="AQ170" s="23">
        <f>IF(AG170="Liability|accrued",-N(S170),0)+IF(AH170="Liability|accrued",-N(T170),0)+IF(AI170="Liability|accrued",N(AF170),0)+IF(AJ170="Liability|accrued",N(AC170),0)+IF(AK170="Liability|accrued",N(U170),0)</f>
        <v/>
      </c>
      <c r="AR170" s="23">
        <f>IF(AND(N(S170)&lt;&gt;0,AG170=""),1,0)+IF(AND(N(T170)&lt;&gt;0,AH170=""),1,0)+IF(AND(N(AF170)&lt;&gt;0,AI170=""),1,0)+IF(AND(N(AC170)&lt;&gt;0,AJ170=""),1,0)+IF(AND(N(U170)&lt;&gt;0,AK170=""),1,0)</f>
        <v/>
      </c>
    </row>
    <row r="171">
      <c r="A171" s="19" t="n"/>
      <c r="B171" s="14" t="n"/>
      <c r="C171" s="14" t="n"/>
      <c r="D171" s="14" t="n"/>
      <c r="E171" s="14" t="n"/>
      <c r="F171" s="14" t="n"/>
      <c r="G171" s="14" t="n"/>
      <c r="H171" s="20" t="n"/>
      <c r="I171" s="14" t="n"/>
      <c r="J171" s="14" t="n"/>
      <c r="K171" s="20" t="n"/>
      <c r="L171" s="14" t="n"/>
      <c r="M171" s="14" t="n"/>
      <c r="N171" s="14" t="n"/>
      <c r="O171" s="14" t="n"/>
      <c r="P171" s="14" t="n"/>
      <c r="Q171" s="14" t="n"/>
      <c r="R171" s="14" t="n"/>
      <c r="S171" s="21">
        <f>ROUND(ABS(N(G171))*N(H171),2)</f>
        <v/>
      </c>
      <c r="T171" s="21">
        <f>IF(B171="Receipt",ROUND(S171*IFERROR(VLOOKUP(Q171,'Tax Codes'!$A$5:$E$300,5,FALSE),0),2),0)</f>
        <v/>
      </c>
      <c r="U171" s="21">
        <f>IF(B171="Receipt",ROUND(S171*IFERROR(VLOOKUP(R171,'Tax Codes'!$A$5:$E$300,5,FALSE),0),2),0)</f>
        <v/>
      </c>
      <c r="V171" s="16">
        <f>INDEX('Chart of Accounts'!$A$5:$A$3000,MATCH("vat_input",'Chart of Accounts'!$F$5:$F$3000,0))</f>
        <v/>
      </c>
      <c r="W171" s="16">
        <f>INDEX('Chart of Accounts'!$A$5:$A$3000,MATCH("wht_payable",'Chart of Accounts'!$F$5:$F$3000,0))</f>
        <v/>
      </c>
      <c r="X171" s="16">
        <f>IF(M171="",INDEX('Chart of Accounts'!$A$5:$A$3000,MATCH("bank",'Chart of Accounts'!$F$5:$F$3000,0)),M171&amp;"")</f>
        <v/>
      </c>
      <c r="Y171" s="16">
        <f>IF(N171="",INDEX('Chart of Accounts'!$A$5:$A$3000,MATCH("ap",'Chart of Accounts'!$F$5:$F$3000,0)),N171&amp;"")</f>
        <v/>
      </c>
      <c r="Z171" s="16">
        <f>IF(O171="",INDEX('Chart of Accounts'!$A$5:$A$3000,MATCH("materials",'Chart of Accounts'!$F$5:$F$3000,0)),O171&amp;"")</f>
        <v/>
      </c>
      <c r="AA171" s="16">
        <f>IF(IFERROR(INDEX(Warehouses!$C$5:$C$1000,MATCH(C171,Warehouses!$A$5:$A$1000,0))&amp;"","")="",INDEX('Chart of Accounts'!$A$5:$A$3000,MATCH("inventory",'Chart of Accounts'!$F$5:$F$3000,0)),IFERROR(INDEX(Warehouses!$C$5:$C$1000,MATCH(C171,Warehouses!$A$5:$A$1000,0))&amp;"",""))</f>
        <v/>
      </c>
      <c r="AB171" s="16">
        <f>IF(IFERROR(INDEX(Warehouses!$C$5:$C$1000,MATCH(D171,Warehouses!$A$5:$A$1000,0))&amp;"","")="",INDEX('Chart of Accounts'!$A$5:$A$3000,MATCH("inventory",'Chart of Accounts'!$F$5:$F$3000,0)),IFERROR(INDEX(Warehouses!$C$5:$C$1000,MATCH(D171,Warehouses!$A$5:$A$1000,0))&amp;"",""))</f>
        <v/>
      </c>
      <c r="AC171" s="21">
        <f>IF(B171="Receipt",N(K171),0)</f>
        <v/>
      </c>
      <c r="AD171" s="16">
        <f>IF(B171="Receipt",AA171,IF(B171="Issue",Z171,IF(B171="Transfer",AB171,IF(N(G171)&gt;=0,AA171,INDEX('Chart of Accounts'!$A$5:$A$3000,MATCH("stock_adjust",'Chart of Accounts'!$F$5:$F$3000,0))))))</f>
        <v/>
      </c>
      <c r="AE171" s="16">
        <f>IF(B171="Receipt",Y171,IF(B171="Adjustment",IF(N(G171)&gt;=0,INDEX('Chart of Accounts'!$A$5:$A$3000,MATCH("stock_adjust",'Chart of Accounts'!$F$5:$F$3000,0)),AA171),AA171))</f>
        <v/>
      </c>
      <c r="AF171" s="21">
        <f>S171+T171-U171-AC171</f>
        <v/>
      </c>
      <c r="AG171" s="23">
        <f>IFERROR(INDEX('Chart of Accounts'!$C$5:$C$3000,MATCH(AD171&amp;"",'Chart of Accounts'!$A$5:$A$3000,0))&amp;"|"&amp;INDEX('Chart of Accounts'!$D$5:$D$3000,MATCH(AD171&amp;"",'Chart of Accounts'!$A$5:$A$3000,0)),"")</f>
        <v/>
      </c>
      <c r="AH171" s="23">
        <f>IFERROR(INDEX('Chart of Accounts'!$C$5:$C$3000,MATCH(V171&amp;"",'Chart of Accounts'!$A$5:$A$3000,0))&amp;"|"&amp;INDEX('Chart of Accounts'!$D$5:$D$3000,MATCH(V171&amp;"",'Chart of Accounts'!$A$5:$A$3000,0)),"")</f>
        <v/>
      </c>
      <c r="AI171" s="23">
        <f>IFERROR(INDEX('Chart of Accounts'!$C$5:$C$3000,MATCH(AE171&amp;"",'Chart of Accounts'!$A$5:$A$3000,0))&amp;"|"&amp;INDEX('Chart of Accounts'!$D$5:$D$3000,MATCH(AE171&amp;"",'Chart of Accounts'!$A$5:$A$3000,0)),"")</f>
        <v/>
      </c>
      <c r="AJ171" s="23">
        <f>IFERROR(INDEX('Chart of Accounts'!$C$5:$C$3000,MATCH(X171&amp;"",'Chart of Accounts'!$A$5:$A$3000,0))&amp;"|"&amp;INDEX('Chart of Accounts'!$D$5:$D$3000,MATCH(X171&amp;"",'Chart of Accounts'!$A$5:$A$3000,0)),"")</f>
        <v/>
      </c>
      <c r="AK171" s="23">
        <f>IFERROR(INDEX('Chart of Accounts'!$C$5:$C$3000,MATCH(W171&amp;"",'Chart of Accounts'!$A$5:$A$3000,0))&amp;"|"&amp;INDEX('Chart of Accounts'!$D$5:$D$3000,MATCH(W171&amp;"",'Chart of Accounts'!$A$5:$A$3000,0)),"")</f>
        <v/>
      </c>
      <c r="AL171" s="23">
        <f>IF(LEFT(AG171,8)="Revenue|",-N(S171),0)+IF(LEFT(AH171,8)="Revenue|",-N(T171),0)+IF(LEFT(AI171,8)="Revenue|",N(AF171),0)+IF(LEFT(AJ171,8)="Revenue|",N(AC171),0)+IF(LEFT(AK171,8)="Revenue|",N(U171),0)</f>
        <v/>
      </c>
      <c r="AM171" s="23">
        <f>IF(LEFT(AG171,5)="COGS|",N(S171),0)+IF(LEFT(AH171,5)="COGS|",N(T171),0)+IF(LEFT(AI171,5)="COGS|",-N(AF171),0)+IF(LEFT(AJ171,5)="COGS|",-N(AC171),0)+IF(LEFT(AK171,5)="COGS|",-N(U171),0)</f>
        <v/>
      </c>
      <c r="AN171" s="23">
        <f>IF(LEFT(AG171,8)="Expense|",N(S171),0)+IF(LEFT(AH171,8)="Expense|",N(T171),0)+IF(LEFT(AI171,8)="Expense|",-N(AF171),0)+IF(LEFT(AJ171,8)="Expense|",-N(AC171),0)+IF(LEFT(AK171,8)="Expense|",-N(U171),0)</f>
        <v/>
      </c>
      <c r="AO171" s="23">
        <f>IF(ISNUMBER(MATCH(AG171,{"Expense|employee","Expense|general_admin","Expense|marketing","Expense|utilities","Expense|other_operating"},0)),N(S171),0)+IF(ISNUMBER(MATCH(AH171,{"Expense|employee","Expense|general_admin","Expense|marketing","Expense|utilities","Expense|other_operating"},0)),N(T171),0)+IF(ISNUMBER(MATCH(AI171,{"Expense|employee","Expense|general_admin","Expense|marketing","Expense|utilities","Expense|other_operating"},0)),-N(AF171),0)+IF(ISNUMBER(MATCH(AJ171,{"Expense|employee","Expense|general_admin","Expense|marketing","Expense|utilities","Expense|other_operating"},0)),-N(AC171),0)+IF(ISNUMBER(MATCH(AK171,{"Expense|employee","Expense|general_admin","Expense|marketing","Expense|utilities","Expense|other_operating"},0)),-N(U171),0)</f>
        <v/>
      </c>
      <c r="AP171" s="23">
        <f>IF(AG171="Liability|payable",-N(S171),0)+IF(AH171="Liability|payable",-N(T171),0)+IF(AI171="Liability|payable",N(AF171),0)+IF(AJ171="Liability|payable",N(AC171),0)+IF(AK171="Liability|payable",N(U171),0)</f>
        <v/>
      </c>
      <c r="AQ171" s="23">
        <f>IF(AG171="Liability|accrued",-N(S171),0)+IF(AH171="Liability|accrued",-N(T171),0)+IF(AI171="Liability|accrued",N(AF171),0)+IF(AJ171="Liability|accrued",N(AC171),0)+IF(AK171="Liability|accrued",N(U171),0)</f>
        <v/>
      </c>
      <c r="AR171" s="23">
        <f>IF(AND(N(S171)&lt;&gt;0,AG171=""),1,0)+IF(AND(N(T171)&lt;&gt;0,AH171=""),1,0)+IF(AND(N(AF171)&lt;&gt;0,AI171=""),1,0)+IF(AND(N(AC171)&lt;&gt;0,AJ171=""),1,0)+IF(AND(N(U171)&lt;&gt;0,AK171=""),1,0)</f>
        <v/>
      </c>
    </row>
    <row r="172">
      <c r="A172" s="19" t="n"/>
      <c r="B172" s="14" t="n"/>
      <c r="C172" s="14" t="n"/>
      <c r="D172" s="14" t="n"/>
      <c r="E172" s="14" t="n"/>
      <c r="F172" s="14" t="n"/>
      <c r="G172" s="14" t="n"/>
      <c r="H172" s="20" t="n"/>
      <c r="I172" s="14" t="n"/>
      <c r="J172" s="14" t="n"/>
      <c r="K172" s="20" t="n"/>
      <c r="L172" s="14" t="n"/>
      <c r="M172" s="14" t="n"/>
      <c r="N172" s="14" t="n"/>
      <c r="O172" s="14" t="n"/>
      <c r="P172" s="14" t="n"/>
      <c r="Q172" s="14" t="n"/>
      <c r="R172" s="14" t="n"/>
      <c r="S172" s="21">
        <f>ROUND(ABS(N(G172))*N(H172),2)</f>
        <v/>
      </c>
      <c r="T172" s="21">
        <f>IF(B172="Receipt",ROUND(S172*IFERROR(VLOOKUP(Q172,'Tax Codes'!$A$5:$E$300,5,FALSE),0),2),0)</f>
        <v/>
      </c>
      <c r="U172" s="21">
        <f>IF(B172="Receipt",ROUND(S172*IFERROR(VLOOKUP(R172,'Tax Codes'!$A$5:$E$300,5,FALSE),0),2),0)</f>
        <v/>
      </c>
      <c r="V172" s="16">
        <f>INDEX('Chart of Accounts'!$A$5:$A$3000,MATCH("vat_input",'Chart of Accounts'!$F$5:$F$3000,0))</f>
        <v/>
      </c>
      <c r="W172" s="16">
        <f>INDEX('Chart of Accounts'!$A$5:$A$3000,MATCH("wht_payable",'Chart of Accounts'!$F$5:$F$3000,0))</f>
        <v/>
      </c>
      <c r="X172" s="16">
        <f>IF(M172="",INDEX('Chart of Accounts'!$A$5:$A$3000,MATCH("bank",'Chart of Accounts'!$F$5:$F$3000,0)),M172&amp;"")</f>
        <v/>
      </c>
      <c r="Y172" s="16">
        <f>IF(N172="",INDEX('Chart of Accounts'!$A$5:$A$3000,MATCH("ap",'Chart of Accounts'!$F$5:$F$3000,0)),N172&amp;"")</f>
        <v/>
      </c>
      <c r="Z172" s="16">
        <f>IF(O172="",INDEX('Chart of Accounts'!$A$5:$A$3000,MATCH("materials",'Chart of Accounts'!$F$5:$F$3000,0)),O172&amp;"")</f>
        <v/>
      </c>
      <c r="AA172" s="16">
        <f>IF(IFERROR(INDEX(Warehouses!$C$5:$C$1000,MATCH(C172,Warehouses!$A$5:$A$1000,0))&amp;"","")="",INDEX('Chart of Accounts'!$A$5:$A$3000,MATCH("inventory",'Chart of Accounts'!$F$5:$F$3000,0)),IFERROR(INDEX(Warehouses!$C$5:$C$1000,MATCH(C172,Warehouses!$A$5:$A$1000,0))&amp;"",""))</f>
        <v/>
      </c>
      <c r="AB172" s="16">
        <f>IF(IFERROR(INDEX(Warehouses!$C$5:$C$1000,MATCH(D172,Warehouses!$A$5:$A$1000,0))&amp;"","")="",INDEX('Chart of Accounts'!$A$5:$A$3000,MATCH("inventory",'Chart of Accounts'!$F$5:$F$3000,0)),IFERROR(INDEX(Warehouses!$C$5:$C$1000,MATCH(D172,Warehouses!$A$5:$A$1000,0))&amp;"",""))</f>
        <v/>
      </c>
      <c r="AC172" s="21">
        <f>IF(B172="Receipt",N(K172),0)</f>
        <v/>
      </c>
      <c r="AD172" s="16">
        <f>IF(B172="Receipt",AA172,IF(B172="Issue",Z172,IF(B172="Transfer",AB172,IF(N(G172)&gt;=0,AA172,INDEX('Chart of Accounts'!$A$5:$A$3000,MATCH("stock_adjust",'Chart of Accounts'!$F$5:$F$3000,0))))))</f>
        <v/>
      </c>
      <c r="AE172" s="16">
        <f>IF(B172="Receipt",Y172,IF(B172="Adjustment",IF(N(G172)&gt;=0,INDEX('Chart of Accounts'!$A$5:$A$3000,MATCH("stock_adjust",'Chart of Accounts'!$F$5:$F$3000,0)),AA172),AA172))</f>
        <v/>
      </c>
      <c r="AF172" s="21">
        <f>S172+T172-U172-AC172</f>
        <v/>
      </c>
      <c r="AG172" s="23">
        <f>IFERROR(INDEX('Chart of Accounts'!$C$5:$C$3000,MATCH(AD172&amp;"",'Chart of Accounts'!$A$5:$A$3000,0))&amp;"|"&amp;INDEX('Chart of Accounts'!$D$5:$D$3000,MATCH(AD172&amp;"",'Chart of Accounts'!$A$5:$A$3000,0)),"")</f>
        <v/>
      </c>
      <c r="AH172" s="23">
        <f>IFERROR(INDEX('Chart of Accounts'!$C$5:$C$3000,MATCH(V172&amp;"",'Chart of Accounts'!$A$5:$A$3000,0))&amp;"|"&amp;INDEX('Chart of Accounts'!$D$5:$D$3000,MATCH(V172&amp;"",'Chart of Accounts'!$A$5:$A$3000,0)),"")</f>
        <v/>
      </c>
      <c r="AI172" s="23">
        <f>IFERROR(INDEX('Chart of Accounts'!$C$5:$C$3000,MATCH(AE172&amp;"",'Chart of Accounts'!$A$5:$A$3000,0))&amp;"|"&amp;INDEX('Chart of Accounts'!$D$5:$D$3000,MATCH(AE172&amp;"",'Chart of Accounts'!$A$5:$A$3000,0)),"")</f>
        <v/>
      </c>
      <c r="AJ172" s="23">
        <f>IFERROR(INDEX('Chart of Accounts'!$C$5:$C$3000,MATCH(X172&amp;"",'Chart of Accounts'!$A$5:$A$3000,0))&amp;"|"&amp;INDEX('Chart of Accounts'!$D$5:$D$3000,MATCH(X172&amp;"",'Chart of Accounts'!$A$5:$A$3000,0)),"")</f>
        <v/>
      </c>
      <c r="AK172" s="23">
        <f>IFERROR(INDEX('Chart of Accounts'!$C$5:$C$3000,MATCH(W172&amp;"",'Chart of Accounts'!$A$5:$A$3000,0))&amp;"|"&amp;INDEX('Chart of Accounts'!$D$5:$D$3000,MATCH(W172&amp;"",'Chart of Accounts'!$A$5:$A$3000,0)),"")</f>
        <v/>
      </c>
      <c r="AL172" s="23">
        <f>IF(LEFT(AG172,8)="Revenue|",-N(S172),0)+IF(LEFT(AH172,8)="Revenue|",-N(T172),0)+IF(LEFT(AI172,8)="Revenue|",N(AF172),0)+IF(LEFT(AJ172,8)="Revenue|",N(AC172),0)+IF(LEFT(AK172,8)="Revenue|",N(U172),0)</f>
        <v/>
      </c>
      <c r="AM172" s="23">
        <f>IF(LEFT(AG172,5)="COGS|",N(S172),0)+IF(LEFT(AH172,5)="COGS|",N(T172),0)+IF(LEFT(AI172,5)="COGS|",-N(AF172),0)+IF(LEFT(AJ172,5)="COGS|",-N(AC172),0)+IF(LEFT(AK172,5)="COGS|",-N(U172),0)</f>
        <v/>
      </c>
      <c r="AN172" s="23">
        <f>IF(LEFT(AG172,8)="Expense|",N(S172),0)+IF(LEFT(AH172,8)="Expense|",N(T172),0)+IF(LEFT(AI172,8)="Expense|",-N(AF172),0)+IF(LEFT(AJ172,8)="Expense|",-N(AC172),0)+IF(LEFT(AK172,8)="Expense|",-N(U172),0)</f>
        <v/>
      </c>
      <c r="AO172" s="23">
        <f>IF(ISNUMBER(MATCH(AG172,{"Expense|employee","Expense|general_admin","Expense|marketing","Expense|utilities","Expense|other_operating"},0)),N(S172),0)+IF(ISNUMBER(MATCH(AH172,{"Expense|employee","Expense|general_admin","Expense|marketing","Expense|utilities","Expense|other_operating"},0)),N(T172),0)+IF(ISNUMBER(MATCH(AI172,{"Expense|employee","Expense|general_admin","Expense|marketing","Expense|utilities","Expense|other_operating"},0)),-N(AF172),0)+IF(ISNUMBER(MATCH(AJ172,{"Expense|employee","Expense|general_admin","Expense|marketing","Expense|utilities","Expense|other_operating"},0)),-N(AC172),0)+IF(ISNUMBER(MATCH(AK172,{"Expense|employee","Expense|general_admin","Expense|marketing","Expense|utilities","Expense|other_operating"},0)),-N(U172),0)</f>
        <v/>
      </c>
      <c r="AP172" s="23">
        <f>IF(AG172="Liability|payable",-N(S172),0)+IF(AH172="Liability|payable",-N(T172),0)+IF(AI172="Liability|payable",N(AF172),0)+IF(AJ172="Liability|payable",N(AC172),0)+IF(AK172="Liability|payable",N(U172),0)</f>
        <v/>
      </c>
      <c r="AQ172" s="23">
        <f>IF(AG172="Liability|accrued",-N(S172),0)+IF(AH172="Liability|accrued",-N(T172),0)+IF(AI172="Liability|accrued",N(AF172),0)+IF(AJ172="Liability|accrued",N(AC172),0)+IF(AK172="Liability|accrued",N(U172),0)</f>
        <v/>
      </c>
      <c r="AR172" s="23">
        <f>IF(AND(N(S172)&lt;&gt;0,AG172=""),1,0)+IF(AND(N(T172)&lt;&gt;0,AH172=""),1,0)+IF(AND(N(AF172)&lt;&gt;0,AI172=""),1,0)+IF(AND(N(AC172)&lt;&gt;0,AJ172=""),1,0)+IF(AND(N(U172)&lt;&gt;0,AK172=""),1,0)</f>
        <v/>
      </c>
    </row>
    <row r="173">
      <c r="A173" s="19" t="n"/>
      <c r="B173" s="14" t="n"/>
      <c r="C173" s="14" t="n"/>
      <c r="D173" s="14" t="n"/>
      <c r="E173" s="14" t="n"/>
      <c r="F173" s="14" t="n"/>
      <c r="G173" s="14" t="n"/>
      <c r="H173" s="20" t="n"/>
      <c r="I173" s="14" t="n"/>
      <c r="J173" s="14" t="n"/>
      <c r="K173" s="20" t="n"/>
      <c r="L173" s="14" t="n"/>
      <c r="M173" s="14" t="n"/>
      <c r="N173" s="14" t="n"/>
      <c r="O173" s="14" t="n"/>
      <c r="P173" s="14" t="n"/>
      <c r="Q173" s="14" t="n"/>
      <c r="R173" s="14" t="n"/>
      <c r="S173" s="21">
        <f>ROUND(ABS(N(G173))*N(H173),2)</f>
        <v/>
      </c>
      <c r="T173" s="21">
        <f>IF(B173="Receipt",ROUND(S173*IFERROR(VLOOKUP(Q173,'Tax Codes'!$A$5:$E$300,5,FALSE),0),2),0)</f>
        <v/>
      </c>
      <c r="U173" s="21">
        <f>IF(B173="Receipt",ROUND(S173*IFERROR(VLOOKUP(R173,'Tax Codes'!$A$5:$E$300,5,FALSE),0),2),0)</f>
        <v/>
      </c>
      <c r="V173" s="16">
        <f>INDEX('Chart of Accounts'!$A$5:$A$3000,MATCH("vat_input",'Chart of Accounts'!$F$5:$F$3000,0))</f>
        <v/>
      </c>
      <c r="W173" s="16">
        <f>INDEX('Chart of Accounts'!$A$5:$A$3000,MATCH("wht_payable",'Chart of Accounts'!$F$5:$F$3000,0))</f>
        <v/>
      </c>
      <c r="X173" s="16">
        <f>IF(M173="",INDEX('Chart of Accounts'!$A$5:$A$3000,MATCH("bank",'Chart of Accounts'!$F$5:$F$3000,0)),M173&amp;"")</f>
        <v/>
      </c>
      <c r="Y173" s="16">
        <f>IF(N173="",INDEX('Chart of Accounts'!$A$5:$A$3000,MATCH("ap",'Chart of Accounts'!$F$5:$F$3000,0)),N173&amp;"")</f>
        <v/>
      </c>
      <c r="Z173" s="16">
        <f>IF(O173="",INDEX('Chart of Accounts'!$A$5:$A$3000,MATCH("materials",'Chart of Accounts'!$F$5:$F$3000,0)),O173&amp;"")</f>
        <v/>
      </c>
      <c r="AA173" s="16">
        <f>IF(IFERROR(INDEX(Warehouses!$C$5:$C$1000,MATCH(C173,Warehouses!$A$5:$A$1000,0))&amp;"","")="",INDEX('Chart of Accounts'!$A$5:$A$3000,MATCH("inventory",'Chart of Accounts'!$F$5:$F$3000,0)),IFERROR(INDEX(Warehouses!$C$5:$C$1000,MATCH(C173,Warehouses!$A$5:$A$1000,0))&amp;"",""))</f>
        <v/>
      </c>
      <c r="AB173" s="16">
        <f>IF(IFERROR(INDEX(Warehouses!$C$5:$C$1000,MATCH(D173,Warehouses!$A$5:$A$1000,0))&amp;"","")="",INDEX('Chart of Accounts'!$A$5:$A$3000,MATCH("inventory",'Chart of Accounts'!$F$5:$F$3000,0)),IFERROR(INDEX(Warehouses!$C$5:$C$1000,MATCH(D173,Warehouses!$A$5:$A$1000,0))&amp;"",""))</f>
        <v/>
      </c>
      <c r="AC173" s="21">
        <f>IF(B173="Receipt",N(K173),0)</f>
        <v/>
      </c>
      <c r="AD173" s="16">
        <f>IF(B173="Receipt",AA173,IF(B173="Issue",Z173,IF(B173="Transfer",AB173,IF(N(G173)&gt;=0,AA173,INDEX('Chart of Accounts'!$A$5:$A$3000,MATCH("stock_adjust",'Chart of Accounts'!$F$5:$F$3000,0))))))</f>
        <v/>
      </c>
      <c r="AE173" s="16">
        <f>IF(B173="Receipt",Y173,IF(B173="Adjustment",IF(N(G173)&gt;=0,INDEX('Chart of Accounts'!$A$5:$A$3000,MATCH("stock_adjust",'Chart of Accounts'!$F$5:$F$3000,0)),AA173),AA173))</f>
        <v/>
      </c>
      <c r="AF173" s="21">
        <f>S173+T173-U173-AC173</f>
        <v/>
      </c>
      <c r="AG173" s="23">
        <f>IFERROR(INDEX('Chart of Accounts'!$C$5:$C$3000,MATCH(AD173&amp;"",'Chart of Accounts'!$A$5:$A$3000,0))&amp;"|"&amp;INDEX('Chart of Accounts'!$D$5:$D$3000,MATCH(AD173&amp;"",'Chart of Accounts'!$A$5:$A$3000,0)),"")</f>
        <v/>
      </c>
      <c r="AH173" s="23">
        <f>IFERROR(INDEX('Chart of Accounts'!$C$5:$C$3000,MATCH(V173&amp;"",'Chart of Accounts'!$A$5:$A$3000,0))&amp;"|"&amp;INDEX('Chart of Accounts'!$D$5:$D$3000,MATCH(V173&amp;"",'Chart of Accounts'!$A$5:$A$3000,0)),"")</f>
        <v/>
      </c>
      <c r="AI173" s="23">
        <f>IFERROR(INDEX('Chart of Accounts'!$C$5:$C$3000,MATCH(AE173&amp;"",'Chart of Accounts'!$A$5:$A$3000,0))&amp;"|"&amp;INDEX('Chart of Accounts'!$D$5:$D$3000,MATCH(AE173&amp;"",'Chart of Accounts'!$A$5:$A$3000,0)),"")</f>
        <v/>
      </c>
      <c r="AJ173" s="23">
        <f>IFERROR(INDEX('Chart of Accounts'!$C$5:$C$3000,MATCH(X173&amp;"",'Chart of Accounts'!$A$5:$A$3000,0))&amp;"|"&amp;INDEX('Chart of Accounts'!$D$5:$D$3000,MATCH(X173&amp;"",'Chart of Accounts'!$A$5:$A$3000,0)),"")</f>
        <v/>
      </c>
      <c r="AK173" s="23">
        <f>IFERROR(INDEX('Chart of Accounts'!$C$5:$C$3000,MATCH(W173&amp;"",'Chart of Accounts'!$A$5:$A$3000,0))&amp;"|"&amp;INDEX('Chart of Accounts'!$D$5:$D$3000,MATCH(W173&amp;"",'Chart of Accounts'!$A$5:$A$3000,0)),"")</f>
        <v/>
      </c>
      <c r="AL173" s="23">
        <f>IF(LEFT(AG173,8)="Revenue|",-N(S173),0)+IF(LEFT(AH173,8)="Revenue|",-N(T173),0)+IF(LEFT(AI173,8)="Revenue|",N(AF173),0)+IF(LEFT(AJ173,8)="Revenue|",N(AC173),0)+IF(LEFT(AK173,8)="Revenue|",N(U173),0)</f>
        <v/>
      </c>
      <c r="AM173" s="23">
        <f>IF(LEFT(AG173,5)="COGS|",N(S173),0)+IF(LEFT(AH173,5)="COGS|",N(T173),0)+IF(LEFT(AI173,5)="COGS|",-N(AF173),0)+IF(LEFT(AJ173,5)="COGS|",-N(AC173),0)+IF(LEFT(AK173,5)="COGS|",-N(U173),0)</f>
        <v/>
      </c>
      <c r="AN173" s="23">
        <f>IF(LEFT(AG173,8)="Expense|",N(S173),0)+IF(LEFT(AH173,8)="Expense|",N(T173),0)+IF(LEFT(AI173,8)="Expense|",-N(AF173),0)+IF(LEFT(AJ173,8)="Expense|",-N(AC173),0)+IF(LEFT(AK173,8)="Expense|",-N(U173),0)</f>
        <v/>
      </c>
      <c r="AO173" s="23">
        <f>IF(ISNUMBER(MATCH(AG173,{"Expense|employee","Expense|general_admin","Expense|marketing","Expense|utilities","Expense|other_operating"},0)),N(S173),0)+IF(ISNUMBER(MATCH(AH173,{"Expense|employee","Expense|general_admin","Expense|marketing","Expense|utilities","Expense|other_operating"},0)),N(T173),0)+IF(ISNUMBER(MATCH(AI173,{"Expense|employee","Expense|general_admin","Expense|marketing","Expense|utilities","Expense|other_operating"},0)),-N(AF173),0)+IF(ISNUMBER(MATCH(AJ173,{"Expense|employee","Expense|general_admin","Expense|marketing","Expense|utilities","Expense|other_operating"},0)),-N(AC173),0)+IF(ISNUMBER(MATCH(AK173,{"Expense|employee","Expense|general_admin","Expense|marketing","Expense|utilities","Expense|other_operating"},0)),-N(U173),0)</f>
        <v/>
      </c>
      <c r="AP173" s="23">
        <f>IF(AG173="Liability|payable",-N(S173),0)+IF(AH173="Liability|payable",-N(T173),0)+IF(AI173="Liability|payable",N(AF173),0)+IF(AJ173="Liability|payable",N(AC173),0)+IF(AK173="Liability|payable",N(U173),0)</f>
        <v/>
      </c>
      <c r="AQ173" s="23">
        <f>IF(AG173="Liability|accrued",-N(S173),0)+IF(AH173="Liability|accrued",-N(T173),0)+IF(AI173="Liability|accrued",N(AF173),0)+IF(AJ173="Liability|accrued",N(AC173),0)+IF(AK173="Liability|accrued",N(U173),0)</f>
        <v/>
      </c>
      <c r="AR173" s="23">
        <f>IF(AND(N(S173)&lt;&gt;0,AG173=""),1,0)+IF(AND(N(T173)&lt;&gt;0,AH173=""),1,0)+IF(AND(N(AF173)&lt;&gt;0,AI173=""),1,0)+IF(AND(N(AC173)&lt;&gt;0,AJ173=""),1,0)+IF(AND(N(U173)&lt;&gt;0,AK173=""),1,0)</f>
        <v/>
      </c>
    </row>
    <row r="174">
      <c r="A174" s="19" t="n"/>
      <c r="B174" s="14" t="n"/>
      <c r="C174" s="14" t="n"/>
      <c r="D174" s="14" t="n"/>
      <c r="E174" s="14" t="n"/>
      <c r="F174" s="14" t="n"/>
      <c r="G174" s="14" t="n"/>
      <c r="H174" s="20" t="n"/>
      <c r="I174" s="14" t="n"/>
      <c r="J174" s="14" t="n"/>
      <c r="K174" s="20" t="n"/>
      <c r="L174" s="14" t="n"/>
      <c r="M174" s="14" t="n"/>
      <c r="N174" s="14" t="n"/>
      <c r="O174" s="14" t="n"/>
      <c r="P174" s="14" t="n"/>
      <c r="Q174" s="14" t="n"/>
      <c r="R174" s="14" t="n"/>
      <c r="S174" s="21">
        <f>ROUND(ABS(N(G174))*N(H174),2)</f>
        <v/>
      </c>
      <c r="T174" s="21">
        <f>IF(B174="Receipt",ROUND(S174*IFERROR(VLOOKUP(Q174,'Tax Codes'!$A$5:$E$300,5,FALSE),0),2),0)</f>
        <v/>
      </c>
      <c r="U174" s="21">
        <f>IF(B174="Receipt",ROUND(S174*IFERROR(VLOOKUP(R174,'Tax Codes'!$A$5:$E$300,5,FALSE),0),2),0)</f>
        <v/>
      </c>
      <c r="V174" s="16">
        <f>INDEX('Chart of Accounts'!$A$5:$A$3000,MATCH("vat_input",'Chart of Accounts'!$F$5:$F$3000,0))</f>
        <v/>
      </c>
      <c r="W174" s="16">
        <f>INDEX('Chart of Accounts'!$A$5:$A$3000,MATCH("wht_payable",'Chart of Accounts'!$F$5:$F$3000,0))</f>
        <v/>
      </c>
      <c r="X174" s="16">
        <f>IF(M174="",INDEX('Chart of Accounts'!$A$5:$A$3000,MATCH("bank",'Chart of Accounts'!$F$5:$F$3000,0)),M174&amp;"")</f>
        <v/>
      </c>
      <c r="Y174" s="16">
        <f>IF(N174="",INDEX('Chart of Accounts'!$A$5:$A$3000,MATCH("ap",'Chart of Accounts'!$F$5:$F$3000,0)),N174&amp;"")</f>
        <v/>
      </c>
      <c r="Z174" s="16">
        <f>IF(O174="",INDEX('Chart of Accounts'!$A$5:$A$3000,MATCH("materials",'Chart of Accounts'!$F$5:$F$3000,0)),O174&amp;"")</f>
        <v/>
      </c>
      <c r="AA174" s="16">
        <f>IF(IFERROR(INDEX(Warehouses!$C$5:$C$1000,MATCH(C174,Warehouses!$A$5:$A$1000,0))&amp;"","")="",INDEX('Chart of Accounts'!$A$5:$A$3000,MATCH("inventory",'Chart of Accounts'!$F$5:$F$3000,0)),IFERROR(INDEX(Warehouses!$C$5:$C$1000,MATCH(C174,Warehouses!$A$5:$A$1000,0))&amp;"",""))</f>
        <v/>
      </c>
      <c r="AB174" s="16">
        <f>IF(IFERROR(INDEX(Warehouses!$C$5:$C$1000,MATCH(D174,Warehouses!$A$5:$A$1000,0))&amp;"","")="",INDEX('Chart of Accounts'!$A$5:$A$3000,MATCH("inventory",'Chart of Accounts'!$F$5:$F$3000,0)),IFERROR(INDEX(Warehouses!$C$5:$C$1000,MATCH(D174,Warehouses!$A$5:$A$1000,0))&amp;"",""))</f>
        <v/>
      </c>
      <c r="AC174" s="21">
        <f>IF(B174="Receipt",N(K174),0)</f>
        <v/>
      </c>
      <c r="AD174" s="16">
        <f>IF(B174="Receipt",AA174,IF(B174="Issue",Z174,IF(B174="Transfer",AB174,IF(N(G174)&gt;=0,AA174,INDEX('Chart of Accounts'!$A$5:$A$3000,MATCH("stock_adjust",'Chart of Accounts'!$F$5:$F$3000,0))))))</f>
        <v/>
      </c>
      <c r="AE174" s="16">
        <f>IF(B174="Receipt",Y174,IF(B174="Adjustment",IF(N(G174)&gt;=0,INDEX('Chart of Accounts'!$A$5:$A$3000,MATCH("stock_adjust",'Chart of Accounts'!$F$5:$F$3000,0)),AA174),AA174))</f>
        <v/>
      </c>
      <c r="AF174" s="21">
        <f>S174+T174-U174-AC174</f>
        <v/>
      </c>
      <c r="AG174" s="23">
        <f>IFERROR(INDEX('Chart of Accounts'!$C$5:$C$3000,MATCH(AD174&amp;"",'Chart of Accounts'!$A$5:$A$3000,0))&amp;"|"&amp;INDEX('Chart of Accounts'!$D$5:$D$3000,MATCH(AD174&amp;"",'Chart of Accounts'!$A$5:$A$3000,0)),"")</f>
        <v/>
      </c>
      <c r="AH174" s="23">
        <f>IFERROR(INDEX('Chart of Accounts'!$C$5:$C$3000,MATCH(V174&amp;"",'Chart of Accounts'!$A$5:$A$3000,0))&amp;"|"&amp;INDEX('Chart of Accounts'!$D$5:$D$3000,MATCH(V174&amp;"",'Chart of Accounts'!$A$5:$A$3000,0)),"")</f>
        <v/>
      </c>
      <c r="AI174" s="23">
        <f>IFERROR(INDEX('Chart of Accounts'!$C$5:$C$3000,MATCH(AE174&amp;"",'Chart of Accounts'!$A$5:$A$3000,0))&amp;"|"&amp;INDEX('Chart of Accounts'!$D$5:$D$3000,MATCH(AE174&amp;"",'Chart of Accounts'!$A$5:$A$3000,0)),"")</f>
        <v/>
      </c>
      <c r="AJ174" s="23">
        <f>IFERROR(INDEX('Chart of Accounts'!$C$5:$C$3000,MATCH(X174&amp;"",'Chart of Accounts'!$A$5:$A$3000,0))&amp;"|"&amp;INDEX('Chart of Accounts'!$D$5:$D$3000,MATCH(X174&amp;"",'Chart of Accounts'!$A$5:$A$3000,0)),"")</f>
        <v/>
      </c>
      <c r="AK174" s="23">
        <f>IFERROR(INDEX('Chart of Accounts'!$C$5:$C$3000,MATCH(W174&amp;"",'Chart of Accounts'!$A$5:$A$3000,0))&amp;"|"&amp;INDEX('Chart of Accounts'!$D$5:$D$3000,MATCH(W174&amp;"",'Chart of Accounts'!$A$5:$A$3000,0)),"")</f>
        <v/>
      </c>
      <c r="AL174" s="23">
        <f>IF(LEFT(AG174,8)="Revenue|",-N(S174),0)+IF(LEFT(AH174,8)="Revenue|",-N(T174),0)+IF(LEFT(AI174,8)="Revenue|",N(AF174),0)+IF(LEFT(AJ174,8)="Revenue|",N(AC174),0)+IF(LEFT(AK174,8)="Revenue|",N(U174),0)</f>
        <v/>
      </c>
      <c r="AM174" s="23">
        <f>IF(LEFT(AG174,5)="COGS|",N(S174),0)+IF(LEFT(AH174,5)="COGS|",N(T174),0)+IF(LEFT(AI174,5)="COGS|",-N(AF174),0)+IF(LEFT(AJ174,5)="COGS|",-N(AC174),0)+IF(LEFT(AK174,5)="COGS|",-N(U174),0)</f>
        <v/>
      </c>
      <c r="AN174" s="23">
        <f>IF(LEFT(AG174,8)="Expense|",N(S174),0)+IF(LEFT(AH174,8)="Expense|",N(T174),0)+IF(LEFT(AI174,8)="Expense|",-N(AF174),0)+IF(LEFT(AJ174,8)="Expense|",-N(AC174),0)+IF(LEFT(AK174,8)="Expense|",-N(U174),0)</f>
        <v/>
      </c>
      <c r="AO174" s="23">
        <f>IF(ISNUMBER(MATCH(AG174,{"Expense|employee","Expense|general_admin","Expense|marketing","Expense|utilities","Expense|other_operating"},0)),N(S174),0)+IF(ISNUMBER(MATCH(AH174,{"Expense|employee","Expense|general_admin","Expense|marketing","Expense|utilities","Expense|other_operating"},0)),N(T174),0)+IF(ISNUMBER(MATCH(AI174,{"Expense|employee","Expense|general_admin","Expense|marketing","Expense|utilities","Expense|other_operating"},0)),-N(AF174),0)+IF(ISNUMBER(MATCH(AJ174,{"Expense|employee","Expense|general_admin","Expense|marketing","Expense|utilities","Expense|other_operating"},0)),-N(AC174),0)+IF(ISNUMBER(MATCH(AK174,{"Expense|employee","Expense|general_admin","Expense|marketing","Expense|utilities","Expense|other_operating"},0)),-N(U174),0)</f>
        <v/>
      </c>
      <c r="AP174" s="23">
        <f>IF(AG174="Liability|payable",-N(S174),0)+IF(AH174="Liability|payable",-N(T174),0)+IF(AI174="Liability|payable",N(AF174),0)+IF(AJ174="Liability|payable",N(AC174),0)+IF(AK174="Liability|payable",N(U174),0)</f>
        <v/>
      </c>
      <c r="AQ174" s="23">
        <f>IF(AG174="Liability|accrued",-N(S174),0)+IF(AH174="Liability|accrued",-N(T174),0)+IF(AI174="Liability|accrued",N(AF174),0)+IF(AJ174="Liability|accrued",N(AC174),0)+IF(AK174="Liability|accrued",N(U174),0)</f>
        <v/>
      </c>
      <c r="AR174" s="23">
        <f>IF(AND(N(S174)&lt;&gt;0,AG174=""),1,0)+IF(AND(N(T174)&lt;&gt;0,AH174=""),1,0)+IF(AND(N(AF174)&lt;&gt;0,AI174=""),1,0)+IF(AND(N(AC174)&lt;&gt;0,AJ174=""),1,0)+IF(AND(N(U174)&lt;&gt;0,AK174=""),1,0)</f>
        <v/>
      </c>
    </row>
    <row r="175">
      <c r="A175" s="19" t="n"/>
      <c r="B175" s="14" t="n"/>
      <c r="C175" s="14" t="n"/>
      <c r="D175" s="14" t="n"/>
      <c r="E175" s="14" t="n"/>
      <c r="F175" s="14" t="n"/>
      <c r="G175" s="14" t="n"/>
      <c r="H175" s="20" t="n"/>
      <c r="I175" s="14" t="n"/>
      <c r="J175" s="14" t="n"/>
      <c r="K175" s="20" t="n"/>
      <c r="L175" s="14" t="n"/>
      <c r="M175" s="14" t="n"/>
      <c r="N175" s="14" t="n"/>
      <c r="O175" s="14" t="n"/>
      <c r="P175" s="14" t="n"/>
      <c r="Q175" s="14" t="n"/>
      <c r="R175" s="14" t="n"/>
      <c r="S175" s="21">
        <f>ROUND(ABS(N(G175))*N(H175),2)</f>
        <v/>
      </c>
      <c r="T175" s="21">
        <f>IF(B175="Receipt",ROUND(S175*IFERROR(VLOOKUP(Q175,'Tax Codes'!$A$5:$E$300,5,FALSE),0),2),0)</f>
        <v/>
      </c>
      <c r="U175" s="21">
        <f>IF(B175="Receipt",ROUND(S175*IFERROR(VLOOKUP(R175,'Tax Codes'!$A$5:$E$300,5,FALSE),0),2),0)</f>
        <v/>
      </c>
      <c r="V175" s="16">
        <f>INDEX('Chart of Accounts'!$A$5:$A$3000,MATCH("vat_input",'Chart of Accounts'!$F$5:$F$3000,0))</f>
        <v/>
      </c>
      <c r="W175" s="16">
        <f>INDEX('Chart of Accounts'!$A$5:$A$3000,MATCH("wht_payable",'Chart of Accounts'!$F$5:$F$3000,0))</f>
        <v/>
      </c>
      <c r="X175" s="16">
        <f>IF(M175="",INDEX('Chart of Accounts'!$A$5:$A$3000,MATCH("bank",'Chart of Accounts'!$F$5:$F$3000,0)),M175&amp;"")</f>
        <v/>
      </c>
      <c r="Y175" s="16">
        <f>IF(N175="",INDEX('Chart of Accounts'!$A$5:$A$3000,MATCH("ap",'Chart of Accounts'!$F$5:$F$3000,0)),N175&amp;"")</f>
        <v/>
      </c>
      <c r="Z175" s="16">
        <f>IF(O175="",INDEX('Chart of Accounts'!$A$5:$A$3000,MATCH("materials",'Chart of Accounts'!$F$5:$F$3000,0)),O175&amp;"")</f>
        <v/>
      </c>
      <c r="AA175" s="16">
        <f>IF(IFERROR(INDEX(Warehouses!$C$5:$C$1000,MATCH(C175,Warehouses!$A$5:$A$1000,0))&amp;"","")="",INDEX('Chart of Accounts'!$A$5:$A$3000,MATCH("inventory",'Chart of Accounts'!$F$5:$F$3000,0)),IFERROR(INDEX(Warehouses!$C$5:$C$1000,MATCH(C175,Warehouses!$A$5:$A$1000,0))&amp;"",""))</f>
        <v/>
      </c>
      <c r="AB175" s="16">
        <f>IF(IFERROR(INDEX(Warehouses!$C$5:$C$1000,MATCH(D175,Warehouses!$A$5:$A$1000,0))&amp;"","")="",INDEX('Chart of Accounts'!$A$5:$A$3000,MATCH("inventory",'Chart of Accounts'!$F$5:$F$3000,0)),IFERROR(INDEX(Warehouses!$C$5:$C$1000,MATCH(D175,Warehouses!$A$5:$A$1000,0))&amp;"",""))</f>
        <v/>
      </c>
      <c r="AC175" s="21">
        <f>IF(B175="Receipt",N(K175),0)</f>
        <v/>
      </c>
      <c r="AD175" s="16">
        <f>IF(B175="Receipt",AA175,IF(B175="Issue",Z175,IF(B175="Transfer",AB175,IF(N(G175)&gt;=0,AA175,INDEX('Chart of Accounts'!$A$5:$A$3000,MATCH("stock_adjust",'Chart of Accounts'!$F$5:$F$3000,0))))))</f>
        <v/>
      </c>
      <c r="AE175" s="16">
        <f>IF(B175="Receipt",Y175,IF(B175="Adjustment",IF(N(G175)&gt;=0,INDEX('Chart of Accounts'!$A$5:$A$3000,MATCH("stock_adjust",'Chart of Accounts'!$F$5:$F$3000,0)),AA175),AA175))</f>
        <v/>
      </c>
      <c r="AF175" s="21">
        <f>S175+T175-U175-AC175</f>
        <v/>
      </c>
      <c r="AG175" s="23">
        <f>IFERROR(INDEX('Chart of Accounts'!$C$5:$C$3000,MATCH(AD175&amp;"",'Chart of Accounts'!$A$5:$A$3000,0))&amp;"|"&amp;INDEX('Chart of Accounts'!$D$5:$D$3000,MATCH(AD175&amp;"",'Chart of Accounts'!$A$5:$A$3000,0)),"")</f>
        <v/>
      </c>
      <c r="AH175" s="23">
        <f>IFERROR(INDEX('Chart of Accounts'!$C$5:$C$3000,MATCH(V175&amp;"",'Chart of Accounts'!$A$5:$A$3000,0))&amp;"|"&amp;INDEX('Chart of Accounts'!$D$5:$D$3000,MATCH(V175&amp;"",'Chart of Accounts'!$A$5:$A$3000,0)),"")</f>
        <v/>
      </c>
      <c r="AI175" s="23">
        <f>IFERROR(INDEX('Chart of Accounts'!$C$5:$C$3000,MATCH(AE175&amp;"",'Chart of Accounts'!$A$5:$A$3000,0))&amp;"|"&amp;INDEX('Chart of Accounts'!$D$5:$D$3000,MATCH(AE175&amp;"",'Chart of Accounts'!$A$5:$A$3000,0)),"")</f>
        <v/>
      </c>
      <c r="AJ175" s="23">
        <f>IFERROR(INDEX('Chart of Accounts'!$C$5:$C$3000,MATCH(X175&amp;"",'Chart of Accounts'!$A$5:$A$3000,0))&amp;"|"&amp;INDEX('Chart of Accounts'!$D$5:$D$3000,MATCH(X175&amp;"",'Chart of Accounts'!$A$5:$A$3000,0)),"")</f>
        <v/>
      </c>
      <c r="AK175" s="23">
        <f>IFERROR(INDEX('Chart of Accounts'!$C$5:$C$3000,MATCH(W175&amp;"",'Chart of Accounts'!$A$5:$A$3000,0))&amp;"|"&amp;INDEX('Chart of Accounts'!$D$5:$D$3000,MATCH(W175&amp;"",'Chart of Accounts'!$A$5:$A$3000,0)),"")</f>
        <v/>
      </c>
      <c r="AL175" s="23">
        <f>IF(LEFT(AG175,8)="Revenue|",-N(S175),0)+IF(LEFT(AH175,8)="Revenue|",-N(T175),0)+IF(LEFT(AI175,8)="Revenue|",N(AF175),0)+IF(LEFT(AJ175,8)="Revenue|",N(AC175),0)+IF(LEFT(AK175,8)="Revenue|",N(U175),0)</f>
        <v/>
      </c>
      <c r="AM175" s="23">
        <f>IF(LEFT(AG175,5)="COGS|",N(S175),0)+IF(LEFT(AH175,5)="COGS|",N(T175),0)+IF(LEFT(AI175,5)="COGS|",-N(AF175),0)+IF(LEFT(AJ175,5)="COGS|",-N(AC175),0)+IF(LEFT(AK175,5)="COGS|",-N(U175),0)</f>
        <v/>
      </c>
      <c r="AN175" s="23">
        <f>IF(LEFT(AG175,8)="Expense|",N(S175),0)+IF(LEFT(AH175,8)="Expense|",N(T175),0)+IF(LEFT(AI175,8)="Expense|",-N(AF175),0)+IF(LEFT(AJ175,8)="Expense|",-N(AC175),0)+IF(LEFT(AK175,8)="Expense|",-N(U175),0)</f>
        <v/>
      </c>
      <c r="AO175" s="23">
        <f>IF(ISNUMBER(MATCH(AG175,{"Expense|employee","Expense|general_admin","Expense|marketing","Expense|utilities","Expense|other_operating"},0)),N(S175),0)+IF(ISNUMBER(MATCH(AH175,{"Expense|employee","Expense|general_admin","Expense|marketing","Expense|utilities","Expense|other_operating"},0)),N(T175),0)+IF(ISNUMBER(MATCH(AI175,{"Expense|employee","Expense|general_admin","Expense|marketing","Expense|utilities","Expense|other_operating"},0)),-N(AF175),0)+IF(ISNUMBER(MATCH(AJ175,{"Expense|employee","Expense|general_admin","Expense|marketing","Expense|utilities","Expense|other_operating"},0)),-N(AC175),0)+IF(ISNUMBER(MATCH(AK175,{"Expense|employee","Expense|general_admin","Expense|marketing","Expense|utilities","Expense|other_operating"},0)),-N(U175),0)</f>
        <v/>
      </c>
      <c r="AP175" s="23">
        <f>IF(AG175="Liability|payable",-N(S175),0)+IF(AH175="Liability|payable",-N(T175),0)+IF(AI175="Liability|payable",N(AF175),0)+IF(AJ175="Liability|payable",N(AC175),0)+IF(AK175="Liability|payable",N(U175),0)</f>
        <v/>
      </c>
      <c r="AQ175" s="23">
        <f>IF(AG175="Liability|accrued",-N(S175),0)+IF(AH175="Liability|accrued",-N(T175),0)+IF(AI175="Liability|accrued",N(AF175),0)+IF(AJ175="Liability|accrued",N(AC175),0)+IF(AK175="Liability|accrued",N(U175),0)</f>
        <v/>
      </c>
      <c r="AR175" s="23">
        <f>IF(AND(N(S175)&lt;&gt;0,AG175=""),1,0)+IF(AND(N(T175)&lt;&gt;0,AH175=""),1,0)+IF(AND(N(AF175)&lt;&gt;0,AI175=""),1,0)+IF(AND(N(AC175)&lt;&gt;0,AJ175=""),1,0)+IF(AND(N(U175)&lt;&gt;0,AK175=""),1,0)</f>
        <v/>
      </c>
    </row>
    <row r="176">
      <c r="A176" s="19" t="n"/>
      <c r="B176" s="14" t="n"/>
      <c r="C176" s="14" t="n"/>
      <c r="D176" s="14" t="n"/>
      <c r="E176" s="14" t="n"/>
      <c r="F176" s="14" t="n"/>
      <c r="G176" s="14" t="n"/>
      <c r="H176" s="20" t="n"/>
      <c r="I176" s="14" t="n"/>
      <c r="J176" s="14" t="n"/>
      <c r="K176" s="20" t="n"/>
      <c r="L176" s="14" t="n"/>
      <c r="M176" s="14" t="n"/>
      <c r="N176" s="14" t="n"/>
      <c r="O176" s="14" t="n"/>
      <c r="P176" s="14" t="n"/>
      <c r="Q176" s="14" t="n"/>
      <c r="R176" s="14" t="n"/>
      <c r="S176" s="21">
        <f>ROUND(ABS(N(G176))*N(H176),2)</f>
        <v/>
      </c>
      <c r="T176" s="21">
        <f>IF(B176="Receipt",ROUND(S176*IFERROR(VLOOKUP(Q176,'Tax Codes'!$A$5:$E$300,5,FALSE),0),2),0)</f>
        <v/>
      </c>
      <c r="U176" s="21">
        <f>IF(B176="Receipt",ROUND(S176*IFERROR(VLOOKUP(R176,'Tax Codes'!$A$5:$E$300,5,FALSE),0),2),0)</f>
        <v/>
      </c>
      <c r="V176" s="16">
        <f>INDEX('Chart of Accounts'!$A$5:$A$3000,MATCH("vat_input",'Chart of Accounts'!$F$5:$F$3000,0))</f>
        <v/>
      </c>
      <c r="W176" s="16">
        <f>INDEX('Chart of Accounts'!$A$5:$A$3000,MATCH("wht_payable",'Chart of Accounts'!$F$5:$F$3000,0))</f>
        <v/>
      </c>
      <c r="X176" s="16">
        <f>IF(M176="",INDEX('Chart of Accounts'!$A$5:$A$3000,MATCH("bank",'Chart of Accounts'!$F$5:$F$3000,0)),M176&amp;"")</f>
        <v/>
      </c>
      <c r="Y176" s="16">
        <f>IF(N176="",INDEX('Chart of Accounts'!$A$5:$A$3000,MATCH("ap",'Chart of Accounts'!$F$5:$F$3000,0)),N176&amp;"")</f>
        <v/>
      </c>
      <c r="Z176" s="16">
        <f>IF(O176="",INDEX('Chart of Accounts'!$A$5:$A$3000,MATCH("materials",'Chart of Accounts'!$F$5:$F$3000,0)),O176&amp;"")</f>
        <v/>
      </c>
      <c r="AA176" s="16">
        <f>IF(IFERROR(INDEX(Warehouses!$C$5:$C$1000,MATCH(C176,Warehouses!$A$5:$A$1000,0))&amp;"","")="",INDEX('Chart of Accounts'!$A$5:$A$3000,MATCH("inventory",'Chart of Accounts'!$F$5:$F$3000,0)),IFERROR(INDEX(Warehouses!$C$5:$C$1000,MATCH(C176,Warehouses!$A$5:$A$1000,0))&amp;"",""))</f>
        <v/>
      </c>
      <c r="AB176" s="16">
        <f>IF(IFERROR(INDEX(Warehouses!$C$5:$C$1000,MATCH(D176,Warehouses!$A$5:$A$1000,0))&amp;"","")="",INDEX('Chart of Accounts'!$A$5:$A$3000,MATCH("inventory",'Chart of Accounts'!$F$5:$F$3000,0)),IFERROR(INDEX(Warehouses!$C$5:$C$1000,MATCH(D176,Warehouses!$A$5:$A$1000,0))&amp;"",""))</f>
        <v/>
      </c>
      <c r="AC176" s="21">
        <f>IF(B176="Receipt",N(K176),0)</f>
        <v/>
      </c>
      <c r="AD176" s="16">
        <f>IF(B176="Receipt",AA176,IF(B176="Issue",Z176,IF(B176="Transfer",AB176,IF(N(G176)&gt;=0,AA176,INDEX('Chart of Accounts'!$A$5:$A$3000,MATCH("stock_adjust",'Chart of Accounts'!$F$5:$F$3000,0))))))</f>
        <v/>
      </c>
      <c r="AE176" s="16">
        <f>IF(B176="Receipt",Y176,IF(B176="Adjustment",IF(N(G176)&gt;=0,INDEX('Chart of Accounts'!$A$5:$A$3000,MATCH("stock_adjust",'Chart of Accounts'!$F$5:$F$3000,0)),AA176),AA176))</f>
        <v/>
      </c>
      <c r="AF176" s="21">
        <f>S176+T176-U176-AC176</f>
        <v/>
      </c>
      <c r="AG176" s="23">
        <f>IFERROR(INDEX('Chart of Accounts'!$C$5:$C$3000,MATCH(AD176&amp;"",'Chart of Accounts'!$A$5:$A$3000,0))&amp;"|"&amp;INDEX('Chart of Accounts'!$D$5:$D$3000,MATCH(AD176&amp;"",'Chart of Accounts'!$A$5:$A$3000,0)),"")</f>
        <v/>
      </c>
      <c r="AH176" s="23">
        <f>IFERROR(INDEX('Chart of Accounts'!$C$5:$C$3000,MATCH(V176&amp;"",'Chart of Accounts'!$A$5:$A$3000,0))&amp;"|"&amp;INDEX('Chart of Accounts'!$D$5:$D$3000,MATCH(V176&amp;"",'Chart of Accounts'!$A$5:$A$3000,0)),"")</f>
        <v/>
      </c>
      <c r="AI176" s="23">
        <f>IFERROR(INDEX('Chart of Accounts'!$C$5:$C$3000,MATCH(AE176&amp;"",'Chart of Accounts'!$A$5:$A$3000,0))&amp;"|"&amp;INDEX('Chart of Accounts'!$D$5:$D$3000,MATCH(AE176&amp;"",'Chart of Accounts'!$A$5:$A$3000,0)),"")</f>
        <v/>
      </c>
      <c r="AJ176" s="23">
        <f>IFERROR(INDEX('Chart of Accounts'!$C$5:$C$3000,MATCH(X176&amp;"",'Chart of Accounts'!$A$5:$A$3000,0))&amp;"|"&amp;INDEX('Chart of Accounts'!$D$5:$D$3000,MATCH(X176&amp;"",'Chart of Accounts'!$A$5:$A$3000,0)),"")</f>
        <v/>
      </c>
      <c r="AK176" s="23">
        <f>IFERROR(INDEX('Chart of Accounts'!$C$5:$C$3000,MATCH(W176&amp;"",'Chart of Accounts'!$A$5:$A$3000,0))&amp;"|"&amp;INDEX('Chart of Accounts'!$D$5:$D$3000,MATCH(W176&amp;"",'Chart of Accounts'!$A$5:$A$3000,0)),"")</f>
        <v/>
      </c>
      <c r="AL176" s="23">
        <f>IF(LEFT(AG176,8)="Revenue|",-N(S176),0)+IF(LEFT(AH176,8)="Revenue|",-N(T176),0)+IF(LEFT(AI176,8)="Revenue|",N(AF176),0)+IF(LEFT(AJ176,8)="Revenue|",N(AC176),0)+IF(LEFT(AK176,8)="Revenue|",N(U176),0)</f>
        <v/>
      </c>
      <c r="AM176" s="23">
        <f>IF(LEFT(AG176,5)="COGS|",N(S176),0)+IF(LEFT(AH176,5)="COGS|",N(T176),0)+IF(LEFT(AI176,5)="COGS|",-N(AF176),0)+IF(LEFT(AJ176,5)="COGS|",-N(AC176),0)+IF(LEFT(AK176,5)="COGS|",-N(U176),0)</f>
        <v/>
      </c>
      <c r="AN176" s="23">
        <f>IF(LEFT(AG176,8)="Expense|",N(S176),0)+IF(LEFT(AH176,8)="Expense|",N(T176),0)+IF(LEFT(AI176,8)="Expense|",-N(AF176),0)+IF(LEFT(AJ176,8)="Expense|",-N(AC176),0)+IF(LEFT(AK176,8)="Expense|",-N(U176),0)</f>
        <v/>
      </c>
      <c r="AO176" s="23">
        <f>IF(ISNUMBER(MATCH(AG176,{"Expense|employee","Expense|general_admin","Expense|marketing","Expense|utilities","Expense|other_operating"},0)),N(S176),0)+IF(ISNUMBER(MATCH(AH176,{"Expense|employee","Expense|general_admin","Expense|marketing","Expense|utilities","Expense|other_operating"},0)),N(T176),0)+IF(ISNUMBER(MATCH(AI176,{"Expense|employee","Expense|general_admin","Expense|marketing","Expense|utilities","Expense|other_operating"},0)),-N(AF176),0)+IF(ISNUMBER(MATCH(AJ176,{"Expense|employee","Expense|general_admin","Expense|marketing","Expense|utilities","Expense|other_operating"},0)),-N(AC176),0)+IF(ISNUMBER(MATCH(AK176,{"Expense|employee","Expense|general_admin","Expense|marketing","Expense|utilities","Expense|other_operating"},0)),-N(U176),0)</f>
        <v/>
      </c>
      <c r="AP176" s="23">
        <f>IF(AG176="Liability|payable",-N(S176),0)+IF(AH176="Liability|payable",-N(T176),0)+IF(AI176="Liability|payable",N(AF176),0)+IF(AJ176="Liability|payable",N(AC176),0)+IF(AK176="Liability|payable",N(U176),0)</f>
        <v/>
      </c>
      <c r="AQ176" s="23">
        <f>IF(AG176="Liability|accrued",-N(S176),0)+IF(AH176="Liability|accrued",-N(T176),0)+IF(AI176="Liability|accrued",N(AF176),0)+IF(AJ176="Liability|accrued",N(AC176),0)+IF(AK176="Liability|accrued",N(U176),0)</f>
        <v/>
      </c>
      <c r="AR176" s="23">
        <f>IF(AND(N(S176)&lt;&gt;0,AG176=""),1,0)+IF(AND(N(T176)&lt;&gt;0,AH176=""),1,0)+IF(AND(N(AF176)&lt;&gt;0,AI176=""),1,0)+IF(AND(N(AC176)&lt;&gt;0,AJ176=""),1,0)+IF(AND(N(U176)&lt;&gt;0,AK176=""),1,0)</f>
        <v/>
      </c>
    </row>
    <row r="177">
      <c r="A177" s="19" t="n"/>
      <c r="B177" s="14" t="n"/>
      <c r="C177" s="14" t="n"/>
      <c r="D177" s="14" t="n"/>
      <c r="E177" s="14" t="n"/>
      <c r="F177" s="14" t="n"/>
      <c r="G177" s="14" t="n"/>
      <c r="H177" s="20" t="n"/>
      <c r="I177" s="14" t="n"/>
      <c r="J177" s="14" t="n"/>
      <c r="K177" s="20" t="n"/>
      <c r="L177" s="14" t="n"/>
      <c r="M177" s="14" t="n"/>
      <c r="N177" s="14" t="n"/>
      <c r="O177" s="14" t="n"/>
      <c r="P177" s="14" t="n"/>
      <c r="Q177" s="14" t="n"/>
      <c r="R177" s="14" t="n"/>
      <c r="S177" s="21">
        <f>ROUND(ABS(N(G177))*N(H177),2)</f>
        <v/>
      </c>
      <c r="T177" s="21">
        <f>IF(B177="Receipt",ROUND(S177*IFERROR(VLOOKUP(Q177,'Tax Codes'!$A$5:$E$300,5,FALSE),0),2),0)</f>
        <v/>
      </c>
      <c r="U177" s="21">
        <f>IF(B177="Receipt",ROUND(S177*IFERROR(VLOOKUP(R177,'Tax Codes'!$A$5:$E$300,5,FALSE),0),2),0)</f>
        <v/>
      </c>
      <c r="V177" s="16">
        <f>INDEX('Chart of Accounts'!$A$5:$A$3000,MATCH("vat_input",'Chart of Accounts'!$F$5:$F$3000,0))</f>
        <v/>
      </c>
      <c r="W177" s="16">
        <f>INDEX('Chart of Accounts'!$A$5:$A$3000,MATCH("wht_payable",'Chart of Accounts'!$F$5:$F$3000,0))</f>
        <v/>
      </c>
      <c r="X177" s="16">
        <f>IF(M177="",INDEX('Chart of Accounts'!$A$5:$A$3000,MATCH("bank",'Chart of Accounts'!$F$5:$F$3000,0)),M177&amp;"")</f>
        <v/>
      </c>
      <c r="Y177" s="16">
        <f>IF(N177="",INDEX('Chart of Accounts'!$A$5:$A$3000,MATCH("ap",'Chart of Accounts'!$F$5:$F$3000,0)),N177&amp;"")</f>
        <v/>
      </c>
      <c r="Z177" s="16">
        <f>IF(O177="",INDEX('Chart of Accounts'!$A$5:$A$3000,MATCH("materials",'Chart of Accounts'!$F$5:$F$3000,0)),O177&amp;"")</f>
        <v/>
      </c>
      <c r="AA177" s="16">
        <f>IF(IFERROR(INDEX(Warehouses!$C$5:$C$1000,MATCH(C177,Warehouses!$A$5:$A$1000,0))&amp;"","")="",INDEX('Chart of Accounts'!$A$5:$A$3000,MATCH("inventory",'Chart of Accounts'!$F$5:$F$3000,0)),IFERROR(INDEX(Warehouses!$C$5:$C$1000,MATCH(C177,Warehouses!$A$5:$A$1000,0))&amp;"",""))</f>
        <v/>
      </c>
      <c r="AB177" s="16">
        <f>IF(IFERROR(INDEX(Warehouses!$C$5:$C$1000,MATCH(D177,Warehouses!$A$5:$A$1000,0))&amp;"","")="",INDEX('Chart of Accounts'!$A$5:$A$3000,MATCH("inventory",'Chart of Accounts'!$F$5:$F$3000,0)),IFERROR(INDEX(Warehouses!$C$5:$C$1000,MATCH(D177,Warehouses!$A$5:$A$1000,0))&amp;"",""))</f>
        <v/>
      </c>
      <c r="AC177" s="21">
        <f>IF(B177="Receipt",N(K177),0)</f>
        <v/>
      </c>
      <c r="AD177" s="16">
        <f>IF(B177="Receipt",AA177,IF(B177="Issue",Z177,IF(B177="Transfer",AB177,IF(N(G177)&gt;=0,AA177,INDEX('Chart of Accounts'!$A$5:$A$3000,MATCH("stock_adjust",'Chart of Accounts'!$F$5:$F$3000,0))))))</f>
        <v/>
      </c>
      <c r="AE177" s="16">
        <f>IF(B177="Receipt",Y177,IF(B177="Adjustment",IF(N(G177)&gt;=0,INDEX('Chart of Accounts'!$A$5:$A$3000,MATCH("stock_adjust",'Chart of Accounts'!$F$5:$F$3000,0)),AA177),AA177))</f>
        <v/>
      </c>
      <c r="AF177" s="21">
        <f>S177+T177-U177-AC177</f>
        <v/>
      </c>
      <c r="AG177" s="23">
        <f>IFERROR(INDEX('Chart of Accounts'!$C$5:$C$3000,MATCH(AD177&amp;"",'Chart of Accounts'!$A$5:$A$3000,0))&amp;"|"&amp;INDEX('Chart of Accounts'!$D$5:$D$3000,MATCH(AD177&amp;"",'Chart of Accounts'!$A$5:$A$3000,0)),"")</f>
        <v/>
      </c>
      <c r="AH177" s="23">
        <f>IFERROR(INDEX('Chart of Accounts'!$C$5:$C$3000,MATCH(V177&amp;"",'Chart of Accounts'!$A$5:$A$3000,0))&amp;"|"&amp;INDEX('Chart of Accounts'!$D$5:$D$3000,MATCH(V177&amp;"",'Chart of Accounts'!$A$5:$A$3000,0)),"")</f>
        <v/>
      </c>
      <c r="AI177" s="23">
        <f>IFERROR(INDEX('Chart of Accounts'!$C$5:$C$3000,MATCH(AE177&amp;"",'Chart of Accounts'!$A$5:$A$3000,0))&amp;"|"&amp;INDEX('Chart of Accounts'!$D$5:$D$3000,MATCH(AE177&amp;"",'Chart of Accounts'!$A$5:$A$3000,0)),"")</f>
        <v/>
      </c>
      <c r="AJ177" s="23">
        <f>IFERROR(INDEX('Chart of Accounts'!$C$5:$C$3000,MATCH(X177&amp;"",'Chart of Accounts'!$A$5:$A$3000,0))&amp;"|"&amp;INDEX('Chart of Accounts'!$D$5:$D$3000,MATCH(X177&amp;"",'Chart of Accounts'!$A$5:$A$3000,0)),"")</f>
        <v/>
      </c>
      <c r="AK177" s="23">
        <f>IFERROR(INDEX('Chart of Accounts'!$C$5:$C$3000,MATCH(W177&amp;"",'Chart of Accounts'!$A$5:$A$3000,0))&amp;"|"&amp;INDEX('Chart of Accounts'!$D$5:$D$3000,MATCH(W177&amp;"",'Chart of Accounts'!$A$5:$A$3000,0)),"")</f>
        <v/>
      </c>
      <c r="AL177" s="23">
        <f>IF(LEFT(AG177,8)="Revenue|",-N(S177),0)+IF(LEFT(AH177,8)="Revenue|",-N(T177),0)+IF(LEFT(AI177,8)="Revenue|",N(AF177),0)+IF(LEFT(AJ177,8)="Revenue|",N(AC177),0)+IF(LEFT(AK177,8)="Revenue|",N(U177),0)</f>
        <v/>
      </c>
      <c r="AM177" s="23">
        <f>IF(LEFT(AG177,5)="COGS|",N(S177),0)+IF(LEFT(AH177,5)="COGS|",N(T177),0)+IF(LEFT(AI177,5)="COGS|",-N(AF177),0)+IF(LEFT(AJ177,5)="COGS|",-N(AC177),0)+IF(LEFT(AK177,5)="COGS|",-N(U177),0)</f>
        <v/>
      </c>
      <c r="AN177" s="23">
        <f>IF(LEFT(AG177,8)="Expense|",N(S177),0)+IF(LEFT(AH177,8)="Expense|",N(T177),0)+IF(LEFT(AI177,8)="Expense|",-N(AF177),0)+IF(LEFT(AJ177,8)="Expense|",-N(AC177),0)+IF(LEFT(AK177,8)="Expense|",-N(U177),0)</f>
        <v/>
      </c>
      <c r="AO177" s="23">
        <f>IF(ISNUMBER(MATCH(AG177,{"Expense|employee","Expense|general_admin","Expense|marketing","Expense|utilities","Expense|other_operating"},0)),N(S177),0)+IF(ISNUMBER(MATCH(AH177,{"Expense|employee","Expense|general_admin","Expense|marketing","Expense|utilities","Expense|other_operating"},0)),N(T177),0)+IF(ISNUMBER(MATCH(AI177,{"Expense|employee","Expense|general_admin","Expense|marketing","Expense|utilities","Expense|other_operating"},0)),-N(AF177),0)+IF(ISNUMBER(MATCH(AJ177,{"Expense|employee","Expense|general_admin","Expense|marketing","Expense|utilities","Expense|other_operating"},0)),-N(AC177),0)+IF(ISNUMBER(MATCH(AK177,{"Expense|employee","Expense|general_admin","Expense|marketing","Expense|utilities","Expense|other_operating"},0)),-N(U177),0)</f>
        <v/>
      </c>
      <c r="AP177" s="23">
        <f>IF(AG177="Liability|payable",-N(S177),0)+IF(AH177="Liability|payable",-N(T177),0)+IF(AI177="Liability|payable",N(AF177),0)+IF(AJ177="Liability|payable",N(AC177),0)+IF(AK177="Liability|payable",N(U177),0)</f>
        <v/>
      </c>
      <c r="AQ177" s="23">
        <f>IF(AG177="Liability|accrued",-N(S177),0)+IF(AH177="Liability|accrued",-N(T177),0)+IF(AI177="Liability|accrued",N(AF177),0)+IF(AJ177="Liability|accrued",N(AC177),0)+IF(AK177="Liability|accrued",N(U177),0)</f>
        <v/>
      </c>
      <c r="AR177" s="23">
        <f>IF(AND(N(S177)&lt;&gt;0,AG177=""),1,0)+IF(AND(N(T177)&lt;&gt;0,AH177=""),1,0)+IF(AND(N(AF177)&lt;&gt;0,AI177=""),1,0)+IF(AND(N(AC177)&lt;&gt;0,AJ177=""),1,0)+IF(AND(N(U177)&lt;&gt;0,AK177=""),1,0)</f>
        <v/>
      </c>
    </row>
    <row r="178">
      <c r="A178" s="19" t="n"/>
      <c r="B178" s="14" t="n"/>
      <c r="C178" s="14" t="n"/>
      <c r="D178" s="14" t="n"/>
      <c r="E178" s="14" t="n"/>
      <c r="F178" s="14" t="n"/>
      <c r="G178" s="14" t="n"/>
      <c r="H178" s="20" t="n"/>
      <c r="I178" s="14" t="n"/>
      <c r="J178" s="14" t="n"/>
      <c r="K178" s="20" t="n"/>
      <c r="L178" s="14" t="n"/>
      <c r="M178" s="14" t="n"/>
      <c r="N178" s="14" t="n"/>
      <c r="O178" s="14" t="n"/>
      <c r="P178" s="14" t="n"/>
      <c r="Q178" s="14" t="n"/>
      <c r="R178" s="14" t="n"/>
      <c r="S178" s="21">
        <f>ROUND(ABS(N(G178))*N(H178),2)</f>
        <v/>
      </c>
      <c r="T178" s="21">
        <f>IF(B178="Receipt",ROUND(S178*IFERROR(VLOOKUP(Q178,'Tax Codes'!$A$5:$E$300,5,FALSE),0),2),0)</f>
        <v/>
      </c>
      <c r="U178" s="21">
        <f>IF(B178="Receipt",ROUND(S178*IFERROR(VLOOKUP(R178,'Tax Codes'!$A$5:$E$300,5,FALSE),0),2),0)</f>
        <v/>
      </c>
      <c r="V178" s="16">
        <f>INDEX('Chart of Accounts'!$A$5:$A$3000,MATCH("vat_input",'Chart of Accounts'!$F$5:$F$3000,0))</f>
        <v/>
      </c>
      <c r="W178" s="16">
        <f>INDEX('Chart of Accounts'!$A$5:$A$3000,MATCH("wht_payable",'Chart of Accounts'!$F$5:$F$3000,0))</f>
        <v/>
      </c>
      <c r="X178" s="16">
        <f>IF(M178="",INDEX('Chart of Accounts'!$A$5:$A$3000,MATCH("bank",'Chart of Accounts'!$F$5:$F$3000,0)),M178&amp;"")</f>
        <v/>
      </c>
      <c r="Y178" s="16">
        <f>IF(N178="",INDEX('Chart of Accounts'!$A$5:$A$3000,MATCH("ap",'Chart of Accounts'!$F$5:$F$3000,0)),N178&amp;"")</f>
        <v/>
      </c>
      <c r="Z178" s="16">
        <f>IF(O178="",INDEX('Chart of Accounts'!$A$5:$A$3000,MATCH("materials",'Chart of Accounts'!$F$5:$F$3000,0)),O178&amp;"")</f>
        <v/>
      </c>
      <c r="AA178" s="16">
        <f>IF(IFERROR(INDEX(Warehouses!$C$5:$C$1000,MATCH(C178,Warehouses!$A$5:$A$1000,0))&amp;"","")="",INDEX('Chart of Accounts'!$A$5:$A$3000,MATCH("inventory",'Chart of Accounts'!$F$5:$F$3000,0)),IFERROR(INDEX(Warehouses!$C$5:$C$1000,MATCH(C178,Warehouses!$A$5:$A$1000,0))&amp;"",""))</f>
        <v/>
      </c>
      <c r="AB178" s="16">
        <f>IF(IFERROR(INDEX(Warehouses!$C$5:$C$1000,MATCH(D178,Warehouses!$A$5:$A$1000,0))&amp;"","")="",INDEX('Chart of Accounts'!$A$5:$A$3000,MATCH("inventory",'Chart of Accounts'!$F$5:$F$3000,0)),IFERROR(INDEX(Warehouses!$C$5:$C$1000,MATCH(D178,Warehouses!$A$5:$A$1000,0))&amp;"",""))</f>
        <v/>
      </c>
      <c r="AC178" s="21">
        <f>IF(B178="Receipt",N(K178),0)</f>
        <v/>
      </c>
      <c r="AD178" s="16">
        <f>IF(B178="Receipt",AA178,IF(B178="Issue",Z178,IF(B178="Transfer",AB178,IF(N(G178)&gt;=0,AA178,INDEX('Chart of Accounts'!$A$5:$A$3000,MATCH("stock_adjust",'Chart of Accounts'!$F$5:$F$3000,0))))))</f>
        <v/>
      </c>
      <c r="AE178" s="16">
        <f>IF(B178="Receipt",Y178,IF(B178="Adjustment",IF(N(G178)&gt;=0,INDEX('Chart of Accounts'!$A$5:$A$3000,MATCH("stock_adjust",'Chart of Accounts'!$F$5:$F$3000,0)),AA178),AA178))</f>
        <v/>
      </c>
      <c r="AF178" s="21">
        <f>S178+T178-U178-AC178</f>
        <v/>
      </c>
      <c r="AG178" s="23">
        <f>IFERROR(INDEX('Chart of Accounts'!$C$5:$C$3000,MATCH(AD178&amp;"",'Chart of Accounts'!$A$5:$A$3000,0))&amp;"|"&amp;INDEX('Chart of Accounts'!$D$5:$D$3000,MATCH(AD178&amp;"",'Chart of Accounts'!$A$5:$A$3000,0)),"")</f>
        <v/>
      </c>
      <c r="AH178" s="23">
        <f>IFERROR(INDEX('Chart of Accounts'!$C$5:$C$3000,MATCH(V178&amp;"",'Chart of Accounts'!$A$5:$A$3000,0))&amp;"|"&amp;INDEX('Chart of Accounts'!$D$5:$D$3000,MATCH(V178&amp;"",'Chart of Accounts'!$A$5:$A$3000,0)),"")</f>
        <v/>
      </c>
      <c r="AI178" s="23">
        <f>IFERROR(INDEX('Chart of Accounts'!$C$5:$C$3000,MATCH(AE178&amp;"",'Chart of Accounts'!$A$5:$A$3000,0))&amp;"|"&amp;INDEX('Chart of Accounts'!$D$5:$D$3000,MATCH(AE178&amp;"",'Chart of Accounts'!$A$5:$A$3000,0)),"")</f>
        <v/>
      </c>
      <c r="AJ178" s="23">
        <f>IFERROR(INDEX('Chart of Accounts'!$C$5:$C$3000,MATCH(X178&amp;"",'Chart of Accounts'!$A$5:$A$3000,0))&amp;"|"&amp;INDEX('Chart of Accounts'!$D$5:$D$3000,MATCH(X178&amp;"",'Chart of Accounts'!$A$5:$A$3000,0)),"")</f>
        <v/>
      </c>
      <c r="AK178" s="23">
        <f>IFERROR(INDEX('Chart of Accounts'!$C$5:$C$3000,MATCH(W178&amp;"",'Chart of Accounts'!$A$5:$A$3000,0))&amp;"|"&amp;INDEX('Chart of Accounts'!$D$5:$D$3000,MATCH(W178&amp;"",'Chart of Accounts'!$A$5:$A$3000,0)),"")</f>
        <v/>
      </c>
      <c r="AL178" s="23">
        <f>IF(LEFT(AG178,8)="Revenue|",-N(S178),0)+IF(LEFT(AH178,8)="Revenue|",-N(T178),0)+IF(LEFT(AI178,8)="Revenue|",N(AF178),0)+IF(LEFT(AJ178,8)="Revenue|",N(AC178),0)+IF(LEFT(AK178,8)="Revenue|",N(U178),0)</f>
        <v/>
      </c>
      <c r="AM178" s="23">
        <f>IF(LEFT(AG178,5)="COGS|",N(S178),0)+IF(LEFT(AH178,5)="COGS|",N(T178),0)+IF(LEFT(AI178,5)="COGS|",-N(AF178),0)+IF(LEFT(AJ178,5)="COGS|",-N(AC178),0)+IF(LEFT(AK178,5)="COGS|",-N(U178),0)</f>
        <v/>
      </c>
      <c r="AN178" s="23">
        <f>IF(LEFT(AG178,8)="Expense|",N(S178),0)+IF(LEFT(AH178,8)="Expense|",N(T178),0)+IF(LEFT(AI178,8)="Expense|",-N(AF178),0)+IF(LEFT(AJ178,8)="Expense|",-N(AC178),0)+IF(LEFT(AK178,8)="Expense|",-N(U178),0)</f>
        <v/>
      </c>
      <c r="AO178" s="23">
        <f>IF(ISNUMBER(MATCH(AG178,{"Expense|employee","Expense|general_admin","Expense|marketing","Expense|utilities","Expense|other_operating"},0)),N(S178),0)+IF(ISNUMBER(MATCH(AH178,{"Expense|employee","Expense|general_admin","Expense|marketing","Expense|utilities","Expense|other_operating"},0)),N(T178),0)+IF(ISNUMBER(MATCH(AI178,{"Expense|employee","Expense|general_admin","Expense|marketing","Expense|utilities","Expense|other_operating"},0)),-N(AF178),0)+IF(ISNUMBER(MATCH(AJ178,{"Expense|employee","Expense|general_admin","Expense|marketing","Expense|utilities","Expense|other_operating"},0)),-N(AC178),0)+IF(ISNUMBER(MATCH(AK178,{"Expense|employee","Expense|general_admin","Expense|marketing","Expense|utilities","Expense|other_operating"},0)),-N(U178),0)</f>
        <v/>
      </c>
      <c r="AP178" s="23">
        <f>IF(AG178="Liability|payable",-N(S178),0)+IF(AH178="Liability|payable",-N(T178),0)+IF(AI178="Liability|payable",N(AF178),0)+IF(AJ178="Liability|payable",N(AC178),0)+IF(AK178="Liability|payable",N(U178),0)</f>
        <v/>
      </c>
      <c r="AQ178" s="23">
        <f>IF(AG178="Liability|accrued",-N(S178),0)+IF(AH178="Liability|accrued",-N(T178),0)+IF(AI178="Liability|accrued",N(AF178),0)+IF(AJ178="Liability|accrued",N(AC178),0)+IF(AK178="Liability|accrued",N(U178),0)</f>
        <v/>
      </c>
      <c r="AR178" s="23">
        <f>IF(AND(N(S178)&lt;&gt;0,AG178=""),1,0)+IF(AND(N(T178)&lt;&gt;0,AH178=""),1,0)+IF(AND(N(AF178)&lt;&gt;0,AI178=""),1,0)+IF(AND(N(AC178)&lt;&gt;0,AJ178=""),1,0)+IF(AND(N(U178)&lt;&gt;0,AK178=""),1,0)</f>
        <v/>
      </c>
    </row>
    <row r="179">
      <c r="A179" s="19" t="n"/>
      <c r="B179" s="14" t="n"/>
      <c r="C179" s="14" t="n"/>
      <c r="D179" s="14" t="n"/>
      <c r="E179" s="14" t="n"/>
      <c r="F179" s="14" t="n"/>
      <c r="G179" s="14" t="n"/>
      <c r="H179" s="20" t="n"/>
      <c r="I179" s="14" t="n"/>
      <c r="J179" s="14" t="n"/>
      <c r="K179" s="20" t="n"/>
      <c r="L179" s="14" t="n"/>
      <c r="M179" s="14" t="n"/>
      <c r="N179" s="14" t="n"/>
      <c r="O179" s="14" t="n"/>
      <c r="P179" s="14" t="n"/>
      <c r="Q179" s="14" t="n"/>
      <c r="R179" s="14" t="n"/>
      <c r="S179" s="21">
        <f>ROUND(ABS(N(G179))*N(H179),2)</f>
        <v/>
      </c>
      <c r="T179" s="21">
        <f>IF(B179="Receipt",ROUND(S179*IFERROR(VLOOKUP(Q179,'Tax Codes'!$A$5:$E$300,5,FALSE),0),2),0)</f>
        <v/>
      </c>
      <c r="U179" s="21">
        <f>IF(B179="Receipt",ROUND(S179*IFERROR(VLOOKUP(R179,'Tax Codes'!$A$5:$E$300,5,FALSE),0),2),0)</f>
        <v/>
      </c>
      <c r="V179" s="16">
        <f>INDEX('Chart of Accounts'!$A$5:$A$3000,MATCH("vat_input",'Chart of Accounts'!$F$5:$F$3000,0))</f>
        <v/>
      </c>
      <c r="W179" s="16">
        <f>INDEX('Chart of Accounts'!$A$5:$A$3000,MATCH("wht_payable",'Chart of Accounts'!$F$5:$F$3000,0))</f>
        <v/>
      </c>
      <c r="X179" s="16">
        <f>IF(M179="",INDEX('Chart of Accounts'!$A$5:$A$3000,MATCH("bank",'Chart of Accounts'!$F$5:$F$3000,0)),M179&amp;"")</f>
        <v/>
      </c>
      <c r="Y179" s="16">
        <f>IF(N179="",INDEX('Chart of Accounts'!$A$5:$A$3000,MATCH("ap",'Chart of Accounts'!$F$5:$F$3000,0)),N179&amp;"")</f>
        <v/>
      </c>
      <c r="Z179" s="16">
        <f>IF(O179="",INDEX('Chart of Accounts'!$A$5:$A$3000,MATCH("materials",'Chart of Accounts'!$F$5:$F$3000,0)),O179&amp;"")</f>
        <v/>
      </c>
      <c r="AA179" s="16">
        <f>IF(IFERROR(INDEX(Warehouses!$C$5:$C$1000,MATCH(C179,Warehouses!$A$5:$A$1000,0))&amp;"","")="",INDEX('Chart of Accounts'!$A$5:$A$3000,MATCH("inventory",'Chart of Accounts'!$F$5:$F$3000,0)),IFERROR(INDEX(Warehouses!$C$5:$C$1000,MATCH(C179,Warehouses!$A$5:$A$1000,0))&amp;"",""))</f>
        <v/>
      </c>
      <c r="AB179" s="16">
        <f>IF(IFERROR(INDEX(Warehouses!$C$5:$C$1000,MATCH(D179,Warehouses!$A$5:$A$1000,0))&amp;"","")="",INDEX('Chart of Accounts'!$A$5:$A$3000,MATCH("inventory",'Chart of Accounts'!$F$5:$F$3000,0)),IFERROR(INDEX(Warehouses!$C$5:$C$1000,MATCH(D179,Warehouses!$A$5:$A$1000,0))&amp;"",""))</f>
        <v/>
      </c>
      <c r="AC179" s="21">
        <f>IF(B179="Receipt",N(K179),0)</f>
        <v/>
      </c>
      <c r="AD179" s="16">
        <f>IF(B179="Receipt",AA179,IF(B179="Issue",Z179,IF(B179="Transfer",AB179,IF(N(G179)&gt;=0,AA179,INDEX('Chart of Accounts'!$A$5:$A$3000,MATCH("stock_adjust",'Chart of Accounts'!$F$5:$F$3000,0))))))</f>
        <v/>
      </c>
      <c r="AE179" s="16">
        <f>IF(B179="Receipt",Y179,IF(B179="Adjustment",IF(N(G179)&gt;=0,INDEX('Chart of Accounts'!$A$5:$A$3000,MATCH("stock_adjust",'Chart of Accounts'!$F$5:$F$3000,0)),AA179),AA179))</f>
        <v/>
      </c>
      <c r="AF179" s="21">
        <f>S179+T179-U179-AC179</f>
        <v/>
      </c>
      <c r="AG179" s="23">
        <f>IFERROR(INDEX('Chart of Accounts'!$C$5:$C$3000,MATCH(AD179&amp;"",'Chart of Accounts'!$A$5:$A$3000,0))&amp;"|"&amp;INDEX('Chart of Accounts'!$D$5:$D$3000,MATCH(AD179&amp;"",'Chart of Accounts'!$A$5:$A$3000,0)),"")</f>
        <v/>
      </c>
      <c r="AH179" s="23">
        <f>IFERROR(INDEX('Chart of Accounts'!$C$5:$C$3000,MATCH(V179&amp;"",'Chart of Accounts'!$A$5:$A$3000,0))&amp;"|"&amp;INDEX('Chart of Accounts'!$D$5:$D$3000,MATCH(V179&amp;"",'Chart of Accounts'!$A$5:$A$3000,0)),"")</f>
        <v/>
      </c>
      <c r="AI179" s="23">
        <f>IFERROR(INDEX('Chart of Accounts'!$C$5:$C$3000,MATCH(AE179&amp;"",'Chart of Accounts'!$A$5:$A$3000,0))&amp;"|"&amp;INDEX('Chart of Accounts'!$D$5:$D$3000,MATCH(AE179&amp;"",'Chart of Accounts'!$A$5:$A$3000,0)),"")</f>
        <v/>
      </c>
      <c r="AJ179" s="23">
        <f>IFERROR(INDEX('Chart of Accounts'!$C$5:$C$3000,MATCH(X179&amp;"",'Chart of Accounts'!$A$5:$A$3000,0))&amp;"|"&amp;INDEX('Chart of Accounts'!$D$5:$D$3000,MATCH(X179&amp;"",'Chart of Accounts'!$A$5:$A$3000,0)),"")</f>
        <v/>
      </c>
      <c r="AK179" s="23">
        <f>IFERROR(INDEX('Chart of Accounts'!$C$5:$C$3000,MATCH(W179&amp;"",'Chart of Accounts'!$A$5:$A$3000,0))&amp;"|"&amp;INDEX('Chart of Accounts'!$D$5:$D$3000,MATCH(W179&amp;"",'Chart of Accounts'!$A$5:$A$3000,0)),"")</f>
        <v/>
      </c>
      <c r="AL179" s="23">
        <f>IF(LEFT(AG179,8)="Revenue|",-N(S179),0)+IF(LEFT(AH179,8)="Revenue|",-N(T179),0)+IF(LEFT(AI179,8)="Revenue|",N(AF179),0)+IF(LEFT(AJ179,8)="Revenue|",N(AC179),0)+IF(LEFT(AK179,8)="Revenue|",N(U179),0)</f>
        <v/>
      </c>
      <c r="AM179" s="23">
        <f>IF(LEFT(AG179,5)="COGS|",N(S179),0)+IF(LEFT(AH179,5)="COGS|",N(T179),0)+IF(LEFT(AI179,5)="COGS|",-N(AF179),0)+IF(LEFT(AJ179,5)="COGS|",-N(AC179),0)+IF(LEFT(AK179,5)="COGS|",-N(U179),0)</f>
        <v/>
      </c>
      <c r="AN179" s="23">
        <f>IF(LEFT(AG179,8)="Expense|",N(S179),0)+IF(LEFT(AH179,8)="Expense|",N(T179),0)+IF(LEFT(AI179,8)="Expense|",-N(AF179),0)+IF(LEFT(AJ179,8)="Expense|",-N(AC179),0)+IF(LEFT(AK179,8)="Expense|",-N(U179),0)</f>
        <v/>
      </c>
      <c r="AO179" s="23">
        <f>IF(ISNUMBER(MATCH(AG179,{"Expense|employee","Expense|general_admin","Expense|marketing","Expense|utilities","Expense|other_operating"},0)),N(S179),0)+IF(ISNUMBER(MATCH(AH179,{"Expense|employee","Expense|general_admin","Expense|marketing","Expense|utilities","Expense|other_operating"},0)),N(T179),0)+IF(ISNUMBER(MATCH(AI179,{"Expense|employee","Expense|general_admin","Expense|marketing","Expense|utilities","Expense|other_operating"},0)),-N(AF179),0)+IF(ISNUMBER(MATCH(AJ179,{"Expense|employee","Expense|general_admin","Expense|marketing","Expense|utilities","Expense|other_operating"},0)),-N(AC179),0)+IF(ISNUMBER(MATCH(AK179,{"Expense|employee","Expense|general_admin","Expense|marketing","Expense|utilities","Expense|other_operating"},0)),-N(U179),0)</f>
        <v/>
      </c>
      <c r="AP179" s="23">
        <f>IF(AG179="Liability|payable",-N(S179),0)+IF(AH179="Liability|payable",-N(T179),0)+IF(AI179="Liability|payable",N(AF179),0)+IF(AJ179="Liability|payable",N(AC179),0)+IF(AK179="Liability|payable",N(U179),0)</f>
        <v/>
      </c>
      <c r="AQ179" s="23">
        <f>IF(AG179="Liability|accrued",-N(S179),0)+IF(AH179="Liability|accrued",-N(T179),0)+IF(AI179="Liability|accrued",N(AF179),0)+IF(AJ179="Liability|accrued",N(AC179),0)+IF(AK179="Liability|accrued",N(U179),0)</f>
        <v/>
      </c>
      <c r="AR179" s="23">
        <f>IF(AND(N(S179)&lt;&gt;0,AG179=""),1,0)+IF(AND(N(T179)&lt;&gt;0,AH179=""),1,0)+IF(AND(N(AF179)&lt;&gt;0,AI179=""),1,0)+IF(AND(N(AC179)&lt;&gt;0,AJ179=""),1,0)+IF(AND(N(U179)&lt;&gt;0,AK179=""),1,0)</f>
        <v/>
      </c>
    </row>
    <row r="180">
      <c r="A180" s="19" t="n"/>
      <c r="B180" s="14" t="n"/>
      <c r="C180" s="14" t="n"/>
      <c r="D180" s="14" t="n"/>
      <c r="E180" s="14" t="n"/>
      <c r="F180" s="14" t="n"/>
      <c r="G180" s="14" t="n"/>
      <c r="H180" s="20" t="n"/>
      <c r="I180" s="14" t="n"/>
      <c r="J180" s="14" t="n"/>
      <c r="K180" s="20" t="n"/>
      <c r="L180" s="14" t="n"/>
      <c r="M180" s="14" t="n"/>
      <c r="N180" s="14" t="n"/>
      <c r="O180" s="14" t="n"/>
      <c r="P180" s="14" t="n"/>
      <c r="Q180" s="14" t="n"/>
      <c r="R180" s="14" t="n"/>
      <c r="S180" s="21">
        <f>ROUND(ABS(N(G180))*N(H180),2)</f>
        <v/>
      </c>
      <c r="T180" s="21">
        <f>IF(B180="Receipt",ROUND(S180*IFERROR(VLOOKUP(Q180,'Tax Codes'!$A$5:$E$300,5,FALSE),0),2),0)</f>
        <v/>
      </c>
      <c r="U180" s="21">
        <f>IF(B180="Receipt",ROUND(S180*IFERROR(VLOOKUP(R180,'Tax Codes'!$A$5:$E$300,5,FALSE),0),2),0)</f>
        <v/>
      </c>
      <c r="V180" s="16">
        <f>INDEX('Chart of Accounts'!$A$5:$A$3000,MATCH("vat_input",'Chart of Accounts'!$F$5:$F$3000,0))</f>
        <v/>
      </c>
      <c r="W180" s="16">
        <f>INDEX('Chart of Accounts'!$A$5:$A$3000,MATCH("wht_payable",'Chart of Accounts'!$F$5:$F$3000,0))</f>
        <v/>
      </c>
      <c r="X180" s="16">
        <f>IF(M180="",INDEX('Chart of Accounts'!$A$5:$A$3000,MATCH("bank",'Chart of Accounts'!$F$5:$F$3000,0)),M180&amp;"")</f>
        <v/>
      </c>
      <c r="Y180" s="16">
        <f>IF(N180="",INDEX('Chart of Accounts'!$A$5:$A$3000,MATCH("ap",'Chart of Accounts'!$F$5:$F$3000,0)),N180&amp;"")</f>
        <v/>
      </c>
      <c r="Z180" s="16">
        <f>IF(O180="",INDEX('Chart of Accounts'!$A$5:$A$3000,MATCH("materials",'Chart of Accounts'!$F$5:$F$3000,0)),O180&amp;"")</f>
        <v/>
      </c>
      <c r="AA180" s="16">
        <f>IF(IFERROR(INDEX(Warehouses!$C$5:$C$1000,MATCH(C180,Warehouses!$A$5:$A$1000,0))&amp;"","")="",INDEX('Chart of Accounts'!$A$5:$A$3000,MATCH("inventory",'Chart of Accounts'!$F$5:$F$3000,0)),IFERROR(INDEX(Warehouses!$C$5:$C$1000,MATCH(C180,Warehouses!$A$5:$A$1000,0))&amp;"",""))</f>
        <v/>
      </c>
      <c r="AB180" s="16">
        <f>IF(IFERROR(INDEX(Warehouses!$C$5:$C$1000,MATCH(D180,Warehouses!$A$5:$A$1000,0))&amp;"","")="",INDEX('Chart of Accounts'!$A$5:$A$3000,MATCH("inventory",'Chart of Accounts'!$F$5:$F$3000,0)),IFERROR(INDEX(Warehouses!$C$5:$C$1000,MATCH(D180,Warehouses!$A$5:$A$1000,0))&amp;"",""))</f>
        <v/>
      </c>
      <c r="AC180" s="21">
        <f>IF(B180="Receipt",N(K180),0)</f>
        <v/>
      </c>
      <c r="AD180" s="16">
        <f>IF(B180="Receipt",AA180,IF(B180="Issue",Z180,IF(B180="Transfer",AB180,IF(N(G180)&gt;=0,AA180,INDEX('Chart of Accounts'!$A$5:$A$3000,MATCH("stock_adjust",'Chart of Accounts'!$F$5:$F$3000,0))))))</f>
        <v/>
      </c>
      <c r="AE180" s="16">
        <f>IF(B180="Receipt",Y180,IF(B180="Adjustment",IF(N(G180)&gt;=0,INDEX('Chart of Accounts'!$A$5:$A$3000,MATCH("stock_adjust",'Chart of Accounts'!$F$5:$F$3000,0)),AA180),AA180))</f>
        <v/>
      </c>
      <c r="AF180" s="21">
        <f>S180+T180-U180-AC180</f>
        <v/>
      </c>
      <c r="AG180" s="23">
        <f>IFERROR(INDEX('Chart of Accounts'!$C$5:$C$3000,MATCH(AD180&amp;"",'Chart of Accounts'!$A$5:$A$3000,0))&amp;"|"&amp;INDEX('Chart of Accounts'!$D$5:$D$3000,MATCH(AD180&amp;"",'Chart of Accounts'!$A$5:$A$3000,0)),"")</f>
        <v/>
      </c>
      <c r="AH180" s="23">
        <f>IFERROR(INDEX('Chart of Accounts'!$C$5:$C$3000,MATCH(V180&amp;"",'Chart of Accounts'!$A$5:$A$3000,0))&amp;"|"&amp;INDEX('Chart of Accounts'!$D$5:$D$3000,MATCH(V180&amp;"",'Chart of Accounts'!$A$5:$A$3000,0)),"")</f>
        <v/>
      </c>
      <c r="AI180" s="23">
        <f>IFERROR(INDEX('Chart of Accounts'!$C$5:$C$3000,MATCH(AE180&amp;"",'Chart of Accounts'!$A$5:$A$3000,0))&amp;"|"&amp;INDEX('Chart of Accounts'!$D$5:$D$3000,MATCH(AE180&amp;"",'Chart of Accounts'!$A$5:$A$3000,0)),"")</f>
        <v/>
      </c>
      <c r="AJ180" s="23">
        <f>IFERROR(INDEX('Chart of Accounts'!$C$5:$C$3000,MATCH(X180&amp;"",'Chart of Accounts'!$A$5:$A$3000,0))&amp;"|"&amp;INDEX('Chart of Accounts'!$D$5:$D$3000,MATCH(X180&amp;"",'Chart of Accounts'!$A$5:$A$3000,0)),"")</f>
        <v/>
      </c>
      <c r="AK180" s="23">
        <f>IFERROR(INDEX('Chart of Accounts'!$C$5:$C$3000,MATCH(W180&amp;"",'Chart of Accounts'!$A$5:$A$3000,0))&amp;"|"&amp;INDEX('Chart of Accounts'!$D$5:$D$3000,MATCH(W180&amp;"",'Chart of Accounts'!$A$5:$A$3000,0)),"")</f>
        <v/>
      </c>
      <c r="AL180" s="23">
        <f>IF(LEFT(AG180,8)="Revenue|",-N(S180),0)+IF(LEFT(AH180,8)="Revenue|",-N(T180),0)+IF(LEFT(AI180,8)="Revenue|",N(AF180),0)+IF(LEFT(AJ180,8)="Revenue|",N(AC180),0)+IF(LEFT(AK180,8)="Revenue|",N(U180),0)</f>
        <v/>
      </c>
      <c r="AM180" s="23">
        <f>IF(LEFT(AG180,5)="COGS|",N(S180),0)+IF(LEFT(AH180,5)="COGS|",N(T180),0)+IF(LEFT(AI180,5)="COGS|",-N(AF180),0)+IF(LEFT(AJ180,5)="COGS|",-N(AC180),0)+IF(LEFT(AK180,5)="COGS|",-N(U180),0)</f>
        <v/>
      </c>
      <c r="AN180" s="23">
        <f>IF(LEFT(AG180,8)="Expense|",N(S180),0)+IF(LEFT(AH180,8)="Expense|",N(T180),0)+IF(LEFT(AI180,8)="Expense|",-N(AF180),0)+IF(LEFT(AJ180,8)="Expense|",-N(AC180),0)+IF(LEFT(AK180,8)="Expense|",-N(U180),0)</f>
        <v/>
      </c>
      <c r="AO180" s="23">
        <f>IF(ISNUMBER(MATCH(AG180,{"Expense|employee","Expense|general_admin","Expense|marketing","Expense|utilities","Expense|other_operating"},0)),N(S180),0)+IF(ISNUMBER(MATCH(AH180,{"Expense|employee","Expense|general_admin","Expense|marketing","Expense|utilities","Expense|other_operating"},0)),N(T180),0)+IF(ISNUMBER(MATCH(AI180,{"Expense|employee","Expense|general_admin","Expense|marketing","Expense|utilities","Expense|other_operating"},0)),-N(AF180),0)+IF(ISNUMBER(MATCH(AJ180,{"Expense|employee","Expense|general_admin","Expense|marketing","Expense|utilities","Expense|other_operating"},0)),-N(AC180),0)+IF(ISNUMBER(MATCH(AK180,{"Expense|employee","Expense|general_admin","Expense|marketing","Expense|utilities","Expense|other_operating"},0)),-N(U180),0)</f>
        <v/>
      </c>
      <c r="AP180" s="23">
        <f>IF(AG180="Liability|payable",-N(S180),0)+IF(AH180="Liability|payable",-N(T180),0)+IF(AI180="Liability|payable",N(AF180),0)+IF(AJ180="Liability|payable",N(AC180),0)+IF(AK180="Liability|payable",N(U180),0)</f>
        <v/>
      </c>
      <c r="AQ180" s="23">
        <f>IF(AG180="Liability|accrued",-N(S180),0)+IF(AH180="Liability|accrued",-N(T180),0)+IF(AI180="Liability|accrued",N(AF180),0)+IF(AJ180="Liability|accrued",N(AC180),0)+IF(AK180="Liability|accrued",N(U180),0)</f>
        <v/>
      </c>
      <c r="AR180" s="23">
        <f>IF(AND(N(S180)&lt;&gt;0,AG180=""),1,0)+IF(AND(N(T180)&lt;&gt;0,AH180=""),1,0)+IF(AND(N(AF180)&lt;&gt;0,AI180=""),1,0)+IF(AND(N(AC180)&lt;&gt;0,AJ180=""),1,0)+IF(AND(N(U180)&lt;&gt;0,AK180=""),1,0)</f>
        <v/>
      </c>
    </row>
    <row r="181">
      <c r="A181" s="19" t="n"/>
      <c r="B181" s="14" t="n"/>
      <c r="C181" s="14" t="n"/>
      <c r="D181" s="14" t="n"/>
      <c r="E181" s="14" t="n"/>
      <c r="F181" s="14" t="n"/>
      <c r="G181" s="14" t="n"/>
      <c r="H181" s="20" t="n"/>
      <c r="I181" s="14" t="n"/>
      <c r="J181" s="14" t="n"/>
      <c r="K181" s="20" t="n"/>
      <c r="L181" s="14" t="n"/>
      <c r="M181" s="14" t="n"/>
      <c r="N181" s="14" t="n"/>
      <c r="O181" s="14" t="n"/>
      <c r="P181" s="14" t="n"/>
      <c r="Q181" s="14" t="n"/>
      <c r="R181" s="14" t="n"/>
      <c r="S181" s="21">
        <f>ROUND(ABS(N(G181))*N(H181),2)</f>
        <v/>
      </c>
      <c r="T181" s="21">
        <f>IF(B181="Receipt",ROUND(S181*IFERROR(VLOOKUP(Q181,'Tax Codes'!$A$5:$E$300,5,FALSE),0),2),0)</f>
        <v/>
      </c>
      <c r="U181" s="21">
        <f>IF(B181="Receipt",ROUND(S181*IFERROR(VLOOKUP(R181,'Tax Codes'!$A$5:$E$300,5,FALSE),0),2),0)</f>
        <v/>
      </c>
      <c r="V181" s="16">
        <f>INDEX('Chart of Accounts'!$A$5:$A$3000,MATCH("vat_input",'Chart of Accounts'!$F$5:$F$3000,0))</f>
        <v/>
      </c>
      <c r="W181" s="16">
        <f>INDEX('Chart of Accounts'!$A$5:$A$3000,MATCH("wht_payable",'Chart of Accounts'!$F$5:$F$3000,0))</f>
        <v/>
      </c>
      <c r="X181" s="16">
        <f>IF(M181="",INDEX('Chart of Accounts'!$A$5:$A$3000,MATCH("bank",'Chart of Accounts'!$F$5:$F$3000,0)),M181&amp;"")</f>
        <v/>
      </c>
      <c r="Y181" s="16">
        <f>IF(N181="",INDEX('Chart of Accounts'!$A$5:$A$3000,MATCH("ap",'Chart of Accounts'!$F$5:$F$3000,0)),N181&amp;"")</f>
        <v/>
      </c>
      <c r="Z181" s="16">
        <f>IF(O181="",INDEX('Chart of Accounts'!$A$5:$A$3000,MATCH("materials",'Chart of Accounts'!$F$5:$F$3000,0)),O181&amp;"")</f>
        <v/>
      </c>
      <c r="AA181" s="16">
        <f>IF(IFERROR(INDEX(Warehouses!$C$5:$C$1000,MATCH(C181,Warehouses!$A$5:$A$1000,0))&amp;"","")="",INDEX('Chart of Accounts'!$A$5:$A$3000,MATCH("inventory",'Chart of Accounts'!$F$5:$F$3000,0)),IFERROR(INDEX(Warehouses!$C$5:$C$1000,MATCH(C181,Warehouses!$A$5:$A$1000,0))&amp;"",""))</f>
        <v/>
      </c>
      <c r="AB181" s="16">
        <f>IF(IFERROR(INDEX(Warehouses!$C$5:$C$1000,MATCH(D181,Warehouses!$A$5:$A$1000,0))&amp;"","")="",INDEX('Chart of Accounts'!$A$5:$A$3000,MATCH("inventory",'Chart of Accounts'!$F$5:$F$3000,0)),IFERROR(INDEX(Warehouses!$C$5:$C$1000,MATCH(D181,Warehouses!$A$5:$A$1000,0))&amp;"",""))</f>
        <v/>
      </c>
      <c r="AC181" s="21">
        <f>IF(B181="Receipt",N(K181),0)</f>
        <v/>
      </c>
      <c r="AD181" s="16">
        <f>IF(B181="Receipt",AA181,IF(B181="Issue",Z181,IF(B181="Transfer",AB181,IF(N(G181)&gt;=0,AA181,INDEX('Chart of Accounts'!$A$5:$A$3000,MATCH("stock_adjust",'Chart of Accounts'!$F$5:$F$3000,0))))))</f>
        <v/>
      </c>
      <c r="AE181" s="16">
        <f>IF(B181="Receipt",Y181,IF(B181="Adjustment",IF(N(G181)&gt;=0,INDEX('Chart of Accounts'!$A$5:$A$3000,MATCH("stock_adjust",'Chart of Accounts'!$F$5:$F$3000,0)),AA181),AA181))</f>
        <v/>
      </c>
      <c r="AF181" s="21">
        <f>S181+T181-U181-AC181</f>
        <v/>
      </c>
      <c r="AG181" s="23">
        <f>IFERROR(INDEX('Chart of Accounts'!$C$5:$C$3000,MATCH(AD181&amp;"",'Chart of Accounts'!$A$5:$A$3000,0))&amp;"|"&amp;INDEX('Chart of Accounts'!$D$5:$D$3000,MATCH(AD181&amp;"",'Chart of Accounts'!$A$5:$A$3000,0)),"")</f>
        <v/>
      </c>
      <c r="AH181" s="23">
        <f>IFERROR(INDEX('Chart of Accounts'!$C$5:$C$3000,MATCH(V181&amp;"",'Chart of Accounts'!$A$5:$A$3000,0))&amp;"|"&amp;INDEX('Chart of Accounts'!$D$5:$D$3000,MATCH(V181&amp;"",'Chart of Accounts'!$A$5:$A$3000,0)),"")</f>
        <v/>
      </c>
      <c r="AI181" s="23">
        <f>IFERROR(INDEX('Chart of Accounts'!$C$5:$C$3000,MATCH(AE181&amp;"",'Chart of Accounts'!$A$5:$A$3000,0))&amp;"|"&amp;INDEX('Chart of Accounts'!$D$5:$D$3000,MATCH(AE181&amp;"",'Chart of Accounts'!$A$5:$A$3000,0)),"")</f>
        <v/>
      </c>
      <c r="AJ181" s="23">
        <f>IFERROR(INDEX('Chart of Accounts'!$C$5:$C$3000,MATCH(X181&amp;"",'Chart of Accounts'!$A$5:$A$3000,0))&amp;"|"&amp;INDEX('Chart of Accounts'!$D$5:$D$3000,MATCH(X181&amp;"",'Chart of Accounts'!$A$5:$A$3000,0)),"")</f>
        <v/>
      </c>
      <c r="AK181" s="23">
        <f>IFERROR(INDEX('Chart of Accounts'!$C$5:$C$3000,MATCH(W181&amp;"",'Chart of Accounts'!$A$5:$A$3000,0))&amp;"|"&amp;INDEX('Chart of Accounts'!$D$5:$D$3000,MATCH(W181&amp;"",'Chart of Accounts'!$A$5:$A$3000,0)),"")</f>
        <v/>
      </c>
      <c r="AL181" s="23">
        <f>IF(LEFT(AG181,8)="Revenue|",-N(S181),0)+IF(LEFT(AH181,8)="Revenue|",-N(T181),0)+IF(LEFT(AI181,8)="Revenue|",N(AF181),0)+IF(LEFT(AJ181,8)="Revenue|",N(AC181),0)+IF(LEFT(AK181,8)="Revenue|",N(U181),0)</f>
        <v/>
      </c>
      <c r="AM181" s="23">
        <f>IF(LEFT(AG181,5)="COGS|",N(S181),0)+IF(LEFT(AH181,5)="COGS|",N(T181),0)+IF(LEFT(AI181,5)="COGS|",-N(AF181),0)+IF(LEFT(AJ181,5)="COGS|",-N(AC181),0)+IF(LEFT(AK181,5)="COGS|",-N(U181),0)</f>
        <v/>
      </c>
      <c r="AN181" s="23">
        <f>IF(LEFT(AG181,8)="Expense|",N(S181),0)+IF(LEFT(AH181,8)="Expense|",N(T181),0)+IF(LEFT(AI181,8)="Expense|",-N(AF181),0)+IF(LEFT(AJ181,8)="Expense|",-N(AC181),0)+IF(LEFT(AK181,8)="Expense|",-N(U181),0)</f>
        <v/>
      </c>
      <c r="AO181" s="23">
        <f>IF(ISNUMBER(MATCH(AG181,{"Expense|employee","Expense|general_admin","Expense|marketing","Expense|utilities","Expense|other_operating"},0)),N(S181),0)+IF(ISNUMBER(MATCH(AH181,{"Expense|employee","Expense|general_admin","Expense|marketing","Expense|utilities","Expense|other_operating"},0)),N(T181),0)+IF(ISNUMBER(MATCH(AI181,{"Expense|employee","Expense|general_admin","Expense|marketing","Expense|utilities","Expense|other_operating"},0)),-N(AF181),0)+IF(ISNUMBER(MATCH(AJ181,{"Expense|employee","Expense|general_admin","Expense|marketing","Expense|utilities","Expense|other_operating"},0)),-N(AC181),0)+IF(ISNUMBER(MATCH(AK181,{"Expense|employee","Expense|general_admin","Expense|marketing","Expense|utilities","Expense|other_operating"},0)),-N(U181),0)</f>
        <v/>
      </c>
      <c r="AP181" s="23">
        <f>IF(AG181="Liability|payable",-N(S181),0)+IF(AH181="Liability|payable",-N(T181),0)+IF(AI181="Liability|payable",N(AF181),0)+IF(AJ181="Liability|payable",N(AC181),0)+IF(AK181="Liability|payable",N(U181),0)</f>
        <v/>
      </c>
      <c r="AQ181" s="23">
        <f>IF(AG181="Liability|accrued",-N(S181),0)+IF(AH181="Liability|accrued",-N(T181),0)+IF(AI181="Liability|accrued",N(AF181),0)+IF(AJ181="Liability|accrued",N(AC181),0)+IF(AK181="Liability|accrued",N(U181),0)</f>
        <v/>
      </c>
      <c r="AR181" s="23">
        <f>IF(AND(N(S181)&lt;&gt;0,AG181=""),1,0)+IF(AND(N(T181)&lt;&gt;0,AH181=""),1,0)+IF(AND(N(AF181)&lt;&gt;0,AI181=""),1,0)+IF(AND(N(AC181)&lt;&gt;0,AJ181=""),1,0)+IF(AND(N(U181)&lt;&gt;0,AK181=""),1,0)</f>
        <v/>
      </c>
    </row>
    <row r="182">
      <c r="A182" s="19" t="n"/>
      <c r="B182" s="14" t="n"/>
      <c r="C182" s="14" t="n"/>
      <c r="D182" s="14" t="n"/>
      <c r="E182" s="14" t="n"/>
      <c r="F182" s="14" t="n"/>
      <c r="G182" s="14" t="n"/>
      <c r="H182" s="20" t="n"/>
      <c r="I182" s="14" t="n"/>
      <c r="J182" s="14" t="n"/>
      <c r="K182" s="20" t="n"/>
      <c r="L182" s="14" t="n"/>
      <c r="M182" s="14" t="n"/>
      <c r="N182" s="14" t="n"/>
      <c r="O182" s="14" t="n"/>
      <c r="P182" s="14" t="n"/>
      <c r="Q182" s="14" t="n"/>
      <c r="R182" s="14" t="n"/>
      <c r="S182" s="21">
        <f>ROUND(ABS(N(G182))*N(H182),2)</f>
        <v/>
      </c>
      <c r="T182" s="21">
        <f>IF(B182="Receipt",ROUND(S182*IFERROR(VLOOKUP(Q182,'Tax Codes'!$A$5:$E$300,5,FALSE),0),2),0)</f>
        <v/>
      </c>
      <c r="U182" s="21">
        <f>IF(B182="Receipt",ROUND(S182*IFERROR(VLOOKUP(R182,'Tax Codes'!$A$5:$E$300,5,FALSE),0),2),0)</f>
        <v/>
      </c>
      <c r="V182" s="16">
        <f>INDEX('Chart of Accounts'!$A$5:$A$3000,MATCH("vat_input",'Chart of Accounts'!$F$5:$F$3000,0))</f>
        <v/>
      </c>
      <c r="W182" s="16">
        <f>INDEX('Chart of Accounts'!$A$5:$A$3000,MATCH("wht_payable",'Chart of Accounts'!$F$5:$F$3000,0))</f>
        <v/>
      </c>
      <c r="X182" s="16">
        <f>IF(M182="",INDEX('Chart of Accounts'!$A$5:$A$3000,MATCH("bank",'Chart of Accounts'!$F$5:$F$3000,0)),M182&amp;"")</f>
        <v/>
      </c>
      <c r="Y182" s="16">
        <f>IF(N182="",INDEX('Chart of Accounts'!$A$5:$A$3000,MATCH("ap",'Chart of Accounts'!$F$5:$F$3000,0)),N182&amp;"")</f>
        <v/>
      </c>
      <c r="Z182" s="16">
        <f>IF(O182="",INDEX('Chart of Accounts'!$A$5:$A$3000,MATCH("materials",'Chart of Accounts'!$F$5:$F$3000,0)),O182&amp;"")</f>
        <v/>
      </c>
      <c r="AA182" s="16">
        <f>IF(IFERROR(INDEX(Warehouses!$C$5:$C$1000,MATCH(C182,Warehouses!$A$5:$A$1000,0))&amp;"","")="",INDEX('Chart of Accounts'!$A$5:$A$3000,MATCH("inventory",'Chart of Accounts'!$F$5:$F$3000,0)),IFERROR(INDEX(Warehouses!$C$5:$C$1000,MATCH(C182,Warehouses!$A$5:$A$1000,0))&amp;"",""))</f>
        <v/>
      </c>
      <c r="AB182" s="16">
        <f>IF(IFERROR(INDEX(Warehouses!$C$5:$C$1000,MATCH(D182,Warehouses!$A$5:$A$1000,0))&amp;"","")="",INDEX('Chart of Accounts'!$A$5:$A$3000,MATCH("inventory",'Chart of Accounts'!$F$5:$F$3000,0)),IFERROR(INDEX(Warehouses!$C$5:$C$1000,MATCH(D182,Warehouses!$A$5:$A$1000,0))&amp;"",""))</f>
        <v/>
      </c>
      <c r="AC182" s="21">
        <f>IF(B182="Receipt",N(K182),0)</f>
        <v/>
      </c>
      <c r="AD182" s="16">
        <f>IF(B182="Receipt",AA182,IF(B182="Issue",Z182,IF(B182="Transfer",AB182,IF(N(G182)&gt;=0,AA182,INDEX('Chart of Accounts'!$A$5:$A$3000,MATCH("stock_adjust",'Chart of Accounts'!$F$5:$F$3000,0))))))</f>
        <v/>
      </c>
      <c r="AE182" s="16">
        <f>IF(B182="Receipt",Y182,IF(B182="Adjustment",IF(N(G182)&gt;=0,INDEX('Chart of Accounts'!$A$5:$A$3000,MATCH("stock_adjust",'Chart of Accounts'!$F$5:$F$3000,0)),AA182),AA182))</f>
        <v/>
      </c>
      <c r="AF182" s="21">
        <f>S182+T182-U182-AC182</f>
        <v/>
      </c>
      <c r="AG182" s="23">
        <f>IFERROR(INDEX('Chart of Accounts'!$C$5:$C$3000,MATCH(AD182&amp;"",'Chart of Accounts'!$A$5:$A$3000,0))&amp;"|"&amp;INDEX('Chart of Accounts'!$D$5:$D$3000,MATCH(AD182&amp;"",'Chart of Accounts'!$A$5:$A$3000,0)),"")</f>
        <v/>
      </c>
      <c r="AH182" s="23">
        <f>IFERROR(INDEX('Chart of Accounts'!$C$5:$C$3000,MATCH(V182&amp;"",'Chart of Accounts'!$A$5:$A$3000,0))&amp;"|"&amp;INDEX('Chart of Accounts'!$D$5:$D$3000,MATCH(V182&amp;"",'Chart of Accounts'!$A$5:$A$3000,0)),"")</f>
        <v/>
      </c>
      <c r="AI182" s="23">
        <f>IFERROR(INDEX('Chart of Accounts'!$C$5:$C$3000,MATCH(AE182&amp;"",'Chart of Accounts'!$A$5:$A$3000,0))&amp;"|"&amp;INDEX('Chart of Accounts'!$D$5:$D$3000,MATCH(AE182&amp;"",'Chart of Accounts'!$A$5:$A$3000,0)),"")</f>
        <v/>
      </c>
      <c r="AJ182" s="23">
        <f>IFERROR(INDEX('Chart of Accounts'!$C$5:$C$3000,MATCH(X182&amp;"",'Chart of Accounts'!$A$5:$A$3000,0))&amp;"|"&amp;INDEX('Chart of Accounts'!$D$5:$D$3000,MATCH(X182&amp;"",'Chart of Accounts'!$A$5:$A$3000,0)),"")</f>
        <v/>
      </c>
      <c r="AK182" s="23">
        <f>IFERROR(INDEX('Chart of Accounts'!$C$5:$C$3000,MATCH(W182&amp;"",'Chart of Accounts'!$A$5:$A$3000,0))&amp;"|"&amp;INDEX('Chart of Accounts'!$D$5:$D$3000,MATCH(W182&amp;"",'Chart of Accounts'!$A$5:$A$3000,0)),"")</f>
        <v/>
      </c>
      <c r="AL182" s="23">
        <f>IF(LEFT(AG182,8)="Revenue|",-N(S182),0)+IF(LEFT(AH182,8)="Revenue|",-N(T182),0)+IF(LEFT(AI182,8)="Revenue|",N(AF182),0)+IF(LEFT(AJ182,8)="Revenue|",N(AC182),0)+IF(LEFT(AK182,8)="Revenue|",N(U182),0)</f>
        <v/>
      </c>
      <c r="AM182" s="23">
        <f>IF(LEFT(AG182,5)="COGS|",N(S182),0)+IF(LEFT(AH182,5)="COGS|",N(T182),0)+IF(LEFT(AI182,5)="COGS|",-N(AF182),0)+IF(LEFT(AJ182,5)="COGS|",-N(AC182),0)+IF(LEFT(AK182,5)="COGS|",-N(U182),0)</f>
        <v/>
      </c>
      <c r="AN182" s="23">
        <f>IF(LEFT(AG182,8)="Expense|",N(S182),0)+IF(LEFT(AH182,8)="Expense|",N(T182),0)+IF(LEFT(AI182,8)="Expense|",-N(AF182),0)+IF(LEFT(AJ182,8)="Expense|",-N(AC182),0)+IF(LEFT(AK182,8)="Expense|",-N(U182),0)</f>
        <v/>
      </c>
      <c r="AO182" s="23">
        <f>IF(ISNUMBER(MATCH(AG182,{"Expense|employee","Expense|general_admin","Expense|marketing","Expense|utilities","Expense|other_operating"},0)),N(S182),0)+IF(ISNUMBER(MATCH(AH182,{"Expense|employee","Expense|general_admin","Expense|marketing","Expense|utilities","Expense|other_operating"},0)),N(T182),0)+IF(ISNUMBER(MATCH(AI182,{"Expense|employee","Expense|general_admin","Expense|marketing","Expense|utilities","Expense|other_operating"},0)),-N(AF182),0)+IF(ISNUMBER(MATCH(AJ182,{"Expense|employee","Expense|general_admin","Expense|marketing","Expense|utilities","Expense|other_operating"},0)),-N(AC182),0)+IF(ISNUMBER(MATCH(AK182,{"Expense|employee","Expense|general_admin","Expense|marketing","Expense|utilities","Expense|other_operating"},0)),-N(U182),0)</f>
        <v/>
      </c>
      <c r="AP182" s="23">
        <f>IF(AG182="Liability|payable",-N(S182),0)+IF(AH182="Liability|payable",-N(T182),0)+IF(AI182="Liability|payable",N(AF182),0)+IF(AJ182="Liability|payable",N(AC182),0)+IF(AK182="Liability|payable",N(U182),0)</f>
        <v/>
      </c>
      <c r="AQ182" s="23">
        <f>IF(AG182="Liability|accrued",-N(S182),0)+IF(AH182="Liability|accrued",-N(T182),0)+IF(AI182="Liability|accrued",N(AF182),0)+IF(AJ182="Liability|accrued",N(AC182),0)+IF(AK182="Liability|accrued",N(U182),0)</f>
        <v/>
      </c>
      <c r="AR182" s="23">
        <f>IF(AND(N(S182)&lt;&gt;0,AG182=""),1,0)+IF(AND(N(T182)&lt;&gt;0,AH182=""),1,0)+IF(AND(N(AF182)&lt;&gt;0,AI182=""),1,0)+IF(AND(N(AC182)&lt;&gt;0,AJ182=""),1,0)+IF(AND(N(U182)&lt;&gt;0,AK182=""),1,0)</f>
        <v/>
      </c>
    </row>
    <row r="183">
      <c r="A183" s="19" t="n"/>
      <c r="B183" s="14" t="n"/>
      <c r="C183" s="14" t="n"/>
      <c r="D183" s="14" t="n"/>
      <c r="E183" s="14" t="n"/>
      <c r="F183" s="14" t="n"/>
      <c r="G183" s="14" t="n"/>
      <c r="H183" s="20" t="n"/>
      <c r="I183" s="14" t="n"/>
      <c r="J183" s="14" t="n"/>
      <c r="K183" s="20" t="n"/>
      <c r="L183" s="14" t="n"/>
      <c r="M183" s="14" t="n"/>
      <c r="N183" s="14" t="n"/>
      <c r="O183" s="14" t="n"/>
      <c r="P183" s="14" t="n"/>
      <c r="Q183" s="14" t="n"/>
      <c r="R183" s="14" t="n"/>
      <c r="S183" s="21">
        <f>ROUND(ABS(N(G183))*N(H183),2)</f>
        <v/>
      </c>
      <c r="T183" s="21">
        <f>IF(B183="Receipt",ROUND(S183*IFERROR(VLOOKUP(Q183,'Tax Codes'!$A$5:$E$300,5,FALSE),0),2),0)</f>
        <v/>
      </c>
      <c r="U183" s="21">
        <f>IF(B183="Receipt",ROUND(S183*IFERROR(VLOOKUP(R183,'Tax Codes'!$A$5:$E$300,5,FALSE),0),2),0)</f>
        <v/>
      </c>
      <c r="V183" s="16">
        <f>INDEX('Chart of Accounts'!$A$5:$A$3000,MATCH("vat_input",'Chart of Accounts'!$F$5:$F$3000,0))</f>
        <v/>
      </c>
      <c r="W183" s="16">
        <f>INDEX('Chart of Accounts'!$A$5:$A$3000,MATCH("wht_payable",'Chart of Accounts'!$F$5:$F$3000,0))</f>
        <v/>
      </c>
      <c r="X183" s="16">
        <f>IF(M183="",INDEX('Chart of Accounts'!$A$5:$A$3000,MATCH("bank",'Chart of Accounts'!$F$5:$F$3000,0)),M183&amp;"")</f>
        <v/>
      </c>
      <c r="Y183" s="16">
        <f>IF(N183="",INDEX('Chart of Accounts'!$A$5:$A$3000,MATCH("ap",'Chart of Accounts'!$F$5:$F$3000,0)),N183&amp;"")</f>
        <v/>
      </c>
      <c r="Z183" s="16">
        <f>IF(O183="",INDEX('Chart of Accounts'!$A$5:$A$3000,MATCH("materials",'Chart of Accounts'!$F$5:$F$3000,0)),O183&amp;"")</f>
        <v/>
      </c>
      <c r="AA183" s="16">
        <f>IF(IFERROR(INDEX(Warehouses!$C$5:$C$1000,MATCH(C183,Warehouses!$A$5:$A$1000,0))&amp;"","")="",INDEX('Chart of Accounts'!$A$5:$A$3000,MATCH("inventory",'Chart of Accounts'!$F$5:$F$3000,0)),IFERROR(INDEX(Warehouses!$C$5:$C$1000,MATCH(C183,Warehouses!$A$5:$A$1000,0))&amp;"",""))</f>
        <v/>
      </c>
      <c r="AB183" s="16">
        <f>IF(IFERROR(INDEX(Warehouses!$C$5:$C$1000,MATCH(D183,Warehouses!$A$5:$A$1000,0))&amp;"","")="",INDEX('Chart of Accounts'!$A$5:$A$3000,MATCH("inventory",'Chart of Accounts'!$F$5:$F$3000,0)),IFERROR(INDEX(Warehouses!$C$5:$C$1000,MATCH(D183,Warehouses!$A$5:$A$1000,0))&amp;"",""))</f>
        <v/>
      </c>
      <c r="AC183" s="21">
        <f>IF(B183="Receipt",N(K183),0)</f>
        <v/>
      </c>
      <c r="AD183" s="16">
        <f>IF(B183="Receipt",AA183,IF(B183="Issue",Z183,IF(B183="Transfer",AB183,IF(N(G183)&gt;=0,AA183,INDEX('Chart of Accounts'!$A$5:$A$3000,MATCH("stock_adjust",'Chart of Accounts'!$F$5:$F$3000,0))))))</f>
        <v/>
      </c>
      <c r="AE183" s="16">
        <f>IF(B183="Receipt",Y183,IF(B183="Adjustment",IF(N(G183)&gt;=0,INDEX('Chart of Accounts'!$A$5:$A$3000,MATCH("stock_adjust",'Chart of Accounts'!$F$5:$F$3000,0)),AA183),AA183))</f>
        <v/>
      </c>
      <c r="AF183" s="21">
        <f>S183+T183-U183-AC183</f>
        <v/>
      </c>
      <c r="AG183" s="23">
        <f>IFERROR(INDEX('Chart of Accounts'!$C$5:$C$3000,MATCH(AD183&amp;"",'Chart of Accounts'!$A$5:$A$3000,0))&amp;"|"&amp;INDEX('Chart of Accounts'!$D$5:$D$3000,MATCH(AD183&amp;"",'Chart of Accounts'!$A$5:$A$3000,0)),"")</f>
        <v/>
      </c>
      <c r="AH183" s="23">
        <f>IFERROR(INDEX('Chart of Accounts'!$C$5:$C$3000,MATCH(V183&amp;"",'Chart of Accounts'!$A$5:$A$3000,0))&amp;"|"&amp;INDEX('Chart of Accounts'!$D$5:$D$3000,MATCH(V183&amp;"",'Chart of Accounts'!$A$5:$A$3000,0)),"")</f>
        <v/>
      </c>
      <c r="AI183" s="23">
        <f>IFERROR(INDEX('Chart of Accounts'!$C$5:$C$3000,MATCH(AE183&amp;"",'Chart of Accounts'!$A$5:$A$3000,0))&amp;"|"&amp;INDEX('Chart of Accounts'!$D$5:$D$3000,MATCH(AE183&amp;"",'Chart of Accounts'!$A$5:$A$3000,0)),"")</f>
        <v/>
      </c>
      <c r="AJ183" s="23">
        <f>IFERROR(INDEX('Chart of Accounts'!$C$5:$C$3000,MATCH(X183&amp;"",'Chart of Accounts'!$A$5:$A$3000,0))&amp;"|"&amp;INDEX('Chart of Accounts'!$D$5:$D$3000,MATCH(X183&amp;"",'Chart of Accounts'!$A$5:$A$3000,0)),"")</f>
        <v/>
      </c>
      <c r="AK183" s="23">
        <f>IFERROR(INDEX('Chart of Accounts'!$C$5:$C$3000,MATCH(W183&amp;"",'Chart of Accounts'!$A$5:$A$3000,0))&amp;"|"&amp;INDEX('Chart of Accounts'!$D$5:$D$3000,MATCH(W183&amp;"",'Chart of Accounts'!$A$5:$A$3000,0)),"")</f>
        <v/>
      </c>
      <c r="AL183" s="23">
        <f>IF(LEFT(AG183,8)="Revenue|",-N(S183),0)+IF(LEFT(AH183,8)="Revenue|",-N(T183),0)+IF(LEFT(AI183,8)="Revenue|",N(AF183),0)+IF(LEFT(AJ183,8)="Revenue|",N(AC183),0)+IF(LEFT(AK183,8)="Revenue|",N(U183),0)</f>
        <v/>
      </c>
      <c r="AM183" s="23">
        <f>IF(LEFT(AG183,5)="COGS|",N(S183),0)+IF(LEFT(AH183,5)="COGS|",N(T183),0)+IF(LEFT(AI183,5)="COGS|",-N(AF183),0)+IF(LEFT(AJ183,5)="COGS|",-N(AC183),0)+IF(LEFT(AK183,5)="COGS|",-N(U183),0)</f>
        <v/>
      </c>
      <c r="AN183" s="23">
        <f>IF(LEFT(AG183,8)="Expense|",N(S183),0)+IF(LEFT(AH183,8)="Expense|",N(T183),0)+IF(LEFT(AI183,8)="Expense|",-N(AF183),0)+IF(LEFT(AJ183,8)="Expense|",-N(AC183),0)+IF(LEFT(AK183,8)="Expense|",-N(U183),0)</f>
        <v/>
      </c>
      <c r="AO183" s="23">
        <f>IF(ISNUMBER(MATCH(AG183,{"Expense|employee","Expense|general_admin","Expense|marketing","Expense|utilities","Expense|other_operating"},0)),N(S183),0)+IF(ISNUMBER(MATCH(AH183,{"Expense|employee","Expense|general_admin","Expense|marketing","Expense|utilities","Expense|other_operating"},0)),N(T183),0)+IF(ISNUMBER(MATCH(AI183,{"Expense|employee","Expense|general_admin","Expense|marketing","Expense|utilities","Expense|other_operating"},0)),-N(AF183),0)+IF(ISNUMBER(MATCH(AJ183,{"Expense|employee","Expense|general_admin","Expense|marketing","Expense|utilities","Expense|other_operating"},0)),-N(AC183),0)+IF(ISNUMBER(MATCH(AK183,{"Expense|employee","Expense|general_admin","Expense|marketing","Expense|utilities","Expense|other_operating"},0)),-N(U183),0)</f>
        <v/>
      </c>
      <c r="AP183" s="23">
        <f>IF(AG183="Liability|payable",-N(S183),0)+IF(AH183="Liability|payable",-N(T183),0)+IF(AI183="Liability|payable",N(AF183),0)+IF(AJ183="Liability|payable",N(AC183),0)+IF(AK183="Liability|payable",N(U183),0)</f>
        <v/>
      </c>
      <c r="AQ183" s="23">
        <f>IF(AG183="Liability|accrued",-N(S183),0)+IF(AH183="Liability|accrued",-N(T183),0)+IF(AI183="Liability|accrued",N(AF183),0)+IF(AJ183="Liability|accrued",N(AC183),0)+IF(AK183="Liability|accrued",N(U183),0)</f>
        <v/>
      </c>
      <c r="AR183" s="23">
        <f>IF(AND(N(S183)&lt;&gt;0,AG183=""),1,0)+IF(AND(N(T183)&lt;&gt;0,AH183=""),1,0)+IF(AND(N(AF183)&lt;&gt;0,AI183=""),1,0)+IF(AND(N(AC183)&lt;&gt;0,AJ183=""),1,0)+IF(AND(N(U183)&lt;&gt;0,AK183=""),1,0)</f>
        <v/>
      </c>
    </row>
    <row r="184">
      <c r="A184" s="19" t="n"/>
      <c r="B184" s="14" t="n"/>
      <c r="C184" s="14" t="n"/>
      <c r="D184" s="14" t="n"/>
      <c r="E184" s="14" t="n"/>
      <c r="F184" s="14" t="n"/>
      <c r="G184" s="14" t="n"/>
      <c r="H184" s="20" t="n"/>
      <c r="I184" s="14" t="n"/>
      <c r="J184" s="14" t="n"/>
      <c r="K184" s="20" t="n"/>
      <c r="L184" s="14" t="n"/>
      <c r="M184" s="14" t="n"/>
      <c r="N184" s="14" t="n"/>
      <c r="O184" s="14" t="n"/>
      <c r="P184" s="14" t="n"/>
      <c r="Q184" s="14" t="n"/>
      <c r="R184" s="14" t="n"/>
      <c r="S184" s="21">
        <f>ROUND(ABS(N(G184))*N(H184),2)</f>
        <v/>
      </c>
      <c r="T184" s="21">
        <f>IF(B184="Receipt",ROUND(S184*IFERROR(VLOOKUP(Q184,'Tax Codes'!$A$5:$E$300,5,FALSE),0),2),0)</f>
        <v/>
      </c>
      <c r="U184" s="21">
        <f>IF(B184="Receipt",ROUND(S184*IFERROR(VLOOKUP(R184,'Tax Codes'!$A$5:$E$300,5,FALSE),0),2),0)</f>
        <v/>
      </c>
      <c r="V184" s="16">
        <f>INDEX('Chart of Accounts'!$A$5:$A$3000,MATCH("vat_input",'Chart of Accounts'!$F$5:$F$3000,0))</f>
        <v/>
      </c>
      <c r="W184" s="16">
        <f>INDEX('Chart of Accounts'!$A$5:$A$3000,MATCH("wht_payable",'Chart of Accounts'!$F$5:$F$3000,0))</f>
        <v/>
      </c>
      <c r="X184" s="16">
        <f>IF(M184="",INDEX('Chart of Accounts'!$A$5:$A$3000,MATCH("bank",'Chart of Accounts'!$F$5:$F$3000,0)),M184&amp;"")</f>
        <v/>
      </c>
      <c r="Y184" s="16">
        <f>IF(N184="",INDEX('Chart of Accounts'!$A$5:$A$3000,MATCH("ap",'Chart of Accounts'!$F$5:$F$3000,0)),N184&amp;"")</f>
        <v/>
      </c>
      <c r="Z184" s="16">
        <f>IF(O184="",INDEX('Chart of Accounts'!$A$5:$A$3000,MATCH("materials",'Chart of Accounts'!$F$5:$F$3000,0)),O184&amp;"")</f>
        <v/>
      </c>
      <c r="AA184" s="16">
        <f>IF(IFERROR(INDEX(Warehouses!$C$5:$C$1000,MATCH(C184,Warehouses!$A$5:$A$1000,0))&amp;"","")="",INDEX('Chart of Accounts'!$A$5:$A$3000,MATCH("inventory",'Chart of Accounts'!$F$5:$F$3000,0)),IFERROR(INDEX(Warehouses!$C$5:$C$1000,MATCH(C184,Warehouses!$A$5:$A$1000,0))&amp;"",""))</f>
        <v/>
      </c>
      <c r="AB184" s="16">
        <f>IF(IFERROR(INDEX(Warehouses!$C$5:$C$1000,MATCH(D184,Warehouses!$A$5:$A$1000,0))&amp;"","")="",INDEX('Chart of Accounts'!$A$5:$A$3000,MATCH("inventory",'Chart of Accounts'!$F$5:$F$3000,0)),IFERROR(INDEX(Warehouses!$C$5:$C$1000,MATCH(D184,Warehouses!$A$5:$A$1000,0))&amp;"",""))</f>
        <v/>
      </c>
      <c r="AC184" s="21">
        <f>IF(B184="Receipt",N(K184),0)</f>
        <v/>
      </c>
      <c r="AD184" s="16">
        <f>IF(B184="Receipt",AA184,IF(B184="Issue",Z184,IF(B184="Transfer",AB184,IF(N(G184)&gt;=0,AA184,INDEX('Chart of Accounts'!$A$5:$A$3000,MATCH("stock_adjust",'Chart of Accounts'!$F$5:$F$3000,0))))))</f>
        <v/>
      </c>
      <c r="AE184" s="16">
        <f>IF(B184="Receipt",Y184,IF(B184="Adjustment",IF(N(G184)&gt;=0,INDEX('Chart of Accounts'!$A$5:$A$3000,MATCH("stock_adjust",'Chart of Accounts'!$F$5:$F$3000,0)),AA184),AA184))</f>
        <v/>
      </c>
      <c r="AF184" s="21">
        <f>S184+T184-U184-AC184</f>
        <v/>
      </c>
      <c r="AG184" s="23">
        <f>IFERROR(INDEX('Chart of Accounts'!$C$5:$C$3000,MATCH(AD184&amp;"",'Chart of Accounts'!$A$5:$A$3000,0))&amp;"|"&amp;INDEX('Chart of Accounts'!$D$5:$D$3000,MATCH(AD184&amp;"",'Chart of Accounts'!$A$5:$A$3000,0)),"")</f>
        <v/>
      </c>
      <c r="AH184" s="23">
        <f>IFERROR(INDEX('Chart of Accounts'!$C$5:$C$3000,MATCH(V184&amp;"",'Chart of Accounts'!$A$5:$A$3000,0))&amp;"|"&amp;INDEX('Chart of Accounts'!$D$5:$D$3000,MATCH(V184&amp;"",'Chart of Accounts'!$A$5:$A$3000,0)),"")</f>
        <v/>
      </c>
      <c r="AI184" s="23">
        <f>IFERROR(INDEX('Chart of Accounts'!$C$5:$C$3000,MATCH(AE184&amp;"",'Chart of Accounts'!$A$5:$A$3000,0))&amp;"|"&amp;INDEX('Chart of Accounts'!$D$5:$D$3000,MATCH(AE184&amp;"",'Chart of Accounts'!$A$5:$A$3000,0)),"")</f>
        <v/>
      </c>
      <c r="AJ184" s="23">
        <f>IFERROR(INDEX('Chart of Accounts'!$C$5:$C$3000,MATCH(X184&amp;"",'Chart of Accounts'!$A$5:$A$3000,0))&amp;"|"&amp;INDEX('Chart of Accounts'!$D$5:$D$3000,MATCH(X184&amp;"",'Chart of Accounts'!$A$5:$A$3000,0)),"")</f>
        <v/>
      </c>
      <c r="AK184" s="23">
        <f>IFERROR(INDEX('Chart of Accounts'!$C$5:$C$3000,MATCH(W184&amp;"",'Chart of Accounts'!$A$5:$A$3000,0))&amp;"|"&amp;INDEX('Chart of Accounts'!$D$5:$D$3000,MATCH(W184&amp;"",'Chart of Accounts'!$A$5:$A$3000,0)),"")</f>
        <v/>
      </c>
      <c r="AL184" s="23">
        <f>IF(LEFT(AG184,8)="Revenue|",-N(S184),0)+IF(LEFT(AH184,8)="Revenue|",-N(T184),0)+IF(LEFT(AI184,8)="Revenue|",N(AF184),0)+IF(LEFT(AJ184,8)="Revenue|",N(AC184),0)+IF(LEFT(AK184,8)="Revenue|",N(U184),0)</f>
        <v/>
      </c>
      <c r="AM184" s="23">
        <f>IF(LEFT(AG184,5)="COGS|",N(S184),0)+IF(LEFT(AH184,5)="COGS|",N(T184),0)+IF(LEFT(AI184,5)="COGS|",-N(AF184),0)+IF(LEFT(AJ184,5)="COGS|",-N(AC184),0)+IF(LEFT(AK184,5)="COGS|",-N(U184),0)</f>
        <v/>
      </c>
      <c r="AN184" s="23">
        <f>IF(LEFT(AG184,8)="Expense|",N(S184),0)+IF(LEFT(AH184,8)="Expense|",N(T184),0)+IF(LEFT(AI184,8)="Expense|",-N(AF184),0)+IF(LEFT(AJ184,8)="Expense|",-N(AC184),0)+IF(LEFT(AK184,8)="Expense|",-N(U184),0)</f>
        <v/>
      </c>
      <c r="AO184" s="23">
        <f>IF(ISNUMBER(MATCH(AG184,{"Expense|employee","Expense|general_admin","Expense|marketing","Expense|utilities","Expense|other_operating"},0)),N(S184),0)+IF(ISNUMBER(MATCH(AH184,{"Expense|employee","Expense|general_admin","Expense|marketing","Expense|utilities","Expense|other_operating"},0)),N(T184),0)+IF(ISNUMBER(MATCH(AI184,{"Expense|employee","Expense|general_admin","Expense|marketing","Expense|utilities","Expense|other_operating"},0)),-N(AF184),0)+IF(ISNUMBER(MATCH(AJ184,{"Expense|employee","Expense|general_admin","Expense|marketing","Expense|utilities","Expense|other_operating"},0)),-N(AC184),0)+IF(ISNUMBER(MATCH(AK184,{"Expense|employee","Expense|general_admin","Expense|marketing","Expense|utilities","Expense|other_operating"},0)),-N(U184),0)</f>
        <v/>
      </c>
      <c r="AP184" s="23">
        <f>IF(AG184="Liability|payable",-N(S184),0)+IF(AH184="Liability|payable",-N(T184),0)+IF(AI184="Liability|payable",N(AF184),0)+IF(AJ184="Liability|payable",N(AC184),0)+IF(AK184="Liability|payable",N(U184),0)</f>
        <v/>
      </c>
      <c r="AQ184" s="23">
        <f>IF(AG184="Liability|accrued",-N(S184),0)+IF(AH184="Liability|accrued",-N(T184),0)+IF(AI184="Liability|accrued",N(AF184),0)+IF(AJ184="Liability|accrued",N(AC184),0)+IF(AK184="Liability|accrued",N(U184),0)</f>
        <v/>
      </c>
      <c r="AR184" s="23">
        <f>IF(AND(N(S184)&lt;&gt;0,AG184=""),1,0)+IF(AND(N(T184)&lt;&gt;0,AH184=""),1,0)+IF(AND(N(AF184)&lt;&gt;0,AI184=""),1,0)+IF(AND(N(AC184)&lt;&gt;0,AJ184=""),1,0)+IF(AND(N(U184)&lt;&gt;0,AK184=""),1,0)</f>
        <v/>
      </c>
    </row>
    <row r="185">
      <c r="A185" s="19" t="n"/>
      <c r="B185" s="14" t="n"/>
      <c r="C185" s="14" t="n"/>
      <c r="D185" s="14" t="n"/>
      <c r="E185" s="14" t="n"/>
      <c r="F185" s="14" t="n"/>
      <c r="G185" s="14" t="n"/>
      <c r="H185" s="20" t="n"/>
      <c r="I185" s="14" t="n"/>
      <c r="J185" s="14" t="n"/>
      <c r="K185" s="20" t="n"/>
      <c r="L185" s="14" t="n"/>
      <c r="M185" s="14" t="n"/>
      <c r="N185" s="14" t="n"/>
      <c r="O185" s="14" t="n"/>
      <c r="P185" s="14" t="n"/>
      <c r="Q185" s="14" t="n"/>
      <c r="R185" s="14" t="n"/>
      <c r="S185" s="21">
        <f>ROUND(ABS(N(G185))*N(H185),2)</f>
        <v/>
      </c>
      <c r="T185" s="21">
        <f>IF(B185="Receipt",ROUND(S185*IFERROR(VLOOKUP(Q185,'Tax Codes'!$A$5:$E$300,5,FALSE),0),2),0)</f>
        <v/>
      </c>
      <c r="U185" s="21">
        <f>IF(B185="Receipt",ROUND(S185*IFERROR(VLOOKUP(R185,'Tax Codes'!$A$5:$E$300,5,FALSE),0),2),0)</f>
        <v/>
      </c>
      <c r="V185" s="16">
        <f>INDEX('Chart of Accounts'!$A$5:$A$3000,MATCH("vat_input",'Chart of Accounts'!$F$5:$F$3000,0))</f>
        <v/>
      </c>
      <c r="W185" s="16">
        <f>INDEX('Chart of Accounts'!$A$5:$A$3000,MATCH("wht_payable",'Chart of Accounts'!$F$5:$F$3000,0))</f>
        <v/>
      </c>
      <c r="X185" s="16">
        <f>IF(M185="",INDEX('Chart of Accounts'!$A$5:$A$3000,MATCH("bank",'Chart of Accounts'!$F$5:$F$3000,0)),M185&amp;"")</f>
        <v/>
      </c>
      <c r="Y185" s="16">
        <f>IF(N185="",INDEX('Chart of Accounts'!$A$5:$A$3000,MATCH("ap",'Chart of Accounts'!$F$5:$F$3000,0)),N185&amp;"")</f>
        <v/>
      </c>
      <c r="Z185" s="16">
        <f>IF(O185="",INDEX('Chart of Accounts'!$A$5:$A$3000,MATCH("materials",'Chart of Accounts'!$F$5:$F$3000,0)),O185&amp;"")</f>
        <v/>
      </c>
      <c r="AA185" s="16">
        <f>IF(IFERROR(INDEX(Warehouses!$C$5:$C$1000,MATCH(C185,Warehouses!$A$5:$A$1000,0))&amp;"","")="",INDEX('Chart of Accounts'!$A$5:$A$3000,MATCH("inventory",'Chart of Accounts'!$F$5:$F$3000,0)),IFERROR(INDEX(Warehouses!$C$5:$C$1000,MATCH(C185,Warehouses!$A$5:$A$1000,0))&amp;"",""))</f>
        <v/>
      </c>
      <c r="AB185" s="16">
        <f>IF(IFERROR(INDEX(Warehouses!$C$5:$C$1000,MATCH(D185,Warehouses!$A$5:$A$1000,0))&amp;"","")="",INDEX('Chart of Accounts'!$A$5:$A$3000,MATCH("inventory",'Chart of Accounts'!$F$5:$F$3000,0)),IFERROR(INDEX(Warehouses!$C$5:$C$1000,MATCH(D185,Warehouses!$A$5:$A$1000,0))&amp;"",""))</f>
        <v/>
      </c>
      <c r="AC185" s="21">
        <f>IF(B185="Receipt",N(K185),0)</f>
        <v/>
      </c>
      <c r="AD185" s="16">
        <f>IF(B185="Receipt",AA185,IF(B185="Issue",Z185,IF(B185="Transfer",AB185,IF(N(G185)&gt;=0,AA185,INDEX('Chart of Accounts'!$A$5:$A$3000,MATCH("stock_adjust",'Chart of Accounts'!$F$5:$F$3000,0))))))</f>
        <v/>
      </c>
      <c r="AE185" s="16">
        <f>IF(B185="Receipt",Y185,IF(B185="Adjustment",IF(N(G185)&gt;=0,INDEX('Chart of Accounts'!$A$5:$A$3000,MATCH("stock_adjust",'Chart of Accounts'!$F$5:$F$3000,0)),AA185),AA185))</f>
        <v/>
      </c>
      <c r="AF185" s="21">
        <f>S185+T185-U185-AC185</f>
        <v/>
      </c>
      <c r="AG185" s="23">
        <f>IFERROR(INDEX('Chart of Accounts'!$C$5:$C$3000,MATCH(AD185&amp;"",'Chart of Accounts'!$A$5:$A$3000,0))&amp;"|"&amp;INDEX('Chart of Accounts'!$D$5:$D$3000,MATCH(AD185&amp;"",'Chart of Accounts'!$A$5:$A$3000,0)),"")</f>
        <v/>
      </c>
      <c r="AH185" s="23">
        <f>IFERROR(INDEX('Chart of Accounts'!$C$5:$C$3000,MATCH(V185&amp;"",'Chart of Accounts'!$A$5:$A$3000,0))&amp;"|"&amp;INDEX('Chart of Accounts'!$D$5:$D$3000,MATCH(V185&amp;"",'Chart of Accounts'!$A$5:$A$3000,0)),"")</f>
        <v/>
      </c>
      <c r="AI185" s="23">
        <f>IFERROR(INDEX('Chart of Accounts'!$C$5:$C$3000,MATCH(AE185&amp;"",'Chart of Accounts'!$A$5:$A$3000,0))&amp;"|"&amp;INDEX('Chart of Accounts'!$D$5:$D$3000,MATCH(AE185&amp;"",'Chart of Accounts'!$A$5:$A$3000,0)),"")</f>
        <v/>
      </c>
      <c r="AJ185" s="23">
        <f>IFERROR(INDEX('Chart of Accounts'!$C$5:$C$3000,MATCH(X185&amp;"",'Chart of Accounts'!$A$5:$A$3000,0))&amp;"|"&amp;INDEX('Chart of Accounts'!$D$5:$D$3000,MATCH(X185&amp;"",'Chart of Accounts'!$A$5:$A$3000,0)),"")</f>
        <v/>
      </c>
      <c r="AK185" s="23">
        <f>IFERROR(INDEX('Chart of Accounts'!$C$5:$C$3000,MATCH(W185&amp;"",'Chart of Accounts'!$A$5:$A$3000,0))&amp;"|"&amp;INDEX('Chart of Accounts'!$D$5:$D$3000,MATCH(W185&amp;"",'Chart of Accounts'!$A$5:$A$3000,0)),"")</f>
        <v/>
      </c>
      <c r="AL185" s="23">
        <f>IF(LEFT(AG185,8)="Revenue|",-N(S185),0)+IF(LEFT(AH185,8)="Revenue|",-N(T185),0)+IF(LEFT(AI185,8)="Revenue|",N(AF185),0)+IF(LEFT(AJ185,8)="Revenue|",N(AC185),0)+IF(LEFT(AK185,8)="Revenue|",N(U185),0)</f>
        <v/>
      </c>
      <c r="AM185" s="23">
        <f>IF(LEFT(AG185,5)="COGS|",N(S185),0)+IF(LEFT(AH185,5)="COGS|",N(T185),0)+IF(LEFT(AI185,5)="COGS|",-N(AF185),0)+IF(LEFT(AJ185,5)="COGS|",-N(AC185),0)+IF(LEFT(AK185,5)="COGS|",-N(U185),0)</f>
        <v/>
      </c>
      <c r="AN185" s="23">
        <f>IF(LEFT(AG185,8)="Expense|",N(S185),0)+IF(LEFT(AH185,8)="Expense|",N(T185),0)+IF(LEFT(AI185,8)="Expense|",-N(AF185),0)+IF(LEFT(AJ185,8)="Expense|",-N(AC185),0)+IF(LEFT(AK185,8)="Expense|",-N(U185),0)</f>
        <v/>
      </c>
      <c r="AO185" s="23">
        <f>IF(ISNUMBER(MATCH(AG185,{"Expense|employee","Expense|general_admin","Expense|marketing","Expense|utilities","Expense|other_operating"},0)),N(S185),0)+IF(ISNUMBER(MATCH(AH185,{"Expense|employee","Expense|general_admin","Expense|marketing","Expense|utilities","Expense|other_operating"},0)),N(T185),0)+IF(ISNUMBER(MATCH(AI185,{"Expense|employee","Expense|general_admin","Expense|marketing","Expense|utilities","Expense|other_operating"},0)),-N(AF185),0)+IF(ISNUMBER(MATCH(AJ185,{"Expense|employee","Expense|general_admin","Expense|marketing","Expense|utilities","Expense|other_operating"},0)),-N(AC185),0)+IF(ISNUMBER(MATCH(AK185,{"Expense|employee","Expense|general_admin","Expense|marketing","Expense|utilities","Expense|other_operating"},0)),-N(U185),0)</f>
        <v/>
      </c>
      <c r="AP185" s="23">
        <f>IF(AG185="Liability|payable",-N(S185),0)+IF(AH185="Liability|payable",-N(T185),0)+IF(AI185="Liability|payable",N(AF185),0)+IF(AJ185="Liability|payable",N(AC185),0)+IF(AK185="Liability|payable",N(U185),0)</f>
        <v/>
      </c>
      <c r="AQ185" s="23">
        <f>IF(AG185="Liability|accrued",-N(S185),0)+IF(AH185="Liability|accrued",-N(T185),0)+IF(AI185="Liability|accrued",N(AF185),0)+IF(AJ185="Liability|accrued",N(AC185),0)+IF(AK185="Liability|accrued",N(U185),0)</f>
        <v/>
      </c>
      <c r="AR185" s="23">
        <f>IF(AND(N(S185)&lt;&gt;0,AG185=""),1,0)+IF(AND(N(T185)&lt;&gt;0,AH185=""),1,0)+IF(AND(N(AF185)&lt;&gt;0,AI185=""),1,0)+IF(AND(N(AC185)&lt;&gt;0,AJ185=""),1,0)+IF(AND(N(U185)&lt;&gt;0,AK185=""),1,0)</f>
        <v/>
      </c>
    </row>
    <row r="186">
      <c r="A186" s="19" t="n"/>
      <c r="B186" s="14" t="n"/>
      <c r="C186" s="14" t="n"/>
      <c r="D186" s="14" t="n"/>
      <c r="E186" s="14" t="n"/>
      <c r="F186" s="14" t="n"/>
      <c r="G186" s="14" t="n"/>
      <c r="H186" s="20" t="n"/>
      <c r="I186" s="14" t="n"/>
      <c r="J186" s="14" t="n"/>
      <c r="K186" s="20" t="n"/>
      <c r="L186" s="14" t="n"/>
      <c r="M186" s="14" t="n"/>
      <c r="N186" s="14" t="n"/>
      <c r="O186" s="14" t="n"/>
      <c r="P186" s="14" t="n"/>
      <c r="Q186" s="14" t="n"/>
      <c r="R186" s="14" t="n"/>
      <c r="S186" s="21">
        <f>ROUND(ABS(N(G186))*N(H186),2)</f>
        <v/>
      </c>
      <c r="T186" s="21">
        <f>IF(B186="Receipt",ROUND(S186*IFERROR(VLOOKUP(Q186,'Tax Codes'!$A$5:$E$300,5,FALSE),0),2),0)</f>
        <v/>
      </c>
      <c r="U186" s="21">
        <f>IF(B186="Receipt",ROUND(S186*IFERROR(VLOOKUP(R186,'Tax Codes'!$A$5:$E$300,5,FALSE),0),2),0)</f>
        <v/>
      </c>
      <c r="V186" s="16">
        <f>INDEX('Chart of Accounts'!$A$5:$A$3000,MATCH("vat_input",'Chart of Accounts'!$F$5:$F$3000,0))</f>
        <v/>
      </c>
      <c r="W186" s="16">
        <f>INDEX('Chart of Accounts'!$A$5:$A$3000,MATCH("wht_payable",'Chart of Accounts'!$F$5:$F$3000,0))</f>
        <v/>
      </c>
      <c r="X186" s="16">
        <f>IF(M186="",INDEX('Chart of Accounts'!$A$5:$A$3000,MATCH("bank",'Chart of Accounts'!$F$5:$F$3000,0)),M186&amp;"")</f>
        <v/>
      </c>
      <c r="Y186" s="16">
        <f>IF(N186="",INDEX('Chart of Accounts'!$A$5:$A$3000,MATCH("ap",'Chart of Accounts'!$F$5:$F$3000,0)),N186&amp;"")</f>
        <v/>
      </c>
      <c r="Z186" s="16">
        <f>IF(O186="",INDEX('Chart of Accounts'!$A$5:$A$3000,MATCH("materials",'Chart of Accounts'!$F$5:$F$3000,0)),O186&amp;"")</f>
        <v/>
      </c>
      <c r="AA186" s="16">
        <f>IF(IFERROR(INDEX(Warehouses!$C$5:$C$1000,MATCH(C186,Warehouses!$A$5:$A$1000,0))&amp;"","")="",INDEX('Chart of Accounts'!$A$5:$A$3000,MATCH("inventory",'Chart of Accounts'!$F$5:$F$3000,0)),IFERROR(INDEX(Warehouses!$C$5:$C$1000,MATCH(C186,Warehouses!$A$5:$A$1000,0))&amp;"",""))</f>
        <v/>
      </c>
      <c r="AB186" s="16">
        <f>IF(IFERROR(INDEX(Warehouses!$C$5:$C$1000,MATCH(D186,Warehouses!$A$5:$A$1000,0))&amp;"","")="",INDEX('Chart of Accounts'!$A$5:$A$3000,MATCH("inventory",'Chart of Accounts'!$F$5:$F$3000,0)),IFERROR(INDEX(Warehouses!$C$5:$C$1000,MATCH(D186,Warehouses!$A$5:$A$1000,0))&amp;"",""))</f>
        <v/>
      </c>
      <c r="AC186" s="21">
        <f>IF(B186="Receipt",N(K186),0)</f>
        <v/>
      </c>
      <c r="AD186" s="16">
        <f>IF(B186="Receipt",AA186,IF(B186="Issue",Z186,IF(B186="Transfer",AB186,IF(N(G186)&gt;=0,AA186,INDEX('Chart of Accounts'!$A$5:$A$3000,MATCH("stock_adjust",'Chart of Accounts'!$F$5:$F$3000,0))))))</f>
        <v/>
      </c>
      <c r="AE186" s="16">
        <f>IF(B186="Receipt",Y186,IF(B186="Adjustment",IF(N(G186)&gt;=0,INDEX('Chart of Accounts'!$A$5:$A$3000,MATCH("stock_adjust",'Chart of Accounts'!$F$5:$F$3000,0)),AA186),AA186))</f>
        <v/>
      </c>
      <c r="AF186" s="21">
        <f>S186+T186-U186-AC186</f>
        <v/>
      </c>
      <c r="AG186" s="23">
        <f>IFERROR(INDEX('Chart of Accounts'!$C$5:$C$3000,MATCH(AD186&amp;"",'Chart of Accounts'!$A$5:$A$3000,0))&amp;"|"&amp;INDEX('Chart of Accounts'!$D$5:$D$3000,MATCH(AD186&amp;"",'Chart of Accounts'!$A$5:$A$3000,0)),"")</f>
        <v/>
      </c>
      <c r="AH186" s="23">
        <f>IFERROR(INDEX('Chart of Accounts'!$C$5:$C$3000,MATCH(V186&amp;"",'Chart of Accounts'!$A$5:$A$3000,0))&amp;"|"&amp;INDEX('Chart of Accounts'!$D$5:$D$3000,MATCH(V186&amp;"",'Chart of Accounts'!$A$5:$A$3000,0)),"")</f>
        <v/>
      </c>
      <c r="AI186" s="23">
        <f>IFERROR(INDEX('Chart of Accounts'!$C$5:$C$3000,MATCH(AE186&amp;"",'Chart of Accounts'!$A$5:$A$3000,0))&amp;"|"&amp;INDEX('Chart of Accounts'!$D$5:$D$3000,MATCH(AE186&amp;"",'Chart of Accounts'!$A$5:$A$3000,0)),"")</f>
        <v/>
      </c>
      <c r="AJ186" s="23">
        <f>IFERROR(INDEX('Chart of Accounts'!$C$5:$C$3000,MATCH(X186&amp;"",'Chart of Accounts'!$A$5:$A$3000,0))&amp;"|"&amp;INDEX('Chart of Accounts'!$D$5:$D$3000,MATCH(X186&amp;"",'Chart of Accounts'!$A$5:$A$3000,0)),"")</f>
        <v/>
      </c>
      <c r="AK186" s="23">
        <f>IFERROR(INDEX('Chart of Accounts'!$C$5:$C$3000,MATCH(W186&amp;"",'Chart of Accounts'!$A$5:$A$3000,0))&amp;"|"&amp;INDEX('Chart of Accounts'!$D$5:$D$3000,MATCH(W186&amp;"",'Chart of Accounts'!$A$5:$A$3000,0)),"")</f>
        <v/>
      </c>
      <c r="AL186" s="23">
        <f>IF(LEFT(AG186,8)="Revenue|",-N(S186),0)+IF(LEFT(AH186,8)="Revenue|",-N(T186),0)+IF(LEFT(AI186,8)="Revenue|",N(AF186),0)+IF(LEFT(AJ186,8)="Revenue|",N(AC186),0)+IF(LEFT(AK186,8)="Revenue|",N(U186),0)</f>
        <v/>
      </c>
      <c r="AM186" s="23">
        <f>IF(LEFT(AG186,5)="COGS|",N(S186),0)+IF(LEFT(AH186,5)="COGS|",N(T186),0)+IF(LEFT(AI186,5)="COGS|",-N(AF186),0)+IF(LEFT(AJ186,5)="COGS|",-N(AC186),0)+IF(LEFT(AK186,5)="COGS|",-N(U186),0)</f>
        <v/>
      </c>
      <c r="AN186" s="23">
        <f>IF(LEFT(AG186,8)="Expense|",N(S186),0)+IF(LEFT(AH186,8)="Expense|",N(T186),0)+IF(LEFT(AI186,8)="Expense|",-N(AF186),0)+IF(LEFT(AJ186,8)="Expense|",-N(AC186),0)+IF(LEFT(AK186,8)="Expense|",-N(U186),0)</f>
        <v/>
      </c>
      <c r="AO186" s="23">
        <f>IF(ISNUMBER(MATCH(AG186,{"Expense|employee","Expense|general_admin","Expense|marketing","Expense|utilities","Expense|other_operating"},0)),N(S186),0)+IF(ISNUMBER(MATCH(AH186,{"Expense|employee","Expense|general_admin","Expense|marketing","Expense|utilities","Expense|other_operating"},0)),N(T186),0)+IF(ISNUMBER(MATCH(AI186,{"Expense|employee","Expense|general_admin","Expense|marketing","Expense|utilities","Expense|other_operating"},0)),-N(AF186),0)+IF(ISNUMBER(MATCH(AJ186,{"Expense|employee","Expense|general_admin","Expense|marketing","Expense|utilities","Expense|other_operating"},0)),-N(AC186),0)+IF(ISNUMBER(MATCH(AK186,{"Expense|employee","Expense|general_admin","Expense|marketing","Expense|utilities","Expense|other_operating"},0)),-N(U186),0)</f>
        <v/>
      </c>
      <c r="AP186" s="23">
        <f>IF(AG186="Liability|payable",-N(S186),0)+IF(AH186="Liability|payable",-N(T186),0)+IF(AI186="Liability|payable",N(AF186),0)+IF(AJ186="Liability|payable",N(AC186),0)+IF(AK186="Liability|payable",N(U186),0)</f>
        <v/>
      </c>
      <c r="AQ186" s="23">
        <f>IF(AG186="Liability|accrued",-N(S186),0)+IF(AH186="Liability|accrued",-N(T186),0)+IF(AI186="Liability|accrued",N(AF186),0)+IF(AJ186="Liability|accrued",N(AC186),0)+IF(AK186="Liability|accrued",N(U186),0)</f>
        <v/>
      </c>
      <c r="AR186" s="23">
        <f>IF(AND(N(S186)&lt;&gt;0,AG186=""),1,0)+IF(AND(N(T186)&lt;&gt;0,AH186=""),1,0)+IF(AND(N(AF186)&lt;&gt;0,AI186=""),1,0)+IF(AND(N(AC186)&lt;&gt;0,AJ186=""),1,0)+IF(AND(N(U186)&lt;&gt;0,AK186=""),1,0)</f>
        <v/>
      </c>
    </row>
    <row r="187">
      <c r="A187" s="19" t="n"/>
      <c r="B187" s="14" t="n"/>
      <c r="C187" s="14" t="n"/>
      <c r="D187" s="14" t="n"/>
      <c r="E187" s="14" t="n"/>
      <c r="F187" s="14" t="n"/>
      <c r="G187" s="14" t="n"/>
      <c r="H187" s="20" t="n"/>
      <c r="I187" s="14" t="n"/>
      <c r="J187" s="14" t="n"/>
      <c r="K187" s="20" t="n"/>
      <c r="L187" s="14" t="n"/>
      <c r="M187" s="14" t="n"/>
      <c r="N187" s="14" t="n"/>
      <c r="O187" s="14" t="n"/>
      <c r="P187" s="14" t="n"/>
      <c r="Q187" s="14" t="n"/>
      <c r="R187" s="14" t="n"/>
      <c r="S187" s="21">
        <f>ROUND(ABS(N(G187))*N(H187),2)</f>
        <v/>
      </c>
      <c r="T187" s="21">
        <f>IF(B187="Receipt",ROUND(S187*IFERROR(VLOOKUP(Q187,'Tax Codes'!$A$5:$E$300,5,FALSE),0),2),0)</f>
        <v/>
      </c>
      <c r="U187" s="21">
        <f>IF(B187="Receipt",ROUND(S187*IFERROR(VLOOKUP(R187,'Tax Codes'!$A$5:$E$300,5,FALSE),0),2),0)</f>
        <v/>
      </c>
      <c r="V187" s="16">
        <f>INDEX('Chart of Accounts'!$A$5:$A$3000,MATCH("vat_input",'Chart of Accounts'!$F$5:$F$3000,0))</f>
        <v/>
      </c>
      <c r="W187" s="16">
        <f>INDEX('Chart of Accounts'!$A$5:$A$3000,MATCH("wht_payable",'Chart of Accounts'!$F$5:$F$3000,0))</f>
        <v/>
      </c>
      <c r="X187" s="16">
        <f>IF(M187="",INDEX('Chart of Accounts'!$A$5:$A$3000,MATCH("bank",'Chart of Accounts'!$F$5:$F$3000,0)),M187&amp;"")</f>
        <v/>
      </c>
      <c r="Y187" s="16">
        <f>IF(N187="",INDEX('Chart of Accounts'!$A$5:$A$3000,MATCH("ap",'Chart of Accounts'!$F$5:$F$3000,0)),N187&amp;"")</f>
        <v/>
      </c>
      <c r="Z187" s="16">
        <f>IF(O187="",INDEX('Chart of Accounts'!$A$5:$A$3000,MATCH("materials",'Chart of Accounts'!$F$5:$F$3000,0)),O187&amp;"")</f>
        <v/>
      </c>
      <c r="AA187" s="16">
        <f>IF(IFERROR(INDEX(Warehouses!$C$5:$C$1000,MATCH(C187,Warehouses!$A$5:$A$1000,0))&amp;"","")="",INDEX('Chart of Accounts'!$A$5:$A$3000,MATCH("inventory",'Chart of Accounts'!$F$5:$F$3000,0)),IFERROR(INDEX(Warehouses!$C$5:$C$1000,MATCH(C187,Warehouses!$A$5:$A$1000,0))&amp;"",""))</f>
        <v/>
      </c>
      <c r="AB187" s="16">
        <f>IF(IFERROR(INDEX(Warehouses!$C$5:$C$1000,MATCH(D187,Warehouses!$A$5:$A$1000,0))&amp;"","")="",INDEX('Chart of Accounts'!$A$5:$A$3000,MATCH("inventory",'Chart of Accounts'!$F$5:$F$3000,0)),IFERROR(INDEX(Warehouses!$C$5:$C$1000,MATCH(D187,Warehouses!$A$5:$A$1000,0))&amp;"",""))</f>
        <v/>
      </c>
      <c r="AC187" s="21">
        <f>IF(B187="Receipt",N(K187),0)</f>
        <v/>
      </c>
      <c r="AD187" s="16">
        <f>IF(B187="Receipt",AA187,IF(B187="Issue",Z187,IF(B187="Transfer",AB187,IF(N(G187)&gt;=0,AA187,INDEX('Chart of Accounts'!$A$5:$A$3000,MATCH("stock_adjust",'Chart of Accounts'!$F$5:$F$3000,0))))))</f>
        <v/>
      </c>
      <c r="AE187" s="16">
        <f>IF(B187="Receipt",Y187,IF(B187="Adjustment",IF(N(G187)&gt;=0,INDEX('Chart of Accounts'!$A$5:$A$3000,MATCH("stock_adjust",'Chart of Accounts'!$F$5:$F$3000,0)),AA187),AA187))</f>
        <v/>
      </c>
      <c r="AF187" s="21">
        <f>S187+T187-U187-AC187</f>
        <v/>
      </c>
      <c r="AG187" s="23">
        <f>IFERROR(INDEX('Chart of Accounts'!$C$5:$C$3000,MATCH(AD187&amp;"",'Chart of Accounts'!$A$5:$A$3000,0))&amp;"|"&amp;INDEX('Chart of Accounts'!$D$5:$D$3000,MATCH(AD187&amp;"",'Chart of Accounts'!$A$5:$A$3000,0)),"")</f>
        <v/>
      </c>
      <c r="AH187" s="23">
        <f>IFERROR(INDEX('Chart of Accounts'!$C$5:$C$3000,MATCH(V187&amp;"",'Chart of Accounts'!$A$5:$A$3000,0))&amp;"|"&amp;INDEX('Chart of Accounts'!$D$5:$D$3000,MATCH(V187&amp;"",'Chart of Accounts'!$A$5:$A$3000,0)),"")</f>
        <v/>
      </c>
      <c r="AI187" s="23">
        <f>IFERROR(INDEX('Chart of Accounts'!$C$5:$C$3000,MATCH(AE187&amp;"",'Chart of Accounts'!$A$5:$A$3000,0))&amp;"|"&amp;INDEX('Chart of Accounts'!$D$5:$D$3000,MATCH(AE187&amp;"",'Chart of Accounts'!$A$5:$A$3000,0)),"")</f>
        <v/>
      </c>
      <c r="AJ187" s="23">
        <f>IFERROR(INDEX('Chart of Accounts'!$C$5:$C$3000,MATCH(X187&amp;"",'Chart of Accounts'!$A$5:$A$3000,0))&amp;"|"&amp;INDEX('Chart of Accounts'!$D$5:$D$3000,MATCH(X187&amp;"",'Chart of Accounts'!$A$5:$A$3000,0)),"")</f>
        <v/>
      </c>
      <c r="AK187" s="23">
        <f>IFERROR(INDEX('Chart of Accounts'!$C$5:$C$3000,MATCH(W187&amp;"",'Chart of Accounts'!$A$5:$A$3000,0))&amp;"|"&amp;INDEX('Chart of Accounts'!$D$5:$D$3000,MATCH(W187&amp;"",'Chart of Accounts'!$A$5:$A$3000,0)),"")</f>
        <v/>
      </c>
      <c r="AL187" s="23">
        <f>IF(LEFT(AG187,8)="Revenue|",-N(S187),0)+IF(LEFT(AH187,8)="Revenue|",-N(T187),0)+IF(LEFT(AI187,8)="Revenue|",N(AF187),0)+IF(LEFT(AJ187,8)="Revenue|",N(AC187),0)+IF(LEFT(AK187,8)="Revenue|",N(U187),0)</f>
        <v/>
      </c>
      <c r="AM187" s="23">
        <f>IF(LEFT(AG187,5)="COGS|",N(S187),0)+IF(LEFT(AH187,5)="COGS|",N(T187),0)+IF(LEFT(AI187,5)="COGS|",-N(AF187),0)+IF(LEFT(AJ187,5)="COGS|",-N(AC187),0)+IF(LEFT(AK187,5)="COGS|",-N(U187),0)</f>
        <v/>
      </c>
      <c r="AN187" s="23">
        <f>IF(LEFT(AG187,8)="Expense|",N(S187),0)+IF(LEFT(AH187,8)="Expense|",N(T187),0)+IF(LEFT(AI187,8)="Expense|",-N(AF187),0)+IF(LEFT(AJ187,8)="Expense|",-N(AC187),0)+IF(LEFT(AK187,8)="Expense|",-N(U187),0)</f>
        <v/>
      </c>
      <c r="AO187" s="23">
        <f>IF(ISNUMBER(MATCH(AG187,{"Expense|employee","Expense|general_admin","Expense|marketing","Expense|utilities","Expense|other_operating"},0)),N(S187),0)+IF(ISNUMBER(MATCH(AH187,{"Expense|employee","Expense|general_admin","Expense|marketing","Expense|utilities","Expense|other_operating"},0)),N(T187),0)+IF(ISNUMBER(MATCH(AI187,{"Expense|employee","Expense|general_admin","Expense|marketing","Expense|utilities","Expense|other_operating"},0)),-N(AF187),0)+IF(ISNUMBER(MATCH(AJ187,{"Expense|employee","Expense|general_admin","Expense|marketing","Expense|utilities","Expense|other_operating"},0)),-N(AC187),0)+IF(ISNUMBER(MATCH(AK187,{"Expense|employee","Expense|general_admin","Expense|marketing","Expense|utilities","Expense|other_operating"},0)),-N(U187),0)</f>
        <v/>
      </c>
      <c r="AP187" s="23">
        <f>IF(AG187="Liability|payable",-N(S187),0)+IF(AH187="Liability|payable",-N(T187),0)+IF(AI187="Liability|payable",N(AF187),0)+IF(AJ187="Liability|payable",N(AC187),0)+IF(AK187="Liability|payable",N(U187),0)</f>
        <v/>
      </c>
      <c r="AQ187" s="23">
        <f>IF(AG187="Liability|accrued",-N(S187),0)+IF(AH187="Liability|accrued",-N(T187),0)+IF(AI187="Liability|accrued",N(AF187),0)+IF(AJ187="Liability|accrued",N(AC187),0)+IF(AK187="Liability|accrued",N(U187),0)</f>
        <v/>
      </c>
      <c r="AR187" s="23">
        <f>IF(AND(N(S187)&lt;&gt;0,AG187=""),1,0)+IF(AND(N(T187)&lt;&gt;0,AH187=""),1,0)+IF(AND(N(AF187)&lt;&gt;0,AI187=""),1,0)+IF(AND(N(AC187)&lt;&gt;0,AJ187=""),1,0)+IF(AND(N(U187)&lt;&gt;0,AK187=""),1,0)</f>
        <v/>
      </c>
    </row>
    <row r="188">
      <c r="A188" s="19" t="n"/>
      <c r="B188" s="14" t="n"/>
      <c r="C188" s="14" t="n"/>
      <c r="D188" s="14" t="n"/>
      <c r="E188" s="14" t="n"/>
      <c r="F188" s="14" t="n"/>
      <c r="G188" s="14" t="n"/>
      <c r="H188" s="20" t="n"/>
      <c r="I188" s="14" t="n"/>
      <c r="J188" s="14" t="n"/>
      <c r="K188" s="20" t="n"/>
      <c r="L188" s="14" t="n"/>
      <c r="M188" s="14" t="n"/>
      <c r="N188" s="14" t="n"/>
      <c r="O188" s="14" t="n"/>
      <c r="P188" s="14" t="n"/>
      <c r="Q188" s="14" t="n"/>
      <c r="R188" s="14" t="n"/>
      <c r="S188" s="21">
        <f>ROUND(ABS(N(G188))*N(H188),2)</f>
        <v/>
      </c>
      <c r="T188" s="21">
        <f>IF(B188="Receipt",ROUND(S188*IFERROR(VLOOKUP(Q188,'Tax Codes'!$A$5:$E$300,5,FALSE),0),2),0)</f>
        <v/>
      </c>
      <c r="U188" s="21">
        <f>IF(B188="Receipt",ROUND(S188*IFERROR(VLOOKUP(R188,'Tax Codes'!$A$5:$E$300,5,FALSE),0),2),0)</f>
        <v/>
      </c>
      <c r="V188" s="16">
        <f>INDEX('Chart of Accounts'!$A$5:$A$3000,MATCH("vat_input",'Chart of Accounts'!$F$5:$F$3000,0))</f>
        <v/>
      </c>
      <c r="W188" s="16">
        <f>INDEX('Chart of Accounts'!$A$5:$A$3000,MATCH("wht_payable",'Chart of Accounts'!$F$5:$F$3000,0))</f>
        <v/>
      </c>
      <c r="X188" s="16">
        <f>IF(M188="",INDEX('Chart of Accounts'!$A$5:$A$3000,MATCH("bank",'Chart of Accounts'!$F$5:$F$3000,0)),M188&amp;"")</f>
        <v/>
      </c>
      <c r="Y188" s="16">
        <f>IF(N188="",INDEX('Chart of Accounts'!$A$5:$A$3000,MATCH("ap",'Chart of Accounts'!$F$5:$F$3000,0)),N188&amp;"")</f>
        <v/>
      </c>
      <c r="Z188" s="16">
        <f>IF(O188="",INDEX('Chart of Accounts'!$A$5:$A$3000,MATCH("materials",'Chart of Accounts'!$F$5:$F$3000,0)),O188&amp;"")</f>
        <v/>
      </c>
      <c r="AA188" s="16">
        <f>IF(IFERROR(INDEX(Warehouses!$C$5:$C$1000,MATCH(C188,Warehouses!$A$5:$A$1000,0))&amp;"","")="",INDEX('Chart of Accounts'!$A$5:$A$3000,MATCH("inventory",'Chart of Accounts'!$F$5:$F$3000,0)),IFERROR(INDEX(Warehouses!$C$5:$C$1000,MATCH(C188,Warehouses!$A$5:$A$1000,0))&amp;"",""))</f>
        <v/>
      </c>
      <c r="AB188" s="16">
        <f>IF(IFERROR(INDEX(Warehouses!$C$5:$C$1000,MATCH(D188,Warehouses!$A$5:$A$1000,0))&amp;"","")="",INDEX('Chart of Accounts'!$A$5:$A$3000,MATCH("inventory",'Chart of Accounts'!$F$5:$F$3000,0)),IFERROR(INDEX(Warehouses!$C$5:$C$1000,MATCH(D188,Warehouses!$A$5:$A$1000,0))&amp;"",""))</f>
        <v/>
      </c>
      <c r="AC188" s="21">
        <f>IF(B188="Receipt",N(K188),0)</f>
        <v/>
      </c>
      <c r="AD188" s="16">
        <f>IF(B188="Receipt",AA188,IF(B188="Issue",Z188,IF(B188="Transfer",AB188,IF(N(G188)&gt;=0,AA188,INDEX('Chart of Accounts'!$A$5:$A$3000,MATCH("stock_adjust",'Chart of Accounts'!$F$5:$F$3000,0))))))</f>
        <v/>
      </c>
      <c r="AE188" s="16">
        <f>IF(B188="Receipt",Y188,IF(B188="Adjustment",IF(N(G188)&gt;=0,INDEX('Chart of Accounts'!$A$5:$A$3000,MATCH("stock_adjust",'Chart of Accounts'!$F$5:$F$3000,0)),AA188),AA188))</f>
        <v/>
      </c>
      <c r="AF188" s="21">
        <f>S188+T188-U188-AC188</f>
        <v/>
      </c>
      <c r="AG188" s="23">
        <f>IFERROR(INDEX('Chart of Accounts'!$C$5:$C$3000,MATCH(AD188&amp;"",'Chart of Accounts'!$A$5:$A$3000,0))&amp;"|"&amp;INDEX('Chart of Accounts'!$D$5:$D$3000,MATCH(AD188&amp;"",'Chart of Accounts'!$A$5:$A$3000,0)),"")</f>
        <v/>
      </c>
      <c r="AH188" s="23">
        <f>IFERROR(INDEX('Chart of Accounts'!$C$5:$C$3000,MATCH(V188&amp;"",'Chart of Accounts'!$A$5:$A$3000,0))&amp;"|"&amp;INDEX('Chart of Accounts'!$D$5:$D$3000,MATCH(V188&amp;"",'Chart of Accounts'!$A$5:$A$3000,0)),"")</f>
        <v/>
      </c>
      <c r="AI188" s="23">
        <f>IFERROR(INDEX('Chart of Accounts'!$C$5:$C$3000,MATCH(AE188&amp;"",'Chart of Accounts'!$A$5:$A$3000,0))&amp;"|"&amp;INDEX('Chart of Accounts'!$D$5:$D$3000,MATCH(AE188&amp;"",'Chart of Accounts'!$A$5:$A$3000,0)),"")</f>
        <v/>
      </c>
      <c r="AJ188" s="23">
        <f>IFERROR(INDEX('Chart of Accounts'!$C$5:$C$3000,MATCH(X188&amp;"",'Chart of Accounts'!$A$5:$A$3000,0))&amp;"|"&amp;INDEX('Chart of Accounts'!$D$5:$D$3000,MATCH(X188&amp;"",'Chart of Accounts'!$A$5:$A$3000,0)),"")</f>
        <v/>
      </c>
      <c r="AK188" s="23">
        <f>IFERROR(INDEX('Chart of Accounts'!$C$5:$C$3000,MATCH(W188&amp;"",'Chart of Accounts'!$A$5:$A$3000,0))&amp;"|"&amp;INDEX('Chart of Accounts'!$D$5:$D$3000,MATCH(W188&amp;"",'Chart of Accounts'!$A$5:$A$3000,0)),"")</f>
        <v/>
      </c>
      <c r="AL188" s="23">
        <f>IF(LEFT(AG188,8)="Revenue|",-N(S188),0)+IF(LEFT(AH188,8)="Revenue|",-N(T188),0)+IF(LEFT(AI188,8)="Revenue|",N(AF188),0)+IF(LEFT(AJ188,8)="Revenue|",N(AC188),0)+IF(LEFT(AK188,8)="Revenue|",N(U188),0)</f>
        <v/>
      </c>
      <c r="AM188" s="23">
        <f>IF(LEFT(AG188,5)="COGS|",N(S188),0)+IF(LEFT(AH188,5)="COGS|",N(T188),0)+IF(LEFT(AI188,5)="COGS|",-N(AF188),0)+IF(LEFT(AJ188,5)="COGS|",-N(AC188),0)+IF(LEFT(AK188,5)="COGS|",-N(U188),0)</f>
        <v/>
      </c>
      <c r="AN188" s="23">
        <f>IF(LEFT(AG188,8)="Expense|",N(S188),0)+IF(LEFT(AH188,8)="Expense|",N(T188),0)+IF(LEFT(AI188,8)="Expense|",-N(AF188),0)+IF(LEFT(AJ188,8)="Expense|",-N(AC188),0)+IF(LEFT(AK188,8)="Expense|",-N(U188),0)</f>
        <v/>
      </c>
      <c r="AO188" s="23">
        <f>IF(ISNUMBER(MATCH(AG188,{"Expense|employee","Expense|general_admin","Expense|marketing","Expense|utilities","Expense|other_operating"},0)),N(S188),0)+IF(ISNUMBER(MATCH(AH188,{"Expense|employee","Expense|general_admin","Expense|marketing","Expense|utilities","Expense|other_operating"},0)),N(T188),0)+IF(ISNUMBER(MATCH(AI188,{"Expense|employee","Expense|general_admin","Expense|marketing","Expense|utilities","Expense|other_operating"},0)),-N(AF188),0)+IF(ISNUMBER(MATCH(AJ188,{"Expense|employee","Expense|general_admin","Expense|marketing","Expense|utilities","Expense|other_operating"},0)),-N(AC188),0)+IF(ISNUMBER(MATCH(AK188,{"Expense|employee","Expense|general_admin","Expense|marketing","Expense|utilities","Expense|other_operating"},0)),-N(U188),0)</f>
        <v/>
      </c>
      <c r="AP188" s="23">
        <f>IF(AG188="Liability|payable",-N(S188),0)+IF(AH188="Liability|payable",-N(T188),0)+IF(AI188="Liability|payable",N(AF188),0)+IF(AJ188="Liability|payable",N(AC188),0)+IF(AK188="Liability|payable",N(U188),0)</f>
        <v/>
      </c>
      <c r="AQ188" s="23">
        <f>IF(AG188="Liability|accrued",-N(S188),0)+IF(AH188="Liability|accrued",-N(T188),0)+IF(AI188="Liability|accrued",N(AF188),0)+IF(AJ188="Liability|accrued",N(AC188),0)+IF(AK188="Liability|accrued",N(U188),0)</f>
        <v/>
      </c>
      <c r="AR188" s="23">
        <f>IF(AND(N(S188)&lt;&gt;0,AG188=""),1,0)+IF(AND(N(T188)&lt;&gt;0,AH188=""),1,0)+IF(AND(N(AF188)&lt;&gt;0,AI188=""),1,0)+IF(AND(N(AC188)&lt;&gt;0,AJ188=""),1,0)+IF(AND(N(U188)&lt;&gt;0,AK188=""),1,0)</f>
        <v/>
      </c>
    </row>
    <row r="189">
      <c r="A189" s="19" t="n"/>
      <c r="B189" s="14" t="n"/>
      <c r="C189" s="14" t="n"/>
      <c r="D189" s="14" t="n"/>
      <c r="E189" s="14" t="n"/>
      <c r="F189" s="14" t="n"/>
      <c r="G189" s="14" t="n"/>
      <c r="H189" s="20" t="n"/>
      <c r="I189" s="14" t="n"/>
      <c r="J189" s="14" t="n"/>
      <c r="K189" s="20" t="n"/>
      <c r="L189" s="14" t="n"/>
      <c r="M189" s="14" t="n"/>
      <c r="N189" s="14" t="n"/>
      <c r="O189" s="14" t="n"/>
      <c r="P189" s="14" t="n"/>
      <c r="Q189" s="14" t="n"/>
      <c r="R189" s="14" t="n"/>
      <c r="S189" s="21">
        <f>ROUND(ABS(N(G189))*N(H189),2)</f>
        <v/>
      </c>
      <c r="T189" s="21">
        <f>IF(B189="Receipt",ROUND(S189*IFERROR(VLOOKUP(Q189,'Tax Codes'!$A$5:$E$300,5,FALSE),0),2),0)</f>
        <v/>
      </c>
      <c r="U189" s="21">
        <f>IF(B189="Receipt",ROUND(S189*IFERROR(VLOOKUP(R189,'Tax Codes'!$A$5:$E$300,5,FALSE),0),2),0)</f>
        <v/>
      </c>
      <c r="V189" s="16">
        <f>INDEX('Chart of Accounts'!$A$5:$A$3000,MATCH("vat_input",'Chart of Accounts'!$F$5:$F$3000,0))</f>
        <v/>
      </c>
      <c r="W189" s="16">
        <f>INDEX('Chart of Accounts'!$A$5:$A$3000,MATCH("wht_payable",'Chart of Accounts'!$F$5:$F$3000,0))</f>
        <v/>
      </c>
      <c r="X189" s="16">
        <f>IF(M189="",INDEX('Chart of Accounts'!$A$5:$A$3000,MATCH("bank",'Chart of Accounts'!$F$5:$F$3000,0)),M189&amp;"")</f>
        <v/>
      </c>
      <c r="Y189" s="16">
        <f>IF(N189="",INDEX('Chart of Accounts'!$A$5:$A$3000,MATCH("ap",'Chart of Accounts'!$F$5:$F$3000,0)),N189&amp;"")</f>
        <v/>
      </c>
      <c r="Z189" s="16">
        <f>IF(O189="",INDEX('Chart of Accounts'!$A$5:$A$3000,MATCH("materials",'Chart of Accounts'!$F$5:$F$3000,0)),O189&amp;"")</f>
        <v/>
      </c>
      <c r="AA189" s="16">
        <f>IF(IFERROR(INDEX(Warehouses!$C$5:$C$1000,MATCH(C189,Warehouses!$A$5:$A$1000,0))&amp;"","")="",INDEX('Chart of Accounts'!$A$5:$A$3000,MATCH("inventory",'Chart of Accounts'!$F$5:$F$3000,0)),IFERROR(INDEX(Warehouses!$C$5:$C$1000,MATCH(C189,Warehouses!$A$5:$A$1000,0))&amp;"",""))</f>
        <v/>
      </c>
      <c r="AB189" s="16">
        <f>IF(IFERROR(INDEX(Warehouses!$C$5:$C$1000,MATCH(D189,Warehouses!$A$5:$A$1000,0))&amp;"","")="",INDEX('Chart of Accounts'!$A$5:$A$3000,MATCH("inventory",'Chart of Accounts'!$F$5:$F$3000,0)),IFERROR(INDEX(Warehouses!$C$5:$C$1000,MATCH(D189,Warehouses!$A$5:$A$1000,0))&amp;"",""))</f>
        <v/>
      </c>
      <c r="AC189" s="21">
        <f>IF(B189="Receipt",N(K189),0)</f>
        <v/>
      </c>
      <c r="AD189" s="16">
        <f>IF(B189="Receipt",AA189,IF(B189="Issue",Z189,IF(B189="Transfer",AB189,IF(N(G189)&gt;=0,AA189,INDEX('Chart of Accounts'!$A$5:$A$3000,MATCH("stock_adjust",'Chart of Accounts'!$F$5:$F$3000,0))))))</f>
        <v/>
      </c>
      <c r="AE189" s="16">
        <f>IF(B189="Receipt",Y189,IF(B189="Adjustment",IF(N(G189)&gt;=0,INDEX('Chart of Accounts'!$A$5:$A$3000,MATCH("stock_adjust",'Chart of Accounts'!$F$5:$F$3000,0)),AA189),AA189))</f>
        <v/>
      </c>
      <c r="AF189" s="21">
        <f>S189+T189-U189-AC189</f>
        <v/>
      </c>
      <c r="AG189" s="23">
        <f>IFERROR(INDEX('Chart of Accounts'!$C$5:$C$3000,MATCH(AD189&amp;"",'Chart of Accounts'!$A$5:$A$3000,0))&amp;"|"&amp;INDEX('Chart of Accounts'!$D$5:$D$3000,MATCH(AD189&amp;"",'Chart of Accounts'!$A$5:$A$3000,0)),"")</f>
        <v/>
      </c>
      <c r="AH189" s="23">
        <f>IFERROR(INDEX('Chart of Accounts'!$C$5:$C$3000,MATCH(V189&amp;"",'Chart of Accounts'!$A$5:$A$3000,0))&amp;"|"&amp;INDEX('Chart of Accounts'!$D$5:$D$3000,MATCH(V189&amp;"",'Chart of Accounts'!$A$5:$A$3000,0)),"")</f>
        <v/>
      </c>
      <c r="AI189" s="23">
        <f>IFERROR(INDEX('Chart of Accounts'!$C$5:$C$3000,MATCH(AE189&amp;"",'Chart of Accounts'!$A$5:$A$3000,0))&amp;"|"&amp;INDEX('Chart of Accounts'!$D$5:$D$3000,MATCH(AE189&amp;"",'Chart of Accounts'!$A$5:$A$3000,0)),"")</f>
        <v/>
      </c>
      <c r="AJ189" s="23">
        <f>IFERROR(INDEX('Chart of Accounts'!$C$5:$C$3000,MATCH(X189&amp;"",'Chart of Accounts'!$A$5:$A$3000,0))&amp;"|"&amp;INDEX('Chart of Accounts'!$D$5:$D$3000,MATCH(X189&amp;"",'Chart of Accounts'!$A$5:$A$3000,0)),"")</f>
        <v/>
      </c>
      <c r="AK189" s="23">
        <f>IFERROR(INDEX('Chart of Accounts'!$C$5:$C$3000,MATCH(W189&amp;"",'Chart of Accounts'!$A$5:$A$3000,0))&amp;"|"&amp;INDEX('Chart of Accounts'!$D$5:$D$3000,MATCH(W189&amp;"",'Chart of Accounts'!$A$5:$A$3000,0)),"")</f>
        <v/>
      </c>
      <c r="AL189" s="23">
        <f>IF(LEFT(AG189,8)="Revenue|",-N(S189),0)+IF(LEFT(AH189,8)="Revenue|",-N(T189),0)+IF(LEFT(AI189,8)="Revenue|",N(AF189),0)+IF(LEFT(AJ189,8)="Revenue|",N(AC189),0)+IF(LEFT(AK189,8)="Revenue|",N(U189),0)</f>
        <v/>
      </c>
      <c r="AM189" s="23">
        <f>IF(LEFT(AG189,5)="COGS|",N(S189),0)+IF(LEFT(AH189,5)="COGS|",N(T189),0)+IF(LEFT(AI189,5)="COGS|",-N(AF189),0)+IF(LEFT(AJ189,5)="COGS|",-N(AC189),0)+IF(LEFT(AK189,5)="COGS|",-N(U189),0)</f>
        <v/>
      </c>
      <c r="AN189" s="23">
        <f>IF(LEFT(AG189,8)="Expense|",N(S189),0)+IF(LEFT(AH189,8)="Expense|",N(T189),0)+IF(LEFT(AI189,8)="Expense|",-N(AF189),0)+IF(LEFT(AJ189,8)="Expense|",-N(AC189),0)+IF(LEFT(AK189,8)="Expense|",-N(U189),0)</f>
        <v/>
      </c>
      <c r="AO189" s="23">
        <f>IF(ISNUMBER(MATCH(AG189,{"Expense|employee","Expense|general_admin","Expense|marketing","Expense|utilities","Expense|other_operating"},0)),N(S189),0)+IF(ISNUMBER(MATCH(AH189,{"Expense|employee","Expense|general_admin","Expense|marketing","Expense|utilities","Expense|other_operating"},0)),N(T189),0)+IF(ISNUMBER(MATCH(AI189,{"Expense|employee","Expense|general_admin","Expense|marketing","Expense|utilities","Expense|other_operating"},0)),-N(AF189),0)+IF(ISNUMBER(MATCH(AJ189,{"Expense|employee","Expense|general_admin","Expense|marketing","Expense|utilities","Expense|other_operating"},0)),-N(AC189),0)+IF(ISNUMBER(MATCH(AK189,{"Expense|employee","Expense|general_admin","Expense|marketing","Expense|utilities","Expense|other_operating"},0)),-N(U189),0)</f>
        <v/>
      </c>
      <c r="AP189" s="23">
        <f>IF(AG189="Liability|payable",-N(S189),0)+IF(AH189="Liability|payable",-N(T189),0)+IF(AI189="Liability|payable",N(AF189),0)+IF(AJ189="Liability|payable",N(AC189),0)+IF(AK189="Liability|payable",N(U189),0)</f>
        <v/>
      </c>
      <c r="AQ189" s="23">
        <f>IF(AG189="Liability|accrued",-N(S189),0)+IF(AH189="Liability|accrued",-N(T189),0)+IF(AI189="Liability|accrued",N(AF189),0)+IF(AJ189="Liability|accrued",N(AC189),0)+IF(AK189="Liability|accrued",N(U189),0)</f>
        <v/>
      </c>
      <c r="AR189" s="23">
        <f>IF(AND(N(S189)&lt;&gt;0,AG189=""),1,0)+IF(AND(N(T189)&lt;&gt;0,AH189=""),1,0)+IF(AND(N(AF189)&lt;&gt;0,AI189=""),1,0)+IF(AND(N(AC189)&lt;&gt;0,AJ189=""),1,0)+IF(AND(N(U189)&lt;&gt;0,AK189=""),1,0)</f>
        <v/>
      </c>
    </row>
    <row r="190">
      <c r="A190" s="19" t="n"/>
      <c r="B190" s="14" t="n"/>
      <c r="C190" s="14" t="n"/>
      <c r="D190" s="14" t="n"/>
      <c r="E190" s="14" t="n"/>
      <c r="F190" s="14" t="n"/>
      <c r="G190" s="14" t="n"/>
      <c r="H190" s="20" t="n"/>
      <c r="I190" s="14" t="n"/>
      <c r="J190" s="14" t="n"/>
      <c r="K190" s="20" t="n"/>
      <c r="L190" s="14" t="n"/>
      <c r="M190" s="14" t="n"/>
      <c r="N190" s="14" t="n"/>
      <c r="O190" s="14" t="n"/>
      <c r="P190" s="14" t="n"/>
      <c r="Q190" s="14" t="n"/>
      <c r="R190" s="14" t="n"/>
      <c r="S190" s="21">
        <f>ROUND(ABS(N(G190))*N(H190),2)</f>
        <v/>
      </c>
      <c r="T190" s="21">
        <f>IF(B190="Receipt",ROUND(S190*IFERROR(VLOOKUP(Q190,'Tax Codes'!$A$5:$E$300,5,FALSE),0),2),0)</f>
        <v/>
      </c>
      <c r="U190" s="21">
        <f>IF(B190="Receipt",ROUND(S190*IFERROR(VLOOKUP(R190,'Tax Codes'!$A$5:$E$300,5,FALSE),0),2),0)</f>
        <v/>
      </c>
      <c r="V190" s="16">
        <f>INDEX('Chart of Accounts'!$A$5:$A$3000,MATCH("vat_input",'Chart of Accounts'!$F$5:$F$3000,0))</f>
        <v/>
      </c>
      <c r="W190" s="16">
        <f>INDEX('Chart of Accounts'!$A$5:$A$3000,MATCH("wht_payable",'Chart of Accounts'!$F$5:$F$3000,0))</f>
        <v/>
      </c>
      <c r="X190" s="16">
        <f>IF(M190="",INDEX('Chart of Accounts'!$A$5:$A$3000,MATCH("bank",'Chart of Accounts'!$F$5:$F$3000,0)),M190&amp;"")</f>
        <v/>
      </c>
      <c r="Y190" s="16">
        <f>IF(N190="",INDEX('Chart of Accounts'!$A$5:$A$3000,MATCH("ap",'Chart of Accounts'!$F$5:$F$3000,0)),N190&amp;"")</f>
        <v/>
      </c>
      <c r="Z190" s="16">
        <f>IF(O190="",INDEX('Chart of Accounts'!$A$5:$A$3000,MATCH("materials",'Chart of Accounts'!$F$5:$F$3000,0)),O190&amp;"")</f>
        <v/>
      </c>
      <c r="AA190" s="16">
        <f>IF(IFERROR(INDEX(Warehouses!$C$5:$C$1000,MATCH(C190,Warehouses!$A$5:$A$1000,0))&amp;"","")="",INDEX('Chart of Accounts'!$A$5:$A$3000,MATCH("inventory",'Chart of Accounts'!$F$5:$F$3000,0)),IFERROR(INDEX(Warehouses!$C$5:$C$1000,MATCH(C190,Warehouses!$A$5:$A$1000,0))&amp;"",""))</f>
        <v/>
      </c>
      <c r="AB190" s="16">
        <f>IF(IFERROR(INDEX(Warehouses!$C$5:$C$1000,MATCH(D190,Warehouses!$A$5:$A$1000,0))&amp;"","")="",INDEX('Chart of Accounts'!$A$5:$A$3000,MATCH("inventory",'Chart of Accounts'!$F$5:$F$3000,0)),IFERROR(INDEX(Warehouses!$C$5:$C$1000,MATCH(D190,Warehouses!$A$5:$A$1000,0))&amp;"",""))</f>
        <v/>
      </c>
      <c r="AC190" s="21">
        <f>IF(B190="Receipt",N(K190),0)</f>
        <v/>
      </c>
      <c r="AD190" s="16">
        <f>IF(B190="Receipt",AA190,IF(B190="Issue",Z190,IF(B190="Transfer",AB190,IF(N(G190)&gt;=0,AA190,INDEX('Chart of Accounts'!$A$5:$A$3000,MATCH("stock_adjust",'Chart of Accounts'!$F$5:$F$3000,0))))))</f>
        <v/>
      </c>
      <c r="AE190" s="16">
        <f>IF(B190="Receipt",Y190,IF(B190="Adjustment",IF(N(G190)&gt;=0,INDEX('Chart of Accounts'!$A$5:$A$3000,MATCH("stock_adjust",'Chart of Accounts'!$F$5:$F$3000,0)),AA190),AA190))</f>
        <v/>
      </c>
      <c r="AF190" s="21">
        <f>S190+T190-U190-AC190</f>
        <v/>
      </c>
      <c r="AG190" s="23">
        <f>IFERROR(INDEX('Chart of Accounts'!$C$5:$C$3000,MATCH(AD190&amp;"",'Chart of Accounts'!$A$5:$A$3000,0))&amp;"|"&amp;INDEX('Chart of Accounts'!$D$5:$D$3000,MATCH(AD190&amp;"",'Chart of Accounts'!$A$5:$A$3000,0)),"")</f>
        <v/>
      </c>
      <c r="AH190" s="23">
        <f>IFERROR(INDEX('Chart of Accounts'!$C$5:$C$3000,MATCH(V190&amp;"",'Chart of Accounts'!$A$5:$A$3000,0))&amp;"|"&amp;INDEX('Chart of Accounts'!$D$5:$D$3000,MATCH(V190&amp;"",'Chart of Accounts'!$A$5:$A$3000,0)),"")</f>
        <v/>
      </c>
      <c r="AI190" s="23">
        <f>IFERROR(INDEX('Chart of Accounts'!$C$5:$C$3000,MATCH(AE190&amp;"",'Chart of Accounts'!$A$5:$A$3000,0))&amp;"|"&amp;INDEX('Chart of Accounts'!$D$5:$D$3000,MATCH(AE190&amp;"",'Chart of Accounts'!$A$5:$A$3000,0)),"")</f>
        <v/>
      </c>
      <c r="AJ190" s="23">
        <f>IFERROR(INDEX('Chart of Accounts'!$C$5:$C$3000,MATCH(X190&amp;"",'Chart of Accounts'!$A$5:$A$3000,0))&amp;"|"&amp;INDEX('Chart of Accounts'!$D$5:$D$3000,MATCH(X190&amp;"",'Chart of Accounts'!$A$5:$A$3000,0)),"")</f>
        <v/>
      </c>
      <c r="AK190" s="23">
        <f>IFERROR(INDEX('Chart of Accounts'!$C$5:$C$3000,MATCH(W190&amp;"",'Chart of Accounts'!$A$5:$A$3000,0))&amp;"|"&amp;INDEX('Chart of Accounts'!$D$5:$D$3000,MATCH(W190&amp;"",'Chart of Accounts'!$A$5:$A$3000,0)),"")</f>
        <v/>
      </c>
      <c r="AL190" s="23">
        <f>IF(LEFT(AG190,8)="Revenue|",-N(S190),0)+IF(LEFT(AH190,8)="Revenue|",-N(T190),0)+IF(LEFT(AI190,8)="Revenue|",N(AF190),0)+IF(LEFT(AJ190,8)="Revenue|",N(AC190),0)+IF(LEFT(AK190,8)="Revenue|",N(U190),0)</f>
        <v/>
      </c>
      <c r="AM190" s="23">
        <f>IF(LEFT(AG190,5)="COGS|",N(S190),0)+IF(LEFT(AH190,5)="COGS|",N(T190),0)+IF(LEFT(AI190,5)="COGS|",-N(AF190),0)+IF(LEFT(AJ190,5)="COGS|",-N(AC190),0)+IF(LEFT(AK190,5)="COGS|",-N(U190),0)</f>
        <v/>
      </c>
      <c r="AN190" s="23">
        <f>IF(LEFT(AG190,8)="Expense|",N(S190),0)+IF(LEFT(AH190,8)="Expense|",N(T190),0)+IF(LEFT(AI190,8)="Expense|",-N(AF190),0)+IF(LEFT(AJ190,8)="Expense|",-N(AC190),0)+IF(LEFT(AK190,8)="Expense|",-N(U190),0)</f>
        <v/>
      </c>
      <c r="AO190" s="23">
        <f>IF(ISNUMBER(MATCH(AG190,{"Expense|employee","Expense|general_admin","Expense|marketing","Expense|utilities","Expense|other_operating"},0)),N(S190),0)+IF(ISNUMBER(MATCH(AH190,{"Expense|employee","Expense|general_admin","Expense|marketing","Expense|utilities","Expense|other_operating"},0)),N(T190),0)+IF(ISNUMBER(MATCH(AI190,{"Expense|employee","Expense|general_admin","Expense|marketing","Expense|utilities","Expense|other_operating"},0)),-N(AF190),0)+IF(ISNUMBER(MATCH(AJ190,{"Expense|employee","Expense|general_admin","Expense|marketing","Expense|utilities","Expense|other_operating"},0)),-N(AC190),0)+IF(ISNUMBER(MATCH(AK190,{"Expense|employee","Expense|general_admin","Expense|marketing","Expense|utilities","Expense|other_operating"},0)),-N(U190),0)</f>
        <v/>
      </c>
      <c r="AP190" s="23">
        <f>IF(AG190="Liability|payable",-N(S190),0)+IF(AH190="Liability|payable",-N(T190),0)+IF(AI190="Liability|payable",N(AF190),0)+IF(AJ190="Liability|payable",N(AC190),0)+IF(AK190="Liability|payable",N(U190),0)</f>
        <v/>
      </c>
      <c r="AQ190" s="23">
        <f>IF(AG190="Liability|accrued",-N(S190),0)+IF(AH190="Liability|accrued",-N(T190),0)+IF(AI190="Liability|accrued",N(AF190),0)+IF(AJ190="Liability|accrued",N(AC190),0)+IF(AK190="Liability|accrued",N(U190),0)</f>
        <v/>
      </c>
      <c r="AR190" s="23">
        <f>IF(AND(N(S190)&lt;&gt;0,AG190=""),1,0)+IF(AND(N(T190)&lt;&gt;0,AH190=""),1,0)+IF(AND(N(AF190)&lt;&gt;0,AI190=""),1,0)+IF(AND(N(AC190)&lt;&gt;0,AJ190=""),1,0)+IF(AND(N(U190)&lt;&gt;0,AK190=""),1,0)</f>
        <v/>
      </c>
    </row>
    <row r="191">
      <c r="A191" s="19" t="n"/>
      <c r="B191" s="14" t="n"/>
      <c r="C191" s="14" t="n"/>
      <c r="D191" s="14" t="n"/>
      <c r="E191" s="14" t="n"/>
      <c r="F191" s="14" t="n"/>
      <c r="G191" s="14" t="n"/>
      <c r="H191" s="20" t="n"/>
      <c r="I191" s="14" t="n"/>
      <c r="J191" s="14" t="n"/>
      <c r="K191" s="20" t="n"/>
      <c r="L191" s="14" t="n"/>
      <c r="M191" s="14" t="n"/>
      <c r="N191" s="14" t="n"/>
      <c r="O191" s="14" t="n"/>
      <c r="P191" s="14" t="n"/>
      <c r="Q191" s="14" t="n"/>
      <c r="R191" s="14" t="n"/>
      <c r="S191" s="21">
        <f>ROUND(ABS(N(G191))*N(H191),2)</f>
        <v/>
      </c>
      <c r="T191" s="21">
        <f>IF(B191="Receipt",ROUND(S191*IFERROR(VLOOKUP(Q191,'Tax Codes'!$A$5:$E$300,5,FALSE),0),2),0)</f>
        <v/>
      </c>
      <c r="U191" s="21">
        <f>IF(B191="Receipt",ROUND(S191*IFERROR(VLOOKUP(R191,'Tax Codes'!$A$5:$E$300,5,FALSE),0),2),0)</f>
        <v/>
      </c>
      <c r="V191" s="16">
        <f>INDEX('Chart of Accounts'!$A$5:$A$3000,MATCH("vat_input",'Chart of Accounts'!$F$5:$F$3000,0))</f>
        <v/>
      </c>
      <c r="W191" s="16">
        <f>INDEX('Chart of Accounts'!$A$5:$A$3000,MATCH("wht_payable",'Chart of Accounts'!$F$5:$F$3000,0))</f>
        <v/>
      </c>
      <c r="X191" s="16">
        <f>IF(M191="",INDEX('Chart of Accounts'!$A$5:$A$3000,MATCH("bank",'Chart of Accounts'!$F$5:$F$3000,0)),M191&amp;"")</f>
        <v/>
      </c>
      <c r="Y191" s="16">
        <f>IF(N191="",INDEX('Chart of Accounts'!$A$5:$A$3000,MATCH("ap",'Chart of Accounts'!$F$5:$F$3000,0)),N191&amp;"")</f>
        <v/>
      </c>
      <c r="Z191" s="16">
        <f>IF(O191="",INDEX('Chart of Accounts'!$A$5:$A$3000,MATCH("materials",'Chart of Accounts'!$F$5:$F$3000,0)),O191&amp;"")</f>
        <v/>
      </c>
      <c r="AA191" s="16">
        <f>IF(IFERROR(INDEX(Warehouses!$C$5:$C$1000,MATCH(C191,Warehouses!$A$5:$A$1000,0))&amp;"","")="",INDEX('Chart of Accounts'!$A$5:$A$3000,MATCH("inventory",'Chart of Accounts'!$F$5:$F$3000,0)),IFERROR(INDEX(Warehouses!$C$5:$C$1000,MATCH(C191,Warehouses!$A$5:$A$1000,0))&amp;"",""))</f>
        <v/>
      </c>
      <c r="AB191" s="16">
        <f>IF(IFERROR(INDEX(Warehouses!$C$5:$C$1000,MATCH(D191,Warehouses!$A$5:$A$1000,0))&amp;"","")="",INDEX('Chart of Accounts'!$A$5:$A$3000,MATCH("inventory",'Chart of Accounts'!$F$5:$F$3000,0)),IFERROR(INDEX(Warehouses!$C$5:$C$1000,MATCH(D191,Warehouses!$A$5:$A$1000,0))&amp;"",""))</f>
        <v/>
      </c>
      <c r="AC191" s="21">
        <f>IF(B191="Receipt",N(K191),0)</f>
        <v/>
      </c>
      <c r="AD191" s="16">
        <f>IF(B191="Receipt",AA191,IF(B191="Issue",Z191,IF(B191="Transfer",AB191,IF(N(G191)&gt;=0,AA191,INDEX('Chart of Accounts'!$A$5:$A$3000,MATCH("stock_adjust",'Chart of Accounts'!$F$5:$F$3000,0))))))</f>
        <v/>
      </c>
      <c r="AE191" s="16">
        <f>IF(B191="Receipt",Y191,IF(B191="Adjustment",IF(N(G191)&gt;=0,INDEX('Chart of Accounts'!$A$5:$A$3000,MATCH("stock_adjust",'Chart of Accounts'!$F$5:$F$3000,0)),AA191),AA191))</f>
        <v/>
      </c>
      <c r="AF191" s="21">
        <f>S191+T191-U191-AC191</f>
        <v/>
      </c>
      <c r="AG191" s="23">
        <f>IFERROR(INDEX('Chart of Accounts'!$C$5:$C$3000,MATCH(AD191&amp;"",'Chart of Accounts'!$A$5:$A$3000,0))&amp;"|"&amp;INDEX('Chart of Accounts'!$D$5:$D$3000,MATCH(AD191&amp;"",'Chart of Accounts'!$A$5:$A$3000,0)),"")</f>
        <v/>
      </c>
      <c r="AH191" s="23">
        <f>IFERROR(INDEX('Chart of Accounts'!$C$5:$C$3000,MATCH(V191&amp;"",'Chart of Accounts'!$A$5:$A$3000,0))&amp;"|"&amp;INDEX('Chart of Accounts'!$D$5:$D$3000,MATCH(V191&amp;"",'Chart of Accounts'!$A$5:$A$3000,0)),"")</f>
        <v/>
      </c>
      <c r="AI191" s="23">
        <f>IFERROR(INDEX('Chart of Accounts'!$C$5:$C$3000,MATCH(AE191&amp;"",'Chart of Accounts'!$A$5:$A$3000,0))&amp;"|"&amp;INDEX('Chart of Accounts'!$D$5:$D$3000,MATCH(AE191&amp;"",'Chart of Accounts'!$A$5:$A$3000,0)),"")</f>
        <v/>
      </c>
      <c r="AJ191" s="23">
        <f>IFERROR(INDEX('Chart of Accounts'!$C$5:$C$3000,MATCH(X191&amp;"",'Chart of Accounts'!$A$5:$A$3000,0))&amp;"|"&amp;INDEX('Chart of Accounts'!$D$5:$D$3000,MATCH(X191&amp;"",'Chart of Accounts'!$A$5:$A$3000,0)),"")</f>
        <v/>
      </c>
      <c r="AK191" s="23">
        <f>IFERROR(INDEX('Chart of Accounts'!$C$5:$C$3000,MATCH(W191&amp;"",'Chart of Accounts'!$A$5:$A$3000,0))&amp;"|"&amp;INDEX('Chart of Accounts'!$D$5:$D$3000,MATCH(W191&amp;"",'Chart of Accounts'!$A$5:$A$3000,0)),"")</f>
        <v/>
      </c>
      <c r="AL191" s="23">
        <f>IF(LEFT(AG191,8)="Revenue|",-N(S191),0)+IF(LEFT(AH191,8)="Revenue|",-N(T191),0)+IF(LEFT(AI191,8)="Revenue|",N(AF191),0)+IF(LEFT(AJ191,8)="Revenue|",N(AC191),0)+IF(LEFT(AK191,8)="Revenue|",N(U191),0)</f>
        <v/>
      </c>
      <c r="AM191" s="23">
        <f>IF(LEFT(AG191,5)="COGS|",N(S191),0)+IF(LEFT(AH191,5)="COGS|",N(T191),0)+IF(LEFT(AI191,5)="COGS|",-N(AF191),0)+IF(LEFT(AJ191,5)="COGS|",-N(AC191),0)+IF(LEFT(AK191,5)="COGS|",-N(U191),0)</f>
        <v/>
      </c>
      <c r="AN191" s="23">
        <f>IF(LEFT(AG191,8)="Expense|",N(S191),0)+IF(LEFT(AH191,8)="Expense|",N(T191),0)+IF(LEFT(AI191,8)="Expense|",-N(AF191),0)+IF(LEFT(AJ191,8)="Expense|",-N(AC191),0)+IF(LEFT(AK191,8)="Expense|",-N(U191),0)</f>
        <v/>
      </c>
      <c r="AO191" s="23">
        <f>IF(ISNUMBER(MATCH(AG191,{"Expense|employee","Expense|general_admin","Expense|marketing","Expense|utilities","Expense|other_operating"},0)),N(S191),0)+IF(ISNUMBER(MATCH(AH191,{"Expense|employee","Expense|general_admin","Expense|marketing","Expense|utilities","Expense|other_operating"},0)),N(T191),0)+IF(ISNUMBER(MATCH(AI191,{"Expense|employee","Expense|general_admin","Expense|marketing","Expense|utilities","Expense|other_operating"},0)),-N(AF191),0)+IF(ISNUMBER(MATCH(AJ191,{"Expense|employee","Expense|general_admin","Expense|marketing","Expense|utilities","Expense|other_operating"},0)),-N(AC191),0)+IF(ISNUMBER(MATCH(AK191,{"Expense|employee","Expense|general_admin","Expense|marketing","Expense|utilities","Expense|other_operating"},0)),-N(U191),0)</f>
        <v/>
      </c>
      <c r="AP191" s="23">
        <f>IF(AG191="Liability|payable",-N(S191),0)+IF(AH191="Liability|payable",-N(T191),0)+IF(AI191="Liability|payable",N(AF191),0)+IF(AJ191="Liability|payable",N(AC191),0)+IF(AK191="Liability|payable",N(U191),0)</f>
        <v/>
      </c>
      <c r="AQ191" s="23">
        <f>IF(AG191="Liability|accrued",-N(S191),0)+IF(AH191="Liability|accrued",-N(T191),0)+IF(AI191="Liability|accrued",N(AF191),0)+IF(AJ191="Liability|accrued",N(AC191),0)+IF(AK191="Liability|accrued",N(U191),0)</f>
        <v/>
      </c>
      <c r="AR191" s="23">
        <f>IF(AND(N(S191)&lt;&gt;0,AG191=""),1,0)+IF(AND(N(T191)&lt;&gt;0,AH191=""),1,0)+IF(AND(N(AF191)&lt;&gt;0,AI191=""),1,0)+IF(AND(N(AC191)&lt;&gt;0,AJ191=""),1,0)+IF(AND(N(U191)&lt;&gt;0,AK191=""),1,0)</f>
        <v/>
      </c>
    </row>
    <row r="192">
      <c r="A192" s="19" t="n"/>
      <c r="B192" s="14" t="n"/>
      <c r="C192" s="14" t="n"/>
      <c r="D192" s="14" t="n"/>
      <c r="E192" s="14" t="n"/>
      <c r="F192" s="14" t="n"/>
      <c r="G192" s="14" t="n"/>
      <c r="H192" s="20" t="n"/>
      <c r="I192" s="14" t="n"/>
      <c r="J192" s="14" t="n"/>
      <c r="K192" s="20" t="n"/>
      <c r="L192" s="14" t="n"/>
      <c r="M192" s="14" t="n"/>
      <c r="N192" s="14" t="n"/>
      <c r="O192" s="14" t="n"/>
      <c r="P192" s="14" t="n"/>
      <c r="Q192" s="14" t="n"/>
      <c r="R192" s="14" t="n"/>
      <c r="S192" s="21">
        <f>ROUND(ABS(N(G192))*N(H192),2)</f>
        <v/>
      </c>
      <c r="T192" s="21">
        <f>IF(B192="Receipt",ROUND(S192*IFERROR(VLOOKUP(Q192,'Tax Codes'!$A$5:$E$300,5,FALSE),0),2),0)</f>
        <v/>
      </c>
      <c r="U192" s="21">
        <f>IF(B192="Receipt",ROUND(S192*IFERROR(VLOOKUP(R192,'Tax Codes'!$A$5:$E$300,5,FALSE),0),2),0)</f>
        <v/>
      </c>
      <c r="V192" s="16">
        <f>INDEX('Chart of Accounts'!$A$5:$A$3000,MATCH("vat_input",'Chart of Accounts'!$F$5:$F$3000,0))</f>
        <v/>
      </c>
      <c r="W192" s="16">
        <f>INDEX('Chart of Accounts'!$A$5:$A$3000,MATCH("wht_payable",'Chart of Accounts'!$F$5:$F$3000,0))</f>
        <v/>
      </c>
      <c r="X192" s="16">
        <f>IF(M192="",INDEX('Chart of Accounts'!$A$5:$A$3000,MATCH("bank",'Chart of Accounts'!$F$5:$F$3000,0)),M192&amp;"")</f>
        <v/>
      </c>
      <c r="Y192" s="16">
        <f>IF(N192="",INDEX('Chart of Accounts'!$A$5:$A$3000,MATCH("ap",'Chart of Accounts'!$F$5:$F$3000,0)),N192&amp;"")</f>
        <v/>
      </c>
      <c r="Z192" s="16">
        <f>IF(O192="",INDEX('Chart of Accounts'!$A$5:$A$3000,MATCH("materials",'Chart of Accounts'!$F$5:$F$3000,0)),O192&amp;"")</f>
        <v/>
      </c>
      <c r="AA192" s="16">
        <f>IF(IFERROR(INDEX(Warehouses!$C$5:$C$1000,MATCH(C192,Warehouses!$A$5:$A$1000,0))&amp;"","")="",INDEX('Chart of Accounts'!$A$5:$A$3000,MATCH("inventory",'Chart of Accounts'!$F$5:$F$3000,0)),IFERROR(INDEX(Warehouses!$C$5:$C$1000,MATCH(C192,Warehouses!$A$5:$A$1000,0))&amp;"",""))</f>
        <v/>
      </c>
      <c r="AB192" s="16">
        <f>IF(IFERROR(INDEX(Warehouses!$C$5:$C$1000,MATCH(D192,Warehouses!$A$5:$A$1000,0))&amp;"","")="",INDEX('Chart of Accounts'!$A$5:$A$3000,MATCH("inventory",'Chart of Accounts'!$F$5:$F$3000,0)),IFERROR(INDEX(Warehouses!$C$5:$C$1000,MATCH(D192,Warehouses!$A$5:$A$1000,0))&amp;"",""))</f>
        <v/>
      </c>
      <c r="AC192" s="21">
        <f>IF(B192="Receipt",N(K192),0)</f>
        <v/>
      </c>
      <c r="AD192" s="16">
        <f>IF(B192="Receipt",AA192,IF(B192="Issue",Z192,IF(B192="Transfer",AB192,IF(N(G192)&gt;=0,AA192,INDEX('Chart of Accounts'!$A$5:$A$3000,MATCH("stock_adjust",'Chart of Accounts'!$F$5:$F$3000,0))))))</f>
        <v/>
      </c>
      <c r="AE192" s="16">
        <f>IF(B192="Receipt",Y192,IF(B192="Adjustment",IF(N(G192)&gt;=0,INDEX('Chart of Accounts'!$A$5:$A$3000,MATCH("stock_adjust",'Chart of Accounts'!$F$5:$F$3000,0)),AA192),AA192))</f>
        <v/>
      </c>
      <c r="AF192" s="21">
        <f>S192+T192-U192-AC192</f>
        <v/>
      </c>
      <c r="AG192" s="23">
        <f>IFERROR(INDEX('Chart of Accounts'!$C$5:$C$3000,MATCH(AD192&amp;"",'Chart of Accounts'!$A$5:$A$3000,0))&amp;"|"&amp;INDEX('Chart of Accounts'!$D$5:$D$3000,MATCH(AD192&amp;"",'Chart of Accounts'!$A$5:$A$3000,0)),"")</f>
        <v/>
      </c>
      <c r="AH192" s="23">
        <f>IFERROR(INDEX('Chart of Accounts'!$C$5:$C$3000,MATCH(V192&amp;"",'Chart of Accounts'!$A$5:$A$3000,0))&amp;"|"&amp;INDEX('Chart of Accounts'!$D$5:$D$3000,MATCH(V192&amp;"",'Chart of Accounts'!$A$5:$A$3000,0)),"")</f>
        <v/>
      </c>
      <c r="AI192" s="23">
        <f>IFERROR(INDEX('Chart of Accounts'!$C$5:$C$3000,MATCH(AE192&amp;"",'Chart of Accounts'!$A$5:$A$3000,0))&amp;"|"&amp;INDEX('Chart of Accounts'!$D$5:$D$3000,MATCH(AE192&amp;"",'Chart of Accounts'!$A$5:$A$3000,0)),"")</f>
        <v/>
      </c>
      <c r="AJ192" s="23">
        <f>IFERROR(INDEX('Chart of Accounts'!$C$5:$C$3000,MATCH(X192&amp;"",'Chart of Accounts'!$A$5:$A$3000,0))&amp;"|"&amp;INDEX('Chart of Accounts'!$D$5:$D$3000,MATCH(X192&amp;"",'Chart of Accounts'!$A$5:$A$3000,0)),"")</f>
        <v/>
      </c>
      <c r="AK192" s="23">
        <f>IFERROR(INDEX('Chart of Accounts'!$C$5:$C$3000,MATCH(W192&amp;"",'Chart of Accounts'!$A$5:$A$3000,0))&amp;"|"&amp;INDEX('Chart of Accounts'!$D$5:$D$3000,MATCH(W192&amp;"",'Chart of Accounts'!$A$5:$A$3000,0)),"")</f>
        <v/>
      </c>
      <c r="AL192" s="23">
        <f>IF(LEFT(AG192,8)="Revenue|",-N(S192),0)+IF(LEFT(AH192,8)="Revenue|",-N(T192),0)+IF(LEFT(AI192,8)="Revenue|",N(AF192),0)+IF(LEFT(AJ192,8)="Revenue|",N(AC192),0)+IF(LEFT(AK192,8)="Revenue|",N(U192),0)</f>
        <v/>
      </c>
      <c r="AM192" s="23">
        <f>IF(LEFT(AG192,5)="COGS|",N(S192),0)+IF(LEFT(AH192,5)="COGS|",N(T192),0)+IF(LEFT(AI192,5)="COGS|",-N(AF192),0)+IF(LEFT(AJ192,5)="COGS|",-N(AC192),0)+IF(LEFT(AK192,5)="COGS|",-N(U192),0)</f>
        <v/>
      </c>
      <c r="AN192" s="23">
        <f>IF(LEFT(AG192,8)="Expense|",N(S192),0)+IF(LEFT(AH192,8)="Expense|",N(T192),0)+IF(LEFT(AI192,8)="Expense|",-N(AF192),0)+IF(LEFT(AJ192,8)="Expense|",-N(AC192),0)+IF(LEFT(AK192,8)="Expense|",-N(U192),0)</f>
        <v/>
      </c>
      <c r="AO192" s="23">
        <f>IF(ISNUMBER(MATCH(AG192,{"Expense|employee","Expense|general_admin","Expense|marketing","Expense|utilities","Expense|other_operating"},0)),N(S192),0)+IF(ISNUMBER(MATCH(AH192,{"Expense|employee","Expense|general_admin","Expense|marketing","Expense|utilities","Expense|other_operating"},0)),N(T192),0)+IF(ISNUMBER(MATCH(AI192,{"Expense|employee","Expense|general_admin","Expense|marketing","Expense|utilities","Expense|other_operating"},0)),-N(AF192),0)+IF(ISNUMBER(MATCH(AJ192,{"Expense|employee","Expense|general_admin","Expense|marketing","Expense|utilities","Expense|other_operating"},0)),-N(AC192),0)+IF(ISNUMBER(MATCH(AK192,{"Expense|employee","Expense|general_admin","Expense|marketing","Expense|utilities","Expense|other_operating"},0)),-N(U192),0)</f>
        <v/>
      </c>
      <c r="AP192" s="23">
        <f>IF(AG192="Liability|payable",-N(S192),0)+IF(AH192="Liability|payable",-N(T192),0)+IF(AI192="Liability|payable",N(AF192),0)+IF(AJ192="Liability|payable",N(AC192),0)+IF(AK192="Liability|payable",N(U192),0)</f>
        <v/>
      </c>
      <c r="AQ192" s="23">
        <f>IF(AG192="Liability|accrued",-N(S192),0)+IF(AH192="Liability|accrued",-N(T192),0)+IF(AI192="Liability|accrued",N(AF192),0)+IF(AJ192="Liability|accrued",N(AC192),0)+IF(AK192="Liability|accrued",N(U192),0)</f>
        <v/>
      </c>
      <c r="AR192" s="23">
        <f>IF(AND(N(S192)&lt;&gt;0,AG192=""),1,0)+IF(AND(N(T192)&lt;&gt;0,AH192=""),1,0)+IF(AND(N(AF192)&lt;&gt;0,AI192=""),1,0)+IF(AND(N(AC192)&lt;&gt;0,AJ192=""),1,0)+IF(AND(N(U192)&lt;&gt;0,AK192=""),1,0)</f>
        <v/>
      </c>
    </row>
    <row r="193">
      <c r="A193" s="19" t="n"/>
      <c r="B193" s="14" t="n"/>
      <c r="C193" s="14" t="n"/>
      <c r="D193" s="14" t="n"/>
      <c r="E193" s="14" t="n"/>
      <c r="F193" s="14" t="n"/>
      <c r="G193" s="14" t="n"/>
      <c r="H193" s="20" t="n"/>
      <c r="I193" s="14" t="n"/>
      <c r="J193" s="14" t="n"/>
      <c r="K193" s="20" t="n"/>
      <c r="L193" s="14" t="n"/>
      <c r="M193" s="14" t="n"/>
      <c r="N193" s="14" t="n"/>
      <c r="O193" s="14" t="n"/>
      <c r="P193" s="14" t="n"/>
      <c r="Q193" s="14" t="n"/>
      <c r="R193" s="14" t="n"/>
      <c r="S193" s="21">
        <f>ROUND(ABS(N(G193))*N(H193),2)</f>
        <v/>
      </c>
      <c r="T193" s="21">
        <f>IF(B193="Receipt",ROUND(S193*IFERROR(VLOOKUP(Q193,'Tax Codes'!$A$5:$E$300,5,FALSE),0),2),0)</f>
        <v/>
      </c>
      <c r="U193" s="21">
        <f>IF(B193="Receipt",ROUND(S193*IFERROR(VLOOKUP(R193,'Tax Codes'!$A$5:$E$300,5,FALSE),0),2),0)</f>
        <v/>
      </c>
      <c r="V193" s="16">
        <f>INDEX('Chart of Accounts'!$A$5:$A$3000,MATCH("vat_input",'Chart of Accounts'!$F$5:$F$3000,0))</f>
        <v/>
      </c>
      <c r="W193" s="16">
        <f>INDEX('Chart of Accounts'!$A$5:$A$3000,MATCH("wht_payable",'Chart of Accounts'!$F$5:$F$3000,0))</f>
        <v/>
      </c>
      <c r="X193" s="16">
        <f>IF(M193="",INDEX('Chart of Accounts'!$A$5:$A$3000,MATCH("bank",'Chart of Accounts'!$F$5:$F$3000,0)),M193&amp;"")</f>
        <v/>
      </c>
      <c r="Y193" s="16">
        <f>IF(N193="",INDEX('Chart of Accounts'!$A$5:$A$3000,MATCH("ap",'Chart of Accounts'!$F$5:$F$3000,0)),N193&amp;"")</f>
        <v/>
      </c>
      <c r="Z193" s="16">
        <f>IF(O193="",INDEX('Chart of Accounts'!$A$5:$A$3000,MATCH("materials",'Chart of Accounts'!$F$5:$F$3000,0)),O193&amp;"")</f>
        <v/>
      </c>
      <c r="AA193" s="16">
        <f>IF(IFERROR(INDEX(Warehouses!$C$5:$C$1000,MATCH(C193,Warehouses!$A$5:$A$1000,0))&amp;"","")="",INDEX('Chart of Accounts'!$A$5:$A$3000,MATCH("inventory",'Chart of Accounts'!$F$5:$F$3000,0)),IFERROR(INDEX(Warehouses!$C$5:$C$1000,MATCH(C193,Warehouses!$A$5:$A$1000,0))&amp;"",""))</f>
        <v/>
      </c>
      <c r="AB193" s="16">
        <f>IF(IFERROR(INDEX(Warehouses!$C$5:$C$1000,MATCH(D193,Warehouses!$A$5:$A$1000,0))&amp;"","")="",INDEX('Chart of Accounts'!$A$5:$A$3000,MATCH("inventory",'Chart of Accounts'!$F$5:$F$3000,0)),IFERROR(INDEX(Warehouses!$C$5:$C$1000,MATCH(D193,Warehouses!$A$5:$A$1000,0))&amp;"",""))</f>
        <v/>
      </c>
      <c r="AC193" s="21">
        <f>IF(B193="Receipt",N(K193),0)</f>
        <v/>
      </c>
      <c r="AD193" s="16">
        <f>IF(B193="Receipt",AA193,IF(B193="Issue",Z193,IF(B193="Transfer",AB193,IF(N(G193)&gt;=0,AA193,INDEX('Chart of Accounts'!$A$5:$A$3000,MATCH("stock_adjust",'Chart of Accounts'!$F$5:$F$3000,0))))))</f>
        <v/>
      </c>
      <c r="AE193" s="16">
        <f>IF(B193="Receipt",Y193,IF(B193="Adjustment",IF(N(G193)&gt;=0,INDEX('Chart of Accounts'!$A$5:$A$3000,MATCH("stock_adjust",'Chart of Accounts'!$F$5:$F$3000,0)),AA193),AA193))</f>
        <v/>
      </c>
      <c r="AF193" s="21">
        <f>S193+T193-U193-AC193</f>
        <v/>
      </c>
      <c r="AG193" s="23">
        <f>IFERROR(INDEX('Chart of Accounts'!$C$5:$C$3000,MATCH(AD193&amp;"",'Chart of Accounts'!$A$5:$A$3000,0))&amp;"|"&amp;INDEX('Chart of Accounts'!$D$5:$D$3000,MATCH(AD193&amp;"",'Chart of Accounts'!$A$5:$A$3000,0)),"")</f>
        <v/>
      </c>
      <c r="AH193" s="23">
        <f>IFERROR(INDEX('Chart of Accounts'!$C$5:$C$3000,MATCH(V193&amp;"",'Chart of Accounts'!$A$5:$A$3000,0))&amp;"|"&amp;INDEX('Chart of Accounts'!$D$5:$D$3000,MATCH(V193&amp;"",'Chart of Accounts'!$A$5:$A$3000,0)),"")</f>
        <v/>
      </c>
      <c r="AI193" s="23">
        <f>IFERROR(INDEX('Chart of Accounts'!$C$5:$C$3000,MATCH(AE193&amp;"",'Chart of Accounts'!$A$5:$A$3000,0))&amp;"|"&amp;INDEX('Chart of Accounts'!$D$5:$D$3000,MATCH(AE193&amp;"",'Chart of Accounts'!$A$5:$A$3000,0)),"")</f>
        <v/>
      </c>
      <c r="AJ193" s="23">
        <f>IFERROR(INDEX('Chart of Accounts'!$C$5:$C$3000,MATCH(X193&amp;"",'Chart of Accounts'!$A$5:$A$3000,0))&amp;"|"&amp;INDEX('Chart of Accounts'!$D$5:$D$3000,MATCH(X193&amp;"",'Chart of Accounts'!$A$5:$A$3000,0)),"")</f>
        <v/>
      </c>
      <c r="AK193" s="23">
        <f>IFERROR(INDEX('Chart of Accounts'!$C$5:$C$3000,MATCH(W193&amp;"",'Chart of Accounts'!$A$5:$A$3000,0))&amp;"|"&amp;INDEX('Chart of Accounts'!$D$5:$D$3000,MATCH(W193&amp;"",'Chart of Accounts'!$A$5:$A$3000,0)),"")</f>
        <v/>
      </c>
      <c r="AL193" s="23">
        <f>IF(LEFT(AG193,8)="Revenue|",-N(S193),0)+IF(LEFT(AH193,8)="Revenue|",-N(T193),0)+IF(LEFT(AI193,8)="Revenue|",N(AF193),0)+IF(LEFT(AJ193,8)="Revenue|",N(AC193),0)+IF(LEFT(AK193,8)="Revenue|",N(U193),0)</f>
        <v/>
      </c>
      <c r="AM193" s="23">
        <f>IF(LEFT(AG193,5)="COGS|",N(S193),0)+IF(LEFT(AH193,5)="COGS|",N(T193),0)+IF(LEFT(AI193,5)="COGS|",-N(AF193),0)+IF(LEFT(AJ193,5)="COGS|",-N(AC193),0)+IF(LEFT(AK193,5)="COGS|",-N(U193),0)</f>
        <v/>
      </c>
      <c r="AN193" s="23">
        <f>IF(LEFT(AG193,8)="Expense|",N(S193),0)+IF(LEFT(AH193,8)="Expense|",N(T193),0)+IF(LEFT(AI193,8)="Expense|",-N(AF193),0)+IF(LEFT(AJ193,8)="Expense|",-N(AC193),0)+IF(LEFT(AK193,8)="Expense|",-N(U193),0)</f>
        <v/>
      </c>
      <c r="AO193" s="23">
        <f>IF(ISNUMBER(MATCH(AG193,{"Expense|employee","Expense|general_admin","Expense|marketing","Expense|utilities","Expense|other_operating"},0)),N(S193),0)+IF(ISNUMBER(MATCH(AH193,{"Expense|employee","Expense|general_admin","Expense|marketing","Expense|utilities","Expense|other_operating"},0)),N(T193),0)+IF(ISNUMBER(MATCH(AI193,{"Expense|employee","Expense|general_admin","Expense|marketing","Expense|utilities","Expense|other_operating"},0)),-N(AF193),0)+IF(ISNUMBER(MATCH(AJ193,{"Expense|employee","Expense|general_admin","Expense|marketing","Expense|utilities","Expense|other_operating"},0)),-N(AC193),0)+IF(ISNUMBER(MATCH(AK193,{"Expense|employee","Expense|general_admin","Expense|marketing","Expense|utilities","Expense|other_operating"},0)),-N(U193),0)</f>
        <v/>
      </c>
      <c r="AP193" s="23">
        <f>IF(AG193="Liability|payable",-N(S193),0)+IF(AH193="Liability|payable",-N(T193),0)+IF(AI193="Liability|payable",N(AF193),0)+IF(AJ193="Liability|payable",N(AC193),0)+IF(AK193="Liability|payable",N(U193),0)</f>
        <v/>
      </c>
      <c r="AQ193" s="23">
        <f>IF(AG193="Liability|accrued",-N(S193),0)+IF(AH193="Liability|accrued",-N(T193),0)+IF(AI193="Liability|accrued",N(AF193),0)+IF(AJ193="Liability|accrued",N(AC193),0)+IF(AK193="Liability|accrued",N(U193),0)</f>
        <v/>
      </c>
      <c r="AR193" s="23">
        <f>IF(AND(N(S193)&lt;&gt;0,AG193=""),1,0)+IF(AND(N(T193)&lt;&gt;0,AH193=""),1,0)+IF(AND(N(AF193)&lt;&gt;0,AI193=""),1,0)+IF(AND(N(AC193)&lt;&gt;0,AJ193=""),1,0)+IF(AND(N(U193)&lt;&gt;0,AK193=""),1,0)</f>
        <v/>
      </c>
    </row>
    <row r="194">
      <c r="A194" s="19" t="n"/>
      <c r="B194" s="14" t="n"/>
      <c r="C194" s="14" t="n"/>
      <c r="D194" s="14" t="n"/>
      <c r="E194" s="14" t="n"/>
      <c r="F194" s="14" t="n"/>
      <c r="G194" s="14" t="n"/>
      <c r="H194" s="20" t="n"/>
      <c r="I194" s="14" t="n"/>
      <c r="J194" s="14" t="n"/>
      <c r="K194" s="20" t="n"/>
      <c r="L194" s="14" t="n"/>
      <c r="M194" s="14" t="n"/>
      <c r="N194" s="14" t="n"/>
      <c r="O194" s="14" t="n"/>
      <c r="P194" s="14" t="n"/>
      <c r="Q194" s="14" t="n"/>
      <c r="R194" s="14" t="n"/>
      <c r="S194" s="21">
        <f>ROUND(ABS(N(G194))*N(H194),2)</f>
        <v/>
      </c>
      <c r="T194" s="21">
        <f>IF(B194="Receipt",ROUND(S194*IFERROR(VLOOKUP(Q194,'Tax Codes'!$A$5:$E$300,5,FALSE),0),2),0)</f>
        <v/>
      </c>
      <c r="U194" s="21">
        <f>IF(B194="Receipt",ROUND(S194*IFERROR(VLOOKUP(R194,'Tax Codes'!$A$5:$E$300,5,FALSE),0),2),0)</f>
        <v/>
      </c>
      <c r="V194" s="16">
        <f>INDEX('Chart of Accounts'!$A$5:$A$3000,MATCH("vat_input",'Chart of Accounts'!$F$5:$F$3000,0))</f>
        <v/>
      </c>
      <c r="W194" s="16">
        <f>INDEX('Chart of Accounts'!$A$5:$A$3000,MATCH("wht_payable",'Chart of Accounts'!$F$5:$F$3000,0))</f>
        <v/>
      </c>
      <c r="X194" s="16">
        <f>IF(M194="",INDEX('Chart of Accounts'!$A$5:$A$3000,MATCH("bank",'Chart of Accounts'!$F$5:$F$3000,0)),M194&amp;"")</f>
        <v/>
      </c>
      <c r="Y194" s="16">
        <f>IF(N194="",INDEX('Chart of Accounts'!$A$5:$A$3000,MATCH("ap",'Chart of Accounts'!$F$5:$F$3000,0)),N194&amp;"")</f>
        <v/>
      </c>
      <c r="Z194" s="16">
        <f>IF(O194="",INDEX('Chart of Accounts'!$A$5:$A$3000,MATCH("materials",'Chart of Accounts'!$F$5:$F$3000,0)),O194&amp;"")</f>
        <v/>
      </c>
      <c r="AA194" s="16">
        <f>IF(IFERROR(INDEX(Warehouses!$C$5:$C$1000,MATCH(C194,Warehouses!$A$5:$A$1000,0))&amp;"","")="",INDEX('Chart of Accounts'!$A$5:$A$3000,MATCH("inventory",'Chart of Accounts'!$F$5:$F$3000,0)),IFERROR(INDEX(Warehouses!$C$5:$C$1000,MATCH(C194,Warehouses!$A$5:$A$1000,0))&amp;"",""))</f>
        <v/>
      </c>
      <c r="AB194" s="16">
        <f>IF(IFERROR(INDEX(Warehouses!$C$5:$C$1000,MATCH(D194,Warehouses!$A$5:$A$1000,0))&amp;"","")="",INDEX('Chart of Accounts'!$A$5:$A$3000,MATCH("inventory",'Chart of Accounts'!$F$5:$F$3000,0)),IFERROR(INDEX(Warehouses!$C$5:$C$1000,MATCH(D194,Warehouses!$A$5:$A$1000,0))&amp;"",""))</f>
        <v/>
      </c>
      <c r="AC194" s="21">
        <f>IF(B194="Receipt",N(K194),0)</f>
        <v/>
      </c>
      <c r="AD194" s="16">
        <f>IF(B194="Receipt",AA194,IF(B194="Issue",Z194,IF(B194="Transfer",AB194,IF(N(G194)&gt;=0,AA194,INDEX('Chart of Accounts'!$A$5:$A$3000,MATCH("stock_adjust",'Chart of Accounts'!$F$5:$F$3000,0))))))</f>
        <v/>
      </c>
      <c r="AE194" s="16">
        <f>IF(B194="Receipt",Y194,IF(B194="Adjustment",IF(N(G194)&gt;=0,INDEX('Chart of Accounts'!$A$5:$A$3000,MATCH("stock_adjust",'Chart of Accounts'!$F$5:$F$3000,0)),AA194),AA194))</f>
        <v/>
      </c>
      <c r="AF194" s="21">
        <f>S194+T194-U194-AC194</f>
        <v/>
      </c>
      <c r="AG194" s="23">
        <f>IFERROR(INDEX('Chart of Accounts'!$C$5:$C$3000,MATCH(AD194&amp;"",'Chart of Accounts'!$A$5:$A$3000,0))&amp;"|"&amp;INDEX('Chart of Accounts'!$D$5:$D$3000,MATCH(AD194&amp;"",'Chart of Accounts'!$A$5:$A$3000,0)),"")</f>
        <v/>
      </c>
      <c r="AH194" s="23">
        <f>IFERROR(INDEX('Chart of Accounts'!$C$5:$C$3000,MATCH(V194&amp;"",'Chart of Accounts'!$A$5:$A$3000,0))&amp;"|"&amp;INDEX('Chart of Accounts'!$D$5:$D$3000,MATCH(V194&amp;"",'Chart of Accounts'!$A$5:$A$3000,0)),"")</f>
        <v/>
      </c>
      <c r="AI194" s="23">
        <f>IFERROR(INDEX('Chart of Accounts'!$C$5:$C$3000,MATCH(AE194&amp;"",'Chart of Accounts'!$A$5:$A$3000,0))&amp;"|"&amp;INDEX('Chart of Accounts'!$D$5:$D$3000,MATCH(AE194&amp;"",'Chart of Accounts'!$A$5:$A$3000,0)),"")</f>
        <v/>
      </c>
      <c r="AJ194" s="23">
        <f>IFERROR(INDEX('Chart of Accounts'!$C$5:$C$3000,MATCH(X194&amp;"",'Chart of Accounts'!$A$5:$A$3000,0))&amp;"|"&amp;INDEX('Chart of Accounts'!$D$5:$D$3000,MATCH(X194&amp;"",'Chart of Accounts'!$A$5:$A$3000,0)),"")</f>
        <v/>
      </c>
      <c r="AK194" s="23">
        <f>IFERROR(INDEX('Chart of Accounts'!$C$5:$C$3000,MATCH(W194&amp;"",'Chart of Accounts'!$A$5:$A$3000,0))&amp;"|"&amp;INDEX('Chart of Accounts'!$D$5:$D$3000,MATCH(W194&amp;"",'Chart of Accounts'!$A$5:$A$3000,0)),"")</f>
        <v/>
      </c>
      <c r="AL194" s="23">
        <f>IF(LEFT(AG194,8)="Revenue|",-N(S194),0)+IF(LEFT(AH194,8)="Revenue|",-N(T194),0)+IF(LEFT(AI194,8)="Revenue|",N(AF194),0)+IF(LEFT(AJ194,8)="Revenue|",N(AC194),0)+IF(LEFT(AK194,8)="Revenue|",N(U194),0)</f>
        <v/>
      </c>
      <c r="AM194" s="23">
        <f>IF(LEFT(AG194,5)="COGS|",N(S194),0)+IF(LEFT(AH194,5)="COGS|",N(T194),0)+IF(LEFT(AI194,5)="COGS|",-N(AF194),0)+IF(LEFT(AJ194,5)="COGS|",-N(AC194),0)+IF(LEFT(AK194,5)="COGS|",-N(U194),0)</f>
        <v/>
      </c>
      <c r="AN194" s="23">
        <f>IF(LEFT(AG194,8)="Expense|",N(S194),0)+IF(LEFT(AH194,8)="Expense|",N(T194),0)+IF(LEFT(AI194,8)="Expense|",-N(AF194),0)+IF(LEFT(AJ194,8)="Expense|",-N(AC194),0)+IF(LEFT(AK194,8)="Expense|",-N(U194),0)</f>
        <v/>
      </c>
      <c r="AO194" s="23">
        <f>IF(ISNUMBER(MATCH(AG194,{"Expense|employee","Expense|general_admin","Expense|marketing","Expense|utilities","Expense|other_operating"},0)),N(S194),0)+IF(ISNUMBER(MATCH(AH194,{"Expense|employee","Expense|general_admin","Expense|marketing","Expense|utilities","Expense|other_operating"},0)),N(T194),0)+IF(ISNUMBER(MATCH(AI194,{"Expense|employee","Expense|general_admin","Expense|marketing","Expense|utilities","Expense|other_operating"},0)),-N(AF194),0)+IF(ISNUMBER(MATCH(AJ194,{"Expense|employee","Expense|general_admin","Expense|marketing","Expense|utilities","Expense|other_operating"},0)),-N(AC194),0)+IF(ISNUMBER(MATCH(AK194,{"Expense|employee","Expense|general_admin","Expense|marketing","Expense|utilities","Expense|other_operating"},0)),-N(U194),0)</f>
        <v/>
      </c>
      <c r="AP194" s="23">
        <f>IF(AG194="Liability|payable",-N(S194),0)+IF(AH194="Liability|payable",-N(T194),0)+IF(AI194="Liability|payable",N(AF194),0)+IF(AJ194="Liability|payable",N(AC194),0)+IF(AK194="Liability|payable",N(U194),0)</f>
        <v/>
      </c>
      <c r="AQ194" s="23">
        <f>IF(AG194="Liability|accrued",-N(S194),0)+IF(AH194="Liability|accrued",-N(T194),0)+IF(AI194="Liability|accrued",N(AF194),0)+IF(AJ194="Liability|accrued",N(AC194),0)+IF(AK194="Liability|accrued",N(U194),0)</f>
        <v/>
      </c>
      <c r="AR194" s="23">
        <f>IF(AND(N(S194)&lt;&gt;0,AG194=""),1,0)+IF(AND(N(T194)&lt;&gt;0,AH194=""),1,0)+IF(AND(N(AF194)&lt;&gt;0,AI194=""),1,0)+IF(AND(N(AC194)&lt;&gt;0,AJ194=""),1,0)+IF(AND(N(U194)&lt;&gt;0,AK194=""),1,0)</f>
        <v/>
      </c>
    </row>
    <row r="195">
      <c r="A195" s="19" t="n"/>
      <c r="B195" s="14" t="n"/>
      <c r="C195" s="14" t="n"/>
      <c r="D195" s="14" t="n"/>
      <c r="E195" s="14" t="n"/>
      <c r="F195" s="14" t="n"/>
      <c r="G195" s="14" t="n"/>
      <c r="H195" s="20" t="n"/>
      <c r="I195" s="14" t="n"/>
      <c r="J195" s="14" t="n"/>
      <c r="K195" s="20" t="n"/>
      <c r="L195" s="14" t="n"/>
      <c r="M195" s="14" t="n"/>
      <c r="N195" s="14" t="n"/>
      <c r="O195" s="14" t="n"/>
      <c r="P195" s="14" t="n"/>
      <c r="Q195" s="14" t="n"/>
      <c r="R195" s="14" t="n"/>
      <c r="S195" s="21">
        <f>ROUND(ABS(N(G195))*N(H195),2)</f>
        <v/>
      </c>
      <c r="T195" s="21">
        <f>IF(B195="Receipt",ROUND(S195*IFERROR(VLOOKUP(Q195,'Tax Codes'!$A$5:$E$300,5,FALSE),0),2),0)</f>
        <v/>
      </c>
      <c r="U195" s="21">
        <f>IF(B195="Receipt",ROUND(S195*IFERROR(VLOOKUP(R195,'Tax Codes'!$A$5:$E$300,5,FALSE),0),2),0)</f>
        <v/>
      </c>
      <c r="V195" s="16">
        <f>INDEX('Chart of Accounts'!$A$5:$A$3000,MATCH("vat_input",'Chart of Accounts'!$F$5:$F$3000,0))</f>
        <v/>
      </c>
      <c r="W195" s="16">
        <f>INDEX('Chart of Accounts'!$A$5:$A$3000,MATCH("wht_payable",'Chart of Accounts'!$F$5:$F$3000,0))</f>
        <v/>
      </c>
      <c r="X195" s="16">
        <f>IF(M195="",INDEX('Chart of Accounts'!$A$5:$A$3000,MATCH("bank",'Chart of Accounts'!$F$5:$F$3000,0)),M195&amp;"")</f>
        <v/>
      </c>
      <c r="Y195" s="16">
        <f>IF(N195="",INDEX('Chart of Accounts'!$A$5:$A$3000,MATCH("ap",'Chart of Accounts'!$F$5:$F$3000,0)),N195&amp;"")</f>
        <v/>
      </c>
      <c r="Z195" s="16">
        <f>IF(O195="",INDEX('Chart of Accounts'!$A$5:$A$3000,MATCH("materials",'Chart of Accounts'!$F$5:$F$3000,0)),O195&amp;"")</f>
        <v/>
      </c>
      <c r="AA195" s="16">
        <f>IF(IFERROR(INDEX(Warehouses!$C$5:$C$1000,MATCH(C195,Warehouses!$A$5:$A$1000,0))&amp;"","")="",INDEX('Chart of Accounts'!$A$5:$A$3000,MATCH("inventory",'Chart of Accounts'!$F$5:$F$3000,0)),IFERROR(INDEX(Warehouses!$C$5:$C$1000,MATCH(C195,Warehouses!$A$5:$A$1000,0))&amp;"",""))</f>
        <v/>
      </c>
      <c r="AB195" s="16">
        <f>IF(IFERROR(INDEX(Warehouses!$C$5:$C$1000,MATCH(D195,Warehouses!$A$5:$A$1000,0))&amp;"","")="",INDEX('Chart of Accounts'!$A$5:$A$3000,MATCH("inventory",'Chart of Accounts'!$F$5:$F$3000,0)),IFERROR(INDEX(Warehouses!$C$5:$C$1000,MATCH(D195,Warehouses!$A$5:$A$1000,0))&amp;"",""))</f>
        <v/>
      </c>
      <c r="AC195" s="21">
        <f>IF(B195="Receipt",N(K195),0)</f>
        <v/>
      </c>
      <c r="AD195" s="16">
        <f>IF(B195="Receipt",AA195,IF(B195="Issue",Z195,IF(B195="Transfer",AB195,IF(N(G195)&gt;=0,AA195,INDEX('Chart of Accounts'!$A$5:$A$3000,MATCH("stock_adjust",'Chart of Accounts'!$F$5:$F$3000,0))))))</f>
        <v/>
      </c>
      <c r="AE195" s="16">
        <f>IF(B195="Receipt",Y195,IF(B195="Adjustment",IF(N(G195)&gt;=0,INDEX('Chart of Accounts'!$A$5:$A$3000,MATCH("stock_adjust",'Chart of Accounts'!$F$5:$F$3000,0)),AA195),AA195))</f>
        <v/>
      </c>
      <c r="AF195" s="21">
        <f>S195+T195-U195-AC195</f>
        <v/>
      </c>
      <c r="AG195" s="23">
        <f>IFERROR(INDEX('Chart of Accounts'!$C$5:$C$3000,MATCH(AD195&amp;"",'Chart of Accounts'!$A$5:$A$3000,0))&amp;"|"&amp;INDEX('Chart of Accounts'!$D$5:$D$3000,MATCH(AD195&amp;"",'Chart of Accounts'!$A$5:$A$3000,0)),"")</f>
        <v/>
      </c>
      <c r="AH195" s="23">
        <f>IFERROR(INDEX('Chart of Accounts'!$C$5:$C$3000,MATCH(V195&amp;"",'Chart of Accounts'!$A$5:$A$3000,0))&amp;"|"&amp;INDEX('Chart of Accounts'!$D$5:$D$3000,MATCH(V195&amp;"",'Chart of Accounts'!$A$5:$A$3000,0)),"")</f>
        <v/>
      </c>
      <c r="AI195" s="23">
        <f>IFERROR(INDEX('Chart of Accounts'!$C$5:$C$3000,MATCH(AE195&amp;"",'Chart of Accounts'!$A$5:$A$3000,0))&amp;"|"&amp;INDEX('Chart of Accounts'!$D$5:$D$3000,MATCH(AE195&amp;"",'Chart of Accounts'!$A$5:$A$3000,0)),"")</f>
        <v/>
      </c>
      <c r="AJ195" s="23">
        <f>IFERROR(INDEX('Chart of Accounts'!$C$5:$C$3000,MATCH(X195&amp;"",'Chart of Accounts'!$A$5:$A$3000,0))&amp;"|"&amp;INDEX('Chart of Accounts'!$D$5:$D$3000,MATCH(X195&amp;"",'Chart of Accounts'!$A$5:$A$3000,0)),"")</f>
        <v/>
      </c>
      <c r="AK195" s="23">
        <f>IFERROR(INDEX('Chart of Accounts'!$C$5:$C$3000,MATCH(W195&amp;"",'Chart of Accounts'!$A$5:$A$3000,0))&amp;"|"&amp;INDEX('Chart of Accounts'!$D$5:$D$3000,MATCH(W195&amp;"",'Chart of Accounts'!$A$5:$A$3000,0)),"")</f>
        <v/>
      </c>
      <c r="AL195" s="23">
        <f>IF(LEFT(AG195,8)="Revenue|",-N(S195),0)+IF(LEFT(AH195,8)="Revenue|",-N(T195),0)+IF(LEFT(AI195,8)="Revenue|",N(AF195),0)+IF(LEFT(AJ195,8)="Revenue|",N(AC195),0)+IF(LEFT(AK195,8)="Revenue|",N(U195),0)</f>
        <v/>
      </c>
      <c r="AM195" s="23">
        <f>IF(LEFT(AG195,5)="COGS|",N(S195),0)+IF(LEFT(AH195,5)="COGS|",N(T195),0)+IF(LEFT(AI195,5)="COGS|",-N(AF195),0)+IF(LEFT(AJ195,5)="COGS|",-N(AC195),0)+IF(LEFT(AK195,5)="COGS|",-N(U195),0)</f>
        <v/>
      </c>
      <c r="AN195" s="23">
        <f>IF(LEFT(AG195,8)="Expense|",N(S195),0)+IF(LEFT(AH195,8)="Expense|",N(T195),0)+IF(LEFT(AI195,8)="Expense|",-N(AF195),0)+IF(LEFT(AJ195,8)="Expense|",-N(AC195),0)+IF(LEFT(AK195,8)="Expense|",-N(U195),0)</f>
        <v/>
      </c>
      <c r="AO195" s="23">
        <f>IF(ISNUMBER(MATCH(AG195,{"Expense|employee","Expense|general_admin","Expense|marketing","Expense|utilities","Expense|other_operating"},0)),N(S195),0)+IF(ISNUMBER(MATCH(AH195,{"Expense|employee","Expense|general_admin","Expense|marketing","Expense|utilities","Expense|other_operating"},0)),N(T195),0)+IF(ISNUMBER(MATCH(AI195,{"Expense|employee","Expense|general_admin","Expense|marketing","Expense|utilities","Expense|other_operating"},0)),-N(AF195),0)+IF(ISNUMBER(MATCH(AJ195,{"Expense|employee","Expense|general_admin","Expense|marketing","Expense|utilities","Expense|other_operating"},0)),-N(AC195),0)+IF(ISNUMBER(MATCH(AK195,{"Expense|employee","Expense|general_admin","Expense|marketing","Expense|utilities","Expense|other_operating"},0)),-N(U195),0)</f>
        <v/>
      </c>
      <c r="AP195" s="23">
        <f>IF(AG195="Liability|payable",-N(S195),0)+IF(AH195="Liability|payable",-N(T195),0)+IF(AI195="Liability|payable",N(AF195),0)+IF(AJ195="Liability|payable",N(AC195),0)+IF(AK195="Liability|payable",N(U195),0)</f>
        <v/>
      </c>
      <c r="AQ195" s="23">
        <f>IF(AG195="Liability|accrued",-N(S195),0)+IF(AH195="Liability|accrued",-N(T195),0)+IF(AI195="Liability|accrued",N(AF195),0)+IF(AJ195="Liability|accrued",N(AC195),0)+IF(AK195="Liability|accrued",N(U195),0)</f>
        <v/>
      </c>
      <c r="AR195" s="23">
        <f>IF(AND(N(S195)&lt;&gt;0,AG195=""),1,0)+IF(AND(N(T195)&lt;&gt;0,AH195=""),1,0)+IF(AND(N(AF195)&lt;&gt;0,AI195=""),1,0)+IF(AND(N(AC195)&lt;&gt;0,AJ195=""),1,0)+IF(AND(N(U195)&lt;&gt;0,AK195=""),1,0)</f>
        <v/>
      </c>
    </row>
    <row r="196">
      <c r="A196" s="19" t="n"/>
      <c r="B196" s="14" t="n"/>
      <c r="C196" s="14" t="n"/>
      <c r="D196" s="14" t="n"/>
      <c r="E196" s="14" t="n"/>
      <c r="F196" s="14" t="n"/>
      <c r="G196" s="14" t="n"/>
      <c r="H196" s="20" t="n"/>
      <c r="I196" s="14" t="n"/>
      <c r="J196" s="14" t="n"/>
      <c r="K196" s="20" t="n"/>
      <c r="L196" s="14" t="n"/>
      <c r="M196" s="14" t="n"/>
      <c r="N196" s="14" t="n"/>
      <c r="O196" s="14" t="n"/>
      <c r="P196" s="14" t="n"/>
      <c r="Q196" s="14" t="n"/>
      <c r="R196" s="14" t="n"/>
      <c r="S196" s="21">
        <f>ROUND(ABS(N(G196))*N(H196),2)</f>
        <v/>
      </c>
      <c r="T196" s="21">
        <f>IF(B196="Receipt",ROUND(S196*IFERROR(VLOOKUP(Q196,'Tax Codes'!$A$5:$E$300,5,FALSE),0),2),0)</f>
        <v/>
      </c>
      <c r="U196" s="21">
        <f>IF(B196="Receipt",ROUND(S196*IFERROR(VLOOKUP(R196,'Tax Codes'!$A$5:$E$300,5,FALSE),0),2),0)</f>
        <v/>
      </c>
      <c r="V196" s="16">
        <f>INDEX('Chart of Accounts'!$A$5:$A$3000,MATCH("vat_input",'Chart of Accounts'!$F$5:$F$3000,0))</f>
        <v/>
      </c>
      <c r="W196" s="16">
        <f>INDEX('Chart of Accounts'!$A$5:$A$3000,MATCH("wht_payable",'Chart of Accounts'!$F$5:$F$3000,0))</f>
        <v/>
      </c>
      <c r="X196" s="16">
        <f>IF(M196="",INDEX('Chart of Accounts'!$A$5:$A$3000,MATCH("bank",'Chart of Accounts'!$F$5:$F$3000,0)),M196&amp;"")</f>
        <v/>
      </c>
      <c r="Y196" s="16">
        <f>IF(N196="",INDEX('Chart of Accounts'!$A$5:$A$3000,MATCH("ap",'Chart of Accounts'!$F$5:$F$3000,0)),N196&amp;"")</f>
        <v/>
      </c>
      <c r="Z196" s="16">
        <f>IF(O196="",INDEX('Chart of Accounts'!$A$5:$A$3000,MATCH("materials",'Chart of Accounts'!$F$5:$F$3000,0)),O196&amp;"")</f>
        <v/>
      </c>
      <c r="AA196" s="16">
        <f>IF(IFERROR(INDEX(Warehouses!$C$5:$C$1000,MATCH(C196,Warehouses!$A$5:$A$1000,0))&amp;"","")="",INDEX('Chart of Accounts'!$A$5:$A$3000,MATCH("inventory",'Chart of Accounts'!$F$5:$F$3000,0)),IFERROR(INDEX(Warehouses!$C$5:$C$1000,MATCH(C196,Warehouses!$A$5:$A$1000,0))&amp;"",""))</f>
        <v/>
      </c>
      <c r="AB196" s="16">
        <f>IF(IFERROR(INDEX(Warehouses!$C$5:$C$1000,MATCH(D196,Warehouses!$A$5:$A$1000,0))&amp;"","")="",INDEX('Chart of Accounts'!$A$5:$A$3000,MATCH("inventory",'Chart of Accounts'!$F$5:$F$3000,0)),IFERROR(INDEX(Warehouses!$C$5:$C$1000,MATCH(D196,Warehouses!$A$5:$A$1000,0))&amp;"",""))</f>
        <v/>
      </c>
      <c r="AC196" s="21">
        <f>IF(B196="Receipt",N(K196),0)</f>
        <v/>
      </c>
      <c r="AD196" s="16">
        <f>IF(B196="Receipt",AA196,IF(B196="Issue",Z196,IF(B196="Transfer",AB196,IF(N(G196)&gt;=0,AA196,INDEX('Chart of Accounts'!$A$5:$A$3000,MATCH("stock_adjust",'Chart of Accounts'!$F$5:$F$3000,0))))))</f>
        <v/>
      </c>
      <c r="AE196" s="16">
        <f>IF(B196="Receipt",Y196,IF(B196="Adjustment",IF(N(G196)&gt;=0,INDEX('Chart of Accounts'!$A$5:$A$3000,MATCH("stock_adjust",'Chart of Accounts'!$F$5:$F$3000,0)),AA196),AA196))</f>
        <v/>
      </c>
      <c r="AF196" s="21">
        <f>S196+T196-U196-AC196</f>
        <v/>
      </c>
      <c r="AG196" s="23">
        <f>IFERROR(INDEX('Chart of Accounts'!$C$5:$C$3000,MATCH(AD196&amp;"",'Chart of Accounts'!$A$5:$A$3000,0))&amp;"|"&amp;INDEX('Chart of Accounts'!$D$5:$D$3000,MATCH(AD196&amp;"",'Chart of Accounts'!$A$5:$A$3000,0)),"")</f>
        <v/>
      </c>
      <c r="AH196" s="23">
        <f>IFERROR(INDEX('Chart of Accounts'!$C$5:$C$3000,MATCH(V196&amp;"",'Chart of Accounts'!$A$5:$A$3000,0))&amp;"|"&amp;INDEX('Chart of Accounts'!$D$5:$D$3000,MATCH(V196&amp;"",'Chart of Accounts'!$A$5:$A$3000,0)),"")</f>
        <v/>
      </c>
      <c r="AI196" s="23">
        <f>IFERROR(INDEX('Chart of Accounts'!$C$5:$C$3000,MATCH(AE196&amp;"",'Chart of Accounts'!$A$5:$A$3000,0))&amp;"|"&amp;INDEX('Chart of Accounts'!$D$5:$D$3000,MATCH(AE196&amp;"",'Chart of Accounts'!$A$5:$A$3000,0)),"")</f>
        <v/>
      </c>
      <c r="AJ196" s="23">
        <f>IFERROR(INDEX('Chart of Accounts'!$C$5:$C$3000,MATCH(X196&amp;"",'Chart of Accounts'!$A$5:$A$3000,0))&amp;"|"&amp;INDEX('Chart of Accounts'!$D$5:$D$3000,MATCH(X196&amp;"",'Chart of Accounts'!$A$5:$A$3000,0)),"")</f>
        <v/>
      </c>
      <c r="AK196" s="23">
        <f>IFERROR(INDEX('Chart of Accounts'!$C$5:$C$3000,MATCH(W196&amp;"",'Chart of Accounts'!$A$5:$A$3000,0))&amp;"|"&amp;INDEX('Chart of Accounts'!$D$5:$D$3000,MATCH(W196&amp;"",'Chart of Accounts'!$A$5:$A$3000,0)),"")</f>
        <v/>
      </c>
      <c r="AL196" s="23">
        <f>IF(LEFT(AG196,8)="Revenue|",-N(S196),0)+IF(LEFT(AH196,8)="Revenue|",-N(T196),0)+IF(LEFT(AI196,8)="Revenue|",N(AF196),0)+IF(LEFT(AJ196,8)="Revenue|",N(AC196),0)+IF(LEFT(AK196,8)="Revenue|",N(U196),0)</f>
        <v/>
      </c>
      <c r="AM196" s="23">
        <f>IF(LEFT(AG196,5)="COGS|",N(S196),0)+IF(LEFT(AH196,5)="COGS|",N(T196),0)+IF(LEFT(AI196,5)="COGS|",-N(AF196),0)+IF(LEFT(AJ196,5)="COGS|",-N(AC196),0)+IF(LEFT(AK196,5)="COGS|",-N(U196),0)</f>
        <v/>
      </c>
      <c r="AN196" s="23">
        <f>IF(LEFT(AG196,8)="Expense|",N(S196),0)+IF(LEFT(AH196,8)="Expense|",N(T196),0)+IF(LEFT(AI196,8)="Expense|",-N(AF196),0)+IF(LEFT(AJ196,8)="Expense|",-N(AC196),0)+IF(LEFT(AK196,8)="Expense|",-N(U196),0)</f>
        <v/>
      </c>
      <c r="AO196" s="23">
        <f>IF(ISNUMBER(MATCH(AG196,{"Expense|employee","Expense|general_admin","Expense|marketing","Expense|utilities","Expense|other_operating"},0)),N(S196),0)+IF(ISNUMBER(MATCH(AH196,{"Expense|employee","Expense|general_admin","Expense|marketing","Expense|utilities","Expense|other_operating"},0)),N(T196),0)+IF(ISNUMBER(MATCH(AI196,{"Expense|employee","Expense|general_admin","Expense|marketing","Expense|utilities","Expense|other_operating"},0)),-N(AF196),0)+IF(ISNUMBER(MATCH(AJ196,{"Expense|employee","Expense|general_admin","Expense|marketing","Expense|utilities","Expense|other_operating"},0)),-N(AC196),0)+IF(ISNUMBER(MATCH(AK196,{"Expense|employee","Expense|general_admin","Expense|marketing","Expense|utilities","Expense|other_operating"},0)),-N(U196),0)</f>
        <v/>
      </c>
      <c r="AP196" s="23">
        <f>IF(AG196="Liability|payable",-N(S196),0)+IF(AH196="Liability|payable",-N(T196),0)+IF(AI196="Liability|payable",N(AF196),0)+IF(AJ196="Liability|payable",N(AC196),0)+IF(AK196="Liability|payable",N(U196),0)</f>
        <v/>
      </c>
      <c r="AQ196" s="23">
        <f>IF(AG196="Liability|accrued",-N(S196),0)+IF(AH196="Liability|accrued",-N(T196),0)+IF(AI196="Liability|accrued",N(AF196),0)+IF(AJ196="Liability|accrued",N(AC196),0)+IF(AK196="Liability|accrued",N(U196),0)</f>
        <v/>
      </c>
      <c r="AR196" s="23">
        <f>IF(AND(N(S196)&lt;&gt;0,AG196=""),1,0)+IF(AND(N(T196)&lt;&gt;0,AH196=""),1,0)+IF(AND(N(AF196)&lt;&gt;0,AI196=""),1,0)+IF(AND(N(AC196)&lt;&gt;0,AJ196=""),1,0)+IF(AND(N(U196)&lt;&gt;0,AK196=""),1,0)</f>
        <v/>
      </c>
    </row>
    <row r="197">
      <c r="A197" s="19" t="n"/>
      <c r="B197" s="14" t="n"/>
      <c r="C197" s="14" t="n"/>
      <c r="D197" s="14" t="n"/>
      <c r="E197" s="14" t="n"/>
      <c r="F197" s="14" t="n"/>
      <c r="G197" s="14" t="n"/>
      <c r="H197" s="20" t="n"/>
      <c r="I197" s="14" t="n"/>
      <c r="J197" s="14" t="n"/>
      <c r="K197" s="20" t="n"/>
      <c r="L197" s="14" t="n"/>
      <c r="M197" s="14" t="n"/>
      <c r="N197" s="14" t="n"/>
      <c r="O197" s="14" t="n"/>
      <c r="P197" s="14" t="n"/>
      <c r="Q197" s="14" t="n"/>
      <c r="R197" s="14" t="n"/>
      <c r="S197" s="21">
        <f>ROUND(ABS(N(G197))*N(H197),2)</f>
        <v/>
      </c>
      <c r="T197" s="21">
        <f>IF(B197="Receipt",ROUND(S197*IFERROR(VLOOKUP(Q197,'Tax Codes'!$A$5:$E$300,5,FALSE),0),2),0)</f>
        <v/>
      </c>
      <c r="U197" s="21">
        <f>IF(B197="Receipt",ROUND(S197*IFERROR(VLOOKUP(R197,'Tax Codes'!$A$5:$E$300,5,FALSE),0),2),0)</f>
        <v/>
      </c>
      <c r="V197" s="16">
        <f>INDEX('Chart of Accounts'!$A$5:$A$3000,MATCH("vat_input",'Chart of Accounts'!$F$5:$F$3000,0))</f>
        <v/>
      </c>
      <c r="W197" s="16">
        <f>INDEX('Chart of Accounts'!$A$5:$A$3000,MATCH("wht_payable",'Chart of Accounts'!$F$5:$F$3000,0))</f>
        <v/>
      </c>
      <c r="X197" s="16">
        <f>IF(M197="",INDEX('Chart of Accounts'!$A$5:$A$3000,MATCH("bank",'Chart of Accounts'!$F$5:$F$3000,0)),M197&amp;"")</f>
        <v/>
      </c>
      <c r="Y197" s="16">
        <f>IF(N197="",INDEX('Chart of Accounts'!$A$5:$A$3000,MATCH("ap",'Chart of Accounts'!$F$5:$F$3000,0)),N197&amp;"")</f>
        <v/>
      </c>
      <c r="Z197" s="16">
        <f>IF(O197="",INDEX('Chart of Accounts'!$A$5:$A$3000,MATCH("materials",'Chart of Accounts'!$F$5:$F$3000,0)),O197&amp;"")</f>
        <v/>
      </c>
      <c r="AA197" s="16">
        <f>IF(IFERROR(INDEX(Warehouses!$C$5:$C$1000,MATCH(C197,Warehouses!$A$5:$A$1000,0))&amp;"","")="",INDEX('Chart of Accounts'!$A$5:$A$3000,MATCH("inventory",'Chart of Accounts'!$F$5:$F$3000,0)),IFERROR(INDEX(Warehouses!$C$5:$C$1000,MATCH(C197,Warehouses!$A$5:$A$1000,0))&amp;"",""))</f>
        <v/>
      </c>
      <c r="AB197" s="16">
        <f>IF(IFERROR(INDEX(Warehouses!$C$5:$C$1000,MATCH(D197,Warehouses!$A$5:$A$1000,0))&amp;"","")="",INDEX('Chart of Accounts'!$A$5:$A$3000,MATCH("inventory",'Chart of Accounts'!$F$5:$F$3000,0)),IFERROR(INDEX(Warehouses!$C$5:$C$1000,MATCH(D197,Warehouses!$A$5:$A$1000,0))&amp;"",""))</f>
        <v/>
      </c>
      <c r="AC197" s="21">
        <f>IF(B197="Receipt",N(K197),0)</f>
        <v/>
      </c>
      <c r="AD197" s="16">
        <f>IF(B197="Receipt",AA197,IF(B197="Issue",Z197,IF(B197="Transfer",AB197,IF(N(G197)&gt;=0,AA197,INDEX('Chart of Accounts'!$A$5:$A$3000,MATCH("stock_adjust",'Chart of Accounts'!$F$5:$F$3000,0))))))</f>
        <v/>
      </c>
      <c r="AE197" s="16">
        <f>IF(B197="Receipt",Y197,IF(B197="Adjustment",IF(N(G197)&gt;=0,INDEX('Chart of Accounts'!$A$5:$A$3000,MATCH("stock_adjust",'Chart of Accounts'!$F$5:$F$3000,0)),AA197),AA197))</f>
        <v/>
      </c>
      <c r="AF197" s="21">
        <f>S197+T197-U197-AC197</f>
        <v/>
      </c>
      <c r="AG197" s="23">
        <f>IFERROR(INDEX('Chart of Accounts'!$C$5:$C$3000,MATCH(AD197&amp;"",'Chart of Accounts'!$A$5:$A$3000,0))&amp;"|"&amp;INDEX('Chart of Accounts'!$D$5:$D$3000,MATCH(AD197&amp;"",'Chart of Accounts'!$A$5:$A$3000,0)),"")</f>
        <v/>
      </c>
      <c r="AH197" s="23">
        <f>IFERROR(INDEX('Chart of Accounts'!$C$5:$C$3000,MATCH(V197&amp;"",'Chart of Accounts'!$A$5:$A$3000,0))&amp;"|"&amp;INDEX('Chart of Accounts'!$D$5:$D$3000,MATCH(V197&amp;"",'Chart of Accounts'!$A$5:$A$3000,0)),"")</f>
        <v/>
      </c>
      <c r="AI197" s="23">
        <f>IFERROR(INDEX('Chart of Accounts'!$C$5:$C$3000,MATCH(AE197&amp;"",'Chart of Accounts'!$A$5:$A$3000,0))&amp;"|"&amp;INDEX('Chart of Accounts'!$D$5:$D$3000,MATCH(AE197&amp;"",'Chart of Accounts'!$A$5:$A$3000,0)),"")</f>
        <v/>
      </c>
      <c r="AJ197" s="23">
        <f>IFERROR(INDEX('Chart of Accounts'!$C$5:$C$3000,MATCH(X197&amp;"",'Chart of Accounts'!$A$5:$A$3000,0))&amp;"|"&amp;INDEX('Chart of Accounts'!$D$5:$D$3000,MATCH(X197&amp;"",'Chart of Accounts'!$A$5:$A$3000,0)),"")</f>
        <v/>
      </c>
      <c r="AK197" s="23">
        <f>IFERROR(INDEX('Chart of Accounts'!$C$5:$C$3000,MATCH(W197&amp;"",'Chart of Accounts'!$A$5:$A$3000,0))&amp;"|"&amp;INDEX('Chart of Accounts'!$D$5:$D$3000,MATCH(W197&amp;"",'Chart of Accounts'!$A$5:$A$3000,0)),"")</f>
        <v/>
      </c>
      <c r="AL197" s="23">
        <f>IF(LEFT(AG197,8)="Revenue|",-N(S197),0)+IF(LEFT(AH197,8)="Revenue|",-N(T197),0)+IF(LEFT(AI197,8)="Revenue|",N(AF197),0)+IF(LEFT(AJ197,8)="Revenue|",N(AC197),0)+IF(LEFT(AK197,8)="Revenue|",N(U197),0)</f>
        <v/>
      </c>
      <c r="AM197" s="23">
        <f>IF(LEFT(AG197,5)="COGS|",N(S197),0)+IF(LEFT(AH197,5)="COGS|",N(T197),0)+IF(LEFT(AI197,5)="COGS|",-N(AF197),0)+IF(LEFT(AJ197,5)="COGS|",-N(AC197),0)+IF(LEFT(AK197,5)="COGS|",-N(U197),0)</f>
        <v/>
      </c>
      <c r="AN197" s="23">
        <f>IF(LEFT(AG197,8)="Expense|",N(S197),0)+IF(LEFT(AH197,8)="Expense|",N(T197),0)+IF(LEFT(AI197,8)="Expense|",-N(AF197),0)+IF(LEFT(AJ197,8)="Expense|",-N(AC197),0)+IF(LEFT(AK197,8)="Expense|",-N(U197),0)</f>
        <v/>
      </c>
      <c r="AO197" s="23">
        <f>IF(ISNUMBER(MATCH(AG197,{"Expense|employee","Expense|general_admin","Expense|marketing","Expense|utilities","Expense|other_operating"},0)),N(S197),0)+IF(ISNUMBER(MATCH(AH197,{"Expense|employee","Expense|general_admin","Expense|marketing","Expense|utilities","Expense|other_operating"},0)),N(T197),0)+IF(ISNUMBER(MATCH(AI197,{"Expense|employee","Expense|general_admin","Expense|marketing","Expense|utilities","Expense|other_operating"},0)),-N(AF197),0)+IF(ISNUMBER(MATCH(AJ197,{"Expense|employee","Expense|general_admin","Expense|marketing","Expense|utilities","Expense|other_operating"},0)),-N(AC197),0)+IF(ISNUMBER(MATCH(AK197,{"Expense|employee","Expense|general_admin","Expense|marketing","Expense|utilities","Expense|other_operating"},0)),-N(U197),0)</f>
        <v/>
      </c>
      <c r="AP197" s="23">
        <f>IF(AG197="Liability|payable",-N(S197),0)+IF(AH197="Liability|payable",-N(T197),0)+IF(AI197="Liability|payable",N(AF197),0)+IF(AJ197="Liability|payable",N(AC197),0)+IF(AK197="Liability|payable",N(U197),0)</f>
        <v/>
      </c>
      <c r="AQ197" s="23">
        <f>IF(AG197="Liability|accrued",-N(S197),0)+IF(AH197="Liability|accrued",-N(T197),0)+IF(AI197="Liability|accrued",N(AF197),0)+IF(AJ197="Liability|accrued",N(AC197),0)+IF(AK197="Liability|accrued",N(U197),0)</f>
        <v/>
      </c>
      <c r="AR197" s="23">
        <f>IF(AND(N(S197)&lt;&gt;0,AG197=""),1,0)+IF(AND(N(T197)&lt;&gt;0,AH197=""),1,0)+IF(AND(N(AF197)&lt;&gt;0,AI197=""),1,0)+IF(AND(N(AC197)&lt;&gt;0,AJ197=""),1,0)+IF(AND(N(U197)&lt;&gt;0,AK197=""),1,0)</f>
        <v/>
      </c>
    </row>
    <row r="198">
      <c r="A198" s="19" t="n"/>
      <c r="B198" s="14" t="n"/>
      <c r="C198" s="14" t="n"/>
      <c r="D198" s="14" t="n"/>
      <c r="E198" s="14" t="n"/>
      <c r="F198" s="14" t="n"/>
      <c r="G198" s="14" t="n"/>
      <c r="H198" s="20" t="n"/>
      <c r="I198" s="14" t="n"/>
      <c r="J198" s="14" t="n"/>
      <c r="K198" s="20" t="n"/>
      <c r="L198" s="14" t="n"/>
      <c r="M198" s="14" t="n"/>
      <c r="N198" s="14" t="n"/>
      <c r="O198" s="14" t="n"/>
      <c r="P198" s="14" t="n"/>
      <c r="Q198" s="14" t="n"/>
      <c r="R198" s="14" t="n"/>
      <c r="S198" s="21">
        <f>ROUND(ABS(N(G198))*N(H198),2)</f>
        <v/>
      </c>
      <c r="T198" s="21">
        <f>IF(B198="Receipt",ROUND(S198*IFERROR(VLOOKUP(Q198,'Tax Codes'!$A$5:$E$300,5,FALSE),0),2),0)</f>
        <v/>
      </c>
      <c r="U198" s="21">
        <f>IF(B198="Receipt",ROUND(S198*IFERROR(VLOOKUP(R198,'Tax Codes'!$A$5:$E$300,5,FALSE),0),2),0)</f>
        <v/>
      </c>
      <c r="V198" s="16">
        <f>INDEX('Chart of Accounts'!$A$5:$A$3000,MATCH("vat_input",'Chart of Accounts'!$F$5:$F$3000,0))</f>
        <v/>
      </c>
      <c r="W198" s="16">
        <f>INDEX('Chart of Accounts'!$A$5:$A$3000,MATCH("wht_payable",'Chart of Accounts'!$F$5:$F$3000,0))</f>
        <v/>
      </c>
      <c r="X198" s="16">
        <f>IF(M198="",INDEX('Chart of Accounts'!$A$5:$A$3000,MATCH("bank",'Chart of Accounts'!$F$5:$F$3000,0)),M198&amp;"")</f>
        <v/>
      </c>
      <c r="Y198" s="16">
        <f>IF(N198="",INDEX('Chart of Accounts'!$A$5:$A$3000,MATCH("ap",'Chart of Accounts'!$F$5:$F$3000,0)),N198&amp;"")</f>
        <v/>
      </c>
      <c r="Z198" s="16">
        <f>IF(O198="",INDEX('Chart of Accounts'!$A$5:$A$3000,MATCH("materials",'Chart of Accounts'!$F$5:$F$3000,0)),O198&amp;"")</f>
        <v/>
      </c>
      <c r="AA198" s="16">
        <f>IF(IFERROR(INDEX(Warehouses!$C$5:$C$1000,MATCH(C198,Warehouses!$A$5:$A$1000,0))&amp;"","")="",INDEX('Chart of Accounts'!$A$5:$A$3000,MATCH("inventory",'Chart of Accounts'!$F$5:$F$3000,0)),IFERROR(INDEX(Warehouses!$C$5:$C$1000,MATCH(C198,Warehouses!$A$5:$A$1000,0))&amp;"",""))</f>
        <v/>
      </c>
      <c r="AB198" s="16">
        <f>IF(IFERROR(INDEX(Warehouses!$C$5:$C$1000,MATCH(D198,Warehouses!$A$5:$A$1000,0))&amp;"","")="",INDEX('Chart of Accounts'!$A$5:$A$3000,MATCH("inventory",'Chart of Accounts'!$F$5:$F$3000,0)),IFERROR(INDEX(Warehouses!$C$5:$C$1000,MATCH(D198,Warehouses!$A$5:$A$1000,0))&amp;"",""))</f>
        <v/>
      </c>
      <c r="AC198" s="21">
        <f>IF(B198="Receipt",N(K198),0)</f>
        <v/>
      </c>
      <c r="AD198" s="16">
        <f>IF(B198="Receipt",AA198,IF(B198="Issue",Z198,IF(B198="Transfer",AB198,IF(N(G198)&gt;=0,AA198,INDEX('Chart of Accounts'!$A$5:$A$3000,MATCH("stock_adjust",'Chart of Accounts'!$F$5:$F$3000,0))))))</f>
        <v/>
      </c>
      <c r="AE198" s="16">
        <f>IF(B198="Receipt",Y198,IF(B198="Adjustment",IF(N(G198)&gt;=0,INDEX('Chart of Accounts'!$A$5:$A$3000,MATCH("stock_adjust",'Chart of Accounts'!$F$5:$F$3000,0)),AA198),AA198))</f>
        <v/>
      </c>
      <c r="AF198" s="21">
        <f>S198+T198-U198-AC198</f>
        <v/>
      </c>
      <c r="AG198" s="23">
        <f>IFERROR(INDEX('Chart of Accounts'!$C$5:$C$3000,MATCH(AD198&amp;"",'Chart of Accounts'!$A$5:$A$3000,0))&amp;"|"&amp;INDEX('Chart of Accounts'!$D$5:$D$3000,MATCH(AD198&amp;"",'Chart of Accounts'!$A$5:$A$3000,0)),"")</f>
        <v/>
      </c>
      <c r="AH198" s="23">
        <f>IFERROR(INDEX('Chart of Accounts'!$C$5:$C$3000,MATCH(V198&amp;"",'Chart of Accounts'!$A$5:$A$3000,0))&amp;"|"&amp;INDEX('Chart of Accounts'!$D$5:$D$3000,MATCH(V198&amp;"",'Chart of Accounts'!$A$5:$A$3000,0)),"")</f>
        <v/>
      </c>
      <c r="AI198" s="23">
        <f>IFERROR(INDEX('Chart of Accounts'!$C$5:$C$3000,MATCH(AE198&amp;"",'Chart of Accounts'!$A$5:$A$3000,0))&amp;"|"&amp;INDEX('Chart of Accounts'!$D$5:$D$3000,MATCH(AE198&amp;"",'Chart of Accounts'!$A$5:$A$3000,0)),"")</f>
        <v/>
      </c>
      <c r="AJ198" s="23">
        <f>IFERROR(INDEX('Chart of Accounts'!$C$5:$C$3000,MATCH(X198&amp;"",'Chart of Accounts'!$A$5:$A$3000,0))&amp;"|"&amp;INDEX('Chart of Accounts'!$D$5:$D$3000,MATCH(X198&amp;"",'Chart of Accounts'!$A$5:$A$3000,0)),"")</f>
        <v/>
      </c>
      <c r="AK198" s="23">
        <f>IFERROR(INDEX('Chart of Accounts'!$C$5:$C$3000,MATCH(W198&amp;"",'Chart of Accounts'!$A$5:$A$3000,0))&amp;"|"&amp;INDEX('Chart of Accounts'!$D$5:$D$3000,MATCH(W198&amp;"",'Chart of Accounts'!$A$5:$A$3000,0)),"")</f>
        <v/>
      </c>
      <c r="AL198" s="23">
        <f>IF(LEFT(AG198,8)="Revenue|",-N(S198),0)+IF(LEFT(AH198,8)="Revenue|",-N(T198),0)+IF(LEFT(AI198,8)="Revenue|",N(AF198),0)+IF(LEFT(AJ198,8)="Revenue|",N(AC198),0)+IF(LEFT(AK198,8)="Revenue|",N(U198),0)</f>
        <v/>
      </c>
      <c r="AM198" s="23">
        <f>IF(LEFT(AG198,5)="COGS|",N(S198),0)+IF(LEFT(AH198,5)="COGS|",N(T198),0)+IF(LEFT(AI198,5)="COGS|",-N(AF198),0)+IF(LEFT(AJ198,5)="COGS|",-N(AC198),0)+IF(LEFT(AK198,5)="COGS|",-N(U198),0)</f>
        <v/>
      </c>
      <c r="AN198" s="23">
        <f>IF(LEFT(AG198,8)="Expense|",N(S198),0)+IF(LEFT(AH198,8)="Expense|",N(T198),0)+IF(LEFT(AI198,8)="Expense|",-N(AF198),0)+IF(LEFT(AJ198,8)="Expense|",-N(AC198),0)+IF(LEFT(AK198,8)="Expense|",-N(U198),0)</f>
        <v/>
      </c>
      <c r="AO198" s="23">
        <f>IF(ISNUMBER(MATCH(AG198,{"Expense|employee","Expense|general_admin","Expense|marketing","Expense|utilities","Expense|other_operating"},0)),N(S198),0)+IF(ISNUMBER(MATCH(AH198,{"Expense|employee","Expense|general_admin","Expense|marketing","Expense|utilities","Expense|other_operating"},0)),N(T198),0)+IF(ISNUMBER(MATCH(AI198,{"Expense|employee","Expense|general_admin","Expense|marketing","Expense|utilities","Expense|other_operating"},0)),-N(AF198),0)+IF(ISNUMBER(MATCH(AJ198,{"Expense|employee","Expense|general_admin","Expense|marketing","Expense|utilities","Expense|other_operating"},0)),-N(AC198),0)+IF(ISNUMBER(MATCH(AK198,{"Expense|employee","Expense|general_admin","Expense|marketing","Expense|utilities","Expense|other_operating"},0)),-N(U198),0)</f>
        <v/>
      </c>
      <c r="AP198" s="23">
        <f>IF(AG198="Liability|payable",-N(S198),0)+IF(AH198="Liability|payable",-N(T198),0)+IF(AI198="Liability|payable",N(AF198),0)+IF(AJ198="Liability|payable",N(AC198),0)+IF(AK198="Liability|payable",N(U198),0)</f>
        <v/>
      </c>
      <c r="AQ198" s="23">
        <f>IF(AG198="Liability|accrued",-N(S198),0)+IF(AH198="Liability|accrued",-N(T198),0)+IF(AI198="Liability|accrued",N(AF198),0)+IF(AJ198="Liability|accrued",N(AC198),0)+IF(AK198="Liability|accrued",N(U198),0)</f>
        <v/>
      </c>
      <c r="AR198" s="23">
        <f>IF(AND(N(S198)&lt;&gt;0,AG198=""),1,0)+IF(AND(N(T198)&lt;&gt;0,AH198=""),1,0)+IF(AND(N(AF198)&lt;&gt;0,AI198=""),1,0)+IF(AND(N(AC198)&lt;&gt;0,AJ198=""),1,0)+IF(AND(N(U198)&lt;&gt;0,AK198=""),1,0)</f>
        <v/>
      </c>
    </row>
    <row r="199">
      <c r="A199" s="19" t="n"/>
      <c r="B199" s="14" t="n"/>
      <c r="C199" s="14" t="n"/>
      <c r="D199" s="14" t="n"/>
      <c r="E199" s="14" t="n"/>
      <c r="F199" s="14" t="n"/>
      <c r="G199" s="14" t="n"/>
      <c r="H199" s="20" t="n"/>
      <c r="I199" s="14" t="n"/>
      <c r="J199" s="14" t="n"/>
      <c r="K199" s="20" t="n"/>
      <c r="L199" s="14" t="n"/>
      <c r="M199" s="14" t="n"/>
      <c r="N199" s="14" t="n"/>
      <c r="O199" s="14" t="n"/>
      <c r="P199" s="14" t="n"/>
      <c r="Q199" s="14" t="n"/>
      <c r="R199" s="14" t="n"/>
      <c r="S199" s="21">
        <f>ROUND(ABS(N(G199))*N(H199),2)</f>
        <v/>
      </c>
      <c r="T199" s="21">
        <f>IF(B199="Receipt",ROUND(S199*IFERROR(VLOOKUP(Q199,'Tax Codes'!$A$5:$E$300,5,FALSE),0),2),0)</f>
        <v/>
      </c>
      <c r="U199" s="21">
        <f>IF(B199="Receipt",ROUND(S199*IFERROR(VLOOKUP(R199,'Tax Codes'!$A$5:$E$300,5,FALSE),0),2),0)</f>
        <v/>
      </c>
      <c r="V199" s="16">
        <f>INDEX('Chart of Accounts'!$A$5:$A$3000,MATCH("vat_input",'Chart of Accounts'!$F$5:$F$3000,0))</f>
        <v/>
      </c>
      <c r="W199" s="16">
        <f>INDEX('Chart of Accounts'!$A$5:$A$3000,MATCH("wht_payable",'Chart of Accounts'!$F$5:$F$3000,0))</f>
        <v/>
      </c>
      <c r="X199" s="16">
        <f>IF(M199="",INDEX('Chart of Accounts'!$A$5:$A$3000,MATCH("bank",'Chart of Accounts'!$F$5:$F$3000,0)),M199&amp;"")</f>
        <v/>
      </c>
      <c r="Y199" s="16">
        <f>IF(N199="",INDEX('Chart of Accounts'!$A$5:$A$3000,MATCH("ap",'Chart of Accounts'!$F$5:$F$3000,0)),N199&amp;"")</f>
        <v/>
      </c>
      <c r="Z199" s="16">
        <f>IF(O199="",INDEX('Chart of Accounts'!$A$5:$A$3000,MATCH("materials",'Chart of Accounts'!$F$5:$F$3000,0)),O199&amp;"")</f>
        <v/>
      </c>
      <c r="AA199" s="16">
        <f>IF(IFERROR(INDEX(Warehouses!$C$5:$C$1000,MATCH(C199,Warehouses!$A$5:$A$1000,0))&amp;"","")="",INDEX('Chart of Accounts'!$A$5:$A$3000,MATCH("inventory",'Chart of Accounts'!$F$5:$F$3000,0)),IFERROR(INDEX(Warehouses!$C$5:$C$1000,MATCH(C199,Warehouses!$A$5:$A$1000,0))&amp;"",""))</f>
        <v/>
      </c>
      <c r="AB199" s="16">
        <f>IF(IFERROR(INDEX(Warehouses!$C$5:$C$1000,MATCH(D199,Warehouses!$A$5:$A$1000,0))&amp;"","")="",INDEX('Chart of Accounts'!$A$5:$A$3000,MATCH("inventory",'Chart of Accounts'!$F$5:$F$3000,0)),IFERROR(INDEX(Warehouses!$C$5:$C$1000,MATCH(D199,Warehouses!$A$5:$A$1000,0))&amp;"",""))</f>
        <v/>
      </c>
      <c r="AC199" s="21">
        <f>IF(B199="Receipt",N(K199),0)</f>
        <v/>
      </c>
      <c r="AD199" s="16">
        <f>IF(B199="Receipt",AA199,IF(B199="Issue",Z199,IF(B199="Transfer",AB199,IF(N(G199)&gt;=0,AA199,INDEX('Chart of Accounts'!$A$5:$A$3000,MATCH("stock_adjust",'Chart of Accounts'!$F$5:$F$3000,0))))))</f>
        <v/>
      </c>
      <c r="AE199" s="16">
        <f>IF(B199="Receipt",Y199,IF(B199="Adjustment",IF(N(G199)&gt;=0,INDEX('Chart of Accounts'!$A$5:$A$3000,MATCH("stock_adjust",'Chart of Accounts'!$F$5:$F$3000,0)),AA199),AA199))</f>
        <v/>
      </c>
      <c r="AF199" s="21">
        <f>S199+T199-U199-AC199</f>
        <v/>
      </c>
      <c r="AG199" s="23">
        <f>IFERROR(INDEX('Chart of Accounts'!$C$5:$C$3000,MATCH(AD199&amp;"",'Chart of Accounts'!$A$5:$A$3000,0))&amp;"|"&amp;INDEX('Chart of Accounts'!$D$5:$D$3000,MATCH(AD199&amp;"",'Chart of Accounts'!$A$5:$A$3000,0)),"")</f>
        <v/>
      </c>
      <c r="AH199" s="23">
        <f>IFERROR(INDEX('Chart of Accounts'!$C$5:$C$3000,MATCH(V199&amp;"",'Chart of Accounts'!$A$5:$A$3000,0))&amp;"|"&amp;INDEX('Chart of Accounts'!$D$5:$D$3000,MATCH(V199&amp;"",'Chart of Accounts'!$A$5:$A$3000,0)),"")</f>
        <v/>
      </c>
      <c r="AI199" s="23">
        <f>IFERROR(INDEX('Chart of Accounts'!$C$5:$C$3000,MATCH(AE199&amp;"",'Chart of Accounts'!$A$5:$A$3000,0))&amp;"|"&amp;INDEX('Chart of Accounts'!$D$5:$D$3000,MATCH(AE199&amp;"",'Chart of Accounts'!$A$5:$A$3000,0)),"")</f>
        <v/>
      </c>
      <c r="AJ199" s="23">
        <f>IFERROR(INDEX('Chart of Accounts'!$C$5:$C$3000,MATCH(X199&amp;"",'Chart of Accounts'!$A$5:$A$3000,0))&amp;"|"&amp;INDEX('Chart of Accounts'!$D$5:$D$3000,MATCH(X199&amp;"",'Chart of Accounts'!$A$5:$A$3000,0)),"")</f>
        <v/>
      </c>
      <c r="AK199" s="23">
        <f>IFERROR(INDEX('Chart of Accounts'!$C$5:$C$3000,MATCH(W199&amp;"",'Chart of Accounts'!$A$5:$A$3000,0))&amp;"|"&amp;INDEX('Chart of Accounts'!$D$5:$D$3000,MATCH(W199&amp;"",'Chart of Accounts'!$A$5:$A$3000,0)),"")</f>
        <v/>
      </c>
      <c r="AL199" s="23">
        <f>IF(LEFT(AG199,8)="Revenue|",-N(S199),0)+IF(LEFT(AH199,8)="Revenue|",-N(T199),0)+IF(LEFT(AI199,8)="Revenue|",N(AF199),0)+IF(LEFT(AJ199,8)="Revenue|",N(AC199),0)+IF(LEFT(AK199,8)="Revenue|",N(U199),0)</f>
        <v/>
      </c>
      <c r="AM199" s="23">
        <f>IF(LEFT(AG199,5)="COGS|",N(S199),0)+IF(LEFT(AH199,5)="COGS|",N(T199),0)+IF(LEFT(AI199,5)="COGS|",-N(AF199),0)+IF(LEFT(AJ199,5)="COGS|",-N(AC199),0)+IF(LEFT(AK199,5)="COGS|",-N(U199),0)</f>
        <v/>
      </c>
      <c r="AN199" s="23">
        <f>IF(LEFT(AG199,8)="Expense|",N(S199),0)+IF(LEFT(AH199,8)="Expense|",N(T199),0)+IF(LEFT(AI199,8)="Expense|",-N(AF199),0)+IF(LEFT(AJ199,8)="Expense|",-N(AC199),0)+IF(LEFT(AK199,8)="Expense|",-N(U199),0)</f>
        <v/>
      </c>
      <c r="AO199" s="23">
        <f>IF(ISNUMBER(MATCH(AG199,{"Expense|employee","Expense|general_admin","Expense|marketing","Expense|utilities","Expense|other_operating"},0)),N(S199),0)+IF(ISNUMBER(MATCH(AH199,{"Expense|employee","Expense|general_admin","Expense|marketing","Expense|utilities","Expense|other_operating"},0)),N(T199),0)+IF(ISNUMBER(MATCH(AI199,{"Expense|employee","Expense|general_admin","Expense|marketing","Expense|utilities","Expense|other_operating"},0)),-N(AF199),0)+IF(ISNUMBER(MATCH(AJ199,{"Expense|employee","Expense|general_admin","Expense|marketing","Expense|utilities","Expense|other_operating"},0)),-N(AC199),0)+IF(ISNUMBER(MATCH(AK199,{"Expense|employee","Expense|general_admin","Expense|marketing","Expense|utilities","Expense|other_operating"},0)),-N(U199),0)</f>
        <v/>
      </c>
      <c r="AP199" s="23">
        <f>IF(AG199="Liability|payable",-N(S199),0)+IF(AH199="Liability|payable",-N(T199),0)+IF(AI199="Liability|payable",N(AF199),0)+IF(AJ199="Liability|payable",N(AC199),0)+IF(AK199="Liability|payable",N(U199),0)</f>
        <v/>
      </c>
      <c r="AQ199" s="23">
        <f>IF(AG199="Liability|accrued",-N(S199),0)+IF(AH199="Liability|accrued",-N(T199),0)+IF(AI199="Liability|accrued",N(AF199),0)+IF(AJ199="Liability|accrued",N(AC199),0)+IF(AK199="Liability|accrued",N(U199),0)</f>
        <v/>
      </c>
      <c r="AR199" s="23">
        <f>IF(AND(N(S199)&lt;&gt;0,AG199=""),1,0)+IF(AND(N(T199)&lt;&gt;0,AH199=""),1,0)+IF(AND(N(AF199)&lt;&gt;0,AI199=""),1,0)+IF(AND(N(AC199)&lt;&gt;0,AJ199=""),1,0)+IF(AND(N(U199)&lt;&gt;0,AK199=""),1,0)</f>
        <v/>
      </c>
    </row>
    <row r="200">
      <c r="A200" s="19" t="n"/>
      <c r="B200" s="14" t="n"/>
      <c r="C200" s="14" t="n"/>
      <c r="D200" s="14" t="n"/>
      <c r="E200" s="14" t="n"/>
      <c r="F200" s="14" t="n"/>
      <c r="G200" s="14" t="n"/>
      <c r="H200" s="20" t="n"/>
      <c r="I200" s="14" t="n"/>
      <c r="J200" s="14" t="n"/>
      <c r="K200" s="20" t="n"/>
      <c r="L200" s="14" t="n"/>
      <c r="M200" s="14" t="n"/>
      <c r="N200" s="14" t="n"/>
      <c r="O200" s="14" t="n"/>
      <c r="P200" s="14" t="n"/>
      <c r="Q200" s="14" t="n"/>
      <c r="R200" s="14" t="n"/>
      <c r="S200" s="21">
        <f>ROUND(ABS(N(G200))*N(H200),2)</f>
        <v/>
      </c>
      <c r="T200" s="21">
        <f>IF(B200="Receipt",ROUND(S200*IFERROR(VLOOKUP(Q200,'Tax Codes'!$A$5:$E$300,5,FALSE),0),2),0)</f>
        <v/>
      </c>
      <c r="U200" s="21">
        <f>IF(B200="Receipt",ROUND(S200*IFERROR(VLOOKUP(R200,'Tax Codes'!$A$5:$E$300,5,FALSE),0),2),0)</f>
        <v/>
      </c>
      <c r="V200" s="16">
        <f>INDEX('Chart of Accounts'!$A$5:$A$3000,MATCH("vat_input",'Chart of Accounts'!$F$5:$F$3000,0))</f>
        <v/>
      </c>
      <c r="W200" s="16">
        <f>INDEX('Chart of Accounts'!$A$5:$A$3000,MATCH("wht_payable",'Chart of Accounts'!$F$5:$F$3000,0))</f>
        <v/>
      </c>
      <c r="X200" s="16">
        <f>IF(M200="",INDEX('Chart of Accounts'!$A$5:$A$3000,MATCH("bank",'Chart of Accounts'!$F$5:$F$3000,0)),M200&amp;"")</f>
        <v/>
      </c>
      <c r="Y200" s="16">
        <f>IF(N200="",INDEX('Chart of Accounts'!$A$5:$A$3000,MATCH("ap",'Chart of Accounts'!$F$5:$F$3000,0)),N200&amp;"")</f>
        <v/>
      </c>
      <c r="Z200" s="16">
        <f>IF(O200="",INDEX('Chart of Accounts'!$A$5:$A$3000,MATCH("materials",'Chart of Accounts'!$F$5:$F$3000,0)),O200&amp;"")</f>
        <v/>
      </c>
      <c r="AA200" s="16">
        <f>IF(IFERROR(INDEX(Warehouses!$C$5:$C$1000,MATCH(C200,Warehouses!$A$5:$A$1000,0))&amp;"","")="",INDEX('Chart of Accounts'!$A$5:$A$3000,MATCH("inventory",'Chart of Accounts'!$F$5:$F$3000,0)),IFERROR(INDEX(Warehouses!$C$5:$C$1000,MATCH(C200,Warehouses!$A$5:$A$1000,0))&amp;"",""))</f>
        <v/>
      </c>
      <c r="AB200" s="16">
        <f>IF(IFERROR(INDEX(Warehouses!$C$5:$C$1000,MATCH(D200,Warehouses!$A$5:$A$1000,0))&amp;"","")="",INDEX('Chart of Accounts'!$A$5:$A$3000,MATCH("inventory",'Chart of Accounts'!$F$5:$F$3000,0)),IFERROR(INDEX(Warehouses!$C$5:$C$1000,MATCH(D200,Warehouses!$A$5:$A$1000,0))&amp;"",""))</f>
        <v/>
      </c>
      <c r="AC200" s="21">
        <f>IF(B200="Receipt",N(K200),0)</f>
        <v/>
      </c>
      <c r="AD200" s="16">
        <f>IF(B200="Receipt",AA200,IF(B200="Issue",Z200,IF(B200="Transfer",AB200,IF(N(G200)&gt;=0,AA200,INDEX('Chart of Accounts'!$A$5:$A$3000,MATCH("stock_adjust",'Chart of Accounts'!$F$5:$F$3000,0))))))</f>
        <v/>
      </c>
      <c r="AE200" s="16">
        <f>IF(B200="Receipt",Y200,IF(B200="Adjustment",IF(N(G200)&gt;=0,INDEX('Chart of Accounts'!$A$5:$A$3000,MATCH("stock_adjust",'Chart of Accounts'!$F$5:$F$3000,0)),AA200),AA200))</f>
        <v/>
      </c>
      <c r="AF200" s="21">
        <f>S200+T200-U200-AC200</f>
        <v/>
      </c>
      <c r="AG200" s="23">
        <f>IFERROR(INDEX('Chart of Accounts'!$C$5:$C$3000,MATCH(AD200&amp;"",'Chart of Accounts'!$A$5:$A$3000,0))&amp;"|"&amp;INDEX('Chart of Accounts'!$D$5:$D$3000,MATCH(AD200&amp;"",'Chart of Accounts'!$A$5:$A$3000,0)),"")</f>
        <v/>
      </c>
      <c r="AH200" s="23">
        <f>IFERROR(INDEX('Chart of Accounts'!$C$5:$C$3000,MATCH(V200&amp;"",'Chart of Accounts'!$A$5:$A$3000,0))&amp;"|"&amp;INDEX('Chart of Accounts'!$D$5:$D$3000,MATCH(V200&amp;"",'Chart of Accounts'!$A$5:$A$3000,0)),"")</f>
        <v/>
      </c>
      <c r="AI200" s="23">
        <f>IFERROR(INDEX('Chart of Accounts'!$C$5:$C$3000,MATCH(AE200&amp;"",'Chart of Accounts'!$A$5:$A$3000,0))&amp;"|"&amp;INDEX('Chart of Accounts'!$D$5:$D$3000,MATCH(AE200&amp;"",'Chart of Accounts'!$A$5:$A$3000,0)),"")</f>
        <v/>
      </c>
      <c r="AJ200" s="23">
        <f>IFERROR(INDEX('Chart of Accounts'!$C$5:$C$3000,MATCH(X200&amp;"",'Chart of Accounts'!$A$5:$A$3000,0))&amp;"|"&amp;INDEX('Chart of Accounts'!$D$5:$D$3000,MATCH(X200&amp;"",'Chart of Accounts'!$A$5:$A$3000,0)),"")</f>
        <v/>
      </c>
      <c r="AK200" s="23">
        <f>IFERROR(INDEX('Chart of Accounts'!$C$5:$C$3000,MATCH(W200&amp;"",'Chart of Accounts'!$A$5:$A$3000,0))&amp;"|"&amp;INDEX('Chart of Accounts'!$D$5:$D$3000,MATCH(W200&amp;"",'Chart of Accounts'!$A$5:$A$3000,0)),"")</f>
        <v/>
      </c>
      <c r="AL200" s="23">
        <f>IF(LEFT(AG200,8)="Revenue|",-N(S200),0)+IF(LEFT(AH200,8)="Revenue|",-N(T200),0)+IF(LEFT(AI200,8)="Revenue|",N(AF200),0)+IF(LEFT(AJ200,8)="Revenue|",N(AC200),0)+IF(LEFT(AK200,8)="Revenue|",N(U200),0)</f>
        <v/>
      </c>
      <c r="AM200" s="23">
        <f>IF(LEFT(AG200,5)="COGS|",N(S200),0)+IF(LEFT(AH200,5)="COGS|",N(T200),0)+IF(LEFT(AI200,5)="COGS|",-N(AF200),0)+IF(LEFT(AJ200,5)="COGS|",-N(AC200),0)+IF(LEFT(AK200,5)="COGS|",-N(U200),0)</f>
        <v/>
      </c>
      <c r="AN200" s="23">
        <f>IF(LEFT(AG200,8)="Expense|",N(S200),0)+IF(LEFT(AH200,8)="Expense|",N(T200),0)+IF(LEFT(AI200,8)="Expense|",-N(AF200),0)+IF(LEFT(AJ200,8)="Expense|",-N(AC200),0)+IF(LEFT(AK200,8)="Expense|",-N(U200),0)</f>
        <v/>
      </c>
      <c r="AO200" s="23">
        <f>IF(ISNUMBER(MATCH(AG200,{"Expense|employee","Expense|general_admin","Expense|marketing","Expense|utilities","Expense|other_operating"},0)),N(S200),0)+IF(ISNUMBER(MATCH(AH200,{"Expense|employee","Expense|general_admin","Expense|marketing","Expense|utilities","Expense|other_operating"},0)),N(T200),0)+IF(ISNUMBER(MATCH(AI200,{"Expense|employee","Expense|general_admin","Expense|marketing","Expense|utilities","Expense|other_operating"},0)),-N(AF200),0)+IF(ISNUMBER(MATCH(AJ200,{"Expense|employee","Expense|general_admin","Expense|marketing","Expense|utilities","Expense|other_operating"},0)),-N(AC200),0)+IF(ISNUMBER(MATCH(AK200,{"Expense|employee","Expense|general_admin","Expense|marketing","Expense|utilities","Expense|other_operating"},0)),-N(U200),0)</f>
        <v/>
      </c>
      <c r="AP200" s="23">
        <f>IF(AG200="Liability|payable",-N(S200),0)+IF(AH200="Liability|payable",-N(T200),0)+IF(AI200="Liability|payable",N(AF200),0)+IF(AJ200="Liability|payable",N(AC200),0)+IF(AK200="Liability|payable",N(U200),0)</f>
        <v/>
      </c>
      <c r="AQ200" s="23">
        <f>IF(AG200="Liability|accrued",-N(S200),0)+IF(AH200="Liability|accrued",-N(T200),0)+IF(AI200="Liability|accrued",N(AF200),0)+IF(AJ200="Liability|accrued",N(AC200),0)+IF(AK200="Liability|accrued",N(U200),0)</f>
        <v/>
      </c>
      <c r="AR200" s="23">
        <f>IF(AND(N(S200)&lt;&gt;0,AG200=""),1,0)+IF(AND(N(T200)&lt;&gt;0,AH200=""),1,0)+IF(AND(N(AF200)&lt;&gt;0,AI200=""),1,0)+IF(AND(N(AC200)&lt;&gt;0,AJ200=""),1,0)+IF(AND(N(U200)&lt;&gt;0,AK200=""),1,0)</f>
        <v/>
      </c>
    </row>
    <row r="201">
      <c r="A201" s="19" t="n"/>
      <c r="B201" s="14" t="n"/>
      <c r="C201" s="14" t="n"/>
      <c r="D201" s="14" t="n"/>
      <c r="E201" s="14" t="n"/>
      <c r="F201" s="14" t="n"/>
      <c r="G201" s="14" t="n"/>
      <c r="H201" s="20" t="n"/>
      <c r="I201" s="14" t="n"/>
      <c r="J201" s="14" t="n"/>
      <c r="K201" s="20" t="n"/>
      <c r="L201" s="14" t="n"/>
      <c r="M201" s="14" t="n"/>
      <c r="N201" s="14" t="n"/>
      <c r="O201" s="14" t="n"/>
      <c r="P201" s="14" t="n"/>
      <c r="Q201" s="14" t="n"/>
      <c r="R201" s="14" t="n"/>
      <c r="S201" s="21">
        <f>ROUND(ABS(N(G201))*N(H201),2)</f>
        <v/>
      </c>
      <c r="T201" s="21">
        <f>IF(B201="Receipt",ROUND(S201*IFERROR(VLOOKUP(Q201,'Tax Codes'!$A$5:$E$300,5,FALSE),0),2),0)</f>
        <v/>
      </c>
      <c r="U201" s="21">
        <f>IF(B201="Receipt",ROUND(S201*IFERROR(VLOOKUP(R201,'Tax Codes'!$A$5:$E$300,5,FALSE),0),2),0)</f>
        <v/>
      </c>
      <c r="V201" s="16">
        <f>INDEX('Chart of Accounts'!$A$5:$A$3000,MATCH("vat_input",'Chart of Accounts'!$F$5:$F$3000,0))</f>
        <v/>
      </c>
      <c r="W201" s="16">
        <f>INDEX('Chart of Accounts'!$A$5:$A$3000,MATCH("wht_payable",'Chart of Accounts'!$F$5:$F$3000,0))</f>
        <v/>
      </c>
      <c r="X201" s="16">
        <f>IF(M201="",INDEX('Chart of Accounts'!$A$5:$A$3000,MATCH("bank",'Chart of Accounts'!$F$5:$F$3000,0)),M201&amp;"")</f>
        <v/>
      </c>
      <c r="Y201" s="16">
        <f>IF(N201="",INDEX('Chart of Accounts'!$A$5:$A$3000,MATCH("ap",'Chart of Accounts'!$F$5:$F$3000,0)),N201&amp;"")</f>
        <v/>
      </c>
      <c r="Z201" s="16">
        <f>IF(O201="",INDEX('Chart of Accounts'!$A$5:$A$3000,MATCH("materials",'Chart of Accounts'!$F$5:$F$3000,0)),O201&amp;"")</f>
        <v/>
      </c>
      <c r="AA201" s="16">
        <f>IF(IFERROR(INDEX(Warehouses!$C$5:$C$1000,MATCH(C201,Warehouses!$A$5:$A$1000,0))&amp;"","")="",INDEX('Chart of Accounts'!$A$5:$A$3000,MATCH("inventory",'Chart of Accounts'!$F$5:$F$3000,0)),IFERROR(INDEX(Warehouses!$C$5:$C$1000,MATCH(C201,Warehouses!$A$5:$A$1000,0))&amp;"",""))</f>
        <v/>
      </c>
      <c r="AB201" s="16">
        <f>IF(IFERROR(INDEX(Warehouses!$C$5:$C$1000,MATCH(D201,Warehouses!$A$5:$A$1000,0))&amp;"","")="",INDEX('Chart of Accounts'!$A$5:$A$3000,MATCH("inventory",'Chart of Accounts'!$F$5:$F$3000,0)),IFERROR(INDEX(Warehouses!$C$5:$C$1000,MATCH(D201,Warehouses!$A$5:$A$1000,0))&amp;"",""))</f>
        <v/>
      </c>
      <c r="AC201" s="21">
        <f>IF(B201="Receipt",N(K201),0)</f>
        <v/>
      </c>
      <c r="AD201" s="16">
        <f>IF(B201="Receipt",AA201,IF(B201="Issue",Z201,IF(B201="Transfer",AB201,IF(N(G201)&gt;=0,AA201,INDEX('Chart of Accounts'!$A$5:$A$3000,MATCH("stock_adjust",'Chart of Accounts'!$F$5:$F$3000,0))))))</f>
        <v/>
      </c>
      <c r="AE201" s="16">
        <f>IF(B201="Receipt",Y201,IF(B201="Adjustment",IF(N(G201)&gt;=0,INDEX('Chart of Accounts'!$A$5:$A$3000,MATCH("stock_adjust",'Chart of Accounts'!$F$5:$F$3000,0)),AA201),AA201))</f>
        <v/>
      </c>
      <c r="AF201" s="21">
        <f>S201+T201-U201-AC201</f>
        <v/>
      </c>
      <c r="AG201" s="23">
        <f>IFERROR(INDEX('Chart of Accounts'!$C$5:$C$3000,MATCH(AD201&amp;"",'Chart of Accounts'!$A$5:$A$3000,0))&amp;"|"&amp;INDEX('Chart of Accounts'!$D$5:$D$3000,MATCH(AD201&amp;"",'Chart of Accounts'!$A$5:$A$3000,0)),"")</f>
        <v/>
      </c>
      <c r="AH201" s="23">
        <f>IFERROR(INDEX('Chart of Accounts'!$C$5:$C$3000,MATCH(V201&amp;"",'Chart of Accounts'!$A$5:$A$3000,0))&amp;"|"&amp;INDEX('Chart of Accounts'!$D$5:$D$3000,MATCH(V201&amp;"",'Chart of Accounts'!$A$5:$A$3000,0)),"")</f>
        <v/>
      </c>
      <c r="AI201" s="23">
        <f>IFERROR(INDEX('Chart of Accounts'!$C$5:$C$3000,MATCH(AE201&amp;"",'Chart of Accounts'!$A$5:$A$3000,0))&amp;"|"&amp;INDEX('Chart of Accounts'!$D$5:$D$3000,MATCH(AE201&amp;"",'Chart of Accounts'!$A$5:$A$3000,0)),"")</f>
        <v/>
      </c>
      <c r="AJ201" s="23">
        <f>IFERROR(INDEX('Chart of Accounts'!$C$5:$C$3000,MATCH(X201&amp;"",'Chart of Accounts'!$A$5:$A$3000,0))&amp;"|"&amp;INDEX('Chart of Accounts'!$D$5:$D$3000,MATCH(X201&amp;"",'Chart of Accounts'!$A$5:$A$3000,0)),"")</f>
        <v/>
      </c>
      <c r="AK201" s="23">
        <f>IFERROR(INDEX('Chart of Accounts'!$C$5:$C$3000,MATCH(W201&amp;"",'Chart of Accounts'!$A$5:$A$3000,0))&amp;"|"&amp;INDEX('Chart of Accounts'!$D$5:$D$3000,MATCH(W201&amp;"",'Chart of Accounts'!$A$5:$A$3000,0)),"")</f>
        <v/>
      </c>
      <c r="AL201" s="23">
        <f>IF(LEFT(AG201,8)="Revenue|",-N(S201),0)+IF(LEFT(AH201,8)="Revenue|",-N(T201),0)+IF(LEFT(AI201,8)="Revenue|",N(AF201),0)+IF(LEFT(AJ201,8)="Revenue|",N(AC201),0)+IF(LEFT(AK201,8)="Revenue|",N(U201),0)</f>
        <v/>
      </c>
      <c r="AM201" s="23">
        <f>IF(LEFT(AG201,5)="COGS|",N(S201),0)+IF(LEFT(AH201,5)="COGS|",N(T201),0)+IF(LEFT(AI201,5)="COGS|",-N(AF201),0)+IF(LEFT(AJ201,5)="COGS|",-N(AC201),0)+IF(LEFT(AK201,5)="COGS|",-N(U201),0)</f>
        <v/>
      </c>
      <c r="AN201" s="23">
        <f>IF(LEFT(AG201,8)="Expense|",N(S201),0)+IF(LEFT(AH201,8)="Expense|",N(T201),0)+IF(LEFT(AI201,8)="Expense|",-N(AF201),0)+IF(LEFT(AJ201,8)="Expense|",-N(AC201),0)+IF(LEFT(AK201,8)="Expense|",-N(U201),0)</f>
        <v/>
      </c>
      <c r="AO201" s="23">
        <f>IF(ISNUMBER(MATCH(AG201,{"Expense|employee","Expense|general_admin","Expense|marketing","Expense|utilities","Expense|other_operating"},0)),N(S201),0)+IF(ISNUMBER(MATCH(AH201,{"Expense|employee","Expense|general_admin","Expense|marketing","Expense|utilities","Expense|other_operating"},0)),N(T201),0)+IF(ISNUMBER(MATCH(AI201,{"Expense|employee","Expense|general_admin","Expense|marketing","Expense|utilities","Expense|other_operating"},0)),-N(AF201),0)+IF(ISNUMBER(MATCH(AJ201,{"Expense|employee","Expense|general_admin","Expense|marketing","Expense|utilities","Expense|other_operating"},0)),-N(AC201),0)+IF(ISNUMBER(MATCH(AK201,{"Expense|employee","Expense|general_admin","Expense|marketing","Expense|utilities","Expense|other_operating"},0)),-N(U201),0)</f>
        <v/>
      </c>
      <c r="AP201" s="23">
        <f>IF(AG201="Liability|payable",-N(S201),0)+IF(AH201="Liability|payable",-N(T201),0)+IF(AI201="Liability|payable",N(AF201),0)+IF(AJ201="Liability|payable",N(AC201),0)+IF(AK201="Liability|payable",N(U201),0)</f>
        <v/>
      </c>
      <c r="AQ201" s="23">
        <f>IF(AG201="Liability|accrued",-N(S201),0)+IF(AH201="Liability|accrued",-N(T201),0)+IF(AI201="Liability|accrued",N(AF201),0)+IF(AJ201="Liability|accrued",N(AC201),0)+IF(AK201="Liability|accrued",N(U201),0)</f>
        <v/>
      </c>
      <c r="AR201" s="23">
        <f>IF(AND(N(S201)&lt;&gt;0,AG201=""),1,0)+IF(AND(N(T201)&lt;&gt;0,AH201=""),1,0)+IF(AND(N(AF201)&lt;&gt;0,AI201=""),1,0)+IF(AND(N(AC201)&lt;&gt;0,AJ201=""),1,0)+IF(AND(N(U201)&lt;&gt;0,AK201=""),1,0)</f>
        <v/>
      </c>
    </row>
    <row r="202">
      <c r="A202" s="19" t="n"/>
      <c r="B202" s="14" t="n"/>
      <c r="C202" s="14" t="n"/>
      <c r="D202" s="14" t="n"/>
      <c r="E202" s="14" t="n"/>
      <c r="F202" s="14" t="n"/>
      <c r="G202" s="14" t="n"/>
      <c r="H202" s="20" t="n"/>
      <c r="I202" s="14" t="n"/>
      <c r="J202" s="14" t="n"/>
      <c r="K202" s="20" t="n"/>
      <c r="L202" s="14" t="n"/>
      <c r="M202" s="14" t="n"/>
      <c r="N202" s="14" t="n"/>
      <c r="O202" s="14" t="n"/>
      <c r="P202" s="14" t="n"/>
      <c r="Q202" s="14" t="n"/>
      <c r="R202" s="14" t="n"/>
      <c r="S202" s="21">
        <f>ROUND(ABS(N(G202))*N(H202),2)</f>
        <v/>
      </c>
      <c r="T202" s="21">
        <f>IF(B202="Receipt",ROUND(S202*IFERROR(VLOOKUP(Q202,'Tax Codes'!$A$5:$E$300,5,FALSE),0),2),0)</f>
        <v/>
      </c>
      <c r="U202" s="21">
        <f>IF(B202="Receipt",ROUND(S202*IFERROR(VLOOKUP(R202,'Tax Codes'!$A$5:$E$300,5,FALSE),0),2),0)</f>
        <v/>
      </c>
      <c r="V202" s="16">
        <f>INDEX('Chart of Accounts'!$A$5:$A$3000,MATCH("vat_input",'Chart of Accounts'!$F$5:$F$3000,0))</f>
        <v/>
      </c>
      <c r="W202" s="16">
        <f>INDEX('Chart of Accounts'!$A$5:$A$3000,MATCH("wht_payable",'Chart of Accounts'!$F$5:$F$3000,0))</f>
        <v/>
      </c>
      <c r="X202" s="16">
        <f>IF(M202="",INDEX('Chart of Accounts'!$A$5:$A$3000,MATCH("bank",'Chart of Accounts'!$F$5:$F$3000,0)),M202&amp;"")</f>
        <v/>
      </c>
      <c r="Y202" s="16">
        <f>IF(N202="",INDEX('Chart of Accounts'!$A$5:$A$3000,MATCH("ap",'Chart of Accounts'!$F$5:$F$3000,0)),N202&amp;"")</f>
        <v/>
      </c>
      <c r="Z202" s="16">
        <f>IF(O202="",INDEX('Chart of Accounts'!$A$5:$A$3000,MATCH("materials",'Chart of Accounts'!$F$5:$F$3000,0)),O202&amp;"")</f>
        <v/>
      </c>
      <c r="AA202" s="16">
        <f>IF(IFERROR(INDEX(Warehouses!$C$5:$C$1000,MATCH(C202,Warehouses!$A$5:$A$1000,0))&amp;"","")="",INDEX('Chart of Accounts'!$A$5:$A$3000,MATCH("inventory",'Chart of Accounts'!$F$5:$F$3000,0)),IFERROR(INDEX(Warehouses!$C$5:$C$1000,MATCH(C202,Warehouses!$A$5:$A$1000,0))&amp;"",""))</f>
        <v/>
      </c>
      <c r="AB202" s="16">
        <f>IF(IFERROR(INDEX(Warehouses!$C$5:$C$1000,MATCH(D202,Warehouses!$A$5:$A$1000,0))&amp;"","")="",INDEX('Chart of Accounts'!$A$5:$A$3000,MATCH("inventory",'Chart of Accounts'!$F$5:$F$3000,0)),IFERROR(INDEX(Warehouses!$C$5:$C$1000,MATCH(D202,Warehouses!$A$5:$A$1000,0))&amp;"",""))</f>
        <v/>
      </c>
      <c r="AC202" s="21">
        <f>IF(B202="Receipt",N(K202),0)</f>
        <v/>
      </c>
      <c r="AD202" s="16">
        <f>IF(B202="Receipt",AA202,IF(B202="Issue",Z202,IF(B202="Transfer",AB202,IF(N(G202)&gt;=0,AA202,INDEX('Chart of Accounts'!$A$5:$A$3000,MATCH("stock_adjust",'Chart of Accounts'!$F$5:$F$3000,0))))))</f>
        <v/>
      </c>
      <c r="AE202" s="16">
        <f>IF(B202="Receipt",Y202,IF(B202="Adjustment",IF(N(G202)&gt;=0,INDEX('Chart of Accounts'!$A$5:$A$3000,MATCH("stock_adjust",'Chart of Accounts'!$F$5:$F$3000,0)),AA202),AA202))</f>
        <v/>
      </c>
      <c r="AF202" s="21">
        <f>S202+T202-U202-AC202</f>
        <v/>
      </c>
      <c r="AG202" s="23">
        <f>IFERROR(INDEX('Chart of Accounts'!$C$5:$C$3000,MATCH(AD202&amp;"",'Chart of Accounts'!$A$5:$A$3000,0))&amp;"|"&amp;INDEX('Chart of Accounts'!$D$5:$D$3000,MATCH(AD202&amp;"",'Chart of Accounts'!$A$5:$A$3000,0)),"")</f>
        <v/>
      </c>
      <c r="AH202" s="23">
        <f>IFERROR(INDEX('Chart of Accounts'!$C$5:$C$3000,MATCH(V202&amp;"",'Chart of Accounts'!$A$5:$A$3000,0))&amp;"|"&amp;INDEX('Chart of Accounts'!$D$5:$D$3000,MATCH(V202&amp;"",'Chart of Accounts'!$A$5:$A$3000,0)),"")</f>
        <v/>
      </c>
      <c r="AI202" s="23">
        <f>IFERROR(INDEX('Chart of Accounts'!$C$5:$C$3000,MATCH(AE202&amp;"",'Chart of Accounts'!$A$5:$A$3000,0))&amp;"|"&amp;INDEX('Chart of Accounts'!$D$5:$D$3000,MATCH(AE202&amp;"",'Chart of Accounts'!$A$5:$A$3000,0)),"")</f>
        <v/>
      </c>
      <c r="AJ202" s="23">
        <f>IFERROR(INDEX('Chart of Accounts'!$C$5:$C$3000,MATCH(X202&amp;"",'Chart of Accounts'!$A$5:$A$3000,0))&amp;"|"&amp;INDEX('Chart of Accounts'!$D$5:$D$3000,MATCH(X202&amp;"",'Chart of Accounts'!$A$5:$A$3000,0)),"")</f>
        <v/>
      </c>
      <c r="AK202" s="23">
        <f>IFERROR(INDEX('Chart of Accounts'!$C$5:$C$3000,MATCH(W202&amp;"",'Chart of Accounts'!$A$5:$A$3000,0))&amp;"|"&amp;INDEX('Chart of Accounts'!$D$5:$D$3000,MATCH(W202&amp;"",'Chart of Accounts'!$A$5:$A$3000,0)),"")</f>
        <v/>
      </c>
      <c r="AL202" s="23">
        <f>IF(LEFT(AG202,8)="Revenue|",-N(S202),0)+IF(LEFT(AH202,8)="Revenue|",-N(T202),0)+IF(LEFT(AI202,8)="Revenue|",N(AF202),0)+IF(LEFT(AJ202,8)="Revenue|",N(AC202),0)+IF(LEFT(AK202,8)="Revenue|",N(U202),0)</f>
        <v/>
      </c>
      <c r="AM202" s="23">
        <f>IF(LEFT(AG202,5)="COGS|",N(S202),0)+IF(LEFT(AH202,5)="COGS|",N(T202),0)+IF(LEFT(AI202,5)="COGS|",-N(AF202),0)+IF(LEFT(AJ202,5)="COGS|",-N(AC202),0)+IF(LEFT(AK202,5)="COGS|",-N(U202),0)</f>
        <v/>
      </c>
      <c r="AN202" s="23">
        <f>IF(LEFT(AG202,8)="Expense|",N(S202),0)+IF(LEFT(AH202,8)="Expense|",N(T202),0)+IF(LEFT(AI202,8)="Expense|",-N(AF202),0)+IF(LEFT(AJ202,8)="Expense|",-N(AC202),0)+IF(LEFT(AK202,8)="Expense|",-N(U202),0)</f>
        <v/>
      </c>
      <c r="AO202" s="23">
        <f>IF(ISNUMBER(MATCH(AG202,{"Expense|employee","Expense|general_admin","Expense|marketing","Expense|utilities","Expense|other_operating"},0)),N(S202),0)+IF(ISNUMBER(MATCH(AH202,{"Expense|employee","Expense|general_admin","Expense|marketing","Expense|utilities","Expense|other_operating"},0)),N(T202),0)+IF(ISNUMBER(MATCH(AI202,{"Expense|employee","Expense|general_admin","Expense|marketing","Expense|utilities","Expense|other_operating"},0)),-N(AF202),0)+IF(ISNUMBER(MATCH(AJ202,{"Expense|employee","Expense|general_admin","Expense|marketing","Expense|utilities","Expense|other_operating"},0)),-N(AC202),0)+IF(ISNUMBER(MATCH(AK202,{"Expense|employee","Expense|general_admin","Expense|marketing","Expense|utilities","Expense|other_operating"},0)),-N(U202),0)</f>
        <v/>
      </c>
      <c r="AP202" s="23">
        <f>IF(AG202="Liability|payable",-N(S202),0)+IF(AH202="Liability|payable",-N(T202),0)+IF(AI202="Liability|payable",N(AF202),0)+IF(AJ202="Liability|payable",N(AC202),0)+IF(AK202="Liability|payable",N(U202),0)</f>
        <v/>
      </c>
      <c r="AQ202" s="23">
        <f>IF(AG202="Liability|accrued",-N(S202),0)+IF(AH202="Liability|accrued",-N(T202),0)+IF(AI202="Liability|accrued",N(AF202),0)+IF(AJ202="Liability|accrued",N(AC202),0)+IF(AK202="Liability|accrued",N(U202),0)</f>
        <v/>
      </c>
      <c r="AR202" s="23">
        <f>IF(AND(N(S202)&lt;&gt;0,AG202=""),1,0)+IF(AND(N(T202)&lt;&gt;0,AH202=""),1,0)+IF(AND(N(AF202)&lt;&gt;0,AI202=""),1,0)+IF(AND(N(AC202)&lt;&gt;0,AJ202=""),1,0)+IF(AND(N(U202)&lt;&gt;0,AK202=""),1,0)</f>
        <v/>
      </c>
    </row>
    <row r="203">
      <c r="A203" s="19" t="n"/>
      <c r="B203" s="14" t="n"/>
      <c r="C203" s="14" t="n"/>
      <c r="D203" s="14" t="n"/>
      <c r="E203" s="14" t="n"/>
      <c r="F203" s="14" t="n"/>
      <c r="G203" s="14" t="n"/>
      <c r="H203" s="20" t="n"/>
      <c r="I203" s="14" t="n"/>
      <c r="J203" s="14" t="n"/>
      <c r="K203" s="20" t="n"/>
      <c r="L203" s="14" t="n"/>
      <c r="M203" s="14" t="n"/>
      <c r="N203" s="14" t="n"/>
      <c r="O203" s="14" t="n"/>
      <c r="P203" s="14" t="n"/>
      <c r="Q203" s="14" t="n"/>
      <c r="R203" s="14" t="n"/>
      <c r="S203" s="21">
        <f>ROUND(ABS(N(G203))*N(H203),2)</f>
        <v/>
      </c>
      <c r="T203" s="21">
        <f>IF(B203="Receipt",ROUND(S203*IFERROR(VLOOKUP(Q203,'Tax Codes'!$A$5:$E$300,5,FALSE),0),2),0)</f>
        <v/>
      </c>
      <c r="U203" s="21">
        <f>IF(B203="Receipt",ROUND(S203*IFERROR(VLOOKUP(R203,'Tax Codes'!$A$5:$E$300,5,FALSE),0),2),0)</f>
        <v/>
      </c>
      <c r="V203" s="16">
        <f>INDEX('Chart of Accounts'!$A$5:$A$3000,MATCH("vat_input",'Chart of Accounts'!$F$5:$F$3000,0))</f>
        <v/>
      </c>
      <c r="W203" s="16">
        <f>INDEX('Chart of Accounts'!$A$5:$A$3000,MATCH("wht_payable",'Chart of Accounts'!$F$5:$F$3000,0))</f>
        <v/>
      </c>
      <c r="X203" s="16">
        <f>IF(M203="",INDEX('Chart of Accounts'!$A$5:$A$3000,MATCH("bank",'Chart of Accounts'!$F$5:$F$3000,0)),M203&amp;"")</f>
        <v/>
      </c>
      <c r="Y203" s="16">
        <f>IF(N203="",INDEX('Chart of Accounts'!$A$5:$A$3000,MATCH("ap",'Chart of Accounts'!$F$5:$F$3000,0)),N203&amp;"")</f>
        <v/>
      </c>
      <c r="Z203" s="16">
        <f>IF(O203="",INDEX('Chart of Accounts'!$A$5:$A$3000,MATCH("materials",'Chart of Accounts'!$F$5:$F$3000,0)),O203&amp;"")</f>
        <v/>
      </c>
      <c r="AA203" s="16">
        <f>IF(IFERROR(INDEX(Warehouses!$C$5:$C$1000,MATCH(C203,Warehouses!$A$5:$A$1000,0))&amp;"","")="",INDEX('Chart of Accounts'!$A$5:$A$3000,MATCH("inventory",'Chart of Accounts'!$F$5:$F$3000,0)),IFERROR(INDEX(Warehouses!$C$5:$C$1000,MATCH(C203,Warehouses!$A$5:$A$1000,0))&amp;"",""))</f>
        <v/>
      </c>
      <c r="AB203" s="16">
        <f>IF(IFERROR(INDEX(Warehouses!$C$5:$C$1000,MATCH(D203,Warehouses!$A$5:$A$1000,0))&amp;"","")="",INDEX('Chart of Accounts'!$A$5:$A$3000,MATCH("inventory",'Chart of Accounts'!$F$5:$F$3000,0)),IFERROR(INDEX(Warehouses!$C$5:$C$1000,MATCH(D203,Warehouses!$A$5:$A$1000,0))&amp;"",""))</f>
        <v/>
      </c>
      <c r="AC203" s="21">
        <f>IF(B203="Receipt",N(K203),0)</f>
        <v/>
      </c>
      <c r="AD203" s="16">
        <f>IF(B203="Receipt",AA203,IF(B203="Issue",Z203,IF(B203="Transfer",AB203,IF(N(G203)&gt;=0,AA203,INDEX('Chart of Accounts'!$A$5:$A$3000,MATCH("stock_adjust",'Chart of Accounts'!$F$5:$F$3000,0))))))</f>
        <v/>
      </c>
      <c r="AE203" s="16">
        <f>IF(B203="Receipt",Y203,IF(B203="Adjustment",IF(N(G203)&gt;=0,INDEX('Chart of Accounts'!$A$5:$A$3000,MATCH("stock_adjust",'Chart of Accounts'!$F$5:$F$3000,0)),AA203),AA203))</f>
        <v/>
      </c>
      <c r="AF203" s="21">
        <f>S203+T203-U203-AC203</f>
        <v/>
      </c>
      <c r="AG203" s="23">
        <f>IFERROR(INDEX('Chart of Accounts'!$C$5:$C$3000,MATCH(AD203&amp;"",'Chart of Accounts'!$A$5:$A$3000,0))&amp;"|"&amp;INDEX('Chart of Accounts'!$D$5:$D$3000,MATCH(AD203&amp;"",'Chart of Accounts'!$A$5:$A$3000,0)),"")</f>
        <v/>
      </c>
      <c r="AH203" s="23">
        <f>IFERROR(INDEX('Chart of Accounts'!$C$5:$C$3000,MATCH(V203&amp;"",'Chart of Accounts'!$A$5:$A$3000,0))&amp;"|"&amp;INDEX('Chart of Accounts'!$D$5:$D$3000,MATCH(V203&amp;"",'Chart of Accounts'!$A$5:$A$3000,0)),"")</f>
        <v/>
      </c>
      <c r="AI203" s="23">
        <f>IFERROR(INDEX('Chart of Accounts'!$C$5:$C$3000,MATCH(AE203&amp;"",'Chart of Accounts'!$A$5:$A$3000,0))&amp;"|"&amp;INDEX('Chart of Accounts'!$D$5:$D$3000,MATCH(AE203&amp;"",'Chart of Accounts'!$A$5:$A$3000,0)),"")</f>
        <v/>
      </c>
      <c r="AJ203" s="23">
        <f>IFERROR(INDEX('Chart of Accounts'!$C$5:$C$3000,MATCH(X203&amp;"",'Chart of Accounts'!$A$5:$A$3000,0))&amp;"|"&amp;INDEX('Chart of Accounts'!$D$5:$D$3000,MATCH(X203&amp;"",'Chart of Accounts'!$A$5:$A$3000,0)),"")</f>
        <v/>
      </c>
      <c r="AK203" s="23">
        <f>IFERROR(INDEX('Chart of Accounts'!$C$5:$C$3000,MATCH(W203&amp;"",'Chart of Accounts'!$A$5:$A$3000,0))&amp;"|"&amp;INDEX('Chart of Accounts'!$D$5:$D$3000,MATCH(W203&amp;"",'Chart of Accounts'!$A$5:$A$3000,0)),"")</f>
        <v/>
      </c>
      <c r="AL203" s="23">
        <f>IF(LEFT(AG203,8)="Revenue|",-N(S203),0)+IF(LEFT(AH203,8)="Revenue|",-N(T203),0)+IF(LEFT(AI203,8)="Revenue|",N(AF203),0)+IF(LEFT(AJ203,8)="Revenue|",N(AC203),0)+IF(LEFT(AK203,8)="Revenue|",N(U203),0)</f>
        <v/>
      </c>
      <c r="AM203" s="23">
        <f>IF(LEFT(AG203,5)="COGS|",N(S203),0)+IF(LEFT(AH203,5)="COGS|",N(T203),0)+IF(LEFT(AI203,5)="COGS|",-N(AF203),0)+IF(LEFT(AJ203,5)="COGS|",-N(AC203),0)+IF(LEFT(AK203,5)="COGS|",-N(U203),0)</f>
        <v/>
      </c>
      <c r="AN203" s="23">
        <f>IF(LEFT(AG203,8)="Expense|",N(S203),0)+IF(LEFT(AH203,8)="Expense|",N(T203),0)+IF(LEFT(AI203,8)="Expense|",-N(AF203),0)+IF(LEFT(AJ203,8)="Expense|",-N(AC203),0)+IF(LEFT(AK203,8)="Expense|",-N(U203),0)</f>
        <v/>
      </c>
      <c r="AO203" s="23">
        <f>IF(ISNUMBER(MATCH(AG203,{"Expense|employee","Expense|general_admin","Expense|marketing","Expense|utilities","Expense|other_operating"},0)),N(S203),0)+IF(ISNUMBER(MATCH(AH203,{"Expense|employee","Expense|general_admin","Expense|marketing","Expense|utilities","Expense|other_operating"},0)),N(T203),0)+IF(ISNUMBER(MATCH(AI203,{"Expense|employee","Expense|general_admin","Expense|marketing","Expense|utilities","Expense|other_operating"},0)),-N(AF203),0)+IF(ISNUMBER(MATCH(AJ203,{"Expense|employee","Expense|general_admin","Expense|marketing","Expense|utilities","Expense|other_operating"},0)),-N(AC203),0)+IF(ISNUMBER(MATCH(AK203,{"Expense|employee","Expense|general_admin","Expense|marketing","Expense|utilities","Expense|other_operating"},0)),-N(U203),0)</f>
        <v/>
      </c>
      <c r="AP203" s="23">
        <f>IF(AG203="Liability|payable",-N(S203),0)+IF(AH203="Liability|payable",-N(T203),0)+IF(AI203="Liability|payable",N(AF203),0)+IF(AJ203="Liability|payable",N(AC203),0)+IF(AK203="Liability|payable",N(U203),0)</f>
        <v/>
      </c>
      <c r="AQ203" s="23">
        <f>IF(AG203="Liability|accrued",-N(S203),0)+IF(AH203="Liability|accrued",-N(T203),0)+IF(AI203="Liability|accrued",N(AF203),0)+IF(AJ203="Liability|accrued",N(AC203),0)+IF(AK203="Liability|accrued",N(U203),0)</f>
        <v/>
      </c>
      <c r="AR203" s="23">
        <f>IF(AND(N(S203)&lt;&gt;0,AG203=""),1,0)+IF(AND(N(T203)&lt;&gt;0,AH203=""),1,0)+IF(AND(N(AF203)&lt;&gt;0,AI203=""),1,0)+IF(AND(N(AC203)&lt;&gt;0,AJ203=""),1,0)+IF(AND(N(U203)&lt;&gt;0,AK203=""),1,0)</f>
        <v/>
      </c>
    </row>
    <row r="204">
      <c r="A204" s="19" t="n"/>
      <c r="B204" s="14" t="n"/>
      <c r="C204" s="14" t="n"/>
      <c r="D204" s="14" t="n"/>
      <c r="E204" s="14" t="n"/>
      <c r="F204" s="14" t="n"/>
      <c r="G204" s="14" t="n"/>
      <c r="H204" s="20" t="n"/>
      <c r="I204" s="14" t="n"/>
      <c r="J204" s="14" t="n"/>
      <c r="K204" s="20" t="n"/>
      <c r="L204" s="14" t="n"/>
      <c r="M204" s="14" t="n"/>
      <c r="N204" s="14" t="n"/>
      <c r="O204" s="14" t="n"/>
      <c r="P204" s="14" t="n"/>
      <c r="Q204" s="14" t="n"/>
      <c r="R204" s="14" t="n"/>
      <c r="S204" s="21">
        <f>ROUND(ABS(N(G204))*N(H204),2)</f>
        <v/>
      </c>
      <c r="T204" s="21">
        <f>IF(B204="Receipt",ROUND(S204*IFERROR(VLOOKUP(Q204,'Tax Codes'!$A$5:$E$300,5,FALSE),0),2),0)</f>
        <v/>
      </c>
      <c r="U204" s="21">
        <f>IF(B204="Receipt",ROUND(S204*IFERROR(VLOOKUP(R204,'Tax Codes'!$A$5:$E$300,5,FALSE),0),2),0)</f>
        <v/>
      </c>
      <c r="V204" s="16">
        <f>INDEX('Chart of Accounts'!$A$5:$A$3000,MATCH("vat_input",'Chart of Accounts'!$F$5:$F$3000,0))</f>
        <v/>
      </c>
      <c r="W204" s="16">
        <f>INDEX('Chart of Accounts'!$A$5:$A$3000,MATCH("wht_payable",'Chart of Accounts'!$F$5:$F$3000,0))</f>
        <v/>
      </c>
      <c r="X204" s="16">
        <f>IF(M204="",INDEX('Chart of Accounts'!$A$5:$A$3000,MATCH("bank",'Chart of Accounts'!$F$5:$F$3000,0)),M204&amp;"")</f>
        <v/>
      </c>
      <c r="Y204" s="16">
        <f>IF(N204="",INDEX('Chart of Accounts'!$A$5:$A$3000,MATCH("ap",'Chart of Accounts'!$F$5:$F$3000,0)),N204&amp;"")</f>
        <v/>
      </c>
      <c r="Z204" s="16">
        <f>IF(O204="",INDEX('Chart of Accounts'!$A$5:$A$3000,MATCH("materials",'Chart of Accounts'!$F$5:$F$3000,0)),O204&amp;"")</f>
        <v/>
      </c>
      <c r="AA204" s="16">
        <f>IF(IFERROR(INDEX(Warehouses!$C$5:$C$1000,MATCH(C204,Warehouses!$A$5:$A$1000,0))&amp;"","")="",INDEX('Chart of Accounts'!$A$5:$A$3000,MATCH("inventory",'Chart of Accounts'!$F$5:$F$3000,0)),IFERROR(INDEX(Warehouses!$C$5:$C$1000,MATCH(C204,Warehouses!$A$5:$A$1000,0))&amp;"",""))</f>
        <v/>
      </c>
      <c r="AB204" s="16">
        <f>IF(IFERROR(INDEX(Warehouses!$C$5:$C$1000,MATCH(D204,Warehouses!$A$5:$A$1000,0))&amp;"","")="",INDEX('Chart of Accounts'!$A$5:$A$3000,MATCH("inventory",'Chart of Accounts'!$F$5:$F$3000,0)),IFERROR(INDEX(Warehouses!$C$5:$C$1000,MATCH(D204,Warehouses!$A$5:$A$1000,0))&amp;"",""))</f>
        <v/>
      </c>
      <c r="AC204" s="21">
        <f>IF(B204="Receipt",N(K204),0)</f>
        <v/>
      </c>
      <c r="AD204" s="16">
        <f>IF(B204="Receipt",AA204,IF(B204="Issue",Z204,IF(B204="Transfer",AB204,IF(N(G204)&gt;=0,AA204,INDEX('Chart of Accounts'!$A$5:$A$3000,MATCH("stock_adjust",'Chart of Accounts'!$F$5:$F$3000,0))))))</f>
        <v/>
      </c>
      <c r="AE204" s="16">
        <f>IF(B204="Receipt",Y204,IF(B204="Adjustment",IF(N(G204)&gt;=0,INDEX('Chart of Accounts'!$A$5:$A$3000,MATCH("stock_adjust",'Chart of Accounts'!$F$5:$F$3000,0)),AA204),AA204))</f>
        <v/>
      </c>
      <c r="AF204" s="21">
        <f>S204+T204-U204-AC204</f>
        <v/>
      </c>
      <c r="AG204" s="23">
        <f>IFERROR(INDEX('Chart of Accounts'!$C$5:$C$3000,MATCH(AD204&amp;"",'Chart of Accounts'!$A$5:$A$3000,0))&amp;"|"&amp;INDEX('Chart of Accounts'!$D$5:$D$3000,MATCH(AD204&amp;"",'Chart of Accounts'!$A$5:$A$3000,0)),"")</f>
        <v/>
      </c>
      <c r="AH204" s="23">
        <f>IFERROR(INDEX('Chart of Accounts'!$C$5:$C$3000,MATCH(V204&amp;"",'Chart of Accounts'!$A$5:$A$3000,0))&amp;"|"&amp;INDEX('Chart of Accounts'!$D$5:$D$3000,MATCH(V204&amp;"",'Chart of Accounts'!$A$5:$A$3000,0)),"")</f>
        <v/>
      </c>
      <c r="AI204" s="23">
        <f>IFERROR(INDEX('Chart of Accounts'!$C$5:$C$3000,MATCH(AE204&amp;"",'Chart of Accounts'!$A$5:$A$3000,0))&amp;"|"&amp;INDEX('Chart of Accounts'!$D$5:$D$3000,MATCH(AE204&amp;"",'Chart of Accounts'!$A$5:$A$3000,0)),"")</f>
        <v/>
      </c>
      <c r="AJ204" s="23">
        <f>IFERROR(INDEX('Chart of Accounts'!$C$5:$C$3000,MATCH(X204&amp;"",'Chart of Accounts'!$A$5:$A$3000,0))&amp;"|"&amp;INDEX('Chart of Accounts'!$D$5:$D$3000,MATCH(X204&amp;"",'Chart of Accounts'!$A$5:$A$3000,0)),"")</f>
        <v/>
      </c>
      <c r="AK204" s="23">
        <f>IFERROR(INDEX('Chart of Accounts'!$C$5:$C$3000,MATCH(W204&amp;"",'Chart of Accounts'!$A$5:$A$3000,0))&amp;"|"&amp;INDEX('Chart of Accounts'!$D$5:$D$3000,MATCH(W204&amp;"",'Chart of Accounts'!$A$5:$A$3000,0)),"")</f>
        <v/>
      </c>
      <c r="AL204" s="23">
        <f>IF(LEFT(AG204,8)="Revenue|",-N(S204),0)+IF(LEFT(AH204,8)="Revenue|",-N(T204),0)+IF(LEFT(AI204,8)="Revenue|",N(AF204),0)+IF(LEFT(AJ204,8)="Revenue|",N(AC204),0)+IF(LEFT(AK204,8)="Revenue|",N(U204),0)</f>
        <v/>
      </c>
      <c r="AM204" s="23">
        <f>IF(LEFT(AG204,5)="COGS|",N(S204),0)+IF(LEFT(AH204,5)="COGS|",N(T204),0)+IF(LEFT(AI204,5)="COGS|",-N(AF204),0)+IF(LEFT(AJ204,5)="COGS|",-N(AC204),0)+IF(LEFT(AK204,5)="COGS|",-N(U204),0)</f>
        <v/>
      </c>
      <c r="AN204" s="23">
        <f>IF(LEFT(AG204,8)="Expense|",N(S204),0)+IF(LEFT(AH204,8)="Expense|",N(T204),0)+IF(LEFT(AI204,8)="Expense|",-N(AF204),0)+IF(LEFT(AJ204,8)="Expense|",-N(AC204),0)+IF(LEFT(AK204,8)="Expense|",-N(U204),0)</f>
        <v/>
      </c>
      <c r="AO204" s="23">
        <f>IF(ISNUMBER(MATCH(AG204,{"Expense|employee","Expense|general_admin","Expense|marketing","Expense|utilities","Expense|other_operating"},0)),N(S204),0)+IF(ISNUMBER(MATCH(AH204,{"Expense|employee","Expense|general_admin","Expense|marketing","Expense|utilities","Expense|other_operating"},0)),N(T204),0)+IF(ISNUMBER(MATCH(AI204,{"Expense|employee","Expense|general_admin","Expense|marketing","Expense|utilities","Expense|other_operating"},0)),-N(AF204),0)+IF(ISNUMBER(MATCH(AJ204,{"Expense|employee","Expense|general_admin","Expense|marketing","Expense|utilities","Expense|other_operating"},0)),-N(AC204),0)+IF(ISNUMBER(MATCH(AK204,{"Expense|employee","Expense|general_admin","Expense|marketing","Expense|utilities","Expense|other_operating"},0)),-N(U204),0)</f>
        <v/>
      </c>
      <c r="AP204" s="23">
        <f>IF(AG204="Liability|payable",-N(S204),0)+IF(AH204="Liability|payable",-N(T204),0)+IF(AI204="Liability|payable",N(AF204),0)+IF(AJ204="Liability|payable",N(AC204),0)+IF(AK204="Liability|payable",N(U204),0)</f>
        <v/>
      </c>
      <c r="AQ204" s="23">
        <f>IF(AG204="Liability|accrued",-N(S204),0)+IF(AH204="Liability|accrued",-N(T204),0)+IF(AI204="Liability|accrued",N(AF204),0)+IF(AJ204="Liability|accrued",N(AC204),0)+IF(AK204="Liability|accrued",N(U204),0)</f>
        <v/>
      </c>
      <c r="AR204" s="23">
        <f>IF(AND(N(S204)&lt;&gt;0,AG204=""),1,0)+IF(AND(N(T204)&lt;&gt;0,AH204=""),1,0)+IF(AND(N(AF204)&lt;&gt;0,AI204=""),1,0)+IF(AND(N(AC204)&lt;&gt;0,AJ204=""),1,0)+IF(AND(N(U204)&lt;&gt;0,AK204=""),1,0)</f>
        <v/>
      </c>
    </row>
  </sheetData>
  <autoFilter ref="A4:AF204"/>
  <dataValidations count="9">
    <dataValidation sqref="A5:A205" showDropDown="0" showInputMessage="0" showErrorMessage="1" allowBlank="1" error="Enter a date (YYYY-MM-DD)" type="date" operator="greaterThan">
      <formula1>DATE(2000,1,1)</formula1>
    </dataValidation>
    <dataValidation sqref="B5:B205" showDropDown="0" showInputMessage="0" showErrorMessage="1" allowBlank="1" type="list">
      <formula1>Lists!$W$1:$W$4</formula1>
    </dataValidation>
    <dataValidation sqref="I5:I205" showDropDown="0" showInputMessage="0" showErrorMessage="1" allowBlank="1" type="list">
      <formula1>'Business Units'!$A$5:$A$3000</formula1>
    </dataValidation>
    <dataValidation sqref="L5:L205" showDropDown="0" showInputMessage="0" showErrorMessage="1" allowBlank="1" type="list">
      <formula1>Lists!$X$1:$X$5</formula1>
    </dataValidation>
    <dataValidation sqref="M5:M205" showDropDown="0" showInputMessage="0" showErrorMessage="0" allowBlank="1" type="list">
      <formula1>'Chart of Accounts'!$A$5:$A$3000</formula1>
    </dataValidation>
    <dataValidation sqref="N5:N205" showDropDown="0" showInputMessage="0" showErrorMessage="0" allowBlank="1" type="list">
      <formula1>'Chart of Accounts'!$A$5:$A$3000</formula1>
    </dataValidation>
    <dataValidation sqref="O5:O205" showDropDown="0" showInputMessage="0" showErrorMessage="0" allowBlank="1" type="list">
      <formula1>'Chart of Accounts'!$A$5:$A$3000</formula1>
    </dataValidation>
    <dataValidation sqref="Q5:Q205" showDropDown="0" showInputMessage="0" showErrorMessage="1" allowBlank="1" type="list">
      <formula1>'Tax Codes'!$A$5:$A$300</formula1>
    </dataValidation>
    <dataValidation sqref="R5:R205" showDropDown="0" showInputMessage="0" showErrorMessage="1" allowBlank="1" type="list">
      <formula1>'Tax Codes'!$A$5:$A$300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0"/>
    <pageSetUpPr/>
  </sheetPr>
  <dimension ref="A1:T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6" customWidth="1" min="5" max="5"/>
    <col width="10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hidden="1" outlineLevel="1" width="10" customWidth="1" min="12" max="12"/>
    <col hidden="1" outlineLevel="1" width="10" customWidth="1" min="13" max="13"/>
    <col hidden="1" outlineLevel="1" width="10" customWidth="1" min="14" max="14"/>
    <col hidden="1" outlineLevel="1" width="10" customWidth="1" min="15" max="15"/>
    <col hidden="1" outlineLevel="1" width="10" customWidth="1" min="16" max="16"/>
    <col hidden="1" outlineLevel="1" width="10" customWidth="1" min="17" max="17"/>
    <col hidden="1" outlineLevel="1" width="10" customWidth="1" min="18" max="18"/>
    <col hidden="1" outlineLevel="1" width="10" customWidth="1" min="19" max="19"/>
    <col hidden="1" outlineLevel="1" width="10" customWidth="1" min="20" max="20"/>
  </cols>
  <sheetData>
    <row r="1" ht="24" customHeight="1">
      <c r="A1" s="8" t="inlineStr">
        <is>
          <t>BEYOND DESIGN | JOURNAL VOUCHERS</t>
        </is>
      </c>
    </row>
    <row r="2">
      <c r="A2" s="9" t="inlineStr">
        <is>
          <t>Journal vouchers — opening balances, depreciation, amortization, tax, loans, accruals. Rows sharing a Voucher No. form one balanced entry</t>
        </is>
      </c>
    </row>
    <row r="3">
      <c r="A3" s="10" t="inlineStr">
        <is>
          <t>e.g. JV-001</t>
        </is>
      </c>
      <c r="B3" s="10" t="inlineStr">
        <is>
          <t>2026-10-31</t>
        </is>
      </c>
      <c r="C3" s="10" t="inlineStr">
        <is>
          <t>Depreciation</t>
        </is>
      </c>
      <c r="G3" s="10" t="inlineStr">
        <is>
          <t>October depreciation</t>
        </is>
      </c>
      <c r="H3" s="10" t="inlineStr">
        <is>
          <t>7010</t>
        </is>
      </c>
      <c r="I3" s="10" t="n">
        <v>2500</v>
      </c>
      <c r="J3" s="10" t="inlineStr"/>
    </row>
    <row r="4" ht="30" customHeight="1">
      <c r="A4" s="11" t="inlineStr">
        <is>
          <t>Voucher No.</t>
        </is>
      </c>
      <c r="B4" s="11" t="inlineStr">
        <is>
          <t>Date</t>
        </is>
      </c>
      <c r="C4" s="11" t="inlineStr">
        <is>
          <t>Voucher Type</t>
        </is>
      </c>
      <c r="D4" s="11" t="inlineStr">
        <is>
          <t>Business Unit</t>
        </is>
      </c>
      <c r="E4" s="11" t="inlineStr">
        <is>
          <t>Party</t>
        </is>
      </c>
      <c r="F4" s="11" t="inlineStr">
        <is>
          <t>Reference</t>
        </is>
      </c>
      <c r="G4" s="11" t="inlineStr">
        <is>
          <t>Description</t>
        </is>
      </c>
      <c r="H4" s="11" t="inlineStr">
        <is>
          <t>Account</t>
        </is>
      </c>
      <c r="I4" s="11" t="inlineStr">
        <is>
          <t>Debit</t>
        </is>
      </c>
      <c r="J4" s="11" t="inlineStr">
        <is>
          <t>Credit</t>
        </is>
      </c>
      <c r="K4" s="11" t="inlineStr">
        <is>
          <t>Line Party</t>
        </is>
      </c>
      <c r="L4" s="22" t="inlineStr">
        <is>
          <t>leg 1 type</t>
        </is>
      </c>
      <c r="M4" s="22" t="inlineStr">
        <is>
          <t>leg 2 type</t>
        </is>
      </c>
      <c r="N4" s="22" t="inlineStr">
        <is>
          <t>revenue</t>
        </is>
      </c>
      <c r="O4" s="22" t="inlineStr">
        <is>
          <t>cost of sales</t>
        </is>
      </c>
      <c r="P4" s="22" t="inlineStr">
        <is>
          <t>expenses</t>
        </is>
      </c>
      <c r="Q4" s="22" t="inlineStr">
        <is>
          <t>operating expenses</t>
        </is>
      </c>
      <c r="R4" s="22" t="inlineStr">
        <is>
          <t>payables</t>
        </is>
      </c>
      <c r="S4" s="22" t="inlineStr">
        <is>
          <t>accruals</t>
        </is>
      </c>
      <c r="T4" s="22" t="inlineStr">
        <is>
          <t>unknown account</t>
        </is>
      </c>
    </row>
    <row r="5">
      <c r="A5" s="14" t="n"/>
      <c r="B5" s="19" t="n"/>
      <c r="C5" s="14" t="n"/>
      <c r="D5" s="14" t="n"/>
      <c r="E5" s="14" t="n"/>
      <c r="F5" s="14" t="n"/>
      <c r="G5" s="14" t="n"/>
      <c r="H5" s="14" t="n"/>
      <c r="I5" s="20" t="n"/>
      <c r="J5" s="20" t="n"/>
      <c r="K5" s="14" t="n"/>
      <c r="L5" s="23">
        <f>IFERROR(INDEX('Chart of Accounts'!$C$5:$C$3000,MATCH(H5&amp;"",'Chart of Accounts'!$A$5:$A$3000,0))&amp;"|"&amp;INDEX('Chart of Accounts'!$D$5:$D$3000,MATCH(H5&amp;"",'Chart of Accounts'!$A$5:$A$3000,0)),"")</f>
        <v/>
      </c>
      <c r="M5" s="23">
        <f>IFERROR(INDEX('Chart of Accounts'!$C$5:$C$3000,MATCH(H5&amp;"",'Chart of Accounts'!$A$5:$A$3000,0))&amp;"|"&amp;INDEX('Chart of Accounts'!$D$5:$D$3000,MATCH(H5&amp;"",'Chart of Accounts'!$A$5:$A$3000,0)),"")</f>
        <v/>
      </c>
      <c r="N5" s="23">
        <f>IF(LEFT(L5,8)="Revenue|",-N(I5),0)+IF(LEFT(M5,8)="Revenue|",N(J5),0)</f>
        <v/>
      </c>
      <c r="O5" s="23">
        <f>IF(LEFT(L5,5)="COGS|",N(I5),0)+IF(LEFT(M5,5)="COGS|",-N(J5),0)</f>
        <v/>
      </c>
      <c r="P5" s="23">
        <f>IF(LEFT(L5,8)="Expense|",N(I5),0)+IF(LEFT(M5,8)="Expense|",-N(J5),0)</f>
        <v/>
      </c>
      <c r="Q5" s="23">
        <f>IF(ISNUMBER(MATCH(L5,{"Expense|employee","Expense|general_admin","Expense|marketing","Expense|utilities","Expense|other_operating"},0)),N(I5),0)+IF(ISNUMBER(MATCH(M5,{"Expense|employee","Expense|general_admin","Expense|marketing","Expense|utilities","Expense|other_operating"},0)),-N(J5),0)</f>
        <v/>
      </c>
      <c r="R5" s="23">
        <f>IF(L5="Liability|payable",-N(I5),0)+IF(M5="Liability|payable",N(J5),0)</f>
        <v/>
      </c>
      <c r="S5" s="23">
        <f>IF(L5="Liability|accrued",-N(I5),0)+IF(M5="Liability|accrued",N(J5),0)</f>
        <v/>
      </c>
      <c r="T5" s="23">
        <f>IF(AND(N(I5)&lt;&gt;0,L5=""),1,0)+IF(AND(N(J5)&lt;&gt;0,M5=""),1,0)</f>
        <v/>
      </c>
    </row>
    <row r="6">
      <c r="A6" s="14" t="n"/>
      <c r="B6" s="19" t="n"/>
      <c r="C6" s="14" t="n"/>
      <c r="D6" s="14" t="n"/>
      <c r="E6" s="14" t="n"/>
      <c r="F6" s="14" t="n"/>
      <c r="G6" s="14" t="n"/>
      <c r="H6" s="14" t="n"/>
      <c r="I6" s="20" t="n"/>
      <c r="J6" s="20" t="n"/>
      <c r="K6" s="14" t="n"/>
      <c r="L6" s="23">
        <f>IFERROR(INDEX('Chart of Accounts'!$C$5:$C$3000,MATCH(H6&amp;"",'Chart of Accounts'!$A$5:$A$3000,0))&amp;"|"&amp;INDEX('Chart of Accounts'!$D$5:$D$3000,MATCH(H6&amp;"",'Chart of Accounts'!$A$5:$A$3000,0)),"")</f>
        <v/>
      </c>
      <c r="M6" s="23">
        <f>IFERROR(INDEX('Chart of Accounts'!$C$5:$C$3000,MATCH(H6&amp;"",'Chart of Accounts'!$A$5:$A$3000,0))&amp;"|"&amp;INDEX('Chart of Accounts'!$D$5:$D$3000,MATCH(H6&amp;"",'Chart of Accounts'!$A$5:$A$3000,0)),"")</f>
        <v/>
      </c>
      <c r="N6" s="23">
        <f>IF(LEFT(L6,8)="Revenue|",-N(I6),0)+IF(LEFT(M6,8)="Revenue|",N(J6),0)</f>
        <v/>
      </c>
      <c r="O6" s="23">
        <f>IF(LEFT(L6,5)="COGS|",N(I6),0)+IF(LEFT(M6,5)="COGS|",-N(J6),0)</f>
        <v/>
      </c>
      <c r="P6" s="23">
        <f>IF(LEFT(L6,8)="Expense|",N(I6),0)+IF(LEFT(M6,8)="Expense|",-N(J6),0)</f>
        <v/>
      </c>
      <c r="Q6" s="23">
        <f>IF(ISNUMBER(MATCH(L6,{"Expense|employee","Expense|general_admin","Expense|marketing","Expense|utilities","Expense|other_operating"},0)),N(I6),0)+IF(ISNUMBER(MATCH(M6,{"Expense|employee","Expense|general_admin","Expense|marketing","Expense|utilities","Expense|other_operating"},0)),-N(J6),0)</f>
        <v/>
      </c>
      <c r="R6" s="23">
        <f>IF(L6="Liability|payable",-N(I6),0)+IF(M6="Liability|payable",N(J6),0)</f>
        <v/>
      </c>
      <c r="S6" s="23">
        <f>IF(L6="Liability|accrued",-N(I6),0)+IF(M6="Liability|accrued",N(J6),0)</f>
        <v/>
      </c>
      <c r="T6" s="23">
        <f>IF(AND(N(I6)&lt;&gt;0,L6=""),1,0)+IF(AND(N(J6)&lt;&gt;0,M6=""),1,0)</f>
        <v/>
      </c>
    </row>
    <row r="7">
      <c r="A7" s="14" t="n"/>
      <c r="B7" s="19" t="n"/>
      <c r="C7" s="14" t="n"/>
      <c r="D7" s="14" t="n"/>
      <c r="E7" s="14" t="n"/>
      <c r="F7" s="14" t="n"/>
      <c r="G7" s="14" t="n"/>
      <c r="H7" s="14" t="n"/>
      <c r="I7" s="20" t="n"/>
      <c r="J7" s="20" t="n"/>
      <c r="K7" s="14" t="n"/>
      <c r="L7" s="23">
        <f>IFERROR(INDEX('Chart of Accounts'!$C$5:$C$3000,MATCH(H7&amp;"",'Chart of Accounts'!$A$5:$A$3000,0))&amp;"|"&amp;INDEX('Chart of Accounts'!$D$5:$D$3000,MATCH(H7&amp;"",'Chart of Accounts'!$A$5:$A$3000,0)),"")</f>
        <v/>
      </c>
      <c r="M7" s="23">
        <f>IFERROR(INDEX('Chart of Accounts'!$C$5:$C$3000,MATCH(H7&amp;"",'Chart of Accounts'!$A$5:$A$3000,0))&amp;"|"&amp;INDEX('Chart of Accounts'!$D$5:$D$3000,MATCH(H7&amp;"",'Chart of Accounts'!$A$5:$A$3000,0)),"")</f>
        <v/>
      </c>
      <c r="N7" s="23">
        <f>IF(LEFT(L7,8)="Revenue|",-N(I7),0)+IF(LEFT(M7,8)="Revenue|",N(J7),0)</f>
        <v/>
      </c>
      <c r="O7" s="23">
        <f>IF(LEFT(L7,5)="COGS|",N(I7),0)+IF(LEFT(M7,5)="COGS|",-N(J7),0)</f>
        <v/>
      </c>
      <c r="P7" s="23">
        <f>IF(LEFT(L7,8)="Expense|",N(I7),0)+IF(LEFT(M7,8)="Expense|",-N(J7),0)</f>
        <v/>
      </c>
      <c r="Q7" s="23">
        <f>IF(ISNUMBER(MATCH(L7,{"Expense|employee","Expense|general_admin","Expense|marketing","Expense|utilities","Expense|other_operating"},0)),N(I7),0)+IF(ISNUMBER(MATCH(M7,{"Expense|employee","Expense|general_admin","Expense|marketing","Expense|utilities","Expense|other_operating"},0)),-N(J7),0)</f>
        <v/>
      </c>
      <c r="R7" s="23">
        <f>IF(L7="Liability|payable",-N(I7),0)+IF(M7="Liability|payable",N(J7),0)</f>
        <v/>
      </c>
      <c r="S7" s="23">
        <f>IF(L7="Liability|accrued",-N(I7),0)+IF(M7="Liability|accrued",N(J7),0)</f>
        <v/>
      </c>
      <c r="T7" s="23">
        <f>IF(AND(N(I7)&lt;&gt;0,L7=""),1,0)+IF(AND(N(J7)&lt;&gt;0,M7=""),1,0)</f>
        <v/>
      </c>
    </row>
    <row r="8">
      <c r="A8" s="14" t="n"/>
      <c r="B8" s="19" t="n"/>
      <c r="C8" s="14" t="n"/>
      <c r="D8" s="14" t="n"/>
      <c r="E8" s="14" t="n"/>
      <c r="F8" s="14" t="n"/>
      <c r="G8" s="14" t="n"/>
      <c r="H8" s="14" t="n"/>
      <c r="I8" s="20" t="n"/>
      <c r="J8" s="20" t="n"/>
      <c r="K8" s="14" t="n"/>
      <c r="L8" s="23">
        <f>IFERROR(INDEX('Chart of Accounts'!$C$5:$C$3000,MATCH(H8&amp;"",'Chart of Accounts'!$A$5:$A$3000,0))&amp;"|"&amp;INDEX('Chart of Accounts'!$D$5:$D$3000,MATCH(H8&amp;"",'Chart of Accounts'!$A$5:$A$3000,0)),"")</f>
        <v/>
      </c>
      <c r="M8" s="23">
        <f>IFERROR(INDEX('Chart of Accounts'!$C$5:$C$3000,MATCH(H8&amp;"",'Chart of Accounts'!$A$5:$A$3000,0))&amp;"|"&amp;INDEX('Chart of Accounts'!$D$5:$D$3000,MATCH(H8&amp;"",'Chart of Accounts'!$A$5:$A$3000,0)),"")</f>
        <v/>
      </c>
      <c r="N8" s="23">
        <f>IF(LEFT(L8,8)="Revenue|",-N(I8),0)+IF(LEFT(M8,8)="Revenue|",N(J8),0)</f>
        <v/>
      </c>
      <c r="O8" s="23">
        <f>IF(LEFT(L8,5)="COGS|",N(I8),0)+IF(LEFT(M8,5)="COGS|",-N(J8),0)</f>
        <v/>
      </c>
      <c r="P8" s="23">
        <f>IF(LEFT(L8,8)="Expense|",N(I8),0)+IF(LEFT(M8,8)="Expense|",-N(J8),0)</f>
        <v/>
      </c>
      <c r="Q8" s="23">
        <f>IF(ISNUMBER(MATCH(L8,{"Expense|employee","Expense|general_admin","Expense|marketing","Expense|utilities","Expense|other_operating"},0)),N(I8),0)+IF(ISNUMBER(MATCH(M8,{"Expense|employee","Expense|general_admin","Expense|marketing","Expense|utilities","Expense|other_operating"},0)),-N(J8),0)</f>
        <v/>
      </c>
      <c r="R8" s="23">
        <f>IF(L8="Liability|payable",-N(I8),0)+IF(M8="Liability|payable",N(J8),0)</f>
        <v/>
      </c>
      <c r="S8" s="23">
        <f>IF(L8="Liability|accrued",-N(I8),0)+IF(M8="Liability|accrued",N(J8),0)</f>
        <v/>
      </c>
      <c r="T8" s="23">
        <f>IF(AND(N(I8)&lt;&gt;0,L8=""),1,0)+IF(AND(N(J8)&lt;&gt;0,M8=""),1,0)</f>
        <v/>
      </c>
    </row>
    <row r="9">
      <c r="A9" s="14" t="n"/>
      <c r="B9" s="19" t="n"/>
      <c r="C9" s="14" t="n"/>
      <c r="D9" s="14" t="n"/>
      <c r="E9" s="14" t="n"/>
      <c r="F9" s="14" t="n"/>
      <c r="G9" s="14" t="n"/>
      <c r="H9" s="14" t="n"/>
      <c r="I9" s="20" t="n"/>
      <c r="J9" s="20" t="n"/>
      <c r="K9" s="14" t="n"/>
      <c r="L9" s="23">
        <f>IFERROR(INDEX('Chart of Accounts'!$C$5:$C$3000,MATCH(H9&amp;"",'Chart of Accounts'!$A$5:$A$3000,0))&amp;"|"&amp;INDEX('Chart of Accounts'!$D$5:$D$3000,MATCH(H9&amp;"",'Chart of Accounts'!$A$5:$A$3000,0)),"")</f>
        <v/>
      </c>
      <c r="M9" s="23">
        <f>IFERROR(INDEX('Chart of Accounts'!$C$5:$C$3000,MATCH(H9&amp;"",'Chart of Accounts'!$A$5:$A$3000,0))&amp;"|"&amp;INDEX('Chart of Accounts'!$D$5:$D$3000,MATCH(H9&amp;"",'Chart of Accounts'!$A$5:$A$3000,0)),"")</f>
        <v/>
      </c>
      <c r="N9" s="23">
        <f>IF(LEFT(L9,8)="Revenue|",-N(I9),0)+IF(LEFT(M9,8)="Revenue|",N(J9),0)</f>
        <v/>
      </c>
      <c r="O9" s="23">
        <f>IF(LEFT(L9,5)="COGS|",N(I9),0)+IF(LEFT(M9,5)="COGS|",-N(J9),0)</f>
        <v/>
      </c>
      <c r="P9" s="23">
        <f>IF(LEFT(L9,8)="Expense|",N(I9),0)+IF(LEFT(M9,8)="Expense|",-N(J9),0)</f>
        <v/>
      </c>
      <c r="Q9" s="23">
        <f>IF(ISNUMBER(MATCH(L9,{"Expense|employee","Expense|general_admin","Expense|marketing","Expense|utilities","Expense|other_operating"},0)),N(I9),0)+IF(ISNUMBER(MATCH(M9,{"Expense|employee","Expense|general_admin","Expense|marketing","Expense|utilities","Expense|other_operating"},0)),-N(J9),0)</f>
        <v/>
      </c>
      <c r="R9" s="23">
        <f>IF(L9="Liability|payable",-N(I9),0)+IF(M9="Liability|payable",N(J9),0)</f>
        <v/>
      </c>
      <c r="S9" s="23">
        <f>IF(L9="Liability|accrued",-N(I9),0)+IF(M9="Liability|accrued",N(J9),0)</f>
        <v/>
      </c>
      <c r="T9" s="23">
        <f>IF(AND(N(I9)&lt;&gt;0,L9=""),1,0)+IF(AND(N(J9)&lt;&gt;0,M9=""),1,0)</f>
        <v/>
      </c>
    </row>
    <row r="10">
      <c r="A10" s="14" t="n"/>
      <c r="B10" s="19" t="n"/>
      <c r="C10" s="14" t="n"/>
      <c r="D10" s="14" t="n"/>
      <c r="E10" s="14" t="n"/>
      <c r="F10" s="14" t="n"/>
      <c r="G10" s="14" t="n"/>
      <c r="H10" s="14" t="n"/>
      <c r="I10" s="20" t="n"/>
      <c r="J10" s="20" t="n"/>
      <c r="K10" s="14" t="n"/>
      <c r="L10" s="23">
        <f>IFERROR(INDEX('Chart of Accounts'!$C$5:$C$3000,MATCH(H10&amp;"",'Chart of Accounts'!$A$5:$A$3000,0))&amp;"|"&amp;INDEX('Chart of Accounts'!$D$5:$D$3000,MATCH(H10&amp;"",'Chart of Accounts'!$A$5:$A$3000,0)),"")</f>
        <v/>
      </c>
      <c r="M10" s="23">
        <f>IFERROR(INDEX('Chart of Accounts'!$C$5:$C$3000,MATCH(H10&amp;"",'Chart of Accounts'!$A$5:$A$3000,0))&amp;"|"&amp;INDEX('Chart of Accounts'!$D$5:$D$3000,MATCH(H10&amp;"",'Chart of Accounts'!$A$5:$A$3000,0)),"")</f>
        <v/>
      </c>
      <c r="N10" s="23">
        <f>IF(LEFT(L10,8)="Revenue|",-N(I10),0)+IF(LEFT(M10,8)="Revenue|",N(J10),0)</f>
        <v/>
      </c>
      <c r="O10" s="23">
        <f>IF(LEFT(L10,5)="COGS|",N(I10),0)+IF(LEFT(M10,5)="COGS|",-N(J10),0)</f>
        <v/>
      </c>
      <c r="P10" s="23">
        <f>IF(LEFT(L10,8)="Expense|",N(I10),0)+IF(LEFT(M10,8)="Expense|",-N(J10),0)</f>
        <v/>
      </c>
      <c r="Q10" s="23">
        <f>IF(ISNUMBER(MATCH(L10,{"Expense|employee","Expense|general_admin","Expense|marketing","Expense|utilities","Expense|other_operating"},0)),N(I10),0)+IF(ISNUMBER(MATCH(M10,{"Expense|employee","Expense|general_admin","Expense|marketing","Expense|utilities","Expense|other_operating"},0)),-N(J10),0)</f>
        <v/>
      </c>
      <c r="R10" s="23">
        <f>IF(L10="Liability|payable",-N(I10),0)+IF(M10="Liability|payable",N(J10),0)</f>
        <v/>
      </c>
      <c r="S10" s="23">
        <f>IF(L10="Liability|accrued",-N(I10),0)+IF(M10="Liability|accrued",N(J10),0)</f>
        <v/>
      </c>
      <c r="T10" s="23">
        <f>IF(AND(N(I10)&lt;&gt;0,L10=""),1,0)+IF(AND(N(J10)&lt;&gt;0,M10=""),1,0)</f>
        <v/>
      </c>
    </row>
    <row r="11">
      <c r="A11" s="14" t="n"/>
      <c r="B11" s="19" t="n"/>
      <c r="C11" s="14" t="n"/>
      <c r="D11" s="14" t="n"/>
      <c r="E11" s="14" t="n"/>
      <c r="F11" s="14" t="n"/>
      <c r="G11" s="14" t="n"/>
      <c r="H11" s="14" t="n"/>
      <c r="I11" s="20" t="n"/>
      <c r="J11" s="20" t="n"/>
      <c r="K11" s="14" t="n"/>
      <c r="L11" s="23">
        <f>IFERROR(INDEX('Chart of Accounts'!$C$5:$C$3000,MATCH(H11&amp;"",'Chart of Accounts'!$A$5:$A$3000,0))&amp;"|"&amp;INDEX('Chart of Accounts'!$D$5:$D$3000,MATCH(H11&amp;"",'Chart of Accounts'!$A$5:$A$3000,0)),"")</f>
        <v/>
      </c>
      <c r="M11" s="23">
        <f>IFERROR(INDEX('Chart of Accounts'!$C$5:$C$3000,MATCH(H11&amp;"",'Chart of Accounts'!$A$5:$A$3000,0))&amp;"|"&amp;INDEX('Chart of Accounts'!$D$5:$D$3000,MATCH(H11&amp;"",'Chart of Accounts'!$A$5:$A$3000,0)),"")</f>
        <v/>
      </c>
      <c r="N11" s="23">
        <f>IF(LEFT(L11,8)="Revenue|",-N(I11),0)+IF(LEFT(M11,8)="Revenue|",N(J11),0)</f>
        <v/>
      </c>
      <c r="O11" s="23">
        <f>IF(LEFT(L11,5)="COGS|",N(I11),0)+IF(LEFT(M11,5)="COGS|",-N(J11),0)</f>
        <v/>
      </c>
      <c r="P11" s="23">
        <f>IF(LEFT(L11,8)="Expense|",N(I11),0)+IF(LEFT(M11,8)="Expense|",-N(J11),0)</f>
        <v/>
      </c>
      <c r="Q11" s="23">
        <f>IF(ISNUMBER(MATCH(L11,{"Expense|employee","Expense|general_admin","Expense|marketing","Expense|utilities","Expense|other_operating"},0)),N(I11),0)+IF(ISNUMBER(MATCH(M11,{"Expense|employee","Expense|general_admin","Expense|marketing","Expense|utilities","Expense|other_operating"},0)),-N(J11),0)</f>
        <v/>
      </c>
      <c r="R11" s="23">
        <f>IF(L11="Liability|payable",-N(I11),0)+IF(M11="Liability|payable",N(J11),0)</f>
        <v/>
      </c>
      <c r="S11" s="23">
        <f>IF(L11="Liability|accrued",-N(I11),0)+IF(M11="Liability|accrued",N(J11),0)</f>
        <v/>
      </c>
      <c r="T11" s="23">
        <f>IF(AND(N(I11)&lt;&gt;0,L11=""),1,0)+IF(AND(N(J11)&lt;&gt;0,M11=""),1,0)</f>
        <v/>
      </c>
    </row>
    <row r="12">
      <c r="A12" s="14" t="n"/>
      <c r="B12" s="19" t="n"/>
      <c r="C12" s="14" t="n"/>
      <c r="D12" s="14" t="n"/>
      <c r="E12" s="14" t="n"/>
      <c r="F12" s="14" t="n"/>
      <c r="G12" s="14" t="n"/>
      <c r="H12" s="14" t="n"/>
      <c r="I12" s="20" t="n"/>
      <c r="J12" s="20" t="n"/>
      <c r="K12" s="14" t="n"/>
      <c r="L12" s="23">
        <f>IFERROR(INDEX('Chart of Accounts'!$C$5:$C$3000,MATCH(H12&amp;"",'Chart of Accounts'!$A$5:$A$3000,0))&amp;"|"&amp;INDEX('Chart of Accounts'!$D$5:$D$3000,MATCH(H12&amp;"",'Chart of Accounts'!$A$5:$A$3000,0)),"")</f>
        <v/>
      </c>
      <c r="M12" s="23">
        <f>IFERROR(INDEX('Chart of Accounts'!$C$5:$C$3000,MATCH(H12&amp;"",'Chart of Accounts'!$A$5:$A$3000,0))&amp;"|"&amp;INDEX('Chart of Accounts'!$D$5:$D$3000,MATCH(H12&amp;"",'Chart of Accounts'!$A$5:$A$3000,0)),"")</f>
        <v/>
      </c>
      <c r="N12" s="23">
        <f>IF(LEFT(L12,8)="Revenue|",-N(I12),0)+IF(LEFT(M12,8)="Revenue|",N(J12),0)</f>
        <v/>
      </c>
      <c r="O12" s="23">
        <f>IF(LEFT(L12,5)="COGS|",N(I12),0)+IF(LEFT(M12,5)="COGS|",-N(J12),0)</f>
        <v/>
      </c>
      <c r="P12" s="23">
        <f>IF(LEFT(L12,8)="Expense|",N(I12),0)+IF(LEFT(M12,8)="Expense|",-N(J12),0)</f>
        <v/>
      </c>
      <c r="Q12" s="23">
        <f>IF(ISNUMBER(MATCH(L12,{"Expense|employee","Expense|general_admin","Expense|marketing","Expense|utilities","Expense|other_operating"},0)),N(I12),0)+IF(ISNUMBER(MATCH(M12,{"Expense|employee","Expense|general_admin","Expense|marketing","Expense|utilities","Expense|other_operating"},0)),-N(J12),0)</f>
        <v/>
      </c>
      <c r="R12" s="23">
        <f>IF(L12="Liability|payable",-N(I12),0)+IF(M12="Liability|payable",N(J12),0)</f>
        <v/>
      </c>
      <c r="S12" s="23">
        <f>IF(L12="Liability|accrued",-N(I12),0)+IF(M12="Liability|accrued",N(J12),0)</f>
        <v/>
      </c>
      <c r="T12" s="23">
        <f>IF(AND(N(I12)&lt;&gt;0,L12=""),1,0)+IF(AND(N(J12)&lt;&gt;0,M12=""),1,0)</f>
        <v/>
      </c>
    </row>
    <row r="13">
      <c r="A13" s="14" t="n"/>
      <c r="B13" s="19" t="n"/>
      <c r="C13" s="14" t="n"/>
      <c r="D13" s="14" t="n"/>
      <c r="E13" s="14" t="n"/>
      <c r="F13" s="14" t="n"/>
      <c r="G13" s="14" t="n"/>
      <c r="H13" s="14" t="n"/>
      <c r="I13" s="20" t="n"/>
      <c r="J13" s="20" t="n"/>
      <c r="K13" s="14" t="n"/>
      <c r="L13" s="23">
        <f>IFERROR(INDEX('Chart of Accounts'!$C$5:$C$3000,MATCH(H13&amp;"",'Chart of Accounts'!$A$5:$A$3000,0))&amp;"|"&amp;INDEX('Chart of Accounts'!$D$5:$D$3000,MATCH(H13&amp;"",'Chart of Accounts'!$A$5:$A$3000,0)),"")</f>
        <v/>
      </c>
      <c r="M13" s="23">
        <f>IFERROR(INDEX('Chart of Accounts'!$C$5:$C$3000,MATCH(H13&amp;"",'Chart of Accounts'!$A$5:$A$3000,0))&amp;"|"&amp;INDEX('Chart of Accounts'!$D$5:$D$3000,MATCH(H13&amp;"",'Chart of Accounts'!$A$5:$A$3000,0)),"")</f>
        <v/>
      </c>
      <c r="N13" s="23">
        <f>IF(LEFT(L13,8)="Revenue|",-N(I13),0)+IF(LEFT(M13,8)="Revenue|",N(J13),0)</f>
        <v/>
      </c>
      <c r="O13" s="23">
        <f>IF(LEFT(L13,5)="COGS|",N(I13),0)+IF(LEFT(M13,5)="COGS|",-N(J13),0)</f>
        <v/>
      </c>
      <c r="P13" s="23">
        <f>IF(LEFT(L13,8)="Expense|",N(I13),0)+IF(LEFT(M13,8)="Expense|",-N(J13),0)</f>
        <v/>
      </c>
      <c r="Q13" s="23">
        <f>IF(ISNUMBER(MATCH(L13,{"Expense|employee","Expense|general_admin","Expense|marketing","Expense|utilities","Expense|other_operating"},0)),N(I13),0)+IF(ISNUMBER(MATCH(M13,{"Expense|employee","Expense|general_admin","Expense|marketing","Expense|utilities","Expense|other_operating"},0)),-N(J13),0)</f>
        <v/>
      </c>
      <c r="R13" s="23">
        <f>IF(L13="Liability|payable",-N(I13),0)+IF(M13="Liability|payable",N(J13),0)</f>
        <v/>
      </c>
      <c r="S13" s="23">
        <f>IF(L13="Liability|accrued",-N(I13),0)+IF(M13="Liability|accrued",N(J13),0)</f>
        <v/>
      </c>
      <c r="T13" s="23">
        <f>IF(AND(N(I13)&lt;&gt;0,L13=""),1,0)+IF(AND(N(J13)&lt;&gt;0,M13=""),1,0)</f>
        <v/>
      </c>
    </row>
    <row r="14">
      <c r="A14" s="14" t="n"/>
      <c r="B14" s="19" t="n"/>
      <c r="C14" s="14" t="n"/>
      <c r="D14" s="14" t="n"/>
      <c r="E14" s="14" t="n"/>
      <c r="F14" s="14" t="n"/>
      <c r="G14" s="14" t="n"/>
      <c r="H14" s="14" t="n"/>
      <c r="I14" s="20" t="n"/>
      <c r="J14" s="20" t="n"/>
      <c r="K14" s="14" t="n"/>
      <c r="L14" s="23">
        <f>IFERROR(INDEX('Chart of Accounts'!$C$5:$C$3000,MATCH(H14&amp;"",'Chart of Accounts'!$A$5:$A$3000,0))&amp;"|"&amp;INDEX('Chart of Accounts'!$D$5:$D$3000,MATCH(H14&amp;"",'Chart of Accounts'!$A$5:$A$3000,0)),"")</f>
        <v/>
      </c>
      <c r="M14" s="23">
        <f>IFERROR(INDEX('Chart of Accounts'!$C$5:$C$3000,MATCH(H14&amp;"",'Chart of Accounts'!$A$5:$A$3000,0))&amp;"|"&amp;INDEX('Chart of Accounts'!$D$5:$D$3000,MATCH(H14&amp;"",'Chart of Accounts'!$A$5:$A$3000,0)),"")</f>
        <v/>
      </c>
      <c r="N14" s="23">
        <f>IF(LEFT(L14,8)="Revenue|",-N(I14),0)+IF(LEFT(M14,8)="Revenue|",N(J14),0)</f>
        <v/>
      </c>
      <c r="O14" s="23">
        <f>IF(LEFT(L14,5)="COGS|",N(I14),0)+IF(LEFT(M14,5)="COGS|",-N(J14),0)</f>
        <v/>
      </c>
      <c r="P14" s="23">
        <f>IF(LEFT(L14,8)="Expense|",N(I14),0)+IF(LEFT(M14,8)="Expense|",-N(J14),0)</f>
        <v/>
      </c>
      <c r="Q14" s="23">
        <f>IF(ISNUMBER(MATCH(L14,{"Expense|employee","Expense|general_admin","Expense|marketing","Expense|utilities","Expense|other_operating"},0)),N(I14),0)+IF(ISNUMBER(MATCH(M14,{"Expense|employee","Expense|general_admin","Expense|marketing","Expense|utilities","Expense|other_operating"},0)),-N(J14),0)</f>
        <v/>
      </c>
      <c r="R14" s="23">
        <f>IF(L14="Liability|payable",-N(I14),0)+IF(M14="Liability|payable",N(J14),0)</f>
        <v/>
      </c>
      <c r="S14" s="23">
        <f>IF(L14="Liability|accrued",-N(I14),0)+IF(M14="Liability|accrued",N(J14),0)</f>
        <v/>
      </c>
      <c r="T14" s="23">
        <f>IF(AND(N(I14)&lt;&gt;0,L14=""),1,0)+IF(AND(N(J14)&lt;&gt;0,M14=""),1,0)</f>
        <v/>
      </c>
    </row>
    <row r="15">
      <c r="A15" s="14" t="n"/>
      <c r="B15" s="19" t="n"/>
      <c r="C15" s="14" t="n"/>
      <c r="D15" s="14" t="n"/>
      <c r="E15" s="14" t="n"/>
      <c r="F15" s="14" t="n"/>
      <c r="G15" s="14" t="n"/>
      <c r="H15" s="14" t="n"/>
      <c r="I15" s="20" t="n"/>
      <c r="J15" s="20" t="n"/>
      <c r="K15" s="14" t="n"/>
      <c r="L15" s="23">
        <f>IFERROR(INDEX('Chart of Accounts'!$C$5:$C$3000,MATCH(H15&amp;"",'Chart of Accounts'!$A$5:$A$3000,0))&amp;"|"&amp;INDEX('Chart of Accounts'!$D$5:$D$3000,MATCH(H15&amp;"",'Chart of Accounts'!$A$5:$A$3000,0)),"")</f>
        <v/>
      </c>
      <c r="M15" s="23">
        <f>IFERROR(INDEX('Chart of Accounts'!$C$5:$C$3000,MATCH(H15&amp;"",'Chart of Accounts'!$A$5:$A$3000,0))&amp;"|"&amp;INDEX('Chart of Accounts'!$D$5:$D$3000,MATCH(H15&amp;"",'Chart of Accounts'!$A$5:$A$3000,0)),"")</f>
        <v/>
      </c>
      <c r="N15" s="23">
        <f>IF(LEFT(L15,8)="Revenue|",-N(I15),0)+IF(LEFT(M15,8)="Revenue|",N(J15),0)</f>
        <v/>
      </c>
      <c r="O15" s="23">
        <f>IF(LEFT(L15,5)="COGS|",N(I15),0)+IF(LEFT(M15,5)="COGS|",-N(J15),0)</f>
        <v/>
      </c>
      <c r="P15" s="23">
        <f>IF(LEFT(L15,8)="Expense|",N(I15),0)+IF(LEFT(M15,8)="Expense|",-N(J15),0)</f>
        <v/>
      </c>
      <c r="Q15" s="23">
        <f>IF(ISNUMBER(MATCH(L15,{"Expense|employee","Expense|general_admin","Expense|marketing","Expense|utilities","Expense|other_operating"},0)),N(I15),0)+IF(ISNUMBER(MATCH(M15,{"Expense|employee","Expense|general_admin","Expense|marketing","Expense|utilities","Expense|other_operating"},0)),-N(J15),0)</f>
        <v/>
      </c>
      <c r="R15" s="23">
        <f>IF(L15="Liability|payable",-N(I15),0)+IF(M15="Liability|payable",N(J15),0)</f>
        <v/>
      </c>
      <c r="S15" s="23">
        <f>IF(L15="Liability|accrued",-N(I15),0)+IF(M15="Liability|accrued",N(J15),0)</f>
        <v/>
      </c>
      <c r="T15" s="23">
        <f>IF(AND(N(I15)&lt;&gt;0,L15=""),1,0)+IF(AND(N(J15)&lt;&gt;0,M15=""),1,0)</f>
        <v/>
      </c>
    </row>
    <row r="16">
      <c r="A16" s="14" t="n"/>
      <c r="B16" s="19" t="n"/>
      <c r="C16" s="14" t="n"/>
      <c r="D16" s="14" t="n"/>
      <c r="E16" s="14" t="n"/>
      <c r="F16" s="14" t="n"/>
      <c r="G16" s="14" t="n"/>
      <c r="H16" s="14" t="n"/>
      <c r="I16" s="20" t="n"/>
      <c r="J16" s="20" t="n"/>
      <c r="K16" s="14" t="n"/>
      <c r="L16" s="23">
        <f>IFERROR(INDEX('Chart of Accounts'!$C$5:$C$3000,MATCH(H16&amp;"",'Chart of Accounts'!$A$5:$A$3000,0))&amp;"|"&amp;INDEX('Chart of Accounts'!$D$5:$D$3000,MATCH(H16&amp;"",'Chart of Accounts'!$A$5:$A$3000,0)),"")</f>
        <v/>
      </c>
      <c r="M16" s="23">
        <f>IFERROR(INDEX('Chart of Accounts'!$C$5:$C$3000,MATCH(H16&amp;"",'Chart of Accounts'!$A$5:$A$3000,0))&amp;"|"&amp;INDEX('Chart of Accounts'!$D$5:$D$3000,MATCH(H16&amp;"",'Chart of Accounts'!$A$5:$A$3000,0)),"")</f>
        <v/>
      </c>
      <c r="N16" s="23">
        <f>IF(LEFT(L16,8)="Revenue|",-N(I16),0)+IF(LEFT(M16,8)="Revenue|",N(J16),0)</f>
        <v/>
      </c>
      <c r="O16" s="23">
        <f>IF(LEFT(L16,5)="COGS|",N(I16),0)+IF(LEFT(M16,5)="COGS|",-N(J16),0)</f>
        <v/>
      </c>
      <c r="P16" s="23">
        <f>IF(LEFT(L16,8)="Expense|",N(I16),0)+IF(LEFT(M16,8)="Expense|",-N(J16),0)</f>
        <v/>
      </c>
      <c r="Q16" s="23">
        <f>IF(ISNUMBER(MATCH(L16,{"Expense|employee","Expense|general_admin","Expense|marketing","Expense|utilities","Expense|other_operating"},0)),N(I16),0)+IF(ISNUMBER(MATCH(M16,{"Expense|employee","Expense|general_admin","Expense|marketing","Expense|utilities","Expense|other_operating"},0)),-N(J16),0)</f>
        <v/>
      </c>
      <c r="R16" s="23">
        <f>IF(L16="Liability|payable",-N(I16),0)+IF(M16="Liability|payable",N(J16),0)</f>
        <v/>
      </c>
      <c r="S16" s="23">
        <f>IF(L16="Liability|accrued",-N(I16),0)+IF(M16="Liability|accrued",N(J16),0)</f>
        <v/>
      </c>
      <c r="T16" s="23">
        <f>IF(AND(N(I16)&lt;&gt;0,L16=""),1,0)+IF(AND(N(J16)&lt;&gt;0,M16=""),1,0)</f>
        <v/>
      </c>
    </row>
    <row r="17">
      <c r="A17" s="14" t="n"/>
      <c r="B17" s="19" t="n"/>
      <c r="C17" s="14" t="n"/>
      <c r="D17" s="14" t="n"/>
      <c r="E17" s="14" t="n"/>
      <c r="F17" s="14" t="n"/>
      <c r="G17" s="14" t="n"/>
      <c r="H17" s="14" t="n"/>
      <c r="I17" s="20" t="n"/>
      <c r="J17" s="20" t="n"/>
      <c r="K17" s="14" t="n"/>
      <c r="L17" s="23">
        <f>IFERROR(INDEX('Chart of Accounts'!$C$5:$C$3000,MATCH(H17&amp;"",'Chart of Accounts'!$A$5:$A$3000,0))&amp;"|"&amp;INDEX('Chart of Accounts'!$D$5:$D$3000,MATCH(H17&amp;"",'Chart of Accounts'!$A$5:$A$3000,0)),"")</f>
        <v/>
      </c>
      <c r="M17" s="23">
        <f>IFERROR(INDEX('Chart of Accounts'!$C$5:$C$3000,MATCH(H17&amp;"",'Chart of Accounts'!$A$5:$A$3000,0))&amp;"|"&amp;INDEX('Chart of Accounts'!$D$5:$D$3000,MATCH(H17&amp;"",'Chart of Accounts'!$A$5:$A$3000,0)),"")</f>
        <v/>
      </c>
      <c r="N17" s="23">
        <f>IF(LEFT(L17,8)="Revenue|",-N(I17),0)+IF(LEFT(M17,8)="Revenue|",N(J17),0)</f>
        <v/>
      </c>
      <c r="O17" s="23">
        <f>IF(LEFT(L17,5)="COGS|",N(I17),0)+IF(LEFT(M17,5)="COGS|",-N(J17),0)</f>
        <v/>
      </c>
      <c r="P17" s="23">
        <f>IF(LEFT(L17,8)="Expense|",N(I17),0)+IF(LEFT(M17,8)="Expense|",-N(J17),0)</f>
        <v/>
      </c>
      <c r="Q17" s="23">
        <f>IF(ISNUMBER(MATCH(L17,{"Expense|employee","Expense|general_admin","Expense|marketing","Expense|utilities","Expense|other_operating"},0)),N(I17),0)+IF(ISNUMBER(MATCH(M17,{"Expense|employee","Expense|general_admin","Expense|marketing","Expense|utilities","Expense|other_operating"},0)),-N(J17),0)</f>
        <v/>
      </c>
      <c r="R17" s="23">
        <f>IF(L17="Liability|payable",-N(I17),0)+IF(M17="Liability|payable",N(J17),0)</f>
        <v/>
      </c>
      <c r="S17" s="23">
        <f>IF(L17="Liability|accrued",-N(I17),0)+IF(M17="Liability|accrued",N(J17),0)</f>
        <v/>
      </c>
      <c r="T17" s="23">
        <f>IF(AND(N(I17)&lt;&gt;0,L17=""),1,0)+IF(AND(N(J17)&lt;&gt;0,M17=""),1,0)</f>
        <v/>
      </c>
    </row>
    <row r="18">
      <c r="A18" s="14" t="n"/>
      <c r="B18" s="19" t="n"/>
      <c r="C18" s="14" t="n"/>
      <c r="D18" s="14" t="n"/>
      <c r="E18" s="14" t="n"/>
      <c r="F18" s="14" t="n"/>
      <c r="G18" s="14" t="n"/>
      <c r="H18" s="14" t="n"/>
      <c r="I18" s="20" t="n"/>
      <c r="J18" s="20" t="n"/>
      <c r="K18" s="14" t="n"/>
      <c r="L18" s="23">
        <f>IFERROR(INDEX('Chart of Accounts'!$C$5:$C$3000,MATCH(H18&amp;"",'Chart of Accounts'!$A$5:$A$3000,0))&amp;"|"&amp;INDEX('Chart of Accounts'!$D$5:$D$3000,MATCH(H18&amp;"",'Chart of Accounts'!$A$5:$A$3000,0)),"")</f>
        <v/>
      </c>
      <c r="M18" s="23">
        <f>IFERROR(INDEX('Chart of Accounts'!$C$5:$C$3000,MATCH(H18&amp;"",'Chart of Accounts'!$A$5:$A$3000,0))&amp;"|"&amp;INDEX('Chart of Accounts'!$D$5:$D$3000,MATCH(H18&amp;"",'Chart of Accounts'!$A$5:$A$3000,0)),"")</f>
        <v/>
      </c>
      <c r="N18" s="23">
        <f>IF(LEFT(L18,8)="Revenue|",-N(I18),0)+IF(LEFT(M18,8)="Revenue|",N(J18),0)</f>
        <v/>
      </c>
      <c r="O18" s="23">
        <f>IF(LEFT(L18,5)="COGS|",N(I18),0)+IF(LEFT(M18,5)="COGS|",-N(J18),0)</f>
        <v/>
      </c>
      <c r="P18" s="23">
        <f>IF(LEFT(L18,8)="Expense|",N(I18),0)+IF(LEFT(M18,8)="Expense|",-N(J18),0)</f>
        <v/>
      </c>
      <c r="Q18" s="23">
        <f>IF(ISNUMBER(MATCH(L18,{"Expense|employee","Expense|general_admin","Expense|marketing","Expense|utilities","Expense|other_operating"},0)),N(I18),0)+IF(ISNUMBER(MATCH(M18,{"Expense|employee","Expense|general_admin","Expense|marketing","Expense|utilities","Expense|other_operating"},0)),-N(J18),0)</f>
        <v/>
      </c>
      <c r="R18" s="23">
        <f>IF(L18="Liability|payable",-N(I18),0)+IF(M18="Liability|payable",N(J18),0)</f>
        <v/>
      </c>
      <c r="S18" s="23">
        <f>IF(L18="Liability|accrued",-N(I18),0)+IF(M18="Liability|accrued",N(J18),0)</f>
        <v/>
      </c>
      <c r="T18" s="23">
        <f>IF(AND(N(I18)&lt;&gt;0,L18=""),1,0)+IF(AND(N(J18)&lt;&gt;0,M18=""),1,0)</f>
        <v/>
      </c>
    </row>
    <row r="19">
      <c r="A19" s="14" t="n"/>
      <c r="B19" s="19" t="n"/>
      <c r="C19" s="14" t="n"/>
      <c r="D19" s="14" t="n"/>
      <c r="E19" s="14" t="n"/>
      <c r="F19" s="14" t="n"/>
      <c r="G19" s="14" t="n"/>
      <c r="H19" s="14" t="n"/>
      <c r="I19" s="20" t="n"/>
      <c r="J19" s="20" t="n"/>
      <c r="K19" s="14" t="n"/>
      <c r="L19" s="23">
        <f>IFERROR(INDEX('Chart of Accounts'!$C$5:$C$3000,MATCH(H19&amp;"",'Chart of Accounts'!$A$5:$A$3000,0))&amp;"|"&amp;INDEX('Chart of Accounts'!$D$5:$D$3000,MATCH(H19&amp;"",'Chart of Accounts'!$A$5:$A$3000,0)),"")</f>
        <v/>
      </c>
      <c r="M19" s="23">
        <f>IFERROR(INDEX('Chart of Accounts'!$C$5:$C$3000,MATCH(H19&amp;"",'Chart of Accounts'!$A$5:$A$3000,0))&amp;"|"&amp;INDEX('Chart of Accounts'!$D$5:$D$3000,MATCH(H19&amp;"",'Chart of Accounts'!$A$5:$A$3000,0)),"")</f>
        <v/>
      </c>
      <c r="N19" s="23">
        <f>IF(LEFT(L19,8)="Revenue|",-N(I19),0)+IF(LEFT(M19,8)="Revenue|",N(J19),0)</f>
        <v/>
      </c>
      <c r="O19" s="23">
        <f>IF(LEFT(L19,5)="COGS|",N(I19),0)+IF(LEFT(M19,5)="COGS|",-N(J19),0)</f>
        <v/>
      </c>
      <c r="P19" s="23">
        <f>IF(LEFT(L19,8)="Expense|",N(I19),0)+IF(LEFT(M19,8)="Expense|",-N(J19),0)</f>
        <v/>
      </c>
      <c r="Q19" s="23">
        <f>IF(ISNUMBER(MATCH(L19,{"Expense|employee","Expense|general_admin","Expense|marketing","Expense|utilities","Expense|other_operating"},0)),N(I19),0)+IF(ISNUMBER(MATCH(M19,{"Expense|employee","Expense|general_admin","Expense|marketing","Expense|utilities","Expense|other_operating"},0)),-N(J19),0)</f>
        <v/>
      </c>
      <c r="R19" s="23">
        <f>IF(L19="Liability|payable",-N(I19),0)+IF(M19="Liability|payable",N(J19),0)</f>
        <v/>
      </c>
      <c r="S19" s="23">
        <f>IF(L19="Liability|accrued",-N(I19),0)+IF(M19="Liability|accrued",N(J19),0)</f>
        <v/>
      </c>
      <c r="T19" s="23">
        <f>IF(AND(N(I19)&lt;&gt;0,L19=""),1,0)+IF(AND(N(J19)&lt;&gt;0,M19=""),1,0)</f>
        <v/>
      </c>
    </row>
    <row r="20">
      <c r="A20" s="14" t="n"/>
      <c r="B20" s="19" t="n"/>
      <c r="C20" s="14" t="n"/>
      <c r="D20" s="14" t="n"/>
      <c r="E20" s="14" t="n"/>
      <c r="F20" s="14" t="n"/>
      <c r="G20" s="14" t="n"/>
      <c r="H20" s="14" t="n"/>
      <c r="I20" s="20" t="n"/>
      <c r="J20" s="20" t="n"/>
      <c r="K20" s="14" t="n"/>
      <c r="L20" s="23">
        <f>IFERROR(INDEX('Chart of Accounts'!$C$5:$C$3000,MATCH(H20&amp;"",'Chart of Accounts'!$A$5:$A$3000,0))&amp;"|"&amp;INDEX('Chart of Accounts'!$D$5:$D$3000,MATCH(H20&amp;"",'Chart of Accounts'!$A$5:$A$3000,0)),"")</f>
        <v/>
      </c>
      <c r="M20" s="23">
        <f>IFERROR(INDEX('Chart of Accounts'!$C$5:$C$3000,MATCH(H20&amp;"",'Chart of Accounts'!$A$5:$A$3000,0))&amp;"|"&amp;INDEX('Chart of Accounts'!$D$5:$D$3000,MATCH(H20&amp;"",'Chart of Accounts'!$A$5:$A$3000,0)),"")</f>
        <v/>
      </c>
      <c r="N20" s="23">
        <f>IF(LEFT(L20,8)="Revenue|",-N(I20),0)+IF(LEFT(M20,8)="Revenue|",N(J20),0)</f>
        <v/>
      </c>
      <c r="O20" s="23">
        <f>IF(LEFT(L20,5)="COGS|",N(I20),0)+IF(LEFT(M20,5)="COGS|",-N(J20),0)</f>
        <v/>
      </c>
      <c r="P20" s="23">
        <f>IF(LEFT(L20,8)="Expense|",N(I20),0)+IF(LEFT(M20,8)="Expense|",-N(J20),0)</f>
        <v/>
      </c>
      <c r="Q20" s="23">
        <f>IF(ISNUMBER(MATCH(L20,{"Expense|employee","Expense|general_admin","Expense|marketing","Expense|utilities","Expense|other_operating"},0)),N(I20),0)+IF(ISNUMBER(MATCH(M20,{"Expense|employee","Expense|general_admin","Expense|marketing","Expense|utilities","Expense|other_operating"},0)),-N(J20),0)</f>
        <v/>
      </c>
      <c r="R20" s="23">
        <f>IF(L20="Liability|payable",-N(I20),0)+IF(M20="Liability|payable",N(J20),0)</f>
        <v/>
      </c>
      <c r="S20" s="23">
        <f>IF(L20="Liability|accrued",-N(I20),0)+IF(M20="Liability|accrued",N(J20),0)</f>
        <v/>
      </c>
      <c r="T20" s="23">
        <f>IF(AND(N(I20)&lt;&gt;0,L20=""),1,0)+IF(AND(N(J20)&lt;&gt;0,M20=""),1,0)</f>
        <v/>
      </c>
    </row>
    <row r="21">
      <c r="A21" s="14" t="n"/>
      <c r="B21" s="19" t="n"/>
      <c r="C21" s="14" t="n"/>
      <c r="D21" s="14" t="n"/>
      <c r="E21" s="14" t="n"/>
      <c r="F21" s="14" t="n"/>
      <c r="G21" s="14" t="n"/>
      <c r="H21" s="14" t="n"/>
      <c r="I21" s="20" t="n"/>
      <c r="J21" s="20" t="n"/>
      <c r="K21" s="14" t="n"/>
      <c r="L21" s="23">
        <f>IFERROR(INDEX('Chart of Accounts'!$C$5:$C$3000,MATCH(H21&amp;"",'Chart of Accounts'!$A$5:$A$3000,0))&amp;"|"&amp;INDEX('Chart of Accounts'!$D$5:$D$3000,MATCH(H21&amp;"",'Chart of Accounts'!$A$5:$A$3000,0)),"")</f>
        <v/>
      </c>
      <c r="M21" s="23">
        <f>IFERROR(INDEX('Chart of Accounts'!$C$5:$C$3000,MATCH(H21&amp;"",'Chart of Accounts'!$A$5:$A$3000,0))&amp;"|"&amp;INDEX('Chart of Accounts'!$D$5:$D$3000,MATCH(H21&amp;"",'Chart of Accounts'!$A$5:$A$3000,0)),"")</f>
        <v/>
      </c>
      <c r="N21" s="23">
        <f>IF(LEFT(L21,8)="Revenue|",-N(I21),0)+IF(LEFT(M21,8)="Revenue|",N(J21),0)</f>
        <v/>
      </c>
      <c r="O21" s="23">
        <f>IF(LEFT(L21,5)="COGS|",N(I21),0)+IF(LEFT(M21,5)="COGS|",-N(J21),0)</f>
        <v/>
      </c>
      <c r="P21" s="23">
        <f>IF(LEFT(L21,8)="Expense|",N(I21),0)+IF(LEFT(M21,8)="Expense|",-N(J21),0)</f>
        <v/>
      </c>
      <c r="Q21" s="23">
        <f>IF(ISNUMBER(MATCH(L21,{"Expense|employee","Expense|general_admin","Expense|marketing","Expense|utilities","Expense|other_operating"},0)),N(I21),0)+IF(ISNUMBER(MATCH(M21,{"Expense|employee","Expense|general_admin","Expense|marketing","Expense|utilities","Expense|other_operating"},0)),-N(J21),0)</f>
        <v/>
      </c>
      <c r="R21" s="23">
        <f>IF(L21="Liability|payable",-N(I21),0)+IF(M21="Liability|payable",N(J21),0)</f>
        <v/>
      </c>
      <c r="S21" s="23">
        <f>IF(L21="Liability|accrued",-N(I21),0)+IF(M21="Liability|accrued",N(J21),0)</f>
        <v/>
      </c>
      <c r="T21" s="23">
        <f>IF(AND(N(I21)&lt;&gt;0,L21=""),1,0)+IF(AND(N(J21)&lt;&gt;0,M21=""),1,0)</f>
        <v/>
      </c>
    </row>
    <row r="22">
      <c r="A22" s="14" t="n"/>
      <c r="B22" s="19" t="n"/>
      <c r="C22" s="14" t="n"/>
      <c r="D22" s="14" t="n"/>
      <c r="E22" s="14" t="n"/>
      <c r="F22" s="14" t="n"/>
      <c r="G22" s="14" t="n"/>
      <c r="H22" s="14" t="n"/>
      <c r="I22" s="20" t="n"/>
      <c r="J22" s="20" t="n"/>
      <c r="K22" s="14" t="n"/>
      <c r="L22" s="23">
        <f>IFERROR(INDEX('Chart of Accounts'!$C$5:$C$3000,MATCH(H22&amp;"",'Chart of Accounts'!$A$5:$A$3000,0))&amp;"|"&amp;INDEX('Chart of Accounts'!$D$5:$D$3000,MATCH(H22&amp;"",'Chart of Accounts'!$A$5:$A$3000,0)),"")</f>
        <v/>
      </c>
      <c r="M22" s="23">
        <f>IFERROR(INDEX('Chart of Accounts'!$C$5:$C$3000,MATCH(H22&amp;"",'Chart of Accounts'!$A$5:$A$3000,0))&amp;"|"&amp;INDEX('Chart of Accounts'!$D$5:$D$3000,MATCH(H22&amp;"",'Chart of Accounts'!$A$5:$A$3000,0)),"")</f>
        <v/>
      </c>
      <c r="N22" s="23">
        <f>IF(LEFT(L22,8)="Revenue|",-N(I22),0)+IF(LEFT(M22,8)="Revenue|",N(J22),0)</f>
        <v/>
      </c>
      <c r="O22" s="23">
        <f>IF(LEFT(L22,5)="COGS|",N(I22),0)+IF(LEFT(M22,5)="COGS|",-N(J22),0)</f>
        <v/>
      </c>
      <c r="P22" s="23">
        <f>IF(LEFT(L22,8)="Expense|",N(I22),0)+IF(LEFT(M22,8)="Expense|",-N(J22),0)</f>
        <v/>
      </c>
      <c r="Q22" s="23">
        <f>IF(ISNUMBER(MATCH(L22,{"Expense|employee","Expense|general_admin","Expense|marketing","Expense|utilities","Expense|other_operating"},0)),N(I22),0)+IF(ISNUMBER(MATCH(M22,{"Expense|employee","Expense|general_admin","Expense|marketing","Expense|utilities","Expense|other_operating"},0)),-N(J22),0)</f>
        <v/>
      </c>
      <c r="R22" s="23">
        <f>IF(L22="Liability|payable",-N(I22),0)+IF(M22="Liability|payable",N(J22),0)</f>
        <v/>
      </c>
      <c r="S22" s="23">
        <f>IF(L22="Liability|accrued",-N(I22),0)+IF(M22="Liability|accrued",N(J22),0)</f>
        <v/>
      </c>
      <c r="T22" s="23">
        <f>IF(AND(N(I22)&lt;&gt;0,L22=""),1,0)+IF(AND(N(J22)&lt;&gt;0,M22=""),1,0)</f>
        <v/>
      </c>
    </row>
    <row r="23">
      <c r="A23" s="14" t="n"/>
      <c r="B23" s="19" t="n"/>
      <c r="C23" s="14" t="n"/>
      <c r="D23" s="14" t="n"/>
      <c r="E23" s="14" t="n"/>
      <c r="F23" s="14" t="n"/>
      <c r="G23" s="14" t="n"/>
      <c r="H23" s="14" t="n"/>
      <c r="I23" s="20" t="n"/>
      <c r="J23" s="20" t="n"/>
      <c r="K23" s="14" t="n"/>
      <c r="L23" s="23">
        <f>IFERROR(INDEX('Chart of Accounts'!$C$5:$C$3000,MATCH(H23&amp;"",'Chart of Accounts'!$A$5:$A$3000,0))&amp;"|"&amp;INDEX('Chart of Accounts'!$D$5:$D$3000,MATCH(H23&amp;"",'Chart of Accounts'!$A$5:$A$3000,0)),"")</f>
        <v/>
      </c>
      <c r="M23" s="23">
        <f>IFERROR(INDEX('Chart of Accounts'!$C$5:$C$3000,MATCH(H23&amp;"",'Chart of Accounts'!$A$5:$A$3000,0))&amp;"|"&amp;INDEX('Chart of Accounts'!$D$5:$D$3000,MATCH(H23&amp;"",'Chart of Accounts'!$A$5:$A$3000,0)),"")</f>
        <v/>
      </c>
      <c r="N23" s="23">
        <f>IF(LEFT(L23,8)="Revenue|",-N(I23),0)+IF(LEFT(M23,8)="Revenue|",N(J23),0)</f>
        <v/>
      </c>
      <c r="O23" s="23">
        <f>IF(LEFT(L23,5)="COGS|",N(I23),0)+IF(LEFT(M23,5)="COGS|",-N(J23),0)</f>
        <v/>
      </c>
      <c r="P23" s="23">
        <f>IF(LEFT(L23,8)="Expense|",N(I23),0)+IF(LEFT(M23,8)="Expense|",-N(J23),0)</f>
        <v/>
      </c>
      <c r="Q23" s="23">
        <f>IF(ISNUMBER(MATCH(L23,{"Expense|employee","Expense|general_admin","Expense|marketing","Expense|utilities","Expense|other_operating"},0)),N(I23),0)+IF(ISNUMBER(MATCH(M23,{"Expense|employee","Expense|general_admin","Expense|marketing","Expense|utilities","Expense|other_operating"},0)),-N(J23),0)</f>
        <v/>
      </c>
      <c r="R23" s="23">
        <f>IF(L23="Liability|payable",-N(I23),0)+IF(M23="Liability|payable",N(J23),0)</f>
        <v/>
      </c>
      <c r="S23" s="23">
        <f>IF(L23="Liability|accrued",-N(I23),0)+IF(M23="Liability|accrued",N(J23),0)</f>
        <v/>
      </c>
      <c r="T23" s="23">
        <f>IF(AND(N(I23)&lt;&gt;0,L23=""),1,0)+IF(AND(N(J23)&lt;&gt;0,M23=""),1,0)</f>
        <v/>
      </c>
    </row>
    <row r="24">
      <c r="A24" s="14" t="n"/>
      <c r="B24" s="19" t="n"/>
      <c r="C24" s="14" t="n"/>
      <c r="D24" s="14" t="n"/>
      <c r="E24" s="14" t="n"/>
      <c r="F24" s="14" t="n"/>
      <c r="G24" s="14" t="n"/>
      <c r="H24" s="14" t="n"/>
      <c r="I24" s="20" t="n"/>
      <c r="J24" s="20" t="n"/>
      <c r="K24" s="14" t="n"/>
      <c r="L24" s="23">
        <f>IFERROR(INDEX('Chart of Accounts'!$C$5:$C$3000,MATCH(H24&amp;"",'Chart of Accounts'!$A$5:$A$3000,0))&amp;"|"&amp;INDEX('Chart of Accounts'!$D$5:$D$3000,MATCH(H24&amp;"",'Chart of Accounts'!$A$5:$A$3000,0)),"")</f>
        <v/>
      </c>
      <c r="M24" s="23">
        <f>IFERROR(INDEX('Chart of Accounts'!$C$5:$C$3000,MATCH(H24&amp;"",'Chart of Accounts'!$A$5:$A$3000,0))&amp;"|"&amp;INDEX('Chart of Accounts'!$D$5:$D$3000,MATCH(H24&amp;"",'Chart of Accounts'!$A$5:$A$3000,0)),"")</f>
        <v/>
      </c>
      <c r="N24" s="23">
        <f>IF(LEFT(L24,8)="Revenue|",-N(I24),0)+IF(LEFT(M24,8)="Revenue|",N(J24),0)</f>
        <v/>
      </c>
      <c r="O24" s="23">
        <f>IF(LEFT(L24,5)="COGS|",N(I24),0)+IF(LEFT(M24,5)="COGS|",-N(J24),0)</f>
        <v/>
      </c>
      <c r="P24" s="23">
        <f>IF(LEFT(L24,8)="Expense|",N(I24),0)+IF(LEFT(M24,8)="Expense|",-N(J24),0)</f>
        <v/>
      </c>
      <c r="Q24" s="23">
        <f>IF(ISNUMBER(MATCH(L24,{"Expense|employee","Expense|general_admin","Expense|marketing","Expense|utilities","Expense|other_operating"},0)),N(I24),0)+IF(ISNUMBER(MATCH(M24,{"Expense|employee","Expense|general_admin","Expense|marketing","Expense|utilities","Expense|other_operating"},0)),-N(J24),0)</f>
        <v/>
      </c>
      <c r="R24" s="23">
        <f>IF(L24="Liability|payable",-N(I24),0)+IF(M24="Liability|payable",N(J24),0)</f>
        <v/>
      </c>
      <c r="S24" s="23">
        <f>IF(L24="Liability|accrued",-N(I24),0)+IF(M24="Liability|accrued",N(J24),0)</f>
        <v/>
      </c>
      <c r="T24" s="23">
        <f>IF(AND(N(I24)&lt;&gt;0,L24=""),1,0)+IF(AND(N(J24)&lt;&gt;0,M24=""),1,0)</f>
        <v/>
      </c>
    </row>
    <row r="25">
      <c r="A25" s="14" t="n"/>
      <c r="B25" s="19" t="n"/>
      <c r="C25" s="14" t="n"/>
      <c r="D25" s="14" t="n"/>
      <c r="E25" s="14" t="n"/>
      <c r="F25" s="14" t="n"/>
      <c r="G25" s="14" t="n"/>
      <c r="H25" s="14" t="n"/>
      <c r="I25" s="20" t="n"/>
      <c r="J25" s="20" t="n"/>
      <c r="K25" s="14" t="n"/>
      <c r="L25" s="23">
        <f>IFERROR(INDEX('Chart of Accounts'!$C$5:$C$3000,MATCH(H25&amp;"",'Chart of Accounts'!$A$5:$A$3000,0))&amp;"|"&amp;INDEX('Chart of Accounts'!$D$5:$D$3000,MATCH(H25&amp;"",'Chart of Accounts'!$A$5:$A$3000,0)),"")</f>
        <v/>
      </c>
      <c r="M25" s="23">
        <f>IFERROR(INDEX('Chart of Accounts'!$C$5:$C$3000,MATCH(H25&amp;"",'Chart of Accounts'!$A$5:$A$3000,0))&amp;"|"&amp;INDEX('Chart of Accounts'!$D$5:$D$3000,MATCH(H25&amp;"",'Chart of Accounts'!$A$5:$A$3000,0)),"")</f>
        <v/>
      </c>
      <c r="N25" s="23">
        <f>IF(LEFT(L25,8)="Revenue|",-N(I25),0)+IF(LEFT(M25,8)="Revenue|",N(J25),0)</f>
        <v/>
      </c>
      <c r="O25" s="23">
        <f>IF(LEFT(L25,5)="COGS|",N(I25),0)+IF(LEFT(M25,5)="COGS|",-N(J25),0)</f>
        <v/>
      </c>
      <c r="P25" s="23">
        <f>IF(LEFT(L25,8)="Expense|",N(I25),0)+IF(LEFT(M25,8)="Expense|",-N(J25),0)</f>
        <v/>
      </c>
      <c r="Q25" s="23">
        <f>IF(ISNUMBER(MATCH(L25,{"Expense|employee","Expense|general_admin","Expense|marketing","Expense|utilities","Expense|other_operating"},0)),N(I25),0)+IF(ISNUMBER(MATCH(M25,{"Expense|employee","Expense|general_admin","Expense|marketing","Expense|utilities","Expense|other_operating"},0)),-N(J25),0)</f>
        <v/>
      </c>
      <c r="R25" s="23">
        <f>IF(L25="Liability|payable",-N(I25),0)+IF(M25="Liability|payable",N(J25),0)</f>
        <v/>
      </c>
      <c r="S25" s="23">
        <f>IF(L25="Liability|accrued",-N(I25),0)+IF(M25="Liability|accrued",N(J25),0)</f>
        <v/>
      </c>
      <c r="T25" s="23">
        <f>IF(AND(N(I25)&lt;&gt;0,L25=""),1,0)+IF(AND(N(J25)&lt;&gt;0,M25=""),1,0)</f>
        <v/>
      </c>
    </row>
    <row r="26">
      <c r="A26" s="14" t="n"/>
      <c r="B26" s="19" t="n"/>
      <c r="C26" s="14" t="n"/>
      <c r="D26" s="14" t="n"/>
      <c r="E26" s="14" t="n"/>
      <c r="F26" s="14" t="n"/>
      <c r="G26" s="14" t="n"/>
      <c r="H26" s="14" t="n"/>
      <c r="I26" s="20" t="n"/>
      <c r="J26" s="20" t="n"/>
      <c r="K26" s="14" t="n"/>
      <c r="L26" s="23">
        <f>IFERROR(INDEX('Chart of Accounts'!$C$5:$C$3000,MATCH(H26&amp;"",'Chart of Accounts'!$A$5:$A$3000,0))&amp;"|"&amp;INDEX('Chart of Accounts'!$D$5:$D$3000,MATCH(H26&amp;"",'Chart of Accounts'!$A$5:$A$3000,0)),"")</f>
        <v/>
      </c>
      <c r="M26" s="23">
        <f>IFERROR(INDEX('Chart of Accounts'!$C$5:$C$3000,MATCH(H26&amp;"",'Chart of Accounts'!$A$5:$A$3000,0))&amp;"|"&amp;INDEX('Chart of Accounts'!$D$5:$D$3000,MATCH(H26&amp;"",'Chart of Accounts'!$A$5:$A$3000,0)),"")</f>
        <v/>
      </c>
      <c r="N26" s="23">
        <f>IF(LEFT(L26,8)="Revenue|",-N(I26),0)+IF(LEFT(M26,8)="Revenue|",N(J26),0)</f>
        <v/>
      </c>
      <c r="O26" s="23">
        <f>IF(LEFT(L26,5)="COGS|",N(I26),0)+IF(LEFT(M26,5)="COGS|",-N(J26),0)</f>
        <v/>
      </c>
      <c r="P26" s="23">
        <f>IF(LEFT(L26,8)="Expense|",N(I26),0)+IF(LEFT(M26,8)="Expense|",-N(J26),0)</f>
        <v/>
      </c>
      <c r="Q26" s="23">
        <f>IF(ISNUMBER(MATCH(L26,{"Expense|employee","Expense|general_admin","Expense|marketing","Expense|utilities","Expense|other_operating"},0)),N(I26),0)+IF(ISNUMBER(MATCH(M26,{"Expense|employee","Expense|general_admin","Expense|marketing","Expense|utilities","Expense|other_operating"},0)),-N(J26),0)</f>
        <v/>
      </c>
      <c r="R26" s="23">
        <f>IF(L26="Liability|payable",-N(I26),0)+IF(M26="Liability|payable",N(J26),0)</f>
        <v/>
      </c>
      <c r="S26" s="23">
        <f>IF(L26="Liability|accrued",-N(I26),0)+IF(M26="Liability|accrued",N(J26),0)</f>
        <v/>
      </c>
      <c r="T26" s="23">
        <f>IF(AND(N(I26)&lt;&gt;0,L26=""),1,0)+IF(AND(N(J26)&lt;&gt;0,M26=""),1,0)</f>
        <v/>
      </c>
    </row>
    <row r="27">
      <c r="A27" s="14" t="n"/>
      <c r="B27" s="19" t="n"/>
      <c r="C27" s="14" t="n"/>
      <c r="D27" s="14" t="n"/>
      <c r="E27" s="14" t="n"/>
      <c r="F27" s="14" t="n"/>
      <c r="G27" s="14" t="n"/>
      <c r="H27" s="14" t="n"/>
      <c r="I27" s="20" t="n"/>
      <c r="J27" s="20" t="n"/>
      <c r="K27" s="14" t="n"/>
      <c r="L27" s="23">
        <f>IFERROR(INDEX('Chart of Accounts'!$C$5:$C$3000,MATCH(H27&amp;"",'Chart of Accounts'!$A$5:$A$3000,0))&amp;"|"&amp;INDEX('Chart of Accounts'!$D$5:$D$3000,MATCH(H27&amp;"",'Chart of Accounts'!$A$5:$A$3000,0)),"")</f>
        <v/>
      </c>
      <c r="M27" s="23">
        <f>IFERROR(INDEX('Chart of Accounts'!$C$5:$C$3000,MATCH(H27&amp;"",'Chart of Accounts'!$A$5:$A$3000,0))&amp;"|"&amp;INDEX('Chart of Accounts'!$D$5:$D$3000,MATCH(H27&amp;"",'Chart of Accounts'!$A$5:$A$3000,0)),"")</f>
        <v/>
      </c>
      <c r="N27" s="23">
        <f>IF(LEFT(L27,8)="Revenue|",-N(I27),0)+IF(LEFT(M27,8)="Revenue|",N(J27),0)</f>
        <v/>
      </c>
      <c r="O27" s="23">
        <f>IF(LEFT(L27,5)="COGS|",N(I27),0)+IF(LEFT(M27,5)="COGS|",-N(J27),0)</f>
        <v/>
      </c>
      <c r="P27" s="23">
        <f>IF(LEFT(L27,8)="Expense|",N(I27),0)+IF(LEFT(M27,8)="Expense|",-N(J27),0)</f>
        <v/>
      </c>
      <c r="Q27" s="23">
        <f>IF(ISNUMBER(MATCH(L27,{"Expense|employee","Expense|general_admin","Expense|marketing","Expense|utilities","Expense|other_operating"},0)),N(I27),0)+IF(ISNUMBER(MATCH(M27,{"Expense|employee","Expense|general_admin","Expense|marketing","Expense|utilities","Expense|other_operating"},0)),-N(J27),0)</f>
        <v/>
      </c>
      <c r="R27" s="23">
        <f>IF(L27="Liability|payable",-N(I27),0)+IF(M27="Liability|payable",N(J27),0)</f>
        <v/>
      </c>
      <c r="S27" s="23">
        <f>IF(L27="Liability|accrued",-N(I27),0)+IF(M27="Liability|accrued",N(J27),0)</f>
        <v/>
      </c>
      <c r="T27" s="23">
        <f>IF(AND(N(I27)&lt;&gt;0,L27=""),1,0)+IF(AND(N(J27)&lt;&gt;0,M27=""),1,0)</f>
        <v/>
      </c>
    </row>
    <row r="28">
      <c r="A28" s="14" t="n"/>
      <c r="B28" s="19" t="n"/>
      <c r="C28" s="14" t="n"/>
      <c r="D28" s="14" t="n"/>
      <c r="E28" s="14" t="n"/>
      <c r="F28" s="14" t="n"/>
      <c r="G28" s="14" t="n"/>
      <c r="H28" s="14" t="n"/>
      <c r="I28" s="20" t="n"/>
      <c r="J28" s="20" t="n"/>
      <c r="K28" s="14" t="n"/>
      <c r="L28" s="23">
        <f>IFERROR(INDEX('Chart of Accounts'!$C$5:$C$3000,MATCH(H28&amp;"",'Chart of Accounts'!$A$5:$A$3000,0))&amp;"|"&amp;INDEX('Chart of Accounts'!$D$5:$D$3000,MATCH(H28&amp;"",'Chart of Accounts'!$A$5:$A$3000,0)),"")</f>
        <v/>
      </c>
      <c r="M28" s="23">
        <f>IFERROR(INDEX('Chart of Accounts'!$C$5:$C$3000,MATCH(H28&amp;"",'Chart of Accounts'!$A$5:$A$3000,0))&amp;"|"&amp;INDEX('Chart of Accounts'!$D$5:$D$3000,MATCH(H28&amp;"",'Chart of Accounts'!$A$5:$A$3000,0)),"")</f>
        <v/>
      </c>
      <c r="N28" s="23">
        <f>IF(LEFT(L28,8)="Revenue|",-N(I28),0)+IF(LEFT(M28,8)="Revenue|",N(J28),0)</f>
        <v/>
      </c>
      <c r="O28" s="23">
        <f>IF(LEFT(L28,5)="COGS|",N(I28),0)+IF(LEFT(M28,5)="COGS|",-N(J28),0)</f>
        <v/>
      </c>
      <c r="P28" s="23">
        <f>IF(LEFT(L28,8)="Expense|",N(I28),0)+IF(LEFT(M28,8)="Expense|",-N(J28),0)</f>
        <v/>
      </c>
      <c r="Q28" s="23">
        <f>IF(ISNUMBER(MATCH(L28,{"Expense|employee","Expense|general_admin","Expense|marketing","Expense|utilities","Expense|other_operating"},0)),N(I28),0)+IF(ISNUMBER(MATCH(M28,{"Expense|employee","Expense|general_admin","Expense|marketing","Expense|utilities","Expense|other_operating"},0)),-N(J28),0)</f>
        <v/>
      </c>
      <c r="R28" s="23">
        <f>IF(L28="Liability|payable",-N(I28),0)+IF(M28="Liability|payable",N(J28),0)</f>
        <v/>
      </c>
      <c r="S28" s="23">
        <f>IF(L28="Liability|accrued",-N(I28),0)+IF(M28="Liability|accrued",N(J28),0)</f>
        <v/>
      </c>
      <c r="T28" s="23">
        <f>IF(AND(N(I28)&lt;&gt;0,L28=""),1,0)+IF(AND(N(J28)&lt;&gt;0,M28=""),1,0)</f>
        <v/>
      </c>
    </row>
    <row r="29">
      <c r="A29" s="14" t="n"/>
      <c r="B29" s="19" t="n"/>
      <c r="C29" s="14" t="n"/>
      <c r="D29" s="14" t="n"/>
      <c r="E29" s="14" t="n"/>
      <c r="F29" s="14" t="n"/>
      <c r="G29" s="14" t="n"/>
      <c r="H29" s="14" t="n"/>
      <c r="I29" s="20" t="n"/>
      <c r="J29" s="20" t="n"/>
      <c r="K29" s="14" t="n"/>
      <c r="L29" s="23">
        <f>IFERROR(INDEX('Chart of Accounts'!$C$5:$C$3000,MATCH(H29&amp;"",'Chart of Accounts'!$A$5:$A$3000,0))&amp;"|"&amp;INDEX('Chart of Accounts'!$D$5:$D$3000,MATCH(H29&amp;"",'Chart of Accounts'!$A$5:$A$3000,0)),"")</f>
        <v/>
      </c>
      <c r="M29" s="23">
        <f>IFERROR(INDEX('Chart of Accounts'!$C$5:$C$3000,MATCH(H29&amp;"",'Chart of Accounts'!$A$5:$A$3000,0))&amp;"|"&amp;INDEX('Chart of Accounts'!$D$5:$D$3000,MATCH(H29&amp;"",'Chart of Accounts'!$A$5:$A$3000,0)),"")</f>
        <v/>
      </c>
      <c r="N29" s="23">
        <f>IF(LEFT(L29,8)="Revenue|",-N(I29),0)+IF(LEFT(M29,8)="Revenue|",N(J29),0)</f>
        <v/>
      </c>
      <c r="O29" s="23">
        <f>IF(LEFT(L29,5)="COGS|",N(I29),0)+IF(LEFT(M29,5)="COGS|",-N(J29),0)</f>
        <v/>
      </c>
      <c r="P29" s="23">
        <f>IF(LEFT(L29,8)="Expense|",N(I29),0)+IF(LEFT(M29,8)="Expense|",-N(J29),0)</f>
        <v/>
      </c>
      <c r="Q29" s="23">
        <f>IF(ISNUMBER(MATCH(L29,{"Expense|employee","Expense|general_admin","Expense|marketing","Expense|utilities","Expense|other_operating"},0)),N(I29),0)+IF(ISNUMBER(MATCH(M29,{"Expense|employee","Expense|general_admin","Expense|marketing","Expense|utilities","Expense|other_operating"},0)),-N(J29),0)</f>
        <v/>
      </c>
      <c r="R29" s="23">
        <f>IF(L29="Liability|payable",-N(I29),0)+IF(M29="Liability|payable",N(J29),0)</f>
        <v/>
      </c>
      <c r="S29" s="23">
        <f>IF(L29="Liability|accrued",-N(I29),0)+IF(M29="Liability|accrued",N(J29),0)</f>
        <v/>
      </c>
      <c r="T29" s="23">
        <f>IF(AND(N(I29)&lt;&gt;0,L29=""),1,0)+IF(AND(N(J29)&lt;&gt;0,M29=""),1,0)</f>
        <v/>
      </c>
    </row>
    <row r="30">
      <c r="A30" s="14" t="n"/>
      <c r="B30" s="19" t="n"/>
      <c r="C30" s="14" t="n"/>
      <c r="D30" s="14" t="n"/>
      <c r="E30" s="14" t="n"/>
      <c r="F30" s="14" t="n"/>
      <c r="G30" s="14" t="n"/>
      <c r="H30" s="14" t="n"/>
      <c r="I30" s="20" t="n"/>
      <c r="J30" s="20" t="n"/>
      <c r="K30" s="14" t="n"/>
      <c r="L30" s="23">
        <f>IFERROR(INDEX('Chart of Accounts'!$C$5:$C$3000,MATCH(H30&amp;"",'Chart of Accounts'!$A$5:$A$3000,0))&amp;"|"&amp;INDEX('Chart of Accounts'!$D$5:$D$3000,MATCH(H30&amp;"",'Chart of Accounts'!$A$5:$A$3000,0)),"")</f>
        <v/>
      </c>
      <c r="M30" s="23">
        <f>IFERROR(INDEX('Chart of Accounts'!$C$5:$C$3000,MATCH(H30&amp;"",'Chart of Accounts'!$A$5:$A$3000,0))&amp;"|"&amp;INDEX('Chart of Accounts'!$D$5:$D$3000,MATCH(H30&amp;"",'Chart of Accounts'!$A$5:$A$3000,0)),"")</f>
        <v/>
      </c>
      <c r="N30" s="23">
        <f>IF(LEFT(L30,8)="Revenue|",-N(I30),0)+IF(LEFT(M30,8)="Revenue|",N(J30),0)</f>
        <v/>
      </c>
      <c r="O30" s="23">
        <f>IF(LEFT(L30,5)="COGS|",N(I30),0)+IF(LEFT(M30,5)="COGS|",-N(J30),0)</f>
        <v/>
      </c>
      <c r="P30" s="23">
        <f>IF(LEFT(L30,8)="Expense|",N(I30),0)+IF(LEFT(M30,8)="Expense|",-N(J30),0)</f>
        <v/>
      </c>
      <c r="Q30" s="23">
        <f>IF(ISNUMBER(MATCH(L30,{"Expense|employee","Expense|general_admin","Expense|marketing","Expense|utilities","Expense|other_operating"},0)),N(I30),0)+IF(ISNUMBER(MATCH(M30,{"Expense|employee","Expense|general_admin","Expense|marketing","Expense|utilities","Expense|other_operating"},0)),-N(J30),0)</f>
        <v/>
      </c>
      <c r="R30" s="23">
        <f>IF(L30="Liability|payable",-N(I30),0)+IF(M30="Liability|payable",N(J30),0)</f>
        <v/>
      </c>
      <c r="S30" s="23">
        <f>IF(L30="Liability|accrued",-N(I30),0)+IF(M30="Liability|accrued",N(J30),0)</f>
        <v/>
      </c>
      <c r="T30" s="23">
        <f>IF(AND(N(I30)&lt;&gt;0,L30=""),1,0)+IF(AND(N(J30)&lt;&gt;0,M30=""),1,0)</f>
        <v/>
      </c>
    </row>
    <row r="31">
      <c r="A31" s="14" t="n"/>
      <c r="B31" s="19" t="n"/>
      <c r="C31" s="14" t="n"/>
      <c r="D31" s="14" t="n"/>
      <c r="E31" s="14" t="n"/>
      <c r="F31" s="14" t="n"/>
      <c r="G31" s="14" t="n"/>
      <c r="H31" s="14" t="n"/>
      <c r="I31" s="20" t="n"/>
      <c r="J31" s="20" t="n"/>
      <c r="K31" s="14" t="n"/>
      <c r="L31" s="23">
        <f>IFERROR(INDEX('Chart of Accounts'!$C$5:$C$3000,MATCH(H31&amp;"",'Chart of Accounts'!$A$5:$A$3000,0))&amp;"|"&amp;INDEX('Chart of Accounts'!$D$5:$D$3000,MATCH(H31&amp;"",'Chart of Accounts'!$A$5:$A$3000,0)),"")</f>
        <v/>
      </c>
      <c r="M31" s="23">
        <f>IFERROR(INDEX('Chart of Accounts'!$C$5:$C$3000,MATCH(H31&amp;"",'Chart of Accounts'!$A$5:$A$3000,0))&amp;"|"&amp;INDEX('Chart of Accounts'!$D$5:$D$3000,MATCH(H31&amp;"",'Chart of Accounts'!$A$5:$A$3000,0)),"")</f>
        <v/>
      </c>
      <c r="N31" s="23">
        <f>IF(LEFT(L31,8)="Revenue|",-N(I31),0)+IF(LEFT(M31,8)="Revenue|",N(J31),0)</f>
        <v/>
      </c>
      <c r="O31" s="23">
        <f>IF(LEFT(L31,5)="COGS|",N(I31),0)+IF(LEFT(M31,5)="COGS|",-N(J31),0)</f>
        <v/>
      </c>
      <c r="P31" s="23">
        <f>IF(LEFT(L31,8)="Expense|",N(I31),0)+IF(LEFT(M31,8)="Expense|",-N(J31),0)</f>
        <v/>
      </c>
      <c r="Q31" s="23">
        <f>IF(ISNUMBER(MATCH(L31,{"Expense|employee","Expense|general_admin","Expense|marketing","Expense|utilities","Expense|other_operating"},0)),N(I31),0)+IF(ISNUMBER(MATCH(M31,{"Expense|employee","Expense|general_admin","Expense|marketing","Expense|utilities","Expense|other_operating"},0)),-N(J31),0)</f>
        <v/>
      </c>
      <c r="R31" s="23">
        <f>IF(L31="Liability|payable",-N(I31),0)+IF(M31="Liability|payable",N(J31),0)</f>
        <v/>
      </c>
      <c r="S31" s="23">
        <f>IF(L31="Liability|accrued",-N(I31),0)+IF(M31="Liability|accrued",N(J31),0)</f>
        <v/>
      </c>
      <c r="T31" s="23">
        <f>IF(AND(N(I31)&lt;&gt;0,L31=""),1,0)+IF(AND(N(J31)&lt;&gt;0,M31=""),1,0)</f>
        <v/>
      </c>
    </row>
    <row r="32">
      <c r="A32" s="14" t="n"/>
      <c r="B32" s="19" t="n"/>
      <c r="C32" s="14" t="n"/>
      <c r="D32" s="14" t="n"/>
      <c r="E32" s="14" t="n"/>
      <c r="F32" s="14" t="n"/>
      <c r="G32" s="14" t="n"/>
      <c r="H32" s="14" t="n"/>
      <c r="I32" s="20" t="n"/>
      <c r="J32" s="20" t="n"/>
      <c r="K32" s="14" t="n"/>
      <c r="L32" s="23">
        <f>IFERROR(INDEX('Chart of Accounts'!$C$5:$C$3000,MATCH(H32&amp;"",'Chart of Accounts'!$A$5:$A$3000,0))&amp;"|"&amp;INDEX('Chart of Accounts'!$D$5:$D$3000,MATCH(H32&amp;"",'Chart of Accounts'!$A$5:$A$3000,0)),"")</f>
        <v/>
      </c>
      <c r="M32" s="23">
        <f>IFERROR(INDEX('Chart of Accounts'!$C$5:$C$3000,MATCH(H32&amp;"",'Chart of Accounts'!$A$5:$A$3000,0))&amp;"|"&amp;INDEX('Chart of Accounts'!$D$5:$D$3000,MATCH(H32&amp;"",'Chart of Accounts'!$A$5:$A$3000,0)),"")</f>
        <v/>
      </c>
      <c r="N32" s="23">
        <f>IF(LEFT(L32,8)="Revenue|",-N(I32),0)+IF(LEFT(M32,8)="Revenue|",N(J32),0)</f>
        <v/>
      </c>
      <c r="O32" s="23">
        <f>IF(LEFT(L32,5)="COGS|",N(I32),0)+IF(LEFT(M32,5)="COGS|",-N(J32),0)</f>
        <v/>
      </c>
      <c r="P32" s="23">
        <f>IF(LEFT(L32,8)="Expense|",N(I32),0)+IF(LEFT(M32,8)="Expense|",-N(J32),0)</f>
        <v/>
      </c>
      <c r="Q32" s="23">
        <f>IF(ISNUMBER(MATCH(L32,{"Expense|employee","Expense|general_admin","Expense|marketing","Expense|utilities","Expense|other_operating"},0)),N(I32),0)+IF(ISNUMBER(MATCH(M32,{"Expense|employee","Expense|general_admin","Expense|marketing","Expense|utilities","Expense|other_operating"},0)),-N(J32),0)</f>
        <v/>
      </c>
      <c r="R32" s="23">
        <f>IF(L32="Liability|payable",-N(I32),0)+IF(M32="Liability|payable",N(J32),0)</f>
        <v/>
      </c>
      <c r="S32" s="23">
        <f>IF(L32="Liability|accrued",-N(I32),0)+IF(M32="Liability|accrued",N(J32),0)</f>
        <v/>
      </c>
      <c r="T32" s="23">
        <f>IF(AND(N(I32)&lt;&gt;0,L32=""),1,0)+IF(AND(N(J32)&lt;&gt;0,M32=""),1,0)</f>
        <v/>
      </c>
    </row>
    <row r="33">
      <c r="A33" s="14" t="n"/>
      <c r="B33" s="19" t="n"/>
      <c r="C33" s="14" t="n"/>
      <c r="D33" s="14" t="n"/>
      <c r="E33" s="14" t="n"/>
      <c r="F33" s="14" t="n"/>
      <c r="G33" s="14" t="n"/>
      <c r="H33" s="14" t="n"/>
      <c r="I33" s="20" t="n"/>
      <c r="J33" s="20" t="n"/>
      <c r="K33" s="14" t="n"/>
      <c r="L33" s="23">
        <f>IFERROR(INDEX('Chart of Accounts'!$C$5:$C$3000,MATCH(H33&amp;"",'Chart of Accounts'!$A$5:$A$3000,0))&amp;"|"&amp;INDEX('Chart of Accounts'!$D$5:$D$3000,MATCH(H33&amp;"",'Chart of Accounts'!$A$5:$A$3000,0)),"")</f>
        <v/>
      </c>
      <c r="M33" s="23">
        <f>IFERROR(INDEX('Chart of Accounts'!$C$5:$C$3000,MATCH(H33&amp;"",'Chart of Accounts'!$A$5:$A$3000,0))&amp;"|"&amp;INDEX('Chart of Accounts'!$D$5:$D$3000,MATCH(H33&amp;"",'Chart of Accounts'!$A$5:$A$3000,0)),"")</f>
        <v/>
      </c>
      <c r="N33" s="23">
        <f>IF(LEFT(L33,8)="Revenue|",-N(I33),0)+IF(LEFT(M33,8)="Revenue|",N(J33),0)</f>
        <v/>
      </c>
      <c r="O33" s="23">
        <f>IF(LEFT(L33,5)="COGS|",N(I33),0)+IF(LEFT(M33,5)="COGS|",-N(J33),0)</f>
        <v/>
      </c>
      <c r="P33" s="23">
        <f>IF(LEFT(L33,8)="Expense|",N(I33),0)+IF(LEFT(M33,8)="Expense|",-N(J33),0)</f>
        <v/>
      </c>
      <c r="Q33" s="23">
        <f>IF(ISNUMBER(MATCH(L33,{"Expense|employee","Expense|general_admin","Expense|marketing","Expense|utilities","Expense|other_operating"},0)),N(I33),0)+IF(ISNUMBER(MATCH(M33,{"Expense|employee","Expense|general_admin","Expense|marketing","Expense|utilities","Expense|other_operating"},0)),-N(J33),0)</f>
        <v/>
      </c>
      <c r="R33" s="23">
        <f>IF(L33="Liability|payable",-N(I33),0)+IF(M33="Liability|payable",N(J33),0)</f>
        <v/>
      </c>
      <c r="S33" s="23">
        <f>IF(L33="Liability|accrued",-N(I33),0)+IF(M33="Liability|accrued",N(J33),0)</f>
        <v/>
      </c>
      <c r="T33" s="23">
        <f>IF(AND(N(I33)&lt;&gt;0,L33=""),1,0)+IF(AND(N(J33)&lt;&gt;0,M33=""),1,0)</f>
        <v/>
      </c>
    </row>
    <row r="34">
      <c r="A34" s="14" t="n"/>
      <c r="B34" s="19" t="n"/>
      <c r="C34" s="14" t="n"/>
      <c r="D34" s="14" t="n"/>
      <c r="E34" s="14" t="n"/>
      <c r="F34" s="14" t="n"/>
      <c r="G34" s="14" t="n"/>
      <c r="H34" s="14" t="n"/>
      <c r="I34" s="20" t="n"/>
      <c r="J34" s="20" t="n"/>
      <c r="K34" s="14" t="n"/>
      <c r="L34" s="23">
        <f>IFERROR(INDEX('Chart of Accounts'!$C$5:$C$3000,MATCH(H34&amp;"",'Chart of Accounts'!$A$5:$A$3000,0))&amp;"|"&amp;INDEX('Chart of Accounts'!$D$5:$D$3000,MATCH(H34&amp;"",'Chart of Accounts'!$A$5:$A$3000,0)),"")</f>
        <v/>
      </c>
      <c r="M34" s="23">
        <f>IFERROR(INDEX('Chart of Accounts'!$C$5:$C$3000,MATCH(H34&amp;"",'Chart of Accounts'!$A$5:$A$3000,0))&amp;"|"&amp;INDEX('Chart of Accounts'!$D$5:$D$3000,MATCH(H34&amp;"",'Chart of Accounts'!$A$5:$A$3000,0)),"")</f>
        <v/>
      </c>
      <c r="N34" s="23">
        <f>IF(LEFT(L34,8)="Revenue|",-N(I34),0)+IF(LEFT(M34,8)="Revenue|",N(J34),0)</f>
        <v/>
      </c>
      <c r="O34" s="23">
        <f>IF(LEFT(L34,5)="COGS|",N(I34),0)+IF(LEFT(M34,5)="COGS|",-N(J34),0)</f>
        <v/>
      </c>
      <c r="P34" s="23">
        <f>IF(LEFT(L34,8)="Expense|",N(I34),0)+IF(LEFT(M34,8)="Expense|",-N(J34),0)</f>
        <v/>
      </c>
      <c r="Q34" s="23">
        <f>IF(ISNUMBER(MATCH(L34,{"Expense|employee","Expense|general_admin","Expense|marketing","Expense|utilities","Expense|other_operating"},0)),N(I34),0)+IF(ISNUMBER(MATCH(M34,{"Expense|employee","Expense|general_admin","Expense|marketing","Expense|utilities","Expense|other_operating"},0)),-N(J34),0)</f>
        <v/>
      </c>
      <c r="R34" s="23">
        <f>IF(L34="Liability|payable",-N(I34),0)+IF(M34="Liability|payable",N(J34),0)</f>
        <v/>
      </c>
      <c r="S34" s="23">
        <f>IF(L34="Liability|accrued",-N(I34),0)+IF(M34="Liability|accrued",N(J34),0)</f>
        <v/>
      </c>
      <c r="T34" s="23">
        <f>IF(AND(N(I34)&lt;&gt;0,L34=""),1,0)+IF(AND(N(J34)&lt;&gt;0,M34=""),1,0)</f>
        <v/>
      </c>
    </row>
    <row r="35">
      <c r="A35" s="14" t="n"/>
      <c r="B35" s="19" t="n"/>
      <c r="C35" s="14" t="n"/>
      <c r="D35" s="14" t="n"/>
      <c r="E35" s="14" t="n"/>
      <c r="F35" s="14" t="n"/>
      <c r="G35" s="14" t="n"/>
      <c r="H35" s="14" t="n"/>
      <c r="I35" s="20" t="n"/>
      <c r="J35" s="20" t="n"/>
      <c r="K35" s="14" t="n"/>
      <c r="L35" s="23">
        <f>IFERROR(INDEX('Chart of Accounts'!$C$5:$C$3000,MATCH(H35&amp;"",'Chart of Accounts'!$A$5:$A$3000,0))&amp;"|"&amp;INDEX('Chart of Accounts'!$D$5:$D$3000,MATCH(H35&amp;"",'Chart of Accounts'!$A$5:$A$3000,0)),"")</f>
        <v/>
      </c>
      <c r="M35" s="23">
        <f>IFERROR(INDEX('Chart of Accounts'!$C$5:$C$3000,MATCH(H35&amp;"",'Chart of Accounts'!$A$5:$A$3000,0))&amp;"|"&amp;INDEX('Chart of Accounts'!$D$5:$D$3000,MATCH(H35&amp;"",'Chart of Accounts'!$A$5:$A$3000,0)),"")</f>
        <v/>
      </c>
      <c r="N35" s="23">
        <f>IF(LEFT(L35,8)="Revenue|",-N(I35),0)+IF(LEFT(M35,8)="Revenue|",N(J35),0)</f>
        <v/>
      </c>
      <c r="O35" s="23">
        <f>IF(LEFT(L35,5)="COGS|",N(I35),0)+IF(LEFT(M35,5)="COGS|",-N(J35),0)</f>
        <v/>
      </c>
      <c r="P35" s="23">
        <f>IF(LEFT(L35,8)="Expense|",N(I35),0)+IF(LEFT(M35,8)="Expense|",-N(J35),0)</f>
        <v/>
      </c>
      <c r="Q35" s="23">
        <f>IF(ISNUMBER(MATCH(L35,{"Expense|employee","Expense|general_admin","Expense|marketing","Expense|utilities","Expense|other_operating"},0)),N(I35),0)+IF(ISNUMBER(MATCH(M35,{"Expense|employee","Expense|general_admin","Expense|marketing","Expense|utilities","Expense|other_operating"},0)),-N(J35),0)</f>
        <v/>
      </c>
      <c r="R35" s="23">
        <f>IF(L35="Liability|payable",-N(I35),0)+IF(M35="Liability|payable",N(J35),0)</f>
        <v/>
      </c>
      <c r="S35" s="23">
        <f>IF(L35="Liability|accrued",-N(I35),0)+IF(M35="Liability|accrued",N(J35),0)</f>
        <v/>
      </c>
      <c r="T35" s="23">
        <f>IF(AND(N(I35)&lt;&gt;0,L35=""),1,0)+IF(AND(N(J35)&lt;&gt;0,M35=""),1,0)</f>
        <v/>
      </c>
    </row>
    <row r="36">
      <c r="A36" s="14" t="n"/>
      <c r="B36" s="19" t="n"/>
      <c r="C36" s="14" t="n"/>
      <c r="D36" s="14" t="n"/>
      <c r="E36" s="14" t="n"/>
      <c r="F36" s="14" t="n"/>
      <c r="G36" s="14" t="n"/>
      <c r="H36" s="14" t="n"/>
      <c r="I36" s="20" t="n"/>
      <c r="J36" s="20" t="n"/>
      <c r="K36" s="14" t="n"/>
      <c r="L36" s="23">
        <f>IFERROR(INDEX('Chart of Accounts'!$C$5:$C$3000,MATCH(H36&amp;"",'Chart of Accounts'!$A$5:$A$3000,0))&amp;"|"&amp;INDEX('Chart of Accounts'!$D$5:$D$3000,MATCH(H36&amp;"",'Chart of Accounts'!$A$5:$A$3000,0)),"")</f>
        <v/>
      </c>
      <c r="M36" s="23">
        <f>IFERROR(INDEX('Chart of Accounts'!$C$5:$C$3000,MATCH(H36&amp;"",'Chart of Accounts'!$A$5:$A$3000,0))&amp;"|"&amp;INDEX('Chart of Accounts'!$D$5:$D$3000,MATCH(H36&amp;"",'Chart of Accounts'!$A$5:$A$3000,0)),"")</f>
        <v/>
      </c>
      <c r="N36" s="23">
        <f>IF(LEFT(L36,8)="Revenue|",-N(I36),0)+IF(LEFT(M36,8)="Revenue|",N(J36),0)</f>
        <v/>
      </c>
      <c r="O36" s="23">
        <f>IF(LEFT(L36,5)="COGS|",N(I36),0)+IF(LEFT(M36,5)="COGS|",-N(J36),0)</f>
        <v/>
      </c>
      <c r="P36" s="23">
        <f>IF(LEFT(L36,8)="Expense|",N(I36),0)+IF(LEFT(M36,8)="Expense|",-N(J36),0)</f>
        <v/>
      </c>
      <c r="Q36" s="23">
        <f>IF(ISNUMBER(MATCH(L36,{"Expense|employee","Expense|general_admin","Expense|marketing","Expense|utilities","Expense|other_operating"},0)),N(I36),0)+IF(ISNUMBER(MATCH(M36,{"Expense|employee","Expense|general_admin","Expense|marketing","Expense|utilities","Expense|other_operating"},0)),-N(J36),0)</f>
        <v/>
      </c>
      <c r="R36" s="23">
        <f>IF(L36="Liability|payable",-N(I36),0)+IF(M36="Liability|payable",N(J36),0)</f>
        <v/>
      </c>
      <c r="S36" s="23">
        <f>IF(L36="Liability|accrued",-N(I36),0)+IF(M36="Liability|accrued",N(J36),0)</f>
        <v/>
      </c>
      <c r="T36" s="23">
        <f>IF(AND(N(I36)&lt;&gt;0,L36=""),1,0)+IF(AND(N(J36)&lt;&gt;0,M36=""),1,0)</f>
        <v/>
      </c>
    </row>
    <row r="37">
      <c r="A37" s="14" t="n"/>
      <c r="B37" s="19" t="n"/>
      <c r="C37" s="14" t="n"/>
      <c r="D37" s="14" t="n"/>
      <c r="E37" s="14" t="n"/>
      <c r="F37" s="14" t="n"/>
      <c r="G37" s="14" t="n"/>
      <c r="H37" s="14" t="n"/>
      <c r="I37" s="20" t="n"/>
      <c r="J37" s="20" t="n"/>
      <c r="K37" s="14" t="n"/>
      <c r="L37" s="23">
        <f>IFERROR(INDEX('Chart of Accounts'!$C$5:$C$3000,MATCH(H37&amp;"",'Chart of Accounts'!$A$5:$A$3000,0))&amp;"|"&amp;INDEX('Chart of Accounts'!$D$5:$D$3000,MATCH(H37&amp;"",'Chart of Accounts'!$A$5:$A$3000,0)),"")</f>
        <v/>
      </c>
      <c r="M37" s="23">
        <f>IFERROR(INDEX('Chart of Accounts'!$C$5:$C$3000,MATCH(H37&amp;"",'Chart of Accounts'!$A$5:$A$3000,0))&amp;"|"&amp;INDEX('Chart of Accounts'!$D$5:$D$3000,MATCH(H37&amp;"",'Chart of Accounts'!$A$5:$A$3000,0)),"")</f>
        <v/>
      </c>
      <c r="N37" s="23">
        <f>IF(LEFT(L37,8)="Revenue|",-N(I37),0)+IF(LEFT(M37,8)="Revenue|",N(J37),0)</f>
        <v/>
      </c>
      <c r="O37" s="23">
        <f>IF(LEFT(L37,5)="COGS|",N(I37),0)+IF(LEFT(M37,5)="COGS|",-N(J37),0)</f>
        <v/>
      </c>
      <c r="P37" s="23">
        <f>IF(LEFT(L37,8)="Expense|",N(I37),0)+IF(LEFT(M37,8)="Expense|",-N(J37),0)</f>
        <v/>
      </c>
      <c r="Q37" s="23">
        <f>IF(ISNUMBER(MATCH(L37,{"Expense|employee","Expense|general_admin","Expense|marketing","Expense|utilities","Expense|other_operating"},0)),N(I37),0)+IF(ISNUMBER(MATCH(M37,{"Expense|employee","Expense|general_admin","Expense|marketing","Expense|utilities","Expense|other_operating"},0)),-N(J37),0)</f>
        <v/>
      </c>
      <c r="R37" s="23">
        <f>IF(L37="Liability|payable",-N(I37),0)+IF(M37="Liability|payable",N(J37),0)</f>
        <v/>
      </c>
      <c r="S37" s="23">
        <f>IF(L37="Liability|accrued",-N(I37),0)+IF(M37="Liability|accrued",N(J37),0)</f>
        <v/>
      </c>
      <c r="T37" s="23">
        <f>IF(AND(N(I37)&lt;&gt;0,L37=""),1,0)+IF(AND(N(J37)&lt;&gt;0,M37=""),1,0)</f>
        <v/>
      </c>
    </row>
    <row r="38">
      <c r="A38" s="14" t="n"/>
      <c r="B38" s="19" t="n"/>
      <c r="C38" s="14" t="n"/>
      <c r="D38" s="14" t="n"/>
      <c r="E38" s="14" t="n"/>
      <c r="F38" s="14" t="n"/>
      <c r="G38" s="14" t="n"/>
      <c r="H38" s="14" t="n"/>
      <c r="I38" s="20" t="n"/>
      <c r="J38" s="20" t="n"/>
      <c r="K38" s="14" t="n"/>
      <c r="L38" s="23">
        <f>IFERROR(INDEX('Chart of Accounts'!$C$5:$C$3000,MATCH(H38&amp;"",'Chart of Accounts'!$A$5:$A$3000,0))&amp;"|"&amp;INDEX('Chart of Accounts'!$D$5:$D$3000,MATCH(H38&amp;"",'Chart of Accounts'!$A$5:$A$3000,0)),"")</f>
        <v/>
      </c>
      <c r="M38" s="23">
        <f>IFERROR(INDEX('Chart of Accounts'!$C$5:$C$3000,MATCH(H38&amp;"",'Chart of Accounts'!$A$5:$A$3000,0))&amp;"|"&amp;INDEX('Chart of Accounts'!$D$5:$D$3000,MATCH(H38&amp;"",'Chart of Accounts'!$A$5:$A$3000,0)),"")</f>
        <v/>
      </c>
      <c r="N38" s="23">
        <f>IF(LEFT(L38,8)="Revenue|",-N(I38),0)+IF(LEFT(M38,8)="Revenue|",N(J38),0)</f>
        <v/>
      </c>
      <c r="O38" s="23">
        <f>IF(LEFT(L38,5)="COGS|",N(I38),0)+IF(LEFT(M38,5)="COGS|",-N(J38),0)</f>
        <v/>
      </c>
      <c r="P38" s="23">
        <f>IF(LEFT(L38,8)="Expense|",N(I38),0)+IF(LEFT(M38,8)="Expense|",-N(J38),0)</f>
        <v/>
      </c>
      <c r="Q38" s="23">
        <f>IF(ISNUMBER(MATCH(L38,{"Expense|employee","Expense|general_admin","Expense|marketing","Expense|utilities","Expense|other_operating"},0)),N(I38),0)+IF(ISNUMBER(MATCH(M38,{"Expense|employee","Expense|general_admin","Expense|marketing","Expense|utilities","Expense|other_operating"},0)),-N(J38),0)</f>
        <v/>
      </c>
      <c r="R38" s="23">
        <f>IF(L38="Liability|payable",-N(I38),0)+IF(M38="Liability|payable",N(J38),0)</f>
        <v/>
      </c>
      <c r="S38" s="23">
        <f>IF(L38="Liability|accrued",-N(I38),0)+IF(M38="Liability|accrued",N(J38),0)</f>
        <v/>
      </c>
      <c r="T38" s="23">
        <f>IF(AND(N(I38)&lt;&gt;0,L38=""),1,0)+IF(AND(N(J38)&lt;&gt;0,M38=""),1,0)</f>
        <v/>
      </c>
    </row>
    <row r="39">
      <c r="A39" s="14" t="n"/>
      <c r="B39" s="19" t="n"/>
      <c r="C39" s="14" t="n"/>
      <c r="D39" s="14" t="n"/>
      <c r="E39" s="14" t="n"/>
      <c r="F39" s="14" t="n"/>
      <c r="G39" s="14" t="n"/>
      <c r="H39" s="14" t="n"/>
      <c r="I39" s="20" t="n"/>
      <c r="J39" s="20" t="n"/>
      <c r="K39" s="14" t="n"/>
      <c r="L39" s="23">
        <f>IFERROR(INDEX('Chart of Accounts'!$C$5:$C$3000,MATCH(H39&amp;"",'Chart of Accounts'!$A$5:$A$3000,0))&amp;"|"&amp;INDEX('Chart of Accounts'!$D$5:$D$3000,MATCH(H39&amp;"",'Chart of Accounts'!$A$5:$A$3000,0)),"")</f>
        <v/>
      </c>
      <c r="M39" s="23">
        <f>IFERROR(INDEX('Chart of Accounts'!$C$5:$C$3000,MATCH(H39&amp;"",'Chart of Accounts'!$A$5:$A$3000,0))&amp;"|"&amp;INDEX('Chart of Accounts'!$D$5:$D$3000,MATCH(H39&amp;"",'Chart of Accounts'!$A$5:$A$3000,0)),"")</f>
        <v/>
      </c>
      <c r="N39" s="23">
        <f>IF(LEFT(L39,8)="Revenue|",-N(I39),0)+IF(LEFT(M39,8)="Revenue|",N(J39),0)</f>
        <v/>
      </c>
      <c r="O39" s="23">
        <f>IF(LEFT(L39,5)="COGS|",N(I39),0)+IF(LEFT(M39,5)="COGS|",-N(J39),0)</f>
        <v/>
      </c>
      <c r="P39" s="23">
        <f>IF(LEFT(L39,8)="Expense|",N(I39),0)+IF(LEFT(M39,8)="Expense|",-N(J39),0)</f>
        <v/>
      </c>
      <c r="Q39" s="23">
        <f>IF(ISNUMBER(MATCH(L39,{"Expense|employee","Expense|general_admin","Expense|marketing","Expense|utilities","Expense|other_operating"},0)),N(I39),0)+IF(ISNUMBER(MATCH(M39,{"Expense|employee","Expense|general_admin","Expense|marketing","Expense|utilities","Expense|other_operating"},0)),-N(J39),0)</f>
        <v/>
      </c>
      <c r="R39" s="23">
        <f>IF(L39="Liability|payable",-N(I39),0)+IF(M39="Liability|payable",N(J39),0)</f>
        <v/>
      </c>
      <c r="S39" s="23">
        <f>IF(L39="Liability|accrued",-N(I39),0)+IF(M39="Liability|accrued",N(J39),0)</f>
        <v/>
      </c>
      <c r="T39" s="23">
        <f>IF(AND(N(I39)&lt;&gt;0,L39=""),1,0)+IF(AND(N(J39)&lt;&gt;0,M39=""),1,0)</f>
        <v/>
      </c>
    </row>
    <row r="40">
      <c r="A40" s="14" t="n"/>
      <c r="B40" s="19" t="n"/>
      <c r="C40" s="14" t="n"/>
      <c r="D40" s="14" t="n"/>
      <c r="E40" s="14" t="n"/>
      <c r="F40" s="14" t="n"/>
      <c r="G40" s="14" t="n"/>
      <c r="H40" s="14" t="n"/>
      <c r="I40" s="20" t="n"/>
      <c r="J40" s="20" t="n"/>
      <c r="K40" s="14" t="n"/>
      <c r="L40" s="23">
        <f>IFERROR(INDEX('Chart of Accounts'!$C$5:$C$3000,MATCH(H40&amp;"",'Chart of Accounts'!$A$5:$A$3000,0))&amp;"|"&amp;INDEX('Chart of Accounts'!$D$5:$D$3000,MATCH(H40&amp;"",'Chart of Accounts'!$A$5:$A$3000,0)),"")</f>
        <v/>
      </c>
      <c r="M40" s="23">
        <f>IFERROR(INDEX('Chart of Accounts'!$C$5:$C$3000,MATCH(H40&amp;"",'Chart of Accounts'!$A$5:$A$3000,0))&amp;"|"&amp;INDEX('Chart of Accounts'!$D$5:$D$3000,MATCH(H40&amp;"",'Chart of Accounts'!$A$5:$A$3000,0)),"")</f>
        <v/>
      </c>
      <c r="N40" s="23">
        <f>IF(LEFT(L40,8)="Revenue|",-N(I40),0)+IF(LEFT(M40,8)="Revenue|",N(J40),0)</f>
        <v/>
      </c>
      <c r="O40" s="23">
        <f>IF(LEFT(L40,5)="COGS|",N(I40),0)+IF(LEFT(M40,5)="COGS|",-N(J40),0)</f>
        <v/>
      </c>
      <c r="P40" s="23">
        <f>IF(LEFT(L40,8)="Expense|",N(I40),0)+IF(LEFT(M40,8)="Expense|",-N(J40),0)</f>
        <v/>
      </c>
      <c r="Q40" s="23">
        <f>IF(ISNUMBER(MATCH(L40,{"Expense|employee","Expense|general_admin","Expense|marketing","Expense|utilities","Expense|other_operating"},0)),N(I40),0)+IF(ISNUMBER(MATCH(M40,{"Expense|employee","Expense|general_admin","Expense|marketing","Expense|utilities","Expense|other_operating"},0)),-N(J40),0)</f>
        <v/>
      </c>
      <c r="R40" s="23">
        <f>IF(L40="Liability|payable",-N(I40),0)+IF(M40="Liability|payable",N(J40),0)</f>
        <v/>
      </c>
      <c r="S40" s="23">
        <f>IF(L40="Liability|accrued",-N(I40),0)+IF(M40="Liability|accrued",N(J40),0)</f>
        <v/>
      </c>
      <c r="T40" s="23">
        <f>IF(AND(N(I40)&lt;&gt;0,L40=""),1,0)+IF(AND(N(J40)&lt;&gt;0,M40=""),1,0)</f>
        <v/>
      </c>
    </row>
    <row r="41">
      <c r="A41" s="14" t="n"/>
      <c r="B41" s="19" t="n"/>
      <c r="C41" s="14" t="n"/>
      <c r="D41" s="14" t="n"/>
      <c r="E41" s="14" t="n"/>
      <c r="F41" s="14" t="n"/>
      <c r="G41" s="14" t="n"/>
      <c r="H41" s="14" t="n"/>
      <c r="I41" s="20" t="n"/>
      <c r="J41" s="20" t="n"/>
      <c r="K41" s="14" t="n"/>
      <c r="L41" s="23">
        <f>IFERROR(INDEX('Chart of Accounts'!$C$5:$C$3000,MATCH(H41&amp;"",'Chart of Accounts'!$A$5:$A$3000,0))&amp;"|"&amp;INDEX('Chart of Accounts'!$D$5:$D$3000,MATCH(H41&amp;"",'Chart of Accounts'!$A$5:$A$3000,0)),"")</f>
        <v/>
      </c>
      <c r="M41" s="23">
        <f>IFERROR(INDEX('Chart of Accounts'!$C$5:$C$3000,MATCH(H41&amp;"",'Chart of Accounts'!$A$5:$A$3000,0))&amp;"|"&amp;INDEX('Chart of Accounts'!$D$5:$D$3000,MATCH(H41&amp;"",'Chart of Accounts'!$A$5:$A$3000,0)),"")</f>
        <v/>
      </c>
      <c r="N41" s="23">
        <f>IF(LEFT(L41,8)="Revenue|",-N(I41),0)+IF(LEFT(M41,8)="Revenue|",N(J41),0)</f>
        <v/>
      </c>
      <c r="O41" s="23">
        <f>IF(LEFT(L41,5)="COGS|",N(I41),0)+IF(LEFT(M41,5)="COGS|",-N(J41),0)</f>
        <v/>
      </c>
      <c r="P41" s="23">
        <f>IF(LEFT(L41,8)="Expense|",N(I41),0)+IF(LEFT(M41,8)="Expense|",-N(J41),0)</f>
        <v/>
      </c>
      <c r="Q41" s="23">
        <f>IF(ISNUMBER(MATCH(L41,{"Expense|employee","Expense|general_admin","Expense|marketing","Expense|utilities","Expense|other_operating"},0)),N(I41),0)+IF(ISNUMBER(MATCH(M41,{"Expense|employee","Expense|general_admin","Expense|marketing","Expense|utilities","Expense|other_operating"},0)),-N(J41),0)</f>
        <v/>
      </c>
      <c r="R41" s="23">
        <f>IF(L41="Liability|payable",-N(I41),0)+IF(M41="Liability|payable",N(J41),0)</f>
        <v/>
      </c>
      <c r="S41" s="23">
        <f>IF(L41="Liability|accrued",-N(I41),0)+IF(M41="Liability|accrued",N(J41),0)</f>
        <v/>
      </c>
      <c r="T41" s="23">
        <f>IF(AND(N(I41)&lt;&gt;0,L41=""),1,0)+IF(AND(N(J41)&lt;&gt;0,M41=""),1,0)</f>
        <v/>
      </c>
    </row>
    <row r="42">
      <c r="A42" s="14" t="n"/>
      <c r="B42" s="19" t="n"/>
      <c r="C42" s="14" t="n"/>
      <c r="D42" s="14" t="n"/>
      <c r="E42" s="14" t="n"/>
      <c r="F42" s="14" t="n"/>
      <c r="G42" s="14" t="n"/>
      <c r="H42" s="14" t="n"/>
      <c r="I42" s="20" t="n"/>
      <c r="J42" s="20" t="n"/>
      <c r="K42" s="14" t="n"/>
      <c r="L42" s="23">
        <f>IFERROR(INDEX('Chart of Accounts'!$C$5:$C$3000,MATCH(H42&amp;"",'Chart of Accounts'!$A$5:$A$3000,0))&amp;"|"&amp;INDEX('Chart of Accounts'!$D$5:$D$3000,MATCH(H42&amp;"",'Chart of Accounts'!$A$5:$A$3000,0)),"")</f>
        <v/>
      </c>
      <c r="M42" s="23">
        <f>IFERROR(INDEX('Chart of Accounts'!$C$5:$C$3000,MATCH(H42&amp;"",'Chart of Accounts'!$A$5:$A$3000,0))&amp;"|"&amp;INDEX('Chart of Accounts'!$D$5:$D$3000,MATCH(H42&amp;"",'Chart of Accounts'!$A$5:$A$3000,0)),"")</f>
        <v/>
      </c>
      <c r="N42" s="23">
        <f>IF(LEFT(L42,8)="Revenue|",-N(I42),0)+IF(LEFT(M42,8)="Revenue|",N(J42),0)</f>
        <v/>
      </c>
      <c r="O42" s="23">
        <f>IF(LEFT(L42,5)="COGS|",N(I42),0)+IF(LEFT(M42,5)="COGS|",-N(J42),0)</f>
        <v/>
      </c>
      <c r="P42" s="23">
        <f>IF(LEFT(L42,8)="Expense|",N(I42),0)+IF(LEFT(M42,8)="Expense|",-N(J42),0)</f>
        <v/>
      </c>
      <c r="Q42" s="23">
        <f>IF(ISNUMBER(MATCH(L42,{"Expense|employee","Expense|general_admin","Expense|marketing","Expense|utilities","Expense|other_operating"},0)),N(I42),0)+IF(ISNUMBER(MATCH(M42,{"Expense|employee","Expense|general_admin","Expense|marketing","Expense|utilities","Expense|other_operating"},0)),-N(J42),0)</f>
        <v/>
      </c>
      <c r="R42" s="23">
        <f>IF(L42="Liability|payable",-N(I42),0)+IF(M42="Liability|payable",N(J42),0)</f>
        <v/>
      </c>
      <c r="S42" s="23">
        <f>IF(L42="Liability|accrued",-N(I42),0)+IF(M42="Liability|accrued",N(J42),0)</f>
        <v/>
      </c>
      <c r="T42" s="23">
        <f>IF(AND(N(I42)&lt;&gt;0,L42=""),1,0)+IF(AND(N(J42)&lt;&gt;0,M42=""),1,0)</f>
        <v/>
      </c>
    </row>
    <row r="43">
      <c r="A43" s="14" t="n"/>
      <c r="B43" s="19" t="n"/>
      <c r="C43" s="14" t="n"/>
      <c r="D43" s="14" t="n"/>
      <c r="E43" s="14" t="n"/>
      <c r="F43" s="14" t="n"/>
      <c r="G43" s="14" t="n"/>
      <c r="H43" s="14" t="n"/>
      <c r="I43" s="20" t="n"/>
      <c r="J43" s="20" t="n"/>
      <c r="K43" s="14" t="n"/>
      <c r="L43" s="23">
        <f>IFERROR(INDEX('Chart of Accounts'!$C$5:$C$3000,MATCH(H43&amp;"",'Chart of Accounts'!$A$5:$A$3000,0))&amp;"|"&amp;INDEX('Chart of Accounts'!$D$5:$D$3000,MATCH(H43&amp;"",'Chart of Accounts'!$A$5:$A$3000,0)),"")</f>
        <v/>
      </c>
      <c r="M43" s="23">
        <f>IFERROR(INDEX('Chart of Accounts'!$C$5:$C$3000,MATCH(H43&amp;"",'Chart of Accounts'!$A$5:$A$3000,0))&amp;"|"&amp;INDEX('Chart of Accounts'!$D$5:$D$3000,MATCH(H43&amp;"",'Chart of Accounts'!$A$5:$A$3000,0)),"")</f>
        <v/>
      </c>
      <c r="N43" s="23">
        <f>IF(LEFT(L43,8)="Revenue|",-N(I43),0)+IF(LEFT(M43,8)="Revenue|",N(J43),0)</f>
        <v/>
      </c>
      <c r="O43" s="23">
        <f>IF(LEFT(L43,5)="COGS|",N(I43),0)+IF(LEFT(M43,5)="COGS|",-N(J43),0)</f>
        <v/>
      </c>
      <c r="P43" s="23">
        <f>IF(LEFT(L43,8)="Expense|",N(I43),0)+IF(LEFT(M43,8)="Expense|",-N(J43),0)</f>
        <v/>
      </c>
      <c r="Q43" s="23">
        <f>IF(ISNUMBER(MATCH(L43,{"Expense|employee","Expense|general_admin","Expense|marketing","Expense|utilities","Expense|other_operating"},0)),N(I43),0)+IF(ISNUMBER(MATCH(M43,{"Expense|employee","Expense|general_admin","Expense|marketing","Expense|utilities","Expense|other_operating"},0)),-N(J43),0)</f>
        <v/>
      </c>
      <c r="R43" s="23">
        <f>IF(L43="Liability|payable",-N(I43),0)+IF(M43="Liability|payable",N(J43),0)</f>
        <v/>
      </c>
      <c r="S43" s="23">
        <f>IF(L43="Liability|accrued",-N(I43),0)+IF(M43="Liability|accrued",N(J43),0)</f>
        <v/>
      </c>
      <c r="T43" s="23">
        <f>IF(AND(N(I43)&lt;&gt;0,L43=""),1,0)+IF(AND(N(J43)&lt;&gt;0,M43=""),1,0)</f>
        <v/>
      </c>
    </row>
    <row r="44">
      <c r="A44" s="14" t="n"/>
      <c r="B44" s="19" t="n"/>
      <c r="C44" s="14" t="n"/>
      <c r="D44" s="14" t="n"/>
      <c r="E44" s="14" t="n"/>
      <c r="F44" s="14" t="n"/>
      <c r="G44" s="14" t="n"/>
      <c r="H44" s="14" t="n"/>
      <c r="I44" s="20" t="n"/>
      <c r="J44" s="20" t="n"/>
      <c r="K44" s="14" t="n"/>
      <c r="L44" s="23">
        <f>IFERROR(INDEX('Chart of Accounts'!$C$5:$C$3000,MATCH(H44&amp;"",'Chart of Accounts'!$A$5:$A$3000,0))&amp;"|"&amp;INDEX('Chart of Accounts'!$D$5:$D$3000,MATCH(H44&amp;"",'Chart of Accounts'!$A$5:$A$3000,0)),"")</f>
        <v/>
      </c>
      <c r="M44" s="23">
        <f>IFERROR(INDEX('Chart of Accounts'!$C$5:$C$3000,MATCH(H44&amp;"",'Chart of Accounts'!$A$5:$A$3000,0))&amp;"|"&amp;INDEX('Chart of Accounts'!$D$5:$D$3000,MATCH(H44&amp;"",'Chart of Accounts'!$A$5:$A$3000,0)),"")</f>
        <v/>
      </c>
      <c r="N44" s="23">
        <f>IF(LEFT(L44,8)="Revenue|",-N(I44),0)+IF(LEFT(M44,8)="Revenue|",N(J44),0)</f>
        <v/>
      </c>
      <c r="O44" s="23">
        <f>IF(LEFT(L44,5)="COGS|",N(I44),0)+IF(LEFT(M44,5)="COGS|",-N(J44),0)</f>
        <v/>
      </c>
      <c r="P44" s="23">
        <f>IF(LEFT(L44,8)="Expense|",N(I44),0)+IF(LEFT(M44,8)="Expense|",-N(J44),0)</f>
        <v/>
      </c>
      <c r="Q44" s="23">
        <f>IF(ISNUMBER(MATCH(L44,{"Expense|employee","Expense|general_admin","Expense|marketing","Expense|utilities","Expense|other_operating"},0)),N(I44),0)+IF(ISNUMBER(MATCH(M44,{"Expense|employee","Expense|general_admin","Expense|marketing","Expense|utilities","Expense|other_operating"},0)),-N(J44),0)</f>
        <v/>
      </c>
      <c r="R44" s="23">
        <f>IF(L44="Liability|payable",-N(I44),0)+IF(M44="Liability|payable",N(J44),0)</f>
        <v/>
      </c>
      <c r="S44" s="23">
        <f>IF(L44="Liability|accrued",-N(I44),0)+IF(M44="Liability|accrued",N(J44),0)</f>
        <v/>
      </c>
      <c r="T44" s="23">
        <f>IF(AND(N(I44)&lt;&gt;0,L44=""),1,0)+IF(AND(N(J44)&lt;&gt;0,M44=""),1,0)</f>
        <v/>
      </c>
    </row>
    <row r="45">
      <c r="A45" s="14" t="n"/>
      <c r="B45" s="19" t="n"/>
      <c r="C45" s="14" t="n"/>
      <c r="D45" s="14" t="n"/>
      <c r="E45" s="14" t="n"/>
      <c r="F45" s="14" t="n"/>
      <c r="G45" s="14" t="n"/>
      <c r="H45" s="14" t="n"/>
      <c r="I45" s="20" t="n"/>
      <c r="J45" s="20" t="n"/>
      <c r="K45" s="14" t="n"/>
      <c r="L45" s="23">
        <f>IFERROR(INDEX('Chart of Accounts'!$C$5:$C$3000,MATCH(H45&amp;"",'Chart of Accounts'!$A$5:$A$3000,0))&amp;"|"&amp;INDEX('Chart of Accounts'!$D$5:$D$3000,MATCH(H45&amp;"",'Chart of Accounts'!$A$5:$A$3000,0)),"")</f>
        <v/>
      </c>
      <c r="M45" s="23">
        <f>IFERROR(INDEX('Chart of Accounts'!$C$5:$C$3000,MATCH(H45&amp;"",'Chart of Accounts'!$A$5:$A$3000,0))&amp;"|"&amp;INDEX('Chart of Accounts'!$D$5:$D$3000,MATCH(H45&amp;"",'Chart of Accounts'!$A$5:$A$3000,0)),"")</f>
        <v/>
      </c>
      <c r="N45" s="23">
        <f>IF(LEFT(L45,8)="Revenue|",-N(I45),0)+IF(LEFT(M45,8)="Revenue|",N(J45),0)</f>
        <v/>
      </c>
      <c r="O45" s="23">
        <f>IF(LEFT(L45,5)="COGS|",N(I45),0)+IF(LEFT(M45,5)="COGS|",-N(J45),0)</f>
        <v/>
      </c>
      <c r="P45" s="23">
        <f>IF(LEFT(L45,8)="Expense|",N(I45),0)+IF(LEFT(M45,8)="Expense|",-N(J45),0)</f>
        <v/>
      </c>
      <c r="Q45" s="23">
        <f>IF(ISNUMBER(MATCH(L45,{"Expense|employee","Expense|general_admin","Expense|marketing","Expense|utilities","Expense|other_operating"},0)),N(I45),0)+IF(ISNUMBER(MATCH(M45,{"Expense|employee","Expense|general_admin","Expense|marketing","Expense|utilities","Expense|other_operating"},0)),-N(J45),0)</f>
        <v/>
      </c>
      <c r="R45" s="23">
        <f>IF(L45="Liability|payable",-N(I45),0)+IF(M45="Liability|payable",N(J45),0)</f>
        <v/>
      </c>
      <c r="S45" s="23">
        <f>IF(L45="Liability|accrued",-N(I45),0)+IF(M45="Liability|accrued",N(J45),0)</f>
        <v/>
      </c>
      <c r="T45" s="23">
        <f>IF(AND(N(I45)&lt;&gt;0,L45=""),1,0)+IF(AND(N(J45)&lt;&gt;0,M45=""),1,0)</f>
        <v/>
      </c>
    </row>
    <row r="46">
      <c r="A46" s="14" t="n"/>
      <c r="B46" s="19" t="n"/>
      <c r="C46" s="14" t="n"/>
      <c r="D46" s="14" t="n"/>
      <c r="E46" s="14" t="n"/>
      <c r="F46" s="14" t="n"/>
      <c r="G46" s="14" t="n"/>
      <c r="H46" s="14" t="n"/>
      <c r="I46" s="20" t="n"/>
      <c r="J46" s="20" t="n"/>
      <c r="K46" s="14" t="n"/>
      <c r="L46" s="23">
        <f>IFERROR(INDEX('Chart of Accounts'!$C$5:$C$3000,MATCH(H46&amp;"",'Chart of Accounts'!$A$5:$A$3000,0))&amp;"|"&amp;INDEX('Chart of Accounts'!$D$5:$D$3000,MATCH(H46&amp;"",'Chart of Accounts'!$A$5:$A$3000,0)),"")</f>
        <v/>
      </c>
      <c r="M46" s="23">
        <f>IFERROR(INDEX('Chart of Accounts'!$C$5:$C$3000,MATCH(H46&amp;"",'Chart of Accounts'!$A$5:$A$3000,0))&amp;"|"&amp;INDEX('Chart of Accounts'!$D$5:$D$3000,MATCH(H46&amp;"",'Chart of Accounts'!$A$5:$A$3000,0)),"")</f>
        <v/>
      </c>
      <c r="N46" s="23">
        <f>IF(LEFT(L46,8)="Revenue|",-N(I46),0)+IF(LEFT(M46,8)="Revenue|",N(J46),0)</f>
        <v/>
      </c>
      <c r="O46" s="23">
        <f>IF(LEFT(L46,5)="COGS|",N(I46),0)+IF(LEFT(M46,5)="COGS|",-N(J46),0)</f>
        <v/>
      </c>
      <c r="P46" s="23">
        <f>IF(LEFT(L46,8)="Expense|",N(I46),0)+IF(LEFT(M46,8)="Expense|",-N(J46),0)</f>
        <v/>
      </c>
      <c r="Q46" s="23">
        <f>IF(ISNUMBER(MATCH(L46,{"Expense|employee","Expense|general_admin","Expense|marketing","Expense|utilities","Expense|other_operating"},0)),N(I46),0)+IF(ISNUMBER(MATCH(M46,{"Expense|employee","Expense|general_admin","Expense|marketing","Expense|utilities","Expense|other_operating"},0)),-N(J46),0)</f>
        <v/>
      </c>
      <c r="R46" s="23">
        <f>IF(L46="Liability|payable",-N(I46),0)+IF(M46="Liability|payable",N(J46),0)</f>
        <v/>
      </c>
      <c r="S46" s="23">
        <f>IF(L46="Liability|accrued",-N(I46),0)+IF(M46="Liability|accrued",N(J46),0)</f>
        <v/>
      </c>
      <c r="T46" s="23">
        <f>IF(AND(N(I46)&lt;&gt;0,L46=""),1,0)+IF(AND(N(J46)&lt;&gt;0,M46=""),1,0)</f>
        <v/>
      </c>
    </row>
    <row r="47">
      <c r="A47" s="14" t="n"/>
      <c r="B47" s="19" t="n"/>
      <c r="C47" s="14" t="n"/>
      <c r="D47" s="14" t="n"/>
      <c r="E47" s="14" t="n"/>
      <c r="F47" s="14" t="n"/>
      <c r="G47" s="14" t="n"/>
      <c r="H47" s="14" t="n"/>
      <c r="I47" s="20" t="n"/>
      <c r="J47" s="20" t="n"/>
      <c r="K47" s="14" t="n"/>
      <c r="L47" s="23">
        <f>IFERROR(INDEX('Chart of Accounts'!$C$5:$C$3000,MATCH(H47&amp;"",'Chart of Accounts'!$A$5:$A$3000,0))&amp;"|"&amp;INDEX('Chart of Accounts'!$D$5:$D$3000,MATCH(H47&amp;"",'Chart of Accounts'!$A$5:$A$3000,0)),"")</f>
        <v/>
      </c>
      <c r="M47" s="23">
        <f>IFERROR(INDEX('Chart of Accounts'!$C$5:$C$3000,MATCH(H47&amp;"",'Chart of Accounts'!$A$5:$A$3000,0))&amp;"|"&amp;INDEX('Chart of Accounts'!$D$5:$D$3000,MATCH(H47&amp;"",'Chart of Accounts'!$A$5:$A$3000,0)),"")</f>
        <v/>
      </c>
      <c r="N47" s="23">
        <f>IF(LEFT(L47,8)="Revenue|",-N(I47),0)+IF(LEFT(M47,8)="Revenue|",N(J47),0)</f>
        <v/>
      </c>
      <c r="O47" s="23">
        <f>IF(LEFT(L47,5)="COGS|",N(I47),0)+IF(LEFT(M47,5)="COGS|",-N(J47),0)</f>
        <v/>
      </c>
      <c r="P47" s="23">
        <f>IF(LEFT(L47,8)="Expense|",N(I47),0)+IF(LEFT(M47,8)="Expense|",-N(J47),0)</f>
        <v/>
      </c>
      <c r="Q47" s="23">
        <f>IF(ISNUMBER(MATCH(L47,{"Expense|employee","Expense|general_admin","Expense|marketing","Expense|utilities","Expense|other_operating"},0)),N(I47),0)+IF(ISNUMBER(MATCH(M47,{"Expense|employee","Expense|general_admin","Expense|marketing","Expense|utilities","Expense|other_operating"},0)),-N(J47),0)</f>
        <v/>
      </c>
      <c r="R47" s="23">
        <f>IF(L47="Liability|payable",-N(I47),0)+IF(M47="Liability|payable",N(J47),0)</f>
        <v/>
      </c>
      <c r="S47" s="23">
        <f>IF(L47="Liability|accrued",-N(I47),0)+IF(M47="Liability|accrued",N(J47),0)</f>
        <v/>
      </c>
      <c r="T47" s="23">
        <f>IF(AND(N(I47)&lt;&gt;0,L47=""),1,0)+IF(AND(N(J47)&lt;&gt;0,M47=""),1,0)</f>
        <v/>
      </c>
    </row>
    <row r="48">
      <c r="A48" s="14" t="n"/>
      <c r="B48" s="19" t="n"/>
      <c r="C48" s="14" t="n"/>
      <c r="D48" s="14" t="n"/>
      <c r="E48" s="14" t="n"/>
      <c r="F48" s="14" t="n"/>
      <c r="G48" s="14" t="n"/>
      <c r="H48" s="14" t="n"/>
      <c r="I48" s="20" t="n"/>
      <c r="J48" s="20" t="n"/>
      <c r="K48" s="14" t="n"/>
      <c r="L48" s="23">
        <f>IFERROR(INDEX('Chart of Accounts'!$C$5:$C$3000,MATCH(H48&amp;"",'Chart of Accounts'!$A$5:$A$3000,0))&amp;"|"&amp;INDEX('Chart of Accounts'!$D$5:$D$3000,MATCH(H48&amp;"",'Chart of Accounts'!$A$5:$A$3000,0)),"")</f>
        <v/>
      </c>
      <c r="M48" s="23">
        <f>IFERROR(INDEX('Chart of Accounts'!$C$5:$C$3000,MATCH(H48&amp;"",'Chart of Accounts'!$A$5:$A$3000,0))&amp;"|"&amp;INDEX('Chart of Accounts'!$D$5:$D$3000,MATCH(H48&amp;"",'Chart of Accounts'!$A$5:$A$3000,0)),"")</f>
        <v/>
      </c>
      <c r="N48" s="23">
        <f>IF(LEFT(L48,8)="Revenue|",-N(I48),0)+IF(LEFT(M48,8)="Revenue|",N(J48),0)</f>
        <v/>
      </c>
      <c r="O48" s="23">
        <f>IF(LEFT(L48,5)="COGS|",N(I48),0)+IF(LEFT(M48,5)="COGS|",-N(J48),0)</f>
        <v/>
      </c>
      <c r="P48" s="23">
        <f>IF(LEFT(L48,8)="Expense|",N(I48),0)+IF(LEFT(M48,8)="Expense|",-N(J48),0)</f>
        <v/>
      </c>
      <c r="Q48" s="23">
        <f>IF(ISNUMBER(MATCH(L48,{"Expense|employee","Expense|general_admin","Expense|marketing","Expense|utilities","Expense|other_operating"},0)),N(I48),0)+IF(ISNUMBER(MATCH(M48,{"Expense|employee","Expense|general_admin","Expense|marketing","Expense|utilities","Expense|other_operating"},0)),-N(J48),0)</f>
        <v/>
      </c>
      <c r="R48" s="23">
        <f>IF(L48="Liability|payable",-N(I48),0)+IF(M48="Liability|payable",N(J48),0)</f>
        <v/>
      </c>
      <c r="S48" s="23">
        <f>IF(L48="Liability|accrued",-N(I48),0)+IF(M48="Liability|accrued",N(J48),0)</f>
        <v/>
      </c>
      <c r="T48" s="23">
        <f>IF(AND(N(I48)&lt;&gt;0,L48=""),1,0)+IF(AND(N(J48)&lt;&gt;0,M48=""),1,0)</f>
        <v/>
      </c>
    </row>
    <row r="49">
      <c r="A49" s="14" t="n"/>
      <c r="B49" s="19" t="n"/>
      <c r="C49" s="14" t="n"/>
      <c r="D49" s="14" t="n"/>
      <c r="E49" s="14" t="n"/>
      <c r="F49" s="14" t="n"/>
      <c r="G49" s="14" t="n"/>
      <c r="H49" s="14" t="n"/>
      <c r="I49" s="20" t="n"/>
      <c r="J49" s="20" t="n"/>
      <c r="K49" s="14" t="n"/>
      <c r="L49" s="23">
        <f>IFERROR(INDEX('Chart of Accounts'!$C$5:$C$3000,MATCH(H49&amp;"",'Chart of Accounts'!$A$5:$A$3000,0))&amp;"|"&amp;INDEX('Chart of Accounts'!$D$5:$D$3000,MATCH(H49&amp;"",'Chart of Accounts'!$A$5:$A$3000,0)),"")</f>
        <v/>
      </c>
      <c r="M49" s="23">
        <f>IFERROR(INDEX('Chart of Accounts'!$C$5:$C$3000,MATCH(H49&amp;"",'Chart of Accounts'!$A$5:$A$3000,0))&amp;"|"&amp;INDEX('Chart of Accounts'!$D$5:$D$3000,MATCH(H49&amp;"",'Chart of Accounts'!$A$5:$A$3000,0)),"")</f>
        <v/>
      </c>
      <c r="N49" s="23">
        <f>IF(LEFT(L49,8)="Revenue|",-N(I49),0)+IF(LEFT(M49,8)="Revenue|",N(J49),0)</f>
        <v/>
      </c>
      <c r="O49" s="23">
        <f>IF(LEFT(L49,5)="COGS|",N(I49),0)+IF(LEFT(M49,5)="COGS|",-N(J49),0)</f>
        <v/>
      </c>
      <c r="P49" s="23">
        <f>IF(LEFT(L49,8)="Expense|",N(I49),0)+IF(LEFT(M49,8)="Expense|",-N(J49),0)</f>
        <v/>
      </c>
      <c r="Q49" s="23">
        <f>IF(ISNUMBER(MATCH(L49,{"Expense|employee","Expense|general_admin","Expense|marketing","Expense|utilities","Expense|other_operating"},0)),N(I49),0)+IF(ISNUMBER(MATCH(M49,{"Expense|employee","Expense|general_admin","Expense|marketing","Expense|utilities","Expense|other_operating"},0)),-N(J49),0)</f>
        <v/>
      </c>
      <c r="R49" s="23">
        <f>IF(L49="Liability|payable",-N(I49),0)+IF(M49="Liability|payable",N(J49),0)</f>
        <v/>
      </c>
      <c r="S49" s="23">
        <f>IF(L49="Liability|accrued",-N(I49),0)+IF(M49="Liability|accrued",N(J49),0)</f>
        <v/>
      </c>
      <c r="T49" s="23">
        <f>IF(AND(N(I49)&lt;&gt;0,L49=""),1,0)+IF(AND(N(J49)&lt;&gt;0,M49=""),1,0)</f>
        <v/>
      </c>
    </row>
    <row r="50">
      <c r="A50" s="14" t="n"/>
      <c r="B50" s="19" t="n"/>
      <c r="C50" s="14" t="n"/>
      <c r="D50" s="14" t="n"/>
      <c r="E50" s="14" t="n"/>
      <c r="F50" s="14" t="n"/>
      <c r="G50" s="14" t="n"/>
      <c r="H50" s="14" t="n"/>
      <c r="I50" s="20" t="n"/>
      <c r="J50" s="20" t="n"/>
      <c r="K50" s="14" t="n"/>
      <c r="L50" s="23">
        <f>IFERROR(INDEX('Chart of Accounts'!$C$5:$C$3000,MATCH(H50&amp;"",'Chart of Accounts'!$A$5:$A$3000,0))&amp;"|"&amp;INDEX('Chart of Accounts'!$D$5:$D$3000,MATCH(H50&amp;"",'Chart of Accounts'!$A$5:$A$3000,0)),"")</f>
        <v/>
      </c>
      <c r="M50" s="23">
        <f>IFERROR(INDEX('Chart of Accounts'!$C$5:$C$3000,MATCH(H50&amp;"",'Chart of Accounts'!$A$5:$A$3000,0))&amp;"|"&amp;INDEX('Chart of Accounts'!$D$5:$D$3000,MATCH(H50&amp;"",'Chart of Accounts'!$A$5:$A$3000,0)),"")</f>
        <v/>
      </c>
      <c r="N50" s="23">
        <f>IF(LEFT(L50,8)="Revenue|",-N(I50),0)+IF(LEFT(M50,8)="Revenue|",N(J50),0)</f>
        <v/>
      </c>
      <c r="O50" s="23">
        <f>IF(LEFT(L50,5)="COGS|",N(I50),0)+IF(LEFT(M50,5)="COGS|",-N(J50),0)</f>
        <v/>
      </c>
      <c r="P50" s="23">
        <f>IF(LEFT(L50,8)="Expense|",N(I50),0)+IF(LEFT(M50,8)="Expense|",-N(J50),0)</f>
        <v/>
      </c>
      <c r="Q50" s="23">
        <f>IF(ISNUMBER(MATCH(L50,{"Expense|employee","Expense|general_admin","Expense|marketing","Expense|utilities","Expense|other_operating"},0)),N(I50),0)+IF(ISNUMBER(MATCH(M50,{"Expense|employee","Expense|general_admin","Expense|marketing","Expense|utilities","Expense|other_operating"},0)),-N(J50),0)</f>
        <v/>
      </c>
      <c r="R50" s="23">
        <f>IF(L50="Liability|payable",-N(I50),0)+IF(M50="Liability|payable",N(J50),0)</f>
        <v/>
      </c>
      <c r="S50" s="23">
        <f>IF(L50="Liability|accrued",-N(I50),0)+IF(M50="Liability|accrued",N(J50),0)</f>
        <v/>
      </c>
      <c r="T50" s="23">
        <f>IF(AND(N(I50)&lt;&gt;0,L50=""),1,0)+IF(AND(N(J50)&lt;&gt;0,M50=""),1,0)</f>
        <v/>
      </c>
    </row>
    <row r="51">
      <c r="A51" s="14" t="n"/>
      <c r="B51" s="19" t="n"/>
      <c r="C51" s="14" t="n"/>
      <c r="D51" s="14" t="n"/>
      <c r="E51" s="14" t="n"/>
      <c r="F51" s="14" t="n"/>
      <c r="G51" s="14" t="n"/>
      <c r="H51" s="14" t="n"/>
      <c r="I51" s="20" t="n"/>
      <c r="J51" s="20" t="n"/>
      <c r="K51" s="14" t="n"/>
      <c r="L51" s="23">
        <f>IFERROR(INDEX('Chart of Accounts'!$C$5:$C$3000,MATCH(H51&amp;"",'Chart of Accounts'!$A$5:$A$3000,0))&amp;"|"&amp;INDEX('Chart of Accounts'!$D$5:$D$3000,MATCH(H51&amp;"",'Chart of Accounts'!$A$5:$A$3000,0)),"")</f>
        <v/>
      </c>
      <c r="M51" s="23">
        <f>IFERROR(INDEX('Chart of Accounts'!$C$5:$C$3000,MATCH(H51&amp;"",'Chart of Accounts'!$A$5:$A$3000,0))&amp;"|"&amp;INDEX('Chart of Accounts'!$D$5:$D$3000,MATCH(H51&amp;"",'Chart of Accounts'!$A$5:$A$3000,0)),"")</f>
        <v/>
      </c>
      <c r="N51" s="23">
        <f>IF(LEFT(L51,8)="Revenue|",-N(I51),0)+IF(LEFT(M51,8)="Revenue|",N(J51),0)</f>
        <v/>
      </c>
      <c r="O51" s="23">
        <f>IF(LEFT(L51,5)="COGS|",N(I51),0)+IF(LEFT(M51,5)="COGS|",-N(J51),0)</f>
        <v/>
      </c>
      <c r="P51" s="23">
        <f>IF(LEFT(L51,8)="Expense|",N(I51),0)+IF(LEFT(M51,8)="Expense|",-N(J51),0)</f>
        <v/>
      </c>
      <c r="Q51" s="23">
        <f>IF(ISNUMBER(MATCH(L51,{"Expense|employee","Expense|general_admin","Expense|marketing","Expense|utilities","Expense|other_operating"},0)),N(I51),0)+IF(ISNUMBER(MATCH(M51,{"Expense|employee","Expense|general_admin","Expense|marketing","Expense|utilities","Expense|other_operating"},0)),-N(J51),0)</f>
        <v/>
      </c>
      <c r="R51" s="23">
        <f>IF(L51="Liability|payable",-N(I51),0)+IF(M51="Liability|payable",N(J51),0)</f>
        <v/>
      </c>
      <c r="S51" s="23">
        <f>IF(L51="Liability|accrued",-N(I51),0)+IF(M51="Liability|accrued",N(J51),0)</f>
        <v/>
      </c>
      <c r="T51" s="23">
        <f>IF(AND(N(I51)&lt;&gt;0,L51=""),1,0)+IF(AND(N(J51)&lt;&gt;0,M51=""),1,0)</f>
        <v/>
      </c>
    </row>
    <row r="52">
      <c r="A52" s="14" t="n"/>
      <c r="B52" s="19" t="n"/>
      <c r="C52" s="14" t="n"/>
      <c r="D52" s="14" t="n"/>
      <c r="E52" s="14" t="n"/>
      <c r="F52" s="14" t="n"/>
      <c r="G52" s="14" t="n"/>
      <c r="H52" s="14" t="n"/>
      <c r="I52" s="20" t="n"/>
      <c r="J52" s="20" t="n"/>
      <c r="K52" s="14" t="n"/>
      <c r="L52" s="23">
        <f>IFERROR(INDEX('Chart of Accounts'!$C$5:$C$3000,MATCH(H52&amp;"",'Chart of Accounts'!$A$5:$A$3000,0))&amp;"|"&amp;INDEX('Chart of Accounts'!$D$5:$D$3000,MATCH(H52&amp;"",'Chart of Accounts'!$A$5:$A$3000,0)),"")</f>
        <v/>
      </c>
      <c r="M52" s="23">
        <f>IFERROR(INDEX('Chart of Accounts'!$C$5:$C$3000,MATCH(H52&amp;"",'Chart of Accounts'!$A$5:$A$3000,0))&amp;"|"&amp;INDEX('Chart of Accounts'!$D$5:$D$3000,MATCH(H52&amp;"",'Chart of Accounts'!$A$5:$A$3000,0)),"")</f>
        <v/>
      </c>
      <c r="N52" s="23">
        <f>IF(LEFT(L52,8)="Revenue|",-N(I52),0)+IF(LEFT(M52,8)="Revenue|",N(J52),0)</f>
        <v/>
      </c>
      <c r="O52" s="23">
        <f>IF(LEFT(L52,5)="COGS|",N(I52),0)+IF(LEFT(M52,5)="COGS|",-N(J52),0)</f>
        <v/>
      </c>
      <c r="P52" s="23">
        <f>IF(LEFT(L52,8)="Expense|",N(I52),0)+IF(LEFT(M52,8)="Expense|",-N(J52),0)</f>
        <v/>
      </c>
      <c r="Q52" s="23">
        <f>IF(ISNUMBER(MATCH(L52,{"Expense|employee","Expense|general_admin","Expense|marketing","Expense|utilities","Expense|other_operating"},0)),N(I52),0)+IF(ISNUMBER(MATCH(M52,{"Expense|employee","Expense|general_admin","Expense|marketing","Expense|utilities","Expense|other_operating"},0)),-N(J52),0)</f>
        <v/>
      </c>
      <c r="R52" s="23">
        <f>IF(L52="Liability|payable",-N(I52),0)+IF(M52="Liability|payable",N(J52),0)</f>
        <v/>
      </c>
      <c r="S52" s="23">
        <f>IF(L52="Liability|accrued",-N(I52),0)+IF(M52="Liability|accrued",N(J52),0)</f>
        <v/>
      </c>
      <c r="T52" s="23">
        <f>IF(AND(N(I52)&lt;&gt;0,L52=""),1,0)+IF(AND(N(J52)&lt;&gt;0,M52=""),1,0)</f>
        <v/>
      </c>
    </row>
    <row r="53">
      <c r="A53" s="14" t="n"/>
      <c r="B53" s="19" t="n"/>
      <c r="C53" s="14" t="n"/>
      <c r="D53" s="14" t="n"/>
      <c r="E53" s="14" t="n"/>
      <c r="F53" s="14" t="n"/>
      <c r="G53" s="14" t="n"/>
      <c r="H53" s="14" t="n"/>
      <c r="I53" s="20" t="n"/>
      <c r="J53" s="20" t="n"/>
      <c r="K53" s="14" t="n"/>
      <c r="L53" s="23">
        <f>IFERROR(INDEX('Chart of Accounts'!$C$5:$C$3000,MATCH(H53&amp;"",'Chart of Accounts'!$A$5:$A$3000,0))&amp;"|"&amp;INDEX('Chart of Accounts'!$D$5:$D$3000,MATCH(H53&amp;"",'Chart of Accounts'!$A$5:$A$3000,0)),"")</f>
        <v/>
      </c>
      <c r="M53" s="23">
        <f>IFERROR(INDEX('Chart of Accounts'!$C$5:$C$3000,MATCH(H53&amp;"",'Chart of Accounts'!$A$5:$A$3000,0))&amp;"|"&amp;INDEX('Chart of Accounts'!$D$5:$D$3000,MATCH(H53&amp;"",'Chart of Accounts'!$A$5:$A$3000,0)),"")</f>
        <v/>
      </c>
      <c r="N53" s="23">
        <f>IF(LEFT(L53,8)="Revenue|",-N(I53),0)+IF(LEFT(M53,8)="Revenue|",N(J53),0)</f>
        <v/>
      </c>
      <c r="O53" s="23">
        <f>IF(LEFT(L53,5)="COGS|",N(I53),0)+IF(LEFT(M53,5)="COGS|",-N(J53),0)</f>
        <v/>
      </c>
      <c r="P53" s="23">
        <f>IF(LEFT(L53,8)="Expense|",N(I53),0)+IF(LEFT(M53,8)="Expense|",-N(J53),0)</f>
        <v/>
      </c>
      <c r="Q53" s="23">
        <f>IF(ISNUMBER(MATCH(L53,{"Expense|employee","Expense|general_admin","Expense|marketing","Expense|utilities","Expense|other_operating"},0)),N(I53),0)+IF(ISNUMBER(MATCH(M53,{"Expense|employee","Expense|general_admin","Expense|marketing","Expense|utilities","Expense|other_operating"},0)),-N(J53),0)</f>
        <v/>
      </c>
      <c r="R53" s="23">
        <f>IF(L53="Liability|payable",-N(I53),0)+IF(M53="Liability|payable",N(J53),0)</f>
        <v/>
      </c>
      <c r="S53" s="23">
        <f>IF(L53="Liability|accrued",-N(I53),0)+IF(M53="Liability|accrued",N(J53),0)</f>
        <v/>
      </c>
      <c r="T53" s="23">
        <f>IF(AND(N(I53)&lt;&gt;0,L53=""),1,0)+IF(AND(N(J53)&lt;&gt;0,M53=""),1,0)</f>
        <v/>
      </c>
    </row>
    <row r="54">
      <c r="A54" s="14" t="n"/>
      <c r="B54" s="19" t="n"/>
      <c r="C54" s="14" t="n"/>
      <c r="D54" s="14" t="n"/>
      <c r="E54" s="14" t="n"/>
      <c r="F54" s="14" t="n"/>
      <c r="G54" s="14" t="n"/>
      <c r="H54" s="14" t="n"/>
      <c r="I54" s="20" t="n"/>
      <c r="J54" s="20" t="n"/>
      <c r="K54" s="14" t="n"/>
      <c r="L54" s="23">
        <f>IFERROR(INDEX('Chart of Accounts'!$C$5:$C$3000,MATCH(H54&amp;"",'Chart of Accounts'!$A$5:$A$3000,0))&amp;"|"&amp;INDEX('Chart of Accounts'!$D$5:$D$3000,MATCH(H54&amp;"",'Chart of Accounts'!$A$5:$A$3000,0)),"")</f>
        <v/>
      </c>
      <c r="M54" s="23">
        <f>IFERROR(INDEX('Chart of Accounts'!$C$5:$C$3000,MATCH(H54&amp;"",'Chart of Accounts'!$A$5:$A$3000,0))&amp;"|"&amp;INDEX('Chart of Accounts'!$D$5:$D$3000,MATCH(H54&amp;"",'Chart of Accounts'!$A$5:$A$3000,0)),"")</f>
        <v/>
      </c>
      <c r="N54" s="23">
        <f>IF(LEFT(L54,8)="Revenue|",-N(I54),0)+IF(LEFT(M54,8)="Revenue|",N(J54),0)</f>
        <v/>
      </c>
      <c r="O54" s="23">
        <f>IF(LEFT(L54,5)="COGS|",N(I54),0)+IF(LEFT(M54,5)="COGS|",-N(J54),0)</f>
        <v/>
      </c>
      <c r="P54" s="23">
        <f>IF(LEFT(L54,8)="Expense|",N(I54),0)+IF(LEFT(M54,8)="Expense|",-N(J54),0)</f>
        <v/>
      </c>
      <c r="Q54" s="23">
        <f>IF(ISNUMBER(MATCH(L54,{"Expense|employee","Expense|general_admin","Expense|marketing","Expense|utilities","Expense|other_operating"},0)),N(I54),0)+IF(ISNUMBER(MATCH(M54,{"Expense|employee","Expense|general_admin","Expense|marketing","Expense|utilities","Expense|other_operating"},0)),-N(J54),0)</f>
        <v/>
      </c>
      <c r="R54" s="23">
        <f>IF(L54="Liability|payable",-N(I54),0)+IF(M54="Liability|payable",N(J54),0)</f>
        <v/>
      </c>
      <c r="S54" s="23">
        <f>IF(L54="Liability|accrued",-N(I54),0)+IF(M54="Liability|accrued",N(J54),0)</f>
        <v/>
      </c>
      <c r="T54" s="23">
        <f>IF(AND(N(I54)&lt;&gt;0,L54=""),1,0)+IF(AND(N(J54)&lt;&gt;0,M54=""),1,0)</f>
        <v/>
      </c>
    </row>
    <row r="55">
      <c r="A55" s="14" t="n"/>
      <c r="B55" s="19" t="n"/>
      <c r="C55" s="14" t="n"/>
      <c r="D55" s="14" t="n"/>
      <c r="E55" s="14" t="n"/>
      <c r="F55" s="14" t="n"/>
      <c r="G55" s="14" t="n"/>
      <c r="H55" s="14" t="n"/>
      <c r="I55" s="20" t="n"/>
      <c r="J55" s="20" t="n"/>
      <c r="K55" s="14" t="n"/>
      <c r="L55" s="23">
        <f>IFERROR(INDEX('Chart of Accounts'!$C$5:$C$3000,MATCH(H55&amp;"",'Chart of Accounts'!$A$5:$A$3000,0))&amp;"|"&amp;INDEX('Chart of Accounts'!$D$5:$D$3000,MATCH(H55&amp;"",'Chart of Accounts'!$A$5:$A$3000,0)),"")</f>
        <v/>
      </c>
      <c r="M55" s="23">
        <f>IFERROR(INDEX('Chart of Accounts'!$C$5:$C$3000,MATCH(H55&amp;"",'Chart of Accounts'!$A$5:$A$3000,0))&amp;"|"&amp;INDEX('Chart of Accounts'!$D$5:$D$3000,MATCH(H55&amp;"",'Chart of Accounts'!$A$5:$A$3000,0)),"")</f>
        <v/>
      </c>
      <c r="N55" s="23">
        <f>IF(LEFT(L55,8)="Revenue|",-N(I55),0)+IF(LEFT(M55,8)="Revenue|",N(J55),0)</f>
        <v/>
      </c>
      <c r="O55" s="23">
        <f>IF(LEFT(L55,5)="COGS|",N(I55),0)+IF(LEFT(M55,5)="COGS|",-N(J55),0)</f>
        <v/>
      </c>
      <c r="P55" s="23">
        <f>IF(LEFT(L55,8)="Expense|",N(I55),0)+IF(LEFT(M55,8)="Expense|",-N(J55),0)</f>
        <v/>
      </c>
      <c r="Q55" s="23">
        <f>IF(ISNUMBER(MATCH(L55,{"Expense|employee","Expense|general_admin","Expense|marketing","Expense|utilities","Expense|other_operating"},0)),N(I55),0)+IF(ISNUMBER(MATCH(M55,{"Expense|employee","Expense|general_admin","Expense|marketing","Expense|utilities","Expense|other_operating"},0)),-N(J55),0)</f>
        <v/>
      </c>
      <c r="R55" s="23">
        <f>IF(L55="Liability|payable",-N(I55),0)+IF(M55="Liability|payable",N(J55),0)</f>
        <v/>
      </c>
      <c r="S55" s="23">
        <f>IF(L55="Liability|accrued",-N(I55),0)+IF(M55="Liability|accrued",N(J55),0)</f>
        <v/>
      </c>
      <c r="T55" s="23">
        <f>IF(AND(N(I55)&lt;&gt;0,L55=""),1,0)+IF(AND(N(J55)&lt;&gt;0,M55=""),1,0)</f>
        <v/>
      </c>
    </row>
    <row r="56">
      <c r="A56" s="14" t="n"/>
      <c r="B56" s="19" t="n"/>
      <c r="C56" s="14" t="n"/>
      <c r="D56" s="14" t="n"/>
      <c r="E56" s="14" t="n"/>
      <c r="F56" s="14" t="n"/>
      <c r="G56" s="14" t="n"/>
      <c r="H56" s="14" t="n"/>
      <c r="I56" s="20" t="n"/>
      <c r="J56" s="20" t="n"/>
      <c r="K56" s="14" t="n"/>
      <c r="L56" s="23">
        <f>IFERROR(INDEX('Chart of Accounts'!$C$5:$C$3000,MATCH(H56&amp;"",'Chart of Accounts'!$A$5:$A$3000,0))&amp;"|"&amp;INDEX('Chart of Accounts'!$D$5:$D$3000,MATCH(H56&amp;"",'Chart of Accounts'!$A$5:$A$3000,0)),"")</f>
        <v/>
      </c>
      <c r="M56" s="23">
        <f>IFERROR(INDEX('Chart of Accounts'!$C$5:$C$3000,MATCH(H56&amp;"",'Chart of Accounts'!$A$5:$A$3000,0))&amp;"|"&amp;INDEX('Chart of Accounts'!$D$5:$D$3000,MATCH(H56&amp;"",'Chart of Accounts'!$A$5:$A$3000,0)),"")</f>
        <v/>
      </c>
      <c r="N56" s="23">
        <f>IF(LEFT(L56,8)="Revenue|",-N(I56),0)+IF(LEFT(M56,8)="Revenue|",N(J56),0)</f>
        <v/>
      </c>
      <c r="O56" s="23">
        <f>IF(LEFT(L56,5)="COGS|",N(I56),0)+IF(LEFT(M56,5)="COGS|",-N(J56),0)</f>
        <v/>
      </c>
      <c r="P56" s="23">
        <f>IF(LEFT(L56,8)="Expense|",N(I56),0)+IF(LEFT(M56,8)="Expense|",-N(J56),0)</f>
        <v/>
      </c>
      <c r="Q56" s="23">
        <f>IF(ISNUMBER(MATCH(L56,{"Expense|employee","Expense|general_admin","Expense|marketing","Expense|utilities","Expense|other_operating"},0)),N(I56),0)+IF(ISNUMBER(MATCH(M56,{"Expense|employee","Expense|general_admin","Expense|marketing","Expense|utilities","Expense|other_operating"},0)),-N(J56),0)</f>
        <v/>
      </c>
      <c r="R56" s="23">
        <f>IF(L56="Liability|payable",-N(I56),0)+IF(M56="Liability|payable",N(J56),0)</f>
        <v/>
      </c>
      <c r="S56" s="23">
        <f>IF(L56="Liability|accrued",-N(I56),0)+IF(M56="Liability|accrued",N(J56),0)</f>
        <v/>
      </c>
      <c r="T56" s="23">
        <f>IF(AND(N(I56)&lt;&gt;0,L56=""),1,0)+IF(AND(N(J56)&lt;&gt;0,M56=""),1,0)</f>
        <v/>
      </c>
    </row>
    <row r="57">
      <c r="A57" s="14" t="n"/>
      <c r="B57" s="19" t="n"/>
      <c r="C57" s="14" t="n"/>
      <c r="D57" s="14" t="n"/>
      <c r="E57" s="14" t="n"/>
      <c r="F57" s="14" t="n"/>
      <c r="G57" s="14" t="n"/>
      <c r="H57" s="14" t="n"/>
      <c r="I57" s="20" t="n"/>
      <c r="J57" s="20" t="n"/>
      <c r="K57" s="14" t="n"/>
      <c r="L57" s="23">
        <f>IFERROR(INDEX('Chart of Accounts'!$C$5:$C$3000,MATCH(H57&amp;"",'Chart of Accounts'!$A$5:$A$3000,0))&amp;"|"&amp;INDEX('Chart of Accounts'!$D$5:$D$3000,MATCH(H57&amp;"",'Chart of Accounts'!$A$5:$A$3000,0)),"")</f>
        <v/>
      </c>
      <c r="M57" s="23">
        <f>IFERROR(INDEX('Chart of Accounts'!$C$5:$C$3000,MATCH(H57&amp;"",'Chart of Accounts'!$A$5:$A$3000,0))&amp;"|"&amp;INDEX('Chart of Accounts'!$D$5:$D$3000,MATCH(H57&amp;"",'Chart of Accounts'!$A$5:$A$3000,0)),"")</f>
        <v/>
      </c>
      <c r="N57" s="23">
        <f>IF(LEFT(L57,8)="Revenue|",-N(I57),0)+IF(LEFT(M57,8)="Revenue|",N(J57),0)</f>
        <v/>
      </c>
      <c r="O57" s="23">
        <f>IF(LEFT(L57,5)="COGS|",N(I57),0)+IF(LEFT(M57,5)="COGS|",-N(J57),0)</f>
        <v/>
      </c>
      <c r="P57" s="23">
        <f>IF(LEFT(L57,8)="Expense|",N(I57),0)+IF(LEFT(M57,8)="Expense|",-N(J57),0)</f>
        <v/>
      </c>
      <c r="Q57" s="23">
        <f>IF(ISNUMBER(MATCH(L57,{"Expense|employee","Expense|general_admin","Expense|marketing","Expense|utilities","Expense|other_operating"},0)),N(I57),0)+IF(ISNUMBER(MATCH(M57,{"Expense|employee","Expense|general_admin","Expense|marketing","Expense|utilities","Expense|other_operating"},0)),-N(J57),0)</f>
        <v/>
      </c>
      <c r="R57" s="23">
        <f>IF(L57="Liability|payable",-N(I57),0)+IF(M57="Liability|payable",N(J57),0)</f>
        <v/>
      </c>
      <c r="S57" s="23">
        <f>IF(L57="Liability|accrued",-N(I57),0)+IF(M57="Liability|accrued",N(J57),0)</f>
        <v/>
      </c>
      <c r="T57" s="23">
        <f>IF(AND(N(I57)&lt;&gt;0,L57=""),1,0)+IF(AND(N(J57)&lt;&gt;0,M57=""),1,0)</f>
        <v/>
      </c>
    </row>
    <row r="58">
      <c r="A58" s="14" t="n"/>
      <c r="B58" s="19" t="n"/>
      <c r="C58" s="14" t="n"/>
      <c r="D58" s="14" t="n"/>
      <c r="E58" s="14" t="n"/>
      <c r="F58" s="14" t="n"/>
      <c r="G58" s="14" t="n"/>
      <c r="H58" s="14" t="n"/>
      <c r="I58" s="20" t="n"/>
      <c r="J58" s="20" t="n"/>
      <c r="K58" s="14" t="n"/>
      <c r="L58" s="23">
        <f>IFERROR(INDEX('Chart of Accounts'!$C$5:$C$3000,MATCH(H58&amp;"",'Chart of Accounts'!$A$5:$A$3000,0))&amp;"|"&amp;INDEX('Chart of Accounts'!$D$5:$D$3000,MATCH(H58&amp;"",'Chart of Accounts'!$A$5:$A$3000,0)),"")</f>
        <v/>
      </c>
      <c r="M58" s="23">
        <f>IFERROR(INDEX('Chart of Accounts'!$C$5:$C$3000,MATCH(H58&amp;"",'Chart of Accounts'!$A$5:$A$3000,0))&amp;"|"&amp;INDEX('Chart of Accounts'!$D$5:$D$3000,MATCH(H58&amp;"",'Chart of Accounts'!$A$5:$A$3000,0)),"")</f>
        <v/>
      </c>
      <c r="N58" s="23">
        <f>IF(LEFT(L58,8)="Revenue|",-N(I58),0)+IF(LEFT(M58,8)="Revenue|",N(J58),0)</f>
        <v/>
      </c>
      <c r="O58" s="23">
        <f>IF(LEFT(L58,5)="COGS|",N(I58),0)+IF(LEFT(M58,5)="COGS|",-N(J58),0)</f>
        <v/>
      </c>
      <c r="P58" s="23">
        <f>IF(LEFT(L58,8)="Expense|",N(I58),0)+IF(LEFT(M58,8)="Expense|",-N(J58),0)</f>
        <v/>
      </c>
      <c r="Q58" s="23">
        <f>IF(ISNUMBER(MATCH(L58,{"Expense|employee","Expense|general_admin","Expense|marketing","Expense|utilities","Expense|other_operating"},0)),N(I58),0)+IF(ISNUMBER(MATCH(M58,{"Expense|employee","Expense|general_admin","Expense|marketing","Expense|utilities","Expense|other_operating"},0)),-N(J58),0)</f>
        <v/>
      </c>
      <c r="R58" s="23">
        <f>IF(L58="Liability|payable",-N(I58),0)+IF(M58="Liability|payable",N(J58),0)</f>
        <v/>
      </c>
      <c r="S58" s="23">
        <f>IF(L58="Liability|accrued",-N(I58),0)+IF(M58="Liability|accrued",N(J58),0)</f>
        <v/>
      </c>
      <c r="T58" s="23">
        <f>IF(AND(N(I58)&lt;&gt;0,L58=""),1,0)+IF(AND(N(J58)&lt;&gt;0,M58=""),1,0)</f>
        <v/>
      </c>
    </row>
    <row r="59">
      <c r="A59" s="14" t="n"/>
      <c r="B59" s="19" t="n"/>
      <c r="C59" s="14" t="n"/>
      <c r="D59" s="14" t="n"/>
      <c r="E59" s="14" t="n"/>
      <c r="F59" s="14" t="n"/>
      <c r="G59" s="14" t="n"/>
      <c r="H59" s="14" t="n"/>
      <c r="I59" s="20" t="n"/>
      <c r="J59" s="20" t="n"/>
      <c r="K59" s="14" t="n"/>
      <c r="L59" s="23">
        <f>IFERROR(INDEX('Chart of Accounts'!$C$5:$C$3000,MATCH(H59&amp;"",'Chart of Accounts'!$A$5:$A$3000,0))&amp;"|"&amp;INDEX('Chart of Accounts'!$D$5:$D$3000,MATCH(H59&amp;"",'Chart of Accounts'!$A$5:$A$3000,0)),"")</f>
        <v/>
      </c>
      <c r="M59" s="23">
        <f>IFERROR(INDEX('Chart of Accounts'!$C$5:$C$3000,MATCH(H59&amp;"",'Chart of Accounts'!$A$5:$A$3000,0))&amp;"|"&amp;INDEX('Chart of Accounts'!$D$5:$D$3000,MATCH(H59&amp;"",'Chart of Accounts'!$A$5:$A$3000,0)),"")</f>
        <v/>
      </c>
      <c r="N59" s="23">
        <f>IF(LEFT(L59,8)="Revenue|",-N(I59),0)+IF(LEFT(M59,8)="Revenue|",N(J59),0)</f>
        <v/>
      </c>
      <c r="O59" s="23">
        <f>IF(LEFT(L59,5)="COGS|",N(I59),0)+IF(LEFT(M59,5)="COGS|",-N(J59),0)</f>
        <v/>
      </c>
      <c r="P59" s="23">
        <f>IF(LEFT(L59,8)="Expense|",N(I59),0)+IF(LEFT(M59,8)="Expense|",-N(J59),0)</f>
        <v/>
      </c>
      <c r="Q59" s="23">
        <f>IF(ISNUMBER(MATCH(L59,{"Expense|employee","Expense|general_admin","Expense|marketing","Expense|utilities","Expense|other_operating"},0)),N(I59),0)+IF(ISNUMBER(MATCH(M59,{"Expense|employee","Expense|general_admin","Expense|marketing","Expense|utilities","Expense|other_operating"},0)),-N(J59),0)</f>
        <v/>
      </c>
      <c r="R59" s="23">
        <f>IF(L59="Liability|payable",-N(I59),0)+IF(M59="Liability|payable",N(J59),0)</f>
        <v/>
      </c>
      <c r="S59" s="23">
        <f>IF(L59="Liability|accrued",-N(I59),0)+IF(M59="Liability|accrued",N(J59),0)</f>
        <v/>
      </c>
      <c r="T59" s="23">
        <f>IF(AND(N(I59)&lt;&gt;0,L59=""),1,0)+IF(AND(N(J59)&lt;&gt;0,M59=""),1,0)</f>
        <v/>
      </c>
    </row>
    <row r="60">
      <c r="A60" s="14" t="n"/>
      <c r="B60" s="19" t="n"/>
      <c r="C60" s="14" t="n"/>
      <c r="D60" s="14" t="n"/>
      <c r="E60" s="14" t="n"/>
      <c r="F60" s="14" t="n"/>
      <c r="G60" s="14" t="n"/>
      <c r="H60" s="14" t="n"/>
      <c r="I60" s="20" t="n"/>
      <c r="J60" s="20" t="n"/>
      <c r="K60" s="14" t="n"/>
      <c r="L60" s="23">
        <f>IFERROR(INDEX('Chart of Accounts'!$C$5:$C$3000,MATCH(H60&amp;"",'Chart of Accounts'!$A$5:$A$3000,0))&amp;"|"&amp;INDEX('Chart of Accounts'!$D$5:$D$3000,MATCH(H60&amp;"",'Chart of Accounts'!$A$5:$A$3000,0)),"")</f>
        <v/>
      </c>
      <c r="M60" s="23">
        <f>IFERROR(INDEX('Chart of Accounts'!$C$5:$C$3000,MATCH(H60&amp;"",'Chart of Accounts'!$A$5:$A$3000,0))&amp;"|"&amp;INDEX('Chart of Accounts'!$D$5:$D$3000,MATCH(H60&amp;"",'Chart of Accounts'!$A$5:$A$3000,0)),"")</f>
        <v/>
      </c>
      <c r="N60" s="23">
        <f>IF(LEFT(L60,8)="Revenue|",-N(I60),0)+IF(LEFT(M60,8)="Revenue|",N(J60),0)</f>
        <v/>
      </c>
      <c r="O60" s="23">
        <f>IF(LEFT(L60,5)="COGS|",N(I60),0)+IF(LEFT(M60,5)="COGS|",-N(J60),0)</f>
        <v/>
      </c>
      <c r="P60" s="23">
        <f>IF(LEFT(L60,8)="Expense|",N(I60),0)+IF(LEFT(M60,8)="Expense|",-N(J60),0)</f>
        <v/>
      </c>
      <c r="Q60" s="23">
        <f>IF(ISNUMBER(MATCH(L60,{"Expense|employee","Expense|general_admin","Expense|marketing","Expense|utilities","Expense|other_operating"},0)),N(I60),0)+IF(ISNUMBER(MATCH(M60,{"Expense|employee","Expense|general_admin","Expense|marketing","Expense|utilities","Expense|other_operating"},0)),-N(J60),0)</f>
        <v/>
      </c>
      <c r="R60" s="23">
        <f>IF(L60="Liability|payable",-N(I60),0)+IF(M60="Liability|payable",N(J60),0)</f>
        <v/>
      </c>
      <c r="S60" s="23">
        <f>IF(L60="Liability|accrued",-N(I60),0)+IF(M60="Liability|accrued",N(J60),0)</f>
        <v/>
      </c>
      <c r="T60" s="23">
        <f>IF(AND(N(I60)&lt;&gt;0,L60=""),1,0)+IF(AND(N(J60)&lt;&gt;0,M60=""),1,0)</f>
        <v/>
      </c>
    </row>
    <row r="61">
      <c r="A61" s="14" t="n"/>
      <c r="B61" s="19" t="n"/>
      <c r="C61" s="14" t="n"/>
      <c r="D61" s="14" t="n"/>
      <c r="E61" s="14" t="n"/>
      <c r="F61" s="14" t="n"/>
      <c r="G61" s="14" t="n"/>
      <c r="H61" s="14" t="n"/>
      <c r="I61" s="20" t="n"/>
      <c r="J61" s="20" t="n"/>
      <c r="K61" s="14" t="n"/>
      <c r="L61" s="23">
        <f>IFERROR(INDEX('Chart of Accounts'!$C$5:$C$3000,MATCH(H61&amp;"",'Chart of Accounts'!$A$5:$A$3000,0))&amp;"|"&amp;INDEX('Chart of Accounts'!$D$5:$D$3000,MATCH(H61&amp;"",'Chart of Accounts'!$A$5:$A$3000,0)),"")</f>
        <v/>
      </c>
      <c r="M61" s="23">
        <f>IFERROR(INDEX('Chart of Accounts'!$C$5:$C$3000,MATCH(H61&amp;"",'Chart of Accounts'!$A$5:$A$3000,0))&amp;"|"&amp;INDEX('Chart of Accounts'!$D$5:$D$3000,MATCH(H61&amp;"",'Chart of Accounts'!$A$5:$A$3000,0)),"")</f>
        <v/>
      </c>
      <c r="N61" s="23">
        <f>IF(LEFT(L61,8)="Revenue|",-N(I61),0)+IF(LEFT(M61,8)="Revenue|",N(J61),0)</f>
        <v/>
      </c>
      <c r="O61" s="23">
        <f>IF(LEFT(L61,5)="COGS|",N(I61),0)+IF(LEFT(M61,5)="COGS|",-N(J61),0)</f>
        <v/>
      </c>
      <c r="P61" s="23">
        <f>IF(LEFT(L61,8)="Expense|",N(I61),0)+IF(LEFT(M61,8)="Expense|",-N(J61),0)</f>
        <v/>
      </c>
      <c r="Q61" s="23">
        <f>IF(ISNUMBER(MATCH(L61,{"Expense|employee","Expense|general_admin","Expense|marketing","Expense|utilities","Expense|other_operating"},0)),N(I61),0)+IF(ISNUMBER(MATCH(M61,{"Expense|employee","Expense|general_admin","Expense|marketing","Expense|utilities","Expense|other_operating"},0)),-N(J61),0)</f>
        <v/>
      </c>
      <c r="R61" s="23">
        <f>IF(L61="Liability|payable",-N(I61),0)+IF(M61="Liability|payable",N(J61),0)</f>
        <v/>
      </c>
      <c r="S61" s="23">
        <f>IF(L61="Liability|accrued",-N(I61),0)+IF(M61="Liability|accrued",N(J61),0)</f>
        <v/>
      </c>
      <c r="T61" s="23">
        <f>IF(AND(N(I61)&lt;&gt;0,L61=""),1,0)+IF(AND(N(J61)&lt;&gt;0,M61=""),1,0)</f>
        <v/>
      </c>
    </row>
    <row r="62">
      <c r="A62" s="14" t="n"/>
      <c r="B62" s="19" t="n"/>
      <c r="C62" s="14" t="n"/>
      <c r="D62" s="14" t="n"/>
      <c r="E62" s="14" t="n"/>
      <c r="F62" s="14" t="n"/>
      <c r="G62" s="14" t="n"/>
      <c r="H62" s="14" t="n"/>
      <c r="I62" s="20" t="n"/>
      <c r="J62" s="20" t="n"/>
      <c r="K62" s="14" t="n"/>
      <c r="L62" s="23">
        <f>IFERROR(INDEX('Chart of Accounts'!$C$5:$C$3000,MATCH(H62&amp;"",'Chart of Accounts'!$A$5:$A$3000,0))&amp;"|"&amp;INDEX('Chart of Accounts'!$D$5:$D$3000,MATCH(H62&amp;"",'Chart of Accounts'!$A$5:$A$3000,0)),"")</f>
        <v/>
      </c>
      <c r="M62" s="23">
        <f>IFERROR(INDEX('Chart of Accounts'!$C$5:$C$3000,MATCH(H62&amp;"",'Chart of Accounts'!$A$5:$A$3000,0))&amp;"|"&amp;INDEX('Chart of Accounts'!$D$5:$D$3000,MATCH(H62&amp;"",'Chart of Accounts'!$A$5:$A$3000,0)),"")</f>
        <v/>
      </c>
      <c r="N62" s="23">
        <f>IF(LEFT(L62,8)="Revenue|",-N(I62),0)+IF(LEFT(M62,8)="Revenue|",N(J62),0)</f>
        <v/>
      </c>
      <c r="O62" s="23">
        <f>IF(LEFT(L62,5)="COGS|",N(I62),0)+IF(LEFT(M62,5)="COGS|",-N(J62),0)</f>
        <v/>
      </c>
      <c r="P62" s="23">
        <f>IF(LEFT(L62,8)="Expense|",N(I62),0)+IF(LEFT(M62,8)="Expense|",-N(J62),0)</f>
        <v/>
      </c>
      <c r="Q62" s="23">
        <f>IF(ISNUMBER(MATCH(L62,{"Expense|employee","Expense|general_admin","Expense|marketing","Expense|utilities","Expense|other_operating"},0)),N(I62),0)+IF(ISNUMBER(MATCH(M62,{"Expense|employee","Expense|general_admin","Expense|marketing","Expense|utilities","Expense|other_operating"},0)),-N(J62),0)</f>
        <v/>
      </c>
      <c r="R62" s="23">
        <f>IF(L62="Liability|payable",-N(I62),0)+IF(M62="Liability|payable",N(J62),0)</f>
        <v/>
      </c>
      <c r="S62" s="23">
        <f>IF(L62="Liability|accrued",-N(I62),0)+IF(M62="Liability|accrued",N(J62),0)</f>
        <v/>
      </c>
      <c r="T62" s="23">
        <f>IF(AND(N(I62)&lt;&gt;0,L62=""),1,0)+IF(AND(N(J62)&lt;&gt;0,M62=""),1,0)</f>
        <v/>
      </c>
    </row>
    <row r="63">
      <c r="A63" s="14" t="n"/>
      <c r="B63" s="19" t="n"/>
      <c r="C63" s="14" t="n"/>
      <c r="D63" s="14" t="n"/>
      <c r="E63" s="14" t="n"/>
      <c r="F63" s="14" t="n"/>
      <c r="G63" s="14" t="n"/>
      <c r="H63" s="14" t="n"/>
      <c r="I63" s="20" t="n"/>
      <c r="J63" s="20" t="n"/>
      <c r="K63" s="14" t="n"/>
      <c r="L63" s="23">
        <f>IFERROR(INDEX('Chart of Accounts'!$C$5:$C$3000,MATCH(H63&amp;"",'Chart of Accounts'!$A$5:$A$3000,0))&amp;"|"&amp;INDEX('Chart of Accounts'!$D$5:$D$3000,MATCH(H63&amp;"",'Chart of Accounts'!$A$5:$A$3000,0)),"")</f>
        <v/>
      </c>
      <c r="M63" s="23">
        <f>IFERROR(INDEX('Chart of Accounts'!$C$5:$C$3000,MATCH(H63&amp;"",'Chart of Accounts'!$A$5:$A$3000,0))&amp;"|"&amp;INDEX('Chart of Accounts'!$D$5:$D$3000,MATCH(H63&amp;"",'Chart of Accounts'!$A$5:$A$3000,0)),"")</f>
        <v/>
      </c>
      <c r="N63" s="23">
        <f>IF(LEFT(L63,8)="Revenue|",-N(I63),0)+IF(LEFT(M63,8)="Revenue|",N(J63),0)</f>
        <v/>
      </c>
      <c r="O63" s="23">
        <f>IF(LEFT(L63,5)="COGS|",N(I63),0)+IF(LEFT(M63,5)="COGS|",-N(J63),0)</f>
        <v/>
      </c>
      <c r="P63" s="23">
        <f>IF(LEFT(L63,8)="Expense|",N(I63),0)+IF(LEFT(M63,8)="Expense|",-N(J63),0)</f>
        <v/>
      </c>
      <c r="Q63" s="23">
        <f>IF(ISNUMBER(MATCH(L63,{"Expense|employee","Expense|general_admin","Expense|marketing","Expense|utilities","Expense|other_operating"},0)),N(I63),0)+IF(ISNUMBER(MATCH(M63,{"Expense|employee","Expense|general_admin","Expense|marketing","Expense|utilities","Expense|other_operating"},0)),-N(J63),0)</f>
        <v/>
      </c>
      <c r="R63" s="23">
        <f>IF(L63="Liability|payable",-N(I63),0)+IF(M63="Liability|payable",N(J63),0)</f>
        <v/>
      </c>
      <c r="S63" s="23">
        <f>IF(L63="Liability|accrued",-N(I63),0)+IF(M63="Liability|accrued",N(J63),0)</f>
        <v/>
      </c>
      <c r="T63" s="23">
        <f>IF(AND(N(I63)&lt;&gt;0,L63=""),1,0)+IF(AND(N(J63)&lt;&gt;0,M63=""),1,0)</f>
        <v/>
      </c>
    </row>
    <row r="64">
      <c r="A64" s="14" t="n"/>
      <c r="B64" s="19" t="n"/>
      <c r="C64" s="14" t="n"/>
      <c r="D64" s="14" t="n"/>
      <c r="E64" s="14" t="n"/>
      <c r="F64" s="14" t="n"/>
      <c r="G64" s="14" t="n"/>
      <c r="H64" s="14" t="n"/>
      <c r="I64" s="20" t="n"/>
      <c r="J64" s="20" t="n"/>
      <c r="K64" s="14" t="n"/>
      <c r="L64" s="23">
        <f>IFERROR(INDEX('Chart of Accounts'!$C$5:$C$3000,MATCH(H64&amp;"",'Chart of Accounts'!$A$5:$A$3000,0))&amp;"|"&amp;INDEX('Chart of Accounts'!$D$5:$D$3000,MATCH(H64&amp;"",'Chart of Accounts'!$A$5:$A$3000,0)),"")</f>
        <v/>
      </c>
      <c r="M64" s="23">
        <f>IFERROR(INDEX('Chart of Accounts'!$C$5:$C$3000,MATCH(H64&amp;"",'Chart of Accounts'!$A$5:$A$3000,0))&amp;"|"&amp;INDEX('Chart of Accounts'!$D$5:$D$3000,MATCH(H64&amp;"",'Chart of Accounts'!$A$5:$A$3000,0)),"")</f>
        <v/>
      </c>
      <c r="N64" s="23">
        <f>IF(LEFT(L64,8)="Revenue|",-N(I64),0)+IF(LEFT(M64,8)="Revenue|",N(J64),0)</f>
        <v/>
      </c>
      <c r="O64" s="23">
        <f>IF(LEFT(L64,5)="COGS|",N(I64),0)+IF(LEFT(M64,5)="COGS|",-N(J64),0)</f>
        <v/>
      </c>
      <c r="P64" s="23">
        <f>IF(LEFT(L64,8)="Expense|",N(I64),0)+IF(LEFT(M64,8)="Expense|",-N(J64),0)</f>
        <v/>
      </c>
      <c r="Q64" s="23">
        <f>IF(ISNUMBER(MATCH(L64,{"Expense|employee","Expense|general_admin","Expense|marketing","Expense|utilities","Expense|other_operating"},0)),N(I64),0)+IF(ISNUMBER(MATCH(M64,{"Expense|employee","Expense|general_admin","Expense|marketing","Expense|utilities","Expense|other_operating"},0)),-N(J64),0)</f>
        <v/>
      </c>
      <c r="R64" s="23">
        <f>IF(L64="Liability|payable",-N(I64),0)+IF(M64="Liability|payable",N(J64),0)</f>
        <v/>
      </c>
      <c r="S64" s="23">
        <f>IF(L64="Liability|accrued",-N(I64),0)+IF(M64="Liability|accrued",N(J64),0)</f>
        <v/>
      </c>
      <c r="T64" s="23">
        <f>IF(AND(N(I64)&lt;&gt;0,L64=""),1,0)+IF(AND(N(J64)&lt;&gt;0,M64=""),1,0)</f>
        <v/>
      </c>
    </row>
    <row r="65">
      <c r="A65" s="14" t="n"/>
      <c r="B65" s="19" t="n"/>
      <c r="C65" s="14" t="n"/>
      <c r="D65" s="14" t="n"/>
      <c r="E65" s="14" t="n"/>
      <c r="F65" s="14" t="n"/>
      <c r="G65" s="14" t="n"/>
      <c r="H65" s="14" t="n"/>
      <c r="I65" s="20" t="n"/>
      <c r="J65" s="20" t="n"/>
      <c r="K65" s="14" t="n"/>
      <c r="L65" s="23">
        <f>IFERROR(INDEX('Chart of Accounts'!$C$5:$C$3000,MATCH(H65&amp;"",'Chart of Accounts'!$A$5:$A$3000,0))&amp;"|"&amp;INDEX('Chart of Accounts'!$D$5:$D$3000,MATCH(H65&amp;"",'Chart of Accounts'!$A$5:$A$3000,0)),"")</f>
        <v/>
      </c>
      <c r="M65" s="23">
        <f>IFERROR(INDEX('Chart of Accounts'!$C$5:$C$3000,MATCH(H65&amp;"",'Chart of Accounts'!$A$5:$A$3000,0))&amp;"|"&amp;INDEX('Chart of Accounts'!$D$5:$D$3000,MATCH(H65&amp;"",'Chart of Accounts'!$A$5:$A$3000,0)),"")</f>
        <v/>
      </c>
      <c r="N65" s="23">
        <f>IF(LEFT(L65,8)="Revenue|",-N(I65),0)+IF(LEFT(M65,8)="Revenue|",N(J65),0)</f>
        <v/>
      </c>
      <c r="O65" s="23">
        <f>IF(LEFT(L65,5)="COGS|",N(I65),0)+IF(LEFT(M65,5)="COGS|",-N(J65),0)</f>
        <v/>
      </c>
      <c r="P65" s="23">
        <f>IF(LEFT(L65,8)="Expense|",N(I65),0)+IF(LEFT(M65,8)="Expense|",-N(J65),0)</f>
        <v/>
      </c>
      <c r="Q65" s="23">
        <f>IF(ISNUMBER(MATCH(L65,{"Expense|employee","Expense|general_admin","Expense|marketing","Expense|utilities","Expense|other_operating"},0)),N(I65),0)+IF(ISNUMBER(MATCH(M65,{"Expense|employee","Expense|general_admin","Expense|marketing","Expense|utilities","Expense|other_operating"},0)),-N(J65),0)</f>
        <v/>
      </c>
      <c r="R65" s="23">
        <f>IF(L65="Liability|payable",-N(I65),0)+IF(M65="Liability|payable",N(J65),0)</f>
        <v/>
      </c>
      <c r="S65" s="23">
        <f>IF(L65="Liability|accrued",-N(I65),0)+IF(M65="Liability|accrued",N(J65),0)</f>
        <v/>
      </c>
      <c r="T65" s="23">
        <f>IF(AND(N(I65)&lt;&gt;0,L65=""),1,0)+IF(AND(N(J65)&lt;&gt;0,M65=""),1,0)</f>
        <v/>
      </c>
    </row>
    <row r="66">
      <c r="A66" s="14" t="n"/>
      <c r="B66" s="19" t="n"/>
      <c r="C66" s="14" t="n"/>
      <c r="D66" s="14" t="n"/>
      <c r="E66" s="14" t="n"/>
      <c r="F66" s="14" t="n"/>
      <c r="G66" s="14" t="n"/>
      <c r="H66" s="14" t="n"/>
      <c r="I66" s="20" t="n"/>
      <c r="J66" s="20" t="n"/>
      <c r="K66" s="14" t="n"/>
      <c r="L66" s="23">
        <f>IFERROR(INDEX('Chart of Accounts'!$C$5:$C$3000,MATCH(H66&amp;"",'Chart of Accounts'!$A$5:$A$3000,0))&amp;"|"&amp;INDEX('Chart of Accounts'!$D$5:$D$3000,MATCH(H66&amp;"",'Chart of Accounts'!$A$5:$A$3000,0)),"")</f>
        <v/>
      </c>
      <c r="M66" s="23">
        <f>IFERROR(INDEX('Chart of Accounts'!$C$5:$C$3000,MATCH(H66&amp;"",'Chart of Accounts'!$A$5:$A$3000,0))&amp;"|"&amp;INDEX('Chart of Accounts'!$D$5:$D$3000,MATCH(H66&amp;"",'Chart of Accounts'!$A$5:$A$3000,0)),"")</f>
        <v/>
      </c>
      <c r="N66" s="23">
        <f>IF(LEFT(L66,8)="Revenue|",-N(I66),0)+IF(LEFT(M66,8)="Revenue|",N(J66),0)</f>
        <v/>
      </c>
      <c r="O66" s="23">
        <f>IF(LEFT(L66,5)="COGS|",N(I66),0)+IF(LEFT(M66,5)="COGS|",-N(J66),0)</f>
        <v/>
      </c>
      <c r="P66" s="23">
        <f>IF(LEFT(L66,8)="Expense|",N(I66),0)+IF(LEFT(M66,8)="Expense|",-N(J66),0)</f>
        <v/>
      </c>
      <c r="Q66" s="23">
        <f>IF(ISNUMBER(MATCH(L66,{"Expense|employee","Expense|general_admin","Expense|marketing","Expense|utilities","Expense|other_operating"},0)),N(I66),0)+IF(ISNUMBER(MATCH(M66,{"Expense|employee","Expense|general_admin","Expense|marketing","Expense|utilities","Expense|other_operating"},0)),-N(J66),0)</f>
        <v/>
      </c>
      <c r="R66" s="23">
        <f>IF(L66="Liability|payable",-N(I66),0)+IF(M66="Liability|payable",N(J66),0)</f>
        <v/>
      </c>
      <c r="S66" s="23">
        <f>IF(L66="Liability|accrued",-N(I66),0)+IF(M66="Liability|accrued",N(J66),0)</f>
        <v/>
      </c>
      <c r="T66" s="23">
        <f>IF(AND(N(I66)&lt;&gt;0,L66=""),1,0)+IF(AND(N(J66)&lt;&gt;0,M66=""),1,0)</f>
        <v/>
      </c>
    </row>
    <row r="67">
      <c r="A67" s="14" t="n"/>
      <c r="B67" s="19" t="n"/>
      <c r="C67" s="14" t="n"/>
      <c r="D67" s="14" t="n"/>
      <c r="E67" s="14" t="n"/>
      <c r="F67" s="14" t="n"/>
      <c r="G67" s="14" t="n"/>
      <c r="H67" s="14" t="n"/>
      <c r="I67" s="20" t="n"/>
      <c r="J67" s="20" t="n"/>
      <c r="K67" s="14" t="n"/>
      <c r="L67" s="23">
        <f>IFERROR(INDEX('Chart of Accounts'!$C$5:$C$3000,MATCH(H67&amp;"",'Chart of Accounts'!$A$5:$A$3000,0))&amp;"|"&amp;INDEX('Chart of Accounts'!$D$5:$D$3000,MATCH(H67&amp;"",'Chart of Accounts'!$A$5:$A$3000,0)),"")</f>
        <v/>
      </c>
      <c r="M67" s="23">
        <f>IFERROR(INDEX('Chart of Accounts'!$C$5:$C$3000,MATCH(H67&amp;"",'Chart of Accounts'!$A$5:$A$3000,0))&amp;"|"&amp;INDEX('Chart of Accounts'!$D$5:$D$3000,MATCH(H67&amp;"",'Chart of Accounts'!$A$5:$A$3000,0)),"")</f>
        <v/>
      </c>
      <c r="N67" s="23">
        <f>IF(LEFT(L67,8)="Revenue|",-N(I67),0)+IF(LEFT(M67,8)="Revenue|",N(J67),0)</f>
        <v/>
      </c>
      <c r="O67" s="23">
        <f>IF(LEFT(L67,5)="COGS|",N(I67),0)+IF(LEFT(M67,5)="COGS|",-N(J67),0)</f>
        <v/>
      </c>
      <c r="P67" s="23">
        <f>IF(LEFT(L67,8)="Expense|",N(I67),0)+IF(LEFT(M67,8)="Expense|",-N(J67),0)</f>
        <v/>
      </c>
      <c r="Q67" s="23">
        <f>IF(ISNUMBER(MATCH(L67,{"Expense|employee","Expense|general_admin","Expense|marketing","Expense|utilities","Expense|other_operating"},0)),N(I67),0)+IF(ISNUMBER(MATCH(M67,{"Expense|employee","Expense|general_admin","Expense|marketing","Expense|utilities","Expense|other_operating"},0)),-N(J67),0)</f>
        <v/>
      </c>
      <c r="R67" s="23">
        <f>IF(L67="Liability|payable",-N(I67),0)+IF(M67="Liability|payable",N(J67),0)</f>
        <v/>
      </c>
      <c r="S67" s="23">
        <f>IF(L67="Liability|accrued",-N(I67),0)+IF(M67="Liability|accrued",N(J67),0)</f>
        <v/>
      </c>
      <c r="T67" s="23">
        <f>IF(AND(N(I67)&lt;&gt;0,L67=""),1,0)+IF(AND(N(J67)&lt;&gt;0,M67=""),1,0)</f>
        <v/>
      </c>
    </row>
    <row r="68">
      <c r="A68" s="14" t="n"/>
      <c r="B68" s="19" t="n"/>
      <c r="C68" s="14" t="n"/>
      <c r="D68" s="14" t="n"/>
      <c r="E68" s="14" t="n"/>
      <c r="F68" s="14" t="n"/>
      <c r="G68" s="14" t="n"/>
      <c r="H68" s="14" t="n"/>
      <c r="I68" s="20" t="n"/>
      <c r="J68" s="20" t="n"/>
      <c r="K68" s="14" t="n"/>
      <c r="L68" s="23">
        <f>IFERROR(INDEX('Chart of Accounts'!$C$5:$C$3000,MATCH(H68&amp;"",'Chart of Accounts'!$A$5:$A$3000,0))&amp;"|"&amp;INDEX('Chart of Accounts'!$D$5:$D$3000,MATCH(H68&amp;"",'Chart of Accounts'!$A$5:$A$3000,0)),"")</f>
        <v/>
      </c>
      <c r="M68" s="23">
        <f>IFERROR(INDEX('Chart of Accounts'!$C$5:$C$3000,MATCH(H68&amp;"",'Chart of Accounts'!$A$5:$A$3000,0))&amp;"|"&amp;INDEX('Chart of Accounts'!$D$5:$D$3000,MATCH(H68&amp;"",'Chart of Accounts'!$A$5:$A$3000,0)),"")</f>
        <v/>
      </c>
      <c r="N68" s="23">
        <f>IF(LEFT(L68,8)="Revenue|",-N(I68),0)+IF(LEFT(M68,8)="Revenue|",N(J68),0)</f>
        <v/>
      </c>
      <c r="O68" s="23">
        <f>IF(LEFT(L68,5)="COGS|",N(I68),0)+IF(LEFT(M68,5)="COGS|",-N(J68),0)</f>
        <v/>
      </c>
      <c r="P68" s="23">
        <f>IF(LEFT(L68,8)="Expense|",N(I68),0)+IF(LEFT(M68,8)="Expense|",-N(J68),0)</f>
        <v/>
      </c>
      <c r="Q68" s="23">
        <f>IF(ISNUMBER(MATCH(L68,{"Expense|employee","Expense|general_admin","Expense|marketing","Expense|utilities","Expense|other_operating"},0)),N(I68),0)+IF(ISNUMBER(MATCH(M68,{"Expense|employee","Expense|general_admin","Expense|marketing","Expense|utilities","Expense|other_operating"},0)),-N(J68),0)</f>
        <v/>
      </c>
      <c r="R68" s="23">
        <f>IF(L68="Liability|payable",-N(I68),0)+IF(M68="Liability|payable",N(J68),0)</f>
        <v/>
      </c>
      <c r="S68" s="23">
        <f>IF(L68="Liability|accrued",-N(I68),0)+IF(M68="Liability|accrued",N(J68),0)</f>
        <v/>
      </c>
      <c r="T68" s="23">
        <f>IF(AND(N(I68)&lt;&gt;0,L68=""),1,0)+IF(AND(N(J68)&lt;&gt;0,M68=""),1,0)</f>
        <v/>
      </c>
    </row>
    <row r="69">
      <c r="A69" s="14" t="n"/>
      <c r="B69" s="19" t="n"/>
      <c r="C69" s="14" t="n"/>
      <c r="D69" s="14" t="n"/>
      <c r="E69" s="14" t="n"/>
      <c r="F69" s="14" t="n"/>
      <c r="G69" s="14" t="n"/>
      <c r="H69" s="14" t="n"/>
      <c r="I69" s="20" t="n"/>
      <c r="J69" s="20" t="n"/>
      <c r="K69" s="14" t="n"/>
      <c r="L69" s="23">
        <f>IFERROR(INDEX('Chart of Accounts'!$C$5:$C$3000,MATCH(H69&amp;"",'Chart of Accounts'!$A$5:$A$3000,0))&amp;"|"&amp;INDEX('Chart of Accounts'!$D$5:$D$3000,MATCH(H69&amp;"",'Chart of Accounts'!$A$5:$A$3000,0)),"")</f>
        <v/>
      </c>
      <c r="M69" s="23">
        <f>IFERROR(INDEX('Chart of Accounts'!$C$5:$C$3000,MATCH(H69&amp;"",'Chart of Accounts'!$A$5:$A$3000,0))&amp;"|"&amp;INDEX('Chart of Accounts'!$D$5:$D$3000,MATCH(H69&amp;"",'Chart of Accounts'!$A$5:$A$3000,0)),"")</f>
        <v/>
      </c>
      <c r="N69" s="23">
        <f>IF(LEFT(L69,8)="Revenue|",-N(I69),0)+IF(LEFT(M69,8)="Revenue|",N(J69),0)</f>
        <v/>
      </c>
      <c r="O69" s="23">
        <f>IF(LEFT(L69,5)="COGS|",N(I69),0)+IF(LEFT(M69,5)="COGS|",-N(J69),0)</f>
        <v/>
      </c>
      <c r="P69" s="23">
        <f>IF(LEFT(L69,8)="Expense|",N(I69),0)+IF(LEFT(M69,8)="Expense|",-N(J69),0)</f>
        <v/>
      </c>
      <c r="Q69" s="23">
        <f>IF(ISNUMBER(MATCH(L69,{"Expense|employee","Expense|general_admin","Expense|marketing","Expense|utilities","Expense|other_operating"},0)),N(I69),0)+IF(ISNUMBER(MATCH(M69,{"Expense|employee","Expense|general_admin","Expense|marketing","Expense|utilities","Expense|other_operating"},0)),-N(J69),0)</f>
        <v/>
      </c>
      <c r="R69" s="23">
        <f>IF(L69="Liability|payable",-N(I69),0)+IF(M69="Liability|payable",N(J69),0)</f>
        <v/>
      </c>
      <c r="S69" s="23">
        <f>IF(L69="Liability|accrued",-N(I69),0)+IF(M69="Liability|accrued",N(J69),0)</f>
        <v/>
      </c>
      <c r="T69" s="23">
        <f>IF(AND(N(I69)&lt;&gt;0,L69=""),1,0)+IF(AND(N(J69)&lt;&gt;0,M69=""),1,0)</f>
        <v/>
      </c>
    </row>
    <row r="70">
      <c r="A70" s="14" t="n"/>
      <c r="B70" s="19" t="n"/>
      <c r="C70" s="14" t="n"/>
      <c r="D70" s="14" t="n"/>
      <c r="E70" s="14" t="n"/>
      <c r="F70" s="14" t="n"/>
      <c r="G70" s="14" t="n"/>
      <c r="H70" s="14" t="n"/>
      <c r="I70" s="20" t="n"/>
      <c r="J70" s="20" t="n"/>
      <c r="K70" s="14" t="n"/>
      <c r="L70" s="23">
        <f>IFERROR(INDEX('Chart of Accounts'!$C$5:$C$3000,MATCH(H70&amp;"",'Chart of Accounts'!$A$5:$A$3000,0))&amp;"|"&amp;INDEX('Chart of Accounts'!$D$5:$D$3000,MATCH(H70&amp;"",'Chart of Accounts'!$A$5:$A$3000,0)),"")</f>
        <v/>
      </c>
      <c r="M70" s="23">
        <f>IFERROR(INDEX('Chart of Accounts'!$C$5:$C$3000,MATCH(H70&amp;"",'Chart of Accounts'!$A$5:$A$3000,0))&amp;"|"&amp;INDEX('Chart of Accounts'!$D$5:$D$3000,MATCH(H70&amp;"",'Chart of Accounts'!$A$5:$A$3000,0)),"")</f>
        <v/>
      </c>
      <c r="N70" s="23">
        <f>IF(LEFT(L70,8)="Revenue|",-N(I70),0)+IF(LEFT(M70,8)="Revenue|",N(J70),0)</f>
        <v/>
      </c>
      <c r="O70" s="23">
        <f>IF(LEFT(L70,5)="COGS|",N(I70),0)+IF(LEFT(M70,5)="COGS|",-N(J70),0)</f>
        <v/>
      </c>
      <c r="P70" s="23">
        <f>IF(LEFT(L70,8)="Expense|",N(I70),0)+IF(LEFT(M70,8)="Expense|",-N(J70),0)</f>
        <v/>
      </c>
      <c r="Q70" s="23">
        <f>IF(ISNUMBER(MATCH(L70,{"Expense|employee","Expense|general_admin","Expense|marketing","Expense|utilities","Expense|other_operating"},0)),N(I70),0)+IF(ISNUMBER(MATCH(M70,{"Expense|employee","Expense|general_admin","Expense|marketing","Expense|utilities","Expense|other_operating"},0)),-N(J70),0)</f>
        <v/>
      </c>
      <c r="R70" s="23">
        <f>IF(L70="Liability|payable",-N(I70),0)+IF(M70="Liability|payable",N(J70),0)</f>
        <v/>
      </c>
      <c r="S70" s="23">
        <f>IF(L70="Liability|accrued",-N(I70),0)+IF(M70="Liability|accrued",N(J70),0)</f>
        <v/>
      </c>
      <c r="T70" s="23">
        <f>IF(AND(N(I70)&lt;&gt;0,L70=""),1,0)+IF(AND(N(J70)&lt;&gt;0,M70=""),1,0)</f>
        <v/>
      </c>
    </row>
    <row r="71">
      <c r="A71" s="14" t="n"/>
      <c r="B71" s="19" t="n"/>
      <c r="C71" s="14" t="n"/>
      <c r="D71" s="14" t="n"/>
      <c r="E71" s="14" t="n"/>
      <c r="F71" s="14" t="n"/>
      <c r="G71" s="14" t="n"/>
      <c r="H71" s="14" t="n"/>
      <c r="I71" s="20" t="n"/>
      <c r="J71" s="20" t="n"/>
      <c r="K71" s="14" t="n"/>
      <c r="L71" s="23">
        <f>IFERROR(INDEX('Chart of Accounts'!$C$5:$C$3000,MATCH(H71&amp;"",'Chart of Accounts'!$A$5:$A$3000,0))&amp;"|"&amp;INDEX('Chart of Accounts'!$D$5:$D$3000,MATCH(H71&amp;"",'Chart of Accounts'!$A$5:$A$3000,0)),"")</f>
        <v/>
      </c>
      <c r="M71" s="23">
        <f>IFERROR(INDEX('Chart of Accounts'!$C$5:$C$3000,MATCH(H71&amp;"",'Chart of Accounts'!$A$5:$A$3000,0))&amp;"|"&amp;INDEX('Chart of Accounts'!$D$5:$D$3000,MATCH(H71&amp;"",'Chart of Accounts'!$A$5:$A$3000,0)),"")</f>
        <v/>
      </c>
      <c r="N71" s="23">
        <f>IF(LEFT(L71,8)="Revenue|",-N(I71),0)+IF(LEFT(M71,8)="Revenue|",N(J71),0)</f>
        <v/>
      </c>
      <c r="O71" s="23">
        <f>IF(LEFT(L71,5)="COGS|",N(I71),0)+IF(LEFT(M71,5)="COGS|",-N(J71),0)</f>
        <v/>
      </c>
      <c r="P71" s="23">
        <f>IF(LEFT(L71,8)="Expense|",N(I71),0)+IF(LEFT(M71,8)="Expense|",-N(J71),0)</f>
        <v/>
      </c>
      <c r="Q71" s="23">
        <f>IF(ISNUMBER(MATCH(L71,{"Expense|employee","Expense|general_admin","Expense|marketing","Expense|utilities","Expense|other_operating"},0)),N(I71),0)+IF(ISNUMBER(MATCH(M71,{"Expense|employee","Expense|general_admin","Expense|marketing","Expense|utilities","Expense|other_operating"},0)),-N(J71),0)</f>
        <v/>
      </c>
      <c r="R71" s="23">
        <f>IF(L71="Liability|payable",-N(I71),0)+IF(M71="Liability|payable",N(J71),0)</f>
        <v/>
      </c>
      <c r="S71" s="23">
        <f>IF(L71="Liability|accrued",-N(I71),0)+IF(M71="Liability|accrued",N(J71),0)</f>
        <v/>
      </c>
      <c r="T71" s="23">
        <f>IF(AND(N(I71)&lt;&gt;0,L71=""),1,0)+IF(AND(N(J71)&lt;&gt;0,M71=""),1,0)</f>
        <v/>
      </c>
    </row>
    <row r="72">
      <c r="A72" s="14" t="n"/>
      <c r="B72" s="19" t="n"/>
      <c r="C72" s="14" t="n"/>
      <c r="D72" s="14" t="n"/>
      <c r="E72" s="14" t="n"/>
      <c r="F72" s="14" t="n"/>
      <c r="G72" s="14" t="n"/>
      <c r="H72" s="14" t="n"/>
      <c r="I72" s="20" t="n"/>
      <c r="J72" s="20" t="n"/>
      <c r="K72" s="14" t="n"/>
      <c r="L72" s="23">
        <f>IFERROR(INDEX('Chart of Accounts'!$C$5:$C$3000,MATCH(H72&amp;"",'Chart of Accounts'!$A$5:$A$3000,0))&amp;"|"&amp;INDEX('Chart of Accounts'!$D$5:$D$3000,MATCH(H72&amp;"",'Chart of Accounts'!$A$5:$A$3000,0)),"")</f>
        <v/>
      </c>
      <c r="M72" s="23">
        <f>IFERROR(INDEX('Chart of Accounts'!$C$5:$C$3000,MATCH(H72&amp;"",'Chart of Accounts'!$A$5:$A$3000,0))&amp;"|"&amp;INDEX('Chart of Accounts'!$D$5:$D$3000,MATCH(H72&amp;"",'Chart of Accounts'!$A$5:$A$3000,0)),"")</f>
        <v/>
      </c>
      <c r="N72" s="23">
        <f>IF(LEFT(L72,8)="Revenue|",-N(I72),0)+IF(LEFT(M72,8)="Revenue|",N(J72),0)</f>
        <v/>
      </c>
      <c r="O72" s="23">
        <f>IF(LEFT(L72,5)="COGS|",N(I72),0)+IF(LEFT(M72,5)="COGS|",-N(J72),0)</f>
        <v/>
      </c>
      <c r="P72" s="23">
        <f>IF(LEFT(L72,8)="Expense|",N(I72),0)+IF(LEFT(M72,8)="Expense|",-N(J72),0)</f>
        <v/>
      </c>
      <c r="Q72" s="23">
        <f>IF(ISNUMBER(MATCH(L72,{"Expense|employee","Expense|general_admin","Expense|marketing","Expense|utilities","Expense|other_operating"},0)),N(I72),0)+IF(ISNUMBER(MATCH(M72,{"Expense|employee","Expense|general_admin","Expense|marketing","Expense|utilities","Expense|other_operating"},0)),-N(J72),0)</f>
        <v/>
      </c>
      <c r="R72" s="23">
        <f>IF(L72="Liability|payable",-N(I72),0)+IF(M72="Liability|payable",N(J72),0)</f>
        <v/>
      </c>
      <c r="S72" s="23">
        <f>IF(L72="Liability|accrued",-N(I72),0)+IF(M72="Liability|accrued",N(J72),0)</f>
        <v/>
      </c>
      <c r="T72" s="23">
        <f>IF(AND(N(I72)&lt;&gt;0,L72=""),1,0)+IF(AND(N(J72)&lt;&gt;0,M72=""),1,0)</f>
        <v/>
      </c>
    </row>
    <row r="73">
      <c r="A73" s="14" t="n"/>
      <c r="B73" s="19" t="n"/>
      <c r="C73" s="14" t="n"/>
      <c r="D73" s="14" t="n"/>
      <c r="E73" s="14" t="n"/>
      <c r="F73" s="14" t="n"/>
      <c r="G73" s="14" t="n"/>
      <c r="H73" s="14" t="n"/>
      <c r="I73" s="20" t="n"/>
      <c r="J73" s="20" t="n"/>
      <c r="K73" s="14" t="n"/>
      <c r="L73" s="23">
        <f>IFERROR(INDEX('Chart of Accounts'!$C$5:$C$3000,MATCH(H73&amp;"",'Chart of Accounts'!$A$5:$A$3000,0))&amp;"|"&amp;INDEX('Chart of Accounts'!$D$5:$D$3000,MATCH(H73&amp;"",'Chart of Accounts'!$A$5:$A$3000,0)),"")</f>
        <v/>
      </c>
      <c r="M73" s="23">
        <f>IFERROR(INDEX('Chart of Accounts'!$C$5:$C$3000,MATCH(H73&amp;"",'Chart of Accounts'!$A$5:$A$3000,0))&amp;"|"&amp;INDEX('Chart of Accounts'!$D$5:$D$3000,MATCH(H73&amp;"",'Chart of Accounts'!$A$5:$A$3000,0)),"")</f>
        <v/>
      </c>
      <c r="N73" s="23">
        <f>IF(LEFT(L73,8)="Revenue|",-N(I73),0)+IF(LEFT(M73,8)="Revenue|",N(J73),0)</f>
        <v/>
      </c>
      <c r="O73" s="23">
        <f>IF(LEFT(L73,5)="COGS|",N(I73),0)+IF(LEFT(M73,5)="COGS|",-N(J73),0)</f>
        <v/>
      </c>
      <c r="P73" s="23">
        <f>IF(LEFT(L73,8)="Expense|",N(I73),0)+IF(LEFT(M73,8)="Expense|",-N(J73),0)</f>
        <v/>
      </c>
      <c r="Q73" s="23">
        <f>IF(ISNUMBER(MATCH(L73,{"Expense|employee","Expense|general_admin","Expense|marketing","Expense|utilities","Expense|other_operating"},0)),N(I73),0)+IF(ISNUMBER(MATCH(M73,{"Expense|employee","Expense|general_admin","Expense|marketing","Expense|utilities","Expense|other_operating"},0)),-N(J73),0)</f>
        <v/>
      </c>
      <c r="R73" s="23">
        <f>IF(L73="Liability|payable",-N(I73),0)+IF(M73="Liability|payable",N(J73),0)</f>
        <v/>
      </c>
      <c r="S73" s="23">
        <f>IF(L73="Liability|accrued",-N(I73),0)+IF(M73="Liability|accrued",N(J73),0)</f>
        <v/>
      </c>
      <c r="T73" s="23">
        <f>IF(AND(N(I73)&lt;&gt;0,L73=""),1,0)+IF(AND(N(J73)&lt;&gt;0,M73=""),1,0)</f>
        <v/>
      </c>
    </row>
    <row r="74">
      <c r="A74" s="14" t="n"/>
      <c r="B74" s="19" t="n"/>
      <c r="C74" s="14" t="n"/>
      <c r="D74" s="14" t="n"/>
      <c r="E74" s="14" t="n"/>
      <c r="F74" s="14" t="n"/>
      <c r="G74" s="14" t="n"/>
      <c r="H74" s="14" t="n"/>
      <c r="I74" s="20" t="n"/>
      <c r="J74" s="20" t="n"/>
      <c r="K74" s="14" t="n"/>
      <c r="L74" s="23">
        <f>IFERROR(INDEX('Chart of Accounts'!$C$5:$C$3000,MATCH(H74&amp;"",'Chart of Accounts'!$A$5:$A$3000,0))&amp;"|"&amp;INDEX('Chart of Accounts'!$D$5:$D$3000,MATCH(H74&amp;"",'Chart of Accounts'!$A$5:$A$3000,0)),"")</f>
        <v/>
      </c>
      <c r="M74" s="23">
        <f>IFERROR(INDEX('Chart of Accounts'!$C$5:$C$3000,MATCH(H74&amp;"",'Chart of Accounts'!$A$5:$A$3000,0))&amp;"|"&amp;INDEX('Chart of Accounts'!$D$5:$D$3000,MATCH(H74&amp;"",'Chart of Accounts'!$A$5:$A$3000,0)),"")</f>
        <v/>
      </c>
      <c r="N74" s="23">
        <f>IF(LEFT(L74,8)="Revenue|",-N(I74),0)+IF(LEFT(M74,8)="Revenue|",N(J74),0)</f>
        <v/>
      </c>
      <c r="O74" s="23">
        <f>IF(LEFT(L74,5)="COGS|",N(I74),0)+IF(LEFT(M74,5)="COGS|",-N(J74),0)</f>
        <v/>
      </c>
      <c r="P74" s="23">
        <f>IF(LEFT(L74,8)="Expense|",N(I74),0)+IF(LEFT(M74,8)="Expense|",-N(J74),0)</f>
        <v/>
      </c>
      <c r="Q74" s="23">
        <f>IF(ISNUMBER(MATCH(L74,{"Expense|employee","Expense|general_admin","Expense|marketing","Expense|utilities","Expense|other_operating"},0)),N(I74),0)+IF(ISNUMBER(MATCH(M74,{"Expense|employee","Expense|general_admin","Expense|marketing","Expense|utilities","Expense|other_operating"},0)),-N(J74),0)</f>
        <v/>
      </c>
      <c r="R74" s="23">
        <f>IF(L74="Liability|payable",-N(I74),0)+IF(M74="Liability|payable",N(J74),0)</f>
        <v/>
      </c>
      <c r="S74" s="23">
        <f>IF(L74="Liability|accrued",-N(I74),0)+IF(M74="Liability|accrued",N(J74),0)</f>
        <v/>
      </c>
      <c r="T74" s="23">
        <f>IF(AND(N(I74)&lt;&gt;0,L74=""),1,0)+IF(AND(N(J74)&lt;&gt;0,M74=""),1,0)</f>
        <v/>
      </c>
    </row>
    <row r="75">
      <c r="A75" s="14" t="n"/>
      <c r="B75" s="19" t="n"/>
      <c r="C75" s="14" t="n"/>
      <c r="D75" s="14" t="n"/>
      <c r="E75" s="14" t="n"/>
      <c r="F75" s="14" t="n"/>
      <c r="G75" s="14" t="n"/>
      <c r="H75" s="14" t="n"/>
      <c r="I75" s="20" t="n"/>
      <c r="J75" s="20" t="n"/>
      <c r="K75" s="14" t="n"/>
      <c r="L75" s="23">
        <f>IFERROR(INDEX('Chart of Accounts'!$C$5:$C$3000,MATCH(H75&amp;"",'Chart of Accounts'!$A$5:$A$3000,0))&amp;"|"&amp;INDEX('Chart of Accounts'!$D$5:$D$3000,MATCH(H75&amp;"",'Chart of Accounts'!$A$5:$A$3000,0)),"")</f>
        <v/>
      </c>
      <c r="M75" s="23">
        <f>IFERROR(INDEX('Chart of Accounts'!$C$5:$C$3000,MATCH(H75&amp;"",'Chart of Accounts'!$A$5:$A$3000,0))&amp;"|"&amp;INDEX('Chart of Accounts'!$D$5:$D$3000,MATCH(H75&amp;"",'Chart of Accounts'!$A$5:$A$3000,0)),"")</f>
        <v/>
      </c>
      <c r="N75" s="23">
        <f>IF(LEFT(L75,8)="Revenue|",-N(I75),0)+IF(LEFT(M75,8)="Revenue|",N(J75),0)</f>
        <v/>
      </c>
      <c r="O75" s="23">
        <f>IF(LEFT(L75,5)="COGS|",N(I75),0)+IF(LEFT(M75,5)="COGS|",-N(J75),0)</f>
        <v/>
      </c>
      <c r="P75" s="23">
        <f>IF(LEFT(L75,8)="Expense|",N(I75),0)+IF(LEFT(M75,8)="Expense|",-N(J75),0)</f>
        <v/>
      </c>
      <c r="Q75" s="23">
        <f>IF(ISNUMBER(MATCH(L75,{"Expense|employee","Expense|general_admin","Expense|marketing","Expense|utilities","Expense|other_operating"},0)),N(I75),0)+IF(ISNUMBER(MATCH(M75,{"Expense|employee","Expense|general_admin","Expense|marketing","Expense|utilities","Expense|other_operating"},0)),-N(J75),0)</f>
        <v/>
      </c>
      <c r="R75" s="23">
        <f>IF(L75="Liability|payable",-N(I75),0)+IF(M75="Liability|payable",N(J75),0)</f>
        <v/>
      </c>
      <c r="S75" s="23">
        <f>IF(L75="Liability|accrued",-N(I75),0)+IF(M75="Liability|accrued",N(J75),0)</f>
        <v/>
      </c>
      <c r="T75" s="23">
        <f>IF(AND(N(I75)&lt;&gt;0,L75=""),1,0)+IF(AND(N(J75)&lt;&gt;0,M75=""),1,0)</f>
        <v/>
      </c>
    </row>
    <row r="76">
      <c r="A76" s="14" t="n"/>
      <c r="B76" s="19" t="n"/>
      <c r="C76" s="14" t="n"/>
      <c r="D76" s="14" t="n"/>
      <c r="E76" s="14" t="n"/>
      <c r="F76" s="14" t="n"/>
      <c r="G76" s="14" t="n"/>
      <c r="H76" s="14" t="n"/>
      <c r="I76" s="20" t="n"/>
      <c r="J76" s="20" t="n"/>
      <c r="K76" s="14" t="n"/>
      <c r="L76" s="23">
        <f>IFERROR(INDEX('Chart of Accounts'!$C$5:$C$3000,MATCH(H76&amp;"",'Chart of Accounts'!$A$5:$A$3000,0))&amp;"|"&amp;INDEX('Chart of Accounts'!$D$5:$D$3000,MATCH(H76&amp;"",'Chart of Accounts'!$A$5:$A$3000,0)),"")</f>
        <v/>
      </c>
      <c r="M76" s="23">
        <f>IFERROR(INDEX('Chart of Accounts'!$C$5:$C$3000,MATCH(H76&amp;"",'Chart of Accounts'!$A$5:$A$3000,0))&amp;"|"&amp;INDEX('Chart of Accounts'!$D$5:$D$3000,MATCH(H76&amp;"",'Chart of Accounts'!$A$5:$A$3000,0)),"")</f>
        <v/>
      </c>
      <c r="N76" s="23">
        <f>IF(LEFT(L76,8)="Revenue|",-N(I76),0)+IF(LEFT(M76,8)="Revenue|",N(J76),0)</f>
        <v/>
      </c>
      <c r="O76" s="23">
        <f>IF(LEFT(L76,5)="COGS|",N(I76),0)+IF(LEFT(M76,5)="COGS|",-N(J76),0)</f>
        <v/>
      </c>
      <c r="P76" s="23">
        <f>IF(LEFT(L76,8)="Expense|",N(I76),0)+IF(LEFT(M76,8)="Expense|",-N(J76),0)</f>
        <v/>
      </c>
      <c r="Q76" s="23">
        <f>IF(ISNUMBER(MATCH(L76,{"Expense|employee","Expense|general_admin","Expense|marketing","Expense|utilities","Expense|other_operating"},0)),N(I76),0)+IF(ISNUMBER(MATCH(M76,{"Expense|employee","Expense|general_admin","Expense|marketing","Expense|utilities","Expense|other_operating"},0)),-N(J76),0)</f>
        <v/>
      </c>
      <c r="R76" s="23">
        <f>IF(L76="Liability|payable",-N(I76),0)+IF(M76="Liability|payable",N(J76),0)</f>
        <v/>
      </c>
      <c r="S76" s="23">
        <f>IF(L76="Liability|accrued",-N(I76),0)+IF(M76="Liability|accrued",N(J76),0)</f>
        <v/>
      </c>
      <c r="T76" s="23">
        <f>IF(AND(N(I76)&lt;&gt;0,L76=""),1,0)+IF(AND(N(J76)&lt;&gt;0,M76=""),1,0)</f>
        <v/>
      </c>
    </row>
    <row r="77">
      <c r="A77" s="14" t="n"/>
      <c r="B77" s="19" t="n"/>
      <c r="C77" s="14" t="n"/>
      <c r="D77" s="14" t="n"/>
      <c r="E77" s="14" t="n"/>
      <c r="F77" s="14" t="n"/>
      <c r="G77" s="14" t="n"/>
      <c r="H77" s="14" t="n"/>
      <c r="I77" s="20" t="n"/>
      <c r="J77" s="20" t="n"/>
      <c r="K77" s="14" t="n"/>
      <c r="L77" s="23">
        <f>IFERROR(INDEX('Chart of Accounts'!$C$5:$C$3000,MATCH(H77&amp;"",'Chart of Accounts'!$A$5:$A$3000,0))&amp;"|"&amp;INDEX('Chart of Accounts'!$D$5:$D$3000,MATCH(H77&amp;"",'Chart of Accounts'!$A$5:$A$3000,0)),"")</f>
        <v/>
      </c>
      <c r="M77" s="23">
        <f>IFERROR(INDEX('Chart of Accounts'!$C$5:$C$3000,MATCH(H77&amp;"",'Chart of Accounts'!$A$5:$A$3000,0))&amp;"|"&amp;INDEX('Chart of Accounts'!$D$5:$D$3000,MATCH(H77&amp;"",'Chart of Accounts'!$A$5:$A$3000,0)),"")</f>
        <v/>
      </c>
      <c r="N77" s="23">
        <f>IF(LEFT(L77,8)="Revenue|",-N(I77),0)+IF(LEFT(M77,8)="Revenue|",N(J77),0)</f>
        <v/>
      </c>
      <c r="O77" s="23">
        <f>IF(LEFT(L77,5)="COGS|",N(I77),0)+IF(LEFT(M77,5)="COGS|",-N(J77),0)</f>
        <v/>
      </c>
      <c r="P77" s="23">
        <f>IF(LEFT(L77,8)="Expense|",N(I77),0)+IF(LEFT(M77,8)="Expense|",-N(J77),0)</f>
        <v/>
      </c>
      <c r="Q77" s="23">
        <f>IF(ISNUMBER(MATCH(L77,{"Expense|employee","Expense|general_admin","Expense|marketing","Expense|utilities","Expense|other_operating"},0)),N(I77),0)+IF(ISNUMBER(MATCH(M77,{"Expense|employee","Expense|general_admin","Expense|marketing","Expense|utilities","Expense|other_operating"},0)),-N(J77),0)</f>
        <v/>
      </c>
      <c r="R77" s="23">
        <f>IF(L77="Liability|payable",-N(I77),0)+IF(M77="Liability|payable",N(J77),0)</f>
        <v/>
      </c>
      <c r="S77" s="23">
        <f>IF(L77="Liability|accrued",-N(I77),0)+IF(M77="Liability|accrued",N(J77),0)</f>
        <v/>
      </c>
      <c r="T77" s="23">
        <f>IF(AND(N(I77)&lt;&gt;0,L77=""),1,0)+IF(AND(N(J77)&lt;&gt;0,M77=""),1,0)</f>
        <v/>
      </c>
    </row>
    <row r="78">
      <c r="A78" s="14" t="n"/>
      <c r="B78" s="19" t="n"/>
      <c r="C78" s="14" t="n"/>
      <c r="D78" s="14" t="n"/>
      <c r="E78" s="14" t="n"/>
      <c r="F78" s="14" t="n"/>
      <c r="G78" s="14" t="n"/>
      <c r="H78" s="14" t="n"/>
      <c r="I78" s="20" t="n"/>
      <c r="J78" s="20" t="n"/>
      <c r="K78" s="14" t="n"/>
      <c r="L78" s="23">
        <f>IFERROR(INDEX('Chart of Accounts'!$C$5:$C$3000,MATCH(H78&amp;"",'Chart of Accounts'!$A$5:$A$3000,0))&amp;"|"&amp;INDEX('Chart of Accounts'!$D$5:$D$3000,MATCH(H78&amp;"",'Chart of Accounts'!$A$5:$A$3000,0)),"")</f>
        <v/>
      </c>
      <c r="M78" s="23">
        <f>IFERROR(INDEX('Chart of Accounts'!$C$5:$C$3000,MATCH(H78&amp;"",'Chart of Accounts'!$A$5:$A$3000,0))&amp;"|"&amp;INDEX('Chart of Accounts'!$D$5:$D$3000,MATCH(H78&amp;"",'Chart of Accounts'!$A$5:$A$3000,0)),"")</f>
        <v/>
      </c>
      <c r="N78" s="23">
        <f>IF(LEFT(L78,8)="Revenue|",-N(I78),0)+IF(LEFT(M78,8)="Revenue|",N(J78),0)</f>
        <v/>
      </c>
      <c r="O78" s="23">
        <f>IF(LEFT(L78,5)="COGS|",N(I78),0)+IF(LEFT(M78,5)="COGS|",-N(J78),0)</f>
        <v/>
      </c>
      <c r="P78" s="23">
        <f>IF(LEFT(L78,8)="Expense|",N(I78),0)+IF(LEFT(M78,8)="Expense|",-N(J78),0)</f>
        <v/>
      </c>
      <c r="Q78" s="23">
        <f>IF(ISNUMBER(MATCH(L78,{"Expense|employee","Expense|general_admin","Expense|marketing","Expense|utilities","Expense|other_operating"},0)),N(I78),0)+IF(ISNUMBER(MATCH(M78,{"Expense|employee","Expense|general_admin","Expense|marketing","Expense|utilities","Expense|other_operating"},0)),-N(J78),0)</f>
        <v/>
      </c>
      <c r="R78" s="23">
        <f>IF(L78="Liability|payable",-N(I78),0)+IF(M78="Liability|payable",N(J78),0)</f>
        <v/>
      </c>
      <c r="S78" s="23">
        <f>IF(L78="Liability|accrued",-N(I78),0)+IF(M78="Liability|accrued",N(J78),0)</f>
        <v/>
      </c>
      <c r="T78" s="23">
        <f>IF(AND(N(I78)&lt;&gt;0,L78=""),1,0)+IF(AND(N(J78)&lt;&gt;0,M78=""),1,0)</f>
        <v/>
      </c>
    </row>
    <row r="79">
      <c r="A79" s="14" t="n"/>
      <c r="B79" s="19" t="n"/>
      <c r="C79" s="14" t="n"/>
      <c r="D79" s="14" t="n"/>
      <c r="E79" s="14" t="n"/>
      <c r="F79" s="14" t="n"/>
      <c r="G79" s="14" t="n"/>
      <c r="H79" s="14" t="n"/>
      <c r="I79" s="20" t="n"/>
      <c r="J79" s="20" t="n"/>
      <c r="K79" s="14" t="n"/>
      <c r="L79" s="23">
        <f>IFERROR(INDEX('Chart of Accounts'!$C$5:$C$3000,MATCH(H79&amp;"",'Chart of Accounts'!$A$5:$A$3000,0))&amp;"|"&amp;INDEX('Chart of Accounts'!$D$5:$D$3000,MATCH(H79&amp;"",'Chart of Accounts'!$A$5:$A$3000,0)),"")</f>
        <v/>
      </c>
      <c r="M79" s="23">
        <f>IFERROR(INDEX('Chart of Accounts'!$C$5:$C$3000,MATCH(H79&amp;"",'Chart of Accounts'!$A$5:$A$3000,0))&amp;"|"&amp;INDEX('Chart of Accounts'!$D$5:$D$3000,MATCH(H79&amp;"",'Chart of Accounts'!$A$5:$A$3000,0)),"")</f>
        <v/>
      </c>
      <c r="N79" s="23">
        <f>IF(LEFT(L79,8)="Revenue|",-N(I79),0)+IF(LEFT(M79,8)="Revenue|",N(J79),0)</f>
        <v/>
      </c>
      <c r="O79" s="23">
        <f>IF(LEFT(L79,5)="COGS|",N(I79),0)+IF(LEFT(M79,5)="COGS|",-N(J79),0)</f>
        <v/>
      </c>
      <c r="P79" s="23">
        <f>IF(LEFT(L79,8)="Expense|",N(I79),0)+IF(LEFT(M79,8)="Expense|",-N(J79),0)</f>
        <v/>
      </c>
      <c r="Q79" s="23">
        <f>IF(ISNUMBER(MATCH(L79,{"Expense|employee","Expense|general_admin","Expense|marketing","Expense|utilities","Expense|other_operating"},0)),N(I79),0)+IF(ISNUMBER(MATCH(M79,{"Expense|employee","Expense|general_admin","Expense|marketing","Expense|utilities","Expense|other_operating"},0)),-N(J79),0)</f>
        <v/>
      </c>
      <c r="R79" s="23">
        <f>IF(L79="Liability|payable",-N(I79),0)+IF(M79="Liability|payable",N(J79),0)</f>
        <v/>
      </c>
      <c r="S79" s="23">
        <f>IF(L79="Liability|accrued",-N(I79),0)+IF(M79="Liability|accrued",N(J79),0)</f>
        <v/>
      </c>
      <c r="T79" s="23">
        <f>IF(AND(N(I79)&lt;&gt;0,L79=""),1,0)+IF(AND(N(J79)&lt;&gt;0,M79=""),1,0)</f>
        <v/>
      </c>
    </row>
    <row r="80">
      <c r="A80" s="14" t="n"/>
      <c r="B80" s="19" t="n"/>
      <c r="C80" s="14" t="n"/>
      <c r="D80" s="14" t="n"/>
      <c r="E80" s="14" t="n"/>
      <c r="F80" s="14" t="n"/>
      <c r="G80" s="14" t="n"/>
      <c r="H80" s="14" t="n"/>
      <c r="I80" s="20" t="n"/>
      <c r="J80" s="20" t="n"/>
      <c r="K80" s="14" t="n"/>
      <c r="L80" s="23">
        <f>IFERROR(INDEX('Chart of Accounts'!$C$5:$C$3000,MATCH(H80&amp;"",'Chart of Accounts'!$A$5:$A$3000,0))&amp;"|"&amp;INDEX('Chart of Accounts'!$D$5:$D$3000,MATCH(H80&amp;"",'Chart of Accounts'!$A$5:$A$3000,0)),"")</f>
        <v/>
      </c>
      <c r="M80" s="23">
        <f>IFERROR(INDEX('Chart of Accounts'!$C$5:$C$3000,MATCH(H80&amp;"",'Chart of Accounts'!$A$5:$A$3000,0))&amp;"|"&amp;INDEX('Chart of Accounts'!$D$5:$D$3000,MATCH(H80&amp;"",'Chart of Accounts'!$A$5:$A$3000,0)),"")</f>
        <v/>
      </c>
      <c r="N80" s="23">
        <f>IF(LEFT(L80,8)="Revenue|",-N(I80),0)+IF(LEFT(M80,8)="Revenue|",N(J80),0)</f>
        <v/>
      </c>
      <c r="O80" s="23">
        <f>IF(LEFT(L80,5)="COGS|",N(I80),0)+IF(LEFT(M80,5)="COGS|",-N(J80),0)</f>
        <v/>
      </c>
      <c r="P80" s="23">
        <f>IF(LEFT(L80,8)="Expense|",N(I80),0)+IF(LEFT(M80,8)="Expense|",-N(J80),0)</f>
        <v/>
      </c>
      <c r="Q80" s="23">
        <f>IF(ISNUMBER(MATCH(L80,{"Expense|employee","Expense|general_admin","Expense|marketing","Expense|utilities","Expense|other_operating"},0)),N(I80),0)+IF(ISNUMBER(MATCH(M80,{"Expense|employee","Expense|general_admin","Expense|marketing","Expense|utilities","Expense|other_operating"},0)),-N(J80),0)</f>
        <v/>
      </c>
      <c r="R80" s="23">
        <f>IF(L80="Liability|payable",-N(I80),0)+IF(M80="Liability|payable",N(J80),0)</f>
        <v/>
      </c>
      <c r="S80" s="23">
        <f>IF(L80="Liability|accrued",-N(I80),0)+IF(M80="Liability|accrued",N(J80),0)</f>
        <v/>
      </c>
      <c r="T80" s="23">
        <f>IF(AND(N(I80)&lt;&gt;0,L80=""),1,0)+IF(AND(N(J80)&lt;&gt;0,M80=""),1,0)</f>
        <v/>
      </c>
    </row>
    <row r="81">
      <c r="A81" s="14" t="n"/>
      <c r="B81" s="19" t="n"/>
      <c r="C81" s="14" t="n"/>
      <c r="D81" s="14" t="n"/>
      <c r="E81" s="14" t="n"/>
      <c r="F81" s="14" t="n"/>
      <c r="G81" s="14" t="n"/>
      <c r="H81" s="14" t="n"/>
      <c r="I81" s="20" t="n"/>
      <c r="J81" s="20" t="n"/>
      <c r="K81" s="14" t="n"/>
      <c r="L81" s="23">
        <f>IFERROR(INDEX('Chart of Accounts'!$C$5:$C$3000,MATCH(H81&amp;"",'Chart of Accounts'!$A$5:$A$3000,0))&amp;"|"&amp;INDEX('Chart of Accounts'!$D$5:$D$3000,MATCH(H81&amp;"",'Chart of Accounts'!$A$5:$A$3000,0)),"")</f>
        <v/>
      </c>
      <c r="M81" s="23">
        <f>IFERROR(INDEX('Chart of Accounts'!$C$5:$C$3000,MATCH(H81&amp;"",'Chart of Accounts'!$A$5:$A$3000,0))&amp;"|"&amp;INDEX('Chart of Accounts'!$D$5:$D$3000,MATCH(H81&amp;"",'Chart of Accounts'!$A$5:$A$3000,0)),"")</f>
        <v/>
      </c>
      <c r="N81" s="23">
        <f>IF(LEFT(L81,8)="Revenue|",-N(I81),0)+IF(LEFT(M81,8)="Revenue|",N(J81),0)</f>
        <v/>
      </c>
      <c r="O81" s="23">
        <f>IF(LEFT(L81,5)="COGS|",N(I81),0)+IF(LEFT(M81,5)="COGS|",-N(J81),0)</f>
        <v/>
      </c>
      <c r="P81" s="23">
        <f>IF(LEFT(L81,8)="Expense|",N(I81),0)+IF(LEFT(M81,8)="Expense|",-N(J81),0)</f>
        <v/>
      </c>
      <c r="Q81" s="23">
        <f>IF(ISNUMBER(MATCH(L81,{"Expense|employee","Expense|general_admin","Expense|marketing","Expense|utilities","Expense|other_operating"},0)),N(I81),0)+IF(ISNUMBER(MATCH(M81,{"Expense|employee","Expense|general_admin","Expense|marketing","Expense|utilities","Expense|other_operating"},0)),-N(J81),0)</f>
        <v/>
      </c>
      <c r="R81" s="23">
        <f>IF(L81="Liability|payable",-N(I81),0)+IF(M81="Liability|payable",N(J81),0)</f>
        <v/>
      </c>
      <c r="S81" s="23">
        <f>IF(L81="Liability|accrued",-N(I81),0)+IF(M81="Liability|accrued",N(J81),0)</f>
        <v/>
      </c>
      <c r="T81" s="23">
        <f>IF(AND(N(I81)&lt;&gt;0,L81=""),1,0)+IF(AND(N(J81)&lt;&gt;0,M81=""),1,0)</f>
        <v/>
      </c>
    </row>
    <row r="82">
      <c r="A82" s="14" t="n"/>
      <c r="B82" s="19" t="n"/>
      <c r="C82" s="14" t="n"/>
      <c r="D82" s="14" t="n"/>
      <c r="E82" s="14" t="n"/>
      <c r="F82" s="14" t="n"/>
      <c r="G82" s="14" t="n"/>
      <c r="H82" s="14" t="n"/>
      <c r="I82" s="20" t="n"/>
      <c r="J82" s="20" t="n"/>
      <c r="K82" s="14" t="n"/>
      <c r="L82" s="23">
        <f>IFERROR(INDEX('Chart of Accounts'!$C$5:$C$3000,MATCH(H82&amp;"",'Chart of Accounts'!$A$5:$A$3000,0))&amp;"|"&amp;INDEX('Chart of Accounts'!$D$5:$D$3000,MATCH(H82&amp;"",'Chart of Accounts'!$A$5:$A$3000,0)),"")</f>
        <v/>
      </c>
      <c r="M82" s="23">
        <f>IFERROR(INDEX('Chart of Accounts'!$C$5:$C$3000,MATCH(H82&amp;"",'Chart of Accounts'!$A$5:$A$3000,0))&amp;"|"&amp;INDEX('Chart of Accounts'!$D$5:$D$3000,MATCH(H82&amp;"",'Chart of Accounts'!$A$5:$A$3000,0)),"")</f>
        <v/>
      </c>
      <c r="N82" s="23">
        <f>IF(LEFT(L82,8)="Revenue|",-N(I82),0)+IF(LEFT(M82,8)="Revenue|",N(J82),0)</f>
        <v/>
      </c>
      <c r="O82" s="23">
        <f>IF(LEFT(L82,5)="COGS|",N(I82),0)+IF(LEFT(M82,5)="COGS|",-N(J82),0)</f>
        <v/>
      </c>
      <c r="P82" s="23">
        <f>IF(LEFT(L82,8)="Expense|",N(I82),0)+IF(LEFT(M82,8)="Expense|",-N(J82),0)</f>
        <v/>
      </c>
      <c r="Q82" s="23">
        <f>IF(ISNUMBER(MATCH(L82,{"Expense|employee","Expense|general_admin","Expense|marketing","Expense|utilities","Expense|other_operating"},0)),N(I82),0)+IF(ISNUMBER(MATCH(M82,{"Expense|employee","Expense|general_admin","Expense|marketing","Expense|utilities","Expense|other_operating"},0)),-N(J82),0)</f>
        <v/>
      </c>
      <c r="R82" s="23">
        <f>IF(L82="Liability|payable",-N(I82),0)+IF(M82="Liability|payable",N(J82),0)</f>
        <v/>
      </c>
      <c r="S82" s="23">
        <f>IF(L82="Liability|accrued",-N(I82),0)+IF(M82="Liability|accrued",N(J82),0)</f>
        <v/>
      </c>
      <c r="T82" s="23">
        <f>IF(AND(N(I82)&lt;&gt;0,L82=""),1,0)+IF(AND(N(J82)&lt;&gt;0,M82=""),1,0)</f>
        <v/>
      </c>
    </row>
    <row r="83">
      <c r="A83" s="14" t="n"/>
      <c r="B83" s="19" t="n"/>
      <c r="C83" s="14" t="n"/>
      <c r="D83" s="14" t="n"/>
      <c r="E83" s="14" t="n"/>
      <c r="F83" s="14" t="n"/>
      <c r="G83" s="14" t="n"/>
      <c r="H83" s="14" t="n"/>
      <c r="I83" s="20" t="n"/>
      <c r="J83" s="20" t="n"/>
      <c r="K83" s="14" t="n"/>
      <c r="L83" s="23">
        <f>IFERROR(INDEX('Chart of Accounts'!$C$5:$C$3000,MATCH(H83&amp;"",'Chart of Accounts'!$A$5:$A$3000,0))&amp;"|"&amp;INDEX('Chart of Accounts'!$D$5:$D$3000,MATCH(H83&amp;"",'Chart of Accounts'!$A$5:$A$3000,0)),"")</f>
        <v/>
      </c>
      <c r="M83" s="23">
        <f>IFERROR(INDEX('Chart of Accounts'!$C$5:$C$3000,MATCH(H83&amp;"",'Chart of Accounts'!$A$5:$A$3000,0))&amp;"|"&amp;INDEX('Chart of Accounts'!$D$5:$D$3000,MATCH(H83&amp;"",'Chart of Accounts'!$A$5:$A$3000,0)),"")</f>
        <v/>
      </c>
      <c r="N83" s="23">
        <f>IF(LEFT(L83,8)="Revenue|",-N(I83),0)+IF(LEFT(M83,8)="Revenue|",N(J83),0)</f>
        <v/>
      </c>
      <c r="O83" s="23">
        <f>IF(LEFT(L83,5)="COGS|",N(I83),0)+IF(LEFT(M83,5)="COGS|",-N(J83),0)</f>
        <v/>
      </c>
      <c r="P83" s="23">
        <f>IF(LEFT(L83,8)="Expense|",N(I83),0)+IF(LEFT(M83,8)="Expense|",-N(J83),0)</f>
        <v/>
      </c>
      <c r="Q83" s="23">
        <f>IF(ISNUMBER(MATCH(L83,{"Expense|employee","Expense|general_admin","Expense|marketing","Expense|utilities","Expense|other_operating"},0)),N(I83),0)+IF(ISNUMBER(MATCH(M83,{"Expense|employee","Expense|general_admin","Expense|marketing","Expense|utilities","Expense|other_operating"},0)),-N(J83),0)</f>
        <v/>
      </c>
      <c r="R83" s="23">
        <f>IF(L83="Liability|payable",-N(I83),0)+IF(M83="Liability|payable",N(J83),0)</f>
        <v/>
      </c>
      <c r="S83" s="23">
        <f>IF(L83="Liability|accrued",-N(I83),0)+IF(M83="Liability|accrued",N(J83),0)</f>
        <v/>
      </c>
      <c r="T83" s="23">
        <f>IF(AND(N(I83)&lt;&gt;0,L83=""),1,0)+IF(AND(N(J83)&lt;&gt;0,M83=""),1,0)</f>
        <v/>
      </c>
    </row>
    <row r="84">
      <c r="A84" s="14" t="n"/>
      <c r="B84" s="19" t="n"/>
      <c r="C84" s="14" t="n"/>
      <c r="D84" s="14" t="n"/>
      <c r="E84" s="14" t="n"/>
      <c r="F84" s="14" t="n"/>
      <c r="G84" s="14" t="n"/>
      <c r="H84" s="14" t="n"/>
      <c r="I84" s="20" t="n"/>
      <c r="J84" s="20" t="n"/>
      <c r="K84" s="14" t="n"/>
      <c r="L84" s="23">
        <f>IFERROR(INDEX('Chart of Accounts'!$C$5:$C$3000,MATCH(H84&amp;"",'Chart of Accounts'!$A$5:$A$3000,0))&amp;"|"&amp;INDEX('Chart of Accounts'!$D$5:$D$3000,MATCH(H84&amp;"",'Chart of Accounts'!$A$5:$A$3000,0)),"")</f>
        <v/>
      </c>
      <c r="M84" s="23">
        <f>IFERROR(INDEX('Chart of Accounts'!$C$5:$C$3000,MATCH(H84&amp;"",'Chart of Accounts'!$A$5:$A$3000,0))&amp;"|"&amp;INDEX('Chart of Accounts'!$D$5:$D$3000,MATCH(H84&amp;"",'Chart of Accounts'!$A$5:$A$3000,0)),"")</f>
        <v/>
      </c>
      <c r="N84" s="23">
        <f>IF(LEFT(L84,8)="Revenue|",-N(I84),0)+IF(LEFT(M84,8)="Revenue|",N(J84),0)</f>
        <v/>
      </c>
      <c r="O84" s="23">
        <f>IF(LEFT(L84,5)="COGS|",N(I84),0)+IF(LEFT(M84,5)="COGS|",-N(J84),0)</f>
        <v/>
      </c>
      <c r="P84" s="23">
        <f>IF(LEFT(L84,8)="Expense|",N(I84),0)+IF(LEFT(M84,8)="Expense|",-N(J84),0)</f>
        <v/>
      </c>
      <c r="Q84" s="23">
        <f>IF(ISNUMBER(MATCH(L84,{"Expense|employee","Expense|general_admin","Expense|marketing","Expense|utilities","Expense|other_operating"},0)),N(I84),0)+IF(ISNUMBER(MATCH(M84,{"Expense|employee","Expense|general_admin","Expense|marketing","Expense|utilities","Expense|other_operating"},0)),-N(J84),0)</f>
        <v/>
      </c>
      <c r="R84" s="23">
        <f>IF(L84="Liability|payable",-N(I84),0)+IF(M84="Liability|payable",N(J84),0)</f>
        <v/>
      </c>
      <c r="S84" s="23">
        <f>IF(L84="Liability|accrued",-N(I84),0)+IF(M84="Liability|accrued",N(J84),0)</f>
        <v/>
      </c>
      <c r="T84" s="23">
        <f>IF(AND(N(I84)&lt;&gt;0,L84=""),1,0)+IF(AND(N(J84)&lt;&gt;0,M84=""),1,0)</f>
        <v/>
      </c>
    </row>
    <row r="85">
      <c r="A85" s="14" t="n"/>
      <c r="B85" s="19" t="n"/>
      <c r="C85" s="14" t="n"/>
      <c r="D85" s="14" t="n"/>
      <c r="E85" s="14" t="n"/>
      <c r="F85" s="14" t="n"/>
      <c r="G85" s="14" t="n"/>
      <c r="H85" s="14" t="n"/>
      <c r="I85" s="20" t="n"/>
      <c r="J85" s="20" t="n"/>
      <c r="K85" s="14" t="n"/>
      <c r="L85" s="23">
        <f>IFERROR(INDEX('Chart of Accounts'!$C$5:$C$3000,MATCH(H85&amp;"",'Chart of Accounts'!$A$5:$A$3000,0))&amp;"|"&amp;INDEX('Chart of Accounts'!$D$5:$D$3000,MATCH(H85&amp;"",'Chart of Accounts'!$A$5:$A$3000,0)),"")</f>
        <v/>
      </c>
      <c r="M85" s="23">
        <f>IFERROR(INDEX('Chart of Accounts'!$C$5:$C$3000,MATCH(H85&amp;"",'Chart of Accounts'!$A$5:$A$3000,0))&amp;"|"&amp;INDEX('Chart of Accounts'!$D$5:$D$3000,MATCH(H85&amp;"",'Chart of Accounts'!$A$5:$A$3000,0)),"")</f>
        <v/>
      </c>
      <c r="N85" s="23">
        <f>IF(LEFT(L85,8)="Revenue|",-N(I85),0)+IF(LEFT(M85,8)="Revenue|",N(J85),0)</f>
        <v/>
      </c>
      <c r="O85" s="23">
        <f>IF(LEFT(L85,5)="COGS|",N(I85),0)+IF(LEFT(M85,5)="COGS|",-N(J85),0)</f>
        <v/>
      </c>
      <c r="P85" s="23">
        <f>IF(LEFT(L85,8)="Expense|",N(I85),0)+IF(LEFT(M85,8)="Expense|",-N(J85),0)</f>
        <v/>
      </c>
      <c r="Q85" s="23">
        <f>IF(ISNUMBER(MATCH(L85,{"Expense|employee","Expense|general_admin","Expense|marketing","Expense|utilities","Expense|other_operating"},0)),N(I85),0)+IF(ISNUMBER(MATCH(M85,{"Expense|employee","Expense|general_admin","Expense|marketing","Expense|utilities","Expense|other_operating"},0)),-N(J85),0)</f>
        <v/>
      </c>
      <c r="R85" s="23">
        <f>IF(L85="Liability|payable",-N(I85),0)+IF(M85="Liability|payable",N(J85),0)</f>
        <v/>
      </c>
      <c r="S85" s="23">
        <f>IF(L85="Liability|accrued",-N(I85),0)+IF(M85="Liability|accrued",N(J85),0)</f>
        <v/>
      </c>
      <c r="T85" s="23">
        <f>IF(AND(N(I85)&lt;&gt;0,L85=""),1,0)+IF(AND(N(J85)&lt;&gt;0,M85=""),1,0)</f>
        <v/>
      </c>
    </row>
    <row r="86">
      <c r="A86" s="14" t="n"/>
      <c r="B86" s="19" t="n"/>
      <c r="C86" s="14" t="n"/>
      <c r="D86" s="14" t="n"/>
      <c r="E86" s="14" t="n"/>
      <c r="F86" s="14" t="n"/>
      <c r="G86" s="14" t="n"/>
      <c r="H86" s="14" t="n"/>
      <c r="I86" s="20" t="n"/>
      <c r="J86" s="20" t="n"/>
      <c r="K86" s="14" t="n"/>
      <c r="L86" s="23">
        <f>IFERROR(INDEX('Chart of Accounts'!$C$5:$C$3000,MATCH(H86&amp;"",'Chart of Accounts'!$A$5:$A$3000,0))&amp;"|"&amp;INDEX('Chart of Accounts'!$D$5:$D$3000,MATCH(H86&amp;"",'Chart of Accounts'!$A$5:$A$3000,0)),"")</f>
        <v/>
      </c>
      <c r="M86" s="23">
        <f>IFERROR(INDEX('Chart of Accounts'!$C$5:$C$3000,MATCH(H86&amp;"",'Chart of Accounts'!$A$5:$A$3000,0))&amp;"|"&amp;INDEX('Chart of Accounts'!$D$5:$D$3000,MATCH(H86&amp;"",'Chart of Accounts'!$A$5:$A$3000,0)),"")</f>
        <v/>
      </c>
      <c r="N86" s="23">
        <f>IF(LEFT(L86,8)="Revenue|",-N(I86),0)+IF(LEFT(M86,8)="Revenue|",N(J86),0)</f>
        <v/>
      </c>
      <c r="O86" s="23">
        <f>IF(LEFT(L86,5)="COGS|",N(I86),0)+IF(LEFT(M86,5)="COGS|",-N(J86),0)</f>
        <v/>
      </c>
      <c r="P86" s="23">
        <f>IF(LEFT(L86,8)="Expense|",N(I86),0)+IF(LEFT(M86,8)="Expense|",-N(J86),0)</f>
        <v/>
      </c>
      <c r="Q86" s="23">
        <f>IF(ISNUMBER(MATCH(L86,{"Expense|employee","Expense|general_admin","Expense|marketing","Expense|utilities","Expense|other_operating"},0)),N(I86),0)+IF(ISNUMBER(MATCH(M86,{"Expense|employee","Expense|general_admin","Expense|marketing","Expense|utilities","Expense|other_operating"},0)),-N(J86),0)</f>
        <v/>
      </c>
      <c r="R86" s="23">
        <f>IF(L86="Liability|payable",-N(I86),0)+IF(M86="Liability|payable",N(J86),0)</f>
        <v/>
      </c>
      <c r="S86" s="23">
        <f>IF(L86="Liability|accrued",-N(I86),0)+IF(M86="Liability|accrued",N(J86),0)</f>
        <v/>
      </c>
      <c r="T86" s="23">
        <f>IF(AND(N(I86)&lt;&gt;0,L86=""),1,0)+IF(AND(N(J86)&lt;&gt;0,M86=""),1,0)</f>
        <v/>
      </c>
    </row>
    <row r="87">
      <c r="A87" s="14" t="n"/>
      <c r="B87" s="19" t="n"/>
      <c r="C87" s="14" t="n"/>
      <c r="D87" s="14" t="n"/>
      <c r="E87" s="14" t="n"/>
      <c r="F87" s="14" t="n"/>
      <c r="G87" s="14" t="n"/>
      <c r="H87" s="14" t="n"/>
      <c r="I87" s="20" t="n"/>
      <c r="J87" s="20" t="n"/>
      <c r="K87" s="14" t="n"/>
      <c r="L87" s="23">
        <f>IFERROR(INDEX('Chart of Accounts'!$C$5:$C$3000,MATCH(H87&amp;"",'Chart of Accounts'!$A$5:$A$3000,0))&amp;"|"&amp;INDEX('Chart of Accounts'!$D$5:$D$3000,MATCH(H87&amp;"",'Chart of Accounts'!$A$5:$A$3000,0)),"")</f>
        <v/>
      </c>
      <c r="M87" s="23">
        <f>IFERROR(INDEX('Chart of Accounts'!$C$5:$C$3000,MATCH(H87&amp;"",'Chart of Accounts'!$A$5:$A$3000,0))&amp;"|"&amp;INDEX('Chart of Accounts'!$D$5:$D$3000,MATCH(H87&amp;"",'Chart of Accounts'!$A$5:$A$3000,0)),"")</f>
        <v/>
      </c>
      <c r="N87" s="23">
        <f>IF(LEFT(L87,8)="Revenue|",-N(I87),0)+IF(LEFT(M87,8)="Revenue|",N(J87),0)</f>
        <v/>
      </c>
      <c r="O87" s="23">
        <f>IF(LEFT(L87,5)="COGS|",N(I87),0)+IF(LEFT(M87,5)="COGS|",-N(J87),0)</f>
        <v/>
      </c>
      <c r="P87" s="23">
        <f>IF(LEFT(L87,8)="Expense|",N(I87),0)+IF(LEFT(M87,8)="Expense|",-N(J87),0)</f>
        <v/>
      </c>
      <c r="Q87" s="23">
        <f>IF(ISNUMBER(MATCH(L87,{"Expense|employee","Expense|general_admin","Expense|marketing","Expense|utilities","Expense|other_operating"},0)),N(I87),0)+IF(ISNUMBER(MATCH(M87,{"Expense|employee","Expense|general_admin","Expense|marketing","Expense|utilities","Expense|other_operating"},0)),-N(J87),0)</f>
        <v/>
      </c>
      <c r="R87" s="23">
        <f>IF(L87="Liability|payable",-N(I87),0)+IF(M87="Liability|payable",N(J87),0)</f>
        <v/>
      </c>
      <c r="S87" s="23">
        <f>IF(L87="Liability|accrued",-N(I87),0)+IF(M87="Liability|accrued",N(J87),0)</f>
        <v/>
      </c>
      <c r="T87" s="23">
        <f>IF(AND(N(I87)&lt;&gt;0,L87=""),1,0)+IF(AND(N(J87)&lt;&gt;0,M87=""),1,0)</f>
        <v/>
      </c>
    </row>
    <row r="88">
      <c r="A88" s="14" t="n"/>
      <c r="B88" s="19" t="n"/>
      <c r="C88" s="14" t="n"/>
      <c r="D88" s="14" t="n"/>
      <c r="E88" s="14" t="n"/>
      <c r="F88" s="14" t="n"/>
      <c r="G88" s="14" t="n"/>
      <c r="H88" s="14" t="n"/>
      <c r="I88" s="20" t="n"/>
      <c r="J88" s="20" t="n"/>
      <c r="K88" s="14" t="n"/>
      <c r="L88" s="23">
        <f>IFERROR(INDEX('Chart of Accounts'!$C$5:$C$3000,MATCH(H88&amp;"",'Chart of Accounts'!$A$5:$A$3000,0))&amp;"|"&amp;INDEX('Chart of Accounts'!$D$5:$D$3000,MATCH(H88&amp;"",'Chart of Accounts'!$A$5:$A$3000,0)),"")</f>
        <v/>
      </c>
      <c r="M88" s="23">
        <f>IFERROR(INDEX('Chart of Accounts'!$C$5:$C$3000,MATCH(H88&amp;"",'Chart of Accounts'!$A$5:$A$3000,0))&amp;"|"&amp;INDEX('Chart of Accounts'!$D$5:$D$3000,MATCH(H88&amp;"",'Chart of Accounts'!$A$5:$A$3000,0)),"")</f>
        <v/>
      </c>
      <c r="N88" s="23">
        <f>IF(LEFT(L88,8)="Revenue|",-N(I88),0)+IF(LEFT(M88,8)="Revenue|",N(J88),0)</f>
        <v/>
      </c>
      <c r="O88" s="23">
        <f>IF(LEFT(L88,5)="COGS|",N(I88),0)+IF(LEFT(M88,5)="COGS|",-N(J88),0)</f>
        <v/>
      </c>
      <c r="P88" s="23">
        <f>IF(LEFT(L88,8)="Expense|",N(I88),0)+IF(LEFT(M88,8)="Expense|",-N(J88),0)</f>
        <v/>
      </c>
      <c r="Q88" s="23">
        <f>IF(ISNUMBER(MATCH(L88,{"Expense|employee","Expense|general_admin","Expense|marketing","Expense|utilities","Expense|other_operating"},0)),N(I88),0)+IF(ISNUMBER(MATCH(M88,{"Expense|employee","Expense|general_admin","Expense|marketing","Expense|utilities","Expense|other_operating"},0)),-N(J88),0)</f>
        <v/>
      </c>
      <c r="R88" s="23">
        <f>IF(L88="Liability|payable",-N(I88),0)+IF(M88="Liability|payable",N(J88),0)</f>
        <v/>
      </c>
      <c r="S88" s="23">
        <f>IF(L88="Liability|accrued",-N(I88),0)+IF(M88="Liability|accrued",N(J88),0)</f>
        <v/>
      </c>
      <c r="T88" s="23">
        <f>IF(AND(N(I88)&lt;&gt;0,L88=""),1,0)+IF(AND(N(J88)&lt;&gt;0,M88=""),1,0)</f>
        <v/>
      </c>
    </row>
    <row r="89">
      <c r="A89" s="14" t="n"/>
      <c r="B89" s="19" t="n"/>
      <c r="C89" s="14" t="n"/>
      <c r="D89" s="14" t="n"/>
      <c r="E89" s="14" t="n"/>
      <c r="F89" s="14" t="n"/>
      <c r="G89" s="14" t="n"/>
      <c r="H89" s="14" t="n"/>
      <c r="I89" s="20" t="n"/>
      <c r="J89" s="20" t="n"/>
      <c r="K89" s="14" t="n"/>
      <c r="L89" s="23">
        <f>IFERROR(INDEX('Chart of Accounts'!$C$5:$C$3000,MATCH(H89&amp;"",'Chart of Accounts'!$A$5:$A$3000,0))&amp;"|"&amp;INDEX('Chart of Accounts'!$D$5:$D$3000,MATCH(H89&amp;"",'Chart of Accounts'!$A$5:$A$3000,0)),"")</f>
        <v/>
      </c>
      <c r="M89" s="23">
        <f>IFERROR(INDEX('Chart of Accounts'!$C$5:$C$3000,MATCH(H89&amp;"",'Chart of Accounts'!$A$5:$A$3000,0))&amp;"|"&amp;INDEX('Chart of Accounts'!$D$5:$D$3000,MATCH(H89&amp;"",'Chart of Accounts'!$A$5:$A$3000,0)),"")</f>
        <v/>
      </c>
      <c r="N89" s="23">
        <f>IF(LEFT(L89,8)="Revenue|",-N(I89),0)+IF(LEFT(M89,8)="Revenue|",N(J89),0)</f>
        <v/>
      </c>
      <c r="O89" s="23">
        <f>IF(LEFT(L89,5)="COGS|",N(I89),0)+IF(LEFT(M89,5)="COGS|",-N(J89),0)</f>
        <v/>
      </c>
      <c r="P89" s="23">
        <f>IF(LEFT(L89,8)="Expense|",N(I89),0)+IF(LEFT(M89,8)="Expense|",-N(J89),0)</f>
        <v/>
      </c>
      <c r="Q89" s="23">
        <f>IF(ISNUMBER(MATCH(L89,{"Expense|employee","Expense|general_admin","Expense|marketing","Expense|utilities","Expense|other_operating"},0)),N(I89),0)+IF(ISNUMBER(MATCH(M89,{"Expense|employee","Expense|general_admin","Expense|marketing","Expense|utilities","Expense|other_operating"},0)),-N(J89),0)</f>
        <v/>
      </c>
      <c r="R89" s="23">
        <f>IF(L89="Liability|payable",-N(I89),0)+IF(M89="Liability|payable",N(J89),0)</f>
        <v/>
      </c>
      <c r="S89" s="23">
        <f>IF(L89="Liability|accrued",-N(I89),0)+IF(M89="Liability|accrued",N(J89),0)</f>
        <v/>
      </c>
      <c r="T89" s="23">
        <f>IF(AND(N(I89)&lt;&gt;0,L89=""),1,0)+IF(AND(N(J89)&lt;&gt;0,M89=""),1,0)</f>
        <v/>
      </c>
    </row>
    <row r="90">
      <c r="A90" s="14" t="n"/>
      <c r="B90" s="19" t="n"/>
      <c r="C90" s="14" t="n"/>
      <c r="D90" s="14" t="n"/>
      <c r="E90" s="14" t="n"/>
      <c r="F90" s="14" t="n"/>
      <c r="G90" s="14" t="n"/>
      <c r="H90" s="14" t="n"/>
      <c r="I90" s="20" t="n"/>
      <c r="J90" s="20" t="n"/>
      <c r="K90" s="14" t="n"/>
      <c r="L90" s="23">
        <f>IFERROR(INDEX('Chart of Accounts'!$C$5:$C$3000,MATCH(H90&amp;"",'Chart of Accounts'!$A$5:$A$3000,0))&amp;"|"&amp;INDEX('Chart of Accounts'!$D$5:$D$3000,MATCH(H90&amp;"",'Chart of Accounts'!$A$5:$A$3000,0)),"")</f>
        <v/>
      </c>
      <c r="M90" s="23">
        <f>IFERROR(INDEX('Chart of Accounts'!$C$5:$C$3000,MATCH(H90&amp;"",'Chart of Accounts'!$A$5:$A$3000,0))&amp;"|"&amp;INDEX('Chart of Accounts'!$D$5:$D$3000,MATCH(H90&amp;"",'Chart of Accounts'!$A$5:$A$3000,0)),"")</f>
        <v/>
      </c>
      <c r="N90" s="23">
        <f>IF(LEFT(L90,8)="Revenue|",-N(I90),0)+IF(LEFT(M90,8)="Revenue|",N(J90),0)</f>
        <v/>
      </c>
      <c r="O90" s="23">
        <f>IF(LEFT(L90,5)="COGS|",N(I90),0)+IF(LEFT(M90,5)="COGS|",-N(J90),0)</f>
        <v/>
      </c>
      <c r="P90" s="23">
        <f>IF(LEFT(L90,8)="Expense|",N(I90),0)+IF(LEFT(M90,8)="Expense|",-N(J90),0)</f>
        <v/>
      </c>
      <c r="Q90" s="23">
        <f>IF(ISNUMBER(MATCH(L90,{"Expense|employee","Expense|general_admin","Expense|marketing","Expense|utilities","Expense|other_operating"},0)),N(I90),0)+IF(ISNUMBER(MATCH(M90,{"Expense|employee","Expense|general_admin","Expense|marketing","Expense|utilities","Expense|other_operating"},0)),-N(J90),0)</f>
        <v/>
      </c>
      <c r="R90" s="23">
        <f>IF(L90="Liability|payable",-N(I90),0)+IF(M90="Liability|payable",N(J90),0)</f>
        <v/>
      </c>
      <c r="S90" s="23">
        <f>IF(L90="Liability|accrued",-N(I90),0)+IF(M90="Liability|accrued",N(J90),0)</f>
        <v/>
      </c>
      <c r="T90" s="23">
        <f>IF(AND(N(I90)&lt;&gt;0,L90=""),1,0)+IF(AND(N(J90)&lt;&gt;0,M90=""),1,0)</f>
        <v/>
      </c>
    </row>
    <row r="91">
      <c r="A91" s="14" t="n"/>
      <c r="B91" s="19" t="n"/>
      <c r="C91" s="14" t="n"/>
      <c r="D91" s="14" t="n"/>
      <c r="E91" s="14" t="n"/>
      <c r="F91" s="14" t="n"/>
      <c r="G91" s="14" t="n"/>
      <c r="H91" s="14" t="n"/>
      <c r="I91" s="20" t="n"/>
      <c r="J91" s="20" t="n"/>
      <c r="K91" s="14" t="n"/>
      <c r="L91" s="23">
        <f>IFERROR(INDEX('Chart of Accounts'!$C$5:$C$3000,MATCH(H91&amp;"",'Chart of Accounts'!$A$5:$A$3000,0))&amp;"|"&amp;INDEX('Chart of Accounts'!$D$5:$D$3000,MATCH(H91&amp;"",'Chart of Accounts'!$A$5:$A$3000,0)),"")</f>
        <v/>
      </c>
      <c r="M91" s="23">
        <f>IFERROR(INDEX('Chart of Accounts'!$C$5:$C$3000,MATCH(H91&amp;"",'Chart of Accounts'!$A$5:$A$3000,0))&amp;"|"&amp;INDEX('Chart of Accounts'!$D$5:$D$3000,MATCH(H91&amp;"",'Chart of Accounts'!$A$5:$A$3000,0)),"")</f>
        <v/>
      </c>
      <c r="N91" s="23">
        <f>IF(LEFT(L91,8)="Revenue|",-N(I91),0)+IF(LEFT(M91,8)="Revenue|",N(J91),0)</f>
        <v/>
      </c>
      <c r="O91" s="23">
        <f>IF(LEFT(L91,5)="COGS|",N(I91),0)+IF(LEFT(M91,5)="COGS|",-N(J91),0)</f>
        <v/>
      </c>
      <c r="P91" s="23">
        <f>IF(LEFT(L91,8)="Expense|",N(I91),0)+IF(LEFT(M91,8)="Expense|",-N(J91),0)</f>
        <v/>
      </c>
      <c r="Q91" s="23">
        <f>IF(ISNUMBER(MATCH(L91,{"Expense|employee","Expense|general_admin","Expense|marketing","Expense|utilities","Expense|other_operating"},0)),N(I91),0)+IF(ISNUMBER(MATCH(M91,{"Expense|employee","Expense|general_admin","Expense|marketing","Expense|utilities","Expense|other_operating"},0)),-N(J91),0)</f>
        <v/>
      </c>
      <c r="R91" s="23">
        <f>IF(L91="Liability|payable",-N(I91),0)+IF(M91="Liability|payable",N(J91),0)</f>
        <v/>
      </c>
      <c r="S91" s="23">
        <f>IF(L91="Liability|accrued",-N(I91),0)+IF(M91="Liability|accrued",N(J91),0)</f>
        <v/>
      </c>
      <c r="T91" s="23">
        <f>IF(AND(N(I91)&lt;&gt;0,L91=""),1,0)+IF(AND(N(J91)&lt;&gt;0,M91=""),1,0)</f>
        <v/>
      </c>
    </row>
    <row r="92">
      <c r="A92" s="14" t="n"/>
      <c r="B92" s="19" t="n"/>
      <c r="C92" s="14" t="n"/>
      <c r="D92" s="14" t="n"/>
      <c r="E92" s="14" t="n"/>
      <c r="F92" s="14" t="n"/>
      <c r="G92" s="14" t="n"/>
      <c r="H92" s="14" t="n"/>
      <c r="I92" s="20" t="n"/>
      <c r="J92" s="20" t="n"/>
      <c r="K92" s="14" t="n"/>
      <c r="L92" s="23">
        <f>IFERROR(INDEX('Chart of Accounts'!$C$5:$C$3000,MATCH(H92&amp;"",'Chart of Accounts'!$A$5:$A$3000,0))&amp;"|"&amp;INDEX('Chart of Accounts'!$D$5:$D$3000,MATCH(H92&amp;"",'Chart of Accounts'!$A$5:$A$3000,0)),"")</f>
        <v/>
      </c>
      <c r="M92" s="23">
        <f>IFERROR(INDEX('Chart of Accounts'!$C$5:$C$3000,MATCH(H92&amp;"",'Chart of Accounts'!$A$5:$A$3000,0))&amp;"|"&amp;INDEX('Chart of Accounts'!$D$5:$D$3000,MATCH(H92&amp;"",'Chart of Accounts'!$A$5:$A$3000,0)),"")</f>
        <v/>
      </c>
      <c r="N92" s="23">
        <f>IF(LEFT(L92,8)="Revenue|",-N(I92),0)+IF(LEFT(M92,8)="Revenue|",N(J92),0)</f>
        <v/>
      </c>
      <c r="O92" s="23">
        <f>IF(LEFT(L92,5)="COGS|",N(I92),0)+IF(LEFT(M92,5)="COGS|",-N(J92),0)</f>
        <v/>
      </c>
      <c r="P92" s="23">
        <f>IF(LEFT(L92,8)="Expense|",N(I92),0)+IF(LEFT(M92,8)="Expense|",-N(J92),0)</f>
        <v/>
      </c>
      <c r="Q92" s="23">
        <f>IF(ISNUMBER(MATCH(L92,{"Expense|employee","Expense|general_admin","Expense|marketing","Expense|utilities","Expense|other_operating"},0)),N(I92),0)+IF(ISNUMBER(MATCH(M92,{"Expense|employee","Expense|general_admin","Expense|marketing","Expense|utilities","Expense|other_operating"},0)),-N(J92),0)</f>
        <v/>
      </c>
      <c r="R92" s="23">
        <f>IF(L92="Liability|payable",-N(I92),0)+IF(M92="Liability|payable",N(J92),0)</f>
        <v/>
      </c>
      <c r="S92" s="23">
        <f>IF(L92="Liability|accrued",-N(I92),0)+IF(M92="Liability|accrued",N(J92),0)</f>
        <v/>
      </c>
      <c r="T92" s="23">
        <f>IF(AND(N(I92)&lt;&gt;0,L92=""),1,0)+IF(AND(N(J92)&lt;&gt;0,M92=""),1,0)</f>
        <v/>
      </c>
    </row>
    <row r="93">
      <c r="A93" s="14" t="n"/>
      <c r="B93" s="19" t="n"/>
      <c r="C93" s="14" t="n"/>
      <c r="D93" s="14" t="n"/>
      <c r="E93" s="14" t="n"/>
      <c r="F93" s="14" t="n"/>
      <c r="G93" s="14" t="n"/>
      <c r="H93" s="14" t="n"/>
      <c r="I93" s="20" t="n"/>
      <c r="J93" s="20" t="n"/>
      <c r="K93" s="14" t="n"/>
      <c r="L93" s="23">
        <f>IFERROR(INDEX('Chart of Accounts'!$C$5:$C$3000,MATCH(H93&amp;"",'Chart of Accounts'!$A$5:$A$3000,0))&amp;"|"&amp;INDEX('Chart of Accounts'!$D$5:$D$3000,MATCH(H93&amp;"",'Chart of Accounts'!$A$5:$A$3000,0)),"")</f>
        <v/>
      </c>
      <c r="M93" s="23">
        <f>IFERROR(INDEX('Chart of Accounts'!$C$5:$C$3000,MATCH(H93&amp;"",'Chart of Accounts'!$A$5:$A$3000,0))&amp;"|"&amp;INDEX('Chart of Accounts'!$D$5:$D$3000,MATCH(H93&amp;"",'Chart of Accounts'!$A$5:$A$3000,0)),"")</f>
        <v/>
      </c>
      <c r="N93" s="23">
        <f>IF(LEFT(L93,8)="Revenue|",-N(I93),0)+IF(LEFT(M93,8)="Revenue|",N(J93),0)</f>
        <v/>
      </c>
      <c r="O93" s="23">
        <f>IF(LEFT(L93,5)="COGS|",N(I93),0)+IF(LEFT(M93,5)="COGS|",-N(J93),0)</f>
        <v/>
      </c>
      <c r="P93" s="23">
        <f>IF(LEFT(L93,8)="Expense|",N(I93),0)+IF(LEFT(M93,8)="Expense|",-N(J93),0)</f>
        <v/>
      </c>
      <c r="Q93" s="23">
        <f>IF(ISNUMBER(MATCH(L93,{"Expense|employee","Expense|general_admin","Expense|marketing","Expense|utilities","Expense|other_operating"},0)),N(I93),0)+IF(ISNUMBER(MATCH(M93,{"Expense|employee","Expense|general_admin","Expense|marketing","Expense|utilities","Expense|other_operating"},0)),-N(J93),0)</f>
        <v/>
      </c>
      <c r="R93" s="23">
        <f>IF(L93="Liability|payable",-N(I93),0)+IF(M93="Liability|payable",N(J93),0)</f>
        <v/>
      </c>
      <c r="S93" s="23">
        <f>IF(L93="Liability|accrued",-N(I93),0)+IF(M93="Liability|accrued",N(J93),0)</f>
        <v/>
      </c>
      <c r="T93" s="23">
        <f>IF(AND(N(I93)&lt;&gt;0,L93=""),1,0)+IF(AND(N(J93)&lt;&gt;0,M93=""),1,0)</f>
        <v/>
      </c>
    </row>
    <row r="94">
      <c r="A94" s="14" t="n"/>
      <c r="B94" s="19" t="n"/>
      <c r="C94" s="14" t="n"/>
      <c r="D94" s="14" t="n"/>
      <c r="E94" s="14" t="n"/>
      <c r="F94" s="14" t="n"/>
      <c r="G94" s="14" t="n"/>
      <c r="H94" s="14" t="n"/>
      <c r="I94" s="20" t="n"/>
      <c r="J94" s="20" t="n"/>
      <c r="K94" s="14" t="n"/>
      <c r="L94" s="23">
        <f>IFERROR(INDEX('Chart of Accounts'!$C$5:$C$3000,MATCH(H94&amp;"",'Chart of Accounts'!$A$5:$A$3000,0))&amp;"|"&amp;INDEX('Chart of Accounts'!$D$5:$D$3000,MATCH(H94&amp;"",'Chart of Accounts'!$A$5:$A$3000,0)),"")</f>
        <v/>
      </c>
      <c r="M94" s="23">
        <f>IFERROR(INDEX('Chart of Accounts'!$C$5:$C$3000,MATCH(H94&amp;"",'Chart of Accounts'!$A$5:$A$3000,0))&amp;"|"&amp;INDEX('Chart of Accounts'!$D$5:$D$3000,MATCH(H94&amp;"",'Chart of Accounts'!$A$5:$A$3000,0)),"")</f>
        <v/>
      </c>
      <c r="N94" s="23">
        <f>IF(LEFT(L94,8)="Revenue|",-N(I94),0)+IF(LEFT(M94,8)="Revenue|",N(J94),0)</f>
        <v/>
      </c>
      <c r="O94" s="23">
        <f>IF(LEFT(L94,5)="COGS|",N(I94),0)+IF(LEFT(M94,5)="COGS|",-N(J94),0)</f>
        <v/>
      </c>
      <c r="P94" s="23">
        <f>IF(LEFT(L94,8)="Expense|",N(I94),0)+IF(LEFT(M94,8)="Expense|",-N(J94),0)</f>
        <v/>
      </c>
      <c r="Q94" s="23">
        <f>IF(ISNUMBER(MATCH(L94,{"Expense|employee","Expense|general_admin","Expense|marketing","Expense|utilities","Expense|other_operating"},0)),N(I94),0)+IF(ISNUMBER(MATCH(M94,{"Expense|employee","Expense|general_admin","Expense|marketing","Expense|utilities","Expense|other_operating"},0)),-N(J94),0)</f>
        <v/>
      </c>
      <c r="R94" s="23">
        <f>IF(L94="Liability|payable",-N(I94),0)+IF(M94="Liability|payable",N(J94),0)</f>
        <v/>
      </c>
      <c r="S94" s="23">
        <f>IF(L94="Liability|accrued",-N(I94),0)+IF(M94="Liability|accrued",N(J94),0)</f>
        <v/>
      </c>
      <c r="T94" s="23">
        <f>IF(AND(N(I94)&lt;&gt;0,L94=""),1,0)+IF(AND(N(J94)&lt;&gt;0,M94=""),1,0)</f>
        <v/>
      </c>
    </row>
    <row r="95">
      <c r="A95" s="14" t="n"/>
      <c r="B95" s="19" t="n"/>
      <c r="C95" s="14" t="n"/>
      <c r="D95" s="14" t="n"/>
      <c r="E95" s="14" t="n"/>
      <c r="F95" s="14" t="n"/>
      <c r="G95" s="14" t="n"/>
      <c r="H95" s="14" t="n"/>
      <c r="I95" s="20" t="n"/>
      <c r="J95" s="20" t="n"/>
      <c r="K95" s="14" t="n"/>
      <c r="L95" s="23">
        <f>IFERROR(INDEX('Chart of Accounts'!$C$5:$C$3000,MATCH(H95&amp;"",'Chart of Accounts'!$A$5:$A$3000,0))&amp;"|"&amp;INDEX('Chart of Accounts'!$D$5:$D$3000,MATCH(H95&amp;"",'Chart of Accounts'!$A$5:$A$3000,0)),"")</f>
        <v/>
      </c>
      <c r="M95" s="23">
        <f>IFERROR(INDEX('Chart of Accounts'!$C$5:$C$3000,MATCH(H95&amp;"",'Chart of Accounts'!$A$5:$A$3000,0))&amp;"|"&amp;INDEX('Chart of Accounts'!$D$5:$D$3000,MATCH(H95&amp;"",'Chart of Accounts'!$A$5:$A$3000,0)),"")</f>
        <v/>
      </c>
      <c r="N95" s="23">
        <f>IF(LEFT(L95,8)="Revenue|",-N(I95),0)+IF(LEFT(M95,8)="Revenue|",N(J95),0)</f>
        <v/>
      </c>
      <c r="O95" s="23">
        <f>IF(LEFT(L95,5)="COGS|",N(I95),0)+IF(LEFT(M95,5)="COGS|",-N(J95),0)</f>
        <v/>
      </c>
      <c r="P95" s="23">
        <f>IF(LEFT(L95,8)="Expense|",N(I95),0)+IF(LEFT(M95,8)="Expense|",-N(J95),0)</f>
        <v/>
      </c>
      <c r="Q95" s="23">
        <f>IF(ISNUMBER(MATCH(L95,{"Expense|employee","Expense|general_admin","Expense|marketing","Expense|utilities","Expense|other_operating"},0)),N(I95),0)+IF(ISNUMBER(MATCH(M95,{"Expense|employee","Expense|general_admin","Expense|marketing","Expense|utilities","Expense|other_operating"},0)),-N(J95),0)</f>
        <v/>
      </c>
      <c r="R95" s="23">
        <f>IF(L95="Liability|payable",-N(I95),0)+IF(M95="Liability|payable",N(J95),0)</f>
        <v/>
      </c>
      <c r="S95" s="23">
        <f>IF(L95="Liability|accrued",-N(I95),0)+IF(M95="Liability|accrued",N(J95),0)</f>
        <v/>
      </c>
      <c r="T95" s="23">
        <f>IF(AND(N(I95)&lt;&gt;0,L95=""),1,0)+IF(AND(N(J95)&lt;&gt;0,M95=""),1,0)</f>
        <v/>
      </c>
    </row>
    <row r="96">
      <c r="A96" s="14" t="n"/>
      <c r="B96" s="19" t="n"/>
      <c r="C96" s="14" t="n"/>
      <c r="D96" s="14" t="n"/>
      <c r="E96" s="14" t="n"/>
      <c r="F96" s="14" t="n"/>
      <c r="G96" s="14" t="n"/>
      <c r="H96" s="14" t="n"/>
      <c r="I96" s="20" t="n"/>
      <c r="J96" s="20" t="n"/>
      <c r="K96" s="14" t="n"/>
      <c r="L96" s="23">
        <f>IFERROR(INDEX('Chart of Accounts'!$C$5:$C$3000,MATCH(H96&amp;"",'Chart of Accounts'!$A$5:$A$3000,0))&amp;"|"&amp;INDEX('Chart of Accounts'!$D$5:$D$3000,MATCH(H96&amp;"",'Chart of Accounts'!$A$5:$A$3000,0)),"")</f>
        <v/>
      </c>
      <c r="M96" s="23">
        <f>IFERROR(INDEX('Chart of Accounts'!$C$5:$C$3000,MATCH(H96&amp;"",'Chart of Accounts'!$A$5:$A$3000,0))&amp;"|"&amp;INDEX('Chart of Accounts'!$D$5:$D$3000,MATCH(H96&amp;"",'Chart of Accounts'!$A$5:$A$3000,0)),"")</f>
        <v/>
      </c>
      <c r="N96" s="23">
        <f>IF(LEFT(L96,8)="Revenue|",-N(I96),0)+IF(LEFT(M96,8)="Revenue|",N(J96),0)</f>
        <v/>
      </c>
      <c r="O96" s="23">
        <f>IF(LEFT(L96,5)="COGS|",N(I96),0)+IF(LEFT(M96,5)="COGS|",-N(J96),0)</f>
        <v/>
      </c>
      <c r="P96" s="23">
        <f>IF(LEFT(L96,8)="Expense|",N(I96),0)+IF(LEFT(M96,8)="Expense|",-N(J96),0)</f>
        <v/>
      </c>
      <c r="Q96" s="23">
        <f>IF(ISNUMBER(MATCH(L96,{"Expense|employee","Expense|general_admin","Expense|marketing","Expense|utilities","Expense|other_operating"},0)),N(I96),0)+IF(ISNUMBER(MATCH(M96,{"Expense|employee","Expense|general_admin","Expense|marketing","Expense|utilities","Expense|other_operating"},0)),-N(J96),0)</f>
        <v/>
      </c>
      <c r="R96" s="23">
        <f>IF(L96="Liability|payable",-N(I96),0)+IF(M96="Liability|payable",N(J96),0)</f>
        <v/>
      </c>
      <c r="S96" s="23">
        <f>IF(L96="Liability|accrued",-N(I96),0)+IF(M96="Liability|accrued",N(J96),0)</f>
        <v/>
      </c>
      <c r="T96" s="23">
        <f>IF(AND(N(I96)&lt;&gt;0,L96=""),1,0)+IF(AND(N(J96)&lt;&gt;0,M96=""),1,0)</f>
        <v/>
      </c>
    </row>
    <row r="97">
      <c r="A97" s="14" t="n"/>
      <c r="B97" s="19" t="n"/>
      <c r="C97" s="14" t="n"/>
      <c r="D97" s="14" t="n"/>
      <c r="E97" s="14" t="n"/>
      <c r="F97" s="14" t="n"/>
      <c r="G97" s="14" t="n"/>
      <c r="H97" s="14" t="n"/>
      <c r="I97" s="20" t="n"/>
      <c r="J97" s="20" t="n"/>
      <c r="K97" s="14" t="n"/>
      <c r="L97" s="23">
        <f>IFERROR(INDEX('Chart of Accounts'!$C$5:$C$3000,MATCH(H97&amp;"",'Chart of Accounts'!$A$5:$A$3000,0))&amp;"|"&amp;INDEX('Chart of Accounts'!$D$5:$D$3000,MATCH(H97&amp;"",'Chart of Accounts'!$A$5:$A$3000,0)),"")</f>
        <v/>
      </c>
      <c r="M97" s="23">
        <f>IFERROR(INDEX('Chart of Accounts'!$C$5:$C$3000,MATCH(H97&amp;"",'Chart of Accounts'!$A$5:$A$3000,0))&amp;"|"&amp;INDEX('Chart of Accounts'!$D$5:$D$3000,MATCH(H97&amp;"",'Chart of Accounts'!$A$5:$A$3000,0)),"")</f>
        <v/>
      </c>
      <c r="N97" s="23">
        <f>IF(LEFT(L97,8)="Revenue|",-N(I97),0)+IF(LEFT(M97,8)="Revenue|",N(J97),0)</f>
        <v/>
      </c>
      <c r="O97" s="23">
        <f>IF(LEFT(L97,5)="COGS|",N(I97),0)+IF(LEFT(M97,5)="COGS|",-N(J97),0)</f>
        <v/>
      </c>
      <c r="P97" s="23">
        <f>IF(LEFT(L97,8)="Expense|",N(I97),0)+IF(LEFT(M97,8)="Expense|",-N(J97),0)</f>
        <v/>
      </c>
      <c r="Q97" s="23">
        <f>IF(ISNUMBER(MATCH(L97,{"Expense|employee","Expense|general_admin","Expense|marketing","Expense|utilities","Expense|other_operating"},0)),N(I97),0)+IF(ISNUMBER(MATCH(M97,{"Expense|employee","Expense|general_admin","Expense|marketing","Expense|utilities","Expense|other_operating"},0)),-N(J97),0)</f>
        <v/>
      </c>
      <c r="R97" s="23">
        <f>IF(L97="Liability|payable",-N(I97),0)+IF(M97="Liability|payable",N(J97),0)</f>
        <v/>
      </c>
      <c r="S97" s="23">
        <f>IF(L97="Liability|accrued",-N(I97),0)+IF(M97="Liability|accrued",N(J97),0)</f>
        <v/>
      </c>
      <c r="T97" s="23">
        <f>IF(AND(N(I97)&lt;&gt;0,L97=""),1,0)+IF(AND(N(J97)&lt;&gt;0,M97=""),1,0)</f>
        <v/>
      </c>
    </row>
    <row r="98">
      <c r="A98" s="14" t="n"/>
      <c r="B98" s="19" t="n"/>
      <c r="C98" s="14" t="n"/>
      <c r="D98" s="14" t="n"/>
      <c r="E98" s="14" t="n"/>
      <c r="F98" s="14" t="n"/>
      <c r="G98" s="14" t="n"/>
      <c r="H98" s="14" t="n"/>
      <c r="I98" s="20" t="n"/>
      <c r="J98" s="20" t="n"/>
      <c r="K98" s="14" t="n"/>
      <c r="L98" s="23">
        <f>IFERROR(INDEX('Chart of Accounts'!$C$5:$C$3000,MATCH(H98&amp;"",'Chart of Accounts'!$A$5:$A$3000,0))&amp;"|"&amp;INDEX('Chart of Accounts'!$D$5:$D$3000,MATCH(H98&amp;"",'Chart of Accounts'!$A$5:$A$3000,0)),"")</f>
        <v/>
      </c>
      <c r="M98" s="23">
        <f>IFERROR(INDEX('Chart of Accounts'!$C$5:$C$3000,MATCH(H98&amp;"",'Chart of Accounts'!$A$5:$A$3000,0))&amp;"|"&amp;INDEX('Chart of Accounts'!$D$5:$D$3000,MATCH(H98&amp;"",'Chart of Accounts'!$A$5:$A$3000,0)),"")</f>
        <v/>
      </c>
      <c r="N98" s="23">
        <f>IF(LEFT(L98,8)="Revenue|",-N(I98),0)+IF(LEFT(M98,8)="Revenue|",N(J98),0)</f>
        <v/>
      </c>
      <c r="O98" s="23">
        <f>IF(LEFT(L98,5)="COGS|",N(I98),0)+IF(LEFT(M98,5)="COGS|",-N(J98),0)</f>
        <v/>
      </c>
      <c r="P98" s="23">
        <f>IF(LEFT(L98,8)="Expense|",N(I98),0)+IF(LEFT(M98,8)="Expense|",-N(J98),0)</f>
        <v/>
      </c>
      <c r="Q98" s="23">
        <f>IF(ISNUMBER(MATCH(L98,{"Expense|employee","Expense|general_admin","Expense|marketing","Expense|utilities","Expense|other_operating"},0)),N(I98),0)+IF(ISNUMBER(MATCH(M98,{"Expense|employee","Expense|general_admin","Expense|marketing","Expense|utilities","Expense|other_operating"},0)),-N(J98),0)</f>
        <v/>
      </c>
      <c r="R98" s="23">
        <f>IF(L98="Liability|payable",-N(I98),0)+IF(M98="Liability|payable",N(J98),0)</f>
        <v/>
      </c>
      <c r="S98" s="23">
        <f>IF(L98="Liability|accrued",-N(I98),0)+IF(M98="Liability|accrued",N(J98),0)</f>
        <v/>
      </c>
      <c r="T98" s="23">
        <f>IF(AND(N(I98)&lt;&gt;0,L98=""),1,0)+IF(AND(N(J98)&lt;&gt;0,M98=""),1,0)</f>
        <v/>
      </c>
    </row>
    <row r="99">
      <c r="A99" s="14" t="n"/>
      <c r="B99" s="19" t="n"/>
      <c r="C99" s="14" t="n"/>
      <c r="D99" s="14" t="n"/>
      <c r="E99" s="14" t="n"/>
      <c r="F99" s="14" t="n"/>
      <c r="G99" s="14" t="n"/>
      <c r="H99" s="14" t="n"/>
      <c r="I99" s="20" t="n"/>
      <c r="J99" s="20" t="n"/>
      <c r="K99" s="14" t="n"/>
      <c r="L99" s="23">
        <f>IFERROR(INDEX('Chart of Accounts'!$C$5:$C$3000,MATCH(H99&amp;"",'Chart of Accounts'!$A$5:$A$3000,0))&amp;"|"&amp;INDEX('Chart of Accounts'!$D$5:$D$3000,MATCH(H99&amp;"",'Chart of Accounts'!$A$5:$A$3000,0)),"")</f>
        <v/>
      </c>
      <c r="M99" s="23">
        <f>IFERROR(INDEX('Chart of Accounts'!$C$5:$C$3000,MATCH(H99&amp;"",'Chart of Accounts'!$A$5:$A$3000,0))&amp;"|"&amp;INDEX('Chart of Accounts'!$D$5:$D$3000,MATCH(H99&amp;"",'Chart of Accounts'!$A$5:$A$3000,0)),"")</f>
        <v/>
      </c>
      <c r="N99" s="23">
        <f>IF(LEFT(L99,8)="Revenue|",-N(I99),0)+IF(LEFT(M99,8)="Revenue|",N(J99),0)</f>
        <v/>
      </c>
      <c r="O99" s="23">
        <f>IF(LEFT(L99,5)="COGS|",N(I99),0)+IF(LEFT(M99,5)="COGS|",-N(J99),0)</f>
        <v/>
      </c>
      <c r="P99" s="23">
        <f>IF(LEFT(L99,8)="Expense|",N(I99),0)+IF(LEFT(M99,8)="Expense|",-N(J99),0)</f>
        <v/>
      </c>
      <c r="Q99" s="23">
        <f>IF(ISNUMBER(MATCH(L99,{"Expense|employee","Expense|general_admin","Expense|marketing","Expense|utilities","Expense|other_operating"},0)),N(I99),0)+IF(ISNUMBER(MATCH(M99,{"Expense|employee","Expense|general_admin","Expense|marketing","Expense|utilities","Expense|other_operating"},0)),-N(J99),0)</f>
        <v/>
      </c>
      <c r="R99" s="23">
        <f>IF(L99="Liability|payable",-N(I99),0)+IF(M99="Liability|payable",N(J99),0)</f>
        <v/>
      </c>
      <c r="S99" s="23">
        <f>IF(L99="Liability|accrued",-N(I99),0)+IF(M99="Liability|accrued",N(J99),0)</f>
        <v/>
      </c>
      <c r="T99" s="23">
        <f>IF(AND(N(I99)&lt;&gt;0,L99=""),1,0)+IF(AND(N(J99)&lt;&gt;0,M99=""),1,0)</f>
        <v/>
      </c>
    </row>
    <row r="100">
      <c r="A100" s="14" t="n"/>
      <c r="B100" s="19" t="n"/>
      <c r="C100" s="14" t="n"/>
      <c r="D100" s="14" t="n"/>
      <c r="E100" s="14" t="n"/>
      <c r="F100" s="14" t="n"/>
      <c r="G100" s="14" t="n"/>
      <c r="H100" s="14" t="n"/>
      <c r="I100" s="20" t="n"/>
      <c r="J100" s="20" t="n"/>
      <c r="K100" s="14" t="n"/>
      <c r="L100" s="23">
        <f>IFERROR(INDEX('Chart of Accounts'!$C$5:$C$3000,MATCH(H100&amp;"",'Chart of Accounts'!$A$5:$A$3000,0))&amp;"|"&amp;INDEX('Chart of Accounts'!$D$5:$D$3000,MATCH(H100&amp;"",'Chart of Accounts'!$A$5:$A$3000,0)),"")</f>
        <v/>
      </c>
      <c r="M100" s="23">
        <f>IFERROR(INDEX('Chart of Accounts'!$C$5:$C$3000,MATCH(H100&amp;"",'Chart of Accounts'!$A$5:$A$3000,0))&amp;"|"&amp;INDEX('Chart of Accounts'!$D$5:$D$3000,MATCH(H100&amp;"",'Chart of Accounts'!$A$5:$A$3000,0)),"")</f>
        <v/>
      </c>
      <c r="N100" s="23">
        <f>IF(LEFT(L100,8)="Revenue|",-N(I100),0)+IF(LEFT(M100,8)="Revenue|",N(J100),0)</f>
        <v/>
      </c>
      <c r="O100" s="23">
        <f>IF(LEFT(L100,5)="COGS|",N(I100),0)+IF(LEFT(M100,5)="COGS|",-N(J100),0)</f>
        <v/>
      </c>
      <c r="P100" s="23">
        <f>IF(LEFT(L100,8)="Expense|",N(I100),0)+IF(LEFT(M100,8)="Expense|",-N(J100),0)</f>
        <v/>
      </c>
      <c r="Q100" s="23">
        <f>IF(ISNUMBER(MATCH(L100,{"Expense|employee","Expense|general_admin","Expense|marketing","Expense|utilities","Expense|other_operating"},0)),N(I100),0)+IF(ISNUMBER(MATCH(M100,{"Expense|employee","Expense|general_admin","Expense|marketing","Expense|utilities","Expense|other_operating"},0)),-N(J100),0)</f>
        <v/>
      </c>
      <c r="R100" s="23">
        <f>IF(L100="Liability|payable",-N(I100),0)+IF(M100="Liability|payable",N(J100),0)</f>
        <v/>
      </c>
      <c r="S100" s="23">
        <f>IF(L100="Liability|accrued",-N(I100),0)+IF(M100="Liability|accrued",N(J100),0)</f>
        <v/>
      </c>
      <c r="T100" s="23">
        <f>IF(AND(N(I100)&lt;&gt;0,L100=""),1,0)+IF(AND(N(J100)&lt;&gt;0,M100=""),1,0)</f>
        <v/>
      </c>
    </row>
    <row r="101">
      <c r="A101" s="14" t="n"/>
      <c r="B101" s="19" t="n"/>
      <c r="C101" s="14" t="n"/>
      <c r="D101" s="14" t="n"/>
      <c r="E101" s="14" t="n"/>
      <c r="F101" s="14" t="n"/>
      <c r="G101" s="14" t="n"/>
      <c r="H101" s="14" t="n"/>
      <c r="I101" s="20" t="n"/>
      <c r="J101" s="20" t="n"/>
      <c r="K101" s="14" t="n"/>
      <c r="L101" s="23">
        <f>IFERROR(INDEX('Chart of Accounts'!$C$5:$C$3000,MATCH(H101&amp;"",'Chart of Accounts'!$A$5:$A$3000,0))&amp;"|"&amp;INDEX('Chart of Accounts'!$D$5:$D$3000,MATCH(H101&amp;"",'Chart of Accounts'!$A$5:$A$3000,0)),"")</f>
        <v/>
      </c>
      <c r="M101" s="23">
        <f>IFERROR(INDEX('Chart of Accounts'!$C$5:$C$3000,MATCH(H101&amp;"",'Chart of Accounts'!$A$5:$A$3000,0))&amp;"|"&amp;INDEX('Chart of Accounts'!$D$5:$D$3000,MATCH(H101&amp;"",'Chart of Accounts'!$A$5:$A$3000,0)),"")</f>
        <v/>
      </c>
      <c r="N101" s="23">
        <f>IF(LEFT(L101,8)="Revenue|",-N(I101),0)+IF(LEFT(M101,8)="Revenue|",N(J101),0)</f>
        <v/>
      </c>
      <c r="O101" s="23">
        <f>IF(LEFT(L101,5)="COGS|",N(I101),0)+IF(LEFT(M101,5)="COGS|",-N(J101),0)</f>
        <v/>
      </c>
      <c r="P101" s="23">
        <f>IF(LEFT(L101,8)="Expense|",N(I101),0)+IF(LEFT(M101,8)="Expense|",-N(J101),0)</f>
        <v/>
      </c>
      <c r="Q101" s="23">
        <f>IF(ISNUMBER(MATCH(L101,{"Expense|employee","Expense|general_admin","Expense|marketing","Expense|utilities","Expense|other_operating"},0)),N(I101),0)+IF(ISNUMBER(MATCH(M101,{"Expense|employee","Expense|general_admin","Expense|marketing","Expense|utilities","Expense|other_operating"},0)),-N(J101),0)</f>
        <v/>
      </c>
      <c r="R101" s="23">
        <f>IF(L101="Liability|payable",-N(I101),0)+IF(M101="Liability|payable",N(J101),0)</f>
        <v/>
      </c>
      <c r="S101" s="23">
        <f>IF(L101="Liability|accrued",-N(I101),0)+IF(M101="Liability|accrued",N(J101),0)</f>
        <v/>
      </c>
      <c r="T101" s="23">
        <f>IF(AND(N(I101)&lt;&gt;0,L101=""),1,0)+IF(AND(N(J101)&lt;&gt;0,M101=""),1,0)</f>
        <v/>
      </c>
    </row>
    <row r="102">
      <c r="A102" s="14" t="n"/>
      <c r="B102" s="19" t="n"/>
      <c r="C102" s="14" t="n"/>
      <c r="D102" s="14" t="n"/>
      <c r="E102" s="14" t="n"/>
      <c r="F102" s="14" t="n"/>
      <c r="G102" s="14" t="n"/>
      <c r="H102" s="14" t="n"/>
      <c r="I102" s="20" t="n"/>
      <c r="J102" s="20" t="n"/>
      <c r="K102" s="14" t="n"/>
      <c r="L102" s="23">
        <f>IFERROR(INDEX('Chart of Accounts'!$C$5:$C$3000,MATCH(H102&amp;"",'Chart of Accounts'!$A$5:$A$3000,0))&amp;"|"&amp;INDEX('Chart of Accounts'!$D$5:$D$3000,MATCH(H102&amp;"",'Chart of Accounts'!$A$5:$A$3000,0)),"")</f>
        <v/>
      </c>
      <c r="M102" s="23">
        <f>IFERROR(INDEX('Chart of Accounts'!$C$5:$C$3000,MATCH(H102&amp;"",'Chart of Accounts'!$A$5:$A$3000,0))&amp;"|"&amp;INDEX('Chart of Accounts'!$D$5:$D$3000,MATCH(H102&amp;"",'Chart of Accounts'!$A$5:$A$3000,0)),"")</f>
        <v/>
      </c>
      <c r="N102" s="23">
        <f>IF(LEFT(L102,8)="Revenue|",-N(I102),0)+IF(LEFT(M102,8)="Revenue|",N(J102),0)</f>
        <v/>
      </c>
      <c r="O102" s="23">
        <f>IF(LEFT(L102,5)="COGS|",N(I102),0)+IF(LEFT(M102,5)="COGS|",-N(J102),0)</f>
        <v/>
      </c>
      <c r="P102" s="23">
        <f>IF(LEFT(L102,8)="Expense|",N(I102),0)+IF(LEFT(M102,8)="Expense|",-N(J102),0)</f>
        <v/>
      </c>
      <c r="Q102" s="23">
        <f>IF(ISNUMBER(MATCH(L102,{"Expense|employee","Expense|general_admin","Expense|marketing","Expense|utilities","Expense|other_operating"},0)),N(I102),0)+IF(ISNUMBER(MATCH(M102,{"Expense|employee","Expense|general_admin","Expense|marketing","Expense|utilities","Expense|other_operating"},0)),-N(J102),0)</f>
        <v/>
      </c>
      <c r="R102" s="23">
        <f>IF(L102="Liability|payable",-N(I102),0)+IF(M102="Liability|payable",N(J102),0)</f>
        <v/>
      </c>
      <c r="S102" s="23">
        <f>IF(L102="Liability|accrued",-N(I102),0)+IF(M102="Liability|accrued",N(J102),0)</f>
        <v/>
      </c>
      <c r="T102" s="23">
        <f>IF(AND(N(I102)&lt;&gt;0,L102=""),1,0)+IF(AND(N(J102)&lt;&gt;0,M102=""),1,0)</f>
        <v/>
      </c>
    </row>
    <row r="103">
      <c r="A103" s="14" t="n"/>
      <c r="B103" s="19" t="n"/>
      <c r="C103" s="14" t="n"/>
      <c r="D103" s="14" t="n"/>
      <c r="E103" s="14" t="n"/>
      <c r="F103" s="14" t="n"/>
      <c r="G103" s="14" t="n"/>
      <c r="H103" s="14" t="n"/>
      <c r="I103" s="20" t="n"/>
      <c r="J103" s="20" t="n"/>
      <c r="K103" s="14" t="n"/>
      <c r="L103" s="23">
        <f>IFERROR(INDEX('Chart of Accounts'!$C$5:$C$3000,MATCH(H103&amp;"",'Chart of Accounts'!$A$5:$A$3000,0))&amp;"|"&amp;INDEX('Chart of Accounts'!$D$5:$D$3000,MATCH(H103&amp;"",'Chart of Accounts'!$A$5:$A$3000,0)),"")</f>
        <v/>
      </c>
      <c r="M103" s="23">
        <f>IFERROR(INDEX('Chart of Accounts'!$C$5:$C$3000,MATCH(H103&amp;"",'Chart of Accounts'!$A$5:$A$3000,0))&amp;"|"&amp;INDEX('Chart of Accounts'!$D$5:$D$3000,MATCH(H103&amp;"",'Chart of Accounts'!$A$5:$A$3000,0)),"")</f>
        <v/>
      </c>
      <c r="N103" s="23">
        <f>IF(LEFT(L103,8)="Revenue|",-N(I103),0)+IF(LEFT(M103,8)="Revenue|",N(J103),0)</f>
        <v/>
      </c>
      <c r="O103" s="23">
        <f>IF(LEFT(L103,5)="COGS|",N(I103),0)+IF(LEFT(M103,5)="COGS|",-N(J103),0)</f>
        <v/>
      </c>
      <c r="P103" s="23">
        <f>IF(LEFT(L103,8)="Expense|",N(I103),0)+IF(LEFT(M103,8)="Expense|",-N(J103),0)</f>
        <v/>
      </c>
      <c r="Q103" s="23">
        <f>IF(ISNUMBER(MATCH(L103,{"Expense|employee","Expense|general_admin","Expense|marketing","Expense|utilities","Expense|other_operating"},0)),N(I103),0)+IF(ISNUMBER(MATCH(M103,{"Expense|employee","Expense|general_admin","Expense|marketing","Expense|utilities","Expense|other_operating"},0)),-N(J103),0)</f>
        <v/>
      </c>
      <c r="R103" s="23">
        <f>IF(L103="Liability|payable",-N(I103),0)+IF(M103="Liability|payable",N(J103),0)</f>
        <v/>
      </c>
      <c r="S103" s="23">
        <f>IF(L103="Liability|accrued",-N(I103),0)+IF(M103="Liability|accrued",N(J103),0)</f>
        <v/>
      </c>
      <c r="T103" s="23">
        <f>IF(AND(N(I103)&lt;&gt;0,L103=""),1,0)+IF(AND(N(J103)&lt;&gt;0,M103=""),1,0)</f>
        <v/>
      </c>
    </row>
    <row r="104">
      <c r="A104" s="14" t="n"/>
      <c r="B104" s="19" t="n"/>
      <c r="C104" s="14" t="n"/>
      <c r="D104" s="14" t="n"/>
      <c r="E104" s="14" t="n"/>
      <c r="F104" s="14" t="n"/>
      <c r="G104" s="14" t="n"/>
      <c r="H104" s="14" t="n"/>
      <c r="I104" s="20" t="n"/>
      <c r="J104" s="20" t="n"/>
      <c r="K104" s="14" t="n"/>
      <c r="L104" s="23">
        <f>IFERROR(INDEX('Chart of Accounts'!$C$5:$C$3000,MATCH(H104&amp;"",'Chart of Accounts'!$A$5:$A$3000,0))&amp;"|"&amp;INDEX('Chart of Accounts'!$D$5:$D$3000,MATCH(H104&amp;"",'Chart of Accounts'!$A$5:$A$3000,0)),"")</f>
        <v/>
      </c>
      <c r="M104" s="23">
        <f>IFERROR(INDEX('Chart of Accounts'!$C$5:$C$3000,MATCH(H104&amp;"",'Chart of Accounts'!$A$5:$A$3000,0))&amp;"|"&amp;INDEX('Chart of Accounts'!$D$5:$D$3000,MATCH(H104&amp;"",'Chart of Accounts'!$A$5:$A$3000,0)),"")</f>
        <v/>
      </c>
      <c r="N104" s="23">
        <f>IF(LEFT(L104,8)="Revenue|",-N(I104),0)+IF(LEFT(M104,8)="Revenue|",N(J104),0)</f>
        <v/>
      </c>
      <c r="O104" s="23">
        <f>IF(LEFT(L104,5)="COGS|",N(I104),0)+IF(LEFT(M104,5)="COGS|",-N(J104),0)</f>
        <v/>
      </c>
      <c r="P104" s="23">
        <f>IF(LEFT(L104,8)="Expense|",N(I104),0)+IF(LEFT(M104,8)="Expense|",-N(J104),0)</f>
        <v/>
      </c>
      <c r="Q104" s="23">
        <f>IF(ISNUMBER(MATCH(L104,{"Expense|employee","Expense|general_admin","Expense|marketing","Expense|utilities","Expense|other_operating"},0)),N(I104),0)+IF(ISNUMBER(MATCH(M104,{"Expense|employee","Expense|general_admin","Expense|marketing","Expense|utilities","Expense|other_operating"},0)),-N(J104),0)</f>
        <v/>
      </c>
      <c r="R104" s="23">
        <f>IF(L104="Liability|payable",-N(I104),0)+IF(M104="Liability|payable",N(J104),0)</f>
        <v/>
      </c>
      <c r="S104" s="23">
        <f>IF(L104="Liability|accrued",-N(I104),0)+IF(M104="Liability|accrued",N(J104),0)</f>
        <v/>
      </c>
      <c r="T104" s="23">
        <f>IF(AND(N(I104)&lt;&gt;0,L104=""),1,0)+IF(AND(N(J104)&lt;&gt;0,M104=""),1,0)</f>
        <v/>
      </c>
    </row>
    <row r="105">
      <c r="A105" s="14" t="n"/>
      <c r="B105" s="19" t="n"/>
      <c r="C105" s="14" t="n"/>
      <c r="D105" s="14" t="n"/>
      <c r="E105" s="14" t="n"/>
      <c r="F105" s="14" t="n"/>
      <c r="G105" s="14" t="n"/>
      <c r="H105" s="14" t="n"/>
      <c r="I105" s="20" t="n"/>
      <c r="J105" s="20" t="n"/>
      <c r="K105" s="14" t="n"/>
      <c r="L105" s="23">
        <f>IFERROR(INDEX('Chart of Accounts'!$C$5:$C$3000,MATCH(H105&amp;"",'Chart of Accounts'!$A$5:$A$3000,0))&amp;"|"&amp;INDEX('Chart of Accounts'!$D$5:$D$3000,MATCH(H105&amp;"",'Chart of Accounts'!$A$5:$A$3000,0)),"")</f>
        <v/>
      </c>
      <c r="M105" s="23">
        <f>IFERROR(INDEX('Chart of Accounts'!$C$5:$C$3000,MATCH(H105&amp;"",'Chart of Accounts'!$A$5:$A$3000,0))&amp;"|"&amp;INDEX('Chart of Accounts'!$D$5:$D$3000,MATCH(H105&amp;"",'Chart of Accounts'!$A$5:$A$3000,0)),"")</f>
        <v/>
      </c>
      <c r="N105" s="23">
        <f>IF(LEFT(L105,8)="Revenue|",-N(I105),0)+IF(LEFT(M105,8)="Revenue|",N(J105),0)</f>
        <v/>
      </c>
      <c r="O105" s="23">
        <f>IF(LEFT(L105,5)="COGS|",N(I105),0)+IF(LEFT(M105,5)="COGS|",-N(J105),0)</f>
        <v/>
      </c>
      <c r="P105" s="23">
        <f>IF(LEFT(L105,8)="Expense|",N(I105),0)+IF(LEFT(M105,8)="Expense|",-N(J105),0)</f>
        <v/>
      </c>
      <c r="Q105" s="23">
        <f>IF(ISNUMBER(MATCH(L105,{"Expense|employee","Expense|general_admin","Expense|marketing","Expense|utilities","Expense|other_operating"},0)),N(I105),0)+IF(ISNUMBER(MATCH(M105,{"Expense|employee","Expense|general_admin","Expense|marketing","Expense|utilities","Expense|other_operating"},0)),-N(J105),0)</f>
        <v/>
      </c>
      <c r="R105" s="23">
        <f>IF(L105="Liability|payable",-N(I105),0)+IF(M105="Liability|payable",N(J105),0)</f>
        <v/>
      </c>
      <c r="S105" s="23">
        <f>IF(L105="Liability|accrued",-N(I105),0)+IF(M105="Liability|accrued",N(J105),0)</f>
        <v/>
      </c>
      <c r="T105" s="23">
        <f>IF(AND(N(I105)&lt;&gt;0,L105=""),1,0)+IF(AND(N(J105)&lt;&gt;0,M105=""),1,0)</f>
        <v/>
      </c>
    </row>
    <row r="106">
      <c r="A106" s="14" t="n"/>
      <c r="B106" s="19" t="n"/>
      <c r="C106" s="14" t="n"/>
      <c r="D106" s="14" t="n"/>
      <c r="E106" s="14" t="n"/>
      <c r="F106" s="14" t="n"/>
      <c r="G106" s="14" t="n"/>
      <c r="H106" s="14" t="n"/>
      <c r="I106" s="20" t="n"/>
      <c r="J106" s="20" t="n"/>
      <c r="K106" s="14" t="n"/>
      <c r="L106" s="23">
        <f>IFERROR(INDEX('Chart of Accounts'!$C$5:$C$3000,MATCH(H106&amp;"",'Chart of Accounts'!$A$5:$A$3000,0))&amp;"|"&amp;INDEX('Chart of Accounts'!$D$5:$D$3000,MATCH(H106&amp;"",'Chart of Accounts'!$A$5:$A$3000,0)),"")</f>
        <v/>
      </c>
      <c r="M106" s="23">
        <f>IFERROR(INDEX('Chart of Accounts'!$C$5:$C$3000,MATCH(H106&amp;"",'Chart of Accounts'!$A$5:$A$3000,0))&amp;"|"&amp;INDEX('Chart of Accounts'!$D$5:$D$3000,MATCH(H106&amp;"",'Chart of Accounts'!$A$5:$A$3000,0)),"")</f>
        <v/>
      </c>
      <c r="N106" s="23">
        <f>IF(LEFT(L106,8)="Revenue|",-N(I106),0)+IF(LEFT(M106,8)="Revenue|",N(J106),0)</f>
        <v/>
      </c>
      <c r="O106" s="23">
        <f>IF(LEFT(L106,5)="COGS|",N(I106),0)+IF(LEFT(M106,5)="COGS|",-N(J106),0)</f>
        <v/>
      </c>
      <c r="P106" s="23">
        <f>IF(LEFT(L106,8)="Expense|",N(I106),0)+IF(LEFT(M106,8)="Expense|",-N(J106),0)</f>
        <v/>
      </c>
      <c r="Q106" s="23">
        <f>IF(ISNUMBER(MATCH(L106,{"Expense|employee","Expense|general_admin","Expense|marketing","Expense|utilities","Expense|other_operating"},0)),N(I106),0)+IF(ISNUMBER(MATCH(M106,{"Expense|employee","Expense|general_admin","Expense|marketing","Expense|utilities","Expense|other_operating"},0)),-N(J106),0)</f>
        <v/>
      </c>
      <c r="R106" s="23">
        <f>IF(L106="Liability|payable",-N(I106),0)+IF(M106="Liability|payable",N(J106),0)</f>
        <v/>
      </c>
      <c r="S106" s="23">
        <f>IF(L106="Liability|accrued",-N(I106),0)+IF(M106="Liability|accrued",N(J106),0)</f>
        <v/>
      </c>
      <c r="T106" s="23">
        <f>IF(AND(N(I106)&lt;&gt;0,L106=""),1,0)+IF(AND(N(J106)&lt;&gt;0,M106=""),1,0)</f>
        <v/>
      </c>
    </row>
    <row r="107">
      <c r="A107" s="14" t="n"/>
      <c r="B107" s="19" t="n"/>
      <c r="C107" s="14" t="n"/>
      <c r="D107" s="14" t="n"/>
      <c r="E107" s="14" t="n"/>
      <c r="F107" s="14" t="n"/>
      <c r="G107" s="14" t="n"/>
      <c r="H107" s="14" t="n"/>
      <c r="I107" s="20" t="n"/>
      <c r="J107" s="20" t="n"/>
      <c r="K107" s="14" t="n"/>
      <c r="L107" s="23">
        <f>IFERROR(INDEX('Chart of Accounts'!$C$5:$C$3000,MATCH(H107&amp;"",'Chart of Accounts'!$A$5:$A$3000,0))&amp;"|"&amp;INDEX('Chart of Accounts'!$D$5:$D$3000,MATCH(H107&amp;"",'Chart of Accounts'!$A$5:$A$3000,0)),"")</f>
        <v/>
      </c>
      <c r="M107" s="23">
        <f>IFERROR(INDEX('Chart of Accounts'!$C$5:$C$3000,MATCH(H107&amp;"",'Chart of Accounts'!$A$5:$A$3000,0))&amp;"|"&amp;INDEX('Chart of Accounts'!$D$5:$D$3000,MATCH(H107&amp;"",'Chart of Accounts'!$A$5:$A$3000,0)),"")</f>
        <v/>
      </c>
      <c r="N107" s="23">
        <f>IF(LEFT(L107,8)="Revenue|",-N(I107),0)+IF(LEFT(M107,8)="Revenue|",N(J107),0)</f>
        <v/>
      </c>
      <c r="O107" s="23">
        <f>IF(LEFT(L107,5)="COGS|",N(I107),0)+IF(LEFT(M107,5)="COGS|",-N(J107),0)</f>
        <v/>
      </c>
      <c r="P107" s="23">
        <f>IF(LEFT(L107,8)="Expense|",N(I107),0)+IF(LEFT(M107,8)="Expense|",-N(J107),0)</f>
        <v/>
      </c>
      <c r="Q107" s="23">
        <f>IF(ISNUMBER(MATCH(L107,{"Expense|employee","Expense|general_admin","Expense|marketing","Expense|utilities","Expense|other_operating"},0)),N(I107),0)+IF(ISNUMBER(MATCH(M107,{"Expense|employee","Expense|general_admin","Expense|marketing","Expense|utilities","Expense|other_operating"},0)),-N(J107),0)</f>
        <v/>
      </c>
      <c r="R107" s="23">
        <f>IF(L107="Liability|payable",-N(I107),0)+IF(M107="Liability|payable",N(J107),0)</f>
        <v/>
      </c>
      <c r="S107" s="23">
        <f>IF(L107="Liability|accrued",-N(I107),0)+IF(M107="Liability|accrued",N(J107),0)</f>
        <v/>
      </c>
      <c r="T107" s="23">
        <f>IF(AND(N(I107)&lt;&gt;0,L107=""),1,0)+IF(AND(N(J107)&lt;&gt;0,M107=""),1,0)</f>
        <v/>
      </c>
    </row>
    <row r="108">
      <c r="A108" s="14" t="n"/>
      <c r="B108" s="19" t="n"/>
      <c r="C108" s="14" t="n"/>
      <c r="D108" s="14" t="n"/>
      <c r="E108" s="14" t="n"/>
      <c r="F108" s="14" t="n"/>
      <c r="G108" s="14" t="n"/>
      <c r="H108" s="14" t="n"/>
      <c r="I108" s="20" t="n"/>
      <c r="J108" s="20" t="n"/>
      <c r="K108" s="14" t="n"/>
      <c r="L108" s="23">
        <f>IFERROR(INDEX('Chart of Accounts'!$C$5:$C$3000,MATCH(H108&amp;"",'Chart of Accounts'!$A$5:$A$3000,0))&amp;"|"&amp;INDEX('Chart of Accounts'!$D$5:$D$3000,MATCH(H108&amp;"",'Chart of Accounts'!$A$5:$A$3000,0)),"")</f>
        <v/>
      </c>
      <c r="M108" s="23">
        <f>IFERROR(INDEX('Chart of Accounts'!$C$5:$C$3000,MATCH(H108&amp;"",'Chart of Accounts'!$A$5:$A$3000,0))&amp;"|"&amp;INDEX('Chart of Accounts'!$D$5:$D$3000,MATCH(H108&amp;"",'Chart of Accounts'!$A$5:$A$3000,0)),"")</f>
        <v/>
      </c>
      <c r="N108" s="23">
        <f>IF(LEFT(L108,8)="Revenue|",-N(I108),0)+IF(LEFT(M108,8)="Revenue|",N(J108),0)</f>
        <v/>
      </c>
      <c r="O108" s="23">
        <f>IF(LEFT(L108,5)="COGS|",N(I108),0)+IF(LEFT(M108,5)="COGS|",-N(J108),0)</f>
        <v/>
      </c>
      <c r="P108" s="23">
        <f>IF(LEFT(L108,8)="Expense|",N(I108),0)+IF(LEFT(M108,8)="Expense|",-N(J108),0)</f>
        <v/>
      </c>
      <c r="Q108" s="23">
        <f>IF(ISNUMBER(MATCH(L108,{"Expense|employee","Expense|general_admin","Expense|marketing","Expense|utilities","Expense|other_operating"},0)),N(I108),0)+IF(ISNUMBER(MATCH(M108,{"Expense|employee","Expense|general_admin","Expense|marketing","Expense|utilities","Expense|other_operating"},0)),-N(J108),0)</f>
        <v/>
      </c>
      <c r="R108" s="23">
        <f>IF(L108="Liability|payable",-N(I108),0)+IF(M108="Liability|payable",N(J108),0)</f>
        <v/>
      </c>
      <c r="S108" s="23">
        <f>IF(L108="Liability|accrued",-N(I108),0)+IF(M108="Liability|accrued",N(J108),0)</f>
        <v/>
      </c>
      <c r="T108" s="23">
        <f>IF(AND(N(I108)&lt;&gt;0,L108=""),1,0)+IF(AND(N(J108)&lt;&gt;0,M108=""),1,0)</f>
        <v/>
      </c>
    </row>
    <row r="109">
      <c r="A109" s="14" t="n"/>
      <c r="B109" s="19" t="n"/>
      <c r="C109" s="14" t="n"/>
      <c r="D109" s="14" t="n"/>
      <c r="E109" s="14" t="n"/>
      <c r="F109" s="14" t="n"/>
      <c r="G109" s="14" t="n"/>
      <c r="H109" s="14" t="n"/>
      <c r="I109" s="20" t="n"/>
      <c r="J109" s="20" t="n"/>
      <c r="K109" s="14" t="n"/>
      <c r="L109" s="23">
        <f>IFERROR(INDEX('Chart of Accounts'!$C$5:$C$3000,MATCH(H109&amp;"",'Chart of Accounts'!$A$5:$A$3000,0))&amp;"|"&amp;INDEX('Chart of Accounts'!$D$5:$D$3000,MATCH(H109&amp;"",'Chart of Accounts'!$A$5:$A$3000,0)),"")</f>
        <v/>
      </c>
      <c r="M109" s="23">
        <f>IFERROR(INDEX('Chart of Accounts'!$C$5:$C$3000,MATCH(H109&amp;"",'Chart of Accounts'!$A$5:$A$3000,0))&amp;"|"&amp;INDEX('Chart of Accounts'!$D$5:$D$3000,MATCH(H109&amp;"",'Chart of Accounts'!$A$5:$A$3000,0)),"")</f>
        <v/>
      </c>
      <c r="N109" s="23">
        <f>IF(LEFT(L109,8)="Revenue|",-N(I109),0)+IF(LEFT(M109,8)="Revenue|",N(J109),0)</f>
        <v/>
      </c>
      <c r="O109" s="23">
        <f>IF(LEFT(L109,5)="COGS|",N(I109),0)+IF(LEFT(M109,5)="COGS|",-N(J109),0)</f>
        <v/>
      </c>
      <c r="P109" s="23">
        <f>IF(LEFT(L109,8)="Expense|",N(I109),0)+IF(LEFT(M109,8)="Expense|",-N(J109),0)</f>
        <v/>
      </c>
      <c r="Q109" s="23">
        <f>IF(ISNUMBER(MATCH(L109,{"Expense|employee","Expense|general_admin","Expense|marketing","Expense|utilities","Expense|other_operating"},0)),N(I109),0)+IF(ISNUMBER(MATCH(M109,{"Expense|employee","Expense|general_admin","Expense|marketing","Expense|utilities","Expense|other_operating"},0)),-N(J109),0)</f>
        <v/>
      </c>
      <c r="R109" s="23">
        <f>IF(L109="Liability|payable",-N(I109),0)+IF(M109="Liability|payable",N(J109),0)</f>
        <v/>
      </c>
      <c r="S109" s="23">
        <f>IF(L109="Liability|accrued",-N(I109),0)+IF(M109="Liability|accrued",N(J109),0)</f>
        <v/>
      </c>
      <c r="T109" s="23">
        <f>IF(AND(N(I109)&lt;&gt;0,L109=""),1,0)+IF(AND(N(J109)&lt;&gt;0,M109=""),1,0)</f>
        <v/>
      </c>
    </row>
    <row r="110">
      <c r="A110" s="14" t="n"/>
      <c r="B110" s="19" t="n"/>
      <c r="C110" s="14" t="n"/>
      <c r="D110" s="14" t="n"/>
      <c r="E110" s="14" t="n"/>
      <c r="F110" s="14" t="n"/>
      <c r="G110" s="14" t="n"/>
      <c r="H110" s="14" t="n"/>
      <c r="I110" s="20" t="n"/>
      <c r="J110" s="20" t="n"/>
      <c r="K110" s="14" t="n"/>
      <c r="L110" s="23">
        <f>IFERROR(INDEX('Chart of Accounts'!$C$5:$C$3000,MATCH(H110&amp;"",'Chart of Accounts'!$A$5:$A$3000,0))&amp;"|"&amp;INDEX('Chart of Accounts'!$D$5:$D$3000,MATCH(H110&amp;"",'Chart of Accounts'!$A$5:$A$3000,0)),"")</f>
        <v/>
      </c>
      <c r="M110" s="23">
        <f>IFERROR(INDEX('Chart of Accounts'!$C$5:$C$3000,MATCH(H110&amp;"",'Chart of Accounts'!$A$5:$A$3000,0))&amp;"|"&amp;INDEX('Chart of Accounts'!$D$5:$D$3000,MATCH(H110&amp;"",'Chart of Accounts'!$A$5:$A$3000,0)),"")</f>
        <v/>
      </c>
      <c r="N110" s="23">
        <f>IF(LEFT(L110,8)="Revenue|",-N(I110),0)+IF(LEFT(M110,8)="Revenue|",N(J110),0)</f>
        <v/>
      </c>
      <c r="O110" s="23">
        <f>IF(LEFT(L110,5)="COGS|",N(I110),0)+IF(LEFT(M110,5)="COGS|",-N(J110),0)</f>
        <v/>
      </c>
      <c r="P110" s="23">
        <f>IF(LEFT(L110,8)="Expense|",N(I110),0)+IF(LEFT(M110,8)="Expense|",-N(J110),0)</f>
        <v/>
      </c>
      <c r="Q110" s="23">
        <f>IF(ISNUMBER(MATCH(L110,{"Expense|employee","Expense|general_admin","Expense|marketing","Expense|utilities","Expense|other_operating"},0)),N(I110),0)+IF(ISNUMBER(MATCH(M110,{"Expense|employee","Expense|general_admin","Expense|marketing","Expense|utilities","Expense|other_operating"},0)),-N(J110),0)</f>
        <v/>
      </c>
      <c r="R110" s="23">
        <f>IF(L110="Liability|payable",-N(I110),0)+IF(M110="Liability|payable",N(J110),0)</f>
        <v/>
      </c>
      <c r="S110" s="23">
        <f>IF(L110="Liability|accrued",-N(I110),0)+IF(M110="Liability|accrued",N(J110),0)</f>
        <v/>
      </c>
      <c r="T110" s="23">
        <f>IF(AND(N(I110)&lt;&gt;0,L110=""),1,0)+IF(AND(N(J110)&lt;&gt;0,M110=""),1,0)</f>
        <v/>
      </c>
    </row>
    <row r="111">
      <c r="A111" s="14" t="n"/>
      <c r="B111" s="19" t="n"/>
      <c r="C111" s="14" t="n"/>
      <c r="D111" s="14" t="n"/>
      <c r="E111" s="14" t="n"/>
      <c r="F111" s="14" t="n"/>
      <c r="G111" s="14" t="n"/>
      <c r="H111" s="14" t="n"/>
      <c r="I111" s="20" t="n"/>
      <c r="J111" s="20" t="n"/>
      <c r="K111" s="14" t="n"/>
      <c r="L111" s="23">
        <f>IFERROR(INDEX('Chart of Accounts'!$C$5:$C$3000,MATCH(H111&amp;"",'Chart of Accounts'!$A$5:$A$3000,0))&amp;"|"&amp;INDEX('Chart of Accounts'!$D$5:$D$3000,MATCH(H111&amp;"",'Chart of Accounts'!$A$5:$A$3000,0)),"")</f>
        <v/>
      </c>
      <c r="M111" s="23">
        <f>IFERROR(INDEX('Chart of Accounts'!$C$5:$C$3000,MATCH(H111&amp;"",'Chart of Accounts'!$A$5:$A$3000,0))&amp;"|"&amp;INDEX('Chart of Accounts'!$D$5:$D$3000,MATCH(H111&amp;"",'Chart of Accounts'!$A$5:$A$3000,0)),"")</f>
        <v/>
      </c>
      <c r="N111" s="23">
        <f>IF(LEFT(L111,8)="Revenue|",-N(I111),0)+IF(LEFT(M111,8)="Revenue|",N(J111),0)</f>
        <v/>
      </c>
      <c r="O111" s="23">
        <f>IF(LEFT(L111,5)="COGS|",N(I111),0)+IF(LEFT(M111,5)="COGS|",-N(J111),0)</f>
        <v/>
      </c>
      <c r="P111" s="23">
        <f>IF(LEFT(L111,8)="Expense|",N(I111),0)+IF(LEFT(M111,8)="Expense|",-N(J111),0)</f>
        <v/>
      </c>
      <c r="Q111" s="23">
        <f>IF(ISNUMBER(MATCH(L111,{"Expense|employee","Expense|general_admin","Expense|marketing","Expense|utilities","Expense|other_operating"},0)),N(I111),0)+IF(ISNUMBER(MATCH(M111,{"Expense|employee","Expense|general_admin","Expense|marketing","Expense|utilities","Expense|other_operating"},0)),-N(J111),0)</f>
        <v/>
      </c>
      <c r="R111" s="23">
        <f>IF(L111="Liability|payable",-N(I111),0)+IF(M111="Liability|payable",N(J111),0)</f>
        <v/>
      </c>
      <c r="S111" s="23">
        <f>IF(L111="Liability|accrued",-N(I111),0)+IF(M111="Liability|accrued",N(J111),0)</f>
        <v/>
      </c>
      <c r="T111" s="23">
        <f>IF(AND(N(I111)&lt;&gt;0,L111=""),1,0)+IF(AND(N(J111)&lt;&gt;0,M111=""),1,0)</f>
        <v/>
      </c>
    </row>
    <row r="112">
      <c r="A112" s="14" t="n"/>
      <c r="B112" s="19" t="n"/>
      <c r="C112" s="14" t="n"/>
      <c r="D112" s="14" t="n"/>
      <c r="E112" s="14" t="n"/>
      <c r="F112" s="14" t="n"/>
      <c r="G112" s="14" t="n"/>
      <c r="H112" s="14" t="n"/>
      <c r="I112" s="20" t="n"/>
      <c r="J112" s="20" t="n"/>
      <c r="K112" s="14" t="n"/>
      <c r="L112" s="23">
        <f>IFERROR(INDEX('Chart of Accounts'!$C$5:$C$3000,MATCH(H112&amp;"",'Chart of Accounts'!$A$5:$A$3000,0))&amp;"|"&amp;INDEX('Chart of Accounts'!$D$5:$D$3000,MATCH(H112&amp;"",'Chart of Accounts'!$A$5:$A$3000,0)),"")</f>
        <v/>
      </c>
      <c r="M112" s="23">
        <f>IFERROR(INDEX('Chart of Accounts'!$C$5:$C$3000,MATCH(H112&amp;"",'Chart of Accounts'!$A$5:$A$3000,0))&amp;"|"&amp;INDEX('Chart of Accounts'!$D$5:$D$3000,MATCH(H112&amp;"",'Chart of Accounts'!$A$5:$A$3000,0)),"")</f>
        <v/>
      </c>
      <c r="N112" s="23">
        <f>IF(LEFT(L112,8)="Revenue|",-N(I112),0)+IF(LEFT(M112,8)="Revenue|",N(J112),0)</f>
        <v/>
      </c>
      <c r="O112" s="23">
        <f>IF(LEFT(L112,5)="COGS|",N(I112),0)+IF(LEFT(M112,5)="COGS|",-N(J112),0)</f>
        <v/>
      </c>
      <c r="P112" s="23">
        <f>IF(LEFT(L112,8)="Expense|",N(I112),0)+IF(LEFT(M112,8)="Expense|",-N(J112),0)</f>
        <v/>
      </c>
      <c r="Q112" s="23">
        <f>IF(ISNUMBER(MATCH(L112,{"Expense|employee","Expense|general_admin","Expense|marketing","Expense|utilities","Expense|other_operating"},0)),N(I112),0)+IF(ISNUMBER(MATCH(M112,{"Expense|employee","Expense|general_admin","Expense|marketing","Expense|utilities","Expense|other_operating"},0)),-N(J112),0)</f>
        <v/>
      </c>
      <c r="R112" s="23">
        <f>IF(L112="Liability|payable",-N(I112),0)+IF(M112="Liability|payable",N(J112),0)</f>
        <v/>
      </c>
      <c r="S112" s="23">
        <f>IF(L112="Liability|accrued",-N(I112),0)+IF(M112="Liability|accrued",N(J112),0)</f>
        <v/>
      </c>
      <c r="T112" s="23">
        <f>IF(AND(N(I112)&lt;&gt;0,L112=""),1,0)+IF(AND(N(J112)&lt;&gt;0,M112=""),1,0)</f>
        <v/>
      </c>
    </row>
    <row r="113">
      <c r="A113" s="14" t="n"/>
      <c r="B113" s="19" t="n"/>
      <c r="C113" s="14" t="n"/>
      <c r="D113" s="14" t="n"/>
      <c r="E113" s="14" t="n"/>
      <c r="F113" s="14" t="n"/>
      <c r="G113" s="14" t="n"/>
      <c r="H113" s="14" t="n"/>
      <c r="I113" s="20" t="n"/>
      <c r="J113" s="20" t="n"/>
      <c r="K113" s="14" t="n"/>
      <c r="L113" s="23">
        <f>IFERROR(INDEX('Chart of Accounts'!$C$5:$C$3000,MATCH(H113&amp;"",'Chart of Accounts'!$A$5:$A$3000,0))&amp;"|"&amp;INDEX('Chart of Accounts'!$D$5:$D$3000,MATCH(H113&amp;"",'Chart of Accounts'!$A$5:$A$3000,0)),"")</f>
        <v/>
      </c>
      <c r="M113" s="23">
        <f>IFERROR(INDEX('Chart of Accounts'!$C$5:$C$3000,MATCH(H113&amp;"",'Chart of Accounts'!$A$5:$A$3000,0))&amp;"|"&amp;INDEX('Chart of Accounts'!$D$5:$D$3000,MATCH(H113&amp;"",'Chart of Accounts'!$A$5:$A$3000,0)),"")</f>
        <v/>
      </c>
      <c r="N113" s="23">
        <f>IF(LEFT(L113,8)="Revenue|",-N(I113),0)+IF(LEFT(M113,8)="Revenue|",N(J113),0)</f>
        <v/>
      </c>
      <c r="O113" s="23">
        <f>IF(LEFT(L113,5)="COGS|",N(I113),0)+IF(LEFT(M113,5)="COGS|",-N(J113),0)</f>
        <v/>
      </c>
      <c r="P113" s="23">
        <f>IF(LEFT(L113,8)="Expense|",N(I113),0)+IF(LEFT(M113,8)="Expense|",-N(J113),0)</f>
        <v/>
      </c>
      <c r="Q113" s="23">
        <f>IF(ISNUMBER(MATCH(L113,{"Expense|employee","Expense|general_admin","Expense|marketing","Expense|utilities","Expense|other_operating"},0)),N(I113),0)+IF(ISNUMBER(MATCH(M113,{"Expense|employee","Expense|general_admin","Expense|marketing","Expense|utilities","Expense|other_operating"},0)),-N(J113),0)</f>
        <v/>
      </c>
      <c r="R113" s="23">
        <f>IF(L113="Liability|payable",-N(I113),0)+IF(M113="Liability|payable",N(J113),0)</f>
        <v/>
      </c>
      <c r="S113" s="23">
        <f>IF(L113="Liability|accrued",-N(I113),0)+IF(M113="Liability|accrued",N(J113),0)</f>
        <v/>
      </c>
      <c r="T113" s="23">
        <f>IF(AND(N(I113)&lt;&gt;0,L113=""),1,0)+IF(AND(N(J113)&lt;&gt;0,M113=""),1,0)</f>
        <v/>
      </c>
    </row>
    <row r="114">
      <c r="A114" s="14" t="n"/>
      <c r="B114" s="19" t="n"/>
      <c r="C114" s="14" t="n"/>
      <c r="D114" s="14" t="n"/>
      <c r="E114" s="14" t="n"/>
      <c r="F114" s="14" t="n"/>
      <c r="G114" s="14" t="n"/>
      <c r="H114" s="14" t="n"/>
      <c r="I114" s="20" t="n"/>
      <c r="J114" s="20" t="n"/>
      <c r="K114" s="14" t="n"/>
      <c r="L114" s="23">
        <f>IFERROR(INDEX('Chart of Accounts'!$C$5:$C$3000,MATCH(H114&amp;"",'Chart of Accounts'!$A$5:$A$3000,0))&amp;"|"&amp;INDEX('Chart of Accounts'!$D$5:$D$3000,MATCH(H114&amp;"",'Chart of Accounts'!$A$5:$A$3000,0)),"")</f>
        <v/>
      </c>
      <c r="M114" s="23">
        <f>IFERROR(INDEX('Chart of Accounts'!$C$5:$C$3000,MATCH(H114&amp;"",'Chart of Accounts'!$A$5:$A$3000,0))&amp;"|"&amp;INDEX('Chart of Accounts'!$D$5:$D$3000,MATCH(H114&amp;"",'Chart of Accounts'!$A$5:$A$3000,0)),"")</f>
        <v/>
      </c>
      <c r="N114" s="23">
        <f>IF(LEFT(L114,8)="Revenue|",-N(I114),0)+IF(LEFT(M114,8)="Revenue|",N(J114),0)</f>
        <v/>
      </c>
      <c r="O114" s="23">
        <f>IF(LEFT(L114,5)="COGS|",N(I114),0)+IF(LEFT(M114,5)="COGS|",-N(J114),0)</f>
        <v/>
      </c>
      <c r="P114" s="23">
        <f>IF(LEFT(L114,8)="Expense|",N(I114),0)+IF(LEFT(M114,8)="Expense|",-N(J114),0)</f>
        <v/>
      </c>
      <c r="Q114" s="23">
        <f>IF(ISNUMBER(MATCH(L114,{"Expense|employee","Expense|general_admin","Expense|marketing","Expense|utilities","Expense|other_operating"},0)),N(I114),0)+IF(ISNUMBER(MATCH(M114,{"Expense|employee","Expense|general_admin","Expense|marketing","Expense|utilities","Expense|other_operating"},0)),-N(J114),0)</f>
        <v/>
      </c>
      <c r="R114" s="23">
        <f>IF(L114="Liability|payable",-N(I114),0)+IF(M114="Liability|payable",N(J114),0)</f>
        <v/>
      </c>
      <c r="S114" s="23">
        <f>IF(L114="Liability|accrued",-N(I114),0)+IF(M114="Liability|accrued",N(J114),0)</f>
        <v/>
      </c>
      <c r="T114" s="23">
        <f>IF(AND(N(I114)&lt;&gt;0,L114=""),1,0)+IF(AND(N(J114)&lt;&gt;0,M114=""),1,0)</f>
        <v/>
      </c>
    </row>
    <row r="115">
      <c r="A115" s="14" t="n"/>
      <c r="B115" s="19" t="n"/>
      <c r="C115" s="14" t="n"/>
      <c r="D115" s="14" t="n"/>
      <c r="E115" s="14" t="n"/>
      <c r="F115" s="14" t="n"/>
      <c r="G115" s="14" t="n"/>
      <c r="H115" s="14" t="n"/>
      <c r="I115" s="20" t="n"/>
      <c r="J115" s="20" t="n"/>
      <c r="K115" s="14" t="n"/>
      <c r="L115" s="23">
        <f>IFERROR(INDEX('Chart of Accounts'!$C$5:$C$3000,MATCH(H115&amp;"",'Chart of Accounts'!$A$5:$A$3000,0))&amp;"|"&amp;INDEX('Chart of Accounts'!$D$5:$D$3000,MATCH(H115&amp;"",'Chart of Accounts'!$A$5:$A$3000,0)),"")</f>
        <v/>
      </c>
      <c r="M115" s="23">
        <f>IFERROR(INDEX('Chart of Accounts'!$C$5:$C$3000,MATCH(H115&amp;"",'Chart of Accounts'!$A$5:$A$3000,0))&amp;"|"&amp;INDEX('Chart of Accounts'!$D$5:$D$3000,MATCH(H115&amp;"",'Chart of Accounts'!$A$5:$A$3000,0)),"")</f>
        <v/>
      </c>
      <c r="N115" s="23">
        <f>IF(LEFT(L115,8)="Revenue|",-N(I115),0)+IF(LEFT(M115,8)="Revenue|",N(J115),0)</f>
        <v/>
      </c>
      <c r="O115" s="23">
        <f>IF(LEFT(L115,5)="COGS|",N(I115),0)+IF(LEFT(M115,5)="COGS|",-N(J115),0)</f>
        <v/>
      </c>
      <c r="P115" s="23">
        <f>IF(LEFT(L115,8)="Expense|",N(I115),0)+IF(LEFT(M115,8)="Expense|",-N(J115),0)</f>
        <v/>
      </c>
      <c r="Q115" s="23">
        <f>IF(ISNUMBER(MATCH(L115,{"Expense|employee","Expense|general_admin","Expense|marketing","Expense|utilities","Expense|other_operating"},0)),N(I115),0)+IF(ISNUMBER(MATCH(M115,{"Expense|employee","Expense|general_admin","Expense|marketing","Expense|utilities","Expense|other_operating"},0)),-N(J115),0)</f>
        <v/>
      </c>
      <c r="R115" s="23">
        <f>IF(L115="Liability|payable",-N(I115),0)+IF(M115="Liability|payable",N(J115),0)</f>
        <v/>
      </c>
      <c r="S115" s="23">
        <f>IF(L115="Liability|accrued",-N(I115),0)+IF(M115="Liability|accrued",N(J115),0)</f>
        <v/>
      </c>
      <c r="T115" s="23">
        <f>IF(AND(N(I115)&lt;&gt;0,L115=""),1,0)+IF(AND(N(J115)&lt;&gt;0,M115=""),1,0)</f>
        <v/>
      </c>
    </row>
    <row r="116">
      <c r="A116" s="14" t="n"/>
      <c r="B116" s="19" t="n"/>
      <c r="C116" s="14" t="n"/>
      <c r="D116" s="14" t="n"/>
      <c r="E116" s="14" t="n"/>
      <c r="F116" s="14" t="n"/>
      <c r="G116" s="14" t="n"/>
      <c r="H116" s="14" t="n"/>
      <c r="I116" s="20" t="n"/>
      <c r="J116" s="20" t="n"/>
      <c r="K116" s="14" t="n"/>
      <c r="L116" s="23">
        <f>IFERROR(INDEX('Chart of Accounts'!$C$5:$C$3000,MATCH(H116&amp;"",'Chart of Accounts'!$A$5:$A$3000,0))&amp;"|"&amp;INDEX('Chart of Accounts'!$D$5:$D$3000,MATCH(H116&amp;"",'Chart of Accounts'!$A$5:$A$3000,0)),"")</f>
        <v/>
      </c>
      <c r="M116" s="23">
        <f>IFERROR(INDEX('Chart of Accounts'!$C$5:$C$3000,MATCH(H116&amp;"",'Chart of Accounts'!$A$5:$A$3000,0))&amp;"|"&amp;INDEX('Chart of Accounts'!$D$5:$D$3000,MATCH(H116&amp;"",'Chart of Accounts'!$A$5:$A$3000,0)),"")</f>
        <v/>
      </c>
      <c r="N116" s="23">
        <f>IF(LEFT(L116,8)="Revenue|",-N(I116),0)+IF(LEFT(M116,8)="Revenue|",N(J116),0)</f>
        <v/>
      </c>
      <c r="O116" s="23">
        <f>IF(LEFT(L116,5)="COGS|",N(I116),0)+IF(LEFT(M116,5)="COGS|",-N(J116),0)</f>
        <v/>
      </c>
      <c r="P116" s="23">
        <f>IF(LEFT(L116,8)="Expense|",N(I116),0)+IF(LEFT(M116,8)="Expense|",-N(J116),0)</f>
        <v/>
      </c>
      <c r="Q116" s="23">
        <f>IF(ISNUMBER(MATCH(L116,{"Expense|employee","Expense|general_admin","Expense|marketing","Expense|utilities","Expense|other_operating"},0)),N(I116),0)+IF(ISNUMBER(MATCH(M116,{"Expense|employee","Expense|general_admin","Expense|marketing","Expense|utilities","Expense|other_operating"},0)),-N(J116),0)</f>
        <v/>
      </c>
      <c r="R116" s="23">
        <f>IF(L116="Liability|payable",-N(I116),0)+IF(M116="Liability|payable",N(J116),0)</f>
        <v/>
      </c>
      <c r="S116" s="23">
        <f>IF(L116="Liability|accrued",-N(I116),0)+IF(M116="Liability|accrued",N(J116),0)</f>
        <v/>
      </c>
      <c r="T116" s="23">
        <f>IF(AND(N(I116)&lt;&gt;0,L116=""),1,0)+IF(AND(N(J116)&lt;&gt;0,M116=""),1,0)</f>
        <v/>
      </c>
    </row>
    <row r="117">
      <c r="A117" s="14" t="n"/>
      <c r="B117" s="19" t="n"/>
      <c r="C117" s="14" t="n"/>
      <c r="D117" s="14" t="n"/>
      <c r="E117" s="14" t="n"/>
      <c r="F117" s="14" t="n"/>
      <c r="G117" s="14" t="n"/>
      <c r="H117" s="14" t="n"/>
      <c r="I117" s="20" t="n"/>
      <c r="J117" s="20" t="n"/>
      <c r="K117" s="14" t="n"/>
      <c r="L117" s="23">
        <f>IFERROR(INDEX('Chart of Accounts'!$C$5:$C$3000,MATCH(H117&amp;"",'Chart of Accounts'!$A$5:$A$3000,0))&amp;"|"&amp;INDEX('Chart of Accounts'!$D$5:$D$3000,MATCH(H117&amp;"",'Chart of Accounts'!$A$5:$A$3000,0)),"")</f>
        <v/>
      </c>
      <c r="M117" s="23">
        <f>IFERROR(INDEX('Chart of Accounts'!$C$5:$C$3000,MATCH(H117&amp;"",'Chart of Accounts'!$A$5:$A$3000,0))&amp;"|"&amp;INDEX('Chart of Accounts'!$D$5:$D$3000,MATCH(H117&amp;"",'Chart of Accounts'!$A$5:$A$3000,0)),"")</f>
        <v/>
      </c>
      <c r="N117" s="23">
        <f>IF(LEFT(L117,8)="Revenue|",-N(I117),0)+IF(LEFT(M117,8)="Revenue|",N(J117),0)</f>
        <v/>
      </c>
      <c r="O117" s="23">
        <f>IF(LEFT(L117,5)="COGS|",N(I117),0)+IF(LEFT(M117,5)="COGS|",-N(J117),0)</f>
        <v/>
      </c>
      <c r="P117" s="23">
        <f>IF(LEFT(L117,8)="Expense|",N(I117),0)+IF(LEFT(M117,8)="Expense|",-N(J117),0)</f>
        <v/>
      </c>
      <c r="Q117" s="23">
        <f>IF(ISNUMBER(MATCH(L117,{"Expense|employee","Expense|general_admin","Expense|marketing","Expense|utilities","Expense|other_operating"},0)),N(I117),0)+IF(ISNUMBER(MATCH(M117,{"Expense|employee","Expense|general_admin","Expense|marketing","Expense|utilities","Expense|other_operating"},0)),-N(J117),0)</f>
        <v/>
      </c>
      <c r="R117" s="23">
        <f>IF(L117="Liability|payable",-N(I117),0)+IF(M117="Liability|payable",N(J117),0)</f>
        <v/>
      </c>
      <c r="S117" s="23">
        <f>IF(L117="Liability|accrued",-N(I117),0)+IF(M117="Liability|accrued",N(J117),0)</f>
        <v/>
      </c>
      <c r="T117" s="23">
        <f>IF(AND(N(I117)&lt;&gt;0,L117=""),1,0)+IF(AND(N(J117)&lt;&gt;0,M117=""),1,0)</f>
        <v/>
      </c>
    </row>
    <row r="118">
      <c r="A118" s="14" t="n"/>
      <c r="B118" s="19" t="n"/>
      <c r="C118" s="14" t="n"/>
      <c r="D118" s="14" t="n"/>
      <c r="E118" s="14" t="n"/>
      <c r="F118" s="14" t="n"/>
      <c r="G118" s="14" t="n"/>
      <c r="H118" s="14" t="n"/>
      <c r="I118" s="20" t="n"/>
      <c r="J118" s="20" t="n"/>
      <c r="K118" s="14" t="n"/>
      <c r="L118" s="23">
        <f>IFERROR(INDEX('Chart of Accounts'!$C$5:$C$3000,MATCH(H118&amp;"",'Chart of Accounts'!$A$5:$A$3000,0))&amp;"|"&amp;INDEX('Chart of Accounts'!$D$5:$D$3000,MATCH(H118&amp;"",'Chart of Accounts'!$A$5:$A$3000,0)),"")</f>
        <v/>
      </c>
      <c r="M118" s="23">
        <f>IFERROR(INDEX('Chart of Accounts'!$C$5:$C$3000,MATCH(H118&amp;"",'Chart of Accounts'!$A$5:$A$3000,0))&amp;"|"&amp;INDEX('Chart of Accounts'!$D$5:$D$3000,MATCH(H118&amp;"",'Chart of Accounts'!$A$5:$A$3000,0)),"")</f>
        <v/>
      </c>
      <c r="N118" s="23">
        <f>IF(LEFT(L118,8)="Revenue|",-N(I118),0)+IF(LEFT(M118,8)="Revenue|",N(J118),0)</f>
        <v/>
      </c>
      <c r="O118" s="23">
        <f>IF(LEFT(L118,5)="COGS|",N(I118),0)+IF(LEFT(M118,5)="COGS|",-N(J118),0)</f>
        <v/>
      </c>
      <c r="P118" s="23">
        <f>IF(LEFT(L118,8)="Expense|",N(I118),0)+IF(LEFT(M118,8)="Expense|",-N(J118),0)</f>
        <v/>
      </c>
      <c r="Q118" s="23">
        <f>IF(ISNUMBER(MATCH(L118,{"Expense|employee","Expense|general_admin","Expense|marketing","Expense|utilities","Expense|other_operating"},0)),N(I118),0)+IF(ISNUMBER(MATCH(M118,{"Expense|employee","Expense|general_admin","Expense|marketing","Expense|utilities","Expense|other_operating"},0)),-N(J118),0)</f>
        <v/>
      </c>
      <c r="R118" s="23">
        <f>IF(L118="Liability|payable",-N(I118),0)+IF(M118="Liability|payable",N(J118),0)</f>
        <v/>
      </c>
      <c r="S118" s="23">
        <f>IF(L118="Liability|accrued",-N(I118),0)+IF(M118="Liability|accrued",N(J118),0)</f>
        <v/>
      </c>
      <c r="T118" s="23">
        <f>IF(AND(N(I118)&lt;&gt;0,L118=""),1,0)+IF(AND(N(J118)&lt;&gt;0,M118=""),1,0)</f>
        <v/>
      </c>
    </row>
    <row r="119">
      <c r="A119" s="14" t="n"/>
      <c r="B119" s="19" t="n"/>
      <c r="C119" s="14" t="n"/>
      <c r="D119" s="14" t="n"/>
      <c r="E119" s="14" t="n"/>
      <c r="F119" s="14" t="n"/>
      <c r="G119" s="14" t="n"/>
      <c r="H119" s="14" t="n"/>
      <c r="I119" s="20" t="n"/>
      <c r="J119" s="20" t="n"/>
      <c r="K119" s="14" t="n"/>
      <c r="L119" s="23">
        <f>IFERROR(INDEX('Chart of Accounts'!$C$5:$C$3000,MATCH(H119&amp;"",'Chart of Accounts'!$A$5:$A$3000,0))&amp;"|"&amp;INDEX('Chart of Accounts'!$D$5:$D$3000,MATCH(H119&amp;"",'Chart of Accounts'!$A$5:$A$3000,0)),"")</f>
        <v/>
      </c>
      <c r="M119" s="23">
        <f>IFERROR(INDEX('Chart of Accounts'!$C$5:$C$3000,MATCH(H119&amp;"",'Chart of Accounts'!$A$5:$A$3000,0))&amp;"|"&amp;INDEX('Chart of Accounts'!$D$5:$D$3000,MATCH(H119&amp;"",'Chart of Accounts'!$A$5:$A$3000,0)),"")</f>
        <v/>
      </c>
      <c r="N119" s="23">
        <f>IF(LEFT(L119,8)="Revenue|",-N(I119),0)+IF(LEFT(M119,8)="Revenue|",N(J119),0)</f>
        <v/>
      </c>
      <c r="O119" s="23">
        <f>IF(LEFT(L119,5)="COGS|",N(I119),0)+IF(LEFT(M119,5)="COGS|",-N(J119),0)</f>
        <v/>
      </c>
      <c r="P119" s="23">
        <f>IF(LEFT(L119,8)="Expense|",N(I119),0)+IF(LEFT(M119,8)="Expense|",-N(J119),0)</f>
        <v/>
      </c>
      <c r="Q119" s="23">
        <f>IF(ISNUMBER(MATCH(L119,{"Expense|employee","Expense|general_admin","Expense|marketing","Expense|utilities","Expense|other_operating"},0)),N(I119),0)+IF(ISNUMBER(MATCH(M119,{"Expense|employee","Expense|general_admin","Expense|marketing","Expense|utilities","Expense|other_operating"},0)),-N(J119),0)</f>
        <v/>
      </c>
      <c r="R119" s="23">
        <f>IF(L119="Liability|payable",-N(I119),0)+IF(M119="Liability|payable",N(J119),0)</f>
        <v/>
      </c>
      <c r="S119" s="23">
        <f>IF(L119="Liability|accrued",-N(I119),0)+IF(M119="Liability|accrued",N(J119),0)</f>
        <v/>
      </c>
      <c r="T119" s="23">
        <f>IF(AND(N(I119)&lt;&gt;0,L119=""),1,0)+IF(AND(N(J119)&lt;&gt;0,M119=""),1,0)</f>
        <v/>
      </c>
    </row>
    <row r="120">
      <c r="A120" s="14" t="n"/>
      <c r="B120" s="19" t="n"/>
      <c r="C120" s="14" t="n"/>
      <c r="D120" s="14" t="n"/>
      <c r="E120" s="14" t="n"/>
      <c r="F120" s="14" t="n"/>
      <c r="G120" s="14" t="n"/>
      <c r="H120" s="14" t="n"/>
      <c r="I120" s="20" t="n"/>
      <c r="J120" s="20" t="n"/>
      <c r="K120" s="14" t="n"/>
      <c r="L120" s="23">
        <f>IFERROR(INDEX('Chart of Accounts'!$C$5:$C$3000,MATCH(H120&amp;"",'Chart of Accounts'!$A$5:$A$3000,0))&amp;"|"&amp;INDEX('Chart of Accounts'!$D$5:$D$3000,MATCH(H120&amp;"",'Chart of Accounts'!$A$5:$A$3000,0)),"")</f>
        <v/>
      </c>
      <c r="M120" s="23">
        <f>IFERROR(INDEX('Chart of Accounts'!$C$5:$C$3000,MATCH(H120&amp;"",'Chart of Accounts'!$A$5:$A$3000,0))&amp;"|"&amp;INDEX('Chart of Accounts'!$D$5:$D$3000,MATCH(H120&amp;"",'Chart of Accounts'!$A$5:$A$3000,0)),"")</f>
        <v/>
      </c>
      <c r="N120" s="23">
        <f>IF(LEFT(L120,8)="Revenue|",-N(I120),0)+IF(LEFT(M120,8)="Revenue|",N(J120),0)</f>
        <v/>
      </c>
      <c r="O120" s="23">
        <f>IF(LEFT(L120,5)="COGS|",N(I120),0)+IF(LEFT(M120,5)="COGS|",-N(J120),0)</f>
        <v/>
      </c>
      <c r="P120" s="23">
        <f>IF(LEFT(L120,8)="Expense|",N(I120),0)+IF(LEFT(M120,8)="Expense|",-N(J120),0)</f>
        <v/>
      </c>
      <c r="Q120" s="23">
        <f>IF(ISNUMBER(MATCH(L120,{"Expense|employee","Expense|general_admin","Expense|marketing","Expense|utilities","Expense|other_operating"},0)),N(I120),0)+IF(ISNUMBER(MATCH(M120,{"Expense|employee","Expense|general_admin","Expense|marketing","Expense|utilities","Expense|other_operating"},0)),-N(J120),0)</f>
        <v/>
      </c>
      <c r="R120" s="23">
        <f>IF(L120="Liability|payable",-N(I120),0)+IF(M120="Liability|payable",N(J120),0)</f>
        <v/>
      </c>
      <c r="S120" s="23">
        <f>IF(L120="Liability|accrued",-N(I120),0)+IF(M120="Liability|accrued",N(J120),0)</f>
        <v/>
      </c>
      <c r="T120" s="23">
        <f>IF(AND(N(I120)&lt;&gt;0,L120=""),1,0)+IF(AND(N(J120)&lt;&gt;0,M120=""),1,0)</f>
        <v/>
      </c>
    </row>
    <row r="121">
      <c r="A121" s="14" t="n"/>
      <c r="B121" s="19" t="n"/>
      <c r="C121" s="14" t="n"/>
      <c r="D121" s="14" t="n"/>
      <c r="E121" s="14" t="n"/>
      <c r="F121" s="14" t="n"/>
      <c r="G121" s="14" t="n"/>
      <c r="H121" s="14" t="n"/>
      <c r="I121" s="20" t="n"/>
      <c r="J121" s="20" t="n"/>
      <c r="K121" s="14" t="n"/>
      <c r="L121" s="23">
        <f>IFERROR(INDEX('Chart of Accounts'!$C$5:$C$3000,MATCH(H121&amp;"",'Chart of Accounts'!$A$5:$A$3000,0))&amp;"|"&amp;INDEX('Chart of Accounts'!$D$5:$D$3000,MATCH(H121&amp;"",'Chart of Accounts'!$A$5:$A$3000,0)),"")</f>
        <v/>
      </c>
      <c r="M121" s="23">
        <f>IFERROR(INDEX('Chart of Accounts'!$C$5:$C$3000,MATCH(H121&amp;"",'Chart of Accounts'!$A$5:$A$3000,0))&amp;"|"&amp;INDEX('Chart of Accounts'!$D$5:$D$3000,MATCH(H121&amp;"",'Chart of Accounts'!$A$5:$A$3000,0)),"")</f>
        <v/>
      </c>
      <c r="N121" s="23">
        <f>IF(LEFT(L121,8)="Revenue|",-N(I121),0)+IF(LEFT(M121,8)="Revenue|",N(J121),0)</f>
        <v/>
      </c>
      <c r="O121" s="23">
        <f>IF(LEFT(L121,5)="COGS|",N(I121),0)+IF(LEFT(M121,5)="COGS|",-N(J121),0)</f>
        <v/>
      </c>
      <c r="P121" s="23">
        <f>IF(LEFT(L121,8)="Expense|",N(I121),0)+IF(LEFT(M121,8)="Expense|",-N(J121),0)</f>
        <v/>
      </c>
      <c r="Q121" s="23">
        <f>IF(ISNUMBER(MATCH(L121,{"Expense|employee","Expense|general_admin","Expense|marketing","Expense|utilities","Expense|other_operating"},0)),N(I121),0)+IF(ISNUMBER(MATCH(M121,{"Expense|employee","Expense|general_admin","Expense|marketing","Expense|utilities","Expense|other_operating"},0)),-N(J121),0)</f>
        <v/>
      </c>
      <c r="R121" s="23">
        <f>IF(L121="Liability|payable",-N(I121),0)+IF(M121="Liability|payable",N(J121),0)</f>
        <v/>
      </c>
      <c r="S121" s="23">
        <f>IF(L121="Liability|accrued",-N(I121),0)+IF(M121="Liability|accrued",N(J121),0)</f>
        <v/>
      </c>
      <c r="T121" s="23">
        <f>IF(AND(N(I121)&lt;&gt;0,L121=""),1,0)+IF(AND(N(J121)&lt;&gt;0,M121=""),1,0)</f>
        <v/>
      </c>
    </row>
    <row r="122">
      <c r="A122" s="14" t="n"/>
      <c r="B122" s="19" t="n"/>
      <c r="C122" s="14" t="n"/>
      <c r="D122" s="14" t="n"/>
      <c r="E122" s="14" t="n"/>
      <c r="F122" s="14" t="n"/>
      <c r="G122" s="14" t="n"/>
      <c r="H122" s="14" t="n"/>
      <c r="I122" s="20" t="n"/>
      <c r="J122" s="20" t="n"/>
      <c r="K122" s="14" t="n"/>
      <c r="L122" s="23">
        <f>IFERROR(INDEX('Chart of Accounts'!$C$5:$C$3000,MATCH(H122&amp;"",'Chart of Accounts'!$A$5:$A$3000,0))&amp;"|"&amp;INDEX('Chart of Accounts'!$D$5:$D$3000,MATCH(H122&amp;"",'Chart of Accounts'!$A$5:$A$3000,0)),"")</f>
        <v/>
      </c>
      <c r="M122" s="23">
        <f>IFERROR(INDEX('Chart of Accounts'!$C$5:$C$3000,MATCH(H122&amp;"",'Chart of Accounts'!$A$5:$A$3000,0))&amp;"|"&amp;INDEX('Chart of Accounts'!$D$5:$D$3000,MATCH(H122&amp;"",'Chart of Accounts'!$A$5:$A$3000,0)),"")</f>
        <v/>
      </c>
      <c r="N122" s="23">
        <f>IF(LEFT(L122,8)="Revenue|",-N(I122),0)+IF(LEFT(M122,8)="Revenue|",N(J122),0)</f>
        <v/>
      </c>
      <c r="O122" s="23">
        <f>IF(LEFT(L122,5)="COGS|",N(I122),0)+IF(LEFT(M122,5)="COGS|",-N(J122),0)</f>
        <v/>
      </c>
      <c r="P122" s="23">
        <f>IF(LEFT(L122,8)="Expense|",N(I122),0)+IF(LEFT(M122,8)="Expense|",-N(J122),0)</f>
        <v/>
      </c>
      <c r="Q122" s="23">
        <f>IF(ISNUMBER(MATCH(L122,{"Expense|employee","Expense|general_admin","Expense|marketing","Expense|utilities","Expense|other_operating"},0)),N(I122),0)+IF(ISNUMBER(MATCH(M122,{"Expense|employee","Expense|general_admin","Expense|marketing","Expense|utilities","Expense|other_operating"},0)),-N(J122),0)</f>
        <v/>
      </c>
      <c r="R122" s="23">
        <f>IF(L122="Liability|payable",-N(I122),0)+IF(M122="Liability|payable",N(J122),0)</f>
        <v/>
      </c>
      <c r="S122" s="23">
        <f>IF(L122="Liability|accrued",-N(I122),0)+IF(M122="Liability|accrued",N(J122),0)</f>
        <v/>
      </c>
      <c r="T122" s="23">
        <f>IF(AND(N(I122)&lt;&gt;0,L122=""),1,0)+IF(AND(N(J122)&lt;&gt;0,M122=""),1,0)</f>
        <v/>
      </c>
    </row>
    <row r="123">
      <c r="A123" s="14" t="n"/>
      <c r="B123" s="19" t="n"/>
      <c r="C123" s="14" t="n"/>
      <c r="D123" s="14" t="n"/>
      <c r="E123" s="14" t="n"/>
      <c r="F123" s="14" t="n"/>
      <c r="G123" s="14" t="n"/>
      <c r="H123" s="14" t="n"/>
      <c r="I123" s="20" t="n"/>
      <c r="J123" s="20" t="n"/>
      <c r="K123" s="14" t="n"/>
      <c r="L123" s="23">
        <f>IFERROR(INDEX('Chart of Accounts'!$C$5:$C$3000,MATCH(H123&amp;"",'Chart of Accounts'!$A$5:$A$3000,0))&amp;"|"&amp;INDEX('Chart of Accounts'!$D$5:$D$3000,MATCH(H123&amp;"",'Chart of Accounts'!$A$5:$A$3000,0)),"")</f>
        <v/>
      </c>
      <c r="M123" s="23">
        <f>IFERROR(INDEX('Chart of Accounts'!$C$5:$C$3000,MATCH(H123&amp;"",'Chart of Accounts'!$A$5:$A$3000,0))&amp;"|"&amp;INDEX('Chart of Accounts'!$D$5:$D$3000,MATCH(H123&amp;"",'Chart of Accounts'!$A$5:$A$3000,0)),"")</f>
        <v/>
      </c>
      <c r="N123" s="23">
        <f>IF(LEFT(L123,8)="Revenue|",-N(I123),0)+IF(LEFT(M123,8)="Revenue|",N(J123),0)</f>
        <v/>
      </c>
      <c r="O123" s="23">
        <f>IF(LEFT(L123,5)="COGS|",N(I123),0)+IF(LEFT(M123,5)="COGS|",-N(J123),0)</f>
        <v/>
      </c>
      <c r="P123" s="23">
        <f>IF(LEFT(L123,8)="Expense|",N(I123),0)+IF(LEFT(M123,8)="Expense|",-N(J123),0)</f>
        <v/>
      </c>
      <c r="Q123" s="23">
        <f>IF(ISNUMBER(MATCH(L123,{"Expense|employee","Expense|general_admin","Expense|marketing","Expense|utilities","Expense|other_operating"},0)),N(I123),0)+IF(ISNUMBER(MATCH(M123,{"Expense|employee","Expense|general_admin","Expense|marketing","Expense|utilities","Expense|other_operating"},0)),-N(J123),0)</f>
        <v/>
      </c>
      <c r="R123" s="23">
        <f>IF(L123="Liability|payable",-N(I123),0)+IF(M123="Liability|payable",N(J123),0)</f>
        <v/>
      </c>
      <c r="S123" s="23">
        <f>IF(L123="Liability|accrued",-N(I123),0)+IF(M123="Liability|accrued",N(J123),0)</f>
        <v/>
      </c>
      <c r="T123" s="23">
        <f>IF(AND(N(I123)&lt;&gt;0,L123=""),1,0)+IF(AND(N(J123)&lt;&gt;0,M123=""),1,0)</f>
        <v/>
      </c>
    </row>
    <row r="124">
      <c r="A124" s="14" t="n"/>
      <c r="B124" s="19" t="n"/>
      <c r="C124" s="14" t="n"/>
      <c r="D124" s="14" t="n"/>
      <c r="E124" s="14" t="n"/>
      <c r="F124" s="14" t="n"/>
      <c r="G124" s="14" t="n"/>
      <c r="H124" s="14" t="n"/>
      <c r="I124" s="20" t="n"/>
      <c r="J124" s="20" t="n"/>
      <c r="K124" s="14" t="n"/>
      <c r="L124" s="23">
        <f>IFERROR(INDEX('Chart of Accounts'!$C$5:$C$3000,MATCH(H124&amp;"",'Chart of Accounts'!$A$5:$A$3000,0))&amp;"|"&amp;INDEX('Chart of Accounts'!$D$5:$D$3000,MATCH(H124&amp;"",'Chart of Accounts'!$A$5:$A$3000,0)),"")</f>
        <v/>
      </c>
      <c r="M124" s="23">
        <f>IFERROR(INDEX('Chart of Accounts'!$C$5:$C$3000,MATCH(H124&amp;"",'Chart of Accounts'!$A$5:$A$3000,0))&amp;"|"&amp;INDEX('Chart of Accounts'!$D$5:$D$3000,MATCH(H124&amp;"",'Chart of Accounts'!$A$5:$A$3000,0)),"")</f>
        <v/>
      </c>
      <c r="N124" s="23">
        <f>IF(LEFT(L124,8)="Revenue|",-N(I124),0)+IF(LEFT(M124,8)="Revenue|",N(J124),0)</f>
        <v/>
      </c>
      <c r="O124" s="23">
        <f>IF(LEFT(L124,5)="COGS|",N(I124),0)+IF(LEFT(M124,5)="COGS|",-N(J124),0)</f>
        <v/>
      </c>
      <c r="P124" s="23">
        <f>IF(LEFT(L124,8)="Expense|",N(I124),0)+IF(LEFT(M124,8)="Expense|",-N(J124),0)</f>
        <v/>
      </c>
      <c r="Q124" s="23">
        <f>IF(ISNUMBER(MATCH(L124,{"Expense|employee","Expense|general_admin","Expense|marketing","Expense|utilities","Expense|other_operating"},0)),N(I124),0)+IF(ISNUMBER(MATCH(M124,{"Expense|employee","Expense|general_admin","Expense|marketing","Expense|utilities","Expense|other_operating"},0)),-N(J124),0)</f>
        <v/>
      </c>
      <c r="R124" s="23">
        <f>IF(L124="Liability|payable",-N(I124),0)+IF(M124="Liability|payable",N(J124),0)</f>
        <v/>
      </c>
      <c r="S124" s="23">
        <f>IF(L124="Liability|accrued",-N(I124),0)+IF(M124="Liability|accrued",N(J124),0)</f>
        <v/>
      </c>
      <c r="T124" s="23">
        <f>IF(AND(N(I124)&lt;&gt;0,L124=""),1,0)+IF(AND(N(J124)&lt;&gt;0,M124=""),1,0)</f>
        <v/>
      </c>
    </row>
    <row r="125">
      <c r="A125" s="14" t="n"/>
      <c r="B125" s="19" t="n"/>
      <c r="C125" s="14" t="n"/>
      <c r="D125" s="14" t="n"/>
      <c r="E125" s="14" t="n"/>
      <c r="F125" s="14" t="n"/>
      <c r="G125" s="14" t="n"/>
      <c r="H125" s="14" t="n"/>
      <c r="I125" s="20" t="n"/>
      <c r="J125" s="20" t="n"/>
      <c r="K125" s="14" t="n"/>
      <c r="L125" s="23">
        <f>IFERROR(INDEX('Chart of Accounts'!$C$5:$C$3000,MATCH(H125&amp;"",'Chart of Accounts'!$A$5:$A$3000,0))&amp;"|"&amp;INDEX('Chart of Accounts'!$D$5:$D$3000,MATCH(H125&amp;"",'Chart of Accounts'!$A$5:$A$3000,0)),"")</f>
        <v/>
      </c>
      <c r="M125" s="23">
        <f>IFERROR(INDEX('Chart of Accounts'!$C$5:$C$3000,MATCH(H125&amp;"",'Chart of Accounts'!$A$5:$A$3000,0))&amp;"|"&amp;INDEX('Chart of Accounts'!$D$5:$D$3000,MATCH(H125&amp;"",'Chart of Accounts'!$A$5:$A$3000,0)),"")</f>
        <v/>
      </c>
      <c r="N125" s="23">
        <f>IF(LEFT(L125,8)="Revenue|",-N(I125),0)+IF(LEFT(M125,8)="Revenue|",N(J125),0)</f>
        <v/>
      </c>
      <c r="O125" s="23">
        <f>IF(LEFT(L125,5)="COGS|",N(I125),0)+IF(LEFT(M125,5)="COGS|",-N(J125),0)</f>
        <v/>
      </c>
      <c r="P125" s="23">
        <f>IF(LEFT(L125,8)="Expense|",N(I125),0)+IF(LEFT(M125,8)="Expense|",-N(J125),0)</f>
        <v/>
      </c>
      <c r="Q125" s="23">
        <f>IF(ISNUMBER(MATCH(L125,{"Expense|employee","Expense|general_admin","Expense|marketing","Expense|utilities","Expense|other_operating"},0)),N(I125),0)+IF(ISNUMBER(MATCH(M125,{"Expense|employee","Expense|general_admin","Expense|marketing","Expense|utilities","Expense|other_operating"},0)),-N(J125),0)</f>
        <v/>
      </c>
      <c r="R125" s="23">
        <f>IF(L125="Liability|payable",-N(I125),0)+IF(M125="Liability|payable",N(J125),0)</f>
        <v/>
      </c>
      <c r="S125" s="23">
        <f>IF(L125="Liability|accrued",-N(I125),0)+IF(M125="Liability|accrued",N(J125),0)</f>
        <v/>
      </c>
      <c r="T125" s="23">
        <f>IF(AND(N(I125)&lt;&gt;0,L125=""),1,0)+IF(AND(N(J125)&lt;&gt;0,M125=""),1,0)</f>
        <v/>
      </c>
    </row>
    <row r="126">
      <c r="A126" s="14" t="n"/>
      <c r="B126" s="19" t="n"/>
      <c r="C126" s="14" t="n"/>
      <c r="D126" s="14" t="n"/>
      <c r="E126" s="14" t="n"/>
      <c r="F126" s="14" t="n"/>
      <c r="G126" s="14" t="n"/>
      <c r="H126" s="14" t="n"/>
      <c r="I126" s="20" t="n"/>
      <c r="J126" s="20" t="n"/>
      <c r="K126" s="14" t="n"/>
      <c r="L126" s="23">
        <f>IFERROR(INDEX('Chart of Accounts'!$C$5:$C$3000,MATCH(H126&amp;"",'Chart of Accounts'!$A$5:$A$3000,0))&amp;"|"&amp;INDEX('Chart of Accounts'!$D$5:$D$3000,MATCH(H126&amp;"",'Chart of Accounts'!$A$5:$A$3000,0)),"")</f>
        <v/>
      </c>
      <c r="M126" s="23">
        <f>IFERROR(INDEX('Chart of Accounts'!$C$5:$C$3000,MATCH(H126&amp;"",'Chart of Accounts'!$A$5:$A$3000,0))&amp;"|"&amp;INDEX('Chart of Accounts'!$D$5:$D$3000,MATCH(H126&amp;"",'Chart of Accounts'!$A$5:$A$3000,0)),"")</f>
        <v/>
      </c>
      <c r="N126" s="23">
        <f>IF(LEFT(L126,8)="Revenue|",-N(I126),0)+IF(LEFT(M126,8)="Revenue|",N(J126),0)</f>
        <v/>
      </c>
      <c r="O126" s="23">
        <f>IF(LEFT(L126,5)="COGS|",N(I126),0)+IF(LEFT(M126,5)="COGS|",-N(J126),0)</f>
        <v/>
      </c>
      <c r="P126" s="23">
        <f>IF(LEFT(L126,8)="Expense|",N(I126),0)+IF(LEFT(M126,8)="Expense|",-N(J126),0)</f>
        <v/>
      </c>
      <c r="Q126" s="23">
        <f>IF(ISNUMBER(MATCH(L126,{"Expense|employee","Expense|general_admin","Expense|marketing","Expense|utilities","Expense|other_operating"},0)),N(I126),0)+IF(ISNUMBER(MATCH(M126,{"Expense|employee","Expense|general_admin","Expense|marketing","Expense|utilities","Expense|other_operating"},0)),-N(J126),0)</f>
        <v/>
      </c>
      <c r="R126" s="23">
        <f>IF(L126="Liability|payable",-N(I126),0)+IF(M126="Liability|payable",N(J126),0)</f>
        <v/>
      </c>
      <c r="S126" s="23">
        <f>IF(L126="Liability|accrued",-N(I126),0)+IF(M126="Liability|accrued",N(J126),0)</f>
        <v/>
      </c>
      <c r="T126" s="23">
        <f>IF(AND(N(I126)&lt;&gt;0,L126=""),1,0)+IF(AND(N(J126)&lt;&gt;0,M126=""),1,0)</f>
        <v/>
      </c>
    </row>
    <row r="127">
      <c r="A127" s="14" t="n"/>
      <c r="B127" s="19" t="n"/>
      <c r="C127" s="14" t="n"/>
      <c r="D127" s="14" t="n"/>
      <c r="E127" s="14" t="n"/>
      <c r="F127" s="14" t="n"/>
      <c r="G127" s="14" t="n"/>
      <c r="H127" s="14" t="n"/>
      <c r="I127" s="20" t="n"/>
      <c r="J127" s="20" t="n"/>
      <c r="K127" s="14" t="n"/>
      <c r="L127" s="23">
        <f>IFERROR(INDEX('Chart of Accounts'!$C$5:$C$3000,MATCH(H127&amp;"",'Chart of Accounts'!$A$5:$A$3000,0))&amp;"|"&amp;INDEX('Chart of Accounts'!$D$5:$D$3000,MATCH(H127&amp;"",'Chart of Accounts'!$A$5:$A$3000,0)),"")</f>
        <v/>
      </c>
      <c r="M127" s="23">
        <f>IFERROR(INDEX('Chart of Accounts'!$C$5:$C$3000,MATCH(H127&amp;"",'Chart of Accounts'!$A$5:$A$3000,0))&amp;"|"&amp;INDEX('Chart of Accounts'!$D$5:$D$3000,MATCH(H127&amp;"",'Chart of Accounts'!$A$5:$A$3000,0)),"")</f>
        <v/>
      </c>
      <c r="N127" s="23">
        <f>IF(LEFT(L127,8)="Revenue|",-N(I127),0)+IF(LEFT(M127,8)="Revenue|",N(J127),0)</f>
        <v/>
      </c>
      <c r="O127" s="23">
        <f>IF(LEFT(L127,5)="COGS|",N(I127),0)+IF(LEFT(M127,5)="COGS|",-N(J127),0)</f>
        <v/>
      </c>
      <c r="P127" s="23">
        <f>IF(LEFT(L127,8)="Expense|",N(I127),0)+IF(LEFT(M127,8)="Expense|",-N(J127),0)</f>
        <v/>
      </c>
      <c r="Q127" s="23">
        <f>IF(ISNUMBER(MATCH(L127,{"Expense|employee","Expense|general_admin","Expense|marketing","Expense|utilities","Expense|other_operating"},0)),N(I127),0)+IF(ISNUMBER(MATCH(M127,{"Expense|employee","Expense|general_admin","Expense|marketing","Expense|utilities","Expense|other_operating"},0)),-N(J127),0)</f>
        <v/>
      </c>
      <c r="R127" s="23">
        <f>IF(L127="Liability|payable",-N(I127),0)+IF(M127="Liability|payable",N(J127),0)</f>
        <v/>
      </c>
      <c r="S127" s="23">
        <f>IF(L127="Liability|accrued",-N(I127),0)+IF(M127="Liability|accrued",N(J127),0)</f>
        <v/>
      </c>
      <c r="T127" s="23">
        <f>IF(AND(N(I127)&lt;&gt;0,L127=""),1,0)+IF(AND(N(J127)&lt;&gt;0,M127=""),1,0)</f>
        <v/>
      </c>
    </row>
    <row r="128">
      <c r="A128" s="14" t="n"/>
      <c r="B128" s="19" t="n"/>
      <c r="C128" s="14" t="n"/>
      <c r="D128" s="14" t="n"/>
      <c r="E128" s="14" t="n"/>
      <c r="F128" s="14" t="n"/>
      <c r="G128" s="14" t="n"/>
      <c r="H128" s="14" t="n"/>
      <c r="I128" s="20" t="n"/>
      <c r="J128" s="20" t="n"/>
      <c r="K128" s="14" t="n"/>
      <c r="L128" s="23">
        <f>IFERROR(INDEX('Chart of Accounts'!$C$5:$C$3000,MATCH(H128&amp;"",'Chart of Accounts'!$A$5:$A$3000,0))&amp;"|"&amp;INDEX('Chart of Accounts'!$D$5:$D$3000,MATCH(H128&amp;"",'Chart of Accounts'!$A$5:$A$3000,0)),"")</f>
        <v/>
      </c>
      <c r="M128" s="23">
        <f>IFERROR(INDEX('Chart of Accounts'!$C$5:$C$3000,MATCH(H128&amp;"",'Chart of Accounts'!$A$5:$A$3000,0))&amp;"|"&amp;INDEX('Chart of Accounts'!$D$5:$D$3000,MATCH(H128&amp;"",'Chart of Accounts'!$A$5:$A$3000,0)),"")</f>
        <v/>
      </c>
      <c r="N128" s="23">
        <f>IF(LEFT(L128,8)="Revenue|",-N(I128),0)+IF(LEFT(M128,8)="Revenue|",N(J128),0)</f>
        <v/>
      </c>
      <c r="O128" s="23">
        <f>IF(LEFT(L128,5)="COGS|",N(I128),0)+IF(LEFT(M128,5)="COGS|",-N(J128),0)</f>
        <v/>
      </c>
      <c r="P128" s="23">
        <f>IF(LEFT(L128,8)="Expense|",N(I128),0)+IF(LEFT(M128,8)="Expense|",-N(J128),0)</f>
        <v/>
      </c>
      <c r="Q128" s="23">
        <f>IF(ISNUMBER(MATCH(L128,{"Expense|employee","Expense|general_admin","Expense|marketing","Expense|utilities","Expense|other_operating"},0)),N(I128),0)+IF(ISNUMBER(MATCH(M128,{"Expense|employee","Expense|general_admin","Expense|marketing","Expense|utilities","Expense|other_operating"},0)),-N(J128),0)</f>
        <v/>
      </c>
      <c r="R128" s="23">
        <f>IF(L128="Liability|payable",-N(I128),0)+IF(M128="Liability|payable",N(J128),0)</f>
        <v/>
      </c>
      <c r="S128" s="23">
        <f>IF(L128="Liability|accrued",-N(I128),0)+IF(M128="Liability|accrued",N(J128),0)</f>
        <v/>
      </c>
      <c r="T128" s="23">
        <f>IF(AND(N(I128)&lt;&gt;0,L128=""),1,0)+IF(AND(N(J128)&lt;&gt;0,M128=""),1,0)</f>
        <v/>
      </c>
    </row>
    <row r="129">
      <c r="A129" s="14" t="n"/>
      <c r="B129" s="19" t="n"/>
      <c r="C129" s="14" t="n"/>
      <c r="D129" s="14" t="n"/>
      <c r="E129" s="14" t="n"/>
      <c r="F129" s="14" t="n"/>
      <c r="G129" s="14" t="n"/>
      <c r="H129" s="14" t="n"/>
      <c r="I129" s="20" t="n"/>
      <c r="J129" s="20" t="n"/>
      <c r="K129" s="14" t="n"/>
      <c r="L129" s="23">
        <f>IFERROR(INDEX('Chart of Accounts'!$C$5:$C$3000,MATCH(H129&amp;"",'Chart of Accounts'!$A$5:$A$3000,0))&amp;"|"&amp;INDEX('Chart of Accounts'!$D$5:$D$3000,MATCH(H129&amp;"",'Chart of Accounts'!$A$5:$A$3000,0)),"")</f>
        <v/>
      </c>
      <c r="M129" s="23">
        <f>IFERROR(INDEX('Chart of Accounts'!$C$5:$C$3000,MATCH(H129&amp;"",'Chart of Accounts'!$A$5:$A$3000,0))&amp;"|"&amp;INDEX('Chart of Accounts'!$D$5:$D$3000,MATCH(H129&amp;"",'Chart of Accounts'!$A$5:$A$3000,0)),"")</f>
        <v/>
      </c>
      <c r="N129" s="23">
        <f>IF(LEFT(L129,8)="Revenue|",-N(I129),0)+IF(LEFT(M129,8)="Revenue|",N(J129),0)</f>
        <v/>
      </c>
      <c r="O129" s="23">
        <f>IF(LEFT(L129,5)="COGS|",N(I129),0)+IF(LEFT(M129,5)="COGS|",-N(J129),0)</f>
        <v/>
      </c>
      <c r="P129" s="23">
        <f>IF(LEFT(L129,8)="Expense|",N(I129),0)+IF(LEFT(M129,8)="Expense|",-N(J129),0)</f>
        <v/>
      </c>
      <c r="Q129" s="23">
        <f>IF(ISNUMBER(MATCH(L129,{"Expense|employee","Expense|general_admin","Expense|marketing","Expense|utilities","Expense|other_operating"},0)),N(I129),0)+IF(ISNUMBER(MATCH(M129,{"Expense|employee","Expense|general_admin","Expense|marketing","Expense|utilities","Expense|other_operating"},0)),-N(J129),0)</f>
        <v/>
      </c>
      <c r="R129" s="23">
        <f>IF(L129="Liability|payable",-N(I129),0)+IF(M129="Liability|payable",N(J129),0)</f>
        <v/>
      </c>
      <c r="S129" s="23">
        <f>IF(L129="Liability|accrued",-N(I129),0)+IF(M129="Liability|accrued",N(J129),0)</f>
        <v/>
      </c>
      <c r="T129" s="23">
        <f>IF(AND(N(I129)&lt;&gt;0,L129=""),1,0)+IF(AND(N(J129)&lt;&gt;0,M129=""),1,0)</f>
        <v/>
      </c>
    </row>
    <row r="130">
      <c r="A130" s="14" t="n"/>
      <c r="B130" s="19" t="n"/>
      <c r="C130" s="14" t="n"/>
      <c r="D130" s="14" t="n"/>
      <c r="E130" s="14" t="n"/>
      <c r="F130" s="14" t="n"/>
      <c r="G130" s="14" t="n"/>
      <c r="H130" s="14" t="n"/>
      <c r="I130" s="20" t="n"/>
      <c r="J130" s="20" t="n"/>
      <c r="K130" s="14" t="n"/>
      <c r="L130" s="23">
        <f>IFERROR(INDEX('Chart of Accounts'!$C$5:$C$3000,MATCH(H130&amp;"",'Chart of Accounts'!$A$5:$A$3000,0))&amp;"|"&amp;INDEX('Chart of Accounts'!$D$5:$D$3000,MATCH(H130&amp;"",'Chart of Accounts'!$A$5:$A$3000,0)),"")</f>
        <v/>
      </c>
      <c r="M130" s="23">
        <f>IFERROR(INDEX('Chart of Accounts'!$C$5:$C$3000,MATCH(H130&amp;"",'Chart of Accounts'!$A$5:$A$3000,0))&amp;"|"&amp;INDEX('Chart of Accounts'!$D$5:$D$3000,MATCH(H130&amp;"",'Chart of Accounts'!$A$5:$A$3000,0)),"")</f>
        <v/>
      </c>
      <c r="N130" s="23">
        <f>IF(LEFT(L130,8)="Revenue|",-N(I130),0)+IF(LEFT(M130,8)="Revenue|",N(J130),0)</f>
        <v/>
      </c>
      <c r="O130" s="23">
        <f>IF(LEFT(L130,5)="COGS|",N(I130),0)+IF(LEFT(M130,5)="COGS|",-N(J130),0)</f>
        <v/>
      </c>
      <c r="P130" s="23">
        <f>IF(LEFT(L130,8)="Expense|",N(I130),0)+IF(LEFT(M130,8)="Expense|",-N(J130),0)</f>
        <v/>
      </c>
      <c r="Q130" s="23">
        <f>IF(ISNUMBER(MATCH(L130,{"Expense|employee","Expense|general_admin","Expense|marketing","Expense|utilities","Expense|other_operating"},0)),N(I130),0)+IF(ISNUMBER(MATCH(M130,{"Expense|employee","Expense|general_admin","Expense|marketing","Expense|utilities","Expense|other_operating"},0)),-N(J130),0)</f>
        <v/>
      </c>
      <c r="R130" s="23">
        <f>IF(L130="Liability|payable",-N(I130),0)+IF(M130="Liability|payable",N(J130),0)</f>
        <v/>
      </c>
      <c r="S130" s="23">
        <f>IF(L130="Liability|accrued",-N(I130),0)+IF(M130="Liability|accrued",N(J130),0)</f>
        <v/>
      </c>
      <c r="T130" s="23">
        <f>IF(AND(N(I130)&lt;&gt;0,L130=""),1,0)+IF(AND(N(J130)&lt;&gt;0,M130=""),1,0)</f>
        <v/>
      </c>
    </row>
    <row r="131">
      <c r="A131" s="14" t="n"/>
      <c r="B131" s="19" t="n"/>
      <c r="C131" s="14" t="n"/>
      <c r="D131" s="14" t="n"/>
      <c r="E131" s="14" t="n"/>
      <c r="F131" s="14" t="n"/>
      <c r="G131" s="14" t="n"/>
      <c r="H131" s="14" t="n"/>
      <c r="I131" s="20" t="n"/>
      <c r="J131" s="20" t="n"/>
      <c r="K131" s="14" t="n"/>
      <c r="L131" s="23">
        <f>IFERROR(INDEX('Chart of Accounts'!$C$5:$C$3000,MATCH(H131&amp;"",'Chart of Accounts'!$A$5:$A$3000,0))&amp;"|"&amp;INDEX('Chart of Accounts'!$D$5:$D$3000,MATCH(H131&amp;"",'Chart of Accounts'!$A$5:$A$3000,0)),"")</f>
        <v/>
      </c>
      <c r="M131" s="23">
        <f>IFERROR(INDEX('Chart of Accounts'!$C$5:$C$3000,MATCH(H131&amp;"",'Chart of Accounts'!$A$5:$A$3000,0))&amp;"|"&amp;INDEX('Chart of Accounts'!$D$5:$D$3000,MATCH(H131&amp;"",'Chart of Accounts'!$A$5:$A$3000,0)),"")</f>
        <v/>
      </c>
      <c r="N131" s="23">
        <f>IF(LEFT(L131,8)="Revenue|",-N(I131),0)+IF(LEFT(M131,8)="Revenue|",N(J131),0)</f>
        <v/>
      </c>
      <c r="O131" s="23">
        <f>IF(LEFT(L131,5)="COGS|",N(I131),0)+IF(LEFT(M131,5)="COGS|",-N(J131),0)</f>
        <v/>
      </c>
      <c r="P131" s="23">
        <f>IF(LEFT(L131,8)="Expense|",N(I131),0)+IF(LEFT(M131,8)="Expense|",-N(J131),0)</f>
        <v/>
      </c>
      <c r="Q131" s="23">
        <f>IF(ISNUMBER(MATCH(L131,{"Expense|employee","Expense|general_admin","Expense|marketing","Expense|utilities","Expense|other_operating"},0)),N(I131),0)+IF(ISNUMBER(MATCH(M131,{"Expense|employee","Expense|general_admin","Expense|marketing","Expense|utilities","Expense|other_operating"},0)),-N(J131),0)</f>
        <v/>
      </c>
      <c r="R131" s="23">
        <f>IF(L131="Liability|payable",-N(I131),0)+IF(M131="Liability|payable",N(J131),0)</f>
        <v/>
      </c>
      <c r="S131" s="23">
        <f>IF(L131="Liability|accrued",-N(I131),0)+IF(M131="Liability|accrued",N(J131),0)</f>
        <v/>
      </c>
      <c r="T131" s="23">
        <f>IF(AND(N(I131)&lt;&gt;0,L131=""),1,0)+IF(AND(N(J131)&lt;&gt;0,M131=""),1,0)</f>
        <v/>
      </c>
    </row>
    <row r="132">
      <c r="A132" s="14" t="n"/>
      <c r="B132" s="19" t="n"/>
      <c r="C132" s="14" t="n"/>
      <c r="D132" s="14" t="n"/>
      <c r="E132" s="14" t="n"/>
      <c r="F132" s="14" t="n"/>
      <c r="G132" s="14" t="n"/>
      <c r="H132" s="14" t="n"/>
      <c r="I132" s="20" t="n"/>
      <c r="J132" s="20" t="n"/>
      <c r="K132" s="14" t="n"/>
      <c r="L132" s="23">
        <f>IFERROR(INDEX('Chart of Accounts'!$C$5:$C$3000,MATCH(H132&amp;"",'Chart of Accounts'!$A$5:$A$3000,0))&amp;"|"&amp;INDEX('Chart of Accounts'!$D$5:$D$3000,MATCH(H132&amp;"",'Chart of Accounts'!$A$5:$A$3000,0)),"")</f>
        <v/>
      </c>
      <c r="M132" s="23">
        <f>IFERROR(INDEX('Chart of Accounts'!$C$5:$C$3000,MATCH(H132&amp;"",'Chart of Accounts'!$A$5:$A$3000,0))&amp;"|"&amp;INDEX('Chart of Accounts'!$D$5:$D$3000,MATCH(H132&amp;"",'Chart of Accounts'!$A$5:$A$3000,0)),"")</f>
        <v/>
      </c>
      <c r="N132" s="23">
        <f>IF(LEFT(L132,8)="Revenue|",-N(I132),0)+IF(LEFT(M132,8)="Revenue|",N(J132),0)</f>
        <v/>
      </c>
      <c r="O132" s="23">
        <f>IF(LEFT(L132,5)="COGS|",N(I132),0)+IF(LEFT(M132,5)="COGS|",-N(J132),0)</f>
        <v/>
      </c>
      <c r="P132" s="23">
        <f>IF(LEFT(L132,8)="Expense|",N(I132),0)+IF(LEFT(M132,8)="Expense|",-N(J132),0)</f>
        <v/>
      </c>
      <c r="Q132" s="23">
        <f>IF(ISNUMBER(MATCH(L132,{"Expense|employee","Expense|general_admin","Expense|marketing","Expense|utilities","Expense|other_operating"},0)),N(I132),0)+IF(ISNUMBER(MATCH(M132,{"Expense|employee","Expense|general_admin","Expense|marketing","Expense|utilities","Expense|other_operating"},0)),-N(J132),0)</f>
        <v/>
      </c>
      <c r="R132" s="23">
        <f>IF(L132="Liability|payable",-N(I132),0)+IF(M132="Liability|payable",N(J132),0)</f>
        <v/>
      </c>
      <c r="S132" s="23">
        <f>IF(L132="Liability|accrued",-N(I132),0)+IF(M132="Liability|accrued",N(J132),0)</f>
        <v/>
      </c>
      <c r="T132" s="23">
        <f>IF(AND(N(I132)&lt;&gt;0,L132=""),1,0)+IF(AND(N(J132)&lt;&gt;0,M132=""),1,0)</f>
        <v/>
      </c>
    </row>
    <row r="133">
      <c r="A133" s="14" t="n"/>
      <c r="B133" s="19" t="n"/>
      <c r="C133" s="14" t="n"/>
      <c r="D133" s="14" t="n"/>
      <c r="E133" s="14" t="n"/>
      <c r="F133" s="14" t="n"/>
      <c r="G133" s="14" t="n"/>
      <c r="H133" s="14" t="n"/>
      <c r="I133" s="20" t="n"/>
      <c r="J133" s="20" t="n"/>
      <c r="K133" s="14" t="n"/>
      <c r="L133" s="23">
        <f>IFERROR(INDEX('Chart of Accounts'!$C$5:$C$3000,MATCH(H133&amp;"",'Chart of Accounts'!$A$5:$A$3000,0))&amp;"|"&amp;INDEX('Chart of Accounts'!$D$5:$D$3000,MATCH(H133&amp;"",'Chart of Accounts'!$A$5:$A$3000,0)),"")</f>
        <v/>
      </c>
      <c r="M133" s="23">
        <f>IFERROR(INDEX('Chart of Accounts'!$C$5:$C$3000,MATCH(H133&amp;"",'Chart of Accounts'!$A$5:$A$3000,0))&amp;"|"&amp;INDEX('Chart of Accounts'!$D$5:$D$3000,MATCH(H133&amp;"",'Chart of Accounts'!$A$5:$A$3000,0)),"")</f>
        <v/>
      </c>
      <c r="N133" s="23">
        <f>IF(LEFT(L133,8)="Revenue|",-N(I133),0)+IF(LEFT(M133,8)="Revenue|",N(J133),0)</f>
        <v/>
      </c>
      <c r="O133" s="23">
        <f>IF(LEFT(L133,5)="COGS|",N(I133),0)+IF(LEFT(M133,5)="COGS|",-N(J133),0)</f>
        <v/>
      </c>
      <c r="P133" s="23">
        <f>IF(LEFT(L133,8)="Expense|",N(I133),0)+IF(LEFT(M133,8)="Expense|",-N(J133),0)</f>
        <v/>
      </c>
      <c r="Q133" s="23">
        <f>IF(ISNUMBER(MATCH(L133,{"Expense|employee","Expense|general_admin","Expense|marketing","Expense|utilities","Expense|other_operating"},0)),N(I133),0)+IF(ISNUMBER(MATCH(M133,{"Expense|employee","Expense|general_admin","Expense|marketing","Expense|utilities","Expense|other_operating"},0)),-N(J133),0)</f>
        <v/>
      </c>
      <c r="R133" s="23">
        <f>IF(L133="Liability|payable",-N(I133),0)+IF(M133="Liability|payable",N(J133),0)</f>
        <v/>
      </c>
      <c r="S133" s="23">
        <f>IF(L133="Liability|accrued",-N(I133),0)+IF(M133="Liability|accrued",N(J133),0)</f>
        <v/>
      </c>
      <c r="T133" s="23">
        <f>IF(AND(N(I133)&lt;&gt;0,L133=""),1,0)+IF(AND(N(J133)&lt;&gt;0,M133=""),1,0)</f>
        <v/>
      </c>
    </row>
    <row r="134">
      <c r="A134" s="14" t="n"/>
      <c r="B134" s="19" t="n"/>
      <c r="C134" s="14" t="n"/>
      <c r="D134" s="14" t="n"/>
      <c r="E134" s="14" t="n"/>
      <c r="F134" s="14" t="n"/>
      <c r="G134" s="14" t="n"/>
      <c r="H134" s="14" t="n"/>
      <c r="I134" s="20" t="n"/>
      <c r="J134" s="20" t="n"/>
      <c r="K134" s="14" t="n"/>
      <c r="L134" s="23">
        <f>IFERROR(INDEX('Chart of Accounts'!$C$5:$C$3000,MATCH(H134&amp;"",'Chart of Accounts'!$A$5:$A$3000,0))&amp;"|"&amp;INDEX('Chart of Accounts'!$D$5:$D$3000,MATCH(H134&amp;"",'Chart of Accounts'!$A$5:$A$3000,0)),"")</f>
        <v/>
      </c>
      <c r="M134" s="23">
        <f>IFERROR(INDEX('Chart of Accounts'!$C$5:$C$3000,MATCH(H134&amp;"",'Chart of Accounts'!$A$5:$A$3000,0))&amp;"|"&amp;INDEX('Chart of Accounts'!$D$5:$D$3000,MATCH(H134&amp;"",'Chart of Accounts'!$A$5:$A$3000,0)),"")</f>
        <v/>
      </c>
      <c r="N134" s="23">
        <f>IF(LEFT(L134,8)="Revenue|",-N(I134),0)+IF(LEFT(M134,8)="Revenue|",N(J134),0)</f>
        <v/>
      </c>
      <c r="O134" s="23">
        <f>IF(LEFT(L134,5)="COGS|",N(I134),0)+IF(LEFT(M134,5)="COGS|",-N(J134),0)</f>
        <v/>
      </c>
      <c r="P134" s="23">
        <f>IF(LEFT(L134,8)="Expense|",N(I134),0)+IF(LEFT(M134,8)="Expense|",-N(J134),0)</f>
        <v/>
      </c>
      <c r="Q134" s="23">
        <f>IF(ISNUMBER(MATCH(L134,{"Expense|employee","Expense|general_admin","Expense|marketing","Expense|utilities","Expense|other_operating"},0)),N(I134),0)+IF(ISNUMBER(MATCH(M134,{"Expense|employee","Expense|general_admin","Expense|marketing","Expense|utilities","Expense|other_operating"},0)),-N(J134),0)</f>
        <v/>
      </c>
      <c r="R134" s="23">
        <f>IF(L134="Liability|payable",-N(I134),0)+IF(M134="Liability|payable",N(J134),0)</f>
        <v/>
      </c>
      <c r="S134" s="23">
        <f>IF(L134="Liability|accrued",-N(I134),0)+IF(M134="Liability|accrued",N(J134),0)</f>
        <v/>
      </c>
      <c r="T134" s="23">
        <f>IF(AND(N(I134)&lt;&gt;0,L134=""),1,0)+IF(AND(N(J134)&lt;&gt;0,M134=""),1,0)</f>
        <v/>
      </c>
    </row>
    <row r="135">
      <c r="A135" s="14" t="n"/>
      <c r="B135" s="19" t="n"/>
      <c r="C135" s="14" t="n"/>
      <c r="D135" s="14" t="n"/>
      <c r="E135" s="14" t="n"/>
      <c r="F135" s="14" t="n"/>
      <c r="G135" s="14" t="n"/>
      <c r="H135" s="14" t="n"/>
      <c r="I135" s="20" t="n"/>
      <c r="J135" s="20" t="n"/>
      <c r="K135" s="14" t="n"/>
      <c r="L135" s="23">
        <f>IFERROR(INDEX('Chart of Accounts'!$C$5:$C$3000,MATCH(H135&amp;"",'Chart of Accounts'!$A$5:$A$3000,0))&amp;"|"&amp;INDEX('Chart of Accounts'!$D$5:$D$3000,MATCH(H135&amp;"",'Chart of Accounts'!$A$5:$A$3000,0)),"")</f>
        <v/>
      </c>
      <c r="M135" s="23">
        <f>IFERROR(INDEX('Chart of Accounts'!$C$5:$C$3000,MATCH(H135&amp;"",'Chart of Accounts'!$A$5:$A$3000,0))&amp;"|"&amp;INDEX('Chart of Accounts'!$D$5:$D$3000,MATCH(H135&amp;"",'Chart of Accounts'!$A$5:$A$3000,0)),"")</f>
        <v/>
      </c>
      <c r="N135" s="23">
        <f>IF(LEFT(L135,8)="Revenue|",-N(I135),0)+IF(LEFT(M135,8)="Revenue|",N(J135),0)</f>
        <v/>
      </c>
      <c r="O135" s="23">
        <f>IF(LEFT(L135,5)="COGS|",N(I135),0)+IF(LEFT(M135,5)="COGS|",-N(J135),0)</f>
        <v/>
      </c>
      <c r="P135" s="23">
        <f>IF(LEFT(L135,8)="Expense|",N(I135),0)+IF(LEFT(M135,8)="Expense|",-N(J135),0)</f>
        <v/>
      </c>
      <c r="Q135" s="23">
        <f>IF(ISNUMBER(MATCH(L135,{"Expense|employee","Expense|general_admin","Expense|marketing","Expense|utilities","Expense|other_operating"},0)),N(I135),0)+IF(ISNUMBER(MATCH(M135,{"Expense|employee","Expense|general_admin","Expense|marketing","Expense|utilities","Expense|other_operating"},0)),-N(J135),0)</f>
        <v/>
      </c>
      <c r="R135" s="23">
        <f>IF(L135="Liability|payable",-N(I135),0)+IF(M135="Liability|payable",N(J135),0)</f>
        <v/>
      </c>
      <c r="S135" s="23">
        <f>IF(L135="Liability|accrued",-N(I135),0)+IF(M135="Liability|accrued",N(J135),0)</f>
        <v/>
      </c>
      <c r="T135" s="23">
        <f>IF(AND(N(I135)&lt;&gt;0,L135=""),1,0)+IF(AND(N(J135)&lt;&gt;0,M135=""),1,0)</f>
        <v/>
      </c>
    </row>
    <row r="136">
      <c r="A136" s="14" t="n"/>
      <c r="B136" s="19" t="n"/>
      <c r="C136" s="14" t="n"/>
      <c r="D136" s="14" t="n"/>
      <c r="E136" s="14" t="n"/>
      <c r="F136" s="14" t="n"/>
      <c r="G136" s="14" t="n"/>
      <c r="H136" s="14" t="n"/>
      <c r="I136" s="20" t="n"/>
      <c r="J136" s="20" t="n"/>
      <c r="K136" s="14" t="n"/>
      <c r="L136" s="23">
        <f>IFERROR(INDEX('Chart of Accounts'!$C$5:$C$3000,MATCH(H136&amp;"",'Chart of Accounts'!$A$5:$A$3000,0))&amp;"|"&amp;INDEX('Chart of Accounts'!$D$5:$D$3000,MATCH(H136&amp;"",'Chart of Accounts'!$A$5:$A$3000,0)),"")</f>
        <v/>
      </c>
      <c r="M136" s="23">
        <f>IFERROR(INDEX('Chart of Accounts'!$C$5:$C$3000,MATCH(H136&amp;"",'Chart of Accounts'!$A$5:$A$3000,0))&amp;"|"&amp;INDEX('Chart of Accounts'!$D$5:$D$3000,MATCH(H136&amp;"",'Chart of Accounts'!$A$5:$A$3000,0)),"")</f>
        <v/>
      </c>
      <c r="N136" s="23">
        <f>IF(LEFT(L136,8)="Revenue|",-N(I136),0)+IF(LEFT(M136,8)="Revenue|",N(J136),0)</f>
        <v/>
      </c>
      <c r="O136" s="23">
        <f>IF(LEFT(L136,5)="COGS|",N(I136),0)+IF(LEFT(M136,5)="COGS|",-N(J136),0)</f>
        <v/>
      </c>
      <c r="P136" s="23">
        <f>IF(LEFT(L136,8)="Expense|",N(I136),0)+IF(LEFT(M136,8)="Expense|",-N(J136),0)</f>
        <v/>
      </c>
      <c r="Q136" s="23">
        <f>IF(ISNUMBER(MATCH(L136,{"Expense|employee","Expense|general_admin","Expense|marketing","Expense|utilities","Expense|other_operating"},0)),N(I136),0)+IF(ISNUMBER(MATCH(M136,{"Expense|employee","Expense|general_admin","Expense|marketing","Expense|utilities","Expense|other_operating"},0)),-N(J136),0)</f>
        <v/>
      </c>
      <c r="R136" s="23">
        <f>IF(L136="Liability|payable",-N(I136),0)+IF(M136="Liability|payable",N(J136),0)</f>
        <v/>
      </c>
      <c r="S136" s="23">
        <f>IF(L136="Liability|accrued",-N(I136),0)+IF(M136="Liability|accrued",N(J136),0)</f>
        <v/>
      </c>
      <c r="T136" s="23">
        <f>IF(AND(N(I136)&lt;&gt;0,L136=""),1,0)+IF(AND(N(J136)&lt;&gt;0,M136=""),1,0)</f>
        <v/>
      </c>
    </row>
    <row r="137">
      <c r="A137" s="14" t="n"/>
      <c r="B137" s="19" t="n"/>
      <c r="C137" s="14" t="n"/>
      <c r="D137" s="14" t="n"/>
      <c r="E137" s="14" t="n"/>
      <c r="F137" s="14" t="n"/>
      <c r="G137" s="14" t="n"/>
      <c r="H137" s="14" t="n"/>
      <c r="I137" s="20" t="n"/>
      <c r="J137" s="20" t="n"/>
      <c r="K137" s="14" t="n"/>
      <c r="L137" s="23">
        <f>IFERROR(INDEX('Chart of Accounts'!$C$5:$C$3000,MATCH(H137&amp;"",'Chart of Accounts'!$A$5:$A$3000,0))&amp;"|"&amp;INDEX('Chart of Accounts'!$D$5:$D$3000,MATCH(H137&amp;"",'Chart of Accounts'!$A$5:$A$3000,0)),"")</f>
        <v/>
      </c>
      <c r="M137" s="23">
        <f>IFERROR(INDEX('Chart of Accounts'!$C$5:$C$3000,MATCH(H137&amp;"",'Chart of Accounts'!$A$5:$A$3000,0))&amp;"|"&amp;INDEX('Chart of Accounts'!$D$5:$D$3000,MATCH(H137&amp;"",'Chart of Accounts'!$A$5:$A$3000,0)),"")</f>
        <v/>
      </c>
      <c r="N137" s="23">
        <f>IF(LEFT(L137,8)="Revenue|",-N(I137),0)+IF(LEFT(M137,8)="Revenue|",N(J137),0)</f>
        <v/>
      </c>
      <c r="O137" s="23">
        <f>IF(LEFT(L137,5)="COGS|",N(I137),0)+IF(LEFT(M137,5)="COGS|",-N(J137),0)</f>
        <v/>
      </c>
      <c r="P137" s="23">
        <f>IF(LEFT(L137,8)="Expense|",N(I137),0)+IF(LEFT(M137,8)="Expense|",-N(J137),0)</f>
        <v/>
      </c>
      <c r="Q137" s="23">
        <f>IF(ISNUMBER(MATCH(L137,{"Expense|employee","Expense|general_admin","Expense|marketing","Expense|utilities","Expense|other_operating"},0)),N(I137),0)+IF(ISNUMBER(MATCH(M137,{"Expense|employee","Expense|general_admin","Expense|marketing","Expense|utilities","Expense|other_operating"},0)),-N(J137),0)</f>
        <v/>
      </c>
      <c r="R137" s="23">
        <f>IF(L137="Liability|payable",-N(I137),0)+IF(M137="Liability|payable",N(J137),0)</f>
        <v/>
      </c>
      <c r="S137" s="23">
        <f>IF(L137="Liability|accrued",-N(I137),0)+IF(M137="Liability|accrued",N(J137),0)</f>
        <v/>
      </c>
      <c r="T137" s="23">
        <f>IF(AND(N(I137)&lt;&gt;0,L137=""),1,0)+IF(AND(N(J137)&lt;&gt;0,M137=""),1,0)</f>
        <v/>
      </c>
    </row>
    <row r="138">
      <c r="A138" s="14" t="n"/>
      <c r="B138" s="19" t="n"/>
      <c r="C138" s="14" t="n"/>
      <c r="D138" s="14" t="n"/>
      <c r="E138" s="14" t="n"/>
      <c r="F138" s="14" t="n"/>
      <c r="G138" s="14" t="n"/>
      <c r="H138" s="14" t="n"/>
      <c r="I138" s="20" t="n"/>
      <c r="J138" s="20" t="n"/>
      <c r="K138" s="14" t="n"/>
      <c r="L138" s="23">
        <f>IFERROR(INDEX('Chart of Accounts'!$C$5:$C$3000,MATCH(H138&amp;"",'Chart of Accounts'!$A$5:$A$3000,0))&amp;"|"&amp;INDEX('Chart of Accounts'!$D$5:$D$3000,MATCH(H138&amp;"",'Chart of Accounts'!$A$5:$A$3000,0)),"")</f>
        <v/>
      </c>
      <c r="M138" s="23">
        <f>IFERROR(INDEX('Chart of Accounts'!$C$5:$C$3000,MATCH(H138&amp;"",'Chart of Accounts'!$A$5:$A$3000,0))&amp;"|"&amp;INDEX('Chart of Accounts'!$D$5:$D$3000,MATCH(H138&amp;"",'Chart of Accounts'!$A$5:$A$3000,0)),"")</f>
        <v/>
      </c>
      <c r="N138" s="23">
        <f>IF(LEFT(L138,8)="Revenue|",-N(I138),0)+IF(LEFT(M138,8)="Revenue|",N(J138),0)</f>
        <v/>
      </c>
      <c r="O138" s="23">
        <f>IF(LEFT(L138,5)="COGS|",N(I138),0)+IF(LEFT(M138,5)="COGS|",-N(J138),0)</f>
        <v/>
      </c>
      <c r="P138" s="23">
        <f>IF(LEFT(L138,8)="Expense|",N(I138),0)+IF(LEFT(M138,8)="Expense|",-N(J138),0)</f>
        <v/>
      </c>
      <c r="Q138" s="23">
        <f>IF(ISNUMBER(MATCH(L138,{"Expense|employee","Expense|general_admin","Expense|marketing","Expense|utilities","Expense|other_operating"},0)),N(I138),0)+IF(ISNUMBER(MATCH(M138,{"Expense|employee","Expense|general_admin","Expense|marketing","Expense|utilities","Expense|other_operating"},0)),-N(J138),0)</f>
        <v/>
      </c>
      <c r="R138" s="23">
        <f>IF(L138="Liability|payable",-N(I138),0)+IF(M138="Liability|payable",N(J138),0)</f>
        <v/>
      </c>
      <c r="S138" s="23">
        <f>IF(L138="Liability|accrued",-N(I138),0)+IF(M138="Liability|accrued",N(J138),0)</f>
        <v/>
      </c>
      <c r="T138" s="23">
        <f>IF(AND(N(I138)&lt;&gt;0,L138=""),1,0)+IF(AND(N(J138)&lt;&gt;0,M138=""),1,0)</f>
        <v/>
      </c>
    </row>
    <row r="139">
      <c r="A139" s="14" t="n"/>
      <c r="B139" s="19" t="n"/>
      <c r="C139" s="14" t="n"/>
      <c r="D139" s="14" t="n"/>
      <c r="E139" s="14" t="n"/>
      <c r="F139" s="14" t="n"/>
      <c r="G139" s="14" t="n"/>
      <c r="H139" s="14" t="n"/>
      <c r="I139" s="20" t="n"/>
      <c r="J139" s="20" t="n"/>
      <c r="K139" s="14" t="n"/>
      <c r="L139" s="23">
        <f>IFERROR(INDEX('Chart of Accounts'!$C$5:$C$3000,MATCH(H139&amp;"",'Chart of Accounts'!$A$5:$A$3000,0))&amp;"|"&amp;INDEX('Chart of Accounts'!$D$5:$D$3000,MATCH(H139&amp;"",'Chart of Accounts'!$A$5:$A$3000,0)),"")</f>
        <v/>
      </c>
      <c r="M139" s="23">
        <f>IFERROR(INDEX('Chart of Accounts'!$C$5:$C$3000,MATCH(H139&amp;"",'Chart of Accounts'!$A$5:$A$3000,0))&amp;"|"&amp;INDEX('Chart of Accounts'!$D$5:$D$3000,MATCH(H139&amp;"",'Chart of Accounts'!$A$5:$A$3000,0)),"")</f>
        <v/>
      </c>
      <c r="N139" s="23">
        <f>IF(LEFT(L139,8)="Revenue|",-N(I139),0)+IF(LEFT(M139,8)="Revenue|",N(J139),0)</f>
        <v/>
      </c>
      <c r="O139" s="23">
        <f>IF(LEFT(L139,5)="COGS|",N(I139),0)+IF(LEFT(M139,5)="COGS|",-N(J139),0)</f>
        <v/>
      </c>
      <c r="P139" s="23">
        <f>IF(LEFT(L139,8)="Expense|",N(I139),0)+IF(LEFT(M139,8)="Expense|",-N(J139),0)</f>
        <v/>
      </c>
      <c r="Q139" s="23">
        <f>IF(ISNUMBER(MATCH(L139,{"Expense|employee","Expense|general_admin","Expense|marketing","Expense|utilities","Expense|other_operating"},0)),N(I139),0)+IF(ISNUMBER(MATCH(M139,{"Expense|employee","Expense|general_admin","Expense|marketing","Expense|utilities","Expense|other_operating"},0)),-N(J139),0)</f>
        <v/>
      </c>
      <c r="R139" s="23">
        <f>IF(L139="Liability|payable",-N(I139),0)+IF(M139="Liability|payable",N(J139),0)</f>
        <v/>
      </c>
      <c r="S139" s="23">
        <f>IF(L139="Liability|accrued",-N(I139),0)+IF(M139="Liability|accrued",N(J139),0)</f>
        <v/>
      </c>
      <c r="T139" s="23">
        <f>IF(AND(N(I139)&lt;&gt;0,L139=""),1,0)+IF(AND(N(J139)&lt;&gt;0,M139=""),1,0)</f>
        <v/>
      </c>
    </row>
    <row r="140">
      <c r="A140" s="14" t="n"/>
      <c r="B140" s="19" t="n"/>
      <c r="C140" s="14" t="n"/>
      <c r="D140" s="14" t="n"/>
      <c r="E140" s="14" t="n"/>
      <c r="F140" s="14" t="n"/>
      <c r="G140" s="14" t="n"/>
      <c r="H140" s="14" t="n"/>
      <c r="I140" s="20" t="n"/>
      <c r="J140" s="20" t="n"/>
      <c r="K140" s="14" t="n"/>
      <c r="L140" s="23">
        <f>IFERROR(INDEX('Chart of Accounts'!$C$5:$C$3000,MATCH(H140&amp;"",'Chart of Accounts'!$A$5:$A$3000,0))&amp;"|"&amp;INDEX('Chart of Accounts'!$D$5:$D$3000,MATCH(H140&amp;"",'Chart of Accounts'!$A$5:$A$3000,0)),"")</f>
        <v/>
      </c>
      <c r="M140" s="23">
        <f>IFERROR(INDEX('Chart of Accounts'!$C$5:$C$3000,MATCH(H140&amp;"",'Chart of Accounts'!$A$5:$A$3000,0))&amp;"|"&amp;INDEX('Chart of Accounts'!$D$5:$D$3000,MATCH(H140&amp;"",'Chart of Accounts'!$A$5:$A$3000,0)),"")</f>
        <v/>
      </c>
      <c r="N140" s="23">
        <f>IF(LEFT(L140,8)="Revenue|",-N(I140),0)+IF(LEFT(M140,8)="Revenue|",N(J140),0)</f>
        <v/>
      </c>
      <c r="O140" s="23">
        <f>IF(LEFT(L140,5)="COGS|",N(I140),0)+IF(LEFT(M140,5)="COGS|",-N(J140),0)</f>
        <v/>
      </c>
      <c r="P140" s="23">
        <f>IF(LEFT(L140,8)="Expense|",N(I140),0)+IF(LEFT(M140,8)="Expense|",-N(J140),0)</f>
        <v/>
      </c>
      <c r="Q140" s="23">
        <f>IF(ISNUMBER(MATCH(L140,{"Expense|employee","Expense|general_admin","Expense|marketing","Expense|utilities","Expense|other_operating"},0)),N(I140),0)+IF(ISNUMBER(MATCH(M140,{"Expense|employee","Expense|general_admin","Expense|marketing","Expense|utilities","Expense|other_operating"},0)),-N(J140),0)</f>
        <v/>
      </c>
      <c r="R140" s="23">
        <f>IF(L140="Liability|payable",-N(I140),0)+IF(M140="Liability|payable",N(J140),0)</f>
        <v/>
      </c>
      <c r="S140" s="23">
        <f>IF(L140="Liability|accrued",-N(I140),0)+IF(M140="Liability|accrued",N(J140),0)</f>
        <v/>
      </c>
      <c r="T140" s="23">
        <f>IF(AND(N(I140)&lt;&gt;0,L140=""),1,0)+IF(AND(N(J140)&lt;&gt;0,M140=""),1,0)</f>
        <v/>
      </c>
    </row>
    <row r="141">
      <c r="A141" s="14" t="n"/>
      <c r="B141" s="19" t="n"/>
      <c r="C141" s="14" t="n"/>
      <c r="D141" s="14" t="n"/>
      <c r="E141" s="14" t="n"/>
      <c r="F141" s="14" t="n"/>
      <c r="G141" s="14" t="n"/>
      <c r="H141" s="14" t="n"/>
      <c r="I141" s="20" t="n"/>
      <c r="J141" s="20" t="n"/>
      <c r="K141" s="14" t="n"/>
      <c r="L141" s="23">
        <f>IFERROR(INDEX('Chart of Accounts'!$C$5:$C$3000,MATCH(H141&amp;"",'Chart of Accounts'!$A$5:$A$3000,0))&amp;"|"&amp;INDEX('Chart of Accounts'!$D$5:$D$3000,MATCH(H141&amp;"",'Chart of Accounts'!$A$5:$A$3000,0)),"")</f>
        <v/>
      </c>
      <c r="M141" s="23">
        <f>IFERROR(INDEX('Chart of Accounts'!$C$5:$C$3000,MATCH(H141&amp;"",'Chart of Accounts'!$A$5:$A$3000,0))&amp;"|"&amp;INDEX('Chart of Accounts'!$D$5:$D$3000,MATCH(H141&amp;"",'Chart of Accounts'!$A$5:$A$3000,0)),"")</f>
        <v/>
      </c>
      <c r="N141" s="23">
        <f>IF(LEFT(L141,8)="Revenue|",-N(I141),0)+IF(LEFT(M141,8)="Revenue|",N(J141),0)</f>
        <v/>
      </c>
      <c r="O141" s="23">
        <f>IF(LEFT(L141,5)="COGS|",N(I141),0)+IF(LEFT(M141,5)="COGS|",-N(J141),0)</f>
        <v/>
      </c>
      <c r="P141" s="23">
        <f>IF(LEFT(L141,8)="Expense|",N(I141),0)+IF(LEFT(M141,8)="Expense|",-N(J141),0)</f>
        <v/>
      </c>
      <c r="Q141" s="23">
        <f>IF(ISNUMBER(MATCH(L141,{"Expense|employee","Expense|general_admin","Expense|marketing","Expense|utilities","Expense|other_operating"},0)),N(I141),0)+IF(ISNUMBER(MATCH(M141,{"Expense|employee","Expense|general_admin","Expense|marketing","Expense|utilities","Expense|other_operating"},0)),-N(J141),0)</f>
        <v/>
      </c>
      <c r="R141" s="23">
        <f>IF(L141="Liability|payable",-N(I141),0)+IF(M141="Liability|payable",N(J141),0)</f>
        <v/>
      </c>
      <c r="S141" s="23">
        <f>IF(L141="Liability|accrued",-N(I141),0)+IF(M141="Liability|accrued",N(J141),0)</f>
        <v/>
      </c>
      <c r="T141" s="23">
        <f>IF(AND(N(I141)&lt;&gt;0,L141=""),1,0)+IF(AND(N(J141)&lt;&gt;0,M141=""),1,0)</f>
        <v/>
      </c>
    </row>
    <row r="142">
      <c r="A142" s="14" t="n"/>
      <c r="B142" s="19" t="n"/>
      <c r="C142" s="14" t="n"/>
      <c r="D142" s="14" t="n"/>
      <c r="E142" s="14" t="n"/>
      <c r="F142" s="14" t="n"/>
      <c r="G142" s="14" t="n"/>
      <c r="H142" s="14" t="n"/>
      <c r="I142" s="20" t="n"/>
      <c r="J142" s="20" t="n"/>
      <c r="K142" s="14" t="n"/>
      <c r="L142" s="23">
        <f>IFERROR(INDEX('Chart of Accounts'!$C$5:$C$3000,MATCH(H142&amp;"",'Chart of Accounts'!$A$5:$A$3000,0))&amp;"|"&amp;INDEX('Chart of Accounts'!$D$5:$D$3000,MATCH(H142&amp;"",'Chart of Accounts'!$A$5:$A$3000,0)),"")</f>
        <v/>
      </c>
      <c r="M142" s="23">
        <f>IFERROR(INDEX('Chart of Accounts'!$C$5:$C$3000,MATCH(H142&amp;"",'Chart of Accounts'!$A$5:$A$3000,0))&amp;"|"&amp;INDEX('Chart of Accounts'!$D$5:$D$3000,MATCH(H142&amp;"",'Chart of Accounts'!$A$5:$A$3000,0)),"")</f>
        <v/>
      </c>
      <c r="N142" s="23">
        <f>IF(LEFT(L142,8)="Revenue|",-N(I142),0)+IF(LEFT(M142,8)="Revenue|",N(J142),0)</f>
        <v/>
      </c>
      <c r="O142" s="23">
        <f>IF(LEFT(L142,5)="COGS|",N(I142),0)+IF(LEFT(M142,5)="COGS|",-N(J142),0)</f>
        <v/>
      </c>
      <c r="P142" s="23">
        <f>IF(LEFT(L142,8)="Expense|",N(I142),0)+IF(LEFT(M142,8)="Expense|",-N(J142),0)</f>
        <v/>
      </c>
      <c r="Q142" s="23">
        <f>IF(ISNUMBER(MATCH(L142,{"Expense|employee","Expense|general_admin","Expense|marketing","Expense|utilities","Expense|other_operating"},0)),N(I142),0)+IF(ISNUMBER(MATCH(M142,{"Expense|employee","Expense|general_admin","Expense|marketing","Expense|utilities","Expense|other_operating"},0)),-N(J142),0)</f>
        <v/>
      </c>
      <c r="R142" s="23">
        <f>IF(L142="Liability|payable",-N(I142),0)+IF(M142="Liability|payable",N(J142),0)</f>
        <v/>
      </c>
      <c r="S142" s="23">
        <f>IF(L142="Liability|accrued",-N(I142),0)+IF(M142="Liability|accrued",N(J142),0)</f>
        <v/>
      </c>
      <c r="T142" s="23">
        <f>IF(AND(N(I142)&lt;&gt;0,L142=""),1,0)+IF(AND(N(J142)&lt;&gt;0,M142=""),1,0)</f>
        <v/>
      </c>
    </row>
    <row r="143">
      <c r="A143" s="14" t="n"/>
      <c r="B143" s="19" t="n"/>
      <c r="C143" s="14" t="n"/>
      <c r="D143" s="14" t="n"/>
      <c r="E143" s="14" t="n"/>
      <c r="F143" s="14" t="n"/>
      <c r="G143" s="14" t="n"/>
      <c r="H143" s="14" t="n"/>
      <c r="I143" s="20" t="n"/>
      <c r="J143" s="20" t="n"/>
      <c r="K143" s="14" t="n"/>
      <c r="L143" s="23">
        <f>IFERROR(INDEX('Chart of Accounts'!$C$5:$C$3000,MATCH(H143&amp;"",'Chart of Accounts'!$A$5:$A$3000,0))&amp;"|"&amp;INDEX('Chart of Accounts'!$D$5:$D$3000,MATCH(H143&amp;"",'Chart of Accounts'!$A$5:$A$3000,0)),"")</f>
        <v/>
      </c>
      <c r="M143" s="23">
        <f>IFERROR(INDEX('Chart of Accounts'!$C$5:$C$3000,MATCH(H143&amp;"",'Chart of Accounts'!$A$5:$A$3000,0))&amp;"|"&amp;INDEX('Chart of Accounts'!$D$5:$D$3000,MATCH(H143&amp;"",'Chart of Accounts'!$A$5:$A$3000,0)),"")</f>
        <v/>
      </c>
      <c r="N143" s="23">
        <f>IF(LEFT(L143,8)="Revenue|",-N(I143),0)+IF(LEFT(M143,8)="Revenue|",N(J143),0)</f>
        <v/>
      </c>
      <c r="O143" s="23">
        <f>IF(LEFT(L143,5)="COGS|",N(I143),0)+IF(LEFT(M143,5)="COGS|",-N(J143),0)</f>
        <v/>
      </c>
      <c r="P143" s="23">
        <f>IF(LEFT(L143,8)="Expense|",N(I143),0)+IF(LEFT(M143,8)="Expense|",-N(J143),0)</f>
        <v/>
      </c>
      <c r="Q143" s="23">
        <f>IF(ISNUMBER(MATCH(L143,{"Expense|employee","Expense|general_admin","Expense|marketing","Expense|utilities","Expense|other_operating"},0)),N(I143),0)+IF(ISNUMBER(MATCH(M143,{"Expense|employee","Expense|general_admin","Expense|marketing","Expense|utilities","Expense|other_operating"},0)),-N(J143),0)</f>
        <v/>
      </c>
      <c r="R143" s="23">
        <f>IF(L143="Liability|payable",-N(I143),0)+IF(M143="Liability|payable",N(J143),0)</f>
        <v/>
      </c>
      <c r="S143" s="23">
        <f>IF(L143="Liability|accrued",-N(I143),0)+IF(M143="Liability|accrued",N(J143),0)</f>
        <v/>
      </c>
      <c r="T143" s="23">
        <f>IF(AND(N(I143)&lt;&gt;0,L143=""),1,0)+IF(AND(N(J143)&lt;&gt;0,M143=""),1,0)</f>
        <v/>
      </c>
    </row>
    <row r="144">
      <c r="A144" s="14" t="n"/>
      <c r="B144" s="19" t="n"/>
      <c r="C144" s="14" t="n"/>
      <c r="D144" s="14" t="n"/>
      <c r="E144" s="14" t="n"/>
      <c r="F144" s="14" t="n"/>
      <c r="G144" s="14" t="n"/>
      <c r="H144" s="14" t="n"/>
      <c r="I144" s="20" t="n"/>
      <c r="J144" s="20" t="n"/>
      <c r="K144" s="14" t="n"/>
      <c r="L144" s="23">
        <f>IFERROR(INDEX('Chart of Accounts'!$C$5:$C$3000,MATCH(H144&amp;"",'Chart of Accounts'!$A$5:$A$3000,0))&amp;"|"&amp;INDEX('Chart of Accounts'!$D$5:$D$3000,MATCH(H144&amp;"",'Chart of Accounts'!$A$5:$A$3000,0)),"")</f>
        <v/>
      </c>
      <c r="M144" s="23">
        <f>IFERROR(INDEX('Chart of Accounts'!$C$5:$C$3000,MATCH(H144&amp;"",'Chart of Accounts'!$A$5:$A$3000,0))&amp;"|"&amp;INDEX('Chart of Accounts'!$D$5:$D$3000,MATCH(H144&amp;"",'Chart of Accounts'!$A$5:$A$3000,0)),"")</f>
        <v/>
      </c>
      <c r="N144" s="23">
        <f>IF(LEFT(L144,8)="Revenue|",-N(I144),0)+IF(LEFT(M144,8)="Revenue|",N(J144),0)</f>
        <v/>
      </c>
      <c r="O144" s="23">
        <f>IF(LEFT(L144,5)="COGS|",N(I144),0)+IF(LEFT(M144,5)="COGS|",-N(J144),0)</f>
        <v/>
      </c>
      <c r="P144" s="23">
        <f>IF(LEFT(L144,8)="Expense|",N(I144),0)+IF(LEFT(M144,8)="Expense|",-N(J144),0)</f>
        <v/>
      </c>
      <c r="Q144" s="23">
        <f>IF(ISNUMBER(MATCH(L144,{"Expense|employee","Expense|general_admin","Expense|marketing","Expense|utilities","Expense|other_operating"},0)),N(I144),0)+IF(ISNUMBER(MATCH(M144,{"Expense|employee","Expense|general_admin","Expense|marketing","Expense|utilities","Expense|other_operating"},0)),-N(J144),0)</f>
        <v/>
      </c>
      <c r="R144" s="23">
        <f>IF(L144="Liability|payable",-N(I144),0)+IF(M144="Liability|payable",N(J144),0)</f>
        <v/>
      </c>
      <c r="S144" s="23">
        <f>IF(L144="Liability|accrued",-N(I144),0)+IF(M144="Liability|accrued",N(J144),0)</f>
        <v/>
      </c>
      <c r="T144" s="23">
        <f>IF(AND(N(I144)&lt;&gt;0,L144=""),1,0)+IF(AND(N(J144)&lt;&gt;0,M144=""),1,0)</f>
        <v/>
      </c>
    </row>
    <row r="145">
      <c r="A145" s="14" t="n"/>
      <c r="B145" s="19" t="n"/>
      <c r="C145" s="14" t="n"/>
      <c r="D145" s="14" t="n"/>
      <c r="E145" s="14" t="n"/>
      <c r="F145" s="14" t="n"/>
      <c r="G145" s="14" t="n"/>
      <c r="H145" s="14" t="n"/>
      <c r="I145" s="20" t="n"/>
      <c r="J145" s="20" t="n"/>
      <c r="K145" s="14" t="n"/>
      <c r="L145" s="23">
        <f>IFERROR(INDEX('Chart of Accounts'!$C$5:$C$3000,MATCH(H145&amp;"",'Chart of Accounts'!$A$5:$A$3000,0))&amp;"|"&amp;INDEX('Chart of Accounts'!$D$5:$D$3000,MATCH(H145&amp;"",'Chart of Accounts'!$A$5:$A$3000,0)),"")</f>
        <v/>
      </c>
      <c r="M145" s="23">
        <f>IFERROR(INDEX('Chart of Accounts'!$C$5:$C$3000,MATCH(H145&amp;"",'Chart of Accounts'!$A$5:$A$3000,0))&amp;"|"&amp;INDEX('Chart of Accounts'!$D$5:$D$3000,MATCH(H145&amp;"",'Chart of Accounts'!$A$5:$A$3000,0)),"")</f>
        <v/>
      </c>
      <c r="N145" s="23">
        <f>IF(LEFT(L145,8)="Revenue|",-N(I145),0)+IF(LEFT(M145,8)="Revenue|",N(J145),0)</f>
        <v/>
      </c>
      <c r="O145" s="23">
        <f>IF(LEFT(L145,5)="COGS|",N(I145),0)+IF(LEFT(M145,5)="COGS|",-N(J145),0)</f>
        <v/>
      </c>
      <c r="P145" s="23">
        <f>IF(LEFT(L145,8)="Expense|",N(I145),0)+IF(LEFT(M145,8)="Expense|",-N(J145),0)</f>
        <v/>
      </c>
      <c r="Q145" s="23">
        <f>IF(ISNUMBER(MATCH(L145,{"Expense|employee","Expense|general_admin","Expense|marketing","Expense|utilities","Expense|other_operating"},0)),N(I145),0)+IF(ISNUMBER(MATCH(M145,{"Expense|employee","Expense|general_admin","Expense|marketing","Expense|utilities","Expense|other_operating"},0)),-N(J145),0)</f>
        <v/>
      </c>
      <c r="R145" s="23">
        <f>IF(L145="Liability|payable",-N(I145),0)+IF(M145="Liability|payable",N(J145),0)</f>
        <v/>
      </c>
      <c r="S145" s="23">
        <f>IF(L145="Liability|accrued",-N(I145),0)+IF(M145="Liability|accrued",N(J145),0)</f>
        <v/>
      </c>
      <c r="T145" s="23">
        <f>IF(AND(N(I145)&lt;&gt;0,L145=""),1,0)+IF(AND(N(J145)&lt;&gt;0,M145=""),1,0)</f>
        <v/>
      </c>
    </row>
    <row r="146">
      <c r="A146" s="14" t="n"/>
      <c r="B146" s="19" t="n"/>
      <c r="C146" s="14" t="n"/>
      <c r="D146" s="14" t="n"/>
      <c r="E146" s="14" t="n"/>
      <c r="F146" s="14" t="n"/>
      <c r="G146" s="14" t="n"/>
      <c r="H146" s="14" t="n"/>
      <c r="I146" s="20" t="n"/>
      <c r="J146" s="20" t="n"/>
      <c r="K146" s="14" t="n"/>
      <c r="L146" s="23">
        <f>IFERROR(INDEX('Chart of Accounts'!$C$5:$C$3000,MATCH(H146&amp;"",'Chart of Accounts'!$A$5:$A$3000,0))&amp;"|"&amp;INDEX('Chart of Accounts'!$D$5:$D$3000,MATCH(H146&amp;"",'Chart of Accounts'!$A$5:$A$3000,0)),"")</f>
        <v/>
      </c>
      <c r="M146" s="23">
        <f>IFERROR(INDEX('Chart of Accounts'!$C$5:$C$3000,MATCH(H146&amp;"",'Chart of Accounts'!$A$5:$A$3000,0))&amp;"|"&amp;INDEX('Chart of Accounts'!$D$5:$D$3000,MATCH(H146&amp;"",'Chart of Accounts'!$A$5:$A$3000,0)),"")</f>
        <v/>
      </c>
      <c r="N146" s="23">
        <f>IF(LEFT(L146,8)="Revenue|",-N(I146),0)+IF(LEFT(M146,8)="Revenue|",N(J146),0)</f>
        <v/>
      </c>
      <c r="O146" s="23">
        <f>IF(LEFT(L146,5)="COGS|",N(I146),0)+IF(LEFT(M146,5)="COGS|",-N(J146),0)</f>
        <v/>
      </c>
      <c r="P146" s="23">
        <f>IF(LEFT(L146,8)="Expense|",N(I146),0)+IF(LEFT(M146,8)="Expense|",-N(J146),0)</f>
        <v/>
      </c>
      <c r="Q146" s="23">
        <f>IF(ISNUMBER(MATCH(L146,{"Expense|employee","Expense|general_admin","Expense|marketing","Expense|utilities","Expense|other_operating"},0)),N(I146),0)+IF(ISNUMBER(MATCH(M146,{"Expense|employee","Expense|general_admin","Expense|marketing","Expense|utilities","Expense|other_operating"},0)),-N(J146),0)</f>
        <v/>
      </c>
      <c r="R146" s="23">
        <f>IF(L146="Liability|payable",-N(I146),0)+IF(M146="Liability|payable",N(J146),0)</f>
        <v/>
      </c>
      <c r="S146" s="23">
        <f>IF(L146="Liability|accrued",-N(I146),0)+IF(M146="Liability|accrued",N(J146),0)</f>
        <v/>
      </c>
      <c r="T146" s="23">
        <f>IF(AND(N(I146)&lt;&gt;0,L146=""),1,0)+IF(AND(N(J146)&lt;&gt;0,M146=""),1,0)</f>
        <v/>
      </c>
    </row>
    <row r="147">
      <c r="A147" s="14" t="n"/>
      <c r="B147" s="19" t="n"/>
      <c r="C147" s="14" t="n"/>
      <c r="D147" s="14" t="n"/>
      <c r="E147" s="14" t="n"/>
      <c r="F147" s="14" t="n"/>
      <c r="G147" s="14" t="n"/>
      <c r="H147" s="14" t="n"/>
      <c r="I147" s="20" t="n"/>
      <c r="J147" s="20" t="n"/>
      <c r="K147" s="14" t="n"/>
      <c r="L147" s="23">
        <f>IFERROR(INDEX('Chart of Accounts'!$C$5:$C$3000,MATCH(H147&amp;"",'Chart of Accounts'!$A$5:$A$3000,0))&amp;"|"&amp;INDEX('Chart of Accounts'!$D$5:$D$3000,MATCH(H147&amp;"",'Chart of Accounts'!$A$5:$A$3000,0)),"")</f>
        <v/>
      </c>
      <c r="M147" s="23">
        <f>IFERROR(INDEX('Chart of Accounts'!$C$5:$C$3000,MATCH(H147&amp;"",'Chart of Accounts'!$A$5:$A$3000,0))&amp;"|"&amp;INDEX('Chart of Accounts'!$D$5:$D$3000,MATCH(H147&amp;"",'Chart of Accounts'!$A$5:$A$3000,0)),"")</f>
        <v/>
      </c>
      <c r="N147" s="23">
        <f>IF(LEFT(L147,8)="Revenue|",-N(I147),0)+IF(LEFT(M147,8)="Revenue|",N(J147),0)</f>
        <v/>
      </c>
      <c r="O147" s="23">
        <f>IF(LEFT(L147,5)="COGS|",N(I147),0)+IF(LEFT(M147,5)="COGS|",-N(J147),0)</f>
        <v/>
      </c>
      <c r="P147" s="23">
        <f>IF(LEFT(L147,8)="Expense|",N(I147),0)+IF(LEFT(M147,8)="Expense|",-N(J147),0)</f>
        <v/>
      </c>
      <c r="Q147" s="23">
        <f>IF(ISNUMBER(MATCH(L147,{"Expense|employee","Expense|general_admin","Expense|marketing","Expense|utilities","Expense|other_operating"},0)),N(I147),0)+IF(ISNUMBER(MATCH(M147,{"Expense|employee","Expense|general_admin","Expense|marketing","Expense|utilities","Expense|other_operating"},0)),-N(J147),0)</f>
        <v/>
      </c>
      <c r="R147" s="23">
        <f>IF(L147="Liability|payable",-N(I147),0)+IF(M147="Liability|payable",N(J147),0)</f>
        <v/>
      </c>
      <c r="S147" s="23">
        <f>IF(L147="Liability|accrued",-N(I147),0)+IF(M147="Liability|accrued",N(J147),0)</f>
        <v/>
      </c>
      <c r="T147" s="23">
        <f>IF(AND(N(I147)&lt;&gt;0,L147=""),1,0)+IF(AND(N(J147)&lt;&gt;0,M147=""),1,0)</f>
        <v/>
      </c>
    </row>
    <row r="148">
      <c r="A148" s="14" t="n"/>
      <c r="B148" s="19" t="n"/>
      <c r="C148" s="14" t="n"/>
      <c r="D148" s="14" t="n"/>
      <c r="E148" s="14" t="n"/>
      <c r="F148" s="14" t="n"/>
      <c r="G148" s="14" t="n"/>
      <c r="H148" s="14" t="n"/>
      <c r="I148" s="20" t="n"/>
      <c r="J148" s="20" t="n"/>
      <c r="K148" s="14" t="n"/>
      <c r="L148" s="23">
        <f>IFERROR(INDEX('Chart of Accounts'!$C$5:$C$3000,MATCH(H148&amp;"",'Chart of Accounts'!$A$5:$A$3000,0))&amp;"|"&amp;INDEX('Chart of Accounts'!$D$5:$D$3000,MATCH(H148&amp;"",'Chart of Accounts'!$A$5:$A$3000,0)),"")</f>
        <v/>
      </c>
      <c r="M148" s="23">
        <f>IFERROR(INDEX('Chart of Accounts'!$C$5:$C$3000,MATCH(H148&amp;"",'Chart of Accounts'!$A$5:$A$3000,0))&amp;"|"&amp;INDEX('Chart of Accounts'!$D$5:$D$3000,MATCH(H148&amp;"",'Chart of Accounts'!$A$5:$A$3000,0)),"")</f>
        <v/>
      </c>
      <c r="N148" s="23">
        <f>IF(LEFT(L148,8)="Revenue|",-N(I148),0)+IF(LEFT(M148,8)="Revenue|",N(J148),0)</f>
        <v/>
      </c>
      <c r="O148" s="23">
        <f>IF(LEFT(L148,5)="COGS|",N(I148),0)+IF(LEFT(M148,5)="COGS|",-N(J148),0)</f>
        <v/>
      </c>
      <c r="P148" s="23">
        <f>IF(LEFT(L148,8)="Expense|",N(I148),0)+IF(LEFT(M148,8)="Expense|",-N(J148),0)</f>
        <v/>
      </c>
      <c r="Q148" s="23">
        <f>IF(ISNUMBER(MATCH(L148,{"Expense|employee","Expense|general_admin","Expense|marketing","Expense|utilities","Expense|other_operating"},0)),N(I148),0)+IF(ISNUMBER(MATCH(M148,{"Expense|employee","Expense|general_admin","Expense|marketing","Expense|utilities","Expense|other_operating"},0)),-N(J148),0)</f>
        <v/>
      </c>
      <c r="R148" s="23">
        <f>IF(L148="Liability|payable",-N(I148),0)+IF(M148="Liability|payable",N(J148),0)</f>
        <v/>
      </c>
      <c r="S148" s="23">
        <f>IF(L148="Liability|accrued",-N(I148),0)+IF(M148="Liability|accrued",N(J148),0)</f>
        <v/>
      </c>
      <c r="T148" s="23">
        <f>IF(AND(N(I148)&lt;&gt;0,L148=""),1,0)+IF(AND(N(J148)&lt;&gt;0,M148=""),1,0)</f>
        <v/>
      </c>
    </row>
    <row r="149">
      <c r="A149" s="14" t="n"/>
      <c r="B149" s="19" t="n"/>
      <c r="C149" s="14" t="n"/>
      <c r="D149" s="14" t="n"/>
      <c r="E149" s="14" t="n"/>
      <c r="F149" s="14" t="n"/>
      <c r="G149" s="14" t="n"/>
      <c r="H149" s="14" t="n"/>
      <c r="I149" s="20" t="n"/>
      <c r="J149" s="20" t="n"/>
      <c r="K149" s="14" t="n"/>
      <c r="L149" s="23">
        <f>IFERROR(INDEX('Chart of Accounts'!$C$5:$C$3000,MATCH(H149&amp;"",'Chart of Accounts'!$A$5:$A$3000,0))&amp;"|"&amp;INDEX('Chart of Accounts'!$D$5:$D$3000,MATCH(H149&amp;"",'Chart of Accounts'!$A$5:$A$3000,0)),"")</f>
        <v/>
      </c>
      <c r="M149" s="23">
        <f>IFERROR(INDEX('Chart of Accounts'!$C$5:$C$3000,MATCH(H149&amp;"",'Chart of Accounts'!$A$5:$A$3000,0))&amp;"|"&amp;INDEX('Chart of Accounts'!$D$5:$D$3000,MATCH(H149&amp;"",'Chart of Accounts'!$A$5:$A$3000,0)),"")</f>
        <v/>
      </c>
      <c r="N149" s="23">
        <f>IF(LEFT(L149,8)="Revenue|",-N(I149),0)+IF(LEFT(M149,8)="Revenue|",N(J149),0)</f>
        <v/>
      </c>
      <c r="O149" s="23">
        <f>IF(LEFT(L149,5)="COGS|",N(I149),0)+IF(LEFT(M149,5)="COGS|",-N(J149),0)</f>
        <v/>
      </c>
      <c r="P149" s="23">
        <f>IF(LEFT(L149,8)="Expense|",N(I149),0)+IF(LEFT(M149,8)="Expense|",-N(J149),0)</f>
        <v/>
      </c>
      <c r="Q149" s="23">
        <f>IF(ISNUMBER(MATCH(L149,{"Expense|employee","Expense|general_admin","Expense|marketing","Expense|utilities","Expense|other_operating"},0)),N(I149),0)+IF(ISNUMBER(MATCH(M149,{"Expense|employee","Expense|general_admin","Expense|marketing","Expense|utilities","Expense|other_operating"},0)),-N(J149),0)</f>
        <v/>
      </c>
      <c r="R149" s="23">
        <f>IF(L149="Liability|payable",-N(I149),0)+IF(M149="Liability|payable",N(J149),0)</f>
        <v/>
      </c>
      <c r="S149" s="23">
        <f>IF(L149="Liability|accrued",-N(I149),0)+IF(M149="Liability|accrued",N(J149),0)</f>
        <v/>
      </c>
      <c r="T149" s="23">
        <f>IF(AND(N(I149)&lt;&gt;0,L149=""),1,0)+IF(AND(N(J149)&lt;&gt;0,M149=""),1,0)</f>
        <v/>
      </c>
    </row>
    <row r="150">
      <c r="A150" s="14" t="n"/>
      <c r="B150" s="19" t="n"/>
      <c r="C150" s="14" t="n"/>
      <c r="D150" s="14" t="n"/>
      <c r="E150" s="14" t="n"/>
      <c r="F150" s="14" t="n"/>
      <c r="G150" s="14" t="n"/>
      <c r="H150" s="14" t="n"/>
      <c r="I150" s="20" t="n"/>
      <c r="J150" s="20" t="n"/>
      <c r="K150" s="14" t="n"/>
      <c r="L150" s="23">
        <f>IFERROR(INDEX('Chart of Accounts'!$C$5:$C$3000,MATCH(H150&amp;"",'Chart of Accounts'!$A$5:$A$3000,0))&amp;"|"&amp;INDEX('Chart of Accounts'!$D$5:$D$3000,MATCH(H150&amp;"",'Chart of Accounts'!$A$5:$A$3000,0)),"")</f>
        <v/>
      </c>
      <c r="M150" s="23">
        <f>IFERROR(INDEX('Chart of Accounts'!$C$5:$C$3000,MATCH(H150&amp;"",'Chart of Accounts'!$A$5:$A$3000,0))&amp;"|"&amp;INDEX('Chart of Accounts'!$D$5:$D$3000,MATCH(H150&amp;"",'Chart of Accounts'!$A$5:$A$3000,0)),"")</f>
        <v/>
      </c>
      <c r="N150" s="23">
        <f>IF(LEFT(L150,8)="Revenue|",-N(I150),0)+IF(LEFT(M150,8)="Revenue|",N(J150),0)</f>
        <v/>
      </c>
      <c r="O150" s="23">
        <f>IF(LEFT(L150,5)="COGS|",N(I150),0)+IF(LEFT(M150,5)="COGS|",-N(J150),0)</f>
        <v/>
      </c>
      <c r="P150" s="23">
        <f>IF(LEFT(L150,8)="Expense|",N(I150),0)+IF(LEFT(M150,8)="Expense|",-N(J150),0)</f>
        <v/>
      </c>
      <c r="Q150" s="23">
        <f>IF(ISNUMBER(MATCH(L150,{"Expense|employee","Expense|general_admin","Expense|marketing","Expense|utilities","Expense|other_operating"},0)),N(I150),0)+IF(ISNUMBER(MATCH(M150,{"Expense|employee","Expense|general_admin","Expense|marketing","Expense|utilities","Expense|other_operating"},0)),-N(J150),0)</f>
        <v/>
      </c>
      <c r="R150" s="23">
        <f>IF(L150="Liability|payable",-N(I150),0)+IF(M150="Liability|payable",N(J150),0)</f>
        <v/>
      </c>
      <c r="S150" s="23">
        <f>IF(L150="Liability|accrued",-N(I150),0)+IF(M150="Liability|accrued",N(J150),0)</f>
        <v/>
      </c>
      <c r="T150" s="23">
        <f>IF(AND(N(I150)&lt;&gt;0,L150=""),1,0)+IF(AND(N(J150)&lt;&gt;0,M150=""),1,0)</f>
        <v/>
      </c>
    </row>
    <row r="151">
      <c r="A151" s="14" t="n"/>
      <c r="B151" s="19" t="n"/>
      <c r="C151" s="14" t="n"/>
      <c r="D151" s="14" t="n"/>
      <c r="E151" s="14" t="n"/>
      <c r="F151" s="14" t="n"/>
      <c r="G151" s="14" t="n"/>
      <c r="H151" s="14" t="n"/>
      <c r="I151" s="20" t="n"/>
      <c r="J151" s="20" t="n"/>
      <c r="K151" s="14" t="n"/>
      <c r="L151" s="23">
        <f>IFERROR(INDEX('Chart of Accounts'!$C$5:$C$3000,MATCH(H151&amp;"",'Chart of Accounts'!$A$5:$A$3000,0))&amp;"|"&amp;INDEX('Chart of Accounts'!$D$5:$D$3000,MATCH(H151&amp;"",'Chart of Accounts'!$A$5:$A$3000,0)),"")</f>
        <v/>
      </c>
      <c r="M151" s="23">
        <f>IFERROR(INDEX('Chart of Accounts'!$C$5:$C$3000,MATCH(H151&amp;"",'Chart of Accounts'!$A$5:$A$3000,0))&amp;"|"&amp;INDEX('Chart of Accounts'!$D$5:$D$3000,MATCH(H151&amp;"",'Chart of Accounts'!$A$5:$A$3000,0)),"")</f>
        <v/>
      </c>
      <c r="N151" s="23">
        <f>IF(LEFT(L151,8)="Revenue|",-N(I151),0)+IF(LEFT(M151,8)="Revenue|",N(J151),0)</f>
        <v/>
      </c>
      <c r="O151" s="23">
        <f>IF(LEFT(L151,5)="COGS|",N(I151),0)+IF(LEFT(M151,5)="COGS|",-N(J151),0)</f>
        <v/>
      </c>
      <c r="P151" s="23">
        <f>IF(LEFT(L151,8)="Expense|",N(I151),0)+IF(LEFT(M151,8)="Expense|",-N(J151),0)</f>
        <v/>
      </c>
      <c r="Q151" s="23">
        <f>IF(ISNUMBER(MATCH(L151,{"Expense|employee","Expense|general_admin","Expense|marketing","Expense|utilities","Expense|other_operating"},0)),N(I151),0)+IF(ISNUMBER(MATCH(M151,{"Expense|employee","Expense|general_admin","Expense|marketing","Expense|utilities","Expense|other_operating"},0)),-N(J151),0)</f>
        <v/>
      </c>
      <c r="R151" s="23">
        <f>IF(L151="Liability|payable",-N(I151),0)+IF(M151="Liability|payable",N(J151),0)</f>
        <v/>
      </c>
      <c r="S151" s="23">
        <f>IF(L151="Liability|accrued",-N(I151),0)+IF(M151="Liability|accrued",N(J151),0)</f>
        <v/>
      </c>
      <c r="T151" s="23">
        <f>IF(AND(N(I151)&lt;&gt;0,L151=""),1,0)+IF(AND(N(J151)&lt;&gt;0,M151=""),1,0)</f>
        <v/>
      </c>
    </row>
    <row r="152">
      <c r="A152" s="14" t="n"/>
      <c r="B152" s="19" t="n"/>
      <c r="C152" s="14" t="n"/>
      <c r="D152" s="14" t="n"/>
      <c r="E152" s="14" t="n"/>
      <c r="F152" s="14" t="n"/>
      <c r="G152" s="14" t="n"/>
      <c r="H152" s="14" t="n"/>
      <c r="I152" s="20" t="n"/>
      <c r="J152" s="20" t="n"/>
      <c r="K152" s="14" t="n"/>
      <c r="L152" s="23">
        <f>IFERROR(INDEX('Chart of Accounts'!$C$5:$C$3000,MATCH(H152&amp;"",'Chart of Accounts'!$A$5:$A$3000,0))&amp;"|"&amp;INDEX('Chart of Accounts'!$D$5:$D$3000,MATCH(H152&amp;"",'Chart of Accounts'!$A$5:$A$3000,0)),"")</f>
        <v/>
      </c>
      <c r="M152" s="23">
        <f>IFERROR(INDEX('Chart of Accounts'!$C$5:$C$3000,MATCH(H152&amp;"",'Chart of Accounts'!$A$5:$A$3000,0))&amp;"|"&amp;INDEX('Chart of Accounts'!$D$5:$D$3000,MATCH(H152&amp;"",'Chart of Accounts'!$A$5:$A$3000,0)),"")</f>
        <v/>
      </c>
      <c r="N152" s="23">
        <f>IF(LEFT(L152,8)="Revenue|",-N(I152),0)+IF(LEFT(M152,8)="Revenue|",N(J152),0)</f>
        <v/>
      </c>
      <c r="O152" s="23">
        <f>IF(LEFT(L152,5)="COGS|",N(I152),0)+IF(LEFT(M152,5)="COGS|",-N(J152),0)</f>
        <v/>
      </c>
      <c r="P152" s="23">
        <f>IF(LEFT(L152,8)="Expense|",N(I152),0)+IF(LEFT(M152,8)="Expense|",-N(J152),0)</f>
        <v/>
      </c>
      <c r="Q152" s="23">
        <f>IF(ISNUMBER(MATCH(L152,{"Expense|employee","Expense|general_admin","Expense|marketing","Expense|utilities","Expense|other_operating"},0)),N(I152),0)+IF(ISNUMBER(MATCH(M152,{"Expense|employee","Expense|general_admin","Expense|marketing","Expense|utilities","Expense|other_operating"},0)),-N(J152),0)</f>
        <v/>
      </c>
      <c r="R152" s="23">
        <f>IF(L152="Liability|payable",-N(I152),0)+IF(M152="Liability|payable",N(J152),0)</f>
        <v/>
      </c>
      <c r="S152" s="23">
        <f>IF(L152="Liability|accrued",-N(I152),0)+IF(M152="Liability|accrued",N(J152),0)</f>
        <v/>
      </c>
      <c r="T152" s="23">
        <f>IF(AND(N(I152)&lt;&gt;0,L152=""),1,0)+IF(AND(N(J152)&lt;&gt;0,M152=""),1,0)</f>
        <v/>
      </c>
    </row>
    <row r="153">
      <c r="A153" s="14" t="n"/>
      <c r="B153" s="19" t="n"/>
      <c r="C153" s="14" t="n"/>
      <c r="D153" s="14" t="n"/>
      <c r="E153" s="14" t="n"/>
      <c r="F153" s="14" t="n"/>
      <c r="G153" s="14" t="n"/>
      <c r="H153" s="14" t="n"/>
      <c r="I153" s="20" t="n"/>
      <c r="J153" s="20" t="n"/>
      <c r="K153" s="14" t="n"/>
      <c r="L153" s="23">
        <f>IFERROR(INDEX('Chart of Accounts'!$C$5:$C$3000,MATCH(H153&amp;"",'Chart of Accounts'!$A$5:$A$3000,0))&amp;"|"&amp;INDEX('Chart of Accounts'!$D$5:$D$3000,MATCH(H153&amp;"",'Chart of Accounts'!$A$5:$A$3000,0)),"")</f>
        <v/>
      </c>
      <c r="M153" s="23">
        <f>IFERROR(INDEX('Chart of Accounts'!$C$5:$C$3000,MATCH(H153&amp;"",'Chart of Accounts'!$A$5:$A$3000,0))&amp;"|"&amp;INDEX('Chart of Accounts'!$D$5:$D$3000,MATCH(H153&amp;"",'Chart of Accounts'!$A$5:$A$3000,0)),"")</f>
        <v/>
      </c>
      <c r="N153" s="23">
        <f>IF(LEFT(L153,8)="Revenue|",-N(I153),0)+IF(LEFT(M153,8)="Revenue|",N(J153),0)</f>
        <v/>
      </c>
      <c r="O153" s="23">
        <f>IF(LEFT(L153,5)="COGS|",N(I153),0)+IF(LEFT(M153,5)="COGS|",-N(J153),0)</f>
        <v/>
      </c>
      <c r="P153" s="23">
        <f>IF(LEFT(L153,8)="Expense|",N(I153),0)+IF(LEFT(M153,8)="Expense|",-N(J153),0)</f>
        <v/>
      </c>
      <c r="Q153" s="23">
        <f>IF(ISNUMBER(MATCH(L153,{"Expense|employee","Expense|general_admin","Expense|marketing","Expense|utilities","Expense|other_operating"},0)),N(I153),0)+IF(ISNUMBER(MATCH(M153,{"Expense|employee","Expense|general_admin","Expense|marketing","Expense|utilities","Expense|other_operating"},0)),-N(J153),0)</f>
        <v/>
      </c>
      <c r="R153" s="23">
        <f>IF(L153="Liability|payable",-N(I153),0)+IF(M153="Liability|payable",N(J153),0)</f>
        <v/>
      </c>
      <c r="S153" s="23">
        <f>IF(L153="Liability|accrued",-N(I153),0)+IF(M153="Liability|accrued",N(J153),0)</f>
        <v/>
      </c>
      <c r="T153" s="23">
        <f>IF(AND(N(I153)&lt;&gt;0,L153=""),1,0)+IF(AND(N(J153)&lt;&gt;0,M153=""),1,0)</f>
        <v/>
      </c>
    </row>
    <row r="154">
      <c r="A154" s="14" t="n"/>
      <c r="B154" s="19" t="n"/>
      <c r="C154" s="14" t="n"/>
      <c r="D154" s="14" t="n"/>
      <c r="E154" s="14" t="n"/>
      <c r="F154" s="14" t="n"/>
      <c r="G154" s="14" t="n"/>
      <c r="H154" s="14" t="n"/>
      <c r="I154" s="20" t="n"/>
      <c r="J154" s="20" t="n"/>
      <c r="K154" s="14" t="n"/>
      <c r="L154" s="23">
        <f>IFERROR(INDEX('Chart of Accounts'!$C$5:$C$3000,MATCH(H154&amp;"",'Chart of Accounts'!$A$5:$A$3000,0))&amp;"|"&amp;INDEX('Chart of Accounts'!$D$5:$D$3000,MATCH(H154&amp;"",'Chart of Accounts'!$A$5:$A$3000,0)),"")</f>
        <v/>
      </c>
      <c r="M154" s="23">
        <f>IFERROR(INDEX('Chart of Accounts'!$C$5:$C$3000,MATCH(H154&amp;"",'Chart of Accounts'!$A$5:$A$3000,0))&amp;"|"&amp;INDEX('Chart of Accounts'!$D$5:$D$3000,MATCH(H154&amp;"",'Chart of Accounts'!$A$5:$A$3000,0)),"")</f>
        <v/>
      </c>
      <c r="N154" s="23">
        <f>IF(LEFT(L154,8)="Revenue|",-N(I154),0)+IF(LEFT(M154,8)="Revenue|",N(J154),0)</f>
        <v/>
      </c>
      <c r="O154" s="23">
        <f>IF(LEFT(L154,5)="COGS|",N(I154),0)+IF(LEFT(M154,5)="COGS|",-N(J154),0)</f>
        <v/>
      </c>
      <c r="P154" s="23">
        <f>IF(LEFT(L154,8)="Expense|",N(I154),0)+IF(LEFT(M154,8)="Expense|",-N(J154),0)</f>
        <v/>
      </c>
      <c r="Q154" s="23">
        <f>IF(ISNUMBER(MATCH(L154,{"Expense|employee","Expense|general_admin","Expense|marketing","Expense|utilities","Expense|other_operating"},0)),N(I154),0)+IF(ISNUMBER(MATCH(M154,{"Expense|employee","Expense|general_admin","Expense|marketing","Expense|utilities","Expense|other_operating"},0)),-N(J154),0)</f>
        <v/>
      </c>
      <c r="R154" s="23">
        <f>IF(L154="Liability|payable",-N(I154),0)+IF(M154="Liability|payable",N(J154),0)</f>
        <v/>
      </c>
      <c r="S154" s="23">
        <f>IF(L154="Liability|accrued",-N(I154),0)+IF(M154="Liability|accrued",N(J154),0)</f>
        <v/>
      </c>
      <c r="T154" s="23">
        <f>IF(AND(N(I154)&lt;&gt;0,L154=""),1,0)+IF(AND(N(J154)&lt;&gt;0,M154=""),1,0)</f>
        <v/>
      </c>
    </row>
    <row r="155">
      <c r="A155" s="14" t="n"/>
      <c r="B155" s="19" t="n"/>
      <c r="C155" s="14" t="n"/>
      <c r="D155" s="14" t="n"/>
      <c r="E155" s="14" t="n"/>
      <c r="F155" s="14" t="n"/>
      <c r="G155" s="14" t="n"/>
      <c r="H155" s="14" t="n"/>
      <c r="I155" s="20" t="n"/>
      <c r="J155" s="20" t="n"/>
      <c r="K155" s="14" t="n"/>
      <c r="L155" s="23">
        <f>IFERROR(INDEX('Chart of Accounts'!$C$5:$C$3000,MATCH(H155&amp;"",'Chart of Accounts'!$A$5:$A$3000,0))&amp;"|"&amp;INDEX('Chart of Accounts'!$D$5:$D$3000,MATCH(H155&amp;"",'Chart of Accounts'!$A$5:$A$3000,0)),"")</f>
        <v/>
      </c>
      <c r="M155" s="23">
        <f>IFERROR(INDEX('Chart of Accounts'!$C$5:$C$3000,MATCH(H155&amp;"",'Chart of Accounts'!$A$5:$A$3000,0))&amp;"|"&amp;INDEX('Chart of Accounts'!$D$5:$D$3000,MATCH(H155&amp;"",'Chart of Accounts'!$A$5:$A$3000,0)),"")</f>
        <v/>
      </c>
      <c r="N155" s="23">
        <f>IF(LEFT(L155,8)="Revenue|",-N(I155),0)+IF(LEFT(M155,8)="Revenue|",N(J155),0)</f>
        <v/>
      </c>
      <c r="O155" s="23">
        <f>IF(LEFT(L155,5)="COGS|",N(I155),0)+IF(LEFT(M155,5)="COGS|",-N(J155),0)</f>
        <v/>
      </c>
      <c r="P155" s="23">
        <f>IF(LEFT(L155,8)="Expense|",N(I155),0)+IF(LEFT(M155,8)="Expense|",-N(J155),0)</f>
        <v/>
      </c>
      <c r="Q155" s="23">
        <f>IF(ISNUMBER(MATCH(L155,{"Expense|employee","Expense|general_admin","Expense|marketing","Expense|utilities","Expense|other_operating"},0)),N(I155),0)+IF(ISNUMBER(MATCH(M155,{"Expense|employee","Expense|general_admin","Expense|marketing","Expense|utilities","Expense|other_operating"},0)),-N(J155),0)</f>
        <v/>
      </c>
      <c r="R155" s="23">
        <f>IF(L155="Liability|payable",-N(I155),0)+IF(M155="Liability|payable",N(J155),0)</f>
        <v/>
      </c>
      <c r="S155" s="23">
        <f>IF(L155="Liability|accrued",-N(I155),0)+IF(M155="Liability|accrued",N(J155),0)</f>
        <v/>
      </c>
      <c r="T155" s="23">
        <f>IF(AND(N(I155)&lt;&gt;0,L155=""),1,0)+IF(AND(N(J155)&lt;&gt;0,M155=""),1,0)</f>
        <v/>
      </c>
    </row>
    <row r="156">
      <c r="A156" s="14" t="n"/>
      <c r="B156" s="19" t="n"/>
      <c r="C156" s="14" t="n"/>
      <c r="D156" s="14" t="n"/>
      <c r="E156" s="14" t="n"/>
      <c r="F156" s="14" t="n"/>
      <c r="G156" s="14" t="n"/>
      <c r="H156" s="14" t="n"/>
      <c r="I156" s="20" t="n"/>
      <c r="J156" s="20" t="n"/>
      <c r="K156" s="14" t="n"/>
      <c r="L156" s="23">
        <f>IFERROR(INDEX('Chart of Accounts'!$C$5:$C$3000,MATCH(H156&amp;"",'Chart of Accounts'!$A$5:$A$3000,0))&amp;"|"&amp;INDEX('Chart of Accounts'!$D$5:$D$3000,MATCH(H156&amp;"",'Chart of Accounts'!$A$5:$A$3000,0)),"")</f>
        <v/>
      </c>
      <c r="M156" s="23">
        <f>IFERROR(INDEX('Chart of Accounts'!$C$5:$C$3000,MATCH(H156&amp;"",'Chart of Accounts'!$A$5:$A$3000,0))&amp;"|"&amp;INDEX('Chart of Accounts'!$D$5:$D$3000,MATCH(H156&amp;"",'Chart of Accounts'!$A$5:$A$3000,0)),"")</f>
        <v/>
      </c>
      <c r="N156" s="23">
        <f>IF(LEFT(L156,8)="Revenue|",-N(I156),0)+IF(LEFT(M156,8)="Revenue|",N(J156),0)</f>
        <v/>
      </c>
      <c r="O156" s="23">
        <f>IF(LEFT(L156,5)="COGS|",N(I156),0)+IF(LEFT(M156,5)="COGS|",-N(J156),0)</f>
        <v/>
      </c>
      <c r="P156" s="23">
        <f>IF(LEFT(L156,8)="Expense|",N(I156),0)+IF(LEFT(M156,8)="Expense|",-N(J156),0)</f>
        <v/>
      </c>
      <c r="Q156" s="23">
        <f>IF(ISNUMBER(MATCH(L156,{"Expense|employee","Expense|general_admin","Expense|marketing","Expense|utilities","Expense|other_operating"},0)),N(I156),0)+IF(ISNUMBER(MATCH(M156,{"Expense|employee","Expense|general_admin","Expense|marketing","Expense|utilities","Expense|other_operating"},0)),-N(J156),0)</f>
        <v/>
      </c>
      <c r="R156" s="23">
        <f>IF(L156="Liability|payable",-N(I156),0)+IF(M156="Liability|payable",N(J156),0)</f>
        <v/>
      </c>
      <c r="S156" s="23">
        <f>IF(L156="Liability|accrued",-N(I156),0)+IF(M156="Liability|accrued",N(J156),0)</f>
        <v/>
      </c>
      <c r="T156" s="23">
        <f>IF(AND(N(I156)&lt;&gt;0,L156=""),1,0)+IF(AND(N(J156)&lt;&gt;0,M156=""),1,0)</f>
        <v/>
      </c>
    </row>
    <row r="157">
      <c r="A157" s="14" t="n"/>
      <c r="B157" s="19" t="n"/>
      <c r="C157" s="14" t="n"/>
      <c r="D157" s="14" t="n"/>
      <c r="E157" s="14" t="n"/>
      <c r="F157" s="14" t="n"/>
      <c r="G157" s="14" t="n"/>
      <c r="H157" s="14" t="n"/>
      <c r="I157" s="20" t="n"/>
      <c r="J157" s="20" t="n"/>
      <c r="K157" s="14" t="n"/>
      <c r="L157" s="23">
        <f>IFERROR(INDEX('Chart of Accounts'!$C$5:$C$3000,MATCH(H157&amp;"",'Chart of Accounts'!$A$5:$A$3000,0))&amp;"|"&amp;INDEX('Chart of Accounts'!$D$5:$D$3000,MATCH(H157&amp;"",'Chart of Accounts'!$A$5:$A$3000,0)),"")</f>
        <v/>
      </c>
      <c r="M157" s="23">
        <f>IFERROR(INDEX('Chart of Accounts'!$C$5:$C$3000,MATCH(H157&amp;"",'Chart of Accounts'!$A$5:$A$3000,0))&amp;"|"&amp;INDEX('Chart of Accounts'!$D$5:$D$3000,MATCH(H157&amp;"",'Chart of Accounts'!$A$5:$A$3000,0)),"")</f>
        <v/>
      </c>
      <c r="N157" s="23">
        <f>IF(LEFT(L157,8)="Revenue|",-N(I157),0)+IF(LEFT(M157,8)="Revenue|",N(J157),0)</f>
        <v/>
      </c>
      <c r="O157" s="23">
        <f>IF(LEFT(L157,5)="COGS|",N(I157),0)+IF(LEFT(M157,5)="COGS|",-N(J157),0)</f>
        <v/>
      </c>
      <c r="P157" s="23">
        <f>IF(LEFT(L157,8)="Expense|",N(I157),0)+IF(LEFT(M157,8)="Expense|",-N(J157),0)</f>
        <v/>
      </c>
      <c r="Q157" s="23">
        <f>IF(ISNUMBER(MATCH(L157,{"Expense|employee","Expense|general_admin","Expense|marketing","Expense|utilities","Expense|other_operating"},0)),N(I157),0)+IF(ISNUMBER(MATCH(M157,{"Expense|employee","Expense|general_admin","Expense|marketing","Expense|utilities","Expense|other_operating"},0)),-N(J157),0)</f>
        <v/>
      </c>
      <c r="R157" s="23">
        <f>IF(L157="Liability|payable",-N(I157),0)+IF(M157="Liability|payable",N(J157),0)</f>
        <v/>
      </c>
      <c r="S157" s="23">
        <f>IF(L157="Liability|accrued",-N(I157),0)+IF(M157="Liability|accrued",N(J157),0)</f>
        <v/>
      </c>
      <c r="T157" s="23">
        <f>IF(AND(N(I157)&lt;&gt;0,L157=""),1,0)+IF(AND(N(J157)&lt;&gt;0,M157=""),1,0)</f>
        <v/>
      </c>
    </row>
    <row r="158">
      <c r="A158" s="14" t="n"/>
      <c r="B158" s="19" t="n"/>
      <c r="C158" s="14" t="n"/>
      <c r="D158" s="14" t="n"/>
      <c r="E158" s="14" t="n"/>
      <c r="F158" s="14" t="n"/>
      <c r="G158" s="14" t="n"/>
      <c r="H158" s="14" t="n"/>
      <c r="I158" s="20" t="n"/>
      <c r="J158" s="20" t="n"/>
      <c r="K158" s="14" t="n"/>
      <c r="L158" s="23">
        <f>IFERROR(INDEX('Chart of Accounts'!$C$5:$C$3000,MATCH(H158&amp;"",'Chart of Accounts'!$A$5:$A$3000,0))&amp;"|"&amp;INDEX('Chart of Accounts'!$D$5:$D$3000,MATCH(H158&amp;"",'Chart of Accounts'!$A$5:$A$3000,0)),"")</f>
        <v/>
      </c>
      <c r="M158" s="23">
        <f>IFERROR(INDEX('Chart of Accounts'!$C$5:$C$3000,MATCH(H158&amp;"",'Chart of Accounts'!$A$5:$A$3000,0))&amp;"|"&amp;INDEX('Chart of Accounts'!$D$5:$D$3000,MATCH(H158&amp;"",'Chart of Accounts'!$A$5:$A$3000,0)),"")</f>
        <v/>
      </c>
      <c r="N158" s="23">
        <f>IF(LEFT(L158,8)="Revenue|",-N(I158),0)+IF(LEFT(M158,8)="Revenue|",N(J158),0)</f>
        <v/>
      </c>
      <c r="O158" s="23">
        <f>IF(LEFT(L158,5)="COGS|",N(I158),0)+IF(LEFT(M158,5)="COGS|",-N(J158),0)</f>
        <v/>
      </c>
      <c r="P158" s="23">
        <f>IF(LEFT(L158,8)="Expense|",N(I158),0)+IF(LEFT(M158,8)="Expense|",-N(J158),0)</f>
        <v/>
      </c>
      <c r="Q158" s="23">
        <f>IF(ISNUMBER(MATCH(L158,{"Expense|employee","Expense|general_admin","Expense|marketing","Expense|utilities","Expense|other_operating"},0)),N(I158),0)+IF(ISNUMBER(MATCH(M158,{"Expense|employee","Expense|general_admin","Expense|marketing","Expense|utilities","Expense|other_operating"},0)),-N(J158),0)</f>
        <v/>
      </c>
      <c r="R158" s="23">
        <f>IF(L158="Liability|payable",-N(I158),0)+IF(M158="Liability|payable",N(J158),0)</f>
        <v/>
      </c>
      <c r="S158" s="23">
        <f>IF(L158="Liability|accrued",-N(I158),0)+IF(M158="Liability|accrued",N(J158),0)</f>
        <v/>
      </c>
      <c r="T158" s="23">
        <f>IF(AND(N(I158)&lt;&gt;0,L158=""),1,0)+IF(AND(N(J158)&lt;&gt;0,M158=""),1,0)</f>
        <v/>
      </c>
    </row>
    <row r="159">
      <c r="A159" s="14" t="n"/>
      <c r="B159" s="19" t="n"/>
      <c r="C159" s="14" t="n"/>
      <c r="D159" s="14" t="n"/>
      <c r="E159" s="14" t="n"/>
      <c r="F159" s="14" t="n"/>
      <c r="G159" s="14" t="n"/>
      <c r="H159" s="14" t="n"/>
      <c r="I159" s="20" t="n"/>
      <c r="J159" s="20" t="n"/>
      <c r="K159" s="14" t="n"/>
      <c r="L159" s="23">
        <f>IFERROR(INDEX('Chart of Accounts'!$C$5:$C$3000,MATCH(H159&amp;"",'Chart of Accounts'!$A$5:$A$3000,0))&amp;"|"&amp;INDEX('Chart of Accounts'!$D$5:$D$3000,MATCH(H159&amp;"",'Chart of Accounts'!$A$5:$A$3000,0)),"")</f>
        <v/>
      </c>
      <c r="M159" s="23">
        <f>IFERROR(INDEX('Chart of Accounts'!$C$5:$C$3000,MATCH(H159&amp;"",'Chart of Accounts'!$A$5:$A$3000,0))&amp;"|"&amp;INDEX('Chart of Accounts'!$D$5:$D$3000,MATCH(H159&amp;"",'Chart of Accounts'!$A$5:$A$3000,0)),"")</f>
        <v/>
      </c>
      <c r="N159" s="23">
        <f>IF(LEFT(L159,8)="Revenue|",-N(I159),0)+IF(LEFT(M159,8)="Revenue|",N(J159),0)</f>
        <v/>
      </c>
      <c r="O159" s="23">
        <f>IF(LEFT(L159,5)="COGS|",N(I159),0)+IF(LEFT(M159,5)="COGS|",-N(J159),0)</f>
        <v/>
      </c>
      <c r="P159" s="23">
        <f>IF(LEFT(L159,8)="Expense|",N(I159),0)+IF(LEFT(M159,8)="Expense|",-N(J159),0)</f>
        <v/>
      </c>
      <c r="Q159" s="23">
        <f>IF(ISNUMBER(MATCH(L159,{"Expense|employee","Expense|general_admin","Expense|marketing","Expense|utilities","Expense|other_operating"},0)),N(I159),0)+IF(ISNUMBER(MATCH(M159,{"Expense|employee","Expense|general_admin","Expense|marketing","Expense|utilities","Expense|other_operating"},0)),-N(J159),0)</f>
        <v/>
      </c>
      <c r="R159" s="23">
        <f>IF(L159="Liability|payable",-N(I159),0)+IF(M159="Liability|payable",N(J159),0)</f>
        <v/>
      </c>
      <c r="S159" s="23">
        <f>IF(L159="Liability|accrued",-N(I159),0)+IF(M159="Liability|accrued",N(J159),0)</f>
        <v/>
      </c>
      <c r="T159" s="23">
        <f>IF(AND(N(I159)&lt;&gt;0,L159=""),1,0)+IF(AND(N(J159)&lt;&gt;0,M159=""),1,0)</f>
        <v/>
      </c>
    </row>
    <row r="160">
      <c r="A160" s="14" t="n"/>
      <c r="B160" s="19" t="n"/>
      <c r="C160" s="14" t="n"/>
      <c r="D160" s="14" t="n"/>
      <c r="E160" s="14" t="n"/>
      <c r="F160" s="14" t="n"/>
      <c r="G160" s="14" t="n"/>
      <c r="H160" s="14" t="n"/>
      <c r="I160" s="20" t="n"/>
      <c r="J160" s="20" t="n"/>
      <c r="K160" s="14" t="n"/>
      <c r="L160" s="23">
        <f>IFERROR(INDEX('Chart of Accounts'!$C$5:$C$3000,MATCH(H160&amp;"",'Chart of Accounts'!$A$5:$A$3000,0))&amp;"|"&amp;INDEX('Chart of Accounts'!$D$5:$D$3000,MATCH(H160&amp;"",'Chart of Accounts'!$A$5:$A$3000,0)),"")</f>
        <v/>
      </c>
      <c r="M160" s="23">
        <f>IFERROR(INDEX('Chart of Accounts'!$C$5:$C$3000,MATCH(H160&amp;"",'Chart of Accounts'!$A$5:$A$3000,0))&amp;"|"&amp;INDEX('Chart of Accounts'!$D$5:$D$3000,MATCH(H160&amp;"",'Chart of Accounts'!$A$5:$A$3000,0)),"")</f>
        <v/>
      </c>
      <c r="N160" s="23">
        <f>IF(LEFT(L160,8)="Revenue|",-N(I160),0)+IF(LEFT(M160,8)="Revenue|",N(J160),0)</f>
        <v/>
      </c>
      <c r="O160" s="23">
        <f>IF(LEFT(L160,5)="COGS|",N(I160),0)+IF(LEFT(M160,5)="COGS|",-N(J160),0)</f>
        <v/>
      </c>
      <c r="P160" s="23">
        <f>IF(LEFT(L160,8)="Expense|",N(I160),0)+IF(LEFT(M160,8)="Expense|",-N(J160),0)</f>
        <v/>
      </c>
      <c r="Q160" s="23">
        <f>IF(ISNUMBER(MATCH(L160,{"Expense|employee","Expense|general_admin","Expense|marketing","Expense|utilities","Expense|other_operating"},0)),N(I160),0)+IF(ISNUMBER(MATCH(M160,{"Expense|employee","Expense|general_admin","Expense|marketing","Expense|utilities","Expense|other_operating"},0)),-N(J160),0)</f>
        <v/>
      </c>
      <c r="R160" s="23">
        <f>IF(L160="Liability|payable",-N(I160),0)+IF(M160="Liability|payable",N(J160),0)</f>
        <v/>
      </c>
      <c r="S160" s="23">
        <f>IF(L160="Liability|accrued",-N(I160),0)+IF(M160="Liability|accrued",N(J160),0)</f>
        <v/>
      </c>
      <c r="T160" s="23">
        <f>IF(AND(N(I160)&lt;&gt;0,L160=""),1,0)+IF(AND(N(J160)&lt;&gt;0,M160=""),1,0)</f>
        <v/>
      </c>
    </row>
    <row r="161">
      <c r="A161" s="14" t="n"/>
      <c r="B161" s="19" t="n"/>
      <c r="C161" s="14" t="n"/>
      <c r="D161" s="14" t="n"/>
      <c r="E161" s="14" t="n"/>
      <c r="F161" s="14" t="n"/>
      <c r="G161" s="14" t="n"/>
      <c r="H161" s="14" t="n"/>
      <c r="I161" s="20" t="n"/>
      <c r="J161" s="20" t="n"/>
      <c r="K161" s="14" t="n"/>
      <c r="L161" s="23">
        <f>IFERROR(INDEX('Chart of Accounts'!$C$5:$C$3000,MATCH(H161&amp;"",'Chart of Accounts'!$A$5:$A$3000,0))&amp;"|"&amp;INDEX('Chart of Accounts'!$D$5:$D$3000,MATCH(H161&amp;"",'Chart of Accounts'!$A$5:$A$3000,0)),"")</f>
        <v/>
      </c>
      <c r="M161" s="23">
        <f>IFERROR(INDEX('Chart of Accounts'!$C$5:$C$3000,MATCH(H161&amp;"",'Chart of Accounts'!$A$5:$A$3000,0))&amp;"|"&amp;INDEX('Chart of Accounts'!$D$5:$D$3000,MATCH(H161&amp;"",'Chart of Accounts'!$A$5:$A$3000,0)),"")</f>
        <v/>
      </c>
      <c r="N161" s="23">
        <f>IF(LEFT(L161,8)="Revenue|",-N(I161),0)+IF(LEFT(M161,8)="Revenue|",N(J161),0)</f>
        <v/>
      </c>
      <c r="O161" s="23">
        <f>IF(LEFT(L161,5)="COGS|",N(I161),0)+IF(LEFT(M161,5)="COGS|",-N(J161),0)</f>
        <v/>
      </c>
      <c r="P161" s="23">
        <f>IF(LEFT(L161,8)="Expense|",N(I161),0)+IF(LEFT(M161,8)="Expense|",-N(J161),0)</f>
        <v/>
      </c>
      <c r="Q161" s="23">
        <f>IF(ISNUMBER(MATCH(L161,{"Expense|employee","Expense|general_admin","Expense|marketing","Expense|utilities","Expense|other_operating"},0)),N(I161),0)+IF(ISNUMBER(MATCH(M161,{"Expense|employee","Expense|general_admin","Expense|marketing","Expense|utilities","Expense|other_operating"},0)),-N(J161),0)</f>
        <v/>
      </c>
      <c r="R161" s="23">
        <f>IF(L161="Liability|payable",-N(I161),0)+IF(M161="Liability|payable",N(J161),0)</f>
        <v/>
      </c>
      <c r="S161" s="23">
        <f>IF(L161="Liability|accrued",-N(I161),0)+IF(M161="Liability|accrued",N(J161),0)</f>
        <v/>
      </c>
      <c r="T161" s="23">
        <f>IF(AND(N(I161)&lt;&gt;0,L161=""),1,0)+IF(AND(N(J161)&lt;&gt;0,M161=""),1,0)</f>
        <v/>
      </c>
    </row>
    <row r="162">
      <c r="A162" s="14" t="n"/>
      <c r="B162" s="19" t="n"/>
      <c r="C162" s="14" t="n"/>
      <c r="D162" s="14" t="n"/>
      <c r="E162" s="14" t="n"/>
      <c r="F162" s="14" t="n"/>
      <c r="G162" s="14" t="n"/>
      <c r="H162" s="14" t="n"/>
      <c r="I162" s="20" t="n"/>
      <c r="J162" s="20" t="n"/>
      <c r="K162" s="14" t="n"/>
      <c r="L162" s="23">
        <f>IFERROR(INDEX('Chart of Accounts'!$C$5:$C$3000,MATCH(H162&amp;"",'Chart of Accounts'!$A$5:$A$3000,0))&amp;"|"&amp;INDEX('Chart of Accounts'!$D$5:$D$3000,MATCH(H162&amp;"",'Chart of Accounts'!$A$5:$A$3000,0)),"")</f>
        <v/>
      </c>
      <c r="M162" s="23">
        <f>IFERROR(INDEX('Chart of Accounts'!$C$5:$C$3000,MATCH(H162&amp;"",'Chart of Accounts'!$A$5:$A$3000,0))&amp;"|"&amp;INDEX('Chart of Accounts'!$D$5:$D$3000,MATCH(H162&amp;"",'Chart of Accounts'!$A$5:$A$3000,0)),"")</f>
        <v/>
      </c>
      <c r="N162" s="23">
        <f>IF(LEFT(L162,8)="Revenue|",-N(I162),0)+IF(LEFT(M162,8)="Revenue|",N(J162),0)</f>
        <v/>
      </c>
      <c r="O162" s="23">
        <f>IF(LEFT(L162,5)="COGS|",N(I162),0)+IF(LEFT(M162,5)="COGS|",-N(J162),0)</f>
        <v/>
      </c>
      <c r="P162" s="23">
        <f>IF(LEFT(L162,8)="Expense|",N(I162),0)+IF(LEFT(M162,8)="Expense|",-N(J162),0)</f>
        <v/>
      </c>
      <c r="Q162" s="23">
        <f>IF(ISNUMBER(MATCH(L162,{"Expense|employee","Expense|general_admin","Expense|marketing","Expense|utilities","Expense|other_operating"},0)),N(I162),0)+IF(ISNUMBER(MATCH(M162,{"Expense|employee","Expense|general_admin","Expense|marketing","Expense|utilities","Expense|other_operating"},0)),-N(J162),0)</f>
        <v/>
      </c>
      <c r="R162" s="23">
        <f>IF(L162="Liability|payable",-N(I162),0)+IF(M162="Liability|payable",N(J162),0)</f>
        <v/>
      </c>
      <c r="S162" s="23">
        <f>IF(L162="Liability|accrued",-N(I162),0)+IF(M162="Liability|accrued",N(J162),0)</f>
        <v/>
      </c>
      <c r="T162" s="23">
        <f>IF(AND(N(I162)&lt;&gt;0,L162=""),1,0)+IF(AND(N(J162)&lt;&gt;0,M162=""),1,0)</f>
        <v/>
      </c>
    </row>
    <row r="163">
      <c r="A163" s="14" t="n"/>
      <c r="B163" s="19" t="n"/>
      <c r="C163" s="14" t="n"/>
      <c r="D163" s="14" t="n"/>
      <c r="E163" s="14" t="n"/>
      <c r="F163" s="14" t="n"/>
      <c r="G163" s="14" t="n"/>
      <c r="H163" s="14" t="n"/>
      <c r="I163" s="20" t="n"/>
      <c r="J163" s="20" t="n"/>
      <c r="K163" s="14" t="n"/>
      <c r="L163" s="23">
        <f>IFERROR(INDEX('Chart of Accounts'!$C$5:$C$3000,MATCH(H163&amp;"",'Chart of Accounts'!$A$5:$A$3000,0))&amp;"|"&amp;INDEX('Chart of Accounts'!$D$5:$D$3000,MATCH(H163&amp;"",'Chart of Accounts'!$A$5:$A$3000,0)),"")</f>
        <v/>
      </c>
      <c r="M163" s="23">
        <f>IFERROR(INDEX('Chart of Accounts'!$C$5:$C$3000,MATCH(H163&amp;"",'Chart of Accounts'!$A$5:$A$3000,0))&amp;"|"&amp;INDEX('Chart of Accounts'!$D$5:$D$3000,MATCH(H163&amp;"",'Chart of Accounts'!$A$5:$A$3000,0)),"")</f>
        <v/>
      </c>
      <c r="N163" s="23">
        <f>IF(LEFT(L163,8)="Revenue|",-N(I163),0)+IF(LEFT(M163,8)="Revenue|",N(J163),0)</f>
        <v/>
      </c>
      <c r="O163" s="23">
        <f>IF(LEFT(L163,5)="COGS|",N(I163),0)+IF(LEFT(M163,5)="COGS|",-N(J163),0)</f>
        <v/>
      </c>
      <c r="P163" s="23">
        <f>IF(LEFT(L163,8)="Expense|",N(I163),0)+IF(LEFT(M163,8)="Expense|",-N(J163),0)</f>
        <v/>
      </c>
      <c r="Q163" s="23">
        <f>IF(ISNUMBER(MATCH(L163,{"Expense|employee","Expense|general_admin","Expense|marketing","Expense|utilities","Expense|other_operating"},0)),N(I163),0)+IF(ISNUMBER(MATCH(M163,{"Expense|employee","Expense|general_admin","Expense|marketing","Expense|utilities","Expense|other_operating"},0)),-N(J163),0)</f>
        <v/>
      </c>
      <c r="R163" s="23">
        <f>IF(L163="Liability|payable",-N(I163),0)+IF(M163="Liability|payable",N(J163),0)</f>
        <v/>
      </c>
      <c r="S163" s="23">
        <f>IF(L163="Liability|accrued",-N(I163),0)+IF(M163="Liability|accrued",N(J163),0)</f>
        <v/>
      </c>
      <c r="T163" s="23">
        <f>IF(AND(N(I163)&lt;&gt;0,L163=""),1,0)+IF(AND(N(J163)&lt;&gt;0,M163=""),1,0)</f>
        <v/>
      </c>
    </row>
    <row r="164">
      <c r="A164" s="14" t="n"/>
      <c r="B164" s="19" t="n"/>
      <c r="C164" s="14" t="n"/>
      <c r="D164" s="14" t="n"/>
      <c r="E164" s="14" t="n"/>
      <c r="F164" s="14" t="n"/>
      <c r="G164" s="14" t="n"/>
      <c r="H164" s="14" t="n"/>
      <c r="I164" s="20" t="n"/>
      <c r="J164" s="20" t="n"/>
      <c r="K164" s="14" t="n"/>
      <c r="L164" s="23">
        <f>IFERROR(INDEX('Chart of Accounts'!$C$5:$C$3000,MATCH(H164&amp;"",'Chart of Accounts'!$A$5:$A$3000,0))&amp;"|"&amp;INDEX('Chart of Accounts'!$D$5:$D$3000,MATCH(H164&amp;"",'Chart of Accounts'!$A$5:$A$3000,0)),"")</f>
        <v/>
      </c>
      <c r="M164" s="23">
        <f>IFERROR(INDEX('Chart of Accounts'!$C$5:$C$3000,MATCH(H164&amp;"",'Chart of Accounts'!$A$5:$A$3000,0))&amp;"|"&amp;INDEX('Chart of Accounts'!$D$5:$D$3000,MATCH(H164&amp;"",'Chart of Accounts'!$A$5:$A$3000,0)),"")</f>
        <v/>
      </c>
      <c r="N164" s="23">
        <f>IF(LEFT(L164,8)="Revenue|",-N(I164),0)+IF(LEFT(M164,8)="Revenue|",N(J164),0)</f>
        <v/>
      </c>
      <c r="O164" s="23">
        <f>IF(LEFT(L164,5)="COGS|",N(I164),0)+IF(LEFT(M164,5)="COGS|",-N(J164),0)</f>
        <v/>
      </c>
      <c r="P164" s="23">
        <f>IF(LEFT(L164,8)="Expense|",N(I164),0)+IF(LEFT(M164,8)="Expense|",-N(J164),0)</f>
        <v/>
      </c>
      <c r="Q164" s="23">
        <f>IF(ISNUMBER(MATCH(L164,{"Expense|employee","Expense|general_admin","Expense|marketing","Expense|utilities","Expense|other_operating"},0)),N(I164),0)+IF(ISNUMBER(MATCH(M164,{"Expense|employee","Expense|general_admin","Expense|marketing","Expense|utilities","Expense|other_operating"},0)),-N(J164),0)</f>
        <v/>
      </c>
      <c r="R164" s="23">
        <f>IF(L164="Liability|payable",-N(I164),0)+IF(M164="Liability|payable",N(J164),0)</f>
        <v/>
      </c>
      <c r="S164" s="23">
        <f>IF(L164="Liability|accrued",-N(I164),0)+IF(M164="Liability|accrued",N(J164),0)</f>
        <v/>
      </c>
      <c r="T164" s="23">
        <f>IF(AND(N(I164)&lt;&gt;0,L164=""),1,0)+IF(AND(N(J164)&lt;&gt;0,M164=""),1,0)</f>
        <v/>
      </c>
    </row>
    <row r="165">
      <c r="A165" s="14" t="n"/>
      <c r="B165" s="19" t="n"/>
      <c r="C165" s="14" t="n"/>
      <c r="D165" s="14" t="n"/>
      <c r="E165" s="14" t="n"/>
      <c r="F165" s="14" t="n"/>
      <c r="G165" s="14" t="n"/>
      <c r="H165" s="14" t="n"/>
      <c r="I165" s="20" t="n"/>
      <c r="J165" s="20" t="n"/>
      <c r="K165" s="14" t="n"/>
      <c r="L165" s="23">
        <f>IFERROR(INDEX('Chart of Accounts'!$C$5:$C$3000,MATCH(H165&amp;"",'Chart of Accounts'!$A$5:$A$3000,0))&amp;"|"&amp;INDEX('Chart of Accounts'!$D$5:$D$3000,MATCH(H165&amp;"",'Chart of Accounts'!$A$5:$A$3000,0)),"")</f>
        <v/>
      </c>
      <c r="M165" s="23">
        <f>IFERROR(INDEX('Chart of Accounts'!$C$5:$C$3000,MATCH(H165&amp;"",'Chart of Accounts'!$A$5:$A$3000,0))&amp;"|"&amp;INDEX('Chart of Accounts'!$D$5:$D$3000,MATCH(H165&amp;"",'Chart of Accounts'!$A$5:$A$3000,0)),"")</f>
        <v/>
      </c>
      <c r="N165" s="23">
        <f>IF(LEFT(L165,8)="Revenue|",-N(I165),0)+IF(LEFT(M165,8)="Revenue|",N(J165),0)</f>
        <v/>
      </c>
      <c r="O165" s="23">
        <f>IF(LEFT(L165,5)="COGS|",N(I165),0)+IF(LEFT(M165,5)="COGS|",-N(J165),0)</f>
        <v/>
      </c>
      <c r="P165" s="23">
        <f>IF(LEFT(L165,8)="Expense|",N(I165),0)+IF(LEFT(M165,8)="Expense|",-N(J165),0)</f>
        <v/>
      </c>
      <c r="Q165" s="23">
        <f>IF(ISNUMBER(MATCH(L165,{"Expense|employee","Expense|general_admin","Expense|marketing","Expense|utilities","Expense|other_operating"},0)),N(I165),0)+IF(ISNUMBER(MATCH(M165,{"Expense|employee","Expense|general_admin","Expense|marketing","Expense|utilities","Expense|other_operating"},0)),-N(J165),0)</f>
        <v/>
      </c>
      <c r="R165" s="23">
        <f>IF(L165="Liability|payable",-N(I165),0)+IF(M165="Liability|payable",N(J165),0)</f>
        <v/>
      </c>
      <c r="S165" s="23">
        <f>IF(L165="Liability|accrued",-N(I165),0)+IF(M165="Liability|accrued",N(J165),0)</f>
        <v/>
      </c>
      <c r="T165" s="23">
        <f>IF(AND(N(I165)&lt;&gt;0,L165=""),1,0)+IF(AND(N(J165)&lt;&gt;0,M165=""),1,0)</f>
        <v/>
      </c>
    </row>
    <row r="166">
      <c r="A166" s="14" t="n"/>
      <c r="B166" s="19" t="n"/>
      <c r="C166" s="14" t="n"/>
      <c r="D166" s="14" t="n"/>
      <c r="E166" s="14" t="n"/>
      <c r="F166" s="14" t="n"/>
      <c r="G166" s="14" t="n"/>
      <c r="H166" s="14" t="n"/>
      <c r="I166" s="20" t="n"/>
      <c r="J166" s="20" t="n"/>
      <c r="K166" s="14" t="n"/>
      <c r="L166" s="23">
        <f>IFERROR(INDEX('Chart of Accounts'!$C$5:$C$3000,MATCH(H166&amp;"",'Chart of Accounts'!$A$5:$A$3000,0))&amp;"|"&amp;INDEX('Chart of Accounts'!$D$5:$D$3000,MATCH(H166&amp;"",'Chart of Accounts'!$A$5:$A$3000,0)),"")</f>
        <v/>
      </c>
      <c r="M166" s="23">
        <f>IFERROR(INDEX('Chart of Accounts'!$C$5:$C$3000,MATCH(H166&amp;"",'Chart of Accounts'!$A$5:$A$3000,0))&amp;"|"&amp;INDEX('Chart of Accounts'!$D$5:$D$3000,MATCH(H166&amp;"",'Chart of Accounts'!$A$5:$A$3000,0)),"")</f>
        <v/>
      </c>
      <c r="N166" s="23">
        <f>IF(LEFT(L166,8)="Revenue|",-N(I166),0)+IF(LEFT(M166,8)="Revenue|",N(J166),0)</f>
        <v/>
      </c>
      <c r="O166" s="23">
        <f>IF(LEFT(L166,5)="COGS|",N(I166),0)+IF(LEFT(M166,5)="COGS|",-N(J166),0)</f>
        <v/>
      </c>
      <c r="P166" s="23">
        <f>IF(LEFT(L166,8)="Expense|",N(I166),0)+IF(LEFT(M166,8)="Expense|",-N(J166),0)</f>
        <v/>
      </c>
      <c r="Q166" s="23">
        <f>IF(ISNUMBER(MATCH(L166,{"Expense|employee","Expense|general_admin","Expense|marketing","Expense|utilities","Expense|other_operating"},0)),N(I166),0)+IF(ISNUMBER(MATCH(M166,{"Expense|employee","Expense|general_admin","Expense|marketing","Expense|utilities","Expense|other_operating"},0)),-N(J166),0)</f>
        <v/>
      </c>
      <c r="R166" s="23">
        <f>IF(L166="Liability|payable",-N(I166),0)+IF(M166="Liability|payable",N(J166),0)</f>
        <v/>
      </c>
      <c r="S166" s="23">
        <f>IF(L166="Liability|accrued",-N(I166),0)+IF(M166="Liability|accrued",N(J166),0)</f>
        <v/>
      </c>
      <c r="T166" s="23">
        <f>IF(AND(N(I166)&lt;&gt;0,L166=""),1,0)+IF(AND(N(J166)&lt;&gt;0,M166=""),1,0)</f>
        <v/>
      </c>
    </row>
    <row r="167">
      <c r="A167" s="14" t="n"/>
      <c r="B167" s="19" t="n"/>
      <c r="C167" s="14" t="n"/>
      <c r="D167" s="14" t="n"/>
      <c r="E167" s="14" t="n"/>
      <c r="F167" s="14" t="n"/>
      <c r="G167" s="14" t="n"/>
      <c r="H167" s="14" t="n"/>
      <c r="I167" s="20" t="n"/>
      <c r="J167" s="20" t="n"/>
      <c r="K167" s="14" t="n"/>
      <c r="L167" s="23">
        <f>IFERROR(INDEX('Chart of Accounts'!$C$5:$C$3000,MATCH(H167&amp;"",'Chart of Accounts'!$A$5:$A$3000,0))&amp;"|"&amp;INDEX('Chart of Accounts'!$D$5:$D$3000,MATCH(H167&amp;"",'Chart of Accounts'!$A$5:$A$3000,0)),"")</f>
        <v/>
      </c>
      <c r="M167" s="23">
        <f>IFERROR(INDEX('Chart of Accounts'!$C$5:$C$3000,MATCH(H167&amp;"",'Chart of Accounts'!$A$5:$A$3000,0))&amp;"|"&amp;INDEX('Chart of Accounts'!$D$5:$D$3000,MATCH(H167&amp;"",'Chart of Accounts'!$A$5:$A$3000,0)),"")</f>
        <v/>
      </c>
      <c r="N167" s="23">
        <f>IF(LEFT(L167,8)="Revenue|",-N(I167),0)+IF(LEFT(M167,8)="Revenue|",N(J167),0)</f>
        <v/>
      </c>
      <c r="O167" s="23">
        <f>IF(LEFT(L167,5)="COGS|",N(I167),0)+IF(LEFT(M167,5)="COGS|",-N(J167),0)</f>
        <v/>
      </c>
      <c r="P167" s="23">
        <f>IF(LEFT(L167,8)="Expense|",N(I167),0)+IF(LEFT(M167,8)="Expense|",-N(J167),0)</f>
        <v/>
      </c>
      <c r="Q167" s="23">
        <f>IF(ISNUMBER(MATCH(L167,{"Expense|employee","Expense|general_admin","Expense|marketing","Expense|utilities","Expense|other_operating"},0)),N(I167),0)+IF(ISNUMBER(MATCH(M167,{"Expense|employee","Expense|general_admin","Expense|marketing","Expense|utilities","Expense|other_operating"},0)),-N(J167),0)</f>
        <v/>
      </c>
      <c r="R167" s="23">
        <f>IF(L167="Liability|payable",-N(I167),0)+IF(M167="Liability|payable",N(J167),0)</f>
        <v/>
      </c>
      <c r="S167" s="23">
        <f>IF(L167="Liability|accrued",-N(I167),0)+IF(M167="Liability|accrued",N(J167),0)</f>
        <v/>
      </c>
      <c r="T167" s="23">
        <f>IF(AND(N(I167)&lt;&gt;0,L167=""),1,0)+IF(AND(N(J167)&lt;&gt;0,M167=""),1,0)</f>
        <v/>
      </c>
    </row>
    <row r="168">
      <c r="A168" s="14" t="n"/>
      <c r="B168" s="19" t="n"/>
      <c r="C168" s="14" t="n"/>
      <c r="D168" s="14" t="n"/>
      <c r="E168" s="14" t="n"/>
      <c r="F168" s="14" t="n"/>
      <c r="G168" s="14" t="n"/>
      <c r="H168" s="14" t="n"/>
      <c r="I168" s="20" t="n"/>
      <c r="J168" s="20" t="n"/>
      <c r="K168" s="14" t="n"/>
      <c r="L168" s="23">
        <f>IFERROR(INDEX('Chart of Accounts'!$C$5:$C$3000,MATCH(H168&amp;"",'Chart of Accounts'!$A$5:$A$3000,0))&amp;"|"&amp;INDEX('Chart of Accounts'!$D$5:$D$3000,MATCH(H168&amp;"",'Chart of Accounts'!$A$5:$A$3000,0)),"")</f>
        <v/>
      </c>
      <c r="M168" s="23">
        <f>IFERROR(INDEX('Chart of Accounts'!$C$5:$C$3000,MATCH(H168&amp;"",'Chart of Accounts'!$A$5:$A$3000,0))&amp;"|"&amp;INDEX('Chart of Accounts'!$D$5:$D$3000,MATCH(H168&amp;"",'Chart of Accounts'!$A$5:$A$3000,0)),"")</f>
        <v/>
      </c>
      <c r="N168" s="23">
        <f>IF(LEFT(L168,8)="Revenue|",-N(I168),0)+IF(LEFT(M168,8)="Revenue|",N(J168),0)</f>
        <v/>
      </c>
      <c r="O168" s="23">
        <f>IF(LEFT(L168,5)="COGS|",N(I168),0)+IF(LEFT(M168,5)="COGS|",-N(J168),0)</f>
        <v/>
      </c>
      <c r="P168" s="23">
        <f>IF(LEFT(L168,8)="Expense|",N(I168),0)+IF(LEFT(M168,8)="Expense|",-N(J168),0)</f>
        <v/>
      </c>
      <c r="Q168" s="23">
        <f>IF(ISNUMBER(MATCH(L168,{"Expense|employee","Expense|general_admin","Expense|marketing","Expense|utilities","Expense|other_operating"},0)),N(I168),0)+IF(ISNUMBER(MATCH(M168,{"Expense|employee","Expense|general_admin","Expense|marketing","Expense|utilities","Expense|other_operating"},0)),-N(J168),0)</f>
        <v/>
      </c>
      <c r="R168" s="23">
        <f>IF(L168="Liability|payable",-N(I168),0)+IF(M168="Liability|payable",N(J168),0)</f>
        <v/>
      </c>
      <c r="S168" s="23">
        <f>IF(L168="Liability|accrued",-N(I168),0)+IF(M168="Liability|accrued",N(J168),0)</f>
        <v/>
      </c>
      <c r="T168" s="23">
        <f>IF(AND(N(I168)&lt;&gt;0,L168=""),1,0)+IF(AND(N(J168)&lt;&gt;0,M168=""),1,0)</f>
        <v/>
      </c>
    </row>
    <row r="169">
      <c r="A169" s="14" t="n"/>
      <c r="B169" s="19" t="n"/>
      <c r="C169" s="14" t="n"/>
      <c r="D169" s="14" t="n"/>
      <c r="E169" s="14" t="n"/>
      <c r="F169" s="14" t="n"/>
      <c r="G169" s="14" t="n"/>
      <c r="H169" s="14" t="n"/>
      <c r="I169" s="20" t="n"/>
      <c r="J169" s="20" t="n"/>
      <c r="K169" s="14" t="n"/>
      <c r="L169" s="23">
        <f>IFERROR(INDEX('Chart of Accounts'!$C$5:$C$3000,MATCH(H169&amp;"",'Chart of Accounts'!$A$5:$A$3000,0))&amp;"|"&amp;INDEX('Chart of Accounts'!$D$5:$D$3000,MATCH(H169&amp;"",'Chart of Accounts'!$A$5:$A$3000,0)),"")</f>
        <v/>
      </c>
      <c r="M169" s="23">
        <f>IFERROR(INDEX('Chart of Accounts'!$C$5:$C$3000,MATCH(H169&amp;"",'Chart of Accounts'!$A$5:$A$3000,0))&amp;"|"&amp;INDEX('Chart of Accounts'!$D$5:$D$3000,MATCH(H169&amp;"",'Chart of Accounts'!$A$5:$A$3000,0)),"")</f>
        <v/>
      </c>
      <c r="N169" s="23">
        <f>IF(LEFT(L169,8)="Revenue|",-N(I169),0)+IF(LEFT(M169,8)="Revenue|",N(J169),0)</f>
        <v/>
      </c>
      <c r="O169" s="23">
        <f>IF(LEFT(L169,5)="COGS|",N(I169),0)+IF(LEFT(M169,5)="COGS|",-N(J169),0)</f>
        <v/>
      </c>
      <c r="P169" s="23">
        <f>IF(LEFT(L169,8)="Expense|",N(I169),0)+IF(LEFT(M169,8)="Expense|",-N(J169),0)</f>
        <v/>
      </c>
      <c r="Q169" s="23">
        <f>IF(ISNUMBER(MATCH(L169,{"Expense|employee","Expense|general_admin","Expense|marketing","Expense|utilities","Expense|other_operating"},0)),N(I169),0)+IF(ISNUMBER(MATCH(M169,{"Expense|employee","Expense|general_admin","Expense|marketing","Expense|utilities","Expense|other_operating"},0)),-N(J169),0)</f>
        <v/>
      </c>
      <c r="R169" s="23">
        <f>IF(L169="Liability|payable",-N(I169),0)+IF(M169="Liability|payable",N(J169),0)</f>
        <v/>
      </c>
      <c r="S169" s="23">
        <f>IF(L169="Liability|accrued",-N(I169),0)+IF(M169="Liability|accrued",N(J169),0)</f>
        <v/>
      </c>
      <c r="T169" s="23">
        <f>IF(AND(N(I169)&lt;&gt;0,L169=""),1,0)+IF(AND(N(J169)&lt;&gt;0,M169=""),1,0)</f>
        <v/>
      </c>
    </row>
    <row r="170">
      <c r="A170" s="14" t="n"/>
      <c r="B170" s="19" t="n"/>
      <c r="C170" s="14" t="n"/>
      <c r="D170" s="14" t="n"/>
      <c r="E170" s="14" t="n"/>
      <c r="F170" s="14" t="n"/>
      <c r="G170" s="14" t="n"/>
      <c r="H170" s="14" t="n"/>
      <c r="I170" s="20" t="n"/>
      <c r="J170" s="20" t="n"/>
      <c r="K170" s="14" t="n"/>
      <c r="L170" s="23">
        <f>IFERROR(INDEX('Chart of Accounts'!$C$5:$C$3000,MATCH(H170&amp;"",'Chart of Accounts'!$A$5:$A$3000,0))&amp;"|"&amp;INDEX('Chart of Accounts'!$D$5:$D$3000,MATCH(H170&amp;"",'Chart of Accounts'!$A$5:$A$3000,0)),"")</f>
        <v/>
      </c>
      <c r="M170" s="23">
        <f>IFERROR(INDEX('Chart of Accounts'!$C$5:$C$3000,MATCH(H170&amp;"",'Chart of Accounts'!$A$5:$A$3000,0))&amp;"|"&amp;INDEX('Chart of Accounts'!$D$5:$D$3000,MATCH(H170&amp;"",'Chart of Accounts'!$A$5:$A$3000,0)),"")</f>
        <v/>
      </c>
      <c r="N170" s="23">
        <f>IF(LEFT(L170,8)="Revenue|",-N(I170),0)+IF(LEFT(M170,8)="Revenue|",N(J170),0)</f>
        <v/>
      </c>
      <c r="O170" s="23">
        <f>IF(LEFT(L170,5)="COGS|",N(I170),0)+IF(LEFT(M170,5)="COGS|",-N(J170),0)</f>
        <v/>
      </c>
      <c r="P170" s="23">
        <f>IF(LEFT(L170,8)="Expense|",N(I170),0)+IF(LEFT(M170,8)="Expense|",-N(J170),0)</f>
        <v/>
      </c>
      <c r="Q170" s="23">
        <f>IF(ISNUMBER(MATCH(L170,{"Expense|employee","Expense|general_admin","Expense|marketing","Expense|utilities","Expense|other_operating"},0)),N(I170),0)+IF(ISNUMBER(MATCH(M170,{"Expense|employee","Expense|general_admin","Expense|marketing","Expense|utilities","Expense|other_operating"},0)),-N(J170),0)</f>
        <v/>
      </c>
      <c r="R170" s="23">
        <f>IF(L170="Liability|payable",-N(I170),0)+IF(M170="Liability|payable",N(J170),0)</f>
        <v/>
      </c>
      <c r="S170" s="23">
        <f>IF(L170="Liability|accrued",-N(I170),0)+IF(M170="Liability|accrued",N(J170),0)</f>
        <v/>
      </c>
      <c r="T170" s="23">
        <f>IF(AND(N(I170)&lt;&gt;0,L170=""),1,0)+IF(AND(N(J170)&lt;&gt;0,M170=""),1,0)</f>
        <v/>
      </c>
    </row>
    <row r="171">
      <c r="A171" s="14" t="n"/>
      <c r="B171" s="19" t="n"/>
      <c r="C171" s="14" t="n"/>
      <c r="D171" s="14" t="n"/>
      <c r="E171" s="14" t="n"/>
      <c r="F171" s="14" t="n"/>
      <c r="G171" s="14" t="n"/>
      <c r="H171" s="14" t="n"/>
      <c r="I171" s="20" t="n"/>
      <c r="J171" s="20" t="n"/>
      <c r="K171" s="14" t="n"/>
      <c r="L171" s="23">
        <f>IFERROR(INDEX('Chart of Accounts'!$C$5:$C$3000,MATCH(H171&amp;"",'Chart of Accounts'!$A$5:$A$3000,0))&amp;"|"&amp;INDEX('Chart of Accounts'!$D$5:$D$3000,MATCH(H171&amp;"",'Chart of Accounts'!$A$5:$A$3000,0)),"")</f>
        <v/>
      </c>
      <c r="M171" s="23">
        <f>IFERROR(INDEX('Chart of Accounts'!$C$5:$C$3000,MATCH(H171&amp;"",'Chart of Accounts'!$A$5:$A$3000,0))&amp;"|"&amp;INDEX('Chart of Accounts'!$D$5:$D$3000,MATCH(H171&amp;"",'Chart of Accounts'!$A$5:$A$3000,0)),"")</f>
        <v/>
      </c>
      <c r="N171" s="23">
        <f>IF(LEFT(L171,8)="Revenue|",-N(I171),0)+IF(LEFT(M171,8)="Revenue|",N(J171),0)</f>
        <v/>
      </c>
      <c r="O171" s="23">
        <f>IF(LEFT(L171,5)="COGS|",N(I171),0)+IF(LEFT(M171,5)="COGS|",-N(J171),0)</f>
        <v/>
      </c>
      <c r="P171" s="23">
        <f>IF(LEFT(L171,8)="Expense|",N(I171),0)+IF(LEFT(M171,8)="Expense|",-N(J171),0)</f>
        <v/>
      </c>
      <c r="Q171" s="23">
        <f>IF(ISNUMBER(MATCH(L171,{"Expense|employee","Expense|general_admin","Expense|marketing","Expense|utilities","Expense|other_operating"},0)),N(I171),0)+IF(ISNUMBER(MATCH(M171,{"Expense|employee","Expense|general_admin","Expense|marketing","Expense|utilities","Expense|other_operating"},0)),-N(J171),0)</f>
        <v/>
      </c>
      <c r="R171" s="23">
        <f>IF(L171="Liability|payable",-N(I171),0)+IF(M171="Liability|payable",N(J171),0)</f>
        <v/>
      </c>
      <c r="S171" s="23">
        <f>IF(L171="Liability|accrued",-N(I171),0)+IF(M171="Liability|accrued",N(J171),0)</f>
        <v/>
      </c>
      <c r="T171" s="23">
        <f>IF(AND(N(I171)&lt;&gt;0,L171=""),1,0)+IF(AND(N(J171)&lt;&gt;0,M171=""),1,0)</f>
        <v/>
      </c>
    </row>
    <row r="172">
      <c r="A172" s="14" t="n"/>
      <c r="B172" s="19" t="n"/>
      <c r="C172" s="14" t="n"/>
      <c r="D172" s="14" t="n"/>
      <c r="E172" s="14" t="n"/>
      <c r="F172" s="14" t="n"/>
      <c r="G172" s="14" t="n"/>
      <c r="H172" s="14" t="n"/>
      <c r="I172" s="20" t="n"/>
      <c r="J172" s="20" t="n"/>
      <c r="K172" s="14" t="n"/>
      <c r="L172" s="23">
        <f>IFERROR(INDEX('Chart of Accounts'!$C$5:$C$3000,MATCH(H172&amp;"",'Chart of Accounts'!$A$5:$A$3000,0))&amp;"|"&amp;INDEX('Chart of Accounts'!$D$5:$D$3000,MATCH(H172&amp;"",'Chart of Accounts'!$A$5:$A$3000,0)),"")</f>
        <v/>
      </c>
      <c r="M172" s="23">
        <f>IFERROR(INDEX('Chart of Accounts'!$C$5:$C$3000,MATCH(H172&amp;"",'Chart of Accounts'!$A$5:$A$3000,0))&amp;"|"&amp;INDEX('Chart of Accounts'!$D$5:$D$3000,MATCH(H172&amp;"",'Chart of Accounts'!$A$5:$A$3000,0)),"")</f>
        <v/>
      </c>
      <c r="N172" s="23">
        <f>IF(LEFT(L172,8)="Revenue|",-N(I172),0)+IF(LEFT(M172,8)="Revenue|",N(J172),0)</f>
        <v/>
      </c>
      <c r="O172" s="23">
        <f>IF(LEFT(L172,5)="COGS|",N(I172),0)+IF(LEFT(M172,5)="COGS|",-N(J172),0)</f>
        <v/>
      </c>
      <c r="P172" s="23">
        <f>IF(LEFT(L172,8)="Expense|",N(I172),0)+IF(LEFT(M172,8)="Expense|",-N(J172),0)</f>
        <v/>
      </c>
      <c r="Q172" s="23">
        <f>IF(ISNUMBER(MATCH(L172,{"Expense|employee","Expense|general_admin","Expense|marketing","Expense|utilities","Expense|other_operating"},0)),N(I172),0)+IF(ISNUMBER(MATCH(M172,{"Expense|employee","Expense|general_admin","Expense|marketing","Expense|utilities","Expense|other_operating"},0)),-N(J172),0)</f>
        <v/>
      </c>
      <c r="R172" s="23">
        <f>IF(L172="Liability|payable",-N(I172),0)+IF(M172="Liability|payable",N(J172),0)</f>
        <v/>
      </c>
      <c r="S172" s="23">
        <f>IF(L172="Liability|accrued",-N(I172),0)+IF(M172="Liability|accrued",N(J172),0)</f>
        <v/>
      </c>
      <c r="T172" s="23">
        <f>IF(AND(N(I172)&lt;&gt;0,L172=""),1,0)+IF(AND(N(J172)&lt;&gt;0,M172=""),1,0)</f>
        <v/>
      </c>
    </row>
    <row r="173">
      <c r="A173" s="14" t="n"/>
      <c r="B173" s="19" t="n"/>
      <c r="C173" s="14" t="n"/>
      <c r="D173" s="14" t="n"/>
      <c r="E173" s="14" t="n"/>
      <c r="F173" s="14" t="n"/>
      <c r="G173" s="14" t="n"/>
      <c r="H173" s="14" t="n"/>
      <c r="I173" s="20" t="n"/>
      <c r="J173" s="20" t="n"/>
      <c r="K173" s="14" t="n"/>
      <c r="L173" s="23">
        <f>IFERROR(INDEX('Chart of Accounts'!$C$5:$C$3000,MATCH(H173&amp;"",'Chart of Accounts'!$A$5:$A$3000,0))&amp;"|"&amp;INDEX('Chart of Accounts'!$D$5:$D$3000,MATCH(H173&amp;"",'Chart of Accounts'!$A$5:$A$3000,0)),"")</f>
        <v/>
      </c>
      <c r="M173" s="23">
        <f>IFERROR(INDEX('Chart of Accounts'!$C$5:$C$3000,MATCH(H173&amp;"",'Chart of Accounts'!$A$5:$A$3000,0))&amp;"|"&amp;INDEX('Chart of Accounts'!$D$5:$D$3000,MATCH(H173&amp;"",'Chart of Accounts'!$A$5:$A$3000,0)),"")</f>
        <v/>
      </c>
      <c r="N173" s="23">
        <f>IF(LEFT(L173,8)="Revenue|",-N(I173),0)+IF(LEFT(M173,8)="Revenue|",N(J173),0)</f>
        <v/>
      </c>
      <c r="O173" s="23">
        <f>IF(LEFT(L173,5)="COGS|",N(I173),0)+IF(LEFT(M173,5)="COGS|",-N(J173),0)</f>
        <v/>
      </c>
      <c r="P173" s="23">
        <f>IF(LEFT(L173,8)="Expense|",N(I173),0)+IF(LEFT(M173,8)="Expense|",-N(J173),0)</f>
        <v/>
      </c>
      <c r="Q173" s="23">
        <f>IF(ISNUMBER(MATCH(L173,{"Expense|employee","Expense|general_admin","Expense|marketing","Expense|utilities","Expense|other_operating"},0)),N(I173),0)+IF(ISNUMBER(MATCH(M173,{"Expense|employee","Expense|general_admin","Expense|marketing","Expense|utilities","Expense|other_operating"},0)),-N(J173),0)</f>
        <v/>
      </c>
      <c r="R173" s="23">
        <f>IF(L173="Liability|payable",-N(I173),0)+IF(M173="Liability|payable",N(J173),0)</f>
        <v/>
      </c>
      <c r="S173" s="23">
        <f>IF(L173="Liability|accrued",-N(I173),0)+IF(M173="Liability|accrued",N(J173),0)</f>
        <v/>
      </c>
      <c r="T173" s="23">
        <f>IF(AND(N(I173)&lt;&gt;0,L173=""),1,0)+IF(AND(N(J173)&lt;&gt;0,M173=""),1,0)</f>
        <v/>
      </c>
    </row>
    <row r="174">
      <c r="A174" s="14" t="n"/>
      <c r="B174" s="19" t="n"/>
      <c r="C174" s="14" t="n"/>
      <c r="D174" s="14" t="n"/>
      <c r="E174" s="14" t="n"/>
      <c r="F174" s="14" t="n"/>
      <c r="G174" s="14" t="n"/>
      <c r="H174" s="14" t="n"/>
      <c r="I174" s="20" t="n"/>
      <c r="J174" s="20" t="n"/>
      <c r="K174" s="14" t="n"/>
      <c r="L174" s="23">
        <f>IFERROR(INDEX('Chart of Accounts'!$C$5:$C$3000,MATCH(H174&amp;"",'Chart of Accounts'!$A$5:$A$3000,0))&amp;"|"&amp;INDEX('Chart of Accounts'!$D$5:$D$3000,MATCH(H174&amp;"",'Chart of Accounts'!$A$5:$A$3000,0)),"")</f>
        <v/>
      </c>
      <c r="M174" s="23">
        <f>IFERROR(INDEX('Chart of Accounts'!$C$5:$C$3000,MATCH(H174&amp;"",'Chart of Accounts'!$A$5:$A$3000,0))&amp;"|"&amp;INDEX('Chart of Accounts'!$D$5:$D$3000,MATCH(H174&amp;"",'Chart of Accounts'!$A$5:$A$3000,0)),"")</f>
        <v/>
      </c>
      <c r="N174" s="23">
        <f>IF(LEFT(L174,8)="Revenue|",-N(I174),0)+IF(LEFT(M174,8)="Revenue|",N(J174),0)</f>
        <v/>
      </c>
      <c r="O174" s="23">
        <f>IF(LEFT(L174,5)="COGS|",N(I174),0)+IF(LEFT(M174,5)="COGS|",-N(J174),0)</f>
        <v/>
      </c>
      <c r="P174" s="23">
        <f>IF(LEFT(L174,8)="Expense|",N(I174),0)+IF(LEFT(M174,8)="Expense|",-N(J174),0)</f>
        <v/>
      </c>
      <c r="Q174" s="23">
        <f>IF(ISNUMBER(MATCH(L174,{"Expense|employee","Expense|general_admin","Expense|marketing","Expense|utilities","Expense|other_operating"},0)),N(I174),0)+IF(ISNUMBER(MATCH(M174,{"Expense|employee","Expense|general_admin","Expense|marketing","Expense|utilities","Expense|other_operating"},0)),-N(J174),0)</f>
        <v/>
      </c>
      <c r="R174" s="23">
        <f>IF(L174="Liability|payable",-N(I174),0)+IF(M174="Liability|payable",N(J174),0)</f>
        <v/>
      </c>
      <c r="S174" s="23">
        <f>IF(L174="Liability|accrued",-N(I174),0)+IF(M174="Liability|accrued",N(J174),0)</f>
        <v/>
      </c>
      <c r="T174" s="23">
        <f>IF(AND(N(I174)&lt;&gt;0,L174=""),1,0)+IF(AND(N(J174)&lt;&gt;0,M174=""),1,0)</f>
        <v/>
      </c>
    </row>
    <row r="175">
      <c r="A175" s="14" t="n"/>
      <c r="B175" s="19" t="n"/>
      <c r="C175" s="14" t="n"/>
      <c r="D175" s="14" t="n"/>
      <c r="E175" s="14" t="n"/>
      <c r="F175" s="14" t="n"/>
      <c r="G175" s="14" t="n"/>
      <c r="H175" s="14" t="n"/>
      <c r="I175" s="20" t="n"/>
      <c r="J175" s="20" t="n"/>
      <c r="K175" s="14" t="n"/>
      <c r="L175" s="23">
        <f>IFERROR(INDEX('Chart of Accounts'!$C$5:$C$3000,MATCH(H175&amp;"",'Chart of Accounts'!$A$5:$A$3000,0))&amp;"|"&amp;INDEX('Chart of Accounts'!$D$5:$D$3000,MATCH(H175&amp;"",'Chart of Accounts'!$A$5:$A$3000,0)),"")</f>
        <v/>
      </c>
      <c r="M175" s="23">
        <f>IFERROR(INDEX('Chart of Accounts'!$C$5:$C$3000,MATCH(H175&amp;"",'Chart of Accounts'!$A$5:$A$3000,0))&amp;"|"&amp;INDEX('Chart of Accounts'!$D$5:$D$3000,MATCH(H175&amp;"",'Chart of Accounts'!$A$5:$A$3000,0)),"")</f>
        <v/>
      </c>
      <c r="N175" s="23">
        <f>IF(LEFT(L175,8)="Revenue|",-N(I175),0)+IF(LEFT(M175,8)="Revenue|",N(J175),0)</f>
        <v/>
      </c>
      <c r="O175" s="23">
        <f>IF(LEFT(L175,5)="COGS|",N(I175),0)+IF(LEFT(M175,5)="COGS|",-N(J175),0)</f>
        <v/>
      </c>
      <c r="P175" s="23">
        <f>IF(LEFT(L175,8)="Expense|",N(I175),0)+IF(LEFT(M175,8)="Expense|",-N(J175),0)</f>
        <v/>
      </c>
      <c r="Q175" s="23">
        <f>IF(ISNUMBER(MATCH(L175,{"Expense|employee","Expense|general_admin","Expense|marketing","Expense|utilities","Expense|other_operating"},0)),N(I175),0)+IF(ISNUMBER(MATCH(M175,{"Expense|employee","Expense|general_admin","Expense|marketing","Expense|utilities","Expense|other_operating"},0)),-N(J175),0)</f>
        <v/>
      </c>
      <c r="R175" s="23">
        <f>IF(L175="Liability|payable",-N(I175),0)+IF(M175="Liability|payable",N(J175),0)</f>
        <v/>
      </c>
      <c r="S175" s="23">
        <f>IF(L175="Liability|accrued",-N(I175),0)+IF(M175="Liability|accrued",N(J175),0)</f>
        <v/>
      </c>
      <c r="T175" s="23">
        <f>IF(AND(N(I175)&lt;&gt;0,L175=""),1,0)+IF(AND(N(J175)&lt;&gt;0,M175=""),1,0)</f>
        <v/>
      </c>
    </row>
    <row r="176">
      <c r="A176" s="14" t="n"/>
      <c r="B176" s="19" t="n"/>
      <c r="C176" s="14" t="n"/>
      <c r="D176" s="14" t="n"/>
      <c r="E176" s="14" t="n"/>
      <c r="F176" s="14" t="n"/>
      <c r="G176" s="14" t="n"/>
      <c r="H176" s="14" t="n"/>
      <c r="I176" s="20" t="n"/>
      <c r="J176" s="20" t="n"/>
      <c r="K176" s="14" t="n"/>
      <c r="L176" s="23">
        <f>IFERROR(INDEX('Chart of Accounts'!$C$5:$C$3000,MATCH(H176&amp;"",'Chart of Accounts'!$A$5:$A$3000,0))&amp;"|"&amp;INDEX('Chart of Accounts'!$D$5:$D$3000,MATCH(H176&amp;"",'Chart of Accounts'!$A$5:$A$3000,0)),"")</f>
        <v/>
      </c>
      <c r="M176" s="23">
        <f>IFERROR(INDEX('Chart of Accounts'!$C$5:$C$3000,MATCH(H176&amp;"",'Chart of Accounts'!$A$5:$A$3000,0))&amp;"|"&amp;INDEX('Chart of Accounts'!$D$5:$D$3000,MATCH(H176&amp;"",'Chart of Accounts'!$A$5:$A$3000,0)),"")</f>
        <v/>
      </c>
      <c r="N176" s="23">
        <f>IF(LEFT(L176,8)="Revenue|",-N(I176),0)+IF(LEFT(M176,8)="Revenue|",N(J176),0)</f>
        <v/>
      </c>
      <c r="O176" s="23">
        <f>IF(LEFT(L176,5)="COGS|",N(I176),0)+IF(LEFT(M176,5)="COGS|",-N(J176),0)</f>
        <v/>
      </c>
      <c r="P176" s="23">
        <f>IF(LEFT(L176,8)="Expense|",N(I176),0)+IF(LEFT(M176,8)="Expense|",-N(J176),0)</f>
        <v/>
      </c>
      <c r="Q176" s="23">
        <f>IF(ISNUMBER(MATCH(L176,{"Expense|employee","Expense|general_admin","Expense|marketing","Expense|utilities","Expense|other_operating"},0)),N(I176),0)+IF(ISNUMBER(MATCH(M176,{"Expense|employee","Expense|general_admin","Expense|marketing","Expense|utilities","Expense|other_operating"},0)),-N(J176),0)</f>
        <v/>
      </c>
      <c r="R176" s="23">
        <f>IF(L176="Liability|payable",-N(I176),0)+IF(M176="Liability|payable",N(J176),0)</f>
        <v/>
      </c>
      <c r="S176" s="23">
        <f>IF(L176="Liability|accrued",-N(I176),0)+IF(M176="Liability|accrued",N(J176),0)</f>
        <v/>
      </c>
      <c r="T176" s="23">
        <f>IF(AND(N(I176)&lt;&gt;0,L176=""),1,0)+IF(AND(N(J176)&lt;&gt;0,M176=""),1,0)</f>
        <v/>
      </c>
    </row>
    <row r="177">
      <c r="A177" s="14" t="n"/>
      <c r="B177" s="19" t="n"/>
      <c r="C177" s="14" t="n"/>
      <c r="D177" s="14" t="n"/>
      <c r="E177" s="14" t="n"/>
      <c r="F177" s="14" t="n"/>
      <c r="G177" s="14" t="n"/>
      <c r="H177" s="14" t="n"/>
      <c r="I177" s="20" t="n"/>
      <c r="J177" s="20" t="n"/>
      <c r="K177" s="14" t="n"/>
      <c r="L177" s="23">
        <f>IFERROR(INDEX('Chart of Accounts'!$C$5:$C$3000,MATCH(H177&amp;"",'Chart of Accounts'!$A$5:$A$3000,0))&amp;"|"&amp;INDEX('Chart of Accounts'!$D$5:$D$3000,MATCH(H177&amp;"",'Chart of Accounts'!$A$5:$A$3000,0)),"")</f>
        <v/>
      </c>
      <c r="M177" s="23">
        <f>IFERROR(INDEX('Chart of Accounts'!$C$5:$C$3000,MATCH(H177&amp;"",'Chart of Accounts'!$A$5:$A$3000,0))&amp;"|"&amp;INDEX('Chart of Accounts'!$D$5:$D$3000,MATCH(H177&amp;"",'Chart of Accounts'!$A$5:$A$3000,0)),"")</f>
        <v/>
      </c>
      <c r="N177" s="23">
        <f>IF(LEFT(L177,8)="Revenue|",-N(I177),0)+IF(LEFT(M177,8)="Revenue|",N(J177),0)</f>
        <v/>
      </c>
      <c r="O177" s="23">
        <f>IF(LEFT(L177,5)="COGS|",N(I177),0)+IF(LEFT(M177,5)="COGS|",-N(J177),0)</f>
        <v/>
      </c>
      <c r="P177" s="23">
        <f>IF(LEFT(L177,8)="Expense|",N(I177),0)+IF(LEFT(M177,8)="Expense|",-N(J177),0)</f>
        <v/>
      </c>
      <c r="Q177" s="23">
        <f>IF(ISNUMBER(MATCH(L177,{"Expense|employee","Expense|general_admin","Expense|marketing","Expense|utilities","Expense|other_operating"},0)),N(I177),0)+IF(ISNUMBER(MATCH(M177,{"Expense|employee","Expense|general_admin","Expense|marketing","Expense|utilities","Expense|other_operating"},0)),-N(J177),0)</f>
        <v/>
      </c>
      <c r="R177" s="23">
        <f>IF(L177="Liability|payable",-N(I177),0)+IF(M177="Liability|payable",N(J177),0)</f>
        <v/>
      </c>
      <c r="S177" s="23">
        <f>IF(L177="Liability|accrued",-N(I177),0)+IF(M177="Liability|accrued",N(J177),0)</f>
        <v/>
      </c>
      <c r="T177" s="23">
        <f>IF(AND(N(I177)&lt;&gt;0,L177=""),1,0)+IF(AND(N(J177)&lt;&gt;0,M177=""),1,0)</f>
        <v/>
      </c>
    </row>
    <row r="178">
      <c r="A178" s="14" t="n"/>
      <c r="B178" s="19" t="n"/>
      <c r="C178" s="14" t="n"/>
      <c r="D178" s="14" t="n"/>
      <c r="E178" s="14" t="n"/>
      <c r="F178" s="14" t="n"/>
      <c r="G178" s="14" t="n"/>
      <c r="H178" s="14" t="n"/>
      <c r="I178" s="20" t="n"/>
      <c r="J178" s="20" t="n"/>
      <c r="K178" s="14" t="n"/>
      <c r="L178" s="23">
        <f>IFERROR(INDEX('Chart of Accounts'!$C$5:$C$3000,MATCH(H178&amp;"",'Chart of Accounts'!$A$5:$A$3000,0))&amp;"|"&amp;INDEX('Chart of Accounts'!$D$5:$D$3000,MATCH(H178&amp;"",'Chart of Accounts'!$A$5:$A$3000,0)),"")</f>
        <v/>
      </c>
      <c r="M178" s="23">
        <f>IFERROR(INDEX('Chart of Accounts'!$C$5:$C$3000,MATCH(H178&amp;"",'Chart of Accounts'!$A$5:$A$3000,0))&amp;"|"&amp;INDEX('Chart of Accounts'!$D$5:$D$3000,MATCH(H178&amp;"",'Chart of Accounts'!$A$5:$A$3000,0)),"")</f>
        <v/>
      </c>
      <c r="N178" s="23">
        <f>IF(LEFT(L178,8)="Revenue|",-N(I178),0)+IF(LEFT(M178,8)="Revenue|",N(J178),0)</f>
        <v/>
      </c>
      <c r="O178" s="23">
        <f>IF(LEFT(L178,5)="COGS|",N(I178),0)+IF(LEFT(M178,5)="COGS|",-N(J178),0)</f>
        <v/>
      </c>
      <c r="P178" s="23">
        <f>IF(LEFT(L178,8)="Expense|",N(I178),0)+IF(LEFT(M178,8)="Expense|",-N(J178),0)</f>
        <v/>
      </c>
      <c r="Q178" s="23">
        <f>IF(ISNUMBER(MATCH(L178,{"Expense|employee","Expense|general_admin","Expense|marketing","Expense|utilities","Expense|other_operating"},0)),N(I178),0)+IF(ISNUMBER(MATCH(M178,{"Expense|employee","Expense|general_admin","Expense|marketing","Expense|utilities","Expense|other_operating"},0)),-N(J178),0)</f>
        <v/>
      </c>
      <c r="R178" s="23">
        <f>IF(L178="Liability|payable",-N(I178),0)+IF(M178="Liability|payable",N(J178),0)</f>
        <v/>
      </c>
      <c r="S178" s="23">
        <f>IF(L178="Liability|accrued",-N(I178),0)+IF(M178="Liability|accrued",N(J178),0)</f>
        <v/>
      </c>
      <c r="T178" s="23">
        <f>IF(AND(N(I178)&lt;&gt;0,L178=""),1,0)+IF(AND(N(J178)&lt;&gt;0,M178=""),1,0)</f>
        <v/>
      </c>
    </row>
    <row r="179">
      <c r="A179" s="14" t="n"/>
      <c r="B179" s="19" t="n"/>
      <c r="C179" s="14" t="n"/>
      <c r="D179" s="14" t="n"/>
      <c r="E179" s="14" t="n"/>
      <c r="F179" s="14" t="n"/>
      <c r="G179" s="14" t="n"/>
      <c r="H179" s="14" t="n"/>
      <c r="I179" s="20" t="n"/>
      <c r="J179" s="20" t="n"/>
      <c r="K179" s="14" t="n"/>
      <c r="L179" s="23">
        <f>IFERROR(INDEX('Chart of Accounts'!$C$5:$C$3000,MATCH(H179&amp;"",'Chart of Accounts'!$A$5:$A$3000,0))&amp;"|"&amp;INDEX('Chart of Accounts'!$D$5:$D$3000,MATCH(H179&amp;"",'Chart of Accounts'!$A$5:$A$3000,0)),"")</f>
        <v/>
      </c>
      <c r="M179" s="23">
        <f>IFERROR(INDEX('Chart of Accounts'!$C$5:$C$3000,MATCH(H179&amp;"",'Chart of Accounts'!$A$5:$A$3000,0))&amp;"|"&amp;INDEX('Chart of Accounts'!$D$5:$D$3000,MATCH(H179&amp;"",'Chart of Accounts'!$A$5:$A$3000,0)),"")</f>
        <v/>
      </c>
      <c r="N179" s="23">
        <f>IF(LEFT(L179,8)="Revenue|",-N(I179),0)+IF(LEFT(M179,8)="Revenue|",N(J179),0)</f>
        <v/>
      </c>
      <c r="O179" s="23">
        <f>IF(LEFT(L179,5)="COGS|",N(I179),0)+IF(LEFT(M179,5)="COGS|",-N(J179),0)</f>
        <v/>
      </c>
      <c r="P179" s="23">
        <f>IF(LEFT(L179,8)="Expense|",N(I179),0)+IF(LEFT(M179,8)="Expense|",-N(J179),0)</f>
        <v/>
      </c>
      <c r="Q179" s="23">
        <f>IF(ISNUMBER(MATCH(L179,{"Expense|employee","Expense|general_admin","Expense|marketing","Expense|utilities","Expense|other_operating"},0)),N(I179),0)+IF(ISNUMBER(MATCH(M179,{"Expense|employee","Expense|general_admin","Expense|marketing","Expense|utilities","Expense|other_operating"},0)),-N(J179),0)</f>
        <v/>
      </c>
      <c r="R179" s="23">
        <f>IF(L179="Liability|payable",-N(I179),0)+IF(M179="Liability|payable",N(J179),0)</f>
        <v/>
      </c>
      <c r="S179" s="23">
        <f>IF(L179="Liability|accrued",-N(I179),0)+IF(M179="Liability|accrued",N(J179),0)</f>
        <v/>
      </c>
      <c r="T179" s="23">
        <f>IF(AND(N(I179)&lt;&gt;0,L179=""),1,0)+IF(AND(N(J179)&lt;&gt;0,M179=""),1,0)</f>
        <v/>
      </c>
    </row>
    <row r="180">
      <c r="A180" s="14" t="n"/>
      <c r="B180" s="19" t="n"/>
      <c r="C180" s="14" t="n"/>
      <c r="D180" s="14" t="n"/>
      <c r="E180" s="14" t="n"/>
      <c r="F180" s="14" t="n"/>
      <c r="G180" s="14" t="n"/>
      <c r="H180" s="14" t="n"/>
      <c r="I180" s="20" t="n"/>
      <c r="J180" s="20" t="n"/>
      <c r="K180" s="14" t="n"/>
      <c r="L180" s="23">
        <f>IFERROR(INDEX('Chart of Accounts'!$C$5:$C$3000,MATCH(H180&amp;"",'Chart of Accounts'!$A$5:$A$3000,0))&amp;"|"&amp;INDEX('Chart of Accounts'!$D$5:$D$3000,MATCH(H180&amp;"",'Chart of Accounts'!$A$5:$A$3000,0)),"")</f>
        <v/>
      </c>
      <c r="M180" s="23">
        <f>IFERROR(INDEX('Chart of Accounts'!$C$5:$C$3000,MATCH(H180&amp;"",'Chart of Accounts'!$A$5:$A$3000,0))&amp;"|"&amp;INDEX('Chart of Accounts'!$D$5:$D$3000,MATCH(H180&amp;"",'Chart of Accounts'!$A$5:$A$3000,0)),"")</f>
        <v/>
      </c>
      <c r="N180" s="23">
        <f>IF(LEFT(L180,8)="Revenue|",-N(I180),0)+IF(LEFT(M180,8)="Revenue|",N(J180),0)</f>
        <v/>
      </c>
      <c r="O180" s="23">
        <f>IF(LEFT(L180,5)="COGS|",N(I180),0)+IF(LEFT(M180,5)="COGS|",-N(J180),0)</f>
        <v/>
      </c>
      <c r="P180" s="23">
        <f>IF(LEFT(L180,8)="Expense|",N(I180),0)+IF(LEFT(M180,8)="Expense|",-N(J180),0)</f>
        <v/>
      </c>
      <c r="Q180" s="23">
        <f>IF(ISNUMBER(MATCH(L180,{"Expense|employee","Expense|general_admin","Expense|marketing","Expense|utilities","Expense|other_operating"},0)),N(I180),0)+IF(ISNUMBER(MATCH(M180,{"Expense|employee","Expense|general_admin","Expense|marketing","Expense|utilities","Expense|other_operating"},0)),-N(J180),0)</f>
        <v/>
      </c>
      <c r="R180" s="23">
        <f>IF(L180="Liability|payable",-N(I180),0)+IF(M180="Liability|payable",N(J180),0)</f>
        <v/>
      </c>
      <c r="S180" s="23">
        <f>IF(L180="Liability|accrued",-N(I180),0)+IF(M180="Liability|accrued",N(J180),0)</f>
        <v/>
      </c>
      <c r="T180" s="23">
        <f>IF(AND(N(I180)&lt;&gt;0,L180=""),1,0)+IF(AND(N(J180)&lt;&gt;0,M180=""),1,0)</f>
        <v/>
      </c>
    </row>
    <row r="181">
      <c r="A181" s="14" t="n"/>
      <c r="B181" s="19" t="n"/>
      <c r="C181" s="14" t="n"/>
      <c r="D181" s="14" t="n"/>
      <c r="E181" s="14" t="n"/>
      <c r="F181" s="14" t="n"/>
      <c r="G181" s="14" t="n"/>
      <c r="H181" s="14" t="n"/>
      <c r="I181" s="20" t="n"/>
      <c r="J181" s="20" t="n"/>
      <c r="K181" s="14" t="n"/>
      <c r="L181" s="23">
        <f>IFERROR(INDEX('Chart of Accounts'!$C$5:$C$3000,MATCH(H181&amp;"",'Chart of Accounts'!$A$5:$A$3000,0))&amp;"|"&amp;INDEX('Chart of Accounts'!$D$5:$D$3000,MATCH(H181&amp;"",'Chart of Accounts'!$A$5:$A$3000,0)),"")</f>
        <v/>
      </c>
      <c r="M181" s="23">
        <f>IFERROR(INDEX('Chart of Accounts'!$C$5:$C$3000,MATCH(H181&amp;"",'Chart of Accounts'!$A$5:$A$3000,0))&amp;"|"&amp;INDEX('Chart of Accounts'!$D$5:$D$3000,MATCH(H181&amp;"",'Chart of Accounts'!$A$5:$A$3000,0)),"")</f>
        <v/>
      </c>
      <c r="N181" s="23">
        <f>IF(LEFT(L181,8)="Revenue|",-N(I181),0)+IF(LEFT(M181,8)="Revenue|",N(J181),0)</f>
        <v/>
      </c>
      <c r="O181" s="23">
        <f>IF(LEFT(L181,5)="COGS|",N(I181),0)+IF(LEFT(M181,5)="COGS|",-N(J181),0)</f>
        <v/>
      </c>
      <c r="P181" s="23">
        <f>IF(LEFT(L181,8)="Expense|",N(I181),0)+IF(LEFT(M181,8)="Expense|",-N(J181),0)</f>
        <v/>
      </c>
      <c r="Q181" s="23">
        <f>IF(ISNUMBER(MATCH(L181,{"Expense|employee","Expense|general_admin","Expense|marketing","Expense|utilities","Expense|other_operating"},0)),N(I181),0)+IF(ISNUMBER(MATCH(M181,{"Expense|employee","Expense|general_admin","Expense|marketing","Expense|utilities","Expense|other_operating"},0)),-N(J181),0)</f>
        <v/>
      </c>
      <c r="R181" s="23">
        <f>IF(L181="Liability|payable",-N(I181),0)+IF(M181="Liability|payable",N(J181),0)</f>
        <v/>
      </c>
      <c r="S181" s="23">
        <f>IF(L181="Liability|accrued",-N(I181),0)+IF(M181="Liability|accrued",N(J181),0)</f>
        <v/>
      </c>
      <c r="T181" s="23">
        <f>IF(AND(N(I181)&lt;&gt;0,L181=""),1,0)+IF(AND(N(J181)&lt;&gt;0,M181=""),1,0)</f>
        <v/>
      </c>
    </row>
    <row r="182">
      <c r="A182" s="14" t="n"/>
      <c r="B182" s="19" t="n"/>
      <c r="C182" s="14" t="n"/>
      <c r="D182" s="14" t="n"/>
      <c r="E182" s="14" t="n"/>
      <c r="F182" s="14" t="n"/>
      <c r="G182" s="14" t="n"/>
      <c r="H182" s="14" t="n"/>
      <c r="I182" s="20" t="n"/>
      <c r="J182" s="20" t="n"/>
      <c r="K182" s="14" t="n"/>
      <c r="L182" s="23">
        <f>IFERROR(INDEX('Chart of Accounts'!$C$5:$C$3000,MATCH(H182&amp;"",'Chart of Accounts'!$A$5:$A$3000,0))&amp;"|"&amp;INDEX('Chart of Accounts'!$D$5:$D$3000,MATCH(H182&amp;"",'Chart of Accounts'!$A$5:$A$3000,0)),"")</f>
        <v/>
      </c>
      <c r="M182" s="23">
        <f>IFERROR(INDEX('Chart of Accounts'!$C$5:$C$3000,MATCH(H182&amp;"",'Chart of Accounts'!$A$5:$A$3000,0))&amp;"|"&amp;INDEX('Chart of Accounts'!$D$5:$D$3000,MATCH(H182&amp;"",'Chart of Accounts'!$A$5:$A$3000,0)),"")</f>
        <v/>
      </c>
      <c r="N182" s="23">
        <f>IF(LEFT(L182,8)="Revenue|",-N(I182),0)+IF(LEFT(M182,8)="Revenue|",N(J182),0)</f>
        <v/>
      </c>
      <c r="O182" s="23">
        <f>IF(LEFT(L182,5)="COGS|",N(I182),0)+IF(LEFT(M182,5)="COGS|",-N(J182),0)</f>
        <v/>
      </c>
      <c r="P182" s="23">
        <f>IF(LEFT(L182,8)="Expense|",N(I182),0)+IF(LEFT(M182,8)="Expense|",-N(J182),0)</f>
        <v/>
      </c>
      <c r="Q182" s="23">
        <f>IF(ISNUMBER(MATCH(L182,{"Expense|employee","Expense|general_admin","Expense|marketing","Expense|utilities","Expense|other_operating"},0)),N(I182),0)+IF(ISNUMBER(MATCH(M182,{"Expense|employee","Expense|general_admin","Expense|marketing","Expense|utilities","Expense|other_operating"},0)),-N(J182),0)</f>
        <v/>
      </c>
      <c r="R182" s="23">
        <f>IF(L182="Liability|payable",-N(I182),0)+IF(M182="Liability|payable",N(J182),0)</f>
        <v/>
      </c>
      <c r="S182" s="23">
        <f>IF(L182="Liability|accrued",-N(I182),0)+IF(M182="Liability|accrued",N(J182),0)</f>
        <v/>
      </c>
      <c r="T182" s="23">
        <f>IF(AND(N(I182)&lt;&gt;0,L182=""),1,0)+IF(AND(N(J182)&lt;&gt;0,M182=""),1,0)</f>
        <v/>
      </c>
    </row>
    <row r="183">
      <c r="A183" s="14" t="n"/>
      <c r="B183" s="19" t="n"/>
      <c r="C183" s="14" t="n"/>
      <c r="D183" s="14" t="n"/>
      <c r="E183" s="14" t="n"/>
      <c r="F183" s="14" t="n"/>
      <c r="G183" s="14" t="n"/>
      <c r="H183" s="14" t="n"/>
      <c r="I183" s="20" t="n"/>
      <c r="J183" s="20" t="n"/>
      <c r="K183" s="14" t="n"/>
      <c r="L183" s="23">
        <f>IFERROR(INDEX('Chart of Accounts'!$C$5:$C$3000,MATCH(H183&amp;"",'Chart of Accounts'!$A$5:$A$3000,0))&amp;"|"&amp;INDEX('Chart of Accounts'!$D$5:$D$3000,MATCH(H183&amp;"",'Chart of Accounts'!$A$5:$A$3000,0)),"")</f>
        <v/>
      </c>
      <c r="M183" s="23">
        <f>IFERROR(INDEX('Chart of Accounts'!$C$5:$C$3000,MATCH(H183&amp;"",'Chart of Accounts'!$A$5:$A$3000,0))&amp;"|"&amp;INDEX('Chart of Accounts'!$D$5:$D$3000,MATCH(H183&amp;"",'Chart of Accounts'!$A$5:$A$3000,0)),"")</f>
        <v/>
      </c>
      <c r="N183" s="23">
        <f>IF(LEFT(L183,8)="Revenue|",-N(I183),0)+IF(LEFT(M183,8)="Revenue|",N(J183),0)</f>
        <v/>
      </c>
      <c r="O183" s="23">
        <f>IF(LEFT(L183,5)="COGS|",N(I183),0)+IF(LEFT(M183,5)="COGS|",-N(J183),0)</f>
        <v/>
      </c>
      <c r="P183" s="23">
        <f>IF(LEFT(L183,8)="Expense|",N(I183),0)+IF(LEFT(M183,8)="Expense|",-N(J183),0)</f>
        <v/>
      </c>
      <c r="Q183" s="23">
        <f>IF(ISNUMBER(MATCH(L183,{"Expense|employee","Expense|general_admin","Expense|marketing","Expense|utilities","Expense|other_operating"},0)),N(I183),0)+IF(ISNUMBER(MATCH(M183,{"Expense|employee","Expense|general_admin","Expense|marketing","Expense|utilities","Expense|other_operating"},0)),-N(J183),0)</f>
        <v/>
      </c>
      <c r="R183" s="23">
        <f>IF(L183="Liability|payable",-N(I183),0)+IF(M183="Liability|payable",N(J183),0)</f>
        <v/>
      </c>
      <c r="S183" s="23">
        <f>IF(L183="Liability|accrued",-N(I183),0)+IF(M183="Liability|accrued",N(J183),0)</f>
        <v/>
      </c>
      <c r="T183" s="23">
        <f>IF(AND(N(I183)&lt;&gt;0,L183=""),1,0)+IF(AND(N(J183)&lt;&gt;0,M183=""),1,0)</f>
        <v/>
      </c>
    </row>
    <row r="184">
      <c r="A184" s="14" t="n"/>
      <c r="B184" s="19" t="n"/>
      <c r="C184" s="14" t="n"/>
      <c r="D184" s="14" t="n"/>
      <c r="E184" s="14" t="n"/>
      <c r="F184" s="14" t="n"/>
      <c r="G184" s="14" t="n"/>
      <c r="H184" s="14" t="n"/>
      <c r="I184" s="20" t="n"/>
      <c r="J184" s="20" t="n"/>
      <c r="K184" s="14" t="n"/>
      <c r="L184" s="23">
        <f>IFERROR(INDEX('Chart of Accounts'!$C$5:$C$3000,MATCH(H184&amp;"",'Chart of Accounts'!$A$5:$A$3000,0))&amp;"|"&amp;INDEX('Chart of Accounts'!$D$5:$D$3000,MATCH(H184&amp;"",'Chart of Accounts'!$A$5:$A$3000,0)),"")</f>
        <v/>
      </c>
      <c r="M184" s="23">
        <f>IFERROR(INDEX('Chart of Accounts'!$C$5:$C$3000,MATCH(H184&amp;"",'Chart of Accounts'!$A$5:$A$3000,0))&amp;"|"&amp;INDEX('Chart of Accounts'!$D$5:$D$3000,MATCH(H184&amp;"",'Chart of Accounts'!$A$5:$A$3000,0)),"")</f>
        <v/>
      </c>
      <c r="N184" s="23">
        <f>IF(LEFT(L184,8)="Revenue|",-N(I184),0)+IF(LEFT(M184,8)="Revenue|",N(J184),0)</f>
        <v/>
      </c>
      <c r="O184" s="23">
        <f>IF(LEFT(L184,5)="COGS|",N(I184),0)+IF(LEFT(M184,5)="COGS|",-N(J184),0)</f>
        <v/>
      </c>
      <c r="P184" s="23">
        <f>IF(LEFT(L184,8)="Expense|",N(I184),0)+IF(LEFT(M184,8)="Expense|",-N(J184),0)</f>
        <v/>
      </c>
      <c r="Q184" s="23">
        <f>IF(ISNUMBER(MATCH(L184,{"Expense|employee","Expense|general_admin","Expense|marketing","Expense|utilities","Expense|other_operating"},0)),N(I184),0)+IF(ISNUMBER(MATCH(M184,{"Expense|employee","Expense|general_admin","Expense|marketing","Expense|utilities","Expense|other_operating"},0)),-N(J184),0)</f>
        <v/>
      </c>
      <c r="R184" s="23">
        <f>IF(L184="Liability|payable",-N(I184),0)+IF(M184="Liability|payable",N(J184),0)</f>
        <v/>
      </c>
      <c r="S184" s="23">
        <f>IF(L184="Liability|accrued",-N(I184),0)+IF(M184="Liability|accrued",N(J184),0)</f>
        <v/>
      </c>
      <c r="T184" s="23">
        <f>IF(AND(N(I184)&lt;&gt;0,L184=""),1,0)+IF(AND(N(J184)&lt;&gt;0,M184=""),1,0)</f>
        <v/>
      </c>
    </row>
    <row r="185">
      <c r="A185" s="14" t="n"/>
      <c r="B185" s="19" t="n"/>
      <c r="C185" s="14" t="n"/>
      <c r="D185" s="14" t="n"/>
      <c r="E185" s="14" t="n"/>
      <c r="F185" s="14" t="n"/>
      <c r="G185" s="14" t="n"/>
      <c r="H185" s="14" t="n"/>
      <c r="I185" s="20" t="n"/>
      <c r="J185" s="20" t="n"/>
      <c r="K185" s="14" t="n"/>
      <c r="L185" s="23">
        <f>IFERROR(INDEX('Chart of Accounts'!$C$5:$C$3000,MATCH(H185&amp;"",'Chart of Accounts'!$A$5:$A$3000,0))&amp;"|"&amp;INDEX('Chart of Accounts'!$D$5:$D$3000,MATCH(H185&amp;"",'Chart of Accounts'!$A$5:$A$3000,0)),"")</f>
        <v/>
      </c>
      <c r="M185" s="23">
        <f>IFERROR(INDEX('Chart of Accounts'!$C$5:$C$3000,MATCH(H185&amp;"",'Chart of Accounts'!$A$5:$A$3000,0))&amp;"|"&amp;INDEX('Chart of Accounts'!$D$5:$D$3000,MATCH(H185&amp;"",'Chart of Accounts'!$A$5:$A$3000,0)),"")</f>
        <v/>
      </c>
      <c r="N185" s="23">
        <f>IF(LEFT(L185,8)="Revenue|",-N(I185),0)+IF(LEFT(M185,8)="Revenue|",N(J185),0)</f>
        <v/>
      </c>
      <c r="O185" s="23">
        <f>IF(LEFT(L185,5)="COGS|",N(I185),0)+IF(LEFT(M185,5)="COGS|",-N(J185),0)</f>
        <v/>
      </c>
      <c r="P185" s="23">
        <f>IF(LEFT(L185,8)="Expense|",N(I185),0)+IF(LEFT(M185,8)="Expense|",-N(J185),0)</f>
        <v/>
      </c>
      <c r="Q185" s="23">
        <f>IF(ISNUMBER(MATCH(L185,{"Expense|employee","Expense|general_admin","Expense|marketing","Expense|utilities","Expense|other_operating"},0)),N(I185),0)+IF(ISNUMBER(MATCH(M185,{"Expense|employee","Expense|general_admin","Expense|marketing","Expense|utilities","Expense|other_operating"},0)),-N(J185),0)</f>
        <v/>
      </c>
      <c r="R185" s="23">
        <f>IF(L185="Liability|payable",-N(I185),0)+IF(M185="Liability|payable",N(J185),0)</f>
        <v/>
      </c>
      <c r="S185" s="23">
        <f>IF(L185="Liability|accrued",-N(I185),0)+IF(M185="Liability|accrued",N(J185),0)</f>
        <v/>
      </c>
      <c r="T185" s="23">
        <f>IF(AND(N(I185)&lt;&gt;0,L185=""),1,0)+IF(AND(N(J185)&lt;&gt;0,M185=""),1,0)</f>
        <v/>
      </c>
    </row>
    <row r="186">
      <c r="A186" s="14" t="n"/>
      <c r="B186" s="19" t="n"/>
      <c r="C186" s="14" t="n"/>
      <c r="D186" s="14" t="n"/>
      <c r="E186" s="14" t="n"/>
      <c r="F186" s="14" t="n"/>
      <c r="G186" s="14" t="n"/>
      <c r="H186" s="14" t="n"/>
      <c r="I186" s="20" t="n"/>
      <c r="J186" s="20" t="n"/>
      <c r="K186" s="14" t="n"/>
      <c r="L186" s="23">
        <f>IFERROR(INDEX('Chart of Accounts'!$C$5:$C$3000,MATCH(H186&amp;"",'Chart of Accounts'!$A$5:$A$3000,0))&amp;"|"&amp;INDEX('Chart of Accounts'!$D$5:$D$3000,MATCH(H186&amp;"",'Chart of Accounts'!$A$5:$A$3000,0)),"")</f>
        <v/>
      </c>
      <c r="M186" s="23">
        <f>IFERROR(INDEX('Chart of Accounts'!$C$5:$C$3000,MATCH(H186&amp;"",'Chart of Accounts'!$A$5:$A$3000,0))&amp;"|"&amp;INDEX('Chart of Accounts'!$D$5:$D$3000,MATCH(H186&amp;"",'Chart of Accounts'!$A$5:$A$3000,0)),"")</f>
        <v/>
      </c>
      <c r="N186" s="23">
        <f>IF(LEFT(L186,8)="Revenue|",-N(I186),0)+IF(LEFT(M186,8)="Revenue|",N(J186),0)</f>
        <v/>
      </c>
      <c r="O186" s="23">
        <f>IF(LEFT(L186,5)="COGS|",N(I186),0)+IF(LEFT(M186,5)="COGS|",-N(J186),0)</f>
        <v/>
      </c>
      <c r="P186" s="23">
        <f>IF(LEFT(L186,8)="Expense|",N(I186),0)+IF(LEFT(M186,8)="Expense|",-N(J186),0)</f>
        <v/>
      </c>
      <c r="Q186" s="23">
        <f>IF(ISNUMBER(MATCH(L186,{"Expense|employee","Expense|general_admin","Expense|marketing","Expense|utilities","Expense|other_operating"},0)),N(I186),0)+IF(ISNUMBER(MATCH(M186,{"Expense|employee","Expense|general_admin","Expense|marketing","Expense|utilities","Expense|other_operating"},0)),-N(J186),0)</f>
        <v/>
      </c>
      <c r="R186" s="23">
        <f>IF(L186="Liability|payable",-N(I186),0)+IF(M186="Liability|payable",N(J186),0)</f>
        <v/>
      </c>
      <c r="S186" s="23">
        <f>IF(L186="Liability|accrued",-N(I186),0)+IF(M186="Liability|accrued",N(J186),0)</f>
        <v/>
      </c>
      <c r="T186" s="23">
        <f>IF(AND(N(I186)&lt;&gt;0,L186=""),1,0)+IF(AND(N(J186)&lt;&gt;0,M186=""),1,0)</f>
        <v/>
      </c>
    </row>
    <row r="187">
      <c r="A187" s="14" t="n"/>
      <c r="B187" s="19" t="n"/>
      <c r="C187" s="14" t="n"/>
      <c r="D187" s="14" t="n"/>
      <c r="E187" s="14" t="n"/>
      <c r="F187" s="14" t="n"/>
      <c r="G187" s="14" t="n"/>
      <c r="H187" s="14" t="n"/>
      <c r="I187" s="20" t="n"/>
      <c r="J187" s="20" t="n"/>
      <c r="K187" s="14" t="n"/>
      <c r="L187" s="23">
        <f>IFERROR(INDEX('Chart of Accounts'!$C$5:$C$3000,MATCH(H187&amp;"",'Chart of Accounts'!$A$5:$A$3000,0))&amp;"|"&amp;INDEX('Chart of Accounts'!$D$5:$D$3000,MATCH(H187&amp;"",'Chart of Accounts'!$A$5:$A$3000,0)),"")</f>
        <v/>
      </c>
      <c r="M187" s="23">
        <f>IFERROR(INDEX('Chart of Accounts'!$C$5:$C$3000,MATCH(H187&amp;"",'Chart of Accounts'!$A$5:$A$3000,0))&amp;"|"&amp;INDEX('Chart of Accounts'!$D$5:$D$3000,MATCH(H187&amp;"",'Chart of Accounts'!$A$5:$A$3000,0)),"")</f>
        <v/>
      </c>
      <c r="N187" s="23">
        <f>IF(LEFT(L187,8)="Revenue|",-N(I187),0)+IF(LEFT(M187,8)="Revenue|",N(J187),0)</f>
        <v/>
      </c>
      <c r="O187" s="23">
        <f>IF(LEFT(L187,5)="COGS|",N(I187),0)+IF(LEFT(M187,5)="COGS|",-N(J187),0)</f>
        <v/>
      </c>
      <c r="P187" s="23">
        <f>IF(LEFT(L187,8)="Expense|",N(I187),0)+IF(LEFT(M187,8)="Expense|",-N(J187),0)</f>
        <v/>
      </c>
      <c r="Q187" s="23">
        <f>IF(ISNUMBER(MATCH(L187,{"Expense|employee","Expense|general_admin","Expense|marketing","Expense|utilities","Expense|other_operating"},0)),N(I187),0)+IF(ISNUMBER(MATCH(M187,{"Expense|employee","Expense|general_admin","Expense|marketing","Expense|utilities","Expense|other_operating"},0)),-N(J187),0)</f>
        <v/>
      </c>
      <c r="R187" s="23">
        <f>IF(L187="Liability|payable",-N(I187),0)+IF(M187="Liability|payable",N(J187),0)</f>
        <v/>
      </c>
      <c r="S187" s="23">
        <f>IF(L187="Liability|accrued",-N(I187),0)+IF(M187="Liability|accrued",N(J187),0)</f>
        <v/>
      </c>
      <c r="T187" s="23">
        <f>IF(AND(N(I187)&lt;&gt;0,L187=""),1,0)+IF(AND(N(J187)&lt;&gt;0,M187=""),1,0)</f>
        <v/>
      </c>
    </row>
    <row r="188">
      <c r="A188" s="14" t="n"/>
      <c r="B188" s="19" t="n"/>
      <c r="C188" s="14" t="n"/>
      <c r="D188" s="14" t="n"/>
      <c r="E188" s="14" t="n"/>
      <c r="F188" s="14" t="n"/>
      <c r="G188" s="14" t="n"/>
      <c r="H188" s="14" t="n"/>
      <c r="I188" s="20" t="n"/>
      <c r="J188" s="20" t="n"/>
      <c r="K188" s="14" t="n"/>
      <c r="L188" s="23">
        <f>IFERROR(INDEX('Chart of Accounts'!$C$5:$C$3000,MATCH(H188&amp;"",'Chart of Accounts'!$A$5:$A$3000,0))&amp;"|"&amp;INDEX('Chart of Accounts'!$D$5:$D$3000,MATCH(H188&amp;"",'Chart of Accounts'!$A$5:$A$3000,0)),"")</f>
        <v/>
      </c>
      <c r="M188" s="23">
        <f>IFERROR(INDEX('Chart of Accounts'!$C$5:$C$3000,MATCH(H188&amp;"",'Chart of Accounts'!$A$5:$A$3000,0))&amp;"|"&amp;INDEX('Chart of Accounts'!$D$5:$D$3000,MATCH(H188&amp;"",'Chart of Accounts'!$A$5:$A$3000,0)),"")</f>
        <v/>
      </c>
      <c r="N188" s="23">
        <f>IF(LEFT(L188,8)="Revenue|",-N(I188),0)+IF(LEFT(M188,8)="Revenue|",N(J188),0)</f>
        <v/>
      </c>
      <c r="O188" s="23">
        <f>IF(LEFT(L188,5)="COGS|",N(I188),0)+IF(LEFT(M188,5)="COGS|",-N(J188),0)</f>
        <v/>
      </c>
      <c r="P188" s="23">
        <f>IF(LEFT(L188,8)="Expense|",N(I188),0)+IF(LEFT(M188,8)="Expense|",-N(J188),0)</f>
        <v/>
      </c>
      <c r="Q188" s="23">
        <f>IF(ISNUMBER(MATCH(L188,{"Expense|employee","Expense|general_admin","Expense|marketing","Expense|utilities","Expense|other_operating"},0)),N(I188),0)+IF(ISNUMBER(MATCH(M188,{"Expense|employee","Expense|general_admin","Expense|marketing","Expense|utilities","Expense|other_operating"},0)),-N(J188),0)</f>
        <v/>
      </c>
      <c r="R188" s="23">
        <f>IF(L188="Liability|payable",-N(I188),0)+IF(M188="Liability|payable",N(J188),0)</f>
        <v/>
      </c>
      <c r="S188" s="23">
        <f>IF(L188="Liability|accrued",-N(I188),0)+IF(M188="Liability|accrued",N(J188),0)</f>
        <v/>
      </c>
      <c r="T188" s="23">
        <f>IF(AND(N(I188)&lt;&gt;0,L188=""),1,0)+IF(AND(N(J188)&lt;&gt;0,M188=""),1,0)</f>
        <v/>
      </c>
    </row>
    <row r="189">
      <c r="A189" s="14" t="n"/>
      <c r="B189" s="19" t="n"/>
      <c r="C189" s="14" t="n"/>
      <c r="D189" s="14" t="n"/>
      <c r="E189" s="14" t="n"/>
      <c r="F189" s="14" t="n"/>
      <c r="G189" s="14" t="n"/>
      <c r="H189" s="14" t="n"/>
      <c r="I189" s="20" t="n"/>
      <c r="J189" s="20" t="n"/>
      <c r="K189" s="14" t="n"/>
      <c r="L189" s="23">
        <f>IFERROR(INDEX('Chart of Accounts'!$C$5:$C$3000,MATCH(H189&amp;"",'Chart of Accounts'!$A$5:$A$3000,0))&amp;"|"&amp;INDEX('Chart of Accounts'!$D$5:$D$3000,MATCH(H189&amp;"",'Chart of Accounts'!$A$5:$A$3000,0)),"")</f>
        <v/>
      </c>
      <c r="M189" s="23">
        <f>IFERROR(INDEX('Chart of Accounts'!$C$5:$C$3000,MATCH(H189&amp;"",'Chart of Accounts'!$A$5:$A$3000,0))&amp;"|"&amp;INDEX('Chart of Accounts'!$D$5:$D$3000,MATCH(H189&amp;"",'Chart of Accounts'!$A$5:$A$3000,0)),"")</f>
        <v/>
      </c>
      <c r="N189" s="23">
        <f>IF(LEFT(L189,8)="Revenue|",-N(I189),0)+IF(LEFT(M189,8)="Revenue|",N(J189),0)</f>
        <v/>
      </c>
      <c r="O189" s="23">
        <f>IF(LEFT(L189,5)="COGS|",N(I189),0)+IF(LEFT(M189,5)="COGS|",-N(J189),0)</f>
        <v/>
      </c>
      <c r="P189" s="23">
        <f>IF(LEFT(L189,8)="Expense|",N(I189),0)+IF(LEFT(M189,8)="Expense|",-N(J189),0)</f>
        <v/>
      </c>
      <c r="Q189" s="23">
        <f>IF(ISNUMBER(MATCH(L189,{"Expense|employee","Expense|general_admin","Expense|marketing","Expense|utilities","Expense|other_operating"},0)),N(I189),0)+IF(ISNUMBER(MATCH(M189,{"Expense|employee","Expense|general_admin","Expense|marketing","Expense|utilities","Expense|other_operating"},0)),-N(J189),0)</f>
        <v/>
      </c>
      <c r="R189" s="23">
        <f>IF(L189="Liability|payable",-N(I189),0)+IF(M189="Liability|payable",N(J189),0)</f>
        <v/>
      </c>
      <c r="S189" s="23">
        <f>IF(L189="Liability|accrued",-N(I189),0)+IF(M189="Liability|accrued",N(J189),0)</f>
        <v/>
      </c>
      <c r="T189" s="23">
        <f>IF(AND(N(I189)&lt;&gt;0,L189=""),1,0)+IF(AND(N(J189)&lt;&gt;0,M189=""),1,0)</f>
        <v/>
      </c>
    </row>
    <row r="190">
      <c r="A190" s="14" t="n"/>
      <c r="B190" s="19" t="n"/>
      <c r="C190" s="14" t="n"/>
      <c r="D190" s="14" t="n"/>
      <c r="E190" s="14" t="n"/>
      <c r="F190" s="14" t="n"/>
      <c r="G190" s="14" t="n"/>
      <c r="H190" s="14" t="n"/>
      <c r="I190" s="20" t="n"/>
      <c r="J190" s="20" t="n"/>
      <c r="K190" s="14" t="n"/>
      <c r="L190" s="23">
        <f>IFERROR(INDEX('Chart of Accounts'!$C$5:$C$3000,MATCH(H190&amp;"",'Chart of Accounts'!$A$5:$A$3000,0))&amp;"|"&amp;INDEX('Chart of Accounts'!$D$5:$D$3000,MATCH(H190&amp;"",'Chart of Accounts'!$A$5:$A$3000,0)),"")</f>
        <v/>
      </c>
      <c r="M190" s="23">
        <f>IFERROR(INDEX('Chart of Accounts'!$C$5:$C$3000,MATCH(H190&amp;"",'Chart of Accounts'!$A$5:$A$3000,0))&amp;"|"&amp;INDEX('Chart of Accounts'!$D$5:$D$3000,MATCH(H190&amp;"",'Chart of Accounts'!$A$5:$A$3000,0)),"")</f>
        <v/>
      </c>
      <c r="N190" s="23">
        <f>IF(LEFT(L190,8)="Revenue|",-N(I190),0)+IF(LEFT(M190,8)="Revenue|",N(J190),0)</f>
        <v/>
      </c>
      <c r="O190" s="23">
        <f>IF(LEFT(L190,5)="COGS|",N(I190),0)+IF(LEFT(M190,5)="COGS|",-N(J190),0)</f>
        <v/>
      </c>
      <c r="P190" s="23">
        <f>IF(LEFT(L190,8)="Expense|",N(I190),0)+IF(LEFT(M190,8)="Expense|",-N(J190),0)</f>
        <v/>
      </c>
      <c r="Q190" s="23">
        <f>IF(ISNUMBER(MATCH(L190,{"Expense|employee","Expense|general_admin","Expense|marketing","Expense|utilities","Expense|other_operating"},0)),N(I190),0)+IF(ISNUMBER(MATCH(M190,{"Expense|employee","Expense|general_admin","Expense|marketing","Expense|utilities","Expense|other_operating"},0)),-N(J190),0)</f>
        <v/>
      </c>
      <c r="R190" s="23">
        <f>IF(L190="Liability|payable",-N(I190),0)+IF(M190="Liability|payable",N(J190),0)</f>
        <v/>
      </c>
      <c r="S190" s="23">
        <f>IF(L190="Liability|accrued",-N(I190),0)+IF(M190="Liability|accrued",N(J190),0)</f>
        <v/>
      </c>
      <c r="T190" s="23">
        <f>IF(AND(N(I190)&lt;&gt;0,L190=""),1,0)+IF(AND(N(J190)&lt;&gt;0,M190=""),1,0)</f>
        <v/>
      </c>
    </row>
    <row r="191">
      <c r="A191" s="14" t="n"/>
      <c r="B191" s="19" t="n"/>
      <c r="C191" s="14" t="n"/>
      <c r="D191" s="14" t="n"/>
      <c r="E191" s="14" t="n"/>
      <c r="F191" s="14" t="n"/>
      <c r="G191" s="14" t="n"/>
      <c r="H191" s="14" t="n"/>
      <c r="I191" s="20" t="n"/>
      <c r="J191" s="20" t="n"/>
      <c r="K191" s="14" t="n"/>
      <c r="L191" s="23">
        <f>IFERROR(INDEX('Chart of Accounts'!$C$5:$C$3000,MATCH(H191&amp;"",'Chart of Accounts'!$A$5:$A$3000,0))&amp;"|"&amp;INDEX('Chart of Accounts'!$D$5:$D$3000,MATCH(H191&amp;"",'Chart of Accounts'!$A$5:$A$3000,0)),"")</f>
        <v/>
      </c>
      <c r="M191" s="23">
        <f>IFERROR(INDEX('Chart of Accounts'!$C$5:$C$3000,MATCH(H191&amp;"",'Chart of Accounts'!$A$5:$A$3000,0))&amp;"|"&amp;INDEX('Chart of Accounts'!$D$5:$D$3000,MATCH(H191&amp;"",'Chart of Accounts'!$A$5:$A$3000,0)),"")</f>
        <v/>
      </c>
      <c r="N191" s="23">
        <f>IF(LEFT(L191,8)="Revenue|",-N(I191),0)+IF(LEFT(M191,8)="Revenue|",N(J191),0)</f>
        <v/>
      </c>
      <c r="O191" s="23">
        <f>IF(LEFT(L191,5)="COGS|",N(I191),0)+IF(LEFT(M191,5)="COGS|",-N(J191),0)</f>
        <v/>
      </c>
      <c r="P191" s="23">
        <f>IF(LEFT(L191,8)="Expense|",N(I191),0)+IF(LEFT(M191,8)="Expense|",-N(J191),0)</f>
        <v/>
      </c>
      <c r="Q191" s="23">
        <f>IF(ISNUMBER(MATCH(L191,{"Expense|employee","Expense|general_admin","Expense|marketing","Expense|utilities","Expense|other_operating"},0)),N(I191),0)+IF(ISNUMBER(MATCH(M191,{"Expense|employee","Expense|general_admin","Expense|marketing","Expense|utilities","Expense|other_operating"},0)),-N(J191),0)</f>
        <v/>
      </c>
      <c r="R191" s="23">
        <f>IF(L191="Liability|payable",-N(I191),0)+IF(M191="Liability|payable",N(J191),0)</f>
        <v/>
      </c>
      <c r="S191" s="23">
        <f>IF(L191="Liability|accrued",-N(I191),0)+IF(M191="Liability|accrued",N(J191),0)</f>
        <v/>
      </c>
      <c r="T191" s="23">
        <f>IF(AND(N(I191)&lt;&gt;0,L191=""),1,0)+IF(AND(N(J191)&lt;&gt;0,M191=""),1,0)</f>
        <v/>
      </c>
    </row>
    <row r="192">
      <c r="A192" s="14" t="n"/>
      <c r="B192" s="19" t="n"/>
      <c r="C192" s="14" t="n"/>
      <c r="D192" s="14" t="n"/>
      <c r="E192" s="14" t="n"/>
      <c r="F192" s="14" t="n"/>
      <c r="G192" s="14" t="n"/>
      <c r="H192" s="14" t="n"/>
      <c r="I192" s="20" t="n"/>
      <c r="J192" s="20" t="n"/>
      <c r="K192" s="14" t="n"/>
      <c r="L192" s="23">
        <f>IFERROR(INDEX('Chart of Accounts'!$C$5:$C$3000,MATCH(H192&amp;"",'Chart of Accounts'!$A$5:$A$3000,0))&amp;"|"&amp;INDEX('Chart of Accounts'!$D$5:$D$3000,MATCH(H192&amp;"",'Chart of Accounts'!$A$5:$A$3000,0)),"")</f>
        <v/>
      </c>
      <c r="M192" s="23">
        <f>IFERROR(INDEX('Chart of Accounts'!$C$5:$C$3000,MATCH(H192&amp;"",'Chart of Accounts'!$A$5:$A$3000,0))&amp;"|"&amp;INDEX('Chart of Accounts'!$D$5:$D$3000,MATCH(H192&amp;"",'Chart of Accounts'!$A$5:$A$3000,0)),"")</f>
        <v/>
      </c>
      <c r="N192" s="23">
        <f>IF(LEFT(L192,8)="Revenue|",-N(I192),0)+IF(LEFT(M192,8)="Revenue|",N(J192),0)</f>
        <v/>
      </c>
      <c r="O192" s="23">
        <f>IF(LEFT(L192,5)="COGS|",N(I192),0)+IF(LEFT(M192,5)="COGS|",-N(J192),0)</f>
        <v/>
      </c>
      <c r="P192" s="23">
        <f>IF(LEFT(L192,8)="Expense|",N(I192),0)+IF(LEFT(M192,8)="Expense|",-N(J192),0)</f>
        <v/>
      </c>
      <c r="Q192" s="23">
        <f>IF(ISNUMBER(MATCH(L192,{"Expense|employee","Expense|general_admin","Expense|marketing","Expense|utilities","Expense|other_operating"},0)),N(I192),0)+IF(ISNUMBER(MATCH(M192,{"Expense|employee","Expense|general_admin","Expense|marketing","Expense|utilities","Expense|other_operating"},0)),-N(J192),0)</f>
        <v/>
      </c>
      <c r="R192" s="23">
        <f>IF(L192="Liability|payable",-N(I192),0)+IF(M192="Liability|payable",N(J192),0)</f>
        <v/>
      </c>
      <c r="S192" s="23">
        <f>IF(L192="Liability|accrued",-N(I192),0)+IF(M192="Liability|accrued",N(J192),0)</f>
        <v/>
      </c>
      <c r="T192" s="23">
        <f>IF(AND(N(I192)&lt;&gt;0,L192=""),1,0)+IF(AND(N(J192)&lt;&gt;0,M192=""),1,0)</f>
        <v/>
      </c>
    </row>
    <row r="193">
      <c r="A193" s="14" t="n"/>
      <c r="B193" s="19" t="n"/>
      <c r="C193" s="14" t="n"/>
      <c r="D193" s="14" t="n"/>
      <c r="E193" s="14" t="n"/>
      <c r="F193" s="14" t="n"/>
      <c r="G193" s="14" t="n"/>
      <c r="H193" s="14" t="n"/>
      <c r="I193" s="20" t="n"/>
      <c r="J193" s="20" t="n"/>
      <c r="K193" s="14" t="n"/>
      <c r="L193" s="23">
        <f>IFERROR(INDEX('Chart of Accounts'!$C$5:$C$3000,MATCH(H193&amp;"",'Chart of Accounts'!$A$5:$A$3000,0))&amp;"|"&amp;INDEX('Chart of Accounts'!$D$5:$D$3000,MATCH(H193&amp;"",'Chart of Accounts'!$A$5:$A$3000,0)),"")</f>
        <v/>
      </c>
      <c r="M193" s="23">
        <f>IFERROR(INDEX('Chart of Accounts'!$C$5:$C$3000,MATCH(H193&amp;"",'Chart of Accounts'!$A$5:$A$3000,0))&amp;"|"&amp;INDEX('Chart of Accounts'!$D$5:$D$3000,MATCH(H193&amp;"",'Chart of Accounts'!$A$5:$A$3000,0)),"")</f>
        <v/>
      </c>
      <c r="N193" s="23">
        <f>IF(LEFT(L193,8)="Revenue|",-N(I193),0)+IF(LEFT(M193,8)="Revenue|",N(J193),0)</f>
        <v/>
      </c>
      <c r="O193" s="23">
        <f>IF(LEFT(L193,5)="COGS|",N(I193),0)+IF(LEFT(M193,5)="COGS|",-N(J193),0)</f>
        <v/>
      </c>
      <c r="P193" s="23">
        <f>IF(LEFT(L193,8)="Expense|",N(I193),0)+IF(LEFT(M193,8)="Expense|",-N(J193),0)</f>
        <v/>
      </c>
      <c r="Q193" s="23">
        <f>IF(ISNUMBER(MATCH(L193,{"Expense|employee","Expense|general_admin","Expense|marketing","Expense|utilities","Expense|other_operating"},0)),N(I193),0)+IF(ISNUMBER(MATCH(M193,{"Expense|employee","Expense|general_admin","Expense|marketing","Expense|utilities","Expense|other_operating"},0)),-N(J193),0)</f>
        <v/>
      </c>
      <c r="R193" s="23">
        <f>IF(L193="Liability|payable",-N(I193),0)+IF(M193="Liability|payable",N(J193),0)</f>
        <v/>
      </c>
      <c r="S193" s="23">
        <f>IF(L193="Liability|accrued",-N(I193),0)+IF(M193="Liability|accrued",N(J193),0)</f>
        <v/>
      </c>
      <c r="T193" s="23">
        <f>IF(AND(N(I193)&lt;&gt;0,L193=""),1,0)+IF(AND(N(J193)&lt;&gt;0,M193=""),1,0)</f>
        <v/>
      </c>
    </row>
    <row r="194">
      <c r="A194" s="14" t="n"/>
      <c r="B194" s="19" t="n"/>
      <c r="C194" s="14" t="n"/>
      <c r="D194" s="14" t="n"/>
      <c r="E194" s="14" t="n"/>
      <c r="F194" s="14" t="n"/>
      <c r="G194" s="14" t="n"/>
      <c r="H194" s="14" t="n"/>
      <c r="I194" s="20" t="n"/>
      <c r="J194" s="20" t="n"/>
      <c r="K194" s="14" t="n"/>
      <c r="L194" s="23">
        <f>IFERROR(INDEX('Chart of Accounts'!$C$5:$C$3000,MATCH(H194&amp;"",'Chart of Accounts'!$A$5:$A$3000,0))&amp;"|"&amp;INDEX('Chart of Accounts'!$D$5:$D$3000,MATCH(H194&amp;"",'Chart of Accounts'!$A$5:$A$3000,0)),"")</f>
        <v/>
      </c>
      <c r="M194" s="23">
        <f>IFERROR(INDEX('Chart of Accounts'!$C$5:$C$3000,MATCH(H194&amp;"",'Chart of Accounts'!$A$5:$A$3000,0))&amp;"|"&amp;INDEX('Chart of Accounts'!$D$5:$D$3000,MATCH(H194&amp;"",'Chart of Accounts'!$A$5:$A$3000,0)),"")</f>
        <v/>
      </c>
      <c r="N194" s="23">
        <f>IF(LEFT(L194,8)="Revenue|",-N(I194),0)+IF(LEFT(M194,8)="Revenue|",N(J194),0)</f>
        <v/>
      </c>
      <c r="O194" s="23">
        <f>IF(LEFT(L194,5)="COGS|",N(I194),0)+IF(LEFT(M194,5)="COGS|",-N(J194),0)</f>
        <v/>
      </c>
      <c r="P194" s="23">
        <f>IF(LEFT(L194,8)="Expense|",N(I194),0)+IF(LEFT(M194,8)="Expense|",-N(J194),0)</f>
        <v/>
      </c>
      <c r="Q194" s="23">
        <f>IF(ISNUMBER(MATCH(L194,{"Expense|employee","Expense|general_admin","Expense|marketing","Expense|utilities","Expense|other_operating"},0)),N(I194),0)+IF(ISNUMBER(MATCH(M194,{"Expense|employee","Expense|general_admin","Expense|marketing","Expense|utilities","Expense|other_operating"},0)),-N(J194),0)</f>
        <v/>
      </c>
      <c r="R194" s="23">
        <f>IF(L194="Liability|payable",-N(I194),0)+IF(M194="Liability|payable",N(J194),0)</f>
        <v/>
      </c>
      <c r="S194" s="23">
        <f>IF(L194="Liability|accrued",-N(I194),0)+IF(M194="Liability|accrued",N(J194),0)</f>
        <v/>
      </c>
      <c r="T194" s="23">
        <f>IF(AND(N(I194)&lt;&gt;0,L194=""),1,0)+IF(AND(N(J194)&lt;&gt;0,M194=""),1,0)</f>
        <v/>
      </c>
    </row>
    <row r="195">
      <c r="A195" s="14" t="n"/>
      <c r="B195" s="19" t="n"/>
      <c r="C195" s="14" t="n"/>
      <c r="D195" s="14" t="n"/>
      <c r="E195" s="14" t="n"/>
      <c r="F195" s="14" t="n"/>
      <c r="G195" s="14" t="n"/>
      <c r="H195" s="14" t="n"/>
      <c r="I195" s="20" t="n"/>
      <c r="J195" s="20" t="n"/>
      <c r="K195" s="14" t="n"/>
      <c r="L195" s="23">
        <f>IFERROR(INDEX('Chart of Accounts'!$C$5:$C$3000,MATCH(H195&amp;"",'Chart of Accounts'!$A$5:$A$3000,0))&amp;"|"&amp;INDEX('Chart of Accounts'!$D$5:$D$3000,MATCH(H195&amp;"",'Chart of Accounts'!$A$5:$A$3000,0)),"")</f>
        <v/>
      </c>
      <c r="M195" s="23">
        <f>IFERROR(INDEX('Chart of Accounts'!$C$5:$C$3000,MATCH(H195&amp;"",'Chart of Accounts'!$A$5:$A$3000,0))&amp;"|"&amp;INDEX('Chart of Accounts'!$D$5:$D$3000,MATCH(H195&amp;"",'Chart of Accounts'!$A$5:$A$3000,0)),"")</f>
        <v/>
      </c>
      <c r="N195" s="23">
        <f>IF(LEFT(L195,8)="Revenue|",-N(I195),0)+IF(LEFT(M195,8)="Revenue|",N(J195),0)</f>
        <v/>
      </c>
      <c r="O195" s="23">
        <f>IF(LEFT(L195,5)="COGS|",N(I195),0)+IF(LEFT(M195,5)="COGS|",-N(J195),0)</f>
        <v/>
      </c>
      <c r="P195" s="23">
        <f>IF(LEFT(L195,8)="Expense|",N(I195),0)+IF(LEFT(M195,8)="Expense|",-N(J195),0)</f>
        <v/>
      </c>
      <c r="Q195" s="23">
        <f>IF(ISNUMBER(MATCH(L195,{"Expense|employee","Expense|general_admin","Expense|marketing","Expense|utilities","Expense|other_operating"},0)),N(I195),0)+IF(ISNUMBER(MATCH(M195,{"Expense|employee","Expense|general_admin","Expense|marketing","Expense|utilities","Expense|other_operating"},0)),-N(J195),0)</f>
        <v/>
      </c>
      <c r="R195" s="23">
        <f>IF(L195="Liability|payable",-N(I195),0)+IF(M195="Liability|payable",N(J195),0)</f>
        <v/>
      </c>
      <c r="S195" s="23">
        <f>IF(L195="Liability|accrued",-N(I195),0)+IF(M195="Liability|accrued",N(J195),0)</f>
        <v/>
      </c>
      <c r="T195" s="23">
        <f>IF(AND(N(I195)&lt;&gt;0,L195=""),1,0)+IF(AND(N(J195)&lt;&gt;0,M195=""),1,0)</f>
        <v/>
      </c>
    </row>
    <row r="196">
      <c r="A196" s="14" t="n"/>
      <c r="B196" s="19" t="n"/>
      <c r="C196" s="14" t="n"/>
      <c r="D196" s="14" t="n"/>
      <c r="E196" s="14" t="n"/>
      <c r="F196" s="14" t="n"/>
      <c r="G196" s="14" t="n"/>
      <c r="H196" s="14" t="n"/>
      <c r="I196" s="20" t="n"/>
      <c r="J196" s="20" t="n"/>
      <c r="K196" s="14" t="n"/>
      <c r="L196" s="23">
        <f>IFERROR(INDEX('Chart of Accounts'!$C$5:$C$3000,MATCH(H196&amp;"",'Chart of Accounts'!$A$5:$A$3000,0))&amp;"|"&amp;INDEX('Chart of Accounts'!$D$5:$D$3000,MATCH(H196&amp;"",'Chart of Accounts'!$A$5:$A$3000,0)),"")</f>
        <v/>
      </c>
      <c r="M196" s="23">
        <f>IFERROR(INDEX('Chart of Accounts'!$C$5:$C$3000,MATCH(H196&amp;"",'Chart of Accounts'!$A$5:$A$3000,0))&amp;"|"&amp;INDEX('Chart of Accounts'!$D$5:$D$3000,MATCH(H196&amp;"",'Chart of Accounts'!$A$5:$A$3000,0)),"")</f>
        <v/>
      </c>
      <c r="N196" s="23">
        <f>IF(LEFT(L196,8)="Revenue|",-N(I196),0)+IF(LEFT(M196,8)="Revenue|",N(J196),0)</f>
        <v/>
      </c>
      <c r="O196" s="23">
        <f>IF(LEFT(L196,5)="COGS|",N(I196),0)+IF(LEFT(M196,5)="COGS|",-N(J196),0)</f>
        <v/>
      </c>
      <c r="P196" s="23">
        <f>IF(LEFT(L196,8)="Expense|",N(I196),0)+IF(LEFT(M196,8)="Expense|",-N(J196),0)</f>
        <v/>
      </c>
      <c r="Q196" s="23">
        <f>IF(ISNUMBER(MATCH(L196,{"Expense|employee","Expense|general_admin","Expense|marketing","Expense|utilities","Expense|other_operating"},0)),N(I196),0)+IF(ISNUMBER(MATCH(M196,{"Expense|employee","Expense|general_admin","Expense|marketing","Expense|utilities","Expense|other_operating"},0)),-N(J196),0)</f>
        <v/>
      </c>
      <c r="R196" s="23">
        <f>IF(L196="Liability|payable",-N(I196),0)+IF(M196="Liability|payable",N(J196),0)</f>
        <v/>
      </c>
      <c r="S196" s="23">
        <f>IF(L196="Liability|accrued",-N(I196),0)+IF(M196="Liability|accrued",N(J196),0)</f>
        <v/>
      </c>
      <c r="T196" s="23">
        <f>IF(AND(N(I196)&lt;&gt;0,L196=""),1,0)+IF(AND(N(J196)&lt;&gt;0,M196=""),1,0)</f>
        <v/>
      </c>
    </row>
    <row r="197">
      <c r="A197" s="14" t="n"/>
      <c r="B197" s="19" t="n"/>
      <c r="C197" s="14" t="n"/>
      <c r="D197" s="14" t="n"/>
      <c r="E197" s="14" t="n"/>
      <c r="F197" s="14" t="n"/>
      <c r="G197" s="14" t="n"/>
      <c r="H197" s="14" t="n"/>
      <c r="I197" s="20" t="n"/>
      <c r="J197" s="20" t="n"/>
      <c r="K197" s="14" t="n"/>
      <c r="L197" s="23">
        <f>IFERROR(INDEX('Chart of Accounts'!$C$5:$C$3000,MATCH(H197&amp;"",'Chart of Accounts'!$A$5:$A$3000,0))&amp;"|"&amp;INDEX('Chart of Accounts'!$D$5:$D$3000,MATCH(H197&amp;"",'Chart of Accounts'!$A$5:$A$3000,0)),"")</f>
        <v/>
      </c>
      <c r="M197" s="23">
        <f>IFERROR(INDEX('Chart of Accounts'!$C$5:$C$3000,MATCH(H197&amp;"",'Chart of Accounts'!$A$5:$A$3000,0))&amp;"|"&amp;INDEX('Chart of Accounts'!$D$5:$D$3000,MATCH(H197&amp;"",'Chart of Accounts'!$A$5:$A$3000,0)),"")</f>
        <v/>
      </c>
      <c r="N197" s="23">
        <f>IF(LEFT(L197,8)="Revenue|",-N(I197),0)+IF(LEFT(M197,8)="Revenue|",N(J197),0)</f>
        <v/>
      </c>
      <c r="O197" s="23">
        <f>IF(LEFT(L197,5)="COGS|",N(I197),0)+IF(LEFT(M197,5)="COGS|",-N(J197),0)</f>
        <v/>
      </c>
      <c r="P197" s="23">
        <f>IF(LEFT(L197,8)="Expense|",N(I197),0)+IF(LEFT(M197,8)="Expense|",-N(J197),0)</f>
        <v/>
      </c>
      <c r="Q197" s="23">
        <f>IF(ISNUMBER(MATCH(L197,{"Expense|employee","Expense|general_admin","Expense|marketing","Expense|utilities","Expense|other_operating"},0)),N(I197),0)+IF(ISNUMBER(MATCH(M197,{"Expense|employee","Expense|general_admin","Expense|marketing","Expense|utilities","Expense|other_operating"},0)),-N(J197),0)</f>
        <v/>
      </c>
      <c r="R197" s="23">
        <f>IF(L197="Liability|payable",-N(I197),0)+IF(M197="Liability|payable",N(J197),0)</f>
        <v/>
      </c>
      <c r="S197" s="23">
        <f>IF(L197="Liability|accrued",-N(I197),0)+IF(M197="Liability|accrued",N(J197),0)</f>
        <v/>
      </c>
      <c r="T197" s="23">
        <f>IF(AND(N(I197)&lt;&gt;0,L197=""),1,0)+IF(AND(N(J197)&lt;&gt;0,M197=""),1,0)</f>
        <v/>
      </c>
    </row>
    <row r="198">
      <c r="A198" s="14" t="n"/>
      <c r="B198" s="19" t="n"/>
      <c r="C198" s="14" t="n"/>
      <c r="D198" s="14" t="n"/>
      <c r="E198" s="14" t="n"/>
      <c r="F198" s="14" t="n"/>
      <c r="G198" s="14" t="n"/>
      <c r="H198" s="14" t="n"/>
      <c r="I198" s="20" t="n"/>
      <c r="J198" s="20" t="n"/>
      <c r="K198" s="14" t="n"/>
      <c r="L198" s="23">
        <f>IFERROR(INDEX('Chart of Accounts'!$C$5:$C$3000,MATCH(H198&amp;"",'Chart of Accounts'!$A$5:$A$3000,0))&amp;"|"&amp;INDEX('Chart of Accounts'!$D$5:$D$3000,MATCH(H198&amp;"",'Chart of Accounts'!$A$5:$A$3000,0)),"")</f>
        <v/>
      </c>
      <c r="M198" s="23">
        <f>IFERROR(INDEX('Chart of Accounts'!$C$5:$C$3000,MATCH(H198&amp;"",'Chart of Accounts'!$A$5:$A$3000,0))&amp;"|"&amp;INDEX('Chart of Accounts'!$D$5:$D$3000,MATCH(H198&amp;"",'Chart of Accounts'!$A$5:$A$3000,0)),"")</f>
        <v/>
      </c>
      <c r="N198" s="23">
        <f>IF(LEFT(L198,8)="Revenue|",-N(I198),0)+IF(LEFT(M198,8)="Revenue|",N(J198),0)</f>
        <v/>
      </c>
      <c r="O198" s="23">
        <f>IF(LEFT(L198,5)="COGS|",N(I198),0)+IF(LEFT(M198,5)="COGS|",-N(J198),0)</f>
        <v/>
      </c>
      <c r="P198" s="23">
        <f>IF(LEFT(L198,8)="Expense|",N(I198),0)+IF(LEFT(M198,8)="Expense|",-N(J198),0)</f>
        <v/>
      </c>
      <c r="Q198" s="23">
        <f>IF(ISNUMBER(MATCH(L198,{"Expense|employee","Expense|general_admin","Expense|marketing","Expense|utilities","Expense|other_operating"},0)),N(I198),0)+IF(ISNUMBER(MATCH(M198,{"Expense|employee","Expense|general_admin","Expense|marketing","Expense|utilities","Expense|other_operating"},0)),-N(J198),0)</f>
        <v/>
      </c>
      <c r="R198" s="23">
        <f>IF(L198="Liability|payable",-N(I198),0)+IF(M198="Liability|payable",N(J198),0)</f>
        <v/>
      </c>
      <c r="S198" s="23">
        <f>IF(L198="Liability|accrued",-N(I198),0)+IF(M198="Liability|accrued",N(J198),0)</f>
        <v/>
      </c>
      <c r="T198" s="23">
        <f>IF(AND(N(I198)&lt;&gt;0,L198=""),1,0)+IF(AND(N(J198)&lt;&gt;0,M198=""),1,0)</f>
        <v/>
      </c>
    </row>
    <row r="199">
      <c r="A199" s="14" t="n"/>
      <c r="B199" s="19" t="n"/>
      <c r="C199" s="14" t="n"/>
      <c r="D199" s="14" t="n"/>
      <c r="E199" s="14" t="n"/>
      <c r="F199" s="14" t="n"/>
      <c r="G199" s="14" t="n"/>
      <c r="H199" s="14" t="n"/>
      <c r="I199" s="20" t="n"/>
      <c r="J199" s="20" t="n"/>
      <c r="K199" s="14" t="n"/>
      <c r="L199" s="23">
        <f>IFERROR(INDEX('Chart of Accounts'!$C$5:$C$3000,MATCH(H199&amp;"",'Chart of Accounts'!$A$5:$A$3000,0))&amp;"|"&amp;INDEX('Chart of Accounts'!$D$5:$D$3000,MATCH(H199&amp;"",'Chart of Accounts'!$A$5:$A$3000,0)),"")</f>
        <v/>
      </c>
      <c r="M199" s="23">
        <f>IFERROR(INDEX('Chart of Accounts'!$C$5:$C$3000,MATCH(H199&amp;"",'Chart of Accounts'!$A$5:$A$3000,0))&amp;"|"&amp;INDEX('Chart of Accounts'!$D$5:$D$3000,MATCH(H199&amp;"",'Chart of Accounts'!$A$5:$A$3000,0)),"")</f>
        <v/>
      </c>
      <c r="N199" s="23">
        <f>IF(LEFT(L199,8)="Revenue|",-N(I199),0)+IF(LEFT(M199,8)="Revenue|",N(J199),0)</f>
        <v/>
      </c>
      <c r="O199" s="23">
        <f>IF(LEFT(L199,5)="COGS|",N(I199),0)+IF(LEFT(M199,5)="COGS|",-N(J199),0)</f>
        <v/>
      </c>
      <c r="P199" s="23">
        <f>IF(LEFT(L199,8)="Expense|",N(I199),0)+IF(LEFT(M199,8)="Expense|",-N(J199),0)</f>
        <v/>
      </c>
      <c r="Q199" s="23">
        <f>IF(ISNUMBER(MATCH(L199,{"Expense|employee","Expense|general_admin","Expense|marketing","Expense|utilities","Expense|other_operating"},0)),N(I199),0)+IF(ISNUMBER(MATCH(M199,{"Expense|employee","Expense|general_admin","Expense|marketing","Expense|utilities","Expense|other_operating"},0)),-N(J199),0)</f>
        <v/>
      </c>
      <c r="R199" s="23">
        <f>IF(L199="Liability|payable",-N(I199),0)+IF(M199="Liability|payable",N(J199),0)</f>
        <v/>
      </c>
      <c r="S199" s="23">
        <f>IF(L199="Liability|accrued",-N(I199),0)+IF(M199="Liability|accrued",N(J199),0)</f>
        <v/>
      </c>
      <c r="T199" s="23">
        <f>IF(AND(N(I199)&lt;&gt;0,L199=""),1,0)+IF(AND(N(J199)&lt;&gt;0,M199=""),1,0)</f>
        <v/>
      </c>
    </row>
    <row r="200">
      <c r="A200" s="14" t="n"/>
      <c r="B200" s="19" t="n"/>
      <c r="C200" s="14" t="n"/>
      <c r="D200" s="14" t="n"/>
      <c r="E200" s="14" t="n"/>
      <c r="F200" s="14" t="n"/>
      <c r="G200" s="14" t="n"/>
      <c r="H200" s="14" t="n"/>
      <c r="I200" s="20" t="n"/>
      <c r="J200" s="20" t="n"/>
      <c r="K200" s="14" t="n"/>
      <c r="L200" s="23">
        <f>IFERROR(INDEX('Chart of Accounts'!$C$5:$C$3000,MATCH(H200&amp;"",'Chart of Accounts'!$A$5:$A$3000,0))&amp;"|"&amp;INDEX('Chart of Accounts'!$D$5:$D$3000,MATCH(H200&amp;"",'Chart of Accounts'!$A$5:$A$3000,0)),"")</f>
        <v/>
      </c>
      <c r="M200" s="23">
        <f>IFERROR(INDEX('Chart of Accounts'!$C$5:$C$3000,MATCH(H200&amp;"",'Chart of Accounts'!$A$5:$A$3000,0))&amp;"|"&amp;INDEX('Chart of Accounts'!$D$5:$D$3000,MATCH(H200&amp;"",'Chart of Accounts'!$A$5:$A$3000,0)),"")</f>
        <v/>
      </c>
      <c r="N200" s="23">
        <f>IF(LEFT(L200,8)="Revenue|",-N(I200),0)+IF(LEFT(M200,8)="Revenue|",N(J200),0)</f>
        <v/>
      </c>
      <c r="O200" s="23">
        <f>IF(LEFT(L200,5)="COGS|",N(I200),0)+IF(LEFT(M200,5)="COGS|",-N(J200),0)</f>
        <v/>
      </c>
      <c r="P200" s="23">
        <f>IF(LEFT(L200,8)="Expense|",N(I200),0)+IF(LEFT(M200,8)="Expense|",-N(J200),0)</f>
        <v/>
      </c>
      <c r="Q200" s="23">
        <f>IF(ISNUMBER(MATCH(L200,{"Expense|employee","Expense|general_admin","Expense|marketing","Expense|utilities","Expense|other_operating"},0)),N(I200),0)+IF(ISNUMBER(MATCH(M200,{"Expense|employee","Expense|general_admin","Expense|marketing","Expense|utilities","Expense|other_operating"},0)),-N(J200),0)</f>
        <v/>
      </c>
      <c r="R200" s="23">
        <f>IF(L200="Liability|payable",-N(I200),0)+IF(M200="Liability|payable",N(J200),0)</f>
        <v/>
      </c>
      <c r="S200" s="23">
        <f>IF(L200="Liability|accrued",-N(I200),0)+IF(M200="Liability|accrued",N(J200),0)</f>
        <v/>
      </c>
      <c r="T200" s="23">
        <f>IF(AND(N(I200)&lt;&gt;0,L200=""),1,0)+IF(AND(N(J200)&lt;&gt;0,M200=""),1,0)</f>
        <v/>
      </c>
    </row>
    <row r="201">
      <c r="A201" s="14" t="n"/>
      <c r="B201" s="19" t="n"/>
      <c r="C201" s="14" t="n"/>
      <c r="D201" s="14" t="n"/>
      <c r="E201" s="14" t="n"/>
      <c r="F201" s="14" t="n"/>
      <c r="G201" s="14" t="n"/>
      <c r="H201" s="14" t="n"/>
      <c r="I201" s="20" t="n"/>
      <c r="J201" s="20" t="n"/>
      <c r="K201" s="14" t="n"/>
      <c r="L201" s="23">
        <f>IFERROR(INDEX('Chart of Accounts'!$C$5:$C$3000,MATCH(H201&amp;"",'Chart of Accounts'!$A$5:$A$3000,0))&amp;"|"&amp;INDEX('Chart of Accounts'!$D$5:$D$3000,MATCH(H201&amp;"",'Chart of Accounts'!$A$5:$A$3000,0)),"")</f>
        <v/>
      </c>
      <c r="M201" s="23">
        <f>IFERROR(INDEX('Chart of Accounts'!$C$5:$C$3000,MATCH(H201&amp;"",'Chart of Accounts'!$A$5:$A$3000,0))&amp;"|"&amp;INDEX('Chart of Accounts'!$D$5:$D$3000,MATCH(H201&amp;"",'Chart of Accounts'!$A$5:$A$3000,0)),"")</f>
        <v/>
      </c>
      <c r="N201" s="23">
        <f>IF(LEFT(L201,8)="Revenue|",-N(I201),0)+IF(LEFT(M201,8)="Revenue|",N(J201),0)</f>
        <v/>
      </c>
      <c r="O201" s="23">
        <f>IF(LEFT(L201,5)="COGS|",N(I201),0)+IF(LEFT(M201,5)="COGS|",-N(J201),0)</f>
        <v/>
      </c>
      <c r="P201" s="23">
        <f>IF(LEFT(L201,8)="Expense|",N(I201),0)+IF(LEFT(M201,8)="Expense|",-N(J201),0)</f>
        <v/>
      </c>
      <c r="Q201" s="23">
        <f>IF(ISNUMBER(MATCH(L201,{"Expense|employee","Expense|general_admin","Expense|marketing","Expense|utilities","Expense|other_operating"},0)),N(I201),0)+IF(ISNUMBER(MATCH(M201,{"Expense|employee","Expense|general_admin","Expense|marketing","Expense|utilities","Expense|other_operating"},0)),-N(J201),0)</f>
        <v/>
      </c>
      <c r="R201" s="23">
        <f>IF(L201="Liability|payable",-N(I201),0)+IF(M201="Liability|payable",N(J201),0)</f>
        <v/>
      </c>
      <c r="S201" s="23">
        <f>IF(L201="Liability|accrued",-N(I201),0)+IF(M201="Liability|accrued",N(J201),0)</f>
        <v/>
      </c>
      <c r="T201" s="23">
        <f>IF(AND(N(I201)&lt;&gt;0,L201=""),1,0)+IF(AND(N(J201)&lt;&gt;0,M201=""),1,0)</f>
        <v/>
      </c>
    </row>
    <row r="202">
      <c r="A202" s="14" t="n"/>
      <c r="B202" s="19" t="n"/>
      <c r="C202" s="14" t="n"/>
      <c r="D202" s="14" t="n"/>
      <c r="E202" s="14" t="n"/>
      <c r="F202" s="14" t="n"/>
      <c r="G202" s="14" t="n"/>
      <c r="H202" s="14" t="n"/>
      <c r="I202" s="20" t="n"/>
      <c r="J202" s="20" t="n"/>
      <c r="K202" s="14" t="n"/>
      <c r="L202" s="23">
        <f>IFERROR(INDEX('Chart of Accounts'!$C$5:$C$3000,MATCH(H202&amp;"",'Chart of Accounts'!$A$5:$A$3000,0))&amp;"|"&amp;INDEX('Chart of Accounts'!$D$5:$D$3000,MATCH(H202&amp;"",'Chart of Accounts'!$A$5:$A$3000,0)),"")</f>
        <v/>
      </c>
      <c r="M202" s="23">
        <f>IFERROR(INDEX('Chart of Accounts'!$C$5:$C$3000,MATCH(H202&amp;"",'Chart of Accounts'!$A$5:$A$3000,0))&amp;"|"&amp;INDEX('Chart of Accounts'!$D$5:$D$3000,MATCH(H202&amp;"",'Chart of Accounts'!$A$5:$A$3000,0)),"")</f>
        <v/>
      </c>
      <c r="N202" s="23">
        <f>IF(LEFT(L202,8)="Revenue|",-N(I202),0)+IF(LEFT(M202,8)="Revenue|",N(J202),0)</f>
        <v/>
      </c>
      <c r="O202" s="23">
        <f>IF(LEFT(L202,5)="COGS|",N(I202),0)+IF(LEFT(M202,5)="COGS|",-N(J202),0)</f>
        <v/>
      </c>
      <c r="P202" s="23">
        <f>IF(LEFT(L202,8)="Expense|",N(I202),0)+IF(LEFT(M202,8)="Expense|",-N(J202),0)</f>
        <v/>
      </c>
      <c r="Q202" s="23">
        <f>IF(ISNUMBER(MATCH(L202,{"Expense|employee","Expense|general_admin","Expense|marketing","Expense|utilities","Expense|other_operating"},0)),N(I202),0)+IF(ISNUMBER(MATCH(M202,{"Expense|employee","Expense|general_admin","Expense|marketing","Expense|utilities","Expense|other_operating"},0)),-N(J202),0)</f>
        <v/>
      </c>
      <c r="R202" s="23">
        <f>IF(L202="Liability|payable",-N(I202),0)+IF(M202="Liability|payable",N(J202),0)</f>
        <v/>
      </c>
      <c r="S202" s="23">
        <f>IF(L202="Liability|accrued",-N(I202),0)+IF(M202="Liability|accrued",N(J202),0)</f>
        <v/>
      </c>
      <c r="T202" s="23">
        <f>IF(AND(N(I202)&lt;&gt;0,L202=""),1,0)+IF(AND(N(J202)&lt;&gt;0,M202=""),1,0)</f>
        <v/>
      </c>
    </row>
    <row r="203">
      <c r="A203" s="14" t="n"/>
      <c r="B203" s="19" t="n"/>
      <c r="C203" s="14" t="n"/>
      <c r="D203" s="14" t="n"/>
      <c r="E203" s="14" t="n"/>
      <c r="F203" s="14" t="n"/>
      <c r="G203" s="14" t="n"/>
      <c r="H203" s="14" t="n"/>
      <c r="I203" s="20" t="n"/>
      <c r="J203" s="20" t="n"/>
      <c r="K203" s="14" t="n"/>
      <c r="L203" s="23">
        <f>IFERROR(INDEX('Chart of Accounts'!$C$5:$C$3000,MATCH(H203&amp;"",'Chart of Accounts'!$A$5:$A$3000,0))&amp;"|"&amp;INDEX('Chart of Accounts'!$D$5:$D$3000,MATCH(H203&amp;"",'Chart of Accounts'!$A$5:$A$3000,0)),"")</f>
        <v/>
      </c>
      <c r="M203" s="23">
        <f>IFERROR(INDEX('Chart of Accounts'!$C$5:$C$3000,MATCH(H203&amp;"",'Chart of Accounts'!$A$5:$A$3000,0))&amp;"|"&amp;INDEX('Chart of Accounts'!$D$5:$D$3000,MATCH(H203&amp;"",'Chart of Accounts'!$A$5:$A$3000,0)),"")</f>
        <v/>
      </c>
      <c r="N203" s="23">
        <f>IF(LEFT(L203,8)="Revenue|",-N(I203),0)+IF(LEFT(M203,8)="Revenue|",N(J203),0)</f>
        <v/>
      </c>
      <c r="O203" s="23">
        <f>IF(LEFT(L203,5)="COGS|",N(I203),0)+IF(LEFT(M203,5)="COGS|",-N(J203),0)</f>
        <v/>
      </c>
      <c r="P203" s="23">
        <f>IF(LEFT(L203,8)="Expense|",N(I203),0)+IF(LEFT(M203,8)="Expense|",-N(J203),0)</f>
        <v/>
      </c>
      <c r="Q203" s="23">
        <f>IF(ISNUMBER(MATCH(L203,{"Expense|employee","Expense|general_admin","Expense|marketing","Expense|utilities","Expense|other_operating"},0)),N(I203),0)+IF(ISNUMBER(MATCH(M203,{"Expense|employee","Expense|general_admin","Expense|marketing","Expense|utilities","Expense|other_operating"},0)),-N(J203),0)</f>
        <v/>
      </c>
      <c r="R203" s="23">
        <f>IF(L203="Liability|payable",-N(I203),0)+IF(M203="Liability|payable",N(J203),0)</f>
        <v/>
      </c>
      <c r="S203" s="23">
        <f>IF(L203="Liability|accrued",-N(I203),0)+IF(M203="Liability|accrued",N(J203),0)</f>
        <v/>
      </c>
      <c r="T203" s="23">
        <f>IF(AND(N(I203)&lt;&gt;0,L203=""),1,0)+IF(AND(N(J203)&lt;&gt;0,M203=""),1,0)</f>
        <v/>
      </c>
    </row>
    <row r="204">
      <c r="A204" s="14" t="n"/>
      <c r="B204" s="19" t="n"/>
      <c r="C204" s="14" t="n"/>
      <c r="D204" s="14" t="n"/>
      <c r="E204" s="14" t="n"/>
      <c r="F204" s="14" t="n"/>
      <c r="G204" s="14" t="n"/>
      <c r="H204" s="14" t="n"/>
      <c r="I204" s="20" t="n"/>
      <c r="J204" s="20" t="n"/>
      <c r="K204" s="14" t="n"/>
      <c r="L204" s="23">
        <f>IFERROR(INDEX('Chart of Accounts'!$C$5:$C$3000,MATCH(H204&amp;"",'Chart of Accounts'!$A$5:$A$3000,0))&amp;"|"&amp;INDEX('Chart of Accounts'!$D$5:$D$3000,MATCH(H204&amp;"",'Chart of Accounts'!$A$5:$A$3000,0)),"")</f>
        <v/>
      </c>
      <c r="M204" s="23">
        <f>IFERROR(INDEX('Chart of Accounts'!$C$5:$C$3000,MATCH(H204&amp;"",'Chart of Accounts'!$A$5:$A$3000,0))&amp;"|"&amp;INDEX('Chart of Accounts'!$D$5:$D$3000,MATCH(H204&amp;"",'Chart of Accounts'!$A$5:$A$3000,0)),"")</f>
        <v/>
      </c>
      <c r="N204" s="23">
        <f>IF(LEFT(L204,8)="Revenue|",-N(I204),0)+IF(LEFT(M204,8)="Revenue|",N(J204),0)</f>
        <v/>
      </c>
      <c r="O204" s="23">
        <f>IF(LEFT(L204,5)="COGS|",N(I204),0)+IF(LEFT(M204,5)="COGS|",-N(J204),0)</f>
        <v/>
      </c>
      <c r="P204" s="23">
        <f>IF(LEFT(L204,8)="Expense|",N(I204),0)+IF(LEFT(M204,8)="Expense|",-N(J204),0)</f>
        <v/>
      </c>
      <c r="Q204" s="23">
        <f>IF(ISNUMBER(MATCH(L204,{"Expense|employee","Expense|general_admin","Expense|marketing","Expense|utilities","Expense|other_operating"},0)),N(I204),0)+IF(ISNUMBER(MATCH(M204,{"Expense|employee","Expense|general_admin","Expense|marketing","Expense|utilities","Expense|other_operating"},0)),-N(J204),0)</f>
        <v/>
      </c>
      <c r="R204" s="23">
        <f>IF(L204="Liability|payable",-N(I204),0)+IF(M204="Liability|payable",N(J204),0)</f>
        <v/>
      </c>
      <c r="S204" s="23">
        <f>IF(L204="Liability|accrued",-N(I204),0)+IF(M204="Liability|accrued",N(J204),0)</f>
        <v/>
      </c>
      <c r="T204" s="23">
        <f>IF(AND(N(I204)&lt;&gt;0,L204=""),1,0)+IF(AND(N(J204)&lt;&gt;0,M204=""),1,0)</f>
        <v/>
      </c>
    </row>
  </sheetData>
  <autoFilter ref="A4:K204"/>
  <dataValidations count="3">
    <dataValidation sqref="B5:B205" showDropDown="0" showInputMessage="0" showErrorMessage="1" allowBlank="1" error="Enter a date (YYYY-MM-DD)" type="date" operator="greaterThan">
      <formula1>DATE(2000,1,1)</formula1>
    </dataValidation>
    <dataValidation sqref="D5:D205" showDropDown="0" showInputMessage="0" showErrorMessage="1" allowBlank="1" type="list">
      <formula1>'Business Units'!$A$5:$A$3000</formula1>
    </dataValidation>
    <dataValidation sqref="H5:H205" showDropDown="0" showInputMessage="0" showErrorMessage="0" allowBlank="1" type="list">
      <formula1>'Chart of Accounts'!$A$5:$A$3000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AL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hidden="1" outlineLevel="1" width="13" customWidth="1" min="12" max="12"/>
    <col hidden="1" outlineLevel="1" width="13" customWidth="1" min="13" max="13"/>
    <col hidden="1" outlineLevel="1" width="13" customWidth="1" min="14" max="14"/>
    <col hidden="1" outlineLevel="1" width="13" customWidth="1" min="15" max="15"/>
    <col hidden="1" outlineLevel="1" width="13" customWidth="1" min="16" max="16"/>
    <col hidden="1" outlineLevel="1" width="13" customWidth="1" min="17" max="17"/>
    <col hidden="1" outlineLevel="1" width="13" customWidth="1" min="18" max="18"/>
    <col hidden="1" outlineLevel="1" width="13" customWidth="1" min="19" max="19"/>
    <col hidden="1" outlineLevel="1" width="13" customWidth="1" min="20" max="20"/>
    <col hidden="1" outlineLevel="1" width="13" customWidth="1" min="21" max="21"/>
    <col hidden="1" outlineLevel="1" width="13" customWidth="1" min="22" max="22"/>
    <col hidden="1" outlineLevel="1" width="13" customWidth="1" min="23" max="23"/>
    <col hidden="1" outlineLevel="1" width="13" customWidth="1" min="24" max="24"/>
    <col hidden="1" outlineLevel="1" width="13" customWidth="1" min="25" max="25"/>
    <col hidden="1" outlineLevel="1" width="13" customWidth="1" min="26" max="26"/>
    <col hidden="1" outlineLevel="1" width="13" customWidth="1" min="27" max="27"/>
    <col hidden="1" outlineLevel="1" width="13" customWidth="1" min="28" max="28"/>
    <col hidden="1" outlineLevel="1" width="13" customWidth="1" min="29" max="29"/>
    <col hidden="1" outlineLevel="1" width="13" customWidth="1" min="30" max="30"/>
    <col hidden="1" outlineLevel="1" width="13" customWidth="1" min="31" max="31"/>
    <col hidden="1" outlineLevel="1" width="13" customWidth="1" min="32" max="32"/>
    <col hidden="1" outlineLevel="1" width="13" customWidth="1" min="33" max="33"/>
    <col hidden="1" outlineLevel="1" width="13" customWidth="1" min="34" max="34"/>
    <col hidden="1" outlineLevel="1" width="13" customWidth="1" min="35" max="35"/>
    <col hidden="1" outlineLevel="1" width="13" customWidth="1" min="36" max="36"/>
    <col hidden="1" outlineLevel="1" width="13" customWidth="1" min="37" max="37"/>
    <col hidden="1" outlineLevel="1" width="13" customWidth="1" min="38" max="38"/>
  </cols>
  <sheetData>
    <row r="1" ht="24" customHeight="1">
      <c r="A1" s="8" t="inlineStr">
        <is>
          <t>BEYOND DESIGN | TRIAL BALANCE</t>
        </is>
      </c>
    </row>
    <row r="2">
      <c r="A2" s="9">
        <f>"Period "&amp;TEXT(ReportFrom,"yyyy-mm-dd")&amp;" to "&amp;TEXT(ReportTo,"yyyy-mm-dd")</f>
        <v/>
      </c>
    </row>
    <row r="3"/>
    <row r="4">
      <c r="A4" s="24" t="inlineStr">
        <is>
          <t>Code</t>
        </is>
      </c>
      <c r="B4" s="24" t="inlineStr">
        <is>
          <t>Account</t>
        </is>
      </c>
      <c r="C4" s="24" t="inlineStr">
        <is>
          <t>Type</t>
        </is>
      </c>
      <c r="D4" s="24" t="inlineStr">
        <is>
          <t>Statement line</t>
        </is>
      </c>
      <c r="E4" s="24" t="inlineStr">
        <is>
          <t>Opening net (Dr−Cr)</t>
        </is>
      </c>
      <c r="F4" s="24" t="inlineStr">
        <is>
          <t>Period debit</t>
        </is>
      </c>
      <c r="G4" s="24" t="inlineStr">
        <is>
          <t>Period credit</t>
        </is>
      </c>
      <c r="H4" s="24" t="inlineStr">
        <is>
          <t>Closing net (Dr−Cr)</t>
        </is>
      </c>
      <c r="I4" s="24" t="inlineStr">
        <is>
          <t>Closing debit</t>
        </is>
      </c>
      <c r="J4" s="24" t="inlineStr">
        <is>
          <t>Closing credit</t>
        </is>
      </c>
      <c r="L4" s="22" t="inlineStr">
        <is>
          <t>Direct Costs opening</t>
        </is>
      </c>
      <c r="M4" s="22" t="inlineStr">
        <is>
          <t>Direct Costs period Dr</t>
        </is>
      </c>
      <c r="N4" s="22" t="inlineStr">
        <is>
          <t>Direct Costs period Cr</t>
        </is>
      </c>
      <c r="O4" s="22" t="inlineStr">
        <is>
          <t>Operating Expenses opening</t>
        </is>
      </c>
      <c r="P4" s="22" t="inlineStr">
        <is>
          <t>Operating Expenses period Dr</t>
        </is>
      </c>
      <c r="Q4" s="22" t="inlineStr">
        <is>
          <t>Operating Expenses period Cr</t>
        </is>
      </c>
      <c r="R4" s="22" t="inlineStr">
        <is>
          <t>Payroll opening</t>
        </is>
      </c>
      <c r="S4" s="22" t="inlineStr">
        <is>
          <t>Payroll period Dr</t>
        </is>
      </c>
      <c r="T4" s="22" t="inlineStr">
        <is>
          <t>Payroll period Cr</t>
        </is>
      </c>
      <c r="U4" s="22" t="inlineStr">
        <is>
          <t>Receipt Vouchers opening</t>
        </is>
      </c>
      <c r="V4" s="22" t="inlineStr">
        <is>
          <t>Receipt Vouchers period Dr</t>
        </is>
      </c>
      <c r="W4" s="22" t="inlineStr">
        <is>
          <t>Receipt Vouchers period Cr</t>
        </is>
      </c>
      <c r="X4" s="22" t="inlineStr">
        <is>
          <t>Sales Invoices opening</t>
        </is>
      </c>
      <c r="Y4" s="22" t="inlineStr">
        <is>
          <t>Sales Invoices period Dr</t>
        </is>
      </c>
      <c r="Z4" s="22" t="inlineStr">
        <is>
          <t>Sales Invoices period Cr</t>
        </is>
      </c>
      <c r="AA4" s="22" t="inlineStr">
        <is>
          <t>Payment Vouchers opening</t>
        </is>
      </c>
      <c r="AB4" s="22" t="inlineStr">
        <is>
          <t>Payment Vouchers period Dr</t>
        </is>
      </c>
      <c r="AC4" s="22" t="inlineStr">
        <is>
          <t>Payment Vouchers period Cr</t>
        </is>
      </c>
      <c r="AD4" s="22" t="inlineStr">
        <is>
          <t>Partner Transactions opening</t>
        </is>
      </c>
      <c r="AE4" s="22" t="inlineStr">
        <is>
          <t>Partner Transactions period Dr</t>
        </is>
      </c>
      <c r="AF4" s="22" t="inlineStr">
        <is>
          <t>Partner Transactions period Cr</t>
        </is>
      </c>
      <c r="AG4" s="22" t="inlineStr">
        <is>
          <t>Stock Moves opening</t>
        </is>
      </c>
      <c r="AH4" s="22" t="inlineStr">
        <is>
          <t>Stock Moves period Dr</t>
        </is>
      </c>
      <c r="AI4" s="22" t="inlineStr">
        <is>
          <t>Stock Moves period Cr</t>
        </is>
      </c>
      <c r="AJ4" s="22" t="inlineStr">
        <is>
          <t>Journal Vouchers opening</t>
        </is>
      </c>
      <c r="AK4" s="22" t="inlineStr">
        <is>
          <t>Journal Vouchers period Dr</t>
        </is>
      </c>
      <c r="AL4" s="22" t="inlineStr">
        <is>
          <t>Journal Vouchers period Cr</t>
        </is>
      </c>
    </row>
    <row r="5">
      <c r="A5" s="25">
        <f>IF('Chart of Accounts'!A5="","",'Chart of Accounts'!A5&amp;"")</f>
        <v/>
      </c>
      <c r="B5" s="25">
        <f>IF(A5="","",'Chart of Accounts'!B5)</f>
        <v/>
      </c>
      <c r="C5" s="25">
        <f>IF(A5="","",'Chart of Accounts'!C5)</f>
        <v/>
      </c>
      <c r="D5" s="25">
        <f>IF(A5="","",'Chart of Accounts'!D5)</f>
        <v/>
      </c>
      <c r="E5" s="26">
        <f>L5+O5+R5+U5+X5+AA5+AD5+AG5+AJ5</f>
        <v/>
      </c>
      <c r="F5" s="26">
        <f>M5+P5+S5+V5+Y5+AB5+AE5+AH5+AK5</f>
        <v/>
      </c>
      <c r="G5" s="26">
        <f>N5+Q5+T5+W5+Z5+AC5+AF5+AI5+AL5</f>
        <v/>
      </c>
      <c r="H5" s="26">
        <f>E5+F5-G5</f>
        <v/>
      </c>
      <c r="I5" s="26">
        <f>MAX(H5,0)</f>
        <v/>
      </c>
      <c r="J5" s="26">
        <f>MAX(-H5,0)</f>
        <v/>
      </c>
      <c r="L5" s="25">
        <f>IF($A5="",0,(SUMIFS('Direct Costs'!$R$5:$R$2005,'Direct Costs'!$V$5:$V$2005,$A5,'Direct Costs'!$A$5:$A$2005,"&lt;"&amp;ReportFrom)+SUMIFS('Direct Costs'!$S$5:$S$2005,'Direct Costs'!$Y$5:$Y$2005,$A5,'Direct Costs'!$A$5:$A$2005,"&lt;"&amp;ReportFrom))-(SUMIFS('Direct Costs'!$L$5:$L$2005,'Direct Costs'!$W$5:$W$2005,$A5,'Direct Costs'!$A$5:$A$2005,"&lt;"&amp;ReportFrom)+SUMIFS('Direct Costs'!$U$5:$U$2005,'Direct Costs'!$X$5:$X$2005,$A5,'Direct Costs'!$A$5:$A$2005,"&lt;"&amp;ReportFrom)+SUMIFS('Direct Costs'!$T$5:$T$2005,'Direct Costs'!$Z$5:$Z$2005,$A5,'Direct Costs'!$A$5:$A$2005,"&lt;"&amp;ReportFrom)))</f>
        <v/>
      </c>
      <c r="M5" s="25">
        <f>IF($A5="",0,SUMIFS('Direct Costs'!$R$5:$R$2005,'Direct Costs'!$V$5:$V$2005,$A5,'Direct Costs'!$A$5:$A$2005,"&gt;="&amp;ReportFrom,'Direct Costs'!$A$5:$A$2005,"&lt;="&amp;ReportTo)+SUMIFS('Direct Costs'!$S$5:$S$2005,'Direct Costs'!$Y$5:$Y$2005,$A5,'Direct Costs'!$A$5:$A$2005,"&gt;="&amp;ReportFrom,'Direct Costs'!$A$5:$A$2005,"&lt;="&amp;ReportTo))</f>
        <v/>
      </c>
      <c r="N5" s="25">
        <f>IF($A5="",0,SUMIFS('Direct Costs'!$L$5:$L$2005,'Direct Costs'!$W$5:$W$2005,$A5,'Direct Costs'!$A$5:$A$2005,"&gt;="&amp;ReportFrom,'Direct Costs'!$A$5:$A$2005,"&lt;="&amp;ReportTo)+SUMIFS('Direct Costs'!$U$5:$U$2005,'Direct Costs'!$X$5:$X$2005,$A5,'Direct Costs'!$A$5:$A$2005,"&gt;="&amp;ReportFrom,'Direct Costs'!$A$5:$A$2005,"&lt;="&amp;ReportTo)+SUMIFS('Direct Costs'!$T$5:$T$2005,'Direct Costs'!$Z$5:$Z$2005,$A5,'Direct Costs'!$A$5:$A$2005,"&gt;="&amp;ReportFrom,'Direct Costs'!$A$5:$A$2005,"&lt;="&amp;ReportTo))</f>
        <v/>
      </c>
      <c r="O5" s="25">
        <f>IF($A5="",0,(SUMIFS('Operating Expenses'!$F$5:$F$2005,'Operating Expenses'!$Q$5:$Q$2005,$A5,'Operating Expenses'!$A$5:$A$2005,"&lt;"&amp;ReportFrom)+SUMIFS('Operating Expenses'!$M$5:$M$2005,'Operating Expenses'!$T$5:$T$2005,$A5,'Operating Expenses'!$A$5:$A$2005,"&lt;"&amp;ReportFrom))-(SUMIFS('Operating Expenses'!$O$5:$O$2005,'Operating Expenses'!$R$5:$R$2005,$A5,'Operating Expenses'!$A$5:$A$2005,"&lt;"&amp;ReportFrom)+SUMIFS('Operating Expenses'!$P$5:$P$2005,'Operating Expenses'!$S$5:$S$2005,$A5,'Operating Expenses'!$A$5:$A$2005,"&lt;"&amp;ReportFrom)+SUMIFS('Operating Expenses'!$N$5:$N$2005,'Operating Expenses'!$U$5:$U$2005,$A5,'Operating Expenses'!$A$5:$A$2005,"&lt;"&amp;ReportFrom)))</f>
        <v/>
      </c>
      <c r="P5" s="25">
        <f>IF($A5="",0,SUMIFS('Operating Expenses'!$F$5:$F$2005,'Operating Expenses'!$Q$5:$Q$2005,$A5,'Operating Expenses'!$A$5:$A$2005,"&gt;="&amp;ReportFrom,'Operating Expenses'!$A$5:$A$2005,"&lt;="&amp;ReportTo)+SUMIFS('Operating Expenses'!$M$5:$M$2005,'Operating Expenses'!$T$5:$T$2005,$A5,'Operating Expenses'!$A$5:$A$2005,"&gt;="&amp;ReportFrom,'Operating Expenses'!$A$5:$A$2005,"&lt;="&amp;ReportTo))</f>
        <v/>
      </c>
      <c r="Q5" s="25">
        <f>IF($A5="",0,SUMIFS('Operating Expenses'!$O$5:$O$2005,'Operating Expenses'!$R$5:$R$2005,$A5,'Operating Expenses'!$A$5:$A$2005,"&gt;="&amp;ReportFrom,'Operating Expenses'!$A$5:$A$2005,"&lt;="&amp;ReportTo)+SUMIFS('Operating Expenses'!$P$5:$P$2005,'Operating Expenses'!$S$5:$S$2005,$A5,'Operating Expenses'!$A$5:$A$2005,"&gt;="&amp;ReportFrom,'Operating Expenses'!$A$5:$A$2005,"&lt;="&amp;ReportTo)+SUMIFS('Operating Expenses'!$N$5:$N$2005,'Operating Expenses'!$U$5:$U$2005,$A5,'Operating Expenses'!$A$5:$A$2005,"&gt;="&amp;ReportFrom,'Operating Expenses'!$A$5:$A$2005,"&lt;="&amp;ReportTo))</f>
        <v/>
      </c>
      <c r="R5" s="25">
        <f>IF($A5="",0,(SUMIFS('Payroll'!$O$5:$O$2005,'Payroll'!$Q$5:$Q$2005,$A5,'Payroll'!$A$5:$A$2005,"&lt;"&amp;ReportFrom))-(SUMIFS('Payroll'!$K$5:$K$2005,'Payroll'!$R$5:$R$2005,$A5,'Payroll'!$A$5:$A$2005,"&lt;"&amp;ReportFrom)+SUMIFS('Payroll'!$P$5:$P$2005,'Payroll'!$S$5:$S$2005,$A5,'Payroll'!$A$5:$A$2005,"&lt;"&amp;ReportFrom)))</f>
        <v/>
      </c>
      <c r="S5" s="25">
        <f>IF($A5="",0,SUMIFS('Payroll'!$O$5:$O$2005,'Payroll'!$Q$5:$Q$2005,$A5,'Payroll'!$A$5:$A$2005,"&gt;="&amp;ReportFrom,'Payroll'!$A$5:$A$2005,"&lt;="&amp;ReportTo))</f>
        <v/>
      </c>
      <c r="T5" s="25">
        <f>IF($A5="",0,SUMIFS('Payroll'!$K$5:$K$2005,'Payroll'!$R$5:$R$2005,$A5,'Payroll'!$A$5:$A$2005,"&gt;="&amp;ReportFrom,'Payroll'!$A$5:$A$2005,"&lt;="&amp;ReportTo)+SUMIFS('Payroll'!$P$5:$P$2005,'Payroll'!$S$5:$S$2005,$A5,'Payroll'!$A$5:$A$2005,"&gt;="&amp;ReportFrom,'Payroll'!$A$5:$A$2005,"&lt;="&amp;ReportTo))</f>
        <v/>
      </c>
      <c r="U5" s="25">
        <f>IF($A5="",0,(SUMIFS('Receipt Vouchers'!$F$5:$F$2005,'Receipt Vouchers'!$O$5:$O$2005,$A5,'Receipt Vouchers'!$A$5:$A$2005,"&lt;"&amp;ReportFrom)+SUMIFS('Receipt Vouchers'!$J$5:$J$2005,'Receipt Vouchers'!$Q$5:$Q$2005,$A5,'Receipt Vouchers'!$A$5:$A$2005,"&lt;"&amp;ReportFrom))-(SUMIFS('Receipt Vouchers'!$N$5:$N$2005,'Receipt Vouchers'!$P$5:$P$2005,$A5,'Receipt Vouchers'!$A$5:$A$2005,"&lt;"&amp;ReportFrom)+SUMIFS('Receipt Vouchers'!$M$5:$M$2005,'Receipt Vouchers'!$R$5:$R$2005,$A5,'Receipt Vouchers'!$A$5:$A$2005,"&lt;"&amp;ReportFrom)))</f>
        <v/>
      </c>
      <c r="V5" s="25">
        <f>IF($A5="",0,SUMIFS('Receipt Vouchers'!$F$5:$F$2005,'Receipt Vouchers'!$O$5:$O$2005,$A5,'Receipt Vouchers'!$A$5:$A$2005,"&gt;="&amp;ReportFrom,'Receipt Vouchers'!$A$5:$A$2005,"&lt;="&amp;ReportTo)+SUMIFS('Receipt Vouchers'!$J$5:$J$2005,'Receipt Vouchers'!$Q$5:$Q$2005,$A5,'Receipt Vouchers'!$A$5:$A$2005,"&gt;="&amp;ReportFrom,'Receipt Vouchers'!$A$5:$A$2005,"&lt;="&amp;ReportTo))</f>
        <v/>
      </c>
      <c r="W5" s="25">
        <f>IF($A5="",0,SUMIFS('Receipt Vouchers'!$N$5:$N$2005,'Receipt Vouchers'!$P$5:$P$2005,$A5,'Receipt Vouchers'!$A$5:$A$2005,"&gt;="&amp;ReportFrom,'Receipt Vouchers'!$A$5:$A$2005,"&lt;="&amp;ReportTo)+SUMIFS('Receipt Vouchers'!$M$5:$M$2005,'Receipt Vouchers'!$R$5:$R$2005,$A5,'Receipt Vouchers'!$A$5:$A$2005,"&gt;="&amp;ReportFrom,'Receipt Vouchers'!$A$5:$A$2005,"&lt;="&amp;ReportTo))</f>
        <v/>
      </c>
      <c r="X5" s="25">
        <f>IF($A5="",0,(SUMIFS('Sales Invoices'!$O$5:$O$2005,'Sales Invoices'!$P$5:$P$2005,$A5,'Sales Invoices'!$B$5:$B$2005,"&lt;"&amp;ReportFrom)+SUMIFS('Sales Invoices'!$N$5:$N$2005,'Sales Invoices'!$R$5:$R$2005,$A5,'Sales Invoices'!$B$5:$B$2005,"&lt;"&amp;ReportFrom))-(SUMIFS('Sales Invoices'!$L$5:$L$2005,'Sales Invoices'!$Q$5:$Q$2005,$A5,'Sales Invoices'!$B$5:$B$2005,"&lt;"&amp;ReportFrom)+SUMIFS('Sales Invoices'!$M$5:$M$2005,'Sales Invoices'!$S$5:$S$2005,$A5,'Sales Invoices'!$B$5:$B$2005,"&lt;"&amp;ReportFrom)))</f>
        <v/>
      </c>
      <c r="Y5" s="25">
        <f>IF($A5="",0,SUMIFS('Sales Invoices'!$O$5:$O$2005,'Sales Invoices'!$P$5:$P$2005,$A5,'Sales Invoices'!$B$5:$B$2005,"&gt;="&amp;ReportFrom,'Sales Invoices'!$B$5:$B$2005,"&lt;="&amp;ReportTo)+SUMIFS('Sales Invoices'!$N$5:$N$2005,'Sales Invoices'!$R$5:$R$2005,$A5,'Sales Invoices'!$B$5:$B$2005,"&gt;="&amp;ReportFrom,'Sales Invoices'!$B$5:$B$2005,"&lt;="&amp;ReportTo))</f>
        <v/>
      </c>
      <c r="Z5" s="25">
        <f>IF($A5="",0,SUMIFS('Sales Invoices'!$L$5:$L$2005,'Sales Invoices'!$Q$5:$Q$2005,$A5,'Sales Invoices'!$B$5:$B$2005,"&gt;="&amp;ReportFrom,'Sales Invoices'!$B$5:$B$2005,"&lt;="&amp;ReportTo)+SUMIFS('Sales Invoices'!$M$5:$M$2005,'Sales Invoices'!$S$5:$S$2005,$A5,'Sales Invoices'!$B$5:$B$2005,"&gt;="&amp;ReportFrom,'Sales Invoices'!$B$5:$B$2005,"&lt;="&amp;ReportTo))</f>
        <v/>
      </c>
      <c r="AA5" s="25">
        <f>IF($A5="",0,(SUMIFS('Payment Vouchers'!$D$5:$D$2005,'Payment Vouchers'!$J$5:$J$2005,$A5,'Payment Vouchers'!$A$5:$A$2005,"&lt;"&amp;ReportFrom))-(SUMIFS('Payment Vouchers'!$D$5:$D$2005,'Payment Vouchers'!$K$5:$K$2005,$A5,'Payment Vouchers'!$A$5:$A$2005,"&lt;"&amp;ReportFrom)))</f>
        <v/>
      </c>
      <c r="AB5" s="25">
        <f>IF($A5="",0,SUMIFS('Payment Vouchers'!$D$5:$D$2005,'Payment Vouchers'!$J$5:$J$2005,$A5,'Payment Vouchers'!$A$5:$A$2005,"&gt;="&amp;ReportFrom,'Payment Vouchers'!$A$5:$A$2005,"&lt;="&amp;ReportTo))</f>
        <v/>
      </c>
      <c r="AC5" s="25">
        <f>IF($A5="",0,SUMIFS('Payment Vouchers'!$D$5:$D$2005,'Payment Vouchers'!$K$5:$K$2005,$A5,'Payment Vouchers'!$A$5:$A$2005,"&gt;="&amp;ReportFrom,'Payment Vouchers'!$A$5:$A$2005,"&lt;="&amp;ReportTo))</f>
        <v/>
      </c>
      <c r="AD5" s="25">
        <f>IF($A5="",0,(SUMIFS('Partner Transactions'!$D$5:$D$2005,'Partner Transactions'!$L$5:$L$2005,$A5,'Partner Transactions'!$A$5:$A$2005,"&lt;"&amp;ReportFrom))-(SUMIFS('Partner Transactions'!$D$5:$D$2005,'Partner Transactions'!$M$5:$M$2005,$A5,'Partner Transactions'!$A$5:$A$2005,"&lt;"&amp;ReportFrom)))</f>
        <v/>
      </c>
      <c r="AE5" s="25">
        <f>IF($A5="",0,SUMIFS('Partner Transactions'!$D$5:$D$2005,'Partner Transactions'!$L$5:$L$2005,$A5,'Partner Transactions'!$A$5:$A$2005,"&gt;="&amp;ReportFrom,'Partner Transactions'!$A$5:$A$2005,"&lt;="&amp;ReportTo))</f>
        <v/>
      </c>
      <c r="AF5" s="25">
        <f>IF($A5="",0,SUMIFS('Partner Transactions'!$D$5:$D$2005,'Partner Transactions'!$M$5:$M$2005,$A5,'Partner Transactions'!$A$5:$A$2005,"&gt;="&amp;ReportFrom,'Partner Transactions'!$A$5:$A$2005,"&lt;="&amp;ReportTo))</f>
        <v/>
      </c>
      <c r="AG5" s="25">
        <f>IF($A5="",0,(SUMIFS('Stock Moves'!$S$5:$S$2005,'Stock Moves'!$AD$5:$AD$2005,$A5,'Stock Moves'!$A$5:$A$2005,"&lt;"&amp;ReportFrom)+SUMIFS('Stock Moves'!$T$5:$T$2005,'Stock Moves'!$V$5:$V$2005,$A5,'Stock Moves'!$A$5:$A$2005,"&lt;"&amp;ReportFrom))-(SUMIFS('Stock Moves'!$AF$5:$AF$2005,'Stock Moves'!$AE$5:$AE$2005,$A5,'Stock Moves'!$A$5:$A$2005,"&lt;"&amp;ReportFrom)+SUMIFS('Stock Moves'!$AC$5:$AC$2005,'Stock Moves'!$X$5:$X$2005,$A5,'Stock Moves'!$A$5:$A$2005,"&lt;"&amp;ReportFrom)+SUMIFS('Stock Moves'!$U$5:$U$2005,'Stock Moves'!$W$5:$W$2005,$A5,'Stock Moves'!$A$5:$A$2005,"&lt;"&amp;ReportFrom)))</f>
        <v/>
      </c>
      <c r="AH5" s="25">
        <f>IF($A5="",0,SUMIFS('Stock Moves'!$S$5:$S$2005,'Stock Moves'!$AD$5:$AD$2005,$A5,'Stock Moves'!$A$5:$A$2005,"&gt;="&amp;ReportFrom,'Stock Moves'!$A$5:$A$2005,"&lt;="&amp;ReportTo)+SUMIFS('Stock Moves'!$T$5:$T$2005,'Stock Moves'!$V$5:$V$2005,$A5,'Stock Moves'!$A$5:$A$2005,"&gt;="&amp;ReportFrom,'Stock Moves'!$A$5:$A$2005,"&lt;="&amp;ReportTo))</f>
        <v/>
      </c>
      <c r="AI5" s="25">
        <f>IF($A5="",0,SUMIFS('Stock Moves'!$AF$5:$AF$2005,'Stock Moves'!$AE$5:$AE$2005,$A5,'Stock Moves'!$A$5:$A$2005,"&gt;="&amp;ReportFrom,'Stock Moves'!$A$5:$A$2005,"&lt;="&amp;ReportTo)+SUMIFS('Stock Moves'!$AC$5:$AC$2005,'Stock Moves'!$X$5:$X$2005,$A5,'Stock Moves'!$A$5:$A$2005,"&gt;="&amp;ReportFrom,'Stock Moves'!$A$5:$A$2005,"&lt;="&amp;ReportTo)+SUMIFS('Stock Moves'!$U$5:$U$2005,'Stock Moves'!$W$5:$W$2005,$A5,'Stock Moves'!$A$5:$A$2005,"&gt;="&amp;ReportFrom,'Stock Moves'!$A$5:$A$2005,"&lt;="&amp;ReportTo))</f>
        <v/>
      </c>
      <c r="AJ5" s="25">
        <f>IF($A5="",0,(SUMIFS('Journal Vouchers'!$I$5:$I$2005,'Journal Vouchers'!$H$5:$H$2005,$A5,'Journal Vouchers'!$B$5:$B$2005,"&lt;"&amp;ReportFrom))-(SUMIFS('Journal Vouchers'!$J$5:$J$2005,'Journal Vouchers'!$H$5:$H$2005,$A5,'Journal Vouchers'!$B$5:$B$2005,"&lt;"&amp;ReportFrom)))</f>
        <v/>
      </c>
      <c r="AK5" s="25">
        <f>IF($A5="",0,SUMIFS('Journal Vouchers'!$I$5:$I$2005,'Journal Vouchers'!$H$5:$H$2005,$A5,'Journal Vouchers'!$B$5:$B$2005,"&gt;="&amp;ReportFrom,'Journal Vouchers'!$B$5:$B$2005,"&lt;="&amp;ReportTo))</f>
        <v/>
      </c>
      <c r="AL5" s="25">
        <f>IF($A5="",0,SUMIFS('Journal Vouchers'!$J$5:$J$2005,'Journal Vouchers'!$H$5:$H$2005,$A5,'Journal Vouchers'!$B$5:$B$2005,"&gt;="&amp;ReportFrom,'Journal Vouchers'!$B$5:$B$2005,"&lt;="&amp;ReportTo))</f>
        <v/>
      </c>
    </row>
    <row r="6">
      <c r="A6" s="25">
        <f>IF('Chart of Accounts'!A6="","",'Chart of Accounts'!A6&amp;"")</f>
        <v/>
      </c>
      <c r="B6" s="25">
        <f>IF(A6="","",'Chart of Accounts'!B6)</f>
        <v/>
      </c>
      <c r="C6" s="25">
        <f>IF(A6="","",'Chart of Accounts'!C6)</f>
        <v/>
      </c>
      <c r="D6" s="25">
        <f>IF(A6="","",'Chart of Accounts'!D6)</f>
        <v/>
      </c>
      <c r="E6" s="26">
        <f>L6+O6+R6+U6+X6+AA6+AD6+AG6+AJ6</f>
        <v/>
      </c>
      <c r="F6" s="26">
        <f>M6+P6+S6+V6+Y6+AB6+AE6+AH6+AK6</f>
        <v/>
      </c>
      <c r="G6" s="26">
        <f>N6+Q6+T6+W6+Z6+AC6+AF6+AI6+AL6</f>
        <v/>
      </c>
      <c r="H6" s="26">
        <f>E6+F6-G6</f>
        <v/>
      </c>
      <c r="I6" s="26">
        <f>MAX(H6,0)</f>
        <v/>
      </c>
      <c r="J6" s="26">
        <f>MAX(-H6,0)</f>
        <v/>
      </c>
      <c r="L6" s="25">
        <f>IF($A6="",0,(SUMIFS('Direct Costs'!$R$5:$R$2005,'Direct Costs'!$V$5:$V$2005,$A6,'Direct Costs'!$A$5:$A$2005,"&lt;"&amp;ReportFrom)+SUMIFS('Direct Costs'!$S$5:$S$2005,'Direct Costs'!$Y$5:$Y$2005,$A6,'Direct Costs'!$A$5:$A$2005,"&lt;"&amp;ReportFrom))-(SUMIFS('Direct Costs'!$L$5:$L$2005,'Direct Costs'!$W$5:$W$2005,$A6,'Direct Costs'!$A$5:$A$2005,"&lt;"&amp;ReportFrom)+SUMIFS('Direct Costs'!$U$5:$U$2005,'Direct Costs'!$X$5:$X$2005,$A6,'Direct Costs'!$A$5:$A$2005,"&lt;"&amp;ReportFrom)+SUMIFS('Direct Costs'!$T$5:$T$2005,'Direct Costs'!$Z$5:$Z$2005,$A6,'Direct Costs'!$A$5:$A$2005,"&lt;"&amp;ReportFrom)))</f>
        <v/>
      </c>
      <c r="M6" s="25">
        <f>IF($A6="",0,SUMIFS('Direct Costs'!$R$5:$R$2005,'Direct Costs'!$V$5:$V$2005,$A6,'Direct Costs'!$A$5:$A$2005,"&gt;="&amp;ReportFrom,'Direct Costs'!$A$5:$A$2005,"&lt;="&amp;ReportTo)+SUMIFS('Direct Costs'!$S$5:$S$2005,'Direct Costs'!$Y$5:$Y$2005,$A6,'Direct Costs'!$A$5:$A$2005,"&gt;="&amp;ReportFrom,'Direct Costs'!$A$5:$A$2005,"&lt;="&amp;ReportTo))</f>
        <v/>
      </c>
      <c r="N6" s="25">
        <f>IF($A6="",0,SUMIFS('Direct Costs'!$L$5:$L$2005,'Direct Costs'!$W$5:$W$2005,$A6,'Direct Costs'!$A$5:$A$2005,"&gt;="&amp;ReportFrom,'Direct Costs'!$A$5:$A$2005,"&lt;="&amp;ReportTo)+SUMIFS('Direct Costs'!$U$5:$U$2005,'Direct Costs'!$X$5:$X$2005,$A6,'Direct Costs'!$A$5:$A$2005,"&gt;="&amp;ReportFrom,'Direct Costs'!$A$5:$A$2005,"&lt;="&amp;ReportTo)+SUMIFS('Direct Costs'!$T$5:$T$2005,'Direct Costs'!$Z$5:$Z$2005,$A6,'Direct Costs'!$A$5:$A$2005,"&gt;="&amp;ReportFrom,'Direct Costs'!$A$5:$A$2005,"&lt;="&amp;ReportTo))</f>
        <v/>
      </c>
      <c r="O6" s="25">
        <f>IF($A6="",0,(SUMIFS('Operating Expenses'!$F$5:$F$2005,'Operating Expenses'!$Q$5:$Q$2005,$A6,'Operating Expenses'!$A$5:$A$2005,"&lt;"&amp;ReportFrom)+SUMIFS('Operating Expenses'!$M$5:$M$2005,'Operating Expenses'!$T$5:$T$2005,$A6,'Operating Expenses'!$A$5:$A$2005,"&lt;"&amp;ReportFrom))-(SUMIFS('Operating Expenses'!$O$5:$O$2005,'Operating Expenses'!$R$5:$R$2005,$A6,'Operating Expenses'!$A$5:$A$2005,"&lt;"&amp;ReportFrom)+SUMIFS('Operating Expenses'!$P$5:$P$2005,'Operating Expenses'!$S$5:$S$2005,$A6,'Operating Expenses'!$A$5:$A$2005,"&lt;"&amp;ReportFrom)+SUMIFS('Operating Expenses'!$N$5:$N$2005,'Operating Expenses'!$U$5:$U$2005,$A6,'Operating Expenses'!$A$5:$A$2005,"&lt;"&amp;ReportFrom)))</f>
        <v/>
      </c>
      <c r="P6" s="25">
        <f>IF($A6="",0,SUMIFS('Operating Expenses'!$F$5:$F$2005,'Operating Expenses'!$Q$5:$Q$2005,$A6,'Operating Expenses'!$A$5:$A$2005,"&gt;="&amp;ReportFrom,'Operating Expenses'!$A$5:$A$2005,"&lt;="&amp;ReportTo)+SUMIFS('Operating Expenses'!$M$5:$M$2005,'Operating Expenses'!$T$5:$T$2005,$A6,'Operating Expenses'!$A$5:$A$2005,"&gt;="&amp;ReportFrom,'Operating Expenses'!$A$5:$A$2005,"&lt;="&amp;ReportTo))</f>
        <v/>
      </c>
      <c r="Q6" s="25">
        <f>IF($A6="",0,SUMIFS('Operating Expenses'!$O$5:$O$2005,'Operating Expenses'!$R$5:$R$2005,$A6,'Operating Expenses'!$A$5:$A$2005,"&gt;="&amp;ReportFrom,'Operating Expenses'!$A$5:$A$2005,"&lt;="&amp;ReportTo)+SUMIFS('Operating Expenses'!$P$5:$P$2005,'Operating Expenses'!$S$5:$S$2005,$A6,'Operating Expenses'!$A$5:$A$2005,"&gt;="&amp;ReportFrom,'Operating Expenses'!$A$5:$A$2005,"&lt;="&amp;ReportTo)+SUMIFS('Operating Expenses'!$N$5:$N$2005,'Operating Expenses'!$U$5:$U$2005,$A6,'Operating Expenses'!$A$5:$A$2005,"&gt;="&amp;ReportFrom,'Operating Expenses'!$A$5:$A$2005,"&lt;="&amp;ReportTo))</f>
        <v/>
      </c>
      <c r="R6" s="25">
        <f>IF($A6="",0,(SUMIFS('Payroll'!$O$5:$O$2005,'Payroll'!$Q$5:$Q$2005,$A6,'Payroll'!$A$5:$A$2005,"&lt;"&amp;ReportFrom))-(SUMIFS('Payroll'!$K$5:$K$2005,'Payroll'!$R$5:$R$2005,$A6,'Payroll'!$A$5:$A$2005,"&lt;"&amp;ReportFrom)+SUMIFS('Payroll'!$P$5:$P$2005,'Payroll'!$S$5:$S$2005,$A6,'Payroll'!$A$5:$A$2005,"&lt;"&amp;ReportFrom)))</f>
        <v/>
      </c>
      <c r="S6" s="25">
        <f>IF($A6="",0,SUMIFS('Payroll'!$O$5:$O$2005,'Payroll'!$Q$5:$Q$2005,$A6,'Payroll'!$A$5:$A$2005,"&gt;="&amp;ReportFrom,'Payroll'!$A$5:$A$2005,"&lt;="&amp;ReportTo))</f>
        <v/>
      </c>
      <c r="T6" s="25">
        <f>IF($A6="",0,SUMIFS('Payroll'!$K$5:$K$2005,'Payroll'!$R$5:$R$2005,$A6,'Payroll'!$A$5:$A$2005,"&gt;="&amp;ReportFrom,'Payroll'!$A$5:$A$2005,"&lt;="&amp;ReportTo)+SUMIFS('Payroll'!$P$5:$P$2005,'Payroll'!$S$5:$S$2005,$A6,'Payroll'!$A$5:$A$2005,"&gt;="&amp;ReportFrom,'Payroll'!$A$5:$A$2005,"&lt;="&amp;ReportTo))</f>
        <v/>
      </c>
      <c r="U6" s="25">
        <f>IF($A6="",0,(SUMIFS('Receipt Vouchers'!$F$5:$F$2005,'Receipt Vouchers'!$O$5:$O$2005,$A6,'Receipt Vouchers'!$A$5:$A$2005,"&lt;"&amp;ReportFrom)+SUMIFS('Receipt Vouchers'!$J$5:$J$2005,'Receipt Vouchers'!$Q$5:$Q$2005,$A6,'Receipt Vouchers'!$A$5:$A$2005,"&lt;"&amp;ReportFrom))-(SUMIFS('Receipt Vouchers'!$N$5:$N$2005,'Receipt Vouchers'!$P$5:$P$2005,$A6,'Receipt Vouchers'!$A$5:$A$2005,"&lt;"&amp;ReportFrom)+SUMIFS('Receipt Vouchers'!$M$5:$M$2005,'Receipt Vouchers'!$R$5:$R$2005,$A6,'Receipt Vouchers'!$A$5:$A$2005,"&lt;"&amp;ReportFrom)))</f>
        <v/>
      </c>
      <c r="V6" s="25">
        <f>IF($A6="",0,SUMIFS('Receipt Vouchers'!$F$5:$F$2005,'Receipt Vouchers'!$O$5:$O$2005,$A6,'Receipt Vouchers'!$A$5:$A$2005,"&gt;="&amp;ReportFrom,'Receipt Vouchers'!$A$5:$A$2005,"&lt;="&amp;ReportTo)+SUMIFS('Receipt Vouchers'!$J$5:$J$2005,'Receipt Vouchers'!$Q$5:$Q$2005,$A6,'Receipt Vouchers'!$A$5:$A$2005,"&gt;="&amp;ReportFrom,'Receipt Vouchers'!$A$5:$A$2005,"&lt;="&amp;ReportTo))</f>
        <v/>
      </c>
      <c r="W6" s="25">
        <f>IF($A6="",0,SUMIFS('Receipt Vouchers'!$N$5:$N$2005,'Receipt Vouchers'!$P$5:$P$2005,$A6,'Receipt Vouchers'!$A$5:$A$2005,"&gt;="&amp;ReportFrom,'Receipt Vouchers'!$A$5:$A$2005,"&lt;="&amp;ReportTo)+SUMIFS('Receipt Vouchers'!$M$5:$M$2005,'Receipt Vouchers'!$R$5:$R$2005,$A6,'Receipt Vouchers'!$A$5:$A$2005,"&gt;="&amp;ReportFrom,'Receipt Vouchers'!$A$5:$A$2005,"&lt;="&amp;ReportTo))</f>
        <v/>
      </c>
      <c r="X6" s="25">
        <f>IF($A6="",0,(SUMIFS('Sales Invoices'!$O$5:$O$2005,'Sales Invoices'!$P$5:$P$2005,$A6,'Sales Invoices'!$B$5:$B$2005,"&lt;"&amp;ReportFrom)+SUMIFS('Sales Invoices'!$N$5:$N$2005,'Sales Invoices'!$R$5:$R$2005,$A6,'Sales Invoices'!$B$5:$B$2005,"&lt;"&amp;ReportFrom))-(SUMIFS('Sales Invoices'!$L$5:$L$2005,'Sales Invoices'!$Q$5:$Q$2005,$A6,'Sales Invoices'!$B$5:$B$2005,"&lt;"&amp;ReportFrom)+SUMIFS('Sales Invoices'!$M$5:$M$2005,'Sales Invoices'!$S$5:$S$2005,$A6,'Sales Invoices'!$B$5:$B$2005,"&lt;"&amp;ReportFrom)))</f>
        <v/>
      </c>
      <c r="Y6" s="25">
        <f>IF($A6="",0,SUMIFS('Sales Invoices'!$O$5:$O$2005,'Sales Invoices'!$P$5:$P$2005,$A6,'Sales Invoices'!$B$5:$B$2005,"&gt;="&amp;ReportFrom,'Sales Invoices'!$B$5:$B$2005,"&lt;="&amp;ReportTo)+SUMIFS('Sales Invoices'!$N$5:$N$2005,'Sales Invoices'!$R$5:$R$2005,$A6,'Sales Invoices'!$B$5:$B$2005,"&gt;="&amp;ReportFrom,'Sales Invoices'!$B$5:$B$2005,"&lt;="&amp;ReportTo))</f>
        <v/>
      </c>
      <c r="Z6" s="25">
        <f>IF($A6="",0,SUMIFS('Sales Invoices'!$L$5:$L$2005,'Sales Invoices'!$Q$5:$Q$2005,$A6,'Sales Invoices'!$B$5:$B$2005,"&gt;="&amp;ReportFrom,'Sales Invoices'!$B$5:$B$2005,"&lt;="&amp;ReportTo)+SUMIFS('Sales Invoices'!$M$5:$M$2005,'Sales Invoices'!$S$5:$S$2005,$A6,'Sales Invoices'!$B$5:$B$2005,"&gt;="&amp;ReportFrom,'Sales Invoices'!$B$5:$B$2005,"&lt;="&amp;ReportTo))</f>
        <v/>
      </c>
      <c r="AA6" s="25">
        <f>IF($A6="",0,(SUMIFS('Payment Vouchers'!$D$5:$D$2005,'Payment Vouchers'!$J$5:$J$2005,$A6,'Payment Vouchers'!$A$5:$A$2005,"&lt;"&amp;ReportFrom))-(SUMIFS('Payment Vouchers'!$D$5:$D$2005,'Payment Vouchers'!$K$5:$K$2005,$A6,'Payment Vouchers'!$A$5:$A$2005,"&lt;"&amp;ReportFrom)))</f>
        <v/>
      </c>
      <c r="AB6" s="25">
        <f>IF($A6="",0,SUMIFS('Payment Vouchers'!$D$5:$D$2005,'Payment Vouchers'!$J$5:$J$2005,$A6,'Payment Vouchers'!$A$5:$A$2005,"&gt;="&amp;ReportFrom,'Payment Vouchers'!$A$5:$A$2005,"&lt;="&amp;ReportTo))</f>
        <v/>
      </c>
      <c r="AC6" s="25">
        <f>IF($A6="",0,SUMIFS('Payment Vouchers'!$D$5:$D$2005,'Payment Vouchers'!$K$5:$K$2005,$A6,'Payment Vouchers'!$A$5:$A$2005,"&gt;="&amp;ReportFrom,'Payment Vouchers'!$A$5:$A$2005,"&lt;="&amp;ReportTo))</f>
        <v/>
      </c>
      <c r="AD6" s="25">
        <f>IF($A6="",0,(SUMIFS('Partner Transactions'!$D$5:$D$2005,'Partner Transactions'!$L$5:$L$2005,$A6,'Partner Transactions'!$A$5:$A$2005,"&lt;"&amp;ReportFrom))-(SUMIFS('Partner Transactions'!$D$5:$D$2005,'Partner Transactions'!$M$5:$M$2005,$A6,'Partner Transactions'!$A$5:$A$2005,"&lt;"&amp;ReportFrom)))</f>
        <v/>
      </c>
      <c r="AE6" s="25">
        <f>IF($A6="",0,SUMIFS('Partner Transactions'!$D$5:$D$2005,'Partner Transactions'!$L$5:$L$2005,$A6,'Partner Transactions'!$A$5:$A$2005,"&gt;="&amp;ReportFrom,'Partner Transactions'!$A$5:$A$2005,"&lt;="&amp;ReportTo))</f>
        <v/>
      </c>
      <c r="AF6" s="25">
        <f>IF($A6="",0,SUMIFS('Partner Transactions'!$D$5:$D$2005,'Partner Transactions'!$M$5:$M$2005,$A6,'Partner Transactions'!$A$5:$A$2005,"&gt;="&amp;ReportFrom,'Partner Transactions'!$A$5:$A$2005,"&lt;="&amp;ReportTo))</f>
        <v/>
      </c>
      <c r="AG6" s="25">
        <f>IF($A6="",0,(SUMIFS('Stock Moves'!$S$5:$S$2005,'Stock Moves'!$AD$5:$AD$2005,$A6,'Stock Moves'!$A$5:$A$2005,"&lt;"&amp;ReportFrom)+SUMIFS('Stock Moves'!$T$5:$T$2005,'Stock Moves'!$V$5:$V$2005,$A6,'Stock Moves'!$A$5:$A$2005,"&lt;"&amp;ReportFrom))-(SUMIFS('Stock Moves'!$AF$5:$AF$2005,'Stock Moves'!$AE$5:$AE$2005,$A6,'Stock Moves'!$A$5:$A$2005,"&lt;"&amp;ReportFrom)+SUMIFS('Stock Moves'!$AC$5:$AC$2005,'Stock Moves'!$X$5:$X$2005,$A6,'Stock Moves'!$A$5:$A$2005,"&lt;"&amp;ReportFrom)+SUMIFS('Stock Moves'!$U$5:$U$2005,'Stock Moves'!$W$5:$W$2005,$A6,'Stock Moves'!$A$5:$A$2005,"&lt;"&amp;ReportFrom)))</f>
        <v/>
      </c>
      <c r="AH6" s="25">
        <f>IF($A6="",0,SUMIFS('Stock Moves'!$S$5:$S$2005,'Stock Moves'!$AD$5:$AD$2005,$A6,'Stock Moves'!$A$5:$A$2005,"&gt;="&amp;ReportFrom,'Stock Moves'!$A$5:$A$2005,"&lt;="&amp;ReportTo)+SUMIFS('Stock Moves'!$T$5:$T$2005,'Stock Moves'!$V$5:$V$2005,$A6,'Stock Moves'!$A$5:$A$2005,"&gt;="&amp;ReportFrom,'Stock Moves'!$A$5:$A$2005,"&lt;="&amp;ReportTo))</f>
        <v/>
      </c>
      <c r="AI6" s="25">
        <f>IF($A6="",0,SUMIFS('Stock Moves'!$AF$5:$AF$2005,'Stock Moves'!$AE$5:$AE$2005,$A6,'Stock Moves'!$A$5:$A$2005,"&gt;="&amp;ReportFrom,'Stock Moves'!$A$5:$A$2005,"&lt;="&amp;ReportTo)+SUMIFS('Stock Moves'!$AC$5:$AC$2005,'Stock Moves'!$X$5:$X$2005,$A6,'Stock Moves'!$A$5:$A$2005,"&gt;="&amp;ReportFrom,'Stock Moves'!$A$5:$A$2005,"&lt;="&amp;ReportTo)+SUMIFS('Stock Moves'!$U$5:$U$2005,'Stock Moves'!$W$5:$W$2005,$A6,'Stock Moves'!$A$5:$A$2005,"&gt;="&amp;ReportFrom,'Stock Moves'!$A$5:$A$2005,"&lt;="&amp;ReportTo))</f>
        <v/>
      </c>
      <c r="AJ6" s="25">
        <f>IF($A6="",0,(SUMIFS('Journal Vouchers'!$I$5:$I$2005,'Journal Vouchers'!$H$5:$H$2005,$A6,'Journal Vouchers'!$B$5:$B$2005,"&lt;"&amp;ReportFrom))-(SUMIFS('Journal Vouchers'!$J$5:$J$2005,'Journal Vouchers'!$H$5:$H$2005,$A6,'Journal Vouchers'!$B$5:$B$2005,"&lt;"&amp;ReportFrom)))</f>
        <v/>
      </c>
      <c r="AK6" s="25">
        <f>IF($A6="",0,SUMIFS('Journal Vouchers'!$I$5:$I$2005,'Journal Vouchers'!$H$5:$H$2005,$A6,'Journal Vouchers'!$B$5:$B$2005,"&gt;="&amp;ReportFrom,'Journal Vouchers'!$B$5:$B$2005,"&lt;="&amp;ReportTo))</f>
        <v/>
      </c>
      <c r="AL6" s="25">
        <f>IF($A6="",0,SUMIFS('Journal Vouchers'!$J$5:$J$2005,'Journal Vouchers'!$H$5:$H$2005,$A6,'Journal Vouchers'!$B$5:$B$2005,"&gt;="&amp;ReportFrom,'Journal Vouchers'!$B$5:$B$2005,"&lt;="&amp;ReportTo))</f>
        <v/>
      </c>
    </row>
    <row r="7">
      <c r="A7" s="25">
        <f>IF('Chart of Accounts'!A7="","",'Chart of Accounts'!A7&amp;"")</f>
        <v/>
      </c>
      <c r="B7" s="25">
        <f>IF(A7="","",'Chart of Accounts'!B7)</f>
        <v/>
      </c>
      <c r="C7" s="25">
        <f>IF(A7="","",'Chart of Accounts'!C7)</f>
        <v/>
      </c>
      <c r="D7" s="25">
        <f>IF(A7="","",'Chart of Accounts'!D7)</f>
        <v/>
      </c>
      <c r="E7" s="26">
        <f>L7+O7+R7+U7+X7+AA7+AD7+AG7+AJ7</f>
        <v/>
      </c>
      <c r="F7" s="26">
        <f>M7+P7+S7+V7+Y7+AB7+AE7+AH7+AK7</f>
        <v/>
      </c>
      <c r="G7" s="26">
        <f>N7+Q7+T7+W7+Z7+AC7+AF7+AI7+AL7</f>
        <v/>
      </c>
      <c r="H7" s="26">
        <f>E7+F7-G7</f>
        <v/>
      </c>
      <c r="I7" s="26">
        <f>MAX(H7,0)</f>
        <v/>
      </c>
      <c r="J7" s="26">
        <f>MAX(-H7,0)</f>
        <v/>
      </c>
      <c r="L7" s="25">
        <f>IF($A7="",0,(SUMIFS('Direct Costs'!$R$5:$R$2005,'Direct Costs'!$V$5:$V$2005,$A7,'Direct Costs'!$A$5:$A$2005,"&lt;"&amp;ReportFrom)+SUMIFS('Direct Costs'!$S$5:$S$2005,'Direct Costs'!$Y$5:$Y$2005,$A7,'Direct Costs'!$A$5:$A$2005,"&lt;"&amp;ReportFrom))-(SUMIFS('Direct Costs'!$L$5:$L$2005,'Direct Costs'!$W$5:$W$2005,$A7,'Direct Costs'!$A$5:$A$2005,"&lt;"&amp;ReportFrom)+SUMIFS('Direct Costs'!$U$5:$U$2005,'Direct Costs'!$X$5:$X$2005,$A7,'Direct Costs'!$A$5:$A$2005,"&lt;"&amp;ReportFrom)+SUMIFS('Direct Costs'!$T$5:$T$2005,'Direct Costs'!$Z$5:$Z$2005,$A7,'Direct Costs'!$A$5:$A$2005,"&lt;"&amp;ReportFrom)))</f>
        <v/>
      </c>
      <c r="M7" s="25">
        <f>IF($A7="",0,SUMIFS('Direct Costs'!$R$5:$R$2005,'Direct Costs'!$V$5:$V$2005,$A7,'Direct Costs'!$A$5:$A$2005,"&gt;="&amp;ReportFrom,'Direct Costs'!$A$5:$A$2005,"&lt;="&amp;ReportTo)+SUMIFS('Direct Costs'!$S$5:$S$2005,'Direct Costs'!$Y$5:$Y$2005,$A7,'Direct Costs'!$A$5:$A$2005,"&gt;="&amp;ReportFrom,'Direct Costs'!$A$5:$A$2005,"&lt;="&amp;ReportTo))</f>
        <v/>
      </c>
      <c r="N7" s="25">
        <f>IF($A7="",0,SUMIFS('Direct Costs'!$L$5:$L$2005,'Direct Costs'!$W$5:$W$2005,$A7,'Direct Costs'!$A$5:$A$2005,"&gt;="&amp;ReportFrom,'Direct Costs'!$A$5:$A$2005,"&lt;="&amp;ReportTo)+SUMIFS('Direct Costs'!$U$5:$U$2005,'Direct Costs'!$X$5:$X$2005,$A7,'Direct Costs'!$A$5:$A$2005,"&gt;="&amp;ReportFrom,'Direct Costs'!$A$5:$A$2005,"&lt;="&amp;ReportTo)+SUMIFS('Direct Costs'!$T$5:$T$2005,'Direct Costs'!$Z$5:$Z$2005,$A7,'Direct Costs'!$A$5:$A$2005,"&gt;="&amp;ReportFrom,'Direct Costs'!$A$5:$A$2005,"&lt;="&amp;ReportTo))</f>
        <v/>
      </c>
      <c r="O7" s="25">
        <f>IF($A7="",0,(SUMIFS('Operating Expenses'!$F$5:$F$2005,'Operating Expenses'!$Q$5:$Q$2005,$A7,'Operating Expenses'!$A$5:$A$2005,"&lt;"&amp;ReportFrom)+SUMIFS('Operating Expenses'!$M$5:$M$2005,'Operating Expenses'!$T$5:$T$2005,$A7,'Operating Expenses'!$A$5:$A$2005,"&lt;"&amp;ReportFrom))-(SUMIFS('Operating Expenses'!$O$5:$O$2005,'Operating Expenses'!$R$5:$R$2005,$A7,'Operating Expenses'!$A$5:$A$2005,"&lt;"&amp;ReportFrom)+SUMIFS('Operating Expenses'!$P$5:$P$2005,'Operating Expenses'!$S$5:$S$2005,$A7,'Operating Expenses'!$A$5:$A$2005,"&lt;"&amp;ReportFrom)+SUMIFS('Operating Expenses'!$N$5:$N$2005,'Operating Expenses'!$U$5:$U$2005,$A7,'Operating Expenses'!$A$5:$A$2005,"&lt;"&amp;ReportFrom)))</f>
        <v/>
      </c>
      <c r="P7" s="25">
        <f>IF($A7="",0,SUMIFS('Operating Expenses'!$F$5:$F$2005,'Operating Expenses'!$Q$5:$Q$2005,$A7,'Operating Expenses'!$A$5:$A$2005,"&gt;="&amp;ReportFrom,'Operating Expenses'!$A$5:$A$2005,"&lt;="&amp;ReportTo)+SUMIFS('Operating Expenses'!$M$5:$M$2005,'Operating Expenses'!$T$5:$T$2005,$A7,'Operating Expenses'!$A$5:$A$2005,"&gt;="&amp;ReportFrom,'Operating Expenses'!$A$5:$A$2005,"&lt;="&amp;ReportTo))</f>
        <v/>
      </c>
      <c r="Q7" s="25">
        <f>IF($A7="",0,SUMIFS('Operating Expenses'!$O$5:$O$2005,'Operating Expenses'!$R$5:$R$2005,$A7,'Operating Expenses'!$A$5:$A$2005,"&gt;="&amp;ReportFrom,'Operating Expenses'!$A$5:$A$2005,"&lt;="&amp;ReportTo)+SUMIFS('Operating Expenses'!$P$5:$P$2005,'Operating Expenses'!$S$5:$S$2005,$A7,'Operating Expenses'!$A$5:$A$2005,"&gt;="&amp;ReportFrom,'Operating Expenses'!$A$5:$A$2005,"&lt;="&amp;ReportTo)+SUMIFS('Operating Expenses'!$N$5:$N$2005,'Operating Expenses'!$U$5:$U$2005,$A7,'Operating Expenses'!$A$5:$A$2005,"&gt;="&amp;ReportFrom,'Operating Expenses'!$A$5:$A$2005,"&lt;="&amp;ReportTo))</f>
        <v/>
      </c>
      <c r="R7" s="25">
        <f>IF($A7="",0,(SUMIFS('Payroll'!$O$5:$O$2005,'Payroll'!$Q$5:$Q$2005,$A7,'Payroll'!$A$5:$A$2005,"&lt;"&amp;ReportFrom))-(SUMIFS('Payroll'!$K$5:$K$2005,'Payroll'!$R$5:$R$2005,$A7,'Payroll'!$A$5:$A$2005,"&lt;"&amp;ReportFrom)+SUMIFS('Payroll'!$P$5:$P$2005,'Payroll'!$S$5:$S$2005,$A7,'Payroll'!$A$5:$A$2005,"&lt;"&amp;ReportFrom)))</f>
        <v/>
      </c>
      <c r="S7" s="25">
        <f>IF($A7="",0,SUMIFS('Payroll'!$O$5:$O$2005,'Payroll'!$Q$5:$Q$2005,$A7,'Payroll'!$A$5:$A$2005,"&gt;="&amp;ReportFrom,'Payroll'!$A$5:$A$2005,"&lt;="&amp;ReportTo))</f>
        <v/>
      </c>
      <c r="T7" s="25">
        <f>IF($A7="",0,SUMIFS('Payroll'!$K$5:$K$2005,'Payroll'!$R$5:$R$2005,$A7,'Payroll'!$A$5:$A$2005,"&gt;="&amp;ReportFrom,'Payroll'!$A$5:$A$2005,"&lt;="&amp;ReportTo)+SUMIFS('Payroll'!$P$5:$P$2005,'Payroll'!$S$5:$S$2005,$A7,'Payroll'!$A$5:$A$2005,"&gt;="&amp;ReportFrom,'Payroll'!$A$5:$A$2005,"&lt;="&amp;ReportTo))</f>
        <v/>
      </c>
      <c r="U7" s="25">
        <f>IF($A7="",0,(SUMIFS('Receipt Vouchers'!$F$5:$F$2005,'Receipt Vouchers'!$O$5:$O$2005,$A7,'Receipt Vouchers'!$A$5:$A$2005,"&lt;"&amp;ReportFrom)+SUMIFS('Receipt Vouchers'!$J$5:$J$2005,'Receipt Vouchers'!$Q$5:$Q$2005,$A7,'Receipt Vouchers'!$A$5:$A$2005,"&lt;"&amp;ReportFrom))-(SUMIFS('Receipt Vouchers'!$N$5:$N$2005,'Receipt Vouchers'!$P$5:$P$2005,$A7,'Receipt Vouchers'!$A$5:$A$2005,"&lt;"&amp;ReportFrom)+SUMIFS('Receipt Vouchers'!$M$5:$M$2005,'Receipt Vouchers'!$R$5:$R$2005,$A7,'Receipt Vouchers'!$A$5:$A$2005,"&lt;"&amp;ReportFrom)))</f>
        <v/>
      </c>
      <c r="V7" s="25">
        <f>IF($A7="",0,SUMIFS('Receipt Vouchers'!$F$5:$F$2005,'Receipt Vouchers'!$O$5:$O$2005,$A7,'Receipt Vouchers'!$A$5:$A$2005,"&gt;="&amp;ReportFrom,'Receipt Vouchers'!$A$5:$A$2005,"&lt;="&amp;ReportTo)+SUMIFS('Receipt Vouchers'!$J$5:$J$2005,'Receipt Vouchers'!$Q$5:$Q$2005,$A7,'Receipt Vouchers'!$A$5:$A$2005,"&gt;="&amp;ReportFrom,'Receipt Vouchers'!$A$5:$A$2005,"&lt;="&amp;ReportTo))</f>
        <v/>
      </c>
      <c r="W7" s="25">
        <f>IF($A7="",0,SUMIFS('Receipt Vouchers'!$N$5:$N$2005,'Receipt Vouchers'!$P$5:$P$2005,$A7,'Receipt Vouchers'!$A$5:$A$2005,"&gt;="&amp;ReportFrom,'Receipt Vouchers'!$A$5:$A$2005,"&lt;="&amp;ReportTo)+SUMIFS('Receipt Vouchers'!$M$5:$M$2005,'Receipt Vouchers'!$R$5:$R$2005,$A7,'Receipt Vouchers'!$A$5:$A$2005,"&gt;="&amp;ReportFrom,'Receipt Vouchers'!$A$5:$A$2005,"&lt;="&amp;ReportTo))</f>
        <v/>
      </c>
      <c r="X7" s="25">
        <f>IF($A7="",0,(SUMIFS('Sales Invoices'!$O$5:$O$2005,'Sales Invoices'!$P$5:$P$2005,$A7,'Sales Invoices'!$B$5:$B$2005,"&lt;"&amp;ReportFrom)+SUMIFS('Sales Invoices'!$N$5:$N$2005,'Sales Invoices'!$R$5:$R$2005,$A7,'Sales Invoices'!$B$5:$B$2005,"&lt;"&amp;ReportFrom))-(SUMIFS('Sales Invoices'!$L$5:$L$2005,'Sales Invoices'!$Q$5:$Q$2005,$A7,'Sales Invoices'!$B$5:$B$2005,"&lt;"&amp;ReportFrom)+SUMIFS('Sales Invoices'!$M$5:$M$2005,'Sales Invoices'!$S$5:$S$2005,$A7,'Sales Invoices'!$B$5:$B$2005,"&lt;"&amp;ReportFrom)))</f>
        <v/>
      </c>
      <c r="Y7" s="25">
        <f>IF($A7="",0,SUMIFS('Sales Invoices'!$O$5:$O$2005,'Sales Invoices'!$P$5:$P$2005,$A7,'Sales Invoices'!$B$5:$B$2005,"&gt;="&amp;ReportFrom,'Sales Invoices'!$B$5:$B$2005,"&lt;="&amp;ReportTo)+SUMIFS('Sales Invoices'!$N$5:$N$2005,'Sales Invoices'!$R$5:$R$2005,$A7,'Sales Invoices'!$B$5:$B$2005,"&gt;="&amp;ReportFrom,'Sales Invoices'!$B$5:$B$2005,"&lt;="&amp;ReportTo))</f>
        <v/>
      </c>
      <c r="Z7" s="25">
        <f>IF($A7="",0,SUMIFS('Sales Invoices'!$L$5:$L$2005,'Sales Invoices'!$Q$5:$Q$2005,$A7,'Sales Invoices'!$B$5:$B$2005,"&gt;="&amp;ReportFrom,'Sales Invoices'!$B$5:$B$2005,"&lt;="&amp;ReportTo)+SUMIFS('Sales Invoices'!$M$5:$M$2005,'Sales Invoices'!$S$5:$S$2005,$A7,'Sales Invoices'!$B$5:$B$2005,"&gt;="&amp;ReportFrom,'Sales Invoices'!$B$5:$B$2005,"&lt;="&amp;ReportTo))</f>
        <v/>
      </c>
      <c r="AA7" s="25">
        <f>IF($A7="",0,(SUMIFS('Payment Vouchers'!$D$5:$D$2005,'Payment Vouchers'!$J$5:$J$2005,$A7,'Payment Vouchers'!$A$5:$A$2005,"&lt;"&amp;ReportFrom))-(SUMIFS('Payment Vouchers'!$D$5:$D$2005,'Payment Vouchers'!$K$5:$K$2005,$A7,'Payment Vouchers'!$A$5:$A$2005,"&lt;"&amp;ReportFrom)))</f>
        <v/>
      </c>
      <c r="AB7" s="25">
        <f>IF($A7="",0,SUMIFS('Payment Vouchers'!$D$5:$D$2005,'Payment Vouchers'!$J$5:$J$2005,$A7,'Payment Vouchers'!$A$5:$A$2005,"&gt;="&amp;ReportFrom,'Payment Vouchers'!$A$5:$A$2005,"&lt;="&amp;ReportTo))</f>
        <v/>
      </c>
      <c r="AC7" s="25">
        <f>IF($A7="",0,SUMIFS('Payment Vouchers'!$D$5:$D$2005,'Payment Vouchers'!$K$5:$K$2005,$A7,'Payment Vouchers'!$A$5:$A$2005,"&gt;="&amp;ReportFrom,'Payment Vouchers'!$A$5:$A$2005,"&lt;="&amp;ReportTo))</f>
        <v/>
      </c>
      <c r="AD7" s="25">
        <f>IF($A7="",0,(SUMIFS('Partner Transactions'!$D$5:$D$2005,'Partner Transactions'!$L$5:$L$2005,$A7,'Partner Transactions'!$A$5:$A$2005,"&lt;"&amp;ReportFrom))-(SUMIFS('Partner Transactions'!$D$5:$D$2005,'Partner Transactions'!$M$5:$M$2005,$A7,'Partner Transactions'!$A$5:$A$2005,"&lt;"&amp;ReportFrom)))</f>
        <v/>
      </c>
      <c r="AE7" s="25">
        <f>IF($A7="",0,SUMIFS('Partner Transactions'!$D$5:$D$2005,'Partner Transactions'!$L$5:$L$2005,$A7,'Partner Transactions'!$A$5:$A$2005,"&gt;="&amp;ReportFrom,'Partner Transactions'!$A$5:$A$2005,"&lt;="&amp;ReportTo))</f>
        <v/>
      </c>
      <c r="AF7" s="25">
        <f>IF($A7="",0,SUMIFS('Partner Transactions'!$D$5:$D$2005,'Partner Transactions'!$M$5:$M$2005,$A7,'Partner Transactions'!$A$5:$A$2005,"&gt;="&amp;ReportFrom,'Partner Transactions'!$A$5:$A$2005,"&lt;="&amp;ReportTo))</f>
        <v/>
      </c>
      <c r="AG7" s="25">
        <f>IF($A7="",0,(SUMIFS('Stock Moves'!$S$5:$S$2005,'Stock Moves'!$AD$5:$AD$2005,$A7,'Stock Moves'!$A$5:$A$2005,"&lt;"&amp;ReportFrom)+SUMIFS('Stock Moves'!$T$5:$T$2005,'Stock Moves'!$V$5:$V$2005,$A7,'Stock Moves'!$A$5:$A$2005,"&lt;"&amp;ReportFrom))-(SUMIFS('Stock Moves'!$AF$5:$AF$2005,'Stock Moves'!$AE$5:$AE$2005,$A7,'Stock Moves'!$A$5:$A$2005,"&lt;"&amp;ReportFrom)+SUMIFS('Stock Moves'!$AC$5:$AC$2005,'Stock Moves'!$X$5:$X$2005,$A7,'Stock Moves'!$A$5:$A$2005,"&lt;"&amp;ReportFrom)+SUMIFS('Stock Moves'!$U$5:$U$2005,'Stock Moves'!$W$5:$W$2005,$A7,'Stock Moves'!$A$5:$A$2005,"&lt;"&amp;ReportFrom)))</f>
        <v/>
      </c>
      <c r="AH7" s="25">
        <f>IF($A7="",0,SUMIFS('Stock Moves'!$S$5:$S$2005,'Stock Moves'!$AD$5:$AD$2005,$A7,'Stock Moves'!$A$5:$A$2005,"&gt;="&amp;ReportFrom,'Stock Moves'!$A$5:$A$2005,"&lt;="&amp;ReportTo)+SUMIFS('Stock Moves'!$T$5:$T$2005,'Stock Moves'!$V$5:$V$2005,$A7,'Stock Moves'!$A$5:$A$2005,"&gt;="&amp;ReportFrom,'Stock Moves'!$A$5:$A$2005,"&lt;="&amp;ReportTo))</f>
        <v/>
      </c>
      <c r="AI7" s="25">
        <f>IF($A7="",0,SUMIFS('Stock Moves'!$AF$5:$AF$2005,'Stock Moves'!$AE$5:$AE$2005,$A7,'Stock Moves'!$A$5:$A$2005,"&gt;="&amp;ReportFrom,'Stock Moves'!$A$5:$A$2005,"&lt;="&amp;ReportTo)+SUMIFS('Stock Moves'!$AC$5:$AC$2005,'Stock Moves'!$X$5:$X$2005,$A7,'Stock Moves'!$A$5:$A$2005,"&gt;="&amp;ReportFrom,'Stock Moves'!$A$5:$A$2005,"&lt;="&amp;ReportTo)+SUMIFS('Stock Moves'!$U$5:$U$2005,'Stock Moves'!$W$5:$W$2005,$A7,'Stock Moves'!$A$5:$A$2005,"&gt;="&amp;ReportFrom,'Stock Moves'!$A$5:$A$2005,"&lt;="&amp;ReportTo))</f>
        <v/>
      </c>
      <c r="AJ7" s="25">
        <f>IF($A7="",0,(SUMIFS('Journal Vouchers'!$I$5:$I$2005,'Journal Vouchers'!$H$5:$H$2005,$A7,'Journal Vouchers'!$B$5:$B$2005,"&lt;"&amp;ReportFrom))-(SUMIFS('Journal Vouchers'!$J$5:$J$2005,'Journal Vouchers'!$H$5:$H$2005,$A7,'Journal Vouchers'!$B$5:$B$2005,"&lt;"&amp;ReportFrom)))</f>
        <v/>
      </c>
      <c r="AK7" s="25">
        <f>IF($A7="",0,SUMIFS('Journal Vouchers'!$I$5:$I$2005,'Journal Vouchers'!$H$5:$H$2005,$A7,'Journal Vouchers'!$B$5:$B$2005,"&gt;="&amp;ReportFrom,'Journal Vouchers'!$B$5:$B$2005,"&lt;="&amp;ReportTo))</f>
        <v/>
      </c>
      <c r="AL7" s="25">
        <f>IF($A7="",0,SUMIFS('Journal Vouchers'!$J$5:$J$2005,'Journal Vouchers'!$H$5:$H$2005,$A7,'Journal Vouchers'!$B$5:$B$2005,"&gt;="&amp;ReportFrom,'Journal Vouchers'!$B$5:$B$2005,"&lt;="&amp;ReportTo))</f>
        <v/>
      </c>
    </row>
    <row r="8">
      <c r="A8" s="25">
        <f>IF('Chart of Accounts'!A8="","",'Chart of Accounts'!A8&amp;"")</f>
        <v/>
      </c>
      <c r="B8" s="25">
        <f>IF(A8="","",'Chart of Accounts'!B8)</f>
        <v/>
      </c>
      <c r="C8" s="25">
        <f>IF(A8="","",'Chart of Accounts'!C8)</f>
        <v/>
      </c>
      <c r="D8" s="25">
        <f>IF(A8="","",'Chart of Accounts'!D8)</f>
        <v/>
      </c>
      <c r="E8" s="26">
        <f>L8+O8+R8+U8+X8+AA8+AD8+AG8+AJ8</f>
        <v/>
      </c>
      <c r="F8" s="26">
        <f>M8+P8+S8+V8+Y8+AB8+AE8+AH8+AK8</f>
        <v/>
      </c>
      <c r="G8" s="26">
        <f>N8+Q8+T8+W8+Z8+AC8+AF8+AI8+AL8</f>
        <v/>
      </c>
      <c r="H8" s="26">
        <f>E8+F8-G8</f>
        <v/>
      </c>
      <c r="I8" s="26">
        <f>MAX(H8,0)</f>
        <v/>
      </c>
      <c r="J8" s="26">
        <f>MAX(-H8,0)</f>
        <v/>
      </c>
      <c r="L8" s="25">
        <f>IF($A8="",0,(SUMIFS('Direct Costs'!$R$5:$R$2005,'Direct Costs'!$V$5:$V$2005,$A8,'Direct Costs'!$A$5:$A$2005,"&lt;"&amp;ReportFrom)+SUMIFS('Direct Costs'!$S$5:$S$2005,'Direct Costs'!$Y$5:$Y$2005,$A8,'Direct Costs'!$A$5:$A$2005,"&lt;"&amp;ReportFrom))-(SUMIFS('Direct Costs'!$L$5:$L$2005,'Direct Costs'!$W$5:$W$2005,$A8,'Direct Costs'!$A$5:$A$2005,"&lt;"&amp;ReportFrom)+SUMIFS('Direct Costs'!$U$5:$U$2005,'Direct Costs'!$X$5:$X$2005,$A8,'Direct Costs'!$A$5:$A$2005,"&lt;"&amp;ReportFrom)+SUMIFS('Direct Costs'!$T$5:$T$2005,'Direct Costs'!$Z$5:$Z$2005,$A8,'Direct Costs'!$A$5:$A$2005,"&lt;"&amp;ReportFrom)))</f>
        <v/>
      </c>
      <c r="M8" s="25">
        <f>IF($A8="",0,SUMIFS('Direct Costs'!$R$5:$R$2005,'Direct Costs'!$V$5:$V$2005,$A8,'Direct Costs'!$A$5:$A$2005,"&gt;="&amp;ReportFrom,'Direct Costs'!$A$5:$A$2005,"&lt;="&amp;ReportTo)+SUMIFS('Direct Costs'!$S$5:$S$2005,'Direct Costs'!$Y$5:$Y$2005,$A8,'Direct Costs'!$A$5:$A$2005,"&gt;="&amp;ReportFrom,'Direct Costs'!$A$5:$A$2005,"&lt;="&amp;ReportTo))</f>
        <v/>
      </c>
      <c r="N8" s="25">
        <f>IF($A8="",0,SUMIFS('Direct Costs'!$L$5:$L$2005,'Direct Costs'!$W$5:$W$2005,$A8,'Direct Costs'!$A$5:$A$2005,"&gt;="&amp;ReportFrom,'Direct Costs'!$A$5:$A$2005,"&lt;="&amp;ReportTo)+SUMIFS('Direct Costs'!$U$5:$U$2005,'Direct Costs'!$X$5:$X$2005,$A8,'Direct Costs'!$A$5:$A$2005,"&gt;="&amp;ReportFrom,'Direct Costs'!$A$5:$A$2005,"&lt;="&amp;ReportTo)+SUMIFS('Direct Costs'!$T$5:$T$2005,'Direct Costs'!$Z$5:$Z$2005,$A8,'Direct Costs'!$A$5:$A$2005,"&gt;="&amp;ReportFrom,'Direct Costs'!$A$5:$A$2005,"&lt;="&amp;ReportTo))</f>
        <v/>
      </c>
      <c r="O8" s="25">
        <f>IF($A8="",0,(SUMIFS('Operating Expenses'!$F$5:$F$2005,'Operating Expenses'!$Q$5:$Q$2005,$A8,'Operating Expenses'!$A$5:$A$2005,"&lt;"&amp;ReportFrom)+SUMIFS('Operating Expenses'!$M$5:$M$2005,'Operating Expenses'!$T$5:$T$2005,$A8,'Operating Expenses'!$A$5:$A$2005,"&lt;"&amp;ReportFrom))-(SUMIFS('Operating Expenses'!$O$5:$O$2005,'Operating Expenses'!$R$5:$R$2005,$A8,'Operating Expenses'!$A$5:$A$2005,"&lt;"&amp;ReportFrom)+SUMIFS('Operating Expenses'!$P$5:$P$2005,'Operating Expenses'!$S$5:$S$2005,$A8,'Operating Expenses'!$A$5:$A$2005,"&lt;"&amp;ReportFrom)+SUMIFS('Operating Expenses'!$N$5:$N$2005,'Operating Expenses'!$U$5:$U$2005,$A8,'Operating Expenses'!$A$5:$A$2005,"&lt;"&amp;ReportFrom)))</f>
        <v/>
      </c>
      <c r="P8" s="25">
        <f>IF($A8="",0,SUMIFS('Operating Expenses'!$F$5:$F$2005,'Operating Expenses'!$Q$5:$Q$2005,$A8,'Operating Expenses'!$A$5:$A$2005,"&gt;="&amp;ReportFrom,'Operating Expenses'!$A$5:$A$2005,"&lt;="&amp;ReportTo)+SUMIFS('Operating Expenses'!$M$5:$M$2005,'Operating Expenses'!$T$5:$T$2005,$A8,'Operating Expenses'!$A$5:$A$2005,"&gt;="&amp;ReportFrom,'Operating Expenses'!$A$5:$A$2005,"&lt;="&amp;ReportTo))</f>
        <v/>
      </c>
      <c r="Q8" s="25">
        <f>IF($A8="",0,SUMIFS('Operating Expenses'!$O$5:$O$2005,'Operating Expenses'!$R$5:$R$2005,$A8,'Operating Expenses'!$A$5:$A$2005,"&gt;="&amp;ReportFrom,'Operating Expenses'!$A$5:$A$2005,"&lt;="&amp;ReportTo)+SUMIFS('Operating Expenses'!$P$5:$P$2005,'Operating Expenses'!$S$5:$S$2005,$A8,'Operating Expenses'!$A$5:$A$2005,"&gt;="&amp;ReportFrom,'Operating Expenses'!$A$5:$A$2005,"&lt;="&amp;ReportTo)+SUMIFS('Operating Expenses'!$N$5:$N$2005,'Operating Expenses'!$U$5:$U$2005,$A8,'Operating Expenses'!$A$5:$A$2005,"&gt;="&amp;ReportFrom,'Operating Expenses'!$A$5:$A$2005,"&lt;="&amp;ReportTo))</f>
        <v/>
      </c>
      <c r="R8" s="25">
        <f>IF($A8="",0,(SUMIFS('Payroll'!$O$5:$O$2005,'Payroll'!$Q$5:$Q$2005,$A8,'Payroll'!$A$5:$A$2005,"&lt;"&amp;ReportFrom))-(SUMIFS('Payroll'!$K$5:$K$2005,'Payroll'!$R$5:$R$2005,$A8,'Payroll'!$A$5:$A$2005,"&lt;"&amp;ReportFrom)+SUMIFS('Payroll'!$P$5:$P$2005,'Payroll'!$S$5:$S$2005,$A8,'Payroll'!$A$5:$A$2005,"&lt;"&amp;ReportFrom)))</f>
        <v/>
      </c>
      <c r="S8" s="25">
        <f>IF($A8="",0,SUMIFS('Payroll'!$O$5:$O$2005,'Payroll'!$Q$5:$Q$2005,$A8,'Payroll'!$A$5:$A$2005,"&gt;="&amp;ReportFrom,'Payroll'!$A$5:$A$2005,"&lt;="&amp;ReportTo))</f>
        <v/>
      </c>
      <c r="T8" s="25">
        <f>IF($A8="",0,SUMIFS('Payroll'!$K$5:$K$2005,'Payroll'!$R$5:$R$2005,$A8,'Payroll'!$A$5:$A$2005,"&gt;="&amp;ReportFrom,'Payroll'!$A$5:$A$2005,"&lt;="&amp;ReportTo)+SUMIFS('Payroll'!$P$5:$P$2005,'Payroll'!$S$5:$S$2005,$A8,'Payroll'!$A$5:$A$2005,"&gt;="&amp;ReportFrom,'Payroll'!$A$5:$A$2005,"&lt;="&amp;ReportTo))</f>
        <v/>
      </c>
      <c r="U8" s="25">
        <f>IF($A8="",0,(SUMIFS('Receipt Vouchers'!$F$5:$F$2005,'Receipt Vouchers'!$O$5:$O$2005,$A8,'Receipt Vouchers'!$A$5:$A$2005,"&lt;"&amp;ReportFrom)+SUMIFS('Receipt Vouchers'!$J$5:$J$2005,'Receipt Vouchers'!$Q$5:$Q$2005,$A8,'Receipt Vouchers'!$A$5:$A$2005,"&lt;"&amp;ReportFrom))-(SUMIFS('Receipt Vouchers'!$N$5:$N$2005,'Receipt Vouchers'!$P$5:$P$2005,$A8,'Receipt Vouchers'!$A$5:$A$2005,"&lt;"&amp;ReportFrom)+SUMIFS('Receipt Vouchers'!$M$5:$M$2005,'Receipt Vouchers'!$R$5:$R$2005,$A8,'Receipt Vouchers'!$A$5:$A$2005,"&lt;"&amp;ReportFrom)))</f>
        <v/>
      </c>
      <c r="V8" s="25">
        <f>IF($A8="",0,SUMIFS('Receipt Vouchers'!$F$5:$F$2005,'Receipt Vouchers'!$O$5:$O$2005,$A8,'Receipt Vouchers'!$A$5:$A$2005,"&gt;="&amp;ReportFrom,'Receipt Vouchers'!$A$5:$A$2005,"&lt;="&amp;ReportTo)+SUMIFS('Receipt Vouchers'!$J$5:$J$2005,'Receipt Vouchers'!$Q$5:$Q$2005,$A8,'Receipt Vouchers'!$A$5:$A$2005,"&gt;="&amp;ReportFrom,'Receipt Vouchers'!$A$5:$A$2005,"&lt;="&amp;ReportTo))</f>
        <v/>
      </c>
      <c r="W8" s="25">
        <f>IF($A8="",0,SUMIFS('Receipt Vouchers'!$N$5:$N$2005,'Receipt Vouchers'!$P$5:$P$2005,$A8,'Receipt Vouchers'!$A$5:$A$2005,"&gt;="&amp;ReportFrom,'Receipt Vouchers'!$A$5:$A$2005,"&lt;="&amp;ReportTo)+SUMIFS('Receipt Vouchers'!$M$5:$M$2005,'Receipt Vouchers'!$R$5:$R$2005,$A8,'Receipt Vouchers'!$A$5:$A$2005,"&gt;="&amp;ReportFrom,'Receipt Vouchers'!$A$5:$A$2005,"&lt;="&amp;ReportTo))</f>
        <v/>
      </c>
      <c r="X8" s="25">
        <f>IF($A8="",0,(SUMIFS('Sales Invoices'!$O$5:$O$2005,'Sales Invoices'!$P$5:$P$2005,$A8,'Sales Invoices'!$B$5:$B$2005,"&lt;"&amp;ReportFrom)+SUMIFS('Sales Invoices'!$N$5:$N$2005,'Sales Invoices'!$R$5:$R$2005,$A8,'Sales Invoices'!$B$5:$B$2005,"&lt;"&amp;ReportFrom))-(SUMIFS('Sales Invoices'!$L$5:$L$2005,'Sales Invoices'!$Q$5:$Q$2005,$A8,'Sales Invoices'!$B$5:$B$2005,"&lt;"&amp;ReportFrom)+SUMIFS('Sales Invoices'!$M$5:$M$2005,'Sales Invoices'!$S$5:$S$2005,$A8,'Sales Invoices'!$B$5:$B$2005,"&lt;"&amp;ReportFrom)))</f>
        <v/>
      </c>
      <c r="Y8" s="25">
        <f>IF($A8="",0,SUMIFS('Sales Invoices'!$O$5:$O$2005,'Sales Invoices'!$P$5:$P$2005,$A8,'Sales Invoices'!$B$5:$B$2005,"&gt;="&amp;ReportFrom,'Sales Invoices'!$B$5:$B$2005,"&lt;="&amp;ReportTo)+SUMIFS('Sales Invoices'!$N$5:$N$2005,'Sales Invoices'!$R$5:$R$2005,$A8,'Sales Invoices'!$B$5:$B$2005,"&gt;="&amp;ReportFrom,'Sales Invoices'!$B$5:$B$2005,"&lt;="&amp;ReportTo))</f>
        <v/>
      </c>
      <c r="Z8" s="25">
        <f>IF($A8="",0,SUMIFS('Sales Invoices'!$L$5:$L$2005,'Sales Invoices'!$Q$5:$Q$2005,$A8,'Sales Invoices'!$B$5:$B$2005,"&gt;="&amp;ReportFrom,'Sales Invoices'!$B$5:$B$2005,"&lt;="&amp;ReportTo)+SUMIFS('Sales Invoices'!$M$5:$M$2005,'Sales Invoices'!$S$5:$S$2005,$A8,'Sales Invoices'!$B$5:$B$2005,"&gt;="&amp;ReportFrom,'Sales Invoices'!$B$5:$B$2005,"&lt;="&amp;ReportTo))</f>
        <v/>
      </c>
      <c r="AA8" s="25">
        <f>IF($A8="",0,(SUMIFS('Payment Vouchers'!$D$5:$D$2005,'Payment Vouchers'!$J$5:$J$2005,$A8,'Payment Vouchers'!$A$5:$A$2005,"&lt;"&amp;ReportFrom))-(SUMIFS('Payment Vouchers'!$D$5:$D$2005,'Payment Vouchers'!$K$5:$K$2005,$A8,'Payment Vouchers'!$A$5:$A$2005,"&lt;"&amp;ReportFrom)))</f>
        <v/>
      </c>
      <c r="AB8" s="25">
        <f>IF($A8="",0,SUMIFS('Payment Vouchers'!$D$5:$D$2005,'Payment Vouchers'!$J$5:$J$2005,$A8,'Payment Vouchers'!$A$5:$A$2005,"&gt;="&amp;ReportFrom,'Payment Vouchers'!$A$5:$A$2005,"&lt;="&amp;ReportTo))</f>
        <v/>
      </c>
      <c r="AC8" s="25">
        <f>IF($A8="",0,SUMIFS('Payment Vouchers'!$D$5:$D$2005,'Payment Vouchers'!$K$5:$K$2005,$A8,'Payment Vouchers'!$A$5:$A$2005,"&gt;="&amp;ReportFrom,'Payment Vouchers'!$A$5:$A$2005,"&lt;="&amp;ReportTo))</f>
        <v/>
      </c>
      <c r="AD8" s="25">
        <f>IF($A8="",0,(SUMIFS('Partner Transactions'!$D$5:$D$2005,'Partner Transactions'!$L$5:$L$2005,$A8,'Partner Transactions'!$A$5:$A$2005,"&lt;"&amp;ReportFrom))-(SUMIFS('Partner Transactions'!$D$5:$D$2005,'Partner Transactions'!$M$5:$M$2005,$A8,'Partner Transactions'!$A$5:$A$2005,"&lt;"&amp;ReportFrom)))</f>
        <v/>
      </c>
      <c r="AE8" s="25">
        <f>IF($A8="",0,SUMIFS('Partner Transactions'!$D$5:$D$2005,'Partner Transactions'!$L$5:$L$2005,$A8,'Partner Transactions'!$A$5:$A$2005,"&gt;="&amp;ReportFrom,'Partner Transactions'!$A$5:$A$2005,"&lt;="&amp;ReportTo))</f>
        <v/>
      </c>
      <c r="AF8" s="25">
        <f>IF($A8="",0,SUMIFS('Partner Transactions'!$D$5:$D$2005,'Partner Transactions'!$M$5:$M$2005,$A8,'Partner Transactions'!$A$5:$A$2005,"&gt;="&amp;ReportFrom,'Partner Transactions'!$A$5:$A$2005,"&lt;="&amp;ReportTo))</f>
        <v/>
      </c>
      <c r="AG8" s="25">
        <f>IF($A8="",0,(SUMIFS('Stock Moves'!$S$5:$S$2005,'Stock Moves'!$AD$5:$AD$2005,$A8,'Stock Moves'!$A$5:$A$2005,"&lt;"&amp;ReportFrom)+SUMIFS('Stock Moves'!$T$5:$T$2005,'Stock Moves'!$V$5:$V$2005,$A8,'Stock Moves'!$A$5:$A$2005,"&lt;"&amp;ReportFrom))-(SUMIFS('Stock Moves'!$AF$5:$AF$2005,'Stock Moves'!$AE$5:$AE$2005,$A8,'Stock Moves'!$A$5:$A$2005,"&lt;"&amp;ReportFrom)+SUMIFS('Stock Moves'!$AC$5:$AC$2005,'Stock Moves'!$X$5:$X$2005,$A8,'Stock Moves'!$A$5:$A$2005,"&lt;"&amp;ReportFrom)+SUMIFS('Stock Moves'!$U$5:$U$2005,'Stock Moves'!$W$5:$W$2005,$A8,'Stock Moves'!$A$5:$A$2005,"&lt;"&amp;ReportFrom)))</f>
        <v/>
      </c>
      <c r="AH8" s="25">
        <f>IF($A8="",0,SUMIFS('Stock Moves'!$S$5:$S$2005,'Stock Moves'!$AD$5:$AD$2005,$A8,'Stock Moves'!$A$5:$A$2005,"&gt;="&amp;ReportFrom,'Stock Moves'!$A$5:$A$2005,"&lt;="&amp;ReportTo)+SUMIFS('Stock Moves'!$T$5:$T$2005,'Stock Moves'!$V$5:$V$2005,$A8,'Stock Moves'!$A$5:$A$2005,"&gt;="&amp;ReportFrom,'Stock Moves'!$A$5:$A$2005,"&lt;="&amp;ReportTo))</f>
        <v/>
      </c>
      <c r="AI8" s="25">
        <f>IF($A8="",0,SUMIFS('Stock Moves'!$AF$5:$AF$2005,'Stock Moves'!$AE$5:$AE$2005,$A8,'Stock Moves'!$A$5:$A$2005,"&gt;="&amp;ReportFrom,'Stock Moves'!$A$5:$A$2005,"&lt;="&amp;ReportTo)+SUMIFS('Stock Moves'!$AC$5:$AC$2005,'Stock Moves'!$X$5:$X$2005,$A8,'Stock Moves'!$A$5:$A$2005,"&gt;="&amp;ReportFrom,'Stock Moves'!$A$5:$A$2005,"&lt;="&amp;ReportTo)+SUMIFS('Stock Moves'!$U$5:$U$2005,'Stock Moves'!$W$5:$W$2005,$A8,'Stock Moves'!$A$5:$A$2005,"&gt;="&amp;ReportFrom,'Stock Moves'!$A$5:$A$2005,"&lt;="&amp;ReportTo))</f>
        <v/>
      </c>
      <c r="AJ8" s="25">
        <f>IF($A8="",0,(SUMIFS('Journal Vouchers'!$I$5:$I$2005,'Journal Vouchers'!$H$5:$H$2005,$A8,'Journal Vouchers'!$B$5:$B$2005,"&lt;"&amp;ReportFrom))-(SUMIFS('Journal Vouchers'!$J$5:$J$2005,'Journal Vouchers'!$H$5:$H$2005,$A8,'Journal Vouchers'!$B$5:$B$2005,"&lt;"&amp;ReportFrom)))</f>
        <v/>
      </c>
      <c r="AK8" s="25">
        <f>IF($A8="",0,SUMIFS('Journal Vouchers'!$I$5:$I$2005,'Journal Vouchers'!$H$5:$H$2005,$A8,'Journal Vouchers'!$B$5:$B$2005,"&gt;="&amp;ReportFrom,'Journal Vouchers'!$B$5:$B$2005,"&lt;="&amp;ReportTo))</f>
        <v/>
      </c>
      <c r="AL8" s="25">
        <f>IF($A8="",0,SUMIFS('Journal Vouchers'!$J$5:$J$2005,'Journal Vouchers'!$H$5:$H$2005,$A8,'Journal Vouchers'!$B$5:$B$2005,"&gt;="&amp;ReportFrom,'Journal Vouchers'!$B$5:$B$2005,"&lt;="&amp;ReportTo))</f>
        <v/>
      </c>
    </row>
    <row r="9">
      <c r="A9" s="25">
        <f>IF('Chart of Accounts'!A9="","",'Chart of Accounts'!A9&amp;"")</f>
        <v/>
      </c>
      <c r="B9" s="25">
        <f>IF(A9="","",'Chart of Accounts'!B9)</f>
        <v/>
      </c>
      <c r="C9" s="25">
        <f>IF(A9="","",'Chart of Accounts'!C9)</f>
        <v/>
      </c>
      <c r="D9" s="25">
        <f>IF(A9="","",'Chart of Accounts'!D9)</f>
        <v/>
      </c>
      <c r="E9" s="26">
        <f>L9+O9+R9+U9+X9+AA9+AD9+AG9+AJ9</f>
        <v/>
      </c>
      <c r="F9" s="26">
        <f>M9+P9+S9+V9+Y9+AB9+AE9+AH9+AK9</f>
        <v/>
      </c>
      <c r="G9" s="26">
        <f>N9+Q9+T9+W9+Z9+AC9+AF9+AI9+AL9</f>
        <v/>
      </c>
      <c r="H9" s="26">
        <f>E9+F9-G9</f>
        <v/>
      </c>
      <c r="I9" s="26">
        <f>MAX(H9,0)</f>
        <v/>
      </c>
      <c r="J9" s="26">
        <f>MAX(-H9,0)</f>
        <v/>
      </c>
      <c r="L9" s="25">
        <f>IF($A9="",0,(SUMIFS('Direct Costs'!$R$5:$R$2005,'Direct Costs'!$V$5:$V$2005,$A9,'Direct Costs'!$A$5:$A$2005,"&lt;"&amp;ReportFrom)+SUMIFS('Direct Costs'!$S$5:$S$2005,'Direct Costs'!$Y$5:$Y$2005,$A9,'Direct Costs'!$A$5:$A$2005,"&lt;"&amp;ReportFrom))-(SUMIFS('Direct Costs'!$L$5:$L$2005,'Direct Costs'!$W$5:$W$2005,$A9,'Direct Costs'!$A$5:$A$2005,"&lt;"&amp;ReportFrom)+SUMIFS('Direct Costs'!$U$5:$U$2005,'Direct Costs'!$X$5:$X$2005,$A9,'Direct Costs'!$A$5:$A$2005,"&lt;"&amp;ReportFrom)+SUMIFS('Direct Costs'!$T$5:$T$2005,'Direct Costs'!$Z$5:$Z$2005,$A9,'Direct Costs'!$A$5:$A$2005,"&lt;"&amp;ReportFrom)))</f>
        <v/>
      </c>
      <c r="M9" s="25">
        <f>IF($A9="",0,SUMIFS('Direct Costs'!$R$5:$R$2005,'Direct Costs'!$V$5:$V$2005,$A9,'Direct Costs'!$A$5:$A$2005,"&gt;="&amp;ReportFrom,'Direct Costs'!$A$5:$A$2005,"&lt;="&amp;ReportTo)+SUMIFS('Direct Costs'!$S$5:$S$2005,'Direct Costs'!$Y$5:$Y$2005,$A9,'Direct Costs'!$A$5:$A$2005,"&gt;="&amp;ReportFrom,'Direct Costs'!$A$5:$A$2005,"&lt;="&amp;ReportTo))</f>
        <v/>
      </c>
      <c r="N9" s="25">
        <f>IF($A9="",0,SUMIFS('Direct Costs'!$L$5:$L$2005,'Direct Costs'!$W$5:$W$2005,$A9,'Direct Costs'!$A$5:$A$2005,"&gt;="&amp;ReportFrom,'Direct Costs'!$A$5:$A$2005,"&lt;="&amp;ReportTo)+SUMIFS('Direct Costs'!$U$5:$U$2005,'Direct Costs'!$X$5:$X$2005,$A9,'Direct Costs'!$A$5:$A$2005,"&gt;="&amp;ReportFrom,'Direct Costs'!$A$5:$A$2005,"&lt;="&amp;ReportTo)+SUMIFS('Direct Costs'!$T$5:$T$2005,'Direct Costs'!$Z$5:$Z$2005,$A9,'Direct Costs'!$A$5:$A$2005,"&gt;="&amp;ReportFrom,'Direct Costs'!$A$5:$A$2005,"&lt;="&amp;ReportTo))</f>
        <v/>
      </c>
      <c r="O9" s="25">
        <f>IF($A9="",0,(SUMIFS('Operating Expenses'!$F$5:$F$2005,'Operating Expenses'!$Q$5:$Q$2005,$A9,'Operating Expenses'!$A$5:$A$2005,"&lt;"&amp;ReportFrom)+SUMIFS('Operating Expenses'!$M$5:$M$2005,'Operating Expenses'!$T$5:$T$2005,$A9,'Operating Expenses'!$A$5:$A$2005,"&lt;"&amp;ReportFrom))-(SUMIFS('Operating Expenses'!$O$5:$O$2005,'Operating Expenses'!$R$5:$R$2005,$A9,'Operating Expenses'!$A$5:$A$2005,"&lt;"&amp;ReportFrom)+SUMIFS('Operating Expenses'!$P$5:$P$2005,'Operating Expenses'!$S$5:$S$2005,$A9,'Operating Expenses'!$A$5:$A$2005,"&lt;"&amp;ReportFrom)+SUMIFS('Operating Expenses'!$N$5:$N$2005,'Operating Expenses'!$U$5:$U$2005,$A9,'Operating Expenses'!$A$5:$A$2005,"&lt;"&amp;ReportFrom)))</f>
        <v/>
      </c>
      <c r="P9" s="25">
        <f>IF($A9="",0,SUMIFS('Operating Expenses'!$F$5:$F$2005,'Operating Expenses'!$Q$5:$Q$2005,$A9,'Operating Expenses'!$A$5:$A$2005,"&gt;="&amp;ReportFrom,'Operating Expenses'!$A$5:$A$2005,"&lt;="&amp;ReportTo)+SUMIFS('Operating Expenses'!$M$5:$M$2005,'Operating Expenses'!$T$5:$T$2005,$A9,'Operating Expenses'!$A$5:$A$2005,"&gt;="&amp;ReportFrom,'Operating Expenses'!$A$5:$A$2005,"&lt;="&amp;ReportTo))</f>
        <v/>
      </c>
      <c r="Q9" s="25">
        <f>IF($A9="",0,SUMIFS('Operating Expenses'!$O$5:$O$2005,'Operating Expenses'!$R$5:$R$2005,$A9,'Operating Expenses'!$A$5:$A$2005,"&gt;="&amp;ReportFrom,'Operating Expenses'!$A$5:$A$2005,"&lt;="&amp;ReportTo)+SUMIFS('Operating Expenses'!$P$5:$P$2005,'Operating Expenses'!$S$5:$S$2005,$A9,'Operating Expenses'!$A$5:$A$2005,"&gt;="&amp;ReportFrom,'Operating Expenses'!$A$5:$A$2005,"&lt;="&amp;ReportTo)+SUMIFS('Operating Expenses'!$N$5:$N$2005,'Operating Expenses'!$U$5:$U$2005,$A9,'Operating Expenses'!$A$5:$A$2005,"&gt;="&amp;ReportFrom,'Operating Expenses'!$A$5:$A$2005,"&lt;="&amp;ReportTo))</f>
        <v/>
      </c>
      <c r="R9" s="25">
        <f>IF($A9="",0,(SUMIFS('Payroll'!$O$5:$O$2005,'Payroll'!$Q$5:$Q$2005,$A9,'Payroll'!$A$5:$A$2005,"&lt;"&amp;ReportFrom))-(SUMIFS('Payroll'!$K$5:$K$2005,'Payroll'!$R$5:$R$2005,$A9,'Payroll'!$A$5:$A$2005,"&lt;"&amp;ReportFrom)+SUMIFS('Payroll'!$P$5:$P$2005,'Payroll'!$S$5:$S$2005,$A9,'Payroll'!$A$5:$A$2005,"&lt;"&amp;ReportFrom)))</f>
        <v/>
      </c>
      <c r="S9" s="25">
        <f>IF($A9="",0,SUMIFS('Payroll'!$O$5:$O$2005,'Payroll'!$Q$5:$Q$2005,$A9,'Payroll'!$A$5:$A$2005,"&gt;="&amp;ReportFrom,'Payroll'!$A$5:$A$2005,"&lt;="&amp;ReportTo))</f>
        <v/>
      </c>
      <c r="T9" s="25">
        <f>IF($A9="",0,SUMIFS('Payroll'!$K$5:$K$2005,'Payroll'!$R$5:$R$2005,$A9,'Payroll'!$A$5:$A$2005,"&gt;="&amp;ReportFrom,'Payroll'!$A$5:$A$2005,"&lt;="&amp;ReportTo)+SUMIFS('Payroll'!$P$5:$P$2005,'Payroll'!$S$5:$S$2005,$A9,'Payroll'!$A$5:$A$2005,"&gt;="&amp;ReportFrom,'Payroll'!$A$5:$A$2005,"&lt;="&amp;ReportTo))</f>
        <v/>
      </c>
      <c r="U9" s="25">
        <f>IF($A9="",0,(SUMIFS('Receipt Vouchers'!$F$5:$F$2005,'Receipt Vouchers'!$O$5:$O$2005,$A9,'Receipt Vouchers'!$A$5:$A$2005,"&lt;"&amp;ReportFrom)+SUMIFS('Receipt Vouchers'!$J$5:$J$2005,'Receipt Vouchers'!$Q$5:$Q$2005,$A9,'Receipt Vouchers'!$A$5:$A$2005,"&lt;"&amp;ReportFrom))-(SUMIFS('Receipt Vouchers'!$N$5:$N$2005,'Receipt Vouchers'!$P$5:$P$2005,$A9,'Receipt Vouchers'!$A$5:$A$2005,"&lt;"&amp;ReportFrom)+SUMIFS('Receipt Vouchers'!$M$5:$M$2005,'Receipt Vouchers'!$R$5:$R$2005,$A9,'Receipt Vouchers'!$A$5:$A$2005,"&lt;"&amp;ReportFrom)))</f>
        <v/>
      </c>
      <c r="V9" s="25">
        <f>IF($A9="",0,SUMIFS('Receipt Vouchers'!$F$5:$F$2005,'Receipt Vouchers'!$O$5:$O$2005,$A9,'Receipt Vouchers'!$A$5:$A$2005,"&gt;="&amp;ReportFrom,'Receipt Vouchers'!$A$5:$A$2005,"&lt;="&amp;ReportTo)+SUMIFS('Receipt Vouchers'!$J$5:$J$2005,'Receipt Vouchers'!$Q$5:$Q$2005,$A9,'Receipt Vouchers'!$A$5:$A$2005,"&gt;="&amp;ReportFrom,'Receipt Vouchers'!$A$5:$A$2005,"&lt;="&amp;ReportTo))</f>
        <v/>
      </c>
      <c r="W9" s="25">
        <f>IF($A9="",0,SUMIFS('Receipt Vouchers'!$N$5:$N$2005,'Receipt Vouchers'!$P$5:$P$2005,$A9,'Receipt Vouchers'!$A$5:$A$2005,"&gt;="&amp;ReportFrom,'Receipt Vouchers'!$A$5:$A$2005,"&lt;="&amp;ReportTo)+SUMIFS('Receipt Vouchers'!$M$5:$M$2005,'Receipt Vouchers'!$R$5:$R$2005,$A9,'Receipt Vouchers'!$A$5:$A$2005,"&gt;="&amp;ReportFrom,'Receipt Vouchers'!$A$5:$A$2005,"&lt;="&amp;ReportTo))</f>
        <v/>
      </c>
      <c r="X9" s="25">
        <f>IF($A9="",0,(SUMIFS('Sales Invoices'!$O$5:$O$2005,'Sales Invoices'!$P$5:$P$2005,$A9,'Sales Invoices'!$B$5:$B$2005,"&lt;"&amp;ReportFrom)+SUMIFS('Sales Invoices'!$N$5:$N$2005,'Sales Invoices'!$R$5:$R$2005,$A9,'Sales Invoices'!$B$5:$B$2005,"&lt;"&amp;ReportFrom))-(SUMIFS('Sales Invoices'!$L$5:$L$2005,'Sales Invoices'!$Q$5:$Q$2005,$A9,'Sales Invoices'!$B$5:$B$2005,"&lt;"&amp;ReportFrom)+SUMIFS('Sales Invoices'!$M$5:$M$2005,'Sales Invoices'!$S$5:$S$2005,$A9,'Sales Invoices'!$B$5:$B$2005,"&lt;"&amp;ReportFrom)))</f>
        <v/>
      </c>
      <c r="Y9" s="25">
        <f>IF($A9="",0,SUMIFS('Sales Invoices'!$O$5:$O$2005,'Sales Invoices'!$P$5:$P$2005,$A9,'Sales Invoices'!$B$5:$B$2005,"&gt;="&amp;ReportFrom,'Sales Invoices'!$B$5:$B$2005,"&lt;="&amp;ReportTo)+SUMIFS('Sales Invoices'!$N$5:$N$2005,'Sales Invoices'!$R$5:$R$2005,$A9,'Sales Invoices'!$B$5:$B$2005,"&gt;="&amp;ReportFrom,'Sales Invoices'!$B$5:$B$2005,"&lt;="&amp;ReportTo))</f>
        <v/>
      </c>
      <c r="Z9" s="25">
        <f>IF($A9="",0,SUMIFS('Sales Invoices'!$L$5:$L$2005,'Sales Invoices'!$Q$5:$Q$2005,$A9,'Sales Invoices'!$B$5:$B$2005,"&gt;="&amp;ReportFrom,'Sales Invoices'!$B$5:$B$2005,"&lt;="&amp;ReportTo)+SUMIFS('Sales Invoices'!$M$5:$M$2005,'Sales Invoices'!$S$5:$S$2005,$A9,'Sales Invoices'!$B$5:$B$2005,"&gt;="&amp;ReportFrom,'Sales Invoices'!$B$5:$B$2005,"&lt;="&amp;ReportTo))</f>
        <v/>
      </c>
      <c r="AA9" s="25">
        <f>IF($A9="",0,(SUMIFS('Payment Vouchers'!$D$5:$D$2005,'Payment Vouchers'!$J$5:$J$2005,$A9,'Payment Vouchers'!$A$5:$A$2005,"&lt;"&amp;ReportFrom))-(SUMIFS('Payment Vouchers'!$D$5:$D$2005,'Payment Vouchers'!$K$5:$K$2005,$A9,'Payment Vouchers'!$A$5:$A$2005,"&lt;"&amp;ReportFrom)))</f>
        <v/>
      </c>
      <c r="AB9" s="25">
        <f>IF($A9="",0,SUMIFS('Payment Vouchers'!$D$5:$D$2005,'Payment Vouchers'!$J$5:$J$2005,$A9,'Payment Vouchers'!$A$5:$A$2005,"&gt;="&amp;ReportFrom,'Payment Vouchers'!$A$5:$A$2005,"&lt;="&amp;ReportTo))</f>
        <v/>
      </c>
      <c r="AC9" s="25">
        <f>IF($A9="",0,SUMIFS('Payment Vouchers'!$D$5:$D$2005,'Payment Vouchers'!$K$5:$K$2005,$A9,'Payment Vouchers'!$A$5:$A$2005,"&gt;="&amp;ReportFrom,'Payment Vouchers'!$A$5:$A$2005,"&lt;="&amp;ReportTo))</f>
        <v/>
      </c>
      <c r="AD9" s="25">
        <f>IF($A9="",0,(SUMIFS('Partner Transactions'!$D$5:$D$2005,'Partner Transactions'!$L$5:$L$2005,$A9,'Partner Transactions'!$A$5:$A$2005,"&lt;"&amp;ReportFrom))-(SUMIFS('Partner Transactions'!$D$5:$D$2005,'Partner Transactions'!$M$5:$M$2005,$A9,'Partner Transactions'!$A$5:$A$2005,"&lt;"&amp;ReportFrom)))</f>
        <v/>
      </c>
      <c r="AE9" s="25">
        <f>IF($A9="",0,SUMIFS('Partner Transactions'!$D$5:$D$2005,'Partner Transactions'!$L$5:$L$2005,$A9,'Partner Transactions'!$A$5:$A$2005,"&gt;="&amp;ReportFrom,'Partner Transactions'!$A$5:$A$2005,"&lt;="&amp;ReportTo))</f>
        <v/>
      </c>
      <c r="AF9" s="25">
        <f>IF($A9="",0,SUMIFS('Partner Transactions'!$D$5:$D$2005,'Partner Transactions'!$M$5:$M$2005,$A9,'Partner Transactions'!$A$5:$A$2005,"&gt;="&amp;ReportFrom,'Partner Transactions'!$A$5:$A$2005,"&lt;="&amp;ReportTo))</f>
        <v/>
      </c>
      <c r="AG9" s="25">
        <f>IF($A9="",0,(SUMIFS('Stock Moves'!$S$5:$S$2005,'Stock Moves'!$AD$5:$AD$2005,$A9,'Stock Moves'!$A$5:$A$2005,"&lt;"&amp;ReportFrom)+SUMIFS('Stock Moves'!$T$5:$T$2005,'Stock Moves'!$V$5:$V$2005,$A9,'Stock Moves'!$A$5:$A$2005,"&lt;"&amp;ReportFrom))-(SUMIFS('Stock Moves'!$AF$5:$AF$2005,'Stock Moves'!$AE$5:$AE$2005,$A9,'Stock Moves'!$A$5:$A$2005,"&lt;"&amp;ReportFrom)+SUMIFS('Stock Moves'!$AC$5:$AC$2005,'Stock Moves'!$X$5:$X$2005,$A9,'Stock Moves'!$A$5:$A$2005,"&lt;"&amp;ReportFrom)+SUMIFS('Stock Moves'!$U$5:$U$2005,'Stock Moves'!$W$5:$W$2005,$A9,'Stock Moves'!$A$5:$A$2005,"&lt;"&amp;ReportFrom)))</f>
        <v/>
      </c>
      <c r="AH9" s="25">
        <f>IF($A9="",0,SUMIFS('Stock Moves'!$S$5:$S$2005,'Stock Moves'!$AD$5:$AD$2005,$A9,'Stock Moves'!$A$5:$A$2005,"&gt;="&amp;ReportFrom,'Stock Moves'!$A$5:$A$2005,"&lt;="&amp;ReportTo)+SUMIFS('Stock Moves'!$T$5:$T$2005,'Stock Moves'!$V$5:$V$2005,$A9,'Stock Moves'!$A$5:$A$2005,"&gt;="&amp;ReportFrom,'Stock Moves'!$A$5:$A$2005,"&lt;="&amp;ReportTo))</f>
        <v/>
      </c>
      <c r="AI9" s="25">
        <f>IF($A9="",0,SUMIFS('Stock Moves'!$AF$5:$AF$2005,'Stock Moves'!$AE$5:$AE$2005,$A9,'Stock Moves'!$A$5:$A$2005,"&gt;="&amp;ReportFrom,'Stock Moves'!$A$5:$A$2005,"&lt;="&amp;ReportTo)+SUMIFS('Stock Moves'!$AC$5:$AC$2005,'Stock Moves'!$X$5:$X$2005,$A9,'Stock Moves'!$A$5:$A$2005,"&gt;="&amp;ReportFrom,'Stock Moves'!$A$5:$A$2005,"&lt;="&amp;ReportTo)+SUMIFS('Stock Moves'!$U$5:$U$2005,'Stock Moves'!$W$5:$W$2005,$A9,'Stock Moves'!$A$5:$A$2005,"&gt;="&amp;ReportFrom,'Stock Moves'!$A$5:$A$2005,"&lt;="&amp;ReportTo))</f>
        <v/>
      </c>
      <c r="AJ9" s="25">
        <f>IF($A9="",0,(SUMIFS('Journal Vouchers'!$I$5:$I$2005,'Journal Vouchers'!$H$5:$H$2005,$A9,'Journal Vouchers'!$B$5:$B$2005,"&lt;"&amp;ReportFrom))-(SUMIFS('Journal Vouchers'!$J$5:$J$2005,'Journal Vouchers'!$H$5:$H$2005,$A9,'Journal Vouchers'!$B$5:$B$2005,"&lt;"&amp;ReportFrom)))</f>
        <v/>
      </c>
      <c r="AK9" s="25">
        <f>IF($A9="",0,SUMIFS('Journal Vouchers'!$I$5:$I$2005,'Journal Vouchers'!$H$5:$H$2005,$A9,'Journal Vouchers'!$B$5:$B$2005,"&gt;="&amp;ReportFrom,'Journal Vouchers'!$B$5:$B$2005,"&lt;="&amp;ReportTo))</f>
        <v/>
      </c>
      <c r="AL9" s="25">
        <f>IF($A9="",0,SUMIFS('Journal Vouchers'!$J$5:$J$2005,'Journal Vouchers'!$H$5:$H$2005,$A9,'Journal Vouchers'!$B$5:$B$2005,"&gt;="&amp;ReportFrom,'Journal Vouchers'!$B$5:$B$2005,"&lt;="&amp;ReportTo))</f>
        <v/>
      </c>
    </row>
    <row r="10">
      <c r="A10" s="25">
        <f>IF('Chart of Accounts'!A10="","",'Chart of Accounts'!A10&amp;"")</f>
        <v/>
      </c>
      <c r="B10" s="25">
        <f>IF(A10="","",'Chart of Accounts'!B10)</f>
        <v/>
      </c>
      <c r="C10" s="25">
        <f>IF(A10="","",'Chart of Accounts'!C10)</f>
        <v/>
      </c>
      <c r="D10" s="25">
        <f>IF(A10="","",'Chart of Accounts'!D10)</f>
        <v/>
      </c>
      <c r="E10" s="26">
        <f>L10+O10+R10+U10+X10+AA10+AD10+AG10+AJ10</f>
        <v/>
      </c>
      <c r="F10" s="26">
        <f>M10+P10+S10+V10+Y10+AB10+AE10+AH10+AK10</f>
        <v/>
      </c>
      <c r="G10" s="26">
        <f>N10+Q10+T10+W10+Z10+AC10+AF10+AI10+AL10</f>
        <v/>
      </c>
      <c r="H10" s="26">
        <f>E10+F10-G10</f>
        <v/>
      </c>
      <c r="I10" s="26">
        <f>MAX(H10,0)</f>
        <v/>
      </c>
      <c r="J10" s="26">
        <f>MAX(-H10,0)</f>
        <v/>
      </c>
      <c r="L10" s="25">
        <f>IF($A10="",0,(SUMIFS('Direct Costs'!$R$5:$R$2005,'Direct Costs'!$V$5:$V$2005,$A10,'Direct Costs'!$A$5:$A$2005,"&lt;"&amp;ReportFrom)+SUMIFS('Direct Costs'!$S$5:$S$2005,'Direct Costs'!$Y$5:$Y$2005,$A10,'Direct Costs'!$A$5:$A$2005,"&lt;"&amp;ReportFrom))-(SUMIFS('Direct Costs'!$L$5:$L$2005,'Direct Costs'!$W$5:$W$2005,$A10,'Direct Costs'!$A$5:$A$2005,"&lt;"&amp;ReportFrom)+SUMIFS('Direct Costs'!$U$5:$U$2005,'Direct Costs'!$X$5:$X$2005,$A10,'Direct Costs'!$A$5:$A$2005,"&lt;"&amp;ReportFrom)+SUMIFS('Direct Costs'!$T$5:$T$2005,'Direct Costs'!$Z$5:$Z$2005,$A10,'Direct Costs'!$A$5:$A$2005,"&lt;"&amp;ReportFrom)))</f>
        <v/>
      </c>
      <c r="M10" s="25">
        <f>IF($A10="",0,SUMIFS('Direct Costs'!$R$5:$R$2005,'Direct Costs'!$V$5:$V$2005,$A10,'Direct Costs'!$A$5:$A$2005,"&gt;="&amp;ReportFrom,'Direct Costs'!$A$5:$A$2005,"&lt;="&amp;ReportTo)+SUMIFS('Direct Costs'!$S$5:$S$2005,'Direct Costs'!$Y$5:$Y$2005,$A10,'Direct Costs'!$A$5:$A$2005,"&gt;="&amp;ReportFrom,'Direct Costs'!$A$5:$A$2005,"&lt;="&amp;ReportTo))</f>
        <v/>
      </c>
      <c r="N10" s="25">
        <f>IF($A10="",0,SUMIFS('Direct Costs'!$L$5:$L$2005,'Direct Costs'!$W$5:$W$2005,$A10,'Direct Costs'!$A$5:$A$2005,"&gt;="&amp;ReportFrom,'Direct Costs'!$A$5:$A$2005,"&lt;="&amp;ReportTo)+SUMIFS('Direct Costs'!$U$5:$U$2005,'Direct Costs'!$X$5:$X$2005,$A10,'Direct Costs'!$A$5:$A$2005,"&gt;="&amp;ReportFrom,'Direct Costs'!$A$5:$A$2005,"&lt;="&amp;ReportTo)+SUMIFS('Direct Costs'!$T$5:$T$2005,'Direct Costs'!$Z$5:$Z$2005,$A10,'Direct Costs'!$A$5:$A$2005,"&gt;="&amp;ReportFrom,'Direct Costs'!$A$5:$A$2005,"&lt;="&amp;ReportTo))</f>
        <v/>
      </c>
      <c r="O10" s="25">
        <f>IF($A10="",0,(SUMIFS('Operating Expenses'!$F$5:$F$2005,'Operating Expenses'!$Q$5:$Q$2005,$A10,'Operating Expenses'!$A$5:$A$2005,"&lt;"&amp;ReportFrom)+SUMIFS('Operating Expenses'!$M$5:$M$2005,'Operating Expenses'!$T$5:$T$2005,$A10,'Operating Expenses'!$A$5:$A$2005,"&lt;"&amp;ReportFrom))-(SUMIFS('Operating Expenses'!$O$5:$O$2005,'Operating Expenses'!$R$5:$R$2005,$A10,'Operating Expenses'!$A$5:$A$2005,"&lt;"&amp;ReportFrom)+SUMIFS('Operating Expenses'!$P$5:$P$2005,'Operating Expenses'!$S$5:$S$2005,$A10,'Operating Expenses'!$A$5:$A$2005,"&lt;"&amp;ReportFrom)+SUMIFS('Operating Expenses'!$N$5:$N$2005,'Operating Expenses'!$U$5:$U$2005,$A10,'Operating Expenses'!$A$5:$A$2005,"&lt;"&amp;ReportFrom)))</f>
        <v/>
      </c>
      <c r="P10" s="25">
        <f>IF($A10="",0,SUMIFS('Operating Expenses'!$F$5:$F$2005,'Operating Expenses'!$Q$5:$Q$2005,$A10,'Operating Expenses'!$A$5:$A$2005,"&gt;="&amp;ReportFrom,'Operating Expenses'!$A$5:$A$2005,"&lt;="&amp;ReportTo)+SUMIFS('Operating Expenses'!$M$5:$M$2005,'Operating Expenses'!$T$5:$T$2005,$A10,'Operating Expenses'!$A$5:$A$2005,"&gt;="&amp;ReportFrom,'Operating Expenses'!$A$5:$A$2005,"&lt;="&amp;ReportTo))</f>
        <v/>
      </c>
      <c r="Q10" s="25">
        <f>IF($A10="",0,SUMIFS('Operating Expenses'!$O$5:$O$2005,'Operating Expenses'!$R$5:$R$2005,$A10,'Operating Expenses'!$A$5:$A$2005,"&gt;="&amp;ReportFrom,'Operating Expenses'!$A$5:$A$2005,"&lt;="&amp;ReportTo)+SUMIFS('Operating Expenses'!$P$5:$P$2005,'Operating Expenses'!$S$5:$S$2005,$A10,'Operating Expenses'!$A$5:$A$2005,"&gt;="&amp;ReportFrom,'Operating Expenses'!$A$5:$A$2005,"&lt;="&amp;ReportTo)+SUMIFS('Operating Expenses'!$N$5:$N$2005,'Operating Expenses'!$U$5:$U$2005,$A10,'Operating Expenses'!$A$5:$A$2005,"&gt;="&amp;ReportFrom,'Operating Expenses'!$A$5:$A$2005,"&lt;="&amp;ReportTo))</f>
        <v/>
      </c>
      <c r="R10" s="25">
        <f>IF($A10="",0,(SUMIFS('Payroll'!$O$5:$O$2005,'Payroll'!$Q$5:$Q$2005,$A10,'Payroll'!$A$5:$A$2005,"&lt;"&amp;ReportFrom))-(SUMIFS('Payroll'!$K$5:$K$2005,'Payroll'!$R$5:$R$2005,$A10,'Payroll'!$A$5:$A$2005,"&lt;"&amp;ReportFrom)+SUMIFS('Payroll'!$P$5:$P$2005,'Payroll'!$S$5:$S$2005,$A10,'Payroll'!$A$5:$A$2005,"&lt;"&amp;ReportFrom)))</f>
        <v/>
      </c>
      <c r="S10" s="25">
        <f>IF($A10="",0,SUMIFS('Payroll'!$O$5:$O$2005,'Payroll'!$Q$5:$Q$2005,$A10,'Payroll'!$A$5:$A$2005,"&gt;="&amp;ReportFrom,'Payroll'!$A$5:$A$2005,"&lt;="&amp;ReportTo))</f>
        <v/>
      </c>
      <c r="T10" s="25">
        <f>IF($A10="",0,SUMIFS('Payroll'!$K$5:$K$2005,'Payroll'!$R$5:$R$2005,$A10,'Payroll'!$A$5:$A$2005,"&gt;="&amp;ReportFrom,'Payroll'!$A$5:$A$2005,"&lt;="&amp;ReportTo)+SUMIFS('Payroll'!$P$5:$P$2005,'Payroll'!$S$5:$S$2005,$A10,'Payroll'!$A$5:$A$2005,"&gt;="&amp;ReportFrom,'Payroll'!$A$5:$A$2005,"&lt;="&amp;ReportTo))</f>
        <v/>
      </c>
      <c r="U10" s="25">
        <f>IF($A10="",0,(SUMIFS('Receipt Vouchers'!$F$5:$F$2005,'Receipt Vouchers'!$O$5:$O$2005,$A10,'Receipt Vouchers'!$A$5:$A$2005,"&lt;"&amp;ReportFrom)+SUMIFS('Receipt Vouchers'!$J$5:$J$2005,'Receipt Vouchers'!$Q$5:$Q$2005,$A10,'Receipt Vouchers'!$A$5:$A$2005,"&lt;"&amp;ReportFrom))-(SUMIFS('Receipt Vouchers'!$N$5:$N$2005,'Receipt Vouchers'!$P$5:$P$2005,$A10,'Receipt Vouchers'!$A$5:$A$2005,"&lt;"&amp;ReportFrom)+SUMIFS('Receipt Vouchers'!$M$5:$M$2005,'Receipt Vouchers'!$R$5:$R$2005,$A10,'Receipt Vouchers'!$A$5:$A$2005,"&lt;"&amp;ReportFrom)))</f>
        <v/>
      </c>
      <c r="V10" s="25">
        <f>IF($A10="",0,SUMIFS('Receipt Vouchers'!$F$5:$F$2005,'Receipt Vouchers'!$O$5:$O$2005,$A10,'Receipt Vouchers'!$A$5:$A$2005,"&gt;="&amp;ReportFrom,'Receipt Vouchers'!$A$5:$A$2005,"&lt;="&amp;ReportTo)+SUMIFS('Receipt Vouchers'!$J$5:$J$2005,'Receipt Vouchers'!$Q$5:$Q$2005,$A10,'Receipt Vouchers'!$A$5:$A$2005,"&gt;="&amp;ReportFrom,'Receipt Vouchers'!$A$5:$A$2005,"&lt;="&amp;ReportTo))</f>
        <v/>
      </c>
      <c r="W10" s="25">
        <f>IF($A10="",0,SUMIFS('Receipt Vouchers'!$N$5:$N$2005,'Receipt Vouchers'!$P$5:$P$2005,$A10,'Receipt Vouchers'!$A$5:$A$2005,"&gt;="&amp;ReportFrom,'Receipt Vouchers'!$A$5:$A$2005,"&lt;="&amp;ReportTo)+SUMIFS('Receipt Vouchers'!$M$5:$M$2005,'Receipt Vouchers'!$R$5:$R$2005,$A10,'Receipt Vouchers'!$A$5:$A$2005,"&gt;="&amp;ReportFrom,'Receipt Vouchers'!$A$5:$A$2005,"&lt;="&amp;ReportTo))</f>
        <v/>
      </c>
      <c r="X10" s="25">
        <f>IF($A10="",0,(SUMIFS('Sales Invoices'!$O$5:$O$2005,'Sales Invoices'!$P$5:$P$2005,$A10,'Sales Invoices'!$B$5:$B$2005,"&lt;"&amp;ReportFrom)+SUMIFS('Sales Invoices'!$N$5:$N$2005,'Sales Invoices'!$R$5:$R$2005,$A10,'Sales Invoices'!$B$5:$B$2005,"&lt;"&amp;ReportFrom))-(SUMIFS('Sales Invoices'!$L$5:$L$2005,'Sales Invoices'!$Q$5:$Q$2005,$A10,'Sales Invoices'!$B$5:$B$2005,"&lt;"&amp;ReportFrom)+SUMIFS('Sales Invoices'!$M$5:$M$2005,'Sales Invoices'!$S$5:$S$2005,$A10,'Sales Invoices'!$B$5:$B$2005,"&lt;"&amp;ReportFrom)))</f>
        <v/>
      </c>
      <c r="Y10" s="25">
        <f>IF($A10="",0,SUMIFS('Sales Invoices'!$O$5:$O$2005,'Sales Invoices'!$P$5:$P$2005,$A10,'Sales Invoices'!$B$5:$B$2005,"&gt;="&amp;ReportFrom,'Sales Invoices'!$B$5:$B$2005,"&lt;="&amp;ReportTo)+SUMIFS('Sales Invoices'!$N$5:$N$2005,'Sales Invoices'!$R$5:$R$2005,$A10,'Sales Invoices'!$B$5:$B$2005,"&gt;="&amp;ReportFrom,'Sales Invoices'!$B$5:$B$2005,"&lt;="&amp;ReportTo))</f>
        <v/>
      </c>
      <c r="Z10" s="25">
        <f>IF($A10="",0,SUMIFS('Sales Invoices'!$L$5:$L$2005,'Sales Invoices'!$Q$5:$Q$2005,$A10,'Sales Invoices'!$B$5:$B$2005,"&gt;="&amp;ReportFrom,'Sales Invoices'!$B$5:$B$2005,"&lt;="&amp;ReportTo)+SUMIFS('Sales Invoices'!$M$5:$M$2005,'Sales Invoices'!$S$5:$S$2005,$A10,'Sales Invoices'!$B$5:$B$2005,"&gt;="&amp;ReportFrom,'Sales Invoices'!$B$5:$B$2005,"&lt;="&amp;ReportTo))</f>
        <v/>
      </c>
      <c r="AA10" s="25">
        <f>IF($A10="",0,(SUMIFS('Payment Vouchers'!$D$5:$D$2005,'Payment Vouchers'!$J$5:$J$2005,$A10,'Payment Vouchers'!$A$5:$A$2005,"&lt;"&amp;ReportFrom))-(SUMIFS('Payment Vouchers'!$D$5:$D$2005,'Payment Vouchers'!$K$5:$K$2005,$A10,'Payment Vouchers'!$A$5:$A$2005,"&lt;"&amp;ReportFrom)))</f>
        <v/>
      </c>
      <c r="AB10" s="25">
        <f>IF($A10="",0,SUMIFS('Payment Vouchers'!$D$5:$D$2005,'Payment Vouchers'!$J$5:$J$2005,$A10,'Payment Vouchers'!$A$5:$A$2005,"&gt;="&amp;ReportFrom,'Payment Vouchers'!$A$5:$A$2005,"&lt;="&amp;ReportTo))</f>
        <v/>
      </c>
      <c r="AC10" s="25">
        <f>IF($A10="",0,SUMIFS('Payment Vouchers'!$D$5:$D$2005,'Payment Vouchers'!$K$5:$K$2005,$A10,'Payment Vouchers'!$A$5:$A$2005,"&gt;="&amp;ReportFrom,'Payment Vouchers'!$A$5:$A$2005,"&lt;="&amp;ReportTo))</f>
        <v/>
      </c>
      <c r="AD10" s="25">
        <f>IF($A10="",0,(SUMIFS('Partner Transactions'!$D$5:$D$2005,'Partner Transactions'!$L$5:$L$2005,$A10,'Partner Transactions'!$A$5:$A$2005,"&lt;"&amp;ReportFrom))-(SUMIFS('Partner Transactions'!$D$5:$D$2005,'Partner Transactions'!$M$5:$M$2005,$A10,'Partner Transactions'!$A$5:$A$2005,"&lt;"&amp;ReportFrom)))</f>
        <v/>
      </c>
      <c r="AE10" s="25">
        <f>IF($A10="",0,SUMIFS('Partner Transactions'!$D$5:$D$2005,'Partner Transactions'!$L$5:$L$2005,$A10,'Partner Transactions'!$A$5:$A$2005,"&gt;="&amp;ReportFrom,'Partner Transactions'!$A$5:$A$2005,"&lt;="&amp;ReportTo))</f>
        <v/>
      </c>
      <c r="AF10" s="25">
        <f>IF($A10="",0,SUMIFS('Partner Transactions'!$D$5:$D$2005,'Partner Transactions'!$M$5:$M$2005,$A10,'Partner Transactions'!$A$5:$A$2005,"&gt;="&amp;ReportFrom,'Partner Transactions'!$A$5:$A$2005,"&lt;="&amp;ReportTo))</f>
        <v/>
      </c>
      <c r="AG10" s="25">
        <f>IF($A10="",0,(SUMIFS('Stock Moves'!$S$5:$S$2005,'Stock Moves'!$AD$5:$AD$2005,$A10,'Stock Moves'!$A$5:$A$2005,"&lt;"&amp;ReportFrom)+SUMIFS('Stock Moves'!$T$5:$T$2005,'Stock Moves'!$V$5:$V$2005,$A10,'Stock Moves'!$A$5:$A$2005,"&lt;"&amp;ReportFrom))-(SUMIFS('Stock Moves'!$AF$5:$AF$2005,'Stock Moves'!$AE$5:$AE$2005,$A10,'Stock Moves'!$A$5:$A$2005,"&lt;"&amp;ReportFrom)+SUMIFS('Stock Moves'!$AC$5:$AC$2005,'Stock Moves'!$X$5:$X$2005,$A10,'Stock Moves'!$A$5:$A$2005,"&lt;"&amp;ReportFrom)+SUMIFS('Stock Moves'!$U$5:$U$2005,'Stock Moves'!$W$5:$W$2005,$A10,'Stock Moves'!$A$5:$A$2005,"&lt;"&amp;ReportFrom)))</f>
        <v/>
      </c>
      <c r="AH10" s="25">
        <f>IF($A10="",0,SUMIFS('Stock Moves'!$S$5:$S$2005,'Stock Moves'!$AD$5:$AD$2005,$A10,'Stock Moves'!$A$5:$A$2005,"&gt;="&amp;ReportFrom,'Stock Moves'!$A$5:$A$2005,"&lt;="&amp;ReportTo)+SUMIFS('Stock Moves'!$T$5:$T$2005,'Stock Moves'!$V$5:$V$2005,$A10,'Stock Moves'!$A$5:$A$2005,"&gt;="&amp;ReportFrom,'Stock Moves'!$A$5:$A$2005,"&lt;="&amp;ReportTo))</f>
        <v/>
      </c>
      <c r="AI10" s="25">
        <f>IF($A10="",0,SUMIFS('Stock Moves'!$AF$5:$AF$2005,'Stock Moves'!$AE$5:$AE$2005,$A10,'Stock Moves'!$A$5:$A$2005,"&gt;="&amp;ReportFrom,'Stock Moves'!$A$5:$A$2005,"&lt;="&amp;ReportTo)+SUMIFS('Stock Moves'!$AC$5:$AC$2005,'Stock Moves'!$X$5:$X$2005,$A10,'Stock Moves'!$A$5:$A$2005,"&gt;="&amp;ReportFrom,'Stock Moves'!$A$5:$A$2005,"&lt;="&amp;ReportTo)+SUMIFS('Stock Moves'!$U$5:$U$2005,'Stock Moves'!$W$5:$W$2005,$A10,'Stock Moves'!$A$5:$A$2005,"&gt;="&amp;ReportFrom,'Stock Moves'!$A$5:$A$2005,"&lt;="&amp;ReportTo))</f>
        <v/>
      </c>
      <c r="AJ10" s="25">
        <f>IF($A10="",0,(SUMIFS('Journal Vouchers'!$I$5:$I$2005,'Journal Vouchers'!$H$5:$H$2005,$A10,'Journal Vouchers'!$B$5:$B$2005,"&lt;"&amp;ReportFrom))-(SUMIFS('Journal Vouchers'!$J$5:$J$2005,'Journal Vouchers'!$H$5:$H$2005,$A10,'Journal Vouchers'!$B$5:$B$2005,"&lt;"&amp;ReportFrom)))</f>
        <v/>
      </c>
      <c r="AK10" s="25">
        <f>IF($A10="",0,SUMIFS('Journal Vouchers'!$I$5:$I$2005,'Journal Vouchers'!$H$5:$H$2005,$A10,'Journal Vouchers'!$B$5:$B$2005,"&gt;="&amp;ReportFrom,'Journal Vouchers'!$B$5:$B$2005,"&lt;="&amp;ReportTo))</f>
        <v/>
      </c>
      <c r="AL10" s="25">
        <f>IF($A10="",0,SUMIFS('Journal Vouchers'!$J$5:$J$2005,'Journal Vouchers'!$H$5:$H$2005,$A10,'Journal Vouchers'!$B$5:$B$2005,"&gt;="&amp;ReportFrom,'Journal Vouchers'!$B$5:$B$2005,"&lt;="&amp;ReportTo))</f>
        <v/>
      </c>
    </row>
    <row r="11">
      <c r="A11" s="25">
        <f>IF('Chart of Accounts'!A11="","",'Chart of Accounts'!A11&amp;"")</f>
        <v/>
      </c>
      <c r="B11" s="25">
        <f>IF(A11="","",'Chart of Accounts'!B11)</f>
        <v/>
      </c>
      <c r="C11" s="25">
        <f>IF(A11="","",'Chart of Accounts'!C11)</f>
        <v/>
      </c>
      <c r="D11" s="25">
        <f>IF(A11="","",'Chart of Accounts'!D11)</f>
        <v/>
      </c>
      <c r="E11" s="26">
        <f>L11+O11+R11+U11+X11+AA11+AD11+AG11+AJ11</f>
        <v/>
      </c>
      <c r="F11" s="26">
        <f>M11+P11+S11+V11+Y11+AB11+AE11+AH11+AK11</f>
        <v/>
      </c>
      <c r="G11" s="26">
        <f>N11+Q11+T11+W11+Z11+AC11+AF11+AI11+AL11</f>
        <v/>
      </c>
      <c r="H11" s="26">
        <f>E11+F11-G11</f>
        <v/>
      </c>
      <c r="I11" s="26">
        <f>MAX(H11,0)</f>
        <v/>
      </c>
      <c r="J11" s="26">
        <f>MAX(-H11,0)</f>
        <v/>
      </c>
      <c r="L11" s="25">
        <f>IF($A11="",0,(SUMIFS('Direct Costs'!$R$5:$R$2005,'Direct Costs'!$V$5:$V$2005,$A11,'Direct Costs'!$A$5:$A$2005,"&lt;"&amp;ReportFrom)+SUMIFS('Direct Costs'!$S$5:$S$2005,'Direct Costs'!$Y$5:$Y$2005,$A11,'Direct Costs'!$A$5:$A$2005,"&lt;"&amp;ReportFrom))-(SUMIFS('Direct Costs'!$L$5:$L$2005,'Direct Costs'!$W$5:$W$2005,$A11,'Direct Costs'!$A$5:$A$2005,"&lt;"&amp;ReportFrom)+SUMIFS('Direct Costs'!$U$5:$U$2005,'Direct Costs'!$X$5:$X$2005,$A11,'Direct Costs'!$A$5:$A$2005,"&lt;"&amp;ReportFrom)+SUMIFS('Direct Costs'!$T$5:$T$2005,'Direct Costs'!$Z$5:$Z$2005,$A11,'Direct Costs'!$A$5:$A$2005,"&lt;"&amp;ReportFrom)))</f>
        <v/>
      </c>
      <c r="M11" s="25">
        <f>IF($A11="",0,SUMIFS('Direct Costs'!$R$5:$R$2005,'Direct Costs'!$V$5:$V$2005,$A11,'Direct Costs'!$A$5:$A$2005,"&gt;="&amp;ReportFrom,'Direct Costs'!$A$5:$A$2005,"&lt;="&amp;ReportTo)+SUMIFS('Direct Costs'!$S$5:$S$2005,'Direct Costs'!$Y$5:$Y$2005,$A11,'Direct Costs'!$A$5:$A$2005,"&gt;="&amp;ReportFrom,'Direct Costs'!$A$5:$A$2005,"&lt;="&amp;ReportTo))</f>
        <v/>
      </c>
      <c r="N11" s="25">
        <f>IF($A11="",0,SUMIFS('Direct Costs'!$L$5:$L$2005,'Direct Costs'!$W$5:$W$2005,$A11,'Direct Costs'!$A$5:$A$2005,"&gt;="&amp;ReportFrom,'Direct Costs'!$A$5:$A$2005,"&lt;="&amp;ReportTo)+SUMIFS('Direct Costs'!$U$5:$U$2005,'Direct Costs'!$X$5:$X$2005,$A11,'Direct Costs'!$A$5:$A$2005,"&gt;="&amp;ReportFrom,'Direct Costs'!$A$5:$A$2005,"&lt;="&amp;ReportTo)+SUMIFS('Direct Costs'!$T$5:$T$2005,'Direct Costs'!$Z$5:$Z$2005,$A11,'Direct Costs'!$A$5:$A$2005,"&gt;="&amp;ReportFrom,'Direct Costs'!$A$5:$A$2005,"&lt;="&amp;ReportTo))</f>
        <v/>
      </c>
      <c r="O11" s="25">
        <f>IF($A11="",0,(SUMIFS('Operating Expenses'!$F$5:$F$2005,'Operating Expenses'!$Q$5:$Q$2005,$A11,'Operating Expenses'!$A$5:$A$2005,"&lt;"&amp;ReportFrom)+SUMIFS('Operating Expenses'!$M$5:$M$2005,'Operating Expenses'!$T$5:$T$2005,$A11,'Operating Expenses'!$A$5:$A$2005,"&lt;"&amp;ReportFrom))-(SUMIFS('Operating Expenses'!$O$5:$O$2005,'Operating Expenses'!$R$5:$R$2005,$A11,'Operating Expenses'!$A$5:$A$2005,"&lt;"&amp;ReportFrom)+SUMIFS('Operating Expenses'!$P$5:$P$2005,'Operating Expenses'!$S$5:$S$2005,$A11,'Operating Expenses'!$A$5:$A$2005,"&lt;"&amp;ReportFrom)+SUMIFS('Operating Expenses'!$N$5:$N$2005,'Operating Expenses'!$U$5:$U$2005,$A11,'Operating Expenses'!$A$5:$A$2005,"&lt;"&amp;ReportFrom)))</f>
        <v/>
      </c>
      <c r="P11" s="25">
        <f>IF($A11="",0,SUMIFS('Operating Expenses'!$F$5:$F$2005,'Operating Expenses'!$Q$5:$Q$2005,$A11,'Operating Expenses'!$A$5:$A$2005,"&gt;="&amp;ReportFrom,'Operating Expenses'!$A$5:$A$2005,"&lt;="&amp;ReportTo)+SUMIFS('Operating Expenses'!$M$5:$M$2005,'Operating Expenses'!$T$5:$T$2005,$A11,'Operating Expenses'!$A$5:$A$2005,"&gt;="&amp;ReportFrom,'Operating Expenses'!$A$5:$A$2005,"&lt;="&amp;ReportTo))</f>
        <v/>
      </c>
      <c r="Q11" s="25">
        <f>IF($A11="",0,SUMIFS('Operating Expenses'!$O$5:$O$2005,'Operating Expenses'!$R$5:$R$2005,$A11,'Operating Expenses'!$A$5:$A$2005,"&gt;="&amp;ReportFrom,'Operating Expenses'!$A$5:$A$2005,"&lt;="&amp;ReportTo)+SUMIFS('Operating Expenses'!$P$5:$P$2005,'Operating Expenses'!$S$5:$S$2005,$A11,'Operating Expenses'!$A$5:$A$2005,"&gt;="&amp;ReportFrom,'Operating Expenses'!$A$5:$A$2005,"&lt;="&amp;ReportTo)+SUMIFS('Operating Expenses'!$N$5:$N$2005,'Operating Expenses'!$U$5:$U$2005,$A11,'Operating Expenses'!$A$5:$A$2005,"&gt;="&amp;ReportFrom,'Operating Expenses'!$A$5:$A$2005,"&lt;="&amp;ReportTo))</f>
        <v/>
      </c>
      <c r="R11" s="25">
        <f>IF($A11="",0,(SUMIFS('Payroll'!$O$5:$O$2005,'Payroll'!$Q$5:$Q$2005,$A11,'Payroll'!$A$5:$A$2005,"&lt;"&amp;ReportFrom))-(SUMIFS('Payroll'!$K$5:$K$2005,'Payroll'!$R$5:$R$2005,$A11,'Payroll'!$A$5:$A$2005,"&lt;"&amp;ReportFrom)+SUMIFS('Payroll'!$P$5:$P$2005,'Payroll'!$S$5:$S$2005,$A11,'Payroll'!$A$5:$A$2005,"&lt;"&amp;ReportFrom)))</f>
        <v/>
      </c>
      <c r="S11" s="25">
        <f>IF($A11="",0,SUMIFS('Payroll'!$O$5:$O$2005,'Payroll'!$Q$5:$Q$2005,$A11,'Payroll'!$A$5:$A$2005,"&gt;="&amp;ReportFrom,'Payroll'!$A$5:$A$2005,"&lt;="&amp;ReportTo))</f>
        <v/>
      </c>
      <c r="T11" s="25">
        <f>IF($A11="",0,SUMIFS('Payroll'!$K$5:$K$2005,'Payroll'!$R$5:$R$2005,$A11,'Payroll'!$A$5:$A$2005,"&gt;="&amp;ReportFrom,'Payroll'!$A$5:$A$2005,"&lt;="&amp;ReportTo)+SUMIFS('Payroll'!$P$5:$P$2005,'Payroll'!$S$5:$S$2005,$A11,'Payroll'!$A$5:$A$2005,"&gt;="&amp;ReportFrom,'Payroll'!$A$5:$A$2005,"&lt;="&amp;ReportTo))</f>
        <v/>
      </c>
      <c r="U11" s="25">
        <f>IF($A11="",0,(SUMIFS('Receipt Vouchers'!$F$5:$F$2005,'Receipt Vouchers'!$O$5:$O$2005,$A11,'Receipt Vouchers'!$A$5:$A$2005,"&lt;"&amp;ReportFrom)+SUMIFS('Receipt Vouchers'!$J$5:$J$2005,'Receipt Vouchers'!$Q$5:$Q$2005,$A11,'Receipt Vouchers'!$A$5:$A$2005,"&lt;"&amp;ReportFrom))-(SUMIFS('Receipt Vouchers'!$N$5:$N$2005,'Receipt Vouchers'!$P$5:$P$2005,$A11,'Receipt Vouchers'!$A$5:$A$2005,"&lt;"&amp;ReportFrom)+SUMIFS('Receipt Vouchers'!$M$5:$M$2005,'Receipt Vouchers'!$R$5:$R$2005,$A11,'Receipt Vouchers'!$A$5:$A$2005,"&lt;"&amp;ReportFrom)))</f>
        <v/>
      </c>
      <c r="V11" s="25">
        <f>IF($A11="",0,SUMIFS('Receipt Vouchers'!$F$5:$F$2005,'Receipt Vouchers'!$O$5:$O$2005,$A11,'Receipt Vouchers'!$A$5:$A$2005,"&gt;="&amp;ReportFrom,'Receipt Vouchers'!$A$5:$A$2005,"&lt;="&amp;ReportTo)+SUMIFS('Receipt Vouchers'!$J$5:$J$2005,'Receipt Vouchers'!$Q$5:$Q$2005,$A11,'Receipt Vouchers'!$A$5:$A$2005,"&gt;="&amp;ReportFrom,'Receipt Vouchers'!$A$5:$A$2005,"&lt;="&amp;ReportTo))</f>
        <v/>
      </c>
      <c r="W11" s="25">
        <f>IF($A11="",0,SUMIFS('Receipt Vouchers'!$N$5:$N$2005,'Receipt Vouchers'!$P$5:$P$2005,$A11,'Receipt Vouchers'!$A$5:$A$2005,"&gt;="&amp;ReportFrom,'Receipt Vouchers'!$A$5:$A$2005,"&lt;="&amp;ReportTo)+SUMIFS('Receipt Vouchers'!$M$5:$M$2005,'Receipt Vouchers'!$R$5:$R$2005,$A11,'Receipt Vouchers'!$A$5:$A$2005,"&gt;="&amp;ReportFrom,'Receipt Vouchers'!$A$5:$A$2005,"&lt;="&amp;ReportTo))</f>
        <v/>
      </c>
      <c r="X11" s="25">
        <f>IF($A11="",0,(SUMIFS('Sales Invoices'!$O$5:$O$2005,'Sales Invoices'!$P$5:$P$2005,$A11,'Sales Invoices'!$B$5:$B$2005,"&lt;"&amp;ReportFrom)+SUMIFS('Sales Invoices'!$N$5:$N$2005,'Sales Invoices'!$R$5:$R$2005,$A11,'Sales Invoices'!$B$5:$B$2005,"&lt;"&amp;ReportFrom))-(SUMIFS('Sales Invoices'!$L$5:$L$2005,'Sales Invoices'!$Q$5:$Q$2005,$A11,'Sales Invoices'!$B$5:$B$2005,"&lt;"&amp;ReportFrom)+SUMIFS('Sales Invoices'!$M$5:$M$2005,'Sales Invoices'!$S$5:$S$2005,$A11,'Sales Invoices'!$B$5:$B$2005,"&lt;"&amp;ReportFrom)))</f>
        <v/>
      </c>
      <c r="Y11" s="25">
        <f>IF($A11="",0,SUMIFS('Sales Invoices'!$O$5:$O$2005,'Sales Invoices'!$P$5:$P$2005,$A11,'Sales Invoices'!$B$5:$B$2005,"&gt;="&amp;ReportFrom,'Sales Invoices'!$B$5:$B$2005,"&lt;="&amp;ReportTo)+SUMIFS('Sales Invoices'!$N$5:$N$2005,'Sales Invoices'!$R$5:$R$2005,$A11,'Sales Invoices'!$B$5:$B$2005,"&gt;="&amp;ReportFrom,'Sales Invoices'!$B$5:$B$2005,"&lt;="&amp;ReportTo))</f>
        <v/>
      </c>
      <c r="Z11" s="25">
        <f>IF($A11="",0,SUMIFS('Sales Invoices'!$L$5:$L$2005,'Sales Invoices'!$Q$5:$Q$2005,$A11,'Sales Invoices'!$B$5:$B$2005,"&gt;="&amp;ReportFrom,'Sales Invoices'!$B$5:$B$2005,"&lt;="&amp;ReportTo)+SUMIFS('Sales Invoices'!$M$5:$M$2005,'Sales Invoices'!$S$5:$S$2005,$A11,'Sales Invoices'!$B$5:$B$2005,"&gt;="&amp;ReportFrom,'Sales Invoices'!$B$5:$B$2005,"&lt;="&amp;ReportTo))</f>
        <v/>
      </c>
      <c r="AA11" s="25">
        <f>IF($A11="",0,(SUMIFS('Payment Vouchers'!$D$5:$D$2005,'Payment Vouchers'!$J$5:$J$2005,$A11,'Payment Vouchers'!$A$5:$A$2005,"&lt;"&amp;ReportFrom))-(SUMIFS('Payment Vouchers'!$D$5:$D$2005,'Payment Vouchers'!$K$5:$K$2005,$A11,'Payment Vouchers'!$A$5:$A$2005,"&lt;"&amp;ReportFrom)))</f>
        <v/>
      </c>
      <c r="AB11" s="25">
        <f>IF($A11="",0,SUMIFS('Payment Vouchers'!$D$5:$D$2005,'Payment Vouchers'!$J$5:$J$2005,$A11,'Payment Vouchers'!$A$5:$A$2005,"&gt;="&amp;ReportFrom,'Payment Vouchers'!$A$5:$A$2005,"&lt;="&amp;ReportTo))</f>
        <v/>
      </c>
      <c r="AC11" s="25">
        <f>IF($A11="",0,SUMIFS('Payment Vouchers'!$D$5:$D$2005,'Payment Vouchers'!$K$5:$K$2005,$A11,'Payment Vouchers'!$A$5:$A$2005,"&gt;="&amp;ReportFrom,'Payment Vouchers'!$A$5:$A$2005,"&lt;="&amp;ReportTo))</f>
        <v/>
      </c>
      <c r="AD11" s="25">
        <f>IF($A11="",0,(SUMIFS('Partner Transactions'!$D$5:$D$2005,'Partner Transactions'!$L$5:$L$2005,$A11,'Partner Transactions'!$A$5:$A$2005,"&lt;"&amp;ReportFrom))-(SUMIFS('Partner Transactions'!$D$5:$D$2005,'Partner Transactions'!$M$5:$M$2005,$A11,'Partner Transactions'!$A$5:$A$2005,"&lt;"&amp;ReportFrom)))</f>
        <v/>
      </c>
      <c r="AE11" s="25">
        <f>IF($A11="",0,SUMIFS('Partner Transactions'!$D$5:$D$2005,'Partner Transactions'!$L$5:$L$2005,$A11,'Partner Transactions'!$A$5:$A$2005,"&gt;="&amp;ReportFrom,'Partner Transactions'!$A$5:$A$2005,"&lt;="&amp;ReportTo))</f>
        <v/>
      </c>
      <c r="AF11" s="25">
        <f>IF($A11="",0,SUMIFS('Partner Transactions'!$D$5:$D$2005,'Partner Transactions'!$M$5:$M$2005,$A11,'Partner Transactions'!$A$5:$A$2005,"&gt;="&amp;ReportFrom,'Partner Transactions'!$A$5:$A$2005,"&lt;="&amp;ReportTo))</f>
        <v/>
      </c>
      <c r="AG11" s="25">
        <f>IF($A11="",0,(SUMIFS('Stock Moves'!$S$5:$S$2005,'Stock Moves'!$AD$5:$AD$2005,$A11,'Stock Moves'!$A$5:$A$2005,"&lt;"&amp;ReportFrom)+SUMIFS('Stock Moves'!$T$5:$T$2005,'Stock Moves'!$V$5:$V$2005,$A11,'Stock Moves'!$A$5:$A$2005,"&lt;"&amp;ReportFrom))-(SUMIFS('Stock Moves'!$AF$5:$AF$2005,'Stock Moves'!$AE$5:$AE$2005,$A11,'Stock Moves'!$A$5:$A$2005,"&lt;"&amp;ReportFrom)+SUMIFS('Stock Moves'!$AC$5:$AC$2005,'Stock Moves'!$X$5:$X$2005,$A11,'Stock Moves'!$A$5:$A$2005,"&lt;"&amp;ReportFrom)+SUMIFS('Stock Moves'!$U$5:$U$2005,'Stock Moves'!$W$5:$W$2005,$A11,'Stock Moves'!$A$5:$A$2005,"&lt;"&amp;ReportFrom)))</f>
        <v/>
      </c>
      <c r="AH11" s="25">
        <f>IF($A11="",0,SUMIFS('Stock Moves'!$S$5:$S$2005,'Stock Moves'!$AD$5:$AD$2005,$A11,'Stock Moves'!$A$5:$A$2005,"&gt;="&amp;ReportFrom,'Stock Moves'!$A$5:$A$2005,"&lt;="&amp;ReportTo)+SUMIFS('Stock Moves'!$T$5:$T$2005,'Stock Moves'!$V$5:$V$2005,$A11,'Stock Moves'!$A$5:$A$2005,"&gt;="&amp;ReportFrom,'Stock Moves'!$A$5:$A$2005,"&lt;="&amp;ReportTo))</f>
        <v/>
      </c>
      <c r="AI11" s="25">
        <f>IF($A11="",0,SUMIFS('Stock Moves'!$AF$5:$AF$2005,'Stock Moves'!$AE$5:$AE$2005,$A11,'Stock Moves'!$A$5:$A$2005,"&gt;="&amp;ReportFrom,'Stock Moves'!$A$5:$A$2005,"&lt;="&amp;ReportTo)+SUMIFS('Stock Moves'!$AC$5:$AC$2005,'Stock Moves'!$X$5:$X$2005,$A11,'Stock Moves'!$A$5:$A$2005,"&gt;="&amp;ReportFrom,'Stock Moves'!$A$5:$A$2005,"&lt;="&amp;ReportTo)+SUMIFS('Stock Moves'!$U$5:$U$2005,'Stock Moves'!$W$5:$W$2005,$A11,'Stock Moves'!$A$5:$A$2005,"&gt;="&amp;ReportFrom,'Stock Moves'!$A$5:$A$2005,"&lt;="&amp;ReportTo))</f>
        <v/>
      </c>
      <c r="AJ11" s="25">
        <f>IF($A11="",0,(SUMIFS('Journal Vouchers'!$I$5:$I$2005,'Journal Vouchers'!$H$5:$H$2005,$A11,'Journal Vouchers'!$B$5:$B$2005,"&lt;"&amp;ReportFrom))-(SUMIFS('Journal Vouchers'!$J$5:$J$2005,'Journal Vouchers'!$H$5:$H$2005,$A11,'Journal Vouchers'!$B$5:$B$2005,"&lt;"&amp;ReportFrom)))</f>
        <v/>
      </c>
      <c r="AK11" s="25">
        <f>IF($A11="",0,SUMIFS('Journal Vouchers'!$I$5:$I$2005,'Journal Vouchers'!$H$5:$H$2005,$A11,'Journal Vouchers'!$B$5:$B$2005,"&gt;="&amp;ReportFrom,'Journal Vouchers'!$B$5:$B$2005,"&lt;="&amp;ReportTo))</f>
        <v/>
      </c>
      <c r="AL11" s="25">
        <f>IF($A11="",0,SUMIFS('Journal Vouchers'!$J$5:$J$2005,'Journal Vouchers'!$H$5:$H$2005,$A11,'Journal Vouchers'!$B$5:$B$2005,"&gt;="&amp;ReportFrom,'Journal Vouchers'!$B$5:$B$2005,"&lt;="&amp;ReportTo))</f>
        <v/>
      </c>
    </row>
    <row r="12">
      <c r="A12" s="25">
        <f>IF('Chart of Accounts'!A12="","",'Chart of Accounts'!A12&amp;"")</f>
        <v/>
      </c>
      <c r="B12" s="25">
        <f>IF(A12="","",'Chart of Accounts'!B12)</f>
        <v/>
      </c>
      <c r="C12" s="25">
        <f>IF(A12="","",'Chart of Accounts'!C12)</f>
        <v/>
      </c>
      <c r="D12" s="25">
        <f>IF(A12="","",'Chart of Accounts'!D12)</f>
        <v/>
      </c>
      <c r="E12" s="26">
        <f>L12+O12+R12+U12+X12+AA12+AD12+AG12+AJ12</f>
        <v/>
      </c>
      <c r="F12" s="26">
        <f>M12+P12+S12+V12+Y12+AB12+AE12+AH12+AK12</f>
        <v/>
      </c>
      <c r="G12" s="26">
        <f>N12+Q12+T12+W12+Z12+AC12+AF12+AI12+AL12</f>
        <v/>
      </c>
      <c r="H12" s="26">
        <f>E12+F12-G12</f>
        <v/>
      </c>
      <c r="I12" s="26">
        <f>MAX(H12,0)</f>
        <v/>
      </c>
      <c r="J12" s="26">
        <f>MAX(-H12,0)</f>
        <v/>
      </c>
      <c r="L12" s="25">
        <f>IF($A12="",0,(SUMIFS('Direct Costs'!$R$5:$R$2005,'Direct Costs'!$V$5:$V$2005,$A12,'Direct Costs'!$A$5:$A$2005,"&lt;"&amp;ReportFrom)+SUMIFS('Direct Costs'!$S$5:$S$2005,'Direct Costs'!$Y$5:$Y$2005,$A12,'Direct Costs'!$A$5:$A$2005,"&lt;"&amp;ReportFrom))-(SUMIFS('Direct Costs'!$L$5:$L$2005,'Direct Costs'!$W$5:$W$2005,$A12,'Direct Costs'!$A$5:$A$2005,"&lt;"&amp;ReportFrom)+SUMIFS('Direct Costs'!$U$5:$U$2005,'Direct Costs'!$X$5:$X$2005,$A12,'Direct Costs'!$A$5:$A$2005,"&lt;"&amp;ReportFrom)+SUMIFS('Direct Costs'!$T$5:$T$2005,'Direct Costs'!$Z$5:$Z$2005,$A12,'Direct Costs'!$A$5:$A$2005,"&lt;"&amp;ReportFrom)))</f>
        <v/>
      </c>
      <c r="M12" s="25">
        <f>IF($A12="",0,SUMIFS('Direct Costs'!$R$5:$R$2005,'Direct Costs'!$V$5:$V$2005,$A12,'Direct Costs'!$A$5:$A$2005,"&gt;="&amp;ReportFrom,'Direct Costs'!$A$5:$A$2005,"&lt;="&amp;ReportTo)+SUMIFS('Direct Costs'!$S$5:$S$2005,'Direct Costs'!$Y$5:$Y$2005,$A12,'Direct Costs'!$A$5:$A$2005,"&gt;="&amp;ReportFrom,'Direct Costs'!$A$5:$A$2005,"&lt;="&amp;ReportTo))</f>
        <v/>
      </c>
      <c r="N12" s="25">
        <f>IF($A12="",0,SUMIFS('Direct Costs'!$L$5:$L$2005,'Direct Costs'!$W$5:$W$2005,$A12,'Direct Costs'!$A$5:$A$2005,"&gt;="&amp;ReportFrom,'Direct Costs'!$A$5:$A$2005,"&lt;="&amp;ReportTo)+SUMIFS('Direct Costs'!$U$5:$U$2005,'Direct Costs'!$X$5:$X$2005,$A12,'Direct Costs'!$A$5:$A$2005,"&gt;="&amp;ReportFrom,'Direct Costs'!$A$5:$A$2005,"&lt;="&amp;ReportTo)+SUMIFS('Direct Costs'!$T$5:$T$2005,'Direct Costs'!$Z$5:$Z$2005,$A12,'Direct Costs'!$A$5:$A$2005,"&gt;="&amp;ReportFrom,'Direct Costs'!$A$5:$A$2005,"&lt;="&amp;ReportTo))</f>
        <v/>
      </c>
      <c r="O12" s="25">
        <f>IF($A12="",0,(SUMIFS('Operating Expenses'!$F$5:$F$2005,'Operating Expenses'!$Q$5:$Q$2005,$A12,'Operating Expenses'!$A$5:$A$2005,"&lt;"&amp;ReportFrom)+SUMIFS('Operating Expenses'!$M$5:$M$2005,'Operating Expenses'!$T$5:$T$2005,$A12,'Operating Expenses'!$A$5:$A$2005,"&lt;"&amp;ReportFrom))-(SUMIFS('Operating Expenses'!$O$5:$O$2005,'Operating Expenses'!$R$5:$R$2005,$A12,'Operating Expenses'!$A$5:$A$2005,"&lt;"&amp;ReportFrom)+SUMIFS('Operating Expenses'!$P$5:$P$2005,'Operating Expenses'!$S$5:$S$2005,$A12,'Operating Expenses'!$A$5:$A$2005,"&lt;"&amp;ReportFrom)+SUMIFS('Operating Expenses'!$N$5:$N$2005,'Operating Expenses'!$U$5:$U$2005,$A12,'Operating Expenses'!$A$5:$A$2005,"&lt;"&amp;ReportFrom)))</f>
        <v/>
      </c>
      <c r="P12" s="25">
        <f>IF($A12="",0,SUMIFS('Operating Expenses'!$F$5:$F$2005,'Operating Expenses'!$Q$5:$Q$2005,$A12,'Operating Expenses'!$A$5:$A$2005,"&gt;="&amp;ReportFrom,'Operating Expenses'!$A$5:$A$2005,"&lt;="&amp;ReportTo)+SUMIFS('Operating Expenses'!$M$5:$M$2005,'Operating Expenses'!$T$5:$T$2005,$A12,'Operating Expenses'!$A$5:$A$2005,"&gt;="&amp;ReportFrom,'Operating Expenses'!$A$5:$A$2005,"&lt;="&amp;ReportTo))</f>
        <v/>
      </c>
      <c r="Q12" s="25">
        <f>IF($A12="",0,SUMIFS('Operating Expenses'!$O$5:$O$2005,'Operating Expenses'!$R$5:$R$2005,$A12,'Operating Expenses'!$A$5:$A$2005,"&gt;="&amp;ReportFrom,'Operating Expenses'!$A$5:$A$2005,"&lt;="&amp;ReportTo)+SUMIFS('Operating Expenses'!$P$5:$P$2005,'Operating Expenses'!$S$5:$S$2005,$A12,'Operating Expenses'!$A$5:$A$2005,"&gt;="&amp;ReportFrom,'Operating Expenses'!$A$5:$A$2005,"&lt;="&amp;ReportTo)+SUMIFS('Operating Expenses'!$N$5:$N$2005,'Operating Expenses'!$U$5:$U$2005,$A12,'Operating Expenses'!$A$5:$A$2005,"&gt;="&amp;ReportFrom,'Operating Expenses'!$A$5:$A$2005,"&lt;="&amp;ReportTo))</f>
        <v/>
      </c>
      <c r="R12" s="25">
        <f>IF($A12="",0,(SUMIFS('Payroll'!$O$5:$O$2005,'Payroll'!$Q$5:$Q$2005,$A12,'Payroll'!$A$5:$A$2005,"&lt;"&amp;ReportFrom))-(SUMIFS('Payroll'!$K$5:$K$2005,'Payroll'!$R$5:$R$2005,$A12,'Payroll'!$A$5:$A$2005,"&lt;"&amp;ReportFrom)+SUMIFS('Payroll'!$P$5:$P$2005,'Payroll'!$S$5:$S$2005,$A12,'Payroll'!$A$5:$A$2005,"&lt;"&amp;ReportFrom)))</f>
        <v/>
      </c>
      <c r="S12" s="25">
        <f>IF($A12="",0,SUMIFS('Payroll'!$O$5:$O$2005,'Payroll'!$Q$5:$Q$2005,$A12,'Payroll'!$A$5:$A$2005,"&gt;="&amp;ReportFrom,'Payroll'!$A$5:$A$2005,"&lt;="&amp;ReportTo))</f>
        <v/>
      </c>
      <c r="T12" s="25">
        <f>IF($A12="",0,SUMIFS('Payroll'!$K$5:$K$2005,'Payroll'!$R$5:$R$2005,$A12,'Payroll'!$A$5:$A$2005,"&gt;="&amp;ReportFrom,'Payroll'!$A$5:$A$2005,"&lt;="&amp;ReportTo)+SUMIFS('Payroll'!$P$5:$P$2005,'Payroll'!$S$5:$S$2005,$A12,'Payroll'!$A$5:$A$2005,"&gt;="&amp;ReportFrom,'Payroll'!$A$5:$A$2005,"&lt;="&amp;ReportTo))</f>
        <v/>
      </c>
      <c r="U12" s="25">
        <f>IF($A12="",0,(SUMIFS('Receipt Vouchers'!$F$5:$F$2005,'Receipt Vouchers'!$O$5:$O$2005,$A12,'Receipt Vouchers'!$A$5:$A$2005,"&lt;"&amp;ReportFrom)+SUMIFS('Receipt Vouchers'!$J$5:$J$2005,'Receipt Vouchers'!$Q$5:$Q$2005,$A12,'Receipt Vouchers'!$A$5:$A$2005,"&lt;"&amp;ReportFrom))-(SUMIFS('Receipt Vouchers'!$N$5:$N$2005,'Receipt Vouchers'!$P$5:$P$2005,$A12,'Receipt Vouchers'!$A$5:$A$2005,"&lt;"&amp;ReportFrom)+SUMIFS('Receipt Vouchers'!$M$5:$M$2005,'Receipt Vouchers'!$R$5:$R$2005,$A12,'Receipt Vouchers'!$A$5:$A$2005,"&lt;"&amp;ReportFrom)))</f>
        <v/>
      </c>
      <c r="V12" s="25">
        <f>IF($A12="",0,SUMIFS('Receipt Vouchers'!$F$5:$F$2005,'Receipt Vouchers'!$O$5:$O$2005,$A12,'Receipt Vouchers'!$A$5:$A$2005,"&gt;="&amp;ReportFrom,'Receipt Vouchers'!$A$5:$A$2005,"&lt;="&amp;ReportTo)+SUMIFS('Receipt Vouchers'!$J$5:$J$2005,'Receipt Vouchers'!$Q$5:$Q$2005,$A12,'Receipt Vouchers'!$A$5:$A$2005,"&gt;="&amp;ReportFrom,'Receipt Vouchers'!$A$5:$A$2005,"&lt;="&amp;ReportTo))</f>
        <v/>
      </c>
      <c r="W12" s="25">
        <f>IF($A12="",0,SUMIFS('Receipt Vouchers'!$N$5:$N$2005,'Receipt Vouchers'!$P$5:$P$2005,$A12,'Receipt Vouchers'!$A$5:$A$2005,"&gt;="&amp;ReportFrom,'Receipt Vouchers'!$A$5:$A$2005,"&lt;="&amp;ReportTo)+SUMIFS('Receipt Vouchers'!$M$5:$M$2005,'Receipt Vouchers'!$R$5:$R$2005,$A12,'Receipt Vouchers'!$A$5:$A$2005,"&gt;="&amp;ReportFrom,'Receipt Vouchers'!$A$5:$A$2005,"&lt;="&amp;ReportTo))</f>
        <v/>
      </c>
      <c r="X12" s="25">
        <f>IF($A12="",0,(SUMIFS('Sales Invoices'!$O$5:$O$2005,'Sales Invoices'!$P$5:$P$2005,$A12,'Sales Invoices'!$B$5:$B$2005,"&lt;"&amp;ReportFrom)+SUMIFS('Sales Invoices'!$N$5:$N$2005,'Sales Invoices'!$R$5:$R$2005,$A12,'Sales Invoices'!$B$5:$B$2005,"&lt;"&amp;ReportFrom))-(SUMIFS('Sales Invoices'!$L$5:$L$2005,'Sales Invoices'!$Q$5:$Q$2005,$A12,'Sales Invoices'!$B$5:$B$2005,"&lt;"&amp;ReportFrom)+SUMIFS('Sales Invoices'!$M$5:$M$2005,'Sales Invoices'!$S$5:$S$2005,$A12,'Sales Invoices'!$B$5:$B$2005,"&lt;"&amp;ReportFrom)))</f>
        <v/>
      </c>
      <c r="Y12" s="25">
        <f>IF($A12="",0,SUMIFS('Sales Invoices'!$O$5:$O$2005,'Sales Invoices'!$P$5:$P$2005,$A12,'Sales Invoices'!$B$5:$B$2005,"&gt;="&amp;ReportFrom,'Sales Invoices'!$B$5:$B$2005,"&lt;="&amp;ReportTo)+SUMIFS('Sales Invoices'!$N$5:$N$2005,'Sales Invoices'!$R$5:$R$2005,$A12,'Sales Invoices'!$B$5:$B$2005,"&gt;="&amp;ReportFrom,'Sales Invoices'!$B$5:$B$2005,"&lt;="&amp;ReportTo))</f>
        <v/>
      </c>
      <c r="Z12" s="25">
        <f>IF($A12="",0,SUMIFS('Sales Invoices'!$L$5:$L$2005,'Sales Invoices'!$Q$5:$Q$2005,$A12,'Sales Invoices'!$B$5:$B$2005,"&gt;="&amp;ReportFrom,'Sales Invoices'!$B$5:$B$2005,"&lt;="&amp;ReportTo)+SUMIFS('Sales Invoices'!$M$5:$M$2005,'Sales Invoices'!$S$5:$S$2005,$A12,'Sales Invoices'!$B$5:$B$2005,"&gt;="&amp;ReportFrom,'Sales Invoices'!$B$5:$B$2005,"&lt;="&amp;ReportTo))</f>
        <v/>
      </c>
      <c r="AA12" s="25">
        <f>IF($A12="",0,(SUMIFS('Payment Vouchers'!$D$5:$D$2005,'Payment Vouchers'!$J$5:$J$2005,$A12,'Payment Vouchers'!$A$5:$A$2005,"&lt;"&amp;ReportFrom))-(SUMIFS('Payment Vouchers'!$D$5:$D$2005,'Payment Vouchers'!$K$5:$K$2005,$A12,'Payment Vouchers'!$A$5:$A$2005,"&lt;"&amp;ReportFrom)))</f>
        <v/>
      </c>
      <c r="AB12" s="25">
        <f>IF($A12="",0,SUMIFS('Payment Vouchers'!$D$5:$D$2005,'Payment Vouchers'!$J$5:$J$2005,$A12,'Payment Vouchers'!$A$5:$A$2005,"&gt;="&amp;ReportFrom,'Payment Vouchers'!$A$5:$A$2005,"&lt;="&amp;ReportTo))</f>
        <v/>
      </c>
      <c r="AC12" s="25">
        <f>IF($A12="",0,SUMIFS('Payment Vouchers'!$D$5:$D$2005,'Payment Vouchers'!$K$5:$K$2005,$A12,'Payment Vouchers'!$A$5:$A$2005,"&gt;="&amp;ReportFrom,'Payment Vouchers'!$A$5:$A$2005,"&lt;="&amp;ReportTo))</f>
        <v/>
      </c>
      <c r="AD12" s="25">
        <f>IF($A12="",0,(SUMIFS('Partner Transactions'!$D$5:$D$2005,'Partner Transactions'!$L$5:$L$2005,$A12,'Partner Transactions'!$A$5:$A$2005,"&lt;"&amp;ReportFrom))-(SUMIFS('Partner Transactions'!$D$5:$D$2005,'Partner Transactions'!$M$5:$M$2005,$A12,'Partner Transactions'!$A$5:$A$2005,"&lt;"&amp;ReportFrom)))</f>
        <v/>
      </c>
      <c r="AE12" s="25">
        <f>IF($A12="",0,SUMIFS('Partner Transactions'!$D$5:$D$2005,'Partner Transactions'!$L$5:$L$2005,$A12,'Partner Transactions'!$A$5:$A$2005,"&gt;="&amp;ReportFrom,'Partner Transactions'!$A$5:$A$2005,"&lt;="&amp;ReportTo))</f>
        <v/>
      </c>
      <c r="AF12" s="25">
        <f>IF($A12="",0,SUMIFS('Partner Transactions'!$D$5:$D$2005,'Partner Transactions'!$M$5:$M$2005,$A12,'Partner Transactions'!$A$5:$A$2005,"&gt;="&amp;ReportFrom,'Partner Transactions'!$A$5:$A$2005,"&lt;="&amp;ReportTo))</f>
        <v/>
      </c>
      <c r="AG12" s="25">
        <f>IF($A12="",0,(SUMIFS('Stock Moves'!$S$5:$S$2005,'Stock Moves'!$AD$5:$AD$2005,$A12,'Stock Moves'!$A$5:$A$2005,"&lt;"&amp;ReportFrom)+SUMIFS('Stock Moves'!$T$5:$T$2005,'Stock Moves'!$V$5:$V$2005,$A12,'Stock Moves'!$A$5:$A$2005,"&lt;"&amp;ReportFrom))-(SUMIFS('Stock Moves'!$AF$5:$AF$2005,'Stock Moves'!$AE$5:$AE$2005,$A12,'Stock Moves'!$A$5:$A$2005,"&lt;"&amp;ReportFrom)+SUMIFS('Stock Moves'!$AC$5:$AC$2005,'Stock Moves'!$X$5:$X$2005,$A12,'Stock Moves'!$A$5:$A$2005,"&lt;"&amp;ReportFrom)+SUMIFS('Stock Moves'!$U$5:$U$2005,'Stock Moves'!$W$5:$W$2005,$A12,'Stock Moves'!$A$5:$A$2005,"&lt;"&amp;ReportFrom)))</f>
        <v/>
      </c>
      <c r="AH12" s="25">
        <f>IF($A12="",0,SUMIFS('Stock Moves'!$S$5:$S$2005,'Stock Moves'!$AD$5:$AD$2005,$A12,'Stock Moves'!$A$5:$A$2005,"&gt;="&amp;ReportFrom,'Stock Moves'!$A$5:$A$2005,"&lt;="&amp;ReportTo)+SUMIFS('Stock Moves'!$T$5:$T$2005,'Stock Moves'!$V$5:$V$2005,$A12,'Stock Moves'!$A$5:$A$2005,"&gt;="&amp;ReportFrom,'Stock Moves'!$A$5:$A$2005,"&lt;="&amp;ReportTo))</f>
        <v/>
      </c>
      <c r="AI12" s="25">
        <f>IF($A12="",0,SUMIFS('Stock Moves'!$AF$5:$AF$2005,'Stock Moves'!$AE$5:$AE$2005,$A12,'Stock Moves'!$A$5:$A$2005,"&gt;="&amp;ReportFrom,'Stock Moves'!$A$5:$A$2005,"&lt;="&amp;ReportTo)+SUMIFS('Stock Moves'!$AC$5:$AC$2005,'Stock Moves'!$X$5:$X$2005,$A12,'Stock Moves'!$A$5:$A$2005,"&gt;="&amp;ReportFrom,'Stock Moves'!$A$5:$A$2005,"&lt;="&amp;ReportTo)+SUMIFS('Stock Moves'!$U$5:$U$2005,'Stock Moves'!$W$5:$W$2005,$A12,'Stock Moves'!$A$5:$A$2005,"&gt;="&amp;ReportFrom,'Stock Moves'!$A$5:$A$2005,"&lt;="&amp;ReportTo))</f>
        <v/>
      </c>
      <c r="AJ12" s="25">
        <f>IF($A12="",0,(SUMIFS('Journal Vouchers'!$I$5:$I$2005,'Journal Vouchers'!$H$5:$H$2005,$A12,'Journal Vouchers'!$B$5:$B$2005,"&lt;"&amp;ReportFrom))-(SUMIFS('Journal Vouchers'!$J$5:$J$2005,'Journal Vouchers'!$H$5:$H$2005,$A12,'Journal Vouchers'!$B$5:$B$2005,"&lt;"&amp;ReportFrom)))</f>
        <v/>
      </c>
      <c r="AK12" s="25">
        <f>IF($A12="",0,SUMIFS('Journal Vouchers'!$I$5:$I$2005,'Journal Vouchers'!$H$5:$H$2005,$A12,'Journal Vouchers'!$B$5:$B$2005,"&gt;="&amp;ReportFrom,'Journal Vouchers'!$B$5:$B$2005,"&lt;="&amp;ReportTo))</f>
        <v/>
      </c>
      <c r="AL12" s="25">
        <f>IF($A12="",0,SUMIFS('Journal Vouchers'!$J$5:$J$2005,'Journal Vouchers'!$H$5:$H$2005,$A12,'Journal Vouchers'!$B$5:$B$2005,"&gt;="&amp;ReportFrom,'Journal Vouchers'!$B$5:$B$2005,"&lt;="&amp;ReportTo))</f>
        <v/>
      </c>
    </row>
    <row r="13">
      <c r="A13" s="25">
        <f>IF('Chart of Accounts'!A13="","",'Chart of Accounts'!A13&amp;"")</f>
        <v/>
      </c>
      <c r="B13" s="25">
        <f>IF(A13="","",'Chart of Accounts'!B13)</f>
        <v/>
      </c>
      <c r="C13" s="25">
        <f>IF(A13="","",'Chart of Accounts'!C13)</f>
        <v/>
      </c>
      <c r="D13" s="25">
        <f>IF(A13="","",'Chart of Accounts'!D13)</f>
        <v/>
      </c>
      <c r="E13" s="26">
        <f>L13+O13+R13+U13+X13+AA13+AD13+AG13+AJ13</f>
        <v/>
      </c>
      <c r="F13" s="26">
        <f>M13+P13+S13+V13+Y13+AB13+AE13+AH13+AK13</f>
        <v/>
      </c>
      <c r="G13" s="26">
        <f>N13+Q13+T13+W13+Z13+AC13+AF13+AI13+AL13</f>
        <v/>
      </c>
      <c r="H13" s="26">
        <f>E13+F13-G13</f>
        <v/>
      </c>
      <c r="I13" s="26">
        <f>MAX(H13,0)</f>
        <v/>
      </c>
      <c r="J13" s="26">
        <f>MAX(-H13,0)</f>
        <v/>
      </c>
      <c r="L13" s="25">
        <f>IF($A13="",0,(SUMIFS('Direct Costs'!$R$5:$R$2005,'Direct Costs'!$V$5:$V$2005,$A13,'Direct Costs'!$A$5:$A$2005,"&lt;"&amp;ReportFrom)+SUMIFS('Direct Costs'!$S$5:$S$2005,'Direct Costs'!$Y$5:$Y$2005,$A13,'Direct Costs'!$A$5:$A$2005,"&lt;"&amp;ReportFrom))-(SUMIFS('Direct Costs'!$L$5:$L$2005,'Direct Costs'!$W$5:$W$2005,$A13,'Direct Costs'!$A$5:$A$2005,"&lt;"&amp;ReportFrom)+SUMIFS('Direct Costs'!$U$5:$U$2005,'Direct Costs'!$X$5:$X$2005,$A13,'Direct Costs'!$A$5:$A$2005,"&lt;"&amp;ReportFrom)+SUMIFS('Direct Costs'!$T$5:$T$2005,'Direct Costs'!$Z$5:$Z$2005,$A13,'Direct Costs'!$A$5:$A$2005,"&lt;"&amp;ReportFrom)))</f>
        <v/>
      </c>
      <c r="M13" s="25">
        <f>IF($A13="",0,SUMIFS('Direct Costs'!$R$5:$R$2005,'Direct Costs'!$V$5:$V$2005,$A13,'Direct Costs'!$A$5:$A$2005,"&gt;="&amp;ReportFrom,'Direct Costs'!$A$5:$A$2005,"&lt;="&amp;ReportTo)+SUMIFS('Direct Costs'!$S$5:$S$2005,'Direct Costs'!$Y$5:$Y$2005,$A13,'Direct Costs'!$A$5:$A$2005,"&gt;="&amp;ReportFrom,'Direct Costs'!$A$5:$A$2005,"&lt;="&amp;ReportTo))</f>
        <v/>
      </c>
      <c r="N13" s="25">
        <f>IF($A13="",0,SUMIFS('Direct Costs'!$L$5:$L$2005,'Direct Costs'!$W$5:$W$2005,$A13,'Direct Costs'!$A$5:$A$2005,"&gt;="&amp;ReportFrom,'Direct Costs'!$A$5:$A$2005,"&lt;="&amp;ReportTo)+SUMIFS('Direct Costs'!$U$5:$U$2005,'Direct Costs'!$X$5:$X$2005,$A13,'Direct Costs'!$A$5:$A$2005,"&gt;="&amp;ReportFrom,'Direct Costs'!$A$5:$A$2005,"&lt;="&amp;ReportTo)+SUMIFS('Direct Costs'!$T$5:$T$2005,'Direct Costs'!$Z$5:$Z$2005,$A13,'Direct Costs'!$A$5:$A$2005,"&gt;="&amp;ReportFrom,'Direct Costs'!$A$5:$A$2005,"&lt;="&amp;ReportTo))</f>
        <v/>
      </c>
      <c r="O13" s="25">
        <f>IF($A13="",0,(SUMIFS('Operating Expenses'!$F$5:$F$2005,'Operating Expenses'!$Q$5:$Q$2005,$A13,'Operating Expenses'!$A$5:$A$2005,"&lt;"&amp;ReportFrom)+SUMIFS('Operating Expenses'!$M$5:$M$2005,'Operating Expenses'!$T$5:$T$2005,$A13,'Operating Expenses'!$A$5:$A$2005,"&lt;"&amp;ReportFrom))-(SUMIFS('Operating Expenses'!$O$5:$O$2005,'Operating Expenses'!$R$5:$R$2005,$A13,'Operating Expenses'!$A$5:$A$2005,"&lt;"&amp;ReportFrom)+SUMIFS('Operating Expenses'!$P$5:$P$2005,'Operating Expenses'!$S$5:$S$2005,$A13,'Operating Expenses'!$A$5:$A$2005,"&lt;"&amp;ReportFrom)+SUMIFS('Operating Expenses'!$N$5:$N$2005,'Operating Expenses'!$U$5:$U$2005,$A13,'Operating Expenses'!$A$5:$A$2005,"&lt;"&amp;ReportFrom)))</f>
        <v/>
      </c>
      <c r="P13" s="25">
        <f>IF($A13="",0,SUMIFS('Operating Expenses'!$F$5:$F$2005,'Operating Expenses'!$Q$5:$Q$2005,$A13,'Operating Expenses'!$A$5:$A$2005,"&gt;="&amp;ReportFrom,'Operating Expenses'!$A$5:$A$2005,"&lt;="&amp;ReportTo)+SUMIFS('Operating Expenses'!$M$5:$M$2005,'Operating Expenses'!$T$5:$T$2005,$A13,'Operating Expenses'!$A$5:$A$2005,"&gt;="&amp;ReportFrom,'Operating Expenses'!$A$5:$A$2005,"&lt;="&amp;ReportTo))</f>
        <v/>
      </c>
      <c r="Q13" s="25">
        <f>IF($A13="",0,SUMIFS('Operating Expenses'!$O$5:$O$2005,'Operating Expenses'!$R$5:$R$2005,$A13,'Operating Expenses'!$A$5:$A$2005,"&gt;="&amp;ReportFrom,'Operating Expenses'!$A$5:$A$2005,"&lt;="&amp;ReportTo)+SUMIFS('Operating Expenses'!$P$5:$P$2005,'Operating Expenses'!$S$5:$S$2005,$A13,'Operating Expenses'!$A$5:$A$2005,"&gt;="&amp;ReportFrom,'Operating Expenses'!$A$5:$A$2005,"&lt;="&amp;ReportTo)+SUMIFS('Operating Expenses'!$N$5:$N$2005,'Operating Expenses'!$U$5:$U$2005,$A13,'Operating Expenses'!$A$5:$A$2005,"&gt;="&amp;ReportFrom,'Operating Expenses'!$A$5:$A$2005,"&lt;="&amp;ReportTo))</f>
        <v/>
      </c>
      <c r="R13" s="25">
        <f>IF($A13="",0,(SUMIFS('Payroll'!$O$5:$O$2005,'Payroll'!$Q$5:$Q$2005,$A13,'Payroll'!$A$5:$A$2005,"&lt;"&amp;ReportFrom))-(SUMIFS('Payroll'!$K$5:$K$2005,'Payroll'!$R$5:$R$2005,$A13,'Payroll'!$A$5:$A$2005,"&lt;"&amp;ReportFrom)+SUMIFS('Payroll'!$P$5:$P$2005,'Payroll'!$S$5:$S$2005,$A13,'Payroll'!$A$5:$A$2005,"&lt;"&amp;ReportFrom)))</f>
        <v/>
      </c>
      <c r="S13" s="25">
        <f>IF($A13="",0,SUMIFS('Payroll'!$O$5:$O$2005,'Payroll'!$Q$5:$Q$2005,$A13,'Payroll'!$A$5:$A$2005,"&gt;="&amp;ReportFrom,'Payroll'!$A$5:$A$2005,"&lt;="&amp;ReportTo))</f>
        <v/>
      </c>
      <c r="T13" s="25">
        <f>IF($A13="",0,SUMIFS('Payroll'!$K$5:$K$2005,'Payroll'!$R$5:$R$2005,$A13,'Payroll'!$A$5:$A$2005,"&gt;="&amp;ReportFrom,'Payroll'!$A$5:$A$2005,"&lt;="&amp;ReportTo)+SUMIFS('Payroll'!$P$5:$P$2005,'Payroll'!$S$5:$S$2005,$A13,'Payroll'!$A$5:$A$2005,"&gt;="&amp;ReportFrom,'Payroll'!$A$5:$A$2005,"&lt;="&amp;ReportTo))</f>
        <v/>
      </c>
      <c r="U13" s="25">
        <f>IF($A13="",0,(SUMIFS('Receipt Vouchers'!$F$5:$F$2005,'Receipt Vouchers'!$O$5:$O$2005,$A13,'Receipt Vouchers'!$A$5:$A$2005,"&lt;"&amp;ReportFrom)+SUMIFS('Receipt Vouchers'!$J$5:$J$2005,'Receipt Vouchers'!$Q$5:$Q$2005,$A13,'Receipt Vouchers'!$A$5:$A$2005,"&lt;"&amp;ReportFrom))-(SUMIFS('Receipt Vouchers'!$N$5:$N$2005,'Receipt Vouchers'!$P$5:$P$2005,$A13,'Receipt Vouchers'!$A$5:$A$2005,"&lt;"&amp;ReportFrom)+SUMIFS('Receipt Vouchers'!$M$5:$M$2005,'Receipt Vouchers'!$R$5:$R$2005,$A13,'Receipt Vouchers'!$A$5:$A$2005,"&lt;"&amp;ReportFrom)))</f>
        <v/>
      </c>
      <c r="V13" s="25">
        <f>IF($A13="",0,SUMIFS('Receipt Vouchers'!$F$5:$F$2005,'Receipt Vouchers'!$O$5:$O$2005,$A13,'Receipt Vouchers'!$A$5:$A$2005,"&gt;="&amp;ReportFrom,'Receipt Vouchers'!$A$5:$A$2005,"&lt;="&amp;ReportTo)+SUMIFS('Receipt Vouchers'!$J$5:$J$2005,'Receipt Vouchers'!$Q$5:$Q$2005,$A13,'Receipt Vouchers'!$A$5:$A$2005,"&gt;="&amp;ReportFrom,'Receipt Vouchers'!$A$5:$A$2005,"&lt;="&amp;ReportTo))</f>
        <v/>
      </c>
      <c r="W13" s="25">
        <f>IF($A13="",0,SUMIFS('Receipt Vouchers'!$N$5:$N$2005,'Receipt Vouchers'!$P$5:$P$2005,$A13,'Receipt Vouchers'!$A$5:$A$2005,"&gt;="&amp;ReportFrom,'Receipt Vouchers'!$A$5:$A$2005,"&lt;="&amp;ReportTo)+SUMIFS('Receipt Vouchers'!$M$5:$M$2005,'Receipt Vouchers'!$R$5:$R$2005,$A13,'Receipt Vouchers'!$A$5:$A$2005,"&gt;="&amp;ReportFrom,'Receipt Vouchers'!$A$5:$A$2005,"&lt;="&amp;ReportTo))</f>
        <v/>
      </c>
      <c r="X13" s="25">
        <f>IF($A13="",0,(SUMIFS('Sales Invoices'!$O$5:$O$2005,'Sales Invoices'!$P$5:$P$2005,$A13,'Sales Invoices'!$B$5:$B$2005,"&lt;"&amp;ReportFrom)+SUMIFS('Sales Invoices'!$N$5:$N$2005,'Sales Invoices'!$R$5:$R$2005,$A13,'Sales Invoices'!$B$5:$B$2005,"&lt;"&amp;ReportFrom))-(SUMIFS('Sales Invoices'!$L$5:$L$2005,'Sales Invoices'!$Q$5:$Q$2005,$A13,'Sales Invoices'!$B$5:$B$2005,"&lt;"&amp;ReportFrom)+SUMIFS('Sales Invoices'!$M$5:$M$2005,'Sales Invoices'!$S$5:$S$2005,$A13,'Sales Invoices'!$B$5:$B$2005,"&lt;"&amp;ReportFrom)))</f>
        <v/>
      </c>
      <c r="Y13" s="25">
        <f>IF($A13="",0,SUMIFS('Sales Invoices'!$O$5:$O$2005,'Sales Invoices'!$P$5:$P$2005,$A13,'Sales Invoices'!$B$5:$B$2005,"&gt;="&amp;ReportFrom,'Sales Invoices'!$B$5:$B$2005,"&lt;="&amp;ReportTo)+SUMIFS('Sales Invoices'!$N$5:$N$2005,'Sales Invoices'!$R$5:$R$2005,$A13,'Sales Invoices'!$B$5:$B$2005,"&gt;="&amp;ReportFrom,'Sales Invoices'!$B$5:$B$2005,"&lt;="&amp;ReportTo))</f>
        <v/>
      </c>
      <c r="Z13" s="25">
        <f>IF($A13="",0,SUMIFS('Sales Invoices'!$L$5:$L$2005,'Sales Invoices'!$Q$5:$Q$2005,$A13,'Sales Invoices'!$B$5:$B$2005,"&gt;="&amp;ReportFrom,'Sales Invoices'!$B$5:$B$2005,"&lt;="&amp;ReportTo)+SUMIFS('Sales Invoices'!$M$5:$M$2005,'Sales Invoices'!$S$5:$S$2005,$A13,'Sales Invoices'!$B$5:$B$2005,"&gt;="&amp;ReportFrom,'Sales Invoices'!$B$5:$B$2005,"&lt;="&amp;ReportTo))</f>
        <v/>
      </c>
      <c r="AA13" s="25">
        <f>IF($A13="",0,(SUMIFS('Payment Vouchers'!$D$5:$D$2005,'Payment Vouchers'!$J$5:$J$2005,$A13,'Payment Vouchers'!$A$5:$A$2005,"&lt;"&amp;ReportFrom))-(SUMIFS('Payment Vouchers'!$D$5:$D$2005,'Payment Vouchers'!$K$5:$K$2005,$A13,'Payment Vouchers'!$A$5:$A$2005,"&lt;"&amp;ReportFrom)))</f>
        <v/>
      </c>
      <c r="AB13" s="25">
        <f>IF($A13="",0,SUMIFS('Payment Vouchers'!$D$5:$D$2005,'Payment Vouchers'!$J$5:$J$2005,$A13,'Payment Vouchers'!$A$5:$A$2005,"&gt;="&amp;ReportFrom,'Payment Vouchers'!$A$5:$A$2005,"&lt;="&amp;ReportTo))</f>
        <v/>
      </c>
      <c r="AC13" s="25">
        <f>IF($A13="",0,SUMIFS('Payment Vouchers'!$D$5:$D$2005,'Payment Vouchers'!$K$5:$K$2005,$A13,'Payment Vouchers'!$A$5:$A$2005,"&gt;="&amp;ReportFrom,'Payment Vouchers'!$A$5:$A$2005,"&lt;="&amp;ReportTo))</f>
        <v/>
      </c>
      <c r="AD13" s="25">
        <f>IF($A13="",0,(SUMIFS('Partner Transactions'!$D$5:$D$2005,'Partner Transactions'!$L$5:$L$2005,$A13,'Partner Transactions'!$A$5:$A$2005,"&lt;"&amp;ReportFrom))-(SUMIFS('Partner Transactions'!$D$5:$D$2005,'Partner Transactions'!$M$5:$M$2005,$A13,'Partner Transactions'!$A$5:$A$2005,"&lt;"&amp;ReportFrom)))</f>
        <v/>
      </c>
      <c r="AE13" s="25">
        <f>IF($A13="",0,SUMIFS('Partner Transactions'!$D$5:$D$2005,'Partner Transactions'!$L$5:$L$2005,$A13,'Partner Transactions'!$A$5:$A$2005,"&gt;="&amp;ReportFrom,'Partner Transactions'!$A$5:$A$2005,"&lt;="&amp;ReportTo))</f>
        <v/>
      </c>
      <c r="AF13" s="25">
        <f>IF($A13="",0,SUMIFS('Partner Transactions'!$D$5:$D$2005,'Partner Transactions'!$M$5:$M$2005,$A13,'Partner Transactions'!$A$5:$A$2005,"&gt;="&amp;ReportFrom,'Partner Transactions'!$A$5:$A$2005,"&lt;="&amp;ReportTo))</f>
        <v/>
      </c>
      <c r="AG13" s="25">
        <f>IF($A13="",0,(SUMIFS('Stock Moves'!$S$5:$S$2005,'Stock Moves'!$AD$5:$AD$2005,$A13,'Stock Moves'!$A$5:$A$2005,"&lt;"&amp;ReportFrom)+SUMIFS('Stock Moves'!$T$5:$T$2005,'Stock Moves'!$V$5:$V$2005,$A13,'Stock Moves'!$A$5:$A$2005,"&lt;"&amp;ReportFrom))-(SUMIFS('Stock Moves'!$AF$5:$AF$2005,'Stock Moves'!$AE$5:$AE$2005,$A13,'Stock Moves'!$A$5:$A$2005,"&lt;"&amp;ReportFrom)+SUMIFS('Stock Moves'!$AC$5:$AC$2005,'Stock Moves'!$X$5:$X$2005,$A13,'Stock Moves'!$A$5:$A$2005,"&lt;"&amp;ReportFrom)+SUMIFS('Stock Moves'!$U$5:$U$2005,'Stock Moves'!$W$5:$W$2005,$A13,'Stock Moves'!$A$5:$A$2005,"&lt;"&amp;ReportFrom)))</f>
        <v/>
      </c>
      <c r="AH13" s="25">
        <f>IF($A13="",0,SUMIFS('Stock Moves'!$S$5:$S$2005,'Stock Moves'!$AD$5:$AD$2005,$A13,'Stock Moves'!$A$5:$A$2005,"&gt;="&amp;ReportFrom,'Stock Moves'!$A$5:$A$2005,"&lt;="&amp;ReportTo)+SUMIFS('Stock Moves'!$T$5:$T$2005,'Stock Moves'!$V$5:$V$2005,$A13,'Stock Moves'!$A$5:$A$2005,"&gt;="&amp;ReportFrom,'Stock Moves'!$A$5:$A$2005,"&lt;="&amp;ReportTo))</f>
        <v/>
      </c>
      <c r="AI13" s="25">
        <f>IF($A13="",0,SUMIFS('Stock Moves'!$AF$5:$AF$2005,'Stock Moves'!$AE$5:$AE$2005,$A13,'Stock Moves'!$A$5:$A$2005,"&gt;="&amp;ReportFrom,'Stock Moves'!$A$5:$A$2005,"&lt;="&amp;ReportTo)+SUMIFS('Stock Moves'!$AC$5:$AC$2005,'Stock Moves'!$X$5:$X$2005,$A13,'Stock Moves'!$A$5:$A$2005,"&gt;="&amp;ReportFrom,'Stock Moves'!$A$5:$A$2005,"&lt;="&amp;ReportTo)+SUMIFS('Stock Moves'!$U$5:$U$2005,'Stock Moves'!$W$5:$W$2005,$A13,'Stock Moves'!$A$5:$A$2005,"&gt;="&amp;ReportFrom,'Stock Moves'!$A$5:$A$2005,"&lt;="&amp;ReportTo))</f>
        <v/>
      </c>
      <c r="AJ13" s="25">
        <f>IF($A13="",0,(SUMIFS('Journal Vouchers'!$I$5:$I$2005,'Journal Vouchers'!$H$5:$H$2005,$A13,'Journal Vouchers'!$B$5:$B$2005,"&lt;"&amp;ReportFrom))-(SUMIFS('Journal Vouchers'!$J$5:$J$2005,'Journal Vouchers'!$H$5:$H$2005,$A13,'Journal Vouchers'!$B$5:$B$2005,"&lt;"&amp;ReportFrom)))</f>
        <v/>
      </c>
      <c r="AK13" s="25">
        <f>IF($A13="",0,SUMIFS('Journal Vouchers'!$I$5:$I$2005,'Journal Vouchers'!$H$5:$H$2005,$A13,'Journal Vouchers'!$B$5:$B$2005,"&gt;="&amp;ReportFrom,'Journal Vouchers'!$B$5:$B$2005,"&lt;="&amp;ReportTo))</f>
        <v/>
      </c>
      <c r="AL13" s="25">
        <f>IF($A13="",0,SUMIFS('Journal Vouchers'!$J$5:$J$2005,'Journal Vouchers'!$H$5:$H$2005,$A13,'Journal Vouchers'!$B$5:$B$2005,"&gt;="&amp;ReportFrom,'Journal Vouchers'!$B$5:$B$2005,"&lt;="&amp;ReportTo))</f>
        <v/>
      </c>
    </row>
    <row r="14">
      <c r="A14" s="25">
        <f>IF('Chart of Accounts'!A14="","",'Chart of Accounts'!A14&amp;"")</f>
        <v/>
      </c>
      <c r="B14" s="25">
        <f>IF(A14="","",'Chart of Accounts'!B14)</f>
        <v/>
      </c>
      <c r="C14" s="25">
        <f>IF(A14="","",'Chart of Accounts'!C14)</f>
        <v/>
      </c>
      <c r="D14" s="25">
        <f>IF(A14="","",'Chart of Accounts'!D14)</f>
        <v/>
      </c>
      <c r="E14" s="26">
        <f>L14+O14+R14+U14+X14+AA14+AD14+AG14+AJ14</f>
        <v/>
      </c>
      <c r="F14" s="26">
        <f>M14+P14+S14+V14+Y14+AB14+AE14+AH14+AK14</f>
        <v/>
      </c>
      <c r="G14" s="26">
        <f>N14+Q14+T14+W14+Z14+AC14+AF14+AI14+AL14</f>
        <v/>
      </c>
      <c r="H14" s="26">
        <f>E14+F14-G14</f>
        <v/>
      </c>
      <c r="I14" s="26">
        <f>MAX(H14,0)</f>
        <v/>
      </c>
      <c r="J14" s="26">
        <f>MAX(-H14,0)</f>
        <v/>
      </c>
      <c r="L14" s="25">
        <f>IF($A14="",0,(SUMIFS('Direct Costs'!$R$5:$R$2005,'Direct Costs'!$V$5:$V$2005,$A14,'Direct Costs'!$A$5:$A$2005,"&lt;"&amp;ReportFrom)+SUMIFS('Direct Costs'!$S$5:$S$2005,'Direct Costs'!$Y$5:$Y$2005,$A14,'Direct Costs'!$A$5:$A$2005,"&lt;"&amp;ReportFrom))-(SUMIFS('Direct Costs'!$L$5:$L$2005,'Direct Costs'!$W$5:$W$2005,$A14,'Direct Costs'!$A$5:$A$2005,"&lt;"&amp;ReportFrom)+SUMIFS('Direct Costs'!$U$5:$U$2005,'Direct Costs'!$X$5:$X$2005,$A14,'Direct Costs'!$A$5:$A$2005,"&lt;"&amp;ReportFrom)+SUMIFS('Direct Costs'!$T$5:$T$2005,'Direct Costs'!$Z$5:$Z$2005,$A14,'Direct Costs'!$A$5:$A$2005,"&lt;"&amp;ReportFrom)))</f>
        <v/>
      </c>
      <c r="M14" s="25">
        <f>IF($A14="",0,SUMIFS('Direct Costs'!$R$5:$R$2005,'Direct Costs'!$V$5:$V$2005,$A14,'Direct Costs'!$A$5:$A$2005,"&gt;="&amp;ReportFrom,'Direct Costs'!$A$5:$A$2005,"&lt;="&amp;ReportTo)+SUMIFS('Direct Costs'!$S$5:$S$2005,'Direct Costs'!$Y$5:$Y$2005,$A14,'Direct Costs'!$A$5:$A$2005,"&gt;="&amp;ReportFrom,'Direct Costs'!$A$5:$A$2005,"&lt;="&amp;ReportTo))</f>
        <v/>
      </c>
      <c r="N14" s="25">
        <f>IF($A14="",0,SUMIFS('Direct Costs'!$L$5:$L$2005,'Direct Costs'!$W$5:$W$2005,$A14,'Direct Costs'!$A$5:$A$2005,"&gt;="&amp;ReportFrom,'Direct Costs'!$A$5:$A$2005,"&lt;="&amp;ReportTo)+SUMIFS('Direct Costs'!$U$5:$U$2005,'Direct Costs'!$X$5:$X$2005,$A14,'Direct Costs'!$A$5:$A$2005,"&gt;="&amp;ReportFrom,'Direct Costs'!$A$5:$A$2005,"&lt;="&amp;ReportTo)+SUMIFS('Direct Costs'!$T$5:$T$2005,'Direct Costs'!$Z$5:$Z$2005,$A14,'Direct Costs'!$A$5:$A$2005,"&gt;="&amp;ReportFrom,'Direct Costs'!$A$5:$A$2005,"&lt;="&amp;ReportTo))</f>
        <v/>
      </c>
      <c r="O14" s="25">
        <f>IF($A14="",0,(SUMIFS('Operating Expenses'!$F$5:$F$2005,'Operating Expenses'!$Q$5:$Q$2005,$A14,'Operating Expenses'!$A$5:$A$2005,"&lt;"&amp;ReportFrom)+SUMIFS('Operating Expenses'!$M$5:$M$2005,'Operating Expenses'!$T$5:$T$2005,$A14,'Operating Expenses'!$A$5:$A$2005,"&lt;"&amp;ReportFrom))-(SUMIFS('Operating Expenses'!$O$5:$O$2005,'Operating Expenses'!$R$5:$R$2005,$A14,'Operating Expenses'!$A$5:$A$2005,"&lt;"&amp;ReportFrom)+SUMIFS('Operating Expenses'!$P$5:$P$2005,'Operating Expenses'!$S$5:$S$2005,$A14,'Operating Expenses'!$A$5:$A$2005,"&lt;"&amp;ReportFrom)+SUMIFS('Operating Expenses'!$N$5:$N$2005,'Operating Expenses'!$U$5:$U$2005,$A14,'Operating Expenses'!$A$5:$A$2005,"&lt;"&amp;ReportFrom)))</f>
        <v/>
      </c>
      <c r="P14" s="25">
        <f>IF($A14="",0,SUMIFS('Operating Expenses'!$F$5:$F$2005,'Operating Expenses'!$Q$5:$Q$2005,$A14,'Operating Expenses'!$A$5:$A$2005,"&gt;="&amp;ReportFrom,'Operating Expenses'!$A$5:$A$2005,"&lt;="&amp;ReportTo)+SUMIFS('Operating Expenses'!$M$5:$M$2005,'Operating Expenses'!$T$5:$T$2005,$A14,'Operating Expenses'!$A$5:$A$2005,"&gt;="&amp;ReportFrom,'Operating Expenses'!$A$5:$A$2005,"&lt;="&amp;ReportTo))</f>
        <v/>
      </c>
      <c r="Q14" s="25">
        <f>IF($A14="",0,SUMIFS('Operating Expenses'!$O$5:$O$2005,'Operating Expenses'!$R$5:$R$2005,$A14,'Operating Expenses'!$A$5:$A$2005,"&gt;="&amp;ReportFrom,'Operating Expenses'!$A$5:$A$2005,"&lt;="&amp;ReportTo)+SUMIFS('Operating Expenses'!$P$5:$P$2005,'Operating Expenses'!$S$5:$S$2005,$A14,'Operating Expenses'!$A$5:$A$2005,"&gt;="&amp;ReportFrom,'Operating Expenses'!$A$5:$A$2005,"&lt;="&amp;ReportTo)+SUMIFS('Operating Expenses'!$N$5:$N$2005,'Operating Expenses'!$U$5:$U$2005,$A14,'Operating Expenses'!$A$5:$A$2005,"&gt;="&amp;ReportFrom,'Operating Expenses'!$A$5:$A$2005,"&lt;="&amp;ReportTo))</f>
        <v/>
      </c>
      <c r="R14" s="25">
        <f>IF($A14="",0,(SUMIFS('Payroll'!$O$5:$O$2005,'Payroll'!$Q$5:$Q$2005,$A14,'Payroll'!$A$5:$A$2005,"&lt;"&amp;ReportFrom))-(SUMIFS('Payroll'!$K$5:$K$2005,'Payroll'!$R$5:$R$2005,$A14,'Payroll'!$A$5:$A$2005,"&lt;"&amp;ReportFrom)+SUMIFS('Payroll'!$P$5:$P$2005,'Payroll'!$S$5:$S$2005,$A14,'Payroll'!$A$5:$A$2005,"&lt;"&amp;ReportFrom)))</f>
        <v/>
      </c>
      <c r="S14" s="25">
        <f>IF($A14="",0,SUMIFS('Payroll'!$O$5:$O$2005,'Payroll'!$Q$5:$Q$2005,$A14,'Payroll'!$A$5:$A$2005,"&gt;="&amp;ReportFrom,'Payroll'!$A$5:$A$2005,"&lt;="&amp;ReportTo))</f>
        <v/>
      </c>
      <c r="T14" s="25">
        <f>IF($A14="",0,SUMIFS('Payroll'!$K$5:$K$2005,'Payroll'!$R$5:$R$2005,$A14,'Payroll'!$A$5:$A$2005,"&gt;="&amp;ReportFrom,'Payroll'!$A$5:$A$2005,"&lt;="&amp;ReportTo)+SUMIFS('Payroll'!$P$5:$P$2005,'Payroll'!$S$5:$S$2005,$A14,'Payroll'!$A$5:$A$2005,"&gt;="&amp;ReportFrom,'Payroll'!$A$5:$A$2005,"&lt;="&amp;ReportTo))</f>
        <v/>
      </c>
      <c r="U14" s="25">
        <f>IF($A14="",0,(SUMIFS('Receipt Vouchers'!$F$5:$F$2005,'Receipt Vouchers'!$O$5:$O$2005,$A14,'Receipt Vouchers'!$A$5:$A$2005,"&lt;"&amp;ReportFrom)+SUMIFS('Receipt Vouchers'!$J$5:$J$2005,'Receipt Vouchers'!$Q$5:$Q$2005,$A14,'Receipt Vouchers'!$A$5:$A$2005,"&lt;"&amp;ReportFrom))-(SUMIFS('Receipt Vouchers'!$N$5:$N$2005,'Receipt Vouchers'!$P$5:$P$2005,$A14,'Receipt Vouchers'!$A$5:$A$2005,"&lt;"&amp;ReportFrom)+SUMIFS('Receipt Vouchers'!$M$5:$M$2005,'Receipt Vouchers'!$R$5:$R$2005,$A14,'Receipt Vouchers'!$A$5:$A$2005,"&lt;"&amp;ReportFrom)))</f>
        <v/>
      </c>
      <c r="V14" s="25">
        <f>IF($A14="",0,SUMIFS('Receipt Vouchers'!$F$5:$F$2005,'Receipt Vouchers'!$O$5:$O$2005,$A14,'Receipt Vouchers'!$A$5:$A$2005,"&gt;="&amp;ReportFrom,'Receipt Vouchers'!$A$5:$A$2005,"&lt;="&amp;ReportTo)+SUMIFS('Receipt Vouchers'!$J$5:$J$2005,'Receipt Vouchers'!$Q$5:$Q$2005,$A14,'Receipt Vouchers'!$A$5:$A$2005,"&gt;="&amp;ReportFrom,'Receipt Vouchers'!$A$5:$A$2005,"&lt;="&amp;ReportTo))</f>
        <v/>
      </c>
      <c r="W14" s="25">
        <f>IF($A14="",0,SUMIFS('Receipt Vouchers'!$N$5:$N$2005,'Receipt Vouchers'!$P$5:$P$2005,$A14,'Receipt Vouchers'!$A$5:$A$2005,"&gt;="&amp;ReportFrom,'Receipt Vouchers'!$A$5:$A$2005,"&lt;="&amp;ReportTo)+SUMIFS('Receipt Vouchers'!$M$5:$M$2005,'Receipt Vouchers'!$R$5:$R$2005,$A14,'Receipt Vouchers'!$A$5:$A$2005,"&gt;="&amp;ReportFrom,'Receipt Vouchers'!$A$5:$A$2005,"&lt;="&amp;ReportTo))</f>
        <v/>
      </c>
      <c r="X14" s="25">
        <f>IF($A14="",0,(SUMIFS('Sales Invoices'!$O$5:$O$2005,'Sales Invoices'!$P$5:$P$2005,$A14,'Sales Invoices'!$B$5:$B$2005,"&lt;"&amp;ReportFrom)+SUMIFS('Sales Invoices'!$N$5:$N$2005,'Sales Invoices'!$R$5:$R$2005,$A14,'Sales Invoices'!$B$5:$B$2005,"&lt;"&amp;ReportFrom))-(SUMIFS('Sales Invoices'!$L$5:$L$2005,'Sales Invoices'!$Q$5:$Q$2005,$A14,'Sales Invoices'!$B$5:$B$2005,"&lt;"&amp;ReportFrom)+SUMIFS('Sales Invoices'!$M$5:$M$2005,'Sales Invoices'!$S$5:$S$2005,$A14,'Sales Invoices'!$B$5:$B$2005,"&lt;"&amp;ReportFrom)))</f>
        <v/>
      </c>
      <c r="Y14" s="25">
        <f>IF($A14="",0,SUMIFS('Sales Invoices'!$O$5:$O$2005,'Sales Invoices'!$P$5:$P$2005,$A14,'Sales Invoices'!$B$5:$B$2005,"&gt;="&amp;ReportFrom,'Sales Invoices'!$B$5:$B$2005,"&lt;="&amp;ReportTo)+SUMIFS('Sales Invoices'!$N$5:$N$2005,'Sales Invoices'!$R$5:$R$2005,$A14,'Sales Invoices'!$B$5:$B$2005,"&gt;="&amp;ReportFrom,'Sales Invoices'!$B$5:$B$2005,"&lt;="&amp;ReportTo))</f>
        <v/>
      </c>
      <c r="Z14" s="25">
        <f>IF($A14="",0,SUMIFS('Sales Invoices'!$L$5:$L$2005,'Sales Invoices'!$Q$5:$Q$2005,$A14,'Sales Invoices'!$B$5:$B$2005,"&gt;="&amp;ReportFrom,'Sales Invoices'!$B$5:$B$2005,"&lt;="&amp;ReportTo)+SUMIFS('Sales Invoices'!$M$5:$M$2005,'Sales Invoices'!$S$5:$S$2005,$A14,'Sales Invoices'!$B$5:$B$2005,"&gt;="&amp;ReportFrom,'Sales Invoices'!$B$5:$B$2005,"&lt;="&amp;ReportTo))</f>
        <v/>
      </c>
      <c r="AA14" s="25">
        <f>IF($A14="",0,(SUMIFS('Payment Vouchers'!$D$5:$D$2005,'Payment Vouchers'!$J$5:$J$2005,$A14,'Payment Vouchers'!$A$5:$A$2005,"&lt;"&amp;ReportFrom))-(SUMIFS('Payment Vouchers'!$D$5:$D$2005,'Payment Vouchers'!$K$5:$K$2005,$A14,'Payment Vouchers'!$A$5:$A$2005,"&lt;"&amp;ReportFrom)))</f>
        <v/>
      </c>
      <c r="AB14" s="25">
        <f>IF($A14="",0,SUMIFS('Payment Vouchers'!$D$5:$D$2005,'Payment Vouchers'!$J$5:$J$2005,$A14,'Payment Vouchers'!$A$5:$A$2005,"&gt;="&amp;ReportFrom,'Payment Vouchers'!$A$5:$A$2005,"&lt;="&amp;ReportTo))</f>
        <v/>
      </c>
      <c r="AC14" s="25">
        <f>IF($A14="",0,SUMIFS('Payment Vouchers'!$D$5:$D$2005,'Payment Vouchers'!$K$5:$K$2005,$A14,'Payment Vouchers'!$A$5:$A$2005,"&gt;="&amp;ReportFrom,'Payment Vouchers'!$A$5:$A$2005,"&lt;="&amp;ReportTo))</f>
        <v/>
      </c>
      <c r="AD14" s="25">
        <f>IF($A14="",0,(SUMIFS('Partner Transactions'!$D$5:$D$2005,'Partner Transactions'!$L$5:$L$2005,$A14,'Partner Transactions'!$A$5:$A$2005,"&lt;"&amp;ReportFrom))-(SUMIFS('Partner Transactions'!$D$5:$D$2005,'Partner Transactions'!$M$5:$M$2005,$A14,'Partner Transactions'!$A$5:$A$2005,"&lt;"&amp;ReportFrom)))</f>
        <v/>
      </c>
      <c r="AE14" s="25">
        <f>IF($A14="",0,SUMIFS('Partner Transactions'!$D$5:$D$2005,'Partner Transactions'!$L$5:$L$2005,$A14,'Partner Transactions'!$A$5:$A$2005,"&gt;="&amp;ReportFrom,'Partner Transactions'!$A$5:$A$2005,"&lt;="&amp;ReportTo))</f>
        <v/>
      </c>
      <c r="AF14" s="25">
        <f>IF($A14="",0,SUMIFS('Partner Transactions'!$D$5:$D$2005,'Partner Transactions'!$M$5:$M$2005,$A14,'Partner Transactions'!$A$5:$A$2005,"&gt;="&amp;ReportFrom,'Partner Transactions'!$A$5:$A$2005,"&lt;="&amp;ReportTo))</f>
        <v/>
      </c>
      <c r="AG14" s="25">
        <f>IF($A14="",0,(SUMIFS('Stock Moves'!$S$5:$S$2005,'Stock Moves'!$AD$5:$AD$2005,$A14,'Stock Moves'!$A$5:$A$2005,"&lt;"&amp;ReportFrom)+SUMIFS('Stock Moves'!$T$5:$T$2005,'Stock Moves'!$V$5:$V$2005,$A14,'Stock Moves'!$A$5:$A$2005,"&lt;"&amp;ReportFrom))-(SUMIFS('Stock Moves'!$AF$5:$AF$2005,'Stock Moves'!$AE$5:$AE$2005,$A14,'Stock Moves'!$A$5:$A$2005,"&lt;"&amp;ReportFrom)+SUMIFS('Stock Moves'!$AC$5:$AC$2005,'Stock Moves'!$X$5:$X$2005,$A14,'Stock Moves'!$A$5:$A$2005,"&lt;"&amp;ReportFrom)+SUMIFS('Stock Moves'!$U$5:$U$2005,'Stock Moves'!$W$5:$W$2005,$A14,'Stock Moves'!$A$5:$A$2005,"&lt;"&amp;ReportFrom)))</f>
        <v/>
      </c>
      <c r="AH14" s="25">
        <f>IF($A14="",0,SUMIFS('Stock Moves'!$S$5:$S$2005,'Stock Moves'!$AD$5:$AD$2005,$A14,'Stock Moves'!$A$5:$A$2005,"&gt;="&amp;ReportFrom,'Stock Moves'!$A$5:$A$2005,"&lt;="&amp;ReportTo)+SUMIFS('Stock Moves'!$T$5:$T$2005,'Stock Moves'!$V$5:$V$2005,$A14,'Stock Moves'!$A$5:$A$2005,"&gt;="&amp;ReportFrom,'Stock Moves'!$A$5:$A$2005,"&lt;="&amp;ReportTo))</f>
        <v/>
      </c>
      <c r="AI14" s="25">
        <f>IF($A14="",0,SUMIFS('Stock Moves'!$AF$5:$AF$2005,'Stock Moves'!$AE$5:$AE$2005,$A14,'Stock Moves'!$A$5:$A$2005,"&gt;="&amp;ReportFrom,'Stock Moves'!$A$5:$A$2005,"&lt;="&amp;ReportTo)+SUMIFS('Stock Moves'!$AC$5:$AC$2005,'Stock Moves'!$X$5:$X$2005,$A14,'Stock Moves'!$A$5:$A$2005,"&gt;="&amp;ReportFrom,'Stock Moves'!$A$5:$A$2005,"&lt;="&amp;ReportTo)+SUMIFS('Stock Moves'!$U$5:$U$2005,'Stock Moves'!$W$5:$W$2005,$A14,'Stock Moves'!$A$5:$A$2005,"&gt;="&amp;ReportFrom,'Stock Moves'!$A$5:$A$2005,"&lt;="&amp;ReportTo))</f>
        <v/>
      </c>
      <c r="AJ14" s="25">
        <f>IF($A14="",0,(SUMIFS('Journal Vouchers'!$I$5:$I$2005,'Journal Vouchers'!$H$5:$H$2005,$A14,'Journal Vouchers'!$B$5:$B$2005,"&lt;"&amp;ReportFrom))-(SUMIFS('Journal Vouchers'!$J$5:$J$2005,'Journal Vouchers'!$H$5:$H$2005,$A14,'Journal Vouchers'!$B$5:$B$2005,"&lt;"&amp;ReportFrom)))</f>
        <v/>
      </c>
      <c r="AK14" s="25">
        <f>IF($A14="",0,SUMIFS('Journal Vouchers'!$I$5:$I$2005,'Journal Vouchers'!$H$5:$H$2005,$A14,'Journal Vouchers'!$B$5:$B$2005,"&gt;="&amp;ReportFrom,'Journal Vouchers'!$B$5:$B$2005,"&lt;="&amp;ReportTo))</f>
        <v/>
      </c>
      <c r="AL14" s="25">
        <f>IF($A14="",0,SUMIFS('Journal Vouchers'!$J$5:$J$2005,'Journal Vouchers'!$H$5:$H$2005,$A14,'Journal Vouchers'!$B$5:$B$2005,"&gt;="&amp;ReportFrom,'Journal Vouchers'!$B$5:$B$2005,"&lt;="&amp;ReportTo))</f>
        <v/>
      </c>
    </row>
    <row r="15">
      <c r="A15" s="25">
        <f>IF('Chart of Accounts'!A15="","",'Chart of Accounts'!A15&amp;"")</f>
        <v/>
      </c>
      <c r="B15" s="25">
        <f>IF(A15="","",'Chart of Accounts'!B15)</f>
        <v/>
      </c>
      <c r="C15" s="25">
        <f>IF(A15="","",'Chart of Accounts'!C15)</f>
        <v/>
      </c>
      <c r="D15" s="25">
        <f>IF(A15="","",'Chart of Accounts'!D15)</f>
        <v/>
      </c>
      <c r="E15" s="26">
        <f>L15+O15+R15+U15+X15+AA15+AD15+AG15+AJ15</f>
        <v/>
      </c>
      <c r="F15" s="26">
        <f>M15+P15+S15+V15+Y15+AB15+AE15+AH15+AK15</f>
        <v/>
      </c>
      <c r="G15" s="26">
        <f>N15+Q15+T15+W15+Z15+AC15+AF15+AI15+AL15</f>
        <v/>
      </c>
      <c r="H15" s="26">
        <f>E15+F15-G15</f>
        <v/>
      </c>
      <c r="I15" s="26">
        <f>MAX(H15,0)</f>
        <v/>
      </c>
      <c r="J15" s="26">
        <f>MAX(-H15,0)</f>
        <v/>
      </c>
      <c r="L15" s="25">
        <f>IF($A15="",0,(SUMIFS('Direct Costs'!$R$5:$R$2005,'Direct Costs'!$V$5:$V$2005,$A15,'Direct Costs'!$A$5:$A$2005,"&lt;"&amp;ReportFrom)+SUMIFS('Direct Costs'!$S$5:$S$2005,'Direct Costs'!$Y$5:$Y$2005,$A15,'Direct Costs'!$A$5:$A$2005,"&lt;"&amp;ReportFrom))-(SUMIFS('Direct Costs'!$L$5:$L$2005,'Direct Costs'!$W$5:$W$2005,$A15,'Direct Costs'!$A$5:$A$2005,"&lt;"&amp;ReportFrom)+SUMIFS('Direct Costs'!$U$5:$U$2005,'Direct Costs'!$X$5:$X$2005,$A15,'Direct Costs'!$A$5:$A$2005,"&lt;"&amp;ReportFrom)+SUMIFS('Direct Costs'!$T$5:$T$2005,'Direct Costs'!$Z$5:$Z$2005,$A15,'Direct Costs'!$A$5:$A$2005,"&lt;"&amp;ReportFrom)))</f>
        <v/>
      </c>
      <c r="M15" s="25">
        <f>IF($A15="",0,SUMIFS('Direct Costs'!$R$5:$R$2005,'Direct Costs'!$V$5:$V$2005,$A15,'Direct Costs'!$A$5:$A$2005,"&gt;="&amp;ReportFrom,'Direct Costs'!$A$5:$A$2005,"&lt;="&amp;ReportTo)+SUMIFS('Direct Costs'!$S$5:$S$2005,'Direct Costs'!$Y$5:$Y$2005,$A15,'Direct Costs'!$A$5:$A$2005,"&gt;="&amp;ReportFrom,'Direct Costs'!$A$5:$A$2005,"&lt;="&amp;ReportTo))</f>
        <v/>
      </c>
      <c r="N15" s="25">
        <f>IF($A15="",0,SUMIFS('Direct Costs'!$L$5:$L$2005,'Direct Costs'!$W$5:$W$2005,$A15,'Direct Costs'!$A$5:$A$2005,"&gt;="&amp;ReportFrom,'Direct Costs'!$A$5:$A$2005,"&lt;="&amp;ReportTo)+SUMIFS('Direct Costs'!$U$5:$U$2005,'Direct Costs'!$X$5:$X$2005,$A15,'Direct Costs'!$A$5:$A$2005,"&gt;="&amp;ReportFrom,'Direct Costs'!$A$5:$A$2005,"&lt;="&amp;ReportTo)+SUMIFS('Direct Costs'!$T$5:$T$2005,'Direct Costs'!$Z$5:$Z$2005,$A15,'Direct Costs'!$A$5:$A$2005,"&gt;="&amp;ReportFrom,'Direct Costs'!$A$5:$A$2005,"&lt;="&amp;ReportTo))</f>
        <v/>
      </c>
      <c r="O15" s="25">
        <f>IF($A15="",0,(SUMIFS('Operating Expenses'!$F$5:$F$2005,'Operating Expenses'!$Q$5:$Q$2005,$A15,'Operating Expenses'!$A$5:$A$2005,"&lt;"&amp;ReportFrom)+SUMIFS('Operating Expenses'!$M$5:$M$2005,'Operating Expenses'!$T$5:$T$2005,$A15,'Operating Expenses'!$A$5:$A$2005,"&lt;"&amp;ReportFrom))-(SUMIFS('Operating Expenses'!$O$5:$O$2005,'Operating Expenses'!$R$5:$R$2005,$A15,'Operating Expenses'!$A$5:$A$2005,"&lt;"&amp;ReportFrom)+SUMIFS('Operating Expenses'!$P$5:$P$2005,'Operating Expenses'!$S$5:$S$2005,$A15,'Operating Expenses'!$A$5:$A$2005,"&lt;"&amp;ReportFrom)+SUMIFS('Operating Expenses'!$N$5:$N$2005,'Operating Expenses'!$U$5:$U$2005,$A15,'Operating Expenses'!$A$5:$A$2005,"&lt;"&amp;ReportFrom)))</f>
        <v/>
      </c>
      <c r="P15" s="25">
        <f>IF($A15="",0,SUMIFS('Operating Expenses'!$F$5:$F$2005,'Operating Expenses'!$Q$5:$Q$2005,$A15,'Operating Expenses'!$A$5:$A$2005,"&gt;="&amp;ReportFrom,'Operating Expenses'!$A$5:$A$2005,"&lt;="&amp;ReportTo)+SUMIFS('Operating Expenses'!$M$5:$M$2005,'Operating Expenses'!$T$5:$T$2005,$A15,'Operating Expenses'!$A$5:$A$2005,"&gt;="&amp;ReportFrom,'Operating Expenses'!$A$5:$A$2005,"&lt;="&amp;ReportTo))</f>
        <v/>
      </c>
      <c r="Q15" s="25">
        <f>IF($A15="",0,SUMIFS('Operating Expenses'!$O$5:$O$2005,'Operating Expenses'!$R$5:$R$2005,$A15,'Operating Expenses'!$A$5:$A$2005,"&gt;="&amp;ReportFrom,'Operating Expenses'!$A$5:$A$2005,"&lt;="&amp;ReportTo)+SUMIFS('Operating Expenses'!$P$5:$P$2005,'Operating Expenses'!$S$5:$S$2005,$A15,'Operating Expenses'!$A$5:$A$2005,"&gt;="&amp;ReportFrom,'Operating Expenses'!$A$5:$A$2005,"&lt;="&amp;ReportTo)+SUMIFS('Operating Expenses'!$N$5:$N$2005,'Operating Expenses'!$U$5:$U$2005,$A15,'Operating Expenses'!$A$5:$A$2005,"&gt;="&amp;ReportFrom,'Operating Expenses'!$A$5:$A$2005,"&lt;="&amp;ReportTo))</f>
        <v/>
      </c>
      <c r="R15" s="25">
        <f>IF($A15="",0,(SUMIFS('Payroll'!$O$5:$O$2005,'Payroll'!$Q$5:$Q$2005,$A15,'Payroll'!$A$5:$A$2005,"&lt;"&amp;ReportFrom))-(SUMIFS('Payroll'!$K$5:$K$2005,'Payroll'!$R$5:$R$2005,$A15,'Payroll'!$A$5:$A$2005,"&lt;"&amp;ReportFrom)+SUMIFS('Payroll'!$P$5:$P$2005,'Payroll'!$S$5:$S$2005,$A15,'Payroll'!$A$5:$A$2005,"&lt;"&amp;ReportFrom)))</f>
        <v/>
      </c>
      <c r="S15" s="25">
        <f>IF($A15="",0,SUMIFS('Payroll'!$O$5:$O$2005,'Payroll'!$Q$5:$Q$2005,$A15,'Payroll'!$A$5:$A$2005,"&gt;="&amp;ReportFrom,'Payroll'!$A$5:$A$2005,"&lt;="&amp;ReportTo))</f>
        <v/>
      </c>
      <c r="T15" s="25">
        <f>IF($A15="",0,SUMIFS('Payroll'!$K$5:$K$2005,'Payroll'!$R$5:$R$2005,$A15,'Payroll'!$A$5:$A$2005,"&gt;="&amp;ReportFrom,'Payroll'!$A$5:$A$2005,"&lt;="&amp;ReportTo)+SUMIFS('Payroll'!$P$5:$P$2005,'Payroll'!$S$5:$S$2005,$A15,'Payroll'!$A$5:$A$2005,"&gt;="&amp;ReportFrom,'Payroll'!$A$5:$A$2005,"&lt;="&amp;ReportTo))</f>
        <v/>
      </c>
      <c r="U15" s="25">
        <f>IF($A15="",0,(SUMIFS('Receipt Vouchers'!$F$5:$F$2005,'Receipt Vouchers'!$O$5:$O$2005,$A15,'Receipt Vouchers'!$A$5:$A$2005,"&lt;"&amp;ReportFrom)+SUMIFS('Receipt Vouchers'!$J$5:$J$2005,'Receipt Vouchers'!$Q$5:$Q$2005,$A15,'Receipt Vouchers'!$A$5:$A$2005,"&lt;"&amp;ReportFrom))-(SUMIFS('Receipt Vouchers'!$N$5:$N$2005,'Receipt Vouchers'!$P$5:$P$2005,$A15,'Receipt Vouchers'!$A$5:$A$2005,"&lt;"&amp;ReportFrom)+SUMIFS('Receipt Vouchers'!$M$5:$M$2005,'Receipt Vouchers'!$R$5:$R$2005,$A15,'Receipt Vouchers'!$A$5:$A$2005,"&lt;"&amp;ReportFrom)))</f>
        <v/>
      </c>
      <c r="V15" s="25">
        <f>IF($A15="",0,SUMIFS('Receipt Vouchers'!$F$5:$F$2005,'Receipt Vouchers'!$O$5:$O$2005,$A15,'Receipt Vouchers'!$A$5:$A$2005,"&gt;="&amp;ReportFrom,'Receipt Vouchers'!$A$5:$A$2005,"&lt;="&amp;ReportTo)+SUMIFS('Receipt Vouchers'!$J$5:$J$2005,'Receipt Vouchers'!$Q$5:$Q$2005,$A15,'Receipt Vouchers'!$A$5:$A$2005,"&gt;="&amp;ReportFrom,'Receipt Vouchers'!$A$5:$A$2005,"&lt;="&amp;ReportTo))</f>
        <v/>
      </c>
      <c r="W15" s="25">
        <f>IF($A15="",0,SUMIFS('Receipt Vouchers'!$N$5:$N$2005,'Receipt Vouchers'!$P$5:$P$2005,$A15,'Receipt Vouchers'!$A$5:$A$2005,"&gt;="&amp;ReportFrom,'Receipt Vouchers'!$A$5:$A$2005,"&lt;="&amp;ReportTo)+SUMIFS('Receipt Vouchers'!$M$5:$M$2005,'Receipt Vouchers'!$R$5:$R$2005,$A15,'Receipt Vouchers'!$A$5:$A$2005,"&gt;="&amp;ReportFrom,'Receipt Vouchers'!$A$5:$A$2005,"&lt;="&amp;ReportTo))</f>
        <v/>
      </c>
      <c r="X15" s="25">
        <f>IF($A15="",0,(SUMIFS('Sales Invoices'!$O$5:$O$2005,'Sales Invoices'!$P$5:$P$2005,$A15,'Sales Invoices'!$B$5:$B$2005,"&lt;"&amp;ReportFrom)+SUMIFS('Sales Invoices'!$N$5:$N$2005,'Sales Invoices'!$R$5:$R$2005,$A15,'Sales Invoices'!$B$5:$B$2005,"&lt;"&amp;ReportFrom))-(SUMIFS('Sales Invoices'!$L$5:$L$2005,'Sales Invoices'!$Q$5:$Q$2005,$A15,'Sales Invoices'!$B$5:$B$2005,"&lt;"&amp;ReportFrom)+SUMIFS('Sales Invoices'!$M$5:$M$2005,'Sales Invoices'!$S$5:$S$2005,$A15,'Sales Invoices'!$B$5:$B$2005,"&lt;"&amp;ReportFrom)))</f>
        <v/>
      </c>
      <c r="Y15" s="25">
        <f>IF($A15="",0,SUMIFS('Sales Invoices'!$O$5:$O$2005,'Sales Invoices'!$P$5:$P$2005,$A15,'Sales Invoices'!$B$5:$B$2005,"&gt;="&amp;ReportFrom,'Sales Invoices'!$B$5:$B$2005,"&lt;="&amp;ReportTo)+SUMIFS('Sales Invoices'!$N$5:$N$2005,'Sales Invoices'!$R$5:$R$2005,$A15,'Sales Invoices'!$B$5:$B$2005,"&gt;="&amp;ReportFrom,'Sales Invoices'!$B$5:$B$2005,"&lt;="&amp;ReportTo))</f>
        <v/>
      </c>
      <c r="Z15" s="25">
        <f>IF($A15="",0,SUMIFS('Sales Invoices'!$L$5:$L$2005,'Sales Invoices'!$Q$5:$Q$2005,$A15,'Sales Invoices'!$B$5:$B$2005,"&gt;="&amp;ReportFrom,'Sales Invoices'!$B$5:$B$2005,"&lt;="&amp;ReportTo)+SUMIFS('Sales Invoices'!$M$5:$M$2005,'Sales Invoices'!$S$5:$S$2005,$A15,'Sales Invoices'!$B$5:$B$2005,"&gt;="&amp;ReportFrom,'Sales Invoices'!$B$5:$B$2005,"&lt;="&amp;ReportTo))</f>
        <v/>
      </c>
      <c r="AA15" s="25">
        <f>IF($A15="",0,(SUMIFS('Payment Vouchers'!$D$5:$D$2005,'Payment Vouchers'!$J$5:$J$2005,$A15,'Payment Vouchers'!$A$5:$A$2005,"&lt;"&amp;ReportFrom))-(SUMIFS('Payment Vouchers'!$D$5:$D$2005,'Payment Vouchers'!$K$5:$K$2005,$A15,'Payment Vouchers'!$A$5:$A$2005,"&lt;"&amp;ReportFrom)))</f>
        <v/>
      </c>
      <c r="AB15" s="25">
        <f>IF($A15="",0,SUMIFS('Payment Vouchers'!$D$5:$D$2005,'Payment Vouchers'!$J$5:$J$2005,$A15,'Payment Vouchers'!$A$5:$A$2005,"&gt;="&amp;ReportFrom,'Payment Vouchers'!$A$5:$A$2005,"&lt;="&amp;ReportTo))</f>
        <v/>
      </c>
      <c r="AC15" s="25">
        <f>IF($A15="",0,SUMIFS('Payment Vouchers'!$D$5:$D$2005,'Payment Vouchers'!$K$5:$K$2005,$A15,'Payment Vouchers'!$A$5:$A$2005,"&gt;="&amp;ReportFrom,'Payment Vouchers'!$A$5:$A$2005,"&lt;="&amp;ReportTo))</f>
        <v/>
      </c>
      <c r="AD15" s="25">
        <f>IF($A15="",0,(SUMIFS('Partner Transactions'!$D$5:$D$2005,'Partner Transactions'!$L$5:$L$2005,$A15,'Partner Transactions'!$A$5:$A$2005,"&lt;"&amp;ReportFrom))-(SUMIFS('Partner Transactions'!$D$5:$D$2005,'Partner Transactions'!$M$5:$M$2005,$A15,'Partner Transactions'!$A$5:$A$2005,"&lt;"&amp;ReportFrom)))</f>
        <v/>
      </c>
      <c r="AE15" s="25">
        <f>IF($A15="",0,SUMIFS('Partner Transactions'!$D$5:$D$2005,'Partner Transactions'!$L$5:$L$2005,$A15,'Partner Transactions'!$A$5:$A$2005,"&gt;="&amp;ReportFrom,'Partner Transactions'!$A$5:$A$2005,"&lt;="&amp;ReportTo))</f>
        <v/>
      </c>
      <c r="AF15" s="25">
        <f>IF($A15="",0,SUMIFS('Partner Transactions'!$D$5:$D$2005,'Partner Transactions'!$M$5:$M$2005,$A15,'Partner Transactions'!$A$5:$A$2005,"&gt;="&amp;ReportFrom,'Partner Transactions'!$A$5:$A$2005,"&lt;="&amp;ReportTo))</f>
        <v/>
      </c>
      <c r="AG15" s="25">
        <f>IF($A15="",0,(SUMIFS('Stock Moves'!$S$5:$S$2005,'Stock Moves'!$AD$5:$AD$2005,$A15,'Stock Moves'!$A$5:$A$2005,"&lt;"&amp;ReportFrom)+SUMIFS('Stock Moves'!$T$5:$T$2005,'Stock Moves'!$V$5:$V$2005,$A15,'Stock Moves'!$A$5:$A$2005,"&lt;"&amp;ReportFrom))-(SUMIFS('Stock Moves'!$AF$5:$AF$2005,'Stock Moves'!$AE$5:$AE$2005,$A15,'Stock Moves'!$A$5:$A$2005,"&lt;"&amp;ReportFrom)+SUMIFS('Stock Moves'!$AC$5:$AC$2005,'Stock Moves'!$X$5:$X$2005,$A15,'Stock Moves'!$A$5:$A$2005,"&lt;"&amp;ReportFrom)+SUMIFS('Stock Moves'!$U$5:$U$2005,'Stock Moves'!$W$5:$W$2005,$A15,'Stock Moves'!$A$5:$A$2005,"&lt;"&amp;ReportFrom)))</f>
        <v/>
      </c>
      <c r="AH15" s="25">
        <f>IF($A15="",0,SUMIFS('Stock Moves'!$S$5:$S$2005,'Stock Moves'!$AD$5:$AD$2005,$A15,'Stock Moves'!$A$5:$A$2005,"&gt;="&amp;ReportFrom,'Stock Moves'!$A$5:$A$2005,"&lt;="&amp;ReportTo)+SUMIFS('Stock Moves'!$T$5:$T$2005,'Stock Moves'!$V$5:$V$2005,$A15,'Stock Moves'!$A$5:$A$2005,"&gt;="&amp;ReportFrom,'Stock Moves'!$A$5:$A$2005,"&lt;="&amp;ReportTo))</f>
        <v/>
      </c>
      <c r="AI15" s="25">
        <f>IF($A15="",0,SUMIFS('Stock Moves'!$AF$5:$AF$2005,'Stock Moves'!$AE$5:$AE$2005,$A15,'Stock Moves'!$A$5:$A$2005,"&gt;="&amp;ReportFrom,'Stock Moves'!$A$5:$A$2005,"&lt;="&amp;ReportTo)+SUMIFS('Stock Moves'!$AC$5:$AC$2005,'Stock Moves'!$X$5:$X$2005,$A15,'Stock Moves'!$A$5:$A$2005,"&gt;="&amp;ReportFrom,'Stock Moves'!$A$5:$A$2005,"&lt;="&amp;ReportTo)+SUMIFS('Stock Moves'!$U$5:$U$2005,'Stock Moves'!$W$5:$W$2005,$A15,'Stock Moves'!$A$5:$A$2005,"&gt;="&amp;ReportFrom,'Stock Moves'!$A$5:$A$2005,"&lt;="&amp;ReportTo))</f>
        <v/>
      </c>
      <c r="AJ15" s="25">
        <f>IF($A15="",0,(SUMIFS('Journal Vouchers'!$I$5:$I$2005,'Journal Vouchers'!$H$5:$H$2005,$A15,'Journal Vouchers'!$B$5:$B$2005,"&lt;"&amp;ReportFrom))-(SUMIFS('Journal Vouchers'!$J$5:$J$2005,'Journal Vouchers'!$H$5:$H$2005,$A15,'Journal Vouchers'!$B$5:$B$2005,"&lt;"&amp;ReportFrom)))</f>
        <v/>
      </c>
      <c r="AK15" s="25">
        <f>IF($A15="",0,SUMIFS('Journal Vouchers'!$I$5:$I$2005,'Journal Vouchers'!$H$5:$H$2005,$A15,'Journal Vouchers'!$B$5:$B$2005,"&gt;="&amp;ReportFrom,'Journal Vouchers'!$B$5:$B$2005,"&lt;="&amp;ReportTo))</f>
        <v/>
      </c>
      <c r="AL15" s="25">
        <f>IF($A15="",0,SUMIFS('Journal Vouchers'!$J$5:$J$2005,'Journal Vouchers'!$H$5:$H$2005,$A15,'Journal Vouchers'!$B$5:$B$2005,"&gt;="&amp;ReportFrom,'Journal Vouchers'!$B$5:$B$2005,"&lt;="&amp;ReportTo))</f>
        <v/>
      </c>
    </row>
    <row r="16">
      <c r="A16" s="25">
        <f>IF('Chart of Accounts'!A16="","",'Chart of Accounts'!A16&amp;"")</f>
        <v/>
      </c>
      <c r="B16" s="25">
        <f>IF(A16="","",'Chart of Accounts'!B16)</f>
        <v/>
      </c>
      <c r="C16" s="25">
        <f>IF(A16="","",'Chart of Accounts'!C16)</f>
        <v/>
      </c>
      <c r="D16" s="25">
        <f>IF(A16="","",'Chart of Accounts'!D16)</f>
        <v/>
      </c>
      <c r="E16" s="26">
        <f>L16+O16+R16+U16+X16+AA16+AD16+AG16+AJ16</f>
        <v/>
      </c>
      <c r="F16" s="26">
        <f>M16+P16+S16+V16+Y16+AB16+AE16+AH16+AK16</f>
        <v/>
      </c>
      <c r="G16" s="26">
        <f>N16+Q16+T16+W16+Z16+AC16+AF16+AI16+AL16</f>
        <v/>
      </c>
      <c r="H16" s="26">
        <f>E16+F16-G16</f>
        <v/>
      </c>
      <c r="I16" s="26">
        <f>MAX(H16,0)</f>
        <v/>
      </c>
      <c r="J16" s="26">
        <f>MAX(-H16,0)</f>
        <v/>
      </c>
      <c r="L16" s="25">
        <f>IF($A16="",0,(SUMIFS('Direct Costs'!$R$5:$R$2005,'Direct Costs'!$V$5:$V$2005,$A16,'Direct Costs'!$A$5:$A$2005,"&lt;"&amp;ReportFrom)+SUMIFS('Direct Costs'!$S$5:$S$2005,'Direct Costs'!$Y$5:$Y$2005,$A16,'Direct Costs'!$A$5:$A$2005,"&lt;"&amp;ReportFrom))-(SUMIFS('Direct Costs'!$L$5:$L$2005,'Direct Costs'!$W$5:$W$2005,$A16,'Direct Costs'!$A$5:$A$2005,"&lt;"&amp;ReportFrom)+SUMIFS('Direct Costs'!$U$5:$U$2005,'Direct Costs'!$X$5:$X$2005,$A16,'Direct Costs'!$A$5:$A$2005,"&lt;"&amp;ReportFrom)+SUMIFS('Direct Costs'!$T$5:$T$2005,'Direct Costs'!$Z$5:$Z$2005,$A16,'Direct Costs'!$A$5:$A$2005,"&lt;"&amp;ReportFrom)))</f>
        <v/>
      </c>
      <c r="M16" s="25">
        <f>IF($A16="",0,SUMIFS('Direct Costs'!$R$5:$R$2005,'Direct Costs'!$V$5:$V$2005,$A16,'Direct Costs'!$A$5:$A$2005,"&gt;="&amp;ReportFrom,'Direct Costs'!$A$5:$A$2005,"&lt;="&amp;ReportTo)+SUMIFS('Direct Costs'!$S$5:$S$2005,'Direct Costs'!$Y$5:$Y$2005,$A16,'Direct Costs'!$A$5:$A$2005,"&gt;="&amp;ReportFrom,'Direct Costs'!$A$5:$A$2005,"&lt;="&amp;ReportTo))</f>
        <v/>
      </c>
      <c r="N16" s="25">
        <f>IF($A16="",0,SUMIFS('Direct Costs'!$L$5:$L$2005,'Direct Costs'!$W$5:$W$2005,$A16,'Direct Costs'!$A$5:$A$2005,"&gt;="&amp;ReportFrom,'Direct Costs'!$A$5:$A$2005,"&lt;="&amp;ReportTo)+SUMIFS('Direct Costs'!$U$5:$U$2005,'Direct Costs'!$X$5:$X$2005,$A16,'Direct Costs'!$A$5:$A$2005,"&gt;="&amp;ReportFrom,'Direct Costs'!$A$5:$A$2005,"&lt;="&amp;ReportTo)+SUMIFS('Direct Costs'!$T$5:$T$2005,'Direct Costs'!$Z$5:$Z$2005,$A16,'Direct Costs'!$A$5:$A$2005,"&gt;="&amp;ReportFrom,'Direct Costs'!$A$5:$A$2005,"&lt;="&amp;ReportTo))</f>
        <v/>
      </c>
      <c r="O16" s="25">
        <f>IF($A16="",0,(SUMIFS('Operating Expenses'!$F$5:$F$2005,'Operating Expenses'!$Q$5:$Q$2005,$A16,'Operating Expenses'!$A$5:$A$2005,"&lt;"&amp;ReportFrom)+SUMIFS('Operating Expenses'!$M$5:$M$2005,'Operating Expenses'!$T$5:$T$2005,$A16,'Operating Expenses'!$A$5:$A$2005,"&lt;"&amp;ReportFrom))-(SUMIFS('Operating Expenses'!$O$5:$O$2005,'Operating Expenses'!$R$5:$R$2005,$A16,'Operating Expenses'!$A$5:$A$2005,"&lt;"&amp;ReportFrom)+SUMIFS('Operating Expenses'!$P$5:$P$2005,'Operating Expenses'!$S$5:$S$2005,$A16,'Operating Expenses'!$A$5:$A$2005,"&lt;"&amp;ReportFrom)+SUMIFS('Operating Expenses'!$N$5:$N$2005,'Operating Expenses'!$U$5:$U$2005,$A16,'Operating Expenses'!$A$5:$A$2005,"&lt;"&amp;ReportFrom)))</f>
        <v/>
      </c>
      <c r="P16" s="25">
        <f>IF($A16="",0,SUMIFS('Operating Expenses'!$F$5:$F$2005,'Operating Expenses'!$Q$5:$Q$2005,$A16,'Operating Expenses'!$A$5:$A$2005,"&gt;="&amp;ReportFrom,'Operating Expenses'!$A$5:$A$2005,"&lt;="&amp;ReportTo)+SUMIFS('Operating Expenses'!$M$5:$M$2005,'Operating Expenses'!$T$5:$T$2005,$A16,'Operating Expenses'!$A$5:$A$2005,"&gt;="&amp;ReportFrom,'Operating Expenses'!$A$5:$A$2005,"&lt;="&amp;ReportTo))</f>
        <v/>
      </c>
      <c r="Q16" s="25">
        <f>IF($A16="",0,SUMIFS('Operating Expenses'!$O$5:$O$2005,'Operating Expenses'!$R$5:$R$2005,$A16,'Operating Expenses'!$A$5:$A$2005,"&gt;="&amp;ReportFrom,'Operating Expenses'!$A$5:$A$2005,"&lt;="&amp;ReportTo)+SUMIFS('Operating Expenses'!$P$5:$P$2005,'Operating Expenses'!$S$5:$S$2005,$A16,'Operating Expenses'!$A$5:$A$2005,"&gt;="&amp;ReportFrom,'Operating Expenses'!$A$5:$A$2005,"&lt;="&amp;ReportTo)+SUMIFS('Operating Expenses'!$N$5:$N$2005,'Operating Expenses'!$U$5:$U$2005,$A16,'Operating Expenses'!$A$5:$A$2005,"&gt;="&amp;ReportFrom,'Operating Expenses'!$A$5:$A$2005,"&lt;="&amp;ReportTo))</f>
        <v/>
      </c>
      <c r="R16" s="25">
        <f>IF($A16="",0,(SUMIFS('Payroll'!$O$5:$O$2005,'Payroll'!$Q$5:$Q$2005,$A16,'Payroll'!$A$5:$A$2005,"&lt;"&amp;ReportFrom))-(SUMIFS('Payroll'!$K$5:$K$2005,'Payroll'!$R$5:$R$2005,$A16,'Payroll'!$A$5:$A$2005,"&lt;"&amp;ReportFrom)+SUMIFS('Payroll'!$P$5:$P$2005,'Payroll'!$S$5:$S$2005,$A16,'Payroll'!$A$5:$A$2005,"&lt;"&amp;ReportFrom)))</f>
        <v/>
      </c>
      <c r="S16" s="25">
        <f>IF($A16="",0,SUMIFS('Payroll'!$O$5:$O$2005,'Payroll'!$Q$5:$Q$2005,$A16,'Payroll'!$A$5:$A$2005,"&gt;="&amp;ReportFrom,'Payroll'!$A$5:$A$2005,"&lt;="&amp;ReportTo))</f>
        <v/>
      </c>
      <c r="T16" s="25">
        <f>IF($A16="",0,SUMIFS('Payroll'!$K$5:$K$2005,'Payroll'!$R$5:$R$2005,$A16,'Payroll'!$A$5:$A$2005,"&gt;="&amp;ReportFrom,'Payroll'!$A$5:$A$2005,"&lt;="&amp;ReportTo)+SUMIFS('Payroll'!$P$5:$P$2005,'Payroll'!$S$5:$S$2005,$A16,'Payroll'!$A$5:$A$2005,"&gt;="&amp;ReportFrom,'Payroll'!$A$5:$A$2005,"&lt;="&amp;ReportTo))</f>
        <v/>
      </c>
      <c r="U16" s="25">
        <f>IF($A16="",0,(SUMIFS('Receipt Vouchers'!$F$5:$F$2005,'Receipt Vouchers'!$O$5:$O$2005,$A16,'Receipt Vouchers'!$A$5:$A$2005,"&lt;"&amp;ReportFrom)+SUMIFS('Receipt Vouchers'!$J$5:$J$2005,'Receipt Vouchers'!$Q$5:$Q$2005,$A16,'Receipt Vouchers'!$A$5:$A$2005,"&lt;"&amp;ReportFrom))-(SUMIFS('Receipt Vouchers'!$N$5:$N$2005,'Receipt Vouchers'!$P$5:$P$2005,$A16,'Receipt Vouchers'!$A$5:$A$2005,"&lt;"&amp;ReportFrom)+SUMIFS('Receipt Vouchers'!$M$5:$M$2005,'Receipt Vouchers'!$R$5:$R$2005,$A16,'Receipt Vouchers'!$A$5:$A$2005,"&lt;"&amp;ReportFrom)))</f>
        <v/>
      </c>
      <c r="V16" s="25">
        <f>IF($A16="",0,SUMIFS('Receipt Vouchers'!$F$5:$F$2005,'Receipt Vouchers'!$O$5:$O$2005,$A16,'Receipt Vouchers'!$A$5:$A$2005,"&gt;="&amp;ReportFrom,'Receipt Vouchers'!$A$5:$A$2005,"&lt;="&amp;ReportTo)+SUMIFS('Receipt Vouchers'!$J$5:$J$2005,'Receipt Vouchers'!$Q$5:$Q$2005,$A16,'Receipt Vouchers'!$A$5:$A$2005,"&gt;="&amp;ReportFrom,'Receipt Vouchers'!$A$5:$A$2005,"&lt;="&amp;ReportTo))</f>
        <v/>
      </c>
      <c r="W16" s="25">
        <f>IF($A16="",0,SUMIFS('Receipt Vouchers'!$N$5:$N$2005,'Receipt Vouchers'!$P$5:$P$2005,$A16,'Receipt Vouchers'!$A$5:$A$2005,"&gt;="&amp;ReportFrom,'Receipt Vouchers'!$A$5:$A$2005,"&lt;="&amp;ReportTo)+SUMIFS('Receipt Vouchers'!$M$5:$M$2005,'Receipt Vouchers'!$R$5:$R$2005,$A16,'Receipt Vouchers'!$A$5:$A$2005,"&gt;="&amp;ReportFrom,'Receipt Vouchers'!$A$5:$A$2005,"&lt;="&amp;ReportTo))</f>
        <v/>
      </c>
      <c r="X16" s="25">
        <f>IF($A16="",0,(SUMIFS('Sales Invoices'!$O$5:$O$2005,'Sales Invoices'!$P$5:$P$2005,$A16,'Sales Invoices'!$B$5:$B$2005,"&lt;"&amp;ReportFrom)+SUMIFS('Sales Invoices'!$N$5:$N$2005,'Sales Invoices'!$R$5:$R$2005,$A16,'Sales Invoices'!$B$5:$B$2005,"&lt;"&amp;ReportFrom))-(SUMIFS('Sales Invoices'!$L$5:$L$2005,'Sales Invoices'!$Q$5:$Q$2005,$A16,'Sales Invoices'!$B$5:$B$2005,"&lt;"&amp;ReportFrom)+SUMIFS('Sales Invoices'!$M$5:$M$2005,'Sales Invoices'!$S$5:$S$2005,$A16,'Sales Invoices'!$B$5:$B$2005,"&lt;"&amp;ReportFrom)))</f>
        <v/>
      </c>
      <c r="Y16" s="25">
        <f>IF($A16="",0,SUMIFS('Sales Invoices'!$O$5:$O$2005,'Sales Invoices'!$P$5:$P$2005,$A16,'Sales Invoices'!$B$5:$B$2005,"&gt;="&amp;ReportFrom,'Sales Invoices'!$B$5:$B$2005,"&lt;="&amp;ReportTo)+SUMIFS('Sales Invoices'!$N$5:$N$2005,'Sales Invoices'!$R$5:$R$2005,$A16,'Sales Invoices'!$B$5:$B$2005,"&gt;="&amp;ReportFrom,'Sales Invoices'!$B$5:$B$2005,"&lt;="&amp;ReportTo))</f>
        <v/>
      </c>
      <c r="Z16" s="25">
        <f>IF($A16="",0,SUMIFS('Sales Invoices'!$L$5:$L$2005,'Sales Invoices'!$Q$5:$Q$2005,$A16,'Sales Invoices'!$B$5:$B$2005,"&gt;="&amp;ReportFrom,'Sales Invoices'!$B$5:$B$2005,"&lt;="&amp;ReportTo)+SUMIFS('Sales Invoices'!$M$5:$M$2005,'Sales Invoices'!$S$5:$S$2005,$A16,'Sales Invoices'!$B$5:$B$2005,"&gt;="&amp;ReportFrom,'Sales Invoices'!$B$5:$B$2005,"&lt;="&amp;ReportTo))</f>
        <v/>
      </c>
      <c r="AA16" s="25">
        <f>IF($A16="",0,(SUMIFS('Payment Vouchers'!$D$5:$D$2005,'Payment Vouchers'!$J$5:$J$2005,$A16,'Payment Vouchers'!$A$5:$A$2005,"&lt;"&amp;ReportFrom))-(SUMIFS('Payment Vouchers'!$D$5:$D$2005,'Payment Vouchers'!$K$5:$K$2005,$A16,'Payment Vouchers'!$A$5:$A$2005,"&lt;"&amp;ReportFrom)))</f>
        <v/>
      </c>
      <c r="AB16" s="25">
        <f>IF($A16="",0,SUMIFS('Payment Vouchers'!$D$5:$D$2005,'Payment Vouchers'!$J$5:$J$2005,$A16,'Payment Vouchers'!$A$5:$A$2005,"&gt;="&amp;ReportFrom,'Payment Vouchers'!$A$5:$A$2005,"&lt;="&amp;ReportTo))</f>
        <v/>
      </c>
      <c r="AC16" s="25">
        <f>IF($A16="",0,SUMIFS('Payment Vouchers'!$D$5:$D$2005,'Payment Vouchers'!$K$5:$K$2005,$A16,'Payment Vouchers'!$A$5:$A$2005,"&gt;="&amp;ReportFrom,'Payment Vouchers'!$A$5:$A$2005,"&lt;="&amp;ReportTo))</f>
        <v/>
      </c>
      <c r="AD16" s="25">
        <f>IF($A16="",0,(SUMIFS('Partner Transactions'!$D$5:$D$2005,'Partner Transactions'!$L$5:$L$2005,$A16,'Partner Transactions'!$A$5:$A$2005,"&lt;"&amp;ReportFrom))-(SUMIFS('Partner Transactions'!$D$5:$D$2005,'Partner Transactions'!$M$5:$M$2005,$A16,'Partner Transactions'!$A$5:$A$2005,"&lt;"&amp;ReportFrom)))</f>
        <v/>
      </c>
      <c r="AE16" s="25">
        <f>IF($A16="",0,SUMIFS('Partner Transactions'!$D$5:$D$2005,'Partner Transactions'!$L$5:$L$2005,$A16,'Partner Transactions'!$A$5:$A$2005,"&gt;="&amp;ReportFrom,'Partner Transactions'!$A$5:$A$2005,"&lt;="&amp;ReportTo))</f>
        <v/>
      </c>
      <c r="AF16" s="25">
        <f>IF($A16="",0,SUMIFS('Partner Transactions'!$D$5:$D$2005,'Partner Transactions'!$M$5:$M$2005,$A16,'Partner Transactions'!$A$5:$A$2005,"&gt;="&amp;ReportFrom,'Partner Transactions'!$A$5:$A$2005,"&lt;="&amp;ReportTo))</f>
        <v/>
      </c>
      <c r="AG16" s="25">
        <f>IF($A16="",0,(SUMIFS('Stock Moves'!$S$5:$S$2005,'Stock Moves'!$AD$5:$AD$2005,$A16,'Stock Moves'!$A$5:$A$2005,"&lt;"&amp;ReportFrom)+SUMIFS('Stock Moves'!$T$5:$T$2005,'Stock Moves'!$V$5:$V$2005,$A16,'Stock Moves'!$A$5:$A$2005,"&lt;"&amp;ReportFrom))-(SUMIFS('Stock Moves'!$AF$5:$AF$2005,'Stock Moves'!$AE$5:$AE$2005,$A16,'Stock Moves'!$A$5:$A$2005,"&lt;"&amp;ReportFrom)+SUMIFS('Stock Moves'!$AC$5:$AC$2005,'Stock Moves'!$X$5:$X$2005,$A16,'Stock Moves'!$A$5:$A$2005,"&lt;"&amp;ReportFrom)+SUMIFS('Stock Moves'!$U$5:$U$2005,'Stock Moves'!$W$5:$W$2005,$A16,'Stock Moves'!$A$5:$A$2005,"&lt;"&amp;ReportFrom)))</f>
        <v/>
      </c>
      <c r="AH16" s="25">
        <f>IF($A16="",0,SUMIFS('Stock Moves'!$S$5:$S$2005,'Stock Moves'!$AD$5:$AD$2005,$A16,'Stock Moves'!$A$5:$A$2005,"&gt;="&amp;ReportFrom,'Stock Moves'!$A$5:$A$2005,"&lt;="&amp;ReportTo)+SUMIFS('Stock Moves'!$T$5:$T$2005,'Stock Moves'!$V$5:$V$2005,$A16,'Stock Moves'!$A$5:$A$2005,"&gt;="&amp;ReportFrom,'Stock Moves'!$A$5:$A$2005,"&lt;="&amp;ReportTo))</f>
        <v/>
      </c>
      <c r="AI16" s="25">
        <f>IF($A16="",0,SUMIFS('Stock Moves'!$AF$5:$AF$2005,'Stock Moves'!$AE$5:$AE$2005,$A16,'Stock Moves'!$A$5:$A$2005,"&gt;="&amp;ReportFrom,'Stock Moves'!$A$5:$A$2005,"&lt;="&amp;ReportTo)+SUMIFS('Stock Moves'!$AC$5:$AC$2005,'Stock Moves'!$X$5:$X$2005,$A16,'Stock Moves'!$A$5:$A$2005,"&gt;="&amp;ReportFrom,'Stock Moves'!$A$5:$A$2005,"&lt;="&amp;ReportTo)+SUMIFS('Stock Moves'!$U$5:$U$2005,'Stock Moves'!$W$5:$W$2005,$A16,'Stock Moves'!$A$5:$A$2005,"&gt;="&amp;ReportFrom,'Stock Moves'!$A$5:$A$2005,"&lt;="&amp;ReportTo))</f>
        <v/>
      </c>
      <c r="AJ16" s="25">
        <f>IF($A16="",0,(SUMIFS('Journal Vouchers'!$I$5:$I$2005,'Journal Vouchers'!$H$5:$H$2005,$A16,'Journal Vouchers'!$B$5:$B$2005,"&lt;"&amp;ReportFrom))-(SUMIFS('Journal Vouchers'!$J$5:$J$2005,'Journal Vouchers'!$H$5:$H$2005,$A16,'Journal Vouchers'!$B$5:$B$2005,"&lt;"&amp;ReportFrom)))</f>
        <v/>
      </c>
      <c r="AK16" s="25">
        <f>IF($A16="",0,SUMIFS('Journal Vouchers'!$I$5:$I$2005,'Journal Vouchers'!$H$5:$H$2005,$A16,'Journal Vouchers'!$B$5:$B$2005,"&gt;="&amp;ReportFrom,'Journal Vouchers'!$B$5:$B$2005,"&lt;="&amp;ReportTo))</f>
        <v/>
      </c>
      <c r="AL16" s="25">
        <f>IF($A16="",0,SUMIFS('Journal Vouchers'!$J$5:$J$2005,'Journal Vouchers'!$H$5:$H$2005,$A16,'Journal Vouchers'!$B$5:$B$2005,"&gt;="&amp;ReportFrom,'Journal Vouchers'!$B$5:$B$2005,"&lt;="&amp;ReportTo))</f>
        <v/>
      </c>
    </row>
    <row r="17">
      <c r="A17" s="25">
        <f>IF('Chart of Accounts'!A17="","",'Chart of Accounts'!A17&amp;"")</f>
        <v/>
      </c>
      <c r="B17" s="25">
        <f>IF(A17="","",'Chart of Accounts'!B17)</f>
        <v/>
      </c>
      <c r="C17" s="25">
        <f>IF(A17="","",'Chart of Accounts'!C17)</f>
        <v/>
      </c>
      <c r="D17" s="25">
        <f>IF(A17="","",'Chart of Accounts'!D17)</f>
        <v/>
      </c>
      <c r="E17" s="26">
        <f>L17+O17+R17+U17+X17+AA17+AD17+AG17+AJ17</f>
        <v/>
      </c>
      <c r="F17" s="26">
        <f>M17+P17+S17+V17+Y17+AB17+AE17+AH17+AK17</f>
        <v/>
      </c>
      <c r="G17" s="26">
        <f>N17+Q17+T17+W17+Z17+AC17+AF17+AI17+AL17</f>
        <v/>
      </c>
      <c r="H17" s="26">
        <f>E17+F17-G17</f>
        <v/>
      </c>
      <c r="I17" s="26">
        <f>MAX(H17,0)</f>
        <v/>
      </c>
      <c r="J17" s="26">
        <f>MAX(-H17,0)</f>
        <v/>
      </c>
      <c r="L17" s="25">
        <f>IF($A17="",0,(SUMIFS('Direct Costs'!$R$5:$R$2005,'Direct Costs'!$V$5:$V$2005,$A17,'Direct Costs'!$A$5:$A$2005,"&lt;"&amp;ReportFrom)+SUMIFS('Direct Costs'!$S$5:$S$2005,'Direct Costs'!$Y$5:$Y$2005,$A17,'Direct Costs'!$A$5:$A$2005,"&lt;"&amp;ReportFrom))-(SUMIFS('Direct Costs'!$L$5:$L$2005,'Direct Costs'!$W$5:$W$2005,$A17,'Direct Costs'!$A$5:$A$2005,"&lt;"&amp;ReportFrom)+SUMIFS('Direct Costs'!$U$5:$U$2005,'Direct Costs'!$X$5:$X$2005,$A17,'Direct Costs'!$A$5:$A$2005,"&lt;"&amp;ReportFrom)+SUMIFS('Direct Costs'!$T$5:$T$2005,'Direct Costs'!$Z$5:$Z$2005,$A17,'Direct Costs'!$A$5:$A$2005,"&lt;"&amp;ReportFrom)))</f>
        <v/>
      </c>
      <c r="M17" s="25">
        <f>IF($A17="",0,SUMIFS('Direct Costs'!$R$5:$R$2005,'Direct Costs'!$V$5:$V$2005,$A17,'Direct Costs'!$A$5:$A$2005,"&gt;="&amp;ReportFrom,'Direct Costs'!$A$5:$A$2005,"&lt;="&amp;ReportTo)+SUMIFS('Direct Costs'!$S$5:$S$2005,'Direct Costs'!$Y$5:$Y$2005,$A17,'Direct Costs'!$A$5:$A$2005,"&gt;="&amp;ReportFrom,'Direct Costs'!$A$5:$A$2005,"&lt;="&amp;ReportTo))</f>
        <v/>
      </c>
      <c r="N17" s="25">
        <f>IF($A17="",0,SUMIFS('Direct Costs'!$L$5:$L$2005,'Direct Costs'!$W$5:$W$2005,$A17,'Direct Costs'!$A$5:$A$2005,"&gt;="&amp;ReportFrom,'Direct Costs'!$A$5:$A$2005,"&lt;="&amp;ReportTo)+SUMIFS('Direct Costs'!$U$5:$U$2005,'Direct Costs'!$X$5:$X$2005,$A17,'Direct Costs'!$A$5:$A$2005,"&gt;="&amp;ReportFrom,'Direct Costs'!$A$5:$A$2005,"&lt;="&amp;ReportTo)+SUMIFS('Direct Costs'!$T$5:$T$2005,'Direct Costs'!$Z$5:$Z$2005,$A17,'Direct Costs'!$A$5:$A$2005,"&gt;="&amp;ReportFrom,'Direct Costs'!$A$5:$A$2005,"&lt;="&amp;ReportTo))</f>
        <v/>
      </c>
      <c r="O17" s="25">
        <f>IF($A17="",0,(SUMIFS('Operating Expenses'!$F$5:$F$2005,'Operating Expenses'!$Q$5:$Q$2005,$A17,'Operating Expenses'!$A$5:$A$2005,"&lt;"&amp;ReportFrom)+SUMIFS('Operating Expenses'!$M$5:$M$2005,'Operating Expenses'!$T$5:$T$2005,$A17,'Operating Expenses'!$A$5:$A$2005,"&lt;"&amp;ReportFrom))-(SUMIFS('Operating Expenses'!$O$5:$O$2005,'Operating Expenses'!$R$5:$R$2005,$A17,'Operating Expenses'!$A$5:$A$2005,"&lt;"&amp;ReportFrom)+SUMIFS('Operating Expenses'!$P$5:$P$2005,'Operating Expenses'!$S$5:$S$2005,$A17,'Operating Expenses'!$A$5:$A$2005,"&lt;"&amp;ReportFrom)+SUMIFS('Operating Expenses'!$N$5:$N$2005,'Operating Expenses'!$U$5:$U$2005,$A17,'Operating Expenses'!$A$5:$A$2005,"&lt;"&amp;ReportFrom)))</f>
        <v/>
      </c>
      <c r="P17" s="25">
        <f>IF($A17="",0,SUMIFS('Operating Expenses'!$F$5:$F$2005,'Operating Expenses'!$Q$5:$Q$2005,$A17,'Operating Expenses'!$A$5:$A$2005,"&gt;="&amp;ReportFrom,'Operating Expenses'!$A$5:$A$2005,"&lt;="&amp;ReportTo)+SUMIFS('Operating Expenses'!$M$5:$M$2005,'Operating Expenses'!$T$5:$T$2005,$A17,'Operating Expenses'!$A$5:$A$2005,"&gt;="&amp;ReportFrom,'Operating Expenses'!$A$5:$A$2005,"&lt;="&amp;ReportTo))</f>
        <v/>
      </c>
      <c r="Q17" s="25">
        <f>IF($A17="",0,SUMIFS('Operating Expenses'!$O$5:$O$2005,'Operating Expenses'!$R$5:$R$2005,$A17,'Operating Expenses'!$A$5:$A$2005,"&gt;="&amp;ReportFrom,'Operating Expenses'!$A$5:$A$2005,"&lt;="&amp;ReportTo)+SUMIFS('Operating Expenses'!$P$5:$P$2005,'Operating Expenses'!$S$5:$S$2005,$A17,'Operating Expenses'!$A$5:$A$2005,"&gt;="&amp;ReportFrom,'Operating Expenses'!$A$5:$A$2005,"&lt;="&amp;ReportTo)+SUMIFS('Operating Expenses'!$N$5:$N$2005,'Operating Expenses'!$U$5:$U$2005,$A17,'Operating Expenses'!$A$5:$A$2005,"&gt;="&amp;ReportFrom,'Operating Expenses'!$A$5:$A$2005,"&lt;="&amp;ReportTo))</f>
        <v/>
      </c>
      <c r="R17" s="25">
        <f>IF($A17="",0,(SUMIFS('Payroll'!$O$5:$O$2005,'Payroll'!$Q$5:$Q$2005,$A17,'Payroll'!$A$5:$A$2005,"&lt;"&amp;ReportFrom))-(SUMIFS('Payroll'!$K$5:$K$2005,'Payroll'!$R$5:$R$2005,$A17,'Payroll'!$A$5:$A$2005,"&lt;"&amp;ReportFrom)+SUMIFS('Payroll'!$P$5:$P$2005,'Payroll'!$S$5:$S$2005,$A17,'Payroll'!$A$5:$A$2005,"&lt;"&amp;ReportFrom)))</f>
        <v/>
      </c>
      <c r="S17" s="25">
        <f>IF($A17="",0,SUMIFS('Payroll'!$O$5:$O$2005,'Payroll'!$Q$5:$Q$2005,$A17,'Payroll'!$A$5:$A$2005,"&gt;="&amp;ReportFrom,'Payroll'!$A$5:$A$2005,"&lt;="&amp;ReportTo))</f>
        <v/>
      </c>
      <c r="T17" s="25">
        <f>IF($A17="",0,SUMIFS('Payroll'!$K$5:$K$2005,'Payroll'!$R$5:$R$2005,$A17,'Payroll'!$A$5:$A$2005,"&gt;="&amp;ReportFrom,'Payroll'!$A$5:$A$2005,"&lt;="&amp;ReportTo)+SUMIFS('Payroll'!$P$5:$P$2005,'Payroll'!$S$5:$S$2005,$A17,'Payroll'!$A$5:$A$2005,"&gt;="&amp;ReportFrom,'Payroll'!$A$5:$A$2005,"&lt;="&amp;ReportTo))</f>
        <v/>
      </c>
      <c r="U17" s="25">
        <f>IF($A17="",0,(SUMIFS('Receipt Vouchers'!$F$5:$F$2005,'Receipt Vouchers'!$O$5:$O$2005,$A17,'Receipt Vouchers'!$A$5:$A$2005,"&lt;"&amp;ReportFrom)+SUMIFS('Receipt Vouchers'!$J$5:$J$2005,'Receipt Vouchers'!$Q$5:$Q$2005,$A17,'Receipt Vouchers'!$A$5:$A$2005,"&lt;"&amp;ReportFrom))-(SUMIFS('Receipt Vouchers'!$N$5:$N$2005,'Receipt Vouchers'!$P$5:$P$2005,$A17,'Receipt Vouchers'!$A$5:$A$2005,"&lt;"&amp;ReportFrom)+SUMIFS('Receipt Vouchers'!$M$5:$M$2005,'Receipt Vouchers'!$R$5:$R$2005,$A17,'Receipt Vouchers'!$A$5:$A$2005,"&lt;"&amp;ReportFrom)))</f>
        <v/>
      </c>
      <c r="V17" s="25">
        <f>IF($A17="",0,SUMIFS('Receipt Vouchers'!$F$5:$F$2005,'Receipt Vouchers'!$O$5:$O$2005,$A17,'Receipt Vouchers'!$A$5:$A$2005,"&gt;="&amp;ReportFrom,'Receipt Vouchers'!$A$5:$A$2005,"&lt;="&amp;ReportTo)+SUMIFS('Receipt Vouchers'!$J$5:$J$2005,'Receipt Vouchers'!$Q$5:$Q$2005,$A17,'Receipt Vouchers'!$A$5:$A$2005,"&gt;="&amp;ReportFrom,'Receipt Vouchers'!$A$5:$A$2005,"&lt;="&amp;ReportTo))</f>
        <v/>
      </c>
      <c r="W17" s="25">
        <f>IF($A17="",0,SUMIFS('Receipt Vouchers'!$N$5:$N$2005,'Receipt Vouchers'!$P$5:$P$2005,$A17,'Receipt Vouchers'!$A$5:$A$2005,"&gt;="&amp;ReportFrom,'Receipt Vouchers'!$A$5:$A$2005,"&lt;="&amp;ReportTo)+SUMIFS('Receipt Vouchers'!$M$5:$M$2005,'Receipt Vouchers'!$R$5:$R$2005,$A17,'Receipt Vouchers'!$A$5:$A$2005,"&gt;="&amp;ReportFrom,'Receipt Vouchers'!$A$5:$A$2005,"&lt;="&amp;ReportTo))</f>
        <v/>
      </c>
      <c r="X17" s="25">
        <f>IF($A17="",0,(SUMIFS('Sales Invoices'!$O$5:$O$2005,'Sales Invoices'!$P$5:$P$2005,$A17,'Sales Invoices'!$B$5:$B$2005,"&lt;"&amp;ReportFrom)+SUMIFS('Sales Invoices'!$N$5:$N$2005,'Sales Invoices'!$R$5:$R$2005,$A17,'Sales Invoices'!$B$5:$B$2005,"&lt;"&amp;ReportFrom))-(SUMIFS('Sales Invoices'!$L$5:$L$2005,'Sales Invoices'!$Q$5:$Q$2005,$A17,'Sales Invoices'!$B$5:$B$2005,"&lt;"&amp;ReportFrom)+SUMIFS('Sales Invoices'!$M$5:$M$2005,'Sales Invoices'!$S$5:$S$2005,$A17,'Sales Invoices'!$B$5:$B$2005,"&lt;"&amp;ReportFrom)))</f>
        <v/>
      </c>
      <c r="Y17" s="25">
        <f>IF($A17="",0,SUMIFS('Sales Invoices'!$O$5:$O$2005,'Sales Invoices'!$P$5:$P$2005,$A17,'Sales Invoices'!$B$5:$B$2005,"&gt;="&amp;ReportFrom,'Sales Invoices'!$B$5:$B$2005,"&lt;="&amp;ReportTo)+SUMIFS('Sales Invoices'!$N$5:$N$2005,'Sales Invoices'!$R$5:$R$2005,$A17,'Sales Invoices'!$B$5:$B$2005,"&gt;="&amp;ReportFrom,'Sales Invoices'!$B$5:$B$2005,"&lt;="&amp;ReportTo))</f>
        <v/>
      </c>
      <c r="Z17" s="25">
        <f>IF($A17="",0,SUMIFS('Sales Invoices'!$L$5:$L$2005,'Sales Invoices'!$Q$5:$Q$2005,$A17,'Sales Invoices'!$B$5:$B$2005,"&gt;="&amp;ReportFrom,'Sales Invoices'!$B$5:$B$2005,"&lt;="&amp;ReportTo)+SUMIFS('Sales Invoices'!$M$5:$M$2005,'Sales Invoices'!$S$5:$S$2005,$A17,'Sales Invoices'!$B$5:$B$2005,"&gt;="&amp;ReportFrom,'Sales Invoices'!$B$5:$B$2005,"&lt;="&amp;ReportTo))</f>
        <v/>
      </c>
      <c r="AA17" s="25">
        <f>IF($A17="",0,(SUMIFS('Payment Vouchers'!$D$5:$D$2005,'Payment Vouchers'!$J$5:$J$2005,$A17,'Payment Vouchers'!$A$5:$A$2005,"&lt;"&amp;ReportFrom))-(SUMIFS('Payment Vouchers'!$D$5:$D$2005,'Payment Vouchers'!$K$5:$K$2005,$A17,'Payment Vouchers'!$A$5:$A$2005,"&lt;"&amp;ReportFrom)))</f>
        <v/>
      </c>
      <c r="AB17" s="25">
        <f>IF($A17="",0,SUMIFS('Payment Vouchers'!$D$5:$D$2005,'Payment Vouchers'!$J$5:$J$2005,$A17,'Payment Vouchers'!$A$5:$A$2005,"&gt;="&amp;ReportFrom,'Payment Vouchers'!$A$5:$A$2005,"&lt;="&amp;ReportTo))</f>
        <v/>
      </c>
      <c r="AC17" s="25">
        <f>IF($A17="",0,SUMIFS('Payment Vouchers'!$D$5:$D$2005,'Payment Vouchers'!$K$5:$K$2005,$A17,'Payment Vouchers'!$A$5:$A$2005,"&gt;="&amp;ReportFrom,'Payment Vouchers'!$A$5:$A$2005,"&lt;="&amp;ReportTo))</f>
        <v/>
      </c>
      <c r="AD17" s="25">
        <f>IF($A17="",0,(SUMIFS('Partner Transactions'!$D$5:$D$2005,'Partner Transactions'!$L$5:$L$2005,$A17,'Partner Transactions'!$A$5:$A$2005,"&lt;"&amp;ReportFrom))-(SUMIFS('Partner Transactions'!$D$5:$D$2005,'Partner Transactions'!$M$5:$M$2005,$A17,'Partner Transactions'!$A$5:$A$2005,"&lt;"&amp;ReportFrom)))</f>
        <v/>
      </c>
      <c r="AE17" s="25">
        <f>IF($A17="",0,SUMIFS('Partner Transactions'!$D$5:$D$2005,'Partner Transactions'!$L$5:$L$2005,$A17,'Partner Transactions'!$A$5:$A$2005,"&gt;="&amp;ReportFrom,'Partner Transactions'!$A$5:$A$2005,"&lt;="&amp;ReportTo))</f>
        <v/>
      </c>
      <c r="AF17" s="25">
        <f>IF($A17="",0,SUMIFS('Partner Transactions'!$D$5:$D$2005,'Partner Transactions'!$M$5:$M$2005,$A17,'Partner Transactions'!$A$5:$A$2005,"&gt;="&amp;ReportFrom,'Partner Transactions'!$A$5:$A$2005,"&lt;="&amp;ReportTo))</f>
        <v/>
      </c>
      <c r="AG17" s="25">
        <f>IF($A17="",0,(SUMIFS('Stock Moves'!$S$5:$S$2005,'Stock Moves'!$AD$5:$AD$2005,$A17,'Stock Moves'!$A$5:$A$2005,"&lt;"&amp;ReportFrom)+SUMIFS('Stock Moves'!$T$5:$T$2005,'Stock Moves'!$V$5:$V$2005,$A17,'Stock Moves'!$A$5:$A$2005,"&lt;"&amp;ReportFrom))-(SUMIFS('Stock Moves'!$AF$5:$AF$2005,'Stock Moves'!$AE$5:$AE$2005,$A17,'Stock Moves'!$A$5:$A$2005,"&lt;"&amp;ReportFrom)+SUMIFS('Stock Moves'!$AC$5:$AC$2005,'Stock Moves'!$X$5:$X$2005,$A17,'Stock Moves'!$A$5:$A$2005,"&lt;"&amp;ReportFrom)+SUMIFS('Stock Moves'!$U$5:$U$2005,'Stock Moves'!$W$5:$W$2005,$A17,'Stock Moves'!$A$5:$A$2005,"&lt;"&amp;ReportFrom)))</f>
        <v/>
      </c>
      <c r="AH17" s="25">
        <f>IF($A17="",0,SUMIFS('Stock Moves'!$S$5:$S$2005,'Stock Moves'!$AD$5:$AD$2005,$A17,'Stock Moves'!$A$5:$A$2005,"&gt;="&amp;ReportFrom,'Stock Moves'!$A$5:$A$2005,"&lt;="&amp;ReportTo)+SUMIFS('Stock Moves'!$T$5:$T$2005,'Stock Moves'!$V$5:$V$2005,$A17,'Stock Moves'!$A$5:$A$2005,"&gt;="&amp;ReportFrom,'Stock Moves'!$A$5:$A$2005,"&lt;="&amp;ReportTo))</f>
        <v/>
      </c>
      <c r="AI17" s="25">
        <f>IF($A17="",0,SUMIFS('Stock Moves'!$AF$5:$AF$2005,'Stock Moves'!$AE$5:$AE$2005,$A17,'Stock Moves'!$A$5:$A$2005,"&gt;="&amp;ReportFrom,'Stock Moves'!$A$5:$A$2005,"&lt;="&amp;ReportTo)+SUMIFS('Stock Moves'!$AC$5:$AC$2005,'Stock Moves'!$X$5:$X$2005,$A17,'Stock Moves'!$A$5:$A$2005,"&gt;="&amp;ReportFrom,'Stock Moves'!$A$5:$A$2005,"&lt;="&amp;ReportTo)+SUMIFS('Stock Moves'!$U$5:$U$2005,'Stock Moves'!$W$5:$W$2005,$A17,'Stock Moves'!$A$5:$A$2005,"&gt;="&amp;ReportFrom,'Stock Moves'!$A$5:$A$2005,"&lt;="&amp;ReportTo))</f>
        <v/>
      </c>
      <c r="AJ17" s="25">
        <f>IF($A17="",0,(SUMIFS('Journal Vouchers'!$I$5:$I$2005,'Journal Vouchers'!$H$5:$H$2005,$A17,'Journal Vouchers'!$B$5:$B$2005,"&lt;"&amp;ReportFrom))-(SUMIFS('Journal Vouchers'!$J$5:$J$2005,'Journal Vouchers'!$H$5:$H$2005,$A17,'Journal Vouchers'!$B$5:$B$2005,"&lt;"&amp;ReportFrom)))</f>
        <v/>
      </c>
      <c r="AK17" s="25">
        <f>IF($A17="",0,SUMIFS('Journal Vouchers'!$I$5:$I$2005,'Journal Vouchers'!$H$5:$H$2005,$A17,'Journal Vouchers'!$B$5:$B$2005,"&gt;="&amp;ReportFrom,'Journal Vouchers'!$B$5:$B$2005,"&lt;="&amp;ReportTo))</f>
        <v/>
      </c>
      <c r="AL17" s="25">
        <f>IF($A17="",0,SUMIFS('Journal Vouchers'!$J$5:$J$2005,'Journal Vouchers'!$H$5:$H$2005,$A17,'Journal Vouchers'!$B$5:$B$2005,"&gt;="&amp;ReportFrom,'Journal Vouchers'!$B$5:$B$2005,"&lt;="&amp;ReportTo))</f>
        <v/>
      </c>
    </row>
    <row r="18">
      <c r="A18" s="25">
        <f>IF('Chart of Accounts'!A18="","",'Chart of Accounts'!A18&amp;"")</f>
        <v/>
      </c>
      <c r="B18" s="25">
        <f>IF(A18="","",'Chart of Accounts'!B18)</f>
        <v/>
      </c>
      <c r="C18" s="25">
        <f>IF(A18="","",'Chart of Accounts'!C18)</f>
        <v/>
      </c>
      <c r="D18" s="25">
        <f>IF(A18="","",'Chart of Accounts'!D18)</f>
        <v/>
      </c>
      <c r="E18" s="26">
        <f>L18+O18+R18+U18+X18+AA18+AD18+AG18+AJ18</f>
        <v/>
      </c>
      <c r="F18" s="26">
        <f>M18+P18+S18+V18+Y18+AB18+AE18+AH18+AK18</f>
        <v/>
      </c>
      <c r="G18" s="26">
        <f>N18+Q18+T18+W18+Z18+AC18+AF18+AI18+AL18</f>
        <v/>
      </c>
      <c r="H18" s="26">
        <f>E18+F18-G18</f>
        <v/>
      </c>
      <c r="I18" s="26">
        <f>MAX(H18,0)</f>
        <v/>
      </c>
      <c r="J18" s="26">
        <f>MAX(-H18,0)</f>
        <v/>
      </c>
      <c r="L18" s="25">
        <f>IF($A18="",0,(SUMIFS('Direct Costs'!$R$5:$R$2005,'Direct Costs'!$V$5:$V$2005,$A18,'Direct Costs'!$A$5:$A$2005,"&lt;"&amp;ReportFrom)+SUMIFS('Direct Costs'!$S$5:$S$2005,'Direct Costs'!$Y$5:$Y$2005,$A18,'Direct Costs'!$A$5:$A$2005,"&lt;"&amp;ReportFrom))-(SUMIFS('Direct Costs'!$L$5:$L$2005,'Direct Costs'!$W$5:$W$2005,$A18,'Direct Costs'!$A$5:$A$2005,"&lt;"&amp;ReportFrom)+SUMIFS('Direct Costs'!$U$5:$U$2005,'Direct Costs'!$X$5:$X$2005,$A18,'Direct Costs'!$A$5:$A$2005,"&lt;"&amp;ReportFrom)+SUMIFS('Direct Costs'!$T$5:$T$2005,'Direct Costs'!$Z$5:$Z$2005,$A18,'Direct Costs'!$A$5:$A$2005,"&lt;"&amp;ReportFrom)))</f>
        <v/>
      </c>
      <c r="M18" s="25">
        <f>IF($A18="",0,SUMIFS('Direct Costs'!$R$5:$R$2005,'Direct Costs'!$V$5:$V$2005,$A18,'Direct Costs'!$A$5:$A$2005,"&gt;="&amp;ReportFrom,'Direct Costs'!$A$5:$A$2005,"&lt;="&amp;ReportTo)+SUMIFS('Direct Costs'!$S$5:$S$2005,'Direct Costs'!$Y$5:$Y$2005,$A18,'Direct Costs'!$A$5:$A$2005,"&gt;="&amp;ReportFrom,'Direct Costs'!$A$5:$A$2005,"&lt;="&amp;ReportTo))</f>
        <v/>
      </c>
      <c r="N18" s="25">
        <f>IF($A18="",0,SUMIFS('Direct Costs'!$L$5:$L$2005,'Direct Costs'!$W$5:$W$2005,$A18,'Direct Costs'!$A$5:$A$2005,"&gt;="&amp;ReportFrom,'Direct Costs'!$A$5:$A$2005,"&lt;="&amp;ReportTo)+SUMIFS('Direct Costs'!$U$5:$U$2005,'Direct Costs'!$X$5:$X$2005,$A18,'Direct Costs'!$A$5:$A$2005,"&gt;="&amp;ReportFrom,'Direct Costs'!$A$5:$A$2005,"&lt;="&amp;ReportTo)+SUMIFS('Direct Costs'!$T$5:$T$2005,'Direct Costs'!$Z$5:$Z$2005,$A18,'Direct Costs'!$A$5:$A$2005,"&gt;="&amp;ReportFrom,'Direct Costs'!$A$5:$A$2005,"&lt;="&amp;ReportTo))</f>
        <v/>
      </c>
      <c r="O18" s="25">
        <f>IF($A18="",0,(SUMIFS('Operating Expenses'!$F$5:$F$2005,'Operating Expenses'!$Q$5:$Q$2005,$A18,'Operating Expenses'!$A$5:$A$2005,"&lt;"&amp;ReportFrom)+SUMIFS('Operating Expenses'!$M$5:$M$2005,'Operating Expenses'!$T$5:$T$2005,$A18,'Operating Expenses'!$A$5:$A$2005,"&lt;"&amp;ReportFrom))-(SUMIFS('Operating Expenses'!$O$5:$O$2005,'Operating Expenses'!$R$5:$R$2005,$A18,'Operating Expenses'!$A$5:$A$2005,"&lt;"&amp;ReportFrom)+SUMIFS('Operating Expenses'!$P$5:$P$2005,'Operating Expenses'!$S$5:$S$2005,$A18,'Operating Expenses'!$A$5:$A$2005,"&lt;"&amp;ReportFrom)+SUMIFS('Operating Expenses'!$N$5:$N$2005,'Operating Expenses'!$U$5:$U$2005,$A18,'Operating Expenses'!$A$5:$A$2005,"&lt;"&amp;ReportFrom)))</f>
        <v/>
      </c>
      <c r="P18" s="25">
        <f>IF($A18="",0,SUMIFS('Operating Expenses'!$F$5:$F$2005,'Operating Expenses'!$Q$5:$Q$2005,$A18,'Operating Expenses'!$A$5:$A$2005,"&gt;="&amp;ReportFrom,'Operating Expenses'!$A$5:$A$2005,"&lt;="&amp;ReportTo)+SUMIFS('Operating Expenses'!$M$5:$M$2005,'Operating Expenses'!$T$5:$T$2005,$A18,'Operating Expenses'!$A$5:$A$2005,"&gt;="&amp;ReportFrom,'Operating Expenses'!$A$5:$A$2005,"&lt;="&amp;ReportTo))</f>
        <v/>
      </c>
      <c r="Q18" s="25">
        <f>IF($A18="",0,SUMIFS('Operating Expenses'!$O$5:$O$2005,'Operating Expenses'!$R$5:$R$2005,$A18,'Operating Expenses'!$A$5:$A$2005,"&gt;="&amp;ReportFrom,'Operating Expenses'!$A$5:$A$2005,"&lt;="&amp;ReportTo)+SUMIFS('Operating Expenses'!$P$5:$P$2005,'Operating Expenses'!$S$5:$S$2005,$A18,'Operating Expenses'!$A$5:$A$2005,"&gt;="&amp;ReportFrom,'Operating Expenses'!$A$5:$A$2005,"&lt;="&amp;ReportTo)+SUMIFS('Operating Expenses'!$N$5:$N$2005,'Operating Expenses'!$U$5:$U$2005,$A18,'Operating Expenses'!$A$5:$A$2005,"&gt;="&amp;ReportFrom,'Operating Expenses'!$A$5:$A$2005,"&lt;="&amp;ReportTo))</f>
        <v/>
      </c>
      <c r="R18" s="25">
        <f>IF($A18="",0,(SUMIFS('Payroll'!$O$5:$O$2005,'Payroll'!$Q$5:$Q$2005,$A18,'Payroll'!$A$5:$A$2005,"&lt;"&amp;ReportFrom))-(SUMIFS('Payroll'!$K$5:$K$2005,'Payroll'!$R$5:$R$2005,$A18,'Payroll'!$A$5:$A$2005,"&lt;"&amp;ReportFrom)+SUMIFS('Payroll'!$P$5:$P$2005,'Payroll'!$S$5:$S$2005,$A18,'Payroll'!$A$5:$A$2005,"&lt;"&amp;ReportFrom)))</f>
        <v/>
      </c>
      <c r="S18" s="25">
        <f>IF($A18="",0,SUMIFS('Payroll'!$O$5:$O$2005,'Payroll'!$Q$5:$Q$2005,$A18,'Payroll'!$A$5:$A$2005,"&gt;="&amp;ReportFrom,'Payroll'!$A$5:$A$2005,"&lt;="&amp;ReportTo))</f>
        <v/>
      </c>
      <c r="T18" s="25">
        <f>IF($A18="",0,SUMIFS('Payroll'!$K$5:$K$2005,'Payroll'!$R$5:$R$2005,$A18,'Payroll'!$A$5:$A$2005,"&gt;="&amp;ReportFrom,'Payroll'!$A$5:$A$2005,"&lt;="&amp;ReportTo)+SUMIFS('Payroll'!$P$5:$P$2005,'Payroll'!$S$5:$S$2005,$A18,'Payroll'!$A$5:$A$2005,"&gt;="&amp;ReportFrom,'Payroll'!$A$5:$A$2005,"&lt;="&amp;ReportTo))</f>
        <v/>
      </c>
      <c r="U18" s="25">
        <f>IF($A18="",0,(SUMIFS('Receipt Vouchers'!$F$5:$F$2005,'Receipt Vouchers'!$O$5:$O$2005,$A18,'Receipt Vouchers'!$A$5:$A$2005,"&lt;"&amp;ReportFrom)+SUMIFS('Receipt Vouchers'!$J$5:$J$2005,'Receipt Vouchers'!$Q$5:$Q$2005,$A18,'Receipt Vouchers'!$A$5:$A$2005,"&lt;"&amp;ReportFrom))-(SUMIFS('Receipt Vouchers'!$N$5:$N$2005,'Receipt Vouchers'!$P$5:$P$2005,$A18,'Receipt Vouchers'!$A$5:$A$2005,"&lt;"&amp;ReportFrom)+SUMIFS('Receipt Vouchers'!$M$5:$M$2005,'Receipt Vouchers'!$R$5:$R$2005,$A18,'Receipt Vouchers'!$A$5:$A$2005,"&lt;"&amp;ReportFrom)))</f>
        <v/>
      </c>
      <c r="V18" s="25">
        <f>IF($A18="",0,SUMIFS('Receipt Vouchers'!$F$5:$F$2005,'Receipt Vouchers'!$O$5:$O$2005,$A18,'Receipt Vouchers'!$A$5:$A$2005,"&gt;="&amp;ReportFrom,'Receipt Vouchers'!$A$5:$A$2005,"&lt;="&amp;ReportTo)+SUMIFS('Receipt Vouchers'!$J$5:$J$2005,'Receipt Vouchers'!$Q$5:$Q$2005,$A18,'Receipt Vouchers'!$A$5:$A$2005,"&gt;="&amp;ReportFrom,'Receipt Vouchers'!$A$5:$A$2005,"&lt;="&amp;ReportTo))</f>
        <v/>
      </c>
      <c r="W18" s="25">
        <f>IF($A18="",0,SUMIFS('Receipt Vouchers'!$N$5:$N$2005,'Receipt Vouchers'!$P$5:$P$2005,$A18,'Receipt Vouchers'!$A$5:$A$2005,"&gt;="&amp;ReportFrom,'Receipt Vouchers'!$A$5:$A$2005,"&lt;="&amp;ReportTo)+SUMIFS('Receipt Vouchers'!$M$5:$M$2005,'Receipt Vouchers'!$R$5:$R$2005,$A18,'Receipt Vouchers'!$A$5:$A$2005,"&gt;="&amp;ReportFrom,'Receipt Vouchers'!$A$5:$A$2005,"&lt;="&amp;ReportTo))</f>
        <v/>
      </c>
      <c r="X18" s="25">
        <f>IF($A18="",0,(SUMIFS('Sales Invoices'!$O$5:$O$2005,'Sales Invoices'!$P$5:$P$2005,$A18,'Sales Invoices'!$B$5:$B$2005,"&lt;"&amp;ReportFrom)+SUMIFS('Sales Invoices'!$N$5:$N$2005,'Sales Invoices'!$R$5:$R$2005,$A18,'Sales Invoices'!$B$5:$B$2005,"&lt;"&amp;ReportFrom))-(SUMIFS('Sales Invoices'!$L$5:$L$2005,'Sales Invoices'!$Q$5:$Q$2005,$A18,'Sales Invoices'!$B$5:$B$2005,"&lt;"&amp;ReportFrom)+SUMIFS('Sales Invoices'!$M$5:$M$2005,'Sales Invoices'!$S$5:$S$2005,$A18,'Sales Invoices'!$B$5:$B$2005,"&lt;"&amp;ReportFrom)))</f>
        <v/>
      </c>
      <c r="Y18" s="25">
        <f>IF($A18="",0,SUMIFS('Sales Invoices'!$O$5:$O$2005,'Sales Invoices'!$P$5:$P$2005,$A18,'Sales Invoices'!$B$5:$B$2005,"&gt;="&amp;ReportFrom,'Sales Invoices'!$B$5:$B$2005,"&lt;="&amp;ReportTo)+SUMIFS('Sales Invoices'!$N$5:$N$2005,'Sales Invoices'!$R$5:$R$2005,$A18,'Sales Invoices'!$B$5:$B$2005,"&gt;="&amp;ReportFrom,'Sales Invoices'!$B$5:$B$2005,"&lt;="&amp;ReportTo))</f>
        <v/>
      </c>
      <c r="Z18" s="25">
        <f>IF($A18="",0,SUMIFS('Sales Invoices'!$L$5:$L$2005,'Sales Invoices'!$Q$5:$Q$2005,$A18,'Sales Invoices'!$B$5:$B$2005,"&gt;="&amp;ReportFrom,'Sales Invoices'!$B$5:$B$2005,"&lt;="&amp;ReportTo)+SUMIFS('Sales Invoices'!$M$5:$M$2005,'Sales Invoices'!$S$5:$S$2005,$A18,'Sales Invoices'!$B$5:$B$2005,"&gt;="&amp;ReportFrom,'Sales Invoices'!$B$5:$B$2005,"&lt;="&amp;ReportTo))</f>
        <v/>
      </c>
      <c r="AA18" s="25">
        <f>IF($A18="",0,(SUMIFS('Payment Vouchers'!$D$5:$D$2005,'Payment Vouchers'!$J$5:$J$2005,$A18,'Payment Vouchers'!$A$5:$A$2005,"&lt;"&amp;ReportFrom))-(SUMIFS('Payment Vouchers'!$D$5:$D$2005,'Payment Vouchers'!$K$5:$K$2005,$A18,'Payment Vouchers'!$A$5:$A$2005,"&lt;"&amp;ReportFrom)))</f>
        <v/>
      </c>
      <c r="AB18" s="25">
        <f>IF($A18="",0,SUMIFS('Payment Vouchers'!$D$5:$D$2005,'Payment Vouchers'!$J$5:$J$2005,$A18,'Payment Vouchers'!$A$5:$A$2005,"&gt;="&amp;ReportFrom,'Payment Vouchers'!$A$5:$A$2005,"&lt;="&amp;ReportTo))</f>
        <v/>
      </c>
      <c r="AC18" s="25">
        <f>IF($A18="",0,SUMIFS('Payment Vouchers'!$D$5:$D$2005,'Payment Vouchers'!$K$5:$K$2005,$A18,'Payment Vouchers'!$A$5:$A$2005,"&gt;="&amp;ReportFrom,'Payment Vouchers'!$A$5:$A$2005,"&lt;="&amp;ReportTo))</f>
        <v/>
      </c>
      <c r="AD18" s="25">
        <f>IF($A18="",0,(SUMIFS('Partner Transactions'!$D$5:$D$2005,'Partner Transactions'!$L$5:$L$2005,$A18,'Partner Transactions'!$A$5:$A$2005,"&lt;"&amp;ReportFrom))-(SUMIFS('Partner Transactions'!$D$5:$D$2005,'Partner Transactions'!$M$5:$M$2005,$A18,'Partner Transactions'!$A$5:$A$2005,"&lt;"&amp;ReportFrom)))</f>
        <v/>
      </c>
      <c r="AE18" s="25">
        <f>IF($A18="",0,SUMIFS('Partner Transactions'!$D$5:$D$2005,'Partner Transactions'!$L$5:$L$2005,$A18,'Partner Transactions'!$A$5:$A$2005,"&gt;="&amp;ReportFrom,'Partner Transactions'!$A$5:$A$2005,"&lt;="&amp;ReportTo))</f>
        <v/>
      </c>
      <c r="AF18" s="25">
        <f>IF($A18="",0,SUMIFS('Partner Transactions'!$D$5:$D$2005,'Partner Transactions'!$M$5:$M$2005,$A18,'Partner Transactions'!$A$5:$A$2005,"&gt;="&amp;ReportFrom,'Partner Transactions'!$A$5:$A$2005,"&lt;="&amp;ReportTo))</f>
        <v/>
      </c>
      <c r="AG18" s="25">
        <f>IF($A18="",0,(SUMIFS('Stock Moves'!$S$5:$S$2005,'Stock Moves'!$AD$5:$AD$2005,$A18,'Stock Moves'!$A$5:$A$2005,"&lt;"&amp;ReportFrom)+SUMIFS('Stock Moves'!$T$5:$T$2005,'Stock Moves'!$V$5:$V$2005,$A18,'Stock Moves'!$A$5:$A$2005,"&lt;"&amp;ReportFrom))-(SUMIFS('Stock Moves'!$AF$5:$AF$2005,'Stock Moves'!$AE$5:$AE$2005,$A18,'Stock Moves'!$A$5:$A$2005,"&lt;"&amp;ReportFrom)+SUMIFS('Stock Moves'!$AC$5:$AC$2005,'Stock Moves'!$X$5:$X$2005,$A18,'Stock Moves'!$A$5:$A$2005,"&lt;"&amp;ReportFrom)+SUMIFS('Stock Moves'!$U$5:$U$2005,'Stock Moves'!$W$5:$W$2005,$A18,'Stock Moves'!$A$5:$A$2005,"&lt;"&amp;ReportFrom)))</f>
        <v/>
      </c>
      <c r="AH18" s="25">
        <f>IF($A18="",0,SUMIFS('Stock Moves'!$S$5:$S$2005,'Stock Moves'!$AD$5:$AD$2005,$A18,'Stock Moves'!$A$5:$A$2005,"&gt;="&amp;ReportFrom,'Stock Moves'!$A$5:$A$2005,"&lt;="&amp;ReportTo)+SUMIFS('Stock Moves'!$T$5:$T$2005,'Stock Moves'!$V$5:$V$2005,$A18,'Stock Moves'!$A$5:$A$2005,"&gt;="&amp;ReportFrom,'Stock Moves'!$A$5:$A$2005,"&lt;="&amp;ReportTo))</f>
        <v/>
      </c>
      <c r="AI18" s="25">
        <f>IF($A18="",0,SUMIFS('Stock Moves'!$AF$5:$AF$2005,'Stock Moves'!$AE$5:$AE$2005,$A18,'Stock Moves'!$A$5:$A$2005,"&gt;="&amp;ReportFrom,'Stock Moves'!$A$5:$A$2005,"&lt;="&amp;ReportTo)+SUMIFS('Stock Moves'!$AC$5:$AC$2005,'Stock Moves'!$X$5:$X$2005,$A18,'Stock Moves'!$A$5:$A$2005,"&gt;="&amp;ReportFrom,'Stock Moves'!$A$5:$A$2005,"&lt;="&amp;ReportTo)+SUMIFS('Stock Moves'!$U$5:$U$2005,'Stock Moves'!$W$5:$W$2005,$A18,'Stock Moves'!$A$5:$A$2005,"&gt;="&amp;ReportFrom,'Stock Moves'!$A$5:$A$2005,"&lt;="&amp;ReportTo))</f>
        <v/>
      </c>
      <c r="AJ18" s="25">
        <f>IF($A18="",0,(SUMIFS('Journal Vouchers'!$I$5:$I$2005,'Journal Vouchers'!$H$5:$H$2005,$A18,'Journal Vouchers'!$B$5:$B$2005,"&lt;"&amp;ReportFrom))-(SUMIFS('Journal Vouchers'!$J$5:$J$2005,'Journal Vouchers'!$H$5:$H$2005,$A18,'Journal Vouchers'!$B$5:$B$2005,"&lt;"&amp;ReportFrom)))</f>
        <v/>
      </c>
      <c r="AK18" s="25">
        <f>IF($A18="",0,SUMIFS('Journal Vouchers'!$I$5:$I$2005,'Journal Vouchers'!$H$5:$H$2005,$A18,'Journal Vouchers'!$B$5:$B$2005,"&gt;="&amp;ReportFrom,'Journal Vouchers'!$B$5:$B$2005,"&lt;="&amp;ReportTo))</f>
        <v/>
      </c>
      <c r="AL18" s="25">
        <f>IF($A18="",0,SUMIFS('Journal Vouchers'!$J$5:$J$2005,'Journal Vouchers'!$H$5:$H$2005,$A18,'Journal Vouchers'!$B$5:$B$2005,"&gt;="&amp;ReportFrom,'Journal Vouchers'!$B$5:$B$2005,"&lt;="&amp;ReportTo))</f>
        <v/>
      </c>
    </row>
    <row r="19">
      <c r="A19" s="25">
        <f>IF('Chart of Accounts'!A19="","",'Chart of Accounts'!A19&amp;"")</f>
        <v/>
      </c>
      <c r="B19" s="25">
        <f>IF(A19="","",'Chart of Accounts'!B19)</f>
        <v/>
      </c>
      <c r="C19" s="25">
        <f>IF(A19="","",'Chart of Accounts'!C19)</f>
        <v/>
      </c>
      <c r="D19" s="25">
        <f>IF(A19="","",'Chart of Accounts'!D19)</f>
        <v/>
      </c>
      <c r="E19" s="26">
        <f>L19+O19+R19+U19+X19+AA19+AD19+AG19+AJ19</f>
        <v/>
      </c>
      <c r="F19" s="26">
        <f>M19+P19+S19+V19+Y19+AB19+AE19+AH19+AK19</f>
        <v/>
      </c>
      <c r="G19" s="26">
        <f>N19+Q19+T19+W19+Z19+AC19+AF19+AI19+AL19</f>
        <v/>
      </c>
      <c r="H19" s="26">
        <f>E19+F19-G19</f>
        <v/>
      </c>
      <c r="I19" s="26">
        <f>MAX(H19,0)</f>
        <v/>
      </c>
      <c r="J19" s="26">
        <f>MAX(-H19,0)</f>
        <v/>
      </c>
      <c r="L19" s="25">
        <f>IF($A19="",0,(SUMIFS('Direct Costs'!$R$5:$R$2005,'Direct Costs'!$V$5:$V$2005,$A19,'Direct Costs'!$A$5:$A$2005,"&lt;"&amp;ReportFrom)+SUMIFS('Direct Costs'!$S$5:$S$2005,'Direct Costs'!$Y$5:$Y$2005,$A19,'Direct Costs'!$A$5:$A$2005,"&lt;"&amp;ReportFrom))-(SUMIFS('Direct Costs'!$L$5:$L$2005,'Direct Costs'!$W$5:$W$2005,$A19,'Direct Costs'!$A$5:$A$2005,"&lt;"&amp;ReportFrom)+SUMIFS('Direct Costs'!$U$5:$U$2005,'Direct Costs'!$X$5:$X$2005,$A19,'Direct Costs'!$A$5:$A$2005,"&lt;"&amp;ReportFrom)+SUMIFS('Direct Costs'!$T$5:$T$2005,'Direct Costs'!$Z$5:$Z$2005,$A19,'Direct Costs'!$A$5:$A$2005,"&lt;"&amp;ReportFrom)))</f>
        <v/>
      </c>
      <c r="M19" s="25">
        <f>IF($A19="",0,SUMIFS('Direct Costs'!$R$5:$R$2005,'Direct Costs'!$V$5:$V$2005,$A19,'Direct Costs'!$A$5:$A$2005,"&gt;="&amp;ReportFrom,'Direct Costs'!$A$5:$A$2005,"&lt;="&amp;ReportTo)+SUMIFS('Direct Costs'!$S$5:$S$2005,'Direct Costs'!$Y$5:$Y$2005,$A19,'Direct Costs'!$A$5:$A$2005,"&gt;="&amp;ReportFrom,'Direct Costs'!$A$5:$A$2005,"&lt;="&amp;ReportTo))</f>
        <v/>
      </c>
      <c r="N19" s="25">
        <f>IF($A19="",0,SUMIFS('Direct Costs'!$L$5:$L$2005,'Direct Costs'!$W$5:$W$2005,$A19,'Direct Costs'!$A$5:$A$2005,"&gt;="&amp;ReportFrom,'Direct Costs'!$A$5:$A$2005,"&lt;="&amp;ReportTo)+SUMIFS('Direct Costs'!$U$5:$U$2005,'Direct Costs'!$X$5:$X$2005,$A19,'Direct Costs'!$A$5:$A$2005,"&gt;="&amp;ReportFrom,'Direct Costs'!$A$5:$A$2005,"&lt;="&amp;ReportTo)+SUMIFS('Direct Costs'!$T$5:$T$2005,'Direct Costs'!$Z$5:$Z$2005,$A19,'Direct Costs'!$A$5:$A$2005,"&gt;="&amp;ReportFrom,'Direct Costs'!$A$5:$A$2005,"&lt;="&amp;ReportTo))</f>
        <v/>
      </c>
      <c r="O19" s="25">
        <f>IF($A19="",0,(SUMIFS('Operating Expenses'!$F$5:$F$2005,'Operating Expenses'!$Q$5:$Q$2005,$A19,'Operating Expenses'!$A$5:$A$2005,"&lt;"&amp;ReportFrom)+SUMIFS('Operating Expenses'!$M$5:$M$2005,'Operating Expenses'!$T$5:$T$2005,$A19,'Operating Expenses'!$A$5:$A$2005,"&lt;"&amp;ReportFrom))-(SUMIFS('Operating Expenses'!$O$5:$O$2005,'Operating Expenses'!$R$5:$R$2005,$A19,'Operating Expenses'!$A$5:$A$2005,"&lt;"&amp;ReportFrom)+SUMIFS('Operating Expenses'!$P$5:$P$2005,'Operating Expenses'!$S$5:$S$2005,$A19,'Operating Expenses'!$A$5:$A$2005,"&lt;"&amp;ReportFrom)+SUMIFS('Operating Expenses'!$N$5:$N$2005,'Operating Expenses'!$U$5:$U$2005,$A19,'Operating Expenses'!$A$5:$A$2005,"&lt;"&amp;ReportFrom)))</f>
        <v/>
      </c>
      <c r="P19" s="25">
        <f>IF($A19="",0,SUMIFS('Operating Expenses'!$F$5:$F$2005,'Operating Expenses'!$Q$5:$Q$2005,$A19,'Operating Expenses'!$A$5:$A$2005,"&gt;="&amp;ReportFrom,'Operating Expenses'!$A$5:$A$2005,"&lt;="&amp;ReportTo)+SUMIFS('Operating Expenses'!$M$5:$M$2005,'Operating Expenses'!$T$5:$T$2005,$A19,'Operating Expenses'!$A$5:$A$2005,"&gt;="&amp;ReportFrom,'Operating Expenses'!$A$5:$A$2005,"&lt;="&amp;ReportTo))</f>
        <v/>
      </c>
      <c r="Q19" s="25">
        <f>IF($A19="",0,SUMIFS('Operating Expenses'!$O$5:$O$2005,'Operating Expenses'!$R$5:$R$2005,$A19,'Operating Expenses'!$A$5:$A$2005,"&gt;="&amp;ReportFrom,'Operating Expenses'!$A$5:$A$2005,"&lt;="&amp;ReportTo)+SUMIFS('Operating Expenses'!$P$5:$P$2005,'Operating Expenses'!$S$5:$S$2005,$A19,'Operating Expenses'!$A$5:$A$2005,"&gt;="&amp;ReportFrom,'Operating Expenses'!$A$5:$A$2005,"&lt;="&amp;ReportTo)+SUMIFS('Operating Expenses'!$N$5:$N$2005,'Operating Expenses'!$U$5:$U$2005,$A19,'Operating Expenses'!$A$5:$A$2005,"&gt;="&amp;ReportFrom,'Operating Expenses'!$A$5:$A$2005,"&lt;="&amp;ReportTo))</f>
        <v/>
      </c>
      <c r="R19" s="25">
        <f>IF($A19="",0,(SUMIFS('Payroll'!$O$5:$O$2005,'Payroll'!$Q$5:$Q$2005,$A19,'Payroll'!$A$5:$A$2005,"&lt;"&amp;ReportFrom))-(SUMIFS('Payroll'!$K$5:$K$2005,'Payroll'!$R$5:$R$2005,$A19,'Payroll'!$A$5:$A$2005,"&lt;"&amp;ReportFrom)+SUMIFS('Payroll'!$P$5:$P$2005,'Payroll'!$S$5:$S$2005,$A19,'Payroll'!$A$5:$A$2005,"&lt;"&amp;ReportFrom)))</f>
        <v/>
      </c>
      <c r="S19" s="25">
        <f>IF($A19="",0,SUMIFS('Payroll'!$O$5:$O$2005,'Payroll'!$Q$5:$Q$2005,$A19,'Payroll'!$A$5:$A$2005,"&gt;="&amp;ReportFrom,'Payroll'!$A$5:$A$2005,"&lt;="&amp;ReportTo))</f>
        <v/>
      </c>
      <c r="T19" s="25">
        <f>IF($A19="",0,SUMIFS('Payroll'!$K$5:$K$2005,'Payroll'!$R$5:$R$2005,$A19,'Payroll'!$A$5:$A$2005,"&gt;="&amp;ReportFrom,'Payroll'!$A$5:$A$2005,"&lt;="&amp;ReportTo)+SUMIFS('Payroll'!$P$5:$P$2005,'Payroll'!$S$5:$S$2005,$A19,'Payroll'!$A$5:$A$2005,"&gt;="&amp;ReportFrom,'Payroll'!$A$5:$A$2005,"&lt;="&amp;ReportTo))</f>
        <v/>
      </c>
      <c r="U19" s="25">
        <f>IF($A19="",0,(SUMIFS('Receipt Vouchers'!$F$5:$F$2005,'Receipt Vouchers'!$O$5:$O$2005,$A19,'Receipt Vouchers'!$A$5:$A$2005,"&lt;"&amp;ReportFrom)+SUMIFS('Receipt Vouchers'!$J$5:$J$2005,'Receipt Vouchers'!$Q$5:$Q$2005,$A19,'Receipt Vouchers'!$A$5:$A$2005,"&lt;"&amp;ReportFrom))-(SUMIFS('Receipt Vouchers'!$N$5:$N$2005,'Receipt Vouchers'!$P$5:$P$2005,$A19,'Receipt Vouchers'!$A$5:$A$2005,"&lt;"&amp;ReportFrom)+SUMIFS('Receipt Vouchers'!$M$5:$M$2005,'Receipt Vouchers'!$R$5:$R$2005,$A19,'Receipt Vouchers'!$A$5:$A$2005,"&lt;"&amp;ReportFrom)))</f>
        <v/>
      </c>
      <c r="V19" s="25">
        <f>IF($A19="",0,SUMIFS('Receipt Vouchers'!$F$5:$F$2005,'Receipt Vouchers'!$O$5:$O$2005,$A19,'Receipt Vouchers'!$A$5:$A$2005,"&gt;="&amp;ReportFrom,'Receipt Vouchers'!$A$5:$A$2005,"&lt;="&amp;ReportTo)+SUMIFS('Receipt Vouchers'!$J$5:$J$2005,'Receipt Vouchers'!$Q$5:$Q$2005,$A19,'Receipt Vouchers'!$A$5:$A$2005,"&gt;="&amp;ReportFrom,'Receipt Vouchers'!$A$5:$A$2005,"&lt;="&amp;ReportTo))</f>
        <v/>
      </c>
      <c r="W19" s="25">
        <f>IF($A19="",0,SUMIFS('Receipt Vouchers'!$N$5:$N$2005,'Receipt Vouchers'!$P$5:$P$2005,$A19,'Receipt Vouchers'!$A$5:$A$2005,"&gt;="&amp;ReportFrom,'Receipt Vouchers'!$A$5:$A$2005,"&lt;="&amp;ReportTo)+SUMIFS('Receipt Vouchers'!$M$5:$M$2005,'Receipt Vouchers'!$R$5:$R$2005,$A19,'Receipt Vouchers'!$A$5:$A$2005,"&gt;="&amp;ReportFrom,'Receipt Vouchers'!$A$5:$A$2005,"&lt;="&amp;ReportTo))</f>
        <v/>
      </c>
      <c r="X19" s="25">
        <f>IF($A19="",0,(SUMIFS('Sales Invoices'!$O$5:$O$2005,'Sales Invoices'!$P$5:$P$2005,$A19,'Sales Invoices'!$B$5:$B$2005,"&lt;"&amp;ReportFrom)+SUMIFS('Sales Invoices'!$N$5:$N$2005,'Sales Invoices'!$R$5:$R$2005,$A19,'Sales Invoices'!$B$5:$B$2005,"&lt;"&amp;ReportFrom))-(SUMIFS('Sales Invoices'!$L$5:$L$2005,'Sales Invoices'!$Q$5:$Q$2005,$A19,'Sales Invoices'!$B$5:$B$2005,"&lt;"&amp;ReportFrom)+SUMIFS('Sales Invoices'!$M$5:$M$2005,'Sales Invoices'!$S$5:$S$2005,$A19,'Sales Invoices'!$B$5:$B$2005,"&lt;"&amp;ReportFrom)))</f>
        <v/>
      </c>
      <c r="Y19" s="25">
        <f>IF($A19="",0,SUMIFS('Sales Invoices'!$O$5:$O$2005,'Sales Invoices'!$P$5:$P$2005,$A19,'Sales Invoices'!$B$5:$B$2005,"&gt;="&amp;ReportFrom,'Sales Invoices'!$B$5:$B$2005,"&lt;="&amp;ReportTo)+SUMIFS('Sales Invoices'!$N$5:$N$2005,'Sales Invoices'!$R$5:$R$2005,$A19,'Sales Invoices'!$B$5:$B$2005,"&gt;="&amp;ReportFrom,'Sales Invoices'!$B$5:$B$2005,"&lt;="&amp;ReportTo))</f>
        <v/>
      </c>
      <c r="Z19" s="25">
        <f>IF($A19="",0,SUMIFS('Sales Invoices'!$L$5:$L$2005,'Sales Invoices'!$Q$5:$Q$2005,$A19,'Sales Invoices'!$B$5:$B$2005,"&gt;="&amp;ReportFrom,'Sales Invoices'!$B$5:$B$2005,"&lt;="&amp;ReportTo)+SUMIFS('Sales Invoices'!$M$5:$M$2005,'Sales Invoices'!$S$5:$S$2005,$A19,'Sales Invoices'!$B$5:$B$2005,"&gt;="&amp;ReportFrom,'Sales Invoices'!$B$5:$B$2005,"&lt;="&amp;ReportTo))</f>
        <v/>
      </c>
      <c r="AA19" s="25">
        <f>IF($A19="",0,(SUMIFS('Payment Vouchers'!$D$5:$D$2005,'Payment Vouchers'!$J$5:$J$2005,$A19,'Payment Vouchers'!$A$5:$A$2005,"&lt;"&amp;ReportFrom))-(SUMIFS('Payment Vouchers'!$D$5:$D$2005,'Payment Vouchers'!$K$5:$K$2005,$A19,'Payment Vouchers'!$A$5:$A$2005,"&lt;"&amp;ReportFrom)))</f>
        <v/>
      </c>
      <c r="AB19" s="25">
        <f>IF($A19="",0,SUMIFS('Payment Vouchers'!$D$5:$D$2005,'Payment Vouchers'!$J$5:$J$2005,$A19,'Payment Vouchers'!$A$5:$A$2005,"&gt;="&amp;ReportFrom,'Payment Vouchers'!$A$5:$A$2005,"&lt;="&amp;ReportTo))</f>
        <v/>
      </c>
      <c r="AC19" s="25">
        <f>IF($A19="",0,SUMIFS('Payment Vouchers'!$D$5:$D$2005,'Payment Vouchers'!$K$5:$K$2005,$A19,'Payment Vouchers'!$A$5:$A$2005,"&gt;="&amp;ReportFrom,'Payment Vouchers'!$A$5:$A$2005,"&lt;="&amp;ReportTo))</f>
        <v/>
      </c>
      <c r="AD19" s="25">
        <f>IF($A19="",0,(SUMIFS('Partner Transactions'!$D$5:$D$2005,'Partner Transactions'!$L$5:$L$2005,$A19,'Partner Transactions'!$A$5:$A$2005,"&lt;"&amp;ReportFrom))-(SUMIFS('Partner Transactions'!$D$5:$D$2005,'Partner Transactions'!$M$5:$M$2005,$A19,'Partner Transactions'!$A$5:$A$2005,"&lt;"&amp;ReportFrom)))</f>
        <v/>
      </c>
      <c r="AE19" s="25">
        <f>IF($A19="",0,SUMIFS('Partner Transactions'!$D$5:$D$2005,'Partner Transactions'!$L$5:$L$2005,$A19,'Partner Transactions'!$A$5:$A$2005,"&gt;="&amp;ReportFrom,'Partner Transactions'!$A$5:$A$2005,"&lt;="&amp;ReportTo))</f>
        <v/>
      </c>
      <c r="AF19" s="25">
        <f>IF($A19="",0,SUMIFS('Partner Transactions'!$D$5:$D$2005,'Partner Transactions'!$M$5:$M$2005,$A19,'Partner Transactions'!$A$5:$A$2005,"&gt;="&amp;ReportFrom,'Partner Transactions'!$A$5:$A$2005,"&lt;="&amp;ReportTo))</f>
        <v/>
      </c>
      <c r="AG19" s="25">
        <f>IF($A19="",0,(SUMIFS('Stock Moves'!$S$5:$S$2005,'Stock Moves'!$AD$5:$AD$2005,$A19,'Stock Moves'!$A$5:$A$2005,"&lt;"&amp;ReportFrom)+SUMIFS('Stock Moves'!$T$5:$T$2005,'Stock Moves'!$V$5:$V$2005,$A19,'Stock Moves'!$A$5:$A$2005,"&lt;"&amp;ReportFrom))-(SUMIFS('Stock Moves'!$AF$5:$AF$2005,'Stock Moves'!$AE$5:$AE$2005,$A19,'Stock Moves'!$A$5:$A$2005,"&lt;"&amp;ReportFrom)+SUMIFS('Stock Moves'!$AC$5:$AC$2005,'Stock Moves'!$X$5:$X$2005,$A19,'Stock Moves'!$A$5:$A$2005,"&lt;"&amp;ReportFrom)+SUMIFS('Stock Moves'!$U$5:$U$2005,'Stock Moves'!$W$5:$W$2005,$A19,'Stock Moves'!$A$5:$A$2005,"&lt;"&amp;ReportFrom)))</f>
        <v/>
      </c>
      <c r="AH19" s="25">
        <f>IF($A19="",0,SUMIFS('Stock Moves'!$S$5:$S$2005,'Stock Moves'!$AD$5:$AD$2005,$A19,'Stock Moves'!$A$5:$A$2005,"&gt;="&amp;ReportFrom,'Stock Moves'!$A$5:$A$2005,"&lt;="&amp;ReportTo)+SUMIFS('Stock Moves'!$T$5:$T$2005,'Stock Moves'!$V$5:$V$2005,$A19,'Stock Moves'!$A$5:$A$2005,"&gt;="&amp;ReportFrom,'Stock Moves'!$A$5:$A$2005,"&lt;="&amp;ReportTo))</f>
        <v/>
      </c>
      <c r="AI19" s="25">
        <f>IF($A19="",0,SUMIFS('Stock Moves'!$AF$5:$AF$2005,'Stock Moves'!$AE$5:$AE$2005,$A19,'Stock Moves'!$A$5:$A$2005,"&gt;="&amp;ReportFrom,'Stock Moves'!$A$5:$A$2005,"&lt;="&amp;ReportTo)+SUMIFS('Stock Moves'!$AC$5:$AC$2005,'Stock Moves'!$X$5:$X$2005,$A19,'Stock Moves'!$A$5:$A$2005,"&gt;="&amp;ReportFrom,'Stock Moves'!$A$5:$A$2005,"&lt;="&amp;ReportTo)+SUMIFS('Stock Moves'!$U$5:$U$2005,'Stock Moves'!$W$5:$W$2005,$A19,'Stock Moves'!$A$5:$A$2005,"&gt;="&amp;ReportFrom,'Stock Moves'!$A$5:$A$2005,"&lt;="&amp;ReportTo))</f>
        <v/>
      </c>
      <c r="AJ19" s="25">
        <f>IF($A19="",0,(SUMIFS('Journal Vouchers'!$I$5:$I$2005,'Journal Vouchers'!$H$5:$H$2005,$A19,'Journal Vouchers'!$B$5:$B$2005,"&lt;"&amp;ReportFrom))-(SUMIFS('Journal Vouchers'!$J$5:$J$2005,'Journal Vouchers'!$H$5:$H$2005,$A19,'Journal Vouchers'!$B$5:$B$2005,"&lt;"&amp;ReportFrom)))</f>
        <v/>
      </c>
      <c r="AK19" s="25">
        <f>IF($A19="",0,SUMIFS('Journal Vouchers'!$I$5:$I$2005,'Journal Vouchers'!$H$5:$H$2005,$A19,'Journal Vouchers'!$B$5:$B$2005,"&gt;="&amp;ReportFrom,'Journal Vouchers'!$B$5:$B$2005,"&lt;="&amp;ReportTo))</f>
        <v/>
      </c>
      <c r="AL19" s="25">
        <f>IF($A19="",0,SUMIFS('Journal Vouchers'!$J$5:$J$2005,'Journal Vouchers'!$H$5:$H$2005,$A19,'Journal Vouchers'!$B$5:$B$2005,"&gt;="&amp;ReportFrom,'Journal Vouchers'!$B$5:$B$2005,"&lt;="&amp;ReportTo))</f>
        <v/>
      </c>
    </row>
    <row r="20">
      <c r="A20" s="25">
        <f>IF('Chart of Accounts'!A20="","",'Chart of Accounts'!A20&amp;"")</f>
        <v/>
      </c>
      <c r="B20" s="25">
        <f>IF(A20="","",'Chart of Accounts'!B20)</f>
        <v/>
      </c>
      <c r="C20" s="25">
        <f>IF(A20="","",'Chart of Accounts'!C20)</f>
        <v/>
      </c>
      <c r="D20" s="25">
        <f>IF(A20="","",'Chart of Accounts'!D20)</f>
        <v/>
      </c>
      <c r="E20" s="26">
        <f>L20+O20+R20+U20+X20+AA20+AD20+AG20+AJ20</f>
        <v/>
      </c>
      <c r="F20" s="26">
        <f>M20+P20+S20+V20+Y20+AB20+AE20+AH20+AK20</f>
        <v/>
      </c>
      <c r="G20" s="26">
        <f>N20+Q20+T20+W20+Z20+AC20+AF20+AI20+AL20</f>
        <v/>
      </c>
      <c r="H20" s="26">
        <f>E20+F20-G20</f>
        <v/>
      </c>
      <c r="I20" s="26">
        <f>MAX(H20,0)</f>
        <v/>
      </c>
      <c r="J20" s="26">
        <f>MAX(-H20,0)</f>
        <v/>
      </c>
      <c r="L20" s="25">
        <f>IF($A20="",0,(SUMIFS('Direct Costs'!$R$5:$R$2005,'Direct Costs'!$V$5:$V$2005,$A20,'Direct Costs'!$A$5:$A$2005,"&lt;"&amp;ReportFrom)+SUMIFS('Direct Costs'!$S$5:$S$2005,'Direct Costs'!$Y$5:$Y$2005,$A20,'Direct Costs'!$A$5:$A$2005,"&lt;"&amp;ReportFrom))-(SUMIFS('Direct Costs'!$L$5:$L$2005,'Direct Costs'!$W$5:$W$2005,$A20,'Direct Costs'!$A$5:$A$2005,"&lt;"&amp;ReportFrom)+SUMIFS('Direct Costs'!$U$5:$U$2005,'Direct Costs'!$X$5:$X$2005,$A20,'Direct Costs'!$A$5:$A$2005,"&lt;"&amp;ReportFrom)+SUMIFS('Direct Costs'!$T$5:$T$2005,'Direct Costs'!$Z$5:$Z$2005,$A20,'Direct Costs'!$A$5:$A$2005,"&lt;"&amp;ReportFrom)))</f>
        <v/>
      </c>
      <c r="M20" s="25">
        <f>IF($A20="",0,SUMIFS('Direct Costs'!$R$5:$R$2005,'Direct Costs'!$V$5:$V$2005,$A20,'Direct Costs'!$A$5:$A$2005,"&gt;="&amp;ReportFrom,'Direct Costs'!$A$5:$A$2005,"&lt;="&amp;ReportTo)+SUMIFS('Direct Costs'!$S$5:$S$2005,'Direct Costs'!$Y$5:$Y$2005,$A20,'Direct Costs'!$A$5:$A$2005,"&gt;="&amp;ReportFrom,'Direct Costs'!$A$5:$A$2005,"&lt;="&amp;ReportTo))</f>
        <v/>
      </c>
      <c r="N20" s="25">
        <f>IF($A20="",0,SUMIFS('Direct Costs'!$L$5:$L$2005,'Direct Costs'!$W$5:$W$2005,$A20,'Direct Costs'!$A$5:$A$2005,"&gt;="&amp;ReportFrom,'Direct Costs'!$A$5:$A$2005,"&lt;="&amp;ReportTo)+SUMIFS('Direct Costs'!$U$5:$U$2005,'Direct Costs'!$X$5:$X$2005,$A20,'Direct Costs'!$A$5:$A$2005,"&gt;="&amp;ReportFrom,'Direct Costs'!$A$5:$A$2005,"&lt;="&amp;ReportTo)+SUMIFS('Direct Costs'!$T$5:$T$2005,'Direct Costs'!$Z$5:$Z$2005,$A20,'Direct Costs'!$A$5:$A$2005,"&gt;="&amp;ReportFrom,'Direct Costs'!$A$5:$A$2005,"&lt;="&amp;ReportTo))</f>
        <v/>
      </c>
      <c r="O20" s="25">
        <f>IF($A20="",0,(SUMIFS('Operating Expenses'!$F$5:$F$2005,'Operating Expenses'!$Q$5:$Q$2005,$A20,'Operating Expenses'!$A$5:$A$2005,"&lt;"&amp;ReportFrom)+SUMIFS('Operating Expenses'!$M$5:$M$2005,'Operating Expenses'!$T$5:$T$2005,$A20,'Operating Expenses'!$A$5:$A$2005,"&lt;"&amp;ReportFrom))-(SUMIFS('Operating Expenses'!$O$5:$O$2005,'Operating Expenses'!$R$5:$R$2005,$A20,'Operating Expenses'!$A$5:$A$2005,"&lt;"&amp;ReportFrom)+SUMIFS('Operating Expenses'!$P$5:$P$2005,'Operating Expenses'!$S$5:$S$2005,$A20,'Operating Expenses'!$A$5:$A$2005,"&lt;"&amp;ReportFrom)+SUMIFS('Operating Expenses'!$N$5:$N$2005,'Operating Expenses'!$U$5:$U$2005,$A20,'Operating Expenses'!$A$5:$A$2005,"&lt;"&amp;ReportFrom)))</f>
        <v/>
      </c>
      <c r="P20" s="25">
        <f>IF($A20="",0,SUMIFS('Operating Expenses'!$F$5:$F$2005,'Operating Expenses'!$Q$5:$Q$2005,$A20,'Operating Expenses'!$A$5:$A$2005,"&gt;="&amp;ReportFrom,'Operating Expenses'!$A$5:$A$2005,"&lt;="&amp;ReportTo)+SUMIFS('Operating Expenses'!$M$5:$M$2005,'Operating Expenses'!$T$5:$T$2005,$A20,'Operating Expenses'!$A$5:$A$2005,"&gt;="&amp;ReportFrom,'Operating Expenses'!$A$5:$A$2005,"&lt;="&amp;ReportTo))</f>
        <v/>
      </c>
      <c r="Q20" s="25">
        <f>IF($A20="",0,SUMIFS('Operating Expenses'!$O$5:$O$2005,'Operating Expenses'!$R$5:$R$2005,$A20,'Operating Expenses'!$A$5:$A$2005,"&gt;="&amp;ReportFrom,'Operating Expenses'!$A$5:$A$2005,"&lt;="&amp;ReportTo)+SUMIFS('Operating Expenses'!$P$5:$P$2005,'Operating Expenses'!$S$5:$S$2005,$A20,'Operating Expenses'!$A$5:$A$2005,"&gt;="&amp;ReportFrom,'Operating Expenses'!$A$5:$A$2005,"&lt;="&amp;ReportTo)+SUMIFS('Operating Expenses'!$N$5:$N$2005,'Operating Expenses'!$U$5:$U$2005,$A20,'Operating Expenses'!$A$5:$A$2005,"&gt;="&amp;ReportFrom,'Operating Expenses'!$A$5:$A$2005,"&lt;="&amp;ReportTo))</f>
        <v/>
      </c>
      <c r="R20" s="25">
        <f>IF($A20="",0,(SUMIFS('Payroll'!$O$5:$O$2005,'Payroll'!$Q$5:$Q$2005,$A20,'Payroll'!$A$5:$A$2005,"&lt;"&amp;ReportFrom))-(SUMIFS('Payroll'!$K$5:$K$2005,'Payroll'!$R$5:$R$2005,$A20,'Payroll'!$A$5:$A$2005,"&lt;"&amp;ReportFrom)+SUMIFS('Payroll'!$P$5:$P$2005,'Payroll'!$S$5:$S$2005,$A20,'Payroll'!$A$5:$A$2005,"&lt;"&amp;ReportFrom)))</f>
        <v/>
      </c>
      <c r="S20" s="25">
        <f>IF($A20="",0,SUMIFS('Payroll'!$O$5:$O$2005,'Payroll'!$Q$5:$Q$2005,$A20,'Payroll'!$A$5:$A$2005,"&gt;="&amp;ReportFrom,'Payroll'!$A$5:$A$2005,"&lt;="&amp;ReportTo))</f>
        <v/>
      </c>
      <c r="T20" s="25">
        <f>IF($A20="",0,SUMIFS('Payroll'!$K$5:$K$2005,'Payroll'!$R$5:$R$2005,$A20,'Payroll'!$A$5:$A$2005,"&gt;="&amp;ReportFrom,'Payroll'!$A$5:$A$2005,"&lt;="&amp;ReportTo)+SUMIFS('Payroll'!$P$5:$P$2005,'Payroll'!$S$5:$S$2005,$A20,'Payroll'!$A$5:$A$2005,"&gt;="&amp;ReportFrom,'Payroll'!$A$5:$A$2005,"&lt;="&amp;ReportTo))</f>
        <v/>
      </c>
      <c r="U20" s="25">
        <f>IF($A20="",0,(SUMIFS('Receipt Vouchers'!$F$5:$F$2005,'Receipt Vouchers'!$O$5:$O$2005,$A20,'Receipt Vouchers'!$A$5:$A$2005,"&lt;"&amp;ReportFrom)+SUMIFS('Receipt Vouchers'!$J$5:$J$2005,'Receipt Vouchers'!$Q$5:$Q$2005,$A20,'Receipt Vouchers'!$A$5:$A$2005,"&lt;"&amp;ReportFrom))-(SUMIFS('Receipt Vouchers'!$N$5:$N$2005,'Receipt Vouchers'!$P$5:$P$2005,$A20,'Receipt Vouchers'!$A$5:$A$2005,"&lt;"&amp;ReportFrom)+SUMIFS('Receipt Vouchers'!$M$5:$M$2005,'Receipt Vouchers'!$R$5:$R$2005,$A20,'Receipt Vouchers'!$A$5:$A$2005,"&lt;"&amp;ReportFrom)))</f>
        <v/>
      </c>
      <c r="V20" s="25">
        <f>IF($A20="",0,SUMIFS('Receipt Vouchers'!$F$5:$F$2005,'Receipt Vouchers'!$O$5:$O$2005,$A20,'Receipt Vouchers'!$A$5:$A$2005,"&gt;="&amp;ReportFrom,'Receipt Vouchers'!$A$5:$A$2005,"&lt;="&amp;ReportTo)+SUMIFS('Receipt Vouchers'!$J$5:$J$2005,'Receipt Vouchers'!$Q$5:$Q$2005,$A20,'Receipt Vouchers'!$A$5:$A$2005,"&gt;="&amp;ReportFrom,'Receipt Vouchers'!$A$5:$A$2005,"&lt;="&amp;ReportTo))</f>
        <v/>
      </c>
      <c r="W20" s="25">
        <f>IF($A20="",0,SUMIFS('Receipt Vouchers'!$N$5:$N$2005,'Receipt Vouchers'!$P$5:$P$2005,$A20,'Receipt Vouchers'!$A$5:$A$2005,"&gt;="&amp;ReportFrom,'Receipt Vouchers'!$A$5:$A$2005,"&lt;="&amp;ReportTo)+SUMIFS('Receipt Vouchers'!$M$5:$M$2005,'Receipt Vouchers'!$R$5:$R$2005,$A20,'Receipt Vouchers'!$A$5:$A$2005,"&gt;="&amp;ReportFrom,'Receipt Vouchers'!$A$5:$A$2005,"&lt;="&amp;ReportTo))</f>
        <v/>
      </c>
      <c r="X20" s="25">
        <f>IF($A20="",0,(SUMIFS('Sales Invoices'!$O$5:$O$2005,'Sales Invoices'!$P$5:$P$2005,$A20,'Sales Invoices'!$B$5:$B$2005,"&lt;"&amp;ReportFrom)+SUMIFS('Sales Invoices'!$N$5:$N$2005,'Sales Invoices'!$R$5:$R$2005,$A20,'Sales Invoices'!$B$5:$B$2005,"&lt;"&amp;ReportFrom))-(SUMIFS('Sales Invoices'!$L$5:$L$2005,'Sales Invoices'!$Q$5:$Q$2005,$A20,'Sales Invoices'!$B$5:$B$2005,"&lt;"&amp;ReportFrom)+SUMIFS('Sales Invoices'!$M$5:$M$2005,'Sales Invoices'!$S$5:$S$2005,$A20,'Sales Invoices'!$B$5:$B$2005,"&lt;"&amp;ReportFrom)))</f>
        <v/>
      </c>
      <c r="Y20" s="25">
        <f>IF($A20="",0,SUMIFS('Sales Invoices'!$O$5:$O$2005,'Sales Invoices'!$P$5:$P$2005,$A20,'Sales Invoices'!$B$5:$B$2005,"&gt;="&amp;ReportFrom,'Sales Invoices'!$B$5:$B$2005,"&lt;="&amp;ReportTo)+SUMIFS('Sales Invoices'!$N$5:$N$2005,'Sales Invoices'!$R$5:$R$2005,$A20,'Sales Invoices'!$B$5:$B$2005,"&gt;="&amp;ReportFrom,'Sales Invoices'!$B$5:$B$2005,"&lt;="&amp;ReportTo))</f>
        <v/>
      </c>
      <c r="Z20" s="25">
        <f>IF($A20="",0,SUMIFS('Sales Invoices'!$L$5:$L$2005,'Sales Invoices'!$Q$5:$Q$2005,$A20,'Sales Invoices'!$B$5:$B$2005,"&gt;="&amp;ReportFrom,'Sales Invoices'!$B$5:$B$2005,"&lt;="&amp;ReportTo)+SUMIFS('Sales Invoices'!$M$5:$M$2005,'Sales Invoices'!$S$5:$S$2005,$A20,'Sales Invoices'!$B$5:$B$2005,"&gt;="&amp;ReportFrom,'Sales Invoices'!$B$5:$B$2005,"&lt;="&amp;ReportTo))</f>
        <v/>
      </c>
      <c r="AA20" s="25">
        <f>IF($A20="",0,(SUMIFS('Payment Vouchers'!$D$5:$D$2005,'Payment Vouchers'!$J$5:$J$2005,$A20,'Payment Vouchers'!$A$5:$A$2005,"&lt;"&amp;ReportFrom))-(SUMIFS('Payment Vouchers'!$D$5:$D$2005,'Payment Vouchers'!$K$5:$K$2005,$A20,'Payment Vouchers'!$A$5:$A$2005,"&lt;"&amp;ReportFrom)))</f>
        <v/>
      </c>
      <c r="AB20" s="25">
        <f>IF($A20="",0,SUMIFS('Payment Vouchers'!$D$5:$D$2005,'Payment Vouchers'!$J$5:$J$2005,$A20,'Payment Vouchers'!$A$5:$A$2005,"&gt;="&amp;ReportFrom,'Payment Vouchers'!$A$5:$A$2005,"&lt;="&amp;ReportTo))</f>
        <v/>
      </c>
      <c r="AC20" s="25">
        <f>IF($A20="",0,SUMIFS('Payment Vouchers'!$D$5:$D$2005,'Payment Vouchers'!$K$5:$K$2005,$A20,'Payment Vouchers'!$A$5:$A$2005,"&gt;="&amp;ReportFrom,'Payment Vouchers'!$A$5:$A$2005,"&lt;="&amp;ReportTo))</f>
        <v/>
      </c>
      <c r="AD20" s="25">
        <f>IF($A20="",0,(SUMIFS('Partner Transactions'!$D$5:$D$2005,'Partner Transactions'!$L$5:$L$2005,$A20,'Partner Transactions'!$A$5:$A$2005,"&lt;"&amp;ReportFrom))-(SUMIFS('Partner Transactions'!$D$5:$D$2005,'Partner Transactions'!$M$5:$M$2005,$A20,'Partner Transactions'!$A$5:$A$2005,"&lt;"&amp;ReportFrom)))</f>
        <v/>
      </c>
      <c r="AE20" s="25">
        <f>IF($A20="",0,SUMIFS('Partner Transactions'!$D$5:$D$2005,'Partner Transactions'!$L$5:$L$2005,$A20,'Partner Transactions'!$A$5:$A$2005,"&gt;="&amp;ReportFrom,'Partner Transactions'!$A$5:$A$2005,"&lt;="&amp;ReportTo))</f>
        <v/>
      </c>
      <c r="AF20" s="25">
        <f>IF($A20="",0,SUMIFS('Partner Transactions'!$D$5:$D$2005,'Partner Transactions'!$M$5:$M$2005,$A20,'Partner Transactions'!$A$5:$A$2005,"&gt;="&amp;ReportFrom,'Partner Transactions'!$A$5:$A$2005,"&lt;="&amp;ReportTo))</f>
        <v/>
      </c>
      <c r="AG20" s="25">
        <f>IF($A20="",0,(SUMIFS('Stock Moves'!$S$5:$S$2005,'Stock Moves'!$AD$5:$AD$2005,$A20,'Stock Moves'!$A$5:$A$2005,"&lt;"&amp;ReportFrom)+SUMIFS('Stock Moves'!$T$5:$T$2005,'Stock Moves'!$V$5:$V$2005,$A20,'Stock Moves'!$A$5:$A$2005,"&lt;"&amp;ReportFrom))-(SUMIFS('Stock Moves'!$AF$5:$AF$2005,'Stock Moves'!$AE$5:$AE$2005,$A20,'Stock Moves'!$A$5:$A$2005,"&lt;"&amp;ReportFrom)+SUMIFS('Stock Moves'!$AC$5:$AC$2005,'Stock Moves'!$X$5:$X$2005,$A20,'Stock Moves'!$A$5:$A$2005,"&lt;"&amp;ReportFrom)+SUMIFS('Stock Moves'!$U$5:$U$2005,'Stock Moves'!$W$5:$W$2005,$A20,'Stock Moves'!$A$5:$A$2005,"&lt;"&amp;ReportFrom)))</f>
        <v/>
      </c>
      <c r="AH20" s="25">
        <f>IF($A20="",0,SUMIFS('Stock Moves'!$S$5:$S$2005,'Stock Moves'!$AD$5:$AD$2005,$A20,'Stock Moves'!$A$5:$A$2005,"&gt;="&amp;ReportFrom,'Stock Moves'!$A$5:$A$2005,"&lt;="&amp;ReportTo)+SUMIFS('Stock Moves'!$T$5:$T$2005,'Stock Moves'!$V$5:$V$2005,$A20,'Stock Moves'!$A$5:$A$2005,"&gt;="&amp;ReportFrom,'Stock Moves'!$A$5:$A$2005,"&lt;="&amp;ReportTo))</f>
        <v/>
      </c>
      <c r="AI20" s="25">
        <f>IF($A20="",0,SUMIFS('Stock Moves'!$AF$5:$AF$2005,'Stock Moves'!$AE$5:$AE$2005,$A20,'Stock Moves'!$A$5:$A$2005,"&gt;="&amp;ReportFrom,'Stock Moves'!$A$5:$A$2005,"&lt;="&amp;ReportTo)+SUMIFS('Stock Moves'!$AC$5:$AC$2005,'Stock Moves'!$X$5:$X$2005,$A20,'Stock Moves'!$A$5:$A$2005,"&gt;="&amp;ReportFrom,'Stock Moves'!$A$5:$A$2005,"&lt;="&amp;ReportTo)+SUMIFS('Stock Moves'!$U$5:$U$2005,'Stock Moves'!$W$5:$W$2005,$A20,'Stock Moves'!$A$5:$A$2005,"&gt;="&amp;ReportFrom,'Stock Moves'!$A$5:$A$2005,"&lt;="&amp;ReportTo))</f>
        <v/>
      </c>
      <c r="AJ20" s="25">
        <f>IF($A20="",0,(SUMIFS('Journal Vouchers'!$I$5:$I$2005,'Journal Vouchers'!$H$5:$H$2005,$A20,'Journal Vouchers'!$B$5:$B$2005,"&lt;"&amp;ReportFrom))-(SUMIFS('Journal Vouchers'!$J$5:$J$2005,'Journal Vouchers'!$H$5:$H$2005,$A20,'Journal Vouchers'!$B$5:$B$2005,"&lt;"&amp;ReportFrom)))</f>
        <v/>
      </c>
      <c r="AK20" s="25">
        <f>IF($A20="",0,SUMIFS('Journal Vouchers'!$I$5:$I$2005,'Journal Vouchers'!$H$5:$H$2005,$A20,'Journal Vouchers'!$B$5:$B$2005,"&gt;="&amp;ReportFrom,'Journal Vouchers'!$B$5:$B$2005,"&lt;="&amp;ReportTo))</f>
        <v/>
      </c>
      <c r="AL20" s="25">
        <f>IF($A20="",0,SUMIFS('Journal Vouchers'!$J$5:$J$2005,'Journal Vouchers'!$H$5:$H$2005,$A20,'Journal Vouchers'!$B$5:$B$2005,"&gt;="&amp;ReportFrom,'Journal Vouchers'!$B$5:$B$2005,"&lt;="&amp;ReportTo))</f>
        <v/>
      </c>
    </row>
    <row r="21">
      <c r="A21" s="25">
        <f>IF('Chart of Accounts'!A21="","",'Chart of Accounts'!A21&amp;"")</f>
        <v/>
      </c>
      <c r="B21" s="25">
        <f>IF(A21="","",'Chart of Accounts'!B21)</f>
        <v/>
      </c>
      <c r="C21" s="25">
        <f>IF(A21="","",'Chart of Accounts'!C21)</f>
        <v/>
      </c>
      <c r="D21" s="25">
        <f>IF(A21="","",'Chart of Accounts'!D21)</f>
        <v/>
      </c>
      <c r="E21" s="26">
        <f>L21+O21+R21+U21+X21+AA21+AD21+AG21+AJ21</f>
        <v/>
      </c>
      <c r="F21" s="26">
        <f>M21+P21+S21+V21+Y21+AB21+AE21+AH21+AK21</f>
        <v/>
      </c>
      <c r="G21" s="26">
        <f>N21+Q21+T21+W21+Z21+AC21+AF21+AI21+AL21</f>
        <v/>
      </c>
      <c r="H21" s="26">
        <f>E21+F21-G21</f>
        <v/>
      </c>
      <c r="I21" s="26">
        <f>MAX(H21,0)</f>
        <v/>
      </c>
      <c r="J21" s="26">
        <f>MAX(-H21,0)</f>
        <v/>
      </c>
      <c r="L21" s="25">
        <f>IF($A21="",0,(SUMIFS('Direct Costs'!$R$5:$R$2005,'Direct Costs'!$V$5:$V$2005,$A21,'Direct Costs'!$A$5:$A$2005,"&lt;"&amp;ReportFrom)+SUMIFS('Direct Costs'!$S$5:$S$2005,'Direct Costs'!$Y$5:$Y$2005,$A21,'Direct Costs'!$A$5:$A$2005,"&lt;"&amp;ReportFrom))-(SUMIFS('Direct Costs'!$L$5:$L$2005,'Direct Costs'!$W$5:$W$2005,$A21,'Direct Costs'!$A$5:$A$2005,"&lt;"&amp;ReportFrom)+SUMIFS('Direct Costs'!$U$5:$U$2005,'Direct Costs'!$X$5:$X$2005,$A21,'Direct Costs'!$A$5:$A$2005,"&lt;"&amp;ReportFrom)+SUMIFS('Direct Costs'!$T$5:$T$2005,'Direct Costs'!$Z$5:$Z$2005,$A21,'Direct Costs'!$A$5:$A$2005,"&lt;"&amp;ReportFrom)))</f>
        <v/>
      </c>
      <c r="M21" s="25">
        <f>IF($A21="",0,SUMIFS('Direct Costs'!$R$5:$R$2005,'Direct Costs'!$V$5:$V$2005,$A21,'Direct Costs'!$A$5:$A$2005,"&gt;="&amp;ReportFrom,'Direct Costs'!$A$5:$A$2005,"&lt;="&amp;ReportTo)+SUMIFS('Direct Costs'!$S$5:$S$2005,'Direct Costs'!$Y$5:$Y$2005,$A21,'Direct Costs'!$A$5:$A$2005,"&gt;="&amp;ReportFrom,'Direct Costs'!$A$5:$A$2005,"&lt;="&amp;ReportTo))</f>
        <v/>
      </c>
      <c r="N21" s="25">
        <f>IF($A21="",0,SUMIFS('Direct Costs'!$L$5:$L$2005,'Direct Costs'!$W$5:$W$2005,$A21,'Direct Costs'!$A$5:$A$2005,"&gt;="&amp;ReportFrom,'Direct Costs'!$A$5:$A$2005,"&lt;="&amp;ReportTo)+SUMIFS('Direct Costs'!$U$5:$U$2005,'Direct Costs'!$X$5:$X$2005,$A21,'Direct Costs'!$A$5:$A$2005,"&gt;="&amp;ReportFrom,'Direct Costs'!$A$5:$A$2005,"&lt;="&amp;ReportTo)+SUMIFS('Direct Costs'!$T$5:$T$2005,'Direct Costs'!$Z$5:$Z$2005,$A21,'Direct Costs'!$A$5:$A$2005,"&gt;="&amp;ReportFrom,'Direct Costs'!$A$5:$A$2005,"&lt;="&amp;ReportTo))</f>
        <v/>
      </c>
      <c r="O21" s="25">
        <f>IF($A21="",0,(SUMIFS('Operating Expenses'!$F$5:$F$2005,'Operating Expenses'!$Q$5:$Q$2005,$A21,'Operating Expenses'!$A$5:$A$2005,"&lt;"&amp;ReportFrom)+SUMIFS('Operating Expenses'!$M$5:$M$2005,'Operating Expenses'!$T$5:$T$2005,$A21,'Operating Expenses'!$A$5:$A$2005,"&lt;"&amp;ReportFrom))-(SUMIFS('Operating Expenses'!$O$5:$O$2005,'Operating Expenses'!$R$5:$R$2005,$A21,'Operating Expenses'!$A$5:$A$2005,"&lt;"&amp;ReportFrom)+SUMIFS('Operating Expenses'!$P$5:$P$2005,'Operating Expenses'!$S$5:$S$2005,$A21,'Operating Expenses'!$A$5:$A$2005,"&lt;"&amp;ReportFrom)+SUMIFS('Operating Expenses'!$N$5:$N$2005,'Operating Expenses'!$U$5:$U$2005,$A21,'Operating Expenses'!$A$5:$A$2005,"&lt;"&amp;ReportFrom)))</f>
        <v/>
      </c>
      <c r="P21" s="25">
        <f>IF($A21="",0,SUMIFS('Operating Expenses'!$F$5:$F$2005,'Operating Expenses'!$Q$5:$Q$2005,$A21,'Operating Expenses'!$A$5:$A$2005,"&gt;="&amp;ReportFrom,'Operating Expenses'!$A$5:$A$2005,"&lt;="&amp;ReportTo)+SUMIFS('Operating Expenses'!$M$5:$M$2005,'Operating Expenses'!$T$5:$T$2005,$A21,'Operating Expenses'!$A$5:$A$2005,"&gt;="&amp;ReportFrom,'Operating Expenses'!$A$5:$A$2005,"&lt;="&amp;ReportTo))</f>
        <v/>
      </c>
      <c r="Q21" s="25">
        <f>IF($A21="",0,SUMIFS('Operating Expenses'!$O$5:$O$2005,'Operating Expenses'!$R$5:$R$2005,$A21,'Operating Expenses'!$A$5:$A$2005,"&gt;="&amp;ReportFrom,'Operating Expenses'!$A$5:$A$2005,"&lt;="&amp;ReportTo)+SUMIFS('Operating Expenses'!$P$5:$P$2005,'Operating Expenses'!$S$5:$S$2005,$A21,'Operating Expenses'!$A$5:$A$2005,"&gt;="&amp;ReportFrom,'Operating Expenses'!$A$5:$A$2005,"&lt;="&amp;ReportTo)+SUMIFS('Operating Expenses'!$N$5:$N$2005,'Operating Expenses'!$U$5:$U$2005,$A21,'Operating Expenses'!$A$5:$A$2005,"&gt;="&amp;ReportFrom,'Operating Expenses'!$A$5:$A$2005,"&lt;="&amp;ReportTo))</f>
        <v/>
      </c>
      <c r="R21" s="25">
        <f>IF($A21="",0,(SUMIFS('Payroll'!$O$5:$O$2005,'Payroll'!$Q$5:$Q$2005,$A21,'Payroll'!$A$5:$A$2005,"&lt;"&amp;ReportFrom))-(SUMIFS('Payroll'!$K$5:$K$2005,'Payroll'!$R$5:$R$2005,$A21,'Payroll'!$A$5:$A$2005,"&lt;"&amp;ReportFrom)+SUMIFS('Payroll'!$P$5:$P$2005,'Payroll'!$S$5:$S$2005,$A21,'Payroll'!$A$5:$A$2005,"&lt;"&amp;ReportFrom)))</f>
        <v/>
      </c>
      <c r="S21" s="25">
        <f>IF($A21="",0,SUMIFS('Payroll'!$O$5:$O$2005,'Payroll'!$Q$5:$Q$2005,$A21,'Payroll'!$A$5:$A$2005,"&gt;="&amp;ReportFrom,'Payroll'!$A$5:$A$2005,"&lt;="&amp;ReportTo))</f>
        <v/>
      </c>
      <c r="T21" s="25">
        <f>IF($A21="",0,SUMIFS('Payroll'!$K$5:$K$2005,'Payroll'!$R$5:$R$2005,$A21,'Payroll'!$A$5:$A$2005,"&gt;="&amp;ReportFrom,'Payroll'!$A$5:$A$2005,"&lt;="&amp;ReportTo)+SUMIFS('Payroll'!$P$5:$P$2005,'Payroll'!$S$5:$S$2005,$A21,'Payroll'!$A$5:$A$2005,"&gt;="&amp;ReportFrom,'Payroll'!$A$5:$A$2005,"&lt;="&amp;ReportTo))</f>
        <v/>
      </c>
      <c r="U21" s="25">
        <f>IF($A21="",0,(SUMIFS('Receipt Vouchers'!$F$5:$F$2005,'Receipt Vouchers'!$O$5:$O$2005,$A21,'Receipt Vouchers'!$A$5:$A$2005,"&lt;"&amp;ReportFrom)+SUMIFS('Receipt Vouchers'!$J$5:$J$2005,'Receipt Vouchers'!$Q$5:$Q$2005,$A21,'Receipt Vouchers'!$A$5:$A$2005,"&lt;"&amp;ReportFrom))-(SUMIFS('Receipt Vouchers'!$N$5:$N$2005,'Receipt Vouchers'!$P$5:$P$2005,$A21,'Receipt Vouchers'!$A$5:$A$2005,"&lt;"&amp;ReportFrom)+SUMIFS('Receipt Vouchers'!$M$5:$M$2005,'Receipt Vouchers'!$R$5:$R$2005,$A21,'Receipt Vouchers'!$A$5:$A$2005,"&lt;"&amp;ReportFrom)))</f>
        <v/>
      </c>
      <c r="V21" s="25">
        <f>IF($A21="",0,SUMIFS('Receipt Vouchers'!$F$5:$F$2005,'Receipt Vouchers'!$O$5:$O$2005,$A21,'Receipt Vouchers'!$A$5:$A$2005,"&gt;="&amp;ReportFrom,'Receipt Vouchers'!$A$5:$A$2005,"&lt;="&amp;ReportTo)+SUMIFS('Receipt Vouchers'!$J$5:$J$2005,'Receipt Vouchers'!$Q$5:$Q$2005,$A21,'Receipt Vouchers'!$A$5:$A$2005,"&gt;="&amp;ReportFrom,'Receipt Vouchers'!$A$5:$A$2005,"&lt;="&amp;ReportTo))</f>
        <v/>
      </c>
      <c r="W21" s="25">
        <f>IF($A21="",0,SUMIFS('Receipt Vouchers'!$N$5:$N$2005,'Receipt Vouchers'!$P$5:$P$2005,$A21,'Receipt Vouchers'!$A$5:$A$2005,"&gt;="&amp;ReportFrom,'Receipt Vouchers'!$A$5:$A$2005,"&lt;="&amp;ReportTo)+SUMIFS('Receipt Vouchers'!$M$5:$M$2005,'Receipt Vouchers'!$R$5:$R$2005,$A21,'Receipt Vouchers'!$A$5:$A$2005,"&gt;="&amp;ReportFrom,'Receipt Vouchers'!$A$5:$A$2005,"&lt;="&amp;ReportTo))</f>
        <v/>
      </c>
      <c r="X21" s="25">
        <f>IF($A21="",0,(SUMIFS('Sales Invoices'!$O$5:$O$2005,'Sales Invoices'!$P$5:$P$2005,$A21,'Sales Invoices'!$B$5:$B$2005,"&lt;"&amp;ReportFrom)+SUMIFS('Sales Invoices'!$N$5:$N$2005,'Sales Invoices'!$R$5:$R$2005,$A21,'Sales Invoices'!$B$5:$B$2005,"&lt;"&amp;ReportFrom))-(SUMIFS('Sales Invoices'!$L$5:$L$2005,'Sales Invoices'!$Q$5:$Q$2005,$A21,'Sales Invoices'!$B$5:$B$2005,"&lt;"&amp;ReportFrom)+SUMIFS('Sales Invoices'!$M$5:$M$2005,'Sales Invoices'!$S$5:$S$2005,$A21,'Sales Invoices'!$B$5:$B$2005,"&lt;"&amp;ReportFrom)))</f>
        <v/>
      </c>
      <c r="Y21" s="25">
        <f>IF($A21="",0,SUMIFS('Sales Invoices'!$O$5:$O$2005,'Sales Invoices'!$P$5:$P$2005,$A21,'Sales Invoices'!$B$5:$B$2005,"&gt;="&amp;ReportFrom,'Sales Invoices'!$B$5:$B$2005,"&lt;="&amp;ReportTo)+SUMIFS('Sales Invoices'!$N$5:$N$2005,'Sales Invoices'!$R$5:$R$2005,$A21,'Sales Invoices'!$B$5:$B$2005,"&gt;="&amp;ReportFrom,'Sales Invoices'!$B$5:$B$2005,"&lt;="&amp;ReportTo))</f>
        <v/>
      </c>
      <c r="Z21" s="25">
        <f>IF($A21="",0,SUMIFS('Sales Invoices'!$L$5:$L$2005,'Sales Invoices'!$Q$5:$Q$2005,$A21,'Sales Invoices'!$B$5:$B$2005,"&gt;="&amp;ReportFrom,'Sales Invoices'!$B$5:$B$2005,"&lt;="&amp;ReportTo)+SUMIFS('Sales Invoices'!$M$5:$M$2005,'Sales Invoices'!$S$5:$S$2005,$A21,'Sales Invoices'!$B$5:$B$2005,"&gt;="&amp;ReportFrom,'Sales Invoices'!$B$5:$B$2005,"&lt;="&amp;ReportTo))</f>
        <v/>
      </c>
      <c r="AA21" s="25">
        <f>IF($A21="",0,(SUMIFS('Payment Vouchers'!$D$5:$D$2005,'Payment Vouchers'!$J$5:$J$2005,$A21,'Payment Vouchers'!$A$5:$A$2005,"&lt;"&amp;ReportFrom))-(SUMIFS('Payment Vouchers'!$D$5:$D$2005,'Payment Vouchers'!$K$5:$K$2005,$A21,'Payment Vouchers'!$A$5:$A$2005,"&lt;"&amp;ReportFrom)))</f>
        <v/>
      </c>
      <c r="AB21" s="25">
        <f>IF($A21="",0,SUMIFS('Payment Vouchers'!$D$5:$D$2005,'Payment Vouchers'!$J$5:$J$2005,$A21,'Payment Vouchers'!$A$5:$A$2005,"&gt;="&amp;ReportFrom,'Payment Vouchers'!$A$5:$A$2005,"&lt;="&amp;ReportTo))</f>
        <v/>
      </c>
      <c r="AC21" s="25">
        <f>IF($A21="",0,SUMIFS('Payment Vouchers'!$D$5:$D$2005,'Payment Vouchers'!$K$5:$K$2005,$A21,'Payment Vouchers'!$A$5:$A$2005,"&gt;="&amp;ReportFrom,'Payment Vouchers'!$A$5:$A$2005,"&lt;="&amp;ReportTo))</f>
        <v/>
      </c>
      <c r="AD21" s="25">
        <f>IF($A21="",0,(SUMIFS('Partner Transactions'!$D$5:$D$2005,'Partner Transactions'!$L$5:$L$2005,$A21,'Partner Transactions'!$A$5:$A$2005,"&lt;"&amp;ReportFrom))-(SUMIFS('Partner Transactions'!$D$5:$D$2005,'Partner Transactions'!$M$5:$M$2005,$A21,'Partner Transactions'!$A$5:$A$2005,"&lt;"&amp;ReportFrom)))</f>
        <v/>
      </c>
      <c r="AE21" s="25">
        <f>IF($A21="",0,SUMIFS('Partner Transactions'!$D$5:$D$2005,'Partner Transactions'!$L$5:$L$2005,$A21,'Partner Transactions'!$A$5:$A$2005,"&gt;="&amp;ReportFrom,'Partner Transactions'!$A$5:$A$2005,"&lt;="&amp;ReportTo))</f>
        <v/>
      </c>
      <c r="AF21" s="25">
        <f>IF($A21="",0,SUMIFS('Partner Transactions'!$D$5:$D$2005,'Partner Transactions'!$M$5:$M$2005,$A21,'Partner Transactions'!$A$5:$A$2005,"&gt;="&amp;ReportFrom,'Partner Transactions'!$A$5:$A$2005,"&lt;="&amp;ReportTo))</f>
        <v/>
      </c>
      <c r="AG21" s="25">
        <f>IF($A21="",0,(SUMIFS('Stock Moves'!$S$5:$S$2005,'Stock Moves'!$AD$5:$AD$2005,$A21,'Stock Moves'!$A$5:$A$2005,"&lt;"&amp;ReportFrom)+SUMIFS('Stock Moves'!$T$5:$T$2005,'Stock Moves'!$V$5:$V$2005,$A21,'Stock Moves'!$A$5:$A$2005,"&lt;"&amp;ReportFrom))-(SUMIFS('Stock Moves'!$AF$5:$AF$2005,'Stock Moves'!$AE$5:$AE$2005,$A21,'Stock Moves'!$A$5:$A$2005,"&lt;"&amp;ReportFrom)+SUMIFS('Stock Moves'!$AC$5:$AC$2005,'Stock Moves'!$X$5:$X$2005,$A21,'Stock Moves'!$A$5:$A$2005,"&lt;"&amp;ReportFrom)+SUMIFS('Stock Moves'!$U$5:$U$2005,'Stock Moves'!$W$5:$W$2005,$A21,'Stock Moves'!$A$5:$A$2005,"&lt;"&amp;ReportFrom)))</f>
        <v/>
      </c>
      <c r="AH21" s="25">
        <f>IF($A21="",0,SUMIFS('Stock Moves'!$S$5:$S$2005,'Stock Moves'!$AD$5:$AD$2005,$A21,'Stock Moves'!$A$5:$A$2005,"&gt;="&amp;ReportFrom,'Stock Moves'!$A$5:$A$2005,"&lt;="&amp;ReportTo)+SUMIFS('Stock Moves'!$T$5:$T$2005,'Stock Moves'!$V$5:$V$2005,$A21,'Stock Moves'!$A$5:$A$2005,"&gt;="&amp;ReportFrom,'Stock Moves'!$A$5:$A$2005,"&lt;="&amp;ReportTo))</f>
        <v/>
      </c>
      <c r="AI21" s="25">
        <f>IF($A21="",0,SUMIFS('Stock Moves'!$AF$5:$AF$2005,'Stock Moves'!$AE$5:$AE$2005,$A21,'Stock Moves'!$A$5:$A$2005,"&gt;="&amp;ReportFrom,'Stock Moves'!$A$5:$A$2005,"&lt;="&amp;ReportTo)+SUMIFS('Stock Moves'!$AC$5:$AC$2005,'Stock Moves'!$X$5:$X$2005,$A21,'Stock Moves'!$A$5:$A$2005,"&gt;="&amp;ReportFrom,'Stock Moves'!$A$5:$A$2005,"&lt;="&amp;ReportTo)+SUMIFS('Stock Moves'!$U$5:$U$2005,'Stock Moves'!$W$5:$W$2005,$A21,'Stock Moves'!$A$5:$A$2005,"&gt;="&amp;ReportFrom,'Stock Moves'!$A$5:$A$2005,"&lt;="&amp;ReportTo))</f>
        <v/>
      </c>
      <c r="AJ21" s="25">
        <f>IF($A21="",0,(SUMIFS('Journal Vouchers'!$I$5:$I$2005,'Journal Vouchers'!$H$5:$H$2005,$A21,'Journal Vouchers'!$B$5:$B$2005,"&lt;"&amp;ReportFrom))-(SUMIFS('Journal Vouchers'!$J$5:$J$2005,'Journal Vouchers'!$H$5:$H$2005,$A21,'Journal Vouchers'!$B$5:$B$2005,"&lt;"&amp;ReportFrom)))</f>
        <v/>
      </c>
      <c r="AK21" s="25">
        <f>IF($A21="",0,SUMIFS('Journal Vouchers'!$I$5:$I$2005,'Journal Vouchers'!$H$5:$H$2005,$A21,'Journal Vouchers'!$B$5:$B$2005,"&gt;="&amp;ReportFrom,'Journal Vouchers'!$B$5:$B$2005,"&lt;="&amp;ReportTo))</f>
        <v/>
      </c>
      <c r="AL21" s="25">
        <f>IF($A21="",0,SUMIFS('Journal Vouchers'!$J$5:$J$2005,'Journal Vouchers'!$H$5:$H$2005,$A21,'Journal Vouchers'!$B$5:$B$2005,"&gt;="&amp;ReportFrom,'Journal Vouchers'!$B$5:$B$2005,"&lt;="&amp;ReportTo))</f>
        <v/>
      </c>
    </row>
    <row r="22">
      <c r="A22" s="25">
        <f>IF('Chart of Accounts'!A22="","",'Chart of Accounts'!A22&amp;"")</f>
        <v/>
      </c>
      <c r="B22" s="25">
        <f>IF(A22="","",'Chart of Accounts'!B22)</f>
        <v/>
      </c>
      <c r="C22" s="25">
        <f>IF(A22="","",'Chart of Accounts'!C22)</f>
        <v/>
      </c>
      <c r="D22" s="25">
        <f>IF(A22="","",'Chart of Accounts'!D22)</f>
        <v/>
      </c>
      <c r="E22" s="26">
        <f>L22+O22+R22+U22+X22+AA22+AD22+AG22+AJ22</f>
        <v/>
      </c>
      <c r="F22" s="26">
        <f>M22+P22+S22+V22+Y22+AB22+AE22+AH22+AK22</f>
        <v/>
      </c>
      <c r="G22" s="26">
        <f>N22+Q22+T22+W22+Z22+AC22+AF22+AI22+AL22</f>
        <v/>
      </c>
      <c r="H22" s="26">
        <f>E22+F22-G22</f>
        <v/>
      </c>
      <c r="I22" s="26">
        <f>MAX(H22,0)</f>
        <v/>
      </c>
      <c r="J22" s="26">
        <f>MAX(-H22,0)</f>
        <v/>
      </c>
      <c r="L22" s="25">
        <f>IF($A22="",0,(SUMIFS('Direct Costs'!$R$5:$R$2005,'Direct Costs'!$V$5:$V$2005,$A22,'Direct Costs'!$A$5:$A$2005,"&lt;"&amp;ReportFrom)+SUMIFS('Direct Costs'!$S$5:$S$2005,'Direct Costs'!$Y$5:$Y$2005,$A22,'Direct Costs'!$A$5:$A$2005,"&lt;"&amp;ReportFrom))-(SUMIFS('Direct Costs'!$L$5:$L$2005,'Direct Costs'!$W$5:$W$2005,$A22,'Direct Costs'!$A$5:$A$2005,"&lt;"&amp;ReportFrom)+SUMIFS('Direct Costs'!$U$5:$U$2005,'Direct Costs'!$X$5:$X$2005,$A22,'Direct Costs'!$A$5:$A$2005,"&lt;"&amp;ReportFrom)+SUMIFS('Direct Costs'!$T$5:$T$2005,'Direct Costs'!$Z$5:$Z$2005,$A22,'Direct Costs'!$A$5:$A$2005,"&lt;"&amp;ReportFrom)))</f>
        <v/>
      </c>
      <c r="M22" s="25">
        <f>IF($A22="",0,SUMIFS('Direct Costs'!$R$5:$R$2005,'Direct Costs'!$V$5:$V$2005,$A22,'Direct Costs'!$A$5:$A$2005,"&gt;="&amp;ReportFrom,'Direct Costs'!$A$5:$A$2005,"&lt;="&amp;ReportTo)+SUMIFS('Direct Costs'!$S$5:$S$2005,'Direct Costs'!$Y$5:$Y$2005,$A22,'Direct Costs'!$A$5:$A$2005,"&gt;="&amp;ReportFrom,'Direct Costs'!$A$5:$A$2005,"&lt;="&amp;ReportTo))</f>
        <v/>
      </c>
      <c r="N22" s="25">
        <f>IF($A22="",0,SUMIFS('Direct Costs'!$L$5:$L$2005,'Direct Costs'!$W$5:$W$2005,$A22,'Direct Costs'!$A$5:$A$2005,"&gt;="&amp;ReportFrom,'Direct Costs'!$A$5:$A$2005,"&lt;="&amp;ReportTo)+SUMIFS('Direct Costs'!$U$5:$U$2005,'Direct Costs'!$X$5:$X$2005,$A22,'Direct Costs'!$A$5:$A$2005,"&gt;="&amp;ReportFrom,'Direct Costs'!$A$5:$A$2005,"&lt;="&amp;ReportTo)+SUMIFS('Direct Costs'!$T$5:$T$2005,'Direct Costs'!$Z$5:$Z$2005,$A22,'Direct Costs'!$A$5:$A$2005,"&gt;="&amp;ReportFrom,'Direct Costs'!$A$5:$A$2005,"&lt;="&amp;ReportTo))</f>
        <v/>
      </c>
      <c r="O22" s="25">
        <f>IF($A22="",0,(SUMIFS('Operating Expenses'!$F$5:$F$2005,'Operating Expenses'!$Q$5:$Q$2005,$A22,'Operating Expenses'!$A$5:$A$2005,"&lt;"&amp;ReportFrom)+SUMIFS('Operating Expenses'!$M$5:$M$2005,'Operating Expenses'!$T$5:$T$2005,$A22,'Operating Expenses'!$A$5:$A$2005,"&lt;"&amp;ReportFrom))-(SUMIFS('Operating Expenses'!$O$5:$O$2005,'Operating Expenses'!$R$5:$R$2005,$A22,'Operating Expenses'!$A$5:$A$2005,"&lt;"&amp;ReportFrom)+SUMIFS('Operating Expenses'!$P$5:$P$2005,'Operating Expenses'!$S$5:$S$2005,$A22,'Operating Expenses'!$A$5:$A$2005,"&lt;"&amp;ReportFrom)+SUMIFS('Operating Expenses'!$N$5:$N$2005,'Operating Expenses'!$U$5:$U$2005,$A22,'Operating Expenses'!$A$5:$A$2005,"&lt;"&amp;ReportFrom)))</f>
        <v/>
      </c>
      <c r="P22" s="25">
        <f>IF($A22="",0,SUMIFS('Operating Expenses'!$F$5:$F$2005,'Operating Expenses'!$Q$5:$Q$2005,$A22,'Operating Expenses'!$A$5:$A$2005,"&gt;="&amp;ReportFrom,'Operating Expenses'!$A$5:$A$2005,"&lt;="&amp;ReportTo)+SUMIFS('Operating Expenses'!$M$5:$M$2005,'Operating Expenses'!$T$5:$T$2005,$A22,'Operating Expenses'!$A$5:$A$2005,"&gt;="&amp;ReportFrom,'Operating Expenses'!$A$5:$A$2005,"&lt;="&amp;ReportTo))</f>
        <v/>
      </c>
      <c r="Q22" s="25">
        <f>IF($A22="",0,SUMIFS('Operating Expenses'!$O$5:$O$2005,'Operating Expenses'!$R$5:$R$2005,$A22,'Operating Expenses'!$A$5:$A$2005,"&gt;="&amp;ReportFrom,'Operating Expenses'!$A$5:$A$2005,"&lt;="&amp;ReportTo)+SUMIFS('Operating Expenses'!$P$5:$P$2005,'Operating Expenses'!$S$5:$S$2005,$A22,'Operating Expenses'!$A$5:$A$2005,"&gt;="&amp;ReportFrom,'Operating Expenses'!$A$5:$A$2005,"&lt;="&amp;ReportTo)+SUMIFS('Operating Expenses'!$N$5:$N$2005,'Operating Expenses'!$U$5:$U$2005,$A22,'Operating Expenses'!$A$5:$A$2005,"&gt;="&amp;ReportFrom,'Operating Expenses'!$A$5:$A$2005,"&lt;="&amp;ReportTo))</f>
        <v/>
      </c>
      <c r="R22" s="25">
        <f>IF($A22="",0,(SUMIFS('Payroll'!$O$5:$O$2005,'Payroll'!$Q$5:$Q$2005,$A22,'Payroll'!$A$5:$A$2005,"&lt;"&amp;ReportFrom))-(SUMIFS('Payroll'!$K$5:$K$2005,'Payroll'!$R$5:$R$2005,$A22,'Payroll'!$A$5:$A$2005,"&lt;"&amp;ReportFrom)+SUMIFS('Payroll'!$P$5:$P$2005,'Payroll'!$S$5:$S$2005,$A22,'Payroll'!$A$5:$A$2005,"&lt;"&amp;ReportFrom)))</f>
        <v/>
      </c>
      <c r="S22" s="25">
        <f>IF($A22="",0,SUMIFS('Payroll'!$O$5:$O$2005,'Payroll'!$Q$5:$Q$2005,$A22,'Payroll'!$A$5:$A$2005,"&gt;="&amp;ReportFrom,'Payroll'!$A$5:$A$2005,"&lt;="&amp;ReportTo))</f>
        <v/>
      </c>
      <c r="T22" s="25">
        <f>IF($A22="",0,SUMIFS('Payroll'!$K$5:$K$2005,'Payroll'!$R$5:$R$2005,$A22,'Payroll'!$A$5:$A$2005,"&gt;="&amp;ReportFrom,'Payroll'!$A$5:$A$2005,"&lt;="&amp;ReportTo)+SUMIFS('Payroll'!$P$5:$P$2005,'Payroll'!$S$5:$S$2005,$A22,'Payroll'!$A$5:$A$2005,"&gt;="&amp;ReportFrom,'Payroll'!$A$5:$A$2005,"&lt;="&amp;ReportTo))</f>
        <v/>
      </c>
      <c r="U22" s="25">
        <f>IF($A22="",0,(SUMIFS('Receipt Vouchers'!$F$5:$F$2005,'Receipt Vouchers'!$O$5:$O$2005,$A22,'Receipt Vouchers'!$A$5:$A$2005,"&lt;"&amp;ReportFrom)+SUMIFS('Receipt Vouchers'!$J$5:$J$2005,'Receipt Vouchers'!$Q$5:$Q$2005,$A22,'Receipt Vouchers'!$A$5:$A$2005,"&lt;"&amp;ReportFrom))-(SUMIFS('Receipt Vouchers'!$N$5:$N$2005,'Receipt Vouchers'!$P$5:$P$2005,$A22,'Receipt Vouchers'!$A$5:$A$2005,"&lt;"&amp;ReportFrom)+SUMIFS('Receipt Vouchers'!$M$5:$M$2005,'Receipt Vouchers'!$R$5:$R$2005,$A22,'Receipt Vouchers'!$A$5:$A$2005,"&lt;"&amp;ReportFrom)))</f>
        <v/>
      </c>
      <c r="V22" s="25">
        <f>IF($A22="",0,SUMIFS('Receipt Vouchers'!$F$5:$F$2005,'Receipt Vouchers'!$O$5:$O$2005,$A22,'Receipt Vouchers'!$A$5:$A$2005,"&gt;="&amp;ReportFrom,'Receipt Vouchers'!$A$5:$A$2005,"&lt;="&amp;ReportTo)+SUMIFS('Receipt Vouchers'!$J$5:$J$2005,'Receipt Vouchers'!$Q$5:$Q$2005,$A22,'Receipt Vouchers'!$A$5:$A$2005,"&gt;="&amp;ReportFrom,'Receipt Vouchers'!$A$5:$A$2005,"&lt;="&amp;ReportTo))</f>
        <v/>
      </c>
      <c r="W22" s="25">
        <f>IF($A22="",0,SUMIFS('Receipt Vouchers'!$N$5:$N$2005,'Receipt Vouchers'!$P$5:$P$2005,$A22,'Receipt Vouchers'!$A$5:$A$2005,"&gt;="&amp;ReportFrom,'Receipt Vouchers'!$A$5:$A$2005,"&lt;="&amp;ReportTo)+SUMIFS('Receipt Vouchers'!$M$5:$M$2005,'Receipt Vouchers'!$R$5:$R$2005,$A22,'Receipt Vouchers'!$A$5:$A$2005,"&gt;="&amp;ReportFrom,'Receipt Vouchers'!$A$5:$A$2005,"&lt;="&amp;ReportTo))</f>
        <v/>
      </c>
      <c r="X22" s="25">
        <f>IF($A22="",0,(SUMIFS('Sales Invoices'!$O$5:$O$2005,'Sales Invoices'!$P$5:$P$2005,$A22,'Sales Invoices'!$B$5:$B$2005,"&lt;"&amp;ReportFrom)+SUMIFS('Sales Invoices'!$N$5:$N$2005,'Sales Invoices'!$R$5:$R$2005,$A22,'Sales Invoices'!$B$5:$B$2005,"&lt;"&amp;ReportFrom))-(SUMIFS('Sales Invoices'!$L$5:$L$2005,'Sales Invoices'!$Q$5:$Q$2005,$A22,'Sales Invoices'!$B$5:$B$2005,"&lt;"&amp;ReportFrom)+SUMIFS('Sales Invoices'!$M$5:$M$2005,'Sales Invoices'!$S$5:$S$2005,$A22,'Sales Invoices'!$B$5:$B$2005,"&lt;"&amp;ReportFrom)))</f>
        <v/>
      </c>
      <c r="Y22" s="25">
        <f>IF($A22="",0,SUMIFS('Sales Invoices'!$O$5:$O$2005,'Sales Invoices'!$P$5:$P$2005,$A22,'Sales Invoices'!$B$5:$B$2005,"&gt;="&amp;ReportFrom,'Sales Invoices'!$B$5:$B$2005,"&lt;="&amp;ReportTo)+SUMIFS('Sales Invoices'!$N$5:$N$2005,'Sales Invoices'!$R$5:$R$2005,$A22,'Sales Invoices'!$B$5:$B$2005,"&gt;="&amp;ReportFrom,'Sales Invoices'!$B$5:$B$2005,"&lt;="&amp;ReportTo))</f>
        <v/>
      </c>
      <c r="Z22" s="25">
        <f>IF($A22="",0,SUMIFS('Sales Invoices'!$L$5:$L$2005,'Sales Invoices'!$Q$5:$Q$2005,$A22,'Sales Invoices'!$B$5:$B$2005,"&gt;="&amp;ReportFrom,'Sales Invoices'!$B$5:$B$2005,"&lt;="&amp;ReportTo)+SUMIFS('Sales Invoices'!$M$5:$M$2005,'Sales Invoices'!$S$5:$S$2005,$A22,'Sales Invoices'!$B$5:$B$2005,"&gt;="&amp;ReportFrom,'Sales Invoices'!$B$5:$B$2005,"&lt;="&amp;ReportTo))</f>
        <v/>
      </c>
      <c r="AA22" s="25">
        <f>IF($A22="",0,(SUMIFS('Payment Vouchers'!$D$5:$D$2005,'Payment Vouchers'!$J$5:$J$2005,$A22,'Payment Vouchers'!$A$5:$A$2005,"&lt;"&amp;ReportFrom))-(SUMIFS('Payment Vouchers'!$D$5:$D$2005,'Payment Vouchers'!$K$5:$K$2005,$A22,'Payment Vouchers'!$A$5:$A$2005,"&lt;"&amp;ReportFrom)))</f>
        <v/>
      </c>
      <c r="AB22" s="25">
        <f>IF($A22="",0,SUMIFS('Payment Vouchers'!$D$5:$D$2005,'Payment Vouchers'!$J$5:$J$2005,$A22,'Payment Vouchers'!$A$5:$A$2005,"&gt;="&amp;ReportFrom,'Payment Vouchers'!$A$5:$A$2005,"&lt;="&amp;ReportTo))</f>
        <v/>
      </c>
      <c r="AC22" s="25">
        <f>IF($A22="",0,SUMIFS('Payment Vouchers'!$D$5:$D$2005,'Payment Vouchers'!$K$5:$K$2005,$A22,'Payment Vouchers'!$A$5:$A$2005,"&gt;="&amp;ReportFrom,'Payment Vouchers'!$A$5:$A$2005,"&lt;="&amp;ReportTo))</f>
        <v/>
      </c>
      <c r="AD22" s="25">
        <f>IF($A22="",0,(SUMIFS('Partner Transactions'!$D$5:$D$2005,'Partner Transactions'!$L$5:$L$2005,$A22,'Partner Transactions'!$A$5:$A$2005,"&lt;"&amp;ReportFrom))-(SUMIFS('Partner Transactions'!$D$5:$D$2005,'Partner Transactions'!$M$5:$M$2005,$A22,'Partner Transactions'!$A$5:$A$2005,"&lt;"&amp;ReportFrom)))</f>
        <v/>
      </c>
      <c r="AE22" s="25">
        <f>IF($A22="",0,SUMIFS('Partner Transactions'!$D$5:$D$2005,'Partner Transactions'!$L$5:$L$2005,$A22,'Partner Transactions'!$A$5:$A$2005,"&gt;="&amp;ReportFrom,'Partner Transactions'!$A$5:$A$2005,"&lt;="&amp;ReportTo))</f>
        <v/>
      </c>
      <c r="AF22" s="25">
        <f>IF($A22="",0,SUMIFS('Partner Transactions'!$D$5:$D$2005,'Partner Transactions'!$M$5:$M$2005,$A22,'Partner Transactions'!$A$5:$A$2005,"&gt;="&amp;ReportFrom,'Partner Transactions'!$A$5:$A$2005,"&lt;="&amp;ReportTo))</f>
        <v/>
      </c>
      <c r="AG22" s="25">
        <f>IF($A22="",0,(SUMIFS('Stock Moves'!$S$5:$S$2005,'Stock Moves'!$AD$5:$AD$2005,$A22,'Stock Moves'!$A$5:$A$2005,"&lt;"&amp;ReportFrom)+SUMIFS('Stock Moves'!$T$5:$T$2005,'Stock Moves'!$V$5:$V$2005,$A22,'Stock Moves'!$A$5:$A$2005,"&lt;"&amp;ReportFrom))-(SUMIFS('Stock Moves'!$AF$5:$AF$2005,'Stock Moves'!$AE$5:$AE$2005,$A22,'Stock Moves'!$A$5:$A$2005,"&lt;"&amp;ReportFrom)+SUMIFS('Stock Moves'!$AC$5:$AC$2005,'Stock Moves'!$X$5:$X$2005,$A22,'Stock Moves'!$A$5:$A$2005,"&lt;"&amp;ReportFrom)+SUMIFS('Stock Moves'!$U$5:$U$2005,'Stock Moves'!$W$5:$W$2005,$A22,'Stock Moves'!$A$5:$A$2005,"&lt;"&amp;ReportFrom)))</f>
        <v/>
      </c>
      <c r="AH22" s="25">
        <f>IF($A22="",0,SUMIFS('Stock Moves'!$S$5:$S$2005,'Stock Moves'!$AD$5:$AD$2005,$A22,'Stock Moves'!$A$5:$A$2005,"&gt;="&amp;ReportFrom,'Stock Moves'!$A$5:$A$2005,"&lt;="&amp;ReportTo)+SUMIFS('Stock Moves'!$T$5:$T$2005,'Stock Moves'!$V$5:$V$2005,$A22,'Stock Moves'!$A$5:$A$2005,"&gt;="&amp;ReportFrom,'Stock Moves'!$A$5:$A$2005,"&lt;="&amp;ReportTo))</f>
        <v/>
      </c>
      <c r="AI22" s="25">
        <f>IF($A22="",0,SUMIFS('Stock Moves'!$AF$5:$AF$2005,'Stock Moves'!$AE$5:$AE$2005,$A22,'Stock Moves'!$A$5:$A$2005,"&gt;="&amp;ReportFrom,'Stock Moves'!$A$5:$A$2005,"&lt;="&amp;ReportTo)+SUMIFS('Stock Moves'!$AC$5:$AC$2005,'Stock Moves'!$X$5:$X$2005,$A22,'Stock Moves'!$A$5:$A$2005,"&gt;="&amp;ReportFrom,'Stock Moves'!$A$5:$A$2005,"&lt;="&amp;ReportTo)+SUMIFS('Stock Moves'!$U$5:$U$2005,'Stock Moves'!$W$5:$W$2005,$A22,'Stock Moves'!$A$5:$A$2005,"&gt;="&amp;ReportFrom,'Stock Moves'!$A$5:$A$2005,"&lt;="&amp;ReportTo))</f>
        <v/>
      </c>
      <c r="AJ22" s="25">
        <f>IF($A22="",0,(SUMIFS('Journal Vouchers'!$I$5:$I$2005,'Journal Vouchers'!$H$5:$H$2005,$A22,'Journal Vouchers'!$B$5:$B$2005,"&lt;"&amp;ReportFrom))-(SUMIFS('Journal Vouchers'!$J$5:$J$2005,'Journal Vouchers'!$H$5:$H$2005,$A22,'Journal Vouchers'!$B$5:$B$2005,"&lt;"&amp;ReportFrom)))</f>
        <v/>
      </c>
      <c r="AK22" s="25">
        <f>IF($A22="",0,SUMIFS('Journal Vouchers'!$I$5:$I$2005,'Journal Vouchers'!$H$5:$H$2005,$A22,'Journal Vouchers'!$B$5:$B$2005,"&gt;="&amp;ReportFrom,'Journal Vouchers'!$B$5:$B$2005,"&lt;="&amp;ReportTo))</f>
        <v/>
      </c>
      <c r="AL22" s="25">
        <f>IF($A22="",0,SUMIFS('Journal Vouchers'!$J$5:$J$2005,'Journal Vouchers'!$H$5:$H$2005,$A22,'Journal Vouchers'!$B$5:$B$2005,"&gt;="&amp;ReportFrom,'Journal Vouchers'!$B$5:$B$2005,"&lt;="&amp;ReportTo))</f>
        <v/>
      </c>
    </row>
    <row r="23">
      <c r="A23" s="25">
        <f>IF('Chart of Accounts'!A23="","",'Chart of Accounts'!A23&amp;"")</f>
        <v/>
      </c>
      <c r="B23" s="25">
        <f>IF(A23="","",'Chart of Accounts'!B23)</f>
        <v/>
      </c>
      <c r="C23" s="25">
        <f>IF(A23="","",'Chart of Accounts'!C23)</f>
        <v/>
      </c>
      <c r="D23" s="25">
        <f>IF(A23="","",'Chart of Accounts'!D23)</f>
        <v/>
      </c>
      <c r="E23" s="26">
        <f>L23+O23+R23+U23+X23+AA23+AD23+AG23+AJ23</f>
        <v/>
      </c>
      <c r="F23" s="26">
        <f>M23+P23+S23+V23+Y23+AB23+AE23+AH23+AK23</f>
        <v/>
      </c>
      <c r="G23" s="26">
        <f>N23+Q23+T23+W23+Z23+AC23+AF23+AI23+AL23</f>
        <v/>
      </c>
      <c r="H23" s="26">
        <f>E23+F23-G23</f>
        <v/>
      </c>
      <c r="I23" s="26">
        <f>MAX(H23,0)</f>
        <v/>
      </c>
      <c r="J23" s="26">
        <f>MAX(-H23,0)</f>
        <v/>
      </c>
      <c r="L23" s="25">
        <f>IF($A23="",0,(SUMIFS('Direct Costs'!$R$5:$R$2005,'Direct Costs'!$V$5:$V$2005,$A23,'Direct Costs'!$A$5:$A$2005,"&lt;"&amp;ReportFrom)+SUMIFS('Direct Costs'!$S$5:$S$2005,'Direct Costs'!$Y$5:$Y$2005,$A23,'Direct Costs'!$A$5:$A$2005,"&lt;"&amp;ReportFrom))-(SUMIFS('Direct Costs'!$L$5:$L$2005,'Direct Costs'!$W$5:$W$2005,$A23,'Direct Costs'!$A$5:$A$2005,"&lt;"&amp;ReportFrom)+SUMIFS('Direct Costs'!$U$5:$U$2005,'Direct Costs'!$X$5:$X$2005,$A23,'Direct Costs'!$A$5:$A$2005,"&lt;"&amp;ReportFrom)+SUMIFS('Direct Costs'!$T$5:$T$2005,'Direct Costs'!$Z$5:$Z$2005,$A23,'Direct Costs'!$A$5:$A$2005,"&lt;"&amp;ReportFrom)))</f>
        <v/>
      </c>
      <c r="M23" s="25">
        <f>IF($A23="",0,SUMIFS('Direct Costs'!$R$5:$R$2005,'Direct Costs'!$V$5:$V$2005,$A23,'Direct Costs'!$A$5:$A$2005,"&gt;="&amp;ReportFrom,'Direct Costs'!$A$5:$A$2005,"&lt;="&amp;ReportTo)+SUMIFS('Direct Costs'!$S$5:$S$2005,'Direct Costs'!$Y$5:$Y$2005,$A23,'Direct Costs'!$A$5:$A$2005,"&gt;="&amp;ReportFrom,'Direct Costs'!$A$5:$A$2005,"&lt;="&amp;ReportTo))</f>
        <v/>
      </c>
      <c r="N23" s="25">
        <f>IF($A23="",0,SUMIFS('Direct Costs'!$L$5:$L$2005,'Direct Costs'!$W$5:$W$2005,$A23,'Direct Costs'!$A$5:$A$2005,"&gt;="&amp;ReportFrom,'Direct Costs'!$A$5:$A$2005,"&lt;="&amp;ReportTo)+SUMIFS('Direct Costs'!$U$5:$U$2005,'Direct Costs'!$X$5:$X$2005,$A23,'Direct Costs'!$A$5:$A$2005,"&gt;="&amp;ReportFrom,'Direct Costs'!$A$5:$A$2005,"&lt;="&amp;ReportTo)+SUMIFS('Direct Costs'!$T$5:$T$2005,'Direct Costs'!$Z$5:$Z$2005,$A23,'Direct Costs'!$A$5:$A$2005,"&gt;="&amp;ReportFrom,'Direct Costs'!$A$5:$A$2005,"&lt;="&amp;ReportTo))</f>
        <v/>
      </c>
      <c r="O23" s="25">
        <f>IF($A23="",0,(SUMIFS('Operating Expenses'!$F$5:$F$2005,'Operating Expenses'!$Q$5:$Q$2005,$A23,'Operating Expenses'!$A$5:$A$2005,"&lt;"&amp;ReportFrom)+SUMIFS('Operating Expenses'!$M$5:$M$2005,'Operating Expenses'!$T$5:$T$2005,$A23,'Operating Expenses'!$A$5:$A$2005,"&lt;"&amp;ReportFrom))-(SUMIFS('Operating Expenses'!$O$5:$O$2005,'Operating Expenses'!$R$5:$R$2005,$A23,'Operating Expenses'!$A$5:$A$2005,"&lt;"&amp;ReportFrom)+SUMIFS('Operating Expenses'!$P$5:$P$2005,'Operating Expenses'!$S$5:$S$2005,$A23,'Operating Expenses'!$A$5:$A$2005,"&lt;"&amp;ReportFrom)+SUMIFS('Operating Expenses'!$N$5:$N$2005,'Operating Expenses'!$U$5:$U$2005,$A23,'Operating Expenses'!$A$5:$A$2005,"&lt;"&amp;ReportFrom)))</f>
        <v/>
      </c>
      <c r="P23" s="25">
        <f>IF($A23="",0,SUMIFS('Operating Expenses'!$F$5:$F$2005,'Operating Expenses'!$Q$5:$Q$2005,$A23,'Operating Expenses'!$A$5:$A$2005,"&gt;="&amp;ReportFrom,'Operating Expenses'!$A$5:$A$2005,"&lt;="&amp;ReportTo)+SUMIFS('Operating Expenses'!$M$5:$M$2005,'Operating Expenses'!$T$5:$T$2005,$A23,'Operating Expenses'!$A$5:$A$2005,"&gt;="&amp;ReportFrom,'Operating Expenses'!$A$5:$A$2005,"&lt;="&amp;ReportTo))</f>
        <v/>
      </c>
      <c r="Q23" s="25">
        <f>IF($A23="",0,SUMIFS('Operating Expenses'!$O$5:$O$2005,'Operating Expenses'!$R$5:$R$2005,$A23,'Operating Expenses'!$A$5:$A$2005,"&gt;="&amp;ReportFrom,'Operating Expenses'!$A$5:$A$2005,"&lt;="&amp;ReportTo)+SUMIFS('Operating Expenses'!$P$5:$P$2005,'Operating Expenses'!$S$5:$S$2005,$A23,'Operating Expenses'!$A$5:$A$2005,"&gt;="&amp;ReportFrom,'Operating Expenses'!$A$5:$A$2005,"&lt;="&amp;ReportTo)+SUMIFS('Operating Expenses'!$N$5:$N$2005,'Operating Expenses'!$U$5:$U$2005,$A23,'Operating Expenses'!$A$5:$A$2005,"&gt;="&amp;ReportFrom,'Operating Expenses'!$A$5:$A$2005,"&lt;="&amp;ReportTo))</f>
        <v/>
      </c>
      <c r="R23" s="25">
        <f>IF($A23="",0,(SUMIFS('Payroll'!$O$5:$O$2005,'Payroll'!$Q$5:$Q$2005,$A23,'Payroll'!$A$5:$A$2005,"&lt;"&amp;ReportFrom))-(SUMIFS('Payroll'!$K$5:$K$2005,'Payroll'!$R$5:$R$2005,$A23,'Payroll'!$A$5:$A$2005,"&lt;"&amp;ReportFrom)+SUMIFS('Payroll'!$P$5:$P$2005,'Payroll'!$S$5:$S$2005,$A23,'Payroll'!$A$5:$A$2005,"&lt;"&amp;ReportFrom)))</f>
        <v/>
      </c>
      <c r="S23" s="25">
        <f>IF($A23="",0,SUMIFS('Payroll'!$O$5:$O$2005,'Payroll'!$Q$5:$Q$2005,$A23,'Payroll'!$A$5:$A$2005,"&gt;="&amp;ReportFrom,'Payroll'!$A$5:$A$2005,"&lt;="&amp;ReportTo))</f>
        <v/>
      </c>
      <c r="T23" s="25">
        <f>IF($A23="",0,SUMIFS('Payroll'!$K$5:$K$2005,'Payroll'!$R$5:$R$2005,$A23,'Payroll'!$A$5:$A$2005,"&gt;="&amp;ReportFrom,'Payroll'!$A$5:$A$2005,"&lt;="&amp;ReportTo)+SUMIFS('Payroll'!$P$5:$P$2005,'Payroll'!$S$5:$S$2005,$A23,'Payroll'!$A$5:$A$2005,"&gt;="&amp;ReportFrom,'Payroll'!$A$5:$A$2005,"&lt;="&amp;ReportTo))</f>
        <v/>
      </c>
      <c r="U23" s="25">
        <f>IF($A23="",0,(SUMIFS('Receipt Vouchers'!$F$5:$F$2005,'Receipt Vouchers'!$O$5:$O$2005,$A23,'Receipt Vouchers'!$A$5:$A$2005,"&lt;"&amp;ReportFrom)+SUMIFS('Receipt Vouchers'!$J$5:$J$2005,'Receipt Vouchers'!$Q$5:$Q$2005,$A23,'Receipt Vouchers'!$A$5:$A$2005,"&lt;"&amp;ReportFrom))-(SUMIFS('Receipt Vouchers'!$N$5:$N$2005,'Receipt Vouchers'!$P$5:$P$2005,$A23,'Receipt Vouchers'!$A$5:$A$2005,"&lt;"&amp;ReportFrom)+SUMIFS('Receipt Vouchers'!$M$5:$M$2005,'Receipt Vouchers'!$R$5:$R$2005,$A23,'Receipt Vouchers'!$A$5:$A$2005,"&lt;"&amp;ReportFrom)))</f>
        <v/>
      </c>
      <c r="V23" s="25">
        <f>IF($A23="",0,SUMIFS('Receipt Vouchers'!$F$5:$F$2005,'Receipt Vouchers'!$O$5:$O$2005,$A23,'Receipt Vouchers'!$A$5:$A$2005,"&gt;="&amp;ReportFrom,'Receipt Vouchers'!$A$5:$A$2005,"&lt;="&amp;ReportTo)+SUMIFS('Receipt Vouchers'!$J$5:$J$2005,'Receipt Vouchers'!$Q$5:$Q$2005,$A23,'Receipt Vouchers'!$A$5:$A$2005,"&gt;="&amp;ReportFrom,'Receipt Vouchers'!$A$5:$A$2005,"&lt;="&amp;ReportTo))</f>
        <v/>
      </c>
      <c r="W23" s="25">
        <f>IF($A23="",0,SUMIFS('Receipt Vouchers'!$N$5:$N$2005,'Receipt Vouchers'!$P$5:$P$2005,$A23,'Receipt Vouchers'!$A$5:$A$2005,"&gt;="&amp;ReportFrom,'Receipt Vouchers'!$A$5:$A$2005,"&lt;="&amp;ReportTo)+SUMIFS('Receipt Vouchers'!$M$5:$M$2005,'Receipt Vouchers'!$R$5:$R$2005,$A23,'Receipt Vouchers'!$A$5:$A$2005,"&gt;="&amp;ReportFrom,'Receipt Vouchers'!$A$5:$A$2005,"&lt;="&amp;ReportTo))</f>
        <v/>
      </c>
      <c r="X23" s="25">
        <f>IF($A23="",0,(SUMIFS('Sales Invoices'!$O$5:$O$2005,'Sales Invoices'!$P$5:$P$2005,$A23,'Sales Invoices'!$B$5:$B$2005,"&lt;"&amp;ReportFrom)+SUMIFS('Sales Invoices'!$N$5:$N$2005,'Sales Invoices'!$R$5:$R$2005,$A23,'Sales Invoices'!$B$5:$B$2005,"&lt;"&amp;ReportFrom))-(SUMIFS('Sales Invoices'!$L$5:$L$2005,'Sales Invoices'!$Q$5:$Q$2005,$A23,'Sales Invoices'!$B$5:$B$2005,"&lt;"&amp;ReportFrom)+SUMIFS('Sales Invoices'!$M$5:$M$2005,'Sales Invoices'!$S$5:$S$2005,$A23,'Sales Invoices'!$B$5:$B$2005,"&lt;"&amp;ReportFrom)))</f>
        <v/>
      </c>
      <c r="Y23" s="25">
        <f>IF($A23="",0,SUMIFS('Sales Invoices'!$O$5:$O$2005,'Sales Invoices'!$P$5:$P$2005,$A23,'Sales Invoices'!$B$5:$B$2005,"&gt;="&amp;ReportFrom,'Sales Invoices'!$B$5:$B$2005,"&lt;="&amp;ReportTo)+SUMIFS('Sales Invoices'!$N$5:$N$2005,'Sales Invoices'!$R$5:$R$2005,$A23,'Sales Invoices'!$B$5:$B$2005,"&gt;="&amp;ReportFrom,'Sales Invoices'!$B$5:$B$2005,"&lt;="&amp;ReportTo))</f>
        <v/>
      </c>
      <c r="Z23" s="25">
        <f>IF($A23="",0,SUMIFS('Sales Invoices'!$L$5:$L$2005,'Sales Invoices'!$Q$5:$Q$2005,$A23,'Sales Invoices'!$B$5:$B$2005,"&gt;="&amp;ReportFrom,'Sales Invoices'!$B$5:$B$2005,"&lt;="&amp;ReportTo)+SUMIFS('Sales Invoices'!$M$5:$M$2005,'Sales Invoices'!$S$5:$S$2005,$A23,'Sales Invoices'!$B$5:$B$2005,"&gt;="&amp;ReportFrom,'Sales Invoices'!$B$5:$B$2005,"&lt;="&amp;ReportTo))</f>
        <v/>
      </c>
      <c r="AA23" s="25">
        <f>IF($A23="",0,(SUMIFS('Payment Vouchers'!$D$5:$D$2005,'Payment Vouchers'!$J$5:$J$2005,$A23,'Payment Vouchers'!$A$5:$A$2005,"&lt;"&amp;ReportFrom))-(SUMIFS('Payment Vouchers'!$D$5:$D$2005,'Payment Vouchers'!$K$5:$K$2005,$A23,'Payment Vouchers'!$A$5:$A$2005,"&lt;"&amp;ReportFrom)))</f>
        <v/>
      </c>
      <c r="AB23" s="25">
        <f>IF($A23="",0,SUMIFS('Payment Vouchers'!$D$5:$D$2005,'Payment Vouchers'!$J$5:$J$2005,$A23,'Payment Vouchers'!$A$5:$A$2005,"&gt;="&amp;ReportFrom,'Payment Vouchers'!$A$5:$A$2005,"&lt;="&amp;ReportTo))</f>
        <v/>
      </c>
      <c r="AC23" s="25">
        <f>IF($A23="",0,SUMIFS('Payment Vouchers'!$D$5:$D$2005,'Payment Vouchers'!$K$5:$K$2005,$A23,'Payment Vouchers'!$A$5:$A$2005,"&gt;="&amp;ReportFrom,'Payment Vouchers'!$A$5:$A$2005,"&lt;="&amp;ReportTo))</f>
        <v/>
      </c>
      <c r="AD23" s="25">
        <f>IF($A23="",0,(SUMIFS('Partner Transactions'!$D$5:$D$2005,'Partner Transactions'!$L$5:$L$2005,$A23,'Partner Transactions'!$A$5:$A$2005,"&lt;"&amp;ReportFrom))-(SUMIFS('Partner Transactions'!$D$5:$D$2005,'Partner Transactions'!$M$5:$M$2005,$A23,'Partner Transactions'!$A$5:$A$2005,"&lt;"&amp;ReportFrom)))</f>
        <v/>
      </c>
      <c r="AE23" s="25">
        <f>IF($A23="",0,SUMIFS('Partner Transactions'!$D$5:$D$2005,'Partner Transactions'!$L$5:$L$2005,$A23,'Partner Transactions'!$A$5:$A$2005,"&gt;="&amp;ReportFrom,'Partner Transactions'!$A$5:$A$2005,"&lt;="&amp;ReportTo))</f>
        <v/>
      </c>
      <c r="AF23" s="25">
        <f>IF($A23="",0,SUMIFS('Partner Transactions'!$D$5:$D$2005,'Partner Transactions'!$M$5:$M$2005,$A23,'Partner Transactions'!$A$5:$A$2005,"&gt;="&amp;ReportFrom,'Partner Transactions'!$A$5:$A$2005,"&lt;="&amp;ReportTo))</f>
        <v/>
      </c>
      <c r="AG23" s="25">
        <f>IF($A23="",0,(SUMIFS('Stock Moves'!$S$5:$S$2005,'Stock Moves'!$AD$5:$AD$2005,$A23,'Stock Moves'!$A$5:$A$2005,"&lt;"&amp;ReportFrom)+SUMIFS('Stock Moves'!$T$5:$T$2005,'Stock Moves'!$V$5:$V$2005,$A23,'Stock Moves'!$A$5:$A$2005,"&lt;"&amp;ReportFrom))-(SUMIFS('Stock Moves'!$AF$5:$AF$2005,'Stock Moves'!$AE$5:$AE$2005,$A23,'Stock Moves'!$A$5:$A$2005,"&lt;"&amp;ReportFrom)+SUMIFS('Stock Moves'!$AC$5:$AC$2005,'Stock Moves'!$X$5:$X$2005,$A23,'Stock Moves'!$A$5:$A$2005,"&lt;"&amp;ReportFrom)+SUMIFS('Stock Moves'!$U$5:$U$2005,'Stock Moves'!$W$5:$W$2005,$A23,'Stock Moves'!$A$5:$A$2005,"&lt;"&amp;ReportFrom)))</f>
        <v/>
      </c>
      <c r="AH23" s="25">
        <f>IF($A23="",0,SUMIFS('Stock Moves'!$S$5:$S$2005,'Stock Moves'!$AD$5:$AD$2005,$A23,'Stock Moves'!$A$5:$A$2005,"&gt;="&amp;ReportFrom,'Stock Moves'!$A$5:$A$2005,"&lt;="&amp;ReportTo)+SUMIFS('Stock Moves'!$T$5:$T$2005,'Stock Moves'!$V$5:$V$2005,$A23,'Stock Moves'!$A$5:$A$2005,"&gt;="&amp;ReportFrom,'Stock Moves'!$A$5:$A$2005,"&lt;="&amp;ReportTo))</f>
        <v/>
      </c>
      <c r="AI23" s="25">
        <f>IF($A23="",0,SUMIFS('Stock Moves'!$AF$5:$AF$2005,'Stock Moves'!$AE$5:$AE$2005,$A23,'Stock Moves'!$A$5:$A$2005,"&gt;="&amp;ReportFrom,'Stock Moves'!$A$5:$A$2005,"&lt;="&amp;ReportTo)+SUMIFS('Stock Moves'!$AC$5:$AC$2005,'Stock Moves'!$X$5:$X$2005,$A23,'Stock Moves'!$A$5:$A$2005,"&gt;="&amp;ReportFrom,'Stock Moves'!$A$5:$A$2005,"&lt;="&amp;ReportTo)+SUMIFS('Stock Moves'!$U$5:$U$2005,'Stock Moves'!$W$5:$W$2005,$A23,'Stock Moves'!$A$5:$A$2005,"&gt;="&amp;ReportFrom,'Stock Moves'!$A$5:$A$2005,"&lt;="&amp;ReportTo))</f>
        <v/>
      </c>
      <c r="AJ23" s="25">
        <f>IF($A23="",0,(SUMIFS('Journal Vouchers'!$I$5:$I$2005,'Journal Vouchers'!$H$5:$H$2005,$A23,'Journal Vouchers'!$B$5:$B$2005,"&lt;"&amp;ReportFrom))-(SUMIFS('Journal Vouchers'!$J$5:$J$2005,'Journal Vouchers'!$H$5:$H$2005,$A23,'Journal Vouchers'!$B$5:$B$2005,"&lt;"&amp;ReportFrom)))</f>
        <v/>
      </c>
      <c r="AK23" s="25">
        <f>IF($A23="",0,SUMIFS('Journal Vouchers'!$I$5:$I$2005,'Journal Vouchers'!$H$5:$H$2005,$A23,'Journal Vouchers'!$B$5:$B$2005,"&gt;="&amp;ReportFrom,'Journal Vouchers'!$B$5:$B$2005,"&lt;="&amp;ReportTo))</f>
        <v/>
      </c>
      <c r="AL23" s="25">
        <f>IF($A23="",0,SUMIFS('Journal Vouchers'!$J$5:$J$2005,'Journal Vouchers'!$H$5:$H$2005,$A23,'Journal Vouchers'!$B$5:$B$2005,"&gt;="&amp;ReportFrom,'Journal Vouchers'!$B$5:$B$2005,"&lt;="&amp;ReportTo))</f>
        <v/>
      </c>
    </row>
    <row r="24">
      <c r="A24" s="25">
        <f>IF('Chart of Accounts'!A24="","",'Chart of Accounts'!A24&amp;"")</f>
        <v/>
      </c>
      <c r="B24" s="25">
        <f>IF(A24="","",'Chart of Accounts'!B24)</f>
        <v/>
      </c>
      <c r="C24" s="25">
        <f>IF(A24="","",'Chart of Accounts'!C24)</f>
        <v/>
      </c>
      <c r="D24" s="25">
        <f>IF(A24="","",'Chart of Accounts'!D24)</f>
        <v/>
      </c>
      <c r="E24" s="26">
        <f>L24+O24+R24+U24+X24+AA24+AD24+AG24+AJ24</f>
        <v/>
      </c>
      <c r="F24" s="26">
        <f>M24+P24+S24+V24+Y24+AB24+AE24+AH24+AK24</f>
        <v/>
      </c>
      <c r="G24" s="26">
        <f>N24+Q24+T24+W24+Z24+AC24+AF24+AI24+AL24</f>
        <v/>
      </c>
      <c r="H24" s="26">
        <f>E24+F24-G24</f>
        <v/>
      </c>
      <c r="I24" s="26">
        <f>MAX(H24,0)</f>
        <v/>
      </c>
      <c r="J24" s="26">
        <f>MAX(-H24,0)</f>
        <v/>
      </c>
      <c r="L24" s="25">
        <f>IF($A24="",0,(SUMIFS('Direct Costs'!$R$5:$R$2005,'Direct Costs'!$V$5:$V$2005,$A24,'Direct Costs'!$A$5:$A$2005,"&lt;"&amp;ReportFrom)+SUMIFS('Direct Costs'!$S$5:$S$2005,'Direct Costs'!$Y$5:$Y$2005,$A24,'Direct Costs'!$A$5:$A$2005,"&lt;"&amp;ReportFrom))-(SUMIFS('Direct Costs'!$L$5:$L$2005,'Direct Costs'!$W$5:$W$2005,$A24,'Direct Costs'!$A$5:$A$2005,"&lt;"&amp;ReportFrom)+SUMIFS('Direct Costs'!$U$5:$U$2005,'Direct Costs'!$X$5:$X$2005,$A24,'Direct Costs'!$A$5:$A$2005,"&lt;"&amp;ReportFrom)+SUMIFS('Direct Costs'!$T$5:$T$2005,'Direct Costs'!$Z$5:$Z$2005,$A24,'Direct Costs'!$A$5:$A$2005,"&lt;"&amp;ReportFrom)))</f>
        <v/>
      </c>
      <c r="M24" s="25">
        <f>IF($A24="",0,SUMIFS('Direct Costs'!$R$5:$R$2005,'Direct Costs'!$V$5:$V$2005,$A24,'Direct Costs'!$A$5:$A$2005,"&gt;="&amp;ReportFrom,'Direct Costs'!$A$5:$A$2005,"&lt;="&amp;ReportTo)+SUMIFS('Direct Costs'!$S$5:$S$2005,'Direct Costs'!$Y$5:$Y$2005,$A24,'Direct Costs'!$A$5:$A$2005,"&gt;="&amp;ReportFrom,'Direct Costs'!$A$5:$A$2005,"&lt;="&amp;ReportTo))</f>
        <v/>
      </c>
      <c r="N24" s="25">
        <f>IF($A24="",0,SUMIFS('Direct Costs'!$L$5:$L$2005,'Direct Costs'!$W$5:$W$2005,$A24,'Direct Costs'!$A$5:$A$2005,"&gt;="&amp;ReportFrom,'Direct Costs'!$A$5:$A$2005,"&lt;="&amp;ReportTo)+SUMIFS('Direct Costs'!$U$5:$U$2005,'Direct Costs'!$X$5:$X$2005,$A24,'Direct Costs'!$A$5:$A$2005,"&gt;="&amp;ReportFrom,'Direct Costs'!$A$5:$A$2005,"&lt;="&amp;ReportTo)+SUMIFS('Direct Costs'!$T$5:$T$2005,'Direct Costs'!$Z$5:$Z$2005,$A24,'Direct Costs'!$A$5:$A$2005,"&gt;="&amp;ReportFrom,'Direct Costs'!$A$5:$A$2005,"&lt;="&amp;ReportTo))</f>
        <v/>
      </c>
      <c r="O24" s="25">
        <f>IF($A24="",0,(SUMIFS('Operating Expenses'!$F$5:$F$2005,'Operating Expenses'!$Q$5:$Q$2005,$A24,'Operating Expenses'!$A$5:$A$2005,"&lt;"&amp;ReportFrom)+SUMIFS('Operating Expenses'!$M$5:$M$2005,'Operating Expenses'!$T$5:$T$2005,$A24,'Operating Expenses'!$A$5:$A$2005,"&lt;"&amp;ReportFrom))-(SUMIFS('Operating Expenses'!$O$5:$O$2005,'Operating Expenses'!$R$5:$R$2005,$A24,'Operating Expenses'!$A$5:$A$2005,"&lt;"&amp;ReportFrom)+SUMIFS('Operating Expenses'!$P$5:$P$2005,'Operating Expenses'!$S$5:$S$2005,$A24,'Operating Expenses'!$A$5:$A$2005,"&lt;"&amp;ReportFrom)+SUMIFS('Operating Expenses'!$N$5:$N$2005,'Operating Expenses'!$U$5:$U$2005,$A24,'Operating Expenses'!$A$5:$A$2005,"&lt;"&amp;ReportFrom)))</f>
        <v/>
      </c>
      <c r="P24" s="25">
        <f>IF($A24="",0,SUMIFS('Operating Expenses'!$F$5:$F$2005,'Operating Expenses'!$Q$5:$Q$2005,$A24,'Operating Expenses'!$A$5:$A$2005,"&gt;="&amp;ReportFrom,'Operating Expenses'!$A$5:$A$2005,"&lt;="&amp;ReportTo)+SUMIFS('Operating Expenses'!$M$5:$M$2005,'Operating Expenses'!$T$5:$T$2005,$A24,'Operating Expenses'!$A$5:$A$2005,"&gt;="&amp;ReportFrom,'Operating Expenses'!$A$5:$A$2005,"&lt;="&amp;ReportTo))</f>
        <v/>
      </c>
      <c r="Q24" s="25">
        <f>IF($A24="",0,SUMIFS('Operating Expenses'!$O$5:$O$2005,'Operating Expenses'!$R$5:$R$2005,$A24,'Operating Expenses'!$A$5:$A$2005,"&gt;="&amp;ReportFrom,'Operating Expenses'!$A$5:$A$2005,"&lt;="&amp;ReportTo)+SUMIFS('Operating Expenses'!$P$5:$P$2005,'Operating Expenses'!$S$5:$S$2005,$A24,'Operating Expenses'!$A$5:$A$2005,"&gt;="&amp;ReportFrom,'Operating Expenses'!$A$5:$A$2005,"&lt;="&amp;ReportTo)+SUMIFS('Operating Expenses'!$N$5:$N$2005,'Operating Expenses'!$U$5:$U$2005,$A24,'Operating Expenses'!$A$5:$A$2005,"&gt;="&amp;ReportFrom,'Operating Expenses'!$A$5:$A$2005,"&lt;="&amp;ReportTo))</f>
        <v/>
      </c>
      <c r="R24" s="25">
        <f>IF($A24="",0,(SUMIFS('Payroll'!$O$5:$O$2005,'Payroll'!$Q$5:$Q$2005,$A24,'Payroll'!$A$5:$A$2005,"&lt;"&amp;ReportFrom))-(SUMIFS('Payroll'!$K$5:$K$2005,'Payroll'!$R$5:$R$2005,$A24,'Payroll'!$A$5:$A$2005,"&lt;"&amp;ReportFrom)+SUMIFS('Payroll'!$P$5:$P$2005,'Payroll'!$S$5:$S$2005,$A24,'Payroll'!$A$5:$A$2005,"&lt;"&amp;ReportFrom)))</f>
        <v/>
      </c>
      <c r="S24" s="25">
        <f>IF($A24="",0,SUMIFS('Payroll'!$O$5:$O$2005,'Payroll'!$Q$5:$Q$2005,$A24,'Payroll'!$A$5:$A$2005,"&gt;="&amp;ReportFrom,'Payroll'!$A$5:$A$2005,"&lt;="&amp;ReportTo))</f>
        <v/>
      </c>
      <c r="T24" s="25">
        <f>IF($A24="",0,SUMIFS('Payroll'!$K$5:$K$2005,'Payroll'!$R$5:$R$2005,$A24,'Payroll'!$A$5:$A$2005,"&gt;="&amp;ReportFrom,'Payroll'!$A$5:$A$2005,"&lt;="&amp;ReportTo)+SUMIFS('Payroll'!$P$5:$P$2005,'Payroll'!$S$5:$S$2005,$A24,'Payroll'!$A$5:$A$2005,"&gt;="&amp;ReportFrom,'Payroll'!$A$5:$A$2005,"&lt;="&amp;ReportTo))</f>
        <v/>
      </c>
      <c r="U24" s="25">
        <f>IF($A24="",0,(SUMIFS('Receipt Vouchers'!$F$5:$F$2005,'Receipt Vouchers'!$O$5:$O$2005,$A24,'Receipt Vouchers'!$A$5:$A$2005,"&lt;"&amp;ReportFrom)+SUMIFS('Receipt Vouchers'!$J$5:$J$2005,'Receipt Vouchers'!$Q$5:$Q$2005,$A24,'Receipt Vouchers'!$A$5:$A$2005,"&lt;"&amp;ReportFrom))-(SUMIFS('Receipt Vouchers'!$N$5:$N$2005,'Receipt Vouchers'!$P$5:$P$2005,$A24,'Receipt Vouchers'!$A$5:$A$2005,"&lt;"&amp;ReportFrom)+SUMIFS('Receipt Vouchers'!$M$5:$M$2005,'Receipt Vouchers'!$R$5:$R$2005,$A24,'Receipt Vouchers'!$A$5:$A$2005,"&lt;"&amp;ReportFrom)))</f>
        <v/>
      </c>
      <c r="V24" s="25">
        <f>IF($A24="",0,SUMIFS('Receipt Vouchers'!$F$5:$F$2005,'Receipt Vouchers'!$O$5:$O$2005,$A24,'Receipt Vouchers'!$A$5:$A$2005,"&gt;="&amp;ReportFrom,'Receipt Vouchers'!$A$5:$A$2005,"&lt;="&amp;ReportTo)+SUMIFS('Receipt Vouchers'!$J$5:$J$2005,'Receipt Vouchers'!$Q$5:$Q$2005,$A24,'Receipt Vouchers'!$A$5:$A$2005,"&gt;="&amp;ReportFrom,'Receipt Vouchers'!$A$5:$A$2005,"&lt;="&amp;ReportTo))</f>
        <v/>
      </c>
      <c r="W24" s="25">
        <f>IF($A24="",0,SUMIFS('Receipt Vouchers'!$N$5:$N$2005,'Receipt Vouchers'!$P$5:$P$2005,$A24,'Receipt Vouchers'!$A$5:$A$2005,"&gt;="&amp;ReportFrom,'Receipt Vouchers'!$A$5:$A$2005,"&lt;="&amp;ReportTo)+SUMIFS('Receipt Vouchers'!$M$5:$M$2005,'Receipt Vouchers'!$R$5:$R$2005,$A24,'Receipt Vouchers'!$A$5:$A$2005,"&gt;="&amp;ReportFrom,'Receipt Vouchers'!$A$5:$A$2005,"&lt;="&amp;ReportTo))</f>
        <v/>
      </c>
      <c r="X24" s="25">
        <f>IF($A24="",0,(SUMIFS('Sales Invoices'!$O$5:$O$2005,'Sales Invoices'!$P$5:$P$2005,$A24,'Sales Invoices'!$B$5:$B$2005,"&lt;"&amp;ReportFrom)+SUMIFS('Sales Invoices'!$N$5:$N$2005,'Sales Invoices'!$R$5:$R$2005,$A24,'Sales Invoices'!$B$5:$B$2005,"&lt;"&amp;ReportFrom))-(SUMIFS('Sales Invoices'!$L$5:$L$2005,'Sales Invoices'!$Q$5:$Q$2005,$A24,'Sales Invoices'!$B$5:$B$2005,"&lt;"&amp;ReportFrom)+SUMIFS('Sales Invoices'!$M$5:$M$2005,'Sales Invoices'!$S$5:$S$2005,$A24,'Sales Invoices'!$B$5:$B$2005,"&lt;"&amp;ReportFrom)))</f>
        <v/>
      </c>
      <c r="Y24" s="25">
        <f>IF($A24="",0,SUMIFS('Sales Invoices'!$O$5:$O$2005,'Sales Invoices'!$P$5:$P$2005,$A24,'Sales Invoices'!$B$5:$B$2005,"&gt;="&amp;ReportFrom,'Sales Invoices'!$B$5:$B$2005,"&lt;="&amp;ReportTo)+SUMIFS('Sales Invoices'!$N$5:$N$2005,'Sales Invoices'!$R$5:$R$2005,$A24,'Sales Invoices'!$B$5:$B$2005,"&gt;="&amp;ReportFrom,'Sales Invoices'!$B$5:$B$2005,"&lt;="&amp;ReportTo))</f>
        <v/>
      </c>
      <c r="Z24" s="25">
        <f>IF($A24="",0,SUMIFS('Sales Invoices'!$L$5:$L$2005,'Sales Invoices'!$Q$5:$Q$2005,$A24,'Sales Invoices'!$B$5:$B$2005,"&gt;="&amp;ReportFrom,'Sales Invoices'!$B$5:$B$2005,"&lt;="&amp;ReportTo)+SUMIFS('Sales Invoices'!$M$5:$M$2005,'Sales Invoices'!$S$5:$S$2005,$A24,'Sales Invoices'!$B$5:$B$2005,"&gt;="&amp;ReportFrom,'Sales Invoices'!$B$5:$B$2005,"&lt;="&amp;ReportTo))</f>
        <v/>
      </c>
      <c r="AA24" s="25">
        <f>IF($A24="",0,(SUMIFS('Payment Vouchers'!$D$5:$D$2005,'Payment Vouchers'!$J$5:$J$2005,$A24,'Payment Vouchers'!$A$5:$A$2005,"&lt;"&amp;ReportFrom))-(SUMIFS('Payment Vouchers'!$D$5:$D$2005,'Payment Vouchers'!$K$5:$K$2005,$A24,'Payment Vouchers'!$A$5:$A$2005,"&lt;"&amp;ReportFrom)))</f>
        <v/>
      </c>
      <c r="AB24" s="25">
        <f>IF($A24="",0,SUMIFS('Payment Vouchers'!$D$5:$D$2005,'Payment Vouchers'!$J$5:$J$2005,$A24,'Payment Vouchers'!$A$5:$A$2005,"&gt;="&amp;ReportFrom,'Payment Vouchers'!$A$5:$A$2005,"&lt;="&amp;ReportTo))</f>
        <v/>
      </c>
      <c r="AC24" s="25">
        <f>IF($A24="",0,SUMIFS('Payment Vouchers'!$D$5:$D$2005,'Payment Vouchers'!$K$5:$K$2005,$A24,'Payment Vouchers'!$A$5:$A$2005,"&gt;="&amp;ReportFrom,'Payment Vouchers'!$A$5:$A$2005,"&lt;="&amp;ReportTo))</f>
        <v/>
      </c>
      <c r="AD24" s="25">
        <f>IF($A24="",0,(SUMIFS('Partner Transactions'!$D$5:$D$2005,'Partner Transactions'!$L$5:$L$2005,$A24,'Partner Transactions'!$A$5:$A$2005,"&lt;"&amp;ReportFrom))-(SUMIFS('Partner Transactions'!$D$5:$D$2005,'Partner Transactions'!$M$5:$M$2005,$A24,'Partner Transactions'!$A$5:$A$2005,"&lt;"&amp;ReportFrom)))</f>
        <v/>
      </c>
      <c r="AE24" s="25">
        <f>IF($A24="",0,SUMIFS('Partner Transactions'!$D$5:$D$2005,'Partner Transactions'!$L$5:$L$2005,$A24,'Partner Transactions'!$A$5:$A$2005,"&gt;="&amp;ReportFrom,'Partner Transactions'!$A$5:$A$2005,"&lt;="&amp;ReportTo))</f>
        <v/>
      </c>
      <c r="AF24" s="25">
        <f>IF($A24="",0,SUMIFS('Partner Transactions'!$D$5:$D$2005,'Partner Transactions'!$M$5:$M$2005,$A24,'Partner Transactions'!$A$5:$A$2005,"&gt;="&amp;ReportFrom,'Partner Transactions'!$A$5:$A$2005,"&lt;="&amp;ReportTo))</f>
        <v/>
      </c>
      <c r="AG24" s="25">
        <f>IF($A24="",0,(SUMIFS('Stock Moves'!$S$5:$S$2005,'Stock Moves'!$AD$5:$AD$2005,$A24,'Stock Moves'!$A$5:$A$2005,"&lt;"&amp;ReportFrom)+SUMIFS('Stock Moves'!$T$5:$T$2005,'Stock Moves'!$V$5:$V$2005,$A24,'Stock Moves'!$A$5:$A$2005,"&lt;"&amp;ReportFrom))-(SUMIFS('Stock Moves'!$AF$5:$AF$2005,'Stock Moves'!$AE$5:$AE$2005,$A24,'Stock Moves'!$A$5:$A$2005,"&lt;"&amp;ReportFrom)+SUMIFS('Stock Moves'!$AC$5:$AC$2005,'Stock Moves'!$X$5:$X$2005,$A24,'Stock Moves'!$A$5:$A$2005,"&lt;"&amp;ReportFrom)+SUMIFS('Stock Moves'!$U$5:$U$2005,'Stock Moves'!$W$5:$W$2005,$A24,'Stock Moves'!$A$5:$A$2005,"&lt;"&amp;ReportFrom)))</f>
        <v/>
      </c>
      <c r="AH24" s="25">
        <f>IF($A24="",0,SUMIFS('Stock Moves'!$S$5:$S$2005,'Stock Moves'!$AD$5:$AD$2005,$A24,'Stock Moves'!$A$5:$A$2005,"&gt;="&amp;ReportFrom,'Stock Moves'!$A$5:$A$2005,"&lt;="&amp;ReportTo)+SUMIFS('Stock Moves'!$T$5:$T$2005,'Stock Moves'!$V$5:$V$2005,$A24,'Stock Moves'!$A$5:$A$2005,"&gt;="&amp;ReportFrom,'Stock Moves'!$A$5:$A$2005,"&lt;="&amp;ReportTo))</f>
        <v/>
      </c>
      <c r="AI24" s="25">
        <f>IF($A24="",0,SUMIFS('Stock Moves'!$AF$5:$AF$2005,'Stock Moves'!$AE$5:$AE$2005,$A24,'Stock Moves'!$A$5:$A$2005,"&gt;="&amp;ReportFrom,'Stock Moves'!$A$5:$A$2005,"&lt;="&amp;ReportTo)+SUMIFS('Stock Moves'!$AC$5:$AC$2005,'Stock Moves'!$X$5:$X$2005,$A24,'Stock Moves'!$A$5:$A$2005,"&gt;="&amp;ReportFrom,'Stock Moves'!$A$5:$A$2005,"&lt;="&amp;ReportTo)+SUMIFS('Stock Moves'!$U$5:$U$2005,'Stock Moves'!$W$5:$W$2005,$A24,'Stock Moves'!$A$5:$A$2005,"&gt;="&amp;ReportFrom,'Stock Moves'!$A$5:$A$2005,"&lt;="&amp;ReportTo))</f>
        <v/>
      </c>
      <c r="AJ24" s="25">
        <f>IF($A24="",0,(SUMIFS('Journal Vouchers'!$I$5:$I$2005,'Journal Vouchers'!$H$5:$H$2005,$A24,'Journal Vouchers'!$B$5:$B$2005,"&lt;"&amp;ReportFrom))-(SUMIFS('Journal Vouchers'!$J$5:$J$2005,'Journal Vouchers'!$H$5:$H$2005,$A24,'Journal Vouchers'!$B$5:$B$2005,"&lt;"&amp;ReportFrom)))</f>
        <v/>
      </c>
      <c r="AK24" s="25">
        <f>IF($A24="",0,SUMIFS('Journal Vouchers'!$I$5:$I$2005,'Journal Vouchers'!$H$5:$H$2005,$A24,'Journal Vouchers'!$B$5:$B$2005,"&gt;="&amp;ReportFrom,'Journal Vouchers'!$B$5:$B$2005,"&lt;="&amp;ReportTo))</f>
        <v/>
      </c>
      <c r="AL24" s="25">
        <f>IF($A24="",0,SUMIFS('Journal Vouchers'!$J$5:$J$2005,'Journal Vouchers'!$H$5:$H$2005,$A24,'Journal Vouchers'!$B$5:$B$2005,"&gt;="&amp;ReportFrom,'Journal Vouchers'!$B$5:$B$2005,"&lt;="&amp;ReportTo))</f>
        <v/>
      </c>
    </row>
    <row r="25">
      <c r="A25" s="25">
        <f>IF('Chart of Accounts'!A25="","",'Chart of Accounts'!A25&amp;"")</f>
        <v/>
      </c>
      <c r="B25" s="25">
        <f>IF(A25="","",'Chart of Accounts'!B25)</f>
        <v/>
      </c>
      <c r="C25" s="25">
        <f>IF(A25="","",'Chart of Accounts'!C25)</f>
        <v/>
      </c>
      <c r="D25" s="25">
        <f>IF(A25="","",'Chart of Accounts'!D25)</f>
        <v/>
      </c>
      <c r="E25" s="26">
        <f>L25+O25+R25+U25+X25+AA25+AD25+AG25+AJ25</f>
        <v/>
      </c>
      <c r="F25" s="26">
        <f>M25+P25+S25+V25+Y25+AB25+AE25+AH25+AK25</f>
        <v/>
      </c>
      <c r="G25" s="26">
        <f>N25+Q25+T25+W25+Z25+AC25+AF25+AI25+AL25</f>
        <v/>
      </c>
      <c r="H25" s="26">
        <f>E25+F25-G25</f>
        <v/>
      </c>
      <c r="I25" s="26">
        <f>MAX(H25,0)</f>
        <v/>
      </c>
      <c r="J25" s="26">
        <f>MAX(-H25,0)</f>
        <v/>
      </c>
      <c r="L25" s="25">
        <f>IF($A25="",0,(SUMIFS('Direct Costs'!$R$5:$R$2005,'Direct Costs'!$V$5:$V$2005,$A25,'Direct Costs'!$A$5:$A$2005,"&lt;"&amp;ReportFrom)+SUMIFS('Direct Costs'!$S$5:$S$2005,'Direct Costs'!$Y$5:$Y$2005,$A25,'Direct Costs'!$A$5:$A$2005,"&lt;"&amp;ReportFrom))-(SUMIFS('Direct Costs'!$L$5:$L$2005,'Direct Costs'!$W$5:$W$2005,$A25,'Direct Costs'!$A$5:$A$2005,"&lt;"&amp;ReportFrom)+SUMIFS('Direct Costs'!$U$5:$U$2005,'Direct Costs'!$X$5:$X$2005,$A25,'Direct Costs'!$A$5:$A$2005,"&lt;"&amp;ReportFrom)+SUMIFS('Direct Costs'!$T$5:$T$2005,'Direct Costs'!$Z$5:$Z$2005,$A25,'Direct Costs'!$A$5:$A$2005,"&lt;"&amp;ReportFrom)))</f>
        <v/>
      </c>
      <c r="M25" s="25">
        <f>IF($A25="",0,SUMIFS('Direct Costs'!$R$5:$R$2005,'Direct Costs'!$V$5:$V$2005,$A25,'Direct Costs'!$A$5:$A$2005,"&gt;="&amp;ReportFrom,'Direct Costs'!$A$5:$A$2005,"&lt;="&amp;ReportTo)+SUMIFS('Direct Costs'!$S$5:$S$2005,'Direct Costs'!$Y$5:$Y$2005,$A25,'Direct Costs'!$A$5:$A$2005,"&gt;="&amp;ReportFrom,'Direct Costs'!$A$5:$A$2005,"&lt;="&amp;ReportTo))</f>
        <v/>
      </c>
      <c r="N25" s="25">
        <f>IF($A25="",0,SUMIFS('Direct Costs'!$L$5:$L$2005,'Direct Costs'!$W$5:$W$2005,$A25,'Direct Costs'!$A$5:$A$2005,"&gt;="&amp;ReportFrom,'Direct Costs'!$A$5:$A$2005,"&lt;="&amp;ReportTo)+SUMIFS('Direct Costs'!$U$5:$U$2005,'Direct Costs'!$X$5:$X$2005,$A25,'Direct Costs'!$A$5:$A$2005,"&gt;="&amp;ReportFrom,'Direct Costs'!$A$5:$A$2005,"&lt;="&amp;ReportTo)+SUMIFS('Direct Costs'!$T$5:$T$2005,'Direct Costs'!$Z$5:$Z$2005,$A25,'Direct Costs'!$A$5:$A$2005,"&gt;="&amp;ReportFrom,'Direct Costs'!$A$5:$A$2005,"&lt;="&amp;ReportTo))</f>
        <v/>
      </c>
      <c r="O25" s="25">
        <f>IF($A25="",0,(SUMIFS('Operating Expenses'!$F$5:$F$2005,'Operating Expenses'!$Q$5:$Q$2005,$A25,'Operating Expenses'!$A$5:$A$2005,"&lt;"&amp;ReportFrom)+SUMIFS('Operating Expenses'!$M$5:$M$2005,'Operating Expenses'!$T$5:$T$2005,$A25,'Operating Expenses'!$A$5:$A$2005,"&lt;"&amp;ReportFrom))-(SUMIFS('Operating Expenses'!$O$5:$O$2005,'Operating Expenses'!$R$5:$R$2005,$A25,'Operating Expenses'!$A$5:$A$2005,"&lt;"&amp;ReportFrom)+SUMIFS('Operating Expenses'!$P$5:$P$2005,'Operating Expenses'!$S$5:$S$2005,$A25,'Operating Expenses'!$A$5:$A$2005,"&lt;"&amp;ReportFrom)+SUMIFS('Operating Expenses'!$N$5:$N$2005,'Operating Expenses'!$U$5:$U$2005,$A25,'Operating Expenses'!$A$5:$A$2005,"&lt;"&amp;ReportFrom)))</f>
        <v/>
      </c>
      <c r="P25" s="25">
        <f>IF($A25="",0,SUMIFS('Operating Expenses'!$F$5:$F$2005,'Operating Expenses'!$Q$5:$Q$2005,$A25,'Operating Expenses'!$A$5:$A$2005,"&gt;="&amp;ReportFrom,'Operating Expenses'!$A$5:$A$2005,"&lt;="&amp;ReportTo)+SUMIFS('Operating Expenses'!$M$5:$M$2005,'Operating Expenses'!$T$5:$T$2005,$A25,'Operating Expenses'!$A$5:$A$2005,"&gt;="&amp;ReportFrom,'Operating Expenses'!$A$5:$A$2005,"&lt;="&amp;ReportTo))</f>
        <v/>
      </c>
      <c r="Q25" s="25">
        <f>IF($A25="",0,SUMIFS('Operating Expenses'!$O$5:$O$2005,'Operating Expenses'!$R$5:$R$2005,$A25,'Operating Expenses'!$A$5:$A$2005,"&gt;="&amp;ReportFrom,'Operating Expenses'!$A$5:$A$2005,"&lt;="&amp;ReportTo)+SUMIFS('Operating Expenses'!$P$5:$P$2005,'Operating Expenses'!$S$5:$S$2005,$A25,'Operating Expenses'!$A$5:$A$2005,"&gt;="&amp;ReportFrom,'Operating Expenses'!$A$5:$A$2005,"&lt;="&amp;ReportTo)+SUMIFS('Operating Expenses'!$N$5:$N$2005,'Operating Expenses'!$U$5:$U$2005,$A25,'Operating Expenses'!$A$5:$A$2005,"&gt;="&amp;ReportFrom,'Operating Expenses'!$A$5:$A$2005,"&lt;="&amp;ReportTo))</f>
        <v/>
      </c>
      <c r="R25" s="25">
        <f>IF($A25="",0,(SUMIFS('Payroll'!$O$5:$O$2005,'Payroll'!$Q$5:$Q$2005,$A25,'Payroll'!$A$5:$A$2005,"&lt;"&amp;ReportFrom))-(SUMIFS('Payroll'!$K$5:$K$2005,'Payroll'!$R$5:$R$2005,$A25,'Payroll'!$A$5:$A$2005,"&lt;"&amp;ReportFrom)+SUMIFS('Payroll'!$P$5:$P$2005,'Payroll'!$S$5:$S$2005,$A25,'Payroll'!$A$5:$A$2005,"&lt;"&amp;ReportFrom)))</f>
        <v/>
      </c>
      <c r="S25" s="25">
        <f>IF($A25="",0,SUMIFS('Payroll'!$O$5:$O$2005,'Payroll'!$Q$5:$Q$2005,$A25,'Payroll'!$A$5:$A$2005,"&gt;="&amp;ReportFrom,'Payroll'!$A$5:$A$2005,"&lt;="&amp;ReportTo))</f>
        <v/>
      </c>
      <c r="T25" s="25">
        <f>IF($A25="",0,SUMIFS('Payroll'!$K$5:$K$2005,'Payroll'!$R$5:$R$2005,$A25,'Payroll'!$A$5:$A$2005,"&gt;="&amp;ReportFrom,'Payroll'!$A$5:$A$2005,"&lt;="&amp;ReportTo)+SUMIFS('Payroll'!$P$5:$P$2005,'Payroll'!$S$5:$S$2005,$A25,'Payroll'!$A$5:$A$2005,"&gt;="&amp;ReportFrom,'Payroll'!$A$5:$A$2005,"&lt;="&amp;ReportTo))</f>
        <v/>
      </c>
      <c r="U25" s="25">
        <f>IF($A25="",0,(SUMIFS('Receipt Vouchers'!$F$5:$F$2005,'Receipt Vouchers'!$O$5:$O$2005,$A25,'Receipt Vouchers'!$A$5:$A$2005,"&lt;"&amp;ReportFrom)+SUMIFS('Receipt Vouchers'!$J$5:$J$2005,'Receipt Vouchers'!$Q$5:$Q$2005,$A25,'Receipt Vouchers'!$A$5:$A$2005,"&lt;"&amp;ReportFrom))-(SUMIFS('Receipt Vouchers'!$N$5:$N$2005,'Receipt Vouchers'!$P$5:$P$2005,$A25,'Receipt Vouchers'!$A$5:$A$2005,"&lt;"&amp;ReportFrom)+SUMIFS('Receipt Vouchers'!$M$5:$M$2005,'Receipt Vouchers'!$R$5:$R$2005,$A25,'Receipt Vouchers'!$A$5:$A$2005,"&lt;"&amp;ReportFrom)))</f>
        <v/>
      </c>
      <c r="V25" s="25">
        <f>IF($A25="",0,SUMIFS('Receipt Vouchers'!$F$5:$F$2005,'Receipt Vouchers'!$O$5:$O$2005,$A25,'Receipt Vouchers'!$A$5:$A$2005,"&gt;="&amp;ReportFrom,'Receipt Vouchers'!$A$5:$A$2005,"&lt;="&amp;ReportTo)+SUMIFS('Receipt Vouchers'!$J$5:$J$2005,'Receipt Vouchers'!$Q$5:$Q$2005,$A25,'Receipt Vouchers'!$A$5:$A$2005,"&gt;="&amp;ReportFrom,'Receipt Vouchers'!$A$5:$A$2005,"&lt;="&amp;ReportTo))</f>
        <v/>
      </c>
      <c r="W25" s="25">
        <f>IF($A25="",0,SUMIFS('Receipt Vouchers'!$N$5:$N$2005,'Receipt Vouchers'!$P$5:$P$2005,$A25,'Receipt Vouchers'!$A$5:$A$2005,"&gt;="&amp;ReportFrom,'Receipt Vouchers'!$A$5:$A$2005,"&lt;="&amp;ReportTo)+SUMIFS('Receipt Vouchers'!$M$5:$M$2005,'Receipt Vouchers'!$R$5:$R$2005,$A25,'Receipt Vouchers'!$A$5:$A$2005,"&gt;="&amp;ReportFrom,'Receipt Vouchers'!$A$5:$A$2005,"&lt;="&amp;ReportTo))</f>
        <v/>
      </c>
      <c r="X25" s="25">
        <f>IF($A25="",0,(SUMIFS('Sales Invoices'!$O$5:$O$2005,'Sales Invoices'!$P$5:$P$2005,$A25,'Sales Invoices'!$B$5:$B$2005,"&lt;"&amp;ReportFrom)+SUMIFS('Sales Invoices'!$N$5:$N$2005,'Sales Invoices'!$R$5:$R$2005,$A25,'Sales Invoices'!$B$5:$B$2005,"&lt;"&amp;ReportFrom))-(SUMIFS('Sales Invoices'!$L$5:$L$2005,'Sales Invoices'!$Q$5:$Q$2005,$A25,'Sales Invoices'!$B$5:$B$2005,"&lt;"&amp;ReportFrom)+SUMIFS('Sales Invoices'!$M$5:$M$2005,'Sales Invoices'!$S$5:$S$2005,$A25,'Sales Invoices'!$B$5:$B$2005,"&lt;"&amp;ReportFrom)))</f>
        <v/>
      </c>
      <c r="Y25" s="25">
        <f>IF($A25="",0,SUMIFS('Sales Invoices'!$O$5:$O$2005,'Sales Invoices'!$P$5:$P$2005,$A25,'Sales Invoices'!$B$5:$B$2005,"&gt;="&amp;ReportFrom,'Sales Invoices'!$B$5:$B$2005,"&lt;="&amp;ReportTo)+SUMIFS('Sales Invoices'!$N$5:$N$2005,'Sales Invoices'!$R$5:$R$2005,$A25,'Sales Invoices'!$B$5:$B$2005,"&gt;="&amp;ReportFrom,'Sales Invoices'!$B$5:$B$2005,"&lt;="&amp;ReportTo))</f>
        <v/>
      </c>
      <c r="Z25" s="25">
        <f>IF($A25="",0,SUMIFS('Sales Invoices'!$L$5:$L$2005,'Sales Invoices'!$Q$5:$Q$2005,$A25,'Sales Invoices'!$B$5:$B$2005,"&gt;="&amp;ReportFrom,'Sales Invoices'!$B$5:$B$2005,"&lt;="&amp;ReportTo)+SUMIFS('Sales Invoices'!$M$5:$M$2005,'Sales Invoices'!$S$5:$S$2005,$A25,'Sales Invoices'!$B$5:$B$2005,"&gt;="&amp;ReportFrom,'Sales Invoices'!$B$5:$B$2005,"&lt;="&amp;ReportTo))</f>
        <v/>
      </c>
      <c r="AA25" s="25">
        <f>IF($A25="",0,(SUMIFS('Payment Vouchers'!$D$5:$D$2005,'Payment Vouchers'!$J$5:$J$2005,$A25,'Payment Vouchers'!$A$5:$A$2005,"&lt;"&amp;ReportFrom))-(SUMIFS('Payment Vouchers'!$D$5:$D$2005,'Payment Vouchers'!$K$5:$K$2005,$A25,'Payment Vouchers'!$A$5:$A$2005,"&lt;"&amp;ReportFrom)))</f>
        <v/>
      </c>
      <c r="AB25" s="25">
        <f>IF($A25="",0,SUMIFS('Payment Vouchers'!$D$5:$D$2005,'Payment Vouchers'!$J$5:$J$2005,$A25,'Payment Vouchers'!$A$5:$A$2005,"&gt;="&amp;ReportFrom,'Payment Vouchers'!$A$5:$A$2005,"&lt;="&amp;ReportTo))</f>
        <v/>
      </c>
      <c r="AC25" s="25">
        <f>IF($A25="",0,SUMIFS('Payment Vouchers'!$D$5:$D$2005,'Payment Vouchers'!$K$5:$K$2005,$A25,'Payment Vouchers'!$A$5:$A$2005,"&gt;="&amp;ReportFrom,'Payment Vouchers'!$A$5:$A$2005,"&lt;="&amp;ReportTo))</f>
        <v/>
      </c>
      <c r="AD25" s="25">
        <f>IF($A25="",0,(SUMIFS('Partner Transactions'!$D$5:$D$2005,'Partner Transactions'!$L$5:$L$2005,$A25,'Partner Transactions'!$A$5:$A$2005,"&lt;"&amp;ReportFrom))-(SUMIFS('Partner Transactions'!$D$5:$D$2005,'Partner Transactions'!$M$5:$M$2005,$A25,'Partner Transactions'!$A$5:$A$2005,"&lt;"&amp;ReportFrom)))</f>
        <v/>
      </c>
      <c r="AE25" s="25">
        <f>IF($A25="",0,SUMIFS('Partner Transactions'!$D$5:$D$2005,'Partner Transactions'!$L$5:$L$2005,$A25,'Partner Transactions'!$A$5:$A$2005,"&gt;="&amp;ReportFrom,'Partner Transactions'!$A$5:$A$2005,"&lt;="&amp;ReportTo))</f>
        <v/>
      </c>
      <c r="AF25" s="25">
        <f>IF($A25="",0,SUMIFS('Partner Transactions'!$D$5:$D$2005,'Partner Transactions'!$M$5:$M$2005,$A25,'Partner Transactions'!$A$5:$A$2005,"&gt;="&amp;ReportFrom,'Partner Transactions'!$A$5:$A$2005,"&lt;="&amp;ReportTo))</f>
        <v/>
      </c>
      <c r="AG25" s="25">
        <f>IF($A25="",0,(SUMIFS('Stock Moves'!$S$5:$S$2005,'Stock Moves'!$AD$5:$AD$2005,$A25,'Stock Moves'!$A$5:$A$2005,"&lt;"&amp;ReportFrom)+SUMIFS('Stock Moves'!$T$5:$T$2005,'Stock Moves'!$V$5:$V$2005,$A25,'Stock Moves'!$A$5:$A$2005,"&lt;"&amp;ReportFrom))-(SUMIFS('Stock Moves'!$AF$5:$AF$2005,'Stock Moves'!$AE$5:$AE$2005,$A25,'Stock Moves'!$A$5:$A$2005,"&lt;"&amp;ReportFrom)+SUMIFS('Stock Moves'!$AC$5:$AC$2005,'Stock Moves'!$X$5:$X$2005,$A25,'Stock Moves'!$A$5:$A$2005,"&lt;"&amp;ReportFrom)+SUMIFS('Stock Moves'!$U$5:$U$2005,'Stock Moves'!$W$5:$W$2005,$A25,'Stock Moves'!$A$5:$A$2005,"&lt;"&amp;ReportFrom)))</f>
        <v/>
      </c>
      <c r="AH25" s="25">
        <f>IF($A25="",0,SUMIFS('Stock Moves'!$S$5:$S$2005,'Stock Moves'!$AD$5:$AD$2005,$A25,'Stock Moves'!$A$5:$A$2005,"&gt;="&amp;ReportFrom,'Stock Moves'!$A$5:$A$2005,"&lt;="&amp;ReportTo)+SUMIFS('Stock Moves'!$T$5:$T$2005,'Stock Moves'!$V$5:$V$2005,$A25,'Stock Moves'!$A$5:$A$2005,"&gt;="&amp;ReportFrom,'Stock Moves'!$A$5:$A$2005,"&lt;="&amp;ReportTo))</f>
        <v/>
      </c>
      <c r="AI25" s="25">
        <f>IF($A25="",0,SUMIFS('Stock Moves'!$AF$5:$AF$2005,'Stock Moves'!$AE$5:$AE$2005,$A25,'Stock Moves'!$A$5:$A$2005,"&gt;="&amp;ReportFrom,'Stock Moves'!$A$5:$A$2005,"&lt;="&amp;ReportTo)+SUMIFS('Stock Moves'!$AC$5:$AC$2005,'Stock Moves'!$X$5:$X$2005,$A25,'Stock Moves'!$A$5:$A$2005,"&gt;="&amp;ReportFrom,'Stock Moves'!$A$5:$A$2005,"&lt;="&amp;ReportTo)+SUMIFS('Stock Moves'!$U$5:$U$2005,'Stock Moves'!$W$5:$W$2005,$A25,'Stock Moves'!$A$5:$A$2005,"&gt;="&amp;ReportFrom,'Stock Moves'!$A$5:$A$2005,"&lt;="&amp;ReportTo))</f>
        <v/>
      </c>
      <c r="AJ25" s="25">
        <f>IF($A25="",0,(SUMIFS('Journal Vouchers'!$I$5:$I$2005,'Journal Vouchers'!$H$5:$H$2005,$A25,'Journal Vouchers'!$B$5:$B$2005,"&lt;"&amp;ReportFrom))-(SUMIFS('Journal Vouchers'!$J$5:$J$2005,'Journal Vouchers'!$H$5:$H$2005,$A25,'Journal Vouchers'!$B$5:$B$2005,"&lt;"&amp;ReportFrom)))</f>
        <v/>
      </c>
      <c r="AK25" s="25">
        <f>IF($A25="",0,SUMIFS('Journal Vouchers'!$I$5:$I$2005,'Journal Vouchers'!$H$5:$H$2005,$A25,'Journal Vouchers'!$B$5:$B$2005,"&gt;="&amp;ReportFrom,'Journal Vouchers'!$B$5:$B$2005,"&lt;="&amp;ReportTo))</f>
        <v/>
      </c>
      <c r="AL25" s="25">
        <f>IF($A25="",0,SUMIFS('Journal Vouchers'!$J$5:$J$2005,'Journal Vouchers'!$H$5:$H$2005,$A25,'Journal Vouchers'!$B$5:$B$2005,"&gt;="&amp;ReportFrom,'Journal Vouchers'!$B$5:$B$2005,"&lt;="&amp;ReportTo))</f>
        <v/>
      </c>
    </row>
    <row r="26">
      <c r="A26" s="25">
        <f>IF('Chart of Accounts'!A26="","",'Chart of Accounts'!A26&amp;"")</f>
        <v/>
      </c>
      <c r="B26" s="25">
        <f>IF(A26="","",'Chart of Accounts'!B26)</f>
        <v/>
      </c>
      <c r="C26" s="25">
        <f>IF(A26="","",'Chart of Accounts'!C26)</f>
        <v/>
      </c>
      <c r="D26" s="25">
        <f>IF(A26="","",'Chart of Accounts'!D26)</f>
        <v/>
      </c>
      <c r="E26" s="26">
        <f>L26+O26+R26+U26+X26+AA26+AD26+AG26+AJ26</f>
        <v/>
      </c>
      <c r="F26" s="26">
        <f>M26+P26+S26+V26+Y26+AB26+AE26+AH26+AK26</f>
        <v/>
      </c>
      <c r="G26" s="26">
        <f>N26+Q26+T26+W26+Z26+AC26+AF26+AI26+AL26</f>
        <v/>
      </c>
      <c r="H26" s="26">
        <f>E26+F26-G26</f>
        <v/>
      </c>
      <c r="I26" s="26">
        <f>MAX(H26,0)</f>
        <v/>
      </c>
      <c r="J26" s="26">
        <f>MAX(-H26,0)</f>
        <v/>
      </c>
      <c r="L26" s="25">
        <f>IF($A26="",0,(SUMIFS('Direct Costs'!$R$5:$R$2005,'Direct Costs'!$V$5:$V$2005,$A26,'Direct Costs'!$A$5:$A$2005,"&lt;"&amp;ReportFrom)+SUMIFS('Direct Costs'!$S$5:$S$2005,'Direct Costs'!$Y$5:$Y$2005,$A26,'Direct Costs'!$A$5:$A$2005,"&lt;"&amp;ReportFrom))-(SUMIFS('Direct Costs'!$L$5:$L$2005,'Direct Costs'!$W$5:$W$2005,$A26,'Direct Costs'!$A$5:$A$2005,"&lt;"&amp;ReportFrom)+SUMIFS('Direct Costs'!$U$5:$U$2005,'Direct Costs'!$X$5:$X$2005,$A26,'Direct Costs'!$A$5:$A$2005,"&lt;"&amp;ReportFrom)+SUMIFS('Direct Costs'!$T$5:$T$2005,'Direct Costs'!$Z$5:$Z$2005,$A26,'Direct Costs'!$A$5:$A$2005,"&lt;"&amp;ReportFrom)))</f>
        <v/>
      </c>
      <c r="M26" s="25">
        <f>IF($A26="",0,SUMIFS('Direct Costs'!$R$5:$R$2005,'Direct Costs'!$V$5:$V$2005,$A26,'Direct Costs'!$A$5:$A$2005,"&gt;="&amp;ReportFrom,'Direct Costs'!$A$5:$A$2005,"&lt;="&amp;ReportTo)+SUMIFS('Direct Costs'!$S$5:$S$2005,'Direct Costs'!$Y$5:$Y$2005,$A26,'Direct Costs'!$A$5:$A$2005,"&gt;="&amp;ReportFrom,'Direct Costs'!$A$5:$A$2005,"&lt;="&amp;ReportTo))</f>
        <v/>
      </c>
      <c r="N26" s="25">
        <f>IF($A26="",0,SUMIFS('Direct Costs'!$L$5:$L$2005,'Direct Costs'!$W$5:$W$2005,$A26,'Direct Costs'!$A$5:$A$2005,"&gt;="&amp;ReportFrom,'Direct Costs'!$A$5:$A$2005,"&lt;="&amp;ReportTo)+SUMIFS('Direct Costs'!$U$5:$U$2005,'Direct Costs'!$X$5:$X$2005,$A26,'Direct Costs'!$A$5:$A$2005,"&gt;="&amp;ReportFrom,'Direct Costs'!$A$5:$A$2005,"&lt;="&amp;ReportTo)+SUMIFS('Direct Costs'!$T$5:$T$2005,'Direct Costs'!$Z$5:$Z$2005,$A26,'Direct Costs'!$A$5:$A$2005,"&gt;="&amp;ReportFrom,'Direct Costs'!$A$5:$A$2005,"&lt;="&amp;ReportTo))</f>
        <v/>
      </c>
      <c r="O26" s="25">
        <f>IF($A26="",0,(SUMIFS('Operating Expenses'!$F$5:$F$2005,'Operating Expenses'!$Q$5:$Q$2005,$A26,'Operating Expenses'!$A$5:$A$2005,"&lt;"&amp;ReportFrom)+SUMIFS('Operating Expenses'!$M$5:$M$2005,'Operating Expenses'!$T$5:$T$2005,$A26,'Operating Expenses'!$A$5:$A$2005,"&lt;"&amp;ReportFrom))-(SUMIFS('Operating Expenses'!$O$5:$O$2005,'Operating Expenses'!$R$5:$R$2005,$A26,'Operating Expenses'!$A$5:$A$2005,"&lt;"&amp;ReportFrom)+SUMIFS('Operating Expenses'!$P$5:$P$2005,'Operating Expenses'!$S$5:$S$2005,$A26,'Operating Expenses'!$A$5:$A$2005,"&lt;"&amp;ReportFrom)+SUMIFS('Operating Expenses'!$N$5:$N$2005,'Operating Expenses'!$U$5:$U$2005,$A26,'Operating Expenses'!$A$5:$A$2005,"&lt;"&amp;ReportFrom)))</f>
        <v/>
      </c>
      <c r="P26" s="25">
        <f>IF($A26="",0,SUMIFS('Operating Expenses'!$F$5:$F$2005,'Operating Expenses'!$Q$5:$Q$2005,$A26,'Operating Expenses'!$A$5:$A$2005,"&gt;="&amp;ReportFrom,'Operating Expenses'!$A$5:$A$2005,"&lt;="&amp;ReportTo)+SUMIFS('Operating Expenses'!$M$5:$M$2005,'Operating Expenses'!$T$5:$T$2005,$A26,'Operating Expenses'!$A$5:$A$2005,"&gt;="&amp;ReportFrom,'Operating Expenses'!$A$5:$A$2005,"&lt;="&amp;ReportTo))</f>
        <v/>
      </c>
      <c r="Q26" s="25">
        <f>IF($A26="",0,SUMIFS('Operating Expenses'!$O$5:$O$2005,'Operating Expenses'!$R$5:$R$2005,$A26,'Operating Expenses'!$A$5:$A$2005,"&gt;="&amp;ReportFrom,'Operating Expenses'!$A$5:$A$2005,"&lt;="&amp;ReportTo)+SUMIFS('Operating Expenses'!$P$5:$P$2005,'Operating Expenses'!$S$5:$S$2005,$A26,'Operating Expenses'!$A$5:$A$2005,"&gt;="&amp;ReportFrom,'Operating Expenses'!$A$5:$A$2005,"&lt;="&amp;ReportTo)+SUMIFS('Operating Expenses'!$N$5:$N$2005,'Operating Expenses'!$U$5:$U$2005,$A26,'Operating Expenses'!$A$5:$A$2005,"&gt;="&amp;ReportFrom,'Operating Expenses'!$A$5:$A$2005,"&lt;="&amp;ReportTo))</f>
        <v/>
      </c>
      <c r="R26" s="25">
        <f>IF($A26="",0,(SUMIFS('Payroll'!$O$5:$O$2005,'Payroll'!$Q$5:$Q$2005,$A26,'Payroll'!$A$5:$A$2005,"&lt;"&amp;ReportFrom))-(SUMIFS('Payroll'!$K$5:$K$2005,'Payroll'!$R$5:$R$2005,$A26,'Payroll'!$A$5:$A$2005,"&lt;"&amp;ReportFrom)+SUMIFS('Payroll'!$P$5:$P$2005,'Payroll'!$S$5:$S$2005,$A26,'Payroll'!$A$5:$A$2005,"&lt;"&amp;ReportFrom)))</f>
        <v/>
      </c>
      <c r="S26" s="25">
        <f>IF($A26="",0,SUMIFS('Payroll'!$O$5:$O$2005,'Payroll'!$Q$5:$Q$2005,$A26,'Payroll'!$A$5:$A$2005,"&gt;="&amp;ReportFrom,'Payroll'!$A$5:$A$2005,"&lt;="&amp;ReportTo))</f>
        <v/>
      </c>
      <c r="T26" s="25">
        <f>IF($A26="",0,SUMIFS('Payroll'!$K$5:$K$2005,'Payroll'!$R$5:$R$2005,$A26,'Payroll'!$A$5:$A$2005,"&gt;="&amp;ReportFrom,'Payroll'!$A$5:$A$2005,"&lt;="&amp;ReportTo)+SUMIFS('Payroll'!$P$5:$P$2005,'Payroll'!$S$5:$S$2005,$A26,'Payroll'!$A$5:$A$2005,"&gt;="&amp;ReportFrom,'Payroll'!$A$5:$A$2005,"&lt;="&amp;ReportTo))</f>
        <v/>
      </c>
      <c r="U26" s="25">
        <f>IF($A26="",0,(SUMIFS('Receipt Vouchers'!$F$5:$F$2005,'Receipt Vouchers'!$O$5:$O$2005,$A26,'Receipt Vouchers'!$A$5:$A$2005,"&lt;"&amp;ReportFrom)+SUMIFS('Receipt Vouchers'!$J$5:$J$2005,'Receipt Vouchers'!$Q$5:$Q$2005,$A26,'Receipt Vouchers'!$A$5:$A$2005,"&lt;"&amp;ReportFrom))-(SUMIFS('Receipt Vouchers'!$N$5:$N$2005,'Receipt Vouchers'!$P$5:$P$2005,$A26,'Receipt Vouchers'!$A$5:$A$2005,"&lt;"&amp;ReportFrom)+SUMIFS('Receipt Vouchers'!$M$5:$M$2005,'Receipt Vouchers'!$R$5:$R$2005,$A26,'Receipt Vouchers'!$A$5:$A$2005,"&lt;"&amp;ReportFrom)))</f>
        <v/>
      </c>
      <c r="V26" s="25">
        <f>IF($A26="",0,SUMIFS('Receipt Vouchers'!$F$5:$F$2005,'Receipt Vouchers'!$O$5:$O$2005,$A26,'Receipt Vouchers'!$A$5:$A$2005,"&gt;="&amp;ReportFrom,'Receipt Vouchers'!$A$5:$A$2005,"&lt;="&amp;ReportTo)+SUMIFS('Receipt Vouchers'!$J$5:$J$2005,'Receipt Vouchers'!$Q$5:$Q$2005,$A26,'Receipt Vouchers'!$A$5:$A$2005,"&gt;="&amp;ReportFrom,'Receipt Vouchers'!$A$5:$A$2005,"&lt;="&amp;ReportTo))</f>
        <v/>
      </c>
      <c r="W26" s="25">
        <f>IF($A26="",0,SUMIFS('Receipt Vouchers'!$N$5:$N$2005,'Receipt Vouchers'!$P$5:$P$2005,$A26,'Receipt Vouchers'!$A$5:$A$2005,"&gt;="&amp;ReportFrom,'Receipt Vouchers'!$A$5:$A$2005,"&lt;="&amp;ReportTo)+SUMIFS('Receipt Vouchers'!$M$5:$M$2005,'Receipt Vouchers'!$R$5:$R$2005,$A26,'Receipt Vouchers'!$A$5:$A$2005,"&gt;="&amp;ReportFrom,'Receipt Vouchers'!$A$5:$A$2005,"&lt;="&amp;ReportTo))</f>
        <v/>
      </c>
      <c r="X26" s="25">
        <f>IF($A26="",0,(SUMIFS('Sales Invoices'!$O$5:$O$2005,'Sales Invoices'!$P$5:$P$2005,$A26,'Sales Invoices'!$B$5:$B$2005,"&lt;"&amp;ReportFrom)+SUMIFS('Sales Invoices'!$N$5:$N$2005,'Sales Invoices'!$R$5:$R$2005,$A26,'Sales Invoices'!$B$5:$B$2005,"&lt;"&amp;ReportFrom))-(SUMIFS('Sales Invoices'!$L$5:$L$2005,'Sales Invoices'!$Q$5:$Q$2005,$A26,'Sales Invoices'!$B$5:$B$2005,"&lt;"&amp;ReportFrom)+SUMIFS('Sales Invoices'!$M$5:$M$2005,'Sales Invoices'!$S$5:$S$2005,$A26,'Sales Invoices'!$B$5:$B$2005,"&lt;"&amp;ReportFrom)))</f>
        <v/>
      </c>
      <c r="Y26" s="25">
        <f>IF($A26="",0,SUMIFS('Sales Invoices'!$O$5:$O$2005,'Sales Invoices'!$P$5:$P$2005,$A26,'Sales Invoices'!$B$5:$B$2005,"&gt;="&amp;ReportFrom,'Sales Invoices'!$B$5:$B$2005,"&lt;="&amp;ReportTo)+SUMIFS('Sales Invoices'!$N$5:$N$2005,'Sales Invoices'!$R$5:$R$2005,$A26,'Sales Invoices'!$B$5:$B$2005,"&gt;="&amp;ReportFrom,'Sales Invoices'!$B$5:$B$2005,"&lt;="&amp;ReportTo))</f>
        <v/>
      </c>
      <c r="Z26" s="25">
        <f>IF($A26="",0,SUMIFS('Sales Invoices'!$L$5:$L$2005,'Sales Invoices'!$Q$5:$Q$2005,$A26,'Sales Invoices'!$B$5:$B$2005,"&gt;="&amp;ReportFrom,'Sales Invoices'!$B$5:$B$2005,"&lt;="&amp;ReportTo)+SUMIFS('Sales Invoices'!$M$5:$M$2005,'Sales Invoices'!$S$5:$S$2005,$A26,'Sales Invoices'!$B$5:$B$2005,"&gt;="&amp;ReportFrom,'Sales Invoices'!$B$5:$B$2005,"&lt;="&amp;ReportTo))</f>
        <v/>
      </c>
      <c r="AA26" s="25">
        <f>IF($A26="",0,(SUMIFS('Payment Vouchers'!$D$5:$D$2005,'Payment Vouchers'!$J$5:$J$2005,$A26,'Payment Vouchers'!$A$5:$A$2005,"&lt;"&amp;ReportFrom))-(SUMIFS('Payment Vouchers'!$D$5:$D$2005,'Payment Vouchers'!$K$5:$K$2005,$A26,'Payment Vouchers'!$A$5:$A$2005,"&lt;"&amp;ReportFrom)))</f>
        <v/>
      </c>
      <c r="AB26" s="25">
        <f>IF($A26="",0,SUMIFS('Payment Vouchers'!$D$5:$D$2005,'Payment Vouchers'!$J$5:$J$2005,$A26,'Payment Vouchers'!$A$5:$A$2005,"&gt;="&amp;ReportFrom,'Payment Vouchers'!$A$5:$A$2005,"&lt;="&amp;ReportTo))</f>
        <v/>
      </c>
      <c r="AC26" s="25">
        <f>IF($A26="",0,SUMIFS('Payment Vouchers'!$D$5:$D$2005,'Payment Vouchers'!$K$5:$K$2005,$A26,'Payment Vouchers'!$A$5:$A$2005,"&gt;="&amp;ReportFrom,'Payment Vouchers'!$A$5:$A$2005,"&lt;="&amp;ReportTo))</f>
        <v/>
      </c>
      <c r="AD26" s="25">
        <f>IF($A26="",0,(SUMIFS('Partner Transactions'!$D$5:$D$2005,'Partner Transactions'!$L$5:$L$2005,$A26,'Partner Transactions'!$A$5:$A$2005,"&lt;"&amp;ReportFrom))-(SUMIFS('Partner Transactions'!$D$5:$D$2005,'Partner Transactions'!$M$5:$M$2005,$A26,'Partner Transactions'!$A$5:$A$2005,"&lt;"&amp;ReportFrom)))</f>
        <v/>
      </c>
      <c r="AE26" s="25">
        <f>IF($A26="",0,SUMIFS('Partner Transactions'!$D$5:$D$2005,'Partner Transactions'!$L$5:$L$2005,$A26,'Partner Transactions'!$A$5:$A$2005,"&gt;="&amp;ReportFrom,'Partner Transactions'!$A$5:$A$2005,"&lt;="&amp;ReportTo))</f>
        <v/>
      </c>
      <c r="AF26" s="25">
        <f>IF($A26="",0,SUMIFS('Partner Transactions'!$D$5:$D$2005,'Partner Transactions'!$M$5:$M$2005,$A26,'Partner Transactions'!$A$5:$A$2005,"&gt;="&amp;ReportFrom,'Partner Transactions'!$A$5:$A$2005,"&lt;="&amp;ReportTo))</f>
        <v/>
      </c>
      <c r="AG26" s="25">
        <f>IF($A26="",0,(SUMIFS('Stock Moves'!$S$5:$S$2005,'Stock Moves'!$AD$5:$AD$2005,$A26,'Stock Moves'!$A$5:$A$2005,"&lt;"&amp;ReportFrom)+SUMIFS('Stock Moves'!$T$5:$T$2005,'Stock Moves'!$V$5:$V$2005,$A26,'Stock Moves'!$A$5:$A$2005,"&lt;"&amp;ReportFrom))-(SUMIFS('Stock Moves'!$AF$5:$AF$2005,'Stock Moves'!$AE$5:$AE$2005,$A26,'Stock Moves'!$A$5:$A$2005,"&lt;"&amp;ReportFrom)+SUMIFS('Stock Moves'!$AC$5:$AC$2005,'Stock Moves'!$X$5:$X$2005,$A26,'Stock Moves'!$A$5:$A$2005,"&lt;"&amp;ReportFrom)+SUMIFS('Stock Moves'!$U$5:$U$2005,'Stock Moves'!$W$5:$W$2005,$A26,'Stock Moves'!$A$5:$A$2005,"&lt;"&amp;ReportFrom)))</f>
        <v/>
      </c>
      <c r="AH26" s="25">
        <f>IF($A26="",0,SUMIFS('Stock Moves'!$S$5:$S$2005,'Stock Moves'!$AD$5:$AD$2005,$A26,'Stock Moves'!$A$5:$A$2005,"&gt;="&amp;ReportFrom,'Stock Moves'!$A$5:$A$2005,"&lt;="&amp;ReportTo)+SUMIFS('Stock Moves'!$T$5:$T$2005,'Stock Moves'!$V$5:$V$2005,$A26,'Stock Moves'!$A$5:$A$2005,"&gt;="&amp;ReportFrom,'Stock Moves'!$A$5:$A$2005,"&lt;="&amp;ReportTo))</f>
        <v/>
      </c>
      <c r="AI26" s="25">
        <f>IF($A26="",0,SUMIFS('Stock Moves'!$AF$5:$AF$2005,'Stock Moves'!$AE$5:$AE$2005,$A26,'Stock Moves'!$A$5:$A$2005,"&gt;="&amp;ReportFrom,'Stock Moves'!$A$5:$A$2005,"&lt;="&amp;ReportTo)+SUMIFS('Stock Moves'!$AC$5:$AC$2005,'Stock Moves'!$X$5:$X$2005,$A26,'Stock Moves'!$A$5:$A$2005,"&gt;="&amp;ReportFrom,'Stock Moves'!$A$5:$A$2005,"&lt;="&amp;ReportTo)+SUMIFS('Stock Moves'!$U$5:$U$2005,'Stock Moves'!$W$5:$W$2005,$A26,'Stock Moves'!$A$5:$A$2005,"&gt;="&amp;ReportFrom,'Stock Moves'!$A$5:$A$2005,"&lt;="&amp;ReportTo))</f>
        <v/>
      </c>
      <c r="AJ26" s="25">
        <f>IF($A26="",0,(SUMIFS('Journal Vouchers'!$I$5:$I$2005,'Journal Vouchers'!$H$5:$H$2005,$A26,'Journal Vouchers'!$B$5:$B$2005,"&lt;"&amp;ReportFrom))-(SUMIFS('Journal Vouchers'!$J$5:$J$2005,'Journal Vouchers'!$H$5:$H$2005,$A26,'Journal Vouchers'!$B$5:$B$2005,"&lt;"&amp;ReportFrom)))</f>
        <v/>
      </c>
      <c r="AK26" s="25">
        <f>IF($A26="",0,SUMIFS('Journal Vouchers'!$I$5:$I$2005,'Journal Vouchers'!$H$5:$H$2005,$A26,'Journal Vouchers'!$B$5:$B$2005,"&gt;="&amp;ReportFrom,'Journal Vouchers'!$B$5:$B$2005,"&lt;="&amp;ReportTo))</f>
        <v/>
      </c>
      <c r="AL26" s="25">
        <f>IF($A26="",0,SUMIFS('Journal Vouchers'!$J$5:$J$2005,'Journal Vouchers'!$H$5:$H$2005,$A26,'Journal Vouchers'!$B$5:$B$2005,"&gt;="&amp;ReportFrom,'Journal Vouchers'!$B$5:$B$2005,"&lt;="&amp;ReportTo))</f>
        <v/>
      </c>
    </row>
    <row r="27">
      <c r="A27" s="25">
        <f>IF('Chart of Accounts'!A27="","",'Chart of Accounts'!A27&amp;"")</f>
        <v/>
      </c>
      <c r="B27" s="25">
        <f>IF(A27="","",'Chart of Accounts'!B27)</f>
        <v/>
      </c>
      <c r="C27" s="25">
        <f>IF(A27="","",'Chart of Accounts'!C27)</f>
        <v/>
      </c>
      <c r="D27" s="25">
        <f>IF(A27="","",'Chart of Accounts'!D27)</f>
        <v/>
      </c>
      <c r="E27" s="26">
        <f>L27+O27+R27+U27+X27+AA27+AD27+AG27+AJ27</f>
        <v/>
      </c>
      <c r="F27" s="26">
        <f>M27+P27+S27+V27+Y27+AB27+AE27+AH27+AK27</f>
        <v/>
      </c>
      <c r="G27" s="26">
        <f>N27+Q27+T27+W27+Z27+AC27+AF27+AI27+AL27</f>
        <v/>
      </c>
      <c r="H27" s="26">
        <f>E27+F27-G27</f>
        <v/>
      </c>
      <c r="I27" s="26">
        <f>MAX(H27,0)</f>
        <v/>
      </c>
      <c r="J27" s="26">
        <f>MAX(-H27,0)</f>
        <v/>
      </c>
      <c r="L27" s="25">
        <f>IF($A27="",0,(SUMIFS('Direct Costs'!$R$5:$R$2005,'Direct Costs'!$V$5:$V$2005,$A27,'Direct Costs'!$A$5:$A$2005,"&lt;"&amp;ReportFrom)+SUMIFS('Direct Costs'!$S$5:$S$2005,'Direct Costs'!$Y$5:$Y$2005,$A27,'Direct Costs'!$A$5:$A$2005,"&lt;"&amp;ReportFrom))-(SUMIFS('Direct Costs'!$L$5:$L$2005,'Direct Costs'!$W$5:$W$2005,$A27,'Direct Costs'!$A$5:$A$2005,"&lt;"&amp;ReportFrom)+SUMIFS('Direct Costs'!$U$5:$U$2005,'Direct Costs'!$X$5:$X$2005,$A27,'Direct Costs'!$A$5:$A$2005,"&lt;"&amp;ReportFrom)+SUMIFS('Direct Costs'!$T$5:$T$2005,'Direct Costs'!$Z$5:$Z$2005,$A27,'Direct Costs'!$A$5:$A$2005,"&lt;"&amp;ReportFrom)))</f>
        <v/>
      </c>
      <c r="M27" s="25">
        <f>IF($A27="",0,SUMIFS('Direct Costs'!$R$5:$R$2005,'Direct Costs'!$V$5:$V$2005,$A27,'Direct Costs'!$A$5:$A$2005,"&gt;="&amp;ReportFrom,'Direct Costs'!$A$5:$A$2005,"&lt;="&amp;ReportTo)+SUMIFS('Direct Costs'!$S$5:$S$2005,'Direct Costs'!$Y$5:$Y$2005,$A27,'Direct Costs'!$A$5:$A$2005,"&gt;="&amp;ReportFrom,'Direct Costs'!$A$5:$A$2005,"&lt;="&amp;ReportTo))</f>
        <v/>
      </c>
      <c r="N27" s="25">
        <f>IF($A27="",0,SUMIFS('Direct Costs'!$L$5:$L$2005,'Direct Costs'!$W$5:$W$2005,$A27,'Direct Costs'!$A$5:$A$2005,"&gt;="&amp;ReportFrom,'Direct Costs'!$A$5:$A$2005,"&lt;="&amp;ReportTo)+SUMIFS('Direct Costs'!$U$5:$U$2005,'Direct Costs'!$X$5:$X$2005,$A27,'Direct Costs'!$A$5:$A$2005,"&gt;="&amp;ReportFrom,'Direct Costs'!$A$5:$A$2005,"&lt;="&amp;ReportTo)+SUMIFS('Direct Costs'!$T$5:$T$2005,'Direct Costs'!$Z$5:$Z$2005,$A27,'Direct Costs'!$A$5:$A$2005,"&gt;="&amp;ReportFrom,'Direct Costs'!$A$5:$A$2005,"&lt;="&amp;ReportTo))</f>
        <v/>
      </c>
      <c r="O27" s="25">
        <f>IF($A27="",0,(SUMIFS('Operating Expenses'!$F$5:$F$2005,'Operating Expenses'!$Q$5:$Q$2005,$A27,'Operating Expenses'!$A$5:$A$2005,"&lt;"&amp;ReportFrom)+SUMIFS('Operating Expenses'!$M$5:$M$2005,'Operating Expenses'!$T$5:$T$2005,$A27,'Operating Expenses'!$A$5:$A$2005,"&lt;"&amp;ReportFrom))-(SUMIFS('Operating Expenses'!$O$5:$O$2005,'Operating Expenses'!$R$5:$R$2005,$A27,'Operating Expenses'!$A$5:$A$2005,"&lt;"&amp;ReportFrom)+SUMIFS('Operating Expenses'!$P$5:$P$2005,'Operating Expenses'!$S$5:$S$2005,$A27,'Operating Expenses'!$A$5:$A$2005,"&lt;"&amp;ReportFrom)+SUMIFS('Operating Expenses'!$N$5:$N$2005,'Operating Expenses'!$U$5:$U$2005,$A27,'Operating Expenses'!$A$5:$A$2005,"&lt;"&amp;ReportFrom)))</f>
        <v/>
      </c>
      <c r="P27" s="25">
        <f>IF($A27="",0,SUMIFS('Operating Expenses'!$F$5:$F$2005,'Operating Expenses'!$Q$5:$Q$2005,$A27,'Operating Expenses'!$A$5:$A$2005,"&gt;="&amp;ReportFrom,'Operating Expenses'!$A$5:$A$2005,"&lt;="&amp;ReportTo)+SUMIFS('Operating Expenses'!$M$5:$M$2005,'Operating Expenses'!$T$5:$T$2005,$A27,'Operating Expenses'!$A$5:$A$2005,"&gt;="&amp;ReportFrom,'Operating Expenses'!$A$5:$A$2005,"&lt;="&amp;ReportTo))</f>
        <v/>
      </c>
      <c r="Q27" s="25">
        <f>IF($A27="",0,SUMIFS('Operating Expenses'!$O$5:$O$2005,'Operating Expenses'!$R$5:$R$2005,$A27,'Operating Expenses'!$A$5:$A$2005,"&gt;="&amp;ReportFrom,'Operating Expenses'!$A$5:$A$2005,"&lt;="&amp;ReportTo)+SUMIFS('Operating Expenses'!$P$5:$P$2005,'Operating Expenses'!$S$5:$S$2005,$A27,'Operating Expenses'!$A$5:$A$2005,"&gt;="&amp;ReportFrom,'Operating Expenses'!$A$5:$A$2005,"&lt;="&amp;ReportTo)+SUMIFS('Operating Expenses'!$N$5:$N$2005,'Operating Expenses'!$U$5:$U$2005,$A27,'Operating Expenses'!$A$5:$A$2005,"&gt;="&amp;ReportFrom,'Operating Expenses'!$A$5:$A$2005,"&lt;="&amp;ReportTo))</f>
        <v/>
      </c>
      <c r="R27" s="25">
        <f>IF($A27="",0,(SUMIFS('Payroll'!$O$5:$O$2005,'Payroll'!$Q$5:$Q$2005,$A27,'Payroll'!$A$5:$A$2005,"&lt;"&amp;ReportFrom))-(SUMIFS('Payroll'!$K$5:$K$2005,'Payroll'!$R$5:$R$2005,$A27,'Payroll'!$A$5:$A$2005,"&lt;"&amp;ReportFrom)+SUMIFS('Payroll'!$P$5:$P$2005,'Payroll'!$S$5:$S$2005,$A27,'Payroll'!$A$5:$A$2005,"&lt;"&amp;ReportFrom)))</f>
        <v/>
      </c>
      <c r="S27" s="25">
        <f>IF($A27="",0,SUMIFS('Payroll'!$O$5:$O$2005,'Payroll'!$Q$5:$Q$2005,$A27,'Payroll'!$A$5:$A$2005,"&gt;="&amp;ReportFrom,'Payroll'!$A$5:$A$2005,"&lt;="&amp;ReportTo))</f>
        <v/>
      </c>
      <c r="T27" s="25">
        <f>IF($A27="",0,SUMIFS('Payroll'!$K$5:$K$2005,'Payroll'!$R$5:$R$2005,$A27,'Payroll'!$A$5:$A$2005,"&gt;="&amp;ReportFrom,'Payroll'!$A$5:$A$2005,"&lt;="&amp;ReportTo)+SUMIFS('Payroll'!$P$5:$P$2005,'Payroll'!$S$5:$S$2005,$A27,'Payroll'!$A$5:$A$2005,"&gt;="&amp;ReportFrom,'Payroll'!$A$5:$A$2005,"&lt;="&amp;ReportTo))</f>
        <v/>
      </c>
      <c r="U27" s="25">
        <f>IF($A27="",0,(SUMIFS('Receipt Vouchers'!$F$5:$F$2005,'Receipt Vouchers'!$O$5:$O$2005,$A27,'Receipt Vouchers'!$A$5:$A$2005,"&lt;"&amp;ReportFrom)+SUMIFS('Receipt Vouchers'!$J$5:$J$2005,'Receipt Vouchers'!$Q$5:$Q$2005,$A27,'Receipt Vouchers'!$A$5:$A$2005,"&lt;"&amp;ReportFrom))-(SUMIFS('Receipt Vouchers'!$N$5:$N$2005,'Receipt Vouchers'!$P$5:$P$2005,$A27,'Receipt Vouchers'!$A$5:$A$2005,"&lt;"&amp;ReportFrom)+SUMIFS('Receipt Vouchers'!$M$5:$M$2005,'Receipt Vouchers'!$R$5:$R$2005,$A27,'Receipt Vouchers'!$A$5:$A$2005,"&lt;"&amp;ReportFrom)))</f>
        <v/>
      </c>
      <c r="V27" s="25">
        <f>IF($A27="",0,SUMIFS('Receipt Vouchers'!$F$5:$F$2005,'Receipt Vouchers'!$O$5:$O$2005,$A27,'Receipt Vouchers'!$A$5:$A$2005,"&gt;="&amp;ReportFrom,'Receipt Vouchers'!$A$5:$A$2005,"&lt;="&amp;ReportTo)+SUMIFS('Receipt Vouchers'!$J$5:$J$2005,'Receipt Vouchers'!$Q$5:$Q$2005,$A27,'Receipt Vouchers'!$A$5:$A$2005,"&gt;="&amp;ReportFrom,'Receipt Vouchers'!$A$5:$A$2005,"&lt;="&amp;ReportTo))</f>
        <v/>
      </c>
      <c r="W27" s="25">
        <f>IF($A27="",0,SUMIFS('Receipt Vouchers'!$N$5:$N$2005,'Receipt Vouchers'!$P$5:$P$2005,$A27,'Receipt Vouchers'!$A$5:$A$2005,"&gt;="&amp;ReportFrom,'Receipt Vouchers'!$A$5:$A$2005,"&lt;="&amp;ReportTo)+SUMIFS('Receipt Vouchers'!$M$5:$M$2005,'Receipt Vouchers'!$R$5:$R$2005,$A27,'Receipt Vouchers'!$A$5:$A$2005,"&gt;="&amp;ReportFrom,'Receipt Vouchers'!$A$5:$A$2005,"&lt;="&amp;ReportTo))</f>
        <v/>
      </c>
      <c r="X27" s="25">
        <f>IF($A27="",0,(SUMIFS('Sales Invoices'!$O$5:$O$2005,'Sales Invoices'!$P$5:$P$2005,$A27,'Sales Invoices'!$B$5:$B$2005,"&lt;"&amp;ReportFrom)+SUMIFS('Sales Invoices'!$N$5:$N$2005,'Sales Invoices'!$R$5:$R$2005,$A27,'Sales Invoices'!$B$5:$B$2005,"&lt;"&amp;ReportFrom))-(SUMIFS('Sales Invoices'!$L$5:$L$2005,'Sales Invoices'!$Q$5:$Q$2005,$A27,'Sales Invoices'!$B$5:$B$2005,"&lt;"&amp;ReportFrom)+SUMIFS('Sales Invoices'!$M$5:$M$2005,'Sales Invoices'!$S$5:$S$2005,$A27,'Sales Invoices'!$B$5:$B$2005,"&lt;"&amp;ReportFrom)))</f>
        <v/>
      </c>
      <c r="Y27" s="25">
        <f>IF($A27="",0,SUMIFS('Sales Invoices'!$O$5:$O$2005,'Sales Invoices'!$P$5:$P$2005,$A27,'Sales Invoices'!$B$5:$B$2005,"&gt;="&amp;ReportFrom,'Sales Invoices'!$B$5:$B$2005,"&lt;="&amp;ReportTo)+SUMIFS('Sales Invoices'!$N$5:$N$2005,'Sales Invoices'!$R$5:$R$2005,$A27,'Sales Invoices'!$B$5:$B$2005,"&gt;="&amp;ReportFrom,'Sales Invoices'!$B$5:$B$2005,"&lt;="&amp;ReportTo))</f>
        <v/>
      </c>
      <c r="Z27" s="25">
        <f>IF($A27="",0,SUMIFS('Sales Invoices'!$L$5:$L$2005,'Sales Invoices'!$Q$5:$Q$2005,$A27,'Sales Invoices'!$B$5:$B$2005,"&gt;="&amp;ReportFrom,'Sales Invoices'!$B$5:$B$2005,"&lt;="&amp;ReportTo)+SUMIFS('Sales Invoices'!$M$5:$M$2005,'Sales Invoices'!$S$5:$S$2005,$A27,'Sales Invoices'!$B$5:$B$2005,"&gt;="&amp;ReportFrom,'Sales Invoices'!$B$5:$B$2005,"&lt;="&amp;ReportTo))</f>
        <v/>
      </c>
      <c r="AA27" s="25">
        <f>IF($A27="",0,(SUMIFS('Payment Vouchers'!$D$5:$D$2005,'Payment Vouchers'!$J$5:$J$2005,$A27,'Payment Vouchers'!$A$5:$A$2005,"&lt;"&amp;ReportFrom))-(SUMIFS('Payment Vouchers'!$D$5:$D$2005,'Payment Vouchers'!$K$5:$K$2005,$A27,'Payment Vouchers'!$A$5:$A$2005,"&lt;"&amp;ReportFrom)))</f>
        <v/>
      </c>
      <c r="AB27" s="25">
        <f>IF($A27="",0,SUMIFS('Payment Vouchers'!$D$5:$D$2005,'Payment Vouchers'!$J$5:$J$2005,$A27,'Payment Vouchers'!$A$5:$A$2005,"&gt;="&amp;ReportFrom,'Payment Vouchers'!$A$5:$A$2005,"&lt;="&amp;ReportTo))</f>
        <v/>
      </c>
      <c r="AC27" s="25">
        <f>IF($A27="",0,SUMIFS('Payment Vouchers'!$D$5:$D$2005,'Payment Vouchers'!$K$5:$K$2005,$A27,'Payment Vouchers'!$A$5:$A$2005,"&gt;="&amp;ReportFrom,'Payment Vouchers'!$A$5:$A$2005,"&lt;="&amp;ReportTo))</f>
        <v/>
      </c>
      <c r="AD27" s="25">
        <f>IF($A27="",0,(SUMIFS('Partner Transactions'!$D$5:$D$2005,'Partner Transactions'!$L$5:$L$2005,$A27,'Partner Transactions'!$A$5:$A$2005,"&lt;"&amp;ReportFrom))-(SUMIFS('Partner Transactions'!$D$5:$D$2005,'Partner Transactions'!$M$5:$M$2005,$A27,'Partner Transactions'!$A$5:$A$2005,"&lt;"&amp;ReportFrom)))</f>
        <v/>
      </c>
      <c r="AE27" s="25">
        <f>IF($A27="",0,SUMIFS('Partner Transactions'!$D$5:$D$2005,'Partner Transactions'!$L$5:$L$2005,$A27,'Partner Transactions'!$A$5:$A$2005,"&gt;="&amp;ReportFrom,'Partner Transactions'!$A$5:$A$2005,"&lt;="&amp;ReportTo))</f>
        <v/>
      </c>
      <c r="AF27" s="25">
        <f>IF($A27="",0,SUMIFS('Partner Transactions'!$D$5:$D$2005,'Partner Transactions'!$M$5:$M$2005,$A27,'Partner Transactions'!$A$5:$A$2005,"&gt;="&amp;ReportFrom,'Partner Transactions'!$A$5:$A$2005,"&lt;="&amp;ReportTo))</f>
        <v/>
      </c>
      <c r="AG27" s="25">
        <f>IF($A27="",0,(SUMIFS('Stock Moves'!$S$5:$S$2005,'Stock Moves'!$AD$5:$AD$2005,$A27,'Stock Moves'!$A$5:$A$2005,"&lt;"&amp;ReportFrom)+SUMIFS('Stock Moves'!$T$5:$T$2005,'Stock Moves'!$V$5:$V$2005,$A27,'Stock Moves'!$A$5:$A$2005,"&lt;"&amp;ReportFrom))-(SUMIFS('Stock Moves'!$AF$5:$AF$2005,'Stock Moves'!$AE$5:$AE$2005,$A27,'Stock Moves'!$A$5:$A$2005,"&lt;"&amp;ReportFrom)+SUMIFS('Stock Moves'!$AC$5:$AC$2005,'Stock Moves'!$X$5:$X$2005,$A27,'Stock Moves'!$A$5:$A$2005,"&lt;"&amp;ReportFrom)+SUMIFS('Stock Moves'!$U$5:$U$2005,'Stock Moves'!$W$5:$W$2005,$A27,'Stock Moves'!$A$5:$A$2005,"&lt;"&amp;ReportFrom)))</f>
        <v/>
      </c>
      <c r="AH27" s="25">
        <f>IF($A27="",0,SUMIFS('Stock Moves'!$S$5:$S$2005,'Stock Moves'!$AD$5:$AD$2005,$A27,'Stock Moves'!$A$5:$A$2005,"&gt;="&amp;ReportFrom,'Stock Moves'!$A$5:$A$2005,"&lt;="&amp;ReportTo)+SUMIFS('Stock Moves'!$T$5:$T$2005,'Stock Moves'!$V$5:$V$2005,$A27,'Stock Moves'!$A$5:$A$2005,"&gt;="&amp;ReportFrom,'Stock Moves'!$A$5:$A$2005,"&lt;="&amp;ReportTo))</f>
        <v/>
      </c>
      <c r="AI27" s="25">
        <f>IF($A27="",0,SUMIFS('Stock Moves'!$AF$5:$AF$2005,'Stock Moves'!$AE$5:$AE$2005,$A27,'Stock Moves'!$A$5:$A$2005,"&gt;="&amp;ReportFrom,'Stock Moves'!$A$5:$A$2005,"&lt;="&amp;ReportTo)+SUMIFS('Stock Moves'!$AC$5:$AC$2005,'Stock Moves'!$X$5:$X$2005,$A27,'Stock Moves'!$A$5:$A$2005,"&gt;="&amp;ReportFrom,'Stock Moves'!$A$5:$A$2005,"&lt;="&amp;ReportTo)+SUMIFS('Stock Moves'!$U$5:$U$2005,'Stock Moves'!$W$5:$W$2005,$A27,'Stock Moves'!$A$5:$A$2005,"&gt;="&amp;ReportFrom,'Stock Moves'!$A$5:$A$2005,"&lt;="&amp;ReportTo))</f>
        <v/>
      </c>
      <c r="AJ27" s="25">
        <f>IF($A27="",0,(SUMIFS('Journal Vouchers'!$I$5:$I$2005,'Journal Vouchers'!$H$5:$H$2005,$A27,'Journal Vouchers'!$B$5:$B$2005,"&lt;"&amp;ReportFrom))-(SUMIFS('Journal Vouchers'!$J$5:$J$2005,'Journal Vouchers'!$H$5:$H$2005,$A27,'Journal Vouchers'!$B$5:$B$2005,"&lt;"&amp;ReportFrom)))</f>
        <v/>
      </c>
      <c r="AK27" s="25">
        <f>IF($A27="",0,SUMIFS('Journal Vouchers'!$I$5:$I$2005,'Journal Vouchers'!$H$5:$H$2005,$A27,'Journal Vouchers'!$B$5:$B$2005,"&gt;="&amp;ReportFrom,'Journal Vouchers'!$B$5:$B$2005,"&lt;="&amp;ReportTo))</f>
        <v/>
      </c>
      <c r="AL27" s="25">
        <f>IF($A27="",0,SUMIFS('Journal Vouchers'!$J$5:$J$2005,'Journal Vouchers'!$H$5:$H$2005,$A27,'Journal Vouchers'!$B$5:$B$2005,"&gt;="&amp;ReportFrom,'Journal Vouchers'!$B$5:$B$2005,"&lt;="&amp;ReportTo))</f>
        <v/>
      </c>
    </row>
    <row r="28">
      <c r="A28" s="25">
        <f>IF('Chart of Accounts'!A28="","",'Chart of Accounts'!A28&amp;"")</f>
        <v/>
      </c>
      <c r="B28" s="25">
        <f>IF(A28="","",'Chart of Accounts'!B28)</f>
        <v/>
      </c>
      <c r="C28" s="25">
        <f>IF(A28="","",'Chart of Accounts'!C28)</f>
        <v/>
      </c>
      <c r="D28" s="25">
        <f>IF(A28="","",'Chart of Accounts'!D28)</f>
        <v/>
      </c>
      <c r="E28" s="26">
        <f>L28+O28+R28+U28+X28+AA28+AD28+AG28+AJ28</f>
        <v/>
      </c>
      <c r="F28" s="26">
        <f>M28+P28+S28+V28+Y28+AB28+AE28+AH28+AK28</f>
        <v/>
      </c>
      <c r="G28" s="26">
        <f>N28+Q28+T28+W28+Z28+AC28+AF28+AI28+AL28</f>
        <v/>
      </c>
      <c r="H28" s="26">
        <f>E28+F28-G28</f>
        <v/>
      </c>
      <c r="I28" s="26">
        <f>MAX(H28,0)</f>
        <v/>
      </c>
      <c r="J28" s="26">
        <f>MAX(-H28,0)</f>
        <v/>
      </c>
      <c r="L28" s="25">
        <f>IF($A28="",0,(SUMIFS('Direct Costs'!$R$5:$R$2005,'Direct Costs'!$V$5:$V$2005,$A28,'Direct Costs'!$A$5:$A$2005,"&lt;"&amp;ReportFrom)+SUMIFS('Direct Costs'!$S$5:$S$2005,'Direct Costs'!$Y$5:$Y$2005,$A28,'Direct Costs'!$A$5:$A$2005,"&lt;"&amp;ReportFrom))-(SUMIFS('Direct Costs'!$L$5:$L$2005,'Direct Costs'!$W$5:$W$2005,$A28,'Direct Costs'!$A$5:$A$2005,"&lt;"&amp;ReportFrom)+SUMIFS('Direct Costs'!$U$5:$U$2005,'Direct Costs'!$X$5:$X$2005,$A28,'Direct Costs'!$A$5:$A$2005,"&lt;"&amp;ReportFrom)+SUMIFS('Direct Costs'!$T$5:$T$2005,'Direct Costs'!$Z$5:$Z$2005,$A28,'Direct Costs'!$A$5:$A$2005,"&lt;"&amp;ReportFrom)))</f>
        <v/>
      </c>
      <c r="M28" s="25">
        <f>IF($A28="",0,SUMIFS('Direct Costs'!$R$5:$R$2005,'Direct Costs'!$V$5:$V$2005,$A28,'Direct Costs'!$A$5:$A$2005,"&gt;="&amp;ReportFrom,'Direct Costs'!$A$5:$A$2005,"&lt;="&amp;ReportTo)+SUMIFS('Direct Costs'!$S$5:$S$2005,'Direct Costs'!$Y$5:$Y$2005,$A28,'Direct Costs'!$A$5:$A$2005,"&gt;="&amp;ReportFrom,'Direct Costs'!$A$5:$A$2005,"&lt;="&amp;ReportTo))</f>
        <v/>
      </c>
      <c r="N28" s="25">
        <f>IF($A28="",0,SUMIFS('Direct Costs'!$L$5:$L$2005,'Direct Costs'!$W$5:$W$2005,$A28,'Direct Costs'!$A$5:$A$2005,"&gt;="&amp;ReportFrom,'Direct Costs'!$A$5:$A$2005,"&lt;="&amp;ReportTo)+SUMIFS('Direct Costs'!$U$5:$U$2005,'Direct Costs'!$X$5:$X$2005,$A28,'Direct Costs'!$A$5:$A$2005,"&gt;="&amp;ReportFrom,'Direct Costs'!$A$5:$A$2005,"&lt;="&amp;ReportTo)+SUMIFS('Direct Costs'!$T$5:$T$2005,'Direct Costs'!$Z$5:$Z$2005,$A28,'Direct Costs'!$A$5:$A$2005,"&gt;="&amp;ReportFrom,'Direct Costs'!$A$5:$A$2005,"&lt;="&amp;ReportTo))</f>
        <v/>
      </c>
      <c r="O28" s="25">
        <f>IF($A28="",0,(SUMIFS('Operating Expenses'!$F$5:$F$2005,'Operating Expenses'!$Q$5:$Q$2005,$A28,'Operating Expenses'!$A$5:$A$2005,"&lt;"&amp;ReportFrom)+SUMIFS('Operating Expenses'!$M$5:$M$2005,'Operating Expenses'!$T$5:$T$2005,$A28,'Operating Expenses'!$A$5:$A$2005,"&lt;"&amp;ReportFrom))-(SUMIFS('Operating Expenses'!$O$5:$O$2005,'Operating Expenses'!$R$5:$R$2005,$A28,'Operating Expenses'!$A$5:$A$2005,"&lt;"&amp;ReportFrom)+SUMIFS('Operating Expenses'!$P$5:$P$2005,'Operating Expenses'!$S$5:$S$2005,$A28,'Operating Expenses'!$A$5:$A$2005,"&lt;"&amp;ReportFrom)+SUMIFS('Operating Expenses'!$N$5:$N$2005,'Operating Expenses'!$U$5:$U$2005,$A28,'Operating Expenses'!$A$5:$A$2005,"&lt;"&amp;ReportFrom)))</f>
        <v/>
      </c>
      <c r="P28" s="25">
        <f>IF($A28="",0,SUMIFS('Operating Expenses'!$F$5:$F$2005,'Operating Expenses'!$Q$5:$Q$2005,$A28,'Operating Expenses'!$A$5:$A$2005,"&gt;="&amp;ReportFrom,'Operating Expenses'!$A$5:$A$2005,"&lt;="&amp;ReportTo)+SUMIFS('Operating Expenses'!$M$5:$M$2005,'Operating Expenses'!$T$5:$T$2005,$A28,'Operating Expenses'!$A$5:$A$2005,"&gt;="&amp;ReportFrom,'Operating Expenses'!$A$5:$A$2005,"&lt;="&amp;ReportTo))</f>
        <v/>
      </c>
      <c r="Q28" s="25">
        <f>IF($A28="",0,SUMIFS('Operating Expenses'!$O$5:$O$2005,'Operating Expenses'!$R$5:$R$2005,$A28,'Operating Expenses'!$A$5:$A$2005,"&gt;="&amp;ReportFrom,'Operating Expenses'!$A$5:$A$2005,"&lt;="&amp;ReportTo)+SUMIFS('Operating Expenses'!$P$5:$P$2005,'Operating Expenses'!$S$5:$S$2005,$A28,'Operating Expenses'!$A$5:$A$2005,"&gt;="&amp;ReportFrom,'Operating Expenses'!$A$5:$A$2005,"&lt;="&amp;ReportTo)+SUMIFS('Operating Expenses'!$N$5:$N$2005,'Operating Expenses'!$U$5:$U$2005,$A28,'Operating Expenses'!$A$5:$A$2005,"&gt;="&amp;ReportFrom,'Operating Expenses'!$A$5:$A$2005,"&lt;="&amp;ReportTo))</f>
        <v/>
      </c>
      <c r="R28" s="25">
        <f>IF($A28="",0,(SUMIFS('Payroll'!$O$5:$O$2005,'Payroll'!$Q$5:$Q$2005,$A28,'Payroll'!$A$5:$A$2005,"&lt;"&amp;ReportFrom))-(SUMIFS('Payroll'!$K$5:$K$2005,'Payroll'!$R$5:$R$2005,$A28,'Payroll'!$A$5:$A$2005,"&lt;"&amp;ReportFrom)+SUMIFS('Payroll'!$P$5:$P$2005,'Payroll'!$S$5:$S$2005,$A28,'Payroll'!$A$5:$A$2005,"&lt;"&amp;ReportFrom)))</f>
        <v/>
      </c>
      <c r="S28" s="25">
        <f>IF($A28="",0,SUMIFS('Payroll'!$O$5:$O$2005,'Payroll'!$Q$5:$Q$2005,$A28,'Payroll'!$A$5:$A$2005,"&gt;="&amp;ReportFrom,'Payroll'!$A$5:$A$2005,"&lt;="&amp;ReportTo))</f>
        <v/>
      </c>
      <c r="T28" s="25">
        <f>IF($A28="",0,SUMIFS('Payroll'!$K$5:$K$2005,'Payroll'!$R$5:$R$2005,$A28,'Payroll'!$A$5:$A$2005,"&gt;="&amp;ReportFrom,'Payroll'!$A$5:$A$2005,"&lt;="&amp;ReportTo)+SUMIFS('Payroll'!$P$5:$P$2005,'Payroll'!$S$5:$S$2005,$A28,'Payroll'!$A$5:$A$2005,"&gt;="&amp;ReportFrom,'Payroll'!$A$5:$A$2005,"&lt;="&amp;ReportTo))</f>
        <v/>
      </c>
      <c r="U28" s="25">
        <f>IF($A28="",0,(SUMIFS('Receipt Vouchers'!$F$5:$F$2005,'Receipt Vouchers'!$O$5:$O$2005,$A28,'Receipt Vouchers'!$A$5:$A$2005,"&lt;"&amp;ReportFrom)+SUMIFS('Receipt Vouchers'!$J$5:$J$2005,'Receipt Vouchers'!$Q$5:$Q$2005,$A28,'Receipt Vouchers'!$A$5:$A$2005,"&lt;"&amp;ReportFrom))-(SUMIFS('Receipt Vouchers'!$N$5:$N$2005,'Receipt Vouchers'!$P$5:$P$2005,$A28,'Receipt Vouchers'!$A$5:$A$2005,"&lt;"&amp;ReportFrom)+SUMIFS('Receipt Vouchers'!$M$5:$M$2005,'Receipt Vouchers'!$R$5:$R$2005,$A28,'Receipt Vouchers'!$A$5:$A$2005,"&lt;"&amp;ReportFrom)))</f>
        <v/>
      </c>
      <c r="V28" s="25">
        <f>IF($A28="",0,SUMIFS('Receipt Vouchers'!$F$5:$F$2005,'Receipt Vouchers'!$O$5:$O$2005,$A28,'Receipt Vouchers'!$A$5:$A$2005,"&gt;="&amp;ReportFrom,'Receipt Vouchers'!$A$5:$A$2005,"&lt;="&amp;ReportTo)+SUMIFS('Receipt Vouchers'!$J$5:$J$2005,'Receipt Vouchers'!$Q$5:$Q$2005,$A28,'Receipt Vouchers'!$A$5:$A$2005,"&gt;="&amp;ReportFrom,'Receipt Vouchers'!$A$5:$A$2005,"&lt;="&amp;ReportTo))</f>
        <v/>
      </c>
      <c r="W28" s="25">
        <f>IF($A28="",0,SUMIFS('Receipt Vouchers'!$N$5:$N$2005,'Receipt Vouchers'!$P$5:$P$2005,$A28,'Receipt Vouchers'!$A$5:$A$2005,"&gt;="&amp;ReportFrom,'Receipt Vouchers'!$A$5:$A$2005,"&lt;="&amp;ReportTo)+SUMIFS('Receipt Vouchers'!$M$5:$M$2005,'Receipt Vouchers'!$R$5:$R$2005,$A28,'Receipt Vouchers'!$A$5:$A$2005,"&gt;="&amp;ReportFrom,'Receipt Vouchers'!$A$5:$A$2005,"&lt;="&amp;ReportTo))</f>
        <v/>
      </c>
      <c r="X28" s="25">
        <f>IF($A28="",0,(SUMIFS('Sales Invoices'!$O$5:$O$2005,'Sales Invoices'!$P$5:$P$2005,$A28,'Sales Invoices'!$B$5:$B$2005,"&lt;"&amp;ReportFrom)+SUMIFS('Sales Invoices'!$N$5:$N$2005,'Sales Invoices'!$R$5:$R$2005,$A28,'Sales Invoices'!$B$5:$B$2005,"&lt;"&amp;ReportFrom))-(SUMIFS('Sales Invoices'!$L$5:$L$2005,'Sales Invoices'!$Q$5:$Q$2005,$A28,'Sales Invoices'!$B$5:$B$2005,"&lt;"&amp;ReportFrom)+SUMIFS('Sales Invoices'!$M$5:$M$2005,'Sales Invoices'!$S$5:$S$2005,$A28,'Sales Invoices'!$B$5:$B$2005,"&lt;"&amp;ReportFrom)))</f>
        <v/>
      </c>
      <c r="Y28" s="25">
        <f>IF($A28="",0,SUMIFS('Sales Invoices'!$O$5:$O$2005,'Sales Invoices'!$P$5:$P$2005,$A28,'Sales Invoices'!$B$5:$B$2005,"&gt;="&amp;ReportFrom,'Sales Invoices'!$B$5:$B$2005,"&lt;="&amp;ReportTo)+SUMIFS('Sales Invoices'!$N$5:$N$2005,'Sales Invoices'!$R$5:$R$2005,$A28,'Sales Invoices'!$B$5:$B$2005,"&gt;="&amp;ReportFrom,'Sales Invoices'!$B$5:$B$2005,"&lt;="&amp;ReportTo))</f>
        <v/>
      </c>
      <c r="Z28" s="25">
        <f>IF($A28="",0,SUMIFS('Sales Invoices'!$L$5:$L$2005,'Sales Invoices'!$Q$5:$Q$2005,$A28,'Sales Invoices'!$B$5:$B$2005,"&gt;="&amp;ReportFrom,'Sales Invoices'!$B$5:$B$2005,"&lt;="&amp;ReportTo)+SUMIFS('Sales Invoices'!$M$5:$M$2005,'Sales Invoices'!$S$5:$S$2005,$A28,'Sales Invoices'!$B$5:$B$2005,"&gt;="&amp;ReportFrom,'Sales Invoices'!$B$5:$B$2005,"&lt;="&amp;ReportTo))</f>
        <v/>
      </c>
      <c r="AA28" s="25">
        <f>IF($A28="",0,(SUMIFS('Payment Vouchers'!$D$5:$D$2005,'Payment Vouchers'!$J$5:$J$2005,$A28,'Payment Vouchers'!$A$5:$A$2005,"&lt;"&amp;ReportFrom))-(SUMIFS('Payment Vouchers'!$D$5:$D$2005,'Payment Vouchers'!$K$5:$K$2005,$A28,'Payment Vouchers'!$A$5:$A$2005,"&lt;"&amp;ReportFrom)))</f>
        <v/>
      </c>
      <c r="AB28" s="25">
        <f>IF($A28="",0,SUMIFS('Payment Vouchers'!$D$5:$D$2005,'Payment Vouchers'!$J$5:$J$2005,$A28,'Payment Vouchers'!$A$5:$A$2005,"&gt;="&amp;ReportFrom,'Payment Vouchers'!$A$5:$A$2005,"&lt;="&amp;ReportTo))</f>
        <v/>
      </c>
      <c r="AC28" s="25">
        <f>IF($A28="",0,SUMIFS('Payment Vouchers'!$D$5:$D$2005,'Payment Vouchers'!$K$5:$K$2005,$A28,'Payment Vouchers'!$A$5:$A$2005,"&gt;="&amp;ReportFrom,'Payment Vouchers'!$A$5:$A$2005,"&lt;="&amp;ReportTo))</f>
        <v/>
      </c>
      <c r="AD28" s="25">
        <f>IF($A28="",0,(SUMIFS('Partner Transactions'!$D$5:$D$2005,'Partner Transactions'!$L$5:$L$2005,$A28,'Partner Transactions'!$A$5:$A$2005,"&lt;"&amp;ReportFrom))-(SUMIFS('Partner Transactions'!$D$5:$D$2005,'Partner Transactions'!$M$5:$M$2005,$A28,'Partner Transactions'!$A$5:$A$2005,"&lt;"&amp;ReportFrom)))</f>
        <v/>
      </c>
      <c r="AE28" s="25">
        <f>IF($A28="",0,SUMIFS('Partner Transactions'!$D$5:$D$2005,'Partner Transactions'!$L$5:$L$2005,$A28,'Partner Transactions'!$A$5:$A$2005,"&gt;="&amp;ReportFrom,'Partner Transactions'!$A$5:$A$2005,"&lt;="&amp;ReportTo))</f>
        <v/>
      </c>
      <c r="AF28" s="25">
        <f>IF($A28="",0,SUMIFS('Partner Transactions'!$D$5:$D$2005,'Partner Transactions'!$M$5:$M$2005,$A28,'Partner Transactions'!$A$5:$A$2005,"&gt;="&amp;ReportFrom,'Partner Transactions'!$A$5:$A$2005,"&lt;="&amp;ReportTo))</f>
        <v/>
      </c>
      <c r="AG28" s="25">
        <f>IF($A28="",0,(SUMIFS('Stock Moves'!$S$5:$S$2005,'Stock Moves'!$AD$5:$AD$2005,$A28,'Stock Moves'!$A$5:$A$2005,"&lt;"&amp;ReportFrom)+SUMIFS('Stock Moves'!$T$5:$T$2005,'Stock Moves'!$V$5:$V$2005,$A28,'Stock Moves'!$A$5:$A$2005,"&lt;"&amp;ReportFrom))-(SUMIFS('Stock Moves'!$AF$5:$AF$2005,'Stock Moves'!$AE$5:$AE$2005,$A28,'Stock Moves'!$A$5:$A$2005,"&lt;"&amp;ReportFrom)+SUMIFS('Stock Moves'!$AC$5:$AC$2005,'Stock Moves'!$X$5:$X$2005,$A28,'Stock Moves'!$A$5:$A$2005,"&lt;"&amp;ReportFrom)+SUMIFS('Stock Moves'!$U$5:$U$2005,'Stock Moves'!$W$5:$W$2005,$A28,'Stock Moves'!$A$5:$A$2005,"&lt;"&amp;ReportFrom)))</f>
        <v/>
      </c>
      <c r="AH28" s="25">
        <f>IF($A28="",0,SUMIFS('Stock Moves'!$S$5:$S$2005,'Stock Moves'!$AD$5:$AD$2005,$A28,'Stock Moves'!$A$5:$A$2005,"&gt;="&amp;ReportFrom,'Stock Moves'!$A$5:$A$2005,"&lt;="&amp;ReportTo)+SUMIFS('Stock Moves'!$T$5:$T$2005,'Stock Moves'!$V$5:$V$2005,$A28,'Stock Moves'!$A$5:$A$2005,"&gt;="&amp;ReportFrom,'Stock Moves'!$A$5:$A$2005,"&lt;="&amp;ReportTo))</f>
        <v/>
      </c>
      <c r="AI28" s="25">
        <f>IF($A28="",0,SUMIFS('Stock Moves'!$AF$5:$AF$2005,'Stock Moves'!$AE$5:$AE$2005,$A28,'Stock Moves'!$A$5:$A$2005,"&gt;="&amp;ReportFrom,'Stock Moves'!$A$5:$A$2005,"&lt;="&amp;ReportTo)+SUMIFS('Stock Moves'!$AC$5:$AC$2005,'Stock Moves'!$X$5:$X$2005,$A28,'Stock Moves'!$A$5:$A$2005,"&gt;="&amp;ReportFrom,'Stock Moves'!$A$5:$A$2005,"&lt;="&amp;ReportTo)+SUMIFS('Stock Moves'!$U$5:$U$2005,'Stock Moves'!$W$5:$W$2005,$A28,'Stock Moves'!$A$5:$A$2005,"&gt;="&amp;ReportFrom,'Stock Moves'!$A$5:$A$2005,"&lt;="&amp;ReportTo))</f>
        <v/>
      </c>
      <c r="AJ28" s="25">
        <f>IF($A28="",0,(SUMIFS('Journal Vouchers'!$I$5:$I$2005,'Journal Vouchers'!$H$5:$H$2005,$A28,'Journal Vouchers'!$B$5:$B$2005,"&lt;"&amp;ReportFrom))-(SUMIFS('Journal Vouchers'!$J$5:$J$2005,'Journal Vouchers'!$H$5:$H$2005,$A28,'Journal Vouchers'!$B$5:$B$2005,"&lt;"&amp;ReportFrom)))</f>
        <v/>
      </c>
      <c r="AK28" s="25">
        <f>IF($A28="",0,SUMIFS('Journal Vouchers'!$I$5:$I$2005,'Journal Vouchers'!$H$5:$H$2005,$A28,'Journal Vouchers'!$B$5:$B$2005,"&gt;="&amp;ReportFrom,'Journal Vouchers'!$B$5:$B$2005,"&lt;="&amp;ReportTo))</f>
        <v/>
      </c>
      <c r="AL28" s="25">
        <f>IF($A28="",0,SUMIFS('Journal Vouchers'!$J$5:$J$2005,'Journal Vouchers'!$H$5:$H$2005,$A28,'Journal Vouchers'!$B$5:$B$2005,"&gt;="&amp;ReportFrom,'Journal Vouchers'!$B$5:$B$2005,"&lt;="&amp;ReportTo))</f>
        <v/>
      </c>
    </row>
    <row r="29">
      <c r="A29" s="25">
        <f>IF('Chart of Accounts'!A29="","",'Chart of Accounts'!A29&amp;"")</f>
        <v/>
      </c>
      <c r="B29" s="25">
        <f>IF(A29="","",'Chart of Accounts'!B29)</f>
        <v/>
      </c>
      <c r="C29" s="25">
        <f>IF(A29="","",'Chart of Accounts'!C29)</f>
        <v/>
      </c>
      <c r="D29" s="25">
        <f>IF(A29="","",'Chart of Accounts'!D29)</f>
        <v/>
      </c>
      <c r="E29" s="26">
        <f>L29+O29+R29+U29+X29+AA29+AD29+AG29+AJ29</f>
        <v/>
      </c>
      <c r="F29" s="26">
        <f>M29+P29+S29+V29+Y29+AB29+AE29+AH29+AK29</f>
        <v/>
      </c>
      <c r="G29" s="26">
        <f>N29+Q29+T29+W29+Z29+AC29+AF29+AI29+AL29</f>
        <v/>
      </c>
      <c r="H29" s="26">
        <f>E29+F29-G29</f>
        <v/>
      </c>
      <c r="I29" s="26">
        <f>MAX(H29,0)</f>
        <v/>
      </c>
      <c r="J29" s="26">
        <f>MAX(-H29,0)</f>
        <v/>
      </c>
      <c r="L29" s="25">
        <f>IF($A29="",0,(SUMIFS('Direct Costs'!$R$5:$R$2005,'Direct Costs'!$V$5:$V$2005,$A29,'Direct Costs'!$A$5:$A$2005,"&lt;"&amp;ReportFrom)+SUMIFS('Direct Costs'!$S$5:$S$2005,'Direct Costs'!$Y$5:$Y$2005,$A29,'Direct Costs'!$A$5:$A$2005,"&lt;"&amp;ReportFrom))-(SUMIFS('Direct Costs'!$L$5:$L$2005,'Direct Costs'!$W$5:$W$2005,$A29,'Direct Costs'!$A$5:$A$2005,"&lt;"&amp;ReportFrom)+SUMIFS('Direct Costs'!$U$5:$U$2005,'Direct Costs'!$X$5:$X$2005,$A29,'Direct Costs'!$A$5:$A$2005,"&lt;"&amp;ReportFrom)+SUMIFS('Direct Costs'!$T$5:$T$2005,'Direct Costs'!$Z$5:$Z$2005,$A29,'Direct Costs'!$A$5:$A$2005,"&lt;"&amp;ReportFrom)))</f>
        <v/>
      </c>
      <c r="M29" s="25">
        <f>IF($A29="",0,SUMIFS('Direct Costs'!$R$5:$R$2005,'Direct Costs'!$V$5:$V$2005,$A29,'Direct Costs'!$A$5:$A$2005,"&gt;="&amp;ReportFrom,'Direct Costs'!$A$5:$A$2005,"&lt;="&amp;ReportTo)+SUMIFS('Direct Costs'!$S$5:$S$2005,'Direct Costs'!$Y$5:$Y$2005,$A29,'Direct Costs'!$A$5:$A$2005,"&gt;="&amp;ReportFrom,'Direct Costs'!$A$5:$A$2005,"&lt;="&amp;ReportTo))</f>
        <v/>
      </c>
      <c r="N29" s="25">
        <f>IF($A29="",0,SUMIFS('Direct Costs'!$L$5:$L$2005,'Direct Costs'!$W$5:$W$2005,$A29,'Direct Costs'!$A$5:$A$2005,"&gt;="&amp;ReportFrom,'Direct Costs'!$A$5:$A$2005,"&lt;="&amp;ReportTo)+SUMIFS('Direct Costs'!$U$5:$U$2005,'Direct Costs'!$X$5:$X$2005,$A29,'Direct Costs'!$A$5:$A$2005,"&gt;="&amp;ReportFrom,'Direct Costs'!$A$5:$A$2005,"&lt;="&amp;ReportTo)+SUMIFS('Direct Costs'!$T$5:$T$2005,'Direct Costs'!$Z$5:$Z$2005,$A29,'Direct Costs'!$A$5:$A$2005,"&gt;="&amp;ReportFrom,'Direct Costs'!$A$5:$A$2005,"&lt;="&amp;ReportTo))</f>
        <v/>
      </c>
      <c r="O29" s="25">
        <f>IF($A29="",0,(SUMIFS('Operating Expenses'!$F$5:$F$2005,'Operating Expenses'!$Q$5:$Q$2005,$A29,'Operating Expenses'!$A$5:$A$2005,"&lt;"&amp;ReportFrom)+SUMIFS('Operating Expenses'!$M$5:$M$2005,'Operating Expenses'!$T$5:$T$2005,$A29,'Operating Expenses'!$A$5:$A$2005,"&lt;"&amp;ReportFrom))-(SUMIFS('Operating Expenses'!$O$5:$O$2005,'Operating Expenses'!$R$5:$R$2005,$A29,'Operating Expenses'!$A$5:$A$2005,"&lt;"&amp;ReportFrom)+SUMIFS('Operating Expenses'!$P$5:$P$2005,'Operating Expenses'!$S$5:$S$2005,$A29,'Operating Expenses'!$A$5:$A$2005,"&lt;"&amp;ReportFrom)+SUMIFS('Operating Expenses'!$N$5:$N$2005,'Operating Expenses'!$U$5:$U$2005,$A29,'Operating Expenses'!$A$5:$A$2005,"&lt;"&amp;ReportFrom)))</f>
        <v/>
      </c>
      <c r="P29" s="25">
        <f>IF($A29="",0,SUMIFS('Operating Expenses'!$F$5:$F$2005,'Operating Expenses'!$Q$5:$Q$2005,$A29,'Operating Expenses'!$A$5:$A$2005,"&gt;="&amp;ReportFrom,'Operating Expenses'!$A$5:$A$2005,"&lt;="&amp;ReportTo)+SUMIFS('Operating Expenses'!$M$5:$M$2005,'Operating Expenses'!$T$5:$T$2005,$A29,'Operating Expenses'!$A$5:$A$2005,"&gt;="&amp;ReportFrom,'Operating Expenses'!$A$5:$A$2005,"&lt;="&amp;ReportTo))</f>
        <v/>
      </c>
      <c r="Q29" s="25">
        <f>IF($A29="",0,SUMIFS('Operating Expenses'!$O$5:$O$2005,'Operating Expenses'!$R$5:$R$2005,$A29,'Operating Expenses'!$A$5:$A$2005,"&gt;="&amp;ReportFrom,'Operating Expenses'!$A$5:$A$2005,"&lt;="&amp;ReportTo)+SUMIFS('Operating Expenses'!$P$5:$P$2005,'Operating Expenses'!$S$5:$S$2005,$A29,'Operating Expenses'!$A$5:$A$2005,"&gt;="&amp;ReportFrom,'Operating Expenses'!$A$5:$A$2005,"&lt;="&amp;ReportTo)+SUMIFS('Operating Expenses'!$N$5:$N$2005,'Operating Expenses'!$U$5:$U$2005,$A29,'Operating Expenses'!$A$5:$A$2005,"&gt;="&amp;ReportFrom,'Operating Expenses'!$A$5:$A$2005,"&lt;="&amp;ReportTo))</f>
        <v/>
      </c>
      <c r="R29" s="25">
        <f>IF($A29="",0,(SUMIFS('Payroll'!$O$5:$O$2005,'Payroll'!$Q$5:$Q$2005,$A29,'Payroll'!$A$5:$A$2005,"&lt;"&amp;ReportFrom))-(SUMIFS('Payroll'!$K$5:$K$2005,'Payroll'!$R$5:$R$2005,$A29,'Payroll'!$A$5:$A$2005,"&lt;"&amp;ReportFrom)+SUMIFS('Payroll'!$P$5:$P$2005,'Payroll'!$S$5:$S$2005,$A29,'Payroll'!$A$5:$A$2005,"&lt;"&amp;ReportFrom)))</f>
        <v/>
      </c>
      <c r="S29" s="25">
        <f>IF($A29="",0,SUMIFS('Payroll'!$O$5:$O$2005,'Payroll'!$Q$5:$Q$2005,$A29,'Payroll'!$A$5:$A$2005,"&gt;="&amp;ReportFrom,'Payroll'!$A$5:$A$2005,"&lt;="&amp;ReportTo))</f>
        <v/>
      </c>
      <c r="T29" s="25">
        <f>IF($A29="",0,SUMIFS('Payroll'!$K$5:$K$2005,'Payroll'!$R$5:$R$2005,$A29,'Payroll'!$A$5:$A$2005,"&gt;="&amp;ReportFrom,'Payroll'!$A$5:$A$2005,"&lt;="&amp;ReportTo)+SUMIFS('Payroll'!$P$5:$P$2005,'Payroll'!$S$5:$S$2005,$A29,'Payroll'!$A$5:$A$2005,"&gt;="&amp;ReportFrom,'Payroll'!$A$5:$A$2005,"&lt;="&amp;ReportTo))</f>
        <v/>
      </c>
      <c r="U29" s="25">
        <f>IF($A29="",0,(SUMIFS('Receipt Vouchers'!$F$5:$F$2005,'Receipt Vouchers'!$O$5:$O$2005,$A29,'Receipt Vouchers'!$A$5:$A$2005,"&lt;"&amp;ReportFrom)+SUMIFS('Receipt Vouchers'!$J$5:$J$2005,'Receipt Vouchers'!$Q$5:$Q$2005,$A29,'Receipt Vouchers'!$A$5:$A$2005,"&lt;"&amp;ReportFrom))-(SUMIFS('Receipt Vouchers'!$N$5:$N$2005,'Receipt Vouchers'!$P$5:$P$2005,$A29,'Receipt Vouchers'!$A$5:$A$2005,"&lt;"&amp;ReportFrom)+SUMIFS('Receipt Vouchers'!$M$5:$M$2005,'Receipt Vouchers'!$R$5:$R$2005,$A29,'Receipt Vouchers'!$A$5:$A$2005,"&lt;"&amp;ReportFrom)))</f>
        <v/>
      </c>
      <c r="V29" s="25">
        <f>IF($A29="",0,SUMIFS('Receipt Vouchers'!$F$5:$F$2005,'Receipt Vouchers'!$O$5:$O$2005,$A29,'Receipt Vouchers'!$A$5:$A$2005,"&gt;="&amp;ReportFrom,'Receipt Vouchers'!$A$5:$A$2005,"&lt;="&amp;ReportTo)+SUMIFS('Receipt Vouchers'!$J$5:$J$2005,'Receipt Vouchers'!$Q$5:$Q$2005,$A29,'Receipt Vouchers'!$A$5:$A$2005,"&gt;="&amp;ReportFrom,'Receipt Vouchers'!$A$5:$A$2005,"&lt;="&amp;ReportTo))</f>
        <v/>
      </c>
      <c r="W29" s="25">
        <f>IF($A29="",0,SUMIFS('Receipt Vouchers'!$N$5:$N$2005,'Receipt Vouchers'!$P$5:$P$2005,$A29,'Receipt Vouchers'!$A$5:$A$2005,"&gt;="&amp;ReportFrom,'Receipt Vouchers'!$A$5:$A$2005,"&lt;="&amp;ReportTo)+SUMIFS('Receipt Vouchers'!$M$5:$M$2005,'Receipt Vouchers'!$R$5:$R$2005,$A29,'Receipt Vouchers'!$A$5:$A$2005,"&gt;="&amp;ReportFrom,'Receipt Vouchers'!$A$5:$A$2005,"&lt;="&amp;ReportTo))</f>
        <v/>
      </c>
      <c r="X29" s="25">
        <f>IF($A29="",0,(SUMIFS('Sales Invoices'!$O$5:$O$2005,'Sales Invoices'!$P$5:$P$2005,$A29,'Sales Invoices'!$B$5:$B$2005,"&lt;"&amp;ReportFrom)+SUMIFS('Sales Invoices'!$N$5:$N$2005,'Sales Invoices'!$R$5:$R$2005,$A29,'Sales Invoices'!$B$5:$B$2005,"&lt;"&amp;ReportFrom))-(SUMIFS('Sales Invoices'!$L$5:$L$2005,'Sales Invoices'!$Q$5:$Q$2005,$A29,'Sales Invoices'!$B$5:$B$2005,"&lt;"&amp;ReportFrom)+SUMIFS('Sales Invoices'!$M$5:$M$2005,'Sales Invoices'!$S$5:$S$2005,$A29,'Sales Invoices'!$B$5:$B$2005,"&lt;"&amp;ReportFrom)))</f>
        <v/>
      </c>
      <c r="Y29" s="25">
        <f>IF($A29="",0,SUMIFS('Sales Invoices'!$O$5:$O$2005,'Sales Invoices'!$P$5:$P$2005,$A29,'Sales Invoices'!$B$5:$B$2005,"&gt;="&amp;ReportFrom,'Sales Invoices'!$B$5:$B$2005,"&lt;="&amp;ReportTo)+SUMIFS('Sales Invoices'!$N$5:$N$2005,'Sales Invoices'!$R$5:$R$2005,$A29,'Sales Invoices'!$B$5:$B$2005,"&gt;="&amp;ReportFrom,'Sales Invoices'!$B$5:$B$2005,"&lt;="&amp;ReportTo))</f>
        <v/>
      </c>
      <c r="Z29" s="25">
        <f>IF($A29="",0,SUMIFS('Sales Invoices'!$L$5:$L$2005,'Sales Invoices'!$Q$5:$Q$2005,$A29,'Sales Invoices'!$B$5:$B$2005,"&gt;="&amp;ReportFrom,'Sales Invoices'!$B$5:$B$2005,"&lt;="&amp;ReportTo)+SUMIFS('Sales Invoices'!$M$5:$M$2005,'Sales Invoices'!$S$5:$S$2005,$A29,'Sales Invoices'!$B$5:$B$2005,"&gt;="&amp;ReportFrom,'Sales Invoices'!$B$5:$B$2005,"&lt;="&amp;ReportTo))</f>
        <v/>
      </c>
      <c r="AA29" s="25">
        <f>IF($A29="",0,(SUMIFS('Payment Vouchers'!$D$5:$D$2005,'Payment Vouchers'!$J$5:$J$2005,$A29,'Payment Vouchers'!$A$5:$A$2005,"&lt;"&amp;ReportFrom))-(SUMIFS('Payment Vouchers'!$D$5:$D$2005,'Payment Vouchers'!$K$5:$K$2005,$A29,'Payment Vouchers'!$A$5:$A$2005,"&lt;"&amp;ReportFrom)))</f>
        <v/>
      </c>
      <c r="AB29" s="25">
        <f>IF($A29="",0,SUMIFS('Payment Vouchers'!$D$5:$D$2005,'Payment Vouchers'!$J$5:$J$2005,$A29,'Payment Vouchers'!$A$5:$A$2005,"&gt;="&amp;ReportFrom,'Payment Vouchers'!$A$5:$A$2005,"&lt;="&amp;ReportTo))</f>
        <v/>
      </c>
      <c r="AC29" s="25">
        <f>IF($A29="",0,SUMIFS('Payment Vouchers'!$D$5:$D$2005,'Payment Vouchers'!$K$5:$K$2005,$A29,'Payment Vouchers'!$A$5:$A$2005,"&gt;="&amp;ReportFrom,'Payment Vouchers'!$A$5:$A$2005,"&lt;="&amp;ReportTo))</f>
        <v/>
      </c>
      <c r="AD29" s="25">
        <f>IF($A29="",0,(SUMIFS('Partner Transactions'!$D$5:$D$2005,'Partner Transactions'!$L$5:$L$2005,$A29,'Partner Transactions'!$A$5:$A$2005,"&lt;"&amp;ReportFrom))-(SUMIFS('Partner Transactions'!$D$5:$D$2005,'Partner Transactions'!$M$5:$M$2005,$A29,'Partner Transactions'!$A$5:$A$2005,"&lt;"&amp;ReportFrom)))</f>
        <v/>
      </c>
      <c r="AE29" s="25">
        <f>IF($A29="",0,SUMIFS('Partner Transactions'!$D$5:$D$2005,'Partner Transactions'!$L$5:$L$2005,$A29,'Partner Transactions'!$A$5:$A$2005,"&gt;="&amp;ReportFrom,'Partner Transactions'!$A$5:$A$2005,"&lt;="&amp;ReportTo))</f>
        <v/>
      </c>
      <c r="AF29" s="25">
        <f>IF($A29="",0,SUMIFS('Partner Transactions'!$D$5:$D$2005,'Partner Transactions'!$M$5:$M$2005,$A29,'Partner Transactions'!$A$5:$A$2005,"&gt;="&amp;ReportFrom,'Partner Transactions'!$A$5:$A$2005,"&lt;="&amp;ReportTo))</f>
        <v/>
      </c>
      <c r="AG29" s="25">
        <f>IF($A29="",0,(SUMIFS('Stock Moves'!$S$5:$S$2005,'Stock Moves'!$AD$5:$AD$2005,$A29,'Stock Moves'!$A$5:$A$2005,"&lt;"&amp;ReportFrom)+SUMIFS('Stock Moves'!$T$5:$T$2005,'Stock Moves'!$V$5:$V$2005,$A29,'Stock Moves'!$A$5:$A$2005,"&lt;"&amp;ReportFrom))-(SUMIFS('Stock Moves'!$AF$5:$AF$2005,'Stock Moves'!$AE$5:$AE$2005,$A29,'Stock Moves'!$A$5:$A$2005,"&lt;"&amp;ReportFrom)+SUMIFS('Stock Moves'!$AC$5:$AC$2005,'Stock Moves'!$X$5:$X$2005,$A29,'Stock Moves'!$A$5:$A$2005,"&lt;"&amp;ReportFrom)+SUMIFS('Stock Moves'!$U$5:$U$2005,'Stock Moves'!$W$5:$W$2005,$A29,'Stock Moves'!$A$5:$A$2005,"&lt;"&amp;ReportFrom)))</f>
        <v/>
      </c>
      <c r="AH29" s="25">
        <f>IF($A29="",0,SUMIFS('Stock Moves'!$S$5:$S$2005,'Stock Moves'!$AD$5:$AD$2005,$A29,'Stock Moves'!$A$5:$A$2005,"&gt;="&amp;ReportFrom,'Stock Moves'!$A$5:$A$2005,"&lt;="&amp;ReportTo)+SUMIFS('Stock Moves'!$T$5:$T$2005,'Stock Moves'!$V$5:$V$2005,$A29,'Stock Moves'!$A$5:$A$2005,"&gt;="&amp;ReportFrom,'Stock Moves'!$A$5:$A$2005,"&lt;="&amp;ReportTo))</f>
        <v/>
      </c>
      <c r="AI29" s="25">
        <f>IF($A29="",0,SUMIFS('Stock Moves'!$AF$5:$AF$2005,'Stock Moves'!$AE$5:$AE$2005,$A29,'Stock Moves'!$A$5:$A$2005,"&gt;="&amp;ReportFrom,'Stock Moves'!$A$5:$A$2005,"&lt;="&amp;ReportTo)+SUMIFS('Stock Moves'!$AC$5:$AC$2005,'Stock Moves'!$X$5:$X$2005,$A29,'Stock Moves'!$A$5:$A$2005,"&gt;="&amp;ReportFrom,'Stock Moves'!$A$5:$A$2005,"&lt;="&amp;ReportTo)+SUMIFS('Stock Moves'!$U$5:$U$2005,'Stock Moves'!$W$5:$W$2005,$A29,'Stock Moves'!$A$5:$A$2005,"&gt;="&amp;ReportFrom,'Stock Moves'!$A$5:$A$2005,"&lt;="&amp;ReportTo))</f>
        <v/>
      </c>
      <c r="AJ29" s="25">
        <f>IF($A29="",0,(SUMIFS('Journal Vouchers'!$I$5:$I$2005,'Journal Vouchers'!$H$5:$H$2005,$A29,'Journal Vouchers'!$B$5:$B$2005,"&lt;"&amp;ReportFrom))-(SUMIFS('Journal Vouchers'!$J$5:$J$2005,'Journal Vouchers'!$H$5:$H$2005,$A29,'Journal Vouchers'!$B$5:$B$2005,"&lt;"&amp;ReportFrom)))</f>
        <v/>
      </c>
      <c r="AK29" s="25">
        <f>IF($A29="",0,SUMIFS('Journal Vouchers'!$I$5:$I$2005,'Journal Vouchers'!$H$5:$H$2005,$A29,'Journal Vouchers'!$B$5:$B$2005,"&gt;="&amp;ReportFrom,'Journal Vouchers'!$B$5:$B$2005,"&lt;="&amp;ReportTo))</f>
        <v/>
      </c>
      <c r="AL29" s="25">
        <f>IF($A29="",0,SUMIFS('Journal Vouchers'!$J$5:$J$2005,'Journal Vouchers'!$H$5:$H$2005,$A29,'Journal Vouchers'!$B$5:$B$2005,"&gt;="&amp;ReportFrom,'Journal Vouchers'!$B$5:$B$2005,"&lt;="&amp;ReportTo))</f>
        <v/>
      </c>
    </row>
    <row r="30">
      <c r="A30" s="25">
        <f>IF('Chart of Accounts'!A30="","",'Chart of Accounts'!A30&amp;"")</f>
        <v/>
      </c>
      <c r="B30" s="25">
        <f>IF(A30="","",'Chart of Accounts'!B30)</f>
        <v/>
      </c>
      <c r="C30" s="25">
        <f>IF(A30="","",'Chart of Accounts'!C30)</f>
        <v/>
      </c>
      <c r="D30" s="25">
        <f>IF(A30="","",'Chart of Accounts'!D30)</f>
        <v/>
      </c>
      <c r="E30" s="26">
        <f>L30+O30+R30+U30+X30+AA30+AD30+AG30+AJ30</f>
        <v/>
      </c>
      <c r="F30" s="26">
        <f>M30+P30+S30+V30+Y30+AB30+AE30+AH30+AK30</f>
        <v/>
      </c>
      <c r="G30" s="26">
        <f>N30+Q30+T30+W30+Z30+AC30+AF30+AI30+AL30</f>
        <v/>
      </c>
      <c r="H30" s="26">
        <f>E30+F30-G30</f>
        <v/>
      </c>
      <c r="I30" s="26">
        <f>MAX(H30,0)</f>
        <v/>
      </c>
      <c r="J30" s="26">
        <f>MAX(-H30,0)</f>
        <v/>
      </c>
      <c r="L30" s="25">
        <f>IF($A30="",0,(SUMIFS('Direct Costs'!$R$5:$R$2005,'Direct Costs'!$V$5:$V$2005,$A30,'Direct Costs'!$A$5:$A$2005,"&lt;"&amp;ReportFrom)+SUMIFS('Direct Costs'!$S$5:$S$2005,'Direct Costs'!$Y$5:$Y$2005,$A30,'Direct Costs'!$A$5:$A$2005,"&lt;"&amp;ReportFrom))-(SUMIFS('Direct Costs'!$L$5:$L$2005,'Direct Costs'!$W$5:$W$2005,$A30,'Direct Costs'!$A$5:$A$2005,"&lt;"&amp;ReportFrom)+SUMIFS('Direct Costs'!$U$5:$U$2005,'Direct Costs'!$X$5:$X$2005,$A30,'Direct Costs'!$A$5:$A$2005,"&lt;"&amp;ReportFrom)+SUMIFS('Direct Costs'!$T$5:$T$2005,'Direct Costs'!$Z$5:$Z$2005,$A30,'Direct Costs'!$A$5:$A$2005,"&lt;"&amp;ReportFrom)))</f>
        <v/>
      </c>
      <c r="M30" s="25">
        <f>IF($A30="",0,SUMIFS('Direct Costs'!$R$5:$R$2005,'Direct Costs'!$V$5:$V$2005,$A30,'Direct Costs'!$A$5:$A$2005,"&gt;="&amp;ReportFrom,'Direct Costs'!$A$5:$A$2005,"&lt;="&amp;ReportTo)+SUMIFS('Direct Costs'!$S$5:$S$2005,'Direct Costs'!$Y$5:$Y$2005,$A30,'Direct Costs'!$A$5:$A$2005,"&gt;="&amp;ReportFrom,'Direct Costs'!$A$5:$A$2005,"&lt;="&amp;ReportTo))</f>
        <v/>
      </c>
      <c r="N30" s="25">
        <f>IF($A30="",0,SUMIFS('Direct Costs'!$L$5:$L$2005,'Direct Costs'!$W$5:$W$2005,$A30,'Direct Costs'!$A$5:$A$2005,"&gt;="&amp;ReportFrom,'Direct Costs'!$A$5:$A$2005,"&lt;="&amp;ReportTo)+SUMIFS('Direct Costs'!$U$5:$U$2005,'Direct Costs'!$X$5:$X$2005,$A30,'Direct Costs'!$A$5:$A$2005,"&gt;="&amp;ReportFrom,'Direct Costs'!$A$5:$A$2005,"&lt;="&amp;ReportTo)+SUMIFS('Direct Costs'!$T$5:$T$2005,'Direct Costs'!$Z$5:$Z$2005,$A30,'Direct Costs'!$A$5:$A$2005,"&gt;="&amp;ReportFrom,'Direct Costs'!$A$5:$A$2005,"&lt;="&amp;ReportTo))</f>
        <v/>
      </c>
      <c r="O30" s="25">
        <f>IF($A30="",0,(SUMIFS('Operating Expenses'!$F$5:$F$2005,'Operating Expenses'!$Q$5:$Q$2005,$A30,'Operating Expenses'!$A$5:$A$2005,"&lt;"&amp;ReportFrom)+SUMIFS('Operating Expenses'!$M$5:$M$2005,'Operating Expenses'!$T$5:$T$2005,$A30,'Operating Expenses'!$A$5:$A$2005,"&lt;"&amp;ReportFrom))-(SUMIFS('Operating Expenses'!$O$5:$O$2005,'Operating Expenses'!$R$5:$R$2005,$A30,'Operating Expenses'!$A$5:$A$2005,"&lt;"&amp;ReportFrom)+SUMIFS('Operating Expenses'!$P$5:$P$2005,'Operating Expenses'!$S$5:$S$2005,$A30,'Operating Expenses'!$A$5:$A$2005,"&lt;"&amp;ReportFrom)+SUMIFS('Operating Expenses'!$N$5:$N$2005,'Operating Expenses'!$U$5:$U$2005,$A30,'Operating Expenses'!$A$5:$A$2005,"&lt;"&amp;ReportFrom)))</f>
        <v/>
      </c>
      <c r="P30" s="25">
        <f>IF($A30="",0,SUMIFS('Operating Expenses'!$F$5:$F$2005,'Operating Expenses'!$Q$5:$Q$2005,$A30,'Operating Expenses'!$A$5:$A$2005,"&gt;="&amp;ReportFrom,'Operating Expenses'!$A$5:$A$2005,"&lt;="&amp;ReportTo)+SUMIFS('Operating Expenses'!$M$5:$M$2005,'Operating Expenses'!$T$5:$T$2005,$A30,'Operating Expenses'!$A$5:$A$2005,"&gt;="&amp;ReportFrom,'Operating Expenses'!$A$5:$A$2005,"&lt;="&amp;ReportTo))</f>
        <v/>
      </c>
      <c r="Q30" s="25">
        <f>IF($A30="",0,SUMIFS('Operating Expenses'!$O$5:$O$2005,'Operating Expenses'!$R$5:$R$2005,$A30,'Operating Expenses'!$A$5:$A$2005,"&gt;="&amp;ReportFrom,'Operating Expenses'!$A$5:$A$2005,"&lt;="&amp;ReportTo)+SUMIFS('Operating Expenses'!$P$5:$P$2005,'Operating Expenses'!$S$5:$S$2005,$A30,'Operating Expenses'!$A$5:$A$2005,"&gt;="&amp;ReportFrom,'Operating Expenses'!$A$5:$A$2005,"&lt;="&amp;ReportTo)+SUMIFS('Operating Expenses'!$N$5:$N$2005,'Operating Expenses'!$U$5:$U$2005,$A30,'Operating Expenses'!$A$5:$A$2005,"&gt;="&amp;ReportFrom,'Operating Expenses'!$A$5:$A$2005,"&lt;="&amp;ReportTo))</f>
        <v/>
      </c>
      <c r="R30" s="25">
        <f>IF($A30="",0,(SUMIFS('Payroll'!$O$5:$O$2005,'Payroll'!$Q$5:$Q$2005,$A30,'Payroll'!$A$5:$A$2005,"&lt;"&amp;ReportFrom))-(SUMIFS('Payroll'!$K$5:$K$2005,'Payroll'!$R$5:$R$2005,$A30,'Payroll'!$A$5:$A$2005,"&lt;"&amp;ReportFrom)+SUMIFS('Payroll'!$P$5:$P$2005,'Payroll'!$S$5:$S$2005,$A30,'Payroll'!$A$5:$A$2005,"&lt;"&amp;ReportFrom)))</f>
        <v/>
      </c>
      <c r="S30" s="25">
        <f>IF($A30="",0,SUMIFS('Payroll'!$O$5:$O$2005,'Payroll'!$Q$5:$Q$2005,$A30,'Payroll'!$A$5:$A$2005,"&gt;="&amp;ReportFrom,'Payroll'!$A$5:$A$2005,"&lt;="&amp;ReportTo))</f>
        <v/>
      </c>
      <c r="T30" s="25">
        <f>IF($A30="",0,SUMIFS('Payroll'!$K$5:$K$2005,'Payroll'!$R$5:$R$2005,$A30,'Payroll'!$A$5:$A$2005,"&gt;="&amp;ReportFrom,'Payroll'!$A$5:$A$2005,"&lt;="&amp;ReportTo)+SUMIFS('Payroll'!$P$5:$P$2005,'Payroll'!$S$5:$S$2005,$A30,'Payroll'!$A$5:$A$2005,"&gt;="&amp;ReportFrom,'Payroll'!$A$5:$A$2005,"&lt;="&amp;ReportTo))</f>
        <v/>
      </c>
      <c r="U30" s="25">
        <f>IF($A30="",0,(SUMIFS('Receipt Vouchers'!$F$5:$F$2005,'Receipt Vouchers'!$O$5:$O$2005,$A30,'Receipt Vouchers'!$A$5:$A$2005,"&lt;"&amp;ReportFrom)+SUMIFS('Receipt Vouchers'!$J$5:$J$2005,'Receipt Vouchers'!$Q$5:$Q$2005,$A30,'Receipt Vouchers'!$A$5:$A$2005,"&lt;"&amp;ReportFrom))-(SUMIFS('Receipt Vouchers'!$N$5:$N$2005,'Receipt Vouchers'!$P$5:$P$2005,$A30,'Receipt Vouchers'!$A$5:$A$2005,"&lt;"&amp;ReportFrom)+SUMIFS('Receipt Vouchers'!$M$5:$M$2005,'Receipt Vouchers'!$R$5:$R$2005,$A30,'Receipt Vouchers'!$A$5:$A$2005,"&lt;"&amp;ReportFrom)))</f>
        <v/>
      </c>
      <c r="V30" s="25">
        <f>IF($A30="",0,SUMIFS('Receipt Vouchers'!$F$5:$F$2005,'Receipt Vouchers'!$O$5:$O$2005,$A30,'Receipt Vouchers'!$A$5:$A$2005,"&gt;="&amp;ReportFrom,'Receipt Vouchers'!$A$5:$A$2005,"&lt;="&amp;ReportTo)+SUMIFS('Receipt Vouchers'!$J$5:$J$2005,'Receipt Vouchers'!$Q$5:$Q$2005,$A30,'Receipt Vouchers'!$A$5:$A$2005,"&gt;="&amp;ReportFrom,'Receipt Vouchers'!$A$5:$A$2005,"&lt;="&amp;ReportTo))</f>
        <v/>
      </c>
      <c r="W30" s="25">
        <f>IF($A30="",0,SUMIFS('Receipt Vouchers'!$N$5:$N$2005,'Receipt Vouchers'!$P$5:$P$2005,$A30,'Receipt Vouchers'!$A$5:$A$2005,"&gt;="&amp;ReportFrom,'Receipt Vouchers'!$A$5:$A$2005,"&lt;="&amp;ReportTo)+SUMIFS('Receipt Vouchers'!$M$5:$M$2005,'Receipt Vouchers'!$R$5:$R$2005,$A30,'Receipt Vouchers'!$A$5:$A$2005,"&gt;="&amp;ReportFrom,'Receipt Vouchers'!$A$5:$A$2005,"&lt;="&amp;ReportTo))</f>
        <v/>
      </c>
      <c r="X30" s="25">
        <f>IF($A30="",0,(SUMIFS('Sales Invoices'!$O$5:$O$2005,'Sales Invoices'!$P$5:$P$2005,$A30,'Sales Invoices'!$B$5:$B$2005,"&lt;"&amp;ReportFrom)+SUMIFS('Sales Invoices'!$N$5:$N$2005,'Sales Invoices'!$R$5:$R$2005,$A30,'Sales Invoices'!$B$5:$B$2005,"&lt;"&amp;ReportFrom))-(SUMIFS('Sales Invoices'!$L$5:$L$2005,'Sales Invoices'!$Q$5:$Q$2005,$A30,'Sales Invoices'!$B$5:$B$2005,"&lt;"&amp;ReportFrom)+SUMIFS('Sales Invoices'!$M$5:$M$2005,'Sales Invoices'!$S$5:$S$2005,$A30,'Sales Invoices'!$B$5:$B$2005,"&lt;"&amp;ReportFrom)))</f>
        <v/>
      </c>
      <c r="Y30" s="25">
        <f>IF($A30="",0,SUMIFS('Sales Invoices'!$O$5:$O$2005,'Sales Invoices'!$P$5:$P$2005,$A30,'Sales Invoices'!$B$5:$B$2005,"&gt;="&amp;ReportFrom,'Sales Invoices'!$B$5:$B$2005,"&lt;="&amp;ReportTo)+SUMIFS('Sales Invoices'!$N$5:$N$2005,'Sales Invoices'!$R$5:$R$2005,$A30,'Sales Invoices'!$B$5:$B$2005,"&gt;="&amp;ReportFrom,'Sales Invoices'!$B$5:$B$2005,"&lt;="&amp;ReportTo))</f>
        <v/>
      </c>
      <c r="Z30" s="25">
        <f>IF($A30="",0,SUMIFS('Sales Invoices'!$L$5:$L$2005,'Sales Invoices'!$Q$5:$Q$2005,$A30,'Sales Invoices'!$B$5:$B$2005,"&gt;="&amp;ReportFrom,'Sales Invoices'!$B$5:$B$2005,"&lt;="&amp;ReportTo)+SUMIFS('Sales Invoices'!$M$5:$M$2005,'Sales Invoices'!$S$5:$S$2005,$A30,'Sales Invoices'!$B$5:$B$2005,"&gt;="&amp;ReportFrom,'Sales Invoices'!$B$5:$B$2005,"&lt;="&amp;ReportTo))</f>
        <v/>
      </c>
      <c r="AA30" s="25">
        <f>IF($A30="",0,(SUMIFS('Payment Vouchers'!$D$5:$D$2005,'Payment Vouchers'!$J$5:$J$2005,$A30,'Payment Vouchers'!$A$5:$A$2005,"&lt;"&amp;ReportFrom))-(SUMIFS('Payment Vouchers'!$D$5:$D$2005,'Payment Vouchers'!$K$5:$K$2005,$A30,'Payment Vouchers'!$A$5:$A$2005,"&lt;"&amp;ReportFrom)))</f>
        <v/>
      </c>
      <c r="AB30" s="25">
        <f>IF($A30="",0,SUMIFS('Payment Vouchers'!$D$5:$D$2005,'Payment Vouchers'!$J$5:$J$2005,$A30,'Payment Vouchers'!$A$5:$A$2005,"&gt;="&amp;ReportFrom,'Payment Vouchers'!$A$5:$A$2005,"&lt;="&amp;ReportTo))</f>
        <v/>
      </c>
      <c r="AC30" s="25">
        <f>IF($A30="",0,SUMIFS('Payment Vouchers'!$D$5:$D$2005,'Payment Vouchers'!$K$5:$K$2005,$A30,'Payment Vouchers'!$A$5:$A$2005,"&gt;="&amp;ReportFrom,'Payment Vouchers'!$A$5:$A$2005,"&lt;="&amp;ReportTo))</f>
        <v/>
      </c>
      <c r="AD30" s="25">
        <f>IF($A30="",0,(SUMIFS('Partner Transactions'!$D$5:$D$2005,'Partner Transactions'!$L$5:$L$2005,$A30,'Partner Transactions'!$A$5:$A$2005,"&lt;"&amp;ReportFrom))-(SUMIFS('Partner Transactions'!$D$5:$D$2005,'Partner Transactions'!$M$5:$M$2005,$A30,'Partner Transactions'!$A$5:$A$2005,"&lt;"&amp;ReportFrom)))</f>
        <v/>
      </c>
      <c r="AE30" s="25">
        <f>IF($A30="",0,SUMIFS('Partner Transactions'!$D$5:$D$2005,'Partner Transactions'!$L$5:$L$2005,$A30,'Partner Transactions'!$A$5:$A$2005,"&gt;="&amp;ReportFrom,'Partner Transactions'!$A$5:$A$2005,"&lt;="&amp;ReportTo))</f>
        <v/>
      </c>
      <c r="AF30" s="25">
        <f>IF($A30="",0,SUMIFS('Partner Transactions'!$D$5:$D$2005,'Partner Transactions'!$M$5:$M$2005,$A30,'Partner Transactions'!$A$5:$A$2005,"&gt;="&amp;ReportFrom,'Partner Transactions'!$A$5:$A$2005,"&lt;="&amp;ReportTo))</f>
        <v/>
      </c>
      <c r="AG30" s="25">
        <f>IF($A30="",0,(SUMIFS('Stock Moves'!$S$5:$S$2005,'Stock Moves'!$AD$5:$AD$2005,$A30,'Stock Moves'!$A$5:$A$2005,"&lt;"&amp;ReportFrom)+SUMIFS('Stock Moves'!$T$5:$T$2005,'Stock Moves'!$V$5:$V$2005,$A30,'Stock Moves'!$A$5:$A$2005,"&lt;"&amp;ReportFrom))-(SUMIFS('Stock Moves'!$AF$5:$AF$2005,'Stock Moves'!$AE$5:$AE$2005,$A30,'Stock Moves'!$A$5:$A$2005,"&lt;"&amp;ReportFrom)+SUMIFS('Stock Moves'!$AC$5:$AC$2005,'Stock Moves'!$X$5:$X$2005,$A30,'Stock Moves'!$A$5:$A$2005,"&lt;"&amp;ReportFrom)+SUMIFS('Stock Moves'!$U$5:$U$2005,'Stock Moves'!$W$5:$W$2005,$A30,'Stock Moves'!$A$5:$A$2005,"&lt;"&amp;ReportFrom)))</f>
        <v/>
      </c>
      <c r="AH30" s="25">
        <f>IF($A30="",0,SUMIFS('Stock Moves'!$S$5:$S$2005,'Stock Moves'!$AD$5:$AD$2005,$A30,'Stock Moves'!$A$5:$A$2005,"&gt;="&amp;ReportFrom,'Stock Moves'!$A$5:$A$2005,"&lt;="&amp;ReportTo)+SUMIFS('Stock Moves'!$T$5:$T$2005,'Stock Moves'!$V$5:$V$2005,$A30,'Stock Moves'!$A$5:$A$2005,"&gt;="&amp;ReportFrom,'Stock Moves'!$A$5:$A$2005,"&lt;="&amp;ReportTo))</f>
        <v/>
      </c>
      <c r="AI30" s="25">
        <f>IF($A30="",0,SUMIFS('Stock Moves'!$AF$5:$AF$2005,'Stock Moves'!$AE$5:$AE$2005,$A30,'Stock Moves'!$A$5:$A$2005,"&gt;="&amp;ReportFrom,'Stock Moves'!$A$5:$A$2005,"&lt;="&amp;ReportTo)+SUMIFS('Stock Moves'!$AC$5:$AC$2005,'Stock Moves'!$X$5:$X$2005,$A30,'Stock Moves'!$A$5:$A$2005,"&gt;="&amp;ReportFrom,'Stock Moves'!$A$5:$A$2005,"&lt;="&amp;ReportTo)+SUMIFS('Stock Moves'!$U$5:$U$2005,'Stock Moves'!$W$5:$W$2005,$A30,'Stock Moves'!$A$5:$A$2005,"&gt;="&amp;ReportFrom,'Stock Moves'!$A$5:$A$2005,"&lt;="&amp;ReportTo))</f>
        <v/>
      </c>
      <c r="AJ30" s="25">
        <f>IF($A30="",0,(SUMIFS('Journal Vouchers'!$I$5:$I$2005,'Journal Vouchers'!$H$5:$H$2005,$A30,'Journal Vouchers'!$B$5:$B$2005,"&lt;"&amp;ReportFrom))-(SUMIFS('Journal Vouchers'!$J$5:$J$2005,'Journal Vouchers'!$H$5:$H$2005,$A30,'Journal Vouchers'!$B$5:$B$2005,"&lt;"&amp;ReportFrom)))</f>
        <v/>
      </c>
      <c r="AK30" s="25">
        <f>IF($A30="",0,SUMIFS('Journal Vouchers'!$I$5:$I$2005,'Journal Vouchers'!$H$5:$H$2005,$A30,'Journal Vouchers'!$B$5:$B$2005,"&gt;="&amp;ReportFrom,'Journal Vouchers'!$B$5:$B$2005,"&lt;="&amp;ReportTo))</f>
        <v/>
      </c>
      <c r="AL30" s="25">
        <f>IF($A30="",0,SUMIFS('Journal Vouchers'!$J$5:$J$2005,'Journal Vouchers'!$H$5:$H$2005,$A30,'Journal Vouchers'!$B$5:$B$2005,"&gt;="&amp;ReportFrom,'Journal Vouchers'!$B$5:$B$2005,"&lt;="&amp;ReportTo))</f>
        <v/>
      </c>
    </row>
    <row r="31">
      <c r="A31" s="25">
        <f>IF('Chart of Accounts'!A31="","",'Chart of Accounts'!A31&amp;"")</f>
        <v/>
      </c>
      <c r="B31" s="25">
        <f>IF(A31="","",'Chart of Accounts'!B31)</f>
        <v/>
      </c>
      <c r="C31" s="25">
        <f>IF(A31="","",'Chart of Accounts'!C31)</f>
        <v/>
      </c>
      <c r="D31" s="25">
        <f>IF(A31="","",'Chart of Accounts'!D31)</f>
        <v/>
      </c>
      <c r="E31" s="26">
        <f>L31+O31+R31+U31+X31+AA31+AD31+AG31+AJ31</f>
        <v/>
      </c>
      <c r="F31" s="26">
        <f>M31+P31+S31+V31+Y31+AB31+AE31+AH31+AK31</f>
        <v/>
      </c>
      <c r="G31" s="26">
        <f>N31+Q31+T31+W31+Z31+AC31+AF31+AI31+AL31</f>
        <v/>
      </c>
      <c r="H31" s="26">
        <f>E31+F31-G31</f>
        <v/>
      </c>
      <c r="I31" s="26">
        <f>MAX(H31,0)</f>
        <v/>
      </c>
      <c r="J31" s="26">
        <f>MAX(-H31,0)</f>
        <v/>
      </c>
      <c r="L31" s="25">
        <f>IF($A31="",0,(SUMIFS('Direct Costs'!$R$5:$R$2005,'Direct Costs'!$V$5:$V$2005,$A31,'Direct Costs'!$A$5:$A$2005,"&lt;"&amp;ReportFrom)+SUMIFS('Direct Costs'!$S$5:$S$2005,'Direct Costs'!$Y$5:$Y$2005,$A31,'Direct Costs'!$A$5:$A$2005,"&lt;"&amp;ReportFrom))-(SUMIFS('Direct Costs'!$L$5:$L$2005,'Direct Costs'!$W$5:$W$2005,$A31,'Direct Costs'!$A$5:$A$2005,"&lt;"&amp;ReportFrom)+SUMIFS('Direct Costs'!$U$5:$U$2005,'Direct Costs'!$X$5:$X$2005,$A31,'Direct Costs'!$A$5:$A$2005,"&lt;"&amp;ReportFrom)+SUMIFS('Direct Costs'!$T$5:$T$2005,'Direct Costs'!$Z$5:$Z$2005,$A31,'Direct Costs'!$A$5:$A$2005,"&lt;"&amp;ReportFrom)))</f>
        <v/>
      </c>
      <c r="M31" s="25">
        <f>IF($A31="",0,SUMIFS('Direct Costs'!$R$5:$R$2005,'Direct Costs'!$V$5:$V$2005,$A31,'Direct Costs'!$A$5:$A$2005,"&gt;="&amp;ReportFrom,'Direct Costs'!$A$5:$A$2005,"&lt;="&amp;ReportTo)+SUMIFS('Direct Costs'!$S$5:$S$2005,'Direct Costs'!$Y$5:$Y$2005,$A31,'Direct Costs'!$A$5:$A$2005,"&gt;="&amp;ReportFrom,'Direct Costs'!$A$5:$A$2005,"&lt;="&amp;ReportTo))</f>
        <v/>
      </c>
      <c r="N31" s="25">
        <f>IF($A31="",0,SUMIFS('Direct Costs'!$L$5:$L$2005,'Direct Costs'!$W$5:$W$2005,$A31,'Direct Costs'!$A$5:$A$2005,"&gt;="&amp;ReportFrom,'Direct Costs'!$A$5:$A$2005,"&lt;="&amp;ReportTo)+SUMIFS('Direct Costs'!$U$5:$U$2005,'Direct Costs'!$X$5:$X$2005,$A31,'Direct Costs'!$A$5:$A$2005,"&gt;="&amp;ReportFrom,'Direct Costs'!$A$5:$A$2005,"&lt;="&amp;ReportTo)+SUMIFS('Direct Costs'!$T$5:$T$2005,'Direct Costs'!$Z$5:$Z$2005,$A31,'Direct Costs'!$A$5:$A$2005,"&gt;="&amp;ReportFrom,'Direct Costs'!$A$5:$A$2005,"&lt;="&amp;ReportTo))</f>
        <v/>
      </c>
      <c r="O31" s="25">
        <f>IF($A31="",0,(SUMIFS('Operating Expenses'!$F$5:$F$2005,'Operating Expenses'!$Q$5:$Q$2005,$A31,'Operating Expenses'!$A$5:$A$2005,"&lt;"&amp;ReportFrom)+SUMIFS('Operating Expenses'!$M$5:$M$2005,'Operating Expenses'!$T$5:$T$2005,$A31,'Operating Expenses'!$A$5:$A$2005,"&lt;"&amp;ReportFrom))-(SUMIFS('Operating Expenses'!$O$5:$O$2005,'Operating Expenses'!$R$5:$R$2005,$A31,'Operating Expenses'!$A$5:$A$2005,"&lt;"&amp;ReportFrom)+SUMIFS('Operating Expenses'!$P$5:$P$2005,'Operating Expenses'!$S$5:$S$2005,$A31,'Operating Expenses'!$A$5:$A$2005,"&lt;"&amp;ReportFrom)+SUMIFS('Operating Expenses'!$N$5:$N$2005,'Operating Expenses'!$U$5:$U$2005,$A31,'Operating Expenses'!$A$5:$A$2005,"&lt;"&amp;ReportFrom)))</f>
        <v/>
      </c>
      <c r="P31" s="25">
        <f>IF($A31="",0,SUMIFS('Operating Expenses'!$F$5:$F$2005,'Operating Expenses'!$Q$5:$Q$2005,$A31,'Operating Expenses'!$A$5:$A$2005,"&gt;="&amp;ReportFrom,'Operating Expenses'!$A$5:$A$2005,"&lt;="&amp;ReportTo)+SUMIFS('Operating Expenses'!$M$5:$M$2005,'Operating Expenses'!$T$5:$T$2005,$A31,'Operating Expenses'!$A$5:$A$2005,"&gt;="&amp;ReportFrom,'Operating Expenses'!$A$5:$A$2005,"&lt;="&amp;ReportTo))</f>
        <v/>
      </c>
      <c r="Q31" s="25">
        <f>IF($A31="",0,SUMIFS('Operating Expenses'!$O$5:$O$2005,'Operating Expenses'!$R$5:$R$2005,$A31,'Operating Expenses'!$A$5:$A$2005,"&gt;="&amp;ReportFrom,'Operating Expenses'!$A$5:$A$2005,"&lt;="&amp;ReportTo)+SUMIFS('Operating Expenses'!$P$5:$P$2005,'Operating Expenses'!$S$5:$S$2005,$A31,'Operating Expenses'!$A$5:$A$2005,"&gt;="&amp;ReportFrom,'Operating Expenses'!$A$5:$A$2005,"&lt;="&amp;ReportTo)+SUMIFS('Operating Expenses'!$N$5:$N$2005,'Operating Expenses'!$U$5:$U$2005,$A31,'Operating Expenses'!$A$5:$A$2005,"&gt;="&amp;ReportFrom,'Operating Expenses'!$A$5:$A$2005,"&lt;="&amp;ReportTo))</f>
        <v/>
      </c>
      <c r="R31" s="25">
        <f>IF($A31="",0,(SUMIFS('Payroll'!$O$5:$O$2005,'Payroll'!$Q$5:$Q$2005,$A31,'Payroll'!$A$5:$A$2005,"&lt;"&amp;ReportFrom))-(SUMIFS('Payroll'!$K$5:$K$2005,'Payroll'!$R$5:$R$2005,$A31,'Payroll'!$A$5:$A$2005,"&lt;"&amp;ReportFrom)+SUMIFS('Payroll'!$P$5:$P$2005,'Payroll'!$S$5:$S$2005,$A31,'Payroll'!$A$5:$A$2005,"&lt;"&amp;ReportFrom)))</f>
        <v/>
      </c>
      <c r="S31" s="25">
        <f>IF($A31="",0,SUMIFS('Payroll'!$O$5:$O$2005,'Payroll'!$Q$5:$Q$2005,$A31,'Payroll'!$A$5:$A$2005,"&gt;="&amp;ReportFrom,'Payroll'!$A$5:$A$2005,"&lt;="&amp;ReportTo))</f>
        <v/>
      </c>
      <c r="T31" s="25">
        <f>IF($A31="",0,SUMIFS('Payroll'!$K$5:$K$2005,'Payroll'!$R$5:$R$2005,$A31,'Payroll'!$A$5:$A$2005,"&gt;="&amp;ReportFrom,'Payroll'!$A$5:$A$2005,"&lt;="&amp;ReportTo)+SUMIFS('Payroll'!$P$5:$P$2005,'Payroll'!$S$5:$S$2005,$A31,'Payroll'!$A$5:$A$2005,"&gt;="&amp;ReportFrom,'Payroll'!$A$5:$A$2005,"&lt;="&amp;ReportTo))</f>
        <v/>
      </c>
      <c r="U31" s="25">
        <f>IF($A31="",0,(SUMIFS('Receipt Vouchers'!$F$5:$F$2005,'Receipt Vouchers'!$O$5:$O$2005,$A31,'Receipt Vouchers'!$A$5:$A$2005,"&lt;"&amp;ReportFrom)+SUMIFS('Receipt Vouchers'!$J$5:$J$2005,'Receipt Vouchers'!$Q$5:$Q$2005,$A31,'Receipt Vouchers'!$A$5:$A$2005,"&lt;"&amp;ReportFrom))-(SUMIFS('Receipt Vouchers'!$N$5:$N$2005,'Receipt Vouchers'!$P$5:$P$2005,$A31,'Receipt Vouchers'!$A$5:$A$2005,"&lt;"&amp;ReportFrom)+SUMIFS('Receipt Vouchers'!$M$5:$M$2005,'Receipt Vouchers'!$R$5:$R$2005,$A31,'Receipt Vouchers'!$A$5:$A$2005,"&lt;"&amp;ReportFrom)))</f>
        <v/>
      </c>
      <c r="V31" s="25">
        <f>IF($A31="",0,SUMIFS('Receipt Vouchers'!$F$5:$F$2005,'Receipt Vouchers'!$O$5:$O$2005,$A31,'Receipt Vouchers'!$A$5:$A$2005,"&gt;="&amp;ReportFrom,'Receipt Vouchers'!$A$5:$A$2005,"&lt;="&amp;ReportTo)+SUMIFS('Receipt Vouchers'!$J$5:$J$2005,'Receipt Vouchers'!$Q$5:$Q$2005,$A31,'Receipt Vouchers'!$A$5:$A$2005,"&gt;="&amp;ReportFrom,'Receipt Vouchers'!$A$5:$A$2005,"&lt;="&amp;ReportTo))</f>
        <v/>
      </c>
      <c r="W31" s="25">
        <f>IF($A31="",0,SUMIFS('Receipt Vouchers'!$N$5:$N$2005,'Receipt Vouchers'!$P$5:$P$2005,$A31,'Receipt Vouchers'!$A$5:$A$2005,"&gt;="&amp;ReportFrom,'Receipt Vouchers'!$A$5:$A$2005,"&lt;="&amp;ReportTo)+SUMIFS('Receipt Vouchers'!$M$5:$M$2005,'Receipt Vouchers'!$R$5:$R$2005,$A31,'Receipt Vouchers'!$A$5:$A$2005,"&gt;="&amp;ReportFrom,'Receipt Vouchers'!$A$5:$A$2005,"&lt;="&amp;ReportTo))</f>
        <v/>
      </c>
      <c r="X31" s="25">
        <f>IF($A31="",0,(SUMIFS('Sales Invoices'!$O$5:$O$2005,'Sales Invoices'!$P$5:$P$2005,$A31,'Sales Invoices'!$B$5:$B$2005,"&lt;"&amp;ReportFrom)+SUMIFS('Sales Invoices'!$N$5:$N$2005,'Sales Invoices'!$R$5:$R$2005,$A31,'Sales Invoices'!$B$5:$B$2005,"&lt;"&amp;ReportFrom))-(SUMIFS('Sales Invoices'!$L$5:$L$2005,'Sales Invoices'!$Q$5:$Q$2005,$A31,'Sales Invoices'!$B$5:$B$2005,"&lt;"&amp;ReportFrom)+SUMIFS('Sales Invoices'!$M$5:$M$2005,'Sales Invoices'!$S$5:$S$2005,$A31,'Sales Invoices'!$B$5:$B$2005,"&lt;"&amp;ReportFrom)))</f>
        <v/>
      </c>
      <c r="Y31" s="25">
        <f>IF($A31="",0,SUMIFS('Sales Invoices'!$O$5:$O$2005,'Sales Invoices'!$P$5:$P$2005,$A31,'Sales Invoices'!$B$5:$B$2005,"&gt;="&amp;ReportFrom,'Sales Invoices'!$B$5:$B$2005,"&lt;="&amp;ReportTo)+SUMIFS('Sales Invoices'!$N$5:$N$2005,'Sales Invoices'!$R$5:$R$2005,$A31,'Sales Invoices'!$B$5:$B$2005,"&gt;="&amp;ReportFrom,'Sales Invoices'!$B$5:$B$2005,"&lt;="&amp;ReportTo))</f>
        <v/>
      </c>
      <c r="Z31" s="25">
        <f>IF($A31="",0,SUMIFS('Sales Invoices'!$L$5:$L$2005,'Sales Invoices'!$Q$5:$Q$2005,$A31,'Sales Invoices'!$B$5:$B$2005,"&gt;="&amp;ReportFrom,'Sales Invoices'!$B$5:$B$2005,"&lt;="&amp;ReportTo)+SUMIFS('Sales Invoices'!$M$5:$M$2005,'Sales Invoices'!$S$5:$S$2005,$A31,'Sales Invoices'!$B$5:$B$2005,"&gt;="&amp;ReportFrom,'Sales Invoices'!$B$5:$B$2005,"&lt;="&amp;ReportTo))</f>
        <v/>
      </c>
      <c r="AA31" s="25">
        <f>IF($A31="",0,(SUMIFS('Payment Vouchers'!$D$5:$D$2005,'Payment Vouchers'!$J$5:$J$2005,$A31,'Payment Vouchers'!$A$5:$A$2005,"&lt;"&amp;ReportFrom))-(SUMIFS('Payment Vouchers'!$D$5:$D$2005,'Payment Vouchers'!$K$5:$K$2005,$A31,'Payment Vouchers'!$A$5:$A$2005,"&lt;"&amp;ReportFrom)))</f>
        <v/>
      </c>
      <c r="AB31" s="25">
        <f>IF($A31="",0,SUMIFS('Payment Vouchers'!$D$5:$D$2005,'Payment Vouchers'!$J$5:$J$2005,$A31,'Payment Vouchers'!$A$5:$A$2005,"&gt;="&amp;ReportFrom,'Payment Vouchers'!$A$5:$A$2005,"&lt;="&amp;ReportTo))</f>
        <v/>
      </c>
      <c r="AC31" s="25">
        <f>IF($A31="",0,SUMIFS('Payment Vouchers'!$D$5:$D$2005,'Payment Vouchers'!$K$5:$K$2005,$A31,'Payment Vouchers'!$A$5:$A$2005,"&gt;="&amp;ReportFrom,'Payment Vouchers'!$A$5:$A$2005,"&lt;="&amp;ReportTo))</f>
        <v/>
      </c>
      <c r="AD31" s="25">
        <f>IF($A31="",0,(SUMIFS('Partner Transactions'!$D$5:$D$2005,'Partner Transactions'!$L$5:$L$2005,$A31,'Partner Transactions'!$A$5:$A$2005,"&lt;"&amp;ReportFrom))-(SUMIFS('Partner Transactions'!$D$5:$D$2005,'Partner Transactions'!$M$5:$M$2005,$A31,'Partner Transactions'!$A$5:$A$2005,"&lt;"&amp;ReportFrom)))</f>
        <v/>
      </c>
      <c r="AE31" s="25">
        <f>IF($A31="",0,SUMIFS('Partner Transactions'!$D$5:$D$2005,'Partner Transactions'!$L$5:$L$2005,$A31,'Partner Transactions'!$A$5:$A$2005,"&gt;="&amp;ReportFrom,'Partner Transactions'!$A$5:$A$2005,"&lt;="&amp;ReportTo))</f>
        <v/>
      </c>
      <c r="AF31" s="25">
        <f>IF($A31="",0,SUMIFS('Partner Transactions'!$D$5:$D$2005,'Partner Transactions'!$M$5:$M$2005,$A31,'Partner Transactions'!$A$5:$A$2005,"&gt;="&amp;ReportFrom,'Partner Transactions'!$A$5:$A$2005,"&lt;="&amp;ReportTo))</f>
        <v/>
      </c>
      <c r="AG31" s="25">
        <f>IF($A31="",0,(SUMIFS('Stock Moves'!$S$5:$S$2005,'Stock Moves'!$AD$5:$AD$2005,$A31,'Stock Moves'!$A$5:$A$2005,"&lt;"&amp;ReportFrom)+SUMIFS('Stock Moves'!$T$5:$T$2005,'Stock Moves'!$V$5:$V$2005,$A31,'Stock Moves'!$A$5:$A$2005,"&lt;"&amp;ReportFrom))-(SUMIFS('Stock Moves'!$AF$5:$AF$2005,'Stock Moves'!$AE$5:$AE$2005,$A31,'Stock Moves'!$A$5:$A$2005,"&lt;"&amp;ReportFrom)+SUMIFS('Stock Moves'!$AC$5:$AC$2005,'Stock Moves'!$X$5:$X$2005,$A31,'Stock Moves'!$A$5:$A$2005,"&lt;"&amp;ReportFrom)+SUMIFS('Stock Moves'!$U$5:$U$2005,'Stock Moves'!$W$5:$W$2005,$A31,'Stock Moves'!$A$5:$A$2005,"&lt;"&amp;ReportFrom)))</f>
        <v/>
      </c>
      <c r="AH31" s="25">
        <f>IF($A31="",0,SUMIFS('Stock Moves'!$S$5:$S$2005,'Stock Moves'!$AD$5:$AD$2005,$A31,'Stock Moves'!$A$5:$A$2005,"&gt;="&amp;ReportFrom,'Stock Moves'!$A$5:$A$2005,"&lt;="&amp;ReportTo)+SUMIFS('Stock Moves'!$T$5:$T$2005,'Stock Moves'!$V$5:$V$2005,$A31,'Stock Moves'!$A$5:$A$2005,"&gt;="&amp;ReportFrom,'Stock Moves'!$A$5:$A$2005,"&lt;="&amp;ReportTo))</f>
        <v/>
      </c>
      <c r="AI31" s="25">
        <f>IF($A31="",0,SUMIFS('Stock Moves'!$AF$5:$AF$2005,'Stock Moves'!$AE$5:$AE$2005,$A31,'Stock Moves'!$A$5:$A$2005,"&gt;="&amp;ReportFrom,'Stock Moves'!$A$5:$A$2005,"&lt;="&amp;ReportTo)+SUMIFS('Stock Moves'!$AC$5:$AC$2005,'Stock Moves'!$X$5:$X$2005,$A31,'Stock Moves'!$A$5:$A$2005,"&gt;="&amp;ReportFrom,'Stock Moves'!$A$5:$A$2005,"&lt;="&amp;ReportTo)+SUMIFS('Stock Moves'!$U$5:$U$2005,'Stock Moves'!$W$5:$W$2005,$A31,'Stock Moves'!$A$5:$A$2005,"&gt;="&amp;ReportFrom,'Stock Moves'!$A$5:$A$2005,"&lt;="&amp;ReportTo))</f>
        <v/>
      </c>
      <c r="AJ31" s="25">
        <f>IF($A31="",0,(SUMIFS('Journal Vouchers'!$I$5:$I$2005,'Journal Vouchers'!$H$5:$H$2005,$A31,'Journal Vouchers'!$B$5:$B$2005,"&lt;"&amp;ReportFrom))-(SUMIFS('Journal Vouchers'!$J$5:$J$2005,'Journal Vouchers'!$H$5:$H$2005,$A31,'Journal Vouchers'!$B$5:$B$2005,"&lt;"&amp;ReportFrom)))</f>
        <v/>
      </c>
      <c r="AK31" s="25">
        <f>IF($A31="",0,SUMIFS('Journal Vouchers'!$I$5:$I$2005,'Journal Vouchers'!$H$5:$H$2005,$A31,'Journal Vouchers'!$B$5:$B$2005,"&gt;="&amp;ReportFrom,'Journal Vouchers'!$B$5:$B$2005,"&lt;="&amp;ReportTo))</f>
        <v/>
      </c>
      <c r="AL31" s="25">
        <f>IF($A31="",0,SUMIFS('Journal Vouchers'!$J$5:$J$2005,'Journal Vouchers'!$H$5:$H$2005,$A31,'Journal Vouchers'!$B$5:$B$2005,"&gt;="&amp;ReportFrom,'Journal Vouchers'!$B$5:$B$2005,"&lt;="&amp;ReportTo))</f>
        <v/>
      </c>
    </row>
    <row r="32">
      <c r="A32" s="25">
        <f>IF('Chart of Accounts'!A32="","",'Chart of Accounts'!A32&amp;"")</f>
        <v/>
      </c>
      <c r="B32" s="25">
        <f>IF(A32="","",'Chart of Accounts'!B32)</f>
        <v/>
      </c>
      <c r="C32" s="25">
        <f>IF(A32="","",'Chart of Accounts'!C32)</f>
        <v/>
      </c>
      <c r="D32" s="25">
        <f>IF(A32="","",'Chart of Accounts'!D32)</f>
        <v/>
      </c>
      <c r="E32" s="26">
        <f>L32+O32+R32+U32+X32+AA32+AD32+AG32+AJ32</f>
        <v/>
      </c>
      <c r="F32" s="26">
        <f>M32+P32+S32+V32+Y32+AB32+AE32+AH32+AK32</f>
        <v/>
      </c>
      <c r="G32" s="26">
        <f>N32+Q32+T32+W32+Z32+AC32+AF32+AI32+AL32</f>
        <v/>
      </c>
      <c r="H32" s="26">
        <f>E32+F32-G32</f>
        <v/>
      </c>
      <c r="I32" s="26">
        <f>MAX(H32,0)</f>
        <v/>
      </c>
      <c r="J32" s="26">
        <f>MAX(-H32,0)</f>
        <v/>
      </c>
      <c r="L32" s="25">
        <f>IF($A32="",0,(SUMIFS('Direct Costs'!$R$5:$R$2005,'Direct Costs'!$V$5:$V$2005,$A32,'Direct Costs'!$A$5:$A$2005,"&lt;"&amp;ReportFrom)+SUMIFS('Direct Costs'!$S$5:$S$2005,'Direct Costs'!$Y$5:$Y$2005,$A32,'Direct Costs'!$A$5:$A$2005,"&lt;"&amp;ReportFrom))-(SUMIFS('Direct Costs'!$L$5:$L$2005,'Direct Costs'!$W$5:$W$2005,$A32,'Direct Costs'!$A$5:$A$2005,"&lt;"&amp;ReportFrom)+SUMIFS('Direct Costs'!$U$5:$U$2005,'Direct Costs'!$X$5:$X$2005,$A32,'Direct Costs'!$A$5:$A$2005,"&lt;"&amp;ReportFrom)+SUMIFS('Direct Costs'!$T$5:$T$2005,'Direct Costs'!$Z$5:$Z$2005,$A32,'Direct Costs'!$A$5:$A$2005,"&lt;"&amp;ReportFrom)))</f>
        <v/>
      </c>
      <c r="M32" s="25">
        <f>IF($A32="",0,SUMIFS('Direct Costs'!$R$5:$R$2005,'Direct Costs'!$V$5:$V$2005,$A32,'Direct Costs'!$A$5:$A$2005,"&gt;="&amp;ReportFrom,'Direct Costs'!$A$5:$A$2005,"&lt;="&amp;ReportTo)+SUMIFS('Direct Costs'!$S$5:$S$2005,'Direct Costs'!$Y$5:$Y$2005,$A32,'Direct Costs'!$A$5:$A$2005,"&gt;="&amp;ReportFrom,'Direct Costs'!$A$5:$A$2005,"&lt;="&amp;ReportTo))</f>
        <v/>
      </c>
      <c r="N32" s="25">
        <f>IF($A32="",0,SUMIFS('Direct Costs'!$L$5:$L$2005,'Direct Costs'!$W$5:$W$2005,$A32,'Direct Costs'!$A$5:$A$2005,"&gt;="&amp;ReportFrom,'Direct Costs'!$A$5:$A$2005,"&lt;="&amp;ReportTo)+SUMIFS('Direct Costs'!$U$5:$U$2005,'Direct Costs'!$X$5:$X$2005,$A32,'Direct Costs'!$A$5:$A$2005,"&gt;="&amp;ReportFrom,'Direct Costs'!$A$5:$A$2005,"&lt;="&amp;ReportTo)+SUMIFS('Direct Costs'!$T$5:$T$2005,'Direct Costs'!$Z$5:$Z$2005,$A32,'Direct Costs'!$A$5:$A$2005,"&gt;="&amp;ReportFrom,'Direct Costs'!$A$5:$A$2005,"&lt;="&amp;ReportTo))</f>
        <v/>
      </c>
      <c r="O32" s="25">
        <f>IF($A32="",0,(SUMIFS('Operating Expenses'!$F$5:$F$2005,'Operating Expenses'!$Q$5:$Q$2005,$A32,'Operating Expenses'!$A$5:$A$2005,"&lt;"&amp;ReportFrom)+SUMIFS('Operating Expenses'!$M$5:$M$2005,'Operating Expenses'!$T$5:$T$2005,$A32,'Operating Expenses'!$A$5:$A$2005,"&lt;"&amp;ReportFrom))-(SUMIFS('Operating Expenses'!$O$5:$O$2005,'Operating Expenses'!$R$5:$R$2005,$A32,'Operating Expenses'!$A$5:$A$2005,"&lt;"&amp;ReportFrom)+SUMIFS('Operating Expenses'!$P$5:$P$2005,'Operating Expenses'!$S$5:$S$2005,$A32,'Operating Expenses'!$A$5:$A$2005,"&lt;"&amp;ReportFrom)+SUMIFS('Operating Expenses'!$N$5:$N$2005,'Operating Expenses'!$U$5:$U$2005,$A32,'Operating Expenses'!$A$5:$A$2005,"&lt;"&amp;ReportFrom)))</f>
        <v/>
      </c>
      <c r="P32" s="25">
        <f>IF($A32="",0,SUMIFS('Operating Expenses'!$F$5:$F$2005,'Operating Expenses'!$Q$5:$Q$2005,$A32,'Operating Expenses'!$A$5:$A$2005,"&gt;="&amp;ReportFrom,'Operating Expenses'!$A$5:$A$2005,"&lt;="&amp;ReportTo)+SUMIFS('Operating Expenses'!$M$5:$M$2005,'Operating Expenses'!$T$5:$T$2005,$A32,'Operating Expenses'!$A$5:$A$2005,"&gt;="&amp;ReportFrom,'Operating Expenses'!$A$5:$A$2005,"&lt;="&amp;ReportTo))</f>
        <v/>
      </c>
      <c r="Q32" s="25">
        <f>IF($A32="",0,SUMIFS('Operating Expenses'!$O$5:$O$2005,'Operating Expenses'!$R$5:$R$2005,$A32,'Operating Expenses'!$A$5:$A$2005,"&gt;="&amp;ReportFrom,'Operating Expenses'!$A$5:$A$2005,"&lt;="&amp;ReportTo)+SUMIFS('Operating Expenses'!$P$5:$P$2005,'Operating Expenses'!$S$5:$S$2005,$A32,'Operating Expenses'!$A$5:$A$2005,"&gt;="&amp;ReportFrom,'Operating Expenses'!$A$5:$A$2005,"&lt;="&amp;ReportTo)+SUMIFS('Operating Expenses'!$N$5:$N$2005,'Operating Expenses'!$U$5:$U$2005,$A32,'Operating Expenses'!$A$5:$A$2005,"&gt;="&amp;ReportFrom,'Operating Expenses'!$A$5:$A$2005,"&lt;="&amp;ReportTo))</f>
        <v/>
      </c>
      <c r="R32" s="25">
        <f>IF($A32="",0,(SUMIFS('Payroll'!$O$5:$O$2005,'Payroll'!$Q$5:$Q$2005,$A32,'Payroll'!$A$5:$A$2005,"&lt;"&amp;ReportFrom))-(SUMIFS('Payroll'!$K$5:$K$2005,'Payroll'!$R$5:$R$2005,$A32,'Payroll'!$A$5:$A$2005,"&lt;"&amp;ReportFrom)+SUMIFS('Payroll'!$P$5:$P$2005,'Payroll'!$S$5:$S$2005,$A32,'Payroll'!$A$5:$A$2005,"&lt;"&amp;ReportFrom)))</f>
        <v/>
      </c>
      <c r="S32" s="25">
        <f>IF($A32="",0,SUMIFS('Payroll'!$O$5:$O$2005,'Payroll'!$Q$5:$Q$2005,$A32,'Payroll'!$A$5:$A$2005,"&gt;="&amp;ReportFrom,'Payroll'!$A$5:$A$2005,"&lt;="&amp;ReportTo))</f>
        <v/>
      </c>
      <c r="T32" s="25">
        <f>IF($A32="",0,SUMIFS('Payroll'!$K$5:$K$2005,'Payroll'!$R$5:$R$2005,$A32,'Payroll'!$A$5:$A$2005,"&gt;="&amp;ReportFrom,'Payroll'!$A$5:$A$2005,"&lt;="&amp;ReportTo)+SUMIFS('Payroll'!$P$5:$P$2005,'Payroll'!$S$5:$S$2005,$A32,'Payroll'!$A$5:$A$2005,"&gt;="&amp;ReportFrom,'Payroll'!$A$5:$A$2005,"&lt;="&amp;ReportTo))</f>
        <v/>
      </c>
      <c r="U32" s="25">
        <f>IF($A32="",0,(SUMIFS('Receipt Vouchers'!$F$5:$F$2005,'Receipt Vouchers'!$O$5:$O$2005,$A32,'Receipt Vouchers'!$A$5:$A$2005,"&lt;"&amp;ReportFrom)+SUMIFS('Receipt Vouchers'!$J$5:$J$2005,'Receipt Vouchers'!$Q$5:$Q$2005,$A32,'Receipt Vouchers'!$A$5:$A$2005,"&lt;"&amp;ReportFrom))-(SUMIFS('Receipt Vouchers'!$N$5:$N$2005,'Receipt Vouchers'!$P$5:$P$2005,$A32,'Receipt Vouchers'!$A$5:$A$2005,"&lt;"&amp;ReportFrom)+SUMIFS('Receipt Vouchers'!$M$5:$M$2005,'Receipt Vouchers'!$R$5:$R$2005,$A32,'Receipt Vouchers'!$A$5:$A$2005,"&lt;"&amp;ReportFrom)))</f>
        <v/>
      </c>
      <c r="V32" s="25">
        <f>IF($A32="",0,SUMIFS('Receipt Vouchers'!$F$5:$F$2005,'Receipt Vouchers'!$O$5:$O$2005,$A32,'Receipt Vouchers'!$A$5:$A$2005,"&gt;="&amp;ReportFrom,'Receipt Vouchers'!$A$5:$A$2005,"&lt;="&amp;ReportTo)+SUMIFS('Receipt Vouchers'!$J$5:$J$2005,'Receipt Vouchers'!$Q$5:$Q$2005,$A32,'Receipt Vouchers'!$A$5:$A$2005,"&gt;="&amp;ReportFrom,'Receipt Vouchers'!$A$5:$A$2005,"&lt;="&amp;ReportTo))</f>
        <v/>
      </c>
      <c r="W32" s="25">
        <f>IF($A32="",0,SUMIFS('Receipt Vouchers'!$N$5:$N$2005,'Receipt Vouchers'!$P$5:$P$2005,$A32,'Receipt Vouchers'!$A$5:$A$2005,"&gt;="&amp;ReportFrom,'Receipt Vouchers'!$A$5:$A$2005,"&lt;="&amp;ReportTo)+SUMIFS('Receipt Vouchers'!$M$5:$M$2005,'Receipt Vouchers'!$R$5:$R$2005,$A32,'Receipt Vouchers'!$A$5:$A$2005,"&gt;="&amp;ReportFrom,'Receipt Vouchers'!$A$5:$A$2005,"&lt;="&amp;ReportTo))</f>
        <v/>
      </c>
      <c r="X32" s="25">
        <f>IF($A32="",0,(SUMIFS('Sales Invoices'!$O$5:$O$2005,'Sales Invoices'!$P$5:$P$2005,$A32,'Sales Invoices'!$B$5:$B$2005,"&lt;"&amp;ReportFrom)+SUMIFS('Sales Invoices'!$N$5:$N$2005,'Sales Invoices'!$R$5:$R$2005,$A32,'Sales Invoices'!$B$5:$B$2005,"&lt;"&amp;ReportFrom))-(SUMIFS('Sales Invoices'!$L$5:$L$2005,'Sales Invoices'!$Q$5:$Q$2005,$A32,'Sales Invoices'!$B$5:$B$2005,"&lt;"&amp;ReportFrom)+SUMIFS('Sales Invoices'!$M$5:$M$2005,'Sales Invoices'!$S$5:$S$2005,$A32,'Sales Invoices'!$B$5:$B$2005,"&lt;"&amp;ReportFrom)))</f>
        <v/>
      </c>
      <c r="Y32" s="25">
        <f>IF($A32="",0,SUMIFS('Sales Invoices'!$O$5:$O$2005,'Sales Invoices'!$P$5:$P$2005,$A32,'Sales Invoices'!$B$5:$B$2005,"&gt;="&amp;ReportFrom,'Sales Invoices'!$B$5:$B$2005,"&lt;="&amp;ReportTo)+SUMIFS('Sales Invoices'!$N$5:$N$2005,'Sales Invoices'!$R$5:$R$2005,$A32,'Sales Invoices'!$B$5:$B$2005,"&gt;="&amp;ReportFrom,'Sales Invoices'!$B$5:$B$2005,"&lt;="&amp;ReportTo))</f>
        <v/>
      </c>
      <c r="Z32" s="25">
        <f>IF($A32="",0,SUMIFS('Sales Invoices'!$L$5:$L$2005,'Sales Invoices'!$Q$5:$Q$2005,$A32,'Sales Invoices'!$B$5:$B$2005,"&gt;="&amp;ReportFrom,'Sales Invoices'!$B$5:$B$2005,"&lt;="&amp;ReportTo)+SUMIFS('Sales Invoices'!$M$5:$M$2005,'Sales Invoices'!$S$5:$S$2005,$A32,'Sales Invoices'!$B$5:$B$2005,"&gt;="&amp;ReportFrom,'Sales Invoices'!$B$5:$B$2005,"&lt;="&amp;ReportTo))</f>
        <v/>
      </c>
      <c r="AA32" s="25">
        <f>IF($A32="",0,(SUMIFS('Payment Vouchers'!$D$5:$D$2005,'Payment Vouchers'!$J$5:$J$2005,$A32,'Payment Vouchers'!$A$5:$A$2005,"&lt;"&amp;ReportFrom))-(SUMIFS('Payment Vouchers'!$D$5:$D$2005,'Payment Vouchers'!$K$5:$K$2005,$A32,'Payment Vouchers'!$A$5:$A$2005,"&lt;"&amp;ReportFrom)))</f>
        <v/>
      </c>
      <c r="AB32" s="25">
        <f>IF($A32="",0,SUMIFS('Payment Vouchers'!$D$5:$D$2005,'Payment Vouchers'!$J$5:$J$2005,$A32,'Payment Vouchers'!$A$5:$A$2005,"&gt;="&amp;ReportFrom,'Payment Vouchers'!$A$5:$A$2005,"&lt;="&amp;ReportTo))</f>
        <v/>
      </c>
      <c r="AC32" s="25">
        <f>IF($A32="",0,SUMIFS('Payment Vouchers'!$D$5:$D$2005,'Payment Vouchers'!$K$5:$K$2005,$A32,'Payment Vouchers'!$A$5:$A$2005,"&gt;="&amp;ReportFrom,'Payment Vouchers'!$A$5:$A$2005,"&lt;="&amp;ReportTo))</f>
        <v/>
      </c>
      <c r="AD32" s="25">
        <f>IF($A32="",0,(SUMIFS('Partner Transactions'!$D$5:$D$2005,'Partner Transactions'!$L$5:$L$2005,$A32,'Partner Transactions'!$A$5:$A$2005,"&lt;"&amp;ReportFrom))-(SUMIFS('Partner Transactions'!$D$5:$D$2005,'Partner Transactions'!$M$5:$M$2005,$A32,'Partner Transactions'!$A$5:$A$2005,"&lt;"&amp;ReportFrom)))</f>
        <v/>
      </c>
      <c r="AE32" s="25">
        <f>IF($A32="",0,SUMIFS('Partner Transactions'!$D$5:$D$2005,'Partner Transactions'!$L$5:$L$2005,$A32,'Partner Transactions'!$A$5:$A$2005,"&gt;="&amp;ReportFrom,'Partner Transactions'!$A$5:$A$2005,"&lt;="&amp;ReportTo))</f>
        <v/>
      </c>
      <c r="AF32" s="25">
        <f>IF($A32="",0,SUMIFS('Partner Transactions'!$D$5:$D$2005,'Partner Transactions'!$M$5:$M$2005,$A32,'Partner Transactions'!$A$5:$A$2005,"&gt;="&amp;ReportFrom,'Partner Transactions'!$A$5:$A$2005,"&lt;="&amp;ReportTo))</f>
        <v/>
      </c>
      <c r="AG32" s="25">
        <f>IF($A32="",0,(SUMIFS('Stock Moves'!$S$5:$S$2005,'Stock Moves'!$AD$5:$AD$2005,$A32,'Stock Moves'!$A$5:$A$2005,"&lt;"&amp;ReportFrom)+SUMIFS('Stock Moves'!$T$5:$T$2005,'Stock Moves'!$V$5:$V$2005,$A32,'Stock Moves'!$A$5:$A$2005,"&lt;"&amp;ReportFrom))-(SUMIFS('Stock Moves'!$AF$5:$AF$2005,'Stock Moves'!$AE$5:$AE$2005,$A32,'Stock Moves'!$A$5:$A$2005,"&lt;"&amp;ReportFrom)+SUMIFS('Stock Moves'!$AC$5:$AC$2005,'Stock Moves'!$X$5:$X$2005,$A32,'Stock Moves'!$A$5:$A$2005,"&lt;"&amp;ReportFrom)+SUMIFS('Stock Moves'!$U$5:$U$2005,'Stock Moves'!$W$5:$W$2005,$A32,'Stock Moves'!$A$5:$A$2005,"&lt;"&amp;ReportFrom)))</f>
        <v/>
      </c>
      <c r="AH32" s="25">
        <f>IF($A32="",0,SUMIFS('Stock Moves'!$S$5:$S$2005,'Stock Moves'!$AD$5:$AD$2005,$A32,'Stock Moves'!$A$5:$A$2005,"&gt;="&amp;ReportFrom,'Stock Moves'!$A$5:$A$2005,"&lt;="&amp;ReportTo)+SUMIFS('Stock Moves'!$T$5:$T$2005,'Stock Moves'!$V$5:$V$2005,$A32,'Stock Moves'!$A$5:$A$2005,"&gt;="&amp;ReportFrom,'Stock Moves'!$A$5:$A$2005,"&lt;="&amp;ReportTo))</f>
        <v/>
      </c>
      <c r="AI32" s="25">
        <f>IF($A32="",0,SUMIFS('Stock Moves'!$AF$5:$AF$2005,'Stock Moves'!$AE$5:$AE$2005,$A32,'Stock Moves'!$A$5:$A$2005,"&gt;="&amp;ReportFrom,'Stock Moves'!$A$5:$A$2005,"&lt;="&amp;ReportTo)+SUMIFS('Stock Moves'!$AC$5:$AC$2005,'Stock Moves'!$X$5:$X$2005,$A32,'Stock Moves'!$A$5:$A$2005,"&gt;="&amp;ReportFrom,'Stock Moves'!$A$5:$A$2005,"&lt;="&amp;ReportTo)+SUMIFS('Stock Moves'!$U$5:$U$2005,'Stock Moves'!$W$5:$W$2005,$A32,'Stock Moves'!$A$5:$A$2005,"&gt;="&amp;ReportFrom,'Stock Moves'!$A$5:$A$2005,"&lt;="&amp;ReportTo))</f>
        <v/>
      </c>
      <c r="AJ32" s="25">
        <f>IF($A32="",0,(SUMIFS('Journal Vouchers'!$I$5:$I$2005,'Journal Vouchers'!$H$5:$H$2005,$A32,'Journal Vouchers'!$B$5:$B$2005,"&lt;"&amp;ReportFrom))-(SUMIFS('Journal Vouchers'!$J$5:$J$2005,'Journal Vouchers'!$H$5:$H$2005,$A32,'Journal Vouchers'!$B$5:$B$2005,"&lt;"&amp;ReportFrom)))</f>
        <v/>
      </c>
      <c r="AK32" s="25">
        <f>IF($A32="",0,SUMIFS('Journal Vouchers'!$I$5:$I$2005,'Journal Vouchers'!$H$5:$H$2005,$A32,'Journal Vouchers'!$B$5:$B$2005,"&gt;="&amp;ReportFrom,'Journal Vouchers'!$B$5:$B$2005,"&lt;="&amp;ReportTo))</f>
        <v/>
      </c>
      <c r="AL32" s="25">
        <f>IF($A32="",0,SUMIFS('Journal Vouchers'!$J$5:$J$2005,'Journal Vouchers'!$H$5:$H$2005,$A32,'Journal Vouchers'!$B$5:$B$2005,"&gt;="&amp;ReportFrom,'Journal Vouchers'!$B$5:$B$2005,"&lt;="&amp;ReportTo))</f>
        <v/>
      </c>
    </row>
    <row r="33">
      <c r="A33" s="25">
        <f>IF('Chart of Accounts'!A33="","",'Chart of Accounts'!A33&amp;"")</f>
        <v/>
      </c>
      <c r="B33" s="25">
        <f>IF(A33="","",'Chart of Accounts'!B33)</f>
        <v/>
      </c>
      <c r="C33" s="25">
        <f>IF(A33="","",'Chart of Accounts'!C33)</f>
        <v/>
      </c>
      <c r="D33" s="25">
        <f>IF(A33="","",'Chart of Accounts'!D33)</f>
        <v/>
      </c>
      <c r="E33" s="26">
        <f>L33+O33+R33+U33+X33+AA33+AD33+AG33+AJ33</f>
        <v/>
      </c>
      <c r="F33" s="26">
        <f>M33+P33+S33+V33+Y33+AB33+AE33+AH33+AK33</f>
        <v/>
      </c>
      <c r="G33" s="26">
        <f>N33+Q33+T33+W33+Z33+AC33+AF33+AI33+AL33</f>
        <v/>
      </c>
      <c r="H33" s="26">
        <f>E33+F33-G33</f>
        <v/>
      </c>
      <c r="I33" s="26">
        <f>MAX(H33,0)</f>
        <v/>
      </c>
      <c r="J33" s="26">
        <f>MAX(-H33,0)</f>
        <v/>
      </c>
      <c r="L33" s="25">
        <f>IF($A33="",0,(SUMIFS('Direct Costs'!$R$5:$R$2005,'Direct Costs'!$V$5:$V$2005,$A33,'Direct Costs'!$A$5:$A$2005,"&lt;"&amp;ReportFrom)+SUMIFS('Direct Costs'!$S$5:$S$2005,'Direct Costs'!$Y$5:$Y$2005,$A33,'Direct Costs'!$A$5:$A$2005,"&lt;"&amp;ReportFrom))-(SUMIFS('Direct Costs'!$L$5:$L$2005,'Direct Costs'!$W$5:$W$2005,$A33,'Direct Costs'!$A$5:$A$2005,"&lt;"&amp;ReportFrom)+SUMIFS('Direct Costs'!$U$5:$U$2005,'Direct Costs'!$X$5:$X$2005,$A33,'Direct Costs'!$A$5:$A$2005,"&lt;"&amp;ReportFrom)+SUMIFS('Direct Costs'!$T$5:$T$2005,'Direct Costs'!$Z$5:$Z$2005,$A33,'Direct Costs'!$A$5:$A$2005,"&lt;"&amp;ReportFrom)))</f>
        <v/>
      </c>
      <c r="M33" s="25">
        <f>IF($A33="",0,SUMIFS('Direct Costs'!$R$5:$R$2005,'Direct Costs'!$V$5:$V$2005,$A33,'Direct Costs'!$A$5:$A$2005,"&gt;="&amp;ReportFrom,'Direct Costs'!$A$5:$A$2005,"&lt;="&amp;ReportTo)+SUMIFS('Direct Costs'!$S$5:$S$2005,'Direct Costs'!$Y$5:$Y$2005,$A33,'Direct Costs'!$A$5:$A$2005,"&gt;="&amp;ReportFrom,'Direct Costs'!$A$5:$A$2005,"&lt;="&amp;ReportTo))</f>
        <v/>
      </c>
      <c r="N33" s="25">
        <f>IF($A33="",0,SUMIFS('Direct Costs'!$L$5:$L$2005,'Direct Costs'!$W$5:$W$2005,$A33,'Direct Costs'!$A$5:$A$2005,"&gt;="&amp;ReportFrom,'Direct Costs'!$A$5:$A$2005,"&lt;="&amp;ReportTo)+SUMIFS('Direct Costs'!$U$5:$U$2005,'Direct Costs'!$X$5:$X$2005,$A33,'Direct Costs'!$A$5:$A$2005,"&gt;="&amp;ReportFrom,'Direct Costs'!$A$5:$A$2005,"&lt;="&amp;ReportTo)+SUMIFS('Direct Costs'!$T$5:$T$2005,'Direct Costs'!$Z$5:$Z$2005,$A33,'Direct Costs'!$A$5:$A$2005,"&gt;="&amp;ReportFrom,'Direct Costs'!$A$5:$A$2005,"&lt;="&amp;ReportTo))</f>
        <v/>
      </c>
      <c r="O33" s="25">
        <f>IF($A33="",0,(SUMIFS('Operating Expenses'!$F$5:$F$2005,'Operating Expenses'!$Q$5:$Q$2005,$A33,'Operating Expenses'!$A$5:$A$2005,"&lt;"&amp;ReportFrom)+SUMIFS('Operating Expenses'!$M$5:$M$2005,'Operating Expenses'!$T$5:$T$2005,$A33,'Operating Expenses'!$A$5:$A$2005,"&lt;"&amp;ReportFrom))-(SUMIFS('Operating Expenses'!$O$5:$O$2005,'Operating Expenses'!$R$5:$R$2005,$A33,'Operating Expenses'!$A$5:$A$2005,"&lt;"&amp;ReportFrom)+SUMIFS('Operating Expenses'!$P$5:$P$2005,'Operating Expenses'!$S$5:$S$2005,$A33,'Operating Expenses'!$A$5:$A$2005,"&lt;"&amp;ReportFrom)+SUMIFS('Operating Expenses'!$N$5:$N$2005,'Operating Expenses'!$U$5:$U$2005,$A33,'Operating Expenses'!$A$5:$A$2005,"&lt;"&amp;ReportFrom)))</f>
        <v/>
      </c>
      <c r="P33" s="25">
        <f>IF($A33="",0,SUMIFS('Operating Expenses'!$F$5:$F$2005,'Operating Expenses'!$Q$5:$Q$2005,$A33,'Operating Expenses'!$A$5:$A$2005,"&gt;="&amp;ReportFrom,'Operating Expenses'!$A$5:$A$2005,"&lt;="&amp;ReportTo)+SUMIFS('Operating Expenses'!$M$5:$M$2005,'Operating Expenses'!$T$5:$T$2005,$A33,'Operating Expenses'!$A$5:$A$2005,"&gt;="&amp;ReportFrom,'Operating Expenses'!$A$5:$A$2005,"&lt;="&amp;ReportTo))</f>
        <v/>
      </c>
      <c r="Q33" s="25">
        <f>IF($A33="",0,SUMIFS('Operating Expenses'!$O$5:$O$2005,'Operating Expenses'!$R$5:$R$2005,$A33,'Operating Expenses'!$A$5:$A$2005,"&gt;="&amp;ReportFrom,'Operating Expenses'!$A$5:$A$2005,"&lt;="&amp;ReportTo)+SUMIFS('Operating Expenses'!$P$5:$P$2005,'Operating Expenses'!$S$5:$S$2005,$A33,'Operating Expenses'!$A$5:$A$2005,"&gt;="&amp;ReportFrom,'Operating Expenses'!$A$5:$A$2005,"&lt;="&amp;ReportTo)+SUMIFS('Operating Expenses'!$N$5:$N$2005,'Operating Expenses'!$U$5:$U$2005,$A33,'Operating Expenses'!$A$5:$A$2005,"&gt;="&amp;ReportFrom,'Operating Expenses'!$A$5:$A$2005,"&lt;="&amp;ReportTo))</f>
        <v/>
      </c>
      <c r="R33" s="25">
        <f>IF($A33="",0,(SUMIFS('Payroll'!$O$5:$O$2005,'Payroll'!$Q$5:$Q$2005,$A33,'Payroll'!$A$5:$A$2005,"&lt;"&amp;ReportFrom))-(SUMIFS('Payroll'!$K$5:$K$2005,'Payroll'!$R$5:$R$2005,$A33,'Payroll'!$A$5:$A$2005,"&lt;"&amp;ReportFrom)+SUMIFS('Payroll'!$P$5:$P$2005,'Payroll'!$S$5:$S$2005,$A33,'Payroll'!$A$5:$A$2005,"&lt;"&amp;ReportFrom)))</f>
        <v/>
      </c>
      <c r="S33" s="25">
        <f>IF($A33="",0,SUMIFS('Payroll'!$O$5:$O$2005,'Payroll'!$Q$5:$Q$2005,$A33,'Payroll'!$A$5:$A$2005,"&gt;="&amp;ReportFrom,'Payroll'!$A$5:$A$2005,"&lt;="&amp;ReportTo))</f>
        <v/>
      </c>
      <c r="T33" s="25">
        <f>IF($A33="",0,SUMIFS('Payroll'!$K$5:$K$2005,'Payroll'!$R$5:$R$2005,$A33,'Payroll'!$A$5:$A$2005,"&gt;="&amp;ReportFrom,'Payroll'!$A$5:$A$2005,"&lt;="&amp;ReportTo)+SUMIFS('Payroll'!$P$5:$P$2005,'Payroll'!$S$5:$S$2005,$A33,'Payroll'!$A$5:$A$2005,"&gt;="&amp;ReportFrom,'Payroll'!$A$5:$A$2005,"&lt;="&amp;ReportTo))</f>
        <v/>
      </c>
      <c r="U33" s="25">
        <f>IF($A33="",0,(SUMIFS('Receipt Vouchers'!$F$5:$F$2005,'Receipt Vouchers'!$O$5:$O$2005,$A33,'Receipt Vouchers'!$A$5:$A$2005,"&lt;"&amp;ReportFrom)+SUMIFS('Receipt Vouchers'!$J$5:$J$2005,'Receipt Vouchers'!$Q$5:$Q$2005,$A33,'Receipt Vouchers'!$A$5:$A$2005,"&lt;"&amp;ReportFrom))-(SUMIFS('Receipt Vouchers'!$N$5:$N$2005,'Receipt Vouchers'!$P$5:$P$2005,$A33,'Receipt Vouchers'!$A$5:$A$2005,"&lt;"&amp;ReportFrom)+SUMIFS('Receipt Vouchers'!$M$5:$M$2005,'Receipt Vouchers'!$R$5:$R$2005,$A33,'Receipt Vouchers'!$A$5:$A$2005,"&lt;"&amp;ReportFrom)))</f>
        <v/>
      </c>
      <c r="V33" s="25">
        <f>IF($A33="",0,SUMIFS('Receipt Vouchers'!$F$5:$F$2005,'Receipt Vouchers'!$O$5:$O$2005,$A33,'Receipt Vouchers'!$A$5:$A$2005,"&gt;="&amp;ReportFrom,'Receipt Vouchers'!$A$5:$A$2005,"&lt;="&amp;ReportTo)+SUMIFS('Receipt Vouchers'!$J$5:$J$2005,'Receipt Vouchers'!$Q$5:$Q$2005,$A33,'Receipt Vouchers'!$A$5:$A$2005,"&gt;="&amp;ReportFrom,'Receipt Vouchers'!$A$5:$A$2005,"&lt;="&amp;ReportTo))</f>
        <v/>
      </c>
      <c r="W33" s="25">
        <f>IF($A33="",0,SUMIFS('Receipt Vouchers'!$N$5:$N$2005,'Receipt Vouchers'!$P$5:$P$2005,$A33,'Receipt Vouchers'!$A$5:$A$2005,"&gt;="&amp;ReportFrom,'Receipt Vouchers'!$A$5:$A$2005,"&lt;="&amp;ReportTo)+SUMIFS('Receipt Vouchers'!$M$5:$M$2005,'Receipt Vouchers'!$R$5:$R$2005,$A33,'Receipt Vouchers'!$A$5:$A$2005,"&gt;="&amp;ReportFrom,'Receipt Vouchers'!$A$5:$A$2005,"&lt;="&amp;ReportTo))</f>
        <v/>
      </c>
      <c r="X33" s="25">
        <f>IF($A33="",0,(SUMIFS('Sales Invoices'!$O$5:$O$2005,'Sales Invoices'!$P$5:$P$2005,$A33,'Sales Invoices'!$B$5:$B$2005,"&lt;"&amp;ReportFrom)+SUMIFS('Sales Invoices'!$N$5:$N$2005,'Sales Invoices'!$R$5:$R$2005,$A33,'Sales Invoices'!$B$5:$B$2005,"&lt;"&amp;ReportFrom))-(SUMIFS('Sales Invoices'!$L$5:$L$2005,'Sales Invoices'!$Q$5:$Q$2005,$A33,'Sales Invoices'!$B$5:$B$2005,"&lt;"&amp;ReportFrom)+SUMIFS('Sales Invoices'!$M$5:$M$2005,'Sales Invoices'!$S$5:$S$2005,$A33,'Sales Invoices'!$B$5:$B$2005,"&lt;"&amp;ReportFrom)))</f>
        <v/>
      </c>
      <c r="Y33" s="25">
        <f>IF($A33="",0,SUMIFS('Sales Invoices'!$O$5:$O$2005,'Sales Invoices'!$P$5:$P$2005,$A33,'Sales Invoices'!$B$5:$B$2005,"&gt;="&amp;ReportFrom,'Sales Invoices'!$B$5:$B$2005,"&lt;="&amp;ReportTo)+SUMIFS('Sales Invoices'!$N$5:$N$2005,'Sales Invoices'!$R$5:$R$2005,$A33,'Sales Invoices'!$B$5:$B$2005,"&gt;="&amp;ReportFrom,'Sales Invoices'!$B$5:$B$2005,"&lt;="&amp;ReportTo))</f>
        <v/>
      </c>
      <c r="Z33" s="25">
        <f>IF($A33="",0,SUMIFS('Sales Invoices'!$L$5:$L$2005,'Sales Invoices'!$Q$5:$Q$2005,$A33,'Sales Invoices'!$B$5:$B$2005,"&gt;="&amp;ReportFrom,'Sales Invoices'!$B$5:$B$2005,"&lt;="&amp;ReportTo)+SUMIFS('Sales Invoices'!$M$5:$M$2005,'Sales Invoices'!$S$5:$S$2005,$A33,'Sales Invoices'!$B$5:$B$2005,"&gt;="&amp;ReportFrom,'Sales Invoices'!$B$5:$B$2005,"&lt;="&amp;ReportTo))</f>
        <v/>
      </c>
      <c r="AA33" s="25">
        <f>IF($A33="",0,(SUMIFS('Payment Vouchers'!$D$5:$D$2005,'Payment Vouchers'!$J$5:$J$2005,$A33,'Payment Vouchers'!$A$5:$A$2005,"&lt;"&amp;ReportFrom))-(SUMIFS('Payment Vouchers'!$D$5:$D$2005,'Payment Vouchers'!$K$5:$K$2005,$A33,'Payment Vouchers'!$A$5:$A$2005,"&lt;"&amp;ReportFrom)))</f>
        <v/>
      </c>
      <c r="AB33" s="25">
        <f>IF($A33="",0,SUMIFS('Payment Vouchers'!$D$5:$D$2005,'Payment Vouchers'!$J$5:$J$2005,$A33,'Payment Vouchers'!$A$5:$A$2005,"&gt;="&amp;ReportFrom,'Payment Vouchers'!$A$5:$A$2005,"&lt;="&amp;ReportTo))</f>
        <v/>
      </c>
      <c r="AC33" s="25">
        <f>IF($A33="",0,SUMIFS('Payment Vouchers'!$D$5:$D$2005,'Payment Vouchers'!$K$5:$K$2005,$A33,'Payment Vouchers'!$A$5:$A$2005,"&gt;="&amp;ReportFrom,'Payment Vouchers'!$A$5:$A$2005,"&lt;="&amp;ReportTo))</f>
        <v/>
      </c>
      <c r="AD33" s="25">
        <f>IF($A33="",0,(SUMIFS('Partner Transactions'!$D$5:$D$2005,'Partner Transactions'!$L$5:$L$2005,$A33,'Partner Transactions'!$A$5:$A$2005,"&lt;"&amp;ReportFrom))-(SUMIFS('Partner Transactions'!$D$5:$D$2005,'Partner Transactions'!$M$5:$M$2005,$A33,'Partner Transactions'!$A$5:$A$2005,"&lt;"&amp;ReportFrom)))</f>
        <v/>
      </c>
      <c r="AE33" s="25">
        <f>IF($A33="",0,SUMIFS('Partner Transactions'!$D$5:$D$2005,'Partner Transactions'!$L$5:$L$2005,$A33,'Partner Transactions'!$A$5:$A$2005,"&gt;="&amp;ReportFrom,'Partner Transactions'!$A$5:$A$2005,"&lt;="&amp;ReportTo))</f>
        <v/>
      </c>
      <c r="AF33" s="25">
        <f>IF($A33="",0,SUMIFS('Partner Transactions'!$D$5:$D$2005,'Partner Transactions'!$M$5:$M$2005,$A33,'Partner Transactions'!$A$5:$A$2005,"&gt;="&amp;ReportFrom,'Partner Transactions'!$A$5:$A$2005,"&lt;="&amp;ReportTo))</f>
        <v/>
      </c>
      <c r="AG33" s="25">
        <f>IF($A33="",0,(SUMIFS('Stock Moves'!$S$5:$S$2005,'Stock Moves'!$AD$5:$AD$2005,$A33,'Stock Moves'!$A$5:$A$2005,"&lt;"&amp;ReportFrom)+SUMIFS('Stock Moves'!$T$5:$T$2005,'Stock Moves'!$V$5:$V$2005,$A33,'Stock Moves'!$A$5:$A$2005,"&lt;"&amp;ReportFrom))-(SUMIFS('Stock Moves'!$AF$5:$AF$2005,'Stock Moves'!$AE$5:$AE$2005,$A33,'Stock Moves'!$A$5:$A$2005,"&lt;"&amp;ReportFrom)+SUMIFS('Stock Moves'!$AC$5:$AC$2005,'Stock Moves'!$X$5:$X$2005,$A33,'Stock Moves'!$A$5:$A$2005,"&lt;"&amp;ReportFrom)+SUMIFS('Stock Moves'!$U$5:$U$2005,'Stock Moves'!$W$5:$W$2005,$A33,'Stock Moves'!$A$5:$A$2005,"&lt;"&amp;ReportFrom)))</f>
        <v/>
      </c>
      <c r="AH33" s="25">
        <f>IF($A33="",0,SUMIFS('Stock Moves'!$S$5:$S$2005,'Stock Moves'!$AD$5:$AD$2005,$A33,'Stock Moves'!$A$5:$A$2005,"&gt;="&amp;ReportFrom,'Stock Moves'!$A$5:$A$2005,"&lt;="&amp;ReportTo)+SUMIFS('Stock Moves'!$T$5:$T$2005,'Stock Moves'!$V$5:$V$2005,$A33,'Stock Moves'!$A$5:$A$2005,"&gt;="&amp;ReportFrom,'Stock Moves'!$A$5:$A$2005,"&lt;="&amp;ReportTo))</f>
        <v/>
      </c>
      <c r="AI33" s="25">
        <f>IF($A33="",0,SUMIFS('Stock Moves'!$AF$5:$AF$2005,'Stock Moves'!$AE$5:$AE$2005,$A33,'Stock Moves'!$A$5:$A$2005,"&gt;="&amp;ReportFrom,'Stock Moves'!$A$5:$A$2005,"&lt;="&amp;ReportTo)+SUMIFS('Stock Moves'!$AC$5:$AC$2005,'Stock Moves'!$X$5:$X$2005,$A33,'Stock Moves'!$A$5:$A$2005,"&gt;="&amp;ReportFrom,'Stock Moves'!$A$5:$A$2005,"&lt;="&amp;ReportTo)+SUMIFS('Stock Moves'!$U$5:$U$2005,'Stock Moves'!$W$5:$W$2005,$A33,'Stock Moves'!$A$5:$A$2005,"&gt;="&amp;ReportFrom,'Stock Moves'!$A$5:$A$2005,"&lt;="&amp;ReportTo))</f>
        <v/>
      </c>
      <c r="AJ33" s="25">
        <f>IF($A33="",0,(SUMIFS('Journal Vouchers'!$I$5:$I$2005,'Journal Vouchers'!$H$5:$H$2005,$A33,'Journal Vouchers'!$B$5:$B$2005,"&lt;"&amp;ReportFrom))-(SUMIFS('Journal Vouchers'!$J$5:$J$2005,'Journal Vouchers'!$H$5:$H$2005,$A33,'Journal Vouchers'!$B$5:$B$2005,"&lt;"&amp;ReportFrom)))</f>
        <v/>
      </c>
      <c r="AK33" s="25">
        <f>IF($A33="",0,SUMIFS('Journal Vouchers'!$I$5:$I$2005,'Journal Vouchers'!$H$5:$H$2005,$A33,'Journal Vouchers'!$B$5:$B$2005,"&gt;="&amp;ReportFrom,'Journal Vouchers'!$B$5:$B$2005,"&lt;="&amp;ReportTo))</f>
        <v/>
      </c>
      <c r="AL33" s="25">
        <f>IF($A33="",0,SUMIFS('Journal Vouchers'!$J$5:$J$2005,'Journal Vouchers'!$H$5:$H$2005,$A33,'Journal Vouchers'!$B$5:$B$2005,"&gt;="&amp;ReportFrom,'Journal Vouchers'!$B$5:$B$2005,"&lt;="&amp;ReportTo))</f>
        <v/>
      </c>
    </row>
    <row r="34">
      <c r="A34" s="25">
        <f>IF('Chart of Accounts'!A34="","",'Chart of Accounts'!A34&amp;"")</f>
        <v/>
      </c>
      <c r="B34" s="25">
        <f>IF(A34="","",'Chart of Accounts'!B34)</f>
        <v/>
      </c>
      <c r="C34" s="25">
        <f>IF(A34="","",'Chart of Accounts'!C34)</f>
        <v/>
      </c>
      <c r="D34" s="25">
        <f>IF(A34="","",'Chart of Accounts'!D34)</f>
        <v/>
      </c>
      <c r="E34" s="26">
        <f>L34+O34+R34+U34+X34+AA34+AD34+AG34+AJ34</f>
        <v/>
      </c>
      <c r="F34" s="26">
        <f>M34+P34+S34+V34+Y34+AB34+AE34+AH34+AK34</f>
        <v/>
      </c>
      <c r="G34" s="26">
        <f>N34+Q34+T34+W34+Z34+AC34+AF34+AI34+AL34</f>
        <v/>
      </c>
      <c r="H34" s="26">
        <f>E34+F34-G34</f>
        <v/>
      </c>
      <c r="I34" s="26">
        <f>MAX(H34,0)</f>
        <v/>
      </c>
      <c r="J34" s="26">
        <f>MAX(-H34,0)</f>
        <v/>
      </c>
      <c r="L34" s="25">
        <f>IF($A34="",0,(SUMIFS('Direct Costs'!$R$5:$R$2005,'Direct Costs'!$V$5:$V$2005,$A34,'Direct Costs'!$A$5:$A$2005,"&lt;"&amp;ReportFrom)+SUMIFS('Direct Costs'!$S$5:$S$2005,'Direct Costs'!$Y$5:$Y$2005,$A34,'Direct Costs'!$A$5:$A$2005,"&lt;"&amp;ReportFrom))-(SUMIFS('Direct Costs'!$L$5:$L$2005,'Direct Costs'!$W$5:$W$2005,$A34,'Direct Costs'!$A$5:$A$2005,"&lt;"&amp;ReportFrom)+SUMIFS('Direct Costs'!$U$5:$U$2005,'Direct Costs'!$X$5:$X$2005,$A34,'Direct Costs'!$A$5:$A$2005,"&lt;"&amp;ReportFrom)+SUMIFS('Direct Costs'!$T$5:$T$2005,'Direct Costs'!$Z$5:$Z$2005,$A34,'Direct Costs'!$A$5:$A$2005,"&lt;"&amp;ReportFrom)))</f>
        <v/>
      </c>
      <c r="M34" s="25">
        <f>IF($A34="",0,SUMIFS('Direct Costs'!$R$5:$R$2005,'Direct Costs'!$V$5:$V$2005,$A34,'Direct Costs'!$A$5:$A$2005,"&gt;="&amp;ReportFrom,'Direct Costs'!$A$5:$A$2005,"&lt;="&amp;ReportTo)+SUMIFS('Direct Costs'!$S$5:$S$2005,'Direct Costs'!$Y$5:$Y$2005,$A34,'Direct Costs'!$A$5:$A$2005,"&gt;="&amp;ReportFrom,'Direct Costs'!$A$5:$A$2005,"&lt;="&amp;ReportTo))</f>
        <v/>
      </c>
      <c r="N34" s="25">
        <f>IF($A34="",0,SUMIFS('Direct Costs'!$L$5:$L$2005,'Direct Costs'!$W$5:$W$2005,$A34,'Direct Costs'!$A$5:$A$2005,"&gt;="&amp;ReportFrom,'Direct Costs'!$A$5:$A$2005,"&lt;="&amp;ReportTo)+SUMIFS('Direct Costs'!$U$5:$U$2005,'Direct Costs'!$X$5:$X$2005,$A34,'Direct Costs'!$A$5:$A$2005,"&gt;="&amp;ReportFrom,'Direct Costs'!$A$5:$A$2005,"&lt;="&amp;ReportTo)+SUMIFS('Direct Costs'!$T$5:$T$2005,'Direct Costs'!$Z$5:$Z$2005,$A34,'Direct Costs'!$A$5:$A$2005,"&gt;="&amp;ReportFrom,'Direct Costs'!$A$5:$A$2005,"&lt;="&amp;ReportTo))</f>
        <v/>
      </c>
      <c r="O34" s="25">
        <f>IF($A34="",0,(SUMIFS('Operating Expenses'!$F$5:$F$2005,'Operating Expenses'!$Q$5:$Q$2005,$A34,'Operating Expenses'!$A$5:$A$2005,"&lt;"&amp;ReportFrom)+SUMIFS('Operating Expenses'!$M$5:$M$2005,'Operating Expenses'!$T$5:$T$2005,$A34,'Operating Expenses'!$A$5:$A$2005,"&lt;"&amp;ReportFrom))-(SUMIFS('Operating Expenses'!$O$5:$O$2005,'Operating Expenses'!$R$5:$R$2005,$A34,'Operating Expenses'!$A$5:$A$2005,"&lt;"&amp;ReportFrom)+SUMIFS('Operating Expenses'!$P$5:$P$2005,'Operating Expenses'!$S$5:$S$2005,$A34,'Operating Expenses'!$A$5:$A$2005,"&lt;"&amp;ReportFrom)+SUMIFS('Operating Expenses'!$N$5:$N$2005,'Operating Expenses'!$U$5:$U$2005,$A34,'Operating Expenses'!$A$5:$A$2005,"&lt;"&amp;ReportFrom)))</f>
        <v/>
      </c>
      <c r="P34" s="25">
        <f>IF($A34="",0,SUMIFS('Operating Expenses'!$F$5:$F$2005,'Operating Expenses'!$Q$5:$Q$2005,$A34,'Operating Expenses'!$A$5:$A$2005,"&gt;="&amp;ReportFrom,'Operating Expenses'!$A$5:$A$2005,"&lt;="&amp;ReportTo)+SUMIFS('Operating Expenses'!$M$5:$M$2005,'Operating Expenses'!$T$5:$T$2005,$A34,'Operating Expenses'!$A$5:$A$2005,"&gt;="&amp;ReportFrom,'Operating Expenses'!$A$5:$A$2005,"&lt;="&amp;ReportTo))</f>
        <v/>
      </c>
      <c r="Q34" s="25">
        <f>IF($A34="",0,SUMIFS('Operating Expenses'!$O$5:$O$2005,'Operating Expenses'!$R$5:$R$2005,$A34,'Operating Expenses'!$A$5:$A$2005,"&gt;="&amp;ReportFrom,'Operating Expenses'!$A$5:$A$2005,"&lt;="&amp;ReportTo)+SUMIFS('Operating Expenses'!$P$5:$P$2005,'Operating Expenses'!$S$5:$S$2005,$A34,'Operating Expenses'!$A$5:$A$2005,"&gt;="&amp;ReportFrom,'Operating Expenses'!$A$5:$A$2005,"&lt;="&amp;ReportTo)+SUMIFS('Operating Expenses'!$N$5:$N$2005,'Operating Expenses'!$U$5:$U$2005,$A34,'Operating Expenses'!$A$5:$A$2005,"&gt;="&amp;ReportFrom,'Operating Expenses'!$A$5:$A$2005,"&lt;="&amp;ReportTo))</f>
        <v/>
      </c>
      <c r="R34" s="25">
        <f>IF($A34="",0,(SUMIFS('Payroll'!$O$5:$O$2005,'Payroll'!$Q$5:$Q$2005,$A34,'Payroll'!$A$5:$A$2005,"&lt;"&amp;ReportFrom))-(SUMIFS('Payroll'!$K$5:$K$2005,'Payroll'!$R$5:$R$2005,$A34,'Payroll'!$A$5:$A$2005,"&lt;"&amp;ReportFrom)+SUMIFS('Payroll'!$P$5:$P$2005,'Payroll'!$S$5:$S$2005,$A34,'Payroll'!$A$5:$A$2005,"&lt;"&amp;ReportFrom)))</f>
        <v/>
      </c>
      <c r="S34" s="25">
        <f>IF($A34="",0,SUMIFS('Payroll'!$O$5:$O$2005,'Payroll'!$Q$5:$Q$2005,$A34,'Payroll'!$A$5:$A$2005,"&gt;="&amp;ReportFrom,'Payroll'!$A$5:$A$2005,"&lt;="&amp;ReportTo))</f>
        <v/>
      </c>
      <c r="T34" s="25">
        <f>IF($A34="",0,SUMIFS('Payroll'!$K$5:$K$2005,'Payroll'!$R$5:$R$2005,$A34,'Payroll'!$A$5:$A$2005,"&gt;="&amp;ReportFrom,'Payroll'!$A$5:$A$2005,"&lt;="&amp;ReportTo)+SUMIFS('Payroll'!$P$5:$P$2005,'Payroll'!$S$5:$S$2005,$A34,'Payroll'!$A$5:$A$2005,"&gt;="&amp;ReportFrom,'Payroll'!$A$5:$A$2005,"&lt;="&amp;ReportTo))</f>
        <v/>
      </c>
      <c r="U34" s="25">
        <f>IF($A34="",0,(SUMIFS('Receipt Vouchers'!$F$5:$F$2005,'Receipt Vouchers'!$O$5:$O$2005,$A34,'Receipt Vouchers'!$A$5:$A$2005,"&lt;"&amp;ReportFrom)+SUMIFS('Receipt Vouchers'!$J$5:$J$2005,'Receipt Vouchers'!$Q$5:$Q$2005,$A34,'Receipt Vouchers'!$A$5:$A$2005,"&lt;"&amp;ReportFrom))-(SUMIFS('Receipt Vouchers'!$N$5:$N$2005,'Receipt Vouchers'!$P$5:$P$2005,$A34,'Receipt Vouchers'!$A$5:$A$2005,"&lt;"&amp;ReportFrom)+SUMIFS('Receipt Vouchers'!$M$5:$M$2005,'Receipt Vouchers'!$R$5:$R$2005,$A34,'Receipt Vouchers'!$A$5:$A$2005,"&lt;"&amp;ReportFrom)))</f>
        <v/>
      </c>
      <c r="V34" s="25">
        <f>IF($A34="",0,SUMIFS('Receipt Vouchers'!$F$5:$F$2005,'Receipt Vouchers'!$O$5:$O$2005,$A34,'Receipt Vouchers'!$A$5:$A$2005,"&gt;="&amp;ReportFrom,'Receipt Vouchers'!$A$5:$A$2005,"&lt;="&amp;ReportTo)+SUMIFS('Receipt Vouchers'!$J$5:$J$2005,'Receipt Vouchers'!$Q$5:$Q$2005,$A34,'Receipt Vouchers'!$A$5:$A$2005,"&gt;="&amp;ReportFrom,'Receipt Vouchers'!$A$5:$A$2005,"&lt;="&amp;ReportTo))</f>
        <v/>
      </c>
      <c r="W34" s="25">
        <f>IF($A34="",0,SUMIFS('Receipt Vouchers'!$N$5:$N$2005,'Receipt Vouchers'!$P$5:$P$2005,$A34,'Receipt Vouchers'!$A$5:$A$2005,"&gt;="&amp;ReportFrom,'Receipt Vouchers'!$A$5:$A$2005,"&lt;="&amp;ReportTo)+SUMIFS('Receipt Vouchers'!$M$5:$M$2005,'Receipt Vouchers'!$R$5:$R$2005,$A34,'Receipt Vouchers'!$A$5:$A$2005,"&gt;="&amp;ReportFrom,'Receipt Vouchers'!$A$5:$A$2005,"&lt;="&amp;ReportTo))</f>
        <v/>
      </c>
      <c r="X34" s="25">
        <f>IF($A34="",0,(SUMIFS('Sales Invoices'!$O$5:$O$2005,'Sales Invoices'!$P$5:$P$2005,$A34,'Sales Invoices'!$B$5:$B$2005,"&lt;"&amp;ReportFrom)+SUMIFS('Sales Invoices'!$N$5:$N$2005,'Sales Invoices'!$R$5:$R$2005,$A34,'Sales Invoices'!$B$5:$B$2005,"&lt;"&amp;ReportFrom))-(SUMIFS('Sales Invoices'!$L$5:$L$2005,'Sales Invoices'!$Q$5:$Q$2005,$A34,'Sales Invoices'!$B$5:$B$2005,"&lt;"&amp;ReportFrom)+SUMIFS('Sales Invoices'!$M$5:$M$2005,'Sales Invoices'!$S$5:$S$2005,$A34,'Sales Invoices'!$B$5:$B$2005,"&lt;"&amp;ReportFrom)))</f>
        <v/>
      </c>
      <c r="Y34" s="25">
        <f>IF($A34="",0,SUMIFS('Sales Invoices'!$O$5:$O$2005,'Sales Invoices'!$P$5:$P$2005,$A34,'Sales Invoices'!$B$5:$B$2005,"&gt;="&amp;ReportFrom,'Sales Invoices'!$B$5:$B$2005,"&lt;="&amp;ReportTo)+SUMIFS('Sales Invoices'!$N$5:$N$2005,'Sales Invoices'!$R$5:$R$2005,$A34,'Sales Invoices'!$B$5:$B$2005,"&gt;="&amp;ReportFrom,'Sales Invoices'!$B$5:$B$2005,"&lt;="&amp;ReportTo))</f>
        <v/>
      </c>
      <c r="Z34" s="25">
        <f>IF($A34="",0,SUMIFS('Sales Invoices'!$L$5:$L$2005,'Sales Invoices'!$Q$5:$Q$2005,$A34,'Sales Invoices'!$B$5:$B$2005,"&gt;="&amp;ReportFrom,'Sales Invoices'!$B$5:$B$2005,"&lt;="&amp;ReportTo)+SUMIFS('Sales Invoices'!$M$5:$M$2005,'Sales Invoices'!$S$5:$S$2005,$A34,'Sales Invoices'!$B$5:$B$2005,"&gt;="&amp;ReportFrom,'Sales Invoices'!$B$5:$B$2005,"&lt;="&amp;ReportTo))</f>
        <v/>
      </c>
      <c r="AA34" s="25">
        <f>IF($A34="",0,(SUMIFS('Payment Vouchers'!$D$5:$D$2005,'Payment Vouchers'!$J$5:$J$2005,$A34,'Payment Vouchers'!$A$5:$A$2005,"&lt;"&amp;ReportFrom))-(SUMIFS('Payment Vouchers'!$D$5:$D$2005,'Payment Vouchers'!$K$5:$K$2005,$A34,'Payment Vouchers'!$A$5:$A$2005,"&lt;"&amp;ReportFrom)))</f>
        <v/>
      </c>
      <c r="AB34" s="25">
        <f>IF($A34="",0,SUMIFS('Payment Vouchers'!$D$5:$D$2005,'Payment Vouchers'!$J$5:$J$2005,$A34,'Payment Vouchers'!$A$5:$A$2005,"&gt;="&amp;ReportFrom,'Payment Vouchers'!$A$5:$A$2005,"&lt;="&amp;ReportTo))</f>
        <v/>
      </c>
      <c r="AC34" s="25">
        <f>IF($A34="",0,SUMIFS('Payment Vouchers'!$D$5:$D$2005,'Payment Vouchers'!$K$5:$K$2005,$A34,'Payment Vouchers'!$A$5:$A$2005,"&gt;="&amp;ReportFrom,'Payment Vouchers'!$A$5:$A$2005,"&lt;="&amp;ReportTo))</f>
        <v/>
      </c>
      <c r="AD34" s="25">
        <f>IF($A34="",0,(SUMIFS('Partner Transactions'!$D$5:$D$2005,'Partner Transactions'!$L$5:$L$2005,$A34,'Partner Transactions'!$A$5:$A$2005,"&lt;"&amp;ReportFrom))-(SUMIFS('Partner Transactions'!$D$5:$D$2005,'Partner Transactions'!$M$5:$M$2005,$A34,'Partner Transactions'!$A$5:$A$2005,"&lt;"&amp;ReportFrom)))</f>
        <v/>
      </c>
      <c r="AE34" s="25">
        <f>IF($A34="",0,SUMIFS('Partner Transactions'!$D$5:$D$2005,'Partner Transactions'!$L$5:$L$2005,$A34,'Partner Transactions'!$A$5:$A$2005,"&gt;="&amp;ReportFrom,'Partner Transactions'!$A$5:$A$2005,"&lt;="&amp;ReportTo))</f>
        <v/>
      </c>
      <c r="AF34" s="25">
        <f>IF($A34="",0,SUMIFS('Partner Transactions'!$D$5:$D$2005,'Partner Transactions'!$M$5:$M$2005,$A34,'Partner Transactions'!$A$5:$A$2005,"&gt;="&amp;ReportFrom,'Partner Transactions'!$A$5:$A$2005,"&lt;="&amp;ReportTo))</f>
        <v/>
      </c>
      <c r="AG34" s="25">
        <f>IF($A34="",0,(SUMIFS('Stock Moves'!$S$5:$S$2005,'Stock Moves'!$AD$5:$AD$2005,$A34,'Stock Moves'!$A$5:$A$2005,"&lt;"&amp;ReportFrom)+SUMIFS('Stock Moves'!$T$5:$T$2005,'Stock Moves'!$V$5:$V$2005,$A34,'Stock Moves'!$A$5:$A$2005,"&lt;"&amp;ReportFrom))-(SUMIFS('Stock Moves'!$AF$5:$AF$2005,'Stock Moves'!$AE$5:$AE$2005,$A34,'Stock Moves'!$A$5:$A$2005,"&lt;"&amp;ReportFrom)+SUMIFS('Stock Moves'!$AC$5:$AC$2005,'Stock Moves'!$X$5:$X$2005,$A34,'Stock Moves'!$A$5:$A$2005,"&lt;"&amp;ReportFrom)+SUMIFS('Stock Moves'!$U$5:$U$2005,'Stock Moves'!$W$5:$W$2005,$A34,'Stock Moves'!$A$5:$A$2005,"&lt;"&amp;ReportFrom)))</f>
        <v/>
      </c>
      <c r="AH34" s="25">
        <f>IF($A34="",0,SUMIFS('Stock Moves'!$S$5:$S$2005,'Stock Moves'!$AD$5:$AD$2005,$A34,'Stock Moves'!$A$5:$A$2005,"&gt;="&amp;ReportFrom,'Stock Moves'!$A$5:$A$2005,"&lt;="&amp;ReportTo)+SUMIFS('Stock Moves'!$T$5:$T$2005,'Stock Moves'!$V$5:$V$2005,$A34,'Stock Moves'!$A$5:$A$2005,"&gt;="&amp;ReportFrom,'Stock Moves'!$A$5:$A$2005,"&lt;="&amp;ReportTo))</f>
        <v/>
      </c>
      <c r="AI34" s="25">
        <f>IF($A34="",0,SUMIFS('Stock Moves'!$AF$5:$AF$2005,'Stock Moves'!$AE$5:$AE$2005,$A34,'Stock Moves'!$A$5:$A$2005,"&gt;="&amp;ReportFrom,'Stock Moves'!$A$5:$A$2005,"&lt;="&amp;ReportTo)+SUMIFS('Stock Moves'!$AC$5:$AC$2005,'Stock Moves'!$X$5:$X$2005,$A34,'Stock Moves'!$A$5:$A$2005,"&gt;="&amp;ReportFrom,'Stock Moves'!$A$5:$A$2005,"&lt;="&amp;ReportTo)+SUMIFS('Stock Moves'!$U$5:$U$2005,'Stock Moves'!$W$5:$W$2005,$A34,'Stock Moves'!$A$5:$A$2005,"&gt;="&amp;ReportFrom,'Stock Moves'!$A$5:$A$2005,"&lt;="&amp;ReportTo))</f>
        <v/>
      </c>
      <c r="AJ34" s="25">
        <f>IF($A34="",0,(SUMIFS('Journal Vouchers'!$I$5:$I$2005,'Journal Vouchers'!$H$5:$H$2005,$A34,'Journal Vouchers'!$B$5:$B$2005,"&lt;"&amp;ReportFrom))-(SUMIFS('Journal Vouchers'!$J$5:$J$2005,'Journal Vouchers'!$H$5:$H$2005,$A34,'Journal Vouchers'!$B$5:$B$2005,"&lt;"&amp;ReportFrom)))</f>
        <v/>
      </c>
      <c r="AK34" s="25">
        <f>IF($A34="",0,SUMIFS('Journal Vouchers'!$I$5:$I$2005,'Journal Vouchers'!$H$5:$H$2005,$A34,'Journal Vouchers'!$B$5:$B$2005,"&gt;="&amp;ReportFrom,'Journal Vouchers'!$B$5:$B$2005,"&lt;="&amp;ReportTo))</f>
        <v/>
      </c>
      <c r="AL34" s="25">
        <f>IF($A34="",0,SUMIFS('Journal Vouchers'!$J$5:$J$2005,'Journal Vouchers'!$H$5:$H$2005,$A34,'Journal Vouchers'!$B$5:$B$2005,"&gt;="&amp;ReportFrom,'Journal Vouchers'!$B$5:$B$2005,"&lt;="&amp;ReportTo))</f>
        <v/>
      </c>
    </row>
    <row r="35">
      <c r="A35" s="25">
        <f>IF('Chart of Accounts'!A35="","",'Chart of Accounts'!A35&amp;"")</f>
        <v/>
      </c>
      <c r="B35" s="25">
        <f>IF(A35="","",'Chart of Accounts'!B35)</f>
        <v/>
      </c>
      <c r="C35" s="25">
        <f>IF(A35="","",'Chart of Accounts'!C35)</f>
        <v/>
      </c>
      <c r="D35" s="25">
        <f>IF(A35="","",'Chart of Accounts'!D35)</f>
        <v/>
      </c>
      <c r="E35" s="26">
        <f>L35+O35+R35+U35+X35+AA35+AD35+AG35+AJ35</f>
        <v/>
      </c>
      <c r="F35" s="26">
        <f>M35+P35+S35+V35+Y35+AB35+AE35+AH35+AK35</f>
        <v/>
      </c>
      <c r="G35" s="26">
        <f>N35+Q35+T35+W35+Z35+AC35+AF35+AI35+AL35</f>
        <v/>
      </c>
      <c r="H35" s="26">
        <f>E35+F35-G35</f>
        <v/>
      </c>
      <c r="I35" s="26">
        <f>MAX(H35,0)</f>
        <v/>
      </c>
      <c r="J35" s="26">
        <f>MAX(-H35,0)</f>
        <v/>
      </c>
      <c r="L35" s="25">
        <f>IF($A35="",0,(SUMIFS('Direct Costs'!$R$5:$R$2005,'Direct Costs'!$V$5:$V$2005,$A35,'Direct Costs'!$A$5:$A$2005,"&lt;"&amp;ReportFrom)+SUMIFS('Direct Costs'!$S$5:$S$2005,'Direct Costs'!$Y$5:$Y$2005,$A35,'Direct Costs'!$A$5:$A$2005,"&lt;"&amp;ReportFrom))-(SUMIFS('Direct Costs'!$L$5:$L$2005,'Direct Costs'!$W$5:$W$2005,$A35,'Direct Costs'!$A$5:$A$2005,"&lt;"&amp;ReportFrom)+SUMIFS('Direct Costs'!$U$5:$U$2005,'Direct Costs'!$X$5:$X$2005,$A35,'Direct Costs'!$A$5:$A$2005,"&lt;"&amp;ReportFrom)+SUMIFS('Direct Costs'!$T$5:$T$2005,'Direct Costs'!$Z$5:$Z$2005,$A35,'Direct Costs'!$A$5:$A$2005,"&lt;"&amp;ReportFrom)))</f>
        <v/>
      </c>
      <c r="M35" s="25">
        <f>IF($A35="",0,SUMIFS('Direct Costs'!$R$5:$R$2005,'Direct Costs'!$V$5:$V$2005,$A35,'Direct Costs'!$A$5:$A$2005,"&gt;="&amp;ReportFrom,'Direct Costs'!$A$5:$A$2005,"&lt;="&amp;ReportTo)+SUMIFS('Direct Costs'!$S$5:$S$2005,'Direct Costs'!$Y$5:$Y$2005,$A35,'Direct Costs'!$A$5:$A$2005,"&gt;="&amp;ReportFrom,'Direct Costs'!$A$5:$A$2005,"&lt;="&amp;ReportTo))</f>
        <v/>
      </c>
      <c r="N35" s="25">
        <f>IF($A35="",0,SUMIFS('Direct Costs'!$L$5:$L$2005,'Direct Costs'!$W$5:$W$2005,$A35,'Direct Costs'!$A$5:$A$2005,"&gt;="&amp;ReportFrom,'Direct Costs'!$A$5:$A$2005,"&lt;="&amp;ReportTo)+SUMIFS('Direct Costs'!$U$5:$U$2005,'Direct Costs'!$X$5:$X$2005,$A35,'Direct Costs'!$A$5:$A$2005,"&gt;="&amp;ReportFrom,'Direct Costs'!$A$5:$A$2005,"&lt;="&amp;ReportTo)+SUMIFS('Direct Costs'!$T$5:$T$2005,'Direct Costs'!$Z$5:$Z$2005,$A35,'Direct Costs'!$A$5:$A$2005,"&gt;="&amp;ReportFrom,'Direct Costs'!$A$5:$A$2005,"&lt;="&amp;ReportTo))</f>
        <v/>
      </c>
      <c r="O35" s="25">
        <f>IF($A35="",0,(SUMIFS('Operating Expenses'!$F$5:$F$2005,'Operating Expenses'!$Q$5:$Q$2005,$A35,'Operating Expenses'!$A$5:$A$2005,"&lt;"&amp;ReportFrom)+SUMIFS('Operating Expenses'!$M$5:$M$2005,'Operating Expenses'!$T$5:$T$2005,$A35,'Operating Expenses'!$A$5:$A$2005,"&lt;"&amp;ReportFrom))-(SUMIFS('Operating Expenses'!$O$5:$O$2005,'Operating Expenses'!$R$5:$R$2005,$A35,'Operating Expenses'!$A$5:$A$2005,"&lt;"&amp;ReportFrom)+SUMIFS('Operating Expenses'!$P$5:$P$2005,'Operating Expenses'!$S$5:$S$2005,$A35,'Operating Expenses'!$A$5:$A$2005,"&lt;"&amp;ReportFrom)+SUMIFS('Operating Expenses'!$N$5:$N$2005,'Operating Expenses'!$U$5:$U$2005,$A35,'Operating Expenses'!$A$5:$A$2005,"&lt;"&amp;ReportFrom)))</f>
        <v/>
      </c>
      <c r="P35" s="25">
        <f>IF($A35="",0,SUMIFS('Operating Expenses'!$F$5:$F$2005,'Operating Expenses'!$Q$5:$Q$2005,$A35,'Operating Expenses'!$A$5:$A$2005,"&gt;="&amp;ReportFrom,'Operating Expenses'!$A$5:$A$2005,"&lt;="&amp;ReportTo)+SUMIFS('Operating Expenses'!$M$5:$M$2005,'Operating Expenses'!$T$5:$T$2005,$A35,'Operating Expenses'!$A$5:$A$2005,"&gt;="&amp;ReportFrom,'Operating Expenses'!$A$5:$A$2005,"&lt;="&amp;ReportTo))</f>
        <v/>
      </c>
      <c r="Q35" s="25">
        <f>IF($A35="",0,SUMIFS('Operating Expenses'!$O$5:$O$2005,'Operating Expenses'!$R$5:$R$2005,$A35,'Operating Expenses'!$A$5:$A$2005,"&gt;="&amp;ReportFrom,'Operating Expenses'!$A$5:$A$2005,"&lt;="&amp;ReportTo)+SUMIFS('Operating Expenses'!$P$5:$P$2005,'Operating Expenses'!$S$5:$S$2005,$A35,'Operating Expenses'!$A$5:$A$2005,"&gt;="&amp;ReportFrom,'Operating Expenses'!$A$5:$A$2005,"&lt;="&amp;ReportTo)+SUMIFS('Operating Expenses'!$N$5:$N$2005,'Operating Expenses'!$U$5:$U$2005,$A35,'Operating Expenses'!$A$5:$A$2005,"&gt;="&amp;ReportFrom,'Operating Expenses'!$A$5:$A$2005,"&lt;="&amp;ReportTo))</f>
        <v/>
      </c>
      <c r="R35" s="25">
        <f>IF($A35="",0,(SUMIFS('Payroll'!$O$5:$O$2005,'Payroll'!$Q$5:$Q$2005,$A35,'Payroll'!$A$5:$A$2005,"&lt;"&amp;ReportFrom))-(SUMIFS('Payroll'!$K$5:$K$2005,'Payroll'!$R$5:$R$2005,$A35,'Payroll'!$A$5:$A$2005,"&lt;"&amp;ReportFrom)+SUMIFS('Payroll'!$P$5:$P$2005,'Payroll'!$S$5:$S$2005,$A35,'Payroll'!$A$5:$A$2005,"&lt;"&amp;ReportFrom)))</f>
        <v/>
      </c>
      <c r="S35" s="25">
        <f>IF($A35="",0,SUMIFS('Payroll'!$O$5:$O$2005,'Payroll'!$Q$5:$Q$2005,$A35,'Payroll'!$A$5:$A$2005,"&gt;="&amp;ReportFrom,'Payroll'!$A$5:$A$2005,"&lt;="&amp;ReportTo))</f>
        <v/>
      </c>
      <c r="T35" s="25">
        <f>IF($A35="",0,SUMIFS('Payroll'!$K$5:$K$2005,'Payroll'!$R$5:$R$2005,$A35,'Payroll'!$A$5:$A$2005,"&gt;="&amp;ReportFrom,'Payroll'!$A$5:$A$2005,"&lt;="&amp;ReportTo)+SUMIFS('Payroll'!$P$5:$P$2005,'Payroll'!$S$5:$S$2005,$A35,'Payroll'!$A$5:$A$2005,"&gt;="&amp;ReportFrom,'Payroll'!$A$5:$A$2005,"&lt;="&amp;ReportTo))</f>
        <v/>
      </c>
      <c r="U35" s="25">
        <f>IF($A35="",0,(SUMIFS('Receipt Vouchers'!$F$5:$F$2005,'Receipt Vouchers'!$O$5:$O$2005,$A35,'Receipt Vouchers'!$A$5:$A$2005,"&lt;"&amp;ReportFrom)+SUMIFS('Receipt Vouchers'!$J$5:$J$2005,'Receipt Vouchers'!$Q$5:$Q$2005,$A35,'Receipt Vouchers'!$A$5:$A$2005,"&lt;"&amp;ReportFrom))-(SUMIFS('Receipt Vouchers'!$N$5:$N$2005,'Receipt Vouchers'!$P$5:$P$2005,$A35,'Receipt Vouchers'!$A$5:$A$2005,"&lt;"&amp;ReportFrom)+SUMIFS('Receipt Vouchers'!$M$5:$M$2005,'Receipt Vouchers'!$R$5:$R$2005,$A35,'Receipt Vouchers'!$A$5:$A$2005,"&lt;"&amp;ReportFrom)))</f>
        <v/>
      </c>
      <c r="V35" s="25">
        <f>IF($A35="",0,SUMIFS('Receipt Vouchers'!$F$5:$F$2005,'Receipt Vouchers'!$O$5:$O$2005,$A35,'Receipt Vouchers'!$A$5:$A$2005,"&gt;="&amp;ReportFrom,'Receipt Vouchers'!$A$5:$A$2005,"&lt;="&amp;ReportTo)+SUMIFS('Receipt Vouchers'!$J$5:$J$2005,'Receipt Vouchers'!$Q$5:$Q$2005,$A35,'Receipt Vouchers'!$A$5:$A$2005,"&gt;="&amp;ReportFrom,'Receipt Vouchers'!$A$5:$A$2005,"&lt;="&amp;ReportTo))</f>
        <v/>
      </c>
      <c r="W35" s="25">
        <f>IF($A35="",0,SUMIFS('Receipt Vouchers'!$N$5:$N$2005,'Receipt Vouchers'!$P$5:$P$2005,$A35,'Receipt Vouchers'!$A$5:$A$2005,"&gt;="&amp;ReportFrom,'Receipt Vouchers'!$A$5:$A$2005,"&lt;="&amp;ReportTo)+SUMIFS('Receipt Vouchers'!$M$5:$M$2005,'Receipt Vouchers'!$R$5:$R$2005,$A35,'Receipt Vouchers'!$A$5:$A$2005,"&gt;="&amp;ReportFrom,'Receipt Vouchers'!$A$5:$A$2005,"&lt;="&amp;ReportTo))</f>
        <v/>
      </c>
      <c r="X35" s="25">
        <f>IF($A35="",0,(SUMIFS('Sales Invoices'!$O$5:$O$2005,'Sales Invoices'!$P$5:$P$2005,$A35,'Sales Invoices'!$B$5:$B$2005,"&lt;"&amp;ReportFrom)+SUMIFS('Sales Invoices'!$N$5:$N$2005,'Sales Invoices'!$R$5:$R$2005,$A35,'Sales Invoices'!$B$5:$B$2005,"&lt;"&amp;ReportFrom))-(SUMIFS('Sales Invoices'!$L$5:$L$2005,'Sales Invoices'!$Q$5:$Q$2005,$A35,'Sales Invoices'!$B$5:$B$2005,"&lt;"&amp;ReportFrom)+SUMIFS('Sales Invoices'!$M$5:$M$2005,'Sales Invoices'!$S$5:$S$2005,$A35,'Sales Invoices'!$B$5:$B$2005,"&lt;"&amp;ReportFrom)))</f>
        <v/>
      </c>
      <c r="Y35" s="25">
        <f>IF($A35="",0,SUMIFS('Sales Invoices'!$O$5:$O$2005,'Sales Invoices'!$P$5:$P$2005,$A35,'Sales Invoices'!$B$5:$B$2005,"&gt;="&amp;ReportFrom,'Sales Invoices'!$B$5:$B$2005,"&lt;="&amp;ReportTo)+SUMIFS('Sales Invoices'!$N$5:$N$2005,'Sales Invoices'!$R$5:$R$2005,$A35,'Sales Invoices'!$B$5:$B$2005,"&gt;="&amp;ReportFrom,'Sales Invoices'!$B$5:$B$2005,"&lt;="&amp;ReportTo))</f>
        <v/>
      </c>
      <c r="Z35" s="25">
        <f>IF($A35="",0,SUMIFS('Sales Invoices'!$L$5:$L$2005,'Sales Invoices'!$Q$5:$Q$2005,$A35,'Sales Invoices'!$B$5:$B$2005,"&gt;="&amp;ReportFrom,'Sales Invoices'!$B$5:$B$2005,"&lt;="&amp;ReportTo)+SUMIFS('Sales Invoices'!$M$5:$M$2005,'Sales Invoices'!$S$5:$S$2005,$A35,'Sales Invoices'!$B$5:$B$2005,"&gt;="&amp;ReportFrom,'Sales Invoices'!$B$5:$B$2005,"&lt;="&amp;ReportTo))</f>
        <v/>
      </c>
      <c r="AA35" s="25">
        <f>IF($A35="",0,(SUMIFS('Payment Vouchers'!$D$5:$D$2005,'Payment Vouchers'!$J$5:$J$2005,$A35,'Payment Vouchers'!$A$5:$A$2005,"&lt;"&amp;ReportFrom))-(SUMIFS('Payment Vouchers'!$D$5:$D$2005,'Payment Vouchers'!$K$5:$K$2005,$A35,'Payment Vouchers'!$A$5:$A$2005,"&lt;"&amp;ReportFrom)))</f>
        <v/>
      </c>
      <c r="AB35" s="25">
        <f>IF($A35="",0,SUMIFS('Payment Vouchers'!$D$5:$D$2005,'Payment Vouchers'!$J$5:$J$2005,$A35,'Payment Vouchers'!$A$5:$A$2005,"&gt;="&amp;ReportFrom,'Payment Vouchers'!$A$5:$A$2005,"&lt;="&amp;ReportTo))</f>
        <v/>
      </c>
      <c r="AC35" s="25">
        <f>IF($A35="",0,SUMIFS('Payment Vouchers'!$D$5:$D$2005,'Payment Vouchers'!$K$5:$K$2005,$A35,'Payment Vouchers'!$A$5:$A$2005,"&gt;="&amp;ReportFrom,'Payment Vouchers'!$A$5:$A$2005,"&lt;="&amp;ReportTo))</f>
        <v/>
      </c>
      <c r="AD35" s="25">
        <f>IF($A35="",0,(SUMIFS('Partner Transactions'!$D$5:$D$2005,'Partner Transactions'!$L$5:$L$2005,$A35,'Partner Transactions'!$A$5:$A$2005,"&lt;"&amp;ReportFrom))-(SUMIFS('Partner Transactions'!$D$5:$D$2005,'Partner Transactions'!$M$5:$M$2005,$A35,'Partner Transactions'!$A$5:$A$2005,"&lt;"&amp;ReportFrom)))</f>
        <v/>
      </c>
      <c r="AE35" s="25">
        <f>IF($A35="",0,SUMIFS('Partner Transactions'!$D$5:$D$2005,'Partner Transactions'!$L$5:$L$2005,$A35,'Partner Transactions'!$A$5:$A$2005,"&gt;="&amp;ReportFrom,'Partner Transactions'!$A$5:$A$2005,"&lt;="&amp;ReportTo))</f>
        <v/>
      </c>
      <c r="AF35" s="25">
        <f>IF($A35="",0,SUMIFS('Partner Transactions'!$D$5:$D$2005,'Partner Transactions'!$M$5:$M$2005,$A35,'Partner Transactions'!$A$5:$A$2005,"&gt;="&amp;ReportFrom,'Partner Transactions'!$A$5:$A$2005,"&lt;="&amp;ReportTo))</f>
        <v/>
      </c>
      <c r="AG35" s="25">
        <f>IF($A35="",0,(SUMIFS('Stock Moves'!$S$5:$S$2005,'Stock Moves'!$AD$5:$AD$2005,$A35,'Stock Moves'!$A$5:$A$2005,"&lt;"&amp;ReportFrom)+SUMIFS('Stock Moves'!$T$5:$T$2005,'Stock Moves'!$V$5:$V$2005,$A35,'Stock Moves'!$A$5:$A$2005,"&lt;"&amp;ReportFrom))-(SUMIFS('Stock Moves'!$AF$5:$AF$2005,'Stock Moves'!$AE$5:$AE$2005,$A35,'Stock Moves'!$A$5:$A$2005,"&lt;"&amp;ReportFrom)+SUMIFS('Stock Moves'!$AC$5:$AC$2005,'Stock Moves'!$X$5:$X$2005,$A35,'Stock Moves'!$A$5:$A$2005,"&lt;"&amp;ReportFrom)+SUMIFS('Stock Moves'!$U$5:$U$2005,'Stock Moves'!$W$5:$W$2005,$A35,'Stock Moves'!$A$5:$A$2005,"&lt;"&amp;ReportFrom)))</f>
        <v/>
      </c>
      <c r="AH35" s="25">
        <f>IF($A35="",0,SUMIFS('Stock Moves'!$S$5:$S$2005,'Stock Moves'!$AD$5:$AD$2005,$A35,'Stock Moves'!$A$5:$A$2005,"&gt;="&amp;ReportFrom,'Stock Moves'!$A$5:$A$2005,"&lt;="&amp;ReportTo)+SUMIFS('Stock Moves'!$T$5:$T$2005,'Stock Moves'!$V$5:$V$2005,$A35,'Stock Moves'!$A$5:$A$2005,"&gt;="&amp;ReportFrom,'Stock Moves'!$A$5:$A$2005,"&lt;="&amp;ReportTo))</f>
        <v/>
      </c>
      <c r="AI35" s="25">
        <f>IF($A35="",0,SUMIFS('Stock Moves'!$AF$5:$AF$2005,'Stock Moves'!$AE$5:$AE$2005,$A35,'Stock Moves'!$A$5:$A$2005,"&gt;="&amp;ReportFrom,'Stock Moves'!$A$5:$A$2005,"&lt;="&amp;ReportTo)+SUMIFS('Stock Moves'!$AC$5:$AC$2005,'Stock Moves'!$X$5:$X$2005,$A35,'Stock Moves'!$A$5:$A$2005,"&gt;="&amp;ReportFrom,'Stock Moves'!$A$5:$A$2005,"&lt;="&amp;ReportTo)+SUMIFS('Stock Moves'!$U$5:$U$2005,'Stock Moves'!$W$5:$W$2005,$A35,'Stock Moves'!$A$5:$A$2005,"&gt;="&amp;ReportFrom,'Stock Moves'!$A$5:$A$2005,"&lt;="&amp;ReportTo))</f>
        <v/>
      </c>
      <c r="AJ35" s="25">
        <f>IF($A35="",0,(SUMIFS('Journal Vouchers'!$I$5:$I$2005,'Journal Vouchers'!$H$5:$H$2005,$A35,'Journal Vouchers'!$B$5:$B$2005,"&lt;"&amp;ReportFrom))-(SUMIFS('Journal Vouchers'!$J$5:$J$2005,'Journal Vouchers'!$H$5:$H$2005,$A35,'Journal Vouchers'!$B$5:$B$2005,"&lt;"&amp;ReportFrom)))</f>
        <v/>
      </c>
      <c r="AK35" s="25">
        <f>IF($A35="",0,SUMIFS('Journal Vouchers'!$I$5:$I$2005,'Journal Vouchers'!$H$5:$H$2005,$A35,'Journal Vouchers'!$B$5:$B$2005,"&gt;="&amp;ReportFrom,'Journal Vouchers'!$B$5:$B$2005,"&lt;="&amp;ReportTo))</f>
        <v/>
      </c>
      <c r="AL35" s="25">
        <f>IF($A35="",0,SUMIFS('Journal Vouchers'!$J$5:$J$2005,'Journal Vouchers'!$H$5:$H$2005,$A35,'Journal Vouchers'!$B$5:$B$2005,"&gt;="&amp;ReportFrom,'Journal Vouchers'!$B$5:$B$2005,"&lt;="&amp;ReportTo))</f>
        <v/>
      </c>
    </row>
    <row r="36">
      <c r="A36" s="25">
        <f>IF('Chart of Accounts'!A36="","",'Chart of Accounts'!A36&amp;"")</f>
        <v/>
      </c>
      <c r="B36" s="25">
        <f>IF(A36="","",'Chart of Accounts'!B36)</f>
        <v/>
      </c>
      <c r="C36" s="25">
        <f>IF(A36="","",'Chart of Accounts'!C36)</f>
        <v/>
      </c>
      <c r="D36" s="25">
        <f>IF(A36="","",'Chart of Accounts'!D36)</f>
        <v/>
      </c>
      <c r="E36" s="26">
        <f>L36+O36+R36+U36+X36+AA36+AD36+AG36+AJ36</f>
        <v/>
      </c>
      <c r="F36" s="26">
        <f>M36+P36+S36+V36+Y36+AB36+AE36+AH36+AK36</f>
        <v/>
      </c>
      <c r="G36" s="26">
        <f>N36+Q36+T36+W36+Z36+AC36+AF36+AI36+AL36</f>
        <v/>
      </c>
      <c r="H36" s="26">
        <f>E36+F36-G36</f>
        <v/>
      </c>
      <c r="I36" s="26">
        <f>MAX(H36,0)</f>
        <v/>
      </c>
      <c r="J36" s="26">
        <f>MAX(-H36,0)</f>
        <v/>
      </c>
      <c r="L36" s="25">
        <f>IF($A36="",0,(SUMIFS('Direct Costs'!$R$5:$R$2005,'Direct Costs'!$V$5:$V$2005,$A36,'Direct Costs'!$A$5:$A$2005,"&lt;"&amp;ReportFrom)+SUMIFS('Direct Costs'!$S$5:$S$2005,'Direct Costs'!$Y$5:$Y$2005,$A36,'Direct Costs'!$A$5:$A$2005,"&lt;"&amp;ReportFrom))-(SUMIFS('Direct Costs'!$L$5:$L$2005,'Direct Costs'!$W$5:$W$2005,$A36,'Direct Costs'!$A$5:$A$2005,"&lt;"&amp;ReportFrom)+SUMIFS('Direct Costs'!$U$5:$U$2005,'Direct Costs'!$X$5:$X$2005,$A36,'Direct Costs'!$A$5:$A$2005,"&lt;"&amp;ReportFrom)+SUMIFS('Direct Costs'!$T$5:$T$2005,'Direct Costs'!$Z$5:$Z$2005,$A36,'Direct Costs'!$A$5:$A$2005,"&lt;"&amp;ReportFrom)))</f>
        <v/>
      </c>
      <c r="M36" s="25">
        <f>IF($A36="",0,SUMIFS('Direct Costs'!$R$5:$R$2005,'Direct Costs'!$V$5:$V$2005,$A36,'Direct Costs'!$A$5:$A$2005,"&gt;="&amp;ReportFrom,'Direct Costs'!$A$5:$A$2005,"&lt;="&amp;ReportTo)+SUMIFS('Direct Costs'!$S$5:$S$2005,'Direct Costs'!$Y$5:$Y$2005,$A36,'Direct Costs'!$A$5:$A$2005,"&gt;="&amp;ReportFrom,'Direct Costs'!$A$5:$A$2005,"&lt;="&amp;ReportTo))</f>
        <v/>
      </c>
      <c r="N36" s="25">
        <f>IF($A36="",0,SUMIFS('Direct Costs'!$L$5:$L$2005,'Direct Costs'!$W$5:$W$2005,$A36,'Direct Costs'!$A$5:$A$2005,"&gt;="&amp;ReportFrom,'Direct Costs'!$A$5:$A$2005,"&lt;="&amp;ReportTo)+SUMIFS('Direct Costs'!$U$5:$U$2005,'Direct Costs'!$X$5:$X$2005,$A36,'Direct Costs'!$A$5:$A$2005,"&gt;="&amp;ReportFrom,'Direct Costs'!$A$5:$A$2005,"&lt;="&amp;ReportTo)+SUMIFS('Direct Costs'!$T$5:$T$2005,'Direct Costs'!$Z$5:$Z$2005,$A36,'Direct Costs'!$A$5:$A$2005,"&gt;="&amp;ReportFrom,'Direct Costs'!$A$5:$A$2005,"&lt;="&amp;ReportTo))</f>
        <v/>
      </c>
      <c r="O36" s="25">
        <f>IF($A36="",0,(SUMIFS('Operating Expenses'!$F$5:$F$2005,'Operating Expenses'!$Q$5:$Q$2005,$A36,'Operating Expenses'!$A$5:$A$2005,"&lt;"&amp;ReportFrom)+SUMIFS('Operating Expenses'!$M$5:$M$2005,'Operating Expenses'!$T$5:$T$2005,$A36,'Operating Expenses'!$A$5:$A$2005,"&lt;"&amp;ReportFrom))-(SUMIFS('Operating Expenses'!$O$5:$O$2005,'Operating Expenses'!$R$5:$R$2005,$A36,'Operating Expenses'!$A$5:$A$2005,"&lt;"&amp;ReportFrom)+SUMIFS('Operating Expenses'!$P$5:$P$2005,'Operating Expenses'!$S$5:$S$2005,$A36,'Operating Expenses'!$A$5:$A$2005,"&lt;"&amp;ReportFrom)+SUMIFS('Operating Expenses'!$N$5:$N$2005,'Operating Expenses'!$U$5:$U$2005,$A36,'Operating Expenses'!$A$5:$A$2005,"&lt;"&amp;ReportFrom)))</f>
        <v/>
      </c>
      <c r="P36" s="25">
        <f>IF($A36="",0,SUMIFS('Operating Expenses'!$F$5:$F$2005,'Operating Expenses'!$Q$5:$Q$2005,$A36,'Operating Expenses'!$A$5:$A$2005,"&gt;="&amp;ReportFrom,'Operating Expenses'!$A$5:$A$2005,"&lt;="&amp;ReportTo)+SUMIFS('Operating Expenses'!$M$5:$M$2005,'Operating Expenses'!$T$5:$T$2005,$A36,'Operating Expenses'!$A$5:$A$2005,"&gt;="&amp;ReportFrom,'Operating Expenses'!$A$5:$A$2005,"&lt;="&amp;ReportTo))</f>
        <v/>
      </c>
      <c r="Q36" s="25">
        <f>IF($A36="",0,SUMIFS('Operating Expenses'!$O$5:$O$2005,'Operating Expenses'!$R$5:$R$2005,$A36,'Operating Expenses'!$A$5:$A$2005,"&gt;="&amp;ReportFrom,'Operating Expenses'!$A$5:$A$2005,"&lt;="&amp;ReportTo)+SUMIFS('Operating Expenses'!$P$5:$P$2005,'Operating Expenses'!$S$5:$S$2005,$A36,'Operating Expenses'!$A$5:$A$2005,"&gt;="&amp;ReportFrom,'Operating Expenses'!$A$5:$A$2005,"&lt;="&amp;ReportTo)+SUMIFS('Operating Expenses'!$N$5:$N$2005,'Operating Expenses'!$U$5:$U$2005,$A36,'Operating Expenses'!$A$5:$A$2005,"&gt;="&amp;ReportFrom,'Operating Expenses'!$A$5:$A$2005,"&lt;="&amp;ReportTo))</f>
        <v/>
      </c>
      <c r="R36" s="25">
        <f>IF($A36="",0,(SUMIFS('Payroll'!$O$5:$O$2005,'Payroll'!$Q$5:$Q$2005,$A36,'Payroll'!$A$5:$A$2005,"&lt;"&amp;ReportFrom))-(SUMIFS('Payroll'!$K$5:$K$2005,'Payroll'!$R$5:$R$2005,$A36,'Payroll'!$A$5:$A$2005,"&lt;"&amp;ReportFrom)+SUMIFS('Payroll'!$P$5:$P$2005,'Payroll'!$S$5:$S$2005,$A36,'Payroll'!$A$5:$A$2005,"&lt;"&amp;ReportFrom)))</f>
        <v/>
      </c>
      <c r="S36" s="25">
        <f>IF($A36="",0,SUMIFS('Payroll'!$O$5:$O$2005,'Payroll'!$Q$5:$Q$2005,$A36,'Payroll'!$A$5:$A$2005,"&gt;="&amp;ReportFrom,'Payroll'!$A$5:$A$2005,"&lt;="&amp;ReportTo))</f>
        <v/>
      </c>
      <c r="T36" s="25">
        <f>IF($A36="",0,SUMIFS('Payroll'!$K$5:$K$2005,'Payroll'!$R$5:$R$2005,$A36,'Payroll'!$A$5:$A$2005,"&gt;="&amp;ReportFrom,'Payroll'!$A$5:$A$2005,"&lt;="&amp;ReportTo)+SUMIFS('Payroll'!$P$5:$P$2005,'Payroll'!$S$5:$S$2005,$A36,'Payroll'!$A$5:$A$2005,"&gt;="&amp;ReportFrom,'Payroll'!$A$5:$A$2005,"&lt;="&amp;ReportTo))</f>
        <v/>
      </c>
      <c r="U36" s="25">
        <f>IF($A36="",0,(SUMIFS('Receipt Vouchers'!$F$5:$F$2005,'Receipt Vouchers'!$O$5:$O$2005,$A36,'Receipt Vouchers'!$A$5:$A$2005,"&lt;"&amp;ReportFrom)+SUMIFS('Receipt Vouchers'!$J$5:$J$2005,'Receipt Vouchers'!$Q$5:$Q$2005,$A36,'Receipt Vouchers'!$A$5:$A$2005,"&lt;"&amp;ReportFrom))-(SUMIFS('Receipt Vouchers'!$N$5:$N$2005,'Receipt Vouchers'!$P$5:$P$2005,$A36,'Receipt Vouchers'!$A$5:$A$2005,"&lt;"&amp;ReportFrom)+SUMIFS('Receipt Vouchers'!$M$5:$M$2005,'Receipt Vouchers'!$R$5:$R$2005,$A36,'Receipt Vouchers'!$A$5:$A$2005,"&lt;"&amp;ReportFrom)))</f>
        <v/>
      </c>
      <c r="V36" s="25">
        <f>IF($A36="",0,SUMIFS('Receipt Vouchers'!$F$5:$F$2005,'Receipt Vouchers'!$O$5:$O$2005,$A36,'Receipt Vouchers'!$A$5:$A$2005,"&gt;="&amp;ReportFrom,'Receipt Vouchers'!$A$5:$A$2005,"&lt;="&amp;ReportTo)+SUMIFS('Receipt Vouchers'!$J$5:$J$2005,'Receipt Vouchers'!$Q$5:$Q$2005,$A36,'Receipt Vouchers'!$A$5:$A$2005,"&gt;="&amp;ReportFrom,'Receipt Vouchers'!$A$5:$A$2005,"&lt;="&amp;ReportTo))</f>
        <v/>
      </c>
      <c r="W36" s="25">
        <f>IF($A36="",0,SUMIFS('Receipt Vouchers'!$N$5:$N$2005,'Receipt Vouchers'!$P$5:$P$2005,$A36,'Receipt Vouchers'!$A$5:$A$2005,"&gt;="&amp;ReportFrom,'Receipt Vouchers'!$A$5:$A$2005,"&lt;="&amp;ReportTo)+SUMIFS('Receipt Vouchers'!$M$5:$M$2005,'Receipt Vouchers'!$R$5:$R$2005,$A36,'Receipt Vouchers'!$A$5:$A$2005,"&gt;="&amp;ReportFrom,'Receipt Vouchers'!$A$5:$A$2005,"&lt;="&amp;ReportTo))</f>
        <v/>
      </c>
      <c r="X36" s="25">
        <f>IF($A36="",0,(SUMIFS('Sales Invoices'!$O$5:$O$2005,'Sales Invoices'!$P$5:$P$2005,$A36,'Sales Invoices'!$B$5:$B$2005,"&lt;"&amp;ReportFrom)+SUMIFS('Sales Invoices'!$N$5:$N$2005,'Sales Invoices'!$R$5:$R$2005,$A36,'Sales Invoices'!$B$5:$B$2005,"&lt;"&amp;ReportFrom))-(SUMIFS('Sales Invoices'!$L$5:$L$2005,'Sales Invoices'!$Q$5:$Q$2005,$A36,'Sales Invoices'!$B$5:$B$2005,"&lt;"&amp;ReportFrom)+SUMIFS('Sales Invoices'!$M$5:$M$2005,'Sales Invoices'!$S$5:$S$2005,$A36,'Sales Invoices'!$B$5:$B$2005,"&lt;"&amp;ReportFrom)))</f>
        <v/>
      </c>
      <c r="Y36" s="25">
        <f>IF($A36="",0,SUMIFS('Sales Invoices'!$O$5:$O$2005,'Sales Invoices'!$P$5:$P$2005,$A36,'Sales Invoices'!$B$5:$B$2005,"&gt;="&amp;ReportFrom,'Sales Invoices'!$B$5:$B$2005,"&lt;="&amp;ReportTo)+SUMIFS('Sales Invoices'!$N$5:$N$2005,'Sales Invoices'!$R$5:$R$2005,$A36,'Sales Invoices'!$B$5:$B$2005,"&gt;="&amp;ReportFrom,'Sales Invoices'!$B$5:$B$2005,"&lt;="&amp;ReportTo))</f>
        <v/>
      </c>
      <c r="Z36" s="25">
        <f>IF($A36="",0,SUMIFS('Sales Invoices'!$L$5:$L$2005,'Sales Invoices'!$Q$5:$Q$2005,$A36,'Sales Invoices'!$B$5:$B$2005,"&gt;="&amp;ReportFrom,'Sales Invoices'!$B$5:$B$2005,"&lt;="&amp;ReportTo)+SUMIFS('Sales Invoices'!$M$5:$M$2005,'Sales Invoices'!$S$5:$S$2005,$A36,'Sales Invoices'!$B$5:$B$2005,"&gt;="&amp;ReportFrom,'Sales Invoices'!$B$5:$B$2005,"&lt;="&amp;ReportTo))</f>
        <v/>
      </c>
      <c r="AA36" s="25">
        <f>IF($A36="",0,(SUMIFS('Payment Vouchers'!$D$5:$D$2005,'Payment Vouchers'!$J$5:$J$2005,$A36,'Payment Vouchers'!$A$5:$A$2005,"&lt;"&amp;ReportFrom))-(SUMIFS('Payment Vouchers'!$D$5:$D$2005,'Payment Vouchers'!$K$5:$K$2005,$A36,'Payment Vouchers'!$A$5:$A$2005,"&lt;"&amp;ReportFrom)))</f>
        <v/>
      </c>
      <c r="AB36" s="25">
        <f>IF($A36="",0,SUMIFS('Payment Vouchers'!$D$5:$D$2005,'Payment Vouchers'!$J$5:$J$2005,$A36,'Payment Vouchers'!$A$5:$A$2005,"&gt;="&amp;ReportFrom,'Payment Vouchers'!$A$5:$A$2005,"&lt;="&amp;ReportTo))</f>
        <v/>
      </c>
      <c r="AC36" s="25">
        <f>IF($A36="",0,SUMIFS('Payment Vouchers'!$D$5:$D$2005,'Payment Vouchers'!$K$5:$K$2005,$A36,'Payment Vouchers'!$A$5:$A$2005,"&gt;="&amp;ReportFrom,'Payment Vouchers'!$A$5:$A$2005,"&lt;="&amp;ReportTo))</f>
        <v/>
      </c>
      <c r="AD36" s="25">
        <f>IF($A36="",0,(SUMIFS('Partner Transactions'!$D$5:$D$2005,'Partner Transactions'!$L$5:$L$2005,$A36,'Partner Transactions'!$A$5:$A$2005,"&lt;"&amp;ReportFrom))-(SUMIFS('Partner Transactions'!$D$5:$D$2005,'Partner Transactions'!$M$5:$M$2005,$A36,'Partner Transactions'!$A$5:$A$2005,"&lt;"&amp;ReportFrom)))</f>
        <v/>
      </c>
      <c r="AE36" s="25">
        <f>IF($A36="",0,SUMIFS('Partner Transactions'!$D$5:$D$2005,'Partner Transactions'!$L$5:$L$2005,$A36,'Partner Transactions'!$A$5:$A$2005,"&gt;="&amp;ReportFrom,'Partner Transactions'!$A$5:$A$2005,"&lt;="&amp;ReportTo))</f>
        <v/>
      </c>
      <c r="AF36" s="25">
        <f>IF($A36="",0,SUMIFS('Partner Transactions'!$D$5:$D$2005,'Partner Transactions'!$M$5:$M$2005,$A36,'Partner Transactions'!$A$5:$A$2005,"&gt;="&amp;ReportFrom,'Partner Transactions'!$A$5:$A$2005,"&lt;="&amp;ReportTo))</f>
        <v/>
      </c>
      <c r="AG36" s="25">
        <f>IF($A36="",0,(SUMIFS('Stock Moves'!$S$5:$S$2005,'Stock Moves'!$AD$5:$AD$2005,$A36,'Stock Moves'!$A$5:$A$2005,"&lt;"&amp;ReportFrom)+SUMIFS('Stock Moves'!$T$5:$T$2005,'Stock Moves'!$V$5:$V$2005,$A36,'Stock Moves'!$A$5:$A$2005,"&lt;"&amp;ReportFrom))-(SUMIFS('Stock Moves'!$AF$5:$AF$2005,'Stock Moves'!$AE$5:$AE$2005,$A36,'Stock Moves'!$A$5:$A$2005,"&lt;"&amp;ReportFrom)+SUMIFS('Stock Moves'!$AC$5:$AC$2005,'Stock Moves'!$X$5:$X$2005,$A36,'Stock Moves'!$A$5:$A$2005,"&lt;"&amp;ReportFrom)+SUMIFS('Stock Moves'!$U$5:$U$2005,'Stock Moves'!$W$5:$W$2005,$A36,'Stock Moves'!$A$5:$A$2005,"&lt;"&amp;ReportFrom)))</f>
        <v/>
      </c>
      <c r="AH36" s="25">
        <f>IF($A36="",0,SUMIFS('Stock Moves'!$S$5:$S$2005,'Stock Moves'!$AD$5:$AD$2005,$A36,'Stock Moves'!$A$5:$A$2005,"&gt;="&amp;ReportFrom,'Stock Moves'!$A$5:$A$2005,"&lt;="&amp;ReportTo)+SUMIFS('Stock Moves'!$T$5:$T$2005,'Stock Moves'!$V$5:$V$2005,$A36,'Stock Moves'!$A$5:$A$2005,"&gt;="&amp;ReportFrom,'Stock Moves'!$A$5:$A$2005,"&lt;="&amp;ReportTo))</f>
        <v/>
      </c>
      <c r="AI36" s="25">
        <f>IF($A36="",0,SUMIFS('Stock Moves'!$AF$5:$AF$2005,'Stock Moves'!$AE$5:$AE$2005,$A36,'Stock Moves'!$A$5:$A$2005,"&gt;="&amp;ReportFrom,'Stock Moves'!$A$5:$A$2005,"&lt;="&amp;ReportTo)+SUMIFS('Stock Moves'!$AC$5:$AC$2005,'Stock Moves'!$X$5:$X$2005,$A36,'Stock Moves'!$A$5:$A$2005,"&gt;="&amp;ReportFrom,'Stock Moves'!$A$5:$A$2005,"&lt;="&amp;ReportTo)+SUMIFS('Stock Moves'!$U$5:$U$2005,'Stock Moves'!$W$5:$W$2005,$A36,'Stock Moves'!$A$5:$A$2005,"&gt;="&amp;ReportFrom,'Stock Moves'!$A$5:$A$2005,"&lt;="&amp;ReportTo))</f>
        <v/>
      </c>
      <c r="AJ36" s="25">
        <f>IF($A36="",0,(SUMIFS('Journal Vouchers'!$I$5:$I$2005,'Journal Vouchers'!$H$5:$H$2005,$A36,'Journal Vouchers'!$B$5:$B$2005,"&lt;"&amp;ReportFrom))-(SUMIFS('Journal Vouchers'!$J$5:$J$2005,'Journal Vouchers'!$H$5:$H$2005,$A36,'Journal Vouchers'!$B$5:$B$2005,"&lt;"&amp;ReportFrom)))</f>
        <v/>
      </c>
      <c r="AK36" s="25">
        <f>IF($A36="",0,SUMIFS('Journal Vouchers'!$I$5:$I$2005,'Journal Vouchers'!$H$5:$H$2005,$A36,'Journal Vouchers'!$B$5:$B$2005,"&gt;="&amp;ReportFrom,'Journal Vouchers'!$B$5:$B$2005,"&lt;="&amp;ReportTo))</f>
        <v/>
      </c>
      <c r="AL36" s="25">
        <f>IF($A36="",0,SUMIFS('Journal Vouchers'!$J$5:$J$2005,'Journal Vouchers'!$H$5:$H$2005,$A36,'Journal Vouchers'!$B$5:$B$2005,"&gt;="&amp;ReportFrom,'Journal Vouchers'!$B$5:$B$2005,"&lt;="&amp;ReportTo))</f>
        <v/>
      </c>
    </row>
    <row r="37">
      <c r="A37" s="25">
        <f>IF('Chart of Accounts'!A37="","",'Chart of Accounts'!A37&amp;"")</f>
        <v/>
      </c>
      <c r="B37" s="25">
        <f>IF(A37="","",'Chart of Accounts'!B37)</f>
        <v/>
      </c>
      <c r="C37" s="25">
        <f>IF(A37="","",'Chart of Accounts'!C37)</f>
        <v/>
      </c>
      <c r="D37" s="25">
        <f>IF(A37="","",'Chart of Accounts'!D37)</f>
        <v/>
      </c>
      <c r="E37" s="26">
        <f>L37+O37+R37+U37+X37+AA37+AD37+AG37+AJ37</f>
        <v/>
      </c>
      <c r="F37" s="26">
        <f>M37+P37+S37+V37+Y37+AB37+AE37+AH37+AK37</f>
        <v/>
      </c>
      <c r="G37" s="26">
        <f>N37+Q37+T37+W37+Z37+AC37+AF37+AI37+AL37</f>
        <v/>
      </c>
      <c r="H37" s="26">
        <f>E37+F37-G37</f>
        <v/>
      </c>
      <c r="I37" s="26">
        <f>MAX(H37,0)</f>
        <v/>
      </c>
      <c r="J37" s="26">
        <f>MAX(-H37,0)</f>
        <v/>
      </c>
      <c r="L37" s="25">
        <f>IF($A37="",0,(SUMIFS('Direct Costs'!$R$5:$R$2005,'Direct Costs'!$V$5:$V$2005,$A37,'Direct Costs'!$A$5:$A$2005,"&lt;"&amp;ReportFrom)+SUMIFS('Direct Costs'!$S$5:$S$2005,'Direct Costs'!$Y$5:$Y$2005,$A37,'Direct Costs'!$A$5:$A$2005,"&lt;"&amp;ReportFrom))-(SUMIFS('Direct Costs'!$L$5:$L$2005,'Direct Costs'!$W$5:$W$2005,$A37,'Direct Costs'!$A$5:$A$2005,"&lt;"&amp;ReportFrom)+SUMIFS('Direct Costs'!$U$5:$U$2005,'Direct Costs'!$X$5:$X$2005,$A37,'Direct Costs'!$A$5:$A$2005,"&lt;"&amp;ReportFrom)+SUMIFS('Direct Costs'!$T$5:$T$2005,'Direct Costs'!$Z$5:$Z$2005,$A37,'Direct Costs'!$A$5:$A$2005,"&lt;"&amp;ReportFrom)))</f>
        <v/>
      </c>
      <c r="M37" s="25">
        <f>IF($A37="",0,SUMIFS('Direct Costs'!$R$5:$R$2005,'Direct Costs'!$V$5:$V$2005,$A37,'Direct Costs'!$A$5:$A$2005,"&gt;="&amp;ReportFrom,'Direct Costs'!$A$5:$A$2005,"&lt;="&amp;ReportTo)+SUMIFS('Direct Costs'!$S$5:$S$2005,'Direct Costs'!$Y$5:$Y$2005,$A37,'Direct Costs'!$A$5:$A$2005,"&gt;="&amp;ReportFrom,'Direct Costs'!$A$5:$A$2005,"&lt;="&amp;ReportTo))</f>
        <v/>
      </c>
      <c r="N37" s="25">
        <f>IF($A37="",0,SUMIFS('Direct Costs'!$L$5:$L$2005,'Direct Costs'!$W$5:$W$2005,$A37,'Direct Costs'!$A$5:$A$2005,"&gt;="&amp;ReportFrom,'Direct Costs'!$A$5:$A$2005,"&lt;="&amp;ReportTo)+SUMIFS('Direct Costs'!$U$5:$U$2005,'Direct Costs'!$X$5:$X$2005,$A37,'Direct Costs'!$A$5:$A$2005,"&gt;="&amp;ReportFrom,'Direct Costs'!$A$5:$A$2005,"&lt;="&amp;ReportTo)+SUMIFS('Direct Costs'!$T$5:$T$2005,'Direct Costs'!$Z$5:$Z$2005,$A37,'Direct Costs'!$A$5:$A$2005,"&gt;="&amp;ReportFrom,'Direct Costs'!$A$5:$A$2005,"&lt;="&amp;ReportTo))</f>
        <v/>
      </c>
      <c r="O37" s="25">
        <f>IF($A37="",0,(SUMIFS('Operating Expenses'!$F$5:$F$2005,'Operating Expenses'!$Q$5:$Q$2005,$A37,'Operating Expenses'!$A$5:$A$2005,"&lt;"&amp;ReportFrom)+SUMIFS('Operating Expenses'!$M$5:$M$2005,'Operating Expenses'!$T$5:$T$2005,$A37,'Operating Expenses'!$A$5:$A$2005,"&lt;"&amp;ReportFrom))-(SUMIFS('Operating Expenses'!$O$5:$O$2005,'Operating Expenses'!$R$5:$R$2005,$A37,'Operating Expenses'!$A$5:$A$2005,"&lt;"&amp;ReportFrom)+SUMIFS('Operating Expenses'!$P$5:$P$2005,'Operating Expenses'!$S$5:$S$2005,$A37,'Operating Expenses'!$A$5:$A$2005,"&lt;"&amp;ReportFrom)+SUMIFS('Operating Expenses'!$N$5:$N$2005,'Operating Expenses'!$U$5:$U$2005,$A37,'Operating Expenses'!$A$5:$A$2005,"&lt;"&amp;ReportFrom)))</f>
        <v/>
      </c>
      <c r="P37" s="25">
        <f>IF($A37="",0,SUMIFS('Operating Expenses'!$F$5:$F$2005,'Operating Expenses'!$Q$5:$Q$2005,$A37,'Operating Expenses'!$A$5:$A$2005,"&gt;="&amp;ReportFrom,'Operating Expenses'!$A$5:$A$2005,"&lt;="&amp;ReportTo)+SUMIFS('Operating Expenses'!$M$5:$M$2005,'Operating Expenses'!$T$5:$T$2005,$A37,'Operating Expenses'!$A$5:$A$2005,"&gt;="&amp;ReportFrom,'Operating Expenses'!$A$5:$A$2005,"&lt;="&amp;ReportTo))</f>
        <v/>
      </c>
      <c r="Q37" s="25">
        <f>IF($A37="",0,SUMIFS('Operating Expenses'!$O$5:$O$2005,'Operating Expenses'!$R$5:$R$2005,$A37,'Operating Expenses'!$A$5:$A$2005,"&gt;="&amp;ReportFrom,'Operating Expenses'!$A$5:$A$2005,"&lt;="&amp;ReportTo)+SUMIFS('Operating Expenses'!$P$5:$P$2005,'Operating Expenses'!$S$5:$S$2005,$A37,'Operating Expenses'!$A$5:$A$2005,"&gt;="&amp;ReportFrom,'Operating Expenses'!$A$5:$A$2005,"&lt;="&amp;ReportTo)+SUMIFS('Operating Expenses'!$N$5:$N$2005,'Operating Expenses'!$U$5:$U$2005,$A37,'Operating Expenses'!$A$5:$A$2005,"&gt;="&amp;ReportFrom,'Operating Expenses'!$A$5:$A$2005,"&lt;="&amp;ReportTo))</f>
        <v/>
      </c>
      <c r="R37" s="25">
        <f>IF($A37="",0,(SUMIFS('Payroll'!$O$5:$O$2005,'Payroll'!$Q$5:$Q$2005,$A37,'Payroll'!$A$5:$A$2005,"&lt;"&amp;ReportFrom))-(SUMIFS('Payroll'!$K$5:$K$2005,'Payroll'!$R$5:$R$2005,$A37,'Payroll'!$A$5:$A$2005,"&lt;"&amp;ReportFrom)+SUMIFS('Payroll'!$P$5:$P$2005,'Payroll'!$S$5:$S$2005,$A37,'Payroll'!$A$5:$A$2005,"&lt;"&amp;ReportFrom)))</f>
        <v/>
      </c>
      <c r="S37" s="25">
        <f>IF($A37="",0,SUMIFS('Payroll'!$O$5:$O$2005,'Payroll'!$Q$5:$Q$2005,$A37,'Payroll'!$A$5:$A$2005,"&gt;="&amp;ReportFrom,'Payroll'!$A$5:$A$2005,"&lt;="&amp;ReportTo))</f>
        <v/>
      </c>
      <c r="T37" s="25">
        <f>IF($A37="",0,SUMIFS('Payroll'!$K$5:$K$2005,'Payroll'!$R$5:$R$2005,$A37,'Payroll'!$A$5:$A$2005,"&gt;="&amp;ReportFrom,'Payroll'!$A$5:$A$2005,"&lt;="&amp;ReportTo)+SUMIFS('Payroll'!$P$5:$P$2005,'Payroll'!$S$5:$S$2005,$A37,'Payroll'!$A$5:$A$2005,"&gt;="&amp;ReportFrom,'Payroll'!$A$5:$A$2005,"&lt;="&amp;ReportTo))</f>
        <v/>
      </c>
      <c r="U37" s="25">
        <f>IF($A37="",0,(SUMIFS('Receipt Vouchers'!$F$5:$F$2005,'Receipt Vouchers'!$O$5:$O$2005,$A37,'Receipt Vouchers'!$A$5:$A$2005,"&lt;"&amp;ReportFrom)+SUMIFS('Receipt Vouchers'!$J$5:$J$2005,'Receipt Vouchers'!$Q$5:$Q$2005,$A37,'Receipt Vouchers'!$A$5:$A$2005,"&lt;"&amp;ReportFrom))-(SUMIFS('Receipt Vouchers'!$N$5:$N$2005,'Receipt Vouchers'!$P$5:$P$2005,$A37,'Receipt Vouchers'!$A$5:$A$2005,"&lt;"&amp;ReportFrom)+SUMIFS('Receipt Vouchers'!$M$5:$M$2005,'Receipt Vouchers'!$R$5:$R$2005,$A37,'Receipt Vouchers'!$A$5:$A$2005,"&lt;"&amp;ReportFrom)))</f>
        <v/>
      </c>
      <c r="V37" s="25">
        <f>IF($A37="",0,SUMIFS('Receipt Vouchers'!$F$5:$F$2005,'Receipt Vouchers'!$O$5:$O$2005,$A37,'Receipt Vouchers'!$A$5:$A$2005,"&gt;="&amp;ReportFrom,'Receipt Vouchers'!$A$5:$A$2005,"&lt;="&amp;ReportTo)+SUMIFS('Receipt Vouchers'!$J$5:$J$2005,'Receipt Vouchers'!$Q$5:$Q$2005,$A37,'Receipt Vouchers'!$A$5:$A$2005,"&gt;="&amp;ReportFrom,'Receipt Vouchers'!$A$5:$A$2005,"&lt;="&amp;ReportTo))</f>
        <v/>
      </c>
      <c r="W37" s="25">
        <f>IF($A37="",0,SUMIFS('Receipt Vouchers'!$N$5:$N$2005,'Receipt Vouchers'!$P$5:$P$2005,$A37,'Receipt Vouchers'!$A$5:$A$2005,"&gt;="&amp;ReportFrom,'Receipt Vouchers'!$A$5:$A$2005,"&lt;="&amp;ReportTo)+SUMIFS('Receipt Vouchers'!$M$5:$M$2005,'Receipt Vouchers'!$R$5:$R$2005,$A37,'Receipt Vouchers'!$A$5:$A$2005,"&gt;="&amp;ReportFrom,'Receipt Vouchers'!$A$5:$A$2005,"&lt;="&amp;ReportTo))</f>
        <v/>
      </c>
      <c r="X37" s="25">
        <f>IF($A37="",0,(SUMIFS('Sales Invoices'!$O$5:$O$2005,'Sales Invoices'!$P$5:$P$2005,$A37,'Sales Invoices'!$B$5:$B$2005,"&lt;"&amp;ReportFrom)+SUMIFS('Sales Invoices'!$N$5:$N$2005,'Sales Invoices'!$R$5:$R$2005,$A37,'Sales Invoices'!$B$5:$B$2005,"&lt;"&amp;ReportFrom))-(SUMIFS('Sales Invoices'!$L$5:$L$2005,'Sales Invoices'!$Q$5:$Q$2005,$A37,'Sales Invoices'!$B$5:$B$2005,"&lt;"&amp;ReportFrom)+SUMIFS('Sales Invoices'!$M$5:$M$2005,'Sales Invoices'!$S$5:$S$2005,$A37,'Sales Invoices'!$B$5:$B$2005,"&lt;"&amp;ReportFrom)))</f>
        <v/>
      </c>
      <c r="Y37" s="25">
        <f>IF($A37="",0,SUMIFS('Sales Invoices'!$O$5:$O$2005,'Sales Invoices'!$P$5:$P$2005,$A37,'Sales Invoices'!$B$5:$B$2005,"&gt;="&amp;ReportFrom,'Sales Invoices'!$B$5:$B$2005,"&lt;="&amp;ReportTo)+SUMIFS('Sales Invoices'!$N$5:$N$2005,'Sales Invoices'!$R$5:$R$2005,$A37,'Sales Invoices'!$B$5:$B$2005,"&gt;="&amp;ReportFrom,'Sales Invoices'!$B$5:$B$2005,"&lt;="&amp;ReportTo))</f>
        <v/>
      </c>
      <c r="Z37" s="25">
        <f>IF($A37="",0,SUMIFS('Sales Invoices'!$L$5:$L$2005,'Sales Invoices'!$Q$5:$Q$2005,$A37,'Sales Invoices'!$B$5:$B$2005,"&gt;="&amp;ReportFrom,'Sales Invoices'!$B$5:$B$2005,"&lt;="&amp;ReportTo)+SUMIFS('Sales Invoices'!$M$5:$M$2005,'Sales Invoices'!$S$5:$S$2005,$A37,'Sales Invoices'!$B$5:$B$2005,"&gt;="&amp;ReportFrom,'Sales Invoices'!$B$5:$B$2005,"&lt;="&amp;ReportTo))</f>
        <v/>
      </c>
      <c r="AA37" s="25">
        <f>IF($A37="",0,(SUMIFS('Payment Vouchers'!$D$5:$D$2005,'Payment Vouchers'!$J$5:$J$2005,$A37,'Payment Vouchers'!$A$5:$A$2005,"&lt;"&amp;ReportFrom))-(SUMIFS('Payment Vouchers'!$D$5:$D$2005,'Payment Vouchers'!$K$5:$K$2005,$A37,'Payment Vouchers'!$A$5:$A$2005,"&lt;"&amp;ReportFrom)))</f>
        <v/>
      </c>
      <c r="AB37" s="25">
        <f>IF($A37="",0,SUMIFS('Payment Vouchers'!$D$5:$D$2005,'Payment Vouchers'!$J$5:$J$2005,$A37,'Payment Vouchers'!$A$5:$A$2005,"&gt;="&amp;ReportFrom,'Payment Vouchers'!$A$5:$A$2005,"&lt;="&amp;ReportTo))</f>
        <v/>
      </c>
      <c r="AC37" s="25">
        <f>IF($A37="",0,SUMIFS('Payment Vouchers'!$D$5:$D$2005,'Payment Vouchers'!$K$5:$K$2005,$A37,'Payment Vouchers'!$A$5:$A$2005,"&gt;="&amp;ReportFrom,'Payment Vouchers'!$A$5:$A$2005,"&lt;="&amp;ReportTo))</f>
        <v/>
      </c>
      <c r="AD37" s="25">
        <f>IF($A37="",0,(SUMIFS('Partner Transactions'!$D$5:$D$2005,'Partner Transactions'!$L$5:$L$2005,$A37,'Partner Transactions'!$A$5:$A$2005,"&lt;"&amp;ReportFrom))-(SUMIFS('Partner Transactions'!$D$5:$D$2005,'Partner Transactions'!$M$5:$M$2005,$A37,'Partner Transactions'!$A$5:$A$2005,"&lt;"&amp;ReportFrom)))</f>
        <v/>
      </c>
      <c r="AE37" s="25">
        <f>IF($A37="",0,SUMIFS('Partner Transactions'!$D$5:$D$2005,'Partner Transactions'!$L$5:$L$2005,$A37,'Partner Transactions'!$A$5:$A$2005,"&gt;="&amp;ReportFrom,'Partner Transactions'!$A$5:$A$2005,"&lt;="&amp;ReportTo))</f>
        <v/>
      </c>
      <c r="AF37" s="25">
        <f>IF($A37="",0,SUMIFS('Partner Transactions'!$D$5:$D$2005,'Partner Transactions'!$M$5:$M$2005,$A37,'Partner Transactions'!$A$5:$A$2005,"&gt;="&amp;ReportFrom,'Partner Transactions'!$A$5:$A$2005,"&lt;="&amp;ReportTo))</f>
        <v/>
      </c>
      <c r="AG37" s="25">
        <f>IF($A37="",0,(SUMIFS('Stock Moves'!$S$5:$S$2005,'Stock Moves'!$AD$5:$AD$2005,$A37,'Stock Moves'!$A$5:$A$2005,"&lt;"&amp;ReportFrom)+SUMIFS('Stock Moves'!$T$5:$T$2005,'Stock Moves'!$V$5:$V$2005,$A37,'Stock Moves'!$A$5:$A$2005,"&lt;"&amp;ReportFrom))-(SUMIFS('Stock Moves'!$AF$5:$AF$2005,'Stock Moves'!$AE$5:$AE$2005,$A37,'Stock Moves'!$A$5:$A$2005,"&lt;"&amp;ReportFrom)+SUMIFS('Stock Moves'!$AC$5:$AC$2005,'Stock Moves'!$X$5:$X$2005,$A37,'Stock Moves'!$A$5:$A$2005,"&lt;"&amp;ReportFrom)+SUMIFS('Stock Moves'!$U$5:$U$2005,'Stock Moves'!$W$5:$W$2005,$A37,'Stock Moves'!$A$5:$A$2005,"&lt;"&amp;ReportFrom)))</f>
        <v/>
      </c>
      <c r="AH37" s="25">
        <f>IF($A37="",0,SUMIFS('Stock Moves'!$S$5:$S$2005,'Stock Moves'!$AD$5:$AD$2005,$A37,'Stock Moves'!$A$5:$A$2005,"&gt;="&amp;ReportFrom,'Stock Moves'!$A$5:$A$2005,"&lt;="&amp;ReportTo)+SUMIFS('Stock Moves'!$T$5:$T$2005,'Stock Moves'!$V$5:$V$2005,$A37,'Stock Moves'!$A$5:$A$2005,"&gt;="&amp;ReportFrom,'Stock Moves'!$A$5:$A$2005,"&lt;="&amp;ReportTo))</f>
        <v/>
      </c>
      <c r="AI37" s="25">
        <f>IF($A37="",0,SUMIFS('Stock Moves'!$AF$5:$AF$2005,'Stock Moves'!$AE$5:$AE$2005,$A37,'Stock Moves'!$A$5:$A$2005,"&gt;="&amp;ReportFrom,'Stock Moves'!$A$5:$A$2005,"&lt;="&amp;ReportTo)+SUMIFS('Stock Moves'!$AC$5:$AC$2005,'Stock Moves'!$X$5:$X$2005,$A37,'Stock Moves'!$A$5:$A$2005,"&gt;="&amp;ReportFrom,'Stock Moves'!$A$5:$A$2005,"&lt;="&amp;ReportTo)+SUMIFS('Stock Moves'!$U$5:$U$2005,'Stock Moves'!$W$5:$W$2005,$A37,'Stock Moves'!$A$5:$A$2005,"&gt;="&amp;ReportFrom,'Stock Moves'!$A$5:$A$2005,"&lt;="&amp;ReportTo))</f>
        <v/>
      </c>
      <c r="AJ37" s="25">
        <f>IF($A37="",0,(SUMIFS('Journal Vouchers'!$I$5:$I$2005,'Journal Vouchers'!$H$5:$H$2005,$A37,'Journal Vouchers'!$B$5:$B$2005,"&lt;"&amp;ReportFrom))-(SUMIFS('Journal Vouchers'!$J$5:$J$2005,'Journal Vouchers'!$H$5:$H$2005,$A37,'Journal Vouchers'!$B$5:$B$2005,"&lt;"&amp;ReportFrom)))</f>
        <v/>
      </c>
      <c r="AK37" s="25">
        <f>IF($A37="",0,SUMIFS('Journal Vouchers'!$I$5:$I$2005,'Journal Vouchers'!$H$5:$H$2005,$A37,'Journal Vouchers'!$B$5:$B$2005,"&gt;="&amp;ReportFrom,'Journal Vouchers'!$B$5:$B$2005,"&lt;="&amp;ReportTo))</f>
        <v/>
      </c>
      <c r="AL37" s="25">
        <f>IF($A37="",0,SUMIFS('Journal Vouchers'!$J$5:$J$2005,'Journal Vouchers'!$H$5:$H$2005,$A37,'Journal Vouchers'!$B$5:$B$2005,"&gt;="&amp;ReportFrom,'Journal Vouchers'!$B$5:$B$2005,"&lt;="&amp;ReportTo))</f>
        <v/>
      </c>
    </row>
    <row r="38">
      <c r="A38" s="25">
        <f>IF('Chart of Accounts'!A38="","",'Chart of Accounts'!A38&amp;"")</f>
        <v/>
      </c>
      <c r="B38" s="25">
        <f>IF(A38="","",'Chart of Accounts'!B38)</f>
        <v/>
      </c>
      <c r="C38" s="25">
        <f>IF(A38="","",'Chart of Accounts'!C38)</f>
        <v/>
      </c>
      <c r="D38" s="25">
        <f>IF(A38="","",'Chart of Accounts'!D38)</f>
        <v/>
      </c>
      <c r="E38" s="26">
        <f>L38+O38+R38+U38+X38+AA38+AD38+AG38+AJ38</f>
        <v/>
      </c>
      <c r="F38" s="26">
        <f>M38+P38+S38+V38+Y38+AB38+AE38+AH38+AK38</f>
        <v/>
      </c>
      <c r="G38" s="26">
        <f>N38+Q38+T38+W38+Z38+AC38+AF38+AI38+AL38</f>
        <v/>
      </c>
      <c r="H38" s="26">
        <f>E38+F38-G38</f>
        <v/>
      </c>
      <c r="I38" s="26">
        <f>MAX(H38,0)</f>
        <v/>
      </c>
      <c r="J38" s="26">
        <f>MAX(-H38,0)</f>
        <v/>
      </c>
      <c r="L38" s="25">
        <f>IF($A38="",0,(SUMIFS('Direct Costs'!$R$5:$R$2005,'Direct Costs'!$V$5:$V$2005,$A38,'Direct Costs'!$A$5:$A$2005,"&lt;"&amp;ReportFrom)+SUMIFS('Direct Costs'!$S$5:$S$2005,'Direct Costs'!$Y$5:$Y$2005,$A38,'Direct Costs'!$A$5:$A$2005,"&lt;"&amp;ReportFrom))-(SUMIFS('Direct Costs'!$L$5:$L$2005,'Direct Costs'!$W$5:$W$2005,$A38,'Direct Costs'!$A$5:$A$2005,"&lt;"&amp;ReportFrom)+SUMIFS('Direct Costs'!$U$5:$U$2005,'Direct Costs'!$X$5:$X$2005,$A38,'Direct Costs'!$A$5:$A$2005,"&lt;"&amp;ReportFrom)+SUMIFS('Direct Costs'!$T$5:$T$2005,'Direct Costs'!$Z$5:$Z$2005,$A38,'Direct Costs'!$A$5:$A$2005,"&lt;"&amp;ReportFrom)))</f>
        <v/>
      </c>
      <c r="M38" s="25">
        <f>IF($A38="",0,SUMIFS('Direct Costs'!$R$5:$R$2005,'Direct Costs'!$V$5:$V$2005,$A38,'Direct Costs'!$A$5:$A$2005,"&gt;="&amp;ReportFrom,'Direct Costs'!$A$5:$A$2005,"&lt;="&amp;ReportTo)+SUMIFS('Direct Costs'!$S$5:$S$2005,'Direct Costs'!$Y$5:$Y$2005,$A38,'Direct Costs'!$A$5:$A$2005,"&gt;="&amp;ReportFrom,'Direct Costs'!$A$5:$A$2005,"&lt;="&amp;ReportTo))</f>
        <v/>
      </c>
      <c r="N38" s="25">
        <f>IF($A38="",0,SUMIFS('Direct Costs'!$L$5:$L$2005,'Direct Costs'!$W$5:$W$2005,$A38,'Direct Costs'!$A$5:$A$2005,"&gt;="&amp;ReportFrom,'Direct Costs'!$A$5:$A$2005,"&lt;="&amp;ReportTo)+SUMIFS('Direct Costs'!$U$5:$U$2005,'Direct Costs'!$X$5:$X$2005,$A38,'Direct Costs'!$A$5:$A$2005,"&gt;="&amp;ReportFrom,'Direct Costs'!$A$5:$A$2005,"&lt;="&amp;ReportTo)+SUMIFS('Direct Costs'!$T$5:$T$2005,'Direct Costs'!$Z$5:$Z$2005,$A38,'Direct Costs'!$A$5:$A$2005,"&gt;="&amp;ReportFrom,'Direct Costs'!$A$5:$A$2005,"&lt;="&amp;ReportTo))</f>
        <v/>
      </c>
      <c r="O38" s="25">
        <f>IF($A38="",0,(SUMIFS('Operating Expenses'!$F$5:$F$2005,'Operating Expenses'!$Q$5:$Q$2005,$A38,'Operating Expenses'!$A$5:$A$2005,"&lt;"&amp;ReportFrom)+SUMIFS('Operating Expenses'!$M$5:$M$2005,'Operating Expenses'!$T$5:$T$2005,$A38,'Operating Expenses'!$A$5:$A$2005,"&lt;"&amp;ReportFrom))-(SUMIFS('Operating Expenses'!$O$5:$O$2005,'Operating Expenses'!$R$5:$R$2005,$A38,'Operating Expenses'!$A$5:$A$2005,"&lt;"&amp;ReportFrom)+SUMIFS('Operating Expenses'!$P$5:$P$2005,'Operating Expenses'!$S$5:$S$2005,$A38,'Operating Expenses'!$A$5:$A$2005,"&lt;"&amp;ReportFrom)+SUMIFS('Operating Expenses'!$N$5:$N$2005,'Operating Expenses'!$U$5:$U$2005,$A38,'Operating Expenses'!$A$5:$A$2005,"&lt;"&amp;ReportFrom)))</f>
        <v/>
      </c>
      <c r="P38" s="25">
        <f>IF($A38="",0,SUMIFS('Operating Expenses'!$F$5:$F$2005,'Operating Expenses'!$Q$5:$Q$2005,$A38,'Operating Expenses'!$A$5:$A$2005,"&gt;="&amp;ReportFrom,'Operating Expenses'!$A$5:$A$2005,"&lt;="&amp;ReportTo)+SUMIFS('Operating Expenses'!$M$5:$M$2005,'Operating Expenses'!$T$5:$T$2005,$A38,'Operating Expenses'!$A$5:$A$2005,"&gt;="&amp;ReportFrom,'Operating Expenses'!$A$5:$A$2005,"&lt;="&amp;ReportTo))</f>
        <v/>
      </c>
      <c r="Q38" s="25">
        <f>IF($A38="",0,SUMIFS('Operating Expenses'!$O$5:$O$2005,'Operating Expenses'!$R$5:$R$2005,$A38,'Operating Expenses'!$A$5:$A$2005,"&gt;="&amp;ReportFrom,'Operating Expenses'!$A$5:$A$2005,"&lt;="&amp;ReportTo)+SUMIFS('Operating Expenses'!$P$5:$P$2005,'Operating Expenses'!$S$5:$S$2005,$A38,'Operating Expenses'!$A$5:$A$2005,"&gt;="&amp;ReportFrom,'Operating Expenses'!$A$5:$A$2005,"&lt;="&amp;ReportTo)+SUMIFS('Operating Expenses'!$N$5:$N$2005,'Operating Expenses'!$U$5:$U$2005,$A38,'Operating Expenses'!$A$5:$A$2005,"&gt;="&amp;ReportFrom,'Operating Expenses'!$A$5:$A$2005,"&lt;="&amp;ReportTo))</f>
        <v/>
      </c>
      <c r="R38" s="25">
        <f>IF($A38="",0,(SUMIFS('Payroll'!$O$5:$O$2005,'Payroll'!$Q$5:$Q$2005,$A38,'Payroll'!$A$5:$A$2005,"&lt;"&amp;ReportFrom))-(SUMIFS('Payroll'!$K$5:$K$2005,'Payroll'!$R$5:$R$2005,$A38,'Payroll'!$A$5:$A$2005,"&lt;"&amp;ReportFrom)+SUMIFS('Payroll'!$P$5:$P$2005,'Payroll'!$S$5:$S$2005,$A38,'Payroll'!$A$5:$A$2005,"&lt;"&amp;ReportFrom)))</f>
        <v/>
      </c>
      <c r="S38" s="25">
        <f>IF($A38="",0,SUMIFS('Payroll'!$O$5:$O$2005,'Payroll'!$Q$5:$Q$2005,$A38,'Payroll'!$A$5:$A$2005,"&gt;="&amp;ReportFrom,'Payroll'!$A$5:$A$2005,"&lt;="&amp;ReportTo))</f>
        <v/>
      </c>
      <c r="T38" s="25">
        <f>IF($A38="",0,SUMIFS('Payroll'!$K$5:$K$2005,'Payroll'!$R$5:$R$2005,$A38,'Payroll'!$A$5:$A$2005,"&gt;="&amp;ReportFrom,'Payroll'!$A$5:$A$2005,"&lt;="&amp;ReportTo)+SUMIFS('Payroll'!$P$5:$P$2005,'Payroll'!$S$5:$S$2005,$A38,'Payroll'!$A$5:$A$2005,"&gt;="&amp;ReportFrom,'Payroll'!$A$5:$A$2005,"&lt;="&amp;ReportTo))</f>
        <v/>
      </c>
      <c r="U38" s="25">
        <f>IF($A38="",0,(SUMIFS('Receipt Vouchers'!$F$5:$F$2005,'Receipt Vouchers'!$O$5:$O$2005,$A38,'Receipt Vouchers'!$A$5:$A$2005,"&lt;"&amp;ReportFrom)+SUMIFS('Receipt Vouchers'!$J$5:$J$2005,'Receipt Vouchers'!$Q$5:$Q$2005,$A38,'Receipt Vouchers'!$A$5:$A$2005,"&lt;"&amp;ReportFrom))-(SUMIFS('Receipt Vouchers'!$N$5:$N$2005,'Receipt Vouchers'!$P$5:$P$2005,$A38,'Receipt Vouchers'!$A$5:$A$2005,"&lt;"&amp;ReportFrom)+SUMIFS('Receipt Vouchers'!$M$5:$M$2005,'Receipt Vouchers'!$R$5:$R$2005,$A38,'Receipt Vouchers'!$A$5:$A$2005,"&lt;"&amp;ReportFrom)))</f>
        <v/>
      </c>
      <c r="V38" s="25">
        <f>IF($A38="",0,SUMIFS('Receipt Vouchers'!$F$5:$F$2005,'Receipt Vouchers'!$O$5:$O$2005,$A38,'Receipt Vouchers'!$A$5:$A$2005,"&gt;="&amp;ReportFrom,'Receipt Vouchers'!$A$5:$A$2005,"&lt;="&amp;ReportTo)+SUMIFS('Receipt Vouchers'!$J$5:$J$2005,'Receipt Vouchers'!$Q$5:$Q$2005,$A38,'Receipt Vouchers'!$A$5:$A$2005,"&gt;="&amp;ReportFrom,'Receipt Vouchers'!$A$5:$A$2005,"&lt;="&amp;ReportTo))</f>
        <v/>
      </c>
      <c r="W38" s="25">
        <f>IF($A38="",0,SUMIFS('Receipt Vouchers'!$N$5:$N$2005,'Receipt Vouchers'!$P$5:$P$2005,$A38,'Receipt Vouchers'!$A$5:$A$2005,"&gt;="&amp;ReportFrom,'Receipt Vouchers'!$A$5:$A$2005,"&lt;="&amp;ReportTo)+SUMIFS('Receipt Vouchers'!$M$5:$M$2005,'Receipt Vouchers'!$R$5:$R$2005,$A38,'Receipt Vouchers'!$A$5:$A$2005,"&gt;="&amp;ReportFrom,'Receipt Vouchers'!$A$5:$A$2005,"&lt;="&amp;ReportTo))</f>
        <v/>
      </c>
      <c r="X38" s="25">
        <f>IF($A38="",0,(SUMIFS('Sales Invoices'!$O$5:$O$2005,'Sales Invoices'!$P$5:$P$2005,$A38,'Sales Invoices'!$B$5:$B$2005,"&lt;"&amp;ReportFrom)+SUMIFS('Sales Invoices'!$N$5:$N$2005,'Sales Invoices'!$R$5:$R$2005,$A38,'Sales Invoices'!$B$5:$B$2005,"&lt;"&amp;ReportFrom))-(SUMIFS('Sales Invoices'!$L$5:$L$2005,'Sales Invoices'!$Q$5:$Q$2005,$A38,'Sales Invoices'!$B$5:$B$2005,"&lt;"&amp;ReportFrom)+SUMIFS('Sales Invoices'!$M$5:$M$2005,'Sales Invoices'!$S$5:$S$2005,$A38,'Sales Invoices'!$B$5:$B$2005,"&lt;"&amp;ReportFrom)))</f>
        <v/>
      </c>
      <c r="Y38" s="25">
        <f>IF($A38="",0,SUMIFS('Sales Invoices'!$O$5:$O$2005,'Sales Invoices'!$P$5:$P$2005,$A38,'Sales Invoices'!$B$5:$B$2005,"&gt;="&amp;ReportFrom,'Sales Invoices'!$B$5:$B$2005,"&lt;="&amp;ReportTo)+SUMIFS('Sales Invoices'!$N$5:$N$2005,'Sales Invoices'!$R$5:$R$2005,$A38,'Sales Invoices'!$B$5:$B$2005,"&gt;="&amp;ReportFrom,'Sales Invoices'!$B$5:$B$2005,"&lt;="&amp;ReportTo))</f>
        <v/>
      </c>
      <c r="Z38" s="25">
        <f>IF($A38="",0,SUMIFS('Sales Invoices'!$L$5:$L$2005,'Sales Invoices'!$Q$5:$Q$2005,$A38,'Sales Invoices'!$B$5:$B$2005,"&gt;="&amp;ReportFrom,'Sales Invoices'!$B$5:$B$2005,"&lt;="&amp;ReportTo)+SUMIFS('Sales Invoices'!$M$5:$M$2005,'Sales Invoices'!$S$5:$S$2005,$A38,'Sales Invoices'!$B$5:$B$2005,"&gt;="&amp;ReportFrom,'Sales Invoices'!$B$5:$B$2005,"&lt;="&amp;ReportTo))</f>
        <v/>
      </c>
      <c r="AA38" s="25">
        <f>IF($A38="",0,(SUMIFS('Payment Vouchers'!$D$5:$D$2005,'Payment Vouchers'!$J$5:$J$2005,$A38,'Payment Vouchers'!$A$5:$A$2005,"&lt;"&amp;ReportFrom))-(SUMIFS('Payment Vouchers'!$D$5:$D$2005,'Payment Vouchers'!$K$5:$K$2005,$A38,'Payment Vouchers'!$A$5:$A$2005,"&lt;"&amp;ReportFrom)))</f>
        <v/>
      </c>
      <c r="AB38" s="25">
        <f>IF($A38="",0,SUMIFS('Payment Vouchers'!$D$5:$D$2005,'Payment Vouchers'!$J$5:$J$2005,$A38,'Payment Vouchers'!$A$5:$A$2005,"&gt;="&amp;ReportFrom,'Payment Vouchers'!$A$5:$A$2005,"&lt;="&amp;ReportTo))</f>
        <v/>
      </c>
      <c r="AC38" s="25">
        <f>IF($A38="",0,SUMIFS('Payment Vouchers'!$D$5:$D$2005,'Payment Vouchers'!$K$5:$K$2005,$A38,'Payment Vouchers'!$A$5:$A$2005,"&gt;="&amp;ReportFrom,'Payment Vouchers'!$A$5:$A$2005,"&lt;="&amp;ReportTo))</f>
        <v/>
      </c>
      <c r="AD38" s="25">
        <f>IF($A38="",0,(SUMIFS('Partner Transactions'!$D$5:$D$2005,'Partner Transactions'!$L$5:$L$2005,$A38,'Partner Transactions'!$A$5:$A$2005,"&lt;"&amp;ReportFrom))-(SUMIFS('Partner Transactions'!$D$5:$D$2005,'Partner Transactions'!$M$5:$M$2005,$A38,'Partner Transactions'!$A$5:$A$2005,"&lt;"&amp;ReportFrom)))</f>
        <v/>
      </c>
      <c r="AE38" s="25">
        <f>IF($A38="",0,SUMIFS('Partner Transactions'!$D$5:$D$2005,'Partner Transactions'!$L$5:$L$2005,$A38,'Partner Transactions'!$A$5:$A$2005,"&gt;="&amp;ReportFrom,'Partner Transactions'!$A$5:$A$2005,"&lt;="&amp;ReportTo))</f>
        <v/>
      </c>
      <c r="AF38" s="25">
        <f>IF($A38="",0,SUMIFS('Partner Transactions'!$D$5:$D$2005,'Partner Transactions'!$M$5:$M$2005,$A38,'Partner Transactions'!$A$5:$A$2005,"&gt;="&amp;ReportFrom,'Partner Transactions'!$A$5:$A$2005,"&lt;="&amp;ReportTo))</f>
        <v/>
      </c>
      <c r="AG38" s="25">
        <f>IF($A38="",0,(SUMIFS('Stock Moves'!$S$5:$S$2005,'Stock Moves'!$AD$5:$AD$2005,$A38,'Stock Moves'!$A$5:$A$2005,"&lt;"&amp;ReportFrom)+SUMIFS('Stock Moves'!$T$5:$T$2005,'Stock Moves'!$V$5:$V$2005,$A38,'Stock Moves'!$A$5:$A$2005,"&lt;"&amp;ReportFrom))-(SUMIFS('Stock Moves'!$AF$5:$AF$2005,'Stock Moves'!$AE$5:$AE$2005,$A38,'Stock Moves'!$A$5:$A$2005,"&lt;"&amp;ReportFrom)+SUMIFS('Stock Moves'!$AC$5:$AC$2005,'Stock Moves'!$X$5:$X$2005,$A38,'Stock Moves'!$A$5:$A$2005,"&lt;"&amp;ReportFrom)+SUMIFS('Stock Moves'!$U$5:$U$2005,'Stock Moves'!$W$5:$W$2005,$A38,'Stock Moves'!$A$5:$A$2005,"&lt;"&amp;ReportFrom)))</f>
        <v/>
      </c>
      <c r="AH38" s="25">
        <f>IF($A38="",0,SUMIFS('Stock Moves'!$S$5:$S$2005,'Stock Moves'!$AD$5:$AD$2005,$A38,'Stock Moves'!$A$5:$A$2005,"&gt;="&amp;ReportFrom,'Stock Moves'!$A$5:$A$2005,"&lt;="&amp;ReportTo)+SUMIFS('Stock Moves'!$T$5:$T$2005,'Stock Moves'!$V$5:$V$2005,$A38,'Stock Moves'!$A$5:$A$2005,"&gt;="&amp;ReportFrom,'Stock Moves'!$A$5:$A$2005,"&lt;="&amp;ReportTo))</f>
        <v/>
      </c>
      <c r="AI38" s="25">
        <f>IF($A38="",0,SUMIFS('Stock Moves'!$AF$5:$AF$2005,'Stock Moves'!$AE$5:$AE$2005,$A38,'Stock Moves'!$A$5:$A$2005,"&gt;="&amp;ReportFrom,'Stock Moves'!$A$5:$A$2005,"&lt;="&amp;ReportTo)+SUMIFS('Stock Moves'!$AC$5:$AC$2005,'Stock Moves'!$X$5:$X$2005,$A38,'Stock Moves'!$A$5:$A$2005,"&gt;="&amp;ReportFrom,'Stock Moves'!$A$5:$A$2005,"&lt;="&amp;ReportTo)+SUMIFS('Stock Moves'!$U$5:$U$2005,'Stock Moves'!$W$5:$W$2005,$A38,'Stock Moves'!$A$5:$A$2005,"&gt;="&amp;ReportFrom,'Stock Moves'!$A$5:$A$2005,"&lt;="&amp;ReportTo))</f>
        <v/>
      </c>
      <c r="AJ38" s="25">
        <f>IF($A38="",0,(SUMIFS('Journal Vouchers'!$I$5:$I$2005,'Journal Vouchers'!$H$5:$H$2005,$A38,'Journal Vouchers'!$B$5:$B$2005,"&lt;"&amp;ReportFrom))-(SUMIFS('Journal Vouchers'!$J$5:$J$2005,'Journal Vouchers'!$H$5:$H$2005,$A38,'Journal Vouchers'!$B$5:$B$2005,"&lt;"&amp;ReportFrom)))</f>
        <v/>
      </c>
      <c r="AK38" s="25">
        <f>IF($A38="",0,SUMIFS('Journal Vouchers'!$I$5:$I$2005,'Journal Vouchers'!$H$5:$H$2005,$A38,'Journal Vouchers'!$B$5:$B$2005,"&gt;="&amp;ReportFrom,'Journal Vouchers'!$B$5:$B$2005,"&lt;="&amp;ReportTo))</f>
        <v/>
      </c>
      <c r="AL38" s="25">
        <f>IF($A38="",0,SUMIFS('Journal Vouchers'!$J$5:$J$2005,'Journal Vouchers'!$H$5:$H$2005,$A38,'Journal Vouchers'!$B$5:$B$2005,"&gt;="&amp;ReportFrom,'Journal Vouchers'!$B$5:$B$2005,"&lt;="&amp;ReportTo))</f>
        <v/>
      </c>
    </row>
    <row r="39">
      <c r="A39" s="25">
        <f>IF('Chart of Accounts'!A39="","",'Chart of Accounts'!A39&amp;"")</f>
        <v/>
      </c>
      <c r="B39" s="25">
        <f>IF(A39="","",'Chart of Accounts'!B39)</f>
        <v/>
      </c>
      <c r="C39" s="25">
        <f>IF(A39="","",'Chart of Accounts'!C39)</f>
        <v/>
      </c>
      <c r="D39" s="25">
        <f>IF(A39="","",'Chart of Accounts'!D39)</f>
        <v/>
      </c>
      <c r="E39" s="26">
        <f>L39+O39+R39+U39+X39+AA39+AD39+AG39+AJ39</f>
        <v/>
      </c>
      <c r="F39" s="26">
        <f>M39+P39+S39+V39+Y39+AB39+AE39+AH39+AK39</f>
        <v/>
      </c>
      <c r="G39" s="26">
        <f>N39+Q39+T39+W39+Z39+AC39+AF39+AI39+AL39</f>
        <v/>
      </c>
      <c r="H39" s="26">
        <f>E39+F39-G39</f>
        <v/>
      </c>
      <c r="I39" s="26">
        <f>MAX(H39,0)</f>
        <v/>
      </c>
      <c r="J39" s="26">
        <f>MAX(-H39,0)</f>
        <v/>
      </c>
      <c r="L39" s="25">
        <f>IF($A39="",0,(SUMIFS('Direct Costs'!$R$5:$R$2005,'Direct Costs'!$V$5:$V$2005,$A39,'Direct Costs'!$A$5:$A$2005,"&lt;"&amp;ReportFrom)+SUMIFS('Direct Costs'!$S$5:$S$2005,'Direct Costs'!$Y$5:$Y$2005,$A39,'Direct Costs'!$A$5:$A$2005,"&lt;"&amp;ReportFrom))-(SUMIFS('Direct Costs'!$L$5:$L$2005,'Direct Costs'!$W$5:$W$2005,$A39,'Direct Costs'!$A$5:$A$2005,"&lt;"&amp;ReportFrom)+SUMIFS('Direct Costs'!$U$5:$U$2005,'Direct Costs'!$X$5:$X$2005,$A39,'Direct Costs'!$A$5:$A$2005,"&lt;"&amp;ReportFrom)+SUMIFS('Direct Costs'!$T$5:$T$2005,'Direct Costs'!$Z$5:$Z$2005,$A39,'Direct Costs'!$A$5:$A$2005,"&lt;"&amp;ReportFrom)))</f>
        <v/>
      </c>
      <c r="M39" s="25">
        <f>IF($A39="",0,SUMIFS('Direct Costs'!$R$5:$R$2005,'Direct Costs'!$V$5:$V$2005,$A39,'Direct Costs'!$A$5:$A$2005,"&gt;="&amp;ReportFrom,'Direct Costs'!$A$5:$A$2005,"&lt;="&amp;ReportTo)+SUMIFS('Direct Costs'!$S$5:$S$2005,'Direct Costs'!$Y$5:$Y$2005,$A39,'Direct Costs'!$A$5:$A$2005,"&gt;="&amp;ReportFrom,'Direct Costs'!$A$5:$A$2005,"&lt;="&amp;ReportTo))</f>
        <v/>
      </c>
      <c r="N39" s="25">
        <f>IF($A39="",0,SUMIFS('Direct Costs'!$L$5:$L$2005,'Direct Costs'!$W$5:$W$2005,$A39,'Direct Costs'!$A$5:$A$2005,"&gt;="&amp;ReportFrom,'Direct Costs'!$A$5:$A$2005,"&lt;="&amp;ReportTo)+SUMIFS('Direct Costs'!$U$5:$U$2005,'Direct Costs'!$X$5:$X$2005,$A39,'Direct Costs'!$A$5:$A$2005,"&gt;="&amp;ReportFrom,'Direct Costs'!$A$5:$A$2005,"&lt;="&amp;ReportTo)+SUMIFS('Direct Costs'!$T$5:$T$2005,'Direct Costs'!$Z$5:$Z$2005,$A39,'Direct Costs'!$A$5:$A$2005,"&gt;="&amp;ReportFrom,'Direct Costs'!$A$5:$A$2005,"&lt;="&amp;ReportTo))</f>
        <v/>
      </c>
      <c r="O39" s="25">
        <f>IF($A39="",0,(SUMIFS('Operating Expenses'!$F$5:$F$2005,'Operating Expenses'!$Q$5:$Q$2005,$A39,'Operating Expenses'!$A$5:$A$2005,"&lt;"&amp;ReportFrom)+SUMIFS('Operating Expenses'!$M$5:$M$2005,'Operating Expenses'!$T$5:$T$2005,$A39,'Operating Expenses'!$A$5:$A$2005,"&lt;"&amp;ReportFrom))-(SUMIFS('Operating Expenses'!$O$5:$O$2005,'Operating Expenses'!$R$5:$R$2005,$A39,'Operating Expenses'!$A$5:$A$2005,"&lt;"&amp;ReportFrom)+SUMIFS('Operating Expenses'!$P$5:$P$2005,'Operating Expenses'!$S$5:$S$2005,$A39,'Operating Expenses'!$A$5:$A$2005,"&lt;"&amp;ReportFrom)+SUMIFS('Operating Expenses'!$N$5:$N$2005,'Operating Expenses'!$U$5:$U$2005,$A39,'Operating Expenses'!$A$5:$A$2005,"&lt;"&amp;ReportFrom)))</f>
        <v/>
      </c>
      <c r="P39" s="25">
        <f>IF($A39="",0,SUMIFS('Operating Expenses'!$F$5:$F$2005,'Operating Expenses'!$Q$5:$Q$2005,$A39,'Operating Expenses'!$A$5:$A$2005,"&gt;="&amp;ReportFrom,'Operating Expenses'!$A$5:$A$2005,"&lt;="&amp;ReportTo)+SUMIFS('Operating Expenses'!$M$5:$M$2005,'Operating Expenses'!$T$5:$T$2005,$A39,'Operating Expenses'!$A$5:$A$2005,"&gt;="&amp;ReportFrom,'Operating Expenses'!$A$5:$A$2005,"&lt;="&amp;ReportTo))</f>
        <v/>
      </c>
      <c r="Q39" s="25">
        <f>IF($A39="",0,SUMIFS('Operating Expenses'!$O$5:$O$2005,'Operating Expenses'!$R$5:$R$2005,$A39,'Operating Expenses'!$A$5:$A$2005,"&gt;="&amp;ReportFrom,'Operating Expenses'!$A$5:$A$2005,"&lt;="&amp;ReportTo)+SUMIFS('Operating Expenses'!$P$5:$P$2005,'Operating Expenses'!$S$5:$S$2005,$A39,'Operating Expenses'!$A$5:$A$2005,"&gt;="&amp;ReportFrom,'Operating Expenses'!$A$5:$A$2005,"&lt;="&amp;ReportTo)+SUMIFS('Operating Expenses'!$N$5:$N$2005,'Operating Expenses'!$U$5:$U$2005,$A39,'Operating Expenses'!$A$5:$A$2005,"&gt;="&amp;ReportFrom,'Operating Expenses'!$A$5:$A$2005,"&lt;="&amp;ReportTo))</f>
        <v/>
      </c>
      <c r="R39" s="25">
        <f>IF($A39="",0,(SUMIFS('Payroll'!$O$5:$O$2005,'Payroll'!$Q$5:$Q$2005,$A39,'Payroll'!$A$5:$A$2005,"&lt;"&amp;ReportFrom))-(SUMIFS('Payroll'!$K$5:$K$2005,'Payroll'!$R$5:$R$2005,$A39,'Payroll'!$A$5:$A$2005,"&lt;"&amp;ReportFrom)+SUMIFS('Payroll'!$P$5:$P$2005,'Payroll'!$S$5:$S$2005,$A39,'Payroll'!$A$5:$A$2005,"&lt;"&amp;ReportFrom)))</f>
        <v/>
      </c>
      <c r="S39" s="25">
        <f>IF($A39="",0,SUMIFS('Payroll'!$O$5:$O$2005,'Payroll'!$Q$5:$Q$2005,$A39,'Payroll'!$A$5:$A$2005,"&gt;="&amp;ReportFrom,'Payroll'!$A$5:$A$2005,"&lt;="&amp;ReportTo))</f>
        <v/>
      </c>
      <c r="T39" s="25">
        <f>IF($A39="",0,SUMIFS('Payroll'!$K$5:$K$2005,'Payroll'!$R$5:$R$2005,$A39,'Payroll'!$A$5:$A$2005,"&gt;="&amp;ReportFrom,'Payroll'!$A$5:$A$2005,"&lt;="&amp;ReportTo)+SUMIFS('Payroll'!$P$5:$P$2005,'Payroll'!$S$5:$S$2005,$A39,'Payroll'!$A$5:$A$2005,"&gt;="&amp;ReportFrom,'Payroll'!$A$5:$A$2005,"&lt;="&amp;ReportTo))</f>
        <v/>
      </c>
      <c r="U39" s="25">
        <f>IF($A39="",0,(SUMIFS('Receipt Vouchers'!$F$5:$F$2005,'Receipt Vouchers'!$O$5:$O$2005,$A39,'Receipt Vouchers'!$A$5:$A$2005,"&lt;"&amp;ReportFrom)+SUMIFS('Receipt Vouchers'!$J$5:$J$2005,'Receipt Vouchers'!$Q$5:$Q$2005,$A39,'Receipt Vouchers'!$A$5:$A$2005,"&lt;"&amp;ReportFrom))-(SUMIFS('Receipt Vouchers'!$N$5:$N$2005,'Receipt Vouchers'!$P$5:$P$2005,$A39,'Receipt Vouchers'!$A$5:$A$2005,"&lt;"&amp;ReportFrom)+SUMIFS('Receipt Vouchers'!$M$5:$M$2005,'Receipt Vouchers'!$R$5:$R$2005,$A39,'Receipt Vouchers'!$A$5:$A$2005,"&lt;"&amp;ReportFrom)))</f>
        <v/>
      </c>
      <c r="V39" s="25">
        <f>IF($A39="",0,SUMIFS('Receipt Vouchers'!$F$5:$F$2005,'Receipt Vouchers'!$O$5:$O$2005,$A39,'Receipt Vouchers'!$A$5:$A$2005,"&gt;="&amp;ReportFrom,'Receipt Vouchers'!$A$5:$A$2005,"&lt;="&amp;ReportTo)+SUMIFS('Receipt Vouchers'!$J$5:$J$2005,'Receipt Vouchers'!$Q$5:$Q$2005,$A39,'Receipt Vouchers'!$A$5:$A$2005,"&gt;="&amp;ReportFrom,'Receipt Vouchers'!$A$5:$A$2005,"&lt;="&amp;ReportTo))</f>
        <v/>
      </c>
      <c r="W39" s="25">
        <f>IF($A39="",0,SUMIFS('Receipt Vouchers'!$N$5:$N$2005,'Receipt Vouchers'!$P$5:$P$2005,$A39,'Receipt Vouchers'!$A$5:$A$2005,"&gt;="&amp;ReportFrom,'Receipt Vouchers'!$A$5:$A$2005,"&lt;="&amp;ReportTo)+SUMIFS('Receipt Vouchers'!$M$5:$M$2005,'Receipt Vouchers'!$R$5:$R$2005,$A39,'Receipt Vouchers'!$A$5:$A$2005,"&gt;="&amp;ReportFrom,'Receipt Vouchers'!$A$5:$A$2005,"&lt;="&amp;ReportTo))</f>
        <v/>
      </c>
      <c r="X39" s="25">
        <f>IF($A39="",0,(SUMIFS('Sales Invoices'!$O$5:$O$2005,'Sales Invoices'!$P$5:$P$2005,$A39,'Sales Invoices'!$B$5:$B$2005,"&lt;"&amp;ReportFrom)+SUMIFS('Sales Invoices'!$N$5:$N$2005,'Sales Invoices'!$R$5:$R$2005,$A39,'Sales Invoices'!$B$5:$B$2005,"&lt;"&amp;ReportFrom))-(SUMIFS('Sales Invoices'!$L$5:$L$2005,'Sales Invoices'!$Q$5:$Q$2005,$A39,'Sales Invoices'!$B$5:$B$2005,"&lt;"&amp;ReportFrom)+SUMIFS('Sales Invoices'!$M$5:$M$2005,'Sales Invoices'!$S$5:$S$2005,$A39,'Sales Invoices'!$B$5:$B$2005,"&lt;"&amp;ReportFrom)))</f>
        <v/>
      </c>
      <c r="Y39" s="25">
        <f>IF($A39="",0,SUMIFS('Sales Invoices'!$O$5:$O$2005,'Sales Invoices'!$P$5:$P$2005,$A39,'Sales Invoices'!$B$5:$B$2005,"&gt;="&amp;ReportFrom,'Sales Invoices'!$B$5:$B$2005,"&lt;="&amp;ReportTo)+SUMIFS('Sales Invoices'!$N$5:$N$2005,'Sales Invoices'!$R$5:$R$2005,$A39,'Sales Invoices'!$B$5:$B$2005,"&gt;="&amp;ReportFrom,'Sales Invoices'!$B$5:$B$2005,"&lt;="&amp;ReportTo))</f>
        <v/>
      </c>
      <c r="Z39" s="25">
        <f>IF($A39="",0,SUMIFS('Sales Invoices'!$L$5:$L$2005,'Sales Invoices'!$Q$5:$Q$2005,$A39,'Sales Invoices'!$B$5:$B$2005,"&gt;="&amp;ReportFrom,'Sales Invoices'!$B$5:$B$2005,"&lt;="&amp;ReportTo)+SUMIFS('Sales Invoices'!$M$5:$M$2005,'Sales Invoices'!$S$5:$S$2005,$A39,'Sales Invoices'!$B$5:$B$2005,"&gt;="&amp;ReportFrom,'Sales Invoices'!$B$5:$B$2005,"&lt;="&amp;ReportTo))</f>
        <v/>
      </c>
      <c r="AA39" s="25">
        <f>IF($A39="",0,(SUMIFS('Payment Vouchers'!$D$5:$D$2005,'Payment Vouchers'!$J$5:$J$2005,$A39,'Payment Vouchers'!$A$5:$A$2005,"&lt;"&amp;ReportFrom))-(SUMIFS('Payment Vouchers'!$D$5:$D$2005,'Payment Vouchers'!$K$5:$K$2005,$A39,'Payment Vouchers'!$A$5:$A$2005,"&lt;"&amp;ReportFrom)))</f>
        <v/>
      </c>
      <c r="AB39" s="25">
        <f>IF($A39="",0,SUMIFS('Payment Vouchers'!$D$5:$D$2005,'Payment Vouchers'!$J$5:$J$2005,$A39,'Payment Vouchers'!$A$5:$A$2005,"&gt;="&amp;ReportFrom,'Payment Vouchers'!$A$5:$A$2005,"&lt;="&amp;ReportTo))</f>
        <v/>
      </c>
      <c r="AC39" s="25">
        <f>IF($A39="",0,SUMIFS('Payment Vouchers'!$D$5:$D$2005,'Payment Vouchers'!$K$5:$K$2005,$A39,'Payment Vouchers'!$A$5:$A$2005,"&gt;="&amp;ReportFrom,'Payment Vouchers'!$A$5:$A$2005,"&lt;="&amp;ReportTo))</f>
        <v/>
      </c>
      <c r="AD39" s="25">
        <f>IF($A39="",0,(SUMIFS('Partner Transactions'!$D$5:$D$2005,'Partner Transactions'!$L$5:$L$2005,$A39,'Partner Transactions'!$A$5:$A$2005,"&lt;"&amp;ReportFrom))-(SUMIFS('Partner Transactions'!$D$5:$D$2005,'Partner Transactions'!$M$5:$M$2005,$A39,'Partner Transactions'!$A$5:$A$2005,"&lt;"&amp;ReportFrom)))</f>
        <v/>
      </c>
      <c r="AE39" s="25">
        <f>IF($A39="",0,SUMIFS('Partner Transactions'!$D$5:$D$2005,'Partner Transactions'!$L$5:$L$2005,$A39,'Partner Transactions'!$A$5:$A$2005,"&gt;="&amp;ReportFrom,'Partner Transactions'!$A$5:$A$2005,"&lt;="&amp;ReportTo))</f>
        <v/>
      </c>
      <c r="AF39" s="25">
        <f>IF($A39="",0,SUMIFS('Partner Transactions'!$D$5:$D$2005,'Partner Transactions'!$M$5:$M$2005,$A39,'Partner Transactions'!$A$5:$A$2005,"&gt;="&amp;ReportFrom,'Partner Transactions'!$A$5:$A$2005,"&lt;="&amp;ReportTo))</f>
        <v/>
      </c>
      <c r="AG39" s="25">
        <f>IF($A39="",0,(SUMIFS('Stock Moves'!$S$5:$S$2005,'Stock Moves'!$AD$5:$AD$2005,$A39,'Stock Moves'!$A$5:$A$2005,"&lt;"&amp;ReportFrom)+SUMIFS('Stock Moves'!$T$5:$T$2005,'Stock Moves'!$V$5:$V$2005,$A39,'Stock Moves'!$A$5:$A$2005,"&lt;"&amp;ReportFrom))-(SUMIFS('Stock Moves'!$AF$5:$AF$2005,'Stock Moves'!$AE$5:$AE$2005,$A39,'Stock Moves'!$A$5:$A$2005,"&lt;"&amp;ReportFrom)+SUMIFS('Stock Moves'!$AC$5:$AC$2005,'Stock Moves'!$X$5:$X$2005,$A39,'Stock Moves'!$A$5:$A$2005,"&lt;"&amp;ReportFrom)+SUMIFS('Stock Moves'!$U$5:$U$2005,'Stock Moves'!$W$5:$W$2005,$A39,'Stock Moves'!$A$5:$A$2005,"&lt;"&amp;ReportFrom)))</f>
        <v/>
      </c>
      <c r="AH39" s="25">
        <f>IF($A39="",0,SUMIFS('Stock Moves'!$S$5:$S$2005,'Stock Moves'!$AD$5:$AD$2005,$A39,'Stock Moves'!$A$5:$A$2005,"&gt;="&amp;ReportFrom,'Stock Moves'!$A$5:$A$2005,"&lt;="&amp;ReportTo)+SUMIFS('Stock Moves'!$T$5:$T$2005,'Stock Moves'!$V$5:$V$2005,$A39,'Stock Moves'!$A$5:$A$2005,"&gt;="&amp;ReportFrom,'Stock Moves'!$A$5:$A$2005,"&lt;="&amp;ReportTo))</f>
        <v/>
      </c>
      <c r="AI39" s="25">
        <f>IF($A39="",0,SUMIFS('Stock Moves'!$AF$5:$AF$2005,'Stock Moves'!$AE$5:$AE$2005,$A39,'Stock Moves'!$A$5:$A$2005,"&gt;="&amp;ReportFrom,'Stock Moves'!$A$5:$A$2005,"&lt;="&amp;ReportTo)+SUMIFS('Stock Moves'!$AC$5:$AC$2005,'Stock Moves'!$X$5:$X$2005,$A39,'Stock Moves'!$A$5:$A$2005,"&gt;="&amp;ReportFrom,'Stock Moves'!$A$5:$A$2005,"&lt;="&amp;ReportTo)+SUMIFS('Stock Moves'!$U$5:$U$2005,'Stock Moves'!$W$5:$W$2005,$A39,'Stock Moves'!$A$5:$A$2005,"&gt;="&amp;ReportFrom,'Stock Moves'!$A$5:$A$2005,"&lt;="&amp;ReportTo))</f>
        <v/>
      </c>
      <c r="AJ39" s="25">
        <f>IF($A39="",0,(SUMIFS('Journal Vouchers'!$I$5:$I$2005,'Journal Vouchers'!$H$5:$H$2005,$A39,'Journal Vouchers'!$B$5:$B$2005,"&lt;"&amp;ReportFrom))-(SUMIFS('Journal Vouchers'!$J$5:$J$2005,'Journal Vouchers'!$H$5:$H$2005,$A39,'Journal Vouchers'!$B$5:$B$2005,"&lt;"&amp;ReportFrom)))</f>
        <v/>
      </c>
      <c r="AK39" s="25">
        <f>IF($A39="",0,SUMIFS('Journal Vouchers'!$I$5:$I$2005,'Journal Vouchers'!$H$5:$H$2005,$A39,'Journal Vouchers'!$B$5:$B$2005,"&gt;="&amp;ReportFrom,'Journal Vouchers'!$B$5:$B$2005,"&lt;="&amp;ReportTo))</f>
        <v/>
      </c>
      <c r="AL39" s="25">
        <f>IF($A39="",0,SUMIFS('Journal Vouchers'!$J$5:$J$2005,'Journal Vouchers'!$H$5:$H$2005,$A39,'Journal Vouchers'!$B$5:$B$2005,"&gt;="&amp;ReportFrom,'Journal Vouchers'!$B$5:$B$2005,"&lt;="&amp;ReportTo))</f>
        <v/>
      </c>
    </row>
    <row r="40">
      <c r="A40" s="25">
        <f>IF('Chart of Accounts'!A40="","",'Chart of Accounts'!A40&amp;"")</f>
        <v/>
      </c>
      <c r="B40" s="25">
        <f>IF(A40="","",'Chart of Accounts'!B40)</f>
        <v/>
      </c>
      <c r="C40" s="25">
        <f>IF(A40="","",'Chart of Accounts'!C40)</f>
        <v/>
      </c>
      <c r="D40" s="25">
        <f>IF(A40="","",'Chart of Accounts'!D40)</f>
        <v/>
      </c>
      <c r="E40" s="26">
        <f>L40+O40+R40+U40+X40+AA40+AD40+AG40+AJ40</f>
        <v/>
      </c>
      <c r="F40" s="26">
        <f>M40+P40+S40+V40+Y40+AB40+AE40+AH40+AK40</f>
        <v/>
      </c>
      <c r="G40" s="26">
        <f>N40+Q40+T40+W40+Z40+AC40+AF40+AI40+AL40</f>
        <v/>
      </c>
      <c r="H40" s="26">
        <f>E40+F40-G40</f>
        <v/>
      </c>
      <c r="I40" s="26">
        <f>MAX(H40,0)</f>
        <v/>
      </c>
      <c r="J40" s="26">
        <f>MAX(-H40,0)</f>
        <v/>
      </c>
      <c r="L40" s="25">
        <f>IF($A40="",0,(SUMIFS('Direct Costs'!$R$5:$R$2005,'Direct Costs'!$V$5:$V$2005,$A40,'Direct Costs'!$A$5:$A$2005,"&lt;"&amp;ReportFrom)+SUMIFS('Direct Costs'!$S$5:$S$2005,'Direct Costs'!$Y$5:$Y$2005,$A40,'Direct Costs'!$A$5:$A$2005,"&lt;"&amp;ReportFrom))-(SUMIFS('Direct Costs'!$L$5:$L$2005,'Direct Costs'!$W$5:$W$2005,$A40,'Direct Costs'!$A$5:$A$2005,"&lt;"&amp;ReportFrom)+SUMIFS('Direct Costs'!$U$5:$U$2005,'Direct Costs'!$X$5:$X$2005,$A40,'Direct Costs'!$A$5:$A$2005,"&lt;"&amp;ReportFrom)+SUMIFS('Direct Costs'!$T$5:$T$2005,'Direct Costs'!$Z$5:$Z$2005,$A40,'Direct Costs'!$A$5:$A$2005,"&lt;"&amp;ReportFrom)))</f>
        <v/>
      </c>
      <c r="M40" s="25">
        <f>IF($A40="",0,SUMIFS('Direct Costs'!$R$5:$R$2005,'Direct Costs'!$V$5:$V$2005,$A40,'Direct Costs'!$A$5:$A$2005,"&gt;="&amp;ReportFrom,'Direct Costs'!$A$5:$A$2005,"&lt;="&amp;ReportTo)+SUMIFS('Direct Costs'!$S$5:$S$2005,'Direct Costs'!$Y$5:$Y$2005,$A40,'Direct Costs'!$A$5:$A$2005,"&gt;="&amp;ReportFrom,'Direct Costs'!$A$5:$A$2005,"&lt;="&amp;ReportTo))</f>
        <v/>
      </c>
      <c r="N40" s="25">
        <f>IF($A40="",0,SUMIFS('Direct Costs'!$L$5:$L$2005,'Direct Costs'!$W$5:$W$2005,$A40,'Direct Costs'!$A$5:$A$2005,"&gt;="&amp;ReportFrom,'Direct Costs'!$A$5:$A$2005,"&lt;="&amp;ReportTo)+SUMIFS('Direct Costs'!$U$5:$U$2005,'Direct Costs'!$X$5:$X$2005,$A40,'Direct Costs'!$A$5:$A$2005,"&gt;="&amp;ReportFrom,'Direct Costs'!$A$5:$A$2005,"&lt;="&amp;ReportTo)+SUMIFS('Direct Costs'!$T$5:$T$2005,'Direct Costs'!$Z$5:$Z$2005,$A40,'Direct Costs'!$A$5:$A$2005,"&gt;="&amp;ReportFrom,'Direct Costs'!$A$5:$A$2005,"&lt;="&amp;ReportTo))</f>
        <v/>
      </c>
      <c r="O40" s="25">
        <f>IF($A40="",0,(SUMIFS('Operating Expenses'!$F$5:$F$2005,'Operating Expenses'!$Q$5:$Q$2005,$A40,'Operating Expenses'!$A$5:$A$2005,"&lt;"&amp;ReportFrom)+SUMIFS('Operating Expenses'!$M$5:$M$2005,'Operating Expenses'!$T$5:$T$2005,$A40,'Operating Expenses'!$A$5:$A$2005,"&lt;"&amp;ReportFrom))-(SUMIFS('Operating Expenses'!$O$5:$O$2005,'Operating Expenses'!$R$5:$R$2005,$A40,'Operating Expenses'!$A$5:$A$2005,"&lt;"&amp;ReportFrom)+SUMIFS('Operating Expenses'!$P$5:$P$2005,'Operating Expenses'!$S$5:$S$2005,$A40,'Operating Expenses'!$A$5:$A$2005,"&lt;"&amp;ReportFrom)+SUMIFS('Operating Expenses'!$N$5:$N$2005,'Operating Expenses'!$U$5:$U$2005,$A40,'Operating Expenses'!$A$5:$A$2005,"&lt;"&amp;ReportFrom)))</f>
        <v/>
      </c>
      <c r="P40" s="25">
        <f>IF($A40="",0,SUMIFS('Operating Expenses'!$F$5:$F$2005,'Operating Expenses'!$Q$5:$Q$2005,$A40,'Operating Expenses'!$A$5:$A$2005,"&gt;="&amp;ReportFrom,'Operating Expenses'!$A$5:$A$2005,"&lt;="&amp;ReportTo)+SUMIFS('Operating Expenses'!$M$5:$M$2005,'Operating Expenses'!$T$5:$T$2005,$A40,'Operating Expenses'!$A$5:$A$2005,"&gt;="&amp;ReportFrom,'Operating Expenses'!$A$5:$A$2005,"&lt;="&amp;ReportTo))</f>
        <v/>
      </c>
      <c r="Q40" s="25">
        <f>IF($A40="",0,SUMIFS('Operating Expenses'!$O$5:$O$2005,'Operating Expenses'!$R$5:$R$2005,$A40,'Operating Expenses'!$A$5:$A$2005,"&gt;="&amp;ReportFrom,'Operating Expenses'!$A$5:$A$2005,"&lt;="&amp;ReportTo)+SUMIFS('Operating Expenses'!$P$5:$P$2005,'Operating Expenses'!$S$5:$S$2005,$A40,'Operating Expenses'!$A$5:$A$2005,"&gt;="&amp;ReportFrom,'Operating Expenses'!$A$5:$A$2005,"&lt;="&amp;ReportTo)+SUMIFS('Operating Expenses'!$N$5:$N$2005,'Operating Expenses'!$U$5:$U$2005,$A40,'Operating Expenses'!$A$5:$A$2005,"&gt;="&amp;ReportFrom,'Operating Expenses'!$A$5:$A$2005,"&lt;="&amp;ReportTo))</f>
        <v/>
      </c>
      <c r="R40" s="25">
        <f>IF($A40="",0,(SUMIFS('Payroll'!$O$5:$O$2005,'Payroll'!$Q$5:$Q$2005,$A40,'Payroll'!$A$5:$A$2005,"&lt;"&amp;ReportFrom))-(SUMIFS('Payroll'!$K$5:$K$2005,'Payroll'!$R$5:$R$2005,$A40,'Payroll'!$A$5:$A$2005,"&lt;"&amp;ReportFrom)+SUMIFS('Payroll'!$P$5:$P$2005,'Payroll'!$S$5:$S$2005,$A40,'Payroll'!$A$5:$A$2005,"&lt;"&amp;ReportFrom)))</f>
        <v/>
      </c>
      <c r="S40" s="25">
        <f>IF($A40="",0,SUMIFS('Payroll'!$O$5:$O$2005,'Payroll'!$Q$5:$Q$2005,$A40,'Payroll'!$A$5:$A$2005,"&gt;="&amp;ReportFrom,'Payroll'!$A$5:$A$2005,"&lt;="&amp;ReportTo))</f>
        <v/>
      </c>
      <c r="T40" s="25">
        <f>IF($A40="",0,SUMIFS('Payroll'!$K$5:$K$2005,'Payroll'!$R$5:$R$2005,$A40,'Payroll'!$A$5:$A$2005,"&gt;="&amp;ReportFrom,'Payroll'!$A$5:$A$2005,"&lt;="&amp;ReportTo)+SUMIFS('Payroll'!$P$5:$P$2005,'Payroll'!$S$5:$S$2005,$A40,'Payroll'!$A$5:$A$2005,"&gt;="&amp;ReportFrom,'Payroll'!$A$5:$A$2005,"&lt;="&amp;ReportTo))</f>
        <v/>
      </c>
      <c r="U40" s="25">
        <f>IF($A40="",0,(SUMIFS('Receipt Vouchers'!$F$5:$F$2005,'Receipt Vouchers'!$O$5:$O$2005,$A40,'Receipt Vouchers'!$A$5:$A$2005,"&lt;"&amp;ReportFrom)+SUMIFS('Receipt Vouchers'!$J$5:$J$2005,'Receipt Vouchers'!$Q$5:$Q$2005,$A40,'Receipt Vouchers'!$A$5:$A$2005,"&lt;"&amp;ReportFrom))-(SUMIFS('Receipt Vouchers'!$N$5:$N$2005,'Receipt Vouchers'!$P$5:$P$2005,$A40,'Receipt Vouchers'!$A$5:$A$2005,"&lt;"&amp;ReportFrom)+SUMIFS('Receipt Vouchers'!$M$5:$M$2005,'Receipt Vouchers'!$R$5:$R$2005,$A40,'Receipt Vouchers'!$A$5:$A$2005,"&lt;"&amp;ReportFrom)))</f>
        <v/>
      </c>
      <c r="V40" s="25">
        <f>IF($A40="",0,SUMIFS('Receipt Vouchers'!$F$5:$F$2005,'Receipt Vouchers'!$O$5:$O$2005,$A40,'Receipt Vouchers'!$A$5:$A$2005,"&gt;="&amp;ReportFrom,'Receipt Vouchers'!$A$5:$A$2005,"&lt;="&amp;ReportTo)+SUMIFS('Receipt Vouchers'!$J$5:$J$2005,'Receipt Vouchers'!$Q$5:$Q$2005,$A40,'Receipt Vouchers'!$A$5:$A$2005,"&gt;="&amp;ReportFrom,'Receipt Vouchers'!$A$5:$A$2005,"&lt;="&amp;ReportTo))</f>
        <v/>
      </c>
      <c r="W40" s="25">
        <f>IF($A40="",0,SUMIFS('Receipt Vouchers'!$N$5:$N$2005,'Receipt Vouchers'!$P$5:$P$2005,$A40,'Receipt Vouchers'!$A$5:$A$2005,"&gt;="&amp;ReportFrom,'Receipt Vouchers'!$A$5:$A$2005,"&lt;="&amp;ReportTo)+SUMIFS('Receipt Vouchers'!$M$5:$M$2005,'Receipt Vouchers'!$R$5:$R$2005,$A40,'Receipt Vouchers'!$A$5:$A$2005,"&gt;="&amp;ReportFrom,'Receipt Vouchers'!$A$5:$A$2005,"&lt;="&amp;ReportTo))</f>
        <v/>
      </c>
      <c r="X40" s="25">
        <f>IF($A40="",0,(SUMIFS('Sales Invoices'!$O$5:$O$2005,'Sales Invoices'!$P$5:$P$2005,$A40,'Sales Invoices'!$B$5:$B$2005,"&lt;"&amp;ReportFrom)+SUMIFS('Sales Invoices'!$N$5:$N$2005,'Sales Invoices'!$R$5:$R$2005,$A40,'Sales Invoices'!$B$5:$B$2005,"&lt;"&amp;ReportFrom))-(SUMIFS('Sales Invoices'!$L$5:$L$2005,'Sales Invoices'!$Q$5:$Q$2005,$A40,'Sales Invoices'!$B$5:$B$2005,"&lt;"&amp;ReportFrom)+SUMIFS('Sales Invoices'!$M$5:$M$2005,'Sales Invoices'!$S$5:$S$2005,$A40,'Sales Invoices'!$B$5:$B$2005,"&lt;"&amp;ReportFrom)))</f>
        <v/>
      </c>
      <c r="Y40" s="25">
        <f>IF($A40="",0,SUMIFS('Sales Invoices'!$O$5:$O$2005,'Sales Invoices'!$P$5:$P$2005,$A40,'Sales Invoices'!$B$5:$B$2005,"&gt;="&amp;ReportFrom,'Sales Invoices'!$B$5:$B$2005,"&lt;="&amp;ReportTo)+SUMIFS('Sales Invoices'!$N$5:$N$2005,'Sales Invoices'!$R$5:$R$2005,$A40,'Sales Invoices'!$B$5:$B$2005,"&gt;="&amp;ReportFrom,'Sales Invoices'!$B$5:$B$2005,"&lt;="&amp;ReportTo))</f>
        <v/>
      </c>
      <c r="Z40" s="25">
        <f>IF($A40="",0,SUMIFS('Sales Invoices'!$L$5:$L$2005,'Sales Invoices'!$Q$5:$Q$2005,$A40,'Sales Invoices'!$B$5:$B$2005,"&gt;="&amp;ReportFrom,'Sales Invoices'!$B$5:$B$2005,"&lt;="&amp;ReportTo)+SUMIFS('Sales Invoices'!$M$5:$M$2005,'Sales Invoices'!$S$5:$S$2005,$A40,'Sales Invoices'!$B$5:$B$2005,"&gt;="&amp;ReportFrom,'Sales Invoices'!$B$5:$B$2005,"&lt;="&amp;ReportTo))</f>
        <v/>
      </c>
      <c r="AA40" s="25">
        <f>IF($A40="",0,(SUMIFS('Payment Vouchers'!$D$5:$D$2005,'Payment Vouchers'!$J$5:$J$2005,$A40,'Payment Vouchers'!$A$5:$A$2005,"&lt;"&amp;ReportFrom))-(SUMIFS('Payment Vouchers'!$D$5:$D$2005,'Payment Vouchers'!$K$5:$K$2005,$A40,'Payment Vouchers'!$A$5:$A$2005,"&lt;"&amp;ReportFrom)))</f>
        <v/>
      </c>
      <c r="AB40" s="25">
        <f>IF($A40="",0,SUMIFS('Payment Vouchers'!$D$5:$D$2005,'Payment Vouchers'!$J$5:$J$2005,$A40,'Payment Vouchers'!$A$5:$A$2005,"&gt;="&amp;ReportFrom,'Payment Vouchers'!$A$5:$A$2005,"&lt;="&amp;ReportTo))</f>
        <v/>
      </c>
      <c r="AC40" s="25">
        <f>IF($A40="",0,SUMIFS('Payment Vouchers'!$D$5:$D$2005,'Payment Vouchers'!$K$5:$K$2005,$A40,'Payment Vouchers'!$A$5:$A$2005,"&gt;="&amp;ReportFrom,'Payment Vouchers'!$A$5:$A$2005,"&lt;="&amp;ReportTo))</f>
        <v/>
      </c>
      <c r="AD40" s="25">
        <f>IF($A40="",0,(SUMIFS('Partner Transactions'!$D$5:$D$2005,'Partner Transactions'!$L$5:$L$2005,$A40,'Partner Transactions'!$A$5:$A$2005,"&lt;"&amp;ReportFrom))-(SUMIFS('Partner Transactions'!$D$5:$D$2005,'Partner Transactions'!$M$5:$M$2005,$A40,'Partner Transactions'!$A$5:$A$2005,"&lt;"&amp;ReportFrom)))</f>
        <v/>
      </c>
      <c r="AE40" s="25">
        <f>IF($A40="",0,SUMIFS('Partner Transactions'!$D$5:$D$2005,'Partner Transactions'!$L$5:$L$2005,$A40,'Partner Transactions'!$A$5:$A$2005,"&gt;="&amp;ReportFrom,'Partner Transactions'!$A$5:$A$2005,"&lt;="&amp;ReportTo))</f>
        <v/>
      </c>
      <c r="AF40" s="25">
        <f>IF($A40="",0,SUMIFS('Partner Transactions'!$D$5:$D$2005,'Partner Transactions'!$M$5:$M$2005,$A40,'Partner Transactions'!$A$5:$A$2005,"&gt;="&amp;ReportFrom,'Partner Transactions'!$A$5:$A$2005,"&lt;="&amp;ReportTo))</f>
        <v/>
      </c>
      <c r="AG40" s="25">
        <f>IF($A40="",0,(SUMIFS('Stock Moves'!$S$5:$S$2005,'Stock Moves'!$AD$5:$AD$2005,$A40,'Stock Moves'!$A$5:$A$2005,"&lt;"&amp;ReportFrom)+SUMIFS('Stock Moves'!$T$5:$T$2005,'Stock Moves'!$V$5:$V$2005,$A40,'Stock Moves'!$A$5:$A$2005,"&lt;"&amp;ReportFrom))-(SUMIFS('Stock Moves'!$AF$5:$AF$2005,'Stock Moves'!$AE$5:$AE$2005,$A40,'Stock Moves'!$A$5:$A$2005,"&lt;"&amp;ReportFrom)+SUMIFS('Stock Moves'!$AC$5:$AC$2005,'Stock Moves'!$X$5:$X$2005,$A40,'Stock Moves'!$A$5:$A$2005,"&lt;"&amp;ReportFrom)+SUMIFS('Stock Moves'!$U$5:$U$2005,'Stock Moves'!$W$5:$W$2005,$A40,'Stock Moves'!$A$5:$A$2005,"&lt;"&amp;ReportFrom)))</f>
        <v/>
      </c>
      <c r="AH40" s="25">
        <f>IF($A40="",0,SUMIFS('Stock Moves'!$S$5:$S$2005,'Stock Moves'!$AD$5:$AD$2005,$A40,'Stock Moves'!$A$5:$A$2005,"&gt;="&amp;ReportFrom,'Stock Moves'!$A$5:$A$2005,"&lt;="&amp;ReportTo)+SUMIFS('Stock Moves'!$T$5:$T$2005,'Stock Moves'!$V$5:$V$2005,$A40,'Stock Moves'!$A$5:$A$2005,"&gt;="&amp;ReportFrom,'Stock Moves'!$A$5:$A$2005,"&lt;="&amp;ReportTo))</f>
        <v/>
      </c>
      <c r="AI40" s="25">
        <f>IF($A40="",0,SUMIFS('Stock Moves'!$AF$5:$AF$2005,'Stock Moves'!$AE$5:$AE$2005,$A40,'Stock Moves'!$A$5:$A$2005,"&gt;="&amp;ReportFrom,'Stock Moves'!$A$5:$A$2005,"&lt;="&amp;ReportTo)+SUMIFS('Stock Moves'!$AC$5:$AC$2005,'Stock Moves'!$X$5:$X$2005,$A40,'Stock Moves'!$A$5:$A$2005,"&gt;="&amp;ReportFrom,'Stock Moves'!$A$5:$A$2005,"&lt;="&amp;ReportTo)+SUMIFS('Stock Moves'!$U$5:$U$2005,'Stock Moves'!$W$5:$W$2005,$A40,'Stock Moves'!$A$5:$A$2005,"&gt;="&amp;ReportFrom,'Stock Moves'!$A$5:$A$2005,"&lt;="&amp;ReportTo))</f>
        <v/>
      </c>
      <c r="AJ40" s="25">
        <f>IF($A40="",0,(SUMIFS('Journal Vouchers'!$I$5:$I$2005,'Journal Vouchers'!$H$5:$H$2005,$A40,'Journal Vouchers'!$B$5:$B$2005,"&lt;"&amp;ReportFrom))-(SUMIFS('Journal Vouchers'!$J$5:$J$2005,'Journal Vouchers'!$H$5:$H$2005,$A40,'Journal Vouchers'!$B$5:$B$2005,"&lt;"&amp;ReportFrom)))</f>
        <v/>
      </c>
      <c r="AK40" s="25">
        <f>IF($A40="",0,SUMIFS('Journal Vouchers'!$I$5:$I$2005,'Journal Vouchers'!$H$5:$H$2005,$A40,'Journal Vouchers'!$B$5:$B$2005,"&gt;="&amp;ReportFrom,'Journal Vouchers'!$B$5:$B$2005,"&lt;="&amp;ReportTo))</f>
        <v/>
      </c>
      <c r="AL40" s="25">
        <f>IF($A40="",0,SUMIFS('Journal Vouchers'!$J$5:$J$2005,'Journal Vouchers'!$H$5:$H$2005,$A40,'Journal Vouchers'!$B$5:$B$2005,"&gt;="&amp;ReportFrom,'Journal Vouchers'!$B$5:$B$2005,"&lt;="&amp;ReportTo))</f>
        <v/>
      </c>
    </row>
    <row r="41">
      <c r="A41" s="25">
        <f>IF('Chart of Accounts'!A41="","",'Chart of Accounts'!A41&amp;"")</f>
        <v/>
      </c>
      <c r="B41" s="25">
        <f>IF(A41="","",'Chart of Accounts'!B41)</f>
        <v/>
      </c>
      <c r="C41" s="25">
        <f>IF(A41="","",'Chart of Accounts'!C41)</f>
        <v/>
      </c>
      <c r="D41" s="25">
        <f>IF(A41="","",'Chart of Accounts'!D41)</f>
        <v/>
      </c>
      <c r="E41" s="26">
        <f>L41+O41+R41+U41+X41+AA41+AD41+AG41+AJ41</f>
        <v/>
      </c>
      <c r="F41" s="26">
        <f>M41+P41+S41+V41+Y41+AB41+AE41+AH41+AK41</f>
        <v/>
      </c>
      <c r="G41" s="26">
        <f>N41+Q41+T41+W41+Z41+AC41+AF41+AI41+AL41</f>
        <v/>
      </c>
      <c r="H41" s="26">
        <f>E41+F41-G41</f>
        <v/>
      </c>
      <c r="I41" s="26">
        <f>MAX(H41,0)</f>
        <v/>
      </c>
      <c r="J41" s="26">
        <f>MAX(-H41,0)</f>
        <v/>
      </c>
      <c r="L41" s="25">
        <f>IF($A41="",0,(SUMIFS('Direct Costs'!$R$5:$R$2005,'Direct Costs'!$V$5:$V$2005,$A41,'Direct Costs'!$A$5:$A$2005,"&lt;"&amp;ReportFrom)+SUMIFS('Direct Costs'!$S$5:$S$2005,'Direct Costs'!$Y$5:$Y$2005,$A41,'Direct Costs'!$A$5:$A$2005,"&lt;"&amp;ReportFrom))-(SUMIFS('Direct Costs'!$L$5:$L$2005,'Direct Costs'!$W$5:$W$2005,$A41,'Direct Costs'!$A$5:$A$2005,"&lt;"&amp;ReportFrom)+SUMIFS('Direct Costs'!$U$5:$U$2005,'Direct Costs'!$X$5:$X$2005,$A41,'Direct Costs'!$A$5:$A$2005,"&lt;"&amp;ReportFrom)+SUMIFS('Direct Costs'!$T$5:$T$2005,'Direct Costs'!$Z$5:$Z$2005,$A41,'Direct Costs'!$A$5:$A$2005,"&lt;"&amp;ReportFrom)))</f>
        <v/>
      </c>
      <c r="M41" s="25">
        <f>IF($A41="",0,SUMIFS('Direct Costs'!$R$5:$R$2005,'Direct Costs'!$V$5:$V$2005,$A41,'Direct Costs'!$A$5:$A$2005,"&gt;="&amp;ReportFrom,'Direct Costs'!$A$5:$A$2005,"&lt;="&amp;ReportTo)+SUMIFS('Direct Costs'!$S$5:$S$2005,'Direct Costs'!$Y$5:$Y$2005,$A41,'Direct Costs'!$A$5:$A$2005,"&gt;="&amp;ReportFrom,'Direct Costs'!$A$5:$A$2005,"&lt;="&amp;ReportTo))</f>
        <v/>
      </c>
      <c r="N41" s="25">
        <f>IF($A41="",0,SUMIFS('Direct Costs'!$L$5:$L$2005,'Direct Costs'!$W$5:$W$2005,$A41,'Direct Costs'!$A$5:$A$2005,"&gt;="&amp;ReportFrom,'Direct Costs'!$A$5:$A$2005,"&lt;="&amp;ReportTo)+SUMIFS('Direct Costs'!$U$5:$U$2005,'Direct Costs'!$X$5:$X$2005,$A41,'Direct Costs'!$A$5:$A$2005,"&gt;="&amp;ReportFrom,'Direct Costs'!$A$5:$A$2005,"&lt;="&amp;ReportTo)+SUMIFS('Direct Costs'!$T$5:$T$2005,'Direct Costs'!$Z$5:$Z$2005,$A41,'Direct Costs'!$A$5:$A$2005,"&gt;="&amp;ReportFrom,'Direct Costs'!$A$5:$A$2005,"&lt;="&amp;ReportTo))</f>
        <v/>
      </c>
      <c r="O41" s="25">
        <f>IF($A41="",0,(SUMIFS('Operating Expenses'!$F$5:$F$2005,'Operating Expenses'!$Q$5:$Q$2005,$A41,'Operating Expenses'!$A$5:$A$2005,"&lt;"&amp;ReportFrom)+SUMIFS('Operating Expenses'!$M$5:$M$2005,'Operating Expenses'!$T$5:$T$2005,$A41,'Operating Expenses'!$A$5:$A$2005,"&lt;"&amp;ReportFrom))-(SUMIFS('Operating Expenses'!$O$5:$O$2005,'Operating Expenses'!$R$5:$R$2005,$A41,'Operating Expenses'!$A$5:$A$2005,"&lt;"&amp;ReportFrom)+SUMIFS('Operating Expenses'!$P$5:$P$2005,'Operating Expenses'!$S$5:$S$2005,$A41,'Operating Expenses'!$A$5:$A$2005,"&lt;"&amp;ReportFrom)+SUMIFS('Operating Expenses'!$N$5:$N$2005,'Operating Expenses'!$U$5:$U$2005,$A41,'Operating Expenses'!$A$5:$A$2005,"&lt;"&amp;ReportFrom)))</f>
        <v/>
      </c>
      <c r="P41" s="25">
        <f>IF($A41="",0,SUMIFS('Operating Expenses'!$F$5:$F$2005,'Operating Expenses'!$Q$5:$Q$2005,$A41,'Operating Expenses'!$A$5:$A$2005,"&gt;="&amp;ReportFrom,'Operating Expenses'!$A$5:$A$2005,"&lt;="&amp;ReportTo)+SUMIFS('Operating Expenses'!$M$5:$M$2005,'Operating Expenses'!$T$5:$T$2005,$A41,'Operating Expenses'!$A$5:$A$2005,"&gt;="&amp;ReportFrom,'Operating Expenses'!$A$5:$A$2005,"&lt;="&amp;ReportTo))</f>
        <v/>
      </c>
      <c r="Q41" s="25">
        <f>IF($A41="",0,SUMIFS('Operating Expenses'!$O$5:$O$2005,'Operating Expenses'!$R$5:$R$2005,$A41,'Operating Expenses'!$A$5:$A$2005,"&gt;="&amp;ReportFrom,'Operating Expenses'!$A$5:$A$2005,"&lt;="&amp;ReportTo)+SUMIFS('Operating Expenses'!$P$5:$P$2005,'Operating Expenses'!$S$5:$S$2005,$A41,'Operating Expenses'!$A$5:$A$2005,"&gt;="&amp;ReportFrom,'Operating Expenses'!$A$5:$A$2005,"&lt;="&amp;ReportTo)+SUMIFS('Operating Expenses'!$N$5:$N$2005,'Operating Expenses'!$U$5:$U$2005,$A41,'Operating Expenses'!$A$5:$A$2005,"&gt;="&amp;ReportFrom,'Operating Expenses'!$A$5:$A$2005,"&lt;="&amp;ReportTo))</f>
        <v/>
      </c>
      <c r="R41" s="25">
        <f>IF($A41="",0,(SUMIFS('Payroll'!$O$5:$O$2005,'Payroll'!$Q$5:$Q$2005,$A41,'Payroll'!$A$5:$A$2005,"&lt;"&amp;ReportFrom))-(SUMIFS('Payroll'!$K$5:$K$2005,'Payroll'!$R$5:$R$2005,$A41,'Payroll'!$A$5:$A$2005,"&lt;"&amp;ReportFrom)+SUMIFS('Payroll'!$P$5:$P$2005,'Payroll'!$S$5:$S$2005,$A41,'Payroll'!$A$5:$A$2005,"&lt;"&amp;ReportFrom)))</f>
        <v/>
      </c>
      <c r="S41" s="25">
        <f>IF($A41="",0,SUMIFS('Payroll'!$O$5:$O$2005,'Payroll'!$Q$5:$Q$2005,$A41,'Payroll'!$A$5:$A$2005,"&gt;="&amp;ReportFrom,'Payroll'!$A$5:$A$2005,"&lt;="&amp;ReportTo))</f>
        <v/>
      </c>
      <c r="T41" s="25">
        <f>IF($A41="",0,SUMIFS('Payroll'!$K$5:$K$2005,'Payroll'!$R$5:$R$2005,$A41,'Payroll'!$A$5:$A$2005,"&gt;="&amp;ReportFrom,'Payroll'!$A$5:$A$2005,"&lt;="&amp;ReportTo)+SUMIFS('Payroll'!$P$5:$P$2005,'Payroll'!$S$5:$S$2005,$A41,'Payroll'!$A$5:$A$2005,"&gt;="&amp;ReportFrom,'Payroll'!$A$5:$A$2005,"&lt;="&amp;ReportTo))</f>
        <v/>
      </c>
      <c r="U41" s="25">
        <f>IF($A41="",0,(SUMIFS('Receipt Vouchers'!$F$5:$F$2005,'Receipt Vouchers'!$O$5:$O$2005,$A41,'Receipt Vouchers'!$A$5:$A$2005,"&lt;"&amp;ReportFrom)+SUMIFS('Receipt Vouchers'!$J$5:$J$2005,'Receipt Vouchers'!$Q$5:$Q$2005,$A41,'Receipt Vouchers'!$A$5:$A$2005,"&lt;"&amp;ReportFrom))-(SUMIFS('Receipt Vouchers'!$N$5:$N$2005,'Receipt Vouchers'!$P$5:$P$2005,$A41,'Receipt Vouchers'!$A$5:$A$2005,"&lt;"&amp;ReportFrom)+SUMIFS('Receipt Vouchers'!$M$5:$M$2005,'Receipt Vouchers'!$R$5:$R$2005,$A41,'Receipt Vouchers'!$A$5:$A$2005,"&lt;"&amp;ReportFrom)))</f>
        <v/>
      </c>
      <c r="V41" s="25">
        <f>IF($A41="",0,SUMIFS('Receipt Vouchers'!$F$5:$F$2005,'Receipt Vouchers'!$O$5:$O$2005,$A41,'Receipt Vouchers'!$A$5:$A$2005,"&gt;="&amp;ReportFrom,'Receipt Vouchers'!$A$5:$A$2005,"&lt;="&amp;ReportTo)+SUMIFS('Receipt Vouchers'!$J$5:$J$2005,'Receipt Vouchers'!$Q$5:$Q$2005,$A41,'Receipt Vouchers'!$A$5:$A$2005,"&gt;="&amp;ReportFrom,'Receipt Vouchers'!$A$5:$A$2005,"&lt;="&amp;ReportTo))</f>
        <v/>
      </c>
      <c r="W41" s="25">
        <f>IF($A41="",0,SUMIFS('Receipt Vouchers'!$N$5:$N$2005,'Receipt Vouchers'!$P$5:$P$2005,$A41,'Receipt Vouchers'!$A$5:$A$2005,"&gt;="&amp;ReportFrom,'Receipt Vouchers'!$A$5:$A$2005,"&lt;="&amp;ReportTo)+SUMIFS('Receipt Vouchers'!$M$5:$M$2005,'Receipt Vouchers'!$R$5:$R$2005,$A41,'Receipt Vouchers'!$A$5:$A$2005,"&gt;="&amp;ReportFrom,'Receipt Vouchers'!$A$5:$A$2005,"&lt;="&amp;ReportTo))</f>
        <v/>
      </c>
      <c r="X41" s="25">
        <f>IF($A41="",0,(SUMIFS('Sales Invoices'!$O$5:$O$2005,'Sales Invoices'!$P$5:$P$2005,$A41,'Sales Invoices'!$B$5:$B$2005,"&lt;"&amp;ReportFrom)+SUMIFS('Sales Invoices'!$N$5:$N$2005,'Sales Invoices'!$R$5:$R$2005,$A41,'Sales Invoices'!$B$5:$B$2005,"&lt;"&amp;ReportFrom))-(SUMIFS('Sales Invoices'!$L$5:$L$2005,'Sales Invoices'!$Q$5:$Q$2005,$A41,'Sales Invoices'!$B$5:$B$2005,"&lt;"&amp;ReportFrom)+SUMIFS('Sales Invoices'!$M$5:$M$2005,'Sales Invoices'!$S$5:$S$2005,$A41,'Sales Invoices'!$B$5:$B$2005,"&lt;"&amp;ReportFrom)))</f>
        <v/>
      </c>
      <c r="Y41" s="25">
        <f>IF($A41="",0,SUMIFS('Sales Invoices'!$O$5:$O$2005,'Sales Invoices'!$P$5:$P$2005,$A41,'Sales Invoices'!$B$5:$B$2005,"&gt;="&amp;ReportFrom,'Sales Invoices'!$B$5:$B$2005,"&lt;="&amp;ReportTo)+SUMIFS('Sales Invoices'!$N$5:$N$2005,'Sales Invoices'!$R$5:$R$2005,$A41,'Sales Invoices'!$B$5:$B$2005,"&gt;="&amp;ReportFrom,'Sales Invoices'!$B$5:$B$2005,"&lt;="&amp;ReportTo))</f>
        <v/>
      </c>
      <c r="Z41" s="25">
        <f>IF($A41="",0,SUMIFS('Sales Invoices'!$L$5:$L$2005,'Sales Invoices'!$Q$5:$Q$2005,$A41,'Sales Invoices'!$B$5:$B$2005,"&gt;="&amp;ReportFrom,'Sales Invoices'!$B$5:$B$2005,"&lt;="&amp;ReportTo)+SUMIFS('Sales Invoices'!$M$5:$M$2005,'Sales Invoices'!$S$5:$S$2005,$A41,'Sales Invoices'!$B$5:$B$2005,"&gt;="&amp;ReportFrom,'Sales Invoices'!$B$5:$B$2005,"&lt;="&amp;ReportTo))</f>
        <v/>
      </c>
      <c r="AA41" s="25">
        <f>IF($A41="",0,(SUMIFS('Payment Vouchers'!$D$5:$D$2005,'Payment Vouchers'!$J$5:$J$2005,$A41,'Payment Vouchers'!$A$5:$A$2005,"&lt;"&amp;ReportFrom))-(SUMIFS('Payment Vouchers'!$D$5:$D$2005,'Payment Vouchers'!$K$5:$K$2005,$A41,'Payment Vouchers'!$A$5:$A$2005,"&lt;"&amp;ReportFrom)))</f>
        <v/>
      </c>
      <c r="AB41" s="25">
        <f>IF($A41="",0,SUMIFS('Payment Vouchers'!$D$5:$D$2005,'Payment Vouchers'!$J$5:$J$2005,$A41,'Payment Vouchers'!$A$5:$A$2005,"&gt;="&amp;ReportFrom,'Payment Vouchers'!$A$5:$A$2005,"&lt;="&amp;ReportTo))</f>
        <v/>
      </c>
      <c r="AC41" s="25">
        <f>IF($A41="",0,SUMIFS('Payment Vouchers'!$D$5:$D$2005,'Payment Vouchers'!$K$5:$K$2005,$A41,'Payment Vouchers'!$A$5:$A$2005,"&gt;="&amp;ReportFrom,'Payment Vouchers'!$A$5:$A$2005,"&lt;="&amp;ReportTo))</f>
        <v/>
      </c>
      <c r="AD41" s="25">
        <f>IF($A41="",0,(SUMIFS('Partner Transactions'!$D$5:$D$2005,'Partner Transactions'!$L$5:$L$2005,$A41,'Partner Transactions'!$A$5:$A$2005,"&lt;"&amp;ReportFrom))-(SUMIFS('Partner Transactions'!$D$5:$D$2005,'Partner Transactions'!$M$5:$M$2005,$A41,'Partner Transactions'!$A$5:$A$2005,"&lt;"&amp;ReportFrom)))</f>
        <v/>
      </c>
      <c r="AE41" s="25">
        <f>IF($A41="",0,SUMIFS('Partner Transactions'!$D$5:$D$2005,'Partner Transactions'!$L$5:$L$2005,$A41,'Partner Transactions'!$A$5:$A$2005,"&gt;="&amp;ReportFrom,'Partner Transactions'!$A$5:$A$2005,"&lt;="&amp;ReportTo))</f>
        <v/>
      </c>
      <c r="AF41" s="25">
        <f>IF($A41="",0,SUMIFS('Partner Transactions'!$D$5:$D$2005,'Partner Transactions'!$M$5:$M$2005,$A41,'Partner Transactions'!$A$5:$A$2005,"&gt;="&amp;ReportFrom,'Partner Transactions'!$A$5:$A$2005,"&lt;="&amp;ReportTo))</f>
        <v/>
      </c>
      <c r="AG41" s="25">
        <f>IF($A41="",0,(SUMIFS('Stock Moves'!$S$5:$S$2005,'Stock Moves'!$AD$5:$AD$2005,$A41,'Stock Moves'!$A$5:$A$2005,"&lt;"&amp;ReportFrom)+SUMIFS('Stock Moves'!$T$5:$T$2005,'Stock Moves'!$V$5:$V$2005,$A41,'Stock Moves'!$A$5:$A$2005,"&lt;"&amp;ReportFrom))-(SUMIFS('Stock Moves'!$AF$5:$AF$2005,'Stock Moves'!$AE$5:$AE$2005,$A41,'Stock Moves'!$A$5:$A$2005,"&lt;"&amp;ReportFrom)+SUMIFS('Stock Moves'!$AC$5:$AC$2005,'Stock Moves'!$X$5:$X$2005,$A41,'Stock Moves'!$A$5:$A$2005,"&lt;"&amp;ReportFrom)+SUMIFS('Stock Moves'!$U$5:$U$2005,'Stock Moves'!$W$5:$W$2005,$A41,'Stock Moves'!$A$5:$A$2005,"&lt;"&amp;ReportFrom)))</f>
        <v/>
      </c>
      <c r="AH41" s="25">
        <f>IF($A41="",0,SUMIFS('Stock Moves'!$S$5:$S$2005,'Stock Moves'!$AD$5:$AD$2005,$A41,'Stock Moves'!$A$5:$A$2005,"&gt;="&amp;ReportFrom,'Stock Moves'!$A$5:$A$2005,"&lt;="&amp;ReportTo)+SUMIFS('Stock Moves'!$T$5:$T$2005,'Stock Moves'!$V$5:$V$2005,$A41,'Stock Moves'!$A$5:$A$2005,"&gt;="&amp;ReportFrom,'Stock Moves'!$A$5:$A$2005,"&lt;="&amp;ReportTo))</f>
        <v/>
      </c>
      <c r="AI41" s="25">
        <f>IF($A41="",0,SUMIFS('Stock Moves'!$AF$5:$AF$2005,'Stock Moves'!$AE$5:$AE$2005,$A41,'Stock Moves'!$A$5:$A$2005,"&gt;="&amp;ReportFrom,'Stock Moves'!$A$5:$A$2005,"&lt;="&amp;ReportTo)+SUMIFS('Stock Moves'!$AC$5:$AC$2005,'Stock Moves'!$X$5:$X$2005,$A41,'Stock Moves'!$A$5:$A$2005,"&gt;="&amp;ReportFrom,'Stock Moves'!$A$5:$A$2005,"&lt;="&amp;ReportTo)+SUMIFS('Stock Moves'!$U$5:$U$2005,'Stock Moves'!$W$5:$W$2005,$A41,'Stock Moves'!$A$5:$A$2005,"&gt;="&amp;ReportFrom,'Stock Moves'!$A$5:$A$2005,"&lt;="&amp;ReportTo))</f>
        <v/>
      </c>
      <c r="AJ41" s="25">
        <f>IF($A41="",0,(SUMIFS('Journal Vouchers'!$I$5:$I$2005,'Journal Vouchers'!$H$5:$H$2005,$A41,'Journal Vouchers'!$B$5:$B$2005,"&lt;"&amp;ReportFrom))-(SUMIFS('Journal Vouchers'!$J$5:$J$2005,'Journal Vouchers'!$H$5:$H$2005,$A41,'Journal Vouchers'!$B$5:$B$2005,"&lt;"&amp;ReportFrom)))</f>
        <v/>
      </c>
      <c r="AK41" s="25">
        <f>IF($A41="",0,SUMIFS('Journal Vouchers'!$I$5:$I$2005,'Journal Vouchers'!$H$5:$H$2005,$A41,'Journal Vouchers'!$B$5:$B$2005,"&gt;="&amp;ReportFrom,'Journal Vouchers'!$B$5:$B$2005,"&lt;="&amp;ReportTo))</f>
        <v/>
      </c>
      <c r="AL41" s="25">
        <f>IF($A41="",0,SUMIFS('Journal Vouchers'!$J$5:$J$2005,'Journal Vouchers'!$H$5:$H$2005,$A41,'Journal Vouchers'!$B$5:$B$2005,"&gt;="&amp;ReportFrom,'Journal Vouchers'!$B$5:$B$2005,"&lt;="&amp;ReportTo))</f>
        <v/>
      </c>
    </row>
    <row r="42">
      <c r="A42" s="25">
        <f>IF('Chart of Accounts'!A42="","",'Chart of Accounts'!A42&amp;"")</f>
        <v/>
      </c>
      <c r="B42" s="25">
        <f>IF(A42="","",'Chart of Accounts'!B42)</f>
        <v/>
      </c>
      <c r="C42" s="25">
        <f>IF(A42="","",'Chart of Accounts'!C42)</f>
        <v/>
      </c>
      <c r="D42" s="25">
        <f>IF(A42="","",'Chart of Accounts'!D42)</f>
        <v/>
      </c>
      <c r="E42" s="26">
        <f>L42+O42+R42+U42+X42+AA42+AD42+AG42+AJ42</f>
        <v/>
      </c>
      <c r="F42" s="26">
        <f>M42+P42+S42+V42+Y42+AB42+AE42+AH42+AK42</f>
        <v/>
      </c>
      <c r="G42" s="26">
        <f>N42+Q42+T42+W42+Z42+AC42+AF42+AI42+AL42</f>
        <v/>
      </c>
      <c r="H42" s="26">
        <f>E42+F42-G42</f>
        <v/>
      </c>
      <c r="I42" s="26">
        <f>MAX(H42,0)</f>
        <v/>
      </c>
      <c r="J42" s="26">
        <f>MAX(-H42,0)</f>
        <v/>
      </c>
      <c r="L42" s="25">
        <f>IF($A42="",0,(SUMIFS('Direct Costs'!$R$5:$R$2005,'Direct Costs'!$V$5:$V$2005,$A42,'Direct Costs'!$A$5:$A$2005,"&lt;"&amp;ReportFrom)+SUMIFS('Direct Costs'!$S$5:$S$2005,'Direct Costs'!$Y$5:$Y$2005,$A42,'Direct Costs'!$A$5:$A$2005,"&lt;"&amp;ReportFrom))-(SUMIFS('Direct Costs'!$L$5:$L$2005,'Direct Costs'!$W$5:$W$2005,$A42,'Direct Costs'!$A$5:$A$2005,"&lt;"&amp;ReportFrom)+SUMIFS('Direct Costs'!$U$5:$U$2005,'Direct Costs'!$X$5:$X$2005,$A42,'Direct Costs'!$A$5:$A$2005,"&lt;"&amp;ReportFrom)+SUMIFS('Direct Costs'!$T$5:$T$2005,'Direct Costs'!$Z$5:$Z$2005,$A42,'Direct Costs'!$A$5:$A$2005,"&lt;"&amp;ReportFrom)))</f>
        <v/>
      </c>
      <c r="M42" s="25">
        <f>IF($A42="",0,SUMIFS('Direct Costs'!$R$5:$R$2005,'Direct Costs'!$V$5:$V$2005,$A42,'Direct Costs'!$A$5:$A$2005,"&gt;="&amp;ReportFrom,'Direct Costs'!$A$5:$A$2005,"&lt;="&amp;ReportTo)+SUMIFS('Direct Costs'!$S$5:$S$2005,'Direct Costs'!$Y$5:$Y$2005,$A42,'Direct Costs'!$A$5:$A$2005,"&gt;="&amp;ReportFrom,'Direct Costs'!$A$5:$A$2005,"&lt;="&amp;ReportTo))</f>
        <v/>
      </c>
      <c r="N42" s="25">
        <f>IF($A42="",0,SUMIFS('Direct Costs'!$L$5:$L$2005,'Direct Costs'!$W$5:$W$2005,$A42,'Direct Costs'!$A$5:$A$2005,"&gt;="&amp;ReportFrom,'Direct Costs'!$A$5:$A$2005,"&lt;="&amp;ReportTo)+SUMIFS('Direct Costs'!$U$5:$U$2005,'Direct Costs'!$X$5:$X$2005,$A42,'Direct Costs'!$A$5:$A$2005,"&gt;="&amp;ReportFrom,'Direct Costs'!$A$5:$A$2005,"&lt;="&amp;ReportTo)+SUMIFS('Direct Costs'!$T$5:$T$2005,'Direct Costs'!$Z$5:$Z$2005,$A42,'Direct Costs'!$A$5:$A$2005,"&gt;="&amp;ReportFrom,'Direct Costs'!$A$5:$A$2005,"&lt;="&amp;ReportTo))</f>
        <v/>
      </c>
      <c r="O42" s="25">
        <f>IF($A42="",0,(SUMIFS('Operating Expenses'!$F$5:$F$2005,'Operating Expenses'!$Q$5:$Q$2005,$A42,'Operating Expenses'!$A$5:$A$2005,"&lt;"&amp;ReportFrom)+SUMIFS('Operating Expenses'!$M$5:$M$2005,'Operating Expenses'!$T$5:$T$2005,$A42,'Operating Expenses'!$A$5:$A$2005,"&lt;"&amp;ReportFrom))-(SUMIFS('Operating Expenses'!$O$5:$O$2005,'Operating Expenses'!$R$5:$R$2005,$A42,'Operating Expenses'!$A$5:$A$2005,"&lt;"&amp;ReportFrom)+SUMIFS('Operating Expenses'!$P$5:$P$2005,'Operating Expenses'!$S$5:$S$2005,$A42,'Operating Expenses'!$A$5:$A$2005,"&lt;"&amp;ReportFrom)+SUMIFS('Operating Expenses'!$N$5:$N$2005,'Operating Expenses'!$U$5:$U$2005,$A42,'Operating Expenses'!$A$5:$A$2005,"&lt;"&amp;ReportFrom)))</f>
        <v/>
      </c>
      <c r="P42" s="25">
        <f>IF($A42="",0,SUMIFS('Operating Expenses'!$F$5:$F$2005,'Operating Expenses'!$Q$5:$Q$2005,$A42,'Operating Expenses'!$A$5:$A$2005,"&gt;="&amp;ReportFrom,'Operating Expenses'!$A$5:$A$2005,"&lt;="&amp;ReportTo)+SUMIFS('Operating Expenses'!$M$5:$M$2005,'Operating Expenses'!$T$5:$T$2005,$A42,'Operating Expenses'!$A$5:$A$2005,"&gt;="&amp;ReportFrom,'Operating Expenses'!$A$5:$A$2005,"&lt;="&amp;ReportTo))</f>
        <v/>
      </c>
      <c r="Q42" s="25">
        <f>IF($A42="",0,SUMIFS('Operating Expenses'!$O$5:$O$2005,'Operating Expenses'!$R$5:$R$2005,$A42,'Operating Expenses'!$A$5:$A$2005,"&gt;="&amp;ReportFrom,'Operating Expenses'!$A$5:$A$2005,"&lt;="&amp;ReportTo)+SUMIFS('Operating Expenses'!$P$5:$P$2005,'Operating Expenses'!$S$5:$S$2005,$A42,'Operating Expenses'!$A$5:$A$2005,"&gt;="&amp;ReportFrom,'Operating Expenses'!$A$5:$A$2005,"&lt;="&amp;ReportTo)+SUMIFS('Operating Expenses'!$N$5:$N$2005,'Operating Expenses'!$U$5:$U$2005,$A42,'Operating Expenses'!$A$5:$A$2005,"&gt;="&amp;ReportFrom,'Operating Expenses'!$A$5:$A$2005,"&lt;="&amp;ReportTo))</f>
        <v/>
      </c>
      <c r="R42" s="25">
        <f>IF($A42="",0,(SUMIFS('Payroll'!$O$5:$O$2005,'Payroll'!$Q$5:$Q$2005,$A42,'Payroll'!$A$5:$A$2005,"&lt;"&amp;ReportFrom))-(SUMIFS('Payroll'!$K$5:$K$2005,'Payroll'!$R$5:$R$2005,$A42,'Payroll'!$A$5:$A$2005,"&lt;"&amp;ReportFrom)+SUMIFS('Payroll'!$P$5:$P$2005,'Payroll'!$S$5:$S$2005,$A42,'Payroll'!$A$5:$A$2005,"&lt;"&amp;ReportFrom)))</f>
        <v/>
      </c>
      <c r="S42" s="25">
        <f>IF($A42="",0,SUMIFS('Payroll'!$O$5:$O$2005,'Payroll'!$Q$5:$Q$2005,$A42,'Payroll'!$A$5:$A$2005,"&gt;="&amp;ReportFrom,'Payroll'!$A$5:$A$2005,"&lt;="&amp;ReportTo))</f>
        <v/>
      </c>
      <c r="T42" s="25">
        <f>IF($A42="",0,SUMIFS('Payroll'!$K$5:$K$2005,'Payroll'!$R$5:$R$2005,$A42,'Payroll'!$A$5:$A$2005,"&gt;="&amp;ReportFrom,'Payroll'!$A$5:$A$2005,"&lt;="&amp;ReportTo)+SUMIFS('Payroll'!$P$5:$P$2005,'Payroll'!$S$5:$S$2005,$A42,'Payroll'!$A$5:$A$2005,"&gt;="&amp;ReportFrom,'Payroll'!$A$5:$A$2005,"&lt;="&amp;ReportTo))</f>
        <v/>
      </c>
      <c r="U42" s="25">
        <f>IF($A42="",0,(SUMIFS('Receipt Vouchers'!$F$5:$F$2005,'Receipt Vouchers'!$O$5:$O$2005,$A42,'Receipt Vouchers'!$A$5:$A$2005,"&lt;"&amp;ReportFrom)+SUMIFS('Receipt Vouchers'!$J$5:$J$2005,'Receipt Vouchers'!$Q$5:$Q$2005,$A42,'Receipt Vouchers'!$A$5:$A$2005,"&lt;"&amp;ReportFrom))-(SUMIFS('Receipt Vouchers'!$N$5:$N$2005,'Receipt Vouchers'!$P$5:$P$2005,$A42,'Receipt Vouchers'!$A$5:$A$2005,"&lt;"&amp;ReportFrom)+SUMIFS('Receipt Vouchers'!$M$5:$M$2005,'Receipt Vouchers'!$R$5:$R$2005,$A42,'Receipt Vouchers'!$A$5:$A$2005,"&lt;"&amp;ReportFrom)))</f>
        <v/>
      </c>
      <c r="V42" s="25">
        <f>IF($A42="",0,SUMIFS('Receipt Vouchers'!$F$5:$F$2005,'Receipt Vouchers'!$O$5:$O$2005,$A42,'Receipt Vouchers'!$A$5:$A$2005,"&gt;="&amp;ReportFrom,'Receipt Vouchers'!$A$5:$A$2005,"&lt;="&amp;ReportTo)+SUMIFS('Receipt Vouchers'!$J$5:$J$2005,'Receipt Vouchers'!$Q$5:$Q$2005,$A42,'Receipt Vouchers'!$A$5:$A$2005,"&gt;="&amp;ReportFrom,'Receipt Vouchers'!$A$5:$A$2005,"&lt;="&amp;ReportTo))</f>
        <v/>
      </c>
      <c r="W42" s="25">
        <f>IF($A42="",0,SUMIFS('Receipt Vouchers'!$N$5:$N$2005,'Receipt Vouchers'!$P$5:$P$2005,$A42,'Receipt Vouchers'!$A$5:$A$2005,"&gt;="&amp;ReportFrom,'Receipt Vouchers'!$A$5:$A$2005,"&lt;="&amp;ReportTo)+SUMIFS('Receipt Vouchers'!$M$5:$M$2005,'Receipt Vouchers'!$R$5:$R$2005,$A42,'Receipt Vouchers'!$A$5:$A$2005,"&gt;="&amp;ReportFrom,'Receipt Vouchers'!$A$5:$A$2005,"&lt;="&amp;ReportTo))</f>
        <v/>
      </c>
      <c r="X42" s="25">
        <f>IF($A42="",0,(SUMIFS('Sales Invoices'!$O$5:$O$2005,'Sales Invoices'!$P$5:$P$2005,$A42,'Sales Invoices'!$B$5:$B$2005,"&lt;"&amp;ReportFrom)+SUMIFS('Sales Invoices'!$N$5:$N$2005,'Sales Invoices'!$R$5:$R$2005,$A42,'Sales Invoices'!$B$5:$B$2005,"&lt;"&amp;ReportFrom))-(SUMIFS('Sales Invoices'!$L$5:$L$2005,'Sales Invoices'!$Q$5:$Q$2005,$A42,'Sales Invoices'!$B$5:$B$2005,"&lt;"&amp;ReportFrom)+SUMIFS('Sales Invoices'!$M$5:$M$2005,'Sales Invoices'!$S$5:$S$2005,$A42,'Sales Invoices'!$B$5:$B$2005,"&lt;"&amp;ReportFrom)))</f>
        <v/>
      </c>
      <c r="Y42" s="25">
        <f>IF($A42="",0,SUMIFS('Sales Invoices'!$O$5:$O$2005,'Sales Invoices'!$P$5:$P$2005,$A42,'Sales Invoices'!$B$5:$B$2005,"&gt;="&amp;ReportFrom,'Sales Invoices'!$B$5:$B$2005,"&lt;="&amp;ReportTo)+SUMIFS('Sales Invoices'!$N$5:$N$2005,'Sales Invoices'!$R$5:$R$2005,$A42,'Sales Invoices'!$B$5:$B$2005,"&gt;="&amp;ReportFrom,'Sales Invoices'!$B$5:$B$2005,"&lt;="&amp;ReportTo))</f>
        <v/>
      </c>
      <c r="Z42" s="25">
        <f>IF($A42="",0,SUMIFS('Sales Invoices'!$L$5:$L$2005,'Sales Invoices'!$Q$5:$Q$2005,$A42,'Sales Invoices'!$B$5:$B$2005,"&gt;="&amp;ReportFrom,'Sales Invoices'!$B$5:$B$2005,"&lt;="&amp;ReportTo)+SUMIFS('Sales Invoices'!$M$5:$M$2005,'Sales Invoices'!$S$5:$S$2005,$A42,'Sales Invoices'!$B$5:$B$2005,"&gt;="&amp;ReportFrom,'Sales Invoices'!$B$5:$B$2005,"&lt;="&amp;ReportTo))</f>
        <v/>
      </c>
      <c r="AA42" s="25">
        <f>IF($A42="",0,(SUMIFS('Payment Vouchers'!$D$5:$D$2005,'Payment Vouchers'!$J$5:$J$2005,$A42,'Payment Vouchers'!$A$5:$A$2005,"&lt;"&amp;ReportFrom))-(SUMIFS('Payment Vouchers'!$D$5:$D$2005,'Payment Vouchers'!$K$5:$K$2005,$A42,'Payment Vouchers'!$A$5:$A$2005,"&lt;"&amp;ReportFrom)))</f>
        <v/>
      </c>
      <c r="AB42" s="25">
        <f>IF($A42="",0,SUMIFS('Payment Vouchers'!$D$5:$D$2005,'Payment Vouchers'!$J$5:$J$2005,$A42,'Payment Vouchers'!$A$5:$A$2005,"&gt;="&amp;ReportFrom,'Payment Vouchers'!$A$5:$A$2005,"&lt;="&amp;ReportTo))</f>
        <v/>
      </c>
      <c r="AC42" s="25">
        <f>IF($A42="",0,SUMIFS('Payment Vouchers'!$D$5:$D$2005,'Payment Vouchers'!$K$5:$K$2005,$A42,'Payment Vouchers'!$A$5:$A$2005,"&gt;="&amp;ReportFrom,'Payment Vouchers'!$A$5:$A$2005,"&lt;="&amp;ReportTo))</f>
        <v/>
      </c>
      <c r="AD42" s="25">
        <f>IF($A42="",0,(SUMIFS('Partner Transactions'!$D$5:$D$2005,'Partner Transactions'!$L$5:$L$2005,$A42,'Partner Transactions'!$A$5:$A$2005,"&lt;"&amp;ReportFrom))-(SUMIFS('Partner Transactions'!$D$5:$D$2005,'Partner Transactions'!$M$5:$M$2005,$A42,'Partner Transactions'!$A$5:$A$2005,"&lt;"&amp;ReportFrom)))</f>
        <v/>
      </c>
      <c r="AE42" s="25">
        <f>IF($A42="",0,SUMIFS('Partner Transactions'!$D$5:$D$2005,'Partner Transactions'!$L$5:$L$2005,$A42,'Partner Transactions'!$A$5:$A$2005,"&gt;="&amp;ReportFrom,'Partner Transactions'!$A$5:$A$2005,"&lt;="&amp;ReportTo))</f>
        <v/>
      </c>
      <c r="AF42" s="25">
        <f>IF($A42="",0,SUMIFS('Partner Transactions'!$D$5:$D$2005,'Partner Transactions'!$M$5:$M$2005,$A42,'Partner Transactions'!$A$5:$A$2005,"&gt;="&amp;ReportFrom,'Partner Transactions'!$A$5:$A$2005,"&lt;="&amp;ReportTo))</f>
        <v/>
      </c>
      <c r="AG42" s="25">
        <f>IF($A42="",0,(SUMIFS('Stock Moves'!$S$5:$S$2005,'Stock Moves'!$AD$5:$AD$2005,$A42,'Stock Moves'!$A$5:$A$2005,"&lt;"&amp;ReportFrom)+SUMIFS('Stock Moves'!$T$5:$T$2005,'Stock Moves'!$V$5:$V$2005,$A42,'Stock Moves'!$A$5:$A$2005,"&lt;"&amp;ReportFrom))-(SUMIFS('Stock Moves'!$AF$5:$AF$2005,'Stock Moves'!$AE$5:$AE$2005,$A42,'Stock Moves'!$A$5:$A$2005,"&lt;"&amp;ReportFrom)+SUMIFS('Stock Moves'!$AC$5:$AC$2005,'Stock Moves'!$X$5:$X$2005,$A42,'Stock Moves'!$A$5:$A$2005,"&lt;"&amp;ReportFrom)+SUMIFS('Stock Moves'!$U$5:$U$2005,'Stock Moves'!$W$5:$W$2005,$A42,'Stock Moves'!$A$5:$A$2005,"&lt;"&amp;ReportFrom)))</f>
        <v/>
      </c>
      <c r="AH42" s="25">
        <f>IF($A42="",0,SUMIFS('Stock Moves'!$S$5:$S$2005,'Stock Moves'!$AD$5:$AD$2005,$A42,'Stock Moves'!$A$5:$A$2005,"&gt;="&amp;ReportFrom,'Stock Moves'!$A$5:$A$2005,"&lt;="&amp;ReportTo)+SUMIFS('Stock Moves'!$T$5:$T$2005,'Stock Moves'!$V$5:$V$2005,$A42,'Stock Moves'!$A$5:$A$2005,"&gt;="&amp;ReportFrom,'Stock Moves'!$A$5:$A$2005,"&lt;="&amp;ReportTo))</f>
        <v/>
      </c>
      <c r="AI42" s="25">
        <f>IF($A42="",0,SUMIFS('Stock Moves'!$AF$5:$AF$2005,'Stock Moves'!$AE$5:$AE$2005,$A42,'Stock Moves'!$A$5:$A$2005,"&gt;="&amp;ReportFrom,'Stock Moves'!$A$5:$A$2005,"&lt;="&amp;ReportTo)+SUMIFS('Stock Moves'!$AC$5:$AC$2005,'Stock Moves'!$X$5:$X$2005,$A42,'Stock Moves'!$A$5:$A$2005,"&gt;="&amp;ReportFrom,'Stock Moves'!$A$5:$A$2005,"&lt;="&amp;ReportTo)+SUMIFS('Stock Moves'!$U$5:$U$2005,'Stock Moves'!$W$5:$W$2005,$A42,'Stock Moves'!$A$5:$A$2005,"&gt;="&amp;ReportFrom,'Stock Moves'!$A$5:$A$2005,"&lt;="&amp;ReportTo))</f>
        <v/>
      </c>
      <c r="AJ42" s="25">
        <f>IF($A42="",0,(SUMIFS('Journal Vouchers'!$I$5:$I$2005,'Journal Vouchers'!$H$5:$H$2005,$A42,'Journal Vouchers'!$B$5:$B$2005,"&lt;"&amp;ReportFrom))-(SUMIFS('Journal Vouchers'!$J$5:$J$2005,'Journal Vouchers'!$H$5:$H$2005,$A42,'Journal Vouchers'!$B$5:$B$2005,"&lt;"&amp;ReportFrom)))</f>
        <v/>
      </c>
      <c r="AK42" s="25">
        <f>IF($A42="",0,SUMIFS('Journal Vouchers'!$I$5:$I$2005,'Journal Vouchers'!$H$5:$H$2005,$A42,'Journal Vouchers'!$B$5:$B$2005,"&gt;="&amp;ReportFrom,'Journal Vouchers'!$B$5:$B$2005,"&lt;="&amp;ReportTo))</f>
        <v/>
      </c>
      <c r="AL42" s="25">
        <f>IF($A42="",0,SUMIFS('Journal Vouchers'!$J$5:$J$2005,'Journal Vouchers'!$H$5:$H$2005,$A42,'Journal Vouchers'!$B$5:$B$2005,"&gt;="&amp;ReportFrom,'Journal Vouchers'!$B$5:$B$2005,"&lt;="&amp;ReportTo))</f>
        <v/>
      </c>
    </row>
    <row r="43">
      <c r="A43" s="25">
        <f>IF('Chart of Accounts'!A43="","",'Chart of Accounts'!A43&amp;"")</f>
        <v/>
      </c>
      <c r="B43" s="25">
        <f>IF(A43="","",'Chart of Accounts'!B43)</f>
        <v/>
      </c>
      <c r="C43" s="25">
        <f>IF(A43="","",'Chart of Accounts'!C43)</f>
        <v/>
      </c>
      <c r="D43" s="25">
        <f>IF(A43="","",'Chart of Accounts'!D43)</f>
        <v/>
      </c>
      <c r="E43" s="26">
        <f>L43+O43+R43+U43+X43+AA43+AD43+AG43+AJ43</f>
        <v/>
      </c>
      <c r="F43" s="26">
        <f>M43+P43+S43+V43+Y43+AB43+AE43+AH43+AK43</f>
        <v/>
      </c>
      <c r="G43" s="26">
        <f>N43+Q43+T43+W43+Z43+AC43+AF43+AI43+AL43</f>
        <v/>
      </c>
      <c r="H43" s="26">
        <f>E43+F43-G43</f>
        <v/>
      </c>
      <c r="I43" s="26">
        <f>MAX(H43,0)</f>
        <v/>
      </c>
      <c r="J43" s="26">
        <f>MAX(-H43,0)</f>
        <v/>
      </c>
      <c r="L43" s="25">
        <f>IF($A43="",0,(SUMIFS('Direct Costs'!$R$5:$R$2005,'Direct Costs'!$V$5:$V$2005,$A43,'Direct Costs'!$A$5:$A$2005,"&lt;"&amp;ReportFrom)+SUMIFS('Direct Costs'!$S$5:$S$2005,'Direct Costs'!$Y$5:$Y$2005,$A43,'Direct Costs'!$A$5:$A$2005,"&lt;"&amp;ReportFrom))-(SUMIFS('Direct Costs'!$L$5:$L$2005,'Direct Costs'!$W$5:$W$2005,$A43,'Direct Costs'!$A$5:$A$2005,"&lt;"&amp;ReportFrom)+SUMIFS('Direct Costs'!$U$5:$U$2005,'Direct Costs'!$X$5:$X$2005,$A43,'Direct Costs'!$A$5:$A$2005,"&lt;"&amp;ReportFrom)+SUMIFS('Direct Costs'!$T$5:$T$2005,'Direct Costs'!$Z$5:$Z$2005,$A43,'Direct Costs'!$A$5:$A$2005,"&lt;"&amp;ReportFrom)))</f>
        <v/>
      </c>
      <c r="M43" s="25">
        <f>IF($A43="",0,SUMIFS('Direct Costs'!$R$5:$R$2005,'Direct Costs'!$V$5:$V$2005,$A43,'Direct Costs'!$A$5:$A$2005,"&gt;="&amp;ReportFrom,'Direct Costs'!$A$5:$A$2005,"&lt;="&amp;ReportTo)+SUMIFS('Direct Costs'!$S$5:$S$2005,'Direct Costs'!$Y$5:$Y$2005,$A43,'Direct Costs'!$A$5:$A$2005,"&gt;="&amp;ReportFrom,'Direct Costs'!$A$5:$A$2005,"&lt;="&amp;ReportTo))</f>
        <v/>
      </c>
      <c r="N43" s="25">
        <f>IF($A43="",0,SUMIFS('Direct Costs'!$L$5:$L$2005,'Direct Costs'!$W$5:$W$2005,$A43,'Direct Costs'!$A$5:$A$2005,"&gt;="&amp;ReportFrom,'Direct Costs'!$A$5:$A$2005,"&lt;="&amp;ReportTo)+SUMIFS('Direct Costs'!$U$5:$U$2005,'Direct Costs'!$X$5:$X$2005,$A43,'Direct Costs'!$A$5:$A$2005,"&gt;="&amp;ReportFrom,'Direct Costs'!$A$5:$A$2005,"&lt;="&amp;ReportTo)+SUMIFS('Direct Costs'!$T$5:$T$2005,'Direct Costs'!$Z$5:$Z$2005,$A43,'Direct Costs'!$A$5:$A$2005,"&gt;="&amp;ReportFrom,'Direct Costs'!$A$5:$A$2005,"&lt;="&amp;ReportTo))</f>
        <v/>
      </c>
      <c r="O43" s="25">
        <f>IF($A43="",0,(SUMIFS('Operating Expenses'!$F$5:$F$2005,'Operating Expenses'!$Q$5:$Q$2005,$A43,'Operating Expenses'!$A$5:$A$2005,"&lt;"&amp;ReportFrom)+SUMIFS('Operating Expenses'!$M$5:$M$2005,'Operating Expenses'!$T$5:$T$2005,$A43,'Operating Expenses'!$A$5:$A$2005,"&lt;"&amp;ReportFrom))-(SUMIFS('Operating Expenses'!$O$5:$O$2005,'Operating Expenses'!$R$5:$R$2005,$A43,'Operating Expenses'!$A$5:$A$2005,"&lt;"&amp;ReportFrom)+SUMIFS('Operating Expenses'!$P$5:$P$2005,'Operating Expenses'!$S$5:$S$2005,$A43,'Operating Expenses'!$A$5:$A$2005,"&lt;"&amp;ReportFrom)+SUMIFS('Operating Expenses'!$N$5:$N$2005,'Operating Expenses'!$U$5:$U$2005,$A43,'Operating Expenses'!$A$5:$A$2005,"&lt;"&amp;ReportFrom)))</f>
        <v/>
      </c>
      <c r="P43" s="25">
        <f>IF($A43="",0,SUMIFS('Operating Expenses'!$F$5:$F$2005,'Operating Expenses'!$Q$5:$Q$2005,$A43,'Operating Expenses'!$A$5:$A$2005,"&gt;="&amp;ReportFrom,'Operating Expenses'!$A$5:$A$2005,"&lt;="&amp;ReportTo)+SUMIFS('Operating Expenses'!$M$5:$M$2005,'Operating Expenses'!$T$5:$T$2005,$A43,'Operating Expenses'!$A$5:$A$2005,"&gt;="&amp;ReportFrom,'Operating Expenses'!$A$5:$A$2005,"&lt;="&amp;ReportTo))</f>
        <v/>
      </c>
      <c r="Q43" s="25">
        <f>IF($A43="",0,SUMIFS('Operating Expenses'!$O$5:$O$2005,'Operating Expenses'!$R$5:$R$2005,$A43,'Operating Expenses'!$A$5:$A$2005,"&gt;="&amp;ReportFrom,'Operating Expenses'!$A$5:$A$2005,"&lt;="&amp;ReportTo)+SUMIFS('Operating Expenses'!$P$5:$P$2005,'Operating Expenses'!$S$5:$S$2005,$A43,'Operating Expenses'!$A$5:$A$2005,"&gt;="&amp;ReportFrom,'Operating Expenses'!$A$5:$A$2005,"&lt;="&amp;ReportTo)+SUMIFS('Operating Expenses'!$N$5:$N$2005,'Operating Expenses'!$U$5:$U$2005,$A43,'Operating Expenses'!$A$5:$A$2005,"&gt;="&amp;ReportFrom,'Operating Expenses'!$A$5:$A$2005,"&lt;="&amp;ReportTo))</f>
        <v/>
      </c>
      <c r="R43" s="25">
        <f>IF($A43="",0,(SUMIFS('Payroll'!$O$5:$O$2005,'Payroll'!$Q$5:$Q$2005,$A43,'Payroll'!$A$5:$A$2005,"&lt;"&amp;ReportFrom))-(SUMIFS('Payroll'!$K$5:$K$2005,'Payroll'!$R$5:$R$2005,$A43,'Payroll'!$A$5:$A$2005,"&lt;"&amp;ReportFrom)+SUMIFS('Payroll'!$P$5:$P$2005,'Payroll'!$S$5:$S$2005,$A43,'Payroll'!$A$5:$A$2005,"&lt;"&amp;ReportFrom)))</f>
        <v/>
      </c>
      <c r="S43" s="25">
        <f>IF($A43="",0,SUMIFS('Payroll'!$O$5:$O$2005,'Payroll'!$Q$5:$Q$2005,$A43,'Payroll'!$A$5:$A$2005,"&gt;="&amp;ReportFrom,'Payroll'!$A$5:$A$2005,"&lt;="&amp;ReportTo))</f>
        <v/>
      </c>
      <c r="T43" s="25">
        <f>IF($A43="",0,SUMIFS('Payroll'!$K$5:$K$2005,'Payroll'!$R$5:$R$2005,$A43,'Payroll'!$A$5:$A$2005,"&gt;="&amp;ReportFrom,'Payroll'!$A$5:$A$2005,"&lt;="&amp;ReportTo)+SUMIFS('Payroll'!$P$5:$P$2005,'Payroll'!$S$5:$S$2005,$A43,'Payroll'!$A$5:$A$2005,"&gt;="&amp;ReportFrom,'Payroll'!$A$5:$A$2005,"&lt;="&amp;ReportTo))</f>
        <v/>
      </c>
      <c r="U43" s="25">
        <f>IF($A43="",0,(SUMIFS('Receipt Vouchers'!$F$5:$F$2005,'Receipt Vouchers'!$O$5:$O$2005,$A43,'Receipt Vouchers'!$A$5:$A$2005,"&lt;"&amp;ReportFrom)+SUMIFS('Receipt Vouchers'!$J$5:$J$2005,'Receipt Vouchers'!$Q$5:$Q$2005,$A43,'Receipt Vouchers'!$A$5:$A$2005,"&lt;"&amp;ReportFrom))-(SUMIFS('Receipt Vouchers'!$N$5:$N$2005,'Receipt Vouchers'!$P$5:$P$2005,$A43,'Receipt Vouchers'!$A$5:$A$2005,"&lt;"&amp;ReportFrom)+SUMIFS('Receipt Vouchers'!$M$5:$M$2005,'Receipt Vouchers'!$R$5:$R$2005,$A43,'Receipt Vouchers'!$A$5:$A$2005,"&lt;"&amp;ReportFrom)))</f>
        <v/>
      </c>
      <c r="V43" s="25">
        <f>IF($A43="",0,SUMIFS('Receipt Vouchers'!$F$5:$F$2005,'Receipt Vouchers'!$O$5:$O$2005,$A43,'Receipt Vouchers'!$A$5:$A$2005,"&gt;="&amp;ReportFrom,'Receipt Vouchers'!$A$5:$A$2005,"&lt;="&amp;ReportTo)+SUMIFS('Receipt Vouchers'!$J$5:$J$2005,'Receipt Vouchers'!$Q$5:$Q$2005,$A43,'Receipt Vouchers'!$A$5:$A$2005,"&gt;="&amp;ReportFrom,'Receipt Vouchers'!$A$5:$A$2005,"&lt;="&amp;ReportTo))</f>
        <v/>
      </c>
      <c r="W43" s="25">
        <f>IF($A43="",0,SUMIFS('Receipt Vouchers'!$N$5:$N$2005,'Receipt Vouchers'!$P$5:$P$2005,$A43,'Receipt Vouchers'!$A$5:$A$2005,"&gt;="&amp;ReportFrom,'Receipt Vouchers'!$A$5:$A$2005,"&lt;="&amp;ReportTo)+SUMIFS('Receipt Vouchers'!$M$5:$M$2005,'Receipt Vouchers'!$R$5:$R$2005,$A43,'Receipt Vouchers'!$A$5:$A$2005,"&gt;="&amp;ReportFrom,'Receipt Vouchers'!$A$5:$A$2005,"&lt;="&amp;ReportTo))</f>
        <v/>
      </c>
      <c r="X43" s="25">
        <f>IF($A43="",0,(SUMIFS('Sales Invoices'!$O$5:$O$2005,'Sales Invoices'!$P$5:$P$2005,$A43,'Sales Invoices'!$B$5:$B$2005,"&lt;"&amp;ReportFrom)+SUMIFS('Sales Invoices'!$N$5:$N$2005,'Sales Invoices'!$R$5:$R$2005,$A43,'Sales Invoices'!$B$5:$B$2005,"&lt;"&amp;ReportFrom))-(SUMIFS('Sales Invoices'!$L$5:$L$2005,'Sales Invoices'!$Q$5:$Q$2005,$A43,'Sales Invoices'!$B$5:$B$2005,"&lt;"&amp;ReportFrom)+SUMIFS('Sales Invoices'!$M$5:$M$2005,'Sales Invoices'!$S$5:$S$2005,$A43,'Sales Invoices'!$B$5:$B$2005,"&lt;"&amp;ReportFrom)))</f>
        <v/>
      </c>
      <c r="Y43" s="25">
        <f>IF($A43="",0,SUMIFS('Sales Invoices'!$O$5:$O$2005,'Sales Invoices'!$P$5:$P$2005,$A43,'Sales Invoices'!$B$5:$B$2005,"&gt;="&amp;ReportFrom,'Sales Invoices'!$B$5:$B$2005,"&lt;="&amp;ReportTo)+SUMIFS('Sales Invoices'!$N$5:$N$2005,'Sales Invoices'!$R$5:$R$2005,$A43,'Sales Invoices'!$B$5:$B$2005,"&gt;="&amp;ReportFrom,'Sales Invoices'!$B$5:$B$2005,"&lt;="&amp;ReportTo))</f>
        <v/>
      </c>
      <c r="Z43" s="25">
        <f>IF($A43="",0,SUMIFS('Sales Invoices'!$L$5:$L$2005,'Sales Invoices'!$Q$5:$Q$2005,$A43,'Sales Invoices'!$B$5:$B$2005,"&gt;="&amp;ReportFrom,'Sales Invoices'!$B$5:$B$2005,"&lt;="&amp;ReportTo)+SUMIFS('Sales Invoices'!$M$5:$M$2005,'Sales Invoices'!$S$5:$S$2005,$A43,'Sales Invoices'!$B$5:$B$2005,"&gt;="&amp;ReportFrom,'Sales Invoices'!$B$5:$B$2005,"&lt;="&amp;ReportTo))</f>
        <v/>
      </c>
      <c r="AA43" s="25">
        <f>IF($A43="",0,(SUMIFS('Payment Vouchers'!$D$5:$D$2005,'Payment Vouchers'!$J$5:$J$2005,$A43,'Payment Vouchers'!$A$5:$A$2005,"&lt;"&amp;ReportFrom))-(SUMIFS('Payment Vouchers'!$D$5:$D$2005,'Payment Vouchers'!$K$5:$K$2005,$A43,'Payment Vouchers'!$A$5:$A$2005,"&lt;"&amp;ReportFrom)))</f>
        <v/>
      </c>
      <c r="AB43" s="25">
        <f>IF($A43="",0,SUMIFS('Payment Vouchers'!$D$5:$D$2005,'Payment Vouchers'!$J$5:$J$2005,$A43,'Payment Vouchers'!$A$5:$A$2005,"&gt;="&amp;ReportFrom,'Payment Vouchers'!$A$5:$A$2005,"&lt;="&amp;ReportTo))</f>
        <v/>
      </c>
      <c r="AC43" s="25">
        <f>IF($A43="",0,SUMIFS('Payment Vouchers'!$D$5:$D$2005,'Payment Vouchers'!$K$5:$K$2005,$A43,'Payment Vouchers'!$A$5:$A$2005,"&gt;="&amp;ReportFrom,'Payment Vouchers'!$A$5:$A$2005,"&lt;="&amp;ReportTo))</f>
        <v/>
      </c>
      <c r="AD43" s="25">
        <f>IF($A43="",0,(SUMIFS('Partner Transactions'!$D$5:$D$2005,'Partner Transactions'!$L$5:$L$2005,$A43,'Partner Transactions'!$A$5:$A$2005,"&lt;"&amp;ReportFrom))-(SUMIFS('Partner Transactions'!$D$5:$D$2005,'Partner Transactions'!$M$5:$M$2005,$A43,'Partner Transactions'!$A$5:$A$2005,"&lt;"&amp;ReportFrom)))</f>
        <v/>
      </c>
      <c r="AE43" s="25">
        <f>IF($A43="",0,SUMIFS('Partner Transactions'!$D$5:$D$2005,'Partner Transactions'!$L$5:$L$2005,$A43,'Partner Transactions'!$A$5:$A$2005,"&gt;="&amp;ReportFrom,'Partner Transactions'!$A$5:$A$2005,"&lt;="&amp;ReportTo))</f>
        <v/>
      </c>
      <c r="AF43" s="25">
        <f>IF($A43="",0,SUMIFS('Partner Transactions'!$D$5:$D$2005,'Partner Transactions'!$M$5:$M$2005,$A43,'Partner Transactions'!$A$5:$A$2005,"&gt;="&amp;ReportFrom,'Partner Transactions'!$A$5:$A$2005,"&lt;="&amp;ReportTo))</f>
        <v/>
      </c>
      <c r="AG43" s="25">
        <f>IF($A43="",0,(SUMIFS('Stock Moves'!$S$5:$S$2005,'Stock Moves'!$AD$5:$AD$2005,$A43,'Stock Moves'!$A$5:$A$2005,"&lt;"&amp;ReportFrom)+SUMIFS('Stock Moves'!$T$5:$T$2005,'Stock Moves'!$V$5:$V$2005,$A43,'Stock Moves'!$A$5:$A$2005,"&lt;"&amp;ReportFrom))-(SUMIFS('Stock Moves'!$AF$5:$AF$2005,'Stock Moves'!$AE$5:$AE$2005,$A43,'Stock Moves'!$A$5:$A$2005,"&lt;"&amp;ReportFrom)+SUMIFS('Stock Moves'!$AC$5:$AC$2005,'Stock Moves'!$X$5:$X$2005,$A43,'Stock Moves'!$A$5:$A$2005,"&lt;"&amp;ReportFrom)+SUMIFS('Stock Moves'!$U$5:$U$2005,'Stock Moves'!$W$5:$W$2005,$A43,'Stock Moves'!$A$5:$A$2005,"&lt;"&amp;ReportFrom)))</f>
        <v/>
      </c>
      <c r="AH43" s="25">
        <f>IF($A43="",0,SUMIFS('Stock Moves'!$S$5:$S$2005,'Stock Moves'!$AD$5:$AD$2005,$A43,'Stock Moves'!$A$5:$A$2005,"&gt;="&amp;ReportFrom,'Stock Moves'!$A$5:$A$2005,"&lt;="&amp;ReportTo)+SUMIFS('Stock Moves'!$T$5:$T$2005,'Stock Moves'!$V$5:$V$2005,$A43,'Stock Moves'!$A$5:$A$2005,"&gt;="&amp;ReportFrom,'Stock Moves'!$A$5:$A$2005,"&lt;="&amp;ReportTo))</f>
        <v/>
      </c>
      <c r="AI43" s="25">
        <f>IF($A43="",0,SUMIFS('Stock Moves'!$AF$5:$AF$2005,'Stock Moves'!$AE$5:$AE$2005,$A43,'Stock Moves'!$A$5:$A$2005,"&gt;="&amp;ReportFrom,'Stock Moves'!$A$5:$A$2005,"&lt;="&amp;ReportTo)+SUMIFS('Stock Moves'!$AC$5:$AC$2005,'Stock Moves'!$X$5:$X$2005,$A43,'Stock Moves'!$A$5:$A$2005,"&gt;="&amp;ReportFrom,'Stock Moves'!$A$5:$A$2005,"&lt;="&amp;ReportTo)+SUMIFS('Stock Moves'!$U$5:$U$2005,'Stock Moves'!$W$5:$W$2005,$A43,'Stock Moves'!$A$5:$A$2005,"&gt;="&amp;ReportFrom,'Stock Moves'!$A$5:$A$2005,"&lt;="&amp;ReportTo))</f>
        <v/>
      </c>
      <c r="AJ43" s="25">
        <f>IF($A43="",0,(SUMIFS('Journal Vouchers'!$I$5:$I$2005,'Journal Vouchers'!$H$5:$H$2005,$A43,'Journal Vouchers'!$B$5:$B$2005,"&lt;"&amp;ReportFrom))-(SUMIFS('Journal Vouchers'!$J$5:$J$2005,'Journal Vouchers'!$H$5:$H$2005,$A43,'Journal Vouchers'!$B$5:$B$2005,"&lt;"&amp;ReportFrom)))</f>
        <v/>
      </c>
      <c r="AK43" s="25">
        <f>IF($A43="",0,SUMIFS('Journal Vouchers'!$I$5:$I$2005,'Journal Vouchers'!$H$5:$H$2005,$A43,'Journal Vouchers'!$B$5:$B$2005,"&gt;="&amp;ReportFrom,'Journal Vouchers'!$B$5:$B$2005,"&lt;="&amp;ReportTo))</f>
        <v/>
      </c>
      <c r="AL43" s="25">
        <f>IF($A43="",0,SUMIFS('Journal Vouchers'!$J$5:$J$2005,'Journal Vouchers'!$H$5:$H$2005,$A43,'Journal Vouchers'!$B$5:$B$2005,"&gt;="&amp;ReportFrom,'Journal Vouchers'!$B$5:$B$2005,"&lt;="&amp;ReportTo))</f>
        <v/>
      </c>
    </row>
    <row r="44">
      <c r="A44" s="25">
        <f>IF('Chart of Accounts'!A44="","",'Chart of Accounts'!A44&amp;"")</f>
        <v/>
      </c>
      <c r="B44" s="25">
        <f>IF(A44="","",'Chart of Accounts'!B44)</f>
        <v/>
      </c>
      <c r="C44" s="25">
        <f>IF(A44="","",'Chart of Accounts'!C44)</f>
        <v/>
      </c>
      <c r="D44" s="25">
        <f>IF(A44="","",'Chart of Accounts'!D44)</f>
        <v/>
      </c>
      <c r="E44" s="26">
        <f>L44+O44+R44+U44+X44+AA44+AD44+AG44+AJ44</f>
        <v/>
      </c>
      <c r="F44" s="26">
        <f>M44+P44+S44+V44+Y44+AB44+AE44+AH44+AK44</f>
        <v/>
      </c>
      <c r="G44" s="26">
        <f>N44+Q44+T44+W44+Z44+AC44+AF44+AI44+AL44</f>
        <v/>
      </c>
      <c r="H44" s="26">
        <f>E44+F44-G44</f>
        <v/>
      </c>
      <c r="I44" s="26">
        <f>MAX(H44,0)</f>
        <v/>
      </c>
      <c r="J44" s="26">
        <f>MAX(-H44,0)</f>
        <v/>
      </c>
      <c r="L44" s="25">
        <f>IF($A44="",0,(SUMIFS('Direct Costs'!$R$5:$R$2005,'Direct Costs'!$V$5:$V$2005,$A44,'Direct Costs'!$A$5:$A$2005,"&lt;"&amp;ReportFrom)+SUMIFS('Direct Costs'!$S$5:$S$2005,'Direct Costs'!$Y$5:$Y$2005,$A44,'Direct Costs'!$A$5:$A$2005,"&lt;"&amp;ReportFrom))-(SUMIFS('Direct Costs'!$L$5:$L$2005,'Direct Costs'!$W$5:$W$2005,$A44,'Direct Costs'!$A$5:$A$2005,"&lt;"&amp;ReportFrom)+SUMIFS('Direct Costs'!$U$5:$U$2005,'Direct Costs'!$X$5:$X$2005,$A44,'Direct Costs'!$A$5:$A$2005,"&lt;"&amp;ReportFrom)+SUMIFS('Direct Costs'!$T$5:$T$2005,'Direct Costs'!$Z$5:$Z$2005,$A44,'Direct Costs'!$A$5:$A$2005,"&lt;"&amp;ReportFrom)))</f>
        <v/>
      </c>
      <c r="M44" s="25">
        <f>IF($A44="",0,SUMIFS('Direct Costs'!$R$5:$R$2005,'Direct Costs'!$V$5:$V$2005,$A44,'Direct Costs'!$A$5:$A$2005,"&gt;="&amp;ReportFrom,'Direct Costs'!$A$5:$A$2005,"&lt;="&amp;ReportTo)+SUMIFS('Direct Costs'!$S$5:$S$2005,'Direct Costs'!$Y$5:$Y$2005,$A44,'Direct Costs'!$A$5:$A$2005,"&gt;="&amp;ReportFrom,'Direct Costs'!$A$5:$A$2005,"&lt;="&amp;ReportTo))</f>
        <v/>
      </c>
      <c r="N44" s="25">
        <f>IF($A44="",0,SUMIFS('Direct Costs'!$L$5:$L$2005,'Direct Costs'!$W$5:$W$2005,$A44,'Direct Costs'!$A$5:$A$2005,"&gt;="&amp;ReportFrom,'Direct Costs'!$A$5:$A$2005,"&lt;="&amp;ReportTo)+SUMIFS('Direct Costs'!$U$5:$U$2005,'Direct Costs'!$X$5:$X$2005,$A44,'Direct Costs'!$A$5:$A$2005,"&gt;="&amp;ReportFrom,'Direct Costs'!$A$5:$A$2005,"&lt;="&amp;ReportTo)+SUMIFS('Direct Costs'!$T$5:$T$2005,'Direct Costs'!$Z$5:$Z$2005,$A44,'Direct Costs'!$A$5:$A$2005,"&gt;="&amp;ReportFrom,'Direct Costs'!$A$5:$A$2005,"&lt;="&amp;ReportTo))</f>
        <v/>
      </c>
      <c r="O44" s="25">
        <f>IF($A44="",0,(SUMIFS('Operating Expenses'!$F$5:$F$2005,'Operating Expenses'!$Q$5:$Q$2005,$A44,'Operating Expenses'!$A$5:$A$2005,"&lt;"&amp;ReportFrom)+SUMIFS('Operating Expenses'!$M$5:$M$2005,'Operating Expenses'!$T$5:$T$2005,$A44,'Operating Expenses'!$A$5:$A$2005,"&lt;"&amp;ReportFrom))-(SUMIFS('Operating Expenses'!$O$5:$O$2005,'Operating Expenses'!$R$5:$R$2005,$A44,'Operating Expenses'!$A$5:$A$2005,"&lt;"&amp;ReportFrom)+SUMIFS('Operating Expenses'!$P$5:$P$2005,'Operating Expenses'!$S$5:$S$2005,$A44,'Operating Expenses'!$A$5:$A$2005,"&lt;"&amp;ReportFrom)+SUMIFS('Operating Expenses'!$N$5:$N$2005,'Operating Expenses'!$U$5:$U$2005,$A44,'Operating Expenses'!$A$5:$A$2005,"&lt;"&amp;ReportFrom)))</f>
        <v/>
      </c>
      <c r="P44" s="25">
        <f>IF($A44="",0,SUMIFS('Operating Expenses'!$F$5:$F$2005,'Operating Expenses'!$Q$5:$Q$2005,$A44,'Operating Expenses'!$A$5:$A$2005,"&gt;="&amp;ReportFrom,'Operating Expenses'!$A$5:$A$2005,"&lt;="&amp;ReportTo)+SUMIFS('Operating Expenses'!$M$5:$M$2005,'Operating Expenses'!$T$5:$T$2005,$A44,'Operating Expenses'!$A$5:$A$2005,"&gt;="&amp;ReportFrom,'Operating Expenses'!$A$5:$A$2005,"&lt;="&amp;ReportTo))</f>
        <v/>
      </c>
      <c r="Q44" s="25">
        <f>IF($A44="",0,SUMIFS('Operating Expenses'!$O$5:$O$2005,'Operating Expenses'!$R$5:$R$2005,$A44,'Operating Expenses'!$A$5:$A$2005,"&gt;="&amp;ReportFrom,'Operating Expenses'!$A$5:$A$2005,"&lt;="&amp;ReportTo)+SUMIFS('Operating Expenses'!$P$5:$P$2005,'Operating Expenses'!$S$5:$S$2005,$A44,'Operating Expenses'!$A$5:$A$2005,"&gt;="&amp;ReportFrom,'Operating Expenses'!$A$5:$A$2005,"&lt;="&amp;ReportTo)+SUMIFS('Operating Expenses'!$N$5:$N$2005,'Operating Expenses'!$U$5:$U$2005,$A44,'Operating Expenses'!$A$5:$A$2005,"&gt;="&amp;ReportFrom,'Operating Expenses'!$A$5:$A$2005,"&lt;="&amp;ReportTo))</f>
        <v/>
      </c>
      <c r="R44" s="25">
        <f>IF($A44="",0,(SUMIFS('Payroll'!$O$5:$O$2005,'Payroll'!$Q$5:$Q$2005,$A44,'Payroll'!$A$5:$A$2005,"&lt;"&amp;ReportFrom))-(SUMIFS('Payroll'!$K$5:$K$2005,'Payroll'!$R$5:$R$2005,$A44,'Payroll'!$A$5:$A$2005,"&lt;"&amp;ReportFrom)+SUMIFS('Payroll'!$P$5:$P$2005,'Payroll'!$S$5:$S$2005,$A44,'Payroll'!$A$5:$A$2005,"&lt;"&amp;ReportFrom)))</f>
        <v/>
      </c>
      <c r="S44" s="25">
        <f>IF($A44="",0,SUMIFS('Payroll'!$O$5:$O$2005,'Payroll'!$Q$5:$Q$2005,$A44,'Payroll'!$A$5:$A$2005,"&gt;="&amp;ReportFrom,'Payroll'!$A$5:$A$2005,"&lt;="&amp;ReportTo))</f>
        <v/>
      </c>
      <c r="T44" s="25">
        <f>IF($A44="",0,SUMIFS('Payroll'!$K$5:$K$2005,'Payroll'!$R$5:$R$2005,$A44,'Payroll'!$A$5:$A$2005,"&gt;="&amp;ReportFrom,'Payroll'!$A$5:$A$2005,"&lt;="&amp;ReportTo)+SUMIFS('Payroll'!$P$5:$P$2005,'Payroll'!$S$5:$S$2005,$A44,'Payroll'!$A$5:$A$2005,"&gt;="&amp;ReportFrom,'Payroll'!$A$5:$A$2005,"&lt;="&amp;ReportTo))</f>
        <v/>
      </c>
      <c r="U44" s="25">
        <f>IF($A44="",0,(SUMIFS('Receipt Vouchers'!$F$5:$F$2005,'Receipt Vouchers'!$O$5:$O$2005,$A44,'Receipt Vouchers'!$A$5:$A$2005,"&lt;"&amp;ReportFrom)+SUMIFS('Receipt Vouchers'!$J$5:$J$2005,'Receipt Vouchers'!$Q$5:$Q$2005,$A44,'Receipt Vouchers'!$A$5:$A$2005,"&lt;"&amp;ReportFrom))-(SUMIFS('Receipt Vouchers'!$N$5:$N$2005,'Receipt Vouchers'!$P$5:$P$2005,$A44,'Receipt Vouchers'!$A$5:$A$2005,"&lt;"&amp;ReportFrom)+SUMIFS('Receipt Vouchers'!$M$5:$M$2005,'Receipt Vouchers'!$R$5:$R$2005,$A44,'Receipt Vouchers'!$A$5:$A$2005,"&lt;"&amp;ReportFrom)))</f>
        <v/>
      </c>
      <c r="V44" s="25">
        <f>IF($A44="",0,SUMIFS('Receipt Vouchers'!$F$5:$F$2005,'Receipt Vouchers'!$O$5:$O$2005,$A44,'Receipt Vouchers'!$A$5:$A$2005,"&gt;="&amp;ReportFrom,'Receipt Vouchers'!$A$5:$A$2005,"&lt;="&amp;ReportTo)+SUMIFS('Receipt Vouchers'!$J$5:$J$2005,'Receipt Vouchers'!$Q$5:$Q$2005,$A44,'Receipt Vouchers'!$A$5:$A$2005,"&gt;="&amp;ReportFrom,'Receipt Vouchers'!$A$5:$A$2005,"&lt;="&amp;ReportTo))</f>
        <v/>
      </c>
      <c r="W44" s="25">
        <f>IF($A44="",0,SUMIFS('Receipt Vouchers'!$N$5:$N$2005,'Receipt Vouchers'!$P$5:$P$2005,$A44,'Receipt Vouchers'!$A$5:$A$2005,"&gt;="&amp;ReportFrom,'Receipt Vouchers'!$A$5:$A$2005,"&lt;="&amp;ReportTo)+SUMIFS('Receipt Vouchers'!$M$5:$M$2005,'Receipt Vouchers'!$R$5:$R$2005,$A44,'Receipt Vouchers'!$A$5:$A$2005,"&gt;="&amp;ReportFrom,'Receipt Vouchers'!$A$5:$A$2005,"&lt;="&amp;ReportTo))</f>
        <v/>
      </c>
      <c r="X44" s="25">
        <f>IF($A44="",0,(SUMIFS('Sales Invoices'!$O$5:$O$2005,'Sales Invoices'!$P$5:$P$2005,$A44,'Sales Invoices'!$B$5:$B$2005,"&lt;"&amp;ReportFrom)+SUMIFS('Sales Invoices'!$N$5:$N$2005,'Sales Invoices'!$R$5:$R$2005,$A44,'Sales Invoices'!$B$5:$B$2005,"&lt;"&amp;ReportFrom))-(SUMIFS('Sales Invoices'!$L$5:$L$2005,'Sales Invoices'!$Q$5:$Q$2005,$A44,'Sales Invoices'!$B$5:$B$2005,"&lt;"&amp;ReportFrom)+SUMIFS('Sales Invoices'!$M$5:$M$2005,'Sales Invoices'!$S$5:$S$2005,$A44,'Sales Invoices'!$B$5:$B$2005,"&lt;"&amp;ReportFrom)))</f>
        <v/>
      </c>
      <c r="Y44" s="25">
        <f>IF($A44="",0,SUMIFS('Sales Invoices'!$O$5:$O$2005,'Sales Invoices'!$P$5:$P$2005,$A44,'Sales Invoices'!$B$5:$B$2005,"&gt;="&amp;ReportFrom,'Sales Invoices'!$B$5:$B$2005,"&lt;="&amp;ReportTo)+SUMIFS('Sales Invoices'!$N$5:$N$2005,'Sales Invoices'!$R$5:$R$2005,$A44,'Sales Invoices'!$B$5:$B$2005,"&gt;="&amp;ReportFrom,'Sales Invoices'!$B$5:$B$2005,"&lt;="&amp;ReportTo))</f>
        <v/>
      </c>
      <c r="Z44" s="25">
        <f>IF($A44="",0,SUMIFS('Sales Invoices'!$L$5:$L$2005,'Sales Invoices'!$Q$5:$Q$2005,$A44,'Sales Invoices'!$B$5:$B$2005,"&gt;="&amp;ReportFrom,'Sales Invoices'!$B$5:$B$2005,"&lt;="&amp;ReportTo)+SUMIFS('Sales Invoices'!$M$5:$M$2005,'Sales Invoices'!$S$5:$S$2005,$A44,'Sales Invoices'!$B$5:$B$2005,"&gt;="&amp;ReportFrom,'Sales Invoices'!$B$5:$B$2005,"&lt;="&amp;ReportTo))</f>
        <v/>
      </c>
      <c r="AA44" s="25">
        <f>IF($A44="",0,(SUMIFS('Payment Vouchers'!$D$5:$D$2005,'Payment Vouchers'!$J$5:$J$2005,$A44,'Payment Vouchers'!$A$5:$A$2005,"&lt;"&amp;ReportFrom))-(SUMIFS('Payment Vouchers'!$D$5:$D$2005,'Payment Vouchers'!$K$5:$K$2005,$A44,'Payment Vouchers'!$A$5:$A$2005,"&lt;"&amp;ReportFrom)))</f>
        <v/>
      </c>
      <c r="AB44" s="25">
        <f>IF($A44="",0,SUMIFS('Payment Vouchers'!$D$5:$D$2005,'Payment Vouchers'!$J$5:$J$2005,$A44,'Payment Vouchers'!$A$5:$A$2005,"&gt;="&amp;ReportFrom,'Payment Vouchers'!$A$5:$A$2005,"&lt;="&amp;ReportTo))</f>
        <v/>
      </c>
      <c r="AC44" s="25">
        <f>IF($A44="",0,SUMIFS('Payment Vouchers'!$D$5:$D$2005,'Payment Vouchers'!$K$5:$K$2005,$A44,'Payment Vouchers'!$A$5:$A$2005,"&gt;="&amp;ReportFrom,'Payment Vouchers'!$A$5:$A$2005,"&lt;="&amp;ReportTo))</f>
        <v/>
      </c>
      <c r="AD44" s="25">
        <f>IF($A44="",0,(SUMIFS('Partner Transactions'!$D$5:$D$2005,'Partner Transactions'!$L$5:$L$2005,$A44,'Partner Transactions'!$A$5:$A$2005,"&lt;"&amp;ReportFrom))-(SUMIFS('Partner Transactions'!$D$5:$D$2005,'Partner Transactions'!$M$5:$M$2005,$A44,'Partner Transactions'!$A$5:$A$2005,"&lt;"&amp;ReportFrom)))</f>
        <v/>
      </c>
      <c r="AE44" s="25">
        <f>IF($A44="",0,SUMIFS('Partner Transactions'!$D$5:$D$2005,'Partner Transactions'!$L$5:$L$2005,$A44,'Partner Transactions'!$A$5:$A$2005,"&gt;="&amp;ReportFrom,'Partner Transactions'!$A$5:$A$2005,"&lt;="&amp;ReportTo))</f>
        <v/>
      </c>
      <c r="AF44" s="25">
        <f>IF($A44="",0,SUMIFS('Partner Transactions'!$D$5:$D$2005,'Partner Transactions'!$M$5:$M$2005,$A44,'Partner Transactions'!$A$5:$A$2005,"&gt;="&amp;ReportFrom,'Partner Transactions'!$A$5:$A$2005,"&lt;="&amp;ReportTo))</f>
        <v/>
      </c>
      <c r="AG44" s="25">
        <f>IF($A44="",0,(SUMIFS('Stock Moves'!$S$5:$S$2005,'Stock Moves'!$AD$5:$AD$2005,$A44,'Stock Moves'!$A$5:$A$2005,"&lt;"&amp;ReportFrom)+SUMIFS('Stock Moves'!$T$5:$T$2005,'Stock Moves'!$V$5:$V$2005,$A44,'Stock Moves'!$A$5:$A$2005,"&lt;"&amp;ReportFrom))-(SUMIFS('Stock Moves'!$AF$5:$AF$2005,'Stock Moves'!$AE$5:$AE$2005,$A44,'Stock Moves'!$A$5:$A$2005,"&lt;"&amp;ReportFrom)+SUMIFS('Stock Moves'!$AC$5:$AC$2005,'Stock Moves'!$X$5:$X$2005,$A44,'Stock Moves'!$A$5:$A$2005,"&lt;"&amp;ReportFrom)+SUMIFS('Stock Moves'!$U$5:$U$2005,'Stock Moves'!$W$5:$W$2005,$A44,'Stock Moves'!$A$5:$A$2005,"&lt;"&amp;ReportFrom)))</f>
        <v/>
      </c>
      <c r="AH44" s="25">
        <f>IF($A44="",0,SUMIFS('Stock Moves'!$S$5:$S$2005,'Stock Moves'!$AD$5:$AD$2005,$A44,'Stock Moves'!$A$5:$A$2005,"&gt;="&amp;ReportFrom,'Stock Moves'!$A$5:$A$2005,"&lt;="&amp;ReportTo)+SUMIFS('Stock Moves'!$T$5:$T$2005,'Stock Moves'!$V$5:$V$2005,$A44,'Stock Moves'!$A$5:$A$2005,"&gt;="&amp;ReportFrom,'Stock Moves'!$A$5:$A$2005,"&lt;="&amp;ReportTo))</f>
        <v/>
      </c>
      <c r="AI44" s="25">
        <f>IF($A44="",0,SUMIFS('Stock Moves'!$AF$5:$AF$2005,'Stock Moves'!$AE$5:$AE$2005,$A44,'Stock Moves'!$A$5:$A$2005,"&gt;="&amp;ReportFrom,'Stock Moves'!$A$5:$A$2005,"&lt;="&amp;ReportTo)+SUMIFS('Stock Moves'!$AC$5:$AC$2005,'Stock Moves'!$X$5:$X$2005,$A44,'Stock Moves'!$A$5:$A$2005,"&gt;="&amp;ReportFrom,'Stock Moves'!$A$5:$A$2005,"&lt;="&amp;ReportTo)+SUMIFS('Stock Moves'!$U$5:$U$2005,'Stock Moves'!$W$5:$W$2005,$A44,'Stock Moves'!$A$5:$A$2005,"&gt;="&amp;ReportFrom,'Stock Moves'!$A$5:$A$2005,"&lt;="&amp;ReportTo))</f>
        <v/>
      </c>
      <c r="AJ44" s="25">
        <f>IF($A44="",0,(SUMIFS('Journal Vouchers'!$I$5:$I$2005,'Journal Vouchers'!$H$5:$H$2005,$A44,'Journal Vouchers'!$B$5:$B$2005,"&lt;"&amp;ReportFrom))-(SUMIFS('Journal Vouchers'!$J$5:$J$2005,'Journal Vouchers'!$H$5:$H$2005,$A44,'Journal Vouchers'!$B$5:$B$2005,"&lt;"&amp;ReportFrom)))</f>
        <v/>
      </c>
      <c r="AK44" s="25">
        <f>IF($A44="",0,SUMIFS('Journal Vouchers'!$I$5:$I$2005,'Journal Vouchers'!$H$5:$H$2005,$A44,'Journal Vouchers'!$B$5:$B$2005,"&gt;="&amp;ReportFrom,'Journal Vouchers'!$B$5:$B$2005,"&lt;="&amp;ReportTo))</f>
        <v/>
      </c>
      <c r="AL44" s="25">
        <f>IF($A44="",0,SUMIFS('Journal Vouchers'!$J$5:$J$2005,'Journal Vouchers'!$H$5:$H$2005,$A44,'Journal Vouchers'!$B$5:$B$2005,"&gt;="&amp;ReportFrom,'Journal Vouchers'!$B$5:$B$2005,"&lt;="&amp;ReportTo))</f>
        <v/>
      </c>
    </row>
    <row r="45">
      <c r="A45" s="25">
        <f>IF('Chart of Accounts'!A45="","",'Chart of Accounts'!A45&amp;"")</f>
        <v/>
      </c>
      <c r="B45" s="25">
        <f>IF(A45="","",'Chart of Accounts'!B45)</f>
        <v/>
      </c>
      <c r="C45" s="25">
        <f>IF(A45="","",'Chart of Accounts'!C45)</f>
        <v/>
      </c>
      <c r="D45" s="25">
        <f>IF(A45="","",'Chart of Accounts'!D45)</f>
        <v/>
      </c>
      <c r="E45" s="26">
        <f>L45+O45+R45+U45+X45+AA45+AD45+AG45+AJ45</f>
        <v/>
      </c>
      <c r="F45" s="26">
        <f>M45+P45+S45+V45+Y45+AB45+AE45+AH45+AK45</f>
        <v/>
      </c>
      <c r="G45" s="26">
        <f>N45+Q45+T45+W45+Z45+AC45+AF45+AI45+AL45</f>
        <v/>
      </c>
      <c r="H45" s="26">
        <f>E45+F45-G45</f>
        <v/>
      </c>
      <c r="I45" s="26">
        <f>MAX(H45,0)</f>
        <v/>
      </c>
      <c r="J45" s="26">
        <f>MAX(-H45,0)</f>
        <v/>
      </c>
      <c r="L45" s="25">
        <f>IF($A45="",0,(SUMIFS('Direct Costs'!$R$5:$R$2005,'Direct Costs'!$V$5:$V$2005,$A45,'Direct Costs'!$A$5:$A$2005,"&lt;"&amp;ReportFrom)+SUMIFS('Direct Costs'!$S$5:$S$2005,'Direct Costs'!$Y$5:$Y$2005,$A45,'Direct Costs'!$A$5:$A$2005,"&lt;"&amp;ReportFrom))-(SUMIFS('Direct Costs'!$L$5:$L$2005,'Direct Costs'!$W$5:$W$2005,$A45,'Direct Costs'!$A$5:$A$2005,"&lt;"&amp;ReportFrom)+SUMIFS('Direct Costs'!$U$5:$U$2005,'Direct Costs'!$X$5:$X$2005,$A45,'Direct Costs'!$A$5:$A$2005,"&lt;"&amp;ReportFrom)+SUMIFS('Direct Costs'!$T$5:$T$2005,'Direct Costs'!$Z$5:$Z$2005,$A45,'Direct Costs'!$A$5:$A$2005,"&lt;"&amp;ReportFrom)))</f>
        <v/>
      </c>
      <c r="M45" s="25">
        <f>IF($A45="",0,SUMIFS('Direct Costs'!$R$5:$R$2005,'Direct Costs'!$V$5:$V$2005,$A45,'Direct Costs'!$A$5:$A$2005,"&gt;="&amp;ReportFrom,'Direct Costs'!$A$5:$A$2005,"&lt;="&amp;ReportTo)+SUMIFS('Direct Costs'!$S$5:$S$2005,'Direct Costs'!$Y$5:$Y$2005,$A45,'Direct Costs'!$A$5:$A$2005,"&gt;="&amp;ReportFrom,'Direct Costs'!$A$5:$A$2005,"&lt;="&amp;ReportTo))</f>
        <v/>
      </c>
      <c r="N45" s="25">
        <f>IF($A45="",0,SUMIFS('Direct Costs'!$L$5:$L$2005,'Direct Costs'!$W$5:$W$2005,$A45,'Direct Costs'!$A$5:$A$2005,"&gt;="&amp;ReportFrom,'Direct Costs'!$A$5:$A$2005,"&lt;="&amp;ReportTo)+SUMIFS('Direct Costs'!$U$5:$U$2005,'Direct Costs'!$X$5:$X$2005,$A45,'Direct Costs'!$A$5:$A$2005,"&gt;="&amp;ReportFrom,'Direct Costs'!$A$5:$A$2005,"&lt;="&amp;ReportTo)+SUMIFS('Direct Costs'!$T$5:$T$2005,'Direct Costs'!$Z$5:$Z$2005,$A45,'Direct Costs'!$A$5:$A$2005,"&gt;="&amp;ReportFrom,'Direct Costs'!$A$5:$A$2005,"&lt;="&amp;ReportTo))</f>
        <v/>
      </c>
      <c r="O45" s="25">
        <f>IF($A45="",0,(SUMIFS('Operating Expenses'!$F$5:$F$2005,'Operating Expenses'!$Q$5:$Q$2005,$A45,'Operating Expenses'!$A$5:$A$2005,"&lt;"&amp;ReportFrom)+SUMIFS('Operating Expenses'!$M$5:$M$2005,'Operating Expenses'!$T$5:$T$2005,$A45,'Operating Expenses'!$A$5:$A$2005,"&lt;"&amp;ReportFrom))-(SUMIFS('Operating Expenses'!$O$5:$O$2005,'Operating Expenses'!$R$5:$R$2005,$A45,'Operating Expenses'!$A$5:$A$2005,"&lt;"&amp;ReportFrom)+SUMIFS('Operating Expenses'!$P$5:$P$2005,'Operating Expenses'!$S$5:$S$2005,$A45,'Operating Expenses'!$A$5:$A$2005,"&lt;"&amp;ReportFrom)+SUMIFS('Operating Expenses'!$N$5:$N$2005,'Operating Expenses'!$U$5:$U$2005,$A45,'Operating Expenses'!$A$5:$A$2005,"&lt;"&amp;ReportFrom)))</f>
        <v/>
      </c>
      <c r="P45" s="25">
        <f>IF($A45="",0,SUMIFS('Operating Expenses'!$F$5:$F$2005,'Operating Expenses'!$Q$5:$Q$2005,$A45,'Operating Expenses'!$A$5:$A$2005,"&gt;="&amp;ReportFrom,'Operating Expenses'!$A$5:$A$2005,"&lt;="&amp;ReportTo)+SUMIFS('Operating Expenses'!$M$5:$M$2005,'Operating Expenses'!$T$5:$T$2005,$A45,'Operating Expenses'!$A$5:$A$2005,"&gt;="&amp;ReportFrom,'Operating Expenses'!$A$5:$A$2005,"&lt;="&amp;ReportTo))</f>
        <v/>
      </c>
      <c r="Q45" s="25">
        <f>IF($A45="",0,SUMIFS('Operating Expenses'!$O$5:$O$2005,'Operating Expenses'!$R$5:$R$2005,$A45,'Operating Expenses'!$A$5:$A$2005,"&gt;="&amp;ReportFrom,'Operating Expenses'!$A$5:$A$2005,"&lt;="&amp;ReportTo)+SUMIFS('Operating Expenses'!$P$5:$P$2005,'Operating Expenses'!$S$5:$S$2005,$A45,'Operating Expenses'!$A$5:$A$2005,"&gt;="&amp;ReportFrom,'Operating Expenses'!$A$5:$A$2005,"&lt;="&amp;ReportTo)+SUMIFS('Operating Expenses'!$N$5:$N$2005,'Operating Expenses'!$U$5:$U$2005,$A45,'Operating Expenses'!$A$5:$A$2005,"&gt;="&amp;ReportFrom,'Operating Expenses'!$A$5:$A$2005,"&lt;="&amp;ReportTo))</f>
        <v/>
      </c>
      <c r="R45" s="25">
        <f>IF($A45="",0,(SUMIFS('Payroll'!$O$5:$O$2005,'Payroll'!$Q$5:$Q$2005,$A45,'Payroll'!$A$5:$A$2005,"&lt;"&amp;ReportFrom))-(SUMIFS('Payroll'!$K$5:$K$2005,'Payroll'!$R$5:$R$2005,$A45,'Payroll'!$A$5:$A$2005,"&lt;"&amp;ReportFrom)+SUMIFS('Payroll'!$P$5:$P$2005,'Payroll'!$S$5:$S$2005,$A45,'Payroll'!$A$5:$A$2005,"&lt;"&amp;ReportFrom)))</f>
        <v/>
      </c>
      <c r="S45" s="25">
        <f>IF($A45="",0,SUMIFS('Payroll'!$O$5:$O$2005,'Payroll'!$Q$5:$Q$2005,$A45,'Payroll'!$A$5:$A$2005,"&gt;="&amp;ReportFrom,'Payroll'!$A$5:$A$2005,"&lt;="&amp;ReportTo))</f>
        <v/>
      </c>
      <c r="T45" s="25">
        <f>IF($A45="",0,SUMIFS('Payroll'!$K$5:$K$2005,'Payroll'!$R$5:$R$2005,$A45,'Payroll'!$A$5:$A$2005,"&gt;="&amp;ReportFrom,'Payroll'!$A$5:$A$2005,"&lt;="&amp;ReportTo)+SUMIFS('Payroll'!$P$5:$P$2005,'Payroll'!$S$5:$S$2005,$A45,'Payroll'!$A$5:$A$2005,"&gt;="&amp;ReportFrom,'Payroll'!$A$5:$A$2005,"&lt;="&amp;ReportTo))</f>
        <v/>
      </c>
      <c r="U45" s="25">
        <f>IF($A45="",0,(SUMIFS('Receipt Vouchers'!$F$5:$F$2005,'Receipt Vouchers'!$O$5:$O$2005,$A45,'Receipt Vouchers'!$A$5:$A$2005,"&lt;"&amp;ReportFrom)+SUMIFS('Receipt Vouchers'!$J$5:$J$2005,'Receipt Vouchers'!$Q$5:$Q$2005,$A45,'Receipt Vouchers'!$A$5:$A$2005,"&lt;"&amp;ReportFrom))-(SUMIFS('Receipt Vouchers'!$N$5:$N$2005,'Receipt Vouchers'!$P$5:$P$2005,$A45,'Receipt Vouchers'!$A$5:$A$2005,"&lt;"&amp;ReportFrom)+SUMIFS('Receipt Vouchers'!$M$5:$M$2005,'Receipt Vouchers'!$R$5:$R$2005,$A45,'Receipt Vouchers'!$A$5:$A$2005,"&lt;"&amp;ReportFrom)))</f>
        <v/>
      </c>
      <c r="V45" s="25">
        <f>IF($A45="",0,SUMIFS('Receipt Vouchers'!$F$5:$F$2005,'Receipt Vouchers'!$O$5:$O$2005,$A45,'Receipt Vouchers'!$A$5:$A$2005,"&gt;="&amp;ReportFrom,'Receipt Vouchers'!$A$5:$A$2005,"&lt;="&amp;ReportTo)+SUMIFS('Receipt Vouchers'!$J$5:$J$2005,'Receipt Vouchers'!$Q$5:$Q$2005,$A45,'Receipt Vouchers'!$A$5:$A$2005,"&gt;="&amp;ReportFrom,'Receipt Vouchers'!$A$5:$A$2005,"&lt;="&amp;ReportTo))</f>
        <v/>
      </c>
      <c r="W45" s="25">
        <f>IF($A45="",0,SUMIFS('Receipt Vouchers'!$N$5:$N$2005,'Receipt Vouchers'!$P$5:$P$2005,$A45,'Receipt Vouchers'!$A$5:$A$2005,"&gt;="&amp;ReportFrom,'Receipt Vouchers'!$A$5:$A$2005,"&lt;="&amp;ReportTo)+SUMIFS('Receipt Vouchers'!$M$5:$M$2005,'Receipt Vouchers'!$R$5:$R$2005,$A45,'Receipt Vouchers'!$A$5:$A$2005,"&gt;="&amp;ReportFrom,'Receipt Vouchers'!$A$5:$A$2005,"&lt;="&amp;ReportTo))</f>
        <v/>
      </c>
      <c r="X45" s="25">
        <f>IF($A45="",0,(SUMIFS('Sales Invoices'!$O$5:$O$2005,'Sales Invoices'!$P$5:$P$2005,$A45,'Sales Invoices'!$B$5:$B$2005,"&lt;"&amp;ReportFrom)+SUMIFS('Sales Invoices'!$N$5:$N$2005,'Sales Invoices'!$R$5:$R$2005,$A45,'Sales Invoices'!$B$5:$B$2005,"&lt;"&amp;ReportFrom))-(SUMIFS('Sales Invoices'!$L$5:$L$2005,'Sales Invoices'!$Q$5:$Q$2005,$A45,'Sales Invoices'!$B$5:$B$2005,"&lt;"&amp;ReportFrom)+SUMIFS('Sales Invoices'!$M$5:$M$2005,'Sales Invoices'!$S$5:$S$2005,$A45,'Sales Invoices'!$B$5:$B$2005,"&lt;"&amp;ReportFrom)))</f>
        <v/>
      </c>
      <c r="Y45" s="25">
        <f>IF($A45="",0,SUMIFS('Sales Invoices'!$O$5:$O$2005,'Sales Invoices'!$P$5:$P$2005,$A45,'Sales Invoices'!$B$5:$B$2005,"&gt;="&amp;ReportFrom,'Sales Invoices'!$B$5:$B$2005,"&lt;="&amp;ReportTo)+SUMIFS('Sales Invoices'!$N$5:$N$2005,'Sales Invoices'!$R$5:$R$2005,$A45,'Sales Invoices'!$B$5:$B$2005,"&gt;="&amp;ReportFrom,'Sales Invoices'!$B$5:$B$2005,"&lt;="&amp;ReportTo))</f>
        <v/>
      </c>
      <c r="Z45" s="25">
        <f>IF($A45="",0,SUMIFS('Sales Invoices'!$L$5:$L$2005,'Sales Invoices'!$Q$5:$Q$2005,$A45,'Sales Invoices'!$B$5:$B$2005,"&gt;="&amp;ReportFrom,'Sales Invoices'!$B$5:$B$2005,"&lt;="&amp;ReportTo)+SUMIFS('Sales Invoices'!$M$5:$M$2005,'Sales Invoices'!$S$5:$S$2005,$A45,'Sales Invoices'!$B$5:$B$2005,"&gt;="&amp;ReportFrom,'Sales Invoices'!$B$5:$B$2005,"&lt;="&amp;ReportTo))</f>
        <v/>
      </c>
      <c r="AA45" s="25">
        <f>IF($A45="",0,(SUMIFS('Payment Vouchers'!$D$5:$D$2005,'Payment Vouchers'!$J$5:$J$2005,$A45,'Payment Vouchers'!$A$5:$A$2005,"&lt;"&amp;ReportFrom))-(SUMIFS('Payment Vouchers'!$D$5:$D$2005,'Payment Vouchers'!$K$5:$K$2005,$A45,'Payment Vouchers'!$A$5:$A$2005,"&lt;"&amp;ReportFrom)))</f>
        <v/>
      </c>
      <c r="AB45" s="25">
        <f>IF($A45="",0,SUMIFS('Payment Vouchers'!$D$5:$D$2005,'Payment Vouchers'!$J$5:$J$2005,$A45,'Payment Vouchers'!$A$5:$A$2005,"&gt;="&amp;ReportFrom,'Payment Vouchers'!$A$5:$A$2005,"&lt;="&amp;ReportTo))</f>
        <v/>
      </c>
      <c r="AC45" s="25">
        <f>IF($A45="",0,SUMIFS('Payment Vouchers'!$D$5:$D$2005,'Payment Vouchers'!$K$5:$K$2005,$A45,'Payment Vouchers'!$A$5:$A$2005,"&gt;="&amp;ReportFrom,'Payment Vouchers'!$A$5:$A$2005,"&lt;="&amp;ReportTo))</f>
        <v/>
      </c>
      <c r="AD45" s="25">
        <f>IF($A45="",0,(SUMIFS('Partner Transactions'!$D$5:$D$2005,'Partner Transactions'!$L$5:$L$2005,$A45,'Partner Transactions'!$A$5:$A$2005,"&lt;"&amp;ReportFrom))-(SUMIFS('Partner Transactions'!$D$5:$D$2005,'Partner Transactions'!$M$5:$M$2005,$A45,'Partner Transactions'!$A$5:$A$2005,"&lt;"&amp;ReportFrom)))</f>
        <v/>
      </c>
      <c r="AE45" s="25">
        <f>IF($A45="",0,SUMIFS('Partner Transactions'!$D$5:$D$2005,'Partner Transactions'!$L$5:$L$2005,$A45,'Partner Transactions'!$A$5:$A$2005,"&gt;="&amp;ReportFrom,'Partner Transactions'!$A$5:$A$2005,"&lt;="&amp;ReportTo))</f>
        <v/>
      </c>
      <c r="AF45" s="25">
        <f>IF($A45="",0,SUMIFS('Partner Transactions'!$D$5:$D$2005,'Partner Transactions'!$M$5:$M$2005,$A45,'Partner Transactions'!$A$5:$A$2005,"&gt;="&amp;ReportFrom,'Partner Transactions'!$A$5:$A$2005,"&lt;="&amp;ReportTo))</f>
        <v/>
      </c>
      <c r="AG45" s="25">
        <f>IF($A45="",0,(SUMIFS('Stock Moves'!$S$5:$S$2005,'Stock Moves'!$AD$5:$AD$2005,$A45,'Stock Moves'!$A$5:$A$2005,"&lt;"&amp;ReportFrom)+SUMIFS('Stock Moves'!$T$5:$T$2005,'Stock Moves'!$V$5:$V$2005,$A45,'Stock Moves'!$A$5:$A$2005,"&lt;"&amp;ReportFrom))-(SUMIFS('Stock Moves'!$AF$5:$AF$2005,'Stock Moves'!$AE$5:$AE$2005,$A45,'Stock Moves'!$A$5:$A$2005,"&lt;"&amp;ReportFrom)+SUMIFS('Stock Moves'!$AC$5:$AC$2005,'Stock Moves'!$X$5:$X$2005,$A45,'Stock Moves'!$A$5:$A$2005,"&lt;"&amp;ReportFrom)+SUMIFS('Stock Moves'!$U$5:$U$2005,'Stock Moves'!$W$5:$W$2005,$A45,'Stock Moves'!$A$5:$A$2005,"&lt;"&amp;ReportFrom)))</f>
        <v/>
      </c>
      <c r="AH45" s="25">
        <f>IF($A45="",0,SUMIFS('Stock Moves'!$S$5:$S$2005,'Stock Moves'!$AD$5:$AD$2005,$A45,'Stock Moves'!$A$5:$A$2005,"&gt;="&amp;ReportFrom,'Stock Moves'!$A$5:$A$2005,"&lt;="&amp;ReportTo)+SUMIFS('Stock Moves'!$T$5:$T$2005,'Stock Moves'!$V$5:$V$2005,$A45,'Stock Moves'!$A$5:$A$2005,"&gt;="&amp;ReportFrom,'Stock Moves'!$A$5:$A$2005,"&lt;="&amp;ReportTo))</f>
        <v/>
      </c>
      <c r="AI45" s="25">
        <f>IF($A45="",0,SUMIFS('Stock Moves'!$AF$5:$AF$2005,'Stock Moves'!$AE$5:$AE$2005,$A45,'Stock Moves'!$A$5:$A$2005,"&gt;="&amp;ReportFrom,'Stock Moves'!$A$5:$A$2005,"&lt;="&amp;ReportTo)+SUMIFS('Stock Moves'!$AC$5:$AC$2005,'Stock Moves'!$X$5:$X$2005,$A45,'Stock Moves'!$A$5:$A$2005,"&gt;="&amp;ReportFrom,'Stock Moves'!$A$5:$A$2005,"&lt;="&amp;ReportTo)+SUMIFS('Stock Moves'!$U$5:$U$2005,'Stock Moves'!$W$5:$W$2005,$A45,'Stock Moves'!$A$5:$A$2005,"&gt;="&amp;ReportFrom,'Stock Moves'!$A$5:$A$2005,"&lt;="&amp;ReportTo))</f>
        <v/>
      </c>
      <c r="AJ45" s="25">
        <f>IF($A45="",0,(SUMIFS('Journal Vouchers'!$I$5:$I$2005,'Journal Vouchers'!$H$5:$H$2005,$A45,'Journal Vouchers'!$B$5:$B$2005,"&lt;"&amp;ReportFrom))-(SUMIFS('Journal Vouchers'!$J$5:$J$2005,'Journal Vouchers'!$H$5:$H$2005,$A45,'Journal Vouchers'!$B$5:$B$2005,"&lt;"&amp;ReportFrom)))</f>
        <v/>
      </c>
      <c r="AK45" s="25">
        <f>IF($A45="",0,SUMIFS('Journal Vouchers'!$I$5:$I$2005,'Journal Vouchers'!$H$5:$H$2005,$A45,'Journal Vouchers'!$B$5:$B$2005,"&gt;="&amp;ReportFrom,'Journal Vouchers'!$B$5:$B$2005,"&lt;="&amp;ReportTo))</f>
        <v/>
      </c>
      <c r="AL45" s="25">
        <f>IF($A45="",0,SUMIFS('Journal Vouchers'!$J$5:$J$2005,'Journal Vouchers'!$H$5:$H$2005,$A45,'Journal Vouchers'!$B$5:$B$2005,"&gt;="&amp;ReportFrom,'Journal Vouchers'!$B$5:$B$2005,"&lt;="&amp;ReportTo))</f>
        <v/>
      </c>
    </row>
    <row r="46">
      <c r="A46" s="25">
        <f>IF('Chart of Accounts'!A46="","",'Chart of Accounts'!A46&amp;"")</f>
        <v/>
      </c>
      <c r="B46" s="25">
        <f>IF(A46="","",'Chart of Accounts'!B46)</f>
        <v/>
      </c>
      <c r="C46" s="25">
        <f>IF(A46="","",'Chart of Accounts'!C46)</f>
        <v/>
      </c>
      <c r="D46" s="25">
        <f>IF(A46="","",'Chart of Accounts'!D46)</f>
        <v/>
      </c>
      <c r="E46" s="26">
        <f>L46+O46+R46+U46+X46+AA46+AD46+AG46+AJ46</f>
        <v/>
      </c>
      <c r="F46" s="26">
        <f>M46+P46+S46+V46+Y46+AB46+AE46+AH46+AK46</f>
        <v/>
      </c>
      <c r="G46" s="26">
        <f>N46+Q46+T46+W46+Z46+AC46+AF46+AI46+AL46</f>
        <v/>
      </c>
      <c r="H46" s="26">
        <f>E46+F46-G46</f>
        <v/>
      </c>
      <c r="I46" s="26">
        <f>MAX(H46,0)</f>
        <v/>
      </c>
      <c r="J46" s="26">
        <f>MAX(-H46,0)</f>
        <v/>
      </c>
      <c r="L46" s="25">
        <f>IF($A46="",0,(SUMIFS('Direct Costs'!$R$5:$R$2005,'Direct Costs'!$V$5:$V$2005,$A46,'Direct Costs'!$A$5:$A$2005,"&lt;"&amp;ReportFrom)+SUMIFS('Direct Costs'!$S$5:$S$2005,'Direct Costs'!$Y$5:$Y$2005,$A46,'Direct Costs'!$A$5:$A$2005,"&lt;"&amp;ReportFrom))-(SUMIFS('Direct Costs'!$L$5:$L$2005,'Direct Costs'!$W$5:$W$2005,$A46,'Direct Costs'!$A$5:$A$2005,"&lt;"&amp;ReportFrom)+SUMIFS('Direct Costs'!$U$5:$U$2005,'Direct Costs'!$X$5:$X$2005,$A46,'Direct Costs'!$A$5:$A$2005,"&lt;"&amp;ReportFrom)+SUMIFS('Direct Costs'!$T$5:$T$2005,'Direct Costs'!$Z$5:$Z$2005,$A46,'Direct Costs'!$A$5:$A$2005,"&lt;"&amp;ReportFrom)))</f>
        <v/>
      </c>
      <c r="M46" s="25">
        <f>IF($A46="",0,SUMIFS('Direct Costs'!$R$5:$R$2005,'Direct Costs'!$V$5:$V$2005,$A46,'Direct Costs'!$A$5:$A$2005,"&gt;="&amp;ReportFrom,'Direct Costs'!$A$5:$A$2005,"&lt;="&amp;ReportTo)+SUMIFS('Direct Costs'!$S$5:$S$2005,'Direct Costs'!$Y$5:$Y$2005,$A46,'Direct Costs'!$A$5:$A$2005,"&gt;="&amp;ReportFrom,'Direct Costs'!$A$5:$A$2005,"&lt;="&amp;ReportTo))</f>
        <v/>
      </c>
      <c r="N46" s="25">
        <f>IF($A46="",0,SUMIFS('Direct Costs'!$L$5:$L$2005,'Direct Costs'!$W$5:$W$2005,$A46,'Direct Costs'!$A$5:$A$2005,"&gt;="&amp;ReportFrom,'Direct Costs'!$A$5:$A$2005,"&lt;="&amp;ReportTo)+SUMIFS('Direct Costs'!$U$5:$U$2005,'Direct Costs'!$X$5:$X$2005,$A46,'Direct Costs'!$A$5:$A$2005,"&gt;="&amp;ReportFrom,'Direct Costs'!$A$5:$A$2005,"&lt;="&amp;ReportTo)+SUMIFS('Direct Costs'!$T$5:$T$2005,'Direct Costs'!$Z$5:$Z$2005,$A46,'Direct Costs'!$A$5:$A$2005,"&gt;="&amp;ReportFrom,'Direct Costs'!$A$5:$A$2005,"&lt;="&amp;ReportTo))</f>
        <v/>
      </c>
      <c r="O46" s="25">
        <f>IF($A46="",0,(SUMIFS('Operating Expenses'!$F$5:$F$2005,'Operating Expenses'!$Q$5:$Q$2005,$A46,'Operating Expenses'!$A$5:$A$2005,"&lt;"&amp;ReportFrom)+SUMIFS('Operating Expenses'!$M$5:$M$2005,'Operating Expenses'!$T$5:$T$2005,$A46,'Operating Expenses'!$A$5:$A$2005,"&lt;"&amp;ReportFrom))-(SUMIFS('Operating Expenses'!$O$5:$O$2005,'Operating Expenses'!$R$5:$R$2005,$A46,'Operating Expenses'!$A$5:$A$2005,"&lt;"&amp;ReportFrom)+SUMIFS('Operating Expenses'!$P$5:$P$2005,'Operating Expenses'!$S$5:$S$2005,$A46,'Operating Expenses'!$A$5:$A$2005,"&lt;"&amp;ReportFrom)+SUMIFS('Operating Expenses'!$N$5:$N$2005,'Operating Expenses'!$U$5:$U$2005,$A46,'Operating Expenses'!$A$5:$A$2005,"&lt;"&amp;ReportFrom)))</f>
        <v/>
      </c>
      <c r="P46" s="25">
        <f>IF($A46="",0,SUMIFS('Operating Expenses'!$F$5:$F$2005,'Operating Expenses'!$Q$5:$Q$2005,$A46,'Operating Expenses'!$A$5:$A$2005,"&gt;="&amp;ReportFrom,'Operating Expenses'!$A$5:$A$2005,"&lt;="&amp;ReportTo)+SUMIFS('Operating Expenses'!$M$5:$M$2005,'Operating Expenses'!$T$5:$T$2005,$A46,'Operating Expenses'!$A$5:$A$2005,"&gt;="&amp;ReportFrom,'Operating Expenses'!$A$5:$A$2005,"&lt;="&amp;ReportTo))</f>
        <v/>
      </c>
      <c r="Q46" s="25">
        <f>IF($A46="",0,SUMIFS('Operating Expenses'!$O$5:$O$2005,'Operating Expenses'!$R$5:$R$2005,$A46,'Operating Expenses'!$A$5:$A$2005,"&gt;="&amp;ReportFrom,'Operating Expenses'!$A$5:$A$2005,"&lt;="&amp;ReportTo)+SUMIFS('Operating Expenses'!$P$5:$P$2005,'Operating Expenses'!$S$5:$S$2005,$A46,'Operating Expenses'!$A$5:$A$2005,"&gt;="&amp;ReportFrom,'Operating Expenses'!$A$5:$A$2005,"&lt;="&amp;ReportTo)+SUMIFS('Operating Expenses'!$N$5:$N$2005,'Operating Expenses'!$U$5:$U$2005,$A46,'Operating Expenses'!$A$5:$A$2005,"&gt;="&amp;ReportFrom,'Operating Expenses'!$A$5:$A$2005,"&lt;="&amp;ReportTo))</f>
        <v/>
      </c>
      <c r="R46" s="25">
        <f>IF($A46="",0,(SUMIFS('Payroll'!$O$5:$O$2005,'Payroll'!$Q$5:$Q$2005,$A46,'Payroll'!$A$5:$A$2005,"&lt;"&amp;ReportFrom))-(SUMIFS('Payroll'!$K$5:$K$2005,'Payroll'!$R$5:$R$2005,$A46,'Payroll'!$A$5:$A$2005,"&lt;"&amp;ReportFrom)+SUMIFS('Payroll'!$P$5:$P$2005,'Payroll'!$S$5:$S$2005,$A46,'Payroll'!$A$5:$A$2005,"&lt;"&amp;ReportFrom)))</f>
        <v/>
      </c>
      <c r="S46" s="25">
        <f>IF($A46="",0,SUMIFS('Payroll'!$O$5:$O$2005,'Payroll'!$Q$5:$Q$2005,$A46,'Payroll'!$A$5:$A$2005,"&gt;="&amp;ReportFrom,'Payroll'!$A$5:$A$2005,"&lt;="&amp;ReportTo))</f>
        <v/>
      </c>
      <c r="T46" s="25">
        <f>IF($A46="",0,SUMIFS('Payroll'!$K$5:$K$2005,'Payroll'!$R$5:$R$2005,$A46,'Payroll'!$A$5:$A$2005,"&gt;="&amp;ReportFrom,'Payroll'!$A$5:$A$2005,"&lt;="&amp;ReportTo)+SUMIFS('Payroll'!$P$5:$P$2005,'Payroll'!$S$5:$S$2005,$A46,'Payroll'!$A$5:$A$2005,"&gt;="&amp;ReportFrom,'Payroll'!$A$5:$A$2005,"&lt;="&amp;ReportTo))</f>
        <v/>
      </c>
      <c r="U46" s="25">
        <f>IF($A46="",0,(SUMIFS('Receipt Vouchers'!$F$5:$F$2005,'Receipt Vouchers'!$O$5:$O$2005,$A46,'Receipt Vouchers'!$A$5:$A$2005,"&lt;"&amp;ReportFrom)+SUMIFS('Receipt Vouchers'!$J$5:$J$2005,'Receipt Vouchers'!$Q$5:$Q$2005,$A46,'Receipt Vouchers'!$A$5:$A$2005,"&lt;"&amp;ReportFrom))-(SUMIFS('Receipt Vouchers'!$N$5:$N$2005,'Receipt Vouchers'!$P$5:$P$2005,$A46,'Receipt Vouchers'!$A$5:$A$2005,"&lt;"&amp;ReportFrom)+SUMIFS('Receipt Vouchers'!$M$5:$M$2005,'Receipt Vouchers'!$R$5:$R$2005,$A46,'Receipt Vouchers'!$A$5:$A$2005,"&lt;"&amp;ReportFrom)))</f>
        <v/>
      </c>
      <c r="V46" s="25">
        <f>IF($A46="",0,SUMIFS('Receipt Vouchers'!$F$5:$F$2005,'Receipt Vouchers'!$O$5:$O$2005,$A46,'Receipt Vouchers'!$A$5:$A$2005,"&gt;="&amp;ReportFrom,'Receipt Vouchers'!$A$5:$A$2005,"&lt;="&amp;ReportTo)+SUMIFS('Receipt Vouchers'!$J$5:$J$2005,'Receipt Vouchers'!$Q$5:$Q$2005,$A46,'Receipt Vouchers'!$A$5:$A$2005,"&gt;="&amp;ReportFrom,'Receipt Vouchers'!$A$5:$A$2005,"&lt;="&amp;ReportTo))</f>
        <v/>
      </c>
      <c r="W46" s="25">
        <f>IF($A46="",0,SUMIFS('Receipt Vouchers'!$N$5:$N$2005,'Receipt Vouchers'!$P$5:$P$2005,$A46,'Receipt Vouchers'!$A$5:$A$2005,"&gt;="&amp;ReportFrom,'Receipt Vouchers'!$A$5:$A$2005,"&lt;="&amp;ReportTo)+SUMIFS('Receipt Vouchers'!$M$5:$M$2005,'Receipt Vouchers'!$R$5:$R$2005,$A46,'Receipt Vouchers'!$A$5:$A$2005,"&gt;="&amp;ReportFrom,'Receipt Vouchers'!$A$5:$A$2005,"&lt;="&amp;ReportTo))</f>
        <v/>
      </c>
      <c r="X46" s="25">
        <f>IF($A46="",0,(SUMIFS('Sales Invoices'!$O$5:$O$2005,'Sales Invoices'!$P$5:$P$2005,$A46,'Sales Invoices'!$B$5:$B$2005,"&lt;"&amp;ReportFrom)+SUMIFS('Sales Invoices'!$N$5:$N$2005,'Sales Invoices'!$R$5:$R$2005,$A46,'Sales Invoices'!$B$5:$B$2005,"&lt;"&amp;ReportFrom))-(SUMIFS('Sales Invoices'!$L$5:$L$2005,'Sales Invoices'!$Q$5:$Q$2005,$A46,'Sales Invoices'!$B$5:$B$2005,"&lt;"&amp;ReportFrom)+SUMIFS('Sales Invoices'!$M$5:$M$2005,'Sales Invoices'!$S$5:$S$2005,$A46,'Sales Invoices'!$B$5:$B$2005,"&lt;"&amp;ReportFrom)))</f>
        <v/>
      </c>
      <c r="Y46" s="25">
        <f>IF($A46="",0,SUMIFS('Sales Invoices'!$O$5:$O$2005,'Sales Invoices'!$P$5:$P$2005,$A46,'Sales Invoices'!$B$5:$B$2005,"&gt;="&amp;ReportFrom,'Sales Invoices'!$B$5:$B$2005,"&lt;="&amp;ReportTo)+SUMIFS('Sales Invoices'!$N$5:$N$2005,'Sales Invoices'!$R$5:$R$2005,$A46,'Sales Invoices'!$B$5:$B$2005,"&gt;="&amp;ReportFrom,'Sales Invoices'!$B$5:$B$2005,"&lt;="&amp;ReportTo))</f>
        <v/>
      </c>
      <c r="Z46" s="25">
        <f>IF($A46="",0,SUMIFS('Sales Invoices'!$L$5:$L$2005,'Sales Invoices'!$Q$5:$Q$2005,$A46,'Sales Invoices'!$B$5:$B$2005,"&gt;="&amp;ReportFrom,'Sales Invoices'!$B$5:$B$2005,"&lt;="&amp;ReportTo)+SUMIFS('Sales Invoices'!$M$5:$M$2005,'Sales Invoices'!$S$5:$S$2005,$A46,'Sales Invoices'!$B$5:$B$2005,"&gt;="&amp;ReportFrom,'Sales Invoices'!$B$5:$B$2005,"&lt;="&amp;ReportTo))</f>
        <v/>
      </c>
      <c r="AA46" s="25">
        <f>IF($A46="",0,(SUMIFS('Payment Vouchers'!$D$5:$D$2005,'Payment Vouchers'!$J$5:$J$2005,$A46,'Payment Vouchers'!$A$5:$A$2005,"&lt;"&amp;ReportFrom))-(SUMIFS('Payment Vouchers'!$D$5:$D$2005,'Payment Vouchers'!$K$5:$K$2005,$A46,'Payment Vouchers'!$A$5:$A$2005,"&lt;"&amp;ReportFrom)))</f>
        <v/>
      </c>
      <c r="AB46" s="25">
        <f>IF($A46="",0,SUMIFS('Payment Vouchers'!$D$5:$D$2005,'Payment Vouchers'!$J$5:$J$2005,$A46,'Payment Vouchers'!$A$5:$A$2005,"&gt;="&amp;ReportFrom,'Payment Vouchers'!$A$5:$A$2005,"&lt;="&amp;ReportTo))</f>
        <v/>
      </c>
      <c r="AC46" s="25">
        <f>IF($A46="",0,SUMIFS('Payment Vouchers'!$D$5:$D$2005,'Payment Vouchers'!$K$5:$K$2005,$A46,'Payment Vouchers'!$A$5:$A$2005,"&gt;="&amp;ReportFrom,'Payment Vouchers'!$A$5:$A$2005,"&lt;="&amp;ReportTo))</f>
        <v/>
      </c>
      <c r="AD46" s="25">
        <f>IF($A46="",0,(SUMIFS('Partner Transactions'!$D$5:$D$2005,'Partner Transactions'!$L$5:$L$2005,$A46,'Partner Transactions'!$A$5:$A$2005,"&lt;"&amp;ReportFrom))-(SUMIFS('Partner Transactions'!$D$5:$D$2005,'Partner Transactions'!$M$5:$M$2005,$A46,'Partner Transactions'!$A$5:$A$2005,"&lt;"&amp;ReportFrom)))</f>
        <v/>
      </c>
      <c r="AE46" s="25">
        <f>IF($A46="",0,SUMIFS('Partner Transactions'!$D$5:$D$2005,'Partner Transactions'!$L$5:$L$2005,$A46,'Partner Transactions'!$A$5:$A$2005,"&gt;="&amp;ReportFrom,'Partner Transactions'!$A$5:$A$2005,"&lt;="&amp;ReportTo))</f>
        <v/>
      </c>
      <c r="AF46" s="25">
        <f>IF($A46="",0,SUMIFS('Partner Transactions'!$D$5:$D$2005,'Partner Transactions'!$M$5:$M$2005,$A46,'Partner Transactions'!$A$5:$A$2005,"&gt;="&amp;ReportFrom,'Partner Transactions'!$A$5:$A$2005,"&lt;="&amp;ReportTo))</f>
        <v/>
      </c>
      <c r="AG46" s="25">
        <f>IF($A46="",0,(SUMIFS('Stock Moves'!$S$5:$S$2005,'Stock Moves'!$AD$5:$AD$2005,$A46,'Stock Moves'!$A$5:$A$2005,"&lt;"&amp;ReportFrom)+SUMIFS('Stock Moves'!$T$5:$T$2005,'Stock Moves'!$V$5:$V$2005,$A46,'Stock Moves'!$A$5:$A$2005,"&lt;"&amp;ReportFrom))-(SUMIFS('Stock Moves'!$AF$5:$AF$2005,'Stock Moves'!$AE$5:$AE$2005,$A46,'Stock Moves'!$A$5:$A$2005,"&lt;"&amp;ReportFrom)+SUMIFS('Stock Moves'!$AC$5:$AC$2005,'Stock Moves'!$X$5:$X$2005,$A46,'Stock Moves'!$A$5:$A$2005,"&lt;"&amp;ReportFrom)+SUMIFS('Stock Moves'!$U$5:$U$2005,'Stock Moves'!$W$5:$W$2005,$A46,'Stock Moves'!$A$5:$A$2005,"&lt;"&amp;ReportFrom)))</f>
        <v/>
      </c>
      <c r="AH46" s="25">
        <f>IF($A46="",0,SUMIFS('Stock Moves'!$S$5:$S$2005,'Stock Moves'!$AD$5:$AD$2005,$A46,'Stock Moves'!$A$5:$A$2005,"&gt;="&amp;ReportFrom,'Stock Moves'!$A$5:$A$2005,"&lt;="&amp;ReportTo)+SUMIFS('Stock Moves'!$T$5:$T$2005,'Stock Moves'!$V$5:$V$2005,$A46,'Stock Moves'!$A$5:$A$2005,"&gt;="&amp;ReportFrom,'Stock Moves'!$A$5:$A$2005,"&lt;="&amp;ReportTo))</f>
        <v/>
      </c>
      <c r="AI46" s="25">
        <f>IF($A46="",0,SUMIFS('Stock Moves'!$AF$5:$AF$2005,'Stock Moves'!$AE$5:$AE$2005,$A46,'Stock Moves'!$A$5:$A$2005,"&gt;="&amp;ReportFrom,'Stock Moves'!$A$5:$A$2005,"&lt;="&amp;ReportTo)+SUMIFS('Stock Moves'!$AC$5:$AC$2005,'Stock Moves'!$X$5:$X$2005,$A46,'Stock Moves'!$A$5:$A$2005,"&gt;="&amp;ReportFrom,'Stock Moves'!$A$5:$A$2005,"&lt;="&amp;ReportTo)+SUMIFS('Stock Moves'!$U$5:$U$2005,'Stock Moves'!$W$5:$W$2005,$A46,'Stock Moves'!$A$5:$A$2005,"&gt;="&amp;ReportFrom,'Stock Moves'!$A$5:$A$2005,"&lt;="&amp;ReportTo))</f>
        <v/>
      </c>
      <c r="AJ46" s="25">
        <f>IF($A46="",0,(SUMIFS('Journal Vouchers'!$I$5:$I$2005,'Journal Vouchers'!$H$5:$H$2005,$A46,'Journal Vouchers'!$B$5:$B$2005,"&lt;"&amp;ReportFrom))-(SUMIFS('Journal Vouchers'!$J$5:$J$2005,'Journal Vouchers'!$H$5:$H$2005,$A46,'Journal Vouchers'!$B$5:$B$2005,"&lt;"&amp;ReportFrom)))</f>
        <v/>
      </c>
      <c r="AK46" s="25">
        <f>IF($A46="",0,SUMIFS('Journal Vouchers'!$I$5:$I$2005,'Journal Vouchers'!$H$5:$H$2005,$A46,'Journal Vouchers'!$B$5:$B$2005,"&gt;="&amp;ReportFrom,'Journal Vouchers'!$B$5:$B$2005,"&lt;="&amp;ReportTo))</f>
        <v/>
      </c>
      <c r="AL46" s="25">
        <f>IF($A46="",0,SUMIFS('Journal Vouchers'!$J$5:$J$2005,'Journal Vouchers'!$H$5:$H$2005,$A46,'Journal Vouchers'!$B$5:$B$2005,"&gt;="&amp;ReportFrom,'Journal Vouchers'!$B$5:$B$2005,"&lt;="&amp;ReportTo))</f>
        <v/>
      </c>
    </row>
    <row r="47">
      <c r="A47" s="25">
        <f>IF('Chart of Accounts'!A47="","",'Chart of Accounts'!A47&amp;"")</f>
        <v/>
      </c>
      <c r="B47" s="25">
        <f>IF(A47="","",'Chart of Accounts'!B47)</f>
        <v/>
      </c>
      <c r="C47" s="25">
        <f>IF(A47="","",'Chart of Accounts'!C47)</f>
        <v/>
      </c>
      <c r="D47" s="25">
        <f>IF(A47="","",'Chart of Accounts'!D47)</f>
        <v/>
      </c>
      <c r="E47" s="26">
        <f>L47+O47+R47+U47+X47+AA47+AD47+AG47+AJ47</f>
        <v/>
      </c>
      <c r="F47" s="26">
        <f>M47+P47+S47+V47+Y47+AB47+AE47+AH47+AK47</f>
        <v/>
      </c>
      <c r="G47" s="26">
        <f>N47+Q47+T47+W47+Z47+AC47+AF47+AI47+AL47</f>
        <v/>
      </c>
      <c r="H47" s="26">
        <f>E47+F47-G47</f>
        <v/>
      </c>
      <c r="I47" s="26">
        <f>MAX(H47,0)</f>
        <v/>
      </c>
      <c r="J47" s="26">
        <f>MAX(-H47,0)</f>
        <v/>
      </c>
      <c r="L47" s="25">
        <f>IF($A47="",0,(SUMIFS('Direct Costs'!$R$5:$R$2005,'Direct Costs'!$V$5:$V$2005,$A47,'Direct Costs'!$A$5:$A$2005,"&lt;"&amp;ReportFrom)+SUMIFS('Direct Costs'!$S$5:$S$2005,'Direct Costs'!$Y$5:$Y$2005,$A47,'Direct Costs'!$A$5:$A$2005,"&lt;"&amp;ReportFrom))-(SUMIFS('Direct Costs'!$L$5:$L$2005,'Direct Costs'!$W$5:$W$2005,$A47,'Direct Costs'!$A$5:$A$2005,"&lt;"&amp;ReportFrom)+SUMIFS('Direct Costs'!$U$5:$U$2005,'Direct Costs'!$X$5:$X$2005,$A47,'Direct Costs'!$A$5:$A$2005,"&lt;"&amp;ReportFrom)+SUMIFS('Direct Costs'!$T$5:$T$2005,'Direct Costs'!$Z$5:$Z$2005,$A47,'Direct Costs'!$A$5:$A$2005,"&lt;"&amp;ReportFrom)))</f>
        <v/>
      </c>
      <c r="M47" s="25">
        <f>IF($A47="",0,SUMIFS('Direct Costs'!$R$5:$R$2005,'Direct Costs'!$V$5:$V$2005,$A47,'Direct Costs'!$A$5:$A$2005,"&gt;="&amp;ReportFrom,'Direct Costs'!$A$5:$A$2005,"&lt;="&amp;ReportTo)+SUMIFS('Direct Costs'!$S$5:$S$2005,'Direct Costs'!$Y$5:$Y$2005,$A47,'Direct Costs'!$A$5:$A$2005,"&gt;="&amp;ReportFrom,'Direct Costs'!$A$5:$A$2005,"&lt;="&amp;ReportTo))</f>
        <v/>
      </c>
      <c r="N47" s="25">
        <f>IF($A47="",0,SUMIFS('Direct Costs'!$L$5:$L$2005,'Direct Costs'!$W$5:$W$2005,$A47,'Direct Costs'!$A$5:$A$2005,"&gt;="&amp;ReportFrom,'Direct Costs'!$A$5:$A$2005,"&lt;="&amp;ReportTo)+SUMIFS('Direct Costs'!$U$5:$U$2005,'Direct Costs'!$X$5:$X$2005,$A47,'Direct Costs'!$A$5:$A$2005,"&gt;="&amp;ReportFrom,'Direct Costs'!$A$5:$A$2005,"&lt;="&amp;ReportTo)+SUMIFS('Direct Costs'!$T$5:$T$2005,'Direct Costs'!$Z$5:$Z$2005,$A47,'Direct Costs'!$A$5:$A$2005,"&gt;="&amp;ReportFrom,'Direct Costs'!$A$5:$A$2005,"&lt;="&amp;ReportTo))</f>
        <v/>
      </c>
      <c r="O47" s="25">
        <f>IF($A47="",0,(SUMIFS('Operating Expenses'!$F$5:$F$2005,'Operating Expenses'!$Q$5:$Q$2005,$A47,'Operating Expenses'!$A$5:$A$2005,"&lt;"&amp;ReportFrom)+SUMIFS('Operating Expenses'!$M$5:$M$2005,'Operating Expenses'!$T$5:$T$2005,$A47,'Operating Expenses'!$A$5:$A$2005,"&lt;"&amp;ReportFrom))-(SUMIFS('Operating Expenses'!$O$5:$O$2005,'Operating Expenses'!$R$5:$R$2005,$A47,'Operating Expenses'!$A$5:$A$2005,"&lt;"&amp;ReportFrom)+SUMIFS('Operating Expenses'!$P$5:$P$2005,'Operating Expenses'!$S$5:$S$2005,$A47,'Operating Expenses'!$A$5:$A$2005,"&lt;"&amp;ReportFrom)+SUMIFS('Operating Expenses'!$N$5:$N$2005,'Operating Expenses'!$U$5:$U$2005,$A47,'Operating Expenses'!$A$5:$A$2005,"&lt;"&amp;ReportFrom)))</f>
        <v/>
      </c>
      <c r="P47" s="25">
        <f>IF($A47="",0,SUMIFS('Operating Expenses'!$F$5:$F$2005,'Operating Expenses'!$Q$5:$Q$2005,$A47,'Operating Expenses'!$A$5:$A$2005,"&gt;="&amp;ReportFrom,'Operating Expenses'!$A$5:$A$2005,"&lt;="&amp;ReportTo)+SUMIFS('Operating Expenses'!$M$5:$M$2005,'Operating Expenses'!$T$5:$T$2005,$A47,'Operating Expenses'!$A$5:$A$2005,"&gt;="&amp;ReportFrom,'Operating Expenses'!$A$5:$A$2005,"&lt;="&amp;ReportTo))</f>
        <v/>
      </c>
      <c r="Q47" s="25">
        <f>IF($A47="",0,SUMIFS('Operating Expenses'!$O$5:$O$2005,'Operating Expenses'!$R$5:$R$2005,$A47,'Operating Expenses'!$A$5:$A$2005,"&gt;="&amp;ReportFrom,'Operating Expenses'!$A$5:$A$2005,"&lt;="&amp;ReportTo)+SUMIFS('Operating Expenses'!$P$5:$P$2005,'Operating Expenses'!$S$5:$S$2005,$A47,'Operating Expenses'!$A$5:$A$2005,"&gt;="&amp;ReportFrom,'Operating Expenses'!$A$5:$A$2005,"&lt;="&amp;ReportTo)+SUMIFS('Operating Expenses'!$N$5:$N$2005,'Operating Expenses'!$U$5:$U$2005,$A47,'Operating Expenses'!$A$5:$A$2005,"&gt;="&amp;ReportFrom,'Operating Expenses'!$A$5:$A$2005,"&lt;="&amp;ReportTo))</f>
        <v/>
      </c>
      <c r="R47" s="25">
        <f>IF($A47="",0,(SUMIFS('Payroll'!$O$5:$O$2005,'Payroll'!$Q$5:$Q$2005,$A47,'Payroll'!$A$5:$A$2005,"&lt;"&amp;ReportFrom))-(SUMIFS('Payroll'!$K$5:$K$2005,'Payroll'!$R$5:$R$2005,$A47,'Payroll'!$A$5:$A$2005,"&lt;"&amp;ReportFrom)+SUMIFS('Payroll'!$P$5:$P$2005,'Payroll'!$S$5:$S$2005,$A47,'Payroll'!$A$5:$A$2005,"&lt;"&amp;ReportFrom)))</f>
        <v/>
      </c>
      <c r="S47" s="25">
        <f>IF($A47="",0,SUMIFS('Payroll'!$O$5:$O$2005,'Payroll'!$Q$5:$Q$2005,$A47,'Payroll'!$A$5:$A$2005,"&gt;="&amp;ReportFrom,'Payroll'!$A$5:$A$2005,"&lt;="&amp;ReportTo))</f>
        <v/>
      </c>
      <c r="T47" s="25">
        <f>IF($A47="",0,SUMIFS('Payroll'!$K$5:$K$2005,'Payroll'!$R$5:$R$2005,$A47,'Payroll'!$A$5:$A$2005,"&gt;="&amp;ReportFrom,'Payroll'!$A$5:$A$2005,"&lt;="&amp;ReportTo)+SUMIFS('Payroll'!$P$5:$P$2005,'Payroll'!$S$5:$S$2005,$A47,'Payroll'!$A$5:$A$2005,"&gt;="&amp;ReportFrom,'Payroll'!$A$5:$A$2005,"&lt;="&amp;ReportTo))</f>
        <v/>
      </c>
      <c r="U47" s="25">
        <f>IF($A47="",0,(SUMIFS('Receipt Vouchers'!$F$5:$F$2005,'Receipt Vouchers'!$O$5:$O$2005,$A47,'Receipt Vouchers'!$A$5:$A$2005,"&lt;"&amp;ReportFrom)+SUMIFS('Receipt Vouchers'!$J$5:$J$2005,'Receipt Vouchers'!$Q$5:$Q$2005,$A47,'Receipt Vouchers'!$A$5:$A$2005,"&lt;"&amp;ReportFrom))-(SUMIFS('Receipt Vouchers'!$N$5:$N$2005,'Receipt Vouchers'!$P$5:$P$2005,$A47,'Receipt Vouchers'!$A$5:$A$2005,"&lt;"&amp;ReportFrom)+SUMIFS('Receipt Vouchers'!$M$5:$M$2005,'Receipt Vouchers'!$R$5:$R$2005,$A47,'Receipt Vouchers'!$A$5:$A$2005,"&lt;"&amp;ReportFrom)))</f>
        <v/>
      </c>
      <c r="V47" s="25">
        <f>IF($A47="",0,SUMIFS('Receipt Vouchers'!$F$5:$F$2005,'Receipt Vouchers'!$O$5:$O$2005,$A47,'Receipt Vouchers'!$A$5:$A$2005,"&gt;="&amp;ReportFrom,'Receipt Vouchers'!$A$5:$A$2005,"&lt;="&amp;ReportTo)+SUMIFS('Receipt Vouchers'!$J$5:$J$2005,'Receipt Vouchers'!$Q$5:$Q$2005,$A47,'Receipt Vouchers'!$A$5:$A$2005,"&gt;="&amp;ReportFrom,'Receipt Vouchers'!$A$5:$A$2005,"&lt;="&amp;ReportTo))</f>
        <v/>
      </c>
      <c r="W47" s="25">
        <f>IF($A47="",0,SUMIFS('Receipt Vouchers'!$N$5:$N$2005,'Receipt Vouchers'!$P$5:$P$2005,$A47,'Receipt Vouchers'!$A$5:$A$2005,"&gt;="&amp;ReportFrom,'Receipt Vouchers'!$A$5:$A$2005,"&lt;="&amp;ReportTo)+SUMIFS('Receipt Vouchers'!$M$5:$M$2005,'Receipt Vouchers'!$R$5:$R$2005,$A47,'Receipt Vouchers'!$A$5:$A$2005,"&gt;="&amp;ReportFrom,'Receipt Vouchers'!$A$5:$A$2005,"&lt;="&amp;ReportTo))</f>
        <v/>
      </c>
      <c r="X47" s="25">
        <f>IF($A47="",0,(SUMIFS('Sales Invoices'!$O$5:$O$2005,'Sales Invoices'!$P$5:$P$2005,$A47,'Sales Invoices'!$B$5:$B$2005,"&lt;"&amp;ReportFrom)+SUMIFS('Sales Invoices'!$N$5:$N$2005,'Sales Invoices'!$R$5:$R$2005,$A47,'Sales Invoices'!$B$5:$B$2005,"&lt;"&amp;ReportFrom))-(SUMIFS('Sales Invoices'!$L$5:$L$2005,'Sales Invoices'!$Q$5:$Q$2005,$A47,'Sales Invoices'!$B$5:$B$2005,"&lt;"&amp;ReportFrom)+SUMIFS('Sales Invoices'!$M$5:$M$2005,'Sales Invoices'!$S$5:$S$2005,$A47,'Sales Invoices'!$B$5:$B$2005,"&lt;"&amp;ReportFrom)))</f>
        <v/>
      </c>
      <c r="Y47" s="25">
        <f>IF($A47="",0,SUMIFS('Sales Invoices'!$O$5:$O$2005,'Sales Invoices'!$P$5:$P$2005,$A47,'Sales Invoices'!$B$5:$B$2005,"&gt;="&amp;ReportFrom,'Sales Invoices'!$B$5:$B$2005,"&lt;="&amp;ReportTo)+SUMIFS('Sales Invoices'!$N$5:$N$2005,'Sales Invoices'!$R$5:$R$2005,$A47,'Sales Invoices'!$B$5:$B$2005,"&gt;="&amp;ReportFrom,'Sales Invoices'!$B$5:$B$2005,"&lt;="&amp;ReportTo))</f>
        <v/>
      </c>
      <c r="Z47" s="25">
        <f>IF($A47="",0,SUMIFS('Sales Invoices'!$L$5:$L$2005,'Sales Invoices'!$Q$5:$Q$2005,$A47,'Sales Invoices'!$B$5:$B$2005,"&gt;="&amp;ReportFrom,'Sales Invoices'!$B$5:$B$2005,"&lt;="&amp;ReportTo)+SUMIFS('Sales Invoices'!$M$5:$M$2005,'Sales Invoices'!$S$5:$S$2005,$A47,'Sales Invoices'!$B$5:$B$2005,"&gt;="&amp;ReportFrom,'Sales Invoices'!$B$5:$B$2005,"&lt;="&amp;ReportTo))</f>
        <v/>
      </c>
      <c r="AA47" s="25">
        <f>IF($A47="",0,(SUMIFS('Payment Vouchers'!$D$5:$D$2005,'Payment Vouchers'!$J$5:$J$2005,$A47,'Payment Vouchers'!$A$5:$A$2005,"&lt;"&amp;ReportFrom))-(SUMIFS('Payment Vouchers'!$D$5:$D$2005,'Payment Vouchers'!$K$5:$K$2005,$A47,'Payment Vouchers'!$A$5:$A$2005,"&lt;"&amp;ReportFrom)))</f>
        <v/>
      </c>
      <c r="AB47" s="25">
        <f>IF($A47="",0,SUMIFS('Payment Vouchers'!$D$5:$D$2005,'Payment Vouchers'!$J$5:$J$2005,$A47,'Payment Vouchers'!$A$5:$A$2005,"&gt;="&amp;ReportFrom,'Payment Vouchers'!$A$5:$A$2005,"&lt;="&amp;ReportTo))</f>
        <v/>
      </c>
      <c r="AC47" s="25">
        <f>IF($A47="",0,SUMIFS('Payment Vouchers'!$D$5:$D$2005,'Payment Vouchers'!$K$5:$K$2005,$A47,'Payment Vouchers'!$A$5:$A$2005,"&gt;="&amp;ReportFrom,'Payment Vouchers'!$A$5:$A$2005,"&lt;="&amp;ReportTo))</f>
        <v/>
      </c>
      <c r="AD47" s="25">
        <f>IF($A47="",0,(SUMIFS('Partner Transactions'!$D$5:$D$2005,'Partner Transactions'!$L$5:$L$2005,$A47,'Partner Transactions'!$A$5:$A$2005,"&lt;"&amp;ReportFrom))-(SUMIFS('Partner Transactions'!$D$5:$D$2005,'Partner Transactions'!$M$5:$M$2005,$A47,'Partner Transactions'!$A$5:$A$2005,"&lt;"&amp;ReportFrom)))</f>
        <v/>
      </c>
      <c r="AE47" s="25">
        <f>IF($A47="",0,SUMIFS('Partner Transactions'!$D$5:$D$2005,'Partner Transactions'!$L$5:$L$2005,$A47,'Partner Transactions'!$A$5:$A$2005,"&gt;="&amp;ReportFrom,'Partner Transactions'!$A$5:$A$2005,"&lt;="&amp;ReportTo))</f>
        <v/>
      </c>
      <c r="AF47" s="25">
        <f>IF($A47="",0,SUMIFS('Partner Transactions'!$D$5:$D$2005,'Partner Transactions'!$M$5:$M$2005,$A47,'Partner Transactions'!$A$5:$A$2005,"&gt;="&amp;ReportFrom,'Partner Transactions'!$A$5:$A$2005,"&lt;="&amp;ReportTo))</f>
        <v/>
      </c>
      <c r="AG47" s="25">
        <f>IF($A47="",0,(SUMIFS('Stock Moves'!$S$5:$S$2005,'Stock Moves'!$AD$5:$AD$2005,$A47,'Stock Moves'!$A$5:$A$2005,"&lt;"&amp;ReportFrom)+SUMIFS('Stock Moves'!$T$5:$T$2005,'Stock Moves'!$V$5:$V$2005,$A47,'Stock Moves'!$A$5:$A$2005,"&lt;"&amp;ReportFrom))-(SUMIFS('Stock Moves'!$AF$5:$AF$2005,'Stock Moves'!$AE$5:$AE$2005,$A47,'Stock Moves'!$A$5:$A$2005,"&lt;"&amp;ReportFrom)+SUMIFS('Stock Moves'!$AC$5:$AC$2005,'Stock Moves'!$X$5:$X$2005,$A47,'Stock Moves'!$A$5:$A$2005,"&lt;"&amp;ReportFrom)+SUMIFS('Stock Moves'!$U$5:$U$2005,'Stock Moves'!$W$5:$W$2005,$A47,'Stock Moves'!$A$5:$A$2005,"&lt;"&amp;ReportFrom)))</f>
        <v/>
      </c>
      <c r="AH47" s="25">
        <f>IF($A47="",0,SUMIFS('Stock Moves'!$S$5:$S$2005,'Stock Moves'!$AD$5:$AD$2005,$A47,'Stock Moves'!$A$5:$A$2005,"&gt;="&amp;ReportFrom,'Stock Moves'!$A$5:$A$2005,"&lt;="&amp;ReportTo)+SUMIFS('Stock Moves'!$T$5:$T$2005,'Stock Moves'!$V$5:$V$2005,$A47,'Stock Moves'!$A$5:$A$2005,"&gt;="&amp;ReportFrom,'Stock Moves'!$A$5:$A$2005,"&lt;="&amp;ReportTo))</f>
        <v/>
      </c>
      <c r="AI47" s="25">
        <f>IF($A47="",0,SUMIFS('Stock Moves'!$AF$5:$AF$2005,'Stock Moves'!$AE$5:$AE$2005,$A47,'Stock Moves'!$A$5:$A$2005,"&gt;="&amp;ReportFrom,'Stock Moves'!$A$5:$A$2005,"&lt;="&amp;ReportTo)+SUMIFS('Stock Moves'!$AC$5:$AC$2005,'Stock Moves'!$X$5:$X$2005,$A47,'Stock Moves'!$A$5:$A$2005,"&gt;="&amp;ReportFrom,'Stock Moves'!$A$5:$A$2005,"&lt;="&amp;ReportTo)+SUMIFS('Stock Moves'!$U$5:$U$2005,'Stock Moves'!$W$5:$W$2005,$A47,'Stock Moves'!$A$5:$A$2005,"&gt;="&amp;ReportFrom,'Stock Moves'!$A$5:$A$2005,"&lt;="&amp;ReportTo))</f>
        <v/>
      </c>
      <c r="AJ47" s="25">
        <f>IF($A47="",0,(SUMIFS('Journal Vouchers'!$I$5:$I$2005,'Journal Vouchers'!$H$5:$H$2005,$A47,'Journal Vouchers'!$B$5:$B$2005,"&lt;"&amp;ReportFrom))-(SUMIFS('Journal Vouchers'!$J$5:$J$2005,'Journal Vouchers'!$H$5:$H$2005,$A47,'Journal Vouchers'!$B$5:$B$2005,"&lt;"&amp;ReportFrom)))</f>
        <v/>
      </c>
      <c r="AK47" s="25">
        <f>IF($A47="",0,SUMIFS('Journal Vouchers'!$I$5:$I$2005,'Journal Vouchers'!$H$5:$H$2005,$A47,'Journal Vouchers'!$B$5:$B$2005,"&gt;="&amp;ReportFrom,'Journal Vouchers'!$B$5:$B$2005,"&lt;="&amp;ReportTo))</f>
        <v/>
      </c>
      <c r="AL47" s="25">
        <f>IF($A47="",0,SUMIFS('Journal Vouchers'!$J$5:$J$2005,'Journal Vouchers'!$H$5:$H$2005,$A47,'Journal Vouchers'!$B$5:$B$2005,"&gt;="&amp;ReportFrom,'Journal Vouchers'!$B$5:$B$2005,"&lt;="&amp;ReportTo))</f>
        <v/>
      </c>
    </row>
    <row r="48">
      <c r="A48" s="25">
        <f>IF('Chart of Accounts'!A48="","",'Chart of Accounts'!A48&amp;"")</f>
        <v/>
      </c>
      <c r="B48" s="25">
        <f>IF(A48="","",'Chart of Accounts'!B48)</f>
        <v/>
      </c>
      <c r="C48" s="25">
        <f>IF(A48="","",'Chart of Accounts'!C48)</f>
        <v/>
      </c>
      <c r="D48" s="25">
        <f>IF(A48="","",'Chart of Accounts'!D48)</f>
        <v/>
      </c>
      <c r="E48" s="26">
        <f>L48+O48+R48+U48+X48+AA48+AD48+AG48+AJ48</f>
        <v/>
      </c>
      <c r="F48" s="26">
        <f>M48+P48+S48+V48+Y48+AB48+AE48+AH48+AK48</f>
        <v/>
      </c>
      <c r="G48" s="26">
        <f>N48+Q48+T48+W48+Z48+AC48+AF48+AI48+AL48</f>
        <v/>
      </c>
      <c r="H48" s="26">
        <f>E48+F48-G48</f>
        <v/>
      </c>
      <c r="I48" s="26">
        <f>MAX(H48,0)</f>
        <v/>
      </c>
      <c r="J48" s="26">
        <f>MAX(-H48,0)</f>
        <v/>
      </c>
      <c r="L48" s="25">
        <f>IF($A48="",0,(SUMIFS('Direct Costs'!$R$5:$R$2005,'Direct Costs'!$V$5:$V$2005,$A48,'Direct Costs'!$A$5:$A$2005,"&lt;"&amp;ReportFrom)+SUMIFS('Direct Costs'!$S$5:$S$2005,'Direct Costs'!$Y$5:$Y$2005,$A48,'Direct Costs'!$A$5:$A$2005,"&lt;"&amp;ReportFrom))-(SUMIFS('Direct Costs'!$L$5:$L$2005,'Direct Costs'!$W$5:$W$2005,$A48,'Direct Costs'!$A$5:$A$2005,"&lt;"&amp;ReportFrom)+SUMIFS('Direct Costs'!$U$5:$U$2005,'Direct Costs'!$X$5:$X$2005,$A48,'Direct Costs'!$A$5:$A$2005,"&lt;"&amp;ReportFrom)+SUMIFS('Direct Costs'!$T$5:$T$2005,'Direct Costs'!$Z$5:$Z$2005,$A48,'Direct Costs'!$A$5:$A$2005,"&lt;"&amp;ReportFrom)))</f>
        <v/>
      </c>
      <c r="M48" s="25">
        <f>IF($A48="",0,SUMIFS('Direct Costs'!$R$5:$R$2005,'Direct Costs'!$V$5:$V$2005,$A48,'Direct Costs'!$A$5:$A$2005,"&gt;="&amp;ReportFrom,'Direct Costs'!$A$5:$A$2005,"&lt;="&amp;ReportTo)+SUMIFS('Direct Costs'!$S$5:$S$2005,'Direct Costs'!$Y$5:$Y$2005,$A48,'Direct Costs'!$A$5:$A$2005,"&gt;="&amp;ReportFrom,'Direct Costs'!$A$5:$A$2005,"&lt;="&amp;ReportTo))</f>
        <v/>
      </c>
      <c r="N48" s="25">
        <f>IF($A48="",0,SUMIFS('Direct Costs'!$L$5:$L$2005,'Direct Costs'!$W$5:$W$2005,$A48,'Direct Costs'!$A$5:$A$2005,"&gt;="&amp;ReportFrom,'Direct Costs'!$A$5:$A$2005,"&lt;="&amp;ReportTo)+SUMIFS('Direct Costs'!$U$5:$U$2005,'Direct Costs'!$X$5:$X$2005,$A48,'Direct Costs'!$A$5:$A$2005,"&gt;="&amp;ReportFrom,'Direct Costs'!$A$5:$A$2005,"&lt;="&amp;ReportTo)+SUMIFS('Direct Costs'!$T$5:$T$2005,'Direct Costs'!$Z$5:$Z$2005,$A48,'Direct Costs'!$A$5:$A$2005,"&gt;="&amp;ReportFrom,'Direct Costs'!$A$5:$A$2005,"&lt;="&amp;ReportTo))</f>
        <v/>
      </c>
      <c r="O48" s="25">
        <f>IF($A48="",0,(SUMIFS('Operating Expenses'!$F$5:$F$2005,'Operating Expenses'!$Q$5:$Q$2005,$A48,'Operating Expenses'!$A$5:$A$2005,"&lt;"&amp;ReportFrom)+SUMIFS('Operating Expenses'!$M$5:$M$2005,'Operating Expenses'!$T$5:$T$2005,$A48,'Operating Expenses'!$A$5:$A$2005,"&lt;"&amp;ReportFrom))-(SUMIFS('Operating Expenses'!$O$5:$O$2005,'Operating Expenses'!$R$5:$R$2005,$A48,'Operating Expenses'!$A$5:$A$2005,"&lt;"&amp;ReportFrom)+SUMIFS('Operating Expenses'!$P$5:$P$2005,'Operating Expenses'!$S$5:$S$2005,$A48,'Operating Expenses'!$A$5:$A$2005,"&lt;"&amp;ReportFrom)+SUMIFS('Operating Expenses'!$N$5:$N$2005,'Operating Expenses'!$U$5:$U$2005,$A48,'Operating Expenses'!$A$5:$A$2005,"&lt;"&amp;ReportFrom)))</f>
        <v/>
      </c>
      <c r="P48" s="25">
        <f>IF($A48="",0,SUMIFS('Operating Expenses'!$F$5:$F$2005,'Operating Expenses'!$Q$5:$Q$2005,$A48,'Operating Expenses'!$A$5:$A$2005,"&gt;="&amp;ReportFrom,'Operating Expenses'!$A$5:$A$2005,"&lt;="&amp;ReportTo)+SUMIFS('Operating Expenses'!$M$5:$M$2005,'Operating Expenses'!$T$5:$T$2005,$A48,'Operating Expenses'!$A$5:$A$2005,"&gt;="&amp;ReportFrom,'Operating Expenses'!$A$5:$A$2005,"&lt;="&amp;ReportTo))</f>
        <v/>
      </c>
      <c r="Q48" s="25">
        <f>IF($A48="",0,SUMIFS('Operating Expenses'!$O$5:$O$2005,'Operating Expenses'!$R$5:$R$2005,$A48,'Operating Expenses'!$A$5:$A$2005,"&gt;="&amp;ReportFrom,'Operating Expenses'!$A$5:$A$2005,"&lt;="&amp;ReportTo)+SUMIFS('Operating Expenses'!$P$5:$P$2005,'Operating Expenses'!$S$5:$S$2005,$A48,'Operating Expenses'!$A$5:$A$2005,"&gt;="&amp;ReportFrom,'Operating Expenses'!$A$5:$A$2005,"&lt;="&amp;ReportTo)+SUMIFS('Operating Expenses'!$N$5:$N$2005,'Operating Expenses'!$U$5:$U$2005,$A48,'Operating Expenses'!$A$5:$A$2005,"&gt;="&amp;ReportFrom,'Operating Expenses'!$A$5:$A$2005,"&lt;="&amp;ReportTo))</f>
        <v/>
      </c>
      <c r="R48" s="25">
        <f>IF($A48="",0,(SUMIFS('Payroll'!$O$5:$O$2005,'Payroll'!$Q$5:$Q$2005,$A48,'Payroll'!$A$5:$A$2005,"&lt;"&amp;ReportFrom))-(SUMIFS('Payroll'!$K$5:$K$2005,'Payroll'!$R$5:$R$2005,$A48,'Payroll'!$A$5:$A$2005,"&lt;"&amp;ReportFrom)+SUMIFS('Payroll'!$P$5:$P$2005,'Payroll'!$S$5:$S$2005,$A48,'Payroll'!$A$5:$A$2005,"&lt;"&amp;ReportFrom)))</f>
        <v/>
      </c>
      <c r="S48" s="25">
        <f>IF($A48="",0,SUMIFS('Payroll'!$O$5:$O$2005,'Payroll'!$Q$5:$Q$2005,$A48,'Payroll'!$A$5:$A$2005,"&gt;="&amp;ReportFrom,'Payroll'!$A$5:$A$2005,"&lt;="&amp;ReportTo))</f>
        <v/>
      </c>
      <c r="T48" s="25">
        <f>IF($A48="",0,SUMIFS('Payroll'!$K$5:$K$2005,'Payroll'!$R$5:$R$2005,$A48,'Payroll'!$A$5:$A$2005,"&gt;="&amp;ReportFrom,'Payroll'!$A$5:$A$2005,"&lt;="&amp;ReportTo)+SUMIFS('Payroll'!$P$5:$P$2005,'Payroll'!$S$5:$S$2005,$A48,'Payroll'!$A$5:$A$2005,"&gt;="&amp;ReportFrom,'Payroll'!$A$5:$A$2005,"&lt;="&amp;ReportTo))</f>
        <v/>
      </c>
      <c r="U48" s="25">
        <f>IF($A48="",0,(SUMIFS('Receipt Vouchers'!$F$5:$F$2005,'Receipt Vouchers'!$O$5:$O$2005,$A48,'Receipt Vouchers'!$A$5:$A$2005,"&lt;"&amp;ReportFrom)+SUMIFS('Receipt Vouchers'!$J$5:$J$2005,'Receipt Vouchers'!$Q$5:$Q$2005,$A48,'Receipt Vouchers'!$A$5:$A$2005,"&lt;"&amp;ReportFrom))-(SUMIFS('Receipt Vouchers'!$N$5:$N$2005,'Receipt Vouchers'!$P$5:$P$2005,$A48,'Receipt Vouchers'!$A$5:$A$2005,"&lt;"&amp;ReportFrom)+SUMIFS('Receipt Vouchers'!$M$5:$M$2005,'Receipt Vouchers'!$R$5:$R$2005,$A48,'Receipt Vouchers'!$A$5:$A$2005,"&lt;"&amp;ReportFrom)))</f>
        <v/>
      </c>
      <c r="V48" s="25">
        <f>IF($A48="",0,SUMIFS('Receipt Vouchers'!$F$5:$F$2005,'Receipt Vouchers'!$O$5:$O$2005,$A48,'Receipt Vouchers'!$A$5:$A$2005,"&gt;="&amp;ReportFrom,'Receipt Vouchers'!$A$5:$A$2005,"&lt;="&amp;ReportTo)+SUMIFS('Receipt Vouchers'!$J$5:$J$2005,'Receipt Vouchers'!$Q$5:$Q$2005,$A48,'Receipt Vouchers'!$A$5:$A$2005,"&gt;="&amp;ReportFrom,'Receipt Vouchers'!$A$5:$A$2005,"&lt;="&amp;ReportTo))</f>
        <v/>
      </c>
      <c r="W48" s="25">
        <f>IF($A48="",0,SUMIFS('Receipt Vouchers'!$N$5:$N$2005,'Receipt Vouchers'!$P$5:$P$2005,$A48,'Receipt Vouchers'!$A$5:$A$2005,"&gt;="&amp;ReportFrom,'Receipt Vouchers'!$A$5:$A$2005,"&lt;="&amp;ReportTo)+SUMIFS('Receipt Vouchers'!$M$5:$M$2005,'Receipt Vouchers'!$R$5:$R$2005,$A48,'Receipt Vouchers'!$A$5:$A$2005,"&gt;="&amp;ReportFrom,'Receipt Vouchers'!$A$5:$A$2005,"&lt;="&amp;ReportTo))</f>
        <v/>
      </c>
      <c r="X48" s="25">
        <f>IF($A48="",0,(SUMIFS('Sales Invoices'!$O$5:$O$2005,'Sales Invoices'!$P$5:$P$2005,$A48,'Sales Invoices'!$B$5:$B$2005,"&lt;"&amp;ReportFrom)+SUMIFS('Sales Invoices'!$N$5:$N$2005,'Sales Invoices'!$R$5:$R$2005,$A48,'Sales Invoices'!$B$5:$B$2005,"&lt;"&amp;ReportFrom))-(SUMIFS('Sales Invoices'!$L$5:$L$2005,'Sales Invoices'!$Q$5:$Q$2005,$A48,'Sales Invoices'!$B$5:$B$2005,"&lt;"&amp;ReportFrom)+SUMIFS('Sales Invoices'!$M$5:$M$2005,'Sales Invoices'!$S$5:$S$2005,$A48,'Sales Invoices'!$B$5:$B$2005,"&lt;"&amp;ReportFrom)))</f>
        <v/>
      </c>
      <c r="Y48" s="25">
        <f>IF($A48="",0,SUMIFS('Sales Invoices'!$O$5:$O$2005,'Sales Invoices'!$P$5:$P$2005,$A48,'Sales Invoices'!$B$5:$B$2005,"&gt;="&amp;ReportFrom,'Sales Invoices'!$B$5:$B$2005,"&lt;="&amp;ReportTo)+SUMIFS('Sales Invoices'!$N$5:$N$2005,'Sales Invoices'!$R$5:$R$2005,$A48,'Sales Invoices'!$B$5:$B$2005,"&gt;="&amp;ReportFrom,'Sales Invoices'!$B$5:$B$2005,"&lt;="&amp;ReportTo))</f>
        <v/>
      </c>
      <c r="Z48" s="25">
        <f>IF($A48="",0,SUMIFS('Sales Invoices'!$L$5:$L$2005,'Sales Invoices'!$Q$5:$Q$2005,$A48,'Sales Invoices'!$B$5:$B$2005,"&gt;="&amp;ReportFrom,'Sales Invoices'!$B$5:$B$2005,"&lt;="&amp;ReportTo)+SUMIFS('Sales Invoices'!$M$5:$M$2005,'Sales Invoices'!$S$5:$S$2005,$A48,'Sales Invoices'!$B$5:$B$2005,"&gt;="&amp;ReportFrom,'Sales Invoices'!$B$5:$B$2005,"&lt;="&amp;ReportTo))</f>
        <v/>
      </c>
      <c r="AA48" s="25">
        <f>IF($A48="",0,(SUMIFS('Payment Vouchers'!$D$5:$D$2005,'Payment Vouchers'!$J$5:$J$2005,$A48,'Payment Vouchers'!$A$5:$A$2005,"&lt;"&amp;ReportFrom))-(SUMIFS('Payment Vouchers'!$D$5:$D$2005,'Payment Vouchers'!$K$5:$K$2005,$A48,'Payment Vouchers'!$A$5:$A$2005,"&lt;"&amp;ReportFrom)))</f>
        <v/>
      </c>
      <c r="AB48" s="25">
        <f>IF($A48="",0,SUMIFS('Payment Vouchers'!$D$5:$D$2005,'Payment Vouchers'!$J$5:$J$2005,$A48,'Payment Vouchers'!$A$5:$A$2005,"&gt;="&amp;ReportFrom,'Payment Vouchers'!$A$5:$A$2005,"&lt;="&amp;ReportTo))</f>
        <v/>
      </c>
      <c r="AC48" s="25">
        <f>IF($A48="",0,SUMIFS('Payment Vouchers'!$D$5:$D$2005,'Payment Vouchers'!$K$5:$K$2005,$A48,'Payment Vouchers'!$A$5:$A$2005,"&gt;="&amp;ReportFrom,'Payment Vouchers'!$A$5:$A$2005,"&lt;="&amp;ReportTo))</f>
        <v/>
      </c>
      <c r="AD48" s="25">
        <f>IF($A48="",0,(SUMIFS('Partner Transactions'!$D$5:$D$2005,'Partner Transactions'!$L$5:$L$2005,$A48,'Partner Transactions'!$A$5:$A$2005,"&lt;"&amp;ReportFrom))-(SUMIFS('Partner Transactions'!$D$5:$D$2005,'Partner Transactions'!$M$5:$M$2005,$A48,'Partner Transactions'!$A$5:$A$2005,"&lt;"&amp;ReportFrom)))</f>
        <v/>
      </c>
      <c r="AE48" s="25">
        <f>IF($A48="",0,SUMIFS('Partner Transactions'!$D$5:$D$2005,'Partner Transactions'!$L$5:$L$2005,$A48,'Partner Transactions'!$A$5:$A$2005,"&gt;="&amp;ReportFrom,'Partner Transactions'!$A$5:$A$2005,"&lt;="&amp;ReportTo))</f>
        <v/>
      </c>
      <c r="AF48" s="25">
        <f>IF($A48="",0,SUMIFS('Partner Transactions'!$D$5:$D$2005,'Partner Transactions'!$M$5:$M$2005,$A48,'Partner Transactions'!$A$5:$A$2005,"&gt;="&amp;ReportFrom,'Partner Transactions'!$A$5:$A$2005,"&lt;="&amp;ReportTo))</f>
        <v/>
      </c>
      <c r="AG48" s="25">
        <f>IF($A48="",0,(SUMIFS('Stock Moves'!$S$5:$S$2005,'Stock Moves'!$AD$5:$AD$2005,$A48,'Stock Moves'!$A$5:$A$2005,"&lt;"&amp;ReportFrom)+SUMIFS('Stock Moves'!$T$5:$T$2005,'Stock Moves'!$V$5:$V$2005,$A48,'Stock Moves'!$A$5:$A$2005,"&lt;"&amp;ReportFrom))-(SUMIFS('Stock Moves'!$AF$5:$AF$2005,'Stock Moves'!$AE$5:$AE$2005,$A48,'Stock Moves'!$A$5:$A$2005,"&lt;"&amp;ReportFrom)+SUMIFS('Stock Moves'!$AC$5:$AC$2005,'Stock Moves'!$X$5:$X$2005,$A48,'Stock Moves'!$A$5:$A$2005,"&lt;"&amp;ReportFrom)+SUMIFS('Stock Moves'!$U$5:$U$2005,'Stock Moves'!$W$5:$W$2005,$A48,'Stock Moves'!$A$5:$A$2005,"&lt;"&amp;ReportFrom)))</f>
        <v/>
      </c>
      <c r="AH48" s="25">
        <f>IF($A48="",0,SUMIFS('Stock Moves'!$S$5:$S$2005,'Stock Moves'!$AD$5:$AD$2005,$A48,'Stock Moves'!$A$5:$A$2005,"&gt;="&amp;ReportFrom,'Stock Moves'!$A$5:$A$2005,"&lt;="&amp;ReportTo)+SUMIFS('Stock Moves'!$T$5:$T$2005,'Stock Moves'!$V$5:$V$2005,$A48,'Stock Moves'!$A$5:$A$2005,"&gt;="&amp;ReportFrom,'Stock Moves'!$A$5:$A$2005,"&lt;="&amp;ReportTo))</f>
        <v/>
      </c>
      <c r="AI48" s="25">
        <f>IF($A48="",0,SUMIFS('Stock Moves'!$AF$5:$AF$2005,'Stock Moves'!$AE$5:$AE$2005,$A48,'Stock Moves'!$A$5:$A$2005,"&gt;="&amp;ReportFrom,'Stock Moves'!$A$5:$A$2005,"&lt;="&amp;ReportTo)+SUMIFS('Stock Moves'!$AC$5:$AC$2005,'Stock Moves'!$X$5:$X$2005,$A48,'Stock Moves'!$A$5:$A$2005,"&gt;="&amp;ReportFrom,'Stock Moves'!$A$5:$A$2005,"&lt;="&amp;ReportTo)+SUMIFS('Stock Moves'!$U$5:$U$2005,'Stock Moves'!$W$5:$W$2005,$A48,'Stock Moves'!$A$5:$A$2005,"&gt;="&amp;ReportFrom,'Stock Moves'!$A$5:$A$2005,"&lt;="&amp;ReportTo))</f>
        <v/>
      </c>
      <c r="AJ48" s="25">
        <f>IF($A48="",0,(SUMIFS('Journal Vouchers'!$I$5:$I$2005,'Journal Vouchers'!$H$5:$H$2005,$A48,'Journal Vouchers'!$B$5:$B$2005,"&lt;"&amp;ReportFrom))-(SUMIFS('Journal Vouchers'!$J$5:$J$2005,'Journal Vouchers'!$H$5:$H$2005,$A48,'Journal Vouchers'!$B$5:$B$2005,"&lt;"&amp;ReportFrom)))</f>
        <v/>
      </c>
      <c r="AK48" s="25">
        <f>IF($A48="",0,SUMIFS('Journal Vouchers'!$I$5:$I$2005,'Journal Vouchers'!$H$5:$H$2005,$A48,'Journal Vouchers'!$B$5:$B$2005,"&gt;="&amp;ReportFrom,'Journal Vouchers'!$B$5:$B$2005,"&lt;="&amp;ReportTo))</f>
        <v/>
      </c>
      <c r="AL48" s="25">
        <f>IF($A48="",0,SUMIFS('Journal Vouchers'!$J$5:$J$2005,'Journal Vouchers'!$H$5:$H$2005,$A48,'Journal Vouchers'!$B$5:$B$2005,"&gt;="&amp;ReportFrom,'Journal Vouchers'!$B$5:$B$2005,"&lt;="&amp;ReportTo))</f>
        <v/>
      </c>
    </row>
    <row r="49">
      <c r="A49" s="25">
        <f>IF('Chart of Accounts'!A49="","",'Chart of Accounts'!A49&amp;"")</f>
        <v/>
      </c>
      <c r="B49" s="25">
        <f>IF(A49="","",'Chart of Accounts'!B49)</f>
        <v/>
      </c>
      <c r="C49" s="25">
        <f>IF(A49="","",'Chart of Accounts'!C49)</f>
        <v/>
      </c>
      <c r="D49" s="25">
        <f>IF(A49="","",'Chart of Accounts'!D49)</f>
        <v/>
      </c>
      <c r="E49" s="26">
        <f>L49+O49+R49+U49+X49+AA49+AD49+AG49+AJ49</f>
        <v/>
      </c>
      <c r="F49" s="26">
        <f>M49+P49+S49+V49+Y49+AB49+AE49+AH49+AK49</f>
        <v/>
      </c>
      <c r="G49" s="26">
        <f>N49+Q49+T49+W49+Z49+AC49+AF49+AI49+AL49</f>
        <v/>
      </c>
      <c r="H49" s="26">
        <f>E49+F49-G49</f>
        <v/>
      </c>
      <c r="I49" s="26">
        <f>MAX(H49,0)</f>
        <v/>
      </c>
      <c r="J49" s="26">
        <f>MAX(-H49,0)</f>
        <v/>
      </c>
      <c r="L49" s="25">
        <f>IF($A49="",0,(SUMIFS('Direct Costs'!$R$5:$R$2005,'Direct Costs'!$V$5:$V$2005,$A49,'Direct Costs'!$A$5:$A$2005,"&lt;"&amp;ReportFrom)+SUMIFS('Direct Costs'!$S$5:$S$2005,'Direct Costs'!$Y$5:$Y$2005,$A49,'Direct Costs'!$A$5:$A$2005,"&lt;"&amp;ReportFrom))-(SUMIFS('Direct Costs'!$L$5:$L$2005,'Direct Costs'!$W$5:$W$2005,$A49,'Direct Costs'!$A$5:$A$2005,"&lt;"&amp;ReportFrom)+SUMIFS('Direct Costs'!$U$5:$U$2005,'Direct Costs'!$X$5:$X$2005,$A49,'Direct Costs'!$A$5:$A$2005,"&lt;"&amp;ReportFrom)+SUMIFS('Direct Costs'!$T$5:$T$2005,'Direct Costs'!$Z$5:$Z$2005,$A49,'Direct Costs'!$A$5:$A$2005,"&lt;"&amp;ReportFrom)))</f>
        <v/>
      </c>
      <c r="M49" s="25">
        <f>IF($A49="",0,SUMIFS('Direct Costs'!$R$5:$R$2005,'Direct Costs'!$V$5:$V$2005,$A49,'Direct Costs'!$A$5:$A$2005,"&gt;="&amp;ReportFrom,'Direct Costs'!$A$5:$A$2005,"&lt;="&amp;ReportTo)+SUMIFS('Direct Costs'!$S$5:$S$2005,'Direct Costs'!$Y$5:$Y$2005,$A49,'Direct Costs'!$A$5:$A$2005,"&gt;="&amp;ReportFrom,'Direct Costs'!$A$5:$A$2005,"&lt;="&amp;ReportTo))</f>
        <v/>
      </c>
      <c r="N49" s="25">
        <f>IF($A49="",0,SUMIFS('Direct Costs'!$L$5:$L$2005,'Direct Costs'!$W$5:$W$2005,$A49,'Direct Costs'!$A$5:$A$2005,"&gt;="&amp;ReportFrom,'Direct Costs'!$A$5:$A$2005,"&lt;="&amp;ReportTo)+SUMIFS('Direct Costs'!$U$5:$U$2005,'Direct Costs'!$X$5:$X$2005,$A49,'Direct Costs'!$A$5:$A$2005,"&gt;="&amp;ReportFrom,'Direct Costs'!$A$5:$A$2005,"&lt;="&amp;ReportTo)+SUMIFS('Direct Costs'!$T$5:$T$2005,'Direct Costs'!$Z$5:$Z$2005,$A49,'Direct Costs'!$A$5:$A$2005,"&gt;="&amp;ReportFrom,'Direct Costs'!$A$5:$A$2005,"&lt;="&amp;ReportTo))</f>
        <v/>
      </c>
      <c r="O49" s="25">
        <f>IF($A49="",0,(SUMIFS('Operating Expenses'!$F$5:$F$2005,'Operating Expenses'!$Q$5:$Q$2005,$A49,'Operating Expenses'!$A$5:$A$2005,"&lt;"&amp;ReportFrom)+SUMIFS('Operating Expenses'!$M$5:$M$2005,'Operating Expenses'!$T$5:$T$2005,$A49,'Operating Expenses'!$A$5:$A$2005,"&lt;"&amp;ReportFrom))-(SUMIFS('Operating Expenses'!$O$5:$O$2005,'Operating Expenses'!$R$5:$R$2005,$A49,'Operating Expenses'!$A$5:$A$2005,"&lt;"&amp;ReportFrom)+SUMIFS('Operating Expenses'!$P$5:$P$2005,'Operating Expenses'!$S$5:$S$2005,$A49,'Operating Expenses'!$A$5:$A$2005,"&lt;"&amp;ReportFrom)+SUMIFS('Operating Expenses'!$N$5:$N$2005,'Operating Expenses'!$U$5:$U$2005,$A49,'Operating Expenses'!$A$5:$A$2005,"&lt;"&amp;ReportFrom)))</f>
        <v/>
      </c>
      <c r="P49" s="25">
        <f>IF($A49="",0,SUMIFS('Operating Expenses'!$F$5:$F$2005,'Operating Expenses'!$Q$5:$Q$2005,$A49,'Operating Expenses'!$A$5:$A$2005,"&gt;="&amp;ReportFrom,'Operating Expenses'!$A$5:$A$2005,"&lt;="&amp;ReportTo)+SUMIFS('Operating Expenses'!$M$5:$M$2005,'Operating Expenses'!$T$5:$T$2005,$A49,'Operating Expenses'!$A$5:$A$2005,"&gt;="&amp;ReportFrom,'Operating Expenses'!$A$5:$A$2005,"&lt;="&amp;ReportTo))</f>
        <v/>
      </c>
      <c r="Q49" s="25">
        <f>IF($A49="",0,SUMIFS('Operating Expenses'!$O$5:$O$2005,'Operating Expenses'!$R$5:$R$2005,$A49,'Operating Expenses'!$A$5:$A$2005,"&gt;="&amp;ReportFrom,'Operating Expenses'!$A$5:$A$2005,"&lt;="&amp;ReportTo)+SUMIFS('Operating Expenses'!$P$5:$P$2005,'Operating Expenses'!$S$5:$S$2005,$A49,'Operating Expenses'!$A$5:$A$2005,"&gt;="&amp;ReportFrom,'Operating Expenses'!$A$5:$A$2005,"&lt;="&amp;ReportTo)+SUMIFS('Operating Expenses'!$N$5:$N$2005,'Operating Expenses'!$U$5:$U$2005,$A49,'Operating Expenses'!$A$5:$A$2005,"&gt;="&amp;ReportFrom,'Operating Expenses'!$A$5:$A$2005,"&lt;="&amp;ReportTo))</f>
        <v/>
      </c>
      <c r="R49" s="25">
        <f>IF($A49="",0,(SUMIFS('Payroll'!$O$5:$O$2005,'Payroll'!$Q$5:$Q$2005,$A49,'Payroll'!$A$5:$A$2005,"&lt;"&amp;ReportFrom))-(SUMIFS('Payroll'!$K$5:$K$2005,'Payroll'!$R$5:$R$2005,$A49,'Payroll'!$A$5:$A$2005,"&lt;"&amp;ReportFrom)+SUMIFS('Payroll'!$P$5:$P$2005,'Payroll'!$S$5:$S$2005,$A49,'Payroll'!$A$5:$A$2005,"&lt;"&amp;ReportFrom)))</f>
        <v/>
      </c>
      <c r="S49" s="25">
        <f>IF($A49="",0,SUMIFS('Payroll'!$O$5:$O$2005,'Payroll'!$Q$5:$Q$2005,$A49,'Payroll'!$A$5:$A$2005,"&gt;="&amp;ReportFrom,'Payroll'!$A$5:$A$2005,"&lt;="&amp;ReportTo))</f>
        <v/>
      </c>
      <c r="T49" s="25">
        <f>IF($A49="",0,SUMIFS('Payroll'!$K$5:$K$2005,'Payroll'!$R$5:$R$2005,$A49,'Payroll'!$A$5:$A$2005,"&gt;="&amp;ReportFrom,'Payroll'!$A$5:$A$2005,"&lt;="&amp;ReportTo)+SUMIFS('Payroll'!$P$5:$P$2005,'Payroll'!$S$5:$S$2005,$A49,'Payroll'!$A$5:$A$2005,"&gt;="&amp;ReportFrom,'Payroll'!$A$5:$A$2005,"&lt;="&amp;ReportTo))</f>
        <v/>
      </c>
      <c r="U49" s="25">
        <f>IF($A49="",0,(SUMIFS('Receipt Vouchers'!$F$5:$F$2005,'Receipt Vouchers'!$O$5:$O$2005,$A49,'Receipt Vouchers'!$A$5:$A$2005,"&lt;"&amp;ReportFrom)+SUMIFS('Receipt Vouchers'!$J$5:$J$2005,'Receipt Vouchers'!$Q$5:$Q$2005,$A49,'Receipt Vouchers'!$A$5:$A$2005,"&lt;"&amp;ReportFrom))-(SUMIFS('Receipt Vouchers'!$N$5:$N$2005,'Receipt Vouchers'!$P$5:$P$2005,$A49,'Receipt Vouchers'!$A$5:$A$2005,"&lt;"&amp;ReportFrom)+SUMIFS('Receipt Vouchers'!$M$5:$M$2005,'Receipt Vouchers'!$R$5:$R$2005,$A49,'Receipt Vouchers'!$A$5:$A$2005,"&lt;"&amp;ReportFrom)))</f>
        <v/>
      </c>
      <c r="V49" s="25">
        <f>IF($A49="",0,SUMIFS('Receipt Vouchers'!$F$5:$F$2005,'Receipt Vouchers'!$O$5:$O$2005,$A49,'Receipt Vouchers'!$A$5:$A$2005,"&gt;="&amp;ReportFrom,'Receipt Vouchers'!$A$5:$A$2005,"&lt;="&amp;ReportTo)+SUMIFS('Receipt Vouchers'!$J$5:$J$2005,'Receipt Vouchers'!$Q$5:$Q$2005,$A49,'Receipt Vouchers'!$A$5:$A$2005,"&gt;="&amp;ReportFrom,'Receipt Vouchers'!$A$5:$A$2005,"&lt;="&amp;ReportTo))</f>
        <v/>
      </c>
      <c r="W49" s="25">
        <f>IF($A49="",0,SUMIFS('Receipt Vouchers'!$N$5:$N$2005,'Receipt Vouchers'!$P$5:$P$2005,$A49,'Receipt Vouchers'!$A$5:$A$2005,"&gt;="&amp;ReportFrom,'Receipt Vouchers'!$A$5:$A$2005,"&lt;="&amp;ReportTo)+SUMIFS('Receipt Vouchers'!$M$5:$M$2005,'Receipt Vouchers'!$R$5:$R$2005,$A49,'Receipt Vouchers'!$A$5:$A$2005,"&gt;="&amp;ReportFrom,'Receipt Vouchers'!$A$5:$A$2005,"&lt;="&amp;ReportTo))</f>
        <v/>
      </c>
      <c r="X49" s="25">
        <f>IF($A49="",0,(SUMIFS('Sales Invoices'!$O$5:$O$2005,'Sales Invoices'!$P$5:$P$2005,$A49,'Sales Invoices'!$B$5:$B$2005,"&lt;"&amp;ReportFrom)+SUMIFS('Sales Invoices'!$N$5:$N$2005,'Sales Invoices'!$R$5:$R$2005,$A49,'Sales Invoices'!$B$5:$B$2005,"&lt;"&amp;ReportFrom))-(SUMIFS('Sales Invoices'!$L$5:$L$2005,'Sales Invoices'!$Q$5:$Q$2005,$A49,'Sales Invoices'!$B$5:$B$2005,"&lt;"&amp;ReportFrom)+SUMIFS('Sales Invoices'!$M$5:$M$2005,'Sales Invoices'!$S$5:$S$2005,$A49,'Sales Invoices'!$B$5:$B$2005,"&lt;"&amp;ReportFrom)))</f>
        <v/>
      </c>
      <c r="Y49" s="25">
        <f>IF($A49="",0,SUMIFS('Sales Invoices'!$O$5:$O$2005,'Sales Invoices'!$P$5:$P$2005,$A49,'Sales Invoices'!$B$5:$B$2005,"&gt;="&amp;ReportFrom,'Sales Invoices'!$B$5:$B$2005,"&lt;="&amp;ReportTo)+SUMIFS('Sales Invoices'!$N$5:$N$2005,'Sales Invoices'!$R$5:$R$2005,$A49,'Sales Invoices'!$B$5:$B$2005,"&gt;="&amp;ReportFrom,'Sales Invoices'!$B$5:$B$2005,"&lt;="&amp;ReportTo))</f>
        <v/>
      </c>
      <c r="Z49" s="25">
        <f>IF($A49="",0,SUMIFS('Sales Invoices'!$L$5:$L$2005,'Sales Invoices'!$Q$5:$Q$2005,$A49,'Sales Invoices'!$B$5:$B$2005,"&gt;="&amp;ReportFrom,'Sales Invoices'!$B$5:$B$2005,"&lt;="&amp;ReportTo)+SUMIFS('Sales Invoices'!$M$5:$M$2005,'Sales Invoices'!$S$5:$S$2005,$A49,'Sales Invoices'!$B$5:$B$2005,"&gt;="&amp;ReportFrom,'Sales Invoices'!$B$5:$B$2005,"&lt;="&amp;ReportTo))</f>
        <v/>
      </c>
      <c r="AA49" s="25">
        <f>IF($A49="",0,(SUMIFS('Payment Vouchers'!$D$5:$D$2005,'Payment Vouchers'!$J$5:$J$2005,$A49,'Payment Vouchers'!$A$5:$A$2005,"&lt;"&amp;ReportFrom))-(SUMIFS('Payment Vouchers'!$D$5:$D$2005,'Payment Vouchers'!$K$5:$K$2005,$A49,'Payment Vouchers'!$A$5:$A$2005,"&lt;"&amp;ReportFrom)))</f>
        <v/>
      </c>
      <c r="AB49" s="25">
        <f>IF($A49="",0,SUMIFS('Payment Vouchers'!$D$5:$D$2005,'Payment Vouchers'!$J$5:$J$2005,$A49,'Payment Vouchers'!$A$5:$A$2005,"&gt;="&amp;ReportFrom,'Payment Vouchers'!$A$5:$A$2005,"&lt;="&amp;ReportTo))</f>
        <v/>
      </c>
      <c r="AC49" s="25">
        <f>IF($A49="",0,SUMIFS('Payment Vouchers'!$D$5:$D$2005,'Payment Vouchers'!$K$5:$K$2005,$A49,'Payment Vouchers'!$A$5:$A$2005,"&gt;="&amp;ReportFrom,'Payment Vouchers'!$A$5:$A$2005,"&lt;="&amp;ReportTo))</f>
        <v/>
      </c>
      <c r="AD49" s="25">
        <f>IF($A49="",0,(SUMIFS('Partner Transactions'!$D$5:$D$2005,'Partner Transactions'!$L$5:$L$2005,$A49,'Partner Transactions'!$A$5:$A$2005,"&lt;"&amp;ReportFrom))-(SUMIFS('Partner Transactions'!$D$5:$D$2005,'Partner Transactions'!$M$5:$M$2005,$A49,'Partner Transactions'!$A$5:$A$2005,"&lt;"&amp;ReportFrom)))</f>
        <v/>
      </c>
      <c r="AE49" s="25">
        <f>IF($A49="",0,SUMIFS('Partner Transactions'!$D$5:$D$2005,'Partner Transactions'!$L$5:$L$2005,$A49,'Partner Transactions'!$A$5:$A$2005,"&gt;="&amp;ReportFrom,'Partner Transactions'!$A$5:$A$2005,"&lt;="&amp;ReportTo))</f>
        <v/>
      </c>
      <c r="AF49" s="25">
        <f>IF($A49="",0,SUMIFS('Partner Transactions'!$D$5:$D$2005,'Partner Transactions'!$M$5:$M$2005,$A49,'Partner Transactions'!$A$5:$A$2005,"&gt;="&amp;ReportFrom,'Partner Transactions'!$A$5:$A$2005,"&lt;="&amp;ReportTo))</f>
        <v/>
      </c>
      <c r="AG49" s="25">
        <f>IF($A49="",0,(SUMIFS('Stock Moves'!$S$5:$S$2005,'Stock Moves'!$AD$5:$AD$2005,$A49,'Stock Moves'!$A$5:$A$2005,"&lt;"&amp;ReportFrom)+SUMIFS('Stock Moves'!$T$5:$T$2005,'Stock Moves'!$V$5:$V$2005,$A49,'Stock Moves'!$A$5:$A$2005,"&lt;"&amp;ReportFrom))-(SUMIFS('Stock Moves'!$AF$5:$AF$2005,'Stock Moves'!$AE$5:$AE$2005,$A49,'Stock Moves'!$A$5:$A$2005,"&lt;"&amp;ReportFrom)+SUMIFS('Stock Moves'!$AC$5:$AC$2005,'Stock Moves'!$X$5:$X$2005,$A49,'Stock Moves'!$A$5:$A$2005,"&lt;"&amp;ReportFrom)+SUMIFS('Stock Moves'!$U$5:$U$2005,'Stock Moves'!$W$5:$W$2005,$A49,'Stock Moves'!$A$5:$A$2005,"&lt;"&amp;ReportFrom)))</f>
        <v/>
      </c>
      <c r="AH49" s="25">
        <f>IF($A49="",0,SUMIFS('Stock Moves'!$S$5:$S$2005,'Stock Moves'!$AD$5:$AD$2005,$A49,'Stock Moves'!$A$5:$A$2005,"&gt;="&amp;ReportFrom,'Stock Moves'!$A$5:$A$2005,"&lt;="&amp;ReportTo)+SUMIFS('Stock Moves'!$T$5:$T$2005,'Stock Moves'!$V$5:$V$2005,$A49,'Stock Moves'!$A$5:$A$2005,"&gt;="&amp;ReportFrom,'Stock Moves'!$A$5:$A$2005,"&lt;="&amp;ReportTo))</f>
        <v/>
      </c>
      <c r="AI49" s="25">
        <f>IF($A49="",0,SUMIFS('Stock Moves'!$AF$5:$AF$2005,'Stock Moves'!$AE$5:$AE$2005,$A49,'Stock Moves'!$A$5:$A$2005,"&gt;="&amp;ReportFrom,'Stock Moves'!$A$5:$A$2005,"&lt;="&amp;ReportTo)+SUMIFS('Stock Moves'!$AC$5:$AC$2005,'Stock Moves'!$X$5:$X$2005,$A49,'Stock Moves'!$A$5:$A$2005,"&gt;="&amp;ReportFrom,'Stock Moves'!$A$5:$A$2005,"&lt;="&amp;ReportTo)+SUMIFS('Stock Moves'!$U$5:$U$2005,'Stock Moves'!$W$5:$W$2005,$A49,'Stock Moves'!$A$5:$A$2005,"&gt;="&amp;ReportFrom,'Stock Moves'!$A$5:$A$2005,"&lt;="&amp;ReportTo))</f>
        <v/>
      </c>
      <c r="AJ49" s="25">
        <f>IF($A49="",0,(SUMIFS('Journal Vouchers'!$I$5:$I$2005,'Journal Vouchers'!$H$5:$H$2005,$A49,'Journal Vouchers'!$B$5:$B$2005,"&lt;"&amp;ReportFrom))-(SUMIFS('Journal Vouchers'!$J$5:$J$2005,'Journal Vouchers'!$H$5:$H$2005,$A49,'Journal Vouchers'!$B$5:$B$2005,"&lt;"&amp;ReportFrom)))</f>
        <v/>
      </c>
      <c r="AK49" s="25">
        <f>IF($A49="",0,SUMIFS('Journal Vouchers'!$I$5:$I$2005,'Journal Vouchers'!$H$5:$H$2005,$A49,'Journal Vouchers'!$B$5:$B$2005,"&gt;="&amp;ReportFrom,'Journal Vouchers'!$B$5:$B$2005,"&lt;="&amp;ReportTo))</f>
        <v/>
      </c>
      <c r="AL49" s="25">
        <f>IF($A49="",0,SUMIFS('Journal Vouchers'!$J$5:$J$2005,'Journal Vouchers'!$H$5:$H$2005,$A49,'Journal Vouchers'!$B$5:$B$2005,"&gt;="&amp;ReportFrom,'Journal Vouchers'!$B$5:$B$2005,"&lt;="&amp;ReportTo))</f>
        <v/>
      </c>
    </row>
    <row r="50">
      <c r="A50" s="25">
        <f>IF('Chart of Accounts'!A50="","",'Chart of Accounts'!A50&amp;"")</f>
        <v/>
      </c>
      <c r="B50" s="25">
        <f>IF(A50="","",'Chart of Accounts'!B50)</f>
        <v/>
      </c>
      <c r="C50" s="25">
        <f>IF(A50="","",'Chart of Accounts'!C50)</f>
        <v/>
      </c>
      <c r="D50" s="25">
        <f>IF(A50="","",'Chart of Accounts'!D50)</f>
        <v/>
      </c>
      <c r="E50" s="26">
        <f>L50+O50+R50+U50+X50+AA50+AD50+AG50+AJ50</f>
        <v/>
      </c>
      <c r="F50" s="26">
        <f>M50+P50+S50+V50+Y50+AB50+AE50+AH50+AK50</f>
        <v/>
      </c>
      <c r="G50" s="26">
        <f>N50+Q50+T50+W50+Z50+AC50+AF50+AI50+AL50</f>
        <v/>
      </c>
      <c r="H50" s="26">
        <f>E50+F50-G50</f>
        <v/>
      </c>
      <c r="I50" s="26">
        <f>MAX(H50,0)</f>
        <v/>
      </c>
      <c r="J50" s="26">
        <f>MAX(-H50,0)</f>
        <v/>
      </c>
      <c r="L50" s="25">
        <f>IF($A50="",0,(SUMIFS('Direct Costs'!$R$5:$R$2005,'Direct Costs'!$V$5:$V$2005,$A50,'Direct Costs'!$A$5:$A$2005,"&lt;"&amp;ReportFrom)+SUMIFS('Direct Costs'!$S$5:$S$2005,'Direct Costs'!$Y$5:$Y$2005,$A50,'Direct Costs'!$A$5:$A$2005,"&lt;"&amp;ReportFrom))-(SUMIFS('Direct Costs'!$L$5:$L$2005,'Direct Costs'!$W$5:$W$2005,$A50,'Direct Costs'!$A$5:$A$2005,"&lt;"&amp;ReportFrom)+SUMIFS('Direct Costs'!$U$5:$U$2005,'Direct Costs'!$X$5:$X$2005,$A50,'Direct Costs'!$A$5:$A$2005,"&lt;"&amp;ReportFrom)+SUMIFS('Direct Costs'!$T$5:$T$2005,'Direct Costs'!$Z$5:$Z$2005,$A50,'Direct Costs'!$A$5:$A$2005,"&lt;"&amp;ReportFrom)))</f>
        <v/>
      </c>
      <c r="M50" s="25">
        <f>IF($A50="",0,SUMIFS('Direct Costs'!$R$5:$R$2005,'Direct Costs'!$V$5:$V$2005,$A50,'Direct Costs'!$A$5:$A$2005,"&gt;="&amp;ReportFrom,'Direct Costs'!$A$5:$A$2005,"&lt;="&amp;ReportTo)+SUMIFS('Direct Costs'!$S$5:$S$2005,'Direct Costs'!$Y$5:$Y$2005,$A50,'Direct Costs'!$A$5:$A$2005,"&gt;="&amp;ReportFrom,'Direct Costs'!$A$5:$A$2005,"&lt;="&amp;ReportTo))</f>
        <v/>
      </c>
      <c r="N50" s="25">
        <f>IF($A50="",0,SUMIFS('Direct Costs'!$L$5:$L$2005,'Direct Costs'!$W$5:$W$2005,$A50,'Direct Costs'!$A$5:$A$2005,"&gt;="&amp;ReportFrom,'Direct Costs'!$A$5:$A$2005,"&lt;="&amp;ReportTo)+SUMIFS('Direct Costs'!$U$5:$U$2005,'Direct Costs'!$X$5:$X$2005,$A50,'Direct Costs'!$A$5:$A$2005,"&gt;="&amp;ReportFrom,'Direct Costs'!$A$5:$A$2005,"&lt;="&amp;ReportTo)+SUMIFS('Direct Costs'!$T$5:$T$2005,'Direct Costs'!$Z$5:$Z$2005,$A50,'Direct Costs'!$A$5:$A$2005,"&gt;="&amp;ReportFrom,'Direct Costs'!$A$5:$A$2005,"&lt;="&amp;ReportTo))</f>
        <v/>
      </c>
      <c r="O50" s="25">
        <f>IF($A50="",0,(SUMIFS('Operating Expenses'!$F$5:$F$2005,'Operating Expenses'!$Q$5:$Q$2005,$A50,'Operating Expenses'!$A$5:$A$2005,"&lt;"&amp;ReportFrom)+SUMIFS('Operating Expenses'!$M$5:$M$2005,'Operating Expenses'!$T$5:$T$2005,$A50,'Operating Expenses'!$A$5:$A$2005,"&lt;"&amp;ReportFrom))-(SUMIFS('Operating Expenses'!$O$5:$O$2005,'Operating Expenses'!$R$5:$R$2005,$A50,'Operating Expenses'!$A$5:$A$2005,"&lt;"&amp;ReportFrom)+SUMIFS('Operating Expenses'!$P$5:$P$2005,'Operating Expenses'!$S$5:$S$2005,$A50,'Operating Expenses'!$A$5:$A$2005,"&lt;"&amp;ReportFrom)+SUMIFS('Operating Expenses'!$N$5:$N$2005,'Operating Expenses'!$U$5:$U$2005,$A50,'Operating Expenses'!$A$5:$A$2005,"&lt;"&amp;ReportFrom)))</f>
        <v/>
      </c>
      <c r="P50" s="25">
        <f>IF($A50="",0,SUMIFS('Operating Expenses'!$F$5:$F$2005,'Operating Expenses'!$Q$5:$Q$2005,$A50,'Operating Expenses'!$A$5:$A$2005,"&gt;="&amp;ReportFrom,'Operating Expenses'!$A$5:$A$2005,"&lt;="&amp;ReportTo)+SUMIFS('Operating Expenses'!$M$5:$M$2005,'Operating Expenses'!$T$5:$T$2005,$A50,'Operating Expenses'!$A$5:$A$2005,"&gt;="&amp;ReportFrom,'Operating Expenses'!$A$5:$A$2005,"&lt;="&amp;ReportTo))</f>
        <v/>
      </c>
      <c r="Q50" s="25">
        <f>IF($A50="",0,SUMIFS('Operating Expenses'!$O$5:$O$2005,'Operating Expenses'!$R$5:$R$2005,$A50,'Operating Expenses'!$A$5:$A$2005,"&gt;="&amp;ReportFrom,'Operating Expenses'!$A$5:$A$2005,"&lt;="&amp;ReportTo)+SUMIFS('Operating Expenses'!$P$5:$P$2005,'Operating Expenses'!$S$5:$S$2005,$A50,'Operating Expenses'!$A$5:$A$2005,"&gt;="&amp;ReportFrom,'Operating Expenses'!$A$5:$A$2005,"&lt;="&amp;ReportTo)+SUMIFS('Operating Expenses'!$N$5:$N$2005,'Operating Expenses'!$U$5:$U$2005,$A50,'Operating Expenses'!$A$5:$A$2005,"&gt;="&amp;ReportFrom,'Operating Expenses'!$A$5:$A$2005,"&lt;="&amp;ReportTo))</f>
        <v/>
      </c>
      <c r="R50" s="25">
        <f>IF($A50="",0,(SUMIFS('Payroll'!$O$5:$O$2005,'Payroll'!$Q$5:$Q$2005,$A50,'Payroll'!$A$5:$A$2005,"&lt;"&amp;ReportFrom))-(SUMIFS('Payroll'!$K$5:$K$2005,'Payroll'!$R$5:$R$2005,$A50,'Payroll'!$A$5:$A$2005,"&lt;"&amp;ReportFrom)+SUMIFS('Payroll'!$P$5:$P$2005,'Payroll'!$S$5:$S$2005,$A50,'Payroll'!$A$5:$A$2005,"&lt;"&amp;ReportFrom)))</f>
        <v/>
      </c>
      <c r="S50" s="25">
        <f>IF($A50="",0,SUMIFS('Payroll'!$O$5:$O$2005,'Payroll'!$Q$5:$Q$2005,$A50,'Payroll'!$A$5:$A$2005,"&gt;="&amp;ReportFrom,'Payroll'!$A$5:$A$2005,"&lt;="&amp;ReportTo))</f>
        <v/>
      </c>
      <c r="T50" s="25">
        <f>IF($A50="",0,SUMIFS('Payroll'!$K$5:$K$2005,'Payroll'!$R$5:$R$2005,$A50,'Payroll'!$A$5:$A$2005,"&gt;="&amp;ReportFrom,'Payroll'!$A$5:$A$2005,"&lt;="&amp;ReportTo)+SUMIFS('Payroll'!$P$5:$P$2005,'Payroll'!$S$5:$S$2005,$A50,'Payroll'!$A$5:$A$2005,"&gt;="&amp;ReportFrom,'Payroll'!$A$5:$A$2005,"&lt;="&amp;ReportTo))</f>
        <v/>
      </c>
      <c r="U50" s="25">
        <f>IF($A50="",0,(SUMIFS('Receipt Vouchers'!$F$5:$F$2005,'Receipt Vouchers'!$O$5:$O$2005,$A50,'Receipt Vouchers'!$A$5:$A$2005,"&lt;"&amp;ReportFrom)+SUMIFS('Receipt Vouchers'!$J$5:$J$2005,'Receipt Vouchers'!$Q$5:$Q$2005,$A50,'Receipt Vouchers'!$A$5:$A$2005,"&lt;"&amp;ReportFrom))-(SUMIFS('Receipt Vouchers'!$N$5:$N$2005,'Receipt Vouchers'!$P$5:$P$2005,$A50,'Receipt Vouchers'!$A$5:$A$2005,"&lt;"&amp;ReportFrom)+SUMIFS('Receipt Vouchers'!$M$5:$M$2005,'Receipt Vouchers'!$R$5:$R$2005,$A50,'Receipt Vouchers'!$A$5:$A$2005,"&lt;"&amp;ReportFrom)))</f>
        <v/>
      </c>
      <c r="V50" s="25">
        <f>IF($A50="",0,SUMIFS('Receipt Vouchers'!$F$5:$F$2005,'Receipt Vouchers'!$O$5:$O$2005,$A50,'Receipt Vouchers'!$A$5:$A$2005,"&gt;="&amp;ReportFrom,'Receipt Vouchers'!$A$5:$A$2005,"&lt;="&amp;ReportTo)+SUMIFS('Receipt Vouchers'!$J$5:$J$2005,'Receipt Vouchers'!$Q$5:$Q$2005,$A50,'Receipt Vouchers'!$A$5:$A$2005,"&gt;="&amp;ReportFrom,'Receipt Vouchers'!$A$5:$A$2005,"&lt;="&amp;ReportTo))</f>
        <v/>
      </c>
      <c r="W50" s="25">
        <f>IF($A50="",0,SUMIFS('Receipt Vouchers'!$N$5:$N$2005,'Receipt Vouchers'!$P$5:$P$2005,$A50,'Receipt Vouchers'!$A$5:$A$2005,"&gt;="&amp;ReportFrom,'Receipt Vouchers'!$A$5:$A$2005,"&lt;="&amp;ReportTo)+SUMIFS('Receipt Vouchers'!$M$5:$M$2005,'Receipt Vouchers'!$R$5:$R$2005,$A50,'Receipt Vouchers'!$A$5:$A$2005,"&gt;="&amp;ReportFrom,'Receipt Vouchers'!$A$5:$A$2005,"&lt;="&amp;ReportTo))</f>
        <v/>
      </c>
      <c r="X50" s="25">
        <f>IF($A50="",0,(SUMIFS('Sales Invoices'!$O$5:$O$2005,'Sales Invoices'!$P$5:$P$2005,$A50,'Sales Invoices'!$B$5:$B$2005,"&lt;"&amp;ReportFrom)+SUMIFS('Sales Invoices'!$N$5:$N$2005,'Sales Invoices'!$R$5:$R$2005,$A50,'Sales Invoices'!$B$5:$B$2005,"&lt;"&amp;ReportFrom))-(SUMIFS('Sales Invoices'!$L$5:$L$2005,'Sales Invoices'!$Q$5:$Q$2005,$A50,'Sales Invoices'!$B$5:$B$2005,"&lt;"&amp;ReportFrom)+SUMIFS('Sales Invoices'!$M$5:$M$2005,'Sales Invoices'!$S$5:$S$2005,$A50,'Sales Invoices'!$B$5:$B$2005,"&lt;"&amp;ReportFrom)))</f>
        <v/>
      </c>
      <c r="Y50" s="25">
        <f>IF($A50="",0,SUMIFS('Sales Invoices'!$O$5:$O$2005,'Sales Invoices'!$P$5:$P$2005,$A50,'Sales Invoices'!$B$5:$B$2005,"&gt;="&amp;ReportFrom,'Sales Invoices'!$B$5:$B$2005,"&lt;="&amp;ReportTo)+SUMIFS('Sales Invoices'!$N$5:$N$2005,'Sales Invoices'!$R$5:$R$2005,$A50,'Sales Invoices'!$B$5:$B$2005,"&gt;="&amp;ReportFrom,'Sales Invoices'!$B$5:$B$2005,"&lt;="&amp;ReportTo))</f>
        <v/>
      </c>
      <c r="Z50" s="25">
        <f>IF($A50="",0,SUMIFS('Sales Invoices'!$L$5:$L$2005,'Sales Invoices'!$Q$5:$Q$2005,$A50,'Sales Invoices'!$B$5:$B$2005,"&gt;="&amp;ReportFrom,'Sales Invoices'!$B$5:$B$2005,"&lt;="&amp;ReportTo)+SUMIFS('Sales Invoices'!$M$5:$M$2005,'Sales Invoices'!$S$5:$S$2005,$A50,'Sales Invoices'!$B$5:$B$2005,"&gt;="&amp;ReportFrom,'Sales Invoices'!$B$5:$B$2005,"&lt;="&amp;ReportTo))</f>
        <v/>
      </c>
      <c r="AA50" s="25">
        <f>IF($A50="",0,(SUMIFS('Payment Vouchers'!$D$5:$D$2005,'Payment Vouchers'!$J$5:$J$2005,$A50,'Payment Vouchers'!$A$5:$A$2005,"&lt;"&amp;ReportFrom))-(SUMIFS('Payment Vouchers'!$D$5:$D$2005,'Payment Vouchers'!$K$5:$K$2005,$A50,'Payment Vouchers'!$A$5:$A$2005,"&lt;"&amp;ReportFrom)))</f>
        <v/>
      </c>
      <c r="AB50" s="25">
        <f>IF($A50="",0,SUMIFS('Payment Vouchers'!$D$5:$D$2005,'Payment Vouchers'!$J$5:$J$2005,$A50,'Payment Vouchers'!$A$5:$A$2005,"&gt;="&amp;ReportFrom,'Payment Vouchers'!$A$5:$A$2005,"&lt;="&amp;ReportTo))</f>
        <v/>
      </c>
      <c r="AC50" s="25">
        <f>IF($A50="",0,SUMIFS('Payment Vouchers'!$D$5:$D$2005,'Payment Vouchers'!$K$5:$K$2005,$A50,'Payment Vouchers'!$A$5:$A$2005,"&gt;="&amp;ReportFrom,'Payment Vouchers'!$A$5:$A$2005,"&lt;="&amp;ReportTo))</f>
        <v/>
      </c>
      <c r="AD50" s="25">
        <f>IF($A50="",0,(SUMIFS('Partner Transactions'!$D$5:$D$2005,'Partner Transactions'!$L$5:$L$2005,$A50,'Partner Transactions'!$A$5:$A$2005,"&lt;"&amp;ReportFrom))-(SUMIFS('Partner Transactions'!$D$5:$D$2005,'Partner Transactions'!$M$5:$M$2005,$A50,'Partner Transactions'!$A$5:$A$2005,"&lt;"&amp;ReportFrom)))</f>
        <v/>
      </c>
      <c r="AE50" s="25">
        <f>IF($A50="",0,SUMIFS('Partner Transactions'!$D$5:$D$2005,'Partner Transactions'!$L$5:$L$2005,$A50,'Partner Transactions'!$A$5:$A$2005,"&gt;="&amp;ReportFrom,'Partner Transactions'!$A$5:$A$2005,"&lt;="&amp;ReportTo))</f>
        <v/>
      </c>
      <c r="AF50" s="25">
        <f>IF($A50="",0,SUMIFS('Partner Transactions'!$D$5:$D$2005,'Partner Transactions'!$M$5:$M$2005,$A50,'Partner Transactions'!$A$5:$A$2005,"&gt;="&amp;ReportFrom,'Partner Transactions'!$A$5:$A$2005,"&lt;="&amp;ReportTo))</f>
        <v/>
      </c>
      <c r="AG50" s="25">
        <f>IF($A50="",0,(SUMIFS('Stock Moves'!$S$5:$S$2005,'Stock Moves'!$AD$5:$AD$2005,$A50,'Stock Moves'!$A$5:$A$2005,"&lt;"&amp;ReportFrom)+SUMIFS('Stock Moves'!$T$5:$T$2005,'Stock Moves'!$V$5:$V$2005,$A50,'Stock Moves'!$A$5:$A$2005,"&lt;"&amp;ReportFrom))-(SUMIFS('Stock Moves'!$AF$5:$AF$2005,'Stock Moves'!$AE$5:$AE$2005,$A50,'Stock Moves'!$A$5:$A$2005,"&lt;"&amp;ReportFrom)+SUMIFS('Stock Moves'!$AC$5:$AC$2005,'Stock Moves'!$X$5:$X$2005,$A50,'Stock Moves'!$A$5:$A$2005,"&lt;"&amp;ReportFrom)+SUMIFS('Stock Moves'!$U$5:$U$2005,'Stock Moves'!$W$5:$W$2005,$A50,'Stock Moves'!$A$5:$A$2005,"&lt;"&amp;ReportFrom)))</f>
        <v/>
      </c>
      <c r="AH50" s="25">
        <f>IF($A50="",0,SUMIFS('Stock Moves'!$S$5:$S$2005,'Stock Moves'!$AD$5:$AD$2005,$A50,'Stock Moves'!$A$5:$A$2005,"&gt;="&amp;ReportFrom,'Stock Moves'!$A$5:$A$2005,"&lt;="&amp;ReportTo)+SUMIFS('Stock Moves'!$T$5:$T$2005,'Stock Moves'!$V$5:$V$2005,$A50,'Stock Moves'!$A$5:$A$2005,"&gt;="&amp;ReportFrom,'Stock Moves'!$A$5:$A$2005,"&lt;="&amp;ReportTo))</f>
        <v/>
      </c>
      <c r="AI50" s="25">
        <f>IF($A50="",0,SUMIFS('Stock Moves'!$AF$5:$AF$2005,'Stock Moves'!$AE$5:$AE$2005,$A50,'Stock Moves'!$A$5:$A$2005,"&gt;="&amp;ReportFrom,'Stock Moves'!$A$5:$A$2005,"&lt;="&amp;ReportTo)+SUMIFS('Stock Moves'!$AC$5:$AC$2005,'Stock Moves'!$X$5:$X$2005,$A50,'Stock Moves'!$A$5:$A$2005,"&gt;="&amp;ReportFrom,'Stock Moves'!$A$5:$A$2005,"&lt;="&amp;ReportTo)+SUMIFS('Stock Moves'!$U$5:$U$2005,'Stock Moves'!$W$5:$W$2005,$A50,'Stock Moves'!$A$5:$A$2005,"&gt;="&amp;ReportFrom,'Stock Moves'!$A$5:$A$2005,"&lt;="&amp;ReportTo))</f>
        <v/>
      </c>
      <c r="AJ50" s="25">
        <f>IF($A50="",0,(SUMIFS('Journal Vouchers'!$I$5:$I$2005,'Journal Vouchers'!$H$5:$H$2005,$A50,'Journal Vouchers'!$B$5:$B$2005,"&lt;"&amp;ReportFrom))-(SUMIFS('Journal Vouchers'!$J$5:$J$2005,'Journal Vouchers'!$H$5:$H$2005,$A50,'Journal Vouchers'!$B$5:$B$2005,"&lt;"&amp;ReportFrom)))</f>
        <v/>
      </c>
      <c r="AK50" s="25">
        <f>IF($A50="",0,SUMIFS('Journal Vouchers'!$I$5:$I$2005,'Journal Vouchers'!$H$5:$H$2005,$A50,'Journal Vouchers'!$B$5:$B$2005,"&gt;="&amp;ReportFrom,'Journal Vouchers'!$B$5:$B$2005,"&lt;="&amp;ReportTo))</f>
        <v/>
      </c>
      <c r="AL50" s="25">
        <f>IF($A50="",0,SUMIFS('Journal Vouchers'!$J$5:$J$2005,'Journal Vouchers'!$H$5:$H$2005,$A50,'Journal Vouchers'!$B$5:$B$2005,"&gt;="&amp;ReportFrom,'Journal Vouchers'!$B$5:$B$2005,"&lt;="&amp;ReportTo))</f>
        <v/>
      </c>
    </row>
    <row r="51">
      <c r="A51" s="25">
        <f>IF('Chart of Accounts'!A51="","",'Chart of Accounts'!A51&amp;"")</f>
        <v/>
      </c>
      <c r="B51" s="25">
        <f>IF(A51="","",'Chart of Accounts'!B51)</f>
        <v/>
      </c>
      <c r="C51" s="25">
        <f>IF(A51="","",'Chart of Accounts'!C51)</f>
        <v/>
      </c>
      <c r="D51" s="25">
        <f>IF(A51="","",'Chart of Accounts'!D51)</f>
        <v/>
      </c>
      <c r="E51" s="26">
        <f>L51+O51+R51+U51+X51+AA51+AD51+AG51+AJ51</f>
        <v/>
      </c>
      <c r="F51" s="26">
        <f>M51+P51+S51+V51+Y51+AB51+AE51+AH51+AK51</f>
        <v/>
      </c>
      <c r="G51" s="26">
        <f>N51+Q51+T51+W51+Z51+AC51+AF51+AI51+AL51</f>
        <v/>
      </c>
      <c r="H51" s="26">
        <f>E51+F51-G51</f>
        <v/>
      </c>
      <c r="I51" s="26">
        <f>MAX(H51,0)</f>
        <v/>
      </c>
      <c r="J51" s="26">
        <f>MAX(-H51,0)</f>
        <v/>
      </c>
      <c r="L51" s="25">
        <f>IF($A51="",0,(SUMIFS('Direct Costs'!$R$5:$R$2005,'Direct Costs'!$V$5:$V$2005,$A51,'Direct Costs'!$A$5:$A$2005,"&lt;"&amp;ReportFrom)+SUMIFS('Direct Costs'!$S$5:$S$2005,'Direct Costs'!$Y$5:$Y$2005,$A51,'Direct Costs'!$A$5:$A$2005,"&lt;"&amp;ReportFrom))-(SUMIFS('Direct Costs'!$L$5:$L$2005,'Direct Costs'!$W$5:$W$2005,$A51,'Direct Costs'!$A$5:$A$2005,"&lt;"&amp;ReportFrom)+SUMIFS('Direct Costs'!$U$5:$U$2005,'Direct Costs'!$X$5:$X$2005,$A51,'Direct Costs'!$A$5:$A$2005,"&lt;"&amp;ReportFrom)+SUMIFS('Direct Costs'!$T$5:$T$2005,'Direct Costs'!$Z$5:$Z$2005,$A51,'Direct Costs'!$A$5:$A$2005,"&lt;"&amp;ReportFrom)))</f>
        <v/>
      </c>
      <c r="M51" s="25">
        <f>IF($A51="",0,SUMIFS('Direct Costs'!$R$5:$R$2005,'Direct Costs'!$V$5:$V$2005,$A51,'Direct Costs'!$A$5:$A$2005,"&gt;="&amp;ReportFrom,'Direct Costs'!$A$5:$A$2005,"&lt;="&amp;ReportTo)+SUMIFS('Direct Costs'!$S$5:$S$2005,'Direct Costs'!$Y$5:$Y$2005,$A51,'Direct Costs'!$A$5:$A$2005,"&gt;="&amp;ReportFrom,'Direct Costs'!$A$5:$A$2005,"&lt;="&amp;ReportTo))</f>
        <v/>
      </c>
      <c r="N51" s="25">
        <f>IF($A51="",0,SUMIFS('Direct Costs'!$L$5:$L$2005,'Direct Costs'!$W$5:$W$2005,$A51,'Direct Costs'!$A$5:$A$2005,"&gt;="&amp;ReportFrom,'Direct Costs'!$A$5:$A$2005,"&lt;="&amp;ReportTo)+SUMIFS('Direct Costs'!$U$5:$U$2005,'Direct Costs'!$X$5:$X$2005,$A51,'Direct Costs'!$A$5:$A$2005,"&gt;="&amp;ReportFrom,'Direct Costs'!$A$5:$A$2005,"&lt;="&amp;ReportTo)+SUMIFS('Direct Costs'!$T$5:$T$2005,'Direct Costs'!$Z$5:$Z$2005,$A51,'Direct Costs'!$A$5:$A$2005,"&gt;="&amp;ReportFrom,'Direct Costs'!$A$5:$A$2005,"&lt;="&amp;ReportTo))</f>
        <v/>
      </c>
      <c r="O51" s="25">
        <f>IF($A51="",0,(SUMIFS('Operating Expenses'!$F$5:$F$2005,'Operating Expenses'!$Q$5:$Q$2005,$A51,'Operating Expenses'!$A$5:$A$2005,"&lt;"&amp;ReportFrom)+SUMIFS('Operating Expenses'!$M$5:$M$2005,'Operating Expenses'!$T$5:$T$2005,$A51,'Operating Expenses'!$A$5:$A$2005,"&lt;"&amp;ReportFrom))-(SUMIFS('Operating Expenses'!$O$5:$O$2005,'Operating Expenses'!$R$5:$R$2005,$A51,'Operating Expenses'!$A$5:$A$2005,"&lt;"&amp;ReportFrom)+SUMIFS('Operating Expenses'!$P$5:$P$2005,'Operating Expenses'!$S$5:$S$2005,$A51,'Operating Expenses'!$A$5:$A$2005,"&lt;"&amp;ReportFrom)+SUMIFS('Operating Expenses'!$N$5:$N$2005,'Operating Expenses'!$U$5:$U$2005,$A51,'Operating Expenses'!$A$5:$A$2005,"&lt;"&amp;ReportFrom)))</f>
        <v/>
      </c>
      <c r="P51" s="25">
        <f>IF($A51="",0,SUMIFS('Operating Expenses'!$F$5:$F$2005,'Operating Expenses'!$Q$5:$Q$2005,$A51,'Operating Expenses'!$A$5:$A$2005,"&gt;="&amp;ReportFrom,'Operating Expenses'!$A$5:$A$2005,"&lt;="&amp;ReportTo)+SUMIFS('Operating Expenses'!$M$5:$M$2005,'Operating Expenses'!$T$5:$T$2005,$A51,'Operating Expenses'!$A$5:$A$2005,"&gt;="&amp;ReportFrom,'Operating Expenses'!$A$5:$A$2005,"&lt;="&amp;ReportTo))</f>
        <v/>
      </c>
      <c r="Q51" s="25">
        <f>IF($A51="",0,SUMIFS('Operating Expenses'!$O$5:$O$2005,'Operating Expenses'!$R$5:$R$2005,$A51,'Operating Expenses'!$A$5:$A$2005,"&gt;="&amp;ReportFrom,'Operating Expenses'!$A$5:$A$2005,"&lt;="&amp;ReportTo)+SUMIFS('Operating Expenses'!$P$5:$P$2005,'Operating Expenses'!$S$5:$S$2005,$A51,'Operating Expenses'!$A$5:$A$2005,"&gt;="&amp;ReportFrom,'Operating Expenses'!$A$5:$A$2005,"&lt;="&amp;ReportTo)+SUMIFS('Operating Expenses'!$N$5:$N$2005,'Operating Expenses'!$U$5:$U$2005,$A51,'Operating Expenses'!$A$5:$A$2005,"&gt;="&amp;ReportFrom,'Operating Expenses'!$A$5:$A$2005,"&lt;="&amp;ReportTo))</f>
        <v/>
      </c>
      <c r="R51" s="25">
        <f>IF($A51="",0,(SUMIFS('Payroll'!$O$5:$O$2005,'Payroll'!$Q$5:$Q$2005,$A51,'Payroll'!$A$5:$A$2005,"&lt;"&amp;ReportFrom))-(SUMIFS('Payroll'!$K$5:$K$2005,'Payroll'!$R$5:$R$2005,$A51,'Payroll'!$A$5:$A$2005,"&lt;"&amp;ReportFrom)+SUMIFS('Payroll'!$P$5:$P$2005,'Payroll'!$S$5:$S$2005,$A51,'Payroll'!$A$5:$A$2005,"&lt;"&amp;ReportFrom)))</f>
        <v/>
      </c>
      <c r="S51" s="25">
        <f>IF($A51="",0,SUMIFS('Payroll'!$O$5:$O$2005,'Payroll'!$Q$5:$Q$2005,$A51,'Payroll'!$A$5:$A$2005,"&gt;="&amp;ReportFrom,'Payroll'!$A$5:$A$2005,"&lt;="&amp;ReportTo))</f>
        <v/>
      </c>
      <c r="T51" s="25">
        <f>IF($A51="",0,SUMIFS('Payroll'!$K$5:$K$2005,'Payroll'!$R$5:$R$2005,$A51,'Payroll'!$A$5:$A$2005,"&gt;="&amp;ReportFrom,'Payroll'!$A$5:$A$2005,"&lt;="&amp;ReportTo)+SUMIFS('Payroll'!$P$5:$P$2005,'Payroll'!$S$5:$S$2005,$A51,'Payroll'!$A$5:$A$2005,"&gt;="&amp;ReportFrom,'Payroll'!$A$5:$A$2005,"&lt;="&amp;ReportTo))</f>
        <v/>
      </c>
      <c r="U51" s="25">
        <f>IF($A51="",0,(SUMIFS('Receipt Vouchers'!$F$5:$F$2005,'Receipt Vouchers'!$O$5:$O$2005,$A51,'Receipt Vouchers'!$A$5:$A$2005,"&lt;"&amp;ReportFrom)+SUMIFS('Receipt Vouchers'!$J$5:$J$2005,'Receipt Vouchers'!$Q$5:$Q$2005,$A51,'Receipt Vouchers'!$A$5:$A$2005,"&lt;"&amp;ReportFrom))-(SUMIFS('Receipt Vouchers'!$N$5:$N$2005,'Receipt Vouchers'!$P$5:$P$2005,$A51,'Receipt Vouchers'!$A$5:$A$2005,"&lt;"&amp;ReportFrom)+SUMIFS('Receipt Vouchers'!$M$5:$M$2005,'Receipt Vouchers'!$R$5:$R$2005,$A51,'Receipt Vouchers'!$A$5:$A$2005,"&lt;"&amp;ReportFrom)))</f>
        <v/>
      </c>
      <c r="V51" s="25">
        <f>IF($A51="",0,SUMIFS('Receipt Vouchers'!$F$5:$F$2005,'Receipt Vouchers'!$O$5:$O$2005,$A51,'Receipt Vouchers'!$A$5:$A$2005,"&gt;="&amp;ReportFrom,'Receipt Vouchers'!$A$5:$A$2005,"&lt;="&amp;ReportTo)+SUMIFS('Receipt Vouchers'!$J$5:$J$2005,'Receipt Vouchers'!$Q$5:$Q$2005,$A51,'Receipt Vouchers'!$A$5:$A$2005,"&gt;="&amp;ReportFrom,'Receipt Vouchers'!$A$5:$A$2005,"&lt;="&amp;ReportTo))</f>
        <v/>
      </c>
      <c r="W51" s="25">
        <f>IF($A51="",0,SUMIFS('Receipt Vouchers'!$N$5:$N$2005,'Receipt Vouchers'!$P$5:$P$2005,$A51,'Receipt Vouchers'!$A$5:$A$2005,"&gt;="&amp;ReportFrom,'Receipt Vouchers'!$A$5:$A$2005,"&lt;="&amp;ReportTo)+SUMIFS('Receipt Vouchers'!$M$5:$M$2005,'Receipt Vouchers'!$R$5:$R$2005,$A51,'Receipt Vouchers'!$A$5:$A$2005,"&gt;="&amp;ReportFrom,'Receipt Vouchers'!$A$5:$A$2005,"&lt;="&amp;ReportTo))</f>
        <v/>
      </c>
      <c r="X51" s="25">
        <f>IF($A51="",0,(SUMIFS('Sales Invoices'!$O$5:$O$2005,'Sales Invoices'!$P$5:$P$2005,$A51,'Sales Invoices'!$B$5:$B$2005,"&lt;"&amp;ReportFrom)+SUMIFS('Sales Invoices'!$N$5:$N$2005,'Sales Invoices'!$R$5:$R$2005,$A51,'Sales Invoices'!$B$5:$B$2005,"&lt;"&amp;ReportFrom))-(SUMIFS('Sales Invoices'!$L$5:$L$2005,'Sales Invoices'!$Q$5:$Q$2005,$A51,'Sales Invoices'!$B$5:$B$2005,"&lt;"&amp;ReportFrom)+SUMIFS('Sales Invoices'!$M$5:$M$2005,'Sales Invoices'!$S$5:$S$2005,$A51,'Sales Invoices'!$B$5:$B$2005,"&lt;"&amp;ReportFrom)))</f>
        <v/>
      </c>
      <c r="Y51" s="25">
        <f>IF($A51="",0,SUMIFS('Sales Invoices'!$O$5:$O$2005,'Sales Invoices'!$P$5:$P$2005,$A51,'Sales Invoices'!$B$5:$B$2005,"&gt;="&amp;ReportFrom,'Sales Invoices'!$B$5:$B$2005,"&lt;="&amp;ReportTo)+SUMIFS('Sales Invoices'!$N$5:$N$2005,'Sales Invoices'!$R$5:$R$2005,$A51,'Sales Invoices'!$B$5:$B$2005,"&gt;="&amp;ReportFrom,'Sales Invoices'!$B$5:$B$2005,"&lt;="&amp;ReportTo))</f>
        <v/>
      </c>
      <c r="Z51" s="25">
        <f>IF($A51="",0,SUMIFS('Sales Invoices'!$L$5:$L$2005,'Sales Invoices'!$Q$5:$Q$2005,$A51,'Sales Invoices'!$B$5:$B$2005,"&gt;="&amp;ReportFrom,'Sales Invoices'!$B$5:$B$2005,"&lt;="&amp;ReportTo)+SUMIFS('Sales Invoices'!$M$5:$M$2005,'Sales Invoices'!$S$5:$S$2005,$A51,'Sales Invoices'!$B$5:$B$2005,"&gt;="&amp;ReportFrom,'Sales Invoices'!$B$5:$B$2005,"&lt;="&amp;ReportTo))</f>
        <v/>
      </c>
      <c r="AA51" s="25">
        <f>IF($A51="",0,(SUMIFS('Payment Vouchers'!$D$5:$D$2005,'Payment Vouchers'!$J$5:$J$2005,$A51,'Payment Vouchers'!$A$5:$A$2005,"&lt;"&amp;ReportFrom))-(SUMIFS('Payment Vouchers'!$D$5:$D$2005,'Payment Vouchers'!$K$5:$K$2005,$A51,'Payment Vouchers'!$A$5:$A$2005,"&lt;"&amp;ReportFrom)))</f>
        <v/>
      </c>
      <c r="AB51" s="25">
        <f>IF($A51="",0,SUMIFS('Payment Vouchers'!$D$5:$D$2005,'Payment Vouchers'!$J$5:$J$2005,$A51,'Payment Vouchers'!$A$5:$A$2005,"&gt;="&amp;ReportFrom,'Payment Vouchers'!$A$5:$A$2005,"&lt;="&amp;ReportTo))</f>
        <v/>
      </c>
      <c r="AC51" s="25">
        <f>IF($A51="",0,SUMIFS('Payment Vouchers'!$D$5:$D$2005,'Payment Vouchers'!$K$5:$K$2005,$A51,'Payment Vouchers'!$A$5:$A$2005,"&gt;="&amp;ReportFrom,'Payment Vouchers'!$A$5:$A$2005,"&lt;="&amp;ReportTo))</f>
        <v/>
      </c>
      <c r="AD51" s="25">
        <f>IF($A51="",0,(SUMIFS('Partner Transactions'!$D$5:$D$2005,'Partner Transactions'!$L$5:$L$2005,$A51,'Partner Transactions'!$A$5:$A$2005,"&lt;"&amp;ReportFrom))-(SUMIFS('Partner Transactions'!$D$5:$D$2005,'Partner Transactions'!$M$5:$M$2005,$A51,'Partner Transactions'!$A$5:$A$2005,"&lt;"&amp;ReportFrom)))</f>
        <v/>
      </c>
      <c r="AE51" s="25">
        <f>IF($A51="",0,SUMIFS('Partner Transactions'!$D$5:$D$2005,'Partner Transactions'!$L$5:$L$2005,$A51,'Partner Transactions'!$A$5:$A$2005,"&gt;="&amp;ReportFrom,'Partner Transactions'!$A$5:$A$2005,"&lt;="&amp;ReportTo))</f>
        <v/>
      </c>
      <c r="AF51" s="25">
        <f>IF($A51="",0,SUMIFS('Partner Transactions'!$D$5:$D$2005,'Partner Transactions'!$M$5:$M$2005,$A51,'Partner Transactions'!$A$5:$A$2005,"&gt;="&amp;ReportFrom,'Partner Transactions'!$A$5:$A$2005,"&lt;="&amp;ReportTo))</f>
        <v/>
      </c>
      <c r="AG51" s="25">
        <f>IF($A51="",0,(SUMIFS('Stock Moves'!$S$5:$S$2005,'Stock Moves'!$AD$5:$AD$2005,$A51,'Stock Moves'!$A$5:$A$2005,"&lt;"&amp;ReportFrom)+SUMIFS('Stock Moves'!$T$5:$T$2005,'Stock Moves'!$V$5:$V$2005,$A51,'Stock Moves'!$A$5:$A$2005,"&lt;"&amp;ReportFrom))-(SUMIFS('Stock Moves'!$AF$5:$AF$2005,'Stock Moves'!$AE$5:$AE$2005,$A51,'Stock Moves'!$A$5:$A$2005,"&lt;"&amp;ReportFrom)+SUMIFS('Stock Moves'!$AC$5:$AC$2005,'Stock Moves'!$X$5:$X$2005,$A51,'Stock Moves'!$A$5:$A$2005,"&lt;"&amp;ReportFrom)+SUMIFS('Stock Moves'!$U$5:$U$2005,'Stock Moves'!$W$5:$W$2005,$A51,'Stock Moves'!$A$5:$A$2005,"&lt;"&amp;ReportFrom)))</f>
        <v/>
      </c>
      <c r="AH51" s="25">
        <f>IF($A51="",0,SUMIFS('Stock Moves'!$S$5:$S$2005,'Stock Moves'!$AD$5:$AD$2005,$A51,'Stock Moves'!$A$5:$A$2005,"&gt;="&amp;ReportFrom,'Stock Moves'!$A$5:$A$2005,"&lt;="&amp;ReportTo)+SUMIFS('Stock Moves'!$T$5:$T$2005,'Stock Moves'!$V$5:$V$2005,$A51,'Stock Moves'!$A$5:$A$2005,"&gt;="&amp;ReportFrom,'Stock Moves'!$A$5:$A$2005,"&lt;="&amp;ReportTo))</f>
        <v/>
      </c>
      <c r="AI51" s="25">
        <f>IF($A51="",0,SUMIFS('Stock Moves'!$AF$5:$AF$2005,'Stock Moves'!$AE$5:$AE$2005,$A51,'Stock Moves'!$A$5:$A$2005,"&gt;="&amp;ReportFrom,'Stock Moves'!$A$5:$A$2005,"&lt;="&amp;ReportTo)+SUMIFS('Stock Moves'!$AC$5:$AC$2005,'Stock Moves'!$X$5:$X$2005,$A51,'Stock Moves'!$A$5:$A$2005,"&gt;="&amp;ReportFrom,'Stock Moves'!$A$5:$A$2005,"&lt;="&amp;ReportTo)+SUMIFS('Stock Moves'!$U$5:$U$2005,'Stock Moves'!$W$5:$W$2005,$A51,'Stock Moves'!$A$5:$A$2005,"&gt;="&amp;ReportFrom,'Stock Moves'!$A$5:$A$2005,"&lt;="&amp;ReportTo))</f>
        <v/>
      </c>
      <c r="AJ51" s="25">
        <f>IF($A51="",0,(SUMIFS('Journal Vouchers'!$I$5:$I$2005,'Journal Vouchers'!$H$5:$H$2005,$A51,'Journal Vouchers'!$B$5:$B$2005,"&lt;"&amp;ReportFrom))-(SUMIFS('Journal Vouchers'!$J$5:$J$2005,'Journal Vouchers'!$H$5:$H$2005,$A51,'Journal Vouchers'!$B$5:$B$2005,"&lt;"&amp;ReportFrom)))</f>
        <v/>
      </c>
      <c r="AK51" s="25">
        <f>IF($A51="",0,SUMIFS('Journal Vouchers'!$I$5:$I$2005,'Journal Vouchers'!$H$5:$H$2005,$A51,'Journal Vouchers'!$B$5:$B$2005,"&gt;="&amp;ReportFrom,'Journal Vouchers'!$B$5:$B$2005,"&lt;="&amp;ReportTo))</f>
        <v/>
      </c>
      <c r="AL51" s="25">
        <f>IF($A51="",0,SUMIFS('Journal Vouchers'!$J$5:$J$2005,'Journal Vouchers'!$H$5:$H$2005,$A51,'Journal Vouchers'!$B$5:$B$2005,"&gt;="&amp;ReportFrom,'Journal Vouchers'!$B$5:$B$2005,"&lt;="&amp;ReportTo))</f>
        <v/>
      </c>
    </row>
    <row r="52">
      <c r="A52" s="25">
        <f>IF('Chart of Accounts'!A52="","",'Chart of Accounts'!A52&amp;"")</f>
        <v/>
      </c>
      <c r="B52" s="25">
        <f>IF(A52="","",'Chart of Accounts'!B52)</f>
        <v/>
      </c>
      <c r="C52" s="25">
        <f>IF(A52="","",'Chart of Accounts'!C52)</f>
        <v/>
      </c>
      <c r="D52" s="25">
        <f>IF(A52="","",'Chart of Accounts'!D52)</f>
        <v/>
      </c>
      <c r="E52" s="26">
        <f>L52+O52+R52+U52+X52+AA52+AD52+AG52+AJ52</f>
        <v/>
      </c>
      <c r="F52" s="26">
        <f>M52+P52+S52+V52+Y52+AB52+AE52+AH52+AK52</f>
        <v/>
      </c>
      <c r="G52" s="26">
        <f>N52+Q52+T52+W52+Z52+AC52+AF52+AI52+AL52</f>
        <v/>
      </c>
      <c r="H52" s="26">
        <f>E52+F52-G52</f>
        <v/>
      </c>
      <c r="I52" s="26">
        <f>MAX(H52,0)</f>
        <v/>
      </c>
      <c r="J52" s="26">
        <f>MAX(-H52,0)</f>
        <v/>
      </c>
      <c r="L52" s="25">
        <f>IF($A52="",0,(SUMIFS('Direct Costs'!$R$5:$R$2005,'Direct Costs'!$V$5:$V$2005,$A52,'Direct Costs'!$A$5:$A$2005,"&lt;"&amp;ReportFrom)+SUMIFS('Direct Costs'!$S$5:$S$2005,'Direct Costs'!$Y$5:$Y$2005,$A52,'Direct Costs'!$A$5:$A$2005,"&lt;"&amp;ReportFrom))-(SUMIFS('Direct Costs'!$L$5:$L$2005,'Direct Costs'!$W$5:$W$2005,$A52,'Direct Costs'!$A$5:$A$2005,"&lt;"&amp;ReportFrom)+SUMIFS('Direct Costs'!$U$5:$U$2005,'Direct Costs'!$X$5:$X$2005,$A52,'Direct Costs'!$A$5:$A$2005,"&lt;"&amp;ReportFrom)+SUMIFS('Direct Costs'!$T$5:$T$2005,'Direct Costs'!$Z$5:$Z$2005,$A52,'Direct Costs'!$A$5:$A$2005,"&lt;"&amp;ReportFrom)))</f>
        <v/>
      </c>
      <c r="M52" s="25">
        <f>IF($A52="",0,SUMIFS('Direct Costs'!$R$5:$R$2005,'Direct Costs'!$V$5:$V$2005,$A52,'Direct Costs'!$A$5:$A$2005,"&gt;="&amp;ReportFrom,'Direct Costs'!$A$5:$A$2005,"&lt;="&amp;ReportTo)+SUMIFS('Direct Costs'!$S$5:$S$2005,'Direct Costs'!$Y$5:$Y$2005,$A52,'Direct Costs'!$A$5:$A$2005,"&gt;="&amp;ReportFrom,'Direct Costs'!$A$5:$A$2005,"&lt;="&amp;ReportTo))</f>
        <v/>
      </c>
      <c r="N52" s="25">
        <f>IF($A52="",0,SUMIFS('Direct Costs'!$L$5:$L$2005,'Direct Costs'!$W$5:$W$2005,$A52,'Direct Costs'!$A$5:$A$2005,"&gt;="&amp;ReportFrom,'Direct Costs'!$A$5:$A$2005,"&lt;="&amp;ReportTo)+SUMIFS('Direct Costs'!$U$5:$U$2005,'Direct Costs'!$X$5:$X$2005,$A52,'Direct Costs'!$A$5:$A$2005,"&gt;="&amp;ReportFrom,'Direct Costs'!$A$5:$A$2005,"&lt;="&amp;ReportTo)+SUMIFS('Direct Costs'!$T$5:$T$2005,'Direct Costs'!$Z$5:$Z$2005,$A52,'Direct Costs'!$A$5:$A$2005,"&gt;="&amp;ReportFrom,'Direct Costs'!$A$5:$A$2005,"&lt;="&amp;ReportTo))</f>
        <v/>
      </c>
      <c r="O52" s="25">
        <f>IF($A52="",0,(SUMIFS('Operating Expenses'!$F$5:$F$2005,'Operating Expenses'!$Q$5:$Q$2005,$A52,'Operating Expenses'!$A$5:$A$2005,"&lt;"&amp;ReportFrom)+SUMIFS('Operating Expenses'!$M$5:$M$2005,'Operating Expenses'!$T$5:$T$2005,$A52,'Operating Expenses'!$A$5:$A$2005,"&lt;"&amp;ReportFrom))-(SUMIFS('Operating Expenses'!$O$5:$O$2005,'Operating Expenses'!$R$5:$R$2005,$A52,'Operating Expenses'!$A$5:$A$2005,"&lt;"&amp;ReportFrom)+SUMIFS('Operating Expenses'!$P$5:$P$2005,'Operating Expenses'!$S$5:$S$2005,$A52,'Operating Expenses'!$A$5:$A$2005,"&lt;"&amp;ReportFrom)+SUMIFS('Operating Expenses'!$N$5:$N$2005,'Operating Expenses'!$U$5:$U$2005,$A52,'Operating Expenses'!$A$5:$A$2005,"&lt;"&amp;ReportFrom)))</f>
        <v/>
      </c>
      <c r="P52" s="25">
        <f>IF($A52="",0,SUMIFS('Operating Expenses'!$F$5:$F$2005,'Operating Expenses'!$Q$5:$Q$2005,$A52,'Operating Expenses'!$A$5:$A$2005,"&gt;="&amp;ReportFrom,'Operating Expenses'!$A$5:$A$2005,"&lt;="&amp;ReportTo)+SUMIFS('Operating Expenses'!$M$5:$M$2005,'Operating Expenses'!$T$5:$T$2005,$A52,'Operating Expenses'!$A$5:$A$2005,"&gt;="&amp;ReportFrom,'Operating Expenses'!$A$5:$A$2005,"&lt;="&amp;ReportTo))</f>
        <v/>
      </c>
      <c r="Q52" s="25">
        <f>IF($A52="",0,SUMIFS('Operating Expenses'!$O$5:$O$2005,'Operating Expenses'!$R$5:$R$2005,$A52,'Operating Expenses'!$A$5:$A$2005,"&gt;="&amp;ReportFrom,'Operating Expenses'!$A$5:$A$2005,"&lt;="&amp;ReportTo)+SUMIFS('Operating Expenses'!$P$5:$P$2005,'Operating Expenses'!$S$5:$S$2005,$A52,'Operating Expenses'!$A$5:$A$2005,"&gt;="&amp;ReportFrom,'Operating Expenses'!$A$5:$A$2005,"&lt;="&amp;ReportTo)+SUMIFS('Operating Expenses'!$N$5:$N$2005,'Operating Expenses'!$U$5:$U$2005,$A52,'Operating Expenses'!$A$5:$A$2005,"&gt;="&amp;ReportFrom,'Operating Expenses'!$A$5:$A$2005,"&lt;="&amp;ReportTo))</f>
        <v/>
      </c>
      <c r="R52" s="25">
        <f>IF($A52="",0,(SUMIFS('Payroll'!$O$5:$O$2005,'Payroll'!$Q$5:$Q$2005,$A52,'Payroll'!$A$5:$A$2005,"&lt;"&amp;ReportFrom))-(SUMIFS('Payroll'!$K$5:$K$2005,'Payroll'!$R$5:$R$2005,$A52,'Payroll'!$A$5:$A$2005,"&lt;"&amp;ReportFrom)+SUMIFS('Payroll'!$P$5:$P$2005,'Payroll'!$S$5:$S$2005,$A52,'Payroll'!$A$5:$A$2005,"&lt;"&amp;ReportFrom)))</f>
        <v/>
      </c>
      <c r="S52" s="25">
        <f>IF($A52="",0,SUMIFS('Payroll'!$O$5:$O$2005,'Payroll'!$Q$5:$Q$2005,$A52,'Payroll'!$A$5:$A$2005,"&gt;="&amp;ReportFrom,'Payroll'!$A$5:$A$2005,"&lt;="&amp;ReportTo))</f>
        <v/>
      </c>
      <c r="T52" s="25">
        <f>IF($A52="",0,SUMIFS('Payroll'!$K$5:$K$2005,'Payroll'!$R$5:$R$2005,$A52,'Payroll'!$A$5:$A$2005,"&gt;="&amp;ReportFrom,'Payroll'!$A$5:$A$2005,"&lt;="&amp;ReportTo)+SUMIFS('Payroll'!$P$5:$P$2005,'Payroll'!$S$5:$S$2005,$A52,'Payroll'!$A$5:$A$2005,"&gt;="&amp;ReportFrom,'Payroll'!$A$5:$A$2005,"&lt;="&amp;ReportTo))</f>
        <v/>
      </c>
      <c r="U52" s="25">
        <f>IF($A52="",0,(SUMIFS('Receipt Vouchers'!$F$5:$F$2005,'Receipt Vouchers'!$O$5:$O$2005,$A52,'Receipt Vouchers'!$A$5:$A$2005,"&lt;"&amp;ReportFrom)+SUMIFS('Receipt Vouchers'!$J$5:$J$2005,'Receipt Vouchers'!$Q$5:$Q$2005,$A52,'Receipt Vouchers'!$A$5:$A$2005,"&lt;"&amp;ReportFrom))-(SUMIFS('Receipt Vouchers'!$N$5:$N$2005,'Receipt Vouchers'!$P$5:$P$2005,$A52,'Receipt Vouchers'!$A$5:$A$2005,"&lt;"&amp;ReportFrom)+SUMIFS('Receipt Vouchers'!$M$5:$M$2005,'Receipt Vouchers'!$R$5:$R$2005,$A52,'Receipt Vouchers'!$A$5:$A$2005,"&lt;"&amp;ReportFrom)))</f>
        <v/>
      </c>
      <c r="V52" s="25">
        <f>IF($A52="",0,SUMIFS('Receipt Vouchers'!$F$5:$F$2005,'Receipt Vouchers'!$O$5:$O$2005,$A52,'Receipt Vouchers'!$A$5:$A$2005,"&gt;="&amp;ReportFrom,'Receipt Vouchers'!$A$5:$A$2005,"&lt;="&amp;ReportTo)+SUMIFS('Receipt Vouchers'!$J$5:$J$2005,'Receipt Vouchers'!$Q$5:$Q$2005,$A52,'Receipt Vouchers'!$A$5:$A$2005,"&gt;="&amp;ReportFrom,'Receipt Vouchers'!$A$5:$A$2005,"&lt;="&amp;ReportTo))</f>
        <v/>
      </c>
      <c r="W52" s="25">
        <f>IF($A52="",0,SUMIFS('Receipt Vouchers'!$N$5:$N$2005,'Receipt Vouchers'!$P$5:$P$2005,$A52,'Receipt Vouchers'!$A$5:$A$2005,"&gt;="&amp;ReportFrom,'Receipt Vouchers'!$A$5:$A$2005,"&lt;="&amp;ReportTo)+SUMIFS('Receipt Vouchers'!$M$5:$M$2005,'Receipt Vouchers'!$R$5:$R$2005,$A52,'Receipt Vouchers'!$A$5:$A$2005,"&gt;="&amp;ReportFrom,'Receipt Vouchers'!$A$5:$A$2005,"&lt;="&amp;ReportTo))</f>
        <v/>
      </c>
      <c r="X52" s="25">
        <f>IF($A52="",0,(SUMIFS('Sales Invoices'!$O$5:$O$2005,'Sales Invoices'!$P$5:$P$2005,$A52,'Sales Invoices'!$B$5:$B$2005,"&lt;"&amp;ReportFrom)+SUMIFS('Sales Invoices'!$N$5:$N$2005,'Sales Invoices'!$R$5:$R$2005,$A52,'Sales Invoices'!$B$5:$B$2005,"&lt;"&amp;ReportFrom))-(SUMIFS('Sales Invoices'!$L$5:$L$2005,'Sales Invoices'!$Q$5:$Q$2005,$A52,'Sales Invoices'!$B$5:$B$2005,"&lt;"&amp;ReportFrom)+SUMIFS('Sales Invoices'!$M$5:$M$2005,'Sales Invoices'!$S$5:$S$2005,$A52,'Sales Invoices'!$B$5:$B$2005,"&lt;"&amp;ReportFrom)))</f>
        <v/>
      </c>
      <c r="Y52" s="25">
        <f>IF($A52="",0,SUMIFS('Sales Invoices'!$O$5:$O$2005,'Sales Invoices'!$P$5:$P$2005,$A52,'Sales Invoices'!$B$5:$B$2005,"&gt;="&amp;ReportFrom,'Sales Invoices'!$B$5:$B$2005,"&lt;="&amp;ReportTo)+SUMIFS('Sales Invoices'!$N$5:$N$2005,'Sales Invoices'!$R$5:$R$2005,$A52,'Sales Invoices'!$B$5:$B$2005,"&gt;="&amp;ReportFrom,'Sales Invoices'!$B$5:$B$2005,"&lt;="&amp;ReportTo))</f>
        <v/>
      </c>
      <c r="Z52" s="25">
        <f>IF($A52="",0,SUMIFS('Sales Invoices'!$L$5:$L$2005,'Sales Invoices'!$Q$5:$Q$2005,$A52,'Sales Invoices'!$B$5:$B$2005,"&gt;="&amp;ReportFrom,'Sales Invoices'!$B$5:$B$2005,"&lt;="&amp;ReportTo)+SUMIFS('Sales Invoices'!$M$5:$M$2005,'Sales Invoices'!$S$5:$S$2005,$A52,'Sales Invoices'!$B$5:$B$2005,"&gt;="&amp;ReportFrom,'Sales Invoices'!$B$5:$B$2005,"&lt;="&amp;ReportTo))</f>
        <v/>
      </c>
      <c r="AA52" s="25">
        <f>IF($A52="",0,(SUMIFS('Payment Vouchers'!$D$5:$D$2005,'Payment Vouchers'!$J$5:$J$2005,$A52,'Payment Vouchers'!$A$5:$A$2005,"&lt;"&amp;ReportFrom))-(SUMIFS('Payment Vouchers'!$D$5:$D$2005,'Payment Vouchers'!$K$5:$K$2005,$A52,'Payment Vouchers'!$A$5:$A$2005,"&lt;"&amp;ReportFrom)))</f>
        <v/>
      </c>
      <c r="AB52" s="25">
        <f>IF($A52="",0,SUMIFS('Payment Vouchers'!$D$5:$D$2005,'Payment Vouchers'!$J$5:$J$2005,$A52,'Payment Vouchers'!$A$5:$A$2005,"&gt;="&amp;ReportFrom,'Payment Vouchers'!$A$5:$A$2005,"&lt;="&amp;ReportTo))</f>
        <v/>
      </c>
      <c r="AC52" s="25">
        <f>IF($A52="",0,SUMIFS('Payment Vouchers'!$D$5:$D$2005,'Payment Vouchers'!$K$5:$K$2005,$A52,'Payment Vouchers'!$A$5:$A$2005,"&gt;="&amp;ReportFrom,'Payment Vouchers'!$A$5:$A$2005,"&lt;="&amp;ReportTo))</f>
        <v/>
      </c>
      <c r="AD52" s="25">
        <f>IF($A52="",0,(SUMIFS('Partner Transactions'!$D$5:$D$2005,'Partner Transactions'!$L$5:$L$2005,$A52,'Partner Transactions'!$A$5:$A$2005,"&lt;"&amp;ReportFrom))-(SUMIFS('Partner Transactions'!$D$5:$D$2005,'Partner Transactions'!$M$5:$M$2005,$A52,'Partner Transactions'!$A$5:$A$2005,"&lt;"&amp;ReportFrom)))</f>
        <v/>
      </c>
      <c r="AE52" s="25">
        <f>IF($A52="",0,SUMIFS('Partner Transactions'!$D$5:$D$2005,'Partner Transactions'!$L$5:$L$2005,$A52,'Partner Transactions'!$A$5:$A$2005,"&gt;="&amp;ReportFrom,'Partner Transactions'!$A$5:$A$2005,"&lt;="&amp;ReportTo))</f>
        <v/>
      </c>
      <c r="AF52" s="25">
        <f>IF($A52="",0,SUMIFS('Partner Transactions'!$D$5:$D$2005,'Partner Transactions'!$M$5:$M$2005,$A52,'Partner Transactions'!$A$5:$A$2005,"&gt;="&amp;ReportFrom,'Partner Transactions'!$A$5:$A$2005,"&lt;="&amp;ReportTo))</f>
        <v/>
      </c>
      <c r="AG52" s="25">
        <f>IF($A52="",0,(SUMIFS('Stock Moves'!$S$5:$S$2005,'Stock Moves'!$AD$5:$AD$2005,$A52,'Stock Moves'!$A$5:$A$2005,"&lt;"&amp;ReportFrom)+SUMIFS('Stock Moves'!$T$5:$T$2005,'Stock Moves'!$V$5:$V$2005,$A52,'Stock Moves'!$A$5:$A$2005,"&lt;"&amp;ReportFrom))-(SUMIFS('Stock Moves'!$AF$5:$AF$2005,'Stock Moves'!$AE$5:$AE$2005,$A52,'Stock Moves'!$A$5:$A$2005,"&lt;"&amp;ReportFrom)+SUMIFS('Stock Moves'!$AC$5:$AC$2005,'Stock Moves'!$X$5:$X$2005,$A52,'Stock Moves'!$A$5:$A$2005,"&lt;"&amp;ReportFrom)+SUMIFS('Stock Moves'!$U$5:$U$2005,'Stock Moves'!$W$5:$W$2005,$A52,'Stock Moves'!$A$5:$A$2005,"&lt;"&amp;ReportFrom)))</f>
        <v/>
      </c>
      <c r="AH52" s="25">
        <f>IF($A52="",0,SUMIFS('Stock Moves'!$S$5:$S$2005,'Stock Moves'!$AD$5:$AD$2005,$A52,'Stock Moves'!$A$5:$A$2005,"&gt;="&amp;ReportFrom,'Stock Moves'!$A$5:$A$2005,"&lt;="&amp;ReportTo)+SUMIFS('Stock Moves'!$T$5:$T$2005,'Stock Moves'!$V$5:$V$2005,$A52,'Stock Moves'!$A$5:$A$2005,"&gt;="&amp;ReportFrom,'Stock Moves'!$A$5:$A$2005,"&lt;="&amp;ReportTo))</f>
        <v/>
      </c>
      <c r="AI52" s="25">
        <f>IF($A52="",0,SUMIFS('Stock Moves'!$AF$5:$AF$2005,'Stock Moves'!$AE$5:$AE$2005,$A52,'Stock Moves'!$A$5:$A$2005,"&gt;="&amp;ReportFrom,'Stock Moves'!$A$5:$A$2005,"&lt;="&amp;ReportTo)+SUMIFS('Stock Moves'!$AC$5:$AC$2005,'Stock Moves'!$X$5:$X$2005,$A52,'Stock Moves'!$A$5:$A$2005,"&gt;="&amp;ReportFrom,'Stock Moves'!$A$5:$A$2005,"&lt;="&amp;ReportTo)+SUMIFS('Stock Moves'!$U$5:$U$2005,'Stock Moves'!$W$5:$W$2005,$A52,'Stock Moves'!$A$5:$A$2005,"&gt;="&amp;ReportFrom,'Stock Moves'!$A$5:$A$2005,"&lt;="&amp;ReportTo))</f>
        <v/>
      </c>
      <c r="AJ52" s="25">
        <f>IF($A52="",0,(SUMIFS('Journal Vouchers'!$I$5:$I$2005,'Journal Vouchers'!$H$5:$H$2005,$A52,'Journal Vouchers'!$B$5:$B$2005,"&lt;"&amp;ReportFrom))-(SUMIFS('Journal Vouchers'!$J$5:$J$2005,'Journal Vouchers'!$H$5:$H$2005,$A52,'Journal Vouchers'!$B$5:$B$2005,"&lt;"&amp;ReportFrom)))</f>
        <v/>
      </c>
      <c r="AK52" s="25">
        <f>IF($A52="",0,SUMIFS('Journal Vouchers'!$I$5:$I$2005,'Journal Vouchers'!$H$5:$H$2005,$A52,'Journal Vouchers'!$B$5:$B$2005,"&gt;="&amp;ReportFrom,'Journal Vouchers'!$B$5:$B$2005,"&lt;="&amp;ReportTo))</f>
        <v/>
      </c>
      <c r="AL52" s="25">
        <f>IF($A52="",0,SUMIFS('Journal Vouchers'!$J$5:$J$2005,'Journal Vouchers'!$H$5:$H$2005,$A52,'Journal Vouchers'!$B$5:$B$2005,"&gt;="&amp;ReportFrom,'Journal Vouchers'!$B$5:$B$2005,"&lt;="&amp;ReportTo))</f>
        <v/>
      </c>
    </row>
    <row r="53">
      <c r="A53" s="25">
        <f>IF('Chart of Accounts'!A53="","",'Chart of Accounts'!A53&amp;"")</f>
        <v/>
      </c>
      <c r="B53" s="25">
        <f>IF(A53="","",'Chart of Accounts'!B53)</f>
        <v/>
      </c>
      <c r="C53" s="25">
        <f>IF(A53="","",'Chart of Accounts'!C53)</f>
        <v/>
      </c>
      <c r="D53" s="25">
        <f>IF(A53="","",'Chart of Accounts'!D53)</f>
        <v/>
      </c>
      <c r="E53" s="26">
        <f>L53+O53+R53+U53+X53+AA53+AD53+AG53+AJ53</f>
        <v/>
      </c>
      <c r="F53" s="26">
        <f>M53+P53+S53+V53+Y53+AB53+AE53+AH53+AK53</f>
        <v/>
      </c>
      <c r="G53" s="26">
        <f>N53+Q53+T53+W53+Z53+AC53+AF53+AI53+AL53</f>
        <v/>
      </c>
      <c r="H53" s="26">
        <f>E53+F53-G53</f>
        <v/>
      </c>
      <c r="I53" s="26">
        <f>MAX(H53,0)</f>
        <v/>
      </c>
      <c r="J53" s="26">
        <f>MAX(-H53,0)</f>
        <v/>
      </c>
      <c r="L53" s="25">
        <f>IF($A53="",0,(SUMIFS('Direct Costs'!$R$5:$R$2005,'Direct Costs'!$V$5:$V$2005,$A53,'Direct Costs'!$A$5:$A$2005,"&lt;"&amp;ReportFrom)+SUMIFS('Direct Costs'!$S$5:$S$2005,'Direct Costs'!$Y$5:$Y$2005,$A53,'Direct Costs'!$A$5:$A$2005,"&lt;"&amp;ReportFrom))-(SUMIFS('Direct Costs'!$L$5:$L$2005,'Direct Costs'!$W$5:$W$2005,$A53,'Direct Costs'!$A$5:$A$2005,"&lt;"&amp;ReportFrom)+SUMIFS('Direct Costs'!$U$5:$U$2005,'Direct Costs'!$X$5:$X$2005,$A53,'Direct Costs'!$A$5:$A$2005,"&lt;"&amp;ReportFrom)+SUMIFS('Direct Costs'!$T$5:$T$2005,'Direct Costs'!$Z$5:$Z$2005,$A53,'Direct Costs'!$A$5:$A$2005,"&lt;"&amp;ReportFrom)))</f>
        <v/>
      </c>
      <c r="M53" s="25">
        <f>IF($A53="",0,SUMIFS('Direct Costs'!$R$5:$R$2005,'Direct Costs'!$V$5:$V$2005,$A53,'Direct Costs'!$A$5:$A$2005,"&gt;="&amp;ReportFrom,'Direct Costs'!$A$5:$A$2005,"&lt;="&amp;ReportTo)+SUMIFS('Direct Costs'!$S$5:$S$2005,'Direct Costs'!$Y$5:$Y$2005,$A53,'Direct Costs'!$A$5:$A$2005,"&gt;="&amp;ReportFrom,'Direct Costs'!$A$5:$A$2005,"&lt;="&amp;ReportTo))</f>
        <v/>
      </c>
      <c r="N53" s="25">
        <f>IF($A53="",0,SUMIFS('Direct Costs'!$L$5:$L$2005,'Direct Costs'!$W$5:$W$2005,$A53,'Direct Costs'!$A$5:$A$2005,"&gt;="&amp;ReportFrom,'Direct Costs'!$A$5:$A$2005,"&lt;="&amp;ReportTo)+SUMIFS('Direct Costs'!$U$5:$U$2005,'Direct Costs'!$X$5:$X$2005,$A53,'Direct Costs'!$A$5:$A$2005,"&gt;="&amp;ReportFrom,'Direct Costs'!$A$5:$A$2005,"&lt;="&amp;ReportTo)+SUMIFS('Direct Costs'!$T$5:$T$2005,'Direct Costs'!$Z$5:$Z$2005,$A53,'Direct Costs'!$A$5:$A$2005,"&gt;="&amp;ReportFrom,'Direct Costs'!$A$5:$A$2005,"&lt;="&amp;ReportTo))</f>
        <v/>
      </c>
      <c r="O53" s="25">
        <f>IF($A53="",0,(SUMIFS('Operating Expenses'!$F$5:$F$2005,'Operating Expenses'!$Q$5:$Q$2005,$A53,'Operating Expenses'!$A$5:$A$2005,"&lt;"&amp;ReportFrom)+SUMIFS('Operating Expenses'!$M$5:$M$2005,'Operating Expenses'!$T$5:$T$2005,$A53,'Operating Expenses'!$A$5:$A$2005,"&lt;"&amp;ReportFrom))-(SUMIFS('Operating Expenses'!$O$5:$O$2005,'Operating Expenses'!$R$5:$R$2005,$A53,'Operating Expenses'!$A$5:$A$2005,"&lt;"&amp;ReportFrom)+SUMIFS('Operating Expenses'!$P$5:$P$2005,'Operating Expenses'!$S$5:$S$2005,$A53,'Operating Expenses'!$A$5:$A$2005,"&lt;"&amp;ReportFrom)+SUMIFS('Operating Expenses'!$N$5:$N$2005,'Operating Expenses'!$U$5:$U$2005,$A53,'Operating Expenses'!$A$5:$A$2005,"&lt;"&amp;ReportFrom)))</f>
        <v/>
      </c>
      <c r="P53" s="25">
        <f>IF($A53="",0,SUMIFS('Operating Expenses'!$F$5:$F$2005,'Operating Expenses'!$Q$5:$Q$2005,$A53,'Operating Expenses'!$A$5:$A$2005,"&gt;="&amp;ReportFrom,'Operating Expenses'!$A$5:$A$2005,"&lt;="&amp;ReportTo)+SUMIFS('Operating Expenses'!$M$5:$M$2005,'Operating Expenses'!$T$5:$T$2005,$A53,'Operating Expenses'!$A$5:$A$2005,"&gt;="&amp;ReportFrom,'Operating Expenses'!$A$5:$A$2005,"&lt;="&amp;ReportTo))</f>
        <v/>
      </c>
      <c r="Q53" s="25">
        <f>IF($A53="",0,SUMIFS('Operating Expenses'!$O$5:$O$2005,'Operating Expenses'!$R$5:$R$2005,$A53,'Operating Expenses'!$A$5:$A$2005,"&gt;="&amp;ReportFrom,'Operating Expenses'!$A$5:$A$2005,"&lt;="&amp;ReportTo)+SUMIFS('Operating Expenses'!$P$5:$P$2005,'Operating Expenses'!$S$5:$S$2005,$A53,'Operating Expenses'!$A$5:$A$2005,"&gt;="&amp;ReportFrom,'Operating Expenses'!$A$5:$A$2005,"&lt;="&amp;ReportTo)+SUMIFS('Operating Expenses'!$N$5:$N$2005,'Operating Expenses'!$U$5:$U$2005,$A53,'Operating Expenses'!$A$5:$A$2005,"&gt;="&amp;ReportFrom,'Operating Expenses'!$A$5:$A$2005,"&lt;="&amp;ReportTo))</f>
        <v/>
      </c>
      <c r="R53" s="25">
        <f>IF($A53="",0,(SUMIFS('Payroll'!$O$5:$O$2005,'Payroll'!$Q$5:$Q$2005,$A53,'Payroll'!$A$5:$A$2005,"&lt;"&amp;ReportFrom))-(SUMIFS('Payroll'!$K$5:$K$2005,'Payroll'!$R$5:$R$2005,$A53,'Payroll'!$A$5:$A$2005,"&lt;"&amp;ReportFrom)+SUMIFS('Payroll'!$P$5:$P$2005,'Payroll'!$S$5:$S$2005,$A53,'Payroll'!$A$5:$A$2005,"&lt;"&amp;ReportFrom)))</f>
        <v/>
      </c>
      <c r="S53" s="25">
        <f>IF($A53="",0,SUMIFS('Payroll'!$O$5:$O$2005,'Payroll'!$Q$5:$Q$2005,$A53,'Payroll'!$A$5:$A$2005,"&gt;="&amp;ReportFrom,'Payroll'!$A$5:$A$2005,"&lt;="&amp;ReportTo))</f>
        <v/>
      </c>
      <c r="T53" s="25">
        <f>IF($A53="",0,SUMIFS('Payroll'!$K$5:$K$2005,'Payroll'!$R$5:$R$2005,$A53,'Payroll'!$A$5:$A$2005,"&gt;="&amp;ReportFrom,'Payroll'!$A$5:$A$2005,"&lt;="&amp;ReportTo)+SUMIFS('Payroll'!$P$5:$P$2005,'Payroll'!$S$5:$S$2005,$A53,'Payroll'!$A$5:$A$2005,"&gt;="&amp;ReportFrom,'Payroll'!$A$5:$A$2005,"&lt;="&amp;ReportTo))</f>
        <v/>
      </c>
      <c r="U53" s="25">
        <f>IF($A53="",0,(SUMIFS('Receipt Vouchers'!$F$5:$F$2005,'Receipt Vouchers'!$O$5:$O$2005,$A53,'Receipt Vouchers'!$A$5:$A$2005,"&lt;"&amp;ReportFrom)+SUMIFS('Receipt Vouchers'!$J$5:$J$2005,'Receipt Vouchers'!$Q$5:$Q$2005,$A53,'Receipt Vouchers'!$A$5:$A$2005,"&lt;"&amp;ReportFrom))-(SUMIFS('Receipt Vouchers'!$N$5:$N$2005,'Receipt Vouchers'!$P$5:$P$2005,$A53,'Receipt Vouchers'!$A$5:$A$2005,"&lt;"&amp;ReportFrom)+SUMIFS('Receipt Vouchers'!$M$5:$M$2005,'Receipt Vouchers'!$R$5:$R$2005,$A53,'Receipt Vouchers'!$A$5:$A$2005,"&lt;"&amp;ReportFrom)))</f>
        <v/>
      </c>
      <c r="V53" s="25">
        <f>IF($A53="",0,SUMIFS('Receipt Vouchers'!$F$5:$F$2005,'Receipt Vouchers'!$O$5:$O$2005,$A53,'Receipt Vouchers'!$A$5:$A$2005,"&gt;="&amp;ReportFrom,'Receipt Vouchers'!$A$5:$A$2005,"&lt;="&amp;ReportTo)+SUMIFS('Receipt Vouchers'!$J$5:$J$2005,'Receipt Vouchers'!$Q$5:$Q$2005,$A53,'Receipt Vouchers'!$A$5:$A$2005,"&gt;="&amp;ReportFrom,'Receipt Vouchers'!$A$5:$A$2005,"&lt;="&amp;ReportTo))</f>
        <v/>
      </c>
      <c r="W53" s="25">
        <f>IF($A53="",0,SUMIFS('Receipt Vouchers'!$N$5:$N$2005,'Receipt Vouchers'!$P$5:$P$2005,$A53,'Receipt Vouchers'!$A$5:$A$2005,"&gt;="&amp;ReportFrom,'Receipt Vouchers'!$A$5:$A$2005,"&lt;="&amp;ReportTo)+SUMIFS('Receipt Vouchers'!$M$5:$M$2005,'Receipt Vouchers'!$R$5:$R$2005,$A53,'Receipt Vouchers'!$A$5:$A$2005,"&gt;="&amp;ReportFrom,'Receipt Vouchers'!$A$5:$A$2005,"&lt;="&amp;ReportTo))</f>
        <v/>
      </c>
      <c r="X53" s="25">
        <f>IF($A53="",0,(SUMIFS('Sales Invoices'!$O$5:$O$2005,'Sales Invoices'!$P$5:$P$2005,$A53,'Sales Invoices'!$B$5:$B$2005,"&lt;"&amp;ReportFrom)+SUMIFS('Sales Invoices'!$N$5:$N$2005,'Sales Invoices'!$R$5:$R$2005,$A53,'Sales Invoices'!$B$5:$B$2005,"&lt;"&amp;ReportFrom))-(SUMIFS('Sales Invoices'!$L$5:$L$2005,'Sales Invoices'!$Q$5:$Q$2005,$A53,'Sales Invoices'!$B$5:$B$2005,"&lt;"&amp;ReportFrom)+SUMIFS('Sales Invoices'!$M$5:$M$2005,'Sales Invoices'!$S$5:$S$2005,$A53,'Sales Invoices'!$B$5:$B$2005,"&lt;"&amp;ReportFrom)))</f>
        <v/>
      </c>
      <c r="Y53" s="25">
        <f>IF($A53="",0,SUMIFS('Sales Invoices'!$O$5:$O$2005,'Sales Invoices'!$P$5:$P$2005,$A53,'Sales Invoices'!$B$5:$B$2005,"&gt;="&amp;ReportFrom,'Sales Invoices'!$B$5:$B$2005,"&lt;="&amp;ReportTo)+SUMIFS('Sales Invoices'!$N$5:$N$2005,'Sales Invoices'!$R$5:$R$2005,$A53,'Sales Invoices'!$B$5:$B$2005,"&gt;="&amp;ReportFrom,'Sales Invoices'!$B$5:$B$2005,"&lt;="&amp;ReportTo))</f>
        <v/>
      </c>
      <c r="Z53" s="25">
        <f>IF($A53="",0,SUMIFS('Sales Invoices'!$L$5:$L$2005,'Sales Invoices'!$Q$5:$Q$2005,$A53,'Sales Invoices'!$B$5:$B$2005,"&gt;="&amp;ReportFrom,'Sales Invoices'!$B$5:$B$2005,"&lt;="&amp;ReportTo)+SUMIFS('Sales Invoices'!$M$5:$M$2005,'Sales Invoices'!$S$5:$S$2005,$A53,'Sales Invoices'!$B$5:$B$2005,"&gt;="&amp;ReportFrom,'Sales Invoices'!$B$5:$B$2005,"&lt;="&amp;ReportTo))</f>
        <v/>
      </c>
      <c r="AA53" s="25">
        <f>IF($A53="",0,(SUMIFS('Payment Vouchers'!$D$5:$D$2005,'Payment Vouchers'!$J$5:$J$2005,$A53,'Payment Vouchers'!$A$5:$A$2005,"&lt;"&amp;ReportFrom))-(SUMIFS('Payment Vouchers'!$D$5:$D$2005,'Payment Vouchers'!$K$5:$K$2005,$A53,'Payment Vouchers'!$A$5:$A$2005,"&lt;"&amp;ReportFrom)))</f>
        <v/>
      </c>
      <c r="AB53" s="25">
        <f>IF($A53="",0,SUMIFS('Payment Vouchers'!$D$5:$D$2005,'Payment Vouchers'!$J$5:$J$2005,$A53,'Payment Vouchers'!$A$5:$A$2005,"&gt;="&amp;ReportFrom,'Payment Vouchers'!$A$5:$A$2005,"&lt;="&amp;ReportTo))</f>
        <v/>
      </c>
      <c r="AC53" s="25">
        <f>IF($A53="",0,SUMIFS('Payment Vouchers'!$D$5:$D$2005,'Payment Vouchers'!$K$5:$K$2005,$A53,'Payment Vouchers'!$A$5:$A$2005,"&gt;="&amp;ReportFrom,'Payment Vouchers'!$A$5:$A$2005,"&lt;="&amp;ReportTo))</f>
        <v/>
      </c>
      <c r="AD53" s="25">
        <f>IF($A53="",0,(SUMIFS('Partner Transactions'!$D$5:$D$2005,'Partner Transactions'!$L$5:$L$2005,$A53,'Partner Transactions'!$A$5:$A$2005,"&lt;"&amp;ReportFrom))-(SUMIFS('Partner Transactions'!$D$5:$D$2005,'Partner Transactions'!$M$5:$M$2005,$A53,'Partner Transactions'!$A$5:$A$2005,"&lt;"&amp;ReportFrom)))</f>
        <v/>
      </c>
      <c r="AE53" s="25">
        <f>IF($A53="",0,SUMIFS('Partner Transactions'!$D$5:$D$2005,'Partner Transactions'!$L$5:$L$2005,$A53,'Partner Transactions'!$A$5:$A$2005,"&gt;="&amp;ReportFrom,'Partner Transactions'!$A$5:$A$2005,"&lt;="&amp;ReportTo))</f>
        <v/>
      </c>
      <c r="AF53" s="25">
        <f>IF($A53="",0,SUMIFS('Partner Transactions'!$D$5:$D$2005,'Partner Transactions'!$M$5:$M$2005,$A53,'Partner Transactions'!$A$5:$A$2005,"&gt;="&amp;ReportFrom,'Partner Transactions'!$A$5:$A$2005,"&lt;="&amp;ReportTo))</f>
        <v/>
      </c>
      <c r="AG53" s="25">
        <f>IF($A53="",0,(SUMIFS('Stock Moves'!$S$5:$S$2005,'Stock Moves'!$AD$5:$AD$2005,$A53,'Stock Moves'!$A$5:$A$2005,"&lt;"&amp;ReportFrom)+SUMIFS('Stock Moves'!$T$5:$T$2005,'Stock Moves'!$V$5:$V$2005,$A53,'Stock Moves'!$A$5:$A$2005,"&lt;"&amp;ReportFrom))-(SUMIFS('Stock Moves'!$AF$5:$AF$2005,'Stock Moves'!$AE$5:$AE$2005,$A53,'Stock Moves'!$A$5:$A$2005,"&lt;"&amp;ReportFrom)+SUMIFS('Stock Moves'!$AC$5:$AC$2005,'Stock Moves'!$X$5:$X$2005,$A53,'Stock Moves'!$A$5:$A$2005,"&lt;"&amp;ReportFrom)+SUMIFS('Stock Moves'!$U$5:$U$2005,'Stock Moves'!$W$5:$W$2005,$A53,'Stock Moves'!$A$5:$A$2005,"&lt;"&amp;ReportFrom)))</f>
        <v/>
      </c>
      <c r="AH53" s="25">
        <f>IF($A53="",0,SUMIFS('Stock Moves'!$S$5:$S$2005,'Stock Moves'!$AD$5:$AD$2005,$A53,'Stock Moves'!$A$5:$A$2005,"&gt;="&amp;ReportFrom,'Stock Moves'!$A$5:$A$2005,"&lt;="&amp;ReportTo)+SUMIFS('Stock Moves'!$T$5:$T$2005,'Stock Moves'!$V$5:$V$2005,$A53,'Stock Moves'!$A$5:$A$2005,"&gt;="&amp;ReportFrom,'Stock Moves'!$A$5:$A$2005,"&lt;="&amp;ReportTo))</f>
        <v/>
      </c>
      <c r="AI53" s="25">
        <f>IF($A53="",0,SUMIFS('Stock Moves'!$AF$5:$AF$2005,'Stock Moves'!$AE$5:$AE$2005,$A53,'Stock Moves'!$A$5:$A$2005,"&gt;="&amp;ReportFrom,'Stock Moves'!$A$5:$A$2005,"&lt;="&amp;ReportTo)+SUMIFS('Stock Moves'!$AC$5:$AC$2005,'Stock Moves'!$X$5:$X$2005,$A53,'Stock Moves'!$A$5:$A$2005,"&gt;="&amp;ReportFrom,'Stock Moves'!$A$5:$A$2005,"&lt;="&amp;ReportTo)+SUMIFS('Stock Moves'!$U$5:$U$2005,'Stock Moves'!$W$5:$W$2005,$A53,'Stock Moves'!$A$5:$A$2005,"&gt;="&amp;ReportFrom,'Stock Moves'!$A$5:$A$2005,"&lt;="&amp;ReportTo))</f>
        <v/>
      </c>
      <c r="AJ53" s="25">
        <f>IF($A53="",0,(SUMIFS('Journal Vouchers'!$I$5:$I$2005,'Journal Vouchers'!$H$5:$H$2005,$A53,'Journal Vouchers'!$B$5:$B$2005,"&lt;"&amp;ReportFrom))-(SUMIFS('Journal Vouchers'!$J$5:$J$2005,'Journal Vouchers'!$H$5:$H$2005,$A53,'Journal Vouchers'!$B$5:$B$2005,"&lt;"&amp;ReportFrom)))</f>
        <v/>
      </c>
      <c r="AK53" s="25">
        <f>IF($A53="",0,SUMIFS('Journal Vouchers'!$I$5:$I$2005,'Journal Vouchers'!$H$5:$H$2005,$A53,'Journal Vouchers'!$B$5:$B$2005,"&gt;="&amp;ReportFrom,'Journal Vouchers'!$B$5:$B$2005,"&lt;="&amp;ReportTo))</f>
        <v/>
      </c>
      <c r="AL53" s="25">
        <f>IF($A53="",0,SUMIFS('Journal Vouchers'!$J$5:$J$2005,'Journal Vouchers'!$H$5:$H$2005,$A53,'Journal Vouchers'!$B$5:$B$2005,"&gt;="&amp;ReportFrom,'Journal Vouchers'!$B$5:$B$2005,"&lt;="&amp;ReportTo))</f>
        <v/>
      </c>
    </row>
    <row r="54">
      <c r="A54" s="25">
        <f>IF('Chart of Accounts'!A54="","",'Chart of Accounts'!A54&amp;"")</f>
        <v/>
      </c>
      <c r="B54" s="25">
        <f>IF(A54="","",'Chart of Accounts'!B54)</f>
        <v/>
      </c>
      <c r="C54" s="25">
        <f>IF(A54="","",'Chart of Accounts'!C54)</f>
        <v/>
      </c>
      <c r="D54" s="25">
        <f>IF(A54="","",'Chart of Accounts'!D54)</f>
        <v/>
      </c>
      <c r="E54" s="26">
        <f>L54+O54+R54+U54+X54+AA54+AD54+AG54+AJ54</f>
        <v/>
      </c>
      <c r="F54" s="26">
        <f>M54+P54+S54+V54+Y54+AB54+AE54+AH54+AK54</f>
        <v/>
      </c>
      <c r="G54" s="26">
        <f>N54+Q54+T54+W54+Z54+AC54+AF54+AI54+AL54</f>
        <v/>
      </c>
      <c r="H54" s="26">
        <f>E54+F54-G54</f>
        <v/>
      </c>
      <c r="I54" s="26">
        <f>MAX(H54,0)</f>
        <v/>
      </c>
      <c r="J54" s="26">
        <f>MAX(-H54,0)</f>
        <v/>
      </c>
      <c r="L54" s="25">
        <f>IF($A54="",0,(SUMIFS('Direct Costs'!$R$5:$R$2005,'Direct Costs'!$V$5:$V$2005,$A54,'Direct Costs'!$A$5:$A$2005,"&lt;"&amp;ReportFrom)+SUMIFS('Direct Costs'!$S$5:$S$2005,'Direct Costs'!$Y$5:$Y$2005,$A54,'Direct Costs'!$A$5:$A$2005,"&lt;"&amp;ReportFrom))-(SUMIFS('Direct Costs'!$L$5:$L$2005,'Direct Costs'!$W$5:$W$2005,$A54,'Direct Costs'!$A$5:$A$2005,"&lt;"&amp;ReportFrom)+SUMIFS('Direct Costs'!$U$5:$U$2005,'Direct Costs'!$X$5:$X$2005,$A54,'Direct Costs'!$A$5:$A$2005,"&lt;"&amp;ReportFrom)+SUMIFS('Direct Costs'!$T$5:$T$2005,'Direct Costs'!$Z$5:$Z$2005,$A54,'Direct Costs'!$A$5:$A$2005,"&lt;"&amp;ReportFrom)))</f>
        <v/>
      </c>
      <c r="M54" s="25">
        <f>IF($A54="",0,SUMIFS('Direct Costs'!$R$5:$R$2005,'Direct Costs'!$V$5:$V$2005,$A54,'Direct Costs'!$A$5:$A$2005,"&gt;="&amp;ReportFrom,'Direct Costs'!$A$5:$A$2005,"&lt;="&amp;ReportTo)+SUMIFS('Direct Costs'!$S$5:$S$2005,'Direct Costs'!$Y$5:$Y$2005,$A54,'Direct Costs'!$A$5:$A$2005,"&gt;="&amp;ReportFrom,'Direct Costs'!$A$5:$A$2005,"&lt;="&amp;ReportTo))</f>
        <v/>
      </c>
      <c r="N54" s="25">
        <f>IF($A54="",0,SUMIFS('Direct Costs'!$L$5:$L$2005,'Direct Costs'!$W$5:$W$2005,$A54,'Direct Costs'!$A$5:$A$2005,"&gt;="&amp;ReportFrom,'Direct Costs'!$A$5:$A$2005,"&lt;="&amp;ReportTo)+SUMIFS('Direct Costs'!$U$5:$U$2005,'Direct Costs'!$X$5:$X$2005,$A54,'Direct Costs'!$A$5:$A$2005,"&gt;="&amp;ReportFrom,'Direct Costs'!$A$5:$A$2005,"&lt;="&amp;ReportTo)+SUMIFS('Direct Costs'!$T$5:$T$2005,'Direct Costs'!$Z$5:$Z$2005,$A54,'Direct Costs'!$A$5:$A$2005,"&gt;="&amp;ReportFrom,'Direct Costs'!$A$5:$A$2005,"&lt;="&amp;ReportTo))</f>
        <v/>
      </c>
      <c r="O54" s="25">
        <f>IF($A54="",0,(SUMIFS('Operating Expenses'!$F$5:$F$2005,'Operating Expenses'!$Q$5:$Q$2005,$A54,'Operating Expenses'!$A$5:$A$2005,"&lt;"&amp;ReportFrom)+SUMIFS('Operating Expenses'!$M$5:$M$2005,'Operating Expenses'!$T$5:$T$2005,$A54,'Operating Expenses'!$A$5:$A$2005,"&lt;"&amp;ReportFrom))-(SUMIFS('Operating Expenses'!$O$5:$O$2005,'Operating Expenses'!$R$5:$R$2005,$A54,'Operating Expenses'!$A$5:$A$2005,"&lt;"&amp;ReportFrom)+SUMIFS('Operating Expenses'!$P$5:$P$2005,'Operating Expenses'!$S$5:$S$2005,$A54,'Operating Expenses'!$A$5:$A$2005,"&lt;"&amp;ReportFrom)+SUMIFS('Operating Expenses'!$N$5:$N$2005,'Operating Expenses'!$U$5:$U$2005,$A54,'Operating Expenses'!$A$5:$A$2005,"&lt;"&amp;ReportFrom)))</f>
        <v/>
      </c>
      <c r="P54" s="25">
        <f>IF($A54="",0,SUMIFS('Operating Expenses'!$F$5:$F$2005,'Operating Expenses'!$Q$5:$Q$2005,$A54,'Operating Expenses'!$A$5:$A$2005,"&gt;="&amp;ReportFrom,'Operating Expenses'!$A$5:$A$2005,"&lt;="&amp;ReportTo)+SUMIFS('Operating Expenses'!$M$5:$M$2005,'Operating Expenses'!$T$5:$T$2005,$A54,'Operating Expenses'!$A$5:$A$2005,"&gt;="&amp;ReportFrom,'Operating Expenses'!$A$5:$A$2005,"&lt;="&amp;ReportTo))</f>
        <v/>
      </c>
      <c r="Q54" s="25">
        <f>IF($A54="",0,SUMIFS('Operating Expenses'!$O$5:$O$2005,'Operating Expenses'!$R$5:$R$2005,$A54,'Operating Expenses'!$A$5:$A$2005,"&gt;="&amp;ReportFrom,'Operating Expenses'!$A$5:$A$2005,"&lt;="&amp;ReportTo)+SUMIFS('Operating Expenses'!$P$5:$P$2005,'Operating Expenses'!$S$5:$S$2005,$A54,'Operating Expenses'!$A$5:$A$2005,"&gt;="&amp;ReportFrom,'Operating Expenses'!$A$5:$A$2005,"&lt;="&amp;ReportTo)+SUMIFS('Operating Expenses'!$N$5:$N$2005,'Operating Expenses'!$U$5:$U$2005,$A54,'Operating Expenses'!$A$5:$A$2005,"&gt;="&amp;ReportFrom,'Operating Expenses'!$A$5:$A$2005,"&lt;="&amp;ReportTo))</f>
        <v/>
      </c>
      <c r="R54" s="25">
        <f>IF($A54="",0,(SUMIFS('Payroll'!$O$5:$O$2005,'Payroll'!$Q$5:$Q$2005,$A54,'Payroll'!$A$5:$A$2005,"&lt;"&amp;ReportFrom))-(SUMIFS('Payroll'!$K$5:$K$2005,'Payroll'!$R$5:$R$2005,$A54,'Payroll'!$A$5:$A$2005,"&lt;"&amp;ReportFrom)+SUMIFS('Payroll'!$P$5:$P$2005,'Payroll'!$S$5:$S$2005,$A54,'Payroll'!$A$5:$A$2005,"&lt;"&amp;ReportFrom)))</f>
        <v/>
      </c>
      <c r="S54" s="25">
        <f>IF($A54="",0,SUMIFS('Payroll'!$O$5:$O$2005,'Payroll'!$Q$5:$Q$2005,$A54,'Payroll'!$A$5:$A$2005,"&gt;="&amp;ReportFrom,'Payroll'!$A$5:$A$2005,"&lt;="&amp;ReportTo))</f>
        <v/>
      </c>
      <c r="T54" s="25">
        <f>IF($A54="",0,SUMIFS('Payroll'!$K$5:$K$2005,'Payroll'!$R$5:$R$2005,$A54,'Payroll'!$A$5:$A$2005,"&gt;="&amp;ReportFrom,'Payroll'!$A$5:$A$2005,"&lt;="&amp;ReportTo)+SUMIFS('Payroll'!$P$5:$P$2005,'Payroll'!$S$5:$S$2005,$A54,'Payroll'!$A$5:$A$2005,"&gt;="&amp;ReportFrom,'Payroll'!$A$5:$A$2005,"&lt;="&amp;ReportTo))</f>
        <v/>
      </c>
      <c r="U54" s="25">
        <f>IF($A54="",0,(SUMIFS('Receipt Vouchers'!$F$5:$F$2005,'Receipt Vouchers'!$O$5:$O$2005,$A54,'Receipt Vouchers'!$A$5:$A$2005,"&lt;"&amp;ReportFrom)+SUMIFS('Receipt Vouchers'!$J$5:$J$2005,'Receipt Vouchers'!$Q$5:$Q$2005,$A54,'Receipt Vouchers'!$A$5:$A$2005,"&lt;"&amp;ReportFrom))-(SUMIFS('Receipt Vouchers'!$N$5:$N$2005,'Receipt Vouchers'!$P$5:$P$2005,$A54,'Receipt Vouchers'!$A$5:$A$2005,"&lt;"&amp;ReportFrom)+SUMIFS('Receipt Vouchers'!$M$5:$M$2005,'Receipt Vouchers'!$R$5:$R$2005,$A54,'Receipt Vouchers'!$A$5:$A$2005,"&lt;"&amp;ReportFrom)))</f>
        <v/>
      </c>
      <c r="V54" s="25">
        <f>IF($A54="",0,SUMIFS('Receipt Vouchers'!$F$5:$F$2005,'Receipt Vouchers'!$O$5:$O$2005,$A54,'Receipt Vouchers'!$A$5:$A$2005,"&gt;="&amp;ReportFrom,'Receipt Vouchers'!$A$5:$A$2005,"&lt;="&amp;ReportTo)+SUMIFS('Receipt Vouchers'!$J$5:$J$2005,'Receipt Vouchers'!$Q$5:$Q$2005,$A54,'Receipt Vouchers'!$A$5:$A$2005,"&gt;="&amp;ReportFrom,'Receipt Vouchers'!$A$5:$A$2005,"&lt;="&amp;ReportTo))</f>
        <v/>
      </c>
      <c r="W54" s="25">
        <f>IF($A54="",0,SUMIFS('Receipt Vouchers'!$N$5:$N$2005,'Receipt Vouchers'!$P$5:$P$2005,$A54,'Receipt Vouchers'!$A$5:$A$2005,"&gt;="&amp;ReportFrom,'Receipt Vouchers'!$A$5:$A$2005,"&lt;="&amp;ReportTo)+SUMIFS('Receipt Vouchers'!$M$5:$M$2005,'Receipt Vouchers'!$R$5:$R$2005,$A54,'Receipt Vouchers'!$A$5:$A$2005,"&gt;="&amp;ReportFrom,'Receipt Vouchers'!$A$5:$A$2005,"&lt;="&amp;ReportTo))</f>
        <v/>
      </c>
      <c r="X54" s="25">
        <f>IF($A54="",0,(SUMIFS('Sales Invoices'!$O$5:$O$2005,'Sales Invoices'!$P$5:$P$2005,$A54,'Sales Invoices'!$B$5:$B$2005,"&lt;"&amp;ReportFrom)+SUMIFS('Sales Invoices'!$N$5:$N$2005,'Sales Invoices'!$R$5:$R$2005,$A54,'Sales Invoices'!$B$5:$B$2005,"&lt;"&amp;ReportFrom))-(SUMIFS('Sales Invoices'!$L$5:$L$2005,'Sales Invoices'!$Q$5:$Q$2005,$A54,'Sales Invoices'!$B$5:$B$2005,"&lt;"&amp;ReportFrom)+SUMIFS('Sales Invoices'!$M$5:$M$2005,'Sales Invoices'!$S$5:$S$2005,$A54,'Sales Invoices'!$B$5:$B$2005,"&lt;"&amp;ReportFrom)))</f>
        <v/>
      </c>
      <c r="Y54" s="25">
        <f>IF($A54="",0,SUMIFS('Sales Invoices'!$O$5:$O$2005,'Sales Invoices'!$P$5:$P$2005,$A54,'Sales Invoices'!$B$5:$B$2005,"&gt;="&amp;ReportFrom,'Sales Invoices'!$B$5:$B$2005,"&lt;="&amp;ReportTo)+SUMIFS('Sales Invoices'!$N$5:$N$2005,'Sales Invoices'!$R$5:$R$2005,$A54,'Sales Invoices'!$B$5:$B$2005,"&gt;="&amp;ReportFrom,'Sales Invoices'!$B$5:$B$2005,"&lt;="&amp;ReportTo))</f>
        <v/>
      </c>
      <c r="Z54" s="25">
        <f>IF($A54="",0,SUMIFS('Sales Invoices'!$L$5:$L$2005,'Sales Invoices'!$Q$5:$Q$2005,$A54,'Sales Invoices'!$B$5:$B$2005,"&gt;="&amp;ReportFrom,'Sales Invoices'!$B$5:$B$2005,"&lt;="&amp;ReportTo)+SUMIFS('Sales Invoices'!$M$5:$M$2005,'Sales Invoices'!$S$5:$S$2005,$A54,'Sales Invoices'!$B$5:$B$2005,"&gt;="&amp;ReportFrom,'Sales Invoices'!$B$5:$B$2005,"&lt;="&amp;ReportTo))</f>
        <v/>
      </c>
      <c r="AA54" s="25">
        <f>IF($A54="",0,(SUMIFS('Payment Vouchers'!$D$5:$D$2005,'Payment Vouchers'!$J$5:$J$2005,$A54,'Payment Vouchers'!$A$5:$A$2005,"&lt;"&amp;ReportFrom))-(SUMIFS('Payment Vouchers'!$D$5:$D$2005,'Payment Vouchers'!$K$5:$K$2005,$A54,'Payment Vouchers'!$A$5:$A$2005,"&lt;"&amp;ReportFrom)))</f>
        <v/>
      </c>
      <c r="AB54" s="25">
        <f>IF($A54="",0,SUMIFS('Payment Vouchers'!$D$5:$D$2005,'Payment Vouchers'!$J$5:$J$2005,$A54,'Payment Vouchers'!$A$5:$A$2005,"&gt;="&amp;ReportFrom,'Payment Vouchers'!$A$5:$A$2005,"&lt;="&amp;ReportTo))</f>
        <v/>
      </c>
      <c r="AC54" s="25">
        <f>IF($A54="",0,SUMIFS('Payment Vouchers'!$D$5:$D$2005,'Payment Vouchers'!$K$5:$K$2005,$A54,'Payment Vouchers'!$A$5:$A$2005,"&gt;="&amp;ReportFrom,'Payment Vouchers'!$A$5:$A$2005,"&lt;="&amp;ReportTo))</f>
        <v/>
      </c>
      <c r="AD54" s="25">
        <f>IF($A54="",0,(SUMIFS('Partner Transactions'!$D$5:$D$2005,'Partner Transactions'!$L$5:$L$2005,$A54,'Partner Transactions'!$A$5:$A$2005,"&lt;"&amp;ReportFrom))-(SUMIFS('Partner Transactions'!$D$5:$D$2005,'Partner Transactions'!$M$5:$M$2005,$A54,'Partner Transactions'!$A$5:$A$2005,"&lt;"&amp;ReportFrom)))</f>
        <v/>
      </c>
      <c r="AE54" s="25">
        <f>IF($A54="",0,SUMIFS('Partner Transactions'!$D$5:$D$2005,'Partner Transactions'!$L$5:$L$2005,$A54,'Partner Transactions'!$A$5:$A$2005,"&gt;="&amp;ReportFrom,'Partner Transactions'!$A$5:$A$2005,"&lt;="&amp;ReportTo))</f>
        <v/>
      </c>
      <c r="AF54" s="25">
        <f>IF($A54="",0,SUMIFS('Partner Transactions'!$D$5:$D$2005,'Partner Transactions'!$M$5:$M$2005,$A54,'Partner Transactions'!$A$5:$A$2005,"&gt;="&amp;ReportFrom,'Partner Transactions'!$A$5:$A$2005,"&lt;="&amp;ReportTo))</f>
        <v/>
      </c>
      <c r="AG54" s="25">
        <f>IF($A54="",0,(SUMIFS('Stock Moves'!$S$5:$S$2005,'Stock Moves'!$AD$5:$AD$2005,$A54,'Stock Moves'!$A$5:$A$2005,"&lt;"&amp;ReportFrom)+SUMIFS('Stock Moves'!$T$5:$T$2005,'Stock Moves'!$V$5:$V$2005,$A54,'Stock Moves'!$A$5:$A$2005,"&lt;"&amp;ReportFrom))-(SUMIFS('Stock Moves'!$AF$5:$AF$2005,'Stock Moves'!$AE$5:$AE$2005,$A54,'Stock Moves'!$A$5:$A$2005,"&lt;"&amp;ReportFrom)+SUMIFS('Stock Moves'!$AC$5:$AC$2005,'Stock Moves'!$X$5:$X$2005,$A54,'Stock Moves'!$A$5:$A$2005,"&lt;"&amp;ReportFrom)+SUMIFS('Stock Moves'!$U$5:$U$2005,'Stock Moves'!$W$5:$W$2005,$A54,'Stock Moves'!$A$5:$A$2005,"&lt;"&amp;ReportFrom)))</f>
        <v/>
      </c>
      <c r="AH54" s="25">
        <f>IF($A54="",0,SUMIFS('Stock Moves'!$S$5:$S$2005,'Stock Moves'!$AD$5:$AD$2005,$A54,'Stock Moves'!$A$5:$A$2005,"&gt;="&amp;ReportFrom,'Stock Moves'!$A$5:$A$2005,"&lt;="&amp;ReportTo)+SUMIFS('Stock Moves'!$T$5:$T$2005,'Stock Moves'!$V$5:$V$2005,$A54,'Stock Moves'!$A$5:$A$2005,"&gt;="&amp;ReportFrom,'Stock Moves'!$A$5:$A$2005,"&lt;="&amp;ReportTo))</f>
        <v/>
      </c>
      <c r="AI54" s="25">
        <f>IF($A54="",0,SUMIFS('Stock Moves'!$AF$5:$AF$2005,'Stock Moves'!$AE$5:$AE$2005,$A54,'Stock Moves'!$A$5:$A$2005,"&gt;="&amp;ReportFrom,'Stock Moves'!$A$5:$A$2005,"&lt;="&amp;ReportTo)+SUMIFS('Stock Moves'!$AC$5:$AC$2005,'Stock Moves'!$X$5:$X$2005,$A54,'Stock Moves'!$A$5:$A$2005,"&gt;="&amp;ReportFrom,'Stock Moves'!$A$5:$A$2005,"&lt;="&amp;ReportTo)+SUMIFS('Stock Moves'!$U$5:$U$2005,'Stock Moves'!$W$5:$W$2005,$A54,'Stock Moves'!$A$5:$A$2005,"&gt;="&amp;ReportFrom,'Stock Moves'!$A$5:$A$2005,"&lt;="&amp;ReportTo))</f>
        <v/>
      </c>
      <c r="AJ54" s="25">
        <f>IF($A54="",0,(SUMIFS('Journal Vouchers'!$I$5:$I$2005,'Journal Vouchers'!$H$5:$H$2005,$A54,'Journal Vouchers'!$B$5:$B$2005,"&lt;"&amp;ReportFrom))-(SUMIFS('Journal Vouchers'!$J$5:$J$2005,'Journal Vouchers'!$H$5:$H$2005,$A54,'Journal Vouchers'!$B$5:$B$2005,"&lt;"&amp;ReportFrom)))</f>
        <v/>
      </c>
      <c r="AK54" s="25">
        <f>IF($A54="",0,SUMIFS('Journal Vouchers'!$I$5:$I$2005,'Journal Vouchers'!$H$5:$H$2005,$A54,'Journal Vouchers'!$B$5:$B$2005,"&gt;="&amp;ReportFrom,'Journal Vouchers'!$B$5:$B$2005,"&lt;="&amp;ReportTo))</f>
        <v/>
      </c>
      <c r="AL54" s="25">
        <f>IF($A54="",0,SUMIFS('Journal Vouchers'!$J$5:$J$2005,'Journal Vouchers'!$H$5:$H$2005,$A54,'Journal Vouchers'!$B$5:$B$2005,"&gt;="&amp;ReportFrom,'Journal Vouchers'!$B$5:$B$2005,"&lt;="&amp;ReportTo))</f>
        <v/>
      </c>
    </row>
    <row r="55">
      <c r="A55" s="25">
        <f>IF('Chart of Accounts'!A55="","",'Chart of Accounts'!A55&amp;"")</f>
        <v/>
      </c>
      <c r="B55" s="25">
        <f>IF(A55="","",'Chart of Accounts'!B55)</f>
        <v/>
      </c>
      <c r="C55" s="25">
        <f>IF(A55="","",'Chart of Accounts'!C55)</f>
        <v/>
      </c>
      <c r="D55" s="25">
        <f>IF(A55="","",'Chart of Accounts'!D55)</f>
        <v/>
      </c>
      <c r="E55" s="26">
        <f>L55+O55+R55+U55+X55+AA55+AD55+AG55+AJ55</f>
        <v/>
      </c>
      <c r="F55" s="26">
        <f>M55+P55+S55+V55+Y55+AB55+AE55+AH55+AK55</f>
        <v/>
      </c>
      <c r="G55" s="26">
        <f>N55+Q55+T55+W55+Z55+AC55+AF55+AI55+AL55</f>
        <v/>
      </c>
      <c r="H55" s="26">
        <f>E55+F55-G55</f>
        <v/>
      </c>
      <c r="I55" s="26">
        <f>MAX(H55,0)</f>
        <v/>
      </c>
      <c r="J55" s="26">
        <f>MAX(-H55,0)</f>
        <v/>
      </c>
      <c r="L55" s="25">
        <f>IF($A55="",0,(SUMIFS('Direct Costs'!$R$5:$R$2005,'Direct Costs'!$V$5:$V$2005,$A55,'Direct Costs'!$A$5:$A$2005,"&lt;"&amp;ReportFrom)+SUMIFS('Direct Costs'!$S$5:$S$2005,'Direct Costs'!$Y$5:$Y$2005,$A55,'Direct Costs'!$A$5:$A$2005,"&lt;"&amp;ReportFrom))-(SUMIFS('Direct Costs'!$L$5:$L$2005,'Direct Costs'!$W$5:$W$2005,$A55,'Direct Costs'!$A$5:$A$2005,"&lt;"&amp;ReportFrom)+SUMIFS('Direct Costs'!$U$5:$U$2005,'Direct Costs'!$X$5:$X$2005,$A55,'Direct Costs'!$A$5:$A$2005,"&lt;"&amp;ReportFrom)+SUMIFS('Direct Costs'!$T$5:$T$2005,'Direct Costs'!$Z$5:$Z$2005,$A55,'Direct Costs'!$A$5:$A$2005,"&lt;"&amp;ReportFrom)))</f>
        <v/>
      </c>
      <c r="M55" s="25">
        <f>IF($A55="",0,SUMIFS('Direct Costs'!$R$5:$R$2005,'Direct Costs'!$V$5:$V$2005,$A55,'Direct Costs'!$A$5:$A$2005,"&gt;="&amp;ReportFrom,'Direct Costs'!$A$5:$A$2005,"&lt;="&amp;ReportTo)+SUMIFS('Direct Costs'!$S$5:$S$2005,'Direct Costs'!$Y$5:$Y$2005,$A55,'Direct Costs'!$A$5:$A$2005,"&gt;="&amp;ReportFrom,'Direct Costs'!$A$5:$A$2005,"&lt;="&amp;ReportTo))</f>
        <v/>
      </c>
      <c r="N55" s="25">
        <f>IF($A55="",0,SUMIFS('Direct Costs'!$L$5:$L$2005,'Direct Costs'!$W$5:$W$2005,$A55,'Direct Costs'!$A$5:$A$2005,"&gt;="&amp;ReportFrom,'Direct Costs'!$A$5:$A$2005,"&lt;="&amp;ReportTo)+SUMIFS('Direct Costs'!$U$5:$U$2005,'Direct Costs'!$X$5:$X$2005,$A55,'Direct Costs'!$A$5:$A$2005,"&gt;="&amp;ReportFrom,'Direct Costs'!$A$5:$A$2005,"&lt;="&amp;ReportTo)+SUMIFS('Direct Costs'!$T$5:$T$2005,'Direct Costs'!$Z$5:$Z$2005,$A55,'Direct Costs'!$A$5:$A$2005,"&gt;="&amp;ReportFrom,'Direct Costs'!$A$5:$A$2005,"&lt;="&amp;ReportTo))</f>
        <v/>
      </c>
      <c r="O55" s="25">
        <f>IF($A55="",0,(SUMIFS('Operating Expenses'!$F$5:$F$2005,'Operating Expenses'!$Q$5:$Q$2005,$A55,'Operating Expenses'!$A$5:$A$2005,"&lt;"&amp;ReportFrom)+SUMIFS('Operating Expenses'!$M$5:$M$2005,'Operating Expenses'!$T$5:$T$2005,$A55,'Operating Expenses'!$A$5:$A$2005,"&lt;"&amp;ReportFrom))-(SUMIFS('Operating Expenses'!$O$5:$O$2005,'Operating Expenses'!$R$5:$R$2005,$A55,'Operating Expenses'!$A$5:$A$2005,"&lt;"&amp;ReportFrom)+SUMIFS('Operating Expenses'!$P$5:$P$2005,'Operating Expenses'!$S$5:$S$2005,$A55,'Operating Expenses'!$A$5:$A$2005,"&lt;"&amp;ReportFrom)+SUMIFS('Operating Expenses'!$N$5:$N$2005,'Operating Expenses'!$U$5:$U$2005,$A55,'Operating Expenses'!$A$5:$A$2005,"&lt;"&amp;ReportFrom)))</f>
        <v/>
      </c>
      <c r="P55" s="25">
        <f>IF($A55="",0,SUMIFS('Operating Expenses'!$F$5:$F$2005,'Operating Expenses'!$Q$5:$Q$2005,$A55,'Operating Expenses'!$A$5:$A$2005,"&gt;="&amp;ReportFrom,'Operating Expenses'!$A$5:$A$2005,"&lt;="&amp;ReportTo)+SUMIFS('Operating Expenses'!$M$5:$M$2005,'Operating Expenses'!$T$5:$T$2005,$A55,'Operating Expenses'!$A$5:$A$2005,"&gt;="&amp;ReportFrom,'Operating Expenses'!$A$5:$A$2005,"&lt;="&amp;ReportTo))</f>
        <v/>
      </c>
      <c r="Q55" s="25">
        <f>IF($A55="",0,SUMIFS('Operating Expenses'!$O$5:$O$2005,'Operating Expenses'!$R$5:$R$2005,$A55,'Operating Expenses'!$A$5:$A$2005,"&gt;="&amp;ReportFrom,'Operating Expenses'!$A$5:$A$2005,"&lt;="&amp;ReportTo)+SUMIFS('Operating Expenses'!$P$5:$P$2005,'Operating Expenses'!$S$5:$S$2005,$A55,'Operating Expenses'!$A$5:$A$2005,"&gt;="&amp;ReportFrom,'Operating Expenses'!$A$5:$A$2005,"&lt;="&amp;ReportTo)+SUMIFS('Operating Expenses'!$N$5:$N$2005,'Operating Expenses'!$U$5:$U$2005,$A55,'Operating Expenses'!$A$5:$A$2005,"&gt;="&amp;ReportFrom,'Operating Expenses'!$A$5:$A$2005,"&lt;="&amp;ReportTo))</f>
        <v/>
      </c>
      <c r="R55" s="25">
        <f>IF($A55="",0,(SUMIFS('Payroll'!$O$5:$O$2005,'Payroll'!$Q$5:$Q$2005,$A55,'Payroll'!$A$5:$A$2005,"&lt;"&amp;ReportFrom))-(SUMIFS('Payroll'!$K$5:$K$2005,'Payroll'!$R$5:$R$2005,$A55,'Payroll'!$A$5:$A$2005,"&lt;"&amp;ReportFrom)+SUMIFS('Payroll'!$P$5:$P$2005,'Payroll'!$S$5:$S$2005,$A55,'Payroll'!$A$5:$A$2005,"&lt;"&amp;ReportFrom)))</f>
        <v/>
      </c>
      <c r="S55" s="25">
        <f>IF($A55="",0,SUMIFS('Payroll'!$O$5:$O$2005,'Payroll'!$Q$5:$Q$2005,$A55,'Payroll'!$A$5:$A$2005,"&gt;="&amp;ReportFrom,'Payroll'!$A$5:$A$2005,"&lt;="&amp;ReportTo))</f>
        <v/>
      </c>
      <c r="T55" s="25">
        <f>IF($A55="",0,SUMIFS('Payroll'!$K$5:$K$2005,'Payroll'!$R$5:$R$2005,$A55,'Payroll'!$A$5:$A$2005,"&gt;="&amp;ReportFrom,'Payroll'!$A$5:$A$2005,"&lt;="&amp;ReportTo)+SUMIFS('Payroll'!$P$5:$P$2005,'Payroll'!$S$5:$S$2005,$A55,'Payroll'!$A$5:$A$2005,"&gt;="&amp;ReportFrom,'Payroll'!$A$5:$A$2005,"&lt;="&amp;ReportTo))</f>
        <v/>
      </c>
      <c r="U55" s="25">
        <f>IF($A55="",0,(SUMIFS('Receipt Vouchers'!$F$5:$F$2005,'Receipt Vouchers'!$O$5:$O$2005,$A55,'Receipt Vouchers'!$A$5:$A$2005,"&lt;"&amp;ReportFrom)+SUMIFS('Receipt Vouchers'!$J$5:$J$2005,'Receipt Vouchers'!$Q$5:$Q$2005,$A55,'Receipt Vouchers'!$A$5:$A$2005,"&lt;"&amp;ReportFrom))-(SUMIFS('Receipt Vouchers'!$N$5:$N$2005,'Receipt Vouchers'!$P$5:$P$2005,$A55,'Receipt Vouchers'!$A$5:$A$2005,"&lt;"&amp;ReportFrom)+SUMIFS('Receipt Vouchers'!$M$5:$M$2005,'Receipt Vouchers'!$R$5:$R$2005,$A55,'Receipt Vouchers'!$A$5:$A$2005,"&lt;"&amp;ReportFrom)))</f>
        <v/>
      </c>
      <c r="V55" s="25">
        <f>IF($A55="",0,SUMIFS('Receipt Vouchers'!$F$5:$F$2005,'Receipt Vouchers'!$O$5:$O$2005,$A55,'Receipt Vouchers'!$A$5:$A$2005,"&gt;="&amp;ReportFrom,'Receipt Vouchers'!$A$5:$A$2005,"&lt;="&amp;ReportTo)+SUMIFS('Receipt Vouchers'!$J$5:$J$2005,'Receipt Vouchers'!$Q$5:$Q$2005,$A55,'Receipt Vouchers'!$A$5:$A$2005,"&gt;="&amp;ReportFrom,'Receipt Vouchers'!$A$5:$A$2005,"&lt;="&amp;ReportTo))</f>
        <v/>
      </c>
      <c r="W55" s="25">
        <f>IF($A55="",0,SUMIFS('Receipt Vouchers'!$N$5:$N$2005,'Receipt Vouchers'!$P$5:$P$2005,$A55,'Receipt Vouchers'!$A$5:$A$2005,"&gt;="&amp;ReportFrom,'Receipt Vouchers'!$A$5:$A$2005,"&lt;="&amp;ReportTo)+SUMIFS('Receipt Vouchers'!$M$5:$M$2005,'Receipt Vouchers'!$R$5:$R$2005,$A55,'Receipt Vouchers'!$A$5:$A$2005,"&gt;="&amp;ReportFrom,'Receipt Vouchers'!$A$5:$A$2005,"&lt;="&amp;ReportTo))</f>
        <v/>
      </c>
      <c r="X55" s="25">
        <f>IF($A55="",0,(SUMIFS('Sales Invoices'!$O$5:$O$2005,'Sales Invoices'!$P$5:$P$2005,$A55,'Sales Invoices'!$B$5:$B$2005,"&lt;"&amp;ReportFrom)+SUMIFS('Sales Invoices'!$N$5:$N$2005,'Sales Invoices'!$R$5:$R$2005,$A55,'Sales Invoices'!$B$5:$B$2005,"&lt;"&amp;ReportFrom))-(SUMIFS('Sales Invoices'!$L$5:$L$2005,'Sales Invoices'!$Q$5:$Q$2005,$A55,'Sales Invoices'!$B$5:$B$2005,"&lt;"&amp;ReportFrom)+SUMIFS('Sales Invoices'!$M$5:$M$2005,'Sales Invoices'!$S$5:$S$2005,$A55,'Sales Invoices'!$B$5:$B$2005,"&lt;"&amp;ReportFrom)))</f>
        <v/>
      </c>
      <c r="Y55" s="25">
        <f>IF($A55="",0,SUMIFS('Sales Invoices'!$O$5:$O$2005,'Sales Invoices'!$P$5:$P$2005,$A55,'Sales Invoices'!$B$5:$B$2005,"&gt;="&amp;ReportFrom,'Sales Invoices'!$B$5:$B$2005,"&lt;="&amp;ReportTo)+SUMIFS('Sales Invoices'!$N$5:$N$2005,'Sales Invoices'!$R$5:$R$2005,$A55,'Sales Invoices'!$B$5:$B$2005,"&gt;="&amp;ReportFrom,'Sales Invoices'!$B$5:$B$2005,"&lt;="&amp;ReportTo))</f>
        <v/>
      </c>
      <c r="Z55" s="25">
        <f>IF($A55="",0,SUMIFS('Sales Invoices'!$L$5:$L$2005,'Sales Invoices'!$Q$5:$Q$2005,$A55,'Sales Invoices'!$B$5:$B$2005,"&gt;="&amp;ReportFrom,'Sales Invoices'!$B$5:$B$2005,"&lt;="&amp;ReportTo)+SUMIFS('Sales Invoices'!$M$5:$M$2005,'Sales Invoices'!$S$5:$S$2005,$A55,'Sales Invoices'!$B$5:$B$2005,"&gt;="&amp;ReportFrom,'Sales Invoices'!$B$5:$B$2005,"&lt;="&amp;ReportTo))</f>
        <v/>
      </c>
      <c r="AA55" s="25">
        <f>IF($A55="",0,(SUMIFS('Payment Vouchers'!$D$5:$D$2005,'Payment Vouchers'!$J$5:$J$2005,$A55,'Payment Vouchers'!$A$5:$A$2005,"&lt;"&amp;ReportFrom))-(SUMIFS('Payment Vouchers'!$D$5:$D$2005,'Payment Vouchers'!$K$5:$K$2005,$A55,'Payment Vouchers'!$A$5:$A$2005,"&lt;"&amp;ReportFrom)))</f>
        <v/>
      </c>
      <c r="AB55" s="25">
        <f>IF($A55="",0,SUMIFS('Payment Vouchers'!$D$5:$D$2005,'Payment Vouchers'!$J$5:$J$2005,$A55,'Payment Vouchers'!$A$5:$A$2005,"&gt;="&amp;ReportFrom,'Payment Vouchers'!$A$5:$A$2005,"&lt;="&amp;ReportTo))</f>
        <v/>
      </c>
      <c r="AC55" s="25">
        <f>IF($A55="",0,SUMIFS('Payment Vouchers'!$D$5:$D$2005,'Payment Vouchers'!$K$5:$K$2005,$A55,'Payment Vouchers'!$A$5:$A$2005,"&gt;="&amp;ReportFrom,'Payment Vouchers'!$A$5:$A$2005,"&lt;="&amp;ReportTo))</f>
        <v/>
      </c>
      <c r="AD55" s="25">
        <f>IF($A55="",0,(SUMIFS('Partner Transactions'!$D$5:$D$2005,'Partner Transactions'!$L$5:$L$2005,$A55,'Partner Transactions'!$A$5:$A$2005,"&lt;"&amp;ReportFrom))-(SUMIFS('Partner Transactions'!$D$5:$D$2005,'Partner Transactions'!$M$5:$M$2005,$A55,'Partner Transactions'!$A$5:$A$2005,"&lt;"&amp;ReportFrom)))</f>
        <v/>
      </c>
      <c r="AE55" s="25">
        <f>IF($A55="",0,SUMIFS('Partner Transactions'!$D$5:$D$2005,'Partner Transactions'!$L$5:$L$2005,$A55,'Partner Transactions'!$A$5:$A$2005,"&gt;="&amp;ReportFrom,'Partner Transactions'!$A$5:$A$2005,"&lt;="&amp;ReportTo))</f>
        <v/>
      </c>
      <c r="AF55" s="25">
        <f>IF($A55="",0,SUMIFS('Partner Transactions'!$D$5:$D$2005,'Partner Transactions'!$M$5:$M$2005,$A55,'Partner Transactions'!$A$5:$A$2005,"&gt;="&amp;ReportFrom,'Partner Transactions'!$A$5:$A$2005,"&lt;="&amp;ReportTo))</f>
        <v/>
      </c>
      <c r="AG55" s="25">
        <f>IF($A55="",0,(SUMIFS('Stock Moves'!$S$5:$S$2005,'Stock Moves'!$AD$5:$AD$2005,$A55,'Stock Moves'!$A$5:$A$2005,"&lt;"&amp;ReportFrom)+SUMIFS('Stock Moves'!$T$5:$T$2005,'Stock Moves'!$V$5:$V$2005,$A55,'Stock Moves'!$A$5:$A$2005,"&lt;"&amp;ReportFrom))-(SUMIFS('Stock Moves'!$AF$5:$AF$2005,'Stock Moves'!$AE$5:$AE$2005,$A55,'Stock Moves'!$A$5:$A$2005,"&lt;"&amp;ReportFrom)+SUMIFS('Stock Moves'!$AC$5:$AC$2005,'Stock Moves'!$X$5:$X$2005,$A55,'Stock Moves'!$A$5:$A$2005,"&lt;"&amp;ReportFrom)+SUMIFS('Stock Moves'!$U$5:$U$2005,'Stock Moves'!$W$5:$W$2005,$A55,'Stock Moves'!$A$5:$A$2005,"&lt;"&amp;ReportFrom)))</f>
        <v/>
      </c>
      <c r="AH55" s="25">
        <f>IF($A55="",0,SUMIFS('Stock Moves'!$S$5:$S$2005,'Stock Moves'!$AD$5:$AD$2005,$A55,'Stock Moves'!$A$5:$A$2005,"&gt;="&amp;ReportFrom,'Stock Moves'!$A$5:$A$2005,"&lt;="&amp;ReportTo)+SUMIFS('Stock Moves'!$T$5:$T$2005,'Stock Moves'!$V$5:$V$2005,$A55,'Stock Moves'!$A$5:$A$2005,"&gt;="&amp;ReportFrom,'Stock Moves'!$A$5:$A$2005,"&lt;="&amp;ReportTo))</f>
        <v/>
      </c>
      <c r="AI55" s="25">
        <f>IF($A55="",0,SUMIFS('Stock Moves'!$AF$5:$AF$2005,'Stock Moves'!$AE$5:$AE$2005,$A55,'Stock Moves'!$A$5:$A$2005,"&gt;="&amp;ReportFrom,'Stock Moves'!$A$5:$A$2005,"&lt;="&amp;ReportTo)+SUMIFS('Stock Moves'!$AC$5:$AC$2005,'Stock Moves'!$X$5:$X$2005,$A55,'Stock Moves'!$A$5:$A$2005,"&gt;="&amp;ReportFrom,'Stock Moves'!$A$5:$A$2005,"&lt;="&amp;ReportTo)+SUMIFS('Stock Moves'!$U$5:$U$2005,'Stock Moves'!$W$5:$W$2005,$A55,'Stock Moves'!$A$5:$A$2005,"&gt;="&amp;ReportFrom,'Stock Moves'!$A$5:$A$2005,"&lt;="&amp;ReportTo))</f>
        <v/>
      </c>
      <c r="AJ55" s="25">
        <f>IF($A55="",0,(SUMIFS('Journal Vouchers'!$I$5:$I$2005,'Journal Vouchers'!$H$5:$H$2005,$A55,'Journal Vouchers'!$B$5:$B$2005,"&lt;"&amp;ReportFrom))-(SUMIFS('Journal Vouchers'!$J$5:$J$2005,'Journal Vouchers'!$H$5:$H$2005,$A55,'Journal Vouchers'!$B$5:$B$2005,"&lt;"&amp;ReportFrom)))</f>
        <v/>
      </c>
      <c r="AK55" s="25">
        <f>IF($A55="",0,SUMIFS('Journal Vouchers'!$I$5:$I$2005,'Journal Vouchers'!$H$5:$H$2005,$A55,'Journal Vouchers'!$B$5:$B$2005,"&gt;="&amp;ReportFrom,'Journal Vouchers'!$B$5:$B$2005,"&lt;="&amp;ReportTo))</f>
        <v/>
      </c>
      <c r="AL55" s="25">
        <f>IF($A55="",0,SUMIFS('Journal Vouchers'!$J$5:$J$2005,'Journal Vouchers'!$H$5:$H$2005,$A55,'Journal Vouchers'!$B$5:$B$2005,"&gt;="&amp;ReportFrom,'Journal Vouchers'!$B$5:$B$2005,"&lt;="&amp;ReportTo))</f>
        <v/>
      </c>
    </row>
    <row r="56">
      <c r="A56" s="25">
        <f>IF('Chart of Accounts'!A56="","",'Chart of Accounts'!A56&amp;"")</f>
        <v/>
      </c>
      <c r="B56" s="25">
        <f>IF(A56="","",'Chart of Accounts'!B56)</f>
        <v/>
      </c>
      <c r="C56" s="25">
        <f>IF(A56="","",'Chart of Accounts'!C56)</f>
        <v/>
      </c>
      <c r="D56" s="25">
        <f>IF(A56="","",'Chart of Accounts'!D56)</f>
        <v/>
      </c>
      <c r="E56" s="26">
        <f>L56+O56+R56+U56+X56+AA56+AD56+AG56+AJ56</f>
        <v/>
      </c>
      <c r="F56" s="26">
        <f>M56+P56+S56+V56+Y56+AB56+AE56+AH56+AK56</f>
        <v/>
      </c>
      <c r="G56" s="26">
        <f>N56+Q56+T56+W56+Z56+AC56+AF56+AI56+AL56</f>
        <v/>
      </c>
      <c r="H56" s="26">
        <f>E56+F56-G56</f>
        <v/>
      </c>
      <c r="I56" s="26">
        <f>MAX(H56,0)</f>
        <v/>
      </c>
      <c r="J56" s="26">
        <f>MAX(-H56,0)</f>
        <v/>
      </c>
      <c r="L56" s="25">
        <f>IF($A56="",0,(SUMIFS('Direct Costs'!$R$5:$R$2005,'Direct Costs'!$V$5:$V$2005,$A56,'Direct Costs'!$A$5:$A$2005,"&lt;"&amp;ReportFrom)+SUMIFS('Direct Costs'!$S$5:$S$2005,'Direct Costs'!$Y$5:$Y$2005,$A56,'Direct Costs'!$A$5:$A$2005,"&lt;"&amp;ReportFrom))-(SUMIFS('Direct Costs'!$L$5:$L$2005,'Direct Costs'!$W$5:$W$2005,$A56,'Direct Costs'!$A$5:$A$2005,"&lt;"&amp;ReportFrom)+SUMIFS('Direct Costs'!$U$5:$U$2005,'Direct Costs'!$X$5:$X$2005,$A56,'Direct Costs'!$A$5:$A$2005,"&lt;"&amp;ReportFrom)+SUMIFS('Direct Costs'!$T$5:$T$2005,'Direct Costs'!$Z$5:$Z$2005,$A56,'Direct Costs'!$A$5:$A$2005,"&lt;"&amp;ReportFrom)))</f>
        <v/>
      </c>
      <c r="M56" s="25">
        <f>IF($A56="",0,SUMIFS('Direct Costs'!$R$5:$R$2005,'Direct Costs'!$V$5:$V$2005,$A56,'Direct Costs'!$A$5:$A$2005,"&gt;="&amp;ReportFrom,'Direct Costs'!$A$5:$A$2005,"&lt;="&amp;ReportTo)+SUMIFS('Direct Costs'!$S$5:$S$2005,'Direct Costs'!$Y$5:$Y$2005,$A56,'Direct Costs'!$A$5:$A$2005,"&gt;="&amp;ReportFrom,'Direct Costs'!$A$5:$A$2005,"&lt;="&amp;ReportTo))</f>
        <v/>
      </c>
      <c r="N56" s="25">
        <f>IF($A56="",0,SUMIFS('Direct Costs'!$L$5:$L$2005,'Direct Costs'!$W$5:$W$2005,$A56,'Direct Costs'!$A$5:$A$2005,"&gt;="&amp;ReportFrom,'Direct Costs'!$A$5:$A$2005,"&lt;="&amp;ReportTo)+SUMIFS('Direct Costs'!$U$5:$U$2005,'Direct Costs'!$X$5:$X$2005,$A56,'Direct Costs'!$A$5:$A$2005,"&gt;="&amp;ReportFrom,'Direct Costs'!$A$5:$A$2005,"&lt;="&amp;ReportTo)+SUMIFS('Direct Costs'!$T$5:$T$2005,'Direct Costs'!$Z$5:$Z$2005,$A56,'Direct Costs'!$A$5:$A$2005,"&gt;="&amp;ReportFrom,'Direct Costs'!$A$5:$A$2005,"&lt;="&amp;ReportTo))</f>
        <v/>
      </c>
      <c r="O56" s="25">
        <f>IF($A56="",0,(SUMIFS('Operating Expenses'!$F$5:$F$2005,'Operating Expenses'!$Q$5:$Q$2005,$A56,'Operating Expenses'!$A$5:$A$2005,"&lt;"&amp;ReportFrom)+SUMIFS('Operating Expenses'!$M$5:$M$2005,'Operating Expenses'!$T$5:$T$2005,$A56,'Operating Expenses'!$A$5:$A$2005,"&lt;"&amp;ReportFrom))-(SUMIFS('Operating Expenses'!$O$5:$O$2005,'Operating Expenses'!$R$5:$R$2005,$A56,'Operating Expenses'!$A$5:$A$2005,"&lt;"&amp;ReportFrom)+SUMIFS('Operating Expenses'!$P$5:$P$2005,'Operating Expenses'!$S$5:$S$2005,$A56,'Operating Expenses'!$A$5:$A$2005,"&lt;"&amp;ReportFrom)+SUMIFS('Operating Expenses'!$N$5:$N$2005,'Operating Expenses'!$U$5:$U$2005,$A56,'Operating Expenses'!$A$5:$A$2005,"&lt;"&amp;ReportFrom)))</f>
        <v/>
      </c>
      <c r="P56" s="25">
        <f>IF($A56="",0,SUMIFS('Operating Expenses'!$F$5:$F$2005,'Operating Expenses'!$Q$5:$Q$2005,$A56,'Operating Expenses'!$A$5:$A$2005,"&gt;="&amp;ReportFrom,'Operating Expenses'!$A$5:$A$2005,"&lt;="&amp;ReportTo)+SUMIFS('Operating Expenses'!$M$5:$M$2005,'Operating Expenses'!$T$5:$T$2005,$A56,'Operating Expenses'!$A$5:$A$2005,"&gt;="&amp;ReportFrom,'Operating Expenses'!$A$5:$A$2005,"&lt;="&amp;ReportTo))</f>
        <v/>
      </c>
      <c r="Q56" s="25">
        <f>IF($A56="",0,SUMIFS('Operating Expenses'!$O$5:$O$2005,'Operating Expenses'!$R$5:$R$2005,$A56,'Operating Expenses'!$A$5:$A$2005,"&gt;="&amp;ReportFrom,'Operating Expenses'!$A$5:$A$2005,"&lt;="&amp;ReportTo)+SUMIFS('Operating Expenses'!$P$5:$P$2005,'Operating Expenses'!$S$5:$S$2005,$A56,'Operating Expenses'!$A$5:$A$2005,"&gt;="&amp;ReportFrom,'Operating Expenses'!$A$5:$A$2005,"&lt;="&amp;ReportTo)+SUMIFS('Operating Expenses'!$N$5:$N$2005,'Operating Expenses'!$U$5:$U$2005,$A56,'Operating Expenses'!$A$5:$A$2005,"&gt;="&amp;ReportFrom,'Operating Expenses'!$A$5:$A$2005,"&lt;="&amp;ReportTo))</f>
        <v/>
      </c>
      <c r="R56" s="25">
        <f>IF($A56="",0,(SUMIFS('Payroll'!$O$5:$O$2005,'Payroll'!$Q$5:$Q$2005,$A56,'Payroll'!$A$5:$A$2005,"&lt;"&amp;ReportFrom))-(SUMIFS('Payroll'!$K$5:$K$2005,'Payroll'!$R$5:$R$2005,$A56,'Payroll'!$A$5:$A$2005,"&lt;"&amp;ReportFrom)+SUMIFS('Payroll'!$P$5:$P$2005,'Payroll'!$S$5:$S$2005,$A56,'Payroll'!$A$5:$A$2005,"&lt;"&amp;ReportFrom)))</f>
        <v/>
      </c>
      <c r="S56" s="25">
        <f>IF($A56="",0,SUMIFS('Payroll'!$O$5:$O$2005,'Payroll'!$Q$5:$Q$2005,$A56,'Payroll'!$A$5:$A$2005,"&gt;="&amp;ReportFrom,'Payroll'!$A$5:$A$2005,"&lt;="&amp;ReportTo))</f>
        <v/>
      </c>
      <c r="T56" s="25">
        <f>IF($A56="",0,SUMIFS('Payroll'!$K$5:$K$2005,'Payroll'!$R$5:$R$2005,$A56,'Payroll'!$A$5:$A$2005,"&gt;="&amp;ReportFrom,'Payroll'!$A$5:$A$2005,"&lt;="&amp;ReportTo)+SUMIFS('Payroll'!$P$5:$P$2005,'Payroll'!$S$5:$S$2005,$A56,'Payroll'!$A$5:$A$2005,"&gt;="&amp;ReportFrom,'Payroll'!$A$5:$A$2005,"&lt;="&amp;ReportTo))</f>
        <v/>
      </c>
      <c r="U56" s="25">
        <f>IF($A56="",0,(SUMIFS('Receipt Vouchers'!$F$5:$F$2005,'Receipt Vouchers'!$O$5:$O$2005,$A56,'Receipt Vouchers'!$A$5:$A$2005,"&lt;"&amp;ReportFrom)+SUMIFS('Receipt Vouchers'!$J$5:$J$2005,'Receipt Vouchers'!$Q$5:$Q$2005,$A56,'Receipt Vouchers'!$A$5:$A$2005,"&lt;"&amp;ReportFrom))-(SUMIFS('Receipt Vouchers'!$N$5:$N$2005,'Receipt Vouchers'!$P$5:$P$2005,$A56,'Receipt Vouchers'!$A$5:$A$2005,"&lt;"&amp;ReportFrom)+SUMIFS('Receipt Vouchers'!$M$5:$M$2005,'Receipt Vouchers'!$R$5:$R$2005,$A56,'Receipt Vouchers'!$A$5:$A$2005,"&lt;"&amp;ReportFrom)))</f>
        <v/>
      </c>
      <c r="V56" s="25">
        <f>IF($A56="",0,SUMIFS('Receipt Vouchers'!$F$5:$F$2005,'Receipt Vouchers'!$O$5:$O$2005,$A56,'Receipt Vouchers'!$A$5:$A$2005,"&gt;="&amp;ReportFrom,'Receipt Vouchers'!$A$5:$A$2005,"&lt;="&amp;ReportTo)+SUMIFS('Receipt Vouchers'!$J$5:$J$2005,'Receipt Vouchers'!$Q$5:$Q$2005,$A56,'Receipt Vouchers'!$A$5:$A$2005,"&gt;="&amp;ReportFrom,'Receipt Vouchers'!$A$5:$A$2005,"&lt;="&amp;ReportTo))</f>
        <v/>
      </c>
      <c r="W56" s="25">
        <f>IF($A56="",0,SUMIFS('Receipt Vouchers'!$N$5:$N$2005,'Receipt Vouchers'!$P$5:$P$2005,$A56,'Receipt Vouchers'!$A$5:$A$2005,"&gt;="&amp;ReportFrom,'Receipt Vouchers'!$A$5:$A$2005,"&lt;="&amp;ReportTo)+SUMIFS('Receipt Vouchers'!$M$5:$M$2005,'Receipt Vouchers'!$R$5:$R$2005,$A56,'Receipt Vouchers'!$A$5:$A$2005,"&gt;="&amp;ReportFrom,'Receipt Vouchers'!$A$5:$A$2005,"&lt;="&amp;ReportTo))</f>
        <v/>
      </c>
      <c r="X56" s="25">
        <f>IF($A56="",0,(SUMIFS('Sales Invoices'!$O$5:$O$2005,'Sales Invoices'!$P$5:$P$2005,$A56,'Sales Invoices'!$B$5:$B$2005,"&lt;"&amp;ReportFrom)+SUMIFS('Sales Invoices'!$N$5:$N$2005,'Sales Invoices'!$R$5:$R$2005,$A56,'Sales Invoices'!$B$5:$B$2005,"&lt;"&amp;ReportFrom))-(SUMIFS('Sales Invoices'!$L$5:$L$2005,'Sales Invoices'!$Q$5:$Q$2005,$A56,'Sales Invoices'!$B$5:$B$2005,"&lt;"&amp;ReportFrom)+SUMIFS('Sales Invoices'!$M$5:$M$2005,'Sales Invoices'!$S$5:$S$2005,$A56,'Sales Invoices'!$B$5:$B$2005,"&lt;"&amp;ReportFrom)))</f>
        <v/>
      </c>
      <c r="Y56" s="25">
        <f>IF($A56="",0,SUMIFS('Sales Invoices'!$O$5:$O$2005,'Sales Invoices'!$P$5:$P$2005,$A56,'Sales Invoices'!$B$5:$B$2005,"&gt;="&amp;ReportFrom,'Sales Invoices'!$B$5:$B$2005,"&lt;="&amp;ReportTo)+SUMIFS('Sales Invoices'!$N$5:$N$2005,'Sales Invoices'!$R$5:$R$2005,$A56,'Sales Invoices'!$B$5:$B$2005,"&gt;="&amp;ReportFrom,'Sales Invoices'!$B$5:$B$2005,"&lt;="&amp;ReportTo))</f>
        <v/>
      </c>
      <c r="Z56" s="25">
        <f>IF($A56="",0,SUMIFS('Sales Invoices'!$L$5:$L$2005,'Sales Invoices'!$Q$5:$Q$2005,$A56,'Sales Invoices'!$B$5:$B$2005,"&gt;="&amp;ReportFrom,'Sales Invoices'!$B$5:$B$2005,"&lt;="&amp;ReportTo)+SUMIFS('Sales Invoices'!$M$5:$M$2005,'Sales Invoices'!$S$5:$S$2005,$A56,'Sales Invoices'!$B$5:$B$2005,"&gt;="&amp;ReportFrom,'Sales Invoices'!$B$5:$B$2005,"&lt;="&amp;ReportTo))</f>
        <v/>
      </c>
      <c r="AA56" s="25">
        <f>IF($A56="",0,(SUMIFS('Payment Vouchers'!$D$5:$D$2005,'Payment Vouchers'!$J$5:$J$2005,$A56,'Payment Vouchers'!$A$5:$A$2005,"&lt;"&amp;ReportFrom))-(SUMIFS('Payment Vouchers'!$D$5:$D$2005,'Payment Vouchers'!$K$5:$K$2005,$A56,'Payment Vouchers'!$A$5:$A$2005,"&lt;"&amp;ReportFrom)))</f>
        <v/>
      </c>
      <c r="AB56" s="25">
        <f>IF($A56="",0,SUMIFS('Payment Vouchers'!$D$5:$D$2005,'Payment Vouchers'!$J$5:$J$2005,$A56,'Payment Vouchers'!$A$5:$A$2005,"&gt;="&amp;ReportFrom,'Payment Vouchers'!$A$5:$A$2005,"&lt;="&amp;ReportTo))</f>
        <v/>
      </c>
      <c r="AC56" s="25">
        <f>IF($A56="",0,SUMIFS('Payment Vouchers'!$D$5:$D$2005,'Payment Vouchers'!$K$5:$K$2005,$A56,'Payment Vouchers'!$A$5:$A$2005,"&gt;="&amp;ReportFrom,'Payment Vouchers'!$A$5:$A$2005,"&lt;="&amp;ReportTo))</f>
        <v/>
      </c>
      <c r="AD56" s="25">
        <f>IF($A56="",0,(SUMIFS('Partner Transactions'!$D$5:$D$2005,'Partner Transactions'!$L$5:$L$2005,$A56,'Partner Transactions'!$A$5:$A$2005,"&lt;"&amp;ReportFrom))-(SUMIFS('Partner Transactions'!$D$5:$D$2005,'Partner Transactions'!$M$5:$M$2005,$A56,'Partner Transactions'!$A$5:$A$2005,"&lt;"&amp;ReportFrom)))</f>
        <v/>
      </c>
      <c r="AE56" s="25">
        <f>IF($A56="",0,SUMIFS('Partner Transactions'!$D$5:$D$2005,'Partner Transactions'!$L$5:$L$2005,$A56,'Partner Transactions'!$A$5:$A$2005,"&gt;="&amp;ReportFrom,'Partner Transactions'!$A$5:$A$2005,"&lt;="&amp;ReportTo))</f>
        <v/>
      </c>
      <c r="AF56" s="25">
        <f>IF($A56="",0,SUMIFS('Partner Transactions'!$D$5:$D$2005,'Partner Transactions'!$M$5:$M$2005,$A56,'Partner Transactions'!$A$5:$A$2005,"&gt;="&amp;ReportFrom,'Partner Transactions'!$A$5:$A$2005,"&lt;="&amp;ReportTo))</f>
        <v/>
      </c>
      <c r="AG56" s="25">
        <f>IF($A56="",0,(SUMIFS('Stock Moves'!$S$5:$S$2005,'Stock Moves'!$AD$5:$AD$2005,$A56,'Stock Moves'!$A$5:$A$2005,"&lt;"&amp;ReportFrom)+SUMIFS('Stock Moves'!$T$5:$T$2005,'Stock Moves'!$V$5:$V$2005,$A56,'Stock Moves'!$A$5:$A$2005,"&lt;"&amp;ReportFrom))-(SUMIFS('Stock Moves'!$AF$5:$AF$2005,'Stock Moves'!$AE$5:$AE$2005,$A56,'Stock Moves'!$A$5:$A$2005,"&lt;"&amp;ReportFrom)+SUMIFS('Stock Moves'!$AC$5:$AC$2005,'Stock Moves'!$X$5:$X$2005,$A56,'Stock Moves'!$A$5:$A$2005,"&lt;"&amp;ReportFrom)+SUMIFS('Stock Moves'!$U$5:$U$2005,'Stock Moves'!$W$5:$W$2005,$A56,'Stock Moves'!$A$5:$A$2005,"&lt;"&amp;ReportFrom)))</f>
        <v/>
      </c>
      <c r="AH56" s="25">
        <f>IF($A56="",0,SUMIFS('Stock Moves'!$S$5:$S$2005,'Stock Moves'!$AD$5:$AD$2005,$A56,'Stock Moves'!$A$5:$A$2005,"&gt;="&amp;ReportFrom,'Stock Moves'!$A$5:$A$2005,"&lt;="&amp;ReportTo)+SUMIFS('Stock Moves'!$T$5:$T$2005,'Stock Moves'!$V$5:$V$2005,$A56,'Stock Moves'!$A$5:$A$2005,"&gt;="&amp;ReportFrom,'Stock Moves'!$A$5:$A$2005,"&lt;="&amp;ReportTo))</f>
        <v/>
      </c>
      <c r="AI56" s="25">
        <f>IF($A56="",0,SUMIFS('Stock Moves'!$AF$5:$AF$2005,'Stock Moves'!$AE$5:$AE$2005,$A56,'Stock Moves'!$A$5:$A$2005,"&gt;="&amp;ReportFrom,'Stock Moves'!$A$5:$A$2005,"&lt;="&amp;ReportTo)+SUMIFS('Stock Moves'!$AC$5:$AC$2005,'Stock Moves'!$X$5:$X$2005,$A56,'Stock Moves'!$A$5:$A$2005,"&gt;="&amp;ReportFrom,'Stock Moves'!$A$5:$A$2005,"&lt;="&amp;ReportTo)+SUMIFS('Stock Moves'!$U$5:$U$2005,'Stock Moves'!$W$5:$W$2005,$A56,'Stock Moves'!$A$5:$A$2005,"&gt;="&amp;ReportFrom,'Stock Moves'!$A$5:$A$2005,"&lt;="&amp;ReportTo))</f>
        <v/>
      </c>
      <c r="AJ56" s="25">
        <f>IF($A56="",0,(SUMIFS('Journal Vouchers'!$I$5:$I$2005,'Journal Vouchers'!$H$5:$H$2005,$A56,'Journal Vouchers'!$B$5:$B$2005,"&lt;"&amp;ReportFrom))-(SUMIFS('Journal Vouchers'!$J$5:$J$2005,'Journal Vouchers'!$H$5:$H$2005,$A56,'Journal Vouchers'!$B$5:$B$2005,"&lt;"&amp;ReportFrom)))</f>
        <v/>
      </c>
      <c r="AK56" s="25">
        <f>IF($A56="",0,SUMIFS('Journal Vouchers'!$I$5:$I$2005,'Journal Vouchers'!$H$5:$H$2005,$A56,'Journal Vouchers'!$B$5:$B$2005,"&gt;="&amp;ReportFrom,'Journal Vouchers'!$B$5:$B$2005,"&lt;="&amp;ReportTo))</f>
        <v/>
      </c>
      <c r="AL56" s="25">
        <f>IF($A56="",0,SUMIFS('Journal Vouchers'!$J$5:$J$2005,'Journal Vouchers'!$H$5:$H$2005,$A56,'Journal Vouchers'!$B$5:$B$2005,"&gt;="&amp;ReportFrom,'Journal Vouchers'!$B$5:$B$2005,"&lt;="&amp;ReportTo))</f>
        <v/>
      </c>
    </row>
    <row r="57">
      <c r="A57" s="25">
        <f>IF('Chart of Accounts'!A57="","",'Chart of Accounts'!A57&amp;"")</f>
        <v/>
      </c>
      <c r="B57" s="25">
        <f>IF(A57="","",'Chart of Accounts'!B57)</f>
        <v/>
      </c>
      <c r="C57" s="25">
        <f>IF(A57="","",'Chart of Accounts'!C57)</f>
        <v/>
      </c>
      <c r="D57" s="25">
        <f>IF(A57="","",'Chart of Accounts'!D57)</f>
        <v/>
      </c>
      <c r="E57" s="26">
        <f>L57+O57+R57+U57+X57+AA57+AD57+AG57+AJ57</f>
        <v/>
      </c>
      <c r="F57" s="26">
        <f>M57+P57+S57+V57+Y57+AB57+AE57+AH57+AK57</f>
        <v/>
      </c>
      <c r="G57" s="26">
        <f>N57+Q57+T57+W57+Z57+AC57+AF57+AI57+AL57</f>
        <v/>
      </c>
      <c r="H57" s="26">
        <f>E57+F57-G57</f>
        <v/>
      </c>
      <c r="I57" s="26">
        <f>MAX(H57,0)</f>
        <v/>
      </c>
      <c r="J57" s="26">
        <f>MAX(-H57,0)</f>
        <v/>
      </c>
      <c r="L57" s="25">
        <f>IF($A57="",0,(SUMIFS('Direct Costs'!$R$5:$R$2005,'Direct Costs'!$V$5:$V$2005,$A57,'Direct Costs'!$A$5:$A$2005,"&lt;"&amp;ReportFrom)+SUMIFS('Direct Costs'!$S$5:$S$2005,'Direct Costs'!$Y$5:$Y$2005,$A57,'Direct Costs'!$A$5:$A$2005,"&lt;"&amp;ReportFrom))-(SUMIFS('Direct Costs'!$L$5:$L$2005,'Direct Costs'!$W$5:$W$2005,$A57,'Direct Costs'!$A$5:$A$2005,"&lt;"&amp;ReportFrom)+SUMIFS('Direct Costs'!$U$5:$U$2005,'Direct Costs'!$X$5:$X$2005,$A57,'Direct Costs'!$A$5:$A$2005,"&lt;"&amp;ReportFrom)+SUMIFS('Direct Costs'!$T$5:$T$2005,'Direct Costs'!$Z$5:$Z$2005,$A57,'Direct Costs'!$A$5:$A$2005,"&lt;"&amp;ReportFrom)))</f>
        <v/>
      </c>
      <c r="M57" s="25">
        <f>IF($A57="",0,SUMIFS('Direct Costs'!$R$5:$R$2005,'Direct Costs'!$V$5:$V$2005,$A57,'Direct Costs'!$A$5:$A$2005,"&gt;="&amp;ReportFrom,'Direct Costs'!$A$5:$A$2005,"&lt;="&amp;ReportTo)+SUMIFS('Direct Costs'!$S$5:$S$2005,'Direct Costs'!$Y$5:$Y$2005,$A57,'Direct Costs'!$A$5:$A$2005,"&gt;="&amp;ReportFrom,'Direct Costs'!$A$5:$A$2005,"&lt;="&amp;ReportTo))</f>
        <v/>
      </c>
      <c r="N57" s="25">
        <f>IF($A57="",0,SUMIFS('Direct Costs'!$L$5:$L$2005,'Direct Costs'!$W$5:$W$2005,$A57,'Direct Costs'!$A$5:$A$2005,"&gt;="&amp;ReportFrom,'Direct Costs'!$A$5:$A$2005,"&lt;="&amp;ReportTo)+SUMIFS('Direct Costs'!$U$5:$U$2005,'Direct Costs'!$X$5:$X$2005,$A57,'Direct Costs'!$A$5:$A$2005,"&gt;="&amp;ReportFrom,'Direct Costs'!$A$5:$A$2005,"&lt;="&amp;ReportTo)+SUMIFS('Direct Costs'!$T$5:$T$2005,'Direct Costs'!$Z$5:$Z$2005,$A57,'Direct Costs'!$A$5:$A$2005,"&gt;="&amp;ReportFrom,'Direct Costs'!$A$5:$A$2005,"&lt;="&amp;ReportTo))</f>
        <v/>
      </c>
      <c r="O57" s="25">
        <f>IF($A57="",0,(SUMIFS('Operating Expenses'!$F$5:$F$2005,'Operating Expenses'!$Q$5:$Q$2005,$A57,'Operating Expenses'!$A$5:$A$2005,"&lt;"&amp;ReportFrom)+SUMIFS('Operating Expenses'!$M$5:$M$2005,'Operating Expenses'!$T$5:$T$2005,$A57,'Operating Expenses'!$A$5:$A$2005,"&lt;"&amp;ReportFrom))-(SUMIFS('Operating Expenses'!$O$5:$O$2005,'Operating Expenses'!$R$5:$R$2005,$A57,'Operating Expenses'!$A$5:$A$2005,"&lt;"&amp;ReportFrom)+SUMIFS('Operating Expenses'!$P$5:$P$2005,'Operating Expenses'!$S$5:$S$2005,$A57,'Operating Expenses'!$A$5:$A$2005,"&lt;"&amp;ReportFrom)+SUMIFS('Operating Expenses'!$N$5:$N$2005,'Operating Expenses'!$U$5:$U$2005,$A57,'Operating Expenses'!$A$5:$A$2005,"&lt;"&amp;ReportFrom)))</f>
        <v/>
      </c>
      <c r="P57" s="25">
        <f>IF($A57="",0,SUMIFS('Operating Expenses'!$F$5:$F$2005,'Operating Expenses'!$Q$5:$Q$2005,$A57,'Operating Expenses'!$A$5:$A$2005,"&gt;="&amp;ReportFrom,'Operating Expenses'!$A$5:$A$2005,"&lt;="&amp;ReportTo)+SUMIFS('Operating Expenses'!$M$5:$M$2005,'Operating Expenses'!$T$5:$T$2005,$A57,'Operating Expenses'!$A$5:$A$2005,"&gt;="&amp;ReportFrom,'Operating Expenses'!$A$5:$A$2005,"&lt;="&amp;ReportTo))</f>
        <v/>
      </c>
      <c r="Q57" s="25">
        <f>IF($A57="",0,SUMIFS('Operating Expenses'!$O$5:$O$2005,'Operating Expenses'!$R$5:$R$2005,$A57,'Operating Expenses'!$A$5:$A$2005,"&gt;="&amp;ReportFrom,'Operating Expenses'!$A$5:$A$2005,"&lt;="&amp;ReportTo)+SUMIFS('Operating Expenses'!$P$5:$P$2005,'Operating Expenses'!$S$5:$S$2005,$A57,'Operating Expenses'!$A$5:$A$2005,"&gt;="&amp;ReportFrom,'Operating Expenses'!$A$5:$A$2005,"&lt;="&amp;ReportTo)+SUMIFS('Operating Expenses'!$N$5:$N$2005,'Operating Expenses'!$U$5:$U$2005,$A57,'Operating Expenses'!$A$5:$A$2005,"&gt;="&amp;ReportFrom,'Operating Expenses'!$A$5:$A$2005,"&lt;="&amp;ReportTo))</f>
        <v/>
      </c>
      <c r="R57" s="25">
        <f>IF($A57="",0,(SUMIFS('Payroll'!$O$5:$O$2005,'Payroll'!$Q$5:$Q$2005,$A57,'Payroll'!$A$5:$A$2005,"&lt;"&amp;ReportFrom))-(SUMIFS('Payroll'!$K$5:$K$2005,'Payroll'!$R$5:$R$2005,$A57,'Payroll'!$A$5:$A$2005,"&lt;"&amp;ReportFrom)+SUMIFS('Payroll'!$P$5:$P$2005,'Payroll'!$S$5:$S$2005,$A57,'Payroll'!$A$5:$A$2005,"&lt;"&amp;ReportFrom)))</f>
        <v/>
      </c>
      <c r="S57" s="25">
        <f>IF($A57="",0,SUMIFS('Payroll'!$O$5:$O$2005,'Payroll'!$Q$5:$Q$2005,$A57,'Payroll'!$A$5:$A$2005,"&gt;="&amp;ReportFrom,'Payroll'!$A$5:$A$2005,"&lt;="&amp;ReportTo))</f>
        <v/>
      </c>
      <c r="T57" s="25">
        <f>IF($A57="",0,SUMIFS('Payroll'!$K$5:$K$2005,'Payroll'!$R$5:$R$2005,$A57,'Payroll'!$A$5:$A$2005,"&gt;="&amp;ReportFrom,'Payroll'!$A$5:$A$2005,"&lt;="&amp;ReportTo)+SUMIFS('Payroll'!$P$5:$P$2005,'Payroll'!$S$5:$S$2005,$A57,'Payroll'!$A$5:$A$2005,"&gt;="&amp;ReportFrom,'Payroll'!$A$5:$A$2005,"&lt;="&amp;ReportTo))</f>
        <v/>
      </c>
      <c r="U57" s="25">
        <f>IF($A57="",0,(SUMIFS('Receipt Vouchers'!$F$5:$F$2005,'Receipt Vouchers'!$O$5:$O$2005,$A57,'Receipt Vouchers'!$A$5:$A$2005,"&lt;"&amp;ReportFrom)+SUMIFS('Receipt Vouchers'!$J$5:$J$2005,'Receipt Vouchers'!$Q$5:$Q$2005,$A57,'Receipt Vouchers'!$A$5:$A$2005,"&lt;"&amp;ReportFrom))-(SUMIFS('Receipt Vouchers'!$N$5:$N$2005,'Receipt Vouchers'!$P$5:$P$2005,$A57,'Receipt Vouchers'!$A$5:$A$2005,"&lt;"&amp;ReportFrom)+SUMIFS('Receipt Vouchers'!$M$5:$M$2005,'Receipt Vouchers'!$R$5:$R$2005,$A57,'Receipt Vouchers'!$A$5:$A$2005,"&lt;"&amp;ReportFrom)))</f>
        <v/>
      </c>
      <c r="V57" s="25">
        <f>IF($A57="",0,SUMIFS('Receipt Vouchers'!$F$5:$F$2005,'Receipt Vouchers'!$O$5:$O$2005,$A57,'Receipt Vouchers'!$A$5:$A$2005,"&gt;="&amp;ReportFrom,'Receipt Vouchers'!$A$5:$A$2005,"&lt;="&amp;ReportTo)+SUMIFS('Receipt Vouchers'!$J$5:$J$2005,'Receipt Vouchers'!$Q$5:$Q$2005,$A57,'Receipt Vouchers'!$A$5:$A$2005,"&gt;="&amp;ReportFrom,'Receipt Vouchers'!$A$5:$A$2005,"&lt;="&amp;ReportTo))</f>
        <v/>
      </c>
      <c r="W57" s="25">
        <f>IF($A57="",0,SUMIFS('Receipt Vouchers'!$N$5:$N$2005,'Receipt Vouchers'!$P$5:$P$2005,$A57,'Receipt Vouchers'!$A$5:$A$2005,"&gt;="&amp;ReportFrom,'Receipt Vouchers'!$A$5:$A$2005,"&lt;="&amp;ReportTo)+SUMIFS('Receipt Vouchers'!$M$5:$M$2005,'Receipt Vouchers'!$R$5:$R$2005,$A57,'Receipt Vouchers'!$A$5:$A$2005,"&gt;="&amp;ReportFrom,'Receipt Vouchers'!$A$5:$A$2005,"&lt;="&amp;ReportTo))</f>
        <v/>
      </c>
      <c r="X57" s="25">
        <f>IF($A57="",0,(SUMIFS('Sales Invoices'!$O$5:$O$2005,'Sales Invoices'!$P$5:$P$2005,$A57,'Sales Invoices'!$B$5:$B$2005,"&lt;"&amp;ReportFrom)+SUMIFS('Sales Invoices'!$N$5:$N$2005,'Sales Invoices'!$R$5:$R$2005,$A57,'Sales Invoices'!$B$5:$B$2005,"&lt;"&amp;ReportFrom))-(SUMIFS('Sales Invoices'!$L$5:$L$2005,'Sales Invoices'!$Q$5:$Q$2005,$A57,'Sales Invoices'!$B$5:$B$2005,"&lt;"&amp;ReportFrom)+SUMIFS('Sales Invoices'!$M$5:$M$2005,'Sales Invoices'!$S$5:$S$2005,$A57,'Sales Invoices'!$B$5:$B$2005,"&lt;"&amp;ReportFrom)))</f>
        <v/>
      </c>
      <c r="Y57" s="25">
        <f>IF($A57="",0,SUMIFS('Sales Invoices'!$O$5:$O$2005,'Sales Invoices'!$P$5:$P$2005,$A57,'Sales Invoices'!$B$5:$B$2005,"&gt;="&amp;ReportFrom,'Sales Invoices'!$B$5:$B$2005,"&lt;="&amp;ReportTo)+SUMIFS('Sales Invoices'!$N$5:$N$2005,'Sales Invoices'!$R$5:$R$2005,$A57,'Sales Invoices'!$B$5:$B$2005,"&gt;="&amp;ReportFrom,'Sales Invoices'!$B$5:$B$2005,"&lt;="&amp;ReportTo))</f>
        <v/>
      </c>
      <c r="Z57" s="25">
        <f>IF($A57="",0,SUMIFS('Sales Invoices'!$L$5:$L$2005,'Sales Invoices'!$Q$5:$Q$2005,$A57,'Sales Invoices'!$B$5:$B$2005,"&gt;="&amp;ReportFrom,'Sales Invoices'!$B$5:$B$2005,"&lt;="&amp;ReportTo)+SUMIFS('Sales Invoices'!$M$5:$M$2005,'Sales Invoices'!$S$5:$S$2005,$A57,'Sales Invoices'!$B$5:$B$2005,"&gt;="&amp;ReportFrom,'Sales Invoices'!$B$5:$B$2005,"&lt;="&amp;ReportTo))</f>
        <v/>
      </c>
      <c r="AA57" s="25">
        <f>IF($A57="",0,(SUMIFS('Payment Vouchers'!$D$5:$D$2005,'Payment Vouchers'!$J$5:$J$2005,$A57,'Payment Vouchers'!$A$5:$A$2005,"&lt;"&amp;ReportFrom))-(SUMIFS('Payment Vouchers'!$D$5:$D$2005,'Payment Vouchers'!$K$5:$K$2005,$A57,'Payment Vouchers'!$A$5:$A$2005,"&lt;"&amp;ReportFrom)))</f>
        <v/>
      </c>
      <c r="AB57" s="25">
        <f>IF($A57="",0,SUMIFS('Payment Vouchers'!$D$5:$D$2005,'Payment Vouchers'!$J$5:$J$2005,$A57,'Payment Vouchers'!$A$5:$A$2005,"&gt;="&amp;ReportFrom,'Payment Vouchers'!$A$5:$A$2005,"&lt;="&amp;ReportTo))</f>
        <v/>
      </c>
      <c r="AC57" s="25">
        <f>IF($A57="",0,SUMIFS('Payment Vouchers'!$D$5:$D$2005,'Payment Vouchers'!$K$5:$K$2005,$A57,'Payment Vouchers'!$A$5:$A$2005,"&gt;="&amp;ReportFrom,'Payment Vouchers'!$A$5:$A$2005,"&lt;="&amp;ReportTo))</f>
        <v/>
      </c>
      <c r="AD57" s="25">
        <f>IF($A57="",0,(SUMIFS('Partner Transactions'!$D$5:$D$2005,'Partner Transactions'!$L$5:$L$2005,$A57,'Partner Transactions'!$A$5:$A$2005,"&lt;"&amp;ReportFrom))-(SUMIFS('Partner Transactions'!$D$5:$D$2005,'Partner Transactions'!$M$5:$M$2005,$A57,'Partner Transactions'!$A$5:$A$2005,"&lt;"&amp;ReportFrom)))</f>
        <v/>
      </c>
      <c r="AE57" s="25">
        <f>IF($A57="",0,SUMIFS('Partner Transactions'!$D$5:$D$2005,'Partner Transactions'!$L$5:$L$2005,$A57,'Partner Transactions'!$A$5:$A$2005,"&gt;="&amp;ReportFrom,'Partner Transactions'!$A$5:$A$2005,"&lt;="&amp;ReportTo))</f>
        <v/>
      </c>
      <c r="AF57" s="25">
        <f>IF($A57="",0,SUMIFS('Partner Transactions'!$D$5:$D$2005,'Partner Transactions'!$M$5:$M$2005,$A57,'Partner Transactions'!$A$5:$A$2005,"&gt;="&amp;ReportFrom,'Partner Transactions'!$A$5:$A$2005,"&lt;="&amp;ReportTo))</f>
        <v/>
      </c>
      <c r="AG57" s="25">
        <f>IF($A57="",0,(SUMIFS('Stock Moves'!$S$5:$S$2005,'Stock Moves'!$AD$5:$AD$2005,$A57,'Stock Moves'!$A$5:$A$2005,"&lt;"&amp;ReportFrom)+SUMIFS('Stock Moves'!$T$5:$T$2005,'Stock Moves'!$V$5:$V$2005,$A57,'Stock Moves'!$A$5:$A$2005,"&lt;"&amp;ReportFrom))-(SUMIFS('Stock Moves'!$AF$5:$AF$2005,'Stock Moves'!$AE$5:$AE$2005,$A57,'Stock Moves'!$A$5:$A$2005,"&lt;"&amp;ReportFrom)+SUMIFS('Stock Moves'!$AC$5:$AC$2005,'Stock Moves'!$X$5:$X$2005,$A57,'Stock Moves'!$A$5:$A$2005,"&lt;"&amp;ReportFrom)+SUMIFS('Stock Moves'!$U$5:$U$2005,'Stock Moves'!$W$5:$W$2005,$A57,'Stock Moves'!$A$5:$A$2005,"&lt;"&amp;ReportFrom)))</f>
        <v/>
      </c>
      <c r="AH57" s="25">
        <f>IF($A57="",0,SUMIFS('Stock Moves'!$S$5:$S$2005,'Stock Moves'!$AD$5:$AD$2005,$A57,'Stock Moves'!$A$5:$A$2005,"&gt;="&amp;ReportFrom,'Stock Moves'!$A$5:$A$2005,"&lt;="&amp;ReportTo)+SUMIFS('Stock Moves'!$T$5:$T$2005,'Stock Moves'!$V$5:$V$2005,$A57,'Stock Moves'!$A$5:$A$2005,"&gt;="&amp;ReportFrom,'Stock Moves'!$A$5:$A$2005,"&lt;="&amp;ReportTo))</f>
        <v/>
      </c>
      <c r="AI57" s="25">
        <f>IF($A57="",0,SUMIFS('Stock Moves'!$AF$5:$AF$2005,'Stock Moves'!$AE$5:$AE$2005,$A57,'Stock Moves'!$A$5:$A$2005,"&gt;="&amp;ReportFrom,'Stock Moves'!$A$5:$A$2005,"&lt;="&amp;ReportTo)+SUMIFS('Stock Moves'!$AC$5:$AC$2005,'Stock Moves'!$X$5:$X$2005,$A57,'Stock Moves'!$A$5:$A$2005,"&gt;="&amp;ReportFrom,'Stock Moves'!$A$5:$A$2005,"&lt;="&amp;ReportTo)+SUMIFS('Stock Moves'!$U$5:$U$2005,'Stock Moves'!$W$5:$W$2005,$A57,'Stock Moves'!$A$5:$A$2005,"&gt;="&amp;ReportFrom,'Stock Moves'!$A$5:$A$2005,"&lt;="&amp;ReportTo))</f>
        <v/>
      </c>
      <c r="AJ57" s="25">
        <f>IF($A57="",0,(SUMIFS('Journal Vouchers'!$I$5:$I$2005,'Journal Vouchers'!$H$5:$H$2005,$A57,'Journal Vouchers'!$B$5:$B$2005,"&lt;"&amp;ReportFrom))-(SUMIFS('Journal Vouchers'!$J$5:$J$2005,'Journal Vouchers'!$H$5:$H$2005,$A57,'Journal Vouchers'!$B$5:$B$2005,"&lt;"&amp;ReportFrom)))</f>
        <v/>
      </c>
      <c r="AK57" s="25">
        <f>IF($A57="",0,SUMIFS('Journal Vouchers'!$I$5:$I$2005,'Journal Vouchers'!$H$5:$H$2005,$A57,'Journal Vouchers'!$B$5:$B$2005,"&gt;="&amp;ReportFrom,'Journal Vouchers'!$B$5:$B$2005,"&lt;="&amp;ReportTo))</f>
        <v/>
      </c>
      <c r="AL57" s="25">
        <f>IF($A57="",0,SUMIFS('Journal Vouchers'!$J$5:$J$2005,'Journal Vouchers'!$H$5:$H$2005,$A57,'Journal Vouchers'!$B$5:$B$2005,"&gt;="&amp;ReportFrom,'Journal Vouchers'!$B$5:$B$2005,"&lt;="&amp;ReportTo))</f>
        <v/>
      </c>
    </row>
    <row r="58">
      <c r="A58" s="25">
        <f>IF('Chart of Accounts'!A58="","",'Chart of Accounts'!A58&amp;"")</f>
        <v/>
      </c>
      <c r="B58" s="25">
        <f>IF(A58="","",'Chart of Accounts'!B58)</f>
        <v/>
      </c>
      <c r="C58" s="25">
        <f>IF(A58="","",'Chart of Accounts'!C58)</f>
        <v/>
      </c>
      <c r="D58" s="25">
        <f>IF(A58="","",'Chart of Accounts'!D58)</f>
        <v/>
      </c>
      <c r="E58" s="26">
        <f>L58+O58+R58+U58+X58+AA58+AD58+AG58+AJ58</f>
        <v/>
      </c>
      <c r="F58" s="26">
        <f>M58+P58+S58+V58+Y58+AB58+AE58+AH58+AK58</f>
        <v/>
      </c>
      <c r="G58" s="26">
        <f>N58+Q58+T58+W58+Z58+AC58+AF58+AI58+AL58</f>
        <v/>
      </c>
      <c r="H58" s="26">
        <f>E58+F58-G58</f>
        <v/>
      </c>
      <c r="I58" s="26">
        <f>MAX(H58,0)</f>
        <v/>
      </c>
      <c r="J58" s="26">
        <f>MAX(-H58,0)</f>
        <v/>
      </c>
      <c r="L58" s="25">
        <f>IF($A58="",0,(SUMIFS('Direct Costs'!$R$5:$R$2005,'Direct Costs'!$V$5:$V$2005,$A58,'Direct Costs'!$A$5:$A$2005,"&lt;"&amp;ReportFrom)+SUMIFS('Direct Costs'!$S$5:$S$2005,'Direct Costs'!$Y$5:$Y$2005,$A58,'Direct Costs'!$A$5:$A$2005,"&lt;"&amp;ReportFrom))-(SUMIFS('Direct Costs'!$L$5:$L$2005,'Direct Costs'!$W$5:$W$2005,$A58,'Direct Costs'!$A$5:$A$2005,"&lt;"&amp;ReportFrom)+SUMIFS('Direct Costs'!$U$5:$U$2005,'Direct Costs'!$X$5:$X$2005,$A58,'Direct Costs'!$A$5:$A$2005,"&lt;"&amp;ReportFrom)+SUMIFS('Direct Costs'!$T$5:$T$2005,'Direct Costs'!$Z$5:$Z$2005,$A58,'Direct Costs'!$A$5:$A$2005,"&lt;"&amp;ReportFrom)))</f>
        <v/>
      </c>
      <c r="M58" s="25">
        <f>IF($A58="",0,SUMIFS('Direct Costs'!$R$5:$R$2005,'Direct Costs'!$V$5:$V$2005,$A58,'Direct Costs'!$A$5:$A$2005,"&gt;="&amp;ReportFrom,'Direct Costs'!$A$5:$A$2005,"&lt;="&amp;ReportTo)+SUMIFS('Direct Costs'!$S$5:$S$2005,'Direct Costs'!$Y$5:$Y$2005,$A58,'Direct Costs'!$A$5:$A$2005,"&gt;="&amp;ReportFrom,'Direct Costs'!$A$5:$A$2005,"&lt;="&amp;ReportTo))</f>
        <v/>
      </c>
      <c r="N58" s="25">
        <f>IF($A58="",0,SUMIFS('Direct Costs'!$L$5:$L$2005,'Direct Costs'!$W$5:$W$2005,$A58,'Direct Costs'!$A$5:$A$2005,"&gt;="&amp;ReportFrom,'Direct Costs'!$A$5:$A$2005,"&lt;="&amp;ReportTo)+SUMIFS('Direct Costs'!$U$5:$U$2005,'Direct Costs'!$X$5:$X$2005,$A58,'Direct Costs'!$A$5:$A$2005,"&gt;="&amp;ReportFrom,'Direct Costs'!$A$5:$A$2005,"&lt;="&amp;ReportTo)+SUMIFS('Direct Costs'!$T$5:$T$2005,'Direct Costs'!$Z$5:$Z$2005,$A58,'Direct Costs'!$A$5:$A$2005,"&gt;="&amp;ReportFrom,'Direct Costs'!$A$5:$A$2005,"&lt;="&amp;ReportTo))</f>
        <v/>
      </c>
      <c r="O58" s="25">
        <f>IF($A58="",0,(SUMIFS('Operating Expenses'!$F$5:$F$2005,'Operating Expenses'!$Q$5:$Q$2005,$A58,'Operating Expenses'!$A$5:$A$2005,"&lt;"&amp;ReportFrom)+SUMIFS('Operating Expenses'!$M$5:$M$2005,'Operating Expenses'!$T$5:$T$2005,$A58,'Operating Expenses'!$A$5:$A$2005,"&lt;"&amp;ReportFrom))-(SUMIFS('Operating Expenses'!$O$5:$O$2005,'Operating Expenses'!$R$5:$R$2005,$A58,'Operating Expenses'!$A$5:$A$2005,"&lt;"&amp;ReportFrom)+SUMIFS('Operating Expenses'!$P$5:$P$2005,'Operating Expenses'!$S$5:$S$2005,$A58,'Operating Expenses'!$A$5:$A$2005,"&lt;"&amp;ReportFrom)+SUMIFS('Operating Expenses'!$N$5:$N$2005,'Operating Expenses'!$U$5:$U$2005,$A58,'Operating Expenses'!$A$5:$A$2005,"&lt;"&amp;ReportFrom)))</f>
        <v/>
      </c>
      <c r="P58" s="25">
        <f>IF($A58="",0,SUMIFS('Operating Expenses'!$F$5:$F$2005,'Operating Expenses'!$Q$5:$Q$2005,$A58,'Operating Expenses'!$A$5:$A$2005,"&gt;="&amp;ReportFrom,'Operating Expenses'!$A$5:$A$2005,"&lt;="&amp;ReportTo)+SUMIFS('Operating Expenses'!$M$5:$M$2005,'Operating Expenses'!$T$5:$T$2005,$A58,'Operating Expenses'!$A$5:$A$2005,"&gt;="&amp;ReportFrom,'Operating Expenses'!$A$5:$A$2005,"&lt;="&amp;ReportTo))</f>
        <v/>
      </c>
      <c r="Q58" s="25">
        <f>IF($A58="",0,SUMIFS('Operating Expenses'!$O$5:$O$2005,'Operating Expenses'!$R$5:$R$2005,$A58,'Operating Expenses'!$A$5:$A$2005,"&gt;="&amp;ReportFrom,'Operating Expenses'!$A$5:$A$2005,"&lt;="&amp;ReportTo)+SUMIFS('Operating Expenses'!$P$5:$P$2005,'Operating Expenses'!$S$5:$S$2005,$A58,'Operating Expenses'!$A$5:$A$2005,"&gt;="&amp;ReportFrom,'Operating Expenses'!$A$5:$A$2005,"&lt;="&amp;ReportTo)+SUMIFS('Operating Expenses'!$N$5:$N$2005,'Operating Expenses'!$U$5:$U$2005,$A58,'Operating Expenses'!$A$5:$A$2005,"&gt;="&amp;ReportFrom,'Operating Expenses'!$A$5:$A$2005,"&lt;="&amp;ReportTo))</f>
        <v/>
      </c>
      <c r="R58" s="25">
        <f>IF($A58="",0,(SUMIFS('Payroll'!$O$5:$O$2005,'Payroll'!$Q$5:$Q$2005,$A58,'Payroll'!$A$5:$A$2005,"&lt;"&amp;ReportFrom))-(SUMIFS('Payroll'!$K$5:$K$2005,'Payroll'!$R$5:$R$2005,$A58,'Payroll'!$A$5:$A$2005,"&lt;"&amp;ReportFrom)+SUMIFS('Payroll'!$P$5:$P$2005,'Payroll'!$S$5:$S$2005,$A58,'Payroll'!$A$5:$A$2005,"&lt;"&amp;ReportFrom)))</f>
        <v/>
      </c>
      <c r="S58" s="25">
        <f>IF($A58="",0,SUMIFS('Payroll'!$O$5:$O$2005,'Payroll'!$Q$5:$Q$2005,$A58,'Payroll'!$A$5:$A$2005,"&gt;="&amp;ReportFrom,'Payroll'!$A$5:$A$2005,"&lt;="&amp;ReportTo))</f>
        <v/>
      </c>
      <c r="T58" s="25">
        <f>IF($A58="",0,SUMIFS('Payroll'!$K$5:$K$2005,'Payroll'!$R$5:$R$2005,$A58,'Payroll'!$A$5:$A$2005,"&gt;="&amp;ReportFrom,'Payroll'!$A$5:$A$2005,"&lt;="&amp;ReportTo)+SUMIFS('Payroll'!$P$5:$P$2005,'Payroll'!$S$5:$S$2005,$A58,'Payroll'!$A$5:$A$2005,"&gt;="&amp;ReportFrom,'Payroll'!$A$5:$A$2005,"&lt;="&amp;ReportTo))</f>
        <v/>
      </c>
      <c r="U58" s="25">
        <f>IF($A58="",0,(SUMIFS('Receipt Vouchers'!$F$5:$F$2005,'Receipt Vouchers'!$O$5:$O$2005,$A58,'Receipt Vouchers'!$A$5:$A$2005,"&lt;"&amp;ReportFrom)+SUMIFS('Receipt Vouchers'!$J$5:$J$2005,'Receipt Vouchers'!$Q$5:$Q$2005,$A58,'Receipt Vouchers'!$A$5:$A$2005,"&lt;"&amp;ReportFrom))-(SUMIFS('Receipt Vouchers'!$N$5:$N$2005,'Receipt Vouchers'!$P$5:$P$2005,$A58,'Receipt Vouchers'!$A$5:$A$2005,"&lt;"&amp;ReportFrom)+SUMIFS('Receipt Vouchers'!$M$5:$M$2005,'Receipt Vouchers'!$R$5:$R$2005,$A58,'Receipt Vouchers'!$A$5:$A$2005,"&lt;"&amp;ReportFrom)))</f>
        <v/>
      </c>
      <c r="V58" s="25">
        <f>IF($A58="",0,SUMIFS('Receipt Vouchers'!$F$5:$F$2005,'Receipt Vouchers'!$O$5:$O$2005,$A58,'Receipt Vouchers'!$A$5:$A$2005,"&gt;="&amp;ReportFrom,'Receipt Vouchers'!$A$5:$A$2005,"&lt;="&amp;ReportTo)+SUMIFS('Receipt Vouchers'!$J$5:$J$2005,'Receipt Vouchers'!$Q$5:$Q$2005,$A58,'Receipt Vouchers'!$A$5:$A$2005,"&gt;="&amp;ReportFrom,'Receipt Vouchers'!$A$5:$A$2005,"&lt;="&amp;ReportTo))</f>
        <v/>
      </c>
      <c r="W58" s="25">
        <f>IF($A58="",0,SUMIFS('Receipt Vouchers'!$N$5:$N$2005,'Receipt Vouchers'!$P$5:$P$2005,$A58,'Receipt Vouchers'!$A$5:$A$2005,"&gt;="&amp;ReportFrom,'Receipt Vouchers'!$A$5:$A$2005,"&lt;="&amp;ReportTo)+SUMIFS('Receipt Vouchers'!$M$5:$M$2005,'Receipt Vouchers'!$R$5:$R$2005,$A58,'Receipt Vouchers'!$A$5:$A$2005,"&gt;="&amp;ReportFrom,'Receipt Vouchers'!$A$5:$A$2005,"&lt;="&amp;ReportTo))</f>
        <v/>
      </c>
      <c r="X58" s="25">
        <f>IF($A58="",0,(SUMIFS('Sales Invoices'!$O$5:$O$2005,'Sales Invoices'!$P$5:$P$2005,$A58,'Sales Invoices'!$B$5:$B$2005,"&lt;"&amp;ReportFrom)+SUMIFS('Sales Invoices'!$N$5:$N$2005,'Sales Invoices'!$R$5:$R$2005,$A58,'Sales Invoices'!$B$5:$B$2005,"&lt;"&amp;ReportFrom))-(SUMIFS('Sales Invoices'!$L$5:$L$2005,'Sales Invoices'!$Q$5:$Q$2005,$A58,'Sales Invoices'!$B$5:$B$2005,"&lt;"&amp;ReportFrom)+SUMIFS('Sales Invoices'!$M$5:$M$2005,'Sales Invoices'!$S$5:$S$2005,$A58,'Sales Invoices'!$B$5:$B$2005,"&lt;"&amp;ReportFrom)))</f>
        <v/>
      </c>
      <c r="Y58" s="25">
        <f>IF($A58="",0,SUMIFS('Sales Invoices'!$O$5:$O$2005,'Sales Invoices'!$P$5:$P$2005,$A58,'Sales Invoices'!$B$5:$B$2005,"&gt;="&amp;ReportFrom,'Sales Invoices'!$B$5:$B$2005,"&lt;="&amp;ReportTo)+SUMIFS('Sales Invoices'!$N$5:$N$2005,'Sales Invoices'!$R$5:$R$2005,$A58,'Sales Invoices'!$B$5:$B$2005,"&gt;="&amp;ReportFrom,'Sales Invoices'!$B$5:$B$2005,"&lt;="&amp;ReportTo))</f>
        <v/>
      </c>
      <c r="Z58" s="25">
        <f>IF($A58="",0,SUMIFS('Sales Invoices'!$L$5:$L$2005,'Sales Invoices'!$Q$5:$Q$2005,$A58,'Sales Invoices'!$B$5:$B$2005,"&gt;="&amp;ReportFrom,'Sales Invoices'!$B$5:$B$2005,"&lt;="&amp;ReportTo)+SUMIFS('Sales Invoices'!$M$5:$M$2005,'Sales Invoices'!$S$5:$S$2005,$A58,'Sales Invoices'!$B$5:$B$2005,"&gt;="&amp;ReportFrom,'Sales Invoices'!$B$5:$B$2005,"&lt;="&amp;ReportTo))</f>
        <v/>
      </c>
      <c r="AA58" s="25">
        <f>IF($A58="",0,(SUMIFS('Payment Vouchers'!$D$5:$D$2005,'Payment Vouchers'!$J$5:$J$2005,$A58,'Payment Vouchers'!$A$5:$A$2005,"&lt;"&amp;ReportFrom))-(SUMIFS('Payment Vouchers'!$D$5:$D$2005,'Payment Vouchers'!$K$5:$K$2005,$A58,'Payment Vouchers'!$A$5:$A$2005,"&lt;"&amp;ReportFrom)))</f>
        <v/>
      </c>
      <c r="AB58" s="25">
        <f>IF($A58="",0,SUMIFS('Payment Vouchers'!$D$5:$D$2005,'Payment Vouchers'!$J$5:$J$2005,$A58,'Payment Vouchers'!$A$5:$A$2005,"&gt;="&amp;ReportFrom,'Payment Vouchers'!$A$5:$A$2005,"&lt;="&amp;ReportTo))</f>
        <v/>
      </c>
      <c r="AC58" s="25">
        <f>IF($A58="",0,SUMIFS('Payment Vouchers'!$D$5:$D$2005,'Payment Vouchers'!$K$5:$K$2005,$A58,'Payment Vouchers'!$A$5:$A$2005,"&gt;="&amp;ReportFrom,'Payment Vouchers'!$A$5:$A$2005,"&lt;="&amp;ReportTo))</f>
        <v/>
      </c>
      <c r="AD58" s="25">
        <f>IF($A58="",0,(SUMIFS('Partner Transactions'!$D$5:$D$2005,'Partner Transactions'!$L$5:$L$2005,$A58,'Partner Transactions'!$A$5:$A$2005,"&lt;"&amp;ReportFrom))-(SUMIFS('Partner Transactions'!$D$5:$D$2005,'Partner Transactions'!$M$5:$M$2005,$A58,'Partner Transactions'!$A$5:$A$2005,"&lt;"&amp;ReportFrom)))</f>
        <v/>
      </c>
      <c r="AE58" s="25">
        <f>IF($A58="",0,SUMIFS('Partner Transactions'!$D$5:$D$2005,'Partner Transactions'!$L$5:$L$2005,$A58,'Partner Transactions'!$A$5:$A$2005,"&gt;="&amp;ReportFrom,'Partner Transactions'!$A$5:$A$2005,"&lt;="&amp;ReportTo))</f>
        <v/>
      </c>
      <c r="AF58" s="25">
        <f>IF($A58="",0,SUMIFS('Partner Transactions'!$D$5:$D$2005,'Partner Transactions'!$M$5:$M$2005,$A58,'Partner Transactions'!$A$5:$A$2005,"&gt;="&amp;ReportFrom,'Partner Transactions'!$A$5:$A$2005,"&lt;="&amp;ReportTo))</f>
        <v/>
      </c>
      <c r="AG58" s="25">
        <f>IF($A58="",0,(SUMIFS('Stock Moves'!$S$5:$S$2005,'Stock Moves'!$AD$5:$AD$2005,$A58,'Stock Moves'!$A$5:$A$2005,"&lt;"&amp;ReportFrom)+SUMIFS('Stock Moves'!$T$5:$T$2005,'Stock Moves'!$V$5:$V$2005,$A58,'Stock Moves'!$A$5:$A$2005,"&lt;"&amp;ReportFrom))-(SUMIFS('Stock Moves'!$AF$5:$AF$2005,'Stock Moves'!$AE$5:$AE$2005,$A58,'Stock Moves'!$A$5:$A$2005,"&lt;"&amp;ReportFrom)+SUMIFS('Stock Moves'!$AC$5:$AC$2005,'Stock Moves'!$X$5:$X$2005,$A58,'Stock Moves'!$A$5:$A$2005,"&lt;"&amp;ReportFrom)+SUMIFS('Stock Moves'!$U$5:$U$2005,'Stock Moves'!$W$5:$W$2005,$A58,'Stock Moves'!$A$5:$A$2005,"&lt;"&amp;ReportFrom)))</f>
        <v/>
      </c>
      <c r="AH58" s="25">
        <f>IF($A58="",0,SUMIFS('Stock Moves'!$S$5:$S$2005,'Stock Moves'!$AD$5:$AD$2005,$A58,'Stock Moves'!$A$5:$A$2005,"&gt;="&amp;ReportFrom,'Stock Moves'!$A$5:$A$2005,"&lt;="&amp;ReportTo)+SUMIFS('Stock Moves'!$T$5:$T$2005,'Stock Moves'!$V$5:$V$2005,$A58,'Stock Moves'!$A$5:$A$2005,"&gt;="&amp;ReportFrom,'Stock Moves'!$A$5:$A$2005,"&lt;="&amp;ReportTo))</f>
        <v/>
      </c>
      <c r="AI58" s="25">
        <f>IF($A58="",0,SUMIFS('Stock Moves'!$AF$5:$AF$2005,'Stock Moves'!$AE$5:$AE$2005,$A58,'Stock Moves'!$A$5:$A$2005,"&gt;="&amp;ReportFrom,'Stock Moves'!$A$5:$A$2005,"&lt;="&amp;ReportTo)+SUMIFS('Stock Moves'!$AC$5:$AC$2005,'Stock Moves'!$X$5:$X$2005,$A58,'Stock Moves'!$A$5:$A$2005,"&gt;="&amp;ReportFrom,'Stock Moves'!$A$5:$A$2005,"&lt;="&amp;ReportTo)+SUMIFS('Stock Moves'!$U$5:$U$2005,'Stock Moves'!$W$5:$W$2005,$A58,'Stock Moves'!$A$5:$A$2005,"&gt;="&amp;ReportFrom,'Stock Moves'!$A$5:$A$2005,"&lt;="&amp;ReportTo))</f>
        <v/>
      </c>
      <c r="AJ58" s="25">
        <f>IF($A58="",0,(SUMIFS('Journal Vouchers'!$I$5:$I$2005,'Journal Vouchers'!$H$5:$H$2005,$A58,'Journal Vouchers'!$B$5:$B$2005,"&lt;"&amp;ReportFrom))-(SUMIFS('Journal Vouchers'!$J$5:$J$2005,'Journal Vouchers'!$H$5:$H$2005,$A58,'Journal Vouchers'!$B$5:$B$2005,"&lt;"&amp;ReportFrom)))</f>
        <v/>
      </c>
      <c r="AK58" s="25">
        <f>IF($A58="",0,SUMIFS('Journal Vouchers'!$I$5:$I$2005,'Journal Vouchers'!$H$5:$H$2005,$A58,'Journal Vouchers'!$B$5:$B$2005,"&gt;="&amp;ReportFrom,'Journal Vouchers'!$B$5:$B$2005,"&lt;="&amp;ReportTo))</f>
        <v/>
      </c>
      <c r="AL58" s="25">
        <f>IF($A58="",0,SUMIFS('Journal Vouchers'!$J$5:$J$2005,'Journal Vouchers'!$H$5:$H$2005,$A58,'Journal Vouchers'!$B$5:$B$2005,"&gt;="&amp;ReportFrom,'Journal Vouchers'!$B$5:$B$2005,"&lt;="&amp;ReportTo))</f>
        <v/>
      </c>
    </row>
    <row r="59">
      <c r="A59" s="25">
        <f>IF('Chart of Accounts'!A59="","",'Chart of Accounts'!A59&amp;"")</f>
        <v/>
      </c>
      <c r="B59" s="25">
        <f>IF(A59="","",'Chart of Accounts'!B59)</f>
        <v/>
      </c>
      <c r="C59" s="25">
        <f>IF(A59="","",'Chart of Accounts'!C59)</f>
        <v/>
      </c>
      <c r="D59" s="25">
        <f>IF(A59="","",'Chart of Accounts'!D59)</f>
        <v/>
      </c>
      <c r="E59" s="26">
        <f>L59+O59+R59+U59+X59+AA59+AD59+AG59+AJ59</f>
        <v/>
      </c>
      <c r="F59" s="26">
        <f>M59+P59+S59+V59+Y59+AB59+AE59+AH59+AK59</f>
        <v/>
      </c>
      <c r="G59" s="26">
        <f>N59+Q59+T59+W59+Z59+AC59+AF59+AI59+AL59</f>
        <v/>
      </c>
      <c r="H59" s="26">
        <f>E59+F59-G59</f>
        <v/>
      </c>
      <c r="I59" s="26">
        <f>MAX(H59,0)</f>
        <v/>
      </c>
      <c r="J59" s="26">
        <f>MAX(-H59,0)</f>
        <v/>
      </c>
      <c r="L59" s="25">
        <f>IF($A59="",0,(SUMIFS('Direct Costs'!$R$5:$R$2005,'Direct Costs'!$V$5:$V$2005,$A59,'Direct Costs'!$A$5:$A$2005,"&lt;"&amp;ReportFrom)+SUMIFS('Direct Costs'!$S$5:$S$2005,'Direct Costs'!$Y$5:$Y$2005,$A59,'Direct Costs'!$A$5:$A$2005,"&lt;"&amp;ReportFrom))-(SUMIFS('Direct Costs'!$L$5:$L$2005,'Direct Costs'!$W$5:$W$2005,$A59,'Direct Costs'!$A$5:$A$2005,"&lt;"&amp;ReportFrom)+SUMIFS('Direct Costs'!$U$5:$U$2005,'Direct Costs'!$X$5:$X$2005,$A59,'Direct Costs'!$A$5:$A$2005,"&lt;"&amp;ReportFrom)+SUMIFS('Direct Costs'!$T$5:$T$2005,'Direct Costs'!$Z$5:$Z$2005,$A59,'Direct Costs'!$A$5:$A$2005,"&lt;"&amp;ReportFrom)))</f>
        <v/>
      </c>
      <c r="M59" s="25">
        <f>IF($A59="",0,SUMIFS('Direct Costs'!$R$5:$R$2005,'Direct Costs'!$V$5:$V$2005,$A59,'Direct Costs'!$A$5:$A$2005,"&gt;="&amp;ReportFrom,'Direct Costs'!$A$5:$A$2005,"&lt;="&amp;ReportTo)+SUMIFS('Direct Costs'!$S$5:$S$2005,'Direct Costs'!$Y$5:$Y$2005,$A59,'Direct Costs'!$A$5:$A$2005,"&gt;="&amp;ReportFrom,'Direct Costs'!$A$5:$A$2005,"&lt;="&amp;ReportTo))</f>
        <v/>
      </c>
      <c r="N59" s="25">
        <f>IF($A59="",0,SUMIFS('Direct Costs'!$L$5:$L$2005,'Direct Costs'!$W$5:$W$2005,$A59,'Direct Costs'!$A$5:$A$2005,"&gt;="&amp;ReportFrom,'Direct Costs'!$A$5:$A$2005,"&lt;="&amp;ReportTo)+SUMIFS('Direct Costs'!$U$5:$U$2005,'Direct Costs'!$X$5:$X$2005,$A59,'Direct Costs'!$A$5:$A$2005,"&gt;="&amp;ReportFrom,'Direct Costs'!$A$5:$A$2005,"&lt;="&amp;ReportTo)+SUMIFS('Direct Costs'!$T$5:$T$2005,'Direct Costs'!$Z$5:$Z$2005,$A59,'Direct Costs'!$A$5:$A$2005,"&gt;="&amp;ReportFrom,'Direct Costs'!$A$5:$A$2005,"&lt;="&amp;ReportTo))</f>
        <v/>
      </c>
      <c r="O59" s="25">
        <f>IF($A59="",0,(SUMIFS('Operating Expenses'!$F$5:$F$2005,'Operating Expenses'!$Q$5:$Q$2005,$A59,'Operating Expenses'!$A$5:$A$2005,"&lt;"&amp;ReportFrom)+SUMIFS('Operating Expenses'!$M$5:$M$2005,'Operating Expenses'!$T$5:$T$2005,$A59,'Operating Expenses'!$A$5:$A$2005,"&lt;"&amp;ReportFrom))-(SUMIFS('Operating Expenses'!$O$5:$O$2005,'Operating Expenses'!$R$5:$R$2005,$A59,'Operating Expenses'!$A$5:$A$2005,"&lt;"&amp;ReportFrom)+SUMIFS('Operating Expenses'!$P$5:$P$2005,'Operating Expenses'!$S$5:$S$2005,$A59,'Operating Expenses'!$A$5:$A$2005,"&lt;"&amp;ReportFrom)+SUMIFS('Operating Expenses'!$N$5:$N$2005,'Operating Expenses'!$U$5:$U$2005,$A59,'Operating Expenses'!$A$5:$A$2005,"&lt;"&amp;ReportFrom)))</f>
        <v/>
      </c>
      <c r="P59" s="25">
        <f>IF($A59="",0,SUMIFS('Operating Expenses'!$F$5:$F$2005,'Operating Expenses'!$Q$5:$Q$2005,$A59,'Operating Expenses'!$A$5:$A$2005,"&gt;="&amp;ReportFrom,'Operating Expenses'!$A$5:$A$2005,"&lt;="&amp;ReportTo)+SUMIFS('Operating Expenses'!$M$5:$M$2005,'Operating Expenses'!$T$5:$T$2005,$A59,'Operating Expenses'!$A$5:$A$2005,"&gt;="&amp;ReportFrom,'Operating Expenses'!$A$5:$A$2005,"&lt;="&amp;ReportTo))</f>
        <v/>
      </c>
      <c r="Q59" s="25">
        <f>IF($A59="",0,SUMIFS('Operating Expenses'!$O$5:$O$2005,'Operating Expenses'!$R$5:$R$2005,$A59,'Operating Expenses'!$A$5:$A$2005,"&gt;="&amp;ReportFrom,'Operating Expenses'!$A$5:$A$2005,"&lt;="&amp;ReportTo)+SUMIFS('Operating Expenses'!$P$5:$P$2005,'Operating Expenses'!$S$5:$S$2005,$A59,'Operating Expenses'!$A$5:$A$2005,"&gt;="&amp;ReportFrom,'Operating Expenses'!$A$5:$A$2005,"&lt;="&amp;ReportTo)+SUMIFS('Operating Expenses'!$N$5:$N$2005,'Operating Expenses'!$U$5:$U$2005,$A59,'Operating Expenses'!$A$5:$A$2005,"&gt;="&amp;ReportFrom,'Operating Expenses'!$A$5:$A$2005,"&lt;="&amp;ReportTo))</f>
        <v/>
      </c>
      <c r="R59" s="25">
        <f>IF($A59="",0,(SUMIFS('Payroll'!$O$5:$O$2005,'Payroll'!$Q$5:$Q$2005,$A59,'Payroll'!$A$5:$A$2005,"&lt;"&amp;ReportFrom))-(SUMIFS('Payroll'!$K$5:$K$2005,'Payroll'!$R$5:$R$2005,$A59,'Payroll'!$A$5:$A$2005,"&lt;"&amp;ReportFrom)+SUMIFS('Payroll'!$P$5:$P$2005,'Payroll'!$S$5:$S$2005,$A59,'Payroll'!$A$5:$A$2005,"&lt;"&amp;ReportFrom)))</f>
        <v/>
      </c>
      <c r="S59" s="25">
        <f>IF($A59="",0,SUMIFS('Payroll'!$O$5:$O$2005,'Payroll'!$Q$5:$Q$2005,$A59,'Payroll'!$A$5:$A$2005,"&gt;="&amp;ReportFrom,'Payroll'!$A$5:$A$2005,"&lt;="&amp;ReportTo))</f>
        <v/>
      </c>
      <c r="T59" s="25">
        <f>IF($A59="",0,SUMIFS('Payroll'!$K$5:$K$2005,'Payroll'!$R$5:$R$2005,$A59,'Payroll'!$A$5:$A$2005,"&gt;="&amp;ReportFrom,'Payroll'!$A$5:$A$2005,"&lt;="&amp;ReportTo)+SUMIFS('Payroll'!$P$5:$P$2005,'Payroll'!$S$5:$S$2005,$A59,'Payroll'!$A$5:$A$2005,"&gt;="&amp;ReportFrom,'Payroll'!$A$5:$A$2005,"&lt;="&amp;ReportTo))</f>
        <v/>
      </c>
      <c r="U59" s="25">
        <f>IF($A59="",0,(SUMIFS('Receipt Vouchers'!$F$5:$F$2005,'Receipt Vouchers'!$O$5:$O$2005,$A59,'Receipt Vouchers'!$A$5:$A$2005,"&lt;"&amp;ReportFrom)+SUMIFS('Receipt Vouchers'!$J$5:$J$2005,'Receipt Vouchers'!$Q$5:$Q$2005,$A59,'Receipt Vouchers'!$A$5:$A$2005,"&lt;"&amp;ReportFrom))-(SUMIFS('Receipt Vouchers'!$N$5:$N$2005,'Receipt Vouchers'!$P$5:$P$2005,$A59,'Receipt Vouchers'!$A$5:$A$2005,"&lt;"&amp;ReportFrom)+SUMIFS('Receipt Vouchers'!$M$5:$M$2005,'Receipt Vouchers'!$R$5:$R$2005,$A59,'Receipt Vouchers'!$A$5:$A$2005,"&lt;"&amp;ReportFrom)))</f>
        <v/>
      </c>
      <c r="V59" s="25">
        <f>IF($A59="",0,SUMIFS('Receipt Vouchers'!$F$5:$F$2005,'Receipt Vouchers'!$O$5:$O$2005,$A59,'Receipt Vouchers'!$A$5:$A$2005,"&gt;="&amp;ReportFrom,'Receipt Vouchers'!$A$5:$A$2005,"&lt;="&amp;ReportTo)+SUMIFS('Receipt Vouchers'!$J$5:$J$2005,'Receipt Vouchers'!$Q$5:$Q$2005,$A59,'Receipt Vouchers'!$A$5:$A$2005,"&gt;="&amp;ReportFrom,'Receipt Vouchers'!$A$5:$A$2005,"&lt;="&amp;ReportTo))</f>
        <v/>
      </c>
      <c r="W59" s="25">
        <f>IF($A59="",0,SUMIFS('Receipt Vouchers'!$N$5:$N$2005,'Receipt Vouchers'!$P$5:$P$2005,$A59,'Receipt Vouchers'!$A$5:$A$2005,"&gt;="&amp;ReportFrom,'Receipt Vouchers'!$A$5:$A$2005,"&lt;="&amp;ReportTo)+SUMIFS('Receipt Vouchers'!$M$5:$M$2005,'Receipt Vouchers'!$R$5:$R$2005,$A59,'Receipt Vouchers'!$A$5:$A$2005,"&gt;="&amp;ReportFrom,'Receipt Vouchers'!$A$5:$A$2005,"&lt;="&amp;ReportTo))</f>
        <v/>
      </c>
      <c r="X59" s="25">
        <f>IF($A59="",0,(SUMIFS('Sales Invoices'!$O$5:$O$2005,'Sales Invoices'!$P$5:$P$2005,$A59,'Sales Invoices'!$B$5:$B$2005,"&lt;"&amp;ReportFrom)+SUMIFS('Sales Invoices'!$N$5:$N$2005,'Sales Invoices'!$R$5:$R$2005,$A59,'Sales Invoices'!$B$5:$B$2005,"&lt;"&amp;ReportFrom))-(SUMIFS('Sales Invoices'!$L$5:$L$2005,'Sales Invoices'!$Q$5:$Q$2005,$A59,'Sales Invoices'!$B$5:$B$2005,"&lt;"&amp;ReportFrom)+SUMIFS('Sales Invoices'!$M$5:$M$2005,'Sales Invoices'!$S$5:$S$2005,$A59,'Sales Invoices'!$B$5:$B$2005,"&lt;"&amp;ReportFrom)))</f>
        <v/>
      </c>
      <c r="Y59" s="25">
        <f>IF($A59="",0,SUMIFS('Sales Invoices'!$O$5:$O$2005,'Sales Invoices'!$P$5:$P$2005,$A59,'Sales Invoices'!$B$5:$B$2005,"&gt;="&amp;ReportFrom,'Sales Invoices'!$B$5:$B$2005,"&lt;="&amp;ReportTo)+SUMIFS('Sales Invoices'!$N$5:$N$2005,'Sales Invoices'!$R$5:$R$2005,$A59,'Sales Invoices'!$B$5:$B$2005,"&gt;="&amp;ReportFrom,'Sales Invoices'!$B$5:$B$2005,"&lt;="&amp;ReportTo))</f>
        <v/>
      </c>
      <c r="Z59" s="25">
        <f>IF($A59="",0,SUMIFS('Sales Invoices'!$L$5:$L$2005,'Sales Invoices'!$Q$5:$Q$2005,$A59,'Sales Invoices'!$B$5:$B$2005,"&gt;="&amp;ReportFrom,'Sales Invoices'!$B$5:$B$2005,"&lt;="&amp;ReportTo)+SUMIFS('Sales Invoices'!$M$5:$M$2005,'Sales Invoices'!$S$5:$S$2005,$A59,'Sales Invoices'!$B$5:$B$2005,"&gt;="&amp;ReportFrom,'Sales Invoices'!$B$5:$B$2005,"&lt;="&amp;ReportTo))</f>
        <v/>
      </c>
      <c r="AA59" s="25">
        <f>IF($A59="",0,(SUMIFS('Payment Vouchers'!$D$5:$D$2005,'Payment Vouchers'!$J$5:$J$2005,$A59,'Payment Vouchers'!$A$5:$A$2005,"&lt;"&amp;ReportFrom))-(SUMIFS('Payment Vouchers'!$D$5:$D$2005,'Payment Vouchers'!$K$5:$K$2005,$A59,'Payment Vouchers'!$A$5:$A$2005,"&lt;"&amp;ReportFrom)))</f>
        <v/>
      </c>
      <c r="AB59" s="25">
        <f>IF($A59="",0,SUMIFS('Payment Vouchers'!$D$5:$D$2005,'Payment Vouchers'!$J$5:$J$2005,$A59,'Payment Vouchers'!$A$5:$A$2005,"&gt;="&amp;ReportFrom,'Payment Vouchers'!$A$5:$A$2005,"&lt;="&amp;ReportTo))</f>
        <v/>
      </c>
      <c r="AC59" s="25">
        <f>IF($A59="",0,SUMIFS('Payment Vouchers'!$D$5:$D$2005,'Payment Vouchers'!$K$5:$K$2005,$A59,'Payment Vouchers'!$A$5:$A$2005,"&gt;="&amp;ReportFrom,'Payment Vouchers'!$A$5:$A$2005,"&lt;="&amp;ReportTo))</f>
        <v/>
      </c>
      <c r="AD59" s="25">
        <f>IF($A59="",0,(SUMIFS('Partner Transactions'!$D$5:$D$2005,'Partner Transactions'!$L$5:$L$2005,$A59,'Partner Transactions'!$A$5:$A$2005,"&lt;"&amp;ReportFrom))-(SUMIFS('Partner Transactions'!$D$5:$D$2005,'Partner Transactions'!$M$5:$M$2005,$A59,'Partner Transactions'!$A$5:$A$2005,"&lt;"&amp;ReportFrom)))</f>
        <v/>
      </c>
      <c r="AE59" s="25">
        <f>IF($A59="",0,SUMIFS('Partner Transactions'!$D$5:$D$2005,'Partner Transactions'!$L$5:$L$2005,$A59,'Partner Transactions'!$A$5:$A$2005,"&gt;="&amp;ReportFrom,'Partner Transactions'!$A$5:$A$2005,"&lt;="&amp;ReportTo))</f>
        <v/>
      </c>
      <c r="AF59" s="25">
        <f>IF($A59="",0,SUMIFS('Partner Transactions'!$D$5:$D$2005,'Partner Transactions'!$M$5:$M$2005,$A59,'Partner Transactions'!$A$5:$A$2005,"&gt;="&amp;ReportFrom,'Partner Transactions'!$A$5:$A$2005,"&lt;="&amp;ReportTo))</f>
        <v/>
      </c>
      <c r="AG59" s="25">
        <f>IF($A59="",0,(SUMIFS('Stock Moves'!$S$5:$S$2005,'Stock Moves'!$AD$5:$AD$2005,$A59,'Stock Moves'!$A$5:$A$2005,"&lt;"&amp;ReportFrom)+SUMIFS('Stock Moves'!$T$5:$T$2005,'Stock Moves'!$V$5:$V$2005,$A59,'Stock Moves'!$A$5:$A$2005,"&lt;"&amp;ReportFrom))-(SUMIFS('Stock Moves'!$AF$5:$AF$2005,'Stock Moves'!$AE$5:$AE$2005,$A59,'Stock Moves'!$A$5:$A$2005,"&lt;"&amp;ReportFrom)+SUMIFS('Stock Moves'!$AC$5:$AC$2005,'Stock Moves'!$X$5:$X$2005,$A59,'Stock Moves'!$A$5:$A$2005,"&lt;"&amp;ReportFrom)+SUMIFS('Stock Moves'!$U$5:$U$2005,'Stock Moves'!$W$5:$W$2005,$A59,'Stock Moves'!$A$5:$A$2005,"&lt;"&amp;ReportFrom)))</f>
        <v/>
      </c>
      <c r="AH59" s="25">
        <f>IF($A59="",0,SUMIFS('Stock Moves'!$S$5:$S$2005,'Stock Moves'!$AD$5:$AD$2005,$A59,'Stock Moves'!$A$5:$A$2005,"&gt;="&amp;ReportFrom,'Stock Moves'!$A$5:$A$2005,"&lt;="&amp;ReportTo)+SUMIFS('Stock Moves'!$T$5:$T$2005,'Stock Moves'!$V$5:$V$2005,$A59,'Stock Moves'!$A$5:$A$2005,"&gt;="&amp;ReportFrom,'Stock Moves'!$A$5:$A$2005,"&lt;="&amp;ReportTo))</f>
        <v/>
      </c>
      <c r="AI59" s="25">
        <f>IF($A59="",0,SUMIFS('Stock Moves'!$AF$5:$AF$2005,'Stock Moves'!$AE$5:$AE$2005,$A59,'Stock Moves'!$A$5:$A$2005,"&gt;="&amp;ReportFrom,'Stock Moves'!$A$5:$A$2005,"&lt;="&amp;ReportTo)+SUMIFS('Stock Moves'!$AC$5:$AC$2005,'Stock Moves'!$X$5:$X$2005,$A59,'Stock Moves'!$A$5:$A$2005,"&gt;="&amp;ReportFrom,'Stock Moves'!$A$5:$A$2005,"&lt;="&amp;ReportTo)+SUMIFS('Stock Moves'!$U$5:$U$2005,'Stock Moves'!$W$5:$W$2005,$A59,'Stock Moves'!$A$5:$A$2005,"&gt;="&amp;ReportFrom,'Stock Moves'!$A$5:$A$2005,"&lt;="&amp;ReportTo))</f>
        <v/>
      </c>
      <c r="AJ59" s="25">
        <f>IF($A59="",0,(SUMIFS('Journal Vouchers'!$I$5:$I$2005,'Journal Vouchers'!$H$5:$H$2005,$A59,'Journal Vouchers'!$B$5:$B$2005,"&lt;"&amp;ReportFrom))-(SUMIFS('Journal Vouchers'!$J$5:$J$2005,'Journal Vouchers'!$H$5:$H$2005,$A59,'Journal Vouchers'!$B$5:$B$2005,"&lt;"&amp;ReportFrom)))</f>
        <v/>
      </c>
      <c r="AK59" s="25">
        <f>IF($A59="",0,SUMIFS('Journal Vouchers'!$I$5:$I$2005,'Journal Vouchers'!$H$5:$H$2005,$A59,'Journal Vouchers'!$B$5:$B$2005,"&gt;="&amp;ReportFrom,'Journal Vouchers'!$B$5:$B$2005,"&lt;="&amp;ReportTo))</f>
        <v/>
      </c>
      <c r="AL59" s="25">
        <f>IF($A59="",0,SUMIFS('Journal Vouchers'!$J$5:$J$2005,'Journal Vouchers'!$H$5:$H$2005,$A59,'Journal Vouchers'!$B$5:$B$2005,"&gt;="&amp;ReportFrom,'Journal Vouchers'!$B$5:$B$2005,"&lt;="&amp;ReportTo))</f>
        <v/>
      </c>
    </row>
    <row r="60">
      <c r="A60" s="25">
        <f>IF('Chart of Accounts'!A60="","",'Chart of Accounts'!A60&amp;"")</f>
        <v/>
      </c>
      <c r="B60" s="25">
        <f>IF(A60="","",'Chart of Accounts'!B60)</f>
        <v/>
      </c>
      <c r="C60" s="25">
        <f>IF(A60="","",'Chart of Accounts'!C60)</f>
        <v/>
      </c>
      <c r="D60" s="25">
        <f>IF(A60="","",'Chart of Accounts'!D60)</f>
        <v/>
      </c>
      <c r="E60" s="26">
        <f>L60+O60+R60+U60+X60+AA60+AD60+AG60+AJ60</f>
        <v/>
      </c>
      <c r="F60" s="26">
        <f>M60+P60+S60+V60+Y60+AB60+AE60+AH60+AK60</f>
        <v/>
      </c>
      <c r="G60" s="26">
        <f>N60+Q60+T60+W60+Z60+AC60+AF60+AI60+AL60</f>
        <v/>
      </c>
      <c r="H60" s="26">
        <f>E60+F60-G60</f>
        <v/>
      </c>
      <c r="I60" s="26">
        <f>MAX(H60,0)</f>
        <v/>
      </c>
      <c r="J60" s="26">
        <f>MAX(-H60,0)</f>
        <v/>
      </c>
      <c r="L60" s="25">
        <f>IF($A60="",0,(SUMIFS('Direct Costs'!$R$5:$R$2005,'Direct Costs'!$V$5:$V$2005,$A60,'Direct Costs'!$A$5:$A$2005,"&lt;"&amp;ReportFrom)+SUMIFS('Direct Costs'!$S$5:$S$2005,'Direct Costs'!$Y$5:$Y$2005,$A60,'Direct Costs'!$A$5:$A$2005,"&lt;"&amp;ReportFrom))-(SUMIFS('Direct Costs'!$L$5:$L$2005,'Direct Costs'!$W$5:$W$2005,$A60,'Direct Costs'!$A$5:$A$2005,"&lt;"&amp;ReportFrom)+SUMIFS('Direct Costs'!$U$5:$U$2005,'Direct Costs'!$X$5:$X$2005,$A60,'Direct Costs'!$A$5:$A$2005,"&lt;"&amp;ReportFrom)+SUMIFS('Direct Costs'!$T$5:$T$2005,'Direct Costs'!$Z$5:$Z$2005,$A60,'Direct Costs'!$A$5:$A$2005,"&lt;"&amp;ReportFrom)))</f>
        <v/>
      </c>
      <c r="M60" s="25">
        <f>IF($A60="",0,SUMIFS('Direct Costs'!$R$5:$R$2005,'Direct Costs'!$V$5:$V$2005,$A60,'Direct Costs'!$A$5:$A$2005,"&gt;="&amp;ReportFrom,'Direct Costs'!$A$5:$A$2005,"&lt;="&amp;ReportTo)+SUMIFS('Direct Costs'!$S$5:$S$2005,'Direct Costs'!$Y$5:$Y$2005,$A60,'Direct Costs'!$A$5:$A$2005,"&gt;="&amp;ReportFrom,'Direct Costs'!$A$5:$A$2005,"&lt;="&amp;ReportTo))</f>
        <v/>
      </c>
      <c r="N60" s="25">
        <f>IF($A60="",0,SUMIFS('Direct Costs'!$L$5:$L$2005,'Direct Costs'!$W$5:$W$2005,$A60,'Direct Costs'!$A$5:$A$2005,"&gt;="&amp;ReportFrom,'Direct Costs'!$A$5:$A$2005,"&lt;="&amp;ReportTo)+SUMIFS('Direct Costs'!$U$5:$U$2005,'Direct Costs'!$X$5:$X$2005,$A60,'Direct Costs'!$A$5:$A$2005,"&gt;="&amp;ReportFrom,'Direct Costs'!$A$5:$A$2005,"&lt;="&amp;ReportTo)+SUMIFS('Direct Costs'!$T$5:$T$2005,'Direct Costs'!$Z$5:$Z$2005,$A60,'Direct Costs'!$A$5:$A$2005,"&gt;="&amp;ReportFrom,'Direct Costs'!$A$5:$A$2005,"&lt;="&amp;ReportTo))</f>
        <v/>
      </c>
      <c r="O60" s="25">
        <f>IF($A60="",0,(SUMIFS('Operating Expenses'!$F$5:$F$2005,'Operating Expenses'!$Q$5:$Q$2005,$A60,'Operating Expenses'!$A$5:$A$2005,"&lt;"&amp;ReportFrom)+SUMIFS('Operating Expenses'!$M$5:$M$2005,'Operating Expenses'!$T$5:$T$2005,$A60,'Operating Expenses'!$A$5:$A$2005,"&lt;"&amp;ReportFrom))-(SUMIFS('Operating Expenses'!$O$5:$O$2005,'Operating Expenses'!$R$5:$R$2005,$A60,'Operating Expenses'!$A$5:$A$2005,"&lt;"&amp;ReportFrom)+SUMIFS('Operating Expenses'!$P$5:$P$2005,'Operating Expenses'!$S$5:$S$2005,$A60,'Operating Expenses'!$A$5:$A$2005,"&lt;"&amp;ReportFrom)+SUMIFS('Operating Expenses'!$N$5:$N$2005,'Operating Expenses'!$U$5:$U$2005,$A60,'Operating Expenses'!$A$5:$A$2005,"&lt;"&amp;ReportFrom)))</f>
        <v/>
      </c>
      <c r="P60" s="25">
        <f>IF($A60="",0,SUMIFS('Operating Expenses'!$F$5:$F$2005,'Operating Expenses'!$Q$5:$Q$2005,$A60,'Operating Expenses'!$A$5:$A$2005,"&gt;="&amp;ReportFrom,'Operating Expenses'!$A$5:$A$2005,"&lt;="&amp;ReportTo)+SUMIFS('Operating Expenses'!$M$5:$M$2005,'Operating Expenses'!$T$5:$T$2005,$A60,'Operating Expenses'!$A$5:$A$2005,"&gt;="&amp;ReportFrom,'Operating Expenses'!$A$5:$A$2005,"&lt;="&amp;ReportTo))</f>
        <v/>
      </c>
      <c r="Q60" s="25">
        <f>IF($A60="",0,SUMIFS('Operating Expenses'!$O$5:$O$2005,'Operating Expenses'!$R$5:$R$2005,$A60,'Operating Expenses'!$A$5:$A$2005,"&gt;="&amp;ReportFrom,'Operating Expenses'!$A$5:$A$2005,"&lt;="&amp;ReportTo)+SUMIFS('Operating Expenses'!$P$5:$P$2005,'Operating Expenses'!$S$5:$S$2005,$A60,'Operating Expenses'!$A$5:$A$2005,"&gt;="&amp;ReportFrom,'Operating Expenses'!$A$5:$A$2005,"&lt;="&amp;ReportTo)+SUMIFS('Operating Expenses'!$N$5:$N$2005,'Operating Expenses'!$U$5:$U$2005,$A60,'Operating Expenses'!$A$5:$A$2005,"&gt;="&amp;ReportFrom,'Operating Expenses'!$A$5:$A$2005,"&lt;="&amp;ReportTo))</f>
        <v/>
      </c>
      <c r="R60" s="25">
        <f>IF($A60="",0,(SUMIFS('Payroll'!$O$5:$O$2005,'Payroll'!$Q$5:$Q$2005,$A60,'Payroll'!$A$5:$A$2005,"&lt;"&amp;ReportFrom))-(SUMIFS('Payroll'!$K$5:$K$2005,'Payroll'!$R$5:$R$2005,$A60,'Payroll'!$A$5:$A$2005,"&lt;"&amp;ReportFrom)+SUMIFS('Payroll'!$P$5:$P$2005,'Payroll'!$S$5:$S$2005,$A60,'Payroll'!$A$5:$A$2005,"&lt;"&amp;ReportFrom)))</f>
        <v/>
      </c>
      <c r="S60" s="25">
        <f>IF($A60="",0,SUMIFS('Payroll'!$O$5:$O$2005,'Payroll'!$Q$5:$Q$2005,$A60,'Payroll'!$A$5:$A$2005,"&gt;="&amp;ReportFrom,'Payroll'!$A$5:$A$2005,"&lt;="&amp;ReportTo))</f>
        <v/>
      </c>
      <c r="T60" s="25">
        <f>IF($A60="",0,SUMIFS('Payroll'!$K$5:$K$2005,'Payroll'!$R$5:$R$2005,$A60,'Payroll'!$A$5:$A$2005,"&gt;="&amp;ReportFrom,'Payroll'!$A$5:$A$2005,"&lt;="&amp;ReportTo)+SUMIFS('Payroll'!$P$5:$P$2005,'Payroll'!$S$5:$S$2005,$A60,'Payroll'!$A$5:$A$2005,"&gt;="&amp;ReportFrom,'Payroll'!$A$5:$A$2005,"&lt;="&amp;ReportTo))</f>
        <v/>
      </c>
      <c r="U60" s="25">
        <f>IF($A60="",0,(SUMIFS('Receipt Vouchers'!$F$5:$F$2005,'Receipt Vouchers'!$O$5:$O$2005,$A60,'Receipt Vouchers'!$A$5:$A$2005,"&lt;"&amp;ReportFrom)+SUMIFS('Receipt Vouchers'!$J$5:$J$2005,'Receipt Vouchers'!$Q$5:$Q$2005,$A60,'Receipt Vouchers'!$A$5:$A$2005,"&lt;"&amp;ReportFrom))-(SUMIFS('Receipt Vouchers'!$N$5:$N$2005,'Receipt Vouchers'!$P$5:$P$2005,$A60,'Receipt Vouchers'!$A$5:$A$2005,"&lt;"&amp;ReportFrom)+SUMIFS('Receipt Vouchers'!$M$5:$M$2005,'Receipt Vouchers'!$R$5:$R$2005,$A60,'Receipt Vouchers'!$A$5:$A$2005,"&lt;"&amp;ReportFrom)))</f>
        <v/>
      </c>
      <c r="V60" s="25">
        <f>IF($A60="",0,SUMIFS('Receipt Vouchers'!$F$5:$F$2005,'Receipt Vouchers'!$O$5:$O$2005,$A60,'Receipt Vouchers'!$A$5:$A$2005,"&gt;="&amp;ReportFrom,'Receipt Vouchers'!$A$5:$A$2005,"&lt;="&amp;ReportTo)+SUMIFS('Receipt Vouchers'!$J$5:$J$2005,'Receipt Vouchers'!$Q$5:$Q$2005,$A60,'Receipt Vouchers'!$A$5:$A$2005,"&gt;="&amp;ReportFrom,'Receipt Vouchers'!$A$5:$A$2005,"&lt;="&amp;ReportTo))</f>
        <v/>
      </c>
      <c r="W60" s="25">
        <f>IF($A60="",0,SUMIFS('Receipt Vouchers'!$N$5:$N$2005,'Receipt Vouchers'!$P$5:$P$2005,$A60,'Receipt Vouchers'!$A$5:$A$2005,"&gt;="&amp;ReportFrom,'Receipt Vouchers'!$A$5:$A$2005,"&lt;="&amp;ReportTo)+SUMIFS('Receipt Vouchers'!$M$5:$M$2005,'Receipt Vouchers'!$R$5:$R$2005,$A60,'Receipt Vouchers'!$A$5:$A$2005,"&gt;="&amp;ReportFrom,'Receipt Vouchers'!$A$5:$A$2005,"&lt;="&amp;ReportTo))</f>
        <v/>
      </c>
      <c r="X60" s="25">
        <f>IF($A60="",0,(SUMIFS('Sales Invoices'!$O$5:$O$2005,'Sales Invoices'!$P$5:$P$2005,$A60,'Sales Invoices'!$B$5:$B$2005,"&lt;"&amp;ReportFrom)+SUMIFS('Sales Invoices'!$N$5:$N$2005,'Sales Invoices'!$R$5:$R$2005,$A60,'Sales Invoices'!$B$5:$B$2005,"&lt;"&amp;ReportFrom))-(SUMIFS('Sales Invoices'!$L$5:$L$2005,'Sales Invoices'!$Q$5:$Q$2005,$A60,'Sales Invoices'!$B$5:$B$2005,"&lt;"&amp;ReportFrom)+SUMIFS('Sales Invoices'!$M$5:$M$2005,'Sales Invoices'!$S$5:$S$2005,$A60,'Sales Invoices'!$B$5:$B$2005,"&lt;"&amp;ReportFrom)))</f>
        <v/>
      </c>
      <c r="Y60" s="25">
        <f>IF($A60="",0,SUMIFS('Sales Invoices'!$O$5:$O$2005,'Sales Invoices'!$P$5:$P$2005,$A60,'Sales Invoices'!$B$5:$B$2005,"&gt;="&amp;ReportFrom,'Sales Invoices'!$B$5:$B$2005,"&lt;="&amp;ReportTo)+SUMIFS('Sales Invoices'!$N$5:$N$2005,'Sales Invoices'!$R$5:$R$2005,$A60,'Sales Invoices'!$B$5:$B$2005,"&gt;="&amp;ReportFrom,'Sales Invoices'!$B$5:$B$2005,"&lt;="&amp;ReportTo))</f>
        <v/>
      </c>
      <c r="Z60" s="25">
        <f>IF($A60="",0,SUMIFS('Sales Invoices'!$L$5:$L$2005,'Sales Invoices'!$Q$5:$Q$2005,$A60,'Sales Invoices'!$B$5:$B$2005,"&gt;="&amp;ReportFrom,'Sales Invoices'!$B$5:$B$2005,"&lt;="&amp;ReportTo)+SUMIFS('Sales Invoices'!$M$5:$M$2005,'Sales Invoices'!$S$5:$S$2005,$A60,'Sales Invoices'!$B$5:$B$2005,"&gt;="&amp;ReportFrom,'Sales Invoices'!$B$5:$B$2005,"&lt;="&amp;ReportTo))</f>
        <v/>
      </c>
      <c r="AA60" s="25">
        <f>IF($A60="",0,(SUMIFS('Payment Vouchers'!$D$5:$D$2005,'Payment Vouchers'!$J$5:$J$2005,$A60,'Payment Vouchers'!$A$5:$A$2005,"&lt;"&amp;ReportFrom))-(SUMIFS('Payment Vouchers'!$D$5:$D$2005,'Payment Vouchers'!$K$5:$K$2005,$A60,'Payment Vouchers'!$A$5:$A$2005,"&lt;"&amp;ReportFrom)))</f>
        <v/>
      </c>
      <c r="AB60" s="25">
        <f>IF($A60="",0,SUMIFS('Payment Vouchers'!$D$5:$D$2005,'Payment Vouchers'!$J$5:$J$2005,$A60,'Payment Vouchers'!$A$5:$A$2005,"&gt;="&amp;ReportFrom,'Payment Vouchers'!$A$5:$A$2005,"&lt;="&amp;ReportTo))</f>
        <v/>
      </c>
      <c r="AC60" s="25">
        <f>IF($A60="",0,SUMIFS('Payment Vouchers'!$D$5:$D$2005,'Payment Vouchers'!$K$5:$K$2005,$A60,'Payment Vouchers'!$A$5:$A$2005,"&gt;="&amp;ReportFrom,'Payment Vouchers'!$A$5:$A$2005,"&lt;="&amp;ReportTo))</f>
        <v/>
      </c>
      <c r="AD60" s="25">
        <f>IF($A60="",0,(SUMIFS('Partner Transactions'!$D$5:$D$2005,'Partner Transactions'!$L$5:$L$2005,$A60,'Partner Transactions'!$A$5:$A$2005,"&lt;"&amp;ReportFrom))-(SUMIFS('Partner Transactions'!$D$5:$D$2005,'Partner Transactions'!$M$5:$M$2005,$A60,'Partner Transactions'!$A$5:$A$2005,"&lt;"&amp;ReportFrom)))</f>
        <v/>
      </c>
      <c r="AE60" s="25">
        <f>IF($A60="",0,SUMIFS('Partner Transactions'!$D$5:$D$2005,'Partner Transactions'!$L$5:$L$2005,$A60,'Partner Transactions'!$A$5:$A$2005,"&gt;="&amp;ReportFrom,'Partner Transactions'!$A$5:$A$2005,"&lt;="&amp;ReportTo))</f>
        <v/>
      </c>
      <c r="AF60" s="25">
        <f>IF($A60="",0,SUMIFS('Partner Transactions'!$D$5:$D$2005,'Partner Transactions'!$M$5:$M$2005,$A60,'Partner Transactions'!$A$5:$A$2005,"&gt;="&amp;ReportFrom,'Partner Transactions'!$A$5:$A$2005,"&lt;="&amp;ReportTo))</f>
        <v/>
      </c>
      <c r="AG60" s="25">
        <f>IF($A60="",0,(SUMIFS('Stock Moves'!$S$5:$S$2005,'Stock Moves'!$AD$5:$AD$2005,$A60,'Stock Moves'!$A$5:$A$2005,"&lt;"&amp;ReportFrom)+SUMIFS('Stock Moves'!$T$5:$T$2005,'Stock Moves'!$V$5:$V$2005,$A60,'Stock Moves'!$A$5:$A$2005,"&lt;"&amp;ReportFrom))-(SUMIFS('Stock Moves'!$AF$5:$AF$2005,'Stock Moves'!$AE$5:$AE$2005,$A60,'Stock Moves'!$A$5:$A$2005,"&lt;"&amp;ReportFrom)+SUMIFS('Stock Moves'!$AC$5:$AC$2005,'Stock Moves'!$X$5:$X$2005,$A60,'Stock Moves'!$A$5:$A$2005,"&lt;"&amp;ReportFrom)+SUMIFS('Stock Moves'!$U$5:$U$2005,'Stock Moves'!$W$5:$W$2005,$A60,'Stock Moves'!$A$5:$A$2005,"&lt;"&amp;ReportFrom)))</f>
        <v/>
      </c>
      <c r="AH60" s="25">
        <f>IF($A60="",0,SUMIFS('Stock Moves'!$S$5:$S$2005,'Stock Moves'!$AD$5:$AD$2005,$A60,'Stock Moves'!$A$5:$A$2005,"&gt;="&amp;ReportFrom,'Stock Moves'!$A$5:$A$2005,"&lt;="&amp;ReportTo)+SUMIFS('Stock Moves'!$T$5:$T$2005,'Stock Moves'!$V$5:$V$2005,$A60,'Stock Moves'!$A$5:$A$2005,"&gt;="&amp;ReportFrom,'Stock Moves'!$A$5:$A$2005,"&lt;="&amp;ReportTo))</f>
        <v/>
      </c>
      <c r="AI60" s="25">
        <f>IF($A60="",0,SUMIFS('Stock Moves'!$AF$5:$AF$2005,'Stock Moves'!$AE$5:$AE$2005,$A60,'Stock Moves'!$A$5:$A$2005,"&gt;="&amp;ReportFrom,'Stock Moves'!$A$5:$A$2005,"&lt;="&amp;ReportTo)+SUMIFS('Stock Moves'!$AC$5:$AC$2005,'Stock Moves'!$X$5:$X$2005,$A60,'Stock Moves'!$A$5:$A$2005,"&gt;="&amp;ReportFrom,'Stock Moves'!$A$5:$A$2005,"&lt;="&amp;ReportTo)+SUMIFS('Stock Moves'!$U$5:$U$2005,'Stock Moves'!$W$5:$W$2005,$A60,'Stock Moves'!$A$5:$A$2005,"&gt;="&amp;ReportFrom,'Stock Moves'!$A$5:$A$2005,"&lt;="&amp;ReportTo))</f>
        <v/>
      </c>
      <c r="AJ60" s="25">
        <f>IF($A60="",0,(SUMIFS('Journal Vouchers'!$I$5:$I$2005,'Journal Vouchers'!$H$5:$H$2005,$A60,'Journal Vouchers'!$B$5:$B$2005,"&lt;"&amp;ReportFrom))-(SUMIFS('Journal Vouchers'!$J$5:$J$2005,'Journal Vouchers'!$H$5:$H$2005,$A60,'Journal Vouchers'!$B$5:$B$2005,"&lt;"&amp;ReportFrom)))</f>
        <v/>
      </c>
      <c r="AK60" s="25">
        <f>IF($A60="",0,SUMIFS('Journal Vouchers'!$I$5:$I$2005,'Journal Vouchers'!$H$5:$H$2005,$A60,'Journal Vouchers'!$B$5:$B$2005,"&gt;="&amp;ReportFrom,'Journal Vouchers'!$B$5:$B$2005,"&lt;="&amp;ReportTo))</f>
        <v/>
      </c>
      <c r="AL60" s="25">
        <f>IF($A60="",0,SUMIFS('Journal Vouchers'!$J$5:$J$2005,'Journal Vouchers'!$H$5:$H$2005,$A60,'Journal Vouchers'!$B$5:$B$2005,"&gt;="&amp;ReportFrom,'Journal Vouchers'!$B$5:$B$2005,"&lt;="&amp;ReportTo))</f>
        <v/>
      </c>
    </row>
    <row r="61">
      <c r="A61" s="25">
        <f>IF('Chart of Accounts'!A61="","",'Chart of Accounts'!A61&amp;"")</f>
        <v/>
      </c>
      <c r="B61" s="25">
        <f>IF(A61="","",'Chart of Accounts'!B61)</f>
        <v/>
      </c>
      <c r="C61" s="25">
        <f>IF(A61="","",'Chart of Accounts'!C61)</f>
        <v/>
      </c>
      <c r="D61" s="25">
        <f>IF(A61="","",'Chart of Accounts'!D61)</f>
        <v/>
      </c>
      <c r="E61" s="26">
        <f>L61+O61+R61+U61+X61+AA61+AD61+AG61+AJ61</f>
        <v/>
      </c>
      <c r="F61" s="26">
        <f>M61+P61+S61+V61+Y61+AB61+AE61+AH61+AK61</f>
        <v/>
      </c>
      <c r="G61" s="26">
        <f>N61+Q61+T61+W61+Z61+AC61+AF61+AI61+AL61</f>
        <v/>
      </c>
      <c r="H61" s="26">
        <f>E61+F61-G61</f>
        <v/>
      </c>
      <c r="I61" s="26">
        <f>MAX(H61,0)</f>
        <v/>
      </c>
      <c r="J61" s="26">
        <f>MAX(-H61,0)</f>
        <v/>
      </c>
      <c r="L61" s="25">
        <f>IF($A61="",0,(SUMIFS('Direct Costs'!$R$5:$R$2005,'Direct Costs'!$V$5:$V$2005,$A61,'Direct Costs'!$A$5:$A$2005,"&lt;"&amp;ReportFrom)+SUMIFS('Direct Costs'!$S$5:$S$2005,'Direct Costs'!$Y$5:$Y$2005,$A61,'Direct Costs'!$A$5:$A$2005,"&lt;"&amp;ReportFrom))-(SUMIFS('Direct Costs'!$L$5:$L$2005,'Direct Costs'!$W$5:$W$2005,$A61,'Direct Costs'!$A$5:$A$2005,"&lt;"&amp;ReportFrom)+SUMIFS('Direct Costs'!$U$5:$U$2005,'Direct Costs'!$X$5:$X$2005,$A61,'Direct Costs'!$A$5:$A$2005,"&lt;"&amp;ReportFrom)+SUMIFS('Direct Costs'!$T$5:$T$2005,'Direct Costs'!$Z$5:$Z$2005,$A61,'Direct Costs'!$A$5:$A$2005,"&lt;"&amp;ReportFrom)))</f>
        <v/>
      </c>
      <c r="M61" s="25">
        <f>IF($A61="",0,SUMIFS('Direct Costs'!$R$5:$R$2005,'Direct Costs'!$V$5:$V$2005,$A61,'Direct Costs'!$A$5:$A$2005,"&gt;="&amp;ReportFrom,'Direct Costs'!$A$5:$A$2005,"&lt;="&amp;ReportTo)+SUMIFS('Direct Costs'!$S$5:$S$2005,'Direct Costs'!$Y$5:$Y$2005,$A61,'Direct Costs'!$A$5:$A$2005,"&gt;="&amp;ReportFrom,'Direct Costs'!$A$5:$A$2005,"&lt;="&amp;ReportTo))</f>
        <v/>
      </c>
      <c r="N61" s="25">
        <f>IF($A61="",0,SUMIFS('Direct Costs'!$L$5:$L$2005,'Direct Costs'!$W$5:$W$2005,$A61,'Direct Costs'!$A$5:$A$2005,"&gt;="&amp;ReportFrom,'Direct Costs'!$A$5:$A$2005,"&lt;="&amp;ReportTo)+SUMIFS('Direct Costs'!$U$5:$U$2005,'Direct Costs'!$X$5:$X$2005,$A61,'Direct Costs'!$A$5:$A$2005,"&gt;="&amp;ReportFrom,'Direct Costs'!$A$5:$A$2005,"&lt;="&amp;ReportTo)+SUMIFS('Direct Costs'!$T$5:$T$2005,'Direct Costs'!$Z$5:$Z$2005,$A61,'Direct Costs'!$A$5:$A$2005,"&gt;="&amp;ReportFrom,'Direct Costs'!$A$5:$A$2005,"&lt;="&amp;ReportTo))</f>
        <v/>
      </c>
      <c r="O61" s="25">
        <f>IF($A61="",0,(SUMIFS('Operating Expenses'!$F$5:$F$2005,'Operating Expenses'!$Q$5:$Q$2005,$A61,'Operating Expenses'!$A$5:$A$2005,"&lt;"&amp;ReportFrom)+SUMIFS('Operating Expenses'!$M$5:$M$2005,'Operating Expenses'!$T$5:$T$2005,$A61,'Operating Expenses'!$A$5:$A$2005,"&lt;"&amp;ReportFrom))-(SUMIFS('Operating Expenses'!$O$5:$O$2005,'Operating Expenses'!$R$5:$R$2005,$A61,'Operating Expenses'!$A$5:$A$2005,"&lt;"&amp;ReportFrom)+SUMIFS('Operating Expenses'!$P$5:$P$2005,'Operating Expenses'!$S$5:$S$2005,$A61,'Operating Expenses'!$A$5:$A$2005,"&lt;"&amp;ReportFrom)+SUMIFS('Operating Expenses'!$N$5:$N$2005,'Operating Expenses'!$U$5:$U$2005,$A61,'Operating Expenses'!$A$5:$A$2005,"&lt;"&amp;ReportFrom)))</f>
        <v/>
      </c>
      <c r="P61" s="25">
        <f>IF($A61="",0,SUMIFS('Operating Expenses'!$F$5:$F$2005,'Operating Expenses'!$Q$5:$Q$2005,$A61,'Operating Expenses'!$A$5:$A$2005,"&gt;="&amp;ReportFrom,'Operating Expenses'!$A$5:$A$2005,"&lt;="&amp;ReportTo)+SUMIFS('Operating Expenses'!$M$5:$M$2005,'Operating Expenses'!$T$5:$T$2005,$A61,'Operating Expenses'!$A$5:$A$2005,"&gt;="&amp;ReportFrom,'Operating Expenses'!$A$5:$A$2005,"&lt;="&amp;ReportTo))</f>
        <v/>
      </c>
      <c r="Q61" s="25">
        <f>IF($A61="",0,SUMIFS('Operating Expenses'!$O$5:$O$2005,'Operating Expenses'!$R$5:$R$2005,$A61,'Operating Expenses'!$A$5:$A$2005,"&gt;="&amp;ReportFrom,'Operating Expenses'!$A$5:$A$2005,"&lt;="&amp;ReportTo)+SUMIFS('Operating Expenses'!$P$5:$P$2005,'Operating Expenses'!$S$5:$S$2005,$A61,'Operating Expenses'!$A$5:$A$2005,"&gt;="&amp;ReportFrom,'Operating Expenses'!$A$5:$A$2005,"&lt;="&amp;ReportTo)+SUMIFS('Operating Expenses'!$N$5:$N$2005,'Operating Expenses'!$U$5:$U$2005,$A61,'Operating Expenses'!$A$5:$A$2005,"&gt;="&amp;ReportFrom,'Operating Expenses'!$A$5:$A$2005,"&lt;="&amp;ReportTo))</f>
        <v/>
      </c>
      <c r="R61" s="25">
        <f>IF($A61="",0,(SUMIFS('Payroll'!$O$5:$O$2005,'Payroll'!$Q$5:$Q$2005,$A61,'Payroll'!$A$5:$A$2005,"&lt;"&amp;ReportFrom))-(SUMIFS('Payroll'!$K$5:$K$2005,'Payroll'!$R$5:$R$2005,$A61,'Payroll'!$A$5:$A$2005,"&lt;"&amp;ReportFrom)+SUMIFS('Payroll'!$P$5:$P$2005,'Payroll'!$S$5:$S$2005,$A61,'Payroll'!$A$5:$A$2005,"&lt;"&amp;ReportFrom)))</f>
        <v/>
      </c>
      <c r="S61" s="25">
        <f>IF($A61="",0,SUMIFS('Payroll'!$O$5:$O$2005,'Payroll'!$Q$5:$Q$2005,$A61,'Payroll'!$A$5:$A$2005,"&gt;="&amp;ReportFrom,'Payroll'!$A$5:$A$2005,"&lt;="&amp;ReportTo))</f>
        <v/>
      </c>
      <c r="T61" s="25">
        <f>IF($A61="",0,SUMIFS('Payroll'!$K$5:$K$2005,'Payroll'!$R$5:$R$2005,$A61,'Payroll'!$A$5:$A$2005,"&gt;="&amp;ReportFrom,'Payroll'!$A$5:$A$2005,"&lt;="&amp;ReportTo)+SUMIFS('Payroll'!$P$5:$P$2005,'Payroll'!$S$5:$S$2005,$A61,'Payroll'!$A$5:$A$2005,"&gt;="&amp;ReportFrom,'Payroll'!$A$5:$A$2005,"&lt;="&amp;ReportTo))</f>
        <v/>
      </c>
      <c r="U61" s="25">
        <f>IF($A61="",0,(SUMIFS('Receipt Vouchers'!$F$5:$F$2005,'Receipt Vouchers'!$O$5:$O$2005,$A61,'Receipt Vouchers'!$A$5:$A$2005,"&lt;"&amp;ReportFrom)+SUMIFS('Receipt Vouchers'!$J$5:$J$2005,'Receipt Vouchers'!$Q$5:$Q$2005,$A61,'Receipt Vouchers'!$A$5:$A$2005,"&lt;"&amp;ReportFrom))-(SUMIFS('Receipt Vouchers'!$N$5:$N$2005,'Receipt Vouchers'!$P$5:$P$2005,$A61,'Receipt Vouchers'!$A$5:$A$2005,"&lt;"&amp;ReportFrom)+SUMIFS('Receipt Vouchers'!$M$5:$M$2005,'Receipt Vouchers'!$R$5:$R$2005,$A61,'Receipt Vouchers'!$A$5:$A$2005,"&lt;"&amp;ReportFrom)))</f>
        <v/>
      </c>
      <c r="V61" s="25">
        <f>IF($A61="",0,SUMIFS('Receipt Vouchers'!$F$5:$F$2005,'Receipt Vouchers'!$O$5:$O$2005,$A61,'Receipt Vouchers'!$A$5:$A$2005,"&gt;="&amp;ReportFrom,'Receipt Vouchers'!$A$5:$A$2005,"&lt;="&amp;ReportTo)+SUMIFS('Receipt Vouchers'!$J$5:$J$2005,'Receipt Vouchers'!$Q$5:$Q$2005,$A61,'Receipt Vouchers'!$A$5:$A$2005,"&gt;="&amp;ReportFrom,'Receipt Vouchers'!$A$5:$A$2005,"&lt;="&amp;ReportTo))</f>
        <v/>
      </c>
      <c r="W61" s="25">
        <f>IF($A61="",0,SUMIFS('Receipt Vouchers'!$N$5:$N$2005,'Receipt Vouchers'!$P$5:$P$2005,$A61,'Receipt Vouchers'!$A$5:$A$2005,"&gt;="&amp;ReportFrom,'Receipt Vouchers'!$A$5:$A$2005,"&lt;="&amp;ReportTo)+SUMIFS('Receipt Vouchers'!$M$5:$M$2005,'Receipt Vouchers'!$R$5:$R$2005,$A61,'Receipt Vouchers'!$A$5:$A$2005,"&gt;="&amp;ReportFrom,'Receipt Vouchers'!$A$5:$A$2005,"&lt;="&amp;ReportTo))</f>
        <v/>
      </c>
      <c r="X61" s="25">
        <f>IF($A61="",0,(SUMIFS('Sales Invoices'!$O$5:$O$2005,'Sales Invoices'!$P$5:$P$2005,$A61,'Sales Invoices'!$B$5:$B$2005,"&lt;"&amp;ReportFrom)+SUMIFS('Sales Invoices'!$N$5:$N$2005,'Sales Invoices'!$R$5:$R$2005,$A61,'Sales Invoices'!$B$5:$B$2005,"&lt;"&amp;ReportFrom))-(SUMIFS('Sales Invoices'!$L$5:$L$2005,'Sales Invoices'!$Q$5:$Q$2005,$A61,'Sales Invoices'!$B$5:$B$2005,"&lt;"&amp;ReportFrom)+SUMIFS('Sales Invoices'!$M$5:$M$2005,'Sales Invoices'!$S$5:$S$2005,$A61,'Sales Invoices'!$B$5:$B$2005,"&lt;"&amp;ReportFrom)))</f>
        <v/>
      </c>
      <c r="Y61" s="25">
        <f>IF($A61="",0,SUMIFS('Sales Invoices'!$O$5:$O$2005,'Sales Invoices'!$P$5:$P$2005,$A61,'Sales Invoices'!$B$5:$B$2005,"&gt;="&amp;ReportFrom,'Sales Invoices'!$B$5:$B$2005,"&lt;="&amp;ReportTo)+SUMIFS('Sales Invoices'!$N$5:$N$2005,'Sales Invoices'!$R$5:$R$2005,$A61,'Sales Invoices'!$B$5:$B$2005,"&gt;="&amp;ReportFrom,'Sales Invoices'!$B$5:$B$2005,"&lt;="&amp;ReportTo))</f>
        <v/>
      </c>
      <c r="Z61" s="25">
        <f>IF($A61="",0,SUMIFS('Sales Invoices'!$L$5:$L$2005,'Sales Invoices'!$Q$5:$Q$2005,$A61,'Sales Invoices'!$B$5:$B$2005,"&gt;="&amp;ReportFrom,'Sales Invoices'!$B$5:$B$2005,"&lt;="&amp;ReportTo)+SUMIFS('Sales Invoices'!$M$5:$M$2005,'Sales Invoices'!$S$5:$S$2005,$A61,'Sales Invoices'!$B$5:$B$2005,"&gt;="&amp;ReportFrom,'Sales Invoices'!$B$5:$B$2005,"&lt;="&amp;ReportTo))</f>
        <v/>
      </c>
      <c r="AA61" s="25">
        <f>IF($A61="",0,(SUMIFS('Payment Vouchers'!$D$5:$D$2005,'Payment Vouchers'!$J$5:$J$2005,$A61,'Payment Vouchers'!$A$5:$A$2005,"&lt;"&amp;ReportFrom))-(SUMIFS('Payment Vouchers'!$D$5:$D$2005,'Payment Vouchers'!$K$5:$K$2005,$A61,'Payment Vouchers'!$A$5:$A$2005,"&lt;"&amp;ReportFrom)))</f>
        <v/>
      </c>
      <c r="AB61" s="25">
        <f>IF($A61="",0,SUMIFS('Payment Vouchers'!$D$5:$D$2005,'Payment Vouchers'!$J$5:$J$2005,$A61,'Payment Vouchers'!$A$5:$A$2005,"&gt;="&amp;ReportFrom,'Payment Vouchers'!$A$5:$A$2005,"&lt;="&amp;ReportTo))</f>
        <v/>
      </c>
      <c r="AC61" s="25">
        <f>IF($A61="",0,SUMIFS('Payment Vouchers'!$D$5:$D$2005,'Payment Vouchers'!$K$5:$K$2005,$A61,'Payment Vouchers'!$A$5:$A$2005,"&gt;="&amp;ReportFrom,'Payment Vouchers'!$A$5:$A$2005,"&lt;="&amp;ReportTo))</f>
        <v/>
      </c>
      <c r="AD61" s="25">
        <f>IF($A61="",0,(SUMIFS('Partner Transactions'!$D$5:$D$2005,'Partner Transactions'!$L$5:$L$2005,$A61,'Partner Transactions'!$A$5:$A$2005,"&lt;"&amp;ReportFrom))-(SUMIFS('Partner Transactions'!$D$5:$D$2005,'Partner Transactions'!$M$5:$M$2005,$A61,'Partner Transactions'!$A$5:$A$2005,"&lt;"&amp;ReportFrom)))</f>
        <v/>
      </c>
      <c r="AE61" s="25">
        <f>IF($A61="",0,SUMIFS('Partner Transactions'!$D$5:$D$2005,'Partner Transactions'!$L$5:$L$2005,$A61,'Partner Transactions'!$A$5:$A$2005,"&gt;="&amp;ReportFrom,'Partner Transactions'!$A$5:$A$2005,"&lt;="&amp;ReportTo))</f>
        <v/>
      </c>
      <c r="AF61" s="25">
        <f>IF($A61="",0,SUMIFS('Partner Transactions'!$D$5:$D$2005,'Partner Transactions'!$M$5:$M$2005,$A61,'Partner Transactions'!$A$5:$A$2005,"&gt;="&amp;ReportFrom,'Partner Transactions'!$A$5:$A$2005,"&lt;="&amp;ReportTo))</f>
        <v/>
      </c>
      <c r="AG61" s="25">
        <f>IF($A61="",0,(SUMIFS('Stock Moves'!$S$5:$S$2005,'Stock Moves'!$AD$5:$AD$2005,$A61,'Stock Moves'!$A$5:$A$2005,"&lt;"&amp;ReportFrom)+SUMIFS('Stock Moves'!$T$5:$T$2005,'Stock Moves'!$V$5:$V$2005,$A61,'Stock Moves'!$A$5:$A$2005,"&lt;"&amp;ReportFrom))-(SUMIFS('Stock Moves'!$AF$5:$AF$2005,'Stock Moves'!$AE$5:$AE$2005,$A61,'Stock Moves'!$A$5:$A$2005,"&lt;"&amp;ReportFrom)+SUMIFS('Stock Moves'!$AC$5:$AC$2005,'Stock Moves'!$X$5:$X$2005,$A61,'Stock Moves'!$A$5:$A$2005,"&lt;"&amp;ReportFrom)+SUMIFS('Stock Moves'!$U$5:$U$2005,'Stock Moves'!$W$5:$W$2005,$A61,'Stock Moves'!$A$5:$A$2005,"&lt;"&amp;ReportFrom)))</f>
        <v/>
      </c>
      <c r="AH61" s="25">
        <f>IF($A61="",0,SUMIFS('Stock Moves'!$S$5:$S$2005,'Stock Moves'!$AD$5:$AD$2005,$A61,'Stock Moves'!$A$5:$A$2005,"&gt;="&amp;ReportFrom,'Stock Moves'!$A$5:$A$2005,"&lt;="&amp;ReportTo)+SUMIFS('Stock Moves'!$T$5:$T$2005,'Stock Moves'!$V$5:$V$2005,$A61,'Stock Moves'!$A$5:$A$2005,"&gt;="&amp;ReportFrom,'Stock Moves'!$A$5:$A$2005,"&lt;="&amp;ReportTo))</f>
        <v/>
      </c>
      <c r="AI61" s="25">
        <f>IF($A61="",0,SUMIFS('Stock Moves'!$AF$5:$AF$2005,'Stock Moves'!$AE$5:$AE$2005,$A61,'Stock Moves'!$A$5:$A$2005,"&gt;="&amp;ReportFrom,'Stock Moves'!$A$5:$A$2005,"&lt;="&amp;ReportTo)+SUMIFS('Stock Moves'!$AC$5:$AC$2005,'Stock Moves'!$X$5:$X$2005,$A61,'Stock Moves'!$A$5:$A$2005,"&gt;="&amp;ReportFrom,'Stock Moves'!$A$5:$A$2005,"&lt;="&amp;ReportTo)+SUMIFS('Stock Moves'!$U$5:$U$2005,'Stock Moves'!$W$5:$W$2005,$A61,'Stock Moves'!$A$5:$A$2005,"&gt;="&amp;ReportFrom,'Stock Moves'!$A$5:$A$2005,"&lt;="&amp;ReportTo))</f>
        <v/>
      </c>
      <c r="AJ61" s="25">
        <f>IF($A61="",0,(SUMIFS('Journal Vouchers'!$I$5:$I$2005,'Journal Vouchers'!$H$5:$H$2005,$A61,'Journal Vouchers'!$B$5:$B$2005,"&lt;"&amp;ReportFrom))-(SUMIFS('Journal Vouchers'!$J$5:$J$2005,'Journal Vouchers'!$H$5:$H$2005,$A61,'Journal Vouchers'!$B$5:$B$2005,"&lt;"&amp;ReportFrom)))</f>
        <v/>
      </c>
      <c r="AK61" s="25">
        <f>IF($A61="",0,SUMIFS('Journal Vouchers'!$I$5:$I$2005,'Journal Vouchers'!$H$5:$H$2005,$A61,'Journal Vouchers'!$B$5:$B$2005,"&gt;="&amp;ReportFrom,'Journal Vouchers'!$B$5:$B$2005,"&lt;="&amp;ReportTo))</f>
        <v/>
      </c>
      <c r="AL61" s="25">
        <f>IF($A61="",0,SUMIFS('Journal Vouchers'!$J$5:$J$2005,'Journal Vouchers'!$H$5:$H$2005,$A61,'Journal Vouchers'!$B$5:$B$2005,"&gt;="&amp;ReportFrom,'Journal Vouchers'!$B$5:$B$2005,"&lt;="&amp;ReportTo))</f>
        <v/>
      </c>
    </row>
    <row r="62">
      <c r="A62" s="25">
        <f>IF('Chart of Accounts'!A62="","",'Chart of Accounts'!A62&amp;"")</f>
        <v/>
      </c>
      <c r="B62" s="25">
        <f>IF(A62="","",'Chart of Accounts'!B62)</f>
        <v/>
      </c>
      <c r="C62" s="25">
        <f>IF(A62="","",'Chart of Accounts'!C62)</f>
        <v/>
      </c>
      <c r="D62" s="25">
        <f>IF(A62="","",'Chart of Accounts'!D62)</f>
        <v/>
      </c>
      <c r="E62" s="26">
        <f>L62+O62+R62+U62+X62+AA62+AD62+AG62+AJ62</f>
        <v/>
      </c>
      <c r="F62" s="26">
        <f>M62+P62+S62+V62+Y62+AB62+AE62+AH62+AK62</f>
        <v/>
      </c>
      <c r="G62" s="26">
        <f>N62+Q62+T62+W62+Z62+AC62+AF62+AI62+AL62</f>
        <v/>
      </c>
      <c r="H62" s="26">
        <f>E62+F62-G62</f>
        <v/>
      </c>
      <c r="I62" s="26">
        <f>MAX(H62,0)</f>
        <v/>
      </c>
      <c r="J62" s="26">
        <f>MAX(-H62,0)</f>
        <v/>
      </c>
      <c r="L62" s="25">
        <f>IF($A62="",0,(SUMIFS('Direct Costs'!$R$5:$R$2005,'Direct Costs'!$V$5:$V$2005,$A62,'Direct Costs'!$A$5:$A$2005,"&lt;"&amp;ReportFrom)+SUMIFS('Direct Costs'!$S$5:$S$2005,'Direct Costs'!$Y$5:$Y$2005,$A62,'Direct Costs'!$A$5:$A$2005,"&lt;"&amp;ReportFrom))-(SUMIFS('Direct Costs'!$L$5:$L$2005,'Direct Costs'!$W$5:$W$2005,$A62,'Direct Costs'!$A$5:$A$2005,"&lt;"&amp;ReportFrom)+SUMIFS('Direct Costs'!$U$5:$U$2005,'Direct Costs'!$X$5:$X$2005,$A62,'Direct Costs'!$A$5:$A$2005,"&lt;"&amp;ReportFrom)+SUMIFS('Direct Costs'!$T$5:$T$2005,'Direct Costs'!$Z$5:$Z$2005,$A62,'Direct Costs'!$A$5:$A$2005,"&lt;"&amp;ReportFrom)))</f>
        <v/>
      </c>
      <c r="M62" s="25">
        <f>IF($A62="",0,SUMIFS('Direct Costs'!$R$5:$R$2005,'Direct Costs'!$V$5:$V$2005,$A62,'Direct Costs'!$A$5:$A$2005,"&gt;="&amp;ReportFrom,'Direct Costs'!$A$5:$A$2005,"&lt;="&amp;ReportTo)+SUMIFS('Direct Costs'!$S$5:$S$2005,'Direct Costs'!$Y$5:$Y$2005,$A62,'Direct Costs'!$A$5:$A$2005,"&gt;="&amp;ReportFrom,'Direct Costs'!$A$5:$A$2005,"&lt;="&amp;ReportTo))</f>
        <v/>
      </c>
      <c r="N62" s="25">
        <f>IF($A62="",0,SUMIFS('Direct Costs'!$L$5:$L$2005,'Direct Costs'!$W$5:$W$2005,$A62,'Direct Costs'!$A$5:$A$2005,"&gt;="&amp;ReportFrom,'Direct Costs'!$A$5:$A$2005,"&lt;="&amp;ReportTo)+SUMIFS('Direct Costs'!$U$5:$U$2005,'Direct Costs'!$X$5:$X$2005,$A62,'Direct Costs'!$A$5:$A$2005,"&gt;="&amp;ReportFrom,'Direct Costs'!$A$5:$A$2005,"&lt;="&amp;ReportTo)+SUMIFS('Direct Costs'!$T$5:$T$2005,'Direct Costs'!$Z$5:$Z$2005,$A62,'Direct Costs'!$A$5:$A$2005,"&gt;="&amp;ReportFrom,'Direct Costs'!$A$5:$A$2005,"&lt;="&amp;ReportTo))</f>
        <v/>
      </c>
      <c r="O62" s="25">
        <f>IF($A62="",0,(SUMIFS('Operating Expenses'!$F$5:$F$2005,'Operating Expenses'!$Q$5:$Q$2005,$A62,'Operating Expenses'!$A$5:$A$2005,"&lt;"&amp;ReportFrom)+SUMIFS('Operating Expenses'!$M$5:$M$2005,'Operating Expenses'!$T$5:$T$2005,$A62,'Operating Expenses'!$A$5:$A$2005,"&lt;"&amp;ReportFrom))-(SUMIFS('Operating Expenses'!$O$5:$O$2005,'Operating Expenses'!$R$5:$R$2005,$A62,'Operating Expenses'!$A$5:$A$2005,"&lt;"&amp;ReportFrom)+SUMIFS('Operating Expenses'!$P$5:$P$2005,'Operating Expenses'!$S$5:$S$2005,$A62,'Operating Expenses'!$A$5:$A$2005,"&lt;"&amp;ReportFrom)+SUMIFS('Operating Expenses'!$N$5:$N$2005,'Operating Expenses'!$U$5:$U$2005,$A62,'Operating Expenses'!$A$5:$A$2005,"&lt;"&amp;ReportFrom)))</f>
        <v/>
      </c>
      <c r="P62" s="25">
        <f>IF($A62="",0,SUMIFS('Operating Expenses'!$F$5:$F$2005,'Operating Expenses'!$Q$5:$Q$2005,$A62,'Operating Expenses'!$A$5:$A$2005,"&gt;="&amp;ReportFrom,'Operating Expenses'!$A$5:$A$2005,"&lt;="&amp;ReportTo)+SUMIFS('Operating Expenses'!$M$5:$M$2005,'Operating Expenses'!$T$5:$T$2005,$A62,'Operating Expenses'!$A$5:$A$2005,"&gt;="&amp;ReportFrom,'Operating Expenses'!$A$5:$A$2005,"&lt;="&amp;ReportTo))</f>
        <v/>
      </c>
      <c r="Q62" s="25">
        <f>IF($A62="",0,SUMIFS('Operating Expenses'!$O$5:$O$2005,'Operating Expenses'!$R$5:$R$2005,$A62,'Operating Expenses'!$A$5:$A$2005,"&gt;="&amp;ReportFrom,'Operating Expenses'!$A$5:$A$2005,"&lt;="&amp;ReportTo)+SUMIFS('Operating Expenses'!$P$5:$P$2005,'Operating Expenses'!$S$5:$S$2005,$A62,'Operating Expenses'!$A$5:$A$2005,"&gt;="&amp;ReportFrom,'Operating Expenses'!$A$5:$A$2005,"&lt;="&amp;ReportTo)+SUMIFS('Operating Expenses'!$N$5:$N$2005,'Operating Expenses'!$U$5:$U$2005,$A62,'Operating Expenses'!$A$5:$A$2005,"&gt;="&amp;ReportFrom,'Operating Expenses'!$A$5:$A$2005,"&lt;="&amp;ReportTo))</f>
        <v/>
      </c>
      <c r="R62" s="25">
        <f>IF($A62="",0,(SUMIFS('Payroll'!$O$5:$O$2005,'Payroll'!$Q$5:$Q$2005,$A62,'Payroll'!$A$5:$A$2005,"&lt;"&amp;ReportFrom))-(SUMIFS('Payroll'!$K$5:$K$2005,'Payroll'!$R$5:$R$2005,$A62,'Payroll'!$A$5:$A$2005,"&lt;"&amp;ReportFrom)+SUMIFS('Payroll'!$P$5:$P$2005,'Payroll'!$S$5:$S$2005,$A62,'Payroll'!$A$5:$A$2005,"&lt;"&amp;ReportFrom)))</f>
        <v/>
      </c>
      <c r="S62" s="25">
        <f>IF($A62="",0,SUMIFS('Payroll'!$O$5:$O$2005,'Payroll'!$Q$5:$Q$2005,$A62,'Payroll'!$A$5:$A$2005,"&gt;="&amp;ReportFrom,'Payroll'!$A$5:$A$2005,"&lt;="&amp;ReportTo))</f>
        <v/>
      </c>
      <c r="T62" s="25">
        <f>IF($A62="",0,SUMIFS('Payroll'!$K$5:$K$2005,'Payroll'!$R$5:$R$2005,$A62,'Payroll'!$A$5:$A$2005,"&gt;="&amp;ReportFrom,'Payroll'!$A$5:$A$2005,"&lt;="&amp;ReportTo)+SUMIFS('Payroll'!$P$5:$P$2005,'Payroll'!$S$5:$S$2005,$A62,'Payroll'!$A$5:$A$2005,"&gt;="&amp;ReportFrom,'Payroll'!$A$5:$A$2005,"&lt;="&amp;ReportTo))</f>
        <v/>
      </c>
      <c r="U62" s="25">
        <f>IF($A62="",0,(SUMIFS('Receipt Vouchers'!$F$5:$F$2005,'Receipt Vouchers'!$O$5:$O$2005,$A62,'Receipt Vouchers'!$A$5:$A$2005,"&lt;"&amp;ReportFrom)+SUMIFS('Receipt Vouchers'!$J$5:$J$2005,'Receipt Vouchers'!$Q$5:$Q$2005,$A62,'Receipt Vouchers'!$A$5:$A$2005,"&lt;"&amp;ReportFrom))-(SUMIFS('Receipt Vouchers'!$N$5:$N$2005,'Receipt Vouchers'!$P$5:$P$2005,$A62,'Receipt Vouchers'!$A$5:$A$2005,"&lt;"&amp;ReportFrom)+SUMIFS('Receipt Vouchers'!$M$5:$M$2005,'Receipt Vouchers'!$R$5:$R$2005,$A62,'Receipt Vouchers'!$A$5:$A$2005,"&lt;"&amp;ReportFrom)))</f>
        <v/>
      </c>
      <c r="V62" s="25">
        <f>IF($A62="",0,SUMIFS('Receipt Vouchers'!$F$5:$F$2005,'Receipt Vouchers'!$O$5:$O$2005,$A62,'Receipt Vouchers'!$A$5:$A$2005,"&gt;="&amp;ReportFrom,'Receipt Vouchers'!$A$5:$A$2005,"&lt;="&amp;ReportTo)+SUMIFS('Receipt Vouchers'!$J$5:$J$2005,'Receipt Vouchers'!$Q$5:$Q$2005,$A62,'Receipt Vouchers'!$A$5:$A$2005,"&gt;="&amp;ReportFrom,'Receipt Vouchers'!$A$5:$A$2005,"&lt;="&amp;ReportTo))</f>
        <v/>
      </c>
      <c r="W62" s="25">
        <f>IF($A62="",0,SUMIFS('Receipt Vouchers'!$N$5:$N$2005,'Receipt Vouchers'!$P$5:$P$2005,$A62,'Receipt Vouchers'!$A$5:$A$2005,"&gt;="&amp;ReportFrom,'Receipt Vouchers'!$A$5:$A$2005,"&lt;="&amp;ReportTo)+SUMIFS('Receipt Vouchers'!$M$5:$M$2005,'Receipt Vouchers'!$R$5:$R$2005,$A62,'Receipt Vouchers'!$A$5:$A$2005,"&gt;="&amp;ReportFrom,'Receipt Vouchers'!$A$5:$A$2005,"&lt;="&amp;ReportTo))</f>
        <v/>
      </c>
      <c r="X62" s="25">
        <f>IF($A62="",0,(SUMIFS('Sales Invoices'!$O$5:$O$2005,'Sales Invoices'!$P$5:$P$2005,$A62,'Sales Invoices'!$B$5:$B$2005,"&lt;"&amp;ReportFrom)+SUMIFS('Sales Invoices'!$N$5:$N$2005,'Sales Invoices'!$R$5:$R$2005,$A62,'Sales Invoices'!$B$5:$B$2005,"&lt;"&amp;ReportFrom))-(SUMIFS('Sales Invoices'!$L$5:$L$2005,'Sales Invoices'!$Q$5:$Q$2005,$A62,'Sales Invoices'!$B$5:$B$2005,"&lt;"&amp;ReportFrom)+SUMIFS('Sales Invoices'!$M$5:$M$2005,'Sales Invoices'!$S$5:$S$2005,$A62,'Sales Invoices'!$B$5:$B$2005,"&lt;"&amp;ReportFrom)))</f>
        <v/>
      </c>
      <c r="Y62" s="25">
        <f>IF($A62="",0,SUMIFS('Sales Invoices'!$O$5:$O$2005,'Sales Invoices'!$P$5:$P$2005,$A62,'Sales Invoices'!$B$5:$B$2005,"&gt;="&amp;ReportFrom,'Sales Invoices'!$B$5:$B$2005,"&lt;="&amp;ReportTo)+SUMIFS('Sales Invoices'!$N$5:$N$2005,'Sales Invoices'!$R$5:$R$2005,$A62,'Sales Invoices'!$B$5:$B$2005,"&gt;="&amp;ReportFrom,'Sales Invoices'!$B$5:$B$2005,"&lt;="&amp;ReportTo))</f>
        <v/>
      </c>
      <c r="Z62" s="25">
        <f>IF($A62="",0,SUMIFS('Sales Invoices'!$L$5:$L$2005,'Sales Invoices'!$Q$5:$Q$2005,$A62,'Sales Invoices'!$B$5:$B$2005,"&gt;="&amp;ReportFrom,'Sales Invoices'!$B$5:$B$2005,"&lt;="&amp;ReportTo)+SUMIFS('Sales Invoices'!$M$5:$M$2005,'Sales Invoices'!$S$5:$S$2005,$A62,'Sales Invoices'!$B$5:$B$2005,"&gt;="&amp;ReportFrom,'Sales Invoices'!$B$5:$B$2005,"&lt;="&amp;ReportTo))</f>
        <v/>
      </c>
      <c r="AA62" s="25">
        <f>IF($A62="",0,(SUMIFS('Payment Vouchers'!$D$5:$D$2005,'Payment Vouchers'!$J$5:$J$2005,$A62,'Payment Vouchers'!$A$5:$A$2005,"&lt;"&amp;ReportFrom))-(SUMIFS('Payment Vouchers'!$D$5:$D$2005,'Payment Vouchers'!$K$5:$K$2005,$A62,'Payment Vouchers'!$A$5:$A$2005,"&lt;"&amp;ReportFrom)))</f>
        <v/>
      </c>
      <c r="AB62" s="25">
        <f>IF($A62="",0,SUMIFS('Payment Vouchers'!$D$5:$D$2005,'Payment Vouchers'!$J$5:$J$2005,$A62,'Payment Vouchers'!$A$5:$A$2005,"&gt;="&amp;ReportFrom,'Payment Vouchers'!$A$5:$A$2005,"&lt;="&amp;ReportTo))</f>
        <v/>
      </c>
      <c r="AC62" s="25">
        <f>IF($A62="",0,SUMIFS('Payment Vouchers'!$D$5:$D$2005,'Payment Vouchers'!$K$5:$K$2005,$A62,'Payment Vouchers'!$A$5:$A$2005,"&gt;="&amp;ReportFrom,'Payment Vouchers'!$A$5:$A$2005,"&lt;="&amp;ReportTo))</f>
        <v/>
      </c>
      <c r="AD62" s="25">
        <f>IF($A62="",0,(SUMIFS('Partner Transactions'!$D$5:$D$2005,'Partner Transactions'!$L$5:$L$2005,$A62,'Partner Transactions'!$A$5:$A$2005,"&lt;"&amp;ReportFrom))-(SUMIFS('Partner Transactions'!$D$5:$D$2005,'Partner Transactions'!$M$5:$M$2005,$A62,'Partner Transactions'!$A$5:$A$2005,"&lt;"&amp;ReportFrom)))</f>
        <v/>
      </c>
      <c r="AE62" s="25">
        <f>IF($A62="",0,SUMIFS('Partner Transactions'!$D$5:$D$2005,'Partner Transactions'!$L$5:$L$2005,$A62,'Partner Transactions'!$A$5:$A$2005,"&gt;="&amp;ReportFrom,'Partner Transactions'!$A$5:$A$2005,"&lt;="&amp;ReportTo))</f>
        <v/>
      </c>
      <c r="AF62" s="25">
        <f>IF($A62="",0,SUMIFS('Partner Transactions'!$D$5:$D$2005,'Partner Transactions'!$M$5:$M$2005,$A62,'Partner Transactions'!$A$5:$A$2005,"&gt;="&amp;ReportFrom,'Partner Transactions'!$A$5:$A$2005,"&lt;="&amp;ReportTo))</f>
        <v/>
      </c>
      <c r="AG62" s="25">
        <f>IF($A62="",0,(SUMIFS('Stock Moves'!$S$5:$S$2005,'Stock Moves'!$AD$5:$AD$2005,$A62,'Stock Moves'!$A$5:$A$2005,"&lt;"&amp;ReportFrom)+SUMIFS('Stock Moves'!$T$5:$T$2005,'Stock Moves'!$V$5:$V$2005,$A62,'Stock Moves'!$A$5:$A$2005,"&lt;"&amp;ReportFrom))-(SUMIFS('Stock Moves'!$AF$5:$AF$2005,'Stock Moves'!$AE$5:$AE$2005,$A62,'Stock Moves'!$A$5:$A$2005,"&lt;"&amp;ReportFrom)+SUMIFS('Stock Moves'!$AC$5:$AC$2005,'Stock Moves'!$X$5:$X$2005,$A62,'Stock Moves'!$A$5:$A$2005,"&lt;"&amp;ReportFrom)+SUMIFS('Stock Moves'!$U$5:$U$2005,'Stock Moves'!$W$5:$W$2005,$A62,'Stock Moves'!$A$5:$A$2005,"&lt;"&amp;ReportFrom)))</f>
        <v/>
      </c>
      <c r="AH62" s="25">
        <f>IF($A62="",0,SUMIFS('Stock Moves'!$S$5:$S$2005,'Stock Moves'!$AD$5:$AD$2005,$A62,'Stock Moves'!$A$5:$A$2005,"&gt;="&amp;ReportFrom,'Stock Moves'!$A$5:$A$2005,"&lt;="&amp;ReportTo)+SUMIFS('Stock Moves'!$T$5:$T$2005,'Stock Moves'!$V$5:$V$2005,$A62,'Stock Moves'!$A$5:$A$2005,"&gt;="&amp;ReportFrom,'Stock Moves'!$A$5:$A$2005,"&lt;="&amp;ReportTo))</f>
        <v/>
      </c>
      <c r="AI62" s="25">
        <f>IF($A62="",0,SUMIFS('Stock Moves'!$AF$5:$AF$2005,'Stock Moves'!$AE$5:$AE$2005,$A62,'Stock Moves'!$A$5:$A$2005,"&gt;="&amp;ReportFrom,'Stock Moves'!$A$5:$A$2005,"&lt;="&amp;ReportTo)+SUMIFS('Stock Moves'!$AC$5:$AC$2005,'Stock Moves'!$X$5:$X$2005,$A62,'Stock Moves'!$A$5:$A$2005,"&gt;="&amp;ReportFrom,'Stock Moves'!$A$5:$A$2005,"&lt;="&amp;ReportTo)+SUMIFS('Stock Moves'!$U$5:$U$2005,'Stock Moves'!$W$5:$W$2005,$A62,'Stock Moves'!$A$5:$A$2005,"&gt;="&amp;ReportFrom,'Stock Moves'!$A$5:$A$2005,"&lt;="&amp;ReportTo))</f>
        <v/>
      </c>
      <c r="AJ62" s="25">
        <f>IF($A62="",0,(SUMIFS('Journal Vouchers'!$I$5:$I$2005,'Journal Vouchers'!$H$5:$H$2005,$A62,'Journal Vouchers'!$B$5:$B$2005,"&lt;"&amp;ReportFrom))-(SUMIFS('Journal Vouchers'!$J$5:$J$2005,'Journal Vouchers'!$H$5:$H$2005,$A62,'Journal Vouchers'!$B$5:$B$2005,"&lt;"&amp;ReportFrom)))</f>
        <v/>
      </c>
      <c r="AK62" s="25">
        <f>IF($A62="",0,SUMIFS('Journal Vouchers'!$I$5:$I$2005,'Journal Vouchers'!$H$5:$H$2005,$A62,'Journal Vouchers'!$B$5:$B$2005,"&gt;="&amp;ReportFrom,'Journal Vouchers'!$B$5:$B$2005,"&lt;="&amp;ReportTo))</f>
        <v/>
      </c>
      <c r="AL62" s="25">
        <f>IF($A62="",0,SUMIFS('Journal Vouchers'!$J$5:$J$2005,'Journal Vouchers'!$H$5:$H$2005,$A62,'Journal Vouchers'!$B$5:$B$2005,"&gt;="&amp;ReportFrom,'Journal Vouchers'!$B$5:$B$2005,"&lt;="&amp;ReportTo))</f>
        <v/>
      </c>
    </row>
    <row r="63">
      <c r="A63" s="25">
        <f>IF('Chart of Accounts'!A63="","",'Chart of Accounts'!A63&amp;"")</f>
        <v/>
      </c>
      <c r="B63" s="25">
        <f>IF(A63="","",'Chart of Accounts'!B63)</f>
        <v/>
      </c>
      <c r="C63" s="25">
        <f>IF(A63="","",'Chart of Accounts'!C63)</f>
        <v/>
      </c>
      <c r="D63" s="25">
        <f>IF(A63="","",'Chart of Accounts'!D63)</f>
        <v/>
      </c>
      <c r="E63" s="26">
        <f>L63+O63+R63+U63+X63+AA63+AD63+AG63+AJ63</f>
        <v/>
      </c>
      <c r="F63" s="26">
        <f>M63+P63+S63+V63+Y63+AB63+AE63+AH63+AK63</f>
        <v/>
      </c>
      <c r="G63" s="26">
        <f>N63+Q63+T63+W63+Z63+AC63+AF63+AI63+AL63</f>
        <v/>
      </c>
      <c r="H63" s="26">
        <f>E63+F63-G63</f>
        <v/>
      </c>
      <c r="I63" s="26">
        <f>MAX(H63,0)</f>
        <v/>
      </c>
      <c r="J63" s="26">
        <f>MAX(-H63,0)</f>
        <v/>
      </c>
      <c r="L63" s="25">
        <f>IF($A63="",0,(SUMIFS('Direct Costs'!$R$5:$R$2005,'Direct Costs'!$V$5:$V$2005,$A63,'Direct Costs'!$A$5:$A$2005,"&lt;"&amp;ReportFrom)+SUMIFS('Direct Costs'!$S$5:$S$2005,'Direct Costs'!$Y$5:$Y$2005,$A63,'Direct Costs'!$A$5:$A$2005,"&lt;"&amp;ReportFrom))-(SUMIFS('Direct Costs'!$L$5:$L$2005,'Direct Costs'!$W$5:$W$2005,$A63,'Direct Costs'!$A$5:$A$2005,"&lt;"&amp;ReportFrom)+SUMIFS('Direct Costs'!$U$5:$U$2005,'Direct Costs'!$X$5:$X$2005,$A63,'Direct Costs'!$A$5:$A$2005,"&lt;"&amp;ReportFrom)+SUMIFS('Direct Costs'!$T$5:$T$2005,'Direct Costs'!$Z$5:$Z$2005,$A63,'Direct Costs'!$A$5:$A$2005,"&lt;"&amp;ReportFrom)))</f>
        <v/>
      </c>
      <c r="M63" s="25">
        <f>IF($A63="",0,SUMIFS('Direct Costs'!$R$5:$R$2005,'Direct Costs'!$V$5:$V$2005,$A63,'Direct Costs'!$A$5:$A$2005,"&gt;="&amp;ReportFrom,'Direct Costs'!$A$5:$A$2005,"&lt;="&amp;ReportTo)+SUMIFS('Direct Costs'!$S$5:$S$2005,'Direct Costs'!$Y$5:$Y$2005,$A63,'Direct Costs'!$A$5:$A$2005,"&gt;="&amp;ReportFrom,'Direct Costs'!$A$5:$A$2005,"&lt;="&amp;ReportTo))</f>
        <v/>
      </c>
      <c r="N63" s="25">
        <f>IF($A63="",0,SUMIFS('Direct Costs'!$L$5:$L$2005,'Direct Costs'!$W$5:$W$2005,$A63,'Direct Costs'!$A$5:$A$2005,"&gt;="&amp;ReportFrom,'Direct Costs'!$A$5:$A$2005,"&lt;="&amp;ReportTo)+SUMIFS('Direct Costs'!$U$5:$U$2005,'Direct Costs'!$X$5:$X$2005,$A63,'Direct Costs'!$A$5:$A$2005,"&gt;="&amp;ReportFrom,'Direct Costs'!$A$5:$A$2005,"&lt;="&amp;ReportTo)+SUMIFS('Direct Costs'!$T$5:$T$2005,'Direct Costs'!$Z$5:$Z$2005,$A63,'Direct Costs'!$A$5:$A$2005,"&gt;="&amp;ReportFrom,'Direct Costs'!$A$5:$A$2005,"&lt;="&amp;ReportTo))</f>
        <v/>
      </c>
      <c r="O63" s="25">
        <f>IF($A63="",0,(SUMIFS('Operating Expenses'!$F$5:$F$2005,'Operating Expenses'!$Q$5:$Q$2005,$A63,'Operating Expenses'!$A$5:$A$2005,"&lt;"&amp;ReportFrom)+SUMIFS('Operating Expenses'!$M$5:$M$2005,'Operating Expenses'!$T$5:$T$2005,$A63,'Operating Expenses'!$A$5:$A$2005,"&lt;"&amp;ReportFrom))-(SUMIFS('Operating Expenses'!$O$5:$O$2005,'Operating Expenses'!$R$5:$R$2005,$A63,'Operating Expenses'!$A$5:$A$2005,"&lt;"&amp;ReportFrom)+SUMIFS('Operating Expenses'!$P$5:$P$2005,'Operating Expenses'!$S$5:$S$2005,$A63,'Operating Expenses'!$A$5:$A$2005,"&lt;"&amp;ReportFrom)+SUMIFS('Operating Expenses'!$N$5:$N$2005,'Operating Expenses'!$U$5:$U$2005,$A63,'Operating Expenses'!$A$5:$A$2005,"&lt;"&amp;ReportFrom)))</f>
        <v/>
      </c>
      <c r="P63" s="25">
        <f>IF($A63="",0,SUMIFS('Operating Expenses'!$F$5:$F$2005,'Operating Expenses'!$Q$5:$Q$2005,$A63,'Operating Expenses'!$A$5:$A$2005,"&gt;="&amp;ReportFrom,'Operating Expenses'!$A$5:$A$2005,"&lt;="&amp;ReportTo)+SUMIFS('Operating Expenses'!$M$5:$M$2005,'Operating Expenses'!$T$5:$T$2005,$A63,'Operating Expenses'!$A$5:$A$2005,"&gt;="&amp;ReportFrom,'Operating Expenses'!$A$5:$A$2005,"&lt;="&amp;ReportTo))</f>
        <v/>
      </c>
      <c r="Q63" s="25">
        <f>IF($A63="",0,SUMIFS('Operating Expenses'!$O$5:$O$2005,'Operating Expenses'!$R$5:$R$2005,$A63,'Operating Expenses'!$A$5:$A$2005,"&gt;="&amp;ReportFrom,'Operating Expenses'!$A$5:$A$2005,"&lt;="&amp;ReportTo)+SUMIFS('Operating Expenses'!$P$5:$P$2005,'Operating Expenses'!$S$5:$S$2005,$A63,'Operating Expenses'!$A$5:$A$2005,"&gt;="&amp;ReportFrom,'Operating Expenses'!$A$5:$A$2005,"&lt;="&amp;ReportTo)+SUMIFS('Operating Expenses'!$N$5:$N$2005,'Operating Expenses'!$U$5:$U$2005,$A63,'Operating Expenses'!$A$5:$A$2005,"&gt;="&amp;ReportFrom,'Operating Expenses'!$A$5:$A$2005,"&lt;="&amp;ReportTo))</f>
        <v/>
      </c>
      <c r="R63" s="25">
        <f>IF($A63="",0,(SUMIFS('Payroll'!$O$5:$O$2005,'Payroll'!$Q$5:$Q$2005,$A63,'Payroll'!$A$5:$A$2005,"&lt;"&amp;ReportFrom))-(SUMIFS('Payroll'!$K$5:$K$2005,'Payroll'!$R$5:$R$2005,$A63,'Payroll'!$A$5:$A$2005,"&lt;"&amp;ReportFrom)+SUMIFS('Payroll'!$P$5:$P$2005,'Payroll'!$S$5:$S$2005,$A63,'Payroll'!$A$5:$A$2005,"&lt;"&amp;ReportFrom)))</f>
        <v/>
      </c>
      <c r="S63" s="25">
        <f>IF($A63="",0,SUMIFS('Payroll'!$O$5:$O$2005,'Payroll'!$Q$5:$Q$2005,$A63,'Payroll'!$A$5:$A$2005,"&gt;="&amp;ReportFrom,'Payroll'!$A$5:$A$2005,"&lt;="&amp;ReportTo))</f>
        <v/>
      </c>
      <c r="T63" s="25">
        <f>IF($A63="",0,SUMIFS('Payroll'!$K$5:$K$2005,'Payroll'!$R$5:$R$2005,$A63,'Payroll'!$A$5:$A$2005,"&gt;="&amp;ReportFrom,'Payroll'!$A$5:$A$2005,"&lt;="&amp;ReportTo)+SUMIFS('Payroll'!$P$5:$P$2005,'Payroll'!$S$5:$S$2005,$A63,'Payroll'!$A$5:$A$2005,"&gt;="&amp;ReportFrom,'Payroll'!$A$5:$A$2005,"&lt;="&amp;ReportTo))</f>
        <v/>
      </c>
      <c r="U63" s="25">
        <f>IF($A63="",0,(SUMIFS('Receipt Vouchers'!$F$5:$F$2005,'Receipt Vouchers'!$O$5:$O$2005,$A63,'Receipt Vouchers'!$A$5:$A$2005,"&lt;"&amp;ReportFrom)+SUMIFS('Receipt Vouchers'!$J$5:$J$2005,'Receipt Vouchers'!$Q$5:$Q$2005,$A63,'Receipt Vouchers'!$A$5:$A$2005,"&lt;"&amp;ReportFrom))-(SUMIFS('Receipt Vouchers'!$N$5:$N$2005,'Receipt Vouchers'!$P$5:$P$2005,$A63,'Receipt Vouchers'!$A$5:$A$2005,"&lt;"&amp;ReportFrom)+SUMIFS('Receipt Vouchers'!$M$5:$M$2005,'Receipt Vouchers'!$R$5:$R$2005,$A63,'Receipt Vouchers'!$A$5:$A$2005,"&lt;"&amp;ReportFrom)))</f>
        <v/>
      </c>
      <c r="V63" s="25">
        <f>IF($A63="",0,SUMIFS('Receipt Vouchers'!$F$5:$F$2005,'Receipt Vouchers'!$O$5:$O$2005,$A63,'Receipt Vouchers'!$A$5:$A$2005,"&gt;="&amp;ReportFrom,'Receipt Vouchers'!$A$5:$A$2005,"&lt;="&amp;ReportTo)+SUMIFS('Receipt Vouchers'!$J$5:$J$2005,'Receipt Vouchers'!$Q$5:$Q$2005,$A63,'Receipt Vouchers'!$A$5:$A$2005,"&gt;="&amp;ReportFrom,'Receipt Vouchers'!$A$5:$A$2005,"&lt;="&amp;ReportTo))</f>
        <v/>
      </c>
      <c r="W63" s="25">
        <f>IF($A63="",0,SUMIFS('Receipt Vouchers'!$N$5:$N$2005,'Receipt Vouchers'!$P$5:$P$2005,$A63,'Receipt Vouchers'!$A$5:$A$2005,"&gt;="&amp;ReportFrom,'Receipt Vouchers'!$A$5:$A$2005,"&lt;="&amp;ReportTo)+SUMIFS('Receipt Vouchers'!$M$5:$M$2005,'Receipt Vouchers'!$R$5:$R$2005,$A63,'Receipt Vouchers'!$A$5:$A$2005,"&gt;="&amp;ReportFrom,'Receipt Vouchers'!$A$5:$A$2005,"&lt;="&amp;ReportTo))</f>
        <v/>
      </c>
      <c r="X63" s="25">
        <f>IF($A63="",0,(SUMIFS('Sales Invoices'!$O$5:$O$2005,'Sales Invoices'!$P$5:$P$2005,$A63,'Sales Invoices'!$B$5:$B$2005,"&lt;"&amp;ReportFrom)+SUMIFS('Sales Invoices'!$N$5:$N$2005,'Sales Invoices'!$R$5:$R$2005,$A63,'Sales Invoices'!$B$5:$B$2005,"&lt;"&amp;ReportFrom))-(SUMIFS('Sales Invoices'!$L$5:$L$2005,'Sales Invoices'!$Q$5:$Q$2005,$A63,'Sales Invoices'!$B$5:$B$2005,"&lt;"&amp;ReportFrom)+SUMIFS('Sales Invoices'!$M$5:$M$2005,'Sales Invoices'!$S$5:$S$2005,$A63,'Sales Invoices'!$B$5:$B$2005,"&lt;"&amp;ReportFrom)))</f>
        <v/>
      </c>
      <c r="Y63" s="25">
        <f>IF($A63="",0,SUMIFS('Sales Invoices'!$O$5:$O$2005,'Sales Invoices'!$P$5:$P$2005,$A63,'Sales Invoices'!$B$5:$B$2005,"&gt;="&amp;ReportFrom,'Sales Invoices'!$B$5:$B$2005,"&lt;="&amp;ReportTo)+SUMIFS('Sales Invoices'!$N$5:$N$2005,'Sales Invoices'!$R$5:$R$2005,$A63,'Sales Invoices'!$B$5:$B$2005,"&gt;="&amp;ReportFrom,'Sales Invoices'!$B$5:$B$2005,"&lt;="&amp;ReportTo))</f>
        <v/>
      </c>
      <c r="Z63" s="25">
        <f>IF($A63="",0,SUMIFS('Sales Invoices'!$L$5:$L$2005,'Sales Invoices'!$Q$5:$Q$2005,$A63,'Sales Invoices'!$B$5:$B$2005,"&gt;="&amp;ReportFrom,'Sales Invoices'!$B$5:$B$2005,"&lt;="&amp;ReportTo)+SUMIFS('Sales Invoices'!$M$5:$M$2005,'Sales Invoices'!$S$5:$S$2005,$A63,'Sales Invoices'!$B$5:$B$2005,"&gt;="&amp;ReportFrom,'Sales Invoices'!$B$5:$B$2005,"&lt;="&amp;ReportTo))</f>
        <v/>
      </c>
      <c r="AA63" s="25">
        <f>IF($A63="",0,(SUMIFS('Payment Vouchers'!$D$5:$D$2005,'Payment Vouchers'!$J$5:$J$2005,$A63,'Payment Vouchers'!$A$5:$A$2005,"&lt;"&amp;ReportFrom))-(SUMIFS('Payment Vouchers'!$D$5:$D$2005,'Payment Vouchers'!$K$5:$K$2005,$A63,'Payment Vouchers'!$A$5:$A$2005,"&lt;"&amp;ReportFrom)))</f>
        <v/>
      </c>
      <c r="AB63" s="25">
        <f>IF($A63="",0,SUMIFS('Payment Vouchers'!$D$5:$D$2005,'Payment Vouchers'!$J$5:$J$2005,$A63,'Payment Vouchers'!$A$5:$A$2005,"&gt;="&amp;ReportFrom,'Payment Vouchers'!$A$5:$A$2005,"&lt;="&amp;ReportTo))</f>
        <v/>
      </c>
      <c r="AC63" s="25">
        <f>IF($A63="",0,SUMIFS('Payment Vouchers'!$D$5:$D$2005,'Payment Vouchers'!$K$5:$K$2005,$A63,'Payment Vouchers'!$A$5:$A$2005,"&gt;="&amp;ReportFrom,'Payment Vouchers'!$A$5:$A$2005,"&lt;="&amp;ReportTo))</f>
        <v/>
      </c>
      <c r="AD63" s="25">
        <f>IF($A63="",0,(SUMIFS('Partner Transactions'!$D$5:$D$2005,'Partner Transactions'!$L$5:$L$2005,$A63,'Partner Transactions'!$A$5:$A$2005,"&lt;"&amp;ReportFrom))-(SUMIFS('Partner Transactions'!$D$5:$D$2005,'Partner Transactions'!$M$5:$M$2005,$A63,'Partner Transactions'!$A$5:$A$2005,"&lt;"&amp;ReportFrom)))</f>
        <v/>
      </c>
      <c r="AE63" s="25">
        <f>IF($A63="",0,SUMIFS('Partner Transactions'!$D$5:$D$2005,'Partner Transactions'!$L$5:$L$2005,$A63,'Partner Transactions'!$A$5:$A$2005,"&gt;="&amp;ReportFrom,'Partner Transactions'!$A$5:$A$2005,"&lt;="&amp;ReportTo))</f>
        <v/>
      </c>
      <c r="AF63" s="25">
        <f>IF($A63="",0,SUMIFS('Partner Transactions'!$D$5:$D$2005,'Partner Transactions'!$M$5:$M$2005,$A63,'Partner Transactions'!$A$5:$A$2005,"&gt;="&amp;ReportFrom,'Partner Transactions'!$A$5:$A$2005,"&lt;="&amp;ReportTo))</f>
        <v/>
      </c>
      <c r="AG63" s="25">
        <f>IF($A63="",0,(SUMIFS('Stock Moves'!$S$5:$S$2005,'Stock Moves'!$AD$5:$AD$2005,$A63,'Stock Moves'!$A$5:$A$2005,"&lt;"&amp;ReportFrom)+SUMIFS('Stock Moves'!$T$5:$T$2005,'Stock Moves'!$V$5:$V$2005,$A63,'Stock Moves'!$A$5:$A$2005,"&lt;"&amp;ReportFrom))-(SUMIFS('Stock Moves'!$AF$5:$AF$2005,'Stock Moves'!$AE$5:$AE$2005,$A63,'Stock Moves'!$A$5:$A$2005,"&lt;"&amp;ReportFrom)+SUMIFS('Stock Moves'!$AC$5:$AC$2005,'Stock Moves'!$X$5:$X$2005,$A63,'Stock Moves'!$A$5:$A$2005,"&lt;"&amp;ReportFrom)+SUMIFS('Stock Moves'!$U$5:$U$2005,'Stock Moves'!$W$5:$W$2005,$A63,'Stock Moves'!$A$5:$A$2005,"&lt;"&amp;ReportFrom)))</f>
        <v/>
      </c>
      <c r="AH63" s="25">
        <f>IF($A63="",0,SUMIFS('Stock Moves'!$S$5:$S$2005,'Stock Moves'!$AD$5:$AD$2005,$A63,'Stock Moves'!$A$5:$A$2005,"&gt;="&amp;ReportFrom,'Stock Moves'!$A$5:$A$2005,"&lt;="&amp;ReportTo)+SUMIFS('Stock Moves'!$T$5:$T$2005,'Stock Moves'!$V$5:$V$2005,$A63,'Stock Moves'!$A$5:$A$2005,"&gt;="&amp;ReportFrom,'Stock Moves'!$A$5:$A$2005,"&lt;="&amp;ReportTo))</f>
        <v/>
      </c>
      <c r="AI63" s="25">
        <f>IF($A63="",0,SUMIFS('Stock Moves'!$AF$5:$AF$2005,'Stock Moves'!$AE$5:$AE$2005,$A63,'Stock Moves'!$A$5:$A$2005,"&gt;="&amp;ReportFrom,'Stock Moves'!$A$5:$A$2005,"&lt;="&amp;ReportTo)+SUMIFS('Stock Moves'!$AC$5:$AC$2005,'Stock Moves'!$X$5:$X$2005,$A63,'Stock Moves'!$A$5:$A$2005,"&gt;="&amp;ReportFrom,'Stock Moves'!$A$5:$A$2005,"&lt;="&amp;ReportTo)+SUMIFS('Stock Moves'!$U$5:$U$2005,'Stock Moves'!$W$5:$W$2005,$A63,'Stock Moves'!$A$5:$A$2005,"&gt;="&amp;ReportFrom,'Stock Moves'!$A$5:$A$2005,"&lt;="&amp;ReportTo))</f>
        <v/>
      </c>
      <c r="AJ63" s="25">
        <f>IF($A63="",0,(SUMIFS('Journal Vouchers'!$I$5:$I$2005,'Journal Vouchers'!$H$5:$H$2005,$A63,'Journal Vouchers'!$B$5:$B$2005,"&lt;"&amp;ReportFrom))-(SUMIFS('Journal Vouchers'!$J$5:$J$2005,'Journal Vouchers'!$H$5:$H$2005,$A63,'Journal Vouchers'!$B$5:$B$2005,"&lt;"&amp;ReportFrom)))</f>
        <v/>
      </c>
      <c r="AK63" s="25">
        <f>IF($A63="",0,SUMIFS('Journal Vouchers'!$I$5:$I$2005,'Journal Vouchers'!$H$5:$H$2005,$A63,'Journal Vouchers'!$B$5:$B$2005,"&gt;="&amp;ReportFrom,'Journal Vouchers'!$B$5:$B$2005,"&lt;="&amp;ReportTo))</f>
        <v/>
      </c>
      <c r="AL63" s="25">
        <f>IF($A63="",0,SUMIFS('Journal Vouchers'!$J$5:$J$2005,'Journal Vouchers'!$H$5:$H$2005,$A63,'Journal Vouchers'!$B$5:$B$2005,"&gt;="&amp;ReportFrom,'Journal Vouchers'!$B$5:$B$2005,"&lt;="&amp;ReportTo))</f>
        <v/>
      </c>
    </row>
    <row r="64">
      <c r="A64" s="25">
        <f>IF('Chart of Accounts'!A64="","",'Chart of Accounts'!A64&amp;"")</f>
        <v/>
      </c>
      <c r="B64" s="25">
        <f>IF(A64="","",'Chart of Accounts'!B64)</f>
        <v/>
      </c>
      <c r="C64" s="25">
        <f>IF(A64="","",'Chart of Accounts'!C64)</f>
        <v/>
      </c>
      <c r="D64" s="25">
        <f>IF(A64="","",'Chart of Accounts'!D64)</f>
        <v/>
      </c>
      <c r="E64" s="26">
        <f>L64+O64+R64+U64+X64+AA64+AD64+AG64+AJ64</f>
        <v/>
      </c>
      <c r="F64" s="26">
        <f>M64+P64+S64+V64+Y64+AB64+AE64+AH64+AK64</f>
        <v/>
      </c>
      <c r="G64" s="26">
        <f>N64+Q64+T64+W64+Z64+AC64+AF64+AI64+AL64</f>
        <v/>
      </c>
      <c r="H64" s="26">
        <f>E64+F64-G64</f>
        <v/>
      </c>
      <c r="I64" s="26">
        <f>MAX(H64,0)</f>
        <v/>
      </c>
      <c r="J64" s="26">
        <f>MAX(-H64,0)</f>
        <v/>
      </c>
      <c r="L64" s="25">
        <f>IF($A64="",0,(SUMIFS('Direct Costs'!$R$5:$R$2005,'Direct Costs'!$V$5:$V$2005,$A64,'Direct Costs'!$A$5:$A$2005,"&lt;"&amp;ReportFrom)+SUMIFS('Direct Costs'!$S$5:$S$2005,'Direct Costs'!$Y$5:$Y$2005,$A64,'Direct Costs'!$A$5:$A$2005,"&lt;"&amp;ReportFrom))-(SUMIFS('Direct Costs'!$L$5:$L$2005,'Direct Costs'!$W$5:$W$2005,$A64,'Direct Costs'!$A$5:$A$2005,"&lt;"&amp;ReportFrom)+SUMIFS('Direct Costs'!$U$5:$U$2005,'Direct Costs'!$X$5:$X$2005,$A64,'Direct Costs'!$A$5:$A$2005,"&lt;"&amp;ReportFrom)+SUMIFS('Direct Costs'!$T$5:$T$2005,'Direct Costs'!$Z$5:$Z$2005,$A64,'Direct Costs'!$A$5:$A$2005,"&lt;"&amp;ReportFrom)))</f>
        <v/>
      </c>
      <c r="M64" s="25">
        <f>IF($A64="",0,SUMIFS('Direct Costs'!$R$5:$R$2005,'Direct Costs'!$V$5:$V$2005,$A64,'Direct Costs'!$A$5:$A$2005,"&gt;="&amp;ReportFrom,'Direct Costs'!$A$5:$A$2005,"&lt;="&amp;ReportTo)+SUMIFS('Direct Costs'!$S$5:$S$2005,'Direct Costs'!$Y$5:$Y$2005,$A64,'Direct Costs'!$A$5:$A$2005,"&gt;="&amp;ReportFrom,'Direct Costs'!$A$5:$A$2005,"&lt;="&amp;ReportTo))</f>
        <v/>
      </c>
      <c r="N64" s="25">
        <f>IF($A64="",0,SUMIFS('Direct Costs'!$L$5:$L$2005,'Direct Costs'!$W$5:$W$2005,$A64,'Direct Costs'!$A$5:$A$2005,"&gt;="&amp;ReportFrom,'Direct Costs'!$A$5:$A$2005,"&lt;="&amp;ReportTo)+SUMIFS('Direct Costs'!$U$5:$U$2005,'Direct Costs'!$X$5:$X$2005,$A64,'Direct Costs'!$A$5:$A$2005,"&gt;="&amp;ReportFrom,'Direct Costs'!$A$5:$A$2005,"&lt;="&amp;ReportTo)+SUMIFS('Direct Costs'!$T$5:$T$2005,'Direct Costs'!$Z$5:$Z$2005,$A64,'Direct Costs'!$A$5:$A$2005,"&gt;="&amp;ReportFrom,'Direct Costs'!$A$5:$A$2005,"&lt;="&amp;ReportTo))</f>
        <v/>
      </c>
      <c r="O64" s="25">
        <f>IF($A64="",0,(SUMIFS('Operating Expenses'!$F$5:$F$2005,'Operating Expenses'!$Q$5:$Q$2005,$A64,'Operating Expenses'!$A$5:$A$2005,"&lt;"&amp;ReportFrom)+SUMIFS('Operating Expenses'!$M$5:$M$2005,'Operating Expenses'!$T$5:$T$2005,$A64,'Operating Expenses'!$A$5:$A$2005,"&lt;"&amp;ReportFrom))-(SUMIFS('Operating Expenses'!$O$5:$O$2005,'Operating Expenses'!$R$5:$R$2005,$A64,'Operating Expenses'!$A$5:$A$2005,"&lt;"&amp;ReportFrom)+SUMIFS('Operating Expenses'!$P$5:$P$2005,'Operating Expenses'!$S$5:$S$2005,$A64,'Operating Expenses'!$A$5:$A$2005,"&lt;"&amp;ReportFrom)+SUMIFS('Operating Expenses'!$N$5:$N$2005,'Operating Expenses'!$U$5:$U$2005,$A64,'Operating Expenses'!$A$5:$A$2005,"&lt;"&amp;ReportFrom)))</f>
        <v/>
      </c>
      <c r="P64" s="25">
        <f>IF($A64="",0,SUMIFS('Operating Expenses'!$F$5:$F$2005,'Operating Expenses'!$Q$5:$Q$2005,$A64,'Operating Expenses'!$A$5:$A$2005,"&gt;="&amp;ReportFrom,'Operating Expenses'!$A$5:$A$2005,"&lt;="&amp;ReportTo)+SUMIFS('Operating Expenses'!$M$5:$M$2005,'Operating Expenses'!$T$5:$T$2005,$A64,'Operating Expenses'!$A$5:$A$2005,"&gt;="&amp;ReportFrom,'Operating Expenses'!$A$5:$A$2005,"&lt;="&amp;ReportTo))</f>
        <v/>
      </c>
      <c r="Q64" s="25">
        <f>IF($A64="",0,SUMIFS('Operating Expenses'!$O$5:$O$2005,'Operating Expenses'!$R$5:$R$2005,$A64,'Operating Expenses'!$A$5:$A$2005,"&gt;="&amp;ReportFrom,'Operating Expenses'!$A$5:$A$2005,"&lt;="&amp;ReportTo)+SUMIFS('Operating Expenses'!$P$5:$P$2005,'Operating Expenses'!$S$5:$S$2005,$A64,'Operating Expenses'!$A$5:$A$2005,"&gt;="&amp;ReportFrom,'Operating Expenses'!$A$5:$A$2005,"&lt;="&amp;ReportTo)+SUMIFS('Operating Expenses'!$N$5:$N$2005,'Operating Expenses'!$U$5:$U$2005,$A64,'Operating Expenses'!$A$5:$A$2005,"&gt;="&amp;ReportFrom,'Operating Expenses'!$A$5:$A$2005,"&lt;="&amp;ReportTo))</f>
        <v/>
      </c>
      <c r="R64" s="25">
        <f>IF($A64="",0,(SUMIFS('Payroll'!$O$5:$O$2005,'Payroll'!$Q$5:$Q$2005,$A64,'Payroll'!$A$5:$A$2005,"&lt;"&amp;ReportFrom))-(SUMIFS('Payroll'!$K$5:$K$2005,'Payroll'!$R$5:$R$2005,$A64,'Payroll'!$A$5:$A$2005,"&lt;"&amp;ReportFrom)+SUMIFS('Payroll'!$P$5:$P$2005,'Payroll'!$S$5:$S$2005,$A64,'Payroll'!$A$5:$A$2005,"&lt;"&amp;ReportFrom)))</f>
        <v/>
      </c>
      <c r="S64" s="25">
        <f>IF($A64="",0,SUMIFS('Payroll'!$O$5:$O$2005,'Payroll'!$Q$5:$Q$2005,$A64,'Payroll'!$A$5:$A$2005,"&gt;="&amp;ReportFrom,'Payroll'!$A$5:$A$2005,"&lt;="&amp;ReportTo))</f>
        <v/>
      </c>
      <c r="T64" s="25">
        <f>IF($A64="",0,SUMIFS('Payroll'!$K$5:$K$2005,'Payroll'!$R$5:$R$2005,$A64,'Payroll'!$A$5:$A$2005,"&gt;="&amp;ReportFrom,'Payroll'!$A$5:$A$2005,"&lt;="&amp;ReportTo)+SUMIFS('Payroll'!$P$5:$P$2005,'Payroll'!$S$5:$S$2005,$A64,'Payroll'!$A$5:$A$2005,"&gt;="&amp;ReportFrom,'Payroll'!$A$5:$A$2005,"&lt;="&amp;ReportTo))</f>
        <v/>
      </c>
      <c r="U64" s="25">
        <f>IF($A64="",0,(SUMIFS('Receipt Vouchers'!$F$5:$F$2005,'Receipt Vouchers'!$O$5:$O$2005,$A64,'Receipt Vouchers'!$A$5:$A$2005,"&lt;"&amp;ReportFrom)+SUMIFS('Receipt Vouchers'!$J$5:$J$2005,'Receipt Vouchers'!$Q$5:$Q$2005,$A64,'Receipt Vouchers'!$A$5:$A$2005,"&lt;"&amp;ReportFrom))-(SUMIFS('Receipt Vouchers'!$N$5:$N$2005,'Receipt Vouchers'!$P$5:$P$2005,$A64,'Receipt Vouchers'!$A$5:$A$2005,"&lt;"&amp;ReportFrom)+SUMIFS('Receipt Vouchers'!$M$5:$M$2005,'Receipt Vouchers'!$R$5:$R$2005,$A64,'Receipt Vouchers'!$A$5:$A$2005,"&lt;"&amp;ReportFrom)))</f>
        <v/>
      </c>
      <c r="V64" s="25">
        <f>IF($A64="",0,SUMIFS('Receipt Vouchers'!$F$5:$F$2005,'Receipt Vouchers'!$O$5:$O$2005,$A64,'Receipt Vouchers'!$A$5:$A$2005,"&gt;="&amp;ReportFrom,'Receipt Vouchers'!$A$5:$A$2005,"&lt;="&amp;ReportTo)+SUMIFS('Receipt Vouchers'!$J$5:$J$2005,'Receipt Vouchers'!$Q$5:$Q$2005,$A64,'Receipt Vouchers'!$A$5:$A$2005,"&gt;="&amp;ReportFrom,'Receipt Vouchers'!$A$5:$A$2005,"&lt;="&amp;ReportTo))</f>
        <v/>
      </c>
      <c r="W64" s="25">
        <f>IF($A64="",0,SUMIFS('Receipt Vouchers'!$N$5:$N$2005,'Receipt Vouchers'!$P$5:$P$2005,$A64,'Receipt Vouchers'!$A$5:$A$2005,"&gt;="&amp;ReportFrom,'Receipt Vouchers'!$A$5:$A$2005,"&lt;="&amp;ReportTo)+SUMIFS('Receipt Vouchers'!$M$5:$M$2005,'Receipt Vouchers'!$R$5:$R$2005,$A64,'Receipt Vouchers'!$A$5:$A$2005,"&gt;="&amp;ReportFrom,'Receipt Vouchers'!$A$5:$A$2005,"&lt;="&amp;ReportTo))</f>
        <v/>
      </c>
      <c r="X64" s="25">
        <f>IF($A64="",0,(SUMIFS('Sales Invoices'!$O$5:$O$2005,'Sales Invoices'!$P$5:$P$2005,$A64,'Sales Invoices'!$B$5:$B$2005,"&lt;"&amp;ReportFrom)+SUMIFS('Sales Invoices'!$N$5:$N$2005,'Sales Invoices'!$R$5:$R$2005,$A64,'Sales Invoices'!$B$5:$B$2005,"&lt;"&amp;ReportFrom))-(SUMIFS('Sales Invoices'!$L$5:$L$2005,'Sales Invoices'!$Q$5:$Q$2005,$A64,'Sales Invoices'!$B$5:$B$2005,"&lt;"&amp;ReportFrom)+SUMIFS('Sales Invoices'!$M$5:$M$2005,'Sales Invoices'!$S$5:$S$2005,$A64,'Sales Invoices'!$B$5:$B$2005,"&lt;"&amp;ReportFrom)))</f>
        <v/>
      </c>
      <c r="Y64" s="25">
        <f>IF($A64="",0,SUMIFS('Sales Invoices'!$O$5:$O$2005,'Sales Invoices'!$P$5:$P$2005,$A64,'Sales Invoices'!$B$5:$B$2005,"&gt;="&amp;ReportFrom,'Sales Invoices'!$B$5:$B$2005,"&lt;="&amp;ReportTo)+SUMIFS('Sales Invoices'!$N$5:$N$2005,'Sales Invoices'!$R$5:$R$2005,$A64,'Sales Invoices'!$B$5:$B$2005,"&gt;="&amp;ReportFrom,'Sales Invoices'!$B$5:$B$2005,"&lt;="&amp;ReportTo))</f>
        <v/>
      </c>
      <c r="Z64" s="25">
        <f>IF($A64="",0,SUMIFS('Sales Invoices'!$L$5:$L$2005,'Sales Invoices'!$Q$5:$Q$2005,$A64,'Sales Invoices'!$B$5:$B$2005,"&gt;="&amp;ReportFrom,'Sales Invoices'!$B$5:$B$2005,"&lt;="&amp;ReportTo)+SUMIFS('Sales Invoices'!$M$5:$M$2005,'Sales Invoices'!$S$5:$S$2005,$A64,'Sales Invoices'!$B$5:$B$2005,"&gt;="&amp;ReportFrom,'Sales Invoices'!$B$5:$B$2005,"&lt;="&amp;ReportTo))</f>
        <v/>
      </c>
      <c r="AA64" s="25">
        <f>IF($A64="",0,(SUMIFS('Payment Vouchers'!$D$5:$D$2005,'Payment Vouchers'!$J$5:$J$2005,$A64,'Payment Vouchers'!$A$5:$A$2005,"&lt;"&amp;ReportFrom))-(SUMIFS('Payment Vouchers'!$D$5:$D$2005,'Payment Vouchers'!$K$5:$K$2005,$A64,'Payment Vouchers'!$A$5:$A$2005,"&lt;"&amp;ReportFrom)))</f>
        <v/>
      </c>
      <c r="AB64" s="25">
        <f>IF($A64="",0,SUMIFS('Payment Vouchers'!$D$5:$D$2005,'Payment Vouchers'!$J$5:$J$2005,$A64,'Payment Vouchers'!$A$5:$A$2005,"&gt;="&amp;ReportFrom,'Payment Vouchers'!$A$5:$A$2005,"&lt;="&amp;ReportTo))</f>
        <v/>
      </c>
      <c r="AC64" s="25">
        <f>IF($A64="",0,SUMIFS('Payment Vouchers'!$D$5:$D$2005,'Payment Vouchers'!$K$5:$K$2005,$A64,'Payment Vouchers'!$A$5:$A$2005,"&gt;="&amp;ReportFrom,'Payment Vouchers'!$A$5:$A$2005,"&lt;="&amp;ReportTo))</f>
        <v/>
      </c>
      <c r="AD64" s="25">
        <f>IF($A64="",0,(SUMIFS('Partner Transactions'!$D$5:$D$2005,'Partner Transactions'!$L$5:$L$2005,$A64,'Partner Transactions'!$A$5:$A$2005,"&lt;"&amp;ReportFrom))-(SUMIFS('Partner Transactions'!$D$5:$D$2005,'Partner Transactions'!$M$5:$M$2005,$A64,'Partner Transactions'!$A$5:$A$2005,"&lt;"&amp;ReportFrom)))</f>
        <v/>
      </c>
      <c r="AE64" s="25">
        <f>IF($A64="",0,SUMIFS('Partner Transactions'!$D$5:$D$2005,'Partner Transactions'!$L$5:$L$2005,$A64,'Partner Transactions'!$A$5:$A$2005,"&gt;="&amp;ReportFrom,'Partner Transactions'!$A$5:$A$2005,"&lt;="&amp;ReportTo))</f>
        <v/>
      </c>
      <c r="AF64" s="25">
        <f>IF($A64="",0,SUMIFS('Partner Transactions'!$D$5:$D$2005,'Partner Transactions'!$M$5:$M$2005,$A64,'Partner Transactions'!$A$5:$A$2005,"&gt;="&amp;ReportFrom,'Partner Transactions'!$A$5:$A$2005,"&lt;="&amp;ReportTo))</f>
        <v/>
      </c>
      <c r="AG64" s="25">
        <f>IF($A64="",0,(SUMIFS('Stock Moves'!$S$5:$S$2005,'Stock Moves'!$AD$5:$AD$2005,$A64,'Stock Moves'!$A$5:$A$2005,"&lt;"&amp;ReportFrom)+SUMIFS('Stock Moves'!$T$5:$T$2005,'Stock Moves'!$V$5:$V$2005,$A64,'Stock Moves'!$A$5:$A$2005,"&lt;"&amp;ReportFrom))-(SUMIFS('Stock Moves'!$AF$5:$AF$2005,'Stock Moves'!$AE$5:$AE$2005,$A64,'Stock Moves'!$A$5:$A$2005,"&lt;"&amp;ReportFrom)+SUMIFS('Stock Moves'!$AC$5:$AC$2005,'Stock Moves'!$X$5:$X$2005,$A64,'Stock Moves'!$A$5:$A$2005,"&lt;"&amp;ReportFrom)+SUMIFS('Stock Moves'!$U$5:$U$2005,'Stock Moves'!$W$5:$W$2005,$A64,'Stock Moves'!$A$5:$A$2005,"&lt;"&amp;ReportFrom)))</f>
        <v/>
      </c>
      <c r="AH64" s="25">
        <f>IF($A64="",0,SUMIFS('Stock Moves'!$S$5:$S$2005,'Stock Moves'!$AD$5:$AD$2005,$A64,'Stock Moves'!$A$5:$A$2005,"&gt;="&amp;ReportFrom,'Stock Moves'!$A$5:$A$2005,"&lt;="&amp;ReportTo)+SUMIFS('Stock Moves'!$T$5:$T$2005,'Stock Moves'!$V$5:$V$2005,$A64,'Stock Moves'!$A$5:$A$2005,"&gt;="&amp;ReportFrom,'Stock Moves'!$A$5:$A$2005,"&lt;="&amp;ReportTo))</f>
        <v/>
      </c>
      <c r="AI64" s="25">
        <f>IF($A64="",0,SUMIFS('Stock Moves'!$AF$5:$AF$2005,'Stock Moves'!$AE$5:$AE$2005,$A64,'Stock Moves'!$A$5:$A$2005,"&gt;="&amp;ReportFrom,'Stock Moves'!$A$5:$A$2005,"&lt;="&amp;ReportTo)+SUMIFS('Stock Moves'!$AC$5:$AC$2005,'Stock Moves'!$X$5:$X$2005,$A64,'Stock Moves'!$A$5:$A$2005,"&gt;="&amp;ReportFrom,'Stock Moves'!$A$5:$A$2005,"&lt;="&amp;ReportTo)+SUMIFS('Stock Moves'!$U$5:$U$2005,'Stock Moves'!$W$5:$W$2005,$A64,'Stock Moves'!$A$5:$A$2005,"&gt;="&amp;ReportFrom,'Stock Moves'!$A$5:$A$2005,"&lt;="&amp;ReportTo))</f>
        <v/>
      </c>
      <c r="AJ64" s="25">
        <f>IF($A64="",0,(SUMIFS('Journal Vouchers'!$I$5:$I$2005,'Journal Vouchers'!$H$5:$H$2005,$A64,'Journal Vouchers'!$B$5:$B$2005,"&lt;"&amp;ReportFrom))-(SUMIFS('Journal Vouchers'!$J$5:$J$2005,'Journal Vouchers'!$H$5:$H$2005,$A64,'Journal Vouchers'!$B$5:$B$2005,"&lt;"&amp;ReportFrom)))</f>
        <v/>
      </c>
      <c r="AK64" s="25">
        <f>IF($A64="",0,SUMIFS('Journal Vouchers'!$I$5:$I$2005,'Journal Vouchers'!$H$5:$H$2005,$A64,'Journal Vouchers'!$B$5:$B$2005,"&gt;="&amp;ReportFrom,'Journal Vouchers'!$B$5:$B$2005,"&lt;="&amp;ReportTo))</f>
        <v/>
      </c>
      <c r="AL64" s="25">
        <f>IF($A64="",0,SUMIFS('Journal Vouchers'!$J$5:$J$2005,'Journal Vouchers'!$H$5:$H$2005,$A64,'Journal Vouchers'!$B$5:$B$2005,"&gt;="&amp;ReportFrom,'Journal Vouchers'!$B$5:$B$2005,"&lt;="&amp;ReportTo))</f>
        <v/>
      </c>
    </row>
    <row r="65">
      <c r="A65" s="25">
        <f>IF('Chart of Accounts'!A65="","",'Chart of Accounts'!A65&amp;"")</f>
        <v/>
      </c>
      <c r="B65" s="25">
        <f>IF(A65="","",'Chart of Accounts'!B65)</f>
        <v/>
      </c>
      <c r="C65" s="25">
        <f>IF(A65="","",'Chart of Accounts'!C65)</f>
        <v/>
      </c>
      <c r="D65" s="25">
        <f>IF(A65="","",'Chart of Accounts'!D65)</f>
        <v/>
      </c>
      <c r="E65" s="26">
        <f>L65+O65+R65+U65+X65+AA65+AD65+AG65+AJ65</f>
        <v/>
      </c>
      <c r="F65" s="26">
        <f>M65+P65+S65+V65+Y65+AB65+AE65+AH65+AK65</f>
        <v/>
      </c>
      <c r="G65" s="26">
        <f>N65+Q65+T65+W65+Z65+AC65+AF65+AI65+AL65</f>
        <v/>
      </c>
      <c r="H65" s="26">
        <f>E65+F65-G65</f>
        <v/>
      </c>
      <c r="I65" s="26">
        <f>MAX(H65,0)</f>
        <v/>
      </c>
      <c r="J65" s="26">
        <f>MAX(-H65,0)</f>
        <v/>
      </c>
      <c r="L65" s="25">
        <f>IF($A65="",0,(SUMIFS('Direct Costs'!$R$5:$R$2005,'Direct Costs'!$V$5:$V$2005,$A65,'Direct Costs'!$A$5:$A$2005,"&lt;"&amp;ReportFrom)+SUMIFS('Direct Costs'!$S$5:$S$2005,'Direct Costs'!$Y$5:$Y$2005,$A65,'Direct Costs'!$A$5:$A$2005,"&lt;"&amp;ReportFrom))-(SUMIFS('Direct Costs'!$L$5:$L$2005,'Direct Costs'!$W$5:$W$2005,$A65,'Direct Costs'!$A$5:$A$2005,"&lt;"&amp;ReportFrom)+SUMIFS('Direct Costs'!$U$5:$U$2005,'Direct Costs'!$X$5:$X$2005,$A65,'Direct Costs'!$A$5:$A$2005,"&lt;"&amp;ReportFrom)+SUMIFS('Direct Costs'!$T$5:$T$2005,'Direct Costs'!$Z$5:$Z$2005,$A65,'Direct Costs'!$A$5:$A$2005,"&lt;"&amp;ReportFrom)))</f>
        <v/>
      </c>
      <c r="M65" s="25">
        <f>IF($A65="",0,SUMIFS('Direct Costs'!$R$5:$R$2005,'Direct Costs'!$V$5:$V$2005,$A65,'Direct Costs'!$A$5:$A$2005,"&gt;="&amp;ReportFrom,'Direct Costs'!$A$5:$A$2005,"&lt;="&amp;ReportTo)+SUMIFS('Direct Costs'!$S$5:$S$2005,'Direct Costs'!$Y$5:$Y$2005,$A65,'Direct Costs'!$A$5:$A$2005,"&gt;="&amp;ReportFrom,'Direct Costs'!$A$5:$A$2005,"&lt;="&amp;ReportTo))</f>
        <v/>
      </c>
      <c r="N65" s="25">
        <f>IF($A65="",0,SUMIFS('Direct Costs'!$L$5:$L$2005,'Direct Costs'!$W$5:$W$2005,$A65,'Direct Costs'!$A$5:$A$2005,"&gt;="&amp;ReportFrom,'Direct Costs'!$A$5:$A$2005,"&lt;="&amp;ReportTo)+SUMIFS('Direct Costs'!$U$5:$U$2005,'Direct Costs'!$X$5:$X$2005,$A65,'Direct Costs'!$A$5:$A$2005,"&gt;="&amp;ReportFrom,'Direct Costs'!$A$5:$A$2005,"&lt;="&amp;ReportTo)+SUMIFS('Direct Costs'!$T$5:$T$2005,'Direct Costs'!$Z$5:$Z$2005,$A65,'Direct Costs'!$A$5:$A$2005,"&gt;="&amp;ReportFrom,'Direct Costs'!$A$5:$A$2005,"&lt;="&amp;ReportTo))</f>
        <v/>
      </c>
      <c r="O65" s="25">
        <f>IF($A65="",0,(SUMIFS('Operating Expenses'!$F$5:$F$2005,'Operating Expenses'!$Q$5:$Q$2005,$A65,'Operating Expenses'!$A$5:$A$2005,"&lt;"&amp;ReportFrom)+SUMIFS('Operating Expenses'!$M$5:$M$2005,'Operating Expenses'!$T$5:$T$2005,$A65,'Operating Expenses'!$A$5:$A$2005,"&lt;"&amp;ReportFrom))-(SUMIFS('Operating Expenses'!$O$5:$O$2005,'Operating Expenses'!$R$5:$R$2005,$A65,'Operating Expenses'!$A$5:$A$2005,"&lt;"&amp;ReportFrom)+SUMIFS('Operating Expenses'!$P$5:$P$2005,'Operating Expenses'!$S$5:$S$2005,$A65,'Operating Expenses'!$A$5:$A$2005,"&lt;"&amp;ReportFrom)+SUMIFS('Operating Expenses'!$N$5:$N$2005,'Operating Expenses'!$U$5:$U$2005,$A65,'Operating Expenses'!$A$5:$A$2005,"&lt;"&amp;ReportFrom)))</f>
        <v/>
      </c>
      <c r="P65" s="25">
        <f>IF($A65="",0,SUMIFS('Operating Expenses'!$F$5:$F$2005,'Operating Expenses'!$Q$5:$Q$2005,$A65,'Operating Expenses'!$A$5:$A$2005,"&gt;="&amp;ReportFrom,'Operating Expenses'!$A$5:$A$2005,"&lt;="&amp;ReportTo)+SUMIFS('Operating Expenses'!$M$5:$M$2005,'Operating Expenses'!$T$5:$T$2005,$A65,'Operating Expenses'!$A$5:$A$2005,"&gt;="&amp;ReportFrom,'Operating Expenses'!$A$5:$A$2005,"&lt;="&amp;ReportTo))</f>
        <v/>
      </c>
      <c r="Q65" s="25">
        <f>IF($A65="",0,SUMIFS('Operating Expenses'!$O$5:$O$2005,'Operating Expenses'!$R$5:$R$2005,$A65,'Operating Expenses'!$A$5:$A$2005,"&gt;="&amp;ReportFrom,'Operating Expenses'!$A$5:$A$2005,"&lt;="&amp;ReportTo)+SUMIFS('Operating Expenses'!$P$5:$P$2005,'Operating Expenses'!$S$5:$S$2005,$A65,'Operating Expenses'!$A$5:$A$2005,"&gt;="&amp;ReportFrom,'Operating Expenses'!$A$5:$A$2005,"&lt;="&amp;ReportTo)+SUMIFS('Operating Expenses'!$N$5:$N$2005,'Operating Expenses'!$U$5:$U$2005,$A65,'Operating Expenses'!$A$5:$A$2005,"&gt;="&amp;ReportFrom,'Operating Expenses'!$A$5:$A$2005,"&lt;="&amp;ReportTo))</f>
        <v/>
      </c>
      <c r="R65" s="25">
        <f>IF($A65="",0,(SUMIFS('Payroll'!$O$5:$O$2005,'Payroll'!$Q$5:$Q$2005,$A65,'Payroll'!$A$5:$A$2005,"&lt;"&amp;ReportFrom))-(SUMIFS('Payroll'!$K$5:$K$2005,'Payroll'!$R$5:$R$2005,$A65,'Payroll'!$A$5:$A$2005,"&lt;"&amp;ReportFrom)+SUMIFS('Payroll'!$P$5:$P$2005,'Payroll'!$S$5:$S$2005,$A65,'Payroll'!$A$5:$A$2005,"&lt;"&amp;ReportFrom)))</f>
        <v/>
      </c>
      <c r="S65" s="25">
        <f>IF($A65="",0,SUMIFS('Payroll'!$O$5:$O$2005,'Payroll'!$Q$5:$Q$2005,$A65,'Payroll'!$A$5:$A$2005,"&gt;="&amp;ReportFrom,'Payroll'!$A$5:$A$2005,"&lt;="&amp;ReportTo))</f>
        <v/>
      </c>
      <c r="T65" s="25">
        <f>IF($A65="",0,SUMIFS('Payroll'!$K$5:$K$2005,'Payroll'!$R$5:$R$2005,$A65,'Payroll'!$A$5:$A$2005,"&gt;="&amp;ReportFrom,'Payroll'!$A$5:$A$2005,"&lt;="&amp;ReportTo)+SUMIFS('Payroll'!$P$5:$P$2005,'Payroll'!$S$5:$S$2005,$A65,'Payroll'!$A$5:$A$2005,"&gt;="&amp;ReportFrom,'Payroll'!$A$5:$A$2005,"&lt;="&amp;ReportTo))</f>
        <v/>
      </c>
      <c r="U65" s="25">
        <f>IF($A65="",0,(SUMIFS('Receipt Vouchers'!$F$5:$F$2005,'Receipt Vouchers'!$O$5:$O$2005,$A65,'Receipt Vouchers'!$A$5:$A$2005,"&lt;"&amp;ReportFrom)+SUMIFS('Receipt Vouchers'!$J$5:$J$2005,'Receipt Vouchers'!$Q$5:$Q$2005,$A65,'Receipt Vouchers'!$A$5:$A$2005,"&lt;"&amp;ReportFrom))-(SUMIFS('Receipt Vouchers'!$N$5:$N$2005,'Receipt Vouchers'!$P$5:$P$2005,$A65,'Receipt Vouchers'!$A$5:$A$2005,"&lt;"&amp;ReportFrom)+SUMIFS('Receipt Vouchers'!$M$5:$M$2005,'Receipt Vouchers'!$R$5:$R$2005,$A65,'Receipt Vouchers'!$A$5:$A$2005,"&lt;"&amp;ReportFrom)))</f>
        <v/>
      </c>
      <c r="V65" s="25">
        <f>IF($A65="",0,SUMIFS('Receipt Vouchers'!$F$5:$F$2005,'Receipt Vouchers'!$O$5:$O$2005,$A65,'Receipt Vouchers'!$A$5:$A$2005,"&gt;="&amp;ReportFrom,'Receipt Vouchers'!$A$5:$A$2005,"&lt;="&amp;ReportTo)+SUMIFS('Receipt Vouchers'!$J$5:$J$2005,'Receipt Vouchers'!$Q$5:$Q$2005,$A65,'Receipt Vouchers'!$A$5:$A$2005,"&gt;="&amp;ReportFrom,'Receipt Vouchers'!$A$5:$A$2005,"&lt;="&amp;ReportTo))</f>
        <v/>
      </c>
      <c r="W65" s="25">
        <f>IF($A65="",0,SUMIFS('Receipt Vouchers'!$N$5:$N$2005,'Receipt Vouchers'!$P$5:$P$2005,$A65,'Receipt Vouchers'!$A$5:$A$2005,"&gt;="&amp;ReportFrom,'Receipt Vouchers'!$A$5:$A$2005,"&lt;="&amp;ReportTo)+SUMIFS('Receipt Vouchers'!$M$5:$M$2005,'Receipt Vouchers'!$R$5:$R$2005,$A65,'Receipt Vouchers'!$A$5:$A$2005,"&gt;="&amp;ReportFrom,'Receipt Vouchers'!$A$5:$A$2005,"&lt;="&amp;ReportTo))</f>
        <v/>
      </c>
      <c r="X65" s="25">
        <f>IF($A65="",0,(SUMIFS('Sales Invoices'!$O$5:$O$2005,'Sales Invoices'!$P$5:$P$2005,$A65,'Sales Invoices'!$B$5:$B$2005,"&lt;"&amp;ReportFrom)+SUMIFS('Sales Invoices'!$N$5:$N$2005,'Sales Invoices'!$R$5:$R$2005,$A65,'Sales Invoices'!$B$5:$B$2005,"&lt;"&amp;ReportFrom))-(SUMIFS('Sales Invoices'!$L$5:$L$2005,'Sales Invoices'!$Q$5:$Q$2005,$A65,'Sales Invoices'!$B$5:$B$2005,"&lt;"&amp;ReportFrom)+SUMIFS('Sales Invoices'!$M$5:$M$2005,'Sales Invoices'!$S$5:$S$2005,$A65,'Sales Invoices'!$B$5:$B$2005,"&lt;"&amp;ReportFrom)))</f>
        <v/>
      </c>
      <c r="Y65" s="25">
        <f>IF($A65="",0,SUMIFS('Sales Invoices'!$O$5:$O$2005,'Sales Invoices'!$P$5:$P$2005,$A65,'Sales Invoices'!$B$5:$B$2005,"&gt;="&amp;ReportFrom,'Sales Invoices'!$B$5:$B$2005,"&lt;="&amp;ReportTo)+SUMIFS('Sales Invoices'!$N$5:$N$2005,'Sales Invoices'!$R$5:$R$2005,$A65,'Sales Invoices'!$B$5:$B$2005,"&gt;="&amp;ReportFrom,'Sales Invoices'!$B$5:$B$2005,"&lt;="&amp;ReportTo))</f>
        <v/>
      </c>
      <c r="Z65" s="25">
        <f>IF($A65="",0,SUMIFS('Sales Invoices'!$L$5:$L$2005,'Sales Invoices'!$Q$5:$Q$2005,$A65,'Sales Invoices'!$B$5:$B$2005,"&gt;="&amp;ReportFrom,'Sales Invoices'!$B$5:$B$2005,"&lt;="&amp;ReportTo)+SUMIFS('Sales Invoices'!$M$5:$M$2005,'Sales Invoices'!$S$5:$S$2005,$A65,'Sales Invoices'!$B$5:$B$2005,"&gt;="&amp;ReportFrom,'Sales Invoices'!$B$5:$B$2005,"&lt;="&amp;ReportTo))</f>
        <v/>
      </c>
      <c r="AA65" s="25">
        <f>IF($A65="",0,(SUMIFS('Payment Vouchers'!$D$5:$D$2005,'Payment Vouchers'!$J$5:$J$2005,$A65,'Payment Vouchers'!$A$5:$A$2005,"&lt;"&amp;ReportFrom))-(SUMIFS('Payment Vouchers'!$D$5:$D$2005,'Payment Vouchers'!$K$5:$K$2005,$A65,'Payment Vouchers'!$A$5:$A$2005,"&lt;"&amp;ReportFrom)))</f>
        <v/>
      </c>
      <c r="AB65" s="25">
        <f>IF($A65="",0,SUMIFS('Payment Vouchers'!$D$5:$D$2005,'Payment Vouchers'!$J$5:$J$2005,$A65,'Payment Vouchers'!$A$5:$A$2005,"&gt;="&amp;ReportFrom,'Payment Vouchers'!$A$5:$A$2005,"&lt;="&amp;ReportTo))</f>
        <v/>
      </c>
      <c r="AC65" s="25">
        <f>IF($A65="",0,SUMIFS('Payment Vouchers'!$D$5:$D$2005,'Payment Vouchers'!$K$5:$K$2005,$A65,'Payment Vouchers'!$A$5:$A$2005,"&gt;="&amp;ReportFrom,'Payment Vouchers'!$A$5:$A$2005,"&lt;="&amp;ReportTo))</f>
        <v/>
      </c>
      <c r="AD65" s="25">
        <f>IF($A65="",0,(SUMIFS('Partner Transactions'!$D$5:$D$2005,'Partner Transactions'!$L$5:$L$2005,$A65,'Partner Transactions'!$A$5:$A$2005,"&lt;"&amp;ReportFrom))-(SUMIFS('Partner Transactions'!$D$5:$D$2005,'Partner Transactions'!$M$5:$M$2005,$A65,'Partner Transactions'!$A$5:$A$2005,"&lt;"&amp;ReportFrom)))</f>
        <v/>
      </c>
      <c r="AE65" s="25">
        <f>IF($A65="",0,SUMIFS('Partner Transactions'!$D$5:$D$2005,'Partner Transactions'!$L$5:$L$2005,$A65,'Partner Transactions'!$A$5:$A$2005,"&gt;="&amp;ReportFrom,'Partner Transactions'!$A$5:$A$2005,"&lt;="&amp;ReportTo))</f>
        <v/>
      </c>
      <c r="AF65" s="25">
        <f>IF($A65="",0,SUMIFS('Partner Transactions'!$D$5:$D$2005,'Partner Transactions'!$M$5:$M$2005,$A65,'Partner Transactions'!$A$5:$A$2005,"&gt;="&amp;ReportFrom,'Partner Transactions'!$A$5:$A$2005,"&lt;="&amp;ReportTo))</f>
        <v/>
      </c>
      <c r="AG65" s="25">
        <f>IF($A65="",0,(SUMIFS('Stock Moves'!$S$5:$S$2005,'Stock Moves'!$AD$5:$AD$2005,$A65,'Stock Moves'!$A$5:$A$2005,"&lt;"&amp;ReportFrom)+SUMIFS('Stock Moves'!$T$5:$T$2005,'Stock Moves'!$V$5:$V$2005,$A65,'Stock Moves'!$A$5:$A$2005,"&lt;"&amp;ReportFrom))-(SUMIFS('Stock Moves'!$AF$5:$AF$2005,'Stock Moves'!$AE$5:$AE$2005,$A65,'Stock Moves'!$A$5:$A$2005,"&lt;"&amp;ReportFrom)+SUMIFS('Stock Moves'!$AC$5:$AC$2005,'Stock Moves'!$X$5:$X$2005,$A65,'Stock Moves'!$A$5:$A$2005,"&lt;"&amp;ReportFrom)+SUMIFS('Stock Moves'!$U$5:$U$2005,'Stock Moves'!$W$5:$W$2005,$A65,'Stock Moves'!$A$5:$A$2005,"&lt;"&amp;ReportFrom)))</f>
        <v/>
      </c>
      <c r="AH65" s="25">
        <f>IF($A65="",0,SUMIFS('Stock Moves'!$S$5:$S$2005,'Stock Moves'!$AD$5:$AD$2005,$A65,'Stock Moves'!$A$5:$A$2005,"&gt;="&amp;ReportFrom,'Stock Moves'!$A$5:$A$2005,"&lt;="&amp;ReportTo)+SUMIFS('Stock Moves'!$T$5:$T$2005,'Stock Moves'!$V$5:$V$2005,$A65,'Stock Moves'!$A$5:$A$2005,"&gt;="&amp;ReportFrom,'Stock Moves'!$A$5:$A$2005,"&lt;="&amp;ReportTo))</f>
        <v/>
      </c>
      <c r="AI65" s="25">
        <f>IF($A65="",0,SUMIFS('Stock Moves'!$AF$5:$AF$2005,'Stock Moves'!$AE$5:$AE$2005,$A65,'Stock Moves'!$A$5:$A$2005,"&gt;="&amp;ReportFrom,'Stock Moves'!$A$5:$A$2005,"&lt;="&amp;ReportTo)+SUMIFS('Stock Moves'!$AC$5:$AC$2005,'Stock Moves'!$X$5:$X$2005,$A65,'Stock Moves'!$A$5:$A$2005,"&gt;="&amp;ReportFrom,'Stock Moves'!$A$5:$A$2005,"&lt;="&amp;ReportTo)+SUMIFS('Stock Moves'!$U$5:$U$2005,'Stock Moves'!$W$5:$W$2005,$A65,'Stock Moves'!$A$5:$A$2005,"&gt;="&amp;ReportFrom,'Stock Moves'!$A$5:$A$2005,"&lt;="&amp;ReportTo))</f>
        <v/>
      </c>
      <c r="AJ65" s="25">
        <f>IF($A65="",0,(SUMIFS('Journal Vouchers'!$I$5:$I$2005,'Journal Vouchers'!$H$5:$H$2005,$A65,'Journal Vouchers'!$B$5:$B$2005,"&lt;"&amp;ReportFrom))-(SUMIFS('Journal Vouchers'!$J$5:$J$2005,'Journal Vouchers'!$H$5:$H$2005,$A65,'Journal Vouchers'!$B$5:$B$2005,"&lt;"&amp;ReportFrom)))</f>
        <v/>
      </c>
      <c r="AK65" s="25">
        <f>IF($A65="",0,SUMIFS('Journal Vouchers'!$I$5:$I$2005,'Journal Vouchers'!$H$5:$H$2005,$A65,'Journal Vouchers'!$B$5:$B$2005,"&gt;="&amp;ReportFrom,'Journal Vouchers'!$B$5:$B$2005,"&lt;="&amp;ReportTo))</f>
        <v/>
      </c>
      <c r="AL65" s="25">
        <f>IF($A65="",0,SUMIFS('Journal Vouchers'!$J$5:$J$2005,'Journal Vouchers'!$H$5:$H$2005,$A65,'Journal Vouchers'!$B$5:$B$2005,"&gt;="&amp;ReportFrom,'Journal Vouchers'!$B$5:$B$2005,"&lt;="&amp;ReportTo))</f>
        <v/>
      </c>
    </row>
    <row r="66">
      <c r="A66" s="25">
        <f>IF('Chart of Accounts'!A66="","",'Chart of Accounts'!A66&amp;"")</f>
        <v/>
      </c>
      <c r="B66" s="25">
        <f>IF(A66="","",'Chart of Accounts'!B66)</f>
        <v/>
      </c>
      <c r="C66" s="25">
        <f>IF(A66="","",'Chart of Accounts'!C66)</f>
        <v/>
      </c>
      <c r="D66" s="25">
        <f>IF(A66="","",'Chart of Accounts'!D66)</f>
        <v/>
      </c>
      <c r="E66" s="26">
        <f>L66+O66+R66+U66+X66+AA66+AD66+AG66+AJ66</f>
        <v/>
      </c>
      <c r="F66" s="26">
        <f>M66+P66+S66+V66+Y66+AB66+AE66+AH66+AK66</f>
        <v/>
      </c>
      <c r="G66" s="26">
        <f>N66+Q66+T66+W66+Z66+AC66+AF66+AI66+AL66</f>
        <v/>
      </c>
      <c r="H66" s="26">
        <f>E66+F66-G66</f>
        <v/>
      </c>
      <c r="I66" s="26">
        <f>MAX(H66,0)</f>
        <v/>
      </c>
      <c r="J66" s="26">
        <f>MAX(-H66,0)</f>
        <v/>
      </c>
      <c r="L66" s="25">
        <f>IF($A66="",0,(SUMIFS('Direct Costs'!$R$5:$R$2005,'Direct Costs'!$V$5:$V$2005,$A66,'Direct Costs'!$A$5:$A$2005,"&lt;"&amp;ReportFrom)+SUMIFS('Direct Costs'!$S$5:$S$2005,'Direct Costs'!$Y$5:$Y$2005,$A66,'Direct Costs'!$A$5:$A$2005,"&lt;"&amp;ReportFrom))-(SUMIFS('Direct Costs'!$L$5:$L$2005,'Direct Costs'!$W$5:$W$2005,$A66,'Direct Costs'!$A$5:$A$2005,"&lt;"&amp;ReportFrom)+SUMIFS('Direct Costs'!$U$5:$U$2005,'Direct Costs'!$X$5:$X$2005,$A66,'Direct Costs'!$A$5:$A$2005,"&lt;"&amp;ReportFrom)+SUMIFS('Direct Costs'!$T$5:$T$2005,'Direct Costs'!$Z$5:$Z$2005,$A66,'Direct Costs'!$A$5:$A$2005,"&lt;"&amp;ReportFrom)))</f>
        <v/>
      </c>
      <c r="M66" s="25">
        <f>IF($A66="",0,SUMIFS('Direct Costs'!$R$5:$R$2005,'Direct Costs'!$V$5:$V$2005,$A66,'Direct Costs'!$A$5:$A$2005,"&gt;="&amp;ReportFrom,'Direct Costs'!$A$5:$A$2005,"&lt;="&amp;ReportTo)+SUMIFS('Direct Costs'!$S$5:$S$2005,'Direct Costs'!$Y$5:$Y$2005,$A66,'Direct Costs'!$A$5:$A$2005,"&gt;="&amp;ReportFrom,'Direct Costs'!$A$5:$A$2005,"&lt;="&amp;ReportTo))</f>
        <v/>
      </c>
      <c r="N66" s="25">
        <f>IF($A66="",0,SUMIFS('Direct Costs'!$L$5:$L$2005,'Direct Costs'!$W$5:$W$2005,$A66,'Direct Costs'!$A$5:$A$2005,"&gt;="&amp;ReportFrom,'Direct Costs'!$A$5:$A$2005,"&lt;="&amp;ReportTo)+SUMIFS('Direct Costs'!$U$5:$U$2005,'Direct Costs'!$X$5:$X$2005,$A66,'Direct Costs'!$A$5:$A$2005,"&gt;="&amp;ReportFrom,'Direct Costs'!$A$5:$A$2005,"&lt;="&amp;ReportTo)+SUMIFS('Direct Costs'!$T$5:$T$2005,'Direct Costs'!$Z$5:$Z$2005,$A66,'Direct Costs'!$A$5:$A$2005,"&gt;="&amp;ReportFrom,'Direct Costs'!$A$5:$A$2005,"&lt;="&amp;ReportTo))</f>
        <v/>
      </c>
      <c r="O66" s="25">
        <f>IF($A66="",0,(SUMIFS('Operating Expenses'!$F$5:$F$2005,'Operating Expenses'!$Q$5:$Q$2005,$A66,'Operating Expenses'!$A$5:$A$2005,"&lt;"&amp;ReportFrom)+SUMIFS('Operating Expenses'!$M$5:$M$2005,'Operating Expenses'!$T$5:$T$2005,$A66,'Operating Expenses'!$A$5:$A$2005,"&lt;"&amp;ReportFrom))-(SUMIFS('Operating Expenses'!$O$5:$O$2005,'Operating Expenses'!$R$5:$R$2005,$A66,'Operating Expenses'!$A$5:$A$2005,"&lt;"&amp;ReportFrom)+SUMIFS('Operating Expenses'!$P$5:$P$2005,'Operating Expenses'!$S$5:$S$2005,$A66,'Operating Expenses'!$A$5:$A$2005,"&lt;"&amp;ReportFrom)+SUMIFS('Operating Expenses'!$N$5:$N$2005,'Operating Expenses'!$U$5:$U$2005,$A66,'Operating Expenses'!$A$5:$A$2005,"&lt;"&amp;ReportFrom)))</f>
        <v/>
      </c>
      <c r="P66" s="25">
        <f>IF($A66="",0,SUMIFS('Operating Expenses'!$F$5:$F$2005,'Operating Expenses'!$Q$5:$Q$2005,$A66,'Operating Expenses'!$A$5:$A$2005,"&gt;="&amp;ReportFrom,'Operating Expenses'!$A$5:$A$2005,"&lt;="&amp;ReportTo)+SUMIFS('Operating Expenses'!$M$5:$M$2005,'Operating Expenses'!$T$5:$T$2005,$A66,'Operating Expenses'!$A$5:$A$2005,"&gt;="&amp;ReportFrom,'Operating Expenses'!$A$5:$A$2005,"&lt;="&amp;ReportTo))</f>
        <v/>
      </c>
      <c r="Q66" s="25">
        <f>IF($A66="",0,SUMIFS('Operating Expenses'!$O$5:$O$2005,'Operating Expenses'!$R$5:$R$2005,$A66,'Operating Expenses'!$A$5:$A$2005,"&gt;="&amp;ReportFrom,'Operating Expenses'!$A$5:$A$2005,"&lt;="&amp;ReportTo)+SUMIFS('Operating Expenses'!$P$5:$P$2005,'Operating Expenses'!$S$5:$S$2005,$A66,'Operating Expenses'!$A$5:$A$2005,"&gt;="&amp;ReportFrom,'Operating Expenses'!$A$5:$A$2005,"&lt;="&amp;ReportTo)+SUMIFS('Operating Expenses'!$N$5:$N$2005,'Operating Expenses'!$U$5:$U$2005,$A66,'Operating Expenses'!$A$5:$A$2005,"&gt;="&amp;ReportFrom,'Operating Expenses'!$A$5:$A$2005,"&lt;="&amp;ReportTo))</f>
        <v/>
      </c>
      <c r="R66" s="25">
        <f>IF($A66="",0,(SUMIFS('Payroll'!$O$5:$O$2005,'Payroll'!$Q$5:$Q$2005,$A66,'Payroll'!$A$5:$A$2005,"&lt;"&amp;ReportFrom))-(SUMIFS('Payroll'!$K$5:$K$2005,'Payroll'!$R$5:$R$2005,$A66,'Payroll'!$A$5:$A$2005,"&lt;"&amp;ReportFrom)+SUMIFS('Payroll'!$P$5:$P$2005,'Payroll'!$S$5:$S$2005,$A66,'Payroll'!$A$5:$A$2005,"&lt;"&amp;ReportFrom)))</f>
        <v/>
      </c>
      <c r="S66" s="25">
        <f>IF($A66="",0,SUMIFS('Payroll'!$O$5:$O$2005,'Payroll'!$Q$5:$Q$2005,$A66,'Payroll'!$A$5:$A$2005,"&gt;="&amp;ReportFrom,'Payroll'!$A$5:$A$2005,"&lt;="&amp;ReportTo))</f>
        <v/>
      </c>
      <c r="T66" s="25">
        <f>IF($A66="",0,SUMIFS('Payroll'!$K$5:$K$2005,'Payroll'!$R$5:$R$2005,$A66,'Payroll'!$A$5:$A$2005,"&gt;="&amp;ReportFrom,'Payroll'!$A$5:$A$2005,"&lt;="&amp;ReportTo)+SUMIFS('Payroll'!$P$5:$P$2005,'Payroll'!$S$5:$S$2005,$A66,'Payroll'!$A$5:$A$2005,"&gt;="&amp;ReportFrom,'Payroll'!$A$5:$A$2005,"&lt;="&amp;ReportTo))</f>
        <v/>
      </c>
      <c r="U66" s="25">
        <f>IF($A66="",0,(SUMIFS('Receipt Vouchers'!$F$5:$F$2005,'Receipt Vouchers'!$O$5:$O$2005,$A66,'Receipt Vouchers'!$A$5:$A$2005,"&lt;"&amp;ReportFrom)+SUMIFS('Receipt Vouchers'!$J$5:$J$2005,'Receipt Vouchers'!$Q$5:$Q$2005,$A66,'Receipt Vouchers'!$A$5:$A$2005,"&lt;"&amp;ReportFrom))-(SUMIFS('Receipt Vouchers'!$N$5:$N$2005,'Receipt Vouchers'!$P$5:$P$2005,$A66,'Receipt Vouchers'!$A$5:$A$2005,"&lt;"&amp;ReportFrom)+SUMIFS('Receipt Vouchers'!$M$5:$M$2005,'Receipt Vouchers'!$R$5:$R$2005,$A66,'Receipt Vouchers'!$A$5:$A$2005,"&lt;"&amp;ReportFrom)))</f>
        <v/>
      </c>
      <c r="V66" s="25">
        <f>IF($A66="",0,SUMIFS('Receipt Vouchers'!$F$5:$F$2005,'Receipt Vouchers'!$O$5:$O$2005,$A66,'Receipt Vouchers'!$A$5:$A$2005,"&gt;="&amp;ReportFrom,'Receipt Vouchers'!$A$5:$A$2005,"&lt;="&amp;ReportTo)+SUMIFS('Receipt Vouchers'!$J$5:$J$2005,'Receipt Vouchers'!$Q$5:$Q$2005,$A66,'Receipt Vouchers'!$A$5:$A$2005,"&gt;="&amp;ReportFrom,'Receipt Vouchers'!$A$5:$A$2005,"&lt;="&amp;ReportTo))</f>
        <v/>
      </c>
      <c r="W66" s="25">
        <f>IF($A66="",0,SUMIFS('Receipt Vouchers'!$N$5:$N$2005,'Receipt Vouchers'!$P$5:$P$2005,$A66,'Receipt Vouchers'!$A$5:$A$2005,"&gt;="&amp;ReportFrom,'Receipt Vouchers'!$A$5:$A$2005,"&lt;="&amp;ReportTo)+SUMIFS('Receipt Vouchers'!$M$5:$M$2005,'Receipt Vouchers'!$R$5:$R$2005,$A66,'Receipt Vouchers'!$A$5:$A$2005,"&gt;="&amp;ReportFrom,'Receipt Vouchers'!$A$5:$A$2005,"&lt;="&amp;ReportTo))</f>
        <v/>
      </c>
      <c r="X66" s="25">
        <f>IF($A66="",0,(SUMIFS('Sales Invoices'!$O$5:$O$2005,'Sales Invoices'!$P$5:$P$2005,$A66,'Sales Invoices'!$B$5:$B$2005,"&lt;"&amp;ReportFrom)+SUMIFS('Sales Invoices'!$N$5:$N$2005,'Sales Invoices'!$R$5:$R$2005,$A66,'Sales Invoices'!$B$5:$B$2005,"&lt;"&amp;ReportFrom))-(SUMIFS('Sales Invoices'!$L$5:$L$2005,'Sales Invoices'!$Q$5:$Q$2005,$A66,'Sales Invoices'!$B$5:$B$2005,"&lt;"&amp;ReportFrom)+SUMIFS('Sales Invoices'!$M$5:$M$2005,'Sales Invoices'!$S$5:$S$2005,$A66,'Sales Invoices'!$B$5:$B$2005,"&lt;"&amp;ReportFrom)))</f>
        <v/>
      </c>
      <c r="Y66" s="25">
        <f>IF($A66="",0,SUMIFS('Sales Invoices'!$O$5:$O$2005,'Sales Invoices'!$P$5:$P$2005,$A66,'Sales Invoices'!$B$5:$B$2005,"&gt;="&amp;ReportFrom,'Sales Invoices'!$B$5:$B$2005,"&lt;="&amp;ReportTo)+SUMIFS('Sales Invoices'!$N$5:$N$2005,'Sales Invoices'!$R$5:$R$2005,$A66,'Sales Invoices'!$B$5:$B$2005,"&gt;="&amp;ReportFrom,'Sales Invoices'!$B$5:$B$2005,"&lt;="&amp;ReportTo))</f>
        <v/>
      </c>
      <c r="Z66" s="25">
        <f>IF($A66="",0,SUMIFS('Sales Invoices'!$L$5:$L$2005,'Sales Invoices'!$Q$5:$Q$2005,$A66,'Sales Invoices'!$B$5:$B$2005,"&gt;="&amp;ReportFrom,'Sales Invoices'!$B$5:$B$2005,"&lt;="&amp;ReportTo)+SUMIFS('Sales Invoices'!$M$5:$M$2005,'Sales Invoices'!$S$5:$S$2005,$A66,'Sales Invoices'!$B$5:$B$2005,"&gt;="&amp;ReportFrom,'Sales Invoices'!$B$5:$B$2005,"&lt;="&amp;ReportTo))</f>
        <v/>
      </c>
      <c r="AA66" s="25">
        <f>IF($A66="",0,(SUMIFS('Payment Vouchers'!$D$5:$D$2005,'Payment Vouchers'!$J$5:$J$2005,$A66,'Payment Vouchers'!$A$5:$A$2005,"&lt;"&amp;ReportFrom))-(SUMIFS('Payment Vouchers'!$D$5:$D$2005,'Payment Vouchers'!$K$5:$K$2005,$A66,'Payment Vouchers'!$A$5:$A$2005,"&lt;"&amp;ReportFrom)))</f>
        <v/>
      </c>
      <c r="AB66" s="25">
        <f>IF($A66="",0,SUMIFS('Payment Vouchers'!$D$5:$D$2005,'Payment Vouchers'!$J$5:$J$2005,$A66,'Payment Vouchers'!$A$5:$A$2005,"&gt;="&amp;ReportFrom,'Payment Vouchers'!$A$5:$A$2005,"&lt;="&amp;ReportTo))</f>
        <v/>
      </c>
      <c r="AC66" s="25">
        <f>IF($A66="",0,SUMIFS('Payment Vouchers'!$D$5:$D$2005,'Payment Vouchers'!$K$5:$K$2005,$A66,'Payment Vouchers'!$A$5:$A$2005,"&gt;="&amp;ReportFrom,'Payment Vouchers'!$A$5:$A$2005,"&lt;="&amp;ReportTo))</f>
        <v/>
      </c>
      <c r="AD66" s="25">
        <f>IF($A66="",0,(SUMIFS('Partner Transactions'!$D$5:$D$2005,'Partner Transactions'!$L$5:$L$2005,$A66,'Partner Transactions'!$A$5:$A$2005,"&lt;"&amp;ReportFrom))-(SUMIFS('Partner Transactions'!$D$5:$D$2005,'Partner Transactions'!$M$5:$M$2005,$A66,'Partner Transactions'!$A$5:$A$2005,"&lt;"&amp;ReportFrom)))</f>
        <v/>
      </c>
      <c r="AE66" s="25">
        <f>IF($A66="",0,SUMIFS('Partner Transactions'!$D$5:$D$2005,'Partner Transactions'!$L$5:$L$2005,$A66,'Partner Transactions'!$A$5:$A$2005,"&gt;="&amp;ReportFrom,'Partner Transactions'!$A$5:$A$2005,"&lt;="&amp;ReportTo))</f>
        <v/>
      </c>
      <c r="AF66" s="25">
        <f>IF($A66="",0,SUMIFS('Partner Transactions'!$D$5:$D$2005,'Partner Transactions'!$M$5:$M$2005,$A66,'Partner Transactions'!$A$5:$A$2005,"&gt;="&amp;ReportFrom,'Partner Transactions'!$A$5:$A$2005,"&lt;="&amp;ReportTo))</f>
        <v/>
      </c>
      <c r="AG66" s="25">
        <f>IF($A66="",0,(SUMIFS('Stock Moves'!$S$5:$S$2005,'Stock Moves'!$AD$5:$AD$2005,$A66,'Stock Moves'!$A$5:$A$2005,"&lt;"&amp;ReportFrom)+SUMIFS('Stock Moves'!$T$5:$T$2005,'Stock Moves'!$V$5:$V$2005,$A66,'Stock Moves'!$A$5:$A$2005,"&lt;"&amp;ReportFrom))-(SUMIFS('Stock Moves'!$AF$5:$AF$2005,'Stock Moves'!$AE$5:$AE$2005,$A66,'Stock Moves'!$A$5:$A$2005,"&lt;"&amp;ReportFrom)+SUMIFS('Stock Moves'!$AC$5:$AC$2005,'Stock Moves'!$X$5:$X$2005,$A66,'Stock Moves'!$A$5:$A$2005,"&lt;"&amp;ReportFrom)+SUMIFS('Stock Moves'!$U$5:$U$2005,'Stock Moves'!$W$5:$W$2005,$A66,'Stock Moves'!$A$5:$A$2005,"&lt;"&amp;ReportFrom)))</f>
        <v/>
      </c>
      <c r="AH66" s="25">
        <f>IF($A66="",0,SUMIFS('Stock Moves'!$S$5:$S$2005,'Stock Moves'!$AD$5:$AD$2005,$A66,'Stock Moves'!$A$5:$A$2005,"&gt;="&amp;ReportFrom,'Stock Moves'!$A$5:$A$2005,"&lt;="&amp;ReportTo)+SUMIFS('Stock Moves'!$T$5:$T$2005,'Stock Moves'!$V$5:$V$2005,$A66,'Stock Moves'!$A$5:$A$2005,"&gt;="&amp;ReportFrom,'Stock Moves'!$A$5:$A$2005,"&lt;="&amp;ReportTo))</f>
        <v/>
      </c>
      <c r="AI66" s="25">
        <f>IF($A66="",0,SUMIFS('Stock Moves'!$AF$5:$AF$2005,'Stock Moves'!$AE$5:$AE$2005,$A66,'Stock Moves'!$A$5:$A$2005,"&gt;="&amp;ReportFrom,'Stock Moves'!$A$5:$A$2005,"&lt;="&amp;ReportTo)+SUMIFS('Stock Moves'!$AC$5:$AC$2005,'Stock Moves'!$X$5:$X$2005,$A66,'Stock Moves'!$A$5:$A$2005,"&gt;="&amp;ReportFrom,'Stock Moves'!$A$5:$A$2005,"&lt;="&amp;ReportTo)+SUMIFS('Stock Moves'!$U$5:$U$2005,'Stock Moves'!$W$5:$W$2005,$A66,'Stock Moves'!$A$5:$A$2005,"&gt;="&amp;ReportFrom,'Stock Moves'!$A$5:$A$2005,"&lt;="&amp;ReportTo))</f>
        <v/>
      </c>
      <c r="AJ66" s="25">
        <f>IF($A66="",0,(SUMIFS('Journal Vouchers'!$I$5:$I$2005,'Journal Vouchers'!$H$5:$H$2005,$A66,'Journal Vouchers'!$B$5:$B$2005,"&lt;"&amp;ReportFrom))-(SUMIFS('Journal Vouchers'!$J$5:$J$2005,'Journal Vouchers'!$H$5:$H$2005,$A66,'Journal Vouchers'!$B$5:$B$2005,"&lt;"&amp;ReportFrom)))</f>
        <v/>
      </c>
      <c r="AK66" s="25">
        <f>IF($A66="",0,SUMIFS('Journal Vouchers'!$I$5:$I$2005,'Journal Vouchers'!$H$5:$H$2005,$A66,'Journal Vouchers'!$B$5:$B$2005,"&gt;="&amp;ReportFrom,'Journal Vouchers'!$B$5:$B$2005,"&lt;="&amp;ReportTo))</f>
        <v/>
      </c>
      <c r="AL66" s="25">
        <f>IF($A66="",0,SUMIFS('Journal Vouchers'!$J$5:$J$2005,'Journal Vouchers'!$H$5:$H$2005,$A66,'Journal Vouchers'!$B$5:$B$2005,"&gt;="&amp;ReportFrom,'Journal Vouchers'!$B$5:$B$2005,"&lt;="&amp;ReportTo))</f>
        <v/>
      </c>
    </row>
    <row r="67">
      <c r="A67" s="25">
        <f>IF('Chart of Accounts'!A67="","",'Chart of Accounts'!A67&amp;"")</f>
        <v/>
      </c>
      <c r="B67" s="25">
        <f>IF(A67="","",'Chart of Accounts'!B67)</f>
        <v/>
      </c>
      <c r="C67" s="25">
        <f>IF(A67="","",'Chart of Accounts'!C67)</f>
        <v/>
      </c>
      <c r="D67" s="25">
        <f>IF(A67="","",'Chart of Accounts'!D67)</f>
        <v/>
      </c>
      <c r="E67" s="26">
        <f>L67+O67+R67+U67+X67+AA67+AD67+AG67+AJ67</f>
        <v/>
      </c>
      <c r="F67" s="26">
        <f>M67+P67+S67+V67+Y67+AB67+AE67+AH67+AK67</f>
        <v/>
      </c>
      <c r="G67" s="26">
        <f>N67+Q67+T67+W67+Z67+AC67+AF67+AI67+AL67</f>
        <v/>
      </c>
      <c r="H67" s="26">
        <f>E67+F67-G67</f>
        <v/>
      </c>
      <c r="I67" s="26">
        <f>MAX(H67,0)</f>
        <v/>
      </c>
      <c r="J67" s="26">
        <f>MAX(-H67,0)</f>
        <v/>
      </c>
      <c r="L67" s="25">
        <f>IF($A67="",0,(SUMIFS('Direct Costs'!$R$5:$R$2005,'Direct Costs'!$V$5:$V$2005,$A67,'Direct Costs'!$A$5:$A$2005,"&lt;"&amp;ReportFrom)+SUMIFS('Direct Costs'!$S$5:$S$2005,'Direct Costs'!$Y$5:$Y$2005,$A67,'Direct Costs'!$A$5:$A$2005,"&lt;"&amp;ReportFrom))-(SUMIFS('Direct Costs'!$L$5:$L$2005,'Direct Costs'!$W$5:$W$2005,$A67,'Direct Costs'!$A$5:$A$2005,"&lt;"&amp;ReportFrom)+SUMIFS('Direct Costs'!$U$5:$U$2005,'Direct Costs'!$X$5:$X$2005,$A67,'Direct Costs'!$A$5:$A$2005,"&lt;"&amp;ReportFrom)+SUMIFS('Direct Costs'!$T$5:$T$2005,'Direct Costs'!$Z$5:$Z$2005,$A67,'Direct Costs'!$A$5:$A$2005,"&lt;"&amp;ReportFrom)))</f>
        <v/>
      </c>
      <c r="M67" s="25">
        <f>IF($A67="",0,SUMIFS('Direct Costs'!$R$5:$R$2005,'Direct Costs'!$V$5:$V$2005,$A67,'Direct Costs'!$A$5:$A$2005,"&gt;="&amp;ReportFrom,'Direct Costs'!$A$5:$A$2005,"&lt;="&amp;ReportTo)+SUMIFS('Direct Costs'!$S$5:$S$2005,'Direct Costs'!$Y$5:$Y$2005,$A67,'Direct Costs'!$A$5:$A$2005,"&gt;="&amp;ReportFrom,'Direct Costs'!$A$5:$A$2005,"&lt;="&amp;ReportTo))</f>
        <v/>
      </c>
      <c r="N67" s="25">
        <f>IF($A67="",0,SUMIFS('Direct Costs'!$L$5:$L$2005,'Direct Costs'!$W$5:$W$2005,$A67,'Direct Costs'!$A$5:$A$2005,"&gt;="&amp;ReportFrom,'Direct Costs'!$A$5:$A$2005,"&lt;="&amp;ReportTo)+SUMIFS('Direct Costs'!$U$5:$U$2005,'Direct Costs'!$X$5:$X$2005,$A67,'Direct Costs'!$A$5:$A$2005,"&gt;="&amp;ReportFrom,'Direct Costs'!$A$5:$A$2005,"&lt;="&amp;ReportTo)+SUMIFS('Direct Costs'!$T$5:$T$2005,'Direct Costs'!$Z$5:$Z$2005,$A67,'Direct Costs'!$A$5:$A$2005,"&gt;="&amp;ReportFrom,'Direct Costs'!$A$5:$A$2005,"&lt;="&amp;ReportTo))</f>
        <v/>
      </c>
      <c r="O67" s="25">
        <f>IF($A67="",0,(SUMIFS('Operating Expenses'!$F$5:$F$2005,'Operating Expenses'!$Q$5:$Q$2005,$A67,'Operating Expenses'!$A$5:$A$2005,"&lt;"&amp;ReportFrom)+SUMIFS('Operating Expenses'!$M$5:$M$2005,'Operating Expenses'!$T$5:$T$2005,$A67,'Operating Expenses'!$A$5:$A$2005,"&lt;"&amp;ReportFrom))-(SUMIFS('Operating Expenses'!$O$5:$O$2005,'Operating Expenses'!$R$5:$R$2005,$A67,'Operating Expenses'!$A$5:$A$2005,"&lt;"&amp;ReportFrom)+SUMIFS('Operating Expenses'!$P$5:$P$2005,'Operating Expenses'!$S$5:$S$2005,$A67,'Operating Expenses'!$A$5:$A$2005,"&lt;"&amp;ReportFrom)+SUMIFS('Operating Expenses'!$N$5:$N$2005,'Operating Expenses'!$U$5:$U$2005,$A67,'Operating Expenses'!$A$5:$A$2005,"&lt;"&amp;ReportFrom)))</f>
        <v/>
      </c>
      <c r="P67" s="25">
        <f>IF($A67="",0,SUMIFS('Operating Expenses'!$F$5:$F$2005,'Operating Expenses'!$Q$5:$Q$2005,$A67,'Operating Expenses'!$A$5:$A$2005,"&gt;="&amp;ReportFrom,'Operating Expenses'!$A$5:$A$2005,"&lt;="&amp;ReportTo)+SUMIFS('Operating Expenses'!$M$5:$M$2005,'Operating Expenses'!$T$5:$T$2005,$A67,'Operating Expenses'!$A$5:$A$2005,"&gt;="&amp;ReportFrom,'Operating Expenses'!$A$5:$A$2005,"&lt;="&amp;ReportTo))</f>
        <v/>
      </c>
      <c r="Q67" s="25">
        <f>IF($A67="",0,SUMIFS('Operating Expenses'!$O$5:$O$2005,'Operating Expenses'!$R$5:$R$2005,$A67,'Operating Expenses'!$A$5:$A$2005,"&gt;="&amp;ReportFrom,'Operating Expenses'!$A$5:$A$2005,"&lt;="&amp;ReportTo)+SUMIFS('Operating Expenses'!$P$5:$P$2005,'Operating Expenses'!$S$5:$S$2005,$A67,'Operating Expenses'!$A$5:$A$2005,"&gt;="&amp;ReportFrom,'Operating Expenses'!$A$5:$A$2005,"&lt;="&amp;ReportTo)+SUMIFS('Operating Expenses'!$N$5:$N$2005,'Operating Expenses'!$U$5:$U$2005,$A67,'Operating Expenses'!$A$5:$A$2005,"&gt;="&amp;ReportFrom,'Operating Expenses'!$A$5:$A$2005,"&lt;="&amp;ReportTo))</f>
        <v/>
      </c>
      <c r="R67" s="25">
        <f>IF($A67="",0,(SUMIFS('Payroll'!$O$5:$O$2005,'Payroll'!$Q$5:$Q$2005,$A67,'Payroll'!$A$5:$A$2005,"&lt;"&amp;ReportFrom))-(SUMIFS('Payroll'!$K$5:$K$2005,'Payroll'!$R$5:$R$2005,$A67,'Payroll'!$A$5:$A$2005,"&lt;"&amp;ReportFrom)+SUMIFS('Payroll'!$P$5:$P$2005,'Payroll'!$S$5:$S$2005,$A67,'Payroll'!$A$5:$A$2005,"&lt;"&amp;ReportFrom)))</f>
        <v/>
      </c>
      <c r="S67" s="25">
        <f>IF($A67="",0,SUMIFS('Payroll'!$O$5:$O$2005,'Payroll'!$Q$5:$Q$2005,$A67,'Payroll'!$A$5:$A$2005,"&gt;="&amp;ReportFrom,'Payroll'!$A$5:$A$2005,"&lt;="&amp;ReportTo))</f>
        <v/>
      </c>
      <c r="T67" s="25">
        <f>IF($A67="",0,SUMIFS('Payroll'!$K$5:$K$2005,'Payroll'!$R$5:$R$2005,$A67,'Payroll'!$A$5:$A$2005,"&gt;="&amp;ReportFrom,'Payroll'!$A$5:$A$2005,"&lt;="&amp;ReportTo)+SUMIFS('Payroll'!$P$5:$P$2005,'Payroll'!$S$5:$S$2005,$A67,'Payroll'!$A$5:$A$2005,"&gt;="&amp;ReportFrom,'Payroll'!$A$5:$A$2005,"&lt;="&amp;ReportTo))</f>
        <v/>
      </c>
      <c r="U67" s="25">
        <f>IF($A67="",0,(SUMIFS('Receipt Vouchers'!$F$5:$F$2005,'Receipt Vouchers'!$O$5:$O$2005,$A67,'Receipt Vouchers'!$A$5:$A$2005,"&lt;"&amp;ReportFrom)+SUMIFS('Receipt Vouchers'!$J$5:$J$2005,'Receipt Vouchers'!$Q$5:$Q$2005,$A67,'Receipt Vouchers'!$A$5:$A$2005,"&lt;"&amp;ReportFrom))-(SUMIFS('Receipt Vouchers'!$N$5:$N$2005,'Receipt Vouchers'!$P$5:$P$2005,$A67,'Receipt Vouchers'!$A$5:$A$2005,"&lt;"&amp;ReportFrom)+SUMIFS('Receipt Vouchers'!$M$5:$M$2005,'Receipt Vouchers'!$R$5:$R$2005,$A67,'Receipt Vouchers'!$A$5:$A$2005,"&lt;"&amp;ReportFrom)))</f>
        <v/>
      </c>
      <c r="V67" s="25">
        <f>IF($A67="",0,SUMIFS('Receipt Vouchers'!$F$5:$F$2005,'Receipt Vouchers'!$O$5:$O$2005,$A67,'Receipt Vouchers'!$A$5:$A$2005,"&gt;="&amp;ReportFrom,'Receipt Vouchers'!$A$5:$A$2005,"&lt;="&amp;ReportTo)+SUMIFS('Receipt Vouchers'!$J$5:$J$2005,'Receipt Vouchers'!$Q$5:$Q$2005,$A67,'Receipt Vouchers'!$A$5:$A$2005,"&gt;="&amp;ReportFrom,'Receipt Vouchers'!$A$5:$A$2005,"&lt;="&amp;ReportTo))</f>
        <v/>
      </c>
      <c r="W67" s="25">
        <f>IF($A67="",0,SUMIFS('Receipt Vouchers'!$N$5:$N$2005,'Receipt Vouchers'!$P$5:$P$2005,$A67,'Receipt Vouchers'!$A$5:$A$2005,"&gt;="&amp;ReportFrom,'Receipt Vouchers'!$A$5:$A$2005,"&lt;="&amp;ReportTo)+SUMIFS('Receipt Vouchers'!$M$5:$M$2005,'Receipt Vouchers'!$R$5:$R$2005,$A67,'Receipt Vouchers'!$A$5:$A$2005,"&gt;="&amp;ReportFrom,'Receipt Vouchers'!$A$5:$A$2005,"&lt;="&amp;ReportTo))</f>
        <v/>
      </c>
      <c r="X67" s="25">
        <f>IF($A67="",0,(SUMIFS('Sales Invoices'!$O$5:$O$2005,'Sales Invoices'!$P$5:$P$2005,$A67,'Sales Invoices'!$B$5:$B$2005,"&lt;"&amp;ReportFrom)+SUMIFS('Sales Invoices'!$N$5:$N$2005,'Sales Invoices'!$R$5:$R$2005,$A67,'Sales Invoices'!$B$5:$B$2005,"&lt;"&amp;ReportFrom))-(SUMIFS('Sales Invoices'!$L$5:$L$2005,'Sales Invoices'!$Q$5:$Q$2005,$A67,'Sales Invoices'!$B$5:$B$2005,"&lt;"&amp;ReportFrom)+SUMIFS('Sales Invoices'!$M$5:$M$2005,'Sales Invoices'!$S$5:$S$2005,$A67,'Sales Invoices'!$B$5:$B$2005,"&lt;"&amp;ReportFrom)))</f>
        <v/>
      </c>
      <c r="Y67" s="25">
        <f>IF($A67="",0,SUMIFS('Sales Invoices'!$O$5:$O$2005,'Sales Invoices'!$P$5:$P$2005,$A67,'Sales Invoices'!$B$5:$B$2005,"&gt;="&amp;ReportFrom,'Sales Invoices'!$B$5:$B$2005,"&lt;="&amp;ReportTo)+SUMIFS('Sales Invoices'!$N$5:$N$2005,'Sales Invoices'!$R$5:$R$2005,$A67,'Sales Invoices'!$B$5:$B$2005,"&gt;="&amp;ReportFrom,'Sales Invoices'!$B$5:$B$2005,"&lt;="&amp;ReportTo))</f>
        <v/>
      </c>
      <c r="Z67" s="25">
        <f>IF($A67="",0,SUMIFS('Sales Invoices'!$L$5:$L$2005,'Sales Invoices'!$Q$5:$Q$2005,$A67,'Sales Invoices'!$B$5:$B$2005,"&gt;="&amp;ReportFrom,'Sales Invoices'!$B$5:$B$2005,"&lt;="&amp;ReportTo)+SUMIFS('Sales Invoices'!$M$5:$M$2005,'Sales Invoices'!$S$5:$S$2005,$A67,'Sales Invoices'!$B$5:$B$2005,"&gt;="&amp;ReportFrom,'Sales Invoices'!$B$5:$B$2005,"&lt;="&amp;ReportTo))</f>
        <v/>
      </c>
      <c r="AA67" s="25">
        <f>IF($A67="",0,(SUMIFS('Payment Vouchers'!$D$5:$D$2005,'Payment Vouchers'!$J$5:$J$2005,$A67,'Payment Vouchers'!$A$5:$A$2005,"&lt;"&amp;ReportFrom))-(SUMIFS('Payment Vouchers'!$D$5:$D$2005,'Payment Vouchers'!$K$5:$K$2005,$A67,'Payment Vouchers'!$A$5:$A$2005,"&lt;"&amp;ReportFrom)))</f>
        <v/>
      </c>
      <c r="AB67" s="25">
        <f>IF($A67="",0,SUMIFS('Payment Vouchers'!$D$5:$D$2005,'Payment Vouchers'!$J$5:$J$2005,$A67,'Payment Vouchers'!$A$5:$A$2005,"&gt;="&amp;ReportFrom,'Payment Vouchers'!$A$5:$A$2005,"&lt;="&amp;ReportTo))</f>
        <v/>
      </c>
      <c r="AC67" s="25">
        <f>IF($A67="",0,SUMIFS('Payment Vouchers'!$D$5:$D$2005,'Payment Vouchers'!$K$5:$K$2005,$A67,'Payment Vouchers'!$A$5:$A$2005,"&gt;="&amp;ReportFrom,'Payment Vouchers'!$A$5:$A$2005,"&lt;="&amp;ReportTo))</f>
        <v/>
      </c>
      <c r="AD67" s="25">
        <f>IF($A67="",0,(SUMIFS('Partner Transactions'!$D$5:$D$2005,'Partner Transactions'!$L$5:$L$2005,$A67,'Partner Transactions'!$A$5:$A$2005,"&lt;"&amp;ReportFrom))-(SUMIFS('Partner Transactions'!$D$5:$D$2005,'Partner Transactions'!$M$5:$M$2005,$A67,'Partner Transactions'!$A$5:$A$2005,"&lt;"&amp;ReportFrom)))</f>
        <v/>
      </c>
      <c r="AE67" s="25">
        <f>IF($A67="",0,SUMIFS('Partner Transactions'!$D$5:$D$2005,'Partner Transactions'!$L$5:$L$2005,$A67,'Partner Transactions'!$A$5:$A$2005,"&gt;="&amp;ReportFrom,'Partner Transactions'!$A$5:$A$2005,"&lt;="&amp;ReportTo))</f>
        <v/>
      </c>
      <c r="AF67" s="25">
        <f>IF($A67="",0,SUMIFS('Partner Transactions'!$D$5:$D$2005,'Partner Transactions'!$M$5:$M$2005,$A67,'Partner Transactions'!$A$5:$A$2005,"&gt;="&amp;ReportFrom,'Partner Transactions'!$A$5:$A$2005,"&lt;="&amp;ReportTo))</f>
        <v/>
      </c>
      <c r="AG67" s="25">
        <f>IF($A67="",0,(SUMIFS('Stock Moves'!$S$5:$S$2005,'Stock Moves'!$AD$5:$AD$2005,$A67,'Stock Moves'!$A$5:$A$2005,"&lt;"&amp;ReportFrom)+SUMIFS('Stock Moves'!$T$5:$T$2005,'Stock Moves'!$V$5:$V$2005,$A67,'Stock Moves'!$A$5:$A$2005,"&lt;"&amp;ReportFrom))-(SUMIFS('Stock Moves'!$AF$5:$AF$2005,'Stock Moves'!$AE$5:$AE$2005,$A67,'Stock Moves'!$A$5:$A$2005,"&lt;"&amp;ReportFrom)+SUMIFS('Stock Moves'!$AC$5:$AC$2005,'Stock Moves'!$X$5:$X$2005,$A67,'Stock Moves'!$A$5:$A$2005,"&lt;"&amp;ReportFrom)+SUMIFS('Stock Moves'!$U$5:$U$2005,'Stock Moves'!$W$5:$W$2005,$A67,'Stock Moves'!$A$5:$A$2005,"&lt;"&amp;ReportFrom)))</f>
        <v/>
      </c>
      <c r="AH67" s="25">
        <f>IF($A67="",0,SUMIFS('Stock Moves'!$S$5:$S$2005,'Stock Moves'!$AD$5:$AD$2005,$A67,'Stock Moves'!$A$5:$A$2005,"&gt;="&amp;ReportFrom,'Stock Moves'!$A$5:$A$2005,"&lt;="&amp;ReportTo)+SUMIFS('Stock Moves'!$T$5:$T$2005,'Stock Moves'!$V$5:$V$2005,$A67,'Stock Moves'!$A$5:$A$2005,"&gt;="&amp;ReportFrom,'Stock Moves'!$A$5:$A$2005,"&lt;="&amp;ReportTo))</f>
        <v/>
      </c>
      <c r="AI67" s="25">
        <f>IF($A67="",0,SUMIFS('Stock Moves'!$AF$5:$AF$2005,'Stock Moves'!$AE$5:$AE$2005,$A67,'Stock Moves'!$A$5:$A$2005,"&gt;="&amp;ReportFrom,'Stock Moves'!$A$5:$A$2005,"&lt;="&amp;ReportTo)+SUMIFS('Stock Moves'!$AC$5:$AC$2005,'Stock Moves'!$X$5:$X$2005,$A67,'Stock Moves'!$A$5:$A$2005,"&gt;="&amp;ReportFrom,'Stock Moves'!$A$5:$A$2005,"&lt;="&amp;ReportTo)+SUMIFS('Stock Moves'!$U$5:$U$2005,'Stock Moves'!$W$5:$W$2005,$A67,'Stock Moves'!$A$5:$A$2005,"&gt;="&amp;ReportFrom,'Stock Moves'!$A$5:$A$2005,"&lt;="&amp;ReportTo))</f>
        <v/>
      </c>
      <c r="AJ67" s="25">
        <f>IF($A67="",0,(SUMIFS('Journal Vouchers'!$I$5:$I$2005,'Journal Vouchers'!$H$5:$H$2005,$A67,'Journal Vouchers'!$B$5:$B$2005,"&lt;"&amp;ReportFrom))-(SUMIFS('Journal Vouchers'!$J$5:$J$2005,'Journal Vouchers'!$H$5:$H$2005,$A67,'Journal Vouchers'!$B$5:$B$2005,"&lt;"&amp;ReportFrom)))</f>
        <v/>
      </c>
      <c r="AK67" s="25">
        <f>IF($A67="",0,SUMIFS('Journal Vouchers'!$I$5:$I$2005,'Journal Vouchers'!$H$5:$H$2005,$A67,'Journal Vouchers'!$B$5:$B$2005,"&gt;="&amp;ReportFrom,'Journal Vouchers'!$B$5:$B$2005,"&lt;="&amp;ReportTo))</f>
        <v/>
      </c>
      <c r="AL67" s="25">
        <f>IF($A67="",0,SUMIFS('Journal Vouchers'!$J$5:$J$2005,'Journal Vouchers'!$H$5:$H$2005,$A67,'Journal Vouchers'!$B$5:$B$2005,"&gt;="&amp;ReportFrom,'Journal Vouchers'!$B$5:$B$2005,"&lt;="&amp;ReportTo))</f>
        <v/>
      </c>
    </row>
    <row r="68">
      <c r="A68" s="25">
        <f>IF('Chart of Accounts'!A68="","",'Chart of Accounts'!A68&amp;"")</f>
        <v/>
      </c>
      <c r="B68" s="25">
        <f>IF(A68="","",'Chart of Accounts'!B68)</f>
        <v/>
      </c>
      <c r="C68" s="25">
        <f>IF(A68="","",'Chart of Accounts'!C68)</f>
        <v/>
      </c>
      <c r="D68" s="25">
        <f>IF(A68="","",'Chart of Accounts'!D68)</f>
        <v/>
      </c>
      <c r="E68" s="26">
        <f>L68+O68+R68+U68+X68+AA68+AD68+AG68+AJ68</f>
        <v/>
      </c>
      <c r="F68" s="26">
        <f>M68+P68+S68+V68+Y68+AB68+AE68+AH68+AK68</f>
        <v/>
      </c>
      <c r="G68" s="26">
        <f>N68+Q68+T68+W68+Z68+AC68+AF68+AI68+AL68</f>
        <v/>
      </c>
      <c r="H68" s="26">
        <f>E68+F68-G68</f>
        <v/>
      </c>
      <c r="I68" s="26">
        <f>MAX(H68,0)</f>
        <v/>
      </c>
      <c r="J68" s="26">
        <f>MAX(-H68,0)</f>
        <v/>
      </c>
      <c r="L68" s="25">
        <f>IF($A68="",0,(SUMIFS('Direct Costs'!$R$5:$R$2005,'Direct Costs'!$V$5:$V$2005,$A68,'Direct Costs'!$A$5:$A$2005,"&lt;"&amp;ReportFrom)+SUMIFS('Direct Costs'!$S$5:$S$2005,'Direct Costs'!$Y$5:$Y$2005,$A68,'Direct Costs'!$A$5:$A$2005,"&lt;"&amp;ReportFrom))-(SUMIFS('Direct Costs'!$L$5:$L$2005,'Direct Costs'!$W$5:$W$2005,$A68,'Direct Costs'!$A$5:$A$2005,"&lt;"&amp;ReportFrom)+SUMIFS('Direct Costs'!$U$5:$U$2005,'Direct Costs'!$X$5:$X$2005,$A68,'Direct Costs'!$A$5:$A$2005,"&lt;"&amp;ReportFrom)+SUMIFS('Direct Costs'!$T$5:$T$2005,'Direct Costs'!$Z$5:$Z$2005,$A68,'Direct Costs'!$A$5:$A$2005,"&lt;"&amp;ReportFrom)))</f>
        <v/>
      </c>
      <c r="M68" s="25">
        <f>IF($A68="",0,SUMIFS('Direct Costs'!$R$5:$R$2005,'Direct Costs'!$V$5:$V$2005,$A68,'Direct Costs'!$A$5:$A$2005,"&gt;="&amp;ReportFrom,'Direct Costs'!$A$5:$A$2005,"&lt;="&amp;ReportTo)+SUMIFS('Direct Costs'!$S$5:$S$2005,'Direct Costs'!$Y$5:$Y$2005,$A68,'Direct Costs'!$A$5:$A$2005,"&gt;="&amp;ReportFrom,'Direct Costs'!$A$5:$A$2005,"&lt;="&amp;ReportTo))</f>
        <v/>
      </c>
      <c r="N68" s="25">
        <f>IF($A68="",0,SUMIFS('Direct Costs'!$L$5:$L$2005,'Direct Costs'!$W$5:$W$2005,$A68,'Direct Costs'!$A$5:$A$2005,"&gt;="&amp;ReportFrom,'Direct Costs'!$A$5:$A$2005,"&lt;="&amp;ReportTo)+SUMIFS('Direct Costs'!$U$5:$U$2005,'Direct Costs'!$X$5:$X$2005,$A68,'Direct Costs'!$A$5:$A$2005,"&gt;="&amp;ReportFrom,'Direct Costs'!$A$5:$A$2005,"&lt;="&amp;ReportTo)+SUMIFS('Direct Costs'!$T$5:$T$2005,'Direct Costs'!$Z$5:$Z$2005,$A68,'Direct Costs'!$A$5:$A$2005,"&gt;="&amp;ReportFrom,'Direct Costs'!$A$5:$A$2005,"&lt;="&amp;ReportTo))</f>
        <v/>
      </c>
      <c r="O68" s="25">
        <f>IF($A68="",0,(SUMIFS('Operating Expenses'!$F$5:$F$2005,'Operating Expenses'!$Q$5:$Q$2005,$A68,'Operating Expenses'!$A$5:$A$2005,"&lt;"&amp;ReportFrom)+SUMIFS('Operating Expenses'!$M$5:$M$2005,'Operating Expenses'!$T$5:$T$2005,$A68,'Operating Expenses'!$A$5:$A$2005,"&lt;"&amp;ReportFrom))-(SUMIFS('Operating Expenses'!$O$5:$O$2005,'Operating Expenses'!$R$5:$R$2005,$A68,'Operating Expenses'!$A$5:$A$2005,"&lt;"&amp;ReportFrom)+SUMIFS('Operating Expenses'!$P$5:$P$2005,'Operating Expenses'!$S$5:$S$2005,$A68,'Operating Expenses'!$A$5:$A$2005,"&lt;"&amp;ReportFrom)+SUMIFS('Operating Expenses'!$N$5:$N$2005,'Operating Expenses'!$U$5:$U$2005,$A68,'Operating Expenses'!$A$5:$A$2005,"&lt;"&amp;ReportFrom)))</f>
        <v/>
      </c>
      <c r="P68" s="25">
        <f>IF($A68="",0,SUMIFS('Operating Expenses'!$F$5:$F$2005,'Operating Expenses'!$Q$5:$Q$2005,$A68,'Operating Expenses'!$A$5:$A$2005,"&gt;="&amp;ReportFrom,'Operating Expenses'!$A$5:$A$2005,"&lt;="&amp;ReportTo)+SUMIFS('Operating Expenses'!$M$5:$M$2005,'Operating Expenses'!$T$5:$T$2005,$A68,'Operating Expenses'!$A$5:$A$2005,"&gt;="&amp;ReportFrom,'Operating Expenses'!$A$5:$A$2005,"&lt;="&amp;ReportTo))</f>
        <v/>
      </c>
      <c r="Q68" s="25">
        <f>IF($A68="",0,SUMIFS('Operating Expenses'!$O$5:$O$2005,'Operating Expenses'!$R$5:$R$2005,$A68,'Operating Expenses'!$A$5:$A$2005,"&gt;="&amp;ReportFrom,'Operating Expenses'!$A$5:$A$2005,"&lt;="&amp;ReportTo)+SUMIFS('Operating Expenses'!$P$5:$P$2005,'Operating Expenses'!$S$5:$S$2005,$A68,'Operating Expenses'!$A$5:$A$2005,"&gt;="&amp;ReportFrom,'Operating Expenses'!$A$5:$A$2005,"&lt;="&amp;ReportTo)+SUMIFS('Operating Expenses'!$N$5:$N$2005,'Operating Expenses'!$U$5:$U$2005,$A68,'Operating Expenses'!$A$5:$A$2005,"&gt;="&amp;ReportFrom,'Operating Expenses'!$A$5:$A$2005,"&lt;="&amp;ReportTo))</f>
        <v/>
      </c>
      <c r="R68" s="25">
        <f>IF($A68="",0,(SUMIFS('Payroll'!$O$5:$O$2005,'Payroll'!$Q$5:$Q$2005,$A68,'Payroll'!$A$5:$A$2005,"&lt;"&amp;ReportFrom))-(SUMIFS('Payroll'!$K$5:$K$2005,'Payroll'!$R$5:$R$2005,$A68,'Payroll'!$A$5:$A$2005,"&lt;"&amp;ReportFrom)+SUMIFS('Payroll'!$P$5:$P$2005,'Payroll'!$S$5:$S$2005,$A68,'Payroll'!$A$5:$A$2005,"&lt;"&amp;ReportFrom)))</f>
        <v/>
      </c>
      <c r="S68" s="25">
        <f>IF($A68="",0,SUMIFS('Payroll'!$O$5:$O$2005,'Payroll'!$Q$5:$Q$2005,$A68,'Payroll'!$A$5:$A$2005,"&gt;="&amp;ReportFrom,'Payroll'!$A$5:$A$2005,"&lt;="&amp;ReportTo))</f>
        <v/>
      </c>
      <c r="T68" s="25">
        <f>IF($A68="",0,SUMIFS('Payroll'!$K$5:$K$2005,'Payroll'!$R$5:$R$2005,$A68,'Payroll'!$A$5:$A$2005,"&gt;="&amp;ReportFrom,'Payroll'!$A$5:$A$2005,"&lt;="&amp;ReportTo)+SUMIFS('Payroll'!$P$5:$P$2005,'Payroll'!$S$5:$S$2005,$A68,'Payroll'!$A$5:$A$2005,"&gt;="&amp;ReportFrom,'Payroll'!$A$5:$A$2005,"&lt;="&amp;ReportTo))</f>
        <v/>
      </c>
      <c r="U68" s="25">
        <f>IF($A68="",0,(SUMIFS('Receipt Vouchers'!$F$5:$F$2005,'Receipt Vouchers'!$O$5:$O$2005,$A68,'Receipt Vouchers'!$A$5:$A$2005,"&lt;"&amp;ReportFrom)+SUMIFS('Receipt Vouchers'!$J$5:$J$2005,'Receipt Vouchers'!$Q$5:$Q$2005,$A68,'Receipt Vouchers'!$A$5:$A$2005,"&lt;"&amp;ReportFrom))-(SUMIFS('Receipt Vouchers'!$N$5:$N$2005,'Receipt Vouchers'!$P$5:$P$2005,$A68,'Receipt Vouchers'!$A$5:$A$2005,"&lt;"&amp;ReportFrom)+SUMIFS('Receipt Vouchers'!$M$5:$M$2005,'Receipt Vouchers'!$R$5:$R$2005,$A68,'Receipt Vouchers'!$A$5:$A$2005,"&lt;"&amp;ReportFrom)))</f>
        <v/>
      </c>
      <c r="V68" s="25">
        <f>IF($A68="",0,SUMIFS('Receipt Vouchers'!$F$5:$F$2005,'Receipt Vouchers'!$O$5:$O$2005,$A68,'Receipt Vouchers'!$A$5:$A$2005,"&gt;="&amp;ReportFrom,'Receipt Vouchers'!$A$5:$A$2005,"&lt;="&amp;ReportTo)+SUMIFS('Receipt Vouchers'!$J$5:$J$2005,'Receipt Vouchers'!$Q$5:$Q$2005,$A68,'Receipt Vouchers'!$A$5:$A$2005,"&gt;="&amp;ReportFrom,'Receipt Vouchers'!$A$5:$A$2005,"&lt;="&amp;ReportTo))</f>
        <v/>
      </c>
      <c r="W68" s="25">
        <f>IF($A68="",0,SUMIFS('Receipt Vouchers'!$N$5:$N$2005,'Receipt Vouchers'!$P$5:$P$2005,$A68,'Receipt Vouchers'!$A$5:$A$2005,"&gt;="&amp;ReportFrom,'Receipt Vouchers'!$A$5:$A$2005,"&lt;="&amp;ReportTo)+SUMIFS('Receipt Vouchers'!$M$5:$M$2005,'Receipt Vouchers'!$R$5:$R$2005,$A68,'Receipt Vouchers'!$A$5:$A$2005,"&gt;="&amp;ReportFrom,'Receipt Vouchers'!$A$5:$A$2005,"&lt;="&amp;ReportTo))</f>
        <v/>
      </c>
      <c r="X68" s="25">
        <f>IF($A68="",0,(SUMIFS('Sales Invoices'!$O$5:$O$2005,'Sales Invoices'!$P$5:$P$2005,$A68,'Sales Invoices'!$B$5:$B$2005,"&lt;"&amp;ReportFrom)+SUMIFS('Sales Invoices'!$N$5:$N$2005,'Sales Invoices'!$R$5:$R$2005,$A68,'Sales Invoices'!$B$5:$B$2005,"&lt;"&amp;ReportFrom))-(SUMIFS('Sales Invoices'!$L$5:$L$2005,'Sales Invoices'!$Q$5:$Q$2005,$A68,'Sales Invoices'!$B$5:$B$2005,"&lt;"&amp;ReportFrom)+SUMIFS('Sales Invoices'!$M$5:$M$2005,'Sales Invoices'!$S$5:$S$2005,$A68,'Sales Invoices'!$B$5:$B$2005,"&lt;"&amp;ReportFrom)))</f>
        <v/>
      </c>
      <c r="Y68" s="25">
        <f>IF($A68="",0,SUMIFS('Sales Invoices'!$O$5:$O$2005,'Sales Invoices'!$P$5:$P$2005,$A68,'Sales Invoices'!$B$5:$B$2005,"&gt;="&amp;ReportFrom,'Sales Invoices'!$B$5:$B$2005,"&lt;="&amp;ReportTo)+SUMIFS('Sales Invoices'!$N$5:$N$2005,'Sales Invoices'!$R$5:$R$2005,$A68,'Sales Invoices'!$B$5:$B$2005,"&gt;="&amp;ReportFrom,'Sales Invoices'!$B$5:$B$2005,"&lt;="&amp;ReportTo))</f>
        <v/>
      </c>
      <c r="Z68" s="25">
        <f>IF($A68="",0,SUMIFS('Sales Invoices'!$L$5:$L$2005,'Sales Invoices'!$Q$5:$Q$2005,$A68,'Sales Invoices'!$B$5:$B$2005,"&gt;="&amp;ReportFrom,'Sales Invoices'!$B$5:$B$2005,"&lt;="&amp;ReportTo)+SUMIFS('Sales Invoices'!$M$5:$M$2005,'Sales Invoices'!$S$5:$S$2005,$A68,'Sales Invoices'!$B$5:$B$2005,"&gt;="&amp;ReportFrom,'Sales Invoices'!$B$5:$B$2005,"&lt;="&amp;ReportTo))</f>
        <v/>
      </c>
      <c r="AA68" s="25">
        <f>IF($A68="",0,(SUMIFS('Payment Vouchers'!$D$5:$D$2005,'Payment Vouchers'!$J$5:$J$2005,$A68,'Payment Vouchers'!$A$5:$A$2005,"&lt;"&amp;ReportFrom))-(SUMIFS('Payment Vouchers'!$D$5:$D$2005,'Payment Vouchers'!$K$5:$K$2005,$A68,'Payment Vouchers'!$A$5:$A$2005,"&lt;"&amp;ReportFrom)))</f>
        <v/>
      </c>
      <c r="AB68" s="25">
        <f>IF($A68="",0,SUMIFS('Payment Vouchers'!$D$5:$D$2005,'Payment Vouchers'!$J$5:$J$2005,$A68,'Payment Vouchers'!$A$5:$A$2005,"&gt;="&amp;ReportFrom,'Payment Vouchers'!$A$5:$A$2005,"&lt;="&amp;ReportTo))</f>
        <v/>
      </c>
      <c r="AC68" s="25">
        <f>IF($A68="",0,SUMIFS('Payment Vouchers'!$D$5:$D$2005,'Payment Vouchers'!$K$5:$K$2005,$A68,'Payment Vouchers'!$A$5:$A$2005,"&gt;="&amp;ReportFrom,'Payment Vouchers'!$A$5:$A$2005,"&lt;="&amp;ReportTo))</f>
        <v/>
      </c>
      <c r="AD68" s="25">
        <f>IF($A68="",0,(SUMIFS('Partner Transactions'!$D$5:$D$2005,'Partner Transactions'!$L$5:$L$2005,$A68,'Partner Transactions'!$A$5:$A$2005,"&lt;"&amp;ReportFrom))-(SUMIFS('Partner Transactions'!$D$5:$D$2005,'Partner Transactions'!$M$5:$M$2005,$A68,'Partner Transactions'!$A$5:$A$2005,"&lt;"&amp;ReportFrom)))</f>
        <v/>
      </c>
      <c r="AE68" s="25">
        <f>IF($A68="",0,SUMIFS('Partner Transactions'!$D$5:$D$2005,'Partner Transactions'!$L$5:$L$2005,$A68,'Partner Transactions'!$A$5:$A$2005,"&gt;="&amp;ReportFrom,'Partner Transactions'!$A$5:$A$2005,"&lt;="&amp;ReportTo))</f>
        <v/>
      </c>
      <c r="AF68" s="25">
        <f>IF($A68="",0,SUMIFS('Partner Transactions'!$D$5:$D$2005,'Partner Transactions'!$M$5:$M$2005,$A68,'Partner Transactions'!$A$5:$A$2005,"&gt;="&amp;ReportFrom,'Partner Transactions'!$A$5:$A$2005,"&lt;="&amp;ReportTo))</f>
        <v/>
      </c>
      <c r="AG68" s="25">
        <f>IF($A68="",0,(SUMIFS('Stock Moves'!$S$5:$S$2005,'Stock Moves'!$AD$5:$AD$2005,$A68,'Stock Moves'!$A$5:$A$2005,"&lt;"&amp;ReportFrom)+SUMIFS('Stock Moves'!$T$5:$T$2005,'Stock Moves'!$V$5:$V$2005,$A68,'Stock Moves'!$A$5:$A$2005,"&lt;"&amp;ReportFrom))-(SUMIFS('Stock Moves'!$AF$5:$AF$2005,'Stock Moves'!$AE$5:$AE$2005,$A68,'Stock Moves'!$A$5:$A$2005,"&lt;"&amp;ReportFrom)+SUMIFS('Stock Moves'!$AC$5:$AC$2005,'Stock Moves'!$X$5:$X$2005,$A68,'Stock Moves'!$A$5:$A$2005,"&lt;"&amp;ReportFrom)+SUMIFS('Stock Moves'!$U$5:$U$2005,'Stock Moves'!$W$5:$W$2005,$A68,'Stock Moves'!$A$5:$A$2005,"&lt;"&amp;ReportFrom)))</f>
        <v/>
      </c>
      <c r="AH68" s="25">
        <f>IF($A68="",0,SUMIFS('Stock Moves'!$S$5:$S$2005,'Stock Moves'!$AD$5:$AD$2005,$A68,'Stock Moves'!$A$5:$A$2005,"&gt;="&amp;ReportFrom,'Stock Moves'!$A$5:$A$2005,"&lt;="&amp;ReportTo)+SUMIFS('Stock Moves'!$T$5:$T$2005,'Stock Moves'!$V$5:$V$2005,$A68,'Stock Moves'!$A$5:$A$2005,"&gt;="&amp;ReportFrom,'Stock Moves'!$A$5:$A$2005,"&lt;="&amp;ReportTo))</f>
        <v/>
      </c>
      <c r="AI68" s="25">
        <f>IF($A68="",0,SUMIFS('Stock Moves'!$AF$5:$AF$2005,'Stock Moves'!$AE$5:$AE$2005,$A68,'Stock Moves'!$A$5:$A$2005,"&gt;="&amp;ReportFrom,'Stock Moves'!$A$5:$A$2005,"&lt;="&amp;ReportTo)+SUMIFS('Stock Moves'!$AC$5:$AC$2005,'Stock Moves'!$X$5:$X$2005,$A68,'Stock Moves'!$A$5:$A$2005,"&gt;="&amp;ReportFrom,'Stock Moves'!$A$5:$A$2005,"&lt;="&amp;ReportTo)+SUMIFS('Stock Moves'!$U$5:$U$2005,'Stock Moves'!$W$5:$W$2005,$A68,'Stock Moves'!$A$5:$A$2005,"&gt;="&amp;ReportFrom,'Stock Moves'!$A$5:$A$2005,"&lt;="&amp;ReportTo))</f>
        <v/>
      </c>
      <c r="AJ68" s="25">
        <f>IF($A68="",0,(SUMIFS('Journal Vouchers'!$I$5:$I$2005,'Journal Vouchers'!$H$5:$H$2005,$A68,'Journal Vouchers'!$B$5:$B$2005,"&lt;"&amp;ReportFrom))-(SUMIFS('Journal Vouchers'!$J$5:$J$2005,'Journal Vouchers'!$H$5:$H$2005,$A68,'Journal Vouchers'!$B$5:$B$2005,"&lt;"&amp;ReportFrom)))</f>
        <v/>
      </c>
      <c r="AK68" s="25">
        <f>IF($A68="",0,SUMIFS('Journal Vouchers'!$I$5:$I$2005,'Journal Vouchers'!$H$5:$H$2005,$A68,'Journal Vouchers'!$B$5:$B$2005,"&gt;="&amp;ReportFrom,'Journal Vouchers'!$B$5:$B$2005,"&lt;="&amp;ReportTo))</f>
        <v/>
      </c>
      <c r="AL68" s="25">
        <f>IF($A68="",0,SUMIFS('Journal Vouchers'!$J$5:$J$2005,'Journal Vouchers'!$H$5:$H$2005,$A68,'Journal Vouchers'!$B$5:$B$2005,"&gt;="&amp;ReportFrom,'Journal Vouchers'!$B$5:$B$2005,"&lt;="&amp;ReportTo))</f>
        <v/>
      </c>
    </row>
    <row r="69">
      <c r="A69" s="25">
        <f>IF('Chart of Accounts'!A69="","",'Chart of Accounts'!A69&amp;"")</f>
        <v/>
      </c>
      <c r="B69" s="25">
        <f>IF(A69="","",'Chart of Accounts'!B69)</f>
        <v/>
      </c>
      <c r="C69" s="25">
        <f>IF(A69="","",'Chart of Accounts'!C69)</f>
        <v/>
      </c>
      <c r="D69" s="25">
        <f>IF(A69="","",'Chart of Accounts'!D69)</f>
        <v/>
      </c>
      <c r="E69" s="26">
        <f>L69+O69+R69+U69+X69+AA69+AD69+AG69+AJ69</f>
        <v/>
      </c>
      <c r="F69" s="26">
        <f>M69+P69+S69+V69+Y69+AB69+AE69+AH69+AK69</f>
        <v/>
      </c>
      <c r="G69" s="26">
        <f>N69+Q69+T69+W69+Z69+AC69+AF69+AI69+AL69</f>
        <v/>
      </c>
      <c r="H69" s="26">
        <f>E69+F69-G69</f>
        <v/>
      </c>
      <c r="I69" s="26">
        <f>MAX(H69,0)</f>
        <v/>
      </c>
      <c r="J69" s="26">
        <f>MAX(-H69,0)</f>
        <v/>
      </c>
      <c r="L69" s="25">
        <f>IF($A69="",0,(SUMIFS('Direct Costs'!$R$5:$R$2005,'Direct Costs'!$V$5:$V$2005,$A69,'Direct Costs'!$A$5:$A$2005,"&lt;"&amp;ReportFrom)+SUMIFS('Direct Costs'!$S$5:$S$2005,'Direct Costs'!$Y$5:$Y$2005,$A69,'Direct Costs'!$A$5:$A$2005,"&lt;"&amp;ReportFrom))-(SUMIFS('Direct Costs'!$L$5:$L$2005,'Direct Costs'!$W$5:$W$2005,$A69,'Direct Costs'!$A$5:$A$2005,"&lt;"&amp;ReportFrom)+SUMIFS('Direct Costs'!$U$5:$U$2005,'Direct Costs'!$X$5:$X$2005,$A69,'Direct Costs'!$A$5:$A$2005,"&lt;"&amp;ReportFrom)+SUMIFS('Direct Costs'!$T$5:$T$2005,'Direct Costs'!$Z$5:$Z$2005,$A69,'Direct Costs'!$A$5:$A$2005,"&lt;"&amp;ReportFrom)))</f>
        <v/>
      </c>
      <c r="M69" s="25">
        <f>IF($A69="",0,SUMIFS('Direct Costs'!$R$5:$R$2005,'Direct Costs'!$V$5:$V$2005,$A69,'Direct Costs'!$A$5:$A$2005,"&gt;="&amp;ReportFrom,'Direct Costs'!$A$5:$A$2005,"&lt;="&amp;ReportTo)+SUMIFS('Direct Costs'!$S$5:$S$2005,'Direct Costs'!$Y$5:$Y$2005,$A69,'Direct Costs'!$A$5:$A$2005,"&gt;="&amp;ReportFrom,'Direct Costs'!$A$5:$A$2005,"&lt;="&amp;ReportTo))</f>
        <v/>
      </c>
      <c r="N69" s="25">
        <f>IF($A69="",0,SUMIFS('Direct Costs'!$L$5:$L$2005,'Direct Costs'!$W$5:$W$2005,$A69,'Direct Costs'!$A$5:$A$2005,"&gt;="&amp;ReportFrom,'Direct Costs'!$A$5:$A$2005,"&lt;="&amp;ReportTo)+SUMIFS('Direct Costs'!$U$5:$U$2005,'Direct Costs'!$X$5:$X$2005,$A69,'Direct Costs'!$A$5:$A$2005,"&gt;="&amp;ReportFrom,'Direct Costs'!$A$5:$A$2005,"&lt;="&amp;ReportTo)+SUMIFS('Direct Costs'!$T$5:$T$2005,'Direct Costs'!$Z$5:$Z$2005,$A69,'Direct Costs'!$A$5:$A$2005,"&gt;="&amp;ReportFrom,'Direct Costs'!$A$5:$A$2005,"&lt;="&amp;ReportTo))</f>
        <v/>
      </c>
      <c r="O69" s="25">
        <f>IF($A69="",0,(SUMIFS('Operating Expenses'!$F$5:$F$2005,'Operating Expenses'!$Q$5:$Q$2005,$A69,'Operating Expenses'!$A$5:$A$2005,"&lt;"&amp;ReportFrom)+SUMIFS('Operating Expenses'!$M$5:$M$2005,'Operating Expenses'!$T$5:$T$2005,$A69,'Operating Expenses'!$A$5:$A$2005,"&lt;"&amp;ReportFrom))-(SUMIFS('Operating Expenses'!$O$5:$O$2005,'Operating Expenses'!$R$5:$R$2005,$A69,'Operating Expenses'!$A$5:$A$2005,"&lt;"&amp;ReportFrom)+SUMIFS('Operating Expenses'!$P$5:$P$2005,'Operating Expenses'!$S$5:$S$2005,$A69,'Operating Expenses'!$A$5:$A$2005,"&lt;"&amp;ReportFrom)+SUMIFS('Operating Expenses'!$N$5:$N$2005,'Operating Expenses'!$U$5:$U$2005,$A69,'Operating Expenses'!$A$5:$A$2005,"&lt;"&amp;ReportFrom)))</f>
        <v/>
      </c>
      <c r="P69" s="25">
        <f>IF($A69="",0,SUMIFS('Operating Expenses'!$F$5:$F$2005,'Operating Expenses'!$Q$5:$Q$2005,$A69,'Operating Expenses'!$A$5:$A$2005,"&gt;="&amp;ReportFrom,'Operating Expenses'!$A$5:$A$2005,"&lt;="&amp;ReportTo)+SUMIFS('Operating Expenses'!$M$5:$M$2005,'Operating Expenses'!$T$5:$T$2005,$A69,'Operating Expenses'!$A$5:$A$2005,"&gt;="&amp;ReportFrom,'Operating Expenses'!$A$5:$A$2005,"&lt;="&amp;ReportTo))</f>
        <v/>
      </c>
      <c r="Q69" s="25">
        <f>IF($A69="",0,SUMIFS('Operating Expenses'!$O$5:$O$2005,'Operating Expenses'!$R$5:$R$2005,$A69,'Operating Expenses'!$A$5:$A$2005,"&gt;="&amp;ReportFrom,'Operating Expenses'!$A$5:$A$2005,"&lt;="&amp;ReportTo)+SUMIFS('Operating Expenses'!$P$5:$P$2005,'Operating Expenses'!$S$5:$S$2005,$A69,'Operating Expenses'!$A$5:$A$2005,"&gt;="&amp;ReportFrom,'Operating Expenses'!$A$5:$A$2005,"&lt;="&amp;ReportTo)+SUMIFS('Operating Expenses'!$N$5:$N$2005,'Operating Expenses'!$U$5:$U$2005,$A69,'Operating Expenses'!$A$5:$A$2005,"&gt;="&amp;ReportFrom,'Operating Expenses'!$A$5:$A$2005,"&lt;="&amp;ReportTo))</f>
        <v/>
      </c>
      <c r="R69" s="25">
        <f>IF($A69="",0,(SUMIFS('Payroll'!$O$5:$O$2005,'Payroll'!$Q$5:$Q$2005,$A69,'Payroll'!$A$5:$A$2005,"&lt;"&amp;ReportFrom))-(SUMIFS('Payroll'!$K$5:$K$2005,'Payroll'!$R$5:$R$2005,$A69,'Payroll'!$A$5:$A$2005,"&lt;"&amp;ReportFrom)+SUMIFS('Payroll'!$P$5:$P$2005,'Payroll'!$S$5:$S$2005,$A69,'Payroll'!$A$5:$A$2005,"&lt;"&amp;ReportFrom)))</f>
        <v/>
      </c>
      <c r="S69" s="25">
        <f>IF($A69="",0,SUMIFS('Payroll'!$O$5:$O$2005,'Payroll'!$Q$5:$Q$2005,$A69,'Payroll'!$A$5:$A$2005,"&gt;="&amp;ReportFrom,'Payroll'!$A$5:$A$2005,"&lt;="&amp;ReportTo))</f>
        <v/>
      </c>
      <c r="T69" s="25">
        <f>IF($A69="",0,SUMIFS('Payroll'!$K$5:$K$2005,'Payroll'!$R$5:$R$2005,$A69,'Payroll'!$A$5:$A$2005,"&gt;="&amp;ReportFrom,'Payroll'!$A$5:$A$2005,"&lt;="&amp;ReportTo)+SUMIFS('Payroll'!$P$5:$P$2005,'Payroll'!$S$5:$S$2005,$A69,'Payroll'!$A$5:$A$2005,"&gt;="&amp;ReportFrom,'Payroll'!$A$5:$A$2005,"&lt;="&amp;ReportTo))</f>
        <v/>
      </c>
      <c r="U69" s="25">
        <f>IF($A69="",0,(SUMIFS('Receipt Vouchers'!$F$5:$F$2005,'Receipt Vouchers'!$O$5:$O$2005,$A69,'Receipt Vouchers'!$A$5:$A$2005,"&lt;"&amp;ReportFrom)+SUMIFS('Receipt Vouchers'!$J$5:$J$2005,'Receipt Vouchers'!$Q$5:$Q$2005,$A69,'Receipt Vouchers'!$A$5:$A$2005,"&lt;"&amp;ReportFrom))-(SUMIFS('Receipt Vouchers'!$N$5:$N$2005,'Receipt Vouchers'!$P$5:$P$2005,$A69,'Receipt Vouchers'!$A$5:$A$2005,"&lt;"&amp;ReportFrom)+SUMIFS('Receipt Vouchers'!$M$5:$M$2005,'Receipt Vouchers'!$R$5:$R$2005,$A69,'Receipt Vouchers'!$A$5:$A$2005,"&lt;"&amp;ReportFrom)))</f>
        <v/>
      </c>
      <c r="V69" s="25">
        <f>IF($A69="",0,SUMIFS('Receipt Vouchers'!$F$5:$F$2005,'Receipt Vouchers'!$O$5:$O$2005,$A69,'Receipt Vouchers'!$A$5:$A$2005,"&gt;="&amp;ReportFrom,'Receipt Vouchers'!$A$5:$A$2005,"&lt;="&amp;ReportTo)+SUMIFS('Receipt Vouchers'!$J$5:$J$2005,'Receipt Vouchers'!$Q$5:$Q$2005,$A69,'Receipt Vouchers'!$A$5:$A$2005,"&gt;="&amp;ReportFrom,'Receipt Vouchers'!$A$5:$A$2005,"&lt;="&amp;ReportTo))</f>
        <v/>
      </c>
      <c r="W69" s="25">
        <f>IF($A69="",0,SUMIFS('Receipt Vouchers'!$N$5:$N$2005,'Receipt Vouchers'!$P$5:$P$2005,$A69,'Receipt Vouchers'!$A$5:$A$2005,"&gt;="&amp;ReportFrom,'Receipt Vouchers'!$A$5:$A$2005,"&lt;="&amp;ReportTo)+SUMIFS('Receipt Vouchers'!$M$5:$M$2005,'Receipt Vouchers'!$R$5:$R$2005,$A69,'Receipt Vouchers'!$A$5:$A$2005,"&gt;="&amp;ReportFrom,'Receipt Vouchers'!$A$5:$A$2005,"&lt;="&amp;ReportTo))</f>
        <v/>
      </c>
      <c r="X69" s="25">
        <f>IF($A69="",0,(SUMIFS('Sales Invoices'!$O$5:$O$2005,'Sales Invoices'!$P$5:$P$2005,$A69,'Sales Invoices'!$B$5:$B$2005,"&lt;"&amp;ReportFrom)+SUMIFS('Sales Invoices'!$N$5:$N$2005,'Sales Invoices'!$R$5:$R$2005,$A69,'Sales Invoices'!$B$5:$B$2005,"&lt;"&amp;ReportFrom))-(SUMIFS('Sales Invoices'!$L$5:$L$2005,'Sales Invoices'!$Q$5:$Q$2005,$A69,'Sales Invoices'!$B$5:$B$2005,"&lt;"&amp;ReportFrom)+SUMIFS('Sales Invoices'!$M$5:$M$2005,'Sales Invoices'!$S$5:$S$2005,$A69,'Sales Invoices'!$B$5:$B$2005,"&lt;"&amp;ReportFrom)))</f>
        <v/>
      </c>
      <c r="Y69" s="25">
        <f>IF($A69="",0,SUMIFS('Sales Invoices'!$O$5:$O$2005,'Sales Invoices'!$P$5:$P$2005,$A69,'Sales Invoices'!$B$5:$B$2005,"&gt;="&amp;ReportFrom,'Sales Invoices'!$B$5:$B$2005,"&lt;="&amp;ReportTo)+SUMIFS('Sales Invoices'!$N$5:$N$2005,'Sales Invoices'!$R$5:$R$2005,$A69,'Sales Invoices'!$B$5:$B$2005,"&gt;="&amp;ReportFrom,'Sales Invoices'!$B$5:$B$2005,"&lt;="&amp;ReportTo))</f>
        <v/>
      </c>
      <c r="Z69" s="25">
        <f>IF($A69="",0,SUMIFS('Sales Invoices'!$L$5:$L$2005,'Sales Invoices'!$Q$5:$Q$2005,$A69,'Sales Invoices'!$B$5:$B$2005,"&gt;="&amp;ReportFrom,'Sales Invoices'!$B$5:$B$2005,"&lt;="&amp;ReportTo)+SUMIFS('Sales Invoices'!$M$5:$M$2005,'Sales Invoices'!$S$5:$S$2005,$A69,'Sales Invoices'!$B$5:$B$2005,"&gt;="&amp;ReportFrom,'Sales Invoices'!$B$5:$B$2005,"&lt;="&amp;ReportTo))</f>
        <v/>
      </c>
      <c r="AA69" s="25">
        <f>IF($A69="",0,(SUMIFS('Payment Vouchers'!$D$5:$D$2005,'Payment Vouchers'!$J$5:$J$2005,$A69,'Payment Vouchers'!$A$5:$A$2005,"&lt;"&amp;ReportFrom))-(SUMIFS('Payment Vouchers'!$D$5:$D$2005,'Payment Vouchers'!$K$5:$K$2005,$A69,'Payment Vouchers'!$A$5:$A$2005,"&lt;"&amp;ReportFrom)))</f>
        <v/>
      </c>
      <c r="AB69" s="25">
        <f>IF($A69="",0,SUMIFS('Payment Vouchers'!$D$5:$D$2005,'Payment Vouchers'!$J$5:$J$2005,$A69,'Payment Vouchers'!$A$5:$A$2005,"&gt;="&amp;ReportFrom,'Payment Vouchers'!$A$5:$A$2005,"&lt;="&amp;ReportTo))</f>
        <v/>
      </c>
      <c r="AC69" s="25">
        <f>IF($A69="",0,SUMIFS('Payment Vouchers'!$D$5:$D$2005,'Payment Vouchers'!$K$5:$K$2005,$A69,'Payment Vouchers'!$A$5:$A$2005,"&gt;="&amp;ReportFrom,'Payment Vouchers'!$A$5:$A$2005,"&lt;="&amp;ReportTo))</f>
        <v/>
      </c>
      <c r="AD69" s="25">
        <f>IF($A69="",0,(SUMIFS('Partner Transactions'!$D$5:$D$2005,'Partner Transactions'!$L$5:$L$2005,$A69,'Partner Transactions'!$A$5:$A$2005,"&lt;"&amp;ReportFrom))-(SUMIFS('Partner Transactions'!$D$5:$D$2005,'Partner Transactions'!$M$5:$M$2005,$A69,'Partner Transactions'!$A$5:$A$2005,"&lt;"&amp;ReportFrom)))</f>
        <v/>
      </c>
      <c r="AE69" s="25">
        <f>IF($A69="",0,SUMIFS('Partner Transactions'!$D$5:$D$2005,'Partner Transactions'!$L$5:$L$2005,$A69,'Partner Transactions'!$A$5:$A$2005,"&gt;="&amp;ReportFrom,'Partner Transactions'!$A$5:$A$2005,"&lt;="&amp;ReportTo))</f>
        <v/>
      </c>
      <c r="AF69" s="25">
        <f>IF($A69="",0,SUMIFS('Partner Transactions'!$D$5:$D$2005,'Partner Transactions'!$M$5:$M$2005,$A69,'Partner Transactions'!$A$5:$A$2005,"&gt;="&amp;ReportFrom,'Partner Transactions'!$A$5:$A$2005,"&lt;="&amp;ReportTo))</f>
        <v/>
      </c>
      <c r="AG69" s="25">
        <f>IF($A69="",0,(SUMIFS('Stock Moves'!$S$5:$S$2005,'Stock Moves'!$AD$5:$AD$2005,$A69,'Stock Moves'!$A$5:$A$2005,"&lt;"&amp;ReportFrom)+SUMIFS('Stock Moves'!$T$5:$T$2005,'Stock Moves'!$V$5:$V$2005,$A69,'Stock Moves'!$A$5:$A$2005,"&lt;"&amp;ReportFrom))-(SUMIFS('Stock Moves'!$AF$5:$AF$2005,'Stock Moves'!$AE$5:$AE$2005,$A69,'Stock Moves'!$A$5:$A$2005,"&lt;"&amp;ReportFrom)+SUMIFS('Stock Moves'!$AC$5:$AC$2005,'Stock Moves'!$X$5:$X$2005,$A69,'Stock Moves'!$A$5:$A$2005,"&lt;"&amp;ReportFrom)+SUMIFS('Stock Moves'!$U$5:$U$2005,'Stock Moves'!$W$5:$W$2005,$A69,'Stock Moves'!$A$5:$A$2005,"&lt;"&amp;ReportFrom)))</f>
        <v/>
      </c>
      <c r="AH69" s="25">
        <f>IF($A69="",0,SUMIFS('Stock Moves'!$S$5:$S$2005,'Stock Moves'!$AD$5:$AD$2005,$A69,'Stock Moves'!$A$5:$A$2005,"&gt;="&amp;ReportFrom,'Stock Moves'!$A$5:$A$2005,"&lt;="&amp;ReportTo)+SUMIFS('Stock Moves'!$T$5:$T$2005,'Stock Moves'!$V$5:$V$2005,$A69,'Stock Moves'!$A$5:$A$2005,"&gt;="&amp;ReportFrom,'Stock Moves'!$A$5:$A$2005,"&lt;="&amp;ReportTo))</f>
        <v/>
      </c>
      <c r="AI69" s="25">
        <f>IF($A69="",0,SUMIFS('Stock Moves'!$AF$5:$AF$2005,'Stock Moves'!$AE$5:$AE$2005,$A69,'Stock Moves'!$A$5:$A$2005,"&gt;="&amp;ReportFrom,'Stock Moves'!$A$5:$A$2005,"&lt;="&amp;ReportTo)+SUMIFS('Stock Moves'!$AC$5:$AC$2005,'Stock Moves'!$X$5:$X$2005,$A69,'Stock Moves'!$A$5:$A$2005,"&gt;="&amp;ReportFrom,'Stock Moves'!$A$5:$A$2005,"&lt;="&amp;ReportTo)+SUMIFS('Stock Moves'!$U$5:$U$2005,'Stock Moves'!$W$5:$W$2005,$A69,'Stock Moves'!$A$5:$A$2005,"&gt;="&amp;ReportFrom,'Stock Moves'!$A$5:$A$2005,"&lt;="&amp;ReportTo))</f>
        <v/>
      </c>
      <c r="AJ69" s="25">
        <f>IF($A69="",0,(SUMIFS('Journal Vouchers'!$I$5:$I$2005,'Journal Vouchers'!$H$5:$H$2005,$A69,'Journal Vouchers'!$B$5:$B$2005,"&lt;"&amp;ReportFrom))-(SUMIFS('Journal Vouchers'!$J$5:$J$2005,'Journal Vouchers'!$H$5:$H$2005,$A69,'Journal Vouchers'!$B$5:$B$2005,"&lt;"&amp;ReportFrom)))</f>
        <v/>
      </c>
      <c r="AK69" s="25">
        <f>IF($A69="",0,SUMIFS('Journal Vouchers'!$I$5:$I$2005,'Journal Vouchers'!$H$5:$H$2005,$A69,'Journal Vouchers'!$B$5:$B$2005,"&gt;="&amp;ReportFrom,'Journal Vouchers'!$B$5:$B$2005,"&lt;="&amp;ReportTo))</f>
        <v/>
      </c>
      <c r="AL69" s="25">
        <f>IF($A69="",0,SUMIFS('Journal Vouchers'!$J$5:$J$2005,'Journal Vouchers'!$H$5:$H$2005,$A69,'Journal Vouchers'!$B$5:$B$2005,"&gt;="&amp;ReportFrom,'Journal Vouchers'!$B$5:$B$2005,"&lt;="&amp;ReportTo))</f>
        <v/>
      </c>
    </row>
    <row r="70">
      <c r="A70" s="25">
        <f>IF('Chart of Accounts'!A70="","",'Chart of Accounts'!A70&amp;"")</f>
        <v/>
      </c>
      <c r="B70" s="25">
        <f>IF(A70="","",'Chart of Accounts'!B70)</f>
        <v/>
      </c>
      <c r="C70" s="25">
        <f>IF(A70="","",'Chart of Accounts'!C70)</f>
        <v/>
      </c>
      <c r="D70" s="25">
        <f>IF(A70="","",'Chart of Accounts'!D70)</f>
        <v/>
      </c>
      <c r="E70" s="26">
        <f>L70+O70+R70+U70+X70+AA70+AD70+AG70+AJ70</f>
        <v/>
      </c>
      <c r="F70" s="26">
        <f>M70+P70+S70+V70+Y70+AB70+AE70+AH70+AK70</f>
        <v/>
      </c>
      <c r="G70" s="26">
        <f>N70+Q70+T70+W70+Z70+AC70+AF70+AI70+AL70</f>
        <v/>
      </c>
      <c r="H70" s="26">
        <f>E70+F70-G70</f>
        <v/>
      </c>
      <c r="I70" s="26">
        <f>MAX(H70,0)</f>
        <v/>
      </c>
      <c r="J70" s="26">
        <f>MAX(-H70,0)</f>
        <v/>
      </c>
      <c r="L70" s="25">
        <f>IF($A70="",0,(SUMIFS('Direct Costs'!$R$5:$R$2005,'Direct Costs'!$V$5:$V$2005,$A70,'Direct Costs'!$A$5:$A$2005,"&lt;"&amp;ReportFrom)+SUMIFS('Direct Costs'!$S$5:$S$2005,'Direct Costs'!$Y$5:$Y$2005,$A70,'Direct Costs'!$A$5:$A$2005,"&lt;"&amp;ReportFrom))-(SUMIFS('Direct Costs'!$L$5:$L$2005,'Direct Costs'!$W$5:$W$2005,$A70,'Direct Costs'!$A$5:$A$2005,"&lt;"&amp;ReportFrom)+SUMIFS('Direct Costs'!$U$5:$U$2005,'Direct Costs'!$X$5:$X$2005,$A70,'Direct Costs'!$A$5:$A$2005,"&lt;"&amp;ReportFrom)+SUMIFS('Direct Costs'!$T$5:$T$2005,'Direct Costs'!$Z$5:$Z$2005,$A70,'Direct Costs'!$A$5:$A$2005,"&lt;"&amp;ReportFrom)))</f>
        <v/>
      </c>
      <c r="M70" s="25">
        <f>IF($A70="",0,SUMIFS('Direct Costs'!$R$5:$R$2005,'Direct Costs'!$V$5:$V$2005,$A70,'Direct Costs'!$A$5:$A$2005,"&gt;="&amp;ReportFrom,'Direct Costs'!$A$5:$A$2005,"&lt;="&amp;ReportTo)+SUMIFS('Direct Costs'!$S$5:$S$2005,'Direct Costs'!$Y$5:$Y$2005,$A70,'Direct Costs'!$A$5:$A$2005,"&gt;="&amp;ReportFrom,'Direct Costs'!$A$5:$A$2005,"&lt;="&amp;ReportTo))</f>
        <v/>
      </c>
      <c r="N70" s="25">
        <f>IF($A70="",0,SUMIFS('Direct Costs'!$L$5:$L$2005,'Direct Costs'!$W$5:$W$2005,$A70,'Direct Costs'!$A$5:$A$2005,"&gt;="&amp;ReportFrom,'Direct Costs'!$A$5:$A$2005,"&lt;="&amp;ReportTo)+SUMIFS('Direct Costs'!$U$5:$U$2005,'Direct Costs'!$X$5:$X$2005,$A70,'Direct Costs'!$A$5:$A$2005,"&gt;="&amp;ReportFrom,'Direct Costs'!$A$5:$A$2005,"&lt;="&amp;ReportTo)+SUMIFS('Direct Costs'!$T$5:$T$2005,'Direct Costs'!$Z$5:$Z$2005,$A70,'Direct Costs'!$A$5:$A$2005,"&gt;="&amp;ReportFrom,'Direct Costs'!$A$5:$A$2005,"&lt;="&amp;ReportTo))</f>
        <v/>
      </c>
      <c r="O70" s="25">
        <f>IF($A70="",0,(SUMIFS('Operating Expenses'!$F$5:$F$2005,'Operating Expenses'!$Q$5:$Q$2005,$A70,'Operating Expenses'!$A$5:$A$2005,"&lt;"&amp;ReportFrom)+SUMIFS('Operating Expenses'!$M$5:$M$2005,'Operating Expenses'!$T$5:$T$2005,$A70,'Operating Expenses'!$A$5:$A$2005,"&lt;"&amp;ReportFrom))-(SUMIFS('Operating Expenses'!$O$5:$O$2005,'Operating Expenses'!$R$5:$R$2005,$A70,'Operating Expenses'!$A$5:$A$2005,"&lt;"&amp;ReportFrom)+SUMIFS('Operating Expenses'!$P$5:$P$2005,'Operating Expenses'!$S$5:$S$2005,$A70,'Operating Expenses'!$A$5:$A$2005,"&lt;"&amp;ReportFrom)+SUMIFS('Operating Expenses'!$N$5:$N$2005,'Operating Expenses'!$U$5:$U$2005,$A70,'Operating Expenses'!$A$5:$A$2005,"&lt;"&amp;ReportFrom)))</f>
        <v/>
      </c>
      <c r="P70" s="25">
        <f>IF($A70="",0,SUMIFS('Operating Expenses'!$F$5:$F$2005,'Operating Expenses'!$Q$5:$Q$2005,$A70,'Operating Expenses'!$A$5:$A$2005,"&gt;="&amp;ReportFrom,'Operating Expenses'!$A$5:$A$2005,"&lt;="&amp;ReportTo)+SUMIFS('Operating Expenses'!$M$5:$M$2005,'Operating Expenses'!$T$5:$T$2005,$A70,'Operating Expenses'!$A$5:$A$2005,"&gt;="&amp;ReportFrom,'Operating Expenses'!$A$5:$A$2005,"&lt;="&amp;ReportTo))</f>
        <v/>
      </c>
      <c r="Q70" s="25">
        <f>IF($A70="",0,SUMIFS('Operating Expenses'!$O$5:$O$2005,'Operating Expenses'!$R$5:$R$2005,$A70,'Operating Expenses'!$A$5:$A$2005,"&gt;="&amp;ReportFrom,'Operating Expenses'!$A$5:$A$2005,"&lt;="&amp;ReportTo)+SUMIFS('Operating Expenses'!$P$5:$P$2005,'Operating Expenses'!$S$5:$S$2005,$A70,'Operating Expenses'!$A$5:$A$2005,"&gt;="&amp;ReportFrom,'Operating Expenses'!$A$5:$A$2005,"&lt;="&amp;ReportTo)+SUMIFS('Operating Expenses'!$N$5:$N$2005,'Operating Expenses'!$U$5:$U$2005,$A70,'Operating Expenses'!$A$5:$A$2005,"&gt;="&amp;ReportFrom,'Operating Expenses'!$A$5:$A$2005,"&lt;="&amp;ReportTo))</f>
        <v/>
      </c>
      <c r="R70" s="25">
        <f>IF($A70="",0,(SUMIFS('Payroll'!$O$5:$O$2005,'Payroll'!$Q$5:$Q$2005,$A70,'Payroll'!$A$5:$A$2005,"&lt;"&amp;ReportFrom))-(SUMIFS('Payroll'!$K$5:$K$2005,'Payroll'!$R$5:$R$2005,$A70,'Payroll'!$A$5:$A$2005,"&lt;"&amp;ReportFrom)+SUMIFS('Payroll'!$P$5:$P$2005,'Payroll'!$S$5:$S$2005,$A70,'Payroll'!$A$5:$A$2005,"&lt;"&amp;ReportFrom)))</f>
        <v/>
      </c>
      <c r="S70" s="25">
        <f>IF($A70="",0,SUMIFS('Payroll'!$O$5:$O$2005,'Payroll'!$Q$5:$Q$2005,$A70,'Payroll'!$A$5:$A$2005,"&gt;="&amp;ReportFrom,'Payroll'!$A$5:$A$2005,"&lt;="&amp;ReportTo))</f>
        <v/>
      </c>
      <c r="T70" s="25">
        <f>IF($A70="",0,SUMIFS('Payroll'!$K$5:$K$2005,'Payroll'!$R$5:$R$2005,$A70,'Payroll'!$A$5:$A$2005,"&gt;="&amp;ReportFrom,'Payroll'!$A$5:$A$2005,"&lt;="&amp;ReportTo)+SUMIFS('Payroll'!$P$5:$P$2005,'Payroll'!$S$5:$S$2005,$A70,'Payroll'!$A$5:$A$2005,"&gt;="&amp;ReportFrom,'Payroll'!$A$5:$A$2005,"&lt;="&amp;ReportTo))</f>
        <v/>
      </c>
      <c r="U70" s="25">
        <f>IF($A70="",0,(SUMIFS('Receipt Vouchers'!$F$5:$F$2005,'Receipt Vouchers'!$O$5:$O$2005,$A70,'Receipt Vouchers'!$A$5:$A$2005,"&lt;"&amp;ReportFrom)+SUMIFS('Receipt Vouchers'!$J$5:$J$2005,'Receipt Vouchers'!$Q$5:$Q$2005,$A70,'Receipt Vouchers'!$A$5:$A$2005,"&lt;"&amp;ReportFrom))-(SUMIFS('Receipt Vouchers'!$N$5:$N$2005,'Receipt Vouchers'!$P$5:$P$2005,$A70,'Receipt Vouchers'!$A$5:$A$2005,"&lt;"&amp;ReportFrom)+SUMIFS('Receipt Vouchers'!$M$5:$M$2005,'Receipt Vouchers'!$R$5:$R$2005,$A70,'Receipt Vouchers'!$A$5:$A$2005,"&lt;"&amp;ReportFrom)))</f>
        <v/>
      </c>
      <c r="V70" s="25">
        <f>IF($A70="",0,SUMIFS('Receipt Vouchers'!$F$5:$F$2005,'Receipt Vouchers'!$O$5:$O$2005,$A70,'Receipt Vouchers'!$A$5:$A$2005,"&gt;="&amp;ReportFrom,'Receipt Vouchers'!$A$5:$A$2005,"&lt;="&amp;ReportTo)+SUMIFS('Receipt Vouchers'!$J$5:$J$2005,'Receipt Vouchers'!$Q$5:$Q$2005,$A70,'Receipt Vouchers'!$A$5:$A$2005,"&gt;="&amp;ReportFrom,'Receipt Vouchers'!$A$5:$A$2005,"&lt;="&amp;ReportTo))</f>
        <v/>
      </c>
      <c r="W70" s="25">
        <f>IF($A70="",0,SUMIFS('Receipt Vouchers'!$N$5:$N$2005,'Receipt Vouchers'!$P$5:$P$2005,$A70,'Receipt Vouchers'!$A$5:$A$2005,"&gt;="&amp;ReportFrom,'Receipt Vouchers'!$A$5:$A$2005,"&lt;="&amp;ReportTo)+SUMIFS('Receipt Vouchers'!$M$5:$M$2005,'Receipt Vouchers'!$R$5:$R$2005,$A70,'Receipt Vouchers'!$A$5:$A$2005,"&gt;="&amp;ReportFrom,'Receipt Vouchers'!$A$5:$A$2005,"&lt;="&amp;ReportTo))</f>
        <v/>
      </c>
      <c r="X70" s="25">
        <f>IF($A70="",0,(SUMIFS('Sales Invoices'!$O$5:$O$2005,'Sales Invoices'!$P$5:$P$2005,$A70,'Sales Invoices'!$B$5:$B$2005,"&lt;"&amp;ReportFrom)+SUMIFS('Sales Invoices'!$N$5:$N$2005,'Sales Invoices'!$R$5:$R$2005,$A70,'Sales Invoices'!$B$5:$B$2005,"&lt;"&amp;ReportFrom))-(SUMIFS('Sales Invoices'!$L$5:$L$2005,'Sales Invoices'!$Q$5:$Q$2005,$A70,'Sales Invoices'!$B$5:$B$2005,"&lt;"&amp;ReportFrom)+SUMIFS('Sales Invoices'!$M$5:$M$2005,'Sales Invoices'!$S$5:$S$2005,$A70,'Sales Invoices'!$B$5:$B$2005,"&lt;"&amp;ReportFrom)))</f>
        <v/>
      </c>
      <c r="Y70" s="25">
        <f>IF($A70="",0,SUMIFS('Sales Invoices'!$O$5:$O$2005,'Sales Invoices'!$P$5:$P$2005,$A70,'Sales Invoices'!$B$5:$B$2005,"&gt;="&amp;ReportFrom,'Sales Invoices'!$B$5:$B$2005,"&lt;="&amp;ReportTo)+SUMIFS('Sales Invoices'!$N$5:$N$2005,'Sales Invoices'!$R$5:$R$2005,$A70,'Sales Invoices'!$B$5:$B$2005,"&gt;="&amp;ReportFrom,'Sales Invoices'!$B$5:$B$2005,"&lt;="&amp;ReportTo))</f>
        <v/>
      </c>
      <c r="Z70" s="25">
        <f>IF($A70="",0,SUMIFS('Sales Invoices'!$L$5:$L$2005,'Sales Invoices'!$Q$5:$Q$2005,$A70,'Sales Invoices'!$B$5:$B$2005,"&gt;="&amp;ReportFrom,'Sales Invoices'!$B$5:$B$2005,"&lt;="&amp;ReportTo)+SUMIFS('Sales Invoices'!$M$5:$M$2005,'Sales Invoices'!$S$5:$S$2005,$A70,'Sales Invoices'!$B$5:$B$2005,"&gt;="&amp;ReportFrom,'Sales Invoices'!$B$5:$B$2005,"&lt;="&amp;ReportTo))</f>
        <v/>
      </c>
      <c r="AA70" s="25">
        <f>IF($A70="",0,(SUMIFS('Payment Vouchers'!$D$5:$D$2005,'Payment Vouchers'!$J$5:$J$2005,$A70,'Payment Vouchers'!$A$5:$A$2005,"&lt;"&amp;ReportFrom))-(SUMIFS('Payment Vouchers'!$D$5:$D$2005,'Payment Vouchers'!$K$5:$K$2005,$A70,'Payment Vouchers'!$A$5:$A$2005,"&lt;"&amp;ReportFrom)))</f>
        <v/>
      </c>
      <c r="AB70" s="25">
        <f>IF($A70="",0,SUMIFS('Payment Vouchers'!$D$5:$D$2005,'Payment Vouchers'!$J$5:$J$2005,$A70,'Payment Vouchers'!$A$5:$A$2005,"&gt;="&amp;ReportFrom,'Payment Vouchers'!$A$5:$A$2005,"&lt;="&amp;ReportTo))</f>
        <v/>
      </c>
      <c r="AC70" s="25">
        <f>IF($A70="",0,SUMIFS('Payment Vouchers'!$D$5:$D$2005,'Payment Vouchers'!$K$5:$K$2005,$A70,'Payment Vouchers'!$A$5:$A$2005,"&gt;="&amp;ReportFrom,'Payment Vouchers'!$A$5:$A$2005,"&lt;="&amp;ReportTo))</f>
        <v/>
      </c>
      <c r="AD70" s="25">
        <f>IF($A70="",0,(SUMIFS('Partner Transactions'!$D$5:$D$2005,'Partner Transactions'!$L$5:$L$2005,$A70,'Partner Transactions'!$A$5:$A$2005,"&lt;"&amp;ReportFrom))-(SUMIFS('Partner Transactions'!$D$5:$D$2005,'Partner Transactions'!$M$5:$M$2005,$A70,'Partner Transactions'!$A$5:$A$2005,"&lt;"&amp;ReportFrom)))</f>
        <v/>
      </c>
      <c r="AE70" s="25">
        <f>IF($A70="",0,SUMIFS('Partner Transactions'!$D$5:$D$2005,'Partner Transactions'!$L$5:$L$2005,$A70,'Partner Transactions'!$A$5:$A$2005,"&gt;="&amp;ReportFrom,'Partner Transactions'!$A$5:$A$2005,"&lt;="&amp;ReportTo))</f>
        <v/>
      </c>
      <c r="AF70" s="25">
        <f>IF($A70="",0,SUMIFS('Partner Transactions'!$D$5:$D$2005,'Partner Transactions'!$M$5:$M$2005,$A70,'Partner Transactions'!$A$5:$A$2005,"&gt;="&amp;ReportFrom,'Partner Transactions'!$A$5:$A$2005,"&lt;="&amp;ReportTo))</f>
        <v/>
      </c>
      <c r="AG70" s="25">
        <f>IF($A70="",0,(SUMIFS('Stock Moves'!$S$5:$S$2005,'Stock Moves'!$AD$5:$AD$2005,$A70,'Stock Moves'!$A$5:$A$2005,"&lt;"&amp;ReportFrom)+SUMIFS('Stock Moves'!$T$5:$T$2005,'Stock Moves'!$V$5:$V$2005,$A70,'Stock Moves'!$A$5:$A$2005,"&lt;"&amp;ReportFrom))-(SUMIFS('Stock Moves'!$AF$5:$AF$2005,'Stock Moves'!$AE$5:$AE$2005,$A70,'Stock Moves'!$A$5:$A$2005,"&lt;"&amp;ReportFrom)+SUMIFS('Stock Moves'!$AC$5:$AC$2005,'Stock Moves'!$X$5:$X$2005,$A70,'Stock Moves'!$A$5:$A$2005,"&lt;"&amp;ReportFrom)+SUMIFS('Stock Moves'!$U$5:$U$2005,'Stock Moves'!$W$5:$W$2005,$A70,'Stock Moves'!$A$5:$A$2005,"&lt;"&amp;ReportFrom)))</f>
        <v/>
      </c>
      <c r="AH70" s="25">
        <f>IF($A70="",0,SUMIFS('Stock Moves'!$S$5:$S$2005,'Stock Moves'!$AD$5:$AD$2005,$A70,'Stock Moves'!$A$5:$A$2005,"&gt;="&amp;ReportFrom,'Stock Moves'!$A$5:$A$2005,"&lt;="&amp;ReportTo)+SUMIFS('Stock Moves'!$T$5:$T$2005,'Stock Moves'!$V$5:$V$2005,$A70,'Stock Moves'!$A$5:$A$2005,"&gt;="&amp;ReportFrom,'Stock Moves'!$A$5:$A$2005,"&lt;="&amp;ReportTo))</f>
        <v/>
      </c>
      <c r="AI70" s="25">
        <f>IF($A70="",0,SUMIFS('Stock Moves'!$AF$5:$AF$2005,'Stock Moves'!$AE$5:$AE$2005,$A70,'Stock Moves'!$A$5:$A$2005,"&gt;="&amp;ReportFrom,'Stock Moves'!$A$5:$A$2005,"&lt;="&amp;ReportTo)+SUMIFS('Stock Moves'!$AC$5:$AC$2005,'Stock Moves'!$X$5:$X$2005,$A70,'Stock Moves'!$A$5:$A$2005,"&gt;="&amp;ReportFrom,'Stock Moves'!$A$5:$A$2005,"&lt;="&amp;ReportTo)+SUMIFS('Stock Moves'!$U$5:$U$2005,'Stock Moves'!$W$5:$W$2005,$A70,'Stock Moves'!$A$5:$A$2005,"&gt;="&amp;ReportFrom,'Stock Moves'!$A$5:$A$2005,"&lt;="&amp;ReportTo))</f>
        <v/>
      </c>
      <c r="AJ70" s="25">
        <f>IF($A70="",0,(SUMIFS('Journal Vouchers'!$I$5:$I$2005,'Journal Vouchers'!$H$5:$H$2005,$A70,'Journal Vouchers'!$B$5:$B$2005,"&lt;"&amp;ReportFrom))-(SUMIFS('Journal Vouchers'!$J$5:$J$2005,'Journal Vouchers'!$H$5:$H$2005,$A70,'Journal Vouchers'!$B$5:$B$2005,"&lt;"&amp;ReportFrom)))</f>
        <v/>
      </c>
      <c r="AK70" s="25">
        <f>IF($A70="",0,SUMIFS('Journal Vouchers'!$I$5:$I$2005,'Journal Vouchers'!$H$5:$H$2005,$A70,'Journal Vouchers'!$B$5:$B$2005,"&gt;="&amp;ReportFrom,'Journal Vouchers'!$B$5:$B$2005,"&lt;="&amp;ReportTo))</f>
        <v/>
      </c>
      <c r="AL70" s="25">
        <f>IF($A70="",0,SUMIFS('Journal Vouchers'!$J$5:$J$2005,'Journal Vouchers'!$H$5:$H$2005,$A70,'Journal Vouchers'!$B$5:$B$2005,"&gt;="&amp;ReportFrom,'Journal Vouchers'!$B$5:$B$2005,"&lt;="&amp;ReportTo))</f>
        <v/>
      </c>
    </row>
    <row r="71">
      <c r="A71" s="25">
        <f>IF('Chart of Accounts'!A71="","",'Chart of Accounts'!A71&amp;"")</f>
        <v/>
      </c>
      <c r="B71" s="25">
        <f>IF(A71="","",'Chart of Accounts'!B71)</f>
        <v/>
      </c>
      <c r="C71" s="25">
        <f>IF(A71="","",'Chart of Accounts'!C71)</f>
        <v/>
      </c>
      <c r="D71" s="25">
        <f>IF(A71="","",'Chart of Accounts'!D71)</f>
        <v/>
      </c>
      <c r="E71" s="26">
        <f>L71+O71+R71+U71+X71+AA71+AD71+AG71+AJ71</f>
        <v/>
      </c>
      <c r="F71" s="26">
        <f>M71+P71+S71+V71+Y71+AB71+AE71+AH71+AK71</f>
        <v/>
      </c>
      <c r="G71" s="26">
        <f>N71+Q71+T71+W71+Z71+AC71+AF71+AI71+AL71</f>
        <v/>
      </c>
      <c r="H71" s="26">
        <f>E71+F71-G71</f>
        <v/>
      </c>
      <c r="I71" s="26">
        <f>MAX(H71,0)</f>
        <v/>
      </c>
      <c r="J71" s="26">
        <f>MAX(-H71,0)</f>
        <v/>
      </c>
      <c r="L71" s="25">
        <f>IF($A71="",0,(SUMIFS('Direct Costs'!$R$5:$R$2005,'Direct Costs'!$V$5:$V$2005,$A71,'Direct Costs'!$A$5:$A$2005,"&lt;"&amp;ReportFrom)+SUMIFS('Direct Costs'!$S$5:$S$2005,'Direct Costs'!$Y$5:$Y$2005,$A71,'Direct Costs'!$A$5:$A$2005,"&lt;"&amp;ReportFrom))-(SUMIFS('Direct Costs'!$L$5:$L$2005,'Direct Costs'!$W$5:$W$2005,$A71,'Direct Costs'!$A$5:$A$2005,"&lt;"&amp;ReportFrom)+SUMIFS('Direct Costs'!$U$5:$U$2005,'Direct Costs'!$X$5:$X$2005,$A71,'Direct Costs'!$A$5:$A$2005,"&lt;"&amp;ReportFrom)+SUMIFS('Direct Costs'!$T$5:$T$2005,'Direct Costs'!$Z$5:$Z$2005,$A71,'Direct Costs'!$A$5:$A$2005,"&lt;"&amp;ReportFrom)))</f>
        <v/>
      </c>
      <c r="M71" s="25">
        <f>IF($A71="",0,SUMIFS('Direct Costs'!$R$5:$R$2005,'Direct Costs'!$V$5:$V$2005,$A71,'Direct Costs'!$A$5:$A$2005,"&gt;="&amp;ReportFrom,'Direct Costs'!$A$5:$A$2005,"&lt;="&amp;ReportTo)+SUMIFS('Direct Costs'!$S$5:$S$2005,'Direct Costs'!$Y$5:$Y$2005,$A71,'Direct Costs'!$A$5:$A$2005,"&gt;="&amp;ReportFrom,'Direct Costs'!$A$5:$A$2005,"&lt;="&amp;ReportTo))</f>
        <v/>
      </c>
      <c r="N71" s="25">
        <f>IF($A71="",0,SUMIFS('Direct Costs'!$L$5:$L$2005,'Direct Costs'!$W$5:$W$2005,$A71,'Direct Costs'!$A$5:$A$2005,"&gt;="&amp;ReportFrom,'Direct Costs'!$A$5:$A$2005,"&lt;="&amp;ReportTo)+SUMIFS('Direct Costs'!$U$5:$U$2005,'Direct Costs'!$X$5:$X$2005,$A71,'Direct Costs'!$A$5:$A$2005,"&gt;="&amp;ReportFrom,'Direct Costs'!$A$5:$A$2005,"&lt;="&amp;ReportTo)+SUMIFS('Direct Costs'!$T$5:$T$2005,'Direct Costs'!$Z$5:$Z$2005,$A71,'Direct Costs'!$A$5:$A$2005,"&gt;="&amp;ReportFrom,'Direct Costs'!$A$5:$A$2005,"&lt;="&amp;ReportTo))</f>
        <v/>
      </c>
      <c r="O71" s="25">
        <f>IF($A71="",0,(SUMIFS('Operating Expenses'!$F$5:$F$2005,'Operating Expenses'!$Q$5:$Q$2005,$A71,'Operating Expenses'!$A$5:$A$2005,"&lt;"&amp;ReportFrom)+SUMIFS('Operating Expenses'!$M$5:$M$2005,'Operating Expenses'!$T$5:$T$2005,$A71,'Operating Expenses'!$A$5:$A$2005,"&lt;"&amp;ReportFrom))-(SUMIFS('Operating Expenses'!$O$5:$O$2005,'Operating Expenses'!$R$5:$R$2005,$A71,'Operating Expenses'!$A$5:$A$2005,"&lt;"&amp;ReportFrom)+SUMIFS('Operating Expenses'!$P$5:$P$2005,'Operating Expenses'!$S$5:$S$2005,$A71,'Operating Expenses'!$A$5:$A$2005,"&lt;"&amp;ReportFrom)+SUMIFS('Operating Expenses'!$N$5:$N$2005,'Operating Expenses'!$U$5:$U$2005,$A71,'Operating Expenses'!$A$5:$A$2005,"&lt;"&amp;ReportFrom)))</f>
        <v/>
      </c>
      <c r="P71" s="25">
        <f>IF($A71="",0,SUMIFS('Operating Expenses'!$F$5:$F$2005,'Operating Expenses'!$Q$5:$Q$2005,$A71,'Operating Expenses'!$A$5:$A$2005,"&gt;="&amp;ReportFrom,'Operating Expenses'!$A$5:$A$2005,"&lt;="&amp;ReportTo)+SUMIFS('Operating Expenses'!$M$5:$M$2005,'Operating Expenses'!$T$5:$T$2005,$A71,'Operating Expenses'!$A$5:$A$2005,"&gt;="&amp;ReportFrom,'Operating Expenses'!$A$5:$A$2005,"&lt;="&amp;ReportTo))</f>
        <v/>
      </c>
      <c r="Q71" s="25">
        <f>IF($A71="",0,SUMIFS('Operating Expenses'!$O$5:$O$2005,'Operating Expenses'!$R$5:$R$2005,$A71,'Operating Expenses'!$A$5:$A$2005,"&gt;="&amp;ReportFrom,'Operating Expenses'!$A$5:$A$2005,"&lt;="&amp;ReportTo)+SUMIFS('Operating Expenses'!$P$5:$P$2005,'Operating Expenses'!$S$5:$S$2005,$A71,'Operating Expenses'!$A$5:$A$2005,"&gt;="&amp;ReportFrom,'Operating Expenses'!$A$5:$A$2005,"&lt;="&amp;ReportTo)+SUMIFS('Operating Expenses'!$N$5:$N$2005,'Operating Expenses'!$U$5:$U$2005,$A71,'Operating Expenses'!$A$5:$A$2005,"&gt;="&amp;ReportFrom,'Operating Expenses'!$A$5:$A$2005,"&lt;="&amp;ReportTo))</f>
        <v/>
      </c>
      <c r="R71" s="25">
        <f>IF($A71="",0,(SUMIFS('Payroll'!$O$5:$O$2005,'Payroll'!$Q$5:$Q$2005,$A71,'Payroll'!$A$5:$A$2005,"&lt;"&amp;ReportFrom))-(SUMIFS('Payroll'!$K$5:$K$2005,'Payroll'!$R$5:$R$2005,$A71,'Payroll'!$A$5:$A$2005,"&lt;"&amp;ReportFrom)+SUMIFS('Payroll'!$P$5:$P$2005,'Payroll'!$S$5:$S$2005,$A71,'Payroll'!$A$5:$A$2005,"&lt;"&amp;ReportFrom)))</f>
        <v/>
      </c>
      <c r="S71" s="25">
        <f>IF($A71="",0,SUMIFS('Payroll'!$O$5:$O$2005,'Payroll'!$Q$5:$Q$2005,$A71,'Payroll'!$A$5:$A$2005,"&gt;="&amp;ReportFrom,'Payroll'!$A$5:$A$2005,"&lt;="&amp;ReportTo))</f>
        <v/>
      </c>
      <c r="T71" s="25">
        <f>IF($A71="",0,SUMIFS('Payroll'!$K$5:$K$2005,'Payroll'!$R$5:$R$2005,$A71,'Payroll'!$A$5:$A$2005,"&gt;="&amp;ReportFrom,'Payroll'!$A$5:$A$2005,"&lt;="&amp;ReportTo)+SUMIFS('Payroll'!$P$5:$P$2005,'Payroll'!$S$5:$S$2005,$A71,'Payroll'!$A$5:$A$2005,"&gt;="&amp;ReportFrom,'Payroll'!$A$5:$A$2005,"&lt;="&amp;ReportTo))</f>
        <v/>
      </c>
      <c r="U71" s="25">
        <f>IF($A71="",0,(SUMIFS('Receipt Vouchers'!$F$5:$F$2005,'Receipt Vouchers'!$O$5:$O$2005,$A71,'Receipt Vouchers'!$A$5:$A$2005,"&lt;"&amp;ReportFrom)+SUMIFS('Receipt Vouchers'!$J$5:$J$2005,'Receipt Vouchers'!$Q$5:$Q$2005,$A71,'Receipt Vouchers'!$A$5:$A$2005,"&lt;"&amp;ReportFrom))-(SUMIFS('Receipt Vouchers'!$N$5:$N$2005,'Receipt Vouchers'!$P$5:$P$2005,$A71,'Receipt Vouchers'!$A$5:$A$2005,"&lt;"&amp;ReportFrom)+SUMIFS('Receipt Vouchers'!$M$5:$M$2005,'Receipt Vouchers'!$R$5:$R$2005,$A71,'Receipt Vouchers'!$A$5:$A$2005,"&lt;"&amp;ReportFrom)))</f>
        <v/>
      </c>
      <c r="V71" s="25">
        <f>IF($A71="",0,SUMIFS('Receipt Vouchers'!$F$5:$F$2005,'Receipt Vouchers'!$O$5:$O$2005,$A71,'Receipt Vouchers'!$A$5:$A$2005,"&gt;="&amp;ReportFrom,'Receipt Vouchers'!$A$5:$A$2005,"&lt;="&amp;ReportTo)+SUMIFS('Receipt Vouchers'!$J$5:$J$2005,'Receipt Vouchers'!$Q$5:$Q$2005,$A71,'Receipt Vouchers'!$A$5:$A$2005,"&gt;="&amp;ReportFrom,'Receipt Vouchers'!$A$5:$A$2005,"&lt;="&amp;ReportTo))</f>
        <v/>
      </c>
      <c r="W71" s="25">
        <f>IF($A71="",0,SUMIFS('Receipt Vouchers'!$N$5:$N$2005,'Receipt Vouchers'!$P$5:$P$2005,$A71,'Receipt Vouchers'!$A$5:$A$2005,"&gt;="&amp;ReportFrom,'Receipt Vouchers'!$A$5:$A$2005,"&lt;="&amp;ReportTo)+SUMIFS('Receipt Vouchers'!$M$5:$M$2005,'Receipt Vouchers'!$R$5:$R$2005,$A71,'Receipt Vouchers'!$A$5:$A$2005,"&gt;="&amp;ReportFrom,'Receipt Vouchers'!$A$5:$A$2005,"&lt;="&amp;ReportTo))</f>
        <v/>
      </c>
      <c r="X71" s="25">
        <f>IF($A71="",0,(SUMIFS('Sales Invoices'!$O$5:$O$2005,'Sales Invoices'!$P$5:$P$2005,$A71,'Sales Invoices'!$B$5:$B$2005,"&lt;"&amp;ReportFrom)+SUMIFS('Sales Invoices'!$N$5:$N$2005,'Sales Invoices'!$R$5:$R$2005,$A71,'Sales Invoices'!$B$5:$B$2005,"&lt;"&amp;ReportFrom))-(SUMIFS('Sales Invoices'!$L$5:$L$2005,'Sales Invoices'!$Q$5:$Q$2005,$A71,'Sales Invoices'!$B$5:$B$2005,"&lt;"&amp;ReportFrom)+SUMIFS('Sales Invoices'!$M$5:$M$2005,'Sales Invoices'!$S$5:$S$2005,$A71,'Sales Invoices'!$B$5:$B$2005,"&lt;"&amp;ReportFrom)))</f>
        <v/>
      </c>
      <c r="Y71" s="25">
        <f>IF($A71="",0,SUMIFS('Sales Invoices'!$O$5:$O$2005,'Sales Invoices'!$P$5:$P$2005,$A71,'Sales Invoices'!$B$5:$B$2005,"&gt;="&amp;ReportFrom,'Sales Invoices'!$B$5:$B$2005,"&lt;="&amp;ReportTo)+SUMIFS('Sales Invoices'!$N$5:$N$2005,'Sales Invoices'!$R$5:$R$2005,$A71,'Sales Invoices'!$B$5:$B$2005,"&gt;="&amp;ReportFrom,'Sales Invoices'!$B$5:$B$2005,"&lt;="&amp;ReportTo))</f>
        <v/>
      </c>
      <c r="Z71" s="25">
        <f>IF($A71="",0,SUMIFS('Sales Invoices'!$L$5:$L$2005,'Sales Invoices'!$Q$5:$Q$2005,$A71,'Sales Invoices'!$B$5:$B$2005,"&gt;="&amp;ReportFrom,'Sales Invoices'!$B$5:$B$2005,"&lt;="&amp;ReportTo)+SUMIFS('Sales Invoices'!$M$5:$M$2005,'Sales Invoices'!$S$5:$S$2005,$A71,'Sales Invoices'!$B$5:$B$2005,"&gt;="&amp;ReportFrom,'Sales Invoices'!$B$5:$B$2005,"&lt;="&amp;ReportTo))</f>
        <v/>
      </c>
      <c r="AA71" s="25">
        <f>IF($A71="",0,(SUMIFS('Payment Vouchers'!$D$5:$D$2005,'Payment Vouchers'!$J$5:$J$2005,$A71,'Payment Vouchers'!$A$5:$A$2005,"&lt;"&amp;ReportFrom))-(SUMIFS('Payment Vouchers'!$D$5:$D$2005,'Payment Vouchers'!$K$5:$K$2005,$A71,'Payment Vouchers'!$A$5:$A$2005,"&lt;"&amp;ReportFrom)))</f>
        <v/>
      </c>
      <c r="AB71" s="25">
        <f>IF($A71="",0,SUMIFS('Payment Vouchers'!$D$5:$D$2005,'Payment Vouchers'!$J$5:$J$2005,$A71,'Payment Vouchers'!$A$5:$A$2005,"&gt;="&amp;ReportFrom,'Payment Vouchers'!$A$5:$A$2005,"&lt;="&amp;ReportTo))</f>
        <v/>
      </c>
      <c r="AC71" s="25">
        <f>IF($A71="",0,SUMIFS('Payment Vouchers'!$D$5:$D$2005,'Payment Vouchers'!$K$5:$K$2005,$A71,'Payment Vouchers'!$A$5:$A$2005,"&gt;="&amp;ReportFrom,'Payment Vouchers'!$A$5:$A$2005,"&lt;="&amp;ReportTo))</f>
        <v/>
      </c>
      <c r="AD71" s="25">
        <f>IF($A71="",0,(SUMIFS('Partner Transactions'!$D$5:$D$2005,'Partner Transactions'!$L$5:$L$2005,$A71,'Partner Transactions'!$A$5:$A$2005,"&lt;"&amp;ReportFrom))-(SUMIFS('Partner Transactions'!$D$5:$D$2005,'Partner Transactions'!$M$5:$M$2005,$A71,'Partner Transactions'!$A$5:$A$2005,"&lt;"&amp;ReportFrom)))</f>
        <v/>
      </c>
      <c r="AE71" s="25">
        <f>IF($A71="",0,SUMIFS('Partner Transactions'!$D$5:$D$2005,'Partner Transactions'!$L$5:$L$2005,$A71,'Partner Transactions'!$A$5:$A$2005,"&gt;="&amp;ReportFrom,'Partner Transactions'!$A$5:$A$2005,"&lt;="&amp;ReportTo))</f>
        <v/>
      </c>
      <c r="AF71" s="25">
        <f>IF($A71="",0,SUMIFS('Partner Transactions'!$D$5:$D$2005,'Partner Transactions'!$M$5:$M$2005,$A71,'Partner Transactions'!$A$5:$A$2005,"&gt;="&amp;ReportFrom,'Partner Transactions'!$A$5:$A$2005,"&lt;="&amp;ReportTo))</f>
        <v/>
      </c>
      <c r="AG71" s="25">
        <f>IF($A71="",0,(SUMIFS('Stock Moves'!$S$5:$S$2005,'Stock Moves'!$AD$5:$AD$2005,$A71,'Stock Moves'!$A$5:$A$2005,"&lt;"&amp;ReportFrom)+SUMIFS('Stock Moves'!$T$5:$T$2005,'Stock Moves'!$V$5:$V$2005,$A71,'Stock Moves'!$A$5:$A$2005,"&lt;"&amp;ReportFrom))-(SUMIFS('Stock Moves'!$AF$5:$AF$2005,'Stock Moves'!$AE$5:$AE$2005,$A71,'Stock Moves'!$A$5:$A$2005,"&lt;"&amp;ReportFrom)+SUMIFS('Stock Moves'!$AC$5:$AC$2005,'Stock Moves'!$X$5:$X$2005,$A71,'Stock Moves'!$A$5:$A$2005,"&lt;"&amp;ReportFrom)+SUMIFS('Stock Moves'!$U$5:$U$2005,'Stock Moves'!$W$5:$W$2005,$A71,'Stock Moves'!$A$5:$A$2005,"&lt;"&amp;ReportFrom)))</f>
        <v/>
      </c>
      <c r="AH71" s="25">
        <f>IF($A71="",0,SUMIFS('Stock Moves'!$S$5:$S$2005,'Stock Moves'!$AD$5:$AD$2005,$A71,'Stock Moves'!$A$5:$A$2005,"&gt;="&amp;ReportFrom,'Stock Moves'!$A$5:$A$2005,"&lt;="&amp;ReportTo)+SUMIFS('Stock Moves'!$T$5:$T$2005,'Stock Moves'!$V$5:$V$2005,$A71,'Stock Moves'!$A$5:$A$2005,"&gt;="&amp;ReportFrom,'Stock Moves'!$A$5:$A$2005,"&lt;="&amp;ReportTo))</f>
        <v/>
      </c>
      <c r="AI71" s="25">
        <f>IF($A71="",0,SUMIFS('Stock Moves'!$AF$5:$AF$2005,'Stock Moves'!$AE$5:$AE$2005,$A71,'Stock Moves'!$A$5:$A$2005,"&gt;="&amp;ReportFrom,'Stock Moves'!$A$5:$A$2005,"&lt;="&amp;ReportTo)+SUMIFS('Stock Moves'!$AC$5:$AC$2005,'Stock Moves'!$X$5:$X$2005,$A71,'Stock Moves'!$A$5:$A$2005,"&gt;="&amp;ReportFrom,'Stock Moves'!$A$5:$A$2005,"&lt;="&amp;ReportTo)+SUMIFS('Stock Moves'!$U$5:$U$2005,'Stock Moves'!$W$5:$W$2005,$A71,'Stock Moves'!$A$5:$A$2005,"&gt;="&amp;ReportFrom,'Stock Moves'!$A$5:$A$2005,"&lt;="&amp;ReportTo))</f>
        <v/>
      </c>
      <c r="AJ71" s="25">
        <f>IF($A71="",0,(SUMIFS('Journal Vouchers'!$I$5:$I$2005,'Journal Vouchers'!$H$5:$H$2005,$A71,'Journal Vouchers'!$B$5:$B$2005,"&lt;"&amp;ReportFrom))-(SUMIFS('Journal Vouchers'!$J$5:$J$2005,'Journal Vouchers'!$H$5:$H$2005,$A71,'Journal Vouchers'!$B$5:$B$2005,"&lt;"&amp;ReportFrom)))</f>
        <v/>
      </c>
      <c r="AK71" s="25">
        <f>IF($A71="",0,SUMIFS('Journal Vouchers'!$I$5:$I$2005,'Journal Vouchers'!$H$5:$H$2005,$A71,'Journal Vouchers'!$B$5:$B$2005,"&gt;="&amp;ReportFrom,'Journal Vouchers'!$B$5:$B$2005,"&lt;="&amp;ReportTo))</f>
        <v/>
      </c>
      <c r="AL71" s="25">
        <f>IF($A71="",0,SUMIFS('Journal Vouchers'!$J$5:$J$2005,'Journal Vouchers'!$H$5:$H$2005,$A71,'Journal Vouchers'!$B$5:$B$2005,"&gt;="&amp;ReportFrom,'Journal Vouchers'!$B$5:$B$2005,"&lt;="&amp;ReportTo))</f>
        <v/>
      </c>
    </row>
    <row r="72">
      <c r="A72" s="25">
        <f>IF('Chart of Accounts'!A72="","",'Chart of Accounts'!A72&amp;"")</f>
        <v/>
      </c>
      <c r="B72" s="25">
        <f>IF(A72="","",'Chart of Accounts'!B72)</f>
        <v/>
      </c>
      <c r="C72" s="25">
        <f>IF(A72="","",'Chart of Accounts'!C72)</f>
        <v/>
      </c>
      <c r="D72" s="25">
        <f>IF(A72="","",'Chart of Accounts'!D72)</f>
        <v/>
      </c>
      <c r="E72" s="26">
        <f>L72+O72+R72+U72+X72+AA72+AD72+AG72+AJ72</f>
        <v/>
      </c>
      <c r="F72" s="26">
        <f>M72+P72+S72+V72+Y72+AB72+AE72+AH72+AK72</f>
        <v/>
      </c>
      <c r="G72" s="26">
        <f>N72+Q72+T72+W72+Z72+AC72+AF72+AI72+AL72</f>
        <v/>
      </c>
      <c r="H72" s="26">
        <f>E72+F72-G72</f>
        <v/>
      </c>
      <c r="I72" s="26">
        <f>MAX(H72,0)</f>
        <v/>
      </c>
      <c r="J72" s="26">
        <f>MAX(-H72,0)</f>
        <v/>
      </c>
      <c r="L72" s="25">
        <f>IF($A72="",0,(SUMIFS('Direct Costs'!$R$5:$R$2005,'Direct Costs'!$V$5:$V$2005,$A72,'Direct Costs'!$A$5:$A$2005,"&lt;"&amp;ReportFrom)+SUMIFS('Direct Costs'!$S$5:$S$2005,'Direct Costs'!$Y$5:$Y$2005,$A72,'Direct Costs'!$A$5:$A$2005,"&lt;"&amp;ReportFrom))-(SUMIFS('Direct Costs'!$L$5:$L$2005,'Direct Costs'!$W$5:$W$2005,$A72,'Direct Costs'!$A$5:$A$2005,"&lt;"&amp;ReportFrom)+SUMIFS('Direct Costs'!$U$5:$U$2005,'Direct Costs'!$X$5:$X$2005,$A72,'Direct Costs'!$A$5:$A$2005,"&lt;"&amp;ReportFrom)+SUMIFS('Direct Costs'!$T$5:$T$2005,'Direct Costs'!$Z$5:$Z$2005,$A72,'Direct Costs'!$A$5:$A$2005,"&lt;"&amp;ReportFrom)))</f>
        <v/>
      </c>
      <c r="M72" s="25">
        <f>IF($A72="",0,SUMIFS('Direct Costs'!$R$5:$R$2005,'Direct Costs'!$V$5:$V$2005,$A72,'Direct Costs'!$A$5:$A$2005,"&gt;="&amp;ReportFrom,'Direct Costs'!$A$5:$A$2005,"&lt;="&amp;ReportTo)+SUMIFS('Direct Costs'!$S$5:$S$2005,'Direct Costs'!$Y$5:$Y$2005,$A72,'Direct Costs'!$A$5:$A$2005,"&gt;="&amp;ReportFrom,'Direct Costs'!$A$5:$A$2005,"&lt;="&amp;ReportTo))</f>
        <v/>
      </c>
      <c r="N72" s="25">
        <f>IF($A72="",0,SUMIFS('Direct Costs'!$L$5:$L$2005,'Direct Costs'!$W$5:$W$2005,$A72,'Direct Costs'!$A$5:$A$2005,"&gt;="&amp;ReportFrom,'Direct Costs'!$A$5:$A$2005,"&lt;="&amp;ReportTo)+SUMIFS('Direct Costs'!$U$5:$U$2005,'Direct Costs'!$X$5:$X$2005,$A72,'Direct Costs'!$A$5:$A$2005,"&gt;="&amp;ReportFrom,'Direct Costs'!$A$5:$A$2005,"&lt;="&amp;ReportTo)+SUMIFS('Direct Costs'!$T$5:$T$2005,'Direct Costs'!$Z$5:$Z$2005,$A72,'Direct Costs'!$A$5:$A$2005,"&gt;="&amp;ReportFrom,'Direct Costs'!$A$5:$A$2005,"&lt;="&amp;ReportTo))</f>
        <v/>
      </c>
      <c r="O72" s="25">
        <f>IF($A72="",0,(SUMIFS('Operating Expenses'!$F$5:$F$2005,'Operating Expenses'!$Q$5:$Q$2005,$A72,'Operating Expenses'!$A$5:$A$2005,"&lt;"&amp;ReportFrom)+SUMIFS('Operating Expenses'!$M$5:$M$2005,'Operating Expenses'!$T$5:$T$2005,$A72,'Operating Expenses'!$A$5:$A$2005,"&lt;"&amp;ReportFrom))-(SUMIFS('Operating Expenses'!$O$5:$O$2005,'Operating Expenses'!$R$5:$R$2005,$A72,'Operating Expenses'!$A$5:$A$2005,"&lt;"&amp;ReportFrom)+SUMIFS('Operating Expenses'!$P$5:$P$2005,'Operating Expenses'!$S$5:$S$2005,$A72,'Operating Expenses'!$A$5:$A$2005,"&lt;"&amp;ReportFrom)+SUMIFS('Operating Expenses'!$N$5:$N$2005,'Operating Expenses'!$U$5:$U$2005,$A72,'Operating Expenses'!$A$5:$A$2005,"&lt;"&amp;ReportFrom)))</f>
        <v/>
      </c>
      <c r="P72" s="25">
        <f>IF($A72="",0,SUMIFS('Operating Expenses'!$F$5:$F$2005,'Operating Expenses'!$Q$5:$Q$2005,$A72,'Operating Expenses'!$A$5:$A$2005,"&gt;="&amp;ReportFrom,'Operating Expenses'!$A$5:$A$2005,"&lt;="&amp;ReportTo)+SUMIFS('Operating Expenses'!$M$5:$M$2005,'Operating Expenses'!$T$5:$T$2005,$A72,'Operating Expenses'!$A$5:$A$2005,"&gt;="&amp;ReportFrom,'Operating Expenses'!$A$5:$A$2005,"&lt;="&amp;ReportTo))</f>
        <v/>
      </c>
      <c r="Q72" s="25">
        <f>IF($A72="",0,SUMIFS('Operating Expenses'!$O$5:$O$2005,'Operating Expenses'!$R$5:$R$2005,$A72,'Operating Expenses'!$A$5:$A$2005,"&gt;="&amp;ReportFrom,'Operating Expenses'!$A$5:$A$2005,"&lt;="&amp;ReportTo)+SUMIFS('Operating Expenses'!$P$5:$P$2005,'Operating Expenses'!$S$5:$S$2005,$A72,'Operating Expenses'!$A$5:$A$2005,"&gt;="&amp;ReportFrom,'Operating Expenses'!$A$5:$A$2005,"&lt;="&amp;ReportTo)+SUMIFS('Operating Expenses'!$N$5:$N$2005,'Operating Expenses'!$U$5:$U$2005,$A72,'Operating Expenses'!$A$5:$A$2005,"&gt;="&amp;ReportFrom,'Operating Expenses'!$A$5:$A$2005,"&lt;="&amp;ReportTo))</f>
        <v/>
      </c>
      <c r="R72" s="25">
        <f>IF($A72="",0,(SUMIFS('Payroll'!$O$5:$O$2005,'Payroll'!$Q$5:$Q$2005,$A72,'Payroll'!$A$5:$A$2005,"&lt;"&amp;ReportFrom))-(SUMIFS('Payroll'!$K$5:$K$2005,'Payroll'!$R$5:$R$2005,$A72,'Payroll'!$A$5:$A$2005,"&lt;"&amp;ReportFrom)+SUMIFS('Payroll'!$P$5:$P$2005,'Payroll'!$S$5:$S$2005,$A72,'Payroll'!$A$5:$A$2005,"&lt;"&amp;ReportFrom)))</f>
        <v/>
      </c>
      <c r="S72" s="25">
        <f>IF($A72="",0,SUMIFS('Payroll'!$O$5:$O$2005,'Payroll'!$Q$5:$Q$2005,$A72,'Payroll'!$A$5:$A$2005,"&gt;="&amp;ReportFrom,'Payroll'!$A$5:$A$2005,"&lt;="&amp;ReportTo))</f>
        <v/>
      </c>
      <c r="T72" s="25">
        <f>IF($A72="",0,SUMIFS('Payroll'!$K$5:$K$2005,'Payroll'!$R$5:$R$2005,$A72,'Payroll'!$A$5:$A$2005,"&gt;="&amp;ReportFrom,'Payroll'!$A$5:$A$2005,"&lt;="&amp;ReportTo)+SUMIFS('Payroll'!$P$5:$P$2005,'Payroll'!$S$5:$S$2005,$A72,'Payroll'!$A$5:$A$2005,"&gt;="&amp;ReportFrom,'Payroll'!$A$5:$A$2005,"&lt;="&amp;ReportTo))</f>
        <v/>
      </c>
      <c r="U72" s="25">
        <f>IF($A72="",0,(SUMIFS('Receipt Vouchers'!$F$5:$F$2005,'Receipt Vouchers'!$O$5:$O$2005,$A72,'Receipt Vouchers'!$A$5:$A$2005,"&lt;"&amp;ReportFrom)+SUMIFS('Receipt Vouchers'!$J$5:$J$2005,'Receipt Vouchers'!$Q$5:$Q$2005,$A72,'Receipt Vouchers'!$A$5:$A$2005,"&lt;"&amp;ReportFrom))-(SUMIFS('Receipt Vouchers'!$N$5:$N$2005,'Receipt Vouchers'!$P$5:$P$2005,$A72,'Receipt Vouchers'!$A$5:$A$2005,"&lt;"&amp;ReportFrom)+SUMIFS('Receipt Vouchers'!$M$5:$M$2005,'Receipt Vouchers'!$R$5:$R$2005,$A72,'Receipt Vouchers'!$A$5:$A$2005,"&lt;"&amp;ReportFrom)))</f>
        <v/>
      </c>
      <c r="V72" s="25">
        <f>IF($A72="",0,SUMIFS('Receipt Vouchers'!$F$5:$F$2005,'Receipt Vouchers'!$O$5:$O$2005,$A72,'Receipt Vouchers'!$A$5:$A$2005,"&gt;="&amp;ReportFrom,'Receipt Vouchers'!$A$5:$A$2005,"&lt;="&amp;ReportTo)+SUMIFS('Receipt Vouchers'!$J$5:$J$2005,'Receipt Vouchers'!$Q$5:$Q$2005,$A72,'Receipt Vouchers'!$A$5:$A$2005,"&gt;="&amp;ReportFrom,'Receipt Vouchers'!$A$5:$A$2005,"&lt;="&amp;ReportTo))</f>
        <v/>
      </c>
      <c r="W72" s="25">
        <f>IF($A72="",0,SUMIFS('Receipt Vouchers'!$N$5:$N$2005,'Receipt Vouchers'!$P$5:$P$2005,$A72,'Receipt Vouchers'!$A$5:$A$2005,"&gt;="&amp;ReportFrom,'Receipt Vouchers'!$A$5:$A$2005,"&lt;="&amp;ReportTo)+SUMIFS('Receipt Vouchers'!$M$5:$M$2005,'Receipt Vouchers'!$R$5:$R$2005,$A72,'Receipt Vouchers'!$A$5:$A$2005,"&gt;="&amp;ReportFrom,'Receipt Vouchers'!$A$5:$A$2005,"&lt;="&amp;ReportTo))</f>
        <v/>
      </c>
      <c r="X72" s="25">
        <f>IF($A72="",0,(SUMIFS('Sales Invoices'!$O$5:$O$2005,'Sales Invoices'!$P$5:$P$2005,$A72,'Sales Invoices'!$B$5:$B$2005,"&lt;"&amp;ReportFrom)+SUMIFS('Sales Invoices'!$N$5:$N$2005,'Sales Invoices'!$R$5:$R$2005,$A72,'Sales Invoices'!$B$5:$B$2005,"&lt;"&amp;ReportFrom))-(SUMIFS('Sales Invoices'!$L$5:$L$2005,'Sales Invoices'!$Q$5:$Q$2005,$A72,'Sales Invoices'!$B$5:$B$2005,"&lt;"&amp;ReportFrom)+SUMIFS('Sales Invoices'!$M$5:$M$2005,'Sales Invoices'!$S$5:$S$2005,$A72,'Sales Invoices'!$B$5:$B$2005,"&lt;"&amp;ReportFrom)))</f>
        <v/>
      </c>
      <c r="Y72" s="25">
        <f>IF($A72="",0,SUMIFS('Sales Invoices'!$O$5:$O$2005,'Sales Invoices'!$P$5:$P$2005,$A72,'Sales Invoices'!$B$5:$B$2005,"&gt;="&amp;ReportFrom,'Sales Invoices'!$B$5:$B$2005,"&lt;="&amp;ReportTo)+SUMIFS('Sales Invoices'!$N$5:$N$2005,'Sales Invoices'!$R$5:$R$2005,$A72,'Sales Invoices'!$B$5:$B$2005,"&gt;="&amp;ReportFrom,'Sales Invoices'!$B$5:$B$2005,"&lt;="&amp;ReportTo))</f>
        <v/>
      </c>
      <c r="Z72" s="25">
        <f>IF($A72="",0,SUMIFS('Sales Invoices'!$L$5:$L$2005,'Sales Invoices'!$Q$5:$Q$2005,$A72,'Sales Invoices'!$B$5:$B$2005,"&gt;="&amp;ReportFrom,'Sales Invoices'!$B$5:$B$2005,"&lt;="&amp;ReportTo)+SUMIFS('Sales Invoices'!$M$5:$M$2005,'Sales Invoices'!$S$5:$S$2005,$A72,'Sales Invoices'!$B$5:$B$2005,"&gt;="&amp;ReportFrom,'Sales Invoices'!$B$5:$B$2005,"&lt;="&amp;ReportTo))</f>
        <v/>
      </c>
      <c r="AA72" s="25">
        <f>IF($A72="",0,(SUMIFS('Payment Vouchers'!$D$5:$D$2005,'Payment Vouchers'!$J$5:$J$2005,$A72,'Payment Vouchers'!$A$5:$A$2005,"&lt;"&amp;ReportFrom))-(SUMIFS('Payment Vouchers'!$D$5:$D$2005,'Payment Vouchers'!$K$5:$K$2005,$A72,'Payment Vouchers'!$A$5:$A$2005,"&lt;"&amp;ReportFrom)))</f>
        <v/>
      </c>
      <c r="AB72" s="25">
        <f>IF($A72="",0,SUMIFS('Payment Vouchers'!$D$5:$D$2005,'Payment Vouchers'!$J$5:$J$2005,$A72,'Payment Vouchers'!$A$5:$A$2005,"&gt;="&amp;ReportFrom,'Payment Vouchers'!$A$5:$A$2005,"&lt;="&amp;ReportTo))</f>
        <v/>
      </c>
      <c r="AC72" s="25">
        <f>IF($A72="",0,SUMIFS('Payment Vouchers'!$D$5:$D$2005,'Payment Vouchers'!$K$5:$K$2005,$A72,'Payment Vouchers'!$A$5:$A$2005,"&gt;="&amp;ReportFrom,'Payment Vouchers'!$A$5:$A$2005,"&lt;="&amp;ReportTo))</f>
        <v/>
      </c>
      <c r="AD72" s="25">
        <f>IF($A72="",0,(SUMIFS('Partner Transactions'!$D$5:$D$2005,'Partner Transactions'!$L$5:$L$2005,$A72,'Partner Transactions'!$A$5:$A$2005,"&lt;"&amp;ReportFrom))-(SUMIFS('Partner Transactions'!$D$5:$D$2005,'Partner Transactions'!$M$5:$M$2005,$A72,'Partner Transactions'!$A$5:$A$2005,"&lt;"&amp;ReportFrom)))</f>
        <v/>
      </c>
      <c r="AE72" s="25">
        <f>IF($A72="",0,SUMIFS('Partner Transactions'!$D$5:$D$2005,'Partner Transactions'!$L$5:$L$2005,$A72,'Partner Transactions'!$A$5:$A$2005,"&gt;="&amp;ReportFrom,'Partner Transactions'!$A$5:$A$2005,"&lt;="&amp;ReportTo))</f>
        <v/>
      </c>
      <c r="AF72" s="25">
        <f>IF($A72="",0,SUMIFS('Partner Transactions'!$D$5:$D$2005,'Partner Transactions'!$M$5:$M$2005,$A72,'Partner Transactions'!$A$5:$A$2005,"&gt;="&amp;ReportFrom,'Partner Transactions'!$A$5:$A$2005,"&lt;="&amp;ReportTo))</f>
        <v/>
      </c>
      <c r="AG72" s="25">
        <f>IF($A72="",0,(SUMIFS('Stock Moves'!$S$5:$S$2005,'Stock Moves'!$AD$5:$AD$2005,$A72,'Stock Moves'!$A$5:$A$2005,"&lt;"&amp;ReportFrom)+SUMIFS('Stock Moves'!$T$5:$T$2005,'Stock Moves'!$V$5:$V$2005,$A72,'Stock Moves'!$A$5:$A$2005,"&lt;"&amp;ReportFrom))-(SUMIFS('Stock Moves'!$AF$5:$AF$2005,'Stock Moves'!$AE$5:$AE$2005,$A72,'Stock Moves'!$A$5:$A$2005,"&lt;"&amp;ReportFrom)+SUMIFS('Stock Moves'!$AC$5:$AC$2005,'Stock Moves'!$X$5:$X$2005,$A72,'Stock Moves'!$A$5:$A$2005,"&lt;"&amp;ReportFrom)+SUMIFS('Stock Moves'!$U$5:$U$2005,'Stock Moves'!$W$5:$W$2005,$A72,'Stock Moves'!$A$5:$A$2005,"&lt;"&amp;ReportFrom)))</f>
        <v/>
      </c>
      <c r="AH72" s="25">
        <f>IF($A72="",0,SUMIFS('Stock Moves'!$S$5:$S$2005,'Stock Moves'!$AD$5:$AD$2005,$A72,'Stock Moves'!$A$5:$A$2005,"&gt;="&amp;ReportFrom,'Stock Moves'!$A$5:$A$2005,"&lt;="&amp;ReportTo)+SUMIFS('Stock Moves'!$T$5:$T$2005,'Stock Moves'!$V$5:$V$2005,$A72,'Stock Moves'!$A$5:$A$2005,"&gt;="&amp;ReportFrom,'Stock Moves'!$A$5:$A$2005,"&lt;="&amp;ReportTo))</f>
        <v/>
      </c>
      <c r="AI72" s="25">
        <f>IF($A72="",0,SUMIFS('Stock Moves'!$AF$5:$AF$2005,'Stock Moves'!$AE$5:$AE$2005,$A72,'Stock Moves'!$A$5:$A$2005,"&gt;="&amp;ReportFrom,'Stock Moves'!$A$5:$A$2005,"&lt;="&amp;ReportTo)+SUMIFS('Stock Moves'!$AC$5:$AC$2005,'Stock Moves'!$X$5:$X$2005,$A72,'Stock Moves'!$A$5:$A$2005,"&gt;="&amp;ReportFrom,'Stock Moves'!$A$5:$A$2005,"&lt;="&amp;ReportTo)+SUMIFS('Stock Moves'!$U$5:$U$2005,'Stock Moves'!$W$5:$W$2005,$A72,'Stock Moves'!$A$5:$A$2005,"&gt;="&amp;ReportFrom,'Stock Moves'!$A$5:$A$2005,"&lt;="&amp;ReportTo))</f>
        <v/>
      </c>
      <c r="AJ72" s="25">
        <f>IF($A72="",0,(SUMIFS('Journal Vouchers'!$I$5:$I$2005,'Journal Vouchers'!$H$5:$H$2005,$A72,'Journal Vouchers'!$B$5:$B$2005,"&lt;"&amp;ReportFrom))-(SUMIFS('Journal Vouchers'!$J$5:$J$2005,'Journal Vouchers'!$H$5:$H$2005,$A72,'Journal Vouchers'!$B$5:$B$2005,"&lt;"&amp;ReportFrom)))</f>
        <v/>
      </c>
      <c r="AK72" s="25">
        <f>IF($A72="",0,SUMIFS('Journal Vouchers'!$I$5:$I$2005,'Journal Vouchers'!$H$5:$H$2005,$A72,'Journal Vouchers'!$B$5:$B$2005,"&gt;="&amp;ReportFrom,'Journal Vouchers'!$B$5:$B$2005,"&lt;="&amp;ReportTo))</f>
        <v/>
      </c>
      <c r="AL72" s="25">
        <f>IF($A72="",0,SUMIFS('Journal Vouchers'!$J$5:$J$2005,'Journal Vouchers'!$H$5:$H$2005,$A72,'Journal Vouchers'!$B$5:$B$2005,"&gt;="&amp;ReportFrom,'Journal Vouchers'!$B$5:$B$2005,"&lt;="&amp;ReportTo))</f>
        <v/>
      </c>
    </row>
    <row r="73">
      <c r="A73" s="25">
        <f>IF('Chart of Accounts'!A73="","",'Chart of Accounts'!A73&amp;"")</f>
        <v/>
      </c>
      <c r="B73" s="25">
        <f>IF(A73="","",'Chart of Accounts'!B73)</f>
        <v/>
      </c>
      <c r="C73" s="25">
        <f>IF(A73="","",'Chart of Accounts'!C73)</f>
        <v/>
      </c>
      <c r="D73" s="25">
        <f>IF(A73="","",'Chart of Accounts'!D73)</f>
        <v/>
      </c>
      <c r="E73" s="26">
        <f>L73+O73+R73+U73+X73+AA73+AD73+AG73+AJ73</f>
        <v/>
      </c>
      <c r="F73" s="26">
        <f>M73+P73+S73+V73+Y73+AB73+AE73+AH73+AK73</f>
        <v/>
      </c>
      <c r="G73" s="26">
        <f>N73+Q73+T73+W73+Z73+AC73+AF73+AI73+AL73</f>
        <v/>
      </c>
      <c r="H73" s="26">
        <f>E73+F73-G73</f>
        <v/>
      </c>
      <c r="I73" s="26">
        <f>MAX(H73,0)</f>
        <v/>
      </c>
      <c r="J73" s="26">
        <f>MAX(-H73,0)</f>
        <v/>
      </c>
      <c r="L73" s="25">
        <f>IF($A73="",0,(SUMIFS('Direct Costs'!$R$5:$R$2005,'Direct Costs'!$V$5:$V$2005,$A73,'Direct Costs'!$A$5:$A$2005,"&lt;"&amp;ReportFrom)+SUMIFS('Direct Costs'!$S$5:$S$2005,'Direct Costs'!$Y$5:$Y$2005,$A73,'Direct Costs'!$A$5:$A$2005,"&lt;"&amp;ReportFrom))-(SUMIFS('Direct Costs'!$L$5:$L$2005,'Direct Costs'!$W$5:$W$2005,$A73,'Direct Costs'!$A$5:$A$2005,"&lt;"&amp;ReportFrom)+SUMIFS('Direct Costs'!$U$5:$U$2005,'Direct Costs'!$X$5:$X$2005,$A73,'Direct Costs'!$A$5:$A$2005,"&lt;"&amp;ReportFrom)+SUMIFS('Direct Costs'!$T$5:$T$2005,'Direct Costs'!$Z$5:$Z$2005,$A73,'Direct Costs'!$A$5:$A$2005,"&lt;"&amp;ReportFrom)))</f>
        <v/>
      </c>
      <c r="M73" s="25">
        <f>IF($A73="",0,SUMIFS('Direct Costs'!$R$5:$R$2005,'Direct Costs'!$V$5:$V$2005,$A73,'Direct Costs'!$A$5:$A$2005,"&gt;="&amp;ReportFrom,'Direct Costs'!$A$5:$A$2005,"&lt;="&amp;ReportTo)+SUMIFS('Direct Costs'!$S$5:$S$2005,'Direct Costs'!$Y$5:$Y$2005,$A73,'Direct Costs'!$A$5:$A$2005,"&gt;="&amp;ReportFrom,'Direct Costs'!$A$5:$A$2005,"&lt;="&amp;ReportTo))</f>
        <v/>
      </c>
      <c r="N73" s="25">
        <f>IF($A73="",0,SUMIFS('Direct Costs'!$L$5:$L$2005,'Direct Costs'!$W$5:$W$2005,$A73,'Direct Costs'!$A$5:$A$2005,"&gt;="&amp;ReportFrom,'Direct Costs'!$A$5:$A$2005,"&lt;="&amp;ReportTo)+SUMIFS('Direct Costs'!$U$5:$U$2005,'Direct Costs'!$X$5:$X$2005,$A73,'Direct Costs'!$A$5:$A$2005,"&gt;="&amp;ReportFrom,'Direct Costs'!$A$5:$A$2005,"&lt;="&amp;ReportTo)+SUMIFS('Direct Costs'!$T$5:$T$2005,'Direct Costs'!$Z$5:$Z$2005,$A73,'Direct Costs'!$A$5:$A$2005,"&gt;="&amp;ReportFrom,'Direct Costs'!$A$5:$A$2005,"&lt;="&amp;ReportTo))</f>
        <v/>
      </c>
      <c r="O73" s="25">
        <f>IF($A73="",0,(SUMIFS('Operating Expenses'!$F$5:$F$2005,'Operating Expenses'!$Q$5:$Q$2005,$A73,'Operating Expenses'!$A$5:$A$2005,"&lt;"&amp;ReportFrom)+SUMIFS('Operating Expenses'!$M$5:$M$2005,'Operating Expenses'!$T$5:$T$2005,$A73,'Operating Expenses'!$A$5:$A$2005,"&lt;"&amp;ReportFrom))-(SUMIFS('Operating Expenses'!$O$5:$O$2005,'Operating Expenses'!$R$5:$R$2005,$A73,'Operating Expenses'!$A$5:$A$2005,"&lt;"&amp;ReportFrom)+SUMIFS('Operating Expenses'!$P$5:$P$2005,'Operating Expenses'!$S$5:$S$2005,$A73,'Operating Expenses'!$A$5:$A$2005,"&lt;"&amp;ReportFrom)+SUMIFS('Operating Expenses'!$N$5:$N$2005,'Operating Expenses'!$U$5:$U$2005,$A73,'Operating Expenses'!$A$5:$A$2005,"&lt;"&amp;ReportFrom)))</f>
        <v/>
      </c>
      <c r="P73" s="25">
        <f>IF($A73="",0,SUMIFS('Operating Expenses'!$F$5:$F$2005,'Operating Expenses'!$Q$5:$Q$2005,$A73,'Operating Expenses'!$A$5:$A$2005,"&gt;="&amp;ReportFrom,'Operating Expenses'!$A$5:$A$2005,"&lt;="&amp;ReportTo)+SUMIFS('Operating Expenses'!$M$5:$M$2005,'Operating Expenses'!$T$5:$T$2005,$A73,'Operating Expenses'!$A$5:$A$2005,"&gt;="&amp;ReportFrom,'Operating Expenses'!$A$5:$A$2005,"&lt;="&amp;ReportTo))</f>
        <v/>
      </c>
      <c r="Q73" s="25">
        <f>IF($A73="",0,SUMIFS('Operating Expenses'!$O$5:$O$2005,'Operating Expenses'!$R$5:$R$2005,$A73,'Operating Expenses'!$A$5:$A$2005,"&gt;="&amp;ReportFrom,'Operating Expenses'!$A$5:$A$2005,"&lt;="&amp;ReportTo)+SUMIFS('Operating Expenses'!$P$5:$P$2005,'Operating Expenses'!$S$5:$S$2005,$A73,'Operating Expenses'!$A$5:$A$2005,"&gt;="&amp;ReportFrom,'Operating Expenses'!$A$5:$A$2005,"&lt;="&amp;ReportTo)+SUMIFS('Operating Expenses'!$N$5:$N$2005,'Operating Expenses'!$U$5:$U$2005,$A73,'Operating Expenses'!$A$5:$A$2005,"&gt;="&amp;ReportFrom,'Operating Expenses'!$A$5:$A$2005,"&lt;="&amp;ReportTo))</f>
        <v/>
      </c>
      <c r="R73" s="25">
        <f>IF($A73="",0,(SUMIFS('Payroll'!$O$5:$O$2005,'Payroll'!$Q$5:$Q$2005,$A73,'Payroll'!$A$5:$A$2005,"&lt;"&amp;ReportFrom))-(SUMIFS('Payroll'!$K$5:$K$2005,'Payroll'!$R$5:$R$2005,$A73,'Payroll'!$A$5:$A$2005,"&lt;"&amp;ReportFrom)+SUMIFS('Payroll'!$P$5:$P$2005,'Payroll'!$S$5:$S$2005,$A73,'Payroll'!$A$5:$A$2005,"&lt;"&amp;ReportFrom)))</f>
        <v/>
      </c>
      <c r="S73" s="25">
        <f>IF($A73="",0,SUMIFS('Payroll'!$O$5:$O$2005,'Payroll'!$Q$5:$Q$2005,$A73,'Payroll'!$A$5:$A$2005,"&gt;="&amp;ReportFrom,'Payroll'!$A$5:$A$2005,"&lt;="&amp;ReportTo))</f>
        <v/>
      </c>
      <c r="T73" s="25">
        <f>IF($A73="",0,SUMIFS('Payroll'!$K$5:$K$2005,'Payroll'!$R$5:$R$2005,$A73,'Payroll'!$A$5:$A$2005,"&gt;="&amp;ReportFrom,'Payroll'!$A$5:$A$2005,"&lt;="&amp;ReportTo)+SUMIFS('Payroll'!$P$5:$P$2005,'Payroll'!$S$5:$S$2005,$A73,'Payroll'!$A$5:$A$2005,"&gt;="&amp;ReportFrom,'Payroll'!$A$5:$A$2005,"&lt;="&amp;ReportTo))</f>
        <v/>
      </c>
      <c r="U73" s="25">
        <f>IF($A73="",0,(SUMIFS('Receipt Vouchers'!$F$5:$F$2005,'Receipt Vouchers'!$O$5:$O$2005,$A73,'Receipt Vouchers'!$A$5:$A$2005,"&lt;"&amp;ReportFrom)+SUMIFS('Receipt Vouchers'!$J$5:$J$2005,'Receipt Vouchers'!$Q$5:$Q$2005,$A73,'Receipt Vouchers'!$A$5:$A$2005,"&lt;"&amp;ReportFrom))-(SUMIFS('Receipt Vouchers'!$N$5:$N$2005,'Receipt Vouchers'!$P$5:$P$2005,$A73,'Receipt Vouchers'!$A$5:$A$2005,"&lt;"&amp;ReportFrom)+SUMIFS('Receipt Vouchers'!$M$5:$M$2005,'Receipt Vouchers'!$R$5:$R$2005,$A73,'Receipt Vouchers'!$A$5:$A$2005,"&lt;"&amp;ReportFrom)))</f>
        <v/>
      </c>
      <c r="V73" s="25">
        <f>IF($A73="",0,SUMIFS('Receipt Vouchers'!$F$5:$F$2005,'Receipt Vouchers'!$O$5:$O$2005,$A73,'Receipt Vouchers'!$A$5:$A$2005,"&gt;="&amp;ReportFrom,'Receipt Vouchers'!$A$5:$A$2005,"&lt;="&amp;ReportTo)+SUMIFS('Receipt Vouchers'!$J$5:$J$2005,'Receipt Vouchers'!$Q$5:$Q$2005,$A73,'Receipt Vouchers'!$A$5:$A$2005,"&gt;="&amp;ReportFrom,'Receipt Vouchers'!$A$5:$A$2005,"&lt;="&amp;ReportTo))</f>
        <v/>
      </c>
      <c r="W73" s="25">
        <f>IF($A73="",0,SUMIFS('Receipt Vouchers'!$N$5:$N$2005,'Receipt Vouchers'!$P$5:$P$2005,$A73,'Receipt Vouchers'!$A$5:$A$2005,"&gt;="&amp;ReportFrom,'Receipt Vouchers'!$A$5:$A$2005,"&lt;="&amp;ReportTo)+SUMIFS('Receipt Vouchers'!$M$5:$M$2005,'Receipt Vouchers'!$R$5:$R$2005,$A73,'Receipt Vouchers'!$A$5:$A$2005,"&gt;="&amp;ReportFrom,'Receipt Vouchers'!$A$5:$A$2005,"&lt;="&amp;ReportTo))</f>
        <v/>
      </c>
      <c r="X73" s="25">
        <f>IF($A73="",0,(SUMIFS('Sales Invoices'!$O$5:$O$2005,'Sales Invoices'!$P$5:$P$2005,$A73,'Sales Invoices'!$B$5:$B$2005,"&lt;"&amp;ReportFrom)+SUMIFS('Sales Invoices'!$N$5:$N$2005,'Sales Invoices'!$R$5:$R$2005,$A73,'Sales Invoices'!$B$5:$B$2005,"&lt;"&amp;ReportFrom))-(SUMIFS('Sales Invoices'!$L$5:$L$2005,'Sales Invoices'!$Q$5:$Q$2005,$A73,'Sales Invoices'!$B$5:$B$2005,"&lt;"&amp;ReportFrom)+SUMIFS('Sales Invoices'!$M$5:$M$2005,'Sales Invoices'!$S$5:$S$2005,$A73,'Sales Invoices'!$B$5:$B$2005,"&lt;"&amp;ReportFrom)))</f>
        <v/>
      </c>
      <c r="Y73" s="25">
        <f>IF($A73="",0,SUMIFS('Sales Invoices'!$O$5:$O$2005,'Sales Invoices'!$P$5:$P$2005,$A73,'Sales Invoices'!$B$5:$B$2005,"&gt;="&amp;ReportFrom,'Sales Invoices'!$B$5:$B$2005,"&lt;="&amp;ReportTo)+SUMIFS('Sales Invoices'!$N$5:$N$2005,'Sales Invoices'!$R$5:$R$2005,$A73,'Sales Invoices'!$B$5:$B$2005,"&gt;="&amp;ReportFrom,'Sales Invoices'!$B$5:$B$2005,"&lt;="&amp;ReportTo))</f>
        <v/>
      </c>
      <c r="Z73" s="25">
        <f>IF($A73="",0,SUMIFS('Sales Invoices'!$L$5:$L$2005,'Sales Invoices'!$Q$5:$Q$2005,$A73,'Sales Invoices'!$B$5:$B$2005,"&gt;="&amp;ReportFrom,'Sales Invoices'!$B$5:$B$2005,"&lt;="&amp;ReportTo)+SUMIFS('Sales Invoices'!$M$5:$M$2005,'Sales Invoices'!$S$5:$S$2005,$A73,'Sales Invoices'!$B$5:$B$2005,"&gt;="&amp;ReportFrom,'Sales Invoices'!$B$5:$B$2005,"&lt;="&amp;ReportTo))</f>
        <v/>
      </c>
      <c r="AA73" s="25">
        <f>IF($A73="",0,(SUMIFS('Payment Vouchers'!$D$5:$D$2005,'Payment Vouchers'!$J$5:$J$2005,$A73,'Payment Vouchers'!$A$5:$A$2005,"&lt;"&amp;ReportFrom))-(SUMIFS('Payment Vouchers'!$D$5:$D$2005,'Payment Vouchers'!$K$5:$K$2005,$A73,'Payment Vouchers'!$A$5:$A$2005,"&lt;"&amp;ReportFrom)))</f>
        <v/>
      </c>
      <c r="AB73" s="25">
        <f>IF($A73="",0,SUMIFS('Payment Vouchers'!$D$5:$D$2005,'Payment Vouchers'!$J$5:$J$2005,$A73,'Payment Vouchers'!$A$5:$A$2005,"&gt;="&amp;ReportFrom,'Payment Vouchers'!$A$5:$A$2005,"&lt;="&amp;ReportTo))</f>
        <v/>
      </c>
      <c r="AC73" s="25">
        <f>IF($A73="",0,SUMIFS('Payment Vouchers'!$D$5:$D$2005,'Payment Vouchers'!$K$5:$K$2005,$A73,'Payment Vouchers'!$A$5:$A$2005,"&gt;="&amp;ReportFrom,'Payment Vouchers'!$A$5:$A$2005,"&lt;="&amp;ReportTo))</f>
        <v/>
      </c>
      <c r="AD73" s="25">
        <f>IF($A73="",0,(SUMIFS('Partner Transactions'!$D$5:$D$2005,'Partner Transactions'!$L$5:$L$2005,$A73,'Partner Transactions'!$A$5:$A$2005,"&lt;"&amp;ReportFrom))-(SUMIFS('Partner Transactions'!$D$5:$D$2005,'Partner Transactions'!$M$5:$M$2005,$A73,'Partner Transactions'!$A$5:$A$2005,"&lt;"&amp;ReportFrom)))</f>
        <v/>
      </c>
      <c r="AE73" s="25">
        <f>IF($A73="",0,SUMIFS('Partner Transactions'!$D$5:$D$2005,'Partner Transactions'!$L$5:$L$2005,$A73,'Partner Transactions'!$A$5:$A$2005,"&gt;="&amp;ReportFrom,'Partner Transactions'!$A$5:$A$2005,"&lt;="&amp;ReportTo))</f>
        <v/>
      </c>
      <c r="AF73" s="25">
        <f>IF($A73="",0,SUMIFS('Partner Transactions'!$D$5:$D$2005,'Partner Transactions'!$M$5:$M$2005,$A73,'Partner Transactions'!$A$5:$A$2005,"&gt;="&amp;ReportFrom,'Partner Transactions'!$A$5:$A$2005,"&lt;="&amp;ReportTo))</f>
        <v/>
      </c>
      <c r="AG73" s="25">
        <f>IF($A73="",0,(SUMIFS('Stock Moves'!$S$5:$S$2005,'Stock Moves'!$AD$5:$AD$2005,$A73,'Stock Moves'!$A$5:$A$2005,"&lt;"&amp;ReportFrom)+SUMIFS('Stock Moves'!$T$5:$T$2005,'Stock Moves'!$V$5:$V$2005,$A73,'Stock Moves'!$A$5:$A$2005,"&lt;"&amp;ReportFrom))-(SUMIFS('Stock Moves'!$AF$5:$AF$2005,'Stock Moves'!$AE$5:$AE$2005,$A73,'Stock Moves'!$A$5:$A$2005,"&lt;"&amp;ReportFrom)+SUMIFS('Stock Moves'!$AC$5:$AC$2005,'Stock Moves'!$X$5:$X$2005,$A73,'Stock Moves'!$A$5:$A$2005,"&lt;"&amp;ReportFrom)+SUMIFS('Stock Moves'!$U$5:$U$2005,'Stock Moves'!$W$5:$W$2005,$A73,'Stock Moves'!$A$5:$A$2005,"&lt;"&amp;ReportFrom)))</f>
        <v/>
      </c>
      <c r="AH73" s="25">
        <f>IF($A73="",0,SUMIFS('Stock Moves'!$S$5:$S$2005,'Stock Moves'!$AD$5:$AD$2005,$A73,'Stock Moves'!$A$5:$A$2005,"&gt;="&amp;ReportFrom,'Stock Moves'!$A$5:$A$2005,"&lt;="&amp;ReportTo)+SUMIFS('Stock Moves'!$T$5:$T$2005,'Stock Moves'!$V$5:$V$2005,$A73,'Stock Moves'!$A$5:$A$2005,"&gt;="&amp;ReportFrom,'Stock Moves'!$A$5:$A$2005,"&lt;="&amp;ReportTo))</f>
        <v/>
      </c>
      <c r="AI73" s="25">
        <f>IF($A73="",0,SUMIFS('Stock Moves'!$AF$5:$AF$2005,'Stock Moves'!$AE$5:$AE$2005,$A73,'Stock Moves'!$A$5:$A$2005,"&gt;="&amp;ReportFrom,'Stock Moves'!$A$5:$A$2005,"&lt;="&amp;ReportTo)+SUMIFS('Stock Moves'!$AC$5:$AC$2005,'Stock Moves'!$X$5:$X$2005,$A73,'Stock Moves'!$A$5:$A$2005,"&gt;="&amp;ReportFrom,'Stock Moves'!$A$5:$A$2005,"&lt;="&amp;ReportTo)+SUMIFS('Stock Moves'!$U$5:$U$2005,'Stock Moves'!$W$5:$W$2005,$A73,'Stock Moves'!$A$5:$A$2005,"&gt;="&amp;ReportFrom,'Stock Moves'!$A$5:$A$2005,"&lt;="&amp;ReportTo))</f>
        <v/>
      </c>
      <c r="AJ73" s="25">
        <f>IF($A73="",0,(SUMIFS('Journal Vouchers'!$I$5:$I$2005,'Journal Vouchers'!$H$5:$H$2005,$A73,'Journal Vouchers'!$B$5:$B$2005,"&lt;"&amp;ReportFrom))-(SUMIFS('Journal Vouchers'!$J$5:$J$2005,'Journal Vouchers'!$H$5:$H$2005,$A73,'Journal Vouchers'!$B$5:$B$2005,"&lt;"&amp;ReportFrom)))</f>
        <v/>
      </c>
      <c r="AK73" s="25">
        <f>IF($A73="",0,SUMIFS('Journal Vouchers'!$I$5:$I$2005,'Journal Vouchers'!$H$5:$H$2005,$A73,'Journal Vouchers'!$B$5:$B$2005,"&gt;="&amp;ReportFrom,'Journal Vouchers'!$B$5:$B$2005,"&lt;="&amp;ReportTo))</f>
        <v/>
      </c>
      <c r="AL73" s="25">
        <f>IF($A73="",0,SUMIFS('Journal Vouchers'!$J$5:$J$2005,'Journal Vouchers'!$H$5:$H$2005,$A73,'Journal Vouchers'!$B$5:$B$2005,"&gt;="&amp;ReportFrom,'Journal Vouchers'!$B$5:$B$2005,"&lt;="&amp;ReportTo))</f>
        <v/>
      </c>
    </row>
    <row r="74">
      <c r="A74" s="25">
        <f>IF('Chart of Accounts'!A74="","",'Chart of Accounts'!A74&amp;"")</f>
        <v/>
      </c>
      <c r="B74" s="25">
        <f>IF(A74="","",'Chart of Accounts'!B74)</f>
        <v/>
      </c>
      <c r="C74" s="25">
        <f>IF(A74="","",'Chart of Accounts'!C74)</f>
        <v/>
      </c>
      <c r="D74" s="25">
        <f>IF(A74="","",'Chart of Accounts'!D74)</f>
        <v/>
      </c>
      <c r="E74" s="26">
        <f>L74+O74+R74+U74+X74+AA74+AD74+AG74+AJ74</f>
        <v/>
      </c>
      <c r="F74" s="26">
        <f>M74+P74+S74+V74+Y74+AB74+AE74+AH74+AK74</f>
        <v/>
      </c>
      <c r="G74" s="26">
        <f>N74+Q74+T74+W74+Z74+AC74+AF74+AI74+AL74</f>
        <v/>
      </c>
      <c r="H74" s="26">
        <f>E74+F74-G74</f>
        <v/>
      </c>
      <c r="I74" s="26">
        <f>MAX(H74,0)</f>
        <v/>
      </c>
      <c r="J74" s="26">
        <f>MAX(-H74,0)</f>
        <v/>
      </c>
      <c r="L74" s="25">
        <f>IF($A74="",0,(SUMIFS('Direct Costs'!$R$5:$R$2005,'Direct Costs'!$V$5:$V$2005,$A74,'Direct Costs'!$A$5:$A$2005,"&lt;"&amp;ReportFrom)+SUMIFS('Direct Costs'!$S$5:$S$2005,'Direct Costs'!$Y$5:$Y$2005,$A74,'Direct Costs'!$A$5:$A$2005,"&lt;"&amp;ReportFrom))-(SUMIFS('Direct Costs'!$L$5:$L$2005,'Direct Costs'!$W$5:$W$2005,$A74,'Direct Costs'!$A$5:$A$2005,"&lt;"&amp;ReportFrom)+SUMIFS('Direct Costs'!$U$5:$U$2005,'Direct Costs'!$X$5:$X$2005,$A74,'Direct Costs'!$A$5:$A$2005,"&lt;"&amp;ReportFrom)+SUMIFS('Direct Costs'!$T$5:$T$2005,'Direct Costs'!$Z$5:$Z$2005,$A74,'Direct Costs'!$A$5:$A$2005,"&lt;"&amp;ReportFrom)))</f>
        <v/>
      </c>
      <c r="M74" s="25">
        <f>IF($A74="",0,SUMIFS('Direct Costs'!$R$5:$R$2005,'Direct Costs'!$V$5:$V$2005,$A74,'Direct Costs'!$A$5:$A$2005,"&gt;="&amp;ReportFrom,'Direct Costs'!$A$5:$A$2005,"&lt;="&amp;ReportTo)+SUMIFS('Direct Costs'!$S$5:$S$2005,'Direct Costs'!$Y$5:$Y$2005,$A74,'Direct Costs'!$A$5:$A$2005,"&gt;="&amp;ReportFrom,'Direct Costs'!$A$5:$A$2005,"&lt;="&amp;ReportTo))</f>
        <v/>
      </c>
      <c r="N74" s="25">
        <f>IF($A74="",0,SUMIFS('Direct Costs'!$L$5:$L$2005,'Direct Costs'!$W$5:$W$2005,$A74,'Direct Costs'!$A$5:$A$2005,"&gt;="&amp;ReportFrom,'Direct Costs'!$A$5:$A$2005,"&lt;="&amp;ReportTo)+SUMIFS('Direct Costs'!$U$5:$U$2005,'Direct Costs'!$X$5:$X$2005,$A74,'Direct Costs'!$A$5:$A$2005,"&gt;="&amp;ReportFrom,'Direct Costs'!$A$5:$A$2005,"&lt;="&amp;ReportTo)+SUMIFS('Direct Costs'!$T$5:$T$2005,'Direct Costs'!$Z$5:$Z$2005,$A74,'Direct Costs'!$A$5:$A$2005,"&gt;="&amp;ReportFrom,'Direct Costs'!$A$5:$A$2005,"&lt;="&amp;ReportTo))</f>
        <v/>
      </c>
      <c r="O74" s="25">
        <f>IF($A74="",0,(SUMIFS('Operating Expenses'!$F$5:$F$2005,'Operating Expenses'!$Q$5:$Q$2005,$A74,'Operating Expenses'!$A$5:$A$2005,"&lt;"&amp;ReportFrom)+SUMIFS('Operating Expenses'!$M$5:$M$2005,'Operating Expenses'!$T$5:$T$2005,$A74,'Operating Expenses'!$A$5:$A$2005,"&lt;"&amp;ReportFrom))-(SUMIFS('Operating Expenses'!$O$5:$O$2005,'Operating Expenses'!$R$5:$R$2005,$A74,'Operating Expenses'!$A$5:$A$2005,"&lt;"&amp;ReportFrom)+SUMIFS('Operating Expenses'!$P$5:$P$2005,'Operating Expenses'!$S$5:$S$2005,$A74,'Operating Expenses'!$A$5:$A$2005,"&lt;"&amp;ReportFrom)+SUMIFS('Operating Expenses'!$N$5:$N$2005,'Operating Expenses'!$U$5:$U$2005,$A74,'Operating Expenses'!$A$5:$A$2005,"&lt;"&amp;ReportFrom)))</f>
        <v/>
      </c>
      <c r="P74" s="25">
        <f>IF($A74="",0,SUMIFS('Operating Expenses'!$F$5:$F$2005,'Operating Expenses'!$Q$5:$Q$2005,$A74,'Operating Expenses'!$A$5:$A$2005,"&gt;="&amp;ReportFrom,'Operating Expenses'!$A$5:$A$2005,"&lt;="&amp;ReportTo)+SUMIFS('Operating Expenses'!$M$5:$M$2005,'Operating Expenses'!$T$5:$T$2005,$A74,'Operating Expenses'!$A$5:$A$2005,"&gt;="&amp;ReportFrom,'Operating Expenses'!$A$5:$A$2005,"&lt;="&amp;ReportTo))</f>
        <v/>
      </c>
      <c r="Q74" s="25">
        <f>IF($A74="",0,SUMIFS('Operating Expenses'!$O$5:$O$2005,'Operating Expenses'!$R$5:$R$2005,$A74,'Operating Expenses'!$A$5:$A$2005,"&gt;="&amp;ReportFrom,'Operating Expenses'!$A$5:$A$2005,"&lt;="&amp;ReportTo)+SUMIFS('Operating Expenses'!$P$5:$P$2005,'Operating Expenses'!$S$5:$S$2005,$A74,'Operating Expenses'!$A$5:$A$2005,"&gt;="&amp;ReportFrom,'Operating Expenses'!$A$5:$A$2005,"&lt;="&amp;ReportTo)+SUMIFS('Operating Expenses'!$N$5:$N$2005,'Operating Expenses'!$U$5:$U$2005,$A74,'Operating Expenses'!$A$5:$A$2005,"&gt;="&amp;ReportFrom,'Operating Expenses'!$A$5:$A$2005,"&lt;="&amp;ReportTo))</f>
        <v/>
      </c>
      <c r="R74" s="25">
        <f>IF($A74="",0,(SUMIFS('Payroll'!$O$5:$O$2005,'Payroll'!$Q$5:$Q$2005,$A74,'Payroll'!$A$5:$A$2005,"&lt;"&amp;ReportFrom))-(SUMIFS('Payroll'!$K$5:$K$2005,'Payroll'!$R$5:$R$2005,$A74,'Payroll'!$A$5:$A$2005,"&lt;"&amp;ReportFrom)+SUMIFS('Payroll'!$P$5:$P$2005,'Payroll'!$S$5:$S$2005,$A74,'Payroll'!$A$5:$A$2005,"&lt;"&amp;ReportFrom)))</f>
        <v/>
      </c>
      <c r="S74" s="25">
        <f>IF($A74="",0,SUMIFS('Payroll'!$O$5:$O$2005,'Payroll'!$Q$5:$Q$2005,$A74,'Payroll'!$A$5:$A$2005,"&gt;="&amp;ReportFrom,'Payroll'!$A$5:$A$2005,"&lt;="&amp;ReportTo))</f>
        <v/>
      </c>
      <c r="T74" s="25">
        <f>IF($A74="",0,SUMIFS('Payroll'!$K$5:$K$2005,'Payroll'!$R$5:$R$2005,$A74,'Payroll'!$A$5:$A$2005,"&gt;="&amp;ReportFrom,'Payroll'!$A$5:$A$2005,"&lt;="&amp;ReportTo)+SUMIFS('Payroll'!$P$5:$P$2005,'Payroll'!$S$5:$S$2005,$A74,'Payroll'!$A$5:$A$2005,"&gt;="&amp;ReportFrom,'Payroll'!$A$5:$A$2005,"&lt;="&amp;ReportTo))</f>
        <v/>
      </c>
      <c r="U74" s="25">
        <f>IF($A74="",0,(SUMIFS('Receipt Vouchers'!$F$5:$F$2005,'Receipt Vouchers'!$O$5:$O$2005,$A74,'Receipt Vouchers'!$A$5:$A$2005,"&lt;"&amp;ReportFrom)+SUMIFS('Receipt Vouchers'!$J$5:$J$2005,'Receipt Vouchers'!$Q$5:$Q$2005,$A74,'Receipt Vouchers'!$A$5:$A$2005,"&lt;"&amp;ReportFrom))-(SUMIFS('Receipt Vouchers'!$N$5:$N$2005,'Receipt Vouchers'!$P$5:$P$2005,$A74,'Receipt Vouchers'!$A$5:$A$2005,"&lt;"&amp;ReportFrom)+SUMIFS('Receipt Vouchers'!$M$5:$M$2005,'Receipt Vouchers'!$R$5:$R$2005,$A74,'Receipt Vouchers'!$A$5:$A$2005,"&lt;"&amp;ReportFrom)))</f>
        <v/>
      </c>
      <c r="V74" s="25">
        <f>IF($A74="",0,SUMIFS('Receipt Vouchers'!$F$5:$F$2005,'Receipt Vouchers'!$O$5:$O$2005,$A74,'Receipt Vouchers'!$A$5:$A$2005,"&gt;="&amp;ReportFrom,'Receipt Vouchers'!$A$5:$A$2005,"&lt;="&amp;ReportTo)+SUMIFS('Receipt Vouchers'!$J$5:$J$2005,'Receipt Vouchers'!$Q$5:$Q$2005,$A74,'Receipt Vouchers'!$A$5:$A$2005,"&gt;="&amp;ReportFrom,'Receipt Vouchers'!$A$5:$A$2005,"&lt;="&amp;ReportTo))</f>
        <v/>
      </c>
      <c r="W74" s="25">
        <f>IF($A74="",0,SUMIFS('Receipt Vouchers'!$N$5:$N$2005,'Receipt Vouchers'!$P$5:$P$2005,$A74,'Receipt Vouchers'!$A$5:$A$2005,"&gt;="&amp;ReportFrom,'Receipt Vouchers'!$A$5:$A$2005,"&lt;="&amp;ReportTo)+SUMIFS('Receipt Vouchers'!$M$5:$M$2005,'Receipt Vouchers'!$R$5:$R$2005,$A74,'Receipt Vouchers'!$A$5:$A$2005,"&gt;="&amp;ReportFrom,'Receipt Vouchers'!$A$5:$A$2005,"&lt;="&amp;ReportTo))</f>
        <v/>
      </c>
      <c r="X74" s="25">
        <f>IF($A74="",0,(SUMIFS('Sales Invoices'!$O$5:$O$2005,'Sales Invoices'!$P$5:$P$2005,$A74,'Sales Invoices'!$B$5:$B$2005,"&lt;"&amp;ReportFrom)+SUMIFS('Sales Invoices'!$N$5:$N$2005,'Sales Invoices'!$R$5:$R$2005,$A74,'Sales Invoices'!$B$5:$B$2005,"&lt;"&amp;ReportFrom))-(SUMIFS('Sales Invoices'!$L$5:$L$2005,'Sales Invoices'!$Q$5:$Q$2005,$A74,'Sales Invoices'!$B$5:$B$2005,"&lt;"&amp;ReportFrom)+SUMIFS('Sales Invoices'!$M$5:$M$2005,'Sales Invoices'!$S$5:$S$2005,$A74,'Sales Invoices'!$B$5:$B$2005,"&lt;"&amp;ReportFrom)))</f>
        <v/>
      </c>
      <c r="Y74" s="25">
        <f>IF($A74="",0,SUMIFS('Sales Invoices'!$O$5:$O$2005,'Sales Invoices'!$P$5:$P$2005,$A74,'Sales Invoices'!$B$5:$B$2005,"&gt;="&amp;ReportFrom,'Sales Invoices'!$B$5:$B$2005,"&lt;="&amp;ReportTo)+SUMIFS('Sales Invoices'!$N$5:$N$2005,'Sales Invoices'!$R$5:$R$2005,$A74,'Sales Invoices'!$B$5:$B$2005,"&gt;="&amp;ReportFrom,'Sales Invoices'!$B$5:$B$2005,"&lt;="&amp;ReportTo))</f>
        <v/>
      </c>
      <c r="Z74" s="25">
        <f>IF($A74="",0,SUMIFS('Sales Invoices'!$L$5:$L$2005,'Sales Invoices'!$Q$5:$Q$2005,$A74,'Sales Invoices'!$B$5:$B$2005,"&gt;="&amp;ReportFrom,'Sales Invoices'!$B$5:$B$2005,"&lt;="&amp;ReportTo)+SUMIFS('Sales Invoices'!$M$5:$M$2005,'Sales Invoices'!$S$5:$S$2005,$A74,'Sales Invoices'!$B$5:$B$2005,"&gt;="&amp;ReportFrom,'Sales Invoices'!$B$5:$B$2005,"&lt;="&amp;ReportTo))</f>
        <v/>
      </c>
      <c r="AA74" s="25">
        <f>IF($A74="",0,(SUMIFS('Payment Vouchers'!$D$5:$D$2005,'Payment Vouchers'!$J$5:$J$2005,$A74,'Payment Vouchers'!$A$5:$A$2005,"&lt;"&amp;ReportFrom))-(SUMIFS('Payment Vouchers'!$D$5:$D$2005,'Payment Vouchers'!$K$5:$K$2005,$A74,'Payment Vouchers'!$A$5:$A$2005,"&lt;"&amp;ReportFrom)))</f>
        <v/>
      </c>
      <c r="AB74" s="25">
        <f>IF($A74="",0,SUMIFS('Payment Vouchers'!$D$5:$D$2005,'Payment Vouchers'!$J$5:$J$2005,$A74,'Payment Vouchers'!$A$5:$A$2005,"&gt;="&amp;ReportFrom,'Payment Vouchers'!$A$5:$A$2005,"&lt;="&amp;ReportTo))</f>
        <v/>
      </c>
      <c r="AC74" s="25">
        <f>IF($A74="",0,SUMIFS('Payment Vouchers'!$D$5:$D$2005,'Payment Vouchers'!$K$5:$K$2005,$A74,'Payment Vouchers'!$A$5:$A$2005,"&gt;="&amp;ReportFrom,'Payment Vouchers'!$A$5:$A$2005,"&lt;="&amp;ReportTo))</f>
        <v/>
      </c>
      <c r="AD74" s="25">
        <f>IF($A74="",0,(SUMIFS('Partner Transactions'!$D$5:$D$2005,'Partner Transactions'!$L$5:$L$2005,$A74,'Partner Transactions'!$A$5:$A$2005,"&lt;"&amp;ReportFrom))-(SUMIFS('Partner Transactions'!$D$5:$D$2005,'Partner Transactions'!$M$5:$M$2005,$A74,'Partner Transactions'!$A$5:$A$2005,"&lt;"&amp;ReportFrom)))</f>
        <v/>
      </c>
      <c r="AE74" s="25">
        <f>IF($A74="",0,SUMIFS('Partner Transactions'!$D$5:$D$2005,'Partner Transactions'!$L$5:$L$2005,$A74,'Partner Transactions'!$A$5:$A$2005,"&gt;="&amp;ReportFrom,'Partner Transactions'!$A$5:$A$2005,"&lt;="&amp;ReportTo))</f>
        <v/>
      </c>
      <c r="AF74" s="25">
        <f>IF($A74="",0,SUMIFS('Partner Transactions'!$D$5:$D$2005,'Partner Transactions'!$M$5:$M$2005,$A74,'Partner Transactions'!$A$5:$A$2005,"&gt;="&amp;ReportFrom,'Partner Transactions'!$A$5:$A$2005,"&lt;="&amp;ReportTo))</f>
        <v/>
      </c>
      <c r="AG74" s="25">
        <f>IF($A74="",0,(SUMIFS('Stock Moves'!$S$5:$S$2005,'Stock Moves'!$AD$5:$AD$2005,$A74,'Stock Moves'!$A$5:$A$2005,"&lt;"&amp;ReportFrom)+SUMIFS('Stock Moves'!$T$5:$T$2005,'Stock Moves'!$V$5:$V$2005,$A74,'Stock Moves'!$A$5:$A$2005,"&lt;"&amp;ReportFrom))-(SUMIFS('Stock Moves'!$AF$5:$AF$2005,'Stock Moves'!$AE$5:$AE$2005,$A74,'Stock Moves'!$A$5:$A$2005,"&lt;"&amp;ReportFrom)+SUMIFS('Stock Moves'!$AC$5:$AC$2005,'Stock Moves'!$X$5:$X$2005,$A74,'Stock Moves'!$A$5:$A$2005,"&lt;"&amp;ReportFrom)+SUMIFS('Stock Moves'!$U$5:$U$2005,'Stock Moves'!$W$5:$W$2005,$A74,'Stock Moves'!$A$5:$A$2005,"&lt;"&amp;ReportFrom)))</f>
        <v/>
      </c>
      <c r="AH74" s="25">
        <f>IF($A74="",0,SUMIFS('Stock Moves'!$S$5:$S$2005,'Stock Moves'!$AD$5:$AD$2005,$A74,'Stock Moves'!$A$5:$A$2005,"&gt;="&amp;ReportFrom,'Stock Moves'!$A$5:$A$2005,"&lt;="&amp;ReportTo)+SUMIFS('Stock Moves'!$T$5:$T$2005,'Stock Moves'!$V$5:$V$2005,$A74,'Stock Moves'!$A$5:$A$2005,"&gt;="&amp;ReportFrom,'Stock Moves'!$A$5:$A$2005,"&lt;="&amp;ReportTo))</f>
        <v/>
      </c>
      <c r="AI74" s="25">
        <f>IF($A74="",0,SUMIFS('Stock Moves'!$AF$5:$AF$2005,'Stock Moves'!$AE$5:$AE$2005,$A74,'Stock Moves'!$A$5:$A$2005,"&gt;="&amp;ReportFrom,'Stock Moves'!$A$5:$A$2005,"&lt;="&amp;ReportTo)+SUMIFS('Stock Moves'!$AC$5:$AC$2005,'Stock Moves'!$X$5:$X$2005,$A74,'Stock Moves'!$A$5:$A$2005,"&gt;="&amp;ReportFrom,'Stock Moves'!$A$5:$A$2005,"&lt;="&amp;ReportTo)+SUMIFS('Stock Moves'!$U$5:$U$2005,'Stock Moves'!$W$5:$W$2005,$A74,'Stock Moves'!$A$5:$A$2005,"&gt;="&amp;ReportFrom,'Stock Moves'!$A$5:$A$2005,"&lt;="&amp;ReportTo))</f>
        <v/>
      </c>
      <c r="AJ74" s="25">
        <f>IF($A74="",0,(SUMIFS('Journal Vouchers'!$I$5:$I$2005,'Journal Vouchers'!$H$5:$H$2005,$A74,'Journal Vouchers'!$B$5:$B$2005,"&lt;"&amp;ReportFrom))-(SUMIFS('Journal Vouchers'!$J$5:$J$2005,'Journal Vouchers'!$H$5:$H$2005,$A74,'Journal Vouchers'!$B$5:$B$2005,"&lt;"&amp;ReportFrom)))</f>
        <v/>
      </c>
      <c r="AK74" s="25">
        <f>IF($A74="",0,SUMIFS('Journal Vouchers'!$I$5:$I$2005,'Journal Vouchers'!$H$5:$H$2005,$A74,'Journal Vouchers'!$B$5:$B$2005,"&gt;="&amp;ReportFrom,'Journal Vouchers'!$B$5:$B$2005,"&lt;="&amp;ReportTo))</f>
        <v/>
      </c>
      <c r="AL74" s="25">
        <f>IF($A74="",0,SUMIFS('Journal Vouchers'!$J$5:$J$2005,'Journal Vouchers'!$H$5:$H$2005,$A74,'Journal Vouchers'!$B$5:$B$2005,"&gt;="&amp;ReportFrom,'Journal Vouchers'!$B$5:$B$2005,"&lt;="&amp;ReportTo))</f>
        <v/>
      </c>
    </row>
    <row r="75">
      <c r="A75" s="25">
        <f>IF('Chart of Accounts'!A75="","",'Chart of Accounts'!A75&amp;"")</f>
        <v/>
      </c>
      <c r="B75" s="25">
        <f>IF(A75="","",'Chart of Accounts'!B75)</f>
        <v/>
      </c>
      <c r="C75" s="25">
        <f>IF(A75="","",'Chart of Accounts'!C75)</f>
        <v/>
      </c>
      <c r="D75" s="25">
        <f>IF(A75="","",'Chart of Accounts'!D75)</f>
        <v/>
      </c>
      <c r="E75" s="26">
        <f>L75+O75+R75+U75+X75+AA75+AD75+AG75+AJ75</f>
        <v/>
      </c>
      <c r="F75" s="26">
        <f>M75+P75+S75+V75+Y75+AB75+AE75+AH75+AK75</f>
        <v/>
      </c>
      <c r="G75" s="26">
        <f>N75+Q75+T75+W75+Z75+AC75+AF75+AI75+AL75</f>
        <v/>
      </c>
      <c r="H75" s="26">
        <f>E75+F75-G75</f>
        <v/>
      </c>
      <c r="I75" s="26">
        <f>MAX(H75,0)</f>
        <v/>
      </c>
      <c r="J75" s="26">
        <f>MAX(-H75,0)</f>
        <v/>
      </c>
      <c r="L75" s="25">
        <f>IF($A75="",0,(SUMIFS('Direct Costs'!$R$5:$R$2005,'Direct Costs'!$V$5:$V$2005,$A75,'Direct Costs'!$A$5:$A$2005,"&lt;"&amp;ReportFrom)+SUMIFS('Direct Costs'!$S$5:$S$2005,'Direct Costs'!$Y$5:$Y$2005,$A75,'Direct Costs'!$A$5:$A$2005,"&lt;"&amp;ReportFrom))-(SUMIFS('Direct Costs'!$L$5:$L$2005,'Direct Costs'!$W$5:$W$2005,$A75,'Direct Costs'!$A$5:$A$2005,"&lt;"&amp;ReportFrom)+SUMIFS('Direct Costs'!$U$5:$U$2005,'Direct Costs'!$X$5:$X$2005,$A75,'Direct Costs'!$A$5:$A$2005,"&lt;"&amp;ReportFrom)+SUMIFS('Direct Costs'!$T$5:$T$2005,'Direct Costs'!$Z$5:$Z$2005,$A75,'Direct Costs'!$A$5:$A$2005,"&lt;"&amp;ReportFrom)))</f>
        <v/>
      </c>
      <c r="M75" s="25">
        <f>IF($A75="",0,SUMIFS('Direct Costs'!$R$5:$R$2005,'Direct Costs'!$V$5:$V$2005,$A75,'Direct Costs'!$A$5:$A$2005,"&gt;="&amp;ReportFrom,'Direct Costs'!$A$5:$A$2005,"&lt;="&amp;ReportTo)+SUMIFS('Direct Costs'!$S$5:$S$2005,'Direct Costs'!$Y$5:$Y$2005,$A75,'Direct Costs'!$A$5:$A$2005,"&gt;="&amp;ReportFrom,'Direct Costs'!$A$5:$A$2005,"&lt;="&amp;ReportTo))</f>
        <v/>
      </c>
      <c r="N75" s="25">
        <f>IF($A75="",0,SUMIFS('Direct Costs'!$L$5:$L$2005,'Direct Costs'!$W$5:$W$2005,$A75,'Direct Costs'!$A$5:$A$2005,"&gt;="&amp;ReportFrom,'Direct Costs'!$A$5:$A$2005,"&lt;="&amp;ReportTo)+SUMIFS('Direct Costs'!$U$5:$U$2005,'Direct Costs'!$X$5:$X$2005,$A75,'Direct Costs'!$A$5:$A$2005,"&gt;="&amp;ReportFrom,'Direct Costs'!$A$5:$A$2005,"&lt;="&amp;ReportTo)+SUMIFS('Direct Costs'!$T$5:$T$2005,'Direct Costs'!$Z$5:$Z$2005,$A75,'Direct Costs'!$A$5:$A$2005,"&gt;="&amp;ReportFrom,'Direct Costs'!$A$5:$A$2005,"&lt;="&amp;ReportTo))</f>
        <v/>
      </c>
      <c r="O75" s="25">
        <f>IF($A75="",0,(SUMIFS('Operating Expenses'!$F$5:$F$2005,'Operating Expenses'!$Q$5:$Q$2005,$A75,'Operating Expenses'!$A$5:$A$2005,"&lt;"&amp;ReportFrom)+SUMIFS('Operating Expenses'!$M$5:$M$2005,'Operating Expenses'!$T$5:$T$2005,$A75,'Operating Expenses'!$A$5:$A$2005,"&lt;"&amp;ReportFrom))-(SUMIFS('Operating Expenses'!$O$5:$O$2005,'Operating Expenses'!$R$5:$R$2005,$A75,'Operating Expenses'!$A$5:$A$2005,"&lt;"&amp;ReportFrom)+SUMIFS('Operating Expenses'!$P$5:$P$2005,'Operating Expenses'!$S$5:$S$2005,$A75,'Operating Expenses'!$A$5:$A$2005,"&lt;"&amp;ReportFrom)+SUMIFS('Operating Expenses'!$N$5:$N$2005,'Operating Expenses'!$U$5:$U$2005,$A75,'Operating Expenses'!$A$5:$A$2005,"&lt;"&amp;ReportFrom)))</f>
        <v/>
      </c>
      <c r="P75" s="25">
        <f>IF($A75="",0,SUMIFS('Operating Expenses'!$F$5:$F$2005,'Operating Expenses'!$Q$5:$Q$2005,$A75,'Operating Expenses'!$A$5:$A$2005,"&gt;="&amp;ReportFrom,'Operating Expenses'!$A$5:$A$2005,"&lt;="&amp;ReportTo)+SUMIFS('Operating Expenses'!$M$5:$M$2005,'Operating Expenses'!$T$5:$T$2005,$A75,'Operating Expenses'!$A$5:$A$2005,"&gt;="&amp;ReportFrom,'Operating Expenses'!$A$5:$A$2005,"&lt;="&amp;ReportTo))</f>
        <v/>
      </c>
      <c r="Q75" s="25">
        <f>IF($A75="",0,SUMIFS('Operating Expenses'!$O$5:$O$2005,'Operating Expenses'!$R$5:$R$2005,$A75,'Operating Expenses'!$A$5:$A$2005,"&gt;="&amp;ReportFrom,'Operating Expenses'!$A$5:$A$2005,"&lt;="&amp;ReportTo)+SUMIFS('Operating Expenses'!$P$5:$P$2005,'Operating Expenses'!$S$5:$S$2005,$A75,'Operating Expenses'!$A$5:$A$2005,"&gt;="&amp;ReportFrom,'Operating Expenses'!$A$5:$A$2005,"&lt;="&amp;ReportTo)+SUMIFS('Operating Expenses'!$N$5:$N$2005,'Operating Expenses'!$U$5:$U$2005,$A75,'Operating Expenses'!$A$5:$A$2005,"&gt;="&amp;ReportFrom,'Operating Expenses'!$A$5:$A$2005,"&lt;="&amp;ReportTo))</f>
        <v/>
      </c>
      <c r="R75" s="25">
        <f>IF($A75="",0,(SUMIFS('Payroll'!$O$5:$O$2005,'Payroll'!$Q$5:$Q$2005,$A75,'Payroll'!$A$5:$A$2005,"&lt;"&amp;ReportFrom))-(SUMIFS('Payroll'!$K$5:$K$2005,'Payroll'!$R$5:$R$2005,$A75,'Payroll'!$A$5:$A$2005,"&lt;"&amp;ReportFrom)+SUMIFS('Payroll'!$P$5:$P$2005,'Payroll'!$S$5:$S$2005,$A75,'Payroll'!$A$5:$A$2005,"&lt;"&amp;ReportFrom)))</f>
        <v/>
      </c>
      <c r="S75" s="25">
        <f>IF($A75="",0,SUMIFS('Payroll'!$O$5:$O$2005,'Payroll'!$Q$5:$Q$2005,$A75,'Payroll'!$A$5:$A$2005,"&gt;="&amp;ReportFrom,'Payroll'!$A$5:$A$2005,"&lt;="&amp;ReportTo))</f>
        <v/>
      </c>
      <c r="T75" s="25">
        <f>IF($A75="",0,SUMIFS('Payroll'!$K$5:$K$2005,'Payroll'!$R$5:$R$2005,$A75,'Payroll'!$A$5:$A$2005,"&gt;="&amp;ReportFrom,'Payroll'!$A$5:$A$2005,"&lt;="&amp;ReportTo)+SUMIFS('Payroll'!$P$5:$P$2005,'Payroll'!$S$5:$S$2005,$A75,'Payroll'!$A$5:$A$2005,"&gt;="&amp;ReportFrom,'Payroll'!$A$5:$A$2005,"&lt;="&amp;ReportTo))</f>
        <v/>
      </c>
      <c r="U75" s="25">
        <f>IF($A75="",0,(SUMIFS('Receipt Vouchers'!$F$5:$F$2005,'Receipt Vouchers'!$O$5:$O$2005,$A75,'Receipt Vouchers'!$A$5:$A$2005,"&lt;"&amp;ReportFrom)+SUMIFS('Receipt Vouchers'!$J$5:$J$2005,'Receipt Vouchers'!$Q$5:$Q$2005,$A75,'Receipt Vouchers'!$A$5:$A$2005,"&lt;"&amp;ReportFrom))-(SUMIFS('Receipt Vouchers'!$N$5:$N$2005,'Receipt Vouchers'!$P$5:$P$2005,$A75,'Receipt Vouchers'!$A$5:$A$2005,"&lt;"&amp;ReportFrom)+SUMIFS('Receipt Vouchers'!$M$5:$M$2005,'Receipt Vouchers'!$R$5:$R$2005,$A75,'Receipt Vouchers'!$A$5:$A$2005,"&lt;"&amp;ReportFrom)))</f>
        <v/>
      </c>
      <c r="V75" s="25">
        <f>IF($A75="",0,SUMIFS('Receipt Vouchers'!$F$5:$F$2005,'Receipt Vouchers'!$O$5:$O$2005,$A75,'Receipt Vouchers'!$A$5:$A$2005,"&gt;="&amp;ReportFrom,'Receipt Vouchers'!$A$5:$A$2005,"&lt;="&amp;ReportTo)+SUMIFS('Receipt Vouchers'!$J$5:$J$2005,'Receipt Vouchers'!$Q$5:$Q$2005,$A75,'Receipt Vouchers'!$A$5:$A$2005,"&gt;="&amp;ReportFrom,'Receipt Vouchers'!$A$5:$A$2005,"&lt;="&amp;ReportTo))</f>
        <v/>
      </c>
      <c r="W75" s="25">
        <f>IF($A75="",0,SUMIFS('Receipt Vouchers'!$N$5:$N$2005,'Receipt Vouchers'!$P$5:$P$2005,$A75,'Receipt Vouchers'!$A$5:$A$2005,"&gt;="&amp;ReportFrom,'Receipt Vouchers'!$A$5:$A$2005,"&lt;="&amp;ReportTo)+SUMIFS('Receipt Vouchers'!$M$5:$M$2005,'Receipt Vouchers'!$R$5:$R$2005,$A75,'Receipt Vouchers'!$A$5:$A$2005,"&gt;="&amp;ReportFrom,'Receipt Vouchers'!$A$5:$A$2005,"&lt;="&amp;ReportTo))</f>
        <v/>
      </c>
      <c r="X75" s="25">
        <f>IF($A75="",0,(SUMIFS('Sales Invoices'!$O$5:$O$2005,'Sales Invoices'!$P$5:$P$2005,$A75,'Sales Invoices'!$B$5:$B$2005,"&lt;"&amp;ReportFrom)+SUMIFS('Sales Invoices'!$N$5:$N$2005,'Sales Invoices'!$R$5:$R$2005,$A75,'Sales Invoices'!$B$5:$B$2005,"&lt;"&amp;ReportFrom))-(SUMIFS('Sales Invoices'!$L$5:$L$2005,'Sales Invoices'!$Q$5:$Q$2005,$A75,'Sales Invoices'!$B$5:$B$2005,"&lt;"&amp;ReportFrom)+SUMIFS('Sales Invoices'!$M$5:$M$2005,'Sales Invoices'!$S$5:$S$2005,$A75,'Sales Invoices'!$B$5:$B$2005,"&lt;"&amp;ReportFrom)))</f>
        <v/>
      </c>
      <c r="Y75" s="25">
        <f>IF($A75="",0,SUMIFS('Sales Invoices'!$O$5:$O$2005,'Sales Invoices'!$P$5:$P$2005,$A75,'Sales Invoices'!$B$5:$B$2005,"&gt;="&amp;ReportFrom,'Sales Invoices'!$B$5:$B$2005,"&lt;="&amp;ReportTo)+SUMIFS('Sales Invoices'!$N$5:$N$2005,'Sales Invoices'!$R$5:$R$2005,$A75,'Sales Invoices'!$B$5:$B$2005,"&gt;="&amp;ReportFrom,'Sales Invoices'!$B$5:$B$2005,"&lt;="&amp;ReportTo))</f>
        <v/>
      </c>
      <c r="Z75" s="25">
        <f>IF($A75="",0,SUMIFS('Sales Invoices'!$L$5:$L$2005,'Sales Invoices'!$Q$5:$Q$2005,$A75,'Sales Invoices'!$B$5:$B$2005,"&gt;="&amp;ReportFrom,'Sales Invoices'!$B$5:$B$2005,"&lt;="&amp;ReportTo)+SUMIFS('Sales Invoices'!$M$5:$M$2005,'Sales Invoices'!$S$5:$S$2005,$A75,'Sales Invoices'!$B$5:$B$2005,"&gt;="&amp;ReportFrom,'Sales Invoices'!$B$5:$B$2005,"&lt;="&amp;ReportTo))</f>
        <v/>
      </c>
      <c r="AA75" s="25">
        <f>IF($A75="",0,(SUMIFS('Payment Vouchers'!$D$5:$D$2005,'Payment Vouchers'!$J$5:$J$2005,$A75,'Payment Vouchers'!$A$5:$A$2005,"&lt;"&amp;ReportFrom))-(SUMIFS('Payment Vouchers'!$D$5:$D$2005,'Payment Vouchers'!$K$5:$K$2005,$A75,'Payment Vouchers'!$A$5:$A$2005,"&lt;"&amp;ReportFrom)))</f>
        <v/>
      </c>
      <c r="AB75" s="25">
        <f>IF($A75="",0,SUMIFS('Payment Vouchers'!$D$5:$D$2005,'Payment Vouchers'!$J$5:$J$2005,$A75,'Payment Vouchers'!$A$5:$A$2005,"&gt;="&amp;ReportFrom,'Payment Vouchers'!$A$5:$A$2005,"&lt;="&amp;ReportTo))</f>
        <v/>
      </c>
      <c r="AC75" s="25">
        <f>IF($A75="",0,SUMIFS('Payment Vouchers'!$D$5:$D$2005,'Payment Vouchers'!$K$5:$K$2005,$A75,'Payment Vouchers'!$A$5:$A$2005,"&gt;="&amp;ReportFrom,'Payment Vouchers'!$A$5:$A$2005,"&lt;="&amp;ReportTo))</f>
        <v/>
      </c>
      <c r="AD75" s="25">
        <f>IF($A75="",0,(SUMIFS('Partner Transactions'!$D$5:$D$2005,'Partner Transactions'!$L$5:$L$2005,$A75,'Partner Transactions'!$A$5:$A$2005,"&lt;"&amp;ReportFrom))-(SUMIFS('Partner Transactions'!$D$5:$D$2005,'Partner Transactions'!$M$5:$M$2005,$A75,'Partner Transactions'!$A$5:$A$2005,"&lt;"&amp;ReportFrom)))</f>
        <v/>
      </c>
      <c r="AE75" s="25">
        <f>IF($A75="",0,SUMIFS('Partner Transactions'!$D$5:$D$2005,'Partner Transactions'!$L$5:$L$2005,$A75,'Partner Transactions'!$A$5:$A$2005,"&gt;="&amp;ReportFrom,'Partner Transactions'!$A$5:$A$2005,"&lt;="&amp;ReportTo))</f>
        <v/>
      </c>
      <c r="AF75" s="25">
        <f>IF($A75="",0,SUMIFS('Partner Transactions'!$D$5:$D$2005,'Partner Transactions'!$M$5:$M$2005,$A75,'Partner Transactions'!$A$5:$A$2005,"&gt;="&amp;ReportFrom,'Partner Transactions'!$A$5:$A$2005,"&lt;="&amp;ReportTo))</f>
        <v/>
      </c>
      <c r="AG75" s="25">
        <f>IF($A75="",0,(SUMIFS('Stock Moves'!$S$5:$S$2005,'Stock Moves'!$AD$5:$AD$2005,$A75,'Stock Moves'!$A$5:$A$2005,"&lt;"&amp;ReportFrom)+SUMIFS('Stock Moves'!$T$5:$T$2005,'Stock Moves'!$V$5:$V$2005,$A75,'Stock Moves'!$A$5:$A$2005,"&lt;"&amp;ReportFrom))-(SUMIFS('Stock Moves'!$AF$5:$AF$2005,'Stock Moves'!$AE$5:$AE$2005,$A75,'Stock Moves'!$A$5:$A$2005,"&lt;"&amp;ReportFrom)+SUMIFS('Stock Moves'!$AC$5:$AC$2005,'Stock Moves'!$X$5:$X$2005,$A75,'Stock Moves'!$A$5:$A$2005,"&lt;"&amp;ReportFrom)+SUMIFS('Stock Moves'!$U$5:$U$2005,'Stock Moves'!$W$5:$W$2005,$A75,'Stock Moves'!$A$5:$A$2005,"&lt;"&amp;ReportFrom)))</f>
        <v/>
      </c>
      <c r="AH75" s="25">
        <f>IF($A75="",0,SUMIFS('Stock Moves'!$S$5:$S$2005,'Stock Moves'!$AD$5:$AD$2005,$A75,'Stock Moves'!$A$5:$A$2005,"&gt;="&amp;ReportFrom,'Stock Moves'!$A$5:$A$2005,"&lt;="&amp;ReportTo)+SUMIFS('Stock Moves'!$T$5:$T$2005,'Stock Moves'!$V$5:$V$2005,$A75,'Stock Moves'!$A$5:$A$2005,"&gt;="&amp;ReportFrom,'Stock Moves'!$A$5:$A$2005,"&lt;="&amp;ReportTo))</f>
        <v/>
      </c>
      <c r="AI75" s="25">
        <f>IF($A75="",0,SUMIFS('Stock Moves'!$AF$5:$AF$2005,'Stock Moves'!$AE$5:$AE$2005,$A75,'Stock Moves'!$A$5:$A$2005,"&gt;="&amp;ReportFrom,'Stock Moves'!$A$5:$A$2005,"&lt;="&amp;ReportTo)+SUMIFS('Stock Moves'!$AC$5:$AC$2005,'Stock Moves'!$X$5:$X$2005,$A75,'Stock Moves'!$A$5:$A$2005,"&gt;="&amp;ReportFrom,'Stock Moves'!$A$5:$A$2005,"&lt;="&amp;ReportTo)+SUMIFS('Stock Moves'!$U$5:$U$2005,'Stock Moves'!$W$5:$W$2005,$A75,'Stock Moves'!$A$5:$A$2005,"&gt;="&amp;ReportFrom,'Stock Moves'!$A$5:$A$2005,"&lt;="&amp;ReportTo))</f>
        <v/>
      </c>
      <c r="AJ75" s="25">
        <f>IF($A75="",0,(SUMIFS('Journal Vouchers'!$I$5:$I$2005,'Journal Vouchers'!$H$5:$H$2005,$A75,'Journal Vouchers'!$B$5:$B$2005,"&lt;"&amp;ReportFrom))-(SUMIFS('Journal Vouchers'!$J$5:$J$2005,'Journal Vouchers'!$H$5:$H$2005,$A75,'Journal Vouchers'!$B$5:$B$2005,"&lt;"&amp;ReportFrom)))</f>
        <v/>
      </c>
      <c r="AK75" s="25">
        <f>IF($A75="",0,SUMIFS('Journal Vouchers'!$I$5:$I$2005,'Journal Vouchers'!$H$5:$H$2005,$A75,'Journal Vouchers'!$B$5:$B$2005,"&gt;="&amp;ReportFrom,'Journal Vouchers'!$B$5:$B$2005,"&lt;="&amp;ReportTo))</f>
        <v/>
      </c>
      <c r="AL75" s="25">
        <f>IF($A75="",0,SUMIFS('Journal Vouchers'!$J$5:$J$2005,'Journal Vouchers'!$H$5:$H$2005,$A75,'Journal Vouchers'!$B$5:$B$2005,"&gt;="&amp;ReportFrom,'Journal Vouchers'!$B$5:$B$2005,"&lt;="&amp;ReportTo))</f>
        <v/>
      </c>
    </row>
    <row r="76">
      <c r="A76" s="25">
        <f>IF('Chart of Accounts'!A76="","",'Chart of Accounts'!A76&amp;"")</f>
        <v/>
      </c>
      <c r="B76" s="25">
        <f>IF(A76="","",'Chart of Accounts'!B76)</f>
        <v/>
      </c>
      <c r="C76" s="25">
        <f>IF(A76="","",'Chart of Accounts'!C76)</f>
        <v/>
      </c>
      <c r="D76" s="25">
        <f>IF(A76="","",'Chart of Accounts'!D76)</f>
        <v/>
      </c>
      <c r="E76" s="26">
        <f>L76+O76+R76+U76+X76+AA76+AD76+AG76+AJ76</f>
        <v/>
      </c>
      <c r="F76" s="26">
        <f>M76+P76+S76+V76+Y76+AB76+AE76+AH76+AK76</f>
        <v/>
      </c>
      <c r="G76" s="26">
        <f>N76+Q76+T76+W76+Z76+AC76+AF76+AI76+AL76</f>
        <v/>
      </c>
      <c r="H76" s="26">
        <f>E76+F76-G76</f>
        <v/>
      </c>
      <c r="I76" s="26">
        <f>MAX(H76,0)</f>
        <v/>
      </c>
      <c r="J76" s="26">
        <f>MAX(-H76,0)</f>
        <v/>
      </c>
      <c r="L76" s="25">
        <f>IF($A76="",0,(SUMIFS('Direct Costs'!$R$5:$R$2005,'Direct Costs'!$V$5:$V$2005,$A76,'Direct Costs'!$A$5:$A$2005,"&lt;"&amp;ReportFrom)+SUMIFS('Direct Costs'!$S$5:$S$2005,'Direct Costs'!$Y$5:$Y$2005,$A76,'Direct Costs'!$A$5:$A$2005,"&lt;"&amp;ReportFrom))-(SUMIFS('Direct Costs'!$L$5:$L$2005,'Direct Costs'!$W$5:$W$2005,$A76,'Direct Costs'!$A$5:$A$2005,"&lt;"&amp;ReportFrom)+SUMIFS('Direct Costs'!$U$5:$U$2005,'Direct Costs'!$X$5:$X$2005,$A76,'Direct Costs'!$A$5:$A$2005,"&lt;"&amp;ReportFrom)+SUMIFS('Direct Costs'!$T$5:$T$2005,'Direct Costs'!$Z$5:$Z$2005,$A76,'Direct Costs'!$A$5:$A$2005,"&lt;"&amp;ReportFrom)))</f>
        <v/>
      </c>
      <c r="M76" s="25">
        <f>IF($A76="",0,SUMIFS('Direct Costs'!$R$5:$R$2005,'Direct Costs'!$V$5:$V$2005,$A76,'Direct Costs'!$A$5:$A$2005,"&gt;="&amp;ReportFrom,'Direct Costs'!$A$5:$A$2005,"&lt;="&amp;ReportTo)+SUMIFS('Direct Costs'!$S$5:$S$2005,'Direct Costs'!$Y$5:$Y$2005,$A76,'Direct Costs'!$A$5:$A$2005,"&gt;="&amp;ReportFrom,'Direct Costs'!$A$5:$A$2005,"&lt;="&amp;ReportTo))</f>
        <v/>
      </c>
      <c r="N76" s="25">
        <f>IF($A76="",0,SUMIFS('Direct Costs'!$L$5:$L$2005,'Direct Costs'!$W$5:$W$2005,$A76,'Direct Costs'!$A$5:$A$2005,"&gt;="&amp;ReportFrom,'Direct Costs'!$A$5:$A$2005,"&lt;="&amp;ReportTo)+SUMIFS('Direct Costs'!$U$5:$U$2005,'Direct Costs'!$X$5:$X$2005,$A76,'Direct Costs'!$A$5:$A$2005,"&gt;="&amp;ReportFrom,'Direct Costs'!$A$5:$A$2005,"&lt;="&amp;ReportTo)+SUMIFS('Direct Costs'!$T$5:$T$2005,'Direct Costs'!$Z$5:$Z$2005,$A76,'Direct Costs'!$A$5:$A$2005,"&gt;="&amp;ReportFrom,'Direct Costs'!$A$5:$A$2005,"&lt;="&amp;ReportTo))</f>
        <v/>
      </c>
      <c r="O76" s="25">
        <f>IF($A76="",0,(SUMIFS('Operating Expenses'!$F$5:$F$2005,'Operating Expenses'!$Q$5:$Q$2005,$A76,'Operating Expenses'!$A$5:$A$2005,"&lt;"&amp;ReportFrom)+SUMIFS('Operating Expenses'!$M$5:$M$2005,'Operating Expenses'!$T$5:$T$2005,$A76,'Operating Expenses'!$A$5:$A$2005,"&lt;"&amp;ReportFrom))-(SUMIFS('Operating Expenses'!$O$5:$O$2005,'Operating Expenses'!$R$5:$R$2005,$A76,'Operating Expenses'!$A$5:$A$2005,"&lt;"&amp;ReportFrom)+SUMIFS('Operating Expenses'!$P$5:$P$2005,'Operating Expenses'!$S$5:$S$2005,$A76,'Operating Expenses'!$A$5:$A$2005,"&lt;"&amp;ReportFrom)+SUMIFS('Operating Expenses'!$N$5:$N$2005,'Operating Expenses'!$U$5:$U$2005,$A76,'Operating Expenses'!$A$5:$A$2005,"&lt;"&amp;ReportFrom)))</f>
        <v/>
      </c>
      <c r="P76" s="25">
        <f>IF($A76="",0,SUMIFS('Operating Expenses'!$F$5:$F$2005,'Operating Expenses'!$Q$5:$Q$2005,$A76,'Operating Expenses'!$A$5:$A$2005,"&gt;="&amp;ReportFrom,'Operating Expenses'!$A$5:$A$2005,"&lt;="&amp;ReportTo)+SUMIFS('Operating Expenses'!$M$5:$M$2005,'Operating Expenses'!$T$5:$T$2005,$A76,'Operating Expenses'!$A$5:$A$2005,"&gt;="&amp;ReportFrom,'Operating Expenses'!$A$5:$A$2005,"&lt;="&amp;ReportTo))</f>
        <v/>
      </c>
      <c r="Q76" s="25">
        <f>IF($A76="",0,SUMIFS('Operating Expenses'!$O$5:$O$2005,'Operating Expenses'!$R$5:$R$2005,$A76,'Operating Expenses'!$A$5:$A$2005,"&gt;="&amp;ReportFrom,'Operating Expenses'!$A$5:$A$2005,"&lt;="&amp;ReportTo)+SUMIFS('Operating Expenses'!$P$5:$P$2005,'Operating Expenses'!$S$5:$S$2005,$A76,'Operating Expenses'!$A$5:$A$2005,"&gt;="&amp;ReportFrom,'Operating Expenses'!$A$5:$A$2005,"&lt;="&amp;ReportTo)+SUMIFS('Operating Expenses'!$N$5:$N$2005,'Operating Expenses'!$U$5:$U$2005,$A76,'Operating Expenses'!$A$5:$A$2005,"&gt;="&amp;ReportFrom,'Operating Expenses'!$A$5:$A$2005,"&lt;="&amp;ReportTo))</f>
        <v/>
      </c>
      <c r="R76" s="25">
        <f>IF($A76="",0,(SUMIFS('Payroll'!$O$5:$O$2005,'Payroll'!$Q$5:$Q$2005,$A76,'Payroll'!$A$5:$A$2005,"&lt;"&amp;ReportFrom))-(SUMIFS('Payroll'!$K$5:$K$2005,'Payroll'!$R$5:$R$2005,$A76,'Payroll'!$A$5:$A$2005,"&lt;"&amp;ReportFrom)+SUMIFS('Payroll'!$P$5:$P$2005,'Payroll'!$S$5:$S$2005,$A76,'Payroll'!$A$5:$A$2005,"&lt;"&amp;ReportFrom)))</f>
        <v/>
      </c>
      <c r="S76" s="25">
        <f>IF($A76="",0,SUMIFS('Payroll'!$O$5:$O$2005,'Payroll'!$Q$5:$Q$2005,$A76,'Payroll'!$A$5:$A$2005,"&gt;="&amp;ReportFrom,'Payroll'!$A$5:$A$2005,"&lt;="&amp;ReportTo))</f>
        <v/>
      </c>
      <c r="T76" s="25">
        <f>IF($A76="",0,SUMIFS('Payroll'!$K$5:$K$2005,'Payroll'!$R$5:$R$2005,$A76,'Payroll'!$A$5:$A$2005,"&gt;="&amp;ReportFrom,'Payroll'!$A$5:$A$2005,"&lt;="&amp;ReportTo)+SUMIFS('Payroll'!$P$5:$P$2005,'Payroll'!$S$5:$S$2005,$A76,'Payroll'!$A$5:$A$2005,"&gt;="&amp;ReportFrom,'Payroll'!$A$5:$A$2005,"&lt;="&amp;ReportTo))</f>
        <v/>
      </c>
      <c r="U76" s="25">
        <f>IF($A76="",0,(SUMIFS('Receipt Vouchers'!$F$5:$F$2005,'Receipt Vouchers'!$O$5:$O$2005,$A76,'Receipt Vouchers'!$A$5:$A$2005,"&lt;"&amp;ReportFrom)+SUMIFS('Receipt Vouchers'!$J$5:$J$2005,'Receipt Vouchers'!$Q$5:$Q$2005,$A76,'Receipt Vouchers'!$A$5:$A$2005,"&lt;"&amp;ReportFrom))-(SUMIFS('Receipt Vouchers'!$N$5:$N$2005,'Receipt Vouchers'!$P$5:$P$2005,$A76,'Receipt Vouchers'!$A$5:$A$2005,"&lt;"&amp;ReportFrom)+SUMIFS('Receipt Vouchers'!$M$5:$M$2005,'Receipt Vouchers'!$R$5:$R$2005,$A76,'Receipt Vouchers'!$A$5:$A$2005,"&lt;"&amp;ReportFrom)))</f>
        <v/>
      </c>
      <c r="V76" s="25">
        <f>IF($A76="",0,SUMIFS('Receipt Vouchers'!$F$5:$F$2005,'Receipt Vouchers'!$O$5:$O$2005,$A76,'Receipt Vouchers'!$A$5:$A$2005,"&gt;="&amp;ReportFrom,'Receipt Vouchers'!$A$5:$A$2005,"&lt;="&amp;ReportTo)+SUMIFS('Receipt Vouchers'!$J$5:$J$2005,'Receipt Vouchers'!$Q$5:$Q$2005,$A76,'Receipt Vouchers'!$A$5:$A$2005,"&gt;="&amp;ReportFrom,'Receipt Vouchers'!$A$5:$A$2005,"&lt;="&amp;ReportTo))</f>
        <v/>
      </c>
      <c r="W76" s="25">
        <f>IF($A76="",0,SUMIFS('Receipt Vouchers'!$N$5:$N$2005,'Receipt Vouchers'!$P$5:$P$2005,$A76,'Receipt Vouchers'!$A$5:$A$2005,"&gt;="&amp;ReportFrom,'Receipt Vouchers'!$A$5:$A$2005,"&lt;="&amp;ReportTo)+SUMIFS('Receipt Vouchers'!$M$5:$M$2005,'Receipt Vouchers'!$R$5:$R$2005,$A76,'Receipt Vouchers'!$A$5:$A$2005,"&gt;="&amp;ReportFrom,'Receipt Vouchers'!$A$5:$A$2005,"&lt;="&amp;ReportTo))</f>
        <v/>
      </c>
      <c r="X76" s="25">
        <f>IF($A76="",0,(SUMIFS('Sales Invoices'!$O$5:$O$2005,'Sales Invoices'!$P$5:$P$2005,$A76,'Sales Invoices'!$B$5:$B$2005,"&lt;"&amp;ReportFrom)+SUMIFS('Sales Invoices'!$N$5:$N$2005,'Sales Invoices'!$R$5:$R$2005,$A76,'Sales Invoices'!$B$5:$B$2005,"&lt;"&amp;ReportFrom))-(SUMIFS('Sales Invoices'!$L$5:$L$2005,'Sales Invoices'!$Q$5:$Q$2005,$A76,'Sales Invoices'!$B$5:$B$2005,"&lt;"&amp;ReportFrom)+SUMIFS('Sales Invoices'!$M$5:$M$2005,'Sales Invoices'!$S$5:$S$2005,$A76,'Sales Invoices'!$B$5:$B$2005,"&lt;"&amp;ReportFrom)))</f>
        <v/>
      </c>
      <c r="Y76" s="25">
        <f>IF($A76="",0,SUMIFS('Sales Invoices'!$O$5:$O$2005,'Sales Invoices'!$P$5:$P$2005,$A76,'Sales Invoices'!$B$5:$B$2005,"&gt;="&amp;ReportFrom,'Sales Invoices'!$B$5:$B$2005,"&lt;="&amp;ReportTo)+SUMIFS('Sales Invoices'!$N$5:$N$2005,'Sales Invoices'!$R$5:$R$2005,$A76,'Sales Invoices'!$B$5:$B$2005,"&gt;="&amp;ReportFrom,'Sales Invoices'!$B$5:$B$2005,"&lt;="&amp;ReportTo))</f>
        <v/>
      </c>
      <c r="Z76" s="25">
        <f>IF($A76="",0,SUMIFS('Sales Invoices'!$L$5:$L$2005,'Sales Invoices'!$Q$5:$Q$2005,$A76,'Sales Invoices'!$B$5:$B$2005,"&gt;="&amp;ReportFrom,'Sales Invoices'!$B$5:$B$2005,"&lt;="&amp;ReportTo)+SUMIFS('Sales Invoices'!$M$5:$M$2005,'Sales Invoices'!$S$5:$S$2005,$A76,'Sales Invoices'!$B$5:$B$2005,"&gt;="&amp;ReportFrom,'Sales Invoices'!$B$5:$B$2005,"&lt;="&amp;ReportTo))</f>
        <v/>
      </c>
      <c r="AA76" s="25">
        <f>IF($A76="",0,(SUMIFS('Payment Vouchers'!$D$5:$D$2005,'Payment Vouchers'!$J$5:$J$2005,$A76,'Payment Vouchers'!$A$5:$A$2005,"&lt;"&amp;ReportFrom))-(SUMIFS('Payment Vouchers'!$D$5:$D$2005,'Payment Vouchers'!$K$5:$K$2005,$A76,'Payment Vouchers'!$A$5:$A$2005,"&lt;"&amp;ReportFrom)))</f>
        <v/>
      </c>
      <c r="AB76" s="25">
        <f>IF($A76="",0,SUMIFS('Payment Vouchers'!$D$5:$D$2005,'Payment Vouchers'!$J$5:$J$2005,$A76,'Payment Vouchers'!$A$5:$A$2005,"&gt;="&amp;ReportFrom,'Payment Vouchers'!$A$5:$A$2005,"&lt;="&amp;ReportTo))</f>
        <v/>
      </c>
      <c r="AC76" s="25">
        <f>IF($A76="",0,SUMIFS('Payment Vouchers'!$D$5:$D$2005,'Payment Vouchers'!$K$5:$K$2005,$A76,'Payment Vouchers'!$A$5:$A$2005,"&gt;="&amp;ReportFrom,'Payment Vouchers'!$A$5:$A$2005,"&lt;="&amp;ReportTo))</f>
        <v/>
      </c>
      <c r="AD76" s="25">
        <f>IF($A76="",0,(SUMIFS('Partner Transactions'!$D$5:$D$2005,'Partner Transactions'!$L$5:$L$2005,$A76,'Partner Transactions'!$A$5:$A$2005,"&lt;"&amp;ReportFrom))-(SUMIFS('Partner Transactions'!$D$5:$D$2005,'Partner Transactions'!$M$5:$M$2005,$A76,'Partner Transactions'!$A$5:$A$2005,"&lt;"&amp;ReportFrom)))</f>
        <v/>
      </c>
      <c r="AE76" s="25">
        <f>IF($A76="",0,SUMIFS('Partner Transactions'!$D$5:$D$2005,'Partner Transactions'!$L$5:$L$2005,$A76,'Partner Transactions'!$A$5:$A$2005,"&gt;="&amp;ReportFrom,'Partner Transactions'!$A$5:$A$2005,"&lt;="&amp;ReportTo))</f>
        <v/>
      </c>
      <c r="AF76" s="25">
        <f>IF($A76="",0,SUMIFS('Partner Transactions'!$D$5:$D$2005,'Partner Transactions'!$M$5:$M$2005,$A76,'Partner Transactions'!$A$5:$A$2005,"&gt;="&amp;ReportFrom,'Partner Transactions'!$A$5:$A$2005,"&lt;="&amp;ReportTo))</f>
        <v/>
      </c>
      <c r="AG76" s="25">
        <f>IF($A76="",0,(SUMIFS('Stock Moves'!$S$5:$S$2005,'Stock Moves'!$AD$5:$AD$2005,$A76,'Stock Moves'!$A$5:$A$2005,"&lt;"&amp;ReportFrom)+SUMIFS('Stock Moves'!$T$5:$T$2005,'Stock Moves'!$V$5:$V$2005,$A76,'Stock Moves'!$A$5:$A$2005,"&lt;"&amp;ReportFrom))-(SUMIFS('Stock Moves'!$AF$5:$AF$2005,'Stock Moves'!$AE$5:$AE$2005,$A76,'Stock Moves'!$A$5:$A$2005,"&lt;"&amp;ReportFrom)+SUMIFS('Stock Moves'!$AC$5:$AC$2005,'Stock Moves'!$X$5:$X$2005,$A76,'Stock Moves'!$A$5:$A$2005,"&lt;"&amp;ReportFrom)+SUMIFS('Stock Moves'!$U$5:$U$2005,'Stock Moves'!$W$5:$W$2005,$A76,'Stock Moves'!$A$5:$A$2005,"&lt;"&amp;ReportFrom)))</f>
        <v/>
      </c>
      <c r="AH76" s="25">
        <f>IF($A76="",0,SUMIFS('Stock Moves'!$S$5:$S$2005,'Stock Moves'!$AD$5:$AD$2005,$A76,'Stock Moves'!$A$5:$A$2005,"&gt;="&amp;ReportFrom,'Stock Moves'!$A$5:$A$2005,"&lt;="&amp;ReportTo)+SUMIFS('Stock Moves'!$T$5:$T$2005,'Stock Moves'!$V$5:$V$2005,$A76,'Stock Moves'!$A$5:$A$2005,"&gt;="&amp;ReportFrom,'Stock Moves'!$A$5:$A$2005,"&lt;="&amp;ReportTo))</f>
        <v/>
      </c>
      <c r="AI76" s="25">
        <f>IF($A76="",0,SUMIFS('Stock Moves'!$AF$5:$AF$2005,'Stock Moves'!$AE$5:$AE$2005,$A76,'Stock Moves'!$A$5:$A$2005,"&gt;="&amp;ReportFrom,'Stock Moves'!$A$5:$A$2005,"&lt;="&amp;ReportTo)+SUMIFS('Stock Moves'!$AC$5:$AC$2005,'Stock Moves'!$X$5:$X$2005,$A76,'Stock Moves'!$A$5:$A$2005,"&gt;="&amp;ReportFrom,'Stock Moves'!$A$5:$A$2005,"&lt;="&amp;ReportTo)+SUMIFS('Stock Moves'!$U$5:$U$2005,'Stock Moves'!$W$5:$W$2005,$A76,'Stock Moves'!$A$5:$A$2005,"&gt;="&amp;ReportFrom,'Stock Moves'!$A$5:$A$2005,"&lt;="&amp;ReportTo))</f>
        <v/>
      </c>
      <c r="AJ76" s="25">
        <f>IF($A76="",0,(SUMIFS('Journal Vouchers'!$I$5:$I$2005,'Journal Vouchers'!$H$5:$H$2005,$A76,'Journal Vouchers'!$B$5:$B$2005,"&lt;"&amp;ReportFrom))-(SUMIFS('Journal Vouchers'!$J$5:$J$2005,'Journal Vouchers'!$H$5:$H$2005,$A76,'Journal Vouchers'!$B$5:$B$2005,"&lt;"&amp;ReportFrom)))</f>
        <v/>
      </c>
      <c r="AK76" s="25">
        <f>IF($A76="",0,SUMIFS('Journal Vouchers'!$I$5:$I$2005,'Journal Vouchers'!$H$5:$H$2005,$A76,'Journal Vouchers'!$B$5:$B$2005,"&gt;="&amp;ReportFrom,'Journal Vouchers'!$B$5:$B$2005,"&lt;="&amp;ReportTo))</f>
        <v/>
      </c>
      <c r="AL76" s="25">
        <f>IF($A76="",0,SUMIFS('Journal Vouchers'!$J$5:$J$2005,'Journal Vouchers'!$H$5:$H$2005,$A76,'Journal Vouchers'!$B$5:$B$2005,"&gt;="&amp;ReportFrom,'Journal Vouchers'!$B$5:$B$2005,"&lt;="&amp;ReportTo))</f>
        <v/>
      </c>
    </row>
    <row r="77">
      <c r="A77" s="25">
        <f>IF('Chart of Accounts'!A77="","",'Chart of Accounts'!A77&amp;"")</f>
        <v/>
      </c>
      <c r="B77" s="25">
        <f>IF(A77="","",'Chart of Accounts'!B77)</f>
        <v/>
      </c>
      <c r="C77" s="25">
        <f>IF(A77="","",'Chart of Accounts'!C77)</f>
        <v/>
      </c>
      <c r="D77" s="25">
        <f>IF(A77="","",'Chart of Accounts'!D77)</f>
        <v/>
      </c>
      <c r="E77" s="26">
        <f>L77+O77+R77+U77+X77+AA77+AD77+AG77+AJ77</f>
        <v/>
      </c>
      <c r="F77" s="26">
        <f>M77+P77+S77+V77+Y77+AB77+AE77+AH77+AK77</f>
        <v/>
      </c>
      <c r="G77" s="26">
        <f>N77+Q77+T77+W77+Z77+AC77+AF77+AI77+AL77</f>
        <v/>
      </c>
      <c r="H77" s="26">
        <f>E77+F77-G77</f>
        <v/>
      </c>
      <c r="I77" s="26">
        <f>MAX(H77,0)</f>
        <v/>
      </c>
      <c r="J77" s="26">
        <f>MAX(-H77,0)</f>
        <v/>
      </c>
      <c r="L77" s="25">
        <f>IF($A77="",0,(SUMIFS('Direct Costs'!$R$5:$R$2005,'Direct Costs'!$V$5:$V$2005,$A77,'Direct Costs'!$A$5:$A$2005,"&lt;"&amp;ReportFrom)+SUMIFS('Direct Costs'!$S$5:$S$2005,'Direct Costs'!$Y$5:$Y$2005,$A77,'Direct Costs'!$A$5:$A$2005,"&lt;"&amp;ReportFrom))-(SUMIFS('Direct Costs'!$L$5:$L$2005,'Direct Costs'!$W$5:$W$2005,$A77,'Direct Costs'!$A$5:$A$2005,"&lt;"&amp;ReportFrom)+SUMIFS('Direct Costs'!$U$5:$U$2005,'Direct Costs'!$X$5:$X$2005,$A77,'Direct Costs'!$A$5:$A$2005,"&lt;"&amp;ReportFrom)+SUMIFS('Direct Costs'!$T$5:$T$2005,'Direct Costs'!$Z$5:$Z$2005,$A77,'Direct Costs'!$A$5:$A$2005,"&lt;"&amp;ReportFrom)))</f>
        <v/>
      </c>
      <c r="M77" s="25">
        <f>IF($A77="",0,SUMIFS('Direct Costs'!$R$5:$R$2005,'Direct Costs'!$V$5:$V$2005,$A77,'Direct Costs'!$A$5:$A$2005,"&gt;="&amp;ReportFrom,'Direct Costs'!$A$5:$A$2005,"&lt;="&amp;ReportTo)+SUMIFS('Direct Costs'!$S$5:$S$2005,'Direct Costs'!$Y$5:$Y$2005,$A77,'Direct Costs'!$A$5:$A$2005,"&gt;="&amp;ReportFrom,'Direct Costs'!$A$5:$A$2005,"&lt;="&amp;ReportTo))</f>
        <v/>
      </c>
      <c r="N77" s="25">
        <f>IF($A77="",0,SUMIFS('Direct Costs'!$L$5:$L$2005,'Direct Costs'!$W$5:$W$2005,$A77,'Direct Costs'!$A$5:$A$2005,"&gt;="&amp;ReportFrom,'Direct Costs'!$A$5:$A$2005,"&lt;="&amp;ReportTo)+SUMIFS('Direct Costs'!$U$5:$U$2005,'Direct Costs'!$X$5:$X$2005,$A77,'Direct Costs'!$A$5:$A$2005,"&gt;="&amp;ReportFrom,'Direct Costs'!$A$5:$A$2005,"&lt;="&amp;ReportTo)+SUMIFS('Direct Costs'!$T$5:$T$2005,'Direct Costs'!$Z$5:$Z$2005,$A77,'Direct Costs'!$A$5:$A$2005,"&gt;="&amp;ReportFrom,'Direct Costs'!$A$5:$A$2005,"&lt;="&amp;ReportTo))</f>
        <v/>
      </c>
      <c r="O77" s="25">
        <f>IF($A77="",0,(SUMIFS('Operating Expenses'!$F$5:$F$2005,'Operating Expenses'!$Q$5:$Q$2005,$A77,'Operating Expenses'!$A$5:$A$2005,"&lt;"&amp;ReportFrom)+SUMIFS('Operating Expenses'!$M$5:$M$2005,'Operating Expenses'!$T$5:$T$2005,$A77,'Operating Expenses'!$A$5:$A$2005,"&lt;"&amp;ReportFrom))-(SUMIFS('Operating Expenses'!$O$5:$O$2005,'Operating Expenses'!$R$5:$R$2005,$A77,'Operating Expenses'!$A$5:$A$2005,"&lt;"&amp;ReportFrom)+SUMIFS('Operating Expenses'!$P$5:$P$2005,'Operating Expenses'!$S$5:$S$2005,$A77,'Operating Expenses'!$A$5:$A$2005,"&lt;"&amp;ReportFrom)+SUMIFS('Operating Expenses'!$N$5:$N$2005,'Operating Expenses'!$U$5:$U$2005,$A77,'Operating Expenses'!$A$5:$A$2005,"&lt;"&amp;ReportFrom)))</f>
        <v/>
      </c>
      <c r="P77" s="25">
        <f>IF($A77="",0,SUMIFS('Operating Expenses'!$F$5:$F$2005,'Operating Expenses'!$Q$5:$Q$2005,$A77,'Operating Expenses'!$A$5:$A$2005,"&gt;="&amp;ReportFrom,'Operating Expenses'!$A$5:$A$2005,"&lt;="&amp;ReportTo)+SUMIFS('Operating Expenses'!$M$5:$M$2005,'Operating Expenses'!$T$5:$T$2005,$A77,'Operating Expenses'!$A$5:$A$2005,"&gt;="&amp;ReportFrom,'Operating Expenses'!$A$5:$A$2005,"&lt;="&amp;ReportTo))</f>
        <v/>
      </c>
      <c r="Q77" s="25">
        <f>IF($A77="",0,SUMIFS('Operating Expenses'!$O$5:$O$2005,'Operating Expenses'!$R$5:$R$2005,$A77,'Operating Expenses'!$A$5:$A$2005,"&gt;="&amp;ReportFrom,'Operating Expenses'!$A$5:$A$2005,"&lt;="&amp;ReportTo)+SUMIFS('Operating Expenses'!$P$5:$P$2005,'Operating Expenses'!$S$5:$S$2005,$A77,'Operating Expenses'!$A$5:$A$2005,"&gt;="&amp;ReportFrom,'Operating Expenses'!$A$5:$A$2005,"&lt;="&amp;ReportTo)+SUMIFS('Operating Expenses'!$N$5:$N$2005,'Operating Expenses'!$U$5:$U$2005,$A77,'Operating Expenses'!$A$5:$A$2005,"&gt;="&amp;ReportFrom,'Operating Expenses'!$A$5:$A$2005,"&lt;="&amp;ReportTo))</f>
        <v/>
      </c>
      <c r="R77" s="25">
        <f>IF($A77="",0,(SUMIFS('Payroll'!$O$5:$O$2005,'Payroll'!$Q$5:$Q$2005,$A77,'Payroll'!$A$5:$A$2005,"&lt;"&amp;ReportFrom))-(SUMIFS('Payroll'!$K$5:$K$2005,'Payroll'!$R$5:$R$2005,$A77,'Payroll'!$A$5:$A$2005,"&lt;"&amp;ReportFrom)+SUMIFS('Payroll'!$P$5:$P$2005,'Payroll'!$S$5:$S$2005,$A77,'Payroll'!$A$5:$A$2005,"&lt;"&amp;ReportFrom)))</f>
        <v/>
      </c>
      <c r="S77" s="25">
        <f>IF($A77="",0,SUMIFS('Payroll'!$O$5:$O$2005,'Payroll'!$Q$5:$Q$2005,$A77,'Payroll'!$A$5:$A$2005,"&gt;="&amp;ReportFrom,'Payroll'!$A$5:$A$2005,"&lt;="&amp;ReportTo))</f>
        <v/>
      </c>
      <c r="T77" s="25">
        <f>IF($A77="",0,SUMIFS('Payroll'!$K$5:$K$2005,'Payroll'!$R$5:$R$2005,$A77,'Payroll'!$A$5:$A$2005,"&gt;="&amp;ReportFrom,'Payroll'!$A$5:$A$2005,"&lt;="&amp;ReportTo)+SUMIFS('Payroll'!$P$5:$P$2005,'Payroll'!$S$5:$S$2005,$A77,'Payroll'!$A$5:$A$2005,"&gt;="&amp;ReportFrom,'Payroll'!$A$5:$A$2005,"&lt;="&amp;ReportTo))</f>
        <v/>
      </c>
      <c r="U77" s="25">
        <f>IF($A77="",0,(SUMIFS('Receipt Vouchers'!$F$5:$F$2005,'Receipt Vouchers'!$O$5:$O$2005,$A77,'Receipt Vouchers'!$A$5:$A$2005,"&lt;"&amp;ReportFrom)+SUMIFS('Receipt Vouchers'!$J$5:$J$2005,'Receipt Vouchers'!$Q$5:$Q$2005,$A77,'Receipt Vouchers'!$A$5:$A$2005,"&lt;"&amp;ReportFrom))-(SUMIFS('Receipt Vouchers'!$N$5:$N$2005,'Receipt Vouchers'!$P$5:$P$2005,$A77,'Receipt Vouchers'!$A$5:$A$2005,"&lt;"&amp;ReportFrom)+SUMIFS('Receipt Vouchers'!$M$5:$M$2005,'Receipt Vouchers'!$R$5:$R$2005,$A77,'Receipt Vouchers'!$A$5:$A$2005,"&lt;"&amp;ReportFrom)))</f>
        <v/>
      </c>
      <c r="V77" s="25">
        <f>IF($A77="",0,SUMIFS('Receipt Vouchers'!$F$5:$F$2005,'Receipt Vouchers'!$O$5:$O$2005,$A77,'Receipt Vouchers'!$A$5:$A$2005,"&gt;="&amp;ReportFrom,'Receipt Vouchers'!$A$5:$A$2005,"&lt;="&amp;ReportTo)+SUMIFS('Receipt Vouchers'!$J$5:$J$2005,'Receipt Vouchers'!$Q$5:$Q$2005,$A77,'Receipt Vouchers'!$A$5:$A$2005,"&gt;="&amp;ReportFrom,'Receipt Vouchers'!$A$5:$A$2005,"&lt;="&amp;ReportTo))</f>
        <v/>
      </c>
      <c r="W77" s="25">
        <f>IF($A77="",0,SUMIFS('Receipt Vouchers'!$N$5:$N$2005,'Receipt Vouchers'!$P$5:$P$2005,$A77,'Receipt Vouchers'!$A$5:$A$2005,"&gt;="&amp;ReportFrom,'Receipt Vouchers'!$A$5:$A$2005,"&lt;="&amp;ReportTo)+SUMIFS('Receipt Vouchers'!$M$5:$M$2005,'Receipt Vouchers'!$R$5:$R$2005,$A77,'Receipt Vouchers'!$A$5:$A$2005,"&gt;="&amp;ReportFrom,'Receipt Vouchers'!$A$5:$A$2005,"&lt;="&amp;ReportTo))</f>
        <v/>
      </c>
      <c r="X77" s="25">
        <f>IF($A77="",0,(SUMIFS('Sales Invoices'!$O$5:$O$2005,'Sales Invoices'!$P$5:$P$2005,$A77,'Sales Invoices'!$B$5:$B$2005,"&lt;"&amp;ReportFrom)+SUMIFS('Sales Invoices'!$N$5:$N$2005,'Sales Invoices'!$R$5:$R$2005,$A77,'Sales Invoices'!$B$5:$B$2005,"&lt;"&amp;ReportFrom))-(SUMIFS('Sales Invoices'!$L$5:$L$2005,'Sales Invoices'!$Q$5:$Q$2005,$A77,'Sales Invoices'!$B$5:$B$2005,"&lt;"&amp;ReportFrom)+SUMIFS('Sales Invoices'!$M$5:$M$2005,'Sales Invoices'!$S$5:$S$2005,$A77,'Sales Invoices'!$B$5:$B$2005,"&lt;"&amp;ReportFrom)))</f>
        <v/>
      </c>
      <c r="Y77" s="25">
        <f>IF($A77="",0,SUMIFS('Sales Invoices'!$O$5:$O$2005,'Sales Invoices'!$P$5:$P$2005,$A77,'Sales Invoices'!$B$5:$B$2005,"&gt;="&amp;ReportFrom,'Sales Invoices'!$B$5:$B$2005,"&lt;="&amp;ReportTo)+SUMIFS('Sales Invoices'!$N$5:$N$2005,'Sales Invoices'!$R$5:$R$2005,$A77,'Sales Invoices'!$B$5:$B$2005,"&gt;="&amp;ReportFrom,'Sales Invoices'!$B$5:$B$2005,"&lt;="&amp;ReportTo))</f>
        <v/>
      </c>
      <c r="Z77" s="25">
        <f>IF($A77="",0,SUMIFS('Sales Invoices'!$L$5:$L$2005,'Sales Invoices'!$Q$5:$Q$2005,$A77,'Sales Invoices'!$B$5:$B$2005,"&gt;="&amp;ReportFrom,'Sales Invoices'!$B$5:$B$2005,"&lt;="&amp;ReportTo)+SUMIFS('Sales Invoices'!$M$5:$M$2005,'Sales Invoices'!$S$5:$S$2005,$A77,'Sales Invoices'!$B$5:$B$2005,"&gt;="&amp;ReportFrom,'Sales Invoices'!$B$5:$B$2005,"&lt;="&amp;ReportTo))</f>
        <v/>
      </c>
      <c r="AA77" s="25">
        <f>IF($A77="",0,(SUMIFS('Payment Vouchers'!$D$5:$D$2005,'Payment Vouchers'!$J$5:$J$2005,$A77,'Payment Vouchers'!$A$5:$A$2005,"&lt;"&amp;ReportFrom))-(SUMIFS('Payment Vouchers'!$D$5:$D$2005,'Payment Vouchers'!$K$5:$K$2005,$A77,'Payment Vouchers'!$A$5:$A$2005,"&lt;"&amp;ReportFrom)))</f>
        <v/>
      </c>
      <c r="AB77" s="25">
        <f>IF($A77="",0,SUMIFS('Payment Vouchers'!$D$5:$D$2005,'Payment Vouchers'!$J$5:$J$2005,$A77,'Payment Vouchers'!$A$5:$A$2005,"&gt;="&amp;ReportFrom,'Payment Vouchers'!$A$5:$A$2005,"&lt;="&amp;ReportTo))</f>
        <v/>
      </c>
      <c r="AC77" s="25">
        <f>IF($A77="",0,SUMIFS('Payment Vouchers'!$D$5:$D$2005,'Payment Vouchers'!$K$5:$K$2005,$A77,'Payment Vouchers'!$A$5:$A$2005,"&gt;="&amp;ReportFrom,'Payment Vouchers'!$A$5:$A$2005,"&lt;="&amp;ReportTo))</f>
        <v/>
      </c>
      <c r="AD77" s="25">
        <f>IF($A77="",0,(SUMIFS('Partner Transactions'!$D$5:$D$2005,'Partner Transactions'!$L$5:$L$2005,$A77,'Partner Transactions'!$A$5:$A$2005,"&lt;"&amp;ReportFrom))-(SUMIFS('Partner Transactions'!$D$5:$D$2005,'Partner Transactions'!$M$5:$M$2005,$A77,'Partner Transactions'!$A$5:$A$2005,"&lt;"&amp;ReportFrom)))</f>
        <v/>
      </c>
      <c r="AE77" s="25">
        <f>IF($A77="",0,SUMIFS('Partner Transactions'!$D$5:$D$2005,'Partner Transactions'!$L$5:$L$2005,$A77,'Partner Transactions'!$A$5:$A$2005,"&gt;="&amp;ReportFrom,'Partner Transactions'!$A$5:$A$2005,"&lt;="&amp;ReportTo))</f>
        <v/>
      </c>
      <c r="AF77" s="25">
        <f>IF($A77="",0,SUMIFS('Partner Transactions'!$D$5:$D$2005,'Partner Transactions'!$M$5:$M$2005,$A77,'Partner Transactions'!$A$5:$A$2005,"&gt;="&amp;ReportFrom,'Partner Transactions'!$A$5:$A$2005,"&lt;="&amp;ReportTo))</f>
        <v/>
      </c>
      <c r="AG77" s="25">
        <f>IF($A77="",0,(SUMIFS('Stock Moves'!$S$5:$S$2005,'Stock Moves'!$AD$5:$AD$2005,$A77,'Stock Moves'!$A$5:$A$2005,"&lt;"&amp;ReportFrom)+SUMIFS('Stock Moves'!$T$5:$T$2005,'Stock Moves'!$V$5:$V$2005,$A77,'Stock Moves'!$A$5:$A$2005,"&lt;"&amp;ReportFrom))-(SUMIFS('Stock Moves'!$AF$5:$AF$2005,'Stock Moves'!$AE$5:$AE$2005,$A77,'Stock Moves'!$A$5:$A$2005,"&lt;"&amp;ReportFrom)+SUMIFS('Stock Moves'!$AC$5:$AC$2005,'Stock Moves'!$X$5:$X$2005,$A77,'Stock Moves'!$A$5:$A$2005,"&lt;"&amp;ReportFrom)+SUMIFS('Stock Moves'!$U$5:$U$2005,'Stock Moves'!$W$5:$W$2005,$A77,'Stock Moves'!$A$5:$A$2005,"&lt;"&amp;ReportFrom)))</f>
        <v/>
      </c>
      <c r="AH77" s="25">
        <f>IF($A77="",0,SUMIFS('Stock Moves'!$S$5:$S$2005,'Stock Moves'!$AD$5:$AD$2005,$A77,'Stock Moves'!$A$5:$A$2005,"&gt;="&amp;ReportFrom,'Stock Moves'!$A$5:$A$2005,"&lt;="&amp;ReportTo)+SUMIFS('Stock Moves'!$T$5:$T$2005,'Stock Moves'!$V$5:$V$2005,$A77,'Stock Moves'!$A$5:$A$2005,"&gt;="&amp;ReportFrom,'Stock Moves'!$A$5:$A$2005,"&lt;="&amp;ReportTo))</f>
        <v/>
      </c>
      <c r="AI77" s="25">
        <f>IF($A77="",0,SUMIFS('Stock Moves'!$AF$5:$AF$2005,'Stock Moves'!$AE$5:$AE$2005,$A77,'Stock Moves'!$A$5:$A$2005,"&gt;="&amp;ReportFrom,'Stock Moves'!$A$5:$A$2005,"&lt;="&amp;ReportTo)+SUMIFS('Stock Moves'!$AC$5:$AC$2005,'Stock Moves'!$X$5:$X$2005,$A77,'Stock Moves'!$A$5:$A$2005,"&gt;="&amp;ReportFrom,'Stock Moves'!$A$5:$A$2005,"&lt;="&amp;ReportTo)+SUMIFS('Stock Moves'!$U$5:$U$2005,'Stock Moves'!$W$5:$W$2005,$A77,'Stock Moves'!$A$5:$A$2005,"&gt;="&amp;ReportFrom,'Stock Moves'!$A$5:$A$2005,"&lt;="&amp;ReportTo))</f>
        <v/>
      </c>
      <c r="AJ77" s="25">
        <f>IF($A77="",0,(SUMIFS('Journal Vouchers'!$I$5:$I$2005,'Journal Vouchers'!$H$5:$H$2005,$A77,'Journal Vouchers'!$B$5:$B$2005,"&lt;"&amp;ReportFrom))-(SUMIFS('Journal Vouchers'!$J$5:$J$2005,'Journal Vouchers'!$H$5:$H$2005,$A77,'Journal Vouchers'!$B$5:$B$2005,"&lt;"&amp;ReportFrom)))</f>
        <v/>
      </c>
      <c r="AK77" s="25">
        <f>IF($A77="",0,SUMIFS('Journal Vouchers'!$I$5:$I$2005,'Journal Vouchers'!$H$5:$H$2005,$A77,'Journal Vouchers'!$B$5:$B$2005,"&gt;="&amp;ReportFrom,'Journal Vouchers'!$B$5:$B$2005,"&lt;="&amp;ReportTo))</f>
        <v/>
      </c>
      <c r="AL77" s="25">
        <f>IF($A77="",0,SUMIFS('Journal Vouchers'!$J$5:$J$2005,'Journal Vouchers'!$H$5:$H$2005,$A77,'Journal Vouchers'!$B$5:$B$2005,"&gt;="&amp;ReportFrom,'Journal Vouchers'!$B$5:$B$2005,"&lt;="&amp;ReportTo))</f>
        <v/>
      </c>
    </row>
    <row r="78">
      <c r="A78" s="25">
        <f>IF('Chart of Accounts'!A78="","",'Chart of Accounts'!A78&amp;"")</f>
        <v/>
      </c>
      <c r="B78" s="25">
        <f>IF(A78="","",'Chart of Accounts'!B78)</f>
        <v/>
      </c>
      <c r="C78" s="25">
        <f>IF(A78="","",'Chart of Accounts'!C78)</f>
        <v/>
      </c>
      <c r="D78" s="25">
        <f>IF(A78="","",'Chart of Accounts'!D78)</f>
        <v/>
      </c>
      <c r="E78" s="26">
        <f>L78+O78+R78+U78+X78+AA78+AD78+AG78+AJ78</f>
        <v/>
      </c>
      <c r="F78" s="26">
        <f>M78+P78+S78+V78+Y78+AB78+AE78+AH78+AK78</f>
        <v/>
      </c>
      <c r="G78" s="26">
        <f>N78+Q78+T78+W78+Z78+AC78+AF78+AI78+AL78</f>
        <v/>
      </c>
      <c r="H78" s="26">
        <f>E78+F78-G78</f>
        <v/>
      </c>
      <c r="I78" s="26">
        <f>MAX(H78,0)</f>
        <v/>
      </c>
      <c r="J78" s="26">
        <f>MAX(-H78,0)</f>
        <v/>
      </c>
      <c r="L78" s="25">
        <f>IF($A78="",0,(SUMIFS('Direct Costs'!$R$5:$R$2005,'Direct Costs'!$V$5:$V$2005,$A78,'Direct Costs'!$A$5:$A$2005,"&lt;"&amp;ReportFrom)+SUMIFS('Direct Costs'!$S$5:$S$2005,'Direct Costs'!$Y$5:$Y$2005,$A78,'Direct Costs'!$A$5:$A$2005,"&lt;"&amp;ReportFrom))-(SUMIFS('Direct Costs'!$L$5:$L$2005,'Direct Costs'!$W$5:$W$2005,$A78,'Direct Costs'!$A$5:$A$2005,"&lt;"&amp;ReportFrom)+SUMIFS('Direct Costs'!$U$5:$U$2005,'Direct Costs'!$X$5:$X$2005,$A78,'Direct Costs'!$A$5:$A$2005,"&lt;"&amp;ReportFrom)+SUMIFS('Direct Costs'!$T$5:$T$2005,'Direct Costs'!$Z$5:$Z$2005,$A78,'Direct Costs'!$A$5:$A$2005,"&lt;"&amp;ReportFrom)))</f>
        <v/>
      </c>
      <c r="M78" s="25">
        <f>IF($A78="",0,SUMIFS('Direct Costs'!$R$5:$R$2005,'Direct Costs'!$V$5:$V$2005,$A78,'Direct Costs'!$A$5:$A$2005,"&gt;="&amp;ReportFrom,'Direct Costs'!$A$5:$A$2005,"&lt;="&amp;ReportTo)+SUMIFS('Direct Costs'!$S$5:$S$2005,'Direct Costs'!$Y$5:$Y$2005,$A78,'Direct Costs'!$A$5:$A$2005,"&gt;="&amp;ReportFrom,'Direct Costs'!$A$5:$A$2005,"&lt;="&amp;ReportTo))</f>
        <v/>
      </c>
      <c r="N78" s="25">
        <f>IF($A78="",0,SUMIFS('Direct Costs'!$L$5:$L$2005,'Direct Costs'!$W$5:$W$2005,$A78,'Direct Costs'!$A$5:$A$2005,"&gt;="&amp;ReportFrom,'Direct Costs'!$A$5:$A$2005,"&lt;="&amp;ReportTo)+SUMIFS('Direct Costs'!$U$5:$U$2005,'Direct Costs'!$X$5:$X$2005,$A78,'Direct Costs'!$A$5:$A$2005,"&gt;="&amp;ReportFrom,'Direct Costs'!$A$5:$A$2005,"&lt;="&amp;ReportTo)+SUMIFS('Direct Costs'!$T$5:$T$2005,'Direct Costs'!$Z$5:$Z$2005,$A78,'Direct Costs'!$A$5:$A$2005,"&gt;="&amp;ReportFrom,'Direct Costs'!$A$5:$A$2005,"&lt;="&amp;ReportTo))</f>
        <v/>
      </c>
      <c r="O78" s="25">
        <f>IF($A78="",0,(SUMIFS('Operating Expenses'!$F$5:$F$2005,'Operating Expenses'!$Q$5:$Q$2005,$A78,'Operating Expenses'!$A$5:$A$2005,"&lt;"&amp;ReportFrom)+SUMIFS('Operating Expenses'!$M$5:$M$2005,'Operating Expenses'!$T$5:$T$2005,$A78,'Operating Expenses'!$A$5:$A$2005,"&lt;"&amp;ReportFrom))-(SUMIFS('Operating Expenses'!$O$5:$O$2005,'Operating Expenses'!$R$5:$R$2005,$A78,'Operating Expenses'!$A$5:$A$2005,"&lt;"&amp;ReportFrom)+SUMIFS('Operating Expenses'!$P$5:$P$2005,'Operating Expenses'!$S$5:$S$2005,$A78,'Operating Expenses'!$A$5:$A$2005,"&lt;"&amp;ReportFrom)+SUMIFS('Operating Expenses'!$N$5:$N$2005,'Operating Expenses'!$U$5:$U$2005,$A78,'Operating Expenses'!$A$5:$A$2005,"&lt;"&amp;ReportFrom)))</f>
        <v/>
      </c>
      <c r="P78" s="25">
        <f>IF($A78="",0,SUMIFS('Operating Expenses'!$F$5:$F$2005,'Operating Expenses'!$Q$5:$Q$2005,$A78,'Operating Expenses'!$A$5:$A$2005,"&gt;="&amp;ReportFrom,'Operating Expenses'!$A$5:$A$2005,"&lt;="&amp;ReportTo)+SUMIFS('Operating Expenses'!$M$5:$M$2005,'Operating Expenses'!$T$5:$T$2005,$A78,'Operating Expenses'!$A$5:$A$2005,"&gt;="&amp;ReportFrom,'Operating Expenses'!$A$5:$A$2005,"&lt;="&amp;ReportTo))</f>
        <v/>
      </c>
      <c r="Q78" s="25">
        <f>IF($A78="",0,SUMIFS('Operating Expenses'!$O$5:$O$2005,'Operating Expenses'!$R$5:$R$2005,$A78,'Operating Expenses'!$A$5:$A$2005,"&gt;="&amp;ReportFrom,'Operating Expenses'!$A$5:$A$2005,"&lt;="&amp;ReportTo)+SUMIFS('Operating Expenses'!$P$5:$P$2005,'Operating Expenses'!$S$5:$S$2005,$A78,'Operating Expenses'!$A$5:$A$2005,"&gt;="&amp;ReportFrom,'Operating Expenses'!$A$5:$A$2005,"&lt;="&amp;ReportTo)+SUMIFS('Operating Expenses'!$N$5:$N$2005,'Operating Expenses'!$U$5:$U$2005,$A78,'Operating Expenses'!$A$5:$A$2005,"&gt;="&amp;ReportFrom,'Operating Expenses'!$A$5:$A$2005,"&lt;="&amp;ReportTo))</f>
        <v/>
      </c>
      <c r="R78" s="25">
        <f>IF($A78="",0,(SUMIFS('Payroll'!$O$5:$O$2005,'Payroll'!$Q$5:$Q$2005,$A78,'Payroll'!$A$5:$A$2005,"&lt;"&amp;ReportFrom))-(SUMIFS('Payroll'!$K$5:$K$2005,'Payroll'!$R$5:$R$2005,$A78,'Payroll'!$A$5:$A$2005,"&lt;"&amp;ReportFrom)+SUMIFS('Payroll'!$P$5:$P$2005,'Payroll'!$S$5:$S$2005,$A78,'Payroll'!$A$5:$A$2005,"&lt;"&amp;ReportFrom)))</f>
        <v/>
      </c>
      <c r="S78" s="25">
        <f>IF($A78="",0,SUMIFS('Payroll'!$O$5:$O$2005,'Payroll'!$Q$5:$Q$2005,$A78,'Payroll'!$A$5:$A$2005,"&gt;="&amp;ReportFrom,'Payroll'!$A$5:$A$2005,"&lt;="&amp;ReportTo))</f>
        <v/>
      </c>
      <c r="T78" s="25">
        <f>IF($A78="",0,SUMIFS('Payroll'!$K$5:$K$2005,'Payroll'!$R$5:$R$2005,$A78,'Payroll'!$A$5:$A$2005,"&gt;="&amp;ReportFrom,'Payroll'!$A$5:$A$2005,"&lt;="&amp;ReportTo)+SUMIFS('Payroll'!$P$5:$P$2005,'Payroll'!$S$5:$S$2005,$A78,'Payroll'!$A$5:$A$2005,"&gt;="&amp;ReportFrom,'Payroll'!$A$5:$A$2005,"&lt;="&amp;ReportTo))</f>
        <v/>
      </c>
      <c r="U78" s="25">
        <f>IF($A78="",0,(SUMIFS('Receipt Vouchers'!$F$5:$F$2005,'Receipt Vouchers'!$O$5:$O$2005,$A78,'Receipt Vouchers'!$A$5:$A$2005,"&lt;"&amp;ReportFrom)+SUMIFS('Receipt Vouchers'!$J$5:$J$2005,'Receipt Vouchers'!$Q$5:$Q$2005,$A78,'Receipt Vouchers'!$A$5:$A$2005,"&lt;"&amp;ReportFrom))-(SUMIFS('Receipt Vouchers'!$N$5:$N$2005,'Receipt Vouchers'!$P$5:$P$2005,$A78,'Receipt Vouchers'!$A$5:$A$2005,"&lt;"&amp;ReportFrom)+SUMIFS('Receipt Vouchers'!$M$5:$M$2005,'Receipt Vouchers'!$R$5:$R$2005,$A78,'Receipt Vouchers'!$A$5:$A$2005,"&lt;"&amp;ReportFrom)))</f>
        <v/>
      </c>
      <c r="V78" s="25">
        <f>IF($A78="",0,SUMIFS('Receipt Vouchers'!$F$5:$F$2005,'Receipt Vouchers'!$O$5:$O$2005,$A78,'Receipt Vouchers'!$A$5:$A$2005,"&gt;="&amp;ReportFrom,'Receipt Vouchers'!$A$5:$A$2005,"&lt;="&amp;ReportTo)+SUMIFS('Receipt Vouchers'!$J$5:$J$2005,'Receipt Vouchers'!$Q$5:$Q$2005,$A78,'Receipt Vouchers'!$A$5:$A$2005,"&gt;="&amp;ReportFrom,'Receipt Vouchers'!$A$5:$A$2005,"&lt;="&amp;ReportTo))</f>
        <v/>
      </c>
      <c r="W78" s="25">
        <f>IF($A78="",0,SUMIFS('Receipt Vouchers'!$N$5:$N$2005,'Receipt Vouchers'!$P$5:$P$2005,$A78,'Receipt Vouchers'!$A$5:$A$2005,"&gt;="&amp;ReportFrom,'Receipt Vouchers'!$A$5:$A$2005,"&lt;="&amp;ReportTo)+SUMIFS('Receipt Vouchers'!$M$5:$M$2005,'Receipt Vouchers'!$R$5:$R$2005,$A78,'Receipt Vouchers'!$A$5:$A$2005,"&gt;="&amp;ReportFrom,'Receipt Vouchers'!$A$5:$A$2005,"&lt;="&amp;ReportTo))</f>
        <v/>
      </c>
      <c r="X78" s="25">
        <f>IF($A78="",0,(SUMIFS('Sales Invoices'!$O$5:$O$2005,'Sales Invoices'!$P$5:$P$2005,$A78,'Sales Invoices'!$B$5:$B$2005,"&lt;"&amp;ReportFrom)+SUMIFS('Sales Invoices'!$N$5:$N$2005,'Sales Invoices'!$R$5:$R$2005,$A78,'Sales Invoices'!$B$5:$B$2005,"&lt;"&amp;ReportFrom))-(SUMIFS('Sales Invoices'!$L$5:$L$2005,'Sales Invoices'!$Q$5:$Q$2005,$A78,'Sales Invoices'!$B$5:$B$2005,"&lt;"&amp;ReportFrom)+SUMIFS('Sales Invoices'!$M$5:$M$2005,'Sales Invoices'!$S$5:$S$2005,$A78,'Sales Invoices'!$B$5:$B$2005,"&lt;"&amp;ReportFrom)))</f>
        <v/>
      </c>
      <c r="Y78" s="25">
        <f>IF($A78="",0,SUMIFS('Sales Invoices'!$O$5:$O$2005,'Sales Invoices'!$P$5:$P$2005,$A78,'Sales Invoices'!$B$5:$B$2005,"&gt;="&amp;ReportFrom,'Sales Invoices'!$B$5:$B$2005,"&lt;="&amp;ReportTo)+SUMIFS('Sales Invoices'!$N$5:$N$2005,'Sales Invoices'!$R$5:$R$2005,$A78,'Sales Invoices'!$B$5:$B$2005,"&gt;="&amp;ReportFrom,'Sales Invoices'!$B$5:$B$2005,"&lt;="&amp;ReportTo))</f>
        <v/>
      </c>
      <c r="Z78" s="25">
        <f>IF($A78="",0,SUMIFS('Sales Invoices'!$L$5:$L$2005,'Sales Invoices'!$Q$5:$Q$2005,$A78,'Sales Invoices'!$B$5:$B$2005,"&gt;="&amp;ReportFrom,'Sales Invoices'!$B$5:$B$2005,"&lt;="&amp;ReportTo)+SUMIFS('Sales Invoices'!$M$5:$M$2005,'Sales Invoices'!$S$5:$S$2005,$A78,'Sales Invoices'!$B$5:$B$2005,"&gt;="&amp;ReportFrom,'Sales Invoices'!$B$5:$B$2005,"&lt;="&amp;ReportTo))</f>
        <v/>
      </c>
      <c r="AA78" s="25">
        <f>IF($A78="",0,(SUMIFS('Payment Vouchers'!$D$5:$D$2005,'Payment Vouchers'!$J$5:$J$2005,$A78,'Payment Vouchers'!$A$5:$A$2005,"&lt;"&amp;ReportFrom))-(SUMIFS('Payment Vouchers'!$D$5:$D$2005,'Payment Vouchers'!$K$5:$K$2005,$A78,'Payment Vouchers'!$A$5:$A$2005,"&lt;"&amp;ReportFrom)))</f>
        <v/>
      </c>
      <c r="AB78" s="25">
        <f>IF($A78="",0,SUMIFS('Payment Vouchers'!$D$5:$D$2005,'Payment Vouchers'!$J$5:$J$2005,$A78,'Payment Vouchers'!$A$5:$A$2005,"&gt;="&amp;ReportFrom,'Payment Vouchers'!$A$5:$A$2005,"&lt;="&amp;ReportTo))</f>
        <v/>
      </c>
      <c r="AC78" s="25">
        <f>IF($A78="",0,SUMIFS('Payment Vouchers'!$D$5:$D$2005,'Payment Vouchers'!$K$5:$K$2005,$A78,'Payment Vouchers'!$A$5:$A$2005,"&gt;="&amp;ReportFrom,'Payment Vouchers'!$A$5:$A$2005,"&lt;="&amp;ReportTo))</f>
        <v/>
      </c>
      <c r="AD78" s="25">
        <f>IF($A78="",0,(SUMIFS('Partner Transactions'!$D$5:$D$2005,'Partner Transactions'!$L$5:$L$2005,$A78,'Partner Transactions'!$A$5:$A$2005,"&lt;"&amp;ReportFrom))-(SUMIFS('Partner Transactions'!$D$5:$D$2005,'Partner Transactions'!$M$5:$M$2005,$A78,'Partner Transactions'!$A$5:$A$2005,"&lt;"&amp;ReportFrom)))</f>
        <v/>
      </c>
      <c r="AE78" s="25">
        <f>IF($A78="",0,SUMIFS('Partner Transactions'!$D$5:$D$2005,'Partner Transactions'!$L$5:$L$2005,$A78,'Partner Transactions'!$A$5:$A$2005,"&gt;="&amp;ReportFrom,'Partner Transactions'!$A$5:$A$2005,"&lt;="&amp;ReportTo))</f>
        <v/>
      </c>
      <c r="AF78" s="25">
        <f>IF($A78="",0,SUMIFS('Partner Transactions'!$D$5:$D$2005,'Partner Transactions'!$M$5:$M$2005,$A78,'Partner Transactions'!$A$5:$A$2005,"&gt;="&amp;ReportFrom,'Partner Transactions'!$A$5:$A$2005,"&lt;="&amp;ReportTo))</f>
        <v/>
      </c>
      <c r="AG78" s="25">
        <f>IF($A78="",0,(SUMIFS('Stock Moves'!$S$5:$S$2005,'Stock Moves'!$AD$5:$AD$2005,$A78,'Stock Moves'!$A$5:$A$2005,"&lt;"&amp;ReportFrom)+SUMIFS('Stock Moves'!$T$5:$T$2005,'Stock Moves'!$V$5:$V$2005,$A78,'Stock Moves'!$A$5:$A$2005,"&lt;"&amp;ReportFrom))-(SUMIFS('Stock Moves'!$AF$5:$AF$2005,'Stock Moves'!$AE$5:$AE$2005,$A78,'Stock Moves'!$A$5:$A$2005,"&lt;"&amp;ReportFrom)+SUMIFS('Stock Moves'!$AC$5:$AC$2005,'Stock Moves'!$X$5:$X$2005,$A78,'Stock Moves'!$A$5:$A$2005,"&lt;"&amp;ReportFrom)+SUMIFS('Stock Moves'!$U$5:$U$2005,'Stock Moves'!$W$5:$W$2005,$A78,'Stock Moves'!$A$5:$A$2005,"&lt;"&amp;ReportFrom)))</f>
        <v/>
      </c>
      <c r="AH78" s="25">
        <f>IF($A78="",0,SUMIFS('Stock Moves'!$S$5:$S$2005,'Stock Moves'!$AD$5:$AD$2005,$A78,'Stock Moves'!$A$5:$A$2005,"&gt;="&amp;ReportFrom,'Stock Moves'!$A$5:$A$2005,"&lt;="&amp;ReportTo)+SUMIFS('Stock Moves'!$T$5:$T$2005,'Stock Moves'!$V$5:$V$2005,$A78,'Stock Moves'!$A$5:$A$2005,"&gt;="&amp;ReportFrom,'Stock Moves'!$A$5:$A$2005,"&lt;="&amp;ReportTo))</f>
        <v/>
      </c>
      <c r="AI78" s="25">
        <f>IF($A78="",0,SUMIFS('Stock Moves'!$AF$5:$AF$2005,'Stock Moves'!$AE$5:$AE$2005,$A78,'Stock Moves'!$A$5:$A$2005,"&gt;="&amp;ReportFrom,'Stock Moves'!$A$5:$A$2005,"&lt;="&amp;ReportTo)+SUMIFS('Stock Moves'!$AC$5:$AC$2005,'Stock Moves'!$X$5:$X$2005,$A78,'Stock Moves'!$A$5:$A$2005,"&gt;="&amp;ReportFrom,'Stock Moves'!$A$5:$A$2005,"&lt;="&amp;ReportTo)+SUMIFS('Stock Moves'!$U$5:$U$2005,'Stock Moves'!$W$5:$W$2005,$A78,'Stock Moves'!$A$5:$A$2005,"&gt;="&amp;ReportFrom,'Stock Moves'!$A$5:$A$2005,"&lt;="&amp;ReportTo))</f>
        <v/>
      </c>
      <c r="AJ78" s="25">
        <f>IF($A78="",0,(SUMIFS('Journal Vouchers'!$I$5:$I$2005,'Journal Vouchers'!$H$5:$H$2005,$A78,'Journal Vouchers'!$B$5:$B$2005,"&lt;"&amp;ReportFrom))-(SUMIFS('Journal Vouchers'!$J$5:$J$2005,'Journal Vouchers'!$H$5:$H$2005,$A78,'Journal Vouchers'!$B$5:$B$2005,"&lt;"&amp;ReportFrom)))</f>
        <v/>
      </c>
      <c r="AK78" s="25">
        <f>IF($A78="",0,SUMIFS('Journal Vouchers'!$I$5:$I$2005,'Journal Vouchers'!$H$5:$H$2005,$A78,'Journal Vouchers'!$B$5:$B$2005,"&gt;="&amp;ReportFrom,'Journal Vouchers'!$B$5:$B$2005,"&lt;="&amp;ReportTo))</f>
        <v/>
      </c>
      <c r="AL78" s="25">
        <f>IF($A78="",0,SUMIFS('Journal Vouchers'!$J$5:$J$2005,'Journal Vouchers'!$H$5:$H$2005,$A78,'Journal Vouchers'!$B$5:$B$2005,"&gt;="&amp;ReportFrom,'Journal Vouchers'!$B$5:$B$2005,"&lt;="&amp;ReportTo))</f>
        <v/>
      </c>
    </row>
    <row r="79">
      <c r="A79" s="25">
        <f>IF('Chart of Accounts'!A79="","",'Chart of Accounts'!A79&amp;"")</f>
        <v/>
      </c>
      <c r="B79" s="25">
        <f>IF(A79="","",'Chart of Accounts'!B79)</f>
        <v/>
      </c>
      <c r="C79" s="25">
        <f>IF(A79="","",'Chart of Accounts'!C79)</f>
        <v/>
      </c>
      <c r="D79" s="25">
        <f>IF(A79="","",'Chart of Accounts'!D79)</f>
        <v/>
      </c>
      <c r="E79" s="26">
        <f>L79+O79+R79+U79+X79+AA79+AD79+AG79+AJ79</f>
        <v/>
      </c>
      <c r="F79" s="26">
        <f>M79+P79+S79+V79+Y79+AB79+AE79+AH79+AK79</f>
        <v/>
      </c>
      <c r="G79" s="26">
        <f>N79+Q79+T79+W79+Z79+AC79+AF79+AI79+AL79</f>
        <v/>
      </c>
      <c r="H79" s="26">
        <f>E79+F79-G79</f>
        <v/>
      </c>
      <c r="I79" s="26">
        <f>MAX(H79,0)</f>
        <v/>
      </c>
      <c r="J79" s="26">
        <f>MAX(-H79,0)</f>
        <v/>
      </c>
      <c r="L79" s="25">
        <f>IF($A79="",0,(SUMIFS('Direct Costs'!$R$5:$R$2005,'Direct Costs'!$V$5:$V$2005,$A79,'Direct Costs'!$A$5:$A$2005,"&lt;"&amp;ReportFrom)+SUMIFS('Direct Costs'!$S$5:$S$2005,'Direct Costs'!$Y$5:$Y$2005,$A79,'Direct Costs'!$A$5:$A$2005,"&lt;"&amp;ReportFrom))-(SUMIFS('Direct Costs'!$L$5:$L$2005,'Direct Costs'!$W$5:$W$2005,$A79,'Direct Costs'!$A$5:$A$2005,"&lt;"&amp;ReportFrom)+SUMIFS('Direct Costs'!$U$5:$U$2005,'Direct Costs'!$X$5:$X$2005,$A79,'Direct Costs'!$A$5:$A$2005,"&lt;"&amp;ReportFrom)+SUMIFS('Direct Costs'!$T$5:$T$2005,'Direct Costs'!$Z$5:$Z$2005,$A79,'Direct Costs'!$A$5:$A$2005,"&lt;"&amp;ReportFrom)))</f>
        <v/>
      </c>
      <c r="M79" s="25">
        <f>IF($A79="",0,SUMIFS('Direct Costs'!$R$5:$R$2005,'Direct Costs'!$V$5:$V$2005,$A79,'Direct Costs'!$A$5:$A$2005,"&gt;="&amp;ReportFrom,'Direct Costs'!$A$5:$A$2005,"&lt;="&amp;ReportTo)+SUMIFS('Direct Costs'!$S$5:$S$2005,'Direct Costs'!$Y$5:$Y$2005,$A79,'Direct Costs'!$A$5:$A$2005,"&gt;="&amp;ReportFrom,'Direct Costs'!$A$5:$A$2005,"&lt;="&amp;ReportTo))</f>
        <v/>
      </c>
      <c r="N79" s="25">
        <f>IF($A79="",0,SUMIFS('Direct Costs'!$L$5:$L$2005,'Direct Costs'!$W$5:$W$2005,$A79,'Direct Costs'!$A$5:$A$2005,"&gt;="&amp;ReportFrom,'Direct Costs'!$A$5:$A$2005,"&lt;="&amp;ReportTo)+SUMIFS('Direct Costs'!$U$5:$U$2005,'Direct Costs'!$X$5:$X$2005,$A79,'Direct Costs'!$A$5:$A$2005,"&gt;="&amp;ReportFrom,'Direct Costs'!$A$5:$A$2005,"&lt;="&amp;ReportTo)+SUMIFS('Direct Costs'!$T$5:$T$2005,'Direct Costs'!$Z$5:$Z$2005,$A79,'Direct Costs'!$A$5:$A$2005,"&gt;="&amp;ReportFrom,'Direct Costs'!$A$5:$A$2005,"&lt;="&amp;ReportTo))</f>
        <v/>
      </c>
      <c r="O79" s="25">
        <f>IF($A79="",0,(SUMIFS('Operating Expenses'!$F$5:$F$2005,'Operating Expenses'!$Q$5:$Q$2005,$A79,'Operating Expenses'!$A$5:$A$2005,"&lt;"&amp;ReportFrom)+SUMIFS('Operating Expenses'!$M$5:$M$2005,'Operating Expenses'!$T$5:$T$2005,$A79,'Operating Expenses'!$A$5:$A$2005,"&lt;"&amp;ReportFrom))-(SUMIFS('Operating Expenses'!$O$5:$O$2005,'Operating Expenses'!$R$5:$R$2005,$A79,'Operating Expenses'!$A$5:$A$2005,"&lt;"&amp;ReportFrom)+SUMIFS('Operating Expenses'!$P$5:$P$2005,'Operating Expenses'!$S$5:$S$2005,$A79,'Operating Expenses'!$A$5:$A$2005,"&lt;"&amp;ReportFrom)+SUMIFS('Operating Expenses'!$N$5:$N$2005,'Operating Expenses'!$U$5:$U$2005,$A79,'Operating Expenses'!$A$5:$A$2005,"&lt;"&amp;ReportFrom)))</f>
        <v/>
      </c>
      <c r="P79" s="25">
        <f>IF($A79="",0,SUMIFS('Operating Expenses'!$F$5:$F$2005,'Operating Expenses'!$Q$5:$Q$2005,$A79,'Operating Expenses'!$A$5:$A$2005,"&gt;="&amp;ReportFrom,'Operating Expenses'!$A$5:$A$2005,"&lt;="&amp;ReportTo)+SUMIFS('Operating Expenses'!$M$5:$M$2005,'Operating Expenses'!$T$5:$T$2005,$A79,'Operating Expenses'!$A$5:$A$2005,"&gt;="&amp;ReportFrom,'Operating Expenses'!$A$5:$A$2005,"&lt;="&amp;ReportTo))</f>
        <v/>
      </c>
      <c r="Q79" s="25">
        <f>IF($A79="",0,SUMIFS('Operating Expenses'!$O$5:$O$2005,'Operating Expenses'!$R$5:$R$2005,$A79,'Operating Expenses'!$A$5:$A$2005,"&gt;="&amp;ReportFrom,'Operating Expenses'!$A$5:$A$2005,"&lt;="&amp;ReportTo)+SUMIFS('Operating Expenses'!$P$5:$P$2005,'Operating Expenses'!$S$5:$S$2005,$A79,'Operating Expenses'!$A$5:$A$2005,"&gt;="&amp;ReportFrom,'Operating Expenses'!$A$5:$A$2005,"&lt;="&amp;ReportTo)+SUMIFS('Operating Expenses'!$N$5:$N$2005,'Operating Expenses'!$U$5:$U$2005,$A79,'Operating Expenses'!$A$5:$A$2005,"&gt;="&amp;ReportFrom,'Operating Expenses'!$A$5:$A$2005,"&lt;="&amp;ReportTo))</f>
        <v/>
      </c>
      <c r="R79" s="25">
        <f>IF($A79="",0,(SUMIFS('Payroll'!$O$5:$O$2005,'Payroll'!$Q$5:$Q$2005,$A79,'Payroll'!$A$5:$A$2005,"&lt;"&amp;ReportFrom))-(SUMIFS('Payroll'!$K$5:$K$2005,'Payroll'!$R$5:$R$2005,$A79,'Payroll'!$A$5:$A$2005,"&lt;"&amp;ReportFrom)+SUMIFS('Payroll'!$P$5:$P$2005,'Payroll'!$S$5:$S$2005,$A79,'Payroll'!$A$5:$A$2005,"&lt;"&amp;ReportFrom)))</f>
        <v/>
      </c>
      <c r="S79" s="25">
        <f>IF($A79="",0,SUMIFS('Payroll'!$O$5:$O$2005,'Payroll'!$Q$5:$Q$2005,$A79,'Payroll'!$A$5:$A$2005,"&gt;="&amp;ReportFrom,'Payroll'!$A$5:$A$2005,"&lt;="&amp;ReportTo))</f>
        <v/>
      </c>
      <c r="T79" s="25">
        <f>IF($A79="",0,SUMIFS('Payroll'!$K$5:$K$2005,'Payroll'!$R$5:$R$2005,$A79,'Payroll'!$A$5:$A$2005,"&gt;="&amp;ReportFrom,'Payroll'!$A$5:$A$2005,"&lt;="&amp;ReportTo)+SUMIFS('Payroll'!$P$5:$P$2005,'Payroll'!$S$5:$S$2005,$A79,'Payroll'!$A$5:$A$2005,"&gt;="&amp;ReportFrom,'Payroll'!$A$5:$A$2005,"&lt;="&amp;ReportTo))</f>
        <v/>
      </c>
      <c r="U79" s="25">
        <f>IF($A79="",0,(SUMIFS('Receipt Vouchers'!$F$5:$F$2005,'Receipt Vouchers'!$O$5:$O$2005,$A79,'Receipt Vouchers'!$A$5:$A$2005,"&lt;"&amp;ReportFrom)+SUMIFS('Receipt Vouchers'!$J$5:$J$2005,'Receipt Vouchers'!$Q$5:$Q$2005,$A79,'Receipt Vouchers'!$A$5:$A$2005,"&lt;"&amp;ReportFrom))-(SUMIFS('Receipt Vouchers'!$N$5:$N$2005,'Receipt Vouchers'!$P$5:$P$2005,$A79,'Receipt Vouchers'!$A$5:$A$2005,"&lt;"&amp;ReportFrom)+SUMIFS('Receipt Vouchers'!$M$5:$M$2005,'Receipt Vouchers'!$R$5:$R$2005,$A79,'Receipt Vouchers'!$A$5:$A$2005,"&lt;"&amp;ReportFrom)))</f>
        <v/>
      </c>
      <c r="V79" s="25">
        <f>IF($A79="",0,SUMIFS('Receipt Vouchers'!$F$5:$F$2005,'Receipt Vouchers'!$O$5:$O$2005,$A79,'Receipt Vouchers'!$A$5:$A$2005,"&gt;="&amp;ReportFrom,'Receipt Vouchers'!$A$5:$A$2005,"&lt;="&amp;ReportTo)+SUMIFS('Receipt Vouchers'!$J$5:$J$2005,'Receipt Vouchers'!$Q$5:$Q$2005,$A79,'Receipt Vouchers'!$A$5:$A$2005,"&gt;="&amp;ReportFrom,'Receipt Vouchers'!$A$5:$A$2005,"&lt;="&amp;ReportTo))</f>
        <v/>
      </c>
      <c r="W79" s="25">
        <f>IF($A79="",0,SUMIFS('Receipt Vouchers'!$N$5:$N$2005,'Receipt Vouchers'!$P$5:$P$2005,$A79,'Receipt Vouchers'!$A$5:$A$2005,"&gt;="&amp;ReportFrom,'Receipt Vouchers'!$A$5:$A$2005,"&lt;="&amp;ReportTo)+SUMIFS('Receipt Vouchers'!$M$5:$M$2005,'Receipt Vouchers'!$R$5:$R$2005,$A79,'Receipt Vouchers'!$A$5:$A$2005,"&gt;="&amp;ReportFrom,'Receipt Vouchers'!$A$5:$A$2005,"&lt;="&amp;ReportTo))</f>
        <v/>
      </c>
      <c r="X79" s="25">
        <f>IF($A79="",0,(SUMIFS('Sales Invoices'!$O$5:$O$2005,'Sales Invoices'!$P$5:$P$2005,$A79,'Sales Invoices'!$B$5:$B$2005,"&lt;"&amp;ReportFrom)+SUMIFS('Sales Invoices'!$N$5:$N$2005,'Sales Invoices'!$R$5:$R$2005,$A79,'Sales Invoices'!$B$5:$B$2005,"&lt;"&amp;ReportFrom))-(SUMIFS('Sales Invoices'!$L$5:$L$2005,'Sales Invoices'!$Q$5:$Q$2005,$A79,'Sales Invoices'!$B$5:$B$2005,"&lt;"&amp;ReportFrom)+SUMIFS('Sales Invoices'!$M$5:$M$2005,'Sales Invoices'!$S$5:$S$2005,$A79,'Sales Invoices'!$B$5:$B$2005,"&lt;"&amp;ReportFrom)))</f>
        <v/>
      </c>
      <c r="Y79" s="25">
        <f>IF($A79="",0,SUMIFS('Sales Invoices'!$O$5:$O$2005,'Sales Invoices'!$P$5:$P$2005,$A79,'Sales Invoices'!$B$5:$B$2005,"&gt;="&amp;ReportFrom,'Sales Invoices'!$B$5:$B$2005,"&lt;="&amp;ReportTo)+SUMIFS('Sales Invoices'!$N$5:$N$2005,'Sales Invoices'!$R$5:$R$2005,$A79,'Sales Invoices'!$B$5:$B$2005,"&gt;="&amp;ReportFrom,'Sales Invoices'!$B$5:$B$2005,"&lt;="&amp;ReportTo))</f>
        <v/>
      </c>
      <c r="Z79" s="25">
        <f>IF($A79="",0,SUMIFS('Sales Invoices'!$L$5:$L$2005,'Sales Invoices'!$Q$5:$Q$2005,$A79,'Sales Invoices'!$B$5:$B$2005,"&gt;="&amp;ReportFrom,'Sales Invoices'!$B$5:$B$2005,"&lt;="&amp;ReportTo)+SUMIFS('Sales Invoices'!$M$5:$M$2005,'Sales Invoices'!$S$5:$S$2005,$A79,'Sales Invoices'!$B$5:$B$2005,"&gt;="&amp;ReportFrom,'Sales Invoices'!$B$5:$B$2005,"&lt;="&amp;ReportTo))</f>
        <v/>
      </c>
      <c r="AA79" s="25">
        <f>IF($A79="",0,(SUMIFS('Payment Vouchers'!$D$5:$D$2005,'Payment Vouchers'!$J$5:$J$2005,$A79,'Payment Vouchers'!$A$5:$A$2005,"&lt;"&amp;ReportFrom))-(SUMIFS('Payment Vouchers'!$D$5:$D$2005,'Payment Vouchers'!$K$5:$K$2005,$A79,'Payment Vouchers'!$A$5:$A$2005,"&lt;"&amp;ReportFrom)))</f>
        <v/>
      </c>
      <c r="AB79" s="25">
        <f>IF($A79="",0,SUMIFS('Payment Vouchers'!$D$5:$D$2005,'Payment Vouchers'!$J$5:$J$2005,$A79,'Payment Vouchers'!$A$5:$A$2005,"&gt;="&amp;ReportFrom,'Payment Vouchers'!$A$5:$A$2005,"&lt;="&amp;ReportTo))</f>
        <v/>
      </c>
      <c r="AC79" s="25">
        <f>IF($A79="",0,SUMIFS('Payment Vouchers'!$D$5:$D$2005,'Payment Vouchers'!$K$5:$K$2005,$A79,'Payment Vouchers'!$A$5:$A$2005,"&gt;="&amp;ReportFrom,'Payment Vouchers'!$A$5:$A$2005,"&lt;="&amp;ReportTo))</f>
        <v/>
      </c>
      <c r="AD79" s="25">
        <f>IF($A79="",0,(SUMIFS('Partner Transactions'!$D$5:$D$2005,'Partner Transactions'!$L$5:$L$2005,$A79,'Partner Transactions'!$A$5:$A$2005,"&lt;"&amp;ReportFrom))-(SUMIFS('Partner Transactions'!$D$5:$D$2005,'Partner Transactions'!$M$5:$M$2005,$A79,'Partner Transactions'!$A$5:$A$2005,"&lt;"&amp;ReportFrom)))</f>
        <v/>
      </c>
      <c r="AE79" s="25">
        <f>IF($A79="",0,SUMIFS('Partner Transactions'!$D$5:$D$2005,'Partner Transactions'!$L$5:$L$2005,$A79,'Partner Transactions'!$A$5:$A$2005,"&gt;="&amp;ReportFrom,'Partner Transactions'!$A$5:$A$2005,"&lt;="&amp;ReportTo))</f>
        <v/>
      </c>
      <c r="AF79" s="25">
        <f>IF($A79="",0,SUMIFS('Partner Transactions'!$D$5:$D$2005,'Partner Transactions'!$M$5:$M$2005,$A79,'Partner Transactions'!$A$5:$A$2005,"&gt;="&amp;ReportFrom,'Partner Transactions'!$A$5:$A$2005,"&lt;="&amp;ReportTo))</f>
        <v/>
      </c>
      <c r="AG79" s="25">
        <f>IF($A79="",0,(SUMIFS('Stock Moves'!$S$5:$S$2005,'Stock Moves'!$AD$5:$AD$2005,$A79,'Stock Moves'!$A$5:$A$2005,"&lt;"&amp;ReportFrom)+SUMIFS('Stock Moves'!$T$5:$T$2005,'Stock Moves'!$V$5:$V$2005,$A79,'Stock Moves'!$A$5:$A$2005,"&lt;"&amp;ReportFrom))-(SUMIFS('Stock Moves'!$AF$5:$AF$2005,'Stock Moves'!$AE$5:$AE$2005,$A79,'Stock Moves'!$A$5:$A$2005,"&lt;"&amp;ReportFrom)+SUMIFS('Stock Moves'!$AC$5:$AC$2005,'Stock Moves'!$X$5:$X$2005,$A79,'Stock Moves'!$A$5:$A$2005,"&lt;"&amp;ReportFrom)+SUMIFS('Stock Moves'!$U$5:$U$2005,'Stock Moves'!$W$5:$W$2005,$A79,'Stock Moves'!$A$5:$A$2005,"&lt;"&amp;ReportFrom)))</f>
        <v/>
      </c>
      <c r="AH79" s="25">
        <f>IF($A79="",0,SUMIFS('Stock Moves'!$S$5:$S$2005,'Stock Moves'!$AD$5:$AD$2005,$A79,'Stock Moves'!$A$5:$A$2005,"&gt;="&amp;ReportFrom,'Stock Moves'!$A$5:$A$2005,"&lt;="&amp;ReportTo)+SUMIFS('Stock Moves'!$T$5:$T$2005,'Stock Moves'!$V$5:$V$2005,$A79,'Stock Moves'!$A$5:$A$2005,"&gt;="&amp;ReportFrom,'Stock Moves'!$A$5:$A$2005,"&lt;="&amp;ReportTo))</f>
        <v/>
      </c>
      <c r="AI79" s="25">
        <f>IF($A79="",0,SUMIFS('Stock Moves'!$AF$5:$AF$2005,'Stock Moves'!$AE$5:$AE$2005,$A79,'Stock Moves'!$A$5:$A$2005,"&gt;="&amp;ReportFrom,'Stock Moves'!$A$5:$A$2005,"&lt;="&amp;ReportTo)+SUMIFS('Stock Moves'!$AC$5:$AC$2005,'Stock Moves'!$X$5:$X$2005,$A79,'Stock Moves'!$A$5:$A$2005,"&gt;="&amp;ReportFrom,'Stock Moves'!$A$5:$A$2005,"&lt;="&amp;ReportTo)+SUMIFS('Stock Moves'!$U$5:$U$2005,'Stock Moves'!$W$5:$W$2005,$A79,'Stock Moves'!$A$5:$A$2005,"&gt;="&amp;ReportFrom,'Stock Moves'!$A$5:$A$2005,"&lt;="&amp;ReportTo))</f>
        <v/>
      </c>
      <c r="AJ79" s="25">
        <f>IF($A79="",0,(SUMIFS('Journal Vouchers'!$I$5:$I$2005,'Journal Vouchers'!$H$5:$H$2005,$A79,'Journal Vouchers'!$B$5:$B$2005,"&lt;"&amp;ReportFrom))-(SUMIFS('Journal Vouchers'!$J$5:$J$2005,'Journal Vouchers'!$H$5:$H$2005,$A79,'Journal Vouchers'!$B$5:$B$2005,"&lt;"&amp;ReportFrom)))</f>
        <v/>
      </c>
      <c r="AK79" s="25">
        <f>IF($A79="",0,SUMIFS('Journal Vouchers'!$I$5:$I$2005,'Journal Vouchers'!$H$5:$H$2005,$A79,'Journal Vouchers'!$B$5:$B$2005,"&gt;="&amp;ReportFrom,'Journal Vouchers'!$B$5:$B$2005,"&lt;="&amp;ReportTo))</f>
        <v/>
      </c>
      <c r="AL79" s="25">
        <f>IF($A79="",0,SUMIFS('Journal Vouchers'!$J$5:$J$2005,'Journal Vouchers'!$H$5:$H$2005,$A79,'Journal Vouchers'!$B$5:$B$2005,"&gt;="&amp;ReportFrom,'Journal Vouchers'!$B$5:$B$2005,"&lt;="&amp;ReportTo))</f>
        <v/>
      </c>
    </row>
    <row r="80">
      <c r="A80" s="25">
        <f>IF('Chart of Accounts'!A80="","",'Chart of Accounts'!A80&amp;"")</f>
        <v/>
      </c>
      <c r="B80" s="25">
        <f>IF(A80="","",'Chart of Accounts'!B80)</f>
        <v/>
      </c>
      <c r="C80" s="25">
        <f>IF(A80="","",'Chart of Accounts'!C80)</f>
        <v/>
      </c>
      <c r="D80" s="25">
        <f>IF(A80="","",'Chart of Accounts'!D80)</f>
        <v/>
      </c>
      <c r="E80" s="26">
        <f>L80+O80+R80+U80+X80+AA80+AD80+AG80+AJ80</f>
        <v/>
      </c>
      <c r="F80" s="26">
        <f>M80+P80+S80+V80+Y80+AB80+AE80+AH80+AK80</f>
        <v/>
      </c>
      <c r="G80" s="26">
        <f>N80+Q80+T80+W80+Z80+AC80+AF80+AI80+AL80</f>
        <v/>
      </c>
      <c r="H80" s="26">
        <f>E80+F80-G80</f>
        <v/>
      </c>
      <c r="I80" s="26">
        <f>MAX(H80,0)</f>
        <v/>
      </c>
      <c r="J80" s="26">
        <f>MAX(-H80,0)</f>
        <v/>
      </c>
      <c r="L80" s="25">
        <f>IF($A80="",0,(SUMIFS('Direct Costs'!$R$5:$R$2005,'Direct Costs'!$V$5:$V$2005,$A80,'Direct Costs'!$A$5:$A$2005,"&lt;"&amp;ReportFrom)+SUMIFS('Direct Costs'!$S$5:$S$2005,'Direct Costs'!$Y$5:$Y$2005,$A80,'Direct Costs'!$A$5:$A$2005,"&lt;"&amp;ReportFrom))-(SUMIFS('Direct Costs'!$L$5:$L$2005,'Direct Costs'!$W$5:$W$2005,$A80,'Direct Costs'!$A$5:$A$2005,"&lt;"&amp;ReportFrom)+SUMIFS('Direct Costs'!$U$5:$U$2005,'Direct Costs'!$X$5:$X$2005,$A80,'Direct Costs'!$A$5:$A$2005,"&lt;"&amp;ReportFrom)+SUMIFS('Direct Costs'!$T$5:$T$2005,'Direct Costs'!$Z$5:$Z$2005,$A80,'Direct Costs'!$A$5:$A$2005,"&lt;"&amp;ReportFrom)))</f>
        <v/>
      </c>
      <c r="M80" s="25">
        <f>IF($A80="",0,SUMIFS('Direct Costs'!$R$5:$R$2005,'Direct Costs'!$V$5:$V$2005,$A80,'Direct Costs'!$A$5:$A$2005,"&gt;="&amp;ReportFrom,'Direct Costs'!$A$5:$A$2005,"&lt;="&amp;ReportTo)+SUMIFS('Direct Costs'!$S$5:$S$2005,'Direct Costs'!$Y$5:$Y$2005,$A80,'Direct Costs'!$A$5:$A$2005,"&gt;="&amp;ReportFrom,'Direct Costs'!$A$5:$A$2005,"&lt;="&amp;ReportTo))</f>
        <v/>
      </c>
      <c r="N80" s="25">
        <f>IF($A80="",0,SUMIFS('Direct Costs'!$L$5:$L$2005,'Direct Costs'!$W$5:$W$2005,$A80,'Direct Costs'!$A$5:$A$2005,"&gt;="&amp;ReportFrom,'Direct Costs'!$A$5:$A$2005,"&lt;="&amp;ReportTo)+SUMIFS('Direct Costs'!$U$5:$U$2005,'Direct Costs'!$X$5:$X$2005,$A80,'Direct Costs'!$A$5:$A$2005,"&gt;="&amp;ReportFrom,'Direct Costs'!$A$5:$A$2005,"&lt;="&amp;ReportTo)+SUMIFS('Direct Costs'!$T$5:$T$2005,'Direct Costs'!$Z$5:$Z$2005,$A80,'Direct Costs'!$A$5:$A$2005,"&gt;="&amp;ReportFrom,'Direct Costs'!$A$5:$A$2005,"&lt;="&amp;ReportTo))</f>
        <v/>
      </c>
      <c r="O80" s="25">
        <f>IF($A80="",0,(SUMIFS('Operating Expenses'!$F$5:$F$2005,'Operating Expenses'!$Q$5:$Q$2005,$A80,'Operating Expenses'!$A$5:$A$2005,"&lt;"&amp;ReportFrom)+SUMIFS('Operating Expenses'!$M$5:$M$2005,'Operating Expenses'!$T$5:$T$2005,$A80,'Operating Expenses'!$A$5:$A$2005,"&lt;"&amp;ReportFrom))-(SUMIFS('Operating Expenses'!$O$5:$O$2005,'Operating Expenses'!$R$5:$R$2005,$A80,'Operating Expenses'!$A$5:$A$2005,"&lt;"&amp;ReportFrom)+SUMIFS('Operating Expenses'!$P$5:$P$2005,'Operating Expenses'!$S$5:$S$2005,$A80,'Operating Expenses'!$A$5:$A$2005,"&lt;"&amp;ReportFrom)+SUMIFS('Operating Expenses'!$N$5:$N$2005,'Operating Expenses'!$U$5:$U$2005,$A80,'Operating Expenses'!$A$5:$A$2005,"&lt;"&amp;ReportFrom)))</f>
        <v/>
      </c>
      <c r="P80" s="25">
        <f>IF($A80="",0,SUMIFS('Operating Expenses'!$F$5:$F$2005,'Operating Expenses'!$Q$5:$Q$2005,$A80,'Operating Expenses'!$A$5:$A$2005,"&gt;="&amp;ReportFrom,'Operating Expenses'!$A$5:$A$2005,"&lt;="&amp;ReportTo)+SUMIFS('Operating Expenses'!$M$5:$M$2005,'Operating Expenses'!$T$5:$T$2005,$A80,'Operating Expenses'!$A$5:$A$2005,"&gt;="&amp;ReportFrom,'Operating Expenses'!$A$5:$A$2005,"&lt;="&amp;ReportTo))</f>
        <v/>
      </c>
      <c r="Q80" s="25">
        <f>IF($A80="",0,SUMIFS('Operating Expenses'!$O$5:$O$2005,'Operating Expenses'!$R$5:$R$2005,$A80,'Operating Expenses'!$A$5:$A$2005,"&gt;="&amp;ReportFrom,'Operating Expenses'!$A$5:$A$2005,"&lt;="&amp;ReportTo)+SUMIFS('Operating Expenses'!$P$5:$P$2005,'Operating Expenses'!$S$5:$S$2005,$A80,'Operating Expenses'!$A$5:$A$2005,"&gt;="&amp;ReportFrom,'Operating Expenses'!$A$5:$A$2005,"&lt;="&amp;ReportTo)+SUMIFS('Operating Expenses'!$N$5:$N$2005,'Operating Expenses'!$U$5:$U$2005,$A80,'Operating Expenses'!$A$5:$A$2005,"&gt;="&amp;ReportFrom,'Operating Expenses'!$A$5:$A$2005,"&lt;="&amp;ReportTo))</f>
        <v/>
      </c>
      <c r="R80" s="25">
        <f>IF($A80="",0,(SUMIFS('Payroll'!$O$5:$O$2005,'Payroll'!$Q$5:$Q$2005,$A80,'Payroll'!$A$5:$A$2005,"&lt;"&amp;ReportFrom))-(SUMIFS('Payroll'!$K$5:$K$2005,'Payroll'!$R$5:$R$2005,$A80,'Payroll'!$A$5:$A$2005,"&lt;"&amp;ReportFrom)+SUMIFS('Payroll'!$P$5:$P$2005,'Payroll'!$S$5:$S$2005,$A80,'Payroll'!$A$5:$A$2005,"&lt;"&amp;ReportFrom)))</f>
        <v/>
      </c>
      <c r="S80" s="25">
        <f>IF($A80="",0,SUMIFS('Payroll'!$O$5:$O$2005,'Payroll'!$Q$5:$Q$2005,$A80,'Payroll'!$A$5:$A$2005,"&gt;="&amp;ReportFrom,'Payroll'!$A$5:$A$2005,"&lt;="&amp;ReportTo))</f>
        <v/>
      </c>
      <c r="T80" s="25">
        <f>IF($A80="",0,SUMIFS('Payroll'!$K$5:$K$2005,'Payroll'!$R$5:$R$2005,$A80,'Payroll'!$A$5:$A$2005,"&gt;="&amp;ReportFrom,'Payroll'!$A$5:$A$2005,"&lt;="&amp;ReportTo)+SUMIFS('Payroll'!$P$5:$P$2005,'Payroll'!$S$5:$S$2005,$A80,'Payroll'!$A$5:$A$2005,"&gt;="&amp;ReportFrom,'Payroll'!$A$5:$A$2005,"&lt;="&amp;ReportTo))</f>
        <v/>
      </c>
      <c r="U80" s="25">
        <f>IF($A80="",0,(SUMIFS('Receipt Vouchers'!$F$5:$F$2005,'Receipt Vouchers'!$O$5:$O$2005,$A80,'Receipt Vouchers'!$A$5:$A$2005,"&lt;"&amp;ReportFrom)+SUMIFS('Receipt Vouchers'!$J$5:$J$2005,'Receipt Vouchers'!$Q$5:$Q$2005,$A80,'Receipt Vouchers'!$A$5:$A$2005,"&lt;"&amp;ReportFrom))-(SUMIFS('Receipt Vouchers'!$N$5:$N$2005,'Receipt Vouchers'!$P$5:$P$2005,$A80,'Receipt Vouchers'!$A$5:$A$2005,"&lt;"&amp;ReportFrom)+SUMIFS('Receipt Vouchers'!$M$5:$M$2005,'Receipt Vouchers'!$R$5:$R$2005,$A80,'Receipt Vouchers'!$A$5:$A$2005,"&lt;"&amp;ReportFrom)))</f>
        <v/>
      </c>
      <c r="V80" s="25">
        <f>IF($A80="",0,SUMIFS('Receipt Vouchers'!$F$5:$F$2005,'Receipt Vouchers'!$O$5:$O$2005,$A80,'Receipt Vouchers'!$A$5:$A$2005,"&gt;="&amp;ReportFrom,'Receipt Vouchers'!$A$5:$A$2005,"&lt;="&amp;ReportTo)+SUMIFS('Receipt Vouchers'!$J$5:$J$2005,'Receipt Vouchers'!$Q$5:$Q$2005,$A80,'Receipt Vouchers'!$A$5:$A$2005,"&gt;="&amp;ReportFrom,'Receipt Vouchers'!$A$5:$A$2005,"&lt;="&amp;ReportTo))</f>
        <v/>
      </c>
      <c r="W80" s="25">
        <f>IF($A80="",0,SUMIFS('Receipt Vouchers'!$N$5:$N$2005,'Receipt Vouchers'!$P$5:$P$2005,$A80,'Receipt Vouchers'!$A$5:$A$2005,"&gt;="&amp;ReportFrom,'Receipt Vouchers'!$A$5:$A$2005,"&lt;="&amp;ReportTo)+SUMIFS('Receipt Vouchers'!$M$5:$M$2005,'Receipt Vouchers'!$R$5:$R$2005,$A80,'Receipt Vouchers'!$A$5:$A$2005,"&gt;="&amp;ReportFrom,'Receipt Vouchers'!$A$5:$A$2005,"&lt;="&amp;ReportTo))</f>
        <v/>
      </c>
      <c r="X80" s="25">
        <f>IF($A80="",0,(SUMIFS('Sales Invoices'!$O$5:$O$2005,'Sales Invoices'!$P$5:$P$2005,$A80,'Sales Invoices'!$B$5:$B$2005,"&lt;"&amp;ReportFrom)+SUMIFS('Sales Invoices'!$N$5:$N$2005,'Sales Invoices'!$R$5:$R$2005,$A80,'Sales Invoices'!$B$5:$B$2005,"&lt;"&amp;ReportFrom))-(SUMIFS('Sales Invoices'!$L$5:$L$2005,'Sales Invoices'!$Q$5:$Q$2005,$A80,'Sales Invoices'!$B$5:$B$2005,"&lt;"&amp;ReportFrom)+SUMIFS('Sales Invoices'!$M$5:$M$2005,'Sales Invoices'!$S$5:$S$2005,$A80,'Sales Invoices'!$B$5:$B$2005,"&lt;"&amp;ReportFrom)))</f>
        <v/>
      </c>
      <c r="Y80" s="25">
        <f>IF($A80="",0,SUMIFS('Sales Invoices'!$O$5:$O$2005,'Sales Invoices'!$P$5:$P$2005,$A80,'Sales Invoices'!$B$5:$B$2005,"&gt;="&amp;ReportFrom,'Sales Invoices'!$B$5:$B$2005,"&lt;="&amp;ReportTo)+SUMIFS('Sales Invoices'!$N$5:$N$2005,'Sales Invoices'!$R$5:$R$2005,$A80,'Sales Invoices'!$B$5:$B$2005,"&gt;="&amp;ReportFrom,'Sales Invoices'!$B$5:$B$2005,"&lt;="&amp;ReportTo))</f>
        <v/>
      </c>
      <c r="Z80" s="25">
        <f>IF($A80="",0,SUMIFS('Sales Invoices'!$L$5:$L$2005,'Sales Invoices'!$Q$5:$Q$2005,$A80,'Sales Invoices'!$B$5:$B$2005,"&gt;="&amp;ReportFrom,'Sales Invoices'!$B$5:$B$2005,"&lt;="&amp;ReportTo)+SUMIFS('Sales Invoices'!$M$5:$M$2005,'Sales Invoices'!$S$5:$S$2005,$A80,'Sales Invoices'!$B$5:$B$2005,"&gt;="&amp;ReportFrom,'Sales Invoices'!$B$5:$B$2005,"&lt;="&amp;ReportTo))</f>
        <v/>
      </c>
      <c r="AA80" s="25">
        <f>IF($A80="",0,(SUMIFS('Payment Vouchers'!$D$5:$D$2005,'Payment Vouchers'!$J$5:$J$2005,$A80,'Payment Vouchers'!$A$5:$A$2005,"&lt;"&amp;ReportFrom))-(SUMIFS('Payment Vouchers'!$D$5:$D$2005,'Payment Vouchers'!$K$5:$K$2005,$A80,'Payment Vouchers'!$A$5:$A$2005,"&lt;"&amp;ReportFrom)))</f>
        <v/>
      </c>
      <c r="AB80" s="25">
        <f>IF($A80="",0,SUMIFS('Payment Vouchers'!$D$5:$D$2005,'Payment Vouchers'!$J$5:$J$2005,$A80,'Payment Vouchers'!$A$5:$A$2005,"&gt;="&amp;ReportFrom,'Payment Vouchers'!$A$5:$A$2005,"&lt;="&amp;ReportTo))</f>
        <v/>
      </c>
      <c r="AC80" s="25">
        <f>IF($A80="",0,SUMIFS('Payment Vouchers'!$D$5:$D$2005,'Payment Vouchers'!$K$5:$K$2005,$A80,'Payment Vouchers'!$A$5:$A$2005,"&gt;="&amp;ReportFrom,'Payment Vouchers'!$A$5:$A$2005,"&lt;="&amp;ReportTo))</f>
        <v/>
      </c>
      <c r="AD80" s="25">
        <f>IF($A80="",0,(SUMIFS('Partner Transactions'!$D$5:$D$2005,'Partner Transactions'!$L$5:$L$2005,$A80,'Partner Transactions'!$A$5:$A$2005,"&lt;"&amp;ReportFrom))-(SUMIFS('Partner Transactions'!$D$5:$D$2005,'Partner Transactions'!$M$5:$M$2005,$A80,'Partner Transactions'!$A$5:$A$2005,"&lt;"&amp;ReportFrom)))</f>
        <v/>
      </c>
      <c r="AE80" s="25">
        <f>IF($A80="",0,SUMIFS('Partner Transactions'!$D$5:$D$2005,'Partner Transactions'!$L$5:$L$2005,$A80,'Partner Transactions'!$A$5:$A$2005,"&gt;="&amp;ReportFrom,'Partner Transactions'!$A$5:$A$2005,"&lt;="&amp;ReportTo))</f>
        <v/>
      </c>
      <c r="AF80" s="25">
        <f>IF($A80="",0,SUMIFS('Partner Transactions'!$D$5:$D$2005,'Partner Transactions'!$M$5:$M$2005,$A80,'Partner Transactions'!$A$5:$A$2005,"&gt;="&amp;ReportFrom,'Partner Transactions'!$A$5:$A$2005,"&lt;="&amp;ReportTo))</f>
        <v/>
      </c>
      <c r="AG80" s="25">
        <f>IF($A80="",0,(SUMIFS('Stock Moves'!$S$5:$S$2005,'Stock Moves'!$AD$5:$AD$2005,$A80,'Stock Moves'!$A$5:$A$2005,"&lt;"&amp;ReportFrom)+SUMIFS('Stock Moves'!$T$5:$T$2005,'Stock Moves'!$V$5:$V$2005,$A80,'Stock Moves'!$A$5:$A$2005,"&lt;"&amp;ReportFrom))-(SUMIFS('Stock Moves'!$AF$5:$AF$2005,'Stock Moves'!$AE$5:$AE$2005,$A80,'Stock Moves'!$A$5:$A$2005,"&lt;"&amp;ReportFrom)+SUMIFS('Stock Moves'!$AC$5:$AC$2005,'Stock Moves'!$X$5:$X$2005,$A80,'Stock Moves'!$A$5:$A$2005,"&lt;"&amp;ReportFrom)+SUMIFS('Stock Moves'!$U$5:$U$2005,'Stock Moves'!$W$5:$W$2005,$A80,'Stock Moves'!$A$5:$A$2005,"&lt;"&amp;ReportFrom)))</f>
        <v/>
      </c>
      <c r="AH80" s="25">
        <f>IF($A80="",0,SUMIFS('Stock Moves'!$S$5:$S$2005,'Stock Moves'!$AD$5:$AD$2005,$A80,'Stock Moves'!$A$5:$A$2005,"&gt;="&amp;ReportFrom,'Stock Moves'!$A$5:$A$2005,"&lt;="&amp;ReportTo)+SUMIFS('Stock Moves'!$T$5:$T$2005,'Stock Moves'!$V$5:$V$2005,$A80,'Stock Moves'!$A$5:$A$2005,"&gt;="&amp;ReportFrom,'Stock Moves'!$A$5:$A$2005,"&lt;="&amp;ReportTo))</f>
        <v/>
      </c>
      <c r="AI80" s="25">
        <f>IF($A80="",0,SUMIFS('Stock Moves'!$AF$5:$AF$2005,'Stock Moves'!$AE$5:$AE$2005,$A80,'Stock Moves'!$A$5:$A$2005,"&gt;="&amp;ReportFrom,'Stock Moves'!$A$5:$A$2005,"&lt;="&amp;ReportTo)+SUMIFS('Stock Moves'!$AC$5:$AC$2005,'Stock Moves'!$X$5:$X$2005,$A80,'Stock Moves'!$A$5:$A$2005,"&gt;="&amp;ReportFrom,'Stock Moves'!$A$5:$A$2005,"&lt;="&amp;ReportTo)+SUMIFS('Stock Moves'!$U$5:$U$2005,'Stock Moves'!$W$5:$W$2005,$A80,'Stock Moves'!$A$5:$A$2005,"&gt;="&amp;ReportFrom,'Stock Moves'!$A$5:$A$2005,"&lt;="&amp;ReportTo))</f>
        <v/>
      </c>
      <c r="AJ80" s="25">
        <f>IF($A80="",0,(SUMIFS('Journal Vouchers'!$I$5:$I$2005,'Journal Vouchers'!$H$5:$H$2005,$A80,'Journal Vouchers'!$B$5:$B$2005,"&lt;"&amp;ReportFrom))-(SUMIFS('Journal Vouchers'!$J$5:$J$2005,'Journal Vouchers'!$H$5:$H$2005,$A80,'Journal Vouchers'!$B$5:$B$2005,"&lt;"&amp;ReportFrom)))</f>
        <v/>
      </c>
      <c r="AK80" s="25">
        <f>IF($A80="",0,SUMIFS('Journal Vouchers'!$I$5:$I$2005,'Journal Vouchers'!$H$5:$H$2005,$A80,'Journal Vouchers'!$B$5:$B$2005,"&gt;="&amp;ReportFrom,'Journal Vouchers'!$B$5:$B$2005,"&lt;="&amp;ReportTo))</f>
        <v/>
      </c>
      <c r="AL80" s="25">
        <f>IF($A80="",0,SUMIFS('Journal Vouchers'!$J$5:$J$2005,'Journal Vouchers'!$H$5:$H$2005,$A80,'Journal Vouchers'!$B$5:$B$2005,"&gt;="&amp;ReportFrom,'Journal Vouchers'!$B$5:$B$2005,"&lt;="&amp;ReportTo))</f>
        <v/>
      </c>
    </row>
    <row r="81">
      <c r="A81" s="25">
        <f>IF('Chart of Accounts'!A81="","",'Chart of Accounts'!A81&amp;"")</f>
        <v/>
      </c>
      <c r="B81" s="25">
        <f>IF(A81="","",'Chart of Accounts'!B81)</f>
        <v/>
      </c>
      <c r="C81" s="25">
        <f>IF(A81="","",'Chart of Accounts'!C81)</f>
        <v/>
      </c>
      <c r="D81" s="25">
        <f>IF(A81="","",'Chart of Accounts'!D81)</f>
        <v/>
      </c>
      <c r="E81" s="26">
        <f>L81+O81+R81+U81+X81+AA81+AD81+AG81+AJ81</f>
        <v/>
      </c>
      <c r="F81" s="26">
        <f>M81+P81+S81+V81+Y81+AB81+AE81+AH81+AK81</f>
        <v/>
      </c>
      <c r="G81" s="26">
        <f>N81+Q81+T81+W81+Z81+AC81+AF81+AI81+AL81</f>
        <v/>
      </c>
      <c r="H81" s="26">
        <f>E81+F81-G81</f>
        <v/>
      </c>
      <c r="I81" s="26">
        <f>MAX(H81,0)</f>
        <v/>
      </c>
      <c r="J81" s="26">
        <f>MAX(-H81,0)</f>
        <v/>
      </c>
      <c r="L81" s="25">
        <f>IF($A81="",0,(SUMIFS('Direct Costs'!$R$5:$R$2005,'Direct Costs'!$V$5:$V$2005,$A81,'Direct Costs'!$A$5:$A$2005,"&lt;"&amp;ReportFrom)+SUMIFS('Direct Costs'!$S$5:$S$2005,'Direct Costs'!$Y$5:$Y$2005,$A81,'Direct Costs'!$A$5:$A$2005,"&lt;"&amp;ReportFrom))-(SUMIFS('Direct Costs'!$L$5:$L$2005,'Direct Costs'!$W$5:$W$2005,$A81,'Direct Costs'!$A$5:$A$2005,"&lt;"&amp;ReportFrom)+SUMIFS('Direct Costs'!$U$5:$U$2005,'Direct Costs'!$X$5:$X$2005,$A81,'Direct Costs'!$A$5:$A$2005,"&lt;"&amp;ReportFrom)+SUMIFS('Direct Costs'!$T$5:$T$2005,'Direct Costs'!$Z$5:$Z$2005,$A81,'Direct Costs'!$A$5:$A$2005,"&lt;"&amp;ReportFrom)))</f>
        <v/>
      </c>
      <c r="M81" s="25">
        <f>IF($A81="",0,SUMIFS('Direct Costs'!$R$5:$R$2005,'Direct Costs'!$V$5:$V$2005,$A81,'Direct Costs'!$A$5:$A$2005,"&gt;="&amp;ReportFrom,'Direct Costs'!$A$5:$A$2005,"&lt;="&amp;ReportTo)+SUMIFS('Direct Costs'!$S$5:$S$2005,'Direct Costs'!$Y$5:$Y$2005,$A81,'Direct Costs'!$A$5:$A$2005,"&gt;="&amp;ReportFrom,'Direct Costs'!$A$5:$A$2005,"&lt;="&amp;ReportTo))</f>
        <v/>
      </c>
      <c r="N81" s="25">
        <f>IF($A81="",0,SUMIFS('Direct Costs'!$L$5:$L$2005,'Direct Costs'!$W$5:$W$2005,$A81,'Direct Costs'!$A$5:$A$2005,"&gt;="&amp;ReportFrom,'Direct Costs'!$A$5:$A$2005,"&lt;="&amp;ReportTo)+SUMIFS('Direct Costs'!$U$5:$U$2005,'Direct Costs'!$X$5:$X$2005,$A81,'Direct Costs'!$A$5:$A$2005,"&gt;="&amp;ReportFrom,'Direct Costs'!$A$5:$A$2005,"&lt;="&amp;ReportTo)+SUMIFS('Direct Costs'!$T$5:$T$2005,'Direct Costs'!$Z$5:$Z$2005,$A81,'Direct Costs'!$A$5:$A$2005,"&gt;="&amp;ReportFrom,'Direct Costs'!$A$5:$A$2005,"&lt;="&amp;ReportTo))</f>
        <v/>
      </c>
      <c r="O81" s="25">
        <f>IF($A81="",0,(SUMIFS('Operating Expenses'!$F$5:$F$2005,'Operating Expenses'!$Q$5:$Q$2005,$A81,'Operating Expenses'!$A$5:$A$2005,"&lt;"&amp;ReportFrom)+SUMIFS('Operating Expenses'!$M$5:$M$2005,'Operating Expenses'!$T$5:$T$2005,$A81,'Operating Expenses'!$A$5:$A$2005,"&lt;"&amp;ReportFrom))-(SUMIFS('Operating Expenses'!$O$5:$O$2005,'Operating Expenses'!$R$5:$R$2005,$A81,'Operating Expenses'!$A$5:$A$2005,"&lt;"&amp;ReportFrom)+SUMIFS('Operating Expenses'!$P$5:$P$2005,'Operating Expenses'!$S$5:$S$2005,$A81,'Operating Expenses'!$A$5:$A$2005,"&lt;"&amp;ReportFrom)+SUMIFS('Operating Expenses'!$N$5:$N$2005,'Operating Expenses'!$U$5:$U$2005,$A81,'Operating Expenses'!$A$5:$A$2005,"&lt;"&amp;ReportFrom)))</f>
        <v/>
      </c>
      <c r="P81" s="25">
        <f>IF($A81="",0,SUMIFS('Operating Expenses'!$F$5:$F$2005,'Operating Expenses'!$Q$5:$Q$2005,$A81,'Operating Expenses'!$A$5:$A$2005,"&gt;="&amp;ReportFrom,'Operating Expenses'!$A$5:$A$2005,"&lt;="&amp;ReportTo)+SUMIFS('Operating Expenses'!$M$5:$M$2005,'Operating Expenses'!$T$5:$T$2005,$A81,'Operating Expenses'!$A$5:$A$2005,"&gt;="&amp;ReportFrom,'Operating Expenses'!$A$5:$A$2005,"&lt;="&amp;ReportTo))</f>
        <v/>
      </c>
      <c r="Q81" s="25">
        <f>IF($A81="",0,SUMIFS('Operating Expenses'!$O$5:$O$2005,'Operating Expenses'!$R$5:$R$2005,$A81,'Operating Expenses'!$A$5:$A$2005,"&gt;="&amp;ReportFrom,'Operating Expenses'!$A$5:$A$2005,"&lt;="&amp;ReportTo)+SUMIFS('Operating Expenses'!$P$5:$P$2005,'Operating Expenses'!$S$5:$S$2005,$A81,'Operating Expenses'!$A$5:$A$2005,"&gt;="&amp;ReportFrom,'Operating Expenses'!$A$5:$A$2005,"&lt;="&amp;ReportTo)+SUMIFS('Operating Expenses'!$N$5:$N$2005,'Operating Expenses'!$U$5:$U$2005,$A81,'Operating Expenses'!$A$5:$A$2005,"&gt;="&amp;ReportFrom,'Operating Expenses'!$A$5:$A$2005,"&lt;="&amp;ReportTo))</f>
        <v/>
      </c>
      <c r="R81" s="25">
        <f>IF($A81="",0,(SUMIFS('Payroll'!$O$5:$O$2005,'Payroll'!$Q$5:$Q$2005,$A81,'Payroll'!$A$5:$A$2005,"&lt;"&amp;ReportFrom))-(SUMIFS('Payroll'!$K$5:$K$2005,'Payroll'!$R$5:$R$2005,$A81,'Payroll'!$A$5:$A$2005,"&lt;"&amp;ReportFrom)+SUMIFS('Payroll'!$P$5:$P$2005,'Payroll'!$S$5:$S$2005,$A81,'Payroll'!$A$5:$A$2005,"&lt;"&amp;ReportFrom)))</f>
        <v/>
      </c>
      <c r="S81" s="25">
        <f>IF($A81="",0,SUMIFS('Payroll'!$O$5:$O$2005,'Payroll'!$Q$5:$Q$2005,$A81,'Payroll'!$A$5:$A$2005,"&gt;="&amp;ReportFrom,'Payroll'!$A$5:$A$2005,"&lt;="&amp;ReportTo))</f>
        <v/>
      </c>
      <c r="T81" s="25">
        <f>IF($A81="",0,SUMIFS('Payroll'!$K$5:$K$2005,'Payroll'!$R$5:$R$2005,$A81,'Payroll'!$A$5:$A$2005,"&gt;="&amp;ReportFrom,'Payroll'!$A$5:$A$2005,"&lt;="&amp;ReportTo)+SUMIFS('Payroll'!$P$5:$P$2005,'Payroll'!$S$5:$S$2005,$A81,'Payroll'!$A$5:$A$2005,"&gt;="&amp;ReportFrom,'Payroll'!$A$5:$A$2005,"&lt;="&amp;ReportTo))</f>
        <v/>
      </c>
      <c r="U81" s="25">
        <f>IF($A81="",0,(SUMIFS('Receipt Vouchers'!$F$5:$F$2005,'Receipt Vouchers'!$O$5:$O$2005,$A81,'Receipt Vouchers'!$A$5:$A$2005,"&lt;"&amp;ReportFrom)+SUMIFS('Receipt Vouchers'!$J$5:$J$2005,'Receipt Vouchers'!$Q$5:$Q$2005,$A81,'Receipt Vouchers'!$A$5:$A$2005,"&lt;"&amp;ReportFrom))-(SUMIFS('Receipt Vouchers'!$N$5:$N$2005,'Receipt Vouchers'!$P$5:$P$2005,$A81,'Receipt Vouchers'!$A$5:$A$2005,"&lt;"&amp;ReportFrom)+SUMIFS('Receipt Vouchers'!$M$5:$M$2005,'Receipt Vouchers'!$R$5:$R$2005,$A81,'Receipt Vouchers'!$A$5:$A$2005,"&lt;"&amp;ReportFrom)))</f>
        <v/>
      </c>
      <c r="V81" s="25">
        <f>IF($A81="",0,SUMIFS('Receipt Vouchers'!$F$5:$F$2005,'Receipt Vouchers'!$O$5:$O$2005,$A81,'Receipt Vouchers'!$A$5:$A$2005,"&gt;="&amp;ReportFrom,'Receipt Vouchers'!$A$5:$A$2005,"&lt;="&amp;ReportTo)+SUMIFS('Receipt Vouchers'!$J$5:$J$2005,'Receipt Vouchers'!$Q$5:$Q$2005,$A81,'Receipt Vouchers'!$A$5:$A$2005,"&gt;="&amp;ReportFrom,'Receipt Vouchers'!$A$5:$A$2005,"&lt;="&amp;ReportTo))</f>
        <v/>
      </c>
      <c r="W81" s="25">
        <f>IF($A81="",0,SUMIFS('Receipt Vouchers'!$N$5:$N$2005,'Receipt Vouchers'!$P$5:$P$2005,$A81,'Receipt Vouchers'!$A$5:$A$2005,"&gt;="&amp;ReportFrom,'Receipt Vouchers'!$A$5:$A$2005,"&lt;="&amp;ReportTo)+SUMIFS('Receipt Vouchers'!$M$5:$M$2005,'Receipt Vouchers'!$R$5:$R$2005,$A81,'Receipt Vouchers'!$A$5:$A$2005,"&gt;="&amp;ReportFrom,'Receipt Vouchers'!$A$5:$A$2005,"&lt;="&amp;ReportTo))</f>
        <v/>
      </c>
      <c r="X81" s="25">
        <f>IF($A81="",0,(SUMIFS('Sales Invoices'!$O$5:$O$2005,'Sales Invoices'!$P$5:$P$2005,$A81,'Sales Invoices'!$B$5:$B$2005,"&lt;"&amp;ReportFrom)+SUMIFS('Sales Invoices'!$N$5:$N$2005,'Sales Invoices'!$R$5:$R$2005,$A81,'Sales Invoices'!$B$5:$B$2005,"&lt;"&amp;ReportFrom))-(SUMIFS('Sales Invoices'!$L$5:$L$2005,'Sales Invoices'!$Q$5:$Q$2005,$A81,'Sales Invoices'!$B$5:$B$2005,"&lt;"&amp;ReportFrom)+SUMIFS('Sales Invoices'!$M$5:$M$2005,'Sales Invoices'!$S$5:$S$2005,$A81,'Sales Invoices'!$B$5:$B$2005,"&lt;"&amp;ReportFrom)))</f>
        <v/>
      </c>
      <c r="Y81" s="25">
        <f>IF($A81="",0,SUMIFS('Sales Invoices'!$O$5:$O$2005,'Sales Invoices'!$P$5:$P$2005,$A81,'Sales Invoices'!$B$5:$B$2005,"&gt;="&amp;ReportFrom,'Sales Invoices'!$B$5:$B$2005,"&lt;="&amp;ReportTo)+SUMIFS('Sales Invoices'!$N$5:$N$2005,'Sales Invoices'!$R$5:$R$2005,$A81,'Sales Invoices'!$B$5:$B$2005,"&gt;="&amp;ReportFrom,'Sales Invoices'!$B$5:$B$2005,"&lt;="&amp;ReportTo))</f>
        <v/>
      </c>
      <c r="Z81" s="25">
        <f>IF($A81="",0,SUMIFS('Sales Invoices'!$L$5:$L$2005,'Sales Invoices'!$Q$5:$Q$2005,$A81,'Sales Invoices'!$B$5:$B$2005,"&gt;="&amp;ReportFrom,'Sales Invoices'!$B$5:$B$2005,"&lt;="&amp;ReportTo)+SUMIFS('Sales Invoices'!$M$5:$M$2005,'Sales Invoices'!$S$5:$S$2005,$A81,'Sales Invoices'!$B$5:$B$2005,"&gt;="&amp;ReportFrom,'Sales Invoices'!$B$5:$B$2005,"&lt;="&amp;ReportTo))</f>
        <v/>
      </c>
      <c r="AA81" s="25">
        <f>IF($A81="",0,(SUMIFS('Payment Vouchers'!$D$5:$D$2005,'Payment Vouchers'!$J$5:$J$2005,$A81,'Payment Vouchers'!$A$5:$A$2005,"&lt;"&amp;ReportFrom))-(SUMIFS('Payment Vouchers'!$D$5:$D$2005,'Payment Vouchers'!$K$5:$K$2005,$A81,'Payment Vouchers'!$A$5:$A$2005,"&lt;"&amp;ReportFrom)))</f>
        <v/>
      </c>
      <c r="AB81" s="25">
        <f>IF($A81="",0,SUMIFS('Payment Vouchers'!$D$5:$D$2005,'Payment Vouchers'!$J$5:$J$2005,$A81,'Payment Vouchers'!$A$5:$A$2005,"&gt;="&amp;ReportFrom,'Payment Vouchers'!$A$5:$A$2005,"&lt;="&amp;ReportTo))</f>
        <v/>
      </c>
      <c r="AC81" s="25">
        <f>IF($A81="",0,SUMIFS('Payment Vouchers'!$D$5:$D$2005,'Payment Vouchers'!$K$5:$K$2005,$A81,'Payment Vouchers'!$A$5:$A$2005,"&gt;="&amp;ReportFrom,'Payment Vouchers'!$A$5:$A$2005,"&lt;="&amp;ReportTo))</f>
        <v/>
      </c>
      <c r="AD81" s="25">
        <f>IF($A81="",0,(SUMIFS('Partner Transactions'!$D$5:$D$2005,'Partner Transactions'!$L$5:$L$2005,$A81,'Partner Transactions'!$A$5:$A$2005,"&lt;"&amp;ReportFrom))-(SUMIFS('Partner Transactions'!$D$5:$D$2005,'Partner Transactions'!$M$5:$M$2005,$A81,'Partner Transactions'!$A$5:$A$2005,"&lt;"&amp;ReportFrom)))</f>
        <v/>
      </c>
      <c r="AE81" s="25">
        <f>IF($A81="",0,SUMIFS('Partner Transactions'!$D$5:$D$2005,'Partner Transactions'!$L$5:$L$2005,$A81,'Partner Transactions'!$A$5:$A$2005,"&gt;="&amp;ReportFrom,'Partner Transactions'!$A$5:$A$2005,"&lt;="&amp;ReportTo))</f>
        <v/>
      </c>
      <c r="AF81" s="25">
        <f>IF($A81="",0,SUMIFS('Partner Transactions'!$D$5:$D$2005,'Partner Transactions'!$M$5:$M$2005,$A81,'Partner Transactions'!$A$5:$A$2005,"&gt;="&amp;ReportFrom,'Partner Transactions'!$A$5:$A$2005,"&lt;="&amp;ReportTo))</f>
        <v/>
      </c>
      <c r="AG81" s="25">
        <f>IF($A81="",0,(SUMIFS('Stock Moves'!$S$5:$S$2005,'Stock Moves'!$AD$5:$AD$2005,$A81,'Stock Moves'!$A$5:$A$2005,"&lt;"&amp;ReportFrom)+SUMIFS('Stock Moves'!$T$5:$T$2005,'Stock Moves'!$V$5:$V$2005,$A81,'Stock Moves'!$A$5:$A$2005,"&lt;"&amp;ReportFrom))-(SUMIFS('Stock Moves'!$AF$5:$AF$2005,'Stock Moves'!$AE$5:$AE$2005,$A81,'Stock Moves'!$A$5:$A$2005,"&lt;"&amp;ReportFrom)+SUMIFS('Stock Moves'!$AC$5:$AC$2005,'Stock Moves'!$X$5:$X$2005,$A81,'Stock Moves'!$A$5:$A$2005,"&lt;"&amp;ReportFrom)+SUMIFS('Stock Moves'!$U$5:$U$2005,'Stock Moves'!$W$5:$W$2005,$A81,'Stock Moves'!$A$5:$A$2005,"&lt;"&amp;ReportFrom)))</f>
        <v/>
      </c>
      <c r="AH81" s="25">
        <f>IF($A81="",0,SUMIFS('Stock Moves'!$S$5:$S$2005,'Stock Moves'!$AD$5:$AD$2005,$A81,'Stock Moves'!$A$5:$A$2005,"&gt;="&amp;ReportFrom,'Stock Moves'!$A$5:$A$2005,"&lt;="&amp;ReportTo)+SUMIFS('Stock Moves'!$T$5:$T$2005,'Stock Moves'!$V$5:$V$2005,$A81,'Stock Moves'!$A$5:$A$2005,"&gt;="&amp;ReportFrom,'Stock Moves'!$A$5:$A$2005,"&lt;="&amp;ReportTo))</f>
        <v/>
      </c>
      <c r="AI81" s="25">
        <f>IF($A81="",0,SUMIFS('Stock Moves'!$AF$5:$AF$2005,'Stock Moves'!$AE$5:$AE$2005,$A81,'Stock Moves'!$A$5:$A$2005,"&gt;="&amp;ReportFrom,'Stock Moves'!$A$5:$A$2005,"&lt;="&amp;ReportTo)+SUMIFS('Stock Moves'!$AC$5:$AC$2005,'Stock Moves'!$X$5:$X$2005,$A81,'Stock Moves'!$A$5:$A$2005,"&gt;="&amp;ReportFrom,'Stock Moves'!$A$5:$A$2005,"&lt;="&amp;ReportTo)+SUMIFS('Stock Moves'!$U$5:$U$2005,'Stock Moves'!$W$5:$W$2005,$A81,'Stock Moves'!$A$5:$A$2005,"&gt;="&amp;ReportFrom,'Stock Moves'!$A$5:$A$2005,"&lt;="&amp;ReportTo))</f>
        <v/>
      </c>
      <c r="AJ81" s="25">
        <f>IF($A81="",0,(SUMIFS('Journal Vouchers'!$I$5:$I$2005,'Journal Vouchers'!$H$5:$H$2005,$A81,'Journal Vouchers'!$B$5:$B$2005,"&lt;"&amp;ReportFrom))-(SUMIFS('Journal Vouchers'!$J$5:$J$2005,'Journal Vouchers'!$H$5:$H$2005,$A81,'Journal Vouchers'!$B$5:$B$2005,"&lt;"&amp;ReportFrom)))</f>
        <v/>
      </c>
      <c r="AK81" s="25">
        <f>IF($A81="",0,SUMIFS('Journal Vouchers'!$I$5:$I$2005,'Journal Vouchers'!$H$5:$H$2005,$A81,'Journal Vouchers'!$B$5:$B$2005,"&gt;="&amp;ReportFrom,'Journal Vouchers'!$B$5:$B$2005,"&lt;="&amp;ReportTo))</f>
        <v/>
      </c>
      <c r="AL81" s="25">
        <f>IF($A81="",0,SUMIFS('Journal Vouchers'!$J$5:$J$2005,'Journal Vouchers'!$H$5:$H$2005,$A81,'Journal Vouchers'!$B$5:$B$2005,"&gt;="&amp;ReportFrom,'Journal Vouchers'!$B$5:$B$2005,"&lt;="&amp;ReportTo))</f>
        <v/>
      </c>
    </row>
    <row r="82">
      <c r="A82" s="25">
        <f>IF('Chart of Accounts'!A82="","",'Chart of Accounts'!A82&amp;"")</f>
        <v/>
      </c>
      <c r="B82" s="25">
        <f>IF(A82="","",'Chart of Accounts'!B82)</f>
        <v/>
      </c>
      <c r="C82" s="25">
        <f>IF(A82="","",'Chart of Accounts'!C82)</f>
        <v/>
      </c>
      <c r="D82" s="25">
        <f>IF(A82="","",'Chart of Accounts'!D82)</f>
        <v/>
      </c>
      <c r="E82" s="26">
        <f>L82+O82+R82+U82+X82+AA82+AD82+AG82+AJ82</f>
        <v/>
      </c>
      <c r="F82" s="26">
        <f>M82+P82+S82+V82+Y82+AB82+AE82+AH82+AK82</f>
        <v/>
      </c>
      <c r="G82" s="26">
        <f>N82+Q82+T82+W82+Z82+AC82+AF82+AI82+AL82</f>
        <v/>
      </c>
      <c r="H82" s="26">
        <f>E82+F82-G82</f>
        <v/>
      </c>
      <c r="I82" s="26">
        <f>MAX(H82,0)</f>
        <v/>
      </c>
      <c r="J82" s="26">
        <f>MAX(-H82,0)</f>
        <v/>
      </c>
      <c r="L82" s="25">
        <f>IF($A82="",0,(SUMIFS('Direct Costs'!$R$5:$R$2005,'Direct Costs'!$V$5:$V$2005,$A82,'Direct Costs'!$A$5:$A$2005,"&lt;"&amp;ReportFrom)+SUMIFS('Direct Costs'!$S$5:$S$2005,'Direct Costs'!$Y$5:$Y$2005,$A82,'Direct Costs'!$A$5:$A$2005,"&lt;"&amp;ReportFrom))-(SUMIFS('Direct Costs'!$L$5:$L$2005,'Direct Costs'!$W$5:$W$2005,$A82,'Direct Costs'!$A$5:$A$2005,"&lt;"&amp;ReportFrom)+SUMIFS('Direct Costs'!$U$5:$U$2005,'Direct Costs'!$X$5:$X$2005,$A82,'Direct Costs'!$A$5:$A$2005,"&lt;"&amp;ReportFrom)+SUMIFS('Direct Costs'!$T$5:$T$2005,'Direct Costs'!$Z$5:$Z$2005,$A82,'Direct Costs'!$A$5:$A$2005,"&lt;"&amp;ReportFrom)))</f>
        <v/>
      </c>
      <c r="M82" s="25">
        <f>IF($A82="",0,SUMIFS('Direct Costs'!$R$5:$R$2005,'Direct Costs'!$V$5:$V$2005,$A82,'Direct Costs'!$A$5:$A$2005,"&gt;="&amp;ReportFrom,'Direct Costs'!$A$5:$A$2005,"&lt;="&amp;ReportTo)+SUMIFS('Direct Costs'!$S$5:$S$2005,'Direct Costs'!$Y$5:$Y$2005,$A82,'Direct Costs'!$A$5:$A$2005,"&gt;="&amp;ReportFrom,'Direct Costs'!$A$5:$A$2005,"&lt;="&amp;ReportTo))</f>
        <v/>
      </c>
      <c r="N82" s="25">
        <f>IF($A82="",0,SUMIFS('Direct Costs'!$L$5:$L$2005,'Direct Costs'!$W$5:$W$2005,$A82,'Direct Costs'!$A$5:$A$2005,"&gt;="&amp;ReportFrom,'Direct Costs'!$A$5:$A$2005,"&lt;="&amp;ReportTo)+SUMIFS('Direct Costs'!$U$5:$U$2005,'Direct Costs'!$X$5:$X$2005,$A82,'Direct Costs'!$A$5:$A$2005,"&gt;="&amp;ReportFrom,'Direct Costs'!$A$5:$A$2005,"&lt;="&amp;ReportTo)+SUMIFS('Direct Costs'!$T$5:$T$2005,'Direct Costs'!$Z$5:$Z$2005,$A82,'Direct Costs'!$A$5:$A$2005,"&gt;="&amp;ReportFrom,'Direct Costs'!$A$5:$A$2005,"&lt;="&amp;ReportTo))</f>
        <v/>
      </c>
      <c r="O82" s="25">
        <f>IF($A82="",0,(SUMIFS('Operating Expenses'!$F$5:$F$2005,'Operating Expenses'!$Q$5:$Q$2005,$A82,'Operating Expenses'!$A$5:$A$2005,"&lt;"&amp;ReportFrom)+SUMIFS('Operating Expenses'!$M$5:$M$2005,'Operating Expenses'!$T$5:$T$2005,$A82,'Operating Expenses'!$A$5:$A$2005,"&lt;"&amp;ReportFrom))-(SUMIFS('Operating Expenses'!$O$5:$O$2005,'Operating Expenses'!$R$5:$R$2005,$A82,'Operating Expenses'!$A$5:$A$2005,"&lt;"&amp;ReportFrom)+SUMIFS('Operating Expenses'!$P$5:$P$2005,'Operating Expenses'!$S$5:$S$2005,$A82,'Operating Expenses'!$A$5:$A$2005,"&lt;"&amp;ReportFrom)+SUMIFS('Operating Expenses'!$N$5:$N$2005,'Operating Expenses'!$U$5:$U$2005,$A82,'Operating Expenses'!$A$5:$A$2005,"&lt;"&amp;ReportFrom)))</f>
        <v/>
      </c>
      <c r="P82" s="25">
        <f>IF($A82="",0,SUMIFS('Operating Expenses'!$F$5:$F$2005,'Operating Expenses'!$Q$5:$Q$2005,$A82,'Operating Expenses'!$A$5:$A$2005,"&gt;="&amp;ReportFrom,'Operating Expenses'!$A$5:$A$2005,"&lt;="&amp;ReportTo)+SUMIFS('Operating Expenses'!$M$5:$M$2005,'Operating Expenses'!$T$5:$T$2005,$A82,'Operating Expenses'!$A$5:$A$2005,"&gt;="&amp;ReportFrom,'Operating Expenses'!$A$5:$A$2005,"&lt;="&amp;ReportTo))</f>
        <v/>
      </c>
      <c r="Q82" s="25">
        <f>IF($A82="",0,SUMIFS('Operating Expenses'!$O$5:$O$2005,'Operating Expenses'!$R$5:$R$2005,$A82,'Operating Expenses'!$A$5:$A$2005,"&gt;="&amp;ReportFrom,'Operating Expenses'!$A$5:$A$2005,"&lt;="&amp;ReportTo)+SUMIFS('Operating Expenses'!$P$5:$P$2005,'Operating Expenses'!$S$5:$S$2005,$A82,'Operating Expenses'!$A$5:$A$2005,"&gt;="&amp;ReportFrom,'Operating Expenses'!$A$5:$A$2005,"&lt;="&amp;ReportTo)+SUMIFS('Operating Expenses'!$N$5:$N$2005,'Operating Expenses'!$U$5:$U$2005,$A82,'Operating Expenses'!$A$5:$A$2005,"&gt;="&amp;ReportFrom,'Operating Expenses'!$A$5:$A$2005,"&lt;="&amp;ReportTo))</f>
        <v/>
      </c>
      <c r="R82" s="25">
        <f>IF($A82="",0,(SUMIFS('Payroll'!$O$5:$O$2005,'Payroll'!$Q$5:$Q$2005,$A82,'Payroll'!$A$5:$A$2005,"&lt;"&amp;ReportFrom))-(SUMIFS('Payroll'!$K$5:$K$2005,'Payroll'!$R$5:$R$2005,$A82,'Payroll'!$A$5:$A$2005,"&lt;"&amp;ReportFrom)+SUMIFS('Payroll'!$P$5:$P$2005,'Payroll'!$S$5:$S$2005,$A82,'Payroll'!$A$5:$A$2005,"&lt;"&amp;ReportFrom)))</f>
        <v/>
      </c>
      <c r="S82" s="25">
        <f>IF($A82="",0,SUMIFS('Payroll'!$O$5:$O$2005,'Payroll'!$Q$5:$Q$2005,$A82,'Payroll'!$A$5:$A$2005,"&gt;="&amp;ReportFrom,'Payroll'!$A$5:$A$2005,"&lt;="&amp;ReportTo))</f>
        <v/>
      </c>
      <c r="T82" s="25">
        <f>IF($A82="",0,SUMIFS('Payroll'!$K$5:$K$2005,'Payroll'!$R$5:$R$2005,$A82,'Payroll'!$A$5:$A$2005,"&gt;="&amp;ReportFrom,'Payroll'!$A$5:$A$2005,"&lt;="&amp;ReportTo)+SUMIFS('Payroll'!$P$5:$P$2005,'Payroll'!$S$5:$S$2005,$A82,'Payroll'!$A$5:$A$2005,"&gt;="&amp;ReportFrom,'Payroll'!$A$5:$A$2005,"&lt;="&amp;ReportTo))</f>
        <v/>
      </c>
      <c r="U82" s="25">
        <f>IF($A82="",0,(SUMIFS('Receipt Vouchers'!$F$5:$F$2005,'Receipt Vouchers'!$O$5:$O$2005,$A82,'Receipt Vouchers'!$A$5:$A$2005,"&lt;"&amp;ReportFrom)+SUMIFS('Receipt Vouchers'!$J$5:$J$2005,'Receipt Vouchers'!$Q$5:$Q$2005,$A82,'Receipt Vouchers'!$A$5:$A$2005,"&lt;"&amp;ReportFrom))-(SUMIFS('Receipt Vouchers'!$N$5:$N$2005,'Receipt Vouchers'!$P$5:$P$2005,$A82,'Receipt Vouchers'!$A$5:$A$2005,"&lt;"&amp;ReportFrom)+SUMIFS('Receipt Vouchers'!$M$5:$M$2005,'Receipt Vouchers'!$R$5:$R$2005,$A82,'Receipt Vouchers'!$A$5:$A$2005,"&lt;"&amp;ReportFrom)))</f>
        <v/>
      </c>
      <c r="V82" s="25">
        <f>IF($A82="",0,SUMIFS('Receipt Vouchers'!$F$5:$F$2005,'Receipt Vouchers'!$O$5:$O$2005,$A82,'Receipt Vouchers'!$A$5:$A$2005,"&gt;="&amp;ReportFrom,'Receipt Vouchers'!$A$5:$A$2005,"&lt;="&amp;ReportTo)+SUMIFS('Receipt Vouchers'!$J$5:$J$2005,'Receipt Vouchers'!$Q$5:$Q$2005,$A82,'Receipt Vouchers'!$A$5:$A$2005,"&gt;="&amp;ReportFrom,'Receipt Vouchers'!$A$5:$A$2005,"&lt;="&amp;ReportTo))</f>
        <v/>
      </c>
      <c r="W82" s="25">
        <f>IF($A82="",0,SUMIFS('Receipt Vouchers'!$N$5:$N$2005,'Receipt Vouchers'!$P$5:$P$2005,$A82,'Receipt Vouchers'!$A$5:$A$2005,"&gt;="&amp;ReportFrom,'Receipt Vouchers'!$A$5:$A$2005,"&lt;="&amp;ReportTo)+SUMIFS('Receipt Vouchers'!$M$5:$M$2005,'Receipt Vouchers'!$R$5:$R$2005,$A82,'Receipt Vouchers'!$A$5:$A$2005,"&gt;="&amp;ReportFrom,'Receipt Vouchers'!$A$5:$A$2005,"&lt;="&amp;ReportTo))</f>
        <v/>
      </c>
      <c r="X82" s="25">
        <f>IF($A82="",0,(SUMIFS('Sales Invoices'!$O$5:$O$2005,'Sales Invoices'!$P$5:$P$2005,$A82,'Sales Invoices'!$B$5:$B$2005,"&lt;"&amp;ReportFrom)+SUMIFS('Sales Invoices'!$N$5:$N$2005,'Sales Invoices'!$R$5:$R$2005,$A82,'Sales Invoices'!$B$5:$B$2005,"&lt;"&amp;ReportFrom))-(SUMIFS('Sales Invoices'!$L$5:$L$2005,'Sales Invoices'!$Q$5:$Q$2005,$A82,'Sales Invoices'!$B$5:$B$2005,"&lt;"&amp;ReportFrom)+SUMIFS('Sales Invoices'!$M$5:$M$2005,'Sales Invoices'!$S$5:$S$2005,$A82,'Sales Invoices'!$B$5:$B$2005,"&lt;"&amp;ReportFrom)))</f>
        <v/>
      </c>
      <c r="Y82" s="25">
        <f>IF($A82="",0,SUMIFS('Sales Invoices'!$O$5:$O$2005,'Sales Invoices'!$P$5:$P$2005,$A82,'Sales Invoices'!$B$5:$B$2005,"&gt;="&amp;ReportFrom,'Sales Invoices'!$B$5:$B$2005,"&lt;="&amp;ReportTo)+SUMIFS('Sales Invoices'!$N$5:$N$2005,'Sales Invoices'!$R$5:$R$2005,$A82,'Sales Invoices'!$B$5:$B$2005,"&gt;="&amp;ReportFrom,'Sales Invoices'!$B$5:$B$2005,"&lt;="&amp;ReportTo))</f>
        <v/>
      </c>
      <c r="Z82" s="25">
        <f>IF($A82="",0,SUMIFS('Sales Invoices'!$L$5:$L$2005,'Sales Invoices'!$Q$5:$Q$2005,$A82,'Sales Invoices'!$B$5:$B$2005,"&gt;="&amp;ReportFrom,'Sales Invoices'!$B$5:$B$2005,"&lt;="&amp;ReportTo)+SUMIFS('Sales Invoices'!$M$5:$M$2005,'Sales Invoices'!$S$5:$S$2005,$A82,'Sales Invoices'!$B$5:$B$2005,"&gt;="&amp;ReportFrom,'Sales Invoices'!$B$5:$B$2005,"&lt;="&amp;ReportTo))</f>
        <v/>
      </c>
      <c r="AA82" s="25">
        <f>IF($A82="",0,(SUMIFS('Payment Vouchers'!$D$5:$D$2005,'Payment Vouchers'!$J$5:$J$2005,$A82,'Payment Vouchers'!$A$5:$A$2005,"&lt;"&amp;ReportFrom))-(SUMIFS('Payment Vouchers'!$D$5:$D$2005,'Payment Vouchers'!$K$5:$K$2005,$A82,'Payment Vouchers'!$A$5:$A$2005,"&lt;"&amp;ReportFrom)))</f>
        <v/>
      </c>
      <c r="AB82" s="25">
        <f>IF($A82="",0,SUMIFS('Payment Vouchers'!$D$5:$D$2005,'Payment Vouchers'!$J$5:$J$2005,$A82,'Payment Vouchers'!$A$5:$A$2005,"&gt;="&amp;ReportFrom,'Payment Vouchers'!$A$5:$A$2005,"&lt;="&amp;ReportTo))</f>
        <v/>
      </c>
      <c r="AC82" s="25">
        <f>IF($A82="",0,SUMIFS('Payment Vouchers'!$D$5:$D$2005,'Payment Vouchers'!$K$5:$K$2005,$A82,'Payment Vouchers'!$A$5:$A$2005,"&gt;="&amp;ReportFrom,'Payment Vouchers'!$A$5:$A$2005,"&lt;="&amp;ReportTo))</f>
        <v/>
      </c>
      <c r="AD82" s="25">
        <f>IF($A82="",0,(SUMIFS('Partner Transactions'!$D$5:$D$2005,'Partner Transactions'!$L$5:$L$2005,$A82,'Partner Transactions'!$A$5:$A$2005,"&lt;"&amp;ReportFrom))-(SUMIFS('Partner Transactions'!$D$5:$D$2005,'Partner Transactions'!$M$5:$M$2005,$A82,'Partner Transactions'!$A$5:$A$2005,"&lt;"&amp;ReportFrom)))</f>
        <v/>
      </c>
      <c r="AE82" s="25">
        <f>IF($A82="",0,SUMIFS('Partner Transactions'!$D$5:$D$2005,'Partner Transactions'!$L$5:$L$2005,$A82,'Partner Transactions'!$A$5:$A$2005,"&gt;="&amp;ReportFrom,'Partner Transactions'!$A$5:$A$2005,"&lt;="&amp;ReportTo))</f>
        <v/>
      </c>
      <c r="AF82" s="25">
        <f>IF($A82="",0,SUMIFS('Partner Transactions'!$D$5:$D$2005,'Partner Transactions'!$M$5:$M$2005,$A82,'Partner Transactions'!$A$5:$A$2005,"&gt;="&amp;ReportFrom,'Partner Transactions'!$A$5:$A$2005,"&lt;="&amp;ReportTo))</f>
        <v/>
      </c>
      <c r="AG82" s="25">
        <f>IF($A82="",0,(SUMIFS('Stock Moves'!$S$5:$S$2005,'Stock Moves'!$AD$5:$AD$2005,$A82,'Stock Moves'!$A$5:$A$2005,"&lt;"&amp;ReportFrom)+SUMIFS('Stock Moves'!$T$5:$T$2005,'Stock Moves'!$V$5:$V$2005,$A82,'Stock Moves'!$A$5:$A$2005,"&lt;"&amp;ReportFrom))-(SUMIFS('Stock Moves'!$AF$5:$AF$2005,'Stock Moves'!$AE$5:$AE$2005,$A82,'Stock Moves'!$A$5:$A$2005,"&lt;"&amp;ReportFrom)+SUMIFS('Stock Moves'!$AC$5:$AC$2005,'Stock Moves'!$X$5:$X$2005,$A82,'Stock Moves'!$A$5:$A$2005,"&lt;"&amp;ReportFrom)+SUMIFS('Stock Moves'!$U$5:$U$2005,'Stock Moves'!$W$5:$W$2005,$A82,'Stock Moves'!$A$5:$A$2005,"&lt;"&amp;ReportFrom)))</f>
        <v/>
      </c>
      <c r="AH82" s="25">
        <f>IF($A82="",0,SUMIFS('Stock Moves'!$S$5:$S$2005,'Stock Moves'!$AD$5:$AD$2005,$A82,'Stock Moves'!$A$5:$A$2005,"&gt;="&amp;ReportFrom,'Stock Moves'!$A$5:$A$2005,"&lt;="&amp;ReportTo)+SUMIFS('Stock Moves'!$T$5:$T$2005,'Stock Moves'!$V$5:$V$2005,$A82,'Stock Moves'!$A$5:$A$2005,"&gt;="&amp;ReportFrom,'Stock Moves'!$A$5:$A$2005,"&lt;="&amp;ReportTo))</f>
        <v/>
      </c>
      <c r="AI82" s="25">
        <f>IF($A82="",0,SUMIFS('Stock Moves'!$AF$5:$AF$2005,'Stock Moves'!$AE$5:$AE$2005,$A82,'Stock Moves'!$A$5:$A$2005,"&gt;="&amp;ReportFrom,'Stock Moves'!$A$5:$A$2005,"&lt;="&amp;ReportTo)+SUMIFS('Stock Moves'!$AC$5:$AC$2005,'Stock Moves'!$X$5:$X$2005,$A82,'Stock Moves'!$A$5:$A$2005,"&gt;="&amp;ReportFrom,'Stock Moves'!$A$5:$A$2005,"&lt;="&amp;ReportTo)+SUMIFS('Stock Moves'!$U$5:$U$2005,'Stock Moves'!$W$5:$W$2005,$A82,'Stock Moves'!$A$5:$A$2005,"&gt;="&amp;ReportFrom,'Stock Moves'!$A$5:$A$2005,"&lt;="&amp;ReportTo))</f>
        <v/>
      </c>
      <c r="AJ82" s="25">
        <f>IF($A82="",0,(SUMIFS('Journal Vouchers'!$I$5:$I$2005,'Journal Vouchers'!$H$5:$H$2005,$A82,'Journal Vouchers'!$B$5:$B$2005,"&lt;"&amp;ReportFrom))-(SUMIFS('Journal Vouchers'!$J$5:$J$2005,'Journal Vouchers'!$H$5:$H$2005,$A82,'Journal Vouchers'!$B$5:$B$2005,"&lt;"&amp;ReportFrom)))</f>
        <v/>
      </c>
      <c r="AK82" s="25">
        <f>IF($A82="",0,SUMIFS('Journal Vouchers'!$I$5:$I$2005,'Journal Vouchers'!$H$5:$H$2005,$A82,'Journal Vouchers'!$B$5:$B$2005,"&gt;="&amp;ReportFrom,'Journal Vouchers'!$B$5:$B$2005,"&lt;="&amp;ReportTo))</f>
        <v/>
      </c>
      <c r="AL82" s="25">
        <f>IF($A82="",0,SUMIFS('Journal Vouchers'!$J$5:$J$2005,'Journal Vouchers'!$H$5:$H$2005,$A82,'Journal Vouchers'!$B$5:$B$2005,"&gt;="&amp;ReportFrom,'Journal Vouchers'!$B$5:$B$2005,"&lt;="&amp;ReportTo))</f>
        <v/>
      </c>
    </row>
    <row r="83">
      <c r="A83" s="25">
        <f>IF('Chart of Accounts'!A83="","",'Chart of Accounts'!A83&amp;"")</f>
        <v/>
      </c>
      <c r="B83" s="25">
        <f>IF(A83="","",'Chart of Accounts'!B83)</f>
        <v/>
      </c>
      <c r="C83" s="25">
        <f>IF(A83="","",'Chart of Accounts'!C83)</f>
        <v/>
      </c>
      <c r="D83" s="25">
        <f>IF(A83="","",'Chart of Accounts'!D83)</f>
        <v/>
      </c>
      <c r="E83" s="26">
        <f>L83+O83+R83+U83+X83+AA83+AD83+AG83+AJ83</f>
        <v/>
      </c>
      <c r="F83" s="26">
        <f>M83+P83+S83+V83+Y83+AB83+AE83+AH83+AK83</f>
        <v/>
      </c>
      <c r="G83" s="26">
        <f>N83+Q83+T83+W83+Z83+AC83+AF83+AI83+AL83</f>
        <v/>
      </c>
      <c r="H83" s="26">
        <f>E83+F83-G83</f>
        <v/>
      </c>
      <c r="I83" s="26">
        <f>MAX(H83,0)</f>
        <v/>
      </c>
      <c r="J83" s="26">
        <f>MAX(-H83,0)</f>
        <v/>
      </c>
      <c r="L83" s="25">
        <f>IF($A83="",0,(SUMIFS('Direct Costs'!$R$5:$R$2005,'Direct Costs'!$V$5:$V$2005,$A83,'Direct Costs'!$A$5:$A$2005,"&lt;"&amp;ReportFrom)+SUMIFS('Direct Costs'!$S$5:$S$2005,'Direct Costs'!$Y$5:$Y$2005,$A83,'Direct Costs'!$A$5:$A$2005,"&lt;"&amp;ReportFrom))-(SUMIFS('Direct Costs'!$L$5:$L$2005,'Direct Costs'!$W$5:$W$2005,$A83,'Direct Costs'!$A$5:$A$2005,"&lt;"&amp;ReportFrom)+SUMIFS('Direct Costs'!$U$5:$U$2005,'Direct Costs'!$X$5:$X$2005,$A83,'Direct Costs'!$A$5:$A$2005,"&lt;"&amp;ReportFrom)+SUMIFS('Direct Costs'!$T$5:$T$2005,'Direct Costs'!$Z$5:$Z$2005,$A83,'Direct Costs'!$A$5:$A$2005,"&lt;"&amp;ReportFrom)))</f>
        <v/>
      </c>
      <c r="M83" s="25">
        <f>IF($A83="",0,SUMIFS('Direct Costs'!$R$5:$R$2005,'Direct Costs'!$V$5:$V$2005,$A83,'Direct Costs'!$A$5:$A$2005,"&gt;="&amp;ReportFrom,'Direct Costs'!$A$5:$A$2005,"&lt;="&amp;ReportTo)+SUMIFS('Direct Costs'!$S$5:$S$2005,'Direct Costs'!$Y$5:$Y$2005,$A83,'Direct Costs'!$A$5:$A$2005,"&gt;="&amp;ReportFrom,'Direct Costs'!$A$5:$A$2005,"&lt;="&amp;ReportTo))</f>
        <v/>
      </c>
      <c r="N83" s="25">
        <f>IF($A83="",0,SUMIFS('Direct Costs'!$L$5:$L$2005,'Direct Costs'!$W$5:$W$2005,$A83,'Direct Costs'!$A$5:$A$2005,"&gt;="&amp;ReportFrom,'Direct Costs'!$A$5:$A$2005,"&lt;="&amp;ReportTo)+SUMIFS('Direct Costs'!$U$5:$U$2005,'Direct Costs'!$X$5:$X$2005,$A83,'Direct Costs'!$A$5:$A$2005,"&gt;="&amp;ReportFrom,'Direct Costs'!$A$5:$A$2005,"&lt;="&amp;ReportTo)+SUMIFS('Direct Costs'!$T$5:$T$2005,'Direct Costs'!$Z$5:$Z$2005,$A83,'Direct Costs'!$A$5:$A$2005,"&gt;="&amp;ReportFrom,'Direct Costs'!$A$5:$A$2005,"&lt;="&amp;ReportTo))</f>
        <v/>
      </c>
      <c r="O83" s="25">
        <f>IF($A83="",0,(SUMIFS('Operating Expenses'!$F$5:$F$2005,'Operating Expenses'!$Q$5:$Q$2005,$A83,'Operating Expenses'!$A$5:$A$2005,"&lt;"&amp;ReportFrom)+SUMIFS('Operating Expenses'!$M$5:$M$2005,'Operating Expenses'!$T$5:$T$2005,$A83,'Operating Expenses'!$A$5:$A$2005,"&lt;"&amp;ReportFrom))-(SUMIFS('Operating Expenses'!$O$5:$O$2005,'Operating Expenses'!$R$5:$R$2005,$A83,'Operating Expenses'!$A$5:$A$2005,"&lt;"&amp;ReportFrom)+SUMIFS('Operating Expenses'!$P$5:$P$2005,'Operating Expenses'!$S$5:$S$2005,$A83,'Operating Expenses'!$A$5:$A$2005,"&lt;"&amp;ReportFrom)+SUMIFS('Operating Expenses'!$N$5:$N$2005,'Operating Expenses'!$U$5:$U$2005,$A83,'Operating Expenses'!$A$5:$A$2005,"&lt;"&amp;ReportFrom)))</f>
        <v/>
      </c>
      <c r="P83" s="25">
        <f>IF($A83="",0,SUMIFS('Operating Expenses'!$F$5:$F$2005,'Operating Expenses'!$Q$5:$Q$2005,$A83,'Operating Expenses'!$A$5:$A$2005,"&gt;="&amp;ReportFrom,'Operating Expenses'!$A$5:$A$2005,"&lt;="&amp;ReportTo)+SUMIFS('Operating Expenses'!$M$5:$M$2005,'Operating Expenses'!$T$5:$T$2005,$A83,'Operating Expenses'!$A$5:$A$2005,"&gt;="&amp;ReportFrom,'Operating Expenses'!$A$5:$A$2005,"&lt;="&amp;ReportTo))</f>
        <v/>
      </c>
      <c r="Q83" s="25">
        <f>IF($A83="",0,SUMIFS('Operating Expenses'!$O$5:$O$2005,'Operating Expenses'!$R$5:$R$2005,$A83,'Operating Expenses'!$A$5:$A$2005,"&gt;="&amp;ReportFrom,'Operating Expenses'!$A$5:$A$2005,"&lt;="&amp;ReportTo)+SUMIFS('Operating Expenses'!$P$5:$P$2005,'Operating Expenses'!$S$5:$S$2005,$A83,'Operating Expenses'!$A$5:$A$2005,"&gt;="&amp;ReportFrom,'Operating Expenses'!$A$5:$A$2005,"&lt;="&amp;ReportTo)+SUMIFS('Operating Expenses'!$N$5:$N$2005,'Operating Expenses'!$U$5:$U$2005,$A83,'Operating Expenses'!$A$5:$A$2005,"&gt;="&amp;ReportFrom,'Operating Expenses'!$A$5:$A$2005,"&lt;="&amp;ReportTo))</f>
        <v/>
      </c>
      <c r="R83" s="25">
        <f>IF($A83="",0,(SUMIFS('Payroll'!$O$5:$O$2005,'Payroll'!$Q$5:$Q$2005,$A83,'Payroll'!$A$5:$A$2005,"&lt;"&amp;ReportFrom))-(SUMIFS('Payroll'!$K$5:$K$2005,'Payroll'!$R$5:$R$2005,$A83,'Payroll'!$A$5:$A$2005,"&lt;"&amp;ReportFrom)+SUMIFS('Payroll'!$P$5:$P$2005,'Payroll'!$S$5:$S$2005,$A83,'Payroll'!$A$5:$A$2005,"&lt;"&amp;ReportFrom)))</f>
        <v/>
      </c>
      <c r="S83" s="25">
        <f>IF($A83="",0,SUMIFS('Payroll'!$O$5:$O$2005,'Payroll'!$Q$5:$Q$2005,$A83,'Payroll'!$A$5:$A$2005,"&gt;="&amp;ReportFrom,'Payroll'!$A$5:$A$2005,"&lt;="&amp;ReportTo))</f>
        <v/>
      </c>
      <c r="T83" s="25">
        <f>IF($A83="",0,SUMIFS('Payroll'!$K$5:$K$2005,'Payroll'!$R$5:$R$2005,$A83,'Payroll'!$A$5:$A$2005,"&gt;="&amp;ReportFrom,'Payroll'!$A$5:$A$2005,"&lt;="&amp;ReportTo)+SUMIFS('Payroll'!$P$5:$P$2005,'Payroll'!$S$5:$S$2005,$A83,'Payroll'!$A$5:$A$2005,"&gt;="&amp;ReportFrom,'Payroll'!$A$5:$A$2005,"&lt;="&amp;ReportTo))</f>
        <v/>
      </c>
      <c r="U83" s="25">
        <f>IF($A83="",0,(SUMIFS('Receipt Vouchers'!$F$5:$F$2005,'Receipt Vouchers'!$O$5:$O$2005,$A83,'Receipt Vouchers'!$A$5:$A$2005,"&lt;"&amp;ReportFrom)+SUMIFS('Receipt Vouchers'!$J$5:$J$2005,'Receipt Vouchers'!$Q$5:$Q$2005,$A83,'Receipt Vouchers'!$A$5:$A$2005,"&lt;"&amp;ReportFrom))-(SUMIFS('Receipt Vouchers'!$N$5:$N$2005,'Receipt Vouchers'!$P$5:$P$2005,$A83,'Receipt Vouchers'!$A$5:$A$2005,"&lt;"&amp;ReportFrom)+SUMIFS('Receipt Vouchers'!$M$5:$M$2005,'Receipt Vouchers'!$R$5:$R$2005,$A83,'Receipt Vouchers'!$A$5:$A$2005,"&lt;"&amp;ReportFrom)))</f>
        <v/>
      </c>
      <c r="V83" s="25">
        <f>IF($A83="",0,SUMIFS('Receipt Vouchers'!$F$5:$F$2005,'Receipt Vouchers'!$O$5:$O$2005,$A83,'Receipt Vouchers'!$A$5:$A$2005,"&gt;="&amp;ReportFrom,'Receipt Vouchers'!$A$5:$A$2005,"&lt;="&amp;ReportTo)+SUMIFS('Receipt Vouchers'!$J$5:$J$2005,'Receipt Vouchers'!$Q$5:$Q$2005,$A83,'Receipt Vouchers'!$A$5:$A$2005,"&gt;="&amp;ReportFrom,'Receipt Vouchers'!$A$5:$A$2005,"&lt;="&amp;ReportTo))</f>
        <v/>
      </c>
      <c r="W83" s="25">
        <f>IF($A83="",0,SUMIFS('Receipt Vouchers'!$N$5:$N$2005,'Receipt Vouchers'!$P$5:$P$2005,$A83,'Receipt Vouchers'!$A$5:$A$2005,"&gt;="&amp;ReportFrom,'Receipt Vouchers'!$A$5:$A$2005,"&lt;="&amp;ReportTo)+SUMIFS('Receipt Vouchers'!$M$5:$M$2005,'Receipt Vouchers'!$R$5:$R$2005,$A83,'Receipt Vouchers'!$A$5:$A$2005,"&gt;="&amp;ReportFrom,'Receipt Vouchers'!$A$5:$A$2005,"&lt;="&amp;ReportTo))</f>
        <v/>
      </c>
      <c r="X83" s="25">
        <f>IF($A83="",0,(SUMIFS('Sales Invoices'!$O$5:$O$2005,'Sales Invoices'!$P$5:$P$2005,$A83,'Sales Invoices'!$B$5:$B$2005,"&lt;"&amp;ReportFrom)+SUMIFS('Sales Invoices'!$N$5:$N$2005,'Sales Invoices'!$R$5:$R$2005,$A83,'Sales Invoices'!$B$5:$B$2005,"&lt;"&amp;ReportFrom))-(SUMIFS('Sales Invoices'!$L$5:$L$2005,'Sales Invoices'!$Q$5:$Q$2005,$A83,'Sales Invoices'!$B$5:$B$2005,"&lt;"&amp;ReportFrom)+SUMIFS('Sales Invoices'!$M$5:$M$2005,'Sales Invoices'!$S$5:$S$2005,$A83,'Sales Invoices'!$B$5:$B$2005,"&lt;"&amp;ReportFrom)))</f>
        <v/>
      </c>
      <c r="Y83" s="25">
        <f>IF($A83="",0,SUMIFS('Sales Invoices'!$O$5:$O$2005,'Sales Invoices'!$P$5:$P$2005,$A83,'Sales Invoices'!$B$5:$B$2005,"&gt;="&amp;ReportFrom,'Sales Invoices'!$B$5:$B$2005,"&lt;="&amp;ReportTo)+SUMIFS('Sales Invoices'!$N$5:$N$2005,'Sales Invoices'!$R$5:$R$2005,$A83,'Sales Invoices'!$B$5:$B$2005,"&gt;="&amp;ReportFrom,'Sales Invoices'!$B$5:$B$2005,"&lt;="&amp;ReportTo))</f>
        <v/>
      </c>
      <c r="Z83" s="25">
        <f>IF($A83="",0,SUMIFS('Sales Invoices'!$L$5:$L$2005,'Sales Invoices'!$Q$5:$Q$2005,$A83,'Sales Invoices'!$B$5:$B$2005,"&gt;="&amp;ReportFrom,'Sales Invoices'!$B$5:$B$2005,"&lt;="&amp;ReportTo)+SUMIFS('Sales Invoices'!$M$5:$M$2005,'Sales Invoices'!$S$5:$S$2005,$A83,'Sales Invoices'!$B$5:$B$2005,"&gt;="&amp;ReportFrom,'Sales Invoices'!$B$5:$B$2005,"&lt;="&amp;ReportTo))</f>
        <v/>
      </c>
      <c r="AA83" s="25">
        <f>IF($A83="",0,(SUMIFS('Payment Vouchers'!$D$5:$D$2005,'Payment Vouchers'!$J$5:$J$2005,$A83,'Payment Vouchers'!$A$5:$A$2005,"&lt;"&amp;ReportFrom))-(SUMIFS('Payment Vouchers'!$D$5:$D$2005,'Payment Vouchers'!$K$5:$K$2005,$A83,'Payment Vouchers'!$A$5:$A$2005,"&lt;"&amp;ReportFrom)))</f>
        <v/>
      </c>
      <c r="AB83" s="25">
        <f>IF($A83="",0,SUMIFS('Payment Vouchers'!$D$5:$D$2005,'Payment Vouchers'!$J$5:$J$2005,$A83,'Payment Vouchers'!$A$5:$A$2005,"&gt;="&amp;ReportFrom,'Payment Vouchers'!$A$5:$A$2005,"&lt;="&amp;ReportTo))</f>
        <v/>
      </c>
      <c r="AC83" s="25">
        <f>IF($A83="",0,SUMIFS('Payment Vouchers'!$D$5:$D$2005,'Payment Vouchers'!$K$5:$K$2005,$A83,'Payment Vouchers'!$A$5:$A$2005,"&gt;="&amp;ReportFrom,'Payment Vouchers'!$A$5:$A$2005,"&lt;="&amp;ReportTo))</f>
        <v/>
      </c>
      <c r="AD83" s="25">
        <f>IF($A83="",0,(SUMIFS('Partner Transactions'!$D$5:$D$2005,'Partner Transactions'!$L$5:$L$2005,$A83,'Partner Transactions'!$A$5:$A$2005,"&lt;"&amp;ReportFrom))-(SUMIFS('Partner Transactions'!$D$5:$D$2005,'Partner Transactions'!$M$5:$M$2005,$A83,'Partner Transactions'!$A$5:$A$2005,"&lt;"&amp;ReportFrom)))</f>
        <v/>
      </c>
      <c r="AE83" s="25">
        <f>IF($A83="",0,SUMIFS('Partner Transactions'!$D$5:$D$2005,'Partner Transactions'!$L$5:$L$2005,$A83,'Partner Transactions'!$A$5:$A$2005,"&gt;="&amp;ReportFrom,'Partner Transactions'!$A$5:$A$2005,"&lt;="&amp;ReportTo))</f>
        <v/>
      </c>
      <c r="AF83" s="25">
        <f>IF($A83="",0,SUMIFS('Partner Transactions'!$D$5:$D$2005,'Partner Transactions'!$M$5:$M$2005,$A83,'Partner Transactions'!$A$5:$A$2005,"&gt;="&amp;ReportFrom,'Partner Transactions'!$A$5:$A$2005,"&lt;="&amp;ReportTo))</f>
        <v/>
      </c>
      <c r="AG83" s="25">
        <f>IF($A83="",0,(SUMIFS('Stock Moves'!$S$5:$S$2005,'Stock Moves'!$AD$5:$AD$2005,$A83,'Stock Moves'!$A$5:$A$2005,"&lt;"&amp;ReportFrom)+SUMIFS('Stock Moves'!$T$5:$T$2005,'Stock Moves'!$V$5:$V$2005,$A83,'Stock Moves'!$A$5:$A$2005,"&lt;"&amp;ReportFrom))-(SUMIFS('Stock Moves'!$AF$5:$AF$2005,'Stock Moves'!$AE$5:$AE$2005,$A83,'Stock Moves'!$A$5:$A$2005,"&lt;"&amp;ReportFrom)+SUMIFS('Stock Moves'!$AC$5:$AC$2005,'Stock Moves'!$X$5:$X$2005,$A83,'Stock Moves'!$A$5:$A$2005,"&lt;"&amp;ReportFrom)+SUMIFS('Stock Moves'!$U$5:$U$2005,'Stock Moves'!$W$5:$W$2005,$A83,'Stock Moves'!$A$5:$A$2005,"&lt;"&amp;ReportFrom)))</f>
        <v/>
      </c>
      <c r="AH83" s="25">
        <f>IF($A83="",0,SUMIFS('Stock Moves'!$S$5:$S$2005,'Stock Moves'!$AD$5:$AD$2005,$A83,'Stock Moves'!$A$5:$A$2005,"&gt;="&amp;ReportFrom,'Stock Moves'!$A$5:$A$2005,"&lt;="&amp;ReportTo)+SUMIFS('Stock Moves'!$T$5:$T$2005,'Stock Moves'!$V$5:$V$2005,$A83,'Stock Moves'!$A$5:$A$2005,"&gt;="&amp;ReportFrom,'Stock Moves'!$A$5:$A$2005,"&lt;="&amp;ReportTo))</f>
        <v/>
      </c>
      <c r="AI83" s="25">
        <f>IF($A83="",0,SUMIFS('Stock Moves'!$AF$5:$AF$2005,'Stock Moves'!$AE$5:$AE$2005,$A83,'Stock Moves'!$A$5:$A$2005,"&gt;="&amp;ReportFrom,'Stock Moves'!$A$5:$A$2005,"&lt;="&amp;ReportTo)+SUMIFS('Stock Moves'!$AC$5:$AC$2005,'Stock Moves'!$X$5:$X$2005,$A83,'Stock Moves'!$A$5:$A$2005,"&gt;="&amp;ReportFrom,'Stock Moves'!$A$5:$A$2005,"&lt;="&amp;ReportTo)+SUMIFS('Stock Moves'!$U$5:$U$2005,'Stock Moves'!$W$5:$W$2005,$A83,'Stock Moves'!$A$5:$A$2005,"&gt;="&amp;ReportFrom,'Stock Moves'!$A$5:$A$2005,"&lt;="&amp;ReportTo))</f>
        <v/>
      </c>
      <c r="AJ83" s="25">
        <f>IF($A83="",0,(SUMIFS('Journal Vouchers'!$I$5:$I$2005,'Journal Vouchers'!$H$5:$H$2005,$A83,'Journal Vouchers'!$B$5:$B$2005,"&lt;"&amp;ReportFrom))-(SUMIFS('Journal Vouchers'!$J$5:$J$2005,'Journal Vouchers'!$H$5:$H$2005,$A83,'Journal Vouchers'!$B$5:$B$2005,"&lt;"&amp;ReportFrom)))</f>
        <v/>
      </c>
      <c r="AK83" s="25">
        <f>IF($A83="",0,SUMIFS('Journal Vouchers'!$I$5:$I$2005,'Journal Vouchers'!$H$5:$H$2005,$A83,'Journal Vouchers'!$B$5:$B$2005,"&gt;="&amp;ReportFrom,'Journal Vouchers'!$B$5:$B$2005,"&lt;="&amp;ReportTo))</f>
        <v/>
      </c>
      <c r="AL83" s="25">
        <f>IF($A83="",0,SUMIFS('Journal Vouchers'!$J$5:$J$2005,'Journal Vouchers'!$H$5:$H$2005,$A83,'Journal Vouchers'!$B$5:$B$2005,"&gt;="&amp;ReportFrom,'Journal Vouchers'!$B$5:$B$2005,"&lt;="&amp;ReportTo))</f>
        <v/>
      </c>
    </row>
    <row r="84">
      <c r="A84" s="25">
        <f>IF('Chart of Accounts'!A84="","",'Chart of Accounts'!A84&amp;"")</f>
        <v/>
      </c>
      <c r="B84" s="25">
        <f>IF(A84="","",'Chart of Accounts'!B84)</f>
        <v/>
      </c>
      <c r="C84" s="25">
        <f>IF(A84="","",'Chart of Accounts'!C84)</f>
        <v/>
      </c>
      <c r="D84" s="25">
        <f>IF(A84="","",'Chart of Accounts'!D84)</f>
        <v/>
      </c>
      <c r="E84" s="26">
        <f>L84+O84+R84+U84+X84+AA84+AD84+AG84+AJ84</f>
        <v/>
      </c>
      <c r="F84" s="26">
        <f>M84+P84+S84+V84+Y84+AB84+AE84+AH84+AK84</f>
        <v/>
      </c>
      <c r="G84" s="26">
        <f>N84+Q84+T84+W84+Z84+AC84+AF84+AI84+AL84</f>
        <v/>
      </c>
      <c r="H84" s="26">
        <f>E84+F84-G84</f>
        <v/>
      </c>
      <c r="I84" s="26">
        <f>MAX(H84,0)</f>
        <v/>
      </c>
      <c r="J84" s="26">
        <f>MAX(-H84,0)</f>
        <v/>
      </c>
      <c r="L84" s="25">
        <f>IF($A84="",0,(SUMIFS('Direct Costs'!$R$5:$R$2005,'Direct Costs'!$V$5:$V$2005,$A84,'Direct Costs'!$A$5:$A$2005,"&lt;"&amp;ReportFrom)+SUMIFS('Direct Costs'!$S$5:$S$2005,'Direct Costs'!$Y$5:$Y$2005,$A84,'Direct Costs'!$A$5:$A$2005,"&lt;"&amp;ReportFrom))-(SUMIFS('Direct Costs'!$L$5:$L$2005,'Direct Costs'!$W$5:$W$2005,$A84,'Direct Costs'!$A$5:$A$2005,"&lt;"&amp;ReportFrom)+SUMIFS('Direct Costs'!$U$5:$U$2005,'Direct Costs'!$X$5:$X$2005,$A84,'Direct Costs'!$A$5:$A$2005,"&lt;"&amp;ReportFrom)+SUMIFS('Direct Costs'!$T$5:$T$2005,'Direct Costs'!$Z$5:$Z$2005,$A84,'Direct Costs'!$A$5:$A$2005,"&lt;"&amp;ReportFrom)))</f>
        <v/>
      </c>
      <c r="M84" s="25">
        <f>IF($A84="",0,SUMIFS('Direct Costs'!$R$5:$R$2005,'Direct Costs'!$V$5:$V$2005,$A84,'Direct Costs'!$A$5:$A$2005,"&gt;="&amp;ReportFrom,'Direct Costs'!$A$5:$A$2005,"&lt;="&amp;ReportTo)+SUMIFS('Direct Costs'!$S$5:$S$2005,'Direct Costs'!$Y$5:$Y$2005,$A84,'Direct Costs'!$A$5:$A$2005,"&gt;="&amp;ReportFrom,'Direct Costs'!$A$5:$A$2005,"&lt;="&amp;ReportTo))</f>
        <v/>
      </c>
      <c r="N84" s="25">
        <f>IF($A84="",0,SUMIFS('Direct Costs'!$L$5:$L$2005,'Direct Costs'!$W$5:$W$2005,$A84,'Direct Costs'!$A$5:$A$2005,"&gt;="&amp;ReportFrom,'Direct Costs'!$A$5:$A$2005,"&lt;="&amp;ReportTo)+SUMIFS('Direct Costs'!$U$5:$U$2005,'Direct Costs'!$X$5:$X$2005,$A84,'Direct Costs'!$A$5:$A$2005,"&gt;="&amp;ReportFrom,'Direct Costs'!$A$5:$A$2005,"&lt;="&amp;ReportTo)+SUMIFS('Direct Costs'!$T$5:$T$2005,'Direct Costs'!$Z$5:$Z$2005,$A84,'Direct Costs'!$A$5:$A$2005,"&gt;="&amp;ReportFrom,'Direct Costs'!$A$5:$A$2005,"&lt;="&amp;ReportTo))</f>
        <v/>
      </c>
      <c r="O84" s="25">
        <f>IF($A84="",0,(SUMIFS('Operating Expenses'!$F$5:$F$2005,'Operating Expenses'!$Q$5:$Q$2005,$A84,'Operating Expenses'!$A$5:$A$2005,"&lt;"&amp;ReportFrom)+SUMIFS('Operating Expenses'!$M$5:$M$2005,'Operating Expenses'!$T$5:$T$2005,$A84,'Operating Expenses'!$A$5:$A$2005,"&lt;"&amp;ReportFrom))-(SUMIFS('Operating Expenses'!$O$5:$O$2005,'Operating Expenses'!$R$5:$R$2005,$A84,'Operating Expenses'!$A$5:$A$2005,"&lt;"&amp;ReportFrom)+SUMIFS('Operating Expenses'!$P$5:$P$2005,'Operating Expenses'!$S$5:$S$2005,$A84,'Operating Expenses'!$A$5:$A$2005,"&lt;"&amp;ReportFrom)+SUMIFS('Operating Expenses'!$N$5:$N$2005,'Operating Expenses'!$U$5:$U$2005,$A84,'Operating Expenses'!$A$5:$A$2005,"&lt;"&amp;ReportFrom)))</f>
        <v/>
      </c>
      <c r="P84" s="25">
        <f>IF($A84="",0,SUMIFS('Operating Expenses'!$F$5:$F$2005,'Operating Expenses'!$Q$5:$Q$2005,$A84,'Operating Expenses'!$A$5:$A$2005,"&gt;="&amp;ReportFrom,'Operating Expenses'!$A$5:$A$2005,"&lt;="&amp;ReportTo)+SUMIFS('Operating Expenses'!$M$5:$M$2005,'Operating Expenses'!$T$5:$T$2005,$A84,'Operating Expenses'!$A$5:$A$2005,"&gt;="&amp;ReportFrom,'Operating Expenses'!$A$5:$A$2005,"&lt;="&amp;ReportTo))</f>
        <v/>
      </c>
      <c r="Q84" s="25">
        <f>IF($A84="",0,SUMIFS('Operating Expenses'!$O$5:$O$2005,'Operating Expenses'!$R$5:$R$2005,$A84,'Operating Expenses'!$A$5:$A$2005,"&gt;="&amp;ReportFrom,'Operating Expenses'!$A$5:$A$2005,"&lt;="&amp;ReportTo)+SUMIFS('Operating Expenses'!$P$5:$P$2005,'Operating Expenses'!$S$5:$S$2005,$A84,'Operating Expenses'!$A$5:$A$2005,"&gt;="&amp;ReportFrom,'Operating Expenses'!$A$5:$A$2005,"&lt;="&amp;ReportTo)+SUMIFS('Operating Expenses'!$N$5:$N$2005,'Operating Expenses'!$U$5:$U$2005,$A84,'Operating Expenses'!$A$5:$A$2005,"&gt;="&amp;ReportFrom,'Operating Expenses'!$A$5:$A$2005,"&lt;="&amp;ReportTo))</f>
        <v/>
      </c>
      <c r="R84" s="25">
        <f>IF($A84="",0,(SUMIFS('Payroll'!$O$5:$O$2005,'Payroll'!$Q$5:$Q$2005,$A84,'Payroll'!$A$5:$A$2005,"&lt;"&amp;ReportFrom))-(SUMIFS('Payroll'!$K$5:$K$2005,'Payroll'!$R$5:$R$2005,$A84,'Payroll'!$A$5:$A$2005,"&lt;"&amp;ReportFrom)+SUMIFS('Payroll'!$P$5:$P$2005,'Payroll'!$S$5:$S$2005,$A84,'Payroll'!$A$5:$A$2005,"&lt;"&amp;ReportFrom)))</f>
        <v/>
      </c>
      <c r="S84" s="25">
        <f>IF($A84="",0,SUMIFS('Payroll'!$O$5:$O$2005,'Payroll'!$Q$5:$Q$2005,$A84,'Payroll'!$A$5:$A$2005,"&gt;="&amp;ReportFrom,'Payroll'!$A$5:$A$2005,"&lt;="&amp;ReportTo))</f>
        <v/>
      </c>
      <c r="T84" s="25">
        <f>IF($A84="",0,SUMIFS('Payroll'!$K$5:$K$2005,'Payroll'!$R$5:$R$2005,$A84,'Payroll'!$A$5:$A$2005,"&gt;="&amp;ReportFrom,'Payroll'!$A$5:$A$2005,"&lt;="&amp;ReportTo)+SUMIFS('Payroll'!$P$5:$P$2005,'Payroll'!$S$5:$S$2005,$A84,'Payroll'!$A$5:$A$2005,"&gt;="&amp;ReportFrom,'Payroll'!$A$5:$A$2005,"&lt;="&amp;ReportTo))</f>
        <v/>
      </c>
      <c r="U84" s="25">
        <f>IF($A84="",0,(SUMIFS('Receipt Vouchers'!$F$5:$F$2005,'Receipt Vouchers'!$O$5:$O$2005,$A84,'Receipt Vouchers'!$A$5:$A$2005,"&lt;"&amp;ReportFrom)+SUMIFS('Receipt Vouchers'!$J$5:$J$2005,'Receipt Vouchers'!$Q$5:$Q$2005,$A84,'Receipt Vouchers'!$A$5:$A$2005,"&lt;"&amp;ReportFrom))-(SUMIFS('Receipt Vouchers'!$N$5:$N$2005,'Receipt Vouchers'!$P$5:$P$2005,$A84,'Receipt Vouchers'!$A$5:$A$2005,"&lt;"&amp;ReportFrom)+SUMIFS('Receipt Vouchers'!$M$5:$M$2005,'Receipt Vouchers'!$R$5:$R$2005,$A84,'Receipt Vouchers'!$A$5:$A$2005,"&lt;"&amp;ReportFrom)))</f>
        <v/>
      </c>
      <c r="V84" s="25">
        <f>IF($A84="",0,SUMIFS('Receipt Vouchers'!$F$5:$F$2005,'Receipt Vouchers'!$O$5:$O$2005,$A84,'Receipt Vouchers'!$A$5:$A$2005,"&gt;="&amp;ReportFrom,'Receipt Vouchers'!$A$5:$A$2005,"&lt;="&amp;ReportTo)+SUMIFS('Receipt Vouchers'!$J$5:$J$2005,'Receipt Vouchers'!$Q$5:$Q$2005,$A84,'Receipt Vouchers'!$A$5:$A$2005,"&gt;="&amp;ReportFrom,'Receipt Vouchers'!$A$5:$A$2005,"&lt;="&amp;ReportTo))</f>
        <v/>
      </c>
      <c r="W84" s="25">
        <f>IF($A84="",0,SUMIFS('Receipt Vouchers'!$N$5:$N$2005,'Receipt Vouchers'!$P$5:$P$2005,$A84,'Receipt Vouchers'!$A$5:$A$2005,"&gt;="&amp;ReportFrom,'Receipt Vouchers'!$A$5:$A$2005,"&lt;="&amp;ReportTo)+SUMIFS('Receipt Vouchers'!$M$5:$M$2005,'Receipt Vouchers'!$R$5:$R$2005,$A84,'Receipt Vouchers'!$A$5:$A$2005,"&gt;="&amp;ReportFrom,'Receipt Vouchers'!$A$5:$A$2005,"&lt;="&amp;ReportTo))</f>
        <v/>
      </c>
      <c r="X84" s="25">
        <f>IF($A84="",0,(SUMIFS('Sales Invoices'!$O$5:$O$2005,'Sales Invoices'!$P$5:$P$2005,$A84,'Sales Invoices'!$B$5:$B$2005,"&lt;"&amp;ReportFrom)+SUMIFS('Sales Invoices'!$N$5:$N$2005,'Sales Invoices'!$R$5:$R$2005,$A84,'Sales Invoices'!$B$5:$B$2005,"&lt;"&amp;ReportFrom))-(SUMIFS('Sales Invoices'!$L$5:$L$2005,'Sales Invoices'!$Q$5:$Q$2005,$A84,'Sales Invoices'!$B$5:$B$2005,"&lt;"&amp;ReportFrom)+SUMIFS('Sales Invoices'!$M$5:$M$2005,'Sales Invoices'!$S$5:$S$2005,$A84,'Sales Invoices'!$B$5:$B$2005,"&lt;"&amp;ReportFrom)))</f>
        <v/>
      </c>
      <c r="Y84" s="25">
        <f>IF($A84="",0,SUMIFS('Sales Invoices'!$O$5:$O$2005,'Sales Invoices'!$P$5:$P$2005,$A84,'Sales Invoices'!$B$5:$B$2005,"&gt;="&amp;ReportFrom,'Sales Invoices'!$B$5:$B$2005,"&lt;="&amp;ReportTo)+SUMIFS('Sales Invoices'!$N$5:$N$2005,'Sales Invoices'!$R$5:$R$2005,$A84,'Sales Invoices'!$B$5:$B$2005,"&gt;="&amp;ReportFrom,'Sales Invoices'!$B$5:$B$2005,"&lt;="&amp;ReportTo))</f>
        <v/>
      </c>
      <c r="Z84" s="25">
        <f>IF($A84="",0,SUMIFS('Sales Invoices'!$L$5:$L$2005,'Sales Invoices'!$Q$5:$Q$2005,$A84,'Sales Invoices'!$B$5:$B$2005,"&gt;="&amp;ReportFrom,'Sales Invoices'!$B$5:$B$2005,"&lt;="&amp;ReportTo)+SUMIFS('Sales Invoices'!$M$5:$M$2005,'Sales Invoices'!$S$5:$S$2005,$A84,'Sales Invoices'!$B$5:$B$2005,"&gt;="&amp;ReportFrom,'Sales Invoices'!$B$5:$B$2005,"&lt;="&amp;ReportTo))</f>
        <v/>
      </c>
      <c r="AA84" s="25">
        <f>IF($A84="",0,(SUMIFS('Payment Vouchers'!$D$5:$D$2005,'Payment Vouchers'!$J$5:$J$2005,$A84,'Payment Vouchers'!$A$5:$A$2005,"&lt;"&amp;ReportFrom))-(SUMIFS('Payment Vouchers'!$D$5:$D$2005,'Payment Vouchers'!$K$5:$K$2005,$A84,'Payment Vouchers'!$A$5:$A$2005,"&lt;"&amp;ReportFrom)))</f>
        <v/>
      </c>
      <c r="AB84" s="25">
        <f>IF($A84="",0,SUMIFS('Payment Vouchers'!$D$5:$D$2005,'Payment Vouchers'!$J$5:$J$2005,$A84,'Payment Vouchers'!$A$5:$A$2005,"&gt;="&amp;ReportFrom,'Payment Vouchers'!$A$5:$A$2005,"&lt;="&amp;ReportTo))</f>
        <v/>
      </c>
      <c r="AC84" s="25">
        <f>IF($A84="",0,SUMIFS('Payment Vouchers'!$D$5:$D$2005,'Payment Vouchers'!$K$5:$K$2005,$A84,'Payment Vouchers'!$A$5:$A$2005,"&gt;="&amp;ReportFrom,'Payment Vouchers'!$A$5:$A$2005,"&lt;="&amp;ReportTo))</f>
        <v/>
      </c>
      <c r="AD84" s="25">
        <f>IF($A84="",0,(SUMIFS('Partner Transactions'!$D$5:$D$2005,'Partner Transactions'!$L$5:$L$2005,$A84,'Partner Transactions'!$A$5:$A$2005,"&lt;"&amp;ReportFrom))-(SUMIFS('Partner Transactions'!$D$5:$D$2005,'Partner Transactions'!$M$5:$M$2005,$A84,'Partner Transactions'!$A$5:$A$2005,"&lt;"&amp;ReportFrom)))</f>
        <v/>
      </c>
      <c r="AE84" s="25">
        <f>IF($A84="",0,SUMIFS('Partner Transactions'!$D$5:$D$2005,'Partner Transactions'!$L$5:$L$2005,$A84,'Partner Transactions'!$A$5:$A$2005,"&gt;="&amp;ReportFrom,'Partner Transactions'!$A$5:$A$2005,"&lt;="&amp;ReportTo))</f>
        <v/>
      </c>
      <c r="AF84" s="25">
        <f>IF($A84="",0,SUMIFS('Partner Transactions'!$D$5:$D$2005,'Partner Transactions'!$M$5:$M$2005,$A84,'Partner Transactions'!$A$5:$A$2005,"&gt;="&amp;ReportFrom,'Partner Transactions'!$A$5:$A$2005,"&lt;="&amp;ReportTo))</f>
        <v/>
      </c>
      <c r="AG84" s="25">
        <f>IF($A84="",0,(SUMIFS('Stock Moves'!$S$5:$S$2005,'Stock Moves'!$AD$5:$AD$2005,$A84,'Stock Moves'!$A$5:$A$2005,"&lt;"&amp;ReportFrom)+SUMIFS('Stock Moves'!$T$5:$T$2005,'Stock Moves'!$V$5:$V$2005,$A84,'Stock Moves'!$A$5:$A$2005,"&lt;"&amp;ReportFrom))-(SUMIFS('Stock Moves'!$AF$5:$AF$2005,'Stock Moves'!$AE$5:$AE$2005,$A84,'Stock Moves'!$A$5:$A$2005,"&lt;"&amp;ReportFrom)+SUMIFS('Stock Moves'!$AC$5:$AC$2005,'Stock Moves'!$X$5:$X$2005,$A84,'Stock Moves'!$A$5:$A$2005,"&lt;"&amp;ReportFrom)+SUMIFS('Stock Moves'!$U$5:$U$2005,'Stock Moves'!$W$5:$W$2005,$A84,'Stock Moves'!$A$5:$A$2005,"&lt;"&amp;ReportFrom)))</f>
        <v/>
      </c>
      <c r="AH84" s="25">
        <f>IF($A84="",0,SUMIFS('Stock Moves'!$S$5:$S$2005,'Stock Moves'!$AD$5:$AD$2005,$A84,'Stock Moves'!$A$5:$A$2005,"&gt;="&amp;ReportFrom,'Stock Moves'!$A$5:$A$2005,"&lt;="&amp;ReportTo)+SUMIFS('Stock Moves'!$T$5:$T$2005,'Stock Moves'!$V$5:$V$2005,$A84,'Stock Moves'!$A$5:$A$2005,"&gt;="&amp;ReportFrom,'Stock Moves'!$A$5:$A$2005,"&lt;="&amp;ReportTo))</f>
        <v/>
      </c>
      <c r="AI84" s="25">
        <f>IF($A84="",0,SUMIFS('Stock Moves'!$AF$5:$AF$2005,'Stock Moves'!$AE$5:$AE$2005,$A84,'Stock Moves'!$A$5:$A$2005,"&gt;="&amp;ReportFrom,'Stock Moves'!$A$5:$A$2005,"&lt;="&amp;ReportTo)+SUMIFS('Stock Moves'!$AC$5:$AC$2005,'Stock Moves'!$X$5:$X$2005,$A84,'Stock Moves'!$A$5:$A$2005,"&gt;="&amp;ReportFrom,'Stock Moves'!$A$5:$A$2005,"&lt;="&amp;ReportTo)+SUMIFS('Stock Moves'!$U$5:$U$2005,'Stock Moves'!$W$5:$W$2005,$A84,'Stock Moves'!$A$5:$A$2005,"&gt;="&amp;ReportFrom,'Stock Moves'!$A$5:$A$2005,"&lt;="&amp;ReportTo))</f>
        <v/>
      </c>
      <c r="AJ84" s="25">
        <f>IF($A84="",0,(SUMIFS('Journal Vouchers'!$I$5:$I$2005,'Journal Vouchers'!$H$5:$H$2005,$A84,'Journal Vouchers'!$B$5:$B$2005,"&lt;"&amp;ReportFrom))-(SUMIFS('Journal Vouchers'!$J$5:$J$2005,'Journal Vouchers'!$H$5:$H$2005,$A84,'Journal Vouchers'!$B$5:$B$2005,"&lt;"&amp;ReportFrom)))</f>
        <v/>
      </c>
      <c r="AK84" s="25">
        <f>IF($A84="",0,SUMIFS('Journal Vouchers'!$I$5:$I$2005,'Journal Vouchers'!$H$5:$H$2005,$A84,'Journal Vouchers'!$B$5:$B$2005,"&gt;="&amp;ReportFrom,'Journal Vouchers'!$B$5:$B$2005,"&lt;="&amp;ReportTo))</f>
        <v/>
      </c>
      <c r="AL84" s="25">
        <f>IF($A84="",0,SUMIFS('Journal Vouchers'!$J$5:$J$2005,'Journal Vouchers'!$H$5:$H$2005,$A84,'Journal Vouchers'!$B$5:$B$2005,"&gt;="&amp;ReportFrom,'Journal Vouchers'!$B$5:$B$2005,"&lt;="&amp;ReportTo))</f>
        <v/>
      </c>
    </row>
    <row r="85">
      <c r="A85" s="25">
        <f>IF('Chart of Accounts'!A85="","",'Chart of Accounts'!A85&amp;"")</f>
        <v/>
      </c>
      <c r="B85" s="25">
        <f>IF(A85="","",'Chart of Accounts'!B85)</f>
        <v/>
      </c>
      <c r="C85" s="25">
        <f>IF(A85="","",'Chart of Accounts'!C85)</f>
        <v/>
      </c>
      <c r="D85" s="25">
        <f>IF(A85="","",'Chart of Accounts'!D85)</f>
        <v/>
      </c>
      <c r="E85" s="26">
        <f>L85+O85+R85+U85+X85+AA85+AD85+AG85+AJ85</f>
        <v/>
      </c>
      <c r="F85" s="26">
        <f>M85+P85+S85+V85+Y85+AB85+AE85+AH85+AK85</f>
        <v/>
      </c>
      <c r="G85" s="26">
        <f>N85+Q85+T85+W85+Z85+AC85+AF85+AI85+AL85</f>
        <v/>
      </c>
      <c r="H85" s="26">
        <f>E85+F85-G85</f>
        <v/>
      </c>
      <c r="I85" s="26">
        <f>MAX(H85,0)</f>
        <v/>
      </c>
      <c r="J85" s="26">
        <f>MAX(-H85,0)</f>
        <v/>
      </c>
      <c r="L85" s="25">
        <f>IF($A85="",0,(SUMIFS('Direct Costs'!$R$5:$R$2005,'Direct Costs'!$V$5:$V$2005,$A85,'Direct Costs'!$A$5:$A$2005,"&lt;"&amp;ReportFrom)+SUMIFS('Direct Costs'!$S$5:$S$2005,'Direct Costs'!$Y$5:$Y$2005,$A85,'Direct Costs'!$A$5:$A$2005,"&lt;"&amp;ReportFrom))-(SUMIFS('Direct Costs'!$L$5:$L$2005,'Direct Costs'!$W$5:$W$2005,$A85,'Direct Costs'!$A$5:$A$2005,"&lt;"&amp;ReportFrom)+SUMIFS('Direct Costs'!$U$5:$U$2005,'Direct Costs'!$X$5:$X$2005,$A85,'Direct Costs'!$A$5:$A$2005,"&lt;"&amp;ReportFrom)+SUMIFS('Direct Costs'!$T$5:$T$2005,'Direct Costs'!$Z$5:$Z$2005,$A85,'Direct Costs'!$A$5:$A$2005,"&lt;"&amp;ReportFrom)))</f>
        <v/>
      </c>
      <c r="M85" s="25">
        <f>IF($A85="",0,SUMIFS('Direct Costs'!$R$5:$R$2005,'Direct Costs'!$V$5:$V$2005,$A85,'Direct Costs'!$A$5:$A$2005,"&gt;="&amp;ReportFrom,'Direct Costs'!$A$5:$A$2005,"&lt;="&amp;ReportTo)+SUMIFS('Direct Costs'!$S$5:$S$2005,'Direct Costs'!$Y$5:$Y$2005,$A85,'Direct Costs'!$A$5:$A$2005,"&gt;="&amp;ReportFrom,'Direct Costs'!$A$5:$A$2005,"&lt;="&amp;ReportTo))</f>
        <v/>
      </c>
      <c r="N85" s="25">
        <f>IF($A85="",0,SUMIFS('Direct Costs'!$L$5:$L$2005,'Direct Costs'!$W$5:$W$2005,$A85,'Direct Costs'!$A$5:$A$2005,"&gt;="&amp;ReportFrom,'Direct Costs'!$A$5:$A$2005,"&lt;="&amp;ReportTo)+SUMIFS('Direct Costs'!$U$5:$U$2005,'Direct Costs'!$X$5:$X$2005,$A85,'Direct Costs'!$A$5:$A$2005,"&gt;="&amp;ReportFrom,'Direct Costs'!$A$5:$A$2005,"&lt;="&amp;ReportTo)+SUMIFS('Direct Costs'!$T$5:$T$2005,'Direct Costs'!$Z$5:$Z$2005,$A85,'Direct Costs'!$A$5:$A$2005,"&gt;="&amp;ReportFrom,'Direct Costs'!$A$5:$A$2005,"&lt;="&amp;ReportTo))</f>
        <v/>
      </c>
      <c r="O85" s="25">
        <f>IF($A85="",0,(SUMIFS('Operating Expenses'!$F$5:$F$2005,'Operating Expenses'!$Q$5:$Q$2005,$A85,'Operating Expenses'!$A$5:$A$2005,"&lt;"&amp;ReportFrom)+SUMIFS('Operating Expenses'!$M$5:$M$2005,'Operating Expenses'!$T$5:$T$2005,$A85,'Operating Expenses'!$A$5:$A$2005,"&lt;"&amp;ReportFrom))-(SUMIFS('Operating Expenses'!$O$5:$O$2005,'Operating Expenses'!$R$5:$R$2005,$A85,'Operating Expenses'!$A$5:$A$2005,"&lt;"&amp;ReportFrom)+SUMIFS('Operating Expenses'!$P$5:$P$2005,'Operating Expenses'!$S$5:$S$2005,$A85,'Operating Expenses'!$A$5:$A$2005,"&lt;"&amp;ReportFrom)+SUMIFS('Operating Expenses'!$N$5:$N$2005,'Operating Expenses'!$U$5:$U$2005,$A85,'Operating Expenses'!$A$5:$A$2005,"&lt;"&amp;ReportFrom)))</f>
        <v/>
      </c>
      <c r="P85" s="25">
        <f>IF($A85="",0,SUMIFS('Operating Expenses'!$F$5:$F$2005,'Operating Expenses'!$Q$5:$Q$2005,$A85,'Operating Expenses'!$A$5:$A$2005,"&gt;="&amp;ReportFrom,'Operating Expenses'!$A$5:$A$2005,"&lt;="&amp;ReportTo)+SUMIFS('Operating Expenses'!$M$5:$M$2005,'Operating Expenses'!$T$5:$T$2005,$A85,'Operating Expenses'!$A$5:$A$2005,"&gt;="&amp;ReportFrom,'Operating Expenses'!$A$5:$A$2005,"&lt;="&amp;ReportTo))</f>
        <v/>
      </c>
      <c r="Q85" s="25">
        <f>IF($A85="",0,SUMIFS('Operating Expenses'!$O$5:$O$2005,'Operating Expenses'!$R$5:$R$2005,$A85,'Operating Expenses'!$A$5:$A$2005,"&gt;="&amp;ReportFrom,'Operating Expenses'!$A$5:$A$2005,"&lt;="&amp;ReportTo)+SUMIFS('Operating Expenses'!$P$5:$P$2005,'Operating Expenses'!$S$5:$S$2005,$A85,'Operating Expenses'!$A$5:$A$2005,"&gt;="&amp;ReportFrom,'Operating Expenses'!$A$5:$A$2005,"&lt;="&amp;ReportTo)+SUMIFS('Operating Expenses'!$N$5:$N$2005,'Operating Expenses'!$U$5:$U$2005,$A85,'Operating Expenses'!$A$5:$A$2005,"&gt;="&amp;ReportFrom,'Operating Expenses'!$A$5:$A$2005,"&lt;="&amp;ReportTo))</f>
        <v/>
      </c>
      <c r="R85" s="25">
        <f>IF($A85="",0,(SUMIFS('Payroll'!$O$5:$O$2005,'Payroll'!$Q$5:$Q$2005,$A85,'Payroll'!$A$5:$A$2005,"&lt;"&amp;ReportFrom))-(SUMIFS('Payroll'!$K$5:$K$2005,'Payroll'!$R$5:$R$2005,$A85,'Payroll'!$A$5:$A$2005,"&lt;"&amp;ReportFrom)+SUMIFS('Payroll'!$P$5:$P$2005,'Payroll'!$S$5:$S$2005,$A85,'Payroll'!$A$5:$A$2005,"&lt;"&amp;ReportFrom)))</f>
        <v/>
      </c>
      <c r="S85" s="25">
        <f>IF($A85="",0,SUMIFS('Payroll'!$O$5:$O$2005,'Payroll'!$Q$5:$Q$2005,$A85,'Payroll'!$A$5:$A$2005,"&gt;="&amp;ReportFrom,'Payroll'!$A$5:$A$2005,"&lt;="&amp;ReportTo))</f>
        <v/>
      </c>
      <c r="T85" s="25">
        <f>IF($A85="",0,SUMIFS('Payroll'!$K$5:$K$2005,'Payroll'!$R$5:$R$2005,$A85,'Payroll'!$A$5:$A$2005,"&gt;="&amp;ReportFrom,'Payroll'!$A$5:$A$2005,"&lt;="&amp;ReportTo)+SUMIFS('Payroll'!$P$5:$P$2005,'Payroll'!$S$5:$S$2005,$A85,'Payroll'!$A$5:$A$2005,"&gt;="&amp;ReportFrom,'Payroll'!$A$5:$A$2005,"&lt;="&amp;ReportTo))</f>
        <v/>
      </c>
      <c r="U85" s="25">
        <f>IF($A85="",0,(SUMIFS('Receipt Vouchers'!$F$5:$F$2005,'Receipt Vouchers'!$O$5:$O$2005,$A85,'Receipt Vouchers'!$A$5:$A$2005,"&lt;"&amp;ReportFrom)+SUMIFS('Receipt Vouchers'!$J$5:$J$2005,'Receipt Vouchers'!$Q$5:$Q$2005,$A85,'Receipt Vouchers'!$A$5:$A$2005,"&lt;"&amp;ReportFrom))-(SUMIFS('Receipt Vouchers'!$N$5:$N$2005,'Receipt Vouchers'!$P$5:$P$2005,$A85,'Receipt Vouchers'!$A$5:$A$2005,"&lt;"&amp;ReportFrom)+SUMIFS('Receipt Vouchers'!$M$5:$M$2005,'Receipt Vouchers'!$R$5:$R$2005,$A85,'Receipt Vouchers'!$A$5:$A$2005,"&lt;"&amp;ReportFrom)))</f>
        <v/>
      </c>
      <c r="V85" s="25">
        <f>IF($A85="",0,SUMIFS('Receipt Vouchers'!$F$5:$F$2005,'Receipt Vouchers'!$O$5:$O$2005,$A85,'Receipt Vouchers'!$A$5:$A$2005,"&gt;="&amp;ReportFrom,'Receipt Vouchers'!$A$5:$A$2005,"&lt;="&amp;ReportTo)+SUMIFS('Receipt Vouchers'!$J$5:$J$2005,'Receipt Vouchers'!$Q$5:$Q$2005,$A85,'Receipt Vouchers'!$A$5:$A$2005,"&gt;="&amp;ReportFrom,'Receipt Vouchers'!$A$5:$A$2005,"&lt;="&amp;ReportTo))</f>
        <v/>
      </c>
      <c r="W85" s="25">
        <f>IF($A85="",0,SUMIFS('Receipt Vouchers'!$N$5:$N$2005,'Receipt Vouchers'!$P$5:$P$2005,$A85,'Receipt Vouchers'!$A$5:$A$2005,"&gt;="&amp;ReportFrom,'Receipt Vouchers'!$A$5:$A$2005,"&lt;="&amp;ReportTo)+SUMIFS('Receipt Vouchers'!$M$5:$M$2005,'Receipt Vouchers'!$R$5:$R$2005,$A85,'Receipt Vouchers'!$A$5:$A$2005,"&gt;="&amp;ReportFrom,'Receipt Vouchers'!$A$5:$A$2005,"&lt;="&amp;ReportTo))</f>
        <v/>
      </c>
      <c r="X85" s="25">
        <f>IF($A85="",0,(SUMIFS('Sales Invoices'!$O$5:$O$2005,'Sales Invoices'!$P$5:$P$2005,$A85,'Sales Invoices'!$B$5:$B$2005,"&lt;"&amp;ReportFrom)+SUMIFS('Sales Invoices'!$N$5:$N$2005,'Sales Invoices'!$R$5:$R$2005,$A85,'Sales Invoices'!$B$5:$B$2005,"&lt;"&amp;ReportFrom))-(SUMIFS('Sales Invoices'!$L$5:$L$2005,'Sales Invoices'!$Q$5:$Q$2005,$A85,'Sales Invoices'!$B$5:$B$2005,"&lt;"&amp;ReportFrom)+SUMIFS('Sales Invoices'!$M$5:$M$2005,'Sales Invoices'!$S$5:$S$2005,$A85,'Sales Invoices'!$B$5:$B$2005,"&lt;"&amp;ReportFrom)))</f>
        <v/>
      </c>
      <c r="Y85" s="25">
        <f>IF($A85="",0,SUMIFS('Sales Invoices'!$O$5:$O$2005,'Sales Invoices'!$P$5:$P$2005,$A85,'Sales Invoices'!$B$5:$B$2005,"&gt;="&amp;ReportFrom,'Sales Invoices'!$B$5:$B$2005,"&lt;="&amp;ReportTo)+SUMIFS('Sales Invoices'!$N$5:$N$2005,'Sales Invoices'!$R$5:$R$2005,$A85,'Sales Invoices'!$B$5:$B$2005,"&gt;="&amp;ReportFrom,'Sales Invoices'!$B$5:$B$2005,"&lt;="&amp;ReportTo))</f>
        <v/>
      </c>
      <c r="Z85" s="25">
        <f>IF($A85="",0,SUMIFS('Sales Invoices'!$L$5:$L$2005,'Sales Invoices'!$Q$5:$Q$2005,$A85,'Sales Invoices'!$B$5:$B$2005,"&gt;="&amp;ReportFrom,'Sales Invoices'!$B$5:$B$2005,"&lt;="&amp;ReportTo)+SUMIFS('Sales Invoices'!$M$5:$M$2005,'Sales Invoices'!$S$5:$S$2005,$A85,'Sales Invoices'!$B$5:$B$2005,"&gt;="&amp;ReportFrom,'Sales Invoices'!$B$5:$B$2005,"&lt;="&amp;ReportTo))</f>
        <v/>
      </c>
      <c r="AA85" s="25">
        <f>IF($A85="",0,(SUMIFS('Payment Vouchers'!$D$5:$D$2005,'Payment Vouchers'!$J$5:$J$2005,$A85,'Payment Vouchers'!$A$5:$A$2005,"&lt;"&amp;ReportFrom))-(SUMIFS('Payment Vouchers'!$D$5:$D$2005,'Payment Vouchers'!$K$5:$K$2005,$A85,'Payment Vouchers'!$A$5:$A$2005,"&lt;"&amp;ReportFrom)))</f>
        <v/>
      </c>
      <c r="AB85" s="25">
        <f>IF($A85="",0,SUMIFS('Payment Vouchers'!$D$5:$D$2005,'Payment Vouchers'!$J$5:$J$2005,$A85,'Payment Vouchers'!$A$5:$A$2005,"&gt;="&amp;ReportFrom,'Payment Vouchers'!$A$5:$A$2005,"&lt;="&amp;ReportTo))</f>
        <v/>
      </c>
      <c r="AC85" s="25">
        <f>IF($A85="",0,SUMIFS('Payment Vouchers'!$D$5:$D$2005,'Payment Vouchers'!$K$5:$K$2005,$A85,'Payment Vouchers'!$A$5:$A$2005,"&gt;="&amp;ReportFrom,'Payment Vouchers'!$A$5:$A$2005,"&lt;="&amp;ReportTo))</f>
        <v/>
      </c>
      <c r="AD85" s="25">
        <f>IF($A85="",0,(SUMIFS('Partner Transactions'!$D$5:$D$2005,'Partner Transactions'!$L$5:$L$2005,$A85,'Partner Transactions'!$A$5:$A$2005,"&lt;"&amp;ReportFrom))-(SUMIFS('Partner Transactions'!$D$5:$D$2005,'Partner Transactions'!$M$5:$M$2005,$A85,'Partner Transactions'!$A$5:$A$2005,"&lt;"&amp;ReportFrom)))</f>
        <v/>
      </c>
      <c r="AE85" s="25">
        <f>IF($A85="",0,SUMIFS('Partner Transactions'!$D$5:$D$2005,'Partner Transactions'!$L$5:$L$2005,$A85,'Partner Transactions'!$A$5:$A$2005,"&gt;="&amp;ReportFrom,'Partner Transactions'!$A$5:$A$2005,"&lt;="&amp;ReportTo))</f>
        <v/>
      </c>
      <c r="AF85" s="25">
        <f>IF($A85="",0,SUMIFS('Partner Transactions'!$D$5:$D$2005,'Partner Transactions'!$M$5:$M$2005,$A85,'Partner Transactions'!$A$5:$A$2005,"&gt;="&amp;ReportFrom,'Partner Transactions'!$A$5:$A$2005,"&lt;="&amp;ReportTo))</f>
        <v/>
      </c>
      <c r="AG85" s="25">
        <f>IF($A85="",0,(SUMIFS('Stock Moves'!$S$5:$S$2005,'Stock Moves'!$AD$5:$AD$2005,$A85,'Stock Moves'!$A$5:$A$2005,"&lt;"&amp;ReportFrom)+SUMIFS('Stock Moves'!$T$5:$T$2005,'Stock Moves'!$V$5:$V$2005,$A85,'Stock Moves'!$A$5:$A$2005,"&lt;"&amp;ReportFrom))-(SUMIFS('Stock Moves'!$AF$5:$AF$2005,'Stock Moves'!$AE$5:$AE$2005,$A85,'Stock Moves'!$A$5:$A$2005,"&lt;"&amp;ReportFrom)+SUMIFS('Stock Moves'!$AC$5:$AC$2005,'Stock Moves'!$X$5:$X$2005,$A85,'Stock Moves'!$A$5:$A$2005,"&lt;"&amp;ReportFrom)+SUMIFS('Stock Moves'!$U$5:$U$2005,'Stock Moves'!$W$5:$W$2005,$A85,'Stock Moves'!$A$5:$A$2005,"&lt;"&amp;ReportFrom)))</f>
        <v/>
      </c>
      <c r="AH85" s="25">
        <f>IF($A85="",0,SUMIFS('Stock Moves'!$S$5:$S$2005,'Stock Moves'!$AD$5:$AD$2005,$A85,'Stock Moves'!$A$5:$A$2005,"&gt;="&amp;ReportFrom,'Stock Moves'!$A$5:$A$2005,"&lt;="&amp;ReportTo)+SUMIFS('Stock Moves'!$T$5:$T$2005,'Stock Moves'!$V$5:$V$2005,$A85,'Stock Moves'!$A$5:$A$2005,"&gt;="&amp;ReportFrom,'Stock Moves'!$A$5:$A$2005,"&lt;="&amp;ReportTo))</f>
        <v/>
      </c>
      <c r="AI85" s="25">
        <f>IF($A85="",0,SUMIFS('Stock Moves'!$AF$5:$AF$2005,'Stock Moves'!$AE$5:$AE$2005,$A85,'Stock Moves'!$A$5:$A$2005,"&gt;="&amp;ReportFrom,'Stock Moves'!$A$5:$A$2005,"&lt;="&amp;ReportTo)+SUMIFS('Stock Moves'!$AC$5:$AC$2005,'Stock Moves'!$X$5:$X$2005,$A85,'Stock Moves'!$A$5:$A$2005,"&gt;="&amp;ReportFrom,'Stock Moves'!$A$5:$A$2005,"&lt;="&amp;ReportTo)+SUMIFS('Stock Moves'!$U$5:$U$2005,'Stock Moves'!$W$5:$W$2005,$A85,'Stock Moves'!$A$5:$A$2005,"&gt;="&amp;ReportFrom,'Stock Moves'!$A$5:$A$2005,"&lt;="&amp;ReportTo))</f>
        <v/>
      </c>
      <c r="AJ85" s="25">
        <f>IF($A85="",0,(SUMIFS('Journal Vouchers'!$I$5:$I$2005,'Journal Vouchers'!$H$5:$H$2005,$A85,'Journal Vouchers'!$B$5:$B$2005,"&lt;"&amp;ReportFrom))-(SUMIFS('Journal Vouchers'!$J$5:$J$2005,'Journal Vouchers'!$H$5:$H$2005,$A85,'Journal Vouchers'!$B$5:$B$2005,"&lt;"&amp;ReportFrom)))</f>
        <v/>
      </c>
      <c r="AK85" s="25">
        <f>IF($A85="",0,SUMIFS('Journal Vouchers'!$I$5:$I$2005,'Journal Vouchers'!$H$5:$H$2005,$A85,'Journal Vouchers'!$B$5:$B$2005,"&gt;="&amp;ReportFrom,'Journal Vouchers'!$B$5:$B$2005,"&lt;="&amp;ReportTo))</f>
        <v/>
      </c>
      <c r="AL85" s="25">
        <f>IF($A85="",0,SUMIFS('Journal Vouchers'!$J$5:$J$2005,'Journal Vouchers'!$H$5:$H$2005,$A85,'Journal Vouchers'!$B$5:$B$2005,"&gt;="&amp;ReportFrom,'Journal Vouchers'!$B$5:$B$2005,"&lt;="&amp;ReportTo))</f>
        <v/>
      </c>
    </row>
    <row r="86">
      <c r="A86" s="25">
        <f>IF('Chart of Accounts'!A86="","",'Chart of Accounts'!A86&amp;"")</f>
        <v/>
      </c>
      <c r="B86" s="25">
        <f>IF(A86="","",'Chart of Accounts'!B86)</f>
        <v/>
      </c>
      <c r="C86" s="25">
        <f>IF(A86="","",'Chart of Accounts'!C86)</f>
        <v/>
      </c>
      <c r="D86" s="25">
        <f>IF(A86="","",'Chart of Accounts'!D86)</f>
        <v/>
      </c>
      <c r="E86" s="26">
        <f>L86+O86+R86+U86+X86+AA86+AD86+AG86+AJ86</f>
        <v/>
      </c>
      <c r="F86" s="26">
        <f>M86+P86+S86+V86+Y86+AB86+AE86+AH86+AK86</f>
        <v/>
      </c>
      <c r="G86" s="26">
        <f>N86+Q86+T86+W86+Z86+AC86+AF86+AI86+AL86</f>
        <v/>
      </c>
      <c r="H86" s="26">
        <f>E86+F86-G86</f>
        <v/>
      </c>
      <c r="I86" s="26">
        <f>MAX(H86,0)</f>
        <v/>
      </c>
      <c r="J86" s="26">
        <f>MAX(-H86,0)</f>
        <v/>
      </c>
      <c r="L86" s="25">
        <f>IF($A86="",0,(SUMIFS('Direct Costs'!$R$5:$R$2005,'Direct Costs'!$V$5:$V$2005,$A86,'Direct Costs'!$A$5:$A$2005,"&lt;"&amp;ReportFrom)+SUMIFS('Direct Costs'!$S$5:$S$2005,'Direct Costs'!$Y$5:$Y$2005,$A86,'Direct Costs'!$A$5:$A$2005,"&lt;"&amp;ReportFrom))-(SUMIFS('Direct Costs'!$L$5:$L$2005,'Direct Costs'!$W$5:$W$2005,$A86,'Direct Costs'!$A$5:$A$2005,"&lt;"&amp;ReportFrom)+SUMIFS('Direct Costs'!$U$5:$U$2005,'Direct Costs'!$X$5:$X$2005,$A86,'Direct Costs'!$A$5:$A$2005,"&lt;"&amp;ReportFrom)+SUMIFS('Direct Costs'!$T$5:$T$2005,'Direct Costs'!$Z$5:$Z$2005,$A86,'Direct Costs'!$A$5:$A$2005,"&lt;"&amp;ReportFrom)))</f>
        <v/>
      </c>
      <c r="M86" s="25">
        <f>IF($A86="",0,SUMIFS('Direct Costs'!$R$5:$R$2005,'Direct Costs'!$V$5:$V$2005,$A86,'Direct Costs'!$A$5:$A$2005,"&gt;="&amp;ReportFrom,'Direct Costs'!$A$5:$A$2005,"&lt;="&amp;ReportTo)+SUMIFS('Direct Costs'!$S$5:$S$2005,'Direct Costs'!$Y$5:$Y$2005,$A86,'Direct Costs'!$A$5:$A$2005,"&gt;="&amp;ReportFrom,'Direct Costs'!$A$5:$A$2005,"&lt;="&amp;ReportTo))</f>
        <v/>
      </c>
      <c r="N86" s="25">
        <f>IF($A86="",0,SUMIFS('Direct Costs'!$L$5:$L$2005,'Direct Costs'!$W$5:$W$2005,$A86,'Direct Costs'!$A$5:$A$2005,"&gt;="&amp;ReportFrom,'Direct Costs'!$A$5:$A$2005,"&lt;="&amp;ReportTo)+SUMIFS('Direct Costs'!$U$5:$U$2005,'Direct Costs'!$X$5:$X$2005,$A86,'Direct Costs'!$A$5:$A$2005,"&gt;="&amp;ReportFrom,'Direct Costs'!$A$5:$A$2005,"&lt;="&amp;ReportTo)+SUMIFS('Direct Costs'!$T$5:$T$2005,'Direct Costs'!$Z$5:$Z$2005,$A86,'Direct Costs'!$A$5:$A$2005,"&gt;="&amp;ReportFrom,'Direct Costs'!$A$5:$A$2005,"&lt;="&amp;ReportTo))</f>
        <v/>
      </c>
      <c r="O86" s="25">
        <f>IF($A86="",0,(SUMIFS('Operating Expenses'!$F$5:$F$2005,'Operating Expenses'!$Q$5:$Q$2005,$A86,'Operating Expenses'!$A$5:$A$2005,"&lt;"&amp;ReportFrom)+SUMIFS('Operating Expenses'!$M$5:$M$2005,'Operating Expenses'!$T$5:$T$2005,$A86,'Operating Expenses'!$A$5:$A$2005,"&lt;"&amp;ReportFrom))-(SUMIFS('Operating Expenses'!$O$5:$O$2005,'Operating Expenses'!$R$5:$R$2005,$A86,'Operating Expenses'!$A$5:$A$2005,"&lt;"&amp;ReportFrom)+SUMIFS('Operating Expenses'!$P$5:$P$2005,'Operating Expenses'!$S$5:$S$2005,$A86,'Operating Expenses'!$A$5:$A$2005,"&lt;"&amp;ReportFrom)+SUMIFS('Operating Expenses'!$N$5:$N$2005,'Operating Expenses'!$U$5:$U$2005,$A86,'Operating Expenses'!$A$5:$A$2005,"&lt;"&amp;ReportFrom)))</f>
        <v/>
      </c>
      <c r="P86" s="25">
        <f>IF($A86="",0,SUMIFS('Operating Expenses'!$F$5:$F$2005,'Operating Expenses'!$Q$5:$Q$2005,$A86,'Operating Expenses'!$A$5:$A$2005,"&gt;="&amp;ReportFrom,'Operating Expenses'!$A$5:$A$2005,"&lt;="&amp;ReportTo)+SUMIFS('Operating Expenses'!$M$5:$M$2005,'Operating Expenses'!$T$5:$T$2005,$A86,'Operating Expenses'!$A$5:$A$2005,"&gt;="&amp;ReportFrom,'Operating Expenses'!$A$5:$A$2005,"&lt;="&amp;ReportTo))</f>
        <v/>
      </c>
      <c r="Q86" s="25">
        <f>IF($A86="",0,SUMIFS('Operating Expenses'!$O$5:$O$2005,'Operating Expenses'!$R$5:$R$2005,$A86,'Operating Expenses'!$A$5:$A$2005,"&gt;="&amp;ReportFrom,'Operating Expenses'!$A$5:$A$2005,"&lt;="&amp;ReportTo)+SUMIFS('Operating Expenses'!$P$5:$P$2005,'Operating Expenses'!$S$5:$S$2005,$A86,'Operating Expenses'!$A$5:$A$2005,"&gt;="&amp;ReportFrom,'Operating Expenses'!$A$5:$A$2005,"&lt;="&amp;ReportTo)+SUMIFS('Operating Expenses'!$N$5:$N$2005,'Operating Expenses'!$U$5:$U$2005,$A86,'Operating Expenses'!$A$5:$A$2005,"&gt;="&amp;ReportFrom,'Operating Expenses'!$A$5:$A$2005,"&lt;="&amp;ReportTo))</f>
        <v/>
      </c>
      <c r="R86" s="25">
        <f>IF($A86="",0,(SUMIFS('Payroll'!$O$5:$O$2005,'Payroll'!$Q$5:$Q$2005,$A86,'Payroll'!$A$5:$A$2005,"&lt;"&amp;ReportFrom))-(SUMIFS('Payroll'!$K$5:$K$2005,'Payroll'!$R$5:$R$2005,$A86,'Payroll'!$A$5:$A$2005,"&lt;"&amp;ReportFrom)+SUMIFS('Payroll'!$P$5:$P$2005,'Payroll'!$S$5:$S$2005,$A86,'Payroll'!$A$5:$A$2005,"&lt;"&amp;ReportFrom)))</f>
        <v/>
      </c>
      <c r="S86" s="25">
        <f>IF($A86="",0,SUMIFS('Payroll'!$O$5:$O$2005,'Payroll'!$Q$5:$Q$2005,$A86,'Payroll'!$A$5:$A$2005,"&gt;="&amp;ReportFrom,'Payroll'!$A$5:$A$2005,"&lt;="&amp;ReportTo))</f>
        <v/>
      </c>
      <c r="T86" s="25">
        <f>IF($A86="",0,SUMIFS('Payroll'!$K$5:$K$2005,'Payroll'!$R$5:$R$2005,$A86,'Payroll'!$A$5:$A$2005,"&gt;="&amp;ReportFrom,'Payroll'!$A$5:$A$2005,"&lt;="&amp;ReportTo)+SUMIFS('Payroll'!$P$5:$P$2005,'Payroll'!$S$5:$S$2005,$A86,'Payroll'!$A$5:$A$2005,"&gt;="&amp;ReportFrom,'Payroll'!$A$5:$A$2005,"&lt;="&amp;ReportTo))</f>
        <v/>
      </c>
      <c r="U86" s="25">
        <f>IF($A86="",0,(SUMIFS('Receipt Vouchers'!$F$5:$F$2005,'Receipt Vouchers'!$O$5:$O$2005,$A86,'Receipt Vouchers'!$A$5:$A$2005,"&lt;"&amp;ReportFrom)+SUMIFS('Receipt Vouchers'!$J$5:$J$2005,'Receipt Vouchers'!$Q$5:$Q$2005,$A86,'Receipt Vouchers'!$A$5:$A$2005,"&lt;"&amp;ReportFrom))-(SUMIFS('Receipt Vouchers'!$N$5:$N$2005,'Receipt Vouchers'!$P$5:$P$2005,$A86,'Receipt Vouchers'!$A$5:$A$2005,"&lt;"&amp;ReportFrom)+SUMIFS('Receipt Vouchers'!$M$5:$M$2005,'Receipt Vouchers'!$R$5:$R$2005,$A86,'Receipt Vouchers'!$A$5:$A$2005,"&lt;"&amp;ReportFrom)))</f>
        <v/>
      </c>
      <c r="V86" s="25">
        <f>IF($A86="",0,SUMIFS('Receipt Vouchers'!$F$5:$F$2005,'Receipt Vouchers'!$O$5:$O$2005,$A86,'Receipt Vouchers'!$A$5:$A$2005,"&gt;="&amp;ReportFrom,'Receipt Vouchers'!$A$5:$A$2005,"&lt;="&amp;ReportTo)+SUMIFS('Receipt Vouchers'!$J$5:$J$2005,'Receipt Vouchers'!$Q$5:$Q$2005,$A86,'Receipt Vouchers'!$A$5:$A$2005,"&gt;="&amp;ReportFrom,'Receipt Vouchers'!$A$5:$A$2005,"&lt;="&amp;ReportTo))</f>
        <v/>
      </c>
      <c r="W86" s="25">
        <f>IF($A86="",0,SUMIFS('Receipt Vouchers'!$N$5:$N$2005,'Receipt Vouchers'!$P$5:$P$2005,$A86,'Receipt Vouchers'!$A$5:$A$2005,"&gt;="&amp;ReportFrom,'Receipt Vouchers'!$A$5:$A$2005,"&lt;="&amp;ReportTo)+SUMIFS('Receipt Vouchers'!$M$5:$M$2005,'Receipt Vouchers'!$R$5:$R$2005,$A86,'Receipt Vouchers'!$A$5:$A$2005,"&gt;="&amp;ReportFrom,'Receipt Vouchers'!$A$5:$A$2005,"&lt;="&amp;ReportTo))</f>
        <v/>
      </c>
      <c r="X86" s="25">
        <f>IF($A86="",0,(SUMIFS('Sales Invoices'!$O$5:$O$2005,'Sales Invoices'!$P$5:$P$2005,$A86,'Sales Invoices'!$B$5:$B$2005,"&lt;"&amp;ReportFrom)+SUMIFS('Sales Invoices'!$N$5:$N$2005,'Sales Invoices'!$R$5:$R$2005,$A86,'Sales Invoices'!$B$5:$B$2005,"&lt;"&amp;ReportFrom))-(SUMIFS('Sales Invoices'!$L$5:$L$2005,'Sales Invoices'!$Q$5:$Q$2005,$A86,'Sales Invoices'!$B$5:$B$2005,"&lt;"&amp;ReportFrom)+SUMIFS('Sales Invoices'!$M$5:$M$2005,'Sales Invoices'!$S$5:$S$2005,$A86,'Sales Invoices'!$B$5:$B$2005,"&lt;"&amp;ReportFrom)))</f>
        <v/>
      </c>
      <c r="Y86" s="25">
        <f>IF($A86="",0,SUMIFS('Sales Invoices'!$O$5:$O$2005,'Sales Invoices'!$P$5:$P$2005,$A86,'Sales Invoices'!$B$5:$B$2005,"&gt;="&amp;ReportFrom,'Sales Invoices'!$B$5:$B$2005,"&lt;="&amp;ReportTo)+SUMIFS('Sales Invoices'!$N$5:$N$2005,'Sales Invoices'!$R$5:$R$2005,$A86,'Sales Invoices'!$B$5:$B$2005,"&gt;="&amp;ReportFrom,'Sales Invoices'!$B$5:$B$2005,"&lt;="&amp;ReportTo))</f>
        <v/>
      </c>
      <c r="Z86" s="25">
        <f>IF($A86="",0,SUMIFS('Sales Invoices'!$L$5:$L$2005,'Sales Invoices'!$Q$5:$Q$2005,$A86,'Sales Invoices'!$B$5:$B$2005,"&gt;="&amp;ReportFrom,'Sales Invoices'!$B$5:$B$2005,"&lt;="&amp;ReportTo)+SUMIFS('Sales Invoices'!$M$5:$M$2005,'Sales Invoices'!$S$5:$S$2005,$A86,'Sales Invoices'!$B$5:$B$2005,"&gt;="&amp;ReportFrom,'Sales Invoices'!$B$5:$B$2005,"&lt;="&amp;ReportTo))</f>
        <v/>
      </c>
      <c r="AA86" s="25">
        <f>IF($A86="",0,(SUMIFS('Payment Vouchers'!$D$5:$D$2005,'Payment Vouchers'!$J$5:$J$2005,$A86,'Payment Vouchers'!$A$5:$A$2005,"&lt;"&amp;ReportFrom))-(SUMIFS('Payment Vouchers'!$D$5:$D$2005,'Payment Vouchers'!$K$5:$K$2005,$A86,'Payment Vouchers'!$A$5:$A$2005,"&lt;"&amp;ReportFrom)))</f>
        <v/>
      </c>
      <c r="AB86" s="25">
        <f>IF($A86="",0,SUMIFS('Payment Vouchers'!$D$5:$D$2005,'Payment Vouchers'!$J$5:$J$2005,$A86,'Payment Vouchers'!$A$5:$A$2005,"&gt;="&amp;ReportFrom,'Payment Vouchers'!$A$5:$A$2005,"&lt;="&amp;ReportTo))</f>
        <v/>
      </c>
      <c r="AC86" s="25">
        <f>IF($A86="",0,SUMIFS('Payment Vouchers'!$D$5:$D$2005,'Payment Vouchers'!$K$5:$K$2005,$A86,'Payment Vouchers'!$A$5:$A$2005,"&gt;="&amp;ReportFrom,'Payment Vouchers'!$A$5:$A$2005,"&lt;="&amp;ReportTo))</f>
        <v/>
      </c>
      <c r="AD86" s="25">
        <f>IF($A86="",0,(SUMIFS('Partner Transactions'!$D$5:$D$2005,'Partner Transactions'!$L$5:$L$2005,$A86,'Partner Transactions'!$A$5:$A$2005,"&lt;"&amp;ReportFrom))-(SUMIFS('Partner Transactions'!$D$5:$D$2005,'Partner Transactions'!$M$5:$M$2005,$A86,'Partner Transactions'!$A$5:$A$2005,"&lt;"&amp;ReportFrom)))</f>
        <v/>
      </c>
      <c r="AE86" s="25">
        <f>IF($A86="",0,SUMIFS('Partner Transactions'!$D$5:$D$2005,'Partner Transactions'!$L$5:$L$2005,$A86,'Partner Transactions'!$A$5:$A$2005,"&gt;="&amp;ReportFrom,'Partner Transactions'!$A$5:$A$2005,"&lt;="&amp;ReportTo))</f>
        <v/>
      </c>
      <c r="AF86" s="25">
        <f>IF($A86="",0,SUMIFS('Partner Transactions'!$D$5:$D$2005,'Partner Transactions'!$M$5:$M$2005,$A86,'Partner Transactions'!$A$5:$A$2005,"&gt;="&amp;ReportFrom,'Partner Transactions'!$A$5:$A$2005,"&lt;="&amp;ReportTo))</f>
        <v/>
      </c>
      <c r="AG86" s="25">
        <f>IF($A86="",0,(SUMIFS('Stock Moves'!$S$5:$S$2005,'Stock Moves'!$AD$5:$AD$2005,$A86,'Stock Moves'!$A$5:$A$2005,"&lt;"&amp;ReportFrom)+SUMIFS('Stock Moves'!$T$5:$T$2005,'Stock Moves'!$V$5:$V$2005,$A86,'Stock Moves'!$A$5:$A$2005,"&lt;"&amp;ReportFrom))-(SUMIFS('Stock Moves'!$AF$5:$AF$2005,'Stock Moves'!$AE$5:$AE$2005,$A86,'Stock Moves'!$A$5:$A$2005,"&lt;"&amp;ReportFrom)+SUMIFS('Stock Moves'!$AC$5:$AC$2005,'Stock Moves'!$X$5:$X$2005,$A86,'Stock Moves'!$A$5:$A$2005,"&lt;"&amp;ReportFrom)+SUMIFS('Stock Moves'!$U$5:$U$2005,'Stock Moves'!$W$5:$W$2005,$A86,'Stock Moves'!$A$5:$A$2005,"&lt;"&amp;ReportFrom)))</f>
        <v/>
      </c>
      <c r="AH86" s="25">
        <f>IF($A86="",0,SUMIFS('Stock Moves'!$S$5:$S$2005,'Stock Moves'!$AD$5:$AD$2005,$A86,'Stock Moves'!$A$5:$A$2005,"&gt;="&amp;ReportFrom,'Stock Moves'!$A$5:$A$2005,"&lt;="&amp;ReportTo)+SUMIFS('Stock Moves'!$T$5:$T$2005,'Stock Moves'!$V$5:$V$2005,$A86,'Stock Moves'!$A$5:$A$2005,"&gt;="&amp;ReportFrom,'Stock Moves'!$A$5:$A$2005,"&lt;="&amp;ReportTo))</f>
        <v/>
      </c>
      <c r="AI86" s="25">
        <f>IF($A86="",0,SUMIFS('Stock Moves'!$AF$5:$AF$2005,'Stock Moves'!$AE$5:$AE$2005,$A86,'Stock Moves'!$A$5:$A$2005,"&gt;="&amp;ReportFrom,'Stock Moves'!$A$5:$A$2005,"&lt;="&amp;ReportTo)+SUMIFS('Stock Moves'!$AC$5:$AC$2005,'Stock Moves'!$X$5:$X$2005,$A86,'Stock Moves'!$A$5:$A$2005,"&gt;="&amp;ReportFrom,'Stock Moves'!$A$5:$A$2005,"&lt;="&amp;ReportTo)+SUMIFS('Stock Moves'!$U$5:$U$2005,'Stock Moves'!$W$5:$W$2005,$A86,'Stock Moves'!$A$5:$A$2005,"&gt;="&amp;ReportFrom,'Stock Moves'!$A$5:$A$2005,"&lt;="&amp;ReportTo))</f>
        <v/>
      </c>
      <c r="AJ86" s="25">
        <f>IF($A86="",0,(SUMIFS('Journal Vouchers'!$I$5:$I$2005,'Journal Vouchers'!$H$5:$H$2005,$A86,'Journal Vouchers'!$B$5:$B$2005,"&lt;"&amp;ReportFrom))-(SUMIFS('Journal Vouchers'!$J$5:$J$2005,'Journal Vouchers'!$H$5:$H$2005,$A86,'Journal Vouchers'!$B$5:$B$2005,"&lt;"&amp;ReportFrom)))</f>
        <v/>
      </c>
      <c r="AK86" s="25">
        <f>IF($A86="",0,SUMIFS('Journal Vouchers'!$I$5:$I$2005,'Journal Vouchers'!$H$5:$H$2005,$A86,'Journal Vouchers'!$B$5:$B$2005,"&gt;="&amp;ReportFrom,'Journal Vouchers'!$B$5:$B$2005,"&lt;="&amp;ReportTo))</f>
        <v/>
      </c>
      <c r="AL86" s="25">
        <f>IF($A86="",0,SUMIFS('Journal Vouchers'!$J$5:$J$2005,'Journal Vouchers'!$H$5:$H$2005,$A86,'Journal Vouchers'!$B$5:$B$2005,"&gt;="&amp;ReportFrom,'Journal Vouchers'!$B$5:$B$2005,"&lt;="&amp;ReportTo))</f>
        <v/>
      </c>
    </row>
    <row r="87">
      <c r="A87" s="25">
        <f>IF('Chart of Accounts'!A87="","",'Chart of Accounts'!A87&amp;"")</f>
        <v/>
      </c>
      <c r="B87" s="25">
        <f>IF(A87="","",'Chart of Accounts'!B87)</f>
        <v/>
      </c>
      <c r="C87" s="25">
        <f>IF(A87="","",'Chart of Accounts'!C87)</f>
        <v/>
      </c>
      <c r="D87" s="25">
        <f>IF(A87="","",'Chart of Accounts'!D87)</f>
        <v/>
      </c>
      <c r="E87" s="26">
        <f>L87+O87+R87+U87+X87+AA87+AD87+AG87+AJ87</f>
        <v/>
      </c>
      <c r="F87" s="26">
        <f>M87+P87+S87+V87+Y87+AB87+AE87+AH87+AK87</f>
        <v/>
      </c>
      <c r="G87" s="26">
        <f>N87+Q87+T87+W87+Z87+AC87+AF87+AI87+AL87</f>
        <v/>
      </c>
      <c r="H87" s="26">
        <f>E87+F87-G87</f>
        <v/>
      </c>
      <c r="I87" s="26">
        <f>MAX(H87,0)</f>
        <v/>
      </c>
      <c r="J87" s="26">
        <f>MAX(-H87,0)</f>
        <v/>
      </c>
      <c r="L87" s="25">
        <f>IF($A87="",0,(SUMIFS('Direct Costs'!$R$5:$R$2005,'Direct Costs'!$V$5:$V$2005,$A87,'Direct Costs'!$A$5:$A$2005,"&lt;"&amp;ReportFrom)+SUMIFS('Direct Costs'!$S$5:$S$2005,'Direct Costs'!$Y$5:$Y$2005,$A87,'Direct Costs'!$A$5:$A$2005,"&lt;"&amp;ReportFrom))-(SUMIFS('Direct Costs'!$L$5:$L$2005,'Direct Costs'!$W$5:$W$2005,$A87,'Direct Costs'!$A$5:$A$2005,"&lt;"&amp;ReportFrom)+SUMIFS('Direct Costs'!$U$5:$U$2005,'Direct Costs'!$X$5:$X$2005,$A87,'Direct Costs'!$A$5:$A$2005,"&lt;"&amp;ReportFrom)+SUMIFS('Direct Costs'!$T$5:$T$2005,'Direct Costs'!$Z$5:$Z$2005,$A87,'Direct Costs'!$A$5:$A$2005,"&lt;"&amp;ReportFrom)))</f>
        <v/>
      </c>
      <c r="M87" s="25">
        <f>IF($A87="",0,SUMIFS('Direct Costs'!$R$5:$R$2005,'Direct Costs'!$V$5:$V$2005,$A87,'Direct Costs'!$A$5:$A$2005,"&gt;="&amp;ReportFrom,'Direct Costs'!$A$5:$A$2005,"&lt;="&amp;ReportTo)+SUMIFS('Direct Costs'!$S$5:$S$2005,'Direct Costs'!$Y$5:$Y$2005,$A87,'Direct Costs'!$A$5:$A$2005,"&gt;="&amp;ReportFrom,'Direct Costs'!$A$5:$A$2005,"&lt;="&amp;ReportTo))</f>
        <v/>
      </c>
      <c r="N87" s="25">
        <f>IF($A87="",0,SUMIFS('Direct Costs'!$L$5:$L$2005,'Direct Costs'!$W$5:$W$2005,$A87,'Direct Costs'!$A$5:$A$2005,"&gt;="&amp;ReportFrom,'Direct Costs'!$A$5:$A$2005,"&lt;="&amp;ReportTo)+SUMIFS('Direct Costs'!$U$5:$U$2005,'Direct Costs'!$X$5:$X$2005,$A87,'Direct Costs'!$A$5:$A$2005,"&gt;="&amp;ReportFrom,'Direct Costs'!$A$5:$A$2005,"&lt;="&amp;ReportTo)+SUMIFS('Direct Costs'!$T$5:$T$2005,'Direct Costs'!$Z$5:$Z$2005,$A87,'Direct Costs'!$A$5:$A$2005,"&gt;="&amp;ReportFrom,'Direct Costs'!$A$5:$A$2005,"&lt;="&amp;ReportTo))</f>
        <v/>
      </c>
      <c r="O87" s="25">
        <f>IF($A87="",0,(SUMIFS('Operating Expenses'!$F$5:$F$2005,'Operating Expenses'!$Q$5:$Q$2005,$A87,'Operating Expenses'!$A$5:$A$2005,"&lt;"&amp;ReportFrom)+SUMIFS('Operating Expenses'!$M$5:$M$2005,'Operating Expenses'!$T$5:$T$2005,$A87,'Operating Expenses'!$A$5:$A$2005,"&lt;"&amp;ReportFrom))-(SUMIFS('Operating Expenses'!$O$5:$O$2005,'Operating Expenses'!$R$5:$R$2005,$A87,'Operating Expenses'!$A$5:$A$2005,"&lt;"&amp;ReportFrom)+SUMIFS('Operating Expenses'!$P$5:$P$2005,'Operating Expenses'!$S$5:$S$2005,$A87,'Operating Expenses'!$A$5:$A$2005,"&lt;"&amp;ReportFrom)+SUMIFS('Operating Expenses'!$N$5:$N$2005,'Operating Expenses'!$U$5:$U$2005,$A87,'Operating Expenses'!$A$5:$A$2005,"&lt;"&amp;ReportFrom)))</f>
        <v/>
      </c>
      <c r="P87" s="25">
        <f>IF($A87="",0,SUMIFS('Operating Expenses'!$F$5:$F$2005,'Operating Expenses'!$Q$5:$Q$2005,$A87,'Operating Expenses'!$A$5:$A$2005,"&gt;="&amp;ReportFrom,'Operating Expenses'!$A$5:$A$2005,"&lt;="&amp;ReportTo)+SUMIFS('Operating Expenses'!$M$5:$M$2005,'Operating Expenses'!$T$5:$T$2005,$A87,'Operating Expenses'!$A$5:$A$2005,"&gt;="&amp;ReportFrom,'Operating Expenses'!$A$5:$A$2005,"&lt;="&amp;ReportTo))</f>
        <v/>
      </c>
      <c r="Q87" s="25">
        <f>IF($A87="",0,SUMIFS('Operating Expenses'!$O$5:$O$2005,'Operating Expenses'!$R$5:$R$2005,$A87,'Operating Expenses'!$A$5:$A$2005,"&gt;="&amp;ReportFrom,'Operating Expenses'!$A$5:$A$2005,"&lt;="&amp;ReportTo)+SUMIFS('Operating Expenses'!$P$5:$P$2005,'Operating Expenses'!$S$5:$S$2005,$A87,'Operating Expenses'!$A$5:$A$2005,"&gt;="&amp;ReportFrom,'Operating Expenses'!$A$5:$A$2005,"&lt;="&amp;ReportTo)+SUMIFS('Operating Expenses'!$N$5:$N$2005,'Operating Expenses'!$U$5:$U$2005,$A87,'Operating Expenses'!$A$5:$A$2005,"&gt;="&amp;ReportFrom,'Operating Expenses'!$A$5:$A$2005,"&lt;="&amp;ReportTo))</f>
        <v/>
      </c>
      <c r="R87" s="25">
        <f>IF($A87="",0,(SUMIFS('Payroll'!$O$5:$O$2005,'Payroll'!$Q$5:$Q$2005,$A87,'Payroll'!$A$5:$A$2005,"&lt;"&amp;ReportFrom))-(SUMIFS('Payroll'!$K$5:$K$2005,'Payroll'!$R$5:$R$2005,$A87,'Payroll'!$A$5:$A$2005,"&lt;"&amp;ReportFrom)+SUMIFS('Payroll'!$P$5:$P$2005,'Payroll'!$S$5:$S$2005,$A87,'Payroll'!$A$5:$A$2005,"&lt;"&amp;ReportFrom)))</f>
        <v/>
      </c>
      <c r="S87" s="25">
        <f>IF($A87="",0,SUMIFS('Payroll'!$O$5:$O$2005,'Payroll'!$Q$5:$Q$2005,$A87,'Payroll'!$A$5:$A$2005,"&gt;="&amp;ReportFrom,'Payroll'!$A$5:$A$2005,"&lt;="&amp;ReportTo))</f>
        <v/>
      </c>
      <c r="T87" s="25">
        <f>IF($A87="",0,SUMIFS('Payroll'!$K$5:$K$2005,'Payroll'!$R$5:$R$2005,$A87,'Payroll'!$A$5:$A$2005,"&gt;="&amp;ReportFrom,'Payroll'!$A$5:$A$2005,"&lt;="&amp;ReportTo)+SUMIFS('Payroll'!$P$5:$P$2005,'Payroll'!$S$5:$S$2005,$A87,'Payroll'!$A$5:$A$2005,"&gt;="&amp;ReportFrom,'Payroll'!$A$5:$A$2005,"&lt;="&amp;ReportTo))</f>
        <v/>
      </c>
      <c r="U87" s="25">
        <f>IF($A87="",0,(SUMIFS('Receipt Vouchers'!$F$5:$F$2005,'Receipt Vouchers'!$O$5:$O$2005,$A87,'Receipt Vouchers'!$A$5:$A$2005,"&lt;"&amp;ReportFrom)+SUMIFS('Receipt Vouchers'!$J$5:$J$2005,'Receipt Vouchers'!$Q$5:$Q$2005,$A87,'Receipt Vouchers'!$A$5:$A$2005,"&lt;"&amp;ReportFrom))-(SUMIFS('Receipt Vouchers'!$N$5:$N$2005,'Receipt Vouchers'!$P$5:$P$2005,$A87,'Receipt Vouchers'!$A$5:$A$2005,"&lt;"&amp;ReportFrom)+SUMIFS('Receipt Vouchers'!$M$5:$M$2005,'Receipt Vouchers'!$R$5:$R$2005,$A87,'Receipt Vouchers'!$A$5:$A$2005,"&lt;"&amp;ReportFrom)))</f>
        <v/>
      </c>
      <c r="V87" s="25">
        <f>IF($A87="",0,SUMIFS('Receipt Vouchers'!$F$5:$F$2005,'Receipt Vouchers'!$O$5:$O$2005,$A87,'Receipt Vouchers'!$A$5:$A$2005,"&gt;="&amp;ReportFrom,'Receipt Vouchers'!$A$5:$A$2005,"&lt;="&amp;ReportTo)+SUMIFS('Receipt Vouchers'!$J$5:$J$2005,'Receipt Vouchers'!$Q$5:$Q$2005,$A87,'Receipt Vouchers'!$A$5:$A$2005,"&gt;="&amp;ReportFrom,'Receipt Vouchers'!$A$5:$A$2005,"&lt;="&amp;ReportTo))</f>
        <v/>
      </c>
      <c r="W87" s="25">
        <f>IF($A87="",0,SUMIFS('Receipt Vouchers'!$N$5:$N$2005,'Receipt Vouchers'!$P$5:$P$2005,$A87,'Receipt Vouchers'!$A$5:$A$2005,"&gt;="&amp;ReportFrom,'Receipt Vouchers'!$A$5:$A$2005,"&lt;="&amp;ReportTo)+SUMIFS('Receipt Vouchers'!$M$5:$M$2005,'Receipt Vouchers'!$R$5:$R$2005,$A87,'Receipt Vouchers'!$A$5:$A$2005,"&gt;="&amp;ReportFrom,'Receipt Vouchers'!$A$5:$A$2005,"&lt;="&amp;ReportTo))</f>
        <v/>
      </c>
      <c r="X87" s="25">
        <f>IF($A87="",0,(SUMIFS('Sales Invoices'!$O$5:$O$2005,'Sales Invoices'!$P$5:$P$2005,$A87,'Sales Invoices'!$B$5:$B$2005,"&lt;"&amp;ReportFrom)+SUMIFS('Sales Invoices'!$N$5:$N$2005,'Sales Invoices'!$R$5:$R$2005,$A87,'Sales Invoices'!$B$5:$B$2005,"&lt;"&amp;ReportFrom))-(SUMIFS('Sales Invoices'!$L$5:$L$2005,'Sales Invoices'!$Q$5:$Q$2005,$A87,'Sales Invoices'!$B$5:$B$2005,"&lt;"&amp;ReportFrom)+SUMIFS('Sales Invoices'!$M$5:$M$2005,'Sales Invoices'!$S$5:$S$2005,$A87,'Sales Invoices'!$B$5:$B$2005,"&lt;"&amp;ReportFrom)))</f>
        <v/>
      </c>
      <c r="Y87" s="25">
        <f>IF($A87="",0,SUMIFS('Sales Invoices'!$O$5:$O$2005,'Sales Invoices'!$P$5:$P$2005,$A87,'Sales Invoices'!$B$5:$B$2005,"&gt;="&amp;ReportFrom,'Sales Invoices'!$B$5:$B$2005,"&lt;="&amp;ReportTo)+SUMIFS('Sales Invoices'!$N$5:$N$2005,'Sales Invoices'!$R$5:$R$2005,$A87,'Sales Invoices'!$B$5:$B$2005,"&gt;="&amp;ReportFrom,'Sales Invoices'!$B$5:$B$2005,"&lt;="&amp;ReportTo))</f>
        <v/>
      </c>
      <c r="Z87" s="25">
        <f>IF($A87="",0,SUMIFS('Sales Invoices'!$L$5:$L$2005,'Sales Invoices'!$Q$5:$Q$2005,$A87,'Sales Invoices'!$B$5:$B$2005,"&gt;="&amp;ReportFrom,'Sales Invoices'!$B$5:$B$2005,"&lt;="&amp;ReportTo)+SUMIFS('Sales Invoices'!$M$5:$M$2005,'Sales Invoices'!$S$5:$S$2005,$A87,'Sales Invoices'!$B$5:$B$2005,"&gt;="&amp;ReportFrom,'Sales Invoices'!$B$5:$B$2005,"&lt;="&amp;ReportTo))</f>
        <v/>
      </c>
      <c r="AA87" s="25">
        <f>IF($A87="",0,(SUMIFS('Payment Vouchers'!$D$5:$D$2005,'Payment Vouchers'!$J$5:$J$2005,$A87,'Payment Vouchers'!$A$5:$A$2005,"&lt;"&amp;ReportFrom))-(SUMIFS('Payment Vouchers'!$D$5:$D$2005,'Payment Vouchers'!$K$5:$K$2005,$A87,'Payment Vouchers'!$A$5:$A$2005,"&lt;"&amp;ReportFrom)))</f>
        <v/>
      </c>
      <c r="AB87" s="25">
        <f>IF($A87="",0,SUMIFS('Payment Vouchers'!$D$5:$D$2005,'Payment Vouchers'!$J$5:$J$2005,$A87,'Payment Vouchers'!$A$5:$A$2005,"&gt;="&amp;ReportFrom,'Payment Vouchers'!$A$5:$A$2005,"&lt;="&amp;ReportTo))</f>
        <v/>
      </c>
      <c r="AC87" s="25">
        <f>IF($A87="",0,SUMIFS('Payment Vouchers'!$D$5:$D$2005,'Payment Vouchers'!$K$5:$K$2005,$A87,'Payment Vouchers'!$A$5:$A$2005,"&gt;="&amp;ReportFrom,'Payment Vouchers'!$A$5:$A$2005,"&lt;="&amp;ReportTo))</f>
        <v/>
      </c>
      <c r="AD87" s="25">
        <f>IF($A87="",0,(SUMIFS('Partner Transactions'!$D$5:$D$2005,'Partner Transactions'!$L$5:$L$2005,$A87,'Partner Transactions'!$A$5:$A$2005,"&lt;"&amp;ReportFrom))-(SUMIFS('Partner Transactions'!$D$5:$D$2005,'Partner Transactions'!$M$5:$M$2005,$A87,'Partner Transactions'!$A$5:$A$2005,"&lt;"&amp;ReportFrom)))</f>
        <v/>
      </c>
      <c r="AE87" s="25">
        <f>IF($A87="",0,SUMIFS('Partner Transactions'!$D$5:$D$2005,'Partner Transactions'!$L$5:$L$2005,$A87,'Partner Transactions'!$A$5:$A$2005,"&gt;="&amp;ReportFrom,'Partner Transactions'!$A$5:$A$2005,"&lt;="&amp;ReportTo))</f>
        <v/>
      </c>
      <c r="AF87" s="25">
        <f>IF($A87="",0,SUMIFS('Partner Transactions'!$D$5:$D$2005,'Partner Transactions'!$M$5:$M$2005,$A87,'Partner Transactions'!$A$5:$A$2005,"&gt;="&amp;ReportFrom,'Partner Transactions'!$A$5:$A$2005,"&lt;="&amp;ReportTo))</f>
        <v/>
      </c>
      <c r="AG87" s="25">
        <f>IF($A87="",0,(SUMIFS('Stock Moves'!$S$5:$S$2005,'Stock Moves'!$AD$5:$AD$2005,$A87,'Stock Moves'!$A$5:$A$2005,"&lt;"&amp;ReportFrom)+SUMIFS('Stock Moves'!$T$5:$T$2005,'Stock Moves'!$V$5:$V$2005,$A87,'Stock Moves'!$A$5:$A$2005,"&lt;"&amp;ReportFrom))-(SUMIFS('Stock Moves'!$AF$5:$AF$2005,'Stock Moves'!$AE$5:$AE$2005,$A87,'Stock Moves'!$A$5:$A$2005,"&lt;"&amp;ReportFrom)+SUMIFS('Stock Moves'!$AC$5:$AC$2005,'Stock Moves'!$X$5:$X$2005,$A87,'Stock Moves'!$A$5:$A$2005,"&lt;"&amp;ReportFrom)+SUMIFS('Stock Moves'!$U$5:$U$2005,'Stock Moves'!$W$5:$W$2005,$A87,'Stock Moves'!$A$5:$A$2005,"&lt;"&amp;ReportFrom)))</f>
        <v/>
      </c>
      <c r="AH87" s="25">
        <f>IF($A87="",0,SUMIFS('Stock Moves'!$S$5:$S$2005,'Stock Moves'!$AD$5:$AD$2005,$A87,'Stock Moves'!$A$5:$A$2005,"&gt;="&amp;ReportFrom,'Stock Moves'!$A$5:$A$2005,"&lt;="&amp;ReportTo)+SUMIFS('Stock Moves'!$T$5:$T$2005,'Stock Moves'!$V$5:$V$2005,$A87,'Stock Moves'!$A$5:$A$2005,"&gt;="&amp;ReportFrom,'Stock Moves'!$A$5:$A$2005,"&lt;="&amp;ReportTo))</f>
        <v/>
      </c>
      <c r="AI87" s="25">
        <f>IF($A87="",0,SUMIFS('Stock Moves'!$AF$5:$AF$2005,'Stock Moves'!$AE$5:$AE$2005,$A87,'Stock Moves'!$A$5:$A$2005,"&gt;="&amp;ReportFrom,'Stock Moves'!$A$5:$A$2005,"&lt;="&amp;ReportTo)+SUMIFS('Stock Moves'!$AC$5:$AC$2005,'Stock Moves'!$X$5:$X$2005,$A87,'Stock Moves'!$A$5:$A$2005,"&gt;="&amp;ReportFrom,'Stock Moves'!$A$5:$A$2005,"&lt;="&amp;ReportTo)+SUMIFS('Stock Moves'!$U$5:$U$2005,'Stock Moves'!$W$5:$W$2005,$A87,'Stock Moves'!$A$5:$A$2005,"&gt;="&amp;ReportFrom,'Stock Moves'!$A$5:$A$2005,"&lt;="&amp;ReportTo))</f>
        <v/>
      </c>
      <c r="AJ87" s="25">
        <f>IF($A87="",0,(SUMIFS('Journal Vouchers'!$I$5:$I$2005,'Journal Vouchers'!$H$5:$H$2005,$A87,'Journal Vouchers'!$B$5:$B$2005,"&lt;"&amp;ReportFrom))-(SUMIFS('Journal Vouchers'!$J$5:$J$2005,'Journal Vouchers'!$H$5:$H$2005,$A87,'Journal Vouchers'!$B$5:$B$2005,"&lt;"&amp;ReportFrom)))</f>
        <v/>
      </c>
      <c r="AK87" s="25">
        <f>IF($A87="",0,SUMIFS('Journal Vouchers'!$I$5:$I$2005,'Journal Vouchers'!$H$5:$H$2005,$A87,'Journal Vouchers'!$B$5:$B$2005,"&gt;="&amp;ReportFrom,'Journal Vouchers'!$B$5:$B$2005,"&lt;="&amp;ReportTo))</f>
        <v/>
      </c>
      <c r="AL87" s="25">
        <f>IF($A87="",0,SUMIFS('Journal Vouchers'!$J$5:$J$2005,'Journal Vouchers'!$H$5:$H$2005,$A87,'Journal Vouchers'!$B$5:$B$2005,"&gt;="&amp;ReportFrom,'Journal Vouchers'!$B$5:$B$2005,"&lt;="&amp;ReportTo))</f>
        <v/>
      </c>
    </row>
    <row r="88">
      <c r="A88" s="25">
        <f>IF('Chart of Accounts'!A88="","",'Chart of Accounts'!A88&amp;"")</f>
        <v/>
      </c>
      <c r="B88" s="25">
        <f>IF(A88="","",'Chart of Accounts'!B88)</f>
        <v/>
      </c>
      <c r="C88" s="25">
        <f>IF(A88="","",'Chart of Accounts'!C88)</f>
        <v/>
      </c>
      <c r="D88" s="25">
        <f>IF(A88="","",'Chart of Accounts'!D88)</f>
        <v/>
      </c>
      <c r="E88" s="26">
        <f>L88+O88+R88+U88+X88+AA88+AD88+AG88+AJ88</f>
        <v/>
      </c>
      <c r="F88" s="26">
        <f>M88+P88+S88+V88+Y88+AB88+AE88+AH88+AK88</f>
        <v/>
      </c>
      <c r="G88" s="26">
        <f>N88+Q88+T88+W88+Z88+AC88+AF88+AI88+AL88</f>
        <v/>
      </c>
      <c r="H88" s="26">
        <f>E88+F88-G88</f>
        <v/>
      </c>
      <c r="I88" s="26">
        <f>MAX(H88,0)</f>
        <v/>
      </c>
      <c r="J88" s="26">
        <f>MAX(-H88,0)</f>
        <v/>
      </c>
      <c r="L88" s="25">
        <f>IF($A88="",0,(SUMIFS('Direct Costs'!$R$5:$R$2005,'Direct Costs'!$V$5:$V$2005,$A88,'Direct Costs'!$A$5:$A$2005,"&lt;"&amp;ReportFrom)+SUMIFS('Direct Costs'!$S$5:$S$2005,'Direct Costs'!$Y$5:$Y$2005,$A88,'Direct Costs'!$A$5:$A$2005,"&lt;"&amp;ReportFrom))-(SUMIFS('Direct Costs'!$L$5:$L$2005,'Direct Costs'!$W$5:$W$2005,$A88,'Direct Costs'!$A$5:$A$2005,"&lt;"&amp;ReportFrom)+SUMIFS('Direct Costs'!$U$5:$U$2005,'Direct Costs'!$X$5:$X$2005,$A88,'Direct Costs'!$A$5:$A$2005,"&lt;"&amp;ReportFrom)+SUMIFS('Direct Costs'!$T$5:$T$2005,'Direct Costs'!$Z$5:$Z$2005,$A88,'Direct Costs'!$A$5:$A$2005,"&lt;"&amp;ReportFrom)))</f>
        <v/>
      </c>
      <c r="M88" s="25">
        <f>IF($A88="",0,SUMIFS('Direct Costs'!$R$5:$R$2005,'Direct Costs'!$V$5:$V$2005,$A88,'Direct Costs'!$A$5:$A$2005,"&gt;="&amp;ReportFrom,'Direct Costs'!$A$5:$A$2005,"&lt;="&amp;ReportTo)+SUMIFS('Direct Costs'!$S$5:$S$2005,'Direct Costs'!$Y$5:$Y$2005,$A88,'Direct Costs'!$A$5:$A$2005,"&gt;="&amp;ReportFrom,'Direct Costs'!$A$5:$A$2005,"&lt;="&amp;ReportTo))</f>
        <v/>
      </c>
      <c r="N88" s="25">
        <f>IF($A88="",0,SUMIFS('Direct Costs'!$L$5:$L$2005,'Direct Costs'!$W$5:$W$2005,$A88,'Direct Costs'!$A$5:$A$2005,"&gt;="&amp;ReportFrom,'Direct Costs'!$A$5:$A$2005,"&lt;="&amp;ReportTo)+SUMIFS('Direct Costs'!$U$5:$U$2005,'Direct Costs'!$X$5:$X$2005,$A88,'Direct Costs'!$A$5:$A$2005,"&gt;="&amp;ReportFrom,'Direct Costs'!$A$5:$A$2005,"&lt;="&amp;ReportTo)+SUMIFS('Direct Costs'!$T$5:$T$2005,'Direct Costs'!$Z$5:$Z$2005,$A88,'Direct Costs'!$A$5:$A$2005,"&gt;="&amp;ReportFrom,'Direct Costs'!$A$5:$A$2005,"&lt;="&amp;ReportTo))</f>
        <v/>
      </c>
      <c r="O88" s="25">
        <f>IF($A88="",0,(SUMIFS('Operating Expenses'!$F$5:$F$2005,'Operating Expenses'!$Q$5:$Q$2005,$A88,'Operating Expenses'!$A$5:$A$2005,"&lt;"&amp;ReportFrom)+SUMIFS('Operating Expenses'!$M$5:$M$2005,'Operating Expenses'!$T$5:$T$2005,$A88,'Operating Expenses'!$A$5:$A$2005,"&lt;"&amp;ReportFrom))-(SUMIFS('Operating Expenses'!$O$5:$O$2005,'Operating Expenses'!$R$5:$R$2005,$A88,'Operating Expenses'!$A$5:$A$2005,"&lt;"&amp;ReportFrom)+SUMIFS('Operating Expenses'!$P$5:$P$2005,'Operating Expenses'!$S$5:$S$2005,$A88,'Operating Expenses'!$A$5:$A$2005,"&lt;"&amp;ReportFrom)+SUMIFS('Operating Expenses'!$N$5:$N$2005,'Operating Expenses'!$U$5:$U$2005,$A88,'Operating Expenses'!$A$5:$A$2005,"&lt;"&amp;ReportFrom)))</f>
        <v/>
      </c>
      <c r="P88" s="25">
        <f>IF($A88="",0,SUMIFS('Operating Expenses'!$F$5:$F$2005,'Operating Expenses'!$Q$5:$Q$2005,$A88,'Operating Expenses'!$A$5:$A$2005,"&gt;="&amp;ReportFrom,'Operating Expenses'!$A$5:$A$2005,"&lt;="&amp;ReportTo)+SUMIFS('Operating Expenses'!$M$5:$M$2005,'Operating Expenses'!$T$5:$T$2005,$A88,'Operating Expenses'!$A$5:$A$2005,"&gt;="&amp;ReportFrom,'Operating Expenses'!$A$5:$A$2005,"&lt;="&amp;ReportTo))</f>
        <v/>
      </c>
      <c r="Q88" s="25">
        <f>IF($A88="",0,SUMIFS('Operating Expenses'!$O$5:$O$2005,'Operating Expenses'!$R$5:$R$2005,$A88,'Operating Expenses'!$A$5:$A$2005,"&gt;="&amp;ReportFrom,'Operating Expenses'!$A$5:$A$2005,"&lt;="&amp;ReportTo)+SUMIFS('Operating Expenses'!$P$5:$P$2005,'Operating Expenses'!$S$5:$S$2005,$A88,'Operating Expenses'!$A$5:$A$2005,"&gt;="&amp;ReportFrom,'Operating Expenses'!$A$5:$A$2005,"&lt;="&amp;ReportTo)+SUMIFS('Operating Expenses'!$N$5:$N$2005,'Operating Expenses'!$U$5:$U$2005,$A88,'Operating Expenses'!$A$5:$A$2005,"&gt;="&amp;ReportFrom,'Operating Expenses'!$A$5:$A$2005,"&lt;="&amp;ReportTo))</f>
        <v/>
      </c>
      <c r="R88" s="25">
        <f>IF($A88="",0,(SUMIFS('Payroll'!$O$5:$O$2005,'Payroll'!$Q$5:$Q$2005,$A88,'Payroll'!$A$5:$A$2005,"&lt;"&amp;ReportFrom))-(SUMIFS('Payroll'!$K$5:$K$2005,'Payroll'!$R$5:$R$2005,$A88,'Payroll'!$A$5:$A$2005,"&lt;"&amp;ReportFrom)+SUMIFS('Payroll'!$P$5:$P$2005,'Payroll'!$S$5:$S$2005,$A88,'Payroll'!$A$5:$A$2005,"&lt;"&amp;ReportFrom)))</f>
        <v/>
      </c>
      <c r="S88" s="25">
        <f>IF($A88="",0,SUMIFS('Payroll'!$O$5:$O$2005,'Payroll'!$Q$5:$Q$2005,$A88,'Payroll'!$A$5:$A$2005,"&gt;="&amp;ReportFrom,'Payroll'!$A$5:$A$2005,"&lt;="&amp;ReportTo))</f>
        <v/>
      </c>
      <c r="T88" s="25">
        <f>IF($A88="",0,SUMIFS('Payroll'!$K$5:$K$2005,'Payroll'!$R$5:$R$2005,$A88,'Payroll'!$A$5:$A$2005,"&gt;="&amp;ReportFrom,'Payroll'!$A$5:$A$2005,"&lt;="&amp;ReportTo)+SUMIFS('Payroll'!$P$5:$P$2005,'Payroll'!$S$5:$S$2005,$A88,'Payroll'!$A$5:$A$2005,"&gt;="&amp;ReportFrom,'Payroll'!$A$5:$A$2005,"&lt;="&amp;ReportTo))</f>
        <v/>
      </c>
      <c r="U88" s="25">
        <f>IF($A88="",0,(SUMIFS('Receipt Vouchers'!$F$5:$F$2005,'Receipt Vouchers'!$O$5:$O$2005,$A88,'Receipt Vouchers'!$A$5:$A$2005,"&lt;"&amp;ReportFrom)+SUMIFS('Receipt Vouchers'!$J$5:$J$2005,'Receipt Vouchers'!$Q$5:$Q$2005,$A88,'Receipt Vouchers'!$A$5:$A$2005,"&lt;"&amp;ReportFrom))-(SUMIFS('Receipt Vouchers'!$N$5:$N$2005,'Receipt Vouchers'!$P$5:$P$2005,$A88,'Receipt Vouchers'!$A$5:$A$2005,"&lt;"&amp;ReportFrom)+SUMIFS('Receipt Vouchers'!$M$5:$M$2005,'Receipt Vouchers'!$R$5:$R$2005,$A88,'Receipt Vouchers'!$A$5:$A$2005,"&lt;"&amp;ReportFrom)))</f>
        <v/>
      </c>
      <c r="V88" s="25">
        <f>IF($A88="",0,SUMIFS('Receipt Vouchers'!$F$5:$F$2005,'Receipt Vouchers'!$O$5:$O$2005,$A88,'Receipt Vouchers'!$A$5:$A$2005,"&gt;="&amp;ReportFrom,'Receipt Vouchers'!$A$5:$A$2005,"&lt;="&amp;ReportTo)+SUMIFS('Receipt Vouchers'!$J$5:$J$2005,'Receipt Vouchers'!$Q$5:$Q$2005,$A88,'Receipt Vouchers'!$A$5:$A$2005,"&gt;="&amp;ReportFrom,'Receipt Vouchers'!$A$5:$A$2005,"&lt;="&amp;ReportTo))</f>
        <v/>
      </c>
      <c r="W88" s="25">
        <f>IF($A88="",0,SUMIFS('Receipt Vouchers'!$N$5:$N$2005,'Receipt Vouchers'!$P$5:$P$2005,$A88,'Receipt Vouchers'!$A$5:$A$2005,"&gt;="&amp;ReportFrom,'Receipt Vouchers'!$A$5:$A$2005,"&lt;="&amp;ReportTo)+SUMIFS('Receipt Vouchers'!$M$5:$M$2005,'Receipt Vouchers'!$R$5:$R$2005,$A88,'Receipt Vouchers'!$A$5:$A$2005,"&gt;="&amp;ReportFrom,'Receipt Vouchers'!$A$5:$A$2005,"&lt;="&amp;ReportTo))</f>
        <v/>
      </c>
      <c r="X88" s="25">
        <f>IF($A88="",0,(SUMIFS('Sales Invoices'!$O$5:$O$2005,'Sales Invoices'!$P$5:$P$2005,$A88,'Sales Invoices'!$B$5:$B$2005,"&lt;"&amp;ReportFrom)+SUMIFS('Sales Invoices'!$N$5:$N$2005,'Sales Invoices'!$R$5:$R$2005,$A88,'Sales Invoices'!$B$5:$B$2005,"&lt;"&amp;ReportFrom))-(SUMIFS('Sales Invoices'!$L$5:$L$2005,'Sales Invoices'!$Q$5:$Q$2005,$A88,'Sales Invoices'!$B$5:$B$2005,"&lt;"&amp;ReportFrom)+SUMIFS('Sales Invoices'!$M$5:$M$2005,'Sales Invoices'!$S$5:$S$2005,$A88,'Sales Invoices'!$B$5:$B$2005,"&lt;"&amp;ReportFrom)))</f>
        <v/>
      </c>
      <c r="Y88" s="25">
        <f>IF($A88="",0,SUMIFS('Sales Invoices'!$O$5:$O$2005,'Sales Invoices'!$P$5:$P$2005,$A88,'Sales Invoices'!$B$5:$B$2005,"&gt;="&amp;ReportFrom,'Sales Invoices'!$B$5:$B$2005,"&lt;="&amp;ReportTo)+SUMIFS('Sales Invoices'!$N$5:$N$2005,'Sales Invoices'!$R$5:$R$2005,$A88,'Sales Invoices'!$B$5:$B$2005,"&gt;="&amp;ReportFrom,'Sales Invoices'!$B$5:$B$2005,"&lt;="&amp;ReportTo))</f>
        <v/>
      </c>
      <c r="Z88" s="25">
        <f>IF($A88="",0,SUMIFS('Sales Invoices'!$L$5:$L$2005,'Sales Invoices'!$Q$5:$Q$2005,$A88,'Sales Invoices'!$B$5:$B$2005,"&gt;="&amp;ReportFrom,'Sales Invoices'!$B$5:$B$2005,"&lt;="&amp;ReportTo)+SUMIFS('Sales Invoices'!$M$5:$M$2005,'Sales Invoices'!$S$5:$S$2005,$A88,'Sales Invoices'!$B$5:$B$2005,"&gt;="&amp;ReportFrom,'Sales Invoices'!$B$5:$B$2005,"&lt;="&amp;ReportTo))</f>
        <v/>
      </c>
      <c r="AA88" s="25">
        <f>IF($A88="",0,(SUMIFS('Payment Vouchers'!$D$5:$D$2005,'Payment Vouchers'!$J$5:$J$2005,$A88,'Payment Vouchers'!$A$5:$A$2005,"&lt;"&amp;ReportFrom))-(SUMIFS('Payment Vouchers'!$D$5:$D$2005,'Payment Vouchers'!$K$5:$K$2005,$A88,'Payment Vouchers'!$A$5:$A$2005,"&lt;"&amp;ReportFrom)))</f>
        <v/>
      </c>
      <c r="AB88" s="25">
        <f>IF($A88="",0,SUMIFS('Payment Vouchers'!$D$5:$D$2005,'Payment Vouchers'!$J$5:$J$2005,$A88,'Payment Vouchers'!$A$5:$A$2005,"&gt;="&amp;ReportFrom,'Payment Vouchers'!$A$5:$A$2005,"&lt;="&amp;ReportTo))</f>
        <v/>
      </c>
      <c r="AC88" s="25">
        <f>IF($A88="",0,SUMIFS('Payment Vouchers'!$D$5:$D$2005,'Payment Vouchers'!$K$5:$K$2005,$A88,'Payment Vouchers'!$A$5:$A$2005,"&gt;="&amp;ReportFrom,'Payment Vouchers'!$A$5:$A$2005,"&lt;="&amp;ReportTo))</f>
        <v/>
      </c>
      <c r="AD88" s="25">
        <f>IF($A88="",0,(SUMIFS('Partner Transactions'!$D$5:$D$2005,'Partner Transactions'!$L$5:$L$2005,$A88,'Partner Transactions'!$A$5:$A$2005,"&lt;"&amp;ReportFrom))-(SUMIFS('Partner Transactions'!$D$5:$D$2005,'Partner Transactions'!$M$5:$M$2005,$A88,'Partner Transactions'!$A$5:$A$2005,"&lt;"&amp;ReportFrom)))</f>
        <v/>
      </c>
      <c r="AE88" s="25">
        <f>IF($A88="",0,SUMIFS('Partner Transactions'!$D$5:$D$2005,'Partner Transactions'!$L$5:$L$2005,$A88,'Partner Transactions'!$A$5:$A$2005,"&gt;="&amp;ReportFrom,'Partner Transactions'!$A$5:$A$2005,"&lt;="&amp;ReportTo))</f>
        <v/>
      </c>
      <c r="AF88" s="25">
        <f>IF($A88="",0,SUMIFS('Partner Transactions'!$D$5:$D$2005,'Partner Transactions'!$M$5:$M$2005,$A88,'Partner Transactions'!$A$5:$A$2005,"&gt;="&amp;ReportFrom,'Partner Transactions'!$A$5:$A$2005,"&lt;="&amp;ReportTo))</f>
        <v/>
      </c>
      <c r="AG88" s="25">
        <f>IF($A88="",0,(SUMIFS('Stock Moves'!$S$5:$S$2005,'Stock Moves'!$AD$5:$AD$2005,$A88,'Stock Moves'!$A$5:$A$2005,"&lt;"&amp;ReportFrom)+SUMIFS('Stock Moves'!$T$5:$T$2005,'Stock Moves'!$V$5:$V$2005,$A88,'Stock Moves'!$A$5:$A$2005,"&lt;"&amp;ReportFrom))-(SUMIFS('Stock Moves'!$AF$5:$AF$2005,'Stock Moves'!$AE$5:$AE$2005,$A88,'Stock Moves'!$A$5:$A$2005,"&lt;"&amp;ReportFrom)+SUMIFS('Stock Moves'!$AC$5:$AC$2005,'Stock Moves'!$X$5:$X$2005,$A88,'Stock Moves'!$A$5:$A$2005,"&lt;"&amp;ReportFrom)+SUMIFS('Stock Moves'!$U$5:$U$2005,'Stock Moves'!$W$5:$W$2005,$A88,'Stock Moves'!$A$5:$A$2005,"&lt;"&amp;ReportFrom)))</f>
        <v/>
      </c>
      <c r="AH88" s="25">
        <f>IF($A88="",0,SUMIFS('Stock Moves'!$S$5:$S$2005,'Stock Moves'!$AD$5:$AD$2005,$A88,'Stock Moves'!$A$5:$A$2005,"&gt;="&amp;ReportFrom,'Stock Moves'!$A$5:$A$2005,"&lt;="&amp;ReportTo)+SUMIFS('Stock Moves'!$T$5:$T$2005,'Stock Moves'!$V$5:$V$2005,$A88,'Stock Moves'!$A$5:$A$2005,"&gt;="&amp;ReportFrom,'Stock Moves'!$A$5:$A$2005,"&lt;="&amp;ReportTo))</f>
        <v/>
      </c>
      <c r="AI88" s="25">
        <f>IF($A88="",0,SUMIFS('Stock Moves'!$AF$5:$AF$2005,'Stock Moves'!$AE$5:$AE$2005,$A88,'Stock Moves'!$A$5:$A$2005,"&gt;="&amp;ReportFrom,'Stock Moves'!$A$5:$A$2005,"&lt;="&amp;ReportTo)+SUMIFS('Stock Moves'!$AC$5:$AC$2005,'Stock Moves'!$X$5:$X$2005,$A88,'Stock Moves'!$A$5:$A$2005,"&gt;="&amp;ReportFrom,'Stock Moves'!$A$5:$A$2005,"&lt;="&amp;ReportTo)+SUMIFS('Stock Moves'!$U$5:$U$2005,'Stock Moves'!$W$5:$W$2005,$A88,'Stock Moves'!$A$5:$A$2005,"&gt;="&amp;ReportFrom,'Stock Moves'!$A$5:$A$2005,"&lt;="&amp;ReportTo))</f>
        <v/>
      </c>
      <c r="AJ88" s="25">
        <f>IF($A88="",0,(SUMIFS('Journal Vouchers'!$I$5:$I$2005,'Journal Vouchers'!$H$5:$H$2005,$A88,'Journal Vouchers'!$B$5:$B$2005,"&lt;"&amp;ReportFrom))-(SUMIFS('Journal Vouchers'!$J$5:$J$2005,'Journal Vouchers'!$H$5:$H$2005,$A88,'Journal Vouchers'!$B$5:$B$2005,"&lt;"&amp;ReportFrom)))</f>
        <v/>
      </c>
      <c r="AK88" s="25">
        <f>IF($A88="",0,SUMIFS('Journal Vouchers'!$I$5:$I$2005,'Journal Vouchers'!$H$5:$H$2005,$A88,'Journal Vouchers'!$B$5:$B$2005,"&gt;="&amp;ReportFrom,'Journal Vouchers'!$B$5:$B$2005,"&lt;="&amp;ReportTo))</f>
        <v/>
      </c>
      <c r="AL88" s="25">
        <f>IF($A88="",0,SUMIFS('Journal Vouchers'!$J$5:$J$2005,'Journal Vouchers'!$H$5:$H$2005,$A88,'Journal Vouchers'!$B$5:$B$2005,"&gt;="&amp;ReportFrom,'Journal Vouchers'!$B$5:$B$2005,"&lt;="&amp;ReportTo))</f>
        <v/>
      </c>
    </row>
    <row r="89">
      <c r="A89" s="25">
        <f>IF('Chart of Accounts'!A89="","",'Chart of Accounts'!A89&amp;"")</f>
        <v/>
      </c>
      <c r="B89" s="25">
        <f>IF(A89="","",'Chart of Accounts'!B89)</f>
        <v/>
      </c>
      <c r="C89" s="25">
        <f>IF(A89="","",'Chart of Accounts'!C89)</f>
        <v/>
      </c>
      <c r="D89" s="25">
        <f>IF(A89="","",'Chart of Accounts'!D89)</f>
        <v/>
      </c>
      <c r="E89" s="26">
        <f>L89+O89+R89+U89+X89+AA89+AD89+AG89+AJ89</f>
        <v/>
      </c>
      <c r="F89" s="26">
        <f>M89+P89+S89+V89+Y89+AB89+AE89+AH89+AK89</f>
        <v/>
      </c>
      <c r="G89" s="26">
        <f>N89+Q89+T89+W89+Z89+AC89+AF89+AI89+AL89</f>
        <v/>
      </c>
      <c r="H89" s="26">
        <f>E89+F89-G89</f>
        <v/>
      </c>
      <c r="I89" s="26">
        <f>MAX(H89,0)</f>
        <v/>
      </c>
      <c r="J89" s="26">
        <f>MAX(-H89,0)</f>
        <v/>
      </c>
      <c r="L89" s="25">
        <f>IF($A89="",0,(SUMIFS('Direct Costs'!$R$5:$R$2005,'Direct Costs'!$V$5:$V$2005,$A89,'Direct Costs'!$A$5:$A$2005,"&lt;"&amp;ReportFrom)+SUMIFS('Direct Costs'!$S$5:$S$2005,'Direct Costs'!$Y$5:$Y$2005,$A89,'Direct Costs'!$A$5:$A$2005,"&lt;"&amp;ReportFrom))-(SUMIFS('Direct Costs'!$L$5:$L$2005,'Direct Costs'!$W$5:$W$2005,$A89,'Direct Costs'!$A$5:$A$2005,"&lt;"&amp;ReportFrom)+SUMIFS('Direct Costs'!$U$5:$U$2005,'Direct Costs'!$X$5:$X$2005,$A89,'Direct Costs'!$A$5:$A$2005,"&lt;"&amp;ReportFrom)+SUMIFS('Direct Costs'!$T$5:$T$2005,'Direct Costs'!$Z$5:$Z$2005,$A89,'Direct Costs'!$A$5:$A$2005,"&lt;"&amp;ReportFrom)))</f>
        <v/>
      </c>
      <c r="M89" s="25">
        <f>IF($A89="",0,SUMIFS('Direct Costs'!$R$5:$R$2005,'Direct Costs'!$V$5:$V$2005,$A89,'Direct Costs'!$A$5:$A$2005,"&gt;="&amp;ReportFrom,'Direct Costs'!$A$5:$A$2005,"&lt;="&amp;ReportTo)+SUMIFS('Direct Costs'!$S$5:$S$2005,'Direct Costs'!$Y$5:$Y$2005,$A89,'Direct Costs'!$A$5:$A$2005,"&gt;="&amp;ReportFrom,'Direct Costs'!$A$5:$A$2005,"&lt;="&amp;ReportTo))</f>
        <v/>
      </c>
      <c r="N89" s="25">
        <f>IF($A89="",0,SUMIFS('Direct Costs'!$L$5:$L$2005,'Direct Costs'!$W$5:$W$2005,$A89,'Direct Costs'!$A$5:$A$2005,"&gt;="&amp;ReportFrom,'Direct Costs'!$A$5:$A$2005,"&lt;="&amp;ReportTo)+SUMIFS('Direct Costs'!$U$5:$U$2005,'Direct Costs'!$X$5:$X$2005,$A89,'Direct Costs'!$A$5:$A$2005,"&gt;="&amp;ReportFrom,'Direct Costs'!$A$5:$A$2005,"&lt;="&amp;ReportTo)+SUMIFS('Direct Costs'!$T$5:$T$2005,'Direct Costs'!$Z$5:$Z$2005,$A89,'Direct Costs'!$A$5:$A$2005,"&gt;="&amp;ReportFrom,'Direct Costs'!$A$5:$A$2005,"&lt;="&amp;ReportTo))</f>
        <v/>
      </c>
      <c r="O89" s="25">
        <f>IF($A89="",0,(SUMIFS('Operating Expenses'!$F$5:$F$2005,'Operating Expenses'!$Q$5:$Q$2005,$A89,'Operating Expenses'!$A$5:$A$2005,"&lt;"&amp;ReportFrom)+SUMIFS('Operating Expenses'!$M$5:$M$2005,'Operating Expenses'!$T$5:$T$2005,$A89,'Operating Expenses'!$A$5:$A$2005,"&lt;"&amp;ReportFrom))-(SUMIFS('Operating Expenses'!$O$5:$O$2005,'Operating Expenses'!$R$5:$R$2005,$A89,'Operating Expenses'!$A$5:$A$2005,"&lt;"&amp;ReportFrom)+SUMIFS('Operating Expenses'!$P$5:$P$2005,'Operating Expenses'!$S$5:$S$2005,$A89,'Operating Expenses'!$A$5:$A$2005,"&lt;"&amp;ReportFrom)+SUMIFS('Operating Expenses'!$N$5:$N$2005,'Operating Expenses'!$U$5:$U$2005,$A89,'Operating Expenses'!$A$5:$A$2005,"&lt;"&amp;ReportFrom)))</f>
        <v/>
      </c>
      <c r="P89" s="25">
        <f>IF($A89="",0,SUMIFS('Operating Expenses'!$F$5:$F$2005,'Operating Expenses'!$Q$5:$Q$2005,$A89,'Operating Expenses'!$A$5:$A$2005,"&gt;="&amp;ReportFrom,'Operating Expenses'!$A$5:$A$2005,"&lt;="&amp;ReportTo)+SUMIFS('Operating Expenses'!$M$5:$M$2005,'Operating Expenses'!$T$5:$T$2005,$A89,'Operating Expenses'!$A$5:$A$2005,"&gt;="&amp;ReportFrom,'Operating Expenses'!$A$5:$A$2005,"&lt;="&amp;ReportTo))</f>
        <v/>
      </c>
      <c r="Q89" s="25">
        <f>IF($A89="",0,SUMIFS('Operating Expenses'!$O$5:$O$2005,'Operating Expenses'!$R$5:$R$2005,$A89,'Operating Expenses'!$A$5:$A$2005,"&gt;="&amp;ReportFrom,'Operating Expenses'!$A$5:$A$2005,"&lt;="&amp;ReportTo)+SUMIFS('Operating Expenses'!$P$5:$P$2005,'Operating Expenses'!$S$5:$S$2005,$A89,'Operating Expenses'!$A$5:$A$2005,"&gt;="&amp;ReportFrom,'Operating Expenses'!$A$5:$A$2005,"&lt;="&amp;ReportTo)+SUMIFS('Operating Expenses'!$N$5:$N$2005,'Operating Expenses'!$U$5:$U$2005,$A89,'Operating Expenses'!$A$5:$A$2005,"&gt;="&amp;ReportFrom,'Operating Expenses'!$A$5:$A$2005,"&lt;="&amp;ReportTo))</f>
        <v/>
      </c>
      <c r="R89" s="25">
        <f>IF($A89="",0,(SUMIFS('Payroll'!$O$5:$O$2005,'Payroll'!$Q$5:$Q$2005,$A89,'Payroll'!$A$5:$A$2005,"&lt;"&amp;ReportFrom))-(SUMIFS('Payroll'!$K$5:$K$2005,'Payroll'!$R$5:$R$2005,$A89,'Payroll'!$A$5:$A$2005,"&lt;"&amp;ReportFrom)+SUMIFS('Payroll'!$P$5:$P$2005,'Payroll'!$S$5:$S$2005,$A89,'Payroll'!$A$5:$A$2005,"&lt;"&amp;ReportFrom)))</f>
        <v/>
      </c>
      <c r="S89" s="25">
        <f>IF($A89="",0,SUMIFS('Payroll'!$O$5:$O$2005,'Payroll'!$Q$5:$Q$2005,$A89,'Payroll'!$A$5:$A$2005,"&gt;="&amp;ReportFrom,'Payroll'!$A$5:$A$2005,"&lt;="&amp;ReportTo))</f>
        <v/>
      </c>
      <c r="T89" s="25">
        <f>IF($A89="",0,SUMIFS('Payroll'!$K$5:$K$2005,'Payroll'!$R$5:$R$2005,$A89,'Payroll'!$A$5:$A$2005,"&gt;="&amp;ReportFrom,'Payroll'!$A$5:$A$2005,"&lt;="&amp;ReportTo)+SUMIFS('Payroll'!$P$5:$P$2005,'Payroll'!$S$5:$S$2005,$A89,'Payroll'!$A$5:$A$2005,"&gt;="&amp;ReportFrom,'Payroll'!$A$5:$A$2005,"&lt;="&amp;ReportTo))</f>
        <v/>
      </c>
      <c r="U89" s="25">
        <f>IF($A89="",0,(SUMIFS('Receipt Vouchers'!$F$5:$F$2005,'Receipt Vouchers'!$O$5:$O$2005,$A89,'Receipt Vouchers'!$A$5:$A$2005,"&lt;"&amp;ReportFrom)+SUMIFS('Receipt Vouchers'!$J$5:$J$2005,'Receipt Vouchers'!$Q$5:$Q$2005,$A89,'Receipt Vouchers'!$A$5:$A$2005,"&lt;"&amp;ReportFrom))-(SUMIFS('Receipt Vouchers'!$N$5:$N$2005,'Receipt Vouchers'!$P$5:$P$2005,$A89,'Receipt Vouchers'!$A$5:$A$2005,"&lt;"&amp;ReportFrom)+SUMIFS('Receipt Vouchers'!$M$5:$M$2005,'Receipt Vouchers'!$R$5:$R$2005,$A89,'Receipt Vouchers'!$A$5:$A$2005,"&lt;"&amp;ReportFrom)))</f>
        <v/>
      </c>
      <c r="V89" s="25">
        <f>IF($A89="",0,SUMIFS('Receipt Vouchers'!$F$5:$F$2005,'Receipt Vouchers'!$O$5:$O$2005,$A89,'Receipt Vouchers'!$A$5:$A$2005,"&gt;="&amp;ReportFrom,'Receipt Vouchers'!$A$5:$A$2005,"&lt;="&amp;ReportTo)+SUMIFS('Receipt Vouchers'!$J$5:$J$2005,'Receipt Vouchers'!$Q$5:$Q$2005,$A89,'Receipt Vouchers'!$A$5:$A$2005,"&gt;="&amp;ReportFrom,'Receipt Vouchers'!$A$5:$A$2005,"&lt;="&amp;ReportTo))</f>
        <v/>
      </c>
      <c r="W89" s="25">
        <f>IF($A89="",0,SUMIFS('Receipt Vouchers'!$N$5:$N$2005,'Receipt Vouchers'!$P$5:$P$2005,$A89,'Receipt Vouchers'!$A$5:$A$2005,"&gt;="&amp;ReportFrom,'Receipt Vouchers'!$A$5:$A$2005,"&lt;="&amp;ReportTo)+SUMIFS('Receipt Vouchers'!$M$5:$M$2005,'Receipt Vouchers'!$R$5:$R$2005,$A89,'Receipt Vouchers'!$A$5:$A$2005,"&gt;="&amp;ReportFrom,'Receipt Vouchers'!$A$5:$A$2005,"&lt;="&amp;ReportTo))</f>
        <v/>
      </c>
      <c r="X89" s="25">
        <f>IF($A89="",0,(SUMIFS('Sales Invoices'!$O$5:$O$2005,'Sales Invoices'!$P$5:$P$2005,$A89,'Sales Invoices'!$B$5:$B$2005,"&lt;"&amp;ReportFrom)+SUMIFS('Sales Invoices'!$N$5:$N$2005,'Sales Invoices'!$R$5:$R$2005,$A89,'Sales Invoices'!$B$5:$B$2005,"&lt;"&amp;ReportFrom))-(SUMIFS('Sales Invoices'!$L$5:$L$2005,'Sales Invoices'!$Q$5:$Q$2005,$A89,'Sales Invoices'!$B$5:$B$2005,"&lt;"&amp;ReportFrom)+SUMIFS('Sales Invoices'!$M$5:$M$2005,'Sales Invoices'!$S$5:$S$2005,$A89,'Sales Invoices'!$B$5:$B$2005,"&lt;"&amp;ReportFrom)))</f>
        <v/>
      </c>
      <c r="Y89" s="25">
        <f>IF($A89="",0,SUMIFS('Sales Invoices'!$O$5:$O$2005,'Sales Invoices'!$P$5:$P$2005,$A89,'Sales Invoices'!$B$5:$B$2005,"&gt;="&amp;ReportFrom,'Sales Invoices'!$B$5:$B$2005,"&lt;="&amp;ReportTo)+SUMIFS('Sales Invoices'!$N$5:$N$2005,'Sales Invoices'!$R$5:$R$2005,$A89,'Sales Invoices'!$B$5:$B$2005,"&gt;="&amp;ReportFrom,'Sales Invoices'!$B$5:$B$2005,"&lt;="&amp;ReportTo))</f>
        <v/>
      </c>
      <c r="Z89" s="25">
        <f>IF($A89="",0,SUMIFS('Sales Invoices'!$L$5:$L$2005,'Sales Invoices'!$Q$5:$Q$2005,$A89,'Sales Invoices'!$B$5:$B$2005,"&gt;="&amp;ReportFrom,'Sales Invoices'!$B$5:$B$2005,"&lt;="&amp;ReportTo)+SUMIFS('Sales Invoices'!$M$5:$M$2005,'Sales Invoices'!$S$5:$S$2005,$A89,'Sales Invoices'!$B$5:$B$2005,"&gt;="&amp;ReportFrom,'Sales Invoices'!$B$5:$B$2005,"&lt;="&amp;ReportTo))</f>
        <v/>
      </c>
      <c r="AA89" s="25">
        <f>IF($A89="",0,(SUMIFS('Payment Vouchers'!$D$5:$D$2005,'Payment Vouchers'!$J$5:$J$2005,$A89,'Payment Vouchers'!$A$5:$A$2005,"&lt;"&amp;ReportFrom))-(SUMIFS('Payment Vouchers'!$D$5:$D$2005,'Payment Vouchers'!$K$5:$K$2005,$A89,'Payment Vouchers'!$A$5:$A$2005,"&lt;"&amp;ReportFrom)))</f>
        <v/>
      </c>
      <c r="AB89" s="25">
        <f>IF($A89="",0,SUMIFS('Payment Vouchers'!$D$5:$D$2005,'Payment Vouchers'!$J$5:$J$2005,$A89,'Payment Vouchers'!$A$5:$A$2005,"&gt;="&amp;ReportFrom,'Payment Vouchers'!$A$5:$A$2005,"&lt;="&amp;ReportTo))</f>
        <v/>
      </c>
      <c r="AC89" s="25">
        <f>IF($A89="",0,SUMIFS('Payment Vouchers'!$D$5:$D$2005,'Payment Vouchers'!$K$5:$K$2005,$A89,'Payment Vouchers'!$A$5:$A$2005,"&gt;="&amp;ReportFrom,'Payment Vouchers'!$A$5:$A$2005,"&lt;="&amp;ReportTo))</f>
        <v/>
      </c>
      <c r="AD89" s="25">
        <f>IF($A89="",0,(SUMIFS('Partner Transactions'!$D$5:$D$2005,'Partner Transactions'!$L$5:$L$2005,$A89,'Partner Transactions'!$A$5:$A$2005,"&lt;"&amp;ReportFrom))-(SUMIFS('Partner Transactions'!$D$5:$D$2005,'Partner Transactions'!$M$5:$M$2005,$A89,'Partner Transactions'!$A$5:$A$2005,"&lt;"&amp;ReportFrom)))</f>
        <v/>
      </c>
      <c r="AE89" s="25">
        <f>IF($A89="",0,SUMIFS('Partner Transactions'!$D$5:$D$2005,'Partner Transactions'!$L$5:$L$2005,$A89,'Partner Transactions'!$A$5:$A$2005,"&gt;="&amp;ReportFrom,'Partner Transactions'!$A$5:$A$2005,"&lt;="&amp;ReportTo))</f>
        <v/>
      </c>
      <c r="AF89" s="25">
        <f>IF($A89="",0,SUMIFS('Partner Transactions'!$D$5:$D$2005,'Partner Transactions'!$M$5:$M$2005,$A89,'Partner Transactions'!$A$5:$A$2005,"&gt;="&amp;ReportFrom,'Partner Transactions'!$A$5:$A$2005,"&lt;="&amp;ReportTo))</f>
        <v/>
      </c>
      <c r="AG89" s="25">
        <f>IF($A89="",0,(SUMIFS('Stock Moves'!$S$5:$S$2005,'Stock Moves'!$AD$5:$AD$2005,$A89,'Stock Moves'!$A$5:$A$2005,"&lt;"&amp;ReportFrom)+SUMIFS('Stock Moves'!$T$5:$T$2005,'Stock Moves'!$V$5:$V$2005,$A89,'Stock Moves'!$A$5:$A$2005,"&lt;"&amp;ReportFrom))-(SUMIFS('Stock Moves'!$AF$5:$AF$2005,'Stock Moves'!$AE$5:$AE$2005,$A89,'Stock Moves'!$A$5:$A$2005,"&lt;"&amp;ReportFrom)+SUMIFS('Stock Moves'!$AC$5:$AC$2005,'Stock Moves'!$X$5:$X$2005,$A89,'Stock Moves'!$A$5:$A$2005,"&lt;"&amp;ReportFrom)+SUMIFS('Stock Moves'!$U$5:$U$2005,'Stock Moves'!$W$5:$W$2005,$A89,'Stock Moves'!$A$5:$A$2005,"&lt;"&amp;ReportFrom)))</f>
        <v/>
      </c>
      <c r="AH89" s="25">
        <f>IF($A89="",0,SUMIFS('Stock Moves'!$S$5:$S$2005,'Stock Moves'!$AD$5:$AD$2005,$A89,'Stock Moves'!$A$5:$A$2005,"&gt;="&amp;ReportFrom,'Stock Moves'!$A$5:$A$2005,"&lt;="&amp;ReportTo)+SUMIFS('Stock Moves'!$T$5:$T$2005,'Stock Moves'!$V$5:$V$2005,$A89,'Stock Moves'!$A$5:$A$2005,"&gt;="&amp;ReportFrom,'Stock Moves'!$A$5:$A$2005,"&lt;="&amp;ReportTo))</f>
        <v/>
      </c>
      <c r="AI89" s="25">
        <f>IF($A89="",0,SUMIFS('Stock Moves'!$AF$5:$AF$2005,'Stock Moves'!$AE$5:$AE$2005,$A89,'Stock Moves'!$A$5:$A$2005,"&gt;="&amp;ReportFrom,'Stock Moves'!$A$5:$A$2005,"&lt;="&amp;ReportTo)+SUMIFS('Stock Moves'!$AC$5:$AC$2005,'Stock Moves'!$X$5:$X$2005,$A89,'Stock Moves'!$A$5:$A$2005,"&gt;="&amp;ReportFrom,'Stock Moves'!$A$5:$A$2005,"&lt;="&amp;ReportTo)+SUMIFS('Stock Moves'!$U$5:$U$2005,'Stock Moves'!$W$5:$W$2005,$A89,'Stock Moves'!$A$5:$A$2005,"&gt;="&amp;ReportFrom,'Stock Moves'!$A$5:$A$2005,"&lt;="&amp;ReportTo))</f>
        <v/>
      </c>
      <c r="AJ89" s="25">
        <f>IF($A89="",0,(SUMIFS('Journal Vouchers'!$I$5:$I$2005,'Journal Vouchers'!$H$5:$H$2005,$A89,'Journal Vouchers'!$B$5:$B$2005,"&lt;"&amp;ReportFrom))-(SUMIFS('Journal Vouchers'!$J$5:$J$2005,'Journal Vouchers'!$H$5:$H$2005,$A89,'Journal Vouchers'!$B$5:$B$2005,"&lt;"&amp;ReportFrom)))</f>
        <v/>
      </c>
      <c r="AK89" s="25">
        <f>IF($A89="",0,SUMIFS('Journal Vouchers'!$I$5:$I$2005,'Journal Vouchers'!$H$5:$H$2005,$A89,'Journal Vouchers'!$B$5:$B$2005,"&gt;="&amp;ReportFrom,'Journal Vouchers'!$B$5:$B$2005,"&lt;="&amp;ReportTo))</f>
        <v/>
      </c>
      <c r="AL89" s="25">
        <f>IF($A89="",0,SUMIFS('Journal Vouchers'!$J$5:$J$2005,'Journal Vouchers'!$H$5:$H$2005,$A89,'Journal Vouchers'!$B$5:$B$2005,"&gt;="&amp;ReportFrom,'Journal Vouchers'!$B$5:$B$2005,"&lt;="&amp;ReportTo))</f>
        <v/>
      </c>
    </row>
    <row r="90">
      <c r="A90" s="25">
        <f>IF('Chart of Accounts'!A90="","",'Chart of Accounts'!A90&amp;"")</f>
        <v/>
      </c>
      <c r="B90" s="25">
        <f>IF(A90="","",'Chart of Accounts'!B90)</f>
        <v/>
      </c>
      <c r="C90" s="25">
        <f>IF(A90="","",'Chart of Accounts'!C90)</f>
        <v/>
      </c>
      <c r="D90" s="25">
        <f>IF(A90="","",'Chart of Accounts'!D90)</f>
        <v/>
      </c>
      <c r="E90" s="26">
        <f>L90+O90+R90+U90+X90+AA90+AD90+AG90+AJ90</f>
        <v/>
      </c>
      <c r="F90" s="26">
        <f>M90+P90+S90+V90+Y90+AB90+AE90+AH90+AK90</f>
        <v/>
      </c>
      <c r="G90" s="26">
        <f>N90+Q90+T90+W90+Z90+AC90+AF90+AI90+AL90</f>
        <v/>
      </c>
      <c r="H90" s="26">
        <f>E90+F90-G90</f>
        <v/>
      </c>
      <c r="I90" s="26">
        <f>MAX(H90,0)</f>
        <v/>
      </c>
      <c r="J90" s="26">
        <f>MAX(-H90,0)</f>
        <v/>
      </c>
      <c r="L90" s="25">
        <f>IF($A90="",0,(SUMIFS('Direct Costs'!$R$5:$R$2005,'Direct Costs'!$V$5:$V$2005,$A90,'Direct Costs'!$A$5:$A$2005,"&lt;"&amp;ReportFrom)+SUMIFS('Direct Costs'!$S$5:$S$2005,'Direct Costs'!$Y$5:$Y$2005,$A90,'Direct Costs'!$A$5:$A$2005,"&lt;"&amp;ReportFrom))-(SUMIFS('Direct Costs'!$L$5:$L$2005,'Direct Costs'!$W$5:$W$2005,$A90,'Direct Costs'!$A$5:$A$2005,"&lt;"&amp;ReportFrom)+SUMIFS('Direct Costs'!$U$5:$U$2005,'Direct Costs'!$X$5:$X$2005,$A90,'Direct Costs'!$A$5:$A$2005,"&lt;"&amp;ReportFrom)+SUMIFS('Direct Costs'!$T$5:$T$2005,'Direct Costs'!$Z$5:$Z$2005,$A90,'Direct Costs'!$A$5:$A$2005,"&lt;"&amp;ReportFrom)))</f>
        <v/>
      </c>
      <c r="M90" s="25">
        <f>IF($A90="",0,SUMIFS('Direct Costs'!$R$5:$R$2005,'Direct Costs'!$V$5:$V$2005,$A90,'Direct Costs'!$A$5:$A$2005,"&gt;="&amp;ReportFrom,'Direct Costs'!$A$5:$A$2005,"&lt;="&amp;ReportTo)+SUMIFS('Direct Costs'!$S$5:$S$2005,'Direct Costs'!$Y$5:$Y$2005,$A90,'Direct Costs'!$A$5:$A$2005,"&gt;="&amp;ReportFrom,'Direct Costs'!$A$5:$A$2005,"&lt;="&amp;ReportTo))</f>
        <v/>
      </c>
      <c r="N90" s="25">
        <f>IF($A90="",0,SUMIFS('Direct Costs'!$L$5:$L$2005,'Direct Costs'!$W$5:$W$2005,$A90,'Direct Costs'!$A$5:$A$2005,"&gt;="&amp;ReportFrom,'Direct Costs'!$A$5:$A$2005,"&lt;="&amp;ReportTo)+SUMIFS('Direct Costs'!$U$5:$U$2005,'Direct Costs'!$X$5:$X$2005,$A90,'Direct Costs'!$A$5:$A$2005,"&gt;="&amp;ReportFrom,'Direct Costs'!$A$5:$A$2005,"&lt;="&amp;ReportTo)+SUMIFS('Direct Costs'!$T$5:$T$2005,'Direct Costs'!$Z$5:$Z$2005,$A90,'Direct Costs'!$A$5:$A$2005,"&gt;="&amp;ReportFrom,'Direct Costs'!$A$5:$A$2005,"&lt;="&amp;ReportTo))</f>
        <v/>
      </c>
      <c r="O90" s="25">
        <f>IF($A90="",0,(SUMIFS('Operating Expenses'!$F$5:$F$2005,'Operating Expenses'!$Q$5:$Q$2005,$A90,'Operating Expenses'!$A$5:$A$2005,"&lt;"&amp;ReportFrom)+SUMIFS('Operating Expenses'!$M$5:$M$2005,'Operating Expenses'!$T$5:$T$2005,$A90,'Operating Expenses'!$A$5:$A$2005,"&lt;"&amp;ReportFrom))-(SUMIFS('Operating Expenses'!$O$5:$O$2005,'Operating Expenses'!$R$5:$R$2005,$A90,'Operating Expenses'!$A$5:$A$2005,"&lt;"&amp;ReportFrom)+SUMIFS('Operating Expenses'!$P$5:$P$2005,'Operating Expenses'!$S$5:$S$2005,$A90,'Operating Expenses'!$A$5:$A$2005,"&lt;"&amp;ReportFrom)+SUMIFS('Operating Expenses'!$N$5:$N$2005,'Operating Expenses'!$U$5:$U$2005,$A90,'Operating Expenses'!$A$5:$A$2005,"&lt;"&amp;ReportFrom)))</f>
        <v/>
      </c>
      <c r="P90" s="25">
        <f>IF($A90="",0,SUMIFS('Operating Expenses'!$F$5:$F$2005,'Operating Expenses'!$Q$5:$Q$2005,$A90,'Operating Expenses'!$A$5:$A$2005,"&gt;="&amp;ReportFrom,'Operating Expenses'!$A$5:$A$2005,"&lt;="&amp;ReportTo)+SUMIFS('Operating Expenses'!$M$5:$M$2005,'Operating Expenses'!$T$5:$T$2005,$A90,'Operating Expenses'!$A$5:$A$2005,"&gt;="&amp;ReportFrom,'Operating Expenses'!$A$5:$A$2005,"&lt;="&amp;ReportTo))</f>
        <v/>
      </c>
      <c r="Q90" s="25">
        <f>IF($A90="",0,SUMIFS('Operating Expenses'!$O$5:$O$2005,'Operating Expenses'!$R$5:$R$2005,$A90,'Operating Expenses'!$A$5:$A$2005,"&gt;="&amp;ReportFrom,'Operating Expenses'!$A$5:$A$2005,"&lt;="&amp;ReportTo)+SUMIFS('Operating Expenses'!$P$5:$P$2005,'Operating Expenses'!$S$5:$S$2005,$A90,'Operating Expenses'!$A$5:$A$2005,"&gt;="&amp;ReportFrom,'Operating Expenses'!$A$5:$A$2005,"&lt;="&amp;ReportTo)+SUMIFS('Operating Expenses'!$N$5:$N$2005,'Operating Expenses'!$U$5:$U$2005,$A90,'Operating Expenses'!$A$5:$A$2005,"&gt;="&amp;ReportFrom,'Operating Expenses'!$A$5:$A$2005,"&lt;="&amp;ReportTo))</f>
        <v/>
      </c>
      <c r="R90" s="25">
        <f>IF($A90="",0,(SUMIFS('Payroll'!$O$5:$O$2005,'Payroll'!$Q$5:$Q$2005,$A90,'Payroll'!$A$5:$A$2005,"&lt;"&amp;ReportFrom))-(SUMIFS('Payroll'!$K$5:$K$2005,'Payroll'!$R$5:$R$2005,$A90,'Payroll'!$A$5:$A$2005,"&lt;"&amp;ReportFrom)+SUMIFS('Payroll'!$P$5:$P$2005,'Payroll'!$S$5:$S$2005,$A90,'Payroll'!$A$5:$A$2005,"&lt;"&amp;ReportFrom)))</f>
        <v/>
      </c>
      <c r="S90" s="25">
        <f>IF($A90="",0,SUMIFS('Payroll'!$O$5:$O$2005,'Payroll'!$Q$5:$Q$2005,$A90,'Payroll'!$A$5:$A$2005,"&gt;="&amp;ReportFrom,'Payroll'!$A$5:$A$2005,"&lt;="&amp;ReportTo))</f>
        <v/>
      </c>
      <c r="T90" s="25">
        <f>IF($A90="",0,SUMIFS('Payroll'!$K$5:$K$2005,'Payroll'!$R$5:$R$2005,$A90,'Payroll'!$A$5:$A$2005,"&gt;="&amp;ReportFrom,'Payroll'!$A$5:$A$2005,"&lt;="&amp;ReportTo)+SUMIFS('Payroll'!$P$5:$P$2005,'Payroll'!$S$5:$S$2005,$A90,'Payroll'!$A$5:$A$2005,"&gt;="&amp;ReportFrom,'Payroll'!$A$5:$A$2005,"&lt;="&amp;ReportTo))</f>
        <v/>
      </c>
      <c r="U90" s="25">
        <f>IF($A90="",0,(SUMIFS('Receipt Vouchers'!$F$5:$F$2005,'Receipt Vouchers'!$O$5:$O$2005,$A90,'Receipt Vouchers'!$A$5:$A$2005,"&lt;"&amp;ReportFrom)+SUMIFS('Receipt Vouchers'!$J$5:$J$2005,'Receipt Vouchers'!$Q$5:$Q$2005,$A90,'Receipt Vouchers'!$A$5:$A$2005,"&lt;"&amp;ReportFrom))-(SUMIFS('Receipt Vouchers'!$N$5:$N$2005,'Receipt Vouchers'!$P$5:$P$2005,$A90,'Receipt Vouchers'!$A$5:$A$2005,"&lt;"&amp;ReportFrom)+SUMIFS('Receipt Vouchers'!$M$5:$M$2005,'Receipt Vouchers'!$R$5:$R$2005,$A90,'Receipt Vouchers'!$A$5:$A$2005,"&lt;"&amp;ReportFrom)))</f>
        <v/>
      </c>
      <c r="V90" s="25">
        <f>IF($A90="",0,SUMIFS('Receipt Vouchers'!$F$5:$F$2005,'Receipt Vouchers'!$O$5:$O$2005,$A90,'Receipt Vouchers'!$A$5:$A$2005,"&gt;="&amp;ReportFrom,'Receipt Vouchers'!$A$5:$A$2005,"&lt;="&amp;ReportTo)+SUMIFS('Receipt Vouchers'!$J$5:$J$2005,'Receipt Vouchers'!$Q$5:$Q$2005,$A90,'Receipt Vouchers'!$A$5:$A$2005,"&gt;="&amp;ReportFrom,'Receipt Vouchers'!$A$5:$A$2005,"&lt;="&amp;ReportTo))</f>
        <v/>
      </c>
      <c r="W90" s="25">
        <f>IF($A90="",0,SUMIFS('Receipt Vouchers'!$N$5:$N$2005,'Receipt Vouchers'!$P$5:$P$2005,$A90,'Receipt Vouchers'!$A$5:$A$2005,"&gt;="&amp;ReportFrom,'Receipt Vouchers'!$A$5:$A$2005,"&lt;="&amp;ReportTo)+SUMIFS('Receipt Vouchers'!$M$5:$M$2005,'Receipt Vouchers'!$R$5:$R$2005,$A90,'Receipt Vouchers'!$A$5:$A$2005,"&gt;="&amp;ReportFrom,'Receipt Vouchers'!$A$5:$A$2005,"&lt;="&amp;ReportTo))</f>
        <v/>
      </c>
      <c r="X90" s="25">
        <f>IF($A90="",0,(SUMIFS('Sales Invoices'!$O$5:$O$2005,'Sales Invoices'!$P$5:$P$2005,$A90,'Sales Invoices'!$B$5:$B$2005,"&lt;"&amp;ReportFrom)+SUMIFS('Sales Invoices'!$N$5:$N$2005,'Sales Invoices'!$R$5:$R$2005,$A90,'Sales Invoices'!$B$5:$B$2005,"&lt;"&amp;ReportFrom))-(SUMIFS('Sales Invoices'!$L$5:$L$2005,'Sales Invoices'!$Q$5:$Q$2005,$A90,'Sales Invoices'!$B$5:$B$2005,"&lt;"&amp;ReportFrom)+SUMIFS('Sales Invoices'!$M$5:$M$2005,'Sales Invoices'!$S$5:$S$2005,$A90,'Sales Invoices'!$B$5:$B$2005,"&lt;"&amp;ReportFrom)))</f>
        <v/>
      </c>
      <c r="Y90" s="25">
        <f>IF($A90="",0,SUMIFS('Sales Invoices'!$O$5:$O$2005,'Sales Invoices'!$P$5:$P$2005,$A90,'Sales Invoices'!$B$5:$B$2005,"&gt;="&amp;ReportFrom,'Sales Invoices'!$B$5:$B$2005,"&lt;="&amp;ReportTo)+SUMIFS('Sales Invoices'!$N$5:$N$2005,'Sales Invoices'!$R$5:$R$2005,$A90,'Sales Invoices'!$B$5:$B$2005,"&gt;="&amp;ReportFrom,'Sales Invoices'!$B$5:$B$2005,"&lt;="&amp;ReportTo))</f>
        <v/>
      </c>
      <c r="Z90" s="25">
        <f>IF($A90="",0,SUMIFS('Sales Invoices'!$L$5:$L$2005,'Sales Invoices'!$Q$5:$Q$2005,$A90,'Sales Invoices'!$B$5:$B$2005,"&gt;="&amp;ReportFrom,'Sales Invoices'!$B$5:$B$2005,"&lt;="&amp;ReportTo)+SUMIFS('Sales Invoices'!$M$5:$M$2005,'Sales Invoices'!$S$5:$S$2005,$A90,'Sales Invoices'!$B$5:$B$2005,"&gt;="&amp;ReportFrom,'Sales Invoices'!$B$5:$B$2005,"&lt;="&amp;ReportTo))</f>
        <v/>
      </c>
      <c r="AA90" s="25">
        <f>IF($A90="",0,(SUMIFS('Payment Vouchers'!$D$5:$D$2005,'Payment Vouchers'!$J$5:$J$2005,$A90,'Payment Vouchers'!$A$5:$A$2005,"&lt;"&amp;ReportFrom))-(SUMIFS('Payment Vouchers'!$D$5:$D$2005,'Payment Vouchers'!$K$5:$K$2005,$A90,'Payment Vouchers'!$A$5:$A$2005,"&lt;"&amp;ReportFrom)))</f>
        <v/>
      </c>
      <c r="AB90" s="25">
        <f>IF($A90="",0,SUMIFS('Payment Vouchers'!$D$5:$D$2005,'Payment Vouchers'!$J$5:$J$2005,$A90,'Payment Vouchers'!$A$5:$A$2005,"&gt;="&amp;ReportFrom,'Payment Vouchers'!$A$5:$A$2005,"&lt;="&amp;ReportTo))</f>
        <v/>
      </c>
      <c r="AC90" s="25">
        <f>IF($A90="",0,SUMIFS('Payment Vouchers'!$D$5:$D$2005,'Payment Vouchers'!$K$5:$K$2005,$A90,'Payment Vouchers'!$A$5:$A$2005,"&gt;="&amp;ReportFrom,'Payment Vouchers'!$A$5:$A$2005,"&lt;="&amp;ReportTo))</f>
        <v/>
      </c>
      <c r="AD90" s="25">
        <f>IF($A90="",0,(SUMIFS('Partner Transactions'!$D$5:$D$2005,'Partner Transactions'!$L$5:$L$2005,$A90,'Partner Transactions'!$A$5:$A$2005,"&lt;"&amp;ReportFrom))-(SUMIFS('Partner Transactions'!$D$5:$D$2005,'Partner Transactions'!$M$5:$M$2005,$A90,'Partner Transactions'!$A$5:$A$2005,"&lt;"&amp;ReportFrom)))</f>
        <v/>
      </c>
      <c r="AE90" s="25">
        <f>IF($A90="",0,SUMIFS('Partner Transactions'!$D$5:$D$2005,'Partner Transactions'!$L$5:$L$2005,$A90,'Partner Transactions'!$A$5:$A$2005,"&gt;="&amp;ReportFrom,'Partner Transactions'!$A$5:$A$2005,"&lt;="&amp;ReportTo))</f>
        <v/>
      </c>
      <c r="AF90" s="25">
        <f>IF($A90="",0,SUMIFS('Partner Transactions'!$D$5:$D$2005,'Partner Transactions'!$M$5:$M$2005,$A90,'Partner Transactions'!$A$5:$A$2005,"&gt;="&amp;ReportFrom,'Partner Transactions'!$A$5:$A$2005,"&lt;="&amp;ReportTo))</f>
        <v/>
      </c>
      <c r="AG90" s="25">
        <f>IF($A90="",0,(SUMIFS('Stock Moves'!$S$5:$S$2005,'Stock Moves'!$AD$5:$AD$2005,$A90,'Stock Moves'!$A$5:$A$2005,"&lt;"&amp;ReportFrom)+SUMIFS('Stock Moves'!$T$5:$T$2005,'Stock Moves'!$V$5:$V$2005,$A90,'Stock Moves'!$A$5:$A$2005,"&lt;"&amp;ReportFrom))-(SUMIFS('Stock Moves'!$AF$5:$AF$2005,'Stock Moves'!$AE$5:$AE$2005,$A90,'Stock Moves'!$A$5:$A$2005,"&lt;"&amp;ReportFrom)+SUMIFS('Stock Moves'!$AC$5:$AC$2005,'Stock Moves'!$X$5:$X$2005,$A90,'Stock Moves'!$A$5:$A$2005,"&lt;"&amp;ReportFrom)+SUMIFS('Stock Moves'!$U$5:$U$2005,'Stock Moves'!$W$5:$W$2005,$A90,'Stock Moves'!$A$5:$A$2005,"&lt;"&amp;ReportFrom)))</f>
        <v/>
      </c>
      <c r="AH90" s="25">
        <f>IF($A90="",0,SUMIFS('Stock Moves'!$S$5:$S$2005,'Stock Moves'!$AD$5:$AD$2005,$A90,'Stock Moves'!$A$5:$A$2005,"&gt;="&amp;ReportFrom,'Stock Moves'!$A$5:$A$2005,"&lt;="&amp;ReportTo)+SUMIFS('Stock Moves'!$T$5:$T$2005,'Stock Moves'!$V$5:$V$2005,$A90,'Stock Moves'!$A$5:$A$2005,"&gt;="&amp;ReportFrom,'Stock Moves'!$A$5:$A$2005,"&lt;="&amp;ReportTo))</f>
        <v/>
      </c>
      <c r="AI90" s="25">
        <f>IF($A90="",0,SUMIFS('Stock Moves'!$AF$5:$AF$2005,'Stock Moves'!$AE$5:$AE$2005,$A90,'Stock Moves'!$A$5:$A$2005,"&gt;="&amp;ReportFrom,'Stock Moves'!$A$5:$A$2005,"&lt;="&amp;ReportTo)+SUMIFS('Stock Moves'!$AC$5:$AC$2005,'Stock Moves'!$X$5:$X$2005,$A90,'Stock Moves'!$A$5:$A$2005,"&gt;="&amp;ReportFrom,'Stock Moves'!$A$5:$A$2005,"&lt;="&amp;ReportTo)+SUMIFS('Stock Moves'!$U$5:$U$2005,'Stock Moves'!$W$5:$W$2005,$A90,'Stock Moves'!$A$5:$A$2005,"&gt;="&amp;ReportFrom,'Stock Moves'!$A$5:$A$2005,"&lt;="&amp;ReportTo))</f>
        <v/>
      </c>
      <c r="AJ90" s="25">
        <f>IF($A90="",0,(SUMIFS('Journal Vouchers'!$I$5:$I$2005,'Journal Vouchers'!$H$5:$H$2005,$A90,'Journal Vouchers'!$B$5:$B$2005,"&lt;"&amp;ReportFrom))-(SUMIFS('Journal Vouchers'!$J$5:$J$2005,'Journal Vouchers'!$H$5:$H$2005,$A90,'Journal Vouchers'!$B$5:$B$2005,"&lt;"&amp;ReportFrom)))</f>
        <v/>
      </c>
      <c r="AK90" s="25">
        <f>IF($A90="",0,SUMIFS('Journal Vouchers'!$I$5:$I$2005,'Journal Vouchers'!$H$5:$H$2005,$A90,'Journal Vouchers'!$B$5:$B$2005,"&gt;="&amp;ReportFrom,'Journal Vouchers'!$B$5:$B$2005,"&lt;="&amp;ReportTo))</f>
        <v/>
      </c>
      <c r="AL90" s="25">
        <f>IF($A90="",0,SUMIFS('Journal Vouchers'!$J$5:$J$2005,'Journal Vouchers'!$H$5:$H$2005,$A90,'Journal Vouchers'!$B$5:$B$2005,"&gt;="&amp;ReportFrom,'Journal Vouchers'!$B$5:$B$2005,"&lt;="&amp;ReportTo))</f>
        <v/>
      </c>
    </row>
    <row r="91">
      <c r="A91" s="25">
        <f>IF('Chart of Accounts'!A91="","",'Chart of Accounts'!A91&amp;"")</f>
        <v/>
      </c>
      <c r="B91" s="25">
        <f>IF(A91="","",'Chart of Accounts'!B91)</f>
        <v/>
      </c>
      <c r="C91" s="25">
        <f>IF(A91="","",'Chart of Accounts'!C91)</f>
        <v/>
      </c>
      <c r="D91" s="25">
        <f>IF(A91="","",'Chart of Accounts'!D91)</f>
        <v/>
      </c>
      <c r="E91" s="26">
        <f>L91+O91+R91+U91+X91+AA91+AD91+AG91+AJ91</f>
        <v/>
      </c>
      <c r="F91" s="26">
        <f>M91+P91+S91+V91+Y91+AB91+AE91+AH91+AK91</f>
        <v/>
      </c>
      <c r="G91" s="26">
        <f>N91+Q91+T91+W91+Z91+AC91+AF91+AI91+AL91</f>
        <v/>
      </c>
      <c r="H91" s="26">
        <f>E91+F91-G91</f>
        <v/>
      </c>
      <c r="I91" s="26">
        <f>MAX(H91,0)</f>
        <v/>
      </c>
      <c r="J91" s="26">
        <f>MAX(-H91,0)</f>
        <v/>
      </c>
      <c r="L91" s="25">
        <f>IF($A91="",0,(SUMIFS('Direct Costs'!$R$5:$R$2005,'Direct Costs'!$V$5:$V$2005,$A91,'Direct Costs'!$A$5:$A$2005,"&lt;"&amp;ReportFrom)+SUMIFS('Direct Costs'!$S$5:$S$2005,'Direct Costs'!$Y$5:$Y$2005,$A91,'Direct Costs'!$A$5:$A$2005,"&lt;"&amp;ReportFrom))-(SUMIFS('Direct Costs'!$L$5:$L$2005,'Direct Costs'!$W$5:$W$2005,$A91,'Direct Costs'!$A$5:$A$2005,"&lt;"&amp;ReportFrom)+SUMIFS('Direct Costs'!$U$5:$U$2005,'Direct Costs'!$X$5:$X$2005,$A91,'Direct Costs'!$A$5:$A$2005,"&lt;"&amp;ReportFrom)+SUMIFS('Direct Costs'!$T$5:$T$2005,'Direct Costs'!$Z$5:$Z$2005,$A91,'Direct Costs'!$A$5:$A$2005,"&lt;"&amp;ReportFrom)))</f>
        <v/>
      </c>
      <c r="M91" s="25">
        <f>IF($A91="",0,SUMIFS('Direct Costs'!$R$5:$R$2005,'Direct Costs'!$V$5:$V$2005,$A91,'Direct Costs'!$A$5:$A$2005,"&gt;="&amp;ReportFrom,'Direct Costs'!$A$5:$A$2005,"&lt;="&amp;ReportTo)+SUMIFS('Direct Costs'!$S$5:$S$2005,'Direct Costs'!$Y$5:$Y$2005,$A91,'Direct Costs'!$A$5:$A$2005,"&gt;="&amp;ReportFrom,'Direct Costs'!$A$5:$A$2005,"&lt;="&amp;ReportTo))</f>
        <v/>
      </c>
      <c r="N91" s="25">
        <f>IF($A91="",0,SUMIFS('Direct Costs'!$L$5:$L$2005,'Direct Costs'!$W$5:$W$2005,$A91,'Direct Costs'!$A$5:$A$2005,"&gt;="&amp;ReportFrom,'Direct Costs'!$A$5:$A$2005,"&lt;="&amp;ReportTo)+SUMIFS('Direct Costs'!$U$5:$U$2005,'Direct Costs'!$X$5:$X$2005,$A91,'Direct Costs'!$A$5:$A$2005,"&gt;="&amp;ReportFrom,'Direct Costs'!$A$5:$A$2005,"&lt;="&amp;ReportTo)+SUMIFS('Direct Costs'!$T$5:$T$2005,'Direct Costs'!$Z$5:$Z$2005,$A91,'Direct Costs'!$A$5:$A$2005,"&gt;="&amp;ReportFrom,'Direct Costs'!$A$5:$A$2005,"&lt;="&amp;ReportTo))</f>
        <v/>
      </c>
      <c r="O91" s="25">
        <f>IF($A91="",0,(SUMIFS('Operating Expenses'!$F$5:$F$2005,'Operating Expenses'!$Q$5:$Q$2005,$A91,'Operating Expenses'!$A$5:$A$2005,"&lt;"&amp;ReportFrom)+SUMIFS('Operating Expenses'!$M$5:$M$2005,'Operating Expenses'!$T$5:$T$2005,$A91,'Operating Expenses'!$A$5:$A$2005,"&lt;"&amp;ReportFrom))-(SUMIFS('Operating Expenses'!$O$5:$O$2005,'Operating Expenses'!$R$5:$R$2005,$A91,'Operating Expenses'!$A$5:$A$2005,"&lt;"&amp;ReportFrom)+SUMIFS('Operating Expenses'!$P$5:$P$2005,'Operating Expenses'!$S$5:$S$2005,$A91,'Operating Expenses'!$A$5:$A$2005,"&lt;"&amp;ReportFrom)+SUMIFS('Operating Expenses'!$N$5:$N$2005,'Operating Expenses'!$U$5:$U$2005,$A91,'Operating Expenses'!$A$5:$A$2005,"&lt;"&amp;ReportFrom)))</f>
        <v/>
      </c>
      <c r="P91" s="25">
        <f>IF($A91="",0,SUMIFS('Operating Expenses'!$F$5:$F$2005,'Operating Expenses'!$Q$5:$Q$2005,$A91,'Operating Expenses'!$A$5:$A$2005,"&gt;="&amp;ReportFrom,'Operating Expenses'!$A$5:$A$2005,"&lt;="&amp;ReportTo)+SUMIFS('Operating Expenses'!$M$5:$M$2005,'Operating Expenses'!$T$5:$T$2005,$A91,'Operating Expenses'!$A$5:$A$2005,"&gt;="&amp;ReportFrom,'Operating Expenses'!$A$5:$A$2005,"&lt;="&amp;ReportTo))</f>
        <v/>
      </c>
      <c r="Q91" s="25">
        <f>IF($A91="",0,SUMIFS('Operating Expenses'!$O$5:$O$2005,'Operating Expenses'!$R$5:$R$2005,$A91,'Operating Expenses'!$A$5:$A$2005,"&gt;="&amp;ReportFrom,'Operating Expenses'!$A$5:$A$2005,"&lt;="&amp;ReportTo)+SUMIFS('Operating Expenses'!$P$5:$P$2005,'Operating Expenses'!$S$5:$S$2005,$A91,'Operating Expenses'!$A$5:$A$2005,"&gt;="&amp;ReportFrom,'Operating Expenses'!$A$5:$A$2005,"&lt;="&amp;ReportTo)+SUMIFS('Operating Expenses'!$N$5:$N$2005,'Operating Expenses'!$U$5:$U$2005,$A91,'Operating Expenses'!$A$5:$A$2005,"&gt;="&amp;ReportFrom,'Operating Expenses'!$A$5:$A$2005,"&lt;="&amp;ReportTo))</f>
        <v/>
      </c>
      <c r="R91" s="25">
        <f>IF($A91="",0,(SUMIFS('Payroll'!$O$5:$O$2005,'Payroll'!$Q$5:$Q$2005,$A91,'Payroll'!$A$5:$A$2005,"&lt;"&amp;ReportFrom))-(SUMIFS('Payroll'!$K$5:$K$2005,'Payroll'!$R$5:$R$2005,$A91,'Payroll'!$A$5:$A$2005,"&lt;"&amp;ReportFrom)+SUMIFS('Payroll'!$P$5:$P$2005,'Payroll'!$S$5:$S$2005,$A91,'Payroll'!$A$5:$A$2005,"&lt;"&amp;ReportFrom)))</f>
        <v/>
      </c>
      <c r="S91" s="25">
        <f>IF($A91="",0,SUMIFS('Payroll'!$O$5:$O$2005,'Payroll'!$Q$5:$Q$2005,$A91,'Payroll'!$A$5:$A$2005,"&gt;="&amp;ReportFrom,'Payroll'!$A$5:$A$2005,"&lt;="&amp;ReportTo))</f>
        <v/>
      </c>
      <c r="T91" s="25">
        <f>IF($A91="",0,SUMIFS('Payroll'!$K$5:$K$2005,'Payroll'!$R$5:$R$2005,$A91,'Payroll'!$A$5:$A$2005,"&gt;="&amp;ReportFrom,'Payroll'!$A$5:$A$2005,"&lt;="&amp;ReportTo)+SUMIFS('Payroll'!$P$5:$P$2005,'Payroll'!$S$5:$S$2005,$A91,'Payroll'!$A$5:$A$2005,"&gt;="&amp;ReportFrom,'Payroll'!$A$5:$A$2005,"&lt;="&amp;ReportTo))</f>
        <v/>
      </c>
      <c r="U91" s="25">
        <f>IF($A91="",0,(SUMIFS('Receipt Vouchers'!$F$5:$F$2005,'Receipt Vouchers'!$O$5:$O$2005,$A91,'Receipt Vouchers'!$A$5:$A$2005,"&lt;"&amp;ReportFrom)+SUMIFS('Receipt Vouchers'!$J$5:$J$2005,'Receipt Vouchers'!$Q$5:$Q$2005,$A91,'Receipt Vouchers'!$A$5:$A$2005,"&lt;"&amp;ReportFrom))-(SUMIFS('Receipt Vouchers'!$N$5:$N$2005,'Receipt Vouchers'!$P$5:$P$2005,$A91,'Receipt Vouchers'!$A$5:$A$2005,"&lt;"&amp;ReportFrom)+SUMIFS('Receipt Vouchers'!$M$5:$M$2005,'Receipt Vouchers'!$R$5:$R$2005,$A91,'Receipt Vouchers'!$A$5:$A$2005,"&lt;"&amp;ReportFrom)))</f>
        <v/>
      </c>
      <c r="V91" s="25">
        <f>IF($A91="",0,SUMIFS('Receipt Vouchers'!$F$5:$F$2005,'Receipt Vouchers'!$O$5:$O$2005,$A91,'Receipt Vouchers'!$A$5:$A$2005,"&gt;="&amp;ReportFrom,'Receipt Vouchers'!$A$5:$A$2005,"&lt;="&amp;ReportTo)+SUMIFS('Receipt Vouchers'!$J$5:$J$2005,'Receipt Vouchers'!$Q$5:$Q$2005,$A91,'Receipt Vouchers'!$A$5:$A$2005,"&gt;="&amp;ReportFrom,'Receipt Vouchers'!$A$5:$A$2005,"&lt;="&amp;ReportTo))</f>
        <v/>
      </c>
      <c r="W91" s="25">
        <f>IF($A91="",0,SUMIFS('Receipt Vouchers'!$N$5:$N$2005,'Receipt Vouchers'!$P$5:$P$2005,$A91,'Receipt Vouchers'!$A$5:$A$2005,"&gt;="&amp;ReportFrom,'Receipt Vouchers'!$A$5:$A$2005,"&lt;="&amp;ReportTo)+SUMIFS('Receipt Vouchers'!$M$5:$M$2005,'Receipt Vouchers'!$R$5:$R$2005,$A91,'Receipt Vouchers'!$A$5:$A$2005,"&gt;="&amp;ReportFrom,'Receipt Vouchers'!$A$5:$A$2005,"&lt;="&amp;ReportTo))</f>
        <v/>
      </c>
      <c r="X91" s="25">
        <f>IF($A91="",0,(SUMIFS('Sales Invoices'!$O$5:$O$2005,'Sales Invoices'!$P$5:$P$2005,$A91,'Sales Invoices'!$B$5:$B$2005,"&lt;"&amp;ReportFrom)+SUMIFS('Sales Invoices'!$N$5:$N$2005,'Sales Invoices'!$R$5:$R$2005,$A91,'Sales Invoices'!$B$5:$B$2005,"&lt;"&amp;ReportFrom))-(SUMIFS('Sales Invoices'!$L$5:$L$2005,'Sales Invoices'!$Q$5:$Q$2005,$A91,'Sales Invoices'!$B$5:$B$2005,"&lt;"&amp;ReportFrom)+SUMIFS('Sales Invoices'!$M$5:$M$2005,'Sales Invoices'!$S$5:$S$2005,$A91,'Sales Invoices'!$B$5:$B$2005,"&lt;"&amp;ReportFrom)))</f>
        <v/>
      </c>
      <c r="Y91" s="25">
        <f>IF($A91="",0,SUMIFS('Sales Invoices'!$O$5:$O$2005,'Sales Invoices'!$P$5:$P$2005,$A91,'Sales Invoices'!$B$5:$B$2005,"&gt;="&amp;ReportFrom,'Sales Invoices'!$B$5:$B$2005,"&lt;="&amp;ReportTo)+SUMIFS('Sales Invoices'!$N$5:$N$2005,'Sales Invoices'!$R$5:$R$2005,$A91,'Sales Invoices'!$B$5:$B$2005,"&gt;="&amp;ReportFrom,'Sales Invoices'!$B$5:$B$2005,"&lt;="&amp;ReportTo))</f>
        <v/>
      </c>
      <c r="Z91" s="25">
        <f>IF($A91="",0,SUMIFS('Sales Invoices'!$L$5:$L$2005,'Sales Invoices'!$Q$5:$Q$2005,$A91,'Sales Invoices'!$B$5:$B$2005,"&gt;="&amp;ReportFrom,'Sales Invoices'!$B$5:$B$2005,"&lt;="&amp;ReportTo)+SUMIFS('Sales Invoices'!$M$5:$M$2005,'Sales Invoices'!$S$5:$S$2005,$A91,'Sales Invoices'!$B$5:$B$2005,"&gt;="&amp;ReportFrom,'Sales Invoices'!$B$5:$B$2005,"&lt;="&amp;ReportTo))</f>
        <v/>
      </c>
      <c r="AA91" s="25">
        <f>IF($A91="",0,(SUMIFS('Payment Vouchers'!$D$5:$D$2005,'Payment Vouchers'!$J$5:$J$2005,$A91,'Payment Vouchers'!$A$5:$A$2005,"&lt;"&amp;ReportFrom))-(SUMIFS('Payment Vouchers'!$D$5:$D$2005,'Payment Vouchers'!$K$5:$K$2005,$A91,'Payment Vouchers'!$A$5:$A$2005,"&lt;"&amp;ReportFrom)))</f>
        <v/>
      </c>
      <c r="AB91" s="25">
        <f>IF($A91="",0,SUMIFS('Payment Vouchers'!$D$5:$D$2005,'Payment Vouchers'!$J$5:$J$2005,$A91,'Payment Vouchers'!$A$5:$A$2005,"&gt;="&amp;ReportFrom,'Payment Vouchers'!$A$5:$A$2005,"&lt;="&amp;ReportTo))</f>
        <v/>
      </c>
      <c r="AC91" s="25">
        <f>IF($A91="",0,SUMIFS('Payment Vouchers'!$D$5:$D$2005,'Payment Vouchers'!$K$5:$K$2005,$A91,'Payment Vouchers'!$A$5:$A$2005,"&gt;="&amp;ReportFrom,'Payment Vouchers'!$A$5:$A$2005,"&lt;="&amp;ReportTo))</f>
        <v/>
      </c>
      <c r="AD91" s="25">
        <f>IF($A91="",0,(SUMIFS('Partner Transactions'!$D$5:$D$2005,'Partner Transactions'!$L$5:$L$2005,$A91,'Partner Transactions'!$A$5:$A$2005,"&lt;"&amp;ReportFrom))-(SUMIFS('Partner Transactions'!$D$5:$D$2005,'Partner Transactions'!$M$5:$M$2005,$A91,'Partner Transactions'!$A$5:$A$2005,"&lt;"&amp;ReportFrom)))</f>
        <v/>
      </c>
      <c r="AE91" s="25">
        <f>IF($A91="",0,SUMIFS('Partner Transactions'!$D$5:$D$2005,'Partner Transactions'!$L$5:$L$2005,$A91,'Partner Transactions'!$A$5:$A$2005,"&gt;="&amp;ReportFrom,'Partner Transactions'!$A$5:$A$2005,"&lt;="&amp;ReportTo))</f>
        <v/>
      </c>
      <c r="AF91" s="25">
        <f>IF($A91="",0,SUMIFS('Partner Transactions'!$D$5:$D$2005,'Partner Transactions'!$M$5:$M$2005,$A91,'Partner Transactions'!$A$5:$A$2005,"&gt;="&amp;ReportFrom,'Partner Transactions'!$A$5:$A$2005,"&lt;="&amp;ReportTo))</f>
        <v/>
      </c>
      <c r="AG91" s="25">
        <f>IF($A91="",0,(SUMIFS('Stock Moves'!$S$5:$S$2005,'Stock Moves'!$AD$5:$AD$2005,$A91,'Stock Moves'!$A$5:$A$2005,"&lt;"&amp;ReportFrom)+SUMIFS('Stock Moves'!$T$5:$T$2005,'Stock Moves'!$V$5:$V$2005,$A91,'Stock Moves'!$A$5:$A$2005,"&lt;"&amp;ReportFrom))-(SUMIFS('Stock Moves'!$AF$5:$AF$2005,'Stock Moves'!$AE$5:$AE$2005,$A91,'Stock Moves'!$A$5:$A$2005,"&lt;"&amp;ReportFrom)+SUMIFS('Stock Moves'!$AC$5:$AC$2005,'Stock Moves'!$X$5:$X$2005,$A91,'Stock Moves'!$A$5:$A$2005,"&lt;"&amp;ReportFrom)+SUMIFS('Stock Moves'!$U$5:$U$2005,'Stock Moves'!$W$5:$W$2005,$A91,'Stock Moves'!$A$5:$A$2005,"&lt;"&amp;ReportFrom)))</f>
        <v/>
      </c>
      <c r="AH91" s="25">
        <f>IF($A91="",0,SUMIFS('Stock Moves'!$S$5:$S$2005,'Stock Moves'!$AD$5:$AD$2005,$A91,'Stock Moves'!$A$5:$A$2005,"&gt;="&amp;ReportFrom,'Stock Moves'!$A$5:$A$2005,"&lt;="&amp;ReportTo)+SUMIFS('Stock Moves'!$T$5:$T$2005,'Stock Moves'!$V$5:$V$2005,$A91,'Stock Moves'!$A$5:$A$2005,"&gt;="&amp;ReportFrom,'Stock Moves'!$A$5:$A$2005,"&lt;="&amp;ReportTo))</f>
        <v/>
      </c>
      <c r="AI91" s="25">
        <f>IF($A91="",0,SUMIFS('Stock Moves'!$AF$5:$AF$2005,'Stock Moves'!$AE$5:$AE$2005,$A91,'Stock Moves'!$A$5:$A$2005,"&gt;="&amp;ReportFrom,'Stock Moves'!$A$5:$A$2005,"&lt;="&amp;ReportTo)+SUMIFS('Stock Moves'!$AC$5:$AC$2005,'Stock Moves'!$X$5:$X$2005,$A91,'Stock Moves'!$A$5:$A$2005,"&gt;="&amp;ReportFrom,'Stock Moves'!$A$5:$A$2005,"&lt;="&amp;ReportTo)+SUMIFS('Stock Moves'!$U$5:$U$2005,'Stock Moves'!$W$5:$W$2005,$A91,'Stock Moves'!$A$5:$A$2005,"&gt;="&amp;ReportFrom,'Stock Moves'!$A$5:$A$2005,"&lt;="&amp;ReportTo))</f>
        <v/>
      </c>
      <c r="AJ91" s="25">
        <f>IF($A91="",0,(SUMIFS('Journal Vouchers'!$I$5:$I$2005,'Journal Vouchers'!$H$5:$H$2005,$A91,'Journal Vouchers'!$B$5:$B$2005,"&lt;"&amp;ReportFrom))-(SUMIFS('Journal Vouchers'!$J$5:$J$2005,'Journal Vouchers'!$H$5:$H$2005,$A91,'Journal Vouchers'!$B$5:$B$2005,"&lt;"&amp;ReportFrom)))</f>
        <v/>
      </c>
      <c r="AK91" s="25">
        <f>IF($A91="",0,SUMIFS('Journal Vouchers'!$I$5:$I$2005,'Journal Vouchers'!$H$5:$H$2005,$A91,'Journal Vouchers'!$B$5:$B$2005,"&gt;="&amp;ReportFrom,'Journal Vouchers'!$B$5:$B$2005,"&lt;="&amp;ReportTo))</f>
        <v/>
      </c>
      <c r="AL91" s="25">
        <f>IF($A91="",0,SUMIFS('Journal Vouchers'!$J$5:$J$2005,'Journal Vouchers'!$H$5:$H$2005,$A91,'Journal Vouchers'!$B$5:$B$2005,"&gt;="&amp;ReportFrom,'Journal Vouchers'!$B$5:$B$2005,"&lt;="&amp;ReportTo))</f>
        <v/>
      </c>
    </row>
    <row r="92">
      <c r="A92" s="25">
        <f>IF('Chart of Accounts'!A92="","",'Chart of Accounts'!A92&amp;"")</f>
        <v/>
      </c>
      <c r="B92" s="25">
        <f>IF(A92="","",'Chart of Accounts'!B92)</f>
        <v/>
      </c>
      <c r="C92" s="25">
        <f>IF(A92="","",'Chart of Accounts'!C92)</f>
        <v/>
      </c>
      <c r="D92" s="25">
        <f>IF(A92="","",'Chart of Accounts'!D92)</f>
        <v/>
      </c>
      <c r="E92" s="26">
        <f>L92+O92+R92+U92+X92+AA92+AD92+AG92+AJ92</f>
        <v/>
      </c>
      <c r="F92" s="26">
        <f>M92+P92+S92+V92+Y92+AB92+AE92+AH92+AK92</f>
        <v/>
      </c>
      <c r="G92" s="26">
        <f>N92+Q92+T92+W92+Z92+AC92+AF92+AI92+AL92</f>
        <v/>
      </c>
      <c r="H92" s="26">
        <f>E92+F92-G92</f>
        <v/>
      </c>
      <c r="I92" s="26">
        <f>MAX(H92,0)</f>
        <v/>
      </c>
      <c r="J92" s="26">
        <f>MAX(-H92,0)</f>
        <v/>
      </c>
      <c r="L92" s="25">
        <f>IF($A92="",0,(SUMIFS('Direct Costs'!$R$5:$R$2005,'Direct Costs'!$V$5:$V$2005,$A92,'Direct Costs'!$A$5:$A$2005,"&lt;"&amp;ReportFrom)+SUMIFS('Direct Costs'!$S$5:$S$2005,'Direct Costs'!$Y$5:$Y$2005,$A92,'Direct Costs'!$A$5:$A$2005,"&lt;"&amp;ReportFrom))-(SUMIFS('Direct Costs'!$L$5:$L$2005,'Direct Costs'!$W$5:$W$2005,$A92,'Direct Costs'!$A$5:$A$2005,"&lt;"&amp;ReportFrom)+SUMIFS('Direct Costs'!$U$5:$U$2005,'Direct Costs'!$X$5:$X$2005,$A92,'Direct Costs'!$A$5:$A$2005,"&lt;"&amp;ReportFrom)+SUMIFS('Direct Costs'!$T$5:$T$2005,'Direct Costs'!$Z$5:$Z$2005,$A92,'Direct Costs'!$A$5:$A$2005,"&lt;"&amp;ReportFrom)))</f>
        <v/>
      </c>
      <c r="M92" s="25">
        <f>IF($A92="",0,SUMIFS('Direct Costs'!$R$5:$R$2005,'Direct Costs'!$V$5:$V$2005,$A92,'Direct Costs'!$A$5:$A$2005,"&gt;="&amp;ReportFrom,'Direct Costs'!$A$5:$A$2005,"&lt;="&amp;ReportTo)+SUMIFS('Direct Costs'!$S$5:$S$2005,'Direct Costs'!$Y$5:$Y$2005,$A92,'Direct Costs'!$A$5:$A$2005,"&gt;="&amp;ReportFrom,'Direct Costs'!$A$5:$A$2005,"&lt;="&amp;ReportTo))</f>
        <v/>
      </c>
      <c r="N92" s="25">
        <f>IF($A92="",0,SUMIFS('Direct Costs'!$L$5:$L$2005,'Direct Costs'!$W$5:$W$2005,$A92,'Direct Costs'!$A$5:$A$2005,"&gt;="&amp;ReportFrom,'Direct Costs'!$A$5:$A$2005,"&lt;="&amp;ReportTo)+SUMIFS('Direct Costs'!$U$5:$U$2005,'Direct Costs'!$X$5:$X$2005,$A92,'Direct Costs'!$A$5:$A$2005,"&gt;="&amp;ReportFrom,'Direct Costs'!$A$5:$A$2005,"&lt;="&amp;ReportTo)+SUMIFS('Direct Costs'!$T$5:$T$2005,'Direct Costs'!$Z$5:$Z$2005,$A92,'Direct Costs'!$A$5:$A$2005,"&gt;="&amp;ReportFrom,'Direct Costs'!$A$5:$A$2005,"&lt;="&amp;ReportTo))</f>
        <v/>
      </c>
      <c r="O92" s="25">
        <f>IF($A92="",0,(SUMIFS('Operating Expenses'!$F$5:$F$2005,'Operating Expenses'!$Q$5:$Q$2005,$A92,'Operating Expenses'!$A$5:$A$2005,"&lt;"&amp;ReportFrom)+SUMIFS('Operating Expenses'!$M$5:$M$2005,'Operating Expenses'!$T$5:$T$2005,$A92,'Operating Expenses'!$A$5:$A$2005,"&lt;"&amp;ReportFrom))-(SUMIFS('Operating Expenses'!$O$5:$O$2005,'Operating Expenses'!$R$5:$R$2005,$A92,'Operating Expenses'!$A$5:$A$2005,"&lt;"&amp;ReportFrom)+SUMIFS('Operating Expenses'!$P$5:$P$2005,'Operating Expenses'!$S$5:$S$2005,$A92,'Operating Expenses'!$A$5:$A$2005,"&lt;"&amp;ReportFrom)+SUMIFS('Operating Expenses'!$N$5:$N$2005,'Operating Expenses'!$U$5:$U$2005,$A92,'Operating Expenses'!$A$5:$A$2005,"&lt;"&amp;ReportFrom)))</f>
        <v/>
      </c>
      <c r="P92" s="25">
        <f>IF($A92="",0,SUMIFS('Operating Expenses'!$F$5:$F$2005,'Operating Expenses'!$Q$5:$Q$2005,$A92,'Operating Expenses'!$A$5:$A$2005,"&gt;="&amp;ReportFrom,'Operating Expenses'!$A$5:$A$2005,"&lt;="&amp;ReportTo)+SUMIFS('Operating Expenses'!$M$5:$M$2005,'Operating Expenses'!$T$5:$T$2005,$A92,'Operating Expenses'!$A$5:$A$2005,"&gt;="&amp;ReportFrom,'Operating Expenses'!$A$5:$A$2005,"&lt;="&amp;ReportTo))</f>
        <v/>
      </c>
      <c r="Q92" s="25">
        <f>IF($A92="",0,SUMIFS('Operating Expenses'!$O$5:$O$2005,'Operating Expenses'!$R$5:$R$2005,$A92,'Operating Expenses'!$A$5:$A$2005,"&gt;="&amp;ReportFrom,'Operating Expenses'!$A$5:$A$2005,"&lt;="&amp;ReportTo)+SUMIFS('Operating Expenses'!$P$5:$P$2005,'Operating Expenses'!$S$5:$S$2005,$A92,'Operating Expenses'!$A$5:$A$2005,"&gt;="&amp;ReportFrom,'Operating Expenses'!$A$5:$A$2005,"&lt;="&amp;ReportTo)+SUMIFS('Operating Expenses'!$N$5:$N$2005,'Operating Expenses'!$U$5:$U$2005,$A92,'Operating Expenses'!$A$5:$A$2005,"&gt;="&amp;ReportFrom,'Operating Expenses'!$A$5:$A$2005,"&lt;="&amp;ReportTo))</f>
        <v/>
      </c>
      <c r="R92" s="25">
        <f>IF($A92="",0,(SUMIFS('Payroll'!$O$5:$O$2005,'Payroll'!$Q$5:$Q$2005,$A92,'Payroll'!$A$5:$A$2005,"&lt;"&amp;ReportFrom))-(SUMIFS('Payroll'!$K$5:$K$2005,'Payroll'!$R$5:$R$2005,$A92,'Payroll'!$A$5:$A$2005,"&lt;"&amp;ReportFrom)+SUMIFS('Payroll'!$P$5:$P$2005,'Payroll'!$S$5:$S$2005,$A92,'Payroll'!$A$5:$A$2005,"&lt;"&amp;ReportFrom)))</f>
        <v/>
      </c>
      <c r="S92" s="25">
        <f>IF($A92="",0,SUMIFS('Payroll'!$O$5:$O$2005,'Payroll'!$Q$5:$Q$2005,$A92,'Payroll'!$A$5:$A$2005,"&gt;="&amp;ReportFrom,'Payroll'!$A$5:$A$2005,"&lt;="&amp;ReportTo))</f>
        <v/>
      </c>
      <c r="T92" s="25">
        <f>IF($A92="",0,SUMIFS('Payroll'!$K$5:$K$2005,'Payroll'!$R$5:$R$2005,$A92,'Payroll'!$A$5:$A$2005,"&gt;="&amp;ReportFrom,'Payroll'!$A$5:$A$2005,"&lt;="&amp;ReportTo)+SUMIFS('Payroll'!$P$5:$P$2005,'Payroll'!$S$5:$S$2005,$A92,'Payroll'!$A$5:$A$2005,"&gt;="&amp;ReportFrom,'Payroll'!$A$5:$A$2005,"&lt;="&amp;ReportTo))</f>
        <v/>
      </c>
      <c r="U92" s="25">
        <f>IF($A92="",0,(SUMIFS('Receipt Vouchers'!$F$5:$F$2005,'Receipt Vouchers'!$O$5:$O$2005,$A92,'Receipt Vouchers'!$A$5:$A$2005,"&lt;"&amp;ReportFrom)+SUMIFS('Receipt Vouchers'!$J$5:$J$2005,'Receipt Vouchers'!$Q$5:$Q$2005,$A92,'Receipt Vouchers'!$A$5:$A$2005,"&lt;"&amp;ReportFrom))-(SUMIFS('Receipt Vouchers'!$N$5:$N$2005,'Receipt Vouchers'!$P$5:$P$2005,$A92,'Receipt Vouchers'!$A$5:$A$2005,"&lt;"&amp;ReportFrom)+SUMIFS('Receipt Vouchers'!$M$5:$M$2005,'Receipt Vouchers'!$R$5:$R$2005,$A92,'Receipt Vouchers'!$A$5:$A$2005,"&lt;"&amp;ReportFrom)))</f>
        <v/>
      </c>
      <c r="V92" s="25">
        <f>IF($A92="",0,SUMIFS('Receipt Vouchers'!$F$5:$F$2005,'Receipt Vouchers'!$O$5:$O$2005,$A92,'Receipt Vouchers'!$A$5:$A$2005,"&gt;="&amp;ReportFrom,'Receipt Vouchers'!$A$5:$A$2005,"&lt;="&amp;ReportTo)+SUMIFS('Receipt Vouchers'!$J$5:$J$2005,'Receipt Vouchers'!$Q$5:$Q$2005,$A92,'Receipt Vouchers'!$A$5:$A$2005,"&gt;="&amp;ReportFrom,'Receipt Vouchers'!$A$5:$A$2005,"&lt;="&amp;ReportTo))</f>
        <v/>
      </c>
      <c r="W92" s="25">
        <f>IF($A92="",0,SUMIFS('Receipt Vouchers'!$N$5:$N$2005,'Receipt Vouchers'!$P$5:$P$2005,$A92,'Receipt Vouchers'!$A$5:$A$2005,"&gt;="&amp;ReportFrom,'Receipt Vouchers'!$A$5:$A$2005,"&lt;="&amp;ReportTo)+SUMIFS('Receipt Vouchers'!$M$5:$M$2005,'Receipt Vouchers'!$R$5:$R$2005,$A92,'Receipt Vouchers'!$A$5:$A$2005,"&gt;="&amp;ReportFrom,'Receipt Vouchers'!$A$5:$A$2005,"&lt;="&amp;ReportTo))</f>
        <v/>
      </c>
      <c r="X92" s="25">
        <f>IF($A92="",0,(SUMIFS('Sales Invoices'!$O$5:$O$2005,'Sales Invoices'!$P$5:$P$2005,$A92,'Sales Invoices'!$B$5:$B$2005,"&lt;"&amp;ReportFrom)+SUMIFS('Sales Invoices'!$N$5:$N$2005,'Sales Invoices'!$R$5:$R$2005,$A92,'Sales Invoices'!$B$5:$B$2005,"&lt;"&amp;ReportFrom))-(SUMIFS('Sales Invoices'!$L$5:$L$2005,'Sales Invoices'!$Q$5:$Q$2005,$A92,'Sales Invoices'!$B$5:$B$2005,"&lt;"&amp;ReportFrom)+SUMIFS('Sales Invoices'!$M$5:$M$2005,'Sales Invoices'!$S$5:$S$2005,$A92,'Sales Invoices'!$B$5:$B$2005,"&lt;"&amp;ReportFrom)))</f>
        <v/>
      </c>
      <c r="Y92" s="25">
        <f>IF($A92="",0,SUMIFS('Sales Invoices'!$O$5:$O$2005,'Sales Invoices'!$P$5:$P$2005,$A92,'Sales Invoices'!$B$5:$B$2005,"&gt;="&amp;ReportFrom,'Sales Invoices'!$B$5:$B$2005,"&lt;="&amp;ReportTo)+SUMIFS('Sales Invoices'!$N$5:$N$2005,'Sales Invoices'!$R$5:$R$2005,$A92,'Sales Invoices'!$B$5:$B$2005,"&gt;="&amp;ReportFrom,'Sales Invoices'!$B$5:$B$2005,"&lt;="&amp;ReportTo))</f>
        <v/>
      </c>
      <c r="Z92" s="25">
        <f>IF($A92="",0,SUMIFS('Sales Invoices'!$L$5:$L$2005,'Sales Invoices'!$Q$5:$Q$2005,$A92,'Sales Invoices'!$B$5:$B$2005,"&gt;="&amp;ReportFrom,'Sales Invoices'!$B$5:$B$2005,"&lt;="&amp;ReportTo)+SUMIFS('Sales Invoices'!$M$5:$M$2005,'Sales Invoices'!$S$5:$S$2005,$A92,'Sales Invoices'!$B$5:$B$2005,"&gt;="&amp;ReportFrom,'Sales Invoices'!$B$5:$B$2005,"&lt;="&amp;ReportTo))</f>
        <v/>
      </c>
      <c r="AA92" s="25">
        <f>IF($A92="",0,(SUMIFS('Payment Vouchers'!$D$5:$D$2005,'Payment Vouchers'!$J$5:$J$2005,$A92,'Payment Vouchers'!$A$5:$A$2005,"&lt;"&amp;ReportFrom))-(SUMIFS('Payment Vouchers'!$D$5:$D$2005,'Payment Vouchers'!$K$5:$K$2005,$A92,'Payment Vouchers'!$A$5:$A$2005,"&lt;"&amp;ReportFrom)))</f>
        <v/>
      </c>
      <c r="AB92" s="25">
        <f>IF($A92="",0,SUMIFS('Payment Vouchers'!$D$5:$D$2005,'Payment Vouchers'!$J$5:$J$2005,$A92,'Payment Vouchers'!$A$5:$A$2005,"&gt;="&amp;ReportFrom,'Payment Vouchers'!$A$5:$A$2005,"&lt;="&amp;ReportTo))</f>
        <v/>
      </c>
      <c r="AC92" s="25">
        <f>IF($A92="",0,SUMIFS('Payment Vouchers'!$D$5:$D$2005,'Payment Vouchers'!$K$5:$K$2005,$A92,'Payment Vouchers'!$A$5:$A$2005,"&gt;="&amp;ReportFrom,'Payment Vouchers'!$A$5:$A$2005,"&lt;="&amp;ReportTo))</f>
        <v/>
      </c>
      <c r="AD92" s="25">
        <f>IF($A92="",0,(SUMIFS('Partner Transactions'!$D$5:$D$2005,'Partner Transactions'!$L$5:$L$2005,$A92,'Partner Transactions'!$A$5:$A$2005,"&lt;"&amp;ReportFrom))-(SUMIFS('Partner Transactions'!$D$5:$D$2005,'Partner Transactions'!$M$5:$M$2005,$A92,'Partner Transactions'!$A$5:$A$2005,"&lt;"&amp;ReportFrom)))</f>
        <v/>
      </c>
      <c r="AE92" s="25">
        <f>IF($A92="",0,SUMIFS('Partner Transactions'!$D$5:$D$2005,'Partner Transactions'!$L$5:$L$2005,$A92,'Partner Transactions'!$A$5:$A$2005,"&gt;="&amp;ReportFrom,'Partner Transactions'!$A$5:$A$2005,"&lt;="&amp;ReportTo))</f>
        <v/>
      </c>
      <c r="AF92" s="25">
        <f>IF($A92="",0,SUMIFS('Partner Transactions'!$D$5:$D$2005,'Partner Transactions'!$M$5:$M$2005,$A92,'Partner Transactions'!$A$5:$A$2005,"&gt;="&amp;ReportFrom,'Partner Transactions'!$A$5:$A$2005,"&lt;="&amp;ReportTo))</f>
        <v/>
      </c>
      <c r="AG92" s="25">
        <f>IF($A92="",0,(SUMIFS('Stock Moves'!$S$5:$S$2005,'Stock Moves'!$AD$5:$AD$2005,$A92,'Stock Moves'!$A$5:$A$2005,"&lt;"&amp;ReportFrom)+SUMIFS('Stock Moves'!$T$5:$T$2005,'Stock Moves'!$V$5:$V$2005,$A92,'Stock Moves'!$A$5:$A$2005,"&lt;"&amp;ReportFrom))-(SUMIFS('Stock Moves'!$AF$5:$AF$2005,'Stock Moves'!$AE$5:$AE$2005,$A92,'Stock Moves'!$A$5:$A$2005,"&lt;"&amp;ReportFrom)+SUMIFS('Stock Moves'!$AC$5:$AC$2005,'Stock Moves'!$X$5:$X$2005,$A92,'Stock Moves'!$A$5:$A$2005,"&lt;"&amp;ReportFrom)+SUMIFS('Stock Moves'!$U$5:$U$2005,'Stock Moves'!$W$5:$W$2005,$A92,'Stock Moves'!$A$5:$A$2005,"&lt;"&amp;ReportFrom)))</f>
        <v/>
      </c>
      <c r="AH92" s="25">
        <f>IF($A92="",0,SUMIFS('Stock Moves'!$S$5:$S$2005,'Stock Moves'!$AD$5:$AD$2005,$A92,'Stock Moves'!$A$5:$A$2005,"&gt;="&amp;ReportFrom,'Stock Moves'!$A$5:$A$2005,"&lt;="&amp;ReportTo)+SUMIFS('Stock Moves'!$T$5:$T$2005,'Stock Moves'!$V$5:$V$2005,$A92,'Stock Moves'!$A$5:$A$2005,"&gt;="&amp;ReportFrom,'Stock Moves'!$A$5:$A$2005,"&lt;="&amp;ReportTo))</f>
        <v/>
      </c>
      <c r="AI92" s="25">
        <f>IF($A92="",0,SUMIFS('Stock Moves'!$AF$5:$AF$2005,'Stock Moves'!$AE$5:$AE$2005,$A92,'Stock Moves'!$A$5:$A$2005,"&gt;="&amp;ReportFrom,'Stock Moves'!$A$5:$A$2005,"&lt;="&amp;ReportTo)+SUMIFS('Stock Moves'!$AC$5:$AC$2005,'Stock Moves'!$X$5:$X$2005,$A92,'Stock Moves'!$A$5:$A$2005,"&gt;="&amp;ReportFrom,'Stock Moves'!$A$5:$A$2005,"&lt;="&amp;ReportTo)+SUMIFS('Stock Moves'!$U$5:$U$2005,'Stock Moves'!$W$5:$W$2005,$A92,'Stock Moves'!$A$5:$A$2005,"&gt;="&amp;ReportFrom,'Stock Moves'!$A$5:$A$2005,"&lt;="&amp;ReportTo))</f>
        <v/>
      </c>
      <c r="AJ92" s="25">
        <f>IF($A92="",0,(SUMIFS('Journal Vouchers'!$I$5:$I$2005,'Journal Vouchers'!$H$5:$H$2005,$A92,'Journal Vouchers'!$B$5:$B$2005,"&lt;"&amp;ReportFrom))-(SUMIFS('Journal Vouchers'!$J$5:$J$2005,'Journal Vouchers'!$H$5:$H$2005,$A92,'Journal Vouchers'!$B$5:$B$2005,"&lt;"&amp;ReportFrom)))</f>
        <v/>
      </c>
      <c r="AK92" s="25">
        <f>IF($A92="",0,SUMIFS('Journal Vouchers'!$I$5:$I$2005,'Journal Vouchers'!$H$5:$H$2005,$A92,'Journal Vouchers'!$B$5:$B$2005,"&gt;="&amp;ReportFrom,'Journal Vouchers'!$B$5:$B$2005,"&lt;="&amp;ReportTo))</f>
        <v/>
      </c>
      <c r="AL92" s="25">
        <f>IF($A92="",0,SUMIFS('Journal Vouchers'!$J$5:$J$2005,'Journal Vouchers'!$H$5:$H$2005,$A92,'Journal Vouchers'!$B$5:$B$2005,"&gt;="&amp;ReportFrom,'Journal Vouchers'!$B$5:$B$2005,"&lt;="&amp;ReportTo))</f>
        <v/>
      </c>
    </row>
    <row r="93">
      <c r="A93" s="25">
        <f>IF('Chart of Accounts'!A93="","",'Chart of Accounts'!A93&amp;"")</f>
        <v/>
      </c>
      <c r="B93" s="25">
        <f>IF(A93="","",'Chart of Accounts'!B93)</f>
        <v/>
      </c>
      <c r="C93" s="25">
        <f>IF(A93="","",'Chart of Accounts'!C93)</f>
        <v/>
      </c>
      <c r="D93" s="25">
        <f>IF(A93="","",'Chart of Accounts'!D93)</f>
        <v/>
      </c>
      <c r="E93" s="26">
        <f>L93+O93+R93+U93+X93+AA93+AD93+AG93+AJ93</f>
        <v/>
      </c>
      <c r="F93" s="26">
        <f>M93+P93+S93+V93+Y93+AB93+AE93+AH93+AK93</f>
        <v/>
      </c>
      <c r="G93" s="26">
        <f>N93+Q93+T93+W93+Z93+AC93+AF93+AI93+AL93</f>
        <v/>
      </c>
      <c r="H93" s="26">
        <f>E93+F93-G93</f>
        <v/>
      </c>
      <c r="I93" s="26">
        <f>MAX(H93,0)</f>
        <v/>
      </c>
      <c r="J93" s="26">
        <f>MAX(-H93,0)</f>
        <v/>
      </c>
      <c r="L93" s="25">
        <f>IF($A93="",0,(SUMIFS('Direct Costs'!$R$5:$R$2005,'Direct Costs'!$V$5:$V$2005,$A93,'Direct Costs'!$A$5:$A$2005,"&lt;"&amp;ReportFrom)+SUMIFS('Direct Costs'!$S$5:$S$2005,'Direct Costs'!$Y$5:$Y$2005,$A93,'Direct Costs'!$A$5:$A$2005,"&lt;"&amp;ReportFrom))-(SUMIFS('Direct Costs'!$L$5:$L$2005,'Direct Costs'!$W$5:$W$2005,$A93,'Direct Costs'!$A$5:$A$2005,"&lt;"&amp;ReportFrom)+SUMIFS('Direct Costs'!$U$5:$U$2005,'Direct Costs'!$X$5:$X$2005,$A93,'Direct Costs'!$A$5:$A$2005,"&lt;"&amp;ReportFrom)+SUMIFS('Direct Costs'!$T$5:$T$2005,'Direct Costs'!$Z$5:$Z$2005,$A93,'Direct Costs'!$A$5:$A$2005,"&lt;"&amp;ReportFrom)))</f>
        <v/>
      </c>
      <c r="M93" s="25">
        <f>IF($A93="",0,SUMIFS('Direct Costs'!$R$5:$R$2005,'Direct Costs'!$V$5:$V$2005,$A93,'Direct Costs'!$A$5:$A$2005,"&gt;="&amp;ReportFrom,'Direct Costs'!$A$5:$A$2005,"&lt;="&amp;ReportTo)+SUMIFS('Direct Costs'!$S$5:$S$2005,'Direct Costs'!$Y$5:$Y$2005,$A93,'Direct Costs'!$A$5:$A$2005,"&gt;="&amp;ReportFrom,'Direct Costs'!$A$5:$A$2005,"&lt;="&amp;ReportTo))</f>
        <v/>
      </c>
      <c r="N93" s="25">
        <f>IF($A93="",0,SUMIFS('Direct Costs'!$L$5:$L$2005,'Direct Costs'!$W$5:$W$2005,$A93,'Direct Costs'!$A$5:$A$2005,"&gt;="&amp;ReportFrom,'Direct Costs'!$A$5:$A$2005,"&lt;="&amp;ReportTo)+SUMIFS('Direct Costs'!$U$5:$U$2005,'Direct Costs'!$X$5:$X$2005,$A93,'Direct Costs'!$A$5:$A$2005,"&gt;="&amp;ReportFrom,'Direct Costs'!$A$5:$A$2005,"&lt;="&amp;ReportTo)+SUMIFS('Direct Costs'!$T$5:$T$2005,'Direct Costs'!$Z$5:$Z$2005,$A93,'Direct Costs'!$A$5:$A$2005,"&gt;="&amp;ReportFrom,'Direct Costs'!$A$5:$A$2005,"&lt;="&amp;ReportTo))</f>
        <v/>
      </c>
      <c r="O93" s="25">
        <f>IF($A93="",0,(SUMIFS('Operating Expenses'!$F$5:$F$2005,'Operating Expenses'!$Q$5:$Q$2005,$A93,'Operating Expenses'!$A$5:$A$2005,"&lt;"&amp;ReportFrom)+SUMIFS('Operating Expenses'!$M$5:$M$2005,'Operating Expenses'!$T$5:$T$2005,$A93,'Operating Expenses'!$A$5:$A$2005,"&lt;"&amp;ReportFrom))-(SUMIFS('Operating Expenses'!$O$5:$O$2005,'Operating Expenses'!$R$5:$R$2005,$A93,'Operating Expenses'!$A$5:$A$2005,"&lt;"&amp;ReportFrom)+SUMIFS('Operating Expenses'!$P$5:$P$2005,'Operating Expenses'!$S$5:$S$2005,$A93,'Operating Expenses'!$A$5:$A$2005,"&lt;"&amp;ReportFrom)+SUMIFS('Operating Expenses'!$N$5:$N$2005,'Operating Expenses'!$U$5:$U$2005,$A93,'Operating Expenses'!$A$5:$A$2005,"&lt;"&amp;ReportFrom)))</f>
        <v/>
      </c>
      <c r="P93" s="25">
        <f>IF($A93="",0,SUMIFS('Operating Expenses'!$F$5:$F$2005,'Operating Expenses'!$Q$5:$Q$2005,$A93,'Operating Expenses'!$A$5:$A$2005,"&gt;="&amp;ReportFrom,'Operating Expenses'!$A$5:$A$2005,"&lt;="&amp;ReportTo)+SUMIFS('Operating Expenses'!$M$5:$M$2005,'Operating Expenses'!$T$5:$T$2005,$A93,'Operating Expenses'!$A$5:$A$2005,"&gt;="&amp;ReportFrom,'Operating Expenses'!$A$5:$A$2005,"&lt;="&amp;ReportTo))</f>
        <v/>
      </c>
      <c r="Q93" s="25">
        <f>IF($A93="",0,SUMIFS('Operating Expenses'!$O$5:$O$2005,'Operating Expenses'!$R$5:$R$2005,$A93,'Operating Expenses'!$A$5:$A$2005,"&gt;="&amp;ReportFrom,'Operating Expenses'!$A$5:$A$2005,"&lt;="&amp;ReportTo)+SUMIFS('Operating Expenses'!$P$5:$P$2005,'Operating Expenses'!$S$5:$S$2005,$A93,'Operating Expenses'!$A$5:$A$2005,"&gt;="&amp;ReportFrom,'Operating Expenses'!$A$5:$A$2005,"&lt;="&amp;ReportTo)+SUMIFS('Operating Expenses'!$N$5:$N$2005,'Operating Expenses'!$U$5:$U$2005,$A93,'Operating Expenses'!$A$5:$A$2005,"&gt;="&amp;ReportFrom,'Operating Expenses'!$A$5:$A$2005,"&lt;="&amp;ReportTo))</f>
        <v/>
      </c>
      <c r="R93" s="25">
        <f>IF($A93="",0,(SUMIFS('Payroll'!$O$5:$O$2005,'Payroll'!$Q$5:$Q$2005,$A93,'Payroll'!$A$5:$A$2005,"&lt;"&amp;ReportFrom))-(SUMIFS('Payroll'!$K$5:$K$2005,'Payroll'!$R$5:$R$2005,$A93,'Payroll'!$A$5:$A$2005,"&lt;"&amp;ReportFrom)+SUMIFS('Payroll'!$P$5:$P$2005,'Payroll'!$S$5:$S$2005,$A93,'Payroll'!$A$5:$A$2005,"&lt;"&amp;ReportFrom)))</f>
        <v/>
      </c>
      <c r="S93" s="25">
        <f>IF($A93="",0,SUMIFS('Payroll'!$O$5:$O$2005,'Payroll'!$Q$5:$Q$2005,$A93,'Payroll'!$A$5:$A$2005,"&gt;="&amp;ReportFrom,'Payroll'!$A$5:$A$2005,"&lt;="&amp;ReportTo))</f>
        <v/>
      </c>
      <c r="T93" s="25">
        <f>IF($A93="",0,SUMIFS('Payroll'!$K$5:$K$2005,'Payroll'!$R$5:$R$2005,$A93,'Payroll'!$A$5:$A$2005,"&gt;="&amp;ReportFrom,'Payroll'!$A$5:$A$2005,"&lt;="&amp;ReportTo)+SUMIFS('Payroll'!$P$5:$P$2005,'Payroll'!$S$5:$S$2005,$A93,'Payroll'!$A$5:$A$2005,"&gt;="&amp;ReportFrom,'Payroll'!$A$5:$A$2005,"&lt;="&amp;ReportTo))</f>
        <v/>
      </c>
      <c r="U93" s="25">
        <f>IF($A93="",0,(SUMIFS('Receipt Vouchers'!$F$5:$F$2005,'Receipt Vouchers'!$O$5:$O$2005,$A93,'Receipt Vouchers'!$A$5:$A$2005,"&lt;"&amp;ReportFrom)+SUMIFS('Receipt Vouchers'!$J$5:$J$2005,'Receipt Vouchers'!$Q$5:$Q$2005,$A93,'Receipt Vouchers'!$A$5:$A$2005,"&lt;"&amp;ReportFrom))-(SUMIFS('Receipt Vouchers'!$N$5:$N$2005,'Receipt Vouchers'!$P$5:$P$2005,$A93,'Receipt Vouchers'!$A$5:$A$2005,"&lt;"&amp;ReportFrom)+SUMIFS('Receipt Vouchers'!$M$5:$M$2005,'Receipt Vouchers'!$R$5:$R$2005,$A93,'Receipt Vouchers'!$A$5:$A$2005,"&lt;"&amp;ReportFrom)))</f>
        <v/>
      </c>
      <c r="V93" s="25">
        <f>IF($A93="",0,SUMIFS('Receipt Vouchers'!$F$5:$F$2005,'Receipt Vouchers'!$O$5:$O$2005,$A93,'Receipt Vouchers'!$A$5:$A$2005,"&gt;="&amp;ReportFrom,'Receipt Vouchers'!$A$5:$A$2005,"&lt;="&amp;ReportTo)+SUMIFS('Receipt Vouchers'!$J$5:$J$2005,'Receipt Vouchers'!$Q$5:$Q$2005,$A93,'Receipt Vouchers'!$A$5:$A$2005,"&gt;="&amp;ReportFrom,'Receipt Vouchers'!$A$5:$A$2005,"&lt;="&amp;ReportTo))</f>
        <v/>
      </c>
      <c r="W93" s="25">
        <f>IF($A93="",0,SUMIFS('Receipt Vouchers'!$N$5:$N$2005,'Receipt Vouchers'!$P$5:$P$2005,$A93,'Receipt Vouchers'!$A$5:$A$2005,"&gt;="&amp;ReportFrom,'Receipt Vouchers'!$A$5:$A$2005,"&lt;="&amp;ReportTo)+SUMIFS('Receipt Vouchers'!$M$5:$M$2005,'Receipt Vouchers'!$R$5:$R$2005,$A93,'Receipt Vouchers'!$A$5:$A$2005,"&gt;="&amp;ReportFrom,'Receipt Vouchers'!$A$5:$A$2005,"&lt;="&amp;ReportTo))</f>
        <v/>
      </c>
      <c r="X93" s="25">
        <f>IF($A93="",0,(SUMIFS('Sales Invoices'!$O$5:$O$2005,'Sales Invoices'!$P$5:$P$2005,$A93,'Sales Invoices'!$B$5:$B$2005,"&lt;"&amp;ReportFrom)+SUMIFS('Sales Invoices'!$N$5:$N$2005,'Sales Invoices'!$R$5:$R$2005,$A93,'Sales Invoices'!$B$5:$B$2005,"&lt;"&amp;ReportFrom))-(SUMIFS('Sales Invoices'!$L$5:$L$2005,'Sales Invoices'!$Q$5:$Q$2005,$A93,'Sales Invoices'!$B$5:$B$2005,"&lt;"&amp;ReportFrom)+SUMIFS('Sales Invoices'!$M$5:$M$2005,'Sales Invoices'!$S$5:$S$2005,$A93,'Sales Invoices'!$B$5:$B$2005,"&lt;"&amp;ReportFrom)))</f>
        <v/>
      </c>
      <c r="Y93" s="25">
        <f>IF($A93="",0,SUMIFS('Sales Invoices'!$O$5:$O$2005,'Sales Invoices'!$P$5:$P$2005,$A93,'Sales Invoices'!$B$5:$B$2005,"&gt;="&amp;ReportFrom,'Sales Invoices'!$B$5:$B$2005,"&lt;="&amp;ReportTo)+SUMIFS('Sales Invoices'!$N$5:$N$2005,'Sales Invoices'!$R$5:$R$2005,$A93,'Sales Invoices'!$B$5:$B$2005,"&gt;="&amp;ReportFrom,'Sales Invoices'!$B$5:$B$2005,"&lt;="&amp;ReportTo))</f>
        <v/>
      </c>
      <c r="Z93" s="25">
        <f>IF($A93="",0,SUMIFS('Sales Invoices'!$L$5:$L$2005,'Sales Invoices'!$Q$5:$Q$2005,$A93,'Sales Invoices'!$B$5:$B$2005,"&gt;="&amp;ReportFrom,'Sales Invoices'!$B$5:$B$2005,"&lt;="&amp;ReportTo)+SUMIFS('Sales Invoices'!$M$5:$M$2005,'Sales Invoices'!$S$5:$S$2005,$A93,'Sales Invoices'!$B$5:$B$2005,"&gt;="&amp;ReportFrom,'Sales Invoices'!$B$5:$B$2005,"&lt;="&amp;ReportTo))</f>
        <v/>
      </c>
      <c r="AA93" s="25">
        <f>IF($A93="",0,(SUMIFS('Payment Vouchers'!$D$5:$D$2005,'Payment Vouchers'!$J$5:$J$2005,$A93,'Payment Vouchers'!$A$5:$A$2005,"&lt;"&amp;ReportFrom))-(SUMIFS('Payment Vouchers'!$D$5:$D$2005,'Payment Vouchers'!$K$5:$K$2005,$A93,'Payment Vouchers'!$A$5:$A$2005,"&lt;"&amp;ReportFrom)))</f>
        <v/>
      </c>
      <c r="AB93" s="25">
        <f>IF($A93="",0,SUMIFS('Payment Vouchers'!$D$5:$D$2005,'Payment Vouchers'!$J$5:$J$2005,$A93,'Payment Vouchers'!$A$5:$A$2005,"&gt;="&amp;ReportFrom,'Payment Vouchers'!$A$5:$A$2005,"&lt;="&amp;ReportTo))</f>
        <v/>
      </c>
      <c r="AC93" s="25">
        <f>IF($A93="",0,SUMIFS('Payment Vouchers'!$D$5:$D$2005,'Payment Vouchers'!$K$5:$K$2005,$A93,'Payment Vouchers'!$A$5:$A$2005,"&gt;="&amp;ReportFrom,'Payment Vouchers'!$A$5:$A$2005,"&lt;="&amp;ReportTo))</f>
        <v/>
      </c>
      <c r="AD93" s="25">
        <f>IF($A93="",0,(SUMIFS('Partner Transactions'!$D$5:$D$2005,'Partner Transactions'!$L$5:$L$2005,$A93,'Partner Transactions'!$A$5:$A$2005,"&lt;"&amp;ReportFrom))-(SUMIFS('Partner Transactions'!$D$5:$D$2005,'Partner Transactions'!$M$5:$M$2005,$A93,'Partner Transactions'!$A$5:$A$2005,"&lt;"&amp;ReportFrom)))</f>
        <v/>
      </c>
      <c r="AE93" s="25">
        <f>IF($A93="",0,SUMIFS('Partner Transactions'!$D$5:$D$2005,'Partner Transactions'!$L$5:$L$2005,$A93,'Partner Transactions'!$A$5:$A$2005,"&gt;="&amp;ReportFrom,'Partner Transactions'!$A$5:$A$2005,"&lt;="&amp;ReportTo))</f>
        <v/>
      </c>
      <c r="AF93" s="25">
        <f>IF($A93="",0,SUMIFS('Partner Transactions'!$D$5:$D$2005,'Partner Transactions'!$M$5:$M$2005,$A93,'Partner Transactions'!$A$5:$A$2005,"&gt;="&amp;ReportFrom,'Partner Transactions'!$A$5:$A$2005,"&lt;="&amp;ReportTo))</f>
        <v/>
      </c>
      <c r="AG93" s="25">
        <f>IF($A93="",0,(SUMIFS('Stock Moves'!$S$5:$S$2005,'Stock Moves'!$AD$5:$AD$2005,$A93,'Stock Moves'!$A$5:$A$2005,"&lt;"&amp;ReportFrom)+SUMIFS('Stock Moves'!$T$5:$T$2005,'Stock Moves'!$V$5:$V$2005,$A93,'Stock Moves'!$A$5:$A$2005,"&lt;"&amp;ReportFrom))-(SUMIFS('Stock Moves'!$AF$5:$AF$2005,'Stock Moves'!$AE$5:$AE$2005,$A93,'Stock Moves'!$A$5:$A$2005,"&lt;"&amp;ReportFrom)+SUMIFS('Stock Moves'!$AC$5:$AC$2005,'Stock Moves'!$X$5:$X$2005,$A93,'Stock Moves'!$A$5:$A$2005,"&lt;"&amp;ReportFrom)+SUMIFS('Stock Moves'!$U$5:$U$2005,'Stock Moves'!$W$5:$W$2005,$A93,'Stock Moves'!$A$5:$A$2005,"&lt;"&amp;ReportFrom)))</f>
        <v/>
      </c>
      <c r="AH93" s="25">
        <f>IF($A93="",0,SUMIFS('Stock Moves'!$S$5:$S$2005,'Stock Moves'!$AD$5:$AD$2005,$A93,'Stock Moves'!$A$5:$A$2005,"&gt;="&amp;ReportFrom,'Stock Moves'!$A$5:$A$2005,"&lt;="&amp;ReportTo)+SUMIFS('Stock Moves'!$T$5:$T$2005,'Stock Moves'!$V$5:$V$2005,$A93,'Stock Moves'!$A$5:$A$2005,"&gt;="&amp;ReportFrom,'Stock Moves'!$A$5:$A$2005,"&lt;="&amp;ReportTo))</f>
        <v/>
      </c>
      <c r="AI93" s="25">
        <f>IF($A93="",0,SUMIFS('Stock Moves'!$AF$5:$AF$2005,'Stock Moves'!$AE$5:$AE$2005,$A93,'Stock Moves'!$A$5:$A$2005,"&gt;="&amp;ReportFrom,'Stock Moves'!$A$5:$A$2005,"&lt;="&amp;ReportTo)+SUMIFS('Stock Moves'!$AC$5:$AC$2005,'Stock Moves'!$X$5:$X$2005,$A93,'Stock Moves'!$A$5:$A$2005,"&gt;="&amp;ReportFrom,'Stock Moves'!$A$5:$A$2005,"&lt;="&amp;ReportTo)+SUMIFS('Stock Moves'!$U$5:$U$2005,'Stock Moves'!$W$5:$W$2005,$A93,'Stock Moves'!$A$5:$A$2005,"&gt;="&amp;ReportFrom,'Stock Moves'!$A$5:$A$2005,"&lt;="&amp;ReportTo))</f>
        <v/>
      </c>
      <c r="AJ93" s="25">
        <f>IF($A93="",0,(SUMIFS('Journal Vouchers'!$I$5:$I$2005,'Journal Vouchers'!$H$5:$H$2005,$A93,'Journal Vouchers'!$B$5:$B$2005,"&lt;"&amp;ReportFrom))-(SUMIFS('Journal Vouchers'!$J$5:$J$2005,'Journal Vouchers'!$H$5:$H$2005,$A93,'Journal Vouchers'!$B$5:$B$2005,"&lt;"&amp;ReportFrom)))</f>
        <v/>
      </c>
      <c r="AK93" s="25">
        <f>IF($A93="",0,SUMIFS('Journal Vouchers'!$I$5:$I$2005,'Journal Vouchers'!$H$5:$H$2005,$A93,'Journal Vouchers'!$B$5:$B$2005,"&gt;="&amp;ReportFrom,'Journal Vouchers'!$B$5:$B$2005,"&lt;="&amp;ReportTo))</f>
        <v/>
      </c>
      <c r="AL93" s="25">
        <f>IF($A93="",0,SUMIFS('Journal Vouchers'!$J$5:$J$2005,'Journal Vouchers'!$H$5:$H$2005,$A93,'Journal Vouchers'!$B$5:$B$2005,"&gt;="&amp;ReportFrom,'Journal Vouchers'!$B$5:$B$2005,"&lt;="&amp;ReportTo))</f>
        <v/>
      </c>
    </row>
    <row r="94">
      <c r="A94" s="25">
        <f>IF('Chart of Accounts'!A94="","",'Chart of Accounts'!A94&amp;"")</f>
        <v/>
      </c>
      <c r="B94" s="25">
        <f>IF(A94="","",'Chart of Accounts'!B94)</f>
        <v/>
      </c>
      <c r="C94" s="25">
        <f>IF(A94="","",'Chart of Accounts'!C94)</f>
        <v/>
      </c>
      <c r="D94" s="25">
        <f>IF(A94="","",'Chart of Accounts'!D94)</f>
        <v/>
      </c>
      <c r="E94" s="26">
        <f>L94+O94+R94+U94+X94+AA94+AD94+AG94+AJ94</f>
        <v/>
      </c>
      <c r="F94" s="26">
        <f>M94+P94+S94+V94+Y94+AB94+AE94+AH94+AK94</f>
        <v/>
      </c>
      <c r="G94" s="26">
        <f>N94+Q94+T94+W94+Z94+AC94+AF94+AI94+AL94</f>
        <v/>
      </c>
      <c r="H94" s="26">
        <f>E94+F94-G94</f>
        <v/>
      </c>
      <c r="I94" s="26">
        <f>MAX(H94,0)</f>
        <v/>
      </c>
      <c r="J94" s="26">
        <f>MAX(-H94,0)</f>
        <v/>
      </c>
      <c r="L94" s="25">
        <f>IF($A94="",0,(SUMIFS('Direct Costs'!$R$5:$R$2005,'Direct Costs'!$V$5:$V$2005,$A94,'Direct Costs'!$A$5:$A$2005,"&lt;"&amp;ReportFrom)+SUMIFS('Direct Costs'!$S$5:$S$2005,'Direct Costs'!$Y$5:$Y$2005,$A94,'Direct Costs'!$A$5:$A$2005,"&lt;"&amp;ReportFrom))-(SUMIFS('Direct Costs'!$L$5:$L$2005,'Direct Costs'!$W$5:$W$2005,$A94,'Direct Costs'!$A$5:$A$2005,"&lt;"&amp;ReportFrom)+SUMIFS('Direct Costs'!$U$5:$U$2005,'Direct Costs'!$X$5:$X$2005,$A94,'Direct Costs'!$A$5:$A$2005,"&lt;"&amp;ReportFrom)+SUMIFS('Direct Costs'!$T$5:$T$2005,'Direct Costs'!$Z$5:$Z$2005,$A94,'Direct Costs'!$A$5:$A$2005,"&lt;"&amp;ReportFrom)))</f>
        <v/>
      </c>
      <c r="M94" s="25">
        <f>IF($A94="",0,SUMIFS('Direct Costs'!$R$5:$R$2005,'Direct Costs'!$V$5:$V$2005,$A94,'Direct Costs'!$A$5:$A$2005,"&gt;="&amp;ReportFrom,'Direct Costs'!$A$5:$A$2005,"&lt;="&amp;ReportTo)+SUMIFS('Direct Costs'!$S$5:$S$2005,'Direct Costs'!$Y$5:$Y$2005,$A94,'Direct Costs'!$A$5:$A$2005,"&gt;="&amp;ReportFrom,'Direct Costs'!$A$5:$A$2005,"&lt;="&amp;ReportTo))</f>
        <v/>
      </c>
      <c r="N94" s="25">
        <f>IF($A94="",0,SUMIFS('Direct Costs'!$L$5:$L$2005,'Direct Costs'!$W$5:$W$2005,$A94,'Direct Costs'!$A$5:$A$2005,"&gt;="&amp;ReportFrom,'Direct Costs'!$A$5:$A$2005,"&lt;="&amp;ReportTo)+SUMIFS('Direct Costs'!$U$5:$U$2005,'Direct Costs'!$X$5:$X$2005,$A94,'Direct Costs'!$A$5:$A$2005,"&gt;="&amp;ReportFrom,'Direct Costs'!$A$5:$A$2005,"&lt;="&amp;ReportTo)+SUMIFS('Direct Costs'!$T$5:$T$2005,'Direct Costs'!$Z$5:$Z$2005,$A94,'Direct Costs'!$A$5:$A$2005,"&gt;="&amp;ReportFrom,'Direct Costs'!$A$5:$A$2005,"&lt;="&amp;ReportTo))</f>
        <v/>
      </c>
      <c r="O94" s="25">
        <f>IF($A94="",0,(SUMIFS('Operating Expenses'!$F$5:$F$2005,'Operating Expenses'!$Q$5:$Q$2005,$A94,'Operating Expenses'!$A$5:$A$2005,"&lt;"&amp;ReportFrom)+SUMIFS('Operating Expenses'!$M$5:$M$2005,'Operating Expenses'!$T$5:$T$2005,$A94,'Operating Expenses'!$A$5:$A$2005,"&lt;"&amp;ReportFrom))-(SUMIFS('Operating Expenses'!$O$5:$O$2005,'Operating Expenses'!$R$5:$R$2005,$A94,'Operating Expenses'!$A$5:$A$2005,"&lt;"&amp;ReportFrom)+SUMIFS('Operating Expenses'!$P$5:$P$2005,'Operating Expenses'!$S$5:$S$2005,$A94,'Operating Expenses'!$A$5:$A$2005,"&lt;"&amp;ReportFrom)+SUMIFS('Operating Expenses'!$N$5:$N$2005,'Operating Expenses'!$U$5:$U$2005,$A94,'Operating Expenses'!$A$5:$A$2005,"&lt;"&amp;ReportFrom)))</f>
        <v/>
      </c>
      <c r="P94" s="25">
        <f>IF($A94="",0,SUMIFS('Operating Expenses'!$F$5:$F$2005,'Operating Expenses'!$Q$5:$Q$2005,$A94,'Operating Expenses'!$A$5:$A$2005,"&gt;="&amp;ReportFrom,'Operating Expenses'!$A$5:$A$2005,"&lt;="&amp;ReportTo)+SUMIFS('Operating Expenses'!$M$5:$M$2005,'Operating Expenses'!$T$5:$T$2005,$A94,'Operating Expenses'!$A$5:$A$2005,"&gt;="&amp;ReportFrom,'Operating Expenses'!$A$5:$A$2005,"&lt;="&amp;ReportTo))</f>
        <v/>
      </c>
      <c r="Q94" s="25">
        <f>IF($A94="",0,SUMIFS('Operating Expenses'!$O$5:$O$2005,'Operating Expenses'!$R$5:$R$2005,$A94,'Operating Expenses'!$A$5:$A$2005,"&gt;="&amp;ReportFrom,'Operating Expenses'!$A$5:$A$2005,"&lt;="&amp;ReportTo)+SUMIFS('Operating Expenses'!$P$5:$P$2005,'Operating Expenses'!$S$5:$S$2005,$A94,'Operating Expenses'!$A$5:$A$2005,"&gt;="&amp;ReportFrom,'Operating Expenses'!$A$5:$A$2005,"&lt;="&amp;ReportTo)+SUMIFS('Operating Expenses'!$N$5:$N$2005,'Operating Expenses'!$U$5:$U$2005,$A94,'Operating Expenses'!$A$5:$A$2005,"&gt;="&amp;ReportFrom,'Operating Expenses'!$A$5:$A$2005,"&lt;="&amp;ReportTo))</f>
        <v/>
      </c>
      <c r="R94" s="25">
        <f>IF($A94="",0,(SUMIFS('Payroll'!$O$5:$O$2005,'Payroll'!$Q$5:$Q$2005,$A94,'Payroll'!$A$5:$A$2005,"&lt;"&amp;ReportFrom))-(SUMIFS('Payroll'!$K$5:$K$2005,'Payroll'!$R$5:$R$2005,$A94,'Payroll'!$A$5:$A$2005,"&lt;"&amp;ReportFrom)+SUMIFS('Payroll'!$P$5:$P$2005,'Payroll'!$S$5:$S$2005,$A94,'Payroll'!$A$5:$A$2005,"&lt;"&amp;ReportFrom)))</f>
        <v/>
      </c>
      <c r="S94" s="25">
        <f>IF($A94="",0,SUMIFS('Payroll'!$O$5:$O$2005,'Payroll'!$Q$5:$Q$2005,$A94,'Payroll'!$A$5:$A$2005,"&gt;="&amp;ReportFrom,'Payroll'!$A$5:$A$2005,"&lt;="&amp;ReportTo))</f>
        <v/>
      </c>
      <c r="T94" s="25">
        <f>IF($A94="",0,SUMIFS('Payroll'!$K$5:$K$2005,'Payroll'!$R$5:$R$2005,$A94,'Payroll'!$A$5:$A$2005,"&gt;="&amp;ReportFrom,'Payroll'!$A$5:$A$2005,"&lt;="&amp;ReportTo)+SUMIFS('Payroll'!$P$5:$P$2005,'Payroll'!$S$5:$S$2005,$A94,'Payroll'!$A$5:$A$2005,"&gt;="&amp;ReportFrom,'Payroll'!$A$5:$A$2005,"&lt;="&amp;ReportTo))</f>
        <v/>
      </c>
      <c r="U94" s="25">
        <f>IF($A94="",0,(SUMIFS('Receipt Vouchers'!$F$5:$F$2005,'Receipt Vouchers'!$O$5:$O$2005,$A94,'Receipt Vouchers'!$A$5:$A$2005,"&lt;"&amp;ReportFrom)+SUMIFS('Receipt Vouchers'!$J$5:$J$2005,'Receipt Vouchers'!$Q$5:$Q$2005,$A94,'Receipt Vouchers'!$A$5:$A$2005,"&lt;"&amp;ReportFrom))-(SUMIFS('Receipt Vouchers'!$N$5:$N$2005,'Receipt Vouchers'!$P$5:$P$2005,$A94,'Receipt Vouchers'!$A$5:$A$2005,"&lt;"&amp;ReportFrom)+SUMIFS('Receipt Vouchers'!$M$5:$M$2005,'Receipt Vouchers'!$R$5:$R$2005,$A94,'Receipt Vouchers'!$A$5:$A$2005,"&lt;"&amp;ReportFrom)))</f>
        <v/>
      </c>
      <c r="V94" s="25">
        <f>IF($A94="",0,SUMIFS('Receipt Vouchers'!$F$5:$F$2005,'Receipt Vouchers'!$O$5:$O$2005,$A94,'Receipt Vouchers'!$A$5:$A$2005,"&gt;="&amp;ReportFrom,'Receipt Vouchers'!$A$5:$A$2005,"&lt;="&amp;ReportTo)+SUMIFS('Receipt Vouchers'!$J$5:$J$2005,'Receipt Vouchers'!$Q$5:$Q$2005,$A94,'Receipt Vouchers'!$A$5:$A$2005,"&gt;="&amp;ReportFrom,'Receipt Vouchers'!$A$5:$A$2005,"&lt;="&amp;ReportTo))</f>
        <v/>
      </c>
      <c r="W94" s="25">
        <f>IF($A94="",0,SUMIFS('Receipt Vouchers'!$N$5:$N$2005,'Receipt Vouchers'!$P$5:$P$2005,$A94,'Receipt Vouchers'!$A$5:$A$2005,"&gt;="&amp;ReportFrom,'Receipt Vouchers'!$A$5:$A$2005,"&lt;="&amp;ReportTo)+SUMIFS('Receipt Vouchers'!$M$5:$M$2005,'Receipt Vouchers'!$R$5:$R$2005,$A94,'Receipt Vouchers'!$A$5:$A$2005,"&gt;="&amp;ReportFrom,'Receipt Vouchers'!$A$5:$A$2005,"&lt;="&amp;ReportTo))</f>
        <v/>
      </c>
      <c r="X94" s="25">
        <f>IF($A94="",0,(SUMIFS('Sales Invoices'!$O$5:$O$2005,'Sales Invoices'!$P$5:$P$2005,$A94,'Sales Invoices'!$B$5:$B$2005,"&lt;"&amp;ReportFrom)+SUMIFS('Sales Invoices'!$N$5:$N$2005,'Sales Invoices'!$R$5:$R$2005,$A94,'Sales Invoices'!$B$5:$B$2005,"&lt;"&amp;ReportFrom))-(SUMIFS('Sales Invoices'!$L$5:$L$2005,'Sales Invoices'!$Q$5:$Q$2005,$A94,'Sales Invoices'!$B$5:$B$2005,"&lt;"&amp;ReportFrom)+SUMIFS('Sales Invoices'!$M$5:$M$2005,'Sales Invoices'!$S$5:$S$2005,$A94,'Sales Invoices'!$B$5:$B$2005,"&lt;"&amp;ReportFrom)))</f>
        <v/>
      </c>
      <c r="Y94" s="25">
        <f>IF($A94="",0,SUMIFS('Sales Invoices'!$O$5:$O$2005,'Sales Invoices'!$P$5:$P$2005,$A94,'Sales Invoices'!$B$5:$B$2005,"&gt;="&amp;ReportFrom,'Sales Invoices'!$B$5:$B$2005,"&lt;="&amp;ReportTo)+SUMIFS('Sales Invoices'!$N$5:$N$2005,'Sales Invoices'!$R$5:$R$2005,$A94,'Sales Invoices'!$B$5:$B$2005,"&gt;="&amp;ReportFrom,'Sales Invoices'!$B$5:$B$2005,"&lt;="&amp;ReportTo))</f>
        <v/>
      </c>
      <c r="Z94" s="25">
        <f>IF($A94="",0,SUMIFS('Sales Invoices'!$L$5:$L$2005,'Sales Invoices'!$Q$5:$Q$2005,$A94,'Sales Invoices'!$B$5:$B$2005,"&gt;="&amp;ReportFrom,'Sales Invoices'!$B$5:$B$2005,"&lt;="&amp;ReportTo)+SUMIFS('Sales Invoices'!$M$5:$M$2005,'Sales Invoices'!$S$5:$S$2005,$A94,'Sales Invoices'!$B$5:$B$2005,"&gt;="&amp;ReportFrom,'Sales Invoices'!$B$5:$B$2005,"&lt;="&amp;ReportTo))</f>
        <v/>
      </c>
      <c r="AA94" s="25">
        <f>IF($A94="",0,(SUMIFS('Payment Vouchers'!$D$5:$D$2005,'Payment Vouchers'!$J$5:$J$2005,$A94,'Payment Vouchers'!$A$5:$A$2005,"&lt;"&amp;ReportFrom))-(SUMIFS('Payment Vouchers'!$D$5:$D$2005,'Payment Vouchers'!$K$5:$K$2005,$A94,'Payment Vouchers'!$A$5:$A$2005,"&lt;"&amp;ReportFrom)))</f>
        <v/>
      </c>
      <c r="AB94" s="25">
        <f>IF($A94="",0,SUMIFS('Payment Vouchers'!$D$5:$D$2005,'Payment Vouchers'!$J$5:$J$2005,$A94,'Payment Vouchers'!$A$5:$A$2005,"&gt;="&amp;ReportFrom,'Payment Vouchers'!$A$5:$A$2005,"&lt;="&amp;ReportTo))</f>
        <v/>
      </c>
      <c r="AC94" s="25">
        <f>IF($A94="",0,SUMIFS('Payment Vouchers'!$D$5:$D$2005,'Payment Vouchers'!$K$5:$K$2005,$A94,'Payment Vouchers'!$A$5:$A$2005,"&gt;="&amp;ReportFrom,'Payment Vouchers'!$A$5:$A$2005,"&lt;="&amp;ReportTo))</f>
        <v/>
      </c>
      <c r="AD94" s="25">
        <f>IF($A94="",0,(SUMIFS('Partner Transactions'!$D$5:$D$2005,'Partner Transactions'!$L$5:$L$2005,$A94,'Partner Transactions'!$A$5:$A$2005,"&lt;"&amp;ReportFrom))-(SUMIFS('Partner Transactions'!$D$5:$D$2005,'Partner Transactions'!$M$5:$M$2005,$A94,'Partner Transactions'!$A$5:$A$2005,"&lt;"&amp;ReportFrom)))</f>
        <v/>
      </c>
      <c r="AE94" s="25">
        <f>IF($A94="",0,SUMIFS('Partner Transactions'!$D$5:$D$2005,'Partner Transactions'!$L$5:$L$2005,$A94,'Partner Transactions'!$A$5:$A$2005,"&gt;="&amp;ReportFrom,'Partner Transactions'!$A$5:$A$2005,"&lt;="&amp;ReportTo))</f>
        <v/>
      </c>
      <c r="AF94" s="25">
        <f>IF($A94="",0,SUMIFS('Partner Transactions'!$D$5:$D$2005,'Partner Transactions'!$M$5:$M$2005,$A94,'Partner Transactions'!$A$5:$A$2005,"&gt;="&amp;ReportFrom,'Partner Transactions'!$A$5:$A$2005,"&lt;="&amp;ReportTo))</f>
        <v/>
      </c>
      <c r="AG94" s="25">
        <f>IF($A94="",0,(SUMIFS('Stock Moves'!$S$5:$S$2005,'Stock Moves'!$AD$5:$AD$2005,$A94,'Stock Moves'!$A$5:$A$2005,"&lt;"&amp;ReportFrom)+SUMIFS('Stock Moves'!$T$5:$T$2005,'Stock Moves'!$V$5:$V$2005,$A94,'Stock Moves'!$A$5:$A$2005,"&lt;"&amp;ReportFrom))-(SUMIFS('Stock Moves'!$AF$5:$AF$2005,'Stock Moves'!$AE$5:$AE$2005,$A94,'Stock Moves'!$A$5:$A$2005,"&lt;"&amp;ReportFrom)+SUMIFS('Stock Moves'!$AC$5:$AC$2005,'Stock Moves'!$X$5:$X$2005,$A94,'Stock Moves'!$A$5:$A$2005,"&lt;"&amp;ReportFrom)+SUMIFS('Stock Moves'!$U$5:$U$2005,'Stock Moves'!$W$5:$W$2005,$A94,'Stock Moves'!$A$5:$A$2005,"&lt;"&amp;ReportFrom)))</f>
        <v/>
      </c>
      <c r="AH94" s="25">
        <f>IF($A94="",0,SUMIFS('Stock Moves'!$S$5:$S$2005,'Stock Moves'!$AD$5:$AD$2005,$A94,'Stock Moves'!$A$5:$A$2005,"&gt;="&amp;ReportFrom,'Stock Moves'!$A$5:$A$2005,"&lt;="&amp;ReportTo)+SUMIFS('Stock Moves'!$T$5:$T$2005,'Stock Moves'!$V$5:$V$2005,$A94,'Stock Moves'!$A$5:$A$2005,"&gt;="&amp;ReportFrom,'Stock Moves'!$A$5:$A$2005,"&lt;="&amp;ReportTo))</f>
        <v/>
      </c>
      <c r="AI94" s="25">
        <f>IF($A94="",0,SUMIFS('Stock Moves'!$AF$5:$AF$2005,'Stock Moves'!$AE$5:$AE$2005,$A94,'Stock Moves'!$A$5:$A$2005,"&gt;="&amp;ReportFrom,'Stock Moves'!$A$5:$A$2005,"&lt;="&amp;ReportTo)+SUMIFS('Stock Moves'!$AC$5:$AC$2005,'Stock Moves'!$X$5:$X$2005,$A94,'Stock Moves'!$A$5:$A$2005,"&gt;="&amp;ReportFrom,'Stock Moves'!$A$5:$A$2005,"&lt;="&amp;ReportTo)+SUMIFS('Stock Moves'!$U$5:$U$2005,'Stock Moves'!$W$5:$W$2005,$A94,'Stock Moves'!$A$5:$A$2005,"&gt;="&amp;ReportFrom,'Stock Moves'!$A$5:$A$2005,"&lt;="&amp;ReportTo))</f>
        <v/>
      </c>
      <c r="AJ94" s="25">
        <f>IF($A94="",0,(SUMIFS('Journal Vouchers'!$I$5:$I$2005,'Journal Vouchers'!$H$5:$H$2005,$A94,'Journal Vouchers'!$B$5:$B$2005,"&lt;"&amp;ReportFrom))-(SUMIFS('Journal Vouchers'!$J$5:$J$2005,'Journal Vouchers'!$H$5:$H$2005,$A94,'Journal Vouchers'!$B$5:$B$2005,"&lt;"&amp;ReportFrom)))</f>
        <v/>
      </c>
      <c r="AK94" s="25">
        <f>IF($A94="",0,SUMIFS('Journal Vouchers'!$I$5:$I$2005,'Journal Vouchers'!$H$5:$H$2005,$A94,'Journal Vouchers'!$B$5:$B$2005,"&gt;="&amp;ReportFrom,'Journal Vouchers'!$B$5:$B$2005,"&lt;="&amp;ReportTo))</f>
        <v/>
      </c>
      <c r="AL94" s="25">
        <f>IF($A94="",0,SUMIFS('Journal Vouchers'!$J$5:$J$2005,'Journal Vouchers'!$H$5:$H$2005,$A94,'Journal Vouchers'!$B$5:$B$2005,"&gt;="&amp;ReportFrom,'Journal Vouchers'!$B$5:$B$2005,"&lt;="&amp;ReportTo))</f>
        <v/>
      </c>
    </row>
    <row r="95">
      <c r="A95" s="25">
        <f>IF('Chart of Accounts'!A95="","",'Chart of Accounts'!A95&amp;"")</f>
        <v/>
      </c>
      <c r="B95" s="25">
        <f>IF(A95="","",'Chart of Accounts'!B95)</f>
        <v/>
      </c>
      <c r="C95" s="25">
        <f>IF(A95="","",'Chart of Accounts'!C95)</f>
        <v/>
      </c>
      <c r="D95" s="25">
        <f>IF(A95="","",'Chart of Accounts'!D95)</f>
        <v/>
      </c>
      <c r="E95" s="26">
        <f>L95+O95+R95+U95+X95+AA95+AD95+AG95+AJ95</f>
        <v/>
      </c>
      <c r="F95" s="26">
        <f>M95+P95+S95+V95+Y95+AB95+AE95+AH95+AK95</f>
        <v/>
      </c>
      <c r="G95" s="26">
        <f>N95+Q95+T95+W95+Z95+AC95+AF95+AI95+AL95</f>
        <v/>
      </c>
      <c r="H95" s="26">
        <f>E95+F95-G95</f>
        <v/>
      </c>
      <c r="I95" s="26">
        <f>MAX(H95,0)</f>
        <v/>
      </c>
      <c r="J95" s="26">
        <f>MAX(-H95,0)</f>
        <v/>
      </c>
      <c r="L95" s="25">
        <f>IF($A95="",0,(SUMIFS('Direct Costs'!$R$5:$R$2005,'Direct Costs'!$V$5:$V$2005,$A95,'Direct Costs'!$A$5:$A$2005,"&lt;"&amp;ReportFrom)+SUMIFS('Direct Costs'!$S$5:$S$2005,'Direct Costs'!$Y$5:$Y$2005,$A95,'Direct Costs'!$A$5:$A$2005,"&lt;"&amp;ReportFrom))-(SUMIFS('Direct Costs'!$L$5:$L$2005,'Direct Costs'!$W$5:$W$2005,$A95,'Direct Costs'!$A$5:$A$2005,"&lt;"&amp;ReportFrom)+SUMIFS('Direct Costs'!$U$5:$U$2005,'Direct Costs'!$X$5:$X$2005,$A95,'Direct Costs'!$A$5:$A$2005,"&lt;"&amp;ReportFrom)+SUMIFS('Direct Costs'!$T$5:$T$2005,'Direct Costs'!$Z$5:$Z$2005,$A95,'Direct Costs'!$A$5:$A$2005,"&lt;"&amp;ReportFrom)))</f>
        <v/>
      </c>
      <c r="M95" s="25">
        <f>IF($A95="",0,SUMIFS('Direct Costs'!$R$5:$R$2005,'Direct Costs'!$V$5:$V$2005,$A95,'Direct Costs'!$A$5:$A$2005,"&gt;="&amp;ReportFrom,'Direct Costs'!$A$5:$A$2005,"&lt;="&amp;ReportTo)+SUMIFS('Direct Costs'!$S$5:$S$2005,'Direct Costs'!$Y$5:$Y$2005,$A95,'Direct Costs'!$A$5:$A$2005,"&gt;="&amp;ReportFrom,'Direct Costs'!$A$5:$A$2005,"&lt;="&amp;ReportTo))</f>
        <v/>
      </c>
      <c r="N95" s="25">
        <f>IF($A95="",0,SUMIFS('Direct Costs'!$L$5:$L$2005,'Direct Costs'!$W$5:$W$2005,$A95,'Direct Costs'!$A$5:$A$2005,"&gt;="&amp;ReportFrom,'Direct Costs'!$A$5:$A$2005,"&lt;="&amp;ReportTo)+SUMIFS('Direct Costs'!$U$5:$U$2005,'Direct Costs'!$X$5:$X$2005,$A95,'Direct Costs'!$A$5:$A$2005,"&gt;="&amp;ReportFrom,'Direct Costs'!$A$5:$A$2005,"&lt;="&amp;ReportTo)+SUMIFS('Direct Costs'!$T$5:$T$2005,'Direct Costs'!$Z$5:$Z$2005,$A95,'Direct Costs'!$A$5:$A$2005,"&gt;="&amp;ReportFrom,'Direct Costs'!$A$5:$A$2005,"&lt;="&amp;ReportTo))</f>
        <v/>
      </c>
      <c r="O95" s="25">
        <f>IF($A95="",0,(SUMIFS('Operating Expenses'!$F$5:$F$2005,'Operating Expenses'!$Q$5:$Q$2005,$A95,'Operating Expenses'!$A$5:$A$2005,"&lt;"&amp;ReportFrom)+SUMIFS('Operating Expenses'!$M$5:$M$2005,'Operating Expenses'!$T$5:$T$2005,$A95,'Operating Expenses'!$A$5:$A$2005,"&lt;"&amp;ReportFrom))-(SUMIFS('Operating Expenses'!$O$5:$O$2005,'Operating Expenses'!$R$5:$R$2005,$A95,'Operating Expenses'!$A$5:$A$2005,"&lt;"&amp;ReportFrom)+SUMIFS('Operating Expenses'!$P$5:$P$2005,'Operating Expenses'!$S$5:$S$2005,$A95,'Operating Expenses'!$A$5:$A$2005,"&lt;"&amp;ReportFrom)+SUMIFS('Operating Expenses'!$N$5:$N$2005,'Operating Expenses'!$U$5:$U$2005,$A95,'Operating Expenses'!$A$5:$A$2005,"&lt;"&amp;ReportFrom)))</f>
        <v/>
      </c>
      <c r="P95" s="25">
        <f>IF($A95="",0,SUMIFS('Operating Expenses'!$F$5:$F$2005,'Operating Expenses'!$Q$5:$Q$2005,$A95,'Operating Expenses'!$A$5:$A$2005,"&gt;="&amp;ReportFrom,'Operating Expenses'!$A$5:$A$2005,"&lt;="&amp;ReportTo)+SUMIFS('Operating Expenses'!$M$5:$M$2005,'Operating Expenses'!$T$5:$T$2005,$A95,'Operating Expenses'!$A$5:$A$2005,"&gt;="&amp;ReportFrom,'Operating Expenses'!$A$5:$A$2005,"&lt;="&amp;ReportTo))</f>
        <v/>
      </c>
      <c r="Q95" s="25">
        <f>IF($A95="",0,SUMIFS('Operating Expenses'!$O$5:$O$2005,'Operating Expenses'!$R$5:$R$2005,$A95,'Operating Expenses'!$A$5:$A$2005,"&gt;="&amp;ReportFrom,'Operating Expenses'!$A$5:$A$2005,"&lt;="&amp;ReportTo)+SUMIFS('Operating Expenses'!$P$5:$P$2005,'Operating Expenses'!$S$5:$S$2005,$A95,'Operating Expenses'!$A$5:$A$2005,"&gt;="&amp;ReportFrom,'Operating Expenses'!$A$5:$A$2005,"&lt;="&amp;ReportTo)+SUMIFS('Operating Expenses'!$N$5:$N$2005,'Operating Expenses'!$U$5:$U$2005,$A95,'Operating Expenses'!$A$5:$A$2005,"&gt;="&amp;ReportFrom,'Operating Expenses'!$A$5:$A$2005,"&lt;="&amp;ReportTo))</f>
        <v/>
      </c>
      <c r="R95" s="25">
        <f>IF($A95="",0,(SUMIFS('Payroll'!$O$5:$O$2005,'Payroll'!$Q$5:$Q$2005,$A95,'Payroll'!$A$5:$A$2005,"&lt;"&amp;ReportFrom))-(SUMIFS('Payroll'!$K$5:$K$2005,'Payroll'!$R$5:$R$2005,$A95,'Payroll'!$A$5:$A$2005,"&lt;"&amp;ReportFrom)+SUMIFS('Payroll'!$P$5:$P$2005,'Payroll'!$S$5:$S$2005,$A95,'Payroll'!$A$5:$A$2005,"&lt;"&amp;ReportFrom)))</f>
        <v/>
      </c>
      <c r="S95" s="25">
        <f>IF($A95="",0,SUMIFS('Payroll'!$O$5:$O$2005,'Payroll'!$Q$5:$Q$2005,$A95,'Payroll'!$A$5:$A$2005,"&gt;="&amp;ReportFrom,'Payroll'!$A$5:$A$2005,"&lt;="&amp;ReportTo))</f>
        <v/>
      </c>
      <c r="T95" s="25">
        <f>IF($A95="",0,SUMIFS('Payroll'!$K$5:$K$2005,'Payroll'!$R$5:$R$2005,$A95,'Payroll'!$A$5:$A$2005,"&gt;="&amp;ReportFrom,'Payroll'!$A$5:$A$2005,"&lt;="&amp;ReportTo)+SUMIFS('Payroll'!$P$5:$P$2005,'Payroll'!$S$5:$S$2005,$A95,'Payroll'!$A$5:$A$2005,"&gt;="&amp;ReportFrom,'Payroll'!$A$5:$A$2005,"&lt;="&amp;ReportTo))</f>
        <v/>
      </c>
      <c r="U95" s="25">
        <f>IF($A95="",0,(SUMIFS('Receipt Vouchers'!$F$5:$F$2005,'Receipt Vouchers'!$O$5:$O$2005,$A95,'Receipt Vouchers'!$A$5:$A$2005,"&lt;"&amp;ReportFrom)+SUMIFS('Receipt Vouchers'!$J$5:$J$2005,'Receipt Vouchers'!$Q$5:$Q$2005,$A95,'Receipt Vouchers'!$A$5:$A$2005,"&lt;"&amp;ReportFrom))-(SUMIFS('Receipt Vouchers'!$N$5:$N$2005,'Receipt Vouchers'!$P$5:$P$2005,$A95,'Receipt Vouchers'!$A$5:$A$2005,"&lt;"&amp;ReportFrom)+SUMIFS('Receipt Vouchers'!$M$5:$M$2005,'Receipt Vouchers'!$R$5:$R$2005,$A95,'Receipt Vouchers'!$A$5:$A$2005,"&lt;"&amp;ReportFrom)))</f>
        <v/>
      </c>
      <c r="V95" s="25">
        <f>IF($A95="",0,SUMIFS('Receipt Vouchers'!$F$5:$F$2005,'Receipt Vouchers'!$O$5:$O$2005,$A95,'Receipt Vouchers'!$A$5:$A$2005,"&gt;="&amp;ReportFrom,'Receipt Vouchers'!$A$5:$A$2005,"&lt;="&amp;ReportTo)+SUMIFS('Receipt Vouchers'!$J$5:$J$2005,'Receipt Vouchers'!$Q$5:$Q$2005,$A95,'Receipt Vouchers'!$A$5:$A$2005,"&gt;="&amp;ReportFrom,'Receipt Vouchers'!$A$5:$A$2005,"&lt;="&amp;ReportTo))</f>
        <v/>
      </c>
      <c r="W95" s="25">
        <f>IF($A95="",0,SUMIFS('Receipt Vouchers'!$N$5:$N$2005,'Receipt Vouchers'!$P$5:$P$2005,$A95,'Receipt Vouchers'!$A$5:$A$2005,"&gt;="&amp;ReportFrom,'Receipt Vouchers'!$A$5:$A$2005,"&lt;="&amp;ReportTo)+SUMIFS('Receipt Vouchers'!$M$5:$M$2005,'Receipt Vouchers'!$R$5:$R$2005,$A95,'Receipt Vouchers'!$A$5:$A$2005,"&gt;="&amp;ReportFrom,'Receipt Vouchers'!$A$5:$A$2005,"&lt;="&amp;ReportTo))</f>
        <v/>
      </c>
      <c r="X95" s="25">
        <f>IF($A95="",0,(SUMIFS('Sales Invoices'!$O$5:$O$2005,'Sales Invoices'!$P$5:$P$2005,$A95,'Sales Invoices'!$B$5:$B$2005,"&lt;"&amp;ReportFrom)+SUMIFS('Sales Invoices'!$N$5:$N$2005,'Sales Invoices'!$R$5:$R$2005,$A95,'Sales Invoices'!$B$5:$B$2005,"&lt;"&amp;ReportFrom))-(SUMIFS('Sales Invoices'!$L$5:$L$2005,'Sales Invoices'!$Q$5:$Q$2005,$A95,'Sales Invoices'!$B$5:$B$2005,"&lt;"&amp;ReportFrom)+SUMIFS('Sales Invoices'!$M$5:$M$2005,'Sales Invoices'!$S$5:$S$2005,$A95,'Sales Invoices'!$B$5:$B$2005,"&lt;"&amp;ReportFrom)))</f>
        <v/>
      </c>
      <c r="Y95" s="25">
        <f>IF($A95="",0,SUMIFS('Sales Invoices'!$O$5:$O$2005,'Sales Invoices'!$P$5:$P$2005,$A95,'Sales Invoices'!$B$5:$B$2005,"&gt;="&amp;ReportFrom,'Sales Invoices'!$B$5:$B$2005,"&lt;="&amp;ReportTo)+SUMIFS('Sales Invoices'!$N$5:$N$2005,'Sales Invoices'!$R$5:$R$2005,$A95,'Sales Invoices'!$B$5:$B$2005,"&gt;="&amp;ReportFrom,'Sales Invoices'!$B$5:$B$2005,"&lt;="&amp;ReportTo))</f>
        <v/>
      </c>
      <c r="Z95" s="25">
        <f>IF($A95="",0,SUMIFS('Sales Invoices'!$L$5:$L$2005,'Sales Invoices'!$Q$5:$Q$2005,$A95,'Sales Invoices'!$B$5:$B$2005,"&gt;="&amp;ReportFrom,'Sales Invoices'!$B$5:$B$2005,"&lt;="&amp;ReportTo)+SUMIFS('Sales Invoices'!$M$5:$M$2005,'Sales Invoices'!$S$5:$S$2005,$A95,'Sales Invoices'!$B$5:$B$2005,"&gt;="&amp;ReportFrom,'Sales Invoices'!$B$5:$B$2005,"&lt;="&amp;ReportTo))</f>
        <v/>
      </c>
      <c r="AA95" s="25">
        <f>IF($A95="",0,(SUMIFS('Payment Vouchers'!$D$5:$D$2005,'Payment Vouchers'!$J$5:$J$2005,$A95,'Payment Vouchers'!$A$5:$A$2005,"&lt;"&amp;ReportFrom))-(SUMIFS('Payment Vouchers'!$D$5:$D$2005,'Payment Vouchers'!$K$5:$K$2005,$A95,'Payment Vouchers'!$A$5:$A$2005,"&lt;"&amp;ReportFrom)))</f>
        <v/>
      </c>
      <c r="AB95" s="25">
        <f>IF($A95="",0,SUMIFS('Payment Vouchers'!$D$5:$D$2005,'Payment Vouchers'!$J$5:$J$2005,$A95,'Payment Vouchers'!$A$5:$A$2005,"&gt;="&amp;ReportFrom,'Payment Vouchers'!$A$5:$A$2005,"&lt;="&amp;ReportTo))</f>
        <v/>
      </c>
      <c r="AC95" s="25">
        <f>IF($A95="",0,SUMIFS('Payment Vouchers'!$D$5:$D$2005,'Payment Vouchers'!$K$5:$K$2005,$A95,'Payment Vouchers'!$A$5:$A$2005,"&gt;="&amp;ReportFrom,'Payment Vouchers'!$A$5:$A$2005,"&lt;="&amp;ReportTo))</f>
        <v/>
      </c>
      <c r="AD95" s="25">
        <f>IF($A95="",0,(SUMIFS('Partner Transactions'!$D$5:$D$2005,'Partner Transactions'!$L$5:$L$2005,$A95,'Partner Transactions'!$A$5:$A$2005,"&lt;"&amp;ReportFrom))-(SUMIFS('Partner Transactions'!$D$5:$D$2005,'Partner Transactions'!$M$5:$M$2005,$A95,'Partner Transactions'!$A$5:$A$2005,"&lt;"&amp;ReportFrom)))</f>
        <v/>
      </c>
      <c r="AE95" s="25">
        <f>IF($A95="",0,SUMIFS('Partner Transactions'!$D$5:$D$2005,'Partner Transactions'!$L$5:$L$2005,$A95,'Partner Transactions'!$A$5:$A$2005,"&gt;="&amp;ReportFrom,'Partner Transactions'!$A$5:$A$2005,"&lt;="&amp;ReportTo))</f>
        <v/>
      </c>
      <c r="AF95" s="25">
        <f>IF($A95="",0,SUMIFS('Partner Transactions'!$D$5:$D$2005,'Partner Transactions'!$M$5:$M$2005,$A95,'Partner Transactions'!$A$5:$A$2005,"&gt;="&amp;ReportFrom,'Partner Transactions'!$A$5:$A$2005,"&lt;="&amp;ReportTo))</f>
        <v/>
      </c>
      <c r="AG95" s="25">
        <f>IF($A95="",0,(SUMIFS('Stock Moves'!$S$5:$S$2005,'Stock Moves'!$AD$5:$AD$2005,$A95,'Stock Moves'!$A$5:$A$2005,"&lt;"&amp;ReportFrom)+SUMIFS('Stock Moves'!$T$5:$T$2005,'Stock Moves'!$V$5:$V$2005,$A95,'Stock Moves'!$A$5:$A$2005,"&lt;"&amp;ReportFrom))-(SUMIFS('Stock Moves'!$AF$5:$AF$2005,'Stock Moves'!$AE$5:$AE$2005,$A95,'Stock Moves'!$A$5:$A$2005,"&lt;"&amp;ReportFrom)+SUMIFS('Stock Moves'!$AC$5:$AC$2005,'Stock Moves'!$X$5:$X$2005,$A95,'Stock Moves'!$A$5:$A$2005,"&lt;"&amp;ReportFrom)+SUMIFS('Stock Moves'!$U$5:$U$2005,'Stock Moves'!$W$5:$W$2005,$A95,'Stock Moves'!$A$5:$A$2005,"&lt;"&amp;ReportFrom)))</f>
        <v/>
      </c>
      <c r="AH95" s="25">
        <f>IF($A95="",0,SUMIFS('Stock Moves'!$S$5:$S$2005,'Stock Moves'!$AD$5:$AD$2005,$A95,'Stock Moves'!$A$5:$A$2005,"&gt;="&amp;ReportFrom,'Stock Moves'!$A$5:$A$2005,"&lt;="&amp;ReportTo)+SUMIFS('Stock Moves'!$T$5:$T$2005,'Stock Moves'!$V$5:$V$2005,$A95,'Stock Moves'!$A$5:$A$2005,"&gt;="&amp;ReportFrom,'Stock Moves'!$A$5:$A$2005,"&lt;="&amp;ReportTo))</f>
        <v/>
      </c>
      <c r="AI95" s="25">
        <f>IF($A95="",0,SUMIFS('Stock Moves'!$AF$5:$AF$2005,'Stock Moves'!$AE$5:$AE$2005,$A95,'Stock Moves'!$A$5:$A$2005,"&gt;="&amp;ReportFrom,'Stock Moves'!$A$5:$A$2005,"&lt;="&amp;ReportTo)+SUMIFS('Stock Moves'!$AC$5:$AC$2005,'Stock Moves'!$X$5:$X$2005,$A95,'Stock Moves'!$A$5:$A$2005,"&gt;="&amp;ReportFrom,'Stock Moves'!$A$5:$A$2005,"&lt;="&amp;ReportTo)+SUMIFS('Stock Moves'!$U$5:$U$2005,'Stock Moves'!$W$5:$W$2005,$A95,'Stock Moves'!$A$5:$A$2005,"&gt;="&amp;ReportFrom,'Stock Moves'!$A$5:$A$2005,"&lt;="&amp;ReportTo))</f>
        <v/>
      </c>
      <c r="AJ95" s="25">
        <f>IF($A95="",0,(SUMIFS('Journal Vouchers'!$I$5:$I$2005,'Journal Vouchers'!$H$5:$H$2005,$A95,'Journal Vouchers'!$B$5:$B$2005,"&lt;"&amp;ReportFrom))-(SUMIFS('Journal Vouchers'!$J$5:$J$2005,'Journal Vouchers'!$H$5:$H$2005,$A95,'Journal Vouchers'!$B$5:$B$2005,"&lt;"&amp;ReportFrom)))</f>
        <v/>
      </c>
      <c r="AK95" s="25">
        <f>IF($A95="",0,SUMIFS('Journal Vouchers'!$I$5:$I$2005,'Journal Vouchers'!$H$5:$H$2005,$A95,'Journal Vouchers'!$B$5:$B$2005,"&gt;="&amp;ReportFrom,'Journal Vouchers'!$B$5:$B$2005,"&lt;="&amp;ReportTo))</f>
        <v/>
      </c>
      <c r="AL95" s="25">
        <f>IF($A95="",0,SUMIFS('Journal Vouchers'!$J$5:$J$2005,'Journal Vouchers'!$H$5:$H$2005,$A95,'Journal Vouchers'!$B$5:$B$2005,"&gt;="&amp;ReportFrom,'Journal Vouchers'!$B$5:$B$2005,"&lt;="&amp;ReportTo))</f>
        <v/>
      </c>
    </row>
    <row r="96">
      <c r="A96" s="25">
        <f>IF('Chart of Accounts'!A96="","",'Chart of Accounts'!A96&amp;"")</f>
        <v/>
      </c>
      <c r="B96" s="25">
        <f>IF(A96="","",'Chart of Accounts'!B96)</f>
        <v/>
      </c>
      <c r="C96" s="25">
        <f>IF(A96="","",'Chart of Accounts'!C96)</f>
        <v/>
      </c>
      <c r="D96" s="25">
        <f>IF(A96="","",'Chart of Accounts'!D96)</f>
        <v/>
      </c>
      <c r="E96" s="26">
        <f>L96+O96+R96+U96+X96+AA96+AD96+AG96+AJ96</f>
        <v/>
      </c>
      <c r="F96" s="26">
        <f>M96+P96+S96+V96+Y96+AB96+AE96+AH96+AK96</f>
        <v/>
      </c>
      <c r="G96" s="26">
        <f>N96+Q96+T96+W96+Z96+AC96+AF96+AI96+AL96</f>
        <v/>
      </c>
      <c r="H96" s="26">
        <f>E96+F96-G96</f>
        <v/>
      </c>
      <c r="I96" s="26">
        <f>MAX(H96,0)</f>
        <v/>
      </c>
      <c r="J96" s="26">
        <f>MAX(-H96,0)</f>
        <v/>
      </c>
      <c r="L96" s="25">
        <f>IF($A96="",0,(SUMIFS('Direct Costs'!$R$5:$R$2005,'Direct Costs'!$V$5:$V$2005,$A96,'Direct Costs'!$A$5:$A$2005,"&lt;"&amp;ReportFrom)+SUMIFS('Direct Costs'!$S$5:$S$2005,'Direct Costs'!$Y$5:$Y$2005,$A96,'Direct Costs'!$A$5:$A$2005,"&lt;"&amp;ReportFrom))-(SUMIFS('Direct Costs'!$L$5:$L$2005,'Direct Costs'!$W$5:$W$2005,$A96,'Direct Costs'!$A$5:$A$2005,"&lt;"&amp;ReportFrom)+SUMIFS('Direct Costs'!$U$5:$U$2005,'Direct Costs'!$X$5:$X$2005,$A96,'Direct Costs'!$A$5:$A$2005,"&lt;"&amp;ReportFrom)+SUMIFS('Direct Costs'!$T$5:$T$2005,'Direct Costs'!$Z$5:$Z$2005,$A96,'Direct Costs'!$A$5:$A$2005,"&lt;"&amp;ReportFrom)))</f>
        <v/>
      </c>
      <c r="M96" s="25">
        <f>IF($A96="",0,SUMIFS('Direct Costs'!$R$5:$R$2005,'Direct Costs'!$V$5:$V$2005,$A96,'Direct Costs'!$A$5:$A$2005,"&gt;="&amp;ReportFrom,'Direct Costs'!$A$5:$A$2005,"&lt;="&amp;ReportTo)+SUMIFS('Direct Costs'!$S$5:$S$2005,'Direct Costs'!$Y$5:$Y$2005,$A96,'Direct Costs'!$A$5:$A$2005,"&gt;="&amp;ReportFrom,'Direct Costs'!$A$5:$A$2005,"&lt;="&amp;ReportTo))</f>
        <v/>
      </c>
      <c r="N96" s="25">
        <f>IF($A96="",0,SUMIFS('Direct Costs'!$L$5:$L$2005,'Direct Costs'!$W$5:$W$2005,$A96,'Direct Costs'!$A$5:$A$2005,"&gt;="&amp;ReportFrom,'Direct Costs'!$A$5:$A$2005,"&lt;="&amp;ReportTo)+SUMIFS('Direct Costs'!$U$5:$U$2005,'Direct Costs'!$X$5:$X$2005,$A96,'Direct Costs'!$A$5:$A$2005,"&gt;="&amp;ReportFrom,'Direct Costs'!$A$5:$A$2005,"&lt;="&amp;ReportTo)+SUMIFS('Direct Costs'!$T$5:$T$2005,'Direct Costs'!$Z$5:$Z$2005,$A96,'Direct Costs'!$A$5:$A$2005,"&gt;="&amp;ReportFrom,'Direct Costs'!$A$5:$A$2005,"&lt;="&amp;ReportTo))</f>
        <v/>
      </c>
      <c r="O96" s="25">
        <f>IF($A96="",0,(SUMIFS('Operating Expenses'!$F$5:$F$2005,'Operating Expenses'!$Q$5:$Q$2005,$A96,'Operating Expenses'!$A$5:$A$2005,"&lt;"&amp;ReportFrom)+SUMIFS('Operating Expenses'!$M$5:$M$2005,'Operating Expenses'!$T$5:$T$2005,$A96,'Operating Expenses'!$A$5:$A$2005,"&lt;"&amp;ReportFrom))-(SUMIFS('Operating Expenses'!$O$5:$O$2005,'Operating Expenses'!$R$5:$R$2005,$A96,'Operating Expenses'!$A$5:$A$2005,"&lt;"&amp;ReportFrom)+SUMIFS('Operating Expenses'!$P$5:$P$2005,'Operating Expenses'!$S$5:$S$2005,$A96,'Operating Expenses'!$A$5:$A$2005,"&lt;"&amp;ReportFrom)+SUMIFS('Operating Expenses'!$N$5:$N$2005,'Operating Expenses'!$U$5:$U$2005,$A96,'Operating Expenses'!$A$5:$A$2005,"&lt;"&amp;ReportFrom)))</f>
        <v/>
      </c>
      <c r="P96" s="25">
        <f>IF($A96="",0,SUMIFS('Operating Expenses'!$F$5:$F$2005,'Operating Expenses'!$Q$5:$Q$2005,$A96,'Operating Expenses'!$A$5:$A$2005,"&gt;="&amp;ReportFrom,'Operating Expenses'!$A$5:$A$2005,"&lt;="&amp;ReportTo)+SUMIFS('Operating Expenses'!$M$5:$M$2005,'Operating Expenses'!$T$5:$T$2005,$A96,'Operating Expenses'!$A$5:$A$2005,"&gt;="&amp;ReportFrom,'Operating Expenses'!$A$5:$A$2005,"&lt;="&amp;ReportTo))</f>
        <v/>
      </c>
      <c r="Q96" s="25">
        <f>IF($A96="",0,SUMIFS('Operating Expenses'!$O$5:$O$2005,'Operating Expenses'!$R$5:$R$2005,$A96,'Operating Expenses'!$A$5:$A$2005,"&gt;="&amp;ReportFrom,'Operating Expenses'!$A$5:$A$2005,"&lt;="&amp;ReportTo)+SUMIFS('Operating Expenses'!$P$5:$P$2005,'Operating Expenses'!$S$5:$S$2005,$A96,'Operating Expenses'!$A$5:$A$2005,"&gt;="&amp;ReportFrom,'Operating Expenses'!$A$5:$A$2005,"&lt;="&amp;ReportTo)+SUMIFS('Operating Expenses'!$N$5:$N$2005,'Operating Expenses'!$U$5:$U$2005,$A96,'Operating Expenses'!$A$5:$A$2005,"&gt;="&amp;ReportFrom,'Operating Expenses'!$A$5:$A$2005,"&lt;="&amp;ReportTo))</f>
        <v/>
      </c>
      <c r="R96" s="25">
        <f>IF($A96="",0,(SUMIFS('Payroll'!$O$5:$O$2005,'Payroll'!$Q$5:$Q$2005,$A96,'Payroll'!$A$5:$A$2005,"&lt;"&amp;ReportFrom))-(SUMIFS('Payroll'!$K$5:$K$2005,'Payroll'!$R$5:$R$2005,$A96,'Payroll'!$A$5:$A$2005,"&lt;"&amp;ReportFrom)+SUMIFS('Payroll'!$P$5:$P$2005,'Payroll'!$S$5:$S$2005,$A96,'Payroll'!$A$5:$A$2005,"&lt;"&amp;ReportFrom)))</f>
        <v/>
      </c>
      <c r="S96" s="25">
        <f>IF($A96="",0,SUMIFS('Payroll'!$O$5:$O$2005,'Payroll'!$Q$5:$Q$2005,$A96,'Payroll'!$A$5:$A$2005,"&gt;="&amp;ReportFrom,'Payroll'!$A$5:$A$2005,"&lt;="&amp;ReportTo))</f>
        <v/>
      </c>
      <c r="T96" s="25">
        <f>IF($A96="",0,SUMIFS('Payroll'!$K$5:$K$2005,'Payroll'!$R$5:$R$2005,$A96,'Payroll'!$A$5:$A$2005,"&gt;="&amp;ReportFrom,'Payroll'!$A$5:$A$2005,"&lt;="&amp;ReportTo)+SUMIFS('Payroll'!$P$5:$P$2005,'Payroll'!$S$5:$S$2005,$A96,'Payroll'!$A$5:$A$2005,"&gt;="&amp;ReportFrom,'Payroll'!$A$5:$A$2005,"&lt;="&amp;ReportTo))</f>
        <v/>
      </c>
      <c r="U96" s="25">
        <f>IF($A96="",0,(SUMIFS('Receipt Vouchers'!$F$5:$F$2005,'Receipt Vouchers'!$O$5:$O$2005,$A96,'Receipt Vouchers'!$A$5:$A$2005,"&lt;"&amp;ReportFrom)+SUMIFS('Receipt Vouchers'!$J$5:$J$2005,'Receipt Vouchers'!$Q$5:$Q$2005,$A96,'Receipt Vouchers'!$A$5:$A$2005,"&lt;"&amp;ReportFrom))-(SUMIFS('Receipt Vouchers'!$N$5:$N$2005,'Receipt Vouchers'!$P$5:$P$2005,$A96,'Receipt Vouchers'!$A$5:$A$2005,"&lt;"&amp;ReportFrom)+SUMIFS('Receipt Vouchers'!$M$5:$M$2005,'Receipt Vouchers'!$R$5:$R$2005,$A96,'Receipt Vouchers'!$A$5:$A$2005,"&lt;"&amp;ReportFrom)))</f>
        <v/>
      </c>
      <c r="V96" s="25">
        <f>IF($A96="",0,SUMIFS('Receipt Vouchers'!$F$5:$F$2005,'Receipt Vouchers'!$O$5:$O$2005,$A96,'Receipt Vouchers'!$A$5:$A$2005,"&gt;="&amp;ReportFrom,'Receipt Vouchers'!$A$5:$A$2005,"&lt;="&amp;ReportTo)+SUMIFS('Receipt Vouchers'!$J$5:$J$2005,'Receipt Vouchers'!$Q$5:$Q$2005,$A96,'Receipt Vouchers'!$A$5:$A$2005,"&gt;="&amp;ReportFrom,'Receipt Vouchers'!$A$5:$A$2005,"&lt;="&amp;ReportTo))</f>
        <v/>
      </c>
      <c r="W96" s="25">
        <f>IF($A96="",0,SUMIFS('Receipt Vouchers'!$N$5:$N$2005,'Receipt Vouchers'!$P$5:$P$2005,$A96,'Receipt Vouchers'!$A$5:$A$2005,"&gt;="&amp;ReportFrom,'Receipt Vouchers'!$A$5:$A$2005,"&lt;="&amp;ReportTo)+SUMIFS('Receipt Vouchers'!$M$5:$M$2005,'Receipt Vouchers'!$R$5:$R$2005,$A96,'Receipt Vouchers'!$A$5:$A$2005,"&gt;="&amp;ReportFrom,'Receipt Vouchers'!$A$5:$A$2005,"&lt;="&amp;ReportTo))</f>
        <v/>
      </c>
      <c r="X96" s="25">
        <f>IF($A96="",0,(SUMIFS('Sales Invoices'!$O$5:$O$2005,'Sales Invoices'!$P$5:$P$2005,$A96,'Sales Invoices'!$B$5:$B$2005,"&lt;"&amp;ReportFrom)+SUMIFS('Sales Invoices'!$N$5:$N$2005,'Sales Invoices'!$R$5:$R$2005,$A96,'Sales Invoices'!$B$5:$B$2005,"&lt;"&amp;ReportFrom))-(SUMIFS('Sales Invoices'!$L$5:$L$2005,'Sales Invoices'!$Q$5:$Q$2005,$A96,'Sales Invoices'!$B$5:$B$2005,"&lt;"&amp;ReportFrom)+SUMIFS('Sales Invoices'!$M$5:$M$2005,'Sales Invoices'!$S$5:$S$2005,$A96,'Sales Invoices'!$B$5:$B$2005,"&lt;"&amp;ReportFrom)))</f>
        <v/>
      </c>
      <c r="Y96" s="25">
        <f>IF($A96="",0,SUMIFS('Sales Invoices'!$O$5:$O$2005,'Sales Invoices'!$P$5:$P$2005,$A96,'Sales Invoices'!$B$5:$B$2005,"&gt;="&amp;ReportFrom,'Sales Invoices'!$B$5:$B$2005,"&lt;="&amp;ReportTo)+SUMIFS('Sales Invoices'!$N$5:$N$2005,'Sales Invoices'!$R$5:$R$2005,$A96,'Sales Invoices'!$B$5:$B$2005,"&gt;="&amp;ReportFrom,'Sales Invoices'!$B$5:$B$2005,"&lt;="&amp;ReportTo))</f>
        <v/>
      </c>
      <c r="Z96" s="25">
        <f>IF($A96="",0,SUMIFS('Sales Invoices'!$L$5:$L$2005,'Sales Invoices'!$Q$5:$Q$2005,$A96,'Sales Invoices'!$B$5:$B$2005,"&gt;="&amp;ReportFrom,'Sales Invoices'!$B$5:$B$2005,"&lt;="&amp;ReportTo)+SUMIFS('Sales Invoices'!$M$5:$M$2005,'Sales Invoices'!$S$5:$S$2005,$A96,'Sales Invoices'!$B$5:$B$2005,"&gt;="&amp;ReportFrom,'Sales Invoices'!$B$5:$B$2005,"&lt;="&amp;ReportTo))</f>
        <v/>
      </c>
      <c r="AA96" s="25">
        <f>IF($A96="",0,(SUMIFS('Payment Vouchers'!$D$5:$D$2005,'Payment Vouchers'!$J$5:$J$2005,$A96,'Payment Vouchers'!$A$5:$A$2005,"&lt;"&amp;ReportFrom))-(SUMIFS('Payment Vouchers'!$D$5:$D$2005,'Payment Vouchers'!$K$5:$K$2005,$A96,'Payment Vouchers'!$A$5:$A$2005,"&lt;"&amp;ReportFrom)))</f>
        <v/>
      </c>
      <c r="AB96" s="25">
        <f>IF($A96="",0,SUMIFS('Payment Vouchers'!$D$5:$D$2005,'Payment Vouchers'!$J$5:$J$2005,$A96,'Payment Vouchers'!$A$5:$A$2005,"&gt;="&amp;ReportFrom,'Payment Vouchers'!$A$5:$A$2005,"&lt;="&amp;ReportTo))</f>
        <v/>
      </c>
      <c r="AC96" s="25">
        <f>IF($A96="",0,SUMIFS('Payment Vouchers'!$D$5:$D$2005,'Payment Vouchers'!$K$5:$K$2005,$A96,'Payment Vouchers'!$A$5:$A$2005,"&gt;="&amp;ReportFrom,'Payment Vouchers'!$A$5:$A$2005,"&lt;="&amp;ReportTo))</f>
        <v/>
      </c>
      <c r="AD96" s="25">
        <f>IF($A96="",0,(SUMIFS('Partner Transactions'!$D$5:$D$2005,'Partner Transactions'!$L$5:$L$2005,$A96,'Partner Transactions'!$A$5:$A$2005,"&lt;"&amp;ReportFrom))-(SUMIFS('Partner Transactions'!$D$5:$D$2005,'Partner Transactions'!$M$5:$M$2005,$A96,'Partner Transactions'!$A$5:$A$2005,"&lt;"&amp;ReportFrom)))</f>
        <v/>
      </c>
      <c r="AE96" s="25">
        <f>IF($A96="",0,SUMIFS('Partner Transactions'!$D$5:$D$2005,'Partner Transactions'!$L$5:$L$2005,$A96,'Partner Transactions'!$A$5:$A$2005,"&gt;="&amp;ReportFrom,'Partner Transactions'!$A$5:$A$2005,"&lt;="&amp;ReportTo))</f>
        <v/>
      </c>
      <c r="AF96" s="25">
        <f>IF($A96="",0,SUMIFS('Partner Transactions'!$D$5:$D$2005,'Partner Transactions'!$M$5:$M$2005,$A96,'Partner Transactions'!$A$5:$A$2005,"&gt;="&amp;ReportFrom,'Partner Transactions'!$A$5:$A$2005,"&lt;="&amp;ReportTo))</f>
        <v/>
      </c>
      <c r="AG96" s="25">
        <f>IF($A96="",0,(SUMIFS('Stock Moves'!$S$5:$S$2005,'Stock Moves'!$AD$5:$AD$2005,$A96,'Stock Moves'!$A$5:$A$2005,"&lt;"&amp;ReportFrom)+SUMIFS('Stock Moves'!$T$5:$T$2005,'Stock Moves'!$V$5:$V$2005,$A96,'Stock Moves'!$A$5:$A$2005,"&lt;"&amp;ReportFrom))-(SUMIFS('Stock Moves'!$AF$5:$AF$2005,'Stock Moves'!$AE$5:$AE$2005,$A96,'Stock Moves'!$A$5:$A$2005,"&lt;"&amp;ReportFrom)+SUMIFS('Stock Moves'!$AC$5:$AC$2005,'Stock Moves'!$X$5:$X$2005,$A96,'Stock Moves'!$A$5:$A$2005,"&lt;"&amp;ReportFrom)+SUMIFS('Stock Moves'!$U$5:$U$2005,'Stock Moves'!$W$5:$W$2005,$A96,'Stock Moves'!$A$5:$A$2005,"&lt;"&amp;ReportFrom)))</f>
        <v/>
      </c>
      <c r="AH96" s="25">
        <f>IF($A96="",0,SUMIFS('Stock Moves'!$S$5:$S$2005,'Stock Moves'!$AD$5:$AD$2005,$A96,'Stock Moves'!$A$5:$A$2005,"&gt;="&amp;ReportFrom,'Stock Moves'!$A$5:$A$2005,"&lt;="&amp;ReportTo)+SUMIFS('Stock Moves'!$T$5:$T$2005,'Stock Moves'!$V$5:$V$2005,$A96,'Stock Moves'!$A$5:$A$2005,"&gt;="&amp;ReportFrom,'Stock Moves'!$A$5:$A$2005,"&lt;="&amp;ReportTo))</f>
        <v/>
      </c>
      <c r="AI96" s="25">
        <f>IF($A96="",0,SUMIFS('Stock Moves'!$AF$5:$AF$2005,'Stock Moves'!$AE$5:$AE$2005,$A96,'Stock Moves'!$A$5:$A$2005,"&gt;="&amp;ReportFrom,'Stock Moves'!$A$5:$A$2005,"&lt;="&amp;ReportTo)+SUMIFS('Stock Moves'!$AC$5:$AC$2005,'Stock Moves'!$X$5:$X$2005,$A96,'Stock Moves'!$A$5:$A$2005,"&gt;="&amp;ReportFrom,'Stock Moves'!$A$5:$A$2005,"&lt;="&amp;ReportTo)+SUMIFS('Stock Moves'!$U$5:$U$2005,'Stock Moves'!$W$5:$W$2005,$A96,'Stock Moves'!$A$5:$A$2005,"&gt;="&amp;ReportFrom,'Stock Moves'!$A$5:$A$2005,"&lt;="&amp;ReportTo))</f>
        <v/>
      </c>
      <c r="AJ96" s="25">
        <f>IF($A96="",0,(SUMIFS('Journal Vouchers'!$I$5:$I$2005,'Journal Vouchers'!$H$5:$H$2005,$A96,'Journal Vouchers'!$B$5:$B$2005,"&lt;"&amp;ReportFrom))-(SUMIFS('Journal Vouchers'!$J$5:$J$2005,'Journal Vouchers'!$H$5:$H$2005,$A96,'Journal Vouchers'!$B$5:$B$2005,"&lt;"&amp;ReportFrom)))</f>
        <v/>
      </c>
      <c r="AK96" s="25">
        <f>IF($A96="",0,SUMIFS('Journal Vouchers'!$I$5:$I$2005,'Journal Vouchers'!$H$5:$H$2005,$A96,'Journal Vouchers'!$B$5:$B$2005,"&gt;="&amp;ReportFrom,'Journal Vouchers'!$B$5:$B$2005,"&lt;="&amp;ReportTo))</f>
        <v/>
      </c>
      <c r="AL96" s="25">
        <f>IF($A96="",0,SUMIFS('Journal Vouchers'!$J$5:$J$2005,'Journal Vouchers'!$H$5:$H$2005,$A96,'Journal Vouchers'!$B$5:$B$2005,"&gt;="&amp;ReportFrom,'Journal Vouchers'!$B$5:$B$2005,"&lt;="&amp;ReportTo))</f>
        <v/>
      </c>
    </row>
    <row r="97">
      <c r="A97" s="25">
        <f>IF('Chart of Accounts'!A97="","",'Chart of Accounts'!A97&amp;"")</f>
        <v/>
      </c>
      <c r="B97" s="25">
        <f>IF(A97="","",'Chart of Accounts'!B97)</f>
        <v/>
      </c>
      <c r="C97" s="25">
        <f>IF(A97="","",'Chart of Accounts'!C97)</f>
        <v/>
      </c>
      <c r="D97" s="25">
        <f>IF(A97="","",'Chart of Accounts'!D97)</f>
        <v/>
      </c>
      <c r="E97" s="26">
        <f>L97+O97+R97+U97+X97+AA97+AD97+AG97+AJ97</f>
        <v/>
      </c>
      <c r="F97" s="26">
        <f>M97+P97+S97+V97+Y97+AB97+AE97+AH97+AK97</f>
        <v/>
      </c>
      <c r="G97" s="26">
        <f>N97+Q97+T97+W97+Z97+AC97+AF97+AI97+AL97</f>
        <v/>
      </c>
      <c r="H97" s="26">
        <f>E97+F97-G97</f>
        <v/>
      </c>
      <c r="I97" s="26">
        <f>MAX(H97,0)</f>
        <v/>
      </c>
      <c r="J97" s="26">
        <f>MAX(-H97,0)</f>
        <v/>
      </c>
      <c r="L97" s="25">
        <f>IF($A97="",0,(SUMIFS('Direct Costs'!$R$5:$R$2005,'Direct Costs'!$V$5:$V$2005,$A97,'Direct Costs'!$A$5:$A$2005,"&lt;"&amp;ReportFrom)+SUMIFS('Direct Costs'!$S$5:$S$2005,'Direct Costs'!$Y$5:$Y$2005,$A97,'Direct Costs'!$A$5:$A$2005,"&lt;"&amp;ReportFrom))-(SUMIFS('Direct Costs'!$L$5:$L$2005,'Direct Costs'!$W$5:$W$2005,$A97,'Direct Costs'!$A$5:$A$2005,"&lt;"&amp;ReportFrom)+SUMIFS('Direct Costs'!$U$5:$U$2005,'Direct Costs'!$X$5:$X$2005,$A97,'Direct Costs'!$A$5:$A$2005,"&lt;"&amp;ReportFrom)+SUMIFS('Direct Costs'!$T$5:$T$2005,'Direct Costs'!$Z$5:$Z$2005,$A97,'Direct Costs'!$A$5:$A$2005,"&lt;"&amp;ReportFrom)))</f>
        <v/>
      </c>
      <c r="M97" s="25">
        <f>IF($A97="",0,SUMIFS('Direct Costs'!$R$5:$R$2005,'Direct Costs'!$V$5:$V$2005,$A97,'Direct Costs'!$A$5:$A$2005,"&gt;="&amp;ReportFrom,'Direct Costs'!$A$5:$A$2005,"&lt;="&amp;ReportTo)+SUMIFS('Direct Costs'!$S$5:$S$2005,'Direct Costs'!$Y$5:$Y$2005,$A97,'Direct Costs'!$A$5:$A$2005,"&gt;="&amp;ReportFrom,'Direct Costs'!$A$5:$A$2005,"&lt;="&amp;ReportTo))</f>
        <v/>
      </c>
      <c r="N97" s="25">
        <f>IF($A97="",0,SUMIFS('Direct Costs'!$L$5:$L$2005,'Direct Costs'!$W$5:$W$2005,$A97,'Direct Costs'!$A$5:$A$2005,"&gt;="&amp;ReportFrom,'Direct Costs'!$A$5:$A$2005,"&lt;="&amp;ReportTo)+SUMIFS('Direct Costs'!$U$5:$U$2005,'Direct Costs'!$X$5:$X$2005,$A97,'Direct Costs'!$A$5:$A$2005,"&gt;="&amp;ReportFrom,'Direct Costs'!$A$5:$A$2005,"&lt;="&amp;ReportTo)+SUMIFS('Direct Costs'!$T$5:$T$2005,'Direct Costs'!$Z$5:$Z$2005,$A97,'Direct Costs'!$A$5:$A$2005,"&gt;="&amp;ReportFrom,'Direct Costs'!$A$5:$A$2005,"&lt;="&amp;ReportTo))</f>
        <v/>
      </c>
      <c r="O97" s="25">
        <f>IF($A97="",0,(SUMIFS('Operating Expenses'!$F$5:$F$2005,'Operating Expenses'!$Q$5:$Q$2005,$A97,'Operating Expenses'!$A$5:$A$2005,"&lt;"&amp;ReportFrom)+SUMIFS('Operating Expenses'!$M$5:$M$2005,'Operating Expenses'!$T$5:$T$2005,$A97,'Operating Expenses'!$A$5:$A$2005,"&lt;"&amp;ReportFrom))-(SUMIFS('Operating Expenses'!$O$5:$O$2005,'Operating Expenses'!$R$5:$R$2005,$A97,'Operating Expenses'!$A$5:$A$2005,"&lt;"&amp;ReportFrom)+SUMIFS('Operating Expenses'!$P$5:$P$2005,'Operating Expenses'!$S$5:$S$2005,$A97,'Operating Expenses'!$A$5:$A$2005,"&lt;"&amp;ReportFrom)+SUMIFS('Operating Expenses'!$N$5:$N$2005,'Operating Expenses'!$U$5:$U$2005,$A97,'Operating Expenses'!$A$5:$A$2005,"&lt;"&amp;ReportFrom)))</f>
        <v/>
      </c>
      <c r="P97" s="25">
        <f>IF($A97="",0,SUMIFS('Operating Expenses'!$F$5:$F$2005,'Operating Expenses'!$Q$5:$Q$2005,$A97,'Operating Expenses'!$A$5:$A$2005,"&gt;="&amp;ReportFrom,'Operating Expenses'!$A$5:$A$2005,"&lt;="&amp;ReportTo)+SUMIFS('Operating Expenses'!$M$5:$M$2005,'Operating Expenses'!$T$5:$T$2005,$A97,'Operating Expenses'!$A$5:$A$2005,"&gt;="&amp;ReportFrom,'Operating Expenses'!$A$5:$A$2005,"&lt;="&amp;ReportTo))</f>
        <v/>
      </c>
      <c r="Q97" s="25">
        <f>IF($A97="",0,SUMIFS('Operating Expenses'!$O$5:$O$2005,'Operating Expenses'!$R$5:$R$2005,$A97,'Operating Expenses'!$A$5:$A$2005,"&gt;="&amp;ReportFrom,'Operating Expenses'!$A$5:$A$2005,"&lt;="&amp;ReportTo)+SUMIFS('Operating Expenses'!$P$5:$P$2005,'Operating Expenses'!$S$5:$S$2005,$A97,'Operating Expenses'!$A$5:$A$2005,"&gt;="&amp;ReportFrom,'Operating Expenses'!$A$5:$A$2005,"&lt;="&amp;ReportTo)+SUMIFS('Operating Expenses'!$N$5:$N$2005,'Operating Expenses'!$U$5:$U$2005,$A97,'Operating Expenses'!$A$5:$A$2005,"&gt;="&amp;ReportFrom,'Operating Expenses'!$A$5:$A$2005,"&lt;="&amp;ReportTo))</f>
        <v/>
      </c>
      <c r="R97" s="25">
        <f>IF($A97="",0,(SUMIFS('Payroll'!$O$5:$O$2005,'Payroll'!$Q$5:$Q$2005,$A97,'Payroll'!$A$5:$A$2005,"&lt;"&amp;ReportFrom))-(SUMIFS('Payroll'!$K$5:$K$2005,'Payroll'!$R$5:$R$2005,$A97,'Payroll'!$A$5:$A$2005,"&lt;"&amp;ReportFrom)+SUMIFS('Payroll'!$P$5:$P$2005,'Payroll'!$S$5:$S$2005,$A97,'Payroll'!$A$5:$A$2005,"&lt;"&amp;ReportFrom)))</f>
        <v/>
      </c>
      <c r="S97" s="25">
        <f>IF($A97="",0,SUMIFS('Payroll'!$O$5:$O$2005,'Payroll'!$Q$5:$Q$2005,$A97,'Payroll'!$A$5:$A$2005,"&gt;="&amp;ReportFrom,'Payroll'!$A$5:$A$2005,"&lt;="&amp;ReportTo))</f>
        <v/>
      </c>
      <c r="T97" s="25">
        <f>IF($A97="",0,SUMIFS('Payroll'!$K$5:$K$2005,'Payroll'!$R$5:$R$2005,$A97,'Payroll'!$A$5:$A$2005,"&gt;="&amp;ReportFrom,'Payroll'!$A$5:$A$2005,"&lt;="&amp;ReportTo)+SUMIFS('Payroll'!$P$5:$P$2005,'Payroll'!$S$5:$S$2005,$A97,'Payroll'!$A$5:$A$2005,"&gt;="&amp;ReportFrom,'Payroll'!$A$5:$A$2005,"&lt;="&amp;ReportTo))</f>
        <v/>
      </c>
      <c r="U97" s="25">
        <f>IF($A97="",0,(SUMIFS('Receipt Vouchers'!$F$5:$F$2005,'Receipt Vouchers'!$O$5:$O$2005,$A97,'Receipt Vouchers'!$A$5:$A$2005,"&lt;"&amp;ReportFrom)+SUMIFS('Receipt Vouchers'!$J$5:$J$2005,'Receipt Vouchers'!$Q$5:$Q$2005,$A97,'Receipt Vouchers'!$A$5:$A$2005,"&lt;"&amp;ReportFrom))-(SUMIFS('Receipt Vouchers'!$N$5:$N$2005,'Receipt Vouchers'!$P$5:$P$2005,$A97,'Receipt Vouchers'!$A$5:$A$2005,"&lt;"&amp;ReportFrom)+SUMIFS('Receipt Vouchers'!$M$5:$M$2005,'Receipt Vouchers'!$R$5:$R$2005,$A97,'Receipt Vouchers'!$A$5:$A$2005,"&lt;"&amp;ReportFrom)))</f>
        <v/>
      </c>
      <c r="V97" s="25">
        <f>IF($A97="",0,SUMIFS('Receipt Vouchers'!$F$5:$F$2005,'Receipt Vouchers'!$O$5:$O$2005,$A97,'Receipt Vouchers'!$A$5:$A$2005,"&gt;="&amp;ReportFrom,'Receipt Vouchers'!$A$5:$A$2005,"&lt;="&amp;ReportTo)+SUMIFS('Receipt Vouchers'!$J$5:$J$2005,'Receipt Vouchers'!$Q$5:$Q$2005,$A97,'Receipt Vouchers'!$A$5:$A$2005,"&gt;="&amp;ReportFrom,'Receipt Vouchers'!$A$5:$A$2005,"&lt;="&amp;ReportTo))</f>
        <v/>
      </c>
      <c r="W97" s="25">
        <f>IF($A97="",0,SUMIFS('Receipt Vouchers'!$N$5:$N$2005,'Receipt Vouchers'!$P$5:$P$2005,$A97,'Receipt Vouchers'!$A$5:$A$2005,"&gt;="&amp;ReportFrom,'Receipt Vouchers'!$A$5:$A$2005,"&lt;="&amp;ReportTo)+SUMIFS('Receipt Vouchers'!$M$5:$M$2005,'Receipt Vouchers'!$R$5:$R$2005,$A97,'Receipt Vouchers'!$A$5:$A$2005,"&gt;="&amp;ReportFrom,'Receipt Vouchers'!$A$5:$A$2005,"&lt;="&amp;ReportTo))</f>
        <v/>
      </c>
      <c r="X97" s="25">
        <f>IF($A97="",0,(SUMIFS('Sales Invoices'!$O$5:$O$2005,'Sales Invoices'!$P$5:$P$2005,$A97,'Sales Invoices'!$B$5:$B$2005,"&lt;"&amp;ReportFrom)+SUMIFS('Sales Invoices'!$N$5:$N$2005,'Sales Invoices'!$R$5:$R$2005,$A97,'Sales Invoices'!$B$5:$B$2005,"&lt;"&amp;ReportFrom))-(SUMIFS('Sales Invoices'!$L$5:$L$2005,'Sales Invoices'!$Q$5:$Q$2005,$A97,'Sales Invoices'!$B$5:$B$2005,"&lt;"&amp;ReportFrom)+SUMIFS('Sales Invoices'!$M$5:$M$2005,'Sales Invoices'!$S$5:$S$2005,$A97,'Sales Invoices'!$B$5:$B$2005,"&lt;"&amp;ReportFrom)))</f>
        <v/>
      </c>
      <c r="Y97" s="25">
        <f>IF($A97="",0,SUMIFS('Sales Invoices'!$O$5:$O$2005,'Sales Invoices'!$P$5:$P$2005,$A97,'Sales Invoices'!$B$5:$B$2005,"&gt;="&amp;ReportFrom,'Sales Invoices'!$B$5:$B$2005,"&lt;="&amp;ReportTo)+SUMIFS('Sales Invoices'!$N$5:$N$2005,'Sales Invoices'!$R$5:$R$2005,$A97,'Sales Invoices'!$B$5:$B$2005,"&gt;="&amp;ReportFrom,'Sales Invoices'!$B$5:$B$2005,"&lt;="&amp;ReportTo))</f>
        <v/>
      </c>
      <c r="Z97" s="25">
        <f>IF($A97="",0,SUMIFS('Sales Invoices'!$L$5:$L$2005,'Sales Invoices'!$Q$5:$Q$2005,$A97,'Sales Invoices'!$B$5:$B$2005,"&gt;="&amp;ReportFrom,'Sales Invoices'!$B$5:$B$2005,"&lt;="&amp;ReportTo)+SUMIFS('Sales Invoices'!$M$5:$M$2005,'Sales Invoices'!$S$5:$S$2005,$A97,'Sales Invoices'!$B$5:$B$2005,"&gt;="&amp;ReportFrom,'Sales Invoices'!$B$5:$B$2005,"&lt;="&amp;ReportTo))</f>
        <v/>
      </c>
      <c r="AA97" s="25">
        <f>IF($A97="",0,(SUMIFS('Payment Vouchers'!$D$5:$D$2005,'Payment Vouchers'!$J$5:$J$2005,$A97,'Payment Vouchers'!$A$5:$A$2005,"&lt;"&amp;ReportFrom))-(SUMIFS('Payment Vouchers'!$D$5:$D$2005,'Payment Vouchers'!$K$5:$K$2005,$A97,'Payment Vouchers'!$A$5:$A$2005,"&lt;"&amp;ReportFrom)))</f>
        <v/>
      </c>
      <c r="AB97" s="25">
        <f>IF($A97="",0,SUMIFS('Payment Vouchers'!$D$5:$D$2005,'Payment Vouchers'!$J$5:$J$2005,$A97,'Payment Vouchers'!$A$5:$A$2005,"&gt;="&amp;ReportFrom,'Payment Vouchers'!$A$5:$A$2005,"&lt;="&amp;ReportTo))</f>
        <v/>
      </c>
      <c r="AC97" s="25">
        <f>IF($A97="",0,SUMIFS('Payment Vouchers'!$D$5:$D$2005,'Payment Vouchers'!$K$5:$K$2005,$A97,'Payment Vouchers'!$A$5:$A$2005,"&gt;="&amp;ReportFrom,'Payment Vouchers'!$A$5:$A$2005,"&lt;="&amp;ReportTo))</f>
        <v/>
      </c>
      <c r="AD97" s="25">
        <f>IF($A97="",0,(SUMIFS('Partner Transactions'!$D$5:$D$2005,'Partner Transactions'!$L$5:$L$2005,$A97,'Partner Transactions'!$A$5:$A$2005,"&lt;"&amp;ReportFrom))-(SUMIFS('Partner Transactions'!$D$5:$D$2005,'Partner Transactions'!$M$5:$M$2005,$A97,'Partner Transactions'!$A$5:$A$2005,"&lt;"&amp;ReportFrom)))</f>
        <v/>
      </c>
      <c r="AE97" s="25">
        <f>IF($A97="",0,SUMIFS('Partner Transactions'!$D$5:$D$2005,'Partner Transactions'!$L$5:$L$2005,$A97,'Partner Transactions'!$A$5:$A$2005,"&gt;="&amp;ReportFrom,'Partner Transactions'!$A$5:$A$2005,"&lt;="&amp;ReportTo))</f>
        <v/>
      </c>
      <c r="AF97" s="25">
        <f>IF($A97="",0,SUMIFS('Partner Transactions'!$D$5:$D$2005,'Partner Transactions'!$M$5:$M$2005,$A97,'Partner Transactions'!$A$5:$A$2005,"&gt;="&amp;ReportFrom,'Partner Transactions'!$A$5:$A$2005,"&lt;="&amp;ReportTo))</f>
        <v/>
      </c>
      <c r="AG97" s="25">
        <f>IF($A97="",0,(SUMIFS('Stock Moves'!$S$5:$S$2005,'Stock Moves'!$AD$5:$AD$2005,$A97,'Stock Moves'!$A$5:$A$2005,"&lt;"&amp;ReportFrom)+SUMIFS('Stock Moves'!$T$5:$T$2005,'Stock Moves'!$V$5:$V$2005,$A97,'Stock Moves'!$A$5:$A$2005,"&lt;"&amp;ReportFrom))-(SUMIFS('Stock Moves'!$AF$5:$AF$2005,'Stock Moves'!$AE$5:$AE$2005,$A97,'Stock Moves'!$A$5:$A$2005,"&lt;"&amp;ReportFrom)+SUMIFS('Stock Moves'!$AC$5:$AC$2005,'Stock Moves'!$X$5:$X$2005,$A97,'Stock Moves'!$A$5:$A$2005,"&lt;"&amp;ReportFrom)+SUMIFS('Stock Moves'!$U$5:$U$2005,'Stock Moves'!$W$5:$W$2005,$A97,'Stock Moves'!$A$5:$A$2005,"&lt;"&amp;ReportFrom)))</f>
        <v/>
      </c>
      <c r="AH97" s="25">
        <f>IF($A97="",0,SUMIFS('Stock Moves'!$S$5:$S$2005,'Stock Moves'!$AD$5:$AD$2005,$A97,'Stock Moves'!$A$5:$A$2005,"&gt;="&amp;ReportFrom,'Stock Moves'!$A$5:$A$2005,"&lt;="&amp;ReportTo)+SUMIFS('Stock Moves'!$T$5:$T$2005,'Stock Moves'!$V$5:$V$2005,$A97,'Stock Moves'!$A$5:$A$2005,"&gt;="&amp;ReportFrom,'Stock Moves'!$A$5:$A$2005,"&lt;="&amp;ReportTo))</f>
        <v/>
      </c>
      <c r="AI97" s="25">
        <f>IF($A97="",0,SUMIFS('Stock Moves'!$AF$5:$AF$2005,'Stock Moves'!$AE$5:$AE$2005,$A97,'Stock Moves'!$A$5:$A$2005,"&gt;="&amp;ReportFrom,'Stock Moves'!$A$5:$A$2005,"&lt;="&amp;ReportTo)+SUMIFS('Stock Moves'!$AC$5:$AC$2005,'Stock Moves'!$X$5:$X$2005,$A97,'Stock Moves'!$A$5:$A$2005,"&gt;="&amp;ReportFrom,'Stock Moves'!$A$5:$A$2005,"&lt;="&amp;ReportTo)+SUMIFS('Stock Moves'!$U$5:$U$2005,'Stock Moves'!$W$5:$W$2005,$A97,'Stock Moves'!$A$5:$A$2005,"&gt;="&amp;ReportFrom,'Stock Moves'!$A$5:$A$2005,"&lt;="&amp;ReportTo))</f>
        <v/>
      </c>
      <c r="AJ97" s="25">
        <f>IF($A97="",0,(SUMIFS('Journal Vouchers'!$I$5:$I$2005,'Journal Vouchers'!$H$5:$H$2005,$A97,'Journal Vouchers'!$B$5:$B$2005,"&lt;"&amp;ReportFrom))-(SUMIFS('Journal Vouchers'!$J$5:$J$2005,'Journal Vouchers'!$H$5:$H$2005,$A97,'Journal Vouchers'!$B$5:$B$2005,"&lt;"&amp;ReportFrom)))</f>
        <v/>
      </c>
      <c r="AK97" s="25">
        <f>IF($A97="",0,SUMIFS('Journal Vouchers'!$I$5:$I$2005,'Journal Vouchers'!$H$5:$H$2005,$A97,'Journal Vouchers'!$B$5:$B$2005,"&gt;="&amp;ReportFrom,'Journal Vouchers'!$B$5:$B$2005,"&lt;="&amp;ReportTo))</f>
        <v/>
      </c>
      <c r="AL97" s="25">
        <f>IF($A97="",0,SUMIFS('Journal Vouchers'!$J$5:$J$2005,'Journal Vouchers'!$H$5:$H$2005,$A97,'Journal Vouchers'!$B$5:$B$2005,"&gt;="&amp;ReportFrom,'Journal Vouchers'!$B$5:$B$2005,"&lt;="&amp;ReportTo))</f>
        <v/>
      </c>
    </row>
    <row r="98">
      <c r="A98" s="25">
        <f>IF('Chart of Accounts'!A98="","",'Chart of Accounts'!A98&amp;"")</f>
        <v/>
      </c>
      <c r="B98" s="25">
        <f>IF(A98="","",'Chart of Accounts'!B98)</f>
        <v/>
      </c>
      <c r="C98" s="25">
        <f>IF(A98="","",'Chart of Accounts'!C98)</f>
        <v/>
      </c>
      <c r="D98" s="25">
        <f>IF(A98="","",'Chart of Accounts'!D98)</f>
        <v/>
      </c>
      <c r="E98" s="26">
        <f>L98+O98+R98+U98+X98+AA98+AD98+AG98+AJ98</f>
        <v/>
      </c>
      <c r="F98" s="26">
        <f>M98+P98+S98+V98+Y98+AB98+AE98+AH98+AK98</f>
        <v/>
      </c>
      <c r="G98" s="26">
        <f>N98+Q98+T98+W98+Z98+AC98+AF98+AI98+AL98</f>
        <v/>
      </c>
      <c r="H98" s="26">
        <f>E98+F98-G98</f>
        <v/>
      </c>
      <c r="I98" s="26">
        <f>MAX(H98,0)</f>
        <v/>
      </c>
      <c r="J98" s="26">
        <f>MAX(-H98,0)</f>
        <v/>
      </c>
      <c r="L98" s="25">
        <f>IF($A98="",0,(SUMIFS('Direct Costs'!$R$5:$R$2005,'Direct Costs'!$V$5:$V$2005,$A98,'Direct Costs'!$A$5:$A$2005,"&lt;"&amp;ReportFrom)+SUMIFS('Direct Costs'!$S$5:$S$2005,'Direct Costs'!$Y$5:$Y$2005,$A98,'Direct Costs'!$A$5:$A$2005,"&lt;"&amp;ReportFrom))-(SUMIFS('Direct Costs'!$L$5:$L$2005,'Direct Costs'!$W$5:$W$2005,$A98,'Direct Costs'!$A$5:$A$2005,"&lt;"&amp;ReportFrom)+SUMIFS('Direct Costs'!$U$5:$U$2005,'Direct Costs'!$X$5:$X$2005,$A98,'Direct Costs'!$A$5:$A$2005,"&lt;"&amp;ReportFrom)+SUMIFS('Direct Costs'!$T$5:$T$2005,'Direct Costs'!$Z$5:$Z$2005,$A98,'Direct Costs'!$A$5:$A$2005,"&lt;"&amp;ReportFrom)))</f>
        <v/>
      </c>
      <c r="M98" s="25">
        <f>IF($A98="",0,SUMIFS('Direct Costs'!$R$5:$R$2005,'Direct Costs'!$V$5:$V$2005,$A98,'Direct Costs'!$A$5:$A$2005,"&gt;="&amp;ReportFrom,'Direct Costs'!$A$5:$A$2005,"&lt;="&amp;ReportTo)+SUMIFS('Direct Costs'!$S$5:$S$2005,'Direct Costs'!$Y$5:$Y$2005,$A98,'Direct Costs'!$A$5:$A$2005,"&gt;="&amp;ReportFrom,'Direct Costs'!$A$5:$A$2005,"&lt;="&amp;ReportTo))</f>
        <v/>
      </c>
      <c r="N98" s="25">
        <f>IF($A98="",0,SUMIFS('Direct Costs'!$L$5:$L$2005,'Direct Costs'!$W$5:$W$2005,$A98,'Direct Costs'!$A$5:$A$2005,"&gt;="&amp;ReportFrom,'Direct Costs'!$A$5:$A$2005,"&lt;="&amp;ReportTo)+SUMIFS('Direct Costs'!$U$5:$U$2005,'Direct Costs'!$X$5:$X$2005,$A98,'Direct Costs'!$A$5:$A$2005,"&gt;="&amp;ReportFrom,'Direct Costs'!$A$5:$A$2005,"&lt;="&amp;ReportTo)+SUMIFS('Direct Costs'!$T$5:$T$2005,'Direct Costs'!$Z$5:$Z$2005,$A98,'Direct Costs'!$A$5:$A$2005,"&gt;="&amp;ReportFrom,'Direct Costs'!$A$5:$A$2005,"&lt;="&amp;ReportTo))</f>
        <v/>
      </c>
      <c r="O98" s="25">
        <f>IF($A98="",0,(SUMIFS('Operating Expenses'!$F$5:$F$2005,'Operating Expenses'!$Q$5:$Q$2005,$A98,'Operating Expenses'!$A$5:$A$2005,"&lt;"&amp;ReportFrom)+SUMIFS('Operating Expenses'!$M$5:$M$2005,'Operating Expenses'!$T$5:$T$2005,$A98,'Operating Expenses'!$A$5:$A$2005,"&lt;"&amp;ReportFrom))-(SUMIFS('Operating Expenses'!$O$5:$O$2005,'Operating Expenses'!$R$5:$R$2005,$A98,'Operating Expenses'!$A$5:$A$2005,"&lt;"&amp;ReportFrom)+SUMIFS('Operating Expenses'!$P$5:$P$2005,'Operating Expenses'!$S$5:$S$2005,$A98,'Operating Expenses'!$A$5:$A$2005,"&lt;"&amp;ReportFrom)+SUMIFS('Operating Expenses'!$N$5:$N$2005,'Operating Expenses'!$U$5:$U$2005,$A98,'Operating Expenses'!$A$5:$A$2005,"&lt;"&amp;ReportFrom)))</f>
        <v/>
      </c>
      <c r="P98" s="25">
        <f>IF($A98="",0,SUMIFS('Operating Expenses'!$F$5:$F$2005,'Operating Expenses'!$Q$5:$Q$2005,$A98,'Operating Expenses'!$A$5:$A$2005,"&gt;="&amp;ReportFrom,'Operating Expenses'!$A$5:$A$2005,"&lt;="&amp;ReportTo)+SUMIFS('Operating Expenses'!$M$5:$M$2005,'Operating Expenses'!$T$5:$T$2005,$A98,'Operating Expenses'!$A$5:$A$2005,"&gt;="&amp;ReportFrom,'Operating Expenses'!$A$5:$A$2005,"&lt;="&amp;ReportTo))</f>
        <v/>
      </c>
      <c r="Q98" s="25">
        <f>IF($A98="",0,SUMIFS('Operating Expenses'!$O$5:$O$2005,'Operating Expenses'!$R$5:$R$2005,$A98,'Operating Expenses'!$A$5:$A$2005,"&gt;="&amp;ReportFrom,'Operating Expenses'!$A$5:$A$2005,"&lt;="&amp;ReportTo)+SUMIFS('Operating Expenses'!$P$5:$P$2005,'Operating Expenses'!$S$5:$S$2005,$A98,'Operating Expenses'!$A$5:$A$2005,"&gt;="&amp;ReportFrom,'Operating Expenses'!$A$5:$A$2005,"&lt;="&amp;ReportTo)+SUMIFS('Operating Expenses'!$N$5:$N$2005,'Operating Expenses'!$U$5:$U$2005,$A98,'Operating Expenses'!$A$5:$A$2005,"&gt;="&amp;ReportFrom,'Operating Expenses'!$A$5:$A$2005,"&lt;="&amp;ReportTo))</f>
        <v/>
      </c>
      <c r="R98" s="25">
        <f>IF($A98="",0,(SUMIFS('Payroll'!$O$5:$O$2005,'Payroll'!$Q$5:$Q$2005,$A98,'Payroll'!$A$5:$A$2005,"&lt;"&amp;ReportFrom))-(SUMIFS('Payroll'!$K$5:$K$2005,'Payroll'!$R$5:$R$2005,$A98,'Payroll'!$A$5:$A$2005,"&lt;"&amp;ReportFrom)+SUMIFS('Payroll'!$P$5:$P$2005,'Payroll'!$S$5:$S$2005,$A98,'Payroll'!$A$5:$A$2005,"&lt;"&amp;ReportFrom)))</f>
        <v/>
      </c>
      <c r="S98" s="25">
        <f>IF($A98="",0,SUMIFS('Payroll'!$O$5:$O$2005,'Payroll'!$Q$5:$Q$2005,$A98,'Payroll'!$A$5:$A$2005,"&gt;="&amp;ReportFrom,'Payroll'!$A$5:$A$2005,"&lt;="&amp;ReportTo))</f>
        <v/>
      </c>
      <c r="T98" s="25">
        <f>IF($A98="",0,SUMIFS('Payroll'!$K$5:$K$2005,'Payroll'!$R$5:$R$2005,$A98,'Payroll'!$A$5:$A$2005,"&gt;="&amp;ReportFrom,'Payroll'!$A$5:$A$2005,"&lt;="&amp;ReportTo)+SUMIFS('Payroll'!$P$5:$P$2005,'Payroll'!$S$5:$S$2005,$A98,'Payroll'!$A$5:$A$2005,"&gt;="&amp;ReportFrom,'Payroll'!$A$5:$A$2005,"&lt;="&amp;ReportTo))</f>
        <v/>
      </c>
      <c r="U98" s="25">
        <f>IF($A98="",0,(SUMIFS('Receipt Vouchers'!$F$5:$F$2005,'Receipt Vouchers'!$O$5:$O$2005,$A98,'Receipt Vouchers'!$A$5:$A$2005,"&lt;"&amp;ReportFrom)+SUMIFS('Receipt Vouchers'!$J$5:$J$2005,'Receipt Vouchers'!$Q$5:$Q$2005,$A98,'Receipt Vouchers'!$A$5:$A$2005,"&lt;"&amp;ReportFrom))-(SUMIFS('Receipt Vouchers'!$N$5:$N$2005,'Receipt Vouchers'!$P$5:$P$2005,$A98,'Receipt Vouchers'!$A$5:$A$2005,"&lt;"&amp;ReportFrom)+SUMIFS('Receipt Vouchers'!$M$5:$M$2005,'Receipt Vouchers'!$R$5:$R$2005,$A98,'Receipt Vouchers'!$A$5:$A$2005,"&lt;"&amp;ReportFrom)))</f>
        <v/>
      </c>
      <c r="V98" s="25">
        <f>IF($A98="",0,SUMIFS('Receipt Vouchers'!$F$5:$F$2005,'Receipt Vouchers'!$O$5:$O$2005,$A98,'Receipt Vouchers'!$A$5:$A$2005,"&gt;="&amp;ReportFrom,'Receipt Vouchers'!$A$5:$A$2005,"&lt;="&amp;ReportTo)+SUMIFS('Receipt Vouchers'!$J$5:$J$2005,'Receipt Vouchers'!$Q$5:$Q$2005,$A98,'Receipt Vouchers'!$A$5:$A$2005,"&gt;="&amp;ReportFrom,'Receipt Vouchers'!$A$5:$A$2005,"&lt;="&amp;ReportTo))</f>
        <v/>
      </c>
      <c r="W98" s="25">
        <f>IF($A98="",0,SUMIFS('Receipt Vouchers'!$N$5:$N$2005,'Receipt Vouchers'!$P$5:$P$2005,$A98,'Receipt Vouchers'!$A$5:$A$2005,"&gt;="&amp;ReportFrom,'Receipt Vouchers'!$A$5:$A$2005,"&lt;="&amp;ReportTo)+SUMIFS('Receipt Vouchers'!$M$5:$M$2005,'Receipt Vouchers'!$R$5:$R$2005,$A98,'Receipt Vouchers'!$A$5:$A$2005,"&gt;="&amp;ReportFrom,'Receipt Vouchers'!$A$5:$A$2005,"&lt;="&amp;ReportTo))</f>
        <v/>
      </c>
      <c r="X98" s="25">
        <f>IF($A98="",0,(SUMIFS('Sales Invoices'!$O$5:$O$2005,'Sales Invoices'!$P$5:$P$2005,$A98,'Sales Invoices'!$B$5:$B$2005,"&lt;"&amp;ReportFrom)+SUMIFS('Sales Invoices'!$N$5:$N$2005,'Sales Invoices'!$R$5:$R$2005,$A98,'Sales Invoices'!$B$5:$B$2005,"&lt;"&amp;ReportFrom))-(SUMIFS('Sales Invoices'!$L$5:$L$2005,'Sales Invoices'!$Q$5:$Q$2005,$A98,'Sales Invoices'!$B$5:$B$2005,"&lt;"&amp;ReportFrom)+SUMIFS('Sales Invoices'!$M$5:$M$2005,'Sales Invoices'!$S$5:$S$2005,$A98,'Sales Invoices'!$B$5:$B$2005,"&lt;"&amp;ReportFrom)))</f>
        <v/>
      </c>
      <c r="Y98" s="25">
        <f>IF($A98="",0,SUMIFS('Sales Invoices'!$O$5:$O$2005,'Sales Invoices'!$P$5:$P$2005,$A98,'Sales Invoices'!$B$5:$B$2005,"&gt;="&amp;ReportFrom,'Sales Invoices'!$B$5:$B$2005,"&lt;="&amp;ReportTo)+SUMIFS('Sales Invoices'!$N$5:$N$2005,'Sales Invoices'!$R$5:$R$2005,$A98,'Sales Invoices'!$B$5:$B$2005,"&gt;="&amp;ReportFrom,'Sales Invoices'!$B$5:$B$2005,"&lt;="&amp;ReportTo))</f>
        <v/>
      </c>
      <c r="Z98" s="25">
        <f>IF($A98="",0,SUMIFS('Sales Invoices'!$L$5:$L$2005,'Sales Invoices'!$Q$5:$Q$2005,$A98,'Sales Invoices'!$B$5:$B$2005,"&gt;="&amp;ReportFrom,'Sales Invoices'!$B$5:$B$2005,"&lt;="&amp;ReportTo)+SUMIFS('Sales Invoices'!$M$5:$M$2005,'Sales Invoices'!$S$5:$S$2005,$A98,'Sales Invoices'!$B$5:$B$2005,"&gt;="&amp;ReportFrom,'Sales Invoices'!$B$5:$B$2005,"&lt;="&amp;ReportTo))</f>
        <v/>
      </c>
      <c r="AA98" s="25">
        <f>IF($A98="",0,(SUMIFS('Payment Vouchers'!$D$5:$D$2005,'Payment Vouchers'!$J$5:$J$2005,$A98,'Payment Vouchers'!$A$5:$A$2005,"&lt;"&amp;ReportFrom))-(SUMIFS('Payment Vouchers'!$D$5:$D$2005,'Payment Vouchers'!$K$5:$K$2005,$A98,'Payment Vouchers'!$A$5:$A$2005,"&lt;"&amp;ReportFrom)))</f>
        <v/>
      </c>
      <c r="AB98" s="25">
        <f>IF($A98="",0,SUMIFS('Payment Vouchers'!$D$5:$D$2005,'Payment Vouchers'!$J$5:$J$2005,$A98,'Payment Vouchers'!$A$5:$A$2005,"&gt;="&amp;ReportFrom,'Payment Vouchers'!$A$5:$A$2005,"&lt;="&amp;ReportTo))</f>
        <v/>
      </c>
      <c r="AC98" s="25">
        <f>IF($A98="",0,SUMIFS('Payment Vouchers'!$D$5:$D$2005,'Payment Vouchers'!$K$5:$K$2005,$A98,'Payment Vouchers'!$A$5:$A$2005,"&gt;="&amp;ReportFrom,'Payment Vouchers'!$A$5:$A$2005,"&lt;="&amp;ReportTo))</f>
        <v/>
      </c>
      <c r="AD98" s="25">
        <f>IF($A98="",0,(SUMIFS('Partner Transactions'!$D$5:$D$2005,'Partner Transactions'!$L$5:$L$2005,$A98,'Partner Transactions'!$A$5:$A$2005,"&lt;"&amp;ReportFrom))-(SUMIFS('Partner Transactions'!$D$5:$D$2005,'Partner Transactions'!$M$5:$M$2005,$A98,'Partner Transactions'!$A$5:$A$2005,"&lt;"&amp;ReportFrom)))</f>
        <v/>
      </c>
      <c r="AE98" s="25">
        <f>IF($A98="",0,SUMIFS('Partner Transactions'!$D$5:$D$2005,'Partner Transactions'!$L$5:$L$2005,$A98,'Partner Transactions'!$A$5:$A$2005,"&gt;="&amp;ReportFrom,'Partner Transactions'!$A$5:$A$2005,"&lt;="&amp;ReportTo))</f>
        <v/>
      </c>
      <c r="AF98" s="25">
        <f>IF($A98="",0,SUMIFS('Partner Transactions'!$D$5:$D$2005,'Partner Transactions'!$M$5:$M$2005,$A98,'Partner Transactions'!$A$5:$A$2005,"&gt;="&amp;ReportFrom,'Partner Transactions'!$A$5:$A$2005,"&lt;="&amp;ReportTo))</f>
        <v/>
      </c>
      <c r="AG98" s="25">
        <f>IF($A98="",0,(SUMIFS('Stock Moves'!$S$5:$S$2005,'Stock Moves'!$AD$5:$AD$2005,$A98,'Stock Moves'!$A$5:$A$2005,"&lt;"&amp;ReportFrom)+SUMIFS('Stock Moves'!$T$5:$T$2005,'Stock Moves'!$V$5:$V$2005,$A98,'Stock Moves'!$A$5:$A$2005,"&lt;"&amp;ReportFrom))-(SUMIFS('Stock Moves'!$AF$5:$AF$2005,'Stock Moves'!$AE$5:$AE$2005,$A98,'Stock Moves'!$A$5:$A$2005,"&lt;"&amp;ReportFrom)+SUMIFS('Stock Moves'!$AC$5:$AC$2005,'Stock Moves'!$X$5:$X$2005,$A98,'Stock Moves'!$A$5:$A$2005,"&lt;"&amp;ReportFrom)+SUMIFS('Stock Moves'!$U$5:$U$2005,'Stock Moves'!$W$5:$W$2005,$A98,'Stock Moves'!$A$5:$A$2005,"&lt;"&amp;ReportFrom)))</f>
        <v/>
      </c>
      <c r="AH98" s="25">
        <f>IF($A98="",0,SUMIFS('Stock Moves'!$S$5:$S$2005,'Stock Moves'!$AD$5:$AD$2005,$A98,'Stock Moves'!$A$5:$A$2005,"&gt;="&amp;ReportFrom,'Stock Moves'!$A$5:$A$2005,"&lt;="&amp;ReportTo)+SUMIFS('Stock Moves'!$T$5:$T$2005,'Stock Moves'!$V$5:$V$2005,$A98,'Stock Moves'!$A$5:$A$2005,"&gt;="&amp;ReportFrom,'Stock Moves'!$A$5:$A$2005,"&lt;="&amp;ReportTo))</f>
        <v/>
      </c>
      <c r="AI98" s="25">
        <f>IF($A98="",0,SUMIFS('Stock Moves'!$AF$5:$AF$2005,'Stock Moves'!$AE$5:$AE$2005,$A98,'Stock Moves'!$A$5:$A$2005,"&gt;="&amp;ReportFrom,'Stock Moves'!$A$5:$A$2005,"&lt;="&amp;ReportTo)+SUMIFS('Stock Moves'!$AC$5:$AC$2005,'Stock Moves'!$X$5:$X$2005,$A98,'Stock Moves'!$A$5:$A$2005,"&gt;="&amp;ReportFrom,'Stock Moves'!$A$5:$A$2005,"&lt;="&amp;ReportTo)+SUMIFS('Stock Moves'!$U$5:$U$2005,'Stock Moves'!$W$5:$W$2005,$A98,'Stock Moves'!$A$5:$A$2005,"&gt;="&amp;ReportFrom,'Stock Moves'!$A$5:$A$2005,"&lt;="&amp;ReportTo))</f>
        <v/>
      </c>
      <c r="AJ98" s="25">
        <f>IF($A98="",0,(SUMIFS('Journal Vouchers'!$I$5:$I$2005,'Journal Vouchers'!$H$5:$H$2005,$A98,'Journal Vouchers'!$B$5:$B$2005,"&lt;"&amp;ReportFrom))-(SUMIFS('Journal Vouchers'!$J$5:$J$2005,'Journal Vouchers'!$H$5:$H$2005,$A98,'Journal Vouchers'!$B$5:$B$2005,"&lt;"&amp;ReportFrom)))</f>
        <v/>
      </c>
      <c r="AK98" s="25">
        <f>IF($A98="",0,SUMIFS('Journal Vouchers'!$I$5:$I$2005,'Journal Vouchers'!$H$5:$H$2005,$A98,'Journal Vouchers'!$B$5:$B$2005,"&gt;="&amp;ReportFrom,'Journal Vouchers'!$B$5:$B$2005,"&lt;="&amp;ReportTo))</f>
        <v/>
      </c>
      <c r="AL98" s="25">
        <f>IF($A98="",0,SUMIFS('Journal Vouchers'!$J$5:$J$2005,'Journal Vouchers'!$H$5:$H$2005,$A98,'Journal Vouchers'!$B$5:$B$2005,"&gt;="&amp;ReportFrom,'Journal Vouchers'!$B$5:$B$2005,"&lt;="&amp;ReportTo))</f>
        <v/>
      </c>
    </row>
    <row r="99">
      <c r="A99" s="25">
        <f>IF('Chart of Accounts'!A99="","",'Chart of Accounts'!A99&amp;"")</f>
        <v/>
      </c>
      <c r="B99" s="25">
        <f>IF(A99="","",'Chart of Accounts'!B99)</f>
        <v/>
      </c>
      <c r="C99" s="25">
        <f>IF(A99="","",'Chart of Accounts'!C99)</f>
        <v/>
      </c>
      <c r="D99" s="25">
        <f>IF(A99="","",'Chart of Accounts'!D99)</f>
        <v/>
      </c>
      <c r="E99" s="26">
        <f>L99+O99+R99+U99+X99+AA99+AD99+AG99+AJ99</f>
        <v/>
      </c>
      <c r="F99" s="26">
        <f>M99+P99+S99+V99+Y99+AB99+AE99+AH99+AK99</f>
        <v/>
      </c>
      <c r="G99" s="26">
        <f>N99+Q99+T99+W99+Z99+AC99+AF99+AI99+AL99</f>
        <v/>
      </c>
      <c r="H99" s="26">
        <f>E99+F99-G99</f>
        <v/>
      </c>
      <c r="I99" s="26">
        <f>MAX(H99,0)</f>
        <v/>
      </c>
      <c r="J99" s="26">
        <f>MAX(-H99,0)</f>
        <v/>
      </c>
      <c r="L99" s="25">
        <f>IF($A99="",0,(SUMIFS('Direct Costs'!$R$5:$R$2005,'Direct Costs'!$V$5:$V$2005,$A99,'Direct Costs'!$A$5:$A$2005,"&lt;"&amp;ReportFrom)+SUMIFS('Direct Costs'!$S$5:$S$2005,'Direct Costs'!$Y$5:$Y$2005,$A99,'Direct Costs'!$A$5:$A$2005,"&lt;"&amp;ReportFrom))-(SUMIFS('Direct Costs'!$L$5:$L$2005,'Direct Costs'!$W$5:$W$2005,$A99,'Direct Costs'!$A$5:$A$2005,"&lt;"&amp;ReportFrom)+SUMIFS('Direct Costs'!$U$5:$U$2005,'Direct Costs'!$X$5:$X$2005,$A99,'Direct Costs'!$A$5:$A$2005,"&lt;"&amp;ReportFrom)+SUMIFS('Direct Costs'!$T$5:$T$2005,'Direct Costs'!$Z$5:$Z$2005,$A99,'Direct Costs'!$A$5:$A$2005,"&lt;"&amp;ReportFrom)))</f>
        <v/>
      </c>
      <c r="M99" s="25">
        <f>IF($A99="",0,SUMIFS('Direct Costs'!$R$5:$R$2005,'Direct Costs'!$V$5:$V$2005,$A99,'Direct Costs'!$A$5:$A$2005,"&gt;="&amp;ReportFrom,'Direct Costs'!$A$5:$A$2005,"&lt;="&amp;ReportTo)+SUMIFS('Direct Costs'!$S$5:$S$2005,'Direct Costs'!$Y$5:$Y$2005,$A99,'Direct Costs'!$A$5:$A$2005,"&gt;="&amp;ReportFrom,'Direct Costs'!$A$5:$A$2005,"&lt;="&amp;ReportTo))</f>
        <v/>
      </c>
      <c r="N99" s="25">
        <f>IF($A99="",0,SUMIFS('Direct Costs'!$L$5:$L$2005,'Direct Costs'!$W$5:$W$2005,$A99,'Direct Costs'!$A$5:$A$2005,"&gt;="&amp;ReportFrom,'Direct Costs'!$A$5:$A$2005,"&lt;="&amp;ReportTo)+SUMIFS('Direct Costs'!$U$5:$U$2005,'Direct Costs'!$X$5:$X$2005,$A99,'Direct Costs'!$A$5:$A$2005,"&gt;="&amp;ReportFrom,'Direct Costs'!$A$5:$A$2005,"&lt;="&amp;ReportTo)+SUMIFS('Direct Costs'!$T$5:$T$2005,'Direct Costs'!$Z$5:$Z$2005,$A99,'Direct Costs'!$A$5:$A$2005,"&gt;="&amp;ReportFrom,'Direct Costs'!$A$5:$A$2005,"&lt;="&amp;ReportTo))</f>
        <v/>
      </c>
      <c r="O99" s="25">
        <f>IF($A99="",0,(SUMIFS('Operating Expenses'!$F$5:$F$2005,'Operating Expenses'!$Q$5:$Q$2005,$A99,'Operating Expenses'!$A$5:$A$2005,"&lt;"&amp;ReportFrom)+SUMIFS('Operating Expenses'!$M$5:$M$2005,'Operating Expenses'!$T$5:$T$2005,$A99,'Operating Expenses'!$A$5:$A$2005,"&lt;"&amp;ReportFrom))-(SUMIFS('Operating Expenses'!$O$5:$O$2005,'Operating Expenses'!$R$5:$R$2005,$A99,'Operating Expenses'!$A$5:$A$2005,"&lt;"&amp;ReportFrom)+SUMIFS('Operating Expenses'!$P$5:$P$2005,'Operating Expenses'!$S$5:$S$2005,$A99,'Operating Expenses'!$A$5:$A$2005,"&lt;"&amp;ReportFrom)+SUMIFS('Operating Expenses'!$N$5:$N$2005,'Operating Expenses'!$U$5:$U$2005,$A99,'Operating Expenses'!$A$5:$A$2005,"&lt;"&amp;ReportFrom)))</f>
        <v/>
      </c>
      <c r="P99" s="25">
        <f>IF($A99="",0,SUMIFS('Operating Expenses'!$F$5:$F$2005,'Operating Expenses'!$Q$5:$Q$2005,$A99,'Operating Expenses'!$A$5:$A$2005,"&gt;="&amp;ReportFrom,'Operating Expenses'!$A$5:$A$2005,"&lt;="&amp;ReportTo)+SUMIFS('Operating Expenses'!$M$5:$M$2005,'Operating Expenses'!$T$5:$T$2005,$A99,'Operating Expenses'!$A$5:$A$2005,"&gt;="&amp;ReportFrom,'Operating Expenses'!$A$5:$A$2005,"&lt;="&amp;ReportTo))</f>
        <v/>
      </c>
      <c r="Q99" s="25">
        <f>IF($A99="",0,SUMIFS('Operating Expenses'!$O$5:$O$2005,'Operating Expenses'!$R$5:$R$2005,$A99,'Operating Expenses'!$A$5:$A$2005,"&gt;="&amp;ReportFrom,'Operating Expenses'!$A$5:$A$2005,"&lt;="&amp;ReportTo)+SUMIFS('Operating Expenses'!$P$5:$P$2005,'Operating Expenses'!$S$5:$S$2005,$A99,'Operating Expenses'!$A$5:$A$2005,"&gt;="&amp;ReportFrom,'Operating Expenses'!$A$5:$A$2005,"&lt;="&amp;ReportTo)+SUMIFS('Operating Expenses'!$N$5:$N$2005,'Operating Expenses'!$U$5:$U$2005,$A99,'Operating Expenses'!$A$5:$A$2005,"&gt;="&amp;ReportFrom,'Operating Expenses'!$A$5:$A$2005,"&lt;="&amp;ReportTo))</f>
        <v/>
      </c>
      <c r="R99" s="25">
        <f>IF($A99="",0,(SUMIFS('Payroll'!$O$5:$O$2005,'Payroll'!$Q$5:$Q$2005,$A99,'Payroll'!$A$5:$A$2005,"&lt;"&amp;ReportFrom))-(SUMIFS('Payroll'!$K$5:$K$2005,'Payroll'!$R$5:$R$2005,$A99,'Payroll'!$A$5:$A$2005,"&lt;"&amp;ReportFrom)+SUMIFS('Payroll'!$P$5:$P$2005,'Payroll'!$S$5:$S$2005,$A99,'Payroll'!$A$5:$A$2005,"&lt;"&amp;ReportFrom)))</f>
        <v/>
      </c>
      <c r="S99" s="25">
        <f>IF($A99="",0,SUMIFS('Payroll'!$O$5:$O$2005,'Payroll'!$Q$5:$Q$2005,$A99,'Payroll'!$A$5:$A$2005,"&gt;="&amp;ReportFrom,'Payroll'!$A$5:$A$2005,"&lt;="&amp;ReportTo))</f>
        <v/>
      </c>
      <c r="T99" s="25">
        <f>IF($A99="",0,SUMIFS('Payroll'!$K$5:$K$2005,'Payroll'!$R$5:$R$2005,$A99,'Payroll'!$A$5:$A$2005,"&gt;="&amp;ReportFrom,'Payroll'!$A$5:$A$2005,"&lt;="&amp;ReportTo)+SUMIFS('Payroll'!$P$5:$P$2005,'Payroll'!$S$5:$S$2005,$A99,'Payroll'!$A$5:$A$2005,"&gt;="&amp;ReportFrom,'Payroll'!$A$5:$A$2005,"&lt;="&amp;ReportTo))</f>
        <v/>
      </c>
      <c r="U99" s="25">
        <f>IF($A99="",0,(SUMIFS('Receipt Vouchers'!$F$5:$F$2005,'Receipt Vouchers'!$O$5:$O$2005,$A99,'Receipt Vouchers'!$A$5:$A$2005,"&lt;"&amp;ReportFrom)+SUMIFS('Receipt Vouchers'!$J$5:$J$2005,'Receipt Vouchers'!$Q$5:$Q$2005,$A99,'Receipt Vouchers'!$A$5:$A$2005,"&lt;"&amp;ReportFrom))-(SUMIFS('Receipt Vouchers'!$N$5:$N$2005,'Receipt Vouchers'!$P$5:$P$2005,$A99,'Receipt Vouchers'!$A$5:$A$2005,"&lt;"&amp;ReportFrom)+SUMIFS('Receipt Vouchers'!$M$5:$M$2005,'Receipt Vouchers'!$R$5:$R$2005,$A99,'Receipt Vouchers'!$A$5:$A$2005,"&lt;"&amp;ReportFrom)))</f>
        <v/>
      </c>
      <c r="V99" s="25">
        <f>IF($A99="",0,SUMIFS('Receipt Vouchers'!$F$5:$F$2005,'Receipt Vouchers'!$O$5:$O$2005,$A99,'Receipt Vouchers'!$A$5:$A$2005,"&gt;="&amp;ReportFrom,'Receipt Vouchers'!$A$5:$A$2005,"&lt;="&amp;ReportTo)+SUMIFS('Receipt Vouchers'!$J$5:$J$2005,'Receipt Vouchers'!$Q$5:$Q$2005,$A99,'Receipt Vouchers'!$A$5:$A$2005,"&gt;="&amp;ReportFrom,'Receipt Vouchers'!$A$5:$A$2005,"&lt;="&amp;ReportTo))</f>
        <v/>
      </c>
      <c r="W99" s="25">
        <f>IF($A99="",0,SUMIFS('Receipt Vouchers'!$N$5:$N$2005,'Receipt Vouchers'!$P$5:$P$2005,$A99,'Receipt Vouchers'!$A$5:$A$2005,"&gt;="&amp;ReportFrom,'Receipt Vouchers'!$A$5:$A$2005,"&lt;="&amp;ReportTo)+SUMIFS('Receipt Vouchers'!$M$5:$M$2005,'Receipt Vouchers'!$R$5:$R$2005,$A99,'Receipt Vouchers'!$A$5:$A$2005,"&gt;="&amp;ReportFrom,'Receipt Vouchers'!$A$5:$A$2005,"&lt;="&amp;ReportTo))</f>
        <v/>
      </c>
      <c r="X99" s="25">
        <f>IF($A99="",0,(SUMIFS('Sales Invoices'!$O$5:$O$2005,'Sales Invoices'!$P$5:$P$2005,$A99,'Sales Invoices'!$B$5:$B$2005,"&lt;"&amp;ReportFrom)+SUMIFS('Sales Invoices'!$N$5:$N$2005,'Sales Invoices'!$R$5:$R$2005,$A99,'Sales Invoices'!$B$5:$B$2005,"&lt;"&amp;ReportFrom))-(SUMIFS('Sales Invoices'!$L$5:$L$2005,'Sales Invoices'!$Q$5:$Q$2005,$A99,'Sales Invoices'!$B$5:$B$2005,"&lt;"&amp;ReportFrom)+SUMIFS('Sales Invoices'!$M$5:$M$2005,'Sales Invoices'!$S$5:$S$2005,$A99,'Sales Invoices'!$B$5:$B$2005,"&lt;"&amp;ReportFrom)))</f>
        <v/>
      </c>
      <c r="Y99" s="25">
        <f>IF($A99="",0,SUMIFS('Sales Invoices'!$O$5:$O$2005,'Sales Invoices'!$P$5:$P$2005,$A99,'Sales Invoices'!$B$5:$B$2005,"&gt;="&amp;ReportFrom,'Sales Invoices'!$B$5:$B$2005,"&lt;="&amp;ReportTo)+SUMIFS('Sales Invoices'!$N$5:$N$2005,'Sales Invoices'!$R$5:$R$2005,$A99,'Sales Invoices'!$B$5:$B$2005,"&gt;="&amp;ReportFrom,'Sales Invoices'!$B$5:$B$2005,"&lt;="&amp;ReportTo))</f>
        <v/>
      </c>
      <c r="Z99" s="25">
        <f>IF($A99="",0,SUMIFS('Sales Invoices'!$L$5:$L$2005,'Sales Invoices'!$Q$5:$Q$2005,$A99,'Sales Invoices'!$B$5:$B$2005,"&gt;="&amp;ReportFrom,'Sales Invoices'!$B$5:$B$2005,"&lt;="&amp;ReportTo)+SUMIFS('Sales Invoices'!$M$5:$M$2005,'Sales Invoices'!$S$5:$S$2005,$A99,'Sales Invoices'!$B$5:$B$2005,"&gt;="&amp;ReportFrom,'Sales Invoices'!$B$5:$B$2005,"&lt;="&amp;ReportTo))</f>
        <v/>
      </c>
      <c r="AA99" s="25">
        <f>IF($A99="",0,(SUMIFS('Payment Vouchers'!$D$5:$D$2005,'Payment Vouchers'!$J$5:$J$2005,$A99,'Payment Vouchers'!$A$5:$A$2005,"&lt;"&amp;ReportFrom))-(SUMIFS('Payment Vouchers'!$D$5:$D$2005,'Payment Vouchers'!$K$5:$K$2005,$A99,'Payment Vouchers'!$A$5:$A$2005,"&lt;"&amp;ReportFrom)))</f>
        <v/>
      </c>
      <c r="AB99" s="25">
        <f>IF($A99="",0,SUMIFS('Payment Vouchers'!$D$5:$D$2005,'Payment Vouchers'!$J$5:$J$2005,$A99,'Payment Vouchers'!$A$5:$A$2005,"&gt;="&amp;ReportFrom,'Payment Vouchers'!$A$5:$A$2005,"&lt;="&amp;ReportTo))</f>
        <v/>
      </c>
      <c r="AC99" s="25">
        <f>IF($A99="",0,SUMIFS('Payment Vouchers'!$D$5:$D$2005,'Payment Vouchers'!$K$5:$K$2005,$A99,'Payment Vouchers'!$A$5:$A$2005,"&gt;="&amp;ReportFrom,'Payment Vouchers'!$A$5:$A$2005,"&lt;="&amp;ReportTo))</f>
        <v/>
      </c>
      <c r="AD99" s="25">
        <f>IF($A99="",0,(SUMIFS('Partner Transactions'!$D$5:$D$2005,'Partner Transactions'!$L$5:$L$2005,$A99,'Partner Transactions'!$A$5:$A$2005,"&lt;"&amp;ReportFrom))-(SUMIFS('Partner Transactions'!$D$5:$D$2005,'Partner Transactions'!$M$5:$M$2005,$A99,'Partner Transactions'!$A$5:$A$2005,"&lt;"&amp;ReportFrom)))</f>
        <v/>
      </c>
      <c r="AE99" s="25">
        <f>IF($A99="",0,SUMIFS('Partner Transactions'!$D$5:$D$2005,'Partner Transactions'!$L$5:$L$2005,$A99,'Partner Transactions'!$A$5:$A$2005,"&gt;="&amp;ReportFrom,'Partner Transactions'!$A$5:$A$2005,"&lt;="&amp;ReportTo))</f>
        <v/>
      </c>
      <c r="AF99" s="25">
        <f>IF($A99="",0,SUMIFS('Partner Transactions'!$D$5:$D$2005,'Partner Transactions'!$M$5:$M$2005,$A99,'Partner Transactions'!$A$5:$A$2005,"&gt;="&amp;ReportFrom,'Partner Transactions'!$A$5:$A$2005,"&lt;="&amp;ReportTo))</f>
        <v/>
      </c>
      <c r="AG99" s="25">
        <f>IF($A99="",0,(SUMIFS('Stock Moves'!$S$5:$S$2005,'Stock Moves'!$AD$5:$AD$2005,$A99,'Stock Moves'!$A$5:$A$2005,"&lt;"&amp;ReportFrom)+SUMIFS('Stock Moves'!$T$5:$T$2005,'Stock Moves'!$V$5:$V$2005,$A99,'Stock Moves'!$A$5:$A$2005,"&lt;"&amp;ReportFrom))-(SUMIFS('Stock Moves'!$AF$5:$AF$2005,'Stock Moves'!$AE$5:$AE$2005,$A99,'Stock Moves'!$A$5:$A$2005,"&lt;"&amp;ReportFrom)+SUMIFS('Stock Moves'!$AC$5:$AC$2005,'Stock Moves'!$X$5:$X$2005,$A99,'Stock Moves'!$A$5:$A$2005,"&lt;"&amp;ReportFrom)+SUMIFS('Stock Moves'!$U$5:$U$2005,'Stock Moves'!$W$5:$W$2005,$A99,'Stock Moves'!$A$5:$A$2005,"&lt;"&amp;ReportFrom)))</f>
        <v/>
      </c>
      <c r="AH99" s="25">
        <f>IF($A99="",0,SUMIFS('Stock Moves'!$S$5:$S$2005,'Stock Moves'!$AD$5:$AD$2005,$A99,'Stock Moves'!$A$5:$A$2005,"&gt;="&amp;ReportFrom,'Stock Moves'!$A$5:$A$2005,"&lt;="&amp;ReportTo)+SUMIFS('Stock Moves'!$T$5:$T$2005,'Stock Moves'!$V$5:$V$2005,$A99,'Stock Moves'!$A$5:$A$2005,"&gt;="&amp;ReportFrom,'Stock Moves'!$A$5:$A$2005,"&lt;="&amp;ReportTo))</f>
        <v/>
      </c>
      <c r="AI99" s="25">
        <f>IF($A99="",0,SUMIFS('Stock Moves'!$AF$5:$AF$2005,'Stock Moves'!$AE$5:$AE$2005,$A99,'Stock Moves'!$A$5:$A$2005,"&gt;="&amp;ReportFrom,'Stock Moves'!$A$5:$A$2005,"&lt;="&amp;ReportTo)+SUMIFS('Stock Moves'!$AC$5:$AC$2005,'Stock Moves'!$X$5:$X$2005,$A99,'Stock Moves'!$A$5:$A$2005,"&gt;="&amp;ReportFrom,'Stock Moves'!$A$5:$A$2005,"&lt;="&amp;ReportTo)+SUMIFS('Stock Moves'!$U$5:$U$2005,'Stock Moves'!$W$5:$W$2005,$A99,'Stock Moves'!$A$5:$A$2005,"&gt;="&amp;ReportFrom,'Stock Moves'!$A$5:$A$2005,"&lt;="&amp;ReportTo))</f>
        <v/>
      </c>
      <c r="AJ99" s="25">
        <f>IF($A99="",0,(SUMIFS('Journal Vouchers'!$I$5:$I$2005,'Journal Vouchers'!$H$5:$H$2005,$A99,'Journal Vouchers'!$B$5:$B$2005,"&lt;"&amp;ReportFrom))-(SUMIFS('Journal Vouchers'!$J$5:$J$2005,'Journal Vouchers'!$H$5:$H$2005,$A99,'Journal Vouchers'!$B$5:$B$2005,"&lt;"&amp;ReportFrom)))</f>
        <v/>
      </c>
      <c r="AK99" s="25">
        <f>IF($A99="",0,SUMIFS('Journal Vouchers'!$I$5:$I$2005,'Journal Vouchers'!$H$5:$H$2005,$A99,'Journal Vouchers'!$B$5:$B$2005,"&gt;="&amp;ReportFrom,'Journal Vouchers'!$B$5:$B$2005,"&lt;="&amp;ReportTo))</f>
        <v/>
      </c>
      <c r="AL99" s="25">
        <f>IF($A99="",0,SUMIFS('Journal Vouchers'!$J$5:$J$2005,'Journal Vouchers'!$H$5:$H$2005,$A99,'Journal Vouchers'!$B$5:$B$2005,"&gt;="&amp;ReportFrom,'Journal Vouchers'!$B$5:$B$2005,"&lt;="&amp;ReportTo))</f>
        <v/>
      </c>
    </row>
    <row r="100">
      <c r="A100" s="25">
        <f>IF('Chart of Accounts'!A100="","",'Chart of Accounts'!A100&amp;"")</f>
        <v/>
      </c>
      <c r="B100" s="25">
        <f>IF(A100="","",'Chart of Accounts'!B100)</f>
        <v/>
      </c>
      <c r="C100" s="25">
        <f>IF(A100="","",'Chart of Accounts'!C100)</f>
        <v/>
      </c>
      <c r="D100" s="25">
        <f>IF(A100="","",'Chart of Accounts'!D100)</f>
        <v/>
      </c>
      <c r="E100" s="26">
        <f>L100+O100+R100+U100+X100+AA100+AD100+AG100+AJ100</f>
        <v/>
      </c>
      <c r="F100" s="26">
        <f>M100+P100+S100+V100+Y100+AB100+AE100+AH100+AK100</f>
        <v/>
      </c>
      <c r="G100" s="26">
        <f>N100+Q100+T100+W100+Z100+AC100+AF100+AI100+AL100</f>
        <v/>
      </c>
      <c r="H100" s="26">
        <f>E100+F100-G100</f>
        <v/>
      </c>
      <c r="I100" s="26">
        <f>MAX(H100,0)</f>
        <v/>
      </c>
      <c r="J100" s="26">
        <f>MAX(-H100,0)</f>
        <v/>
      </c>
      <c r="L100" s="25">
        <f>IF($A100="",0,(SUMIFS('Direct Costs'!$R$5:$R$2005,'Direct Costs'!$V$5:$V$2005,$A100,'Direct Costs'!$A$5:$A$2005,"&lt;"&amp;ReportFrom)+SUMIFS('Direct Costs'!$S$5:$S$2005,'Direct Costs'!$Y$5:$Y$2005,$A100,'Direct Costs'!$A$5:$A$2005,"&lt;"&amp;ReportFrom))-(SUMIFS('Direct Costs'!$L$5:$L$2005,'Direct Costs'!$W$5:$W$2005,$A100,'Direct Costs'!$A$5:$A$2005,"&lt;"&amp;ReportFrom)+SUMIFS('Direct Costs'!$U$5:$U$2005,'Direct Costs'!$X$5:$X$2005,$A100,'Direct Costs'!$A$5:$A$2005,"&lt;"&amp;ReportFrom)+SUMIFS('Direct Costs'!$T$5:$T$2005,'Direct Costs'!$Z$5:$Z$2005,$A100,'Direct Costs'!$A$5:$A$2005,"&lt;"&amp;ReportFrom)))</f>
        <v/>
      </c>
      <c r="M100" s="25">
        <f>IF($A100="",0,SUMIFS('Direct Costs'!$R$5:$R$2005,'Direct Costs'!$V$5:$V$2005,$A100,'Direct Costs'!$A$5:$A$2005,"&gt;="&amp;ReportFrom,'Direct Costs'!$A$5:$A$2005,"&lt;="&amp;ReportTo)+SUMIFS('Direct Costs'!$S$5:$S$2005,'Direct Costs'!$Y$5:$Y$2005,$A100,'Direct Costs'!$A$5:$A$2005,"&gt;="&amp;ReportFrom,'Direct Costs'!$A$5:$A$2005,"&lt;="&amp;ReportTo))</f>
        <v/>
      </c>
      <c r="N100" s="25">
        <f>IF($A100="",0,SUMIFS('Direct Costs'!$L$5:$L$2005,'Direct Costs'!$W$5:$W$2005,$A100,'Direct Costs'!$A$5:$A$2005,"&gt;="&amp;ReportFrom,'Direct Costs'!$A$5:$A$2005,"&lt;="&amp;ReportTo)+SUMIFS('Direct Costs'!$U$5:$U$2005,'Direct Costs'!$X$5:$X$2005,$A100,'Direct Costs'!$A$5:$A$2005,"&gt;="&amp;ReportFrom,'Direct Costs'!$A$5:$A$2005,"&lt;="&amp;ReportTo)+SUMIFS('Direct Costs'!$T$5:$T$2005,'Direct Costs'!$Z$5:$Z$2005,$A100,'Direct Costs'!$A$5:$A$2005,"&gt;="&amp;ReportFrom,'Direct Costs'!$A$5:$A$2005,"&lt;="&amp;ReportTo))</f>
        <v/>
      </c>
      <c r="O100" s="25">
        <f>IF($A100="",0,(SUMIFS('Operating Expenses'!$F$5:$F$2005,'Operating Expenses'!$Q$5:$Q$2005,$A100,'Operating Expenses'!$A$5:$A$2005,"&lt;"&amp;ReportFrom)+SUMIFS('Operating Expenses'!$M$5:$M$2005,'Operating Expenses'!$T$5:$T$2005,$A100,'Operating Expenses'!$A$5:$A$2005,"&lt;"&amp;ReportFrom))-(SUMIFS('Operating Expenses'!$O$5:$O$2005,'Operating Expenses'!$R$5:$R$2005,$A100,'Operating Expenses'!$A$5:$A$2005,"&lt;"&amp;ReportFrom)+SUMIFS('Operating Expenses'!$P$5:$P$2005,'Operating Expenses'!$S$5:$S$2005,$A100,'Operating Expenses'!$A$5:$A$2005,"&lt;"&amp;ReportFrom)+SUMIFS('Operating Expenses'!$N$5:$N$2005,'Operating Expenses'!$U$5:$U$2005,$A100,'Operating Expenses'!$A$5:$A$2005,"&lt;"&amp;ReportFrom)))</f>
        <v/>
      </c>
      <c r="P100" s="25">
        <f>IF($A100="",0,SUMIFS('Operating Expenses'!$F$5:$F$2005,'Operating Expenses'!$Q$5:$Q$2005,$A100,'Operating Expenses'!$A$5:$A$2005,"&gt;="&amp;ReportFrom,'Operating Expenses'!$A$5:$A$2005,"&lt;="&amp;ReportTo)+SUMIFS('Operating Expenses'!$M$5:$M$2005,'Operating Expenses'!$T$5:$T$2005,$A100,'Operating Expenses'!$A$5:$A$2005,"&gt;="&amp;ReportFrom,'Operating Expenses'!$A$5:$A$2005,"&lt;="&amp;ReportTo))</f>
        <v/>
      </c>
      <c r="Q100" s="25">
        <f>IF($A100="",0,SUMIFS('Operating Expenses'!$O$5:$O$2005,'Operating Expenses'!$R$5:$R$2005,$A100,'Operating Expenses'!$A$5:$A$2005,"&gt;="&amp;ReportFrom,'Operating Expenses'!$A$5:$A$2005,"&lt;="&amp;ReportTo)+SUMIFS('Operating Expenses'!$P$5:$P$2005,'Operating Expenses'!$S$5:$S$2005,$A100,'Operating Expenses'!$A$5:$A$2005,"&gt;="&amp;ReportFrom,'Operating Expenses'!$A$5:$A$2005,"&lt;="&amp;ReportTo)+SUMIFS('Operating Expenses'!$N$5:$N$2005,'Operating Expenses'!$U$5:$U$2005,$A100,'Operating Expenses'!$A$5:$A$2005,"&gt;="&amp;ReportFrom,'Operating Expenses'!$A$5:$A$2005,"&lt;="&amp;ReportTo))</f>
        <v/>
      </c>
      <c r="R100" s="25">
        <f>IF($A100="",0,(SUMIFS('Payroll'!$O$5:$O$2005,'Payroll'!$Q$5:$Q$2005,$A100,'Payroll'!$A$5:$A$2005,"&lt;"&amp;ReportFrom))-(SUMIFS('Payroll'!$K$5:$K$2005,'Payroll'!$R$5:$R$2005,$A100,'Payroll'!$A$5:$A$2005,"&lt;"&amp;ReportFrom)+SUMIFS('Payroll'!$P$5:$P$2005,'Payroll'!$S$5:$S$2005,$A100,'Payroll'!$A$5:$A$2005,"&lt;"&amp;ReportFrom)))</f>
        <v/>
      </c>
      <c r="S100" s="25">
        <f>IF($A100="",0,SUMIFS('Payroll'!$O$5:$O$2005,'Payroll'!$Q$5:$Q$2005,$A100,'Payroll'!$A$5:$A$2005,"&gt;="&amp;ReportFrom,'Payroll'!$A$5:$A$2005,"&lt;="&amp;ReportTo))</f>
        <v/>
      </c>
      <c r="T100" s="25">
        <f>IF($A100="",0,SUMIFS('Payroll'!$K$5:$K$2005,'Payroll'!$R$5:$R$2005,$A100,'Payroll'!$A$5:$A$2005,"&gt;="&amp;ReportFrom,'Payroll'!$A$5:$A$2005,"&lt;="&amp;ReportTo)+SUMIFS('Payroll'!$P$5:$P$2005,'Payroll'!$S$5:$S$2005,$A100,'Payroll'!$A$5:$A$2005,"&gt;="&amp;ReportFrom,'Payroll'!$A$5:$A$2005,"&lt;="&amp;ReportTo))</f>
        <v/>
      </c>
      <c r="U100" s="25">
        <f>IF($A100="",0,(SUMIFS('Receipt Vouchers'!$F$5:$F$2005,'Receipt Vouchers'!$O$5:$O$2005,$A100,'Receipt Vouchers'!$A$5:$A$2005,"&lt;"&amp;ReportFrom)+SUMIFS('Receipt Vouchers'!$J$5:$J$2005,'Receipt Vouchers'!$Q$5:$Q$2005,$A100,'Receipt Vouchers'!$A$5:$A$2005,"&lt;"&amp;ReportFrom))-(SUMIFS('Receipt Vouchers'!$N$5:$N$2005,'Receipt Vouchers'!$P$5:$P$2005,$A100,'Receipt Vouchers'!$A$5:$A$2005,"&lt;"&amp;ReportFrom)+SUMIFS('Receipt Vouchers'!$M$5:$M$2005,'Receipt Vouchers'!$R$5:$R$2005,$A100,'Receipt Vouchers'!$A$5:$A$2005,"&lt;"&amp;ReportFrom)))</f>
        <v/>
      </c>
      <c r="V100" s="25">
        <f>IF($A100="",0,SUMIFS('Receipt Vouchers'!$F$5:$F$2005,'Receipt Vouchers'!$O$5:$O$2005,$A100,'Receipt Vouchers'!$A$5:$A$2005,"&gt;="&amp;ReportFrom,'Receipt Vouchers'!$A$5:$A$2005,"&lt;="&amp;ReportTo)+SUMIFS('Receipt Vouchers'!$J$5:$J$2005,'Receipt Vouchers'!$Q$5:$Q$2005,$A100,'Receipt Vouchers'!$A$5:$A$2005,"&gt;="&amp;ReportFrom,'Receipt Vouchers'!$A$5:$A$2005,"&lt;="&amp;ReportTo))</f>
        <v/>
      </c>
      <c r="W100" s="25">
        <f>IF($A100="",0,SUMIFS('Receipt Vouchers'!$N$5:$N$2005,'Receipt Vouchers'!$P$5:$P$2005,$A100,'Receipt Vouchers'!$A$5:$A$2005,"&gt;="&amp;ReportFrom,'Receipt Vouchers'!$A$5:$A$2005,"&lt;="&amp;ReportTo)+SUMIFS('Receipt Vouchers'!$M$5:$M$2005,'Receipt Vouchers'!$R$5:$R$2005,$A100,'Receipt Vouchers'!$A$5:$A$2005,"&gt;="&amp;ReportFrom,'Receipt Vouchers'!$A$5:$A$2005,"&lt;="&amp;ReportTo))</f>
        <v/>
      </c>
      <c r="X100" s="25">
        <f>IF($A100="",0,(SUMIFS('Sales Invoices'!$O$5:$O$2005,'Sales Invoices'!$P$5:$P$2005,$A100,'Sales Invoices'!$B$5:$B$2005,"&lt;"&amp;ReportFrom)+SUMIFS('Sales Invoices'!$N$5:$N$2005,'Sales Invoices'!$R$5:$R$2005,$A100,'Sales Invoices'!$B$5:$B$2005,"&lt;"&amp;ReportFrom))-(SUMIFS('Sales Invoices'!$L$5:$L$2005,'Sales Invoices'!$Q$5:$Q$2005,$A100,'Sales Invoices'!$B$5:$B$2005,"&lt;"&amp;ReportFrom)+SUMIFS('Sales Invoices'!$M$5:$M$2005,'Sales Invoices'!$S$5:$S$2005,$A100,'Sales Invoices'!$B$5:$B$2005,"&lt;"&amp;ReportFrom)))</f>
        <v/>
      </c>
      <c r="Y100" s="25">
        <f>IF($A100="",0,SUMIFS('Sales Invoices'!$O$5:$O$2005,'Sales Invoices'!$P$5:$P$2005,$A100,'Sales Invoices'!$B$5:$B$2005,"&gt;="&amp;ReportFrom,'Sales Invoices'!$B$5:$B$2005,"&lt;="&amp;ReportTo)+SUMIFS('Sales Invoices'!$N$5:$N$2005,'Sales Invoices'!$R$5:$R$2005,$A100,'Sales Invoices'!$B$5:$B$2005,"&gt;="&amp;ReportFrom,'Sales Invoices'!$B$5:$B$2005,"&lt;="&amp;ReportTo))</f>
        <v/>
      </c>
      <c r="Z100" s="25">
        <f>IF($A100="",0,SUMIFS('Sales Invoices'!$L$5:$L$2005,'Sales Invoices'!$Q$5:$Q$2005,$A100,'Sales Invoices'!$B$5:$B$2005,"&gt;="&amp;ReportFrom,'Sales Invoices'!$B$5:$B$2005,"&lt;="&amp;ReportTo)+SUMIFS('Sales Invoices'!$M$5:$M$2005,'Sales Invoices'!$S$5:$S$2005,$A100,'Sales Invoices'!$B$5:$B$2005,"&gt;="&amp;ReportFrom,'Sales Invoices'!$B$5:$B$2005,"&lt;="&amp;ReportTo))</f>
        <v/>
      </c>
      <c r="AA100" s="25">
        <f>IF($A100="",0,(SUMIFS('Payment Vouchers'!$D$5:$D$2005,'Payment Vouchers'!$J$5:$J$2005,$A100,'Payment Vouchers'!$A$5:$A$2005,"&lt;"&amp;ReportFrom))-(SUMIFS('Payment Vouchers'!$D$5:$D$2005,'Payment Vouchers'!$K$5:$K$2005,$A100,'Payment Vouchers'!$A$5:$A$2005,"&lt;"&amp;ReportFrom)))</f>
        <v/>
      </c>
      <c r="AB100" s="25">
        <f>IF($A100="",0,SUMIFS('Payment Vouchers'!$D$5:$D$2005,'Payment Vouchers'!$J$5:$J$2005,$A100,'Payment Vouchers'!$A$5:$A$2005,"&gt;="&amp;ReportFrom,'Payment Vouchers'!$A$5:$A$2005,"&lt;="&amp;ReportTo))</f>
        <v/>
      </c>
      <c r="AC100" s="25">
        <f>IF($A100="",0,SUMIFS('Payment Vouchers'!$D$5:$D$2005,'Payment Vouchers'!$K$5:$K$2005,$A100,'Payment Vouchers'!$A$5:$A$2005,"&gt;="&amp;ReportFrom,'Payment Vouchers'!$A$5:$A$2005,"&lt;="&amp;ReportTo))</f>
        <v/>
      </c>
      <c r="AD100" s="25">
        <f>IF($A100="",0,(SUMIFS('Partner Transactions'!$D$5:$D$2005,'Partner Transactions'!$L$5:$L$2005,$A100,'Partner Transactions'!$A$5:$A$2005,"&lt;"&amp;ReportFrom))-(SUMIFS('Partner Transactions'!$D$5:$D$2005,'Partner Transactions'!$M$5:$M$2005,$A100,'Partner Transactions'!$A$5:$A$2005,"&lt;"&amp;ReportFrom)))</f>
        <v/>
      </c>
      <c r="AE100" s="25">
        <f>IF($A100="",0,SUMIFS('Partner Transactions'!$D$5:$D$2005,'Partner Transactions'!$L$5:$L$2005,$A100,'Partner Transactions'!$A$5:$A$2005,"&gt;="&amp;ReportFrom,'Partner Transactions'!$A$5:$A$2005,"&lt;="&amp;ReportTo))</f>
        <v/>
      </c>
      <c r="AF100" s="25">
        <f>IF($A100="",0,SUMIFS('Partner Transactions'!$D$5:$D$2005,'Partner Transactions'!$M$5:$M$2005,$A100,'Partner Transactions'!$A$5:$A$2005,"&gt;="&amp;ReportFrom,'Partner Transactions'!$A$5:$A$2005,"&lt;="&amp;ReportTo))</f>
        <v/>
      </c>
      <c r="AG100" s="25">
        <f>IF($A100="",0,(SUMIFS('Stock Moves'!$S$5:$S$2005,'Stock Moves'!$AD$5:$AD$2005,$A100,'Stock Moves'!$A$5:$A$2005,"&lt;"&amp;ReportFrom)+SUMIFS('Stock Moves'!$T$5:$T$2005,'Stock Moves'!$V$5:$V$2005,$A100,'Stock Moves'!$A$5:$A$2005,"&lt;"&amp;ReportFrom))-(SUMIFS('Stock Moves'!$AF$5:$AF$2005,'Stock Moves'!$AE$5:$AE$2005,$A100,'Stock Moves'!$A$5:$A$2005,"&lt;"&amp;ReportFrom)+SUMIFS('Stock Moves'!$AC$5:$AC$2005,'Stock Moves'!$X$5:$X$2005,$A100,'Stock Moves'!$A$5:$A$2005,"&lt;"&amp;ReportFrom)+SUMIFS('Stock Moves'!$U$5:$U$2005,'Stock Moves'!$W$5:$W$2005,$A100,'Stock Moves'!$A$5:$A$2005,"&lt;"&amp;ReportFrom)))</f>
        <v/>
      </c>
      <c r="AH100" s="25">
        <f>IF($A100="",0,SUMIFS('Stock Moves'!$S$5:$S$2005,'Stock Moves'!$AD$5:$AD$2005,$A100,'Stock Moves'!$A$5:$A$2005,"&gt;="&amp;ReportFrom,'Stock Moves'!$A$5:$A$2005,"&lt;="&amp;ReportTo)+SUMIFS('Stock Moves'!$T$5:$T$2005,'Stock Moves'!$V$5:$V$2005,$A100,'Stock Moves'!$A$5:$A$2005,"&gt;="&amp;ReportFrom,'Stock Moves'!$A$5:$A$2005,"&lt;="&amp;ReportTo))</f>
        <v/>
      </c>
      <c r="AI100" s="25">
        <f>IF($A100="",0,SUMIFS('Stock Moves'!$AF$5:$AF$2005,'Stock Moves'!$AE$5:$AE$2005,$A100,'Stock Moves'!$A$5:$A$2005,"&gt;="&amp;ReportFrom,'Stock Moves'!$A$5:$A$2005,"&lt;="&amp;ReportTo)+SUMIFS('Stock Moves'!$AC$5:$AC$2005,'Stock Moves'!$X$5:$X$2005,$A100,'Stock Moves'!$A$5:$A$2005,"&gt;="&amp;ReportFrom,'Stock Moves'!$A$5:$A$2005,"&lt;="&amp;ReportTo)+SUMIFS('Stock Moves'!$U$5:$U$2005,'Stock Moves'!$W$5:$W$2005,$A100,'Stock Moves'!$A$5:$A$2005,"&gt;="&amp;ReportFrom,'Stock Moves'!$A$5:$A$2005,"&lt;="&amp;ReportTo))</f>
        <v/>
      </c>
      <c r="AJ100" s="25">
        <f>IF($A100="",0,(SUMIFS('Journal Vouchers'!$I$5:$I$2005,'Journal Vouchers'!$H$5:$H$2005,$A100,'Journal Vouchers'!$B$5:$B$2005,"&lt;"&amp;ReportFrom))-(SUMIFS('Journal Vouchers'!$J$5:$J$2005,'Journal Vouchers'!$H$5:$H$2005,$A100,'Journal Vouchers'!$B$5:$B$2005,"&lt;"&amp;ReportFrom)))</f>
        <v/>
      </c>
      <c r="AK100" s="25">
        <f>IF($A100="",0,SUMIFS('Journal Vouchers'!$I$5:$I$2005,'Journal Vouchers'!$H$5:$H$2005,$A100,'Journal Vouchers'!$B$5:$B$2005,"&gt;="&amp;ReportFrom,'Journal Vouchers'!$B$5:$B$2005,"&lt;="&amp;ReportTo))</f>
        <v/>
      </c>
      <c r="AL100" s="25">
        <f>IF($A100="",0,SUMIFS('Journal Vouchers'!$J$5:$J$2005,'Journal Vouchers'!$H$5:$H$2005,$A100,'Journal Vouchers'!$B$5:$B$2005,"&gt;="&amp;ReportFrom,'Journal Vouchers'!$B$5:$B$2005,"&lt;="&amp;ReportTo))</f>
        <v/>
      </c>
    </row>
    <row r="101">
      <c r="A101" s="25">
        <f>IF('Chart of Accounts'!A101="","",'Chart of Accounts'!A101&amp;"")</f>
        <v/>
      </c>
      <c r="B101" s="25">
        <f>IF(A101="","",'Chart of Accounts'!B101)</f>
        <v/>
      </c>
      <c r="C101" s="25">
        <f>IF(A101="","",'Chart of Accounts'!C101)</f>
        <v/>
      </c>
      <c r="D101" s="25">
        <f>IF(A101="","",'Chart of Accounts'!D101)</f>
        <v/>
      </c>
      <c r="E101" s="26">
        <f>L101+O101+R101+U101+X101+AA101+AD101+AG101+AJ101</f>
        <v/>
      </c>
      <c r="F101" s="26">
        <f>M101+P101+S101+V101+Y101+AB101+AE101+AH101+AK101</f>
        <v/>
      </c>
      <c r="G101" s="26">
        <f>N101+Q101+T101+W101+Z101+AC101+AF101+AI101+AL101</f>
        <v/>
      </c>
      <c r="H101" s="26">
        <f>E101+F101-G101</f>
        <v/>
      </c>
      <c r="I101" s="26">
        <f>MAX(H101,0)</f>
        <v/>
      </c>
      <c r="J101" s="26">
        <f>MAX(-H101,0)</f>
        <v/>
      </c>
      <c r="L101" s="25">
        <f>IF($A101="",0,(SUMIFS('Direct Costs'!$R$5:$R$2005,'Direct Costs'!$V$5:$V$2005,$A101,'Direct Costs'!$A$5:$A$2005,"&lt;"&amp;ReportFrom)+SUMIFS('Direct Costs'!$S$5:$S$2005,'Direct Costs'!$Y$5:$Y$2005,$A101,'Direct Costs'!$A$5:$A$2005,"&lt;"&amp;ReportFrom))-(SUMIFS('Direct Costs'!$L$5:$L$2005,'Direct Costs'!$W$5:$W$2005,$A101,'Direct Costs'!$A$5:$A$2005,"&lt;"&amp;ReportFrom)+SUMIFS('Direct Costs'!$U$5:$U$2005,'Direct Costs'!$X$5:$X$2005,$A101,'Direct Costs'!$A$5:$A$2005,"&lt;"&amp;ReportFrom)+SUMIFS('Direct Costs'!$T$5:$T$2005,'Direct Costs'!$Z$5:$Z$2005,$A101,'Direct Costs'!$A$5:$A$2005,"&lt;"&amp;ReportFrom)))</f>
        <v/>
      </c>
      <c r="M101" s="25">
        <f>IF($A101="",0,SUMIFS('Direct Costs'!$R$5:$R$2005,'Direct Costs'!$V$5:$V$2005,$A101,'Direct Costs'!$A$5:$A$2005,"&gt;="&amp;ReportFrom,'Direct Costs'!$A$5:$A$2005,"&lt;="&amp;ReportTo)+SUMIFS('Direct Costs'!$S$5:$S$2005,'Direct Costs'!$Y$5:$Y$2005,$A101,'Direct Costs'!$A$5:$A$2005,"&gt;="&amp;ReportFrom,'Direct Costs'!$A$5:$A$2005,"&lt;="&amp;ReportTo))</f>
        <v/>
      </c>
      <c r="N101" s="25">
        <f>IF($A101="",0,SUMIFS('Direct Costs'!$L$5:$L$2005,'Direct Costs'!$W$5:$W$2005,$A101,'Direct Costs'!$A$5:$A$2005,"&gt;="&amp;ReportFrom,'Direct Costs'!$A$5:$A$2005,"&lt;="&amp;ReportTo)+SUMIFS('Direct Costs'!$U$5:$U$2005,'Direct Costs'!$X$5:$X$2005,$A101,'Direct Costs'!$A$5:$A$2005,"&gt;="&amp;ReportFrom,'Direct Costs'!$A$5:$A$2005,"&lt;="&amp;ReportTo)+SUMIFS('Direct Costs'!$T$5:$T$2005,'Direct Costs'!$Z$5:$Z$2005,$A101,'Direct Costs'!$A$5:$A$2005,"&gt;="&amp;ReportFrom,'Direct Costs'!$A$5:$A$2005,"&lt;="&amp;ReportTo))</f>
        <v/>
      </c>
      <c r="O101" s="25">
        <f>IF($A101="",0,(SUMIFS('Operating Expenses'!$F$5:$F$2005,'Operating Expenses'!$Q$5:$Q$2005,$A101,'Operating Expenses'!$A$5:$A$2005,"&lt;"&amp;ReportFrom)+SUMIFS('Operating Expenses'!$M$5:$M$2005,'Operating Expenses'!$T$5:$T$2005,$A101,'Operating Expenses'!$A$5:$A$2005,"&lt;"&amp;ReportFrom))-(SUMIFS('Operating Expenses'!$O$5:$O$2005,'Operating Expenses'!$R$5:$R$2005,$A101,'Operating Expenses'!$A$5:$A$2005,"&lt;"&amp;ReportFrom)+SUMIFS('Operating Expenses'!$P$5:$P$2005,'Operating Expenses'!$S$5:$S$2005,$A101,'Operating Expenses'!$A$5:$A$2005,"&lt;"&amp;ReportFrom)+SUMIFS('Operating Expenses'!$N$5:$N$2005,'Operating Expenses'!$U$5:$U$2005,$A101,'Operating Expenses'!$A$5:$A$2005,"&lt;"&amp;ReportFrom)))</f>
        <v/>
      </c>
      <c r="P101" s="25">
        <f>IF($A101="",0,SUMIFS('Operating Expenses'!$F$5:$F$2005,'Operating Expenses'!$Q$5:$Q$2005,$A101,'Operating Expenses'!$A$5:$A$2005,"&gt;="&amp;ReportFrom,'Operating Expenses'!$A$5:$A$2005,"&lt;="&amp;ReportTo)+SUMIFS('Operating Expenses'!$M$5:$M$2005,'Operating Expenses'!$T$5:$T$2005,$A101,'Operating Expenses'!$A$5:$A$2005,"&gt;="&amp;ReportFrom,'Operating Expenses'!$A$5:$A$2005,"&lt;="&amp;ReportTo))</f>
        <v/>
      </c>
      <c r="Q101" s="25">
        <f>IF($A101="",0,SUMIFS('Operating Expenses'!$O$5:$O$2005,'Operating Expenses'!$R$5:$R$2005,$A101,'Operating Expenses'!$A$5:$A$2005,"&gt;="&amp;ReportFrom,'Operating Expenses'!$A$5:$A$2005,"&lt;="&amp;ReportTo)+SUMIFS('Operating Expenses'!$P$5:$P$2005,'Operating Expenses'!$S$5:$S$2005,$A101,'Operating Expenses'!$A$5:$A$2005,"&gt;="&amp;ReportFrom,'Operating Expenses'!$A$5:$A$2005,"&lt;="&amp;ReportTo)+SUMIFS('Operating Expenses'!$N$5:$N$2005,'Operating Expenses'!$U$5:$U$2005,$A101,'Operating Expenses'!$A$5:$A$2005,"&gt;="&amp;ReportFrom,'Operating Expenses'!$A$5:$A$2005,"&lt;="&amp;ReportTo))</f>
        <v/>
      </c>
      <c r="R101" s="25">
        <f>IF($A101="",0,(SUMIFS('Payroll'!$O$5:$O$2005,'Payroll'!$Q$5:$Q$2005,$A101,'Payroll'!$A$5:$A$2005,"&lt;"&amp;ReportFrom))-(SUMIFS('Payroll'!$K$5:$K$2005,'Payroll'!$R$5:$R$2005,$A101,'Payroll'!$A$5:$A$2005,"&lt;"&amp;ReportFrom)+SUMIFS('Payroll'!$P$5:$P$2005,'Payroll'!$S$5:$S$2005,$A101,'Payroll'!$A$5:$A$2005,"&lt;"&amp;ReportFrom)))</f>
        <v/>
      </c>
      <c r="S101" s="25">
        <f>IF($A101="",0,SUMIFS('Payroll'!$O$5:$O$2005,'Payroll'!$Q$5:$Q$2005,$A101,'Payroll'!$A$5:$A$2005,"&gt;="&amp;ReportFrom,'Payroll'!$A$5:$A$2005,"&lt;="&amp;ReportTo))</f>
        <v/>
      </c>
      <c r="T101" s="25">
        <f>IF($A101="",0,SUMIFS('Payroll'!$K$5:$K$2005,'Payroll'!$R$5:$R$2005,$A101,'Payroll'!$A$5:$A$2005,"&gt;="&amp;ReportFrom,'Payroll'!$A$5:$A$2005,"&lt;="&amp;ReportTo)+SUMIFS('Payroll'!$P$5:$P$2005,'Payroll'!$S$5:$S$2005,$A101,'Payroll'!$A$5:$A$2005,"&gt;="&amp;ReportFrom,'Payroll'!$A$5:$A$2005,"&lt;="&amp;ReportTo))</f>
        <v/>
      </c>
      <c r="U101" s="25">
        <f>IF($A101="",0,(SUMIFS('Receipt Vouchers'!$F$5:$F$2005,'Receipt Vouchers'!$O$5:$O$2005,$A101,'Receipt Vouchers'!$A$5:$A$2005,"&lt;"&amp;ReportFrom)+SUMIFS('Receipt Vouchers'!$J$5:$J$2005,'Receipt Vouchers'!$Q$5:$Q$2005,$A101,'Receipt Vouchers'!$A$5:$A$2005,"&lt;"&amp;ReportFrom))-(SUMIFS('Receipt Vouchers'!$N$5:$N$2005,'Receipt Vouchers'!$P$5:$P$2005,$A101,'Receipt Vouchers'!$A$5:$A$2005,"&lt;"&amp;ReportFrom)+SUMIFS('Receipt Vouchers'!$M$5:$M$2005,'Receipt Vouchers'!$R$5:$R$2005,$A101,'Receipt Vouchers'!$A$5:$A$2005,"&lt;"&amp;ReportFrom)))</f>
        <v/>
      </c>
      <c r="V101" s="25">
        <f>IF($A101="",0,SUMIFS('Receipt Vouchers'!$F$5:$F$2005,'Receipt Vouchers'!$O$5:$O$2005,$A101,'Receipt Vouchers'!$A$5:$A$2005,"&gt;="&amp;ReportFrom,'Receipt Vouchers'!$A$5:$A$2005,"&lt;="&amp;ReportTo)+SUMIFS('Receipt Vouchers'!$J$5:$J$2005,'Receipt Vouchers'!$Q$5:$Q$2005,$A101,'Receipt Vouchers'!$A$5:$A$2005,"&gt;="&amp;ReportFrom,'Receipt Vouchers'!$A$5:$A$2005,"&lt;="&amp;ReportTo))</f>
        <v/>
      </c>
      <c r="W101" s="25">
        <f>IF($A101="",0,SUMIFS('Receipt Vouchers'!$N$5:$N$2005,'Receipt Vouchers'!$P$5:$P$2005,$A101,'Receipt Vouchers'!$A$5:$A$2005,"&gt;="&amp;ReportFrom,'Receipt Vouchers'!$A$5:$A$2005,"&lt;="&amp;ReportTo)+SUMIFS('Receipt Vouchers'!$M$5:$M$2005,'Receipt Vouchers'!$R$5:$R$2005,$A101,'Receipt Vouchers'!$A$5:$A$2005,"&gt;="&amp;ReportFrom,'Receipt Vouchers'!$A$5:$A$2005,"&lt;="&amp;ReportTo))</f>
        <v/>
      </c>
      <c r="X101" s="25">
        <f>IF($A101="",0,(SUMIFS('Sales Invoices'!$O$5:$O$2005,'Sales Invoices'!$P$5:$P$2005,$A101,'Sales Invoices'!$B$5:$B$2005,"&lt;"&amp;ReportFrom)+SUMIFS('Sales Invoices'!$N$5:$N$2005,'Sales Invoices'!$R$5:$R$2005,$A101,'Sales Invoices'!$B$5:$B$2005,"&lt;"&amp;ReportFrom))-(SUMIFS('Sales Invoices'!$L$5:$L$2005,'Sales Invoices'!$Q$5:$Q$2005,$A101,'Sales Invoices'!$B$5:$B$2005,"&lt;"&amp;ReportFrom)+SUMIFS('Sales Invoices'!$M$5:$M$2005,'Sales Invoices'!$S$5:$S$2005,$A101,'Sales Invoices'!$B$5:$B$2005,"&lt;"&amp;ReportFrom)))</f>
        <v/>
      </c>
      <c r="Y101" s="25">
        <f>IF($A101="",0,SUMIFS('Sales Invoices'!$O$5:$O$2005,'Sales Invoices'!$P$5:$P$2005,$A101,'Sales Invoices'!$B$5:$B$2005,"&gt;="&amp;ReportFrom,'Sales Invoices'!$B$5:$B$2005,"&lt;="&amp;ReportTo)+SUMIFS('Sales Invoices'!$N$5:$N$2005,'Sales Invoices'!$R$5:$R$2005,$A101,'Sales Invoices'!$B$5:$B$2005,"&gt;="&amp;ReportFrom,'Sales Invoices'!$B$5:$B$2005,"&lt;="&amp;ReportTo))</f>
        <v/>
      </c>
      <c r="Z101" s="25">
        <f>IF($A101="",0,SUMIFS('Sales Invoices'!$L$5:$L$2005,'Sales Invoices'!$Q$5:$Q$2005,$A101,'Sales Invoices'!$B$5:$B$2005,"&gt;="&amp;ReportFrom,'Sales Invoices'!$B$5:$B$2005,"&lt;="&amp;ReportTo)+SUMIFS('Sales Invoices'!$M$5:$M$2005,'Sales Invoices'!$S$5:$S$2005,$A101,'Sales Invoices'!$B$5:$B$2005,"&gt;="&amp;ReportFrom,'Sales Invoices'!$B$5:$B$2005,"&lt;="&amp;ReportTo))</f>
        <v/>
      </c>
      <c r="AA101" s="25">
        <f>IF($A101="",0,(SUMIFS('Payment Vouchers'!$D$5:$D$2005,'Payment Vouchers'!$J$5:$J$2005,$A101,'Payment Vouchers'!$A$5:$A$2005,"&lt;"&amp;ReportFrom))-(SUMIFS('Payment Vouchers'!$D$5:$D$2005,'Payment Vouchers'!$K$5:$K$2005,$A101,'Payment Vouchers'!$A$5:$A$2005,"&lt;"&amp;ReportFrom)))</f>
        <v/>
      </c>
      <c r="AB101" s="25">
        <f>IF($A101="",0,SUMIFS('Payment Vouchers'!$D$5:$D$2005,'Payment Vouchers'!$J$5:$J$2005,$A101,'Payment Vouchers'!$A$5:$A$2005,"&gt;="&amp;ReportFrom,'Payment Vouchers'!$A$5:$A$2005,"&lt;="&amp;ReportTo))</f>
        <v/>
      </c>
      <c r="AC101" s="25">
        <f>IF($A101="",0,SUMIFS('Payment Vouchers'!$D$5:$D$2005,'Payment Vouchers'!$K$5:$K$2005,$A101,'Payment Vouchers'!$A$5:$A$2005,"&gt;="&amp;ReportFrom,'Payment Vouchers'!$A$5:$A$2005,"&lt;="&amp;ReportTo))</f>
        <v/>
      </c>
      <c r="AD101" s="25">
        <f>IF($A101="",0,(SUMIFS('Partner Transactions'!$D$5:$D$2005,'Partner Transactions'!$L$5:$L$2005,$A101,'Partner Transactions'!$A$5:$A$2005,"&lt;"&amp;ReportFrom))-(SUMIFS('Partner Transactions'!$D$5:$D$2005,'Partner Transactions'!$M$5:$M$2005,$A101,'Partner Transactions'!$A$5:$A$2005,"&lt;"&amp;ReportFrom)))</f>
        <v/>
      </c>
      <c r="AE101" s="25">
        <f>IF($A101="",0,SUMIFS('Partner Transactions'!$D$5:$D$2005,'Partner Transactions'!$L$5:$L$2005,$A101,'Partner Transactions'!$A$5:$A$2005,"&gt;="&amp;ReportFrom,'Partner Transactions'!$A$5:$A$2005,"&lt;="&amp;ReportTo))</f>
        <v/>
      </c>
      <c r="AF101" s="25">
        <f>IF($A101="",0,SUMIFS('Partner Transactions'!$D$5:$D$2005,'Partner Transactions'!$M$5:$M$2005,$A101,'Partner Transactions'!$A$5:$A$2005,"&gt;="&amp;ReportFrom,'Partner Transactions'!$A$5:$A$2005,"&lt;="&amp;ReportTo))</f>
        <v/>
      </c>
      <c r="AG101" s="25">
        <f>IF($A101="",0,(SUMIFS('Stock Moves'!$S$5:$S$2005,'Stock Moves'!$AD$5:$AD$2005,$A101,'Stock Moves'!$A$5:$A$2005,"&lt;"&amp;ReportFrom)+SUMIFS('Stock Moves'!$T$5:$T$2005,'Stock Moves'!$V$5:$V$2005,$A101,'Stock Moves'!$A$5:$A$2005,"&lt;"&amp;ReportFrom))-(SUMIFS('Stock Moves'!$AF$5:$AF$2005,'Stock Moves'!$AE$5:$AE$2005,$A101,'Stock Moves'!$A$5:$A$2005,"&lt;"&amp;ReportFrom)+SUMIFS('Stock Moves'!$AC$5:$AC$2005,'Stock Moves'!$X$5:$X$2005,$A101,'Stock Moves'!$A$5:$A$2005,"&lt;"&amp;ReportFrom)+SUMIFS('Stock Moves'!$U$5:$U$2005,'Stock Moves'!$W$5:$W$2005,$A101,'Stock Moves'!$A$5:$A$2005,"&lt;"&amp;ReportFrom)))</f>
        <v/>
      </c>
      <c r="AH101" s="25">
        <f>IF($A101="",0,SUMIFS('Stock Moves'!$S$5:$S$2005,'Stock Moves'!$AD$5:$AD$2005,$A101,'Stock Moves'!$A$5:$A$2005,"&gt;="&amp;ReportFrom,'Stock Moves'!$A$5:$A$2005,"&lt;="&amp;ReportTo)+SUMIFS('Stock Moves'!$T$5:$T$2005,'Stock Moves'!$V$5:$V$2005,$A101,'Stock Moves'!$A$5:$A$2005,"&gt;="&amp;ReportFrom,'Stock Moves'!$A$5:$A$2005,"&lt;="&amp;ReportTo))</f>
        <v/>
      </c>
      <c r="AI101" s="25">
        <f>IF($A101="",0,SUMIFS('Stock Moves'!$AF$5:$AF$2005,'Stock Moves'!$AE$5:$AE$2005,$A101,'Stock Moves'!$A$5:$A$2005,"&gt;="&amp;ReportFrom,'Stock Moves'!$A$5:$A$2005,"&lt;="&amp;ReportTo)+SUMIFS('Stock Moves'!$AC$5:$AC$2005,'Stock Moves'!$X$5:$X$2005,$A101,'Stock Moves'!$A$5:$A$2005,"&gt;="&amp;ReportFrom,'Stock Moves'!$A$5:$A$2005,"&lt;="&amp;ReportTo)+SUMIFS('Stock Moves'!$U$5:$U$2005,'Stock Moves'!$W$5:$W$2005,$A101,'Stock Moves'!$A$5:$A$2005,"&gt;="&amp;ReportFrom,'Stock Moves'!$A$5:$A$2005,"&lt;="&amp;ReportTo))</f>
        <v/>
      </c>
      <c r="AJ101" s="25">
        <f>IF($A101="",0,(SUMIFS('Journal Vouchers'!$I$5:$I$2005,'Journal Vouchers'!$H$5:$H$2005,$A101,'Journal Vouchers'!$B$5:$B$2005,"&lt;"&amp;ReportFrom))-(SUMIFS('Journal Vouchers'!$J$5:$J$2005,'Journal Vouchers'!$H$5:$H$2005,$A101,'Journal Vouchers'!$B$5:$B$2005,"&lt;"&amp;ReportFrom)))</f>
        <v/>
      </c>
      <c r="AK101" s="25">
        <f>IF($A101="",0,SUMIFS('Journal Vouchers'!$I$5:$I$2005,'Journal Vouchers'!$H$5:$H$2005,$A101,'Journal Vouchers'!$B$5:$B$2005,"&gt;="&amp;ReportFrom,'Journal Vouchers'!$B$5:$B$2005,"&lt;="&amp;ReportTo))</f>
        <v/>
      </c>
      <c r="AL101" s="25">
        <f>IF($A101="",0,SUMIFS('Journal Vouchers'!$J$5:$J$2005,'Journal Vouchers'!$H$5:$H$2005,$A101,'Journal Vouchers'!$B$5:$B$2005,"&gt;="&amp;ReportFrom,'Journal Vouchers'!$B$5:$B$2005,"&lt;="&amp;ReportTo))</f>
        <v/>
      </c>
    </row>
    <row r="102">
      <c r="A102" s="25">
        <f>IF('Chart of Accounts'!A102="","",'Chart of Accounts'!A102&amp;"")</f>
        <v/>
      </c>
      <c r="B102" s="25">
        <f>IF(A102="","",'Chart of Accounts'!B102)</f>
        <v/>
      </c>
      <c r="C102" s="25">
        <f>IF(A102="","",'Chart of Accounts'!C102)</f>
        <v/>
      </c>
      <c r="D102" s="25">
        <f>IF(A102="","",'Chart of Accounts'!D102)</f>
        <v/>
      </c>
      <c r="E102" s="26">
        <f>L102+O102+R102+U102+X102+AA102+AD102+AG102+AJ102</f>
        <v/>
      </c>
      <c r="F102" s="26">
        <f>M102+P102+S102+V102+Y102+AB102+AE102+AH102+AK102</f>
        <v/>
      </c>
      <c r="G102" s="26">
        <f>N102+Q102+T102+W102+Z102+AC102+AF102+AI102+AL102</f>
        <v/>
      </c>
      <c r="H102" s="26">
        <f>E102+F102-G102</f>
        <v/>
      </c>
      <c r="I102" s="26">
        <f>MAX(H102,0)</f>
        <v/>
      </c>
      <c r="J102" s="26">
        <f>MAX(-H102,0)</f>
        <v/>
      </c>
      <c r="L102" s="25">
        <f>IF($A102="",0,(SUMIFS('Direct Costs'!$R$5:$R$2005,'Direct Costs'!$V$5:$V$2005,$A102,'Direct Costs'!$A$5:$A$2005,"&lt;"&amp;ReportFrom)+SUMIFS('Direct Costs'!$S$5:$S$2005,'Direct Costs'!$Y$5:$Y$2005,$A102,'Direct Costs'!$A$5:$A$2005,"&lt;"&amp;ReportFrom))-(SUMIFS('Direct Costs'!$L$5:$L$2005,'Direct Costs'!$W$5:$W$2005,$A102,'Direct Costs'!$A$5:$A$2005,"&lt;"&amp;ReportFrom)+SUMIFS('Direct Costs'!$U$5:$U$2005,'Direct Costs'!$X$5:$X$2005,$A102,'Direct Costs'!$A$5:$A$2005,"&lt;"&amp;ReportFrom)+SUMIFS('Direct Costs'!$T$5:$T$2005,'Direct Costs'!$Z$5:$Z$2005,$A102,'Direct Costs'!$A$5:$A$2005,"&lt;"&amp;ReportFrom)))</f>
        <v/>
      </c>
      <c r="M102" s="25">
        <f>IF($A102="",0,SUMIFS('Direct Costs'!$R$5:$R$2005,'Direct Costs'!$V$5:$V$2005,$A102,'Direct Costs'!$A$5:$A$2005,"&gt;="&amp;ReportFrom,'Direct Costs'!$A$5:$A$2005,"&lt;="&amp;ReportTo)+SUMIFS('Direct Costs'!$S$5:$S$2005,'Direct Costs'!$Y$5:$Y$2005,$A102,'Direct Costs'!$A$5:$A$2005,"&gt;="&amp;ReportFrom,'Direct Costs'!$A$5:$A$2005,"&lt;="&amp;ReportTo))</f>
        <v/>
      </c>
      <c r="N102" s="25">
        <f>IF($A102="",0,SUMIFS('Direct Costs'!$L$5:$L$2005,'Direct Costs'!$W$5:$W$2005,$A102,'Direct Costs'!$A$5:$A$2005,"&gt;="&amp;ReportFrom,'Direct Costs'!$A$5:$A$2005,"&lt;="&amp;ReportTo)+SUMIFS('Direct Costs'!$U$5:$U$2005,'Direct Costs'!$X$5:$X$2005,$A102,'Direct Costs'!$A$5:$A$2005,"&gt;="&amp;ReportFrom,'Direct Costs'!$A$5:$A$2005,"&lt;="&amp;ReportTo)+SUMIFS('Direct Costs'!$T$5:$T$2005,'Direct Costs'!$Z$5:$Z$2005,$A102,'Direct Costs'!$A$5:$A$2005,"&gt;="&amp;ReportFrom,'Direct Costs'!$A$5:$A$2005,"&lt;="&amp;ReportTo))</f>
        <v/>
      </c>
      <c r="O102" s="25">
        <f>IF($A102="",0,(SUMIFS('Operating Expenses'!$F$5:$F$2005,'Operating Expenses'!$Q$5:$Q$2005,$A102,'Operating Expenses'!$A$5:$A$2005,"&lt;"&amp;ReportFrom)+SUMIFS('Operating Expenses'!$M$5:$M$2005,'Operating Expenses'!$T$5:$T$2005,$A102,'Operating Expenses'!$A$5:$A$2005,"&lt;"&amp;ReportFrom))-(SUMIFS('Operating Expenses'!$O$5:$O$2005,'Operating Expenses'!$R$5:$R$2005,$A102,'Operating Expenses'!$A$5:$A$2005,"&lt;"&amp;ReportFrom)+SUMIFS('Operating Expenses'!$P$5:$P$2005,'Operating Expenses'!$S$5:$S$2005,$A102,'Operating Expenses'!$A$5:$A$2005,"&lt;"&amp;ReportFrom)+SUMIFS('Operating Expenses'!$N$5:$N$2005,'Operating Expenses'!$U$5:$U$2005,$A102,'Operating Expenses'!$A$5:$A$2005,"&lt;"&amp;ReportFrom)))</f>
        <v/>
      </c>
      <c r="P102" s="25">
        <f>IF($A102="",0,SUMIFS('Operating Expenses'!$F$5:$F$2005,'Operating Expenses'!$Q$5:$Q$2005,$A102,'Operating Expenses'!$A$5:$A$2005,"&gt;="&amp;ReportFrom,'Operating Expenses'!$A$5:$A$2005,"&lt;="&amp;ReportTo)+SUMIFS('Operating Expenses'!$M$5:$M$2005,'Operating Expenses'!$T$5:$T$2005,$A102,'Operating Expenses'!$A$5:$A$2005,"&gt;="&amp;ReportFrom,'Operating Expenses'!$A$5:$A$2005,"&lt;="&amp;ReportTo))</f>
        <v/>
      </c>
      <c r="Q102" s="25">
        <f>IF($A102="",0,SUMIFS('Operating Expenses'!$O$5:$O$2005,'Operating Expenses'!$R$5:$R$2005,$A102,'Operating Expenses'!$A$5:$A$2005,"&gt;="&amp;ReportFrom,'Operating Expenses'!$A$5:$A$2005,"&lt;="&amp;ReportTo)+SUMIFS('Operating Expenses'!$P$5:$P$2005,'Operating Expenses'!$S$5:$S$2005,$A102,'Operating Expenses'!$A$5:$A$2005,"&gt;="&amp;ReportFrom,'Operating Expenses'!$A$5:$A$2005,"&lt;="&amp;ReportTo)+SUMIFS('Operating Expenses'!$N$5:$N$2005,'Operating Expenses'!$U$5:$U$2005,$A102,'Operating Expenses'!$A$5:$A$2005,"&gt;="&amp;ReportFrom,'Operating Expenses'!$A$5:$A$2005,"&lt;="&amp;ReportTo))</f>
        <v/>
      </c>
      <c r="R102" s="25">
        <f>IF($A102="",0,(SUMIFS('Payroll'!$O$5:$O$2005,'Payroll'!$Q$5:$Q$2005,$A102,'Payroll'!$A$5:$A$2005,"&lt;"&amp;ReportFrom))-(SUMIFS('Payroll'!$K$5:$K$2005,'Payroll'!$R$5:$R$2005,$A102,'Payroll'!$A$5:$A$2005,"&lt;"&amp;ReportFrom)+SUMIFS('Payroll'!$P$5:$P$2005,'Payroll'!$S$5:$S$2005,$A102,'Payroll'!$A$5:$A$2005,"&lt;"&amp;ReportFrom)))</f>
        <v/>
      </c>
      <c r="S102" s="25">
        <f>IF($A102="",0,SUMIFS('Payroll'!$O$5:$O$2005,'Payroll'!$Q$5:$Q$2005,$A102,'Payroll'!$A$5:$A$2005,"&gt;="&amp;ReportFrom,'Payroll'!$A$5:$A$2005,"&lt;="&amp;ReportTo))</f>
        <v/>
      </c>
      <c r="T102" s="25">
        <f>IF($A102="",0,SUMIFS('Payroll'!$K$5:$K$2005,'Payroll'!$R$5:$R$2005,$A102,'Payroll'!$A$5:$A$2005,"&gt;="&amp;ReportFrom,'Payroll'!$A$5:$A$2005,"&lt;="&amp;ReportTo)+SUMIFS('Payroll'!$P$5:$P$2005,'Payroll'!$S$5:$S$2005,$A102,'Payroll'!$A$5:$A$2005,"&gt;="&amp;ReportFrom,'Payroll'!$A$5:$A$2005,"&lt;="&amp;ReportTo))</f>
        <v/>
      </c>
      <c r="U102" s="25">
        <f>IF($A102="",0,(SUMIFS('Receipt Vouchers'!$F$5:$F$2005,'Receipt Vouchers'!$O$5:$O$2005,$A102,'Receipt Vouchers'!$A$5:$A$2005,"&lt;"&amp;ReportFrom)+SUMIFS('Receipt Vouchers'!$J$5:$J$2005,'Receipt Vouchers'!$Q$5:$Q$2005,$A102,'Receipt Vouchers'!$A$5:$A$2005,"&lt;"&amp;ReportFrom))-(SUMIFS('Receipt Vouchers'!$N$5:$N$2005,'Receipt Vouchers'!$P$5:$P$2005,$A102,'Receipt Vouchers'!$A$5:$A$2005,"&lt;"&amp;ReportFrom)+SUMIFS('Receipt Vouchers'!$M$5:$M$2005,'Receipt Vouchers'!$R$5:$R$2005,$A102,'Receipt Vouchers'!$A$5:$A$2005,"&lt;"&amp;ReportFrom)))</f>
        <v/>
      </c>
      <c r="V102" s="25">
        <f>IF($A102="",0,SUMIFS('Receipt Vouchers'!$F$5:$F$2005,'Receipt Vouchers'!$O$5:$O$2005,$A102,'Receipt Vouchers'!$A$5:$A$2005,"&gt;="&amp;ReportFrom,'Receipt Vouchers'!$A$5:$A$2005,"&lt;="&amp;ReportTo)+SUMIFS('Receipt Vouchers'!$J$5:$J$2005,'Receipt Vouchers'!$Q$5:$Q$2005,$A102,'Receipt Vouchers'!$A$5:$A$2005,"&gt;="&amp;ReportFrom,'Receipt Vouchers'!$A$5:$A$2005,"&lt;="&amp;ReportTo))</f>
        <v/>
      </c>
      <c r="W102" s="25">
        <f>IF($A102="",0,SUMIFS('Receipt Vouchers'!$N$5:$N$2005,'Receipt Vouchers'!$P$5:$P$2005,$A102,'Receipt Vouchers'!$A$5:$A$2005,"&gt;="&amp;ReportFrom,'Receipt Vouchers'!$A$5:$A$2005,"&lt;="&amp;ReportTo)+SUMIFS('Receipt Vouchers'!$M$5:$M$2005,'Receipt Vouchers'!$R$5:$R$2005,$A102,'Receipt Vouchers'!$A$5:$A$2005,"&gt;="&amp;ReportFrom,'Receipt Vouchers'!$A$5:$A$2005,"&lt;="&amp;ReportTo))</f>
        <v/>
      </c>
      <c r="X102" s="25">
        <f>IF($A102="",0,(SUMIFS('Sales Invoices'!$O$5:$O$2005,'Sales Invoices'!$P$5:$P$2005,$A102,'Sales Invoices'!$B$5:$B$2005,"&lt;"&amp;ReportFrom)+SUMIFS('Sales Invoices'!$N$5:$N$2005,'Sales Invoices'!$R$5:$R$2005,$A102,'Sales Invoices'!$B$5:$B$2005,"&lt;"&amp;ReportFrom))-(SUMIFS('Sales Invoices'!$L$5:$L$2005,'Sales Invoices'!$Q$5:$Q$2005,$A102,'Sales Invoices'!$B$5:$B$2005,"&lt;"&amp;ReportFrom)+SUMIFS('Sales Invoices'!$M$5:$M$2005,'Sales Invoices'!$S$5:$S$2005,$A102,'Sales Invoices'!$B$5:$B$2005,"&lt;"&amp;ReportFrom)))</f>
        <v/>
      </c>
      <c r="Y102" s="25">
        <f>IF($A102="",0,SUMIFS('Sales Invoices'!$O$5:$O$2005,'Sales Invoices'!$P$5:$P$2005,$A102,'Sales Invoices'!$B$5:$B$2005,"&gt;="&amp;ReportFrom,'Sales Invoices'!$B$5:$B$2005,"&lt;="&amp;ReportTo)+SUMIFS('Sales Invoices'!$N$5:$N$2005,'Sales Invoices'!$R$5:$R$2005,$A102,'Sales Invoices'!$B$5:$B$2005,"&gt;="&amp;ReportFrom,'Sales Invoices'!$B$5:$B$2005,"&lt;="&amp;ReportTo))</f>
        <v/>
      </c>
      <c r="Z102" s="25">
        <f>IF($A102="",0,SUMIFS('Sales Invoices'!$L$5:$L$2005,'Sales Invoices'!$Q$5:$Q$2005,$A102,'Sales Invoices'!$B$5:$B$2005,"&gt;="&amp;ReportFrom,'Sales Invoices'!$B$5:$B$2005,"&lt;="&amp;ReportTo)+SUMIFS('Sales Invoices'!$M$5:$M$2005,'Sales Invoices'!$S$5:$S$2005,$A102,'Sales Invoices'!$B$5:$B$2005,"&gt;="&amp;ReportFrom,'Sales Invoices'!$B$5:$B$2005,"&lt;="&amp;ReportTo))</f>
        <v/>
      </c>
      <c r="AA102" s="25">
        <f>IF($A102="",0,(SUMIFS('Payment Vouchers'!$D$5:$D$2005,'Payment Vouchers'!$J$5:$J$2005,$A102,'Payment Vouchers'!$A$5:$A$2005,"&lt;"&amp;ReportFrom))-(SUMIFS('Payment Vouchers'!$D$5:$D$2005,'Payment Vouchers'!$K$5:$K$2005,$A102,'Payment Vouchers'!$A$5:$A$2005,"&lt;"&amp;ReportFrom)))</f>
        <v/>
      </c>
      <c r="AB102" s="25">
        <f>IF($A102="",0,SUMIFS('Payment Vouchers'!$D$5:$D$2005,'Payment Vouchers'!$J$5:$J$2005,$A102,'Payment Vouchers'!$A$5:$A$2005,"&gt;="&amp;ReportFrom,'Payment Vouchers'!$A$5:$A$2005,"&lt;="&amp;ReportTo))</f>
        <v/>
      </c>
      <c r="AC102" s="25">
        <f>IF($A102="",0,SUMIFS('Payment Vouchers'!$D$5:$D$2005,'Payment Vouchers'!$K$5:$K$2005,$A102,'Payment Vouchers'!$A$5:$A$2005,"&gt;="&amp;ReportFrom,'Payment Vouchers'!$A$5:$A$2005,"&lt;="&amp;ReportTo))</f>
        <v/>
      </c>
      <c r="AD102" s="25">
        <f>IF($A102="",0,(SUMIFS('Partner Transactions'!$D$5:$D$2005,'Partner Transactions'!$L$5:$L$2005,$A102,'Partner Transactions'!$A$5:$A$2005,"&lt;"&amp;ReportFrom))-(SUMIFS('Partner Transactions'!$D$5:$D$2005,'Partner Transactions'!$M$5:$M$2005,$A102,'Partner Transactions'!$A$5:$A$2005,"&lt;"&amp;ReportFrom)))</f>
        <v/>
      </c>
      <c r="AE102" s="25">
        <f>IF($A102="",0,SUMIFS('Partner Transactions'!$D$5:$D$2005,'Partner Transactions'!$L$5:$L$2005,$A102,'Partner Transactions'!$A$5:$A$2005,"&gt;="&amp;ReportFrom,'Partner Transactions'!$A$5:$A$2005,"&lt;="&amp;ReportTo))</f>
        <v/>
      </c>
      <c r="AF102" s="25">
        <f>IF($A102="",0,SUMIFS('Partner Transactions'!$D$5:$D$2005,'Partner Transactions'!$M$5:$M$2005,$A102,'Partner Transactions'!$A$5:$A$2005,"&gt;="&amp;ReportFrom,'Partner Transactions'!$A$5:$A$2005,"&lt;="&amp;ReportTo))</f>
        <v/>
      </c>
      <c r="AG102" s="25">
        <f>IF($A102="",0,(SUMIFS('Stock Moves'!$S$5:$S$2005,'Stock Moves'!$AD$5:$AD$2005,$A102,'Stock Moves'!$A$5:$A$2005,"&lt;"&amp;ReportFrom)+SUMIFS('Stock Moves'!$T$5:$T$2005,'Stock Moves'!$V$5:$V$2005,$A102,'Stock Moves'!$A$5:$A$2005,"&lt;"&amp;ReportFrom))-(SUMIFS('Stock Moves'!$AF$5:$AF$2005,'Stock Moves'!$AE$5:$AE$2005,$A102,'Stock Moves'!$A$5:$A$2005,"&lt;"&amp;ReportFrom)+SUMIFS('Stock Moves'!$AC$5:$AC$2005,'Stock Moves'!$X$5:$X$2005,$A102,'Stock Moves'!$A$5:$A$2005,"&lt;"&amp;ReportFrom)+SUMIFS('Stock Moves'!$U$5:$U$2005,'Stock Moves'!$W$5:$W$2005,$A102,'Stock Moves'!$A$5:$A$2005,"&lt;"&amp;ReportFrom)))</f>
        <v/>
      </c>
      <c r="AH102" s="25">
        <f>IF($A102="",0,SUMIFS('Stock Moves'!$S$5:$S$2005,'Stock Moves'!$AD$5:$AD$2005,$A102,'Stock Moves'!$A$5:$A$2005,"&gt;="&amp;ReportFrom,'Stock Moves'!$A$5:$A$2005,"&lt;="&amp;ReportTo)+SUMIFS('Stock Moves'!$T$5:$T$2005,'Stock Moves'!$V$5:$V$2005,$A102,'Stock Moves'!$A$5:$A$2005,"&gt;="&amp;ReportFrom,'Stock Moves'!$A$5:$A$2005,"&lt;="&amp;ReportTo))</f>
        <v/>
      </c>
      <c r="AI102" s="25">
        <f>IF($A102="",0,SUMIFS('Stock Moves'!$AF$5:$AF$2005,'Stock Moves'!$AE$5:$AE$2005,$A102,'Stock Moves'!$A$5:$A$2005,"&gt;="&amp;ReportFrom,'Stock Moves'!$A$5:$A$2005,"&lt;="&amp;ReportTo)+SUMIFS('Stock Moves'!$AC$5:$AC$2005,'Stock Moves'!$X$5:$X$2005,$A102,'Stock Moves'!$A$5:$A$2005,"&gt;="&amp;ReportFrom,'Stock Moves'!$A$5:$A$2005,"&lt;="&amp;ReportTo)+SUMIFS('Stock Moves'!$U$5:$U$2005,'Stock Moves'!$W$5:$W$2005,$A102,'Stock Moves'!$A$5:$A$2005,"&gt;="&amp;ReportFrom,'Stock Moves'!$A$5:$A$2005,"&lt;="&amp;ReportTo))</f>
        <v/>
      </c>
      <c r="AJ102" s="25">
        <f>IF($A102="",0,(SUMIFS('Journal Vouchers'!$I$5:$I$2005,'Journal Vouchers'!$H$5:$H$2005,$A102,'Journal Vouchers'!$B$5:$B$2005,"&lt;"&amp;ReportFrom))-(SUMIFS('Journal Vouchers'!$J$5:$J$2005,'Journal Vouchers'!$H$5:$H$2005,$A102,'Journal Vouchers'!$B$5:$B$2005,"&lt;"&amp;ReportFrom)))</f>
        <v/>
      </c>
      <c r="AK102" s="25">
        <f>IF($A102="",0,SUMIFS('Journal Vouchers'!$I$5:$I$2005,'Journal Vouchers'!$H$5:$H$2005,$A102,'Journal Vouchers'!$B$5:$B$2005,"&gt;="&amp;ReportFrom,'Journal Vouchers'!$B$5:$B$2005,"&lt;="&amp;ReportTo))</f>
        <v/>
      </c>
      <c r="AL102" s="25">
        <f>IF($A102="",0,SUMIFS('Journal Vouchers'!$J$5:$J$2005,'Journal Vouchers'!$H$5:$H$2005,$A102,'Journal Vouchers'!$B$5:$B$2005,"&gt;="&amp;ReportFrom,'Journal Vouchers'!$B$5:$B$2005,"&lt;="&amp;ReportTo))</f>
        <v/>
      </c>
    </row>
    <row r="103">
      <c r="A103" s="25">
        <f>IF('Chart of Accounts'!A103="","",'Chart of Accounts'!A103&amp;"")</f>
        <v/>
      </c>
      <c r="B103" s="25">
        <f>IF(A103="","",'Chart of Accounts'!B103)</f>
        <v/>
      </c>
      <c r="C103" s="25">
        <f>IF(A103="","",'Chart of Accounts'!C103)</f>
        <v/>
      </c>
      <c r="D103" s="25">
        <f>IF(A103="","",'Chart of Accounts'!D103)</f>
        <v/>
      </c>
      <c r="E103" s="26">
        <f>L103+O103+R103+U103+X103+AA103+AD103+AG103+AJ103</f>
        <v/>
      </c>
      <c r="F103" s="26">
        <f>M103+P103+S103+V103+Y103+AB103+AE103+AH103+AK103</f>
        <v/>
      </c>
      <c r="G103" s="26">
        <f>N103+Q103+T103+W103+Z103+AC103+AF103+AI103+AL103</f>
        <v/>
      </c>
      <c r="H103" s="26">
        <f>E103+F103-G103</f>
        <v/>
      </c>
      <c r="I103" s="26">
        <f>MAX(H103,0)</f>
        <v/>
      </c>
      <c r="J103" s="26">
        <f>MAX(-H103,0)</f>
        <v/>
      </c>
      <c r="L103" s="25">
        <f>IF($A103="",0,(SUMIFS('Direct Costs'!$R$5:$R$2005,'Direct Costs'!$V$5:$V$2005,$A103,'Direct Costs'!$A$5:$A$2005,"&lt;"&amp;ReportFrom)+SUMIFS('Direct Costs'!$S$5:$S$2005,'Direct Costs'!$Y$5:$Y$2005,$A103,'Direct Costs'!$A$5:$A$2005,"&lt;"&amp;ReportFrom))-(SUMIFS('Direct Costs'!$L$5:$L$2005,'Direct Costs'!$W$5:$W$2005,$A103,'Direct Costs'!$A$5:$A$2005,"&lt;"&amp;ReportFrom)+SUMIFS('Direct Costs'!$U$5:$U$2005,'Direct Costs'!$X$5:$X$2005,$A103,'Direct Costs'!$A$5:$A$2005,"&lt;"&amp;ReportFrom)+SUMIFS('Direct Costs'!$T$5:$T$2005,'Direct Costs'!$Z$5:$Z$2005,$A103,'Direct Costs'!$A$5:$A$2005,"&lt;"&amp;ReportFrom)))</f>
        <v/>
      </c>
      <c r="M103" s="25">
        <f>IF($A103="",0,SUMIFS('Direct Costs'!$R$5:$R$2005,'Direct Costs'!$V$5:$V$2005,$A103,'Direct Costs'!$A$5:$A$2005,"&gt;="&amp;ReportFrom,'Direct Costs'!$A$5:$A$2005,"&lt;="&amp;ReportTo)+SUMIFS('Direct Costs'!$S$5:$S$2005,'Direct Costs'!$Y$5:$Y$2005,$A103,'Direct Costs'!$A$5:$A$2005,"&gt;="&amp;ReportFrom,'Direct Costs'!$A$5:$A$2005,"&lt;="&amp;ReportTo))</f>
        <v/>
      </c>
      <c r="N103" s="25">
        <f>IF($A103="",0,SUMIFS('Direct Costs'!$L$5:$L$2005,'Direct Costs'!$W$5:$W$2005,$A103,'Direct Costs'!$A$5:$A$2005,"&gt;="&amp;ReportFrom,'Direct Costs'!$A$5:$A$2005,"&lt;="&amp;ReportTo)+SUMIFS('Direct Costs'!$U$5:$U$2005,'Direct Costs'!$X$5:$X$2005,$A103,'Direct Costs'!$A$5:$A$2005,"&gt;="&amp;ReportFrom,'Direct Costs'!$A$5:$A$2005,"&lt;="&amp;ReportTo)+SUMIFS('Direct Costs'!$T$5:$T$2005,'Direct Costs'!$Z$5:$Z$2005,$A103,'Direct Costs'!$A$5:$A$2005,"&gt;="&amp;ReportFrom,'Direct Costs'!$A$5:$A$2005,"&lt;="&amp;ReportTo))</f>
        <v/>
      </c>
      <c r="O103" s="25">
        <f>IF($A103="",0,(SUMIFS('Operating Expenses'!$F$5:$F$2005,'Operating Expenses'!$Q$5:$Q$2005,$A103,'Operating Expenses'!$A$5:$A$2005,"&lt;"&amp;ReportFrom)+SUMIFS('Operating Expenses'!$M$5:$M$2005,'Operating Expenses'!$T$5:$T$2005,$A103,'Operating Expenses'!$A$5:$A$2005,"&lt;"&amp;ReportFrom))-(SUMIFS('Operating Expenses'!$O$5:$O$2005,'Operating Expenses'!$R$5:$R$2005,$A103,'Operating Expenses'!$A$5:$A$2005,"&lt;"&amp;ReportFrom)+SUMIFS('Operating Expenses'!$P$5:$P$2005,'Operating Expenses'!$S$5:$S$2005,$A103,'Operating Expenses'!$A$5:$A$2005,"&lt;"&amp;ReportFrom)+SUMIFS('Operating Expenses'!$N$5:$N$2005,'Operating Expenses'!$U$5:$U$2005,$A103,'Operating Expenses'!$A$5:$A$2005,"&lt;"&amp;ReportFrom)))</f>
        <v/>
      </c>
      <c r="P103" s="25">
        <f>IF($A103="",0,SUMIFS('Operating Expenses'!$F$5:$F$2005,'Operating Expenses'!$Q$5:$Q$2005,$A103,'Operating Expenses'!$A$5:$A$2005,"&gt;="&amp;ReportFrom,'Operating Expenses'!$A$5:$A$2005,"&lt;="&amp;ReportTo)+SUMIFS('Operating Expenses'!$M$5:$M$2005,'Operating Expenses'!$T$5:$T$2005,$A103,'Operating Expenses'!$A$5:$A$2005,"&gt;="&amp;ReportFrom,'Operating Expenses'!$A$5:$A$2005,"&lt;="&amp;ReportTo))</f>
        <v/>
      </c>
      <c r="Q103" s="25">
        <f>IF($A103="",0,SUMIFS('Operating Expenses'!$O$5:$O$2005,'Operating Expenses'!$R$5:$R$2005,$A103,'Operating Expenses'!$A$5:$A$2005,"&gt;="&amp;ReportFrom,'Operating Expenses'!$A$5:$A$2005,"&lt;="&amp;ReportTo)+SUMIFS('Operating Expenses'!$P$5:$P$2005,'Operating Expenses'!$S$5:$S$2005,$A103,'Operating Expenses'!$A$5:$A$2005,"&gt;="&amp;ReportFrom,'Operating Expenses'!$A$5:$A$2005,"&lt;="&amp;ReportTo)+SUMIFS('Operating Expenses'!$N$5:$N$2005,'Operating Expenses'!$U$5:$U$2005,$A103,'Operating Expenses'!$A$5:$A$2005,"&gt;="&amp;ReportFrom,'Operating Expenses'!$A$5:$A$2005,"&lt;="&amp;ReportTo))</f>
        <v/>
      </c>
      <c r="R103" s="25">
        <f>IF($A103="",0,(SUMIFS('Payroll'!$O$5:$O$2005,'Payroll'!$Q$5:$Q$2005,$A103,'Payroll'!$A$5:$A$2005,"&lt;"&amp;ReportFrom))-(SUMIFS('Payroll'!$K$5:$K$2005,'Payroll'!$R$5:$R$2005,$A103,'Payroll'!$A$5:$A$2005,"&lt;"&amp;ReportFrom)+SUMIFS('Payroll'!$P$5:$P$2005,'Payroll'!$S$5:$S$2005,$A103,'Payroll'!$A$5:$A$2005,"&lt;"&amp;ReportFrom)))</f>
        <v/>
      </c>
      <c r="S103" s="25">
        <f>IF($A103="",0,SUMIFS('Payroll'!$O$5:$O$2005,'Payroll'!$Q$5:$Q$2005,$A103,'Payroll'!$A$5:$A$2005,"&gt;="&amp;ReportFrom,'Payroll'!$A$5:$A$2005,"&lt;="&amp;ReportTo))</f>
        <v/>
      </c>
      <c r="T103" s="25">
        <f>IF($A103="",0,SUMIFS('Payroll'!$K$5:$K$2005,'Payroll'!$R$5:$R$2005,$A103,'Payroll'!$A$5:$A$2005,"&gt;="&amp;ReportFrom,'Payroll'!$A$5:$A$2005,"&lt;="&amp;ReportTo)+SUMIFS('Payroll'!$P$5:$P$2005,'Payroll'!$S$5:$S$2005,$A103,'Payroll'!$A$5:$A$2005,"&gt;="&amp;ReportFrom,'Payroll'!$A$5:$A$2005,"&lt;="&amp;ReportTo))</f>
        <v/>
      </c>
      <c r="U103" s="25">
        <f>IF($A103="",0,(SUMIFS('Receipt Vouchers'!$F$5:$F$2005,'Receipt Vouchers'!$O$5:$O$2005,$A103,'Receipt Vouchers'!$A$5:$A$2005,"&lt;"&amp;ReportFrom)+SUMIFS('Receipt Vouchers'!$J$5:$J$2005,'Receipt Vouchers'!$Q$5:$Q$2005,$A103,'Receipt Vouchers'!$A$5:$A$2005,"&lt;"&amp;ReportFrom))-(SUMIFS('Receipt Vouchers'!$N$5:$N$2005,'Receipt Vouchers'!$P$5:$P$2005,$A103,'Receipt Vouchers'!$A$5:$A$2005,"&lt;"&amp;ReportFrom)+SUMIFS('Receipt Vouchers'!$M$5:$M$2005,'Receipt Vouchers'!$R$5:$R$2005,$A103,'Receipt Vouchers'!$A$5:$A$2005,"&lt;"&amp;ReportFrom)))</f>
        <v/>
      </c>
      <c r="V103" s="25">
        <f>IF($A103="",0,SUMIFS('Receipt Vouchers'!$F$5:$F$2005,'Receipt Vouchers'!$O$5:$O$2005,$A103,'Receipt Vouchers'!$A$5:$A$2005,"&gt;="&amp;ReportFrom,'Receipt Vouchers'!$A$5:$A$2005,"&lt;="&amp;ReportTo)+SUMIFS('Receipt Vouchers'!$J$5:$J$2005,'Receipt Vouchers'!$Q$5:$Q$2005,$A103,'Receipt Vouchers'!$A$5:$A$2005,"&gt;="&amp;ReportFrom,'Receipt Vouchers'!$A$5:$A$2005,"&lt;="&amp;ReportTo))</f>
        <v/>
      </c>
      <c r="W103" s="25">
        <f>IF($A103="",0,SUMIFS('Receipt Vouchers'!$N$5:$N$2005,'Receipt Vouchers'!$P$5:$P$2005,$A103,'Receipt Vouchers'!$A$5:$A$2005,"&gt;="&amp;ReportFrom,'Receipt Vouchers'!$A$5:$A$2005,"&lt;="&amp;ReportTo)+SUMIFS('Receipt Vouchers'!$M$5:$M$2005,'Receipt Vouchers'!$R$5:$R$2005,$A103,'Receipt Vouchers'!$A$5:$A$2005,"&gt;="&amp;ReportFrom,'Receipt Vouchers'!$A$5:$A$2005,"&lt;="&amp;ReportTo))</f>
        <v/>
      </c>
      <c r="X103" s="25">
        <f>IF($A103="",0,(SUMIFS('Sales Invoices'!$O$5:$O$2005,'Sales Invoices'!$P$5:$P$2005,$A103,'Sales Invoices'!$B$5:$B$2005,"&lt;"&amp;ReportFrom)+SUMIFS('Sales Invoices'!$N$5:$N$2005,'Sales Invoices'!$R$5:$R$2005,$A103,'Sales Invoices'!$B$5:$B$2005,"&lt;"&amp;ReportFrom))-(SUMIFS('Sales Invoices'!$L$5:$L$2005,'Sales Invoices'!$Q$5:$Q$2005,$A103,'Sales Invoices'!$B$5:$B$2005,"&lt;"&amp;ReportFrom)+SUMIFS('Sales Invoices'!$M$5:$M$2005,'Sales Invoices'!$S$5:$S$2005,$A103,'Sales Invoices'!$B$5:$B$2005,"&lt;"&amp;ReportFrom)))</f>
        <v/>
      </c>
      <c r="Y103" s="25">
        <f>IF($A103="",0,SUMIFS('Sales Invoices'!$O$5:$O$2005,'Sales Invoices'!$P$5:$P$2005,$A103,'Sales Invoices'!$B$5:$B$2005,"&gt;="&amp;ReportFrom,'Sales Invoices'!$B$5:$B$2005,"&lt;="&amp;ReportTo)+SUMIFS('Sales Invoices'!$N$5:$N$2005,'Sales Invoices'!$R$5:$R$2005,$A103,'Sales Invoices'!$B$5:$B$2005,"&gt;="&amp;ReportFrom,'Sales Invoices'!$B$5:$B$2005,"&lt;="&amp;ReportTo))</f>
        <v/>
      </c>
      <c r="Z103" s="25">
        <f>IF($A103="",0,SUMIFS('Sales Invoices'!$L$5:$L$2005,'Sales Invoices'!$Q$5:$Q$2005,$A103,'Sales Invoices'!$B$5:$B$2005,"&gt;="&amp;ReportFrom,'Sales Invoices'!$B$5:$B$2005,"&lt;="&amp;ReportTo)+SUMIFS('Sales Invoices'!$M$5:$M$2005,'Sales Invoices'!$S$5:$S$2005,$A103,'Sales Invoices'!$B$5:$B$2005,"&gt;="&amp;ReportFrom,'Sales Invoices'!$B$5:$B$2005,"&lt;="&amp;ReportTo))</f>
        <v/>
      </c>
      <c r="AA103" s="25">
        <f>IF($A103="",0,(SUMIFS('Payment Vouchers'!$D$5:$D$2005,'Payment Vouchers'!$J$5:$J$2005,$A103,'Payment Vouchers'!$A$5:$A$2005,"&lt;"&amp;ReportFrom))-(SUMIFS('Payment Vouchers'!$D$5:$D$2005,'Payment Vouchers'!$K$5:$K$2005,$A103,'Payment Vouchers'!$A$5:$A$2005,"&lt;"&amp;ReportFrom)))</f>
        <v/>
      </c>
      <c r="AB103" s="25">
        <f>IF($A103="",0,SUMIFS('Payment Vouchers'!$D$5:$D$2005,'Payment Vouchers'!$J$5:$J$2005,$A103,'Payment Vouchers'!$A$5:$A$2005,"&gt;="&amp;ReportFrom,'Payment Vouchers'!$A$5:$A$2005,"&lt;="&amp;ReportTo))</f>
        <v/>
      </c>
      <c r="AC103" s="25">
        <f>IF($A103="",0,SUMIFS('Payment Vouchers'!$D$5:$D$2005,'Payment Vouchers'!$K$5:$K$2005,$A103,'Payment Vouchers'!$A$5:$A$2005,"&gt;="&amp;ReportFrom,'Payment Vouchers'!$A$5:$A$2005,"&lt;="&amp;ReportTo))</f>
        <v/>
      </c>
      <c r="AD103" s="25">
        <f>IF($A103="",0,(SUMIFS('Partner Transactions'!$D$5:$D$2005,'Partner Transactions'!$L$5:$L$2005,$A103,'Partner Transactions'!$A$5:$A$2005,"&lt;"&amp;ReportFrom))-(SUMIFS('Partner Transactions'!$D$5:$D$2005,'Partner Transactions'!$M$5:$M$2005,$A103,'Partner Transactions'!$A$5:$A$2005,"&lt;"&amp;ReportFrom)))</f>
        <v/>
      </c>
      <c r="AE103" s="25">
        <f>IF($A103="",0,SUMIFS('Partner Transactions'!$D$5:$D$2005,'Partner Transactions'!$L$5:$L$2005,$A103,'Partner Transactions'!$A$5:$A$2005,"&gt;="&amp;ReportFrom,'Partner Transactions'!$A$5:$A$2005,"&lt;="&amp;ReportTo))</f>
        <v/>
      </c>
      <c r="AF103" s="25">
        <f>IF($A103="",0,SUMIFS('Partner Transactions'!$D$5:$D$2005,'Partner Transactions'!$M$5:$M$2005,$A103,'Partner Transactions'!$A$5:$A$2005,"&gt;="&amp;ReportFrom,'Partner Transactions'!$A$5:$A$2005,"&lt;="&amp;ReportTo))</f>
        <v/>
      </c>
      <c r="AG103" s="25">
        <f>IF($A103="",0,(SUMIFS('Stock Moves'!$S$5:$S$2005,'Stock Moves'!$AD$5:$AD$2005,$A103,'Stock Moves'!$A$5:$A$2005,"&lt;"&amp;ReportFrom)+SUMIFS('Stock Moves'!$T$5:$T$2005,'Stock Moves'!$V$5:$V$2005,$A103,'Stock Moves'!$A$5:$A$2005,"&lt;"&amp;ReportFrom))-(SUMIFS('Stock Moves'!$AF$5:$AF$2005,'Stock Moves'!$AE$5:$AE$2005,$A103,'Stock Moves'!$A$5:$A$2005,"&lt;"&amp;ReportFrom)+SUMIFS('Stock Moves'!$AC$5:$AC$2005,'Stock Moves'!$X$5:$X$2005,$A103,'Stock Moves'!$A$5:$A$2005,"&lt;"&amp;ReportFrom)+SUMIFS('Stock Moves'!$U$5:$U$2005,'Stock Moves'!$W$5:$W$2005,$A103,'Stock Moves'!$A$5:$A$2005,"&lt;"&amp;ReportFrom)))</f>
        <v/>
      </c>
      <c r="AH103" s="25">
        <f>IF($A103="",0,SUMIFS('Stock Moves'!$S$5:$S$2005,'Stock Moves'!$AD$5:$AD$2005,$A103,'Stock Moves'!$A$5:$A$2005,"&gt;="&amp;ReportFrom,'Stock Moves'!$A$5:$A$2005,"&lt;="&amp;ReportTo)+SUMIFS('Stock Moves'!$T$5:$T$2005,'Stock Moves'!$V$5:$V$2005,$A103,'Stock Moves'!$A$5:$A$2005,"&gt;="&amp;ReportFrom,'Stock Moves'!$A$5:$A$2005,"&lt;="&amp;ReportTo))</f>
        <v/>
      </c>
      <c r="AI103" s="25">
        <f>IF($A103="",0,SUMIFS('Stock Moves'!$AF$5:$AF$2005,'Stock Moves'!$AE$5:$AE$2005,$A103,'Stock Moves'!$A$5:$A$2005,"&gt;="&amp;ReportFrom,'Stock Moves'!$A$5:$A$2005,"&lt;="&amp;ReportTo)+SUMIFS('Stock Moves'!$AC$5:$AC$2005,'Stock Moves'!$X$5:$X$2005,$A103,'Stock Moves'!$A$5:$A$2005,"&gt;="&amp;ReportFrom,'Stock Moves'!$A$5:$A$2005,"&lt;="&amp;ReportTo)+SUMIFS('Stock Moves'!$U$5:$U$2005,'Stock Moves'!$W$5:$W$2005,$A103,'Stock Moves'!$A$5:$A$2005,"&gt;="&amp;ReportFrom,'Stock Moves'!$A$5:$A$2005,"&lt;="&amp;ReportTo))</f>
        <v/>
      </c>
      <c r="AJ103" s="25">
        <f>IF($A103="",0,(SUMIFS('Journal Vouchers'!$I$5:$I$2005,'Journal Vouchers'!$H$5:$H$2005,$A103,'Journal Vouchers'!$B$5:$B$2005,"&lt;"&amp;ReportFrom))-(SUMIFS('Journal Vouchers'!$J$5:$J$2005,'Journal Vouchers'!$H$5:$H$2005,$A103,'Journal Vouchers'!$B$5:$B$2005,"&lt;"&amp;ReportFrom)))</f>
        <v/>
      </c>
      <c r="AK103" s="25">
        <f>IF($A103="",0,SUMIFS('Journal Vouchers'!$I$5:$I$2005,'Journal Vouchers'!$H$5:$H$2005,$A103,'Journal Vouchers'!$B$5:$B$2005,"&gt;="&amp;ReportFrom,'Journal Vouchers'!$B$5:$B$2005,"&lt;="&amp;ReportTo))</f>
        <v/>
      </c>
      <c r="AL103" s="25">
        <f>IF($A103="",0,SUMIFS('Journal Vouchers'!$J$5:$J$2005,'Journal Vouchers'!$H$5:$H$2005,$A103,'Journal Vouchers'!$B$5:$B$2005,"&gt;="&amp;ReportFrom,'Journal Vouchers'!$B$5:$B$2005,"&lt;="&amp;ReportTo))</f>
        <v/>
      </c>
    </row>
    <row r="104">
      <c r="A104" s="25">
        <f>IF('Chart of Accounts'!A104="","",'Chart of Accounts'!A104&amp;"")</f>
        <v/>
      </c>
      <c r="B104" s="25">
        <f>IF(A104="","",'Chart of Accounts'!B104)</f>
        <v/>
      </c>
      <c r="C104" s="25">
        <f>IF(A104="","",'Chart of Accounts'!C104)</f>
        <v/>
      </c>
      <c r="D104" s="25">
        <f>IF(A104="","",'Chart of Accounts'!D104)</f>
        <v/>
      </c>
      <c r="E104" s="26">
        <f>L104+O104+R104+U104+X104+AA104+AD104+AG104+AJ104</f>
        <v/>
      </c>
      <c r="F104" s="26">
        <f>M104+P104+S104+V104+Y104+AB104+AE104+AH104+AK104</f>
        <v/>
      </c>
      <c r="G104" s="26">
        <f>N104+Q104+T104+W104+Z104+AC104+AF104+AI104+AL104</f>
        <v/>
      </c>
      <c r="H104" s="26">
        <f>E104+F104-G104</f>
        <v/>
      </c>
      <c r="I104" s="26">
        <f>MAX(H104,0)</f>
        <v/>
      </c>
      <c r="J104" s="26">
        <f>MAX(-H104,0)</f>
        <v/>
      </c>
      <c r="L104" s="25">
        <f>IF($A104="",0,(SUMIFS('Direct Costs'!$R$5:$R$2005,'Direct Costs'!$V$5:$V$2005,$A104,'Direct Costs'!$A$5:$A$2005,"&lt;"&amp;ReportFrom)+SUMIFS('Direct Costs'!$S$5:$S$2005,'Direct Costs'!$Y$5:$Y$2005,$A104,'Direct Costs'!$A$5:$A$2005,"&lt;"&amp;ReportFrom))-(SUMIFS('Direct Costs'!$L$5:$L$2005,'Direct Costs'!$W$5:$W$2005,$A104,'Direct Costs'!$A$5:$A$2005,"&lt;"&amp;ReportFrom)+SUMIFS('Direct Costs'!$U$5:$U$2005,'Direct Costs'!$X$5:$X$2005,$A104,'Direct Costs'!$A$5:$A$2005,"&lt;"&amp;ReportFrom)+SUMIFS('Direct Costs'!$T$5:$T$2005,'Direct Costs'!$Z$5:$Z$2005,$A104,'Direct Costs'!$A$5:$A$2005,"&lt;"&amp;ReportFrom)))</f>
        <v/>
      </c>
      <c r="M104" s="25">
        <f>IF($A104="",0,SUMIFS('Direct Costs'!$R$5:$R$2005,'Direct Costs'!$V$5:$V$2005,$A104,'Direct Costs'!$A$5:$A$2005,"&gt;="&amp;ReportFrom,'Direct Costs'!$A$5:$A$2005,"&lt;="&amp;ReportTo)+SUMIFS('Direct Costs'!$S$5:$S$2005,'Direct Costs'!$Y$5:$Y$2005,$A104,'Direct Costs'!$A$5:$A$2005,"&gt;="&amp;ReportFrom,'Direct Costs'!$A$5:$A$2005,"&lt;="&amp;ReportTo))</f>
        <v/>
      </c>
      <c r="N104" s="25">
        <f>IF($A104="",0,SUMIFS('Direct Costs'!$L$5:$L$2005,'Direct Costs'!$W$5:$W$2005,$A104,'Direct Costs'!$A$5:$A$2005,"&gt;="&amp;ReportFrom,'Direct Costs'!$A$5:$A$2005,"&lt;="&amp;ReportTo)+SUMIFS('Direct Costs'!$U$5:$U$2005,'Direct Costs'!$X$5:$X$2005,$A104,'Direct Costs'!$A$5:$A$2005,"&gt;="&amp;ReportFrom,'Direct Costs'!$A$5:$A$2005,"&lt;="&amp;ReportTo)+SUMIFS('Direct Costs'!$T$5:$T$2005,'Direct Costs'!$Z$5:$Z$2005,$A104,'Direct Costs'!$A$5:$A$2005,"&gt;="&amp;ReportFrom,'Direct Costs'!$A$5:$A$2005,"&lt;="&amp;ReportTo))</f>
        <v/>
      </c>
      <c r="O104" s="25">
        <f>IF($A104="",0,(SUMIFS('Operating Expenses'!$F$5:$F$2005,'Operating Expenses'!$Q$5:$Q$2005,$A104,'Operating Expenses'!$A$5:$A$2005,"&lt;"&amp;ReportFrom)+SUMIFS('Operating Expenses'!$M$5:$M$2005,'Operating Expenses'!$T$5:$T$2005,$A104,'Operating Expenses'!$A$5:$A$2005,"&lt;"&amp;ReportFrom))-(SUMIFS('Operating Expenses'!$O$5:$O$2005,'Operating Expenses'!$R$5:$R$2005,$A104,'Operating Expenses'!$A$5:$A$2005,"&lt;"&amp;ReportFrom)+SUMIFS('Operating Expenses'!$P$5:$P$2005,'Operating Expenses'!$S$5:$S$2005,$A104,'Operating Expenses'!$A$5:$A$2005,"&lt;"&amp;ReportFrom)+SUMIFS('Operating Expenses'!$N$5:$N$2005,'Operating Expenses'!$U$5:$U$2005,$A104,'Operating Expenses'!$A$5:$A$2005,"&lt;"&amp;ReportFrom)))</f>
        <v/>
      </c>
      <c r="P104" s="25">
        <f>IF($A104="",0,SUMIFS('Operating Expenses'!$F$5:$F$2005,'Operating Expenses'!$Q$5:$Q$2005,$A104,'Operating Expenses'!$A$5:$A$2005,"&gt;="&amp;ReportFrom,'Operating Expenses'!$A$5:$A$2005,"&lt;="&amp;ReportTo)+SUMIFS('Operating Expenses'!$M$5:$M$2005,'Operating Expenses'!$T$5:$T$2005,$A104,'Operating Expenses'!$A$5:$A$2005,"&gt;="&amp;ReportFrom,'Operating Expenses'!$A$5:$A$2005,"&lt;="&amp;ReportTo))</f>
        <v/>
      </c>
      <c r="Q104" s="25">
        <f>IF($A104="",0,SUMIFS('Operating Expenses'!$O$5:$O$2005,'Operating Expenses'!$R$5:$R$2005,$A104,'Operating Expenses'!$A$5:$A$2005,"&gt;="&amp;ReportFrom,'Operating Expenses'!$A$5:$A$2005,"&lt;="&amp;ReportTo)+SUMIFS('Operating Expenses'!$P$5:$P$2005,'Operating Expenses'!$S$5:$S$2005,$A104,'Operating Expenses'!$A$5:$A$2005,"&gt;="&amp;ReportFrom,'Operating Expenses'!$A$5:$A$2005,"&lt;="&amp;ReportTo)+SUMIFS('Operating Expenses'!$N$5:$N$2005,'Operating Expenses'!$U$5:$U$2005,$A104,'Operating Expenses'!$A$5:$A$2005,"&gt;="&amp;ReportFrom,'Operating Expenses'!$A$5:$A$2005,"&lt;="&amp;ReportTo))</f>
        <v/>
      </c>
      <c r="R104" s="25">
        <f>IF($A104="",0,(SUMIFS('Payroll'!$O$5:$O$2005,'Payroll'!$Q$5:$Q$2005,$A104,'Payroll'!$A$5:$A$2005,"&lt;"&amp;ReportFrom))-(SUMIFS('Payroll'!$K$5:$K$2005,'Payroll'!$R$5:$R$2005,$A104,'Payroll'!$A$5:$A$2005,"&lt;"&amp;ReportFrom)+SUMIFS('Payroll'!$P$5:$P$2005,'Payroll'!$S$5:$S$2005,$A104,'Payroll'!$A$5:$A$2005,"&lt;"&amp;ReportFrom)))</f>
        <v/>
      </c>
      <c r="S104" s="25">
        <f>IF($A104="",0,SUMIFS('Payroll'!$O$5:$O$2005,'Payroll'!$Q$5:$Q$2005,$A104,'Payroll'!$A$5:$A$2005,"&gt;="&amp;ReportFrom,'Payroll'!$A$5:$A$2005,"&lt;="&amp;ReportTo))</f>
        <v/>
      </c>
      <c r="T104" s="25">
        <f>IF($A104="",0,SUMIFS('Payroll'!$K$5:$K$2005,'Payroll'!$R$5:$R$2005,$A104,'Payroll'!$A$5:$A$2005,"&gt;="&amp;ReportFrom,'Payroll'!$A$5:$A$2005,"&lt;="&amp;ReportTo)+SUMIFS('Payroll'!$P$5:$P$2005,'Payroll'!$S$5:$S$2005,$A104,'Payroll'!$A$5:$A$2005,"&gt;="&amp;ReportFrom,'Payroll'!$A$5:$A$2005,"&lt;="&amp;ReportTo))</f>
        <v/>
      </c>
      <c r="U104" s="25">
        <f>IF($A104="",0,(SUMIFS('Receipt Vouchers'!$F$5:$F$2005,'Receipt Vouchers'!$O$5:$O$2005,$A104,'Receipt Vouchers'!$A$5:$A$2005,"&lt;"&amp;ReportFrom)+SUMIFS('Receipt Vouchers'!$J$5:$J$2005,'Receipt Vouchers'!$Q$5:$Q$2005,$A104,'Receipt Vouchers'!$A$5:$A$2005,"&lt;"&amp;ReportFrom))-(SUMIFS('Receipt Vouchers'!$N$5:$N$2005,'Receipt Vouchers'!$P$5:$P$2005,$A104,'Receipt Vouchers'!$A$5:$A$2005,"&lt;"&amp;ReportFrom)+SUMIFS('Receipt Vouchers'!$M$5:$M$2005,'Receipt Vouchers'!$R$5:$R$2005,$A104,'Receipt Vouchers'!$A$5:$A$2005,"&lt;"&amp;ReportFrom)))</f>
        <v/>
      </c>
      <c r="V104" s="25">
        <f>IF($A104="",0,SUMIFS('Receipt Vouchers'!$F$5:$F$2005,'Receipt Vouchers'!$O$5:$O$2005,$A104,'Receipt Vouchers'!$A$5:$A$2005,"&gt;="&amp;ReportFrom,'Receipt Vouchers'!$A$5:$A$2005,"&lt;="&amp;ReportTo)+SUMIFS('Receipt Vouchers'!$J$5:$J$2005,'Receipt Vouchers'!$Q$5:$Q$2005,$A104,'Receipt Vouchers'!$A$5:$A$2005,"&gt;="&amp;ReportFrom,'Receipt Vouchers'!$A$5:$A$2005,"&lt;="&amp;ReportTo))</f>
        <v/>
      </c>
      <c r="W104" s="25">
        <f>IF($A104="",0,SUMIFS('Receipt Vouchers'!$N$5:$N$2005,'Receipt Vouchers'!$P$5:$P$2005,$A104,'Receipt Vouchers'!$A$5:$A$2005,"&gt;="&amp;ReportFrom,'Receipt Vouchers'!$A$5:$A$2005,"&lt;="&amp;ReportTo)+SUMIFS('Receipt Vouchers'!$M$5:$M$2005,'Receipt Vouchers'!$R$5:$R$2005,$A104,'Receipt Vouchers'!$A$5:$A$2005,"&gt;="&amp;ReportFrom,'Receipt Vouchers'!$A$5:$A$2005,"&lt;="&amp;ReportTo))</f>
        <v/>
      </c>
      <c r="X104" s="25">
        <f>IF($A104="",0,(SUMIFS('Sales Invoices'!$O$5:$O$2005,'Sales Invoices'!$P$5:$P$2005,$A104,'Sales Invoices'!$B$5:$B$2005,"&lt;"&amp;ReportFrom)+SUMIFS('Sales Invoices'!$N$5:$N$2005,'Sales Invoices'!$R$5:$R$2005,$A104,'Sales Invoices'!$B$5:$B$2005,"&lt;"&amp;ReportFrom))-(SUMIFS('Sales Invoices'!$L$5:$L$2005,'Sales Invoices'!$Q$5:$Q$2005,$A104,'Sales Invoices'!$B$5:$B$2005,"&lt;"&amp;ReportFrom)+SUMIFS('Sales Invoices'!$M$5:$M$2005,'Sales Invoices'!$S$5:$S$2005,$A104,'Sales Invoices'!$B$5:$B$2005,"&lt;"&amp;ReportFrom)))</f>
        <v/>
      </c>
      <c r="Y104" s="25">
        <f>IF($A104="",0,SUMIFS('Sales Invoices'!$O$5:$O$2005,'Sales Invoices'!$P$5:$P$2005,$A104,'Sales Invoices'!$B$5:$B$2005,"&gt;="&amp;ReportFrom,'Sales Invoices'!$B$5:$B$2005,"&lt;="&amp;ReportTo)+SUMIFS('Sales Invoices'!$N$5:$N$2005,'Sales Invoices'!$R$5:$R$2005,$A104,'Sales Invoices'!$B$5:$B$2005,"&gt;="&amp;ReportFrom,'Sales Invoices'!$B$5:$B$2005,"&lt;="&amp;ReportTo))</f>
        <v/>
      </c>
      <c r="Z104" s="25">
        <f>IF($A104="",0,SUMIFS('Sales Invoices'!$L$5:$L$2005,'Sales Invoices'!$Q$5:$Q$2005,$A104,'Sales Invoices'!$B$5:$B$2005,"&gt;="&amp;ReportFrom,'Sales Invoices'!$B$5:$B$2005,"&lt;="&amp;ReportTo)+SUMIFS('Sales Invoices'!$M$5:$M$2005,'Sales Invoices'!$S$5:$S$2005,$A104,'Sales Invoices'!$B$5:$B$2005,"&gt;="&amp;ReportFrom,'Sales Invoices'!$B$5:$B$2005,"&lt;="&amp;ReportTo))</f>
        <v/>
      </c>
      <c r="AA104" s="25">
        <f>IF($A104="",0,(SUMIFS('Payment Vouchers'!$D$5:$D$2005,'Payment Vouchers'!$J$5:$J$2005,$A104,'Payment Vouchers'!$A$5:$A$2005,"&lt;"&amp;ReportFrom))-(SUMIFS('Payment Vouchers'!$D$5:$D$2005,'Payment Vouchers'!$K$5:$K$2005,$A104,'Payment Vouchers'!$A$5:$A$2005,"&lt;"&amp;ReportFrom)))</f>
        <v/>
      </c>
      <c r="AB104" s="25">
        <f>IF($A104="",0,SUMIFS('Payment Vouchers'!$D$5:$D$2005,'Payment Vouchers'!$J$5:$J$2005,$A104,'Payment Vouchers'!$A$5:$A$2005,"&gt;="&amp;ReportFrom,'Payment Vouchers'!$A$5:$A$2005,"&lt;="&amp;ReportTo))</f>
        <v/>
      </c>
      <c r="AC104" s="25">
        <f>IF($A104="",0,SUMIFS('Payment Vouchers'!$D$5:$D$2005,'Payment Vouchers'!$K$5:$K$2005,$A104,'Payment Vouchers'!$A$5:$A$2005,"&gt;="&amp;ReportFrom,'Payment Vouchers'!$A$5:$A$2005,"&lt;="&amp;ReportTo))</f>
        <v/>
      </c>
      <c r="AD104" s="25">
        <f>IF($A104="",0,(SUMIFS('Partner Transactions'!$D$5:$D$2005,'Partner Transactions'!$L$5:$L$2005,$A104,'Partner Transactions'!$A$5:$A$2005,"&lt;"&amp;ReportFrom))-(SUMIFS('Partner Transactions'!$D$5:$D$2005,'Partner Transactions'!$M$5:$M$2005,$A104,'Partner Transactions'!$A$5:$A$2005,"&lt;"&amp;ReportFrom)))</f>
        <v/>
      </c>
      <c r="AE104" s="25">
        <f>IF($A104="",0,SUMIFS('Partner Transactions'!$D$5:$D$2005,'Partner Transactions'!$L$5:$L$2005,$A104,'Partner Transactions'!$A$5:$A$2005,"&gt;="&amp;ReportFrom,'Partner Transactions'!$A$5:$A$2005,"&lt;="&amp;ReportTo))</f>
        <v/>
      </c>
      <c r="AF104" s="25">
        <f>IF($A104="",0,SUMIFS('Partner Transactions'!$D$5:$D$2005,'Partner Transactions'!$M$5:$M$2005,$A104,'Partner Transactions'!$A$5:$A$2005,"&gt;="&amp;ReportFrom,'Partner Transactions'!$A$5:$A$2005,"&lt;="&amp;ReportTo))</f>
        <v/>
      </c>
      <c r="AG104" s="25">
        <f>IF($A104="",0,(SUMIFS('Stock Moves'!$S$5:$S$2005,'Stock Moves'!$AD$5:$AD$2005,$A104,'Stock Moves'!$A$5:$A$2005,"&lt;"&amp;ReportFrom)+SUMIFS('Stock Moves'!$T$5:$T$2005,'Stock Moves'!$V$5:$V$2005,$A104,'Stock Moves'!$A$5:$A$2005,"&lt;"&amp;ReportFrom))-(SUMIFS('Stock Moves'!$AF$5:$AF$2005,'Stock Moves'!$AE$5:$AE$2005,$A104,'Stock Moves'!$A$5:$A$2005,"&lt;"&amp;ReportFrom)+SUMIFS('Stock Moves'!$AC$5:$AC$2005,'Stock Moves'!$X$5:$X$2005,$A104,'Stock Moves'!$A$5:$A$2005,"&lt;"&amp;ReportFrom)+SUMIFS('Stock Moves'!$U$5:$U$2005,'Stock Moves'!$W$5:$W$2005,$A104,'Stock Moves'!$A$5:$A$2005,"&lt;"&amp;ReportFrom)))</f>
        <v/>
      </c>
      <c r="AH104" s="25">
        <f>IF($A104="",0,SUMIFS('Stock Moves'!$S$5:$S$2005,'Stock Moves'!$AD$5:$AD$2005,$A104,'Stock Moves'!$A$5:$A$2005,"&gt;="&amp;ReportFrom,'Stock Moves'!$A$5:$A$2005,"&lt;="&amp;ReportTo)+SUMIFS('Stock Moves'!$T$5:$T$2005,'Stock Moves'!$V$5:$V$2005,$A104,'Stock Moves'!$A$5:$A$2005,"&gt;="&amp;ReportFrom,'Stock Moves'!$A$5:$A$2005,"&lt;="&amp;ReportTo))</f>
        <v/>
      </c>
      <c r="AI104" s="25">
        <f>IF($A104="",0,SUMIFS('Stock Moves'!$AF$5:$AF$2005,'Stock Moves'!$AE$5:$AE$2005,$A104,'Stock Moves'!$A$5:$A$2005,"&gt;="&amp;ReportFrom,'Stock Moves'!$A$5:$A$2005,"&lt;="&amp;ReportTo)+SUMIFS('Stock Moves'!$AC$5:$AC$2005,'Stock Moves'!$X$5:$X$2005,$A104,'Stock Moves'!$A$5:$A$2005,"&gt;="&amp;ReportFrom,'Stock Moves'!$A$5:$A$2005,"&lt;="&amp;ReportTo)+SUMIFS('Stock Moves'!$U$5:$U$2005,'Stock Moves'!$W$5:$W$2005,$A104,'Stock Moves'!$A$5:$A$2005,"&gt;="&amp;ReportFrom,'Stock Moves'!$A$5:$A$2005,"&lt;="&amp;ReportTo))</f>
        <v/>
      </c>
      <c r="AJ104" s="25">
        <f>IF($A104="",0,(SUMIFS('Journal Vouchers'!$I$5:$I$2005,'Journal Vouchers'!$H$5:$H$2005,$A104,'Journal Vouchers'!$B$5:$B$2005,"&lt;"&amp;ReportFrom))-(SUMIFS('Journal Vouchers'!$J$5:$J$2005,'Journal Vouchers'!$H$5:$H$2005,$A104,'Journal Vouchers'!$B$5:$B$2005,"&lt;"&amp;ReportFrom)))</f>
        <v/>
      </c>
      <c r="AK104" s="25">
        <f>IF($A104="",0,SUMIFS('Journal Vouchers'!$I$5:$I$2005,'Journal Vouchers'!$H$5:$H$2005,$A104,'Journal Vouchers'!$B$5:$B$2005,"&gt;="&amp;ReportFrom,'Journal Vouchers'!$B$5:$B$2005,"&lt;="&amp;ReportTo))</f>
        <v/>
      </c>
      <c r="AL104" s="25">
        <f>IF($A104="",0,SUMIFS('Journal Vouchers'!$J$5:$J$2005,'Journal Vouchers'!$H$5:$H$2005,$A104,'Journal Vouchers'!$B$5:$B$2005,"&gt;="&amp;ReportFrom,'Journal Vouchers'!$B$5:$B$2005,"&lt;="&amp;ReportTo))</f>
        <v/>
      </c>
    </row>
    <row r="105">
      <c r="A105" s="25">
        <f>IF('Chart of Accounts'!A105="","",'Chart of Accounts'!A105&amp;"")</f>
        <v/>
      </c>
      <c r="B105" s="25">
        <f>IF(A105="","",'Chart of Accounts'!B105)</f>
        <v/>
      </c>
      <c r="C105" s="25">
        <f>IF(A105="","",'Chart of Accounts'!C105)</f>
        <v/>
      </c>
      <c r="D105" s="25">
        <f>IF(A105="","",'Chart of Accounts'!D105)</f>
        <v/>
      </c>
      <c r="E105" s="26">
        <f>L105+O105+R105+U105+X105+AA105+AD105+AG105+AJ105</f>
        <v/>
      </c>
      <c r="F105" s="26">
        <f>M105+P105+S105+V105+Y105+AB105+AE105+AH105+AK105</f>
        <v/>
      </c>
      <c r="G105" s="26">
        <f>N105+Q105+T105+W105+Z105+AC105+AF105+AI105+AL105</f>
        <v/>
      </c>
      <c r="H105" s="26">
        <f>E105+F105-G105</f>
        <v/>
      </c>
      <c r="I105" s="26">
        <f>MAX(H105,0)</f>
        <v/>
      </c>
      <c r="J105" s="26">
        <f>MAX(-H105,0)</f>
        <v/>
      </c>
      <c r="L105" s="25">
        <f>IF($A105="",0,(SUMIFS('Direct Costs'!$R$5:$R$2005,'Direct Costs'!$V$5:$V$2005,$A105,'Direct Costs'!$A$5:$A$2005,"&lt;"&amp;ReportFrom)+SUMIFS('Direct Costs'!$S$5:$S$2005,'Direct Costs'!$Y$5:$Y$2005,$A105,'Direct Costs'!$A$5:$A$2005,"&lt;"&amp;ReportFrom))-(SUMIFS('Direct Costs'!$L$5:$L$2005,'Direct Costs'!$W$5:$W$2005,$A105,'Direct Costs'!$A$5:$A$2005,"&lt;"&amp;ReportFrom)+SUMIFS('Direct Costs'!$U$5:$U$2005,'Direct Costs'!$X$5:$X$2005,$A105,'Direct Costs'!$A$5:$A$2005,"&lt;"&amp;ReportFrom)+SUMIFS('Direct Costs'!$T$5:$T$2005,'Direct Costs'!$Z$5:$Z$2005,$A105,'Direct Costs'!$A$5:$A$2005,"&lt;"&amp;ReportFrom)))</f>
        <v/>
      </c>
      <c r="M105" s="25">
        <f>IF($A105="",0,SUMIFS('Direct Costs'!$R$5:$R$2005,'Direct Costs'!$V$5:$V$2005,$A105,'Direct Costs'!$A$5:$A$2005,"&gt;="&amp;ReportFrom,'Direct Costs'!$A$5:$A$2005,"&lt;="&amp;ReportTo)+SUMIFS('Direct Costs'!$S$5:$S$2005,'Direct Costs'!$Y$5:$Y$2005,$A105,'Direct Costs'!$A$5:$A$2005,"&gt;="&amp;ReportFrom,'Direct Costs'!$A$5:$A$2005,"&lt;="&amp;ReportTo))</f>
        <v/>
      </c>
      <c r="N105" s="25">
        <f>IF($A105="",0,SUMIFS('Direct Costs'!$L$5:$L$2005,'Direct Costs'!$W$5:$W$2005,$A105,'Direct Costs'!$A$5:$A$2005,"&gt;="&amp;ReportFrom,'Direct Costs'!$A$5:$A$2005,"&lt;="&amp;ReportTo)+SUMIFS('Direct Costs'!$U$5:$U$2005,'Direct Costs'!$X$5:$X$2005,$A105,'Direct Costs'!$A$5:$A$2005,"&gt;="&amp;ReportFrom,'Direct Costs'!$A$5:$A$2005,"&lt;="&amp;ReportTo)+SUMIFS('Direct Costs'!$T$5:$T$2005,'Direct Costs'!$Z$5:$Z$2005,$A105,'Direct Costs'!$A$5:$A$2005,"&gt;="&amp;ReportFrom,'Direct Costs'!$A$5:$A$2005,"&lt;="&amp;ReportTo))</f>
        <v/>
      </c>
      <c r="O105" s="25">
        <f>IF($A105="",0,(SUMIFS('Operating Expenses'!$F$5:$F$2005,'Operating Expenses'!$Q$5:$Q$2005,$A105,'Operating Expenses'!$A$5:$A$2005,"&lt;"&amp;ReportFrom)+SUMIFS('Operating Expenses'!$M$5:$M$2005,'Operating Expenses'!$T$5:$T$2005,$A105,'Operating Expenses'!$A$5:$A$2005,"&lt;"&amp;ReportFrom))-(SUMIFS('Operating Expenses'!$O$5:$O$2005,'Operating Expenses'!$R$5:$R$2005,$A105,'Operating Expenses'!$A$5:$A$2005,"&lt;"&amp;ReportFrom)+SUMIFS('Operating Expenses'!$P$5:$P$2005,'Operating Expenses'!$S$5:$S$2005,$A105,'Operating Expenses'!$A$5:$A$2005,"&lt;"&amp;ReportFrom)+SUMIFS('Operating Expenses'!$N$5:$N$2005,'Operating Expenses'!$U$5:$U$2005,$A105,'Operating Expenses'!$A$5:$A$2005,"&lt;"&amp;ReportFrom)))</f>
        <v/>
      </c>
      <c r="P105" s="25">
        <f>IF($A105="",0,SUMIFS('Operating Expenses'!$F$5:$F$2005,'Operating Expenses'!$Q$5:$Q$2005,$A105,'Operating Expenses'!$A$5:$A$2005,"&gt;="&amp;ReportFrom,'Operating Expenses'!$A$5:$A$2005,"&lt;="&amp;ReportTo)+SUMIFS('Operating Expenses'!$M$5:$M$2005,'Operating Expenses'!$T$5:$T$2005,$A105,'Operating Expenses'!$A$5:$A$2005,"&gt;="&amp;ReportFrom,'Operating Expenses'!$A$5:$A$2005,"&lt;="&amp;ReportTo))</f>
        <v/>
      </c>
      <c r="Q105" s="25">
        <f>IF($A105="",0,SUMIFS('Operating Expenses'!$O$5:$O$2005,'Operating Expenses'!$R$5:$R$2005,$A105,'Operating Expenses'!$A$5:$A$2005,"&gt;="&amp;ReportFrom,'Operating Expenses'!$A$5:$A$2005,"&lt;="&amp;ReportTo)+SUMIFS('Operating Expenses'!$P$5:$P$2005,'Operating Expenses'!$S$5:$S$2005,$A105,'Operating Expenses'!$A$5:$A$2005,"&gt;="&amp;ReportFrom,'Operating Expenses'!$A$5:$A$2005,"&lt;="&amp;ReportTo)+SUMIFS('Operating Expenses'!$N$5:$N$2005,'Operating Expenses'!$U$5:$U$2005,$A105,'Operating Expenses'!$A$5:$A$2005,"&gt;="&amp;ReportFrom,'Operating Expenses'!$A$5:$A$2005,"&lt;="&amp;ReportTo))</f>
        <v/>
      </c>
      <c r="R105" s="25">
        <f>IF($A105="",0,(SUMIFS('Payroll'!$O$5:$O$2005,'Payroll'!$Q$5:$Q$2005,$A105,'Payroll'!$A$5:$A$2005,"&lt;"&amp;ReportFrom))-(SUMIFS('Payroll'!$K$5:$K$2005,'Payroll'!$R$5:$R$2005,$A105,'Payroll'!$A$5:$A$2005,"&lt;"&amp;ReportFrom)+SUMIFS('Payroll'!$P$5:$P$2005,'Payroll'!$S$5:$S$2005,$A105,'Payroll'!$A$5:$A$2005,"&lt;"&amp;ReportFrom)))</f>
        <v/>
      </c>
      <c r="S105" s="25">
        <f>IF($A105="",0,SUMIFS('Payroll'!$O$5:$O$2005,'Payroll'!$Q$5:$Q$2005,$A105,'Payroll'!$A$5:$A$2005,"&gt;="&amp;ReportFrom,'Payroll'!$A$5:$A$2005,"&lt;="&amp;ReportTo))</f>
        <v/>
      </c>
      <c r="T105" s="25">
        <f>IF($A105="",0,SUMIFS('Payroll'!$K$5:$K$2005,'Payroll'!$R$5:$R$2005,$A105,'Payroll'!$A$5:$A$2005,"&gt;="&amp;ReportFrom,'Payroll'!$A$5:$A$2005,"&lt;="&amp;ReportTo)+SUMIFS('Payroll'!$P$5:$P$2005,'Payroll'!$S$5:$S$2005,$A105,'Payroll'!$A$5:$A$2005,"&gt;="&amp;ReportFrom,'Payroll'!$A$5:$A$2005,"&lt;="&amp;ReportTo))</f>
        <v/>
      </c>
      <c r="U105" s="25">
        <f>IF($A105="",0,(SUMIFS('Receipt Vouchers'!$F$5:$F$2005,'Receipt Vouchers'!$O$5:$O$2005,$A105,'Receipt Vouchers'!$A$5:$A$2005,"&lt;"&amp;ReportFrom)+SUMIFS('Receipt Vouchers'!$J$5:$J$2005,'Receipt Vouchers'!$Q$5:$Q$2005,$A105,'Receipt Vouchers'!$A$5:$A$2005,"&lt;"&amp;ReportFrom))-(SUMIFS('Receipt Vouchers'!$N$5:$N$2005,'Receipt Vouchers'!$P$5:$P$2005,$A105,'Receipt Vouchers'!$A$5:$A$2005,"&lt;"&amp;ReportFrom)+SUMIFS('Receipt Vouchers'!$M$5:$M$2005,'Receipt Vouchers'!$R$5:$R$2005,$A105,'Receipt Vouchers'!$A$5:$A$2005,"&lt;"&amp;ReportFrom)))</f>
        <v/>
      </c>
      <c r="V105" s="25">
        <f>IF($A105="",0,SUMIFS('Receipt Vouchers'!$F$5:$F$2005,'Receipt Vouchers'!$O$5:$O$2005,$A105,'Receipt Vouchers'!$A$5:$A$2005,"&gt;="&amp;ReportFrom,'Receipt Vouchers'!$A$5:$A$2005,"&lt;="&amp;ReportTo)+SUMIFS('Receipt Vouchers'!$J$5:$J$2005,'Receipt Vouchers'!$Q$5:$Q$2005,$A105,'Receipt Vouchers'!$A$5:$A$2005,"&gt;="&amp;ReportFrom,'Receipt Vouchers'!$A$5:$A$2005,"&lt;="&amp;ReportTo))</f>
        <v/>
      </c>
      <c r="W105" s="25">
        <f>IF($A105="",0,SUMIFS('Receipt Vouchers'!$N$5:$N$2005,'Receipt Vouchers'!$P$5:$P$2005,$A105,'Receipt Vouchers'!$A$5:$A$2005,"&gt;="&amp;ReportFrom,'Receipt Vouchers'!$A$5:$A$2005,"&lt;="&amp;ReportTo)+SUMIFS('Receipt Vouchers'!$M$5:$M$2005,'Receipt Vouchers'!$R$5:$R$2005,$A105,'Receipt Vouchers'!$A$5:$A$2005,"&gt;="&amp;ReportFrom,'Receipt Vouchers'!$A$5:$A$2005,"&lt;="&amp;ReportTo))</f>
        <v/>
      </c>
      <c r="X105" s="25">
        <f>IF($A105="",0,(SUMIFS('Sales Invoices'!$O$5:$O$2005,'Sales Invoices'!$P$5:$P$2005,$A105,'Sales Invoices'!$B$5:$B$2005,"&lt;"&amp;ReportFrom)+SUMIFS('Sales Invoices'!$N$5:$N$2005,'Sales Invoices'!$R$5:$R$2005,$A105,'Sales Invoices'!$B$5:$B$2005,"&lt;"&amp;ReportFrom))-(SUMIFS('Sales Invoices'!$L$5:$L$2005,'Sales Invoices'!$Q$5:$Q$2005,$A105,'Sales Invoices'!$B$5:$B$2005,"&lt;"&amp;ReportFrom)+SUMIFS('Sales Invoices'!$M$5:$M$2005,'Sales Invoices'!$S$5:$S$2005,$A105,'Sales Invoices'!$B$5:$B$2005,"&lt;"&amp;ReportFrom)))</f>
        <v/>
      </c>
      <c r="Y105" s="25">
        <f>IF($A105="",0,SUMIFS('Sales Invoices'!$O$5:$O$2005,'Sales Invoices'!$P$5:$P$2005,$A105,'Sales Invoices'!$B$5:$B$2005,"&gt;="&amp;ReportFrom,'Sales Invoices'!$B$5:$B$2005,"&lt;="&amp;ReportTo)+SUMIFS('Sales Invoices'!$N$5:$N$2005,'Sales Invoices'!$R$5:$R$2005,$A105,'Sales Invoices'!$B$5:$B$2005,"&gt;="&amp;ReportFrom,'Sales Invoices'!$B$5:$B$2005,"&lt;="&amp;ReportTo))</f>
        <v/>
      </c>
      <c r="Z105" s="25">
        <f>IF($A105="",0,SUMIFS('Sales Invoices'!$L$5:$L$2005,'Sales Invoices'!$Q$5:$Q$2005,$A105,'Sales Invoices'!$B$5:$B$2005,"&gt;="&amp;ReportFrom,'Sales Invoices'!$B$5:$B$2005,"&lt;="&amp;ReportTo)+SUMIFS('Sales Invoices'!$M$5:$M$2005,'Sales Invoices'!$S$5:$S$2005,$A105,'Sales Invoices'!$B$5:$B$2005,"&gt;="&amp;ReportFrom,'Sales Invoices'!$B$5:$B$2005,"&lt;="&amp;ReportTo))</f>
        <v/>
      </c>
      <c r="AA105" s="25">
        <f>IF($A105="",0,(SUMIFS('Payment Vouchers'!$D$5:$D$2005,'Payment Vouchers'!$J$5:$J$2005,$A105,'Payment Vouchers'!$A$5:$A$2005,"&lt;"&amp;ReportFrom))-(SUMIFS('Payment Vouchers'!$D$5:$D$2005,'Payment Vouchers'!$K$5:$K$2005,$A105,'Payment Vouchers'!$A$5:$A$2005,"&lt;"&amp;ReportFrom)))</f>
        <v/>
      </c>
      <c r="AB105" s="25">
        <f>IF($A105="",0,SUMIFS('Payment Vouchers'!$D$5:$D$2005,'Payment Vouchers'!$J$5:$J$2005,$A105,'Payment Vouchers'!$A$5:$A$2005,"&gt;="&amp;ReportFrom,'Payment Vouchers'!$A$5:$A$2005,"&lt;="&amp;ReportTo))</f>
        <v/>
      </c>
      <c r="AC105" s="25">
        <f>IF($A105="",0,SUMIFS('Payment Vouchers'!$D$5:$D$2005,'Payment Vouchers'!$K$5:$K$2005,$A105,'Payment Vouchers'!$A$5:$A$2005,"&gt;="&amp;ReportFrom,'Payment Vouchers'!$A$5:$A$2005,"&lt;="&amp;ReportTo))</f>
        <v/>
      </c>
      <c r="AD105" s="25">
        <f>IF($A105="",0,(SUMIFS('Partner Transactions'!$D$5:$D$2005,'Partner Transactions'!$L$5:$L$2005,$A105,'Partner Transactions'!$A$5:$A$2005,"&lt;"&amp;ReportFrom))-(SUMIFS('Partner Transactions'!$D$5:$D$2005,'Partner Transactions'!$M$5:$M$2005,$A105,'Partner Transactions'!$A$5:$A$2005,"&lt;"&amp;ReportFrom)))</f>
        <v/>
      </c>
      <c r="AE105" s="25">
        <f>IF($A105="",0,SUMIFS('Partner Transactions'!$D$5:$D$2005,'Partner Transactions'!$L$5:$L$2005,$A105,'Partner Transactions'!$A$5:$A$2005,"&gt;="&amp;ReportFrom,'Partner Transactions'!$A$5:$A$2005,"&lt;="&amp;ReportTo))</f>
        <v/>
      </c>
      <c r="AF105" s="25">
        <f>IF($A105="",0,SUMIFS('Partner Transactions'!$D$5:$D$2005,'Partner Transactions'!$M$5:$M$2005,$A105,'Partner Transactions'!$A$5:$A$2005,"&gt;="&amp;ReportFrom,'Partner Transactions'!$A$5:$A$2005,"&lt;="&amp;ReportTo))</f>
        <v/>
      </c>
      <c r="AG105" s="25">
        <f>IF($A105="",0,(SUMIFS('Stock Moves'!$S$5:$S$2005,'Stock Moves'!$AD$5:$AD$2005,$A105,'Stock Moves'!$A$5:$A$2005,"&lt;"&amp;ReportFrom)+SUMIFS('Stock Moves'!$T$5:$T$2005,'Stock Moves'!$V$5:$V$2005,$A105,'Stock Moves'!$A$5:$A$2005,"&lt;"&amp;ReportFrom))-(SUMIFS('Stock Moves'!$AF$5:$AF$2005,'Stock Moves'!$AE$5:$AE$2005,$A105,'Stock Moves'!$A$5:$A$2005,"&lt;"&amp;ReportFrom)+SUMIFS('Stock Moves'!$AC$5:$AC$2005,'Stock Moves'!$X$5:$X$2005,$A105,'Stock Moves'!$A$5:$A$2005,"&lt;"&amp;ReportFrom)+SUMIFS('Stock Moves'!$U$5:$U$2005,'Stock Moves'!$W$5:$W$2005,$A105,'Stock Moves'!$A$5:$A$2005,"&lt;"&amp;ReportFrom)))</f>
        <v/>
      </c>
      <c r="AH105" s="25">
        <f>IF($A105="",0,SUMIFS('Stock Moves'!$S$5:$S$2005,'Stock Moves'!$AD$5:$AD$2005,$A105,'Stock Moves'!$A$5:$A$2005,"&gt;="&amp;ReportFrom,'Stock Moves'!$A$5:$A$2005,"&lt;="&amp;ReportTo)+SUMIFS('Stock Moves'!$T$5:$T$2005,'Stock Moves'!$V$5:$V$2005,$A105,'Stock Moves'!$A$5:$A$2005,"&gt;="&amp;ReportFrom,'Stock Moves'!$A$5:$A$2005,"&lt;="&amp;ReportTo))</f>
        <v/>
      </c>
      <c r="AI105" s="25">
        <f>IF($A105="",0,SUMIFS('Stock Moves'!$AF$5:$AF$2005,'Stock Moves'!$AE$5:$AE$2005,$A105,'Stock Moves'!$A$5:$A$2005,"&gt;="&amp;ReportFrom,'Stock Moves'!$A$5:$A$2005,"&lt;="&amp;ReportTo)+SUMIFS('Stock Moves'!$AC$5:$AC$2005,'Stock Moves'!$X$5:$X$2005,$A105,'Stock Moves'!$A$5:$A$2005,"&gt;="&amp;ReportFrom,'Stock Moves'!$A$5:$A$2005,"&lt;="&amp;ReportTo)+SUMIFS('Stock Moves'!$U$5:$U$2005,'Stock Moves'!$W$5:$W$2005,$A105,'Stock Moves'!$A$5:$A$2005,"&gt;="&amp;ReportFrom,'Stock Moves'!$A$5:$A$2005,"&lt;="&amp;ReportTo))</f>
        <v/>
      </c>
      <c r="AJ105" s="25">
        <f>IF($A105="",0,(SUMIFS('Journal Vouchers'!$I$5:$I$2005,'Journal Vouchers'!$H$5:$H$2005,$A105,'Journal Vouchers'!$B$5:$B$2005,"&lt;"&amp;ReportFrom))-(SUMIFS('Journal Vouchers'!$J$5:$J$2005,'Journal Vouchers'!$H$5:$H$2005,$A105,'Journal Vouchers'!$B$5:$B$2005,"&lt;"&amp;ReportFrom)))</f>
        <v/>
      </c>
      <c r="AK105" s="25">
        <f>IF($A105="",0,SUMIFS('Journal Vouchers'!$I$5:$I$2005,'Journal Vouchers'!$H$5:$H$2005,$A105,'Journal Vouchers'!$B$5:$B$2005,"&gt;="&amp;ReportFrom,'Journal Vouchers'!$B$5:$B$2005,"&lt;="&amp;ReportTo))</f>
        <v/>
      </c>
      <c r="AL105" s="25">
        <f>IF($A105="",0,SUMIFS('Journal Vouchers'!$J$5:$J$2005,'Journal Vouchers'!$H$5:$H$2005,$A105,'Journal Vouchers'!$B$5:$B$2005,"&gt;="&amp;ReportFrom,'Journal Vouchers'!$B$5:$B$2005,"&lt;="&amp;ReportTo))</f>
        <v/>
      </c>
    </row>
    <row r="106">
      <c r="A106" s="25">
        <f>IF('Chart of Accounts'!A106="","",'Chart of Accounts'!A106&amp;"")</f>
        <v/>
      </c>
      <c r="B106" s="25">
        <f>IF(A106="","",'Chart of Accounts'!B106)</f>
        <v/>
      </c>
      <c r="C106" s="25">
        <f>IF(A106="","",'Chart of Accounts'!C106)</f>
        <v/>
      </c>
      <c r="D106" s="25">
        <f>IF(A106="","",'Chart of Accounts'!D106)</f>
        <v/>
      </c>
      <c r="E106" s="26">
        <f>L106+O106+R106+U106+X106+AA106+AD106+AG106+AJ106</f>
        <v/>
      </c>
      <c r="F106" s="26">
        <f>M106+P106+S106+V106+Y106+AB106+AE106+AH106+AK106</f>
        <v/>
      </c>
      <c r="G106" s="26">
        <f>N106+Q106+T106+W106+Z106+AC106+AF106+AI106+AL106</f>
        <v/>
      </c>
      <c r="H106" s="26">
        <f>E106+F106-G106</f>
        <v/>
      </c>
      <c r="I106" s="26">
        <f>MAX(H106,0)</f>
        <v/>
      </c>
      <c r="J106" s="26">
        <f>MAX(-H106,0)</f>
        <v/>
      </c>
      <c r="L106" s="25">
        <f>IF($A106="",0,(SUMIFS('Direct Costs'!$R$5:$R$2005,'Direct Costs'!$V$5:$V$2005,$A106,'Direct Costs'!$A$5:$A$2005,"&lt;"&amp;ReportFrom)+SUMIFS('Direct Costs'!$S$5:$S$2005,'Direct Costs'!$Y$5:$Y$2005,$A106,'Direct Costs'!$A$5:$A$2005,"&lt;"&amp;ReportFrom))-(SUMIFS('Direct Costs'!$L$5:$L$2005,'Direct Costs'!$W$5:$W$2005,$A106,'Direct Costs'!$A$5:$A$2005,"&lt;"&amp;ReportFrom)+SUMIFS('Direct Costs'!$U$5:$U$2005,'Direct Costs'!$X$5:$X$2005,$A106,'Direct Costs'!$A$5:$A$2005,"&lt;"&amp;ReportFrom)+SUMIFS('Direct Costs'!$T$5:$T$2005,'Direct Costs'!$Z$5:$Z$2005,$A106,'Direct Costs'!$A$5:$A$2005,"&lt;"&amp;ReportFrom)))</f>
        <v/>
      </c>
      <c r="M106" s="25">
        <f>IF($A106="",0,SUMIFS('Direct Costs'!$R$5:$R$2005,'Direct Costs'!$V$5:$V$2005,$A106,'Direct Costs'!$A$5:$A$2005,"&gt;="&amp;ReportFrom,'Direct Costs'!$A$5:$A$2005,"&lt;="&amp;ReportTo)+SUMIFS('Direct Costs'!$S$5:$S$2005,'Direct Costs'!$Y$5:$Y$2005,$A106,'Direct Costs'!$A$5:$A$2005,"&gt;="&amp;ReportFrom,'Direct Costs'!$A$5:$A$2005,"&lt;="&amp;ReportTo))</f>
        <v/>
      </c>
      <c r="N106" s="25">
        <f>IF($A106="",0,SUMIFS('Direct Costs'!$L$5:$L$2005,'Direct Costs'!$W$5:$W$2005,$A106,'Direct Costs'!$A$5:$A$2005,"&gt;="&amp;ReportFrom,'Direct Costs'!$A$5:$A$2005,"&lt;="&amp;ReportTo)+SUMIFS('Direct Costs'!$U$5:$U$2005,'Direct Costs'!$X$5:$X$2005,$A106,'Direct Costs'!$A$5:$A$2005,"&gt;="&amp;ReportFrom,'Direct Costs'!$A$5:$A$2005,"&lt;="&amp;ReportTo)+SUMIFS('Direct Costs'!$T$5:$T$2005,'Direct Costs'!$Z$5:$Z$2005,$A106,'Direct Costs'!$A$5:$A$2005,"&gt;="&amp;ReportFrom,'Direct Costs'!$A$5:$A$2005,"&lt;="&amp;ReportTo))</f>
        <v/>
      </c>
      <c r="O106" s="25">
        <f>IF($A106="",0,(SUMIFS('Operating Expenses'!$F$5:$F$2005,'Operating Expenses'!$Q$5:$Q$2005,$A106,'Operating Expenses'!$A$5:$A$2005,"&lt;"&amp;ReportFrom)+SUMIFS('Operating Expenses'!$M$5:$M$2005,'Operating Expenses'!$T$5:$T$2005,$A106,'Operating Expenses'!$A$5:$A$2005,"&lt;"&amp;ReportFrom))-(SUMIFS('Operating Expenses'!$O$5:$O$2005,'Operating Expenses'!$R$5:$R$2005,$A106,'Operating Expenses'!$A$5:$A$2005,"&lt;"&amp;ReportFrom)+SUMIFS('Operating Expenses'!$P$5:$P$2005,'Operating Expenses'!$S$5:$S$2005,$A106,'Operating Expenses'!$A$5:$A$2005,"&lt;"&amp;ReportFrom)+SUMIFS('Operating Expenses'!$N$5:$N$2005,'Operating Expenses'!$U$5:$U$2005,$A106,'Operating Expenses'!$A$5:$A$2005,"&lt;"&amp;ReportFrom)))</f>
        <v/>
      </c>
      <c r="P106" s="25">
        <f>IF($A106="",0,SUMIFS('Operating Expenses'!$F$5:$F$2005,'Operating Expenses'!$Q$5:$Q$2005,$A106,'Operating Expenses'!$A$5:$A$2005,"&gt;="&amp;ReportFrom,'Operating Expenses'!$A$5:$A$2005,"&lt;="&amp;ReportTo)+SUMIFS('Operating Expenses'!$M$5:$M$2005,'Operating Expenses'!$T$5:$T$2005,$A106,'Operating Expenses'!$A$5:$A$2005,"&gt;="&amp;ReportFrom,'Operating Expenses'!$A$5:$A$2005,"&lt;="&amp;ReportTo))</f>
        <v/>
      </c>
      <c r="Q106" s="25">
        <f>IF($A106="",0,SUMIFS('Operating Expenses'!$O$5:$O$2005,'Operating Expenses'!$R$5:$R$2005,$A106,'Operating Expenses'!$A$5:$A$2005,"&gt;="&amp;ReportFrom,'Operating Expenses'!$A$5:$A$2005,"&lt;="&amp;ReportTo)+SUMIFS('Operating Expenses'!$P$5:$P$2005,'Operating Expenses'!$S$5:$S$2005,$A106,'Operating Expenses'!$A$5:$A$2005,"&gt;="&amp;ReportFrom,'Operating Expenses'!$A$5:$A$2005,"&lt;="&amp;ReportTo)+SUMIFS('Operating Expenses'!$N$5:$N$2005,'Operating Expenses'!$U$5:$U$2005,$A106,'Operating Expenses'!$A$5:$A$2005,"&gt;="&amp;ReportFrom,'Operating Expenses'!$A$5:$A$2005,"&lt;="&amp;ReportTo))</f>
        <v/>
      </c>
      <c r="R106" s="25">
        <f>IF($A106="",0,(SUMIFS('Payroll'!$O$5:$O$2005,'Payroll'!$Q$5:$Q$2005,$A106,'Payroll'!$A$5:$A$2005,"&lt;"&amp;ReportFrom))-(SUMIFS('Payroll'!$K$5:$K$2005,'Payroll'!$R$5:$R$2005,$A106,'Payroll'!$A$5:$A$2005,"&lt;"&amp;ReportFrom)+SUMIFS('Payroll'!$P$5:$P$2005,'Payroll'!$S$5:$S$2005,$A106,'Payroll'!$A$5:$A$2005,"&lt;"&amp;ReportFrom)))</f>
        <v/>
      </c>
      <c r="S106" s="25">
        <f>IF($A106="",0,SUMIFS('Payroll'!$O$5:$O$2005,'Payroll'!$Q$5:$Q$2005,$A106,'Payroll'!$A$5:$A$2005,"&gt;="&amp;ReportFrom,'Payroll'!$A$5:$A$2005,"&lt;="&amp;ReportTo))</f>
        <v/>
      </c>
      <c r="T106" s="25">
        <f>IF($A106="",0,SUMIFS('Payroll'!$K$5:$K$2005,'Payroll'!$R$5:$R$2005,$A106,'Payroll'!$A$5:$A$2005,"&gt;="&amp;ReportFrom,'Payroll'!$A$5:$A$2005,"&lt;="&amp;ReportTo)+SUMIFS('Payroll'!$P$5:$P$2005,'Payroll'!$S$5:$S$2005,$A106,'Payroll'!$A$5:$A$2005,"&gt;="&amp;ReportFrom,'Payroll'!$A$5:$A$2005,"&lt;="&amp;ReportTo))</f>
        <v/>
      </c>
      <c r="U106" s="25">
        <f>IF($A106="",0,(SUMIFS('Receipt Vouchers'!$F$5:$F$2005,'Receipt Vouchers'!$O$5:$O$2005,$A106,'Receipt Vouchers'!$A$5:$A$2005,"&lt;"&amp;ReportFrom)+SUMIFS('Receipt Vouchers'!$J$5:$J$2005,'Receipt Vouchers'!$Q$5:$Q$2005,$A106,'Receipt Vouchers'!$A$5:$A$2005,"&lt;"&amp;ReportFrom))-(SUMIFS('Receipt Vouchers'!$N$5:$N$2005,'Receipt Vouchers'!$P$5:$P$2005,$A106,'Receipt Vouchers'!$A$5:$A$2005,"&lt;"&amp;ReportFrom)+SUMIFS('Receipt Vouchers'!$M$5:$M$2005,'Receipt Vouchers'!$R$5:$R$2005,$A106,'Receipt Vouchers'!$A$5:$A$2005,"&lt;"&amp;ReportFrom)))</f>
        <v/>
      </c>
      <c r="V106" s="25">
        <f>IF($A106="",0,SUMIFS('Receipt Vouchers'!$F$5:$F$2005,'Receipt Vouchers'!$O$5:$O$2005,$A106,'Receipt Vouchers'!$A$5:$A$2005,"&gt;="&amp;ReportFrom,'Receipt Vouchers'!$A$5:$A$2005,"&lt;="&amp;ReportTo)+SUMIFS('Receipt Vouchers'!$J$5:$J$2005,'Receipt Vouchers'!$Q$5:$Q$2005,$A106,'Receipt Vouchers'!$A$5:$A$2005,"&gt;="&amp;ReportFrom,'Receipt Vouchers'!$A$5:$A$2005,"&lt;="&amp;ReportTo))</f>
        <v/>
      </c>
      <c r="W106" s="25">
        <f>IF($A106="",0,SUMIFS('Receipt Vouchers'!$N$5:$N$2005,'Receipt Vouchers'!$P$5:$P$2005,$A106,'Receipt Vouchers'!$A$5:$A$2005,"&gt;="&amp;ReportFrom,'Receipt Vouchers'!$A$5:$A$2005,"&lt;="&amp;ReportTo)+SUMIFS('Receipt Vouchers'!$M$5:$M$2005,'Receipt Vouchers'!$R$5:$R$2005,$A106,'Receipt Vouchers'!$A$5:$A$2005,"&gt;="&amp;ReportFrom,'Receipt Vouchers'!$A$5:$A$2005,"&lt;="&amp;ReportTo))</f>
        <v/>
      </c>
      <c r="X106" s="25">
        <f>IF($A106="",0,(SUMIFS('Sales Invoices'!$O$5:$O$2005,'Sales Invoices'!$P$5:$P$2005,$A106,'Sales Invoices'!$B$5:$B$2005,"&lt;"&amp;ReportFrom)+SUMIFS('Sales Invoices'!$N$5:$N$2005,'Sales Invoices'!$R$5:$R$2005,$A106,'Sales Invoices'!$B$5:$B$2005,"&lt;"&amp;ReportFrom))-(SUMIFS('Sales Invoices'!$L$5:$L$2005,'Sales Invoices'!$Q$5:$Q$2005,$A106,'Sales Invoices'!$B$5:$B$2005,"&lt;"&amp;ReportFrom)+SUMIFS('Sales Invoices'!$M$5:$M$2005,'Sales Invoices'!$S$5:$S$2005,$A106,'Sales Invoices'!$B$5:$B$2005,"&lt;"&amp;ReportFrom)))</f>
        <v/>
      </c>
      <c r="Y106" s="25">
        <f>IF($A106="",0,SUMIFS('Sales Invoices'!$O$5:$O$2005,'Sales Invoices'!$P$5:$P$2005,$A106,'Sales Invoices'!$B$5:$B$2005,"&gt;="&amp;ReportFrom,'Sales Invoices'!$B$5:$B$2005,"&lt;="&amp;ReportTo)+SUMIFS('Sales Invoices'!$N$5:$N$2005,'Sales Invoices'!$R$5:$R$2005,$A106,'Sales Invoices'!$B$5:$B$2005,"&gt;="&amp;ReportFrom,'Sales Invoices'!$B$5:$B$2005,"&lt;="&amp;ReportTo))</f>
        <v/>
      </c>
      <c r="Z106" s="25">
        <f>IF($A106="",0,SUMIFS('Sales Invoices'!$L$5:$L$2005,'Sales Invoices'!$Q$5:$Q$2005,$A106,'Sales Invoices'!$B$5:$B$2005,"&gt;="&amp;ReportFrom,'Sales Invoices'!$B$5:$B$2005,"&lt;="&amp;ReportTo)+SUMIFS('Sales Invoices'!$M$5:$M$2005,'Sales Invoices'!$S$5:$S$2005,$A106,'Sales Invoices'!$B$5:$B$2005,"&gt;="&amp;ReportFrom,'Sales Invoices'!$B$5:$B$2005,"&lt;="&amp;ReportTo))</f>
        <v/>
      </c>
      <c r="AA106" s="25">
        <f>IF($A106="",0,(SUMIFS('Payment Vouchers'!$D$5:$D$2005,'Payment Vouchers'!$J$5:$J$2005,$A106,'Payment Vouchers'!$A$5:$A$2005,"&lt;"&amp;ReportFrom))-(SUMIFS('Payment Vouchers'!$D$5:$D$2005,'Payment Vouchers'!$K$5:$K$2005,$A106,'Payment Vouchers'!$A$5:$A$2005,"&lt;"&amp;ReportFrom)))</f>
        <v/>
      </c>
      <c r="AB106" s="25">
        <f>IF($A106="",0,SUMIFS('Payment Vouchers'!$D$5:$D$2005,'Payment Vouchers'!$J$5:$J$2005,$A106,'Payment Vouchers'!$A$5:$A$2005,"&gt;="&amp;ReportFrom,'Payment Vouchers'!$A$5:$A$2005,"&lt;="&amp;ReportTo))</f>
        <v/>
      </c>
      <c r="AC106" s="25">
        <f>IF($A106="",0,SUMIFS('Payment Vouchers'!$D$5:$D$2005,'Payment Vouchers'!$K$5:$K$2005,$A106,'Payment Vouchers'!$A$5:$A$2005,"&gt;="&amp;ReportFrom,'Payment Vouchers'!$A$5:$A$2005,"&lt;="&amp;ReportTo))</f>
        <v/>
      </c>
      <c r="AD106" s="25">
        <f>IF($A106="",0,(SUMIFS('Partner Transactions'!$D$5:$D$2005,'Partner Transactions'!$L$5:$L$2005,$A106,'Partner Transactions'!$A$5:$A$2005,"&lt;"&amp;ReportFrom))-(SUMIFS('Partner Transactions'!$D$5:$D$2005,'Partner Transactions'!$M$5:$M$2005,$A106,'Partner Transactions'!$A$5:$A$2005,"&lt;"&amp;ReportFrom)))</f>
        <v/>
      </c>
      <c r="AE106" s="25">
        <f>IF($A106="",0,SUMIFS('Partner Transactions'!$D$5:$D$2005,'Partner Transactions'!$L$5:$L$2005,$A106,'Partner Transactions'!$A$5:$A$2005,"&gt;="&amp;ReportFrom,'Partner Transactions'!$A$5:$A$2005,"&lt;="&amp;ReportTo))</f>
        <v/>
      </c>
      <c r="AF106" s="25">
        <f>IF($A106="",0,SUMIFS('Partner Transactions'!$D$5:$D$2005,'Partner Transactions'!$M$5:$M$2005,$A106,'Partner Transactions'!$A$5:$A$2005,"&gt;="&amp;ReportFrom,'Partner Transactions'!$A$5:$A$2005,"&lt;="&amp;ReportTo))</f>
        <v/>
      </c>
      <c r="AG106" s="25">
        <f>IF($A106="",0,(SUMIFS('Stock Moves'!$S$5:$S$2005,'Stock Moves'!$AD$5:$AD$2005,$A106,'Stock Moves'!$A$5:$A$2005,"&lt;"&amp;ReportFrom)+SUMIFS('Stock Moves'!$T$5:$T$2005,'Stock Moves'!$V$5:$V$2005,$A106,'Stock Moves'!$A$5:$A$2005,"&lt;"&amp;ReportFrom))-(SUMIFS('Stock Moves'!$AF$5:$AF$2005,'Stock Moves'!$AE$5:$AE$2005,$A106,'Stock Moves'!$A$5:$A$2005,"&lt;"&amp;ReportFrom)+SUMIFS('Stock Moves'!$AC$5:$AC$2005,'Stock Moves'!$X$5:$X$2005,$A106,'Stock Moves'!$A$5:$A$2005,"&lt;"&amp;ReportFrom)+SUMIFS('Stock Moves'!$U$5:$U$2005,'Stock Moves'!$W$5:$W$2005,$A106,'Stock Moves'!$A$5:$A$2005,"&lt;"&amp;ReportFrom)))</f>
        <v/>
      </c>
      <c r="AH106" s="25">
        <f>IF($A106="",0,SUMIFS('Stock Moves'!$S$5:$S$2005,'Stock Moves'!$AD$5:$AD$2005,$A106,'Stock Moves'!$A$5:$A$2005,"&gt;="&amp;ReportFrom,'Stock Moves'!$A$5:$A$2005,"&lt;="&amp;ReportTo)+SUMIFS('Stock Moves'!$T$5:$T$2005,'Stock Moves'!$V$5:$V$2005,$A106,'Stock Moves'!$A$5:$A$2005,"&gt;="&amp;ReportFrom,'Stock Moves'!$A$5:$A$2005,"&lt;="&amp;ReportTo))</f>
        <v/>
      </c>
      <c r="AI106" s="25">
        <f>IF($A106="",0,SUMIFS('Stock Moves'!$AF$5:$AF$2005,'Stock Moves'!$AE$5:$AE$2005,$A106,'Stock Moves'!$A$5:$A$2005,"&gt;="&amp;ReportFrom,'Stock Moves'!$A$5:$A$2005,"&lt;="&amp;ReportTo)+SUMIFS('Stock Moves'!$AC$5:$AC$2005,'Stock Moves'!$X$5:$X$2005,$A106,'Stock Moves'!$A$5:$A$2005,"&gt;="&amp;ReportFrom,'Stock Moves'!$A$5:$A$2005,"&lt;="&amp;ReportTo)+SUMIFS('Stock Moves'!$U$5:$U$2005,'Stock Moves'!$W$5:$W$2005,$A106,'Stock Moves'!$A$5:$A$2005,"&gt;="&amp;ReportFrom,'Stock Moves'!$A$5:$A$2005,"&lt;="&amp;ReportTo))</f>
        <v/>
      </c>
      <c r="AJ106" s="25">
        <f>IF($A106="",0,(SUMIFS('Journal Vouchers'!$I$5:$I$2005,'Journal Vouchers'!$H$5:$H$2005,$A106,'Journal Vouchers'!$B$5:$B$2005,"&lt;"&amp;ReportFrom))-(SUMIFS('Journal Vouchers'!$J$5:$J$2005,'Journal Vouchers'!$H$5:$H$2005,$A106,'Journal Vouchers'!$B$5:$B$2005,"&lt;"&amp;ReportFrom)))</f>
        <v/>
      </c>
      <c r="AK106" s="25">
        <f>IF($A106="",0,SUMIFS('Journal Vouchers'!$I$5:$I$2005,'Journal Vouchers'!$H$5:$H$2005,$A106,'Journal Vouchers'!$B$5:$B$2005,"&gt;="&amp;ReportFrom,'Journal Vouchers'!$B$5:$B$2005,"&lt;="&amp;ReportTo))</f>
        <v/>
      </c>
      <c r="AL106" s="25">
        <f>IF($A106="",0,SUMIFS('Journal Vouchers'!$J$5:$J$2005,'Journal Vouchers'!$H$5:$H$2005,$A106,'Journal Vouchers'!$B$5:$B$2005,"&gt;="&amp;ReportFrom,'Journal Vouchers'!$B$5:$B$2005,"&lt;="&amp;ReportTo))</f>
        <v/>
      </c>
    </row>
    <row r="107">
      <c r="A107" s="25">
        <f>IF('Chart of Accounts'!A107="","",'Chart of Accounts'!A107&amp;"")</f>
        <v/>
      </c>
      <c r="B107" s="25">
        <f>IF(A107="","",'Chart of Accounts'!B107)</f>
        <v/>
      </c>
      <c r="C107" s="25">
        <f>IF(A107="","",'Chart of Accounts'!C107)</f>
        <v/>
      </c>
      <c r="D107" s="25">
        <f>IF(A107="","",'Chart of Accounts'!D107)</f>
        <v/>
      </c>
      <c r="E107" s="26">
        <f>L107+O107+R107+U107+X107+AA107+AD107+AG107+AJ107</f>
        <v/>
      </c>
      <c r="F107" s="26">
        <f>M107+P107+S107+V107+Y107+AB107+AE107+AH107+AK107</f>
        <v/>
      </c>
      <c r="G107" s="26">
        <f>N107+Q107+T107+W107+Z107+AC107+AF107+AI107+AL107</f>
        <v/>
      </c>
      <c r="H107" s="26">
        <f>E107+F107-G107</f>
        <v/>
      </c>
      <c r="I107" s="26">
        <f>MAX(H107,0)</f>
        <v/>
      </c>
      <c r="J107" s="26">
        <f>MAX(-H107,0)</f>
        <v/>
      </c>
      <c r="L107" s="25">
        <f>IF($A107="",0,(SUMIFS('Direct Costs'!$R$5:$R$2005,'Direct Costs'!$V$5:$V$2005,$A107,'Direct Costs'!$A$5:$A$2005,"&lt;"&amp;ReportFrom)+SUMIFS('Direct Costs'!$S$5:$S$2005,'Direct Costs'!$Y$5:$Y$2005,$A107,'Direct Costs'!$A$5:$A$2005,"&lt;"&amp;ReportFrom))-(SUMIFS('Direct Costs'!$L$5:$L$2005,'Direct Costs'!$W$5:$W$2005,$A107,'Direct Costs'!$A$5:$A$2005,"&lt;"&amp;ReportFrom)+SUMIFS('Direct Costs'!$U$5:$U$2005,'Direct Costs'!$X$5:$X$2005,$A107,'Direct Costs'!$A$5:$A$2005,"&lt;"&amp;ReportFrom)+SUMIFS('Direct Costs'!$T$5:$T$2005,'Direct Costs'!$Z$5:$Z$2005,$A107,'Direct Costs'!$A$5:$A$2005,"&lt;"&amp;ReportFrom)))</f>
        <v/>
      </c>
      <c r="M107" s="25">
        <f>IF($A107="",0,SUMIFS('Direct Costs'!$R$5:$R$2005,'Direct Costs'!$V$5:$V$2005,$A107,'Direct Costs'!$A$5:$A$2005,"&gt;="&amp;ReportFrom,'Direct Costs'!$A$5:$A$2005,"&lt;="&amp;ReportTo)+SUMIFS('Direct Costs'!$S$5:$S$2005,'Direct Costs'!$Y$5:$Y$2005,$A107,'Direct Costs'!$A$5:$A$2005,"&gt;="&amp;ReportFrom,'Direct Costs'!$A$5:$A$2005,"&lt;="&amp;ReportTo))</f>
        <v/>
      </c>
      <c r="N107" s="25">
        <f>IF($A107="",0,SUMIFS('Direct Costs'!$L$5:$L$2005,'Direct Costs'!$W$5:$W$2005,$A107,'Direct Costs'!$A$5:$A$2005,"&gt;="&amp;ReportFrom,'Direct Costs'!$A$5:$A$2005,"&lt;="&amp;ReportTo)+SUMIFS('Direct Costs'!$U$5:$U$2005,'Direct Costs'!$X$5:$X$2005,$A107,'Direct Costs'!$A$5:$A$2005,"&gt;="&amp;ReportFrom,'Direct Costs'!$A$5:$A$2005,"&lt;="&amp;ReportTo)+SUMIFS('Direct Costs'!$T$5:$T$2005,'Direct Costs'!$Z$5:$Z$2005,$A107,'Direct Costs'!$A$5:$A$2005,"&gt;="&amp;ReportFrom,'Direct Costs'!$A$5:$A$2005,"&lt;="&amp;ReportTo))</f>
        <v/>
      </c>
      <c r="O107" s="25">
        <f>IF($A107="",0,(SUMIFS('Operating Expenses'!$F$5:$F$2005,'Operating Expenses'!$Q$5:$Q$2005,$A107,'Operating Expenses'!$A$5:$A$2005,"&lt;"&amp;ReportFrom)+SUMIFS('Operating Expenses'!$M$5:$M$2005,'Operating Expenses'!$T$5:$T$2005,$A107,'Operating Expenses'!$A$5:$A$2005,"&lt;"&amp;ReportFrom))-(SUMIFS('Operating Expenses'!$O$5:$O$2005,'Operating Expenses'!$R$5:$R$2005,$A107,'Operating Expenses'!$A$5:$A$2005,"&lt;"&amp;ReportFrom)+SUMIFS('Operating Expenses'!$P$5:$P$2005,'Operating Expenses'!$S$5:$S$2005,$A107,'Operating Expenses'!$A$5:$A$2005,"&lt;"&amp;ReportFrom)+SUMIFS('Operating Expenses'!$N$5:$N$2005,'Operating Expenses'!$U$5:$U$2005,$A107,'Operating Expenses'!$A$5:$A$2005,"&lt;"&amp;ReportFrom)))</f>
        <v/>
      </c>
      <c r="P107" s="25">
        <f>IF($A107="",0,SUMIFS('Operating Expenses'!$F$5:$F$2005,'Operating Expenses'!$Q$5:$Q$2005,$A107,'Operating Expenses'!$A$5:$A$2005,"&gt;="&amp;ReportFrom,'Operating Expenses'!$A$5:$A$2005,"&lt;="&amp;ReportTo)+SUMIFS('Operating Expenses'!$M$5:$M$2005,'Operating Expenses'!$T$5:$T$2005,$A107,'Operating Expenses'!$A$5:$A$2005,"&gt;="&amp;ReportFrom,'Operating Expenses'!$A$5:$A$2005,"&lt;="&amp;ReportTo))</f>
        <v/>
      </c>
      <c r="Q107" s="25">
        <f>IF($A107="",0,SUMIFS('Operating Expenses'!$O$5:$O$2005,'Operating Expenses'!$R$5:$R$2005,$A107,'Operating Expenses'!$A$5:$A$2005,"&gt;="&amp;ReportFrom,'Operating Expenses'!$A$5:$A$2005,"&lt;="&amp;ReportTo)+SUMIFS('Operating Expenses'!$P$5:$P$2005,'Operating Expenses'!$S$5:$S$2005,$A107,'Operating Expenses'!$A$5:$A$2005,"&gt;="&amp;ReportFrom,'Operating Expenses'!$A$5:$A$2005,"&lt;="&amp;ReportTo)+SUMIFS('Operating Expenses'!$N$5:$N$2005,'Operating Expenses'!$U$5:$U$2005,$A107,'Operating Expenses'!$A$5:$A$2005,"&gt;="&amp;ReportFrom,'Operating Expenses'!$A$5:$A$2005,"&lt;="&amp;ReportTo))</f>
        <v/>
      </c>
      <c r="R107" s="25">
        <f>IF($A107="",0,(SUMIFS('Payroll'!$O$5:$O$2005,'Payroll'!$Q$5:$Q$2005,$A107,'Payroll'!$A$5:$A$2005,"&lt;"&amp;ReportFrom))-(SUMIFS('Payroll'!$K$5:$K$2005,'Payroll'!$R$5:$R$2005,$A107,'Payroll'!$A$5:$A$2005,"&lt;"&amp;ReportFrom)+SUMIFS('Payroll'!$P$5:$P$2005,'Payroll'!$S$5:$S$2005,$A107,'Payroll'!$A$5:$A$2005,"&lt;"&amp;ReportFrom)))</f>
        <v/>
      </c>
      <c r="S107" s="25">
        <f>IF($A107="",0,SUMIFS('Payroll'!$O$5:$O$2005,'Payroll'!$Q$5:$Q$2005,$A107,'Payroll'!$A$5:$A$2005,"&gt;="&amp;ReportFrom,'Payroll'!$A$5:$A$2005,"&lt;="&amp;ReportTo))</f>
        <v/>
      </c>
      <c r="T107" s="25">
        <f>IF($A107="",0,SUMIFS('Payroll'!$K$5:$K$2005,'Payroll'!$R$5:$R$2005,$A107,'Payroll'!$A$5:$A$2005,"&gt;="&amp;ReportFrom,'Payroll'!$A$5:$A$2005,"&lt;="&amp;ReportTo)+SUMIFS('Payroll'!$P$5:$P$2005,'Payroll'!$S$5:$S$2005,$A107,'Payroll'!$A$5:$A$2005,"&gt;="&amp;ReportFrom,'Payroll'!$A$5:$A$2005,"&lt;="&amp;ReportTo))</f>
        <v/>
      </c>
      <c r="U107" s="25">
        <f>IF($A107="",0,(SUMIFS('Receipt Vouchers'!$F$5:$F$2005,'Receipt Vouchers'!$O$5:$O$2005,$A107,'Receipt Vouchers'!$A$5:$A$2005,"&lt;"&amp;ReportFrom)+SUMIFS('Receipt Vouchers'!$J$5:$J$2005,'Receipt Vouchers'!$Q$5:$Q$2005,$A107,'Receipt Vouchers'!$A$5:$A$2005,"&lt;"&amp;ReportFrom))-(SUMIFS('Receipt Vouchers'!$N$5:$N$2005,'Receipt Vouchers'!$P$5:$P$2005,$A107,'Receipt Vouchers'!$A$5:$A$2005,"&lt;"&amp;ReportFrom)+SUMIFS('Receipt Vouchers'!$M$5:$M$2005,'Receipt Vouchers'!$R$5:$R$2005,$A107,'Receipt Vouchers'!$A$5:$A$2005,"&lt;"&amp;ReportFrom)))</f>
        <v/>
      </c>
      <c r="V107" s="25">
        <f>IF($A107="",0,SUMIFS('Receipt Vouchers'!$F$5:$F$2005,'Receipt Vouchers'!$O$5:$O$2005,$A107,'Receipt Vouchers'!$A$5:$A$2005,"&gt;="&amp;ReportFrom,'Receipt Vouchers'!$A$5:$A$2005,"&lt;="&amp;ReportTo)+SUMIFS('Receipt Vouchers'!$J$5:$J$2005,'Receipt Vouchers'!$Q$5:$Q$2005,$A107,'Receipt Vouchers'!$A$5:$A$2005,"&gt;="&amp;ReportFrom,'Receipt Vouchers'!$A$5:$A$2005,"&lt;="&amp;ReportTo))</f>
        <v/>
      </c>
      <c r="W107" s="25">
        <f>IF($A107="",0,SUMIFS('Receipt Vouchers'!$N$5:$N$2005,'Receipt Vouchers'!$P$5:$P$2005,$A107,'Receipt Vouchers'!$A$5:$A$2005,"&gt;="&amp;ReportFrom,'Receipt Vouchers'!$A$5:$A$2005,"&lt;="&amp;ReportTo)+SUMIFS('Receipt Vouchers'!$M$5:$M$2005,'Receipt Vouchers'!$R$5:$R$2005,$A107,'Receipt Vouchers'!$A$5:$A$2005,"&gt;="&amp;ReportFrom,'Receipt Vouchers'!$A$5:$A$2005,"&lt;="&amp;ReportTo))</f>
        <v/>
      </c>
      <c r="X107" s="25">
        <f>IF($A107="",0,(SUMIFS('Sales Invoices'!$O$5:$O$2005,'Sales Invoices'!$P$5:$P$2005,$A107,'Sales Invoices'!$B$5:$B$2005,"&lt;"&amp;ReportFrom)+SUMIFS('Sales Invoices'!$N$5:$N$2005,'Sales Invoices'!$R$5:$R$2005,$A107,'Sales Invoices'!$B$5:$B$2005,"&lt;"&amp;ReportFrom))-(SUMIFS('Sales Invoices'!$L$5:$L$2005,'Sales Invoices'!$Q$5:$Q$2005,$A107,'Sales Invoices'!$B$5:$B$2005,"&lt;"&amp;ReportFrom)+SUMIFS('Sales Invoices'!$M$5:$M$2005,'Sales Invoices'!$S$5:$S$2005,$A107,'Sales Invoices'!$B$5:$B$2005,"&lt;"&amp;ReportFrom)))</f>
        <v/>
      </c>
      <c r="Y107" s="25">
        <f>IF($A107="",0,SUMIFS('Sales Invoices'!$O$5:$O$2005,'Sales Invoices'!$P$5:$P$2005,$A107,'Sales Invoices'!$B$5:$B$2005,"&gt;="&amp;ReportFrom,'Sales Invoices'!$B$5:$B$2005,"&lt;="&amp;ReportTo)+SUMIFS('Sales Invoices'!$N$5:$N$2005,'Sales Invoices'!$R$5:$R$2005,$A107,'Sales Invoices'!$B$5:$B$2005,"&gt;="&amp;ReportFrom,'Sales Invoices'!$B$5:$B$2005,"&lt;="&amp;ReportTo))</f>
        <v/>
      </c>
      <c r="Z107" s="25">
        <f>IF($A107="",0,SUMIFS('Sales Invoices'!$L$5:$L$2005,'Sales Invoices'!$Q$5:$Q$2005,$A107,'Sales Invoices'!$B$5:$B$2005,"&gt;="&amp;ReportFrom,'Sales Invoices'!$B$5:$B$2005,"&lt;="&amp;ReportTo)+SUMIFS('Sales Invoices'!$M$5:$M$2005,'Sales Invoices'!$S$5:$S$2005,$A107,'Sales Invoices'!$B$5:$B$2005,"&gt;="&amp;ReportFrom,'Sales Invoices'!$B$5:$B$2005,"&lt;="&amp;ReportTo))</f>
        <v/>
      </c>
      <c r="AA107" s="25">
        <f>IF($A107="",0,(SUMIFS('Payment Vouchers'!$D$5:$D$2005,'Payment Vouchers'!$J$5:$J$2005,$A107,'Payment Vouchers'!$A$5:$A$2005,"&lt;"&amp;ReportFrom))-(SUMIFS('Payment Vouchers'!$D$5:$D$2005,'Payment Vouchers'!$K$5:$K$2005,$A107,'Payment Vouchers'!$A$5:$A$2005,"&lt;"&amp;ReportFrom)))</f>
        <v/>
      </c>
      <c r="AB107" s="25">
        <f>IF($A107="",0,SUMIFS('Payment Vouchers'!$D$5:$D$2005,'Payment Vouchers'!$J$5:$J$2005,$A107,'Payment Vouchers'!$A$5:$A$2005,"&gt;="&amp;ReportFrom,'Payment Vouchers'!$A$5:$A$2005,"&lt;="&amp;ReportTo))</f>
        <v/>
      </c>
      <c r="AC107" s="25">
        <f>IF($A107="",0,SUMIFS('Payment Vouchers'!$D$5:$D$2005,'Payment Vouchers'!$K$5:$K$2005,$A107,'Payment Vouchers'!$A$5:$A$2005,"&gt;="&amp;ReportFrom,'Payment Vouchers'!$A$5:$A$2005,"&lt;="&amp;ReportTo))</f>
        <v/>
      </c>
      <c r="AD107" s="25">
        <f>IF($A107="",0,(SUMIFS('Partner Transactions'!$D$5:$D$2005,'Partner Transactions'!$L$5:$L$2005,$A107,'Partner Transactions'!$A$5:$A$2005,"&lt;"&amp;ReportFrom))-(SUMIFS('Partner Transactions'!$D$5:$D$2005,'Partner Transactions'!$M$5:$M$2005,$A107,'Partner Transactions'!$A$5:$A$2005,"&lt;"&amp;ReportFrom)))</f>
        <v/>
      </c>
      <c r="AE107" s="25">
        <f>IF($A107="",0,SUMIFS('Partner Transactions'!$D$5:$D$2005,'Partner Transactions'!$L$5:$L$2005,$A107,'Partner Transactions'!$A$5:$A$2005,"&gt;="&amp;ReportFrom,'Partner Transactions'!$A$5:$A$2005,"&lt;="&amp;ReportTo))</f>
        <v/>
      </c>
      <c r="AF107" s="25">
        <f>IF($A107="",0,SUMIFS('Partner Transactions'!$D$5:$D$2005,'Partner Transactions'!$M$5:$M$2005,$A107,'Partner Transactions'!$A$5:$A$2005,"&gt;="&amp;ReportFrom,'Partner Transactions'!$A$5:$A$2005,"&lt;="&amp;ReportTo))</f>
        <v/>
      </c>
      <c r="AG107" s="25">
        <f>IF($A107="",0,(SUMIFS('Stock Moves'!$S$5:$S$2005,'Stock Moves'!$AD$5:$AD$2005,$A107,'Stock Moves'!$A$5:$A$2005,"&lt;"&amp;ReportFrom)+SUMIFS('Stock Moves'!$T$5:$T$2005,'Stock Moves'!$V$5:$V$2005,$A107,'Stock Moves'!$A$5:$A$2005,"&lt;"&amp;ReportFrom))-(SUMIFS('Stock Moves'!$AF$5:$AF$2005,'Stock Moves'!$AE$5:$AE$2005,$A107,'Stock Moves'!$A$5:$A$2005,"&lt;"&amp;ReportFrom)+SUMIFS('Stock Moves'!$AC$5:$AC$2005,'Stock Moves'!$X$5:$X$2005,$A107,'Stock Moves'!$A$5:$A$2005,"&lt;"&amp;ReportFrom)+SUMIFS('Stock Moves'!$U$5:$U$2005,'Stock Moves'!$W$5:$W$2005,$A107,'Stock Moves'!$A$5:$A$2005,"&lt;"&amp;ReportFrom)))</f>
        <v/>
      </c>
      <c r="AH107" s="25">
        <f>IF($A107="",0,SUMIFS('Stock Moves'!$S$5:$S$2005,'Stock Moves'!$AD$5:$AD$2005,$A107,'Stock Moves'!$A$5:$A$2005,"&gt;="&amp;ReportFrom,'Stock Moves'!$A$5:$A$2005,"&lt;="&amp;ReportTo)+SUMIFS('Stock Moves'!$T$5:$T$2005,'Stock Moves'!$V$5:$V$2005,$A107,'Stock Moves'!$A$5:$A$2005,"&gt;="&amp;ReportFrom,'Stock Moves'!$A$5:$A$2005,"&lt;="&amp;ReportTo))</f>
        <v/>
      </c>
      <c r="AI107" s="25">
        <f>IF($A107="",0,SUMIFS('Stock Moves'!$AF$5:$AF$2005,'Stock Moves'!$AE$5:$AE$2005,$A107,'Stock Moves'!$A$5:$A$2005,"&gt;="&amp;ReportFrom,'Stock Moves'!$A$5:$A$2005,"&lt;="&amp;ReportTo)+SUMIFS('Stock Moves'!$AC$5:$AC$2005,'Stock Moves'!$X$5:$X$2005,$A107,'Stock Moves'!$A$5:$A$2005,"&gt;="&amp;ReportFrom,'Stock Moves'!$A$5:$A$2005,"&lt;="&amp;ReportTo)+SUMIFS('Stock Moves'!$U$5:$U$2005,'Stock Moves'!$W$5:$W$2005,$A107,'Stock Moves'!$A$5:$A$2005,"&gt;="&amp;ReportFrom,'Stock Moves'!$A$5:$A$2005,"&lt;="&amp;ReportTo))</f>
        <v/>
      </c>
      <c r="AJ107" s="25">
        <f>IF($A107="",0,(SUMIFS('Journal Vouchers'!$I$5:$I$2005,'Journal Vouchers'!$H$5:$H$2005,$A107,'Journal Vouchers'!$B$5:$B$2005,"&lt;"&amp;ReportFrom))-(SUMIFS('Journal Vouchers'!$J$5:$J$2005,'Journal Vouchers'!$H$5:$H$2005,$A107,'Journal Vouchers'!$B$5:$B$2005,"&lt;"&amp;ReportFrom)))</f>
        <v/>
      </c>
      <c r="AK107" s="25">
        <f>IF($A107="",0,SUMIFS('Journal Vouchers'!$I$5:$I$2005,'Journal Vouchers'!$H$5:$H$2005,$A107,'Journal Vouchers'!$B$5:$B$2005,"&gt;="&amp;ReportFrom,'Journal Vouchers'!$B$5:$B$2005,"&lt;="&amp;ReportTo))</f>
        <v/>
      </c>
      <c r="AL107" s="25">
        <f>IF($A107="",0,SUMIFS('Journal Vouchers'!$J$5:$J$2005,'Journal Vouchers'!$H$5:$H$2005,$A107,'Journal Vouchers'!$B$5:$B$2005,"&gt;="&amp;ReportFrom,'Journal Vouchers'!$B$5:$B$2005,"&lt;="&amp;ReportTo))</f>
        <v/>
      </c>
    </row>
    <row r="108">
      <c r="A108" s="25">
        <f>IF('Chart of Accounts'!A108="","",'Chart of Accounts'!A108&amp;"")</f>
        <v/>
      </c>
      <c r="B108" s="25">
        <f>IF(A108="","",'Chart of Accounts'!B108)</f>
        <v/>
      </c>
      <c r="C108" s="25">
        <f>IF(A108="","",'Chart of Accounts'!C108)</f>
        <v/>
      </c>
      <c r="D108" s="25">
        <f>IF(A108="","",'Chart of Accounts'!D108)</f>
        <v/>
      </c>
      <c r="E108" s="26">
        <f>L108+O108+R108+U108+X108+AA108+AD108+AG108+AJ108</f>
        <v/>
      </c>
      <c r="F108" s="26">
        <f>M108+P108+S108+V108+Y108+AB108+AE108+AH108+AK108</f>
        <v/>
      </c>
      <c r="G108" s="26">
        <f>N108+Q108+T108+W108+Z108+AC108+AF108+AI108+AL108</f>
        <v/>
      </c>
      <c r="H108" s="26">
        <f>E108+F108-G108</f>
        <v/>
      </c>
      <c r="I108" s="26">
        <f>MAX(H108,0)</f>
        <v/>
      </c>
      <c r="J108" s="26">
        <f>MAX(-H108,0)</f>
        <v/>
      </c>
      <c r="L108" s="25">
        <f>IF($A108="",0,(SUMIFS('Direct Costs'!$R$5:$R$2005,'Direct Costs'!$V$5:$V$2005,$A108,'Direct Costs'!$A$5:$A$2005,"&lt;"&amp;ReportFrom)+SUMIFS('Direct Costs'!$S$5:$S$2005,'Direct Costs'!$Y$5:$Y$2005,$A108,'Direct Costs'!$A$5:$A$2005,"&lt;"&amp;ReportFrom))-(SUMIFS('Direct Costs'!$L$5:$L$2005,'Direct Costs'!$W$5:$W$2005,$A108,'Direct Costs'!$A$5:$A$2005,"&lt;"&amp;ReportFrom)+SUMIFS('Direct Costs'!$U$5:$U$2005,'Direct Costs'!$X$5:$X$2005,$A108,'Direct Costs'!$A$5:$A$2005,"&lt;"&amp;ReportFrom)+SUMIFS('Direct Costs'!$T$5:$T$2005,'Direct Costs'!$Z$5:$Z$2005,$A108,'Direct Costs'!$A$5:$A$2005,"&lt;"&amp;ReportFrom)))</f>
        <v/>
      </c>
      <c r="M108" s="25">
        <f>IF($A108="",0,SUMIFS('Direct Costs'!$R$5:$R$2005,'Direct Costs'!$V$5:$V$2005,$A108,'Direct Costs'!$A$5:$A$2005,"&gt;="&amp;ReportFrom,'Direct Costs'!$A$5:$A$2005,"&lt;="&amp;ReportTo)+SUMIFS('Direct Costs'!$S$5:$S$2005,'Direct Costs'!$Y$5:$Y$2005,$A108,'Direct Costs'!$A$5:$A$2005,"&gt;="&amp;ReportFrom,'Direct Costs'!$A$5:$A$2005,"&lt;="&amp;ReportTo))</f>
        <v/>
      </c>
      <c r="N108" s="25">
        <f>IF($A108="",0,SUMIFS('Direct Costs'!$L$5:$L$2005,'Direct Costs'!$W$5:$W$2005,$A108,'Direct Costs'!$A$5:$A$2005,"&gt;="&amp;ReportFrom,'Direct Costs'!$A$5:$A$2005,"&lt;="&amp;ReportTo)+SUMIFS('Direct Costs'!$U$5:$U$2005,'Direct Costs'!$X$5:$X$2005,$A108,'Direct Costs'!$A$5:$A$2005,"&gt;="&amp;ReportFrom,'Direct Costs'!$A$5:$A$2005,"&lt;="&amp;ReportTo)+SUMIFS('Direct Costs'!$T$5:$T$2005,'Direct Costs'!$Z$5:$Z$2005,$A108,'Direct Costs'!$A$5:$A$2005,"&gt;="&amp;ReportFrom,'Direct Costs'!$A$5:$A$2005,"&lt;="&amp;ReportTo))</f>
        <v/>
      </c>
      <c r="O108" s="25">
        <f>IF($A108="",0,(SUMIFS('Operating Expenses'!$F$5:$F$2005,'Operating Expenses'!$Q$5:$Q$2005,$A108,'Operating Expenses'!$A$5:$A$2005,"&lt;"&amp;ReportFrom)+SUMIFS('Operating Expenses'!$M$5:$M$2005,'Operating Expenses'!$T$5:$T$2005,$A108,'Operating Expenses'!$A$5:$A$2005,"&lt;"&amp;ReportFrom))-(SUMIFS('Operating Expenses'!$O$5:$O$2005,'Operating Expenses'!$R$5:$R$2005,$A108,'Operating Expenses'!$A$5:$A$2005,"&lt;"&amp;ReportFrom)+SUMIFS('Operating Expenses'!$P$5:$P$2005,'Operating Expenses'!$S$5:$S$2005,$A108,'Operating Expenses'!$A$5:$A$2005,"&lt;"&amp;ReportFrom)+SUMIFS('Operating Expenses'!$N$5:$N$2005,'Operating Expenses'!$U$5:$U$2005,$A108,'Operating Expenses'!$A$5:$A$2005,"&lt;"&amp;ReportFrom)))</f>
        <v/>
      </c>
      <c r="P108" s="25">
        <f>IF($A108="",0,SUMIFS('Operating Expenses'!$F$5:$F$2005,'Operating Expenses'!$Q$5:$Q$2005,$A108,'Operating Expenses'!$A$5:$A$2005,"&gt;="&amp;ReportFrom,'Operating Expenses'!$A$5:$A$2005,"&lt;="&amp;ReportTo)+SUMIFS('Operating Expenses'!$M$5:$M$2005,'Operating Expenses'!$T$5:$T$2005,$A108,'Operating Expenses'!$A$5:$A$2005,"&gt;="&amp;ReportFrom,'Operating Expenses'!$A$5:$A$2005,"&lt;="&amp;ReportTo))</f>
        <v/>
      </c>
      <c r="Q108" s="25">
        <f>IF($A108="",0,SUMIFS('Operating Expenses'!$O$5:$O$2005,'Operating Expenses'!$R$5:$R$2005,$A108,'Operating Expenses'!$A$5:$A$2005,"&gt;="&amp;ReportFrom,'Operating Expenses'!$A$5:$A$2005,"&lt;="&amp;ReportTo)+SUMIFS('Operating Expenses'!$P$5:$P$2005,'Operating Expenses'!$S$5:$S$2005,$A108,'Operating Expenses'!$A$5:$A$2005,"&gt;="&amp;ReportFrom,'Operating Expenses'!$A$5:$A$2005,"&lt;="&amp;ReportTo)+SUMIFS('Operating Expenses'!$N$5:$N$2005,'Operating Expenses'!$U$5:$U$2005,$A108,'Operating Expenses'!$A$5:$A$2005,"&gt;="&amp;ReportFrom,'Operating Expenses'!$A$5:$A$2005,"&lt;="&amp;ReportTo))</f>
        <v/>
      </c>
      <c r="R108" s="25">
        <f>IF($A108="",0,(SUMIFS('Payroll'!$O$5:$O$2005,'Payroll'!$Q$5:$Q$2005,$A108,'Payroll'!$A$5:$A$2005,"&lt;"&amp;ReportFrom))-(SUMIFS('Payroll'!$K$5:$K$2005,'Payroll'!$R$5:$R$2005,$A108,'Payroll'!$A$5:$A$2005,"&lt;"&amp;ReportFrom)+SUMIFS('Payroll'!$P$5:$P$2005,'Payroll'!$S$5:$S$2005,$A108,'Payroll'!$A$5:$A$2005,"&lt;"&amp;ReportFrom)))</f>
        <v/>
      </c>
      <c r="S108" s="25">
        <f>IF($A108="",0,SUMIFS('Payroll'!$O$5:$O$2005,'Payroll'!$Q$5:$Q$2005,$A108,'Payroll'!$A$5:$A$2005,"&gt;="&amp;ReportFrom,'Payroll'!$A$5:$A$2005,"&lt;="&amp;ReportTo))</f>
        <v/>
      </c>
      <c r="T108" s="25">
        <f>IF($A108="",0,SUMIFS('Payroll'!$K$5:$K$2005,'Payroll'!$R$5:$R$2005,$A108,'Payroll'!$A$5:$A$2005,"&gt;="&amp;ReportFrom,'Payroll'!$A$5:$A$2005,"&lt;="&amp;ReportTo)+SUMIFS('Payroll'!$P$5:$P$2005,'Payroll'!$S$5:$S$2005,$A108,'Payroll'!$A$5:$A$2005,"&gt;="&amp;ReportFrom,'Payroll'!$A$5:$A$2005,"&lt;="&amp;ReportTo))</f>
        <v/>
      </c>
      <c r="U108" s="25">
        <f>IF($A108="",0,(SUMIFS('Receipt Vouchers'!$F$5:$F$2005,'Receipt Vouchers'!$O$5:$O$2005,$A108,'Receipt Vouchers'!$A$5:$A$2005,"&lt;"&amp;ReportFrom)+SUMIFS('Receipt Vouchers'!$J$5:$J$2005,'Receipt Vouchers'!$Q$5:$Q$2005,$A108,'Receipt Vouchers'!$A$5:$A$2005,"&lt;"&amp;ReportFrom))-(SUMIFS('Receipt Vouchers'!$N$5:$N$2005,'Receipt Vouchers'!$P$5:$P$2005,$A108,'Receipt Vouchers'!$A$5:$A$2005,"&lt;"&amp;ReportFrom)+SUMIFS('Receipt Vouchers'!$M$5:$M$2005,'Receipt Vouchers'!$R$5:$R$2005,$A108,'Receipt Vouchers'!$A$5:$A$2005,"&lt;"&amp;ReportFrom)))</f>
        <v/>
      </c>
      <c r="V108" s="25">
        <f>IF($A108="",0,SUMIFS('Receipt Vouchers'!$F$5:$F$2005,'Receipt Vouchers'!$O$5:$O$2005,$A108,'Receipt Vouchers'!$A$5:$A$2005,"&gt;="&amp;ReportFrom,'Receipt Vouchers'!$A$5:$A$2005,"&lt;="&amp;ReportTo)+SUMIFS('Receipt Vouchers'!$J$5:$J$2005,'Receipt Vouchers'!$Q$5:$Q$2005,$A108,'Receipt Vouchers'!$A$5:$A$2005,"&gt;="&amp;ReportFrom,'Receipt Vouchers'!$A$5:$A$2005,"&lt;="&amp;ReportTo))</f>
        <v/>
      </c>
      <c r="W108" s="25">
        <f>IF($A108="",0,SUMIFS('Receipt Vouchers'!$N$5:$N$2005,'Receipt Vouchers'!$P$5:$P$2005,$A108,'Receipt Vouchers'!$A$5:$A$2005,"&gt;="&amp;ReportFrom,'Receipt Vouchers'!$A$5:$A$2005,"&lt;="&amp;ReportTo)+SUMIFS('Receipt Vouchers'!$M$5:$M$2005,'Receipt Vouchers'!$R$5:$R$2005,$A108,'Receipt Vouchers'!$A$5:$A$2005,"&gt;="&amp;ReportFrom,'Receipt Vouchers'!$A$5:$A$2005,"&lt;="&amp;ReportTo))</f>
        <v/>
      </c>
      <c r="X108" s="25">
        <f>IF($A108="",0,(SUMIFS('Sales Invoices'!$O$5:$O$2005,'Sales Invoices'!$P$5:$P$2005,$A108,'Sales Invoices'!$B$5:$B$2005,"&lt;"&amp;ReportFrom)+SUMIFS('Sales Invoices'!$N$5:$N$2005,'Sales Invoices'!$R$5:$R$2005,$A108,'Sales Invoices'!$B$5:$B$2005,"&lt;"&amp;ReportFrom))-(SUMIFS('Sales Invoices'!$L$5:$L$2005,'Sales Invoices'!$Q$5:$Q$2005,$A108,'Sales Invoices'!$B$5:$B$2005,"&lt;"&amp;ReportFrom)+SUMIFS('Sales Invoices'!$M$5:$M$2005,'Sales Invoices'!$S$5:$S$2005,$A108,'Sales Invoices'!$B$5:$B$2005,"&lt;"&amp;ReportFrom)))</f>
        <v/>
      </c>
      <c r="Y108" s="25">
        <f>IF($A108="",0,SUMIFS('Sales Invoices'!$O$5:$O$2005,'Sales Invoices'!$P$5:$P$2005,$A108,'Sales Invoices'!$B$5:$B$2005,"&gt;="&amp;ReportFrom,'Sales Invoices'!$B$5:$B$2005,"&lt;="&amp;ReportTo)+SUMIFS('Sales Invoices'!$N$5:$N$2005,'Sales Invoices'!$R$5:$R$2005,$A108,'Sales Invoices'!$B$5:$B$2005,"&gt;="&amp;ReportFrom,'Sales Invoices'!$B$5:$B$2005,"&lt;="&amp;ReportTo))</f>
        <v/>
      </c>
      <c r="Z108" s="25">
        <f>IF($A108="",0,SUMIFS('Sales Invoices'!$L$5:$L$2005,'Sales Invoices'!$Q$5:$Q$2005,$A108,'Sales Invoices'!$B$5:$B$2005,"&gt;="&amp;ReportFrom,'Sales Invoices'!$B$5:$B$2005,"&lt;="&amp;ReportTo)+SUMIFS('Sales Invoices'!$M$5:$M$2005,'Sales Invoices'!$S$5:$S$2005,$A108,'Sales Invoices'!$B$5:$B$2005,"&gt;="&amp;ReportFrom,'Sales Invoices'!$B$5:$B$2005,"&lt;="&amp;ReportTo))</f>
        <v/>
      </c>
      <c r="AA108" s="25">
        <f>IF($A108="",0,(SUMIFS('Payment Vouchers'!$D$5:$D$2005,'Payment Vouchers'!$J$5:$J$2005,$A108,'Payment Vouchers'!$A$5:$A$2005,"&lt;"&amp;ReportFrom))-(SUMIFS('Payment Vouchers'!$D$5:$D$2005,'Payment Vouchers'!$K$5:$K$2005,$A108,'Payment Vouchers'!$A$5:$A$2005,"&lt;"&amp;ReportFrom)))</f>
        <v/>
      </c>
      <c r="AB108" s="25">
        <f>IF($A108="",0,SUMIFS('Payment Vouchers'!$D$5:$D$2005,'Payment Vouchers'!$J$5:$J$2005,$A108,'Payment Vouchers'!$A$5:$A$2005,"&gt;="&amp;ReportFrom,'Payment Vouchers'!$A$5:$A$2005,"&lt;="&amp;ReportTo))</f>
        <v/>
      </c>
      <c r="AC108" s="25">
        <f>IF($A108="",0,SUMIFS('Payment Vouchers'!$D$5:$D$2005,'Payment Vouchers'!$K$5:$K$2005,$A108,'Payment Vouchers'!$A$5:$A$2005,"&gt;="&amp;ReportFrom,'Payment Vouchers'!$A$5:$A$2005,"&lt;="&amp;ReportTo))</f>
        <v/>
      </c>
      <c r="AD108" s="25">
        <f>IF($A108="",0,(SUMIFS('Partner Transactions'!$D$5:$D$2005,'Partner Transactions'!$L$5:$L$2005,$A108,'Partner Transactions'!$A$5:$A$2005,"&lt;"&amp;ReportFrom))-(SUMIFS('Partner Transactions'!$D$5:$D$2005,'Partner Transactions'!$M$5:$M$2005,$A108,'Partner Transactions'!$A$5:$A$2005,"&lt;"&amp;ReportFrom)))</f>
        <v/>
      </c>
      <c r="AE108" s="25">
        <f>IF($A108="",0,SUMIFS('Partner Transactions'!$D$5:$D$2005,'Partner Transactions'!$L$5:$L$2005,$A108,'Partner Transactions'!$A$5:$A$2005,"&gt;="&amp;ReportFrom,'Partner Transactions'!$A$5:$A$2005,"&lt;="&amp;ReportTo))</f>
        <v/>
      </c>
      <c r="AF108" s="25">
        <f>IF($A108="",0,SUMIFS('Partner Transactions'!$D$5:$D$2005,'Partner Transactions'!$M$5:$M$2005,$A108,'Partner Transactions'!$A$5:$A$2005,"&gt;="&amp;ReportFrom,'Partner Transactions'!$A$5:$A$2005,"&lt;="&amp;ReportTo))</f>
        <v/>
      </c>
      <c r="AG108" s="25">
        <f>IF($A108="",0,(SUMIFS('Stock Moves'!$S$5:$S$2005,'Stock Moves'!$AD$5:$AD$2005,$A108,'Stock Moves'!$A$5:$A$2005,"&lt;"&amp;ReportFrom)+SUMIFS('Stock Moves'!$T$5:$T$2005,'Stock Moves'!$V$5:$V$2005,$A108,'Stock Moves'!$A$5:$A$2005,"&lt;"&amp;ReportFrom))-(SUMIFS('Stock Moves'!$AF$5:$AF$2005,'Stock Moves'!$AE$5:$AE$2005,$A108,'Stock Moves'!$A$5:$A$2005,"&lt;"&amp;ReportFrom)+SUMIFS('Stock Moves'!$AC$5:$AC$2005,'Stock Moves'!$X$5:$X$2005,$A108,'Stock Moves'!$A$5:$A$2005,"&lt;"&amp;ReportFrom)+SUMIFS('Stock Moves'!$U$5:$U$2005,'Stock Moves'!$W$5:$W$2005,$A108,'Stock Moves'!$A$5:$A$2005,"&lt;"&amp;ReportFrom)))</f>
        <v/>
      </c>
      <c r="AH108" s="25">
        <f>IF($A108="",0,SUMIFS('Stock Moves'!$S$5:$S$2005,'Stock Moves'!$AD$5:$AD$2005,$A108,'Stock Moves'!$A$5:$A$2005,"&gt;="&amp;ReportFrom,'Stock Moves'!$A$5:$A$2005,"&lt;="&amp;ReportTo)+SUMIFS('Stock Moves'!$T$5:$T$2005,'Stock Moves'!$V$5:$V$2005,$A108,'Stock Moves'!$A$5:$A$2005,"&gt;="&amp;ReportFrom,'Stock Moves'!$A$5:$A$2005,"&lt;="&amp;ReportTo))</f>
        <v/>
      </c>
      <c r="AI108" s="25">
        <f>IF($A108="",0,SUMIFS('Stock Moves'!$AF$5:$AF$2005,'Stock Moves'!$AE$5:$AE$2005,$A108,'Stock Moves'!$A$5:$A$2005,"&gt;="&amp;ReportFrom,'Stock Moves'!$A$5:$A$2005,"&lt;="&amp;ReportTo)+SUMIFS('Stock Moves'!$AC$5:$AC$2005,'Stock Moves'!$X$5:$X$2005,$A108,'Stock Moves'!$A$5:$A$2005,"&gt;="&amp;ReportFrom,'Stock Moves'!$A$5:$A$2005,"&lt;="&amp;ReportTo)+SUMIFS('Stock Moves'!$U$5:$U$2005,'Stock Moves'!$W$5:$W$2005,$A108,'Stock Moves'!$A$5:$A$2005,"&gt;="&amp;ReportFrom,'Stock Moves'!$A$5:$A$2005,"&lt;="&amp;ReportTo))</f>
        <v/>
      </c>
      <c r="AJ108" s="25">
        <f>IF($A108="",0,(SUMIFS('Journal Vouchers'!$I$5:$I$2005,'Journal Vouchers'!$H$5:$H$2005,$A108,'Journal Vouchers'!$B$5:$B$2005,"&lt;"&amp;ReportFrom))-(SUMIFS('Journal Vouchers'!$J$5:$J$2005,'Journal Vouchers'!$H$5:$H$2005,$A108,'Journal Vouchers'!$B$5:$B$2005,"&lt;"&amp;ReportFrom)))</f>
        <v/>
      </c>
      <c r="AK108" s="25">
        <f>IF($A108="",0,SUMIFS('Journal Vouchers'!$I$5:$I$2005,'Journal Vouchers'!$H$5:$H$2005,$A108,'Journal Vouchers'!$B$5:$B$2005,"&gt;="&amp;ReportFrom,'Journal Vouchers'!$B$5:$B$2005,"&lt;="&amp;ReportTo))</f>
        <v/>
      </c>
      <c r="AL108" s="25">
        <f>IF($A108="",0,SUMIFS('Journal Vouchers'!$J$5:$J$2005,'Journal Vouchers'!$H$5:$H$2005,$A108,'Journal Vouchers'!$B$5:$B$2005,"&gt;="&amp;ReportFrom,'Journal Vouchers'!$B$5:$B$2005,"&lt;="&amp;ReportTo))</f>
        <v/>
      </c>
    </row>
    <row r="109">
      <c r="A109" s="25">
        <f>IF('Chart of Accounts'!A109="","",'Chart of Accounts'!A109&amp;"")</f>
        <v/>
      </c>
      <c r="B109" s="25">
        <f>IF(A109="","",'Chart of Accounts'!B109)</f>
        <v/>
      </c>
      <c r="C109" s="25">
        <f>IF(A109="","",'Chart of Accounts'!C109)</f>
        <v/>
      </c>
      <c r="D109" s="25">
        <f>IF(A109="","",'Chart of Accounts'!D109)</f>
        <v/>
      </c>
      <c r="E109" s="26">
        <f>L109+O109+R109+U109+X109+AA109+AD109+AG109+AJ109</f>
        <v/>
      </c>
      <c r="F109" s="26">
        <f>M109+P109+S109+V109+Y109+AB109+AE109+AH109+AK109</f>
        <v/>
      </c>
      <c r="G109" s="26">
        <f>N109+Q109+T109+W109+Z109+AC109+AF109+AI109+AL109</f>
        <v/>
      </c>
      <c r="H109" s="26">
        <f>E109+F109-G109</f>
        <v/>
      </c>
      <c r="I109" s="26">
        <f>MAX(H109,0)</f>
        <v/>
      </c>
      <c r="J109" s="26">
        <f>MAX(-H109,0)</f>
        <v/>
      </c>
      <c r="L109" s="25">
        <f>IF($A109="",0,(SUMIFS('Direct Costs'!$R$5:$R$2005,'Direct Costs'!$V$5:$V$2005,$A109,'Direct Costs'!$A$5:$A$2005,"&lt;"&amp;ReportFrom)+SUMIFS('Direct Costs'!$S$5:$S$2005,'Direct Costs'!$Y$5:$Y$2005,$A109,'Direct Costs'!$A$5:$A$2005,"&lt;"&amp;ReportFrom))-(SUMIFS('Direct Costs'!$L$5:$L$2005,'Direct Costs'!$W$5:$W$2005,$A109,'Direct Costs'!$A$5:$A$2005,"&lt;"&amp;ReportFrom)+SUMIFS('Direct Costs'!$U$5:$U$2005,'Direct Costs'!$X$5:$X$2005,$A109,'Direct Costs'!$A$5:$A$2005,"&lt;"&amp;ReportFrom)+SUMIFS('Direct Costs'!$T$5:$T$2005,'Direct Costs'!$Z$5:$Z$2005,$A109,'Direct Costs'!$A$5:$A$2005,"&lt;"&amp;ReportFrom)))</f>
        <v/>
      </c>
      <c r="M109" s="25">
        <f>IF($A109="",0,SUMIFS('Direct Costs'!$R$5:$R$2005,'Direct Costs'!$V$5:$V$2005,$A109,'Direct Costs'!$A$5:$A$2005,"&gt;="&amp;ReportFrom,'Direct Costs'!$A$5:$A$2005,"&lt;="&amp;ReportTo)+SUMIFS('Direct Costs'!$S$5:$S$2005,'Direct Costs'!$Y$5:$Y$2005,$A109,'Direct Costs'!$A$5:$A$2005,"&gt;="&amp;ReportFrom,'Direct Costs'!$A$5:$A$2005,"&lt;="&amp;ReportTo))</f>
        <v/>
      </c>
      <c r="N109" s="25">
        <f>IF($A109="",0,SUMIFS('Direct Costs'!$L$5:$L$2005,'Direct Costs'!$W$5:$W$2005,$A109,'Direct Costs'!$A$5:$A$2005,"&gt;="&amp;ReportFrom,'Direct Costs'!$A$5:$A$2005,"&lt;="&amp;ReportTo)+SUMIFS('Direct Costs'!$U$5:$U$2005,'Direct Costs'!$X$5:$X$2005,$A109,'Direct Costs'!$A$5:$A$2005,"&gt;="&amp;ReportFrom,'Direct Costs'!$A$5:$A$2005,"&lt;="&amp;ReportTo)+SUMIFS('Direct Costs'!$T$5:$T$2005,'Direct Costs'!$Z$5:$Z$2005,$A109,'Direct Costs'!$A$5:$A$2005,"&gt;="&amp;ReportFrom,'Direct Costs'!$A$5:$A$2005,"&lt;="&amp;ReportTo))</f>
        <v/>
      </c>
      <c r="O109" s="25">
        <f>IF($A109="",0,(SUMIFS('Operating Expenses'!$F$5:$F$2005,'Operating Expenses'!$Q$5:$Q$2005,$A109,'Operating Expenses'!$A$5:$A$2005,"&lt;"&amp;ReportFrom)+SUMIFS('Operating Expenses'!$M$5:$M$2005,'Operating Expenses'!$T$5:$T$2005,$A109,'Operating Expenses'!$A$5:$A$2005,"&lt;"&amp;ReportFrom))-(SUMIFS('Operating Expenses'!$O$5:$O$2005,'Operating Expenses'!$R$5:$R$2005,$A109,'Operating Expenses'!$A$5:$A$2005,"&lt;"&amp;ReportFrom)+SUMIFS('Operating Expenses'!$P$5:$P$2005,'Operating Expenses'!$S$5:$S$2005,$A109,'Operating Expenses'!$A$5:$A$2005,"&lt;"&amp;ReportFrom)+SUMIFS('Operating Expenses'!$N$5:$N$2005,'Operating Expenses'!$U$5:$U$2005,$A109,'Operating Expenses'!$A$5:$A$2005,"&lt;"&amp;ReportFrom)))</f>
        <v/>
      </c>
      <c r="P109" s="25">
        <f>IF($A109="",0,SUMIFS('Operating Expenses'!$F$5:$F$2005,'Operating Expenses'!$Q$5:$Q$2005,$A109,'Operating Expenses'!$A$5:$A$2005,"&gt;="&amp;ReportFrom,'Operating Expenses'!$A$5:$A$2005,"&lt;="&amp;ReportTo)+SUMIFS('Operating Expenses'!$M$5:$M$2005,'Operating Expenses'!$T$5:$T$2005,$A109,'Operating Expenses'!$A$5:$A$2005,"&gt;="&amp;ReportFrom,'Operating Expenses'!$A$5:$A$2005,"&lt;="&amp;ReportTo))</f>
        <v/>
      </c>
      <c r="Q109" s="25">
        <f>IF($A109="",0,SUMIFS('Operating Expenses'!$O$5:$O$2005,'Operating Expenses'!$R$5:$R$2005,$A109,'Operating Expenses'!$A$5:$A$2005,"&gt;="&amp;ReportFrom,'Operating Expenses'!$A$5:$A$2005,"&lt;="&amp;ReportTo)+SUMIFS('Operating Expenses'!$P$5:$P$2005,'Operating Expenses'!$S$5:$S$2005,$A109,'Operating Expenses'!$A$5:$A$2005,"&gt;="&amp;ReportFrom,'Operating Expenses'!$A$5:$A$2005,"&lt;="&amp;ReportTo)+SUMIFS('Operating Expenses'!$N$5:$N$2005,'Operating Expenses'!$U$5:$U$2005,$A109,'Operating Expenses'!$A$5:$A$2005,"&gt;="&amp;ReportFrom,'Operating Expenses'!$A$5:$A$2005,"&lt;="&amp;ReportTo))</f>
        <v/>
      </c>
      <c r="R109" s="25">
        <f>IF($A109="",0,(SUMIFS('Payroll'!$O$5:$O$2005,'Payroll'!$Q$5:$Q$2005,$A109,'Payroll'!$A$5:$A$2005,"&lt;"&amp;ReportFrom))-(SUMIFS('Payroll'!$K$5:$K$2005,'Payroll'!$R$5:$R$2005,$A109,'Payroll'!$A$5:$A$2005,"&lt;"&amp;ReportFrom)+SUMIFS('Payroll'!$P$5:$P$2005,'Payroll'!$S$5:$S$2005,$A109,'Payroll'!$A$5:$A$2005,"&lt;"&amp;ReportFrom)))</f>
        <v/>
      </c>
      <c r="S109" s="25">
        <f>IF($A109="",0,SUMIFS('Payroll'!$O$5:$O$2005,'Payroll'!$Q$5:$Q$2005,$A109,'Payroll'!$A$5:$A$2005,"&gt;="&amp;ReportFrom,'Payroll'!$A$5:$A$2005,"&lt;="&amp;ReportTo))</f>
        <v/>
      </c>
      <c r="T109" s="25">
        <f>IF($A109="",0,SUMIFS('Payroll'!$K$5:$K$2005,'Payroll'!$R$5:$R$2005,$A109,'Payroll'!$A$5:$A$2005,"&gt;="&amp;ReportFrom,'Payroll'!$A$5:$A$2005,"&lt;="&amp;ReportTo)+SUMIFS('Payroll'!$P$5:$P$2005,'Payroll'!$S$5:$S$2005,$A109,'Payroll'!$A$5:$A$2005,"&gt;="&amp;ReportFrom,'Payroll'!$A$5:$A$2005,"&lt;="&amp;ReportTo))</f>
        <v/>
      </c>
      <c r="U109" s="25">
        <f>IF($A109="",0,(SUMIFS('Receipt Vouchers'!$F$5:$F$2005,'Receipt Vouchers'!$O$5:$O$2005,$A109,'Receipt Vouchers'!$A$5:$A$2005,"&lt;"&amp;ReportFrom)+SUMIFS('Receipt Vouchers'!$J$5:$J$2005,'Receipt Vouchers'!$Q$5:$Q$2005,$A109,'Receipt Vouchers'!$A$5:$A$2005,"&lt;"&amp;ReportFrom))-(SUMIFS('Receipt Vouchers'!$N$5:$N$2005,'Receipt Vouchers'!$P$5:$P$2005,$A109,'Receipt Vouchers'!$A$5:$A$2005,"&lt;"&amp;ReportFrom)+SUMIFS('Receipt Vouchers'!$M$5:$M$2005,'Receipt Vouchers'!$R$5:$R$2005,$A109,'Receipt Vouchers'!$A$5:$A$2005,"&lt;"&amp;ReportFrom)))</f>
        <v/>
      </c>
      <c r="V109" s="25">
        <f>IF($A109="",0,SUMIFS('Receipt Vouchers'!$F$5:$F$2005,'Receipt Vouchers'!$O$5:$O$2005,$A109,'Receipt Vouchers'!$A$5:$A$2005,"&gt;="&amp;ReportFrom,'Receipt Vouchers'!$A$5:$A$2005,"&lt;="&amp;ReportTo)+SUMIFS('Receipt Vouchers'!$J$5:$J$2005,'Receipt Vouchers'!$Q$5:$Q$2005,$A109,'Receipt Vouchers'!$A$5:$A$2005,"&gt;="&amp;ReportFrom,'Receipt Vouchers'!$A$5:$A$2005,"&lt;="&amp;ReportTo))</f>
        <v/>
      </c>
      <c r="W109" s="25">
        <f>IF($A109="",0,SUMIFS('Receipt Vouchers'!$N$5:$N$2005,'Receipt Vouchers'!$P$5:$P$2005,$A109,'Receipt Vouchers'!$A$5:$A$2005,"&gt;="&amp;ReportFrom,'Receipt Vouchers'!$A$5:$A$2005,"&lt;="&amp;ReportTo)+SUMIFS('Receipt Vouchers'!$M$5:$M$2005,'Receipt Vouchers'!$R$5:$R$2005,$A109,'Receipt Vouchers'!$A$5:$A$2005,"&gt;="&amp;ReportFrom,'Receipt Vouchers'!$A$5:$A$2005,"&lt;="&amp;ReportTo))</f>
        <v/>
      </c>
      <c r="X109" s="25">
        <f>IF($A109="",0,(SUMIFS('Sales Invoices'!$O$5:$O$2005,'Sales Invoices'!$P$5:$P$2005,$A109,'Sales Invoices'!$B$5:$B$2005,"&lt;"&amp;ReportFrom)+SUMIFS('Sales Invoices'!$N$5:$N$2005,'Sales Invoices'!$R$5:$R$2005,$A109,'Sales Invoices'!$B$5:$B$2005,"&lt;"&amp;ReportFrom))-(SUMIFS('Sales Invoices'!$L$5:$L$2005,'Sales Invoices'!$Q$5:$Q$2005,$A109,'Sales Invoices'!$B$5:$B$2005,"&lt;"&amp;ReportFrom)+SUMIFS('Sales Invoices'!$M$5:$M$2005,'Sales Invoices'!$S$5:$S$2005,$A109,'Sales Invoices'!$B$5:$B$2005,"&lt;"&amp;ReportFrom)))</f>
        <v/>
      </c>
      <c r="Y109" s="25">
        <f>IF($A109="",0,SUMIFS('Sales Invoices'!$O$5:$O$2005,'Sales Invoices'!$P$5:$P$2005,$A109,'Sales Invoices'!$B$5:$B$2005,"&gt;="&amp;ReportFrom,'Sales Invoices'!$B$5:$B$2005,"&lt;="&amp;ReportTo)+SUMIFS('Sales Invoices'!$N$5:$N$2005,'Sales Invoices'!$R$5:$R$2005,$A109,'Sales Invoices'!$B$5:$B$2005,"&gt;="&amp;ReportFrom,'Sales Invoices'!$B$5:$B$2005,"&lt;="&amp;ReportTo))</f>
        <v/>
      </c>
      <c r="Z109" s="25">
        <f>IF($A109="",0,SUMIFS('Sales Invoices'!$L$5:$L$2005,'Sales Invoices'!$Q$5:$Q$2005,$A109,'Sales Invoices'!$B$5:$B$2005,"&gt;="&amp;ReportFrom,'Sales Invoices'!$B$5:$B$2005,"&lt;="&amp;ReportTo)+SUMIFS('Sales Invoices'!$M$5:$M$2005,'Sales Invoices'!$S$5:$S$2005,$A109,'Sales Invoices'!$B$5:$B$2005,"&gt;="&amp;ReportFrom,'Sales Invoices'!$B$5:$B$2005,"&lt;="&amp;ReportTo))</f>
        <v/>
      </c>
      <c r="AA109" s="25">
        <f>IF($A109="",0,(SUMIFS('Payment Vouchers'!$D$5:$D$2005,'Payment Vouchers'!$J$5:$J$2005,$A109,'Payment Vouchers'!$A$5:$A$2005,"&lt;"&amp;ReportFrom))-(SUMIFS('Payment Vouchers'!$D$5:$D$2005,'Payment Vouchers'!$K$5:$K$2005,$A109,'Payment Vouchers'!$A$5:$A$2005,"&lt;"&amp;ReportFrom)))</f>
        <v/>
      </c>
      <c r="AB109" s="25">
        <f>IF($A109="",0,SUMIFS('Payment Vouchers'!$D$5:$D$2005,'Payment Vouchers'!$J$5:$J$2005,$A109,'Payment Vouchers'!$A$5:$A$2005,"&gt;="&amp;ReportFrom,'Payment Vouchers'!$A$5:$A$2005,"&lt;="&amp;ReportTo))</f>
        <v/>
      </c>
      <c r="AC109" s="25">
        <f>IF($A109="",0,SUMIFS('Payment Vouchers'!$D$5:$D$2005,'Payment Vouchers'!$K$5:$K$2005,$A109,'Payment Vouchers'!$A$5:$A$2005,"&gt;="&amp;ReportFrom,'Payment Vouchers'!$A$5:$A$2005,"&lt;="&amp;ReportTo))</f>
        <v/>
      </c>
      <c r="AD109" s="25">
        <f>IF($A109="",0,(SUMIFS('Partner Transactions'!$D$5:$D$2005,'Partner Transactions'!$L$5:$L$2005,$A109,'Partner Transactions'!$A$5:$A$2005,"&lt;"&amp;ReportFrom))-(SUMIFS('Partner Transactions'!$D$5:$D$2005,'Partner Transactions'!$M$5:$M$2005,$A109,'Partner Transactions'!$A$5:$A$2005,"&lt;"&amp;ReportFrom)))</f>
        <v/>
      </c>
      <c r="AE109" s="25">
        <f>IF($A109="",0,SUMIFS('Partner Transactions'!$D$5:$D$2005,'Partner Transactions'!$L$5:$L$2005,$A109,'Partner Transactions'!$A$5:$A$2005,"&gt;="&amp;ReportFrom,'Partner Transactions'!$A$5:$A$2005,"&lt;="&amp;ReportTo))</f>
        <v/>
      </c>
      <c r="AF109" s="25">
        <f>IF($A109="",0,SUMIFS('Partner Transactions'!$D$5:$D$2005,'Partner Transactions'!$M$5:$M$2005,$A109,'Partner Transactions'!$A$5:$A$2005,"&gt;="&amp;ReportFrom,'Partner Transactions'!$A$5:$A$2005,"&lt;="&amp;ReportTo))</f>
        <v/>
      </c>
      <c r="AG109" s="25">
        <f>IF($A109="",0,(SUMIFS('Stock Moves'!$S$5:$S$2005,'Stock Moves'!$AD$5:$AD$2005,$A109,'Stock Moves'!$A$5:$A$2005,"&lt;"&amp;ReportFrom)+SUMIFS('Stock Moves'!$T$5:$T$2005,'Stock Moves'!$V$5:$V$2005,$A109,'Stock Moves'!$A$5:$A$2005,"&lt;"&amp;ReportFrom))-(SUMIFS('Stock Moves'!$AF$5:$AF$2005,'Stock Moves'!$AE$5:$AE$2005,$A109,'Stock Moves'!$A$5:$A$2005,"&lt;"&amp;ReportFrom)+SUMIFS('Stock Moves'!$AC$5:$AC$2005,'Stock Moves'!$X$5:$X$2005,$A109,'Stock Moves'!$A$5:$A$2005,"&lt;"&amp;ReportFrom)+SUMIFS('Stock Moves'!$U$5:$U$2005,'Stock Moves'!$W$5:$W$2005,$A109,'Stock Moves'!$A$5:$A$2005,"&lt;"&amp;ReportFrom)))</f>
        <v/>
      </c>
      <c r="AH109" s="25">
        <f>IF($A109="",0,SUMIFS('Stock Moves'!$S$5:$S$2005,'Stock Moves'!$AD$5:$AD$2005,$A109,'Stock Moves'!$A$5:$A$2005,"&gt;="&amp;ReportFrom,'Stock Moves'!$A$5:$A$2005,"&lt;="&amp;ReportTo)+SUMIFS('Stock Moves'!$T$5:$T$2005,'Stock Moves'!$V$5:$V$2005,$A109,'Stock Moves'!$A$5:$A$2005,"&gt;="&amp;ReportFrom,'Stock Moves'!$A$5:$A$2005,"&lt;="&amp;ReportTo))</f>
        <v/>
      </c>
      <c r="AI109" s="25">
        <f>IF($A109="",0,SUMIFS('Stock Moves'!$AF$5:$AF$2005,'Stock Moves'!$AE$5:$AE$2005,$A109,'Stock Moves'!$A$5:$A$2005,"&gt;="&amp;ReportFrom,'Stock Moves'!$A$5:$A$2005,"&lt;="&amp;ReportTo)+SUMIFS('Stock Moves'!$AC$5:$AC$2005,'Stock Moves'!$X$5:$X$2005,$A109,'Stock Moves'!$A$5:$A$2005,"&gt;="&amp;ReportFrom,'Stock Moves'!$A$5:$A$2005,"&lt;="&amp;ReportTo)+SUMIFS('Stock Moves'!$U$5:$U$2005,'Stock Moves'!$W$5:$W$2005,$A109,'Stock Moves'!$A$5:$A$2005,"&gt;="&amp;ReportFrom,'Stock Moves'!$A$5:$A$2005,"&lt;="&amp;ReportTo))</f>
        <v/>
      </c>
      <c r="AJ109" s="25">
        <f>IF($A109="",0,(SUMIFS('Journal Vouchers'!$I$5:$I$2005,'Journal Vouchers'!$H$5:$H$2005,$A109,'Journal Vouchers'!$B$5:$B$2005,"&lt;"&amp;ReportFrom))-(SUMIFS('Journal Vouchers'!$J$5:$J$2005,'Journal Vouchers'!$H$5:$H$2005,$A109,'Journal Vouchers'!$B$5:$B$2005,"&lt;"&amp;ReportFrom)))</f>
        <v/>
      </c>
      <c r="AK109" s="25">
        <f>IF($A109="",0,SUMIFS('Journal Vouchers'!$I$5:$I$2005,'Journal Vouchers'!$H$5:$H$2005,$A109,'Journal Vouchers'!$B$5:$B$2005,"&gt;="&amp;ReportFrom,'Journal Vouchers'!$B$5:$B$2005,"&lt;="&amp;ReportTo))</f>
        <v/>
      </c>
      <c r="AL109" s="25">
        <f>IF($A109="",0,SUMIFS('Journal Vouchers'!$J$5:$J$2005,'Journal Vouchers'!$H$5:$H$2005,$A109,'Journal Vouchers'!$B$5:$B$2005,"&gt;="&amp;ReportFrom,'Journal Vouchers'!$B$5:$B$2005,"&lt;="&amp;ReportTo))</f>
        <v/>
      </c>
    </row>
    <row r="110">
      <c r="A110" s="25">
        <f>IF('Chart of Accounts'!A110="","",'Chart of Accounts'!A110&amp;"")</f>
        <v/>
      </c>
      <c r="B110" s="25">
        <f>IF(A110="","",'Chart of Accounts'!B110)</f>
        <v/>
      </c>
      <c r="C110" s="25">
        <f>IF(A110="","",'Chart of Accounts'!C110)</f>
        <v/>
      </c>
      <c r="D110" s="25">
        <f>IF(A110="","",'Chart of Accounts'!D110)</f>
        <v/>
      </c>
      <c r="E110" s="26">
        <f>L110+O110+R110+U110+X110+AA110+AD110+AG110+AJ110</f>
        <v/>
      </c>
      <c r="F110" s="26">
        <f>M110+P110+S110+V110+Y110+AB110+AE110+AH110+AK110</f>
        <v/>
      </c>
      <c r="G110" s="26">
        <f>N110+Q110+T110+W110+Z110+AC110+AF110+AI110+AL110</f>
        <v/>
      </c>
      <c r="H110" s="26">
        <f>E110+F110-G110</f>
        <v/>
      </c>
      <c r="I110" s="26">
        <f>MAX(H110,0)</f>
        <v/>
      </c>
      <c r="J110" s="26">
        <f>MAX(-H110,0)</f>
        <v/>
      </c>
      <c r="L110" s="25">
        <f>IF($A110="",0,(SUMIFS('Direct Costs'!$R$5:$R$2005,'Direct Costs'!$V$5:$V$2005,$A110,'Direct Costs'!$A$5:$A$2005,"&lt;"&amp;ReportFrom)+SUMIFS('Direct Costs'!$S$5:$S$2005,'Direct Costs'!$Y$5:$Y$2005,$A110,'Direct Costs'!$A$5:$A$2005,"&lt;"&amp;ReportFrom))-(SUMIFS('Direct Costs'!$L$5:$L$2005,'Direct Costs'!$W$5:$W$2005,$A110,'Direct Costs'!$A$5:$A$2005,"&lt;"&amp;ReportFrom)+SUMIFS('Direct Costs'!$U$5:$U$2005,'Direct Costs'!$X$5:$X$2005,$A110,'Direct Costs'!$A$5:$A$2005,"&lt;"&amp;ReportFrom)+SUMIFS('Direct Costs'!$T$5:$T$2005,'Direct Costs'!$Z$5:$Z$2005,$A110,'Direct Costs'!$A$5:$A$2005,"&lt;"&amp;ReportFrom)))</f>
        <v/>
      </c>
      <c r="M110" s="25">
        <f>IF($A110="",0,SUMIFS('Direct Costs'!$R$5:$R$2005,'Direct Costs'!$V$5:$V$2005,$A110,'Direct Costs'!$A$5:$A$2005,"&gt;="&amp;ReportFrom,'Direct Costs'!$A$5:$A$2005,"&lt;="&amp;ReportTo)+SUMIFS('Direct Costs'!$S$5:$S$2005,'Direct Costs'!$Y$5:$Y$2005,$A110,'Direct Costs'!$A$5:$A$2005,"&gt;="&amp;ReportFrom,'Direct Costs'!$A$5:$A$2005,"&lt;="&amp;ReportTo))</f>
        <v/>
      </c>
      <c r="N110" s="25">
        <f>IF($A110="",0,SUMIFS('Direct Costs'!$L$5:$L$2005,'Direct Costs'!$W$5:$W$2005,$A110,'Direct Costs'!$A$5:$A$2005,"&gt;="&amp;ReportFrom,'Direct Costs'!$A$5:$A$2005,"&lt;="&amp;ReportTo)+SUMIFS('Direct Costs'!$U$5:$U$2005,'Direct Costs'!$X$5:$X$2005,$A110,'Direct Costs'!$A$5:$A$2005,"&gt;="&amp;ReportFrom,'Direct Costs'!$A$5:$A$2005,"&lt;="&amp;ReportTo)+SUMIFS('Direct Costs'!$T$5:$T$2005,'Direct Costs'!$Z$5:$Z$2005,$A110,'Direct Costs'!$A$5:$A$2005,"&gt;="&amp;ReportFrom,'Direct Costs'!$A$5:$A$2005,"&lt;="&amp;ReportTo))</f>
        <v/>
      </c>
      <c r="O110" s="25">
        <f>IF($A110="",0,(SUMIFS('Operating Expenses'!$F$5:$F$2005,'Operating Expenses'!$Q$5:$Q$2005,$A110,'Operating Expenses'!$A$5:$A$2005,"&lt;"&amp;ReportFrom)+SUMIFS('Operating Expenses'!$M$5:$M$2005,'Operating Expenses'!$T$5:$T$2005,$A110,'Operating Expenses'!$A$5:$A$2005,"&lt;"&amp;ReportFrom))-(SUMIFS('Operating Expenses'!$O$5:$O$2005,'Operating Expenses'!$R$5:$R$2005,$A110,'Operating Expenses'!$A$5:$A$2005,"&lt;"&amp;ReportFrom)+SUMIFS('Operating Expenses'!$P$5:$P$2005,'Operating Expenses'!$S$5:$S$2005,$A110,'Operating Expenses'!$A$5:$A$2005,"&lt;"&amp;ReportFrom)+SUMIFS('Operating Expenses'!$N$5:$N$2005,'Operating Expenses'!$U$5:$U$2005,$A110,'Operating Expenses'!$A$5:$A$2005,"&lt;"&amp;ReportFrom)))</f>
        <v/>
      </c>
      <c r="P110" s="25">
        <f>IF($A110="",0,SUMIFS('Operating Expenses'!$F$5:$F$2005,'Operating Expenses'!$Q$5:$Q$2005,$A110,'Operating Expenses'!$A$5:$A$2005,"&gt;="&amp;ReportFrom,'Operating Expenses'!$A$5:$A$2005,"&lt;="&amp;ReportTo)+SUMIFS('Operating Expenses'!$M$5:$M$2005,'Operating Expenses'!$T$5:$T$2005,$A110,'Operating Expenses'!$A$5:$A$2005,"&gt;="&amp;ReportFrom,'Operating Expenses'!$A$5:$A$2005,"&lt;="&amp;ReportTo))</f>
        <v/>
      </c>
      <c r="Q110" s="25">
        <f>IF($A110="",0,SUMIFS('Operating Expenses'!$O$5:$O$2005,'Operating Expenses'!$R$5:$R$2005,$A110,'Operating Expenses'!$A$5:$A$2005,"&gt;="&amp;ReportFrom,'Operating Expenses'!$A$5:$A$2005,"&lt;="&amp;ReportTo)+SUMIFS('Operating Expenses'!$P$5:$P$2005,'Operating Expenses'!$S$5:$S$2005,$A110,'Operating Expenses'!$A$5:$A$2005,"&gt;="&amp;ReportFrom,'Operating Expenses'!$A$5:$A$2005,"&lt;="&amp;ReportTo)+SUMIFS('Operating Expenses'!$N$5:$N$2005,'Operating Expenses'!$U$5:$U$2005,$A110,'Operating Expenses'!$A$5:$A$2005,"&gt;="&amp;ReportFrom,'Operating Expenses'!$A$5:$A$2005,"&lt;="&amp;ReportTo))</f>
        <v/>
      </c>
      <c r="R110" s="25">
        <f>IF($A110="",0,(SUMIFS('Payroll'!$O$5:$O$2005,'Payroll'!$Q$5:$Q$2005,$A110,'Payroll'!$A$5:$A$2005,"&lt;"&amp;ReportFrom))-(SUMIFS('Payroll'!$K$5:$K$2005,'Payroll'!$R$5:$R$2005,$A110,'Payroll'!$A$5:$A$2005,"&lt;"&amp;ReportFrom)+SUMIFS('Payroll'!$P$5:$P$2005,'Payroll'!$S$5:$S$2005,$A110,'Payroll'!$A$5:$A$2005,"&lt;"&amp;ReportFrom)))</f>
        <v/>
      </c>
      <c r="S110" s="25">
        <f>IF($A110="",0,SUMIFS('Payroll'!$O$5:$O$2005,'Payroll'!$Q$5:$Q$2005,$A110,'Payroll'!$A$5:$A$2005,"&gt;="&amp;ReportFrom,'Payroll'!$A$5:$A$2005,"&lt;="&amp;ReportTo))</f>
        <v/>
      </c>
      <c r="T110" s="25">
        <f>IF($A110="",0,SUMIFS('Payroll'!$K$5:$K$2005,'Payroll'!$R$5:$R$2005,$A110,'Payroll'!$A$5:$A$2005,"&gt;="&amp;ReportFrom,'Payroll'!$A$5:$A$2005,"&lt;="&amp;ReportTo)+SUMIFS('Payroll'!$P$5:$P$2005,'Payroll'!$S$5:$S$2005,$A110,'Payroll'!$A$5:$A$2005,"&gt;="&amp;ReportFrom,'Payroll'!$A$5:$A$2005,"&lt;="&amp;ReportTo))</f>
        <v/>
      </c>
      <c r="U110" s="25">
        <f>IF($A110="",0,(SUMIFS('Receipt Vouchers'!$F$5:$F$2005,'Receipt Vouchers'!$O$5:$O$2005,$A110,'Receipt Vouchers'!$A$5:$A$2005,"&lt;"&amp;ReportFrom)+SUMIFS('Receipt Vouchers'!$J$5:$J$2005,'Receipt Vouchers'!$Q$5:$Q$2005,$A110,'Receipt Vouchers'!$A$5:$A$2005,"&lt;"&amp;ReportFrom))-(SUMIFS('Receipt Vouchers'!$N$5:$N$2005,'Receipt Vouchers'!$P$5:$P$2005,$A110,'Receipt Vouchers'!$A$5:$A$2005,"&lt;"&amp;ReportFrom)+SUMIFS('Receipt Vouchers'!$M$5:$M$2005,'Receipt Vouchers'!$R$5:$R$2005,$A110,'Receipt Vouchers'!$A$5:$A$2005,"&lt;"&amp;ReportFrom)))</f>
        <v/>
      </c>
      <c r="V110" s="25">
        <f>IF($A110="",0,SUMIFS('Receipt Vouchers'!$F$5:$F$2005,'Receipt Vouchers'!$O$5:$O$2005,$A110,'Receipt Vouchers'!$A$5:$A$2005,"&gt;="&amp;ReportFrom,'Receipt Vouchers'!$A$5:$A$2005,"&lt;="&amp;ReportTo)+SUMIFS('Receipt Vouchers'!$J$5:$J$2005,'Receipt Vouchers'!$Q$5:$Q$2005,$A110,'Receipt Vouchers'!$A$5:$A$2005,"&gt;="&amp;ReportFrom,'Receipt Vouchers'!$A$5:$A$2005,"&lt;="&amp;ReportTo))</f>
        <v/>
      </c>
      <c r="W110" s="25">
        <f>IF($A110="",0,SUMIFS('Receipt Vouchers'!$N$5:$N$2005,'Receipt Vouchers'!$P$5:$P$2005,$A110,'Receipt Vouchers'!$A$5:$A$2005,"&gt;="&amp;ReportFrom,'Receipt Vouchers'!$A$5:$A$2005,"&lt;="&amp;ReportTo)+SUMIFS('Receipt Vouchers'!$M$5:$M$2005,'Receipt Vouchers'!$R$5:$R$2005,$A110,'Receipt Vouchers'!$A$5:$A$2005,"&gt;="&amp;ReportFrom,'Receipt Vouchers'!$A$5:$A$2005,"&lt;="&amp;ReportTo))</f>
        <v/>
      </c>
      <c r="X110" s="25">
        <f>IF($A110="",0,(SUMIFS('Sales Invoices'!$O$5:$O$2005,'Sales Invoices'!$P$5:$P$2005,$A110,'Sales Invoices'!$B$5:$B$2005,"&lt;"&amp;ReportFrom)+SUMIFS('Sales Invoices'!$N$5:$N$2005,'Sales Invoices'!$R$5:$R$2005,$A110,'Sales Invoices'!$B$5:$B$2005,"&lt;"&amp;ReportFrom))-(SUMIFS('Sales Invoices'!$L$5:$L$2005,'Sales Invoices'!$Q$5:$Q$2005,$A110,'Sales Invoices'!$B$5:$B$2005,"&lt;"&amp;ReportFrom)+SUMIFS('Sales Invoices'!$M$5:$M$2005,'Sales Invoices'!$S$5:$S$2005,$A110,'Sales Invoices'!$B$5:$B$2005,"&lt;"&amp;ReportFrom)))</f>
        <v/>
      </c>
      <c r="Y110" s="25">
        <f>IF($A110="",0,SUMIFS('Sales Invoices'!$O$5:$O$2005,'Sales Invoices'!$P$5:$P$2005,$A110,'Sales Invoices'!$B$5:$B$2005,"&gt;="&amp;ReportFrom,'Sales Invoices'!$B$5:$B$2005,"&lt;="&amp;ReportTo)+SUMIFS('Sales Invoices'!$N$5:$N$2005,'Sales Invoices'!$R$5:$R$2005,$A110,'Sales Invoices'!$B$5:$B$2005,"&gt;="&amp;ReportFrom,'Sales Invoices'!$B$5:$B$2005,"&lt;="&amp;ReportTo))</f>
        <v/>
      </c>
      <c r="Z110" s="25">
        <f>IF($A110="",0,SUMIFS('Sales Invoices'!$L$5:$L$2005,'Sales Invoices'!$Q$5:$Q$2005,$A110,'Sales Invoices'!$B$5:$B$2005,"&gt;="&amp;ReportFrom,'Sales Invoices'!$B$5:$B$2005,"&lt;="&amp;ReportTo)+SUMIFS('Sales Invoices'!$M$5:$M$2005,'Sales Invoices'!$S$5:$S$2005,$A110,'Sales Invoices'!$B$5:$B$2005,"&gt;="&amp;ReportFrom,'Sales Invoices'!$B$5:$B$2005,"&lt;="&amp;ReportTo))</f>
        <v/>
      </c>
      <c r="AA110" s="25">
        <f>IF($A110="",0,(SUMIFS('Payment Vouchers'!$D$5:$D$2005,'Payment Vouchers'!$J$5:$J$2005,$A110,'Payment Vouchers'!$A$5:$A$2005,"&lt;"&amp;ReportFrom))-(SUMIFS('Payment Vouchers'!$D$5:$D$2005,'Payment Vouchers'!$K$5:$K$2005,$A110,'Payment Vouchers'!$A$5:$A$2005,"&lt;"&amp;ReportFrom)))</f>
        <v/>
      </c>
      <c r="AB110" s="25">
        <f>IF($A110="",0,SUMIFS('Payment Vouchers'!$D$5:$D$2005,'Payment Vouchers'!$J$5:$J$2005,$A110,'Payment Vouchers'!$A$5:$A$2005,"&gt;="&amp;ReportFrom,'Payment Vouchers'!$A$5:$A$2005,"&lt;="&amp;ReportTo))</f>
        <v/>
      </c>
      <c r="AC110" s="25">
        <f>IF($A110="",0,SUMIFS('Payment Vouchers'!$D$5:$D$2005,'Payment Vouchers'!$K$5:$K$2005,$A110,'Payment Vouchers'!$A$5:$A$2005,"&gt;="&amp;ReportFrom,'Payment Vouchers'!$A$5:$A$2005,"&lt;="&amp;ReportTo))</f>
        <v/>
      </c>
      <c r="AD110" s="25">
        <f>IF($A110="",0,(SUMIFS('Partner Transactions'!$D$5:$D$2005,'Partner Transactions'!$L$5:$L$2005,$A110,'Partner Transactions'!$A$5:$A$2005,"&lt;"&amp;ReportFrom))-(SUMIFS('Partner Transactions'!$D$5:$D$2005,'Partner Transactions'!$M$5:$M$2005,$A110,'Partner Transactions'!$A$5:$A$2005,"&lt;"&amp;ReportFrom)))</f>
        <v/>
      </c>
      <c r="AE110" s="25">
        <f>IF($A110="",0,SUMIFS('Partner Transactions'!$D$5:$D$2005,'Partner Transactions'!$L$5:$L$2005,$A110,'Partner Transactions'!$A$5:$A$2005,"&gt;="&amp;ReportFrom,'Partner Transactions'!$A$5:$A$2005,"&lt;="&amp;ReportTo))</f>
        <v/>
      </c>
      <c r="AF110" s="25">
        <f>IF($A110="",0,SUMIFS('Partner Transactions'!$D$5:$D$2005,'Partner Transactions'!$M$5:$M$2005,$A110,'Partner Transactions'!$A$5:$A$2005,"&gt;="&amp;ReportFrom,'Partner Transactions'!$A$5:$A$2005,"&lt;="&amp;ReportTo))</f>
        <v/>
      </c>
      <c r="AG110" s="25">
        <f>IF($A110="",0,(SUMIFS('Stock Moves'!$S$5:$S$2005,'Stock Moves'!$AD$5:$AD$2005,$A110,'Stock Moves'!$A$5:$A$2005,"&lt;"&amp;ReportFrom)+SUMIFS('Stock Moves'!$T$5:$T$2005,'Stock Moves'!$V$5:$V$2005,$A110,'Stock Moves'!$A$5:$A$2005,"&lt;"&amp;ReportFrom))-(SUMIFS('Stock Moves'!$AF$5:$AF$2005,'Stock Moves'!$AE$5:$AE$2005,$A110,'Stock Moves'!$A$5:$A$2005,"&lt;"&amp;ReportFrom)+SUMIFS('Stock Moves'!$AC$5:$AC$2005,'Stock Moves'!$X$5:$X$2005,$A110,'Stock Moves'!$A$5:$A$2005,"&lt;"&amp;ReportFrom)+SUMIFS('Stock Moves'!$U$5:$U$2005,'Stock Moves'!$W$5:$W$2005,$A110,'Stock Moves'!$A$5:$A$2005,"&lt;"&amp;ReportFrom)))</f>
        <v/>
      </c>
      <c r="AH110" s="25">
        <f>IF($A110="",0,SUMIFS('Stock Moves'!$S$5:$S$2005,'Stock Moves'!$AD$5:$AD$2005,$A110,'Stock Moves'!$A$5:$A$2005,"&gt;="&amp;ReportFrom,'Stock Moves'!$A$5:$A$2005,"&lt;="&amp;ReportTo)+SUMIFS('Stock Moves'!$T$5:$T$2005,'Stock Moves'!$V$5:$V$2005,$A110,'Stock Moves'!$A$5:$A$2005,"&gt;="&amp;ReportFrom,'Stock Moves'!$A$5:$A$2005,"&lt;="&amp;ReportTo))</f>
        <v/>
      </c>
      <c r="AI110" s="25">
        <f>IF($A110="",0,SUMIFS('Stock Moves'!$AF$5:$AF$2005,'Stock Moves'!$AE$5:$AE$2005,$A110,'Stock Moves'!$A$5:$A$2005,"&gt;="&amp;ReportFrom,'Stock Moves'!$A$5:$A$2005,"&lt;="&amp;ReportTo)+SUMIFS('Stock Moves'!$AC$5:$AC$2005,'Stock Moves'!$X$5:$X$2005,$A110,'Stock Moves'!$A$5:$A$2005,"&gt;="&amp;ReportFrom,'Stock Moves'!$A$5:$A$2005,"&lt;="&amp;ReportTo)+SUMIFS('Stock Moves'!$U$5:$U$2005,'Stock Moves'!$W$5:$W$2005,$A110,'Stock Moves'!$A$5:$A$2005,"&gt;="&amp;ReportFrom,'Stock Moves'!$A$5:$A$2005,"&lt;="&amp;ReportTo))</f>
        <v/>
      </c>
      <c r="AJ110" s="25">
        <f>IF($A110="",0,(SUMIFS('Journal Vouchers'!$I$5:$I$2005,'Journal Vouchers'!$H$5:$H$2005,$A110,'Journal Vouchers'!$B$5:$B$2005,"&lt;"&amp;ReportFrom))-(SUMIFS('Journal Vouchers'!$J$5:$J$2005,'Journal Vouchers'!$H$5:$H$2005,$A110,'Journal Vouchers'!$B$5:$B$2005,"&lt;"&amp;ReportFrom)))</f>
        <v/>
      </c>
      <c r="AK110" s="25">
        <f>IF($A110="",0,SUMIFS('Journal Vouchers'!$I$5:$I$2005,'Journal Vouchers'!$H$5:$H$2005,$A110,'Journal Vouchers'!$B$5:$B$2005,"&gt;="&amp;ReportFrom,'Journal Vouchers'!$B$5:$B$2005,"&lt;="&amp;ReportTo))</f>
        <v/>
      </c>
      <c r="AL110" s="25">
        <f>IF($A110="",0,SUMIFS('Journal Vouchers'!$J$5:$J$2005,'Journal Vouchers'!$H$5:$H$2005,$A110,'Journal Vouchers'!$B$5:$B$2005,"&gt;="&amp;ReportFrom,'Journal Vouchers'!$B$5:$B$2005,"&lt;="&amp;ReportTo))</f>
        <v/>
      </c>
    </row>
    <row r="111">
      <c r="A111" s="25">
        <f>IF('Chart of Accounts'!A111="","",'Chart of Accounts'!A111&amp;"")</f>
        <v/>
      </c>
      <c r="B111" s="25">
        <f>IF(A111="","",'Chart of Accounts'!B111)</f>
        <v/>
      </c>
      <c r="C111" s="25">
        <f>IF(A111="","",'Chart of Accounts'!C111)</f>
        <v/>
      </c>
      <c r="D111" s="25">
        <f>IF(A111="","",'Chart of Accounts'!D111)</f>
        <v/>
      </c>
      <c r="E111" s="26">
        <f>L111+O111+R111+U111+X111+AA111+AD111+AG111+AJ111</f>
        <v/>
      </c>
      <c r="F111" s="26">
        <f>M111+P111+S111+V111+Y111+AB111+AE111+AH111+AK111</f>
        <v/>
      </c>
      <c r="G111" s="26">
        <f>N111+Q111+T111+W111+Z111+AC111+AF111+AI111+AL111</f>
        <v/>
      </c>
      <c r="H111" s="26">
        <f>E111+F111-G111</f>
        <v/>
      </c>
      <c r="I111" s="26">
        <f>MAX(H111,0)</f>
        <v/>
      </c>
      <c r="J111" s="26">
        <f>MAX(-H111,0)</f>
        <v/>
      </c>
      <c r="L111" s="25">
        <f>IF($A111="",0,(SUMIFS('Direct Costs'!$R$5:$R$2005,'Direct Costs'!$V$5:$V$2005,$A111,'Direct Costs'!$A$5:$A$2005,"&lt;"&amp;ReportFrom)+SUMIFS('Direct Costs'!$S$5:$S$2005,'Direct Costs'!$Y$5:$Y$2005,$A111,'Direct Costs'!$A$5:$A$2005,"&lt;"&amp;ReportFrom))-(SUMIFS('Direct Costs'!$L$5:$L$2005,'Direct Costs'!$W$5:$W$2005,$A111,'Direct Costs'!$A$5:$A$2005,"&lt;"&amp;ReportFrom)+SUMIFS('Direct Costs'!$U$5:$U$2005,'Direct Costs'!$X$5:$X$2005,$A111,'Direct Costs'!$A$5:$A$2005,"&lt;"&amp;ReportFrom)+SUMIFS('Direct Costs'!$T$5:$T$2005,'Direct Costs'!$Z$5:$Z$2005,$A111,'Direct Costs'!$A$5:$A$2005,"&lt;"&amp;ReportFrom)))</f>
        <v/>
      </c>
      <c r="M111" s="25">
        <f>IF($A111="",0,SUMIFS('Direct Costs'!$R$5:$R$2005,'Direct Costs'!$V$5:$V$2005,$A111,'Direct Costs'!$A$5:$A$2005,"&gt;="&amp;ReportFrom,'Direct Costs'!$A$5:$A$2005,"&lt;="&amp;ReportTo)+SUMIFS('Direct Costs'!$S$5:$S$2005,'Direct Costs'!$Y$5:$Y$2005,$A111,'Direct Costs'!$A$5:$A$2005,"&gt;="&amp;ReportFrom,'Direct Costs'!$A$5:$A$2005,"&lt;="&amp;ReportTo))</f>
        <v/>
      </c>
      <c r="N111" s="25">
        <f>IF($A111="",0,SUMIFS('Direct Costs'!$L$5:$L$2005,'Direct Costs'!$W$5:$W$2005,$A111,'Direct Costs'!$A$5:$A$2005,"&gt;="&amp;ReportFrom,'Direct Costs'!$A$5:$A$2005,"&lt;="&amp;ReportTo)+SUMIFS('Direct Costs'!$U$5:$U$2005,'Direct Costs'!$X$5:$X$2005,$A111,'Direct Costs'!$A$5:$A$2005,"&gt;="&amp;ReportFrom,'Direct Costs'!$A$5:$A$2005,"&lt;="&amp;ReportTo)+SUMIFS('Direct Costs'!$T$5:$T$2005,'Direct Costs'!$Z$5:$Z$2005,$A111,'Direct Costs'!$A$5:$A$2005,"&gt;="&amp;ReportFrom,'Direct Costs'!$A$5:$A$2005,"&lt;="&amp;ReportTo))</f>
        <v/>
      </c>
      <c r="O111" s="25">
        <f>IF($A111="",0,(SUMIFS('Operating Expenses'!$F$5:$F$2005,'Operating Expenses'!$Q$5:$Q$2005,$A111,'Operating Expenses'!$A$5:$A$2005,"&lt;"&amp;ReportFrom)+SUMIFS('Operating Expenses'!$M$5:$M$2005,'Operating Expenses'!$T$5:$T$2005,$A111,'Operating Expenses'!$A$5:$A$2005,"&lt;"&amp;ReportFrom))-(SUMIFS('Operating Expenses'!$O$5:$O$2005,'Operating Expenses'!$R$5:$R$2005,$A111,'Operating Expenses'!$A$5:$A$2005,"&lt;"&amp;ReportFrom)+SUMIFS('Operating Expenses'!$P$5:$P$2005,'Operating Expenses'!$S$5:$S$2005,$A111,'Operating Expenses'!$A$5:$A$2005,"&lt;"&amp;ReportFrom)+SUMIFS('Operating Expenses'!$N$5:$N$2005,'Operating Expenses'!$U$5:$U$2005,$A111,'Operating Expenses'!$A$5:$A$2005,"&lt;"&amp;ReportFrom)))</f>
        <v/>
      </c>
      <c r="P111" s="25">
        <f>IF($A111="",0,SUMIFS('Operating Expenses'!$F$5:$F$2005,'Operating Expenses'!$Q$5:$Q$2005,$A111,'Operating Expenses'!$A$5:$A$2005,"&gt;="&amp;ReportFrom,'Operating Expenses'!$A$5:$A$2005,"&lt;="&amp;ReportTo)+SUMIFS('Operating Expenses'!$M$5:$M$2005,'Operating Expenses'!$T$5:$T$2005,$A111,'Operating Expenses'!$A$5:$A$2005,"&gt;="&amp;ReportFrom,'Operating Expenses'!$A$5:$A$2005,"&lt;="&amp;ReportTo))</f>
        <v/>
      </c>
      <c r="Q111" s="25">
        <f>IF($A111="",0,SUMIFS('Operating Expenses'!$O$5:$O$2005,'Operating Expenses'!$R$5:$R$2005,$A111,'Operating Expenses'!$A$5:$A$2005,"&gt;="&amp;ReportFrom,'Operating Expenses'!$A$5:$A$2005,"&lt;="&amp;ReportTo)+SUMIFS('Operating Expenses'!$P$5:$P$2005,'Operating Expenses'!$S$5:$S$2005,$A111,'Operating Expenses'!$A$5:$A$2005,"&gt;="&amp;ReportFrom,'Operating Expenses'!$A$5:$A$2005,"&lt;="&amp;ReportTo)+SUMIFS('Operating Expenses'!$N$5:$N$2005,'Operating Expenses'!$U$5:$U$2005,$A111,'Operating Expenses'!$A$5:$A$2005,"&gt;="&amp;ReportFrom,'Operating Expenses'!$A$5:$A$2005,"&lt;="&amp;ReportTo))</f>
        <v/>
      </c>
      <c r="R111" s="25">
        <f>IF($A111="",0,(SUMIFS('Payroll'!$O$5:$O$2005,'Payroll'!$Q$5:$Q$2005,$A111,'Payroll'!$A$5:$A$2005,"&lt;"&amp;ReportFrom))-(SUMIFS('Payroll'!$K$5:$K$2005,'Payroll'!$R$5:$R$2005,$A111,'Payroll'!$A$5:$A$2005,"&lt;"&amp;ReportFrom)+SUMIFS('Payroll'!$P$5:$P$2005,'Payroll'!$S$5:$S$2005,$A111,'Payroll'!$A$5:$A$2005,"&lt;"&amp;ReportFrom)))</f>
        <v/>
      </c>
      <c r="S111" s="25">
        <f>IF($A111="",0,SUMIFS('Payroll'!$O$5:$O$2005,'Payroll'!$Q$5:$Q$2005,$A111,'Payroll'!$A$5:$A$2005,"&gt;="&amp;ReportFrom,'Payroll'!$A$5:$A$2005,"&lt;="&amp;ReportTo))</f>
        <v/>
      </c>
      <c r="T111" s="25">
        <f>IF($A111="",0,SUMIFS('Payroll'!$K$5:$K$2005,'Payroll'!$R$5:$R$2005,$A111,'Payroll'!$A$5:$A$2005,"&gt;="&amp;ReportFrom,'Payroll'!$A$5:$A$2005,"&lt;="&amp;ReportTo)+SUMIFS('Payroll'!$P$5:$P$2005,'Payroll'!$S$5:$S$2005,$A111,'Payroll'!$A$5:$A$2005,"&gt;="&amp;ReportFrom,'Payroll'!$A$5:$A$2005,"&lt;="&amp;ReportTo))</f>
        <v/>
      </c>
      <c r="U111" s="25">
        <f>IF($A111="",0,(SUMIFS('Receipt Vouchers'!$F$5:$F$2005,'Receipt Vouchers'!$O$5:$O$2005,$A111,'Receipt Vouchers'!$A$5:$A$2005,"&lt;"&amp;ReportFrom)+SUMIFS('Receipt Vouchers'!$J$5:$J$2005,'Receipt Vouchers'!$Q$5:$Q$2005,$A111,'Receipt Vouchers'!$A$5:$A$2005,"&lt;"&amp;ReportFrom))-(SUMIFS('Receipt Vouchers'!$N$5:$N$2005,'Receipt Vouchers'!$P$5:$P$2005,$A111,'Receipt Vouchers'!$A$5:$A$2005,"&lt;"&amp;ReportFrom)+SUMIFS('Receipt Vouchers'!$M$5:$M$2005,'Receipt Vouchers'!$R$5:$R$2005,$A111,'Receipt Vouchers'!$A$5:$A$2005,"&lt;"&amp;ReportFrom)))</f>
        <v/>
      </c>
      <c r="V111" s="25">
        <f>IF($A111="",0,SUMIFS('Receipt Vouchers'!$F$5:$F$2005,'Receipt Vouchers'!$O$5:$O$2005,$A111,'Receipt Vouchers'!$A$5:$A$2005,"&gt;="&amp;ReportFrom,'Receipt Vouchers'!$A$5:$A$2005,"&lt;="&amp;ReportTo)+SUMIFS('Receipt Vouchers'!$J$5:$J$2005,'Receipt Vouchers'!$Q$5:$Q$2005,$A111,'Receipt Vouchers'!$A$5:$A$2005,"&gt;="&amp;ReportFrom,'Receipt Vouchers'!$A$5:$A$2005,"&lt;="&amp;ReportTo))</f>
        <v/>
      </c>
      <c r="W111" s="25">
        <f>IF($A111="",0,SUMIFS('Receipt Vouchers'!$N$5:$N$2005,'Receipt Vouchers'!$P$5:$P$2005,$A111,'Receipt Vouchers'!$A$5:$A$2005,"&gt;="&amp;ReportFrom,'Receipt Vouchers'!$A$5:$A$2005,"&lt;="&amp;ReportTo)+SUMIFS('Receipt Vouchers'!$M$5:$M$2005,'Receipt Vouchers'!$R$5:$R$2005,$A111,'Receipt Vouchers'!$A$5:$A$2005,"&gt;="&amp;ReportFrom,'Receipt Vouchers'!$A$5:$A$2005,"&lt;="&amp;ReportTo))</f>
        <v/>
      </c>
      <c r="X111" s="25">
        <f>IF($A111="",0,(SUMIFS('Sales Invoices'!$O$5:$O$2005,'Sales Invoices'!$P$5:$P$2005,$A111,'Sales Invoices'!$B$5:$B$2005,"&lt;"&amp;ReportFrom)+SUMIFS('Sales Invoices'!$N$5:$N$2005,'Sales Invoices'!$R$5:$R$2005,$A111,'Sales Invoices'!$B$5:$B$2005,"&lt;"&amp;ReportFrom))-(SUMIFS('Sales Invoices'!$L$5:$L$2005,'Sales Invoices'!$Q$5:$Q$2005,$A111,'Sales Invoices'!$B$5:$B$2005,"&lt;"&amp;ReportFrom)+SUMIFS('Sales Invoices'!$M$5:$M$2005,'Sales Invoices'!$S$5:$S$2005,$A111,'Sales Invoices'!$B$5:$B$2005,"&lt;"&amp;ReportFrom)))</f>
        <v/>
      </c>
      <c r="Y111" s="25">
        <f>IF($A111="",0,SUMIFS('Sales Invoices'!$O$5:$O$2005,'Sales Invoices'!$P$5:$P$2005,$A111,'Sales Invoices'!$B$5:$B$2005,"&gt;="&amp;ReportFrom,'Sales Invoices'!$B$5:$B$2005,"&lt;="&amp;ReportTo)+SUMIFS('Sales Invoices'!$N$5:$N$2005,'Sales Invoices'!$R$5:$R$2005,$A111,'Sales Invoices'!$B$5:$B$2005,"&gt;="&amp;ReportFrom,'Sales Invoices'!$B$5:$B$2005,"&lt;="&amp;ReportTo))</f>
        <v/>
      </c>
      <c r="Z111" s="25">
        <f>IF($A111="",0,SUMIFS('Sales Invoices'!$L$5:$L$2005,'Sales Invoices'!$Q$5:$Q$2005,$A111,'Sales Invoices'!$B$5:$B$2005,"&gt;="&amp;ReportFrom,'Sales Invoices'!$B$5:$B$2005,"&lt;="&amp;ReportTo)+SUMIFS('Sales Invoices'!$M$5:$M$2005,'Sales Invoices'!$S$5:$S$2005,$A111,'Sales Invoices'!$B$5:$B$2005,"&gt;="&amp;ReportFrom,'Sales Invoices'!$B$5:$B$2005,"&lt;="&amp;ReportTo))</f>
        <v/>
      </c>
      <c r="AA111" s="25">
        <f>IF($A111="",0,(SUMIFS('Payment Vouchers'!$D$5:$D$2005,'Payment Vouchers'!$J$5:$J$2005,$A111,'Payment Vouchers'!$A$5:$A$2005,"&lt;"&amp;ReportFrom))-(SUMIFS('Payment Vouchers'!$D$5:$D$2005,'Payment Vouchers'!$K$5:$K$2005,$A111,'Payment Vouchers'!$A$5:$A$2005,"&lt;"&amp;ReportFrom)))</f>
        <v/>
      </c>
      <c r="AB111" s="25">
        <f>IF($A111="",0,SUMIFS('Payment Vouchers'!$D$5:$D$2005,'Payment Vouchers'!$J$5:$J$2005,$A111,'Payment Vouchers'!$A$5:$A$2005,"&gt;="&amp;ReportFrom,'Payment Vouchers'!$A$5:$A$2005,"&lt;="&amp;ReportTo))</f>
        <v/>
      </c>
      <c r="AC111" s="25">
        <f>IF($A111="",0,SUMIFS('Payment Vouchers'!$D$5:$D$2005,'Payment Vouchers'!$K$5:$K$2005,$A111,'Payment Vouchers'!$A$5:$A$2005,"&gt;="&amp;ReportFrom,'Payment Vouchers'!$A$5:$A$2005,"&lt;="&amp;ReportTo))</f>
        <v/>
      </c>
      <c r="AD111" s="25">
        <f>IF($A111="",0,(SUMIFS('Partner Transactions'!$D$5:$D$2005,'Partner Transactions'!$L$5:$L$2005,$A111,'Partner Transactions'!$A$5:$A$2005,"&lt;"&amp;ReportFrom))-(SUMIFS('Partner Transactions'!$D$5:$D$2005,'Partner Transactions'!$M$5:$M$2005,$A111,'Partner Transactions'!$A$5:$A$2005,"&lt;"&amp;ReportFrom)))</f>
        <v/>
      </c>
      <c r="AE111" s="25">
        <f>IF($A111="",0,SUMIFS('Partner Transactions'!$D$5:$D$2005,'Partner Transactions'!$L$5:$L$2005,$A111,'Partner Transactions'!$A$5:$A$2005,"&gt;="&amp;ReportFrom,'Partner Transactions'!$A$5:$A$2005,"&lt;="&amp;ReportTo))</f>
        <v/>
      </c>
      <c r="AF111" s="25">
        <f>IF($A111="",0,SUMIFS('Partner Transactions'!$D$5:$D$2005,'Partner Transactions'!$M$5:$M$2005,$A111,'Partner Transactions'!$A$5:$A$2005,"&gt;="&amp;ReportFrom,'Partner Transactions'!$A$5:$A$2005,"&lt;="&amp;ReportTo))</f>
        <v/>
      </c>
      <c r="AG111" s="25">
        <f>IF($A111="",0,(SUMIFS('Stock Moves'!$S$5:$S$2005,'Stock Moves'!$AD$5:$AD$2005,$A111,'Stock Moves'!$A$5:$A$2005,"&lt;"&amp;ReportFrom)+SUMIFS('Stock Moves'!$T$5:$T$2005,'Stock Moves'!$V$5:$V$2005,$A111,'Stock Moves'!$A$5:$A$2005,"&lt;"&amp;ReportFrom))-(SUMIFS('Stock Moves'!$AF$5:$AF$2005,'Stock Moves'!$AE$5:$AE$2005,$A111,'Stock Moves'!$A$5:$A$2005,"&lt;"&amp;ReportFrom)+SUMIFS('Stock Moves'!$AC$5:$AC$2005,'Stock Moves'!$X$5:$X$2005,$A111,'Stock Moves'!$A$5:$A$2005,"&lt;"&amp;ReportFrom)+SUMIFS('Stock Moves'!$U$5:$U$2005,'Stock Moves'!$W$5:$W$2005,$A111,'Stock Moves'!$A$5:$A$2005,"&lt;"&amp;ReportFrom)))</f>
        <v/>
      </c>
      <c r="AH111" s="25">
        <f>IF($A111="",0,SUMIFS('Stock Moves'!$S$5:$S$2005,'Stock Moves'!$AD$5:$AD$2005,$A111,'Stock Moves'!$A$5:$A$2005,"&gt;="&amp;ReportFrom,'Stock Moves'!$A$5:$A$2005,"&lt;="&amp;ReportTo)+SUMIFS('Stock Moves'!$T$5:$T$2005,'Stock Moves'!$V$5:$V$2005,$A111,'Stock Moves'!$A$5:$A$2005,"&gt;="&amp;ReportFrom,'Stock Moves'!$A$5:$A$2005,"&lt;="&amp;ReportTo))</f>
        <v/>
      </c>
      <c r="AI111" s="25">
        <f>IF($A111="",0,SUMIFS('Stock Moves'!$AF$5:$AF$2005,'Stock Moves'!$AE$5:$AE$2005,$A111,'Stock Moves'!$A$5:$A$2005,"&gt;="&amp;ReportFrom,'Stock Moves'!$A$5:$A$2005,"&lt;="&amp;ReportTo)+SUMIFS('Stock Moves'!$AC$5:$AC$2005,'Stock Moves'!$X$5:$X$2005,$A111,'Stock Moves'!$A$5:$A$2005,"&gt;="&amp;ReportFrom,'Stock Moves'!$A$5:$A$2005,"&lt;="&amp;ReportTo)+SUMIFS('Stock Moves'!$U$5:$U$2005,'Stock Moves'!$W$5:$W$2005,$A111,'Stock Moves'!$A$5:$A$2005,"&gt;="&amp;ReportFrom,'Stock Moves'!$A$5:$A$2005,"&lt;="&amp;ReportTo))</f>
        <v/>
      </c>
      <c r="AJ111" s="25">
        <f>IF($A111="",0,(SUMIFS('Journal Vouchers'!$I$5:$I$2005,'Journal Vouchers'!$H$5:$H$2005,$A111,'Journal Vouchers'!$B$5:$B$2005,"&lt;"&amp;ReportFrom))-(SUMIFS('Journal Vouchers'!$J$5:$J$2005,'Journal Vouchers'!$H$5:$H$2005,$A111,'Journal Vouchers'!$B$5:$B$2005,"&lt;"&amp;ReportFrom)))</f>
        <v/>
      </c>
      <c r="AK111" s="25">
        <f>IF($A111="",0,SUMIFS('Journal Vouchers'!$I$5:$I$2005,'Journal Vouchers'!$H$5:$H$2005,$A111,'Journal Vouchers'!$B$5:$B$2005,"&gt;="&amp;ReportFrom,'Journal Vouchers'!$B$5:$B$2005,"&lt;="&amp;ReportTo))</f>
        <v/>
      </c>
      <c r="AL111" s="25">
        <f>IF($A111="",0,SUMIFS('Journal Vouchers'!$J$5:$J$2005,'Journal Vouchers'!$H$5:$H$2005,$A111,'Journal Vouchers'!$B$5:$B$2005,"&gt;="&amp;ReportFrom,'Journal Vouchers'!$B$5:$B$2005,"&lt;="&amp;ReportTo))</f>
        <v/>
      </c>
    </row>
    <row r="112">
      <c r="A112" s="25">
        <f>IF('Chart of Accounts'!A112="","",'Chart of Accounts'!A112&amp;"")</f>
        <v/>
      </c>
      <c r="B112" s="25">
        <f>IF(A112="","",'Chart of Accounts'!B112)</f>
        <v/>
      </c>
      <c r="C112" s="25">
        <f>IF(A112="","",'Chart of Accounts'!C112)</f>
        <v/>
      </c>
      <c r="D112" s="25">
        <f>IF(A112="","",'Chart of Accounts'!D112)</f>
        <v/>
      </c>
      <c r="E112" s="26">
        <f>L112+O112+R112+U112+X112+AA112+AD112+AG112+AJ112</f>
        <v/>
      </c>
      <c r="F112" s="26">
        <f>M112+P112+S112+V112+Y112+AB112+AE112+AH112+AK112</f>
        <v/>
      </c>
      <c r="G112" s="26">
        <f>N112+Q112+T112+W112+Z112+AC112+AF112+AI112+AL112</f>
        <v/>
      </c>
      <c r="H112" s="26">
        <f>E112+F112-G112</f>
        <v/>
      </c>
      <c r="I112" s="26">
        <f>MAX(H112,0)</f>
        <v/>
      </c>
      <c r="J112" s="26">
        <f>MAX(-H112,0)</f>
        <v/>
      </c>
      <c r="L112" s="25">
        <f>IF($A112="",0,(SUMIFS('Direct Costs'!$R$5:$R$2005,'Direct Costs'!$V$5:$V$2005,$A112,'Direct Costs'!$A$5:$A$2005,"&lt;"&amp;ReportFrom)+SUMIFS('Direct Costs'!$S$5:$S$2005,'Direct Costs'!$Y$5:$Y$2005,$A112,'Direct Costs'!$A$5:$A$2005,"&lt;"&amp;ReportFrom))-(SUMIFS('Direct Costs'!$L$5:$L$2005,'Direct Costs'!$W$5:$W$2005,$A112,'Direct Costs'!$A$5:$A$2005,"&lt;"&amp;ReportFrom)+SUMIFS('Direct Costs'!$U$5:$U$2005,'Direct Costs'!$X$5:$X$2005,$A112,'Direct Costs'!$A$5:$A$2005,"&lt;"&amp;ReportFrom)+SUMIFS('Direct Costs'!$T$5:$T$2005,'Direct Costs'!$Z$5:$Z$2005,$A112,'Direct Costs'!$A$5:$A$2005,"&lt;"&amp;ReportFrom)))</f>
        <v/>
      </c>
      <c r="M112" s="25">
        <f>IF($A112="",0,SUMIFS('Direct Costs'!$R$5:$R$2005,'Direct Costs'!$V$5:$V$2005,$A112,'Direct Costs'!$A$5:$A$2005,"&gt;="&amp;ReportFrom,'Direct Costs'!$A$5:$A$2005,"&lt;="&amp;ReportTo)+SUMIFS('Direct Costs'!$S$5:$S$2005,'Direct Costs'!$Y$5:$Y$2005,$A112,'Direct Costs'!$A$5:$A$2005,"&gt;="&amp;ReportFrom,'Direct Costs'!$A$5:$A$2005,"&lt;="&amp;ReportTo))</f>
        <v/>
      </c>
      <c r="N112" s="25">
        <f>IF($A112="",0,SUMIFS('Direct Costs'!$L$5:$L$2005,'Direct Costs'!$W$5:$W$2005,$A112,'Direct Costs'!$A$5:$A$2005,"&gt;="&amp;ReportFrom,'Direct Costs'!$A$5:$A$2005,"&lt;="&amp;ReportTo)+SUMIFS('Direct Costs'!$U$5:$U$2005,'Direct Costs'!$X$5:$X$2005,$A112,'Direct Costs'!$A$5:$A$2005,"&gt;="&amp;ReportFrom,'Direct Costs'!$A$5:$A$2005,"&lt;="&amp;ReportTo)+SUMIFS('Direct Costs'!$T$5:$T$2005,'Direct Costs'!$Z$5:$Z$2005,$A112,'Direct Costs'!$A$5:$A$2005,"&gt;="&amp;ReportFrom,'Direct Costs'!$A$5:$A$2005,"&lt;="&amp;ReportTo))</f>
        <v/>
      </c>
      <c r="O112" s="25">
        <f>IF($A112="",0,(SUMIFS('Operating Expenses'!$F$5:$F$2005,'Operating Expenses'!$Q$5:$Q$2005,$A112,'Operating Expenses'!$A$5:$A$2005,"&lt;"&amp;ReportFrom)+SUMIFS('Operating Expenses'!$M$5:$M$2005,'Operating Expenses'!$T$5:$T$2005,$A112,'Operating Expenses'!$A$5:$A$2005,"&lt;"&amp;ReportFrom))-(SUMIFS('Operating Expenses'!$O$5:$O$2005,'Operating Expenses'!$R$5:$R$2005,$A112,'Operating Expenses'!$A$5:$A$2005,"&lt;"&amp;ReportFrom)+SUMIFS('Operating Expenses'!$P$5:$P$2005,'Operating Expenses'!$S$5:$S$2005,$A112,'Operating Expenses'!$A$5:$A$2005,"&lt;"&amp;ReportFrom)+SUMIFS('Operating Expenses'!$N$5:$N$2005,'Operating Expenses'!$U$5:$U$2005,$A112,'Operating Expenses'!$A$5:$A$2005,"&lt;"&amp;ReportFrom)))</f>
        <v/>
      </c>
      <c r="P112" s="25">
        <f>IF($A112="",0,SUMIFS('Operating Expenses'!$F$5:$F$2005,'Operating Expenses'!$Q$5:$Q$2005,$A112,'Operating Expenses'!$A$5:$A$2005,"&gt;="&amp;ReportFrom,'Operating Expenses'!$A$5:$A$2005,"&lt;="&amp;ReportTo)+SUMIFS('Operating Expenses'!$M$5:$M$2005,'Operating Expenses'!$T$5:$T$2005,$A112,'Operating Expenses'!$A$5:$A$2005,"&gt;="&amp;ReportFrom,'Operating Expenses'!$A$5:$A$2005,"&lt;="&amp;ReportTo))</f>
        <v/>
      </c>
      <c r="Q112" s="25">
        <f>IF($A112="",0,SUMIFS('Operating Expenses'!$O$5:$O$2005,'Operating Expenses'!$R$5:$R$2005,$A112,'Operating Expenses'!$A$5:$A$2005,"&gt;="&amp;ReportFrom,'Operating Expenses'!$A$5:$A$2005,"&lt;="&amp;ReportTo)+SUMIFS('Operating Expenses'!$P$5:$P$2005,'Operating Expenses'!$S$5:$S$2005,$A112,'Operating Expenses'!$A$5:$A$2005,"&gt;="&amp;ReportFrom,'Operating Expenses'!$A$5:$A$2005,"&lt;="&amp;ReportTo)+SUMIFS('Operating Expenses'!$N$5:$N$2005,'Operating Expenses'!$U$5:$U$2005,$A112,'Operating Expenses'!$A$5:$A$2005,"&gt;="&amp;ReportFrom,'Operating Expenses'!$A$5:$A$2005,"&lt;="&amp;ReportTo))</f>
        <v/>
      </c>
      <c r="R112" s="25">
        <f>IF($A112="",0,(SUMIFS('Payroll'!$O$5:$O$2005,'Payroll'!$Q$5:$Q$2005,$A112,'Payroll'!$A$5:$A$2005,"&lt;"&amp;ReportFrom))-(SUMIFS('Payroll'!$K$5:$K$2005,'Payroll'!$R$5:$R$2005,$A112,'Payroll'!$A$5:$A$2005,"&lt;"&amp;ReportFrom)+SUMIFS('Payroll'!$P$5:$P$2005,'Payroll'!$S$5:$S$2005,$A112,'Payroll'!$A$5:$A$2005,"&lt;"&amp;ReportFrom)))</f>
        <v/>
      </c>
      <c r="S112" s="25">
        <f>IF($A112="",0,SUMIFS('Payroll'!$O$5:$O$2005,'Payroll'!$Q$5:$Q$2005,$A112,'Payroll'!$A$5:$A$2005,"&gt;="&amp;ReportFrom,'Payroll'!$A$5:$A$2005,"&lt;="&amp;ReportTo))</f>
        <v/>
      </c>
      <c r="T112" s="25">
        <f>IF($A112="",0,SUMIFS('Payroll'!$K$5:$K$2005,'Payroll'!$R$5:$R$2005,$A112,'Payroll'!$A$5:$A$2005,"&gt;="&amp;ReportFrom,'Payroll'!$A$5:$A$2005,"&lt;="&amp;ReportTo)+SUMIFS('Payroll'!$P$5:$P$2005,'Payroll'!$S$5:$S$2005,$A112,'Payroll'!$A$5:$A$2005,"&gt;="&amp;ReportFrom,'Payroll'!$A$5:$A$2005,"&lt;="&amp;ReportTo))</f>
        <v/>
      </c>
      <c r="U112" s="25">
        <f>IF($A112="",0,(SUMIFS('Receipt Vouchers'!$F$5:$F$2005,'Receipt Vouchers'!$O$5:$O$2005,$A112,'Receipt Vouchers'!$A$5:$A$2005,"&lt;"&amp;ReportFrom)+SUMIFS('Receipt Vouchers'!$J$5:$J$2005,'Receipt Vouchers'!$Q$5:$Q$2005,$A112,'Receipt Vouchers'!$A$5:$A$2005,"&lt;"&amp;ReportFrom))-(SUMIFS('Receipt Vouchers'!$N$5:$N$2005,'Receipt Vouchers'!$P$5:$P$2005,$A112,'Receipt Vouchers'!$A$5:$A$2005,"&lt;"&amp;ReportFrom)+SUMIFS('Receipt Vouchers'!$M$5:$M$2005,'Receipt Vouchers'!$R$5:$R$2005,$A112,'Receipt Vouchers'!$A$5:$A$2005,"&lt;"&amp;ReportFrom)))</f>
        <v/>
      </c>
      <c r="V112" s="25">
        <f>IF($A112="",0,SUMIFS('Receipt Vouchers'!$F$5:$F$2005,'Receipt Vouchers'!$O$5:$O$2005,$A112,'Receipt Vouchers'!$A$5:$A$2005,"&gt;="&amp;ReportFrom,'Receipt Vouchers'!$A$5:$A$2005,"&lt;="&amp;ReportTo)+SUMIFS('Receipt Vouchers'!$J$5:$J$2005,'Receipt Vouchers'!$Q$5:$Q$2005,$A112,'Receipt Vouchers'!$A$5:$A$2005,"&gt;="&amp;ReportFrom,'Receipt Vouchers'!$A$5:$A$2005,"&lt;="&amp;ReportTo))</f>
        <v/>
      </c>
      <c r="W112" s="25">
        <f>IF($A112="",0,SUMIFS('Receipt Vouchers'!$N$5:$N$2005,'Receipt Vouchers'!$P$5:$P$2005,$A112,'Receipt Vouchers'!$A$5:$A$2005,"&gt;="&amp;ReportFrom,'Receipt Vouchers'!$A$5:$A$2005,"&lt;="&amp;ReportTo)+SUMIFS('Receipt Vouchers'!$M$5:$M$2005,'Receipt Vouchers'!$R$5:$R$2005,$A112,'Receipt Vouchers'!$A$5:$A$2005,"&gt;="&amp;ReportFrom,'Receipt Vouchers'!$A$5:$A$2005,"&lt;="&amp;ReportTo))</f>
        <v/>
      </c>
      <c r="X112" s="25">
        <f>IF($A112="",0,(SUMIFS('Sales Invoices'!$O$5:$O$2005,'Sales Invoices'!$P$5:$P$2005,$A112,'Sales Invoices'!$B$5:$B$2005,"&lt;"&amp;ReportFrom)+SUMIFS('Sales Invoices'!$N$5:$N$2005,'Sales Invoices'!$R$5:$R$2005,$A112,'Sales Invoices'!$B$5:$B$2005,"&lt;"&amp;ReportFrom))-(SUMIFS('Sales Invoices'!$L$5:$L$2005,'Sales Invoices'!$Q$5:$Q$2005,$A112,'Sales Invoices'!$B$5:$B$2005,"&lt;"&amp;ReportFrom)+SUMIFS('Sales Invoices'!$M$5:$M$2005,'Sales Invoices'!$S$5:$S$2005,$A112,'Sales Invoices'!$B$5:$B$2005,"&lt;"&amp;ReportFrom)))</f>
        <v/>
      </c>
      <c r="Y112" s="25">
        <f>IF($A112="",0,SUMIFS('Sales Invoices'!$O$5:$O$2005,'Sales Invoices'!$P$5:$P$2005,$A112,'Sales Invoices'!$B$5:$B$2005,"&gt;="&amp;ReportFrom,'Sales Invoices'!$B$5:$B$2005,"&lt;="&amp;ReportTo)+SUMIFS('Sales Invoices'!$N$5:$N$2005,'Sales Invoices'!$R$5:$R$2005,$A112,'Sales Invoices'!$B$5:$B$2005,"&gt;="&amp;ReportFrom,'Sales Invoices'!$B$5:$B$2005,"&lt;="&amp;ReportTo))</f>
        <v/>
      </c>
      <c r="Z112" s="25">
        <f>IF($A112="",0,SUMIFS('Sales Invoices'!$L$5:$L$2005,'Sales Invoices'!$Q$5:$Q$2005,$A112,'Sales Invoices'!$B$5:$B$2005,"&gt;="&amp;ReportFrom,'Sales Invoices'!$B$5:$B$2005,"&lt;="&amp;ReportTo)+SUMIFS('Sales Invoices'!$M$5:$M$2005,'Sales Invoices'!$S$5:$S$2005,$A112,'Sales Invoices'!$B$5:$B$2005,"&gt;="&amp;ReportFrom,'Sales Invoices'!$B$5:$B$2005,"&lt;="&amp;ReportTo))</f>
        <v/>
      </c>
      <c r="AA112" s="25">
        <f>IF($A112="",0,(SUMIFS('Payment Vouchers'!$D$5:$D$2005,'Payment Vouchers'!$J$5:$J$2005,$A112,'Payment Vouchers'!$A$5:$A$2005,"&lt;"&amp;ReportFrom))-(SUMIFS('Payment Vouchers'!$D$5:$D$2005,'Payment Vouchers'!$K$5:$K$2005,$A112,'Payment Vouchers'!$A$5:$A$2005,"&lt;"&amp;ReportFrom)))</f>
        <v/>
      </c>
      <c r="AB112" s="25">
        <f>IF($A112="",0,SUMIFS('Payment Vouchers'!$D$5:$D$2005,'Payment Vouchers'!$J$5:$J$2005,$A112,'Payment Vouchers'!$A$5:$A$2005,"&gt;="&amp;ReportFrom,'Payment Vouchers'!$A$5:$A$2005,"&lt;="&amp;ReportTo))</f>
        <v/>
      </c>
      <c r="AC112" s="25">
        <f>IF($A112="",0,SUMIFS('Payment Vouchers'!$D$5:$D$2005,'Payment Vouchers'!$K$5:$K$2005,$A112,'Payment Vouchers'!$A$5:$A$2005,"&gt;="&amp;ReportFrom,'Payment Vouchers'!$A$5:$A$2005,"&lt;="&amp;ReportTo))</f>
        <v/>
      </c>
      <c r="AD112" s="25">
        <f>IF($A112="",0,(SUMIFS('Partner Transactions'!$D$5:$D$2005,'Partner Transactions'!$L$5:$L$2005,$A112,'Partner Transactions'!$A$5:$A$2005,"&lt;"&amp;ReportFrom))-(SUMIFS('Partner Transactions'!$D$5:$D$2005,'Partner Transactions'!$M$5:$M$2005,$A112,'Partner Transactions'!$A$5:$A$2005,"&lt;"&amp;ReportFrom)))</f>
        <v/>
      </c>
      <c r="AE112" s="25">
        <f>IF($A112="",0,SUMIFS('Partner Transactions'!$D$5:$D$2005,'Partner Transactions'!$L$5:$L$2005,$A112,'Partner Transactions'!$A$5:$A$2005,"&gt;="&amp;ReportFrom,'Partner Transactions'!$A$5:$A$2005,"&lt;="&amp;ReportTo))</f>
        <v/>
      </c>
      <c r="AF112" s="25">
        <f>IF($A112="",0,SUMIFS('Partner Transactions'!$D$5:$D$2005,'Partner Transactions'!$M$5:$M$2005,$A112,'Partner Transactions'!$A$5:$A$2005,"&gt;="&amp;ReportFrom,'Partner Transactions'!$A$5:$A$2005,"&lt;="&amp;ReportTo))</f>
        <v/>
      </c>
      <c r="AG112" s="25">
        <f>IF($A112="",0,(SUMIFS('Stock Moves'!$S$5:$S$2005,'Stock Moves'!$AD$5:$AD$2005,$A112,'Stock Moves'!$A$5:$A$2005,"&lt;"&amp;ReportFrom)+SUMIFS('Stock Moves'!$T$5:$T$2005,'Stock Moves'!$V$5:$V$2005,$A112,'Stock Moves'!$A$5:$A$2005,"&lt;"&amp;ReportFrom))-(SUMIFS('Stock Moves'!$AF$5:$AF$2005,'Stock Moves'!$AE$5:$AE$2005,$A112,'Stock Moves'!$A$5:$A$2005,"&lt;"&amp;ReportFrom)+SUMIFS('Stock Moves'!$AC$5:$AC$2005,'Stock Moves'!$X$5:$X$2005,$A112,'Stock Moves'!$A$5:$A$2005,"&lt;"&amp;ReportFrom)+SUMIFS('Stock Moves'!$U$5:$U$2005,'Stock Moves'!$W$5:$W$2005,$A112,'Stock Moves'!$A$5:$A$2005,"&lt;"&amp;ReportFrom)))</f>
        <v/>
      </c>
      <c r="AH112" s="25">
        <f>IF($A112="",0,SUMIFS('Stock Moves'!$S$5:$S$2005,'Stock Moves'!$AD$5:$AD$2005,$A112,'Stock Moves'!$A$5:$A$2005,"&gt;="&amp;ReportFrom,'Stock Moves'!$A$5:$A$2005,"&lt;="&amp;ReportTo)+SUMIFS('Stock Moves'!$T$5:$T$2005,'Stock Moves'!$V$5:$V$2005,$A112,'Stock Moves'!$A$5:$A$2005,"&gt;="&amp;ReportFrom,'Stock Moves'!$A$5:$A$2005,"&lt;="&amp;ReportTo))</f>
        <v/>
      </c>
      <c r="AI112" s="25">
        <f>IF($A112="",0,SUMIFS('Stock Moves'!$AF$5:$AF$2005,'Stock Moves'!$AE$5:$AE$2005,$A112,'Stock Moves'!$A$5:$A$2005,"&gt;="&amp;ReportFrom,'Stock Moves'!$A$5:$A$2005,"&lt;="&amp;ReportTo)+SUMIFS('Stock Moves'!$AC$5:$AC$2005,'Stock Moves'!$X$5:$X$2005,$A112,'Stock Moves'!$A$5:$A$2005,"&gt;="&amp;ReportFrom,'Stock Moves'!$A$5:$A$2005,"&lt;="&amp;ReportTo)+SUMIFS('Stock Moves'!$U$5:$U$2005,'Stock Moves'!$W$5:$W$2005,$A112,'Stock Moves'!$A$5:$A$2005,"&gt;="&amp;ReportFrom,'Stock Moves'!$A$5:$A$2005,"&lt;="&amp;ReportTo))</f>
        <v/>
      </c>
      <c r="AJ112" s="25">
        <f>IF($A112="",0,(SUMIFS('Journal Vouchers'!$I$5:$I$2005,'Journal Vouchers'!$H$5:$H$2005,$A112,'Journal Vouchers'!$B$5:$B$2005,"&lt;"&amp;ReportFrom))-(SUMIFS('Journal Vouchers'!$J$5:$J$2005,'Journal Vouchers'!$H$5:$H$2005,$A112,'Journal Vouchers'!$B$5:$B$2005,"&lt;"&amp;ReportFrom)))</f>
        <v/>
      </c>
      <c r="AK112" s="25">
        <f>IF($A112="",0,SUMIFS('Journal Vouchers'!$I$5:$I$2005,'Journal Vouchers'!$H$5:$H$2005,$A112,'Journal Vouchers'!$B$5:$B$2005,"&gt;="&amp;ReportFrom,'Journal Vouchers'!$B$5:$B$2005,"&lt;="&amp;ReportTo))</f>
        <v/>
      </c>
      <c r="AL112" s="25">
        <f>IF($A112="",0,SUMIFS('Journal Vouchers'!$J$5:$J$2005,'Journal Vouchers'!$H$5:$H$2005,$A112,'Journal Vouchers'!$B$5:$B$2005,"&gt;="&amp;ReportFrom,'Journal Vouchers'!$B$5:$B$2005,"&lt;="&amp;ReportTo))</f>
        <v/>
      </c>
    </row>
    <row r="113">
      <c r="A113" s="25">
        <f>IF('Chart of Accounts'!A113="","",'Chart of Accounts'!A113&amp;"")</f>
        <v/>
      </c>
      <c r="B113" s="25">
        <f>IF(A113="","",'Chart of Accounts'!B113)</f>
        <v/>
      </c>
      <c r="C113" s="25">
        <f>IF(A113="","",'Chart of Accounts'!C113)</f>
        <v/>
      </c>
      <c r="D113" s="25">
        <f>IF(A113="","",'Chart of Accounts'!D113)</f>
        <v/>
      </c>
      <c r="E113" s="26">
        <f>L113+O113+R113+U113+X113+AA113+AD113+AG113+AJ113</f>
        <v/>
      </c>
      <c r="F113" s="26">
        <f>M113+P113+S113+V113+Y113+AB113+AE113+AH113+AK113</f>
        <v/>
      </c>
      <c r="G113" s="26">
        <f>N113+Q113+T113+W113+Z113+AC113+AF113+AI113+AL113</f>
        <v/>
      </c>
      <c r="H113" s="26">
        <f>E113+F113-G113</f>
        <v/>
      </c>
      <c r="I113" s="26">
        <f>MAX(H113,0)</f>
        <v/>
      </c>
      <c r="J113" s="26">
        <f>MAX(-H113,0)</f>
        <v/>
      </c>
      <c r="L113" s="25">
        <f>IF($A113="",0,(SUMIFS('Direct Costs'!$R$5:$R$2005,'Direct Costs'!$V$5:$V$2005,$A113,'Direct Costs'!$A$5:$A$2005,"&lt;"&amp;ReportFrom)+SUMIFS('Direct Costs'!$S$5:$S$2005,'Direct Costs'!$Y$5:$Y$2005,$A113,'Direct Costs'!$A$5:$A$2005,"&lt;"&amp;ReportFrom))-(SUMIFS('Direct Costs'!$L$5:$L$2005,'Direct Costs'!$W$5:$W$2005,$A113,'Direct Costs'!$A$5:$A$2005,"&lt;"&amp;ReportFrom)+SUMIFS('Direct Costs'!$U$5:$U$2005,'Direct Costs'!$X$5:$X$2005,$A113,'Direct Costs'!$A$5:$A$2005,"&lt;"&amp;ReportFrom)+SUMIFS('Direct Costs'!$T$5:$T$2005,'Direct Costs'!$Z$5:$Z$2005,$A113,'Direct Costs'!$A$5:$A$2005,"&lt;"&amp;ReportFrom)))</f>
        <v/>
      </c>
      <c r="M113" s="25">
        <f>IF($A113="",0,SUMIFS('Direct Costs'!$R$5:$R$2005,'Direct Costs'!$V$5:$V$2005,$A113,'Direct Costs'!$A$5:$A$2005,"&gt;="&amp;ReportFrom,'Direct Costs'!$A$5:$A$2005,"&lt;="&amp;ReportTo)+SUMIFS('Direct Costs'!$S$5:$S$2005,'Direct Costs'!$Y$5:$Y$2005,$A113,'Direct Costs'!$A$5:$A$2005,"&gt;="&amp;ReportFrom,'Direct Costs'!$A$5:$A$2005,"&lt;="&amp;ReportTo))</f>
        <v/>
      </c>
      <c r="N113" s="25">
        <f>IF($A113="",0,SUMIFS('Direct Costs'!$L$5:$L$2005,'Direct Costs'!$W$5:$W$2005,$A113,'Direct Costs'!$A$5:$A$2005,"&gt;="&amp;ReportFrom,'Direct Costs'!$A$5:$A$2005,"&lt;="&amp;ReportTo)+SUMIFS('Direct Costs'!$U$5:$U$2005,'Direct Costs'!$X$5:$X$2005,$A113,'Direct Costs'!$A$5:$A$2005,"&gt;="&amp;ReportFrom,'Direct Costs'!$A$5:$A$2005,"&lt;="&amp;ReportTo)+SUMIFS('Direct Costs'!$T$5:$T$2005,'Direct Costs'!$Z$5:$Z$2005,$A113,'Direct Costs'!$A$5:$A$2005,"&gt;="&amp;ReportFrom,'Direct Costs'!$A$5:$A$2005,"&lt;="&amp;ReportTo))</f>
        <v/>
      </c>
      <c r="O113" s="25">
        <f>IF($A113="",0,(SUMIFS('Operating Expenses'!$F$5:$F$2005,'Operating Expenses'!$Q$5:$Q$2005,$A113,'Operating Expenses'!$A$5:$A$2005,"&lt;"&amp;ReportFrom)+SUMIFS('Operating Expenses'!$M$5:$M$2005,'Operating Expenses'!$T$5:$T$2005,$A113,'Operating Expenses'!$A$5:$A$2005,"&lt;"&amp;ReportFrom))-(SUMIFS('Operating Expenses'!$O$5:$O$2005,'Operating Expenses'!$R$5:$R$2005,$A113,'Operating Expenses'!$A$5:$A$2005,"&lt;"&amp;ReportFrom)+SUMIFS('Operating Expenses'!$P$5:$P$2005,'Operating Expenses'!$S$5:$S$2005,$A113,'Operating Expenses'!$A$5:$A$2005,"&lt;"&amp;ReportFrom)+SUMIFS('Operating Expenses'!$N$5:$N$2005,'Operating Expenses'!$U$5:$U$2005,$A113,'Operating Expenses'!$A$5:$A$2005,"&lt;"&amp;ReportFrom)))</f>
        <v/>
      </c>
      <c r="P113" s="25">
        <f>IF($A113="",0,SUMIFS('Operating Expenses'!$F$5:$F$2005,'Operating Expenses'!$Q$5:$Q$2005,$A113,'Operating Expenses'!$A$5:$A$2005,"&gt;="&amp;ReportFrom,'Operating Expenses'!$A$5:$A$2005,"&lt;="&amp;ReportTo)+SUMIFS('Operating Expenses'!$M$5:$M$2005,'Operating Expenses'!$T$5:$T$2005,$A113,'Operating Expenses'!$A$5:$A$2005,"&gt;="&amp;ReportFrom,'Operating Expenses'!$A$5:$A$2005,"&lt;="&amp;ReportTo))</f>
        <v/>
      </c>
      <c r="Q113" s="25">
        <f>IF($A113="",0,SUMIFS('Operating Expenses'!$O$5:$O$2005,'Operating Expenses'!$R$5:$R$2005,$A113,'Operating Expenses'!$A$5:$A$2005,"&gt;="&amp;ReportFrom,'Operating Expenses'!$A$5:$A$2005,"&lt;="&amp;ReportTo)+SUMIFS('Operating Expenses'!$P$5:$P$2005,'Operating Expenses'!$S$5:$S$2005,$A113,'Operating Expenses'!$A$5:$A$2005,"&gt;="&amp;ReportFrom,'Operating Expenses'!$A$5:$A$2005,"&lt;="&amp;ReportTo)+SUMIFS('Operating Expenses'!$N$5:$N$2005,'Operating Expenses'!$U$5:$U$2005,$A113,'Operating Expenses'!$A$5:$A$2005,"&gt;="&amp;ReportFrom,'Operating Expenses'!$A$5:$A$2005,"&lt;="&amp;ReportTo))</f>
        <v/>
      </c>
      <c r="R113" s="25">
        <f>IF($A113="",0,(SUMIFS('Payroll'!$O$5:$O$2005,'Payroll'!$Q$5:$Q$2005,$A113,'Payroll'!$A$5:$A$2005,"&lt;"&amp;ReportFrom))-(SUMIFS('Payroll'!$K$5:$K$2005,'Payroll'!$R$5:$R$2005,$A113,'Payroll'!$A$5:$A$2005,"&lt;"&amp;ReportFrom)+SUMIFS('Payroll'!$P$5:$P$2005,'Payroll'!$S$5:$S$2005,$A113,'Payroll'!$A$5:$A$2005,"&lt;"&amp;ReportFrom)))</f>
        <v/>
      </c>
      <c r="S113" s="25">
        <f>IF($A113="",0,SUMIFS('Payroll'!$O$5:$O$2005,'Payroll'!$Q$5:$Q$2005,$A113,'Payroll'!$A$5:$A$2005,"&gt;="&amp;ReportFrom,'Payroll'!$A$5:$A$2005,"&lt;="&amp;ReportTo))</f>
        <v/>
      </c>
      <c r="T113" s="25">
        <f>IF($A113="",0,SUMIFS('Payroll'!$K$5:$K$2005,'Payroll'!$R$5:$R$2005,$A113,'Payroll'!$A$5:$A$2005,"&gt;="&amp;ReportFrom,'Payroll'!$A$5:$A$2005,"&lt;="&amp;ReportTo)+SUMIFS('Payroll'!$P$5:$P$2005,'Payroll'!$S$5:$S$2005,$A113,'Payroll'!$A$5:$A$2005,"&gt;="&amp;ReportFrom,'Payroll'!$A$5:$A$2005,"&lt;="&amp;ReportTo))</f>
        <v/>
      </c>
      <c r="U113" s="25">
        <f>IF($A113="",0,(SUMIFS('Receipt Vouchers'!$F$5:$F$2005,'Receipt Vouchers'!$O$5:$O$2005,$A113,'Receipt Vouchers'!$A$5:$A$2005,"&lt;"&amp;ReportFrom)+SUMIFS('Receipt Vouchers'!$J$5:$J$2005,'Receipt Vouchers'!$Q$5:$Q$2005,$A113,'Receipt Vouchers'!$A$5:$A$2005,"&lt;"&amp;ReportFrom))-(SUMIFS('Receipt Vouchers'!$N$5:$N$2005,'Receipt Vouchers'!$P$5:$P$2005,$A113,'Receipt Vouchers'!$A$5:$A$2005,"&lt;"&amp;ReportFrom)+SUMIFS('Receipt Vouchers'!$M$5:$M$2005,'Receipt Vouchers'!$R$5:$R$2005,$A113,'Receipt Vouchers'!$A$5:$A$2005,"&lt;"&amp;ReportFrom)))</f>
        <v/>
      </c>
      <c r="V113" s="25">
        <f>IF($A113="",0,SUMIFS('Receipt Vouchers'!$F$5:$F$2005,'Receipt Vouchers'!$O$5:$O$2005,$A113,'Receipt Vouchers'!$A$5:$A$2005,"&gt;="&amp;ReportFrom,'Receipt Vouchers'!$A$5:$A$2005,"&lt;="&amp;ReportTo)+SUMIFS('Receipt Vouchers'!$J$5:$J$2005,'Receipt Vouchers'!$Q$5:$Q$2005,$A113,'Receipt Vouchers'!$A$5:$A$2005,"&gt;="&amp;ReportFrom,'Receipt Vouchers'!$A$5:$A$2005,"&lt;="&amp;ReportTo))</f>
        <v/>
      </c>
      <c r="W113" s="25">
        <f>IF($A113="",0,SUMIFS('Receipt Vouchers'!$N$5:$N$2005,'Receipt Vouchers'!$P$5:$P$2005,$A113,'Receipt Vouchers'!$A$5:$A$2005,"&gt;="&amp;ReportFrom,'Receipt Vouchers'!$A$5:$A$2005,"&lt;="&amp;ReportTo)+SUMIFS('Receipt Vouchers'!$M$5:$M$2005,'Receipt Vouchers'!$R$5:$R$2005,$A113,'Receipt Vouchers'!$A$5:$A$2005,"&gt;="&amp;ReportFrom,'Receipt Vouchers'!$A$5:$A$2005,"&lt;="&amp;ReportTo))</f>
        <v/>
      </c>
      <c r="X113" s="25">
        <f>IF($A113="",0,(SUMIFS('Sales Invoices'!$O$5:$O$2005,'Sales Invoices'!$P$5:$P$2005,$A113,'Sales Invoices'!$B$5:$B$2005,"&lt;"&amp;ReportFrom)+SUMIFS('Sales Invoices'!$N$5:$N$2005,'Sales Invoices'!$R$5:$R$2005,$A113,'Sales Invoices'!$B$5:$B$2005,"&lt;"&amp;ReportFrom))-(SUMIFS('Sales Invoices'!$L$5:$L$2005,'Sales Invoices'!$Q$5:$Q$2005,$A113,'Sales Invoices'!$B$5:$B$2005,"&lt;"&amp;ReportFrom)+SUMIFS('Sales Invoices'!$M$5:$M$2005,'Sales Invoices'!$S$5:$S$2005,$A113,'Sales Invoices'!$B$5:$B$2005,"&lt;"&amp;ReportFrom)))</f>
        <v/>
      </c>
      <c r="Y113" s="25">
        <f>IF($A113="",0,SUMIFS('Sales Invoices'!$O$5:$O$2005,'Sales Invoices'!$P$5:$P$2005,$A113,'Sales Invoices'!$B$5:$B$2005,"&gt;="&amp;ReportFrom,'Sales Invoices'!$B$5:$B$2005,"&lt;="&amp;ReportTo)+SUMIFS('Sales Invoices'!$N$5:$N$2005,'Sales Invoices'!$R$5:$R$2005,$A113,'Sales Invoices'!$B$5:$B$2005,"&gt;="&amp;ReportFrom,'Sales Invoices'!$B$5:$B$2005,"&lt;="&amp;ReportTo))</f>
        <v/>
      </c>
      <c r="Z113" s="25">
        <f>IF($A113="",0,SUMIFS('Sales Invoices'!$L$5:$L$2005,'Sales Invoices'!$Q$5:$Q$2005,$A113,'Sales Invoices'!$B$5:$B$2005,"&gt;="&amp;ReportFrom,'Sales Invoices'!$B$5:$B$2005,"&lt;="&amp;ReportTo)+SUMIFS('Sales Invoices'!$M$5:$M$2005,'Sales Invoices'!$S$5:$S$2005,$A113,'Sales Invoices'!$B$5:$B$2005,"&gt;="&amp;ReportFrom,'Sales Invoices'!$B$5:$B$2005,"&lt;="&amp;ReportTo))</f>
        <v/>
      </c>
      <c r="AA113" s="25">
        <f>IF($A113="",0,(SUMIFS('Payment Vouchers'!$D$5:$D$2005,'Payment Vouchers'!$J$5:$J$2005,$A113,'Payment Vouchers'!$A$5:$A$2005,"&lt;"&amp;ReportFrom))-(SUMIFS('Payment Vouchers'!$D$5:$D$2005,'Payment Vouchers'!$K$5:$K$2005,$A113,'Payment Vouchers'!$A$5:$A$2005,"&lt;"&amp;ReportFrom)))</f>
        <v/>
      </c>
      <c r="AB113" s="25">
        <f>IF($A113="",0,SUMIFS('Payment Vouchers'!$D$5:$D$2005,'Payment Vouchers'!$J$5:$J$2005,$A113,'Payment Vouchers'!$A$5:$A$2005,"&gt;="&amp;ReportFrom,'Payment Vouchers'!$A$5:$A$2005,"&lt;="&amp;ReportTo))</f>
        <v/>
      </c>
      <c r="AC113" s="25">
        <f>IF($A113="",0,SUMIFS('Payment Vouchers'!$D$5:$D$2005,'Payment Vouchers'!$K$5:$K$2005,$A113,'Payment Vouchers'!$A$5:$A$2005,"&gt;="&amp;ReportFrom,'Payment Vouchers'!$A$5:$A$2005,"&lt;="&amp;ReportTo))</f>
        <v/>
      </c>
      <c r="AD113" s="25">
        <f>IF($A113="",0,(SUMIFS('Partner Transactions'!$D$5:$D$2005,'Partner Transactions'!$L$5:$L$2005,$A113,'Partner Transactions'!$A$5:$A$2005,"&lt;"&amp;ReportFrom))-(SUMIFS('Partner Transactions'!$D$5:$D$2005,'Partner Transactions'!$M$5:$M$2005,$A113,'Partner Transactions'!$A$5:$A$2005,"&lt;"&amp;ReportFrom)))</f>
        <v/>
      </c>
      <c r="AE113" s="25">
        <f>IF($A113="",0,SUMIFS('Partner Transactions'!$D$5:$D$2005,'Partner Transactions'!$L$5:$L$2005,$A113,'Partner Transactions'!$A$5:$A$2005,"&gt;="&amp;ReportFrom,'Partner Transactions'!$A$5:$A$2005,"&lt;="&amp;ReportTo))</f>
        <v/>
      </c>
      <c r="AF113" s="25">
        <f>IF($A113="",0,SUMIFS('Partner Transactions'!$D$5:$D$2005,'Partner Transactions'!$M$5:$M$2005,$A113,'Partner Transactions'!$A$5:$A$2005,"&gt;="&amp;ReportFrom,'Partner Transactions'!$A$5:$A$2005,"&lt;="&amp;ReportTo))</f>
        <v/>
      </c>
      <c r="AG113" s="25">
        <f>IF($A113="",0,(SUMIFS('Stock Moves'!$S$5:$S$2005,'Stock Moves'!$AD$5:$AD$2005,$A113,'Stock Moves'!$A$5:$A$2005,"&lt;"&amp;ReportFrom)+SUMIFS('Stock Moves'!$T$5:$T$2005,'Stock Moves'!$V$5:$V$2005,$A113,'Stock Moves'!$A$5:$A$2005,"&lt;"&amp;ReportFrom))-(SUMIFS('Stock Moves'!$AF$5:$AF$2005,'Stock Moves'!$AE$5:$AE$2005,$A113,'Stock Moves'!$A$5:$A$2005,"&lt;"&amp;ReportFrom)+SUMIFS('Stock Moves'!$AC$5:$AC$2005,'Stock Moves'!$X$5:$X$2005,$A113,'Stock Moves'!$A$5:$A$2005,"&lt;"&amp;ReportFrom)+SUMIFS('Stock Moves'!$U$5:$U$2005,'Stock Moves'!$W$5:$W$2005,$A113,'Stock Moves'!$A$5:$A$2005,"&lt;"&amp;ReportFrom)))</f>
        <v/>
      </c>
      <c r="AH113" s="25">
        <f>IF($A113="",0,SUMIFS('Stock Moves'!$S$5:$S$2005,'Stock Moves'!$AD$5:$AD$2005,$A113,'Stock Moves'!$A$5:$A$2005,"&gt;="&amp;ReportFrom,'Stock Moves'!$A$5:$A$2005,"&lt;="&amp;ReportTo)+SUMIFS('Stock Moves'!$T$5:$T$2005,'Stock Moves'!$V$5:$V$2005,$A113,'Stock Moves'!$A$5:$A$2005,"&gt;="&amp;ReportFrom,'Stock Moves'!$A$5:$A$2005,"&lt;="&amp;ReportTo))</f>
        <v/>
      </c>
      <c r="AI113" s="25">
        <f>IF($A113="",0,SUMIFS('Stock Moves'!$AF$5:$AF$2005,'Stock Moves'!$AE$5:$AE$2005,$A113,'Stock Moves'!$A$5:$A$2005,"&gt;="&amp;ReportFrom,'Stock Moves'!$A$5:$A$2005,"&lt;="&amp;ReportTo)+SUMIFS('Stock Moves'!$AC$5:$AC$2005,'Stock Moves'!$X$5:$X$2005,$A113,'Stock Moves'!$A$5:$A$2005,"&gt;="&amp;ReportFrom,'Stock Moves'!$A$5:$A$2005,"&lt;="&amp;ReportTo)+SUMIFS('Stock Moves'!$U$5:$U$2005,'Stock Moves'!$W$5:$W$2005,$A113,'Stock Moves'!$A$5:$A$2005,"&gt;="&amp;ReportFrom,'Stock Moves'!$A$5:$A$2005,"&lt;="&amp;ReportTo))</f>
        <v/>
      </c>
      <c r="AJ113" s="25">
        <f>IF($A113="",0,(SUMIFS('Journal Vouchers'!$I$5:$I$2005,'Journal Vouchers'!$H$5:$H$2005,$A113,'Journal Vouchers'!$B$5:$B$2005,"&lt;"&amp;ReportFrom))-(SUMIFS('Journal Vouchers'!$J$5:$J$2005,'Journal Vouchers'!$H$5:$H$2005,$A113,'Journal Vouchers'!$B$5:$B$2005,"&lt;"&amp;ReportFrom)))</f>
        <v/>
      </c>
      <c r="AK113" s="25">
        <f>IF($A113="",0,SUMIFS('Journal Vouchers'!$I$5:$I$2005,'Journal Vouchers'!$H$5:$H$2005,$A113,'Journal Vouchers'!$B$5:$B$2005,"&gt;="&amp;ReportFrom,'Journal Vouchers'!$B$5:$B$2005,"&lt;="&amp;ReportTo))</f>
        <v/>
      </c>
      <c r="AL113" s="25">
        <f>IF($A113="",0,SUMIFS('Journal Vouchers'!$J$5:$J$2005,'Journal Vouchers'!$H$5:$H$2005,$A113,'Journal Vouchers'!$B$5:$B$2005,"&gt;="&amp;ReportFrom,'Journal Vouchers'!$B$5:$B$2005,"&lt;="&amp;ReportTo))</f>
        <v/>
      </c>
    </row>
    <row r="114">
      <c r="A114" s="25">
        <f>IF('Chart of Accounts'!A114="","",'Chart of Accounts'!A114&amp;"")</f>
        <v/>
      </c>
      <c r="B114" s="25">
        <f>IF(A114="","",'Chart of Accounts'!B114)</f>
        <v/>
      </c>
      <c r="C114" s="25">
        <f>IF(A114="","",'Chart of Accounts'!C114)</f>
        <v/>
      </c>
      <c r="D114" s="25">
        <f>IF(A114="","",'Chart of Accounts'!D114)</f>
        <v/>
      </c>
      <c r="E114" s="26">
        <f>L114+O114+R114+U114+X114+AA114+AD114+AG114+AJ114</f>
        <v/>
      </c>
      <c r="F114" s="26">
        <f>M114+P114+S114+V114+Y114+AB114+AE114+AH114+AK114</f>
        <v/>
      </c>
      <c r="G114" s="26">
        <f>N114+Q114+T114+W114+Z114+AC114+AF114+AI114+AL114</f>
        <v/>
      </c>
      <c r="H114" s="26">
        <f>E114+F114-G114</f>
        <v/>
      </c>
      <c r="I114" s="26">
        <f>MAX(H114,0)</f>
        <v/>
      </c>
      <c r="J114" s="26">
        <f>MAX(-H114,0)</f>
        <v/>
      </c>
      <c r="L114" s="25">
        <f>IF($A114="",0,(SUMIFS('Direct Costs'!$R$5:$R$2005,'Direct Costs'!$V$5:$V$2005,$A114,'Direct Costs'!$A$5:$A$2005,"&lt;"&amp;ReportFrom)+SUMIFS('Direct Costs'!$S$5:$S$2005,'Direct Costs'!$Y$5:$Y$2005,$A114,'Direct Costs'!$A$5:$A$2005,"&lt;"&amp;ReportFrom))-(SUMIFS('Direct Costs'!$L$5:$L$2005,'Direct Costs'!$W$5:$W$2005,$A114,'Direct Costs'!$A$5:$A$2005,"&lt;"&amp;ReportFrom)+SUMIFS('Direct Costs'!$U$5:$U$2005,'Direct Costs'!$X$5:$X$2005,$A114,'Direct Costs'!$A$5:$A$2005,"&lt;"&amp;ReportFrom)+SUMIFS('Direct Costs'!$T$5:$T$2005,'Direct Costs'!$Z$5:$Z$2005,$A114,'Direct Costs'!$A$5:$A$2005,"&lt;"&amp;ReportFrom)))</f>
        <v/>
      </c>
      <c r="M114" s="25">
        <f>IF($A114="",0,SUMIFS('Direct Costs'!$R$5:$R$2005,'Direct Costs'!$V$5:$V$2005,$A114,'Direct Costs'!$A$5:$A$2005,"&gt;="&amp;ReportFrom,'Direct Costs'!$A$5:$A$2005,"&lt;="&amp;ReportTo)+SUMIFS('Direct Costs'!$S$5:$S$2005,'Direct Costs'!$Y$5:$Y$2005,$A114,'Direct Costs'!$A$5:$A$2005,"&gt;="&amp;ReportFrom,'Direct Costs'!$A$5:$A$2005,"&lt;="&amp;ReportTo))</f>
        <v/>
      </c>
      <c r="N114" s="25">
        <f>IF($A114="",0,SUMIFS('Direct Costs'!$L$5:$L$2005,'Direct Costs'!$W$5:$W$2005,$A114,'Direct Costs'!$A$5:$A$2005,"&gt;="&amp;ReportFrom,'Direct Costs'!$A$5:$A$2005,"&lt;="&amp;ReportTo)+SUMIFS('Direct Costs'!$U$5:$U$2005,'Direct Costs'!$X$5:$X$2005,$A114,'Direct Costs'!$A$5:$A$2005,"&gt;="&amp;ReportFrom,'Direct Costs'!$A$5:$A$2005,"&lt;="&amp;ReportTo)+SUMIFS('Direct Costs'!$T$5:$T$2005,'Direct Costs'!$Z$5:$Z$2005,$A114,'Direct Costs'!$A$5:$A$2005,"&gt;="&amp;ReportFrom,'Direct Costs'!$A$5:$A$2005,"&lt;="&amp;ReportTo))</f>
        <v/>
      </c>
      <c r="O114" s="25">
        <f>IF($A114="",0,(SUMIFS('Operating Expenses'!$F$5:$F$2005,'Operating Expenses'!$Q$5:$Q$2005,$A114,'Operating Expenses'!$A$5:$A$2005,"&lt;"&amp;ReportFrom)+SUMIFS('Operating Expenses'!$M$5:$M$2005,'Operating Expenses'!$T$5:$T$2005,$A114,'Operating Expenses'!$A$5:$A$2005,"&lt;"&amp;ReportFrom))-(SUMIFS('Operating Expenses'!$O$5:$O$2005,'Operating Expenses'!$R$5:$R$2005,$A114,'Operating Expenses'!$A$5:$A$2005,"&lt;"&amp;ReportFrom)+SUMIFS('Operating Expenses'!$P$5:$P$2005,'Operating Expenses'!$S$5:$S$2005,$A114,'Operating Expenses'!$A$5:$A$2005,"&lt;"&amp;ReportFrom)+SUMIFS('Operating Expenses'!$N$5:$N$2005,'Operating Expenses'!$U$5:$U$2005,$A114,'Operating Expenses'!$A$5:$A$2005,"&lt;"&amp;ReportFrom)))</f>
        <v/>
      </c>
      <c r="P114" s="25">
        <f>IF($A114="",0,SUMIFS('Operating Expenses'!$F$5:$F$2005,'Operating Expenses'!$Q$5:$Q$2005,$A114,'Operating Expenses'!$A$5:$A$2005,"&gt;="&amp;ReportFrom,'Operating Expenses'!$A$5:$A$2005,"&lt;="&amp;ReportTo)+SUMIFS('Operating Expenses'!$M$5:$M$2005,'Operating Expenses'!$T$5:$T$2005,$A114,'Operating Expenses'!$A$5:$A$2005,"&gt;="&amp;ReportFrom,'Operating Expenses'!$A$5:$A$2005,"&lt;="&amp;ReportTo))</f>
        <v/>
      </c>
      <c r="Q114" s="25">
        <f>IF($A114="",0,SUMIFS('Operating Expenses'!$O$5:$O$2005,'Operating Expenses'!$R$5:$R$2005,$A114,'Operating Expenses'!$A$5:$A$2005,"&gt;="&amp;ReportFrom,'Operating Expenses'!$A$5:$A$2005,"&lt;="&amp;ReportTo)+SUMIFS('Operating Expenses'!$P$5:$P$2005,'Operating Expenses'!$S$5:$S$2005,$A114,'Operating Expenses'!$A$5:$A$2005,"&gt;="&amp;ReportFrom,'Operating Expenses'!$A$5:$A$2005,"&lt;="&amp;ReportTo)+SUMIFS('Operating Expenses'!$N$5:$N$2005,'Operating Expenses'!$U$5:$U$2005,$A114,'Operating Expenses'!$A$5:$A$2005,"&gt;="&amp;ReportFrom,'Operating Expenses'!$A$5:$A$2005,"&lt;="&amp;ReportTo))</f>
        <v/>
      </c>
      <c r="R114" s="25">
        <f>IF($A114="",0,(SUMIFS('Payroll'!$O$5:$O$2005,'Payroll'!$Q$5:$Q$2005,$A114,'Payroll'!$A$5:$A$2005,"&lt;"&amp;ReportFrom))-(SUMIFS('Payroll'!$K$5:$K$2005,'Payroll'!$R$5:$R$2005,$A114,'Payroll'!$A$5:$A$2005,"&lt;"&amp;ReportFrom)+SUMIFS('Payroll'!$P$5:$P$2005,'Payroll'!$S$5:$S$2005,$A114,'Payroll'!$A$5:$A$2005,"&lt;"&amp;ReportFrom)))</f>
        <v/>
      </c>
      <c r="S114" s="25">
        <f>IF($A114="",0,SUMIFS('Payroll'!$O$5:$O$2005,'Payroll'!$Q$5:$Q$2005,$A114,'Payroll'!$A$5:$A$2005,"&gt;="&amp;ReportFrom,'Payroll'!$A$5:$A$2005,"&lt;="&amp;ReportTo))</f>
        <v/>
      </c>
      <c r="T114" s="25">
        <f>IF($A114="",0,SUMIFS('Payroll'!$K$5:$K$2005,'Payroll'!$R$5:$R$2005,$A114,'Payroll'!$A$5:$A$2005,"&gt;="&amp;ReportFrom,'Payroll'!$A$5:$A$2005,"&lt;="&amp;ReportTo)+SUMIFS('Payroll'!$P$5:$P$2005,'Payroll'!$S$5:$S$2005,$A114,'Payroll'!$A$5:$A$2005,"&gt;="&amp;ReportFrom,'Payroll'!$A$5:$A$2005,"&lt;="&amp;ReportTo))</f>
        <v/>
      </c>
      <c r="U114" s="25">
        <f>IF($A114="",0,(SUMIFS('Receipt Vouchers'!$F$5:$F$2005,'Receipt Vouchers'!$O$5:$O$2005,$A114,'Receipt Vouchers'!$A$5:$A$2005,"&lt;"&amp;ReportFrom)+SUMIFS('Receipt Vouchers'!$J$5:$J$2005,'Receipt Vouchers'!$Q$5:$Q$2005,$A114,'Receipt Vouchers'!$A$5:$A$2005,"&lt;"&amp;ReportFrom))-(SUMIFS('Receipt Vouchers'!$N$5:$N$2005,'Receipt Vouchers'!$P$5:$P$2005,$A114,'Receipt Vouchers'!$A$5:$A$2005,"&lt;"&amp;ReportFrom)+SUMIFS('Receipt Vouchers'!$M$5:$M$2005,'Receipt Vouchers'!$R$5:$R$2005,$A114,'Receipt Vouchers'!$A$5:$A$2005,"&lt;"&amp;ReportFrom)))</f>
        <v/>
      </c>
      <c r="V114" s="25">
        <f>IF($A114="",0,SUMIFS('Receipt Vouchers'!$F$5:$F$2005,'Receipt Vouchers'!$O$5:$O$2005,$A114,'Receipt Vouchers'!$A$5:$A$2005,"&gt;="&amp;ReportFrom,'Receipt Vouchers'!$A$5:$A$2005,"&lt;="&amp;ReportTo)+SUMIFS('Receipt Vouchers'!$J$5:$J$2005,'Receipt Vouchers'!$Q$5:$Q$2005,$A114,'Receipt Vouchers'!$A$5:$A$2005,"&gt;="&amp;ReportFrom,'Receipt Vouchers'!$A$5:$A$2005,"&lt;="&amp;ReportTo))</f>
        <v/>
      </c>
      <c r="W114" s="25">
        <f>IF($A114="",0,SUMIFS('Receipt Vouchers'!$N$5:$N$2005,'Receipt Vouchers'!$P$5:$P$2005,$A114,'Receipt Vouchers'!$A$5:$A$2005,"&gt;="&amp;ReportFrom,'Receipt Vouchers'!$A$5:$A$2005,"&lt;="&amp;ReportTo)+SUMIFS('Receipt Vouchers'!$M$5:$M$2005,'Receipt Vouchers'!$R$5:$R$2005,$A114,'Receipt Vouchers'!$A$5:$A$2005,"&gt;="&amp;ReportFrom,'Receipt Vouchers'!$A$5:$A$2005,"&lt;="&amp;ReportTo))</f>
        <v/>
      </c>
      <c r="X114" s="25">
        <f>IF($A114="",0,(SUMIFS('Sales Invoices'!$O$5:$O$2005,'Sales Invoices'!$P$5:$P$2005,$A114,'Sales Invoices'!$B$5:$B$2005,"&lt;"&amp;ReportFrom)+SUMIFS('Sales Invoices'!$N$5:$N$2005,'Sales Invoices'!$R$5:$R$2005,$A114,'Sales Invoices'!$B$5:$B$2005,"&lt;"&amp;ReportFrom))-(SUMIFS('Sales Invoices'!$L$5:$L$2005,'Sales Invoices'!$Q$5:$Q$2005,$A114,'Sales Invoices'!$B$5:$B$2005,"&lt;"&amp;ReportFrom)+SUMIFS('Sales Invoices'!$M$5:$M$2005,'Sales Invoices'!$S$5:$S$2005,$A114,'Sales Invoices'!$B$5:$B$2005,"&lt;"&amp;ReportFrom)))</f>
        <v/>
      </c>
      <c r="Y114" s="25">
        <f>IF($A114="",0,SUMIFS('Sales Invoices'!$O$5:$O$2005,'Sales Invoices'!$P$5:$P$2005,$A114,'Sales Invoices'!$B$5:$B$2005,"&gt;="&amp;ReportFrom,'Sales Invoices'!$B$5:$B$2005,"&lt;="&amp;ReportTo)+SUMIFS('Sales Invoices'!$N$5:$N$2005,'Sales Invoices'!$R$5:$R$2005,$A114,'Sales Invoices'!$B$5:$B$2005,"&gt;="&amp;ReportFrom,'Sales Invoices'!$B$5:$B$2005,"&lt;="&amp;ReportTo))</f>
        <v/>
      </c>
      <c r="Z114" s="25">
        <f>IF($A114="",0,SUMIFS('Sales Invoices'!$L$5:$L$2005,'Sales Invoices'!$Q$5:$Q$2005,$A114,'Sales Invoices'!$B$5:$B$2005,"&gt;="&amp;ReportFrom,'Sales Invoices'!$B$5:$B$2005,"&lt;="&amp;ReportTo)+SUMIFS('Sales Invoices'!$M$5:$M$2005,'Sales Invoices'!$S$5:$S$2005,$A114,'Sales Invoices'!$B$5:$B$2005,"&gt;="&amp;ReportFrom,'Sales Invoices'!$B$5:$B$2005,"&lt;="&amp;ReportTo))</f>
        <v/>
      </c>
      <c r="AA114" s="25">
        <f>IF($A114="",0,(SUMIFS('Payment Vouchers'!$D$5:$D$2005,'Payment Vouchers'!$J$5:$J$2005,$A114,'Payment Vouchers'!$A$5:$A$2005,"&lt;"&amp;ReportFrom))-(SUMIFS('Payment Vouchers'!$D$5:$D$2005,'Payment Vouchers'!$K$5:$K$2005,$A114,'Payment Vouchers'!$A$5:$A$2005,"&lt;"&amp;ReportFrom)))</f>
        <v/>
      </c>
      <c r="AB114" s="25">
        <f>IF($A114="",0,SUMIFS('Payment Vouchers'!$D$5:$D$2005,'Payment Vouchers'!$J$5:$J$2005,$A114,'Payment Vouchers'!$A$5:$A$2005,"&gt;="&amp;ReportFrom,'Payment Vouchers'!$A$5:$A$2005,"&lt;="&amp;ReportTo))</f>
        <v/>
      </c>
      <c r="AC114" s="25">
        <f>IF($A114="",0,SUMIFS('Payment Vouchers'!$D$5:$D$2005,'Payment Vouchers'!$K$5:$K$2005,$A114,'Payment Vouchers'!$A$5:$A$2005,"&gt;="&amp;ReportFrom,'Payment Vouchers'!$A$5:$A$2005,"&lt;="&amp;ReportTo))</f>
        <v/>
      </c>
      <c r="AD114" s="25">
        <f>IF($A114="",0,(SUMIFS('Partner Transactions'!$D$5:$D$2005,'Partner Transactions'!$L$5:$L$2005,$A114,'Partner Transactions'!$A$5:$A$2005,"&lt;"&amp;ReportFrom))-(SUMIFS('Partner Transactions'!$D$5:$D$2005,'Partner Transactions'!$M$5:$M$2005,$A114,'Partner Transactions'!$A$5:$A$2005,"&lt;"&amp;ReportFrom)))</f>
        <v/>
      </c>
      <c r="AE114" s="25">
        <f>IF($A114="",0,SUMIFS('Partner Transactions'!$D$5:$D$2005,'Partner Transactions'!$L$5:$L$2005,$A114,'Partner Transactions'!$A$5:$A$2005,"&gt;="&amp;ReportFrom,'Partner Transactions'!$A$5:$A$2005,"&lt;="&amp;ReportTo))</f>
        <v/>
      </c>
      <c r="AF114" s="25">
        <f>IF($A114="",0,SUMIFS('Partner Transactions'!$D$5:$D$2005,'Partner Transactions'!$M$5:$M$2005,$A114,'Partner Transactions'!$A$5:$A$2005,"&gt;="&amp;ReportFrom,'Partner Transactions'!$A$5:$A$2005,"&lt;="&amp;ReportTo))</f>
        <v/>
      </c>
      <c r="AG114" s="25">
        <f>IF($A114="",0,(SUMIFS('Stock Moves'!$S$5:$S$2005,'Stock Moves'!$AD$5:$AD$2005,$A114,'Stock Moves'!$A$5:$A$2005,"&lt;"&amp;ReportFrom)+SUMIFS('Stock Moves'!$T$5:$T$2005,'Stock Moves'!$V$5:$V$2005,$A114,'Stock Moves'!$A$5:$A$2005,"&lt;"&amp;ReportFrom))-(SUMIFS('Stock Moves'!$AF$5:$AF$2005,'Stock Moves'!$AE$5:$AE$2005,$A114,'Stock Moves'!$A$5:$A$2005,"&lt;"&amp;ReportFrom)+SUMIFS('Stock Moves'!$AC$5:$AC$2005,'Stock Moves'!$X$5:$X$2005,$A114,'Stock Moves'!$A$5:$A$2005,"&lt;"&amp;ReportFrom)+SUMIFS('Stock Moves'!$U$5:$U$2005,'Stock Moves'!$W$5:$W$2005,$A114,'Stock Moves'!$A$5:$A$2005,"&lt;"&amp;ReportFrom)))</f>
        <v/>
      </c>
      <c r="AH114" s="25">
        <f>IF($A114="",0,SUMIFS('Stock Moves'!$S$5:$S$2005,'Stock Moves'!$AD$5:$AD$2005,$A114,'Stock Moves'!$A$5:$A$2005,"&gt;="&amp;ReportFrom,'Stock Moves'!$A$5:$A$2005,"&lt;="&amp;ReportTo)+SUMIFS('Stock Moves'!$T$5:$T$2005,'Stock Moves'!$V$5:$V$2005,$A114,'Stock Moves'!$A$5:$A$2005,"&gt;="&amp;ReportFrom,'Stock Moves'!$A$5:$A$2005,"&lt;="&amp;ReportTo))</f>
        <v/>
      </c>
      <c r="AI114" s="25">
        <f>IF($A114="",0,SUMIFS('Stock Moves'!$AF$5:$AF$2005,'Stock Moves'!$AE$5:$AE$2005,$A114,'Stock Moves'!$A$5:$A$2005,"&gt;="&amp;ReportFrom,'Stock Moves'!$A$5:$A$2005,"&lt;="&amp;ReportTo)+SUMIFS('Stock Moves'!$AC$5:$AC$2005,'Stock Moves'!$X$5:$X$2005,$A114,'Stock Moves'!$A$5:$A$2005,"&gt;="&amp;ReportFrom,'Stock Moves'!$A$5:$A$2005,"&lt;="&amp;ReportTo)+SUMIFS('Stock Moves'!$U$5:$U$2005,'Stock Moves'!$W$5:$W$2005,$A114,'Stock Moves'!$A$5:$A$2005,"&gt;="&amp;ReportFrom,'Stock Moves'!$A$5:$A$2005,"&lt;="&amp;ReportTo))</f>
        <v/>
      </c>
      <c r="AJ114" s="25">
        <f>IF($A114="",0,(SUMIFS('Journal Vouchers'!$I$5:$I$2005,'Journal Vouchers'!$H$5:$H$2005,$A114,'Journal Vouchers'!$B$5:$B$2005,"&lt;"&amp;ReportFrom))-(SUMIFS('Journal Vouchers'!$J$5:$J$2005,'Journal Vouchers'!$H$5:$H$2005,$A114,'Journal Vouchers'!$B$5:$B$2005,"&lt;"&amp;ReportFrom)))</f>
        <v/>
      </c>
      <c r="AK114" s="25">
        <f>IF($A114="",0,SUMIFS('Journal Vouchers'!$I$5:$I$2005,'Journal Vouchers'!$H$5:$H$2005,$A114,'Journal Vouchers'!$B$5:$B$2005,"&gt;="&amp;ReportFrom,'Journal Vouchers'!$B$5:$B$2005,"&lt;="&amp;ReportTo))</f>
        <v/>
      </c>
      <c r="AL114" s="25">
        <f>IF($A114="",0,SUMIFS('Journal Vouchers'!$J$5:$J$2005,'Journal Vouchers'!$H$5:$H$2005,$A114,'Journal Vouchers'!$B$5:$B$2005,"&gt;="&amp;ReportFrom,'Journal Vouchers'!$B$5:$B$2005,"&lt;="&amp;ReportTo))</f>
        <v/>
      </c>
    </row>
    <row r="115">
      <c r="A115" s="25">
        <f>IF('Chart of Accounts'!A115="","",'Chart of Accounts'!A115&amp;"")</f>
        <v/>
      </c>
      <c r="B115" s="25">
        <f>IF(A115="","",'Chart of Accounts'!B115)</f>
        <v/>
      </c>
      <c r="C115" s="25">
        <f>IF(A115="","",'Chart of Accounts'!C115)</f>
        <v/>
      </c>
      <c r="D115" s="25">
        <f>IF(A115="","",'Chart of Accounts'!D115)</f>
        <v/>
      </c>
      <c r="E115" s="26">
        <f>L115+O115+R115+U115+X115+AA115+AD115+AG115+AJ115</f>
        <v/>
      </c>
      <c r="F115" s="26">
        <f>M115+P115+S115+V115+Y115+AB115+AE115+AH115+AK115</f>
        <v/>
      </c>
      <c r="G115" s="26">
        <f>N115+Q115+T115+W115+Z115+AC115+AF115+AI115+AL115</f>
        <v/>
      </c>
      <c r="H115" s="26">
        <f>E115+F115-G115</f>
        <v/>
      </c>
      <c r="I115" s="26">
        <f>MAX(H115,0)</f>
        <v/>
      </c>
      <c r="J115" s="26">
        <f>MAX(-H115,0)</f>
        <v/>
      </c>
      <c r="L115" s="25">
        <f>IF($A115="",0,(SUMIFS('Direct Costs'!$R$5:$R$2005,'Direct Costs'!$V$5:$V$2005,$A115,'Direct Costs'!$A$5:$A$2005,"&lt;"&amp;ReportFrom)+SUMIFS('Direct Costs'!$S$5:$S$2005,'Direct Costs'!$Y$5:$Y$2005,$A115,'Direct Costs'!$A$5:$A$2005,"&lt;"&amp;ReportFrom))-(SUMIFS('Direct Costs'!$L$5:$L$2005,'Direct Costs'!$W$5:$W$2005,$A115,'Direct Costs'!$A$5:$A$2005,"&lt;"&amp;ReportFrom)+SUMIFS('Direct Costs'!$U$5:$U$2005,'Direct Costs'!$X$5:$X$2005,$A115,'Direct Costs'!$A$5:$A$2005,"&lt;"&amp;ReportFrom)+SUMIFS('Direct Costs'!$T$5:$T$2005,'Direct Costs'!$Z$5:$Z$2005,$A115,'Direct Costs'!$A$5:$A$2005,"&lt;"&amp;ReportFrom)))</f>
        <v/>
      </c>
      <c r="M115" s="25">
        <f>IF($A115="",0,SUMIFS('Direct Costs'!$R$5:$R$2005,'Direct Costs'!$V$5:$V$2005,$A115,'Direct Costs'!$A$5:$A$2005,"&gt;="&amp;ReportFrom,'Direct Costs'!$A$5:$A$2005,"&lt;="&amp;ReportTo)+SUMIFS('Direct Costs'!$S$5:$S$2005,'Direct Costs'!$Y$5:$Y$2005,$A115,'Direct Costs'!$A$5:$A$2005,"&gt;="&amp;ReportFrom,'Direct Costs'!$A$5:$A$2005,"&lt;="&amp;ReportTo))</f>
        <v/>
      </c>
      <c r="N115" s="25">
        <f>IF($A115="",0,SUMIFS('Direct Costs'!$L$5:$L$2005,'Direct Costs'!$W$5:$W$2005,$A115,'Direct Costs'!$A$5:$A$2005,"&gt;="&amp;ReportFrom,'Direct Costs'!$A$5:$A$2005,"&lt;="&amp;ReportTo)+SUMIFS('Direct Costs'!$U$5:$U$2005,'Direct Costs'!$X$5:$X$2005,$A115,'Direct Costs'!$A$5:$A$2005,"&gt;="&amp;ReportFrom,'Direct Costs'!$A$5:$A$2005,"&lt;="&amp;ReportTo)+SUMIFS('Direct Costs'!$T$5:$T$2005,'Direct Costs'!$Z$5:$Z$2005,$A115,'Direct Costs'!$A$5:$A$2005,"&gt;="&amp;ReportFrom,'Direct Costs'!$A$5:$A$2005,"&lt;="&amp;ReportTo))</f>
        <v/>
      </c>
      <c r="O115" s="25">
        <f>IF($A115="",0,(SUMIFS('Operating Expenses'!$F$5:$F$2005,'Operating Expenses'!$Q$5:$Q$2005,$A115,'Operating Expenses'!$A$5:$A$2005,"&lt;"&amp;ReportFrom)+SUMIFS('Operating Expenses'!$M$5:$M$2005,'Operating Expenses'!$T$5:$T$2005,$A115,'Operating Expenses'!$A$5:$A$2005,"&lt;"&amp;ReportFrom))-(SUMIFS('Operating Expenses'!$O$5:$O$2005,'Operating Expenses'!$R$5:$R$2005,$A115,'Operating Expenses'!$A$5:$A$2005,"&lt;"&amp;ReportFrom)+SUMIFS('Operating Expenses'!$P$5:$P$2005,'Operating Expenses'!$S$5:$S$2005,$A115,'Operating Expenses'!$A$5:$A$2005,"&lt;"&amp;ReportFrom)+SUMIFS('Operating Expenses'!$N$5:$N$2005,'Operating Expenses'!$U$5:$U$2005,$A115,'Operating Expenses'!$A$5:$A$2005,"&lt;"&amp;ReportFrom)))</f>
        <v/>
      </c>
      <c r="P115" s="25">
        <f>IF($A115="",0,SUMIFS('Operating Expenses'!$F$5:$F$2005,'Operating Expenses'!$Q$5:$Q$2005,$A115,'Operating Expenses'!$A$5:$A$2005,"&gt;="&amp;ReportFrom,'Operating Expenses'!$A$5:$A$2005,"&lt;="&amp;ReportTo)+SUMIFS('Operating Expenses'!$M$5:$M$2005,'Operating Expenses'!$T$5:$T$2005,$A115,'Operating Expenses'!$A$5:$A$2005,"&gt;="&amp;ReportFrom,'Operating Expenses'!$A$5:$A$2005,"&lt;="&amp;ReportTo))</f>
        <v/>
      </c>
      <c r="Q115" s="25">
        <f>IF($A115="",0,SUMIFS('Operating Expenses'!$O$5:$O$2005,'Operating Expenses'!$R$5:$R$2005,$A115,'Operating Expenses'!$A$5:$A$2005,"&gt;="&amp;ReportFrom,'Operating Expenses'!$A$5:$A$2005,"&lt;="&amp;ReportTo)+SUMIFS('Operating Expenses'!$P$5:$P$2005,'Operating Expenses'!$S$5:$S$2005,$A115,'Operating Expenses'!$A$5:$A$2005,"&gt;="&amp;ReportFrom,'Operating Expenses'!$A$5:$A$2005,"&lt;="&amp;ReportTo)+SUMIFS('Operating Expenses'!$N$5:$N$2005,'Operating Expenses'!$U$5:$U$2005,$A115,'Operating Expenses'!$A$5:$A$2005,"&gt;="&amp;ReportFrom,'Operating Expenses'!$A$5:$A$2005,"&lt;="&amp;ReportTo))</f>
        <v/>
      </c>
      <c r="R115" s="25">
        <f>IF($A115="",0,(SUMIFS('Payroll'!$O$5:$O$2005,'Payroll'!$Q$5:$Q$2005,$A115,'Payroll'!$A$5:$A$2005,"&lt;"&amp;ReportFrom))-(SUMIFS('Payroll'!$K$5:$K$2005,'Payroll'!$R$5:$R$2005,$A115,'Payroll'!$A$5:$A$2005,"&lt;"&amp;ReportFrom)+SUMIFS('Payroll'!$P$5:$P$2005,'Payroll'!$S$5:$S$2005,$A115,'Payroll'!$A$5:$A$2005,"&lt;"&amp;ReportFrom)))</f>
        <v/>
      </c>
      <c r="S115" s="25">
        <f>IF($A115="",0,SUMIFS('Payroll'!$O$5:$O$2005,'Payroll'!$Q$5:$Q$2005,$A115,'Payroll'!$A$5:$A$2005,"&gt;="&amp;ReportFrom,'Payroll'!$A$5:$A$2005,"&lt;="&amp;ReportTo))</f>
        <v/>
      </c>
      <c r="T115" s="25">
        <f>IF($A115="",0,SUMIFS('Payroll'!$K$5:$K$2005,'Payroll'!$R$5:$R$2005,$A115,'Payroll'!$A$5:$A$2005,"&gt;="&amp;ReportFrom,'Payroll'!$A$5:$A$2005,"&lt;="&amp;ReportTo)+SUMIFS('Payroll'!$P$5:$P$2005,'Payroll'!$S$5:$S$2005,$A115,'Payroll'!$A$5:$A$2005,"&gt;="&amp;ReportFrom,'Payroll'!$A$5:$A$2005,"&lt;="&amp;ReportTo))</f>
        <v/>
      </c>
      <c r="U115" s="25">
        <f>IF($A115="",0,(SUMIFS('Receipt Vouchers'!$F$5:$F$2005,'Receipt Vouchers'!$O$5:$O$2005,$A115,'Receipt Vouchers'!$A$5:$A$2005,"&lt;"&amp;ReportFrom)+SUMIFS('Receipt Vouchers'!$J$5:$J$2005,'Receipt Vouchers'!$Q$5:$Q$2005,$A115,'Receipt Vouchers'!$A$5:$A$2005,"&lt;"&amp;ReportFrom))-(SUMIFS('Receipt Vouchers'!$N$5:$N$2005,'Receipt Vouchers'!$P$5:$P$2005,$A115,'Receipt Vouchers'!$A$5:$A$2005,"&lt;"&amp;ReportFrom)+SUMIFS('Receipt Vouchers'!$M$5:$M$2005,'Receipt Vouchers'!$R$5:$R$2005,$A115,'Receipt Vouchers'!$A$5:$A$2005,"&lt;"&amp;ReportFrom)))</f>
        <v/>
      </c>
      <c r="V115" s="25">
        <f>IF($A115="",0,SUMIFS('Receipt Vouchers'!$F$5:$F$2005,'Receipt Vouchers'!$O$5:$O$2005,$A115,'Receipt Vouchers'!$A$5:$A$2005,"&gt;="&amp;ReportFrom,'Receipt Vouchers'!$A$5:$A$2005,"&lt;="&amp;ReportTo)+SUMIFS('Receipt Vouchers'!$J$5:$J$2005,'Receipt Vouchers'!$Q$5:$Q$2005,$A115,'Receipt Vouchers'!$A$5:$A$2005,"&gt;="&amp;ReportFrom,'Receipt Vouchers'!$A$5:$A$2005,"&lt;="&amp;ReportTo))</f>
        <v/>
      </c>
      <c r="W115" s="25">
        <f>IF($A115="",0,SUMIFS('Receipt Vouchers'!$N$5:$N$2005,'Receipt Vouchers'!$P$5:$P$2005,$A115,'Receipt Vouchers'!$A$5:$A$2005,"&gt;="&amp;ReportFrom,'Receipt Vouchers'!$A$5:$A$2005,"&lt;="&amp;ReportTo)+SUMIFS('Receipt Vouchers'!$M$5:$M$2005,'Receipt Vouchers'!$R$5:$R$2005,$A115,'Receipt Vouchers'!$A$5:$A$2005,"&gt;="&amp;ReportFrom,'Receipt Vouchers'!$A$5:$A$2005,"&lt;="&amp;ReportTo))</f>
        <v/>
      </c>
      <c r="X115" s="25">
        <f>IF($A115="",0,(SUMIFS('Sales Invoices'!$O$5:$O$2005,'Sales Invoices'!$P$5:$P$2005,$A115,'Sales Invoices'!$B$5:$B$2005,"&lt;"&amp;ReportFrom)+SUMIFS('Sales Invoices'!$N$5:$N$2005,'Sales Invoices'!$R$5:$R$2005,$A115,'Sales Invoices'!$B$5:$B$2005,"&lt;"&amp;ReportFrom))-(SUMIFS('Sales Invoices'!$L$5:$L$2005,'Sales Invoices'!$Q$5:$Q$2005,$A115,'Sales Invoices'!$B$5:$B$2005,"&lt;"&amp;ReportFrom)+SUMIFS('Sales Invoices'!$M$5:$M$2005,'Sales Invoices'!$S$5:$S$2005,$A115,'Sales Invoices'!$B$5:$B$2005,"&lt;"&amp;ReportFrom)))</f>
        <v/>
      </c>
      <c r="Y115" s="25">
        <f>IF($A115="",0,SUMIFS('Sales Invoices'!$O$5:$O$2005,'Sales Invoices'!$P$5:$P$2005,$A115,'Sales Invoices'!$B$5:$B$2005,"&gt;="&amp;ReportFrom,'Sales Invoices'!$B$5:$B$2005,"&lt;="&amp;ReportTo)+SUMIFS('Sales Invoices'!$N$5:$N$2005,'Sales Invoices'!$R$5:$R$2005,$A115,'Sales Invoices'!$B$5:$B$2005,"&gt;="&amp;ReportFrom,'Sales Invoices'!$B$5:$B$2005,"&lt;="&amp;ReportTo))</f>
        <v/>
      </c>
      <c r="Z115" s="25">
        <f>IF($A115="",0,SUMIFS('Sales Invoices'!$L$5:$L$2005,'Sales Invoices'!$Q$5:$Q$2005,$A115,'Sales Invoices'!$B$5:$B$2005,"&gt;="&amp;ReportFrom,'Sales Invoices'!$B$5:$B$2005,"&lt;="&amp;ReportTo)+SUMIFS('Sales Invoices'!$M$5:$M$2005,'Sales Invoices'!$S$5:$S$2005,$A115,'Sales Invoices'!$B$5:$B$2005,"&gt;="&amp;ReportFrom,'Sales Invoices'!$B$5:$B$2005,"&lt;="&amp;ReportTo))</f>
        <v/>
      </c>
      <c r="AA115" s="25">
        <f>IF($A115="",0,(SUMIFS('Payment Vouchers'!$D$5:$D$2005,'Payment Vouchers'!$J$5:$J$2005,$A115,'Payment Vouchers'!$A$5:$A$2005,"&lt;"&amp;ReportFrom))-(SUMIFS('Payment Vouchers'!$D$5:$D$2005,'Payment Vouchers'!$K$5:$K$2005,$A115,'Payment Vouchers'!$A$5:$A$2005,"&lt;"&amp;ReportFrom)))</f>
        <v/>
      </c>
      <c r="AB115" s="25">
        <f>IF($A115="",0,SUMIFS('Payment Vouchers'!$D$5:$D$2005,'Payment Vouchers'!$J$5:$J$2005,$A115,'Payment Vouchers'!$A$5:$A$2005,"&gt;="&amp;ReportFrom,'Payment Vouchers'!$A$5:$A$2005,"&lt;="&amp;ReportTo))</f>
        <v/>
      </c>
      <c r="AC115" s="25">
        <f>IF($A115="",0,SUMIFS('Payment Vouchers'!$D$5:$D$2005,'Payment Vouchers'!$K$5:$K$2005,$A115,'Payment Vouchers'!$A$5:$A$2005,"&gt;="&amp;ReportFrom,'Payment Vouchers'!$A$5:$A$2005,"&lt;="&amp;ReportTo))</f>
        <v/>
      </c>
      <c r="AD115" s="25">
        <f>IF($A115="",0,(SUMIFS('Partner Transactions'!$D$5:$D$2005,'Partner Transactions'!$L$5:$L$2005,$A115,'Partner Transactions'!$A$5:$A$2005,"&lt;"&amp;ReportFrom))-(SUMIFS('Partner Transactions'!$D$5:$D$2005,'Partner Transactions'!$M$5:$M$2005,$A115,'Partner Transactions'!$A$5:$A$2005,"&lt;"&amp;ReportFrom)))</f>
        <v/>
      </c>
      <c r="AE115" s="25">
        <f>IF($A115="",0,SUMIFS('Partner Transactions'!$D$5:$D$2005,'Partner Transactions'!$L$5:$L$2005,$A115,'Partner Transactions'!$A$5:$A$2005,"&gt;="&amp;ReportFrom,'Partner Transactions'!$A$5:$A$2005,"&lt;="&amp;ReportTo))</f>
        <v/>
      </c>
      <c r="AF115" s="25">
        <f>IF($A115="",0,SUMIFS('Partner Transactions'!$D$5:$D$2005,'Partner Transactions'!$M$5:$M$2005,$A115,'Partner Transactions'!$A$5:$A$2005,"&gt;="&amp;ReportFrom,'Partner Transactions'!$A$5:$A$2005,"&lt;="&amp;ReportTo))</f>
        <v/>
      </c>
      <c r="AG115" s="25">
        <f>IF($A115="",0,(SUMIFS('Stock Moves'!$S$5:$S$2005,'Stock Moves'!$AD$5:$AD$2005,$A115,'Stock Moves'!$A$5:$A$2005,"&lt;"&amp;ReportFrom)+SUMIFS('Stock Moves'!$T$5:$T$2005,'Stock Moves'!$V$5:$V$2005,$A115,'Stock Moves'!$A$5:$A$2005,"&lt;"&amp;ReportFrom))-(SUMIFS('Stock Moves'!$AF$5:$AF$2005,'Stock Moves'!$AE$5:$AE$2005,$A115,'Stock Moves'!$A$5:$A$2005,"&lt;"&amp;ReportFrom)+SUMIFS('Stock Moves'!$AC$5:$AC$2005,'Stock Moves'!$X$5:$X$2005,$A115,'Stock Moves'!$A$5:$A$2005,"&lt;"&amp;ReportFrom)+SUMIFS('Stock Moves'!$U$5:$U$2005,'Stock Moves'!$W$5:$W$2005,$A115,'Stock Moves'!$A$5:$A$2005,"&lt;"&amp;ReportFrom)))</f>
        <v/>
      </c>
      <c r="AH115" s="25">
        <f>IF($A115="",0,SUMIFS('Stock Moves'!$S$5:$S$2005,'Stock Moves'!$AD$5:$AD$2005,$A115,'Stock Moves'!$A$5:$A$2005,"&gt;="&amp;ReportFrom,'Stock Moves'!$A$5:$A$2005,"&lt;="&amp;ReportTo)+SUMIFS('Stock Moves'!$T$5:$T$2005,'Stock Moves'!$V$5:$V$2005,$A115,'Stock Moves'!$A$5:$A$2005,"&gt;="&amp;ReportFrom,'Stock Moves'!$A$5:$A$2005,"&lt;="&amp;ReportTo))</f>
        <v/>
      </c>
      <c r="AI115" s="25">
        <f>IF($A115="",0,SUMIFS('Stock Moves'!$AF$5:$AF$2005,'Stock Moves'!$AE$5:$AE$2005,$A115,'Stock Moves'!$A$5:$A$2005,"&gt;="&amp;ReportFrom,'Stock Moves'!$A$5:$A$2005,"&lt;="&amp;ReportTo)+SUMIFS('Stock Moves'!$AC$5:$AC$2005,'Stock Moves'!$X$5:$X$2005,$A115,'Stock Moves'!$A$5:$A$2005,"&gt;="&amp;ReportFrom,'Stock Moves'!$A$5:$A$2005,"&lt;="&amp;ReportTo)+SUMIFS('Stock Moves'!$U$5:$U$2005,'Stock Moves'!$W$5:$W$2005,$A115,'Stock Moves'!$A$5:$A$2005,"&gt;="&amp;ReportFrom,'Stock Moves'!$A$5:$A$2005,"&lt;="&amp;ReportTo))</f>
        <v/>
      </c>
      <c r="AJ115" s="25">
        <f>IF($A115="",0,(SUMIFS('Journal Vouchers'!$I$5:$I$2005,'Journal Vouchers'!$H$5:$H$2005,$A115,'Journal Vouchers'!$B$5:$B$2005,"&lt;"&amp;ReportFrom))-(SUMIFS('Journal Vouchers'!$J$5:$J$2005,'Journal Vouchers'!$H$5:$H$2005,$A115,'Journal Vouchers'!$B$5:$B$2005,"&lt;"&amp;ReportFrom)))</f>
        <v/>
      </c>
      <c r="AK115" s="25">
        <f>IF($A115="",0,SUMIFS('Journal Vouchers'!$I$5:$I$2005,'Journal Vouchers'!$H$5:$H$2005,$A115,'Journal Vouchers'!$B$5:$B$2005,"&gt;="&amp;ReportFrom,'Journal Vouchers'!$B$5:$B$2005,"&lt;="&amp;ReportTo))</f>
        <v/>
      </c>
      <c r="AL115" s="25">
        <f>IF($A115="",0,SUMIFS('Journal Vouchers'!$J$5:$J$2005,'Journal Vouchers'!$H$5:$H$2005,$A115,'Journal Vouchers'!$B$5:$B$2005,"&gt;="&amp;ReportFrom,'Journal Vouchers'!$B$5:$B$2005,"&lt;="&amp;ReportTo))</f>
        <v/>
      </c>
    </row>
    <row r="116">
      <c r="A116" s="25">
        <f>IF('Chart of Accounts'!A116="","",'Chart of Accounts'!A116&amp;"")</f>
        <v/>
      </c>
      <c r="B116" s="25">
        <f>IF(A116="","",'Chart of Accounts'!B116)</f>
        <v/>
      </c>
      <c r="C116" s="25">
        <f>IF(A116="","",'Chart of Accounts'!C116)</f>
        <v/>
      </c>
      <c r="D116" s="25">
        <f>IF(A116="","",'Chart of Accounts'!D116)</f>
        <v/>
      </c>
      <c r="E116" s="26">
        <f>L116+O116+R116+U116+X116+AA116+AD116+AG116+AJ116</f>
        <v/>
      </c>
      <c r="F116" s="26">
        <f>M116+P116+S116+V116+Y116+AB116+AE116+AH116+AK116</f>
        <v/>
      </c>
      <c r="G116" s="26">
        <f>N116+Q116+T116+W116+Z116+AC116+AF116+AI116+AL116</f>
        <v/>
      </c>
      <c r="H116" s="26">
        <f>E116+F116-G116</f>
        <v/>
      </c>
      <c r="I116" s="26">
        <f>MAX(H116,0)</f>
        <v/>
      </c>
      <c r="J116" s="26">
        <f>MAX(-H116,0)</f>
        <v/>
      </c>
      <c r="L116" s="25">
        <f>IF($A116="",0,(SUMIFS('Direct Costs'!$R$5:$R$2005,'Direct Costs'!$V$5:$V$2005,$A116,'Direct Costs'!$A$5:$A$2005,"&lt;"&amp;ReportFrom)+SUMIFS('Direct Costs'!$S$5:$S$2005,'Direct Costs'!$Y$5:$Y$2005,$A116,'Direct Costs'!$A$5:$A$2005,"&lt;"&amp;ReportFrom))-(SUMIFS('Direct Costs'!$L$5:$L$2005,'Direct Costs'!$W$5:$W$2005,$A116,'Direct Costs'!$A$5:$A$2005,"&lt;"&amp;ReportFrom)+SUMIFS('Direct Costs'!$U$5:$U$2005,'Direct Costs'!$X$5:$X$2005,$A116,'Direct Costs'!$A$5:$A$2005,"&lt;"&amp;ReportFrom)+SUMIFS('Direct Costs'!$T$5:$T$2005,'Direct Costs'!$Z$5:$Z$2005,$A116,'Direct Costs'!$A$5:$A$2005,"&lt;"&amp;ReportFrom)))</f>
        <v/>
      </c>
      <c r="M116" s="25">
        <f>IF($A116="",0,SUMIFS('Direct Costs'!$R$5:$R$2005,'Direct Costs'!$V$5:$V$2005,$A116,'Direct Costs'!$A$5:$A$2005,"&gt;="&amp;ReportFrom,'Direct Costs'!$A$5:$A$2005,"&lt;="&amp;ReportTo)+SUMIFS('Direct Costs'!$S$5:$S$2005,'Direct Costs'!$Y$5:$Y$2005,$A116,'Direct Costs'!$A$5:$A$2005,"&gt;="&amp;ReportFrom,'Direct Costs'!$A$5:$A$2005,"&lt;="&amp;ReportTo))</f>
        <v/>
      </c>
      <c r="N116" s="25">
        <f>IF($A116="",0,SUMIFS('Direct Costs'!$L$5:$L$2005,'Direct Costs'!$W$5:$W$2005,$A116,'Direct Costs'!$A$5:$A$2005,"&gt;="&amp;ReportFrom,'Direct Costs'!$A$5:$A$2005,"&lt;="&amp;ReportTo)+SUMIFS('Direct Costs'!$U$5:$U$2005,'Direct Costs'!$X$5:$X$2005,$A116,'Direct Costs'!$A$5:$A$2005,"&gt;="&amp;ReportFrom,'Direct Costs'!$A$5:$A$2005,"&lt;="&amp;ReportTo)+SUMIFS('Direct Costs'!$T$5:$T$2005,'Direct Costs'!$Z$5:$Z$2005,$A116,'Direct Costs'!$A$5:$A$2005,"&gt;="&amp;ReportFrom,'Direct Costs'!$A$5:$A$2005,"&lt;="&amp;ReportTo))</f>
        <v/>
      </c>
      <c r="O116" s="25">
        <f>IF($A116="",0,(SUMIFS('Operating Expenses'!$F$5:$F$2005,'Operating Expenses'!$Q$5:$Q$2005,$A116,'Operating Expenses'!$A$5:$A$2005,"&lt;"&amp;ReportFrom)+SUMIFS('Operating Expenses'!$M$5:$M$2005,'Operating Expenses'!$T$5:$T$2005,$A116,'Operating Expenses'!$A$5:$A$2005,"&lt;"&amp;ReportFrom))-(SUMIFS('Operating Expenses'!$O$5:$O$2005,'Operating Expenses'!$R$5:$R$2005,$A116,'Operating Expenses'!$A$5:$A$2005,"&lt;"&amp;ReportFrom)+SUMIFS('Operating Expenses'!$P$5:$P$2005,'Operating Expenses'!$S$5:$S$2005,$A116,'Operating Expenses'!$A$5:$A$2005,"&lt;"&amp;ReportFrom)+SUMIFS('Operating Expenses'!$N$5:$N$2005,'Operating Expenses'!$U$5:$U$2005,$A116,'Operating Expenses'!$A$5:$A$2005,"&lt;"&amp;ReportFrom)))</f>
        <v/>
      </c>
      <c r="P116" s="25">
        <f>IF($A116="",0,SUMIFS('Operating Expenses'!$F$5:$F$2005,'Operating Expenses'!$Q$5:$Q$2005,$A116,'Operating Expenses'!$A$5:$A$2005,"&gt;="&amp;ReportFrom,'Operating Expenses'!$A$5:$A$2005,"&lt;="&amp;ReportTo)+SUMIFS('Operating Expenses'!$M$5:$M$2005,'Operating Expenses'!$T$5:$T$2005,$A116,'Operating Expenses'!$A$5:$A$2005,"&gt;="&amp;ReportFrom,'Operating Expenses'!$A$5:$A$2005,"&lt;="&amp;ReportTo))</f>
        <v/>
      </c>
      <c r="Q116" s="25">
        <f>IF($A116="",0,SUMIFS('Operating Expenses'!$O$5:$O$2005,'Operating Expenses'!$R$5:$R$2005,$A116,'Operating Expenses'!$A$5:$A$2005,"&gt;="&amp;ReportFrom,'Operating Expenses'!$A$5:$A$2005,"&lt;="&amp;ReportTo)+SUMIFS('Operating Expenses'!$P$5:$P$2005,'Operating Expenses'!$S$5:$S$2005,$A116,'Operating Expenses'!$A$5:$A$2005,"&gt;="&amp;ReportFrom,'Operating Expenses'!$A$5:$A$2005,"&lt;="&amp;ReportTo)+SUMIFS('Operating Expenses'!$N$5:$N$2005,'Operating Expenses'!$U$5:$U$2005,$A116,'Operating Expenses'!$A$5:$A$2005,"&gt;="&amp;ReportFrom,'Operating Expenses'!$A$5:$A$2005,"&lt;="&amp;ReportTo))</f>
        <v/>
      </c>
      <c r="R116" s="25">
        <f>IF($A116="",0,(SUMIFS('Payroll'!$O$5:$O$2005,'Payroll'!$Q$5:$Q$2005,$A116,'Payroll'!$A$5:$A$2005,"&lt;"&amp;ReportFrom))-(SUMIFS('Payroll'!$K$5:$K$2005,'Payroll'!$R$5:$R$2005,$A116,'Payroll'!$A$5:$A$2005,"&lt;"&amp;ReportFrom)+SUMIFS('Payroll'!$P$5:$P$2005,'Payroll'!$S$5:$S$2005,$A116,'Payroll'!$A$5:$A$2005,"&lt;"&amp;ReportFrom)))</f>
        <v/>
      </c>
      <c r="S116" s="25">
        <f>IF($A116="",0,SUMIFS('Payroll'!$O$5:$O$2005,'Payroll'!$Q$5:$Q$2005,$A116,'Payroll'!$A$5:$A$2005,"&gt;="&amp;ReportFrom,'Payroll'!$A$5:$A$2005,"&lt;="&amp;ReportTo))</f>
        <v/>
      </c>
      <c r="T116" s="25">
        <f>IF($A116="",0,SUMIFS('Payroll'!$K$5:$K$2005,'Payroll'!$R$5:$R$2005,$A116,'Payroll'!$A$5:$A$2005,"&gt;="&amp;ReportFrom,'Payroll'!$A$5:$A$2005,"&lt;="&amp;ReportTo)+SUMIFS('Payroll'!$P$5:$P$2005,'Payroll'!$S$5:$S$2005,$A116,'Payroll'!$A$5:$A$2005,"&gt;="&amp;ReportFrom,'Payroll'!$A$5:$A$2005,"&lt;="&amp;ReportTo))</f>
        <v/>
      </c>
      <c r="U116" s="25">
        <f>IF($A116="",0,(SUMIFS('Receipt Vouchers'!$F$5:$F$2005,'Receipt Vouchers'!$O$5:$O$2005,$A116,'Receipt Vouchers'!$A$5:$A$2005,"&lt;"&amp;ReportFrom)+SUMIFS('Receipt Vouchers'!$J$5:$J$2005,'Receipt Vouchers'!$Q$5:$Q$2005,$A116,'Receipt Vouchers'!$A$5:$A$2005,"&lt;"&amp;ReportFrom))-(SUMIFS('Receipt Vouchers'!$N$5:$N$2005,'Receipt Vouchers'!$P$5:$P$2005,$A116,'Receipt Vouchers'!$A$5:$A$2005,"&lt;"&amp;ReportFrom)+SUMIFS('Receipt Vouchers'!$M$5:$M$2005,'Receipt Vouchers'!$R$5:$R$2005,$A116,'Receipt Vouchers'!$A$5:$A$2005,"&lt;"&amp;ReportFrom)))</f>
        <v/>
      </c>
      <c r="V116" s="25">
        <f>IF($A116="",0,SUMIFS('Receipt Vouchers'!$F$5:$F$2005,'Receipt Vouchers'!$O$5:$O$2005,$A116,'Receipt Vouchers'!$A$5:$A$2005,"&gt;="&amp;ReportFrom,'Receipt Vouchers'!$A$5:$A$2005,"&lt;="&amp;ReportTo)+SUMIFS('Receipt Vouchers'!$J$5:$J$2005,'Receipt Vouchers'!$Q$5:$Q$2005,$A116,'Receipt Vouchers'!$A$5:$A$2005,"&gt;="&amp;ReportFrom,'Receipt Vouchers'!$A$5:$A$2005,"&lt;="&amp;ReportTo))</f>
        <v/>
      </c>
      <c r="W116" s="25">
        <f>IF($A116="",0,SUMIFS('Receipt Vouchers'!$N$5:$N$2005,'Receipt Vouchers'!$P$5:$P$2005,$A116,'Receipt Vouchers'!$A$5:$A$2005,"&gt;="&amp;ReportFrom,'Receipt Vouchers'!$A$5:$A$2005,"&lt;="&amp;ReportTo)+SUMIFS('Receipt Vouchers'!$M$5:$M$2005,'Receipt Vouchers'!$R$5:$R$2005,$A116,'Receipt Vouchers'!$A$5:$A$2005,"&gt;="&amp;ReportFrom,'Receipt Vouchers'!$A$5:$A$2005,"&lt;="&amp;ReportTo))</f>
        <v/>
      </c>
      <c r="X116" s="25">
        <f>IF($A116="",0,(SUMIFS('Sales Invoices'!$O$5:$O$2005,'Sales Invoices'!$P$5:$P$2005,$A116,'Sales Invoices'!$B$5:$B$2005,"&lt;"&amp;ReportFrom)+SUMIFS('Sales Invoices'!$N$5:$N$2005,'Sales Invoices'!$R$5:$R$2005,$A116,'Sales Invoices'!$B$5:$B$2005,"&lt;"&amp;ReportFrom))-(SUMIFS('Sales Invoices'!$L$5:$L$2005,'Sales Invoices'!$Q$5:$Q$2005,$A116,'Sales Invoices'!$B$5:$B$2005,"&lt;"&amp;ReportFrom)+SUMIFS('Sales Invoices'!$M$5:$M$2005,'Sales Invoices'!$S$5:$S$2005,$A116,'Sales Invoices'!$B$5:$B$2005,"&lt;"&amp;ReportFrom)))</f>
        <v/>
      </c>
      <c r="Y116" s="25">
        <f>IF($A116="",0,SUMIFS('Sales Invoices'!$O$5:$O$2005,'Sales Invoices'!$P$5:$P$2005,$A116,'Sales Invoices'!$B$5:$B$2005,"&gt;="&amp;ReportFrom,'Sales Invoices'!$B$5:$B$2005,"&lt;="&amp;ReportTo)+SUMIFS('Sales Invoices'!$N$5:$N$2005,'Sales Invoices'!$R$5:$R$2005,$A116,'Sales Invoices'!$B$5:$B$2005,"&gt;="&amp;ReportFrom,'Sales Invoices'!$B$5:$B$2005,"&lt;="&amp;ReportTo))</f>
        <v/>
      </c>
      <c r="Z116" s="25">
        <f>IF($A116="",0,SUMIFS('Sales Invoices'!$L$5:$L$2005,'Sales Invoices'!$Q$5:$Q$2005,$A116,'Sales Invoices'!$B$5:$B$2005,"&gt;="&amp;ReportFrom,'Sales Invoices'!$B$5:$B$2005,"&lt;="&amp;ReportTo)+SUMIFS('Sales Invoices'!$M$5:$M$2005,'Sales Invoices'!$S$5:$S$2005,$A116,'Sales Invoices'!$B$5:$B$2005,"&gt;="&amp;ReportFrom,'Sales Invoices'!$B$5:$B$2005,"&lt;="&amp;ReportTo))</f>
        <v/>
      </c>
      <c r="AA116" s="25">
        <f>IF($A116="",0,(SUMIFS('Payment Vouchers'!$D$5:$D$2005,'Payment Vouchers'!$J$5:$J$2005,$A116,'Payment Vouchers'!$A$5:$A$2005,"&lt;"&amp;ReportFrom))-(SUMIFS('Payment Vouchers'!$D$5:$D$2005,'Payment Vouchers'!$K$5:$K$2005,$A116,'Payment Vouchers'!$A$5:$A$2005,"&lt;"&amp;ReportFrom)))</f>
        <v/>
      </c>
      <c r="AB116" s="25">
        <f>IF($A116="",0,SUMIFS('Payment Vouchers'!$D$5:$D$2005,'Payment Vouchers'!$J$5:$J$2005,$A116,'Payment Vouchers'!$A$5:$A$2005,"&gt;="&amp;ReportFrom,'Payment Vouchers'!$A$5:$A$2005,"&lt;="&amp;ReportTo))</f>
        <v/>
      </c>
      <c r="AC116" s="25">
        <f>IF($A116="",0,SUMIFS('Payment Vouchers'!$D$5:$D$2005,'Payment Vouchers'!$K$5:$K$2005,$A116,'Payment Vouchers'!$A$5:$A$2005,"&gt;="&amp;ReportFrom,'Payment Vouchers'!$A$5:$A$2005,"&lt;="&amp;ReportTo))</f>
        <v/>
      </c>
      <c r="AD116" s="25">
        <f>IF($A116="",0,(SUMIFS('Partner Transactions'!$D$5:$D$2005,'Partner Transactions'!$L$5:$L$2005,$A116,'Partner Transactions'!$A$5:$A$2005,"&lt;"&amp;ReportFrom))-(SUMIFS('Partner Transactions'!$D$5:$D$2005,'Partner Transactions'!$M$5:$M$2005,$A116,'Partner Transactions'!$A$5:$A$2005,"&lt;"&amp;ReportFrom)))</f>
        <v/>
      </c>
      <c r="AE116" s="25">
        <f>IF($A116="",0,SUMIFS('Partner Transactions'!$D$5:$D$2005,'Partner Transactions'!$L$5:$L$2005,$A116,'Partner Transactions'!$A$5:$A$2005,"&gt;="&amp;ReportFrom,'Partner Transactions'!$A$5:$A$2005,"&lt;="&amp;ReportTo))</f>
        <v/>
      </c>
      <c r="AF116" s="25">
        <f>IF($A116="",0,SUMIFS('Partner Transactions'!$D$5:$D$2005,'Partner Transactions'!$M$5:$M$2005,$A116,'Partner Transactions'!$A$5:$A$2005,"&gt;="&amp;ReportFrom,'Partner Transactions'!$A$5:$A$2005,"&lt;="&amp;ReportTo))</f>
        <v/>
      </c>
      <c r="AG116" s="25">
        <f>IF($A116="",0,(SUMIFS('Stock Moves'!$S$5:$S$2005,'Stock Moves'!$AD$5:$AD$2005,$A116,'Stock Moves'!$A$5:$A$2005,"&lt;"&amp;ReportFrom)+SUMIFS('Stock Moves'!$T$5:$T$2005,'Stock Moves'!$V$5:$V$2005,$A116,'Stock Moves'!$A$5:$A$2005,"&lt;"&amp;ReportFrom))-(SUMIFS('Stock Moves'!$AF$5:$AF$2005,'Stock Moves'!$AE$5:$AE$2005,$A116,'Stock Moves'!$A$5:$A$2005,"&lt;"&amp;ReportFrom)+SUMIFS('Stock Moves'!$AC$5:$AC$2005,'Stock Moves'!$X$5:$X$2005,$A116,'Stock Moves'!$A$5:$A$2005,"&lt;"&amp;ReportFrom)+SUMIFS('Stock Moves'!$U$5:$U$2005,'Stock Moves'!$W$5:$W$2005,$A116,'Stock Moves'!$A$5:$A$2005,"&lt;"&amp;ReportFrom)))</f>
        <v/>
      </c>
      <c r="AH116" s="25">
        <f>IF($A116="",0,SUMIFS('Stock Moves'!$S$5:$S$2005,'Stock Moves'!$AD$5:$AD$2005,$A116,'Stock Moves'!$A$5:$A$2005,"&gt;="&amp;ReportFrom,'Stock Moves'!$A$5:$A$2005,"&lt;="&amp;ReportTo)+SUMIFS('Stock Moves'!$T$5:$T$2005,'Stock Moves'!$V$5:$V$2005,$A116,'Stock Moves'!$A$5:$A$2005,"&gt;="&amp;ReportFrom,'Stock Moves'!$A$5:$A$2005,"&lt;="&amp;ReportTo))</f>
        <v/>
      </c>
      <c r="AI116" s="25">
        <f>IF($A116="",0,SUMIFS('Stock Moves'!$AF$5:$AF$2005,'Stock Moves'!$AE$5:$AE$2005,$A116,'Stock Moves'!$A$5:$A$2005,"&gt;="&amp;ReportFrom,'Stock Moves'!$A$5:$A$2005,"&lt;="&amp;ReportTo)+SUMIFS('Stock Moves'!$AC$5:$AC$2005,'Stock Moves'!$X$5:$X$2005,$A116,'Stock Moves'!$A$5:$A$2005,"&gt;="&amp;ReportFrom,'Stock Moves'!$A$5:$A$2005,"&lt;="&amp;ReportTo)+SUMIFS('Stock Moves'!$U$5:$U$2005,'Stock Moves'!$W$5:$W$2005,$A116,'Stock Moves'!$A$5:$A$2005,"&gt;="&amp;ReportFrom,'Stock Moves'!$A$5:$A$2005,"&lt;="&amp;ReportTo))</f>
        <v/>
      </c>
      <c r="AJ116" s="25">
        <f>IF($A116="",0,(SUMIFS('Journal Vouchers'!$I$5:$I$2005,'Journal Vouchers'!$H$5:$H$2005,$A116,'Journal Vouchers'!$B$5:$B$2005,"&lt;"&amp;ReportFrom))-(SUMIFS('Journal Vouchers'!$J$5:$J$2005,'Journal Vouchers'!$H$5:$H$2005,$A116,'Journal Vouchers'!$B$5:$B$2005,"&lt;"&amp;ReportFrom)))</f>
        <v/>
      </c>
      <c r="AK116" s="25">
        <f>IF($A116="",0,SUMIFS('Journal Vouchers'!$I$5:$I$2005,'Journal Vouchers'!$H$5:$H$2005,$A116,'Journal Vouchers'!$B$5:$B$2005,"&gt;="&amp;ReportFrom,'Journal Vouchers'!$B$5:$B$2005,"&lt;="&amp;ReportTo))</f>
        <v/>
      </c>
      <c r="AL116" s="25">
        <f>IF($A116="",0,SUMIFS('Journal Vouchers'!$J$5:$J$2005,'Journal Vouchers'!$H$5:$H$2005,$A116,'Journal Vouchers'!$B$5:$B$2005,"&gt;="&amp;ReportFrom,'Journal Vouchers'!$B$5:$B$2005,"&lt;="&amp;ReportTo))</f>
        <v/>
      </c>
    </row>
    <row r="117">
      <c r="A117" s="25">
        <f>IF('Chart of Accounts'!A117="","",'Chart of Accounts'!A117&amp;"")</f>
        <v/>
      </c>
      <c r="B117" s="25">
        <f>IF(A117="","",'Chart of Accounts'!B117)</f>
        <v/>
      </c>
      <c r="C117" s="25">
        <f>IF(A117="","",'Chart of Accounts'!C117)</f>
        <v/>
      </c>
      <c r="D117" s="25">
        <f>IF(A117="","",'Chart of Accounts'!D117)</f>
        <v/>
      </c>
      <c r="E117" s="26">
        <f>L117+O117+R117+U117+X117+AA117+AD117+AG117+AJ117</f>
        <v/>
      </c>
      <c r="F117" s="26">
        <f>M117+P117+S117+V117+Y117+AB117+AE117+AH117+AK117</f>
        <v/>
      </c>
      <c r="G117" s="26">
        <f>N117+Q117+T117+W117+Z117+AC117+AF117+AI117+AL117</f>
        <v/>
      </c>
      <c r="H117" s="26">
        <f>E117+F117-G117</f>
        <v/>
      </c>
      <c r="I117" s="26">
        <f>MAX(H117,0)</f>
        <v/>
      </c>
      <c r="J117" s="26">
        <f>MAX(-H117,0)</f>
        <v/>
      </c>
      <c r="L117" s="25">
        <f>IF($A117="",0,(SUMIFS('Direct Costs'!$R$5:$R$2005,'Direct Costs'!$V$5:$V$2005,$A117,'Direct Costs'!$A$5:$A$2005,"&lt;"&amp;ReportFrom)+SUMIFS('Direct Costs'!$S$5:$S$2005,'Direct Costs'!$Y$5:$Y$2005,$A117,'Direct Costs'!$A$5:$A$2005,"&lt;"&amp;ReportFrom))-(SUMIFS('Direct Costs'!$L$5:$L$2005,'Direct Costs'!$W$5:$W$2005,$A117,'Direct Costs'!$A$5:$A$2005,"&lt;"&amp;ReportFrom)+SUMIFS('Direct Costs'!$U$5:$U$2005,'Direct Costs'!$X$5:$X$2005,$A117,'Direct Costs'!$A$5:$A$2005,"&lt;"&amp;ReportFrom)+SUMIFS('Direct Costs'!$T$5:$T$2005,'Direct Costs'!$Z$5:$Z$2005,$A117,'Direct Costs'!$A$5:$A$2005,"&lt;"&amp;ReportFrom)))</f>
        <v/>
      </c>
      <c r="M117" s="25">
        <f>IF($A117="",0,SUMIFS('Direct Costs'!$R$5:$R$2005,'Direct Costs'!$V$5:$V$2005,$A117,'Direct Costs'!$A$5:$A$2005,"&gt;="&amp;ReportFrom,'Direct Costs'!$A$5:$A$2005,"&lt;="&amp;ReportTo)+SUMIFS('Direct Costs'!$S$5:$S$2005,'Direct Costs'!$Y$5:$Y$2005,$A117,'Direct Costs'!$A$5:$A$2005,"&gt;="&amp;ReportFrom,'Direct Costs'!$A$5:$A$2005,"&lt;="&amp;ReportTo))</f>
        <v/>
      </c>
      <c r="N117" s="25">
        <f>IF($A117="",0,SUMIFS('Direct Costs'!$L$5:$L$2005,'Direct Costs'!$W$5:$W$2005,$A117,'Direct Costs'!$A$5:$A$2005,"&gt;="&amp;ReportFrom,'Direct Costs'!$A$5:$A$2005,"&lt;="&amp;ReportTo)+SUMIFS('Direct Costs'!$U$5:$U$2005,'Direct Costs'!$X$5:$X$2005,$A117,'Direct Costs'!$A$5:$A$2005,"&gt;="&amp;ReportFrom,'Direct Costs'!$A$5:$A$2005,"&lt;="&amp;ReportTo)+SUMIFS('Direct Costs'!$T$5:$T$2005,'Direct Costs'!$Z$5:$Z$2005,$A117,'Direct Costs'!$A$5:$A$2005,"&gt;="&amp;ReportFrom,'Direct Costs'!$A$5:$A$2005,"&lt;="&amp;ReportTo))</f>
        <v/>
      </c>
      <c r="O117" s="25">
        <f>IF($A117="",0,(SUMIFS('Operating Expenses'!$F$5:$F$2005,'Operating Expenses'!$Q$5:$Q$2005,$A117,'Operating Expenses'!$A$5:$A$2005,"&lt;"&amp;ReportFrom)+SUMIFS('Operating Expenses'!$M$5:$M$2005,'Operating Expenses'!$T$5:$T$2005,$A117,'Operating Expenses'!$A$5:$A$2005,"&lt;"&amp;ReportFrom))-(SUMIFS('Operating Expenses'!$O$5:$O$2005,'Operating Expenses'!$R$5:$R$2005,$A117,'Operating Expenses'!$A$5:$A$2005,"&lt;"&amp;ReportFrom)+SUMIFS('Operating Expenses'!$P$5:$P$2005,'Operating Expenses'!$S$5:$S$2005,$A117,'Operating Expenses'!$A$5:$A$2005,"&lt;"&amp;ReportFrom)+SUMIFS('Operating Expenses'!$N$5:$N$2005,'Operating Expenses'!$U$5:$U$2005,$A117,'Operating Expenses'!$A$5:$A$2005,"&lt;"&amp;ReportFrom)))</f>
        <v/>
      </c>
      <c r="P117" s="25">
        <f>IF($A117="",0,SUMIFS('Operating Expenses'!$F$5:$F$2005,'Operating Expenses'!$Q$5:$Q$2005,$A117,'Operating Expenses'!$A$5:$A$2005,"&gt;="&amp;ReportFrom,'Operating Expenses'!$A$5:$A$2005,"&lt;="&amp;ReportTo)+SUMIFS('Operating Expenses'!$M$5:$M$2005,'Operating Expenses'!$T$5:$T$2005,$A117,'Operating Expenses'!$A$5:$A$2005,"&gt;="&amp;ReportFrom,'Operating Expenses'!$A$5:$A$2005,"&lt;="&amp;ReportTo))</f>
        <v/>
      </c>
      <c r="Q117" s="25">
        <f>IF($A117="",0,SUMIFS('Operating Expenses'!$O$5:$O$2005,'Operating Expenses'!$R$5:$R$2005,$A117,'Operating Expenses'!$A$5:$A$2005,"&gt;="&amp;ReportFrom,'Operating Expenses'!$A$5:$A$2005,"&lt;="&amp;ReportTo)+SUMIFS('Operating Expenses'!$P$5:$P$2005,'Operating Expenses'!$S$5:$S$2005,$A117,'Operating Expenses'!$A$5:$A$2005,"&gt;="&amp;ReportFrom,'Operating Expenses'!$A$5:$A$2005,"&lt;="&amp;ReportTo)+SUMIFS('Operating Expenses'!$N$5:$N$2005,'Operating Expenses'!$U$5:$U$2005,$A117,'Operating Expenses'!$A$5:$A$2005,"&gt;="&amp;ReportFrom,'Operating Expenses'!$A$5:$A$2005,"&lt;="&amp;ReportTo))</f>
        <v/>
      </c>
      <c r="R117" s="25">
        <f>IF($A117="",0,(SUMIFS('Payroll'!$O$5:$O$2005,'Payroll'!$Q$5:$Q$2005,$A117,'Payroll'!$A$5:$A$2005,"&lt;"&amp;ReportFrom))-(SUMIFS('Payroll'!$K$5:$K$2005,'Payroll'!$R$5:$R$2005,$A117,'Payroll'!$A$5:$A$2005,"&lt;"&amp;ReportFrom)+SUMIFS('Payroll'!$P$5:$P$2005,'Payroll'!$S$5:$S$2005,$A117,'Payroll'!$A$5:$A$2005,"&lt;"&amp;ReportFrom)))</f>
        <v/>
      </c>
      <c r="S117" s="25">
        <f>IF($A117="",0,SUMIFS('Payroll'!$O$5:$O$2005,'Payroll'!$Q$5:$Q$2005,$A117,'Payroll'!$A$5:$A$2005,"&gt;="&amp;ReportFrom,'Payroll'!$A$5:$A$2005,"&lt;="&amp;ReportTo))</f>
        <v/>
      </c>
      <c r="T117" s="25">
        <f>IF($A117="",0,SUMIFS('Payroll'!$K$5:$K$2005,'Payroll'!$R$5:$R$2005,$A117,'Payroll'!$A$5:$A$2005,"&gt;="&amp;ReportFrom,'Payroll'!$A$5:$A$2005,"&lt;="&amp;ReportTo)+SUMIFS('Payroll'!$P$5:$P$2005,'Payroll'!$S$5:$S$2005,$A117,'Payroll'!$A$5:$A$2005,"&gt;="&amp;ReportFrom,'Payroll'!$A$5:$A$2005,"&lt;="&amp;ReportTo))</f>
        <v/>
      </c>
      <c r="U117" s="25">
        <f>IF($A117="",0,(SUMIFS('Receipt Vouchers'!$F$5:$F$2005,'Receipt Vouchers'!$O$5:$O$2005,$A117,'Receipt Vouchers'!$A$5:$A$2005,"&lt;"&amp;ReportFrom)+SUMIFS('Receipt Vouchers'!$J$5:$J$2005,'Receipt Vouchers'!$Q$5:$Q$2005,$A117,'Receipt Vouchers'!$A$5:$A$2005,"&lt;"&amp;ReportFrom))-(SUMIFS('Receipt Vouchers'!$N$5:$N$2005,'Receipt Vouchers'!$P$5:$P$2005,$A117,'Receipt Vouchers'!$A$5:$A$2005,"&lt;"&amp;ReportFrom)+SUMIFS('Receipt Vouchers'!$M$5:$M$2005,'Receipt Vouchers'!$R$5:$R$2005,$A117,'Receipt Vouchers'!$A$5:$A$2005,"&lt;"&amp;ReportFrom)))</f>
        <v/>
      </c>
      <c r="V117" s="25">
        <f>IF($A117="",0,SUMIFS('Receipt Vouchers'!$F$5:$F$2005,'Receipt Vouchers'!$O$5:$O$2005,$A117,'Receipt Vouchers'!$A$5:$A$2005,"&gt;="&amp;ReportFrom,'Receipt Vouchers'!$A$5:$A$2005,"&lt;="&amp;ReportTo)+SUMIFS('Receipt Vouchers'!$J$5:$J$2005,'Receipt Vouchers'!$Q$5:$Q$2005,$A117,'Receipt Vouchers'!$A$5:$A$2005,"&gt;="&amp;ReportFrom,'Receipt Vouchers'!$A$5:$A$2005,"&lt;="&amp;ReportTo))</f>
        <v/>
      </c>
      <c r="W117" s="25">
        <f>IF($A117="",0,SUMIFS('Receipt Vouchers'!$N$5:$N$2005,'Receipt Vouchers'!$P$5:$P$2005,$A117,'Receipt Vouchers'!$A$5:$A$2005,"&gt;="&amp;ReportFrom,'Receipt Vouchers'!$A$5:$A$2005,"&lt;="&amp;ReportTo)+SUMIFS('Receipt Vouchers'!$M$5:$M$2005,'Receipt Vouchers'!$R$5:$R$2005,$A117,'Receipt Vouchers'!$A$5:$A$2005,"&gt;="&amp;ReportFrom,'Receipt Vouchers'!$A$5:$A$2005,"&lt;="&amp;ReportTo))</f>
        <v/>
      </c>
      <c r="X117" s="25">
        <f>IF($A117="",0,(SUMIFS('Sales Invoices'!$O$5:$O$2005,'Sales Invoices'!$P$5:$P$2005,$A117,'Sales Invoices'!$B$5:$B$2005,"&lt;"&amp;ReportFrom)+SUMIFS('Sales Invoices'!$N$5:$N$2005,'Sales Invoices'!$R$5:$R$2005,$A117,'Sales Invoices'!$B$5:$B$2005,"&lt;"&amp;ReportFrom))-(SUMIFS('Sales Invoices'!$L$5:$L$2005,'Sales Invoices'!$Q$5:$Q$2005,$A117,'Sales Invoices'!$B$5:$B$2005,"&lt;"&amp;ReportFrom)+SUMIFS('Sales Invoices'!$M$5:$M$2005,'Sales Invoices'!$S$5:$S$2005,$A117,'Sales Invoices'!$B$5:$B$2005,"&lt;"&amp;ReportFrom)))</f>
        <v/>
      </c>
      <c r="Y117" s="25">
        <f>IF($A117="",0,SUMIFS('Sales Invoices'!$O$5:$O$2005,'Sales Invoices'!$P$5:$P$2005,$A117,'Sales Invoices'!$B$5:$B$2005,"&gt;="&amp;ReportFrom,'Sales Invoices'!$B$5:$B$2005,"&lt;="&amp;ReportTo)+SUMIFS('Sales Invoices'!$N$5:$N$2005,'Sales Invoices'!$R$5:$R$2005,$A117,'Sales Invoices'!$B$5:$B$2005,"&gt;="&amp;ReportFrom,'Sales Invoices'!$B$5:$B$2005,"&lt;="&amp;ReportTo))</f>
        <v/>
      </c>
      <c r="Z117" s="25">
        <f>IF($A117="",0,SUMIFS('Sales Invoices'!$L$5:$L$2005,'Sales Invoices'!$Q$5:$Q$2005,$A117,'Sales Invoices'!$B$5:$B$2005,"&gt;="&amp;ReportFrom,'Sales Invoices'!$B$5:$B$2005,"&lt;="&amp;ReportTo)+SUMIFS('Sales Invoices'!$M$5:$M$2005,'Sales Invoices'!$S$5:$S$2005,$A117,'Sales Invoices'!$B$5:$B$2005,"&gt;="&amp;ReportFrom,'Sales Invoices'!$B$5:$B$2005,"&lt;="&amp;ReportTo))</f>
        <v/>
      </c>
      <c r="AA117" s="25">
        <f>IF($A117="",0,(SUMIFS('Payment Vouchers'!$D$5:$D$2005,'Payment Vouchers'!$J$5:$J$2005,$A117,'Payment Vouchers'!$A$5:$A$2005,"&lt;"&amp;ReportFrom))-(SUMIFS('Payment Vouchers'!$D$5:$D$2005,'Payment Vouchers'!$K$5:$K$2005,$A117,'Payment Vouchers'!$A$5:$A$2005,"&lt;"&amp;ReportFrom)))</f>
        <v/>
      </c>
      <c r="AB117" s="25">
        <f>IF($A117="",0,SUMIFS('Payment Vouchers'!$D$5:$D$2005,'Payment Vouchers'!$J$5:$J$2005,$A117,'Payment Vouchers'!$A$5:$A$2005,"&gt;="&amp;ReportFrom,'Payment Vouchers'!$A$5:$A$2005,"&lt;="&amp;ReportTo))</f>
        <v/>
      </c>
      <c r="AC117" s="25">
        <f>IF($A117="",0,SUMIFS('Payment Vouchers'!$D$5:$D$2005,'Payment Vouchers'!$K$5:$K$2005,$A117,'Payment Vouchers'!$A$5:$A$2005,"&gt;="&amp;ReportFrom,'Payment Vouchers'!$A$5:$A$2005,"&lt;="&amp;ReportTo))</f>
        <v/>
      </c>
      <c r="AD117" s="25">
        <f>IF($A117="",0,(SUMIFS('Partner Transactions'!$D$5:$D$2005,'Partner Transactions'!$L$5:$L$2005,$A117,'Partner Transactions'!$A$5:$A$2005,"&lt;"&amp;ReportFrom))-(SUMIFS('Partner Transactions'!$D$5:$D$2005,'Partner Transactions'!$M$5:$M$2005,$A117,'Partner Transactions'!$A$5:$A$2005,"&lt;"&amp;ReportFrom)))</f>
        <v/>
      </c>
      <c r="AE117" s="25">
        <f>IF($A117="",0,SUMIFS('Partner Transactions'!$D$5:$D$2005,'Partner Transactions'!$L$5:$L$2005,$A117,'Partner Transactions'!$A$5:$A$2005,"&gt;="&amp;ReportFrom,'Partner Transactions'!$A$5:$A$2005,"&lt;="&amp;ReportTo))</f>
        <v/>
      </c>
      <c r="AF117" s="25">
        <f>IF($A117="",0,SUMIFS('Partner Transactions'!$D$5:$D$2005,'Partner Transactions'!$M$5:$M$2005,$A117,'Partner Transactions'!$A$5:$A$2005,"&gt;="&amp;ReportFrom,'Partner Transactions'!$A$5:$A$2005,"&lt;="&amp;ReportTo))</f>
        <v/>
      </c>
      <c r="AG117" s="25">
        <f>IF($A117="",0,(SUMIFS('Stock Moves'!$S$5:$S$2005,'Stock Moves'!$AD$5:$AD$2005,$A117,'Stock Moves'!$A$5:$A$2005,"&lt;"&amp;ReportFrom)+SUMIFS('Stock Moves'!$T$5:$T$2005,'Stock Moves'!$V$5:$V$2005,$A117,'Stock Moves'!$A$5:$A$2005,"&lt;"&amp;ReportFrom))-(SUMIFS('Stock Moves'!$AF$5:$AF$2005,'Stock Moves'!$AE$5:$AE$2005,$A117,'Stock Moves'!$A$5:$A$2005,"&lt;"&amp;ReportFrom)+SUMIFS('Stock Moves'!$AC$5:$AC$2005,'Stock Moves'!$X$5:$X$2005,$A117,'Stock Moves'!$A$5:$A$2005,"&lt;"&amp;ReportFrom)+SUMIFS('Stock Moves'!$U$5:$U$2005,'Stock Moves'!$W$5:$W$2005,$A117,'Stock Moves'!$A$5:$A$2005,"&lt;"&amp;ReportFrom)))</f>
        <v/>
      </c>
      <c r="AH117" s="25">
        <f>IF($A117="",0,SUMIFS('Stock Moves'!$S$5:$S$2005,'Stock Moves'!$AD$5:$AD$2005,$A117,'Stock Moves'!$A$5:$A$2005,"&gt;="&amp;ReportFrom,'Stock Moves'!$A$5:$A$2005,"&lt;="&amp;ReportTo)+SUMIFS('Stock Moves'!$T$5:$T$2005,'Stock Moves'!$V$5:$V$2005,$A117,'Stock Moves'!$A$5:$A$2005,"&gt;="&amp;ReportFrom,'Stock Moves'!$A$5:$A$2005,"&lt;="&amp;ReportTo))</f>
        <v/>
      </c>
      <c r="AI117" s="25">
        <f>IF($A117="",0,SUMIFS('Stock Moves'!$AF$5:$AF$2005,'Stock Moves'!$AE$5:$AE$2005,$A117,'Stock Moves'!$A$5:$A$2005,"&gt;="&amp;ReportFrom,'Stock Moves'!$A$5:$A$2005,"&lt;="&amp;ReportTo)+SUMIFS('Stock Moves'!$AC$5:$AC$2005,'Stock Moves'!$X$5:$X$2005,$A117,'Stock Moves'!$A$5:$A$2005,"&gt;="&amp;ReportFrom,'Stock Moves'!$A$5:$A$2005,"&lt;="&amp;ReportTo)+SUMIFS('Stock Moves'!$U$5:$U$2005,'Stock Moves'!$W$5:$W$2005,$A117,'Stock Moves'!$A$5:$A$2005,"&gt;="&amp;ReportFrom,'Stock Moves'!$A$5:$A$2005,"&lt;="&amp;ReportTo))</f>
        <v/>
      </c>
      <c r="AJ117" s="25">
        <f>IF($A117="",0,(SUMIFS('Journal Vouchers'!$I$5:$I$2005,'Journal Vouchers'!$H$5:$H$2005,$A117,'Journal Vouchers'!$B$5:$B$2005,"&lt;"&amp;ReportFrom))-(SUMIFS('Journal Vouchers'!$J$5:$J$2005,'Journal Vouchers'!$H$5:$H$2005,$A117,'Journal Vouchers'!$B$5:$B$2005,"&lt;"&amp;ReportFrom)))</f>
        <v/>
      </c>
      <c r="AK117" s="25">
        <f>IF($A117="",0,SUMIFS('Journal Vouchers'!$I$5:$I$2005,'Journal Vouchers'!$H$5:$H$2005,$A117,'Journal Vouchers'!$B$5:$B$2005,"&gt;="&amp;ReportFrom,'Journal Vouchers'!$B$5:$B$2005,"&lt;="&amp;ReportTo))</f>
        <v/>
      </c>
      <c r="AL117" s="25">
        <f>IF($A117="",0,SUMIFS('Journal Vouchers'!$J$5:$J$2005,'Journal Vouchers'!$H$5:$H$2005,$A117,'Journal Vouchers'!$B$5:$B$2005,"&gt;="&amp;ReportFrom,'Journal Vouchers'!$B$5:$B$2005,"&lt;="&amp;ReportTo))</f>
        <v/>
      </c>
    </row>
    <row r="118">
      <c r="A118" s="25">
        <f>IF('Chart of Accounts'!A118="","",'Chart of Accounts'!A118&amp;"")</f>
        <v/>
      </c>
      <c r="B118" s="25">
        <f>IF(A118="","",'Chart of Accounts'!B118)</f>
        <v/>
      </c>
      <c r="C118" s="25">
        <f>IF(A118="","",'Chart of Accounts'!C118)</f>
        <v/>
      </c>
      <c r="D118" s="25">
        <f>IF(A118="","",'Chart of Accounts'!D118)</f>
        <v/>
      </c>
      <c r="E118" s="26">
        <f>L118+O118+R118+U118+X118+AA118+AD118+AG118+AJ118</f>
        <v/>
      </c>
      <c r="F118" s="26">
        <f>M118+P118+S118+V118+Y118+AB118+AE118+AH118+AK118</f>
        <v/>
      </c>
      <c r="G118" s="26">
        <f>N118+Q118+T118+W118+Z118+AC118+AF118+AI118+AL118</f>
        <v/>
      </c>
      <c r="H118" s="26">
        <f>E118+F118-G118</f>
        <v/>
      </c>
      <c r="I118" s="26">
        <f>MAX(H118,0)</f>
        <v/>
      </c>
      <c r="J118" s="26">
        <f>MAX(-H118,0)</f>
        <v/>
      </c>
      <c r="L118" s="25">
        <f>IF($A118="",0,(SUMIFS('Direct Costs'!$R$5:$R$2005,'Direct Costs'!$V$5:$V$2005,$A118,'Direct Costs'!$A$5:$A$2005,"&lt;"&amp;ReportFrom)+SUMIFS('Direct Costs'!$S$5:$S$2005,'Direct Costs'!$Y$5:$Y$2005,$A118,'Direct Costs'!$A$5:$A$2005,"&lt;"&amp;ReportFrom))-(SUMIFS('Direct Costs'!$L$5:$L$2005,'Direct Costs'!$W$5:$W$2005,$A118,'Direct Costs'!$A$5:$A$2005,"&lt;"&amp;ReportFrom)+SUMIFS('Direct Costs'!$U$5:$U$2005,'Direct Costs'!$X$5:$X$2005,$A118,'Direct Costs'!$A$5:$A$2005,"&lt;"&amp;ReportFrom)+SUMIFS('Direct Costs'!$T$5:$T$2005,'Direct Costs'!$Z$5:$Z$2005,$A118,'Direct Costs'!$A$5:$A$2005,"&lt;"&amp;ReportFrom)))</f>
        <v/>
      </c>
      <c r="M118" s="25">
        <f>IF($A118="",0,SUMIFS('Direct Costs'!$R$5:$R$2005,'Direct Costs'!$V$5:$V$2005,$A118,'Direct Costs'!$A$5:$A$2005,"&gt;="&amp;ReportFrom,'Direct Costs'!$A$5:$A$2005,"&lt;="&amp;ReportTo)+SUMIFS('Direct Costs'!$S$5:$S$2005,'Direct Costs'!$Y$5:$Y$2005,$A118,'Direct Costs'!$A$5:$A$2005,"&gt;="&amp;ReportFrom,'Direct Costs'!$A$5:$A$2005,"&lt;="&amp;ReportTo))</f>
        <v/>
      </c>
      <c r="N118" s="25">
        <f>IF($A118="",0,SUMIFS('Direct Costs'!$L$5:$L$2005,'Direct Costs'!$W$5:$W$2005,$A118,'Direct Costs'!$A$5:$A$2005,"&gt;="&amp;ReportFrom,'Direct Costs'!$A$5:$A$2005,"&lt;="&amp;ReportTo)+SUMIFS('Direct Costs'!$U$5:$U$2005,'Direct Costs'!$X$5:$X$2005,$A118,'Direct Costs'!$A$5:$A$2005,"&gt;="&amp;ReportFrom,'Direct Costs'!$A$5:$A$2005,"&lt;="&amp;ReportTo)+SUMIFS('Direct Costs'!$T$5:$T$2005,'Direct Costs'!$Z$5:$Z$2005,$A118,'Direct Costs'!$A$5:$A$2005,"&gt;="&amp;ReportFrom,'Direct Costs'!$A$5:$A$2005,"&lt;="&amp;ReportTo))</f>
        <v/>
      </c>
      <c r="O118" s="25">
        <f>IF($A118="",0,(SUMIFS('Operating Expenses'!$F$5:$F$2005,'Operating Expenses'!$Q$5:$Q$2005,$A118,'Operating Expenses'!$A$5:$A$2005,"&lt;"&amp;ReportFrom)+SUMIFS('Operating Expenses'!$M$5:$M$2005,'Operating Expenses'!$T$5:$T$2005,$A118,'Operating Expenses'!$A$5:$A$2005,"&lt;"&amp;ReportFrom))-(SUMIFS('Operating Expenses'!$O$5:$O$2005,'Operating Expenses'!$R$5:$R$2005,$A118,'Operating Expenses'!$A$5:$A$2005,"&lt;"&amp;ReportFrom)+SUMIFS('Operating Expenses'!$P$5:$P$2005,'Operating Expenses'!$S$5:$S$2005,$A118,'Operating Expenses'!$A$5:$A$2005,"&lt;"&amp;ReportFrom)+SUMIFS('Operating Expenses'!$N$5:$N$2005,'Operating Expenses'!$U$5:$U$2005,$A118,'Operating Expenses'!$A$5:$A$2005,"&lt;"&amp;ReportFrom)))</f>
        <v/>
      </c>
      <c r="P118" s="25">
        <f>IF($A118="",0,SUMIFS('Operating Expenses'!$F$5:$F$2005,'Operating Expenses'!$Q$5:$Q$2005,$A118,'Operating Expenses'!$A$5:$A$2005,"&gt;="&amp;ReportFrom,'Operating Expenses'!$A$5:$A$2005,"&lt;="&amp;ReportTo)+SUMIFS('Operating Expenses'!$M$5:$M$2005,'Operating Expenses'!$T$5:$T$2005,$A118,'Operating Expenses'!$A$5:$A$2005,"&gt;="&amp;ReportFrom,'Operating Expenses'!$A$5:$A$2005,"&lt;="&amp;ReportTo))</f>
        <v/>
      </c>
      <c r="Q118" s="25">
        <f>IF($A118="",0,SUMIFS('Operating Expenses'!$O$5:$O$2005,'Operating Expenses'!$R$5:$R$2005,$A118,'Operating Expenses'!$A$5:$A$2005,"&gt;="&amp;ReportFrom,'Operating Expenses'!$A$5:$A$2005,"&lt;="&amp;ReportTo)+SUMIFS('Operating Expenses'!$P$5:$P$2005,'Operating Expenses'!$S$5:$S$2005,$A118,'Operating Expenses'!$A$5:$A$2005,"&gt;="&amp;ReportFrom,'Operating Expenses'!$A$5:$A$2005,"&lt;="&amp;ReportTo)+SUMIFS('Operating Expenses'!$N$5:$N$2005,'Operating Expenses'!$U$5:$U$2005,$A118,'Operating Expenses'!$A$5:$A$2005,"&gt;="&amp;ReportFrom,'Operating Expenses'!$A$5:$A$2005,"&lt;="&amp;ReportTo))</f>
        <v/>
      </c>
      <c r="R118" s="25">
        <f>IF($A118="",0,(SUMIFS('Payroll'!$O$5:$O$2005,'Payroll'!$Q$5:$Q$2005,$A118,'Payroll'!$A$5:$A$2005,"&lt;"&amp;ReportFrom))-(SUMIFS('Payroll'!$K$5:$K$2005,'Payroll'!$R$5:$R$2005,$A118,'Payroll'!$A$5:$A$2005,"&lt;"&amp;ReportFrom)+SUMIFS('Payroll'!$P$5:$P$2005,'Payroll'!$S$5:$S$2005,$A118,'Payroll'!$A$5:$A$2005,"&lt;"&amp;ReportFrom)))</f>
        <v/>
      </c>
      <c r="S118" s="25">
        <f>IF($A118="",0,SUMIFS('Payroll'!$O$5:$O$2005,'Payroll'!$Q$5:$Q$2005,$A118,'Payroll'!$A$5:$A$2005,"&gt;="&amp;ReportFrom,'Payroll'!$A$5:$A$2005,"&lt;="&amp;ReportTo))</f>
        <v/>
      </c>
      <c r="T118" s="25">
        <f>IF($A118="",0,SUMIFS('Payroll'!$K$5:$K$2005,'Payroll'!$R$5:$R$2005,$A118,'Payroll'!$A$5:$A$2005,"&gt;="&amp;ReportFrom,'Payroll'!$A$5:$A$2005,"&lt;="&amp;ReportTo)+SUMIFS('Payroll'!$P$5:$P$2005,'Payroll'!$S$5:$S$2005,$A118,'Payroll'!$A$5:$A$2005,"&gt;="&amp;ReportFrom,'Payroll'!$A$5:$A$2005,"&lt;="&amp;ReportTo))</f>
        <v/>
      </c>
      <c r="U118" s="25">
        <f>IF($A118="",0,(SUMIFS('Receipt Vouchers'!$F$5:$F$2005,'Receipt Vouchers'!$O$5:$O$2005,$A118,'Receipt Vouchers'!$A$5:$A$2005,"&lt;"&amp;ReportFrom)+SUMIFS('Receipt Vouchers'!$J$5:$J$2005,'Receipt Vouchers'!$Q$5:$Q$2005,$A118,'Receipt Vouchers'!$A$5:$A$2005,"&lt;"&amp;ReportFrom))-(SUMIFS('Receipt Vouchers'!$N$5:$N$2005,'Receipt Vouchers'!$P$5:$P$2005,$A118,'Receipt Vouchers'!$A$5:$A$2005,"&lt;"&amp;ReportFrom)+SUMIFS('Receipt Vouchers'!$M$5:$M$2005,'Receipt Vouchers'!$R$5:$R$2005,$A118,'Receipt Vouchers'!$A$5:$A$2005,"&lt;"&amp;ReportFrom)))</f>
        <v/>
      </c>
      <c r="V118" s="25">
        <f>IF($A118="",0,SUMIFS('Receipt Vouchers'!$F$5:$F$2005,'Receipt Vouchers'!$O$5:$O$2005,$A118,'Receipt Vouchers'!$A$5:$A$2005,"&gt;="&amp;ReportFrom,'Receipt Vouchers'!$A$5:$A$2005,"&lt;="&amp;ReportTo)+SUMIFS('Receipt Vouchers'!$J$5:$J$2005,'Receipt Vouchers'!$Q$5:$Q$2005,$A118,'Receipt Vouchers'!$A$5:$A$2005,"&gt;="&amp;ReportFrom,'Receipt Vouchers'!$A$5:$A$2005,"&lt;="&amp;ReportTo))</f>
        <v/>
      </c>
      <c r="W118" s="25">
        <f>IF($A118="",0,SUMIFS('Receipt Vouchers'!$N$5:$N$2005,'Receipt Vouchers'!$P$5:$P$2005,$A118,'Receipt Vouchers'!$A$5:$A$2005,"&gt;="&amp;ReportFrom,'Receipt Vouchers'!$A$5:$A$2005,"&lt;="&amp;ReportTo)+SUMIFS('Receipt Vouchers'!$M$5:$M$2005,'Receipt Vouchers'!$R$5:$R$2005,$A118,'Receipt Vouchers'!$A$5:$A$2005,"&gt;="&amp;ReportFrom,'Receipt Vouchers'!$A$5:$A$2005,"&lt;="&amp;ReportTo))</f>
        <v/>
      </c>
      <c r="X118" s="25">
        <f>IF($A118="",0,(SUMIFS('Sales Invoices'!$O$5:$O$2005,'Sales Invoices'!$P$5:$P$2005,$A118,'Sales Invoices'!$B$5:$B$2005,"&lt;"&amp;ReportFrom)+SUMIFS('Sales Invoices'!$N$5:$N$2005,'Sales Invoices'!$R$5:$R$2005,$A118,'Sales Invoices'!$B$5:$B$2005,"&lt;"&amp;ReportFrom))-(SUMIFS('Sales Invoices'!$L$5:$L$2005,'Sales Invoices'!$Q$5:$Q$2005,$A118,'Sales Invoices'!$B$5:$B$2005,"&lt;"&amp;ReportFrom)+SUMIFS('Sales Invoices'!$M$5:$M$2005,'Sales Invoices'!$S$5:$S$2005,$A118,'Sales Invoices'!$B$5:$B$2005,"&lt;"&amp;ReportFrom)))</f>
        <v/>
      </c>
      <c r="Y118" s="25">
        <f>IF($A118="",0,SUMIFS('Sales Invoices'!$O$5:$O$2005,'Sales Invoices'!$P$5:$P$2005,$A118,'Sales Invoices'!$B$5:$B$2005,"&gt;="&amp;ReportFrom,'Sales Invoices'!$B$5:$B$2005,"&lt;="&amp;ReportTo)+SUMIFS('Sales Invoices'!$N$5:$N$2005,'Sales Invoices'!$R$5:$R$2005,$A118,'Sales Invoices'!$B$5:$B$2005,"&gt;="&amp;ReportFrom,'Sales Invoices'!$B$5:$B$2005,"&lt;="&amp;ReportTo))</f>
        <v/>
      </c>
      <c r="Z118" s="25">
        <f>IF($A118="",0,SUMIFS('Sales Invoices'!$L$5:$L$2005,'Sales Invoices'!$Q$5:$Q$2005,$A118,'Sales Invoices'!$B$5:$B$2005,"&gt;="&amp;ReportFrom,'Sales Invoices'!$B$5:$B$2005,"&lt;="&amp;ReportTo)+SUMIFS('Sales Invoices'!$M$5:$M$2005,'Sales Invoices'!$S$5:$S$2005,$A118,'Sales Invoices'!$B$5:$B$2005,"&gt;="&amp;ReportFrom,'Sales Invoices'!$B$5:$B$2005,"&lt;="&amp;ReportTo))</f>
        <v/>
      </c>
      <c r="AA118" s="25">
        <f>IF($A118="",0,(SUMIFS('Payment Vouchers'!$D$5:$D$2005,'Payment Vouchers'!$J$5:$J$2005,$A118,'Payment Vouchers'!$A$5:$A$2005,"&lt;"&amp;ReportFrom))-(SUMIFS('Payment Vouchers'!$D$5:$D$2005,'Payment Vouchers'!$K$5:$K$2005,$A118,'Payment Vouchers'!$A$5:$A$2005,"&lt;"&amp;ReportFrom)))</f>
        <v/>
      </c>
      <c r="AB118" s="25">
        <f>IF($A118="",0,SUMIFS('Payment Vouchers'!$D$5:$D$2005,'Payment Vouchers'!$J$5:$J$2005,$A118,'Payment Vouchers'!$A$5:$A$2005,"&gt;="&amp;ReportFrom,'Payment Vouchers'!$A$5:$A$2005,"&lt;="&amp;ReportTo))</f>
        <v/>
      </c>
      <c r="AC118" s="25">
        <f>IF($A118="",0,SUMIFS('Payment Vouchers'!$D$5:$D$2005,'Payment Vouchers'!$K$5:$K$2005,$A118,'Payment Vouchers'!$A$5:$A$2005,"&gt;="&amp;ReportFrom,'Payment Vouchers'!$A$5:$A$2005,"&lt;="&amp;ReportTo))</f>
        <v/>
      </c>
      <c r="AD118" s="25">
        <f>IF($A118="",0,(SUMIFS('Partner Transactions'!$D$5:$D$2005,'Partner Transactions'!$L$5:$L$2005,$A118,'Partner Transactions'!$A$5:$A$2005,"&lt;"&amp;ReportFrom))-(SUMIFS('Partner Transactions'!$D$5:$D$2005,'Partner Transactions'!$M$5:$M$2005,$A118,'Partner Transactions'!$A$5:$A$2005,"&lt;"&amp;ReportFrom)))</f>
        <v/>
      </c>
      <c r="AE118" s="25">
        <f>IF($A118="",0,SUMIFS('Partner Transactions'!$D$5:$D$2005,'Partner Transactions'!$L$5:$L$2005,$A118,'Partner Transactions'!$A$5:$A$2005,"&gt;="&amp;ReportFrom,'Partner Transactions'!$A$5:$A$2005,"&lt;="&amp;ReportTo))</f>
        <v/>
      </c>
      <c r="AF118" s="25">
        <f>IF($A118="",0,SUMIFS('Partner Transactions'!$D$5:$D$2005,'Partner Transactions'!$M$5:$M$2005,$A118,'Partner Transactions'!$A$5:$A$2005,"&gt;="&amp;ReportFrom,'Partner Transactions'!$A$5:$A$2005,"&lt;="&amp;ReportTo))</f>
        <v/>
      </c>
      <c r="AG118" s="25">
        <f>IF($A118="",0,(SUMIFS('Stock Moves'!$S$5:$S$2005,'Stock Moves'!$AD$5:$AD$2005,$A118,'Stock Moves'!$A$5:$A$2005,"&lt;"&amp;ReportFrom)+SUMIFS('Stock Moves'!$T$5:$T$2005,'Stock Moves'!$V$5:$V$2005,$A118,'Stock Moves'!$A$5:$A$2005,"&lt;"&amp;ReportFrom))-(SUMIFS('Stock Moves'!$AF$5:$AF$2005,'Stock Moves'!$AE$5:$AE$2005,$A118,'Stock Moves'!$A$5:$A$2005,"&lt;"&amp;ReportFrom)+SUMIFS('Stock Moves'!$AC$5:$AC$2005,'Stock Moves'!$X$5:$X$2005,$A118,'Stock Moves'!$A$5:$A$2005,"&lt;"&amp;ReportFrom)+SUMIFS('Stock Moves'!$U$5:$U$2005,'Stock Moves'!$W$5:$W$2005,$A118,'Stock Moves'!$A$5:$A$2005,"&lt;"&amp;ReportFrom)))</f>
        <v/>
      </c>
      <c r="AH118" s="25">
        <f>IF($A118="",0,SUMIFS('Stock Moves'!$S$5:$S$2005,'Stock Moves'!$AD$5:$AD$2005,$A118,'Stock Moves'!$A$5:$A$2005,"&gt;="&amp;ReportFrom,'Stock Moves'!$A$5:$A$2005,"&lt;="&amp;ReportTo)+SUMIFS('Stock Moves'!$T$5:$T$2005,'Stock Moves'!$V$5:$V$2005,$A118,'Stock Moves'!$A$5:$A$2005,"&gt;="&amp;ReportFrom,'Stock Moves'!$A$5:$A$2005,"&lt;="&amp;ReportTo))</f>
        <v/>
      </c>
      <c r="AI118" s="25">
        <f>IF($A118="",0,SUMIFS('Stock Moves'!$AF$5:$AF$2005,'Stock Moves'!$AE$5:$AE$2005,$A118,'Stock Moves'!$A$5:$A$2005,"&gt;="&amp;ReportFrom,'Stock Moves'!$A$5:$A$2005,"&lt;="&amp;ReportTo)+SUMIFS('Stock Moves'!$AC$5:$AC$2005,'Stock Moves'!$X$5:$X$2005,$A118,'Stock Moves'!$A$5:$A$2005,"&gt;="&amp;ReportFrom,'Stock Moves'!$A$5:$A$2005,"&lt;="&amp;ReportTo)+SUMIFS('Stock Moves'!$U$5:$U$2005,'Stock Moves'!$W$5:$W$2005,$A118,'Stock Moves'!$A$5:$A$2005,"&gt;="&amp;ReportFrom,'Stock Moves'!$A$5:$A$2005,"&lt;="&amp;ReportTo))</f>
        <v/>
      </c>
      <c r="AJ118" s="25">
        <f>IF($A118="",0,(SUMIFS('Journal Vouchers'!$I$5:$I$2005,'Journal Vouchers'!$H$5:$H$2005,$A118,'Journal Vouchers'!$B$5:$B$2005,"&lt;"&amp;ReportFrom))-(SUMIFS('Journal Vouchers'!$J$5:$J$2005,'Journal Vouchers'!$H$5:$H$2005,$A118,'Journal Vouchers'!$B$5:$B$2005,"&lt;"&amp;ReportFrom)))</f>
        <v/>
      </c>
      <c r="AK118" s="25">
        <f>IF($A118="",0,SUMIFS('Journal Vouchers'!$I$5:$I$2005,'Journal Vouchers'!$H$5:$H$2005,$A118,'Journal Vouchers'!$B$5:$B$2005,"&gt;="&amp;ReportFrom,'Journal Vouchers'!$B$5:$B$2005,"&lt;="&amp;ReportTo))</f>
        <v/>
      </c>
      <c r="AL118" s="25">
        <f>IF($A118="",0,SUMIFS('Journal Vouchers'!$J$5:$J$2005,'Journal Vouchers'!$H$5:$H$2005,$A118,'Journal Vouchers'!$B$5:$B$2005,"&gt;="&amp;ReportFrom,'Journal Vouchers'!$B$5:$B$2005,"&lt;="&amp;ReportTo))</f>
        <v/>
      </c>
    </row>
    <row r="119">
      <c r="A119" s="25">
        <f>IF('Chart of Accounts'!A119="","",'Chart of Accounts'!A119&amp;"")</f>
        <v/>
      </c>
      <c r="B119" s="25">
        <f>IF(A119="","",'Chart of Accounts'!B119)</f>
        <v/>
      </c>
      <c r="C119" s="25">
        <f>IF(A119="","",'Chart of Accounts'!C119)</f>
        <v/>
      </c>
      <c r="D119" s="25">
        <f>IF(A119="","",'Chart of Accounts'!D119)</f>
        <v/>
      </c>
      <c r="E119" s="26">
        <f>L119+O119+R119+U119+X119+AA119+AD119+AG119+AJ119</f>
        <v/>
      </c>
      <c r="F119" s="26">
        <f>M119+P119+S119+V119+Y119+AB119+AE119+AH119+AK119</f>
        <v/>
      </c>
      <c r="G119" s="26">
        <f>N119+Q119+T119+W119+Z119+AC119+AF119+AI119+AL119</f>
        <v/>
      </c>
      <c r="H119" s="26">
        <f>E119+F119-G119</f>
        <v/>
      </c>
      <c r="I119" s="26">
        <f>MAX(H119,0)</f>
        <v/>
      </c>
      <c r="J119" s="26">
        <f>MAX(-H119,0)</f>
        <v/>
      </c>
      <c r="L119" s="25">
        <f>IF($A119="",0,(SUMIFS('Direct Costs'!$R$5:$R$2005,'Direct Costs'!$V$5:$V$2005,$A119,'Direct Costs'!$A$5:$A$2005,"&lt;"&amp;ReportFrom)+SUMIFS('Direct Costs'!$S$5:$S$2005,'Direct Costs'!$Y$5:$Y$2005,$A119,'Direct Costs'!$A$5:$A$2005,"&lt;"&amp;ReportFrom))-(SUMIFS('Direct Costs'!$L$5:$L$2005,'Direct Costs'!$W$5:$W$2005,$A119,'Direct Costs'!$A$5:$A$2005,"&lt;"&amp;ReportFrom)+SUMIFS('Direct Costs'!$U$5:$U$2005,'Direct Costs'!$X$5:$X$2005,$A119,'Direct Costs'!$A$5:$A$2005,"&lt;"&amp;ReportFrom)+SUMIFS('Direct Costs'!$T$5:$T$2005,'Direct Costs'!$Z$5:$Z$2005,$A119,'Direct Costs'!$A$5:$A$2005,"&lt;"&amp;ReportFrom)))</f>
        <v/>
      </c>
      <c r="M119" s="25">
        <f>IF($A119="",0,SUMIFS('Direct Costs'!$R$5:$R$2005,'Direct Costs'!$V$5:$V$2005,$A119,'Direct Costs'!$A$5:$A$2005,"&gt;="&amp;ReportFrom,'Direct Costs'!$A$5:$A$2005,"&lt;="&amp;ReportTo)+SUMIFS('Direct Costs'!$S$5:$S$2005,'Direct Costs'!$Y$5:$Y$2005,$A119,'Direct Costs'!$A$5:$A$2005,"&gt;="&amp;ReportFrom,'Direct Costs'!$A$5:$A$2005,"&lt;="&amp;ReportTo))</f>
        <v/>
      </c>
      <c r="N119" s="25">
        <f>IF($A119="",0,SUMIFS('Direct Costs'!$L$5:$L$2005,'Direct Costs'!$W$5:$W$2005,$A119,'Direct Costs'!$A$5:$A$2005,"&gt;="&amp;ReportFrom,'Direct Costs'!$A$5:$A$2005,"&lt;="&amp;ReportTo)+SUMIFS('Direct Costs'!$U$5:$U$2005,'Direct Costs'!$X$5:$X$2005,$A119,'Direct Costs'!$A$5:$A$2005,"&gt;="&amp;ReportFrom,'Direct Costs'!$A$5:$A$2005,"&lt;="&amp;ReportTo)+SUMIFS('Direct Costs'!$T$5:$T$2005,'Direct Costs'!$Z$5:$Z$2005,$A119,'Direct Costs'!$A$5:$A$2005,"&gt;="&amp;ReportFrom,'Direct Costs'!$A$5:$A$2005,"&lt;="&amp;ReportTo))</f>
        <v/>
      </c>
      <c r="O119" s="25">
        <f>IF($A119="",0,(SUMIFS('Operating Expenses'!$F$5:$F$2005,'Operating Expenses'!$Q$5:$Q$2005,$A119,'Operating Expenses'!$A$5:$A$2005,"&lt;"&amp;ReportFrom)+SUMIFS('Operating Expenses'!$M$5:$M$2005,'Operating Expenses'!$T$5:$T$2005,$A119,'Operating Expenses'!$A$5:$A$2005,"&lt;"&amp;ReportFrom))-(SUMIFS('Operating Expenses'!$O$5:$O$2005,'Operating Expenses'!$R$5:$R$2005,$A119,'Operating Expenses'!$A$5:$A$2005,"&lt;"&amp;ReportFrom)+SUMIFS('Operating Expenses'!$P$5:$P$2005,'Operating Expenses'!$S$5:$S$2005,$A119,'Operating Expenses'!$A$5:$A$2005,"&lt;"&amp;ReportFrom)+SUMIFS('Operating Expenses'!$N$5:$N$2005,'Operating Expenses'!$U$5:$U$2005,$A119,'Operating Expenses'!$A$5:$A$2005,"&lt;"&amp;ReportFrom)))</f>
        <v/>
      </c>
      <c r="P119" s="25">
        <f>IF($A119="",0,SUMIFS('Operating Expenses'!$F$5:$F$2005,'Operating Expenses'!$Q$5:$Q$2005,$A119,'Operating Expenses'!$A$5:$A$2005,"&gt;="&amp;ReportFrom,'Operating Expenses'!$A$5:$A$2005,"&lt;="&amp;ReportTo)+SUMIFS('Operating Expenses'!$M$5:$M$2005,'Operating Expenses'!$T$5:$T$2005,$A119,'Operating Expenses'!$A$5:$A$2005,"&gt;="&amp;ReportFrom,'Operating Expenses'!$A$5:$A$2005,"&lt;="&amp;ReportTo))</f>
        <v/>
      </c>
      <c r="Q119" s="25">
        <f>IF($A119="",0,SUMIFS('Operating Expenses'!$O$5:$O$2005,'Operating Expenses'!$R$5:$R$2005,$A119,'Operating Expenses'!$A$5:$A$2005,"&gt;="&amp;ReportFrom,'Operating Expenses'!$A$5:$A$2005,"&lt;="&amp;ReportTo)+SUMIFS('Operating Expenses'!$P$5:$P$2005,'Operating Expenses'!$S$5:$S$2005,$A119,'Operating Expenses'!$A$5:$A$2005,"&gt;="&amp;ReportFrom,'Operating Expenses'!$A$5:$A$2005,"&lt;="&amp;ReportTo)+SUMIFS('Operating Expenses'!$N$5:$N$2005,'Operating Expenses'!$U$5:$U$2005,$A119,'Operating Expenses'!$A$5:$A$2005,"&gt;="&amp;ReportFrom,'Operating Expenses'!$A$5:$A$2005,"&lt;="&amp;ReportTo))</f>
        <v/>
      </c>
      <c r="R119" s="25">
        <f>IF($A119="",0,(SUMIFS('Payroll'!$O$5:$O$2005,'Payroll'!$Q$5:$Q$2005,$A119,'Payroll'!$A$5:$A$2005,"&lt;"&amp;ReportFrom))-(SUMIFS('Payroll'!$K$5:$K$2005,'Payroll'!$R$5:$R$2005,$A119,'Payroll'!$A$5:$A$2005,"&lt;"&amp;ReportFrom)+SUMIFS('Payroll'!$P$5:$P$2005,'Payroll'!$S$5:$S$2005,$A119,'Payroll'!$A$5:$A$2005,"&lt;"&amp;ReportFrom)))</f>
        <v/>
      </c>
      <c r="S119" s="25">
        <f>IF($A119="",0,SUMIFS('Payroll'!$O$5:$O$2005,'Payroll'!$Q$5:$Q$2005,$A119,'Payroll'!$A$5:$A$2005,"&gt;="&amp;ReportFrom,'Payroll'!$A$5:$A$2005,"&lt;="&amp;ReportTo))</f>
        <v/>
      </c>
      <c r="T119" s="25">
        <f>IF($A119="",0,SUMIFS('Payroll'!$K$5:$K$2005,'Payroll'!$R$5:$R$2005,$A119,'Payroll'!$A$5:$A$2005,"&gt;="&amp;ReportFrom,'Payroll'!$A$5:$A$2005,"&lt;="&amp;ReportTo)+SUMIFS('Payroll'!$P$5:$P$2005,'Payroll'!$S$5:$S$2005,$A119,'Payroll'!$A$5:$A$2005,"&gt;="&amp;ReportFrom,'Payroll'!$A$5:$A$2005,"&lt;="&amp;ReportTo))</f>
        <v/>
      </c>
      <c r="U119" s="25">
        <f>IF($A119="",0,(SUMIFS('Receipt Vouchers'!$F$5:$F$2005,'Receipt Vouchers'!$O$5:$O$2005,$A119,'Receipt Vouchers'!$A$5:$A$2005,"&lt;"&amp;ReportFrom)+SUMIFS('Receipt Vouchers'!$J$5:$J$2005,'Receipt Vouchers'!$Q$5:$Q$2005,$A119,'Receipt Vouchers'!$A$5:$A$2005,"&lt;"&amp;ReportFrom))-(SUMIFS('Receipt Vouchers'!$N$5:$N$2005,'Receipt Vouchers'!$P$5:$P$2005,$A119,'Receipt Vouchers'!$A$5:$A$2005,"&lt;"&amp;ReportFrom)+SUMIFS('Receipt Vouchers'!$M$5:$M$2005,'Receipt Vouchers'!$R$5:$R$2005,$A119,'Receipt Vouchers'!$A$5:$A$2005,"&lt;"&amp;ReportFrom)))</f>
        <v/>
      </c>
      <c r="V119" s="25">
        <f>IF($A119="",0,SUMIFS('Receipt Vouchers'!$F$5:$F$2005,'Receipt Vouchers'!$O$5:$O$2005,$A119,'Receipt Vouchers'!$A$5:$A$2005,"&gt;="&amp;ReportFrom,'Receipt Vouchers'!$A$5:$A$2005,"&lt;="&amp;ReportTo)+SUMIFS('Receipt Vouchers'!$J$5:$J$2005,'Receipt Vouchers'!$Q$5:$Q$2005,$A119,'Receipt Vouchers'!$A$5:$A$2005,"&gt;="&amp;ReportFrom,'Receipt Vouchers'!$A$5:$A$2005,"&lt;="&amp;ReportTo))</f>
        <v/>
      </c>
      <c r="W119" s="25">
        <f>IF($A119="",0,SUMIFS('Receipt Vouchers'!$N$5:$N$2005,'Receipt Vouchers'!$P$5:$P$2005,$A119,'Receipt Vouchers'!$A$5:$A$2005,"&gt;="&amp;ReportFrom,'Receipt Vouchers'!$A$5:$A$2005,"&lt;="&amp;ReportTo)+SUMIFS('Receipt Vouchers'!$M$5:$M$2005,'Receipt Vouchers'!$R$5:$R$2005,$A119,'Receipt Vouchers'!$A$5:$A$2005,"&gt;="&amp;ReportFrom,'Receipt Vouchers'!$A$5:$A$2005,"&lt;="&amp;ReportTo))</f>
        <v/>
      </c>
      <c r="X119" s="25">
        <f>IF($A119="",0,(SUMIFS('Sales Invoices'!$O$5:$O$2005,'Sales Invoices'!$P$5:$P$2005,$A119,'Sales Invoices'!$B$5:$B$2005,"&lt;"&amp;ReportFrom)+SUMIFS('Sales Invoices'!$N$5:$N$2005,'Sales Invoices'!$R$5:$R$2005,$A119,'Sales Invoices'!$B$5:$B$2005,"&lt;"&amp;ReportFrom))-(SUMIFS('Sales Invoices'!$L$5:$L$2005,'Sales Invoices'!$Q$5:$Q$2005,$A119,'Sales Invoices'!$B$5:$B$2005,"&lt;"&amp;ReportFrom)+SUMIFS('Sales Invoices'!$M$5:$M$2005,'Sales Invoices'!$S$5:$S$2005,$A119,'Sales Invoices'!$B$5:$B$2005,"&lt;"&amp;ReportFrom)))</f>
        <v/>
      </c>
      <c r="Y119" s="25">
        <f>IF($A119="",0,SUMIFS('Sales Invoices'!$O$5:$O$2005,'Sales Invoices'!$P$5:$P$2005,$A119,'Sales Invoices'!$B$5:$B$2005,"&gt;="&amp;ReportFrom,'Sales Invoices'!$B$5:$B$2005,"&lt;="&amp;ReportTo)+SUMIFS('Sales Invoices'!$N$5:$N$2005,'Sales Invoices'!$R$5:$R$2005,$A119,'Sales Invoices'!$B$5:$B$2005,"&gt;="&amp;ReportFrom,'Sales Invoices'!$B$5:$B$2005,"&lt;="&amp;ReportTo))</f>
        <v/>
      </c>
      <c r="Z119" s="25">
        <f>IF($A119="",0,SUMIFS('Sales Invoices'!$L$5:$L$2005,'Sales Invoices'!$Q$5:$Q$2005,$A119,'Sales Invoices'!$B$5:$B$2005,"&gt;="&amp;ReportFrom,'Sales Invoices'!$B$5:$B$2005,"&lt;="&amp;ReportTo)+SUMIFS('Sales Invoices'!$M$5:$M$2005,'Sales Invoices'!$S$5:$S$2005,$A119,'Sales Invoices'!$B$5:$B$2005,"&gt;="&amp;ReportFrom,'Sales Invoices'!$B$5:$B$2005,"&lt;="&amp;ReportTo))</f>
        <v/>
      </c>
      <c r="AA119" s="25">
        <f>IF($A119="",0,(SUMIFS('Payment Vouchers'!$D$5:$D$2005,'Payment Vouchers'!$J$5:$J$2005,$A119,'Payment Vouchers'!$A$5:$A$2005,"&lt;"&amp;ReportFrom))-(SUMIFS('Payment Vouchers'!$D$5:$D$2005,'Payment Vouchers'!$K$5:$K$2005,$A119,'Payment Vouchers'!$A$5:$A$2005,"&lt;"&amp;ReportFrom)))</f>
        <v/>
      </c>
      <c r="AB119" s="25">
        <f>IF($A119="",0,SUMIFS('Payment Vouchers'!$D$5:$D$2005,'Payment Vouchers'!$J$5:$J$2005,$A119,'Payment Vouchers'!$A$5:$A$2005,"&gt;="&amp;ReportFrom,'Payment Vouchers'!$A$5:$A$2005,"&lt;="&amp;ReportTo))</f>
        <v/>
      </c>
      <c r="AC119" s="25">
        <f>IF($A119="",0,SUMIFS('Payment Vouchers'!$D$5:$D$2005,'Payment Vouchers'!$K$5:$K$2005,$A119,'Payment Vouchers'!$A$5:$A$2005,"&gt;="&amp;ReportFrom,'Payment Vouchers'!$A$5:$A$2005,"&lt;="&amp;ReportTo))</f>
        <v/>
      </c>
      <c r="AD119" s="25">
        <f>IF($A119="",0,(SUMIFS('Partner Transactions'!$D$5:$D$2005,'Partner Transactions'!$L$5:$L$2005,$A119,'Partner Transactions'!$A$5:$A$2005,"&lt;"&amp;ReportFrom))-(SUMIFS('Partner Transactions'!$D$5:$D$2005,'Partner Transactions'!$M$5:$M$2005,$A119,'Partner Transactions'!$A$5:$A$2005,"&lt;"&amp;ReportFrom)))</f>
        <v/>
      </c>
      <c r="AE119" s="25">
        <f>IF($A119="",0,SUMIFS('Partner Transactions'!$D$5:$D$2005,'Partner Transactions'!$L$5:$L$2005,$A119,'Partner Transactions'!$A$5:$A$2005,"&gt;="&amp;ReportFrom,'Partner Transactions'!$A$5:$A$2005,"&lt;="&amp;ReportTo))</f>
        <v/>
      </c>
      <c r="AF119" s="25">
        <f>IF($A119="",0,SUMIFS('Partner Transactions'!$D$5:$D$2005,'Partner Transactions'!$M$5:$M$2005,$A119,'Partner Transactions'!$A$5:$A$2005,"&gt;="&amp;ReportFrom,'Partner Transactions'!$A$5:$A$2005,"&lt;="&amp;ReportTo))</f>
        <v/>
      </c>
      <c r="AG119" s="25">
        <f>IF($A119="",0,(SUMIFS('Stock Moves'!$S$5:$S$2005,'Stock Moves'!$AD$5:$AD$2005,$A119,'Stock Moves'!$A$5:$A$2005,"&lt;"&amp;ReportFrom)+SUMIFS('Stock Moves'!$T$5:$T$2005,'Stock Moves'!$V$5:$V$2005,$A119,'Stock Moves'!$A$5:$A$2005,"&lt;"&amp;ReportFrom))-(SUMIFS('Stock Moves'!$AF$5:$AF$2005,'Stock Moves'!$AE$5:$AE$2005,$A119,'Stock Moves'!$A$5:$A$2005,"&lt;"&amp;ReportFrom)+SUMIFS('Stock Moves'!$AC$5:$AC$2005,'Stock Moves'!$X$5:$X$2005,$A119,'Stock Moves'!$A$5:$A$2005,"&lt;"&amp;ReportFrom)+SUMIFS('Stock Moves'!$U$5:$U$2005,'Stock Moves'!$W$5:$W$2005,$A119,'Stock Moves'!$A$5:$A$2005,"&lt;"&amp;ReportFrom)))</f>
        <v/>
      </c>
      <c r="AH119" s="25">
        <f>IF($A119="",0,SUMIFS('Stock Moves'!$S$5:$S$2005,'Stock Moves'!$AD$5:$AD$2005,$A119,'Stock Moves'!$A$5:$A$2005,"&gt;="&amp;ReportFrom,'Stock Moves'!$A$5:$A$2005,"&lt;="&amp;ReportTo)+SUMIFS('Stock Moves'!$T$5:$T$2005,'Stock Moves'!$V$5:$V$2005,$A119,'Stock Moves'!$A$5:$A$2005,"&gt;="&amp;ReportFrom,'Stock Moves'!$A$5:$A$2005,"&lt;="&amp;ReportTo))</f>
        <v/>
      </c>
      <c r="AI119" s="25">
        <f>IF($A119="",0,SUMIFS('Stock Moves'!$AF$5:$AF$2005,'Stock Moves'!$AE$5:$AE$2005,$A119,'Stock Moves'!$A$5:$A$2005,"&gt;="&amp;ReportFrom,'Stock Moves'!$A$5:$A$2005,"&lt;="&amp;ReportTo)+SUMIFS('Stock Moves'!$AC$5:$AC$2005,'Stock Moves'!$X$5:$X$2005,$A119,'Stock Moves'!$A$5:$A$2005,"&gt;="&amp;ReportFrom,'Stock Moves'!$A$5:$A$2005,"&lt;="&amp;ReportTo)+SUMIFS('Stock Moves'!$U$5:$U$2005,'Stock Moves'!$W$5:$W$2005,$A119,'Stock Moves'!$A$5:$A$2005,"&gt;="&amp;ReportFrom,'Stock Moves'!$A$5:$A$2005,"&lt;="&amp;ReportTo))</f>
        <v/>
      </c>
      <c r="AJ119" s="25">
        <f>IF($A119="",0,(SUMIFS('Journal Vouchers'!$I$5:$I$2005,'Journal Vouchers'!$H$5:$H$2005,$A119,'Journal Vouchers'!$B$5:$B$2005,"&lt;"&amp;ReportFrom))-(SUMIFS('Journal Vouchers'!$J$5:$J$2005,'Journal Vouchers'!$H$5:$H$2005,$A119,'Journal Vouchers'!$B$5:$B$2005,"&lt;"&amp;ReportFrom)))</f>
        <v/>
      </c>
      <c r="AK119" s="25">
        <f>IF($A119="",0,SUMIFS('Journal Vouchers'!$I$5:$I$2005,'Journal Vouchers'!$H$5:$H$2005,$A119,'Journal Vouchers'!$B$5:$B$2005,"&gt;="&amp;ReportFrom,'Journal Vouchers'!$B$5:$B$2005,"&lt;="&amp;ReportTo))</f>
        <v/>
      </c>
      <c r="AL119" s="25">
        <f>IF($A119="",0,SUMIFS('Journal Vouchers'!$J$5:$J$2005,'Journal Vouchers'!$H$5:$H$2005,$A119,'Journal Vouchers'!$B$5:$B$2005,"&gt;="&amp;ReportFrom,'Journal Vouchers'!$B$5:$B$2005,"&lt;="&amp;ReportTo))</f>
        <v/>
      </c>
    </row>
    <row r="120">
      <c r="A120" s="25">
        <f>IF('Chart of Accounts'!A120="","",'Chart of Accounts'!A120&amp;"")</f>
        <v/>
      </c>
      <c r="B120" s="25">
        <f>IF(A120="","",'Chart of Accounts'!B120)</f>
        <v/>
      </c>
      <c r="C120" s="25">
        <f>IF(A120="","",'Chart of Accounts'!C120)</f>
        <v/>
      </c>
      <c r="D120" s="25">
        <f>IF(A120="","",'Chart of Accounts'!D120)</f>
        <v/>
      </c>
      <c r="E120" s="26">
        <f>L120+O120+R120+U120+X120+AA120+AD120+AG120+AJ120</f>
        <v/>
      </c>
      <c r="F120" s="26">
        <f>M120+P120+S120+V120+Y120+AB120+AE120+AH120+AK120</f>
        <v/>
      </c>
      <c r="G120" s="26">
        <f>N120+Q120+T120+W120+Z120+AC120+AF120+AI120+AL120</f>
        <v/>
      </c>
      <c r="H120" s="26">
        <f>E120+F120-G120</f>
        <v/>
      </c>
      <c r="I120" s="26">
        <f>MAX(H120,0)</f>
        <v/>
      </c>
      <c r="J120" s="26">
        <f>MAX(-H120,0)</f>
        <v/>
      </c>
      <c r="L120" s="25">
        <f>IF($A120="",0,(SUMIFS('Direct Costs'!$R$5:$R$2005,'Direct Costs'!$V$5:$V$2005,$A120,'Direct Costs'!$A$5:$A$2005,"&lt;"&amp;ReportFrom)+SUMIFS('Direct Costs'!$S$5:$S$2005,'Direct Costs'!$Y$5:$Y$2005,$A120,'Direct Costs'!$A$5:$A$2005,"&lt;"&amp;ReportFrom))-(SUMIFS('Direct Costs'!$L$5:$L$2005,'Direct Costs'!$W$5:$W$2005,$A120,'Direct Costs'!$A$5:$A$2005,"&lt;"&amp;ReportFrom)+SUMIFS('Direct Costs'!$U$5:$U$2005,'Direct Costs'!$X$5:$X$2005,$A120,'Direct Costs'!$A$5:$A$2005,"&lt;"&amp;ReportFrom)+SUMIFS('Direct Costs'!$T$5:$T$2005,'Direct Costs'!$Z$5:$Z$2005,$A120,'Direct Costs'!$A$5:$A$2005,"&lt;"&amp;ReportFrom)))</f>
        <v/>
      </c>
      <c r="M120" s="25">
        <f>IF($A120="",0,SUMIFS('Direct Costs'!$R$5:$R$2005,'Direct Costs'!$V$5:$V$2005,$A120,'Direct Costs'!$A$5:$A$2005,"&gt;="&amp;ReportFrom,'Direct Costs'!$A$5:$A$2005,"&lt;="&amp;ReportTo)+SUMIFS('Direct Costs'!$S$5:$S$2005,'Direct Costs'!$Y$5:$Y$2005,$A120,'Direct Costs'!$A$5:$A$2005,"&gt;="&amp;ReportFrom,'Direct Costs'!$A$5:$A$2005,"&lt;="&amp;ReportTo))</f>
        <v/>
      </c>
      <c r="N120" s="25">
        <f>IF($A120="",0,SUMIFS('Direct Costs'!$L$5:$L$2005,'Direct Costs'!$W$5:$W$2005,$A120,'Direct Costs'!$A$5:$A$2005,"&gt;="&amp;ReportFrom,'Direct Costs'!$A$5:$A$2005,"&lt;="&amp;ReportTo)+SUMIFS('Direct Costs'!$U$5:$U$2005,'Direct Costs'!$X$5:$X$2005,$A120,'Direct Costs'!$A$5:$A$2005,"&gt;="&amp;ReportFrom,'Direct Costs'!$A$5:$A$2005,"&lt;="&amp;ReportTo)+SUMIFS('Direct Costs'!$T$5:$T$2005,'Direct Costs'!$Z$5:$Z$2005,$A120,'Direct Costs'!$A$5:$A$2005,"&gt;="&amp;ReportFrom,'Direct Costs'!$A$5:$A$2005,"&lt;="&amp;ReportTo))</f>
        <v/>
      </c>
      <c r="O120" s="25">
        <f>IF($A120="",0,(SUMIFS('Operating Expenses'!$F$5:$F$2005,'Operating Expenses'!$Q$5:$Q$2005,$A120,'Operating Expenses'!$A$5:$A$2005,"&lt;"&amp;ReportFrom)+SUMIFS('Operating Expenses'!$M$5:$M$2005,'Operating Expenses'!$T$5:$T$2005,$A120,'Operating Expenses'!$A$5:$A$2005,"&lt;"&amp;ReportFrom))-(SUMIFS('Operating Expenses'!$O$5:$O$2005,'Operating Expenses'!$R$5:$R$2005,$A120,'Operating Expenses'!$A$5:$A$2005,"&lt;"&amp;ReportFrom)+SUMIFS('Operating Expenses'!$P$5:$P$2005,'Operating Expenses'!$S$5:$S$2005,$A120,'Operating Expenses'!$A$5:$A$2005,"&lt;"&amp;ReportFrom)+SUMIFS('Operating Expenses'!$N$5:$N$2005,'Operating Expenses'!$U$5:$U$2005,$A120,'Operating Expenses'!$A$5:$A$2005,"&lt;"&amp;ReportFrom)))</f>
        <v/>
      </c>
      <c r="P120" s="25">
        <f>IF($A120="",0,SUMIFS('Operating Expenses'!$F$5:$F$2005,'Operating Expenses'!$Q$5:$Q$2005,$A120,'Operating Expenses'!$A$5:$A$2005,"&gt;="&amp;ReportFrom,'Operating Expenses'!$A$5:$A$2005,"&lt;="&amp;ReportTo)+SUMIFS('Operating Expenses'!$M$5:$M$2005,'Operating Expenses'!$T$5:$T$2005,$A120,'Operating Expenses'!$A$5:$A$2005,"&gt;="&amp;ReportFrom,'Operating Expenses'!$A$5:$A$2005,"&lt;="&amp;ReportTo))</f>
        <v/>
      </c>
      <c r="Q120" s="25">
        <f>IF($A120="",0,SUMIFS('Operating Expenses'!$O$5:$O$2005,'Operating Expenses'!$R$5:$R$2005,$A120,'Operating Expenses'!$A$5:$A$2005,"&gt;="&amp;ReportFrom,'Operating Expenses'!$A$5:$A$2005,"&lt;="&amp;ReportTo)+SUMIFS('Operating Expenses'!$P$5:$P$2005,'Operating Expenses'!$S$5:$S$2005,$A120,'Operating Expenses'!$A$5:$A$2005,"&gt;="&amp;ReportFrom,'Operating Expenses'!$A$5:$A$2005,"&lt;="&amp;ReportTo)+SUMIFS('Operating Expenses'!$N$5:$N$2005,'Operating Expenses'!$U$5:$U$2005,$A120,'Operating Expenses'!$A$5:$A$2005,"&gt;="&amp;ReportFrom,'Operating Expenses'!$A$5:$A$2005,"&lt;="&amp;ReportTo))</f>
        <v/>
      </c>
      <c r="R120" s="25">
        <f>IF($A120="",0,(SUMIFS('Payroll'!$O$5:$O$2005,'Payroll'!$Q$5:$Q$2005,$A120,'Payroll'!$A$5:$A$2005,"&lt;"&amp;ReportFrom))-(SUMIFS('Payroll'!$K$5:$K$2005,'Payroll'!$R$5:$R$2005,$A120,'Payroll'!$A$5:$A$2005,"&lt;"&amp;ReportFrom)+SUMIFS('Payroll'!$P$5:$P$2005,'Payroll'!$S$5:$S$2005,$A120,'Payroll'!$A$5:$A$2005,"&lt;"&amp;ReportFrom)))</f>
        <v/>
      </c>
      <c r="S120" s="25">
        <f>IF($A120="",0,SUMIFS('Payroll'!$O$5:$O$2005,'Payroll'!$Q$5:$Q$2005,$A120,'Payroll'!$A$5:$A$2005,"&gt;="&amp;ReportFrom,'Payroll'!$A$5:$A$2005,"&lt;="&amp;ReportTo))</f>
        <v/>
      </c>
      <c r="T120" s="25">
        <f>IF($A120="",0,SUMIFS('Payroll'!$K$5:$K$2005,'Payroll'!$R$5:$R$2005,$A120,'Payroll'!$A$5:$A$2005,"&gt;="&amp;ReportFrom,'Payroll'!$A$5:$A$2005,"&lt;="&amp;ReportTo)+SUMIFS('Payroll'!$P$5:$P$2005,'Payroll'!$S$5:$S$2005,$A120,'Payroll'!$A$5:$A$2005,"&gt;="&amp;ReportFrom,'Payroll'!$A$5:$A$2005,"&lt;="&amp;ReportTo))</f>
        <v/>
      </c>
      <c r="U120" s="25">
        <f>IF($A120="",0,(SUMIFS('Receipt Vouchers'!$F$5:$F$2005,'Receipt Vouchers'!$O$5:$O$2005,$A120,'Receipt Vouchers'!$A$5:$A$2005,"&lt;"&amp;ReportFrom)+SUMIFS('Receipt Vouchers'!$J$5:$J$2005,'Receipt Vouchers'!$Q$5:$Q$2005,$A120,'Receipt Vouchers'!$A$5:$A$2005,"&lt;"&amp;ReportFrom))-(SUMIFS('Receipt Vouchers'!$N$5:$N$2005,'Receipt Vouchers'!$P$5:$P$2005,$A120,'Receipt Vouchers'!$A$5:$A$2005,"&lt;"&amp;ReportFrom)+SUMIFS('Receipt Vouchers'!$M$5:$M$2005,'Receipt Vouchers'!$R$5:$R$2005,$A120,'Receipt Vouchers'!$A$5:$A$2005,"&lt;"&amp;ReportFrom)))</f>
        <v/>
      </c>
      <c r="V120" s="25">
        <f>IF($A120="",0,SUMIFS('Receipt Vouchers'!$F$5:$F$2005,'Receipt Vouchers'!$O$5:$O$2005,$A120,'Receipt Vouchers'!$A$5:$A$2005,"&gt;="&amp;ReportFrom,'Receipt Vouchers'!$A$5:$A$2005,"&lt;="&amp;ReportTo)+SUMIFS('Receipt Vouchers'!$J$5:$J$2005,'Receipt Vouchers'!$Q$5:$Q$2005,$A120,'Receipt Vouchers'!$A$5:$A$2005,"&gt;="&amp;ReportFrom,'Receipt Vouchers'!$A$5:$A$2005,"&lt;="&amp;ReportTo))</f>
        <v/>
      </c>
      <c r="W120" s="25">
        <f>IF($A120="",0,SUMIFS('Receipt Vouchers'!$N$5:$N$2005,'Receipt Vouchers'!$P$5:$P$2005,$A120,'Receipt Vouchers'!$A$5:$A$2005,"&gt;="&amp;ReportFrom,'Receipt Vouchers'!$A$5:$A$2005,"&lt;="&amp;ReportTo)+SUMIFS('Receipt Vouchers'!$M$5:$M$2005,'Receipt Vouchers'!$R$5:$R$2005,$A120,'Receipt Vouchers'!$A$5:$A$2005,"&gt;="&amp;ReportFrom,'Receipt Vouchers'!$A$5:$A$2005,"&lt;="&amp;ReportTo))</f>
        <v/>
      </c>
      <c r="X120" s="25">
        <f>IF($A120="",0,(SUMIFS('Sales Invoices'!$O$5:$O$2005,'Sales Invoices'!$P$5:$P$2005,$A120,'Sales Invoices'!$B$5:$B$2005,"&lt;"&amp;ReportFrom)+SUMIFS('Sales Invoices'!$N$5:$N$2005,'Sales Invoices'!$R$5:$R$2005,$A120,'Sales Invoices'!$B$5:$B$2005,"&lt;"&amp;ReportFrom))-(SUMIFS('Sales Invoices'!$L$5:$L$2005,'Sales Invoices'!$Q$5:$Q$2005,$A120,'Sales Invoices'!$B$5:$B$2005,"&lt;"&amp;ReportFrom)+SUMIFS('Sales Invoices'!$M$5:$M$2005,'Sales Invoices'!$S$5:$S$2005,$A120,'Sales Invoices'!$B$5:$B$2005,"&lt;"&amp;ReportFrom)))</f>
        <v/>
      </c>
      <c r="Y120" s="25">
        <f>IF($A120="",0,SUMIFS('Sales Invoices'!$O$5:$O$2005,'Sales Invoices'!$P$5:$P$2005,$A120,'Sales Invoices'!$B$5:$B$2005,"&gt;="&amp;ReportFrom,'Sales Invoices'!$B$5:$B$2005,"&lt;="&amp;ReportTo)+SUMIFS('Sales Invoices'!$N$5:$N$2005,'Sales Invoices'!$R$5:$R$2005,$A120,'Sales Invoices'!$B$5:$B$2005,"&gt;="&amp;ReportFrom,'Sales Invoices'!$B$5:$B$2005,"&lt;="&amp;ReportTo))</f>
        <v/>
      </c>
      <c r="Z120" s="25">
        <f>IF($A120="",0,SUMIFS('Sales Invoices'!$L$5:$L$2005,'Sales Invoices'!$Q$5:$Q$2005,$A120,'Sales Invoices'!$B$5:$B$2005,"&gt;="&amp;ReportFrom,'Sales Invoices'!$B$5:$B$2005,"&lt;="&amp;ReportTo)+SUMIFS('Sales Invoices'!$M$5:$M$2005,'Sales Invoices'!$S$5:$S$2005,$A120,'Sales Invoices'!$B$5:$B$2005,"&gt;="&amp;ReportFrom,'Sales Invoices'!$B$5:$B$2005,"&lt;="&amp;ReportTo))</f>
        <v/>
      </c>
      <c r="AA120" s="25">
        <f>IF($A120="",0,(SUMIFS('Payment Vouchers'!$D$5:$D$2005,'Payment Vouchers'!$J$5:$J$2005,$A120,'Payment Vouchers'!$A$5:$A$2005,"&lt;"&amp;ReportFrom))-(SUMIFS('Payment Vouchers'!$D$5:$D$2005,'Payment Vouchers'!$K$5:$K$2005,$A120,'Payment Vouchers'!$A$5:$A$2005,"&lt;"&amp;ReportFrom)))</f>
        <v/>
      </c>
      <c r="AB120" s="25">
        <f>IF($A120="",0,SUMIFS('Payment Vouchers'!$D$5:$D$2005,'Payment Vouchers'!$J$5:$J$2005,$A120,'Payment Vouchers'!$A$5:$A$2005,"&gt;="&amp;ReportFrom,'Payment Vouchers'!$A$5:$A$2005,"&lt;="&amp;ReportTo))</f>
        <v/>
      </c>
      <c r="AC120" s="25">
        <f>IF($A120="",0,SUMIFS('Payment Vouchers'!$D$5:$D$2005,'Payment Vouchers'!$K$5:$K$2005,$A120,'Payment Vouchers'!$A$5:$A$2005,"&gt;="&amp;ReportFrom,'Payment Vouchers'!$A$5:$A$2005,"&lt;="&amp;ReportTo))</f>
        <v/>
      </c>
      <c r="AD120" s="25">
        <f>IF($A120="",0,(SUMIFS('Partner Transactions'!$D$5:$D$2005,'Partner Transactions'!$L$5:$L$2005,$A120,'Partner Transactions'!$A$5:$A$2005,"&lt;"&amp;ReportFrom))-(SUMIFS('Partner Transactions'!$D$5:$D$2005,'Partner Transactions'!$M$5:$M$2005,$A120,'Partner Transactions'!$A$5:$A$2005,"&lt;"&amp;ReportFrom)))</f>
        <v/>
      </c>
      <c r="AE120" s="25">
        <f>IF($A120="",0,SUMIFS('Partner Transactions'!$D$5:$D$2005,'Partner Transactions'!$L$5:$L$2005,$A120,'Partner Transactions'!$A$5:$A$2005,"&gt;="&amp;ReportFrom,'Partner Transactions'!$A$5:$A$2005,"&lt;="&amp;ReportTo))</f>
        <v/>
      </c>
      <c r="AF120" s="25">
        <f>IF($A120="",0,SUMIFS('Partner Transactions'!$D$5:$D$2005,'Partner Transactions'!$M$5:$M$2005,$A120,'Partner Transactions'!$A$5:$A$2005,"&gt;="&amp;ReportFrom,'Partner Transactions'!$A$5:$A$2005,"&lt;="&amp;ReportTo))</f>
        <v/>
      </c>
      <c r="AG120" s="25">
        <f>IF($A120="",0,(SUMIFS('Stock Moves'!$S$5:$S$2005,'Stock Moves'!$AD$5:$AD$2005,$A120,'Stock Moves'!$A$5:$A$2005,"&lt;"&amp;ReportFrom)+SUMIFS('Stock Moves'!$T$5:$T$2005,'Stock Moves'!$V$5:$V$2005,$A120,'Stock Moves'!$A$5:$A$2005,"&lt;"&amp;ReportFrom))-(SUMIFS('Stock Moves'!$AF$5:$AF$2005,'Stock Moves'!$AE$5:$AE$2005,$A120,'Stock Moves'!$A$5:$A$2005,"&lt;"&amp;ReportFrom)+SUMIFS('Stock Moves'!$AC$5:$AC$2005,'Stock Moves'!$X$5:$X$2005,$A120,'Stock Moves'!$A$5:$A$2005,"&lt;"&amp;ReportFrom)+SUMIFS('Stock Moves'!$U$5:$U$2005,'Stock Moves'!$W$5:$W$2005,$A120,'Stock Moves'!$A$5:$A$2005,"&lt;"&amp;ReportFrom)))</f>
        <v/>
      </c>
      <c r="AH120" s="25">
        <f>IF($A120="",0,SUMIFS('Stock Moves'!$S$5:$S$2005,'Stock Moves'!$AD$5:$AD$2005,$A120,'Stock Moves'!$A$5:$A$2005,"&gt;="&amp;ReportFrom,'Stock Moves'!$A$5:$A$2005,"&lt;="&amp;ReportTo)+SUMIFS('Stock Moves'!$T$5:$T$2005,'Stock Moves'!$V$5:$V$2005,$A120,'Stock Moves'!$A$5:$A$2005,"&gt;="&amp;ReportFrom,'Stock Moves'!$A$5:$A$2005,"&lt;="&amp;ReportTo))</f>
        <v/>
      </c>
      <c r="AI120" s="25">
        <f>IF($A120="",0,SUMIFS('Stock Moves'!$AF$5:$AF$2005,'Stock Moves'!$AE$5:$AE$2005,$A120,'Stock Moves'!$A$5:$A$2005,"&gt;="&amp;ReportFrom,'Stock Moves'!$A$5:$A$2005,"&lt;="&amp;ReportTo)+SUMIFS('Stock Moves'!$AC$5:$AC$2005,'Stock Moves'!$X$5:$X$2005,$A120,'Stock Moves'!$A$5:$A$2005,"&gt;="&amp;ReportFrom,'Stock Moves'!$A$5:$A$2005,"&lt;="&amp;ReportTo)+SUMIFS('Stock Moves'!$U$5:$U$2005,'Stock Moves'!$W$5:$W$2005,$A120,'Stock Moves'!$A$5:$A$2005,"&gt;="&amp;ReportFrom,'Stock Moves'!$A$5:$A$2005,"&lt;="&amp;ReportTo))</f>
        <v/>
      </c>
      <c r="AJ120" s="25">
        <f>IF($A120="",0,(SUMIFS('Journal Vouchers'!$I$5:$I$2005,'Journal Vouchers'!$H$5:$H$2005,$A120,'Journal Vouchers'!$B$5:$B$2005,"&lt;"&amp;ReportFrom))-(SUMIFS('Journal Vouchers'!$J$5:$J$2005,'Journal Vouchers'!$H$5:$H$2005,$A120,'Journal Vouchers'!$B$5:$B$2005,"&lt;"&amp;ReportFrom)))</f>
        <v/>
      </c>
      <c r="AK120" s="25">
        <f>IF($A120="",0,SUMIFS('Journal Vouchers'!$I$5:$I$2005,'Journal Vouchers'!$H$5:$H$2005,$A120,'Journal Vouchers'!$B$5:$B$2005,"&gt;="&amp;ReportFrom,'Journal Vouchers'!$B$5:$B$2005,"&lt;="&amp;ReportTo))</f>
        <v/>
      </c>
      <c r="AL120" s="25">
        <f>IF($A120="",0,SUMIFS('Journal Vouchers'!$J$5:$J$2005,'Journal Vouchers'!$H$5:$H$2005,$A120,'Journal Vouchers'!$B$5:$B$2005,"&gt;="&amp;ReportFrom,'Journal Vouchers'!$B$5:$B$2005,"&lt;="&amp;ReportTo))</f>
        <v/>
      </c>
    </row>
    <row r="121">
      <c r="A121" s="25">
        <f>IF('Chart of Accounts'!A121="","",'Chart of Accounts'!A121&amp;"")</f>
        <v/>
      </c>
      <c r="B121" s="25">
        <f>IF(A121="","",'Chart of Accounts'!B121)</f>
        <v/>
      </c>
      <c r="C121" s="25">
        <f>IF(A121="","",'Chart of Accounts'!C121)</f>
        <v/>
      </c>
      <c r="D121" s="25">
        <f>IF(A121="","",'Chart of Accounts'!D121)</f>
        <v/>
      </c>
      <c r="E121" s="26">
        <f>L121+O121+R121+U121+X121+AA121+AD121+AG121+AJ121</f>
        <v/>
      </c>
      <c r="F121" s="26">
        <f>M121+P121+S121+V121+Y121+AB121+AE121+AH121+AK121</f>
        <v/>
      </c>
      <c r="G121" s="26">
        <f>N121+Q121+T121+W121+Z121+AC121+AF121+AI121+AL121</f>
        <v/>
      </c>
      <c r="H121" s="26">
        <f>E121+F121-G121</f>
        <v/>
      </c>
      <c r="I121" s="26">
        <f>MAX(H121,0)</f>
        <v/>
      </c>
      <c r="J121" s="26">
        <f>MAX(-H121,0)</f>
        <v/>
      </c>
      <c r="L121" s="25">
        <f>IF($A121="",0,(SUMIFS('Direct Costs'!$R$5:$R$2005,'Direct Costs'!$V$5:$V$2005,$A121,'Direct Costs'!$A$5:$A$2005,"&lt;"&amp;ReportFrom)+SUMIFS('Direct Costs'!$S$5:$S$2005,'Direct Costs'!$Y$5:$Y$2005,$A121,'Direct Costs'!$A$5:$A$2005,"&lt;"&amp;ReportFrom))-(SUMIFS('Direct Costs'!$L$5:$L$2005,'Direct Costs'!$W$5:$W$2005,$A121,'Direct Costs'!$A$5:$A$2005,"&lt;"&amp;ReportFrom)+SUMIFS('Direct Costs'!$U$5:$U$2005,'Direct Costs'!$X$5:$X$2005,$A121,'Direct Costs'!$A$5:$A$2005,"&lt;"&amp;ReportFrom)+SUMIFS('Direct Costs'!$T$5:$T$2005,'Direct Costs'!$Z$5:$Z$2005,$A121,'Direct Costs'!$A$5:$A$2005,"&lt;"&amp;ReportFrom)))</f>
        <v/>
      </c>
      <c r="M121" s="25">
        <f>IF($A121="",0,SUMIFS('Direct Costs'!$R$5:$R$2005,'Direct Costs'!$V$5:$V$2005,$A121,'Direct Costs'!$A$5:$A$2005,"&gt;="&amp;ReportFrom,'Direct Costs'!$A$5:$A$2005,"&lt;="&amp;ReportTo)+SUMIFS('Direct Costs'!$S$5:$S$2005,'Direct Costs'!$Y$5:$Y$2005,$A121,'Direct Costs'!$A$5:$A$2005,"&gt;="&amp;ReportFrom,'Direct Costs'!$A$5:$A$2005,"&lt;="&amp;ReportTo))</f>
        <v/>
      </c>
      <c r="N121" s="25">
        <f>IF($A121="",0,SUMIFS('Direct Costs'!$L$5:$L$2005,'Direct Costs'!$W$5:$W$2005,$A121,'Direct Costs'!$A$5:$A$2005,"&gt;="&amp;ReportFrom,'Direct Costs'!$A$5:$A$2005,"&lt;="&amp;ReportTo)+SUMIFS('Direct Costs'!$U$5:$U$2005,'Direct Costs'!$X$5:$X$2005,$A121,'Direct Costs'!$A$5:$A$2005,"&gt;="&amp;ReportFrom,'Direct Costs'!$A$5:$A$2005,"&lt;="&amp;ReportTo)+SUMIFS('Direct Costs'!$T$5:$T$2005,'Direct Costs'!$Z$5:$Z$2005,$A121,'Direct Costs'!$A$5:$A$2005,"&gt;="&amp;ReportFrom,'Direct Costs'!$A$5:$A$2005,"&lt;="&amp;ReportTo))</f>
        <v/>
      </c>
      <c r="O121" s="25">
        <f>IF($A121="",0,(SUMIFS('Operating Expenses'!$F$5:$F$2005,'Operating Expenses'!$Q$5:$Q$2005,$A121,'Operating Expenses'!$A$5:$A$2005,"&lt;"&amp;ReportFrom)+SUMIFS('Operating Expenses'!$M$5:$M$2005,'Operating Expenses'!$T$5:$T$2005,$A121,'Operating Expenses'!$A$5:$A$2005,"&lt;"&amp;ReportFrom))-(SUMIFS('Operating Expenses'!$O$5:$O$2005,'Operating Expenses'!$R$5:$R$2005,$A121,'Operating Expenses'!$A$5:$A$2005,"&lt;"&amp;ReportFrom)+SUMIFS('Operating Expenses'!$P$5:$P$2005,'Operating Expenses'!$S$5:$S$2005,$A121,'Operating Expenses'!$A$5:$A$2005,"&lt;"&amp;ReportFrom)+SUMIFS('Operating Expenses'!$N$5:$N$2005,'Operating Expenses'!$U$5:$U$2005,$A121,'Operating Expenses'!$A$5:$A$2005,"&lt;"&amp;ReportFrom)))</f>
        <v/>
      </c>
      <c r="P121" s="25">
        <f>IF($A121="",0,SUMIFS('Operating Expenses'!$F$5:$F$2005,'Operating Expenses'!$Q$5:$Q$2005,$A121,'Operating Expenses'!$A$5:$A$2005,"&gt;="&amp;ReportFrom,'Operating Expenses'!$A$5:$A$2005,"&lt;="&amp;ReportTo)+SUMIFS('Operating Expenses'!$M$5:$M$2005,'Operating Expenses'!$T$5:$T$2005,$A121,'Operating Expenses'!$A$5:$A$2005,"&gt;="&amp;ReportFrom,'Operating Expenses'!$A$5:$A$2005,"&lt;="&amp;ReportTo))</f>
        <v/>
      </c>
      <c r="Q121" s="25">
        <f>IF($A121="",0,SUMIFS('Operating Expenses'!$O$5:$O$2005,'Operating Expenses'!$R$5:$R$2005,$A121,'Operating Expenses'!$A$5:$A$2005,"&gt;="&amp;ReportFrom,'Operating Expenses'!$A$5:$A$2005,"&lt;="&amp;ReportTo)+SUMIFS('Operating Expenses'!$P$5:$P$2005,'Operating Expenses'!$S$5:$S$2005,$A121,'Operating Expenses'!$A$5:$A$2005,"&gt;="&amp;ReportFrom,'Operating Expenses'!$A$5:$A$2005,"&lt;="&amp;ReportTo)+SUMIFS('Operating Expenses'!$N$5:$N$2005,'Operating Expenses'!$U$5:$U$2005,$A121,'Operating Expenses'!$A$5:$A$2005,"&gt;="&amp;ReportFrom,'Operating Expenses'!$A$5:$A$2005,"&lt;="&amp;ReportTo))</f>
        <v/>
      </c>
      <c r="R121" s="25">
        <f>IF($A121="",0,(SUMIFS('Payroll'!$O$5:$O$2005,'Payroll'!$Q$5:$Q$2005,$A121,'Payroll'!$A$5:$A$2005,"&lt;"&amp;ReportFrom))-(SUMIFS('Payroll'!$K$5:$K$2005,'Payroll'!$R$5:$R$2005,$A121,'Payroll'!$A$5:$A$2005,"&lt;"&amp;ReportFrom)+SUMIFS('Payroll'!$P$5:$P$2005,'Payroll'!$S$5:$S$2005,$A121,'Payroll'!$A$5:$A$2005,"&lt;"&amp;ReportFrom)))</f>
        <v/>
      </c>
      <c r="S121" s="25">
        <f>IF($A121="",0,SUMIFS('Payroll'!$O$5:$O$2005,'Payroll'!$Q$5:$Q$2005,$A121,'Payroll'!$A$5:$A$2005,"&gt;="&amp;ReportFrom,'Payroll'!$A$5:$A$2005,"&lt;="&amp;ReportTo))</f>
        <v/>
      </c>
      <c r="T121" s="25">
        <f>IF($A121="",0,SUMIFS('Payroll'!$K$5:$K$2005,'Payroll'!$R$5:$R$2005,$A121,'Payroll'!$A$5:$A$2005,"&gt;="&amp;ReportFrom,'Payroll'!$A$5:$A$2005,"&lt;="&amp;ReportTo)+SUMIFS('Payroll'!$P$5:$P$2005,'Payroll'!$S$5:$S$2005,$A121,'Payroll'!$A$5:$A$2005,"&gt;="&amp;ReportFrom,'Payroll'!$A$5:$A$2005,"&lt;="&amp;ReportTo))</f>
        <v/>
      </c>
      <c r="U121" s="25">
        <f>IF($A121="",0,(SUMIFS('Receipt Vouchers'!$F$5:$F$2005,'Receipt Vouchers'!$O$5:$O$2005,$A121,'Receipt Vouchers'!$A$5:$A$2005,"&lt;"&amp;ReportFrom)+SUMIFS('Receipt Vouchers'!$J$5:$J$2005,'Receipt Vouchers'!$Q$5:$Q$2005,$A121,'Receipt Vouchers'!$A$5:$A$2005,"&lt;"&amp;ReportFrom))-(SUMIFS('Receipt Vouchers'!$N$5:$N$2005,'Receipt Vouchers'!$P$5:$P$2005,$A121,'Receipt Vouchers'!$A$5:$A$2005,"&lt;"&amp;ReportFrom)+SUMIFS('Receipt Vouchers'!$M$5:$M$2005,'Receipt Vouchers'!$R$5:$R$2005,$A121,'Receipt Vouchers'!$A$5:$A$2005,"&lt;"&amp;ReportFrom)))</f>
        <v/>
      </c>
      <c r="V121" s="25">
        <f>IF($A121="",0,SUMIFS('Receipt Vouchers'!$F$5:$F$2005,'Receipt Vouchers'!$O$5:$O$2005,$A121,'Receipt Vouchers'!$A$5:$A$2005,"&gt;="&amp;ReportFrom,'Receipt Vouchers'!$A$5:$A$2005,"&lt;="&amp;ReportTo)+SUMIFS('Receipt Vouchers'!$J$5:$J$2005,'Receipt Vouchers'!$Q$5:$Q$2005,$A121,'Receipt Vouchers'!$A$5:$A$2005,"&gt;="&amp;ReportFrom,'Receipt Vouchers'!$A$5:$A$2005,"&lt;="&amp;ReportTo))</f>
        <v/>
      </c>
      <c r="W121" s="25">
        <f>IF($A121="",0,SUMIFS('Receipt Vouchers'!$N$5:$N$2005,'Receipt Vouchers'!$P$5:$P$2005,$A121,'Receipt Vouchers'!$A$5:$A$2005,"&gt;="&amp;ReportFrom,'Receipt Vouchers'!$A$5:$A$2005,"&lt;="&amp;ReportTo)+SUMIFS('Receipt Vouchers'!$M$5:$M$2005,'Receipt Vouchers'!$R$5:$R$2005,$A121,'Receipt Vouchers'!$A$5:$A$2005,"&gt;="&amp;ReportFrom,'Receipt Vouchers'!$A$5:$A$2005,"&lt;="&amp;ReportTo))</f>
        <v/>
      </c>
      <c r="X121" s="25">
        <f>IF($A121="",0,(SUMIFS('Sales Invoices'!$O$5:$O$2005,'Sales Invoices'!$P$5:$P$2005,$A121,'Sales Invoices'!$B$5:$B$2005,"&lt;"&amp;ReportFrom)+SUMIFS('Sales Invoices'!$N$5:$N$2005,'Sales Invoices'!$R$5:$R$2005,$A121,'Sales Invoices'!$B$5:$B$2005,"&lt;"&amp;ReportFrom))-(SUMIFS('Sales Invoices'!$L$5:$L$2005,'Sales Invoices'!$Q$5:$Q$2005,$A121,'Sales Invoices'!$B$5:$B$2005,"&lt;"&amp;ReportFrom)+SUMIFS('Sales Invoices'!$M$5:$M$2005,'Sales Invoices'!$S$5:$S$2005,$A121,'Sales Invoices'!$B$5:$B$2005,"&lt;"&amp;ReportFrom)))</f>
        <v/>
      </c>
      <c r="Y121" s="25">
        <f>IF($A121="",0,SUMIFS('Sales Invoices'!$O$5:$O$2005,'Sales Invoices'!$P$5:$P$2005,$A121,'Sales Invoices'!$B$5:$B$2005,"&gt;="&amp;ReportFrom,'Sales Invoices'!$B$5:$B$2005,"&lt;="&amp;ReportTo)+SUMIFS('Sales Invoices'!$N$5:$N$2005,'Sales Invoices'!$R$5:$R$2005,$A121,'Sales Invoices'!$B$5:$B$2005,"&gt;="&amp;ReportFrom,'Sales Invoices'!$B$5:$B$2005,"&lt;="&amp;ReportTo))</f>
        <v/>
      </c>
      <c r="Z121" s="25">
        <f>IF($A121="",0,SUMIFS('Sales Invoices'!$L$5:$L$2005,'Sales Invoices'!$Q$5:$Q$2005,$A121,'Sales Invoices'!$B$5:$B$2005,"&gt;="&amp;ReportFrom,'Sales Invoices'!$B$5:$B$2005,"&lt;="&amp;ReportTo)+SUMIFS('Sales Invoices'!$M$5:$M$2005,'Sales Invoices'!$S$5:$S$2005,$A121,'Sales Invoices'!$B$5:$B$2005,"&gt;="&amp;ReportFrom,'Sales Invoices'!$B$5:$B$2005,"&lt;="&amp;ReportTo))</f>
        <v/>
      </c>
      <c r="AA121" s="25">
        <f>IF($A121="",0,(SUMIFS('Payment Vouchers'!$D$5:$D$2005,'Payment Vouchers'!$J$5:$J$2005,$A121,'Payment Vouchers'!$A$5:$A$2005,"&lt;"&amp;ReportFrom))-(SUMIFS('Payment Vouchers'!$D$5:$D$2005,'Payment Vouchers'!$K$5:$K$2005,$A121,'Payment Vouchers'!$A$5:$A$2005,"&lt;"&amp;ReportFrom)))</f>
        <v/>
      </c>
      <c r="AB121" s="25">
        <f>IF($A121="",0,SUMIFS('Payment Vouchers'!$D$5:$D$2005,'Payment Vouchers'!$J$5:$J$2005,$A121,'Payment Vouchers'!$A$5:$A$2005,"&gt;="&amp;ReportFrom,'Payment Vouchers'!$A$5:$A$2005,"&lt;="&amp;ReportTo))</f>
        <v/>
      </c>
      <c r="AC121" s="25">
        <f>IF($A121="",0,SUMIFS('Payment Vouchers'!$D$5:$D$2005,'Payment Vouchers'!$K$5:$K$2005,$A121,'Payment Vouchers'!$A$5:$A$2005,"&gt;="&amp;ReportFrom,'Payment Vouchers'!$A$5:$A$2005,"&lt;="&amp;ReportTo))</f>
        <v/>
      </c>
      <c r="AD121" s="25">
        <f>IF($A121="",0,(SUMIFS('Partner Transactions'!$D$5:$D$2005,'Partner Transactions'!$L$5:$L$2005,$A121,'Partner Transactions'!$A$5:$A$2005,"&lt;"&amp;ReportFrom))-(SUMIFS('Partner Transactions'!$D$5:$D$2005,'Partner Transactions'!$M$5:$M$2005,$A121,'Partner Transactions'!$A$5:$A$2005,"&lt;"&amp;ReportFrom)))</f>
        <v/>
      </c>
      <c r="AE121" s="25">
        <f>IF($A121="",0,SUMIFS('Partner Transactions'!$D$5:$D$2005,'Partner Transactions'!$L$5:$L$2005,$A121,'Partner Transactions'!$A$5:$A$2005,"&gt;="&amp;ReportFrom,'Partner Transactions'!$A$5:$A$2005,"&lt;="&amp;ReportTo))</f>
        <v/>
      </c>
      <c r="AF121" s="25">
        <f>IF($A121="",0,SUMIFS('Partner Transactions'!$D$5:$D$2005,'Partner Transactions'!$M$5:$M$2005,$A121,'Partner Transactions'!$A$5:$A$2005,"&gt;="&amp;ReportFrom,'Partner Transactions'!$A$5:$A$2005,"&lt;="&amp;ReportTo))</f>
        <v/>
      </c>
      <c r="AG121" s="25">
        <f>IF($A121="",0,(SUMIFS('Stock Moves'!$S$5:$S$2005,'Stock Moves'!$AD$5:$AD$2005,$A121,'Stock Moves'!$A$5:$A$2005,"&lt;"&amp;ReportFrom)+SUMIFS('Stock Moves'!$T$5:$T$2005,'Stock Moves'!$V$5:$V$2005,$A121,'Stock Moves'!$A$5:$A$2005,"&lt;"&amp;ReportFrom))-(SUMIFS('Stock Moves'!$AF$5:$AF$2005,'Stock Moves'!$AE$5:$AE$2005,$A121,'Stock Moves'!$A$5:$A$2005,"&lt;"&amp;ReportFrom)+SUMIFS('Stock Moves'!$AC$5:$AC$2005,'Stock Moves'!$X$5:$X$2005,$A121,'Stock Moves'!$A$5:$A$2005,"&lt;"&amp;ReportFrom)+SUMIFS('Stock Moves'!$U$5:$U$2005,'Stock Moves'!$W$5:$W$2005,$A121,'Stock Moves'!$A$5:$A$2005,"&lt;"&amp;ReportFrom)))</f>
        <v/>
      </c>
      <c r="AH121" s="25">
        <f>IF($A121="",0,SUMIFS('Stock Moves'!$S$5:$S$2005,'Stock Moves'!$AD$5:$AD$2005,$A121,'Stock Moves'!$A$5:$A$2005,"&gt;="&amp;ReportFrom,'Stock Moves'!$A$5:$A$2005,"&lt;="&amp;ReportTo)+SUMIFS('Stock Moves'!$T$5:$T$2005,'Stock Moves'!$V$5:$V$2005,$A121,'Stock Moves'!$A$5:$A$2005,"&gt;="&amp;ReportFrom,'Stock Moves'!$A$5:$A$2005,"&lt;="&amp;ReportTo))</f>
        <v/>
      </c>
      <c r="AI121" s="25">
        <f>IF($A121="",0,SUMIFS('Stock Moves'!$AF$5:$AF$2005,'Stock Moves'!$AE$5:$AE$2005,$A121,'Stock Moves'!$A$5:$A$2005,"&gt;="&amp;ReportFrom,'Stock Moves'!$A$5:$A$2005,"&lt;="&amp;ReportTo)+SUMIFS('Stock Moves'!$AC$5:$AC$2005,'Stock Moves'!$X$5:$X$2005,$A121,'Stock Moves'!$A$5:$A$2005,"&gt;="&amp;ReportFrom,'Stock Moves'!$A$5:$A$2005,"&lt;="&amp;ReportTo)+SUMIFS('Stock Moves'!$U$5:$U$2005,'Stock Moves'!$W$5:$W$2005,$A121,'Stock Moves'!$A$5:$A$2005,"&gt;="&amp;ReportFrom,'Stock Moves'!$A$5:$A$2005,"&lt;="&amp;ReportTo))</f>
        <v/>
      </c>
      <c r="AJ121" s="25">
        <f>IF($A121="",0,(SUMIFS('Journal Vouchers'!$I$5:$I$2005,'Journal Vouchers'!$H$5:$H$2005,$A121,'Journal Vouchers'!$B$5:$B$2005,"&lt;"&amp;ReportFrom))-(SUMIFS('Journal Vouchers'!$J$5:$J$2005,'Journal Vouchers'!$H$5:$H$2005,$A121,'Journal Vouchers'!$B$5:$B$2005,"&lt;"&amp;ReportFrom)))</f>
        <v/>
      </c>
      <c r="AK121" s="25">
        <f>IF($A121="",0,SUMIFS('Journal Vouchers'!$I$5:$I$2005,'Journal Vouchers'!$H$5:$H$2005,$A121,'Journal Vouchers'!$B$5:$B$2005,"&gt;="&amp;ReportFrom,'Journal Vouchers'!$B$5:$B$2005,"&lt;="&amp;ReportTo))</f>
        <v/>
      </c>
      <c r="AL121" s="25">
        <f>IF($A121="",0,SUMIFS('Journal Vouchers'!$J$5:$J$2005,'Journal Vouchers'!$H$5:$H$2005,$A121,'Journal Vouchers'!$B$5:$B$2005,"&gt;="&amp;ReportFrom,'Journal Vouchers'!$B$5:$B$2005,"&lt;="&amp;ReportTo))</f>
        <v/>
      </c>
    </row>
    <row r="122">
      <c r="A122" s="25">
        <f>IF('Chart of Accounts'!A122="","",'Chart of Accounts'!A122&amp;"")</f>
        <v/>
      </c>
      <c r="B122" s="25">
        <f>IF(A122="","",'Chart of Accounts'!B122)</f>
        <v/>
      </c>
      <c r="C122" s="25">
        <f>IF(A122="","",'Chart of Accounts'!C122)</f>
        <v/>
      </c>
      <c r="D122" s="25">
        <f>IF(A122="","",'Chart of Accounts'!D122)</f>
        <v/>
      </c>
      <c r="E122" s="26">
        <f>L122+O122+R122+U122+X122+AA122+AD122+AG122+AJ122</f>
        <v/>
      </c>
      <c r="F122" s="26">
        <f>M122+P122+S122+V122+Y122+AB122+AE122+AH122+AK122</f>
        <v/>
      </c>
      <c r="G122" s="26">
        <f>N122+Q122+T122+W122+Z122+AC122+AF122+AI122+AL122</f>
        <v/>
      </c>
      <c r="H122" s="26">
        <f>E122+F122-G122</f>
        <v/>
      </c>
      <c r="I122" s="26">
        <f>MAX(H122,0)</f>
        <v/>
      </c>
      <c r="J122" s="26">
        <f>MAX(-H122,0)</f>
        <v/>
      </c>
      <c r="L122" s="25">
        <f>IF($A122="",0,(SUMIFS('Direct Costs'!$R$5:$R$2005,'Direct Costs'!$V$5:$V$2005,$A122,'Direct Costs'!$A$5:$A$2005,"&lt;"&amp;ReportFrom)+SUMIFS('Direct Costs'!$S$5:$S$2005,'Direct Costs'!$Y$5:$Y$2005,$A122,'Direct Costs'!$A$5:$A$2005,"&lt;"&amp;ReportFrom))-(SUMIFS('Direct Costs'!$L$5:$L$2005,'Direct Costs'!$W$5:$W$2005,$A122,'Direct Costs'!$A$5:$A$2005,"&lt;"&amp;ReportFrom)+SUMIFS('Direct Costs'!$U$5:$U$2005,'Direct Costs'!$X$5:$X$2005,$A122,'Direct Costs'!$A$5:$A$2005,"&lt;"&amp;ReportFrom)+SUMIFS('Direct Costs'!$T$5:$T$2005,'Direct Costs'!$Z$5:$Z$2005,$A122,'Direct Costs'!$A$5:$A$2005,"&lt;"&amp;ReportFrom)))</f>
        <v/>
      </c>
      <c r="M122" s="25">
        <f>IF($A122="",0,SUMIFS('Direct Costs'!$R$5:$R$2005,'Direct Costs'!$V$5:$V$2005,$A122,'Direct Costs'!$A$5:$A$2005,"&gt;="&amp;ReportFrom,'Direct Costs'!$A$5:$A$2005,"&lt;="&amp;ReportTo)+SUMIFS('Direct Costs'!$S$5:$S$2005,'Direct Costs'!$Y$5:$Y$2005,$A122,'Direct Costs'!$A$5:$A$2005,"&gt;="&amp;ReportFrom,'Direct Costs'!$A$5:$A$2005,"&lt;="&amp;ReportTo))</f>
        <v/>
      </c>
      <c r="N122" s="25">
        <f>IF($A122="",0,SUMIFS('Direct Costs'!$L$5:$L$2005,'Direct Costs'!$W$5:$W$2005,$A122,'Direct Costs'!$A$5:$A$2005,"&gt;="&amp;ReportFrom,'Direct Costs'!$A$5:$A$2005,"&lt;="&amp;ReportTo)+SUMIFS('Direct Costs'!$U$5:$U$2005,'Direct Costs'!$X$5:$X$2005,$A122,'Direct Costs'!$A$5:$A$2005,"&gt;="&amp;ReportFrom,'Direct Costs'!$A$5:$A$2005,"&lt;="&amp;ReportTo)+SUMIFS('Direct Costs'!$T$5:$T$2005,'Direct Costs'!$Z$5:$Z$2005,$A122,'Direct Costs'!$A$5:$A$2005,"&gt;="&amp;ReportFrom,'Direct Costs'!$A$5:$A$2005,"&lt;="&amp;ReportTo))</f>
        <v/>
      </c>
      <c r="O122" s="25">
        <f>IF($A122="",0,(SUMIFS('Operating Expenses'!$F$5:$F$2005,'Operating Expenses'!$Q$5:$Q$2005,$A122,'Operating Expenses'!$A$5:$A$2005,"&lt;"&amp;ReportFrom)+SUMIFS('Operating Expenses'!$M$5:$M$2005,'Operating Expenses'!$T$5:$T$2005,$A122,'Operating Expenses'!$A$5:$A$2005,"&lt;"&amp;ReportFrom))-(SUMIFS('Operating Expenses'!$O$5:$O$2005,'Operating Expenses'!$R$5:$R$2005,$A122,'Operating Expenses'!$A$5:$A$2005,"&lt;"&amp;ReportFrom)+SUMIFS('Operating Expenses'!$P$5:$P$2005,'Operating Expenses'!$S$5:$S$2005,$A122,'Operating Expenses'!$A$5:$A$2005,"&lt;"&amp;ReportFrom)+SUMIFS('Operating Expenses'!$N$5:$N$2005,'Operating Expenses'!$U$5:$U$2005,$A122,'Operating Expenses'!$A$5:$A$2005,"&lt;"&amp;ReportFrom)))</f>
        <v/>
      </c>
      <c r="P122" s="25">
        <f>IF($A122="",0,SUMIFS('Operating Expenses'!$F$5:$F$2005,'Operating Expenses'!$Q$5:$Q$2005,$A122,'Operating Expenses'!$A$5:$A$2005,"&gt;="&amp;ReportFrom,'Operating Expenses'!$A$5:$A$2005,"&lt;="&amp;ReportTo)+SUMIFS('Operating Expenses'!$M$5:$M$2005,'Operating Expenses'!$T$5:$T$2005,$A122,'Operating Expenses'!$A$5:$A$2005,"&gt;="&amp;ReportFrom,'Operating Expenses'!$A$5:$A$2005,"&lt;="&amp;ReportTo))</f>
        <v/>
      </c>
      <c r="Q122" s="25">
        <f>IF($A122="",0,SUMIFS('Operating Expenses'!$O$5:$O$2005,'Operating Expenses'!$R$5:$R$2005,$A122,'Operating Expenses'!$A$5:$A$2005,"&gt;="&amp;ReportFrom,'Operating Expenses'!$A$5:$A$2005,"&lt;="&amp;ReportTo)+SUMIFS('Operating Expenses'!$P$5:$P$2005,'Operating Expenses'!$S$5:$S$2005,$A122,'Operating Expenses'!$A$5:$A$2005,"&gt;="&amp;ReportFrom,'Operating Expenses'!$A$5:$A$2005,"&lt;="&amp;ReportTo)+SUMIFS('Operating Expenses'!$N$5:$N$2005,'Operating Expenses'!$U$5:$U$2005,$A122,'Operating Expenses'!$A$5:$A$2005,"&gt;="&amp;ReportFrom,'Operating Expenses'!$A$5:$A$2005,"&lt;="&amp;ReportTo))</f>
        <v/>
      </c>
      <c r="R122" s="25">
        <f>IF($A122="",0,(SUMIFS('Payroll'!$O$5:$O$2005,'Payroll'!$Q$5:$Q$2005,$A122,'Payroll'!$A$5:$A$2005,"&lt;"&amp;ReportFrom))-(SUMIFS('Payroll'!$K$5:$K$2005,'Payroll'!$R$5:$R$2005,$A122,'Payroll'!$A$5:$A$2005,"&lt;"&amp;ReportFrom)+SUMIFS('Payroll'!$P$5:$P$2005,'Payroll'!$S$5:$S$2005,$A122,'Payroll'!$A$5:$A$2005,"&lt;"&amp;ReportFrom)))</f>
        <v/>
      </c>
      <c r="S122" s="25">
        <f>IF($A122="",0,SUMIFS('Payroll'!$O$5:$O$2005,'Payroll'!$Q$5:$Q$2005,$A122,'Payroll'!$A$5:$A$2005,"&gt;="&amp;ReportFrom,'Payroll'!$A$5:$A$2005,"&lt;="&amp;ReportTo))</f>
        <v/>
      </c>
      <c r="T122" s="25">
        <f>IF($A122="",0,SUMIFS('Payroll'!$K$5:$K$2005,'Payroll'!$R$5:$R$2005,$A122,'Payroll'!$A$5:$A$2005,"&gt;="&amp;ReportFrom,'Payroll'!$A$5:$A$2005,"&lt;="&amp;ReportTo)+SUMIFS('Payroll'!$P$5:$P$2005,'Payroll'!$S$5:$S$2005,$A122,'Payroll'!$A$5:$A$2005,"&gt;="&amp;ReportFrom,'Payroll'!$A$5:$A$2005,"&lt;="&amp;ReportTo))</f>
        <v/>
      </c>
      <c r="U122" s="25">
        <f>IF($A122="",0,(SUMIFS('Receipt Vouchers'!$F$5:$F$2005,'Receipt Vouchers'!$O$5:$O$2005,$A122,'Receipt Vouchers'!$A$5:$A$2005,"&lt;"&amp;ReportFrom)+SUMIFS('Receipt Vouchers'!$J$5:$J$2005,'Receipt Vouchers'!$Q$5:$Q$2005,$A122,'Receipt Vouchers'!$A$5:$A$2005,"&lt;"&amp;ReportFrom))-(SUMIFS('Receipt Vouchers'!$N$5:$N$2005,'Receipt Vouchers'!$P$5:$P$2005,$A122,'Receipt Vouchers'!$A$5:$A$2005,"&lt;"&amp;ReportFrom)+SUMIFS('Receipt Vouchers'!$M$5:$M$2005,'Receipt Vouchers'!$R$5:$R$2005,$A122,'Receipt Vouchers'!$A$5:$A$2005,"&lt;"&amp;ReportFrom)))</f>
        <v/>
      </c>
      <c r="V122" s="25">
        <f>IF($A122="",0,SUMIFS('Receipt Vouchers'!$F$5:$F$2005,'Receipt Vouchers'!$O$5:$O$2005,$A122,'Receipt Vouchers'!$A$5:$A$2005,"&gt;="&amp;ReportFrom,'Receipt Vouchers'!$A$5:$A$2005,"&lt;="&amp;ReportTo)+SUMIFS('Receipt Vouchers'!$J$5:$J$2005,'Receipt Vouchers'!$Q$5:$Q$2005,$A122,'Receipt Vouchers'!$A$5:$A$2005,"&gt;="&amp;ReportFrom,'Receipt Vouchers'!$A$5:$A$2005,"&lt;="&amp;ReportTo))</f>
        <v/>
      </c>
      <c r="W122" s="25">
        <f>IF($A122="",0,SUMIFS('Receipt Vouchers'!$N$5:$N$2005,'Receipt Vouchers'!$P$5:$P$2005,$A122,'Receipt Vouchers'!$A$5:$A$2005,"&gt;="&amp;ReportFrom,'Receipt Vouchers'!$A$5:$A$2005,"&lt;="&amp;ReportTo)+SUMIFS('Receipt Vouchers'!$M$5:$M$2005,'Receipt Vouchers'!$R$5:$R$2005,$A122,'Receipt Vouchers'!$A$5:$A$2005,"&gt;="&amp;ReportFrom,'Receipt Vouchers'!$A$5:$A$2005,"&lt;="&amp;ReportTo))</f>
        <v/>
      </c>
      <c r="X122" s="25">
        <f>IF($A122="",0,(SUMIFS('Sales Invoices'!$O$5:$O$2005,'Sales Invoices'!$P$5:$P$2005,$A122,'Sales Invoices'!$B$5:$B$2005,"&lt;"&amp;ReportFrom)+SUMIFS('Sales Invoices'!$N$5:$N$2005,'Sales Invoices'!$R$5:$R$2005,$A122,'Sales Invoices'!$B$5:$B$2005,"&lt;"&amp;ReportFrom))-(SUMIFS('Sales Invoices'!$L$5:$L$2005,'Sales Invoices'!$Q$5:$Q$2005,$A122,'Sales Invoices'!$B$5:$B$2005,"&lt;"&amp;ReportFrom)+SUMIFS('Sales Invoices'!$M$5:$M$2005,'Sales Invoices'!$S$5:$S$2005,$A122,'Sales Invoices'!$B$5:$B$2005,"&lt;"&amp;ReportFrom)))</f>
        <v/>
      </c>
      <c r="Y122" s="25">
        <f>IF($A122="",0,SUMIFS('Sales Invoices'!$O$5:$O$2005,'Sales Invoices'!$P$5:$P$2005,$A122,'Sales Invoices'!$B$5:$B$2005,"&gt;="&amp;ReportFrom,'Sales Invoices'!$B$5:$B$2005,"&lt;="&amp;ReportTo)+SUMIFS('Sales Invoices'!$N$5:$N$2005,'Sales Invoices'!$R$5:$R$2005,$A122,'Sales Invoices'!$B$5:$B$2005,"&gt;="&amp;ReportFrom,'Sales Invoices'!$B$5:$B$2005,"&lt;="&amp;ReportTo))</f>
        <v/>
      </c>
      <c r="Z122" s="25">
        <f>IF($A122="",0,SUMIFS('Sales Invoices'!$L$5:$L$2005,'Sales Invoices'!$Q$5:$Q$2005,$A122,'Sales Invoices'!$B$5:$B$2005,"&gt;="&amp;ReportFrom,'Sales Invoices'!$B$5:$B$2005,"&lt;="&amp;ReportTo)+SUMIFS('Sales Invoices'!$M$5:$M$2005,'Sales Invoices'!$S$5:$S$2005,$A122,'Sales Invoices'!$B$5:$B$2005,"&gt;="&amp;ReportFrom,'Sales Invoices'!$B$5:$B$2005,"&lt;="&amp;ReportTo))</f>
        <v/>
      </c>
      <c r="AA122" s="25">
        <f>IF($A122="",0,(SUMIFS('Payment Vouchers'!$D$5:$D$2005,'Payment Vouchers'!$J$5:$J$2005,$A122,'Payment Vouchers'!$A$5:$A$2005,"&lt;"&amp;ReportFrom))-(SUMIFS('Payment Vouchers'!$D$5:$D$2005,'Payment Vouchers'!$K$5:$K$2005,$A122,'Payment Vouchers'!$A$5:$A$2005,"&lt;"&amp;ReportFrom)))</f>
        <v/>
      </c>
      <c r="AB122" s="25">
        <f>IF($A122="",0,SUMIFS('Payment Vouchers'!$D$5:$D$2005,'Payment Vouchers'!$J$5:$J$2005,$A122,'Payment Vouchers'!$A$5:$A$2005,"&gt;="&amp;ReportFrom,'Payment Vouchers'!$A$5:$A$2005,"&lt;="&amp;ReportTo))</f>
        <v/>
      </c>
      <c r="AC122" s="25">
        <f>IF($A122="",0,SUMIFS('Payment Vouchers'!$D$5:$D$2005,'Payment Vouchers'!$K$5:$K$2005,$A122,'Payment Vouchers'!$A$5:$A$2005,"&gt;="&amp;ReportFrom,'Payment Vouchers'!$A$5:$A$2005,"&lt;="&amp;ReportTo))</f>
        <v/>
      </c>
      <c r="AD122" s="25">
        <f>IF($A122="",0,(SUMIFS('Partner Transactions'!$D$5:$D$2005,'Partner Transactions'!$L$5:$L$2005,$A122,'Partner Transactions'!$A$5:$A$2005,"&lt;"&amp;ReportFrom))-(SUMIFS('Partner Transactions'!$D$5:$D$2005,'Partner Transactions'!$M$5:$M$2005,$A122,'Partner Transactions'!$A$5:$A$2005,"&lt;"&amp;ReportFrom)))</f>
        <v/>
      </c>
      <c r="AE122" s="25">
        <f>IF($A122="",0,SUMIFS('Partner Transactions'!$D$5:$D$2005,'Partner Transactions'!$L$5:$L$2005,$A122,'Partner Transactions'!$A$5:$A$2005,"&gt;="&amp;ReportFrom,'Partner Transactions'!$A$5:$A$2005,"&lt;="&amp;ReportTo))</f>
        <v/>
      </c>
      <c r="AF122" s="25">
        <f>IF($A122="",0,SUMIFS('Partner Transactions'!$D$5:$D$2005,'Partner Transactions'!$M$5:$M$2005,$A122,'Partner Transactions'!$A$5:$A$2005,"&gt;="&amp;ReportFrom,'Partner Transactions'!$A$5:$A$2005,"&lt;="&amp;ReportTo))</f>
        <v/>
      </c>
      <c r="AG122" s="25">
        <f>IF($A122="",0,(SUMIFS('Stock Moves'!$S$5:$S$2005,'Stock Moves'!$AD$5:$AD$2005,$A122,'Stock Moves'!$A$5:$A$2005,"&lt;"&amp;ReportFrom)+SUMIFS('Stock Moves'!$T$5:$T$2005,'Stock Moves'!$V$5:$V$2005,$A122,'Stock Moves'!$A$5:$A$2005,"&lt;"&amp;ReportFrom))-(SUMIFS('Stock Moves'!$AF$5:$AF$2005,'Stock Moves'!$AE$5:$AE$2005,$A122,'Stock Moves'!$A$5:$A$2005,"&lt;"&amp;ReportFrom)+SUMIFS('Stock Moves'!$AC$5:$AC$2005,'Stock Moves'!$X$5:$X$2005,$A122,'Stock Moves'!$A$5:$A$2005,"&lt;"&amp;ReportFrom)+SUMIFS('Stock Moves'!$U$5:$U$2005,'Stock Moves'!$W$5:$W$2005,$A122,'Stock Moves'!$A$5:$A$2005,"&lt;"&amp;ReportFrom)))</f>
        <v/>
      </c>
      <c r="AH122" s="25">
        <f>IF($A122="",0,SUMIFS('Stock Moves'!$S$5:$S$2005,'Stock Moves'!$AD$5:$AD$2005,$A122,'Stock Moves'!$A$5:$A$2005,"&gt;="&amp;ReportFrom,'Stock Moves'!$A$5:$A$2005,"&lt;="&amp;ReportTo)+SUMIFS('Stock Moves'!$T$5:$T$2005,'Stock Moves'!$V$5:$V$2005,$A122,'Stock Moves'!$A$5:$A$2005,"&gt;="&amp;ReportFrom,'Stock Moves'!$A$5:$A$2005,"&lt;="&amp;ReportTo))</f>
        <v/>
      </c>
      <c r="AI122" s="25">
        <f>IF($A122="",0,SUMIFS('Stock Moves'!$AF$5:$AF$2005,'Stock Moves'!$AE$5:$AE$2005,$A122,'Stock Moves'!$A$5:$A$2005,"&gt;="&amp;ReportFrom,'Stock Moves'!$A$5:$A$2005,"&lt;="&amp;ReportTo)+SUMIFS('Stock Moves'!$AC$5:$AC$2005,'Stock Moves'!$X$5:$X$2005,$A122,'Stock Moves'!$A$5:$A$2005,"&gt;="&amp;ReportFrom,'Stock Moves'!$A$5:$A$2005,"&lt;="&amp;ReportTo)+SUMIFS('Stock Moves'!$U$5:$U$2005,'Stock Moves'!$W$5:$W$2005,$A122,'Stock Moves'!$A$5:$A$2005,"&gt;="&amp;ReportFrom,'Stock Moves'!$A$5:$A$2005,"&lt;="&amp;ReportTo))</f>
        <v/>
      </c>
      <c r="AJ122" s="25">
        <f>IF($A122="",0,(SUMIFS('Journal Vouchers'!$I$5:$I$2005,'Journal Vouchers'!$H$5:$H$2005,$A122,'Journal Vouchers'!$B$5:$B$2005,"&lt;"&amp;ReportFrom))-(SUMIFS('Journal Vouchers'!$J$5:$J$2005,'Journal Vouchers'!$H$5:$H$2005,$A122,'Journal Vouchers'!$B$5:$B$2005,"&lt;"&amp;ReportFrom)))</f>
        <v/>
      </c>
      <c r="AK122" s="25">
        <f>IF($A122="",0,SUMIFS('Journal Vouchers'!$I$5:$I$2005,'Journal Vouchers'!$H$5:$H$2005,$A122,'Journal Vouchers'!$B$5:$B$2005,"&gt;="&amp;ReportFrom,'Journal Vouchers'!$B$5:$B$2005,"&lt;="&amp;ReportTo))</f>
        <v/>
      </c>
      <c r="AL122" s="25">
        <f>IF($A122="",0,SUMIFS('Journal Vouchers'!$J$5:$J$2005,'Journal Vouchers'!$H$5:$H$2005,$A122,'Journal Vouchers'!$B$5:$B$2005,"&gt;="&amp;ReportFrom,'Journal Vouchers'!$B$5:$B$2005,"&lt;="&amp;ReportTo))</f>
        <v/>
      </c>
    </row>
    <row r="123">
      <c r="A123" s="25">
        <f>IF('Chart of Accounts'!A123="","",'Chart of Accounts'!A123&amp;"")</f>
        <v/>
      </c>
      <c r="B123" s="25">
        <f>IF(A123="","",'Chart of Accounts'!B123)</f>
        <v/>
      </c>
      <c r="C123" s="25">
        <f>IF(A123="","",'Chart of Accounts'!C123)</f>
        <v/>
      </c>
      <c r="D123" s="25">
        <f>IF(A123="","",'Chart of Accounts'!D123)</f>
        <v/>
      </c>
      <c r="E123" s="26">
        <f>L123+O123+R123+U123+X123+AA123+AD123+AG123+AJ123</f>
        <v/>
      </c>
      <c r="F123" s="26">
        <f>M123+P123+S123+V123+Y123+AB123+AE123+AH123+AK123</f>
        <v/>
      </c>
      <c r="G123" s="26">
        <f>N123+Q123+T123+W123+Z123+AC123+AF123+AI123+AL123</f>
        <v/>
      </c>
      <c r="H123" s="26">
        <f>E123+F123-G123</f>
        <v/>
      </c>
      <c r="I123" s="26">
        <f>MAX(H123,0)</f>
        <v/>
      </c>
      <c r="J123" s="26">
        <f>MAX(-H123,0)</f>
        <v/>
      </c>
      <c r="L123" s="25">
        <f>IF($A123="",0,(SUMIFS('Direct Costs'!$R$5:$R$2005,'Direct Costs'!$V$5:$V$2005,$A123,'Direct Costs'!$A$5:$A$2005,"&lt;"&amp;ReportFrom)+SUMIFS('Direct Costs'!$S$5:$S$2005,'Direct Costs'!$Y$5:$Y$2005,$A123,'Direct Costs'!$A$5:$A$2005,"&lt;"&amp;ReportFrom))-(SUMIFS('Direct Costs'!$L$5:$L$2005,'Direct Costs'!$W$5:$W$2005,$A123,'Direct Costs'!$A$5:$A$2005,"&lt;"&amp;ReportFrom)+SUMIFS('Direct Costs'!$U$5:$U$2005,'Direct Costs'!$X$5:$X$2005,$A123,'Direct Costs'!$A$5:$A$2005,"&lt;"&amp;ReportFrom)+SUMIFS('Direct Costs'!$T$5:$T$2005,'Direct Costs'!$Z$5:$Z$2005,$A123,'Direct Costs'!$A$5:$A$2005,"&lt;"&amp;ReportFrom)))</f>
        <v/>
      </c>
      <c r="M123" s="25">
        <f>IF($A123="",0,SUMIFS('Direct Costs'!$R$5:$R$2005,'Direct Costs'!$V$5:$V$2005,$A123,'Direct Costs'!$A$5:$A$2005,"&gt;="&amp;ReportFrom,'Direct Costs'!$A$5:$A$2005,"&lt;="&amp;ReportTo)+SUMIFS('Direct Costs'!$S$5:$S$2005,'Direct Costs'!$Y$5:$Y$2005,$A123,'Direct Costs'!$A$5:$A$2005,"&gt;="&amp;ReportFrom,'Direct Costs'!$A$5:$A$2005,"&lt;="&amp;ReportTo))</f>
        <v/>
      </c>
      <c r="N123" s="25">
        <f>IF($A123="",0,SUMIFS('Direct Costs'!$L$5:$L$2005,'Direct Costs'!$W$5:$W$2005,$A123,'Direct Costs'!$A$5:$A$2005,"&gt;="&amp;ReportFrom,'Direct Costs'!$A$5:$A$2005,"&lt;="&amp;ReportTo)+SUMIFS('Direct Costs'!$U$5:$U$2005,'Direct Costs'!$X$5:$X$2005,$A123,'Direct Costs'!$A$5:$A$2005,"&gt;="&amp;ReportFrom,'Direct Costs'!$A$5:$A$2005,"&lt;="&amp;ReportTo)+SUMIFS('Direct Costs'!$T$5:$T$2005,'Direct Costs'!$Z$5:$Z$2005,$A123,'Direct Costs'!$A$5:$A$2005,"&gt;="&amp;ReportFrom,'Direct Costs'!$A$5:$A$2005,"&lt;="&amp;ReportTo))</f>
        <v/>
      </c>
      <c r="O123" s="25">
        <f>IF($A123="",0,(SUMIFS('Operating Expenses'!$F$5:$F$2005,'Operating Expenses'!$Q$5:$Q$2005,$A123,'Operating Expenses'!$A$5:$A$2005,"&lt;"&amp;ReportFrom)+SUMIFS('Operating Expenses'!$M$5:$M$2005,'Operating Expenses'!$T$5:$T$2005,$A123,'Operating Expenses'!$A$5:$A$2005,"&lt;"&amp;ReportFrom))-(SUMIFS('Operating Expenses'!$O$5:$O$2005,'Operating Expenses'!$R$5:$R$2005,$A123,'Operating Expenses'!$A$5:$A$2005,"&lt;"&amp;ReportFrom)+SUMIFS('Operating Expenses'!$P$5:$P$2005,'Operating Expenses'!$S$5:$S$2005,$A123,'Operating Expenses'!$A$5:$A$2005,"&lt;"&amp;ReportFrom)+SUMIFS('Operating Expenses'!$N$5:$N$2005,'Operating Expenses'!$U$5:$U$2005,$A123,'Operating Expenses'!$A$5:$A$2005,"&lt;"&amp;ReportFrom)))</f>
        <v/>
      </c>
      <c r="P123" s="25">
        <f>IF($A123="",0,SUMIFS('Operating Expenses'!$F$5:$F$2005,'Operating Expenses'!$Q$5:$Q$2005,$A123,'Operating Expenses'!$A$5:$A$2005,"&gt;="&amp;ReportFrom,'Operating Expenses'!$A$5:$A$2005,"&lt;="&amp;ReportTo)+SUMIFS('Operating Expenses'!$M$5:$M$2005,'Operating Expenses'!$T$5:$T$2005,$A123,'Operating Expenses'!$A$5:$A$2005,"&gt;="&amp;ReportFrom,'Operating Expenses'!$A$5:$A$2005,"&lt;="&amp;ReportTo))</f>
        <v/>
      </c>
      <c r="Q123" s="25">
        <f>IF($A123="",0,SUMIFS('Operating Expenses'!$O$5:$O$2005,'Operating Expenses'!$R$5:$R$2005,$A123,'Operating Expenses'!$A$5:$A$2005,"&gt;="&amp;ReportFrom,'Operating Expenses'!$A$5:$A$2005,"&lt;="&amp;ReportTo)+SUMIFS('Operating Expenses'!$P$5:$P$2005,'Operating Expenses'!$S$5:$S$2005,$A123,'Operating Expenses'!$A$5:$A$2005,"&gt;="&amp;ReportFrom,'Operating Expenses'!$A$5:$A$2005,"&lt;="&amp;ReportTo)+SUMIFS('Operating Expenses'!$N$5:$N$2005,'Operating Expenses'!$U$5:$U$2005,$A123,'Operating Expenses'!$A$5:$A$2005,"&gt;="&amp;ReportFrom,'Operating Expenses'!$A$5:$A$2005,"&lt;="&amp;ReportTo))</f>
        <v/>
      </c>
      <c r="R123" s="25">
        <f>IF($A123="",0,(SUMIFS('Payroll'!$O$5:$O$2005,'Payroll'!$Q$5:$Q$2005,$A123,'Payroll'!$A$5:$A$2005,"&lt;"&amp;ReportFrom))-(SUMIFS('Payroll'!$K$5:$K$2005,'Payroll'!$R$5:$R$2005,$A123,'Payroll'!$A$5:$A$2005,"&lt;"&amp;ReportFrom)+SUMIFS('Payroll'!$P$5:$P$2005,'Payroll'!$S$5:$S$2005,$A123,'Payroll'!$A$5:$A$2005,"&lt;"&amp;ReportFrom)))</f>
        <v/>
      </c>
      <c r="S123" s="25">
        <f>IF($A123="",0,SUMIFS('Payroll'!$O$5:$O$2005,'Payroll'!$Q$5:$Q$2005,$A123,'Payroll'!$A$5:$A$2005,"&gt;="&amp;ReportFrom,'Payroll'!$A$5:$A$2005,"&lt;="&amp;ReportTo))</f>
        <v/>
      </c>
      <c r="T123" s="25">
        <f>IF($A123="",0,SUMIFS('Payroll'!$K$5:$K$2005,'Payroll'!$R$5:$R$2005,$A123,'Payroll'!$A$5:$A$2005,"&gt;="&amp;ReportFrom,'Payroll'!$A$5:$A$2005,"&lt;="&amp;ReportTo)+SUMIFS('Payroll'!$P$5:$P$2005,'Payroll'!$S$5:$S$2005,$A123,'Payroll'!$A$5:$A$2005,"&gt;="&amp;ReportFrom,'Payroll'!$A$5:$A$2005,"&lt;="&amp;ReportTo))</f>
        <v/>
      </c>
      <c r="U123" s="25">
        <f>IF($A123="",0,(SUMIFS('Receipt Vouchers'!$F$5:$F$2005,'Receipt Vouchers'!$O$5:$O$2005,$A123,'Receipt Vouchers'!$A$5:$A$2005,"&lt;"&amp;ReportFrom)+SUMIFS('Receipt Vouchers'!$J$5:$J$2005,'Receipt Vouchers'!$Q$5:$Q$2005,$A123,'Receipt Vouchers'!$A$5:$A$2005,"&lt;"&amp;ReportFrom))-(SUMIFS('Receipt Vouchers'!$N$5:$N$2005,'Receipt Vouchers'!$P$5:$P$2005,$A123,'Receipt Vouchers'!$A$5:$A$2005,"&lt;"&amp;ReportFrom)+SUMIFS('Receipt Vouchers'!$M$5:$M$2005,'Receipt Vouchers'!$R$5:$R$2005,$A123,'Receipt Vouchers'!$A$5:$A$2005,"&lt;"&amp;ReportFrom)))</f>
        <v/>
      </c>
      <c r="V123" s="25">
        <f>IF($A123="",0,SUMIFS('Receipt Vouchers'!$F$5:$F$2005,'Receipt Vouchers'!$O$5:$O$2005,$A123,'Receipt Vouchers'!$A$5:$A$2005,"&gt;="&amp;ReportFrom,'Receipt Vouchers'!$A$5:$A$2005,"&lt;="&amp;ReportTo)+SUMIFS('Receipt Vouchers'!$J$5:$J$2005,'Receipt Vouchers'!$Q$5:$Q$2005,$A123,'Receipt Vouchers'!$A$5:$A$2005,"&gt;="&amp;ReportFrom,'Receipt Vouchers'!$A$5:$A$2005,"&lt;="&amp;ReportTo))</f>
        <v/>
      </c>
      <c r="W123" s="25">
        <f>IF($A123="",0,SUMIFS('Receipt Vouchers'!$N$5:$N$2005,'Receipt Vouchers'!$P$5:$P$2005,$A123,'Receipt Vouchers'!$A$5:$A$2005,"&gt;="&amp;ReportFrom,'Receipt Vouchers'!$A$5:$A$2005,"&lt;="&amp;ReportTo)+SUMIFS('Receipt Vouchers'!$M$5:$M$2005,'Receipt Vouchers'!$R$5:$R$2005,$A123,'Receipt Vouchers'!$A$5:$A$2005,"&gt;="&amp;ReportFrom,'Receipt Vouchers'!$A$5:$A$2005,"&lt;="&amp;ReportTo))</f>
        <v/>
      </c>
      <c r="X123" s="25">
        <f>IF($A123="",0,(SUMIFS('Sales Invoices'!$O$5:$O$2005,'Sales Invoices'!$P$5:$P$2005,$A123,'Sales Invoices'!$B$5:$B$2005,"&lt;"&amp;ReportFrom)+SUMIFS('Sales Invoices'!$N$5:$N$2005,'Sales Invoices'!$R$5:$R$2005,$A123,'Sales Invoices'!$B$5:$B$2005,"&lt;"&amp;ReportFrom))-(SUMIFS('Sales Invoices'!$L$5:$L$2005,'Sales Invoices'!$Q$5:$Q$2005,$A123,'Sales Invoices'!$B$5:$B$2005,"&lt;"&amp;ReportFrom)+SUMIFS('Sales Invoices'!$M$5:$M$2005,'Sales Invoices'!$S$5:$S$2005,$A123,'Sales Invoices'!$B$5:$B$2005,"&lt;"&amp;ReportFrom)))</f>
        <v/>
      </c>
      <c r="Y123" s="25">
        <f>IF($A123="",0,SUMIFS('Sales Invoices'!$O$5:$O$2005,'Sales Invoices'!$P$5:$P$2005,$A123,'Sales Invoices'!$B$5:$B$2005,"&gt;="&amp;ReportFrom,'Sales Invoices'!$B$5:$B$2005,"&lt;="&amp;ReportTo)+SUMIFS('Sales Invoices'!$N$5:$N$2005,'Sales Invoices'!$R$5:$R$2005,$A123,'Sales Invoices'!$B$5:$B$2005,"&gt;="&amp;ReportFrom,'Sales Invoices'!$B$5:$B$2005,"&lt;="&amp;ReportTo))</f>
        <v/>
      </c>
      <c r="Z123" s="25">
        <f>IF($A123="",0,SUMIFS('Sales Invoices'!$L$5:$L$2005,'Sales Invoices'!$Q$5:$Q$2005,$A123,'Sales Invoices'!$B$5:$B$2005,"&gt;="&amp;ReportFrom,'Sales Invoices'!$B$5:$B$2005,"&lt;="&amp;ReportTo)+SUMIFS('Sales Invoices'!$M$5:$M$2005,'Sales Invoices'!$S$5:$S$2005,$A123,'Sales Invoices'!$B$5:$B$2005,"&gt;="&amp;ReportFrom,'Sales Invoices'!$B$5:$B$2005,"&lt;="&amp;ReportTo))</f>
        <v/>
      </c>
      <c r="AA123" s="25">
        <f>IF($A123="",0,(SUMIFS('Payment Vouchers'!$D$5:$D$2005,'Payment Vouchers'!$J$5:$J$2005,$A123,'Payment Vouchers'!$A$5:$A$2005,"&lt;"&amp;ReportFrom))-(SUMIFS('Payment Vouchers'!$D$5:$D$2005,'Payment Vouchers'!$K$5:$K$2005,$A123,'Payment Vouchers'!$A$5:$A$2005,"&lt;"&amp;ReportFrom)))</f>
        <v/>
      </c>
      <c r="AB123" s="25">
        <f>IF($A123="",0,SUMIFS('Payment Vouchers'!$D$5:$D$2005,'Payment Vouchers'!$J$5:$J$2005,$A123,'Payment Vouchers'!$A$5:$A$2005,"&gt;="&amp;ReportFrom,'Payment Vouchers'!$A$5:$A$2005,"&lt;="&amp;ReportTo))</f>
        <v/>
      </c>
      <c r="AC123" s="25">
        <f>IF($A123="",0,SUMIFS('Payment Vouchers'!$D$5:$D$2005,'Payment Vouchers'!$K$5:$K$2005,$A123,'Payment Vouchers'!$A$5:$A$2005,"&gt;="&amp;ReportFrom,'Payment Vouchers'!$A$5:$A$2005,"&lt;="&amp;ReportTo))</f>
        <v/>
      </c>
      <c r="AD123" s="25">
        <f>IF($A123="",0,(SUMIFS('Partner Transactions'!$D$5:$D$2005,'Partner Transactions'!$L$5:$L$2005,$A123,'Partner Transactions'!$A$5:$A$2005,"&lt;"&amp;ReportFrom))-(SUMIFS('Partner Transactions'!$D$5:$D$2005,'Partner Transactions'!$M$5:$M$2005,$A123,'Partner Transactions'!$A$5:$A$2005,"&lt;"&amp;ReportFrom)))</f>
        <v/>
      </c>
      <c r="AE123" s="25">
        <f>IF($A123="",0,SUMIFS('Partner Transactions'!$D$5:$D$2005,'Partner Transactions'!$L$5:$L$2005,$A123,'Partner Transactions'!$A$5:$A$2005,"&gt;="&amp;ReportFrom,'Partner Transactions'!$A$5:$A$2005,"&lt;="&amp;ReportTo))</f>
        <v/>
      </c>
      <c r="AF123" s="25">
        <f>IF($A123="",0,SUMIFS('Partner Transactions'!$D$5:$D$2005,'Partner Transactions'!$M$5:$M$2005,$A123,'Partner Transactions'!$A$5:$A$2005,"&gt;="&amp;ReportFrom,'Partner Transactions'!$A$5:$A$2005,"&lt;="&amp;ReportTo))</f>
        <v/>
      </c>
      <c r="AG123" s="25">
        <f>IF($A123="",0,(SUMIFS('Stock Moves'!$S$5:$S$2005,'Stock Moves'!$AD$5:$AD$2005,$A123,'Stock Moves'!$A$5:$A$2005,"&lt;"&amp;ReportFrom)+SUMIFS('Stock Moves'!$T$5:$T$2005,'Stock Moves'!$V$5:$V$2005,$A123,'Stock Moves'!$A$5:$A$2005,"&lt;"&amp;ReportFrom))-(SUMIFS('Stock Moves'!$AF$5:$AF$2005,'Stock Moves'!$AE$5:$AE$2005,$A123,'Stock Moves'!$A$5:$A$2005,"&lt;"&amp;ReportFrom)+SUMIFS('Stock Moves'!$AC$5:$AC$2005,'Stock Moves'!$X$5:$X$2005,$A123,'Stock Moves'!$A$5:$A$2005,"&lt;"&amp;ReportFrom)+SUMIFS('Stock Moves'!$U$5:$U$2005,'Stock Moves'!$W$5:$W$2005,$A123,'Stock Moves'!$A$5:$A$2005,"&lt;"&amp;ReportFrom)))</f>
        <v/>
      </c>
      <c r="AH123" s="25">
        <f>IF($A123="",0,SUMIFS('Stock Moves'!$S$5:$S$2005,'Stock Moves'!$AD$5:$AD$2005,$A123,'Stock Moves'!$A$5:$A$2005,"&gt;="&amp;ReportFrom,'Stock Moves'!$A$5:$A$2005,"&lt;="&amp;ReportTo)+SUMIFS('Stock Moves'!$T$5:$T$2005,'Stock Moves'!$V$5:$V$2005,$A123,'Stock Moves'!$A$5:$A$2005,"&gt;="&amp;ReportFrom,'Stock Moves'!$A$5:$A$2005,"&lt;="&amp;ReportTo))</f>
        <v/>
      </c>
      <c r="AI123" s="25">
        <f>IF($A123="",0,SUMIFS('Stock Moves'!$AF$5:$AF$2005,'Stock Moves'!$AE$5:$AE$2005,$A123,'Stock Moves'!$A$5:$A$2005,"&gt;="&amp;ReportFrom,'Stock Moves'!$A$5:$A$2005,"&lt;="&amp;ReportTo)+SUMIFS('Stock Moves'!$AC$5:$AC$2005,'Stock Moves'!$X$5:$X$2005,$A123,'Stock Moves'!$A$5:$A$2005,"&gt;="&amp;ReportFrom,'Stock Moves'!$A$5:$A$2005,"&lt;="&amp;ReportTo)+SUMIFS('Stock Moves'!$U$5:$U$2005,'Stock Moves'!$W$5:$W$2005,$A123,'Stock Moves'!$A$5:$A$2005,"&gt;="&amp;ReportFrom,'Stock Moves'!$A$5:$A$2005,"&lt;="&amp;ReportTo))</f>
        <v/>
      </c>
      <c r="AJ123" s="25">
        <f>IF($A123="",0,(SUMIFS('Journal Vouchers'!$I$5:$I$2005,'Journal Vouchers'!$H$5:$H$2005,$A123,'Journal Vouchers'!$B$5:$B$2005,"&lt;"&amp;ReportFrom))-(SUMIFS('Journal Vouchers'!$J$5:$J$2005,'Journal Vouchers'!$H$5:$H$2005,$A123,'Journal Vouchers'!$B$5:$B$2005,"&lt;"&amp;ReportFrom)))</f>
        <v/>
      </c>
      <c r="AK123" s="25">
        <f>IF($A123="",0,SUMIFS('Journal Vouchers'!$I$5:$I$2005,'Journal Vouchers'!$H$5:$H$2005,$A123,'Journal Vouchers'!$B$5:$B$2005,"&gt;="&amp;ReportFrom,'Journal Vouchers'!$B$5:$B$2005,"&lt;="&amp;ReportTo))</f>
        <v/>
      </c>
      <c r="AL123" s="25">
        <f>IF($A123="",0,SUMIFS('Journal Vouchers'!$J$5:$J$2005,'Journal Vouchers'!$H$5:$H$2005,$A123,'Journal Vouchers'!$B$5:$B$2005,"&gt;="&amp;ReportFrom,'Journal Vouchers'!$B$5:$B$2005,"&lt;="&amp;ReportTo))</f>
        <v/>
      </c>
    </row>
    <row r="124">
      <c r="A124" s="25">
        <f>IF('Chart of Accounts'!A124="","",'Chart of Accounts'!A124&amp;"")</f>
        <v/>
      </c>
      <c r="B124" s="25">
        <f>IF(A124="","",'Chart of Accounts'!B124)</f>
        <v/>
      </c>
      <c r="C124" s="25">
        <f>IF(A124="","",'Chart of Accounts'!C124)</f>
        <v/>
      </c>
      <c r="D124" s="25">
        <f>IF(A124="","",'Chart of Accounts'!D124)</f>
        <v/>
      </c>
      <c r="E124" s="26">
        <f>L124+O124+R124+U124+X124+AA124+AD124+AG124+AJ124</f>
        <v/>
      </c>
      <c r="F124" s="26">
        <f>M124+P124+S124+V124+Y124+AB124+AE124+AH124+AK124</f>
        <v/>
      </c>
      <c r="G124" s="26">
        <f>N124+Q124+T124+W124+Z124+AC124+AF124+AI124+AL124</f>
        <v/>
      </c>
      <c r="H124" s="26">
        <f>E124+F124-G124</f>
        <v/>
      </c>
      <c r="I124" s="26">
        <f>MAX(H124,0)</f>
        <v/>
      </c>
      <c r="J124" s="26">
        <f>MAX(-H124,0)</f>
        <v/>
      </c>
      <c r="L124" s="25">
        <f>IF($A124="",0,(SUMIFS('Direct Costs'!$R$5:$R$2005,'Direct Costs'!$V$5:$V$2005,$A124,'Direct Costs'!$A$5:$A$2005,"&lt;"&amp;ReportFrom)+SUMIFS('Direct Costs'!$S$5:$S$2005,'Direct Costs'!$Y$5:$Y$2005,$A124,'Direct Costs'!$A$5:$A$2005,"&lt;"&amp;ReportFrom))-(SUMIFS('Direct Costs'!$L$5:$L$2005,'Direct Costs'!$W$5:$W$2005,$A124,'Direct Costs'!$A$5:$A$2005,"&lt;"&amp;ReportFrom)+SUMIFS('Direct Costs'!$U$5:$U$2005,'Direct Costs'!$X$5:$X$2005,$A124,'Direct Costs'!$A$5:$A$2005,"&lt;"&amp;ReportFrom)+SUMIFS('Direct Costs'!$T$5:$T$2005,'Direct Costs'!$Z$5:$Z$2005,$A124,'Direct Costs'!$A$5:$A$2005,"&lt;"&amp;ReportFrom)))</f>
        <v/>
      </c>
      <c r="M124" s="25">
        <f>IF($A124="",0,SUMIFS('Direct Costs'!$R$5:$R$2005,'Direct Costs'!$V$5:$V$2005,$A124,'Direct Costs'!$A$5:$A$2005,"&gt;="&amp;ReportFrom,'Direct Costs'!$A$5:$A$2005,"&lt;="&amp;ReportTo)+SUMIFS('Direct Costs'!$S$5:$S$2005,'Direct Costs'!$Y$5:$Y$2005,$A124,'Direct Costs'!$A$5:$A$2005,"&gt;="&amp;ReportFrom,'Direct Costs'!$A$5:$A$2005,"&lt;="&amp;ReportTo))</f>
        <v/>
      </c>
      <c r="N124" s="25">
        <f>IF($A124="",0,SUMIFS('Direct Costs'!$L$5:$L$2005,'Direct Costs'!$W$5:$W$2005,$A124,'Direct Costs'!$A$5:$A$2005,"&gt;="&amp;ReportFrom,'Direct Costs'!$A$5:$A$2005,"&lt;="&amp;ReportTo)+SUMIFS('Direct Costs'!$U$5:$U$2005,'Direct Costs'!$X$5:$X$2005,$A124,'Direct Costs'!$A$5:$A$2005,"&gt;="&amp;ReportFrom,'Direct Costs'!$A$5:$A$2005,"&lt;="&amp;ReportTo)+SUMIFS('Direct Costs'!$T$5:$T$2005,'Direct Costs'!$Z$5:$Z$2005,$A124,'Direct Costs'!$A$5:$A$2005,"&gt;="&amp;ReportFrom,'Direct Costs'!$A$5:$A$2005,"&lt;="&amp;ReportTo))</f>
        <v/>
      </c>
      <c r="O124" s="25">
        <f>IF($A124="",0,(SUMIFS('Operating Expenses'!$F$5:$F$2005,'Operating Expenses'!$Q$5:$Q$2005,$A124,'Operating Expenses'!$A$5:$A$2005,"&lt;"&amp;ReportFrom)+SUMIFS('Operating Expenses'!$M$5:$M$2005,'Operating Expenses'!$T$5:$T$2005,$A124,'Operating Expenses'!$A$5:$A$2005,"&lt;"&amp;ReportFrom))-(SUMIFS('Operating Expenses'!$O$5:$O$2005,'Operating Expenses'!$R$5:$R$2005,$A124,'Operating Expenses'!$A$5:$A$2005,"&lt;"&amp;ReportFrom)+SUMIFS('Operating Expenses'!$P$5:$P$2005,'Operating Expenses'!$S$5:$S$2005,$A124,'Operating Expenses'!$A$5:$A$2005,"&lt;"&amp;ReportFrom)+SUMIFS('Operating Expenses'!$N$5:$N$2005,'Operating Expenses'!$U$5:$U$2005,$A124,'Operating Expenses'!$A$5:$A$2005,"&lt;"&amp;ReportFrom)))</f>
        <v/>
      </c>
      <c r="P124" s="25">
        <f>IF($A124="",0,SUMIFS('Operating Expenses'!$F$5:$F$2005,'Operating Expenses'!$Q$5:$Q$2005,$A124,'Operating Expenses'!$A$5:$A$2005,"&gt;="&amp;ReportFrom,'Operating Expenses'!$A$5:$A$2005,"&lt;="&amp;ReportTo)+SUMIFS('Operating Expenses'!$M$5:$M$2005,'Operating Expenses'!$T$5:$T$2005,$A124,'Operating Expenses'!$A$5:$A$2005,"&gt;="&amp;ReportFrom,'Operating Expenses'!$A$5:$A$2005,"&lt;="&amp;ReportTo))</f>
        <v/>
      </c>
      <c r="Q124" s="25">
        <f>IF($A124="",0,SUMIFS('Operating Expenses'!$O$5:$O$2005,'Operating Expenses'!$R$5:$R$2005,$A124,'Operating Expenses'!$A$5:$A$2005,"&gt;="&amp;ReportFrom,'Operating Expenses'!$A$5:$A$2005,"&lt;="&amp;ReportTo)+SUMIFS('Operating Expenses'!$P$5:$P$2005,'Operating Expenses'!$S$5:$S$2005,$A124,'Operating Expenses'!$A$5:$A$2005,"&gt;="&amp;ReportFrom,'Operating Expenses'!$A$5:$A$2005,"&lt;="&amp;ReportTo)+SUMIFS('Operating Expenses'!$N$5:$N$2005,'Operating Expenses'!$U$5:$U$2005,$A124,'Operating Expenses'!$A$5:$A$2005,"&gt;="&amp;ReportFrom,'Operating Expenses'!$A$5:$A$2005,"&lt;="&amp;ReportTo))</f>
        <v/>
      </c>
      <c r="R124" s="25">
        <f>IF($A124="",0,(SUMIFS('Payroll'!$O$5:$O$2005,'Payroll'!$Q$5:$Q$2005,$A124,'Payroll'!$A$5:$A$2005,"&lt;"&amp;ReportFrom))-(SUMIFS('Payroll'!$K$5:$K$2005,'Payroll'!$R$5:$R$2005,$A124,'Payroll'!$A$5:$A$2005,"&lt;"&amp;ReportFrom)+SUMIFS('Payroll'!$P$5:$P$2005,'Payroll'!$S$5:$S$2005,$A124,'Payroll'!$A$5:$A$2005,"&lt;"&amp;ReportFrom)))</f>
        <v/>
      </c>
      <c r="S124" s="25">
        <f>IF($A124="",0,SUMIFS('Payroll'!$O$5:$O$2005,'Payroll'!$Q$5:$Q$2005,$A124,'Payroll'!$A$5:$A$2005,"&gt;="&amp;ReportFrom,'Payroll'!$A$5:$A$2005,"&lt;="&amp;ReportTo))</f>
        <v/>
      </c>
      <c r="T124" s="25">
        <f>IF($A124="",0,SUMIFS('Payroll'!$K$5:$K$2005,'Payroll'!$R$5:$R$2005,$A124,'Payroll'!$A$5:$A$2005,"&gt;="&amp;ReportFrom,'Payroll'!$A$5:$A$2005,"&lt;="&amp;ReportTo)+SUMIFS('Payroll'!$P$5:$P$2005,'Payroll'!$S$5:$S$2005,$A124,'Payroll'!$A$5:$A$2005,"&gt;="&amp;ReportFrom,'Payroll'!$A$5:$A$2005,"&lt;="&amp;ReportTo))</f>
        <v/>
      </c>
      <c r="U124" s="25">
        <f>IF($A124="",0,(SUMIFS('Receipt Vouchers'!$F$5:$F$2005,'Receipt Vouchers'!$O$5:$O$2005,$A124,'Receipt Vouchers'!$A$5:$A$2005,"&lt;"&amp;ReportFrom)+SUMIFS('Receipt Vouchers'!$J$5:$J$2005,'Receipt Vouchers'!$Q$5:$Q$2005,$A124,'Receipt Vouchers'!$A$5:$A$2005,"&lt;"&amp;ReportFrom))-(SUMIFS('Receipt Vouchers'!$N$5:$N$2005,'Receipt Vouchers'!$P$5:$P$2005,$A124,'Receipt Vouchers'!$A$5:$A$2005,"&lt;"&amp;ReportFrom)+SUMIFS('Receipt Vouchers'!$M$5:$M$2005,'Receipt Vouchers'!$R$5:$R$2005,$A124,'Receipt Vouchers'!$A$5:$A$2005,"&lt;"&amp;ReportFrom)))</f>
        <v/>
      </c>
      <c r="V124" s="25">
        <f>IF($A124="",0,SUMIFS('Receipt Vouchers'!$F$5:$F$2005,'Receipt Vouchers'!$O$5:$O$2005,$A124,'Receipt Vouchers'!$A$5:$A$2005,"&gt;="&amp;ReportFrom,'Receipt Vouchers'!$A$5:$A$2005,"&lt;="&amp;ReportTo)+SUMIFS('Receipt Vouchers'!$J$5:$J$2005,'Receipt Vouchers'!$Q$5:$Q$2005,$A124,'Receipt Vouchers'!$A$5:$A$2005,"&gt;="&amp;ReportFrom,'Receipt Vouchers'!$A$5:$A$2005,"&lt;="&amp;ReportTo))</f>
        <v/>
      </c>
      <c r="W124" s="25">
        <f>IF($A124="",0,SUMIFS('Receipt Vouchers'!$N$5:$N$2005,'Receipt Vouchers'!$P$5:$P$2005,$A124,'Receipt Vouchers'!$A$5:$A$2005,"&gt;="&amp;ReportFrom,'Receipt Vouchers'!$A$5:$A$2005,"&lt;="&amp;ReportTo)+SUMIFS('Receipt Vouchers'!$M$5:$M$2005,'Receipt Vouchers'!$R$5:$R$2005,$A124,'Receipt Vouchers'!$A$5:$A$2005,"&gt;="&amp;ReportFrom,'Receipt Vouchers'!$A$5:$A$2005,"&lt;="&amp;ReportTo))</f>
        <v/>
      </c>
      <c r="X124" s="25">
        <f>IF($A124="",0,(SUMIFS('Sales Invoices'!$O$5:$O$2005,'Sales Invoices'!$P$5:$P$2005,$A124,'Sales Invoices'!$B$5:$B$2005,"&lt;"&amp;ReportFrom)+SUMIFS('Sales Invoices'!$N$5:$N$2005,'Sales Invoices'!$R$5:$R$2005,$A124,'Sales Invoices'!$B$5:$B$2005,"&lt;"&amp;ReportFrom))-(SUMIFS('Sales Invoices'!$L$5:$L$2005,'Sales Invoices'!$Q$5:$Q$2005,$A124,'Sales Invoices'!$B$5:$B$2005,"&lt;"&amp;ReportFrom)+SUMIFS('Sales Invoices'!$M$5:$M$2005,'Sales Invoices'!$S$5:$S$2005,$A124,'Sales Invoices'!$B$5:$B$2005,"&lt;"&amp;ReportFrom)))</f>
        <v/>
      </c>
      <c r="Y124" s="25">
        <f>IF($A124="",0,SUMIFS('Sales Invoices'!$O$5:$O$2005,'Sales Invoices'!$P$5:$P$2005,$A124,'Sales Invoices'!$B$5:$B$2005,"&gt;="&amp;ReportFrom,'Sales Invoices'!$B$5:$B$2005,"&lt;="&amp;ReportTo)+SUMIFS('Sales Invoices'!$N$5:$N$2005,'Sales Invoices'!$R$5:$R$2005,$A124,'Sales Invoices'!$B$5:$B$2005,"&gt;="&amp;ReportFrom,'Sales Invoices'!$B$5:$B$2005,"&lt;="&amp;ReportTo))</f>
        <v/>
      </c>
      <c r="Z124" s="25">
        <f>IF($A124="",0,SUMIFS('Sales Invoices'!$L$5:$L$2005,'Sales Invoices'!$Q$5:$Q$2005,$A124,'Sales Invoices'!$B$5:$B$2005,"&gt;="&amp;ReportFrom,'Sales Invoices'!$B$5:$B$2005,"&lt;="&amp;ReportTo)+SUMIFS('Sales Invoices'!$M$5:$M$2005,'Sales Invoices'!$S$5:$S$2005,$A124,'Sales Invoices'!$B$5:$B$2005,"&gt;="&amp;ReportFrom,'Sales Invoices'!$B$5:$B$2005,"&lt;="&amp;ReportTo))</f>
        <v/>
      </c>
      <c r="AA124" s="25">
        <f>IF($A124="",0,(SUMIFS('Payment Vouchers'!$D$5:$D$2005,'Payment Vouchers'!$J$5:$J$2005,$A124,'Payment Vouchers'!$A$5:$A$2005,"&lt;"&amp;ReportFrom))-(SUMIFS('Payment Vouchers'!$D$5:$D$2005,'Payment Vouchers'!$K$5:$K$2005,$A124,'Payment Vouchers'!$A$5:$A$2005,"&lt;"&amp;ReportFrom)))</f>
        <v/>
      </c>
      <c r="AB124" s="25">
        <f>IF($A124="",0,SUMIFS('Payment Vouchers'!$D$5:$D$2005,'Payment Vouchers'!$J$5:$J$2005,$A124,'Payment Vouchers'!$A$5:$A$2005,"&gt;="&amp;ReportFrom,'Payment Vouchers'!$A$5:$A$2005,"&lt;="&amp;ReportTo))</f>
        <v/>
      </c>
      <c r="AC124" s="25">
        <f>IF($A124="",0,SUMIFS('Payment Vouchers'!$D$5:$D$2005,'Payment Vouchers'!$K$5:$K$2005,$A124,'Payment Vouchers'!$A$5:$A$2005,"&gt;="&amp;ReportFrom,'Payment Vouchers'!$A$5:$A$2005,"&lt;="&amp;ReportTo))</f>
        <v/>
      </c>
      <c r="AD124" s="25">
        <f>IF($A124="",0,(SUMIFS('Partner Transactions'!$D$5:$D$2005,'Partner Transactions'!$L$5:$L$2005,$A124,'Partner Transactions'!$A$5:$A$2005,"&lt;"&amp;ReportFrom))-(SUMIFS('Partner Transactions'!$D$5:$D$2005,'Partner Transactions'!$M$5:$M$2005,$A124,'Partner Transactions'!$A$5:$A$2005,"&lt;"&amp;ReportFrom)))</f>
        <v/>
      </c>
      <c r="AE124" s="25">
        <f>IF($A124="",0,SUMIFS('Partner Transactions'!$D$5:$D$2005,'Partner Transactions'!$L$5:$L$2005,$A124,'Partner Transactions'!$A$5:$A$2005,"&gt;="&amp;ReportFrom,'Partner Transactions'!$A$5:$A$2005,"&lt;="&amp;ReportTo))</f>
        <v/>
      </c>
      <c r="AF124" s="25">
        <f>IF($A124="",0,SUMIFS('Partner Transactions'!$D$5:$D$2005,'Partner Transactions'!$M$5:$M$2005,$A124,'Partner Transactions'!$A$5:$A$2005,"&gt;="&amp;ReportFrom,'Partner Transactions'!$A$5:$A$2005,"&lt;="&amp;ReportTo))</f>
        <v/>
      </c>
      <c r="AG124" s="25">
        <f>IF($A124="",0,(SUMIFS('Stock Moves'!$S$5:$S$2005,'Stock Moves'!$AD$5:$AD$2005,$A124,'Stock Moves'!$A$5:$A$2005,"&lt;"&amp;ReportFrom)+SUMIFS('Stock Moves'!$T$5:$T$2005,'Stock Moves'!$V$5:$V$2005,$A124,'Stock Moves'!$A$5:$A$2005,"&lt;"&amp;ReportFrom))-(SUMIFS('Stock Moves'!$AF$5:$AF$2005,'Stock Moves'!$AE$5:$AE$2005,$A124,'Stock Moves'!$A$5:$A$2005,"&lt;"&amp;ReportFrom)+SUMIFS('Stock Moves'!$AC$5:$AC$2005,'Stock Moves'!$X$5:$X$2005,$A124,'Stock Moves'!$A$5:$A$2005,"&lt;"&amp;ReportFrom)+SUMIFS('Stock Moves'!$U$5:$U$2005,'Stock Moves'!$W$5:$W$2005,$A124,'Stock Moves'!$A$5:$A$2005,"&lt;"&amp;ReportFrom)))</f>
        <v/>
      </c>
      <c r="AH124" s="25">
        <f>IF($A124="",0,SUMIFS('Stock Moves'!$S$5:$S$2005,'Stock Moves'!$AD$5:$AD$2005,$A124,'Stock Moves'!$A$5:$A$2005,"&gt;="&amp;ReportFrom,'Stock Moves'!$A$5:$A$2005,"&lt;="&amp;ReportTo)+SUMIFS('Stock Moves'!$T$5:$T$2005,'Stock Moves'!$V$5:$V$2005,$A124,'Stock Moves'!$A$5:$A$2005,"&gt;="&amp;ReportFrom,'Stock Moves'!$A$5:$A$2005,"&lt;="&amp;ReportTo))</f>
        <v/>
      </c>
      <c r="AI124" s="25">
        <f>IF($A124="",0,SUMIFS('Stock Moves'!$AF$5:$AF$2005,'Stock Moves'!$AE$5:$AE$2005,$A124,'Stock Moves'!$A$5:$A$2005,"&gt;="&amp;ReportFrom,'Stock Moves'!$A$5:$A$2005,"&lt;="&amp;ReportTo)+SUMIFS('Stock Moves'!$AC$5:$AC$2005,'Stock Moves'!$X$5:$X$2005,$A124,'Stock Moves'!$A$5:$A$2005,"&gt;="&amp;ReportFrom,'Stock Moves'!$A$5:$A$2005,"&lt;="&amp;ReportTo)+SUMIFS('Stock Moves'!$U$5:$U$2005,'Stock Moves'!$W$5:$W$2005,$A124,'Stock Moves'!$A$5:$A$2005,"&gt;="&amp;ReportFrom,'Stock Moves'!$A$5:$A$2005,"&lt;="&amp;ReportTo))</f>
        <v/>
      </c>
      <c r="AJ124" s="25">
        <f>IF($A124="",0,(SUMIFS('Journal Vouchers'!$I$5:$I$2005,'Journal Vouchers'!$H$5:$H$2005,$A124,'Journal Vouchers'!$B$5:$B$2005,"&lt;"&amp;ReportFrom))-(SUMIFS('Journal Vouchers'!$J$5:$J$2005,'Journal Vouchers'!$H$5:$H$2005,$A124,'Journal Vouchers'!$B$5:$B$2005,"&lt;"&amp;ReportFrom)))</f>
        <v/>
      </c>
      <c r="AK124" s="25">
        <f>IF($A124="",0,SUMIFS('Journal Vouchers'!$I$5:$I$2005,'Journal Vouchers'!$H$5:$H$2005,$A124,'Journal Vouchers'!$B$5:$B$2005,"&gt;="&amp;ReportFrom,'Journal Vouchers'!$B$5:$B$2005,"&lt;="&amp;ReportTo))</f>
        <v/>
      </c>
      <c r="AL124" s="25">
        <f>IF($A124="",0,SUMIFS('Journal Vouchers'!$J$5:$J$2005,'Journal Vouchers'!$H$5:$H$2005,$A124,'Journal Vouchers'!$B$5:$B$2005,"&gt;="&amp;ReportFrom,'Journal Vouchers'!$B$5:$B$2005,"&lt;="&amp;ReportTo))</f>
        <v/>
      </c>
    </row>
    <row r="125">
      <c r="A125" s="25">
        <f>IF('Chart of Accounts'!A125="","",'Chart of Accounts'!A125&amp;"")</f>
        <v/>
      </c>
      <c r="B125" s="25">
        <f>IF(A125="","",'Chart of Accounts'!B125)</f>
        <v/>
      </c>
      <c r="C125" s="25">
        <f>IF(A125="","",'Chart of Accounts'!C125)</f>
        <v/>
      </c>
      <c r="D125" s="25">
        <f>IF(A125="","",'Chart of Accounts'!D125)</f>
        <v/>
      </c>
      <c r="E125" s="26">
        <f>L125+O125+R125+U125+X125+AA125+AD125+AG125+AJ125</f>
        <v/>
      </c>
      <c r="F125" s="26">
        <f>M125+P125+S125+V125+Y125+AB125+AE125+AH125+AK125</f>
        <v/>
      </c>
      <c r="G125" s="26">
        <f>N125+Q125+T125+W125+Z125+AC125+AF125+AI125+AL125</f>
        <v/>
      </c>
      <c r="H125" s="26">
        <f>E125+F125-G125</f>
        <v/>
      </c>
      <c r="I125" s="26">
        <f>MAX(H125,0)</f>
        <v/>
      </c>
      <c r="J125" s="26">
        <f>MAX(-H125,0)</f>
        <v/>
      </c>
      <c r="L125" s="25">
        <f>IF($A125="",0,(SUMIFS('Direct Costs'!$R$5:$R$2005,'Direct Costs'!$V$5:$V$2005,$A125,'Direct Costs'!$A$5:$A$2005,"&lt;"&amp;ReportFrom)+SUMIFS('Direct Costs'!$S$5:$S$2005,'Direct Costs'!$Y$5:$Y$2005,$A125,'Direct Costs'!$A$5:$A$2005,"&lt;"&amp;ReportFrom))-(SUMIFS('Direct Costs'!$L$5:$L$2005,'Direct Costs'!$W$5:$W$2005,$A125,'Direct Costs'!$A$5:$A$2005,"&lt;"&amp;ReportFrom)+SUMIFS('Direct Costs'!$U$5:$U$2005,'Direct Costs'!$X$5:$X$2005,$A125,'Direct Costs'!$A$5:$A$2005,"&lt;"&amp;ReportFrom)+SUMIFS('Direct Costs'!$T$5:$T$2005,'Direct Costs'!$Z$5:$Z$2005,$A125,'Direct Costs'!$A$5:$A$2005,"&lt;"&amp;ReportFrom)))</f>
        <v/>
      </c>
      <c r="M125" s="25">
        <f>IF($A125="",0,SUMIFS('Direct Costs'!$R$5:$R$2005,'Direct Costs'!$V$5:$V$2005,$A125,'Direct Costs'!$A$5:$A$2005,"&gt;="&amp;ReportFrom,'Direct Costs'!$A$5:$A$2005,"&lt;="&amp;ReportTo)+SUMIFS('Direct Costs'!$S$5:$S$2005,'Direct Costs'!$Y$5:$Y$2005,$A125,'Direct Costs'!$A$5:$A$2005,"&gt;="&amp;ReportFrom,'Direct Costs'!$A$5:$A$2005,"&lt;="&amp;ReportTo))</f>
        <v/>
      </c>
      <c r="N125" s="25">
        <f>IF($A125="",0,SUMIFS('Direct Costs'!$L$5:$L$2005,'Direct Costs'!$W$5:$W$2005,$A125,'Direct Costs'!$A$5:$A$2005,"&gt;="&amp;ReportFrom,'Direct Costs'!$A$5:$A$2005,"&lt;="&amp;ReportTo)+SUMIFS('Direct Costs'!$U$5:$U$2005,'Direct Costs'!$X$5:$X$2005,$A125,'Direct Costs'!$A$5:$A$2005,"&gt;="&amp;ReportFrom,'Direct Costs'!$A$5:$A$2005,"&lt;="&amp;ReportTo)+SUMIFS('Direct Costs'!$T$5:$T$2005,'Direct Costs'!$Z$5:$Z$2005,$A125,'Direct Costs'!$A$5:$A$2005,"&gt;="&amp;ReportFrom,'Direct Costs'!$A$5:$A$2005,"&lt;="&amp;ReportTo))</f>
        <v/>
      </c>
      <c r="O125" s="25">
        <f>IF($A125="",0,(SUMIFS('Operating Expenses'!$F$5:$F$2005,'Operating Expenses'!$Q$5:$Q$2005,$A125,'Operating Expenses'!$A$5:$A$2005,"&lt;"&amp;ReportFrom)+SUMIFS('Operating Expenses'!$M$5:$M$2005,'Operating Expenses'!$T$5:$T$2005,$A125,'Operating Expenses'!$A$5:$A$2005,"&lt;"&amp;ReportFrom))-(SUMIFS('Operating Expenses'!$O$5:$O$2005,'Operating Expenses'!$R$5:$R$2005,$A125,'Operating Expenses'!$A$5:$A$2005,"&lt;"&amp;ReportFrom)+SUMIFS('Operating Expenses'!$P$5:$P$2005,'Operating Expenses'!$S$5:$S$2005,$A125,'Operating Expenses'!$A$5:$A$2005,"&lt;"&amp;ReportFrom)+SUMIFS('Operating Expenses'!$N$5:$N$2005,'Operating Expenses'!$U$5:$U$2005,$A125,'Operating Expenses'!$A$5:$A$2005,"&lt;"&amp;ReportFrom)))</f>
        <v/>
      </c>
      <c r="P125" s="25">
        <f>IF($A125="",0,SUMIFS('Operating Expenses'!$F$5:$F$2005,'Operating Expenses'!$Q$5:$Q$2005,$A125,'Operating Expenses'!$A$5:$A$2005,"&gt;="&amp;ReportFrom,'Operating Expenses'!$A$5:$A$2005,"&lt;="&amp;ReportTo)+SUMIFS('Operating Expenses'!$M$5:$M$2005,'Operating Expenses'!$T$5:$T$2005,$A125,'Operating Expenses'!$A$5:$A$2005,"&gt;="&amp;ReportFrom,'Operating Expenses'!$A$5:$A$2005,"&lt;="&amp;ReportTo))</f>
        <v/>
      </c>
      <c r="Q125" s="25">
        <f>IF($A125="",0,SUMIFS('Operating Expenses'!$O$5:$O$2005,'Operating Expenses'!$R$5:$R$2005,$A125,'Operating Expenses'!$A$5:$A$2005,"&gt;="&amp;ReportFrom,'Operating Expenses'!$A$5:$A$2005,"&lt;="&amp;ReportTo)+SUMIFS('Operating Expenses'!$P$5:$P$2005,'Operating Expenses'!$S$5:$S$2005,$A125,'Operating Expenses'!$A$5:$A$2005,"&gt;="&amp;ReportFrom,'Operating Expenses'!$A$5:$A$2005,"&lt;="&amp;ReportTo)+SUMIFS('Operating Expenses'!$N$5:$N$2005,'Operating Expenses'!$U$5:$U$2005,$A125,'Operating Expenses'!$A$5:$A$2005,"&gt;="&amp;ReportFrom,'Operating Expenses'!$A$5:$A$2005,"&lt;="&amp;ReportTo))</f>
        <v/>
      </c>
      <c r="R125" s="25">
        <f>IF($A125="",0,(SUMIFS('Payroll'!$O$5:$O$2005,'Payroll'!$Q$5:$Q$2005,$A125,'Payroll'!$A$5:$A$2005,"&lt;"&amp;ReportFrom))-(SUMIFS('Payroll'!$K$5:$K$2005,'Payroll'!$R$5:$R$2005,$A125,'Payroll'!$A$5:$A$2005,"&lt;"&amp;ReportFrom)+SUMIFS('Payroll'!$P$5:$P$2005,'Payroll'!$S$5:$S$2005,$A125,'Payroll'!$A$5:$A$2005,"&lt;"&amp;ReportFrom)))</f>
        <v/>
      </c>
      <c r="S125" s="25">
        <f>IF($A125="",0,SUMIFS('Payroll'!$O$5:$O$2005,'Payroll'!$Q$5:$Q$2005,$A125,'Payroll'!$A$5:$A$2005,"&gt;="&amp;ReportFrom,'Payroll'!$A$5:$A$2005,"&lt;="&amp;ReportTo))</f>
        <v/>
      </c>
      <c r="T125" s="25">
        <f>IF($A125="",0,SUMIFS('Payroll'!$K$5:$K$2005,'Payroll'!$R$5:$R$2005,$A125,'Payroll'!$A$5:$A$2005,"&gt;="&amp;ReportFrom,'Payroll'!$A$5:$A$2005,"&lt;="&amp;ReportTo)+SUMIFS('Payroll'!$P$5:$P$2005,'Payroll'!$S$5:$S$2005,$A125,'Payroll'!$A$5:$A$2005,"&gt;="&amp;ReportFrom,'Payroll'!$A$5:$A$2005,"&lt;="&amp;ReportTo))</f>
        <v/>
      </c>
      <c r="U125" s="25">
        <f>IF($A125="",0,(SUMIFS('Receipt Vouchers'!$F$5:$F$2005,'Receipt Vouchers'!$O$5:$O$2005,$A125,'Receipt Vouchers'!$A$5:$A$2005,"&lt;"&amp;ReportFrom)+SUMIFS('Receipt Vouchers'!$J$5:$J$2005,'Receipt Vouchers'!$Q$5:$Q$2005,$A125,'Receipt Vouchers'!$A$5:$A$2005,"&lt;"&amp;ReportFrom))-(SUMIFS('Receipt Vouchers'!$N$5:$N$2005,'Receipt Vouchers'!$P$5:$P$2005,$A125,'Receipt Vouchers'!$A$5:$A$2005,"&lt;"&amp;ReportFrom)+SUMIFS('Receipt Vouchers'!$M$5:$M$2005,'Receipt Vouchers'!$R$5:$R$2005,$A125,'Receipt Vouchers'!$A$5:$A$2005,"&lt;"&amp;ReportFrom)))</f>
        <v/>
      </c>
      <c r="V125" s="25">
        <f>IF($A125="",0,SUMIFS('Receipt Vouchers'!$F$5:$F$2005,'Receipt Vouchers'!$O$5:$O$2005,$A125,'Receipt Vouchers'!$A$5:$A$2005,"&gt;="&amp;ReportFrom,'Receipt Vouchers'!$A$5:$A$2005,"&lt;="&amp;ReportTo)+SUMIFS('Receipt Vouchers'!$J$5:$J$2005,'Receipt Vouchers'!$Q$5:$Q$2005,$A125,'Receipt Vouchers'!$A$5:$A$2005,"&gt;="&amp;ReportFrom,'Receipt Vouchers'!$A$5:$A$2005,"&lt;="&amp;ReportTo))</f>
        <v/>
      </c>
      <c r="W125" s="25">
        <f>IF($A125="",0,SUMIFS('Receipt Vouchers'!$N$5:$N$2005,'Receipt Vouchers'!$P$5:$P$2005,$A125,'Receipt Vouchers'!$A$5:$A$2005,"&gt;="&amp;ReportFrom,'Receipt Vouchers'!$A$5:$A$2005,"&lt;="&amp;ReportTo)+SUMIFS('Receipt Vouchers'!$M$5:$M$2005,'Receipt Vouchers'!$R$5:$R$2005,$A125,'Receipt Vouchers'!$A$5:$A$2005,"&gt;="&amp;ReportFrom,'Receipt Vouchers'!$A$5:$A$2005,"&lt;="&amp;ReportTo))</f>
        <v/>
      </c>
      <c r="X125" s="25">
        <f>IF($A125="",0,(SUMIFS('Sales Invoices'!$O$5:$O$2005,'Sales Invoices'!$P$5:$P$2005,$A125,'Sales Invoices'!$B$5:$B$2005,"&lt;"&amp;ReportFrom)+SUMIFS('Sales Invoices'!$N$5:$N$2005,'Sales Invoices'!$R$5:$R$2005,$A125,'Sales Invoices'!$B$5:$B$2005,"&lt;"&amp;ReportFrom))-(SUMIFS('Sales Invoices'!$L$5:$L$2005,'Sales Invoices'!$Q$5:$Q$2005,$A125,'Sales Invoices'!$B$5:$B$2005,"&lt;"&amp;ReportFrom)+SUMIFS('Sales Invoices'!$M$5:$M$2005,'Sales Invoices'!$S$5:$S$2005,$A125,'Sales Invoices'!$B$5:$B$2005,"&lt;"&amp;ReportFrom)))</f>
        <v/>
      </c>
      <c r="Y125" s="25">
        <f>IF($A125="",0,SUMIFS('Sales Invoices'!$O$5:$O$2005,'Sales Invoices'!$P$5:$P$2005,$A125,'Sales Invoices'!$B$5:$B$2005,"&gt;="&amp;ReportFrom,'Sales Invoices'!$B$5:$B$2005,"&lt;="&amp;ReportTo)+SUMIFS('Sales Invoices'!$N$5:$N$2005,'Sales Invoices'!$R$5:$R$2005,$A125,'Sales Invoices'!$B$5:$B$2005,"&gt;="&amp;ReportFrom,'Sales Invoices'!$B$5:$B$2005,"&lt;="&amp;ReportTo))</f>
        <v/>
      </c>
      <c r="Z125" s="25">
        <f>IF($A125="",0,SUMIFS('Sales Invoices'!$L$5:$L$2005,'Sales Invoices'!$Q$5:$Q$2005,$A125,'Sales Invoices'!$B$5:$B$2005,"&gt;="&amp;ReportFrom,'Sales Invoices'!$B$5:$B$2005,"&lt;="&amp;ReportTo)+SUMIFS('Sales Invoices'!$M$5:$M$2005,'Sales Invoices'!$S$5:$S$2005,$A125,'Sales Invoices'!$B$5:$B$2005,"&gt;="&amp;ReportFrom,'Sales Invoices'!$B$5:$B$2005,"&lt;="&amp;ReportTo))</f>
        <v/>
      </c>
      <c r="AA125" s="25">
        <f>IF($A125="",0,(SUMIFS('Payment Vouchers'!$D$5:$D$2005,'Payment Vouchers'!$J$5:$J$2005,$A125,'Payment Vouchers'!$A$5:$A$2005,"&lt;"&amp;ReportFrom))-(SUMIFS('Payment Vouchers'!$D$5:$D$2005,'Payment Vouchers'!$K$5:$K$2005,$A125,'Payment Vouchers'!$A$5:$A$2005,"&lt;"&amp;ReportFrom)))</f>
        <v/>
      </c>
      <c r="AB125" s="25">
        <f>IF($A125="",0,SUMIFS('Payment Vouchers'!$D$5:$D$2005,'Payment Vouchers'!$J$5:$J$2005,$A125,'Payment Vouchers'!$A$5:$A$2005,"&gt;="&amp;ReportFrom,'Payment Vouchers'!$A$5:$A$2005,"&lt;="&amp;ReportTo))</f>
        <v/>
      </c>
      <c r="AC125" s="25">
        <f>IF($A125="",0,SUMIFS('Payment Vouchers'!$D$5:$D$2005,'Payment Vouchers'!$K$5:$K$2005,$A125,'Payment Vouchers'!$A$5:$A$2005,"&gt;="&amp;ReportFrom,'Payment Vouchers'!$A$5:$A$2005,"&lt;="&amp;ReportTo))</f>
        <v/>
      </c>
      <c r="AD125" s="25">
        <f>IF($A125="",0,(SUMIFS('Partner Transactions'!$D$5:$D$2005,'Partner Transactions'!$L$5:$L$2005,$A125,'Partner Transactions'!$A$5:$A$2005,"&lt;"&amp;ReportFrom))-(SUMIFS('Partner Transactions'!$D$5:$D$2005,'Partner Transactions'!$M$5:$M$2005,$A125,'Partner Transactions'!$A$5:$A$2005,"&lt;"&amp;ReportFrom)))</f>
        <v/>
      </c>
      <c r="AE125" s="25">
        <f>IF($A125="",0,SUMIFS('Partner Transactions'!$D$5:$D$2005,'Partner Transactions'!$L$5:$L$2005,$A125,'Partner Transactions'!$A$5:$A$2005,"&gt;="&amp;ReportFrom,'Partner Transactions'!$A$5:$A$2005,"&lt;="&amp;ReportTo))</f>
        <v/>
      </c>
      <c r="AF125" s="25">
        <f>IF($A125="",0,SUMIFS('Partner Transactions'!$D$5:$D$2005,'Partner Transactions'!$M$5:$M$2005,$A125,'Partner Transactions'!$A$5:$A$2005,"&gt;="&amp;ReportFrom,'Partner Transactions'!$A$5:$A$2005,"&lt;="&amp;ReportTo))</f>
        <v/>
      </c>
      <c r="AG125" s="25">
        <f>IF($A125="",0,(SUMIFS('Stock Moves'!$S$5:$S$2005,'Stock Moves'!$AD$5:$AD$2005,$A125,'Stock Moves'!$A$5:$A$2005,"&lt;"&amp;ReportFrom)+SUMIFS('Stock Moves'!$T$5:$T$2005,'Stock Moves'!$V$5:$V$2005,$A125,'Stock Moves'!$A$5:$A$2005,"&lt;"&amp;ReportFrom))-(SUMIFS('Stock Moves'!$AF$5:$AF$2005,'Stock Moves'!$AE$5:$AE$2005,$A125,'Stock Moves'!$A$5:$A$2005,"&lt;"&amp;ReportFrom)+SUMIFS('Stock Moves'!$AC$5:$AC$2005,'Stock Moves'!$X$5:$X$2005,$A125,'Stock Moves'!$A$5:$A$2005,"&lt;"&amp;ReportFrom)+SUMIFS('Stock Moves'!$U$5:$U$2005,'Stock Moves'!$W$5:$W$2005,$A125,'Stock Moves'!$A$5:$A$2005,"&lt;"&amp;ReportFrom)))</f>
        <v/>
      </c>
      <c r="AH125" s="25">
        <f>IF($A125="",0,SUMIFS('Stock Moves'!$S$5:$S$2005,'Stock Moves'!$AD$5:$AD$2005,$A125,'Stock Moves'!$A$5:$A$2005,"&gt;="&amp;ReportFrom,'Stock Moves'!$A$5:$A$2005,"&lt;="&amp;ReportTo)+SUMIFS('Stock Moves'!$T$5:$T$2005,'Stock Moves'!$V$5:$V$2005,$A125,'Stock Moves'!$A$5:$A$2005,"&gt;="&amp;ReportFrom,'Stock Moves'!$A$5:$A$2005,"&lt;="&amp;ReportTo))</f>
        <v/>
      </c>
      <c r="AI125" s="25">
        <f>IF($A125="",0,SUMIFS('Stock Moves'!$AF$5:$AF$2005,'Stock Moves'!$AE$5:$AE$2005,$A125,'Stock Moves'!$A$5:$A$2005,"&gt;="&amp;ReportFrom,'Stock Moves'!$A$5:$A$2005,"&lt;="&amp;ReportTo)+SUMIFS('Stock Moves'!$AC$5:$AC$2005,'Stock Moves'!$X$5:$X$2005,$A125,'Stock Moves'!$A$5:$A$2005,"&gt;="&amp;ReportFrom,'Stock Moves'!$A$5:$A$2005,"&lt;="&amp;ReportTo)+SUMIFS('Stock Moves'!$U$5:$U$2005,'Stock Moves'!$W$5:$W$2005,$A125,'Stock Moves'!$A$5:$A$2005,"&gt;="&amp;ReportFrom,'Stock Moves'!$A$5:$A$2005,"&lt;="&amp;ReportTo))</f>
        <v/>
      </c>
      <c r="AJ125" s="25">
        <f>IF($A125="",0,(SUMIFS('Journal Vouchers'!$I$5:$I$2005,'Journal Vouchers'!$H$5:$H$2005,$A125,'Journal Vouchers'!$B$5:$B$2005,"&lt;"&amp;ReportFrom))-(SUMIFS('Journal Vouchers'!$J$5:$J$2005,'Journal Vouchers'!$H$5:$H$2005,$A125,'Journal Vouchers'!$B$5:$B$2005,"&lt;"&amp;ReportFrom)))</f>
        <v/>
      </c>
      <c r="AK125" s="25">
        <f>IF($A125="",0,SUMIFS('Journal Vouchers'!$I$5:$I$2005,'Journal Vouchers'!$H$5:$H$2005,$A125,'Journal Vouchers'!$B$5:$B$2005,"&gt;="&amp;ReportFrom,'Journal Vouchers'!$B$5:$B$2005,"&lt;="&amp;ReportTo))</f>
        <v/>
      </c>
      <c r="AL125" s="25">
        <f>IF($A125="",0,SUMIFS('Journal Vouchers'!$J$5:$J$2005,'Journal Vouchers'!$H$5:$H$2005,$A125,'Journal Vouchers'!$B$5:$B$2005,"&gt;="&amp;ReportFrom,'Journal Vouchers'!$B$5:$B$2005,"&lt;="&amp;ReportTo))</f>
        <v/>
      </c>
    </row>
    <row r="126">
      <c r="A126" s="25">
        <f>IF('Chart of Accounts'!A126="","",'Chart of Accounts'!A126&amp;"")</f>
        <v/>
      </c>
      <c r="B126" s="25">
        <f>IF(A126="","",'Chart of Accounts'!B126)</f>
        <v/>
      </c>
      <c r="C126" s="25">
        <f>IF(A126="","",'Chart of Accounts'!C126)</f>
        <v/>
      </c>
      <c r="D126" s="25">
        <f>IF(A126="","",'Chart of Accounts'!D126)</f>
        <v/>
      </c>
      <c r="E126" s="26">
        <f>L126+O126+R126+U126+X126+AA126+AD126+AG126+AJ126</f>
        <v/>
      </c>
      <c r="F126" s="26">
        <f>M126+P126+S126+V126+Y126+AB126+AE126+AH126+AK126</f>
        <v/>
      </c>
      <c r="G126" s="26">
        <f>N126+Q126+T126+W126+Z126+AC126+AF126+AI126+AL126</f>
        <v/>
      </c>
      <c r="H126" s="26">
        <f>E126+F126-G126</f>
        <v/>
      </c>
      <c r="I126" s="26">
        <f>MAX(H126,0)</f>
        <v/>
      </c>
      <c r="J126" s="26">
        <f>MAX(-H126,0)</f>
        <v/>
      </c>
      <c r="L126" s="25">
        <f>IF($A126="",0,(SUMIFS('Direct Costs'!$R$5:$R$2005,'Direct Costs'!$V$5:$V$2005,$A126,'Direct Costs'!$A$5:$A$2005,"&lt;"&amp;ReportFrom)+SUMIFS('Direct Costs'!$S$5:$S$2005,'Direct Costs'!$Y$5:$Y$2005,$A126,'Direct Costs'!$A$5:$A$2005,"&lt;"&amp;ReportFrom))-(SUMIFS('Direct Costs'!$L$5:$L$2005,'Direct Costs'!$W$5:$W$2005,$A126,'Direct Costs'!$A$5:$A$2005,"&lt;"&amp;ReportFrom)+SUMIFS('Direct Costs'!$U$5:$U$2005,'Direct Costs'!$X$5:$X$2005,$A126,'Direct Costs'!$A$5:$A$2005,"&lt;"&amp;ReportFrom)+SUMIFS('Direct Costs'!$T$5:$T$2005,'Direct Costs'!$Z$5:$Z$2005,$A126,'Direct Costs'!$A$5:$A$2005,"&lt;"&amp;ReportFrom)))</f>
        <v/>
      </c>
      <c r="M126" s="25">
        <f>IF($A126="",0,SUMIFS('Direct Costs'!$R$5:$R$2005,'Direct Costs'!$V$5:$V$2005,$A126,'Direct Costs'!$A$5:$A$2005,"&gt;="&amp;ReportFrom,'Direct Costs'!$A$5:$A$2005,"&lt;="&amp;ReportTo)+SUMIFS('Direct Costs'!$S$5:$S$2005,'Direct Costs'!$Y$5:$Y$2005,$A126,'Direct Costs'!$A$5:$A$2005,"&gt;="&amp;ReportFrom,'Direct Costs'!$A$5:$A$2005,"&lt;="&amp;ReportTo))</f>
        <v/>
      </c>
      <c r="N126" s="25">
        <f>IF($A126="",0,SUMIFS('Direct Costs'!$L$5:$L$2005,'Direct Costs'!$W$5:$W$2005,$A126,'Direct Costs'!$A$5:$A$2005,"&gt;="&amp;ReportFrom,'Direct Costs'!$A$5:$A$2005,"&lt;="&amp;ReportTo)+SUMIFS('Direct Costs'!$U$5:$U$2005,'Direct Costs'!$X$5:$X$2005,$A126,'Direct Costs'!$A$5:$A$2005,"&gt;="&amp;ReportFrom,'Direct Costs'!$A$5:$A$2005,"&lt;="&amp;ReportTo)+SUMIFS('Direct Costs'!$T$5:$T$2005,'Direct Costs'!$Z$5:$Z$2005,$A126,'Direct Costs'!$A$5:$A$2005,"&gt;="&amp;ReportFrom,'Direct Costs'!$A$5:$A$2005,"&lt;="&amp;ReportTo))</f>
        <v/>
      </c>
      <c r="O126" s="25">
        <f>IF($A126="",0,(SUMIFS('Operating Expenses'!$F$5:$F$2005,'Operating Expenses'!$Q$5:$Q$2005,$A126,'Operating Expenses'!$A$5:$A$2005,"&lt;"&amp;ReportFrom)+SUMIFS('Operating Expenses'!$M$5:$M$2005,'Operating Expenses'!$T$5:$T$2005,$A126,'Operating Expenses'!$A$5:$A$2005,"&lt;"&amp;ReportFrom))-(SUMIFS('Operating Expenses'!$O$5:$O$2005,'Operating Expenses'!$R$5:$R$2005,$A126,'Operating Expenses'!$A$5:$A$2005,"&lt;"&amp;ReportFrom)+SUMIFS('Operating Expenses'!$P$5:$P$2005,'Operating Expenses'!$S$5:$S$2005,$A126,'Operating Expenses'!$A$5:$A$2005,"&lt;"&amp;ReportFrom)+SUMIFS('Operating Expenses'!$N$5:$N$2005,'Operating Expenses'!$U$5:$U$2005,$A126,'Operating Expenses'!$A$5:$A$2005,"&lt;"&amp;ReportFrom)))</f>
        <v/>
      </c>
      <c r="P126" s="25">
        <f>IF($A126="",0,SUMIFS('Operating Expenses'!$F$5:$F$2005,'Operating Expenses'!$Q$5:$Q$2005,$A126,'Operating Expenses'!$A$5:$A$2005,"&gt;="&amp;ReportFrom,'Operating Expenses'!$A$5:$A$2005,"&lt;="&amp;ReportTo)+SUMIFS('Operating Expenses'!$M$5:$M$2005,'Operating Expenses'!$T$5:$T$2005,$A126,'Operating Expenses'!$A$5:$A$2005,"&gt;="&amp;ReportFrom,'Operating Expenses'!$A$5:$A$2005,"&lt;="&amp;ReportTo))</f>
        <v/>
      </c>
      <c r="Q126" s="25">
        <f>IF($A126="",0,SUMIFS('Operating Expenses'!$O$5:$O$2005,'Operating Expenses'!$R$5:$R$2005,$A126,'Operating Expenses'!$A$5:$A$2005,"&gt;="&amp;ReportFrom,'Operating Expenses'!$A$5:$A$2005,"&lt;="&amp;ReportTo)+SUMIFS('Operating Expenses'!$P$5:$P$2005,'Operating Expenses'!$S$5:$S$2005,$A126,'Operating Expenses'!$A$5:$A$2005,"&gt;="&amp;ReportFrom,'Operating Expenses'!$A$5:$A$2005,"&lt;="&amp;ReportTo)+SUMIFS('Operating Expenses'!$N$5:$N$2005,'Operating Expenses'!$U$5:$U$2005,$A126,'Operating Expenses'!$A$5:$A$2005,"&gt;="&amp;ReportFrom,'Operating Expenses'!$A$5:$A$2005,"&lt;="&amp;ReportTo))</f>
        <v/>
      </c>
      <c r="R126" s="25">
        <f>IF($A126="",0,(SUMIFS('Payroll'!$O$5:$O$2005,'Payroll'!$Q$5:$Q$2005,$A126,'Payroll'!$A$5:$A$2005,"&lt;"&amp;ReportFrom))-(SUMIFS('Payroll'!$K$5:$K$2005,'Payroll'!$R$5:$R$2005,$A126,'Payroll'!$A$5:$A$2005,"&lt;"&amp;ReportFrom)+SUMIFS('Payroll'!$P$5:$P$2005,'Payroll'!$S$5:$S$2005,$A126,'Payroll'!$A$5:$A$2005,"&lt;"&amp;ReportFrom)))</f>
        <v/>
      </c>
      <c r="S126" s="25">
        <f>IF($A126="",0,SUMIFS('Payroll'!$O$5:$O$2005,'Payroll'!$Q$5:$Q$2005,$A126,'Payroll'!$A$5:$A$2005,"&gt;="&amp;ReportFrom,'Payroll'!$A$5:$A$2005,"&lt;="&amp;ReportTo))</f>
        <v/>
      </c>
      <c r="T126" s="25">
        <f>IF($A126="",0,SUMIFS('Payroll'!$K$5:$K$2005,'Payroll'!$R$5:$R$2005,$A126,'Payroll'!$A$5:$A$2005,"&gt;="&amp;ReportFrom,'Payroll'!$A$5:$A$2005,"&lt;="&amp;ReportTo)+SUMIFS('Payroll'!$P$5:$P$2005,'Payroll'!$S$5:$S$2005,$A126,'Payroll'!$A$5:$A$2005,"&gt;="&amp;ReportFrom,'Payroll'!$A$5:$A$2005,"&lt;="&amp;ReportTo))</f>
        <v/>
      </c>
      <c r="U126" s="25">
        <f>IF($A126="",0,(SUMIFS('Receipt Vouchers'!$F$5:$F$2005,'Receipt Vouchers'!$O$5:$O$2005,$A126,'Receipt Vouchers'!$A$5:$A$2005,"&lt;"&amp;ReportFrom)+SUMIFS('Receipt Vouchers'!$J$5:$J$2005,'Receipt Vouchers'!$Q$5:$Q$2005,$A126,'Receipt Vouchers'!$A$5:$A$2005,"&lt;"&amp;ReportFrom))-(SUMIFS('Receipt Vouchers'!$N$5:$N$2005,'Receipt Vouchers'!$P$5:$P$2005,$A126,'Receipt Vouchers'!$A$5:$A$2005,"&lt;"&amp;ReportFrom)+SUMIFS('Receipt Vouchers'!$M$5:$M$2005,'Receipt Vouchers'!$R$5:$R$2005,$A126,'Receipt Vouchers'!$A$5:$A$2005,"&lt;"&amp;ReportFrom)))</f>
        <v/>
      </c>
      <c r="V126" s="25">
        <f>IF($A126="",0,SUMIFS('Receipt Vouchers'!$F$5:$F$2005,'Receipt Vouchers'!$O$5:$O$2005,$A126,'Receipt Vouchers'!$A$5:$A$2005,"&gt;="&amp;ReportFrom,'Receipt Vouchers'!$A$5:$A$2005,"&lt;="&amp;ReportTo)+SUMIFS('Receipt Vouchers'!$J$5:$J$2005,'Receipt Vouchers'!$Q$5:$Q$2005,$A126,'Receipt Vouchers'!$A$5:$A$2005,"&gt;="&amp;ReportFrom,'Receipt Vouchers'!$A$5:$A$2005,"&lt;="&amp;ReportTo))</f>
        <v/>
      </c>
      <c r="W126" s="25">
        <f>IF($A126="",0,SUMIFS('Receipt Vouchers'!$N$5:$N$2005,'Receipt Vouchers'!$P$5:$P$2005,$A126,'Receipt Vouchers'!$A$5:$A$2005,"&gt;="&amp;ReportFrom,'Receipt Vouchers'!$A$5:$A$2005,"&lt;="&amp;ReportTo)+SUMIFS('Receipt Vouchers'!$M$5:$M$2005,'Receipt Vouchers'!$R$5:$R$2005,$A126,'Receipt Vouchers'!$A$5:$A$2005,"&gt;="&amp;ReportFrom,'Receipt Vouchers'!$A$5:$A$2005,"&lt;="&amp;ReportTo))</f>
        <v/>
      </c>
      <c r="X126" s="25">
        <f>IF($A126="",0,(SUMIFS('Sales Invoices'!$O$5:$O$2005,'Sales Invoices'!$P$5:$P$2005,$A126,'Sales Invoices'!$B$5:$B$2005,"&lt;"&amp;ReportFrom)+SUMIFS('Sales Invoices'!$N$5:$N$2005,'Sales Invoices'!$R$5:$R$2005,$A126,'Sales Invoices'!$B$5:$B$2005,"&lt;"&amp;ReportFrom))-(SUMIFS('Sales Invoices'!$L$5:$L$2005,'Sales Invoices'!$Q$5:$Q$2005,$A126,'Sales Invoices'!$B$5:$B$2005,"&lt;"&amp;ReportFrom)+SUMIFS('Sales Invoices'!$M$5:$M$2005,'Sales Invoices'!$S$5:$S$2005,$A126,'Sales Invoices'!$B$5:$B$2005,"&lt;"&amp;ReportFrom)))</f>
        <v/>
      </c>
      <c r="Y126" s="25">
        <f>IF($A126="",0,SUMIFS('Sales Invoices'!$O$5:$O$2005,'Sales Invoices'!$P$5:$P$2005,$A126,'Sales Invoices'!$B$5:$B$2005,"&gt;="&amp;ReportFrom,'Sales Invoices'!$B$5:$B$2005,"&lt;="&amp;ReportTo)+SUMIFS('Sales Invoices'!$N$5:$N$2005,'Sales Invoices'!$R$5:$R$2005,$A126,'Sales Invoices'!$B$5:$B$2005,"&gt;="&amp;ReportFrom,'Sales Invoices'!$B$5:$B$2005,"&lt;="&amp;ReportTo))</f>
        <v/>
      </c>
      <c r="Z126" s="25">
        <f>IF($A126="",0,SUMIFS('Sales Invoices'!$L$5:$L$2005,'Sales Invoices'!$Q$5:$Q$2005,$A126,'Sales Invoices'!$B$5:$B$2005,"&gt;="&amp;ReportFrom,'Sales Invoices'!$B$5:$B$2005,"&lt;="&amp;ReportTo)+SUMIFS('Sales Invoices'!$M$5:$M$2005,'Sales Invoices'!$S$5:$S$2005,$A126,'Sales Invoices'!$B$5:$B$2005,"&gt;="&amp;ReportFrom,'Sales Invoices'!$B$5:$B$2005,"&lt;="&amp;ReportTo))</f>
        <v/>
      </c>
      <c r="AA126" s="25">
        <f>IF($A126="",0,(SUMIFS('Payment Vouchers'!$D$5:$D$2005,'Payment Vouchers'!$J$5:$J$2005,$A126,'Payment Vouchers'!$A$5:$A$2005,"&lt;"&amp;ReportFrom))-(SUMIFS('Payment Vouchers'!$D$5:$D$2005,'Payment Vouchers'!$K$5:$K$2005,$A126,'Payment Vouchers'!$A$5:$A$2005,"&lt;"&amp;ReportFrom)))</f>
        <v/>
      </c>
      <c r="AB126" s="25">
        <f>IF($A126="",0,SUMIFS('Payment Vouchers'!$D$5:$D$2005,'Payment Vouchers'!$J$5:$J$2005,$A126,'Payment Vouchers'!$A$5:$A$2005,"&gt;="&amp;ReportFrom,'Payment Vouchers'!$A$5:$A$2005,"&lt;="&amp;ReportTo))</f>
        <v/>
      </c>
      <c r="AC126" s="25">
        <f>IF($A126="",0,SUMIFS('Payment Vouchers'!$D$5:$D$2005,'Payment Vouchers'!$K$5:$K$2005,$A126,'Payment Vouchers'!$A$5:$A$2005,"&gt;="&amp;ReportFrom,'Payment Vouchers'!$A$5:$A$2005,"&lt;="&amp;ReportTo))</f>
        <v/>
      </c>
      <c r="AD126" s="25">
        <f>IF($A126="",0,(SUMIFS('Partner Transactions'!$D$5:$D$2005,'Partner Transactions'!$L$5:$L$2005,$A126,'Partner Transactions'!$A$5:$A$2005,"&lt;"&amp;ReportFrom))-(SUMIFS('Partner Transactions'!$D$5:$D$2005,'Partner Transactions'!$M$5:$M$2005,$A126,'Partner Transactions'!$A$5:$A$2005,"&lt;"&amp;ReportFrom)))</f>
        <v/>
      </c>
      <c r="AE126" s="25">
        <f>IF($A126="",0,SUMIFS('Partner Transactions'!$D$5:$D$2005,'Partner Transactions'!$L$5:$L$2005,$A126,'Partner Transactions'!$A$5:$A$2005,"&gt;="&amp;ReportFrom,'Partner Transactions'!$A$5:$A$2005,"&lt;="&amp;ReportTo))</f>
        <v/>
      </c>
      <c r="AF126" s="25">
        <f>IF($A126="",0,SUMIFS('Partner Transactions'!$D$5:$D$2005,'Partner Transactions'!$M$5:$M$2005,$A126,'Partner Transactions'!$A$5:$A$2005,"&gt;="&amp;ReportFrom,'Partner Transactions'!$A$5:$A$2005,"&lt;="&amp;ReportTo))</f>
        <v/>
      </c>
      <c r="AG126" s="25">
        <f>IF($A126="",0,(SUMIFS('Stock Moves'!$S$5:$S$2005,'Stock Moves'!$AD$5:$AD$2005,$A126,'Stock Moves'!$A$5:$A$2005,"&lt;"&amp;ReportFrom)+SUMIFS('Stock Moves'!$T$5:$T$2005,'Stock Moves'!$V$5:$V$2005,$A126,'Stock Moves'!$A$5:$A$2005,"&lt;"&amp;ReportFrom))-(SUMIFS('Stock Moves'!$AF$5:$AF$2005,'Stock Moves'!$AE$5:$AE$2005,$A126,'Stock Moves'!$A$5:$A$2005,"&lt;"&amp;ReportFrom)+SUMIFS('Stock Moves'!$AC$5:$AC$2005,'Stock Moves'!$X$5:$X$2005,$A126,'Stock Moves'!$A$5:$A$2005,"&lt;"&amp;ReportFrom)+SUMIFS('Stock Moves'!$U$5:$U$2005,'Stock Moves'!$W$5:$W$2005,$A126,'Stock Moves'!$A$5:$A$2005,"&lt;"&amp;ReportFrom)))</f>
        <v/>
      </c>
      <c r="AH126" s="25">
        <f>IF($A126="",0,SUMIFS('Stock Moves'!$S$5:$S$2005,'Stock Moves'!$AD$5:$AD$2005,$A126,'Stock Moves'!$A$5:$A$2005,"&gt;="&amp;ReportFrom,'Stock Moves'!$A$5:$A$2005,"&lt;="&amp;ReportTo)+SUMIFS('Stock Moves'!$T$5:$T$2005,'Stock Moves'!$V$5:$V$2005,$A126,'Stock Moves'!$A$5:$A$2005,"&gt;="&amp;ReportFrom,'Stock Moves'!$A$5:$A$2005,"&lt;="&amp;ReportTo))</f>
        <v/>
      </c>
      <c r="AI126" s="25">
        <f>IF($A126="",0,SUMIFS('Stock Moves'!$AF$5:$AF$2005,'Stock Moves'!$AE$5:$AE$2005,$A126,'Stock Moves'!$A$5:$A$2005,"&gt;="&amp;ReportFrom,'Stock Moves'!$A$5:$A$2005,"&lt;="&amp;ReportTo)+SUMIFS('Stock Moves'!$AC$5:$AC$2005,'Stock Moves'!$X$5:$X$2005,$A126,'Stock Moves'!$A$5:$A$2005,"&gt;="&amp;ReportFrom,'Stock Moves'!$A$5:$A$2005,"&lt;="&amp;ReportTo)+SUMIFS('Stock Moves'!$U$5:$U$2005,'Stock Moves'!$W$5:$W$2005,$A126,'Stock Moves'!$A$5:$A$2005,"&gt;="&amp;ReportFrom,'Stock Moves'!$A$5:$A$2005,"&lt;="&amp;ReportTo))</f>
        <v/>
      </c>
      <c r="AJ126" s="25">
        <f>IF($A126="",0,(SUMIFS('Journal Vouchers'!$I$5:$I$2005,'Journal Vouchers'!$H$5:$H$2005,$A126,'Journal Vouchers'!$B$5:$B$2005,"&lt;"&amp;ReportFrom))-(SUMIFS('Journal Vouchers'!$J$5:$J$2005,'Journal Vouchers'!$H$5:$H$2005,$A126,'Journal Vouchers'!$B$5:$B$2005,"&lt;"&amp;ReportFrom)))</f>
        <v/>
      </c>
      <c r="AK126" s="25">
        <f>IF($A126="",0,SUMIFS('Journal Vouchers'!$I$5:$I$2005,'Journal Vouchers'!$H$5:$H$2005,$A126,'Journal Vouchers'!$B$5:$B$2005,"&gt;="&amp;ReportFrom,'Journal Vouchers'!$B$5:$B$2005,"&lt;="&amp;ReportTo))</f>
        <v/>
      </c>
      <c r="AL126" s="25">
        <f>IF($A126="",0,SUMIFS('Journal Vouchers'!$J$5:$J$2005,'Journal Vouchers'!$H$5:$H$2005,$A126,'Journal Vouchers'!$B$5:$B$2005,"&gt;="&amp;ReportFrom,'Journal Vouchers'!$B$5:$B$2005,"&lt;="&amp;ReportTo))</f>
        <v/>
      </c>
    </row>
    <row r="127">
      <c r="A127" s="25">
        <f>IF('Chart of Accounts'!A127="","",'Chart of Accounts'!A127&amp;"")</f>
        <v/>
      </c>
      <c r="B127" s="25">
        <f>IF(A127="","",'Chart of Accounts'!B127)</f>
        <v/>
      </c>
      <c r="C127" s="25">
        <f>IF(A127="","",'Chart of Accounts'!C127)</f>
        <v/>
      </c>
      <c r="D127" s="25">
        <f>IF(A127="","",'Chart of Accounts'!D127)</f>
        <v/>
      </c>
      <c r="E127" s="26">
        <f>L127+O127+R127+U127+X127+AA127+AD127+AG127+AJ127</f>
        <v/>
      </c>
      <c r="F127" s="26">
        <f>M127+P127+S127+V127+Y127+AB127+AE127+AH127+AK127</f>
        <v/>
      </c>
      <c r="G127" s="26">
        <f>N127+Q127+T127+W127+Z127+AC127+AF127+AI127+AL127</f>
        <v/>
      </c>
      <c r="H127" s="26">
        <f>E127+F127-G127</f>
        <v/>
      </c>
      <c r="I127" s="26">
        <f>MAX(H127,0)</f>
        <v/>
      </c>
      <c r="J127" s="26">
        <f>MAX(-H127,0)</f>
        <v/>
      </c>
      <c r="L127" s="25">
        <f>IF($A127="",0,(SUMIFS('Direct Costs'!$R$5:$R$2005,'Direct Costs'!$V$5:$V$2005,$A127,'Direct Costs'!$A$5:$A$2005,"&lt;"&amp;ReportFrom)+SUMIFS('Direct Costs'!$S$5:$S$2005,'Direct Costs'!$Y$5:$Y$2005,$A127,'Direct Costs'!$A$5:$A$2005,"&lt;"&amp;ReportFrom))-(SUMIFS('Direct Costs'!$L$5:$L$2005,'Direct Costs'!$W$5:$W$2005,$A127,'Direct Costs'!$A$5:$A$2005,"&lt;"&amp;ReportFrom)+SUMIFS('Direct Costs'!$U$5:$U$2005,'Direct Costs'!$X$5:$X$2005,$A127,'Direct Costs'!$A$5:$A$2005,"&lt;"&amp;ReportFrom)+SUMIFS('Direct Costs'!$T$5:$T$2005,'Direct Costs'!$Z$5:$Z$2005,$A127,'Direct Costs'!$A$5:$A$2005,"&lt;"&amp;ReportFrom)))</f>
        <v/>
      </c>
      <c r="M127" s="25">
        <f>IF($A127="",0,SUMIFS('Direct Costs'!$R$5:$R$2005,'Direct Costs'!$V$5:$V$2005,$A127,'Direct Costs'!$A$5:$A$2005,"&gt;="&amp;ReportFrom,'Direct Costs'!$A$5:$A$2005,"&lt;="&amp;ReportTo)+SUMIFS('Direct Costs'!$S$5:$S$2005,'Direct Costs'!$Y$5:$Y$2005,$A127,'Direct Costs'!$A$5:$A$2005,"&gt;="&amp;ReportFrom,'Direct Costs'!$A$5:$A$2005,"&lt;="&amp;ReportTo))</f>
        <v/>
      </c>
      <c r="N127" s="25">
        <f>IF($A127="",0,SUMIFS('Direct Costs'!$L$5:$L$2005,'Direct Costs'!$W$5:$W$2005,$A127,'Direct Costs'!$A$5:$A$2005,"&gt;="&amp;ReportFrom,'Direct Costs'!$A$5:$A$2005,"&lt;="&amp;ReportTo)+SUMIFS('Direct Costs'!$U$5:$U$2005,'Direct Costs'!$X$5:$X$2005,$A127,'Direct Costs'!$A$5:$A$2005,"&gt;="&amp;ReportFrom,'Direct Costs'!$A$5:$A$2005,"&lt;="&amp;ReportTo)+SUMIFS('Direct Costs'!$T$5:$T$2005,'Direct Costs'!$Z$5:$Z$2005,$A127,'Direct Costs'!$A$5:$A$2005,"&gt;="&amp;ReportFrom,'Direct Costs'!$A$5:$A$2005,"&lt;="&amp;ReportTo))</f>
        <v/>
      </c>
      <c r="O127" s="25">
        <f>IF($A127="",0,(SUMIFS('Operating Expenses'!$F$5:$F$2005,'Operating Expenses'!$Q$5:$Q$2005,$A127,'Operating Expenses'!$A$5:$A$2005,"&lt;"&amp;ReportFrom)+SUMIFS('Operating Expenses'!$M$5:$M$2005,'Operating Expenses'!$T$5:$T$2005,$A127,'Operating Expenses'!$A$5:$A$2005,"&lt;"&amp;ReportFrom))-(SUMIFS('Operating Expenses'!$O$5:$O$2005,'Operating Expenses'!$R$5:$R$2005,$A127,'Operating Expenses'!$A$5:$A$2005,"&lt;"&amp;ReportFrom)+SUMIFS('Operating Expenses'!$P$5:$P$2005,'Operating Expenses'!$S$5:$S$2005,$A127,'Operating Expenses'!$A$5:$A$2005,"&lt;"&amp;ReportFrom)+SUMIFS('Operating Expenses'!$N$5:$N$2005,'Operating Expenses'!$U$5:$U$2005,$A127,'Operating Expenses'!$A$5:$A$2005,"&lt;"&amp;ReportFrom)))</f>
        <v/>
      </c>
      <c r="P127" s="25">
        <f>IF($A127="",0,SUMIFS('Operating Expenses'!$F$5:$F$2005,'Operating Expenses'!$Q$5:$Q$2005,$A127,'Operating Expenses'!$A$5:$A$2005,"&gt;="&amp;ReportFrom,'Operating Expenses'!$A$5:$A$2005,"&lt;="&amp;ReportTo)+SUMIFS('Operating Expenses'!$M$5:$M$2005,'Operating Expenses'!$T$5:$T$2005,$A127,'Operating Expenses'!$A$5:$A$2005,"&gt;="&amp;ReportFrom,'Operating Expenses'!$A$5:$A$2005,"&lt;="&amp;ReportTo))</f>
        <v/>
      </c>
      <c r="Q127" s="25">
        <f>IF($A127="",0,SUMIFS('Operating Expenses'!$O$5:$O$2005,'Operating Expenses'!$R$5:$R$2005,$A127,'Operating Expenses'!$A$5:$A$2005,"&gt;="&amp;ReportFrom,'Operating Expenses'!$A$5:$A$2005,"&lt;="&amp;ReportTo)+SUMIFS('Operating Expenses'!$P$5:$P$2005,'Operating Expenses'!$S$5:$S$2005,$A127,'Operating Expenses'!$A$5:$A$2005,"&gt;="&amp;ReportFrom,'Operating Expenses'!$A$5:$A$2005,"&lt;="&amp;ReportTo)+SUMIFS('Operating Expenses'!$N$5:$N$2005,'Operating Expenses'!$U$5:$U$2005,$A127,'Operating Expenses'!$A$5:$A$2005,"&gt;="&amp;ReportFrom,'Operating Expenses'!$A$5:$A$2005,"&lt;="&amp;ReportTo))</f>
        <v/>
      </c>
      <c r="R127" s="25">
        <f>IF($A127="",0,(SUMIFS('Payroll'!$O$5:$O$2005,'Payroll'!$Q$5:$Q$2005,$A127,'Payroll'!$A$5:$A$2005,"&lt;"&amp;ReportFrom))-(SUMIFS('Payroll'!$K$5:$K$2005,'Payroll'!$R$5:$R$2005,$A127,'Payroll'!$A$5:$A$2005,"&lt;"&amp;ReportFrom)+SUMIFS('Payroll'!$P$5:$P$2005,'Payroll'!$S$5:$S$2005,$A127,'Payroll'!$A$5:$A$2005,"&lt;"&amp;ReportFrom)))</f>
        <v/>
      </c>
      <c r="S127" s="25">
        <f>IF($A127="",0,SUMIFS('Payroll'!$O$5:$O$2005,'Payroll'!$Q$5:$Q$2005,$A127,'Payroll'!$A$5:$A$2005,"&gt;="&amp;ReportFrom,'Payroll'!$A$5:$A$2005,"&lt;="&amp;ReportTo))</f>
        <v/>
      </c>
      <c r="T127" s="25">
        <f>IF($A127="",0,SUMIFS('Payroll'!$K$5:$K$2005,'Payroll'!$R$5:$R$2005,$A127,'Payroll'!$A$5:$A$2005,"&gt;="&amp;ReportFrom,'Payroll'!$A$5:$A$2005,"&lt;="&amp;ReportTo)+SUMIFS('Payroll'!$P$5:$P$2005,'Payroll'!$S$5:$S$2005,$A127,'Payroll'!$A$5:$A$2005,"&gt;="&amp;ReportFrom,'Payroll'!$A$5:$A$2005,"&lt;="&amp;ReportTo))</f>
        <v/>
      </c>
      <c r="U127" s="25">
        <f>IF($A127="",0,(SUMIFS('Receipt Vouchers'!$F$5:$F$2005,'Receipt Vouchers'!$O$5:$O$2005,$A127,'Receipt Vouchers'!$A$5:$A$2005,"&lt;"&amp;ReportFrom)+SUMIFS('Receipt Vouchers'!$J$5:$J$2005,'Receipt Vouchers'!$Q$5:$Q$2005,$A127,'Receipt Vouchers'!$A$5:$A$2005,"&lt;"&amp;ReportFrom))-(SUMIFS('Receipt Vouchers'!$N$5:$N$2005,'Receipt Vouchers'!$P$5:$P$2005,$A127,'Receipt Vouchers'!$A$5:$A$2005,"&lt;"&amp;ReportFrom)+SUMIFS('Receipt Vouchers'!$M$5:$M$2005,'Receipt Vouchers'!$R$5:$R$2005,$A127,'Receipt Vouchers'!$A$5:$A$2005,"&lt;"&amp;ReportFrom)))</f>
        <v/>
      </c>
      <c r="V127" s="25">
        <f>IF($A127="",0,SUMIFS('Receipt Vouchers'!$F$5:$F$2005,'Receipt Vouchers'!$O$5:$O$2005,$A127,'Receipt Vouchers'!$A$5:$A$2005,"&gt;="&amp;ReportFrom,'Receipt Vouchers'!$A$5:$A$2005,"&lt;="&amp;ReportTo)+SUMIFS('Receipt Vouchers'!$J$5:$J$2005,'Receipt Vouchers'!$Q$5:$Q$2005,$A127,'Receipt Vouchers'!$A$5:$A$2005,"&gt;="&amp;ReportFrom,'Receipt Vouchers'!$A$5:$A$2005,"&lt;="&amp;ReportTo))</f>
        <v/>
      </c>
      <c r="W127" s="25">
        <f>IF($A127="",0,SUMIFS('Receipt Vouchers'!$N$5:$N$2005,'Receipt Vouchers'!$P$5:$P$2005,$A127,'Receipt Vouchers'!$A$5:$A$2005,"&gt;="&amp;ReportFrom,'Receipt Vouchers'!$A$5:$A$2005,"&lt;="&amp;ReportTo)+SUMIFS('Receipt Vouchers'!$M$5:$M$2005,'Receipt Vouchers'!$R$5:$R$2005,$A127,'Receipt Vouchers'!$A$5:$A$2005,"&gt;="&amp;ReportFrom,'Receipt Vouchers'!$A$5:$A$2005,"&lt;="&amp;ReportTo))</f>
        <v/>
      </c>
      <c r="X127" s="25">
        <f>IF($A127="",0,(SUMIFS('Sales Invoices'!$O$5:$O$2005,'Sales Invoices'!$P$5:$P$2005,$A127,'Sales Invoices'!$B$5:$B$2005,"&lt;"&amp;ReportFrom)+SUMIFS('Sales Invoices'!$N$5:$N$2005,'Sales Invoices'!$R$5:$R$2005,$A127,'Sales Invoices'!$B$5:$B$2005,"&lt;"&amp;ReportFrom))-(SUMIFS('Sales Invoices'!$L$5:$L$2005,'Sales Invoices'!$Q$5:$Q$2005,$A127,'Sales Invoices'!$B$5:$B$2005,"&lt;"&amp;ReportFrom)+SUMIFS('Sales Invoices'!$M$5:$M$2005,'Sales Invoices'!$S$5:$S$2005,$A127,'Sales Invoices'!$B$5:$B$2005,"&lt;"&amp;ReportFrom)))</f>
        <v/>
      </c>
      <c r="Y127" s="25">
        <f>IF($A127="",0,SUMIFS('Sales Invoices'!$O$5:$O$2005,'Sales Invoices'!$P$5:$P$2005,$A127,'Sales Invoices'!$B$5:$B$2005,"&gt;="&amp;ReportFrom,'Sales Invoices'!$B$5:$B$2005,"&lt;="&amp;ReportTo)+SUMIFS('Sales Invoices'!$N$5:$N$2005,'Sales Invoices'!$R$5:$R$2005,$A127,'Sales Invoices'!$B$5:$B$2005,"&gt;="&amp;ReportFrom,'Sales Invoices'!$B$5:$B$2005,"&lt;="&amp;ReportTo))</f>
        <v/>
      </c>
      <c r="Z127" s="25">
        <f>IF($A127="",0,SUMIFS('Sales Invoices'!$L$5:$L$2005,'Sales Invoices'!$Q$5:$Q$2005,$A127,'Sales Invoices'!$B$5:$B$2005,"&gt;="&amp;ReportFrom,'Sales Invoices'!$B$5:$B$2005,"&lt;="&amp;ReportTo)+SUMIFS('Sales Invoices'!$M$5:$M$2005,'Sales Invoices'!$S$5:$S$2005,$A127,'Sales Invoices'!$B$5:$B$2005,"&gt;="&amp;ReportFrom,'Sales Invoices'!$B$5:$B$2005,"&lt;="&amp;ReportTo))</f>
        <v/>
      </c>
      <c r="AA127" s="25">
        <f>IF($A127="",0,(SUMIFS('Payment Vouchers'!$D$5:$D$2005,'Payment Vouchers'!$J$5:$J$2005,$A127,'Payment Vouchers'!$A$5:$A$2005,"&lt;"&amp;ReportFrom))-(SUMIFS('Payment Vouchers'!$D$5:$D$2005,'Payment Vouchers'!$K$5:$K$2005,$A127,'Payment Vouchers'!$A$5:$A$2005,"&lt;"&amp;ReportFrom)))</f>
        <v/>
      </c>
      <c r="AB127" s="25">
        <f>IF($A127="",0,SUMIFS('Payment Vouchers'!$D$5:$D$2005,'Payment Vouchers'!$J$5:$J$2005,$A127,'Payment Vouchers'!$A$5:$A$2005,"&gt;="&amp;ReportFrom,'Payment Vouchers'!$A$5:$A$2005,"&lt;="&amp;ReportTo))</f>
        <v/>
      </c>
      <c r="AC127" s="25">
        <f>IF($A127="",0,SUMIFS('Payment Vouchers'!$D$5:$D$2005,'Payment Vouchers'!$K$5:$K$2005,$A127,'Payment Vouchers'!$A$5:$A$2005,"&gt;="&amp;ReportFrom,'Payment Vouchers'!$A$5:$A$2005,"&lt;="&amp;ReportTo))</f>
        <v/>
      </c>
      <c r="AD127" s="25">
        <f>IF($A127="",0,(SUMIFS('Partner Transactions'!$D$5:$D$2005,'Partner Transactions'!$L$5:$L$2005,$A127,'Partner Transactions'!$A$5:$A$2005,"&lt;"&amp;ReportFrom))-(SUMIFS('Partner Transactions'!$D$5:$D$2005,'Partner Transactions'!$M$5:$M$2005,$A127,'Partner Transactions'!$A$5:$A$2005,"&lt;"&amp;ReportFrom)))</f>
        <v/>
      </c>
      <c r="AE127" s="25">
        <f>IF($A127="",0,SUMIFS('Partner Transactions'!$D$5:$D$2005,'Partner Transactions'!$L$5:$L$2005,$A127,'Partner Transactions'!$A$5:$A$2005,"&gt;="&amp;ReportFrom,'Partner Transactions'!$A$5:$A$2005,"&lt;="&amp;ReportTo))</f>
        <v/>
      </c>
      <c r="AF127" s="25">
        <f>IF($A127="",0,SUMIFS('Partner Transactions'!$D$5:$D$2005,'Partner Transactions'!$M$5:$M$2005,$A127,'Partner Transactions'!$A$5:$A$2005,"&gt;="&amp;ReportFrom,'Partner Transactions'!$A$5:$A$2005,"&lt;="&amp;ReportTo))</f>
        <v/>
      </c>
      <c r="AG127" s="25">
        <f>IF($A127="",0,(SUMIFS('Stock Moves'!$S$5:$S$2005,'Stock Moves'!$AD$5:$AD$2005,$A127,'Stock Moves'!$A$5:$A$2005,"&lt;"&amp;ReportFrom)+SUMIFS('Stock Moves'!$T$5:$T$2005,'Stock Moves'!$V$5:$V$2005,$A127,'Stock Moves'!$A$5:$A$2005,"&lt;"&amp;ReportFrom))-(SUMIFS('Stock Moves'!$AF$5:$AF$2005,'Stock Moves'!$AE$5:$AE$2005,$A127,'Stock Moves'!$A$5:$A$2005,"&lt;"&amp;ReportFrom)+SUMIFS('Stock Moves'!$AC$5:$AC$2005,'Stock Moves'!$X$5:$X$2005,$A127,'Stock Moves'!$A$5:$A$2005,"&lt;"&amp;ReportFrom)+SUMIFS('Stock Moves'!$U$5:$U$2005,'Stock Moves'!$W$5:$W$2005,$A127,'Stock Moves'!$A$5:$A$2005,"&lt;"&amp;ReportFrom)))</f>
        <v/>
      </c>
      <c r="AH127" s="25">
        <f>IF($A127="",0,SUMIFS('Stock Moves'!$S$5:$S$2005,'Stock Moves'!$AD$5:$AD$2005,$A127,'Stock Moves'!$A$5:$A$2005,"&gt;="&amp;ReportFrom,'Stock Moves'!$A$5:$A$2005,"&lt;="&amp;ReportTo)+SUMIFS('Stock Moves'!$T$5:$T$2005,'Stock Moves'!$V$5:$V$2005,$A127,'Stock Moves'!$A$5:$A$2005,"&gt;="&amp;ReportFrom,'Stock Moves'!$A$5:$A$2005,"&lt;="&amp;ReportTo))</f>
        <v/>
      </c>
      <c r="AI127" s="25">
        <f>IF($A127="",0,SUMIFS('Stock Moves'!$AF$5:$AF$2005,'Stock Moves'!$AE$5:$AE$2005,$A127,'Stock Moves'!$A$5:$A$2005,"&gt;="&amp;ReportFrom,'Stock Moves'!$A$5:$A$2005,"&lt;="&amp;ReportTo)+SUMIFS('Stock Moves'!$AC$5:$AC$2005,'Stock Moves'!$X$5:$X$2005,$A127,'Stock Moves'!$A$5:$A$2005,"&gt;="&amp;ReportFrom,'Stock Moves'!$A$5:$A$2005,"&lt;="&amp;ReportTo)+SUMIFS('Stock Moves'!$U$5:$U$2005,'Stock Moves'!$W$5:$W$2005,$A127,'Stock Moves'!$A$5:$A$2005,"&gt;="&amp;ReportFrom,'Stock Moves'!$A$5:$A$2005,"&lt;="&amp;ReportTo))</f>
        <v/>
      </c>
      <c r="AJ127" s="25">
        <f>IF($A127="",0,(SUMIFS('Journal Vouchers'!$I$5:$I$2005,'Journal Vouchers'!$H$5:$H$2005,$A127,'Journal Vouchers'!$B$5:$B$2005,"&lt;"&amp;ReportFrom))-(SUMIFS('Journal Vouchers'!$J$5:$J$2005,'Journal Vouchers'!$H$5:$H$2005,$A127,'Journal Vouchers'!$B$5:$B$2005,"&lt;"&amp;ReportFrom)))</f>
        <v/>
      </c>
      <c r="AK127" s="25">
        <f>IF($A127="",0,SUMIFS('Journal Vouchers'!$I$5:$I$2005,'Journal Vouchers'!$H$5:$H$2005,$A127,'Journal Vouchers'!$B$5:$B$2005,"&gt;="&amp;ReportFrom,'Journal Vouchers'!$B$5:$B$2005,"&lt;="&amp;ReportTo))</f>
        <v/>
      </c>
      <c r="AL127" s="25">
        <f>IF($A127="",0,SUMIFS('Journal Vouchers'!$J$5:$J$2005,'Journal Vouchers'!$H$5:$H$2005,$A127,'Journal Vouchers'!$B$5:$B$2005,"&gt;="&amp;ReportFrom,'Journal Vouchers'!$B$5:$B$2005,"&lt;="&amp;ReportTo))</f>
        <v/>
      </c>
    </row>
    <row r="128">
      <c r="A128" s="25">
        <f>IF('Chart of Accounts'!A128="","",'Chart of Accounts'!A128&amp;"")</f>
        <v/>
      </c>
      <c r="B128" s="25">
        <f>IF(A128="","",'Chart of Accounts'!B128)</f>
        <v/>
      </c>
      <c r="C128" s="25">
        <f>IF(A128="","",'Chart of Accounts'!C128)</f>
        <v/>
      </c>
      <c r="D128" s="25">
        <f>IF(A128="","",'Chart of Accounts'!D128)</f>
        <v/>
      </c>
      <c r="E128" s="26">
        <f>L128+O128+R128+U128+X128+AA128+AD128+AG128+AJ128</f>
        <v/>
      </c>
      <c r="F128" s="26">
        <f>M128+P128+S128+V128+Y128+AB128+AE128+AH128+AK128</f>
        <v/>
      </c>
      <c r="G128" s="26">
        <f>N128+Q128+T128+W128+Z128+AC128+AF128+AI128+AL128</f>
        <v/>
      </c>
      <c r="H128" s="26">
        <f>E128+F128-G128</f>
        <v/>
      </c>
      <c r="I128" s="26">
        <f>MAX(H128,0)</f>
        <v/>
      </c>
      <c r="J128" s="26">
        <f>MAX(-H128,0)</f>
        <v/>
      </c>
      <c r="L128" s="25">
        <f>IF($A128="",0,(SUMIFS('Direct Costs'!$R$5:$R$2005,'Direct Costs'!$V$5:$V$2005,$A128,'Direct Costs'!$A$5:$A$2005,"&lt;"&amp;ReportFrom)+SUMIFS('Direct Costs'!$S$5:$S$2005,'Direct Costs'!$Y$5:$Y$2005,$A128,'Direct Costs'!$A$5:$A$2005,"&lt;"&amp;ReportFrom))-(SUMIFS('Direct Costs'!$L$5:$L$2005,'Direct Costs'!$W$5:$W$2005,$A128,'Direct Costs'!$A$5:$A$2005,"&lt;"&amp;ReportFrom)+SUMIFS('Direct Costs'!$U$5:$U$2005,'Direct Costs'!$X$5:$X$2005,$A128,'Direct Costs'!$A$5:$A$2005,"&lt;"&amp;ReportFrom)+SUMIFS('Direct Costs'!$T$5:$T$2005,'Direct Costs'!$Z$5:$Z$2005,$A128,'Direct Costs'!$A$5:$A$2005,"&lt;"&amp;ReportFrom)))</f>
        <v/>
      </c>
      <c r="M128" s="25">
        <f>IF($A128="",0,SUMIFS('Direct Costs'!$R$5:$R$2005,'Direct Costs'!$V$5:$V$2005,$A128,'Direct Costs'!$A$5:$A$2005,"&gt;="&amp;ReportFrom,'Direct Costs'!$A$5:$A$2005,"&lt;="&amp;ReportTo)+SUMIFS('Direct Costs'!$S$5:$S$2005,'Direct Costs'!$Y$5:$Y$2005,$A128,'Direct Costs'!$A$5:$A$2005,"&gt;="&amp;ReportFrom,'Direct Costs'!$A$5:$A$2005,"&lt;="&amp;ReportTo))</f>
        <v/>
      </c>
      <c r="N128" s="25">
        <f>IF($A128="",0,SUMIFS('Direct Costs'!$L$5:$L$2005,'Direct Costs'!$W$5:$W$2005,$A128,'Direct Costs'!$A$5:$A$2005,"&gt;="&amp;ReportFrom,'Direct Costs'!$A$5:$A$2005,"&lt;="&amp;ReportTo)+SUMIFS('Direct Costs'!$U$5:$U$2005,'Direct Costs'!$X$5:$X$2005,$A128,'Direct Costs'!$A$5:$A$2005,"&gt;="&amp;ReportFrom,'Direct Costs'!$A$5:$A$2005,"&lt;="&amp;ReportTo)+SUMIFS('Direct Costs'!$T$5:$T$2005,'Direct Costs'!$Z$5:$Z$2005,$A128,'Direct Costs'!$A$5:$A$2005,"&gt;="&amp;ReportFrom,'Direct Costs'!$A$5:$A$2005,"&lt;="&amp;ReportTo))</f>
        <v/>
      </c>
      <c r="O128" s="25">
        <f>IF($A128="",0,(SUMIFS('Operating Expenses'!$F$5:$F$2005,'Operating Expenses'!$Q$5:$Q$2005,$A128,'Operating Expenses'!$A$5:$A$2005,"&lt;"&amp;ReportFrom)+SUMIFS('Operating Expenses'!$M$5:$M$2005,'Operating Expenses'!$T$5:$T$2005,$A128,'Operating Expenses'!$A$5:$A$2005,"&lt;"&amp;ReportFrom))-(SUMIFS('Operating Expenses'!$O$5:$O$2005,'Operating Expenses'!$R$5:$R$2005,$A128,'Operating Expenses'!$A$5:$A$2005,"&lt;"&amp;ReportFrom)+SUMIFS('Operating Expenses'!$P$5:$P$2005,'Operating Expenses'!$S$5:$S$2005,$A128,'Operating Expenses'!$A$5:$A$2005,"&lt;"&amp;ReportFrom)+SUMIFS('Operating Expenses'!$N$5:$N$2005,'Operating Expenses'!$U$5:$U$2005,$A128,'Operating Expenses'!$A$5:$A$2005,"&lt;"&amp;ReportFrom)))</f>
        <v/>
      </c>
      <c r="P128" s="25">
        <f>IF($A128="",0,SUMIFS('Operating Expenses'!$F$5:$F$2005,'Operating Expenses'!$Q$5:$Q$2005,$A128,'Operating Expenses'!$A$5:$A$2005,"&gt;="&amp;ReportFrom,'Operating Expenses'!$A$5:$A$2005,"&lt;="&amp;ReportTo)+SUMIFS('Operating Expenses'!$M$5:$M$2005,'Operating Expenses'!$T$5:$T$2005,$A128,'Operating Expenses'!$A$5:$A$2005,"&gt;="&amp;ReportFrom,'Operating Expenses'!$A$5:$A$2005,"&lt;="&amp;ReportTo))</f>
        <v/>
      </c>
      <c r="Q128" s="25">
        <f>IF($A128="",0,SUMIFS('Operating Expenses'!$O$5:$O$2005,'Operating Expenses'!$R$5:$R$2005,$A128,'Operating Expenses'!$A$5:$A$2005,"&gt;="&amp;ReportFrom,'Operating Expenses'!$A$5:$A$2005,"&lt;="&amp;ReportTo)+SUMIFS('Operating Expenses'!$P$5:$P$2005,'Operating Expenses'!$S$5:$S$2005,$A128,'Operating Expenses'!$A$5:$A$2005,"&gt;="&amp;ReportFrom,'Operating Expenses'!$A$5:$A$2005,"&lt;="&amp;ReportTo)+SUMIFS('Operating Expenses'!$N$5:$N$2005,'Operating Expenses'!$U$5:$U$2005,$A128,'Operating Expenses'!$A$5:$A$2005,"&gt;="&amp;ReportFrom,'Operating Expenses'!$A$5:$A$2005,"&lt;="&amp;ReportTo))</f>
        <v/>
      </c>
      <c r="R128" s="25">
        <f>IF($A128="",0,(SUMIFS('Payroll'!$O$5:$O$2005,'Payroll'!$Q$5:$Q$2005,$A128,'Payroll'!$A$5:$A$2005,"&lt;"&amp;ReportFrom))-(SUMIFS('Payroll'!$K$5:$K$2005,'Payroll'!$R$5:$R$2005,$A128,'Payroll'!$A$5:$A$2005,"&lt;"&amp;ReportFrom)+SUMIFS('Payroll'!$P$5:$P$2005,'Payroll'!$S$5:$S$2005,$A128,'Payroll'!$A$5:$A$2005,"&lt;"&amp;ReportFrom)))</f>
        <v/>
      </c>
      <c r="S128" s="25">
        <f>IF($A128="",0,SUMIFS('Payroll'!$O$5:$O$2005,'Payroll'!$Q$5:$Q$2005,$A128,'Payroll'!$A$5:$A$2005,"&gt;="&amp;ReportFrom,'Payroll'!$A$5:$A$2005,"&lt;="&amp;ReportTo))</f>
        <v/>
      </c>
      <c r="T128" s="25">
        <f>IF($A128="",0,SUMIFS('Payroll'!$K$5:$K$2005,'Payroll'!$R$5:$R$2005,$A128,'Payroll'!$A$5:$A$2005,"&gt;="&amp;ReportFrom,'Payroll'!$A$5:$A$2005,"&lt;="&amp;ReportTo)+SUMIFS('Payroll'!$P$5:$P$2005,'Payroll'!$S$5:$S$2005,$A128,'Payroll'!$A$5:$A$2005,"&gt;="&amp;ReportFrom,'Payroll'!$A$5:$A$2005,"&lt;="&amp;ReportTo))</f>
        <v/>
      </c>
      <c r="U128" s="25">
        <f>IF($A128="",0,(SUMIFS('Receipt Vouchers'!$F$5:$F$2005,'Receipt Vouchers'!$O$5:$O$2005,$A128,'Receipt Vouchers'!$A$5:$A$2005,"&lt;"&amp;ReportFrom)+SUMIFS('Receipt Vouchers'!$J$5:$J$2005,'Receipt Vouchers'!$Q$5:$Q$2005,$A128,'Receipt Vouchers'!$A$5:$A$2005,"&lt;"&amp;ReportFrom))-(SUMIFS('Receipt Vouchers'!$N$5:$N$2005,'Receipt Vouchers'!$P$5:$P$2005,$A128,'Receipt Vouchers'!$A$5:$A$2005,"&lt;"&amp;ReportFrom)+SUMIFS('Receipt Vouchers'!$M$5:$M$2005,'Receipt Vouchers'!$R$5:$R$2005,$A128,'Receipt Vouchers'!$A$5:$A$2005,"&lt;"&amp;ReportFrom)))</f>
        <v/>
      </c>
      <c r="V128" s="25">
        <f>IF($A128="",0,SUMIFS('Receipt Vouchers'!$F$5:$F$2005,'Receipt Vouchers'!$O$5:$O$2005,$A128,'Receipt Vouchers'!$A$5:$A$2005,"&gt;="&amp;ReportFrom,'Receipt Vouchers'!$A$5:$A$2005,"&lt;="&amp;ReportTo)+SUMIFS('Receipt Vouchers'!$J$5:$J$2005,'Receipt Vouchers'!$Q$5:$Q$2005,$A128,'Receipt Vouchers'!$A$5:$A$2005,"&gt;="&amp;ReportFrom,'Receipt Vouchers'!$A$5:$A$2005,"&lt;="&amp;ReportTo))</f>
        <v/>
      </c>
      <c r="W128" s="25">
        <f>IF($A128="",0,SUMIFS('Receipt Vouchers'!$N$5:$N$2005,'Receipt Vouchers'!$P$5:$P$2005,$A128,'Receipt Vouchers'!$A$5:$A$2005,"&gt;="&amp;ReportFrom,'Receipt Vouchers'!$A$5:$A$2005,"&lt;="&amp;ReportTo)+SUMIFS('Receipt Vouchers'!$M$5:$M$2005,'Receipt Vouchers'!$R$5:$R$2005,$A128,'Receipt Vouchers'!$A$5:$A$2005,"&gt;="&amp;ReportFrom,'Receipt Vouchers'!$A$5:$A$2005,"&lt;="&amp;ReportTo))</f>
        <v/>
      </c>
      <c r="X128" s="25">
        <f>IF($A128="",0,(SUMIFS('Sales Invoices'!$O$5:$O$2005,'Sales Invoices'!$P$5:$P$2005,$A128,'Sales Invoices'!$B$5:$B$2005,"&lt;"&amp;ReportFrom)+SUMIFS('Sales Invoices'!$N$5:$N$2005,'Sales Invoices'!$R$5:$R$2005,$A128,'Sales Invoices'!$B$5:$B$2005,"&lt;"&amp;ReportFrom))-(SUMIFS('Sales Invoices'!$L$5:$L$2005,'Sales Invoices'!$Q$5:$Q$2005,$A128,'Sales Invoices'!$B$5:$B$2005,"&lt;"&amp;ReportFrom)+SUMIFS('Sales Invoices'!$M$5:$M$2005,'Sales Invoices'!$S$5:$S$2005,$A128,'Sales Invoices'!$B$5:$B$2005,"&lt;"&amp;ReportFrom)))</f>
        <v/>
      </c>
      <c r="Y128" s="25">
        <f>IF($A128="",0,SUMIFS('Sales Invoices'!$O$5:$O$2005,'Sales Invoices'!$P$5:$P$2005,$A128,'Sales Invoices'!$B$5:$B$2005,"&gt;="&amp;ReportFrom,'Sales Invoices'!$B$5:$B$2005,"&lt;="&amp;ReportTo)+SUMIFS('Sales Invoices'!$N$5:$N$2005,'Sales Invoices'!$R$5:$R$2005,$A128,'Sales Invoices'!$B$5:$B$2005,"&gt;="&amp;ReportFrom,'Sales Invoices'!$B$5:$B$2005,"&lt;="&amp;ReportTo))</f>
        <v/>
      </c>
      <c r="Z128" s="25">
        <f>IF($A128="",0,SUMIFS('Sales Invoices'!$L$5:$L$2005,'Sales Invoices'!$Q$5:$Q$2005,$A128,'Sales Invoices'!$B$5:$B$2005,"&gt;="&amp;ReportFrom,'Sales Invoices'!$B$5:$B$2005,"&lt;="&amp;ReportTo)+SUMIFS('Sales Invoices'!$M$5:$M$2005,'Sales Invoices'!$S$5:$S$2005,$A128,'Sales Invoices'!$B$5:$B$2005,"&gt;="&amp;ReportFrom,'Sales Invoices'!$B$5:$B$2005,"&lt;="&amp;ReportTo))</f>
        <v/>
      </c>
      <c r="AA128" s="25">
        <f>IF($A128="",0,(SUMIFS('Payment Vouchers'!$D$5:$D$2005,'Payment Vouchers'!$J$5:$J$2005,$A128,'Payment Vouchers'!$A$5:$A$2005,"&lt;"&amp;ReportFrom))-(SUMIFS('Payment Vouchers'!$D$5:$D$2005,'Payment Vouchers'!$K$5:$K$2005,$A128,'Payment Vouchers'!$A$5:$A$2005,"&lt;"&amp;ReportFrom)))</f>
        <v/>
      </c>
      <c r="AB128" s="25">
        <f>IF($A128="",0,SUMIFS('Payment Vouchers'!$D$5:$D$2005,'Payment Vouchers'!$J$5:$J$2005,$A128,'Payment Vouchers'!$A$5:$A$2005,"&gt;="&amp;ReportFrom,'Payment Vouchers'!$A$5:$A$2005,"&lt;="&amp;ReportTo))</f>
        <v/>
      </c>
      <c r="AC128" s="25">
        <f>IF($A128="",0,SUMIFS('Payment Vouchers'!$D$5:$D$2005,'Payment Vouchers'!$K$5:$K$2005,$A128,'Payment Vouchers'!$A$5:$A$2005,"&gt;="&amp;ReportFrom,'Payment Vouchers'!$A$5:$A$2005,"&lt;="&amp;ReportTo))</f>
        <v/>
      </c>
      <c r="AD128" s="25">
        <f>IF($A128="",0,(SUMIFS('Partner Transactions'!$D$5:$D$2005,'Partner Transactions'!$L$5:$L$2005,$A128,'Partner Transactions'!$A$5:$A$2005,"&lt;"&amp;ReportFrom))-(SUMIFS('Partner Transactions'!$D$5:$D$2005,'Partner Transactions'!$M$5:$M$2005,$A128,'Partner Transactions'!$A$5:$A$2005,"&lt;"&amp;ReportFrom)))</f>
        <v/>
      </c>
      <c r="AE128" s="25">
        <f>IF($A128="",0,SUMIFS('Partner Transactions'!$D$5:$D$2005,'Partner Transactions'!$L$5:$L$2005,$A128,'Partner Transactions'!$A$5:$A$2005,"&gt;="&amp;ReportFrom,'Partner Transactions'!$A$5:$A$2005,"&lt;="&amp;ReportTo))</f>
        <v/>
      </c>
      <c r="AF128" s="25">
        <f>IF($A128="",0,SUMIFS('Partner Transactions'!$D$5:$D$2005,'Partner Transactions'!$M$5:$M$2005,$A128,'Partner Transactions'!$A$5:$A$2005,"&gt;="&amp;ReportFrom,'Partner Transactions'!$A$5:$A$2005,"&lt;="&amp;ReportTo))</f>
        <v/>
      </c>
      <c r="AG128" s="25">
        <f>IF($A128="",0,(SUMIFS('Stock Moves'!$S$5:$S$2005,'Stock Moves'!$AD$5:$AD$2005,$A128,'Stock Moves'!$A$5:$A$2005,"&lt;"&amp;ReportFrom)+SUMIFS('Stock Moves'!$T$5:$T$2005,'Stock Moves'!$V$5:$V$2005,$A128,'Stock Moves'!$A$5:$A$2005,"&lt;"&amp;ReportFrom))-(SUMIFS('Stock Moves'!$AF$5:$AF$2005,'Stock Moves'!$AE$5:$AE$2005,$A128,'Stock Moves'!$A$5:$A$2005,"&lt;"&amp;ReportFrom)+SUMIFS('Stock Moves'!$AC$5:$AC$2005,'Stock Moves'!$X$5:$X$2005,$A128,'Stock Moves'!$A$5:$A$2005,"&lt;"&amp;ReportFrom)+SUMIFS('Stock Moves'!$U$5:$U$2005,'Stock Moves'!$W$5:$W$2005,$A128,'Stock Moves'!$A$5:$A$2005,"&lt;"&amp;ReportFrom)))</f>
        <v/>
      </c>
      <c r="AH128" s="25">
        <f>IF($A128="",0,SUMIFS('Stock Moves'!$S$5:$S$2005,'Stock Moves'!$AD$5:$AD$2005,$A128,'Stock Moves'!$A$5:$A$2005,"&gt;="&amp;ReportFrom,'Stock Moves'!$A$5:$A$2005,"&lt;="&amp;ReportTo)+SUMIFS('Stock Moves'!$T$5:$T$2005,'Stock Moves'!$V$5:$V$2005,$A128,'Stock Moves'!$A$5:$A$2005,"&gt;="&amp;ReportFrom,'Stock Moves'!$A$5:$A$2005,"&lt;="&amp;ReportTo))</f>
        <v/>
      </c>
      <c r="AI128" s="25">
        <f>IF($A128="",0,SUMIFS('Stock Moves'!$AF$5:$AF$2005,'Stock Moves'!$AE$5:$AE$2005,$A128,'Stock Moves'!$A$5:$A$2005,"&gt;="&amp;ReportFrom,'Stock Moves'!$A$5:$A$2005,"&lt;="&amp;ReportTo)+SUMIFS('Stock Moves'!$AC$5:$AC$2005,'Stock Moves'!$X$5:$X$2005,$A128,'Stock Moves'!$A$5:$A$2005,"&gt;="&amp;ReportFrom,'Stock Moves'!$A$5:$A$2005,"&lt;="&amp;ReportTo)+SUMIFS('Stock Moves'!$U$5:$U$2005,'Stock Moves'!$W$5:$W$2005,$A128,'Stock Moves'!$A$5:$A$2005,"&gt;="&amp;ReportFrom,'Stock Moves'!$A$5:$A$2005,"&lt;="&amp;ReportTo))</f>
        <v/>
      </c>
      <c r="AJ128" s="25">
        <f>IF($A128="",0,(SUMIFS('Journal Vouchers'!$I$5:$I$2005,'Journal Vouchers'!$H$5:$H$2005,$A128,'Journal Vouchers'!$B$5:$B$2005,"&lt;"&amp;ReportFrom))-(SUMIFS('Journal Vouchers'!$J$5:$J$2005,'Journal Vouchers'!$H$5:$H$2005,$A128,'Journal Vouchers'!$B$5:$B$2005,"&lt;"&amp;ReportFrom)))</f>
        <v/>
      </c>
      <c r="AK128" s="25">
        <f>IF($A128="",0,SUMIFS('Journal Vouchers'!$I$5:$I$2005,'Journal Vouchers'!$H$5:$H$2005,$A128,'Journal Vouchers'!$B$5:$B$2005,"&gt;="&amp;ReportFrom,'Journal Vouchers'!$B$5:$B$2005,"&lt;="&amp;ReportTo))</f>
        <v/>
      </c>
      <c r="AL128" s="25">
        <f>IF($A128="",0,SUMIFS('Journal Vouchers'!$J$5:$J$2005,'Journal Vouchers'!$H$5:$H$2005,$A128,'Journal Vouchers'!$B$5:$B$2005,"&gt;="&amp;ReportFrom,'Journal Vouchers'!$B$5:$B$2005,"&lt;="&amp;ReportTo))</f>
        <v/>
      </c>
    </row>
    <row r="129">
      <c r="A129" s="25">
        <f>IF('Chart of Accounts'!A129="","",'Chart of Accounts'!A129&amp;"")</f>
        <v/>
      </c>
      <c r="B129" s="25">
        <f>IF(A129="","",'Chart of Accounts'!B129)</f>
        <v/>
      </c>
      <c r="C129" s="25">
        <f>IF(A129="","",'Chart of Accounts'!C129)</f>
        <v/>
      </c>
      <c r="D129" s="25">
        <f>IF(A129="","",'Chart of Accounts'!D129)</f>
        <v/>
      </c>
      <c r="E129" s="26">
        <f>L129+O129+R129+U129+X129+AA129+AD129+AG129+AJ129</f>
        <v/>
      </c>
      <c r="F129" s="26">
        <f>M129+P129+S129+V129+Y129+AB129+AE129+AH129+AK129</f>
        <v/>
      </c>
      <c r="G129" s="26">
        <f>N129+Q129+T129+W129+Z129+AC129+AF129+AI129+AL129</f>
        <v/>
      </c>
      <c r="H129" s="26">
        <f>E129+F129-G129</f>
        <v/>
      </c>
      <c r="I129" s="26">
        <f>MAX(H129,0)</f>
        <v/>
      </c>
      <c r="J129" s="26">
        <f>MAX(-H129,0)</f>
        <v/>
      </c>
      <c r="L129" s="25">
        <f>IF($A129="",0,(SUMIFS('Direct Costs'!$R$5:$R$2005,'Direct Costs'!$V$5:$V$2005,$A129,'Direct Costs'!$A$5:$A$2005,"&lt;"&amp;ReportFrom)+SUMIFS('Direct Costs'!$S$5:$S$2005,'Direct Costs'!$Y$5:$Y$2005,$A129,'Direct Costs'!$A$5:$A$2005,"&lt;"&amp;ReportFrom))-(SUMIFS('Direct Costs'!$L$5:$L$2005,'Direct Costs'!$W$5:$W$2005,$A129,'Direct Costs'!$A$5:$A$2005,"&lt;"&amp;ReportFrom)+SUMIFS('Direct Costs'!$U$5:$U$2005,'Direct Costs'!$X$5:$X$2005,$A129,'Direct Costs'!$A$5:$A$2005,"&lt;"&amp;ReportFrom)+SUMIFS('Direct Costs'!$T$5:$T$2005,'Direct Costs'!$Z$5:$Z$2005,$A129,'Direct Costs'!$A$5:$A$2005,"&lt;"&amp;ReportFrom)))</f>
        <v/>
      </c>
      <c r="M129" s="25">
        <f>IF($A129="",0,SUMIFS('Direct Costs'!$R$5:$R$2005,'Direct Costs'!$V$5:$V$2005,$A129,'Direct Costs'!$A$5:$A$2005,"&gt;="&amp;ReportFrom,'Direct Costs'!$A$5:$A$2005,"&lt;="&amp;ReportTo)+SUMIFS('Direct Costs'!$S$5:$S$2005,'Direct Costs'!$Y$5:$Y$2005,$A129,'Direct Costs'!$A$5:$A$2005,"&gt;="&amp;ReportFrom,'Direct Costs'!$A$5:$A$2005,"&lt;="&amp;ReportTo))</f>
        <v/>
      </c>
      <c r="N129" s="25">
        <f>IF($A129="",0,SUMIFS('Direct Costs'!$L$5:$L$2005,'Direct Costs'!$W$5:$W$2005,$A129,'Direct Costs'!$A$5:$A$2005,"&gt;="&amp;ReportFrom,'Direct Costs'!$A$5:$A$2005,"&lt;="&amp;ReportTo)+SUMIFS('Direct Costs'!$U$5:$U$2005,'Direct Costs'!$X$5:$X$2005,$A129,'Direct Costs'!$A$5:$A$2005,"&gt;="&amp;ReportFrom,'Direct Costs'!$A$5:$A$2005,"&lt;="&amp;ReportTo)+SUMIFS('Direct Costs'!$T$5:$T$2005,'Direct Costs'!$Z$5:$Z$2005,$A129,'Direct Costs'!$A$5:$A$2005,"&gt;="&amp;ReportFrom,'Direct Costs'!$A$5:$A$2005,"&lt;="&amp;ReportTo))</f>
        <v/>
      </c>
      <c r="O129" s="25">
        <f>IF($A129="",0,(SUMIFS('Operating Expenses'!$F$5:$F$2005,'Operating Expenses'!$Q$5:$Q$2005,$A129,'Operating Expenses'!$A$5:$A$2005,"&lt;"&amp;ReportFrom)+SUMIFS('Operating Expenses'!$M$5:$M$2005,'Operating Expenses'!$T$5:$T$2005,$A129,'Operating Expenses'!$A$5:$A$2005,"&lt;"&amp;ReportFrom))-(SUMIFS('Operating Expenses'!$O$5:$O$2005,'Operating Expenses'!$R$5:$R$2005,$A129,'Operating Expenses'!$A$5:$A$2005,"&lt;"&amp;ReportFrom)+SUMIFS('Operating Expenses'!$P$5:$P$2005,'Operating Expenses'!$S$5:$S$2005,$A129,'Operating Expenses'!$A$5:$A$2005,"&lt;"&amp;ReportFrom)+SUMIFS('Operating Expenses'!$N$5:$N$2005,'Operating Expenses'!$U$5:$U$2005,$A129,'Operating Expenses'!$A$5:$A$2005,"&lt;"&amp;ReportFrom)))</f>
        <v/>
      </c>
      <c r="P129" s="25">
        <f>IF($A129="",0,SUMIFS('Operating Expenses'!$F$5:$F$2005,'Operating Expenses'!$Q$5:$Q$2005,$A129,'Operating Expenses'!$A$5:$A$2005,"&gt;="&amp;ReportFrom,'Operating Expenses'!$A$5:$A$2005,"&lt;="&amp;ReportTo)+SUMIFS('Operating Expenses'!$M$5:$M$2005,'Operating Expenses'!$T$5:$T$2005,$A129,'Operating Expenses'!$A$5:$A$2005,"&gt;="&amp;ReportFrom,'Operating Expenses'!$A$5:$A$2005,"&lt;="&amp;ReportTo))</f>
        <v/>
      </c>
      <c r="Q129" s="25">
        <f>IF($A129="",0,SUMIFS('Operating Expenses'!$O$5:$O$2005,'Operating Expenses'!$R$5:$R$2005,$A129,'Operating Expenses'!$A$5:$A$2005,"&gt;="&amp;ReportFrom,'Operating Expenses'!$A$5:$A$2005,"&lt;="&amp;ReportTo)+SUMIFS('Operating Expenses'!$P$5:$P$2005,'Operating Expenses'!$S$5:$S$2005,$A129,'Operating Expenses'!$A$5:$A$2005,"&gt;="&amp;ReportFrom,'Operating Expenses'!$A$5:$A$2005,"&lt;="&amp;ReportTo)+SUMIFS('Operating Expenses'!$N$5:$N$2005,'Operating Expenses'!$U$5:$U$2005,$A129,'Operating Expenses'!$A$5:$A$2005,"&gt;="&amp;ReportFrom,'Operating Expenses'!$A$5:$A$2005,"&lt;="&amp;ReportTo))</f>
        <v/>
      </c>
      <c r="R129" s="25">
        <f>IF($A129="",0,(SUMIFS('Payroll'!$O$5:$O$2005,'Payroll'!$Q$5:$Q$2005,$A129,'Payroll'!$A$5:$A$2005,"&lt;"&amp;ReportFrom))-(SUMIFS('Payroll'!$K$5:$K$2005,'Payroll'!$R$5:$R$2005,$A129,'Payroll'!$A$5:$A$2005,"&lt;"&amp;ReportFrom)+SUMIFS('Payroll'!$P$5:$P$2005,'Payroll'!$S$5:$S$2005,$A129,'Payroll'!$A$5:$A$2005,"&lt;"&amp;ReportFrom)))</f>
        <v/>
      </c>
      <c r="S129" s="25">
        <f>IF($A129="",0,SUMIFS('Payroll'!$O$5:$O$2005,'Payroll'!$Q$5:$Q$2005,$A129,'Payroll'!$A$5:$A$2005,"&gt;="&amp;ReportFrom,'Payroll'!$A$5:$A$2005,"&lt;="&amp;ReportTo))</f>
        <v/>
      </c>
      <c r="T129" s="25">
        <f>IF($A129="",0,SUMIFS('Payroll'!$K$5:$K$2005,'Payroll'!$R$5:$R$2005,$A129,'Payroll'!$A$5:$A$2005,"&gt;="&amp;ReportFrom,'Payroll'!$A$5:$A$2005,"&lt;="&amp;ReportTo)+SUMIFS('Payroll'!$P$5:$P$2005,'Payroll'!$S$5:$S$2005,$A129,'Payroll'!$A$5:$A$2005,"&gt;="&amp;ReportFrom,'Payroll'!$A$5:$A$2005,"&lt;="&amp;ReportTo))</f>
        <v/>
      </c>
      <c r="U129" s="25">
        <f>IF($A129="",0,(SUMIFS('Receipt Vouchers'!$F$5:$F$2005,'Receipt Vouchers'!$O$5:$O$2005,$A129,'Receipt Vouchers'!$A$5:$A$2005,"&lt;"&amp;ReportFrom)+SUMIFS('Receipt Vouchers'!$J$5:$J$2005,'Receipt Vouchers'!$Q$5:$Q$2005,$A129,'Receipt Vouchers'!$A$5:$A$2005,"&lt;"&amp;ReportFrom))-(SUMIFS('Receipt Vouchers'!$N$5:$N$2005,'Receipt Vouchers'!$P$5:$P$2005,$A129,'Receipt Vouchers'!$A$5:$A$2005,"&lt;"&amp;ReportFrom)+SUMIFS('Receipt Vouchers'!$M$5:$M$2005,'Receipt Vouchers'!$R$5:$R$2005,$A129,'Receipt Vouchers'!$A$5:$A$2005,"&lt;"&amp;ReportFrom)))</f>
        <v/>
      </c>
      <c r="V129" s="25">
        <f>IF($A129="",0,SUMIFS('Receipt Vouchers'!$F$5:$F$2005,'Receipt Vouchers'!$O$5:$O$2005,$A129,'Receipt Vouchers'!$A$5:$A$2005,"&gt;="&amp;ReportFrom,'Receipt Vouchers'!$A$5:$A$2005,"&lt;="&amp;ReportTo)+SUMIFS('Receipt Vouchers'!$J$5:$J$2005,'Receipt Vouchers'!$Q$5:$Q$2005,$A129,'Receipt Vouchers'!$A$5:$A$2005,"&gt;="&amp;ReportFrom,'Receipt Vouchers'!$A$5:$A$2005,"&lt;="&amp;ReportTo))</f>
        <v/>
      </c>
      <c r="W129" s="25">
        <f>IF($A129="",0,SUMIFS('Receipt Vouchers'!$N$5:$N$2005,'Receipt Vouchers'!$P$5:$P$2005,$A129,'Receipt Vouchers'!$A$5:$A$2005,"&gt;="&amp;ReportFrom,'Receipt Vouchers'!$A$5:$A$2005,"&lt;="&amp;ReportTo)+SUMIFS('Receipt Vouchers'!$M$5:$M$2005,'Receipt Vouchers'!$R$5:$R$2005,$A129,'Receipt Vouchers'!$A$5:$A$2005,"&gt;="&amp;ReportFrom,'Receipt Vouchers'!$A$5:$A$2005,"&lt;="&amp;ReportTo))</f>
        <v/>
      </c>
      <c r="X129" s="25">
        <f>IF($A129="",0,(SUMIFS('Sales Invoices'!$O$5:$O$2005,'Sales Invoices'!$P$5:$P$2005,$A129,'Sales Invoices'!$B$5:$B$2005,"&lt;"&amp;ReportFrom)+SUMIFS('Sales Invoices'!$N$5:$N$2005,'Sales Invoices'!$R$5:$R$2005,$A129,'Sales Invoices'!$B$5:$B$2005,"&lt;"&amp;ReportFrom))-(SUMIFS('Sales Invoices'!$L$5:$L$2005,'Sales Invoices'!$Q$5:$Q$2005,$A129,'Sales Invoices'!$B$5:$B$2005,"&lt;"&amp;ReportFrom)+SUMIFS('Sales Invoices'!$M$5:$M$2005,'Sales Invoices'!$S$5:$S$2005,$A129,'Sales Invoices'!$B$5:$B$2005,"&lt;"&amp;ReportFrom)))</f>
        <v/>
      </c>
      <c r="Y129" s="25">
        <f>IF($A129="",0,SUMIFS('Sales Invoices'!$O$5:$O$2005,'Sales Invoices'!$P$5:$P$2005,$A129,'Sales Invoices'!$B$5:$B$2005,"&gt;="&amp;ReportFrom,'Sales Invoices'!$B$5:$B$2005,"&lt;="&amp;ReportTo)+SUMIFS('Sales Invoices'!$N$5:$N$2005,'Sales Invoices'!$R$5:$R$2005,$A129,'Sales Invoices'!$B$5:$B$2005,"&gt;="&amp;ReportFrom,'Sales Invoices'!$B$5:$B$2005,"&lt;="&amp;ReportTo))</f>
        <v/>
      </c>
      <c r="Z129" s="25">
        <f>IF($A129="",0,SUMIFS('Sales Invoices'!$L$5:$L$2005,'Sales Invoices'!$Q$5:$Q$2005,$A129,'Sales Invoices'!$B$5:$B$2005,"&gt;="&amp;ReportFrom,'Sales Invoices'!$B$5:$B$2005,"&lt;="&amp;ReportTo)+SUMIFS('Sales Invoices'!$M$5:$M$2005,'Sales Invoices'!$S$5:$S$2005,$A129,'Sales Invoices'!$B$5:$B$2005,"&gt;="&amp;ReportFrom,'Sales Invoices'!$B$5:$B$2005,"&lt;="&amp;ReportTo))</f>
        <v/>
      </c>
      <c r="AA129" s="25">
        <f>IF($A129="",0,(SUMIFS('Payment Vouchers'!$D$5:$D$2005,'Payment Vouchers'!$J$5:$J$2005,$A129,'Payment Vouchers'!$A$5:$A$2005,"&lt;"&amp;ReportFrom))-(SUMIFS('Payment Vouchers'!$D$5:$D$2005,'Payment Vouchers'!$K$5:$K$2005,$A129,'Payment Vouchers'!$A$5:$A$2005,"&lt;"&amp;ReportFrom)))</f>
        <v/>
      </c>
      <c r="AB129" s="25">
        <f>IF($A129="",0,SUMIFS('Payment Vouchers'!$D$5:$D$2005,'Payment Vouchers'!$J$5:$J$2005,$A129,'Payment Vouchers'!$A$5:$A$2005,"&gt;="&amp;ReportFrom,'Payment Vouchers'!$A$5:$A$2005,"&lt;="&amp;ReportTo))</f>
        <v/>
      </c>
      <c r="AC129" s="25">
        <f>IF($A129="",0,SUMIFS('Payment Vouchers'!$D$5:$D$2005,'Payment Vouchers'!$K$5:$K$2005,$A129,'Payment Vouchers'!$A$5:$A$2005,"&gt;="&amp;ReportFrom,'Payment Vouchers'!$A$5:$A$2005,"&lt;="&amp;ReportTo))</f>
        <v/>
      </c>
      <c r="AD129" s="25">
        <f>IF($A129="",0,(SUMIFS('Partner Transactions'!$D$5:$D$2005,'Partner Transactions'!$L$5:$L$2005,$A129,'Partner Transactions'!$A$5:$A$2005,"&lt;"&amp;ReportFrom))-(SUMIFS('Partner Transactions'!$D$5:$D$2005,'Partner Transactions'!$M$5:$M$2005,$A129,'Partner Transactions'!$A$5:$A$2005,"&lt;"&amp;ReportFrom)))</f>
        <v/>
      </c>
      <c r="AE129" s="25">
        <f>IF($A129="",0,SUMIFS('Partner Transactions'!$D$5:$D$2005,'Partner Transactions'!$L$5:$L$2005,$A129,'Partner Transactions'!$A$5:$A$2005,"&gt;="&amp;ReportFrom,'Partner Transactions'!$A$5:$A$2005,"&lt;="&amp;ReportTo))</f>
        <v/>
      </c>
      <c r="AF129" s="25">
        <f>IF($A129="",0,SUMIFS('Partner Transactions'!$D$5:$D$2005,'Partner Transactions'!$M$5:$M$2005,$A129,'Partner Transactions'!$A$5:$A$2005,"&gt;="&amp;ReportFrom,'Partner Transactions'!$A$5:$A$2005,"&lt;="&amp;ReportTo))</f>
        <v/>
      </c>
      <c r="AG129" s="25">
        <f>IF($A129="",0,(SUMIFS('Stock Moves'!$S$5:$S$2005,'Stock Moves'!$AD$5:$AD$2005,$A129,'Stock Moves'!$A$5:$A$2005,"&lt;"&amp;ReportFrom)+SUMIFS('Stock Moves'!$T$5:$T$2005,'Stock Moves'!$V$5:$V$2005,$A129,'Stock Moves'!$A$5:$A$2005,"&lt;"&amp;ReportFrom))-(SUMIFS('Stock Moves'!$AF$5:$AF$2005,'Stock Moves'!$AE$5:$AE$2005,$A129,'Stock Moves'!$A$5:$A$2005,"&lt;"&amp;ReportFrom)+SUMIFS('Stock Moves'!$AC$5:$AC$2005,'Stock Moves'!$X$5:$X$2005,$A129,'Stock Moves'!$A$5:$A$2005,"&lt;"&amp;ReportFrom)+SUMIFS('Stock Moves'!$U$5:$U$2005,'Stock Moves'!$W$5:$W$2005,$A129,'Stock Moves'!$A$5:$A$2005,"&lt;"&amp;ReportFrom)))</f>
        <v/>
      </c>
      <c r="AH129" s="25">
        <f>IF($A129="",0,SUMIFS('Stock Moves'!$S$5:$S$2005,'Stock Moves'!$AD$5:$AD$2005,$A129,'Stock Moves'!$A$5:$A$2005,"&gt;="&amp;ReportFrom,'Stock Moves'!$A$5:$A$2005,"&lt;="&amp;ReportTo)+SUMIFS('Stock Moves'!$T$5:$T$2005,'Stock Moves'!$V$5:$V$2005,$A129,'Stock Moves'!$A$5:$A$2005,"&gt;="&amp;ReportFrom,'Stock Moves'!$A$5:$A$2005,"&lt;="&amp;ReportTo))</f>
        <v/>
      </c>
      <c r="AI129" s="25">
        <f>IF($A129="",0,SUMIFS('Stock Moves'!$AF$5:$AF$2005,'Stock Moves'!$AE$5:$AE$2005,$A129,'Stock Moves'!$A$5:$A$2005,"&gt;="&amp;ReportFrom,'Stock Moves'!$A$5:$A$2005,"&lt;="&amp;ReportTo)+SUMIFS('Stock Moves'!$AC$5:$AC$2005,'Stock Moves'!$X$5:$X$2005,$A129,'Stock Moves'!$A$5:$A$2005,"&gt;="&amp;ReportFrom,'Stock Moves'!$A$5:$A$2005,"&lt;="&amp;ReportTo)+SUMIFS('Stock Moves'!$U$5:$U$2005,'Stock Moves'!$W$5:$W$2005,$A129,'Stock Moves'!$A$5:$A$2005,"&gt;="&amp;ReportFrom,'Stock Moves'!$A$5:$A$2005,"&lt;="&amp;ReportTo))</f>
        <v/>
      </c>
      <c r="AJ129" s="25">
        <f>IF($A129="",0,(SUMIFS('Journal Vouchers'!$I$5:$I$2005,'Journal Vouchers'!$H$5:$H$2005,$A129,'Journal Vouchers'!$B$5:$B$2005,"&lt;"&amp;ReportFrom))-(SUMIFS('Journal Vouchers'!$J$5:$J$2005,'Journal Vouchers'!$H$5:$H$2005,$A129,'Journal Vouchers'!$B$5:$B$2005,"&lt;"&amp;ReportFrom)))</f>
        <v/>
      </c>
      <c r="AK129" s="25">
        <f>IF($A129="",0,SUMIFS('Journal Vouchers'!$I$5:$I$2005,'Journal Vouchers'!$H$5:$H$2005,$A129,'Journal Vouchers'!$B$5:$B$2005,"&gt;="&amp;ReportFrom,'Journal Vouchers'!$B$5:$B$2005,"&lt;="&amp;ReportTo))</f>
        <v/>
      </c>
      <c r="AL129" s="25">
        <f>IF($A129="",0,SUMIFS('Journal Vouchers'!$J$5:$J$2005,'Journal Vouchers'!$H$5:$H$2005,$A129,'Journal Vouchers'!$B$5:$B$2005,"&gt;="&amp;ReportFrom,'Journal Vouchers'!$B$5:$B$2005,"&lt;="&amp;ReportTo))</f>
        <v/>
      </c>
    </row>
    <row r="130">
      <c r="A130" s="25">
        <f>IF('Chart of Accounts'!A130="","",'Chart of Accounts'!A130&amp;"")</f>
        <v/>
      </c>
      <c r="B130" s="25">
        <f>IF(A130="","",'Chart of Accounts'!B130)</f>
        <v/>
      </c>
      <c r="C130" s="25">
        <f>IF(A130="","",'Chart of Accounts'!C130)</f>
        <v/>
      </c>
      <c r="D130" s="25">
        <f>IF(A130="","",'Chart of Accounts'!D130)</f>
        <v/>
      </c>
      <c r="E130" s="26">
        <f>L130+O130+R130+U130+X130+AA130+AD130+AG130+AJ130</f>
        <v/>
      </c>
      <c r="F130" s="26">
        <f>M130+P130+S130+V130+Y130+AB130+AE130+AH130+AK130</f>
        <v/>
      </c>
      <c r="G130" s="26">
        <f>N130+Q130+T130+W130+Z130+AC130+AF130+AI130+AL130</f>
        <v/>
      </c>
      <c r="H130" s="26">
        <f>E130+F130-G130</f>
        <v/>
      </c>
      <c r="I130" s="26">
        <f>MAX(H130,0)</f>
        <v/>
      </c>
      <c r="J130" s="26">
        <f>MAX(-H130,0)</f>
        <v/>
      </c>
      <c r="L130" s="25">
        <f>IF($A130="",0,(SUMIFS('Direct Costs'!$R$5:$R$2005,'Direct Costs'!$V$5:$V$2005,$A130,'Direct Costs'!$A$5:$A$2005,"&lt;"&amp;ReportFrom)+SUMIFS('Direct Costs'!$S$5:$S$2005,'Direct Costs'!$Y$5:$Y$2005,$A130,'Direct Costs'!$A$5:$A$2005,"&lt;"&amp;ReportFrom))-(SUMIFS('Direct Costs'!$L$5:$L$2005,'Direct Costs'!$W$5:$W$2005,$A130,'Direct Costs'!$A$5:$A$2005,"&lt;"&amp;ReportFrom)+SUMIFS('Direct Costs'!$U$5:$U$2005,'Direct Costs'!$X$5:$X$2005,$A130,'Direct Costs'!$A$5:$A$2005,"&lt;"&amp;ReportFrom)+SUMIFS('Direct Costs'!$T$5:$T$2005,'Direct Costs'!$Z$5:$Z$2005,$A130,'Direct Costs'!$A$5:$A$2005,"&lt;"&amp;ReportFrom)))</f>
        <v/>
      </c>
      <c r="M130" s="25">
        <f>IF($A130="",0,SUMIFS('Direct Costs'!$R$5:$R$2005,'Direct Costs'!$V$5:$V$2005,$A130,'Direct Costs'!$A$5:$A$2005,"&gt;="&amp;ReportFrom,'Direct Costs'!$A$5:$A$2005,"&lt;="&amp;ReportTo)+SUMIFS('Direct Costs'!$S$5:$S$2005,'Direct Costs'!$Y$5:$Y$2005,$A130,'Direct Costs'!$A$5:$A$2005,"&gt;="&amp;ReportFrom,'Direct Costs'!$A$5:$A$2005,"&lt;="&amp;ReportTo))</f>
        <v/>
      </c>
      <c r="N130" s="25">
        <f>IF($A130="",0,SUMIFS('Direct Costs'!$L$5:$L$2005,'Direct Costs'!$W$5:$W$2005,$A130,'Direct Costs'!$A$5:$A$2005,"&gt;="&amp;ReportFrom,'Direct Costs'!$A$5:$A$2005,"&lt;="&amp;ReportTo)+SUMIFS('Direct Costs'!$U$5:$U$2005,'Direct Costs'!$X$5:$X$2005,$A130,'Direct Costs'!$A$5:$A$2005,"&gt;="&amp;ReportFrom,'Direct Costs'!$A$5:$A$2005,"&lt;="&amp;ReportTo)+SUMIFS('Direct Costs'!$T$5:$T$2005,'Direct Costs'!$Z$5:$Z$2005,$A130,'Direct Costs'!$A$5:$A$2005,"&gt;="&amp;ReportFrom,'Direct Costs'!$A$5:$A$2005,"&lt;="&amp;ReportTo))</f>
        <v/>
      </c>
      <c r="O130" s="25">
        <f>IF($A130="",0,(SUMIFS('Operating Expenses'!$F$5:$F$2005,'Operating Expenses'!$Q$5:$Q$2005,$A130,'Operating Expenses'!$A$5:$A$2005,"&lt;"&amp;ReportFrom)+SUMIFS('Operating Expenses'!$M$5:$M$2005,'Operating Expenses'!$T$5:$T$2005,$A130,'Operating Expenses'!$A$5:$A$2005,"&lt;"&amp;ReportFrom))-(SUMIFS('Operating Expenses'!$O$5:$O$2005,'Operating Expenses'!$R$5:$R$2005,$A130,'Operating Expenses'!$A$5:$A$2005,"&lt;"&amp;ReportFrom)+SUMIFS('Operating Expenses'!$P$5:$P$2005,'Operating Expenses'!$S$5:$S$2005,$A130,'Operating Expenses'!$A$5:$A$2005,"&lt;"&amp;ReportFrom)+SUMIFS('Operating Expenses'!$N$5:$N$2005,'Operating Expenses'!$U$5:$U$2005,$A130,'Operating Expenses'!$A$5:$A$2005,"&lt;"&amp;ReportFrom)))</f>
        <v/>
      </c>
      <c r="P130" s="25">
        <f>IF($A130="",0,SUMIFS('Operating Expenses'!$F$5:$F$2005,'Operating Expenses'!$Q$5:$Q$2005,$A130,'Operating Expenses'!$A$5:$A$2005,"&gt;="&amp;ReportFrom,'Operating Expenses'!$A$5:$A$2005,"&lt;="&amp;ReportTo)+SUMIFS('Operating Expenses'!$M$5:$M$2005,'Operating Expenses'!$T$5:$T$2005,$A130,'Operating Expenses'!$A$5:$A$2005,"&gt;="&amp;ReportFrom,'Operating Expenses'!$A$5:$A$2005,"&lt;="&amp;ReportTo))</f>
        <v/>
      </c>
      <c r="Q130" s="25">
        <f>IF($A130="",0,SUMIFS('Operating Expenses'!$O$5:$O$2005,'Operating Expenses'!$R$5:$R$2005,$A130,'Operating Expenses'!$A$5:$A$2005,"&gt;="&amp;ReportFrom,'Operating Expenses'!$A$5:$A$2005,"&lt;="&amp;ReportTo)+SUMIFS('Operating Expenses'!$P$5:$P$2005,'Operating Expenses'!$S$5:$S$2005,$A130,'Operating Expenses'!$A$5:$A$2005,"&gt;="&amp;ReportFrom,'Operating Expenses'!$A$5:$A$2005,"&lt;="&amp;ReportTo)+SUMIFS('Operating Expenses'!$N$5:$N$2005,'Operating Expenses'!$U$5:$U$2005,$A130,'Operating Expenses'!$A$5:$A$2005,"&gt;="&amp;ReportFrom,'Operating Expenses'!$A$5:$A$2005,"&lt;="&amp;ReportTo))</f>
        <v/>
      </c>
      <c r="R130" s="25">
        <f>IF($A130="",0,(SUMIFS('Payroll'!$O$5:$O$2005,'Payroll'!$Q$5:$Q$2005,$A130,'Payroll'!$A$5:$A$2005,"&lt;"&amp;ReportFrom))-(SUMIFS('Payroll'!$K$5:$K$2005,'Payroll'!$R$5:$R$2005,$A130,'Payroll'!$A$5:$A$2005,"&lt;"&amp;ReportFrom)+SUMIFS('Payroll'!$P$5:$P$2005,'Payroll'!$S$5:$S$2005,$A130,'Payroll'!$A$5:$A$2005,"&lt;"&amp;ReportFrom)))</f>
        <v/>
      </c>
      <c r="S130" s="25">
        <f>IF($A130="",0,SUMIFS('Payroll'!$O$5:$O$2005,'Payroll'!$Q$5:$Q$2005,$A130,'Payroll'!$A$5:$A$2005,"&gt;="&amp;ReportFrom,'Payroll'!$A$5:$A$2005,"&lt;="&amp;ReportTo))</f>
        <v/>
      </c>
      <c r="T130" s="25">
        <f>IF($A130="",0,SUMIFS('Payroll'!$K$5:$K$2005,'Payroll'!$R$5:$R$2005,$A130,'Payroll'!$A$5:$A$2005,"&gt;="&amp;ReportFrom,'Payroll'!$A$5:$A$2005,"&lt;="&amp;ReportTo)+SUMIFS('Payroll'!$P$5:$P$2005,'Payroll'!$S$5:$S$2005,$A130,'Payroll'!$A$5:$A$2005,"&gt;="&amp;ReportFrom,'Payroll'!$A$5:$A$2005,"&lt;="&amp;ReportTo))</f>
        <v/>
      </c>
      <c r="U130" s="25">
        <f>IF($A130="",0,(SUMIFS('Receipt Vouchers'!$F$5:$F$2005,'Receipt Vouchers'!$O$5:$O$2005,$A130,'Receipt Vouchers'!$A$5:$A$2005,"&lt;"&amp;ReportFrom)+SUMIFS('Receipt Vouchers'!$J$5:$J$2005,'Receipt Vouchers'!$Q$5:$Q$2005,$A130,'Receipt Vouchers'!$A$5:$A$2005,"&lt;"&amp;ReportFrom))-(SUMIFS('Receipt Vouchers'!$N$5:$N$2005,'Receipt Vouchers'!$P$5:$P$2005,$A130,'Receipt Vouchers'!$A$5:$A$2005,"&lt;"&amp;ReportFrom)+SUMIFS('Receipt Vouchers'!$M$5:$M$2005,'Receipt Vouchers'!$R$5:$R$2005,$A130,'Receipt Vouchers'!$A$5:$A$2005,"&lt;"&amp;ReportFrom)))</f>
        <v/>
      </c>
      <c r="V130" s="25">
        <f>IF($A130="",0,SUMIFS('Receipt Vouchers'!$F$5:$F$2005,'Receipt Vouchers'!$O$5:$O$2005,$A130,'Receipt Vouchers'!$A$5:$A$2005,"&gt;="&amp;ReportFrom,'Receipt Vouchers'!$A$5:$A$2005,"&lt;="&amp;ReportTo)+SUMIFS('Receipt Vouchers'!$J$5:$J$2005,'Receipt Vouchers'!$Q$5:$Q$2005,$A130,'Receipt Vouchers'!$A$5:$A$2005,"&gt;="&amp;ReportFrom,'Receipt Vouchers'!$A$5:$A$2005,"&lt;="&amp;ReportTo))</f>
        <v/>
      </c>
      <c r="W130" s="25">
        <f>IF($A130="",0,SUMIFS('Receipt Vouchers'!$N$5:$N$2005,'Receipt Vouchers'!$P$5:$P$2005,$A130,'Receipt Vouchers'!$A$5:$A$2005,"&gt;="&amp;ReportFrom,'Receipt Vouchers'!$A$5:$A$2005,"&lt;="&amp;ReportTo)+SUMIFS('Receipt Vouchers'!$M$5:$M$2005,'Receipt Vouchers'!$R$5:$R$2005,$A130,'Receipt Vouchers'!$A$5:$A$2005,"&gt;="&amp;ReportFrom,'Receipt Vouchers'!$A$5:$A$2005,"&lt;="&amp;ReportTo))</f>
        <v/>
      </c>
      <c r="X130" s="25">
        <f>IF($A130="",0,(SUMIFS('Sales Invoices'!$O$5:$O$2005,'Sales Invoices'!$P$5:$P$2005,$A130,'Sales Invoices'!$B$5:$B$2005,"&lt;"&amp;ReportFrom)+SUMIFS('Sales Invoices'!$N$5:$N$2005,'Sales Invoices'!$R$5:$R$2005,$A130,'Sales Invoices'!$B$5:$B$2005,"&lt;"&amp;ReportFrom))-(SUMIFS('Sales Invoices'!$L$5:$L$2005,'Sales Invoices'!$Q$5:$Q$2005,$A130,'Sales Invoices'!$B$5:$B$2005,"&lt;"&amp;ReportFrom)+SUMIFS('Sales Invoices'!$M$5:$M$2005,'Sales Invoices'!$S$5:$S$2005,$A130,'Sales Invoices'!$B$5:$B$2005,"&lt;"&amp;ReportFrom)))</f>
        <v/>
      </c>
      <c r="Y130" s="25">
        <f>IF($A130="",0,SUMIFS('Sales Invoices'!$O$5:$O$2005,'Sales Invoices'!$P$5:$P$2005,$A130,'Sales Invoices'!$B$5:$B$2005,"&gt;="&amp;ReportFrom,'Sales Invoices'!$B$5:$B$2005,"&lt;="&amp;ReportTo)+SUMIFS('Sales Invoices'!$N$5:$N$2005,'Sales Invoices'!$R$5:$R$2005,$A130,'Sales Invoices'!$B$5:$B$2005,"&gt;="&amp;ReportFrom,'Sales Invoices'!$B$5:$B$2005,"&lt;="&amp;ReportTo))</f>
        <v/>
      </c>
      <c r="Z130" s="25">
        <f>IF($A130="",0,SUMIFS('Sales Invoices'!$L$5:$L$2005,'Sales Invoices'!$Q$5:$Q$2005,$A130,'Sales Invoices'!$B$5:$B$2005,"&gt;="&amp;ReportFrom,'Sales Invoices'!$B$5:$B$2005,"&lt;="&amp;ReportTo)+SUMIFS('Sales Invoices'!$M$5:$M$2005,'Sales Invoices'!$S$5:$S$2005,$A130,'Sales Invoices'!$B$5:$B$2005,"&gt;="&amp;ReportFrom,'Sales Invoices'!$B$5:$B$2005,"&lt;="&amp;ReportTo))</f>
        <v/>
      </c>
      <c r="AA130" s="25">
        <f>IF($A130="",0,(SUMIFS('Payment Vouchers'!$D$5:$D$2005,'Payment Vouchers'!$J$5:$J$2005,$A130,'Payment Vouchers'!$A$5:$A$2005,"&lt;"&amp;ReportFrom))-(SUMIFS('Payment Vouchers'!$D$5:$D$2005,'Payment Vouchers'!$K$5:$K$2005,$A130,'Payment Vouchers'!$A$5:$A$2005,"&lt;"&amp;ReportFrom)))</f>
        <v/>
      </c>
      <c r="AB130" s="25">
        <f>IF($A130="",0,SUMIFS('Payment Vouchers'!$D$5:$D$2005,'Payment Vouchers'!$J$5:$J$2005,$A130,'Payment Vouchers'!$A$5:$A$2005,"&gt;="&amp;ReportFrom,'Payment Vouchers'!$A$5:$A$2005,"&lt;="&amp;ReportTo))</f>
        <v/>
      </c>
      <c r="AC130" s="25">
        <f>IF($A130="",0,SUMIFS('Payment Vouchers'!$D$5:$D$2005,'Payment Vouchers'!$K$5:$K$2005,$A130,'Payment Vouchers'!$A$5:$A$2005,"&gt;="&amp;ReportFrom,'Payment Vouchers'!$A$5:$A$2005,"&lt;="&amp;ReportTo))</f>
        <v/>
      </c>
      <c r="AD130" s="25">
        <f>IF($A130="",0,(SUMIFS('Partner Transactions'!$D$5:$D$2005,'Partner Transactions'!$L$5:$L$2005,$A130,'Partner Transactions'!$A$5:$A$2005,"&lt;"&amp;ReportFrom))-(SUMIFS('Partner Transactions'!$D$5:$D$2005,'Partner Transactions'!$M$5:$M$2005,$A130,'Partner Transactions'!$A$5:$A$2005,"&lt;"&amp;ReportFrom)))</f>
        <v/>
      </c>
      <c r="AE130" s="25">
        <f>IF($A130="",0,SUMIFS('Partner Transactions'!$D$5:$D$2005,'Partner Transactions'!$L$5:$L$2005,$A130,'Partner Transactions'!$A$5:$A$2005,"&gt;="&amp;ReportFrom,'Partner Transactions'!$A$5:$A$2005,"&lt;="&amp;ReportTo))</f>
        <v/>
      </c>
      <c r="AF130" s="25">
        <f>IF($A130="",0,SUMIFS('Partner Transactions'!$D$5:$D$2005,'Partner Transactions'!$M$5:$M$2005,$A130,'Partner Transactions'!$A$5:$A$2005,"&gt;="&amp;ReportFrom,'Partner Transactions'!$A$5:$A$2005,"&lt;="&amp;ReportTo))</f>
        <v/>
      </c>
      <c r="AG130" s="25">
        <f>IF($A130="",0,(SUMIFS('Stock Moves'!$S$5:$S$2005,'Stock Moves'!$AD$5:$AD$2005,$A130,'Stock Moves'!$A$5:$A$2005,"&lt;"&amp;ReportFrom)+SUMIFS('Stock Moves'!$T$5:$T$2005,'Stock Moves'!$V$5:$V$2005,$A130,'Stock Moves'!$A$5:$A$2005,"&lt;"&amp;ReportFrom))-(SUMIFS('Stock Moves'!$AF$5:$AF$2005,'Stock Moves'!$AE$5:$AE$2005,$A130,'Stock Moves'!$A$5:$A$2005,"&lt;"&amp;ReportFrom)+SUMIFS('Stock Moves'!$AC$5:$AC$2005,'Stock Moves'!$X$5:$X$2005,$A130,'Stock Moves'!$A$5:$A$2005,"&lt;"&amp;ReportFrom)+SUMIFS('Stock Moves'!$U$5:$U$2005,'Stock Moves'!$W$5:$W$2005,$A130,'Stock Moves'!$A$5:$A$2005,"&lt;"&amp;ReportFrom)))</f>
        <v/>
      </c>
      <c r="AH130" s="25">
        <f>IF($A130="",0,SUMIFS('Stock Moves'!$S$5:$S$2005,'Stock Moves'!$AD$5:$AD$2005,$A130,'Stock Moves'!$A$5:$A$2005,"&gt;="&amp;ReportFrom,'Stock Moves'!$A$5:$A$2005,"&lt;="&amp;ReportTo)+SUMIFS('Stock Moves'!$T$5:$T$2005,'Stock Moves'!$V$5:$V$2005,$A130,'Stock Moves'!$A$5:$A$2005,"&gt;="&amp;ReportFrom,'Stock Moves'!$A$5:$A$2005,"&lt;="&amp;ReportTo))</f>
        <v/>
      </c>
      <c r="AI130" s="25">
        <f>IF($A130="",0,SUMIFS('Stock Moves'!$AF$5:$AF$2005,'Stock Moves'!$AE$5:$AE$2005,$A130,'Stock Moves'!$A$5:$A$2005,"&gt;="&amp;ReportFrom,'Stock Moves'!$A$5:$A$2005,"&lt;="&amp;ReportTo)+SUMIFS('Stock Moves'!$AC$5:$AC$2005,'Stock Moves'!$X$5:$X$2005,$A130,'Stock Moves'!$A$5:$A$2005,"&gt;="&amp;ReportFrom,'Stock Moves'!$A$5:$A$2005,"&lt;="&amp;ReportTo)+SUMIFS('Stock Moves'!$U$5:$U$2005,'Stock Moves'!$W$5:$W$2005,$A130,'Stock Moves'!$A$5:$A$2005,"&gt;="&amp;ReportFrom,'Stock Moves'!$A$5:$A$2005,"&lt;="&amp;ReportTo))</f>
        <v/>
      </c>
      <c r="AJ130" s="25">
        <f>IF($A130="",0,(SUMIFS('Journal Vouchers'!$I$5:$I$2005,'Journal Vouchers'!$H$5:$H$2005,$A130,'Journal Vouchers'!$B$5:$B$2005,"&lt;"&amp;ReportFrom))-(SUMIFS('Journal Vouchers'!$J$5:$J$2005,'Journal Vouchers'!$H$5:$H$2005,$A130,'Journal Vouchers'!$B$5:$B$2005,"&lt;"&amp;ReportFrom)))</f>
        <v/>
      </c>
      <c r="AK130" s="25">
        <f>IF($A130="",0,SUMIFS('Journal Vouchers'!$I$5:$I$2005,'Journal Vouchers'!$H$5:$H$2005,$A130,'Journal Vouchers'!$B$5:$B$2005,"&gt;="&amp;ReportFrom,'Journal Vouchers'!$B$5:$B$2005,"&lt;="&amp;ReportTo))</f>
        <v/>
      </c>
      <c r="AL130" s="25">
        <f>IF($A130="",0,SUMIFS('Journal Vouchers'!$J$5:$J$2005,'Journal Vouchers'!$H$5:$H$2005,$A130,'Journal Vouchers'!$B$5:$B$2005,"&gt;="&amp;ReportFrom,'Journal Vouchers'!$B$5:$B$2005,"&lt;="&amp;ReportTo))</f>
        <v/>
      </c>
    </row>
    <row r="131">
      <c r="A131" s="25">
        <f>IF('Chart of Accounts'!A131="","",'Chart of Accounts'!A131&amp;"")</f>
        <v/>
      </c>
      <c r="B131" s="25">
        <f>IF(A131="","",'Chart of Accounts'!B131)</f>
        <v/>
      </c>
      <c r="C131" s="25">
        <f>IF(A131="","",'Chart of Accounts'!C131)</f>
        <v/>
      </c>
      <c r="D131" s="25">
        <f>IF(A131="","",'Chart of Accounts'!D131)</f>
        <v/>
      </c>
      <c r="E131" s="26">
        <f>L131+O131+R131+U131+X131+AA131+AD131+AG131+AJ131</f>
        <v/>
      </c>
      <c r="F131" s="26">
        <f>M131+P131+S131+V131+Y131+AB131+AE131+AH131+AK131</f>
        <v/>
      </c>
      <c r="G131" s="26">
        <f>N131+Q131+T131+W131+Z131+AC131+AF131+AI131+AL131</f>
        <v/>
      </c>
      <c r="H131" s="26">
        <f>E131+F131-G131</f>
        <v/>
      </c>
      <c r="I131" s="26">
        <f>MAX(H131,0)</f>
        <v/>
      </c>
      <c r="J131" s="26">
        <f>MAX(-H131,0)</f>
        <v/>
      </c>
      <c r="L131" s="25">
        <f>IF($A131="",0,(SUMIFS('Direct Costs'!$R$5:$R$2005,'Direct Costs'!$V$5:$V$2005,$A131,'Direct Costs'!$A$5:$A$2005,"&lt;"&amp;ReportFrom)+SUMIFS('Direct Costs'!$S$5:$S$2005,'Direct Costs'!$Y$5:$Y$2005,$A131,'Direct Costs'!$A$5:$A$2005,"&lt;"&amp;ReportFrom))-(SUMIFS('Direct Costs'!$L$5:$L$2005,'Direct Costs'!$W$5:$W$2005,$A131,'Direct Costs'!$A$5:$A$2005,"&lt;"&amp;ReportFrom)+SUMIFS('Direct Costs'!$U$5:$U$2005,'Direct Costs'!$X$5:$X$2005,$A131,'Direct Costs'!$A$5:$A$2005,"&lt;"&amp;ReportFrom)+SUMIFS('Direct Costs'!$T$5:$T$2005,'Direct Costs'!$Z$5:$Z$2005,$A131,'Direct Costs'!$A$5:$A$2005,"&lt;"&amp;ReportFrom)))</f>
        <v/>
      </c>
      <c r="M131" s="25">
        <f>IF($A131="",0,SUMIFS('Direct Costs'!$R$5:$R$2005,'Direct Costs'!$V$5:$V$2005,$A131,'Direct Costs'!$A$5:$A$2005,"&gt;="&amp;ReportFrom,'Direct Costs'!$A$5:$A$2005,"&lt;="&amp;ReportTo)+SUMIFS('Direct Costs'!$S$5:$S$2005,'Direct Costs'!$Y$5:$Y$2005,$A131,'Direct Costs'!$A$5:$A$2005,"&gt;="&amp;ReportFrom,'Direct Costs'!$A$5:$A$2005,"&lt;="&amp;ReportTo))</f>
        <v/>
      </c>
      <c r="N131" s="25">
        <f>IF($A131="",0,SUMIFS('Direct Costs'!$L$5:$L$2005,'Direct Costs'!$W$5:$W$2005,$A131,'Direct Costs'!$A$5:$A$2005,"&gt;="&amp;ReportFrom,'Direct Costs'!$A$5:$A$2005,"&lt;="&amp;ReportTo)+SUMIFS('Direct Costs'!$U$5:$U$2005,'Direct Costs'!$X$5:$X$2005,$A131,'Direct Costs'!$A$5:$A$2005,"&gt;="&amp;ReportFrom,'Direct Costs'!$A$5:$A$2005,"&lt;="&amp;ReportTo)+SUMIFS('Direct Costs'!$T$5:$T$2005,'Direct Costs'!$Z$5:$Z$2005,$A131,'Direct Costs'!$A$5:$A$2005,"&gt;="&amp;ReportFrom,'Direct Costs'!$A$5:$A$2005,"&lt;="&amp;ReportTo))</f>
        <v/>
      </c>
      <c r="O131" s="25">
        <f>IF($A131="",0,(SUMIFS('Operating Expenses'!$F$5:$F$2005,'Operating Expenses'!$Q$5:$Q$2005,$A131,'Operating Expenses'!$A$5:$A$2005,"&lt;"&amp;ReportFrom)+SUMIFS('Operating Expenses'!$M$5:$M$2005,'Operating Expenses'!$T$5:$T$2005,$A131,'Operating Expenses'!$A$5:$A$2005,"&lt;"&amp;ReportFrom))-(SUMIFS('Operating Expenses'!$O$5:$O$2005,'Operating Expenses'!$R$5:$R$2005,$A131,'Operating Expenses'!$A$5:$A$2005,"&lt;"&amp;ReportFrom)+SUMIFS('Operating Expenses'!$P$5:$P$2005,'Operating Expenses'!$S$5:$S$2005,$A131,'Operating Expenses'!$A$5:$A$2005,"&lt;"&amp;ReportFrom)+SUMIFS('Operating Expenses'!$N$5:$N$2005,'Operating Expenses'!$U$5:$U$2005,$A131,'Operating Expenses'!$A$5:$A$2005,"&lt;"&amp;ReportFrom)))</f>
        <v/>
      </c>
      <c r="P131" s="25">
        <f>IF($A131="",0,SUMIFS('Operating Expenses'!$F$5:$F$2005,'Operating Expenses'!$Q$5:$Q$2005,$A131,'Operating Expenses'!$A$5:$A$2005,"&gt;="&amp;ReportFrom,'Operating Expenses'!$A$5:$A$2005,"&lt;="&amp;ReportTo)+SUMIFS('Operating Expenses'!$M$5:$M$2005,'Operating Expenses'!$T$5:$T$2005,$A131,'Operating Expenses'!$A$5:$A$2005,"&gt;="&amp;ReportFrom,'Operating Expenses'!$A$5:$A$2005,"&lt;="&amp;ReportTo))</f>
        <v/>
      </c>
      <c r="Q131" s="25">
        <f>IF($A131="",0,SUMIFS('Operating Expenses'!$O$5:$O$2005,'Operating Expenses'!$R$5:$R$2005,$A131,'Operating Expenses'!$A$5:$A$2005,"&gt;="&amp;ReportFrom,'Operating Expenses'!$A$5:$A$2005,"&lt;="&amp;ReportTo)+SUMIFS('Operating Expenses'!$P$5:$P$2005,'Operating Expenses'!$S$5:$S$2005,$A131,'Operating Expenses'!$A$5:$A$2005,"&gt;="&amp;ReportFrom,'Operating Expenses'!$A$5:$A$2005,"&lt;="&amp;ReportTo)+SUMIFS('Operating Expenses'!$N$5:$N$2005,'Operating Expenses'!$U$5:$U$2005,$A131,'Operating Expenses'!$A$5:$A$2005,"&gt;="&amp;ReportFrom,'Operating Expenses'!$A$5:$A$2005,"&lt;="&amp;ReportTo))</f>
        <v/>
      </c>
      <c r="R131" s="25">
        <f>IF($A131="",0,(SUMIFS('Payroll'!$O$5:$O$2005,'Payroll'!$Q$5:$Q$2005,$A131,'Payroll'!$A$5:$A$2005,"&lt;"&amp;ReportFrom))-(SUMIFS('Payroll'!$K$5:$K$2005,'Payroll'!$R$5:$R$2005,$A131,'Payroll'!$A$5:$A$2005,"&lt;"&amp;ReportFrom)+SUMIFS('Payroll'!$P$5:$P$2005,'Payroll'!$S$5:$S$2005,$A131,'Payroll'!$A$5:$A$2005,"&lt;"&amp;ReportFrom)))</f>
        <v/>
      </c>
      <c r="S131" s="25">
        <f>IF($A131="",0,SUMIFS('Payroll'!$O$5:$O$2005,'Payroll'!$Q$5:$Q$2005,$A131,'Payroll'!$A$5:$A$2005,"&gt;="&amp;ReportFrom,'Payroll'!$A$5:$A$2005,"&lt;="&amp;ReportTo))</f>
        <v/>
      </c>
      <c r="T131" s="25">
        <f>IF($A131="",0,SUMIFS('Payroll'!$K$5:$K$2005,'Payroll'!$R$5:$R$2005,$A131,'Payroll'!$A$5:$A$2005,"&gt;="&amp;ReportFrom,'Payroll'!$A$5:$A$2005,"&lt;="&amp;ReportTo)+SUMIFS('Payroll'!$P$5:$P$2005,'Payroll'!$S$5:$S$2005,$A131,'Payroll'!$A$5:$A$2005,"&gt;="&amp;ReportFrom,'Payroll'!$A$5:$A$2005,"&lt;="&amp;ReportTo))</f>
        <v/>
      </c>
      <c r="U131" s="25">
        <f>IF($A131="",0,(SUMIFS('Receipt Vouchers'!$F$5:$F$2005,'Receipt Vouchers'!$O$5:$O$2005,$A131,'Receipt Vouchers'!$A$5:$A$2005,"&lt;"&amp;ReportFrom)+SUMIFS('Receipt Vouchers'!$J$5:$J$2005,'Receipt Vouchers'!$Q$5:$Q$2005,$A131,'Receipt Vouchers'!$A$5:$A$2005,"&lt;"&amp;ReportFrom))-(SUMIFS('Receipt Vouchers'!$N$5:$N$2005,'Receipt Vouchers'!$P$5:$P$2005,$A131,'Receipt Vouchers'!$A$5:$A$2005,"&lt;"&amp;ReportFrom)+SUMIFS('Receipt Vouchers'!$M$5:$M$2005,'Receipt Vouchers'!$R$5:$R$2005,$A131,'Receipt Vouchers'!$A$5:$A$2005,"&lt;"&amp;ReportFrom)))</f>
        <v/>
      </c>
      <c r="V131" s="25">
        <f>IF($A131="",0,SUMIFS('Receipt Vouchers'!$F$5:$F$2005,'Receipt Vouchers'!$O$5:$O$2005,$A131,'Receipt Vouchers'!$A$5:$A$2005,"&gt;="&amp;ReportFrom,'Receipt Vouchers'!$A$5:$A$2005,"&lt;="&amp;ReportTo)+SUMIFS('Receipt Vouchers'!$J$5:$J$2005,'Receipt Vouchers'!$Q$5:$Q$2005,$A131,'Receipt Vouchers'!$A$5:$A$2005,"&gt;="&amp;ReportFrom,'Receipt Vouchers'!$A$5:$A$2005,"&lt;="&amp;ReportTo))</f>
        <v/>
      </c>
      <c r="W131" s="25">
        <f>IF($A131="",0,SUMIFS('Receipt Vouchers'!$N$5:$N$2005,'Receipt Vouchers'!$P$5:$P$2005,$A131,'Receipt Vouchers'!$A$5:$A$2005,"&gt;="&amp;ReportFrom,'Receipt Vouchers'!$A$5:$A$2005,"&lt;="&amp;ReportTo)+SUMIFS('Receipt Vouchers'!$M$5:$M$2005,'Receipt Vouchers'!$R$5:$R$2005,$A131,'Receipt Vouchers'!$A$5:$A$2005,"&gt;="&amp;ReportFrom,'Receipt Vouchers'!$A$5:$A$2005,"&lt;="&amp;ReportTo))</f>
        <v/>
      </c>
      <c r="X131" s="25">
        <f>IF($A131="",0,(SUMIFS('Sales Invoices'!$O$5:$O$2005,'Sales Invoices'!$P$5:$P$2005,$A131,'Sales Invoices'!$B$5:$B$2005,"&lt;"&amp;ReportFrom)+SUMIFS('Sales Invoices'!$N$5:$N$2005,'Sales Invoices'!$R$5:$R$2005,$A131,'Sales Invoices'!$B$5:$B$2005,"&lt;"&amp;ReportFrom))-(SUMIFS('Sales Invoices'!$L$5:$L$2005,'Sales Invoices'!$Q$5:$Q$2005,$A131,'Sales Invoices'!$B$5:$B$2005,"&lt;"&amp;ReportFrom)+SUMIFS('Sales Invoices'!$M$5:$M$2005,'Sales Invoices'!$S$5:$S$2005,$A131,'Sales Invoices'!$B$5:$B$2005,"&lt;"&amp;ReportFrom)))</f>
        <v/>
      </c>
      <c r="Y131" s="25">
        <f>IF($A131="",0,SUMIFS('Sales Invoices'!$O$5:$O$2005,'Sales Invoices'!$P$5:$P$2005,$A131,'Sales Invoices'!$B$5:$B$2005,"&gt;="&amp;ReportFrom,'Sales Invoices'!$B$5:$B$2005,"&lt;="&amp;ReportTo)+SUMIFS('Sales Invoices'!$N$5:$N$2005,'Sales Invoices'!$R$5:$R$2005,$A131,'Sales Invoices'!$B$5:$B$2005,"&gt;="&amp;ReportFrom,'Sales Invoices'!$B$5:$B$2005,"&lt;="&amp;ReportTo))</f>
        <v/>
      </c>
      <c r="Z131" s="25">
        <f>IF($A131="",0,SUMIFS('Sales Invoices'!$L$5:$L$2005,'Sales Invoices'!$Q$5:$Q$2005,$A131,'Sales Invoices'!$B$5:$B$2005,"&gt;="&amp;ReportFrom,'Sales Invoices'!$B$5:$B$2005,"&lt;="&amp;ReportTo)+SUMIFS('Sales Invoices'!$M$5:$M$2005,'Sales Invoices'!$S$5:$S$2005,$A131,'Sales Invoices'!$B$5:$B$2005,"&gt;="&amp;ReportFrom,'Sales Invoices'!$B$5:$B$2005,"&lt;="&amp;ReportTo))</f>
        <v/>
      </c>
      <c r="AA131" s="25">
        <f>IF($A131="",0,(SUMIFS('Payment Vouchers'!$D$5:$D$2005,'Payment Vouchers'!$J$5:$J$2005,$A131,'Payment Vouchers'!$A$5:$A$2005,"&lt;"&amp;ReportFrom))-(SUMIFS('Payment Vouchers'!$D$5:$D$2005,'Payment Vouchers'!$K$5:$K$2005,$A131,'Payment Vouchers'!$A$5:$A$2005,"&lt;"&amp;ReportFrom)))</f>
        <v/>
      </c>
      <c r="AB131" s="25">
        <f>IF($A131="",0,SUMIFS('Payment Vouchers'!$D$5:$D$2005,'Payment Vouchers'!$J$5:$J$2005,$A131,'Payment Vouchers'!$A$5:$A$2005,"&gt;="&amp;ReportFrom,'Payment Vouchers'!$A$5:$A$2005,"&lt;="&amp;ReportTo))</f>
        <v/>
      </c>
      <c r="AC131" s="25">
        <f>IF($A131="",0,SUMIFS('Payment Vouchers'!$D$5:$D$2005,'Payment Vouchers'!$K$5:$K$2005,$A131,'Payment Vouchers'!$A$5:$A$2005,"&gt;="&amp;ReportFrom,'Payment Vouchers'!$A$5:$A$2005,"&lt;="&amp;ReportTo))</f>
        <v/>
      </c>
      <c r="AD131" s="25">
        <f>IF($A131="",0,(SUMIFS('Partner Transactions'!$D$5:$D$2005,'Partner Transactions'!$L$5:$L$2005,$A131,'Partner Transactions'!$A$5:$A$2005,"&lt;"&amp;ReportFrom))-(SUMIFS('Partner Transactions'!$D$5:$D$2005,'Partner Transactions'!$M$5:$M$2005,$A131,'Partner Transactions'!$A$5:$A$2005,"&lt;"&amp;ReportFrom)))</f>
        <v/>
      </c>
      <c r="AE131" s="25">
        <f>IF($A131="",0,SUMIFS('Partner Transactions'!$D$5:$D$2005,'Partner Transactions'!$L$5:$L$2005,$A131,'Partner Transactions'!$A$5:$A$2005,"&gt;="&amp;ReportFrom,'Partner Transactions'!$A$5:$A$2005,"&lt;="&amp;ReportTo))</f>
        <v/>
      </c>
      <c r="AF131" s="25">
        <f>IF($A131="",0,SUMIFS('Partner Transactions'!$D$5:$D$2005,'Partner Transactions'!$M$5:$M$2005,$A131,'Partner Transactions'!$A$5:$A$2005,"&gt;="&amp;ReportFrom,'Partner Transactions'!$A$5:$A$2005,"&lt;="&amp;ReportTo))</f>
        <v/>
      </c>
      <c r="AG131" s="25">
        <f>IF($A131="",0,(SUMIFS('Stock Moves'!$S$5:$S$2005,'Stock Moves'!$AD$5:$AD$2005,$A131,'Stock Moves'!$A$5:$A$2005,"&lt;"&amp;ReportFrom)+SUMIFS('Stock Moves'!$T$5:$T$2005,'Stock Moves'!$V$5:$V$2005,$A131,'Stock Moves'!$A$5:$A$2005,"&lt;"&amp;ReportFrom))-(SUMIFS('Stock Moves'!$AF$5:$AF$2005,'Stock Moves'!$AE$5:$AE$2005,$A131,'Stock Moves'!$A$5:$A$2005,"&lt;"&amp;ReportFrom)+SUMIFS('Stock Moves'!$AC$5:$AC$2005,'Stock Moves'!$X$5:$X$2005,$A131,'Stock Moves'!$A$5:$A$2005,"&lt;"&amp;ReportFrom)+SUMIFS('Stock Moves'!$U$5:$U$2005,'Stock Moves'!$W$5:$W$2005,$A131,'Stock Moves'!$A$5:$A$2005,"&lt;"&amp;ReportFrom)))</f>
        <v/>
      </c>
      <c r="AH131" s="25">
        <f>IF($A131="",0,SUMIFS('Stock Moves'!$S$5:$S$2005,'Stock Moves'!$AD$5:$AD$2005,$A131,'Stock Moves'!$A$5:$A$2005,"&gt;="&amp;ReportFrom,'Stock Moves'!$A$5:$A$2005,"&lt;="&amp;ReportTo)+SUMIFS('Stock Moves'!$T$5:$T$2005,'Stock Moves'!$V$5:$V$2005,$A131,'Stock Moves'!$A$5:$A$2005,"&gt;="&amp;ReportFrom,'Stock Moves'!$A$5:$A$2005,"&lt;="&amp;ReportTo))</f>
        <v/>
      </c>
      <c r="AI131" s="25">
        <f>IF($A131="",0,SUMIFS('Stock Moves'!$AF$5:$AF$2005,'Stock Moves'!$AE$5:$AE$2005,$A131,'Stock Moves'!$A$5:$A$2005,"&gt;="&amp;ReportFrom,'Stock Moves'!$A$5:$A$2005,"&lt;="&amp;ReportTo)+SUMIFS('Stock Moves'!$AC$5:$AC$2005,'Stock Moves'!$X$5:$X$2005,$A131,'Stock Moves'!$A$5:$A$2005,"&gt;="&amp;ReportFrom,'Stock Moves'!$A$5:$A$2005,"&lt;="&amp;ReportTo)+SUMIFS('Stock Moves'!$U$5:$U$2005,'Stock Moves'!$W$5:$W$2005,$A131,'Stock Moves'!$A$5:$A$2005,"&gt;="&amp;ReportFrom,'Stock Moves'!$A$5:$A$2005,"&lt;="&amp;ReportTo))</f>
        <v/>
      </c>
      <c r="AJ131" s="25">
        <f>IF($A131="",0,(SUMIFS('Journal Vouchers'!$I$5:$I$2005,'Journal Vouchers'!$H$5:$H$2005,$A131,'Journal Vouchers'!$B$5:$B$2005,"&lt;"&amp;ReportFrom))-(SUMIFS('Journal Vouchers'!$J$5:$J$2005,'Journal Vouchers'!$H$5:$H$2005,$A131,'Journal Vouchers'!$B$5:$B$2005,"&lt;"&amp;ReportFrom)))</f>
        <v/>
      </c>
      <c r="AK131" s="25">
        <f>IF($A131="",0,SUMIFS('Journal Vouchers'!$I$5:$I$2005,'Journal Vouchers'!$H$5:$H$2005,$A131,'Journal Vouchers'!$B$5:$B$2005,"&gt;="&amp;ReportFrom,'Journal Vouchers'!$B$5:$B$2005,"&lt;="&amp;ReportTo))</f>
        <v/>
      </c>
      <c r="AL131" s="25">
        <f>IF($A131="",0,SUMIFS('Journal Vouchers'!$J$5:$J$2005,'Journal Vouchers'!$H$5:$H$2005,$A131,'Journal Vouchers'!$B$5:$B$2005,"&gt;="&amp;ReportFrom,'Journal Vouchers'!$B$5:$B$2005,"&lt;="&amp;ReportTo))</f>
        <v/>
      </c>
    </row>
    <row r="132">
      <c r="A132" s="25">
        <f>IF('Chart of Accounts'!A132="","",'Chart of Accounts'!A132&amp;"")</f>
        <v/>
      </c>
      <c r="B132" s="25">
        <f>IF(A132="","",'Chart of Accounts'!B132)</f>
        <v/>
      </c>
      <c r="C132" s="25">
        <f>IF(A132="","",'Chart of Accounts'!C132)</f>
        <v/>
      </c>
      <c r="D132" s="25">
        <f>IF(A132="","",'Chart of Accounts'!D132)</f>
        <v/>
      </c>
      <c r="E132" s="26">
        <f>L132+O132+R132+U132+X132+AA132+AD132+AG132+AJ132</f>
        <v/>
      </c>
      <c r="F132" s="26">
        <f>M132+P132+S132+V132+Y132+AB132+AE132+AH132+AK132</f>
        <v/>
      </c>
      <c r="G132" s="26">
        <f>N132+Q132+T132+W132+Z132+AC132+AF132+AI132+AL132</f>
        <v/>
      </c>
      <c r="H132" s="26">
        <f>E132+F132-G132</f>
        <v/>
      </c>
      <c r="I132" s="26">
        <f>MAX(H132,0)</f>
        <v/>
      </c>
      <c r="J132" s="26">
        <f>MAX(-H132,0)</f>
        <v/>
      </c>
      <c r="L132" s="25">
        <f>IF($A132="",0,(SUMIFS('Direct Costs'!$R$5:$R$2005,'Direct Costs'!$V$5:$V$2005,$A132,'Direct Costs'!$A$5:$A$2005,"&lt;"&amp;ReportFrom)+SUMIFS('Direct Costs'!$S$5:$S$2005,'Direct Costs'!$Y$5:$Y$2005,$A132,'Direct Costs'!$A$5:$A$2005,"&lt;"&amp;ReportFrom))-(SUMIFS('Direct Costs'!$L$5:$L$2005,'Direct Costs'!$W$5:$W$2005,$A132,'Direct Costs'!$A$5:$A$2005,"&lt;"&amp;ReportFrom)+SUMIFS('Direct Costs'!$U$5:$U$2005,'Direct Costs'!$X$5:$X$2005,$A132,'Direct Costs'!$A$5:$A$2005,"&lt;"&amp;ReportFrom)+SUMIFS('Direct Costs'!$T$5:$T$2005,'Direct Costs'!$Z$5:$Z$2005,$A132,'Direct Costs'!$A$5:$A$2005,"&lt;"&amp;ReportFrom)))</f>
        <v/>
      </c>
      <c r="M132" s="25">
        <f>IF($A132="",0,SUMIFS('Direct Costs'!$R$5:$R$2005,'Direct Costs'!$V$5:$V$2005,$A132,'Direct Costs'!$A$5:$A$2005,"&gt;="&amp;ReportFrom,'Direct Costs'!$A$5:$A$2005,"&lt;="&amp;ReportTo)+SUMIFS('Direct Costs'!$S$5:$S$2005,'Direct Costs'!$Y$5:$Y$2005,$A132,'Direct Costs'!$A$5:$A$2005,"&gt;="&amp;ReportFrom,'Direct Costs'!$A$5:$A$2005,"&lt;="&amp;ReportTo))</f>
        <v/>
      </c>
      <c r="N132" s="25">
        <f>IF($A132="",0,SUMIFS('Direct Costs'!$L$5:$L$2005,'Direct Costs'!$W$5:$W$2005,$A132,'Direct Costs'!$A$5:$A$2005,"&gt;="&amp;ReportFrom,'Direct Costs'!$A$5:$A$2005,"&lt;="&amp;ReportTo)+SUMIFS('Direct Costs'!$U$5:$U$2005,'Direct Costs'!$X$5:$X$2005,$A132,'Direct Costs'!$A$5:$A$2005,"&gt;="&amp;ReportFrom,'Direct Costs'!$A$5:$A$2005,"&lt;="&amp;ReportTo)+SUMIFS('Direct Costs'!$T$5:$T$2005,'Direct Costs'!$Z$5:$Z$2005,$A132,'Direct Costs'!$A$5:$A$2005,"&gt;="&amp;ReportFrom,'Direct Costs'!$A$5:$A$2005,"&lt;="&amp;ReportTo))</f>
        <v/>
      </c>
      <c r="O132" s="25">
        <f>IF($A132="",0,(SUMIFS('Operating Expenses'!$F$5:$F$2005,'Operating Expenses'!$Q$5:$Q$2005,$A132,'Operating Expenses'!$A$5:$A$2005,"&lt;"&amp;ReportFrom)+SUMIFS('Operating Expenses'!$M$5:$M$2005,'Operating Expenses'!$T$5:$T$2005,$A132,'Operating Expenses'!$A$5:$A$2005,"&lt;"&amp;ReportFrom))-(SUMIFS('Operating Expenses'!$O$5:$O$2005,'Operating Expenses'!$R$5:$R$2005,$A132,'Operating Expenses'!$A$5:$A$2005,"&lt;"&amp;ReportFrom)+SUMIFS('Operating Expenses'!$P$5:$P$2005,'Operating Expenses'!$S$5:$S$2005,$A132,'Operating Expenses'!$A$5:$A$2005,"&lt;"&amp;ReportFrom)+SUMIFS('Operating Expenses'!$N$5:$N$2005,'Operating Expenses'!$U$5:$U$2005,$A132,'Operating Expenses'!$A$5:$A$2005,"&lt;"&amp;ReportFrom)))</f>
        <v/>
      </c>
      <c r="P132" s="25">
        <f>IF($A132="",0,SUMIFS('Operating Expenses'!$F$5:$F$2005,'Operating Expenses'!$Q$5:$Q$2005,$A132,'Operating Expenses'!$A$5:$A$2005,"&gt;="&amp;ReportFrom,'Operating Expenses'!$A$5:$A$2005,"&lt;="&amp;ReportTo)+SUMIFS('Operating Expenses'!$M$5:$M$2005,'Operating Expenses'!$T$5:$T$2005,$A132,'Operating Expenses'!$A$5:$A$2005,"&gt;="&amp;ReportFrom,'Operating Expenses'!$A$5:$A$2005,"&lt;="&amp;ReportTo))</f>
        <v/>
      </c>
      <c r="Q132" s="25">
        <f>IF($A132="",0,SUMIFS('Operating Expenses'!$O$5:$O$2005,'Operating Expenses'!$R$5:$R$2005,$A132,'Operating Expenses'!$A$5:$A$2005,"&gt;="&amp;ReportFrom,'Operating Expenses'!$A$5:$A$2005,"&lt;="&amp;ReportTo)+SUMIFS('Operating Expenses'!$P$5:$P$2005,'Operating Expenses'!$S$5:$S$2005,$A132,'Operating Expenses'!$A$5:$A$2005,"&gt;="&amp;ReportFrom,'Operating Expenses'!$A$5:$A$2005,"&lt;="&amp;ReportTo)+SUMIFS('Operating Expenses'!$N$5:$N$2005,'Operating Expenses'!$U$5:$U$2005,$A132,'Operating Expenses'!$A$5:$A$2005,"&gt;="&amp;ReportFrom,'Operating Expenses'!$A$5:$A$2005,"&lt;="&amp;ReportTo))</f>
        <v/>
      </c>
      <c r="R132" s="25">
        <f>IF($A132="",0,(SUMIFS('Payroll'!$O$5:$O$2005,'Payroll'!$Q$5:$Q$2005,$A132,'Payroll'!$A$5:$A$2005,"&lt;"&amp;ReportFrom))-(SUMIFS('Payroll'!$K$5:$K$2005,'Payroll'!$R$5:$R$2005,$A132,'Payroll'!$A$5:$A$2005,"&lt;"&amp;ReportFrom)+SUMIFS('Payroll'!$P$5:$P$2005,'Payroll'!$S$5:$S$2005,$A132,'Payroll'!$A$5:$A$2005,"&lt;"&amp;ReportFrom)))</f>
        <v/>
      </c>
      <c r="S132" s="25">
        <f>IF($A132="",0,SUMIFS('Payroll'!$O$5:$O$2005,'Payroll'!$Q$5:$Q$2005,$A132,'Payroll'!$A$5:$A$2005,"&gt;="&amp;ReportFrom,'Payroll'!$A$5:$A$2005,"&lt;="&amp;ReportTo))</f>
        <v/>
      </c>
      <c r="T132" s="25">
        <f>IF($A132="",0,SUMIFS('Payroll'!$K$5:$K$2005,'Payroll'!$R$5:$R$2005,$A132,'Payroll'!$A$5:$A$2005,"&gt;="&amp;ReportFrom,'Payroll'!$A$5:$A$2005,"&lt;="&amp;ReportTo)+SUMIFS('Payroll'!$P$5:$P$2005,'Payroll'!$S$5:$S$2005,$A132,'Payroll'!$A$5:$A$2005,"&gt;="&amp;ReportFrom,'Payroll'!$A$5:$A$2005,"&lt;="&amp;ReportTo))</f>
        <v/>
      </c>
      <c r="U132" s="25">
        <f>IF($A132="",0,(SUMIFS('Receipt Vouchers'!$F$5:$F$2005,'Receipt Vouchers'!$O$5:$O$2005,$A132,'Receipt Vouchers'!$A$5:$A$2005,"&lt;"&amp;ReportFrom)+SUMIFS('Receipt Vouchers'!$J$5:$J$2005,'Receipt Vouchers'!$Q$5:$Q$2005,$A132,'Receipt Vouchers'!$A$5:$A$2005,"&lt;"&amp;ReportFrom))-(SUMIFS('Receipt Vouchers'!$N$5:$N$2005,'Receipt Vouchers'!$P$5:$P$2005,$A132,'Receipt Vouchers'!$A$5:$A$2005,"&lt;"&amp;ReportFrom)+SUMIFS('Receipt Vouchers'!$M$5:$M$2005,'Receipt Vouchers'!$R$5:$R$2005,$A132,'Receipt Vouchers'!$A$5:$A$2005,"&lt;"&amp;ReportFrom)))</f>
        <v/>
      </c>
      <c r="V132" s="25">
        <f>IF($A132="",0,SUMIFS('Receipt Vouchers'!$F$5:$F$2005,'Receipt Vouchers'!$O$5:$O$2005,$A132,'Receipt Vouchers'!$A$5:$A$2005,"&gt;="&amp;ReportFrom,'Receipt Vouchers'!$A$5:$A$2005,"&lt;="&amp;ReportTo)+SUMIFS('Receipt Vouchers'!$J$5:$J$2005,'Receipt Vouchers'!$Q$5:$Q$2005,$A132,'Receipt Vouchers'!$A$5:$A$2005,"&gt;="&amp;ReportFrom,'Receipt Vouchers'!$A$5:$A$2005,"&lt;="&amp;ReportTo))</f>
        <v/>
      </c>
      <c r="W132" s="25">
        <f>IF($A132="",0,SUMIFS('Receipt Vouchers'!$N$5:$N$2005,'Receipt Vouchers'!$P$5:$P$2005,$A132,'Receipt Vouchers'!$A$5:$A$2005,"&gt;="&amp;ReportFrom,'Receipt Vouchers'!$A$5:$A$2005,"&lt;="&amp;ReportTo)+SUMIFS('Receipt Vouchers'!$M$5:$M$2005,'Receipt Vouchers'!$R$5:$R$2005,$A132,'Receipt Vouchers'!$A$5:$A$2005,"&gt;="&amp;ReportFrom,'Receipt Vouchers'!$A$5:$A$2005,"&lt;="&amp;ReportTo))</f>
        <v/>
      </c>
      <c r="X132" s="25">
        <f>IF($A132="",0,(SUMIFS('Sales Invoices'!$O$5:$O$2005,'Sales Invoices'!$P$5:$P$2005,$A132,'Sales Invoices'!$B$5:$B$2005,"&lt;"&amp;ReportFrom)+SUMIFS('Sales Invoices'!$N$5:$N$2005,'Sales Invoices'!$R$5:$R$2005,$A132,'Sales Invoices'!$B$5:$B$2005,"&lt;"&amp;ReportFrom))-(SUMIFS('Sales Invoices'!$L$5:$L$2005,'Sales Invoices'!$Q$5:$Q$2005,$A132,'Sales Invoices'!$B$5:$B$2005,"&lt;"&amp;ReportFrom)+SUMIFS('Sales Invoices'!$M$5:$M$2005,'Sales Invoices'!$S$5:$S$2005,$A132,'Sales Invoices'!$B$5:$B$2005,"&lt;"&amp;ReportFrom)))</f>
        <v/>
      </c>
      <c r="Y132" s="25">
        <f>IF($A132="",0,SUMIFS('Sales Invoices'!$O$5:$O$2005,'Sales Invoices'!$P$5:$P$2005,$A132,'Sales Invoices'!$B$5:$B$2005,"&gt;="&amp;ReportFrom,'Sales Invoices'!$B$5:$B$2005,"&lt;="&amp;ReportTo)+SUMIFS('Sales Invoices'!$N$5:$N$2005,'Sales Invoices'!$R$5:$R$2005,$A132,'Sales Invoices'!$B$5:$B$2005,"&gt;="&amp;ReportFrom,'Sales Invoices'!$B$5:$B$2005,"&lt;="&amp;ReportTo))</f>
        <v/>
      </c>
      <c r="Z132" s="25">
        <f>IF($A132="",0,SUMIFS('Sales Invoices'!$L$5:$L$2005,'Sales Invoices'!$Q$5:$Q$2005,$A132,'Sales Invoices'!$B$5:$B$2005,"&gt;="&amp;ReportFrom,'Sales Invoices'!$B$5:$B$2005,"&lt;="&amp;ReportTo)+SUMIFS('Sales Invoices'!$M$5:$M$2005,'Sales Invoices'!$S$5:$S$2005,$A132,'Sales Invoices'!$B$5:$B$2005,"&gt;="&amp;ReportFrom,'Sales Invoices'!$B$5:$B$2005,"&lt;="&amp;ReportTo))</f>
        <v/>
      </c>
      <c r="AA132" s="25">
        <f>IF($A132="",0,(SUMIFS('Payment Vouchers'!$D$5:$D$2005,'Payment Vouchers'!$J$5:$J$2005,$A132,'Payment Vouchers'!$A$5:$A$2005,"&lt;"&amp;ReportFrom))-(SUMIFS('Payment Vouchers'!$D$5:$D$2005,'Payment Vouchers'!$K$5:$K$2005,$A132,'Payment Vouchers'!$A$5:$A$2005,"&lt;"&amp;ReportFrom)))</f>
        <v/>
      </c>
      <c r="AB132" s="25">
        <f>IF($A132="",0,SUMIFS('Payment Vouchers'!$D$5:$D$2005,'Payment Vouchers'!$J$5:$J$2005,$A132,'Payment Vouchers'!$A$5:$A$2005,"&gt;="&amp;ReportFrom,'Payment Vouchers'!$A$5:$A$2005,"&lt;="&amp;ReportTo))</f>
        <v/>
      </c>
      <c r="AC132" s="25">
        <f>IF($A132="",0,SUMIFS('Payment Vouchers'!$D$5:$D$2005,'Payment Vouchers'!$K$5:$K$2005,$A132,'Payment Vouchers'!$A$5:$A$2005,"&gt;="&amp;ReportFrom,'Payment Vouchers'!$A$5:$A$2005,"&lt;="&amp;ReportTo))</f>
        <v/>
      </c>
      <c r="AD132" s="25">
        <f>IF($A132="",0,(SUMIFS('Partner Transactions'!$D$5:$D$2005,'Partner Transactions'!$L$5:$L$2005,$A132,'Partner Transactions'!$A$5:$A$2005,"&lt;"&amp;ReportFrom))-(SUMIFS('Partner Transactions'!$D$5:$D$2005,'Partner Transactions'!$M$5:$M$2005,$A132,'Partner Transactions'!$A$5:$A$2005,"&lt;"&amp;ReportFrom)))</f>
        <v/>
      </c>
      <c r="AE132" s="25">
        <f>IF($A132="",0,SUMIFS('Partner Transactions'!$D$5:$D$2005,'Partner Transactions'!$L$5:$L$2005,$A132,'Partner Transactions'!$A$5:$A$2005,"&gt;="&amp;ReportFrom,'Partner Transactions'!$A$5:$A$2005,"&lt;="&amp;ReportTo))</f>
        <v/>
      </c>
      <c r="AF132" s="25">
        <f>IF($A132="",0,SUMIFS('Partner Transactions'!$D$5:$D$2005,'Partner Transactions'!$M$5:$M$2005,$A132,'Partner Transactions'!$A$5:$A$2005,"&gt;="&amp;ReportFrom,'Partner Transactions'!$A$5:$A$2005,"&lt;="&amp;ReportTo))</f>
        <v/>
      </c>
      <c r="AG132" s="25">
        <f>IF($A132="",0,(SUMIFS('Stock Moves'!$S$5:$S$2005,'Stock Moves'!$AD$5:$AD$2005,$A132,'Stock Moves'!$A$5:$A$2005,"&lt;"&amp;ReportFrom)+SUMIFS('Stock Moves'!$T$5:$T$2005,'Stock Moves'!$V$5:$V$2005,$A132,'Stock Moves'!$A$5:$A$2005,"&lt;"&amp;ReportFrom))-(SUMIFS('Stock Moves'!$AF$5:$AF$2005,'Stock Moves'!$AE$5:$AE$2005,$A132,'Stock Moves'!$A$5:$A$2005,"&lt;"&amp;ReportFrom)+SUMIFS('Stock Moves'!$AC$5:$AC$2005,'Stock Moves'!$X$5:$X$2005,$A132,'Stock Moves'!$A$5:$A$2005,"&lt;"&amp;ReportFrom)+SUMIFS('Stock Moves'!$U$5:$U$2005,'Stock Moves'!$W$5:$W$2005,$A132,'Stock Moves'!$A$5:$A$2005,"&lt;"&amp;ReportFrom)))</f>
        <v/>
      </c>
      <c r="AH132" s="25">
        <f>IF($A132="",0,SUMIFS('Stock Moves'!$S$5:$S$2005,'Stock Moves'!$AD$5:$AD$2005,$A132,'Stock Moves'!$A$5:$A$2005,"&gt;="&amp;ReportFrom,'Stock Moves'!$A$5:$A$2005,"&lt;="&amp;ReportTo)+SUMIFS('Stock Moves'!$T$5:$T$2005,'Stock Moves'!$V$5:$V$2005,$A132,'Stock Moves'!$A$5:$A$2005,"&gt;="&amp;ReportFrom,'Stock Moves'!$A$5:$A$2005,"&lt;="&amp;ReportTo))</f>
        <v/>
      </c>
      <c r="AI132" s="25">
        <f>IF($A132="",0,SUMIFS('Stock Moves'!$AF$5:$AF$2005,'Stock Moves'!$AE$5:$AE$2005,$A132,'Stock Moves'!$A$5:$A$2005,"&gt;="&amp;ReportFrom,'Stock Moves'!$A$5:$A$2005,"&lt;="&amp;ReportTo)+SUMIFS('Stock Moves'!$AC$5:$AC$2005,'Stock Moves'!$X$5:$X$2005,$A132,'Stock Moves'!$A$5:$A$2005,"&gt;="&amp;ReportFrom,'Stock Moves'!$A$5:$A$2005,"&lt;="&amp;ReportTo)+SUMIFS('Stock Moves'!$U$5:$U$2005,'Stock Moves'!$W$5:$W$2005,$A132,'Stock Moves'!$A$5:$A$2005,"&gt;="&amp;ReportFrom,'Stock Moves'!$A$5:$A$2005,"&lt;="&amp;ReportTo))</f>
        <v/>
      </c>
      <c r="AJ132" s="25">
        <f>IF($A132="",0,(SUMIFS('Journal Vouchers'!$I$5:$I$2005,'Journal Vouchers'!$H$5:$H$2005,$A132,'Journal Vouchers'!$B$5:$B$2005,"&lt;"&amp;ReportFrom))-(SUMIFS('Journal Vouchers'!$J$5:$J$2005,'Journal Vouchers'!$H$5:$H$2005,$A132,'Journal Vouchers'!$B$5:$B$2005,"&lt;"&amp;ReportFrom)))</f>
        <v/>
      </c>
      <c r="AK132" s="25">
        <f>IF($A132="",0,SUMIFS('Journal Vouchers'!$I$5:$I$2005,'Journal Vouchers'!$H$5:$H$2005,$A132,'Journal Vouchers'!$B$5:$B$2005,"&gt;="&amp;ReportFrom,'Journal Vouchers'!$B$5:$B$2005,"&lt;="&amp;ReportTo))</f>
        <v/>
      </c>
      <c r="AL132" s="25">
        <f>IF($A132="",0,SUMIFS('Journal Vouchers'!$J$5:$J$2005,'Journal Vouchers'!$H$5:$H$2005,$A132,'Journal Vouchers'!$B$5:$B$2005,"&gt;="&amp;ReportFrom,'Journal Vouchers'!$B$5:$B$2005,"&lt;="&amp;ReportTo))</f>
        <v/>
      </c>
    </row>
    <row r="133">
      <c r="A133" s="25">
        <f>IF('Chart of Accounts'!A133="","",'Chart of Accounts'!A133&amp;"")</f>
        <v/>
      </c>
      <c r="B133" s="25">
        <f>IF(A133="","",'Chart of Accounts'!B133)</f>
        <v/>
      </c>
      <c r="C133" s="25">
        <f>IF(A133="","",'Chart of Accounts'!C133)</f>
        <v/>
      </c>
      <c r="D133" s="25">
        <f>IF(A133="","",'Chart of Accounts'!D133)</f>
        <v/>
      </c>
      <c r="E133" s="26">
        <f>L133+O133+R133+U133+X133+AA133+AD133+AG133+AJ133</f>
        <v/>
      </c>
      <c r="F133" s="26">
        <f>M133+P133+S133+V133+Y133+AB133+AE133+AH133+AK133</f>
        <v/>
      </c>
      <c r="G133" s="26">
        <f>N133+Q133+T133+W133+Z133+AC133+AF133+AI133+AL133</f>
        <v/>
      </c>
      <c r="H133" s="26">
        <f>E133+F133-G133</f>
        <v/>
      </c>
      <c r="I133" s="26">
        <f>MAX(H133,0)</f>
        <v/>
      </c>
      <c r="J133" s="26">
        <f>MAX(-H133,0)</f>
        <v/>
      </c>
      <c r="L133" s="25">
        <f>IF($A133="",0,(SUMIFS('Direct Costs'!$R$5:$R$2005,'Direct Costs'!$V$5:$V$2005,$A133,'Direct Costs'!$A$5:$A$2005,"&lt;"&amp;ReportFrom)+SUMIFS('Direct Costs'!$S$5:$S$2005,'Direct Costs'!$Y$5:$Y$2005,$A133,'Direct Costs'!$A$5:$A$2005,"&lt;"&amp;ReportFrom))-(SUMIFS('Direct Costs'!$L$5:$L$2005,'Direct Costs'!$W$5:$W$2005,$A133,'Direct Costs'!$A$5:$A$2005,"&lt;"&amp;ReportFrom)+SUMIFS('Direct Costs'!$U$5:$U$2005,'Direct Costs'!$X$5:$X$2005,$A133,'Direct Costs'!$A$5:$A$2005,"&lt;"&amp;ReportFrom)+SUMIFS('Direct Costs'!$T$5:$T$2005,'Direct Costs'!$Z$5:$Z$2005,$A133,'Direct Costs'!$A$5:$A$2005,"&lt;"&amp;ReportFrom)))</f>
        <v/>
      </c>
      <c r="M133" s="25">
        <f>IF($A133="",0,SUMIFS('Direct Costs'!$R$5:$R$2005,'Direct Costs'!$V$5:$V$2005,$A133,'Direct Costs'!$A$5:$A$2005,"&gt;="&amp;ReportFrom,'Direct Costs'!$A$5:$A$2005,"&lt;="&amp;ReportTo)+SUMIFS('Direct Costs'!$S$5:$S$2005,'Direct Costs'!$Y$5:$Y$2005,$A133,'Direct Costs'!$A$5:$A$2005,"&gt;="&amp;ReportFrom,'Direct Costs'!$A$5:$A$2005,"&lt;="&amp;ReportTo))</f>
        <v/>
      </c>
      <c r="N133" s="25">
        <f>IF($A133="",0,SUMIFS('Direct Costs'!$L$5:$L$2005,'Direct Costs'!$W$5:$W$2005,$A133,'Direct Costs'!$A$5:$A$2005,"&gt;="&amp;ReportFrom,'Direct Costs'!$A$5:$A$2005,"&lt;="&amp;ReportTo)+SUMIFS('Direct Costs'!$U$5:$U$2005,'Direct Costs'!$X$5:$X$2005,$A133,'Direct Costs'!$A$5:$A$2005,"&gt;="&amp;ReportFrom,'Direct Costs'!$A$5:$A$2005,"&lt;="&amp;ReportTo)+SUMIFS('Direct Costs'!$T$5:$T$2005,'Direct Costs'!$Z$5:$Z$2005,$A133,'Direct Costs'!$A$5:$A$2005,"&gt;="&amp;ReportFrom,'Direct Costs'!$A$5:$A$2005,"&lt;="&amp;ReportTo))</f>
        <v/>
      </c>
      <c r="O133" s="25">
        <f>IF($A133="",0,(SUMIFS('Operating Expenses'!$F$5:$F$2005,'Operating Expenses'!$Q$5:$Q$2005,$A133,'Operating Expenses'!$A$5:$A$2005,"&lt;"&amp;ReportFrom)+SUMIFS('Operating Expenses'!$M$5:$M$2005,'Operating Expenses'!$T$5:$T$2005,$A133,'Operating Expenses'!$A$5:$A$2005,"&lt;"&amp;ReportFrom))-(SUMIFS('Operating Expenses'!$O$5:$O$2005,'Operating Expenses'!$R$5:$R$2005,$A133,'Operating Expenses'!$A$5:$A$2005,"&lt;"&amp;ReportFrom)+SUMIFS('Operating Expenses'!$P$5:$P$2005,'Operating Expenses'!$S$5:$S$2005,$A133,'Operating Expenses'!$A$5:$A$2005,"&lt;"&amp;ReportFrom)+SUMIFS('Operating Expenses'!$N$5:$N$2005,'Operating Expenses'!$U$5:$U$2005,$A133,'Operating Expenses'!$A$5:$A$2005,"&lt;"&amp;ReportFrom)))</f>
        <v/>
      </c>
      <c r="P133" s="25">
        <f>IF($A133="",0,SUMIFS('Operating Expenses'!$F$5:$F$2005,'Operating Expenses'!$Q$5:$Q$2005,$A133,'Operating Expenses'!$A$5:$A$2005,"&gt;="&amp;ReportFrom,'Operating Expenses'!$A$5:$A$2005,"&lt;="&amp;ReportTo)+SUMIFS('Operating Expenses'!$M$5:$M$2005,'Operating Expenses'!$T$5:$T$2005,$A133,'Operating Expenses'!$A$5:$A$2005,"&gt;="&amp;ReportFrom,'Operating Expenses'!$A$5:$A$2005,"&lt;="&amp;ReportTo))</f>
        <v/>
      </c>
      <c r="Q133" s="25">
        <f>IF($A133="",0,SUMIFS('Operating Expenses'!$O$5:$O$2005,'Operating Expenses'!$R$5:$R$2005,$A133,'Operating Expenses'!$A$5:$A$2005,"&gt;="&amp;ReportFrom,'Operating Expenses'!$A$5:$A$2005,"&lt;="&amp;ReportTo)+SUMIFS('Operating Expenses'!$P$5:$P$2005,'Operating Expenses'!$S$5:$S$2005,$A133,'Operating Expenses'!$A$5:$A$2005,"&gt;="&amp;ReportFrom,'Operating Expenses'!$A$5:$A$2005,"&lt;="&amp;ReportTo)+SUMIFS('Operating Expenses'!$N$5:$N$2005,'Operating Expenses'!$U$5:$U$2005,$A133,'Operating Expenses'!$A$5:$A$2005,"&gt;="&amp;ReportFrom,'Operating Expenses'!$A$5:$A$2005,"&lt;="&amp;ReportTo))</f>
        <v/>
      </c>
      <c r="R133" s="25">
        <f>IF($A133="",0,(SUMIFS('Payroll'!$O$5:$O$2005,'Payroll'!$Q$5:$Q$2005,$A133,'Payroll'!$A$5:$A$2005,"&lt;"&amp;ReportFrom))-(SUMIFS('Payroll'!$K$5:$K$2005,'Payroll'!$R$5:$R$2005,$A133,'Payroll'!$A$5:$A$2005,"&lt;"&amp;ReportFrom)+SUMIFS('Payroll'!$P$5:$P$2005,'Payroll'!$S$5:$S$2005,$A133,'Payroll'!$A$5:$A$2005,"&lt;"&amp;ReportFrom)))</f>
        <v/>
      </c>
      <c r="S133" s="25">
        <f>IF($A133="",0,SUMIFS('Payroll'!$O$5:$O$2005,'Payroll'!$Q$5:$Q$2005,$A133,'Payroll'!$A$5:$A$2005,"&gt;="&amp;ReportFrom,'Payroll'!$A$5:$A$2005,"&lt;="&amp;ReportTo))</f>
        <v/>
      </c>
      <c r="T133" s="25">
        <f>IF($A133="",0,SUMIFS('Payroll'!$K$5:$K$2005,'Payroll'!$R$5:$R$2005,$A133,'Payroll'!$A$5:$A$2005,"&gt;="&amp;ReportFrom,'Payroll'!$A$5:$A$2005,"&lt;="&amp;ReportTo)+SUMIFS('Payroll'!$P$5:$P$2005,'Payroll'!$S$5:$S$2005,$A133,'Payroll'!$A$5:$A$2005,"&gt;="&amp;ReportFrom,'Payroll'!$A$5:$A$2005,"&lt;="&amp;ReportTo))</f>
        <v/>
      </c>
      <c r="U133" s="25">
        <f>IF($A133="",0,(SUMIFS('Receipt Vouchers'!$F$5:$F$2005,'Receipt Vouchers'!$O$5:$O$2005,$A133,'Receipt Vouchers'!$A$5:$A$2005,"&lt;"&amp;ReportFrom)+SUMIFS('Receipt Vouchers'!$J$5:$J$2005,'Receipt Vouchers'!$Q$5:$Q$2005,$A133,'Receipt Vouchers'!$A$5:$A$2005,"&lt;"&amp;ReportFrom))-(SUMIFS('Receipt Vouchers'!$N$5:$N$2005,'Receipt Vouchers'!$P$5:$P$2005,$A133,'Receipt Vouchers'!$A$5:$A$2005,"&lt;"&amp;ReportFrom)+SUMIFS('Receipt Vouchers'!$M$5:$M$2005,'Receipt Vouchers'!$R$5:$R$2005,$A133,'Receipt Vouchers'!$A$5:$A$2005,"&lt;"&amp;ReportFrom)))</f>
        <v/>
      </c>
      <c r="V133" s="25">
        <f>IF($A133="",0,SUMIFS('Receipt Vouchers'!$F$5:$F$2005,'Receipt Vouchers'!$O$5:$O$2005,$A133,'Receipt Vouchers'!$A$5:$A$2005,"&gt;="&amp;ReportFrom,'Receipt Vouchers'!$A$5:$A$2005,"&lt;="&amp;ReportTo)+SUMIFS('Receipt Vouchers'!$J$5:$J$2005,'Receipt Vouchers'!$Q$5:$Q$2005,$A133,'Receipt Vouchers'!$A$5:$A$2005,"&gt;="&amp;ReportFrom,'Receipt Vouchers'!$A$5:$A$2005,"&lt;="&amp;ReportTo))</f>
        <v/>
      </c>
      <c r="W133" s="25">
        <f>IF($A133="",0,SUMIFS('Receipt Vouchers'!$N$5:$N$2005,'Receipt Vouchers'!$P$5:$P$2005,$A133,'Receipt Vouchers'!$A$5:$A$2005,"&gt;="&amp;ReportFrom,'Receipt Vouchers'!$A$5:$A$2005,"&lt;="&amp;ReportTo)+SUMIFS('Receipt Vouchers'!$M$5:$M$2005,'Receipt Vouchers'!$R$5:$R$2005,$A133,'Receipt Vouchers'!$A$5:$A$2005,"&gt;="&amp;ReportFrom,'Receipt Vouchers'!$A$5:$A$2005,"&lt;="&amp;ReportTo))</f>
        <v/>
      </c>
      <c r="X133" s="25">
        <f>IF($A133="",0,(SUMIFS('Sales Invoices'!$O$5:$O$2005,'Sales Invoices'!$P$5:$P$2005,$A133,'Sales Invoices'!$B$5:$B$2005,"&lt;"&amp;ReportFrom)+SUMIFS('Sales Invoices'!$N$5:$N$2005,'Sales Invoices'!$R$5:$R$2005,$A133,'Sales Invoices'!$B$5:$B$2005,"&lt;"&amp;ReportFrom))-(SUMIFS('Sales Invoices'!$L$5:$L$2005,'Sales Invoices'!$Q$5:$Q$2005,$A133,'Sales Invoices'!$B$5:$B$2005,"&lt;"&amp;ReportFrom)+SUMIFS('Sales Invoices'!$M$5:$M$2005,'Sales Invoices'!$S$5:$S$2005,$A133,'Sales Invoices'!$B$5:$B$2005,"&lt;"&amp;ReportFrom)))</f>
        <v/>
      </c>
      <c r="Y133" s="25">
        <f>IF($A133="",0,SUMIFS('Sales Invoices'!$O$5:$O$2005,'Sales Invoices'!$P$5:$P$2005,$A133,'Sales Invoices'!$B$5:$B$2005,"&gt;="&amp;ReportFrom,'Sales Invoices'!$B$5:$B$2005,"&lt;="&amp;ReportTo)+SUMIFS('Sales Invoices'!$N$5:$N$2005,'Sales Invoices'!$R$5:$R$2005,$A133,'Sales Invoices'!$B$5:$B$2005,"&gt;="&amp;ReportFrom,'Sales Invoices'!$B$5:$B$2005,"&lt;="&amp;ReportTo))</f>
        <v/>
      </c>
      <c r="Z133" s="25">
        <f>IF($A133="",0,SUMIFS('Sales Invoices'!$L$5:$L$2005,'Sales Invoices'!$Q$5:$Q$2005,$A133,'Sales Invoices'!$B$5:$B$2005,"&gt;="&amp;ReportFrom,'Sales Invoices'!$B$5:$B$2005,"&lt;="&amp;ReportTo)+SUMIFS('Sales Invoices'!$M$5:$M$2005,'Sales Invoices'!$S$5:$S$2005,$A133,'Sales Invoices'!$B$5:$B$2005,"&gt;="&amp;ReportFrom,'Sales Invoices'!$B$5:$B$2005,"&lt;="&amp;ReportTo))</f>
        <v/>
      </c>
      <c r="AA133" s="25">
        <f>IF($A133="",0,(SUMIFS('Payment Vouchers'!$D$5:$D$2005,'Payment Vouchers'!$J$5:$J$2005,$A133,'Payment Vouchers'!$A$5:$A$2005,"&lt;"&amp;ReportFrom))-(SUMIFS('Payment Vouchers'!$D$5:$D$2005,'Payment Vouchers'!$K$5:$K$2005,$A133,'Payment Vouchers'!$A$5:$A$2005,"&lt;"&amp;ReportFrom)))</f>
        <v/>
      </c>
      <c r="AB133" s="25">
        <f>IF($A133="",0,SUMIFS('Payment Vouchers'!$D$5:$D$2005,'Payment Vouchers'!$J$5:$J$2005,$A133,'Payment Vouchers'!$A$5:$A$2005,"&gt;="&amp;ReportFrom,'Payment Vouchers'!$A$5:$A$2005,"&lt;="&amp;ReportTo))</f>
        <v/>
      </c>
      <c r="AC133" s="25">
        <f>IF($A133="",0,SUMIFS('Payment Vouchers'!$D$5:$D$2005,'Payment Vouchers'!$K$5:$K$2005,$A133,'Payment Vouchers'!$A$5:$A$2005,"&gt;="&amp;ReportFrom,'Payment Vouchers'!$A$5:$A$2005,"&lt;="&amp;ReportTo))</f>
        <v/>
      </c>
      <c r="AD133" s="25">
        <f>IF($A133="",0,(SUMIFS('Partner Transactions'!$D$5:$D$2005,'Partner Transactions'!$L$5:$L$2005,$A133,'Partner Transactions'!$A$5:$A$2005,"&lt;"&amp;ReportFrom))-(SUMIFS('Partner Transactions'!$D$5:$D$2005,'Partner Transactions'!$M$5:$M$2005,$A133,'Partner Transactions'!$A$5:$A$2005,"&lt;"&amp;ReportFrom)))</f>
        <v/>
      </c>
      <c r="AE133" s="25">
        <f>IF($A133="",0,SUMIFS('Partner Transactions'!$D$5:$D$2005,'Partner Transactions'!$L$5:$L$2005,$A133,'Partner Transactions'!$A$5:$A$2005,"&gt;="&amp;ReportFrom,'Partner Transactions'!$A$5:$A$2005,"&lt;="&amp;ReportTo))</f>
        <v/>
      </c>
      <c r="AF133" s="25">
        <f>IF($A133="",0,SUMIFS('Partner Transactions'!$D$5:$D$2005,'Partner Transactions'!$M$5:$M$2005,$A133,'Partner Transactions'!$A$5:$A$2005,"&gt;="&amp;ReportFrom,'Partner Transactions'!$A$5:$A$2005,"&lt;="&amp;ReportTo))</f>
        <v/>
      </c>
      <c r="AG133" s="25">
        <f>IF($A133="",0,(SUMIFS('Stock Moves'!$S$5:$S$2005,'Stock Moves'!$AD$5:$AD$2005,$A133,'Stock Moves'!$A$5:$A$2005,"&lt;"&amp;ReportFrom)+SUMIFS('Stock Moves'!$T$5:$T$2005,'Stock Moves'!$V$5:$V$2005,$A133,'Stock Moves'!$A$5:$A$2005,"&lt;"&amp;ReportFrom))-(SUMIFS('Stock Moves'!$AF$5:$AF$2005,'Stock Moves'!$AE$5:$AE$2005,$A133,'Stock Moves'!$A$5:$A$2005,"&lt;"&amp;ReportFrom)+SUMIFS('Stock Moves'!$AC$5:$AC$2005,'Stock Moves'!$X$5:$X$2005,$A133,'Stock Moves'!$A$5:$A$2005,"&lt;"&amp;ReportFrom)+SUMIFS('Stock Moves'!$U$5:$U$2005,'Stock Moves'!$W$5:$W$2005,$A133,'Stock Moves'!$A$5:$A$2005,"&lt;"&amp;ReportFrom)))</f>
        <v/>
      </c>
      <c r="AH133" s="25">
        <f>IF($A133="",0,SUMIFS('Stock Moves'!$S$5:$S$2005,'Stock Moves'!$AD$5:$AD$2005,$A133,'Stock Moves'!$A$5:$A$2005,"&gt;="&amp;ReportFrom,'Stock Moves'!$A$5:$A$2005,"&lt;="&amp;ReportTo)+SUMIFS('Stock Moves'!$T$5:$T$2005,'Stock Moves'!$V$5:$V$2005,$A133,'Stock Moves'!$A$5:$A$2005,"&gt;="&amp;ReportFrom,'Stock Moves'!$A$5:$A$2005,"&lt;="&amp;ReportTo))</f>
        <v/>
      </c>
      <c r="AI133" s="25">
        <f>IF($A133="",0,SUMIFS('Stock Moves'!$AF$5:$AF$2005,'Stock Moves'!$AE$5:$AE$2005,$A133,'Stock Moves'!$A$5:$A$2005,"&gt;="&amp;ReportFrom,'Stock Moves'!$A$5:$A$2005,"&lt;="&amp;ReportTo)+SUMIFS('Stock Moves'!$AC$5:$AC$2005,'Stock Moves'!$X$5:$X$2005,$A133,'Stock Moves'!$A$5:$A$2005,"&gt;="&amp;ReportFrom,'Stock Moves'!$A$5:$A$2005,"&lt;="&amp;ReportTo)+SUMIFS('Stock Moves'!$U$5:$U$2005,'Stock Moves'!$W$5:$W$2005,$A133,'Stock Moves'!$A$5:$A$2005,"&gt;="&amp;ReportFrom,'Stock Moves'!$A$5:$A$2005,"&lt;="&amp;ReportTo))</f>
        <v/>
      </c>
      <c r="AJ133" s="25">
        <f>IF($A133="",0,(SUMIFS('Journal Vouchers'!$I$5:$I$2005,'Journal Vouchers'!$H$5:$H$2005,$A133,'Journal Vouchers'!$B$5:$B$2005,"&lt;"&amp;ReportFrom))-(SUMIFS('Journal Vouchers'!$J$5:$J$2005,'Journal Vouchers'!$H$5:$H$2005,$A133,'Journal Vouchers'!$B$5:$B$2005,"&lt;"&amp;ReportFrom)))</f>
        <v/>
      </c>
      <c r="AK133" s="25">
        <f>IF($A133="",0,SUMIFS('Journal Vouchers'!$I$5:$I$2005,'Journal Vouchers'!$H$5:$H$2005,$A133,'Journal Vouchers'!$B$5:$B$2005,"&gt;="&amp;ReportFrom,'Journal Vouchers'!$B$5:$B$2005,"&lt;="&amp;ReportTo))</f>
        <v/>
      </c>
      <c r="AL133" s="25">
        <f>IF($A133="",0,SUMIFS('Journal Vouchers'!$J$5:$J$2005,'Journal Vouchers'!$H$5:$H$2005,$A133,'Journal Vouchers'!$B$5:$B$2005,"&gt;="&amp;ReportFrom,'Journal Vouchers'!$B$5:$B$2005,"&lt;="&amp;ReportTo))</f>
        <v/>
      </c>
    </row>
    <row r="134">
      <c r="A134" s="25">
        <f>IF('Chart of Accounts'!A134="","",'Chart of Accounts'!A134&amp;"")</f>
        <v/>
      </c>
      <c r="B134" s="25">
        <f>IF(A134="","",'Chart of Accounts'!B134)</f>
        <v/>
      </c>
      <c r="C134" s="25">
        <f>IF(A134="","",'Chart of Accounts'!C134)</f>
        <v/>
      </c>
      <c r="D134" s="25">
        <f>IF(A134="","",'Chart of Accounts'!D134)</f>
        <v/>
      </c>
      <c r="E134" s="26">
        <f>L134+O134+R134+U134+X134+AA134+AD134+AG134+AJ134</f>
        <v/>
      </c>
      <c r="F134" s="26">
        <f>M134+P134+S134+V134+Y134+AB134+AE134+AH134+AK134</f>
        <v/>
      </c>
      <c r="G134" s="26">
        <f>N134+Q134+T134+W134+Z134+AC134+AF134+AI134+AL134</f>
        <v/>
      </c>
      <c r="H134" s="26">
        <f>E134+F134-G134</f>
        <v/>
      </c>
      <c r="I134" s="26">
        <f>MAX(H134,0)</f>
        <v/>
      </c>
      <c r="J134" s="26">
        <f>MAX(-H134,0)</f>
        <v/>
      </c>
      <c r="L134" s="25">
        <f>IF($A134="",0,(SUMIFS('Direct Costs'!$R$5:$R$2005,'Direct Costs'!$V$5:$V$2005,$A134,'Direct Costs'!$A$5:$A$2005,"&lt;"&amp;ReportFrom)+SUMIFS('Direct Costs'!$S$5:$S$2005,'Direct Costs'!$Y$5:$Y$2005,$A134,'Direct Costs'!$A$5:$A$2005,"&lt;"&amp;ReportFrom))-(SUMIFS('Direct Costs'!$L$5:$L$2005,'Direct Costs'!$W$5:$W$2005,$A134,'Direct Costs'!$A$5:$A$2005,"&lt;"&amp;ReportFrom)+SUMIFS('Direct Costs'!$U$5:$U$2005,'Direct Costs'!$X$5:$X$2005,$A134,'Direct Costs'!$A$5:$A$2005,"&lt;"&amp;ReportFrom)+SUMIFS('Direct Costs'!$T$5:$T$2005,'Direct Costs'!$Z$5:$Z$2005,$A134,'Direct Costs'!$A$5:$A$2005,"&lt;"&amp;ReportFrom)))</f>
        <v/>
      </c>
      <c r="M134" s="25">
        <f>IF($A134="",0,SUMIFS('Direct Costs'!$R$5:$R$2005,'Direct Costs'!$V$5:$V$2005,$A134,'Direct Costs'!$A$5:$A$2005,"&gt;="&amp;ReportFrom,'Direct Costs'!$A$5:$A$2005,"&lt;="&amp;ReportTo)+SUMIFS('Direct Costs'!$S$5:$S$2005,'Direct Costs'!$Y$5:$Y$2005,$A134,'Direct Costs'!$A$5:$A$2005,"&gt;="&amp;ReportFrom,'Direct Costs'!$A$5:$A$2005,"&lt;="&amp;ReportTo))</f>
        <v/>
      </c>
      <c r="N134" s="25">
        <f>IF($A134="",0,SUMIFS('Direct Costs'!$L$5:$L$2005,'Direct Costs'!$W$5:$W$2005,$A134,'Direct Costs'!$A$5:$A$2005,"&gt;="&amp;ReportFrom,'Direct Costs'!$A$5:$A$2005,"&lt;="&amp;ReportTo)+SUMIFS('Direct Costs'!$U$5:$U$2005,'Direct Costs'!$X$5:$X$2005,$A134,'Direct Costs'!$A$5:$A$2005,"&gt;="&amp;ReportFrom,'Direct Costs'!$A$5:$A$2005,"&lt;="&amp;ReportTo)+SUMIFS('Direct Costs'!$T$5:$T$2005,'Direct Costs'!$Z$5:$Z$2005,$A134,'Direct Costs'!$A$5:$A$2005,"&gt;="&amp;ReportFrom,'Direct Costs'!$A$5:$A$2005,"&lt;="&amp;ReportTo))</f>
        <v/>
      </c>
      <c r="O134" s="25">
        <f>IF($A134="",0,(SUMIFS('Operating Expenses'!$F$5:$F$2005,'Operating Expenses'!$Q$5:$Q$2005,$A134,'Operating Expenses'!$A$5:$A$2005,"&lt;"&amp;ReportFrom)+SUMIFS('Operating Expenses'!$M$5:$M$2005,'Operating Expenses'!$T$5:$T$2005,$A134,'Operating Expenses'!$A$5:$A$2005,"&lt;"&amp;ReportFrom))-(SUMIFS('Operating Expenses'!$O$5:$O$2005,'Operating Expenses'!$R$5:$R$2005,$A134,'Operating Expenses'!$A$5:$A$2005,"&lt;"&amp;ReportFrom)+SUMIFS('Operating Expenses'!$P$5:$P$2005,'Operating Expenses'!$S$5:$S$2005,$A134,'Operating Expenses'!$A$5:$A$2005,"&lt;"&amp;ReportFrom)+SUMIFS('Operating Expenses'!$N$5:$N$2005,'Operating Expenses'!$U$5:$U$2005,$A134,'Operating Expenses'!$A$5:$A$2005,"&lt;"&amp;ReportFrom)))</f>
        <v/>
      </c>
      <c r="P134" s="25">
        <f>IF($A134="",0,SUMIFS('Operating Expenses'!$F$5:$F$2005,'Operating Expenses'!$Q$5:$Q$2005,$A134,'Operating Expenses'!$A$5:$A$2005,"&gt;="&amp;ReportFrom,'Operating Expenses'!$A$5:$A$2005,"&lt;="&amp;ReportTo)+SUMIFS('Operating Expenses'!$M$5:$M$2005,'Operating Expenses'!$T$5:$T$2005,$A134,'Operating Expenses'!$A$5:$A$2005,"&gt;="&amp;ReportFrom,'Operating Expenses'!$A$5:$A$2005,"&lt;="&amp;ReportTo))</f>
        <v/>
      </c>
      <c r="Q134" s="25">
        <f>IF($A134="",0,SUMIFS('Operating Expenses'!$O$5:$O$2005,'Operating Expenses'!$R$5:$R$2005,$A134,'Operating Expenses'!$A$5:$A$2005,"&gt;="&amp;ReportFrom,'Operating Expenses'!$A$5:$A$2005,"&lt;="&amp;ReportTo)+SUMIFS('Operating Expenses'!$P$5:$P$2005,'Operating Expenses'!$S$5:$S$2005,$A134,'Operating Expenses'!$A$5:$A$2005,"&gt;="&amp;ReportFrom,'Operating Expenses'!$A$5:$A$2005,"&lt;="&amp;ReportTo)+SUMIFS('Operating Expenses'!$N$5:$N$2005,'Operating Expenses'!$U$5:$U$2005,$A134,'Operating Expenses'!$A$5:$A$2005,"&gt;="&amp;ReportFrom,'Operating Expenses'!$A$5:$A$2005,"&lt;="&amp;ReportTo))</f>
        <v/>
      </c>
      <c r="R134" s="25">
        <f>IF($A134="",0,(SUMIFS('Payroll'!$O$5:$O$2005,'Payroll'!$Q$5:$Q$2005,$A134,'Payroll'!$A$5:$A$2005,"&lt;"&amp;ReportFrom))-(SUMIFS('Payroll'!$K$5:$K$2005,'Payroll'!$R$5:$R$2005,$A134,'Payroll'!$A$5:$A$2005,"&lt;"&amp;ReportFrom)+SUMIFS('Payroll'!$P$5:$P$2005,'Payroll'!$S$5:$S$2005,$A134,'Payroll'!$A$5:$A$2005,"&lt;"&amp;ReportFrom)))</f>
        <v/>
      </c>
      <c r="S134" s="25">
        <f>IF($A134="",0,SUMIFS('Payroll'!$O$5:$O$2005,'Payroll'!$Q$5:$Q$2005,$A134,'Payroll'!$A$5:$A$2005,"&gt;="&amp;ReportFrom,'Payroll'!$A$5:$A$2005,"&lt;="&amp;ReportTo))</f>
        <v/>
      </c>
      <c r="T134" s="25">
        <f>IF($A134="",0,SUMIFS('Payroll'!$K$5:$K$2005,'Payroll'!$R$5:$R$2005,$A134,'Payroll'!$A$5:$A$2005,"&gt;="&amp;ReportFrom,'Payroll'!$A$5:$A$2005,"&lt;="&amp;ReportTo)+SUMIFS('Payroll'!$P$5:$P$2005,'Payroll'!$S$5:$S$2005,$A134,'Payroll'!$A$5:$A$2005,"&gt;="&amp;ReportFrom,'Payroll'!$A$5:$A$2005,"&lt;="&amp;ReportTo))</f>
        <v/>
      </c>
      <c r="U134" s="25">
        <f>IF($A134="",0,(SUMIFS('Receipt Vouchers'!$F$5:$F$2005,'Receipt Vouchers'!$O$5:$O$2005,$A134,'Receipt Vouchers'!$A$5:$A$2005,"&lt;"&amp;ReportFrom)+SUMIFS('Receipt Vouchers'!$J$5:$J$2005,'Receipt Vouchers'!$Q$5:$Q$2005,$A134,'Receipt Vouchers'!$A$5:$A$2005,"&lt;"&amp;ReportFrom))-(SUMIFS('Receipt Vouchers'!$N$5:$N$2005,'Receipt Vouchers'!$P$5:$P$2005,$A134,'Receipt Vouchers'!$A$5:$A$2005,"&lt;"&amp;ReportFrom)+SUMIFS('Receipt Vouchers'!$M$5:$M$2005,'Receipt Vouchers'!$R$5:$R$2005,$A134,'Receipt Vouchers'!$A$5:$A$2005,"&lt;"&amp;ReportFrom)))</f>
        <v/>
      </c>
      <c r="V134" s="25">
        <f>IF($A134="",0,SUMIFS('Receipt Vouchers'!$F$5:$F$2005,'Receipt Vouchers'!$O$5:$O$2005,$A134,'Receipt Vouchers'!$A$5:$A$2005,"&gt;="&amp;ReportFrom,'Receipt Vouchers'!$A$5:$A$2005,"&lt;="&amp;ReportTo)+SUMIFS('Receipt Vouchers'!$J$5:$J$2005,'Receipt Vouchers'!$Q$5:$Q$2005,$A134,'Receipt Vouchers'!$A$5:$A$2005,"&gt;="&amp;ReportFrom,'Receipt Vouchers'!$A$5:$A$2005,"&lt;="&amp;ReportTo))</f>
        <v/>
      </c>
      <c r="W134" s="25">
        <f>IF($A134="",0,SUMIFS('Receipt Vouchers'!$N$5:$N$2005,'Receipt Vouchers'!$P$5:$P$2005,$A134,'Receipt Vouchers'!$A$5:$A$2005,"&gt;="&amp;ReportFrom,'Receipt Vouchers'!$A$5:$A$2005,"&lt;="&amp;ReportTo)+SUMIFS('Receipt Vouchers'!$M$5:$M$2005,'Receipt Vouchers'!$R$5:$R$2005,$A134,'Receipt Vouchers'!$A$5:$A$2005,"&gt;="&amp;ReportFrom,'Receipt Vouchers'!$A$5:$A$2005,"&lt;="&amp;ReportTo))</f>
        <v/>
      </c>
      <c r="X134" s="25">
        <f>IF($A134="",0,(SUMIFS('Sales Invoices'!$O$5:$O$2005,'Sales Invoices'!$P$5:$P$2005,$A134,'Sales Invoices'!$B$5:$B$2005,"&lt;"&amp;ReportFrom)+SUMIFS('Sales Invoices'!$N$5:$N$2005,'Sales Invoices'!$R$5:$R$2005,$A134,'Sales Invoices'!$B$5:$B$2005,"&lt;"&amp;ReportFrom))-(SUMIFS('Sales Invoices'!$L$5:$L$2005,'Sales Invoices'!$Q$5:$Q$2005,$A134,'Sales Invoices'!$B$5:$B$2005,"&lt;"&amp;ReportFrom)+SUMIFS('Sales Invoices'!$M$5:$M$2005,'Sales Invoices'!$S$5:$S$2005,$A134,'Sales Invoices'!$B$5:$B$2005,"&lt;"&amp;ReportFrom)))</f>
        <v/>
      </c>
      <c r="Y134" s="25">
        <f>IF($A134="",0,SUMIFS('Sales Invoices'!$O$5:$O$2005,'Sales Invoices'!$P$5:$P$2005,$A134,'Sales Invoices'!$B$5:$B$2005,"&gt;="&amp;ReportFrom,'Sales Invoices'!$B$5:$B$2005,"&lt;="&amp;ReportTo)+SUMIFS('Sales Invoices'!$N$5:$N$2005,'Sales Invoices'!$R$5:$R$2005,$A134,'Sales Invoices'!$B$5:$B$2005,"&gt;="&amp;ReportFrom,'Sales Invoices'!$B$5:$B$2005,"&lt;="&amp;ReportTo))</f>
        <v/>
      </c>
      <c r="Z134" s="25">
        <f>IF($A134="",0,SUMIFS('Sales Invoices'!$L$5:$L$2005,'Sales Invoices'!$Q$5:$Q$2005,$A134,'Sales Invoices'!$B$5:$B$2005,"&gt;="&amp;ReportFrom,'Sales Invoices'!$B$5:$B$2005,"&lt;="&amp;ReportTo)+SUMIFS('Sales Invoices'!$M$5:$M$2005,'Sales Invoices'!$S$5:$S$2005,$A134,'Sales Invoices'!$B$5:$B$2005,"&gt;="&amp;ReportFrom,'Sales Invoices'!$B$5:$B$2005,"&lt;="&amp;ReportTo))</f>
        <v/>
      </c>
      <c r="AA134" s="25">
        <f>IF($A134="",0,(SUMIFS('Payment Vouchers'!$D$5:$D$2005,'Payment Vouchers'!$J$5:$J$2005,$A134,'Payment Vouchers'!$A$5:$A$2005,"&lt;"&amp;ReportFrom))-(SUMIFS('Payment Vouchers'!$D$5:$D$2005,'Payment Vouchers'!$K$5:$K$2005,$A134,'Payment Vouchers'!$A$5:$A$2005,"&lt;"&amp;ReportFrom)))</f>
        <v/>
      </c>
      <c r="AB134" s="25">
        <f>IF($A134="",0,SUMIFS('Payment Vouchers'!$D$5:$D$2005,'Payment Vouchers'!$J$5:$J$2005,$A134,'Payment Vouchers'!$A$5:$A$2005,"&gt;="&amp;ReportFrom,'Payment Vouchers'!$A$5:$A$2005,"&lt;="&amp;ReportTo))</f>
        <v/>
      </c>
      <c r="AC134" s="25">
        <f>IF($A134="",0,SUMIFS('Payment Vouchers'!$D$5:$D$2005,'Payment Vouchers'!$K$5:$K$2005,$A134,'Payment Vouchers'!$A$5:$A$2005,"&gt;="&amp;ReportFrom,'Payment Vouchers'!$A$5:$A$2005,"&lt;="&amp;ReportTo))</f>
        <v/>
      </c>
      <c r="AD134" s="25">
        <f>IF($A134="",0,(SUMIFS('Partner Transactions'!$D$5:$D$2005,'Partner Transactions'!$L$5:$L$2005,$A134,'Partner Transactions'!$A$5:$A$2005,"&lt;"&amp;ReportFrom))-(SUMIFS('Partner Transactions'!$D$5:$D$2005,'Partner Transactions'!$M$5:$M$2005,$A134,'Partner Transactions'!$A$5:$A$2005,"&lt;"&amp;ReportFrom)))</f>
        <v/>
      </c>
      <c r="AE134" s="25">
        <f>IF($A134="",0,SUMIFS('Partner Transactions'!$D$5:$D$2005,'Partner Transactions'!$L$5:$L$2005,$A134,'Partner Transactions'!$A$5:$A$2005,"&gt;="&amp;ReportFrom,'Partner Transactions'!$A$5:$A$2005,"&lt;="&amp;ReportTo))</f>
        <v/>
      </c>
      <c r="AF134" s="25">
        <f>IF($A134="",0,SUMIFS('Partner Transactions'!$D$5:$D$2005,'Partner Transactions'!$M$5:$M$2005,$A134,'Partner Transactions'!$A$5:$A$2005,"&gt;="&amp;ReportFrom,'Partner Transactions'!$A$5:$A$2005,"&lt;="&amp;ReportTo))</f>
        <v/>
      </c>
      <c r="AG134" s="25">
        <f>IF($A134="",0,(SUMIFS('Stock Moves'!$S$5:$S$2005,'Stock Moves'!$AD$5:$AD$2005,$A134,'Stock Moves'!$A$5:$A$2005,"&lt;"&amp;ReportFrom)+SUMIFS('Stock Moves'!$T$5:$T$2005,'Stock Moves'!$V$5:$V$2005,$A134,'Stock Moves'!$A$5:$A$2005,"&lt;"&amp;ReportFrom))-(SUMIFS('Stock Moves'!$AF$5:$AF$2005,'Stock Moves'!$AE$5:$AE$2005,$A134,'Stock Moves'!$A$5:$A$2005,"&lt;"&amp;ReportFrom)+SUMIFS('Stock Moves'!$AC$5:$AC$2005,'Stock Moves'!$X$5:$X$2005,$A134,'Stock Moves'!$A$5:$A$2005,"&lt;"&amp;ReportFrom)+SUMIFS('Stock Moves'!$U$5:$U$2005,'Stock Moves'!$W$5:$W$2005,$A134,'Stock Moves'!$A$5:$A$2005,"&lt;"&amp;ReportFrom)))</f>
        <v/>
      </c>
      <c r="AH134" s="25">
        <f>IF($A134="",0,SUMIFS('Stock Moves'!$S$5:$S$2005,'Stock Moves'!$AD$5:$AD$2005,$A134,'Stock Moves'!$A$5:$A$2005,"&gt;="&amp;ReportFrom,'Stock Moves'!$A$5:$A$2005,"&lt;="&amp;ReportTo)+SUMIFS('Stock Moves'!$T$5:$T$2005,'Stock Moves'!$V$5:$V$2005,$A134,'Stock Moves'!$A$5:$A$2005,"&gt;="&amp;ReportFrom,'Stock Moves'!$A$5:$A$2005,"&lt;="&amp;ReportTo))</f>
        <v/>
      </c>
      <c r="AI134" s="25">
        <f>IF($A134="",0,SUMIFS('Stock Moves'!$AF$5:$AF$2005,'Stock Moves'!$AE$5:$AE$2005,$A134,'Stock Moves'!$A$5:$A$2005,"&gt;="&amp;ReportFrom,'Stock Moves'!$A$5:$A$2005,"&lt;="&amp;ReportTo)+SUMIFS('Stock Moves'!$AC$5:$AC$2005,'Stock Moves'!$X$5:$X$2005,$A134,'Stock Moves'!$A$5:$A$2005,"&gt;="&amp;ReportFrom,'Stock Moves'!$A$5:$A$2005,"&lt;="&amp;ReportTo)+SUMIFS('Stock Moves'!$U$5:$U$2005,'Stock Moves'!$W$5:$W$2005,$A134,'Stock Moves'!$A$5:$A$2005,"&gt;="&amp;ReportFrom,'Stock Moves'!$A$5:$A$2005,"&lt;="&amp;ReportTo))</f>
        <v/>
      </c>
      <c r="AJ134" s="25">
        <f>IF($A134="",0,(SUMIFS('Journal Vouchers'!$I$5:$I$2005,'Journal Vouchers'!$H$5:$H$2005,$A134,'Journal Vouchers'!$B$5:$B$2005,"&lt;"&amp;ReportFrom))-(SUMIFS('Journal Vouchers'!$J$5:$J$2005,'Journal Vouchers'!$H$5:$H$2005,$A134,'Journal Vouchers'!$B$5:$B$2005,"&lt;"&amp;ReportFrom)))</f>
        <v/>
      </c>
      <c r="AK134" s="25">
        <f>IF($A134="",0,SUMIFS('Journal Vouchers'!$I$5:$I$2005,'Journal Vouchers'!$H$5:$H$2005,$A134,'Journal Vouchers'!$B$5:$B$2005,"&gt;="&amp;ReportFrom,'Journal Vouchers'!$B$5:$B$2005,"&lt;="&amp;ReportTo))</f>
        <v/>
      </c>
      <c r="AL134" s="25">
        <f>IF($A134="",0,SUMIFS('Journal Vouchers'!$J$5:$J$2005,'Journal Vouchers'!$H$5:$H$2005,$A134,'Journal Vouchers'!$B$5:$B$2005,"&gt;="&amp;ReportFrom,'Journal Vouchers'!$B$5:$B$2005,"&lt;="&amp;ReportTo))</f>
        <v/>
      </c>
    </row>
    <row r="135">
      <c r="A135" s="25">
        <f>IF('Chart of Accounts'!A135="","",'Chart of Accounts'!A135&amp;"")</f>
        <v/>
      </c>
      <c r="B135" s="25">
        <f>IF(A135="","",'Chart of Accounts'!B135)</f>
        <v/>
      </c>
      <c r="C135" s="25">
        <f>IF(A135="","",'Chart of Accounts'!C135)</f>
        <v/>
      </c>
      <c r="D135" s="25">
        <f>IF(A135="","",'Chart of Accounts'!D135)</f>
        <v/>
      </c>
      <c r="E135" s="26">
        <f>L135+O135+R135+U135+X135+AA135+AD135+AG135+AJ135</f>
        <v/>
      </c>
      <c r="F135" s="26">
        <f>M135+P135+S135+V135+Y135+AB135+AE135+AH135+AK135</f>
        <v/>
      </c>
      <c r="G135" s="26">
        <f>N135+Q135+T135+W135+Z135+AC135+AF135+AI135+AL135</f>
        <v/>
      </c>
      <c r="H135" s="26">
        <f>E135+F135-G135</f>
        <v/>
      </c>
      <c r="I135" s="26">
        <f>MAX(H135,0)</f>
        <v/>
      </c>
      <c r="J135" s="26">
        <f>MAX(-H135,0)</f>
        <v/>
      </c>
      <c r="L135" s="25">
        <f>IF($A135="",0,(SUMIFS('Direct Costs'!$R$5:$R$2005,'Direct Costs'!$V$5:$V$2005,$A135,'Direct Costs'!$A$5:$A$2005,"&lt;"&amp;ReportFrom)+SUMIFS('Direct Costs'!$S$5:$S$2005,'Direct Costs'!$Y$5:$Y$2005,$A135,'Direct Costs'!$A$5:$A$2005,"&lt;"&amp;ReportFrom))-(SUMIFS('Direct Costs'!$L$5:$L$2005,'Direct Costs'!$W$5:$W$2005,$A135,'Direct Costs'!$A$5:$A$2005,"&lt;"&amp;ReportFrom)+SUMIFS('Direct Costs'!$U$5:$U$2005,'Direct Costs'!$X$5:$X$2005,$A135,'Direct Costs'!$A$5:$A$2005,"&lt;"&amp;ReportFrom)+SUMIFS('Direct Costs'!$T$5:$T$2005,'Direct Costs'!$Z$5:$Z$2005,$A135,'Direct Costs'!$A$5:$A$2005,"&lt;"&amp;ReportFrom)))</f>
        <v/>
      </c>
      <c r="M135" s="25">
        <f>IF($A135="",0,SUMIFS('Direct Costs'!$R$5:$R$2005,'Direct Costs'!$V$5:$V$2005,$A135,'Direct Costs'!$A$5:$A$2005,"&gt;="&amp;ReportFrom,'Direct Costs'!$A$5:$A$2005,"&lt;="&amp;ReportTo)+SUMIFS('Direct Costs'!$S$5:$S$2005,'Direct Costs'!$Y$5:$Y$2005,$A135,'Direct Costs'!$A$5:$A$2005,"&gt;="&amp;ReportFrom,'Direct Costs'!$A$5:$A$2005,"&lt;="&amp;ReportTo))</f>
        <v/>
      </c>
      <c r="N135" s="25">
        <f>IF($A135="",0,SUMIFS('Direct Costs'!$L$5:$L$2005,'Direct Costs'!$W$5:$W$2005,$A135,'Direct Costs'!$A$5:$A$2005,"&gt;="&amp;ReportFrom,'Direct Costs'!$A$5:$A$2005,"&lt;="&amp;ReportTo)+SUMIFS('Direct Costs'!$U$5:$U$2005,'Direct Costs'!$X$5:$X$2005,$A135,'Direct Costs'!$A$5:$A$2005,"&gt;="&amp;ReportFrom,'Direct Costs'!$A$5:$A$2005,"&lt;="&amp;ReportTo)+SUMIFS('Direct Costs'!$T$5:$T$2005,'Direct Costs'!$Z$5:$Z$2005,$A135,'Direct Costs'!$A$5:$A$2005,"&gt;="&amp;ReportFrom,'Direct Costs'!$A$5:$A$2005,"&lt;="&amp;ReportTo))</f>
        <v/>
      </c>
      <c r="O135" s="25">
        <f>IF($A135="",0,(SUMIFS('Operating Expenses'!$F$5:$F$2005,'Operating Expenses'!$Q$5:$Q$2005,$A135,'Operating Expenses'!$A$5:$A$2005,"&lt;"&amp;ReportFrom)+SUMIFS('Operating Expenses'!$M$5:$M$2005,'Operating Expenses'!$T$5:$T$2005,$A135,'Operating Expenses'!$A$5:$A$2005,"&lt;"&amp;ReportFrom))-(SUMIFS('Operating Expenses'!$O$5:$O$2005,'Operating Expenses'!$R$5:$R$2005,$A135,'Operating Expenses'!$A$5:$A$2005,"&lt;"&amp;ReportFrom)+SUMIFS('Operating Expenses'!$P$5:$P$2005,'Operating Expenses'!$S$5:$S$2005,$A135,'Operating Expenses'!$A$5:$A$2005,"&lt;"&amp;ReportFrom)+SUMIFS('Operating Expenses'!$N$5:$N$2005,'Operating Expenses'!$U$5:$U$2005,$A135,'Operating Expenses'!$A$5:$A$2005,"&lt;"&amp;ReportFrom)))</f>
        <v/>
      </c>
      <c r="P135" s="25">
        <f>IF($A135="",0,SUMIFS('Operating Expenses'!$F$5:$F$2005,'Operating Expenses'!$Q$5:$Q$2005,$A135,'Operating Expenses'!$A$5:$A$2005,"&gt;="&amp;ReportFrom,'Operating Expenses'!$A$5:$A$2005,"&lt;="&amp;ReportTo)+SUMIFS('Operating Expenses'!$M$5:$M$2005,'Operating Expenses'!$T$5:$T$2005,$A135,'Operating Expenses'!$A$5:$A$2005,"&gt;="&amp;ReportFrom,'Operating Expenses'!$A$5:$A$2005,"&lt;="&amp;ReportTo))</f>
        <v/>
      </c>
      <c r="Q135" s="25">
        <f>IF($A135="",0,SUMIFS('Operating Expenses'!$O$5:$O$2005,'Operating Expenses'!$R$5:$R$2005,$A135,'Operating Expenses'!$A$5:$A$2005,"&gt;="&amp;ReportFrom,'Operating Expenses'!$A$5:$A$2005,"&lt;="&amp;ReportTo)+SUMIFS('Operating Expenses'!$P$5:$P$2005,'Operating Expenses'!$S$5:$S$2005,$A135,'Operating Expenses'!$A$5:$A$2005,"&gt;="&amp;ReportFrom,'Operating Expenses'!$A$5:$A$2005,"&lt;="&amp;ReportTo)+SUMIFS('Operating Expenses'!$N$5:$N$2005,'Operating Expenses'!$U$5:$U$2005,$A135,'Operating Expenses'!$A$5:$A$2005,"&gt;="&amp;ReportFrom,'Operating Expenses'!$A$5:$A$2005,"&lt;="&amp;ReportTo))</f>
        <v/>
      </c>
      <c r="R135" s="25">
        <f>IF($A135="",0,(SUMIFS('Payroll'!$O$5:$O$2005,'Payroll'!$Q$5:$Q$2005,$A135,'Payroll'!$A$5:$A$2005,"&lt;"&amp;ReportFrom))-(SUMIFS('Payroll'!$K$5:$K$2005,'Payroll'!$R$5:$R$2005,$A135,'Payroll'!$A$5:$A$2005,"&lt;"&amp;ReportFrom)+SUMIFS('Payroll'!$P$5:$P$2005,'Payroll'!$S$5:$S$2005,$A135,'Payroll'!$A$5:$A$2005,"&lt;"&amp;ReportFrom)))</f>
        <v/>
      </c>
      <c r="S135" s="25">
        <f>IF($A135="",0,SUMIFS('Payroll'!$O$5:$O$2005,'Payroll'!$Q$5:$Q$2005,$A135,'Payroll'!$A$5:$A$2005,"&gt;="&amp;ReportFrom,'Payroll'!$A$5:$A$2005,"&lt;="&amp;ReportTo))</f>
        <v/>
      </c>
      <c r="T135" s="25">
        <f>IF($A135="",0,SUMIFS('Payroll'!$K$5:$K$2005,'Payroll'!$R$5:$R$2005,$A135,'Payroll'!$A$5:$A$2005,"&gt;="&amp;ReportFrom,'Payroll'!$A$5:$A$2005,"&lt;="&amp;ReportTo)+SUMIFS('Payroll'!$P$5:$P$2005,'Payroll'!$S$5:$S$2005,$A135,'Payroll'!$A$5:$A$2005,"&gt;="&amp;ReportFrom,'Payroll'!$A$5:$A$2005,"&lt;="&amp;ReportTo))</f>
        <v/>
      </c>
      <c r="U135" s="25">
        <f>IF($A135="",0,(SUMIFS('Receipt Vouchers'!$F$5:$F$2005,'Receipt Vouchers'!$O$5:$O$2005,$A135,'Receipt Vouchers'!$A$5:$A$2005,"&lt;"&amp;ReportFrom)+SUMIFS('Receipt Vouchers'!$J$5:$J$2005,'Receipt Vouchers'!$Q$5:$Q$2005,$A135,'Receipt Vouchers'!$A$5:$A$2005,"&lt;"&amp;ReportFrom))-(SUMIFS('Receipt Vouchers'!$N$5:$N$2005,'Receipt Vouchers'!$P$5:$P$2005,$A135,'Receipt Vouchers'!$A$5:$A$2005,"&lt;"&amp;ReportFrom)+SUMIFS('Receipt Vouchers'!$M$5:$M$2005,'Receipt Vouchers'!$R$5:$R$2005,$A135,'Receipt Vouchers'!$A$5:$A$2005,"&lt;"&amp;ReportFrom)))</f>
        <v/>
      </c>
      <c r="V135" s="25">
        <f>IF($A135="",0,SUMIFS('Receipt Vouchers'!$F$5:$F$2005,'Receipt Vouchers'!$O$5:$O$2005,$A135,'Receipt Vouchers'!$A$5:$A$2005,"&gt;="&amp;ReportFrom,'Receipt Vouchers'!$A$5:$A$2005,"&lt;="&amp;ReportTo)+SUMIFS('Receipt Vouchers'!$J$5:$J$2005,'Receipt Vouchers'!$Q$5:$Q$2005,$A135,'Receipt Vouchers'!$A$5:$A$2005,"&gt;="&amp;ReportFrom,'Receipt Vouchers'!$A$5:$A$2005,"&lt;="&amp;ReportTo))</f>
        <v/>
      </c>
      <c r="W135" s="25">
        <f>IF($A135="",0,SUMIFS('Receipt Vouchers'!$N$5:$N$2005,'Receipt Vouchers'!$P$5:$P$2005,$A135,'Receipt Vouchers'!$A$5:$A$2005,"&gt;="&amp;ReportFrom,'Receipt Vouchers'!$A$5:$A$2005,"&lt;="&amp;ReportTo)+SUMIFS('Receipt Vouchers'!$M$5:$M$2005,'Receipt Vouchers'!$R$5:$R$2005,$A135,'Receipt Vouchers'!$A$5:$A$2005,"&gt;="&amp;ReportFrom,'Receipt Vouchers'!$A$5:$A$2005,"&lt;="&amp;ReportTo))</f>
        <v/>
      </c>
      <c r="X135" s="25">
        <f>IF($A135="",0,(SUMIFS('Sales Invoices'!$O$5:$O$2005,'Sales Invoices'!$P$5:$P$2005,$A135,'Sales Invoices'!$B$5:$B$2005,"&lt;"&amp;ReportFrom)+SUMIFS('Sales Invoices'!$N$5:$N$2005,'Sales Invoices'!$R$5:$R$2005,$A135,'Sales Invoices'!$B$5:$B$2005,"&lt;"&amp;ReportFrom))-(SUMIFS('Sales Invoices'!$L$5:$L$2005,'Sales Invoices'!$Q$5:$Q$2005,$A135,'Sales Invoices'!$B$5:$B$2005,"&lt;"&amp;ReportFrom)+SUMIFS('Sales Invoices'!$M$5:$M$2005,'Sales Invoices'!$S$5:$S$2005,$A135,'Sales Invoices'!$B$5:$B$2005,"&lt;"&amp;ReportFrom)))</f>
        <v/>
      </c>
      <c r="Y135" s="25">
        <f>IF($A135="",0,SUMIFS('Sales Invoices'!$O$5:$O$2005,'Sales Invoices'!$P$5:$P$2005,$A135,'Sales Invoices'!$B$5:$B$2005,"&gt;="&amp;ReportFrom,'Sales Invoices'!$B$5:$B$2005,"&lt;="&amp;ReportTo)+SUMIFS('Sales Invoices'!$N$5:$N$2005,'Sales Invoices'!$R$5:$R$2005,$A135,'Sales Invoices'!$B$5:$B$2005,"&gt;="&amp;ReportFrom,'Sales Invoices'!$B$5:$B$2005,"&lt;="&amp;ReportTo))</f>
        <v/>
      </c>
      <c r="Z135" s="25">
        <f>IF($A135="",0,SUMIFS('Sales Invoices'!$L$5:$L$2005,'Sales Invoices'!$Q$5:$Q$2005,$A135,'Sales Invoices'!$B$5:$B$2005,"&gt;="&amp;ReportFrom,'Sales Invoices'!$B$5:$B$2005,"&lt;="&amp;ReportTo)+SUMIFS('Sales Invoices'!$M$5:$M$2005,'Sales Invoices'!$S$5:$S$2005,$A135,'Sales Invoices'!$B$5:$B$2005,"&gt;="&amp;ReportFrom,'Sales Invoices'!$B$5:$B$2005,"&lt;="&amp;ReportTo))</f>
        <v/>
      </c>
      <c r="AA135" s="25">
        <f>IF($A135="",0,(SUMIFS('Payment Vouchers'!$D$5:$D$2005,'Payment Vouchers'!$J$5:$J$2005,$A135,'Payment Vouchers'!$A$5:$A$2005,"&lt;"&amp;ReportFrom))-(SUMIFS('Payment Vouchers'!$D$5:$D$2005,'Payment Vouchers'!$K$5:$K$2005,$A135,'Payment Vouchers'!$A$5:$A$2005,"&lt;"&amp;ReportFrom)))</f>
        <v/>
      </c>
      <c r="AB135" s="25">
        <f>IF($A135="",0,SUMIFS('Payment Vouchers'!$D$5:$D$2005,'Payment Vouchers'!$J$5:$J$2005,$A135,'Payment Vouchers'!$A$5:$A$2005,"&gt;="&amp;ReportFrom,'Payment Vouchers'!$A$5:$A$2005,"&lt;="&amp;ReportTo))</f>
        <v/>
      </c>
      <c r="AC135" s="25">
        <f>IF($A135="",0,SUMIFS('Payment Vouchers'!$D$5:$D$2005,'Payment Vouchers'!$K$5:$K$2005,$A135,'Payment Vouchers'!$A$5:$A$2005,"&gt;="&amp;ReportFrom,'Payment Vouchers'!$A$5:$A$2005,"&lt;="&amp;ReportTo))</f>
        <v/>
      </c>
      <c r="AD135" s="25">
        <f>IF($A135="",0,(SUMIFS('Partner Transactions'!$D$5:$D$2005,'Partner Transactions'!$L$5:$L$2005,$A135,'Partner Transactions'!$A$5:$A$2005,"&lt;"&amp;ReportFrom))-(SUMIFS('Partner Transactions'!$D$5:$D$2005,'Partner Transactions'!$M$5:$M$2005,$A135,'Partner Transactions'!$A$5:$A$2005,"&lt;"&amp;ReportFrom)))</f>
        <v/>
      </c>
      <c r="AE135" s="25">
        <f>IF($A135="",0,SUMIFS('Partner Transactions'!$D$5:$D$2005,'Partner Transactions'!$L$5:$L$2005,$A135,'Partner Transactions'!$A$5:$A$2005,"&gt;="&amp;ReportFrom,'Partner Transactions'!$A$5:$A$2005,"&lt;="&amp;ReportTo))</f>
        <v/>
      </c>
      <c r="AF135" s="25">
        <f>IF($A135="",0,SUMIFS('Partner Transactions'!$D$5:$D$2005,'Partner Transactions'!$M$5:$M$2005,$A135,'Partner Transactions'!$A$5:$A$2005,"&gt;="&amp;ReportFrom,'Partner Transactions'!$A$5:$A$2005,"&lt;="&amp;ReportTo))</f>
        <v/>
      </c>
      <c r="AG135" s="25">
        <f>IF($A135="",0,(SUMIFS('Stock Moves'!$S$5:$S$2005,'Stock Moves'!$AD$5:$AD$2005,$A135,'Stock Moves'!$A$5:$A$2005,"&lt;"&amp;ReportFrom)+SUMIFS('Stock Moves'!$T$5:$T$2005,'Stock Moves'!$V$5:$V$2005,$A135,'Stock Moves'!$A$5:$A$2005,"&lt;"&amp;ReportFrom))-(SUMIFS('Stock Moves'!$AF$5:$AF$2005,'Stock Moves'!$AE$5:$AE$2005,$A135,'Stock Moves'!$A$5:$A$2005,"&lt;"&amp;ReportFrom)+SUMIFS('Stock Moves'!$AC$5:$AC$2005,'Stock Moves'!$X$5:$X$2005,$A135,'Stock Moves'!$A$5:$A$2005,"&lt;"&amp;ReportFrom)+SUMIFS('Stock Moves'!$U$5:$U$2005,'Stock Moves'!$W$5:$W$2005,$A135,'Stock Moves'!$A$5:$A$2005,"&lt;"&amp;ReportFrom)))</f>
        <v/>
      </c>
      <c r="AH135" s="25">
        <f>IF($A135="",0,SUMIFS('Stock Moves'!$S$5:$S$2005,'Stock Moves'!$AD$5:$AD$2005,$A135,'Stock Moves'!$A$5:$A$2005,"&gt;="&amp;ReportFrom,'Stock Moves'!$A$5:$A$2005,"&lt;="&amp;ReportTo)+SUMIFS('Stock Moves'!$T$5:$T$2005,'Stock Moves'!$V$5:$V$2005,$A135,'Stock Moves'!$A$5:$A$2005,"&gt;="&amp;ReportFrom,'Stock Moves'!$A$5:$A$2005,"&lt;="&amp;ReportTo))</f>
        <v/>
      </c>
      <c r="AI135" s="25">
        <f>IF($A135="",0,SUMIFS('Stock Moves'!$AF$5:$AF$2005,'Stock Moves'!$AE$5:$AE$2005,$A135,'Stock Moves'!$A$5:$A$2005,"&gt;="&amp;ReportFrom,'Stock Moves'!$A$5:$A$2005,"&lt;="&amp;ReportTo)+SUMIFS('Stock Moves'!$AC$5:$AC$2005,'Stock Moves'!$X$5:$X$2005,$A135,'Stock Moves'!$A$5:$A$2005,"&gt;="&amp;ReportFrom,'Stock Moves'!$A$5:$A$2005,"&lt;="&amp;ReportTo)+SUMIFS('Stock Moves'!$U$5:$U$2005,'Stock Moves'!$W$5:$W$2005,$A135,'Stock Moves'!$A$5:$A$2005,"&gt;="&amp;ReportFrom,'Stock Moves'!$A$5:$A$2005,"&lt;="&amp;ReportTo))</f>
        <v/>
      </c>
      <c r="AJ135" s="25">
        <f>IF($A135="",0,(SUMIFS('Journal Vouchers'!$I$5:$I$2005,'Journal Vouchers'!$H$5:$H$2005,$A135,'Journal Vouchers'!$B$5:$B$2005,"&lt;"&amp;ReportFrom))-(SUMIFS('Journal Vouchers'!$J$5:$J$2005,'Journal Vouchers'!$H$5:$H$2005,$A135,'Journal Vouchers'!$B$5:$B$2005,"&lt;"&amp;ReportFrom)))</f>
        <v/>
      </c>
      <c r="AK135" s="25">
        <f>IF($A135="",0,SUMIFS('Journal Vouchers'!$I$5:$I$2005,'Journal Vouchers'!$H$5:$H$2005,$A135,'Journal Vouchers'!$B$5:$B$2005,"&gt;="&amp;ReportFrom,'Journal Vouchers'!$B$5:$B$2005,"&lt;="&amp;ReportTo))</f>
        <v/>
      </c>
      <c r="AL135" s="25">
        <f>IF($A135="",0,SUMIFS('Journal Vouchers'!$J$5:$J$2005,'Journal Vouchers'!$H$5:$H$2005,$A135,'Journal Vouchers'!$B$5:$B$2005,"&gt;="&amp;ReportFrom,'Journal Vouchers'!$B$5:$B$2005,"&lt;="&amp;ReportTo))</f>
        <v/>
      </c>
    </row>
    <row r="136">
      <c r="A136" s="25">
        <f>IF('Chart of Accounts'!A136="","",'Chart of Accounts'!A136&amp;"")</f>
        <v/>
      </c>
      <c r="B136" s="25">
        <f>IF(A136="","",'Chart of Accounts'!B136)</f>
        <v/>
      </c>
      <c r="C136" s="25">
        <f>IF(A136="","",'Chart of Accounts'!C136)</f>
        <v/>
      </c>
      <c r="D136" s="25">
        <f>IF(A136="","",'Chart of Accounts'!D136)</f>
        <v/>
      </c>
      <c r="E136" s="26">
        <f>L136+O136+R136+U136+X136+AA136+AD136+AG136+AJ136</f>
        <v/>
      </c>
      <c r="F136" s="26">
        <f>M136+P136+S136+V136+Y136+AB136+AE136+AH136+AK136</f>
        <v/>
      </c>
      <c r="G136" s="26">
        <f>N136+Q136+T136+W136+Z136+AC136+AF136+AI136+AL136</f>
        <v/>
      </c>
      <c r="H136" s="26">
        <f>E136+F136-G136</f>
        <v/>
      </c>
      <c r="I136" s="26">
        <f>MAX(H136,0)</f>
        <v/>
      </c>
      <c r="J136" s="26">
        <f>MAX(-H136,0)</f>
        <v/>
      </c>
      <c r="L136" s="25">
        <f>IF($A136="",0,(SUMIFS('Direct Costs'!$R$5:$R$2005,'Direct Costs'!$V$5:$V$2005,$A136,'Direct Costs'!$A$5:$A$2005,"&lt;"&amp;ReportFrom)+SUMIFS('Direct Costs'!$S$5:$S$2005,'Direct Costs'!$Y$5:$Y$2005,$A136,'Direct Costs'!$A$5:$A$2005,"&lt;"&amp;ReportFrom))-(SUMIFS('Direct Costs'!$L$5:$L$2005,'Direct Costs'!$W$5:$W$2005,$A136,'Direct Costs'!$A$5:$A$2005,"&lt;"&amp;ReportFrom)+SUMIFS('Direct Costs'!$U$5:$U$2005,'Direct Costs'!$X$5:$X$2005,$A136,'Direct Costs'!$A$5:$A$2005,"&lt;"&amp;ReportFrom)+SUMIFS('Direct Costs'!$T$5:$T$2005,'Direct Costs'!$Z$5:$Z$2005,$A136,'Direct Costs'!$A$5:$A$2005,"&lt;"&amp;ReportFrom)))</f>
        <v/>
      </c>
      <c r="M136" s="25">
        <f>IF($A136="",0,SUMIFS('Direct Costs'!$R$5:$R$2005,'Direct Costs'!$V$5:$V$2005,$A136,'Direct Costs'!$A$5:$A$2005,"&gt;="&amp;ReportFrom,'Direct Costs'!$A$5:$A$2005,"&lt;="&amp;ReportTo)+SUMIFS('Direct Costs'!$S$5:$S$2005,'Direct Costs'!$Y$5:$Y$2005,$A136,'Direct Costs'!$A$5:$A$2005,"&gt;="&amp;ReportFrom,'Direct Costs'!$A$5:$A$2005,"&lt;="&amp;ReportTo))</f>
        <v/>
      </c>
      <c r="N136" s="25">
        <f>IF($A136="",0,SUMIFS('Direct Costs'!$L$5:$L$2005,'Direct Costs'!$W$5:$W$2005,$A136,'Direct Costs'!$A$5:$A$2005,"&gt;="&amp;ReportFrom,'Direct Costs'!$A$5:$A$2005,"&lt;="&amp;ReportTo)+SUMIFS('Direct Costs'!$U$5:$U$2005,'Direct Costs'!$X$5:$X$2005,$A136,'Direct Costs'!$A$5:$A$2005,"&gt;="&amp;ReportFrom,'Direct Costs'!$A$5:$A$2005,"&lt;="&amp;ReportTo)+SUMIFS('Direct Costs'!$T$5:$T$2005,'Direct Costs'!$Z$5:$Z$2005,$A136,'Direct Costs'!$A$5:$A$2005,"&gt;="&amp;ReportFrom,'Direct Costs'!$A$5:$A$2005,"&lt;="&amp;ReportTo))</f>
        <v/>
      </c>
      <c r="O136" s="25">
        <f>IF($A136="",0,(SUMIFS('Operating Expenses'!$F$5:$F$2005,'Operating Expenses'!$Q$5:$Q$2005,$A136,'Operating Expenses'!$A$5:$A$2005,"&lt;"&amp;ReportFrom)+SUMIFS('Operating Expenses'!$M$5:$M$2005,'Operating Expenses'!$T$5:$T$2005,$A136,'Operating Expenses'!$A$5:$A$2005,"&lt;"&amp;ReportFrom))-(SUMIFS('Operating Expenses'!$O$5:$O$2005,'Operating Expenses'!$R$5:$R$2005,$A136,'Operating Expenses'!$A$5:$A$2005,"&lt;"&amp;ReportFrom)+SUMIFS('Operating Expenses'!$P$5:$P$2005,'Operating Expenses'!$S$5:$S$2005,$A136,'Operating Expenses'!$A$5:$A$2005,"&lt;"&amp;ReportFrom)+SUMIFS('Operating Expenses'!$N$5:$N$2005,'Operating Expenses'!$U$5:$U$2005,$A136,'Operating Expenses'!$A$5:$A$2005,"&lt;"&amp;ReportFrom)))</f>
        <v/>
      </c>
      <c r="P136" s="25">
        <f>IF($A136="",0,SUMIFS('Operating Expenses'!$F$5:$F$2005,'Operating Expenses'!$Q$5:$Q$2005,$A136,'Operating Expenses'!$A$5:$A$2005,"&gt;="&amp;ReportFrom,'Operating Expenses'!$A$5:$A$2005,"&lt;="&amp;ReportTo)+SUMIFS('Operating Expenses'!$M$5:$M$2005,'Operating Expenses'!$T$5:$T$2005,$A136,'Operating Expenses'!$A$5:$A$2005,"&gt;="&amp;ReportFrom,'Operating Expenses'!$A$5:$A$2005,"&lt;="&amp;ReportTo))</f>
        <v/>
      </c>
      <c r="Q136" s="25">
        <f>IF($A136="",0,SUMIFS('Operating Expenses'!$O$5:$O$2005,'Operating Expenses'!$R$5:$R$2005,$A136,'Operating Expenses'!$A$5:$A$2005,"&gt;="&amp;ReportFrom,'Operating Expenses'!$A$5:$A$2005,"&lt;="&amp;ReportTo)+SUMIFS('Operating Expenses'!$P$5:$P$2005,'Operating Expenses'!$S$5:$S$2005,$A136,'Operating Expenses'!$A$5:$A$2005,"&gt;="&amp;ReportFrom,'Operating Expenses'!$A$5:$A$2005,"&lt;="&amp;ReportTo)+SUMIFS('Operating Expenses'!$N$5:$N$2005,'Operating Expenses'!$U$5:$U$2005,$A136,'Operating Expenses'!$A$5:$A$2005,"&gt;="&amp;ReportFrom,'Operating Expenses'!$A$5:$A$2005,"&lt;="&amp;ReportTo))</f>
        <v/>
      </c>
      <c r="R136" s="25">
        <f>IF($A136="",0,(SUMIFS('Payroll'!$O$5:$O$2005,'Payroll'!$Q$5:$Q$2005,$A136,'Payroll'!$A$5:$A$2005,"&lt;"&amp;ReportFrom))-(SUMIFS('Payroll'!$K$5:$K$2005,'Payroll'!$R$5:$R$2005,$A136,'Payroll'!$A$5:$A$2005,"&lt;"&amp;ReportFrom)+SUMIFS('Payroll'!$P$5:$P$2005,'Payroll'!$S$5:$S$2005,$A136,'Payroll'!$A$5:$A$2005,"&lt;"&amp;ReportFrom)))</f>
        <v/>
      </c>
      <c r="S136" s="25">
        <f>IF($A136="",0,SUMIFS('Payroll'!$O$5:$O$2005,'Payroll'!$Q$5:$Q$2005,$A136,'Payroll'!$A$5:$A$2005,"&gt;="&amp;ReportFrom,'Payroll'!$A$5:$A$2005,"&lt;="&amp;ReportTo))</f>
        <v/>
      </c>
      <c r="T136" s="25">
        <f>IF($A136="",0,SUMIFS('Payroll'!$K$5:$K$2005,'Payroll'!$R$5:$R$2005,$A136,'Payroll'!$A$5:$A$2005,"&gt;="&amp;ReportFrom,'Payroll'!$A$5:$A$2005,"&lt;="&amp;ReportTo)+SUMIFS('Payroll'!$P$5:$P$2005,'Payroll'!$S$5:$S$2005,$A136,'Payroll'!$A$5:$A$2005,"&gt;="&amp;ReportFrom,'Payroll'!$A$5:$A$2005,"&lt;="&amp;ReportTo))</f>
        <v/>
      </c>
      <c r="U136" s="25">
        <f>IF($A136="",0,(SUMIFS('Receipt Vouchers'!$F$5:$F$2005,'Receipt Vouchers'!$O$5:$O$2005,$A136,'Receipt Vouchers'!$A$5:$A$2005,"&lt;"&amp;ReportFrom)+SUMIFS('Receipt Vouchers'!$J$5:$J$2005,'Receipt Vouchers'!$Q$5:$Q$2005,$A136,'Receipt Vouchers'!$A$5:$A$2005,"&lt;"&amp;ReportFrom))-(SUMIFS('Receipt Vouchers'!$N$5:$N$2005,'Receipt Vouchers'!$P$5:$P$2005,$A136,'Receipt Vouchers'!$A$5:$A$2005,"&lt;"&amp;ReportFrom)+SUMIFS('Receipt Vouchers'!$M$5:$M$2005,'Receipt Vouchers'!$R$5:$R$2005,$A136,'Receipt Vouchers'!$A$5:$A$2005,"&lt;"&amp;ReportFrom)))</f>
        <v/>
      </c>
      <c r="V136" s="25">
        <f>IF($A136="",0,SUMIFS('Receipt Vouchers'!$F$5:$F$2005,'Receipt Vouchers'!$O$5:$O$2005,$A136,'Receipt Vouchers'!$A$5:$A$2005,"&gt;="&amp;ReportFrom,'Receipt Vouchers'!$A$5:$A$2005,"&lt;="&amp;ReportTo)+SUMIFS('Receipt Vouchers'!$J$5:$J$2005,'Receipt Vouchers'!$Q$5:$Q$2005,$A136,'Receipt Vouchers'!$A$5:$A$2005,"&gt;="&amp;ReportFrom,'Receipt Vouchers'!$A$5:$A$2005,"&lt;="&amp;ReportTo))</f>
        <v/>
      </c>
      <c r="W136" s="25">
        <f>IF($A136="",0,SUMIFS('Receipt Vouchers'!$N$5:$N$2005,'Receipt Vouchers'!$P$5:$P$2005,$A136,'Receipt Vouchers'!$A$5:$A$2005,"&gt;="&amp;ReportFrom,'Receipt Vouchers'!$A$5:$A$2005,"&lt;="&amp;ReportTo)+SUMIFS('Receipt Vouchers'!$M$5:$M$2005,'Receipt Vouchers'!$R$5:$R$2005,$A136,'Receipt Vouchers'!$A$5:$A$2005,"&gt;="&amp;ReportFrom,'Receipt Vouchers'!$A$5:$A$2005,"&lt;="&amp;ReportTo))</f>
        <v/>
      </c>
      <c r="X136" s="25">
        <f>IF($A136="",0,(SUMIFS('Sales Invoices'!$O$5:$O$2005,'Sales Invoices'!$P$5:$P$2005,$A136,'Sales Invoices'!$B$5:$B$2005,"&lt;"&amp;ReportFrom)+SUMIFS('Sales Invoices'!$N$5:$N$2005,'Sales Invoices'!$R$5:$R$2005,$A136,'Sales Invoices'!$B$5:$B$2005,"&lt;"&amp;ReportFrom))-(SUMIFS('Sales Invoices'!$L$5:$L$2005,'Sales Invoices'!$Q$5:$Q$2005,$A136,'Sales Invoices'!$B$5:$B$2005,"&lt;"&amp;ReportFrom)+SUMIFS('Sales Invoices'!$M$5:$M$2005,'Sales Invoices'!$S$5:$S$2005,$A136,'Sales Invoices'!$B$5:$B$2005,"&lt;"&amp;ReportFrom)))</f>
        <v/>
      </c>
      <c r="Y136" s="25">
        <f>IF($A136="",0,SUMIFS('Sales Invoices'!$O$5:$O$2005,'Sales Invoices'!$P$5:$P$2005,$A136,'Sales Invoices'!$B$5:$B$2005,"&gt;="&amp;ReportFrom,'Sales Invoices'!$B$5:$B$2005,"&lt;="&amp;ReportTo)+SUMIFS('Sales Invoices'!$N$5:$N$2005,'Sales Invoices'!$R$5:$R$2005,$A136,'Sales Invoices'!$B$5:$B$2005,"&gt;="&amp;ReportFrom,'Sales Invoices'!$B$5:$B$2005,"&lt;="&amp;ReportTo))</f>
        <v/>
      </c>
      <c r="Z136" s="25">
        <f>IF($A136="",0,SUMIFS('Sales Invoices'!$L$5:$L$2005,'Sales Invoices'!$Q$5:$Q$2005,$A136,'Sales Invoices'!$B$5:$B$2005,"&gt;="&amp;ReportFrom,'Sales Invoices'!$B$5:$B$2005,"&lt;="&amp;ReportTo)+SUMIFS('Sales Invoices'!$M$5:$M$2005,'Sales Invoices'!$S$5:$S$2005,$A136,'Sales Invoices'!$B$5:$B$2005,"&gt;="&amp;ReportFrom,'Sales Invoices'!$B$5:$B$2005,"&lt;="&amp;ReportTo))</f>
        <v/>
      </c>
      <c r="AA136" s="25">
        <f>IF($A136="",0,(SUMIFS('Payment Vouchers'!$D$5:$D$2005,'Payment Vouchers'!$J$5:$J$2005,$A136,'Payment Vouchers'!$A$5:$A$2005,"&lt;"&amp;ReportFrom))-(SUMIFS('Payment Vouchers'!$D$5:$D$2005,'Payment Vouchers'!$K$5:$K$2005,$A136,'Payment Vouchers'!$A$5:$A$2005,"&lt;"&amp;ReportFrom)))</f>
        <v/>
      </c>
      <c r="AB136" s="25">
        <f>IF($A136="",0,SUMIFS('Payment Vouchers'!$D$5:$D$2005,'Payment Vouchers'!$J$5:$J$2005,$A136,'Payment Vouchers'!$A$5:$A$2005,"&gt;="&amp;ReportFrom,'Payment Vouchers'!$A$5:$A$2005,"&lt;="&amp;ReportTo))</f>
        <v/>
      </c>
      <c r="AC136" s="25">
        <f>IF($A136="",0,SUMIFS('Payment Vouchers'!$D$5:$D$2005,'Payment Vouchers'!$K$5:$K$2005,$A136,'Payment Vouchers'!$A$5:$A$2005,"&gt;="&amp;ReportFrom,'Payment Vouchers'!$A$5:$A$2005,"&lt;="&amp;ReportTo))</f>
        <v/>
      </c>
      <c r="AD136" s="25">
        <f>IF($A136="",0,(SUMIFS('Partner Transactions'!$D$5:$D$2005,'Partner Transactions'!$L$5:$L$2005,$A136,'Partner Transactions'!$A$5:$A$2005,"&lt;"&amp;ReportFrom))-(SUMIFS('Partner Transactions'!$D$5:$D$2005,'Partner Transactions'!$M$5:$M$2005,$A136,'Partner Transactions'!$A$5:$A$2005,"&lt;"&amp;ReportFrom)))</f>
        <v/>
      </c>
      <c r="AE136" s="25">
        <f>IF($A136="",0,SUMIFS('Partner Transactions'!$D$5:$D$2005,'Partner Transactions'!$L$5:$L$2005,$A136,'Partner Transactions'!$A$5:$A$2005,"&gt;="&amp;ReportFrom,'Partner Transactions'!$A$5:$A$2005,"&lt;="&amp;ReportTo))</f>
        <v/>
      </c>
      <c r="AF136" s="25">
        <f>IF($A136="",0,SUMIFS('Partner Transactions'!$D$5:$D$2005,'Partner Transactions'!$M$5:$M$2005,$A136,'Partner Transactions'!$A$5:$A$2005,"&gt;="&amp;ReportFrom,'Partner Transactions'!$A$5:$A$2005,"&lt;="&amp;ReportTo))</f>
        <v/>
      </c>
      <c r="AG136" s="25">
        <f>IF($A136="",0,(SUMIFS('Stock Moves'!$S$5:$S$2005,'Stock Moves'!$AD$5:$AD$2005,$A136,'Stock Moves'!$A$5:$A$2005,"&lt;"&amp;ReportFrom)+SUMIFS('Stock Moves'!$T$5:$T$2005,'Stock Moves'!$V$5:$V$2005,$A136,'Stock Moves'!$A$5:$A$2005,"&lt;"&amp;ReportFrom))-(SUMIFS('Stock Moves'!$AF$5:$AF$2005,'Stock Moves'!$AE$5:$AE$2005,$A136,'Stock Moves'!$A$5:$A$2005,"&lt;"&amp;ReportFrom)+SUMIFS('Stock Moves'!$AC$5:$AC$2005,'Stock Moves'!$X$5:$X$2005,$A136,'Stock Moves'!$A$5:$A$2005,"&lt;"&amp;ReportFrom)+SUMIFS('Stock Moves'!$U$5:$U$2005,'Stock Moves'!$W$5:$W$2005,$A136,'Stock Moves'!$A$5:$A$2005,"&lt;"&amp;ReportFrom)))</f>
        <v/>
      </c>
      <c r="AH136" s="25">
        <f>IF($A136="",0,SUMIFS('Stock Moves'!$S$5:$S$2005,'Stock Moves'!$AD$5:$AD$2005,$A136,'Stock Moves'!$A$5:$A$2005,"&gt;="&amp;ReportFrom,'Stock Moves'!$A$5:$A$2005,"&lt;="&amp;ReportTo)+SUMIFS('Stock Moves'!$T$5:$T$2005,'Stock Moves'!$V$5:$V$2005,$A136,'Stock Moves'!$A$5:$A$2005,"&gt;="&amp;ReportFrom,'Stock Moves'!$A$5:$A$2005,"&lt;="&amp;ReportTo))</f>
        <v/>
      </c>
      <c r="AI136" s="25">
        <f>IF($A136="",0,SUMIFS('Stock Moves'!$AF$5:$AF$2005,'Stock Moves'!$AE$5:$AE$2005,$A136,'Stock Moves'!$A$5:$A$2005,"&gt;="&amp;ReportFrom,'Stock Moves'!$A$5:$A$2005,"&lt;="&amp;ReportTo)+SUMIFS('Stock Moves'!$AC$5:$AC$2005,'Stock Moves'!$X$5:$X$2005,$A136,'Stock Moves'!$A$5:$A$2005,"&gt;="&amp;ReportFrom,'Stock Moves'!$A$5:$A$2005,"&lt;="&amp;ReportTo)+SUMIFS('Stock Moves'!$U$5:$U$2005,'Stock Moves'!$W$5:$W$2005,$A136,'Stock Moves'!$A$5:$A$2005,"&gt;="&amp;ReportFrom,'Stock Moves'!$A$5:$A$2005,"&lt;="&amp;ReportTo))</f>
        <v/>
      </c>
      <c r="AJ136" s="25">
        <f>IF($A136="",0,(SUMIFS('Journal Vouchers'!$I$5:$I$2005,'Journal Vouchers'!$H$5:$H$2005,$A136,'Journal Vouchers'!$B$5:$B$2005,"&lt;"&amp;ReportFrom))-(SUMIFS('Journal Vouchers'!$J$5:$J$2005,'Journal Vouchers'!$H$5:$H$2005,$A136,'Journal Vouchers'!$B$5:$B$2005,"&lt;"&amp;ReportFrom)))</f>
        <v/>
      </c>
      <c r="AK136" s="25">
        <f>IF($A136="",0,SUMIFS('Journal Vouchers'!$I$5:$I$2005,'Journal Vouchers'!$H$5:$H$2005,$A136,'Journal Vouchers'!$B$5:$B$2005,"&gt;="&amp;ReportFrom,'Journal Vouchers'!$B$5:$B$2005,"&lt;="&amp;ReportTo))</f>
        <v/>
      </c>
      <c r="AL136" s="25">
        <f>IF($A136="",0,SUMIFS('Journal Vouchers'!$J$5:$J$2005,'Journal Vouchers'!$H$5:$H$2005,$A136,'Journal Vouchers'!$B$5:$B$2005,"&gt;="&amp;ReportFrom,'Journal Vouchers'!$B$5:$B$2005,"&lt;="&amp;ReportTo))</f>
        <v/>
      </c>
    </row>
    <row r="137">
      <c r="A137" s="25">
        <f>IF('Chart of Accounts'!A137="","",'Chart of Accounts'!A137&amp;"")</f>
        <v/>
      </c>
      <c r="B137" s="25">
        <f>IF(A137="","",'Chart of Accounts'!B137)</f>
        <v/>
      </c>
      <c r="C137" s="25">
        <f>IF(A137="","",'Chart of Accounts'!C137)</f>
        <v/>
      </c>
      <c r="D137" s="25">
        <f>IF(A137="","",'Chart of Accounts'!D137)</f>
        <v/>
      </c>
      <c r="E137" s="26">
        <f>L137+O137+R137+U137+X137+AA137+AD137+AG137+AJ137</f>
        <v/>
      </c>
      <c r="F137" s="26">
        <f>M137+P137+S137+V137+Y137+AB137+AE137+AH137+AK137</f>
        <v/>
      </c>
      <c r="G137" s="26">
        <f>N137+Q137+T137+W137+Z137+AC137+AF137+AI137+AL137</f>
        <v/>
      </c>
      <c r="H137" s="26">
        <f>E137+F137-G137</f>
        <v/>
      </c>
      <c r="I137" s="26">
        <f>MAX(H137,0)</f>
        <v/>
      </c>
      <c r="J137" s="26">
        <f>MAX(-H137,0)</f>
        <v/>
      </c>
      <c r="L137" s="25">
        <f>IF($A137="",0,(SUMIFS('Direct Costs'!$R$5:$R$2005,'Direct Costs'!$V$5:$V$2005,$A137,'Direct Costs'!$A$5:$A$2005,"&lt;"&amp;ReportFrom)+SUMIFS('Direct Costs'!$S$5:$S$2005,'Direct Costs'!$Y$5:$Y$2005,$A137,'Direct Costs'!$A$5:$A$2005,"&lt;"&amp;ReportFrom))-(SUMIFS('Direct Costs'!$L$5:$L$2005,'Direct Costs'!$W$5:$W$2005,$A137,'Direct Costs'!$A$5:$A$2005,"&lt;"&amp;ReportFrom)+SUMIFS('Direct Costs'!$U$5:$U$2005,'Direct Costs'!$X$5:$X$2005,$A137,'Direct Costs'!$A$5:$A$2005,"&lt;"&amp;ReportFrom)+SUMIFS('Direct Costs'!$T$5:$T$2005,'Direct Costs'!$Z$5:$Z$2005,$A137,'Direct Costs'!$A$5:$A$2005,"&lt;"&amp;ReportFrom)))</f>
        <v/>
      </c>
      <c r="M137" s="25">
        <f>IF($A137="",0,SUMIFS('Direct Costs'!$R$5:$R$2005,'Direct Costs'!$V$5:$V$2005,$A137,'Direct Costs'!$A$5:$A$2005,"&gt;="&amp;ReportFrom,'Direct Costs'!$A$5:$A$2005,"&lt;="&amp;ReportTo)+SUMIFS('Direct Costs'!$S$5:$S$2005,'Direct Costs'!$Y$5:$Y$2005,$A137,'Direct Costs'!$A$5:$A$2005,"&gt;="&amp;ReportFrom,'Direct Costs'!$A$5:$A$2005,"&lt;="&amp;ReportTo))</f>
        <v/>
      </c>
      <c r="N137" s="25">
        <f>IF($A137="",0,SUMIFS('Direct Costs'!$L$5:$L$2005,'Direct Costs'!$W$5:$W$2005,$A137,'Direct Costs'!$A$5:$A$2005,"&gt;="&amp;ReportFrom,'Direct Costs'!$A$5:$A$2005,"&lt;="&amp;ReportTo)+SUMIFS('Direct Costs'!$U$5:$U$2005,'Direct Costs'!$X$5:$X$2005,$A137,'Direct Costs'!$A$5:$A$2005,"&gt;="&amp;ReportFrom,'Direct Costs'!$A$5:$A$2005,"&lt;="&amp;ReportTo)+SUMIFS('Direct Costs'!$T$5:$T$2005,'Direct Costs'!$Z$5:$Z$2005,$A137,'Direct Costs'!$A$5:$A$2005,"&gt;="&amp;ReportFrom,'Direct Costs'!$A$5:$A$2005,"&lt;="&amp;ReportTo))</f>
        <v/>
      </c>
      <c r="O137" s="25">
        <f>IF($A137="",0,(SUMIFS('Operating Expenses'!$F$5:$F$2005,'Operating Expenses'!$Q$5:$Q$2005,$A137,'Operating Expenses'!$A$5:$A$2005,"&lt;"&amp;ReportFrom)+SUMIFS('Operating Expenses'!$M$5:$M$2005,'Operating Expenses'!$T$5:$T$2005,$A137,'Operating Expenses'!$A$5:$A$2005,"&lt;"&amp;ReportFrom))-(SUMIFS('Operating Expenses'!$O$5:$O$2005,'Operating Expenses'!$R$5:$R$2005,$A137,'Operating Expenses'!$A$5:$A$2005,"&lt;"&amp;ReportFrom)+SUMIFS('Operating Expenses'!$P$5:$P$2005,'Operating Expenses'!$S$5:$S$2005,$A137,'Operating Expenses'!$A$5:$A$2005,"&lt;"&amp;ReportFrom)+SUMIFS('Operating Expenses'!$N$5:$N$2005,'Operating Expenses'!$U$5:$U$2005,$A137,'Operating Expenses'!$A$5:$A$2005,"&lt;"&amp;ReportFrom)))</f>
        <v/>
      </c>
      <c r="P137" s="25">
        <f>IF($A137="",0,SUMIFS('Operating Expenses'!$F$5:$F$2005,'Operating Expenses'!$Q$5:$Q$2005,$A137,'Operating Expenses'!$A$5:$A$2005,"&gt;="&amp;ReportFrom,'Operating Expenses'!$A$5:$A$2005,"&lt;="&amp;ReportTo)+SUMIFS('Operating Expenses'!$M$5:$M$2005,'Operating Expenses'!$T$5:$T$2005,$A137,'Operating Expenses'!$A$5:$A$2005,"&gt;="&amp;ReportFrom,'Operating Expenses'!$A$5:$A$2005,"&lt;="&amp;ReportTo))</f>
        <v/>
      </c>
      <c r="Q137" s="25">
        <f>IF($A137="",0,SUMIFS('Operating Expenses'!$O$5:$O$2005,'Operating Expenses'!$R$5:$R$2005,$A137,'Operating Expenses'!$A$5:$A$2005,"&gt;="&amp;ReportFrom,'Operating Expenses'!$A$5:$A$2005,"&lt;="&amp;ReportTo)+SUMIFS('Operating Expenses'!$P$5:$P$2005,'Operating Expenses'!$S$5:$S$2005,$A137,'Operating Expenses'!$A$5:$A$2005,"&gt;="&amp;ReportFrom,'Operating Expenses'!$A$5:$A$2005,"&lt;="&amp;ReportTo)+SUMIFS('Operating Expenses'!$N$5:$N$2005,'Operating Expenses'!$U$5:$U$2005,$A137,'Operating Expenses'!$A$5:$A$2005,"&gt;="&amp;ReportFrom,'Operating Expenses'!$A$5:$A$2005,"&lt;="&amp;ReportTo))</f>
        <v/>
      </c>
      <c r="R137" s="25">
        <f>IF($A137="",0,(SUMIFS('Payroll'!$O$5:$O$2005,'Payroll'!$Q$5:$Q$2005,$A137,'Payroll'!$A$5:$A$2005,"&lt;"&amp;ReportFrom))-(SUMIFS('Payroll'!$K$5:$K$2005,'Payroll'!$R$5:$R$2005,$A137,'Payroll'!$A$5:$A$2005,"&lt;"&amp;ReportFrom)+SUMIFS('Payroll'!$P$5:$P$2005,'Payroll'!$S$5:$S$2005,$A137,'Payroll'!$A$5:$A$2005,"&lt;"&amp;ReportFrom)))</f>
        <v/>
      </c>
      <c r="S137" s="25">
        <f>IF($A137="",0,SUMIFS('Payroll'!$O$5:$O$2005,'Payroll'!$Q$5:$Q$2005,$A137,'Payroll'!$A$5:$A$2005,"&gt;="&amp;ReportFrom,'Payroll'!$A$5:$A$2005,"&lt;="&amp;ReportTo))</f>
        <v/>
      </c>
      <c r="T137" s="25">
        <f>IF($A137="",0,SUMIFS('Payroll'!$K$5:$K$2005,'Payroll'!$R$5:$R$2005,$A137,'Payroll'!$A$5:$A$2005,"&gt;="&amp;ReportFrom,'Payroll'!$A$5:$A$2005,"&lt;="&amp;ReportTo)+SUMIFS('Payroll'!$P$5:$P$2005,'Payroll'!$S$5:$S$2005,$A137,'Payroll'!$A$5:$A$2005,"&gt;="&amp;ReportFrom,'Payroll'!$A$5:$A$2005,"&lt;="&amp;ReportTo))</f>
        <v/>
      </c>
      <c r="U137" s="25">
        <f>IF($A137="",0,(SUMIFS('Receipt Vouchers'!$F$5:$F$2005,'Receipt Vouchers'!$O$5:$O$2005,$A137,'Receipt Vouchers'!$A$5:$A$2005,"&lt;"&amp;ReportFrom)+SUMIFS('Receipt Vouchers'!$J$5:$J$2005,'Receipt Vouchers'!$Q$5:$Q$2005,$A137,'Receipt Vouchers'!$A$5:$A$2005,"&lt;"&amp;ReportFrom))-(SUMIFS('Receipt Vouchers'!$N$5:$N$2005,'Receipt Vouchers'!$P$5:$P$2005,$A137,'Receipt Vouchers'!$A$5:$A$2005,"&lt;"&amp;ReportFrom)+SUMIFS('Receipt Vouchers'!$M$5:$M$2005,'Receipt Vouchers'!$R$5:$R$2005,$A137,'Receipt Vouchers'!$A$5:$A$2005,"&lt;"&amp;ReportFrom)))</f>
        <v/>
      </c>
      <c r="V137" s="25">
        <f>IF($A137="",0,SUMIFS('Receipt Vouchers'!$F$5:$F$2005,'Receipt Vouchers'!$O$5:$O$2005,$A137,'Receipt Vouchers'!$A$5:$A$2005,"&gt;="&amp;ReportFrom,'Receipt Vouchers'!$A$5:$A$2005,"&lt;="&amp;ReportTo)+SUMIFS('Receipt Vouchers'!$J$5:$J$2005,'Receipt Vouchers'!$Q$5:$Q$2005,$A137,'Receipt Vouchers'!$A$5:$A$2005,"&gt;="&amp;ReportFrom,'Receipt Vouchers'!$A$5:$A$2005,"&lt;="&amp;ReportTo))</f>
        <v/>
      </c>
      <c r="W137" s="25">
        <f>IF($A137="",0,SUMIFS('Receipt Vouchers'!$N$5:$N$2005,'Receipt Vouchers'!$P$5:$P$2005,$A137,'Receipt Vouchers'!$A$5:$A$2005,"&gt;="&amp;ReportFrom,'Receipt Vouchers'!$A$5:$A$2005,"&lt;="&amp;ReportTo)+SUMIFS('Receipt Vouchers'!$M$5:$M$2005,'Receipt Vouchers'!$R$5:$R$2005,$A137,'Receipt Vouchers'!$A$5:$A$2005,"&gt;="&amp;ReportFrom,'Receipt Vouchers'!$A$5:$A$2005,"&lt;="&amp;ReportTo))</f>
        <v/>
      </c>
      <c r="X137" s="25">
        <f>IF($A137="",0,(SUMIFS('Sales Invoices'!$O$5:$O$2005,'Sales Invoices'!$P$5:$P$2005,$A137,'Sales Invoices'!$B$5:$B$2005,"&lt;"&amp;ReportFrom)+SUMIFS('Sales Invoices'!$N$5:$N$2005,'Sales Invoices'!$R$5:$R$2005,$A137,'Sales Invoices'!$B$5:$B$2005,"&lt;"&amp;ReportFrom))-(SUMIFS('Sales Invoices'!$L$5:$L$2005,'Sales Invoices'!$Q$5:$Q$2005,$A137,'Sales Invoices'!$B$5:$B$2005,"&lt;"&amp;ReportFrom)+SUMIFS('Sales Invoices'!$M$5:$M$2005,'Sales Invoices'!$S$5:$S$2005,$A137,'Sales Invoices'!$B$5:$B$2005,"&lt;"&amp;ReportFrom)))</f>
        <v/>
      </c>
      <c r="Y137" s="25">
        <f>IF($A137="",0,SUMIFS('Sales Invoices'!$O$5:$O$2005,'Sales Invoices'!$P$5:$P$2005,$A137,'Sales Invoices'!$B$5:$B$2005,"&gt;="&amp;ReportFrom,'Sales Invoices'!$B$5:$B$2005,"&lt;="&amp;ReportTo)+SUMIFS('Sales Invoices'!$N$5:$N$2005,'Sales Invoices'!$R$5:$R$2005,$A137,'Sales Invoices'!$B$5:$B$2005,"&gt;="&amp;ReportFrom,'Sales Invoices'!$B$5:$B$2005,"&lt;="&amp;ReportTo))</f>
        <v/>
      </c>
      <c r="Z137" s="25">
        <f>IF($A137="",0,SUMIFS('Sales Invoices'!$L$5:$L$2005,'Sales Invoices'!$Q$5:$Q$2005,$A137,'Sales Invoices'!$B$5:$B$2005,"&gt;="&amp;ReportFrom,'Sales Invoices'!$B$5:$B$2005,"&lt;="&amp;ReportTo)+SUMIFS('Sales Invoices'!$M$5:$M$2005,'Sales Invoices'!$S$5:$S$2005,$A137,'Sales Invoices'!$B$5:$B$2005,"&gt;="&amp;ReportFrom,'Sales Invoices'!$B$5:$B$2005,"&lt;="&amp;ReportTo))</f>
        <v/>
      </c>
      <c r="AA137" s="25">
        <f>IF($A137="",0,(SUMIFS('Payment Vouchers'!$D$5:$D$2005,'Payment Vouchers'!$J$5:$J$2005,$A137,'Payment Vouchers'!$A$5:$A$2005,"&lt;"&amp;ReportFrom))-(SUMIFS('Payment Vouchers'!$D$5:$D$2005,'Payment Vouchers'!$K$5:$K$2005,$A137,'Payment Vouchers'!$A$5:$A$2005,"&lt;"&amp;ReportFrom)))</f>
        <v/>
      </c>
      <c r="AB137" s="25">
        <f>IF($A137="",0,SUMIFS('Payment Vouchers'!$D$5:$D$2005,'Payment Vouchers'!$J$5:$J$2005,$A137,'Payment Vouchers'!$A$5:$A$2005,"&gt;="&amp;ReportFrom,'Payment Vouchers'!$A$5:$A$2005,"&lt;="&amp;ReportTo))</f>
        <v/>
      </c>
      <c r="AC137" s="25">
        <f>IF($A137="",0,SUMIFS('Payment Vouchers'!$D$5:$D$2005,'Payment Vouchers'!$K$5:$K$2005,$A137,'Payment Vouchers'!$A$5:$A$2005,"&gt;="&amp;ReportFrom,'Payment Vouchers'!$A$5:$A$2005,"&lt;="&amp;ReportTo))</f>
        <v/>
      </c>
      <c r="AD137" s="25">
        <f>IF($A137="",0,(SUMIFS('Partner Transactions'!$D$5:$D$2005,'Partner Transactions'!$L$5:$L$2005,$A137,'Partner Transactions'!$A$5:$A$2005,"&lt;"&amp;ReportFrom))-(SUMIFS('Partner Transactions'!$D$5:$D$2005,'Partner Transactions'!$M$5:$M$2005,$A137,'Partner Transactions'!$A$5:$A$2005,"&lt;"&amp;ReportFrom)))</f>
        <v/>
      </c>
      <c r="AE137" s="25">
        <f>IF($A137="",0,SUMIFS('Partner Transactions'!$D$5:$D$2005,'Partner Transactions'!$L$5:$L$2005,$A137,'Partner Transactions'!$A$5:$A$2005,"&gt;="&amp;ReportFrom,'Partner Transactions'!$A$5:$A$2005,"&lt;="&amp;ReportTo))</f>
        <v/>
      </c>
      <c r="AF137" s="25">
        <f>IF($A137="",0,SUMIFS('Partner Transactions'!$D$5:$D$2005,'Partner Transactions'!$M$5:$M$2005,$A137,'Partner Transactions'!$A$5:$A$2005,"&gt;="&amp;ReportFrom,'Partner Transactions'!$A$5:$A$2005,"&lt;="&amp;ReportTo))</f>
        <v/>
      </c>
      <c r="AG137" s="25">
        <f>IF($A137="",0,(SUMIFS('Stock Moves'!$S$5:$S$2005,'Stock Moves'!$AD$5:$AD$2005,$A137,'Stock Moves'!$A$5:$A$2005,"&lt;"&amp;ReportFrom)+SUMIFS('Stock Moves'!$T$5:$T$2005,'Stock Moves'!$V$5:$V$2005,$A137,'Stock Moves'!$A$5:$A$2005,"&lt;"&amp;ReportFrom))-(SUMIFS('Stock Moves'!$AF$5:$AF$2005,'Stock Moves'!$AE$5:$AE$2005,$A137,'Stock Moves'!$A$5:$A$2005,"&lt;"&amp;ReportFrom)+SUMIFS('Stock Moves'!$AC$5:$AC$2005,'Stock Moves'!$X$5:$X$2005,$A137,'Stock Moves'!$A$5:$A$2005,"&lt;"&amp;ReportFrom)+SUMIFS('Stock Moves'!$U$5:$U$2005,'Stock Moves'!$W$5:$W$2005,$A137,'Stock Moves'!$A$5:$A$2005,"&lt;"&amp;ReportFrom)))</f>
        <v/>
      </c>
      <c r="AH137" s="25">
        <f>IF($A137="",0,SUMIFS('Stock Moves'!$S$5:$S$2005,'Stock Moves'!$AD$5:$AD$2005,$A137,'Stock Moves'!$A$5:$A$2005,"&gt;="&amp;ReportFrom,'Stock Moves'!$A$5:$A$2005,"&lt;="&amp;ReportTo)+SUMIFS('Stock Moves'!$T$5:$T$2005,'Stock Moves'!$V$5:$V$2005,$A137,'Stock Moves'!$A$5:$A$2005,"&gt;="&amp;ReportFrom,'Stock Moves'!$A$5:$A$2005,"&lt;="&amp;ReportTo))</f>
        <v/>
      </c>
      <c r="AI137" s="25">
        <f>IF($A137="",0,SUMIFS('Stock Moves'!$AF$5:$AF$2005,'Stock Moves'!$AE$5:$AE$2005,$A137,'Stock Moves'!$A$5:$A$2005,"&gt;="&amp;ReportFrom,'Stock Moves'!$A$5:$A$2005,"&lt;="&amp;ReportTo)+SUMIFS('Stock Moves'!$AC$5:$AC$2005,'Stock Moves'!$X$5:$X$2005,$A137,'Stock Moves'!$A$5:$A$2005,"&gt;="&amp;ReportFrom,'Stock Moves'!$A$5:$A$2005,"&lt;="&amp;ReportTo)+SUMIFS('Stock Moves'!$U$5:$U$2005,'Stock Moves'!$W$5:$W$2005,$A137,'Stock Moves'!$A$5:$A$2005,"&gt;="&amp;ReportFrom,'Stock Moves'!$A$5:$A$2005,"&lt;="&amp;ReportTo))</f>
        <v/>
      </c>
      <c r="AJ137" s="25">
        <f>IF($A137="",0,(SUMIFS('Journal Vouchers'!$I$5:$I$2005,'Journal Vouchers'!$H$5:$H$2005,$A137,'Journal Vouchers'!$B$5:$B$2005,"&lt;"&amp;ReportFrom))-(SUMIFS('Journal Vouchers'!$J$5:$J$2005,'Journal Vouchers'!$H$5:$H$2005,$A137,'Journal Vouchers'!$B$5:$B$2005,"&lt;"&amp;ReportFrom)))</f>
        <v/>
      </c>
      <c r="AK137" s="25">
        <f>IF($A137="",0,SUMIFS('Journal Vouchers'!$I$5:$I$2005,'Journal Vouchers'!$H$5:$H$2005,$A137,'Journal Vouchers'!$B$5:$B$2005,"&gt;="&amp;ReportFrom,'Journal Vouchers'!$B$5:$B$2005,"&lt;="&amp;ReportTo))</f>
        <v/>
      </c>
      <c r="AL137" s="25">
        <f>IF($A137="",0,SUMIFS('Journal Vouchers'!$J$5:$J$2005,'Journal Vouchers'!$H$5:$H$2005,$A137,'Journal Vouchers'!$B$5:$B$2005,"&gt;="&amp;ReportFrom,'Journal Vouchers'!$B$5:$B$2005,"&lt;="&amp;ReportTo))</f>
        <v/>
      </c>
    </row>
    <row r="138">
      <c r="A138" s="25">
        <f>IF('Chart of Accounts'!A138="","",'Chart of Accounts'!A138&amp;"")</f>
        <v/>
      </c>
      <c r="B138" s="25">
        <f>IF(A138="","",'Chart of Accounts'!B138)</f>
        <v/>
      </c>
      <c r="C138" s="25">
        <f>IF(A138="","",'Chart of Accounts'!C138)</f>
        <v/>
      </c>
      <c r="D138" s="25">
        <f>IF(A138="","",'Chart of Accounts'!D138)</f>
        <v/>
      </c>
      <c r="E138" s="26">
        <f>L138+O138+R138+U138+X138+AA138+AD138+AG138+AJ138</f>
        <v/>
      </c>
      <c r="F138" s="26">
        <f>M138+P138+S138+V138+Y138+AB138+AE138+AH138+AK138</f>
        <v/>
      </c>
      <c r="G138" s="26">
        <f>N138+Q138+T138+W138+Z138+AC138+AF138+AI138+AL138</f>
        <v/>
      </c>
      <c r="H138" s="26">
        <f>E138+F138-G138</f>
        <v/>
      </c>
      <c r="I138" s="26">
        <f>MAX(H138,0)</f>
        <v/>
      </c>
      <c r="J138" s="26">
        <f>MAX(-H138,0)</f>
        <v/>
      </c>
      <c r="L138" s="25">
        <f>IF($A138="",0,(SUMIFS('Direct Costs'!$R$5:$R$2005,'Direct Costs'!$V$5:$V$2005,$A138,'Direct Costs'!$A$5:$A$2005,"&lt;"&amp;ReportFrom)+SUMIFS('Direct Costs'!$S$5:$S$2005,'Direct Costs'!$Y$5:$Y$2005,$A138,'Direct Costs'!$A$5:$A$2005,"&lt;"&amp;ReportFrom))-(SUMIFS('Direct Costs'!$L$5:$L$2005,'Direct Costs'!$W$5:$W$2005,$A138,'Direct Costs'!$A$5:$A$2005,"&lt;"&amp;ReportFrom)+SUMIFS('Direct Costs'!$U$5:$U$2005,'Direct Costs'!$X$5:$X$2005,$A138,'Direct Costs'!$A$5:$A$2005,"&lt;"&amp;ReportFrom)+SUMIFS('Direct Costs'!$T$5:$T$2005,'Direct Costs'!$Z$5:$Z$2005,$A138,'Direct Costs'!$A$5:$A$2005,"&lt;"&amp;ReportFrom)))</f>
        <v/>
      </c>
      <c r="M138" s="25">
        <f>IF($A138="",0,SUMIFS('Direct Costs'!$R$5:$R$2005,'Direct Costs'!$V$5:$V$2005,$A138,'Direct Costs'!$A$5:$A$2005,"&gt;="&amp;ReportFrom,'Direct Costs'!$A$5:$A$2005,"&lt;="&amp;ReportTo)+SUMIFS('Direct Costs'!$S$5:$S$2005,'Direct Costs'!$Y$5:$Y$2005,$A138,'Direct Costs'!$A$5:$A$2005,"&gt;="&amp;ReportFrom,'Direct Costs'!$A$5:$A$2005,"&lt;="&amp;ReportTo))</f>
        <v/>
      </c>
      <c r="N138" s="25">
        <f>IF($A138="",0,SUMIFS('Direct Costs'!$L$5:$L$2005,'Direct Costs'!$W$5:$W$2005,$A138,'Direct Costs'!$A$5:$A$2005,"&gt;="&amp;ReportFrom,'Direct Costs'!$A$5:$A$2005,"&lt;="&amp;ReportTo)+SUMIFS('Direct Costs'!$U$5:$U$2005,'Direct Costs'!$X$5:$X$2005,$A138,'Direct Costs'!$A$5:$A$2005,"&gt;="&amp;ReportFrom,'Direct Costs'!$A$5:$A$2005,"&lt;="&amp;ReportTo)+SUMIFS('Direct Costs'!$T$5:$T$2005,'Direct Costs'!$Z$5:$Z$2005,$A138,'Direct Costs'!$A$5:$A$2005,"&gt;="&amp;ReportFrom,'Direct Costs'!$A$5:$A$2005,"&lt;="&amp;ReportTo))</f>
        <v/>
      </c>
      <c r="O138" s="25">
        <f>IF($A138="",0,(SUMIFS('Operating Expenses'!$F$5:$F$2005,'Operating Expenses'!$Q$5:$Q$2005,$A138,'Operating Expenses'!$A$5:$A$2005,"&lt;"&amp;ReportFrom)+SUMIFS('Operating Expenses'!$M$5:$M$2005,'Operating Expenses'!$T$5:$T$2005,$A138,'Operating Expenses'!$A$5:$A$2005,"&lt;"&amp;ReportFrom))-(SUMIFS('Operating Expenses'!$O$5:$O$2005,'Operating Expenses'!$R$5:$R$2005,$A138,'Operating Expenses'!$A$5:$A$2005,"&lt;"&amp;ReportFrom)+SUMIFS('Operating Expenses'!$P$5:$P$2005,'Operating Expenses'!$S$5:$S$2005,$A138,'Operating Expenses'!$A$5:$A$2005,"&lt;"&amp;ReportFrom)+SUMIFS('Operating Expenses'!$N$5:$N$2005,'Operating Expenses'!$U$5:$U$2005,$A138,'Operating Expenses'!$A$5:$A$2005,"&lt;"&amp;ReportFrom)))</f>
        <v/>
      </c>
      <c r="P138" s="25">
        <f>IF($A138="",0,SUMIFS('Operating Expenses'!$F$5:$F$2005,'Operating Expenses'!$Q$5:$Q$2005,$A138,'Operating Expenses'!$A$5:$A$2005,"&gt;="&amp;ReportFrom,'Operating Expenses'!$A$5:$A$2005,"&lt;="&amp;ReportTo)+SUMIFS('Operating Expenses'!$M$5:$M$2005,'Operating Expenses'!$T$5:$T$2005,$A138,'Operating Expenses'!$A$5:$A$2005,"&gt;="&amp;ReportFrom,'Operating Expenses'!$A$5:$A$2005,"&lt;="&amp;ReportTo))</f>
        <v/>
      </c>
      <c r="Q138" s="25">
        <f>IF($A138="",0,SUMIFS('Operating Expenses'!$O$5:$O$2005,'Operating Expenses'!$R$5:$R$2005,$A138,'Operating Expenses'!$A$5:$A$2005,"&gt;="&amp;ReportFrom,'Operating Expenses'!$A$5:$A$2005,"&lt;="&amp;ReportTo)+SUMIFS('Operating Expenses'!$P$5:$P$2005,'Operating Expenses'!$S$5:$S$2005,$A138,'Operating Expenses'!$A$5:$A$2005,"&gt;="&amp;ReportFrom,'Operating Expenses'!$A$5:$A$2005,"&lt;="&amp;ReportTo)+SUMIFS('Operating Expenses'!$N$5:$N$2005,'Operating Expenses'!$U$5:$U$2005,$A138,'Operating Expenses'!$A$5:$A$2005,"&gt;="&amp;ReportFrom,'Operating Expenses'!$A$5:$A$2005,"&lt;="&amp;ReportTo))</f>
        <v/>
      </c>
      <c r="R138" s="25">
        <f>IF($A138="",0,(SUMIFS('Payroll'!$O$5:$O$2005,'Payroll'!$Q$5:$Q$2005,$A138,'Payroll'!$A$5:$A$2005,"&lt;"&amp;ReportFrom))-(SUMIFS('Payroll'!$K$5:$K$2005,'Payroll'!$R$5:$R$2005,$A138,'Payroll'!$A$5:$A$2005,"&lt;"&amp;ReportFrom)+SUMIFS('Payroll'!$P$5:$P$2005,'Payroll'!$S$5:$S$2005,$A138,'Payroll'!$A$5:$A$2005,"&lt;"&amp;ReportFrom)))</f>
        <v/>
      </c>
      <c r="S138" s="25">
        <f>IF($A138="",0,SUMIFS('Payroll'!$O$5:$O$2005,'Payroll'!$Q$5:$Q$2005,$A138,'Payroll'!$A$5:$A$2005,"&gt;="&amp;ReportFrom,'Payroll'!$A$5:$A$2005,"&lt;="&amp;ReportTo))</f>
        <v/>
      </c>
      <c r="T138" s="25">
        <f>IF($A138="",0,SUMIFS('Payroll'!$K$5:$K$2005,'Payroll'!$R$5:$R$2005,$A138,'Payroll'!$A$5:$A$2005,"&gt;="&amp;ReportFrom,'Payroll'!$A$5:$A$2005,"&lt;="&amp;ReportTo)+SUMIFS('Payroll'!$P$5:$P$2005,'Payroll'!$S$5:$S$2005,$A138,'Payroll'!$A$5:$A$2005,"&gt;="&amp;ReportFrom,'Payroll'!$A$5:$A$2005,"&lt;="&amp;ReportTo))</f>
        <v/>
      </c>
      <c r="U138" s="25">
        <f>IF($A138="",0,(SUMIFS('Receipt Vouchers'!$F$5:$F$2005,'Receipt Vouchers'!$O$5:$O$2005,$A138,'Receipt Vouchers'!$A$5:$A$2005,"&lt;"&amp;ReportFrom)+SUMIFS('Receipt Vouchers'!$J$5:$J$2005,'Receipt Vouchers'!$Q$5:$Q$2005,$A138,'Receipt Vouchers'!$A$5:$A$2005,"&lt;"&amp;ReportFrom))-(SUMIFS('Receipt Vouchers'!$N$5:$N$2005,'Receipt Vouchers'!$P$5:$P$2005,$A138,'Receipt Vouchers'!$A$5:$A$2005,"&lt;"&amp;ReportFrom)+SUMIFS('Receipt Vouchers'!$M$5:$M$2005,'Receipt Vouchers'!$R$5:$R$2005,$A138,'Receipt Vouchers'!$A$5:$A$2005,"&lt;"&amp;ReportFrom)))</f>
        <v/>
      </c>
      <c r="V138" s="25">
        <f>IF($A138="",0,SUMIFS('Receipt Vouchers'!$F$5:$F$2005,'Receipt Vouchers'!$O$5:$O$2005,$A138,'Receipt Vouchers'!$A$5:$A$2005,"&gt;="&amp;ReportFrom,'Receipt Vouchers'!$A$5:$A$2005,"&lt;="&amp;ReportTo)+SUMIFS('Receipt Vouchers'!$J$5:$J$2005,'Receipt Vouchers'!$Q$5:$Q$2005,$A138,'Receipt Vouchers'!$A$5:$A$2005,"&gt;="&amp;ReportFrom,'Receipt Vouchers'!$A$5:$A$2005,"&lt;="&amp;ReportTo))</f>
        <v/>
      </c>
      <c r="W138" s="25">
        <f>IF($A138="",0,SUMIFS('Receipt Vouchers'!$N$5:$N$2005,'Receipt Vouchers'!$P$5:$P$2005,$A138,'Receipt Vouchers'!$A$5:$A$2005,"&gt;="&amp;ReportFrom,'Receipt Vouchers'!$A$5:$A$2005,"&lt;="&amp;ReportTo)+SUMIFS('Receipt Vouchers'!$M$5:$M$2005,'Receipt Vouchers'!$R$5:$R$2005,$A138,'Receipt Vouchers'!$A$5:$A$2005,"&gt;="&amp;ReportFrom,'Receipt Vouchers'!$A$5:$A$2005,"&lt;="&amp;ReportTo))</f>
        <v/>
      </c>
      <c r="X138" s="25">
        <f>IF($A138="",0,(SUMIFS('Sales Invoices'!$O$5:$O$2005,'Sales Invoices'!$P$5:$P$2005,$A138,'Sales Invoices'!$B$5:$B$2005,"&lt;"&amp;ReportFrom)+SUMIFS('Sales Invoices'!$N$5:$N$2005,'Sales Invoices'!$R$5:$R$2005,$A138,'Sales Invoices'!$B$5:$B$2005,"&lt;"&amp;ReportFrom))-(SUMIFS('Sales Invoices'!$L$5:$L$2005,'Sales Invoices'!$Q$5:$Q$2005,$A138,'Sales Invoices'!$B$5:$B$2005,"&lt;"&amp;ReportFrom)+SUMIFS('Sales Invoices'!$M$5:$M$2005,'Sales Invoices'!$S$5:$S$2005,$A138,'Sales Invoices'!$B$5:$B$2005,"&lt;"&amp;ReportFrom)))</f>
        <v/>
      </c>
      <c r="Y138" s="25">
        <f>IF($A138="",0,SUMIFS('Sales Invoices'!$O$5:$O$2005,'Sales Invoices'!$P$5:$P$2005,$A138,'Sales Invoices'!$B$5:$B$2005,"&gt;="&amp;ReportFrom,'Sales Invoices'!$B$5:$B$2005,"&lt;="&amp;ReportTo)+SUMIFS('Sales Invoices'!$N$5:$N$2005,'Sales Invoices'!$R$5:$R$2005,$A138,'Sales Invoices'!$B$5:$B$2005,"&gt;="&amp;ReportFrom,'Sales Invoices'!$B$5:$B$2005,"&lt;="&amp;ReportTo))</f>
        <v/>
      </c>
      <c r="Z138" s="25">
        <f>IF($A138="",0,SUMIFS('Sales Invoices'!$L$5:$L$2005,'Sales Invoices'!$Q$5:$Q$2005,$A138,'Sales Invoices'!$B$5:$B$2005,"&gt;="&amp;ReportFrom,'Sales Invoices'!$B$5:$B$2005,"&lt;="&amp;ReportTo)+SUMIFS('Sales Invoices'!$M$5:$M$2005,'Sales Invoices'!$S$5:$S$2005,$A138,'Sales Invoices'!$B$5:$B$2005,"&gt;="&amp;ReportFrom,'Sales Invoices'!$B$5:$B$2005,"&lt;="&amp;ReportTo))</f>
        <v/>
      </c>
      <c r="AA138" s="25">
        <f>IF($A138="",0,(SUMIFS('Payment Vouchers'!$D$5:$D$2005,'Payment Vouchers'!$J$5:$J$2005,$A138,'Payment Vouchers'!$A$5:$A$2005,"&lt;"&amp;ReportFrom))-(SUMIFS('Payment Vouchers'!$D$5:$D$2005,'Payment Vouchers'!$K$5:$K$2005,$A138,'Payment Vouchers'!$A$5:$A$2005,"&lt;"&amp;ReportFrom)))</f>
        <v/>
      </c>
      <c r="AB138" s="25">
        <f>IF($A138="",0,SUMIFS('Payment Vouchers'!$D$5:$D$2005,'Payment Vouchers'!$J$5:$J$2005,$A138,'Payment Vouchers'!$A$5:$A$2005,"&gt;="&amp;ReportFrom,'Payment Vouchers'!$A$5:$A$2005,"&lt;="&amp;ReportTo))</f>
        <v/>
      </c>
      <c r="AC138" s="25">
        <f>IF($A138="",0,SUMIFS('Payment Vouchers'!$D$5:$D$2005,'Payment Vouchers'!$K$5:$K$2005,$A138,'Payment Vouchers'!$A$5:$A$2005,"&gt;="&amp;ReportFrom,'Payment Vouchers'!$A$5:$A$2005,"&lt;="&amp;ReportTo))</f>
        <v/>
      </c>
      <c r="AD138" s="25">
        <f>IF($A138="",0,(SUMIFS('Partner Transactions'!$D$5:$D$2005,'Partner Transactions'!$L$5:$L$2005,$A138,'Partner Transactions'!$A$5:$A$2005,"&lt;"&amp;ReportFrom))-(SUMIFS('Partner Transactions'!$D$5:$D$2005,'Partner Transactions'!$M$5:$M$2005,$A138,'Partner Transactions'!$A$5:$A$2005,"&lt;"&amp;ReportFrom)))</f>
        <v/>
      </c>
      <c r="AE138" s="25">
        <f>IF($A138="",0,SUMIFS('Partner Transactions'!$D$5:$D$2005,'Partner Transactions'!$L$5:$L$2005,$A138,'Partner Transactions'!$A$5:$A$2005,"&gt;="&amp;ReportFrom,'Partner Transactions'!$A$5:$A$2005,"&lt;="&amp;ReportTo))</f>
        <v/>
      </c>
      <c r="AF138" s="25">
        <f>IF($A138="",0,SUMIFS('Partner Transactions'!$D$5:$D$2005,'Partner Transactions'!$M$5:$M$2005,$A138,'Partner Transactions'!$A$5:$A$2005,"&gt;="&amp;ReportFrom,'Partner Transactions'!$A$5:$A$2005,"&lt;="&amp;ReportTo))</f>
        <v/>
      </c>
      <c r="AG138" s="25">
        <f>IF($A138="",0,(SUMIFS('Stock Moves'!$S$5:$S$2005,'Stock Moves'!$AD$5:$AD$2005,$A138,'Stock Moves'!$A$5:$A$2005,"&lt;"&amp;ReportFrom)+SUMIFS('Stock Moves'!$T$5:$T$2005,'Stock Moves'!$V$5:$V$2005,$A138,'Stock Moves'!$A$5:$A$2005,"&lt;"&amp;ReportFrom))-(SUMIFS('Stock Moves'!$AF$5:$AF$2005,'Stock Moves'!$AE$5:$AE$2005,$A138,'Stock Moves'!$A$5:$A$2005,"&lt;"&amp;ReportFrom)+SUMIFS('Stock Moves'!$AC$5:$AC$2005,'Stock Moves'!$X$5:$X$2005,$A138,'Stock Moves'!$A$5:$A$2005,"&lt;"&amp;ReportFrom)+SUMIFS('Stock Moves'!$U$5:$U$2005,'Stock Moves'!$W$5:$W$2005,$A138,'Stock Moves'!$A$5:$A$2005,"&lt;"&amp;ReportFrom)))</f>
        <v/>
      </c>
      <c r="AH138" s="25">
        <f>IF($A138="",0,SUMIFS('Stock Moves'!$S$5:$S$2005,'Stock Moves'!$AD$5:$AD$2005,$A138,'Stock Moves'!$A$5:$A$2005,"&gt;="&amp;ReportFrom,'Stock Moves'!$A$5:$A$2005,"&lt;="&amp;ReportTo)+SUMIFS('Stock Moves'!$T$5:$T$2005,'Stock Moves'!$V$5:$V$2005,$A138,'Stock Moves'!$A$5:$A$2005,"&gt;="&amp;ReportFrom,'Stock Moves'!$A$5:$A$2005,"&lt;="&amp;ReportTo))</f>
        <v/>
      </c>
      <c r="AI138" s="25">
        <f>IF($A138="",0,SUMIFS('Stock Moves'!$AF$5:$AF$2005,'Stock Moves'!$AE$5:$AE$2005,$A138,'Stock Moves'!$A$5:$A$2005,"&gt;="&amp;ReportFrom,'Stock Moves'!$A$5:$A$2005,"&lt;="&amp;ReportTo)+SUMIFS('Stock Moves'!$AC$5:$AC$2005,'Stock Moves'!$X$5:$X$2005,$A138,'Stock Moves'!$A$5:$A$2005,"&gt;="&amp;ReportFrom,'Stock Moves'!$A$5:$A$2005,"&lt;="&amp;ReportTo)+SUMIFS('Stock Moves'!$U$5:$U$2005,'Stock Moves'!$W$5:$W$2005,$A138,'Stock Moves'!$A$5:$A$2005,"&gt;="&amp;ReportFrom,'Stock Moves'!$A$5:$A$2005,"&lt;="&amp;ReportTo))</f>
        <v/>
      </c>
      <c r="AJ138" s="25">
        <f>IF($A138="",0,(SUMIFS('Journal Vouchers'!$I$5:$I$2005,'Journal Vouchers'!$H$5:$H$2005,$A138,'Journal Vouchers'!$B$5:$B$2005,"&lt;"&amp;ReportFrom))-(SUMIFS('Journal Vouchers'!$J$5:$J$2005,'Journal Vouchers'!$H$5:$H$2005,$A138,'Journal Vouchers'!$B$5:$B$2005,"&lt;"&amp;ReportFrom)))</f>
        <v/>
      </c>
      <c r="AK138" s="25">
        <f>IF($A138="",0,SUMIFS('Journal Vouchers'!$I$5:$I$2005,'Journal Vouchers'!$H$5:$H$2005,$A138,'Journal Vouchers'!$B$5:$B$2005,"&gt;="&amp;ReportFrom,'Journal Vouchers'!$B$5:$B$2005,"&lt;="&amp;ReportTo))</f>
        <v/>
      </c>
      <c r="AL138" s="25">
        <f>IF($A138="",0,SUMIFS('Journal Vouchers'!$J$5:$J$2005,'Journal Vouchers'!$H$5:$H$2005,$A138,'Journal Vouchers'!$B$5:$B$2005,"&gt;="&amp;ReportFrom,'Journal Vouchers'!$B$5:$B$2005,"&lt;="&amp;ReportTo))</f>
        <v/>
      </c>
    </row>
    <row r="139">
      <c r="A139" s="25">
        <f>IF('Chart of Accounts'!A139="","",'Chart of Accounts'!A139&amp;"")</f>
        <v/>
      </c>
      <c r="B139" s="25">
        <f>IF(A139="","",'Chart of Accounts'!B139)</f>
        <v/>
      </c>
      <c r="C139" s="25">
        <f>IF(A139="","",'Chart of Accounts'!C139)</f>
        <v/>
      </c>
      <c r="D139" s="25">
        <f>IF(A139="","",'Chart of Accounts'!D139)</f>
        <v/>
      </c>
      <c r="E139" s="26">
        <f>L139+O139+R139+U139+X139+AA139+AD139+AG139+AJ139</f>
        <v/>
      </c>
      <c r="F139" s="26">
        <f>M139+P139+S139+V139+Y139+AB139+AE139+AH139+AK139</f>
        <v/>
      </c>
      <c r="G139" s="26">
        <f>N139+Q139+T139+W139+Z139+AC139+AF139+AI139+AL139</f>
        <v/>
      </c>
      <c r="H139" s="26">
        <f>E139+F139-G139</f>
        <v/>
      </c>
      <c r="I139" s="26">
        <f>MAX(H139,0)</f>
        <v/>
      </c>
      <c r="J139" s="26">
        <f>MAX(-H139,0)</f>
        <v/>
      </c>
      <c r="L139" s="25">
        <f>IF($A139="",0,(SUMIFS('Direct Costs'!$R$5:$R$2005,'Direct Costs'!$V$5:$V$2005,$A139,'Direct Costs'!$A$5:$A$2005,"&lt;"&amp;ReportFrom)+SUMIFS('Direct Costs'!$S$5:$S$2005,'Direct Costs'!$Y$5:$Y$2005,$A139,'Direct Costs'!$A$5:$A$2005,"&lt;"&amp;ReportFrom))-(SUMIFS('Direct Costs'!$L$5:$L$2005,'Direct Costs'!$W$5:$W$2005,$A139,'Direct Costs'!$A$5:$A$2005,"&lt;"&amp;ReportFrom)+SUMIFS('Direct Costs'!$U$5:$U$2005,'Direct Costs'!$X$5:$X$2005,$A139,'Direct Costs'!$A$5:$A$2005,"&lt;"&amp;ReportFrom)+SUMIFS('Direct Costs'!$T$5:$T$2005,'Direct Costs'!$Z$5:$Z$2005,$A139,'Direct Costs'!$A$5:$A$2005,"&lt;"&amp;ReportFrom)))</f>
        <v/>
      </c>
      <c r="M139" s="25">
        <f>IF($A139="",0,SUMIFS('Direct Costs'!$R$5:$R$2005,'Direct Costs'!$V$5:$V$2005,$A139,'Direct Costs'!$A$5:$A$2005,"&gt;="&amp;ReportFrom,'Direct Costs'!$A$5:$A$2005,"&lt;="&amp;ReportTo)+SUMIFS('Direct Costs'!$S$5:$S$2005,'Direct Costs'!$Y$5:$Y$2005,$A139,'Direct Costs'!$A$5:$A$2005,"&gt;="&amp;ReportFrom,'Direct Costs'!$A$5:$A$2005,"&lt;="&amp;ReportTo))</f>
        <v/>
      </c>
      <c r="N139" s="25">
        <f>IF($A139="",0,SUMIFS('Direct Costs'!$L$5:$L$2005,'Direct Costs'!$W$5:$W$2005,$A139,'Direct Costs'!$A$5:$A$2005,"&gt;="&amp;ReportFrom,'Direct Costs'!$A$5:$A$2005,"&lt;="&amp;ReportTo)+SUMIFS('Direct Costs'!$U$5:$U$2005,'Direct Costs'!$X$5:$X$2005,$A139,'Direct Costs'!$A$5:$A$2005,"&gt;="&amp;ReportFrom,'Direct Costs'!$A$5:$A$2005,"&lt;="&amp;ReportTo)+SUMIFS('Direct Costs'!$T$5:$T$2005,'Direct Costs'!$Z$5:$Z$2005,$A139,'Direct Costs'!$A$5:$A$2005,"&gt;="&amp;ReportFrom,'Direct Costs'!$A$5:$A$2005,"&lt;="&amp;ReportTo))</f>
        <v/>
      </c>
      <c r="O139" s="25">
        <f>IF($A139="",0,(SUMIFS('Operating Expenses'!$F$5:$F$2005,'Operating Expenses'!$Q$5:$Q$2005,$A139,'Operating Expenses'!$A$5:$A$2005,"&lt;"&amp;ReportFrom)+SUMIFS('Operating Expenses'!$M$5:$M$2005,'Operating Expenses'!$T$5:$T$2005,$A139,'Operating Expenses'!$A$5:$A$2005,"&lt;"&amp;ReportFrom))-(SUMIFS('Operating Expenses'!$O$5:$O$2005,'Operating Expenses'!$R$5:$R$2005,$A139,'Operating Expenses'!$A$5:$A$2005,"&lt;"&amp;ReportFrom)+SUMIFS('Operating Expenses'!$P$5:$P$2005,'Operating Expenses'!$S$5:$S$2005,$A139,'Operating Expenses'!$A$5:$A$2005,"&lt;"&amp;ReportFrom)+SUMIFS('Operating Expenses'!$N$5:$N$2005,'Operating Expenses'!$U$5:$U$2005,$A139,'Operating Expenses'!$A$5:$A$2005,"&lt;"&amp;ReportFrom)))</f>
        <v/>
      </c>
      <c r="P139" s="25">
        <f>IF($A139="",0,SUMIFS('Operating Expenses'!$F$5:$F$2005,'Operating Expenses'!$Q$5:$Q$2005,$A139,'Operating Expenses'!$A$5:$A$2005,"&gt;="&amp;ReportFrom,'Operating Expenses'!$A$5:$A$2005,"&lt;="&amp;ReportTo)+SUMIFS('Operating Expenses'!$M$5:$M$2005,'Operating Expenses'!$T$5:$T$2005,$A139,'Operating Expenses'!$A$5:$A$2005,"&gt;="&amp;ReportFrom,'Operating Expenses'!$A$5:$A$2005,"&lt;="&amp;ReportTo))</f>
        <v/>
      </c>
      <c r="Q139" s="25">
        <f>IF($A139="",0,SUMIFS('Operating Expenses'!$O$5:$O$2005,'Operating Expenses'!$R$5:$R$2005,$A139,'Operating Expenses'!$A$5:$A$2005,"&gt;="&amp;ReportFrom,'Operating Expenses'!$A$5:$A$2005,"&lt;="&amp;ReportTo)+SUMIFS('Operating Expenses'!$P$5:$P$2005,'Operating Expenses'!$S$5:$S$2005,$A139,'Operating Expenses'!$A$5:$A$2005,"&gt;="&amp;ReportFrom,'Operating Expenses'!$A$5:$A$2005,"&lt;="&amp;ReportTo)+SUMIFS('Operating Expenses'!$N$5:$N$2005,'Operating Expenses'!$U$5:$U$2005,$A139,'Operating Expenses'!$A$5:$A$2005,"&gt;="&amp;ReportFrom,'Operating Expenses'!$A$5:$A$2005,"&lt;="&amp;ReportTo))</f>
        <v/>
      </c>
      <c r="R139" s="25">
        <f>IF($A139="",0,(SUMIFS('Payroll'!$O$5:$O$2005,'Payroll'!$Q$5:$Q$2005,$A139,'Payroll'!$A$5:$A$2005,"&lt;"&amp;ReportFrom))-(SUMIFS('Payroll'!$K$5:$K$2005,'Payroll'!$R$5:$R$2005,$A139,'Payroll'!$A$5:$A$2005,"&lt;"&amp;ReportFrom)+SUMIFS('Payroll'!$P$5:$P$2005,'Payroll'!$S$5:$S$2005,$A139,'Payroll'!$A$5:$A$2005,"&lt;"&amp;ReportFrom)))</f>
        <v/>
      </c>
      <c r="S139" s="25">
        <f>IF($A139="",0,SUMIFS('Payroll'!$O$5:$O$2005,'Payroll'!$Q$5:$Q$2005,$A139,'Payroll'!$A$5:$A$2005,"&gt;="&amp;ReportFrom,'Payroll'!$A$5:$A$2005,"&lt;="&amp;ReportTo))</f>
        <v/>
      </c>
      <c r="T139" s="25">
        <f>IF($A139="",0,SUMIFS('Payroll'!$K$5:$K$2005,'Payroll'!$R$5:$R$2005,$A139,'Payroll'!$A$5:$A$2005,"&gt;="&amp;ReportFrom,'Payroll'!$A$5:$A$2005,"&lt;="&amp;ReportTo)+SUMIFS('Payroll'!$P$5:$P$2005,'Payroll'!$S$5:$S$2005,$A139,'Payroll'!$A$5:$A$2005,"&gt;="&amp;ReportFrom,'Payroll'!$A$5:$A$2005,"&lt;="&amp;ReportTo))</f>
        <v/>
      </c>
      <c r="U139" s="25">
        <f>IF($A139="",0,(SUMIFS('Receipt Vouchers'!$F$5:$F$2005,'Receipt Vouchers'!$O$5:$O$2005,$A139,'Receipt Vouchers'!$A$5:$A$2005,"&lt;"&amp;ReportFrom)+SUMIFS('Receipt Vouchers'!$J$5:$J$2005,'Receipt Vouchers'!$Q$5:$Q$2005,$A139,'Receipt Vouchers'!$A$5:$A$2005,"&lt;"&amp;ReportFrom))-(SUMIFS('Receipt Vouchers'!$N$5:$N$2005,'Receipt Vouchers'!$P$5:$P$2005,$A139,'Receipt Vouchers'!$A$5:$A$2005,"&lt;"&amp;ReportFrom)+SUMIFS('Receipt Vouchers'!$M$5:$M$2005,'Receipt Vouchers'!$R$5:$R$2005,$A139,'Receipt Vouchers'!$A$5:$A$2005,"&lt;"&amp;ReportFrom)))</f>
        <v/>
      </c>
      <c r="V139" s="25">
        <f>IF($A139="",0,SUMIFS('Receipt Vouchers'!$F$5:$F$2005,'Receipt Vouchers'!$O$5:$O$2005,$A139,'Receipt Vouchers'!$A$5:$A$2005,"&gt;="&amp;ReportFrom,'Receipt Vouchers'!$A$5:$A$2005,"&lt;="&amp;ReportTo)+SUMIFS('Receipt Vouchers'!$J$5:$J$2005,'Receipt Vouchers'!$Q$5:$Q$2005,$A139,'Receipt Vouchers'!$A$5:$A$2005,"&gt;="&amp;ReportFrom,'Receipt Vouchers'!$A$5:$A$2005,"&lt;="&amp;ReportTo))</f>
        <v/>
      </c>
      <c r="W139" s="25">
        <f>IF($A139="",0,SUMIFS('Receipt Vouchers'!$N$5:$N$2005,'Receipt Vouchers'!$P$5:$P$2005,$A139,'Receipt Vouchers'!$A$5:$A$2005,"&gt;="&amp;ReportFrom,'Receipt Vouchers'!$A$5:$A$2005,"&lt;="&amp;ReportTo)+SUMIFS('Receipt Vouchers'!$M$5:$M$2005,'Receipt Vouchers'!$R$5:$R$2005,$A139,'Receipt Vouchers'!$A$5:$A$2005,"&gt;="&amp;ReportFrom,'Receipt Vouchers'!$A$5:$A$2005,"&lt;="&amp;ReportTo))</f>
        <v/>
      </c>
      <c r="X139" s="25">
        <f>IF($A139="",0,(SUMIFS('Sales Invoices'!$O$5:$O$2005,'Sales Invoices'!$P$5:$P$2005,$A139,'Sales Invoices'!$B$5:$B$2005,"&lt;"&amp;ReportFrom)+SUMIFS('Sales Invoices'!$N$5:$N$2005,'Sales Invoices'!$R$5:$R$2005,$A139,'Sales Invoices'!$B$5:$B$2005,"&lt;"&amp;ReportFrom))-(SUMIFS('Sales Invoices'!$L$5:$L$2005,'Sales Invoices'!$Q$5:$Q$2005,$A139,'Sales Invoices'!$B$5:$B$2005,"&lt;"&amp;ReportFrom)+SUMIFS('Sales Invoices'!$M$5:$M$2005,'Sales Invoices'!$S$5:$S$2005,$A139,'Sales Invoices'!$B$5:$B$2005,"&lt;"&amp;ReportFrom)))</f>
        <v/>
      </c>
      <c r="Y139" s="25">
        <f>IF($A139="",0,SUMIFS('Sales Invoices'!$O$5:$O$2005,'Sales Invoices'!$P$5:$P$2005,$A139,'Sales Invoices'!$B$5:$B$2005,"&gt;="&amp;ReportFrom,'Sales Invoices'!$B$5:$B$2005,"&lt;="&amp;ReportTo)+SUMIFS('Sales Invoices'!$N$5:$N$2005,'Sales Invoices'!$R$5:$R$2005,$A139,'Sales Invoices'!$B$5:$B$2005,"&gt;="&amp;ReportFrom,'Sales Invoices'!$B$5:$B$2005,"&lt;="&amp;ReportTo))</f>
        <v/>
      </c>
      <c r="Z139" s="25">
        <f>IF($A139="",0,SUMIFS('Sales Invoices'!$L$5:$L$2005,'Sales Invoices'!$Q$5:$Q$2005,$A139,'Sales Invoices'!$B$5:$B$2005,"&gt;="&amp;ReportFrom,'Sales Invoices'!$B$5:$B$2005,"&lt;="&amp;ReportTo)+SUMIFS('Sales Invoices'!$M$5:$M$2005,'Sales Invoices'!$S$5:$S$2005,$A139,'Sales Invoices'!$B$5:$B$2005,"&gt;="&amp;ReportFrom,'Sales Invoices'!$B$5:$B$2005,"&lt;="&amp;ReportTo))</f>
        <v/>
      </c>
      <c r="AA139" s="25">
        <f>IF($A139="",0,(SUMIFS('Payment Vouchers'!$D$5:$D$2005,'Payment Vouchers'!$J$5:$J$2005,$A139,'Payment Vouchers'!$A$5:$A$2005,"&lt;"&amp;ReportFrom))-(SUMIFS('Payment Vouchers'!$D$5:$D$2005,'Payment Vouchers'!$K$5:$K$2005,$A139,'Payment Vouchers'!$A$5:$A$2005,"&lt;"&amp;ReportFrom)))</f>
        <v/>
      </c>
      <c r="AB139" s="25">
        <f>IF($A139="",0,SUMIFS('Payment Vouchers'!$D$5:$D$2005,'Payment Vouchers'!$J$5:$J$2005,$A139,'Payment Vouchers'!$A$5:$A$2005,"&gt;="&amp;ReportFrom,'Payment Vouchers'!$A$5:$A$2005,"&lt;="&amp;ReportTo))</f>
        <v/>
      </c>
      <c r="AC139" s="25">
        <f>IF($A139="",0,SUMIFS('Payment Vouchers'!$D$5:$D$2005,'Payment Vouchers'!$K$5:$K$2005,$A139,'Payment Vouchers'!$A$5:$A$2005,"&gt;="&amp;ReportFrom,'Payment Vouchers'!$A$5:$A$2005,"&lt;="&amp;ReportTo))</f>
        <v/>
      </c>
      <c r="AD139" s="25">
        <f>IF($A139="",0,(SUMIFS('Partner Transactions'!$D$5:$D$2005,'Partner Transactions'!$L$5:$L$2005,$A139,'Partner Transactions'!$A$5:$A$2005,"&lt;"&amp;ReportFrom))-(SUMIFS('Partner Transactions'!$D$5:$D$2005,'Partner Transactions'!$M$5:$M$2005,$A139,'Partner Transactions'!$A$5:$A$2005,"&lt;"&amp;ReportFrom)))</f>
        <v/>
      </c>
      <c r="AE139" s="25">
        <f>IF($A139="",0,SUMIFS('Partner Transactions'!$D$5:$D$2005,'Partner Transactions'!$L$5:$L$2005,$A139,'Partner Transactions'!$A$5:$A$2005,"&gt;="&amp;ReportFrom,'Partner Transactions'!$A$5:$A$2005,"&lt;="&amp;ReportTo))</f>
        <v/>
      </c>
      <c r="AF139" s="25">
        <f>IF($A139="",0,SUMIFS('Partner Transactions'!$D$5:$D$2005,'Partner Transactions'!$M$5:$M$2005,$A139,'Partner Transactions'!$A$5:$A$2005,"&gt;="&amp;ReportFrom,'Partner Transactions'!$A$5:$A$2005,"&lt;="&amp;ReportTo))</f>
        <v/>
      </c>
      <c r="AG139" s="25">
        <f>IF($A139="",0,(SUMIFS('Stock Moves'!$S$5:$S$2005,'Stock Moves'!$AD$5:$AD$2005,$A139,'Stock Moves'!$A$5:$A$2005,"&lt;"&amp;ReportFrom)+SUMIFS('Stock Moves'!$T$5:$T$2005,'Stock Moves'!$V$5:$V$2005,$A139,'Stock Moves'!$A$5:$A$2005,"&lt;"&amp;ReportFrom))-(SUMIFS('Stock Moves'!$AF$5:$AF$2005,'Stock Moves'!$AE$5:$AE$2005,$A139,'Stock Moves'!$A$5:$A$2005,"&lt;"&amp;ReportFrom)+SUMIFS('Stock Moves'!$AC$5:$AC$2005,'Stock Moves'!$X$5:$X$2005,$A139,'Stock Moves'!$A$5:$A$2005,"&lt;"&amp;ReportFrom)+SUMIFS('Stock Moves'!$U$5:$U$2005,'Stock Moves'!$W$5:$W$2005,$A139,'Stock Moves'!$A$5:$A$2005,"&lt;"&amp;ReportFrom)))</f>
        <v/>
      </c>
      <c r="AH139" s="25">
        <f>IF($A139="",0,SUMIFS('Stock Moves'!$S$5:$S$2005,'Stock Moves'!$AD$5:$AD$2005,$A139,'Stock Moves'!$A$5:$A$2005,"&gt;="&amp;ReportFrom,'Stock Moves'!$A$5:$A$2005,"&lt;="&amp;ReportTo)+SUMIFS('Stock Moves'!$T$5:$T$2005,'Stock Moves'!$V$5:$V$2005,$A139,'Stock Moves'!$A$5:$A$2005,"&gt;="&amp;ReportFrom,'Stock Moves'!$A$5:$A$2005,"&lt;="&amp;ReportTo))</f>
        <v/>
      </c>
      <c r="AI139" s="25">
        <f>IF($A139="",0,SUMIFS('Stock Moves'!$AF$5:$AF$2005,'Stock Moves'!$AE$5:$AE$2005,$A139,'Stock Moves'!$A$5:$A$2005,"&gt;="&amp;ReportFrom,'Stock Moves'!$A$5:$A$2005,"&lt;="&amp;ReportTo)+SUMIFS('Stock Moves'!$AC$5:$AC$2005,'Stock Moves'!$X$5:$X$2005,$A139,'Stock Moves'!$A$5:$A$2005,"&gt;="&amp;ReportFrom,'Stock Moves'!$A$5:$A$2005,"&lt;="&amp;ReportTo)+SUMIFS('Stock Moves'!$U$5:$U$2005,'Stock Moves'!$W$5:$W$2005,$A139,'Stock Moves'!$A$5:$A$2005,"&gt;="&amp;ReportFrom,'Stock Moves'!$A$5:$A$2005,"&lt;="&amp;ReportTo))</f>
        <v/>
      </c>
      <c r="AJ139" s="25">
        <f>IF($A139="",0,(SUMIFS('Journal Vouchers'!$I$5:$I$2005,'Journal Vouchers'!$H$5:$H$2005,$A139,'Journal Vouchers'!$B$5:$B$2005,"&lt;"&amp;ReportFrom))-(SUMIFS('Journal Vouchers'!$J$5:$J$2005,'Journal Vouchers'!$H$5:$H$2005,$A139,'Journal Vouchers'!$B$5:$B$2005,"&lt;"&amp;ReportFrom)))</f>
        <v/>
      </c>
      <c r="AK139" s="25">
        <f>IF($A139="",0,SUMIFS('Journal Vouchers'!$I$5:$I$2005,'Journal Vouchers'!$H$5:$H$2005,$A139,'Journal Vouchers'!$B$5:$B$2005,"&gt;="&amp;ReportFrom,'Journal Vouchers'!$B$5:$B$2005,"&lt;="&amp;ReportTo))</f>
        <v/>
      </c>
      <c r="AL139" s="25">
        <f>IF($A139="",0,SUMIFS('Journal Vouchers'!$J$5:$J$2005,'Journal Vouchers'!$H$5:$H$2005,$A139,'Journal Vouchers'!$B$5:$B$2005,"&gt;="&amp;ReportFrom,'Journal Vouchers'!$B$5:$B$2005,"&lt;="&amp;ReportTo))</f>
        <v/>
      </c>
    </row>
    <row r="140">
      <c r="A140" s="25">
        <f>IF('Chart of Accounts'!A140="","",'Chart of Accounts'!A140&amp;"")</f>
        <v/>
      </c>
      <c r="B140" s="25">
        <f>IF(A140="","",'Chart of Accounts'!B140)</f>
        <v/>
      </c>
      <c r="C140" s="25">
        <f>IF(A140="","",'Chart of Accounts'!C140)</f>
        <v/>
      </c>
      <c r="D140" s="25">
        <f>IF(A140="","",'Chart of Accounts'!D140)</f>
        <v/>
      </c>
      <c r="E140" s="26">
        <f>L140+O140+R140+U140+X140+AA140+AD140+AG140+AJ140</f>
        <v/>
      </c>
      <c r="F140" s="26">
        <f>M140+P140+S140+V140+Y140+AB140+AE140+AH140+AK140</f>
        <v/>
      </c>
      <c r="G140" s="26">
        <f>N140+Q140+T140+W140+Z140+AC140+AF140+AI140+AL140</f>
        <v/>
      </c>
      <c r="H140" s="26">
        <f>E140+F140-G140</f>
        <v/>
      </c>
      <c r="I140" s="26">
        <f>MAX(H140,0)</f>
        <v/>
      </c>
      <c r="J140" s="26">
        <f>MAX(-H140,0)</f>
        <v/>
      </c>
      <c r="L140" s="25">
        <f>IF($A140="",0,(SUMIFS('Direct Costs'!$R$5:$R$2005,'Direct Costs'!$V$5:$V$2005,$A140,'Direct Costs'!$A$5:$A$2005,"&lt;"&amp;ReportFrom)+SUMIFS('Direct Costs'!$S$5:$S$2005,'Direct Costs'!$Y$5:$Y$2005,$A140,'Direct Costs'!$A$5:$A$2005,"&lt;"&amp;ReportFrom))-(SUMIFS('Direct Costs'!$L$5:$L$2005,'Direct Costs'!$W$5:$W$2005,$A140,'Direct Costs'!$A$5:$A$2005,"&lt;"&amp;ReportFrom)+SUMIFS('Direct Costs'!$U$5:$U$2005,'Direct Costs'!$X$5:$X$2005,$A140,'Direct Costs'!$A$5:$A$2005,"&lt;"&amp;ReportFrom)+SUMIFS('Direct Costs'!$T$5:$T$2005,'Direct Costs'!$Z$5:$Z$2005,$A140,'Direct Costs'!$A$5:$A$2005,"&lt;"&amp;ReportFrom)))</f>
        <v/>
      </c>
      <c r="M140" s="25">
        <f>IF($A140="",0,SUMIFS('Direct Costs'!$R$5:$R$2005,'Direct Costs'!$V$5:$V$2005,$A140,'Direct Costs'!$A$5:$A$2005,"&gt;="&amp;ReportFrom,'Direct Costs'!$A$5:$A$2005,"&lt;="&amp;ReportTo)+SUMIFS('Direct Costs'!$S$5:$S$2005,'Direct Costs'!$Y$5:$Y$2005,$A140,'Direct Costs'!$A$5:$A$2005,"&gt;="&amp;ReportFrom,'Direct Costs'!$A$5:$A$2005,"&lt;="&amp;ReportTo))</f>
        <v/>
      </c>
      <c r="N140" s="25">
        <f>IF($A140="",0,SUMIFS('Direct Costs'!$L$5:$L$2005,'Direct Costs'!$W$5:$W$2005,$A140,'Direct Costs'!$A$5:$A$2005,"&gt;="&amp;ReportFrom,'Direct Costs'!$A$5:$A$2005,"&lt;="&amp;ReportTo)+SUMIFS('Direct Costs'!$U$5:$U$2005,'Direct Costs'!$X$5:$X$2005,$A140,'Direct Costs'!$A$5:$A$2005,"&gt;="&amp;ReportFrom,'Direct Costs'!$A$5:$A$2005,"&lt;="&amp;ReportTo)+SUMIFS('Direct Costs'!$T$5:$T$2005,'Direct Costs'!$Z$5:$Z$2005,$A140,'Direct Costs'!$A$5:$A$2005,"&gt;="&amp;ReportFrom,'Direct Costs'!$A$5:$A$2005,"&lt;="&amp;ReportTo))</f>
        <v/>
      </c>
      <c r="O140" s="25">
        <f>IF($A140="",0,(SUMIFS('Operating Expenses'!$F$5:$F$2005,'Operating Expenses'!$Q$5:$Q$2005,$A140,'Operating Expenses'!$A$5:$A$2005,"&lt;"&amp;ReportFrom)+SUMIFS('Operating Expenses'!$M$5:$M$2005,'Operating Expenses'!$T$5:$T$2005,$A140,'Operating Expenses'!$A$5:$A$2005,"&lt;"&amp;ReportFrom))-(SUMIFS('Operating Expenses'!$O$5:$O$2005,'Operating Expenses'!$R$5:$R$2005,$A140,'Operating Expenses'!$A$5:$A$2005,"&lt;"&amp;ReportFrom)+SUMIFS('Operating Expenses'!$P$5:$P$2005,'Operating Expenses'!$S$5:$S$2005,$A140,'Operating Expenses'!$A$5:$A$2005,"&lt;"&amp;ReportFrom)+SUMIFS('Operating Expenses'!$N$5:$N$2005,'Operating Expenses'!$U$5:$U$2005,$A140,'Operating Expenses'!$A$5:$A$2005,"&lt;"&amp;ReportFrom)))</f>
        <v/>
      </c>
      <c r="P140" s="25">
        <f>IF($A140="",0,SUMIFS('Operating Expenses'!$F$5:$F$2005,'Operating Expenses'!$Q$5:$Q$2005,$A140,'Operating Expenses'!$A$5:$A$2005,"&gt;="&amp;ReportFrom,'Operating Expenses'!$A$5:$A$2005,"&lt;="&amp;ReportTo)+SUMIFS('Operating Expenses'!$M$5:$M$2005,'Operating Expenses'!$T$5:$T$2005,$A140,'Operating Expenses'!$A$5:$A$2005,"&gt;="&amp;ReportFrom,'Operating Expenses'!$A$5:$A$2005,"&lt;="&amp;ReportTo))</f>
        <v/>
      </c>
      <c r="Q140" s="25">
        <f>IF($A140="",0,SUMIFS('Operating Expenses'!$O$5:$O$2005,'Operating Expenses'!$R$5:$R$2005,$A140,'Operating Expenses'!$A$5:$A$2005,"&gt;="&amp;ReportFrom,'Operating Expenses'!$A$5:$A$2005,"&lt;="&amp;ReportTo)+SUMIFS('Operating Expenses'!$P$5:$P$2005,'Operating Expenses'!$S$5:$S$2005,$A140,'Operating Expenses'!$A$5:$A$2005,"&gt;="&amp;ReportFrom,'Operating Expenses'!$A$5:$A$2005,"&lt;="&amp;ReportTo)+SUMIFS('Operating Expenses'!$N$5:$N$2005,'Operating Expenses'!$U$5:$U$2005,$A140,'Operating Expenses'!$A$5:$A$2005,"&gt;="&amp;ReportFrom,'Operating Expenses'!$A$5:$A$2005,"&lt;="&amp;ReportTo))</f>
        <v/>
      </c>
      <c r="R140" s="25">
        <f>IF($A140="",0,(SUMIFS('Payroll'!$O$5:$O$2005,'Payroll'!$Q$5:$Q$2005,$A140,'Payroll'!$A$5:$A$2005,"&lt;"&amp;ReportFrom))-(SUMIFS('Payroll'!$K$5:$K$2005,'Payroll'!$R$5:$R$2005,$A140,'Payroll'!$A$5:$A$2005,"&lt;"&amp;ReportFrom)+SUMIFS('Payroll'!$P$5:$P$2005,'Payroll'!$S$5:$S$2005,$A140,'Payroll'!$A$5:$A$2005,"&lt;"&amp;ReportFrom)))</f>
        <v/>
      </c>
      <c r="S140" s="25">
        <f>IF($A140="",0,SUMIFS('Payroll'!$O$5:$O$2005,'Payroll'!$Q$5:$Q$2005,$A140,'Payroll'!$A$5:$A$2005,"&gt;="&amp;ReportFrom,'Payroll'!$A$5:$A$2005,"&lt;="&amp;ReportTo))</f>
        <v/>
      </c>
      <c r="T140" s="25">
        <f>IF($A140="",0,SUMIFS('Payroll'!$K$5:$K$2005,'Payroll'!$R$5:$R$2005,$A140,'Payroll'!$A$5:$A$2005,"&gt;="&amp;ReportFrom,'Payroll'!$A$5:$A$2005,"&lt;="&amp;ReportTo)+SUMIFS('Payroll'!$P$5:$P$2005,'Payroll'!$S$5:$S$2005,$A140,'Payroll'!$A$5:$A$2005,"&gt;="&amp;ReportFrom,'Payroll'!$A$5:$A$2005,"&lt;="&amp;ReportTo))</f>
        <v/>
      </c>
      <c r="U140" s="25">
        <f>IF($A140="",0,(SUMIFS('Receipt Vouchers'!$F$5:$F$2005,'Receipt Vouchers'!$O$5:$O$2005,$A140,'Receipt Vouchers'!$A$5:$A$2005,"&lt;"&amp;ReportFrom)+SUMIFS('Receipt Vouchers'!$J$5:$J$2005,'Receipt Vouchers'!$Q$5:$Q$2005,$A140,'Receipt Vouchers'!$A$5:$A$2005,"&lt;"&amp;ReportFrom))-(SUMIFS('Receipt Vouchers'!$N$5:$N$2005,'Receipt Vouchers'!$P$5:$P$2005,$A140,'Receipt Vouchers'!$A$5:$A$2005,"&lt;"&amp;ReportFrom)+SUMIFS('Receipt Vouchers'!$M$5:$M$2005,'Receipt Vouchers'!$R$5:$R$2005,$A140,'Receipt Vouchers'!$A$5:$A$2005,"&lt;"&amp;ReportFrom)))</f>
        <v/>
      </c>
      <c r="V140" s="25">
        <f>IF($A140="",0,SUMIFS('Receipt Vouchers'!$F$5:$F$2005,'Receipt Vouchers'!$O$5:$O$2005,$A140,'Receipt Vouchers'!$A$5:$A$2005,"&gt;="&amp;ReportFrom,'Receipt Vouchers'!$A$5:$A$2005,"&lt;="&amp;ReportTo)+SUMIFS('Receipt Vouchers'!$J$5:$J$2005,'Receipt Vouchers'!$Q$5:$Q$2005,$A140,'Receipt Vouchers'!$A$5:$A$2005,"&gt;="&amp;ReportFrom,'Receipt Vouchers'!$A$5:$A$2005,"&lt;="&amp;ReportTo))</f>
        <v/>
      </c>
      <c r="W140" s="25">
        <f>IF($A140="",0,SUMIFS('Receipt Vouchers'!$N$5:$N$2005,'Receipt Vouchers'!$P$5:$P$2005,$A140,'Receipt Vouchers'!$A$5:$A$2005,"&gt;="&amp;ReportFrom,'Receipt Vouchers'!$A$5:$A$2005,"&lt;="&amp;ReportTo)+SUMIFS('Receipt Vouchers'!$M$5:$M$2005,'Receipt Vouchers'!$R$5:$R$2005,$A140,'Receipt Vouchers'!$A$5:$A$2005,"&gt;="&amp;ReportFrom,'Receipt Vouchers'!$A$5:$A$2005,"&lt;="&amp;ReportTo))</f>
        <v/>
      </c>
      <c r="X140" s="25">
        <f>IF($A140="",0,(SUMIFS('Sales Invoices'!$O$5:$O$2005,'Sales Invoices'!$P$5:$P$2005,$A140,'Sales Invoices'!$B$5:$B$2005,"&lt;"&amp;ReportFrom)+SUMIFS('Sales Invoices'!$N$5:$N$2005,'Sales Invoices'!$R$5:$R$2005,$A140,'Sales Invoices'!$B$5:$B$2005,"&lt;"&amp;ReportFrom))-(SUMIFS('Sales Invoices'!$L$5:$L$2005,'Sales Invoices'!$Q$5:$Q$2005,$A140,'Sales Invoices'!$B$5:$B$2005,"&lt;"&amp;ReportFrom)+SUMIFS('Sales Invoices'!$M$5:$M$2005,'Sales Invoices'!$S$5:$S$2005,$A140,'Sales Invoices'!$B$5:$B$2005,"&lt;"&amp;ReportFrom)))</f>
        <v/>
      </c>
      <c r="Y140" s="25">
        <f>IF($A140="",0,SUMIFS('Sales Invoices'!$O$5:$O$2005,'Sales Invoices'!$P$5:$P$2005,$A140,'Sales Invoices'!$B$5:$B$2005,"&gt;="&amp;ReportFrom,'Sales Invoices'!$B$5:$B$2005,"&lt;="&amp;ReportTo)+SUMIFS('Sales Invoices'!$N$5:$N$2005,'Sales Invoices'!$R$5:$R$2005,$A140,'Sales Invoices'!$B$5:$B$2005,"&gt;="&amp;ReportFrom,'Sales Invoices'!$B$5:$B$2005,"&lt;="&amp;ReportTo))</f>
        <v/>
      </c>
      <c r="Z140" s="25">
        <f>IF($A140="",0,SUMIFS('Sales Invoices'!$L$5:$L$2005,'Sales Invoices'!$Q$5:$Q$2005,$A140,'Sales Invoices'!$B$5:$B$2005,"&gt;="&amp;ReportFrom,'Sales Invoices'!$B$5:$B$2005,"&lt;="&amp;ReportTo)+SUMIFS('Sales Invoices'!$M$5:$M$2005,'Sales Invoices'!$S$5:$S$2005,$A140,'Sales Invoices'!$B$5:$B$2005,"&gt;="&amp;ReportFrom,'Sales Invoices'!$B$5:$B$2005,"&lt;="&amp;ReportTo))</f>
        <v/>
      </c>
      <c r="AA140" s="25">
        <f>IF($A140="",0,(SUMIFS('Payment Vouchers'!$D$5:$D$2005,'Payment Vouchers'!$J$5:$J$2005,$A140,'Payment Vouchers'!$A$5:$A$2005,"&lt;"&amp;ReportFrom))-(SUMIFS('Payment Vouchers'!$D$5:$D$2005,'Payment Vouchers'!$K$5:$K$2005,$A140,'Payment Vouchers'!$A$5:$A$2005,"&lt;"&amp;ReportFrom)))</f>
        <v/>
      </c>
      <c r="AB140" s="25">
        <f>IF($A140="",0,SUMIFS('Payment Vouchers'!$D$5:$D$2005,'Payment Vouchers'!$J$5:$J$2005,$A140,'Payment Vouchers'!$A$5:$A$2005,"&gt;="&amp;ReportFrom,'Payment Vouchers'!$A$5:$A$2005,"&lt;="&amp;ReportTo))</f>
        <v/>
      </c>
      <c r="AC140" s="25">
        <f>IF($A140="",0,SUMIFS('Payment Vouchers'!$D$5:$D$2005,'Payment Vouchers'!$K$5:$K$2005,$A140,'Payment Vouchers'!$A$5:$A$2005,"&gt;="&amp;ReportFrom,'Payment Vouchers'!$A$5:$A$2005,"&lt;="&amp;ReportTo))</f>
        <v/>
      </c>
      <c r="AD140" s="25">
        <f>IF($A140="",0,(SUMIFS('Partner Transactions'!$D$5:$D$2005,'Partner Transactions'!$L$5:$L$2005,$A140,'Partner Transactions'!$A$5:$A$2005,"&lt;"&amp;ReportFrom))-(SUMIFS('Partner Transactions'!$D$5:$D$2005,'Partner Transactions'!$M$5:$M$2005,$A140,'Partner Transactions'!$A$5:$A$2005,"&lt;"&amp;ReportFrom)))</f>
        <v/>
      </c>
      <c r="AE140" s="25">
        <f>IF($A140="",0,SUMIFS('Partner Transactions'!$D$5:$D$2005,'Partner Transactions'!$L$5:$L$2005,$A140,'Partner Transactions'!$A$5:$A$2005,"&gt;="&amp;ReportFrom,'Partner Transactions'!$A$5:$A$2005,"&lt;="&amp;ReportTo))</f>
        <v/>
      </c>
      <c r="AF140" s="25">
        <f>IF($A140="",0,SUMIFS('Partner Transactions'!$D$5:$D$2005,'Partner Transactions'!$M$5:$M$2005,$A140,'Partner Transactions'!$A$5:$A$2005,"&gt;="&amp;ReportFrom,'Partner Transactions'!$A$5:$A$2005,"&lt;="&amp;ReportTo))</f>
        <v/>
      </c>
      <c r="AG140" s="25">
        <f>IF($A140="",0,(SUMIFS('Stock Moves'!$S$5:$S$2005,'Stock Moves'!$AD$5:$AD$2005,$A140,'Stock Moves'!$A$5:$A$2005,"&lt;"&amp;ReportFrom)+SUMIFS('Stock Moves'!$T$5:$T$2005,'Stock Moves'!$V$5:$V$2005,$A140,'Stock Moves'!$A$5:$A$2005,"&lt;"&amp;ReportFrom))-(SUMIFS('Stock Moves'!$AF$5:$AF$2005,'Stock Moves'!$AE$5:$AE$2005,$A140,'Stock Moves'!$A$5:$A$2005,"&lt;"&amp;ReportFrom)+SUMIFS('Stock Moves'!$AC$5:$AC$2005,'Stock Moves'!$X$5:$X$2005,$A140,'Stock Moves'!$A$5:$A$2005,"&lt;"&amp;ReportFrom)+SUMIFS('Stock Moves'!$U$5:$U$2005,'Stock Moves'!$W$5:$W$2005,$A140,'Stock Moves'!$A$5:$A$2005,"&lt;"&amp;ReportFrom)))</f>
        <v/>
      </c>
      <c r="AH140" s="25">
        <f>IF($A140="",0,SUMIFS('Stock Moves'!$S$5:$S$2005,'Stock Moves'!$AD$5:$AD$2005,$A140,'Stock Moves'!$A$5:$A$2005,"&gt;="&amp;ReportFrom,'Stock Moves'!$A$5:$A$2005,"&lt;="&amp;ReportTo)+SUMIFS('Stock Moves'!$T$5:$T$2005,'Stock Moves'!$V$5:$V$2005,$A140,'Stock Moves'!$A$5:$A$2005,"&gt;="&amp;ReportFrom,'Stock Moves'!$A$5:$A$2005,"&lt;="&amp;ReportTo))</f>
        <v/>
      </c>
      <c r="AI140" s="25">
        <f>IF($A140="",0,SUMIFS('Stock Moves'!$AF$5:$AF$2005,'Stock Moves'!$AE$5:$AE$2005,$A140,'Stock Moves'!$A$5:$A$2005,"&gt;="&amp;ReportFrom,'Stock Moves'!$A$5:$A$2005,"&lt;="&amp;ReportTo)+SUMIFS('Stock Moves'!$AC$5:$AC$2005,'Stock Moves'!$X$5:$X$2005,$A140,'Stock Moves'!$A$5:$A$2005,"&gt;="&amp;ReportFrom,'Stock Moves'!$A$5:$A$2005,"&lt;="&amp;ReportTo)+SUMIFS('Stock Moves'!$U$5:$U$2005,'Stock Moves'!$W$5:$W$2005,$A140,'Stock Moves'!$A$5:$A$2005,"&gt;="&amp;ReportFrom,'Stock Moves'!$A$5:$A$2005,"&lt;="&amp;ReportTo))</f>
        <v/>
      </c>
      <c r="AJ140" s="25">
        <f>IF($A140="",0,(SUMIFS('Journal Vouchers'!$I$5:$I$2005,'Journal Vouchers'!$H$5:$H$2005,$A140,'Journal Vouchers'!$B$5:$B$2005,"&lt;"&amp;ReportFrom))-(SUMIFS('Journal Vouchers'!$J$5:$J$2005,'Journal Vouchers'!$H$5:$H$2005,$A140,'Journal Vouchers'!$B$5:$B$2005,"&lt;"&amp;ReportFrom)))</f>
        <v/>
      </c>
      <c r="AK140" s="25">
        <f>IF($A140="",0,SUMIFS('Journal Vouchers'!$I$5:$I$2005,'Journal Vouchers'!$H$5:$H$2005,$A140,'Journal Vouchers'!$B$5:$B$2005,"&gt;="&amp;ReportFrom,'Journal Vouchers'!$B$5:$B$2005,"&lt;="&amp;ReportTo))</f>
        <v/>
      </c>
      <c r="AL140" s="25">
        <f>IF($A140="",0,SUMIFS('Journal Vouchers'!$J$5:$J$2005,'Journal Vouchers'!$H$5:$H$2005,$A140,'Journal Vouchers'!$B$5:$B$2005,"&gt;="&amp;ReportFrom,'Journal Vouchers'!$B$5:$B$2005,"&lt;="&amp;ReportTo))</f>
        <v/>
      </c>
    </row>
    <row r="141">
      <c r="A141" s="25">
        <f>IF('Chart of Accounts'!A141="","",'Chart of Accounts'!A141&amp;"")</f>
        <v/>
      </c>
      <c r="B141" s="25">
        <f>IF(A141="","",'Chart of Accounts'!B141)</f>
        <v/>
      </c>
      <c r="C141" s="25">
        <f>IF(A141="","",'Chart of Accounts'!C141)</f>
        <v/>
      </c>
      <c r="D141" s="25">
        <f>IF(A141="","",'Chart of Accounts'!D141)</f>
        <v/>
      </c>
      <c r="E141" s="26">
        <f>L141+O141+R141+U141+X141+AA141+AD141+AG141+AJ141</f>
        <v/>
      </c>
      <c r="F141" s="26">
        <f>M141+P141+S141+V141+Y141+AB141+AE141+AH141+AK141</f>
        <v/>
      </c>
      <c r="G141" s="26">
        <f>N141+Q141+T141+W141+Z141+AC141+AF141+AI141+AL141</f>
        <v/>
      </c>
      <c r="H141" s="26">
        <f>E141+F141-G141</f>
        <v/>
      </c>
      <c r="I141" s="26">
        <f>MAX(H141,0)</f>
        <v/>
      </c>
      <c r="J141" s="26">
        <f>MAX(-H141,0)</f>
        <v/>
      </c>
      <c r="L141" s="25">
        <f>IF($A141="",0,(SUMIFS('Direct Costs'!$R$5:$R$2005,'Direct Costs'!$V$5:$V$2005,$A141,'Direct Costs'!$A$5:$A$2005,"&lt;"&amp;ReportFrom)+SUMIFS('Direct Costs'!$S$5:$S$2005,'Direct Costs'!$Y$5:$Y$2005,$A141,'Direct Costs'!$A$5:$A$2005,"&lt;"&amp;ReportFrom))-(SUMIFS('Direct Costs'!$L$5:$L$2005,'Direct Costs'!$W$5:$W$2005,$A141,'Direct Costs'!$A$5:$A$2005,"&lt;"&amp;ReportFrom)+SUMIFS('Direct Costs'!$U$5:$U$2005,'Direct Costs'!$X$5:$X$2005,$A141,'Direct Costs'!$A$5:$A$2005,"&lt;"&amp;ReportFrom)+SUMIFS('Direct Costs'!$T$5:$T$2005,'Direct Costs'!$Z$5:$Z$2005,$A141,'Direct Costs'!$A$5:$A$2005,"&lt;"&amp;ReportFrom)))</f>
        <v/>
      </c>
      <c r="M141" s="25">
        <f>IF($A141="",0,SUMIFS('Direct Costs'!$R$5:$R$2005,'Direct Costs'!$V$5:$V$2005,$A141,'Direct Costs'!$A$5:$A$2005,"&gt;="&amp;ReportFrom,'Direct Costs'!$A$5:$A$2005,"&lt;="&amp;ReportTo)+SUMIFS('Direct Costs'!$S$5:$S$2005,'Direct Costs'!$Y$5:$Y$2005,$A141,'Direct Costs'!$A$5:$A$2005,"&gt;="&amp;ReportFrom,'Direct Costs'!$A$5:$A$2005,"&lt;="&amp;ReportTo))</f>
        <v/>
      </c>
      <c r="N141" s="25">
        <f>IF($A141="",0,SUMIFS('Direct Costs'!$L$5:$L$2005,'Direct Costs'!$W$5:$W$2005,$A141,'Direct Costs'!$A$5:$A$2005,"&gt;="&amp;ReportFrom,'Direct Costs'!$A$5:$A$2005,"&lt;="&amp;ReportTo)+SUMIFS('Direct Costs'!$U$5:$U$2005,'Direct Costs'!$X$5:$X$2005,$A141,'Direct Costs'!$A$5:$A$2005,"&gt;="&amp;ReportFrom,'Direct Costs'!$A$5:$A$2005,"&lt;="&amp;ReportTo)+SUMIFS('Direct Costs'!$T$5:$T$2005,'Direct Costs'!$Z$5:$Z$2005,$A141,'Direct Costs'!$A$5:$A$2005,"&gt;="&amp;ReportFrom,'Direct Costs'!$A$5:$A$2005,"&lt;="&amp;ReportTo))</f>
        <v/>
      </c>
      <c r="O141" s="25">
        <f>IF($A141="",0,(SUMIFS('Operating Expenses'!$F$5:$F$2005,'Operating Expenses'!$Q$5:$Q$2005,$A141,'Operating Expenses'!$A$5:$A$2005,"&lt;"&amp;ReportFrom)+SUMIFS('Operating Expenses'!$M$5:$M$2005,'Operating Expenses'!$T$5:$T$2005,$A141,'Operating Expenses'!$A$5:$A$2005,"&lt;"&amp;ReportFrom))-(SUMIFS('Operating Expenses'!$O$5:$O$2005,'Operating Expenses'!$R$5:$R$2005,$A141,'Operating Expenses'!$A$5:$A$2005,"&lt;"&amp;ReportFrom)+SUMIFS('Operating Expenses'!$P$5:$P$2005,'Operating Expenses'!$S$5:$S$2005,$A141,'Operating Expenses'!$A$5:$A$2005,"&lt;"&amp;ReportFrom)+SUMIFS('Operating Expenses'!$N$5:$N$2005,'Operating Expenses'!$U$5:$U$2005,$A141,'Operating Expenses'!$A$5:$A$2005,"&lt;"&amp;ReportFrom)))</f>
        <v/>
      </c>
      <c r="P141" s="25">
        <f>IF($A141="",0,SUMIFS('Operating Expenses'!$F$5:$F$2005,'Operating Expenses'!$Q$5:$Q$2005,$A141,'Operating Expenses'!$A$5:$A$2005,"&gt;="&amp;ReportFrom,'Operating Expenses'!$A$5:$A$2005,"&lt;="&amp;ReportTo)+SUMIFS('Operating Expenses'!$M$5:$M$2005,'Operating Expenses'!$T$5:$T$2005,$A141,'Operating Expenses'!$A$5:$A$2005,"&gt;="&amp;ReportFrom,'Operating Expenses'!$A$5:$A$2005,"&lt;="&amp;ReportTo))</f>
        <v/>
      </c>
      <c r="Q141" s="25">
        <f>IF($A141="",0,SUMIFS('Operating Expenses'!$O$5:$O$2005,'Operating Expenses'!$R$5:$R$2005,$A141,'Operating Expenses'!$A$5:$A$2005,"&gt;="&amp;ReportFrom,'Operating Expenses'!$A$5:$A$2005,"&lt;="&amp;ReportTo)+SUMIFS('Operating Expenses'!$P$5:$P$2005,'Operating Expenses'!$S$5:$S$2005,$A141,'Operating Expenses'!$A$5:$A$2005,"&gt;="&amp;ReportFrom,'Operating Expenses'!$A$5:$A$2005,"&lt;="&amp;ReportTo)+SUMIFS('Operating Expenses'!$N$5:$N$2005,'Operating Expenses'!$U$5:$U$2005,$A141,'Operating Expenses'!$A$5:$A$2005,"&gt;="&amp;ReportFrom,'Operating Expenses'!$A$5:$A$2005,"&lt;="&amp;ReportTo))</f>
        <v/>
      </c>
      <c r="R141" s="25">
        <f>IF($A141="",0,(SUMIFS('Payroll'!$O$5:$O$2005,'Payroll'!$Q$5:$Q$2005,$A141,'Payroll'!$A$5:$A$2005,"&lt;"&amp;ReportFrom))-(SUMIFS('Payroll'!$K$5:$K$2005,'Payroll'!$R$5:$R$2005,$A141,'Payroll'!$A$5:$A$2005,"&lt;"&amp;ReportFrom)+SUMIFS('Payroll'!$P$5:$P$2005,'Payroll'!$S$5:$S$2005,$A141,'Payroll'!$A$5:$A$2005,"&lt;"&amp;ReportFrom)))</f>
        <v/>
      </c>
      <c r="S141" s="25">
        <f>IF($A141="",0,SUMIFS('Payroll'!$O$5:$O$2005,'Payroll'!$Q$5:$Q$2005,$A141,'Payroll'!$A$5:$A$2005,"&gt;="&amp;ReportFrom,'Payroll'!$A$5:$A$2005,"&lt;="&amp;ReportTo))</f>
        <v/>
      </c>
      <c r="T141" s="25">
        <f>IF($A141="",0,SUMIFS('Payroll'!$K$5:$K$2005,'Payroll'!$R$5:$R$2005,$A141,'Payroll'!$A$5:$A$2005,"&gt;="&amp;ReportFrom,'Payroll'!$A$5:$A$2005,"&lt;="&amp;ReportTo)+SUMIFS('Payroll'!$P$5:$P$2005,'Payroll'!$S$5:$S$2005,$A141,'Payroll'!$A$5:$A$2005,"&gt;="&amp;ReportFrom,'Payroll'!$A$5:$A$2005,"&lt;="&amp;ReportTo))</f>
        <v/>
      </c>
      <c r="U141" s="25">
        <f>IF($A141="",0,(SUMIFS('Receipt Vouchers'!$F$5:$F$2005,'Receipt Vouchers'!$O$5:$O$2005,$A141,'Receipt Vouchers'!$A$5:$A$2005,"&lt;"&amp;ReportFrom)+SUMIFS('Receipt Vouchers'!$J$5:$J$2005,'Receipt Vouchers'!$Q$5:$Q$2005,$A141,'Receipt Vouchers'!$A$5:$A$2005,"&lt;"&amp;ReportFrom))-(SUMIFS('Receipt Vouchers'!$N$5:$N$2005,'Receipt Vouchers'!$P$5:$P$2005,$A141,'Receipt Vouchers'!$A$5:$A$2005,"&lt;"&amp;ReportFrom)+SUMIFS('Receipt Vouchers'!$M$5:$M$2005,'Receipt Vouchers'!$R$5:$R$2005,$A141,'Receipt Vouchers'!$A$5:$A$2005,"&lt;"&amp;ReportFrom)))</f>
        <v/>
      </c>
      <c r="V141" s="25">
        <f>IF($A141="",0,SUMIFS('Receipt Vouchers'!$F$5:$F$2005,'Receipt Vouchers'!$O$5:$O$2005,$A141,'Receipt Vouchers'!$A$5:$A$2005,"&gt;="&amp;ReportFrom,'Receipt Vouchers'!$A$5:$A$2005,"&lt;="&amp;ReportTo)+SUMIFS('Receipt Vouchers'!$J$5:$J$2005,'Receipt Vouchers'!$Q$5:$Q$2005,$A141,'Receipt Vouchers'!$A$5:$A$2005,"&gt;="&amp;ReportFrom,'Receipt Vouchers'!$A$5:$A$2005,"&lt;="&amp;ReportTo))</f>
        <v/>
      </c>
      <c r="W141" s="25">
        <f>IF($A141="",0,SUMIFS('Receipt Vouchers'!$N$5:$N$2005,'Receipt Vouchers'!$P$5:$P$2005,$A141,'Receipt Vouchers'!$A$5:$A$2005,"&gt;="&amp;ReportFrom,'Receipt Vouchers'!$A$5:$A$2005,"&lt;="&amp;ReportTo)+SUMIFS('Receipt Vouchers'!$M$5:$M$2005,'Receipt Vouchers'!$R$5:$R$2005,$A141,'Receipt Vouchers'!$A$5:$A$2005,"&gt;="&amp;ReportFrom,'Receipt Vouchers'!$A$5:$A$2005,"&lt;="&amp;ReportTo))</f>
        <v/>
      </c>
      <c r="X141" s="25">
        <f>IF($A141="",0,(SUMIFS('Sales Invoices'!$O$5:$O$2005,'Sales Invoices'!$P$5:$P$2005,$A141,'Sales Invoices'!$B$5:$B$2005,"&lt;"&amp;ReportFrom)+SUMIFS('Sales Invoices'!$N$5:$N$2005,'Sales Invoices'!$R$5:$R$2005,$A141,'Sales Invoices'!$B$5:$B$2005,"&lt;"&amp;ReportFrom))-(SUMIFS('Sales Invoices'!$L$5:$L$2005,'Sales Invoices'!$Q$5:$Q$2005,$A141,'Sales Invoices'!$B$5:$B$2005,"&lt;"&amp;ReportFrom)+SUMIFS('Sales Invoices'!$M$5:$M$2005,'Sales Invoices'!$S$5:$S$2005,$A141,'Sales Invoices'!$B$5:$B$2005,"&lt;"&amp;ReportFrom)))</f>
        <v/>
      </c>
      <c r="Y141" s="25">
        <f>IF($A141="",0,SUMIFS('Sales Invoices'!$O$5:$O$2005,'Sales Invoices'!$P$5:$P$2005,$A141,'Sales Invoices'!$B$5:$B$2005,"&gt;="&amp;ReportFrom,'Sales Invoices'!$B$5:$B$2005,"&lt;="&amp;ReportTo)+SUMIFS('Sales Invoices'!$N$5:$N$2005,'Sales Invoices'!$R$5:$R$2005,$A141,'Sales Invoices'!$B$5:$B$2005,"&gt;="&amp;ReportFrom,'Sales Invoices'!$B$5:$B$2005,"&lt;="&amp;ReportTo))</f>
        <v/>
      </c>
      <c r="Z141" s="25">
        <f>IF($A141="",0,SUMIFS('Sales Invoices'!$L$5:$L$2005,'Sales Invoices'!$Q$5:$Q$2005,$A141,'Sales Invoices'!$B$5:$B$2005,"&gt;="&amp;ReportFrom,'Sales Invoices'!$B$5:$B$2005,"&lt;="&amp;ReportTo)+SUMIFS('Sales Invoices'!$M$5:$M$2005,'Sales Invoices'!$S$5:$S$2005,$A141,'Sales Invoices'!$B$5:$B$2005,"&gt;="&amp;ReportFrom,'Sales Invoices'!$B$5:$B$2005,"&lt;="&amp;ReportTo))</f>
        <v/>
      </c>
      <c r="AA141" s="25">
        <f>IF($A141="",0,(SUMIFS('Payment Vouchers'!$D$5:$D$2005,'Payment Vouchers'!$J$5:$J$2005,$A141,'Payment Vouchers'!$A$5:$A$2005,"&lt;"&amp;ReportFrom))-(SUMIFS('Payment Vouchers'!$D$5:$D$2005,'Payment Vouchers'!$K$5:$K$2005,$A141,'Payment Vouchers'!$A$5:$A$2005,"&lt;"&amp;ReportFrom)))</f>
        <v/>
      </c>
      <c r="AB141" s="25">
        <f>IF($A141="",0,SUMIFS('Payment Vouchers'!$D$5:$D$2005,'Payment Vouchers'!$J$5:$J$2005,$A141,'Payment Vouchers'!$A$5:$A$2005,"&gt;="&amp;ReportFrom,'Payment Vouchers'!$A$5:$A$2005,"&lt;="&amp;ReportTo))</f>
        <v/>
      </c>
      <c r="AC141" s="25">
        <f>IF($A141="",0,SUMIFS('Payment Vouchers'!$D$5:$D$2005,'Payment Vouchers'!$K$5:$K$2005,$A141,'Payment Vouchers'!$A$5:$A$2005,"&gt;="&amp;ReportFrom,'Payment Vouchers'!$A$5:$A$2005,"&lt;="&amp;ReportTo))</f>
        <v/>
      </c>
      <c r="AD141" s="25">
        <f>IF($A141="",0,(SUMIFS('Partner Transactions'!$D$5:$D$2005,'Partner Transactions'!$L$5:$L$2005,$A141,'Partner Transactions'!$A$5:$A$2005,"&lt;"&amp;ReportFrom))-(SUMIFS('Partner Transactions'!$D$5:$D$2005,'Partner Transactions'!$M$5:$M$2005,$A141,'Partner Transactions'!$A$5:$A$2005,"&lt;"&amp;ReportFrom)))</f>
        <v/>
      </c>
      <c r="AE141" s="25">
        <f>IF($A141="",0,SUMIFS('Partner Transactions'!$D$5:$D$2005,'Partner Transactions'!$L$5:$L$2005,$A141,'Partner Transactions'!$A$5:$A$2005,"&gt;="&amp;ReportFrom,'Partner Transactions'!$A$5:$A$2005,"&lt;="&amp;ReportTo))</f>
        <v/>
      </c>
      <c r="AF141" s="25">
        <f>IF($A141="",0,SUMIFS('Partner Transactions'!$D$5:$D$2005,'Partner Transactions'!$M$5:$M$2005,$A141,'Partner Transactions'!$A$5:$A$2005,"&gt;="&amp;ReportFrom,'Partner Transactions'!$A$5:$A$2005,"&lt;="&amp;ReportTo))</f>
        <v/>
      </c>
      <c r="AG141" s="25">
        <f>IF($A141="",0,(SUMIFS('Stock Moves'!$S$5:$S$2005,'Stock Moves'!$AD$5:$AD$2005,$A141,'Stock Moves'!$A$5:$A$2005,"&lt;"&amp;ReportFrom)+SUMIFS('Stock Moves'!$T$5:$T$2005,'Stock Moves'!$V$5:$V$2005,$A141,'Stock Moves'!$A$5:$A$2005,"&lt;"&amp;ReportFrom))-(SUMIFS('Stock Moves'!$AF$5:$AF$2005,'Stock Moves'!$AE$5:$AE$2005,$A141,'Stock Moves'!$A$5:$A$2005,"&lt;"&amp;ReportFrom)+SUMIFS('Stock Moves'!$AC$5:$AC$2005,'Stock Moves'!$X$5:$X$2005,$A141,'Stock Moves'!$A$5:$A$2005,"&lt;"&amp;ReportFrom)+SUMIFS('Stock Moves'!$U$5:$U$2005,'Stock Moves'!$W$5:$W$2005,$A141,'Stock Moves'!$A$5:$A$2005,"&lt;"&amp;ReportFrom)))</f>
        <v/>
      </c>
      <c r="AH141" s="25">
        <f>IF($A141="",0,SUMIFS('Stock Moves'!$S$5:$S$2005,'Stock Moves'!$AD$5:$AD$2005,$A141,'Stock Moves'!$A$5:$A$2005,"&gt;="&amp;ReportFrom,'Stock Moves'!$A$5:$A$2005,"&lt;="&amp;ReportTo)+SUMIFS('Stock Moves'!$T$5:$T$2005,'Stock Moves'!$V$5:$V$2005,$A141,'Stock Moves'!$A$5:$A$2005,"&gt;="&amp;ReportFrom,'Stock Moves'!$A$5:$A$2005,"&lt;="&amp;ReportTo))</f>
        <v/>
      </c>
      <c r="AI141" s="25">
        <f>IF($A141="",0,SUMIFS('Stock Moves'!$AF$5:$AF$2005,'Stock Moves'!$AE$5:$AE$2005,$A141,'Stock Moves'!$A$5:$A$2005,"&gt;="&amp;ReportFrom,'Stock Moves'!$A$5:$A$2005,"&lt;="&amp;ReportTo)+SUMIFS('Stock Moves'!$AC$5:$AC$2005,'Stock Moves'!$X$5:$X$2005,$A141,'Stock Moves'!$A$5:$A$2005,"&gt;="&amp;ReportFrom,'Stock Moves'!$A$5:$A$2005,"&lt;="&amp;ReportTo)+SUMIFS('Stock Moves'!$U$5:$U$2005,'Stock Moves'!$W$5:$W$2005,$A141,'Stock Moves'!$A$5:$A$2005,"&gt;="&amp;ReportFrom,'Stock Moves'!$A$5:$A$2005,"&lt;="&amp;ReportTo))</f>
        <v/>
      </c>
      <c r="AJ141" s="25">
        <f>IF($A141="",0,(SUMIFS('Journal Vouchers'!$I$5:$I$2005,'Journal Vouchers'!$H$5:$H$2005,$A141,'Journal Vouchers'!$B$5:$B$2005,"&lt;"&amp;ReportFrom))-(SUMIFS('Journal Vouchers'!$J$5:$J$2005,'Journal Vouchers'!$H$5:$H$2005,$A141,'Journal Vouchers'!$B$5:$B$2005,"&lt;"&amp;ReportFrom)))</f>
        <v/>
      </c>
      <c r="AK141" s="25">
        <f>IF($A141="",0,SUMIFS('Journal Vouchers'!$I$5:$I$2005,'Journal Vouchers'!$H$5:$H$2005,$A141,'Journal Vouchers'!$B$5:$B$2005,"&gt;="&amp;ReportFrom,'Journal Vouchers'!$B$5:$B$2005,"&lt;="&amp;ReportTo))</f>
        <v/>
      </c>
      <c r="AL141" s="25">
        <f>IF($A141="",0,SUMIFS('Journal Vouchers'!$J$5:$J$2005,'Journal Vouchers'!$H$5:$H$2005,$A141,'Journal Vouchers'!$B$5:$B$2005,"&gt;="&amp;ReportFrom,'Journal Vouchers'!$B$5:$B$2005,"&lt;="&amp;ReportTo))</f>
        <v/>
      </c>
    </row>
    <row r="142">
      <c r="A142" s="25">
        <f>IF('Chart of Accounts'!A142="","",'Chart of Accounts'!A142&amp;"")</f>
        <v/>
      </c>
      <c r="B142" s="25">
        <f>IF(A142="","",'Chart of Accounts'!B142)</f>
        <v/>
      </c>
      <c r="C142" s="25">
        <f>IF(A142="","",'Chart of Accounts'!C142)</f>
        <v/>
      </c>
      <c r="D142" s="25">
        <f>IF(A142="","",'Chart of Accounts'!D142)</f>
        <v/>
      </c>
      <c r="E142" s="26">
        <f>L142+O142+R142+U142+X142+AA142+AD142+AG142+AJ142</f>
        <v/>
      </c>
      <c r="F142" s="26">
        <f>M142+P142+S142+V142+Y142+AB142+AE142+AH142+AK142</f>
        <v/>
      </c>
      <c r="G142" s="26">
        <f>N142+Q142+T142+W142+Z142+AC142+AF142+AI142+AL142</f>
        <v/>
      </c>
      <c r="H142" s="26">
        <f>E142+F142-G142</f>
        <v/>
      </c>
      <c r="I142" s="26">
        <f>MAX(H142,0)</f>
        <v/>
      </c>
      <c r="J142" s="26">
        <f>MAX(-H142,0)</f>
        <v/>
      </c>
      <c r="L142" s="25">
        <f>IF($A142="",0,(SUMIFS('Direct Costs'!$R$5:$R$2005,'Direct Costs'!$V$5:$V$2005,$A142,'Direct Costs'!$A$5:$A$2005,"&lt;"&amp;ReportFrom)+SUMIFS('Direct Costs'!$S$5:$S$2005,'Direct Costs'!$Y$5:$Y$2005,$A142,'Direct Costs'!$A$5:$A$2005,"&lt;"&amp;ReportFrom))-(SUMIFS('Direct Costs'!$L$5:$L$2005,'Direct Costs'!$W$5:$W$2005,$A142,'Direct Costs'!$A$5:$A$2005,"&lt;"&amp;ReportFrom)+SUMIFS('Direct Costs'!$U$5:$U$2005,'Direct Costs'!$X$5:$X$2005,$A142,'Direct Costs'!$A$5:$A$2005,"&lt;"&amp;ReportFrom)+SUMIFS('Direct Costs'!$T$5:$T$2005,'Direct Costs'!$Z$5:$Z$2005,$A142,'Direct Costs'!$A$5:$A$2005,"&lt;"&amp;ReportFrom)))</f>
        <v/>
      </c>
      <c r="M142" s="25">
        <f>IF($A142="",0,SUMIFS('Direct Costs'!$R$5:$R$2005,'Direct Costs'!$V$5:$V$2005,$A142,'Direct Costs'!$A$5:$A$2005,"&gt;="&amp;ReportFrom,'Direct Costs'!$A$5:$A$2005,"&lt;="&amp;ReportTo)+SUMIFS('Direct Costs'!$S$5:$S$2005,'Direct Costs'!$Y$5:$Y$2005,$A142,'Direct Costs'!$A$5:$A$2005,"&gt;="&amp;ReportFrom,'Direct Costs'!$A$5:$A$2005,"&lt;="&amp;ReportTo))</f>
        <v/>
      </c>
      <c r="N142" s="25">
        <f>IF($A142="",0,SUMIFS('Direct Costs'!$L$5:$L$2005,'Direct Costs'!$W$5:$W$2005,$A142,'Direct Costs'!$A$5:$A$2005,"&gt;="&amp;ReportFrom,'Direct Costs'!$A$5:$A$2005,"&lt;="&amp;ReportTo)+SUMIFS('Direct Costs'!$U$5:$U$2005,'Direct Costs'!$X$5:$X$2005,$A142,'Direct Costs'!$A$5:$A$2005,"&gt;="&amp;ReportFrom,'Direct Costs'!$A$5:$A$2005,"&lt;="&amp;ReportTo)+SUMIFS('Direct Costs'!$T$5:$T$2005,'Direct Costs'!$Z$5:$Z$2005,$A142,'Direct Costs'!$A$5:$A$2005,"&gt;="&amp;ReportFrom,'Direct Costs'!$A$5:$A$2005,"&lt;="&amp;ReportTo))</f>
        <v/>
      </c>
      <c r="O142" s="25">
        <f>IF($A142="",0,(SUMIFS('Operating Expenses'!$F$5:$F$2005,'Operating Expenses'!$Q$5:$Q$2005,$A142,'Operating Expenses'!$A$5:$A$2005,"&lt;"&amp;ReportFrom)+SUMIFS('Operating Expenses'!$M$5:$M$2005,'Operating Expenses'!$T$5:$T$2005,$A142,'Operating Expenses'!$A$5:$A$2005,"&lt;"&amp;ReportFrom))-(SUMIFS('Operating Expenses'!$O$5:$O$2005,'Operating Expenses'!$R$5:$R$2005,$A142,'Operating Expenses'!$A$5:$A$2005,"&lt;"&amp;ReportFrom)+SUMIFS('Operating Expenses'!$P$5:$P$2005,'Operating Expenses'!$S$5:$S$2005,$A142,'Operating Expenses'!$A$5:$A$2005,"&lt;"&amp;ReportFrom)+SUMIFS('Operating Expenses'!$N$5:$N$2005,'Operating Expenses'!$U$5:$U$2005,$A142,'Operating Expenses'!$A$5:$A$2005,"&lt;"&amp;ReportFrom)))</f>
        <v/>
      </c>
      <c r="P142" s="25">
        <f>IF($A142="",0,SUMIFS('Operating Expenses'!$F$5:$F$2005,'Operating Expenses'!$Q$5:$Q$2005,$A142,'Operating Expenses'!$A$5:$A$2005,"&gt;="&amp;ReportFrom,'Operating Expenses'!$A$5:$A$2005,"&lt;="&amp;ReportTo)+SUMIFS('Operating Expenses'!$M$5:$M$2005,'Operating Expenses'!$T$5:$T$2005,$A142,'Operating Expenses'!$A$5:$A$2005,"&gt;="&amp;ReportFrom,'Operating Expenses'!$A$5:$A$2005,"&lt;="&amp;ReportTo))</f>
        <v/>
      </c>
      <c r="Q142" s="25">
        <f>IF($A142="",0,SUMIFS('Operating Expenses'!$O$5:$O$2005,'Operating Expenses'!$R$5:$R$2005,$A142,'Operating Expenses'!$A$5:$A$2005,"&gt;="&amp;ReportFrom,'Operating Expenses'!$A$5:$A$2005,"&lt;="&amp;ReportTo)+SUMIFS('Operating Expenses'!$P$5:$P$2005,'Operating Expenses'!$S$5:$S$2005,$A142,'Operating Expenses'!$A$5:$A$2005,"&gt;="&amp;ReportFrom,'Operating Expenses'!$A$5:$A$2005,"&lt;="&amp;ReportTo)+SUMIFS('Operating Expenses'!$N$5:$N$2005,'Operating Expenses'!$U$5:$U$2005,$A142,'Operating Expenses'!$A$5:$A$2005,"&gt;="&amp;ReportFrom,'Operating Expenses'!$A$5:$A$2005,"&lt;="&amp;ReportTo))</f>
        <v/>
      </c>
      <c r="R142" s="25">
        <f>IF($A142="",0,(SUMIFS('Payroll'!$O$5:$O$2005,'Payroll'!$Q$5:$Q$2005,$A142,'Payroll'!$A$5:$A$2005,"&lt;"&amp;ReportFrom))-(SUMIFS('Payroll'!$K$5:$K$2005,'Payroll'!$R$5:$R$2005,$A142,'Payroll'!$A$5:$A$2005,"&lt;"&amp;ReportFrom)+SUMIFS('Payroll'!$P$5:$P$2005,'Payroll'!$S$5:$S$2005,$A142,'Payroll'!$A$5:$A$2005,"&lt;"&amp;ReportFrom)))</f>
        <v/>
      </c>
      <c r="S142" s="25">
        <f>IF($A142="",0,SUMIFS('Payroll'!$O$5:$O$2005,'Payroll'!$Q$5:$Q$2005,$A142,'Payroll'!$A$5:$A$2005,"&gt;="&amp;ReportFrom,'Payroll'!$A$5:$A$2005,"&lt;="&amp;ReportTo))</f>
        <v/>
      </c>
      <c r="T142" s="25">
        <f>IF($A142="",0,SUMIFS('Payroll'!$K$5:$K$2005,'Payroll'!$R$5:$R$2005,$A142,'Payroll'!$A$5:$A$2005,"&gt;="&amp;ReportFrom,'Payroll'!$A$5:$A$2005,"&lt;="&amp;ReportTo)+SUMIFS('Payroll'!$P$5:$P$2005,'Payroll'!$S$5:$S$2005,$A142,'Payroll'!$A$5:$A$2005,"&gt;="&amp;ReportFrom,'Payroll'!$A$5:$A$2005,"&lt;="&amp;ReportTo))</f>
        <v/>
      </c>
      <c r="U142" s="25">
        <f>IF($A142="",0,(SUMIFS('Receipt Vouchers'!$F$5:$F$2005,'Receipt Vouchers'!$O$5:$O$2005,$A142,'Receipt Vouchers'!$A$5:$A$2005,"&lt;"&amp;ReportFrom)+SUMIFS('Receipt Vouchers'!$J$5:$J$2005,'Receipt Vouchers'!$Q$5:$Q$2005,$A142,'Receipt Vouchers'!$A$5:$A$2005,"&lt;"&amp;ReportFrom))-(SUMIFS('Receipt Vouchers'!$N$5:$N$2005,'Receipt Vouchers'!$P$5:$P$2005,$A142,'Receipt Vouchers'!$A$5:$A$2005,"&lt;"&amp;ReportFrom)+SUMIFS('Receipt Vouchers'!$M$5:$M$2005,'Receipt Vouchers'!$R$5:$R$2005,$A142,'Receipt Vouchers'!$A$5:$A$2005,"&lt;"&amp;ReportFrom)))</f>
        <v/>
      </c>
      <c r="V142" s="25">
        <f>IF($A142="",0,SUMIFS('Receipt Vouchers'!$F$5:$F$2005,'Receipt Vouchers'!$O$5:$O$2005,$A142,'Receipt Vouchers'!$A$5:$A$2005,"&gt;="&amp;ReportFrom,'Receipt Vouchers'!$A$5:$A$2005,"&lt;="&amp;ReportTo)+SUMIFS('Receipt Vouchers'!$J$5:$J$2005,'Receipt Vouchers'!$Q$5:$Q$2005,$A142,'Receipt Vouchers'!$A$5:$A$2005,"&gt;="&amp;ReportFrom,'Receipt Vouchers'!$A$5:$A$2005,"&lt;="&amp;ReportTo))</f>
        <v/>
      </c>
      <c r="W142" s="25">
        <f>IF($A142="",0,SUMIFS('Receipt Vouchers'!$N$5:$N$2005,'Receipt Vouchers'!$P$5:$P$2005,$A142,'Receipt Vouchers'!$A$5:$A$2005,"&gt;="&amp;ReportFrom,'Receipt Vouchers'!$A$5:$A$2005,"&lt;="&amp;ReportTo)+SUMIFS('Receipt Vouchers'!$M$5:$M$2005,'Receipt Vouchers'!$R$5:$R$2005,$A142,'Receipt Vouchers'!$A$5:$A$2005,"&gt;="&amp;ReportFrom,'Receipt Vouchers'!$A$5:$A$2005,"&lt;="&amp;ReportTo))</f>
        <v/>
      </c>
      <c r="X142" s="25">
        <f>IF($A142="",0,(SUMIFS('Sales Invoices'!$O$5:$O$2005,'Sales Invoices'!$P$5:$P$2005,$A142,'Sales Invoices'!$B$5:$B$2005,"&lt;"&amp;ReportFrom)+SUMIFS('Sales Invoices'!$N$5:$N$2005,'Sales Invoices'!$R$5:$R$2005,$A142,'Sales Invoices'!$B$5:$B$2005,"&lt;"&amp;ReportFrom))-(SUMIFS('Sales Invoices'!$L$5:$L$2005,'Sales Invoices'!$Q$5:$Q$2005,$A142,'Sales Invoices'!$B$5:$B$2005,"&lt;"&amp;ReportFrom)+SUMIFS('Sales Invoices'!$M$5:$M$2005,'Sales Invoices'!$S$5:$S$2005,$A142,'Sales Invoices'!$B$5:$B$2005,"&lt;"&amp;ReportFrom)))</f>
        <v/>
      </c>
      <c r="Y142" s="25">
        <f>IF($A142="",0,SUMIFS('Sales Invoices'!$O$5:$O$2005,'Sales Invoices'!$P$5:$P$2005,$A142,'Sales Invoices'!$B$5:$B$2005,"&gt;="&amp;ReportFrom,'Sales Invoices'!$B$5:$B$2005,"&lt;="&amp;ReportTo)+SUMIFS('Sales Invoices'!$N$5:$N$2005,'Sales Invoices'!$R$5:$R$2005,$A142,'Sales Invoices'!$B$5:$B$2005,"&gt;="&amp;ReportFrom,'Sales Invoices'!$B$5:$B$2005,"&lt;="&amp;ReportTo))</f>
        <v/>
      </c>
      <c r="Z142" s="25">
        <f>IF($A142="",0,SUMIFS('Sales Invoices'!$L$5:$L$2005,'Sales Invoices'!$Q$5:$Q$2005,$A142,'Sales Invoices'!$B$5:$B$2005,"&gt;="&amp;ReportFrom,'Sales Invoices'!$B$5:$B$2005,"&lt;="&amp;ReportTo)+SUMIFS('Sales Invoices'!$M$5:$M$2005,'Sales Invoices'!$S$5:$S$2005,$A142,'Sales Invoices'!$B$5:$B$2005,"&gt;="&amp;ReportFrom,'Sales Invoices'!$B$5:$B$2005,"&lt;="&amp;ReportTo))</f>
        <v/>
      </c>
      <c r="AA142" s="25">
        <f>IF($A142="",0,(SUMIFS('Payment Vouchers'!$D$5:$D$2005,'Payment Vouchers'!$J$5:$J$2005,$A142,'Payment Vouchers'!$A$5:$A$2005,"&lt;"&amp;ReportFrom))-(SUMIFS('Payment Vouchers'!$D$5:$D$2005,'Payment Vouchers'!$K$5:$K$2005,$A142,'Payment Vouchers'!$A$5:$A$2005,"&lt;"&amp;ReportFrom)))</f>
        <v/>
      </c>
      <c r="AB142" s="25">
        <f>IF($A142="",0,SUMIFS('Payment Vouchers'!$D$5:$D$2005,'Payment Vouchers'!$J$5:$J$2005,$A142,'Payment Vouchers'!$A$5:$A$2005,"&gt;="&amp;ReportFrom,'Payment Vouchers'!$A$5:$A$2005,"&lt;="&amp;ReportTo))</f>
        <v/>
      </c>
      <c r="AC142" s="25">
        <f>IF($A142="",0,SUMIFS('Payment Vouchers'!$D$5:$D$2005,'Payment Vouchers'!$K$5:$K$2005,$A142,'Payment Vouchers'!$A$5:$A$2005,"&gt;="&amp;ReportFrom,'Payment Vouchers'!$A$5:$A$2005,"&lt;="&amp;ReportTo))</f>
        <v/>
      </c>
      <c r="AD142" s="25">
        <f>IF($A142="",0,(SUMIFS('Partner Transactions'!$D$5:$D$2005,'Partner Transactions'!$L$5:$L$2005,$A142,'Partner Transactions'!$A$5:$A$2005,"&lt;"&amp;ReportFrom))-(SUMIFS('Partner Transactions'!$D$5:$D$2005,'Partner Transactions'!$M$5:$M$2005,$A142,'Partner Transactions'!$A$5:$A$2005,"&lt;"&amp;ReportFrom)))</f>
        <v/>
      </c>
      <c r="AE142" s="25">
        <f>IF($A142="",0,SUMIFS('Partner Transactions'!$D$5:$D$2005,'Partner Transactions'!$L$5:$L$2005,$A142,'Partner Transactions'!$A$5:$A$2005,"&gt;="&amp;ReportFrom,'Partner Transactions'!$A$5:$A$2005,"&lt;="&amp;ReportTo))</f>
        <v/>
      </c>
      <c r="AF142" s="25">
        <f>IF($A142="",0,SUMIFS('Partner Transactions'!$D$5:$D$2005,'Partner Transactions'!$M$5:$M$2005,$A142,'Partner Transactions'!$A$5:$A$2005,"&gt;="&amp;ReportFrom,'Partner Transactions'!$A$5:$A$2005,"&lt;="&amp;ReportTo))</f>
        <v/>
      </c>
      <c r="AG142" s="25">
        <f>IF($A142="",0,(SUMIFS('Stock Moves'!$S$5:$S$2005,'Stock Moves'!$AD$5:$AD$2005,$A142,'Stock Moves'!$A$5:$A$2005,"&lt;"&amp;ReportFrom)+SUMIFS('Stock Moves'!$T$5:$T$2005,'Stock Moves'!$V$5:$V$2005,$A142,'Stock Moves'!$A$5:$A$2005,"&lt;"&amp;ReportFrom))-(SUMIFS('Stock Moves'!$AF$5:$AF$2005,'Stock Moves'!$AE$5:$AE$2005,$A142,'Stock Moves'!$A$5:$A$2005,"&lt;"&amp;ReportFrom)+SUMIFS('Stock Moves'!$AC$5:$AC$2005,'Stock Moves'!$X$5:$X$2005,$A142,'Stock Moves'!$A$5:$A$2005,"&lt;"&amp;ReportFrom)+SUMIFS('Stock Moves'!$U$5:$U$2005,'Stock Moves'!$W$5:$W$2005,$A142,'Stock Moves'!$A$5:$A$2005,"&lt;"&amp;ReportFrom)))</f>
        <v/>
      </c>
      <c r="AH142" s="25">
        <f>IF($A142="",0,SUMIFS('Stock Moves'!$S$5:$S$2005,'Stock Moves'!$AD$5:$AD$2005,$A142,'Stock Moves'!$A$5:$A$2005,"&gt;="&amp;ReportFrom,'Stock Moves'!$A$5:$A$2005,"&lt;="&amp;ReportTo)+SUMIFS('Stock Moves'!$T$5:$T$2005,'Stock Moves'!$V$5:$V$2005,$A142,'Stock Moves'!$A$5:$A$2005,"&gt;="&amp;ReportFrom,'Stock Moves'!$A$5:$A$2005,"&lt;="&amp;ReportTo))</f>
        <v/>
      </c>
      <c r="AI142" s="25">
        <f>IF($A142="",0,SUMIFS('Stock Moves'!$AF$5:$AF$2005,'Stock Moves'!$AE$5:$AE$2005,$A142,'Stock Moves'!$A$5:$A$2005,"&gt;="&amp;ReportFrom,'Stock Moves'!$A$5:$A$2005,"&lt;="&amp;ReportTo)+SUMIFS('Stock Moves'!$AC$5:$AC$2005,'Stock Moves'!$X$5:$X$2005,$A142,'Stock Moves'!$A$5:$A$2005,"&gt;="&amp;ReportFrom,'Stock Moves'!$A$5:$A$2005,"&lt;="&amp;ReportTo)+SUMIFS('Stock Moves'!$U$5:$U$2005,'Stock Moves'!$W$5:$W$2005,$A142,'Stock Moves'!$A$5:$A$2005,"&gt;="&amp;ReportFrom,'Stock Moves'!$A$5:$A$2005,"&lt;="&amp;ReportTo))</f>
        <v/>
      </c>
      <c r="AJ142" s="25">
        <f>IF($A142="",0,(SUMIFS('Journal Vouchers'!$I$5:$I$2005,'Journal Vouchers'!$H$5:$H$2005,$A142,'Journal Vouchers'!$B$5:$B$2005,"&lt;"&amp;ReportFrom))-(SUMIFS('Journal Vouchers'!$J$5:$J$2005,'Journal Vouchers'!$H$5:$H$2005,$A142,'Journal Vouchers'!$B$5:$B$2005,"&lt;"&amp;ReportFrom)))</f>
        <v/>
      </c>
      <c r="AK142" s="25">
        <f>IF($A142="",0,SUMIFS('Journal Vouchers'!$I$5:$I$2005,'Journal Vouchers'!$H$5:$H$2005,$A142,'Journal Vouchers'!$B$5:$B$2005,"&gt;="&amp;ReportFrom,'Journal Vouchers'!$B$5:$B$2005,"&lt;="&amp;ReportTo))</f>
        <v/>
      </c>
      <c r="AL142" s="25">
        <f>IF($A142="",0,SUMIFS('Journal Vouchers'!$J$5:$J$2005,'Journal Vouchers'!$H$5:$H$2005,$A142,'Journal Vouchers'!$B$5:$B$2005,"&gt;="&amp;ReportFrom,'Journal Vouchers'!$B$5:$B$2005,"&lt;="&amp;ReportTo))</f>
        <v/>
      </c>
    </row>
    <row r="143">
      <c r="A143" s="25">
        <f>IF('Chart of Accounts'!A143="","",'Chart of Accounts'!A143&amp;"")</f>
        <v/>
      </c>
      <c r="B143" s="25">
        <f>IF(A143="","",'Chart of Accounts'!B143)</f>
        <v/>
      </c>
      <c r="C143" s="25">
        <f>IF(A143="","",'Chart of Accounts'!C143)</f>
        <v/>
      </c>
      <c r="D143" s="25">
        <f>IF(A143="","",'Chart of Accounts'!D143)</f>
        <v/>
      </c>
      <c r="E143" s="26">
        <f>L143+O143+R143+U143+X143+AA143+AD143+AG143+AJ143</f>
        <v/>
      </c>
      <c r="F143" s="26">
        <f>M143+P143+S143+V143+Y143+AB143+AE143+AH143+AK143</f>
        <v/>
      </c>
      <c r="G143" s="26">
        <f>N143+Q143+T143+W143+Z143+AC143+AF143+AI143+AL143</f>
        <v/>
      </c>
      <c r="H143" s="26">
        <f>E143+F143-G143</f>
        <v/>
      </c>
      <c r="I143" s="26">
        <f>MAX(H143,0)</f>
        <v/>
      </c>
      <c r="J143" s="26">
        <f>MAX(-H143,0)</f>
        <v/>
      </c>
      <c r="L143" s="25">
        <f>IF($A143="",0,(SUMIFS('Direct Costs'!$R$5:$R$2005,'Direct Costs'!$V$5:$V$2005,$A143,'Direct Costs'!$A$5:$A$2005,"&lt;"&amp;ReportFrom)+SUMIFS('Direct Costs'!$S$5:$S$2005,'Direct Costs'!$Y$5:$Y$2005,$A143,'Direct Costs'!$A$5:$A$2005,"&lt;"&amp;ReportFrom))-(SUMIFS('Direct Costs'!$L$5:$L$2005,'Direct Costs'!$W$5:$W$2005,$A143,'Direct Costs'!$A$5:$A$2005,"&lt;"&amp;ReportFrom)+SUMIFS('Direct Costs'!$U$5:$U$2005,'Direct Costs'!$X$5:$X$2005,$A143,'Direct Costs'!$A$5:$A$2005,"&lt;"&amp;ReportFrom)+SUMIFS('Direct Costs'!$T$5:$T$2005,'Direct Costs'!$Z$5:$Z$2005,$A143,'Direct Costs'!$A$5:$A$2005,"&lt;"&amp;ReportFrom)))</f>
        <v/>
      </c>
      <c r="M143" s="25">
        <f>IF($A143="",0,SUMIFS('Direct Costs'!$R$5:$R$2005,'Direct Costs'!$V$5:$V$2005,$A143,'Direct Costs'!$A$5:$A$2005,"&gt;="&amp;ReportFrom,'Direct Costs'!$A$5:$A$2005,"&lt;="&amp;ReportTo)+SUMIFS('Direct Costs'!$S$5:$S$2005,'Direct Costs'!$Y$5:$Y$2005,$A143,'Direct Costs'!$A$5:$A$2005,"&gt;="&amp;ReportFrom,'Direct Costs'!$A$5:$A$2005,"&lt;="&amp;ReportTo))</f>
        <v/>
      </c>
      <c r="N143" s="25">
        <f>IF($A143="",0,SUMIFS('Direct Costs'!$L$5:$L$2005,'Direct Costs'!$W$5:$W$2005,$A143,'Direct Costs'!$A$5:$A$2005,"&gt;="&amp;ReportFrom,'Direct Costs'!$A$5:$A$2005,"&lt;="&amp;ReportTo)+SUMIFS('Direct Costs'!$U$5:$U$2005,'Direct Costs'!$X$5:$X$2005,$A143,'Direct Costs'!$A$5:$A$2005,"&gt;="&amp;ReportFrom,'Direct Costs'!$A$5:$A$2005,"&lt;="&amp;ReportTo)+SUMIFS('Direct Costs'!$T$5:$T$2005,'Direct Costs'!$Z$5:$Z$2005,$A143,'Direct Costs'!$A$5:$A$2005,"&gt;="&amp;ReportFrom,'Direct Costs'!$A$5:$A$2005,"&lt;="&amp;ReportTo))</f>
        <v/>
      </c>
      <c r="O143" s="25">
        <f>IF($A143="",0,(SUMIFS('Operating Expenses'!$F$5:$F$2005,'Operating Expenses'!$Q$5:$Q$2005,$A143,'Operating Expenses'!$A$5:$A$2005,"&lt;"&amp;ReportFrom)+SUMIFS('Operating Expenses'!$M$5:$M$2005,'Operating Expenses'!$T$5:$T$2005,$A143,'Operating Expenses'!$A$5:$A$2005,"&lt;"&amp;ReportFrom))-(SUMIFS('Operating Expenses'!$O$5:$O$2005,'Operating Expenses'!$R$5:$R$2005,$A143,'Operating Expenses'!$A$5:$A$2005,"&lt;"&amp;ReportFrom)+SUMIFS('Operating Expenses'!$P$5:$P$2005,'Operating Expenses'!$S$5:$S$2005,$A143,'Operating Expenses'!$A$5:$A$2005,"&lt;"&amp;ReportFrom)+SUMIFS('Operating Expenses'!$N$5:$N$2005,'Operating Expenses'!$U$5:$U$2005,$A143,'Operating Expenses'!$A$5:$A$2005,"&lt;"&amp;ReportFrom)))</f>
        <v/>
      </c>
      <c r="P143" s="25">
        <f>IF($A143="",0,SUMIFS('Operating Expenses'!$F$5:$F$2005,'Operating Expenses'!$Q$5:$Q$2005,$A143,'Operating Expenses'!$A$5:$A$2005,"&gt;="&amp;ReportFrom,'Operating Expenses'!$A$5:$A$2005,"&lt;="&amp;ReportTo)+SUMIFS('Operating Expenses'!$M$5:$M$2005,'Operating Expenses'!$T$5:$T$2005,$A143,'Operating Expenses'!$A$5:$A$2005,"&gt;="&amp;ReportFrom,'Operating Expenses'!$A$5:$A$2005,"&lt;="&amp;ReportTo))</f>
        <v/>
      </c>
      <c r="Q143" s="25">
        <f>IF($A143="",0,SUMIFS('Operating Expenses'!$O$5:$O$2005,'Operating Expenses'!$R$5:$R$2005,$A143,'Operating Expenses'!$A$5:$A$2005,"&gt;="&amp;ReportFrom,'Operating Expenses'!$A$5:$A$2005,"&lt;="&amp;ReportTo)+SUMIFS('Operating Expenses'!$P$5:$P$2005,'Operating Expenses'!$S$5:$S$2005,$A143,'Operating Expenses'!$A$5:$A$2005,"&gt;="&amp;ReportFrom,'Operating Expenses'!$A$5:$A$2005,"&lt;="&amp;ReportTo)+SUMIFS('Operating Expenses'!$N$5:$N$2005,'Operating Expenses'!$U$5:$U$2005,$A143,'Operating Expenses'!$A$5:$A$2005,"&gt;="&amp;ReportFrom,'Operating Expenses'!$A$5:$A$2005,"&lt;="&amp;ReportTo))</f>
        <v/>
      </c>
      <c r="R143" s="25">
        <f>IF($A143="",0,(SUMIFS('Payroll'!$O$5:$O$2005,'Payroll'!$Q$5:$Q$2005,$A143,'Payroll'!$A$5:$A$2005,"&lt;"&amp;ReportFrom))-(SUMIFS('Payroll'!$K$5:$K$2005,'Payroll'!$R$5:$R$2005,$A143,'Payroll'!$A$5:$A$2005,"&lt;"&amp;ReportFrom)+SUMIFS('Payroll'!$P$5:$P$2005,'Payroll'!$S$5:$S$2005,$A143,'Payroll'!$A$5:$A$2005,"&lt;"&amp;ReportFrom)))</f>
        <v/>
      </c>
      <c r="S143" s="25">
        <f>IF($A143="",0,SUMIFS('Payroll'!$O$5:$O$2005,'Payroll'!$Q$5:$Q$2005,$A143,'Payroll'!$A$5:$A$2005,"&gt;="&amp;ReportFrom,'Payroll'!$A$5:$A$2005,"&lt;="&amp;ReportTo))</f>
        <v/>
      </c>
      <c r="T143" s="25">
        <f>IF($A143="",0,SUMIFS('Payroll'!$K$5:$K$2005,'Payroll'!$R$5:$R$2005,$A143,'Payroll'!$A$5:$A$2005,"&gt;="&amp;ReportFrom,'Payroll'!$A$5:$A$2005,"&lt;="&amp;ReportTo)+SUMIFS('Payroll'!$P$5:$P$2005,'Payroll'!$S$5:$S$2005,$A143,'Payroll'!$A$5:$A$2005,"&gt;="&amp;ReportFrom,'Payroll'!$A$5:$A$2005,"&lt;="&amp;ReportTo))</f>
        <v/>
      </c>
      <c r="U143" s="25">
        <f>IF($A143="",0,(SUMIFS('Receipt Vouchers'!$F$5:$F$2005,'Receipt Vouchers'!$O$5:$O$2005,$A143,'Receipt Vouchers'!$A$5:$A$2005,"&lt;"&amp;ReportFrom)+SUMIFS('Receipt Vouchers'!$J$5:$J$2005,'Receipt Vouchers'!$Q$5:$Q$2005,$A143,'Receipt Vouchers'!$A$5:$A$2005,"&lt;"&amp;ReportFrom))-(SUMIFS('Receipt Vouchers'!$N$5:$N$2005,'Receipt Vouchers'!$P$5:$P$2005,$A143,'Receipt Vouchers'!$A$5:$A$2005,"&lt;"&amp;ReportFrom)+SUMIFS('Receipt Vouchers'!$M$5:$M$2005,'Receipt Vouchers'!$R$5:$R$2005,$A143,'Receipt Vouchers'!$A$5:$A$2005,"&lt;"&amp;ReportFrom)))</f>
        <v/>
      </c>
      <c r="V143" s="25">
        <f>IF($A143="",0,SUMIFS('Receipt Vouchers'!$F$5:$F$2005,'Receipt Vouchers'!$O$5:$O$2005,$A143,'Receipt Vouchers'!$A$5:$A$2005,"&gt;="&amp;ReportFrom,'Receipt Vouchers'!$A$5:$A$2005,"&lt;="&amp;ReportTo)+SUMIFS('Receipt Vouchers'!$J$5:$J$2005,'Receipt Vouchers'!$Q$5:$Q$2005,$A143,'Receipt Vouchers'!$A$5:$A$2005,"&gt;="&amp;ReportFrom,'Receipt Vouchers'!$A$5:$A$2005,"&lt;="&amp;ReportTo))</f>
        <v/>
      </c>
      <c r="W143" s="25">
        <f>IF($A143="",0,SUMIFS('Receipt Vouchers'!$N$5:$N$2005,'Receipt Vouchers'!$P$5:$P$2005,$A143,'Receipt Vouchers'!$A$5:$A$2005,"&gt;="&amp;ReportFrom,'Receipt Vouchers'!$A$5:$A$2005,"&lt;="&amp;ReportTo)+SUMIFS('Receipt Vouchers'!$M$5:$M$2005,'Receipt Vouchers'!$R$5:$R$2005,$A143,'Receipt Vouchers'!$A$5:$A$2005,"&gt;="&amp;ReportFrom,'Receipt Vouchers'!$A$5:$A$2005,"&lt;="&amp;ReportTo))</f>
        <v/>
      </c>
      <c r="X143" s="25">
        <f>IF($A143="",0,(SUMIFS('Sales Invoices'!$O$5:$O$2005,'Sales Invoices'!$P$5:$P$2005,$A143,'Sales Invoices'!$B$5:$B$2005,"&lt;"&amp;ReportFrom)+SUMIFS('Sales Invoices'!$N$5:$N$2005,'Sales Invoices'!$R$5:$R$2005,$A143,'Sales Invoices'!$B$5:$B$2005,"&lt;"&amp;ReportFrom))-(SUMIFS('Sales Invoices'!$L$5:$L$2005,'Sales Invoices'!$Q$5:$Q$2005,$A143,'Sales Invoices'!$B$5:$B$2005,"&lt;"&amp;ReportFrom)+SUMIFS('Sales Invoices'!$M$5:$M$2005,'Sales Invoices'!$S$5:$S$2005,$A143,'Sales Invoices'!$B$5:$B$2005,"&lt;"&amp;ReportFrom)))</f>
        <v/>
      </c>
      <c r="Y143" s="25">
        <f>IF($A143="",0,SUMIFS('Sales Invoices'!$O$5:$O$2005,'Sales Invoices'!$P$5:$P$2005,$A143,'Sales Invoices'!$B$5:$B$2005,"&gt;="&amp;ReportFrom,'Sales Invoices'!$B$5:$B$2005,"&lt;="&amp;ReportTo)+SUMIFS('Sales Invoices'!$N$5:$N$2005,'Sales Invoices'!$R$5:$R$2005,$A143,'Sales Invoices'!$B$5:$B$2005,"&gt;="&amp;ReportFrom,'Sales Invoices'!$B$5:$B$2005,"&lt;="&amp;ReportTo))</f>
        <v/>
      </c>
      <c r="Z143" s="25">
        <f>IF($A143="",0,SUMIFS('Sales Invoices'!$L$5:$L$2005,'Sales Invoices'!$Q$5:$Q$2005,$A143,'Sales Invoices'!$B$5:$B$2005,"&gt;="&amp;ReportFrom,'Sales Invoices'!$B$5:$B$2005,"&lt;="&amp;ReportTo)+SUMIFS('Sales Invoices'!$M$5:$M$2005,'Sales Invoices'!$S$5:$S$2005,$A143,'Sales Invoices'!$B$5:$B$2005,"&gt;="&amp;ReportFrom,'Sales Invoices'!$B$5:$B$2005,"&lt;="&amp;ReportTo))</f>
        <v/>
      </c>
      <c r="AA143" s="25">
        <f>IF($A143="",0,(SUMIFS('Payment Vouchers'!$D$5:$D$2005,'Payment Vouchers'!$J$5:$J$2005,$A143,'Payment Vouchers'!$A$5:$A$2005,"&lt;"&amp;ReportFrom))-(SUMIFS('Payment Vouchers'!$D$5:$D$2005,'Payment Vouchers'!$K$5:$K$2005,$A143,'Payment Vouchers'!$A$5:$A$2005,"&lt;"&amp;ReportFrom)))</f>
        <v/>
      </c>
      <c r="AB143" s="25">
        <f>IF($A143="",0,SUMIFS('Payment Vouchers'!$D$5:$D$2005,'Payment Vouchers'!$J$5:$J$2005,$A143,'Payment Vouchers'!$A$5:$A$2005,"&gt;="&amp;ReportFrom,'Payment Vouchers'!$A$5:$A$2005,"&lt;="&amp;ReportTo))</f>
        <v/>
      </c>
      <c r="AC143" s="25">
        <f>IF($A143="",0,SUMIFS('Payment Vouchers'!$D$5:$D$2005,'Payment Vouchers'!$K$5:$K$2005,$A143,'Payment Vouchers'!$A$5:$A$2005,"&gt;="&amp;ReportFrom,'Payment Vouchers'!$A$5:$A$2005,"&lt;="&amp;ReportTo))</f>
        <v/>
      </c>
      <c r="AD143" s="25">
        <f>IF($A143="",0,(SUMIFS('Partner Transactions'!$D$5:$D$2005,'Partner Transactions'!$L$5:$L$2005,$A143,'Partner Transactions'!$A$5:$A$2005,"&lt;"&amp;ReportFrom))-(SUMIFS('Partner Transactions'!$D$5:$D$2005,'Partner Transactions'!$M$5:$M$2005,$A143,'Partner Transactions'!$A$5:$A$2005,"&lt;"&amp;ReportFrom)))</f>
        <v/>
      </c>
      <c r="AE143" s="25">
        <f>IF($A143="",0,SUMIFS('Partner Transactions'!$D$5:$D$2005,'Partner Transactions'!$L$5:$L$2005,$A143,'Partner Transactions'!$A$5:$A$2005,"&gt;="&amp;ReportFrom,'Partner Transactions'!$A$5:$A$2005,"&lt;="&amp;ReportTo))</f>
        <v/>
      </c>
      <c r="AF143" s="25">
        <f>IF($A143="",0,SUMIFS('Partner Transactions'!$D$5:$D$2005,'Partner Transactions'!$M$5:$M$2005,$A143,'Partner Transactions'!$A$5:$A$2005,"&gt;="&amp;ReportFrom,'Partner Transactions'!$A$5:$A$2005,"&lt;="&amp;ReportTo))</f>
        <v/>
      </c>
      <c r="AG143" s="25">
        <f>IF($A143="",0,(SUMIFS('Stock Moves'!$S$5:$S$2005,'Stock Moves'!$AD$5:$AD$2005,$A143,'Stock Moves'!$A$5:$A$2005,"&lt;"&amp;ReportFrom)+SUMIFS('Stock Moves'!$T$5:$T$2005,'Stock Moves'!$V$5:$V$2005,$A143,'Stock Moves'!$A$5:$A$2005,"&lt;"&amp;ReportFrom))-(SUMIFS('Stock Moves'!$AF$5:$AF$2005,'Stock Moves'!$AE$5:$AE$2005,$A143,'Stock Moves'!$A$5:$A$2005,"&lt;"&amp;ReportFrom)+SUMIFS('Stock Moves'!$AC$5:$AC$2005,'Stock Moves'!$X$5:$X$2005,$A143,'Stock Moves'!$A$5:$A$2005,"&lt;"&amp;ReportFrom)+SUMIFS('Stock Moves'!$U$5:$U$2005,'Stock Moves'!$W$5:$W$2005,$A143,'Stock Moves'!$A$5:$A$2005,"&lt;"&amp;ReportFrom)))</f>
        <v/>
      </c>
      <c r="AH143" s="25">
        <f>IF($A143="",0,SUMIFS('Stock Moves'!$S$5:$S$2005,'Stock Moves'!$AD$5:$AD$2005,$A143,'Stock Moves'!$A$5:$A$2005,"&gt;="&amp;ReportFrom,'Stock Moves'!$A$5:$A$2005,"&lt;="&amp;ReportTo)+SUMIFS('Stock Moves'!$T$5:$T$2005,'Stock Moves'!$V$5:$V$2005,$A143,'Stock Moves'!$A$5:$A$2005,"&gt;="&amp;ReportFrom,'Stock Moves'!$A$5:$A$2005,"&lt;="&amp;ReportTo))</f>
        <v/>
      </c>
      <c r="AI143" s="25">
        <f>IF($A143="",0,SUMIFS('Stock Moves'!$AF$5:$AF$2005,'Stock Moves'!$AE$5:$AE$2005,$A143,'Stock Moves'!$A$5:$A$2005,"&gt;="&amp;ReportFrom,'Stock Moves'!$A$5:$A$2005,"&lt;="&amp;ReportTo)+SUMIFS('Stock Moves'!$AC$5:$AC$2005,'Stock Moves'!$X$5:$X$2005,$A143,'Stock Moves'!$A$5:$A$2005,"&gt;="&amp;ReportFrom,'Stock Moves'!$A$5:$A$2005,"&lt;="&amp;ReportTo)+SUMIFS('Stock Moves'!$U$5:$U$2005,'Stock Moves'!$W$5:$W$2005,$A143,'Stock Moves'!$A$5:$A$2005,"&gt;="&amp;ReportFrom,'Stock Moves'!$A$5:$A$2005,"&lt;="&amp;ReportTo))</f>
        <v/>
      </c>
      <c r="AJ143" s="25">
        <f>IF($A143="",0,(SUMIFS('Journal Vouchers'!$I$5:$I$2005,'Journal Vouchers'!$H$5:$H$2005,$A143,'Journal Vouchers'!$B$5:$B$2005,"&lt;"&amp;ReportFrom))-(SUMIFS('Journal Vouchers'!$J$5:$J$2005,'Journal Vouchers'!$H$5:$H$2005,$A143,'Journal Vouchers'!$B$5:$B$2005,"&lt;"&amp;ReportFrom)))</f>
        <v/>
      </c>
      <c r="AK143" s="25">
        <f>IF($A143="",0,SUMIFS('Journal Vouchers'!$I$5:$I$2005,'Journal Vouchers'!$H$5:$H$2005,$A143,'Journal Vouchers'!$B$5:$B$2005,"&gt;="&amp;ReportFrom,'Journal Vouchers'!$B$5:$B$2005,"&lt;="&amp;ReportTo))</f>
        <v/>
      </c>
      <c r="AL143" s="25">
        <f>IF($A143="",0,SUMIFS('Journal Vouchers'!$J$5:$J$2005,'Journal Vouchers'!$H$5:$H$2005,$A143,'Journal Vouchers'!$B$5:$B$2005,"&gt;="&amp;ReportFrom,'Journal Vouchers'!$B$5:$B$2005,"&lt;="&amp;ReportTo))</f>
        <v/>
      </c>
    </row>
    <row r="144">
      <c r="A144" s="25">
        <f>IF('Chart of Accounts'!A144="","",'Chart of Accounts'!A144&amp;"")</f>
        <v/>
      </c>
      <c r="B144" s="25">
        <f>IF(A144="","",'Chart of Accounts'!B144)</f>
        <v/>
      </c>
      <c r="C144" s="25">
        <f>IF(A144="","",'Chart of Accounts'!C144)</f>
        <v/>
      </c>
      <c r="D144" s="25">
        <f>IF(A144="","",'Chart of Accounts'!D144)</f>
        <v/>
      </c>
      <c r="E144" s="26">
        <f>L144+O144+R144+U144+X144+AA144+AD144+AG144+AJ144</f>
        <v/>
      </c>
      <c r="F144" s="26">
        <f>M144+P144+S144+V144+Y144+AB144+AE144+AH144+AK144</f>
        <v/>
      </c>
      <c r="G144" s="26">
        <f>N144+Q144+T144+W144+Z144+AC144+AF144+AI144+AL144</f>
        <v/>
      </c>
      <c r="H144" s="26">
        <f>E144+F144-G144</f>
        <v/>
      </c>
      <c r="I144" s="26">
        <f>MAX(H144,0)</f>
        <v/>
      </c>
      <c r="J144" s="26">
        <f>MAX(-H144,0)</f>
        <v/>
      </c>
      <c r="L144" s="25">
        <f>IF($A144="",0,(SUMIFS('Direct Costs'!$R$5:$R$2005,'Direct Costs'!$V$5:$V$2005,$A144,'Direct Costs'!$A$5:$A$2005,"&lt;"&amp;ReportFrom)+SUMIFS('Direct Costs'!$S$5:$S$2005,'Direct Costs'!$Y$5:$Y$2005,$A144,'Direct Costs'!$A$5:$A$2005,"&lt;"&amp;ReportFrom))-(SUMIFS('Direct Costs'!$L$5:$L$2005,'Direct Costs'!$W$5:$W$2005,$A144,'Direct Costs'!$A$5:$A$2005,"&lt;"&amp;ReportFrom)+SUMIFS('Direct Costs'!$U$5:$U$2005,'Direct Costs'!$X$5:$X$2005,$A144,'Direct Costs'!$A$5:$A$2005,"&lt;"&amp;ReportFrom)+SUMIFS('Direct Costs'!$T$5:$T$2005,'Direct Costs'!$Z$5:$Z$2005,$A144,'Direct Costs'!$A$5:$A$2005,"&lt;"&amp;ReportFrom)))</f>
        <v/>
      </c>
      <c r="M144" s="25">
        <f>IF($A144="",0,SUMIFS('Direct Costs'!$R$5:$R$2005,'Direct Costs'!$V$5:$V$2005,$A144,'Direct Costs'!$A$5:$A$2005,"&gt;="&amp;ReportFrom,'Direct Costs'!$A$5:$A$2005,"&lt;="&amp;ReportTo)+SUMIFS('Direct Costs'!$S$5:$S$2005,'Direct Costs'!$Y$5:$Y$2005,$A144,'Direct Costs'!$A$5:$A$2005,"&gt;="&amp;ReportFrom,'Direct Costs'!$A$5:$A$2005,"&lt;="&amp;ReportTo))</f>
        <v/>
      </c>
      <c r="N144" s="25">
        <f>IF($A144="",0,SUMIFS('Direct Costs'!$L$5:$L$2005,'Direct Costs'!$W$5:$W$2005,$A144,'Direct Costs'!$A$5:$A$2005,"&gt;="&amp;ReportFrom,'Direct Costs'!$A$5:$A$2005,"&lt;="&amp;ReportTo)+SUMIFS('Direct Costs'!$U$5:$U$2005,'Direct Costs'!$X$5:$X$2005,$A144,'Direct Costs'!$A$5:$A$2005,"&gt;="&amp;ReportFrom,'Direct Costs'!$A$5:$A$2005,"&lt;="&amp;ReportTo)+SUMIFS('Direct Costs'!$T$5:$T$2005,'Direct Costs'!$Z$5:$Z$2005,$A144,'Direct Costs'!$A$5:$A$2005,"&gt;="&amp;ReportFrom,'Direct Costs'!$A$5:$A$2005,"&lt;="&amp;ReportTo))</f>
        <v/>
      </c>
      <c r="O144" s="25">
        <f>IF($A144="",0,(SUMIFS('Operating Expenses'!$F$5:$F$2005,'Operating Expenses'!$Q$5:$Q$2005,$A144,'Operating Expenses'!$A$5:$A$2005,"&lt;"&amp;ReportFrom)+SUMIFS('Operating Expenses'!$M$5:$M$2005,'Operating Expenses'!$T$5:$T$2005,$A144,'Operating Expenses'!$A$5:$A$2005,"&lt;"&amp;ReportFrom))-(SUMIFS('Operating Expenses'!$O$5:$O$2005,'Operating Expenses'!$R$5:$R$2005,$A144,'Operating Expenses'!$A$5:$A$2005,"&lt;"&amp;ReportFrom)+SUMIFS('Operating Expenses'!$P$5:$P$2005,'Operating Expenses'!$S$5:$S$2005,$A144,'Operating Expenses'!$A$5:$A$2005,"&lt;"&amp;ReportFrom)+SUMIFS('Operating Expenses'!$N$5:$N$2005,'Operating Expenses'!$U$5:$U$2005,$A144,'Operating Expenses'!$A$5:$A$2005,"&lt;"&amp;ReportFrom)))</f>
        <v/>
      </c>
      <c r="P144" s="25">
        <f>IF($A144="",0,SUMIFS('Operating Expenses'!$F$5:$F$2005,'Operating Expenses'!$Q$5:$Q$2005,$A144,'Operating Expenses'!$A$5:$A$2005,"&gt;="&amp;ReportFrom,'Operating Expenses'!$A$5:$A$2005,"&lt;="&amp;ReportTo)+SUMIFS('Operating Expenses'!$M$5:$M$2005,'Operating Expenses'!$T$5:$T$2005,$A144,'Operating Expenses'!$A$5:$A$2005,"&gt;="&amp;ReportFrom,'Operating Expenses'!$A$5:$A$2005,"&lt;="&amp;ReportTo))</f>
        <v/>
      </c>
      <c r="Q144" s="25">
        <f>IF($A144="",0,SUMIFS('Operating Expenses'!$O$5:$O$2005,'Operating Expenses'!$R$5:$R$2005,$A144,'Operating Expenses'!$A$5:$A$2005,"&gt;="&amp;ReportFrom,'Operating Expenses'!$A$5:$A$2005,"&lt;="&amp;ReportTo)+SUMIFS('Operating Expenses'!$P$5:$P$2005,'Operating Expenses'!$S$5:$S$2005,$A144,'Operating Expenses'!$A$5:$A$2005,"&gt;="&amp;ReportFrom,'Operating Expenses'!$A$5:$A$2005,"&lt;="&amp;ReportTo)+SUMIFS('Operating Expenses'!$N$5:$N$2005,'Operating Expenses'!$U$5:$U$2005,$A144,'Operating Expenses'!$A$5:$A$2005,"&gt;="&amp;ReportFrom,'Operating Expenses'!$A$5:$A$2005,"&lt;="&amp;ReportTo))</f>
        <v/>
      </c>
      <c r="R144" s="25">
        <f>IF($A144="",0,(SUMIFS('Payroll'!$O$5:$O$2005,'Payroll'!$Q$5:$Q$2005,$A144,'Payroll'!$A$5:$A$2005,"&lt;"&amp;ReportFrom))-(SUMIFS('Payroll'!$K$5:$K$2005,'Payroll'!$R$5:$R$2005,$A144,'Payroll'!$A$5:$A$2005,"&lt;"&amp;ReportFrom)+SUMIFS('Payroll'!$P$5:$P$2005,'Payroll'!$S$5:$S$2005,$A144,'Payroll'!$A$5:$A$2005,"&lt;"&amp;ReportFrom)))</f>
        <v/>
      </c>
      <c r="S144" s="25">
        <f>IF($A144="",0,SUMIFS('Payroll'!$O$5:$O$2005,'Payroll'!$Q$5:$Q$2005,$A144,'Payroll'!$A$5:$A$2005,"&gt;="&amp;ReportFrom,'Payroll'!$A$5:$A$2005,"&lt;="&amp;ReportTo))</f>
        <v/>
      </c>
      <c r="T144" s="25">
        <f>IF($A144="",0,SUMIFS('Payroll'!$K$5:$K$2005,'Payroll'!$R$5:$R$2005,$A144,'Payroll'!$A$5:$A$2005,"&gt;="&amp;ReportFrom,'Payroll'!$A$5:$A$2005,"&lt;="&amp;ReportTo)+SUMIFS('Payroll'!$P$5:$P$2005,'Payroll'!$S$5:$S$2005,$A144,'Payroll'!$A$5:$A$2005,"&gt;="&amp;ReportFrom,'Payroll'!$A$5:$A$2005,"&lt;="&amp;ReportTo))</f>
        <v/>
      </c>
      <c r="U144" s="25">
        <f>IF($A144="",0,(SUMIFS('Receipt Vouchers'!$F$5:$F$2005,'Receipt Vouchers'!$O$5:$O$2005,$A144,'Receipt Vouchers'!$A$5:$A$2005,"&lt;"&amp;ReportFrom)+SUMIFS('Receipt Vouchers'!$J$5:$J$2005,'Receipt Vouchers'!$Q$5:$Q$2005,$A144,'Receipt Vouchers'!$A$5:$A$2005,"&lt;"&amp;ReportFrom))-(SUMIFS('Receipt Vouchers'!$N$5:$N$2005,'Receipt Vouchers'!$P$5:$P$2005,$A144,'Receipt Vouchers'!$A$5:$A$2005,"&lt;"&amp;ReportFrom)+SUMIFS('Receipt Vouchers'!$M$5:$M$2005,'Receipt Vouchers'!$R$5:$R$2005,$A144,'Receipt Vouchers'!$A$5:$A$2005,"&lt;"&amp;ReportFrom)))</f>
        <v/>
      </c>
      <c r="V144" s="25">
        <f>IF($A144="",0,SUMIFS('Receipt Vouchers'!$F$5:$F$2005,'Receipt Vouchers'!$O$5:$O$2005,$A144,'Receipt Vouchers'!$A$5:$A$2005,"&gt;="&amp;ReportFrom,'Receipt Vouchers'!$A$5:$A$2005,"&lt;="&amp;ReportTo)+SUMIFS('Receipt Vouchers'!$J$5:$J$2005,'Receipt Vouchers'!$Q$5:$Q$2005,$A144,'Receipt Vouchers'!$A$5:$A$2005,"&gt;="&amp;ReportFrom,'Receipt Vouchers'!$A$5:$A$2005,"&lt;="&amp;ReportTo))</f>
        <v/>
      </c>
      <c r="W144" s="25">
        <f>IF($A144="",0,SUMIFS('Receipt Vouchers'!$N$5:$N$2005,'Receipt Vouchers'!$P$5:$P$2005,$A144,'Receipt Vouchers'!$A$5:$A$2005,"&gt;="&amp;ReportFrom,'Receipt Vouchers'!$A$5:$A$2005,"&lt;="&amp;ReportTo)+SUMIFS('Receipt Vouchers'!$M$5:$M$2005,'Receipt Vouchers'!$R$5:$R$2005,$A144,'Receipt Vouchers'!$A$5:$A$2005,"&gt;="&amp;ReportFrom,'Receipt Vouchers'!$A$5:$A$2005,"&lt;="&amp;ReportTo))</f>
        <v/>
      </c>
      <c r="X144" s="25">
        <f>IF($A144="",0,(SUMIFS('Sales Invoices'!$O$5:$O$2005,'Sales Invoices'!$P$5:$P$2005,$A144,'Sales Invoices'!$B$5:$B$2005,"&lt;"&amp;ReportFrom)+SUMIFS('Sales Invoices'!$N$5:$N$2005,'Sales Invoices'!$R$5:$R$2005,$A144,'Sales Invoices'!$B$5:$B$2005,"&lt;"&amp;ReportFrom))-(SUMIFS('Sales Invoices'!$L$5:$L$2005,'Sales Invoices'!$Q$5:$Q$2005,$A144,'Sales Invoices'!$B$5:$B$2005,"&lt;"&amp;ReportFrom)+SUMIFS('Sales Invoices'!$M$5:$M$2005,'Sales Invoices'!$S$5:$S$2005,$A144,'Sales Invoices'!$B$5:$B$2005,"&lt;"&amp;ReportFrom)))</f>
        <v/>
      </c>
      <c r="Y144" s="25">
        <f>IF($A144="",0,SUMIFS('Sales Invoices'!$O$5:$O$2005,'Sales Invoices'!$P$5:$P$2005,$A144,'Sales Invoices'!$B$5:$B$2005,"&gt;="&amp;ReportFrom,'Sales Invoices'!$B$5:$B$2005,"&lt;="&amp;ReportTo)+SUMIFS('Sales Invoices'!$N$5:$N$2005,'Sales Invoices'!$R$5:$R$2005,$A144,'Sales Invoices'!$B$5:$B$2005,"&gt;="&amp;ReportFrom,'Sales Invoices'!$B$5:$B$2005,"&lt;="&amp;ReportTo))</f>
        <v/>
      </c>
      <c r="Z144" s="25">
        <f>IF($A144="",0,SUMIFS('Sales Invoices'!$L$5:$L$2005,'Sales Invoices'!$Q$5:$Q$2005,$A144,'Sales Invoices'!$B$5:$B$2005,"&gt;="&amp;ReportFrom,'Sales Invoices'!$B$5:$B$2005,"&lt;="&amp;ReportTo)+SUMIFS('Sales Invoices'!$M$5:$M$2005,'Sales Invoices'!$S$5:$S$2005,$A144,'Sales Invoices'!$B$5:$B$2005,"&gt;="&amp;ReportFrom,'Sales Invoices'!$B$5:$B$2005,"&lt;="&amp;ReportTo))</f>
        <v/>
      </c>
      <c r="AA144" s="25">
        <f>IF($A144="",0,(SUMIFS('Payment Vouchers'!$D$5:$D$2005,'Payment Vouchers'!$J$5:$J$2005,$A144,'Payment Vouchers'!$A$5:$A$2005,"&lt;"&amp;ReportFrom))-(SUMIFS('Payment Vouchers'!$D$5:$D$2005,'Payment Vouchers'!$K$5:$K$2005,$A144,'Payment Vouchers'!$A$5:$A$2005,"&lt;"&amp;ReportFrom)))</f>
        <v/>
      </c>
      <c r="AB144" s="25">
        <f>IF($A144="",0,SUMIFS('Payment Vouchers'!$D$5:$D$2005,'Payment Vouchers'!$J$5:$J$2005,$A144,'Payment Vouchers'!$A$5:$A$2005,"&gt;="&amp;ReportFrom,'Payment Vouchers'!$A$5:$A$2005,"&lt;="&amp;ReportTo))</f>
        <v/>
      </c>
      <c r="AC144" s="25">
        <f>IF($A144="",0,SUMIFS('Payment Vouchers'!$D$5:$D$2005,'Payment Vouchers'!$K$5:$K$2005,$A144,'Payment Vouchers'!$A$5:$A$2005,"&gt;="&amp;ReportFrom,'Payment Vouchers'!$A$5:$A$2005,"&lt;="&amp;ReportTo))</f>
        <v/>
      </c>
      <c r="AD144" s="25">
        <f>IF($A144="",0,(SUMIFS('Partner Transactions'!$D$5:$D$2005,'Partner Transactions'!$L$5:$L$2005,$A144,'Partner Transactions'!$A$5:$A$2005,"&lt;"&amp;ReportFrom))-(SUMIFS('Partner Transactions'!$D$5:$D$2005,'Partner Transactions'!$M$5:$M$2005,$A144,'Partner Transactions'!$A$5:$A$2005,"&lt;"&amp;ReportFrom)))</f>
        <v/>
      </c>
      <c r="AE144" s="25">
        <f>IF($A144="",0,SUMIFS('Partner Transactions'!$D$5:$D$2005,'Partner Transactions'!$L$5:$L$2005,$A144,'Partner Transactions'!$A$5:$A$2005,"&gt;="&amp;ReportFrom,'Partner Transactions'!$A$5:$A$2005,"&lt;="&amp;ReportTo))</f>
        <v/>
      </c>
      <c r="AF144" s="25">
        <f>IF($A144="",0,SUMIFS('Partner Transactions'!$D$5:$D$2005,'Partner Transactions'!$M$5:$M$2005,$A144,'Partner Transactions'!$A$5:$A$2005,"&gt;="&amp;ReportFrom,'Partner Transactions'!$A$5:$A$2005,"&lt;="&amp;ReportTo))</f>
        <v/>
      </c>
      <c r="AG144" s="25">
        <f>IF($A144="",0,(SUMIFS('Stock Moves'!$S$5:$S$2005,'Stock Moves'!$AD$5:$AD$2005,$A144,'Stock Moves'!$A$5:$A$2005,"&lt;"&amp;ReportFrom)+SUMIFS('Stock Moves'!$T$5:$T$2005,'Stock Moves'!$V$5:$V$2005,$A144,'Stock Moves'!$A$5:$A$2005,"&lt;"&amp;ReportFrom))-(SUMIFS('Stock Moves'!$AF$5:$AF$2005,'Stock Moves'!$AE$5:$AE$2005,$A144,'Stock Moves'!$A$5:$A$2005,"&lt;"&amp;ReportFrom)+SUMIFS('Stock Moves'!$AC$5:$AC$2005,'Stock Moves'!$X$5:$X$2005,$A144,'Stock Moves'!$A$5:$A$2005,"&lt;"&amp;ReportFrom)+SUMIFS('Stock Moves'!$U$5:$U$2005,'Stock Moves'!$W$5:$W$2005,$A144,'Stock Moves'!$A$5:$A$2005,"&lt;"&amp;ReportFrom)))</f>
        <v/>
      </c>
      <c r="AH144" s="25">
        <f>IF($A144="",0,SUMIFS('Stock Moves'!$S$5:$S$2005,'Stock Moves'!$AD$5:$AD$2005,$A144,'Stock Moves'!$A$5:$A$2005,"&gt;="&amp;ReportFrom,'Stock Moves'!$A$5:$A$2005,"&lt;="&amp;ReportTo)+SUMIFS('Stock Moves'!$T$5:$T$2005,'Stock Moves'!$V$5:$V$2005,$A144,'Stock Moves'!$A$5:$A$2005,"&gt;="&amp;ReportFrom,'Stock Moves'!$A$5:$A$2005,"&lt;="&amp;ReportTo))</f>
        <v/>
      </c>
      <c r="AI144" s="25">
        <f>IF($A144="",0,SUMIFS('Stock Moves'!$AF$5:$AF$2005,'Stock Moves'!$AE$5:$AE$2005,$A144,'Stock Moves'!$A$5:$A$2005,"&gt;="&amp;ReportFrom,'Stock Moves'!$A$5:$A$2005,"&lt;="&amp;ReportTo)+SUMIFS('Stock Moves'!$AC$5:$AC$2005,'Stock Moves'!$X$5:$X$2005,$A144,'Stock Moves'!$A$5:$A$2005,"&gt;="&amp;ReportFrom,'Stock Moves'!$A$5:$A$2005,"&lt;="&amp;ReportTo)+SUMIFS('Stock Moves'!$U$5:$U$2005,'Stock Moves'!$W$5:$W$2005,$A144,'Stock Moves'!$A$5:$A$2005,"&gt;="&amp;ReportFrom,'Stock Moves'!$A$5:$A$2005,"&lt;="&amp;ReportTo))</f>
        <v/>
      </c>
      <c r="AJ144" s="25">
        <f>IF($A144="",0,(SUMIFS('Journal Vouchers'!$I$5:$I$2005,'Journal Vouchers'!$H$5:$H$2005,$A144,'Journal Vouchers'!$B$5:$B$2005,"&lt;"&amp;ReportFrom))-(SUMIFS('Journal Vouchers'!$J$5:$J$2005,'Journal Vouchers'!$H$5:$H$2005,$A144,'Journal Vouchers'!$B$5:$B$2005,"&lt;"&amp;ReportFrom)))</f>
        <v/>
      </c>
      <c r="AK144" s="25">
        <f>IF($A144="",0,SUMIFS('Journal Vouchers'!$I$5:$I$2005,'Journal Vouchers'!$H$5:$H$2005,$A144,'Journal Vouchers'!$B$5:$B$2005,"&gt;="&amp;ReportFrom,'Journal Vouchers'!$B$5:$B$2005,"&lt;="&amp;ReportTo))</f>
        <v/>
      </c>
      <c r="AL144" s="25">
        <f>IF($A144="",0,SUMIFS('Journal Vouchers'!$J$5:$J$2005,'Journal Vouchers'!$H$5:$H$2005,$A144,'Journal Vouchers'!$B$5:$B$2005,"&gt;="&amp;ReportFrom,'Journal Vouchers'!$B$5:$B$2005,"&lt;="&amp;ReportTo))</f>
        <v/>
      </c>
    </row>
    <row r="145">
      <c r="A145" s="25">
        <f>IF('Chart of Accounts'!A145="","",'Chart of Accounts'!A145&amp;"")</f>
        <v/>
      </c>
      <c r="B145" s="25">
        <f>IF(A145="","",'Chart of Accounts'!B145)</f>
        <v/>
      </c>
      <c r="C145" s="25">
        <f>IF(A145="","",'Chart of Accounts'!C145)</f>
        <v/>
      </c>
      <c r="D145" s="25">
        <f>IF(A145="","",'Chart of Accounts'!D145)</f>
        <v/>
      </c>
      <c r="E145" s="26">
        <f>L145+O145+R145+U145+X145+AA145+AD145+AG145+AJ145</f>
        <v/>
      </c>
      <c r="F145" s="26">
        <f>M145+P145+S145+V145+Y145+AB145+AE145+AH145+AK145</f>
        <v/>
      </c>
      <c r="G145" s="26">
        <f>N145+Q145+T145+W145+Z145+AC145+AF145+AI145+AL145</f>
        <v/>
      </c>
      <c r="H145" s="26">
        <f>E145+F145-G145</f>
        <v/>
      </c>
      <c r="I145" s="26">
        <f>MAX(H145,0)</f>
        <v/>
      </c>
      <c r="J145" s="26">
        <f>MAX(-H145,0)</f>
        <v/>
      </c>
      <c r="L145" s="25">
        <f>IF($A145="",0,(SUMIFS('Direct Costs'!$R$5:$R$2005,'Direct Costs'!$V$5:$V$2005,$A145,'Direct Costs'!$A$5:$A$2005,"&lt;"&amp;ReportFrom)+SUMIFS('Direct Costs'!$S$5:$S$2005,'Direct Costs'!$Y$5:$Y$2005,$A145,'Direct Costs'!$A$5:$A$2005,"&lt;"&amp;ReportFrom))-(SUMIFS('Direct Costs'!$L$5:$L$2005,'Direct Costs'!$W$5:$W$2005,$A145,'Direct Costs'!$A$5:$A$2005,"&lt;"&amp;ReportFrom)+SUMIFS('Direct Costs'!$U$5:$U$2005,'Direct Costs'!$X$5:$X$2005,$A145,'Direct Costs'!$A$5:$A$2005,"&lt;"&amp;ReportFrom)+SUMIFS('Direct Costs'!$T$5:$T$2005,'Direct Costs'!$Z$5:$Z$2005,$A145,'Direct Costs'!$A$5:$A$2005,"&lt;"&amp;ReportFrom)))</f>
        <v/>
      </c>
      <c r="M145" s="25">
        <f>IF($A145="",0,SUMIFS('Direct Costs'!$R$5:$R$2005,'Direct Costs'!$V$5:$V$2005,$A145,'Direct Costs'!$A$5:$A$2005,"&gt;="&amp;ReportFrom,'Direct Costs'!$A$5:$A$2005,"&lt;="&amp;ReportTo)+SUMIFS('Direct Costs'!$S$5:$S$2005,'Direct Costs'!$Y$5:$Y$2005,$A145,'Direct Costs'!$A$5:$A$2005,"&gt;="&amp;ReportFrom,'Direct Costs'!$A$5:$A$2005,"&lt;="&amp;ReportTo))</f>
        <v/>
      </c>
      <c r="N145" s="25">
        <f>IF($A145="",0,SUMIFS('Direct Costs'!$L$5:$L$2005,'Direct Costs'!$W$5:$W$2005,$A145,'Direct Costs'!$A$5:$A$2005,"&gt;="&amp;ReportFrom,'Direct Costs'!$A$5:$A$2005,"&lt;="&amp;ReportTo)+SUMIFS('Direct Costs'!$U$5:$U$2005,'Direct Costs'!$X$5:$X$2005,$A145,'Direct Costs'!$A$5:$A$2005,"&gt;="&amp;ReportFrom,'Direct Costs'!$A$5:$A$2005,"&lt;="&amp;ReportTo)+SUMIFS('Direct Costs'!$T$5:$T$2005,'Direct Costs'!$Z$5:$Z$2005,$A145,'Direct Costs'!$A$5:$A$2005,"&gt;="&amp;ReportFrom,'Direct Costs'!$A$5:$A$2005,"&lt;="&amp;ReportTo))</f>
        <v/>
      </c>
      <c r="O145" s="25">
        <f>IF($A145="",0,(SUMIFS('Operating Expenses'!$F$5:$F$2005,'Operating Expenses'!$Q$5:$Q$2005,$A145,'Operating Expenses'!$A$5:$A$2005,"&lt;"&amp;ReportFrom)+SUMIFS('Operating Expenses'!$M$5:$M$2005,'Operating Expenses'!$T$5:$T$2005,$A145,'Operating Expenses'!$A$5:$A$2005,"&lt;"&amp;ReportFrom))-(SUMIFS('Operating Expenses'!$O$5:$O$2005,'Operating Expenses'!$R$5:$R$2005,$A145,'Operating Expenses'!$A$5:$A$2005,"&lt;"&amp;ReportFrom)+SUMIFS('Operating Expenses'!$P$5:$P$2005,'Operating Expenses'!$S$5:$S$2005,$A145,'Operating Expenses'!$A$5:$A$2005,"&lt;"&amp;ReportFrom)+SUMIFS('Operating Expenses'!$N$5:$N$2005,'Operating Expenses'!$U$5:$U$2005,$A145,'Operating Expenses'!$A$5:$A$2005,"&lt;"&amp;ReportFrom)))</f>
        <v/>
      </c>
      <c r="P145" s="25">
        <f>IF($A145="",0,SUMIFS('Operating Expenses'!$F$5:$F$2005,'Operating Expenses'!$Q$5:$Q$2005,$A145,'Operating Expenses'!$A$5:$A$2005,"&gt;="&amp;ReportFrom,'Operating Expenses'!$A$5:$A$2005,"&lt;="&amp;ReportTo)+SUMIFS('Operating Expenses'!$M$5:$M$2005,'Operating Expenses'!$T$5:$T$2005,$A145,'Operating Expenses'!$A$5:$A$2005,"&gt;="&amp;ReportFrom,'Operating Expenses'!$A$5:$A$2005,"&lt;="&amp;ReportTo))</f>
        <v/>
      </c>
      <c r="Q145" s="25">
        <f>IF($A145="",0,SUMIFS('Operating Expenses'!$O$5:$O$2005,'Operating Expenses'!$R$5:$R$2005,$A145,'Operating Expenses'!$A$5:$A$2005,"&gt;="&amp;ReportFrom,'Operating Expenses'!$A$5:$A$2005,"&lt;="&amp;ReportTo)+SUMIFS('Operating Expenses'!$P$5:$P$2005,'Operating Expenses'!$S$5:$S$2005,$A145,'Operating Expenses'!$A$5:$A$2005,"&gt;="&amp;ReportFrom,'Operating Expenses'!$A$5:$A$2005,"&lt;="&amp;ReportTo)+SUMIFS('Operating Expenses'!$N$5:$N$2005,'Operating Expenses'!$U$5:$U$2005,$A145,'Operating Expenses'!$A$5:$A$2005,"&gt;="&amp;ReportFrom,'Operating Expenses'!$A$5:$A$2005,"&lt;="&amp;ReportTo))</f>
        <v/>
      </c>
      <c r="R145" s="25">
        <f>IF($A145="",0,(SUMIFS('Payroll'!$O$5:$O$2005,'Payroll'!$Q$5:$Q$2005,$A145,'Payroll'!$A$5:$A$2005,"&lt;"&amp;ReportFrom))-(SUMIFS('Payroll'!$K$5:$K$2005,'Payroll'!$R$5:$R$2005,$A145,'Payroll'!$A$5:$A$2005,"&lt;"&amp;ReportFrom)+SUMIFS('Payroll'!$P$5:$P$2005,'Payroll'!$S$5:$S$2005,$A145,'Payroll'!$A$5:$A$2005,"&lt;"&amp;ReportFrom)))</f>
        <v/>
      </c>
      <c r="S145" s="25">
        <f>IF($A145="",0,SUMIFS('Payroll'!$O$5:$O$2005,'Payroll'!$Q$5:$Q$2005,$A145,'Payroll'!$A$5:$A$2005,"&gt;="&amp;ReportFrom,'Payroll'!$A$5:$A$2005,"&lt;="&amp;ReportTo))</f>
        <v/>
      </c>
      <c r="T145" s="25">
        <f>IF($A145="",0,SUMIFS('Payroll'!$K$5:$K$2005,'Payroll'!$R$5:$R$2005,$A145,'Payroll'!$A$5:$A$2005,"&gt;="&amp;ReportFrom,'Payroll'!$A$5:$A$2005,"&lt;="&amp;ReportTo)+SUMIFS('Payroll'!$P$5:$P$2005,'Payroll'!$S$5:$S$2005,$A145,'Payroll'!$A$5:$A$2005,"&gt;="&amp;ReportFrom,'Payroll'!$A$5:$A$2005,"&lt;="&amp;ReportTo))</f>
        <v/>
      </c>
      <c r="U145" s="25">
        <f>IF($A145="",0,(SUMIFS('Receipt Vouchers'!$F$5:$F$2005,'Receipt Vouchers'!$O$5:$O$2005,$A145,'Receipt Vouchers'!$A$5:$A$2005,"&lt;"&amp;ReportFrom)+SUMIFS('Receipt Vouchers'!$J$5:$J$2005,'Receipt Vouchers'!$Q$5:$Q$2005,$A145,'Receipt Vouchers'!$A$5:$A$2005,"&lt;"&amp;ReportFrom))-(SUMIFS('Receipt Vouchers'!$N$5:$N$2005,'Receipt Vouchers'!$P$5:$P$2005,$A145,'Receipt Vouchers'!$A$5:$A$2005,"&lt;"&amp;ReportFrom)+SUMIFS('Receipt Vouchers'!$M$5:$M$2005,'Receipt Vouchers'!$R$5:$R$2005,$A145,'Receipt Vouchers'!$A$5:$A$2005,"&lt;"&amp;ReportFrom)))</f>
        <v/>
      </c>
      <c r="V145" s="25">
        <f>IF($A145="",0,SUMIFS('Receipt Vouchers'!$F$5:$F$2005,'Receipt Vouchers'!$O$5:$O$2005,$A145,'Receipt Vouchers'!$A$5:$A$2005,"&gt;="&amp;ReportFrom,'Receipt Vouchers'!$A$5:$A$2005,"&lt;="&amp;ReportTo)+SUMIFS('Receipt Vouchers'!$J$5:$J$2005,'Receipt Vouchers'!$Q$5:$Q$2005,$A145,'Receipt Vouchers'!$A$5:$A$2005,"&gt;="&amp;ReportFrom,'Receipt Vouchers'!$A$5:$A$2005,"&lt;="&amp;ReportTo))</f>
        <v/>
      </c>
      <c r="W145" s="25">
        <f>IF($A145="",0,SUMIFS('Receipt Vouchers'!$N$5:$N$2005,'Receipt Vouchers'!$P$5:$P$2005,$A145,'Receipt Vouchers'!$A$5:$A$2005,"&gt;="&amp;ReportFrom,'Receipt Vouchers'!$A$5:$A$2005,"&lt;="&amp;ReportTo)+SUMIFS('Receipt Vouchers'!$M$5:$M$2005,'Receipt Vouchers'!$R$5:$R$2005,$A145,'Receipt Vouchers'!$A$5:$A$2005,"&gt;="&amp;ReportFrom,'Receipt Vouchers'!$A$5:$A$2005,"&lt;="&amp;ReportTo))</f>
        <v/>
      </c>
      <c r="X145" s="25">
        <f>IF($A145="",0,(SUMIFS('Sales Invoices'!$O$5:$O$2005,'Sales Invoices'!$P$5:$P$2005,$A145,'Sales Invoices'!$B$5:$B$2005,"&lt;"&amp;ReportFrom)+SUMIFS('Sales Invoices'!$N$5:$N$2005,'Sales Invoices'!$R$5:$R$2005,$A145,'Sales Invoices'!$B$5:$B$2005,"&lt;"&amp;ReportFrom))-(SUMIFS('Sales Invoices'!$L$5:$L$2005,'Sales Invoices'!$Q$5:$Q$2005,$A145,'Sales Invoices'!$B$5:$B$2005,"&lt;"&amp;ReportFrom)+SUMIFS('Sales Invoices'!$M$5:$M$2005,'Sales Invoices'!$S$5:$S$2005,$A145,'Sales Invoices'!$B$5:$B$2005,"&lt;"&amp;ReportFrom)))</f>
        <v/>
      </c>
      <c r="Y145" s="25">
        <f>IF($A145="",0,SUMIFS('Sales Invoices'!$O$5:$O$2005,'Sales Invoices'!$P$5:$P$2005,$A145,'Sales Invoices'!$B$5:$B$2005,"&gt;="&amp;ReportFrom,'Sales Invoices'!$B$5:$B$2005,"&lt;="&amp;ReportTo)+SUMIFS('Sales Invoices'!$N$5:$N$2005,'Sales Invoices'!$R$5:$R$2005,$A145,'Sales Invoices'!$B$5:$B$2005,"&gt;="&amp;ReportFrom,'Sales Invoices'!$B$5:$B$2005,"&lt;="&amp;ReportTo))</f>
        <v/>
      </c>
      <c r="Z145" s="25">
        <f>IF($A145="",0,SUMIFS('Sales Invoices'!$L$5:$L$2005,'Sales Invoices'!$Q$5:$Q$2005,$A145,'Sales Invoices'!$B$5:$B$2005,"&gt;="&amp;ReportFrom,'Sales Invoices'!$B$5:$B$2005,"&lt;="&amp;ReportTo)+SUMIFS('Sales Invoices'!$M$5:$M$2005,'Sales Invoices'!$S$5:$S$2005,$A145,'Sales Invoices'!$B$5:$B$2005,"&gt;="&amp;ReportFrom,'Sales Invoices'!$B$5:$B$2005,"&lt;="&amp;ReportTo))</f>
        <v/>
      </c>
      <c r="AA145" s="25">
        <f>IF($A145="",0,(SUMIFS('Payment Vouchers'!$D$5:$D$2005,'Payment Vouchers'!$J$5:$J$2005,$A145,'Payment Vouchers'!$A$5:$A$2005,"&lt;"&amp;ReportFrom))-(SUMIFS('Payment Vouchers'!$D$5:$D$2005,'Payment Vouchers'!$K$5:$K$2005,$A145,'Payment Vouchers'!$A$5:$A$2005,"&lt;"&amp;ReportFrom)))</f>
        <v/>
      </c>
      <c r="AB145" s="25">
        <f>IF($A145="",0,SUMIFS('Payment Vouchers'!$D$5:$D$2005,'Payment Vouchers'!$J$5:$J$2005,$A145,'Payment Vouchers'!$A$5:$A$2005,"&gt;="&amp;ReportFrom,'Payment Vouchers'!$A$5:$A$2005,"&lt;="&amp;ReportTo))</f>
        <v/>
      </c>
      <c r="AC145" s="25">
        <f>IF($A145="",0,SUMIFS('Payment Vouchers'!$D$5:$D$2005,'Payment Vouchers'!$K$5:$K$2005,$A145,'Payment Vouchers'!$A$5:$A$2005,"&gt;="&amp;ReportFrom,'Payment Vouchers'!$A$5:$A$2005,"&lt;="&amp;ReportTo))</f>
        <v/>
      </c>
      <c r="AD145" s="25">
        <f>IF($A145="",0,(SUMIFS('Partner Transactions'!$D$5:$D$2005,'Partner Transactions'!$L$5:$L$2005,$A145,'Partner Transactions'!$A$5:$A$2005,"&lt;"&amp;ReportFrom))-(SUMIFS('Partner Transactions'!$D$5:$D$2005,'Partner Transactions'!$M$5:$M$2005,$A145,'Partner Transactions'!$A$5:$A$2005,"&lt;"&amp;ReportFrom)))</f>
        <v/>
      </c>
      <c r="AE145" s="25">
        <f>IF($A145="",0,SUMIFS('Partner Transactions'!$D$5:$D$2005,'Partner Transactions'!$L$5:$L$2005,$A145,'Partner Transactions'!$A$5:$A$2005,"&gt;="&amp;ReportFrom,'Partner Transactions'!$A$5:$A$2005,"&lt;="&amp;ReportTo))</f>
        <v/>
      </c>
      <c r="AF145" s="25">
        <f>IF($A145="",0,SUMIFS('Partner Transactions'!$D$5:$D$2005,'Partner Transactions'!$M$5:$M$2005,$A145,'Partner Transactions'!$A$5:$A$2005,"&gt;="&amp;ReportFrom,'Partner Transactions'!$A$5:$A$2005,"&lt;="&amp;ReportTo))</f>
        <v/>
      </c>
      <c r="AG145" s="25">
        <f>IF($A145="",0,(SUMIFS('Stock Moves'!$S$5:$S$2005,'Stock Moves'!$AD$5:$AD$2005,$A145,'Stock Moves'!$A$5:$A$2005,"&lt;"&amp;ReportFrom)+SUMIFS('Stock Moves'!$T$5:$T$2005,'Stock Moves'!$V$5:$V$2005,$A145,'Stock Moves'!$A$5:$A$2005,"&lt;"&amp;ReportFrom))-(SUMIFS('Stock Moves'!$AF$5:$AF$2005,'Stock Moves'!$AE$5:$AE$2005,$A145,'Stock Moves'!$A$5:$A$2005,"&lt;"&amp;ReportFrom)+SUMIFS('Stock Moves'!$AC$5:$AC$2005,'Stock Moves'!$X$5:$X$2005,$A145,'Stock Moves'!$A$5:$A$2005,"&lt;"&amp;ReportFrom)+SUMIFS('Stock Moves'!$U$5:$U$2005,'Stock Moves'!$W$5:$W$2005,$A145,'Stock Moves'!$A$5:$A$2005,"&lt;"&amp;ReportFrom)))</f>
        <v/>
      </c>
      <c r="AH145" s="25">
        <f>IF($A145="",0,SUMIFS('Stock Moves'!$S$5:$S$2005,'Stock Moves'!$AD$5:$AD$2005,$A145,'Stock Moves'!$A$5:$A$2005,"&gt;="&amp;ReportFrom,'Stock Moves'!$A$5:$A$2005,"&lt;="&amp;ReportTo)+SUMIFS('Stock Moves'!$T$5:$T$2005,'Stock Moves'!$V$5:$V$2005,$A145,'Stock Moves'!$A$5:$A$2005,"&gt;="&amp;ReportFrom,'Stock Moves'!$A$5:$A$2005,"&lt;="&amp;ReportTo))</f>
        <v/>
      </c>
      <c r="AI145" s="25">
        <f>IF($A145="",0,SUMIFS('Stock Moves'!$AF$5:$AF$2005,'Stock Moves'!$AE$5:$AE$2005,$A145,'Stock Moves'!$A$5:$A$2005,"&gt;="&amp;ReportFrom,'Stock Moves'!$A$5:$A$2005,"&lt;="&amp;ReportTo)+SUMIFS('Stock Moves'!$AC$5:$AC$2005,'Stock Moves'!$X$5:$X$2005,$A145,'Stock Moves'!$A$5:$A$2005,"&gt;="&amp;ReportFrom,'Stock Moves'!$A$5:$A$2005,"&lt;="&amp;ReportTo)+SUMIFS('Stock Moves'!$U$5:$U$2005,'Stock Moves'!$W$5:$W$2005,$A145,'Stock Moves'!$A$5:$A$2005,"&gt;="&amp;ReportFrom,'Stock Moves'!$A$5:$A$2005,"&lt;="&amp;ReportTo))</f>
        <v/>
      </c>
      <c r="AJ145" s="25">
        <f>IF($A145="",0,(SUMIFS('Journal Vouchers'!$I$5:$I$2005,'Journal Vouchers'!$H$5:$H$2005,$A145,'Journal Vouchers'!$B$5:$B$2005,"&lt;"&amp;ReportFrom))-(SUMIFS('Journal Vouchers'!$J$5:$J$2005,'Journal Vouchers'!$H$5:$H$2005,$A145,'Journal Vouchers'!$B$5:$B$2005,"&lt;"&amp;ReportFrom)))</f>
        <v/>
      </c>
      <c r="AK145" s="25">
        <f>IF($A145="",0,SUMIFS('Journal Vouchers'!$I$5:$I$2005,'Journal Vouchers'!$H$5:$H$2005,$A145,'Journal Vouchers'!$B$5:$B$2005,"&gt;="&amp;ReportFrom,'Journal Vouchers'!$B$5:$B$2005,"&lt;="&amp;ReportTo))</f>
        <v/>
      </c>
      <c r="AL145" s="25">
        <f>IF($A145="",0,SUMIFS('Journal Vouchers'!$J$5:$J$2005,'Journal Vouchers'!$H$5:$H$2005,$A145,'Journal Vouchers'!$B$5:$B$2005,"&gt;="&amp;ReportFrom,'Journal Vouchers'!$B$5:$B$2005,"&lt;="&amp;ReportTo))</f>
        <v/>
      </c>
    </row>
    <row r="146">
      <c r="A146" s="25">
        <f>IF('Chart of Accounts'!A146="","",'Chart of Accounts'!A146&amp;"")</f>
        <v/>
      </c>
      <c r="B146" s="25">
        <f>IF(A146="","",'Chart of Accounts'!B146)</f>
        <v/>
      </c>
      <c r="C146" s="25">
        <f>IF(A146="","",'Chart of Accounts'!C146)</f>
        <v/>
      </c>
      <c r="D146" s="25">
        <f>IF(A146="","",'Chart of Accounts'!D146)</f>
        <v/>
      </c>
      <c r="E146" s="26">
        <f>L146+O146+R146+U146+X146+AA146+AD146+AG146+AJ146</f>
        <v/>
      </c>
      <c r="F146" s="26">
        <f>M146+P146+S146+V146+Y146+AB146+AE146+AH146+AK146</f>
        <v/>
      </c>
      <c r="G146" s="26">
        <f>N146+Q146+T146+W146+Z146+AC146+AF146+AI146+AL146</f>
        <v/>
      </c>
      <c r="H146" s="26">
        <f>E146+F146-G146</f>
        <v/>
      </c>
      <c r="I146" s="26">
        <f>MAX(H146,0)</f>
        <v/>
      </c>
      <c r="J146" s="26">
        <f>MAX(-H146,0)</f>
        <v/>
      </c>
      <c r="L146" s="25">
        <f>IF($A146="",0,(SUMIFS('Direct Costs'!$R$5:$R$2005,'Direct Costs'!$V$5:$V$2005,$A146,'Direct Costs'!$A$5:$A$2005,"&lt;"&amp;ReportFrom)+SUMIFS('Direct Costs'!$S$5:$S$2005,'Direct Costs'!$Y$5:$Y$2005,$A146,'Direct Costs'!$A$5:$A$2005,"&lt;"&amp;ReportFrom))-(SUMIFS('Direct Costs'!$L$5:$L$2005,'Direct Costs'!$W$5:$W$2005,$A146,'Direct Costs'!$A$5:$A$2005,"&lt;"&amp;ReportFrom)+SUMIFS('Direct Costs'!$U$5:$U$2005,'Direct Costs'!$X$5:$X$2005,$A146,'Direct Costs'!$A$5:$A$2005,"&lt;"&amp;ReportFrom)+SUMIFS('Direct Costs'!$T$5:$T$2005,'Direct Costs'!$Z$5:$Z$2005,$A146,'Direct Costs'!$A$5:$A$2005,"&lt;"&amp;ReportFrom)))</f>
        <v/>
      </c>
      <c r="M146" s="25">
        <f>IF($A146="",0,SUMIFS('Direct Costs'!$R$5:$R$2005,'Direct Costs'!$V$5:$V$2005,$A146,'Direct Costs'!$A$5:$A$2005,"&gt;="&amp;ReportFrom,'Direct Costs'!$A$5:$A$2005,"&lt;="&amp;ReportTo)+SUMIFS('Direct Costs'!$S$5:$S$2005,'Direct Costs'!$Y$5:$Y$2005,$A146,'Direct Costs'!$A$5:$A$2005,"&gt;="&amp;ReportFrom,'Direct Costs'!$A$5:$A$2005,"&lt;="&amp;ReportTo))</f>
        <v/>
      </c>
      <c r="N146" s="25">
        <f>IF($A146="",0,SUMIFS('Direct Costs'!$L$5:$L$2005,'Direct Costs'!$W$5:$W$2005,$A146,'Direct Costs'!$A$5:$A$2005,"&gt;="&amp;ReportFrom,'Direct Costs'!$A$5:$A$2005,"&lt;="&amp;ReportTo)+SUMIFS('Direct Costs'!$U$5:$U$2005,'Direct Costs'!$X$5:$X$2005,$A146,'Direct Costs'!$A$5:$A$2005,"&gt;="&amp;ReportFrom,'Direct Costs'!$A$5:$A$2005,"&lt;="&amp;ReportTo)+SUMIFS('Direct Costs'!$T$5:$T$2005,'Direct Costs'!$Z$5:$Z$2005,$A146,'Direct Costs'!$A$5:$A$2005,"&gt;="&amp;ReportFrom,'Direct Costs'!$A$5:$A$2005,"&lt;="&amp;ReportTo))</f>
        <v/>
      </c>
      <c r="O146" s="25">
        <f>IF($A146="",0,(SUMIFS('Operating Expenses'!$F$5:$F$2005,'Operating Expenses'!$Q$5:$Q$2005,$A146,'Operating Expenses'!$A$5:$A$2005,"&lt;"&amp;ReportFrom)+SUMIFS('Operating Expenses'!$M$5:$M$2005,'Operating Expenses'!$T$5:$T$2005,$A146,'Operating Expenses'!$A$5:$A$2005,"&lt;"&amp;ReportFrom))-(SUMIFS('Operating Expenses'!$O$5:$O$2005,'Operating Expenses'!$R$5:$R$2005,$A146,'Operating Expenses'!$A$5:$A$2005,"&lt;"&amp;ReportFrom)+SUMIFS('Operating Expenses'!$P$5:$P$2005,'Operating Expenses'!$S$5:$S$2005,$A146,'Operating Expenses'!$A$5:$A$2005,"&lt;"&amp;ReportFrom)+SUMIFS('Operating Expenses'!$N$5:$N$2005,'Operating Expenses'!$U$5:$U$2005,$A146,'Operating Expenses'!$A$5:$A$2005,"&lt;"&amp;ReportFrom)))</f>
        <v/>
      </c>
      <c r="P146" s="25">
        <f>IF($A146="",0,SUMIFS('Operating Expenses'!$F$5:$F$2005,'Operating Expenses'!$Q$5:$Q$2005,$A146,'Operating Expenses'!$A$5:$A$2005,"&gt;="&amp;ReportFrom,'Operating Expenses'!$A$5:$A$2005,"&lt;="&amp;ReportTo)+SUMIFS('Operating Expenses'!$M$5:$M$2005,'Operating Expenses'!$T$5:$T$2005,$A146,'Operating Expenses'!$A$5:$A$2005,"&gt;="&amp;ReportFrom,'Operating Expenses'!$A$5:$A$2005,"&lt;="&amp;ReportTo))</f>
        <v/>
      </c>
      <c r="Q146" s="25">
        <f>IF($A146="",0,SUMIFS('Operating Expenses'!$O$5:$O$2005,'Operating Expenses'!$R$5:$R$2005,$A146,'Operating Expenses'!$A$5:$A$2005,"&gt;="&amp;ReportFrom,'Operating Expenses'!$A$5:$A$2005,"&lt;="&amp;ReportTo)+SUMIFS('Operating Expenses'!$P$5:$P$2005,'Operating Expenses'!$S$5:$S$2005,$A146,'Operating Expenses'!$A$5:$A$2005,"&gt;="&amp;ReportFrom,'Operating Expenses'!$A$5:$A$2005,"&lt;="&amp;ReportTo)+SUMIFS('Operating Expenses'!$N$5:$N$2005,'Operating Expenses'!$U$5:$U$2005,$A146,'Operating Expenses'!$A$5:$A$2005,"&gt;="&amp;ReportFrom,'Operating Expenses'!$A$5:$A$2005,"&lt;="&amp;ReportTo))</f>
        <v/>
      </c>
      <c r="R146" s="25">
        <f>IF($A146="",0,(SUMIFS('Payroll'!$O$5:$O$2005,'Payroll'!$Q$5:$Q$2005,$A146,'Payroll'!$A$5:$A$2005,"&lt;"&amp;ReportFrom))-(SUMIFS('Payroll'!$K$5:$K$2005,'Payroll'!$R$5:$R$2005,$A146,'Payroll'!$A$5:$A$2005,"&lt;"&amp;ReportFrom)+SUMIFS('Payroll'!$P$5:$P$2005,'Payroll'!$S$5:$S$2005,$A146,'Payroll'!$A$5:$A$2005,"&lt;"&amp;ReportFrom)))</f>
        <v/>
      </c>
      <c r="S146" s="25">
        <f>IF($A146="",0,SUMIFS('Payroll'!$O$5:$O$2005,'Payroll'!$Q$5:$Q$2005,$A146,'Payroll'!$A$5:$A$2005,"&gt;="&amp;ReportFrom,'Payroll'!$A$5:$A$2005,"&lt;="&amp;ReportTo))</f>
        <v/>
      </c>
      <c r="T146" s="25">
        <f>IF($A146="",0,SUMIFS('Payroll'!$K$5:$K$2005,'Payroll'!$R$5:$R$2005,$A146,'Payroll'!$A$5:$A$2005,"&gt;="&amp;ReportFrom,'Payroll'!$A$5:$A$2005,"&lt;="&amp;ReportTo)+SUMIFS('Payroll'!$P$5:$P$2005,'Payroll'!$S$5:$S$2005,$A146,'Payroll'!$A$5:$A$2005,"&gt;="&amp;ReportFrom,'Payroll'!$A$5:$A$2005,"&lt;="&amp;ReportTo))</f>
        <v/>
      </c>
      <c r="U146" s="25">
        <f>IF($A146="",0,(SUMIFS('Receipt Vouchers'!$F$5:$F$2005,'Receipt Vouchers'!$O$5:$O$2005,$A146,'Receipt Vouchers'!$A$5:$A$2005,"&lt;"&amp;ReportFrom)+SUMIFS('Receipt Vouchers'!$J$5:$J$2005,'Receipt Vouchers'!$Q$5:$Q$2005,$A146,'Receipt Vouchers'!$A$5:$A$2005,"&lt;"&amp;ReportFrom))-(SUMIFS('Receipt Vouchers'!$N$5:$N$2005,'Receipt Vouchers'!$P$5:$P$2005,$A146,'Receipt Vouchers'!$A$5:$A$2005,"&lt;"&amp;ReportFrom)+SUMIFS('Receipt Vouchers'!$M$5:$M$2005,'Receipt Vouchers'!$R$5:$R$2005,$A146,'Receipt Vouchers'!$A$5:$A$2005,"&lt;"&amp;ReportFrom)))</f>
        <v/>
      </c>
      <c r="V146" s="25">
        <f>IF($A146="",0,SUMIFS('Receipt Vouchers'!$F$5:$F$2005,'Receipt Vouchers'!$O$5:$O$2005,$A146,'Receipt Vouchers'!$A$5:$A$2005,"&gt;="&amp;ReportFrom,'Receipt Vouchers'!$A$5:$A$2005,"&lt;="&amp;ReportTo)+SUMIFS('Receipt Vouchers'!$J$5:$J$2005,'Receipt Vouchers'!$Q$5:$Q$2005,$A146,'Receipt Vouchers'!$A$5:$A$2005,"&gt;="&amp;ReportFrom,'Receipt Vouchers'!$A$5:$A$2005,"&lt;="&amp;ReportTo))</f>
        <v/>
      </c>
      <c r="W146" s="25">
        <f>IF($A146="",0,SUMIFS('Receipt Vouchers'!$N$5:$N$2005,'Receipt Vouchers'!$P$5:$P$2005,$A146,'Receipt Vouchers'!$A$5:$A$2005,"&gt;="&amp;ReportFrom,'Receipt Vouchers'!$A$5:$A$2005,"&lt;="&amp;ReportTo)+SUMIFS('Receipt Vouchers'!$M$5:$M$2005,'Receipt Vouchers'!$R$5:$R$2005,$A146,'Receipt Vouchers'!$A$5:$A$2005,"&gt;="&amp;ReportFrom,'Receipt Vouchers'!$A$5:$A$2005,"&lt;="&amp;ReportTo))</f>
        <v/>
      </c>
      <c r="X146" s="25">
        <f>IF($A146="",0,(SUMIFS('Sales Invoices'!$O$5:$O$2005,'Sales Invoices'!$P$5:$P$2005,$A146,'Sales Invoices'!$B$5:$B$2005,"&lt;"&amp;ReportFrom)+SUMIFS('Sales Invoices'!$N$5:$N$2005,'Sales Invoices'!$R$5:$R$2005,$A146,'Sales Invoices'!$B$5:$B$2005,"&lt;"&amp;ReportFrom))-(SUMIFS('Sales Invoices'!$L$5:$L$2005,'Sales Invoices'!$Q$5:$Q$2005,$A146,'Sales Invoices'!$B$5:$B$2005,"&lt;"&amp;ReportFrom)+SUMIFS('Sales Invoices'!$M$5:$M$2005,'Sales Invoices'!$S$5:$S$2005,$A146,'Sales Invoices'!$B$5:$B$2005,"&lt;"&amp;ReportFrom)))</f>
        <v/>
      </c>
      <c r="Y146" s="25">
        <f>IF($A146="",0,SUMIFS('Sales Invoices'!$O$5:$O$2005,'Sales Invoices'!$P$5:$P$2005,$A146,'Sales Invoices'!$B$5:$B$2005,"&gt;="&amp;ReportFrom,'Sales Invoices'!$B$5:$B$2005,"&lt;="&amp;ReportTo)+SUMIFS('Sales Invoices'!$N$5:$N$2005,'Sales Invoices'!$R$5:$R$2005,$A146,'Sales Invoices'!$B$5:$B$2005,"&gt;="&amp;ReportFrom,'Sales Invoices'!$B$5:$B$2005,"&lt;="&amp;ReportTo))</f>
        <v/>
      </c>
      <c r="Z146" s="25">
        <f>IF($A146="",0,SUMIFS('Sales Invoices'!$L$5:$L$2005,'Sales Invoices'!$Q$5:$Q$2005,$A146,'Sales Invoices'!$B$5:$B$2005,"&gt;="&amp;ReportFrom,'Sales Invoices'!$B$5:$B$2005,"&lt;="&amp;ReportTo)+SUMIFS('Sales Invoices'!$M$5:$M$2005,'Sales Invoices'!$S$5:$S$2005,$A146,'Sales Invoices'!$B$5:$B$2005,"&gt;="&amp;ReportFrom,'Sales Invoices'!$B$5:$B$2005,"&lt;="&amp;ReportTo))</f>
        <v/>
      </c>
      <c r="AA146" s="25">
        <f>IF($A146="",0,(SUMIFS('Payment Vouchers'!$D$5:$D$2005,'Payment Vouchers'!$J$5:$J$2005,$A146,'Payment Vouchers'!$A$5:$A$2005,"&lt;"&amp;ReportFrom))-(SUMIFS('Payment Vouchers'!$D$5:$D$2005,'Payment Vouchers'!$K$5:$K$2005,$A146,'Payment Vouchers'!$A$5:$A$2005,"&lt;"&amp;ReportFrom)))</f>
        <v/>
      </c>
      <c r="AB146" s="25">
        <f>IF($A146="",0,SUMIFS('Payment Vouchers'!$D$5:$D$2005,'Payment Vouchers'!$J$5:$J$2005,$A146,'Payment Vouchers'!$A$5:$A$2005,"&gt;="&amp;ReportFrom,'Payment Vouchers'!$A$5:$A$2005,"&lt;="&amp;ReportTo))</f>
        <v/>
      </c>
      <c r="AC146" s="25">
        <f>IF($A146="",0,SUMIFS('Payment Vouchers'!$D$5:$D$2005,'Payment Vouchers'!$K$5:$K$2005,$A146,'Payment Vouchers'!$A$5:$A$2005,"&gt;="&amp;ReportFrom,'Payment Vouchers'!$A$5:$A$2005,"&lt;="&amp;ReportTo))</f>
        <v/>
      </c>
      <c r="AD146" s="25">
        <f>IF($A146="",0,(SUMIFS('Partner Transactions'!$D$5:$D$2005,'Partner Transactions'!$L$5:$L$2005,$A146,'Partner Transactions'!$A$5:$A$2005,"&lt;"&amp;ReportFrom))-(SUMIFS('Partner Transactions'!$D$5:$D$2005,'Partner Transactions'!$M$5:$M$2005,$A146,'Partner Transactions'!$A$5:$A$2005,"&lt;"&amp;ReportFrom)))</f>
        <v/>
      </c>
      <c r="AE146" s="25">
        <f>IF($A146="",0,SUMIFS('Partner Transactions'!$D$5:$D$2005,'Partner Transactions'!$L$5:$L$2005,$A146,'Partner Transactions'!$A$5:$A$2005,"&gt;="&amp;ReportFrom,'Partner Transactions'!$A$5:$A$2005,"&lt;="&amp;ReportTo))</f>
        <v/>
      </c>
      <c r="AF146" s="25">
        <f>IF($A146="",0,SUMIFS('Partner Transactions'!$D$5:$D$2005,'Partner Transactions'!$M$5:$M$2005,$A146,'Partner Transactions'!$A$5:$A$2005,"&gt;="&amp;ReportFrom,'Partner Transactions'!$A$5:$A$2005,"&lt;="&amp;ReportTo))</f>
        <v/>
      </c>
      <c r="AG146" s="25">
        <f>IF($A146="",0,(SUMIFS('Stock Moves'!$S$5:$S$2005,'Stock Moves'!$AD$5:$AD$2005,$A146,'Stock Moves'!$A$5:$A$2005,"&lt;"&amp;ReportFrom)+SUMIFS('Stock Moves'!$T$5:$T$2005,'Stock Moves'!$V$5:$V$2005,$A146,'Stock Moves'!$A$5:$A$2005,"&lt;"&amp;ReportFrom))-(SUMIFS('Stock Moves'!$AF$5:$AF$2005,'Stock Moves'!$AE$5:$AE$2005,$A146,'Stock Moves'!$A$5:$A$2005,"&lt;"&amp;ReportFrom)+SUMIFS('Stock Moves'!$AC$5:$AC$2005,'Stock Moves'!$X$5:$X$2005,$A146,'Stock Moves'!$A$5:$A$2005,"&lt;"&amp;ReportFrom)+SUMIFS('Stock Moves'!$U$5:$U$2005,'Stock Moves'!$W$5:$W$2005,$A146,'Stock Moves'!$A$5:$A$2005,"&lt;"&amp;ReportFrom)))</f>
        <v/>
      </c>
      <c r="AH146" s="25">
        <f>IF($A146="",0,SUMIFS('Stock Moves'!$S$5:$S$2005,'Stock Moves'!$AD$5:$AD$2005,$A146,'Stock Moves'!$A$5:$A$2005,"&gt;="&amp;ReportFrom,'Stock Moves'!$A$5:$A$2005,"&lt;="&amp;ReportTo)+SUMIFS('Stock Moves'!$T$5:$T$2005,'Stock Moves'!$V$5:$V$2005,$A146,'Stock Moves'!$A$5:$A$2005,"&gt;="&amp;ReportFrom,'Stock Moves'!$A$5:$A$2005,"&lt;="&amp;ReportTo))</f>
        <v/>
      </c>
      <c r="AI146" s="25">
        <f>IF($A146="",0,SUMIFS('Stock Moves'!$AF$5:$AF$2005,'Stock Moves'!$AE$5:$AE$2005,$A146,'Stock Moves'!$A$5:$A$2005,"&gt;="&amp;ReportFrom,'Stock Moves'!$A$5:$A$2005,"&lt;="&amp;ReportTo)+SUMIFS('Stock Moves'!$AC$5:$AC$2005,'Stock Moves'!$X$5:$X$2005,$A146,'Stock Moves'!$A$5:$A$2005,"&gt;="&amp;ReportFrom,'Stock Moves'!$A$5:$A$2005,"&lt;="&amp;ReportTo)+SUMIFS('Stock Moves'!$U$5:$U$2005,'Stock Moves'!$W$5:$W$2005,$A146,'Stock Moves'!$A$5:$A$2005,"&gt;="&amp;ReportFrom,'Stock Moves'!$A$5:$A$2005,"&lt;="&amp;ReportTo))</f>
        <v/>
      </c>
      <c r="AJ146" s="25">
        <f>IF($A146="",0,(SUMIFS('Journal Vouchers'!$I$5:$I$2005,'Journal Vouchers'!$H$5:$H$2005,$A146,'Journal Vouchers'!$B$5:$B$2005,"&lt;"&amp;ReportFrom))-(SUMIFS('Journal Vouchers'!$J$5:$J$2005,'Journal Vouchers'!$H$5:$H$2005,$A146,'Journal Vouchers'!$B$5:$B$2005,"&lt;"&amp;ReportFrom)))</f>
        <v/>
      </c>
      <c r="AK146" s="25">
        <f>IF($A146="",0,SUMIFS('Journal Vouchers'!$I$5:$I$2005,'Journal Vouchers'!$H$5:$H$2005,$A146,'Journal Vouchers'!$B$5:$B$2005,"&gt;="&amp;ReportFrom,'Journal Vouchers'!$B$5:$B$2005,"&lt;="&amp;ReportTo))</f>
        <v/>
      </c>
      <c r="AL146" s="25">
        <f>IF($A146="",0,SUMIFS('Journal Vouchers'!$J$5:$J$2005,'Journal Vouchers'!$H$5:$H$2005,$A146,'Journal Vouchers'!$B$5:$B$2005,"&gt;="&amp;ReportFrom,'Journal Vouchers'!$B$5:$B$2005,"&lt;="&amp;ReportTo))</f>
        <v/>
      </c>
    </row>
    <row r="147">
      <c r="A147" s="25">
        <f>IF('Chart of Accounts'!A147="","",'Chart of Accounts'!A147&amp;"")</f>
        <v/>
      </c>
      <c r="B147" s="25">
        <f>IF(A147="","",'Chart of Accounts'!B147)</f>
        <v/>
      </c>
      <c r="C147" s="25">
        <f>IF(A147="","",'Chart of Accounts'!C147)</f>
        <v/>
      </c>
      <c r="D147" s="25">
        <f>IF(A147="","",'Chart of Accounts'!D147)</f>
        <v/>
      </c>
      <c r="E147" s="26">
        <f>L147+O147+R147+U147+X147+AA147+AD147+AG147+AJ147</f>
        <v/>
      </c>
      <c r="F147" s="26">
        <f>M147+P147+S147+V147+Y147+AB147+AE147+AH147+AK147</f>
        <v/>
      </c>
      <c r="G147" s="26">
        <f>N147+Q147+T147+W147+Z147+AC147+AF147+AI147+AL147</f>
        <v/>
      </c>
      <c r="H147" s="26">
        <f>E147+F147-G147</f>
        <v/>
      </c>
      <c r="I147" s="26">
        <f>MAX(H147,0)</f>
        <v/>
      </c>
      <c r="J147" s="26">
        <f>MAX(-H147,0)</f>
        <v/>
      </c>
      <c r="L147" s="25">
        <f>IF($A147="",0,(SUMIFS('Direct Costs'!$R$5:$R$2005,'Direct Costs'!$V$5:$V$2005,$A147,'Direct Costs'!$A$5:$A$2005,"&lt;"&amp;ReportFrom)+SUMIFS('Direct Costs'!$S$5:$S$2005,'Direct Costs'!$Y$5:$Y$2005,$A147,'Direct Costs'!$A$5:$A$2005,"&lt;"&amp;ReportFrom))-(SUMIFS('Direct Costs'!$L$5:$L$2005,'Direct Costs'!$W$5:$W$2005,$A147,'Direct Costs'!$A$5:$A$2005,"&lt;"&amp;ReportFrom)+SUMIFS('Direct Costs'!$U$5:$U$2005,'Direct Costs'!$X$5:$X$2005,$A147,'Direct Costs'!$A$5:$A$2005,"&lt;"&amp;ReportFrom)+SUMIFS('Direct Costs'!$T$5:$T$2005,'Direct Costs'!$Z$5:$Z$2005,$A147,'Direct Costs'!$A$5:$A$2005,"&lt;"&amp;ReportFrom)))</f>
        <v/>
      </c>
      <c r="M147" s="25">
        <f>IF($A147="",0,SUMIFS('Direct Costs'!$R$5:$R$2005,'Direct Costs'!$V$5:$V$2005,$A147,'Direct Costs'!$A$5:$A$2005,"&gt;="&amp;ReportFrom,'Direct Costs'!$A$5:$A$2005,"&lt;="&amp;ReportTo)+SUMIFS('Direct Costs'!$S$5:$S$2005,'Direct Costs'!$Y$5:$Y$2005,$A147,'Direct Costs'!$A$5:$A$2005,"&gt;="&amp;ReportFrom,'Direct Costs'!$A$5:$A$2005,"&lt;="&amp;ReportTo))</f>
        <v/>
      </c>
      <c r="N147" s="25">
        <f>IF($A147="",0,SUMIFS('Direct Costs'!$L$5:$L$2005,'Direct Costs'!$W$5:$W$2005,$A147,'Direct Costs'!$A$5:$A$2005,"&gt;="&amp;ReportFrom,'Direct Costs'!$A$5:$A$2005,"&lt;="&amp;ReportTo)+SUMIFS('Direct Costs'!$U$5:$U$2005,'Direct Costs'!$X$5:$X$2005,$A147,'Direct Costs'!$A$5:$A$2005,"&gt;="&amp;ReportFrom,'Direct Costs'!$A$5:$A$2005,"&lt;="&amp;ReportTo)+SUMIFS('Direct Costs'!$T$5:$T$2005,'Direct Costs'!$Z$5:$Z$2005,$A147,'Direct Costs'!$A$5:$A$2005,"&gt;="&amp;ReportFrom,'Direct Costs'!$A$5:$A$2005,"&lt;="&amp;ReportTo))</f>
        <v/>
      </c>
      <c r="O147" s="25">
        <f>IF($A147="",0,(SUMIFS('Operating Expenses'!$F$5:$F$2005,'Operating Expenses'!$Q$5:$Q$2005,$A147,'Operating Expenses'!$A$5:$A$2005,"&lt;"&amp;ReportFrom)+SUMIFS('Operating Expenses'!$M$5:$M$2005,'Operating Expenses'!$T$5:$T$2005,$A147,'Operating Expenses'!$A$5:$A$2005,"&lt;"&amp;ReportFrom))-(SUMIFS('Operating Expenses'!$O$5:$O$2005,'Operating Expenses'!$R$5:$R$2005,$A147,'Operating Expenses'!$A$5:$A$2005,"&lt;"&amp;ReportFrom)+SUMIFS('Operating Expenses'!$P$5:$P$2005,'Operating Expenses'!$S$5:$S$2005,$A147,'Operating Expenses'!$A$5:$A$2005,"&lt;"&amp;ReportFrom)+SUMIFS('Operating Expenses'!$N$5:$N$2005,'Operating Expenses'!$U$5:$U$2005,$A147,'Operating Expenses'!$A$5:$A$2005,"&lt;"&amp;ReportFrom)))</f>
        <v/>
      </c>
      <c r="P147" s="25">
        <f>IF($A147="",0,SUMIFS('Operating Expenses'!$F$5:$F$2005,'Operating Expenses'!$Q$5:$Q$2005,$A147,'Operating Expenses'!$A$5:$A$2005,"&gt;="&amp;ReportFrom,'Operating Expenses'!$A$5:$A$2005,"&lt;="&amp;ReportTo)+SUMIFS('Operating Expenses'!$M$5:$M$2005,'Operating Expenses'!$T$5:$T$2005,$A147,'Operating Expenses'!$A$5:$A$2005,"&gt;="&amp;ReportFrom,'Operating Expenses'!$A$5:$A$2005,"&lt;="&amp;ReportTo))</f>
        <v/>
      </c>
      <c r="Q147" s="25">
        <f>IF($A147="",0,SUMIFS('Operating Expenses'!$O$5:$O$2005,'Operating Expenses'!$R$5:$R$2005,$A147,'Operating Expenses'!$A$5:$A$2005,"&gt;="&amp;ReportFrom,'Operating Expenses'!$A$5:$A$2005,"&lt;="&amp;ReportTo)+SUMIFS('Operating Expenses'!$P$5:$P$2005,'Operating Expenses'!$S$5:$S$2005,$A147,'Operating Expenses'!$A$5:$A$2005,"&gt;="&amp;ReportFrom,'Operating Expenses'!$A$5:$A$2005,"&lt;="&amp;ReportTo)+SUMIFS('Operating Expenses'!$N$5:$N$2005,'Operating Expenses'!$U$5:$U$2005,$A147,'Operating Expenses'!$A$5:$A$2005,"&gt;="&amp;ReportFrom,'Operating Expenses'!$A$5:$A$2005,"&lt;="&amp;ReportTo))</f>
        <v/>
      </c>
      <c r="R147" s="25">
        <f>IF($A147="",0,(SUMIFS('Payroll'!$O$5:$O$2005,'Payroll'!$Q$5:$Q$2005,$A147,'Payroll'!$A$5:$A$2005,"&lt;"&amp;ReportFrom))-(SUMIFS('Payroll'!$K$5:$K$2005,'Payroll'!$R$5:$R$2005,$A147,'Payroll'!$A$5:$A$2005,"&lt;"&amp;ReportFrom)+SUMIFS('Payroll'!$P$5:$P$2005,'Payroll'!$S$5:$S$2005,$A147,'Payroll'!$A$5:$A$2005,"&lt;"&amp;ReportFrom)))</f>
        <v/>
      </c>
      <c r="S147" s="25">
        <f>IF($A147="",0,SUMIFS('Payroll'!$O$5:$O$2005,'Payroll'!$Q$5:$Q$2005,$A147,'Payroll'!$A$5:$A$2005,"&gt;="&amp;ReportFrom,'Payroll'!$A$5:$A$2005,"&lt;="&amp;ReportTo))</f>
        <v/>
      </c>
      <c r="T147" s="25">
        <f>IF($A147="",0,SUMIFS('Payroll'!$K$5:$K$2005,'Payroll'!$R$5:$R$2005,$A147,'Payroll'!$A$5:$A$2005,"&gt;="&amp;ReportFrom,'Payroll'!$A$5:$A$2005,"&lt;="&amp;ReportTo)+SUMIFS('Payroll'!$P$5:$P$2005,'Payroll'!$S$5:$S$2005,$A147,'Payroll'!$A$5:$A$2005,"&gt;="&amp;ReportFrom,'Payroll'!$A$5:$A$2005,"&lt;="&amp;ReportTo))</f>
        <v/>
      </c>
      <c r="U147" s="25">
        <f>IF($A147="",0,(SUMIFS('Receipt Vouchers'!$F$5:$F$2005,'Receipt Vouchers'!$O$5:$O$2005,$A147,'Receipt Vouchers'!$A$5:$A$2005,"&lt;"&amp;ReportFrom)+SUMIFS('Receipt Vouchers'!$J$5:$J$2005,'Receipt Vouchers'!$Q$5:$Q$2005,$A147,'Receipt Vouchers'!$A$5:$A$2005,"&lt;"&amp;ReportFrom))-(SUMIFS('Receipt Vouchers'!$N$5:$N$2005,'Receipt Vouchers'!$P$5:$P$2005,$A147,'Receipt Vouchers'!$A$5:$A$2005,"&lt;"&amp;ReportFrom)+SUMIFS('Receipt Vouchers'!$M$5:$M$2005,'Receipt Vouchers'!$R$5:$R$2005,$A147,'Receipt Vouchers'!$A$5:$A$2005,"&lt;"&amp;ReportFrom)))</f>
        <v/>
      </c>
      <c r="V147" s="25">
        <f>IF($A147="",0,SUMIFS('Receipt Vouchers'!$F$5:$F$2005,'Receipt Vouchers'!$O$5:$O$2005,$A147,'Receipt Vouchers'!$A$5:$A$2005,"&gt;="&amp;ReportFrom,'Receipt Vouchers'!$A$5:$A$2005,"&lt;="&amp;ReportTo)+SUMIFS('Receipt Vouchers'!$J$5:$J$2005,'Receipt Vouchers'!$Q$5:$Q$2005,$A147,'Receipt Vouchers'!$A$5:$A$2005,"&gt;="&amp;ReportFrom,'Receipt Vouchers'!$A$5:$A$2005,"&lt;="&amp;ReportTo))</f>
        <v/>
      </c>
      <c r="W147" s="25">
        <f>IF($A147="",0,SUMIFS('Receipt Vouchers'!$N$5:$N$2005,'Receipt Vouchers'!$P$5:$P$2005,$A147,'Receipt Vouchers'!$A$5:$A$2005,"&gt;="&amp;ReportFrom,'Receipt Vouchers'!$A$5:$A$2005,"&lt;="&amp;ReportTo)+SUMIFS('Receipt Vouchers'!$M$5:$M$2005,'Receipt Vouchers'!$R$5:$R$2005,$A147,'Receipt Vouchers'!$A$5:$A$2005,"&gt;="&amp;ReportFrom,'Receipt Vouchers'!$A$5:$A$2005,"&lt;="&amp;ReportTo))</f>
        <v/>
      </c>
      <c r="X147" s="25">
        <f>IF($A147="",0,(SUMIFS('Sales Invoices'!$O$5:$O$2005,'Sales Invoices'!$P$5:$P$2005,$A147,'Sales Invoices'!$B$5:$B$2005,"&lt;"&amp;ReportFrom)+SUMIFS('Sales Invoices'!$N$5:$N$2005,'Sales Invoices'!$R$5:$R$2005,$A147,'Sales Invoices'!$B$5:$B$2005,"&lt;"&amp;ReportFrom))-(SUMIFS('Sales Invoices'!$L$5:$L$2005,'Sales Invoices'!$Q$5:$Q$2005,$A147,'Sales Invoices'!$B$5:$B$2005,"&lt;"&amp;ReportFrom)+SUMIFS('Sales Invoices'!$M$5:$M$2005,'Sales Invoices'!$S$5:$S$2005,$A147,'Sales Invoices'!$B$5:$B$2005,"&lt;"&amp;ReportFrom)))</f>
        <v/>
      </c>
      <c r="Y147" s="25">
        <f>IF($A147="",0,SUMIFS('Sales Invoices'!$O$5:$O$2005,'Sales Invoices'!$P$5:$P$2005,$A147,'Sales Invoices'!$B$5:$B$2005,"&gt;="&amp;ReportFrom,'Sales Invoices'!$B$5:$B$2005,"&lt;="&amp;ReportTo)+SUMIFS('Sales Invoices'!$N$5:$N$2005,'Sales Invoices'!$R$5:$R$2005,$A147,'Sales Invoices'!$B$5:$B$2005,"&gt;="&amp;ReportFrom,'Sales Invoices'!$B$5:$B$2005,"&lt;="&amp;ReportTo))</f>
        <v/>
      </c>
      <c r="Z147" s="25">
        <f>IF($A147="",0,SUMIFS('Sales Invoices'!$L$5:$L$2005,'Sales Invoices'!$Q$5:$Q$2005,$A147,'Sales Invoices'!$B$5:$B$2005,"&gt;="&amp;ReportFrom,'Sales Invoices'!$B$5:$B$2005,"&lt;="&amp;ReportTo)+SUMIFS('Sales Invoices'!$M$5:$M$2005,'Sales Invoices'!$S$5:$S$2005,$A147,'Sales Invoices'!$B$5:$B$2005,"&gt;="&amp;ReportFrom,'Sales Invoices'!$B$5:$B$2005,"&lt;="&amp;ReportTo))</f>
        <v/>
      </c>
      <c r="AA147" s="25">
        <f>IF($A147="",0,(SUMIFS('Payment Vouchers'!$D$5:$D$2005,'Payment Vouchers'!$J$5:$J$2005,$A147,'Payment Vouchers'!$A$5:$A$2005,"&lt;"&amp;ReportFrom))-(SUMIFS('Payment Vouchers'!$D$5:$D$2005,'Payment Vouchers'!$K$5:$K$2005,$A147,'Payment Vouchers'!$A$5:$A$2005,"&lt;"&amp;ReportFrom)))</f>
        <v/>
      </c>
      <c r="AB147" s="25">
        <f>IF($A147="",0,SUMIFS('Payment Vouchers'!$D$5:$D$2005,'Payment Vouchers'!$J$5:$J$2005,$A147,'Payment Vouchers'!$A$5:$A$2005,"&gt;="&amp;ReportFrom,'Payment Vouchers'!$A$5:$A$2005,"&lt;="&amp;ReportTo))</f>
        <v/>
      </c>
      <c r="AC147" s="25">
        <f>IF($A147="",0,SUMIFS('Payment Vouchers'!$D$5:$D$2005,'Payment Vouchers'!$K$5:$K$2005,$A147,'Payment Vouchers'!$A$5:$A$2005,"&gt;="&amp;ReportFrom,'Payment Vouchers'!$A$5:$A$2005,"&lt;="&amp;ReportTo))</f>
        <v/>
      </c>
      <c r="AD147" s="25">
        <f>IF($A147="",0,(SUMIFS('Partner Transactions'!$D$5:$D$2005,'Partner Transactions'!$L$5:$L$2005,$A147,'Partner Transactions'!$A$5:$A$2005,"&lt;"&amp;ReportFrom))-(SUMIFS('Partner Transactions'!$D$5:$D$2005,'Partner Transactions'!$M$5:$M$2005,$A147,'Partner Transactions'!$A$5:$A$2005,"&lt;"&amp;ReportFrom)))</f>
        <v/>
      </c>
      <c r="AE147" s="25">
        <f>IF($A147="",0,SUMIFS('Partner Transactions'!$D$5:$D$2005,'Partner Transactions'!$L$5:$L$2005,$A147,'Partner Transactions'!$A$5:$A$2005,"&gt;="&amp;ReportFrom,'Partner Transactions'!$A$5:$A$2005,"&lt;="&amp;ReportTo))</f>
        <v/>
      </c>
      <c r="AF147" s="25">
        <f>IF($A147="",0,SUMIFS('Partner Transactions'!$D$5:$D$2005,'Partner Transactions'!$M$5:$M$2005,$A147,'Partner Transactions'!$A$5:$A$2005,"&gt;="&amp;ReportFrom,'Partner Transactions'!$A$5:$A$2005,"&lt;="&amp;ReportTo))</f>
        <v/>
      </c>
      <c r="AG147" s="25">
        <f>IF($A147="",0,(SUMIFS('Stock Moves'!$S$5:$S$2005,'Stock Moves'!$AD$5:$AD$2005,$A147,'Stock Moves'!$A$5:$A$2005,"&lt;"&amp;ReportFrom)+SUMIFS('Stock Moves'!$T$5:$T$2005,'Stock Moves'!$V$5:$V$2005,$A147,'Stock Moves'!$A$5:$A$2005,"&lt;"&amp;ReportFrom))-(SUMIFS('Stock Moves'!$AF$5:$AF$2005,'Stock Moves'!$AE$5:$AE$2005,$A147,'Stock Moves'!$A$5:$A$2005,"&lt;"&amp;ReportFrom)+SUMIFS('Stock Moves'!$AC$5:$AC$2005,'Stock Moves'!$X$5:$X$2005,$A147,'Stock Moves'!$A$5:$A$2005,"&lt;"&amp;ReportFrom)+SUMIFS('Stock Moves'!$U$5:$U$2005,'Stock Moves'!$W$5:$W$2005,$A147,'Stock Moves'!$A$5:$A$2005,"&lt;"&amp;ReportFrom)))</f>
        <v/>
      </c>
      <c r="AH147" s="25">
        <f>IF($A147="",0,SUMIFS('Stock Moves'!$S$5:$S$2005,'Stock Moves'!$AD$5:$AD$2005,$A147,'Stock Moves'!$A$5:$A$2005,"&gt;="&amp;ReportFrom,'Stock Moves'!$A$5:$A$2005,"&lt;="&amp;ReportTo)+SUMIFS('Stock Moves'!$T$5:$T$2005,'Stock Moves'!$V$5:$V$2005,$A147,'Stock Moves'!$A$5:$A$2005,"&gt;="&amp;ReportFrom,'Stock Moves'!$A$5:$A$2005,"&lt;="&amp;ReportTo))</f>
        <v/>
      </c>
      <c r="AI147" s="25">
        <f>IF($A147="",0,SUMIFS('Stock Moves'!$AF$5:$AF$2005,'Stock Moves'!$AE$5:$AE$2005,$A147,'Stock Moves'!$A$5:$A$2005,"&gt;="&amp;ReportFrom,'Stock Moves'!$A$5:$A$2005,"&lt;="&amp;ReportTo)+SUMIFS('Stock Moves'!$AC$5:$AC$2005,'Stock Moves'!$X$5:$X$2005,$A147,'Stock Moves'!$A$5:$A$2005,"&gt;="&amp;ReportFrom,'Stock Moves'!$A$5:$A$2005,"&lt;="&amp;ReportTo)+SUMIFS('Stock Moves'!$U$5:$U$2005,'Stock Moves'!$W$5:$W$2005,$A147,'Stock Moves'!$A$5:$A$2005,"&gt;="&amp;ReportFrom,'Stock Moves'!$A$5:$A$2005,"&lt;="&amp;ReportTo))</f>
        <v/>
      </c>
      <c r="AJ147" s="25">
        <f>IF($A147="",0,(SUMIFS('Journal Vouchers'!$I$5:$I$2005,'Journal Vouchers'!$H$5:$H$2005,$A147,'Journal Vouchers'!$B$5:$B$2005,"&lt;"&amp;ReportFrom))-(SUMIFS('Journal Vouchers'!$J$5:$J$2005,'Journal Vouchers'!$H$5:$H$2005,$A147,'Journal Vouchers'!$B$5:$B$2005,"&lt;"&amp;ReportFrom)))</f>
        <v/>
      </c>
      <c r="AK147" s="25">
        <f>IF($A147="",0,SUMIFS('Journal Vouchers'!$I$5:$I$2005,'Journal Vouchers'!$H$5:$H$2005,$A147,'Journal Vouchers'!$B$5:$B$2005,"&gt;="&amp;ReportFrom,'Journal Vouchers'!$B$5:$B$2005,"&lt;="&amp;ReportTo))</f>
        <v/>
      </c>
      <c r="AL147" s="25">
        <f>IF($A147="",0,SUMIFS('Journal Vouchers'!$J$5:$J$2005,'Journal Vouchers'!$H$5:$H$2005,$A147,'Journal Vouchers'!$B$5:$B$2005,"&gt;="&amp;ReportFrom,'Journal Vouchers'!$B$5:$B$2005,"&lt;="&amp;ReportTo))</f>
        <v/>
      </c>
    </row>
    <row r="148">
      <c r="A148" s="25">
        <f>IF('Chart of Accounts'!A148="","",'Chart of Accounts'!A148&amp;"")</f>
        <v/>
      </c>
      <c r="B148" s="25">
        <f>IF(A148="","",'Chart of Accounts'!B148)</f>
        <v/>
      </c>
      <c r="C148" s="25">
        <f>IF(A148="","",'Chart of Accounts'!C148)</f>
        <v/>
      </c>
      <c r="D148" s="25">
        <f>IF(A148="","",'Chart of Accounts'!D148)</f>
        <v/>
      </c>
      <c r="E148" s="26">
        <f>L148+O148+R148+U148+X148+AA148+AD148+AG148+AJ148</f>
        <v/>
      </c>
      <c r="F148" s="26">
        <f>M148+P148+S148+V148+Y148+AB148+AE148+AH148+AK148</f>
        <v/>
      </c>
      <c r="G148" s="26">
        <f>N148+Q148+T148+W148+Z148+AC148+AF148+AI148+AL148</f>
        <v/>
      </c>
      <c r="H148" s="26">
        <f>E148+F148-G148</f>
        <v/>
      </c>
      <c r="I148" s="26">
        <f>MAX(H148,0)</f>
        <v/>
      </c>
      <c r="J148" s="26">
        <f>MAX(-H148,0)</f>
        <v/>
      </c>
      <c r="L148" s="25">
        <f>IF($A148="",0,(SUMIFS('Direct Costs'!$R$5:$R$2005,'Direct Costs'!$V$5:$V$2005,$A148,'Direct Costs'!$A$5:$A$2005,"&lt;"&amp;ReportFrom)+SUMIFS('Direct Costs'!$S$5:$S$2005,'Direct Costs'!$Y$5:$Y$2005,$A148,'Direct Costs'!$A$5:$A$2005,"&lt;"&amp;ReportFrom))-(SUMIFS('Direct Costs'!$L$5:$L$2005,'Direct Costs'!$W$5:$W$2005,$A148,'Direct Costs'!$A$5:$A$2005,"&lt;"&amp;ReportFrom)+SUMIFS('Direct Costs'!$U$5:$U$2005,'Direct Costs'!$X$5:$X$2005,$A148,'Direct Costs'!$A$5:$A$2005,"&lt;"&amp;ReportFrom)+SUMIFS('Direct Costs'!$T$5:$T$2005,'Direct Costs'!$Z$5:$Z$2005,$A148,'Direct Costs'!$A$5:$A$2005,"&lt;"&amp;ReportFrom)))</f>
        <v/>
      </c>
      <c r="M148" s="25">
        <f>IF($A148="",0,SUMIFS('Direct Costs'!$R$5:$R$2005,'Direct Costs'!$V$5:$V$2005,$A148,'Direct Costs'!$A$5:$A$2005,"&gt;="&amp;ReportFrom,'Direct Costs'!$A$5:$A$2005,"&lt;="&amp;ReportTo)+SUMIFS('Direct Costs'!$S$5:$S$2005,'Direct Costs'!$Y$5:$Y$2005,$A148,'Direct Costs'!$A$5:$A$2005,"&gt;="&amp;ReportFrom,'Direct Costs'!$A$5:$A$2005,"&lt;="&amp;ReportTo))</f>
        <v/>
      </c>
      <c r="N148" s="25">
        <f>IF($A148="",0,SUMIFS('Direct Costs'!$L$5:$L$2005,'Direct Costs'!$W$5:$W$2005,$A148,'Direct Costs'!$A$5:$A$2005,"&gt;="&amp;ReportFrom,'Direct Costs'!$A$5:$A$2005,"&lt;="&amp;ReportTo)+SUMIFS('Direct Costs'!$U$5:$U$2005,'Direct Costs'!$X$5:$X$2005,$A148,'Direct Costs'!$A$5:$A$2005,"&gt;="&amp;ReportFrom,'Direct Costs'!$A$5:$A$2005,"&lt;="&amp;ReportTo)+SUMIFS('Direct Costs'!$T$5:$T$2005,'Direct Costs'!$Z$5:$Z$2005,$A148,'Direct Costs'!$A$5:$A$2005,"&gt;="&amp;ReportFrom,'Direct Costs'!$A$5:$A$2005,"&lt;="&amp;ReportTo))</f>
        <v/>
      </c>
      <c r="O148" s="25">
        <f>IF($A148="",0,(SUMIFS('Operating Expenses'!$F$5:$F$2005,'Operating Expenses'!$Q$5:$Q$2005,$A148,'Operating Expenses'!$A$5:$A$2005,"&lt;"&amp;ReportFrom)+SUMIFS('Operating Expenses'!$M$5:$M$2005,'Operating Expenses'!$T$5:$T$2005,$A148,'Operating Expenses'!$A$5:$A$2005,"&lt;"&amp;ReportFrom))-(SUMIFS('Operating Expenses'!$O$5:$O$2005,'Operating Expenses'!$R$5:$R$2005,$A148,'Operating Expenses'!$A$5:$A$2005,"&lt;"&amp;ReportFrom)+SUMIFS('Operating Expenses'!$P$5:$P$2005,'Operating Expenses'!$S$5:$S$2005,$A148,'Operating Expenses'!$A$5:$A$2005,"&lt;"&amp;ReportFrom)+SUMIFS('Operating Expenses'!$N$5:$N$2005,'Operating Expenses'!$U$5:$U$2005,$A148,'Operating Expenses'!$A$5:$A$2005,"&lt;"&amp;ReportFrom)))</f>
        <v/>
      </c>
      <c r="P148" s="25">
        <f>IF($A148="",0,SUMIFS('Operating Expenses'!$F$5:$F$2005,'Operating Expenses'!$Q$5:$Q$2005,$A148,'Operating Expenses'!$A$5:$A$2005,"&gt;="&amp;ReportFrom,'Operating Expenses'!$A$5:$A$2005,"&lt;="&amp;ReportTo)+SUMIFS('Operating Expenses'!$M$5:$M$2005,'Operating Expenses'!$T$5:$T$2005,$A148,'Operating Expenses'!$A$5:$A$2005,"&gt;="&amp;ReportFrom,'Operating Expenses'!$A$5:$A$2005,"&lt;="&amp;ReportTo))</f>
        <v/>
      </c>
      <c r="Q148" s="25">
        <f>IF($A148="",0,SUMIFS('Operating Expenses'!$O$5:$O$2005,'Operating Expenses'!$R$5:$R$2005,$A148,'Operating Expenses'!$A$5:$A$2005,"&gt;="&amp;ReportFrom,'Operating Expenses'!$A$5:$A$2005,"&lt;="&amp;ReportTo)+SUMIFS('Operating Expenses'!$P$5:$P$2005,'Operating Expenses'!$S$5:$S$2005,$A148,'Operating Expenses'!$A$5:$A$2005,"&gt;="&amp;ReportFrom,'Operating Expenses'!$A$5:$A$2005,"&lt;="&amp;ReportTo)+SUMIFS('Operating Expenses'!$N$5:$N$2005,'Operating Expenses'!$U$5:$U$2005,$A148,'Operating Expenses'!$A$5:$A$2005,"&gt;="&amp;ReportFrom,'Operating Expenses'!$A$5:$A$2005,"&lt;="&amp;ReportTo))</f>
        <v/>
      </c>
      <c r="R148" s="25">
        <f>IF($A148="",0,(SUMIFS('Payroll'!$O$5:$O$2005,'Payroll'!$Q$5:$Q$2005,$A148,'Payroll'!$A$5:$A$2005,"&lt;"&amp;ReportFrom))-(SUMIFS('Payroll'!$K$5:$K$2005,'Payroll'!$R$5:$R$2005,$A148,'Payroll'!$A$5:$A$2005,"&lt;"&amp;ReportFrom)+SUMIFS('Payroll'!$P$5:$P$2005,'Payroll'!$S$5:$S$2005,$A148,'Payroll'!$A$5:$A$2005,"&lt;"&amp;ReportFrom)))</f>
        <v/>
      </c>
      <c r="S148" s="25">
        <f>IF($A148="",0,SUMIFS('Payroll'!$O$5:$O$2005,'Payroll'!$Q$5:$Q$2005,$A148,'Payroll'!$A$5:$A$2005,"&gt;="&amp;ReportFrom,'Payroll'!$A$5:$A$2005,"&lt;="&amp;ReportTo))</f>
        <v/>
      </c>
      <c r="T148" s="25">
        <f>IF($A148="",0,SUMIFS('Payroll'!$K$5:$K$2005,'Payroll'!$R$5:$R$2005,$A148,'Payroll'!$A$5:$A$2005,"&gt;="&amp;ReportFrom,'Payroll'!$A$5:$A$2005,"&lt;="&amp;ReportTo)+SUMIFS('Payroll'!$P$5:$P$2005,'Payroll'!$S$5:$S$2005,$A148,'Payroll'!$A$5:$A$2005,"&gt;="&amp;ReportFrom,'Payroll'!$A$5:$A$2005,"&lt;="&amp;ReportTo))</f>
        <v/>
      </c>
      <c r="U148" s="25">
        <f>IF($A148="",0,(SUMIFS('Receipt Vouchers'!$F$5:$F$2005,'Receipt Vouchers'!$O$5:$O$2005,$A148,'Receipt Vouchers'!$A$5:$A$2005,"&lt;"&amp;ReportFrom)+SUMIFS('Receipt Vouchers'!$J$5:$J$2005,'Receipt Vouchers'!$Q$5:$Q$2005,$A148,'Receipt Vouchers'!$A$5:$A$2005,"&lt;"&amp;ReportFrom))-(SUMIFS('Receipt Vouchers'!$N$5:$N$2005,'Receipt Vouchers'!$P$5:$P$2005,$A148,'Receipt Vouchers'!$A$5:$A$2005,"&lt;"&amp;ReportFrom)+SUMIFS('Receipt Vouchers'!$M$5:$M$2005,'Receipt Vouchers'!$R$5:$R$2005,$A148,'Receipt Vouchers'!$A$5:$A$2005,"&lt;"&amp;ReportFrom)))</f>
        <v/>
      </c>
      <c r="V148" s="25">
        <f>IF($A148="",0,SUMIFS('Receipt Vouchers'!$F$5:$F$2005,'Receipt Vouchers'!$O$5:$O$2005,$A148,'Receipt Vouchers'!$A$5:$A$2005,"&gt;="&amp;ReportFrom,'Receipt Vouchers'!$A$5:$A$2005,"&lt;="&amp;ReportTo)+SUMIFS('Receipt Vouchers'!$J$5:$J$2005,'Receipt Vouchers'!$Q$5:$Q$2005,$A148,'Receipt Vouchers'!$A$5:$A$2005,"&gt;="&amp;ReportFrom,'Receipt Vouchers'!$A$5:$A$2005,"&lt;="&amp;ReportTo))</f>
        <v/>
      </c>
      <c r="W148" s="25">
        <f>IF($A148="",0,SUMIFS('Receipt Vouchers'!$N$5:$N$2005,'Receipt Vouchers'!$P$5:$P$2005,$A148,'Receipt Vouchers'!$A$5:$A$2005,"&gt;="&amp;ReportFrom,'Receipt Vouchers'!$A$5:$A$2005,"&lt;="&amp;ReportTo)+SUMIFS('Receipt Vouchers'!$M$5:$M$2005,'Receipt Vouchers'!$R$5:$R$2005,$A148,'Receipt Vouchers'!$A$5:$A$2005,"&gt;="&amp;ReportFrom,'Receipt Vouchers'!$A$5:$A$2005,"&lt;="&amp;ReportTo))</f>
        <v/>
      </c>
      <c r="X148" s="25">
        <f>IF($A148="",0,(SUMIFS('Sales Invoices'!$O$5:$O$2005,'Sales Invoices'!$P$5:$P$2005,$A148,'Sales Invoices'!$B$5:$B$2005,"&lt;"&amp;ReportFrom)+SUMIFS('Sales Invoices'!$N$5:$N$2005,'Sales Invoices'!$R$5:$R$2005,$A148,'Sales Invoices'!$B$5:$B$2005,"&lt;"&amp;ReportFrom))-(SUMIFS('Sales Invoices'!$L$5:$L$2005,'Sales Invoices'!$Q$5:$Q$2005,$A148,'Sales Invoices'!$B$5:$B$2005,"&lt;"&amp;ReportFrom)+SUMIFS('Sales Invoices'!$M$5:$M$2005,'Sales Invoices'!$S$5:$S$2005,$A148,'Sales Invoices'!$B$5:$B$2005,"&lt;"&amp;ReportFrom)))</f>
        <v/>
      </c>
      <c r="Y148" s="25">
        <f>IF($A148="",0,SUMIFS('Sales Invoices'!$O$5:$O$2005,'Sales Invoices'!$P$5:$P$2005,$A148,'Sales Invoices'!$B$5:$B$2005,"&gt;="&amp;ReportFrom,'Sales Invoices'!$B$5:$B$2005,"&lt;="&amp;ReportTo)+SUMIFS('Sales Invoices'!$N$5:$N$2005,'Sales Invoices'!$R$5:$R$2005,$A148,'Sales Invoices'!$B$5:$B$2005,"&gt;="&amp;ReportFrom,'Sales Invoices'!$B$5:$B$2005,"&lt;="&amp;ReportTo))</f>
        <v/>
      </c>
      <c r="Z148" s="25">
        <f>IF($A148="",0,SUMIFS('Sales Invoices'!$L$5:$L$2005,'Sales Invoices'!$Q$5:$Q$2005,$A148,'Sales Invoices'!$B$5:$B$2005,"&gt;="&amp;ReportFrom,'Sales Invoices'!$B$5:$B$2005,"&lt;="&amp;ReportTo)+SUMIFS('Sales Invoices'!$M$5:$M$2005,'Sales Invoices'!$S$5:$S$2005,$A148,'Sales Invoices'!$B$5:$B$2005,"&gt;="&amp;ReportFrom,'Sales Invoices'!$B$5:$B$2005,"&lt;="&amp;ReportTo))</f>
        <v/>
      </c>
      <c r="AA148" s="25">
        <f>IF($A148="",0,(SUMIFS('Payment Vouchers'!$D$5:$D$2005,'Payment Vouchers'!$J$5:$J$2005,$A148,'Payment Vouchers'!$A$5:$A$2005,"&lt;"&amp;ReportFrom))-(SUMIFS('Payment Vouchers'!$D$5:$D$2005,'Payment Vouchers'!$K$5:$K$2005,$A148,'Payment Vouchers'!$A$5:$A$2005,"&lt;"&amp;ReportFrom)))</f>
        <v/>
      </c>
      <c r="AB148" s="25">
        <f>IF($A148="",0,SUMIFS('Payment Vouchers'!$D$5:$D$2005,'Payment Vouchers'!$J$5:$J$2005,$A148,'Payment Vouchers'!$A$5:$A$2005,"&gt;="&amp;ReportFrom,'Payment Vouchers'!$A$5:$A$2005,"&lt;="&amp;ReportTo))</f>
        <v/>
      </c>
      <c r="AC148" s="25">
        <f>IF($A148="",0,SUMIFS('Payment Vouchers'!$D$5:$D$2005,'Payment Vouchers'!$K$5:$K$2005,$A148,'Payment Vouchers'!$A$5:$A$2005,"&gt;="&amp;ReportFrom,'Payment Vouchers'!$A$5:$A$2005,"&lt;="&amp;ReportTo))</f>
        <v/>
      </c>
      <c r="AD148" s="25">
        <f>IF($A148="",0,(SUMIFS('Partner Transactions'!$D$5:$D$2005,'Partner Transactions'!$L$5:$L$2005,$A148,'Partner Transactions'!$A$5:$A$2005,"&lt;"&amp;ReportFrom))-(SUMIFS('Partner Transactions'!$D$5:$D$2005,'Partner Transactions'!$M$5:$M$2005,$A148,'Partner Transactions'!$A$5:$A$2005,"&lt;"&amp;ReportFrom)))</f>
        <v/>
      </c>
      <c r="AE148" s="25">
        <f>IF($A148="",0,SUMIFS('Partner Transactions'!$D$5:$D$2005,'Partner Transactions'!$L$5:$L$2005,$A148,'Partner Transactions'!$A$5:$A$2005,"&gt;="&amp;ReportFrom,'Partner Transactions'!$A$5:$A$2005,"&lt;="&amp;ReportTo))</f>
        <v/>
      </c>
      <c r="AF148" s="25">
        <f>IF($A148="",0,SUMIFS('Partner Transactions'!$D$5:$D$2005,'Partner Transactions'!$M$5:$M$2005,$A148,'Partner Transactions'!$A$5:$A$2005,"&gt;="&amp;ReportFrom,'Partner Transactions'!$A$5:$A$2005,"&lt;="&amp;ReportTo))</f>
        <v/>
      </c>
      <c r="AG148" s="25">
        <f>IF($A148="",0,(SUMIFS('Stock Moves'!$S$5:$S$2005,'Stock Moves'!$AD$5:$AD$2005,$A148,'Stock Moves'!$A$5:$A$2005,"&lt;"&amp;ReportFrom)+SUMIFS('Stock Moves'!$T$5:$T$2005,'Stock Moves'!$V$5:$V$2005,$A148,'Stock Moves'!$A$5:$A$2005,"&lt;"&amp;ReportFrom))-(SUMIFS('Stock Moves'!$AF$5:$AF$2005,'Stock Moves'!$AE$5:$AE$2005,$A148,'Stock Moves'!$A$5:$A$2005,"&lt;"&amp;ReportFrom)+SUMIFS('Stock Moves'!$AC$5:$AC$2005,'Stock Moves'!$X$5:$X$2005,$A148,'Stock Moves'!$A$5:$A$2005,"&lt;"&amp;ReportFrom)+SUMIFS('Stock Moves'!$U$5:$U$2005,'Stock Moves'!$W$5:$W$2005,$A148,'Stock Moves'!$A$5:$A$2005,"&lt;"&amp;ReportFrom)))</f>
        <v/>
      </c>
      <c r="AH148" s="25">
        <f>IF($A148="",0,SUMIFS('Stock Moves'!$S$5:$S$2005,'Stock Moves'!$AD$5:$AD$2005,$A148,'Stock Moves'!$A$5:$A$2005,"&gt;="&amp;ReportFrom,'Stock Moves'!$A$5:$A$2005,"&lt;="&amp;ReportTo)+SUMIFS('Stock Moves'!$T$5:$T$2005,'Stock Moves'!$V$5:$V$2005,$A148,'Stock Moves'!$A$5:$A$2005,"&gt;="&amp;ReportFrom,'Stock Moves'!$A$5:$A$2005,"&lt;="&amp;ReportTo))</f>
        <v/>
      </c>
      <c r="AI148" s="25">
        <f>IF($A148="",0,SUMIFS('Stock Moves'!$AF$5:$AF$2005,'Stock Moves'!$AE$5:$AE$2005,$A148,'Stock Moves'!$A$5:$A$2005,"&gt;="&amp;ReportFrom,'Stock Moves'!$A$5:$A$2005,"&lt;="&amp;ReportTo)+SUMIFS('Stock Moves'!$AC$5:$AC$2005,'Stock Moves'!$X$5:$X$2005,$A148,'Stock Moves'!$A$5:$A$2005,"&gt;="&amp;ReportFrom,'Stock Moves'!$A$5:$A$2005,"&lt;="&amp;ReportTo)+SUMIFS('Stock Moves'!$U$5:$U$2005,'Stock Moves'!$W$5:$W$2005,$A148,'Stock Moves'!$A$5:$A$2005,"&gt;="&amp;ReportFrom,'Stock Moves'!$A$5:$A$2005,"&lt;="&amp;ReportTo))</f>
        <v/>
      </c>
      <c r="AJ148" s="25">
        <f>IF($A148="",0,(SUMIFS('Journal Vouchers'!$I$5:$I$2005,'Journal Vouchers'!$H$5:$H$2005,$A148,'Journal Vouchers'!$B$5:$B$2005,"&lt;"&amp;ReportFrom))-(SUMIFS('Journal Vouchers'!$J$5:$J$2005,'Journal Vouchers'!$H$5:$H$2005,$A148,'Journal Vouchers'!$B$5:$B$2005,"&lt;"&amp;ReportFrom)))</f>
        <v/>
      </c>
      <c r="AK148" s="25">
        <f>IF($A148="",0,SUMIFS('Journal Vouchers'!$I$5:$I$2005,'Journal Vouchers'!$H$5:$H$2005,$A148,'Journal Vouchers'!$B$5:$B$2005,"&gt;="&amp;ReportFrom,'Journal Vouchers'!$B$5:$B$2005,"&lt;="&amp;ReportTo))</f>
        <v/>
      </c>
      <c r="AL148" s="25">
        <f>IF($A148="",0,SUMIFS('Journal Vouchers'!$J$5:$J$2005,'Journal Vouchers'!$H$5:$H$2005,$A148,'Journal Vouchers'!$B$5:$B$2005,"&gt;="&amp;ReportFrom,'Journal Vouchers'!$B$5:$B$2005,"&lt;="&amp;ReportTo))</f>
        <v/>
      </c>
    </row>
    <row r="149">
      <c r="A149" s="25">
        <f>IF('Chart of Accounts'!A149="","",'Chart of Accounts'!A149&amp;"")</f>
        <v/>
      </c>
      <c r="B149" s="25">
        <f>IF(A149="","",'Chart of Accounts'!B149)</f>
        <v/>
      </c>
      <c r="C149" s="25">
        <f>IF(A149="","",'Chart of Accounts'!C149)</f>
        <v/>
      </c>
      <c r="D149" s="25">
        <f>IF(A149="","",'Chart of Accounts'!D149)</f>
        <v/>
      </c>
      <c r="E149" s="26">
        <f>L149+O149+R149+U149+X149+AA149+AD149+AG149+AJ149</f>
        <v/>
      </c>
      <c r="F149" s="26">
        <f>M149+P149+S149+V149+Y149+AB149+AE149+AH149+AK149</f>
        <v/>
      </c>
      <c r="G149" s="26">
        <f>N149+Q149+T149+W149+Z149+AC149+AF149+AI149+AL149</f>
        <v/>
      </c>
      <c r="H149" s="26">
        <f>E149+F149-G149</f>
        <v/>
      </c>
      <c r="I149" s="26">
        <f>MAX(H149,0)</f>
        <v/>
      </c>
      <c r="J149" s="26">
        <f>MAX(-H149,0)</f>
        <v/>
      </c>
      <c r="L149" s="25">
        <f>IF($A149="",0,(SUMIFS('Direct Costs'!$R$5:$R$2005,'Direct Costs'!$V$5:$V$2005,$A149,'Direct Costs'!$A$5:$A$2005,"&lt;"&amp;ReportFrom)+SUMIFS('Direct Costs'!$S$5:$S$2005,'Direct Costs'!$Y$5:$Y$2005,$A149,'Direct Costs'!$A$5:$A$2005,"&lt;"&amp;ReportFrom))-(SUMIFS('Direct Costs'!$L$5:$L$2005,'Direct Costs'!$W$5:$W$2005,$A149,'Direct Costs'!$A$5:$A$2005,"&lt;"&amp;ReportFrom)+SUMIFS('Direct Costs'!$U$5:$U$2005,'Direct Costs'!$X$5:$X$2005,$A149,'Direct Costs'!$A$5:$A$2005,"&lt;"&amp;ReportFrom)+SUMIFS('Direct Costs'!$T$5:$T$2005,'Direct Costs'!$Z$5:$Z$2005,$A149,'Direct Costs'!$A$5:$A$2005,"&lt;"&amp;ReportFrom)))</f>
        <v/>
      </c>
      <c r="M149" s="25">
        <f>IF($A149="",0,SUMIFS('Direct Costs'!$R$5:$R$2005,'Direct Costs'!$V$5:$V$2005,$A149,'Direct Costs'!$A$5:$A$2005,"&gt;="&amp;ReportFrom,'Direct Costs'!$A$5:$A$2005,"&lt;="&amp;ReportTo)+SUMIFS('Direct Costs'!$S$5:$S$2005,'Direct Costs'!$Y$5:$Y$2005,$A149,'Direct Costs'!$A$5:$A$2005,"&gt;="&amp;ReportFrom,'Direct Costs'!$A$5:$A$2005,"&lt;="&amp;ReportTo))</f>
        <v/>
      </c>
      <c r="N149" s="25">
        <f>IF($A149="",0,SUMIFS('Direct Costs'!$L$5:$L$2005,'Direct Costs'!$W$5:$W$2005,$A149,'Direct Costs'!$A$5:$A$2005,"&gt;="&amp;ReportFrom,'Direct Costs'!$A$5:$A$2005,"&lt;="&amp;ReportTo)+SUMIFS('Direct Costs'!$U$5:$U$2005,'Direct Costs'!$X$5:$X$2005,$A149,'Direct Costs'!$A$5:$A$2005,"&gt;="&amp;ReportFrom,'Direct Costs'!$A$5:$A$2005,"&lt;="&amp;ReportTo)+SUMIFS('Direct Costs'!$T$5:$T$2005,'Direct Costs'!$Z$5:$Z$2005,$A149,'Direct Costs'!$A$5:$A$2005,"&gt;="&amp;ReportFrom,'Direct Costs'!$A$5:$A$2005,"&lt;="&amp;ReportTo))</f>
        <v/>
      </c>
      <c r="O149" s="25">
        <f>IF($A149="",0,(SUMIFS('Operating Expenses'!$F$5:$F$2005,'Operating Expenses'!$Q$5:$Q$2005,$A149,'Operating Expenses'!$A$5:$A$2005,"&lt;"&amp;ReportFrom)+SUMIFS('Operating Expenses'!$M$5:$M$2005,'Operating Expenses'!$T$5:$T$2005,$A149,'Operating Expenses'!$A$5:$A$2005,"&lt;"&amp;ReportFrom))-(SUMIFS('Operating Expenses'!$O$5:$O$2005,'Operating Expenses'!$R$5:$R$2005,$A149,'Operating Expenses'!$A$5:$A$2005,"&lt;"&amp;ReportFrom)+SUMIFS('Operating Expenses'!$P$5:$P$2005,'Operating Expenses'!$S$5:$S$2005,$A149,'Operating Expenses'!$A$5:$A$2005,"&lt;"&amp;ReportFrom)+SUMIFS('Operating Expenses'!$N$5:$N$2005,'Operating Expenses'!$U$5:$U$2005,$A149,'Operating Expenses'!$A$5:$A$2005,"&lt;"&amp;ReportFrom)))</f>
        <v/>
      </c>
      <c r="P149" s="25">
        <f>IF($A149="",0,SUMIFS('Operating Expenses'!$F$5:$F$2005,'Operating Expenses'!$Q$5:$Q$2005,$A149,'Operating Expenses'!$A$5:$A$2005,"&gt;="&amp;ReportFrom,'Operating Expenses'!$A$5:$A$2005,"&lt;="&amp;ReportTo)+SUMIFS('Operating Expenses'!$M$5:$M$2005,'Operating Expenses'!$T$5:$T$2005,$A149,'Operating Expenses'!$A$5:$A$2005,"&gt;="&amp;ReportFrom,'Operating Expenses'!$A$5:$A$2005,"&lt;="&amp;ReportTo))</f>
        <v/>
      </c>
      <c r="Q149" s="25">
        <f>IF($A149="",0,SUMIFS('Operating Expenses'!$O$5:$O$2005,'Operating Expenses'!$R$5:$R$2005,$A149,'Operating Expenses'!$A$5:$A$2005,"&gt;="&amp;ReportFrom,'Operating Expenses'!$A$5:$A$2005,"&lt;="&amp;ReportTo)+SUMIFS('Operating Expenses'!$P$5:$P$2005,'Operating Expenses'!$S$5:$S$2005,$A149,'Operating Expenses'!$A$5:$A$2005,"&gt;="&amp;ReportFrom,'Operating Expenses'!$A$5:$A$2005,"&lt;="&amp;ReportTo)+SUMIFS('Operating Expenses'!$N$5:$N$2005,'Operating Expenses'!$U$5:$U$2005,$A149,'Operating Expenses'!$A$5:$A$2005,"&gt;="&amp;ReportFrom,'Operating Expenses'!$A$5:$A$2005,"&lt;="&amp;ReportTo))</f>
        <v/>
      </c>
      <c r="R149" s="25">
        <f>IF($A149="",0,(SUMIFS('Payroll'!$O$5:$O$2005,'Payroll'!$Q$5:$Q$2005,$A149,'Payroll'!$A$5:$A$2005,"&lt;"&amp;ReportFrom))-(SUMIFS('Payroll'!$K$5:$K$2005,'Payroll'!$R$5:$R$2005,$A149,'Payroll'!$A$5:$A$2005,"&lt;"&amp;ReportFrom)+SUMIFS('Payroll'!$P$5:$P$2005,'Payroll'!$S$5:$S$2005,$A149,'Payroll'!$A$5:$A$2005,"&lt;"&amp;ReportFrom)))</f>
        <v/>
      </c>
      <c r="S149" s="25">
        <f>IF($A149="",0,SUMIFS('Payroll'!$O$5:$O$2005,'Payroll'!$Q$5:$Q$2005,$A149,'Payroll'!$A$5:$A$2005,"&gt;="&amp;ReportFrom,'Payroll'!$A$5:$A$2005,"&lt;="&amp;ReportTo))</f>
        <v/>
      </c>
      <c r="T149" s="25">
        <f>IF($A149="",0,SUMIFS('Payroll'!$K$5:$K$2005,'Payroll'!$R$5:$R$2005,$A149,'Payroll'!$A$5:$A$2005,"&gt;="&amp;ReportFrom,'Payroll'!$A$5:$A$2005,"&lt;="&amp;ReportTo)+SUMIFS('Payroll'!$P$5:$P$2005,'Payroll'!$S$5:$S$2005,$A149,'Payroll'!$A$5:$A$2005,"&gt;="&amp;ReportFrom,'Payroll'!$A$5:$A$2005,"&lt;="&amp;ReportTo))</f>
        <v/>
      </c>
      <c r="U149" s="25">
        <f>IF($A149="",0,(SUMIFS('Receipt Vouchers'!$F$5:$F$2005,'Receipt Vouchers'!$O$5:$O$2005,$A149,'Receipt Vouchers'!$A$5:$A$2005,"&lt;"&amp;ReportFrom)+SUMIFS('Receipt Vouchers'!$J$5:$J$2005,'Receipt Vouchers'!$Q$5:$Q$2005,$A149,'Receipt Vouchers'!$A$5:$A$2005,"&lt;"&amp;ReportFrom))-(SUMIFS('Receipt Vouchers'!$N$5:$N$2005,'Receipt Vouchers'!$P$5:$P$2005,$A149,'Receipt Vouchers'!$A$5:$A$2005,"&lt;"&amp;ReportFrom)+SUMIFS('Receipt Vouchers'!$M$5:$M$2005,'Receipt Vouchers'!$R$5:$R$2005,$A149,'Receipt Vouchers'!$A$5:$A$2005,"&lt;"&amp;ReportFrom)))</f>
        <v/>
      </c>
      <c r="V149" s="25">
        <f>IF($A149="",0,SUMIFS('Receipt Vouchers'!$F$5:$F$2005,'Receipt Vouchers'!$O$5:$O$2005,$A149,'Receipt Vouchers'!$A$5:$A$2005,"&gt;="&amp;ReportFrom,'Receipt Vouchers'!$A$5:$A$2005,"&lt;="&amp;ReportTo)+SUMIFS('Receipt Vouchers'!$J$5:$J$2005,'Receipt Vouchers'!$Q$5:$Q$2005,$A149,'Receipt Vouchers'!$A$5:$A$2005,"&gt;="&amp;ReportFrom,'Receipt Vouchers'!$A$5:$A$2005,"&lt;="&amp;ReportTo))</f>
        <v/>
      </c>
      <c r="W149" s="25">
        <f>IF($A149="",0,SUMIFS('Receipt Vouchers'!$N$5:$N$2005,'Receipt Vouchers'!$P$5:$P$2005,$A149,'Receipt Vouchers'!$A$5:$A$2005,"&gt;="&amp;ReportFrom,'Receipt Vouchers'!$A$5:$A$2005,"&lt;="&amp;ReportTo)+SUMIFS('Receipt Vouchers'!$M$5:$M$2005,'Receipt Vouchers'!$R$5:$R$2005,$A149,'Receipt Vouchers'!$A$5:$A$2005,"&gt;="&amp;ReportFrom,'Receipt Vouchers'!$A$5:$A$2005,"&lt;="&amp;ReportTo))</f>
        <v/>
      </c>
      <c r="X149" s="25">
        <f>IF($A149="",0,(SUMIFS('Sales Invoices'!$O$5:$O$2005,'Sales Invoices'!$P$5:$P$2005,$A149,'Sales Invoices'!$B$5:$B$2005,"&lt;"&amp;ReportFrom)+SUMIFS('Sales Invoices'!$N$5:$N$2005,'Sales Invoices'!$R$5:$R$2005,$A149,'Sales Invoices'!$B$5:$B$2005,"&lt;"&amp;ReportFrom))-(SUMIFS('Sales Invoices'!$L$5:$L$2005,'Sales Invoices'!$Q$5:$Q$2005,$A149,'Sales Invoices'!$B$5:$B$2005,"&lt;"&amp;ReportFrom)+SUMIFS('Sales Invoices'!$M$5:$M$2005,'Sales Invoices'!$S$5:$S$2005,$A149,'Sales Invoices'!$B$5:$B$2005,"&lt;"&amp;ReportFrom)))</f>
        <v/>
      </c>
      <c r="Y149" s="25">
        <f>IF($A149="",0,SUMIFS('Sales Invoices'!$O$5:$O$2005,'Sales Invoices'!$P$5:$P$2005,$A149,'Sales Invoices'!$B$5:$B$2005,"&gt;="&amp;ReportFrom,'Sales Invoices'!$B$5:$B$2005,"&lt;="&amp;ReportTo)+SUMIFS('Sales Invoices'!$N$5:$N$2005,'Sales Invoices'!$R$5:$R$2005,$A149,'Sales Invoices'!$B$5:$B$2005,"&gt;="&amp;ReportFrom,'Sales Invoices'!$B$5:$B$2005,"&lt;="&amp;ReportTo))</f>
        <v/>
      </c>
      <c r="Z149" s="25">
        <f>IF($A149="",0,SUMIFS('Sales Invoices'!$L$5:$L$2005,'Sales Invoices'!$Q$5:$Q$2005,$A149,'Sales Invoices'!$B$5:$B$2005,"&gt;="&amp;ReportFrom,'Sales Invoices'!$B$5:$B$2005,"&lt;="&amp;ReportTo)+SUMIFS('Sales Invoices'!$M$5:$M$2005,'Sales Invoices'!$S$5:$S$2005,$A149,'Sales Invoices'!$B$5:$B$2005,"&gt;="&amp;ReportFrom,'Sales Invoices'!$B$5:$B$2005,"&lt;="&amp;ReportTo))</f>
        <v/>
      </c>
      <c r="AA149" s="25">
        <f>IF($A149="",0,(SUMIFS('Payment Vouchers'!$D$5:$D$2005,'Payment Vouchers'!$J$5:$J$2005,$A149,'Payment Vouchers'!$A$5:$A$2005,"&lt;"&amp;ReportFrom))-(SUMIFS('Payment Vouchers'!$D$5:$D$2005,'Payment Vouchers'!$K$5:$K$2005,$A149,'Payment Vouchers'!$A$5:$A$2005,"&lt;"&amp;ReportFrom)))</f>
        <v/>
      </c>
      <c r="AB149" s="25">
        <f>IF($A149="",0,SUMIFS('Payment Vouchers'!$D$5:$D$2005,'Payment Vouchers'!$J$5:$J$2005,$A149,'Payment Vouchers'!$A$5:$A$2005,"&gt;="&amp;ReportFrom,'Payment Vouchers'!$A$5:$A$2005,"&lt;="&amp;ReportTo))</f>
        <v/>
      </c>
      <c r="AC149" s="25">
        <f>IF($A149="",0,SUMIFS('Payment Vouchers'!$D$5:$D$2005,'Payment Vouchers'!$K$5:$K$2005,$A149,'Payment Vouchers'!$A$5:$A$2005,"&gt;="&amp;ReportFrom,'Payment Vouchers'!$A$5:$A$2005,"&lt;="&amp;ReportTo))</f>
        <v/>
      </c>
      <c r="AD149" s="25">
        <f>IF($A149="",0,(SUMIFS('Partner Transactions'!$D$5:$D$2005,'Partner Transactions'!$L$5:$L$2005,$A149,'Partner Transactions'!$A$5:$A$2005,"&lt;"&amp;ReportFrom))-(SUMIFS('Partner Transactions'!$D$5:$D$2005,'Partner Transactions'!$M$5:$M$2005,$A149,'Partner Transactions'!$A$5:$A$2005,"&lt;"&amp;ReportFrom)))</f>
        <v/>
      </c>
      <c r="AE149" s="25">
        <f>IF($A149="",0,SUMIFS('Partner Transactions'!$D$5:$D$2005,'Partner Transactions'!$L$5:$L$2005,$A149,'Partner Transactions'!$A$5:$A$2005,"&gt;="&amp;ReportFrom,'Partner Transactions'!$A$5:$A$2005,"&lt;="&amp;ReportTo))</f>
        <v/>
      </c>
      <c r="AF149" s="25">
        <f>IF($A149="",0,SUMIFS('Partner Transactions'!$D$5:$D$2005,'Partner Transactions'!$M$5:$M$2005,$A149,'Partner Transactions'!$A$5:$A$2005,"&gt;="&amp;ReportFrom,'Partner Transactions'!$A$5:$A$2005,"&lt;="&amp;ReportTo))</f>
        <v/>
      </c>
      <c r="AG149" s="25">
        <f>IF($A149="",0,(SUMIFS('Stock Moves'!$S$5:$S$2005,'Stock Moves'!$AD$5:$AD$2005,$A149,'Stock Moves'!$A$5:$A$2005,"&lt;"&amp;ReportFrom)+SUMIFS('Stock Moves'!$T$5:$T$2005,'Stock Moves'!$V$5:$V$2005,$A149,'Stock Moves'!$A$5:$A$2005,"&lt;"&amp;ReportFrom))-(SUMIFS('Stock Moves'!$AF$5:$AF$2005,'Stock Moves'!$AE$5:$AE$2005,$A149,'Stock Moves'!$A$5:$A$2005,"&lt;"&amp;ReportFrom)+SUMIFS('Stock Moves'!$AC$5:$AC$2005,'Stock Moves'!$X$5:$X$2005,$A149,'Stock Moves'!$A$5:$A$2005,"&lt;"&amp;ReportFrom)+SUMIFS('Stock Moves'!$U$5:$U$2005,'Stock Moves'!$W$5:$W$2005,$A149,'Stock Moves'!$A$5:$A$2005,"&lt;"&amp;ReportFrom)))</f>
        <v/>
      </c>
      <c r="AH149" s="25">
        <f>IF($A149="",0,SUMIFS('Stock Moves'!$S$5:$S$2005,'Stock Moves'!$AD$5:$AD$2005,$A149,'Stock Moves'!$A$5:$A$2005,"&gt;="&amp;ReportFrom,'Stock Moves'!$A$5:$A$2005,"&lt;="&amp;ReportTo)+SUMIFS('Stock Moves'!$T$5:$T$2005,'Stock Moves'!$V$5:$V$2005,$A149,'Stock Moves'!$A$5:$A$2005,"&gt;="&amp;ReportFrom,'Stock Moves'!$A$5:$A$2005,"&lt;="&amp;ReportTo))</f>
        <v/>
      </c>
      <c r="AI149" s="25">
        <f>IF($A149="",0,SUMIFS('Stock Moves'!$AF$5:$AF$2005,'Stock Moves'!$AE$5:$AE$2005,$A149,'Stock Moves'!$A$5:$A$2005,"&gt;="&amp;ReportFrom,'Stock Moves'!$A$5:$A$2005,"&lt;="&amp;ReportTo)+SUMIFS('Stock Moves'!$AC$5:$AC$2005,'Stock Moves'!$X$5:$X$2005,$A149,'Stock Moves'!$A$5:$A$2005,"&gt;="&amp;ReportFrom,'Stock Moves'!$A$5:$A$2005,"&lt;="&amp;ReportTo)+SUMIFS('Stock Moves'!$U$5:$U$2005,'Stock Moves'!$W$5:$W$2005,$A149,'Stock Moves'!$A$5:$A$2005,"&gt;="&amp;ReportFrom,'Stock Moves'!$A$5:$A$2005,"&lt;="&amp;ReportTo))</f>
        <v/>
      </c>
      <c r="AJ149" s="25">
        <f>IF($A149="",0,(SUMIFS('Journal Vouchers'!$I$5:$I$2005,'Journal Vouchers'!$H$5:$H$2005,$A149,'Journal Vouchers'!$B$5:$B$2005,"&lt;"&amp;ReportFrom))-(SUMIFS('Journal Vouchers'!$J$5:$J$2005,'Journal Vouchers'!$H$5:$H$2005,$A149,'Journal Vouchers'!$B$5:$B$2005,"&lt;"&amp;ReportFrom)))</f>
        <v/>
      </c>
      <c r="AK149" s="25">
        <f>IF($A149="",0,SUMIFS('Journal Vouchers'!$I$5:$I$2005,'Journal Vouchers'!$H$5:$H$2005,$A149,'Journal Vouchers'!$B$5:$B$2005,"&gt;="&amp;ReportFrom,'Journal Vouchers'!$B$5:$B$2005,"&lt;="&amp;ReportTo))</f>
        <v/>
      </c>
      <c r="AL149" s="25">
        <f>IF($A149="",0,SUMIFS('Journal Vouchers'!$J$5:$J$2005,'Journal Vouchers'!$H$5:$H$2005,$A149,'Journal Vouchers'!$B$5:$B$2005,"&gt;="&amp;ReportFrom,'Journal Vouchers'!$B$5:$B$2005,"&lt;="&amp;ReportTo))</f>
        <v/>
      </c>
    </row>
    <row r="150">
      <c r="A150" s="25">
        <f>IF('Chart of Accounts'!A150="","",'Chart of Accounts'!A150&amp;"")</f>
        <v/>
      </c>
      <c r="B150" s="25">
        <f>IF(A150="","",'Chart of Accounts'!B150)</f>
        <v/>
      </c>
      <c r="C150" s="25">
        <f>IF(A150="","",'Chart of Accounts'!C150)</f>
        <v/>
      </c>
      <c r="D150" s="25">
        <f>IF(A150="","",'Chart of Accounts'!D150)</f>
        <v/>
      </c>
      <c r="E150" s="26">
        <f>L150+O150+R150+U150+X150+AA150+AD150+AG150+AJ150</f>
        <v/>
      </c>
      <c r="F150" s="26">
        <f>M150+P150+S150+V150+Y150+AB150+AE150+AH150+AK150</f>
        <v/>
      </c>
      <c r="G150" s="26">
        <f>N150+Q150+T150+W150+Z150+AC150+AF150+AI150+AL150</f>
        <v/>
      </c>
      <c r="H150" s="26">
        <f>E150+F150-G150</f>
        <v/>
      </c>
      <c r="I150" s="26">
        <f>MAX(H150,0)</f>
        <v/>
      </c>
      <c r="J150" s="26">
        <f>MAX(-H150,0)</f>
        <v/>
      </c>
      <c r="L150" s="25">
        <f>IF($A150="",0,(SUMIFS('Direct Costs'!$R$5:$R$2005,'Direct Costs'!$V$5:$V$2005,$A150,'Direct Costs'!$A$5:$A$2005,"&lt;"&amp;ReportFrom)+SUMIFS('Direct Costs'!$S$5:$S$2005,'Direct Costs'!$Y$5:$Y$2005,$A150,'Direct Costs'!$A$5:$A$2005,"&lt;"&amp;ReportFrom))-(SUMIFS('Direct Costs'!$L$5:$L$2005,'Direct Costs'!$W$5:$W$2005,$A150,'Direct Costs'!$A$5:$A$2005,"&lt;"&amp;ReportFrom)+SUMIFS('Direct Costs'!$U$5:$U$2005,'Direct Costs'!$X$5:$X$2005,$A150,'Direct Costs'!$A$5:$A$2005,"&lt;"&amp;ReportFrom)+SUMIFS('Direct Costs'!$T$5:$T$2005,'Direct Costs'!$Z$5:$Z$2005,$A150,'Direct Costs'!$A$5:$A$2005,"&lt;"&amp;ReportFrom)))</f>
        <v/>
      </c>
      <c r="M150" s="25">
        <f>IF($A150="",0,SUMIFS('Direct Costs'!$R$5:$R$2005,'Direct Costs'!$V$5:$V$2005,$A150,'Direct Costs'!$A$5:$A$2005,"&gt;="&amp;ReportFrom,'Direct Costs'!$A$5:$A$2005,"&lt;="&amp;ReportTo)+SUMIFS('Direct Costs'!$S$5:$S$2005,'Direct Costs'!$Y$5:$Y$2005,$A150,'Direct Costs'!$A$5:$A$2005,"&gt;="&amp;ReportFrom,'Direct Costs'!$A$5:$A$2005,"&lt;="&amp;ReportTo))</f>
        <v/>
      </c>
      <c r="N150" s="25">
        <f>IF($A150="",0,SUMIFS('Direct Costs'!$L$5:$L$2005,'Direct Costs'!$W$5:$W$2005,$A150,'Direct Costs'!$A$5:$A$2005,"&gt;="&amp;ReportFrom,'Direct Costs'!$A$5:$A$2005,"&lt;="&amp;ReportTo)+SUMIFS('Direct Costs'!$U$5:$U$2005,'Direct Costs'!$X$5:$X$2005,$A150,'Direct Costs'!$A$5:$A$2005,"&gt;="&amp;ReportFrom,'Direct Costs'!$A$5:$A$2005,"&lt;="&amp;ReportTo)+SUMIFS('Direct Costs'!$T$5:$T$2005,'Direct Costs'!$Z$5:$Z$2005,$A150,'Direct Costs'!$A$5:$A$2005,"&gt;="&amp;ReportFrom,'Direct Costs'!$A$5:$A$2005,"&lt;="&amp;ReportTo))</f>
        <v/>
      </c>
      <c r="O150" s="25">
        <f>IF($A150="",0,(SUMIFS('Operating Expenses'!$F$5:$F$2005,'Operating Expenses'!$Q$5:$Q$2005,$A150,'Operating Expenses'!$A$5:$A$2005,"&lt;"&amp;ReportFrom)+SUMIFS('Operating Expenses'!$M$5:$M$2005,'Operating Expenses'!$T$5:$T$2005,$A150,'Operating Expenses'!$A$5:$A$2005,"&lt;"&amp;ReportFrom))-(SUMIFS('Operating Expenses'!$O$5:$O$2005,'Operating Expenses'!$R$5:$R$2005,$A150,'Operating Expenses'!$A$5:$A$2005,"&lt;"&amp;ReportFrom)+SUMIFS('Operating Expenses'!$P$5:$P$2005,'Operating Expenses'!$S$5:$S$2005,$A150,'Operating Expenses'!$A$5:$A$2005,"&lt;"&amp;ReportFrom)+SUMIFS('Operating Expenses'!$N$5:$N$2005,'Operating Expenses'!$U$5:$U$2005,$A150,'Operating Expenses'!$A$5:$A$2005,"&lt;"&amp;ReportFrom)))</f>
        <v/>
      </c>
      <c r="P150" s="25">
        <f>IF($A150="",0,SUMIFS('Operating Expenses'!$F$5:$F$2005,'Operating Expenses'!$Q$5:$Q$2005,$A150,'Operating Expenses'!$A$5:$A$2005,"&gt;="&amp;ReportFrom,'Operating Expenses'!$A$5:$A$2005,"&lt;="&amp;ReportTo)+SUMIFS('Operating Expenses'!$M$5:$M$2005,'Operating Expenses'!$T$5:$T$2005,$A150,'Operating Expenses'!$A$5:$A$2005,"&gt;="&amp;ReportFrom,'Operating Expenses'!$A$5:$A$2005,"&lt;="&amp;ReportTo))</f>
        <v/>
      </c>
      <c r="Q150" s="25">
        <f>IF($A150="",0,SUMIFS('Operating Expenses'!$O$5:$O$2005,'Operating Expenses'!$R$5:$R$2005,$A150,'Operating Expenses'!$A$5:$A$2005,"&gt;="&amp;ReportFrom,'Operating Expenses'!$A$5:$A$2005,"&lt;="&amp;ReportTo)+SUMIFS('Operating Expenses'!$P$5:$P$2005,'Operating Expenses'!$S$5:$S$2005,$A150,'Operating Expenses'!$A$5:$A$2005,"&gt;="&amp;ReportFrom,'Operating Expenses'!$A$5:$A$2005,"&lt;="&amp;ReportTo)+SUMIFS('Operating Expenses'!$N$5:$N$2005,'Operating Expenses'!$U$5:$U$2005,$A150,'Operating Expenses'!$A$5:$A$2005,"&gt;="&amp;ReportFrom,'Operating Expenses'!$A$5:$A$2005,"&lt;="&amp;ReportTo))</f>
        <v/>
      </c>
      <c r="R150" s="25">
        <f>IF($A150="",0,(SUMIFS('Payroll'!$O$5:$O$2005,'Payroll'!$Q$5:$Q$2005,$A150,'Payroll'!$A$5:$A$2005,"&lt;"&amp;ReportFrom))-(SUMIFS('Payroll'!$K$5:$K$2005,'Payroll'!$R$5:$R$2005,$A150,'Payroll'!$A$5:$A$2005,"&lt;"&amp;ReportFrom)+SUMIFS('Payroll'!$P$5:$P$2005,'Payroll'!$S$5:$S$2005,$A150,'Payroll'!$A$5:$A$2005,"&lt;"&amp;ReportFrom)))</f>
        <v/>
      </c>
      <c r="S150" s="25">
        <f>IF($A150="",0,SUMIFS('Payroll'!$O$5:$O$2005,'Payroll'!$Q$5:$Q$2005,$A150,'Payroll'!$A$5:$A$2005,"&gt;="&amp;ReportFrom,'Payroll'!$A$5:$A$2005,"&lt;="&amp;ReportTo))</f>
        <v/>
      </c>
      <c r="T150" s="25">
        <f>IF($A150="",0,SUMIFS('Payroll'!$K$5:$K$2005,'Payroll'!$R$5:$R$2005,$A150,'Payroll'!$A$5:$A$2005,"&gt;="&amp;ReportFrom,'Payroll'!$A$5:$A$2005,"&lt;="&amp;ReportTo)+SUMIFS('Payroll'!$P$5:$P$2005,'Payroll'!$S$5:$S$2005,$A150,'Payroll'!$A$5:$A$2005,"&gt;="&amp;ReportFrom,'Payroll'!$A$5:$A$2005,"&lt;="&amp;ReportTo))</f>
        <v/>
      </c>
      <c r="U150" s="25">
        <f>IF($A150="",0,(SUMIFS('Receipt Vouchers'!$F$5:$F$2005,'Receipt Vouchers'!$O$5:$O$2005,$A150,'Receipt Vouchers'!$A$5:$A$2005,"&lt;"&amp;ReportFrom)+SUMIFS('Receipt Vouchers'!$J$5:$J$2005,'Receipt Vouchers'!$Q$5:$Q$2005,$A150,'Receipt Vouchers'!$A$5:$A$2005,"&lt;"&amp;ReportFrom))-(SUMIFS('Receipt Vouchers'!$N$5:$N$2005,'Receipt Vouchers'!$P$5:$P$2005,$A150,'Receipt Vouchers'!$A$5:$A$2005,"&lt;"&amp;ReportFrom)+SUMIFS('Receipt Vouchers'!$M$5:$M$2005,'Receipt Vouchers'!$R$5:$R$2005,$A150,'Receipt Vouchers'!$A$5:$A$2005,"&lt;"&amp;ReportFrom)))</f>
        <v/>
      </c>
      <c r="V150" s="25">
        <f>IF($A150="",0,SUMIFS('Receipt Vouchers'!$F$5:$F$2005,'Receipt Vouchers'!$O$5:$O$2005,$A150,'Receipt Vouchers'!$A$5:$A$2005,"&gt;="&amp;ReportFrom,'Receipt Vouchers'!$A$5:$A$2005,"&lt;="&amp;ReportTo)+SUMIFS('Receipt Vouchers'!$J$5:$J$2005,'Receipt Vouchers'!$Q$5:$Q$2005,$A150,'Receipt Vouchers'!$A$5:$A$2005,"&gt;="&amp;ReportFrom,'Receipt Vouchers'!$A$5:$A$2005,"&lt;="&amp;ReportTo))</f>
        <v/>
      </c>
      <c r="W150" s="25">
        <f>IF($A150="",0,SUMIFS('Receipt Vouchers'!$N$5:$N$2005,'Receipt Vouchers'!$P$5:$P$2005,$A150,'Receipt Vouchers'!$A$5:$A$2005,"&gt;="&amp;ReportFrom,'Receipt Vouchers'!$A$5:$A$2005,"&lt;="&amp;ReportTo)+SUMIFS('Receipt Vouchers'!$M$5:$M$2005,'Receipt Vouchers'!$R$5:$R$2005,$A150,'Receipt Vouchers'!$A$5:$A$2005,"&gt;="&amp;ReportFrom,'Receipt Vouchers'!$A$5:$A$2005,"&lt;="&amp;ReportTo))</f>
        <v/>
      </c>
      <c r="X150" s="25">
        <f>IF($A150="",0,(SUMIFS('Sales Invoices'!$O$5:$O$2005,'Sales Invoices'!$P$5:$P$2005,$A150,'Sales Invoices'!$B$5:$B$2005,"&lt;"&amp;ReportFrom)+SUMIFS('Sales Invoices'!$N$5:$N$2005,'Sales Invoices'!$R$5:$R$2005,$A150,'Sales Invoices'!$B$5:$B$2005,"&lt;"&amp;ReportFrom))-(SUMIFS('Sales Invoices'!$L$5:$L$2005,'Sales Invoices'!$Q$5:$Q$2005,$A150,'Sales Invoices'!$B$5:$B$2005,"&lt;"&amp;ReportFrom)+SUMIFS('Sales Invoices'!$M$5:$M$2005,'Sales Invoices'!$S$5:$S$2005,$A150,'Sales Invoices'!$B$5:$B$2005,"&lt;"&amp;ReportFrom)))</f>
        <v/>
      </c>
      <c r="Y150" s="25">
        <f>IF($A150="",0,SUMIFS('Sales Invoices'!$O$5:$O$2005,'Sales Invoices'!$P$5:$P$2005,$A150,'Sales Invoices'!$B$5:$B$2005,"&gt;="&amp;ReportFrom,'Sales Invoices'!$B$5:$B$2005,"&lt;="&amp;ReportTo)+SUMIFS('Sales Invoices'!$N$5:$N$2005,'Sales Invoices'!$R$5:$R$2005,$A150,'Sales Invoices'!$B$5:$B$2005,"&gt;="&amp;ReportFrom,'Sales Invoices'!$B$5:$B$2005,"&lt;="&amp;ReportTo))</f>
        <v/>
      </c>
      <c r="Z150" s="25">
        <f>IF($A150="",0,SUMIFS('Sales Invoices'!$L$5:$L$2005,'Sales Invoices'!$Q$5:$Q$2005,$A150,'Sales Invoices'!$B$5:$B$2005,"&gt;="&amp;ReportFrom,'Sales Invoices'!$B$5:$B$2005,"&lt;="&amp;ReportTo)+SUMIFS('Sales Invoices'!$M$5:$M$2005,'Sales Invoices'!$S$5:$S$2005,$A150,'Sales Invoices'!$B$5:$B$2005,"&gt;="&amp;ReportFrom,'Sales Invoices'!$B$5:$B$2005,"&lt;="&amp;ReportTo))</f>
        <v/>
      </c>
      <c r="AA150" s="25">
        <f>IF($A150="",0,(SUMIFS('Payment Vouchers'!$D$5:$D$2005,'Payment Vouchers'!$J$5:$J$2005,$A150,'Payment Vouchers'!$A$5:$A$2005,"&lt;"&amp;ReportFrom))-(SUMIFS('Payment Vouchers'!$D$5:$D$2005,'Payment Vouchers'!$K$5:$K$2005,$A150,'Payment Vouchers'!$A$5:$A$2005,"&lt;"&amp;ReportFrom)))</f>
        <v/>
      </c>
      <c r="AB150" s="25">
        <f>IF($A150="",0,SUMIFS('Payment Vouchers'!$D$5:$D$2005,'Payment Vouchers'!$J$5:$J$2005,$A150,'Payment Vouchers'!$A$5:$A$2005,"&gt;="&amp;ReportFrom,'Payment Vouchers'!$A$5:$A$2005,"&lt;="&amp;ReportTo))</f>
        <v/>
      </c>
      <c r="AC150" s="25">
        <f>IF($A150="",0,SUMIFS('Payment Vouchers'!$D$5:$D$2005,'Payment Vouchers'!$K$5:$K$2005,$A150,'Payment Vouchers'!$A$5:$A$2005,"&gt;="&amp;ReportFrom,'Payment Vouchers'!$A$5:$A$2005,"&lt;="&amp;ReportTo))</f>
        <v/>
      </c>
      <c r="AD150" s="25">
        <f>IF($A150="",0,(SUMIFS('Partner Transactions'!$D$5:$D$2005,'Partner Transactions'!$L$5:$L$2005,$A150,'Partner Transactions'!$A$5:$A$2005,"&lt;"&amp;ReportFrom))-(SUMIFS('Partner Transactions'!$D$5:$D$2005,'Partner Transactions'!$M$5:$M$2005,$A150,'Partner Transactions'!$A$5:$A$2005,"&lt;"&amp;ReportFrom)))</f>
        <v/>
      </c>
      <c r="AE150" s="25">
        <f>IF($A150="",0,SUMIFS('Partner Transactions'!$D$5:$D$2005,'Partner Transactions'!$L$5:$L$2005,$A150,'Partner Transactions'!$A$5:$A$2005,"&gt;="&amp;ReportFrom,'Partner Transactions'!$A$5:$A$2005,"&lt;="&amp;ReportTo))</f>
        <v/>
      </c>
      <c r="AF150" s="25">
        <f>IF($A150="",0,SUMIFS('Partner Transactions'!$D$5:$D$2005,'Partner Transactions'!$M$5:$M$2005,$A150,'Partner Transactions'!$A$5:$A$2005,"&gt;="&amp;ReportFrom,'Partner Transactions'!$A$5:$A$2005,"&lt;="&amp;ReportTo))</f>
        <v/>
      </c>
      <c r="AG150" s="25">
        <f>IF($A150="",0,(SUMIFS('Stock Moves'!$S$5:$S$2005,'Stock Moves'!$AD$5:$AD$2005,$A150,'Stock Moves'!$A$5:$A$2005,"&lt;"&amp;ReportFrom)+SUMIFS('Stock Moves'!$T$5:$T$2005,'Stock Moves'!$V$5:$V$2005,$A150,'Stock Moves'!$A$5:$A$2005,"&lt;"&amp;ReportFrom))-(SUMIFS('Stock Moves'!$AF$5:$AF$2005,'Stock Moves'!$AE$5:$AE$2005,$A150,'Stock Moves'!$A$5:$A$2005,"&lt;"&amp;ReportFrom)+SUMIFS('Stock Moves'!$AC$5:$AC$2005,'Stock Moves'!$X$5:$X$2005,$A150,'Stock Moves'!$A$5:$A$2005,"&lt;"&amp;ReportFrom)+SUMIFS('Stock Moves'!$U$5:$U$2005,'Stock Moves'!$W$5:$W$2005,$A150,'Stock Moves'!$A$5:$A$2005,"&lt;"&amp;ReportFrom)))</f>
        <v/>
      </c>
      <c r="AH150" s="25">
        <f>IF($A150="",0,SUMIFS('Stock Moves'!$S$5:$S$2005,'Stock Moves'!$AD$5:$AD$2005,$A150,'Stock Moves'!$A$5:$A$2005,"&gt;="&amp;ReportFrom,'Stock Moves'!$A$5:$A$2005,"&lt;="&amp;ReportTo)+SUMIFS('Stock Moves'!$T$5:$T$2005,'Stock Moves'!$V$5:$V$2005,$A150,'Stock Moves'!$A$5:$A$2005,"&gt;="&amp;ReportFrom,'Stock Moves'!$A$5:$A$2005,"&lt;="&amp;ReportTo))</f>
        <v/>
      </c>
      <c r="AI150" s="25">
        <f>IF($A150="",0,SUMIFS('Stock Moves'!$AF$5:$AF$2005,'Stock Moves'!$AE$5:$AE$2005,$A150,'Stock Moves'!$A$5:$A$2005,"&gt;="&amp;ReportFrom,'Stock Moves'!$A$5:$A$2005,"&lt;="&amp;ReportTo)+SUMIFS('Stock Moves'!$AC$5:$AC$2005,'Stock Moves'!$X$5:$X$2005,$A150,'Stock Moves'!$A$5:$A$2005,"&gt;="&amp;ReportFrom,'Stock Moves'!$A$5:$A$2005,"&lt;="&amp;ReportTo)+SUMIFS('Stock Moves'!$U$5:$U$2005,'Stock Moves'!$W$5:$W$2005,$A150,'Stock Moves'!$A$5:$A$2005,"&gt;="&amp;ReportFrom,'Stock Moves'!$A$5:$A$2005,"&lt;="&amp;ReportTo))</f>
        <v/>
      </c>
      <c r="AJ150" s="25">
        <f>IF($A150="",0,(SUMIFS('Journal Vouchers'!$I$5:$I$2005,'Journal Vouchers'!$H$5:$H$2005,$A150,'Journal Vouchers'!$B$5:$B$2005,"&lt;"&amp;ReportFrom))-(SUMIFS('Journal Vouchers'!$J$5:$J$2005,'Journal Vouchers'!$H$5:$H$2005,$A150,'Journal Vouchers'!$B$5:$B$2005,"&lt;"&amp;ReportFrom)))</f>
        <v/>
      </c>
      <c r="AK150" s="25">
        <f>IF($A150="",0,SUMIFS('Journal Vouchers'!$I$5:$I$2005,'Journal Vouchers'!$H$5:$H$2005,$A150,'Journal Vouchers'!$B$5:$B$2005,"&gt;="&amp;ReportFrom,'Journal Vouchers'!$B$5:$B$2005,"&lt;="&amp;ReportTo))</f>
        <v/>
      </c>
      <c r="AL150" s="25">
        <f>IF($A150="",0,SUMIFS('Journal Vouchers'!$J$5:$J$2005,'Journal Vouchers'!$H$5:$H$2005,$A150,'Journal Vouchers'!$B$5:$B$2005,"&gt;="&amp;ReportFrom,'Journal Vouchers'!$B$5:$B$2005,"&lt;="&amp;ReportTo))</f>
        <v/>
      </c>
    </row>
    <row r="151">
      <c r="A151" s="25">
        <f>IF('Chart of Accounts'!A151="","",'Chart of Accounts'!A151&amp;"")</f>
        <v/>
      </c>
      <c r="B151" s="25">
        <f>IF(A151="","",'Chart of Accounts'!B151)</f>
        <v/>
      </c>
      <c r="C151" s="25">
        <f>IF(A151="","",'Chart of Accounts'!C151)</f>
        <v/>
      </c>
      <c r="D151" s="25">
        <f>IF(A151="","",'Chart of Accounts'!D151)</f>
        <v/>
      </c>
      <c r="E151" s="26">
        <f>L151+O151+R151+U151+X151+AA151+AD151+AG151+AJ151</f>
        <v/>
      </c>
      <c r="F151" s="26">
        <f>M151+P151+S151+V151+Y151+AB151+AE151+AH151+AK151</f>
        <v/>
      </c>
      <c r="G151" s="26">
        <f>N151+Q151+T151+W151+Z151+AC151+AF151+AI151+AL151</f>
        <v/>
      </c>
      <c r="H151" s="26">
        <f>E151+F151-G151</f>
        <v/>
      </c>
      <c r="I151" s="26">
        <f>MAX(H151,0)</f>
        <v/>
      </c>
      <c r="J151" s="26">
        <f>MAX(-H151,0)</f>
        <v/>
      </c>
      <c r="L151" s="25">
        <f>IF($A151="",0,(SUMIFS('Direct Costs'!$R$5:$R$2005,'Direct Costs'!$V$5:$V$2005,$A151,'Direct Costs'!$A$5:$A$2005,"&lt;"&amp;ReportFrom)+SUMIFS('Direct Costs'!$S$5:$S$2005,'Direct Costs'!$Y$5:$Y$2005,$A151,'Direct Costs'!$A$5:$A$2005,"&lt;"&amp;ReportFrom))-(SUMIFS('Direct Costs'!$L$5:$L$2005,'Direct Costs'!$W$5:$W$2005,$A151,'Direct Costs'!$A$5:$A$2005,"&lt;"&amp;ReportFrom)+SUMIFS('Direct Costs'!$U$5:$U$2005,'Direct Costs'!$X$5:$X$2005,$A151,'Direct Costs'!$A$5:$A$2005,"&lt;"&amp;ReportFrom)+SUMIFS('Direct Costs'!$T$5:$T$2005,'Direct Costs'!$Z$5:$Z$2005,$A151,'Direct Costs'!$A$5:$A$2005,"&lt;"&amp;ReportFrom)))</f>
        <v/>
      </c>
      <c r="M151" s="25">
        <f>IF($A151="",0,SUMIFS('Direct Costs'!$R$5:$R$2005,'Direct Costs'!$V$5:$V$2005,$A151,'Direct Costs'!$A$5:$A$2005,"&gt;="&amp;ReportFrom,'Direct Costs'!$A$5:$A$2005,"&lt;="&amp;ReportTo)+SUMIFS('Direct Costs'!$S$5:$S$2005,'Direct Costs'!$Y$5:$Y$2005,$A151,'Direct Costs'!$A$5:$A$2005,"&gt;="&amp;ReportFrom,'Direct Costs'!$A$5:$A$2005,"&lt;="&amp;ReportTo))</f>
        <v/>
      </c>
      <c r="N151" s="25">
        <f>IF($A151="",0,SUMIFS('Direct Costs'!$L$5:$L$2005,'Direct Costs'!$W$5:$W$2005,$A151,'Direct Costs'!$A$5:$A$2005,"&gt;="&amp;ReportFrom,'Direct Costs'!$A$5:$A$2005,"&lt;="&amp;ReportTo)+SUMIFS('Direct Costs'!$U$5:$U$2005,'Direct Costs'!$X$5:$X$2005,$A151,'Direct Costs'!$A$5:$A$2005,"&gt;="&amp;ReportFrom,'Direct Costs'!$A$5:$A$2005,"&lt;="&amp;ReportTo)+SUMIFS('Direct Costs'!$T$5:$T$2005,'Direct Costs'!$Z$5:$Z$2005,$A151,'Direct Costs'!$A$5:$A$2005,"&gt;="&amp;ReportFrom,'Direct Costs'!$A$5:$A$2005,"&lt;="&amp;ReportTo))</f>
        <v/>
      </c>
      <c r="O151" s="25">
        <f>IF($A151="",0,(SUMIFS('Operating Expenses'!$F$5:$F$2005,'Operating Expenses'!$Q$5:$Q$2005,$A151,'Operating Expenses'!$A$5:$A$2005,"&lt;"&amp;ReportFrom)+SUMIFS('Operating Expenses'!$M$5:$M$2005,'Operating Expenses'!$T$5:$T$2005,$A151,'Operating Expenses'!$A$5:$A$2005,"&lt;"&amp;ReportFrom))-(SUMIFS('Operating Expenses'!$O$5:$O$2005,'Operating Expenses'!$R$5:$R$2005,$A151,'Operating Expenses'!$A$5:$A$2005,"&lt;"&amp;ReportFrom)+SUMIFS('Operating Expenses'!$P$5:$P$2005,'Operating Expenses'!$S$5:$S$2005,$A151,'Operating Expenses'!$A$5:$A$2005,"&lt;"&amp;ReportFrom)+SUMIFS('Operating Expenses'!$N$5:$N$2005,'Operating Expenses'!$U$5:$U$2005,$A151,'Operating Expenses'!$A$5:$A$2005,"&lt;"&amp;ReportFrom)))</f>
        <v/>
      </c>
      <c r="P151" s="25">
        <f>IF($A151="",0,SUMIFS('Operating Expenses'!$F$5:$F$2005,'Operating Expenses'!$Q$5:$Q$2005,$A151,'Operating Expenses'!$A$5:$A$2005,"&gt;="&amp;ReportFrom,'Operating Expenses'!$A$5:$A$2005,"&lt;="&amp;ReportTo)+SUMIFS('Operating Expenses'!$M$5:$M$2005,'Operating Expenses'!$T$5:$T$2005,$A151,'Operating Expenses'!$A$5:$A$2005,"&gt;="&amp;ReportFrom,'Operating Expenses'!$A$5:$A$2005,"&lt;="&amp;ReportTo))</f>
        <v/>
      </c>
      <c r="Q151" s="25">
        <f>IF($A151="",0,SUMIFS('Operating Expenses'!$O$5:$O$2005,'Operating Expenses'!$R$5:$R$2005,$A151,'Operating Expenses'!$A$5:$A$2005,"&gt;="&amp;ReportFrom,'Operating Expenses'!$A$5:$A$2005,"&lt;="&amp;ReportTo)+SUMIFS('Operating Expenses'!$P$5:$P$2005,'Operating Expenses'!$S$5:$S$2005,$A151,'Operating Expenses'!$A$5:$A$2005,"&gt;="&amp;ReportFrom,'Operating Expenses'!$A$5:$A$2005,"&lt;="&amp;ReportTo)+SUMIFS('Operating Expenses'!$N$5:$N$2005,'Operating Expenses'!$U$5:$U$2005,$A151,'Operating Expenses'!$A$5:$A$2005,"&gt;="&amp;ReportFrom,'Operating Expenses'!$A$5:$A$2005,"&lt;="&amp;ReportTo))</f>
        <v/>
      </c>
      <c r="R151" s="25">
        <f>IF($A151="",0,(SUMIFS('Payroll'!$O$5:$O$2005,'Payroll'!$Q$5:$Q$2005,$A151,'Payroll'!$A$5:$A$2005,"&lt;"&amp;ReportFrom))-(SUMIFS('Payroll'!$K$5:$K$2005,'Payroll'!$R$5:$R$2005,$A151,'Payroll'!$A$5:$A$2005,"&lt;"&amp;ReportFrom)+SUMIFS('Payroll'!$P$5:$P$2005,'Payroll'!$S$5:$S$2005,$A151,'Payroll'!$A$5:$A$2005,"&lt;"&amp;ReportFrom)))</f>
        <v/>
      </c>
      <c r="S151" s="25">
        <f>IF($A151="",0,SUMIFS('Payroll'!$O$5:$O$2005,'Payroll'!$Q$5:$Q$2005,$A151,'Payroll'!$A$5:$A$2005,"&gt;="&amp;ReportFrom,'Payroll'!$A$5:$A$2005,"&lt;="&amp;ReportTo))</f>
        <v/>
      </c>
      <c r="T151" s="25">
        <f>IF($A151="",0,SUMIFS('Payroll'!$K$5:$K$2005,'Payroll'!$R$5:$R$2005,$A151,'Payroll'!$A$5:$A$2005,"&gt;="&amp;ReportFrom,'Payroll'!$A$5:$A$2005,"&lt;="&amp;ReportTo)+SUMIFS('Payroll'!$P$5:$P$2005,'Payroll'!$S$5:$S$2005,$A151,'Payroll'!$A$5:$A$2005,"&gt;="&amp;ReportFrom,'Payroll'!$A$5:$A$2005,"&lt;="&amp;ReportTo))</f>
        <v/>
      </c>
      <c r="U151" s="25">
        <f>IF($A151="",0,(SUMIFS('Receipt Vouchers'!$F$5:$F$2005,'Receipt Vouchers'!$O$5:$O$2005,$A151,'Receipt Vouchers'!$A$5:$A$2005,"&lt;"&amp;ReportFrom)+SUMIFS('Receipt Vouchers'!$J$5:$J$2005,'Receipt Vouchers'!$Q$5:$Q$2005,$A151,'Receipt Vouchers'!$A$5:$A$2005,"&lt;"&amp;ReportFrom))-(SUMIFS('Receipt Vouchers'!$N$5:$N$2005,'Receipt Vouchers'!$P$5:$P$2005,$A151,'Receipt Vouchers'!$A$5:$A$2005,"&lt;"&amp;ReportFrom)+SUMIFS('Receipt Vouchers'!$M$5:$M$2005,'Receipt Vouchers'!$R$5:$R$2005,$A151,'Receipt Vouchers'!$A$5:$A$2005,"&lt;"&amp;ReportFrom)))</f>
        <v/>
      </c>
      <c r="V151" s="25">
        <f>IF($A151="",0,SUMIFS('Receipt Vouchers'!$F$5:$F$2005,'Receipt Vouchers'!$O$5:$O$2005,$A151,'Receipt Vouchers'!$A$5:$A$2005,"&gt;="&amp;ReportFrom,'Receipt Vouchers'!$A$5:$A$2005,"&lt;="&amp;ReportTo)+SUMIFS('Receipt Vouchers'!$J$5:$J$2005,'Receipt Vouchers'!$Q$5:$Q$2005,$A151,'Receipt Vouchers'!$A$5:$A$2005,"&gt;="&amp;ReportFrom,'Receipt Vouchers'!$A$5:$A$2005,"&lt;="&amp;ReportTo))</f>
        <v/>
      </c>
      <c r="W151" s="25">
        <f>IF($A151="",0,SUMIFS('Receipt Vouchers'!$N$5:$N$2005,'Receipt Vouchers'!$P$5:$P$2005,$A151,'Receipt Vouchers'!$A$5:$A$2005,"&gt;="&amp;ReportFrom,'Receipt Vouchers'!$A$5:$A$2005,"&lt;="&amp;ReportTo)+SUMIFS('Receipt Vouchers'!$M$5:$M$2005,'Receipt Vouchers'!$R$5:$R$2005,$A151,'Receipt Vouchers'!$A$5:$A$2005,"&gt;="&amp;ReportFrom,'Receipt Vouchers'!$A$5:$A$2005,"&lt;="&amp;ReportTo))</f>
        <v/>
      </c>
      <c r="X151" s="25">
        <f>IF($A151="",0,(SUMIFS('Sales Invoices'!$O$5:$O$2005,'Sales Invoices'!$P$5:$P$2005,$A151,'Sales Invoices'!$B$5:$B$2005,"&lt;"&amp;ReportFrom)+SUMIFS('Sales Invoices'!$N$5:$N$2005,'Sales Invoices'!$R$5:$R$2005,$A151,'Sales Invoices'!$B$5:$B$2005,"&lt;"&amp;ReportFrom))-(SUMIFS('Sales Invoices'!$L$5:$L$2005,'Sales Invoices'!$Q$5:$Q$2005,$A151,'Sales Invoices'!$B$5:$B$2005,"&lt;"&amp;ReportFrom)+SUMIFS('Sales Invoices'!$M$5:$M$2005,'Sales Invoices'!$S$5:$S$2005,$A151,'Sales Invoices'!$B$5:$B$2005,"&lt;"&amp;ReportFrom)))</f>
        <v/>
      </c>
      <c r="Y151" s="25">
        <f>IF($A151="",0,SUMIFS('Sales Invoices'!$O$5:$O$2005,'Sales Invoices'!$P$5:$P$2005,$A151,'Sales Invoices'!$B$5:$B$2005,"&gt;="&amp;ReportFrom,'Sales Invoices'!$B$5:$B$2005,"&lt;="&amp;ReportTo)+SUMIFS('Sales Invoices'!$N$5:$N$2005,'Sales Invoices'!$R$5:$R$2005,$A151,'Sales Invoices'!$B$5:$B$2005,"&gt;="&amp;ReportFrom,'Sales Invoices'!$B$5:$B$2005,"&lt;="&amp;ReportTo))</f>
        <v/>
      </c>
      <c r="Z151" s="25">
        <f>IF($A151="",0,SUMIFS('Sales Invoices'!$L$5:$L$2005,'Sales Invoices'!$Q$5:$Q$2005,$A151,'Sales Invoices'!$B$5:$B$2005,"&gt;="&amp;ReportFrom,'Sales Invoices'!$B$5:$B$2005,"&lt;="&amp;ReportTo)+SUMIFS('Sales Invoices'!$M$5:$M$2005,'Sales Invoices'!$S$5:$S$2005,$A151,'Sales Invoices'!$B$5:$B$2005,"&gt;="&amp;ReportFrom,'Sales Invoices'!$B$5:$B$2005,"&lt;="&amp;ReportTo))</f>
        <v/>
      </c>
      <c r="AA151" s="25">
        <f>IF($A151="",0,(SUMIFS('Payment Vouchers'!$D$5:$D$2005,'Payment Vouchers'!$J$5:$J$2005,$A151,'Payment Vouchers'!$A$5:$A$2005,"&lt;"&amp;ReportFrom))-(SUMIFS('Payment Vouchers'!$D$5:$D$2005,'Payment Vouchers'!$K$5:$K$2005,$A151,'Payment Vouchers'!$A$5:$A$2005,"&lt;"&amp;ReportFrom)))</f>
        <v/>
      </c>
      <c r="AB151" s="25">
        <f>IF($A151="",0,SUMIFS('Payment Vouchers'!$D$5:$D$2005,'Payment Vouchers'!$J$5:$J$2005,$A151,'Payment Vouchers'!$A$5:$A$2005,"&gt;="&amp;ReportFrom,'Payment Vouchers'!$A$5:$A$2005,"&lt;="&amp;ReportTo))</f>
        <v/>
      </c>
      <c r="AC151" s="25">
        <f>IF($A151="",0,SUMIFS('Payment Vouchers'!$D$5:$D$2005,'Payment Vouchers'!$K$5:$K$2005,$A151,'Payment Vouchers'!$A$5:$A$2005,"&gt;="&amp;ReportFrom,'Payment Vouchers'!$A$5:$A$2005,"&lt;="&amp;ReportTo))</f>
        <v/>
      </c>
      <c r="AD151" s="25">
        <f>IF($A151="",0,(SUMIFS('Partner Transactions'!$D$5:$D$2005,'Partner Transactions'!$L$5:$L$2005,$A151,'Partner Transactions'!$A$5:$A$2005,"&lt;"&amp;ReportFrom))-(SUMIFS('Partner Transactions'!$D$5:$D$2005,'Partner Transactions'!$M$5:$M$2005,$A151,'Partner Transactions'!$A$5:$A$2005,"&lt;"&amp;ReportFrom)))</f>
        <v/>
      </c>
      <c r="AE151" s="25">
        <f>IF($A151="",0,SUMIFS('Partner Transactions'!$D$5:$D$2005,'Partner Transactions'!$L$5:$L$2005,$A151,'Partner Transactions'!$A$5:$A$2005,"&gt;="&amp;ReportFrom,'Partner Transactions'!$A$5:$A$2005,"&lt;="&amp;ReportTo))</f>
        <v/>
      </c>
      <c r="AF151" s="25">
        <f>IF($A151="",0,SUMIFS('Partner Transactions'!$D$5:$D$2005,'Partner Transactions'!$M$5:$M$2005,$A151,'Partner Transactions'!$A$5:$A$2005,"&gt;="&amp;ReportFrom,'Partner Transactions'!$A$5:$A$2005,"&lt;="&amp;ReportTo))</f>
        <v/>
      </c>
      <c r="AG151" s="25">
        <f>IF($A151="",0,(SUMIFS('Stock Moves'!$S$5:$S$2005,'Stock Moves'!$AD$5:$AD$2005,$A151,'Stock Moves'!$A$5:$A$2005,"&lt;"&amp;ReportFrom)+SUMIFS('Stock Moves'!$T$5:$T$2005,'Stock Moves'!$V$5:$V$2005,$A151,'Stock Moves'!$A$5:$A$2005,"&lt;"&amp;ReportFrom))-(SUMIFS('Stock Moves'!$AF$5:$AF$2005,'Stock Moves'!$AE$5:$AE$2005,$A151,'Stock Moves'!$A$5:$A$2005,"&lt;"&amp;ReportFrom)+SUMIFS('Stock Moves'!$AC$5:$AC$2005,'Stock Moves'!$X$5:$X$2005,$A151,'Stock Moves'!$A$5:$A$2005,"&lt;"&amp;ReportFrom)+SUMIFS('Stock Moves'!$U$5:$U$2005,'Stock Moves'!$W$5:$W$2005,$A151,'Stock Moves'!$A$5:$A$2005,"&lt;"&amp;ReportFrom)))</f>
        <v/>
      </c>
      <c r="AH151" s="25">
        <f>IF($A151="",0,SUMIFS('Stock Moves'!$S$5:$S$2005,'Stock Moves'!$AD$5:$AD$2005,$A151,'Stock Moves'!$A$5:$A$2005,"&gt;="&amp;ReportFrom,'Stock Moves'!$A$5:$A$2005,"&lt;="&amp;ReportTo)+SUMIFS('Stock Moves'!$T$5:$T$2005,'Stock Moves'!$V$5:$V$2005,$A151,'Stock Moves'!$A$5:$A$2005,"&gt;="&amp;ReportFrom,'Stock Moves'!$A$5:$A$2005,"&lt;="&amp;ReportTo))</f>
        <v/>
      </c>
      <c r="AI151" s="25">
        <f>IF($A151="",0,SUMIFS('Stock Moves'!$AF$5:$AF$2005,'Stock Moves'!$AE$5:$AE$2005,$A151,'Stock Moves'!$A$5:$A$2005,"&gt;="&amp;ReportFrom,'Stock Moves'!$A$5:$A$2005,"&lt;="&amp;ReportTo)+SUMIFS('Stock Moves'!$AC$5:$AC$2005,'Stock Moves'!$X$5:$X$2005,$A151,'Stock Moves'!$A$5:$A$2005,"&gt;="&amp;ReportFrom,'Stock Moves'!$A$5:$A$2005,"&lt;="&amp;ReportTo)+SUMIFS('Stock Moves'!$U$5:$U$2005,'Stock Moves'!$W$5:$W$2005,$A151,'Stock Moves'!$A$5:$A$2005,"&gt;="&amp;ReportFrom,'Stock Moves'!$A$5:$A$2005,"&lt;="&amp;ReportTo))</f>
        <v/>
      </c>
      <c r="AJ151" s="25">
        <f>IF($A151="",0,(SUMIFS('Journal Vouchers'!$I$5:$I$2005,'Journal Vouchers'!$H$5:$H$2005,$A151,'Journal Vouchers'!$B$5:$B$2005,"&lt;"&amp;ReportFrom))-(SUMIFS('Journal Vouchers'!$J$5:$J$2005,'Journal Vouchers'!$H$5:$H$2005,$A151,'Journal Vouchers'!$B$5:$B$2005,"&lt;"&amp;ReportFrom)))</f>
        <v/>
      </c>
      <c r="AK151" s="25">
        <f>IF($A151="",0,SUMIFS('Journal Vouchers'!$I$5:$I$2005,'Journal Vouchers'!$H$5:$H$2005,$A151,'Journal Vouchers'!$B$5:$B$2005,"&gt;="&amp;ReportFrom,'Journal Vouchers'!$B$5:$B$2005,"&lt;="&amp;ReportTo))</f>
        <v/>
      </c>
      <c r="AL151" s="25">
        <f>IF($A151="",0,SUMIFS('Journal Vouchers'!$J$5:$J$2005,'Journal Vouchers'!$H$5:$H$2005,$A151,'Journal Vouchers'!$B$5:$B$2005,"&gt;="&amp;ReportFrom,'Journal Vouchers'!$B$5:$B$2005,"&lt;="&amp;ReportTo))</f>
        <v/>
      </c>
    </row>
    <row r="152">
      <c r="A152" s="25">
        <f>IF('Chart of Accounts'!A152="","",'Chart of Accounts'!A152&amp;"")</f>
        <v/>
      </c>
      <c r="B152" s="25">
        <f>IF(A152="","",'Chart of Accounts'!B152)</f>
        <v/>
      </c>
      <c r="C152" s="25">
        <f>IF(A152="","",'Chart of Accounts'!C152)</f>
        <v/>
      </c>
      <c r="D152" s="25">
        <f>IF(A152="","",'Chart of Accounts'!D152)</f>
        <v/>
      </c>
      <c r="E152" s="26">
        <f>L152+O152+R152+U152+X152+AA152+AD152+AG152+AJ152</f>
        <v/>
      </c>
      <c r="F152" s="26">
        <f>M152+P152+S152+V152+Y152+AB152+AE152+AH152+AK152</f>
        <v/>
      </c>
      <c r="G152" s="26">
        <f>N152+Q152+T152+W152+Z152+AC152+AF152+AI152+AL152</f>
        <v/>
      </c>
      <c r="H152" s="26">
        <f>E152+F152-G152</f>
        <v/>
      </c>
      <c r="I152" s="26">
        <f>MAX(H152,0)</f>
        <v/>
      </c>
      <c r="J152" s="26">
        <f>MAX(-H152,0)</f>
        <v/>
      </c>
      <c r="L152" s="25">
        <f>IF($A152="",0,(SUMIFS('Direct Costs'!$R$5:$R$2005,'Direct Costs'!$V$5:$V$2005,$A152,'Direct Costs'!$A$5:$A$2005,"&lt;"&amp;ReportFrom)+SUMIFS('Direct Costs'!$S$5:$S$2005,'Direct Costs'!$Y$5:$Y$2005,$A152,'Direct Costs'!$A$5:$A$2005,"&lt;"&amp;ReportFrom))-(SUMIFS('Direct Costs'!$L$5:$L$2005,'Direct Costs'!$W$5:$W$2005,$A152,'Direct Costs'!$A$5:$A$2005,"&lt;"&amp;ReportFrom)+SUMIFS('Direct Costs'!$U$5:$U$2005,'Direct Costs'!$X$5:$X$2005,$A152,'Direct Costs'!$A$5:$A$2005,"&lt;"&amp;ReportFrom)+SUMIFS('Direct Costs'!$T$5:$T$2005,'Direct Costs'!$Z$5:$Z$2005,$A152,'Direct Costs'!$A$5:$A$2005,"&lt;"&amp;ReportFrom)))</f>
        <v/>
      </c>
      <c r="M152" s="25">
        <f>IF($A152="",0,SUMIFS('Direct Costs'!$R$5:$R$2005,'Direct Costs'!$V$5:$V$2005,$A152,'Direct Costs'!$A$5:$A$2005,"&gt;="&amp;ReportFrom,'Direct Costs'!$A$5:$A$2005,"&lt;="&amp;ReportTo)+SUMIFS('Direct Costs'!$S$5:$S$2005,'Direct Costs'!$Y$5:$Y$2005,$A152,'Direct Costs'!$A$5:$A$2005,"&gt;="&amp;ReportFrom,'Direct Costs'!$A$5:$A$2005,"&lt;="&amp;ReportTo))</f>
        <v/>
      </c>
      <c r="N152" s="25">
        <f>IF($A152="",0,SUMIFS('Direct Costs'!$L$5:$L$2005,'Direct Costs'!$W$5:$W$2005,$A152,'Direct Costs'!$A$5:$A$2005,"&gt;="&amp;ReportFrom,'Direct Costs'!$A$5:$A$2005,"&lt;="&amp;ReportTo)+SUMIFS('Direct Costs'!$U$5:$U$2005,'Direct Costs'!$X$5:$X$2005,$A152,'Direct Costs'!$A$5:$A$2005,"&gt;="&amp;ReportFrom,'Direct Costs'!$A$5:$A$2005,"&lt;="&amp;ReportTo)+SUMIFS('Direct Costs'!$T$5:$T$2005,'Direct Costs'!$Z$5:$Z$2005,$A152,'Direct Costs'!$A$5:$A$2005,"&gt;="&amp;ReportFrom,'Direct Costs'!$A$5:$A$2005,"&lt;="&amp;ReportTo))</f>
        <v/>
      </c>
      <c r="O152" s="25">
        <f>IF($A152="",0,(SUMIFS('Operating Expenses'!$F$5:$F$2005,'Operating Expenses'!$Q$5:$Q$2005,$A152,'Operating Expenses'!$A$5:$A$2005,"&lt;"&amp;ReportFrom)+SUMIFS('Operating Expenses'!$M$5:$M$2005,'Operating Expenses'!$T$5:$T$2005,$A152,'Operating Expenses'!$A$5:$A$2005,"&lt;"&amp;ReportFrom))-(SUMIFS('Operating Expenses'!$O$5:$O$2005,'Operating Expenses'!$R$5:$R$2005,$A152,'Operating Expenses'!$A$5:$A$2005,"&lt;"&amp;ReportFrom)+SUMIFS('Operating Expenses'!$P$5:$P$2005,'Operating Expenses'!$S$5:$S$2005,$A152,'Operating Expenses'!$A$5:$A$2005,"&lt;"&amp;ReportFrom)+SUMIFS('Operating Expenses'!$N$5:$N$2005,'Operating Expenses'!$U$5:$U$2005,$A152,'Operating Expenses'!$A$5:$A$2005,"&lt;"&amp;ReportFrom)))</f>
        <v/>
      </c>
      <c r="P152" s="25">
        <f>IF($A152="",0,SUMIFS('Operating Expenses'!$F$5:$F$2005,'Operating Expenses'!$Q$5:$Q$2005,$A152,'Operating Expenses'!$A$5:$A$2005,"&gt;="&amp;ReportFrom,'Operating Expenses'!$A$5:$A$2005,"&lt;="&amp;ReportTo)+SUMIFS('Operating Expenses'!$M$5:$M$2005,'Operating Expenses'!$T$5:$T$2005,$A152,'Operating Expenses'!$A$5:$A$2005,"&gt;="&amp;ReportFrom,'Operating Expenses'!$A$5:$A$2005,"&lt;="&amp;ReportTo))</f>
        <v/>
      </c>
      <c r="Q152" s="25">
        <f>IF($A152="",0,SUMIFS('Operating Expenses'!$O$5:$O$2005,'Operating Expenses'!$R$5:$R$2005,$A152,'Operating Expenses'!$A$5:$A$2005,"&gt;="&amp;ReportFrom,'Operating Expenses'!$A$5:$A$2005,"&lt;="&amp;ReportTo)+SUMIFS('Operating Expenses'!$P$5:$P$2005,'Operating Expenses'!$S$5:$S$2005,$A152,'Operating Expenses'!$A$5:$A$2005,"&gt;="&amp;ReportFrom,'Operating Expenses'!$A$5:$A$2005,"&lt;="&amp;ReportTo)+SUMIFS('Operating Expenses'!$N$5:$N$2005,'Operating Expenses'!$U$5:$U$2005,$A152,'Operating Expenses'!$A$5:$A$2005,"&gt;="&amp;ReportFrom,'Operating Expenses'!$A$5:$A$2005,"&lt;="&amp;ReportTo))</f>
        <v/>
      </c>
      <c r="R152" s="25">
        <f>IF($A152="",0,(SUMIFS('Payroll'!$O$5:$O$2005,'Payroll'!$Q$5:$Q$2005,$A152,'Payroll'!$A$5:$A$2005,"&lt;"&amp;ReportFrom))-(SUMIFS('Payroll'!$K$5:$K$2005,'Payroll'!$R$5:$R$2005,$A152,'Payroll'!$A$5:$A$2005,"&lt;"&amp;ReportFrom)+SUMIFS('Payroll'!$P$5:$P$2005,'Payroll'!$S$5:$S$2005,$A152,'Payroll'!$A$5:$A$2005,"&lt;"&amp;ReportFrom)))</f>
        <v/>
      </c>
      <c r="S152" s="25">
        <f>IF($A152="",0,SUMIFS('Payroll'!$O$5:$O$2005,'Payroll'!$Q$5:$Q$2005,$A152,'Payroll'!$A$5:$A$2005,"&gt;="&amp;ReportFrom,'Payroll'!$A$5:$A$2005,"&lt;="&amp;ReportTo))</f>
        <v/>
      </c>
      <c r="T152" s="25">
        <f>IF($A152="",0,SUMIFS('Payroll'!$K$5:$K$2005,'Payroll'!$R$5:$R$2005,$A152,'Payroll'!$A$5:$A$2005,"&gt;="&amp;ReportFrom,'Payroll'!$A$5:$A$2005,"&lt;="&amp;ReportTo)+SUMIFS('Payroll'!$P$5:$P$2005,'Payroll'!$S$5:$S$2005,$A152,'Payroll'!$A$5:$A$2005,"&gt;="&amp;ReportFrom,'Payroll'!$A$5:$A$2005,"&lt;="&amp;ReportTo))</f>
        <v/>
      </c>
      <c r="U152" s="25">
        <f>IF($A152="",0,(SUMIFS('Receipt Vouchers'!$F$5:$F$2005,'Receipt Vouchers'!$O$5:$O$2005,$A152,'Receipt Vouchers'!$A$5:$A$2005,"&lt;"&amp;ReportFrom)+SUMIFS('Receipt Vouchers'!$J$5:$J$2005,'Receipt Vouchers'!$Q$5:$Q$2005,$A152,'Receipt Vouchers'!$A$5:$A$2005,"&lt;"&amp;ReportFrom))-(SUMIFS('Receipt Vouchers'!$N$5:$N$2005,'Receipt Vouchers'!$P$5:$P$2005,$A152,'Receipt Vouchers'!$A$5:$A$2005,"&lt;"&amp;ReportFrom)+SUMIFS('Receipt Vouchers'!$M$5:$M$2005,'Receipt Vouchers'!$R$5:$R$2005,$A152,'Receipt Vouchers'!$A$5:$A$2005,"&lt;"&amp;ReportFrom)))</f>
        <v/>
      </c>
      <c r="V152" s="25">
        <f>IF($A152="",0,SUMIFS('Receipt Vouchers'!$F$5:$F$2005,'Receipt Vouchers'!$O$5:$O$2005,$A152,'Receipt Vouchers'!$A$5:$A$2005,"&gt;="&amp;ReportFrom,'Receipt Vouchers'!$A$5:$A$2005,"&lt;="&amp;ReportTo)+SUMIFS('Receipt Vouchers'!$J$5:$J$2005,'Receipt Vouchers'!$Q$5:$Q$2005,$A152,'Receipt Vouchers'!$A$5:$A$2005,"&gt;="&amp;ReportFrom,'Receipt Vouchers'!$A$5:$A$2005,"&lt;="&amp;ReportTo))</f>
        <v/>
      </c>
      <c r="W152" s="25">
        <f>IF($A152="",0,SUMIFS('Receipt Vouchers'!$N$5:$N$2005,'Receipt Vouchers'!$P$5:$P$2005,$A152,'Receipt Vouchers'!$A$5:$A$2005,"&gt;="&amp;ReportFrom,'Receipt Vouchers'!$A$5:$A$2005,"&lt;="&amp;ReportTo)+SUMIFS('Receipt Vouchers'!$M$5:$M$2005,'Receipt Vouchers'!$R$5:$R$2005,$A152,'Receipt Vouchers'!$A$5:$A$2005,"&gt;="&amp;ReportFrom,'Receipt Vouchers'!$A$5:$A$2005,"&lt;="&amp;ReportTo))</f>
        <v/>
      </c>
      <c r="X152" s="25">
        <f>IF($A152="",0,(SUMIFS('Sales Invoices'!$O$5:$O$2005,'Sales Invoices'!$P$5:$P$2005,$A152,'Sales Invoices'!$B$5:$B$2005,"&lt;"&amp;ReportFrom)+SUMIFS('Sales Invoices'!$N$5:$N$2005,'Sales Invoices'!$R$5:$R$2005,$A152,'Sales Invoices'!$B$5:$B$2005,"&lt;"&amp;ReportFrom))-(SUMIFS('Sales Invoices'!$L$5:$L$2005,'Sales Invoices'!$Q$5:$Q$2005,$A152,'Sales Invoices'!$B$5:$B$2005,"&lt;"&amp;ReportFrom)+SUMIFS('Sales Invoices'!$M$5:$M$2005,'Sales Invoices'!$S$5:$S$2005,$A152,'Sales Invoices'!$B$5:$B$2005,"&lt;"&amp;ReportFrom)))</f>
        <v/>
      </c>
      <c r="Y152" s="25">
        <f>IF($A152="",0,SUMIFS('Sales Invoices'!$O$5:$O$2005,'Sales Invoices'!$P$5:$P$2005,$A152,'Sales Invoices'!$B$5:$B$2005,"&gt;="&amp;ReportFrom,'Sales Invoices'!$B$5:$B$2005,"&lt;="&amp;ReportTo)+SUMIFS('Sales Invoices'!$N$5:$N$2005,'Sales Invoices'!$R$5:$R$2005,$A152,'Sales Invoices'!$B$5:$B$2005,"&gt;="&amp;ReportFrom,'Sales Invoices'!$B$5:$B$2005,"&lt;="&amp;ReportTo))</f>
        <v/>
      </c>
      <c r="Z152" s="25">
        <f>IF($A152="",0,SUMIFS('Sales Invoices'!$L$5:$L$2005,'Sales Invoices'!$Q$5:$Q$2005,$A152,'Sales Invoices'!$B$5:$B$2005,"&gt;="&amp;ReportFrom,'Sales Invoices'!$B$5:$B$2005,"&lt;="&amp;ReportTo)+SUMIFS('Sales Invoices'!$M$5:$M$2005,'Sales Invoices'!$S$5:$S$2005,$A152,'Sales Invoices'!$B$5:$B$2005,"&gt;="&amp;ReportFrom,'Sales Invoices'!$B$5:$B$2005,"&lt;="&amp;ReportTo))</f>
        <v/>
      </c>
      <c r="AA152" s="25">
        <f>IF($A152="",0,(SUMIFS('Payment Vouchers'!$D$5:$D$2005,'Payment Vouchers'!$J$5:$J$2005,$A152,'Payment Vouchers'!$A$5:$A$2005,"&lt;"&amp;ReportFrom))-(SUMIFS('Payment Vouchers'!$D$5:$D$2005,'Payment Vouchers'!$K$5:$K$2005,$A152,'Payment Vouchers'!$A$5:$A$2005,"&lt;"&amp;ReportFrom)))</f>
        <v/>
      </c>
      <c r="AB152" s="25">
        <f>IF($A152="",0,SUMIFS('Payment Vouchers'!$D$5:$D$2005,'Payment Vouchers'!$J$5:$J$2005,$A152,'Payment Vouchers'!$A$5:$A$2005,"&gt;="&amp;ReportFrom,'Payment Vouchers'!$A$5:$A$2005,"&lt;="&amp;ReportTo))</f>
        <v/>
      </c>
      <c r="AC152" s="25">
        <f>IF($A152="",0,SUMIFS('Payment Vouchers'!$D$5:$D$2005,'Payment Vouchers'!$K$5:$K$2005,$A152,'Payment Vouchers'!$A$5:$A$2005,"&gt;="&amp;ReportFrom,'Payment Vouchers'!$A$5:$A$2005,"&lt;="&amp;ReportTo))</f>
        <v/>
      </c>
      <c r="AD152" s="25">
        <f>IF($A152="",0,(SUMIFS('Partner Transactions'!$D$5:$D$2005,'Partner Transactions'!$L$5:$L$2005,$A152,'Partner Transactions'!$A$5:$A$2005,"&lt;"&amp;ReportFrom))-(SUMIFS('Partner Transactions'!$D$5:$D$2005,'Partner Transactions'!$M$5:$M$2005,$A152,'Partner Transactions'!$A$5:$A$2005,"&lt;"&amp;ReportFrom)))</f>
        <v/>
      </c>
      <c r="AE152" s="25">
        <f>IF($A152="",0,SUMIFS('Partner Transactions'!$D$5:$D$2005,'Partner Transactions'!$L$5:$L$2005,$A152,'Partner Transactions'!$A$5:$A$2005,"&gt;="&amp;ReportFrom,'Partner Transactions'!$A$5:$A$2005,"&lt;="&amp;ReportTo))</f>
        <v/>
      </c>
      <c r="AF152" s="25">
        <f>IF($A152="",0,SUMIFS('Partner Transactions'!$D$5:$D$2005,'Partner Transactions'!$M$5:$M$2005,$A152,'Partner Transactions'!$A$5:$A$2005,"&gt;="&amp;ReportFrom,'Partner Transactions'!$A$5:$A$2005,"&lt;="&amp;ReportTo))</f>
        <v/>
      </c>
      <c r="AG152" s="25">
        <f>IF($A152="",0,(SUMIFS('Stock Moves'!$S$5:$S$2005,'Stock Moves'!$AD$5:$AD$2005,$A152,'Stock Moves'!$A$5:$A$2005,"&lt;"&amp;ReportFrom)+SUMIFS('Stock Moves'!$T$5:$T$2005,'Stock Moves'!$V$5:$V$2005,$A152,'Stock Moves'!$A$5:$A$2005,"&lt;"&amp;ReportFrom))-(SUMIFS('Stock Moves'!$AF$5:$AF$2005,'Stock Moves'!$AE$5:$AE$2005,$A152,'Stock Moves'!$A$5:$A$2005,"&lt;"&amp;ReportFrom)+SUMIFS('Stock Moves'!$AC$5:$AC$2005,'Stock Moves'!$X$5:$X$2005,$A152,'Stock Moves'!$A$5:$A$2005,"&lt;"&amp;ReportFrom)+SUMIFS('Stock Moves'!$U$5:$U$2005,'Stock Moves'!$W$5:$W$2005,$A152,'Stock Moves'!$A$5:$A$2005,"&lt;"&amp;ReportFrom)))</f>
        <v/>
      </c>
      <c r="AH152" s="25">
        <f>IF($A152="",0,SUMIFS('Stock Moves'!$S$5:$S$2005,'Stock Moves'!$AD$5:$AD$2005,$A152,'Stock Moves'!$A$5:$A$2005,"&gt;="&amp;ReportFrom,'Stock Moves'!$A$5:$A$2005,"&lt;="&amp;ReportTo)+SUMIFS('Stock Moves'!$T$5:$T$2005,'Stock Moves'!$V$5:$V$2005,$A152,'Stock Moves'!$A$5:$A$2005,"&gt;="&amp;ReportFrom,'Stock Moves'!$A$5:$A$2005,"&lt;="&amp;ReportTo))</f>
        <v/>
      </c>
      <c r="AI152" s="25">
        <f>IF($A152="",0,SUMIFS('Stock Moves'!$AF$5:$AF$2005,'Stock Moves'!$AE$5:$AE$2005,$A152,'Stock Moves'!$A$5:$A$2005,"&gt;="&amp;ReportFrom,'Stock Moves'!$A$5:$A$2005,"&lt;="&amp;ReportTo)+SUMIFS('Stock Moves'!$AC$5:$AC$2005,'Stock Moves'!$X$5:$X$2005,$A152,'Stock Moves'!$A$5:$A$2005,"&gt;="&amp;ReportFrom,'Stock Moves'!$A$5:$A$2005,"&lt;="&amp;ReportTo)+SUMIFS('Stock Moves'!$U$5:$U$2005,'Stock Moves'!$W$5:$W$2005,$A152,'Stock Moves'!$A$5:$A$2005,"&gt;="&amp;ReportFrom,'Stock Moves'!$A$5:$A$2005,"&lt;="&amp;ReportTo))</f>
        <v/>
      </c>
      <c r="AJ152" s="25">
        <f>IF($A152="",0,(SUMIFS('Journal Vouchers'!$I$5:$I$2005,'Journal Vouchers'!$H$5:$H$2005,$A152,'Journal Vouchers'!$B$5:$B$2005,"&lt;"&amp;ReportFrom))-(SUMIFS('Journal Vouchers'!$J$5:$J$2005,'Journal Vouchers'!$H$5:$H$2005,$A152,'Journal Vouchers'!$B$5:$B$2005,"&lt;"&amp;ReportFrom)))</f>
        <v/>
      </c>
      <c r="AK152" s="25">
        <f>IF($A152="",0,SUMIFS('Journal Vouchers'!$I$5:$I$2005,'Journal Vouchers'!$H$5:$H$2005,$A152,'Journal Vouchers'!$B$5:$B$2005,"&gt;="&amp;ReportFrom,'Journal Vouchers'!$B$5:$B$2005,"&lt;="&amp;ReportTo))</f>
        <v/>
      </c>
      <c r="AL152" s="25">
        <f>IF($A152="",0,SUMIFS('Journal Vouchers'!$J$5:$J$2005,'Journal Vouchers'!$H$5:$H$2005,$A152,'Journal Vouchers'!$B$5:$B$2005,"&gt;="&amp;ReportFrom,'Journal Vouchers'!$B$5:$B$2005,"&lt;="&amp;ReportTo))</f>
        <v/>
      </c>
    </row>
    <row r="153">
      <c r="A153" s="25">
        <f>IF('Chart of Accounts'!A153="","",'Chart of Accounts'!A153&amp;"")</f>
        <v/>
      </c>
      <c r="B153" s="25">
        <f>IF(A153="","",'Chart of Accounts'!B153)</f>
        <v/>
      </c>
      <c r="C153" s="25">
        <f>IF(A153="","",'Chart of Accounts'!C153)</f>
        <v/>
      </c>
      <c r="D153" s="25">
        <f>IF(A153="","",'Chart of Accounts'!D153)</f>
        <v/>
      </c>
      <c r="E153" s="26">
        <f>L153+O153+R153+U153+X153+AA153+AD153+AG153+AJ153</f>
        <v/>
      </c>
      <c r="F153" s="26">
        <f>M153+P153+S153+V153+Y153+AB153+AE153+AH153+AK153</f>
        <v/>
      </c>
      <c r="G153" s="26">
        <f>N153+Q153+T153+W153+Z153+AC153+AF153+AI153+AL153</f>
        <v/>
      </c>
      <c r="H153" s="26">
        <f>E153+F153-G153</f>
        <v/>
      </c>
      <c r="I153" s="26">
        <f>MAX(H153,0)</f>
        <v/>
      </c>
      <c r="J153" s="26">
        <f>MAX(-H153,0)</f>
        <v/>
      </c>
      <c r="L153" s="25">
        <f>IF($A153="",0,(SUMIFS('Direct Costs'!$R$5:$R$2005,'Direct Costs'!$V$5:$V$2005,$A153,'Direct Costs'!$A$5:$A$2005,"&lt;"&amp;ReportFrom)+SUMIFS('Direct Costs'!$S$5:$S$2005,'Direct Costs'!$Y$5:$Y$2005,$A153,'Direct Costs'!$A$5:$A$2005,"&lt;"&amp;ReportFrom))-(SUMIFS('Direct Costs'!$L$5:$L$2005,'Direct Costs'!$W$5:$W$2005,$A153,'Direct Costs'!$A$5:$A$2005,"&lt;"&amp;ReportFrom)+SUMIFS('Direct Costs'!$U$5:$U$2005,'Direct Costs'!$X$5:$X$2005,$A153,'Direct Costs'!$A$5:$A$2005,"&lt;"&amp;ReportFrom)+SUMIFS('Direct Costs'!$T$5:$T$2005,'Direct Costs'!$Z$5:$Z$2005,$A153,'Direct Costs'!$A$5:$A$2005,"&lt;"&amp;ReportFrom)))</f>
        <v/>
      </c>
      <c r="M153" s="25">
        <f>IF($A153="",0,SUMIFS('Direct Costs'!$R$5:$R$2005,'Direct Costs'!$V$5:$V$2005,$A153,'Direct Costs'!$A$5:$A$2005,"&gt;="&amp;ReportFrom,'Direct Costs'!$A$5:$A$2005,"&lt;="&amp;ReportTo)+SUMIFS('Direct Costs'!$S$5:$S$2005,'Direct Costs'!$Y$5:$Y$2005,$A153,'Direct Costs'!$A$5:$A$2005,"&gt;="&amp;ReportFrom,'Direct Costs'!$A$5:$A$2005,"&lt;="&amp;ReportTo))</f>
        <v/>
      </c>
      <c r="N153" s="25">
        <f>IF($A153="",0,SUMIFS('Direct Costs'!$L$5:$L$2005,'Direct Costs'!$W$5:$W$2005,$A153,'Direct Costs'!$A$5:$A$2005,"&gt;="&amp;ReportFrom,'Direct Costs'!$A$5:$A$2005,"&lt;="&amp;ReportTo)+SUMIFS('Direct Costs'!$U$5:$U$2005,'Direct Costs'!$X$5:$X$2005,$A153,'Direct Costs'!$A$5:$A$2005,"&gt;="&amp;ReportFrom,'Direct Costs'!$A$5:$A$2005,"&lt;="&amp;ReportTo)+SUMIFS('Direct Costs'!$T$5:$T$2005,'Direct Costs'!$Z$5:$Z$2005,$A153,'Direct Costs'!$A$5:$A$2005,"&gt;="&amp;ReportFrom,'Direct Costs'!$A$5:$A$2005,"&lt;="&amp;ReportTo))</f>
        <v/>
      </c>
      <c r="O153" s="25">
        <f>IF($A153="",0,(SUMIFS('Operating Expenses'!$F$5:$F$2005,'Operating Expenses'!$Q$5:$Q$2005,$A153,'Operating Expenses'!$A$5:$A$2005,"&lt;"&amp;ReportFrom)+SUMIFS('Operating Expenses'!$M$5:$M$2005,'Operating Expenses'!$T$5:$T$2005,$A153,'Operating Expenses'!$A$5:$A$2005,"&lt;"&amp;ReportFrom))-(SUMIFS('Operating Expenses'!$O$5:$O$2005,'Operating Expenses'!$R$5:$R$2005,$A153,'Operating Expenses'!$A$5:$A$2005,"&lt;"&amp;ReportFrom)+SUMIFS('Operating Expenses'!$P$5:$P$2005,'Operating Expenses'!$S$5:$S$2005,$A153,'Operating Expenses'!$A$5:$A$2005,"&lt;"&amp;ReportFrom)+SUMIFS('Operating Expenses'!$N$5:$N$2005,'Operating Expenses'!$U$5:$U$2005,$A153,'Operating Expenses'!$A$5:$A$2005,"&lt;"&amp;ReportFrom)))</f>
        <v/>
      </c>
      <c r="P153" s="25">
        <f>IF($A153="",0,SUMIFS('Operating Expenses'!$F$5:$F$2005,'Operating Expenses'!$Q$5:$Q$2005,$A153,'Operating Expenses'!$A$5:$A$2005,"&gt;="&amp;ReportFrom,'Operating Expenses'!$A$5:$A$2005,"&lt;="&amp;ReportTo)+SUMIFS('Operating Expenses'!$M$5:$M$2005,'Operating Expenses'!$T$5:$T$2005,$A153,'Operating Expenses'!$A$5:$A$2005,"&gt;="&amp;ReportFrom,'Operating Expenses'!$A$5:$A$2005,"&lt;="&amp;ReportTo))</f>
        <v/>
      </c>
      <c r="Q153" s="25">
        <f>IF($A153="",0,SUMIFS('Operating Expenses'!$O$5:$O$2005,'Operating Expenses'!$R$5:$R$2005,$A153,'Operating Expenses'!$A$5:$A$2005,"&gt;="&amp;ReportFrom,'Operating Expenses'!$A$5:$A$2005,"&lt;="&amp;ReportTo)+SUMIFS('Operating Expenses'!$P$5:$P$2005,'Operating Expenses'!$S$5:$S$2005,$A153,'Operating Expenses'!$A$5:$A$2005,"&gt;="&amp;ReportFrom,'Operating Expenses'!$A$5:$A$2005,"&lt;="&amp;ReportTo)+SUMIFS('Operating Expenses'!$N$5:$N$2005,'Operating Expenses'!$U$5:$U$2005,$A153,'Operating Expenses'!$A$5:$A$2005,"&gt;="&amp;ReportFrom,'Operating Expenses'!$A$5:$A$2005,"&lt;="&amp;ReportTo))</f>
        <v/>
      </c>
      <c r="R153" s="25">
        <f>IF($A153="",0,(SUMIFS('Payroll'!$O$5:$O$2005,'Payroll'!$Q$5:$Q$2005,$A153,'Payroll'!$A$5:$A$2005,"&lt;"&amp;ReportFrom))-(SUMIFS('Payroll'!$K$5:$K$2005,'Payroll'!$R$5:$R$2005,$A153,'Payroll'!$A$5:$A$2005,"&lt;"&amp;ReportFrom)+SUMIFS('Payroll'!$P$5:$P$2005,'Payroll'!$S$5:$S$2005,$A153,'Payroll'!$A$5:$A$2005,"&lt;"&amp;ReportFrom)))</f>
        <v/>
      </c>
      <c r="S153" s="25">
        <f>IF($A153="",0,SUMIFS('Payroll'!$O$5:$O$2005,'Payroll'!$Q$5:$Q$2005,$A153,'Payroll'!$A$5:$A$2005,"&gt;="&amp;ReportFrom,'Payroll'!$A$5:$A$2005,"&lt;="&amp;ReportTo))</f>
        <v/>
      </c>
      <c r="T153" s="25">
        <f>IF($A153="",0,SUMIFS('Payroll'!$K$5:$K$2005,'Payroll'!$R$5:$R$2005,$A153,'Payroll'!$A$5:$A$2005,"&gt;="&amp;ReportFrom,'Payroll'!$A$5:$A$2005,"&lt;="&amp;ReportTo)+SUMIFS('Payroll'!$P$5:$P$2005,'Payroll'!$S$5:$S$2005,$A153,'Payroll'!$A$5:$A$2005,"&gt;="&amp;ReportFrom,'Payroll'!$A$5:$A$2005,"&lt;="&amp;ReportTo))</f>
        <v/>
      </c>
      <c r="U153" s="25">
        <f>IF($A153="",0,(SUMIFS('Receipt Vouchers'!$F$5:$F$2005,'Receipt Vouchers'!$O$5:$O$2005,$A153,'Receipt Vouchers'!$A$5:$A$2005,"&lt;"&amp;ReportFrom)+SUMIFS('Receipt Vouchers'!$J$5:$J$2005,'Receipt Vouchers'!$Q$5:$Q$2005,$A153,'Receipt Vouchers'!$A$5:$A$2005,"&lt;"&amp;ReportFrom))-(SUMIFS('Receipt Vouchers'!$N$5:$N$2005,'Receipt Vouchers'!$P$5:$P$2005,$A153,'Receipt Vouchers'!$A$5:$A$2005,"&lt;"&amp;ReportFrom)+SUMIFS('Receipt Vouchers'!$M$5:$M$2005,'Receipt Vouchers'!$R$5:$R$2005,$A153,'Receipt Vouchers'!$A$5:$A$2005,"&lt;"&amp;ReportFrom)))</f>
        <v/>
      </c>
      <c r="V153" s="25">
        <f>IF($A153="",0,SUMIFS('Receipt Vouchers'!$F$5:$F$2005,'Receipt Vouchers'!$O$5:$O$2005,$A153,'Receipt Vouchers'!$A$5:$A$2005,"&gt;="&amp;ReportFrom,'Receipt Vouchers'!$A$5:$A$2005,"&lt;="&amp;ReportTo)+SUMIFS('Receipt Vouchers'!$J$5:$J$2005,'Receipt Vouchers'!$Q$5:$Q$2005,$A153,'Receipt Vouchers'!$A$5:$A$2005,"&gt;="&amp;ReportFrom,'Receipt Vouchers'!$A$5:$A$2005,"&lt;="&amp;ReportTo))</f>
        <v/>
      </c>
      <c r="W153" s="25">
        <f>IF($A153="",0,SUMIFS('Receipt Vouchers'!$N$5:$N$2005,'Receipt Vouchers'!$P$5:$P$2005,$A153,'Receipt Vouchers'!$A$5:$A$2005,"&gt;="&amp;ReportFrom,'Receipt Vouchers'!$A$5:$A$2005,"&lt;="&amp;ReportTo)+SUMIFS('Receipt Vouchers'!$M$5:$M$2005,'Receipt Vouchers'!$R$5:$R$2005,$A153,'Receipt Vouchers'!$A$5:$A$2005,"&gt;="&amp;ReportFrom,'Receipt Vouchers'!$A$5:$A$2005,"&lt;="&amp;ReportTo))</f>
        <v/>
      </c>
      <c r="X153" s="25">
        <f>IF($A153="",0,(SUMIFS('Sales Invoices'!$O$5:$O$2005,'Sales Invoices'!$P$5:$P$2005,$A153,'Sales Invoices'!$B$5:$B$2005,"&lt;"&amp;ReportFrom)+SUMIFS('Sales Invoices'!$N$5:$N$2005,'Sales Invoices'!$R$5:$R$2005,$A153,'Sales Invoices'!$B$5:$B$2005,"&lt;"&amp;ReportFrom))-(SUMIFS('Sales Invoices'!$L$5:$L$2005,'Sales Invoices'!$Q$5:$Q$2005,$A153,'Sales Invoices'!$B$5:$B$2005,"&lt;"&amp;ReportFrom)+SUMIFS('Sales Invoices'!$M$5:$M$2005,'Sales Invoices'!$S$5:$S$2005,$A153,'Sales Invoices'!$B$5:$B$2005,"&lt;"&amp;ReportFrom)))</f>
        <v/>
      </c>
      <c r="Y153" s="25">
        <f>IF($A153="",0,SUMIFS('Sales Invoices'!$O$5:$O$2005,'Sales Invoices'!$P$5:$P$2005,$A153,'Sales Invoices'!$B$5:$B$2005,"&gt;="&amp;ReportFrom,'Sales Invoices'!$B$5:$B$2005,"&lt;="&amp;ReportTo)+SUMIFS('Sales Invoices'!$N$5:$N$2005,'Sales Invoices'!$R$5:$R$2005,$A153,'Sales Invoices'!$B$5:$B$2005,"&gt;="&amp;ReportFrom,'Sales Invoices'!$B$5:$B$2005,"&lt;="&amp;ReportTo))</f>
        <v/>
      </c>
      <c r="Z153" s="25">
        <f>IF($A153="",0,SUMIFS('Sales Invoices'!$L$5:$L$2005,'Sales Invoices'!$Q$5:$Q$2005,$A153,'Sales Invoices'!$B$5:$B$2005,"&gt;="&amp;ReportFrom,'Sales Invoices'!$B$5:$B$2005,"&lt;="&amp;ReportTo)+SUMIFS('Sales Invoices'!$M$5:$M$2005,'Sales Invoices'!$S$5:$S$2005,$A153,'Sales Invoices'!$B$5:$B$2005,"&gt;="&amp;ReportFrom,'Sales Invoices'!$B$5:$B$2005,"&lt;="&amp;ReportTo))</f>
        <v/>
      </c>
      <c r="AA153" s="25">
        <f>IF($A153="",0,(SUMIFS('Payment Vouchers'!$D$5:$D$2005,'Payment Vouchers'!$J$5:$J$2005,$A153,'Payment Vouchers'!$A$5:$A$2005,"&lt;"&amp;ReportFrom))-(SUMIFS('Payment Vouchers'!$D$5:$D$2005,'Payment Vouchers'!$K$5:$K$2005,$A153,'Payment Vouchers'!$A$5:$A$2005,"&lt;"&amp;ReportFrom)))</f>
        <v/>
      </c>
      <c r="AB153" s="25">
        <f>IF($A153="",0,SUMIFS('Payment Vouchers'!$D$5:$D$2005,'Payment Vouchers'!$J$5:$J$2005,$A153,'Payment Vouchers'!$A$5:$A$2005,"&gt;="&amp;ReportFrom,'Payment Vouchers'!$A$5:$A$2005,"&lt;="&amp;ReportTo))</f>
        <v/>
      </c>
      <c r="AC153" s="25">
        <f>IF($A153="",0,SUMIFS('Payment Vouchers'!$D$5:$D$2005,'Payment Vouchers'!$K$5:$K$2005,$A153,'Payment Vouchers'!$A$5:$A$2005,"&gt;="&amp;ReportFrom,'Payment Vouchers'!$A$5:$A$2005,"&lt;="&amp;ReportTo))</f>
        <v/>
      </c>
      <c r="AD153" s="25">
        <f>IF($A153="",0,(SUMIFS('Partner Transactions'!$D$5:$D$2005,'Partner Transactions'!$L$5:$L$2005,$A153,'Partner Transactions'!$A$5:$A$2005,"&lt;"&amp;ReportFrom))-(SUMIFS('Partner Transactions'!$D$5:$D$2005,'Partner Transactions'!$M$5:$M$2005,$A153,'Partner Transactions'!$A$5:$A$2005,"&lt;"&amp;ReportFrom)))</f>
        <v/>
      </c>
      <c r="AE153" s="25">
        <f>IF($A153="",0,SUMIFS('Partner Transactions'!$D$5:$D$2005,'Partner Transactions'!$L$5:$L$2005,$A153,'Partner Transactions'!$A$5:$A$2005,"&gt;="&amp;ReportFrom,'Partner Transactions'!$A$5:$A$2005,"&lt;="&amp;ReportTo))</f>
        <v/>
      </c>
      <c r="AF153" s="25">
        <f>IF($A153="",0,SUMIFS('Partner Transactions'!$D$5:$D$2005,'Partner Transactions'!$M$5:$M$2005,$A153,'Partner Transactions'!$A$5:$A$2005,"&gt;="&amp;ReportFrom,'Partner Transactions'!$A$5:$A$2005,"&lt;="&amp;ReportTo))</f>
        <v/>
      </c>
      <c r="AG153" s="25">
        <f>IF($A153="",0,(SUMIFS('Stock Moves'!$S$5:$S$2005,'Stock Moves'!$AD$5:$AD$2005,$A153,'Stock Moves'!$A$5:$A$2005,"&lt;"&amp;ReportFrom)+SUMIFS('Stock Moves'!$T$5:$T$2005,'Stock Moves'!$V$5:$V$2005,$A153,'Stock Moves'!$A$5:$A$2005,"&lt;"&amp;ReportFrom))-(SUMIFS('Stock Moves'!$AF$5:$AF$2005,'Stock Moves'!$AE$5:$AE$2005,$A153,'Stock Moves'!$A$5:$A$2005,"&lt;"&amp;ReportFrom)+SUMIFS('Stock Moves'!$AC$5:$AC$2005,'Stock Moves'!$X$5:$X$2005,$A153,'Stock Moves'!$A$5:$A$2005,"&lt;"&amp;ReportFrom)+SUMIFS('Stock Moves'!$U$5:$U$2005,'Stock Moves'!$W$5:$W$2005,$A153,'Stock Moves'!$A$5:$A$2005,"&lt;"&amp;ReportFrom)))</f>
        <v/>
      </c>
      <c r="AH153" s="25">
        <f>IF($A153="",0,SUMIFS('Stock Moves'!$S$5:$S$2005,'Stock Moves'!$AD$5:$AD$2005,$A153,'Stock Moves'!$A$5:$A$2005,"&gt;="&amp;ReportFrom,'Stock Moves'!$A$5:$A$2005,"&lt;="&amp;ReportTo)+SUMIFS('Stock Moves'!$T$5:$T$2005,'Stock Moves'!$V$5:$V$2005,$A153,'Stock Moves'!$A$5:$A$2005,"&gt;="&amp;ReportFrom,'Stock Moves'!$A$5:$A$2005,"&lt;="&amp;ReportTo))</f>
        <v/>
      </c>
      <c r="AI153" s="25">
        <f>IF($A153="",0,SUMIFS('Stock Moves'!$AF$5:$AF$2005,'Stock Moves'!$AE$5:$AE$2005,$A153,'Stock Moves'!$A$5:$A$2005,"&gt;="&amp;ReportFrom,'Stock Moves'!$A$5:$A$2005,"&lt;="&amp;ReportTo)+SUMIFS('Stock Moves'!$AC$5:$AC$2005,'Stock Moves'!$X$5:$X$2005,$A153,'Stock Moves'!$A$5:$A$2005,"&gt;="&amp;ReportFrom,'Stock Moves'!$A$5:$A$2005,"&lt;="&amp;ReportTo)+SUMIFS('Stock Moves'!$U$5:$U$2005,'Stock Moves'!$W$5:$W$2005,$A153,'Stock Moves'!$A$5:$A$2005,"&gt;="&amp;ReportFrom,'Stock Moves'!$A$5:$A$2005,"&lt;="&amp;ReportTo))</f>
        <v/>
      </c>
      <c r="AJ153" s="25">
        <f>IF($A153="",0,(SUMIFS('Journal Vouchers'!$I$5:$I$2005,'Journal Vouchers'!$H$5:$H$2005,$A153,'Journal Vouchers'!$B$5:$B$2005,"&lt;"&amp;ReportFrom))-(SUMIFS('Journal Vouchers'!$J$5:$J$2005,'Journal Vouchers'!$H$5:$H$2005,$A153,'Journal Vouchers'!$B$5:$B$2005,"&lt;"&amp;ReportFrom)))</f>
        <v/>
      </c>
      <c r="AK153" s="25">
        <f>IF($A153="",0,SUMIFS('Journal Vouchers'!$I$5:$I$2005,'Journal Vouchers'!$H$5:$H$2005,$A153,'Journal Vouchers'!$B$5:$B$2005,"&gt;="&amp;ReportFrom,'Journal Vouchers'!$B$5:$B$2005,"&lt;="&amp;ReportTo))</f>
        <v/>
      </c>
      <c r="AL153" s="25">
        <f>IF($A153="",0,SUMIFS('Journal Vouchers'!$J$5:$J$2005,'Journal Vouchers'!$H$5:$H$2005,$A153,'Journal Vouchers'!$B$5:$B$2005,"&gt;="&amp;ReportFrom,'Journal Vouchers'!$B$5:$B$2005,"&lt;="&amp;ReportTo))</f>
        <v/>
      </c>
    </row>
    <row r="154">
      <c r="A154" s="25">
        <f>IF('Chart of Accounts'!A154="","",'Chart of Accounts'!A154&amp;"")</f>
        <v/>
      </c>
      <c r="B154" s="25">
        <f>IF(A154="","",'Chart of Accounts'!B154)</f>
        <v/>
      </c>
      <c r="C154" s="25">
        <f>IF(A154="","",'Chart of Accounts'!C154)</f>
        <v/>
      </c>
      <c r="D154" s="25">
        <f>IF(A154="","",'Chart of Accounts'!D154)</f>
        <v/>
      </c>
      <c r="E154" s="26">
        <f>L154+O154+R154+U154+X154+AA154+AD154+AG154+AJ154</f>
        <v/>
      </c>
      <c r="F154" s="26">
        <f>M154+P154+S154+V154+Y154+AB154+AE154+AH154+AK154</f>
        <v/>
      </c>
      <c r="G154" s="26">
        <f>N154+Q154+T154+W154+Z154+AC154+AF154+AI154+AL154</f>
        <v/>
      </c>
      <c r="H154" s="26">
        <f>E154+F154-G154</f>
        <v/>
      </c>
      <c r="I154" s="26">
        <f>MAX(H154,0)</f>
        <v/>
      </c>
      <c r="J154" s="26">
        <f>MAX(-H154,0)</f>
        <v/>
      </c>
      <c r="L154" s="25">
        <f>IF($A154="",0,(SUMIFS('Direct Costs'!$R$5:$R$2005,'Direct Costs'!$V$5:$V$2005,$A154,'Direct Costs'!$A$5:$A$2005,"&lt;"&amp;ReportFrom)+SUMIFS('Direct Costs'!$S$5:$S$2005,'Direct Costs'!$Y$5:$Y$2005,$A154,'Direct Costs'!$A$5:$A$2005,"&lt;"&amp;ReportFrom))-(SUMIFS('Direct Costs'!$L$5:$L$2005,'Direct Costs'!$W$5:$W$2005,$A154,'Direct Costs'!$A$5:$A$2005,"&lt;"&amp;ReportFrom)+SUMIFS('Direct Costs'!$U$5:$U$2005,'Direct Costs'!$X$5:$X$2005,$A154,'Direct Costs'!$A$5:$A$2005,"&lt;"&amp;ReportFrom)+SUMIFS('Direct Costs'!$T$5:$T$2005,'Direct Costs'!$Z$5:$Z$2005,$A154,'Direct Costs'!$A$5:$A$2005,"&lt;"&amp;ReportFrom)))</f>
        <v/>
      </c>
      <c r="M154" s="25">
        <f>IF($A154="",0,SUMIFS('Direct Costs'!$R$5:$R$2005,'Direct Costs'!$V$5:$V$2005,$A154,'Direct Costs'!$A$5:$A$2005,"&gt;="&amp;ReportFrom,'Direct Costs'!$A$5:$A$2005,"&lt;="&amp;ReportTo)+SUMIFS('Direct Costs'!$S$5:$S$2005,'Direct Costs'!$Y$5:$Y$2005,$A154,'Direct Costs'!$A$5:$A$2005,"&gt;="&amp;ReportFrom,'Direct Costs'!$A$5:$A$2005,"&lt;="&amp;ReportTo))</f>
        <v/>
      </c>
      <c r="N154" s="25">
        <f>IF($A154="",0,SUMIFS('Direct Costs'!$L$5:$L$2005,'Direct Costs'!$W$5:$W$2005,$A154,'Direct Costs'!$A$5:$A$2005,"&gt;="&amp;ReportFrom,'Direct Costs'!$A$5:$A$2005,"&lt;="&amp;ReportTo)+SUMIFS('Direct Costs'!$U$5:$U$2005,'Direct Costs'!$X$5:$X$2005,$A154,'Direct Costs'!$A$5:$A$2005,"&gt;="&amp;ReportFrom,'Direct Costs'!$A$5:$A$2005,"&lt;="&amp;ReportTo)+SUMIFS('Direct Costs'!$T$5:$T$2005,'Direct Costs'!$Z$5:$Z$2005,$A154,'Direct Costs'!$A$5:$A$2005,"&gt;="&amp;ReportFrom,'Direct Costs'!$A$5:$A$2005,"&lt;="&amp;ReportTo))</f>
        <v/>
      </c>
      <c r="O154" s="25">
        <f>IF($A154="",0,(SUMIFS('Operating Expenses'!$F$5:$F$2005,'Operating Expenses'!$Q$5:$Q$2005,$A154,'Operating Expenses'!$A$5:$A$2005,"&lt;"&amp;ReportFrom)+SUMIFS('Operating Expenses'!$M$5:$M$2005,'Operating Expenses'!$T$5:$T$2005,$A154,'Operating Expenses'!$A$5:$A$2005,"&lt;"&amp;ReportFrom))-(SUMIFS('Operating Expenses'!$O$5:$O$2005,'Operating Expenses'!$R$5:$R$2005,$A154,'Operating Expenses'!$A$5:$A$2005,"&lt;"&amp;ReportFrom)+SUMIFS('Operating Expenses'!$P$5:$P$2005,'Operating Expenses'!$S$5:$S$2005,$A154,'Operating Expenses'!$A$5:$A$2005,"&lt;"&amp;ReportFrom)+SUMIFS('Operating Expenses'!$N$5:$N$2005,'Operating Expenses'!$U$5:$U$2005,$A154,'Operating Expenses'!$A$5:$A$2005,"&lt;"&amp;ReportFrom)))</f>
        <v/>
      </c>
      <c r="P154" s="25">
        <f>IF($A154="",0,SUMIFS('Operating Expenses'!$F$5:$F$2005,'Operating Expenses'!$Q$5:$Q$2005,$A154,'Operating Expenses'!$A$5:$A$2005,"&gt;="&amp;ReportFrom,'Operating Expenses'!$A$5:$A$2005,"&lt;="&amp;ReportTo)+SUMIFS('Operating Expenses'!$M$5:$M$2005,'Operating Expenses'!$T$5:$T$2005,$A154,'Operating Expenses'!$A$5:$A$2005,"&gt;="&amp;ReportFrom,'Operating Expenses'!$A$5:$A$2005,"&lt;="&amp;ReportTo))</f>
        <v/>
      </c>
      <c r="Q154" s="25">
        <f>IF($A154="",0,SUMIFS('Operating Expenses'!$O$5:$O$2005,'Operating Expenses'!$R$5:$R$2005,$A154,'Operating Expenses'!$A$5:$A$2005,"&gt;="&amp;ReportFrom,'Operating Expenses'!$A$5:$A$2005,"&lt;="&amp;ReportTo)+SUMIFS('Operating Expenses'!$P$5:$P$2005,'Operating Expenses'!$S$5:$S$2005,$A154,'Operating Expenses'!$A$5:$A$2005,"&gt;="&amp;ReportFrom,'Operating Expenses'!$A$5:$A$2005,"&lt;="&amp;ReportTo)+SUMIFS('Operating Expenses'!$N$5:$N$2005,'Operating Expenses'!$U$5:$U$2005,$A154,'Operating Expenses'!$A$5:$A$2005,"&gt;="&amp;ReportFrom,'Operating Expenses'!$A$5:$A$2005,"&lt;="&amp;ReportTo))</f>
        <v/>
      </c>
      <c r="R154" s="25">
        <f>IF($A154="",0,(SUMIFS('Payroll'!$O$5:$O$2005,'Payroll'!$Q$5:$Q$2005,$A154,'Payroll'!$A$5:$A$2005,"&lt;"&amp;ReportFrom))-(SUMIFS('Payroll'!$K$5:$K$2005,'Payroll'!$R$5:$R$2005,$A154,'Payroll'!$A$5:$A$2005,"&lt;"&amp;ReportFrom)+SUMIFS('Payroll'!$P$5:$P$2005,'Payroll'!$S$5:$S$2005,$A154,'Payroll'!$A$5:$A$2005,"&lt;"&amp;ReportFrom)))</f>
        <v/>
      </c>
      <c r="S154" s="25">
        <f>IF($A154="",0,SUMIFS('Payroll'!$O$5:$O$2005,'Payroll'!$Q$5:$Q$2005,$A154,'Payroll'!$A$5:$A$2005,"&gt;="&amp;ReportFrom,'Payroll'!$A$5:$A$2005,"&lt;="&amp;ReportTo))</f>
        <v/>
      </c>
      <c r="T154" s="25">
        <f>IF($A154="",0,SUMIFS('Payroll'!$K$5:$K$2005,'Payroll'!$R$5:$R$2005,$A154,'Payroll'!$A$5:$A$2005,"&gt;="&amp;ReportFrom,'Payroll'!$A$5:$A$2005,"&lt;="&amp;ReportTo)+SUMIFS('Payroll'!$P$5:$P$2005,'Payroll'!$S$5:$S$2005,$A154,'Payroll'!$A$5:$A$2005,"&gt;="&amp;ReportFrom,'Payroll'!$A$5:$A$2005,"&lt;="&amp;ReportTo))</f>
        <v/>
      </c>
      <c r="U154" s="25">
        <f>IF($A154="",0,(SUMIFS('Receipt Vouchers'!$F$5:$F$2005,'Receipt Vouchers'!$O$5:$O$2005,$A154,'Receipt Vouchers'!$A$5:$A$2005,"&lt;"&amp;ReportFrom)+SUMIFS('Receipt Vouchers'!$J$5:$J$2005,'Receipt Vouchers'!$Q$5:$Q$2005,$A154,'Receipt Vouchers'!$A$5:$A$2005,"&lt;"&amp;ReportFrom))-(SUMIFS('Receipt Vouchers'!$N$5:$N$2005,'Receipt Vouchers'!$P$5:$P$2005,$A154,'Receipt Vouchers'!$A$5:$A$2005,"&lt;"&amp;ReportFrom)+SUMIFS('Receipt Vouchers'!$M$5:$M$2005,'Receipt Vouchers'!$R$5:$R$2005,$A154,'Receipt Vouchers'!$A$5:$A$2005,"&lt;"&amp;ReportFrom)))</f>
        <v/>
      </c>
      <c r="V154" s="25">
        <f>IF($A154="",0,SUMIFS('Receipt Vouchers'!$F$5:$F$2005,'Receipt Vouchers'!$O$5:$O$2005,$A154,'Receipt Vouchers'!$A$5:$A$2005,"&gt;="&amp;ReportFrom,'Receipt Vouchers'!$A$5:$A$2005,"&lt;="&amp;ReportTo)+SUMIFS('Receipt Vouchers'!$J$5:$J$2005,'Receipt Vouchers'!$Q$5:$Q$2005,$A154,'Receipt Vouchers'!$A$5:$A$2005,"&gt;="&amp;ReportFrom,'Receipt Vouchers'!$A$5:$A$2005,"&lt;="&amp;ReportTo))</f>
        <v/>
      </c>
      <c r="W154" s="25">
        <f>IF($A154="",0,SUMIFS('Receipt Vouchers'!$N$5:$N$2005,'Receipt Vouchers'!$P$5:$P$2005,$A154,'Receipt Vouchers'!$A$5:$A$2005,"&gt;="&amp;ReportFrom,'Receipt Vouchers'!$A$5:$A$2005,"&lt;="&amp;ReportTo)+SUMIFS('Receipt Vouchers'!$M$5:$M$2005,'Receipt Vouchers'!$R$5:$R$2005,$A154,'Receipt Vouchers'!$A$5:$A$2005,"&gt;="&amp;ReportFrom,'Receipt Vouchers'!$A$5:$A$2005,"&lt;="&amp;ReportTo))</f>
        <v/>
      </c>
      <c r="X154" s="25">
        <f>IF($A154="",0,(SUMIFS('Sales Invoices'!$O$5:$O$2005,'Sales Invoices'!$P$5:$P$2005,$A154,'Sales Invoices'!$B$5:$B$2005,"&lt;"&amp;ReportFrom)+SUMIFS('Sales Invoices'!$N$5:$N$2005,'Sales Invoices'!$R$5:$R$2005,$A154,'Sales Invoices'!$B$5:$B$2005,"&lt;"&amp;ReportFrom))-(SUMIFS('Sales Invoices'!$L$5:$L$2005,'Sales Invoices'!$Q$5:$Q$2005,$A154,'Sales Invoices'!$B$5:$B$2005,"&lt;"&amp;ReportFrom)+SUMIFS('Sales Invoices'!$M$5:$M$2005,'Sales Invoices'!$S$5:$S$2005,$A154,'Sales Invoices'!$B$5:$B$2005,"&lt;"&amp;ReportFrom)))</f>
        <v/>
      </c>
      <c r="Y154" s="25">
        <f>IF($A154="",0,SUMIFS('Sales Invoices'!$O$5:$O$2005,'Sales Invoices'!$P$5:$P$2005,$A154,'Sales Invoices'!$B$5:$B$2005,"&gt;="&amp;ReportFrom,'Sales Invoices'!$B$5:$B$2005,"&lt;="&amp;ReportTo)+SUMIFS('Sales Invoices'!$N$5:$N$2005,'Sales Invoices'!$R$5:$R$2005,$A154,'Sales Invoices'!$B$5:$B$2005,"&gt;="&amp;ReportFrom,'Sales Invoices'!$B$5:$B$2005,"&lt;="&amp;ReportTo))</f>
        <v/>
      </c>
      <c r="Z154" s="25">
        <f>IF($A154="",0,SUMIFS('Sales Invoices'!$L$5:$L$2005,'Sales Invoices'!$Q$5:$Q$2005,$A154,'Sales Invoices'!$B$5:$B$2005,"&gt;="&amp;ReportFrom,'Sales Invoices'!$B$5:$B$2005,"&lt;="&amp;ReportTo)+SUMIFS('Sales Invoices'!$M$5:$M$2005,'Sales Invoices'!$S$5:$S$2005,$A154,'Sales Invoices'!$B$5:$B$2005,"&gt;="&amp;ReportFrom,'Sales Invoices'!$B$5:$B$2005,"&lt;="&amp;ReportTo))</f>
        <v/>
      </c>
      <c r="AA154" s="25">
        <f>IF($A154="",0,(SUMIFS('Payment Vouchers'!$D$5:$D$2005,'Payment Vouchers'!$J$5:$J$2005,$A154,'Payment Vouchers'!$A$5:$A$2005,"&lt;"&amp;ReportFrom))-(SUMIFS('Payment Vouchers'!$D$5:$D$2005,'Payment Vouchers'!$K$5:$K$2005,$A154,'Payment Vouchers'!$A$5:$A$2005,"&lt;"&amp;ReportFrom)))</f>
        <v/>
      </c>
      <c r="AB154" s="25">
        <f>IF($A154="",0,SUMIFS('Payment Vouchers'!$D$5:$D$2005,'Payment Vouchers'!$J$5:$J$2005,$A154,'Payment Vouchers'!$A$5:$A$2005,"&gt;="&amp;ReportFrom,'Payment Vouchers'!$A$5:$A$2005,"&lt;="&amp;ReportTo))</f>
        <v/>
      </c>
      <c r="AC154" s="25">
        <f>IF($A154="",0,SUMIFS('Payment Vouchers'!$D$5:$D$2005,'Payment Vouchers'!$K$5:$K$2005,$A154,'Payment Vouchers'!$A$5:$A$2005,"&gt;="&amp;ReportFrom,'Payment Vouchers'!$A$5:$A$2005,"&lt;="&amp;ReportTo))</f>
        <v/>
      </c>
      <c r="AD154" s="25">
        <f>IF($A154="",0,(SUMIFS('Partner Transactions'!$D$5:$D$2005,'Partner Transactions'!$L$5:$L$2005,$A154,'Partner Transactions'!$A$5:$A$2005,"&lt;"&amp;ReportFrom))-(SUMIFS('Partner Transactions'!$D$5:$D$2005,'Partner Transactions'!$M$5:$M$2005,$A154,'Partner Transactions'!$A$5:$A$2005,"&lt;"&amp;ReportFrom)))</f>
        <v/>
      </c>
      <c r="AE154" s="25">
        <f>IF($A154="",0,SUMIFS('Partner Transactions'!$D$5:$D$2005,'Partner Transactions'!$L$5:$L$2005,$A154,'Partner Transactions'!$A$5:$A$2005,"&gt;="&amp;ReportFrom,'Partner Transactions'!$A$5:$A$2005,"&lt;="&amp;ReportTo))</f>
        <v/>
      </c>
      <c r="AF154" s="25">
        <f>IF($A154="",0,SUMIFS('Partner Transactions'!$D$5:$D$2005,'Partner Transactions'!$M$5:$M$2005,$A154,'Partner Transactions'!$A$5:$A$2005,"&gt;="&amp;ReportFrom,'Partner Transactions'!$A$5:$A$2005,"&lt;="&amp;ReportTo))</f>
        <v/>
      </c>
      <c r="AG154" s="25">
        <f>IF($A154="",0,(SUMIFS('Stock Moves'!$S$5:$S$2005,'Stock Moves'!$AD$5:$AD$2005,$A154,'Stock Moves'!$A$5:$A$2005,"&lt;"&amp;ReportFrom)+SUMIFS('Stock Moves'!$T$5:$T$2005,'Stock Moves'!$V$5:$V$2005,$A154,'Stock Moves'!$A$5:$A$2005,"&lt;"&amp;ReportFrom))-(SUMIFS('Stock Moves'!$AF$5:$AF$2005,'Stock Moves'!$AE$5:$AE$2005,$A154,'Stock Moves'!$A$5:$A$2005,"&lt;"&amp;ReportFrom)+SUMIFS('Stock Moves'!$AC$5:$AC$2005,'Stock Moves'!$X$5:$X$2005,$A154,'Stock Moves'!$A$5:$A$2005,"&lt;"&amp;ReportFrom)+SUMIFS('Stock Moves'!$U$5:$U$2005,'Stock Moves'!$W$5:$W$2005,$A154,'Stock Moves'!$A$5:$A$2005,"&lt;"&amp;ReportFrom)))</f>
        <v/>
      </c>
      <c r="AH154" s="25">
        <f>IF($A154="",0,SUMIFS('Stock Moves'!$S$5:$S$2005,'Stock Moves'!$AD$5:$AD$2005,$A154,'Stock Moves'!$A$5:$A$2005,"&gt;="&amp;ReportFrom,'Stock Moves'!$A$5:$A$2005,"&lt;="&amp;ReportTo)+SUMIFS('Stock Moves'!$T$5:$T$2005,'Stock Moves'!$V$5:$V$2005,$A154,'Stock Moves'!$A$5:$A$2005,"&gt;="&amp;ReportFrom,'Stock Moves'!$A$5:$A$2005,"&lt;="&amp;ReportTo))</f>
        <v/>
      </c>
      <c r="AI154" s="25">
        <f>IF($A154="",0,SUMIFS('Stock Moves'!$AF$5:$AF$2005,'Stock Moves'!$AE$5:$AE$2005,$A154,'Stock Moves'!$A$5:$A$2005,"&gt;="&amp;ReportFrom,'Stock Moves'!$A$5:$A$2005,"&lt;="&amp;ReportTo)+SUMIFS('Stock Moves'!$AC$5:$AC$2005,'Stock Moves'!$X$5:$X$2005,$A154,'Stock Moves'!$A$5:$A$2005,"&gt;="&amp;ReportFrom,'Stock Moves'!$A$5:$A$2005,"&lt;="&amp;ReportTo)+SUMIFS('Stock Moves'!$U$5:$U$2005,'Stock Moves'!$W$5:$W$2005,$A154,'Stock Moves'!$A$5:$A$2005,"&gt;="&amp;ReportFrom,'Stock Moves'!$A$5:$A$2005,"&lt;="&amp;ReportTo))</f>
        <v/>
      </c>
      <c r="AJ154" s="25">
        <f>IF($A154="",0,(SUMIFS('Journal Vouchers'!$I$5:$I$2005,'Journal Vouchers'!$H$5:$H$2005,$A154,'Journal Vouchers'!$B$5:$B$2005,"&lt;"&amp;ReportFrom))-(SUMIFS('Journal Vouchers'!$J$5:$J$2005,'Journal Vouchers'!$H$5:$H$2005,$A154,'Journal Vouchers'!$B$5:$B$2005,"&lt;"&amp;ReportFrom)))</f>
        <v/>
      </c>
      <c r="AK154" s="25">
        <f>IF($A154="",0,SUMIFS('Journal Vouchers'!$I$5:$I$2005,'Journal Vouchers'!$H$5:$H$2005,$A154,'Journal Vouchers'!$B$5:$B$2005,"&gt;="&amp;ReportFrom,'Journal Vouchers'!$B$5:$B$2005,"&lt;="&amp;ReportTo))</f>
        <v/>
      </c>
      <c r="AL154" s="25">
        <f>IF($A154="",0,SUMIFS('Journal Vouchers'!$J$5:$J$2005,'Journal Vouchers'!$H$5:$H$2005,$A154,'Journal Vouchers'!$B$5:$B$2005,"&gt;="&amp;ReportFrom,'Journal Vouchers'!$B$5:$B$2005,"&lt;="&amp;ReportTo))</f>
        <v/>
      </c>
    </row>
    <row r="155">
      <c r="B155" s="27" t="inlineStr">
        <is>
          <t>TOTAL</t>
        </is>
      </c>
      <c r="E155" s="28">
        <f>SUM(E5:E154)</f>
        <v/>
      </c>
      <c r="F155" s="28">
        <f>SUM(F5:F154)</f>
        <v/>
      </c>
      <c r="G155" s="28">
        <f>SUM(G5:G154)</f>
        <v/>
      </c>
      <c r="H155" s="28">
        <f>SUM(H5:H154)</f>
        <v/>
      </c>
      <c r="I155" s="28">
        <f>SUM(I5:I154)</f>
        <v/>
      </c>
      <c r="J155" s="28">
        <f>SUM(J5:J154)</f>
        <v/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C2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2" customWidth="1" min="3" max="3"/>
  </cols>
  <sheetData>
    <row r="1" ht="24" customHeight="1">
      <c r="A1" s="8" t="inlineStr">
        <is>
          <t>BEYOND DESIGN | BEYOND DESIGN</t>
        </is>
      </c>
    </row>
    <row r="2">
      <c r="A2" s="29" t="inlineStr">
        <is>
          <t>Income Statement</t>
        </is>
      </c>
    </row>
    <row r="3">
      <c r="A3" s="30">
        <f>"Period "&amp;TEXT(ReportFrom,"yyyy-mm-dd")&amp;" to "&amp;TEXT(ReportTo,"yyyy-mm-dd")&amp;" · EGP"</f>
        <v/>
      </c>
    </row>
    <row r="4"/>
    <row r="5">
      <c r="A5" s="31" t="inlineStr"/>
      <c r="B5" s="32" t="inlineStr">
        <is>
          <t>EGP</t>
        </is>
      </c>
      <c r="C5" s="33" t="inlineStr">
        <is>
          <t>% of net sales</t>
        </is>
      </c>
    </row>
    <row r="6">
      <c r="A6" s="34" t="inlineStr">
        <is>
          <t>Revenue</t>
        </is>
      </c>
      <c r="B6" s="35" t="n"/>
      <c r="C6" s="35" t="n"/>
    </row>
    <row r="7">
      <c r="A7" s="36" t="inlineStr">
        <is>
          <t>Gross sales (operating revenue)</t>
        </is>
      </c>
      <c r="B7" s="37">
        <f>(((SUMIFS('Trial Balance'!$G$5:$G$154,'Trial Balance'!$D$5:$D$154,"operating_revenue")))-((SUMIFS('Trial Balance'!$F$5:$F$154,'Trial Balance'!$D$5:$D$154,"operating_revenue"))))</f>
        <v/>
      </c>
    </row>
    <row r="8">
      <c r="A8" s="36" t="inlineStr">
        <is>
          <t>Less: sales discounts &amp; allowances</t>
        </is>
      </c>
      <c r="B8" s="37">
        <f>(((SUMIFS('Trial Balance'!$F$5:$F$154,'Trial Balance'!$D$5:$D$154,"sales_discount")))-((SUMIFS('Trial Balance'!$G$5:$G$154,'Trial Balance'!$D$5:$D$154,"sales_discount"))))</f>
        <v/>
      </c>
    </row>
    <row r="9">
      <c r="A9" s="38" t="inlineStr">
        <is>
          <t>Net sales</t>
        </is>
      </c>
      <c r="B9" s="39">
        <f>B7-B8</f>
        <v/>
      </c>
      <c r="C9" s="40" t="n"/>
    </row>
    <row r="10">
      <c r="A10" s="36" t="inlineStr">
        <is>
          <t>Cost of sales</t>
        </is>
      </c>
      <c r="B10" s="37">
        <f>(((SUMIFS('Trial Balance'!$F$5:$F$154,'Trial Balance'!$D$5:$D$154,"cogs")))-((SUMIFS('Trial Balance'!$G$5:$G$154,'Trial Balance'!$D$5:$D$154,"cogs"))))</f>
        <v/>
      </c>
      <c r="C10" s="41">
        <f>IFERROR(B10/B9,0)</f>
        <v/>
      </c>
    </row>
    <row r="11">
      <c r="A11" s="42" t="inlineStr">
        <is>
          <t>Gross profit</t>
        </is>
      </c>
      <c r="B11" s="43">
        <f>B9-B10</f>
        <v/>
      </c>
      <c r="C11" s="44">
        <f>IFERROR(B11/B9,0)</f>
        <v/>
      </c>
    </row>
    <row r="12">
      <c r="A12" s="34" t="inlineStr">
        <is>
          <t>Operating expenses</t>
        </is>
      </c>
      <c r="B12" s="35" t="n"/>
      <c r="C12" s="35" t="n"/>
    </row>
    <row r="13">
      <c r="A13" s="36" t="inlineStr">
        <is>
          <t>Employee expenses</t>
        </is>
      </c>
      <c r="B13" s="37">
        <f>(((SUMIFS('Trial Balance'!$F$5:$F$154,'Trial Balance'!$D$5:$D$154,"employee")))-((SUMIFS('Trial Balance'!$G$5:$G$154,'Trial Balance'!$D$5:$D$154,"employee"))))</f>
        <v/>
      </c>
      <c r="C13" s="41">
        <f>IFERROR(B13/B9,0)</f>
        <v/>
      </c>
    </row>
    <row r="14">
      <c r="A14" s="36" t="inlineStr">
        <is>
          <t>General &amp; administrative expenses</t>
        </is>
      </c>
      <c r="B14" s="37">
        <f>(((SUMIFS('Trial Balance'!$F$5:$F$154,'Trial Balance'!$D$5:$D$154,"general_admin")))-((SUMIFS('Trial Balance'!$G$5:$G$154,'Trial Balance'!$D$5:$D$154,"general_admin"))))</f>
        <v/>
      </c>
      <c r="C14" s="41">
        <f>IFERROR(B14/B9,0)</f>
        <v/>
      </c>
    </row>
    <row r="15">
      <c r="A15" s="36" t="inlineStr">
        <is>
          <t>Marketing &amp; advertising expenses</t>
        </is>
      </c>
      <c r="B15" s="37">
        <f>(((SUMIFS('Trial Balance'!$F$5:$F$154,'Trial Balance'!$D$5:$D$154,"marketing")))-((SUMIFS('Trial Balance'!$G$5:$G$154,'Trial Balance'!$D$5:$D$154,"marketing"))))</f>
        <v/>
      </c>
      <c r="C15" s="41">
        <f>IFERROR(B15/B9,0)</f>
        <v/>
      </c>
    </row>
    <row r="16">
      <c r="A16" s="36" t="inlineStr">
        <is>
          <t>Utilities (electricity / telephone)</t>
        </is>
      </c>
      <c r="B16" s="37">
        <f>(((SUMIFS('Trial Balance'!$F$5:$F$154,'Trial Balance'!$D$5:$D$154,"utilities")))-((SUMIFS('Trial Balance'!$G$5:$G$154,'Trial Balance'!$D$5:$D$154,"utilities"))))</f>
        <v/>
      </c>
      <c r="C16" s="41">
        <f>IFERROR(B16/B9,0)</f>
        <v/>
      </c>
    </row>
    <row r="17">
      <c r="A17" s="36" t="inlineStr">
        <is>
          <t>Other operating expenses</t>
        </is>
      </c>
      <c r="B17" s="37">
        <f>(((SUMIFS('Trial Balance'!$F$5:$F$154,'Trial Balance'!$D$5:$D$154,"other_operating")))-((SUMIFS('Trial Balance'!$G$5:$G$154,'Trial Balance'!$D$5:$D$154,"other_operating"))))</f>
        <v/>
      </c>
      <c r="C17" s="41">
        <f>IFERROR(B17/B9,0)</f>
        <v/>
      </c>
    </row>
    <row r="18">
      <c r="A18" s="38" t="inlineStr">
        <is>
          <t>Operating expenses</t>
        </is>
      </c>
      <c r="B18" s="39">
        <f>B13+B14+B15+B16+B17</f>
        <v/>
      </c>
      <c r="C18" s="45">
        <f>IFERROR(B18/B9,0)</f>
        <v/>
      </c>
    </row>
    <row r="19">
      <c r="A19" s="42" t="inlineStr">
        <is>
          <t>EBITDA</t>
        </is>
      </c>
      <c r="B19" s="43">
        <f>B11-B18</f>
        <v/>
      </c>
      <c r="C19" s="44">
        <f>IFERROR(B19/B9,0)</f>
        <v/>
      </c>
    </row>
    <row r="20">
      <c r="A20" s="36" t="inlineStr">
        <is>
          <t>Depreciation</t>
        </is>
      </c>
      <c r="B20" s="37">
        <f>(((SUMIFS('Trial Balance'!$F$5:$F$154,'Trial Balance'!$D$5:$D$154,"depreciation")))-((SUMIFS('Trial Balance'!$G$5:$G$154,'Trial Balance'!$D$5:$D$154,"depreciation"))))</f>
        <v/>
      </c>
      <c r="C20" s="41">
        <f>IFERROR(B20/B9,0)</f>
        <v/>
      </c>
    </row>
    <row r="21">
      <c r="A21" s="36" t="inlineStr">
        <is>
          <t>Amortization</t>
        </is>
      </c>
      <c r="B21" s="37">
        <f>(((SUMIFS('Trial Balance'!$F$5:$F$154,'Trial Balance'!$D$5:$D$154,"amortization")))-((SUMIFS('Trial Balance'!$G$5:$G$154,'Trial Balance'!$D$5:$D$154,"amortization"))))</f>
        <v/>
      </c>
      <c r="C21" s="41">
        <f>IFERROR(B21/B9,0)</f>
        <v/>
      </c>
    </row>
    <row r="22">
      <c r="A22" s="42" t="inlineStr">
        <is>
          <t>EBIT / Operating profit</t>
        </is>
      </c>
      <c r="B22" s="43">
        <f>B19-B20-B21</f>
        <v/>
      </c>
      <c r="C22" s="44">
        <f>IFERROR(B22/B9,0)</f>
        <v/>
      </c>
    </row>
    <row r="23">
      <c r="A23" s="36" t="inlineStr">
        <is>
          <t>Interest expense</t>
        </is>
      </c>
      <c r="B23" s="37">
        <f>(((SUMIFS('Trial Balance'!$F$5:$F$154,'Trial Balance'!$D$5:$D$154,"interest")))-((SUMIFS('Trial Balance'!$G$5:$G$154,'Trial Balance'!$D$5:$D$154,"interest"))))</f>
        <v/>
      </c>
      <c r="C23" s="41">
        <f>IFERROR(B23/B9,0)</f>
        <v/>
      </c>
    </row>
    <row r="24">
      <c r="A24" s="36" t="inlineStr">
        <is>
          <t>Other non-operating expenses</t>
        </is>
      </c>
      <c r="B24" s="37">
        <f>(((SUMIFS('Trial Balance'!$F$5:$F$154,'Trial Balance'!$D$5:$D$154,"other_nonoperating")))-((SUMIFS('Trial Balance'!$G$5:$G$154,'Trial Balance'!$D$5:$D$154,"other_nonoperating"))))</f>
        <v/>
      </c>
      <c r="C24" s="41">
        <f>IFERROR(B24/B9,0)</f>
        <v/>
      </c>
    </row>
    <row r="25">
      <c r="A25" s="36" t="inlineStr">
        <is>
          <t>Other income</t>
        </is>
      </c>
      <c r="B25" s="37">
        <f>(((SUMIFS('Trial Balance'!$G$5:$G$154,'Trial Balance'!$D$5:$D$154,"other_income")))-((SUMIFS('Trial Balance'!$F$5:$F$154,'Trial Balance'!$D$5:$D$154,"other_income"))))</f>
        <v/>
      </c>
      <c r="C25" s="41">
        <f>IFERROR(B25/B9,0)</f>
        <v/>
      </c>
    </row>
    <row r="26">
      <c r="A26" s="42" t="inlineStr">
        <is>
          <t>EBT / Profit before tax</t>
        </is>
      </c>
      <c r="B26" s="43">
        <f>B22-B23-B24+B25</f>
        <v/>
      </c>
      <c r="C26" s="44">
        <f>IFERROR(B26/B9,0)</f>
        <v/>
      </c>
    </row>
    <row r="27">
      <c r="A27" s="36" t="inlineStr">
        <is>
          <t>Income tax</t>
        </is>
      </c>
      <c r="B27" s="37">
        <f>(((SUMIFS('Trial Balance'!$F$5:$F$154,'Trial Balance'!$D$5:$D$154,"income_tax")))-((SUMIFS('Trial Balance'!$G$5:$G$154,'Trial Balance'!$D$5:$D$154,"income_tax"))))</f>
        <v/>
      </c>
      <c r="C27" s="41">
        <f>IFERROR(B27/B9,0)</f>
        <v/>
      </c>
    </row>
    <row r="28">
      <c r="A28" s="46" t="inlineStr">
        <is>
          <t>Net profit / (loss)</t>
        </is>
      </c>
      <c r="B28" s="47">
        <f>B26-B27</f>
        <v/>
      </c>
      <c r="C28" s="48">
        <f>IFERROR(B28/B9,0)</f>
        <v/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2" customWidth="1" min="3" max="3"/>
  </cols>
  <sheetData>
    <row r="1" ht="24" customHeight="1">
      <c r="A1" s="8" t="inlineStr">
        <is>
          <t>BEYOND DESIGN | BEYOND DESIGN</t>
        </is>
      </c>
    </row>
    <row r="2">
      <c r="A2" s="29" t="inlineStr">
        <is>
          <t>Balance Sheet</t>
        </is>
      </c>
    </row>
    <row r="3">
      <c r="A3" s="30">
        <f>"As of "&amp;TEXT(ReportTo,"yyyy-mm-dd")&amp;" · EGP"</f>
        <v/>
      </c>
    </row>
    <row r="4"/>
    <row r="5">
      <c r="A5" s="31" t="inlineStr"/>
      <c r="B5" s="32" t="inlineStr">
        <is>
          <t>EGP</t>
        </is>
      </c>
      <c r="C5" s="33" t="n"/>
    </row>
    <row r="6">
      <c r="A6" s="34" t="inlineStr">
        <is>
          <t>ASSETS</t>
        </is>
      </c>
      <c r="B6" s="35" t="n"/>
      <c r="C6" s="35" t="n"/>
    </row>
    <row r="7">
      <c r="A7" s="36" t="inlineStr">
        <is>
          <t>Cash &amp; cash equivalents</t>
        </is>
      </c>
      <c r="B7" s="37">
        <f>(SUMIFS('Trial Balance'!$H$5:$H$154,'Trial Balance'!$D$5:$D$154,"cash"))</f>
        <v/>
      </c>
    </row>
    <row r="8">
      <c r="A8" s="36" t="inlineStr">
        <is>
          <t>Accounts receivable (net)</t>
        </is>
      </c>
      <c r="B8" s="37">
        <f>(SUMIFS('Trial Balance'!$H$5:$H$154,'Trial Balance'!$D$5:$D$154,"receivable")+SUMIFS('Trial Balance'!$H$5:$H$154,'Trial Balance'!$D$5:$D$154,"allowance_doubtful"))</f>
        <v/>
      </c>
    </row>
    <row r="9">
      <c r="A9" s="36" t="inlineStr">
        <is>
          <t>Inventory</t>
        </is>
      </c>
      <c r="B9" s="37">
        <f>(SUMIFS('Trial Balance'!$H$5:$H$154,'Trial Balance'!$D$5:$D$154,"inventory"))</f>
        <v/>
      </c>
    </row>
    <row r="10">
      <c r="A10" s="36" t="inlineStr">
        <is>
          <t>Prepaid expenses &amp; advances</t>
        </is>
      </c>
      <c r="B10" s="37">
        <f>(SUMIFS('Trial Balance'!$H$5:$H$154,'Trial Balance'!$D$5:$D$154,"prepaid"))</f>
        <v/>
      </c>
    </row>
    <row r="11">
      <c r="A11" s="36" t="inlineStr">
        <is>
          <t>Other current assets</t>
        </is>
      </c>
      <c r="B11" s="37">
        <f>(SUMIFS('Trial Balance'!$H$5:$H$154,'Trial Balance'!$D$5:$D$154,"other_current_asset"))</f>
        <v/>
      </c>
    </row>
    <row r="12">
      <c r="A12" s="38" t="inlineStr">
        <is>
          <t>Total current assets</t>
        </is>
      </c>
      <c r="B12" s="39">
        <f>B7+B8+B9+B10+B11</f>
        <v/>
      </c>
      <c r="C12" s="40" t="n"/>
    </row>
    <row r="13">
      <c r="A13" s="36" t="inlineStr">
        <is>
          <t>Property &amp; equipment (cost)</t>
        </is>
      </c>
      <c r="B13" s="37">
        <f>(SUMIFS('Trial Balance'!$H$5:$H$154,'Trial Balance'!$D$5:$D$154,"fixed_asset"))</f>
        <v/>
      </c>
    </row>
    <row r="14">
      <c r="A14" s="36" t="inlineStr">
        <is>
          <t>Less: accumulated depreciation</t>
        </is>
      </c>
      <c r="B14" s="37">
        <f>(SUMIFS('Trial Balance'!$H$5:$H$154,'Trial Balance'!$D$5:$D$154,"accumulated_depreciation"))</f>
        <v/>
      </c>
    </row>
    <row r="15">
      <c r="A15" s="36" t="inlineStr">
        <is>
          <t>Intangible assets</t>
        </is>
      </c>
      <c r="B15" s="37">
        <f>(SUMIFS('Trial Balance'!$H$5:$H$154,'Trial Balance'!$D$5:$D$154,"intangible"))</f>
        <v/>
      </c>
    </row>
    <row r="16">
      <c r="A16" s="36" t="inlineStr">
        <is>
          <t>Less: accumulated amortization</t>
        </is>
      </c>
      <c r="B16" s="37">
        <f>(SUMIFS('Trial Balance'!$H$5:$H$154,'Trial Balance'!$D$5:$D$154,"accumulated_amortization"))</f>
        <v/>
      </c>
    </row>
    <row r="17">
      <c r="A17" s="36" t="inlineStr">
        <is>
          <t>Long-term investments</t>
        </is>
      </c>
      <c r="B17" s="37">
        <f>(SUMIFS('Trial Balance'!$H$5:$H$154,'Trial Balance'!$D$5:$D$154,"investment"))</f>
        <v/>
      </c>
    </row>
    <row r="18">
      <c r="A18" s="36" t="inlineStr">
        <is>
          <t>Other non-current assets</t>
        </is>
      </c>
      <c r="B18" s="37">
        <f>(SUMIFS('Trial Balance'!$H$5:$H$154,'Trial Balance'!$D$5:$D$154,"other_noncurrent_asset"))</f>
        <v/>
      </c>
    </row>
    <row r="19">
      <c r="A19" s="38" t="inlineStr">
        <is>
          <t>Total non-current assets</t>
        </is>
      </c>
      <c r="B19" s="39">
        <f>B13+B14+B15+B16+B17+B18</f>
        <v/>
      </c>
      <c r="C19" s="40" t="n"/>
    </row>
    <row r="20">
      <c r="A20" s="46" t="inlineStr">
        <is>
          <t>TOTAL ASSETS</t>
        </is>
      </c>
      <c r="B20" s="47">
        <f>B12+B19</f>
        <v/>
      </c>
      <c r="C20" s="49" t="n"/>
    </row>
    <row r="21">
      <c r="A21" s="34" t="inlineStr">
        <is>
          <t>LIABILITIES</t>
        </is>
      </c>
      <c r="B21" s="35" t="n"/>
      <c r="C21" s="35" t="n"/>
    </row>
    <row r="22">
      <c r="A22" s="36" t="inlineStr">
        <is>
          <t>Accounts payable</t>
        </is>
      </c>
      <c r="B22" s="37">
        <f>-(SUMIFS('Trial Balance'!$H$5:$H$154,'Trial Balance'!$D$5:$D$154,"payable"))</f>
        <v/>
      </c>
    </row>
    <row r="23">
      <c r="A23" s="36" t="inlineStr">
        <is>
          <t>Accrued liabilities &amp; payroll</t>
        </is>
      </c>
      <c r="B23" s="37">
        <f>-(SUMIFS('Trial Balance'!$H$5:$H$154,'Trial Balance'!$D$5:$D$154,"accrued"))</f>
        <v/>
      </c>
    </row>
    <row r="24">
      <c r="A24" s="36" t="inlineStr">
        <is>
          <t>Deferred revenue (client advances)</t>
        </is>
      </c>
      <c r="B24" s="37">
        <f>-(SUMIFS('Trial Balance'!$H$5:$H$154,'Trial Balance'!$D$5:$D$154,"deferred_revenue"))</f>
        <v/>
      </c>
    </row>
    <row r="25">
      <c r="A25" s="36" t="inlineStr">
        <is>
          <t>Taxes payable</t>
        </is>
      </c>
      <c r="B25" s="37">
        <f>-(SUMIFS('Trial Balance'!$H$5:$H$154,'Trial Balance'!$D$5:$D$154,"tax_payable"))</f>
        <v/>
      </c>
    </row>
    <row r="26">
      <c r="A26" s="36" t="inlineStr">
        <is>
          <t>Profit distributions payable</t>
        </is>
      </c>
      <c r="B26" s="37">
        <f>-(SUMIFS('Trial Balance'!$H$5:$H$154,'Trial Balance'!$D$5:$D$154,"dividends_payable"))</f>
        <v/>
      </c>
    </row>
    <row r="27">
      <c r="A27" s="36" t="inlineStr">
        <is>
          <t>Other current liabilities</t>
        </is>
      </c>
      <c r="B27" s="37">
        <f>-(SUMIFS('Trial Balance'!$H$5:$H$154,'Trial Balance'!$D$5:$D$154,"other_current_liability"))</f>
        <v/>
      </c>
    </row>
    <row r="28">
      <c r="A28" s="36" t="inlineStr">
        <is>
          <t>Short-term debt</t>
        </is>
      </c>
      <c r="B28" s="37">
        <f>-(SUMIFS('Trial Balance'!$H$5:$H$154,'Trial Balance'!$D$5:$D$154,"short_term_debt"))</f>
        <v/>
      </c>
    </row>
    <row r="29">
      <c r="A29" s="38" t="inlineStr">
        <is>
          <t>Total current liabilities</t>
        </is>
      </c>
      <c r="B29" s="39">
        <f>B22+B23+B24+B25+B26+B27+B28</f>
        <v/>
      </c>
      <c r="C29" s="40" t="n"/>
    </row>
    <row r="30">
      <c r="A30" s="36" t="inlineStr">
        <is>
          <t>Long-term debt</t>
        </is>
      </c>
      <c r="B30" s="37">
        <f>-(SUMIFS('Trial Balance'!$H$5:$H$154,'Trial Balance'!$D$5:$D$154,"long_term_debt"))</f>
        <v/>
      </c>
    </row>
    <row r="31">
      <c r="A31" s="36" t="inlineStr">
        <is>
          <t>Other non-current liabilities</t>
        </is>
      </c>
      <c r="B31" s="37">
        <f>-(SUMIFS('Trial Balance'!$H$5:$H$154,'Trial Balance'!$D$5:$D$154,"other_noncurrent_liability"))</f>
        <v/>
      </c>
    </row>
    <row r="32">
      <c r="A32" s="42" t="inlineStr">
        <is>
          <t>TOTAL LIABILITIES</t>
        </is>
      </c>
      <c r="B32" s="43">
        <f>B29+B30+B31</f>
        <v/>
      </c>
      <c r="C32" s="50" t="n"/>
    </row>
    <row r="33">
      <c r="A33" s="34" t="inlineStr">
        <is>
          <t>EQUITY</t>
        </is>
      </c>
      <c r="B33" s="35" t="n"/>
      <c r="C33" s="35" t="n"/>
    </row>
    <row r="34">
      <c r="A34" s="36" t="inlineStr">
        <is>
          <t>Partner capital</t>
        </is>
      </c>
      <c r="B34" s="37">
        <f>-(SUMIFS('Trial Balance'!$H$5:$H$154,'Trial Balance'!$D$5:$D$154,"capital"))</f>
        <v/>
      </c>
    </row>
    <row r="35">
      <c r="A35" s="36" t="inlineStr">
        <is>
          <t>Partners' current accounts</t>
        </is>
      </c>
      <c r="B35" s="37">
        <f>-(SUMIFS('Trial Balance'!$H$5:$H$154,'Trial Balance'!$D$5:$D$154,"partner_current"))</f>
        <v/>
      </c>
    </row>
    <row r="36">
      <c r="A36" s="36" t="inlineStr">
        <is>
          <t>Reserves</t>
        </is>
      </c>
      <c r="B36" s="37">
        <f>-(SUMIFS('Trial Balance'!$H$5:$H$154,'Trial Balance'!$D$5:$D$154,"reserves"))</f>
        <v/>
      </c>
    </row>
    <row r="37">
      <c r="A37" s="36" t="inlineStr">
        <is>
          <t>Retained earnings</t>
        </is>
      </c>
      <c r="B37" s="37">
        <f>-(SUMIFS('Trial Balance'!$H$5:$H$154,'Trial Balance'!$D$5:$D$154,"retained_earnings"))</f>
        <v/>
      </c>
    </row>
    <row r="38">
      <c r="A38" s="36" t="inlineStr">
        <is>
          <t>Other equity</t>
        </is>
      </c>
      <c r="B38" s="37">
        <f>-(SUMIFS('Trial Balance'!$H$5:$H$154,'Trial Balance'!$D$5:$D$154,"other_equity"))</f>
        <v/>
      </c>
    </row>
    <row r="39">
      <c r="A39" s="36" t="inlineStr">
        <is>
          <t>Less: partner drawings</t>
        </is>
      </c>
      <c r="B39" s="37">
        <f>-(SUMIFS('Trial Balance'!$H$5:$H$154,'Trial Balance'!$D$5:$D$154,"drawings"))</f>
        <v/>
      </c>
    </row>
    <row r="40">
      <c r="A40" s="36" t="inlineStr">
        <is>
          <t>Current earnings (profit to date)</t>
        </is>
      </c>
      <c r="B40" s="37">
        <f>-(SUMIFS('Trial Balance'!$H$5:$H$154,'Trial Balance'!$C$5:$C$154,"Revenue")+SUMIFS('Trial Balance'!$H$5:$H$154,'Trial Balance'!$C$5:$C$154,"COGS")+SUMIFS('Trial Balance'!$H$5:$H$154,'Trial Balance'!$C$5:$C$154,"Expense"))</f>
        <v/>
      </c>
    </row>
    <row r="41">
      <c r="A41" s="42" t="inlineStr">
        <is>
          <t>TOTAL EQUITY</t>
        </is>
      </c>
      <c r="B41" s="43">
        <f>B34+B35+B36+B37+B38+B39+B40</f>
        <v/>
      </c>
      <c r="C41" s="50" t="n"/>
    </row>
    <row r="42">
      <c r="A42" s="46" t="inlineStr">
        <is>
          <t>TOTAL LIABILITIES &amp; EQUITY</t>
        </is>
      </c>
      <c r="B42" s="47">
        <f>B32+B41</f>
        <v/>
      </c>
      <c r="C42" s="49" t="n"/>
    </row>
    <row r="43">
      <c r="A43" s="36" t="inlineStr">
        <is>
          <t>Check: assets − (liabilities + equity)</t>
        </is>
      </c>
      <c r="B43" s="37">
        <f>B20-B42</f>
        <v/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C3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2" customWidth="1" min="3" max="3"/>
  </cols>
  <sheetData>
    <row r="1" ht="24" customHeight="1">
      <c r="A1" s="8" t="inlineStr">
        <is>
          <t>BEYOND DESIGN | BEYOND DESIGN</t>
        </is>
      </c>
    </row>
    <row r="2">
      <c r="A2" s="29" t="inlineStr">
        <is>
          <t>Cash Flow</t>
        </is>
      </c>
    </row>
    <row r="3">
      <c r="A3" s="30">
        <f>"Period "&amp;TEXT(ReportFrom,"yyyy-mm-dd")&amp;" to "&amp;TEXT(ReportTo,"yyyy-mm-dd")&amp;" · EGP"</f>
        <v/>
      </c>
    </row>
    <row r="4"/>
    <row r="5">
      <c r="A5" s="31" t="inlineStr"/>
      <c r="B5" s="32" t="inlineStr">
        <is>
          <t>EGP</t>
        </is>
      </c>
      <c r="C5" s="33" t="n"/>
    </row>
    <row r="6">
      <c r="A6" s="34" t="inlineStr">
        <is>
          <t>CASH FLOWS FROM OPERATING ACTIVITIES</t>
        </is>
      </c>
      <c r="B6" s="35" t="n"/>
      <c r="C6" s="35" t="n"/>
    </row>
    <row r="7">
      <c r="A7" s="38" t="inlineStr">
        <is>
          <t>Net income</t>
        </is>
      </c>
      <c r="B7" s="39">
        <f>'Income Statement'!B28</f>
        <v/>
      </c>
      <c r="C7" s="40" t="n"/>
    </row>
    <row r="8">
      <c r="A8" s="36" t="inlineStr">
        <is>
          <t>(+) Depreciation</t>
        </is>
      </c>
      <c r="B8" s="37">
        <f>(((SUMIFS('Trial Balance'!$G$5:$G$154,'Trial Balance'!$D$5:$D$154,"accumulated_depreciation")))-((SUMIFS('Trial Balance'!$F$5:$F$154,'Trial Balance'!$D$5:$D$154,"accumulated_depreciation"))))</f>
        <v/>
      </c>
    </row>
    <row r="9">
      <c r="A9" s="36" t="inlineStr">
        <is>
          <t>(+) Amortization</t>
        </is>
      </c>
      <c r="B9" s="37">
        <f>(((SUMIFS('Trial Balance'!$G$5:$G$154,'Trial Balance'!$D$5:$D$154,"accumulated_amortization")))-((SUMIFS('Trial Balance'!$F$5:$F$154,'Trial Balance'!$D$5:$D$154,"accumulated_amortization"))))</f>
        <v/>
      </c>
    </row>
    <row r="10">
      <c r="A10" s="36" t="inlineStr">
        <is>
          <t>(+/-) Accounts receivable</t>
        </is>
      </c>
      <c r="B10" s="37">
        <f>(((SUMIFS('Trial Balance'!$G$5:$G$154,'Trial Balance'!$D$5:$D$154,"receivable")+SUMIFS('Trial Balance'!$G$5:$G$154,'Trial Balance'!$D$5:$D$154,"allowance_doubtful")))-((SUMIFS('Trial Balance'!$F$5:$F$154,'Trial Balance'!$D$5:$D$154,"receivable")+SUMIFS('Trial Balance'!$F$5:$F$154,'Trial Balance'!$D$5:$D$154,"allowance_doubtful"))))</f>
        <v/>
      </c>
    </row>
    <row r="11">
      <c r="A11" s="36" t="inlineStr">
        <is>
          <t>(+/-) Inventory</t>
        </is>
      </c>
      <c r="B11" s="37">
        <f>(((SUMIFS('Trial Balance'!$G$5:$G$154,'Trial Balance'!$D$5:$D$154,"inventory")))-((SUMIFS('Trial Balance'!$F$5:$F$154,'Trial Balance'!$D$5:$D$154,"inventory"))))</f>
        <v/>
      </c>
    </row>
    <row r="12">
      <c r="A12" s="36" t="inlineStr">
        <is>
          <t>(+/-) Prepaid expenses &amp; advances</t>
        </is>
      </c>
      <c r="B12" s="37">
        <f>(((SUMIFS('Trial Balance'!$G$5:$G$154,'Trial Balance'!$D$5:$D$154,"prepaid")))-((SUMIFS('Trial Balance'!$F$5:$F$154,'Trial Balance'!$D$5:$D$154,"prepaid"))))</f>
        <v/>
      </c>
    </row>
    <row r="13">
      <c r="A13" s="36" t="inlineStr">
        <is>
          <t>(+/-) Other current assets</t>
        </is>
      </c>
      <c r="B13" s="37">
        <f>(((SUMIFS('Trial Balance'!$G$5:$G$154,'Trial Balance'!$D$5:$D$154,"other_current_asset")))-((SUMIFS('Trial Balance'!$F$5:$F$154,'Trial Balance'!$D$5:$D$154,"other_current_asset"))))</f>
        <v/>
      </c>
    </row>
    <row r="14">
      <c r="A14" s="36" t="inlineStr">
        <is>
          <t>(+/-) Accounts payable</t>
        </is>
      </c>
      <c r="B14" s="37">
        <f>(((SUMIFS('Trial Balance'!$G$5:$G$154,'Trial Balance'!$D$5:$D$154,"payable")))-((SUMIFS('Trial Balance'!$F$5:$F$154,'Trial Balance'!$D$5:$D$154,"payable"))))</f>
        <v/>
      </c>
    </row>
    <row r="15">
      <c r="A15" s="36" t="inlineStr">
        <is>
          <t>(+/-) Accrued liabilities</t>
        </is>
      </c>
      <c r="B15" s="37">
        <f>(((SUMIFS('Trial Balance'!$G$5:$G$154,'Trial Balance'!$D$5:$D$154,"accrued")))-((SUMIFS('Trial Balance'!$F$5:$F$154,'Trial Balance'!$D$5:$D$154,"accrued"))))</f>
        <v/>
      </c>
    </row>
    <row r="16">
      <c r="A16" s="36" t="inlineStr">
        <is>
          <t>(+/-) Deferred revenue</t>
        </is>
      </c>
      <c r="B16" s="37">
        <f>(((SUMIFS('Trial Balance'!$G$5:$G$154,'Trial Balance'!$D$5:$D$154,"deferred_revenue")))-((SUMIFS('Trial Balance'!$F$5:$F$154,'Trial Balance'!$D$5:$D$154,"deferred_revenue"))))</f>
        <v/>
      </c>
    </row>
    <row r="17">
      <c r="A17" s="36" t="inlineStr">
        <is>
          <t>(+/-) Taxes payable</t>
        </is>
      </c>
      <c r="B17" s="37">
        <f>(((SUMIFS('Trial Balance'!$G$5:$G$154,'Trial Balance'!$D$5:$D$154,"tax_payable")))-((SUMIFS('Trial Balance'!$F$5:$F$154,'Trial Balance'!$D$5:$D$154,"tax_payable"))))</f>
        <v/>
      </c>
    </row>
    <row r="18">
      <c r="A18" s="36" t="inlineStr">
        <is>
          <t>(+/-) Other current liabilities</t>
        </is>
      </c>
      <c r="B18" s="37">
        <f>(((SUMIFS('Trial Balance'!$G$5:$G$154,'Trial Balance'!$D$5:$D$154,"other_current_liability")))-((SUMIFS('Trial Balance'!$F$5:$F$154,'Trial Balance'!$D$5:$D$154,"other_current_liability"))))</f>
        <v/>
      </c>
    </row>
    <row r="19">
      <c r="A19" s="42" t="inlineStr">
        <is>
          <t>Net cash provided by operating activities</t>
        </is>
      </c>
      <c r="B19" s="43">
        <f>B7+B8+B9+B10+B11+B12+B13+B14+B15+B16+B17+B18</f>
        <v/>
      </c>
      <c r="C19" s="50" t="n"/>
    </row>
    <row r="20">
      <c r="A20" s="34" t="inlineStr">
        <is>
          <t>CASH FLOWS FROM INVESTING ACTIVITIES</t>
        </is>
      </c>
      <c r="B20" s="35" t="n"/>
      <c r="C20" s="35" t="n"/>
    </row>
    <row r="21">
      <c r="A21" s="36" t="inlineStr">
        <is>
          <t>(-) Capital expenditures</t>
        </is>
      </c>
      <c r="B21" s="37">
        <f>(((SUMIFS('Trial Balance'!$G$5:$G$154,'Trial Balance'!$D$5:$D$154,"fixed_asset")))-((SUMIFS('Trial Balance'!$F$5:$F$154,'Trial Balance'!$D$5:$D$154,"fixed_asset"))))</f>
        <v/>
      </c>
    </row>
    <row r="22">
      <c r="A22" s="36" t="inlineStr">
        <is>
          <t>(-) Additions to intangibles</t>
        </is>
      </c>
      <c r="B22" s="37">
        <f>(((SUMIFS('Trial Balance'!$G$5:$G$154,'Trial Balance'!$D$5:$D$154,"intangible")))-((SUMIFS('Trial Balance'!$F$5:$F$154,'Trial Balance'!$D$5:$D$154,"intangible"))))</f>
        <v/>
      </c>
    </row>
    <row r="23">
      <c r="A23" s="36" t="inlineStr">
        <is>
          <t>(-) Investments bought / (sold)</t>
        </is>
      </c>
      <c r="B23" s="37">
        <f>(((SUMIFS('Trial Balance'!$G$5:$G$154,'Trial Balance'!$D$5:$D$154,"investment")))-((SUMIFS('Trial Balance'!$F$5:$F$154,'Trial Balance'!$D$5:$D$154,"investment"))))</f>
        <v/>
      </c>
    </row>
    <row r="24">
      <c r="A24" s="36" t="inlineStr">
        <is>
          <t>(-) Other long-term assets</t>
        </is>
      </c>
      <c r="B24" s="37">
        <f>(((SUMIFS('Trial Balance'!$G$5:$G$154,'Trial Balance'!$D$5:$D$154,"other_noncurrent_asset")))-((SUMIFS('Trial Balance'!$F$5:$F$154,'Trial Balance'!$D$5:$D$154,"other_noncurrent_asset"))))</f>
        <v/>
      </c>
    </row>
    <row r="25">
      <c r="A25" s="42" t="inlineStr">
        <is>
          <t>Net cash used in investing activities</t>
        </is>
      </c>
      <c r="B25" s="43">
        <f>B21+B22+B23+B24</f>
        <v/>
      </c>
      <c r="C25" s="50" t="n"/>
    </row>
    <row r="26">
      <c r="A26" s="34" t="inlineStr">
        <is>
          <t>CASH FLOWS FROM FINANCING ACTIVITIES</t>
        </is>
      </c>
      <c r="B26" s="35" t="n"/>
      <c r="C26" s="35" t="n"/>
    </row>
    <row r="27">
      <c r="A27" s="36" t="inlineStr">
        <is>
          <t>(+/-) Short-term debt</t>
        </is>
      </c>
      <c r="B27" s="37">
        <f>(((SUMIFS('Trial Balance'!$G$5:$G$154,'Trial Balance'!$D$5:$D$154,"short_term_debt")))-((SUMIFS('Trial Balance'!$F$5:$F$154,'Trial Balance'!$D$5:$D$154,"short_term_debt"))))</f>
        <v/>
      </c>
    </row>
    <row r="28">
      <c r="A28" s="36" t="inlineStr">
        <is>
          <t>(+/-) Long-term debt</t>
        </is>
      </c>
      <c r="B28" s="37">
        <f>(((SUMIFS('Trial Balance'!$G$5:$G$154,'Trial Balance'!$D$5:$D$154,"long_term_debt")))-((SUMIFS('Trial Balance'!$F$5:$F$154,'Trial Balance'!$D$5:$D$154,"long_term_debt"))))</f>
        <v/>
      </c>
    </row>
    <row r="29">
      <c r="A29" s="36" t="inlineStr">
        <is>
          <t>(+/-) Other long-term liabilities</t>
        </is>
      </c>
      <c r="B29" s="37">
        <f>(((SUMIFS('Trial Balance'!$G$5:$G$154,'Trial Balance'!$D$5:$D$154,"other_noncurrent_liability")))-((SUMIFS('Trial Balance'!$F$5:$F$154,'Trial Balance'!$D$5:$D$154,"other_noncurrent_liability"))))</f>
        <v/>
      </c>
    </row>
    <row r="30">
      <c r="A30" s="36" t="inlineStr">
        <is>
          <t>(+) Capital contributed</t>
        </is>
      </c>
      <c r="B30" s="37">
        <f>(((SUMIFS('Trial Balance'!$G$5:$G$154,'Trial Balance'!$D$5:$D$154,"capital")))-((SUMIFS('Trial Balance'!$F$5:$F$154,'Trial Balance'!$D$5:$D$154,"capital"))))</f>
        <v/>
      </c>
    </row>
    <row r="31">
      <c r="A31" s="36" t="inlineStr">
        <is>
          <t>(+/-) Partners' current accounts</t>
        </is>
      </c>
      <c r="B31" s="37">
        <f>(((SUMIFS('Trial Balance'!$G$5:$G$154,'Trial Balance'!$D$5:$D$154,"partner_current")))-((SUMIFS('Trial Balance'!$F$5:$F$154,'Trial Balance'!$D$5:$D$154,"partner_current"))))</f>
        <v/>
      </c>
    </row>
    <row r="32">
      <c r="A32" s="36" t="inlineStr">
        <is>
          <t>(+/-) Other equity &amp; reserves</t>
        </is>
      </c>
      <c r="B32" s="37">
        <f>(((SUMIFS('Trial Balance'!$G$5:$G$154,'Trial Balance'!$D$5:$D$154,"other_equity")+SUMIFS('Trial Balance'!$G$5:$G$154,'Trial Balance'!$D$5:$D$154,"reserves")))-((SUMIFS('Trial Balance'!$F$5:$F$154,'Trial Balance'!$D$5:$D$154,"other_equity")+SUMIFS('Trial Balance'!$F$5:$F$154,'Trial Balance'!$D$5:$D$154,"reserves"))))</f>
        <v/>
      </c>
    </row>
    <row r="33">
      <c r="A33" s="36" t="inlineStr">
        <is>
          <t>(+/-) Retained earnings adjustments</t>
        </is>
      </c>
      <c r="B33" s="37">
        <f>(((SUMIFS('Trial Balance'!$G$5:$G$154,'Trial Balance'!$D$5:$D$154,"retained_earnings")))-((SUMIFS('Trial Balance'!$F$5:$F$154,'Trial Balance'!$D$5:$D$154,"retained_earnings"))))</f>
        <v/>
      </c>
    </row>
    <row r="34">
      <c r="A34" s="36" t="inlineStr">
        <is>
          <t>(-) Dividends / partner drawings paid</t>
        </is>
      </c>
      <c r="B34" s="37">
        <f>(((SUMIFS('Trial Balance'!$G$5:$G$154,'Trial Balance'!$D$5:$D$154,"drawings")+SUMIFS('Trial Balance'!$G$5:$G$154,'Trial Balance'!$D$5:$D$154,"dividends_payable")))-((SUMIFS('Trial Balance'!$F$5:$F$154,'Trial Balance'!$D$5:$D$154,"drawings")+SUMIFS('Trial Balance'!$F$5:$F$154,'Trial Balance'!$D$5:$D$154,"dividends_payable"))))</f>
        <v/>
      </c>
    </row>
    <row r="35">
      <c r="A35" s="42" t="inlineStr">
        <is>
          <t>Net cash provided by financing activities</t>
        </is>
      </c>
      <c r="B35" s="43">
        <f>B27+B28+B29+B30+B31+B32+B33+B34</f>
        <v/>
      </c>
      <c r="C35" s="50" t="n"/>
    </row>
    <row r="36">
      <c r="A36" s="36" t="inlineStr">
        <is>
          <t>Beginning cash</t>
        </is>
      </c>
      <c r="B36" s="37">
        <f>(SUMIFS('Trial Balance'!$E$5:$E$154,'Trial Balance'!$D$5:$D$154,"cash"))</f>
        <v/>
      </c>
    </row>
    <row r="37">
      <c r="A37" s="36" t="inlineStr">
        <is>
          <t>(+/-) Change in cash &amp; cash equivalents</t>
        </is>
      </c>
      <c r="B37" s="37">
        <f>B19+B25+B35</f>
        <v/>
      </c>
    </row>
    <row r="38">
      <c r="A38" s="46" t="inlineStr">
        <is>
          <t>Ending cash</t>
        </is>
      </c>
      <c r="B38" s="47">
        <f>B36+B37</f>
        <v/>
      </c>
      <c r="C38" s="49" t="n"/>
    </row>
    <row r="39">
      <c r="A39" s="36" t="inlineStr">
        <is>
          <t>Check: ending cash − cash per trial balance</t>
        </is>
      </c>
      <c r="B39" s="37">
        <f>B38-((SUMIFS('Trial Balance'!$H$5:$H$154,'Trial Balance'!$D$5:$D$154,"cash")))</f>
        <v/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2" customWidth="1" min="3" max="3"/>
  </cols>
  <sheetData>
    <row r="1" ht="24" customHeight="1">
      <c r="A1" s="8" t="inlineStr">
        <is>
          <t>BEYOND DESIGN | BEYOND DESIGN</t>
        </is>
      </c>
    </row>
    <row r="2">
      <c r="A2" s="29" t="inlineStr">
        <is>
          <t>Tax Summary</t>
        </is>
      </c>
    </row>
    <row r="3">
      <c r="A3" s="30">
        <f>"Period "&amp;TEXT(ReportFrom,"yyyy-mm-dd")&amp;" to "&amp;TEXT(ReportTo,"yyyy-mm-dd")&amp;" · EGP"</f>
        <v/>
      </c>
    </row>
    <row r="4"/>
    <row r="5">
      <c r="A5" s="31" t="inlineStr"/>
      <c r="B5" s="32" t="inlineStr">
        <is>
          <t>EGP</t>
        </is>
      </c>
      <c r="C5" s="33" t="n"/>
    </row>
    <row r="6">
      <c r="A6" s="34" t="inlineStr">
        <is>
          <t>VALUE ADDED TAX</t>
        </is>
      </c>
      <c r="B6" s="35" t="n"/>
      <c r="C6" s="35" t="n"/>
    </row>
    <row r="7">
      <c r="A7" s="36" t="inlineStr">
        <is>
          <t>Output VAT charged on sales (period)</t>
        </is>
      </c>
      <c r="B7" s="37">
        <f>SUMIFS('Trial Balance'!$G$5:$G$154,'Trial Balance'!$A$5:$A$154,INDEX('Chart of Accounts'!$A$5:$A$3000,MATCH("vat_output",'Chart of Accounts'!$F$5:$F$3000,0)))-SUMIFS('Trial Balance'!$F$5:$F$154,'Trial Balance'!$A$5:$A$154,INDEX('Chart of Accounts'!$A$5:$A$3000,MATCH("vat_output",'Chart of Accounts'!$F$5:$F$3000,0)))</f>
        <v/>
      </c>
    </row>
    <row r="8">
      <c r="A8" s="36" t="inlineStr">
        <is>
          <t>Input VAT on purchases (period)</t>
        </is>
      </c>
      <c r="B8" s="37">
        <f>SUMIFS('Trial Balance'!$F$5:$F$154,'Trial Balance'!$A$5:$A$154,INDEX('Chart of Accounts'!$A$5:$A$3000,MATCH("vat_input",'Chart of Accounts'!$F$5:$F$3000,0)))-SUMIFS('Trial Balance'!$G$5:$G$154,'Trial Balance'!$A$5:$A$154,INDEX('Chart of Accounts'!$A$5:$A$3000,MATCH("vat_input",'Chart of Accounts'!$F$5:$F$3000,0)))</f>
        <v/>
      </c>
    </row>
    <row r="9">
      <c r="A9" s="46" t="inlineStr">
        <is>
          <t>Net VAT payable / (refundable) for the period</t>
        </is>
      </c>
      <c r="B9" s="47">
        <f>B7-B8</f>
        <v/>
      </c>
      <c r="C9" s="49" t="n"/>
    </row>
    <row r="10">
      <c r="A10" s="34" t="inlineStr">
        <is>
          <t>WITHHOLDING TAX</t>
        </is>
      </c>
      <c r="B10" s="35" t="n"/>
      <c r="C10" s="35" t="n"/>
    </row>
    <row r="11">
      <c r="A11" s="36" t="inlineStr">
        <is>
          <t>Deducted from suppliers in the period (to remit)</t>
        </is>
      </c>
      <c r="B11" s="37">
        <f>SUMIFS('Trial Balance'!$G$5:$G$154,'Trial Balance'!$A$5:$A$154,INDEX('Chart of Accounts'!$A$5:$A$3000,MATCH("wht_payable",'Chart of Accounts'!$F$5:$F$3000,0)))-SUMIFS('Trial Balance'!$F$5:$F$154,'Trial Balance'!$A$5:$A$154,INDEX('Chart of Accounts'!$A$5:$A$3000,MATCH("wht_payable",'Chart of Accounts'!$F$5:$F$3000,0)))</f>
        <v/>
      </c>
    </row>
    <row r="12">
      <c r="A12" s="38" t="inlineStr">
        <is>
          <t>Balance still owed to the Tax Authority</t>
        </is>
      </c>
      <c r="B12" s="39">
        <f>-SUMIFS('Trial Balance'!$H$5:$H$154,'Trial Balance'!$A$5:$A$154,INDEX('Chart of Accounts'!$A$5:$A$3000,MATCH("wht_payable",'Chart of Accounts'!$F$5:$F$3000,0)))</f>
        <v/>
      </c>
      <c r="C12" s="40" t="n"/>
    </row>
    <row r="13">
      <c r="A13" s="36" t="inlineStr">
        <is>
          <t>Deducted by clients in the period (tax credit)</t>
        </is>
      </c>
      <c r="B13" s="37">
        <f>SUMIFS('Trial Balance'!$F$5:$F$154,'Trial Balance'!$A$5:$A$154,INDEX('Chart of Accounts'!$A$5:$A$3000,MATCH("wht_receivable",'Chart of Accounts'!$F$5:$F$3000,0)))-SUMIFS('Trial Balance'!$G$5:$G$154,'Trial Balance'!$A$5:$A$154,INDEX('Chart of Accounts'!$A$5:$A$3000,MATCH("wht_receivable",'Chart of Accounts'!$F$5:$F$3000,0)))</f>
        <v/>
      </c>
    </row>
    <row r="14">
      <c r="A14" s="38" t="inlineStr">
        <is>
          <t>Tax credit balance</t>
        </is>
      </c>
      <c r="B14" s="39">
        <f>SUMIFS('Trial Balance'!$H$5:$H$154,'Trial Balance'!$A$5:$A$154,INDEX('Chart of Accounts'!$A$5:$A$3000,MATCH("wht_receivable",'Chart of Accounts'!$F$5:$F$3000,0)))</f>
        <v/>
      </c>
      <c r="C14" s="40" t="n"/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K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  <col width="9" customWidth="1" min="9" max="9"/>
    <col width="40" customWidth="1" min="11" max="11"/>
  </cols>
  <sheetData>
    <row r="1" ht="24" customHeight="1">
      <c r="A1" s="8" t="inlineStr">
        <is>
          <t>BEYOND DESIGN | PROFITABILITY BY BUSINESS UNIT</t>
        </is>
      </c>
    </row>
    <row r="2">
      <c r="A2" s="25">
        <f>"Period "&amp;TEXT(ReportFrom,"yyyy-mm-dd")&amp;" to "&amp;TEXT(ReportTo,"yyyy-mm-dd")</f>
        <v/>
      </c>
    </row>
    <row r="3"/>
    <row r="4">
      <c r="A4" s="33" t="inlineStr">
        <is>
          <t>Code</t>
        </is>
      </c>
      <c r="B4" s="33" t="inlineStr">
        <is>
          <t>Name</t>
        </is>
      </c>
      <c r="C4" s="33" t="inlineStr">
        <is>
          <t>Revenue</t>
        </is>
      </c>
      <c r="D4" s="33" t="inlineStr">
        <is>
          <t>Direct costs</t>
        </is>
      </c>
      <c r="E4" s="33" t="inlineStr">
        <is>
          <t>Direct overhead</t>
        </is>
      </c>
      <c r="F4" s="33" t="inlineStr">
        <is>
          <t>Overhead %</t>
        </is>
      </c>
      <c r="G4" s="33" t="inlineStr">
        <is>
          <t>Allocated overhead</t>
        </is>
      </c>
      <c r="H4" s="33" t="inlineStr">
        <is>
          <t>Net profit</t>
        </is>
      </c>
      <c r="I4" s="33" t="inlineStr">
        <is>
          <t>Margin</t>
        </is>
      </c>
      <c r="K4" s="51" t="inlineStr">
        <is>
          <t>Shared overhead pool (no business unit, all expense lines)</t>
        </is>
      </c>
    </row>
    <row r="5">
      <c r="A5" s="25">
        <f>IF('Business Units'!A5="","",'Business Units'!A5&amp;"")</f>
        <v/>
      </c>
      <c r="B5" s="25">
        <f>IF(A5="","",'Business Units'!B5)</f>
        <v/>
      </c>
      <c r="C5" s="26">
        <f>IF(A5="",0,SUMIFS('Direct Costs'!$AF$5:$AF$2005,'Direct Costs'!$B$5:$B$2005,$A5,'Direct Costs'!$A$5:$A$2005,"&gt;="&amp;ReportFrom,'Direct Costs'!$A$5:$A$2005,"&lt;="&amp;ReportTo)+SUMIFS('Operating Expenses'!$AA$5:$AA$2005,'Operating Expenses'!$B$5:$B$2005,$A5,'Operating Expenses'!$A$5:$A$2005,"&gt;="&amp;ReportFrom,'Operating Expenses'!$A$5:$A$2005,"&lt;="&amp;ReportTo)+SUMIFS('Payroll'!$W$5:$W$2005,'Payroll'!$B$5:$B$2005,$A5,'Payroll'!$A$5:$A$2005,"&gt;="&amp;ReportFrom,'Payroll'!$A$5:$A$2005,"&lt;="&amp;ReportTo)+SUMIFS('Receipt Vouchers'!$W$5:$W$2005,'Receipt Vouchers'!$B$5:$B$2005,$A5,'Receipt Vouchers'!$A$5:$A$2005,"&gt;="&amp;ReportFrom,'Receipt Vouchers'!$A$5:$A$2005,"&lt;="&amp;ReportTo)+SUMIFS('Sales Invoices'!$X$5:$X$2005,'Sales Invoices'!$C$5:$C$2005,$A5,'Sales Invoices'!$B$5:$B$2005,"&gt;="&amp;ReportFrom,'Sales Invoices'!$B$5:$B$2005,"&lt;="&amp;ReportTo)+SUMIFS('Payment Vouchers'!$N$5:$N$2005,'Payment Vouchers'!$G$5:$G$2005,$A5,'Payment Vouchers'!$A$5:$A$2005,"&gt;="&amp;ReportFrom,'Payment Vouchers'!$A$5:$A$2005,"&lt;="&amp;ReportTo)+SUMIFS('Partner Transactions'!$P$5:$P$2005,'Partner Transactions'!$H$5:$H$2005,$A5,'Partner Transactions'!$A$5:$A$2005,"&gt;="&amp;ReportFrom,'Partner Transactions'!$A$5:$A$2005,"&lt;="&amp;ReportTo)+SUMIFS('Stock Moves'!$AL$5:$AL$2005,'Stock Moves'!$I$5:$I$2005,$A5,'Stock Moves'!$A$5:$A$2005,"&gt;="&amp;ReportFrom,'Stock Moves'!$A$5:$A$2005,"&lt;="&amp;ReportTo)+SUMIFS('Journal Vouchers'!$N$5:$N$2005,'Journal Vouchers'!$D$5:$D$2005,$A5,'Journal Vouchers'!$B$5:$B$2005,"&gt;="&amp;ReportFrom,'Journal Vouchers'!$B$5:$B$2005,"&lt;="&amp;ReportTo))</f>
        <v/>
      </c>
      <c r="D5" s="26">
        <f>IF(A5="",0,SUMIFS('Direct Costs'!$AG$5:$AG$2005,'Direct Costs'!$B$5:$B$2005,$A5,'Direct Costs'!$A$5:$A$2005,"&gt;="&amp;ReportFrom,'Direct Costs'!$A$5:$A$2005,"&lt;="&amp;ReportTo)+SUMIFS('Operating Expenses'!$AB$5:$AB$2005,'Operating Expenses'!$B$5:$B$2005,$A5,'Operating Expenses'!$A$5:$A$2005,"&gt;="&amp;ReportFrom,'Operating Expenses'!$A$5:$A$2005,"&lt;="&amp;ReportTo)+SUMIFS('Payroll'!$X$5:$X$2005,'Payroll'!$B$5:$B$2005,$A5,'Payroll'!$A$5:$A$2005,"&gt;="&amp;ReportFrom,'Payroll'!$A$5:$A$2005,"&lt;="&amp;ReportTo)+SUMIFS('Receipt Vouchers'!$X$5:$X$2005,'Receipt Vouchers'!$B$5:$B$2005,$A5,'Receipt Vouchers'!$A$5:$A$2005,"&gt;="&amp;ReportFrom,'Receipt Vouchers'!$A$5:$A$2005,"&lt;="&amp;ReportTo)+SUMIFS('Sales Invoices'!$Y$5:$Y$2005,'Sales Invoices'!$C$5:$C$2005,$A5,'Sales Invoices'!$B$5:$B$2005,"&gt;="&amp;ReportFrom,'Sales Invoices'!$B$5:$B$2005,"&lt;="&amp;ReportTo)+SUMIFS('Payment Vouchers'!$O$5:$O$2005,'Payment Vouchers'!$G$5:$G$2005,$A5,'Payment Vouchers'!$A$5:$A$2005,"&gt;="&amp;ReportFrom,'Payment Vouchers'!$A$5:$A$2005,"&lt;="&amp;ReportTo)+SUMIFS('Partner Transactions'!$Q$5:$Q$2005,'Partner Transactions'!$H$5:$H$2005,$A5,'Partner Transactions'!$A$5:$A$2005,"&gt;="&amp;ReportFrom,'Partner Transactions'!$A$5:$A$2005,"&lt;="&amp;ReportTo)+SUMIFS('Stock Moves'!$AM$5:$AM$2005,'Stock Moves'!$I$5:$I$2005,$A5,'Stock Moves'!$A$5:$A$2005,"&gt;="&amp;ReportFrom,'Stock Moves'!$A$5:$A$2005,"&lt;="&amp;ReportTo)+SUMIFS('Journal Vouchers'!$O$5:$O$2005,'Journal Vouchers'!$D$5:$D$2005,$A5,'Journal Vouchers'!$B$5:$B$2005,"&gt;="&amp;ReportFrom,'Journal Vouchers'!$B$5:$B$2005,"&lt;="&amp;ReportTo))</f>
        <v/>
      </c>
      <c r="E5" s="26">
        <f>IF(A5="",0,SUMIFS('Direct Costs'!$AH$5:$AH$2005,'Direct Costs'!$B$5:$B$2005,$A5,'Direct Costs'!$A$5:$A$2005,"&gt;="&amp;ReportFrom,'Direct Costs'!$A$5:$A$2005,"&lt;="&amp;ReportTo)+SUMIFS('Operating Expenses'!$AC$5:$AC$2005,'Operating Expenses'!$B$5:$B$2005,$A5,'Operating Expenses'!$A$5:$A$2005,"&gt;="&amp;ReportFrom,'Operating Expenses'!$A$5:$A$2005,"&lt;="&amp;ReportTo)+SUMIFS('Payroll'!$Y$5:$Y$2005,'Payroll'!$B$5:$B$2005,$A5,'Payroll'!$A$5:$A$2005,"&gt;="&amp;ReportFrom,'Payroll'!$A$5:$A$2005,"&lt;="&amp;ReportTo)+SUMIFS('Receipt Vouchers'!$Y$5:$Y$2005,'Receipt Vouchers'!$B$5:$B$2005,$A5,'Receipt Vouchers'!$A$5:$A$2005,"&gt;="&amp;ReportFrom,'Receipt Vouchers'!$A$5:$A$2005,"&lt;="&amp;ReportTo)+SUMIFS('Sales Invoices'!$Z$5:$Z$2005,'Sales Invoices'!$C$5:$C$2005,$A5,'Sales Invoices'!$B$5:$B$2005,"&gt;="&amp;ReportFrom,'Sales Invoices'!$B$5:$B$2005,"&lt;="&amp;ReportTo)+SUMIFS('Payment Vouchers'!$P$5:$P$2005,'Payment Vouchers'!$G$5:$G$2005,$A5,'Payment Vouchers'!$A$5:$A$2005,"&gt;="&amp;ReportFrom,'Payment Vouchers'!$A$5:$A$2005,"&lt;="&amp;ReportTo)+SUMIFS('Partner Transactions'!$R$5:$R$2005,'Partner Transactions'!$H$5:$H$2005,$A5,'Partner Transactions'!$A$5:$A$2005,"&gt;="&amp;ReportFrom,'Partner Transactions'!$A$5:$A$2005,"&lt;="&amp;ReportTo)+SUMIFS('Stock Moves'!$AN$5:$AN$2005,'Stock Moves'!$I$5:$I$2005,$A5,'Stock Moves'!$A$5:$A$2005,"&gt;="&amp;ReportFrom,'Stock Moves'!$A$5:$A$2005,"&lt;="&amp;ReportTo)+SUMIFS('Journal Vouchers'!$P$5:$P$2005,'Journal Vouchers'!$D$5:$D$2005,$A5,'Journal Vouchers'!$B$5:$B$2005,"&gt;="&amp;ReportFrom,'Journal Vouchers'!$B$5:$B$2005,"&lt;="&amp;ReportTo))</f>
        <v/>
      </c>
      <c r="F5" s="52">
        <f>IF(A5="","",N('Business Units'!K5))</f>
        <v/>
      </c>
      <c r="G5" s="26">
        <f>IF(A5="",0,$K$5*N(F5))</f>
        <v/>
      </c>
      <c r="H5" s="26">
        <f>C5-D5-E5-G5</f>
        <v/>
      </c>
      <c r="I5" s="52">
        <f>IFERROR(H5/C5,0)</f>
        <v/>
      </c>
      <c r="K5" s="26">
        <f>SUMIFS('Direct Costs'!$AI$5:$AI$2005,'Direct Costs'!$B$5:$B$2005,"",'Direct Costs'!$A$5:$A$2005,"&gt;="&amp;ReportFrom,'Direct Costs'!$A$5:$A$2005,"&lt;="&amp;ReportTo)+SUMIFS('Operating Expenses'!$AD$5:$AD$2005,'Operating Expenses'!$B$5:$B$2005,"",'Operating Expenses'!$A$5:$A$2005,"&gt;="&amp;ReportFrom,'Operating Expenses'!$A$5:$A$2005,"&lt;="&amp;ReportTo)+SUMIFS('Payroll'!$Z$5:$Z$2005,'Payroll'!$B$5:$B$2005,"",'Payroll'!$A$5:$A$2005,"&gt;="&amp;ReportFrom,'Payroll'!$A$5:$A$2005,"&lt;="&amp;ReportTo)+SUMIFS('Receipt Vouchers'!$Z$5:$Z$2005,'Receipt Vouchers'!$B$5:$B$2005,"",'Receipt Vouchers'!$A$5:$A$2005,"&gt;="&amp;ReportFrom,'Receipt Vouchers'!$A$5:$A$2005,"&lt;="&amp;ReportTo)+SUMIFS('Sales Invoices'!$AA$5:$AA$2005,'Sales Invoices'!$C$5:$C$2005,"",'Sales Invoices'!$B$5:$B$2005,"&gt;="&amp;ReportFrom,'Sales Invoices'!$B$5:$B$2005,"&lt;="&amp;ReportTo)+SUMIFS('Payment Vouchers'!$Q$5:$Q$2005,'Payment Vouchers'!$G$5:$G$2005,"",'Payment Vouchers'!$A$5:$A$2005,"&gt;="&amp;ReportFrom,'Payment Vouchers'!$A$5:$A$2005,"&lt;="&amp;ReportTo)+SUMIFS('Partner Transactions'!$S$5:$S$2005,'Partner Transactions'!$H$5:$H$2005,"",'Partner Transactions'!$A$5:$A$2005,"&gt;="&amp;ReportFrom,'Partner Transactions'!$A$5:$A$2005,"&lt;="&amp;ReportTo)+SUMIFS('Stock Moves'!$AO$5:$AO$2005,'Stock Moves'!$I$5:$I$2005,"",'Stock Moves'!$A$5:$A$2005,"&gt;="&amp;ReportFrom,'Stock Moves'!$A$5:$A$2005,"&lt;="&amp;ReportTo)+SUMIFS('Journal Vouchers'!$Q$5:$Q$2005,'Journal Vouchers'!$D$5:$D$2005,"",'Journal Vouchers'!$B$5:$B$2005,"&gt;="&amp;ReportFrom,'Journal Vouchers'!$B$5:$B$2005,"&lt;="&amp;ReportTo)</f>
        <v/>
      </c>
    </row>
    <row r="6">
      <c r="A6" s="25">
        <f>IF('Business Units'!A6="","",'Business Units'!A6&amp;"")</f>
        <v/>
      </c>
      <c r="B6" s="25">
        <f>IF(A6="","",'Business Units'!B6)</f>
        <v/>
      </c>
      <c r="C6" s="26">
        <f>IF(A6="",0,SUMIFS('Direct Costs'!$AF$5:$AF$2005,'Direct Costs'!$B$5:$B$2005,$A6,'Direct Costs'!$A$5:$A$2005,"&gt;="&amp;ReportFrom,'Direct Costs'!$A$5:$A$2005,"&lt;="&amp;ReportTo)+SUMIFS('Operating Expenses'!$AA$5:$AA$2005,'Operating Expenses'!$B$5:$B$2005,$A6,'Operating Expenses'!$A$5:$A$2005,"&gt;="&amp;ReportFrom,'Operating Expenses'!$A$5:$A$2005,"&lt;="&amp;ReportTo)+SUMIFS('Payroll'!$W$5:$W$2005,'Payroll'!$B$5:$B$2005,$A6,'Payroll'!$A$5:$A$2005,"&gt;="&amp;ReportFrom,'Payroll'!$A$5:$A$2005,"&lt;="&amp;ReportTo)+SUMIFS('Receipt Vouchers'!$W$5:$W$2005,'Receipt Vouchers'!$B$5:$B$2005,$A6,'Receipt Vouchers'!$A$5:$A$2005,"&gt;="&amp;ReportFrom,'Receipt Vouchers'!$A$5:$A$2005,"&lt;="&amp;ReportTo)+SUMIFS('Sales Invoices'!$X$5:$X$2005,'Sales Invoices'!$C$5:$C$2005,$A6,'Sales Invoices'!$B$5:$B$2005,"&gt;="&amp;ReportFrom,'Sales Invoices'!$B$5:$B$2005,"&lt;="&amp;ReportTo)+SUMIFS('Payment Vouchers'!$N$5:$N$2005,'Payment Vouchers'!$G$5:$G$2005,$A6,'Payment Vouchers'!$A$5:$A$2005,"&gt;="&amp;ReportFrom,'Payment Vouchers'!$A$5:$A$2005,"&lt;="&amp;ReportTo)+SUMIFS('Partner Transactions'!$P$5:$P$2005,'Partner Transactions'!$H$5:$H$2005,$A6,'Partner Transactions'!$A$5:$A$2005,"&gt;="&amp;ReportFrom,'Partner Transactions'!$A$5:$A$2005,"&lt;="&amp;ReportTo)+SUMIFS('Stock Moves'!$AL$5:$AL$2005,'Stock Moves'!$I$5:$I$2005,$A6,'Stock Moves'!$A$5:$A$2005,"&gt;="&amp;ReportFrom,'Stock Moves'!$A$5:$A$2005,"&lt;="&amp;ReportTo)+SUMIFS('Journal Vouchers'!$N$5:$N$2005,'Journal Vouchers'!$D$5:$D$2005,$A6,'Journal Vouchers'!$B$5:$B$2005,"&gt;="&amp;ReportFrom,'Journal Vouchers'!$B$5:$B$2005,"&lt;="&amp;ReportTo))</f>
        <v/>
      </c>
      <c r="D6" s="26">
        <f>IF(A6="",0,SUMIFS('Direct Costs'!$AG$5:$AG$2005,'Direct Costs'!$B$5:$B$2005,$A6,'Direct Costs'!$A$5:$A$2005,"&gt;="&amp;ReportFrom,'Direct Costs'!$A$5:$A$2005,"&lt;="&amp;ReportTo)+SUMIFS('Operating Expenses'!$AB$5:$AB$2005,'Operating Expenses'!$B$5:$B$2005,$A6,'Operating Expenses'!$A$5:$A$2005,"&gt;="&amp;ReportFrom,'Operating Expenses'!$A$5:$A$2005,"&lt;="&amp;ReportTo)+SUMIFS('Payroll'!$X$5:$X$2005,'Payroll'!$B$5:$B$2005,$A6,'Payroll'!$A$5:$A$2005,"&gt;="&amp;ReportFrom,'Payroll'!$A$5:$A$2005,"&lt;="&amp;ReportTo)+SUMIFS('Receipt Vouchers'!$X$5:$X$2005,'Receipt Vouchers'!$B$5:$B$2005,$A6,'Receipt Vouchers'!$A$5:$A$2005,"&gt;="&amp;ReportFrom,'Receipt Vouchers'!$A$5:$A$2005,"&lt;="&amp;ReportTo)+SUMIFS('Sales Invoices'!$Y$5:$Y$2005,'Sales Invoices'!$C$5:$C$2005,$A6,'Sales Invoices'!$B$5:$B$2005,"&gt;="&amp;ReportFrom,'Sales Invoices'!$B$5:$B$2005,"&lt;="&amp;ReportTo)+SUMIFS('Payment Vouchers'!$O$5:$O$2005,'Payment Vouchers'!$G$5:$G$2005,$A6,'Payment Vouchers'!$A$5:$A$2005,"&gt;="&amp;ReportFrom,'Payment Vouchers'!$A$5:$A$2005,"&lt;="&amp;ReportTo)+SUMIFS('Partner Transactions'!$Q$5:$Q$2005,'Partner Transactions'!$H$5:$H$2005,$A6,'Partner Transactions'!$A$5:$A$2005,"&gt;="&amp;ReportFrom,'Partner Transactions'!$A$5:$A$2005,"&lt;="&amp;ReportTo)+SUMIFS('Stock Moves'!$AM$5:$AM$2005,'Stock Moves'!$I$5:$I$2005,$A6,'Stock Moves'!$A$5:$A$2005,"&gt;="&amp;ReportFrom,'Stock Moves'!$A$5:$A$2005,"&lt;="&amp;ReportTo)+SUMIFS('Journal Vouchers'!$O$5:$O$2005,'Journal Vouchers'!$D$5:$D$2005,$A6,'Journal Vouchers'!$B$5:$B$2005,"&gt;="&amp;ReportFrom,'Journal Vouchers'!$B$5:$B$2005,"&lt;="&amp;ReportTo))</f>
        <v/>
      </c>
      <c r="E6" s="26">
        <f>IF(A6="",0,SUMIFS('Direct Costs'!$AH$5:$AH$2005,'Direct Costs'!$B$5:$B$2005,$A6,'Direct Costs'!$A$5:$A$2005,"&gt;="&amp;ReportFrom,'Direct Costs'!$A$5:$A$2005,"&lt;="&amp;ReportTo)+SUMIFS('Operating Expenses'!$AC$5:$AC$2005,'Operating Expenses'!$B$5:$B$2005,$A6,'Operating Expenses'!$A$5:$A$2005,"&gt;="&amp;ReportFrom,'Operating Expenses'!$A$5:$A$2005,"&lt;="&amp;ReportTo)+SUMIFS('Payroll'!$Y$5:$Y$2005,'Payroll'!$B$5:$B$2005,$A6,'Payroll'!$A$5:$A$2005,"&gt;="&amp;ReportFrom,'Payroll'!$A$5:$A$2005,"&lt;="&amp;ReportTo)+SUMIFS('Receipt Vouchers'!$Y$5:$Y$2005,'Receipt Vouchers'!$B$5:$B$2005,$A6,'Receipt Vouchers'!$A$5:$A$2005,"&gt;="&amp;ReportFrom,'Receipt Vouchers'!$A$5:$A$2005,"&lt;="&amp;ReportTo)+SUMIFS('Sales Invoices'!$Z$5:$Z$2005,'Sales Invoices'!$C$5:$C$2005,$A6,'Sales Invoices'!$B$5:$B$2005,"&gt;="&amp;ReportFrom,'Sales Invoices'!$B$5:$B$2005,"&lt;="&amp;ReportTo)+SUMIFS('Payment Vouchers'!$P$5:$P$2005,'Payment Vouchers'!$G$5:$G$2005,$A6,'Payment Vouchers'!$A$5:$A$2005,"&gt;="&amp;ReportFrom,'Payment Vouchers'!$A$5:$A$2005,"&lt;="&amp;ReportTo)+SUMIFS('Partner Transactions'!$R$5:$R$2005,'Partner Transactions'!$H$5:$H$2005,$A6,'Partner Transactions'!$A$5:$A$2005,"&gt;="&amp;ReportFrom,'Partner Transactions'!$A$5:$A$2005,"&lt;="&amp;ReportTo)+SUMIFS('Stock Moves'!$AN$5:$AN$2005,'Stock Moves'!$I$5:$I$2005,$A6,'Stock Moves'!$A$5:$A$2005,"&gt;="&amp;ReportFrom,'Stock Moves'!$A$5:$A$2005,"&lt;="&amp;ReportTo)+SUMIFS('Journal Vouchers'!$P$5:$P$2005,'Journal Vouchers'!$D$5:$D$2005,$A6,'Journal Vouchers'!$B$5:$B$2005,"&gt;="&amp;ReportFrom,'Journal Vouchers'!$B$5:$B$2005,"&lt;="&amp;ReportTo))</f>
        <v/>
      </c>
      <c r="F6" s="52">
        <f>IF(A6="","",N('Business Units'!K6))</f>
        <v/>
      </c>
      <c r="G6" s="26">
        <f>IF(A6="",0,$K$5*N(F6))</f>
        <v/>
      </c>
      <c r="H6" s="26">
        <f>C6-D6-E6-G6</f>
        <v/>
      </c>
      <c r="I6" s="52">
        <f>IFERROR(H6/C6,0)</f>
        <v/>
      </c>
      <c r="K6" s="53" t="inlineStr">
        <is>
          <t>Operating expenses booked without a business unit (depreciation, interest and tax are not allocated), shared out by each unit's Overhead Allocation %.</t>
        </is>
      </c>
    </row>
    <row r="7">
      <c r="A7" s="25">
        <f>IF('Business Units'!A7="","",'Business Units'!A7&amp;"")</f>
        <v/>
      </c>
      <c r="B7" s="25">
        <f>IF(A7="","",'Business Units'!B7)</f>
        <v/>
      </c>
      <c r="C7" s="26">
        <f>IF(A7="",0,SUMIFS('Direct Costs'!$AF$5:$AF$2005,'Direct Costs'!$B$5:$B$2005,$A7,'Direct Costs'!$A$5:$A$2005,"&gt;="&amp;ReportFrom,'Direct Costs'!$A$5:$A$2005,"&lt;="&amp;ReportTo)+SUMIFS('Operating Expenses'!$AA$5:$AA$2005,'Operating Expenses'!$B$5:$B$2005,$A7,'Operating Expenses'!$A$5:$A$2005,"&gt;="&amp;ReportFrom,'Operating Expenses'!$A$5:$A$2005,"&lt;="&amp;ReportTo)+SUMIFS('Payroll'!$W$5:$W$2005,'Payroll'!$B$5:$B$2005,$A7,'Payroll'!$A$5:$A$2005,"&gt;="&amp;ReportFrom,'Payroll'!$A$5:$A$2005,"&lt;="&amp;ReportTo)+SUMIFS('Receipt Vouchers'!$W$5:$W$2005,'Receipt Vouchers'!$B$5:$B$2005,$A7,'Receipt Vouchers'!$A$5:$A$2005,"&gt;="&amp;ReportFrom,'Receipt Vouchers'!$A$5:$A$2005,"&lt;="&amp;ReportTo)+SUMIFS('Sales Invoices'!$X$5:$X$2005,'Sales Invoices'!$C$5:$C$2005,$A7,'Sales Invoices'!$B$5:$B$2005,"&gt;="&amp;ReportFrom,'Sales Invoices'!$B$5:$B$2005,"&lt;="&amp;ReportTo)+SUMIFS('Payment Vouchers'!$N$5:$N$2005,'Payment Vouchers'!$G$5:$G$2005,$A7,'Payment Vouchers'!$A$5:$A$2005,"&gt;="&amp;ReportFrom,'Payment Vouchers'!$A$5:$A$2005,"&lt;="&amp;ReportTo)+SUMIFS('Partner Transactions'!$P$5:$P$2005,'Partner Transactions'!$H$5:$H$2005,$A7,'Partner Transactions'!$A$5:$A$2005,"&gt;="&amp;ReportFrom,'Partner Transactions'!$A$5:$A$2005,"&lt;="&amp;ReportTo)+SUMIFS('Stock Moves'!$AL$5:$AL$2005,'Stock Moves'!$I$5:$I$2005,$A7,'Stock Moves'!$A$5:$A$2005,"&gt;="&amp;ReportFrom,'Stock Moves'!$A$5:$A$2005,"&lt;="&amp;ReportTo)+SUMIFS('Journal Vouchers'!$N$5:$N$2005,'Journal Vouchers'!$D$5:$D$2005,$A7,'Journal Vouchers'!$B$5:$B$2005,"&gt;="&amp;ReportFrom,'Journal Vouchers'!$B$5:$B$2005,"&lt;="&amp;ReportTo))</f>
        <v/>
      </c>
      <c r="D7" s="26">
        <f>IF(A7="",0,SUMIFS('Direct Costs'!$AG$5:$AG$2005,'Direct Costs'!$B$5:$B$2005,$A7,'Direct Costs'!$A$5:$A$2005,"&gt;="&amp;ReportFrom,'Direct Costs'!$A$5:$A$2005,"&lt;="&amp;ReportTo)+SUMIFS('Operating Expenses'!$AB$5:$AB$2005,'Operating Expenses'!$B$5:$B$2005,$A7,'Operating Expenses'!$A$5:$A$2005,"&gt;="&amp;ReportFrom,'Operating Expenses'!$A$5:$A$2005,"&lt;="&amp;ReportTo)+SUMIFS('Payroll'!$X$5:$X$2005,'Payroll'!$B$5:$B$2005,$A7,'Payroll'!$A$5:$A$2005,"&gt;="&amp;ReportFrom,'Payroll'!$A$5:$A$2005,"&lt;="&amp;ReportTo)+SUMIFS('Receipt Vouchers'!$X$5:$X$2005,'Receipt Vouchers'!$B$5:$B$2005,$A7,'Receipt Vouchers'!$A$5:$A$2005,"&gt;="&amp;ReportFrom,'Receipt Vouchers'!$A$5:$A$2005,"&lt;="&amp;ReportTo)+SUMIFS('Sales Invoices'!$Y$5:$Y$2005,'Sales Invoices'!$C$5:$C$2005,$A7,'Sales Invoices'!$B$5:$B$2005,"&gt;="&amp;ReportFrom,'Sales Invoices'!$B$5:$B$2005,"&lt;="&amp;ReportTo)+SUMIFS('Payment Vouchers'!$O$5:$O$2005,'Payment Vouchers'!$G$5:$G$2005,$A7,'Payment Vouchers'!$A$5:$A$2005,"&gt;="&amp;ReportFrom,'Payment Vouchers'!$A$5:$A$2005,"&lt;="&amp;ReportTo)+SUMIFS('Partner Transactions'!$Q$5:$Q$2005,'Partner Transactions'!$H$5:$H$2005,$A7,'Partner Transactions'!$A$5:$A$2005,"&gt;="&amp;ReportFrom,'Partner Transactions'!$A$5:$A$2005,"&lt;="&amp;ReportTo)+SUMIFS('Stock Moves'!$AM$5:$AM$2005,'Stock Moves'!$I$5:$I$2005,$A7,'Stock Moves'!$A$5:$A$2005,"&gt;="&amp;ReportFrom,'Stock Moves'!$A$5:$A$2005,"&lt;="&amp;ReportTo)+SUMIFS('Journal Vouchers'!$O$5:$O$2005,'Journal Vouchers'!$D$5:$D$2005,$A7,'Journal Vouchers'!$B$5:$B$2005,"&gt;="&amp;ReportFrom,'Journal Vouchers'!$B$5:$B$2005,"&lt;="&amp;ReportTo))</f>
        <v/>
      </c>
      <c r="E7" s="26">
        <f>IF(A7="",0,SUMIFS('Direct Costs'!$AH$5:$AH$2005,'Direct Costs'!$B$5:$B$2005,$A7,'Direct Costs'!$A$5:$A$2005,"&gt;="&amp;ReportFrom,'Direct Costs'!$A$5:$A$2005,"&lt;="&amp;ReportTo)+SUMIFS('Operating Expenses'!$AC$5:$AC$2005,'Operating Expenses'!$B$5:$B$2005,$A7,'Operating Expenses'!$A$5:$A$2005,"&gt;="&amp;ReportFrom,'Operating Expenses'!$A$5:$A$2005,"&lt;="&amp;ReportTo)+SUMIFS('Payroll'!$Y$5:$Y$2005,'Payroll'!$B$5:$B$2005,$A7,'Payroll'!$A$5:$A$2005,"&gt;="&amp;ReportFrom,'Payroll'!$A$5:$A$2005,"&lt;="&amp;ReportTo)+SUMIFS('Receipt Vouchers'!$Y$5:$Y$2005,'Receipt Vouchers'!$B$5:$B$2005,$A7,'Receipt Vouchers'!$A$5:$A$2005,"&gt;="&amp;ReportFrom,'Receipt Vouchers'!$A$5:$A$2005,"&lt;="&amp;ReportTo)+SUMIFS('Sales Invoices'!$Z$5:$Z$2005,'Sales Invoices'!$C$5:$C$2005,$A7,'Sales Invoices'!$B$5:$B$2005,"&gt;="&amp;ReportFrom,'Sales Invoices'!$B$5:$B$2005,"&lt;="&amp;ReportTo)+SUMIFS('Payment Vouchers'!$P$5:$P$2005,'Payment Vouchers'!$G$5:$G$2005,$A7,'Payment Vouchers'!$A$5:$A$2005,"&gt;="&amp;ReportFrom,'Payment Vouchers'!$A$5:$A$2005,"&lt;="&amp;ReportTo)+SUMIFS('Partner Transactions'!$R$5:$R$2005,'Partner Transactions'!$H$5:$H$2005,$A7,'Partner Transactions'!$A$5:$A$2005,"&gt;="&amp;ReportFrom,'Partner Transactions'!$A$5:$A$2005,"&lt;="&amp;ReportTo)+SUMIFS('Stock Moves'!$AN$5:$AN$2005,'Stock Moves'!$I$5:$I$2005,$A7,'Stock Moves'!$A$5:$A$2005,"&gt;="&amp;ReportFrom,'Stock Moves'!$A$5:$A$2005,"&lt;="&amp;ReportTo)+SUMIFS('Journal Vouchers'!$P$5:$P$2005,'Journal Vouchers'!$D$5:$D$2005,$A7,'Journal Vouchers'!$B$5:$B$2005,"&gt;="&amp;ReportFrom,'Journal Vouchers'!$B$5:$B$2005,"&lt;="&amp;ReportTo))</f>
        <v/>
      </c>
      <c r="F7" s="52">
        <f>IF(A7="","",N('Business Units'!K7))</f>
        <v/>
      </c>
      <c r="G7" s="26">
        <f>IF(A7="",0,$K$5*N(F7))</f>
        <v/>
      </c>
      <c r="H7" s="26">
        <f>C7-D7-E7-G7</f>
        <v/>
      </c>
      <c r="I7" s="52">
        <f>IFERROR(H7/C7,0)</f>
        <v/>
      </c>
    </row>
    <row r="8">
      <c r="A8" s="25">
        <f>IF('Business Units'!A8="","",'Business Units'!A8&amp;"")</f>
        <v/>
      </c>
      <c r="B8" s="25">
        <f>IF(A8="","",'Business Units'!B8)</f>
        <v/>
      </c>
      <c r="C8" s="26">
        <f>IF(A8="",0,SUMIFS('Direct Costs'!$AF$5:$AF$2005,'Direct Costs'!$B$5:$B$2005,$A8,'Direct Costs'!$A$5:$A$2005,"&gt;="&amp;ReportFrom,'Direct Costs'!$A$5:$A$2005,"&lt;="&amp;ReportTo)+SUMIFS('Operating Expenses'!$AA$5:$AA$2005,'Operating Expenses'!$B$5:$B$2005,$A8,'Operating Expenses'!$A$5:$A$2005,"&gt;="&amp;ReportFrom,'Operating Expenses'!$A$5:$A$2005,"&lt;="&amp;ReportTo)+SUMIFS('Payroll'!$W$5:$W$2005,'Payroll'!$B$5:$B$2005,$A8,'Payroll'!$A$5:$A$2005,"&gt;="&amp;ReportFrom,'Payroll'!$A$5:$A$2005,"&lt;="&amp;ReportTo)+SUMIFS('Receipt Vouchers'!$W$5:$W$2005,'Receipt Vouchers'!$B$5:$B$2005,$A8,'Receipt Vouchers'!$A$5:$A$2005,"&gt;="&amp;ReportFrom,'Receipt Vouchers'!$A$5:$A$2005,"&lt;="&amp;ReportTo)+SUMIFS('Sales Invoices'!$X$5:$X$2005,'Sales Invoices'!$C$5:$C$2005,$A8,'Sales Invoices'!$B$5:$B$2005,"&gt;="&amp;ReportFrom,'Sales Invoices'!$B$5:$B$2005,"&lt;="&amp;ReportTo)+SUMIFS('Payment Vouchers'!$N$5:$N$2005,'Payment Vouchers'!$G$5:$G$2005,$A8,'Payment Vouchers'!$A$5:$A$2005,"&gt;="&amp;ReportFrom,'Payment Vouchers'!$A$5:$A$2005,"&lt;="&amp;ReportTo)+SUMIFS('Partner Transactions'!$P$5:$P$2005,'Partner Transactions'!$H$5:$H$2005,$A8,'Partner Transactions'!$A$5:$A$2005,"&gt;="&amp;ReportFrom,'Partner Transactions'!$A$5:$A$2005,"&lt;="&amp;ReportTo)+SUMIFS('Stock Moves'!$AL$5:$AL$2005,'Stock Moves'!$I$5:$I$2005,$A8,'Stock Moves'!$A$5:$A$2005,"&gt;="&amp;ReportFrom,'Stock Moves'!$A$5:$A$2005,"&lt;="&amp;ReportTo)+SUMIFS('Journal Vouchers'!$N$5:$N$2005,'Journal Vouchers'!$D$5:$D$2005,$A8,'Journal Vouchers'!$B$5:$B$2005,"&gt;="&amp;ReportFrom,'Journal Vouchers'!$B$5:$B$2005,"&lt;="&amp;ReportTo))</f>
        <v/>
      </c>
      <c r="D8" s="26">
        <f>IF(A8="",0,SUMIFS('Direct Costs'!$AG$5:$AG$2005,'Direct Costs'!$B$5:$B$2005,$A8,'Direct Costs'!$A$5:$A$2005,"&gt;="&amp;ReportFrom,'Direct Costs'!$A$5:$A$2005,"&lt;="&amp;ReportTo)+SUMIFS('Operating Expenses'!$AB$5:$AB$2005,'Operating Expenses'!$B$5:$B$2005,$A8,'Operating Expenses'!$A$5:$A$2005,"&gt;="&amp;ReportFrom,'Operating Expenses'!$A$5:$A$2005,"&lt;="&amp;ReportTo)+SUMIFS('Payroll'!$X$5:$X$2005,'Payroll'!$B$5:$B$2005,$A8,'Payroll'!$A$5:$A$2005,"&gt;="&amp;ReportFrom,'Payroll'!$A$5:$A$2005,"&lt;="&amp;ReportTo)+SUMIFS('Receipt Vouchers'!$X$5:$X$2005,'Receipt Vouchers'!$B$5:$B$2005,$A8,'Receipt Vouchers'!$A$5:$A$2005,"&gt;="&amp;ReportFrom,'Receipt Vouchers'!$A$5:$A$2005,"&lt;="&amp;ReportTo)+SUMIFS('Sales Invoices'!$Y$5:$Y$2005,'Sales Invoices'!$C$5:$C$2005,$A8,'Sales Invoices'!$B$5:$B$2005,"&gt;="&amp;ReportFrom,'Sales Invoices'!$B$5:$B$2005,"&lt;="&amp;ReportTo)+SUMIFS('Payment Vouchers'!$O$5:$O$2005,'Payment Vouchers'!$G$5:$G$2005,$A8,'Payment Vouchers'!$A$5:$A$2005,"&gt;="&amp;ReportFrom,'Payment Vouchers'!$A$5:$A$2005,"&lt;="&amp;ReportTo)+SUMIFS('Partner Transactions'!$Q$5:$Q$2005,'Partner Transactions'!$H$5:$H$2005,$A8,'Partner Transactions'!$A$5:$A$2005,"&gt;="&amp;ReportFrom,'Partner Transactions'!$A$5:$A$2005,"&lt;="&amp;ReportTo)+SUMIFS('Stock Moves'!$AM$5:$AM$2005,'Stock Moves'!$I$5:$I$2005,$A8,'Stock Moves'!$A$5:$A$2005,"&gt;="&amp;ReportFrom,'Stock Moves'!$A$5:$A$2005,"&lt;="&amp;ReportTo)+SUMIFS('Journal Vouchers'!$O$5:$O$2005,'Journal Vouchers'!$D$5:$D$2005,$A8,'Journal Vouchers'!$B$5:$B$2005,"&gt;="&amp;ReportFrom,'Journal Vouchers'!$B$5:$B$2005,"&lt;="&amp;ReportTo))</f>
        <v/>
      </c>
      <c r="E8" s="26">
        <f>IF(A8="",0,SUMIFS('Direct Costs'!$AH$5:$AH$2005,'Direct Costs'!$B$5:$B$2005,$A8,'Direct Costs'!$A$5:$A$2005,"&gt;="&amp;ReportFrom,'Direct Costs'!$A$5:$A$2005,"&lt;="&amp;ReportTo)+SUMIFS('Operating Expenses'!$AC$5:$AC$2005,'Operating Expenses'!$B$5:$B$2005,$A8,'Operating Expenses'!$A$5:$A$2005,"&gt;="&amp;ReportFrom,'Operating Expenses'!$A$5:$A$2005,"&lt;="&amp;ReportTo)+SUMIFS('Payroll'!$Y$5:$Y$2005,'Payroll'!$B$5:$B$2005,$A8,'Payroll'!$A$5:$A$2005,"&gt;="&amp;ReportFrom,'Payroll'!$A$5:$A$2005,"&lt;="&amp;ReportTo)+SUMIFS('Receipt Vouchers'!$Y$5:$Y$2005,'Receipt Vouchers'!$B$5:$B$2005,$A8,'Receipt Vouchers'!$A$5:$A$2005,"&gt;="&amp;ReportFrom,'Receipt Vouchers'!$A$5:$A$2005,"&lt;="&amp;ReportTo)+SUMIFS('Sales Invoices'!$Z$5:$Z$2005,'Sales Invoices'!$C$5:$C$2005,$A8,'Sales Invoices'!$B$5:$B$2005,"&gt;="&amp;ReportFrom,'Sales Invoices'!$B$5:$B$2005,"&lt;="&amp;ReportTo)+SUMIFS('Payment Vouchers'!$P$5:$P$2005,'Payment Vouchers'!$G$5:$G$2005,$A8,'Payment Vouchers'!$A$5:$A$2005,"&gt;="&amp;ReportFrom,'Payment Vouchers'!$A$5:$A$2005,"&lt;="&amp;ReportTo)+SUMIFS('Partner Transactions'!$R$5:$R$2005,'Partner Transactions'!$H$5:$H$2005,$A8,'Partner Transactions'!$A$5:$A$2005,"&gt;="&amp;ReportFrom,'Partner Transactions'!$A$5:$A$2005,"&lt;="&amp;ReportTo)+SUMIFS('Stock Moves'!$AN$5:$AN$2005,'Stock Moves'!$I$5:$I$2005,$A8,'Stock Moves'!$A$5:$A$2005,"&gt;="&amp;ReportFrom,'Stock Moves'!$A$5:$A$2005,"&lt;="&amp;ReportTo)+SUMIFS('Journal Vouchers'!$P$5:$P$2005,'Journal Vouchers'!$D$5:$D$2005,$A8,'Journal Vouchers'!$B$5:$B$2005,"&gt;="&amp;ReportFrom,'Journal Vouchers'!$B$5:$B$2005,"&lt;="&amp;ReportTo))</f>
        <v/>
      </c>
      <c r="F8" s="52">
        <f>IF(A8="","",N('Business Units'!K8))</f>
        <v/>
      </c>
      <c r="G8" s="26">
        <f>IF(A8="",0,$K$5*N(F8))</f>
        <v/>
      </c>
      <c r="H8" s="26">
        <f>C8-D8-E8-G8</f>
        <v/>
      </c>
      <c r="I8" s="52">
        <f>IFERROR(H8/C8,0)</f>
        <v/>
      </c>
    </row>
    <row r="9">
      <c r="A9" s="25">
        <f>IF('Business Units'!A9="","",'Business Units'!A9&amp;"")</f>
        <v/>
      </c>
      <c r="B9" s="25">
        <f>IF(A9="","",'Business Units'!B9)</f>
        <v/>
      </c>
      <c r="C9" s="26">
        <f>IF(A9="",0,SUMIFS('Direct Costs'!$AF$5:$AF$2005,'Direct Costs'!$B$5:$B$2005,$A9,'Direct Costs'!$A$5:$A$2005,"&gt;="&amp;ReportFrom,'Direct Costs'!$A$5:$A$2005,"&lt;="&amp;ReportTo)+SUMIFS('Operating Expenses'!$AA$5:$AA$2005,'Operating Expenses'!$B$5:$B$2005,$A9,'Operating Expenses'!$A$5:$A$2005,"&gt;="&amp;ReportFrom,'Operating Expenses'!$A$5:$A$2005,"&lt;="&amp;ReportTo)+SUMIFS('Payroll'!$W$5:$W$2005,'Payroll'!$B$5:$B$2005,$A9,'Payroll'!$A$5:$A$2005,"&gt;="&amp;ReportFrom,'Payroll'!$A$5:$A$2005,"&lt;="&amp;ReportTo)+SUMIFS('Receipt Vouchers'!$W$5:$W$2005,'Receipt Vouchers'!$B$5:$B$2005,$A9,'Receipt Vouchers'!$A$5:$A$2005,"&gt;="&amp;ReportFrom,'Receipt Vouchers'!$A$5:$A$2005,"&lt;="&amp;ReportTo)+SUMIFS('Sales Invoices'!$X$5:$X$2005,'Sales Invoices'!$C$5:$C$2005,$A9,'Sales Invoices'!$B$5:$B$2005,"&gt;="&amp;ReportFrom,'Sales Invoices'!$B$5:$B$2005,"&lt;="&amp;ReportTo)+SUMIFS('Payment Vouchers'!$N$5:$N$2005,'Payment Vouchers'!$G$5:$G$2005,$A9,'Payment Vouchers'!$A$5:$A$2005,"&gt;="&amp;ReportFrom,'Payment Vouchers'!$A$5:$A$2005,"&lt;="&amp;ReportTo)+SUMIFS('Partner Transactions'!$P$5:$P$2005,'Partner Transactions'!$H$5:$H$2005,$A9,'Partner Transactions'!$A$5:$A$2005,"&gt;="&amp;ReportFrom,'Partner Transactions'!$A$5:$A$2005,"&lt;="&amp;ReportTo)+SUMIFS('Stock Moves'!$AL$5:$AL$2005,'Stock Moves'!$I$5:$I$2005,$A9,'Stock Moves'!$A$5:$A$2005,"&gt;="&amp;ReportFrom,'Stock Moves'!$A$5:$A$2005,"&lt;="&amp;ReportTo)+SUMIFS('Journal Vouchers'!$N$5:$N$2005,'Journal Vouchers'!$D$5:$D$2005,$A9,'Journal Vouchers'!$B$5:$B$2005,"&gt;="&amp;ReportFrom,'Journal Vouchers'!$B$5:$B$2005,"&lt;="&amp;ReportTo))</f>
        <v/>
      </c>
      <c r="D9" s="26">
        <f>IF(A9="",0,SUMIFS('Direct Costs'!$AG$5:$AG$2005,'Direct Costs'!$B$5:$B$2005,$A9,'Direct Costs'!$A$5:$A$2005,"&gt;="&amp;ReportFrom,'Direct Costs'!$A$5:$A$2005,"&lt;="&amp;ReportTo)+SUMIFS('Operating Expenses'!$AB$5:$AB$2005,'Operating Expenses'!$B$5:$B$2005,$A9,'Operating Expenses'!$A$5:$A$2005,"&gt;="&amp;ReportFrom,'Operating Expenses'!$A$5:$A$2005,"&lt;="&amp;ReportTo)+SUMIFS('Payroll'!$X$5:$X$2005,'Payroll'!$B$5:$B$2005,$A9,'Payroll'!$A$5:$A$2005,"&gt;="&amp;ReportFrom,'Payroll'!$A$5:$A$2005,"&lt;="&amp;ReportTo)+SUMIFS('Receipt Vouchers'!$X$5:$X$2005,'Receipt Vouchers'!$B$5:$B$2005,$A9,'Receipt Vouchers'!$A$5:$A$2005,"&gt;="&amp;ReportFrom,'Receipt Vouchers'!$A$5:$A$2005,"&lt;="&amp;ReportTo)+SUMIFS('Sales Invoices'!$Y$5:$Y$2005,'Sales Invoices'!$C$5:$C$2005,$A9,'Sales Invoices'!$B$5:$B$2005,"&gt;="&amp;ReportFrom,'Sales Invoices'!$B$5:$B$2005,"&lt;="&amp;ReportTo)+SUMIFS('Payment Vouchers'!$O$5:$O$2005,'Payment Vouchers'!$G$5:$G$2005,$A9,'Payment Vouchers'!$A$5:$A$2005,"&gt;="&amp;ReportFrom,'Payment Vouchers'!$A$5:$A$2005,"&lt;="&amp;ReportTo)+SUMIFS('Partner Transactions'!$Q$5:$Q$2005,'Partner Transactions'!$H$5:$H$2005,$A9,'Partner Transactions'!$A$5:$A$2005,"&gt;="&amp;ReportFrom,'Partner Transactions'!$A$5:$A$2005,"&lt;="&amp;ReportTo)+SUMIFS('Stock Moves'!$AM$5:$AM$2005,'Stock Moves'!$I$5:$I$2005,$A9,'Stock Moves'!$A$5:$A$2005,"&gt;="&amp;ReportFrom,'Stock Moves'!$A$5:$A$2005,"&lt;="&amp;ReportTo)+SUMIFS('Journal Vouchers'!$O$5:$O$2005,'Journal Vouchers'!$D$5:$D$2005,$A9,'Journal Vouchers'!$B$5:$B$2005,"&gt;="&amp;ReportFrom,'Journal Vouchers'!$B$5:$B$2005,"&lt;="&amp;ReportTo))</f>
        <v/>
      </c>
      <c r="E9" s="26">
        <f>IF(A9="",0,SUMIFS('Direct Costs'!$AH$5:$AH$2005,'Direct Costs'!$B$5:$B$2005,$A9,'Direct Costs'!$A$5:$A$2005,"&gt;="&amp;ReportFrom,'Direct Costs'!$A$5:$A$2005,"&lt;="&amp;ReportTo)+SUMIFS('Operating Expenses'!$AC$5:$AC$2005,'Operating Expenses'!$B$5:$B$2005,$A9,'Operating Expenses'!$A$5:$A$2005,"&gt;="&amp;ReportFrom,'Operating Expenses'!$A$5:$A$2005,"&lt;="&amp;ReportTo)+SUMIFS('Payroll'!$Y$5:$Y$2005,'Payroll'!$B$5:$B$2005,$A9,'Payroll'!$A$5:$A$2005,"&gt;="&amp;ReportFrom,'Payroll'!$A$5:$A$2005,"&lt;="&amp;ReportTo)+SUMIFS('Receipt Vouchers'!$Y$5:$Y$2005,'Receipt Vouchers'!$B$5:$B$2005,$A9,'Receipt Vouchers'!$A$5:$A$2005,"&gt;="&amp;ReportFrom,'Receipt Vouchers'!$A$5:$A$2005,"&lt;="&amp;ReportTo)+SUMIFS('Sales Invoices'!$Z$5:$Z$2005,'Sales Invoices'!$C$5:$C$2005,$A9,'Sales Invoices'!$B$5:$B$2005,"&gt;="&amp;ReportFrom,'Sales Invoices'!$B$5:$B$2005,"&lt;="&amp;ReportTo)+SUMIFS('Payment Vouchers'!$P$5:$P$2005,'Payment Vouchers'!$G$5:$G$2005,$A9,'Payment Vouchers'!$A$5:$A$2005,"&gt;="&amp;ReportFrom,'Payment Vouchers'!$A$5:$A$2005,"&lt;="&amp;ReportTo)+SUMIFS('Partner Transactions'!$R$5:$R$2005,'Partner Transactions'!$H$5:$H$2005,$A9,'Partner Transactions'!$A$5:$A$2005,"&gt;="&amp;ReportFrom,'Partner Transactions'!$A$5:$A$2005,"&lt;="&amp;ReportTo)+SUMIFS('Stock Moves'!$AN$5:$AN$2005,'Stock Moves'!$I$5:$I$2005,$A9,'Stock Moves'!$A$5:$A$2005,"&gt;="&amp;ReportFrom,'Stock Moves'!$A$5:$A$2005,"&lt;="&amp;ReportTo)+SUMIFS('Journal Vouchers'!$P$5:$P$2005,'Journal Vouchers'!$D$5:$D$2005,$A9,'Journal Vouchers'!$B$5:$B$2005,"&gt;="&amp;ReportFrom,'Journal Vouchers'!$B$5:$B$2005,"&lt;="&amp;ReportTo))</f>
        <v/>
      </c>
      <c r="F9" s="52">
        <f>IF(A9="","",N('Business Units'!K9))</f>
        <v/>
      </c>
      <c r="G9" s="26">
        <f>IF(A9="",0,$K$5*N(F9))</f>
        <v/>
      </c>
      <c r="H9" s="26">
        <f>C9-D9-E9-G9</f>
        <v/>
      </c>
      <c r="I9" s="52">
        <f>IFERROR(H9/C9,0)</f>
        <v/>
      </c>
    </row>
    <row r="10">
      <c r="A10" s="25">
        <f>IF('Business Units'!A10="","",'Business Units'!A10&amp;"")</f>
        <v/>
      </c>
      <c r="B10" s="25">
        <f>IF(A10="","",'Business Units'!B10)</f>
        <v/>
      </c>
      <c r="C10" s="26">
        <f>IF(A10="",0,SUMIFS('Direct Costs'!$AF$5:$AF$2005,'Direct Costs'!$B$5:$B$2005,$A10,'Direct Costs'!$A$5:$A$2005,"&gt;="&amp;ReportFrom,'Direct Costs'!$A$5:$A$2005,"&lt;="&amp;ReportTo)+SUMIFS('Operating Expenses'!$AA$5:$AA$2005,'Operating Expenses'!$B$5:$B$2005,$A10,'Operating Expenses'!$A$5:$A$2005,"&gt;="&amp;ReportFrom,'Operating Expenses'!$A$5:$A$2005,"&lt;="&amp;ReportTo)+SUMIFS('Payroll'!$W$5:$W$2005,'Payroll'!$B$5:$B$2005,$A10,'Payroll'!$A$5:$A$2005,"&gt;="&amp;ReportFrom,'Payroll'!$A$5:$A$2005,"&lt;="&amp;ReportTo)+SUMIFS('Receipt Vouchers'!$W$5:$W$2005,'Receipt Vouchers'!$B$5:$B$2005,$A10,'Receipt Vouchers'!$A$5:$A$2005,"&gt;="&amp;ReportFrom,'Receipt Vouchers'!$A$5:$A$2005,"&lt;="&amp;ReportTo)+SUMIFS('Sales Invoices'!$X$5:$X$2005,'Sales Invoices'!$C$5:$C$2005,$A10,'Sales Invoices'!$B$5:$B$2005,"&gt;="&amp;ReportFrom,'Sales Invoices'!$B$5:$B$2005,"&lt;="&amp;ReportTo)+SUMIFS('Payment Vouchers'!$N$5:$N$2005,'Payment Vouchers'!$G$5:$G$2005,$A10,'Payment Vouchers'!$A$5:$A$2005,"&gt;="&amp;ReportFrom,'Payment Vouchers'!$A$5:$A$2005,"&lt;="&amp;ReportTo)+SUMIFS('Partner Transactions'!$P$5:$P$2005,'Partner Transactions'!$H$5:$H$2005,$A10,'Partner Transactions'!$A$5:$A$2005,"&gt;="&amp;ReportFrom,'Partner Transactions'!$A$5:$A$2005,"&lt;="&amp;ReportTo)+SUMIFS('Stock Moves'!$AL$5:$AL$2005,'Stock Moves'!$I$5:$I$2005,$A10,'Stock Moves'!$A$5:$A$2005,"&gt;="&amp;ReportFrom,'Stock Moves'!$A$5:$A$2005,"&lt;="&amp;ReportTo)+SUMIFS('Journal Vouchers'!$N$5:$N$2005,'Journal Vouchers'!$D$5:$D$2005,$A10,'Journal Vouchers'!$B$5:$B$2005,"&gt;="&amp;ReportFrom,'Journal Vouchers'!$B$5:$B$2005,"&lt;="&amp;ReportTo))</f>
        <v/>
      </c>
      <c r="D10" s="26">
        <f>IF(A10="",0,SUMIFS('Direct Costs'!$AG$5:$AG$2005,'Direct Costs'!$B$5:$B$2005,$A10,'Direct Costs'!$A$5:$A$2005,"&gt;="&amp;ReportFrom,'Direct Costs'!$A$5:$A$2005,"&lt;="&amp;ReportTo)+SUMIFS('Operating Expenses'!$AB$5:$AB$2005,'Operating Expenses'!$B$5:$B$2005,$A10,'Operating Expenses'!$A$5:$A$2005,"&gt;="&amp;ReportFrom,'Operating Expenses'!$A$5:$A$2005,"&lt;="&amp;ReportTo)+SUMIFS('Payroll'!$X$5:$X$2005,'Payroll'!$B$5:$B$2005,$A10,'Payroll'!$A$5:$A$2005,"&gt;="&amp;ReportFrom,'Payroll'!$A$5:$A$2005,"&lt;="&amp;ReportTo)+SUMIFS('Receipt Vouchers'!$X$5:$X$2005,'Receipt Vouchers'!$B$5:$B$2005,$A10,'Receipt Vouchers'!$A$5:$A$2005,"&gt;="&amp;ReportFrom,'Receipt Vouchers'!$A$5:$A$2005,"&lt;="&amp;ReportTo)+SUMIFS('Sales Invoices'!$Y$5:$Y$2005,'Sales Invoices'!$C$5:$C$2005,$A10,'Sales Invoices'!$B$5:$B$2005,"&gt;="&amp;ReportFrom,'Sales Invoices'!$B$5:$B$2005,"&lt;="&amp;ReportTo)+SUMIFS('Payment Vouchers'!$O$5:$O$2005,'Payment Vouchers'!$G$5:$G$2005,$A10,'Payment Vouchers'!$A$5:$A$2005,"&gt;="&amp;ReportFrom,'Payment Vouchers'!$A$5:$A$2005,"&lt;="&amp;ReportTo)+SUMIFS('Partner Transactions'!$Q$5:$Q$2005,'Partner Transactions'!$H$5:$H$2005,$A10,'Partner Transactions'!$A$5:$A$2005,"&gt;="&amp;ReportFrom,'Partner Transactions'!$A$5:$A$2005,"&lt;="&amp;ReportTo)+SUMIFS('Stock Moves'!$AM$5:$AM$2005,'Stock Moves'!$I$5:$I$2005,$A10,'Stock Moves'!$A$5:$A$2005,"&gt;="&amp;ReportFrom,'Stock Moves'!$A$5:$A$2005,"&lt;="&amp;ReportTo)+SUMIFS('Journal Vouchers'!$O$5:$O$2005,'Journal Vouchers'!$D$5:$D$2005,$A10,'Journal Vouchers'!$B$5:$B$2005,"&gt;="&amp;ReportFrom,'Journal Vouchers'!$B$5:$B$2005,"&lt;="&amp;ReportTo))</f>
        <v/>
      </c>
      <c r="E10" s="26">
        <f>IF(A10="",0,SUMIFS('Direct Costs'!$AH$5:$AH$2005,'Direct Costs'!$B$5:$B$2005,$A10,'Direct Costs'!$A$5:$A$2005,"&gt;="&amp;ReportFrom,'Direct Costs'!$A$5:$A$2005,"&lt;="&amp;ReportTo)+SUMIFS('Operating Expenses'!$AC$5:$AC$2005,'Operating Expenses'!$B$5:$B$2005,$A10,'Operating Expenses'!$A$5:$A$2005,"&gt;="&amp;ReportFrom,'Operating Expenses'!$A$5:$A$2005,"&lt;="&amp;ReportTo)+SUMIFS('Payroll'!$Y$5:$Y$2005,'Payroll'!$B$5:$B$2005,$A10,'Payroll'!$A$5:$A$2005,"&gt;="&amp;ReportFrom,'Payroll'!$A$5:$A$2005,"&lt;="&amp;ReportTo)+SUMIFS('Receipt Vouchers'!$Y$5:$Y$2005,'Receipt Vouchers'!$B$5:$B$2005,$A10,'Receipt Vouchers'!$A$5:$A$2005,"&gt;="&amp;ReportFrom,'Receipt Vouchers'!$A$5:$A$2005,"&lt;="&amp;ReportTo)+SUMIFS('Sales Invoices'!$Z$5:$Z$2005,'Sales Invoices'!$C$5:$C$2005,$A10,'Sales Invoices'!$B$5:$B$2005,"&gt;="&amp;ReportFrom,'Sales Invoices'!$B$5:$B$2005,"&lt;="&amp;ReportTo)+SUMIFS('Payment Vouchers'!$P$5:$P$2005,'Payment Vouchers'!$G$5:$G$2005,$A10,'Payment Vouchers'!$A$5:$A$2005,"&gt;="&amp;ReportFrom,'Payment Vouchers'!$A$5:$A$2005,"&lt;="&amp;ReportTo)+SUMIFS('Partner Transactions'!$R$5:$R$2005,'Partner Transactions'!$H$5:$H$2005,$A10,'Partner Transactions'!$A$5:$A$2005,"&gt;="&amp;ReportFrom,'Partner Transactions'!$A$5:$A$2005,"&lt;="&amp;ReportTo)+SUMIFS('Stock Moves'!$AN$5:$AN$2005,'Stock Moves'!$I$5:$I$2005,$A10,'Stock Moves'!$A$5:$A$2005,"&gt;="&amp;ReportFrom,'Stock Moves'!$A$5:$A$2005,"&lt;="&amp;ReportTo)+SUMIFS('Journal Vouchers'!$P$5:$P$2005,'Journal Vouchers'!$D$5:$D$2005,$A10,'Journal Vouchers'!$B$5:$B$2005,"&gt;="&amp;ReportFrom,'Journal Vouchers'!$B$5:$B$2005,"&lt;="&amp;ReportTo))</f>
        <v/>
      </c>
      <c r="F10" s="52">
        <f>IF(A10="","",N('Business Units'!K10))</f>
        <v/>
      </c>
      <c r="G10" s="26">
        <f>IF(A10="",0,$K$5*N(F10))</f>
        <v/>
      </c>
      <c r="H10" s="26">
        <f>C10-D10-E10-G10</f>
        <v/>
      </c>
      <c r="I10" s="52">
        <f>IFERROR(H10/C10,0)</f>
        <v/>
      </c>
    </row>
    <row r="11">
      <c r="A11" s="25">
        <f>IF('Business Units'!A11="","",'Business Units'!A11&amp;"")</f>
        <v/>
      </c>
      <c r="B11" s="25">
        <f>IF(A11="","",'Business Units'!B11)</f>
        <v/>
      </c>
      <c r="C11" s="26">
        <f>IF(A11="",0,SUMIFS('Direct Costs'!$AF$5:$AF$2005,'Direct Costs'!$B$5:$B$2005,$A11,'Direct Costs'!$A$5:$A$2005,"&gt;="&amp;ReportFrom,'Direct Costs'!$A$5:$A$2005,"&lt;="&amp;ReportTo)+SUMIFS('Operating Expenses'!$AA$5:$AA$2005,'Operating Expenses'!$B$5:$B$2005,$A11,'Operating Expenses'!$A$5:$A$2005,"&gt;="&amp;ReportFrom,'Operating Expenses'!$A$5:$A$2005,"&lt;="&amp;ReportTo)+SUMIFS('Payroll'!$W$5:$W$2005,'Payroll'!$B$5:$B$2005,$A11,'Payroll'!$A$5:$A$2005,"&gt;="&amp;ReportFrom,'Payroll'!$A$5:$A$2005,"&lt;="&amp;ReportTo)+SUMIFS('Receipt Vouchers'!$W$5:$W$2005,'Receipt Vouchers'!$B$5:$B$2005,$A11,'Receipt Vouchers'!$A$5:$A$2005,"&gt;="&amp;ReportFrom,'Receipt Vouchers'!$A$5:$A$2005,"&lt;="&amp;ReportTo)+SUMIFS('Sales Invoices'!$X$5:$X$2005,'Sales Invoices'!$C$5:$C$2005,$A11,'Sales Invoices'!$B$5:$B$2005,"&gt;="&amp;ReportFrom,'Sales Invoices'!$B$5:$B$2005,"&lt;="&amp;ReportTo)+SUMIFS('Payment Vouchers'!$N$5:$N$2005,'Payment Vouchers'!$G$5:$G$2005,$A11,'Payment Vouchers'!$A$5:$A$2005,"&gt;="&amp;ReportFrom,'Payment Vouchers'!$A$5:$A$2005,"&lt;="&amp;ReportTo)+SUMIFS('Partner Transactions'!$P$5:$P$2005,'Partner Transactions'!$H$5:$H$2005,$A11,'Partner Transactions'!$A$5:$A$2005,"&gt;="&amp;ReportFrom,'Partner Transactions'!$A$5:$A$2005,"&lt;="&amp;ReportTo)+SUMIFS('Stock Moves'!$AL$5:$AL$2005,'Stock Moves'!$I$5:$I$2005,$A11,'Stock Moves'!$A$5:$A$2005,"&gt;="&amp;ReportFrom,'Stock Moves'!$A$5:$A$2005,"&lt;="&amp;ReportTo)+SUMIFS('Journal Vouchers'!$N$5:$N$2005,'Journal Vouchers'!$D$5:$D$2005,$A11,'Journal Vouchers'!$B$5:$B$2005,"&gt;="&amp;ReportFrom,'Journal Vouchers'!$B$5:$B$2005,"&lt;="&amp;ReportTo))</f>
        <v/>
      </c>
      <c r="D11" s="26">
        <f>IF(A11="",0,SUMIFS('Direct Costs'!$AG$5:$AG$2005,'Direct Costs'!$B$5:$B$2005,$A11,'Direct Costs'!$A$5:$A$2005,"&gt;="&amp;ReportFrom,'Direct Costs'!$A$5:$A$2005,"&lt;="&amp;ReportTo)+SUMIFS('Operating Expenses'!$AB$5:$AB$2005,'Operating Expenses'!$B$5:$B$2005,$A11,'Operating Expenses'!$A$5:$A$2005,"&gt;="&amp;ReportFrom,'Operating Expenses'!$A$5:$A$2005,"&lt;="&amp;ReportTo)+SUMIFS('Payroll'!$X$5:$X$2005,'Payroll'!$B$5:$B$2005,$A11,'Payroll'!$A$5:$A$2005,"&gt;="&amp;ReportFrom,'Payroll'!$A$5:$A$2005,"&lt;="&amp;ReportTo)+SUMIFS('Receipt Vouchers'!$X$5:$X$2005,'Receipt Vouchers'!$B$5:$B$2005,$A11,'Receipt Vouchers'!$A$5:$A$2005,"&gt;="&amp;ReportFrom,'Receipt Vouchers'!$A$5:$A$2005,"&lt;="&amp;ReportTo)+SUMIFS('Sales Invoices'!$Y$5:$Y$2005,'Sales Invoices'!$C$5:$C$2005,$A11,'Sales Invoices'!$B$5:$B$2005,"&gt;="&amp;ReportFrom,'Sales Invoices'!$B$5:$B$2005,"&lt;="&amp;ReportTo)+SUMIFS('Payment Vouchers'!$O$5:$O$2005,'Payment Vouchers'!$G$5:$G$2005,$A11,'Payment Vouchers'!$A$5:$A$2005,"&gt;="&amp;ReportFrom,'Payment Vouchers'!$A$5:$A$2005,"&lt;="&amp;ReportTo)+SUMIFS('Partner Transactions'!$Q$5:$Q$2005,'Partner Transactions'!$H$5:$H$2005,$A11,'Partner Transactions'!$A$5:$A$2005,"&gt;="&amp;ReportFrom,'Partner Transactions'!$A$5:$A$2005,"&lt;="&amp;ReportTo)+SUMIFS('Stock Moves'!$AM$5:$AM$2005,'Stock Moves'!$I$5:$I$2005,$A11,'Stock Moves'!$A$5:$A$2005,"&gt;="&amp;ReportFrom,'Stock Moves'!$A$5:$A$2005,"&lt;="&amp;ReportTo)+SUMIFS('Journal Vouchers'!$O$5:$O$2005,'Journal Vouchers'!$D$5:$D$2005,$A11,'Journal Vouchers'!$B$5:$B$2005,"&gt;="&amp;ReportFrom,'Journal Vouchers'!$B$5:$B$2005,"&lt;="&amp;ReportTo))</f>
        <v/>
      </c>
      <c r="E11" s="26">
        <f>IF(A11="",0,SUMIFS('Direct Costs'!$AH$5:$AH$2005,'Direct Costs'!$B$5:$B$2005,$A11,'Direct Costs'!$A$5:$A$2005,"&gt;="&amp;ReportFrom,'Direct Costs'!$A$5:$A$2005,"&lt;="&amp;ReportTo)+SUMIFS('Operating Expenses'!$AC$5:$AC$2005,'Operating Expenses'!$B$5:$B$2005,$A11,'Operating Expenses'!$A$5:$A$2005,"&gt;="&amp;ReportFrom,'Operating Expenses'!$A$5:$A$2005,"&lt;="&amp;ReportTo)+SUMIFS('Payroll'!$Y$5:$Y$2005,'Payroll'!$B$5:$B$2005,$A11,'Payroll'!$A$5:$A$2005,"&gt;="&amp;ReportFrom,'Payroll'!$A$5:$A$2005,"&lt;="&amp;ReportTo)+SUMIFS('Receipt Vouchers'!$Y$5:$Y$2005,'Receipt Vouchers'!$B$5:$B$2005,$A11,'Receipt Vouchers'!$A$5:$A$2005,"&gt;="&amp;ReportFrom,'Receipt Vouchers'!$A$5:$A$2005,"&lt;="&amp;ReportTo)+SUMIFS('Sales Invoices'!$Z$5:$Z$2005,'Sales Invoices'!$C$5:$C$2005,$A11,'Sales Invoices'!$B$5:$B$2005,"&gt;="&amp;ReportFrom,'Sales Invoices'!$B$5:$B$2005,"&lt;="&amp;ReportTo)+SUMIFS('Payment Vouchers'!$P$5:$P$2005,'Payment Vouchers'!$G$5:$G$2005,$A11,'Payment Vouchers'!$A$5:$A$2005,"&gt;="&amp;ReportFrom,'Payment Vouchers'!$A$5:$A$2005,"&lt;="&amp;ReportTo)+SUMIFS('Partner Transactions'!$R$5:$R$2005,'Partner Transactions'!$H$5:$H$2005,$A11,'Partner Transactions'!$A$5:$A$2005,"&gt;="&amp;ReportFrom,'Partner Transactions'!$A$5:$A$2005,"&lt;="&amp;ReportTo)+SUMIFS('Stock Moves'!$AN$5:$AN$2005,'Stock Moves'!$I$5:$I$2005,$A11,'Stock Moves'!$A$5:$A$2005,"&gt;="&amp;ReportFrom,'Stock Moves'!$A$5:$A$2005,"&lt;="&amp;ReportTo)+SUMIFS('Journal Vouchers'!$P$5:$P$2005,'Journal Vouchers'!$D$5:$D$2005,$A11,'Journal Vouchers'!$B$5:$B$2005,"&gt;="&amp;ReportFrom,'Journal Vouchers'!$B$5:$B$2005,"&lt;="&amp;ReportTo))</f>
        <v/>
      </c>
      <c r="F11" s="52">
        <f>IF(A11="","",N('Business Units'!K11))</f>
        <v/>
      </c>
      <c r="G11" s="26">
        <f>IF(A11="",0,$K$5*N(F11))</f>
        <v/>
      </c>
      <c r="H11" s="26">
        <f>C11-D11-E11-G11</f>
        <v/>
      </c>
      <c r="I11" s="52">
        <f>IFERROR(H11/C11,0)</f>
        <v/>
      </c>
    </row>
    <row r="12">
      <c r="A12" s="25">
        <f>IF('Business Units'!A12="","",'Business Units'!A12&amp;"")</f>
        <v/>
      </c>
      <c r="B12" s="25">
        <f>IF(A12="","",'Business Units'!B12)</f>
        <v/>
      </c>
      <c r="C12" s="26">
        <f>IF(A12="",0,SUMIFS('Direct Costs'!$AF$5:$AF$2005,'Direct Costs'!$B$5:$B$2005,$A12,'Direct Costs'!$A$5:$A$2005,"&gt;="&amp;ReportFrom,'Direct Costs'!$A$5:$A$2005,"&lt;="&amp;ReportTo)+SUMIFS('Operating Expenses'!$AA$5:$AA$2005,'Operating Expenses'!$B$5:$B$2005,$A12,'Operating Expenses'!$A$5:$A$2005,"&gt;="&amp;ReportFrom,'Operating Expenses'!$A$5:$A$2005,"&lt;="&amp;ReportTo)+SUMIFS('Payroll'!$W$5:$W$2005,'Payroll'!$B$5:$B$2005,$A12,'Payroll'!$A$5:$A$2005,"&gt;="&amp;ReportFrom,'Payroll'!$A$5:$A$2005,"&lt;="&amp;ReportTo)+SUMIFS('Receipt Vouchers'!$W$5:$W$2005,'Receipt Vouchers'!$B$5:$B$2005,$A12,'Receipt Vouchers'!$A$5:$A$2005,"&gt;="&amp;ReportFrom,'Receipt Vouchers'!$A$5:$A$2005,"&lt;="&amp;ReportTo)+SUMIFS('Sales Invoices'!$X$5:$X$2005,'Sales Invoices'!$C$5:$C$2005,$A12,'Sales Invoices'!$B$5:$B$2005,"&gt;="&amp;ReportFrom,'Sales Invoices'!$B$5:$B$2005,"&lt;="&amp;ReportTo)+SUMIFS('Payment Vouchers'!$N$5:$N$2005,'Payment Vouchers'!$G$5:$G$2005,$A12,'Payment Vouchers'!$A$5:$A$2005,"&gt;="&amp;ReportFrom,'Payment Vouchers'!$A$5:$A$2005,"&lt;="&amp;ReportTo)+SUMIFS('Partner Transactions'!$P$5:$P$2005,'Partner Transactions'!$H$5:$H$2005,$A12,'Partner Transactions'!$A$5:$A$2005,"&gt;="&amp;ReportFrom,'Partner Transactions'!$A$5:$A$2005,"&lt;="&amp;ReportTo)+SUMIFS('Stock Moves'!$AL$5:$AL$2005,'Stock Moves'!$I$5:$I$2005,$A12,'Stock Moves'!$A$5:$A$2005,"&gt;="&amp;ReportFrom,'Stock Moves'!$A$5:$A$2005,"&lt;="&amp;ReportTo)+SUMIFS('Journal Vouchers'!$N$5:$N$2005,'Journal Vouchers'!$D$5:$D$2005,$A12,'Journal Vouchers'!$B$5:$B$2005,"&gt;="&amp;ReportFrom,'Journal Vouchers'!$B$5:$B$2005,"&lt;="&amp;ReportTo))</f>
        <v/>
      </c>
      <c r="D12" s="26">
        <f>IF(A12="",0,SUMIFS('Direct Costs'!$AG$5:$AG$2005,'Direct Costs'!$B$5:$B$2005,$A12,'Direct Costs'!$A$5:$A$2005,"&gt;="&amp;ReportFrom,'Direct Costs'!$A$5:$A$2005,"&lt;="&amp;ReportTo)+SUMIFS('Operating Expenses'!$AB$5:$AB$2005,'Operating Expenses'!$B$5:$B$2005,$A12,'Operating Expenses'!$A$5:$A$2005,"&gt;="&amp;ReportFrom,'Operating Expenses'!$A$5:$A$2005,"&lt;="&amp;ReportTo)+SUMIFS('Payroll'!$X$5:$X$2005,'Payroll'!$B$5:$B$2005,$A12,'Payroll'!$A$5:$A$2005,"&gt;="&amp;ReportFrom,'Payroll'!$A$5:$A$2005,"&lt;="&amp;ReportTo)+SUMIFS('Receipt Vouchers'!$X$5:$X$2005,'Receipt Vouchers'!$B$5:$B$2005,$A12,'Receipt Vouchers'!$A$5:$A$2005,"&gt;="&amp;ReportFrom,'Receipt Vouchers'!$A$5:$A$2005,"&lt;="&amp;ReportTo)+SUMIFS('Sales Invoices'!$Y$5:$Y$2005,'Sales Invoices'!$C$5:$C$2005,$A12,'Sales Invoices'!$B$5:$B$2005,"&gt;="&amp;ReportFrom,'Sales Invoices'!$B$5:$B$2005,"&lt;="&amp;ReportTo)+SUMIFS('Payment Vouchers'!$O$5:$O$2005,'Payment Vouchers'!$G$5:$G$2005,$A12,'Payment Vouchers'!$A$5:$A$2005,"&gt;="&amp;ReportFrom,'Payment Vouchers'!$A$5:$A$2005,"&lt;="&amp;ReportTo)+SUMIFS('Partner Transactions'!$Q$5:$Q$2005,'Partner Transactions'!$H$5:$H$2005,$A12,'Partner Transactions'!$A$5:$A$2005,"&gt;="&amp;ReportFrom,'Partner Transactions'!$A$5:$A$2005,"&lt;="&amp;ReportTo)+SUMIFS('Stock Moves'!$AM$5:$AM$2005,'Stock Moves'!$I$5:$I$2005,$A12,'Stock Moves'!$A$5:$A$2005,"&gt;="&amp;ReportFrom,'Stock Moves'!$A$5:$A$2005,"&lt;="&amp;ReportTo)+SUMIFS('Journal Vouchers'!$O$5:$O$2005,'Journal Vouchers'!$D$5:$D$2005,$A12,'Journal Vouchers'!$B$5:$B$2005,"&gt;="&amp;ReportFrom,'Journal Vouchers'!$B$5:$B$2005,"&lt;="&amp;ReportTo))</f>
        <v/>
      </c>
      <c r="E12" s="26">
        <f>IF(A12="",0,SUMIFS('Direct Costs'!$AH$5:$AH$2005,'Direct Costs'!$B$5:$B$2005,$A12,'Direct Costs'!$A$5:$A$2005,"&gt;="&amp;ReportFrom,'Direct Costs'!$A$5:$A$2005,"&lt;="&amp;ReportTo)+SUMIFS('Operating Expenses'!$AC$5:$AC$2005,'Operating Expenses'!$B$5:$B$2005,$A12,'Operating Expenses'!$A$5:$A$2005,"&gt;="&amp;ReportFrom,'Operating Expenses'!$A$5:$A$2005,"&lt;="&amp;ReportTo)+SUMIFS('Payroll'!$Y$5:$Y$2005,'Payroll'!$B$5:$B$2005,$A12,'Payroll'!$A$5:$A$2005,"&gt;="&amp;ReportFrom,'Payroll'!$A$5:$A$2005,"&lt;="&amp;ReportTo)+SUMIFS('Receipt Vouchers'!$Y$5:$Y$2005,'Receipt Vouchers'!$B$5:$B$2005,$A12,'Receipt Vouchers'!$A$5:$A$2005,"&gt;="&amp;ReportFrom,'Receipt Vouchers'!$A$5:$A$2005,"&lt;="&amp;ReportTo)+SUMIFS('Sales Invoices'!$Z$5:$Z$2005,'Sales Invoices'!$C$5:$C$2005,$A12,'Sales Invoices'!$B$5:$B$2005,"&gt;="&amp;ReportFrom,'Sales Invoices'!$B$5:$B$2005,"&lt;="&amp;ReportTo)+SUMIFS('Payment Vouchers'!$P$5:$P$2005,'Payment Vouchers'!$G$5:$G$2005,$A12,'Payment Vouchers'!$A$5:$A$2005,"&gt;="&amp;ReportFrom,'Payment Vouchers'!$A$5:$A$2005,"&lt;="&amp;ReportTo)+SUMIFS('Partner Transactions'!$R$5:$R$2005,'Partner Transactions'!$H$5:$H$2005,$A12,'Partner Transactions'!$A$5:$A$2005,"&gt;="&amp;ReportFrom,'Partner Transactions'!$A$5:$A$2005,"&lt;="&amp;ReportTo)+SUMIFS('Stock Moves'!$AN$5:$AN$2005,'Stock Moves'!$I$5:$I$2005,$A12,'Stock Moves'!$A$5:$A$2005,"&gt;="&amp;ReportFrom,'Stock Moves'!$A$5:$A$2005,"&lt;="&amp;ReportTo)+SUMIFS('Journal Vouchers'!$P$5:$P$2005,'Journal Vouchers'!$D$5:$D$2005,$A12,'Journal Vouchers'!$B$5:$B$2005,"&gt;="&amp;ReportFrom,'Journal Vouchers'!$B$5:$B$2005,"&lt;="&amp;ReportTo))</f>
        <v/>
      </c>
      <c r="F12" s="52">
        <f>IF(A12="","",N('Business Units'!K12))</f>
        <v/>
      </c>
      <c r="G12" s="26">
        <f>IF(A12="",0,$K$5*N(F12))</f>
        <v/>
      </c>
      <c r="H12" s="26">
        <f>C12-D12-E12-G12</f>
        <v/>
      </c>
      <c r="I12" s="52">
        <f>IFERROR(H12/C12,0)</f>
        <v/>
      </c>
    </row>
    <row r="13">
      <c r="A13" s="25">
        <f>IF('Business Units'!A13="","",'Business Units'!A13&amp;"")</f>
        <v/>
      </c>
      <c r="B13" s="25">
        <f>IF(A13="","",'Business Units'!B13)</f>
        <v/>
      </c>
      <c r="C13" s="26">
        <f>IF(A13="",0,SUMIFS('Direct Costs'!$AF$5:$AF$2005,'Direct Costs'!$B$5:$B$2005,$A13,'Direct Costs'!$A$5:$A$2005,"&gt;="&amp;ReportFrom,'Direct Costs'!$A$5:$A$2005,"&lt;="&amp;ReportTo)+SUMIFS('Operating Expenses'!$AA$5:$AA$2005,'Operating Expenses'!$B$5:$B$2005,$A13,'Operating Expenses'!$A$5:$A$2005,"&gt;="&amp;ReportFrom,'Operating Expenses'!$A$5:$A$2005,"&lt;="&amp;ReportTo)+SUMIFS('Payroll'!$W$5:$W$2005,'Payroll'!$B$5:$B$2005,$A13,'Payroll'!$A$5:$A$2005,"&gt;="&amp;ReportFrom,'Payroll'!$A$5:$A$2005,"&lt;="&amp;ReportTo)+SUMIFS('Receipt Vouchers'!$W$5:$W$2005,'Receipt Vouchers'!$B$5:$B$2005,$A13,'Receipt Vouchers'!$A$5:$A$2005,"&gt;="&amp;ReportFrom,'Receipt Vouchers'!$A$5:$A$2005,"&lt;="&amp;ReportTo)+SUMIFS('Sales Invoices'!$X$5:$X$2005,'Sales Invoices'!$C$5:$C$2005,$A13,'Sales Invoices'!$B$5:$B$2005,"&gt;="&amp;ReportFrom,'Sales Invoices'!$B$5:$B$2005,"&lt;="&amp;ReportTo)+SUMIFS('Payment Vouchers'!$N$5:$N$2005,'Payment Vouchers'!$G$5:$G$2005,$A13,'Payment Vouchers'!$A$5:$A$2005,"&gt;="&amp;ReportFrom,'Payment Vouchers'!$A$5:$A$2005,"&lt;="&amp;ReportTo)+SUMIFS('Partner Transactions'!$P$5:$P$2005,'Partner Transactions'!$H$5:$H$2005,$A13,'Partner Transactions'!$A$5:$A$2005,"&gt;="&amp;ReportFrom,'Partner Transactions'!$A$5:$A$2005,"&lt;="&amp;ReportTo)+SUMIFS('Stock Moves'!$AL$5:$AL$2005,'Stock Moves'!$I$5:$I$2005,$A13,'Stock Moves'!$A$5:$A$2005,"&gt;="&amp;ReportFrom,'Stock Moves'!$A$5:$A$2005,"&lt;="&amp;ReportTo)+SUMIFS('Journal Vouchers'!$N$5:$N$2005,'Journal Vouchers'!$D$5:$D$2005,$A13,'Journal Vouchers'!$B$5:$B$2005,"&gt;="&amp;ReportFrom,'Journal Vouchers'!$B$5:$B$2005,"&lt;="&amp;ReportTo))</f>
        <v/>
      </c>
      <c r="D13" s="26">
        <f>IF(A13="",0,SUMIFS('Direct Costs'!$AG$5:$AG$2005,'Direct Costs'!$B$5:$B$2005,$A13,'Direct Costs'!$A$5:$A$2005,"&gt;="&amp;ReportFrom,'Direct Costs'!$A$5:$A$2005,"&lt;="&amp;ReportTo)+SUMIFS('Operating Expenses'!$AB$5:$AB$2005,'Operating Expenses'!$B$5:$B$2005,$A13,'Operating Expenses'!$A$5:$A$2005,"&gt;="&amp;ReportFrom,'Operating Expenses'!$A$5:$A$2005,"&lt;="&amp;ReportTo)+SUMIFS('Payroll'!$X$5:$X$2005,'Payroll'!$B$5:$B$2005,$A13,'Payroll'!$A$5:$A$2005,"&gt;="&amp;ReportFrom,'Payroll'!$A$5:$A$2005,"&lt;="&amp;ReportTo)+SUMIFS('Receipt Vouchers'!$X$5:$X$2005,'Receipt Vouchers'!$B$5:$B$2005,$A13,'Receipt Vouchers'!$A$5:$A$2005,"&gt;="&amp;ReportFrom,'Receipt Vouchers'!$A$5:$A$2005,"&lt;="&amp;ReportTo)+SUMIFS('Sales Invoices'!$Y$5:$Y$2005,'Sales Invoices'!$C$5:$C$2005,$A13,'Sales Invoices'!$B$5:$B$2005,"&gt;="&amp;ReportFrom,'Sales Invoices'!$B$5:$B$2005,"&lt;="&amp;ReportTo)+SUMIFS('Payment Vouchers'!$O$5:$O$2005,'Payment Vouchers'!$G$5:$G$2005,$A13,'Payment Vouchers'!$A$5:$A$2005,"&gt;="&amp;ReportFrom,'Payment Vouchers'!$A$5:$A$2005,"&lt;="&amp;ReportTo)+SUMIFS('Partner Transactions'!$Q$5:$Q$2005,'Partner Transactions'!$H$5:$H$2005,$A13,'Partner Transactions'!$A$5:$A$2005,"&gt;="&amp;ReportFrom,'Partner Transactions'!$A$5:$A$2005,"&lt;="&amp;ReportTo)+SUMIFS('Stock Moves'!$AM$5:$AM$2005,'Stock Moves'!$I$5:$I$2005,$A13,'Stock Moves'!$A$5:$A$2005,"&gt;="&amp;ReportFrom,'Stock Moves'!$A$5:$A$2005,"&lt;="&amp;ReportTo)+SUMIFS('Journal Vouchers'!$O$5:$O$2005,'Journal Vouchers'!$D$5:$D$2005,$A13,'Journal Vouchers'!$B$5:$B$2005,"&gt;="&amp;ReportFrom,'Journal Vouchers'!$B$5:$B$2005,"&lt;="&amp;ReportTo))</f>
        <v/>
      </c>
      <c r="E13" s="26">
        <f>IF(A13="",0,SUMIFS('Direct Costs'!$AH$5:$AH$2005,'Direct Costs'!$B$5:$B$2005,$A13,'Direct Costs'!$A$5:$A$2005,"&gt;="&amp;ReportFrom,'Direct Costs'!$A$5:$A$2005,"&lt;="&amp;ReportTo)+SUMIFS('Operating Expenses'!$AC$5:$AC$2005,'Operating Expenses'!$B$5:$B$2005,$A13,'Operating Expenses'!$A$5:$A$2005,"&gt;="&amp;ReportFrom,'Operating Expenses'!$A$5:$A$2005,"&lt;="&amp;ReportTo)+SUMIFS('Payroll'!$Y$5:$Y$2005,'Payroll'!$B$5:$B$2005,$A13,'Payroll'!$A$5:$A$2005,"&gt;="&amp;ReportFrom,'Payroll'!$A$5:$A$2005,"&lt;="&amp;ReportTo)+SUMIFS('Receipt Vouchers'!$Y$5:$Y$2005,'Receipt Vouchers'!$B$5:$B$2005,$A13,'Receipt Vouchers'!$A$5:$A$2005,"&gt;="&amp;ReportFrom,'Receipt Vouchers'!$A$5:$A$2005,"&lt;="&amp;ReportTo)+SUMIFS('Sales Invoices'!$Z$5:$Z$2005,'Sales Invoices'!$C$5:$C$2005,$A13,'Sales Invoices'!$B$5:$B$2005,"&gt;="&amp;ReportFrom,'Sales Invoices'!$B$5:$B$2005,"&lt;="&amp;ReportTo)+SUMIFS('Payment Vouchers'!$P$5:$P$2005,'Payment Vouchers'!$G$5:$G$2005,$A13,'Payment Vouchers'!$A$5:$A$2005,"&gt;="&amp;ReportFrom,'Payment Vouchers'!$A$5:$A$2005,"&lt;="&amp;ReportTo)+SUMIFS('Partner Transactions'!$R$5:$R$2005,'Partner Transactions'!$H$5:$H$2005,$A13,'Partner Transactions'!$A$5:$A$2005,"&gt;="&amp;ReportFrom,'Partner Transactions'!$A$5:$A$2005,"&lt;="&amp;ReportTo)+SUMIFS('Stock Moves'!$AN$5:$AN$2005,'Stock Moves'!$I$5:$I$2005,$A13,'Stock Moves'!$A$5:$A$2005,"&gt;="&amp;ReportFrom,'Stock Moves'!$A$5:$A$2005,"&lt;="&amp;ReportTo)+SUMIFS('Journal Vouchers'!$P$5:$P$2005,'Journal Vouchers'!$D$5:$D$2005,$A13,'Journal Vouchers'!$B$5:$B$2005,"&gt;="&amp;ReportFrom,'Journal Vouchers'!$B$5:$B$2005,"&lt;="&amp;ReportTo))</f>
        <v/>
      </c>
      <c r="F13" s="52">
        <f>IF(A13="","",N('Business Units'!K13))</f>
        <v/>
      </c>
      <c r="G13" s="26">
        <f>IF(A13="",0,$K$5*N(F13))</f>
        <v/>
      </c>
      <c r="H13" s="26">
        <f>C13-D13-E13-G13</f>
        <v/>
      </c>
      <c r="I13" s="52">
        <f>IFERROR(H13/C13,0)</f>
        <v/>
      </c>
    </row>
    <row r="14">
      <c r="A14" s="25">
        <f>IF('Business Units'!A14="","",'Business Units'!A14&amp;"")</f>
        <v/>
      </c>
      <c r="B14" s="25">
        <f>IF(A14="","",'Business Units'!B14)</f>
        <v/>
      </c>
      <c r="C14" s="26">
        <f>IF(A14="",0,SUMIFS('Direct Costs'!$AF$5:$AF$2005,'Direct Costs'!$B$5:$B$2005,$A14,'Direct Costs'!$A$5:$A$2005,"&gt;="&amp;ReportFrom,'Direct Costs'!$A$5:$A$2005,"&lt;="&amp;ReportTo)+SUMIFS('Operating Expenses'!$AA$5:$AA$2005,'Operating Expenses'!$B$5:$B$2005,$A14,'Operating Expenses'!$A$5:$A$2005,"&gt;="&amp;ReportFrom,'Operating Expenses'!$A$5:$A$2005,"&lt;="&amp;ReportTo)+SUMIFS('Payroll'!$W$5:$W$2005,'Payroll'!$B$5:$B$2005,$A14,'Payroll'!$A$5:$A$2005,"&gt;="&amp;ReportFrom,'Payroll'!$A$5:$A$2005,"&lt;="&amp;ReportTo)+SUMIFS('Receipt Vouchers'!$W$5:$W$2005,'Receipt Vouchers'!$B$5:$B$2005,$A14,'Receipt Vouchers'!$A$5:$A$2005,"&gt;="&amp;ReportFrom,'Receipt Vouchers'!$A$5:$A$2005,"&lt;="&amp;ReportTo)+SUMIFS('Sales Invoices'!$X$5:$X$2005,'Sales Invoices'!$C$5:$C$2005,$A14,'Sales Invoices'!$B$5:$B$2005,"&gt;="&amp;ReportFrom,'Sales Invoices'!$B$5:$B$2005,"&lt;="&amp;ReportTo)+SUMIFS('Payment Vouchers'!$N$5:$N$2005,'Payment Vouchers'!$G$5:$G$2005,$A14,'Payment Vouchers'!$A$5:$A$2005,"&gt;="&amp;ReportFrom,'Payment Vouchers'!$A$5:$A$2005,"&lt;="&amp;ReportTo)+SUMIFS('Partner Transactions'!$P$5:$P$2005,'Partner Transactions'!$H$5:$H$2005,$A14,'Partner Transactions'!$A$5:$A$2005,"&gt;="&amp;ReportFrom,'Partner Transactions'!$A$5:$A$2005,"&lt;="&amp;ReportTo)+SUMIFS('Stock Moves'!$AL$5:$AL$2005,'Stock Moves'!$I$5:$I$2005,$A14,'Stock Moves'!$A$5:$A$2005,"&gt;="&amp;ReportFrom,'Stock Moves'!$A$5:$A$2005,"&lt;="&amp;ReportTo)+SUMIFS('Journal Vouchers'!$N$5:$N$2005,'Journal Vouchers'!$D$5:$D$2005,$A14,'Journal Vouchers'!$B$5:$B$2005,"&gt;="&amp;ReportFrom,'Journal Vouchers'!$B$5:$B$2005,"&lt;="&amp;ReportTo))</f>
        <v/>
      </c>
      <c r="D14" s="26">
        <f>IF(A14="",0,SUMIFS('Direct Costs'!$AG$5:$AG$2005,'Direct Costs'!$B$5:$B$2005,$A14,'Direct Costs'!$A$5:$A$2005,"&gt;="&amp;ReportFrom,'Direct Costs'!$A$5:$A$2005,"&lt;="&amp;ReportTo)+SUMIFS('Operating Expenses'!$AB$5:$AB$2005,'Operating Expenses'!$B$5:$B$2005,$A14,'Operating Expenses'!$A$5:$A$2005,"&gt;="&amp;ReportFrom,'Operating Expenses'!$A$5:$A$2005,"&lt;="&amp;ReportTo)+SUMIFS('Payroll'!$X$5:$X$2005,'Payroll'!$B$5:$B$2005,$A14,'Payroll'!$A$5:$A$2005,"&gt;="&amp;ReportFrom,'Payroll'!$A$5:$A$2005,"&lt;="&amp;ReportTo)+SUMIFS('Receipt Vouchers'!$X$5:$X$2005,'Receipt Vouchers'!$B$5:$B$2005,$A14,'Receipt Vouchers'!$A$5:$A$2005,"&gt;="&amp;ReportFrom,'Receipt Vouchers'!$A$5:$A$2005,"&lt;="&amp;ReportTo)+SUMIFS('Sales Invoices'!$Y$5:$Y$2005,'Sales Invoices'!$C$5:$C$2005,$A14,'Sales Invoices'!$B$5:$B$2005,"&gt;="&amp;ReportFrom,'Sales Invoices'!$B$5:$B$2005,"&lt;="&amp;ReportTo)+SUMIFS('Payment Vouchers'!$O$5:$O$2005,'Payment Vouchers'!$G$5:$G$2005,$A14,'Payment Vouchers'!$A$5:$A$2005,"&gt;="&amp;ReportFrom,'Payment Vouchers'!$A$5:$A$2005,"&lt;="&amp;ReportTo)+SUMIFS('Partner Transactions'!$Q$5:$Q$2005,'Partner Transactions'!$H$5:$H$2005,$A14,'Partner Transactions'!$A$5:$A$2005,"&gt;="&amp;ReportFrom,'Partner Transactions'!$A$5:$A$2005,"&lt;="&amp;ReportTo)+SUMIFS('Stock Moves'!$AM$5:$AM$2005,'Stock Moves'!$I$5:$I$2005,$A14,'Stock Moves'!$A$5:$A$2005,"&gt;="&amp;ReportFrom,'Stock Moves'!$A$5:$A$2005,"&lt;="&amp;ReportTo)+SUMIFS('Journal Vouchers'!$O$5:$O$2005,'Journal Vouchers'!$D$5:$D$2005,$A14,'Journal Vouchers'!$B$5:$B$2005,"&gt;="&amp;ReportFrom,'Journal Vouchers'!$B$5:$B$2005,"&lt;="&amp;ReportTo))</f>
        <v/>
      </c>
      <c r="E14" s="26">
        <f>IF(A14="",0,SUMIFS('Direct Costs'!$AH$5:$AH$2005,'Direct Costs'!$B$5:$B$2005,$A14,'Direct Costs'!$A$5:$A$2005,"&gt;="&amp;ReportFrom,'Direct Costs'!$A$5:$A$2005,"&lt;="&amp;ReportTo)+SUMIFS('Operating Expenses'!$AC$5:$AC$2005,'Operating Expenses'!$B$5:$B$2005,$A14,'Operating Expenses'!$A$5:$A$2005,"&gt;="&amp;ReportFrom,'Operating Expenses'!$A$5:$A$2005,"&lt;="&amp;ReportTo)+SUMIFS('Payroll'!$Y$5:$Y$2005,'Payroll'!$B$5:$B$2005,$A14,'Payroll'!$A$5:$A$2005,"&gt;="&amp;ReportFrom,'Payroll'!$A$5:$A$2005,"&lt;="&amp;ReportTo)+SUMIFS('Receipt Vouchers'!$Y$5:$Y$2005,'Receipt Vouchers'!$B$5:$B$2005,$A14,'Receipt Vouchers'!$A$5:$A$2005,"&gt;="&amp;ReportFrom,'Receipt Vouchers'!$A$5:$A$2005,"&lt;="&amp;ReportTo)+SUMIFS('Sales Invoices'!$Z$5:$Z$2005,'Sales Invoices'!$C$5:$C$2005,$A14,'Sales Invoices'!$B$5:$B$2005,"&gt;="&amp;ReportFrom,'Sales Invoices'!$B$5:$B$2005,"&lt;="&amp;ReportTo)+SUMIFS('Payment Vouchers'!$P$5:$P$2005,'Payment Vouchers'!$G$5:$G$2005,$A14,'Payment Vouchers'!$A$5:$A$2005,"&gt;="&amp;ReportFrom,'Payment Vouchers'!$A$5:$A$2005,"&lt;="&amp;ReportTo)+SUMIFS('Partner Transactions'!$R$5:$R$2005,'Partner Transactions'!$H$5:$H$2005,$A14,'Partner Transactions'!$A$5:$A$2005,"&gt;="&amp;ReportFrom,'Partner Transactions'!$A$5:$A$2005,"&lt;="&amp;ReportTo)+SUMIFS('Stock Moves'!$AN$5:$AN$2005,'Stock Moves'!$I$5:$I$2005,$A14,'Stock Moves'!$A$5:$A$2005,"&gt;="&amp;ReportFrom,'Stock Moves'!$A$5:$A$2005,"&lt;="&amp;ReportTo)+SUMIFS('Journal Vouchers'!$P$5:$P$2005,'Journal Vouchers'!$D$5:$D$2005,$A14,'Journal Vouchers'!$B$5:$B$2005,"&gt;="&amp;ReportFrom,'Journal Vouchers'!$B$5:$B$2005,"&lt;="&amp;ReportTo))</f>
        <v/>
      </c>
      <c r="F14" s="52">
        <f>IF(A14="","",N('Business Units'!K14))</f>
        <v/>
      </c>
      <c r="G14" s="26">
        <f>IF(A14="",0,$K$5*N(F14))</f>
        <v/>
      </c>
      <c r="H14" s="26">
        <f>C14-D14-E14-G14</f>
        <v/>
      </c>
      <c r="I14" s="52">
        <f>IFERROR(H14/C14,0)</f>
        <v/>
      </c>
    </row>
    <row r="15">
      <c r="A15" s="25">
        <f>IF('Business Units'!A15="","",'Business Units'!A15&amp;"")</f>
        <v/>
      </c>
      <c r="B15" s="25">
        <f>IF(A15="","",'Business Units'!B15)</f>
        <v/>
      </c>
      <c r="C15" s="26">
        <f>IF(A15="",0,SUMIFS('Direct Costs'!$AF$5:$AF$2005,'Direct Costs'!$B$5:$B$2005,$A15,'Direct Costs'!$A$5:$A$2005,"&gt;="&amp;ReportFrom,'Direct Costs'!$A$5:$A$2005,"&lt;="&amp;ReportTo)+SUMIFS('Operating Expenses'!$AA$5:$AA$2005,'Operating Expenses'!$B$5:$B$2005,$A15,'Operating Expenses'!$A$5:$A$2005,"&gt;="&amp;ReportFrom,'Operating Expenses'!$A$5:$A$2005,"&lt;="&amp;ReportTo)+SUMIFS('Payroll'!$W$5:$W$2005,'Payroll'!$B$5:$B$2005,$A15,'Payroll'!$A$5:$A$2005,"&gt;="&amp;ReportFrom,'Payroll'!$A$5:$A$2005,"&lt;="&amp;ReportTo)+SUMIFS('Receipt Vouchers'!$W$5:$W$2005,'Receipt Vouchers'!$B$5:$B$2005,$A15,'Receipt Vouchers'!$A$5:$A$2005,"&gt;="&amp;ReportFrom,'Receipt Vouchers'!$A$5:$A$2005,"&lt;="&amp;ReportTo)+SUMIFS('Sales Invoices'!$X$5:$X$2005,'Sales Invoices'!$C$5:$C$2005,$A15,'Sales Invoices'!$B$5:$B$2005,"&gt;="&amp;ReportFrom,'Sales Invoices'!$B$5:$B$2005,"&lt;="&amp;ReportTo)+SUMIFS('Payment Vouchers'!$N$5:$N$2005,'Payment Vouchers'!$G$5:$G$2005,$A15,'Payment Vouchers'!$A$5:$A$2005,"&gt;="&amp;ReportFrom,'Payment Vouchers'!$A$5:$A$2005,"&lt;="&amp;ReportTo)+SUMIFS('Partner Transactions'!$P$5:$P$2005,'Partner Transactions'!$H$5:$H$2005,$A15,'Partner Transactions'!$A$5:$A$2005,"&gt;="&amp;ReportFrom,'Partner Transactions'!$A$5:$A$2005,"&lt;="&amp;ReportTo)+SUMIFS('Stock Moves'!$AL$5:$AL$2005,'Stock Moves'!$I$5:$I$2005,$A15,'Stock Moves'!$A$5:$A$2005,"&gt;="&amp;ReportFrom,'Stock Moves'!$A$5:$A$2005,"&lt;="&amp;ReportTo)+SUMIFS('Journal Vouchers'!$N$5:$N$2005,'Journal Vouchers'!$D$5:$D$2005,$A15,'Journal Vouchers'!$B$5:$B$2005,"&gt;="&amp;ReportFrom,'Journal Vouchers'!$B$5:$B$2005,"&lt;="&amp;ReportTo))</f>
        <v/>
      </c>
      <c r="D15" s="26">
        <f>IF(A15="",0,SUMIFS('Direct Costs'!$AG$5:$AG$2005,'Direct Costs'!$B$5:$B$2005,$A15,'Direct Costs'!$A$5:$A$2005,"&gt;="&amp;ReportFrom,'Direct Costs'!$A$5:$A$2005,"&lt;="&amp;ReportTo)+SUMIFS('Operating Expenses'!$AB$5:$AB$2005,'Operating Expenses'!$B$5:$B$2005,$A15,'Operating Expenses'!$A$5:$A$2005,"&gt;="&amp;ReportFrom,'Operating Expenses'!$A$5:$A$2005,"&lt;="&amp;ReportTo)+SUMIFS('Payroll'!$X$5:$X$2005,'Payroll'!$B$5:$B$2005,$A15,'Payroll'!$A$5:$A$2005,"&gt;="&amp;ReportFrom,'Payroll'!$A$5:$A$2005,"&lt;="&amp;ReportTo)+SUMIFS('Receipt Vouchers'!$X$5:$X$2005,'Receipt Vouchers'!$B$5:$B$2005,$A15,'Receipt Vouchers'!$A$5:$A$2005,"&gt;="&amp;ReportFrom,'Receipt Vouchers'!$A$5:$A$2005,"&lt;="&amp;ReportTo)+SUMIFS('Sales Invoices'!$Y$5:$Y$2005,'Sales Invoices'!$C$5:$C$2005,$A15,'Sales Invoices'!$B$5:$B$2005,"&gt;="&amp;ReportFrom,'Sales Invoices'!$B$5:$B$2005,"&lt;="&amp;ReportTo)+SUMIFS('Payment Vouchers'!$O$5:$O$2005,'Payment Vouchers'!$G$5:$G$2005,$A15,'Payment Vouchers'!$A$5:$A$2005,"&gt;="&amp;ReportFrom,'Payment Vouchers'!$A$5:$A$2005,"&lt;="&amp;ReportTo)+SUMIFS('Partner Transactions'!$Q$5:$Q$2005,'Partner Transactions'!$H$5:$H$2005,$A15,'Partner Transactions'!$A$5:$A$2005,"&gt;="&amp;ReportFrom,'Partner Transactions'!$A$5:$A$2005,"&lt;="&amp;ReportTo)+SUMIFS('Stock Moves'!$AM$5:$AM$2005,'Stock Moves'!$I$5:$I$2005,$A15,'Stock Moves'!$A$5:$A$2005,"&gt;="&amp;ReportFrom,'Stock Moves'!$A$5:$A$2005,"&lt;="&amp;ReportTo)+SUMIFS('Journal Vouchers'!$O$5:$O$2005,'Journal Vouchers'!$D$5:$D$2005,$A15,'Journal Vouchers'!$B$5:$B$2005,"&gt;="&amp;ReportFrom,'Journal Vouchers'!$B$5:$B$2005,"&lt;="&amp;ReportTo))</f>
        <v/>
      </c>
      <c r="E15" s="26">
        <f>IF(A15="",0,SUMIFS('Direct Costs'!$AH$5:$AH$2005,'Direct Costs'!$B$5:$B$2005,$A15,'Direct Costs'!$A$5:$A$2005,"&gt;="&amp;ReportFrom,'Direct Costs'!$A$5:$A$2005,"&lt;="&amp;ReportTo)+SUMIFS('Operating Expenses'!$AC$5:$AC$2005,'Operating Expenses'!$B$5:$B$2005,$A15,'Operating Expenses'!$A$5:$A$2005,"&gt;="&amp;ReportFrom,'Operating Expenses'!$A$5:$A$2005,"&lt;="&amp;ReportTo)+SUMIFS('Payroll'!$Y$5:$Y$2005,'Payroll'!$B$5:$B$2005,$A15,'Payroll'!$A$5:$A$2005,"&gt;="&amp;ReportFrom,'Payroll'!$A$5:$A$2005,"&lt;="&amp;ReportTo)+SUMIFS('Receipt Vouchers'!$Y$5:$Y$2005,'Receipt Vouchers'!$B$5:$B$2005,$A15,'Receipt Vouchers'!$A$5:$A$2005,"&gt;="&amp;ReportFrom,'Receipt Vouchers'!$A$5:$A$2005,"&lt;="&amp;ReportTo)+SUMIFS('Sales Invoices'!$Z$5:$Z$2005,'Sales Invoices'!$C$5:$C$2005,$A15,'Sales Invoices'!$B$5:$B$2005,"&gt;="&amp;ReportFrom,'Sales Invoices'!$B$5:$B$2005,"&lt;="&amp;ReportTo)+SUMIFS('Payment Vouchers'!$P$5:$P$2005,'Payment Vouchers'!$G$5:$G$2005,$A15,'Payment Vouchers'!$A$5:$A$2005,"&gt;="&amp;ReportFrom,'Payment Vouchers'!$A$5:$A$2005,"&lt;="&amp;ReportTo)+SUMIFS('Partner Transactions'!$R$5:$R$2005,'Partner Transactions'!$H$5:$H$2005,$A15,'Partner Transactions'!$A$5:$A$2005,"&gt;="&amp;ReportFrom,'Partner Transactions'!$A$5:$A$2005,"&lt;="&amp;ReportTo)+SUMIFS('Stock Moves'!$AN$5:$AN$2005,'Stock Moves'!$I$5:$I$2005,$A15,'Stock Moves'!$A$5:$A$2005,"&gt;="&amp;ReportFrom,'Stock Moves'!$A$5:$A$2005,"&lt;="&amp;ReportTo)+SUMIFS('Journal Vouchers'!$P$5:$P$2005,'Journal Vouchers'!$D$5:$D$2005,$A15,'Journal Vouchers'!$B$5:$B$2005,"&gt;="&amp;ReportFrom,'Journal Vouchers'!$B$5:$B$2005,"&lt;="&amp;ReportTo))</f>
        <v/>
      </c>
      <c r="F15" s="52">
        <f>IF(A15="","",N('Business Units'!K15))</f>
        <v/>
      </c>
      <c r="G15" s="26">
        <f>IF(A15="",0,$K$5*N(F15))</f>
        <v/>
      </c>
      <c r="H15" s="26">
        <f>C15-D15-E15-G15</f>
        <v/>
      </c>
      <c r="I15" s="52">
        <f>IFERROR(H15/C15,0)</f>
        <v/>
      </c>
    </row>
    <row r="16">
      <c r="A16" s="25">
        <f>IF('Business Units'!A16="","",'Business Units'!A16&amp;"")</f>
        <v/>
      </c>
      <c r="B16" s="25">
        <f>IF(A16="","",'Business Units'!B16)</f>
        <v/>
      </c>
      <c r="C16" s="26">
        <f>IF(A16="",0,SUMIFS('Direct Costs'!$AF$5:$AF$2005,'Direct Costs'!$B$5:$B$2005,$A16,'Direct Costs'!$A$5:$A$2005,"&gt;="&amp;ReportFrom,'Direct Costs'!$A$5:$A$2005,"&lt;="&amp;ReportTo)+SUMIFS('Operating Expenses'!$AA$5:$AA$2005,'Operating Expenses'!$B$5:$B$2005,$A16,'Operating Expenses'!$A$5:$A$2005,"&gt;="&amp;ReportFrom,'Operating Expenses'!$A$5:$A$2005,"&lt;="&amp;ReportTo)+SUMIFS('Payroll'!$W$5:$W$2005,'Payroll'!$B$5:$B$2005,$A16,'Payroll'!$A$5:$A$2005,"&gt;="&amp;ReportFrom,'Payroll'!$A$5:$A$2005,"&lt;="&amp;ReportTo)+SUMIFS('Receipt Vouchers'!$W$5:$W$2005,'Receipt Vouchers'!$B$5:$B$2005,$A16,'Receipt Vouchers'!$A$5:$A$2005,"&gt;="&amp;ReportFrom,'Receipt Vouchers'!$A$5:$A$2005,"&lt;="&amp;ReportTo)+SUMIFS('Sales Invoices'!$X$5:$X$2005,'Sales Invoices'!$C$5:$C$2005,$A16,'Sales Invoices'!$B$5:$B$2005,"&gt;="&amp;ReportFrom,'Sales Invoices'!$B$5:$B$2005,"&lt;="&amp;ReportTo)+SUMIFS('Payment Vouchers'!$N$5:$N$2005,'Payment Vouchers'!$G$5:$G$2005,$A16,'Payment Vouchers'!$A$5:$A$2005,"&gt;="&amp;ReportFrom,'Payment Vouchers'!$A$5:$A$2005,"&lt;="&amp;ReportTo)+SUMIFS('Partner Transactions'!$P$5:$P$2005,'Partner Transactions'!$H$5:$H$2005,$A16,'Partner Transactions'!$A$5:$A$2005,"&gt;="&amp;ReportFrom,'Partner Transactions'!$A$5:$A$2005,"&lt;="&amp;ReportTo)+SUMIFS('Stock Moves'!$AL$5:$AL$2005,'Stock Moves'!$I$5:$I$2005,$A16,'Stock Moves'!$A$5:$A$2005,"&gt;="&amp;ReportFrom,'Stock Moves'!$A$5:$A$2005,"&lt;="&amp;ReportTo)+SUMIFS('Journal Vouchers'!$N$5:$N$2005,'Journal Vouchers'!$D$5:$D$2005,$A16,'Journal Vouchers'!$B$5:$B$2005,"&gt;="&amp;ReportFrom,'Journal Vouchers'!$B$5:$B$2005,"&lt;="&amp;ReportTo))</f>
        <v/>
      </c>
      <c r="D16" s="26">
        <f>IF(A16="",0,SUMIFS('Direct Costs'!$AG$5:$AG$2005,'Direct Costs'!$B$5:$B$2005,$A16,'Direct Costs'!$A$5:$A$2005,"&gt;="&amp;ReportFrom,'Direct Costs'!$A$5:$A$2005,"&lt;="&amp;ReportTo)+SUMIFS('Operating Expenses'!$AB$5:$AB$2005,'Operating Expenses'!$B$5:$B$2005,$A16,'Operating Expenses'!$A$5:$A$2005,"&gt;="&amp;ReportFrom,'Operating Expenses'!$A$5:$A$2005,"&lt;="&amp;ReportTo)+SUMIFS('Payroll'!$X$5:$X$2005,'Payroll'!$B$5:$B$2005,$A16,'Payroll'!$A$5:$A$2005,"&gt;="&amp;ReportFrom,'Payroll'!$A$5:$A$2005,"&lt;="&amp;ReportTo)+SUMIFS('Receipt Vouchers'!$X$5:$X$2005,'Receipt Vouchers'!$B$5:$B$2005,$A16,'Receipt Vouchers'!$A$5:$A$2005,"&gt;="&amp;ReportFrom,'Receipt Vouchers'!$A$5:$A$2005,"&lt;="&amp;ReportTo)+SUMIFS('Sales Invoices'!$Y$5:$Y$2005,'Sales Invoices'!$C$5:$C$2005,$A16,'Sales Invoices'!$B$5:$B$2005,"&gt;="&amp;ReportFrom,'Sales Invoices'!$B$5:$B$2005,"&lt;="&amp;ReportTo)+SUMIFS('Payment Vouchers'!$O$5:$O$2005,'Payment Vouchers'!$G$5:$G$2005,$A16,'Payment Vouchers'!$A$5:$A$2005,"&gt;="&amp;ReportFrom,'Payment Vouchers'!$A$5:$A$2005,"&lt;="&amp;ReportTo)+SUMIFS('Partner Transactions'!$Q$5:$Q$2005,'Partner Transactions'!$H$5:$H$2005,$A16,'Partner Transactions'!$A$5:$A$2005,"&gt;="&amp;ReportFrom,'Partner Transactions'!$A$5:$A$2005,"&lt;="&amp;ReportTo)+SUMIFS('Stock Moves'!$AM$5:$AM$2005,'Stock Moves'!$I$5:$I$2005,$A16,'Stock Moves'!$A$5:$A$2005,"&gt;="&amp;ReportFrom,'Stock Moves'!$A$5:$A$2005,"&lt;="&amp;ReportTo)+SUMIFS('Journal Vouchers'!$O$5:$O$2005,'Journal Vouchers'!$D$5:$D$2005,$A16,'Journal Vouchers'!$B$5:$B$2005,"&gt;="&amp;ReportFrom,'Journal Vouchers'!$B$5:$B$2005,"&lt;="&amp;ReportTo))</f>
        <v/>
      </c>
      <c r="E16" s="26">
        <f>IF(A16="",0,SUMIFS('Direct Costs'!$AH$5:$AH$2005,'Direct Costs'!$B$5:$B$2005,$A16,'Direct Costs'!$A$5:$A$2005,"&gt;="&amp;ReportFrom,'Direct Costs'!$A$5:$A$2005,"&lt;="&amp;ReportTo)+SUMIFS('Operating Expenses'!$AC$5:$AC$2005,'Operating Expenses'!$B$5:$B$2005,$A16,'Operating Expenses'!$A$5:$A$2005,"&gt;="&amp;ReportFrom,'Operating Expenses'!$A$5:$A$2005,"&lt;="&amp;ReportTo)+SUMIFS('Payroll'!$Y$5:$Y$2005,'Payroll'!$B$5:$B$2005,$A16,'Payroll'!$A$5:$A$2005,"&gt;="&amp;ReportFrom,'Payroll'!$A$5:$A$2005,"&lt;="&amp;ReportTo)+SUMIFS('Receipt Vouchers'!$Y$5:$Y$2005,'Receipt Vouchers'!$B$5:$B$2005,$A16,'Receipt Vouchers'!$A$5:$A$2005,"&gt;="&amp;ReportFrom,'Receipt Vouchers'!$A$5:$A$2005,"&lt;="&amp;ReportTo)+SUMIFS('Sales Invoices'!$Z$5:$Z$2005,'Sales Invoices'!$C$5:$C$2005,$A16,'Sales Invoices'!$B$5:$B$2005,"&gt;="&amp;ReportFrom,'Sales Invoices'!$B$5:$B$2005,"&lt;="&amp;ReportTo)+SUMIFS('Payment Vouchers'!$P$5:$P$2005,'Payment Vouchers'!$G$5:$G$2005,$A16,'Payment Vouchers'!$A$5:$A$2005,"&gt;="&amp;ReportFrom,'Payment Vouchers'!$A$5:$A$2005,"&lt;="&amp;ReportTo)+SUMIFS('Partner Transactions'!$R$5:$R$2005,'Partner Transactions'!$H$5:$H$2005,$A16,'Partner Transactions'!$A$5:$A$2005,"&gt;="&amp;ReportFrom,'Partner Transactions'!$A$5:$A$2005,"&lt;="&amp;ReportTo)+SUMIFS('Stock Moves'!$AN$5:$AN$2005,'Stock Moves'!$I$5:$I$2005,$A16,'Stock Moves'!$A$5:$A$2005,"&gt;="&amp;ReportFrom,'Stock Moves'!$A$5:$A$2005,"&lt;="&amp;ReportTo)+SUMIFS('Journal Vouchers'!$P$5:$P$2005,'Journal Vouchers'!$D$5:$D$2005,$A16,'Journal Vouchers'!$B$5:$B$2005,"&gt;="&amp;ReportFrom,'Journal Vouchers'!$B$5:$B$2005,"&lt;="&amp;ReportTo))</f>
        <v/>
      </c>
      <c r="F16" s="52">
        <f>IF(A16="","",N('Business Units'!K16))</f>
        <v/>
      </c>
      <c r="G16" s="26">
        <f>IF(A16="",0,$K$5*N(F16))</f>
        <v/>
      </c>
      <c r="H16" s="26">
        <f>C16-D16-E16-G16</f>
        <v/>
      </c>
      <c r="I16" s="52">
        <f>IFERROR(H16/C16,0)</f>
        <v/>
      </c>
    </row>
    <row r="17">
      <c r="A17" s="25">
        <f>IF('Business Units'!A17="","",'Business Units'!A17&amp;"")</f>
        <v/>
      </c>
      <c r="B17" s="25">
        <f>IF(A17="","",'Business Units'!B17)</f>
        <v/>
      </c>
      <c r="C17" s="26">
        <f>IF(A17="",0,SUMIFS('Direct Costs'!$AF$5:$AF$2005,'Direct Costs'!$B$5:$B$2005,$A17,'Direct Costs'!$A$5:$A$2005,"&gt;="&amp;ReportFrom,'Direct Costs'!$A$5:$A$2005,"&lt;="&amp;ReportTo)+SUMIFS('Operating Expenses'!$AA$5:$AA$2005,'Operating Expenses'!$B$5:$B$2005,$A17,'Operating Expenses'!$A$5:$A$2005,"&gt;="&amp;ReportFrom,'Operating Expenses'!$A$5:$A$2005,"&lt;="&amp;ReportTo)+SUMIFS('Payroll'!$W$5:$W$2005,'Payroll'!$B$5:$B$2005,$A17,'Payroll'!$A$5:$A$2005,"&gt;="&amp;ReportFrom,'Payroll'!$A$5:$A$2005,"&lt;="&amp;ReportTo)+SUMIFS('Receipt Vouchers'!$W$5:$W$2005,'Receipt Vouchers'!$B$5:$B$2005,$A17,'Receipt Vouchers'!$A$5:$A$2005,"&gt;="&amp;ReportFrom,'Receipt Vouchers'!$A$5:$A$2005,"&lt;="&amp;ReportTo)+SUMIFS('Sales Invoices'!$X$5:$X$2005,'Sales Invoices'!$C$5:$C$2005,$A17,'Sales Invoices'!$B$5:$B$2005,"&gt;="&amp;ReportFrom,'Sales Invoices'!$B$5:$B$2005,"&lt;="&amp;ReportTo)+SUMIFS('Payment Vouchers'!$N$5:$N$2005,'Payment Vouchers'!$G$5:$G$2005,$A17,'Payment Vouchers'!$A$5:$A$2005,"&gt;="&amp;ReportFrom,'Payment Vouchers'!$A$5:$A$2005,"&lt;="&amp;ReportTo)+SUMIFS('Partner Transactions'!$P$5:$P$2005,'Partner Transactions'!$H$5:$H$2005,$A17,'Partner Transactions'!$A$5:$A$2005,"&gt;="&amp;ReportFrom,'Partner Transactions'!$A$5:$A$2005,"&lt;="&amp;ReportTo)+SUMIFS('Stock Moves'!$AL$5:$AL$2005,'Stock Moves'!$I$5:$I$2005,$A17,'Stock Moves'!$A$5:$A$2005,"&gt;="&amp;ReportFrom,'Stock Moves'!$A$5:$A$2005,"&lt;="&amp;ReportTo)+SUMIFS('Journal Vouchers'!$N$5:$N$2005,'Journal Vouchers'!$D$5:$D$2005,$A17,'Journal Vouchers'!$B$5:$B$2005,"&gt;="&amp;ReportFrom,'Journal Vouchers'!$B$5:$B$2005,"&lt;="&amp;ReportTo))</f>
        <v/>
      </c>
      <c r="D17" s="26">
        <f>IF(A17="",0,SUMIFS('Direct Costs'!$AG$5:$AG$2005,'Direct Costs'!$B$5:$B$2005,$A17,'Direct Costs'!$A$5:$A$2005,"&gt;="&amp;ReportFrom,'Direct Costs'!$A$5:$A$2005,"&lt;="&amp;ReportTo)+SUMIFS('Operating Expenses'!$AB$5:$AB$2005,'Operating Expenses'!$B$5:$B$2005,$A17,'Operating Expenses'!$A$5:$A$2005,"&gt;="&amp;ReportFrom,'Operating Expenses'!$A$5:$A$2005,"&lt;="&amp;ReportTo)+SUMIFS('Payroll'!$X$5:$X$2005,'Payroll'!$B$5:$B$2005,$A17,'Payroll'!$A$5:$A$2005,"&gt;="&amp;ReportFrom,'Payroll'!$A$5:$A$2005,"&lt;="&amp;ReportTo)+SUMIFS('Receipt Vouchers'!$X$5:$X$2005,'Receipt Vouchers'!$B$5:$B$2005,$A17,'Receipt Vouchers'!$A$5:$A$2005,"&gt;="&amp;ReportFrom,'Receipt Vouchers'!$A$5:$A$2005,"&lt;="&amp;ReportTo)+SUMIFS('Sales Invoices'!$Y$5:$Y$2005,'Sales Invoices'!$C$5:$C$2005,$A17,'Sales Invoices'!$B$5:$B$2005,"&gt;="&amp;ReportFrom,'Sales Invoices'!$B$5:$B$2005,"&lt;="&amp;ReportTo)+SUMIFS('Payment Vouchers'!$O$5:$O$2005,'Payment Vouchers'!$G$5:$G$2005,$A17,'Payment Vouchers'!$A$5:$A$2005,"&gt;="&amp;ReportFrom,'Payment Vouchers'!$A$5:$A$2005,"&lt;="&amp;ReportTo)+SUMIFS('Partner Transactions'!$Q$5:$Q$2005,'Partner Transactions'!$H$5:$H$2005,$A17,'Partner Transactions'!$A$5:$A$2005,"&gt;="&amp;ReportFrom,'Partner Transactions'!$A$5:$A$2005,"&lt;="&amp;ReportTo)+SUMIFS('Stock Moves'!$AM$5:$AM$2005,'Stock Moves'!$I$5:$I$2005,$A17,'Stock Moves'!$A$5:$A$2005,"&gt;="&amp;ReportFrom,'Stock Moves'!$A$5:$A$2005,"&lt;="&amp;ReportTo)+SUMIFS('Journal Vouchers'!$O$5:$O$2005,'Journal Vouchers'!$D$5:$D$2005,$A17,'Journal Vouchers'!$B$5:$B$2005,"&gt;="&amp;ReportFrom,'Journal Vouchers'!$B$5:$B$2005,"&lt;="&amp;ReportTo))</f>
        <v/>
      </c>
      <c r="E17" s="26">
        <f>IF(A17="",0,SUMIFS('Direct Costs'!$AH$5:$AH$2005,'Direct Costs'!$B$5:$B$2005,$A17,'Direct Costs'!$A$5:$A$2005,"&gt;="&amp;ReportFrom,'Direct Costs'!$A$5:$A$2005,"&lt;="&amp;ReportTo)+SUMIFS('Operating Expenses'!$AC$5:$AC$2005,'Operating Expenses'!$B$5:$B$2005,$A17,'Operating Expenses'!$A$5:$A$2005,"&gt;="&amp;ReportFrom,'Operating Expenses'!$A$5:$A$2005,"&lt;="&amp;ReportTo)+SUMIFS('Payroll'!$Y$5:$Y$2005,'Payroll'!$B$5:$B$2005,$A17,'Payroll'!$A$5:$A$2005,"&gt;="&amp;ReportFrom,'Payroll'!$A$5:$A$2005,"&lt;="&amp;ReportTo)+SUMIFS('Receipt Vouchers'!$Y$5:$Y$2005,'Receipt Vouchers'!$B$5:$B$2005,$A17,'Receipt Vouchers'!$A$5:$A$2005,"&gt;="&amp;ReportFrom,'Receipt Vouchers'!$A$5:$A$2005,"&lt;="&amp;ReportTo)+SUMIFS('Sales Invoices'!$Z$5:$Z$2005,'Sales Invoices'!$C$5:$C$2005,$A17,'Sales Invoices'!$B$5:$B$2005,"&gt;="&amp;ReportFrom,'Sales Invoices'!$B$5:$B$2005,"&lt;="&amp;ReportTo)+SUMIFS('Payment Vouchers'!$P$5:$P$2005,'Payment Vouchers'!$G$5:$G$2005,$A17,'Payment Vouchers'!$A$5:$A$2005,"&gt;="&amp;ReportFrom,'Payment Vouchers'!$A$5:$A$2005,"&lt;="&amp;ReportTo)+SUMIFS('Partner Transactions'!$R$5:$R$2005,'Partner Transactions'!$H$5:$H$2005,$A17,'Partner Transactions'!$A$5:$A$2005,"&gt;="&amp;ReportFrom,'Partner Transactions'!$A$5:$A$2005,"&lt;="&amp;ReportTo)+SUMIFS('Stock Moves'!$AN$5:$AN$2005,'Stock Moves'!$I$5:$I$2005,$A17,'Stock Moves'!$A$5:$A$2005,"&gt;="&amp;ReportFrom,'Stock Moves'!$A$5:$A$2005,"&lt;="&amp;ReportTo)+SUMIFS('Journal Vouchers'!$P$5:$P$2005,'Journal Vouchers'!$D$5:$D$2005,$A17,'Journal Vouchers'!$B$5:$B$2005,"&gt;="&amp;ReportFrom,'Journal Vouchers'!$B$5:$B$2005,"&lt;="&amp;ReportTo))</f>
        <v/>
      </c>
      <c r="F17" s="52">
        <f>IF(A17="","",N('Business Units'!K17))</f>
        <v/>
      </c>
      <c r="G17" s="26">
        <f>IF(A17="",0,$K$5*N(F17))</f>
        <v/>
      </c>
      <c r="H17" s="26">
        <f>C17-D17-E17-G17</f>
        <v/>
      </c>
      <c r="I17" s="52">
        <f>IFERROR(H17/C17,0)</f>
        <v/>
      </c>
    </row>
    <row r="18">
      <c r="A18" s="25">
        <f>IF('Business Units'!A18="","",'Business Units'!A18&amp;"")</f>
        <v/>
      </c>
      <c r="B18" s="25">
        <f>IF(A18="","",'Business Units'!B18)</f>
        <v/>
      </c>
      <c r="C18" s="26">
        <f>IF(A18="",0,SUMIFS('Direct Costs'!$AF$5:$AF$2005,'Direct Costs'!$B$5:$B$2005,$A18,'Direct Costs'!$A$5:$A$2005,"&gt;="&amp;ReportFrom,'Direct Costs'!$A$5:$A$2005,"&lt;="&amp;ReportTo)+SUMIFS('Operating Expenses'!$AA$5:$AA$2005,'Operating Expenses'!$B$5:$B$2005,$A18,'Operating Expenses'!$A$5:$A$2005,"&gt;="&amp;ReportFrom,'Operating Expenses'!$A$5:$A$2005,"&lt;="&amp;ReportTo)+SUMIFS('Payroll'!$W$5:$W$2005,'Payroll'!$B$5:$B$2005,$A18,'Payroll'!$A$5:$A$2005,"&gt;="&amp;ReportFrom,'Payroll'!$A$5:$A$2005,"&lt;="&amp;ReportTo)+SUMIFS('Receipt Vouchers'!$W$5:$W$2005,'Receipt Vouchers'!$B$5:$B$2005,$A18,'Receipt Vouchers'!$A$5:$A$2005,"&gt;="&amp;ReportFrom,'Receipt Vouchers'!$A$5:$A$2005,"&lt;="&amp;ReportTo)+SUMIFS('Sales Invoices'!$X$5:$X$2005,'Sales Invoices'!$C$5:$C$2005,$A18,'Sales Invoices'!$B$5:$B$2005,"&gt;="&amp;ReportFrom,'Sales Invoices'!$B$5:$B$2005,"&lt;="&amp;ReportTo)+SUMIFS('Payment Vouchers'!$N$5:$N$2005,'Payment Vouchers'!$G$5:$G$2005,$A18,'Payment Vouchers'!$A$5:$A$2005,"&gt;="&amp;ReportFrom,'Payment Vouchers'!$A$5:$A$2005,"&lt;="&amp;ReportTo)+SUMIFS('Partner Transactions'!$P$5:$P$2005,'Partner Transactions'!$H$5:$H$2005,$A18,'Partner Transactions'!$A$5:$A$2005,"&gt;="&amp;ReportFrom,'Partner Transactions'!$A$5:$A$2005,"&lt;="&amp;ReportTo)+SUMIFS('Stock Moves'!$AL$5:$AL$2005,'Stock Moves'!$I$5:$I$2005,$A18,'Stock Moves'!$A$5:$A$2005,"&gt;="&amp;ReportFrom,'Stock Moves'!$A$5:$A$2005,"&lt;="&amp;ReportTo)+SUMIFS('Journal Vouchers'!$N$5:$N$2005,'Journal Vouchers'!$D$5:$D$2005,$A18,'Journal Vouchers'!$B$5:$B$2005,"&gt;="&amp;ReportFrom,'Journal Vouchers'!$B$5:$B$2005,"&lt;="&amp;ReportTo))</f>
        <v/>
      </c>
      <c r="D18" s="26">
        <f>IF(A18="",0,SUMIFS('Direct Costs'!$AG$5:$AG$2005,'Direct Costs'!$B$5:$B$2005,$A18,'Direct Costs'!$A$5:$A$2005,"&gt;="&amp;ReportFrom,'Direct Costs'!$A$5:$A$2005,"&lt;="&amp;ReportTo)+SUMIFS('Operating Expenses'!$AB$5:$AB$2005,'Operating Expenses'!$B$5:$B$2005,$A18,'Operating Expenses'!$A$5:$A$2005,"&gt;="&amp;ReportFrom,'Operating Expenses'!$A$5:$A$2005,"&lt;="&amp;ReportTo)+SUMIFS('Payroll'!$X$5:$X$2005,'Payroll'!$B$5:$B$2005,$A18,'Payroll'!$A$5:$A$2005,"&gt;="&amp;ReportFrom,'Payroll'!$A$5:$A$2005,"&lt;="&amp;ReportTo)+SUMIFS('Receipt Vouchers'!$X$5:$X$2005,'Receipt Vouchers'!$B$5:$B$2005,$A18,'Receipt Vouchers'!$A$5:$A$2005,"&gt;="&amp;ReportFrom,'Receipt Vouchers'!$A$5:$A$2005,"&lt;="&amp;ReportTo)+SUMIFS('Sales Invoices'!$Y$5:$Y$2005,'Sales Invoices'!$C$5:$C$2005,$A18,'Sales Invoices'!$B$5:$B$2005,"&gt;="&amp;ReportFrom,'Sales Invoices'!$B$5:$B$2005,"&lt;="&amp;ReportTo)+SUMIFS('Payment Vouchers'!$O$5:$O$2005,'Payment Vouchers'!$G$5:$G$2005,$A18,'Payment Vouchers'!$A$5:$A$2005,"&gt;="&amp;ReportFrom,'Payment Vouchers'!$A$5:$A$2005,"&lt;="&amp;ReportTo)+SUMIFS('Partner Transactions'!$Q$5:$Q$2005,'Partner Transactions'!$H$5:$H$2005,$A18,'Partner Transactions'!$A$5:$A$2005,"&gt;="&amp;ReportFrom,'Partner Transactions'!$A$5:$A$2005,"&lt;="&amp;ReportTo)+SUMIFS('Stock Moves'!$AM$5:$AM$2005,'Stock Moves'!$I$5:$I$2005,$A18,'Stock Moves'!$A$5:$A$2005,"&gt;="&amp;ReportFrom,'Stock Moves'!$A$5:$A$2005,"&lt;="&amp;ReportTo)+SUMIFS('Journal Vouchers'!$O$5:$O$2005,'Journal Vouchers'!$D$5:$D$2005,$A18,'Journal Vouchers'!$B$5:$B$2005,"&gt;="&amp;ReportFrom,'Journal Vouchers'!$B$5:$B$2005,"&lt;="&amp;ReportTo))</f>
        <v/>
      </c>
      <c r="E18" s="26">
        <f>IF(A18="",0,SUMIFS('Direct Costs'!$AH$5:$AH$2005,'Direct Costs'!$B$5:$B$2005,$A18,'Direct Costs'!$A$5:$A$2005,"&gt;="&amp;ReportFrom,'Direct Costs'!$A$5:$A$2005,"&lt;="&amp;ReportTo)+SUMIFS('Operating Expenses'!$AC$5:$AC$2005,'Operating Expenses'!$B$5:$B$2005,$A18,'Operating Expenses'!$A$5:$A$2005,"&gt;="&amp;ReportFrom,'Operating Expenses'!$A$5:$A$2005,"&lt;="&amp;ReportTo)+SUMIFS('Payroll'!$Y$5:$Y$2005,'Payroll'!$B$5:$B$2005,$A18,'Payroll'!$A$5:$A$2005,"&gt;="&amp;ReportFrom,'Payroll'!$A$5:$A$2005,"&lt;="&amp;ReportTo)+SUMIFS('Receipt Vouchers'!$Y$5:$Y$2005,'Receipt Vouchers'!$B$5:$B$2005,$A18,'Receipt Vouchers'!$A$5:$A$2005,"&gt;="&amp;ReportFrom,'Receipt Vouchers'!$A$5:$A$2005,"&lt;="&amp;ReportTo)+SUMIFS('Sales Invoices'!$Z$5:$Z$2005,'Sales Invoices'!$C$5:$C$2005,$A18,'Sales Invoices'!$B$5:$B$2005,"&gt;="&amp;ReportFrom,'Sales Invoices'!$B$5:$B$2005,"&lt;="&amp;ReportTo)+SUMIFS('Payment Vouchers'!$P$5:$P$2005,'Payment Vouchers'!$G$5:$G$2005,$A18,'Payment Vouchers'!$A$5:$A$2005,"&gt;="&amp;ReportFrom,'Payment Vouchers'!$A$5:$A$2005,"&lt;="&amp;ReportTo)+SUMIFS('Partner Transactions'!$R$5:$R$2005,'Partner Transactions'!$H$5:$H$2005,$A18,'Partner Transactions'!$A$5:$A$2005,"&gt;="&amp;ReportFrom,'Partner Transactions'!$A$5:$A$2005,"&lt;="&amp;ReportTo)+SUMIFS('Stock Moves'!$AN$5:$AN$2005,'Stock Moves'!$I$5:$I$2005,$A18,'Stock Moves'!$A$5:$A$2005,"&gt;="&amp;ReportFrom,'Stock Moves'!$A$5:$A$2005,"&lt;="&amp;ReportTo)+SUMIFS('Journal Vouchers'!$P$5:$P$2005,'Journal Vouchers'!$D$5:$D$2005,$A18,'Journal Vouchers'!$B$5:$B$2005,"&gt;="&amp;ReportFrom,'Journal Vouchers'!$B$5:$B$2005,"&lt;="&amp;ReportTo))</f>
        <v/>
      </c>
      <c r="F18" s="52">
        <f>IF(A18="","",N('Business Units'!K18))</f>
        <v/>
      </c>
      <c r="G18" s="26">
        <f>IF(A18="",0,$K$5*N(F18))</f>
        <v/>
      </c>
      <c r="H18" s="26">
        <f>C18-D18-E18-G18</f>
        <v/>
      </c>
      <c r="I18" s="52">
        <f>IFERROR(H18/C18,0)</f>
        <v/>
      </c>
    </row>
    <row r="19">
      <c r="A19" s="25">
        <f>IF('Business Units'!A19="","",'Business Units'!A19&amp;"")</f>
        <v/>
      </c>
      <c r="B19" s="25">
        <f>IF(A19="","",'Business Units'!B19)</f>
        <v/>
      </c>
      <c r="C19" s="26">
        <f>IF(A19="",0,SUMIFS('Direct Costs'!$AF$5:$AF$2005,'Direct Costs'!$B$5:$B$2005,$A19,'Direct Costs'!$A$5:$A$2005,"&gt;="&amp;ReportFrom,'Direct Costs'!$A$5:$A$2005,"&lt;="&amp;ReportTo)+SUMIFS('Operating Expenses'!$AA$5:$AA$2005,'Operating Expenses'!$B$5:$B$2005,$A19,'Operating Expenses'!$A$5:$A$2005,"&gt;="&amp;ReportFrom,'Operating Expenses'!$A$5:$A$2005,"&lt;="&amp;ReportTo)+SUMIFS('Payroll'!$W$5:$W$2005,'Payroll'!$B$5:$B$2005,$A19,'Payroll'!$A$5:$A$2005,"&gt;="&amp;ReportFrom,'Payroll'!$A$5:$A$2005,"&lt;="&amp;ReportTo)+SUMIFS('Receipt Vouchers'!$W$5:$W$2005,'Receipt Vouchers'!$B$5:$B$2005,$A19,'Receipt Vouchers'!$A$5:$A$2005,"&gt;="&amp;ReportFrom,'Receipt Vouchers'!$A$5:$A$2005,"&lt;="&amp;ReportTo)+SUMIFS('Sales Invoices'!$X$5:$X$2005,'Sales Invoices'!$C$5:$C$2005,$A19,'Sales Invoices'!$B$5:$B$2005,"&gt;="&amp;ReportFrom,'Sales Invoices'!$B$5:$B$2005,"&lt;="&amp;ReportTo)+SUMIFS('Payment Vouchers'!$N$5:$N$2005,'Payment Vouchers'!$G$5:$G$2005,$A19,'Payment Vouchers'!$A$5:$A$2005,"&gt;="&amp;ReportFrom,'Payment Vouchers'!$A$5:$A$2005,"&lt;="&amp;ReportTo)+SUMIFS('Partner Transactions'!$P$5:$P$2005,'Partner Transactions'!$H$5:$H$2005,$A19,'Partner Transactions'!$A$5:$A$2005,"&gt;="&amp;ReportFrom,'Partner Transactions'!$A$5:$A$2005,"&lt;="&amp;ReportTo)+SUMIFS('Stock Moves'!$AL$5:$AL$2005,'Stock Moves'!$I$5:$I$2005,$A19,'Stock Moves'!$A$5:$A$2005,"&gt;="&amp;ReportFrom,'Stock Moves'!$A$5:$A$2005,"&lt;="&amp;ReportTo)+SUMIFS('Journal Vouchers'!$N$5:$N$2005,'Journal Vouchers'!$D$5:$D$2005,$A19,'Journal Vouchers'!$B$5:$B$2005,"&gt;="&amp;ReportFrom,'Journal Vouchers'!$B$5:$B$2005,"&lt;="&amp;ReportTo))</f>
        <v/>
      </c>
      <c r="D19" s="26">
        <f>IF(A19="",0,SUMIFS('Direct Costs'!$AG$5:$AG$2005,'Direct Costs'!$B$5:$B$2005,$A19,'Direct Costs'!$A$5:$A$2005,"&gt;="&amp;ReportFrom,'Direct Costs'!$A$5:$A$2005,"&lt;="&amp;ReportTo)+SUMIFS('Operating Expenses'!$AB$5:$AB$2005,'Operating Expenses'!$B$5:$B$2005,$A19,'Operating Expenses'!$A$5:$A$2005,"&gt;="&amp;ReportFrom,'Operating Expenses'!$A$5:$A$2005,"&lt;="&amp;ReportTo)+SUMIFS('Payroll'!$X$5:$X$2005,'Payroll'!$B$5:$B$2005,$A19,'Payroll'!$A$5:$A$2005,"&gt;="&amp;ReportFrom,'Payroll'!$A$5:$A$2005,"&lt;="&amp;ReportTo)+SUMIFS('Receipt Vouchers'!$X$5:$X$2005,'Receipt Vouchers'!$B$5:$B$2005,$A19,'Receipt Vouchers'!$A$5:$A$2005,"&gt;="&amp;ReportFrom,'Receipt Vouchers'!$A$5:$A$2005,"&lt;="&amp;ReportTo)+SUMIFS('Sales Invoices'!$Y$5:$Y$2005,'Sales Invoices'!$C$5:$C$2005,$A19,'Sales Invoices'!$B$5:$B$2005,"&gt;="&amp;ReportFrom,'Sales Invoices'!$B$5:$B$2005,"&lt;="&amp;ReportTo)+SUMIFS('Payment Vouchers'!$O$5:$O$2005,'Payment Vouchers'!$G$5:$G$2005,$A19,'Payment Vouchers'!$A$5:$A$2005,"&gt;="&amp;ReportFrom,'Payment Vouchers'!$A$5:$A$2005,"&lt;="&amp;ReportTo)+SUMIFS('Partner Transactions'!$Q$5:$Q$2005,'Partner Transactions'!$H$5:$H$2005,$A19,'Partner Transactions'!$A$5:$A$2005,"&gt;="&amp;ReportFrom,'Partner Transactions'!$A$5:$A$2005,"&lt;="&amp;ReportTo)+SUMIFS('Stock Moves'!$AM$5:$AM$2005,'Stock Moves'!$I$5:$I$2005,$A19,'Stock Moves'!$A$5:$A$2005,"&gt;="&amp;ReportFrom,'Stock Moves'!$A$5:$A$2005,"&lt;="&amp;ReportTo)+SUMIFS('Journal Vouchers'!$O$5:$O$2005,'Journal Vouchers'!$D$5:$D$2005,$A19,'Journal Vouchers'!$B$5:$B$2005,"&gt;="&amp;ReportFrom,'Journal Vouchers'!$B$5:$B$2005,"&lt;="&amp;ReportTo))</f>
        <v/>
      </c>
      <c r="E19" s="26">
        <f>IF(A19="",0,SUMIFS('Direct Costs'!$AH$5:$AH$2005,'Direct Costs'!$B$5:$B$2005,$A19,'Direct Costs'!$A$5:$A$2005,"&gt;="&amp;ReportFrom,'Direct Costs'!$A$5:$A$2005,"&lt;="&amp;ReportTo)+SUMIFS('Operating Expenses'!$AC$5:$AC$2005,'Operating Expenses'!$B$5:$B$2005,$A19,'Operating Expenses'!$A$5:$A$2005,"&gt;="&amp;ReportFrom,'Operating Expenses'!$A$5:$A$2005,"&lt;="&amp;ReportTo)+SUMIFS('Payroll'!$Y$5:$Y$2005,'Payroll'!$B$5:$B$2005,$A19,'Payroll'!$A$5:$A$2005,"&gt;="&amp;ReportFrom,'Payroll'!$A$5:$A$2005,"&lt;="&amp;ReportTo)+SUMIFS('Receipt Vouchers'!$Y$5:$Y$2005,'Receipt Vouchers'!$B$5:$B$2005,$A19,'Receipt Vouchers'!$A$5:$A$2005,"&gt;="&amp;ReportFrom,'Receipt Vouchers'!$A$5:$A$2005,"&lt;="&amp;ReportTo)+SUMIFS('Sales Invoices'!$Z$5:$Z$2005,'Sales Invoices'!$C$5:$C$2005,$A19,'Sales Invoices'!$B$5:$B$2005,"&gt;="&amp;ReportFrom,'Sales Invoices'!$B$5:$B$2005,"&lt;="&amp;ReportTo)+SUMIFS('Payment Vouchers'!$P$5:$P$2005,'Payment Vouchers'!$G$5:$G$2005,$A19,'Payment Vouchers'!$A$5:$A$2005,"&gt;="&amp;ReportFrom,'Payment Vouchers'!$A$5:$A$2005,"&lt;="&amp;ReportTo)+SUMIFS('Partner Transactions'!$R$5:$R$2005,'Partner Transactions'!$H$5:$H$2005,$A19,'Partner Transactions'!$A$5:$A$2005,"&gt;="&amp;ReportFrom,'Partner Transactions'!$A$5:$A$2005,"&lt;="&amp;ReportTo)+SUMIFS('Stock Moves'!$AN$5:$AN$2005,'Stock Moves'!$I$5:$I$2005,$A19,'Stock Moves'!$A$5:$A$2005,"&gt;="&amp;ReportFrom,'Stock Moves'!$A$5:$A$2005,"&lt;="&amp;ReportTo)+SUMIFS('Journal Vouchers'!$P$5:$P$2005,'Journal Vouchers'!$D$5:$D$2005,$A19,'Journal Vouchers'!$B$5:$B$2005,"&gt;="&amp;ReportFrom,'Journal Vouchers'!$B$5:$B$2005,"&lt;="&amp;ReportTo))</f>
        <v/>
      </c>
      <c r="F19" s="52">
        <f>IF(A19="","",N('Business Units'!K19))</f>
        <v/>
      </c>
      <c r="G19" s="26">
        <f>IF(A19="",0,$K$5*N(F19))</f>
        <v/>
      </c>
      <c r="H19" s="26">
        <f>C19-D19-E19-G19</f>
        <v/>
      </c>
      <c r="I19" s="52">
        <f>IFERROR(H19/C19,0)</f>
        <v/>
      </c>
    </row>
    <row r="20">
      <c r="A20" s="25">
        <f>IF('Business Units'!A20="","",'Business Units'!A20&amp;"")</f>
        <v/>
      </c>
      <c r="B20" s="25">
        <f>IF(A20="","",'Business Units'!B20)</f>
        <v/>
      </c>
      <c r="C20" s="26">
        <f>IF(A20="",0,SUMIFS('Direct Costs'!$AF$5:$AF$2005,'Direct Costs'!$B$5:$B$2005,$A20,'Direct Costs'!$A$5:$A$2005,"&gt;="&amp;ReportFrom,'Direct Costs'!$A$5:$A$2005,"&lt;="&amp;ReportTo)+SUMIFS('Operating Expenses'!$AA$5:$AA$2005,'Operating Expenses'!$B$5:$B$2005,$A20,'Operating Expenses'!$A$5:$A$2005,"&gt;="&amp;ReportFrom,'Operating Expenses'!$A$5:$A$2005,"&lt;="&amp;ReportTo)+SUMIFS('Payroll'!$W$5:$W$2005,'Payroll'!$B$5:$B$2005,$A20,'Payroll'!$A$5:$A$2005,"&gt;="&amp;ReportFrom,'Payroll'!$A$5:$A$2005,"&lt;="&amp;ReportTo)+SUMIFS('Receipt Vouchers'!$W$5:$W$2005,'Receipt Vouchers'!$B$5:$B$2005,$A20,'Receipt Vouchers'!$A$5:$A$2005,"&gt;="&amp;ReportFrom,'Receipt Vouchers'!$A$5:$A$2005,"&lt;="&amp;ReportTo)+SUMIFS('Sales Invoices'!$X$5:$X$2005,'Sales Invoices'!$C$5:$C$2005,$A20,'Sales Invoices'!$B$5:$B$2005,"&gt;="&amp;ReportFrom,'Sales Invoices'!$B$5:$B$2005,"&lt;="&amp;ReportTo)+SUMIFS('Payment Vouchers'!$N$5:$N$2005,'Payment Vouchers'!$G$5:$G$2005,$A20,'Payment Vouchers'!$A$5:$A$2005,"&gt;="&amp;ReportFrom,'Payment Vouchers'!$A$5:$A$2005,"&lt;="&amp;ReportTo)+SUMIFS('Partner Transactions'!$P$5:$P$2005,'Partner Transactions'!$H$5:$H$2005,$A20,'Partner Transactions'!$A$5:$A$2005,"&gt;="&amp;ReportFrom,'Partner Transactions'!$A$5:$A$2005,"&lt;="&amp;ReportTo)+SUMIFS('Stock Moves'!$AL$5:$AL$2005,'Stock Moves'!$I$5:$I$2005,$A20,'Stock Moves'!$A$5:$A$2005,"&gt;="&amp;ReportFrom,'Stock Moves'!$A$5:$A$2005,"&lt;="&amp;ReportTo)+SUMIFS('Journal Vouchers'!$N$5:$N$2005,'Journal Vouchers'!$D$5:$D$2005,$A20,'Journal Vouchers'!$B$5:$B$2005,"&gt;="&amp;ReportFrom,'Journal Vouchers'!$B$5:$B$2005,"&lt;="&amp;ReportTo))</f>
        <v/>
      </c>
      <c r="D20" s="26">
        <f>IF(A20="",0,SUMIFS('Direct Costs'!$AG$5:$AG$2005,'Direct Costs'!$B$5:$B$2005,$A20,'Direct Costs'!$A$5:$A$2005,"&gt;="&amp;ReportFrom,'Direct Costs'!$A$5:$A$2005,"&lt;="&amp;ReportTo)+SUMIFS('Operating Expenses'!$AB$5:$AB$2005,'Operating Expenses'!$B$5:$B$2005,$A20,'Operating Expenses'!$A$5:$A$2005,"&gt;="&amp;ReportFrom,'Operating Expenses'!$A$5:$A$2005,"&lt;="&amp;ReportTo)+SUMIFS('Payroll'!$X$5:$X$2005,'Payroll'!$B$5:$B$2005,$A20,'Payroll'!$A$5:$A$2005,"&gt;="&amp;ReportFrom,'Payroll'!$A$5:$A$2005,"&lt;="&amp;ReportTo)+SUMIFS('Receipt Vouchers'!$X$5:$X$2005,'Receipt Vouchers'!$B$5:$B$2005,$A20,'Receipt Vouchers'!$A$5:$A$2005,"&gt;="&amp;ReportFrom,'Receipt Vouchers'!$A$5:$A$2005,"&lt;="&amp;ReportTo)+SUMIFS('Sales Invoices'!$Y$5:$Y$2005,'Sales Invoices'!$C$5:$C$2005,$A20,'Sales Invoices'!$B$5:$B$2005,"&gt;="&amp;ReportFrom,'Sales Invoices'!$B$5:$B$2005,"&lt;="&amp;ReportTo)+SUMIFS('Payment Vouchers'!$O$5:$O$2005,'Payment Vouchers'!$G$5:$G$2005,$A20,'Payment Vouchers'!$A$5:$A$2005,"&gt;="&amp;ReportFrom,'Payment Vouchers'!$A$5:$A$2005,"&lt;="&amp;ReportTo)+SUMIFS('Partner Transactions'!$Q$5:$Q$2005,'Partner Transactions'!$H$5:$H$2005,$A20,'Partner Transactions'!$A$5:$A$2005,"&gt;="&amp;ReportFrom,'Partner Transactions'!$A$5:$A$2005,"&lt;="&amp;ReportTo)+SUMIFS('Stock Moves'!$AM$5:$AM$2005,'Stock Moves'!$I$5:$I$2005,$A20,'Stock Moves'!$A$5:$A$2005,"&gt;="&amp;ReportFrom,'Stock Moves'!$A$5:$A$2005,"&lt;="&amp;ReportTo)+SUMIFS('Journal Vouchers'!$O$5:$O$2005,'Journal Vouchers'!$D$5:$D$2005,$A20,'Journal Vouchers'!$B$5:$B$2005,"&gt;="&amp;ReportFrom,'Journal Vouchers'!$B$5:$B$2005,"&lt;="&amp;ReportTo))</f>
        <v/>
      </c>
      <c r="E20" s="26">
        <f>IF(A20="",0,SUMIFS('Direct Costs'!$AH$5:$AH$2005,'Direct Costs'!$B$5:$B$2005,$A20,'Direct Costs'!$A$5:$A$2005,"&gt;="&amp;ReportFrom,'Direct Costs'!$A$5:$A$2005,"&lt;="&amp;ReportTo)+SUMIFS('Operating Expenses'!$AC$5:$AC$2005,'Operating Expenses'!$B$5:$B$2005,$A20,'Operating Expenses'!$A$5:$A$2005,"&gt;="&amp;ReportFrom,'Operating Expenses'!$A$5:$A$2005,"&lt;="&amp;ReportTo)+SUMIFS('Payroll'!$Y$5:$Y$2005,'Payroll'!$B$5:$B$2005,$A20,'Payroll'!$A$5:$A$2005,"&gt;="&amp;ReportFrom,'Payroll'!$A$5:$A$2005,"&lt;="&amp;ReportTo)+SUMIFS('Receipt Vouchers'!$Y$5:$Y$2005,'Receipt Vouchers'!$B$5:$B$2005,$A20,'Receipt Vouchers'!$A$5:$A$2005,"&gt;="&amp;ReportFrom,'Receipt Vouchers'!$A$5:$A$2005,"&lt;="&amp;ReportTo)+SUMIFS('Sales Invoices'!$Z$5:$Z$2005,'Sales Invoices'!$C$5:$C$2005,$A20,'Sales Invoices'!$B$5:$B$2005,"&gt;="&amp;ReportFrom,'Sales Invoices'!$B$5:$B$2005,"&lt;="&amp;ReportTo)+SUMIFS('Payment Vouchers'!$P$5:$P$2005,'Payment Vouchers'!$G$5:$G$2005,$A20,'Payment Vouchers'!$A$5:$A$2005,"&gt;="&amp;ReportFrom,'Payment Vouchers'!$A$5:$A$2005,"&lt;="&amp;ReportTo)+SUMIFS('Partner Transactions'!$R$5:$R$2005,'Partner Transactions'!$H$5:$H$2005,$A20,'Partner Transactions'!$A$5:$A$2005,"&gt;="&amp;ReportFrom,'Partner Transactions'!$A$5:$A$2005,"&lt;="&amp;ReportTo)+SUMIFS('Stock Moves'!$AN$5:$AN$2005,'Stock Moves'!$I$5:$I$2005,$A20,'Stock Moves'!$A$5:$A$2005,"&gt;="&amp;ReportFrom,'Stock Moves'!$A$5:$A$2005,"&lt;="&amp;ReportTo)+SUMIFS('Journal Vouchers'!$P$5:$P$2005,'Journal Vouchers'!$D$5:$D$2005,$A20,'Journal Vouchers'!$B$5:$B$2005,"&gt;="&amp;ReportFrom,'Journal Vouchers'!$B$5:$B$2005,"&lt;="&amp;ReportTo))</f>
        <v/>
      </c>
      <c r="F20" s="52">
        <f>IF(A20="","",N('Business Units'!K20))</f>
        <v/>
      </c>
      <c r="G20" s="26">
        <f>IF(A20="",0,$K$5*N(F20))</f>
        <v/>
      </c>
      <c r="H20" s="26">
        <f>C20-D20-E20-G20</f>
        <v/>
      </c>
      <c r="I20" s="52">
        <f>IFERROR(H20/C20,0)</f>
        <v/>
      </c>
    </row>
    <row r="21">
      <c r="A21" s="25">
        <f>IF('Business Units'!A21="","",'Business Units'!A21&amp;"")</f>
        <v/>
      </c>
      <c r="B21" s="25">
        <f>IF(A21="","",'Business Units'!B21)</f>
        <v/>
      </c>
      <c r="C21" s="26">
        <f>IF(A21="",0,SUMIFS('Direct Costs'!$AF$5:$AF$2005,'Direct Costs'!$B$5:$B$2005,$A21,'Direct Costs'!$A$5:$A$2005,"&gt;="&amp;ReportFrom,'Direct Costs'!$A$5:$A$2005,"&lt;="&amp;ReportTo)+SUMIFS('Operating Expenses'!$AA$5:$AA$2005,'Operating Expenses'!$B$5:$B$2005,$A21,'Operating Expenses'!$A$5:$A$2005,"&gt;="&amp;ReportFrom,'Operating Expenses'!$A$5:$A$2005,"&lt;="&amp;ReportTo)+SUMIFS('Payroll'!$W$5:$W$2005,'Payroll'!$B$5:$B$2005,$A21,'Payroll'!$A$5:$A$2005,"&gt;="&amp;ReportFrom,'Payroll'!$A$5:$A$2005,"&lt;="&amp;ReportTo)+SUMIFS('Receipt Vouchers'!$W$5:$W$2005,'Receipt Vouchers'!$B$5:$B$2005,$A21,'Receipt Vouchers'!$A$5:$A$2005,"&gt;="&amp;ReportFrom,'Receipt Vouchers'!$A$5:$A$2005,"&lt;="&amp;ReportTo)+SUMIFS('Sales Invoices'!$X$5:$X$2005,'Sales Invoices'!$C$5:$C$2005,$A21,'Sales Invoices'!$B$5:$B$2005,"&gt;="&amp;ReportFrom,'Sales Invoices'!$B$5:$B$2005,"&lt;="&amp;ReportTo)+SUMIFS('Payment Vouchers'!$N$5:$N$2005,'Payment Vouchers'!$G$5:$G$2005,$A21,'Payment Vouchers'!$A$5:$A$2005,"&gt;="&amp;ReportFrom,'Payment Vouchers'!$A$5:$A$2005,"&lt;="&amp;ReportTo)+SUMIFS('Partner Transactions'!$P$5:$P$2005,'Partner Transactions'!$H$5:$H$2005,$A21,'Partner Transactions'!$A$5:$A$2005,"&gt;="&amp;ReportFrom,'Partner Transactions'!$A$5:$A$2005,"&lt;="&amp;ReportTo)+SUMIFS('Stock Moves'!$AL$5:$AL$2005,'Stock Moves'!$I$5:$I$2005,$A21,'Stock Moves'!$A$5:$A$2005,"&gt;="&amp;ReportFrom,'Stock Moves'!$A$5:$A$2005,"&lt;="&amp;ReportTo)+SUMIFS('Journal Vouchers'!$N$5:$N$2005,'Journal Vouchers'!$D$5:$D$2005,$A21,'Journal Vouchers'!$B$5:$B$2005,"&gt;="&amp;ReportFrom,'Journal Vouchers'!$B$5:$B$2005,"&lt;="&amp;ReportTo))</f>
        <v/>
      </c>
      <c r="D21" s="26">
        <f>IF(A21="",0,SUMIFS('Direct Costs'!$AG$5:$AG$2005,'Direct Costs'!$B$5:$B$2005,$A21,'Direct Costs'!$A$5:$A$2005,"&gt;="&amp;ReportFrom,'Direct Costs'!$A$5:$A$2005,"&lt;="&amp;ReportTo)+SUMIFS('Operating Expenses'!$AB$5:$AB$2005,'Operating Expenses'!$B$5:$B$2005,$A21,'Operating Expenses'!$A$5:$A$2005,"&gt;="&amp;ReportFrom,'Operating Expenses'!$A$5:$A$2005,"&lt;="&amp;ReportTo)+SUMIFS('Payroll'!$X$5:$X$2005,'Payroll'!$B$5:$B$2005,$A21,'Payroll'!$A$5:$A$2005,"&gt;="&amp;ReportFrom,'Payroll'!$A$5:$A$2005,"&lt;="&amp;ReportTo)+SUMIFS('Receipt Vouchers'!$X$5:$X$2005,'Receipt Vouchers'!$B$5:$B$2005,$A21,'Receipt Vouchers'!$A$5:$A$2005,"&gt;="&amp;ReportFrom,'Receipt Vouchers'!$A$5:$A$2005,"&lt;="&amp;ReportTo)+SUMIFS('Sales Invoices'!$Y$5:$Y$2005,'Sales Invoices'!$C$5:$C$2005,$A21,'Sales Invoices'!$B$5:$B$2005,"&gt;="&amp;ReportFrom,'Sales Invoices'!$B$5:$B$2005,"&lt;="&amp;ReportTo)+SUMIFS('Payment Vouchers'!$O$5:$O$2005,'Payment Vouchers'!$G$5:$G$2005,$A21,'Payment Vouchers'!$A$5:$A$2005,"&gt;="&amp;ReportFrom,'Payment Vouchers'!$A$5:$A$2005,"&lt;="&amp;ReportTo)+SUMIFS('Partner Transactions'!$Q$5:$Q$2005,'Partner Transactions'!$H$5:$H$2005,$A21,'Partner Transactions'!$A$5:$A$2005,"&gt;="&amp;ReportFrom,'Partner Transactions'!$A$5:$A$2005,"&lt;="&amp;ReportTo)+SUMIFS('Stock Moves'!$AM$5:$AM$2005,'Stock Moves'!$I$5:$I$2005,$A21,'Stock Moves'!$A$5:$A$2005,"&gt;="&amp;ReportFrom,'Stock Moves'!$A$5:$A$2005,"&lt;="&amp;ReportTo)+SUMIFS('Journal Vouchers'!$O$5:$O$2005,'Journal Vouchers'!$D$5:$D$2005,$A21,'Journal Vouchers'!$B$5:$B$2005,"&gt;="&amp;ReportFrom,'Journal Vouchers'!$B$5:$B$2005,"&lt;="&amp;ReportTo))</f>
        <v/>
      </c>
      <c r="E21" s="26">
        <f>IF(A21="",0,SUMIFS('Direct Costs'!$AH$5:$AH$2005,'Direct Costs'!$B$5:$B$2005,$A21,'Direct Costs'!$A$5:$A$2005,"&gt;="&amp;ReportFrom,'Direct Costs'!$A$5:$A$2005,"&lt;="&amp;ReportTo)+SUMIFS('Operating Expenses'!$AC$5:$AC$2005,'Operating Expenses'!$B$5:$B$2005,$A21,'Operating Expenses'!$A$5:$A$2005,"&gt;="&amp;ReportFrom,'Operating Expenses'!$A$5:$A$2005,"&lt;="&amp;ReportTo)+SUMIFS('Payroll'!$Y$5:$Y$2005,'Payroll'!$B$5:$B$2005,$A21,'Payroll'!$A$5:$A$2005,"&gt;="&amp;ReportFrom,'Payroll'!$A$5:$A$2005,"&lt;="&amp;ReportTo)+SUMIFS('Receipt Vouchers'!$Y$5:$Y$2005,'Receipt Vouchers'!$B$5:$B$2005,$A21,'Receipt Vouchers'!$A$5:$A$2005,"&gt;="&amp;ReportFrom,'Receipt Vouchers'!$A$5:$A$2005,"&lt;="&amp;ReportTo)+SUMIFS('Sales Invoices'!$Z$5:$Z$2005,'Sales Invoices'!$C$5:$C$2005,$A21,'Sales Invoices'!$B$5:$B$2005,"&gt;="&amp;ReportFrom,'Sales Invoices'!$B$5:$B$2005,"&lt;="&amp;ReportTo)+SUMIFS('Payment Vouchers'!$P$5:$P$2005,'Payment Vouchers'!$G$5:$G$2005,$A21,'Payment Vouchers'!$A$5:$A$2005,"&gt;="&amp;ReportFrom,'Payment Vouchers'!$A$5:$A$2005,"&lt;="&amp;ReportTo)+SUMIFS('Partner Transactions'!$R$5:$R$2005,'Partner Transactions'!$H$5:$H$2005,$A21,'Partner Transactions'!$A$5:$A$2005,"&gt;="&amp;ReportFrom,'Partner Transactions'!$A$5:$A$2005,"&lt;="&amp;ReportTo)+SUMIFS('Stock Moves'!$AN$5:$AN$2005,'Stock Moves'!$I$5:$I$2005,$A21,'Stock Moves'!$A$5:$A$2005,"&gt;="&amp;ReportFrom,'Stock Moves'!$A$5:$A$2005,"&lt;="&amp;ReportTo)+SUMIFS('Journal Vouchers'!$P$5:$P$2005,'Journal Vouchers'!$D$5:$D$2005,$A21,'Journal Vouchers'!$B$5:$B$2005,"&gt;="&amp;ReportFrom,'Journal Vouchers'!$B$5:$B$2005,"&lt;="&amp;ReportTo))</f>
        <v/>
      </c>
      <c r="F21" s="52">
        <f>IF(A21="","",N('Business Units'!K21))</f>
        <v/>
      </c>
      <c r="G21" s="26">
        <f>IF(A21="",0,$K$5*N(F21))</f>
        <v/>
      </c>
      <c r="H21" s="26">
        <f>C21-D21-E21-G21</f>
        <v/>
      </c>
      <c r="I21" s="52">
        <f>IFERROR(H21/C21,0)</f>
        <v/>
      </c>
    </row>
    <row r="22">
      <c r="A22" s="25">
        <f>IF('Business Units'!A22="","",'Business Units'!A22&amp;"")</f>
        <v/>
      </c>
      <c r="B22" s="25">
        <f>IF(A22="","",'Business Units'!B22)</f>
        <v/>
      </c>
      <c r="C22" s="26">
        <f>IF(A22="",0,SUMIFS('Direct Costs'!$AF$5:$AF$2005,'Direct Costs'!$B$5:$B$2005,$A22,'Direct Costs'!$A$5:$A$2005,"&gt;="&amp;ReportFrom,'Direct Costs'!$A$5:$A$2005,"&lt;="&amp;ReportTo)+SUMIFS('Operating Expenses'!$AA$5:$AA$2005,'Operating Expenses'!$B$5:$B$2005,$A22,'Operating Expenses'!$A$5:$A$2005,"&gt;="&amp;ReportFrom,'Operating Expenses'!$A$5:$A$2005,"&lt;="&amp;ReportTo)+SUMIFS('Payroll'!$W$5:$W$2005,'Payroll'!$B$5:$B$2005,$A22,'Payroll'!$A$5:$A$2005,"&gt;="&amp;ReportFrom,'Payroll'!$A$5:$A$2005,"&lt;="&amp;ReportTo)+SUMIFS('Receipt Vouchers'!$W$5:$W$2005,'Receipt Vouchers'!$B$5:$B$2005,$A22,'Receipt Vouchers'!$A$5:$A$2005,"&gt;="&amp;ReportFrom,'Receipt Vouchers'!$A$5:$A$2005,"&lt;="&amp;ReportTo)+SUMIFS('Sales Invoices'!$X$5:$X$2005,'Sales Invoices'!$C$5:$C$2005,$A22,'Sales Invoices'!$B$5:$B$2005,"&gt;="&amp;ReportFrom,'Sales Invoices'!$B$5:$B$2005,"&lt;="&amp;ReportTo)+SUMIFS('Payment Vouchers'!$N$5:$N$2005,'Payment Vouchers'!$G$5:$G$2005,$A22,'Payment Vouchers'!$A$5:$A$2005,"&gt;="&amp;ReportFrom,'Payment Vouchers'!$A$5:$A$2005,"&lt;="&amp;ReportTo)+SUMIFS('Partner Transactions'!$P$5:$P$2005,'Partner Transactions'!$H$5:$H$2005,$A22,'Partner Transactions'!$A$5:$A$2005,"&gt;="&amp;ReportFrom,'Partner Transactions'!$A$5:$A$2005,"&lt;="&amp;ReportTo)+SUMIFS('Stock Moves'!$AL$5:$AL$2005,'Stock Moves'!$I$5:$I$2005,$A22,'Stock Moves'!$A$5:$A$2005,"&gt;="&amp;ReportFrom,'Stock Moves'!$A$5:$A$2005,"&lt;="&amp;ReportTo)+SUMIFS('Journal Vouchers'!$N$5:$N$2005,'Journal Vouchers'!$D$5:$D$2005,$A22,'Journal Vouchers'!$B$5:$B$2005,"&gt;="&amp;ReportFrom,'Journal Vouchers'!$B$5:$B$2005,"&lt;="&amp;ReportTo))</f>
        <v/>
      </c>
      <c r="D22" s="26">
        <f>IF(A22="",0,SUMIFS('Direct Costs'!$AG$5:$AG$2005,'Direct Costs'!$B$5:$B$2005,$A22,'Direct Costs'!$A$5:$A$2005,"&gt;="&amp;ReportFrom,'Direct Costs'!$A$5:$A$2005,"&lt;="&amp;ReportTo)+SUMIFS('Operating Expenses'!$AB$5:$AB$2005,'Operating Expenses'!$B$5:$B$2005,$A22,'Operating Expenses'!$A$5:$A$2005,"&gt;="&amp;ReportFrom,'Operating Expenses'!$A$5:$A$2005,"&lt;="&amp;ReportTo)+SUMIFS('Payroll'!$X$5:$X$2005,'Payroll'!$B$5:$B$2005,$A22,'Payroll'!$A$5:$A$2005,"&gt;="&amp;ReportFrom,'Payroll'!$A$5:$A$2005,"&lt;="&amp;ReportTo)+SUMIFS('Receipt Vouchers'!$X$5:$X$2005,'Receipt Vouchers'!$B$5:$B$2005,$A22,'Receipt Vouchers'!$A$5:$A$2005,"&gt;="&amp;ReportFrom,'Receipt Vouchers'!$A$5:$A$2005,"&lt;="&amp;ReportTo)+SUMIFS('Sales Invoices'!$Y$5:$Y$2005,'Sales Invoices'!$C$5:$C$2005,$A22,'Sales Invoices'!$B$5:$B$2005,"&gt;="&amp;ReportFrom,'Sales Invoices'!$B$5:$B$2005,"&lt;="&amp;ReportTo)+SUMIFS('Payment Vouchers'!$O$5:$O$2005,'Payment Vouchers'!$G$5:$G$2005,$A22,'Payment Vouchers'!$A$5:$A$2005,"&gt;="&amp;ReportFrom,'Payment Vouchers'!$A$5:$A$2005,"&lt;="&amp;ReportTo)+SUMIFS('Partner Transactions'!$Q$5:$Q$2005,'Partner Transactions'!$H$5:$H$2005,$A22,'Partner Transactions'!$A$5:$A$2005,"&gt;="&amp;ReportFrom,'Partner Transactions'!$A$5:$A$2005,"&lt;="&amp;ReportTo)+SUMIFS('Stock Moves'!$AM$5:$AM$2005,'Stock Moves'!$I$5:$I$2005,$A22,'Stock Moves'!$A$5:$A$2005,"&gt;="&amp;ReportFrom,'Stock Moves'!$A$5:$A$2005,"&lt;="&amp;ReportTo)+SUMIFS('Journal Vouchers'!$O$5:$O$2005,'Journal Vouchers'!$D$5:$D$2005,$A22,'Journal Vouchers'!$B$5:$B$2005,"&gt;="&amp;ReportFrom,'Journal Vouchers'!$B$5:$B$2005,"&lt;="&amp;ReportTo))</f>
        <v/>
      </c>
      <c r="E22" s="26">
        <f>IF(A22="",0,SUMIFS('Direct Costs'!$AH$5:$AH$2005,'Direct Costs'!$B$5:$B$2005,$A22,'Direct Costs'!$A$5:$A$2005,"&gt;="&amp;ReportFrom,'Direct Costs'!$A$5:$A$2005,"&lt;="&amp;ReportTo)+SUMIFS('Operating Expenses'!$AC$5:$AC$2005,'Operating Expenses'!$B$5:$B$2005,$A22,'Operating Expenses'!$A$5:$A$2005,"&gt;="&amp;ReportFrom,'Operating Expenses'!$A$5:$A$2005,"&lt;="&amp;ReportTo)+SUMIFS('Payroll'!$Y$5:$Y$2005,'Payroll'!$B$5:$B$2005,$A22,'Payroll'!$A$5:$A$2005,"&gt;="&amp;ReportFrom,'Payroll'!$A$5:$A$2005,"&lt;="&amp;ReportTo)+SUMIFS('Receipt Vouchers'!$Y$5:$Y$2005,'Receipt Vouchers'!$B$5:$B$2005,$A22,'Receipt Vouchers'!$A$5:$A$2005,"&gt;="&amp;ReportFrom,'Receipt Vouchers'!$A$5:$A$2005,"&lt;="&amp;ReportTo)+SUMIFS('Sales Invoices'!$Z$5:$Z$2005,'Sales Invoices'!$C$5:$C$2005,$A22,'Sales Invoices'!$B$5:$B$2005,"&gt;="&amp;ReportFrom,'Sales Invoices'!$B$5:$B$2005,"&lt;="&amp;ReportTo)+SUMIFS('Payment Vouchers'!$P$5:$P$2005,'Payment Vouchers'!$G$5:$G$2005,$A22,'Payment Vouchers'!$A$5:$A$2005,"&gt;="&amp;ReportFrom,'Payment Vouchers'!$A$5:$A$2005,"&lt;="&amp;ReportTo)+SUMIFS('Partner Transactions'!$R$5:$R$2005,'Partner Transactions'!$H$5:$H$2005,$A22,'Partner Transactions'!$A$5:$A$2005,"&gt;="&amp;ReportFrom,'Partner Transactions'!$A$5:$A$2005,"&lt;="&amp;ReportTo)+SUMIFS('Stock Moves'!$AN$5:$AN$2005,'Stock Moves'!$I$5:$I$2005,$A22,'Stock Moves'!$A$5:$A$2005,"&gt;="&amp;ReportFrom,'Stock Moves'!$A$5:$A$2005,"&lt;="&amp;ReportTo)+SUMIFS('Journal Vouchers'!$P$5:$P$2005,'Journal Vouchers'!$D$5:$D$2005,$A22,'Journal Vouchers'!$B$5:$B$2005,"&gt;="&amp;ReportFrom,'Journal Vouchers'!$B$5:$B$2005,"&lt;="&amp;ReportTo))</f>
        <v/>
      </c>
      <c r="F22" s="52">
        <f>IF(A22="","",N('Business Units'!K22))</f>
        <v/>
      </c>
      <c r="G22" s="26">
        <f>IF(A22="",0,$K$5*N(F22))</f>
        <v/>
      </c>
      <c r="H22" s="26">
        <f>C22-D22-E22-G22</f>
        <v/>
      </c>
      <c r="I22" s="52">
        <f>IFERROR(H22/C22,0)</f>
        <v/>
      </c>
    </row>
    <row r="23">
      <c r="A23" s="25">
        <f>IF('Business Units'!A23="","",'Business Units'!A23&amp;"")</f>
        <v/>
      </c>
      <c r="B23" s="25">
        <f>IF(A23="","",'Business Units'!B23)</f>
        <v/>
      </c>
      <c r="C23" s="26">
        <f>IF(A23="",0,SUMIFS('Direct Costs'!$AF$5:$AF$2005,'Direct Costs'!$B$5:$B$2005,$A23,'Direct Costs'!$A$5:$A$2005,"&gt;="&amp;ReportFrom,'Direct Costs'!$A$5:$A$2005,"&lt;="&amp;ReportTo)+SUMIFS('Operating Expenses'!$AA$5:$AA$2005,'Operating Expenses'!$B$5:$B$2005,$A23,'Operating Expenses'!$A$5:$A$2005,"&gt;="&amp;ReportFrom,'Operating Expenses'!$A$5:$A$2005,"&lt;="&amp;ReportTo)+SUMIFS('Payroll'!$W$5:$W$2005,'Payroll'!$B$5:$B$2005,$A23,'Payroll'!$A$5:$A$2005,"&gt;="&amp;ReportFrom,'Payroll'!$A$5:$A$2005,"&lt;="&amp;ReportTo)+SUMIFS('Receipt Vouchers'!$W$5:$W$2005,'Receipt Vouchers'!$B$5:$B$2005,$A23,'Receipt Vouchers'!$A$5:$A$2005,"&gt;="&amp;ReportFrom,'Receipt Vouchers'!$A$5:$A$2005,"&lt;="&amp;ReportTo)+SUMIFS('Sales Invoices'!$X$5:$X$2005,'Sales Invoices'!$C$5:$C$2005,$A23,'Sales Invoices'!$B$5:$B$2005,"&gt;="&amp;ReportFrom,'Sales Invoices'!$B$5:$B$2005,"&lt;="&amp;ReportTo)+SUMIFS('Payment Vouchers'!$N$5:$N$2005,'Payment Vouchers'!$G$5:$G$2005,$A23,'Payment Vouchers'!$A$5:$A$2005,"&gt;="&amp;ReportFrom,'Payment Vouchers'!$A$5:$A$2005,"&lt;="&amp;ReportTo)+SUMIFS('Partner Transactions'!$P$5:$P$2005,'Partner Transactions'!$H$5:$H$2005,$A23,'Partner Transactions'!$A$5:$A$2005,"&gt;="&amp;ReportFrom,'Partner Transactions'!$A$5:$A$2005,"&lt;="&amp;ReportTo)+SUMIFS('Stock Moves'!$AL$5:$AL$2005,'Stock Moves'!$I$5:$I$2005,$A23,'Stock Moves'!$A$5:$A$2005,"&gt;="&amp;ReportFrom,'Stock Moves'!$A$5:$A$2005,"&lt;="&amp;ReportTo)+SUMIFS('Journal Vouchers'!$N$5:$N$2005,'Journal Vouchers'!$D$5:$D$2005,$A23,'Journal Vouchers'!$B$5:$B$2005,"&gt;="&amp;ReportFrom,'Journal Vouchers'!$B$5:$B$2005,"&lt;="&amp;ReportTo))</f>
        <v/>
      </c>
      <c r="D23" s="26">
        <f>IF(A23="",0,SUMIFS('Direct Costs'!$AG$5:$AG$2005,'Direct Costs'!$B$5:$B$2005,$A23,'Direct Costs'!$A$5:$A$2005,"&gt;="&amp;ReportFrom,'Direct Costs'!$A$5:$A$2005,"&lt;="&amp;ReportTo)+SUMIFS('Operating Expenses'!$AB$5:$AB$2005,'Operating Expenses'!$B$5:$B$2005,$A23,'Operating Expenses'!$A$5:$A$2005,"&gt;="&amp;ReportFrom,'Operating Expenses'!$A$5:$A$2005,"&lt;="&amp;ReportTo)+SUMIFS('Payroll'!$X$5:$X$2005,'Payroll'!$B$5:$B$2005,$A23,'Payroll'!$A$5:$A$2005,"&gt;="&amp;ReportFrom,'Payroll'!$A$5:$A$2005,"&lt;="&amp;ReportTo)+SUMIFS('Receipt Vouchers'!$X$5:$X$2005,'Receipt Vouchers'!$B$5:$B$2005,$A23,'Receipt Vouchers'!$A$5:$A$2005,"&gt;="&amp;ReportFrom,'Receipt Vouchers'!$A$5:$A$2005,"&lt;="&amp;ReportTo)+SUMIFS('Sales Invoices'!$Y$5:$Y$2005,'Sales Invoices'!$C$5:$C$2005,$A23,'Sales Invoices'!$B$5:$B$2005,"&gt;="&amp;ReportFrom,'Sales Invoices'!$B$5:$B$2005,"&lt;="&amp;ReportTo)+SUMIFS('Payment Vouchers'!$O$5:$O$2005,'Payment Vouchers'!$G$5:$G$2005,$A23,'Payment Vouchers'!$A$5:$A$2005,"&gt;="&amp;ReportFrom,'Payment Vouchers'!$A$5:$A$2005,"&lt;="&amp;ReportTo)+SUMIFS('Partner Transactions'!$Q$5:$Q$2005,'Partner Transactions'!$H$5:$H$2005,$A23,'Partner Transactions'!$A$5:$A$2005,"&gt;="&amp;ReportFrom,'Partner Transactions'!$A$5:$A$2005,"&lt;="&amp;ReportTo)+SUMIFS('Stock Moves'!$AM$5:$AM$2005,'Stock Moves'!$I$5:$I$2005,$A23,'Stock Moves'!$A$5:$A$2005,"&gt;="&amp;ReportFrom,'Stock Moves'!$A$5:$A$2005,"&lt;="&amp;ReportTo)+SUMIFS('Journal Vouchers'!$O$5:$O$2005,'Journal Vouchers'!$D$5:$D$2005,$A23,'Journal Vouchers'!$B$5:$B$2005,"&gt;="&amp;ReportFrom,'Journal Vouchers'!$B$5:$B$2005,"&lt;="&amp;ReportTo))</f>
        <v/>
      </c>
      <c r="E23" s="26">
        <f>IF(A23="",0,SUMIFS('Direct Costs'!$AH$5:$AH$2005,'Direct Costs'!$B$5:$B$2005,$A23,'Direct Costs'!$A$5:$A$2005,"&gt;="&amp;ReportFrom,'Direct Costs'!$A$5:$A$2005,"&lt;="&amp;ReportTo)+SUMIFS('Operating Expenses'!$AC$5:$AC$2005,'Operating Expenses'!$B$5:$B$2005,$A23,'Operating Expenses'!$A$5:$A$2005,"&gt;="&amp;ReportFrom,'Operating Expenses'!$A$5:$A$2005,"&lt;="&amp;ReportTo)+SUMIFS('Payroll'!$Y$5:$Y$2005,'Payroll'!$B$5:$B$2005,$A23,'Payroll'!$A$5:$A$2005,"&gt;="&amp;ReportFrom,'Payroll'!$A$5:$A$2005,"&lt;="&amp;ReportTo)+SUMIFS('Receipt Vouchers'!$Y$5:$Y$2005,'Receipt Vouchers'!$B$5:$B$2005,$A23,'Receipt Vouchers'!$A$5:$A$2005,"&gt;="&amp;ReportFrom,'Receipt Vouchers'!$A$5:$A$2005,"&lt;="&amp;ReportTo)+SUMIFS('Sales Invoices'!$Z$5:$Z$2005,'Sales Invoices'!$C$5:$C$2005,$A23,'Sales Invoices'!$B$5:$B$2005,"&gt;="&amp;ReportFrom,'Sales Invoices'!$B$5:$B$2005,"&lt;="&amp;ReportTo)+SUMIFS('Payment Vouchers'!$P$5:$P$2005,'Payment Vouchers'!$G$5:$G$2005,$A23,'Payment Vouchers'!$A$5:$A$2005,"&gt;="&amp;ReportFrom,'Payment Vouchers'!$A$5:$A$2005,"&lt;="&amp;ReportTo)+SUMIFS('Partner Transactions'!$R$5:$R$2005,'Partner Transactions'!$H$5:$H$2005,$A23,'Partner Transactions'!$A$5:$A$2005,"&gt;="&amp;ReportFrom,'Partner Transactions'!$A$5:$A$2005,"&lt;="&amp;ReportTo)+SUMIFS('Stock Moves'!$AN$5:$AN$2005,'Stock Moves'!$I$5:$I$2005,$A23,'Stock Moves'!$A$5:$A$2005,"&gt;="&amp;ReportFrom,'Stock Moves'!$A$5:$A$2005,"&lt;="&amp;ReportTo)+SUMIFS('Journal Vouchers'!$P$5:$P$2005,'Journal Vouchers'!$D$5:$D$2005,$A23,'Journal Vouchers'!$B$5:$B$2005,"&gt;="&amp;ReportFrom,'Journal Vouchers'!$B$5:$B$2005,"&lt;="&amp;ReportTo))</f>
        <v/>
      </c>
      <c r="F23" s="52">
        <f>IF(A23="","",N('Business Units'!K23))</f>
        <v/>
      </c>
      <c r="G23" s="26">
        <f>IF(A23="",0,$K$5*N(F23))</f>
        <v/>
      </c>
      <c r="H23" s="26">
        <f>C23-D23-E23-G23</f>
        <v/>
      </c>
      <c r="I23" s="52">
        <f>IFERROR(H23/C23,0)</f>
        <v/>
      </c>
    </row>
    <row r="24">
      <c r="A24" s="25">
        <f>IF('Business Units'!A24="","",'Business Units'!A24&amp;"")</f>
        <v/>
      </c>
      <c r="B24" s="25">
        <f>IF(A24="","",'Business Units'!B24)</f>
        <v/>
      </c>
      <c r="C24" s="26">
        <f>IF(A24="",0,SUMIFS('Direct Costs'!$AF$5:$AF$2005,'Direct Costs'!$B$5:$B$2005,$A24,'Direct Costs'!$A$5:$A$2005,"&gt;="&amp;ReportFrom,'Direct Costs'!$A$5:$A$2005,"&lt;="&amp;ReportTo)+SUMIFS('Operating Expenses'!$AA$5:$AA$2005,'Operating Expenses'!$B$5:$B$2005,$A24,'Operating Expenses'!$A$5:$A$2005,"&gt;="&amp;ReportFrom,'Operating Expenses'!$A$5:$A$2005,"&lt;="&amp;ReportTo)+SUMIFS('Payroll'!$W$5:$W$2005,'Payroll'!$B$5:$B$2005,$A24,'Payroll'!$A$5:$A$2005,"&gt;="&amp;ReportFrom,'Payroll'!$A$5:$A$2005,"&lt;="&amp;ReportTo)+SUMIFS('Receipt Vouchers'!$W$5:$W$2005,'Receipt Vouchers'!$B$5:$B$2005,$A24,'Receipt Vouchers'!$A$5:$A$2005,"&gt;="&amp;ReportFrom,'Receipt Vouchers'!$A$5:$A$2005,"&lt;="&amp;ReportTo)+SUMIFS('Sales Invoices'!$X$5:$X$2005,'Sales Invoices'!$C$5:$C$2005,$A24,'Sales Invoices'!$B$5:$B$2005,"&gt;="&amp;ReportFrom,'Sales Invoices'!$B$5:$B$2005,"&lt;="&amp;ReportTo)+SUMIFS('Payment Vouchers'!$N$5:$N$2005,'Payment Vouchers'!$G$5:$G$2005,$A24,'Payment Vouchers'!$A$5:$A$2005,"&gt;="&amp;ReportFrom,'Payment Vouchers'!$A$5:$A$2005,"&lt;="&amp;ReportTo)+SUMIFS('Partner Transactions'!$P$5:$P$2005,'Partner Transactions'!$H$5:$H$2005,$A24,'Partner Transactions'!$A$5:$A$2005,"&gt;="&amp;ReportFrom,'Partner Transactions'!$A$5:$A$2005,"&lt;="&amp;ReportTo)+SUMIFS('Stock Moves'!$AL$5:$AL$2005,'Stock Moves'!$I$5:$I$2005,$A24,'Stock Moves'!$A$5:$A$2005,"&gt;="&amp;ReportFrom,'Stock Moves'!$A$5:$A$2005,"&lt;="&amp;ReportTo)+SUMIFS('Journal Vouchers'!$N$5:$N$2005,'Journal Vouchers'!$D$5:$D$2005,$A24,'Journal Vouchers'!$B$5:$B$2005,"&gt;="&amp;ReportFrom,'Journal Vouchers'!$B$5:$B$2005,"&lt;="&amp;ReportTo))</f>
        <v/>
      </c>
      <c r="D24" s="26">
        <f>IF(A24="",0,SUMIFS('Direct Costs'!$AG$5:$AG$2005,'Direct Costs'!$B$5:$B$2005,$A24,'Direct Costs'!$A$5:$A$2005,"&gt;="&amp;ReportFrom,'Direct Costs'!$A$5:$A$2005,"&lt;="&amp;ReportTo)+SUMIFS('Operating Expenses'!$AB$5:$AB$2005,'Operating Expenses'!$B$5:$B$2005,$A24,'Operating Expenses'!$A$5:$A$2005,"&gt;="&amp;ReportFrom,'Operating Expenses'!$A$5:$A$2005,"&lt;="&amp;ReportTo)+SUMIFS('Payroll'!$X$5:$X$2005,'Payroll'!$B$5:$B$2005,$A24,'Payroll'!$A$5:$A$2005,"&gt;="&amp;ReportFrom,'Payroll'!$A$5:$A$2005,"&lt;="&amp;ReportTo)+SUMIFS('Receipt Vouchers'!$X$5:$X$2005,'Receipt Vouchers'!$B$5:$B$2005,$A24,'Receipt Vouchers'!$A$5:$A$2005,"&gt;="&amp;ReportFrom,'Receipt Vouchers'!$A$5:$A$2005,"&lt;="&amp;ReportTo)+SUMIFS('Sales Invoices'!$Y$5:$Y$2005,'Sales Invoices'!$C$5:$C$2005,$A24,'Sales Invoices'!$B$5:$B$2005,"&gt;="&amp;ReportFrom,'Sales Invoices'!$B$5:$B$2005,"&lt;="&amp;ReportTo)+SUMIFS('Payment Vouchers'!$O$5:$O$2005,'Payment Vouchers'!$G$5:$G$2005,$A24,'Payment Vouchers'!$A$5:$A$2005,"&gt;="&amp;ReportFrom,'Payment Vouchers'!$A$5:$A$2005,"&lt;="&amp;ReportTo)+SUMIFS('Partner Transactions'!$Q$5:$Q$2005,'Partner Transactions'!$H$5:$H$2005,$A24,'Partner Transactions'!$A$5:$A$2005,"&gt;="&amp;ReportFrom,'Partner Transactions'!$A$5:$A$2005,"&lt;="&amp;ReportTo)+SUMIFS('Stock Moves'!$AM$5:$AM$2005,'Stock Moves'!$I$5:$I$2005,$A24,'Stock Moves'!$A$5:$A$2005,"&gt;="&amp;ReportFrom,'Stock Moves'!$A$5:$A$2005,"&lt;="&amp;ReportTo)+SUMIFS('Journal Vouchers'!$O$5:$O$2005,'Journal Vouchers'!$D$5:$D$2005,$A24,'Journal Vouchers'!$B$5:$B$2005,"&gt;="&amp;ReportFrom,'Journal Vouchers'!$B$5:$B$2005,"&lt;="&amp;ReportTo))</f>
        <v/>
      </c>
      <c r="E24" s="26">
        <f>IF(A24="",0,SUMIFS('Direct Costs'!$AH$5:$AH$2005,'Direct Costs'!$B$5:$B$2005,$A24,'Direct Costs'!$A$5:$A$2005,"&gt;="&amp;ReportFrom,'Direct Costs'!$A$5:$A$2005,"&lt;="&amp;ReportTo)+SUMIFS('Operating Expenses'!$AC$5:$AC$2005,'Operating Expenses'!$B$5:$B$2005,$A24,'Operating Expenses'!$A$5:$A$2005,"&gt;="&amp;ReportFrom,'Operating Expenses'!$A$5:$A$2005,"&lt;="&amp;ReportTo)+SUMIFS('Payroll'!$Y$5:$Y$2005,'Payroll'!$B$5:$B$2005,$A24,'Payroll'!$A$5:$A$2005,"&gt;="&amp;ReportFrom,'Payroll'!$A$5:$A$2005,"&lt;="&amp;ReportTo)+SUMIFS('Receipt Vouchers'!$Y$5:$Y$2005,'Receipt Vouchers'!$B$5:$B$2005,$A24,'Receipt Vouchers'!$A$5:$A$2005,"&gt;="&amp;ReportFrom,'Receipt Vouchers'!$A$5:$A$2005,"&lt;="&amp;ReportTo)+SUMIFS('Sales Invoices'!$Z$5:$Z$2005,'Sales Invoices'!$C$5:$C$2005,$A24,'Sales Invoices'!$B$5:$B$2005,"&gt;="&amp;ReportFrom,'Sales Invoices'!$B$5:$B$2005,"&lt;="&amp;ReportTo)+SUMIFS('Payment Vouchers'!$P$5:$P$2005,'Payment Vouchers'!$G$5:$G$2005,$A24,'Payment Vouchers'!$A$5:$A$2005,"&gt;="&amp;ReportFrom,'Payment Vouchers'!$A$5:$A$2005,"&lt;="&amp;ReportTo)+SUMIFS('Partner Transactions'!$R$5:$R$2005,'Partner Transactions'!$H$5:$H$2005,$A24,'Partner Transactions'!$A$5:$A$2005,"&gt;="&amp;ReportFrom,'Partner Transactions'!$A$5:$A$2005,"&lt;="&amp;ReportTo)+SUMIFS('Stock Moves'!$AN$5:$AN$2005,'Stock Moves'!$I$5:$I$2005,$A24,'Stock Moves'!$A$5:$A$2005,"&gt;="&amp;ReportFrom,'Stock Moves'!$A$5:$A$2005,"&lt;="&amp;ReportTo)+SUMIFS('Journal Vouchers'!$P$5:$P$2005,'Journal Vouchers'!$D$5:$D$2005,$A24,'Journal Vouchers'!$B$5:$B$2005,"&gt;="&amp;ReportFrom,'Journal Vouchers'!$B$5:$B$2005,"&lt;="&amp;ReportTo))</f>
        <v/>
      </c>
      <c r="F24" s="52">
        <f>IF(A24="","",N('Business Units'!K24))</f>
        <v/>
      </c>
      <c r="G24" s="26">
        <f>IF(A24="",0,$K$5*N(F24))</f>
        <v/>
      </c>
      <c r="H24" s="26">
        <f>C24-D24-E24-G24</f>
        <v/>
      </c>
      <c r="I24" s="52">
        <f>IFERROR(H24/C24,0)</f>
        <v/>
      </c>
    </row>
    <row r="25">
      <c r="A25" s="25">
        <f>IF('Business Units'!A25="","",'Business Units'!A25&amp;"")</f>
        <v/>
      </c>
      <c r="B25" s="25">
        <f>IF(A25="","",'Business Units'!B25)</f>
        <v/>
      </c>
      <c r="C25" s="26">
        <f>IF(A25="",0,SUMIFS('Direct Costs'!$AF$5:$AF$2005,'Direct Costs'!$B$5:$B$2005,$A25,'Direct Costs'!$A$5:$A$2005,"&gt;="&amp;ReportFrom,'Direct Costs'!$A$5:$A$2005,"&lt;="&amp;ReportTo)+SUMIFS('Operating Expenses'!$AA$5:$AA$2005,'Operating Expenses'!$B$5:$B$2005,$A25,'Operating Expenses'!$A$5:$A$2005,"&gt;="&amp;ReportFrom,'Operating Expenses'!$A$5:$A$2005,"&lt;="&amp;ReportTo)+SUMIFS('Payroll'!$W$5:$W$2005,'Payroll'!$B$5:$B$2005,$A25,'Payroll'!$A$5:$A$2005,"&gt;="&amp;ReportFrom,'Payroll'!$A$5:$A$2005,"&lt;="&amp;ReportTo)+SUMIFS('Receipt Vouchers'!$W$5:$W$2005,'Receipt Vouchers'!$B$5:$B$2005,$A25,'Receipt Vouchers'!$A$5:$A$2005,"&gt;="&amp;ReportFrom,'Receipt Vouchers'!$A$5:$A$2005,"&lt;="&amp;ReportTo)+SUMIFS('Sales Invoices'!$X$5:$X$2005,'Sales Invoices'!$C$5:$C$2005,$A25,'Sales Invoices'!$B$5:$B$2005,"&gt;="&amp;ReportFrom,'Sales Invoices'!$B$5:$B$2005,"&lt;="&amp;ReportTo)+SUMIFS('Payment Vouchers'!$N$5:$N$2005,'Payment Vouchers'!$G$5:$G$2005,$A25,'Payment Vouchers'!$A$5:$A$2005,"&gt;="&amp;ReportFrom,'Payment Vouchers'!$A$5:$A$2005,"&lt;="&amp;ReportTo)+SUMIFS('Partner Transactions'!$P$5:$P$2005,'Partner Transactions'!$H$5:$H$2005,$A25,'Partner Transactions'!$A$5:$A$2005,"&gt;="&amp;ReportFrom,'Partner Transactions'!$A$5:$A$2005,"&lt;="&amp;ReportTo)+SUMIFS('Stock Moves'!$AL$5:$AL$2005,'Stock Moves'!$I$5:$I$2005,$A25,'Stock Moves'!$A$5:$A$2005,"&gt;="&amp;ReportFrom,'Stock Moves'!$A$5:$A$2005,"&lt;="&amp;ReportTo)+SUMIFS('Journal Vouchers'!$N$5:$N$2005,'Journal Vouchers'!$D$5:$D$2005,$A25,'Journal Vouchers'!$B$5:$B$2005,"&gt;="&amp;ReportFrom,'Journal Vouchers'!$B$5:$B$2005,"&lt;="&amp;ReportTo))</f>
        <v/>
      </c>
      <c r="D25" s="26">
        <f>IF(A25="",0,SUMIFS('Direct Costs'!$AG$5:$AG$2005,'Direct Costs'!$B$5:$B$2005,$A25,'Direct Costs'!$A$5:$A$2005,"&gt;="&amp;ReportFrom,'Direct Costs'!$A$5:$A$2005,"&lt;="&amp;ReportTo)+SUMIFS('Operating Expenses'!$AB$5:$AB$2005,'Operating Expenses'!$B$5:$B$2005,$A25,'Operating Expenses'!$A$5:$A$2005,"&gt;="&amp;ReportFrom,'Operating Expenses'!$A$5:$A$2005,"&lt;="&amp;ReportTo)+SUMIFS('Payroll'!$X$5:$X$2005,'Payroll'!$B$5:$B$2005,$A25,'Payroll'!$A$5:$A$2005,"&gt;="&amp;ReportFrom,'Payroll'!$A$5:$A$2005,"&lt;="&amp;ReportTo)+SUMIFS('Receipt Vouchers'!$X$5:$X$2005,'Receipt Vouchers'!$B$5:$B$2005,$A25,'Receipt Vouchers'!$A$5:$A$2005,"&gt;="&amp;ReportFrom,'Receipt Vouchers'!$A$5:$A$2005,"&lt;="&amp;ReportTo)+SUMIFS('Sales Invoices'!$Y$5:$Y$2005,'Sales Invoices'!$C$5:$C$2005,$A25,'Sales Invoices'!$B$5:$B$2005,"&gt;="&amp;ReportFrom,'Sales Invoices'!$B$5:$B$2005,"&lt;="&amp;ReportTo)+SUMIFS('Payment Vouchers'!$O$5:$O$2005,'Payment Vouchers'!$G$5:$G$2005,$A25,'Payment Vouchers'!$A$5:$A$2005,"&gt;="&amp;ReportFrom,'Payment Vouchers'!$A$5:$A$2005,"&lt;="&amp;ReportTo)+SUMIFS('Partner Transactions'!$Q$5:$Q$2005,'Partner Transactions'!$H$5:$H$2005,$A25,'Partner Transactions'!$A$5:$A$2005,"&gt;="&amp;ReportFrom,'Partner Transactions'!$A$5:$A$2005,"&lt;="&amp;ReportTo)+SUMIFS('Stock Moves'!$AM$5:$AM$2005,'Stock Moves'!$I$5:$I$2005,$A25,'Stock Moves'!$A$5:$A$2005,"&gt;="&amp;ReportFrom,'Stock Moves'!$A$5:$A$2005,"&lt;="&amp;ReportTo)+SUMIFS('Journal Vouchers'!$O$5:$O$2005,'Journal Vouchers'!$D$5:$D$2005,$A25,'Journal Vouchers'!$B$5:$B$2005,"&gt;="&amp;ReportFrom,'Journal Vouchers'!$B$5:$B$2005,"&lt;="&amp;ReportTo))</f>
        <v/>
      </c>
      <c r="E25" s="26">
        <f>IF(A25="",0,SUMIFS('Direct Costs'!$AH$5:$AH$2005,'Direct Costs'!$B$5:$B$2005,$A25,'Direct Costs'!$A$5:$A$2005,"&gt;="&amp;ReportFrom,'Direct Costs'!$A$5:$A$2005,"&lt;="&amp;ReportTo)+SUMIFS('Operating Expenses'!$AC$5:$AC$2005,'Operating Expenses'!$B$5:$B$2005,$A25,'Operating Expenses'!$A$5:$A$2005,"&gt;="&amp;ReportFrom,'Operating Expenses'!$A$5:$A$2005,"&lt;="&amp;ReportTo)+SUMIFS('Payroll'!$Y$5:$Y$2005,'Payroll'!$B$5:$B$2005,$A25,'Payroll'!$A$5:$A$2005,"&gt;="&amp;ReportFrom,'Payroll'!$A$5:$A$2005,"&lt;="&amp;ReportTo)+SUMIFS('Receipt Vouchers'!$Y$5:$Y$2005,'Receipt Vouchers'!$B$5:$B$2005,$A25,'Receipt Vouchers'!$A$5:$A$2005,"&gt;="&amp;ReportFrom,'Receipt Vouchers'!$A$5:$A$2005,"&lt;="&amp;ReportTo)+SUMIFS('Sales Invoices'!$Z$5:$Z$2005,'Sales Invoices'!$C$5:$C$2005,$A25,'Sales Invoices'!$B$5:$B$2005,"&gt;="&amp;ReportFrom,'Sales Invoices'!$B$5:$B$2005,"&lt;="&amp;ReportTo)+SUMIFS('Payment Vouchers'!$P$5:$P$2005,'Payment Vouchers'!$G$5:$G$2005,$A25,'Payment Vouchers'!$A$5:$A$2005,"&gt;="&amp;ReportFrom,'Payment Vouchers'!$A$5:$A$2005,"&lt;="&amp;ReportTo)+SUMIFS('Partner Transactions'!$R$5:$R$2005,'Partner Transactions'!$H$5:$H$2005,$A25,'Partner Transactions'!$A$5:$A$2005,"&gt;="&amp;ReportFrom,'Partner Transactions'!$A$5:$A$2005,"&lt;="&amp;ReportTo)+SUMIFS('Stock Moves'!$AN$5:$AN$2005,'Stock Moves'!$I$5:$I$2005,$A25,'Stock Moves'!$A$5:$A$2005,"&gt;="&amp;ReportFrom,'Stock Moves'!$A$5:$A$2005,"&lt;="&amp;ReportTo)+SUMIFS('Journal Vouchers'!$P$5:$P$2005,'Journal Vouchers'!$D$5:$D$2005,$A25,'Journal Vouchers'!$B$5:$B$2005,"&gt;="&amp;ReportFrom,'Journal Vouchers'!$B$5:$B$2005,"&lt;="&amp;ReportTo))</f>
        <v/>
      </c>
      <c r="F25" s="52">
        <f>IF(A25="","",N('Business Units'!K25))</f>
        <v/>
      </c>
      <c r="G25" s="26">
        <f>IF(A25="",0,$K$5*N(F25))</f>
        <v/>
      </c>
      <c r="H25" s="26">
        <f>C25-D25-E25-G25</f>
        <v/>
      </c>
      <c r="I25" s="52">
        <f>IFERROR(H25/C25,0)</f>
        <v/>
      </c>
    </row>
    <row r="26">
      <c r="A26" s="25">
        <f>IF('Business Units'!A26="","",'Business Units'!A26&amp;"")</f>
        <v/>
      </c>
      <c r="B26" s="25">
        <f>IF(A26="","",'Business Units'!B26)</f>
        <v/>
      </c>
      <c r="C26" s="26">
        <f>IF(A26="",0,SUMIFS('Direct Costs'!$AF$5:$AF$2005,'Direct Costs'!$B$5:$B$2005,$A26,'Direct Costs'!$A$5:$A$2005,"&gt;="&amp;ReportFrom,'Direct Costs'!$A$5:$A$2005,"&lt;="&amp;ReportTo)+SUMIFS('Operating Expenses'!$AA$5:$AA$2005,'Operating Expenses'!$B$5:$B$2005,$A26,'Operating Expenses'!$A$5:$A$2005,"&gt;="&amp;ReportFrom,'Operating Expenses'!$A$5:$A$2005,"&lt;="&amp;ReportTo)+SUMIFS('Payroll'!$W$5:$W$2005,'Payroll'!$B$5:$B$2005,$A26,'Payroll'!$A$5:$A$2005,"&gt;="&amp;ReportFrom,'Payroll'!$A$5:$A$2005,"&lt;="&amp;ReportTo)+SUMIFS('Receipt Vouchers'!$W$5:$W$2005,'Receipt Vouchers'!$B$5:$B$2005,$A26,'Receipt Vouchers'!$A$5:$A$2005,"&gt;="&amp;ReportFrom,'Receipt Vouchers'!$A$5:$A$2005,"&lt;="&amp;ReportTo)+SUMIFS('Sales Invoices'!$X$5:$X$2005,'Sales Invoices'!$C$5:$C$2005,$A26,'Sales Invoices'!$B$5:$B$2005,"&gt;="&amp;ReportFrom,'Sales Invoices'!$B$5:$B$2005,"&lt;="&amp;ReportTo)+SUMIFS('Payment Vouchers'!$N$5:$N$2005,'Payment Vouchers'!$G$5:$G$2005,$A26,'Payment Vouchers'!$A$5:$A$2005,"&gt;="&amp;ReportFrom,'Payment Vouchers'!$A$5:$A$2005,"&lt;="&amp;ReportTo)+SUMIFS('Partner Transactions'!$P$5:$P$2005,'Partner Transactions'!$H$5:$H$2005,$A26,'Partner Transactions'!$A$5:$A$2005,"&gt;="&amp;ReportFrom,'Partner Transactions'!$A$5:$A$2005,"&lt;="&amp;ReportTo)+SUMIFS('Stock Moves'!$AL$5:$AL$2005,'Stock Moves'!$I$5:$I$2005,$A26,'Stock Moves'!$A$5:$A$2005,"&gt;="&amp;ReportFrom,'Stock Moves'!$A$5:$A$2005,"&lt;="&amp;ReportTo)+SUMIFS('Journal Vouchers'!$N$5:$N$2005,'Journal Vouchers'!$D$5:$D$2005,$A26,'Journal Vouchers'!$B$5:$B$2005,"&gt;="&amp;ReportFrom,'Journal Vouchers'!$B$5:$B$2005,"&lt;="&amp;ReportTo))</f>
        <v/>
      </c>
      <c r="D26" s="26">
        <f>IF(A26="",0,SUMIFS('Direct Costs'!$AG$5:$AG$2005,'Direct Costs'!$B$5:$B$2005,$A26,'Direct Costs'!$A$5:$A$2005,"&gt;="&amp;ReportFrom,'Direct Costs'!$A$5:$A$2005,"&lt;="&amp;ReportTo)+SUMIFS('Operating Expenses'!$AB$5:$AB$2005,'Operating Expenses'!$B$5:$B$2005,$A26,'Operating Expenses'!$A$5:$A$2005,"&gt;="&amp;ReportFrom,'Operating Expenses'!$A$5:$A$2005,"&lt;="&amp;ReportTo)+SUMIFS('Payroll'!$X$5:$X$2005,'Payroll'!$B$5:$B$2005,$A26,'Payroll'!$A$5:$A$2005,"&gt;="&amp;ReportFrom,'Payroll'!$A$5:$A$2005,"&lt;="&amp;ReportTo)+SUMIFS('Receipt Vouchers'!$X$5:$X$2005,'Receipt Vouchers'!$B$5:$B$2005,$A26,'Receipt Vouchers'!$A$5:$A$2005,"&gt;="&amp;ReportFrom,'Receipt Vouchers'!$A$5:$A$2005,"&lt;="&amp;ReportTo)+SUMIFS('Sales Invoices'!$Y$5:$Y$2005,'Sales Invoices'!$C$5:$C$2005,$A26,'Sales Invoices'!$B$5:$B$2005,"&gt;="&amp;ReportFrom,'Sales Invoices'!$B$5:$B$2005,"&lt;="&amp;ReportTo)+SUMIFS('Payment Vouchers'!$O$5:$O$2005,'Payment Vouchers'!$G$5:$G$2005,$A26,'Payment Vouchers'!$A$5:$A$2005,"&gt;="&amp;ReportFrom,'Payment Vouchers'!$A$5:$A$2005,"&lt;="&amp;ReportTo)+SUMIFS('Partner Transactions'!$Q$5:$Q$2005,'Partner Transactions'!$H$5:$H$2005,$A26,'Partner Transactions'!$A$5:$A$2005,"&gt;="&amp;ReportFrom,'Partner Transactions'!$A$5:$A$2005,"&lt;="&amp;ReportTo)+SUMIFS('Stock Moves'!$AM$5:$AM$2005,'Stock Moves'!$I$5:$I$2005,$A26,'Stock Moves'!$A$5:$A$2005,"&gt;="&amp;ReportFrom,'Stock Moves'!$A$5:$A$2005,"&lt;="&amp;ReportTo)+SUMIFS('Journal Vouchers'!$O$5:$O$2005,'Journal Vouchers'!$D$5:$D$2005,$A26,'Journal Vouchers'!$B$5:$B$2005,"&gt;="&amp;ReportFrom,'Journal Vouchers'!$B$5:$B$2005,"&lt;="&amp;ReportTo))</f>
        <v/>
      </c>
      <c r="E26" s="26">
        <f>IF(A26="",0,SUMIFS('Direct Costs'!$AH$5:$AH$2005,'Direct Costs'!$B$5:$B$2005,$A26,'Direct Costs'!$A$5:$A$2005,"&gt;="&amp;ReportFrom,'Direct Costs'!$A$5:$A$2005,"&lt;="&amp;ReportTo)+SUMIFS('Operating Expenses'!$AC$5:$AC$2005,'Operating Expenses'!$B$5:$B$2005,$A26,'Operating Expenses'!$A$5:$A$2005,"&gt;="&amp;ReportFrom,'Operating Expenses'!$A$5:$A$2005,"&lt;="&amp;ReportTo)+SUMIFS('Payroll'!$Y$5:$Y$2005,'Payroll'!$B$5:$B$2005,$A26,'Payroll'!$A$5:$A$2005,"&gt;="&amp;ReportFrom,'Payroll'!$A$5:$A$2005,"&lt;="&amp;ReportTo)+SUMIFS('Receipt Vouchers'!$Y$5:$Y$2005,'Receipt Vouchers'!$B$5:$B$2005,$A26,'Receipt Vouchers'!$A$5:$A$2005,"&gt;="&amp;ReportFrom,'Receipt Vouchers'!$A$5:$A$2005,"&lt;="&amp;ReportTo)+SUMIFS('Sales Invoices'!$Z$5:$Z$2005,'Sales Invoices'!$C$5:$C$2005,$A26,'Sales Invoices'!$B$5:$B$2005,"&gt;="&amp;ReportFrom,'Sales Invoices'!$B$5:$B$2005,"&lt;="&amp;ReportTo)+SUMIFS('Payment Vouchers'!$P$5:$P$2005,'Payment Vouchers'!$G$5:$G$2005,$A26,'Payment Vouchers'!$A$5:$A$2005,"&gt;="&amp;ReportFrom,'Payment Vouchers'!$A$5:$A$2005,"&lt;="&amp;ReportTo)+SUMIFS('Partner Transactions'!$R$5:$R$2005,'Partner Transactions'!$H$5:$H$2005,$A26,'Partner Transactions'!$A$5:$A$2005,"&gt;="&amp;ReportFrom,'Partner Transactions'!$A$5:$A$2005,"&lt;="&amp;ReportTo)+SUMIFS('Stock Moves'!$AN$5:$AN$2005,'Stock Moves'!$I$5:$I$2005,$A26,'Stock Moves'!$A$5:$A$2005,"&gt;="&amp;ReportFrom,'Stock Moves'!$A$5:$A$2005,"&lt;="&amp;ReportTo)+SUMIFS('Journal Vouchers'!$P$5:$P$2005,'Journal Vouchers'!$D$5:$D$2005,$A26,'Journal Vouchers'!$B$5:$B$2005,"&gt;="&amp;ReportFrom,'Journal Vouchers'!$B$5:$B$2005,"&lt;="&amp;ReportTo))</f>
        <v/>
      </c>
      <c r="F26" s="52">
        <f>IF(A26="","",N('Business Units'!K26))</f>
        <v/>
      </c>
      <c r="G26" s="26">
        <f>IF(A26="",0,$K$5*N(F26))</f>
        <v/>
      </c>
      <c r="H26" s="26">
        <f>C26-D26-E26-G26</f>
        <v/>
      </c>
      <c r="I26" s="52">
        <f>IFERROR(H26/C26,0)</f>
        <v/>
      </c>
    </row>
    <row r="27">
      <c r="A27" s="25">
        <f>IF('Business Units'!A27="","",'Business Units'!A27&amp;"")</f>
        <v/>
      </c>
      <c r="B27" s="25">
        <f>IF(A27="","",'Business Units'!B27)</f>
        <v/>
      </c>
      <c r="C27" s="26">
        <f>IF(A27="",0,SUMIFS('Direct Costs'!$AF$5:$AF$2005,'Direct Costs'!$B$5:$B$2005,$A27,'Direct Costs'!$A$5:$A$2005,"&gt;="&amp;ReportFrom,'Direct Costs'!$A$5:$A$2005,"&lt;="&amp;ReportTo)+SUMIFS('Operating Expenses'!$AA$5:$AA$2005,'Operating Expenses'!$B$5:$B$2005,$A27,'Operating Expenses'!$A$5:$A$2005,"&gt;="&amp;ReportFrom,'Operating Expenses'!$A$5:$A$2005,"&lt;="&amp;ReportTo)+SUMIFS('Payroll'!$W$5:$W$2005,'Payroll'!$B$5:$B$2005,$A27,'Payroll'!$A$5:$A$2005,"&gt;="&amp;ReportFrom,'Payroll'!$A$5:$A$2005,"&lt;="&amp;ReportTo)+SUMIFS('Receipt Vouchers'!$W$5:$W$2005,'Receipt Vouchers'!$B$5:$B$2005,$A27,'Receipt Vouchers'!$A$5:$A$2005,"&gt;="&amp;ReportFrom,'Receipt Vouchers'!$A$5:$A$2005,"&lt;="&amp;ReportTo)+SUMIFS('Sales Invoices'!$X$5:$X$2005,'Sales Invoices'!$C$5:$C$2005,$A27,'Sales Invoices'!$B$5:$B$2005,"&gt;="&amp;ReportFrom,'Sales Invoices'!$B$5:$B$2005,"&lt;="&amp;ReportTo)+SUMIFS('Payment Vouchers'!$N$5:$N$2005,'Payment Vouchers'!$G$5:$G$2005,$A27,'Payment Vouchers'!$A$5:$A$2005,"&gt;="&amp;ReportFrom,'Payment Vouchers'!$A$5:$A$2005,"&lt;="&amp;ReportTo)+SUMIFS('Partner Transactions'!$P$5:$P$2005,'Partner Transactions'!$H$5:$H$2005,$A27,'Partner Transactions'!$A$5:$A$2005,"&gt;="&amp;ReportFrom,'Partner Transactions'!$A$5:$A$2005,"&lt;="&amp;ReportTo)+SUMIFS('Stock Moves'!$AL$5:$AL$2005,'Stock Moves'!$I$5:$I$2005,$A27,'Stock Moves'!$A$5:$A$2005,"&gt;="&amp;ReportFrom,'Stock Moves'!$A$5:$A$2005,"&lt;="&amp;ReportTo)+SUMIFS('Journal Vouchers'!$N$5:$N$2005,'Journal Vouchers'!$D$5:$D$2005,$A27,'Journal Vouchers'!$B$5:$B$2005,"&gt;="&amp;ReportFrom,'Journal Vouchers'!$B$5:$B$2005,"&lt;="&amp;ReportTo))</f>
        <v/>
      </c>
      <c r="D27" s="26">
        <f>IF(A27="",0,SUMIFS('Direct Costs'!$AG$5:$AG$2005,'Direct Costs'!$B$5:$B$2005,$A27,'Direct Costs'!$A$5:$A$2005,"&gt;="&amp;ReportFrom,'Direct Costs'!$A$5:$A$2005,"&lt;="&amp;ReportTo)+SUMIFS('Operating Expenses'!$AB$5:$AB$2005,'Operating Expenses'!$B$5:$B$2005,$A27,'Operating Expenses'!$A$5:$A$2005,"&gt;="&amp;ReportFrom,'Operating Expenses'!$A$5:$A$2005,"&lt;="&amp;ReportTo)+SUMIFS('Payroll'!$X$5:$X$2005,'Payroll'!$B$5:$B$2005,$A27,'Payroll'!$A$5:$A$2005,"&gt;="&amp;ReportFrom,'Payroll'!$A$5:$A$2005,"&lt;="&amp;ReportTo)+SUMIFS('Receipt Vouchers'!$X$5:$X$2005,'Receipt Vouchers'!$B$5:$B$2005,$A27,'Receipt Vouchers'!$A$5:$A$2005,"&gt;="&amp;ReportFrom,'Receipt Vouchers'!$A$5:$A$2005,"&lt;="&amp;ReportTo)+SUMIFS('Sales Invoices'!$Y$5:$Y$2005,'Sales Invoices'!$C$5:$C$2005,$A27,'Sales Invoices'!$B$5:$B$2005,"&gt;="&amp;ReportFrom,'Sales Invoices'!$B$5:$B$2005,"&lt;="&amp;ReportTo)+SUMIFS('Payment Vouchers'!$O$5:$O$2005,'Payment Vouchers'!$G$5:$G$2005,$A27,'Payment Vouchers'!$A$5:$A$2005,"&gt;="&amp;ReportFrom,'Payment Vouchers'!$A$5:$A$2005,"&lt;="&amp;ReportTo)+SUMIFS('Partner Transactions'!$Q$5:$Q$2005,'Partner Transactions'!$H$5:$H$2005,$A27,'Partner Transactions'!$A$5:$A$2005,"&gt;="&amp;ReportFrom,'Partner Transactions'!$A$5:$A$2005,"&lt;="&amp;ReportTo)+SUMIFS('Stock Moves'!$AM$5:$AM$2005,'Stock Moves'!$I$5:$I$2005,$A27,'Stock Moves'!$A$5:$A$2005,"&gt;="&amp;ReportFrom,'Stock Moves'!$A$5:$A$2005,"&lt;="&amp;ReportTo)+SUMIFS('Journal Vouchers'!$O$5:$O$2005,'Journal Vouchers'!$D$5:$D$2005,$A27,'Journal Vouchers'!$B$5:$B$2005,"&gt;="&amp;ReportFrom,'Journal Vouchers'!$B$5:$B$2005,"&lt;="&amp;ReportTo))</f>
        <v/>
      </c>
      <c r="E27" s="26">
        <f>IF(A27="",0,SUMIFS('Direct Costs'!$AH$5:$AH$2005,'Direct Costs'!$B$5:$B$2005,$A27,'Direct Costs'!$A$5:$A$2005,"&gt;="&amp;ReportFrom,'Direct Costs'!$A$5:$A$2005,"&lt;="&amp;ReportTo)+SUMIFS('Operating Expenses'!$AC$5:$AC$2005,'Operating Expenses'!$B$5:$B$2005,$A27,'Operating Expenses'!$A$5:$A$2005,"&gt;="&amp;ReportFrom,'Operating Expenses'!$A$5:$A$2005,"&lt;="&amp;ReportTo)+SUMIFS('Payroll'!$Y$5:$Y$2005,'Payroll'!$B$5:$B$2005,$A27,'Payroll'!$A$5:$A$2005,"&gt;="&amp;ReportFrom,'Payroll'!$A$5:$A$2005,"&lt;="&amp;ReportTo)+SUMIFS('Receipt Vouchers'!$Y$5:$Y$2005,'Receipt Vouchers'!$B$5:$B$2005,$A27,'Receipt Vouchers'!$A$5:$A$2005,"&gt;="&amp;ReportFrom,'Receipt Vouchers'!$A$5:$A$2005,"&lt;="&amp;ReportTo)+SUMIFS('Sales Invoices'!$Z$5:$Z$2005,'Sales Invoices'!$C$5:$C$2005,$A27,'Sales Invoices'!$B$5:$B$2005,"&gt;="&amp;ReportFrom,'Sales Invoices'!$B$5:$B$2005,"&lt;="&amp;ReportTo)+SUMIFS('Payment Vouchers'!$P$5:$P$2005,'Payment Vouchers'!$G$5:$G$2005,$A27,'Payment Vouchers'!$A$5:$A$2005,"&gt;="&amp;ReportFrom,'Payment Vouchers'!$A$5:$A$2005,"&lt;="&amp;ReportTo)+SUMIFS('Partner Transactions'!$R$5:$R$2005,'Partner Transactions'!$H$5:$H$2005,$A27,'Partner Transactions'!$A$5:$A$2005,"&gt;="&amp;ReportFrom,'Partner Transactions'!$A$5:$A$2005,"&lt;="&amp;ReportTo)+SUMIFS('Stock Moves'!$AN$5:$AN$2005,'Stock Moves'!$I$5:$I$2005,$A27,'Stock Moves'!$A$5:$A$2005,"&gt;="&amp;ReportFrom,'Stock Moves'!$A$5:$A$2005,"&lt;="&amp;ReportTo)+SUMIFS('Journal Vouchers'!$P$5:$P$2005,'Journal Vouchers'!$D$5:$D$2005,$A27,'Journal Vouchers'!$B$5:$B$2005,"&gt;="&amp;ReportFrom,'Journal Vouchers'!$B$5:$B$2005,"&lt;="&amp;ReportTo))</f>
        <v/>
      </c>
      <c r="F27" s="52">
        <f>IF(A27="","",N('Business Units'!K27))</f>
        <v/>
      </c>
      <c r="G27" s="26">
        <f>IF(A27="",0,$K$5*N(F27))</f>
        <v/>
      </c>
      <c r="H27" s="26">
        <f>C27-D27-E27-G27</f>
        <v/>
      </c>
      <c r="I27" s="52">
        <f>IFERROR(H27/C27,0)</f>
        <v/>
      </c>
    </row>
    <row r="28">
      <c r="A28" s="25">
        <f>IF('Business Units'!A28="","",'Business Units'!A28&amp;"")</f>
        <v/>
      </c>
      <c r="B28" s="25">
        <f>IF(A28="","",'Business Units'!B28)</f>
        <v/>
      </c>
      <c r="C28" s="26">
        <f>IF(A28="",0,SUMIFS('Direct Costs'!$AF$5:$AF$2005,'Direct Costs'!$B$5:$B$2005,$A28,'Direct Costs'!$A$5:$A$2005,"&gt;="&amp;ReportFrom,'Direct Costs'!$A$5:$A$2005,"&lt;="&amp;ReportTo)+SUMIFS('Operating Expenses'!$AA$5:$AA$2005,'Operating Expenses'!$B$5:$B$2005,$A28,'Operating Expenses'!$A$5:$A$2005,"&gt;="&amp;ReportFrom,'Operating Expenses'!$A$5:$A$2005,"&lt;="&amp;ReportTo)+SUMIFS('Payroll'!$W$5:$W$2005,'Payroll'!$B$5:$B$2005,$A28,'Payroll'!$A$5:$A$2005,"&gt;="&amp;ReportFrom,'Payroll'!$A$5:$A$2005,"&lt;="&amp;ReportTo)+SUMIFS('Receipt Vouchers'!$W$5:$W$2005,'Receipt Vouchers'!$B$5:$B$2005,$A28,'Receipt Vouchers'!$A$5:$A$2005,"&gt;="&amp;ReportFrom,'Receipt Vouchers'!$A$5:$A$2005,"&lt;="&amp;ReportTo)+SUMIFS('Sales Invoices'!$X$5:$X$2005,'Sales Invoices'!$C$5:$C$2005,$A28,'Sales Invoices'!$B$5:$B$2005,"&gt;="&amp;ReportFrom,'Sales Invoices'!$B$5:$B$2005,"&lt;="&amp;ReportTo)+SUMIFS('Payment Vouchers'!$N$5:$N$2005,'Payment Vouchers'!$G$5:$G$2005,$A28,'Payment Vouchers'!$A$5:$A$2005,"&gt;="&amp;ReportFrom,'Payment Vouchers'!$A$5:$A$2005,"&lt;="&amp;ReportTo)+SUMIFS('Partner Transactions'!$P$5:$P$2005,'Partner Transactions'!$H$5:$H$2005,$A28,'Partner Transactions'!$A$5:$A$2005,"&gt;="&amp;ReportFrom,'Partner Transactions'!$A$5:$A$2005,"&lt;="&amp;ReportTo)+SUMIFS('Stock Moves'!$AL$5:$AL$2005,'Stock Moves'!$I$5:$I$2005,$A28,'Stock Moves'!$A$5:$A$2005,"&gt;="&amp;ReportFrom,'Stock Moves'!$A$5:$A$2005,"&lt;="&amp;ReportTo)+SUMIFS('Journal Vouchers'!$N$5:$N$2005,'Journal Vouchers'!$D$5:$D$2005,$A28,'Journal Vouchers'!$B$5:$B$2005,"&gt;="&amp;ReportFrom,'Journal Vouchers'!$B$5:$B$2005,"&lt;="&amp;ReportTo))</f>
        <v/>
      </c>
      <c r="D28" s="26">
        <f>IF(A28="",0,SUMIFS('Direct Costs'!$AG$5:$AG$2005,'Direct Costs'!$B$5:$B$2005,$A28,'Direct Costs'!$A$5:$A$2005,"&gt;="&amp;ReportFrom,'Direct Costs'!$A$5:$A$2005,"&lt;="&amp;ReportTo)+SUMIFS('Operating Expenses'!$AB$5:$AB$2005,'Operating Expenses'!$B$5:$B$2005,$A28,'Operating Expenses'!$A$5:$A$2005,"&gt;="&amp;ReportFrom,'Operating Expenses'!$A$5:$A$2005,"&lt;="&amp;ReportTo)+SUMIFS('Payroll'!$X$5:$X$2005,'Payroll'!$B$5:$B$2005,$A28,'Payroll'!$A$5:$A$2005,"&gt;="&amp;ReportFrom,'Payroll'!$A$5:$A$2005,"&lt;="&amp;ReportTo)+SUMIFS('Receipt Vouchers'!$X$5:$X$2005,'Receipt Vouchers'!$B$5:$B$2005,$A28,'Receipt Vouchers'!$A$5:$A$2005,"&gt;="&amp;ReportFrom,'Receipt Vouchers'!$A$5:$A$2005,"&lt;="&amp;ReportTo)+SUMIFS('Sales Invoices'!$Y$5:$Y$2005,'Sales Invoices'!$C$5:$C$2005,$A28,'Sales Invoices'!$B$5:$B$2005,"&gt;="&amp;ReportFrom,'Sales Invoices'!$B$5:$B$2005,"&lt;="&amp;ReportTo)+SUMIFS('Payment Vouchers'!$O$5:$O$2005,'Payment Vouchers'!$G$5:$G$2005,$A28,'Payment Vouchers'!$A$5:$A$2005,"&gt;="&amp;ReportFrom,'Payment Vouchers'!$A$5:$A$2005,"&lt;="&amp;ReportTo)+SUMIFS('Partner Transactions'!$Q$5:$Q$2005,'Partner Transactions'!$H$5:$H$2005,$A28,'Partner Transactions'!$A$5:$A$2005,"&gt;="&amp;ReportFrom,'Partner Transactions'!$A$5:$A$2005,"&lt;="&amp;ReportTo)+SUMIFS('Stock Moves'!$AM$5:$AM$2005,'Stock Moves'!$I$5:$I$2005,$A28,'Stock Moves'!$A$5:$A$2005,"&gt;="&amp;ReportFrom,'Stock Moves'!$A$5:$A$2005,"&lt;="&amp;ReportTo)+SUMIFS('Journal Vouchers'!$O$5:$O$2005,'Journal Vouchers'!$D$5:$D$2005,$A28,'Journal Vouchers'!$B$5:$B$2005,"&gt;="&amp;ReportFrom,'Journal Vouchers'!$B$5:$B$2005,"&lt;="&amp;ReportTo))</f>
        <v/>
      </c>
      <c r="E28" s="26">
        <f>IF(A28="",0,SUMIFS('Direct Costs'!$AH$5:$AH$2005,'Direct Costs'!$B$5:$B$2005,$A28,'Direct Costs'!$A$5:$A$2005,"&gt;="&amp;ReportFrom,'Direct Costs'!$A$5:$A$2005,"&lt;="&amp;ReportTo)+SUMIFS('Operating Expenses'!$AC$5:$AC$2005,'Operating Expenses'!$B$5:$B$2005,$A28,'Operating Expenses'!$A$5:$A$2005,"&gt;="&amp;ReportFrom,'Operating Expenses'!$A$5:$A$2005,"&lt;="&amp;ReportTo)+SUMIFS('Payroll'!$Y$5:$Y$2005,'Payroll'!$B$5:$B$2005,$A28,'Payroll'!$A$5:$A$2005,"&gt;="&amp;ReportFrom,'Payroll'!$A$5:$A$2005,"&lt;="&amp;ReportTo)+SUMIFS('Receipt Vouchers'!$Y$5:$Y$2005,'Receipt Vouchers'!$B$5:$B$2005,$A28,'Receipt Vouchers'!$A$5:$A$2005,"&gt;="&amp;ReportFrom,'Receipt Vouchers'!$A$5:$A$2005,"&lt;="&amp;ReportTo)+SUMIFS('Sales Invoices'!$Z$5:$Z$2005,'Sales Invoices'!$C$5:$C$2005,$A28,'Sales Invoices'!$B$5:$B$2005,"&gt;="&amp;ReportFrom,'Sales Invoices'!$B$5:$B$2005,"&lt;="&amp;ReportTo)+SUMIFS('Payment Vouchers'!$P$5:$P$2005,'Payment Vouchers'!$G$5:$G$2005,$A28,'Payment Vouchers'!$A$5:$A$2005,"&gt;="&amp;ReportFrom,'Payment Vouchers'!$A$5:$A$2005,"&lt;="&amp;ReportTo)+SUMIFS('Partner Transactions'!$R$5:$R$2005,'Partner Transactions'!$H$5:$H$2005,$A28,'Partner Transactions'!$A$5:$A$2005,"&gt;="&amp;ReportFrom,'Partner Transactions'!$A$5:$A$2005,"&lt;="&amp;ReportTo)+SUMIFS('Stock Moves'!$AN$5:$AN$2005,'Stock Moves'!$I$5:$I$2005,$A28,'Stock Moves'!$A$5:$A$2005,"&gt;="&amp;ReportFrom,'Stock Moves'!$A$5:$A$2005,"&lt;="&amp;ReportTo)+SUMIFS('Journal Vouchers'!$P$5:$P$2005,'Journal Vouchers'!$D$5:$D$2005,$A28,'Journal Vouchers'!$B$5:$B$2005,"&gt;="&amp;ReportFrom,'Journal Vouchers'!$B$5:$B$2005,"&lt;="&amp;ReportTo))</f>
        <v/>
      </c>
      <c r="F28" s="52">
        <f>IF(A28="","",N('Business Units'!K28))</f>
        <v/>
      </c>
      <c r="G28" s="26">
        <f>IF(A28="",0,$K$5*N(F28))</f>
        <v/>
      </c>
      <c r="H28" s="26">
        <f>C28-D28-E28-G28</f>
        <v/>
      </c>
      <c r="I28" s="52">
        <f>IFERROR(H28/C28,0)</f>
        <v/>
      </c>
    </row>
    <row r="29">
      <c r="A29" s="25">
        <f>IF('Business Units'!A29="","",'Business Units'!A29&amp;"")</f>
        <v/>
      </c>
      <c r="B29" s="25">
        <f>IF(A29="","",'Business Units'!B29)</f>
        <v/>
      </c>
      <c r="C29" s="26">
        <f>IF(A29="",0,SUMIFS('Direct Costs'!$AF$5:$AF$2005,'Direct Costs'!$B$5:$B$2005,$A29,'Direct Costs'!$A$5:$A$2005,"&gt;="&amp;ReportFrom,'Direct Costs'!$A$5:$A$2005,"&lt;="&amp;ReportTo)+SUMIFS('Operating Expenses'!$AA$5:$AA$2005,'Operating Expenses'!$B$5:$B$2005,$A29,'Operating Expenses'!$A$5:$A$2005,"&gt;="&amp;ReportFrom,'Operating Expenses'!$A$5:$A$2005,"&lt;="&amp;ReportTo)+SUMIFS('Payroll'!$W$5:$W$2005,'Payroll'!$B$5:$B$2005,$A29,'Payroll'!$A$5:$A$2005,"&gt;="&amp;ReportFrom,'Payroll'!$A$5:$A$2005,"&lt;="&amp;ReportTo)+SUMIFS('Receipt Vouchers'!$W$5:$W$2005,'Receipt Vouchers'!$B$5:$B$2005,$A29,'Receipt Vouchers'!$A$5:$A$2005,"&gt;="&amp;ReportFrom,'Receipt Vouchers'!$A$5:$A$2005,"&lt;="&amp;ReportTo)+SUMIFS('Sales Invoices'!$X$5:$X$2005,'Sales Invoices'!$C$5:$C$2005,$A29,'Sales Invoices'!$B$5:$B$2005,"&gt;="&amp;ReportFrom,'Sales Invoices'!$B$5:$B$2005,"&lt;="&amp;ReportTo)+SUMIFS('Payment Vouchers'!$N$5:$N$2005,'Payment Vouchers'!$G$5:$G$2005,$A29,'Payment Vouchers'!$A$5:$A$2005,"&gt;="&amp;ReportFrom,'Payment Vouchers'!$A$5:$A$2005,"&lt;="&amp;ReportTo)+SUMIFS('Partner Transactions'!$P$5:$P$2005,'Partner Transactions'!$H$5:$H$2005,$A29,'Partner Transactions'!$A$5:$A$2005,"&gt;="&amp;ReportFrom,'Partner Transactions'!$A$5:$A$2005,"&lt;="&amp;ReportTo)+SUMIFS('Stock Moves'!$AL$5:$AL$2005,'Stock Moves'!$I$5:$I$2005,$A29,'Stock Moves'!$A$5:$A$2005,"&gt;="&amp;ReportFrom,'Stock Moves'!$A$5:$A$2005,"&lt;="&amp;ReportTo)+SUMIFS('Journal Vouchers'!$N$5:$N$2005,'Journal Vouchers'!$D$5:$D$2005,$A29,'Journal Vouchers'!$B$5:$B$2005,"&gt;="&amp;ReportFrom,'Journal Vouchers'!$B$5:$B$2005,"&lt;="&amp;ReportTo))</f>
        <v/>
      </c>
      <c r="D29" s="26">
        <f>IF(A29="",0,SUMIFS('Direct Costs'!$AG$5:$AG$2005,'Direct Costs'!$B$5:$B$2005,$A29,'Direct Costs'!$A$5:$A$2005,"&gt;="&amp;ReportFrom,'Direct Costs'!$A$5:$A$2005,"&lt;="&amp;ReportTo)+SUMIFS('Operating Expenses'!$AB$5:$AB$2005,'Operating Expenses'!$B$5:$B$2005,$A29,'Operating Expenses'!$A$5:$A$2005,"&gt;="&amp;ReportFrom,'Operating Expenses'!$A$5:$A$2005,"&lt;="&amp;ReportTo)+SUMIFS('Payroll'!$X$5:$X$2005,'Payroll'!$B$5:$B$2005,$A29,'Payroll'!$A$5:$A$2005,"&gt;="&amp;ReportFrom,'Payroll'!$A$5:$A$2005,"&lt;="&amp;ReportTo)+SUMIFS('Receipt Vouchers'!$X$5:$X$2005,'Receipt Vouchers'!$B$5:$B$2005,$A29,'Receipt Vouchers'!$A$5:$A$2005,"&gt;="&amp;ReportFrom,'Receipt Vouchers'!$A$5:$A$2005,"&lt;="&amp;ReportTo)+SUMIFS('Sales Invoices'!$Y$5:$Y$2005,'Sales Invoices'!$C$5:$C$2005,$A29,'Sales Invoices'!$B$5:$B$2005,"&gt;="&amp;ReportFrom,'Sales Invoices'!$B$5:$B$2005,"&lt;="&amp;ReportTo)+SUMIFS('Payment Vouchers'!$O$5:$O$2005,'Payment Vouchers'!$G$5:$G$2005,$A29,'Payment Vouchers'!$A$5:$A$2005,"&gt;="&amp;ReportFrom,'Payment Vouchers'!$A$5:$A$2005,"&lt;="&amp;ReportTo)+SUMIFS('Partner Transactions'!$Q$5:$Q$2005,'Partner Transactions'!$H$5:$H$2005,$A29,'Partner Transactions'!$A$5:$A$2005,"&gt;="&amp;ReportFrom,'Partner Transactions'!$A$5:$A$2005,"&lt;="&amp;ReportTo)+SUMIFS('Stock Moves'!$AM$5:$AM$2005,'Stock Moves'!$I$5:$I$2005,$A29,'Stock Moves'!$A$5:$A$2005,"&gt;="&amp;ReportFrom,'Stock Moves'!$A$5:$A$2005,"&lt;="&amp;ReportTo)+SUMIFS('Journal Vouchers'!$O$5:$O$2005,'Journal Vouchers'!$D$5:$D$2005,$A29,'Journal Vouchers'!$B$5:$B$2005,"&gt;="&amp;ReportFrom,'Journal Vouchers'!$B$5:$B$2005,"&lt;="&amp;ReportTo))</f>
        <v/>
      </c>
      <c r="E29" s="26">
        <f>IF(A29="",0,SUMIFS('Direct Costs'!$AH$5:$AH$2005,'Direct Costs'!$B$5:$B$2005,$A29,'Direct Costs'!$A$5:$A$2005,"&gt;="&amp;ReportFrom,'Direct Costs'!$A$5:$A$2005,"&lt;="&amp;ReportTo)+SUMIFS('Operating Expenses'!$AC$5:$AC$2005,'Operating Expenses'!$B$5:$B$2005,$A29,'Operating Expenses'!$A$5:$A$2005,"&gt;="&amp;ReportFrom,'Operating Expenses'!$A$5:$A$2005,"&lt;="&amp;ReportTo)+SUMIFS('Payroll'!$Y$5:$Y$2005,'Payroll'!$B$5:$B$2005,$A29,'Payroll'!$A$5:$A$2005,"&gt;="&amp;ReportFrom,'Payroll'!$A$5:$A$2005,"&lt;="&amp;ReportTo)+SUMIFS('Receipt Vouchers'!$Y$5:$Y$2005,'Receipt Vouchers'!$B$5:$B$2005,$A29,'Receipt Vouchers'!$A$5:$A$2005,"&gt;="&amp;ReportFrom,'Receipt Vouchers'!$A$5:$A$2005,"&lt;="&amp;ReportTo)+SUMIFS('Sales Invoices'!$Z$5:$Z$2005,'Sales Invoices'!$C$5:$C$2005,$A29,'Sales Invoices'!$B$5:$B$2005,"&gt;="&amp;ReportFrom,'Sales Invoices'!$B$5:$B$2005,"&lt;="&amp;ReportTo)+SUMIFS('Payment Vouchers'!$P$5:$P$2005,'Payment Vouchers'!$G$5:$G$2005,$A29,'Payment Vouchers'!$A$5:$A$2005,"&gt;="&amp;ReportFrom,'Payment Vouchers'!$A$5:$A$2005,"&lt;="&amp;ReportTo)+SUMIFS('Partner Transactions'!$R$5:$R$2005,'Partner Transactions'!$H$5:$H$2005,$A29,'Partner Transactions'!$A$5:$A$2005,"&gt;="&amp;ReportFrom,'Partner Transactions'!$A$5:$A$2005,"&lt;="&amp;ReportTo)+SUMIFS('Stock Moves'!$AN$5:$AN$2005,'Stock Moves'!$I$5:$I$2005,$A29,'Stock Moves'!$A$5:$A$2005,"&gt;="&amp;ReportFrom,'Stock Moves'!$A$5:$A$2005,"&lt;="&amp;ReportTo)+SUMIFS('Journal Vouchers'!$P$5:$P$2005,'Journal Vouchers'!$D$5:$D$2005,$A29,'Journal Vouchers'!$B$5:$B$2005,"&gt;="&amp;ReportFrom,'Journal Vouchers'!$B$5:$B$2005,"&lt;="&amp;ReportTo))</f>
        <v/>
      </c>
      <c r="F29" s="52">
        <f>IF(A29="","",N('Business Units'!K29))</f>
        <v/>
      </c>
      <c r="G29" s="26">
        <f>IF(A29="",0,$K$5*N(F29))</f>
        <v/>
      </c>
      <c r="H29" s="26">
        <f>C29-D29-E29-G29</f>
        <v/>
      </c>
      <c r="I29" s="52">
        <f>IFERROR(H29/C29,0)</f>
        <v/>
      </c>
    </row>
    <row r="30">
      <c r="A30" s="25">
        <f>IF('Business Units'!A30="","",'Business Units'!A30&amp;"")</f>
        <v/>
      </c>
      <c r="B30" s="25">
        <f>IF(A30="","",'Business Units'!B30)</f>
        <v/>
      </c>
      <c r="C30" s="26">
        <f>IF(A30="",0,SUMIFS('Direct Costs'!$AF$5:$AF$2005,'Direct Costs'!$B$5:$B$2005,$A30,'Direct Costs'!$A$5:$A$2005,"&gt;="&amp;ReportFrom,'Direct Costs'!$A$5:$A$2005,"&lt;="&amp;ReportTo)+SUMIFS('Operating Expenses'!$AA$5:$AA$2005,'Operating Expenses'!$B$5:$B$2005,$A30,'Operating Expenses'!$A$5:$A$2005,"&gt;="&amp;ReportFrom,'Operating Expenses'!$A$5:$A$2005,"&lt;="&amp;ReportTo)+SUMIFS('Payroll'!$W$5:$W$2005,'Payroll'!$B$5:$B$2005,$A30,'Payroll'!$A$5:$A$2005,"&gt;="&amp;ReportFrom,'Payroll'!$A$5:$A$2005,"&lt;="&amp;ReportTo)+SUMIFS('Receipt Vouchers'!$W$5:$W$2005,'Receipt Vouchers'!$B$5:$B$2005,$A30,'Receipt Vouchers'!$A$5:$A$2005,"&gt;="&amp;ReportFrom,'Receipt Vouchers'!$A$5:$A$2005,"&lt;="&amp;ReportTo)+SUMIFS('Sales Invoices'!$X$5:$X$2005,'Sales Invoices'!$C$5:$C$2005,$A30,'Sales Invoices'!$B$5:$B$2005,"&gt;="&amp;ReportFrom,'Sales Invoices'!$B$5:$B$2005,"&lt;="&amp;ReportTo)+SUMIFS('Payment Vouchers'!$N$5:$N$2005,'Payment Vouchers'!$G$5:$G$2005,$A30,'Payment Vouchers'!$A$5:$A$2005,"&gt;="&amp;ReportFrom,'Payment Vouchers'!$A$5:$A$2005,"&lt;="&amp;ReportTo)+SUMIFS('Partner Transactions'!$P$5:$P$2005,'Partner Transactions'!$H$5:$H$2005,$A30,'Partner Transactions'!$A$5:$A$2005,"&gt;="&amp;ReportFrom,'Partner Transactions'!$A$5:$A$2005,"&lt;="&amp;ReportTo)+SUMIFS('Stock Moves'!$AL$5:$AL$2005,'Stock Moves'!$I$5:$I$2005,$A30,'Stock Moves'!$A$5:$A$2005,"&gt;="&amp;ReportFrom,'Stock Moves'!$A$5:$A$2005,"&lt;="&amp;ReportTo)+SUMIFS('Journal Vouchers'!$N$5:$N$2005,'Journal Vouchers'!$D$5:$D$2005,$A30,'Journal Vouchers'!$B$5:$B$2005,"&gt;="&amp;ReportFrom,'Journal Vouchers'!$B$5:$B$2005,"&lt;="&amp;ReportTo))</f>
        <v/>
      </c>
      <c r="D30" s="26">
        <f>IF(A30="",0,SUMIFS('Direct Costs'!$AG$5:$AG$2005,'Direct Costs'!$B$5:$B$2005,$A30,'Direct Costs'!$A$5:$A$2005,"&gt;="&amp;ReportFrom,'Direct Costs'!$A$5:$A$2005,"&lt;="&amp;ReportTo)+SUMIFS('Operating Expenses'!$AB$5:$AB$2005,'Operating Expenses'!$B$5:$B$2005,$A30,'Operating Expenses'!$A$5:$A$2005,"&gt;="&amp;ReportFrom,'Operating Expenses'!$A$5:$A$2005,"&lt;="&amp;ReportTo)+SUMIFS('Payroll'!$X$5:$X$2005,'Payroll'!$B$5:$B$2005,$A30,'Payroll'!$A$5:$A$2005,"&gt;="&amp;ReportFrom,'Payroll'!$A$5:$A$2005,"&lt;="&amp;ReportTo)+SUMIFS('Receipt Vouchers'!$X$5:$X$2005,'Receipt Vouchers'!$B$5:$B$2005,$A30,'Receipt Vouchers'!$A$5:$A$2005,"&gt;="&amp;ReportFrom,'Receipt Vouchers'!$A$5:$A$2005,"&lt;="&amp;ReportTo)+SUMIFS('Sales Invoices'!$Y$5:$Y$2005,'Sales Invoices'!$C$5:$C$2005,$A30,'Sales Invoices'!$B$5:$B$2005,"&gt;="&amp;ReportFrom,'Sales Invoices'!$B$5:$B$2005,"&lt;="&amp;ReportTo)+SUMIFS('Payment Vouchers'!$O$5:$O$2005,'Payment Vouchers'!$G$5:$G$2005,$A30,'Payment Vouchers'!$A$5:$A$2005,"&gt;="&amp;ReportFrom,'Payment Vouchers'!$A$5:$A$2005,"&lt;="&amp;ReportTo)+SUMIFS('Partner Transactions'!$Q$5:$Q$2005,'Partner Transactions'!$H$5:$H$2005,$A30,'Partner Transactions'!$A$5:$A$2005,"&gt;="&amp;ReportFrom,'Partner Transactions'!$A$5:$A$2005,"&lt;="&amp;ReportTo)+SUMIFS('Stock Moves'!$AM$5:$AM$2005,'Stock Moves'!$I$5:$I$2005,$A30,'Stock Moves'!$A$5:$A$2005,"&gt;="&amp;ReportFrom,'Stock Moves'!$A$5:$A$2005,"&lt;="&amp;ReportTo)+SUMIFS('Journal Vouchers'!$O$5:$O$2005,'Journal Vouchers'!$D$5:$D$2005,$A30,'Journal Vouchers'!$B$5:$B$2005,"&gt;="&amp;ReportFrom,'Journal Vouchers'!$B$5:$B$2005,"&lt;="&amp;ReportTo))</f>
        <v/>
      </c>
      <c r="E30" s="26">
        <f>IF(A30="",0,SUMIFS('Direct Costs'!$AH$5:$AH$2005,'Direct Costs'!$B$5:$B$2005,$A30,'Direct Costs'!$A$5:$A$2005,"&gt;="&amp;ReportFrom,'Direct Costs'!$A$5:$A$2005,"&lt;="&amp;ReportTo)+SUMIFS('Operating Expenses'!$AC$5:$AC$2005,'Operating Expenses'!$B$5:$B$2005,$A30,'Operating Expenses'!$A$5:$A$2005,"&gt;="&amp;ReportFrom,'Operating Expenses'!$A$5:$A$2005,"&lt;="&amp;ReportTo)+SUMIFS('Payroll'!$Y$5:$Y$2005,'Payroll'!$B$5:$B$2005,$A30,'Payroll'!$A$5:$A$2005,"&gt;="&amp;ReportFrom,'Payroll'!$A$5:$A$2005,"&lt;="&amp;ReportTo)+SUMIFS('Receipt Vouchers'!$Y$5:$Y$2005,'Receipt Vouchers'!$B$5:$B$2005,$A30,'Receipt Vouchers'!$A$5:$A$2005,"&gt;="&amp;ReportFrom,'Receipt Vouchers'!$A$5:$A$2005,"&lt;="&amp;ReportTo)+SUMIFS('Sales Invoices'!$Z$5:$Z$2005,'Sales Invoices'!$C$5:$C$2005,$A30,'Sales Invoices'!$B$5:$B$2005,"&gt;="&amp;ReportFrom,'Sales Invoices'!$B$5:$B$2005,"&lt;="&amp;ReportTo)+SUMIFS('Payment Vouchers'!$P$5:$P$2005,'Payment Vouchers'!$G$5:$G$2005,$A30,'Payment Vouchers'!$A$5:$A$2005,"&gt;="&amp;ReportFrom,'Payment Vouchers'!$A$5:$A$2005,"&lt;="&amp;ReportTo)+SUMIFS('Partner Transactions'!$R$5:$R$2005,'Partner Transactions'!$H$5:$H$2005,$A30,'Partner Transactions'!$A$5:$A$2005,"&gt;="&amp;ReportFrom,'Partner Transactions'!$A$5:$A$2005,"&lt;="&amp;ReportTo)+SUMIFS('Stock Moves'!$AN$5:$AN$2005,'Stock Moves'!$I$5:$I$2005,$A30,'Stock Moves'!$A$5:$A$2005,"&gt;="&amp;ReportFrom,'Stock Moves'!$A$5:$A$2005,"&lt;="&amp;ReportTo)+SUMIFS('Journal Vouchers'!$P$5:$P$2005,'Journal Vouchers'!$D$5:$D$2005,$A30,'Journal Vouchers'!$B$5:$B$2005,"&gt;="&amp;ReportFrom,'Journal Vouchers'!$B$5:$B$2005,"&lt;="&amp;ReportTo))</f>
        <v/>
      </c>
      <c r="F30" s="52">
        <f>IF(A30="","",N('Business Units'!K30))</f>
        <v/>
      </c>
      <c r="G30" s="26">
        <f>IF(A30="",0,$K$5*N(F30))</f>
        <v/>
      </c>
      <c r="H30" s="26">
        <f>C30-D30-E30-G30</f>
        <v/>
      </c>
      <c r="I30" s="52">
        <f>IFERROR(H30/C30,0)</f>
        <v/>
      </c>
    </row>
    <row r="31">
      <c r="A31" s="25">
        <f>IF('Business Units'!A31="","",'Business Units'!A31&amp;"")</f>
        <v/>
      </c>
      <c r="B31" s="25">
        <f>IF(A31="","",'Business Units'!B31)</f>
        <v/>
      </c>
      <c r="C31" s="26">
        <f>IF(A31="",0,SUMIFS('Direct Costs'!$AF$5:$AF$2005,'Direct Costs'!$B$5:$B$2005,$A31,'Direct Costs'!$A$5:$A$2005,"&gt;="&amp;ReportFrom,'Direct Costs'!$A$5:$A$2005,"&lt;="&amp;ReportTo)+SUMIFS('Operating Expenses'!$AA$5:$AA$2005,'Operating Expenses'!$B$5:$B$2005,$A31,'Operating Expenses'!$A$5:$A$2005,"&gt;="&amp;ReportFrom,'Operating Expenses'!$A$5:$A$2005,"&lt;="&amp;ReportTo)+SUMIFS('Payroll'!$W$5:$W$2005,'Payroll'!$B$5:$B$2005,$A31,'Payroll'!$A$5:$A$2005,"&gt;="&amp;ReportFrom,'Payroll'!$A$5:$A$2005,"&lt;="&amp;ReportTo)+SUMIFS('Receipt Vouchers'!$W$5:$W$2005,'Receipt Vouchers'!$B$5:$B$2005,$A31,'Receipt Vouchers'!$A$5:$A$2005,"&gt;="&amp;ReportFrom,'Receipt Vouchers'!$A$5:$A$2005,"&lt;="&amp;ReportTo)+SUMIFS('Sales Invoices'!$X$5:$X$2005,'Sales Invoices'!$C$5:$C$2005,$A31,'Sales Invoices'!$B$5:$B$2005,"&gt;="&amp;ReportFrom,'Sales Invoices'!$B$5:$B$2005,"&lt;="&amp;ReportTo)+SUMIFS('Payment Vouchers'!$N$5:$N$2005,'Payment Vouchers'!$G$5:$G$2005,$A31,'Payment Vouchers'!$A$5:$A$2005,"&gt;="&amp;ReportFrom,'Payment Vouchers'!$A$5:$A$2005,"&lt;="&amp;ReportTo)+SUMIFS('Partner Transactions'!$P$5:$P$2005,'Partner Transactions'!$H$5:$H$2005,$A31,'Partner Transactions'!$A$5:$A$2005,"&gt;="&amp;ReportFrom,'Partner Transactions'!$A$5:$A$2005,"&lt;="&amp;ReportTo)+SUMIFS('Stock Moves'!$AL$5:$AL$2005,'Stock Moves'!$I$5:$I$2005,$A31,'Stock Moves'!$A$5:$A$2005,"&gt;="&amp;ReportFrom,'Stock Moves'!$A$5:$A$2005,"&lt;="&amp;ReportTo)+SUMIFS('Journal Vouchers'!$N$5:$N$2005,'Journal Vouchers'!$D$5:$D$2005,$A31,'Journal Vouchers'!$B$5:$B$2005,"&gt;="&amp;ReportFrom,'Journal Vouchers'!$B$5:$B$2005,"&lt;="&amp;ReportTo))</f>
        <v/>
      </c>
      <c r="D31" s="26">
        <f>IF(A31="",0,SUMIFS('Direct Costs'!$AG$5:$AG$2005,'Direct Costs'!$B$5:$B$2005,$A31,'Direct Costs'!$A$5:$A$2005,"&gt;="&amp;ReportFrom,'Direct Costs'!$A$5:$A$2005,"&lt;="&amp;ReportTo)+SUMIFS('Operating Expenses'!$AB$5:$AB$2005,'Operating Expenses'!$B$5:$B$2005,$A31,'Operating Expenses'!$A$5:$A$2005,"&gt;="&amp;ReportFrom,'Operating Expenses'!$A$5:$A$2005,"&lt;="&amp;ReportTo)+SUMIFS('Payroll'!$X$5:$X$2005,'Payroll'!$B$5:$B$2005,$A31,'Payroll'!$A$5:$A$2005,"&gt;="&amp;ReportFrom,'Payroll'!$A$5:$A$2005,"&lt;="&amp;ReportTo)+SUMIFS('Receipt Vouchers'!$X$5:$X$2005,'Receipt Vouchers'!$B$5:$B$2005,$A31,'Receipt Vouchers'!$A$5:$A$2005,"&gt;="&amp;ReportFrom,'Receipt Vouchers'!$A$5:$A$2005,"&lt;="&amp;ReportTo)+SUMIFS('Sales Invoices'!$Y$5:$Y$2005,'Sales Invoices'!$C$5:$C$2005,$A31,'Sales Invoices'!$B$5:$B$2005,"&gt;="&amp;ReportFrom,'Sales Invoices'!$B$5:$B$2005,"&lt;="&amp;ReportTo)+SUMIFS('Payment Vouchers'!$O$5:$O$2005,'Payment Vouchers'!$G$5:$G$2005,$A31,'Payment Vouchers'!$A$5:$A$2005,"&gt;="&amp;ReportFrom,'Payment Vouchers'!$A$5:$A$2005,"&lt;="&amp;ReportTo)+SUMIFS('Partner Transactions'!$Q$5:$Q$2005,'Partner Transactions'!$H$5:$H$2005,$A31,'Partner Transactions'!$A$5:$A$2005,"&gt;="&amp;ReportFrom,'Partner Transactions'!$A$5:$A$2005,"&lt;="&amp;ReportTo)+SUMIFS('Stock Moves'!$AM$5:$AM$2005,'Stock Moves'!$I$5:$I$2005,$A31,'Stock Moves'!$A$5:$A$2005,"&gt;="&amp;ReportFrom,'Stock Moves'!$A$5:$A$2005,"&lt;="&amp;ReportTo)+SUMIFS('Journal Vouchers'!$O$5:$O$2005,'Journal Vouchers'!$D$5:$D$2005,$A31,'Journal Vouchers'!$B$5:$B$2005,"&gt;="&amp;ReportFrom,'Journal Vouchers'!$B$5:$B$2005,"&lt;="&amp;ReportTo))</f>
        <v/>
      </c>
      <c r="E31" s="26">
        <f>IF(A31="",0,SUMIFS('Direct Costs'!$AH$5:$AH$2005,'Direct Costs'!$B$5:$B$2005,$A31,'Direct Costs'!$A$5:$A$2005,"&gt;="&amp;ReportFrom,'Direct Costs'!$A$5:$A$2005,"&lt;="&amp;ReportTo)+SUMIFS('Operating Expenses'!$AC$5:$AC$2005,'Operating Expenses'!$B$5:$B$2005,$A31,'Operating Expenses'!$A$5:$A$2005,"&gt;="&amp;ReportFrom,'Operating Expenses'!$A$5:$A$2005,"&lt;="&amp;ReportTo)+SUMIFS('Payroll'!$Y$5:$Y$2005,'Payroll'!$B$5:$B$2005,$A31,'Payroll'!$A$5:$A$2005,"&gt;="&amp;ReportFrom,'Payroll'!$A$5:$A$2005,"&lt;="&amp;ReportTo)+SUMIFS('Receipt Vouchers'!$Y$5:$Y$2005,'Receipt Vouchers'!$B$5:$B$2005,$A31,'Receipt Vouchers'!$A$5:$A$2005,"&gt;="&amp;ReportFrom,'Receipt Vouchers'!$A$5:$A$2005,"&lt;="&amp;ReportTo)+SUMIFS('Sales Invoices'!$Z$5:$Z$2005,'Sales Invoices'!$C$5:$C$2005,$A31,'Sales Invoices'!$B$5:$B$2005,"&gt;="&amp;ReportFrom,'Sales Invoices'!$B$5:$B$2005,"&lt;="&amp;ReportTo)+SUMIFS('Payment Vouchers'!$P$5:$P$2005,'Payment Vouchers'!$G$5:$G$2005,$A31,'Payment Vouchers'!$A$5:$A$2005,"&gt;="&amp;ReportFrom,'Payment Vouchers'!$A$5:$A$2005,"&lt;="&amp;ReportTo)+SUMIFS('Partner Transactions'!$R$5:$R$2005,'Partner Transactions'!$H$5:$H$2005,$A31,'Partner Transactions'!$A$5:$A$2005,"&gt;="&amp;ReportFrom,'Partner Transactions'!$A$5:$A$2005,"&lt;="&amp;ReportTo)+SUMIFS('Stock Moves'!$AN$5:$AN$2005,'Stock Moves'!$I$5:$I$2005,$A31,'Stock Moves'!$A$5:$A$2005,"&gt;="&amp;ReportFrom,'Stock Moves'!$A$5:$A$2005,"&lt;="&amp;ReportTo)+SUMIFS('Journal Vouchers'!$P$5:$P$2005,'Journal Vouchers'!$D$5:$D$2005,$A31,'Journal Vouchers'!$B$5:$B$2005,"&gt;="&amp;ReportFrom,'Journal Vouchers'!$B$5:$B$2005,"&lt;="&amp;ReportTo))</f>
        <v/>
      </c>
      <c r="F31" s="52">
        <f>IF(A31="","",N('Business Units'!K31))</f>
        <v/>
      </c>
      <c r="G31" s="26">
        <f>IF(A31="",0,$K$5*N(F31))</f>
        <v/>
      </c>
      <c r="H31" s="26">
        <f>C31-D31-E31-G31</f>
        <v/>
      </c>
      <c r="I31" s="52">
        <f>IFERROR(H31/C31,0)</f>
        <v/>
      </c>
    </row>
    <row r="32">
      <c r="A32" s="25">
        <f>IF('Business Units'!A32="","",'Business Units'!A32&amp;"")</f>
        <v/>
      </c>
      <c r="B32" s="25">
        <f>IF(A32="","",'Business Units'!B32)</f>
        <v/>
      </c>
      <c r="C32" s="26">
        <f>IF(A32="",0,SUMIFS('Direct Costs'!$AF$5:$AF$2005,'Direct Costs'!$B$5:$B$2005,$A32,'Direct Costs'!$A$5:$A$2005,"&gt;="&amp;ReportFrom,'Direct Costs'!$A$5:$A$2005,"&lt;="&amp;ReportTo)+SUMIFS('Operating Expenses'!$AA$5:$AA$2005,'Operating Expenses'!$B$5:$B$2005,$A32,'Operating Expenses'!$A$5:$A$2005,"&gt;="&amp;ReportFrom,'Operating Expenses'!$A$5:$A$2005,"&lt;="&amp;ReportTo)+SUMIFS('Payroll'!$W$5:$W$2005,'Payroll'!$B$5:$B$2005,$A32,'Payroll'!$A$5:$A$2005,"&gt;="&amp;ReportFrom,'Payroll'!$A$5:$A$2005,"&lt;="&amp;ReportTo)+SUMIFS('Receipt Vouchers'!$W$5:$W$2005,'Receipt Vouchers'!$B$5:$B$2005,$A32,'Receipt Vouchers'!$A$5:$A$2005,"&gt;="&amp;ReportFrom,'Receipt Vouchers'!$A$5:$A$2005,"&lt;="&amp;ReportTo)+SUMIFS('Sales Invoices'!$X$5:$X$2005,'Sales Invoices'!$C$5:$C$2005,$A32,'Sales Invoices'!$B$5:$B$2005,"&gt;="&amp;ReportFrom,'Sales Invoices'!$B$5:$B$2005,"&lt;="&amp;ReportTo)+SUMIFS('Payment Vouchers'!$N$5:$N$2005,'Payment Vouchers'!$G$5:$G$2005,$A32,'Payment Vouchers'!$A$5:$A$2005,"&gt;="&amp;ReportFrom,'Payment Vouchers'!$A$5:$A$2005,"&lt;="&amp;ReportTo)+SUMIFS('Partner Transactions'!$P$5:$P$2005,'Partner Transactions'!$H$5:$H$2005,$A32,'Partner Transactions'!$A$5:$A$2005,"&gt;="&amp;ReportFrom,'Partner Transactions'!$A$5:$A$2005,"&lt;="&amp;ReportTo)+SUMIFS('Stock Moves'!$AL$5:$AL$2005,'Stock Moves'!$I$5:$I$2005,$A32,'Stock Moves'!$A$5:$A$2005,"&gt;="&amp;ReportFrom,'Stock Moves'!$A$5:$A$2005,"&lt;="&amp;ReportTo)+SUMIFS('Journal Vouchers'!$N$5:$N$2005,'Journal Vouchers'!$D$5:$D$2005,$A32,'Journal Vouchers'!$B$5:$B$2005,"&gt;="&amp;ReportFrom,'Journal Vouchers'!$B$5:$B$2005,"&lt;="&amp;ReportTo))</f>
        <v/>
      </c>
      <c r="D32" s="26">
        <f>IF(A32="",0,SUMIFS('Direct Costs'!$AG$5:$AG$2005,'Direct Costs'!$B$5:$B$2005,$A32,'Direct Costs'!$A$5:$A$2005,"&gt;="&amp;ReportFrom,'Direct Costs'!$A$5:$A$2005,"&lt;="&amp;ReportTo)+SUMIFS('Operating Expenses'!$AB$5:$AB$2005,'Operating Expenses'!$B$5:$B$2005,$A32,'Operating Expenses'!$A$5:$A$2005,"&gt;="&amp;ReportFrom,'Operating Expenses'!$A$5:$A$2005,"&lt;="&amp;ReportTo)+SUMIFS('Payroll'!$X$5:$X$2005,'Payroll'!$B$5:$B$2005,$A32,'Payroll'!$A$5:$A$2005,"&gt;="&amp;ReportFrom,'Payroll'!$A$5:$A$2005,"&lt;="&amp;ReportTo)+SUMIFS('Receipt Vouchers'!$X$5:$X$2005,'Receipt Vouchers'!$B$5:$B$2005,$A32,'Receipt Vouchers'!$A$5:$A$2005,"&gt;="&amp;ReportFrom,'Receipt Vouchers'!$A$5:$A$2005,"&lt;="&amp;ReportTo)+SUMIFS('Sales Invoices'!$Y$5:$Y$2005,'Sales Invoices'!$C$5:$C$2005,$A32,'Sales Invoices'!$B$5:$B$2005,"&gt;="&amp;ReportFrom,'Sales Invoices'!$B$5:$B$2005,"&lt;="&amp;ReportTo)+SUMIFS('Payment Vouchers'!$O$5:$O$2005,'Payment Vouchers'!$G$5:$G$2005,$A32,'Payment Vouchers'!$A$5:$A$2005,"&gt;="&amp;ReportFrom,'Payment Vouchers'!$A$5:$A$2005,"&lt;="&amp;ReportTo)+SUMIFS('Partner Transactions'!$Q$5:$Q$2005,'Partner Transactions'!$H$5:$H$2005,$A32,'Partner Transactions'!$A$5:$A$2005,"&gt;="&amp;ReportFrom,'Partner Transactions'!$A$5:$A$2005,"&lt;="&amp;ReportTo)+SUMIFS('Stock Moves'!$AM$5:$AM$2005,'Stock Moves'!$I$5:$I$2005,$A32,'Stock Moves'!$A$5:$A$2005,"&gt;="&amp;ReportFrom,'Stock Moves'!$A$5:$A$2005,"&lt;="&amp;ReportTo)+SUMIFS('Journal Vouchers'!$O$5:$O$2005,'Journal Vouchers'!$D$5:$D$2005,$A32,'Journal Vouchers'!$B$5:$B$2005,"&gt;="&amp;ReportFrom,'Journal Vouchers'!$B$5:$B$2005,"&lt;="&amp;ReportTo))</f>
        <v/>
      </c>
      <c r="E32" s="26">
        <f>IF(A32="",0,SUMIFS('Direct Costs'!$AH$5:$AH$2005,'Direct Costs'!$B$5:$B$2005,$A32,'Direct Costs'!$A$5:$A$2005,"&gt;="&amp;ReportFrom,'Direct Costs'!$A$5:$A$2005,"&lt;="&amp;ReportTo)+SUMIFS('Operating Expenses'!$AC$5:$AC$2005,'Operating Expenses'!$B$5:$B$2005,$A32,'Operating Expenses'!$A$5:$A$2005,"&gt;="&amp;ReportFrom,'Operating Expenses'!$A$5:$A$2005,"&lt;="&amp;ReportTo)+SUMIFS('Payroll'!$Y$5:$Y$2005,'Payroll'!$B$5:$B$2005,$A32,'Payroll'!$A$5:$A$2005,"&gt;="&amp;ReportFrom,'Payroll'!$A$5:$A$2005,"&lt;="&amp;ReportTo)+SUMIFS('Receipt Vouchers'!$Y$5:$Y$2005,'Receipt Vouchers'!$B$5:$B$2005,$A32,'Receipt Vouchers'!$A$5:$A$2005,"&gt;="&amp;ReportFrom,'Receipt Vouchers'!$A$5:$A$2005,"&lt;="&amp;ReportTo)+SUMIFS('Sales Invoices'!$Z$5:$Z$2005,'Sales Invoices'!$C$5:$C$2005,$A32,'Sales Invoices'!$B$5:$B$2005,"&gt;="&amp;ReportFrom,'Sales Invoices'!$B$5:$B$2005,"&lt;="&amp;ReportTo)+SUMIFS('Payment Vouchers'!$P$5:$P$2005,'Payment Vouchers'!$G$5:$G$2005,$A32,'Payment Vouchers'!$A$5:$A$2005,"&gt;="&amp;ReportFrom,'Payment Vouchers'!$A$5:$A$2005,"&lt;="&amp;ReportTo)+SUMIFS('Partner Transactions'!$R$5:$R$2005,'Partner Transactions'!$H$5:$H$2005,$A32,'Partner Transactions'!$A$5:$A$2005,"&gt;="&amp;ReportFrom,'Partner Transactions'!$A$5:$A$2005,"&lt;="&amp;ReportTo)+SUMIFS('Stock Moves'!$AN$5:$AN$2005,'Stock Moves'!$I$5:$I$2005,$A32,'Stock Moves'!$A$5:$A$2005,"&gt;="&amp;ReportFrom,'Stock Moves'!$A$5:$A$2005,"&lt;="&amp;ReportTo)+SUMIFS('Journal Vouchers'!$P$5:$P$2005,'Journal Vouchers'!$D$5:$D$2005,$A32,'Journal Vouchers'!$B$5:$B$2005,"&gt;="&amp;ReportFrom,'Journal Vouchers'!$B$5:$B$2005,"&lt;="&amp;ReportTo))</f>
        <v/>
      </c>
      <c r="F32" s="52">
        <f>IF(A32="","",N('Business Units'!K32))</f>
        <v/>
      </c>
      <c r="G32" s="26">
        <f>IF(A32="",0,$K$5*N(F32))</f>
        <v/>
      </c>
      <c r="H32" s="26">
        <f>C32-D32-E32-G32</f>
        <v/>
      </c>
      <c r="I32" s="52">
        <f>IFERROR(H32/C32,0)</f>
        <v/>
      </c>
    </row>
    <row r="33">
      <c r="A33" s="25">
        <f>IF('Business Units'!A33="","",'Business Units'!A33&amp;"")</f>
        <v/>
      </c>
      <c r="B33" s="25">
        <f>IF(A33="","",'Business Units'!B33)</f>
        <v/>
      </c>
      <c r="C33" s="26">
        <f>IF(A33="",0,SUMIFS('Direct Costs'!$AF$5:$AF$2005,'Direct Costs'!$B$5:$B$2005,$A33,'Direct Costs'!$A$5:$A$2005,"&gt;="&amp;ReportFrom,'Direct Costs'!$A$5:$A$2005,"&lt;="&amp;ReportTo)+SUMIFS('Operating Expenses'!$AA$5:$AA$2005,'Operating Expenses'!$B$5:$B$2005,$A33,'Operating Expenses'!$A$5:$A$2005,"&gt;="&amp;ReportFrom,'Operating Expenses'!$A$5:$A$2005,"&lt;="&amp;ReportTo)+SUMIFS('Payroll'!$W$5:$W$2005,'Payroll'!$B$5:$B$2005,$A33,'Payroll'!$A$5:$A$2005,"&gt;="&amp;ReportFrom,'Payroll'!$A$5:$A$2005,"&lt;="&amp;ReportTo)+SUMIFS('Receipt Vouchers'!$W$5:$W$2005,'Receipt Vouchers'!$B$5:$B$2005,$A33,'Receipt Vouchers'!$A$5:$A$2005,"&gt;="&amp;ReportFrom,'Receipt Vouchers'!$A$5:$A$2005,"&lt;="&amp;ReportTo)+SUMIFS('Sales Invoices'!$X$5:$X$2005,'Sales Invoices'!$C$5:$C$2005,$A33,'Sales Invoices'!$B$5:$B$2005,"&gt;="&amp;ReportFrom,'Sales Invoices'!$B$5:$B$2005,"&lt;="&amp;ReportTo)+SUMIFS('Payment Vouchers'!$N$5:$N$2005,'Payment Vouchers'!$G$5:$G$2005,$A33,'Payment Vouchers'!$A$5:$A$2005,"&gt;="&amp;ReportFrom,'Payment Vouchers'!$A$5:$A$2005,"&lt;="&amp;ReportTo)+SUMIFS('Partner Transactions'!$P$5:$P$2005,'Partner Transactions'!$H$5:$H$2005,$A33,'Partner Transactions'!$A$5:$A$2005,"&gt;="&amp;ReportFrom,'Partner Transactions'!$A$5:$A$2005,"&lt;="&amp;ReportTo)+SUMIFS('Stock Moves'!$AL$5:$AL$2005,'Stock Moves'!$I$5:$I$2005,$A33,'Stock Moves'!$A$5:$A$2005,"&gt;="&amp;ReportFrom,'Stock Moves'!$A$5:$A$2005,"&lt;="&amp;ReportTo)+SUMIFS('Journal Vouchers'!$N$5:$N$2005,'Journal Vouchers'!$D$5:$D$2005,$A33,'Journal Vouchers'!$B$5:$B$2005,"&gt;="&amp;ReportFrom,'Journal Vouchers'!$B$5:$B$2005,"&lt;="&amp;ReportTo))</f>
        <v/>
      </c>
      <c r="D33" s="26">
        <f>IF(A33="",0,SUMIFS('Direct Costs'!$AG$5:$AG$2005,'Direct Costs'!$B$5:$B$2005,$A33,'Direct Costs'!$A$5:$A$2005,"&gt;="&amp;ReportFrom,'Direct Costs'!$A$5:$A$2005,"&lt;="&amp;ReportTo)+SUMIFS('Operating Expenses'!$AB$5:$AB$2005,'Operating Expenses'!$B$5:$B$2005,$A33,'Operating Expenses'!$A$5:$A$2005,"&gt;="&amp;ReportFrom,'Operating Expenses'!$A$5:$A$2005,"&lt;="&amp;ReportTo)+SUMIFS('Payroll'!$X$5:$X$2005,'Payroll'!$B$5:$B$2005,$A33,'Payroll'!$A$5:$A$2005,"&gt;="&amp;ReportFrom,'Payroll'!$A$5:$A$2005,"&lt;="&amp;ReportTo)+SUMIFS('Receipt Vouchers'!$X$5:$X$2005,'Receipt Vouchers'!$B$5:$B$2005,$A33,'Receipt Vouchers'!$A$5:$A$2005,"&gt;="&amp;ReportFrom,'Receipt Vouchers'!$A$5:$A$2005,"&lt;="&amp;ReportTo)+SUMIFS('Sales Invoices'!$Y$5:$Y$2005,'Sales Invoices'!$C$5:$C$2005,$A33,'Sales Invoices'!$B$5:$B$2005,"&gt;="&amp;ReportFrom,'Sales Invoices'!$B$5:$B$2005,"&lt;="&amp;ReportTo)+SUMIFS('Payment Vouchers'!$O$5:$O$2005,'Payment Vouchers'!$G$5:$G$2005,$A33,'Payment Vouchers'!$A$5:$A$2005,"&gt;="&amp;ReportFrom,'Payment Vouchers'!$A$5:$A$2005,"&lt;="&amp;ReportTo)+SUMIFS('Partner Transactions'!$Q$5:$Q$2005,'Partner Transactions'!$H$5:$H$2005,$A33,'Partner Transactions'!$A$5:$A$2005,"&gt;="&amp;ReportFrom,'Partner Transactions'!$A$5:$A$2005,"&lt;="&amp;ReportTo)+SUMIFS('Stock Moves'!$AM$5:$AM$2005,'Stock Moves'!$I$5:$I$2005,$A33,'Stock Moves'!$A$5:$A$2005,"&gt;="&amp;ReportFrom,'Stock Moves'!$A$5:$A$2005,"&lt;="&amp;ReportTo)+SUMIFS('Journal Vouchers'!$O$5:$O$2005,'Journal Vouchers'!$D$5:$D$2005,$A33,'Journal Vouchers'!$B$5:$B$2005,"&gt;="&amp;ReportFrom,'Journal Vouchers'!$B$5:$B$2005,"&lt;="&amp;ReportTo))</f>
        <v/>
      </c>
      <c r="E33" s="26">
        <f>IF(A33="",0,SUMIFS('Direct Costs'!$AH$5:$AH$2005,'Direct Costs'!$B$5:$B$2005,$A33,'Direct Costs'!$A$5:$A$2005,"&gt;="&amp;ReportFrom,'Direct Costs'!$A$5:$A$2005,"&lt;="&amp;ReportTo)+SUMIFS('Operating Expenses'!$AC$5:$AC$2005,'Operating Expenses'!$B$5:$B$2005,$A33,'Operating Expenses'!$A$5:$A$2005,"&gt;="&amp;ReportFrom,'Operating Expenses'!$A$5:$A$2005,"&lt;="&amp;ReportTo)+SUMIFS('Payroll'!$Y$5:$Y$2005,'Payroll'!$B$5:$B$2005,$A33,'Payroll'!$A$5:$A$2005,"&gt;="&amp;ReportFrom,'Payroll'!$A$5:$A$2005,"&lt;="&amp;ReportTo)+SUMIFS('Receipt Vouchers'!$Y$5:$Y$2005,'Receipt Vouchers'!$B$5:$B$2005,$A33,'Receipt Vouchers'!$A$5:$A$2005,"&gt;="&amp;ReportFrom,'Receipt Vouchers'!$A$5:$A$2005,"&lt;="&amp;ReportTo)+SUMIFS('Sales Invoices'!$Z$5:$Z$2005,'Sales Invoices'!$C$5:$C$2005,$A33,'Sales Invoices'!$B$5:$B$2005,"&gt;="&amp;ReportFrom,'Sales Invoices'!$B$5:$B$2005,"&lt;="&amp;ReportTo)+SUMIFS('Payment Vouchers'!$P$5:$P$2005,'Payment Vouchers'!$G$5:$G$2005,$A33,'Payment Vouchers'!$A$5:$A$2005,"&gt;="&amp;ReportFrom,'Payment Vouchers'!$A$5:$A$2005,"&lt;="&amp;ReportTo)+SUMIFS('Partner Transactions'!$R$5:$R$2005,'Partner Transactions'!$H$5:$H$2005,$A33,'Partner Transactions'!$A$5:$A$2005,"&gt;="&amp;ReportFrom,'Partner Transactions'!$A$5:$A$2005,"&lt;="&amp;ReportTo)+SUMIFS('Stock Moves'!$AN$5:$AN$2005,'Stock Moves'!$I$5:$I$2005,$A33,'Stock Moves'!$A$5:$A$2005,"&gt;="&amp;ReportFrom,'Stock Moves'!$A$5:$A$2005,"&lt;="&amp;ReportTo)+SUMIFS('Journal Vouchers'!$P$5:$P$2005,'Journal Vouchers'!$D$5:$D$2005,$A33,'Journal Vouchers'!$B$5:$B$2005,"&gt;="&amp;ReportFrom,'Journal Vouchers'!$B$5:$B$2005,"&lt;="&amp;ReportTo))</f>
        <v/>
      </c>
      <c r="F33" s="52">
        <f>IF(A33="","",N('Business Units'!K33))</f>
        <v/>
      </c>
      <c r="G33" s="26">
        <f>IF(A33="",0,$K$5*N(F33))</f>
        <v/>
      </c>
      <c r="H33" s="26">
        <f>C33-D33-E33-G33</f>
        <v/>
      </c>
      <c r="I33" s="52">
        <f>IFERROR(H33/C33,0)</f>
        <v/>
      </c>
    </row>
    <row r="34">
      <c r="A34" s="25">
        <f>IF('Business Units'!A34="","",'Business Units'!A34&amp;"")</f>
        <v/>
      </c>
      <c r="B34" s="25">
        <f>IF(A34="","",'Business Units'!B34)</f>
        <v/>
      </c>
      <c r="C34" s="26">
        <f>IF(A34="",0,SUMIFS('Direct Costs'!$AF$5:$AF$2005,'Direct Costs'!$B$5:$B$2005,$A34,'Direct Costs'!$A$5:$A$2005,"&gt;="&amp;ReportFrom,'Direct Costs'!$A$5:$A$2005,"&lt;="&amp;ReportTo)+SUMIFS('Operating Expenses'!$AA$5:$AA$2005,'Operating Expenses'!$B$5:$B$2005,$A34,'Operating Expenses'!$A$5:$A$2005,"&gt;="&amp;ReportFrom,'Operating Expenses'!$A$5:$A$2005,"&lt;="&amp;ReportTo)+SUMIFS('Payroll'!$W$5:$W$2005,'Payroll'!$B$5:$B$2005,$A34,'Payroll'!$A$5:$A$2005,"&gt;="&amp;ReportFrom,'Payroll'!$A$5:$A$2005,"&lt;="&amp;ReportTo)+SUMIFS('Receipt Vouchers'!$W$5:$W$2005,'Receipt Vouchers'!$B$5:$B$2005,$A34,'Receipt Vouchers'!$A$5:$A$2005,"&gt;="&amp;ReportFrom,'Receipt Vouchers'!$A$5:$A$2005,"&lt;="&amp;ReportTo)+SUMIFS('Sales Invoices'!$X$5:$X$2005,'Sales Invoices'!$C$5:$C$2005,$A34,'Sales Invoices'!$B$5:$B$2005,"&gt;="&amp;ReportFrom,'Sales Invoices'!$B$5:$B$2005,"&lt;="&amp;ReportTo)+SUMIFS('Payment Vouchers'!$N$5:$N$2005,'Payment Vouchers'!$G$5:$G$2005,$A34,'Payment Vouchers'!$A$5:$A$2005,"&gt;="&amp;ReportFrom,'Payment Vouchers'!$A$5:$A$2005,"&lt;="&amp;ReportTo)+SUMIFS('Partner Transactions'!$P$5:$P$2005,'Partner Transactions'!$H$5:$H$2005,$A34,'Partner Transactions'!$A$5:$A$2005,"&gt;="&amp;ReportFrom,'Partner Transactions'!$A$5:$A$2005,"&lt;="&amp;ReportTo)+SUMIFS('Stock Moves'!$AL$5:$AL$2005,'Stock Moves'!$I$5:$I$2005,$A34,'Stock Moves'!$A$5:$A$2005,"&gt;="&amp;ReportFrom,'Stock Moves'!$A$5:$A$2005,"&lt;="&amp;ReportTo)+SUMIFS('Journal Vouchers'!$N$5:$N$2005,'Journal Vouchers'!$D$5:$D$2005,$A34,'Journal Vouchers'!$B$5:$B$2005,"&gt;="&amp;ReportFrom,'Journal Vouchers'!$B$5:$B$2005,"&lt;="&amp;ReportTo))</f>
        <v/>
      </c>
      <c r="D34" s="26">
        <f>IF(A34="",0,SUMIFS('Direct Costs'!$AG$5:$AG$2005,'Direct Costs'!$B$5:$B$2005,$A34,'Direct Costs'!$A$5:$A$2005,"&gt;="&amp;ReportFrom,'Direct Costs'!$A$5:$A$2005,"&lt;="&amp;ReportTo)+SUMIFS('Operating Expenses'!$AB$5:$AB$2005,'Operating Expenses'!$B$5:$B$2005,$A34,'Operating Expenses'!$A$5:$A$2005,"&gt;="&amp;ReportFrom,'Operating Expenses'!$A$5:$A$2005,"&lt;="&amp;ReportTo)+SUMIFS('Payroll'!$X$5:$X$2005,'Payroll'!$B$5:$B$2005,$A34,'Payroll'!$A$5:$A$2005,"&gt;="&amp;ReportFrom,'Payroll'!$A$5:$A$2005,"&lt;="&amp;ReportTo)+SUMIFS('Receipt Vouchers'!$X$5:$X$2005,'Receipt Vouchers'!$B$5:$B$2005,$A34,'Receipt Vouchers'!$A$5:$A$2005,"&gt;="&amp;ReportFrom,'Receipt Vouchers'!$A$5:$A$2005,"&lt;="&amp;ReportTo)+SUMIFS('Sales Invoices'!$Y$5:$Y$2005,'Sales Invoices'!$C$5:$C$2005,$A34,'Sales Invoices'!$B$5:$B$2005,"&gt;="&amp;ReportFrom,'Sales Invoices'!$B$5:$B$2005,"&lt;="&amp;ReportTo)+SUMIFS('Payment Vouchers'!$O$5:$O$2005,'Payment Vouchers'!$G$5:$G$2005,$A34,'Payment Vouchers'!$A$5:$A$2005,"&gt;="&amp;ReportFrom,'Payment Vouchers'!$A$5:$A$2005,"&lt;="&amp;ReportTo)+SUMIFS('Partner Transactions'!$Q$5:$Q$2005,'Partner Transactions'!$H$5:$H$2005,$A34,'Partner Transactions'!$A$5:$A$2005,"&gt;="&amp;ReportFrom,'Partner Transactions'!$A$5:$A$2005,"&lt;="&amp;ReportTo)+SUMIFS('Stock Moves'!$AM$5:$AM$2005,'Stock Moves'!$I$5:$I$2005,$A34,'Stock Moves'!$A$5:$A$2005,"&gt;="&amp;ReportFrom,'Stock Moves'!$A$5:$A$2005,"&lt;="&amp;ReportTo)+SUMIFS('Journal Vouchers'!$O$5:$O$2005,'Journal Vouchers'!$D$5:$D$2005,$A34,'Journal Vouchers'!$B$5:$B$2005,"&gt;="&amp;ReportFrom,'Journal Vouchers'!$B$5:$B$2005,"&lt;="&amp;ReportTo))</f>
        <v/>
      </c>
      <c r="E34" s="26">
        <f>IF(A34="",0,SUMIFS('Direct Costs'!$AH$5:$AH$2005,'Direct Costs'!$B$5:$B$2005,$A34,'Direct Costs'!$A$5:$A$2005,"&gt;="&amp;ReportFrom,'Direct Costs'!$A$5:$A$2005,"&lt;="&amp;ReportTo)+SUMIFS('Operating Expenses'!$AC$5:$AC$2005,'Operating Expenses'!$B$5:$B$2005,$A34,'Operating Expenses'!$A$5:$A$2005,"&gt;="&amp;ReportFrom,'Operating Expenses'!$A$5:$A$2005,"&lt;="&amp;ReportTo)+SUMIFS('Payroll'!$Y$5:$Y$2005,'Payroll'!$B$5:$B$2005,$A34,'Payroll'!$A$5:$A$2005,"&gt;="&amp;ReportFrom,'Payroll'!$A$5:$A$2005,"&lt;="&amp;ReportTo)+SUMIFS('Receipt Vouchers'!$Y$5:$Y$2005,'Receipt Vouchers'!$B$5:$B$2005,$A34,'Receipt Vouchers'!$A$5:$A$2005,"&gt;="&amp;ReportFrom,'Receipt Vouchers'!$A$5:$A$2005,"&lt;="&amp;ReportTo)+SUMIFS('Sales Invoices'!$Z$5:$Z$2005,'Sales Invoices'!$C$5:$C$2005,$A34,'Sales Invoices'!$B$5:$B$2005,"&gt;="&amp;ReportFrom,'Sales Invoices'!$B$5:$B$2005,"&lt;="&amp;ReportTo)+SUMIFS('Payment Vouchers'!$P$5:$P$2005,'Payment Vouchers'!$G$5:$G$2005,$A34,'Payment Vouchers'!$A$5:$A$2005,"&gt;="&amp;ReportFrom,'Payment Vouchers'!$A$5:$A$2005,"&lt;="&amp;ReportTo)+SUMIFS('Partner Transactions'!$R$5:$R$2005,'Partner Transactions'!$H$5:$H$2005,$A34,'Partner Transactions'!$A$5:$A$2005,"&gt;="&amp;ReportFrom,'Partner Transactions'!$A$5:$A$2005,"&lt;="&amp;ReportTo)+SUMIFS('Stock Moves'!$AN$5:$AN$2005,'Stock Moves'!$I$5:$I$2005,$A34,'Stock Moves'!$A$5:$A$2005,"&gt;="&amp;ReportFrom,'Stock Moves'!$A$5:$A$2005,"&lt;="&amp;ReportTo)+SUMIFS('Journal Vouchers'!$P$5:$P$2005,'Journal Vouchers'!$D$5:$D$2005,$A34,'Journal Vouchers'!$B$5:$B$2005,"&gt;="&amp;ReportFrom,'Journal Vouchers'!$B$5:$B$2005,"&lt;="&amp;ReportTo))</f>
        <v/>
      </c>
      <c r="F34" s="52">
        <f>IF(A34="","",N('Business Units'!K34))</f>
        <v/>
      </c>
      <c r="G34" s="26">
        <f>IF(A34="",0,$K$5*N(F34))</f>
        <v/>
      </c>
      <c r="H34" s="26">
        <f>C34-D34-E34-G34</f>
        <v/>
      </c>
      <c r="I34" s="52">
        <f>IFERROR(H34/C34,0)</f>
        <v/>
      </c>
    </row>
    <row r="35">
      <c r="B35" s="27" t="inlineStr">
        <is>
          <t>TOTAL</t>
        </is>
      </c>
      <c r="C35" s="54">
        <f>SUM(C5:C34)</f>
        <v/>
      </c>
      <c r="D35" s="54">
        <f>SUM(D5:D34)</f>
        <v/>
      </c>
      <c r="E35" s="54">
        <f>SUM(E5:E34)</f>
        <v/>
      </c>
      <c r="F35" s="55">
        <f>SUM(F5:F34)</f>
        <v/>
      </c>
      <c r="G35" s="54">
        <f>SUM(G5:G34)</f>
        <v/>
      </c>
      <c r="H35" s="54">
        <f>SUM(H5:H34)</f>
        <v/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8" t="inlineStr">
        <is>
          <t>BEYOND DESIGN | PARTNER EQUITY &amp; DISTRIBUTIONS</t>
        </is>
      </c>
    </row>
    <row r="2">
      <c r="A2" s="9" t="inlineStr">
        <is>
          <t>Profit share = Σ (business-unit net profit × share) + company-level result × default share; distributable = share × (1 − reserve %)</t>
        </is>
      </c>
    </row>
    <row r="3">
      <c r="A3" s="25" t="inlineStr">
        <is>
          <t>Reserve %</t>
        </is>
      </c>
      <c r="B3" s="52">
        <f>IFERROR(VALUE(VLOOKUP("reserve_pct",Settings!$A$5:$B$500,2,FALSE)),0.4)</f>
        <v/>
      </c>
      <c r="D3" s="25" t="inlineStr">
        <is>
          <t>Company-level result (net profit − Σ unit profits)</t>
        </is>
      </c>
      <c r="E3" s="26">
        <f>'Income Statement'!B28-'BU Profitability'!H35</f>
        <v/>
      </c>
    </row>
    <row r="4"/>
    <row r="5">
      <c r="A5" s="33" t="inlineStr">
        <is>
          <t>Partner</t>
        </is>
      </c>
      <c r="B5" s="33" t="inlineStr">
        <is>
          <t>Default share</t>
        </is>
      </c>
      <c r="C5" s="33" t="inlineStr">
        <is>
          <t>Profit share</t>
        </is>
      </c>
      <c r="D5" s="33" t="inlineStr">
        <is>
          <t>Distributable</t>
        </is>
      </c>
      <c r="E5" s="33" t="inlineStr">
        <is>
          <t>Drawn</t>
        </is>
      </c>
      <c r="F5" s="33" t="inlineStr">
        <is>
          <t>Balance</t>
        </is>
      </c>
    </row>
    <row r="6">
      <c r="A6" s="25">
        <f>IF(Partners!A5="","",Partners!A5)</f>
        <v/>
      </c>
      <c r="B6" s="52">
        <f>IF(A6="","",N(Partners!B5))</f>
        <v/>
      </c>
      <c r="C6" s="26">
        <f>IF(A6="",0,SUMPRODUCT('BU Profitability'!$H$5:$H$34,(SUMIFS('Partner Shares'!$C$5:$C$3000,'Partner Shares'!$A$5:$A$3000,$A6,'Partner Shares'!$B$5:$B$3000,'BU Profitability'!$A$5:$A$34)+(COUNTIFS('Partner Shares'!$A$5:$A$3000,$A6,'Partner Shares'!$B$5:$B$3000,'BU Profitability'!$A$5:$A$34)=0)*$B6))+$E$3*B6)</f>
        <v/>
      </c>
      <c r="D6" s="26">
        <f>IF(C6&gt;0,C6*(1-$B$3),C6)</f>
        <v/>
      </c>
      <c r="E6" s="26">
        <f>IF(A6="",0,SUMIFS('Partner Transactions'!$D$5:$D$5000,'Partner Transactions'!$B$5:$B$5000,A6,'Partner Transactions'!$C$5:$C$5000,"Owner Drawing"))</f>
        <v/>
      </c>
      <c r="F6" s="26">
        <f>D6-E6</f>
        <v/>
      </c>
    </row>
    <row r="7">
      <c r="A7" s="25">
        <f>IF(Partners!A6="","",Partners!A6)</f>
        <v/>
      </c>
      <c r="B7" s="52">
        <f>IF(A7="","",N(Partners!B6))</f>
        <v/>
      </c>
      <c r="C7" s="26">
        <f>IF(A7="",0,SUMPRODUCT('BU Profitability'!$H$5:$H$34,(SUMIFS('Partner Shares'!$C$5:$C$3000,'Partner Shares'!$A$5:$A$3000,$A7,'Partner Shares'!$B$5:$B$3000,'BU Profitability'!$A$5:$A$34)+(COUNTIFS('Partner Shares'!$A$5:$A$3000,$A7,'Partner Shares'!$B$5:$B$3000,'BU Profitability'!$A$5:$A$34)=0)*$B7))+$E$3*B7)</f>
        <v/>
      </c>
      <c r="D7" s="26">
        <f>IF(C7&gt;0,C7*(1-$B$3),C7)</f>
        <v/>
      </c>
      <c r="E7" s="26">
        <f>IF(A7="",0,SUMIFS('Partner Transactions'!$D$5:$D$5000,'Partner Transactions'!$B$5:$B$5000,A7,'Partner Transactions'!$C$5:$C$5000,"Owner Drawing"))</f>
        <v/>
      </c>
      <c r="F7" s="26">
        <f>D7-E7</f>
        <v/>
      </c>
    </row>
    <row r="8">
      <c r="A8" s="25">
        <f>IF(Partners!A7="","",Partners!A7)</f>
        <v/>
      </c>
      <c r="B8" s="52">
        <f>IF(A8="","",N(Partners!B7))</f>
        <v/>
      </c>
      <c r="C8" s="26">
        <f>IF(A8="",0,SUMPRODUCT('BU Profitability'!$H$5:$H$34,(SUMIFS('Partner Shares'!$C$5:$C$3000,'Partner Shares'!$A$5:$A$3000,$A8,'Partner Shares'!$B$5:$B$3000,'BU Profitability'!$A$5:$A$34)+(COUNTIFS('Partner Shares'!$A$5:$A$3000,$A8,'Partner Shares'!$B$5:$B$3000,'BU Profitability'!$A$5:$A$34)=0)*$B8))+$E$3*B8)</f>
        <v/>
      </c>
      <c r="D8" s="26">
        <f>IF(C8&gt;0,C8*(1-$B$3),C8)</f>
        <v/>
      </c>
      <c r="E8" s="26">
        <f>IF(A8="",0,SUMIFS('Partner Transactions'!$D$5:$D$5000,'Partner Transactions'!$B$5:$B$5000,A8,'Partner Transactions'!$C$5:$C$5000,"Owner Drawing"))</f>
        <v/>
      </c>
      <c r="F8" s="26">
        <f>D8-E8</f>
        <v/>
      </c>
    </row>
    <row r="9">
      <c r="A9" s="25">
        <f>IF(Partners!A8="","",Partners!A8)</f>
        <v/>
      </c>
      <c r="B9" s="52">
        <f>IF(A9="","",N(Partners!B8))</f>
        <v/>
      </c>
      <c r="C9" s="26">
        <f>IF(A9="",0,SUMPRODUCT('BU Profitability'!$H$5:$H$34,(SUMIFS('Partner Shares'!$C$5:$C$3000,'Partner Shares'!$A$5:$A$3000,$A9,'Partner Shares'!$B$5:$B$3000,'BU Profitability'!$A$5:$A$34)+(COUNTIFS('Partner Shares'!$A$5:$A$3000,$A9,'Partner Shares'!$B$5:$B$3000,'BU Profitability'!$A$5:$A$34)=0)*$B9))+$E$3*B9)</f>
        <v/>
      </c>
      <c r="D9" s="26">
        <f>IF(C9&gt;0,C9*(1-$B$3),C9)</f>
        <v/>
      </c>
      <c r="E9" s="26">
        <f>IF(A9="",0,SUMIFS('Partner Transactions'!$D$5:$D$5000,'Partner Transactions'!$B$5:$B$5000,A9,'Partner Transactions'!$C$5:$C$5000,"Owner Drawing"))</f>
        <v/>
      </c>
      <c r="F9" s="26">
        <f>D9-E9</f>
        <v/>
      </c>
    </row>
    <row r="10">
      <c r="A10" s="25">
        <f>IF(Partners!A9="","",Partners!A9)</f>
        <v/>
      </c>
      <c r="B10" s="52">
        <f>IF(A10="","",N(Partners!B9))</f>
        <v/>
      </c>
      <c r="C10" s="26">
        <f>IF(A10="",0,SUMPRODUCT('BU Profitability'!$H$5:$H$34,(SUMIFS('Partner Shares'!$C$5:$C$3000,'Partner Shares'!$A$5:$A$3000,$A10,'Partner Shares'!$B$5:$B$3000,'BU Profitability'!$A$5:$A$34)+(COUNTIFS('Partner Shares'!$A$5:$A$3000,$A10,'Partner Shares'!$B$5:$B$3000,'BU Profitability'!$A$5:$A$34)=0)*$B10))+$E$3*B10)</f>
        <v/>
      </c>
      <c r="D10" s="26">
        <f>IF(C10&gt;0,C10*(1-$B$3),C10)</f>
        <v/>
      </c>
      <c r="E10" s="26">
        <f>IF(A10="",0,SUMIFS('Partner Transactions'!$D$5:$D$5000,'Partner Transactions'!$B$5:$B$5000,A10,'Partner Transactions'!$C$5:$C$5000,"Owner Drawing"))</f>
        <v/>
      </c>
      <c r="F10" s="26">
        <f>D10-E10</f>
        <v/>
      </c>
    </row>
    <row r="11">
      <c r="A11" s="25">
        <f>IF(Partners!A10="","",Partners!A10)</f>
        <v/>
      </c>
      <c r="B11" s="52">
        <f>IF(A11="","",N(Partners!B10))</f>
        <v/>
      </c>
      <c r="C11" s="26">
        <f>IF(A11="",0,SUMPRODUCT('BU Profitability'!$H$5:$H$34,(SUMIFS('Partner Shares'!$C$5:$C$3000,'Partner Shares'!$A$5:$A$3000,$A11,'Partner Shares'!$B$5:$B$3000,'BU Profitability'!$A$5:$A$34)+(COUNTIFS('Partner Shares'!$A$5:$A$3000,$A11,'Partner Shares'!$B$5:$B$3000,'BU Profitability'!$A$5:$A$34)=0)*$B11))+$E$3*B11)</f>
        <v/>
      </c>
      <c r="D11" s="26">
        <f>IF(C11&gt;0,C11*(1-$B$3),C11)</f>
        <v/>
      </c>
      <c r="E11" s="26">
        <f>IF(A11="",0,SUMIFS('Partner Transactions'!$D$5:$D$5000,'Partner Transactions'!$B$5:$B$5000,A11,'Partner Transactions'!$C$5:$C$5000,"Owner Drawing"))</f>
        <v/>
      </c>
      <c r="F11" s="26">
        <f>D11-E11</f>
        <v/>
      </c>
    </row>
    <row r="12">
      <c r="A12" s="25">
        <f>IF(Partners!A11="","",Partners!A11)</f>
        <v/>
      </c>
      <c r="B12" s="52">
        <f>IF(A12="","",N(Partners!B11))</f>
        <v/>
      </c>
      <c r="C12" s="26">
        <f>IF(A12="",0,SUMPRODUCT('BU Profitability'!$H$5:$H$34,(SUMIFS('Partner Shares'!$C$5:$C$3000,'Partner Shares'!$A$5:$A$3000,$A12,'Partner Shares'!$B$5:$B$3000,'BU Profitability'!$A$5:$A$34)+(COUNTIFS('Partner Shares'!$A$5:$A$3000,$A12,'Partner Shares'!$B$5:$B$3000,'BU Profitability'!$A$5:$A$34)=0)*$B12))+$E$3*B12)</f>
        <v/>
      </c>
      <c r="D12" s="26">
        <f>IF(C12&gt;0,C12*(1-$B$3),C12)</f>
        <v/>
      </c>
      <c r="E12" s="26">
        <f>IF(A12="",0,SUMIFS('Partner Transactions'!$D$5:$D$5000,'Partner Transactions'!$B$5:$B$5000,A12,'Partner Transactions'!$C$5:$C$5000,"Owner Drawing"))</f>
        <v/>
      </c>
      <c r="F12" s="26">
        <f>D12-E12</f>
        <v/>
      </c>
    </row>
    <row r="13">
      <c r="A13" s="25">
        <f>IF(Partners!A12="","",Partners!A12)</f>
        <v/>
      </c>
      <c r="B13" s="52">
        <f>IF(A13="","",N(Partners!B12))</f>
        <v/>
      </c>
      <c r="C13" s="26">
        <f>IF(A13="",0,SUMPRODUCT('BU Profitability'!$H$5:$H$34,(SUMIFS('Partner Shares'!$C$5:$C$3000,'Partner Shares'!$A$5:$A$3000,$A13,'Partner Shares'!$B$5:$B$3000,'BU Profitability'!$A$5:$A$34)+(COUNTIFS('Partner Shares'!$A$5:$A$3000,$A13,'Partner Shares'!$B$5:$B$3000,'BU Profitability'!$A$5:$A$34)=0)*$B13))+$E$3*B13)</f>
        <v/>
      </c>
      <c r="D13" s="26">
        <f>IF(C13&gt;0,C13*(1-$B$3),C13)</f>
        <v/>
      </c>
      <c r="E13" s="26">
        <f>IF(A13="",0,SUMIFS('Partner Transactions'!$D$5:$D$5000,'Partner Transactions'!$B$5:$B$5000,A13,'Partner Transactions'!$C$5:$C$5000,"Owner Drawing"))</f>
        <v/>
      </c>
      <c r="F13" s="26">
        <f>D13-E13</f>
        <v/>
      </c>
    </row>
    <row r="14">
      <c r="A14" s="25">
        <f>IF(Partners!A13="","",Partners!A13)</f>
        <v/>
      </c>
      <c r="B14" s="52">
        <f>IF(A14="","",N(Partners!B13))</f>
        <v/>
      </c>
      <c r="C14" s="26">
        <f>IF(A14="",0,SUMPRODUCT('BU Profitability'!$H$5:$H$34,(SUMIFS('Partner Shares'!$C$5:$C$3000,'Partner Shares'!$A$5:$A$3000,$A14,'Partner Shares'!$B$5:$B$3000,'BU Profitability'!$A$5:$A$34)+(COUNTIFS('Partner Shares'!$A$5:$A$3000,$A14,'Partner Shares'!$B$5:$B$3000,'BU Profitability'!$A$5:$A$34)=0)*$B14))+$E$3*B14)</f>
        <v/>
      </c>
      <c r="D14" s="26">
        <f>IF(C14&gt;0,C14*(1-$B$3),C14)</f>
        <v/>
      </c>
      <c r="E14" s="26">
        <f>IF(A14="",0,SUMIFS('Partner Transactions'!$D$5:$D$5000,'Partner Transactions'!$B$5:$B$5000,A14,'Partner Transactions'!$C$5:$C$5000,"Owner Drawing"))</f>
        <v/>
      </c>
      <c r="F14" s="26">
        <f>D14-E14</f>
        <v/>
      </c>
    </row>
    <row r="15">
      <c r="A15" s="25">
        <f>IF(Partners!A14="","",Partners!A14)</f>
        <v/>
      </c>
      <c r="B15" s="52">
        <f>IF(A15="","",N(Partners!B14))</f>
        <v/>
      </c>
      <c r="C15" s="26">
        <f>IF(A15="",0,SUMPRODUCT('BU Profitability'!$H$5:$H$34,(SUMIFS('Partner Shares'!$C$5:$C$3000,'Partner Shares'!$A$5:$A$3000,$A15,'Partner Shares'!$B$5:$B$3000,'BU Profitability'!$A$5:$A$34)+(COUNTIFS('Partner Shares'!$A$5:$A$3000,$A15,'Partner Shares'!$B$5:$B$3000,'BU Profitability'!$A$5:$A$34)=0)*$B15))+$E$3*B15)</f>
        <v/>
      </c>
      <c r="D15" s="26">
        <f>IF(C15&gt;0,C15*(1-$B$3),C15)</f>
        <v/>
      </c>
      <c r="E15" s="26">
        <f>IF(A15="",0,SUMIFS('Partner Transactions'!$D$5:$D$5000,'Partner Transactions'!$B$5:$B$5000,A15,'Partner Transactions'!$C$5:$C$5000,"Owner Drawing"))</f>
        <v/>
      </c>
      <c r="F15" s="26">
        <f>D15-E15</f>
        <v/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D20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8" t="inlineStr">
        <is>
          <t>BEYOND DESIGN | BALANCES OWED BY PARTY (SUPPLIERS &amp; WORKERS)</t>
        </is>
      </c>
    </row>
    <row r="2">
      <c r="A2" s="9" t="inlineStr">
        <is>
          <t>Every name on the Parties sheet is listed here — add a supplier / contact there and its balance appears.</t>
        </is>
      </c>
    </row>
    <row r="3"/>
    <row r="4">
      <c r="A4" s="33" t="inlineStr">
        <is>
          <t>Party</t>
        </is>
      </c>
      <c r="B4" s="33" t="inlineStr">
        <is>
          <t>Payables (2010…)</t>
        </is>
      </c>
      <c r="C4" s="33" t="inlineStr">
        <is>
          <t>Accrued / payroll</t>
        </is>
      </c>
      <c r="D4" s="33" t="inlineStr">
        <is>
          <t>Total owed</t>
        </is>
      </c>
    </row>
    <row r="5">
      <c r="A5" s="25">
        <f>IF(Parties!A5="","",Parties!A5)</f>
        <v/>
      </c>
      <c r="B5" s="26">
        <f>IF(A5="",0,SUMIFS('Direct Costs'!$AJ$5:$AJ$2005,'Direct Costs'!$E$5:$E$2005,$A5,'Direct Costs'!$A$5:$A$2005,"&lt;="&amp;ReportTo)+SUMIFS('Operating Expenses'!$AE$5:$AE$2005,'Operating Expenses'!$E$5:$E$2005,$A5,'Operating Expenses'!$A$5:$A$2005,"&lt;="&amp;ReportTo)+SUMIFS('Payroll'!$AA$5:$AA$2005,'Payroll'!$C$5:$C$2005,$A5,'Payroll'!$A$5:$A$2005,"&lt;="&amp;ReportTo)+SUMIFS('Receipt Vouchers'!$AA$5:$AA$2005,'Receipt Vouchers'!$E$5:$E$2005,$A5,'Receipt Vouchers'!$A$5:$A$2005,"&lt;="&amp;ReportTo)+SUMIFS('Sales Invoices'!$AB$5:$AB$2005,'Sales Invoices'!$H$5:$H$2005,$A5,'Sales Invoices'!$B$5:$B$2005,"&lt;="&amp;ReportTo)+SUMIFS('Payment Vouchers'!$R$5:$R$2005,'Payment Vouchers'!$B$5:$B$2005,$A5,'Payment Vouchers'!$A$5:$A$2005,"&lt;="&amp;ReportTo)+SUMIFS('Partner Transactions'!$T$5:$T$2005,'Partner Transactions'!$B$5:$B$2005,$A5,'Partner Transactions'!$A$5:$A$2005,"&lt;="&amp;ReportTo)+SUMIFS('Stock Moves'!$AP$5:$AP$2005,'Stock Moves'!$J$5:$J$2005,$A5,'Stock Moves'!$A$5:$A$2005,"&lt;="&amp;ReportTo)+SUMIFS('Journal Vouchers'!$R$5:$R$2005,'Journal Vouchers'!$E$5:$E$2005,$A5,'Journal Vouchers'!$B$5:$B$2005,"&lt;="&amp;ReportTo))</f>
        <v/>
      </c>
      <c r="C5" s="26">
        <f>IF(A5="",0,SUMIFS('Direct Costs'!$AK$5:$AK$2005,'Direct Costs'!$E$5:$E$2005,$A5,'Direct Costs'!$A$5:$A$2005,"&lt;="&amp;ReportTo)+SUMIFS('Operating Expenses'!$AF$5:$AF$2005,'Operating Expenses'!$E$5:$E$2005,$A5,'Operating Expenses'!$A$5:$A$2005,"&lt;="&amp;ReportTo)+SUMIFS('Payroll'!$AB$5:$AB$2005,'Payroll'!$C$5:$C$2005,$A5,'Payroll'!$A$5:$A$2005,"&lt;="&amp;ReportTo)+SUMIFS('Receipt Vouchers'!$AB$5:$AB$2005,'Receipt Vouchers'!$E$5:$E$2005,$A5,'Receipt Vouchers'!$A$5:$A$2005,"&lt;="&amp;ReportTo)+SUMIFS('Sales Invoices'!$AC$5:$AC$2005,'Sales Invoices'!$H$5:$H$2005,$A5,'Sales Invoices'!$B$5:$B$2005,"&lt;="&amp;ReportTo)+SUMIFS('Payment Vouchers'!$S$5:$S$2005,'Payment Vouchers'!$B$5:$B$2005,$A5,'Payment Vouchers'!$A$5:$A$2005,"&lt;="&amp;ReportTo)+SUMIFS('Partner Transactions'!$U$5:$U$2005,'Partner Transactions'!$B$5:$B$2005,$A5,'Partner Transactions'!$A$5:$A$2005,"&lt;="&amp;ReportTo)+SUMIFS('Stock Moves'!$AQ$5:$AQ$2005,'Stock Moves'!$J$5:$J$2005,$A5,'Stock Moves'!$A$5:$A$2005,"&lt;="&amp;ReportTo)+SUMIFS('Journal Vouchers'!$S$5:$S$2005,'Journal Vouchers'!$E$5:$E$2005,$A5,'Journal Vouchers'!$B$5:$B$2005,"&lt;="&amp;ReportTo))</f>
        <v/>
      </c>
      <c r="D5" s="26">
        <f>B5+C5</f>
        <v/>
      </c>
    </row>
    <row r="6">
      <c r="A6" s="25">
        <f>IF(Parties!A6="","",Parties!A6)</f>
        <v/>
      </c>
      <c r="B6" s="26">
        <f>IF(A6="",0,SUMIFS('Direct Costs'!$AJ$5:$AJ$2005,'Direct Costs'!$E$5:$E$2005,$A6,'Direct Costs'!$A$5:$A$2005,"&lt;="&amp;ReportTo)+SUMIFS('Operating Expenses'!$AE$5:$AE$2005,'Operating Expenses'!$E$5:$E$2005,$A6,'Operating Expenses'!$A$5:$A$2005,"&lt;="&amp;ReportTo)+SUMIFS('Payroll'!$AA$5:$AA$2005,'Payroll'!$C$5:$C$2005,$A6,'Payroll'!$A$5:$A$2005,"&lt;="&amp;ReportTo)+SUMIFS('Receipt Vouchers'!$AA$5:$AA$2005,'Receipt Vouchers'!$E$5:$E$2005,$A6,'Receipt Vouchers'!$A$5:$A$2005,"&lt;="&amp;ReportTo)+SUMIFS('Sales Invoices'!$AB$5:$AB$2005,'Sales Invoices'!$H$5:$H$2005,$A6,'Sales Invoices'!$B$5:$B$2005,"&lt;="&amp;ReportTo)+SUMIFS('Payment Vouchers'!$R$5:$R$2005,'Payment Vouchers'!$B$5:$B$2005,$A6,'Payment Vouchers'!$A$5:$A$2005,"&lt;="&amp;ReportTo)+SUMIFS('Partner Transactions'!$T$5:$T$2005,'Partner Transactions'!$B$5:$B$2005,$A6,'Partner Transactions'!$A$5:$A$2005,"&lt;="&amp;ReportTo)+SUMIFS('Stock Moves'!$AP$5:$AP$2005,'Stock Moves'!$J$5:$J$2005,$A6,'Stock Moves'!$A$5:$A$2005,"&lt;="&amp;ReportTo)+SUMIFS('Journal Vouchers'!$R$5:$R$2005,'Journal Vouchers'!$E$5:$E$2005,$A6,'Journal Vouchers'!$B$5:$B$2005,"&lt;="&amp;ReportTo))</f>
        <v/>
      </c>
      <c r="C6" s="26">
        <f>IF(A6="",0,SUMIFS('Direct Costs'!$AK$5:$AK$2005,'Direct Costs'!$E$5:$E$2005,$A6,'Direct Costs'!$A$5:$A$2005,"&lt;="&amp;ReportTo)+SUMIFS('Operating Expenses'!$AF$5:$AF$2005,'Operating Expenses'!$E$5:$E$2005,$A6,'Operating Expenses'!$A$5:$A$2005,"&lt;="&amp;ReportTo)+SUMIFS('Payroll'!$AB$5:$AB$2005,'Payroll'!$C$5:$C$2005,$A6,'Payroll'!$A$5:$A$2005,"&lt;="&amp;ReportTo)+SUMIFS('Receipt Vouchers'!$AB$5:$AB$2005,'Receipt Vouchers'!$E$5:$E$2005,$A6,'Receipt Vouchers'!$A$5:$A$2005,"&lt;="&amp;ReportTo)+SUMIFS('Sales Invoices'!$AC$5:$AC$2005,'Sales Invoices'!$H$5:$H$2005,$A6,'Sales Invoices'!$B$5:$B$2005,"&lt;="&amp;ReportTo)+SUMIFS('Payment Vouchers'!$S$5:$S$2005,'Payment Vouchers'!$B$5:$B$2005,$A6,'Payment Vouchers'!$A$5:$A$2005,"&lt;="&amp;ReportTo)+SUMIFS('Partner Transactions'!$U$5:$U$2005,'Partner Transactions'!$B$5:$B$2005,$A6,'Partner Transactions'!$A$5:$A$2005,"&lt;="&amp;ReportTo)+SUMIFS('Stock Moves'!$AQ$5:$AQ$2005,'Stock Moves'!$J$5:$J$2005,$A6,'Stock Moves'!$A$5:$A$2005,"&lt;="&amp;ReportTo)+SUMIFS('Journal Vouchers'!$S$5:$S$2005,'Journal Vouchers'!$E$5:$E$2005,$A6,'Journal Vouchers'!$B$5:$B$2005,"&lt;="&amp;ReportTo))</f>
        <v/>
      </c>
      <c r="D6" s="26">
        <f>B6+C6</f>
        <v/>
      </c>
    </row>
    <row r="7">
      <c r="A7" s="25">
        <f>IF(Parties!A7="","",Parties!A7)</f>
        <v/>
      </c>
      <c r="B7" s="26">
        <f>IF(A7="",0,SUMIFS('Direct Costs'!$AJ$5:$AJ$2005,'Direct Costs'!$E$5:$E$2005,$A7,'Direct Costs'!$A$5:$A$2005,"&lt;="&amp;ReportTo)+SUMIFS('Operating Expenses'!$AE$5:$AE$2005,'Operating Expenses'!$E$5:$E$2005,$A7,'Operating Expenses'!$A$5:$A$2005,"&lt;="&amp;ReportTo)+SUMIFS('Payroll'!$AA$5:$AA$2005,'Payroll'!$C$5:$C$2005,$A7,'Payroll'!$A$5:$A$2005,"&lt;="&amp;ReportTo)+SUMIFS('Receipt Vouchers'!$AA$5:$AA$2005,'Receipt Vouchers'!$E$5:$E$2005,$A7,'Receipt Vouchers'!$A$5:$A$2005,"&lt;="&amp;ReportTo)+SUMIFS('Sales Invoices'!$AB$5:$AB$2005,'Sales Invoices'!$H$5:$H$2005,$A7,'Sales Invoices'!$B$5:$B$2005,"&lt;="&amp;ReportTo)+SUMIFS('Payment Vouchers'!$R$5:$R$2005,'Payment Vouchers'!$B$5:$B$2005,$A7,'Payment Vouchers'!$A$5:$A$2005,"&lt;="&amp;ReportTo)+SUMIFS('Partner Transactions'!$T$5:$T$2005,'Partner Transactions'!$B$5:$B$2005,$A7,'Partner Transactions'!$A$5:$A$2005,"&lt;="&amp;ReportTo)+SUMIFS('Stock Moves'!$AP$5:$AP$2005,'Stock Moves'!$J$5:$J$2005,$A7,'Stock Moves'!$A$5:$A$2005,"&lt;="&amp;ReportTo)+SUMIFS('Journal Vouchers'!$R$5:$R$2005,'Journal Vouchers'!$E$5:$E$2005,$A7,'Journal Vouchers'!$B$5:$B$2005,"&lt;="&amp;ReportTo))</f>
        <v/>
      </c>
      <c r="C7" s="26">
        <f>IF(A7="",0,SUMIFS('Direct Costs'!$AK$5:$AK$2005,'Direct Costs'!$E$5:$E$2005,$A7,'Direct Costs'!$A$5:$A$2005,"&lt;="&amp;ReportTo)+SUMIFS('Operating Expenses'!$AF$5:$AF$2005,'Operating Expenses'!$E$5:$E$2005,$A7,'Operating Expenses'!$A$5:$A$2005,"&lt;="&amp;ReportTo)+SUMIFS('Payroll'!$AB$5:$AB$2005,'Payroll'!$C$5:$C$2005,$A7,'Payroll'!$A$5:$A$2005,"&lt;="&amp;ReportTo)+SUMIFS('Receipt Vouchers'!$AB$5:$AB$2005,'Receipt Vouchers'!$E$5:$E$2005,$A7,'Receipt Vouchers'!$A$5:$A$2005,"&lt;="&amp;ReportTo)+SUMIFS('Sales Invoices'!$AC$5:$AC$2005,'Sales Invoices'!$H$5:$H$2005,$A7,'Sales Invoices'!$B$5:$B$2005,"&lt;="&amp;ReportTo)+SUMIFS('Payment Vouchers'!$S$5:$S$2005,'Payment Vouchers'!$B$5:$B$2005,$A7,'Payment Vouchers'!$A$5:$A$2005,"&lt;="&amp;ReportTo)+SUMIFS('Partner Transactions'!$U$5:$U$2005,'Partner Transactions'!$B$5:$B$2005,$A7,'Partner Transactions'!$A$5:$A$2005,"&lt;="&amp;ReportTo)+SUMIFS('Stock Moves'!$AQ$5:$AQ$2005,'Stock Moves'!$J$5:$J$2005,$A7,'Stock Moves'!$A$5:$A$2005,"&lt;="&amp;ReportTo)+SUMIFS('Journal Vouchers'!$S$5:$S$2005,'Journal Vouchers'!$E$5:$E$2005,$A7,'Journal Vouchers'!$B$5:$B$2005,"&lt;="&amp;ReportTo))</f>
        <v/>
      </c>
      <c r="D7" s="26">
        <f>B7+C7</f>
        <v/>
      </c>
    </row>
    <row r="8">
      <c r="A8" s="25">
        <f>IF(Parties!A8="","",Parties!A8)</f>
        <v/>
      </c>
      <c r="B8" s="26">
        <f>IF(A8="",0,SUMIFS('Direct Costs'!$AJ$5:$AJ$2005,'Direct Costs'!$E$5:$E$2005,$A8,'Direct Costs'!$A$5:$A$2005,"&lt;="&amp;ReportTo)+SUMIFS('Operating Expenses'!$AE$5:$AE$2005,'Operating Expenses'!$E$5:$E$2005,$A8,'Operating Expenses'!$A$5:$A$2005,"&lt;="&amp;ReportTo)+SUMIFS('Payroll'!$AA$5:$AA$2005,'Payroll'!$C$5:$C$2005,$A8,'Payroll'!$A$5:$A$2005,"&lt;="&amp;ReportTo)+SUMIFS('Receipt Vouchers'!$AA$5:$AA$2005,'Receipt Vouchers'!$E$5:$E$2005,$A8,'Receipt Vouchers'!$A$5:$A$2005,"&lt;="&amp;ReportTo)+SUMIFS('Sales Invoices'!$AB$5:$AB$2005,'Sales Invoices'!$H$5:$H$2005,$A8,'Sales Invoices'!$B$5:$B$2005,"&lt;="&amp;ReportTo)+SUMIFS('Payment Vouchers'!$R$5:$R$2005,'Payment Vouchers'!$B$5:$B$2005,$A8,'Payment Vouchers'!$A$5:$A$2005,"&lt;="&amp;ReportTo)+SUMIFS('Partner Transactions'!$T$5:$T$2005,'Partner Transactions'!$B$5:$B$2005,$A8,'Partner Transactions'!$A$5:$A$2005,"&lt;="&amp;ReportTo)+SUMIFS('Stock Moves'!$AP$5:$AP$2005,'Stock Moves'!$J$5:$J$2005,$A8,'Stock Moves'!$A$5:$A$2005,"&lt;="&amp;ReportTo)+SUMIFS('Journal Vouchers'!$R$5:$R$2005,'Journal Vouchers'!$E$5:$E$2005,$A8,'Journal Vouchers'!$B$5:$B$2005,"&lt;="&amp;ReportTo))</f>
        <v/>
      </c>
      <c r="C8" s="26">
        <f>IF(A8="",0,SUMIFS('Direct Costs'!$AK$5:$AK$2005,'Direct Costs'!$E$5:$E$2005,$A8,'Direct Costs'!$A$5:$A$2005,"&lt;="&amp;ReportTo)+SUMIFS('Operating Expenses'!$AF$5:$AF$2005,'Operating Expenses'!$E$5:$E$2005,$A8,'Operating Expenses'!$A$5:$A$2005,"&lt;="&amp;ReportTo)+SUMIFS('Payroll'!$AB$5:$AB$2005,'Payroll'!$C$5:$C$2005,$A8,'Payroll'!$A$5:$A$2005,"&lt;="&amp;ReportTo)+SUMIFS('Receipt Vouchers'!$AB$5:$AB$2005,'Receipt Vouchers'!$E$5:$E$2005,$A8,'Receipt Vouchers'!$A$5:$A$2005,"&lt;="&amp;ReportTo)+SUMIFS('Sales Invoices'!$AC$5:$AC$2005,'Sales Invoices'!$H$5:$H$2005,$A8,'Sales Invoices'!$B$5:$B$2005,"&lt;="&amp;ReportTo)+SUMIFS('Payment Vouchers'!$S$5:$S$2005,'Payment Vouchers'!$B$5:$B$2005,$A8,'Payment Vouchers'!$A$5:$A$2005,"&lt;="&amp;ReportTo)+SUMIFS('Partner Transactions'!$U$5:$U$2005,'Partner Transactions'!$B$5:$B$2005,$A8,'Partner Transactions'!$A$5:$A$2005,"&lt;="&amp;ReportTo)+SUMIFS('Stock Moves'!$AQ$5:$AQ$2005,'Stock Moves'!$J$5:$J$2005,$A8,'Stock Moves'!$A$5:$A$2005,"&lt;="&amp;ReportTo)+SUMIFS('Journal Vouchers'!$S$5:$S$2005,'Journal Vouchers'!$E$5:$E$2005,$A8,'Journal Vouchers'!$B$5:$B$2005,"&lt;="&amp;ReportTo))</f>
        <v/>
      </c>
      <c r="D8" s="26">
        <f>B8+C8</f>
        <v/>
      </c>
    </row>
    <row r="9">
      <c r="A9" s="25">
        <f>IF(Parties!A9="","",Parties!A9)</f>
        <v/>
      </c>
      <c r="B9" s="26">
        <f>IF(A9="",0,SUMIFS('Direct Costs'!$AJ$5:$AJ$2005,'Direct Costs'!$E$5:$E$2005,$A9,'Direct Costs'!$A$5:$A$2005,"&lt;="&amp;ReportTo)+SUMIFS('Operating Expenses'!$AE$5:$AE$2005,'Operating Expenses'!$E$5:$E$2005,$A9,'Operating Expenses'!$A$5:$A$2005,"&lt;="&amp;ReportTo)+SUMIFS('Payroll'!$AA$5:$AA$2005,'Payroll'!$C$5:$C$2005,$A9,'Payroll'!$A$5:$A$2005,"&lt;="&amp;ReportTo)+SUMIFS('Receipt Vouchers'!$AA$5:$AA$2005,'Receipt Vouchers'!$E$5:$E$2005,$A9,'Receipt Vouchers'!$A$5:$A$2005,"&lt;="&amp;ReportTo)+SUMIFS('Sales Invoices'!$AB$5:$AB$2005,'Sales Invoices'!$H$5:$H$2005,$A9,'Sales Invoices'!$B$5:$B$2005,"&lt;="&amp;ReportTo)+SUMIFS('Payment Vouchers'!$R$5:$R$2005,'Payment Vouchers'!$B$5:$B$2005,$A9,'Payment Vouchers'!$A$5:$A$2005,"&lt;="&amp;ReportTo)+SUMIFS('Partner Transactions'!$T$5:$T$2005,'Partner Transactions'!$B$5:$B$2005,$A9,'Partner Transactions'!$A$5:$A$2005,"&lt;="&amp;ReportTo)+SUMIFS('Stock Moves'!$AP$5:$AP$2005,'Stock Moves'!$J$5:$J$2005,$A9,'Stock Moves'!$A$5:$A$2005,"&lt;="&amp;ReportTo)+SUMIFS('Journal Vouchers'!$R$5:$R$2005,'Journal Vouchers'!$E$5:$E$2005,$A9,'Journal Vouchers'!$B$5:$B$2005,"&lt;="&amp;ReportTo))</f>
        <v/>
      </c>
      <c r="C9" s="26">
        <f>IF(A9="",0,SUMIFS('Direct Costs'!$AK$5:$AK$2005,'Direct Costs'!$E$5:$E$2005,$A9,'Direct Costs'!$A$5:$A$2005,"&lt;="&amp;ReportTo)+SUMIFS('Operating Expenses'!$AF$5:$AF$2005,'Operating Expenses'!$E$5:$E$2005,$A9,'Operating Expenses'!$A$5:$A$2005,"&lt;="&amp;ReportTo)+SUMIFS('Payroll'!$AB$5:$AB$2005,'Payroll'!$C$5:$C$2005,$A9,'Payroll'!$A$5:$A$2005,"&lt;="&amp;ReportTo)+SUMIFS('Receipt Vouchers'!$AB$5:$AB$2005,'Receipt Vouchers'!$E$5:$E$2005,$A9,'Receipt Vouchers'!$A$5:$A$2005,"&lt;="&amp;ReportTo)+SUMIFS('Sales Invoices'!$AC$5:$AC$2005,'Sales Invoices'!$H$5:$H$2005,$A9,'Sales Invoices'!$B$5:$B$2005,"&lt;="&amp;ReportTo)+SUMIFS('Payment Vouchers'!$S$5:$S$2005,'Payment Vouchers'!$B$5:$B$2005,$A9,'Payment Vouchers'!$A$5:$A$2005,"&lt;="&amp;ReportTo)+SUMIFS('Partner Transactions'!$U$5:$U$2005,'Partner Transactions'!$B$5:$B$2005,$A9,'Partner Transactions'!$A$5:$A$2005,"&lt;="&amp;ReportTo)+SUMIFS('Stock Moves'!$AQ$5:$AQ$2005,'Stock Moves'!$J$5:$J$2005,$A9,'Stock Moves'!$A$5:$A$2005,"&lt;="&amp;ReportTo)+SUMIFS('Journal Vouchers'!$S$5:$S$2005,'Journal Vouchers'!$E$5:$E$2005,$A9,'Journal Vouchers'!$B$5:$B$2005,"&lt;="&amp;ReportTo))</f>
        <v/>
      </c>
      <c r="D9" s="26">
        <f>B9+C9</f>
        <v/>
      </c>
    </row>
    <row r="10">
      <c r="A10" s="25">
        <f>IF(Parties!A10="","",Parties!A10)</f>
        <v/>
      </c>
      <c r="B10" s="26">
        <f>IF(A10="",0,SUMIFS('Direct Costs'!$AJ$5:$AJ$2005,'Direct Costs'!$E$5:$E$2005,$A10,'Direct Costs'!$A$5:$A$2005,"&lt;="&amp;ReportTo)+SUMIFS('Operating Expenses'!$AE$5:$AE$2005,'Operating Expenses'!$E$5:$E$2005,$A10,'Operating Expenses'!$A$5:$A$2005,"&lt;="&amp;ReportTo)+SUMIFS('Payroll'!$AA$5:$AA$2005,'Payroll'!$C$5:$C$2005,$A10,'Payroll'!$A$5:$A$2005,"&lt;="&amp;ReportTo)+SUMIFS('Receipt Vouchers'!$AA$5:$AA$2005,'Receipt Vouchers'!$E$5:$E$2005,$A10,'Receipt Vouchers'!$A$5:$A$2005,"&lt;="&amp;ReportTo)+SUMIFS('Sales Invoices'!$AB$5:$AB$2005,'Sales Invoices'!$H$5:$H$2005,$A10,'Sales Invoices'!$B$5:$B$2005,"&lt;="&amp;ReportTo)+SUMIFS('Payment Vouchers'!$R$5:$R$2005,'Payment Vouchers'!$B$5:$B$2005,$A10,'Payment Vouchers'!$A$5:$A$2005,"&lt;="&amp;ReportTo)+SUMIFS('Partner Transactions'!$T$5:$T$2005,'Partner Transactions'!$B$5:$B$2005,$A10,'Partner Transactions'!$A$5:$A$2005,"&lt;="&amp;ReportTo)+SUMIFS('Stock Moves'!$AP$5:$AP$2005,'Stock Moves'!$J$5:$J$2005,$A10,'Stock Moves'!$A$5:$A$2005,"&lt;="&amp;ReportTo)+SUMIFS('Journal Vouchers'!$R$5:$R$2005,'Journal Vouchers'!$E$5:$E$2005,$A10,'Journal Vouchers'!$B$5:$B$2005,"&lt;="&amp;ReportTo))</f>
        <v/>
      </c>
      <c r="C10" s="26">
        <f>IF(A10="",0,SUMIFS('Direct Costs'!$AK$5:$AK$2005,'Direct Costs'!$E$5:$E$2005,$A10,'Direct Costs'!$A$5:$A$2005,"&lt;="&amp;ReportTo)+SUMIFS('Operating Expenses'!$AF$5:$AF$2005,'Operating Expenses'!$E$5:$E$2005,$A10,'Operating Expenses'!$A$5:$A$2005,"&lt;="&amp;ReportTo)+SUMIFS('Payroll'!$AB$5:$AB$2005,'Payroll'!$C$5:$C$2005,$A10,'Payroll'!$A$5:$A$2005,"&lt;="&amp;ReportTo)+SUMIFS('Receipt Vouchers'!$AB$5:$AB$2005,'Receipt Vouchers'!$E$5:$E$2005,$A10,'Receipt Vouchers'!$A$5:$A$2005,"&lt;="&amp;ReportTo)+SUMIFS('Sales Invoices'!$AC$5:$AC$2005,'Sales Invoices'!$H$5:$H$2005,$A10,'Sales Invoices'!$B$5:$B$2005,"&lt;="&amp;ReportTo)+SUMIFS('Payment Vouchers'!$S$5:$S$2005,'Payment Vouchers'!$B$5:$B$2005,$A10,'Payment Vouchers'!$A$5:$A$2005,"&lt;="&amp;ReportTo)+SUMIFS('Partner Transactions'!$U$5:$U$2005,'Partner Transactions'!$B$5:$B$2005,$A10,'Partner Transactions'!$A$5:$A$2005,"&lt;="&amp;ReportTo)+SUMIFS('Stock Moves'!$AQ$5:$AQ$2005,'Stock Moves'!$J$5:$J$2005,$A10,'Stock Moves'!$A$5:$A$2005,"&lt;="&amp;ReportTo)+SUMIFS('Journal Vouchers'!$S$5:$S$2005,'Journal Vouchers'!$E$5:$E$2005,$A10,'Journal Vouchers'!$B$5:$B$2005,"&lt;="&amp;ReportTo))</f>
        <v/>
      </c>
      <c r="D10" s="26">
        <f>B10+C10</f>
        <v/>
      </c>
    </row>
    <row r="11">
      <c r="A11" s="25">
        <f>IF(Parties!A11="","",Parties!A11)</f>
        <v/>
      </c>
      <c r="B11" s="26">
        <f>IF(A11="",0,SUMIFS('Direct Costs'!$AJ$5:$AJ$2005,'Direct Costs'!$E$5:$E$2005,$A11,'Direct Costs'!$A$5:$A$2005,"&lt;="&amp;ReportTo)+SUMIFS('Operating Expenses'!$AE$5:$AE$2005,'Operating Expenses'!$E$5:$E$2005,$A11,'Operating Expenses'!$A$5:$A$2005,"&lt;="&amp;ReportTo)+SUMIFS('Payroll'!$AA$5:$AA$2005,'Payroll'!$C$5:$C$2005,$A11,'Payroll'!$A$5:$A$2005,"&lt;="&amp;ReportTo)+SUMIFS('Receipt Vouchers'!$AA$5:$AA$2005,'Receipt Vouchers'!$E$5:$E$2005,$A11,'Receipt Vouchers'!$A$5:$A$2005,"&lt;="&amp;ReportTo)+SUMIFS('Sales Invoices'!$AB$5:$AB$2005,'Sales Invoices'!$H$5:$H$2005,$A11,'Sales Invoices'!$B$5:$B$2005,"&lt;="&amp;ReportTo)+SUMIFS('Payment Vouchers'!$R$5:$R$2005,'Payment Vouchers'!$B$5:$B$2005,$A11,'Payment Vouchers'!$A$5:$A$2005,"&lt;="&amp;ReportTo)+SUMIFS('Partner Transactions'!$T$5:$T$2005,'Partner Transactions'!$B$5:$B$2005,$A11,'Partner Transactions'!$A$5:$A$2005,"&lt;="&amp;ReportTo)+SUMIFS('Stock Moves'!$AP$5:$AP$2005,'Stock Moves'!$J$5:$J$2005,$A11,'Stock Moves'!$A$5:$A$2005,"&lt;="&amp;ReportTo)+SUMIFS('Journal Vouchers'!$R$5:$R$2005,'Journal Vouchers'!$E$5:$E$2005,$A11,'Journal Vouchers'!$B$5:$B$2005,"&lt;="&amp;ReportTo))</f>
        <v/>
      </c>
      <c r="C11" s="26">
        <f>IF(A11="",0,SUMIFS('Direct Costs'!$AK$5:$AK$2005,'Direct Costs'!$E$5:$E$2005,$A11,'Direct Costs'!$A$5:$A$2005,"&lt;="&amp;ReportTo)+SUMIFS('Operating Expenses'!$AF$5:$AF$2005,'Operating Expenses'!$E$5:$E$2005,$A11,'Operating Expenses'!$A$5:$A$2005,"&lt;="&amp;ReportTo)+SUMIFS('Payroll'!$AB$5:$AB$2005,'Payroll'!$C$5:$C$2005,$A11,'Payroll'!$A$5:$A$2005,"&lt;="&amp;ReportTo)+SUMIFS('Receipt Vouchers'!$AB$5:$AB$2005,'Receipt Vouchers'!$E$5:$E$2005,$A11,'Receipt Vouchers'!$A$5:$A$2005,"&lt;="&amp;ReportTo)+SUMIFS('Sales Invoices'!$AC$5:$AC$2005,'Sales Invoices'!$H$5:$H$2005,$A11,'Sales Invoices'!$B$5:$B$2005,"&lt;="&amp;ReportTo)+SUMIFS('Payment Vouchers'!$S$5:$S$2005,'Payment Vouchers'!$B$5:$B$2005,$A11,'Payment Vouchers'!$A$5:$A$2005,"&lt;="&amp;ReportTo)+SUMIFS('Partner Transactions'!$U$5:$U$2005,'Partner Transactions'!$B$5:$B$2005,$A11,'Partner Transactions'!$A$5:$A$2005,"&lt;="&amp;ReportTo)+SUMIFS('Stock Moves'!$AQ$5:$AQ$2005,'Stock Moves'!$J$5:$J$2005,$A11,'Stock Moves'!$A$5:$A$2005,"&lt;="&amp;ReportTo)+SUMIFS('Journal Vouchers'!$S$5:$S$2005,'Journal Vouchers'!$E$5:$E$2005,$A11,'Journal Vouchers'!$B$5:$B$2005,"&lt;="&amp;ReportTo))</f>
        <v/>
      </c>
      <c r="D11" s="26">
        <f>B11+C11</f>
        <v/>
      </c>
    </row>
    <row r="12">
      <c r="A12" s="25">
        <f>IF(Parties!A12="","",Parties!A12)</f>
        <v/>
      </c>
      <c r="B12" s="26">
        <f>IF(A12="",0,SUMIFS('Direct Costs'!$AJ$5:$AJ$2005,'Direct Costs'!$E$5:$E$2005,$A12,'Direct Costs'!$A$5:$A$2005,"&lt;="&amp;ReportTo)+SUMIFS('Operating Expenses'!$AE$5:$AE$2005,'Operating Expenses'!$E$5:$E$2005,$A12,'Operating Expenses'!$A$5:$A$2005,"&lt;="&amp;ReportTo)+SUMIFS('Payroll'!$AA$5:$AA$2005,'Payroll'!$C$5:$C$2005,$A12,'Payroll'!$A$5:$A$2005,"&lt;="&amp;ReportTo)+SUMIFS('Receipt Vouchers'!$AA$5:$AA$2005,'Receipt Vouchers'!$E$5:$E$2005,$A12,'Receipt Vouchers'!$A$5:$A$2005,"&lt;="&amp;ReportTo)+SUMIFS('Sales Invoices'!$AB$5:$AB$2005,'Sales Invoices'!$H$5:$H$2005,$A12,'Sales Invoices'!$B$5:$B$2005,"&lt;="&amp;ReportTo)+SUMIFS('Payment Vouchers'!$R$5:$R$2005,'Payment Vouchers'!$B$5:$B$2005,$A12,'Payment Vouchers'!$A$5:$A$2005,"&lt;="&amp;ReportTo)+SUMIFS('Partner Transactions'!$T$5:$T$2005,'Partner Transactions'!$B$5:$B$2005,$A12,'Partner Transactions'!$A$5:$A$2005,"&lt;="&amp;ReportTo)+SUMIFS('Stock Moves'!$AP$5:$AP$2005,'Stock Moves'!$J$5:$J$2005,$A12,'Stock Moves'!$A$5:$A$2005,"&lt;="&amp;ReportTo)+SUMIFS('Journal Vouchers'!$R$5:$R$2005,'Journal Vouchers'!$E$5:$E$2005,$A12,'Journal Vouchers'!$B$5:$B$2005,"&lt;="&amp;ReportTo))</f>
        <v/>
      </c>
      <c r="C12" s="26">
        <f>IF(A12="",0,SUMIFS('Direct Costs'!$AK$5:$AK$2005,'Direct Costs'!$E$5:$E$2005,$A12,'Direct Costs'!$A$5:$A$2005,"&lt;="&amp;ReportTo)+SUMIFS('Operating Expenses'!$AF$5:$AF$2005,'Operating Expenses'!$E$5:$E$2005,$A12,'Operating Expenses'!$A$5:$A$2005,"&lt;="&amp;ReportTo)+SUMIFS('Payroll'!$AB$5:$AB$2005,'Payroll'!$C$5:$C$2005,$A12,'Payroll'!$A$5:$A$2005,"&lt;="&amp;ReportTo)+SUMIFS('Receipt Vouchers'!$AB$5:$AB$2005,'Receipt Vouchers'!$E$5:$E$2005,$A12,'Receipt Vouchers'!$A$5:$A$2005,"&lt;="&amp;ReportTo)+SUMIFS('Sales Invoices'!$AC$5:$AC$2005,'Sales Invoices'!$H$5:$H$2005,$A12,'Sales Invoices'!$B$5:$B$2005,"&lt;="&amp;ReportTo)+SUMIFS('Payment Vouchers'!$S$5:$S$2005,'Payment Vouchers'!$B$5:$B$2005,$A12,'Payment Vouchers'!$A$5:$A$2005,"&lt;="&amp;ReportTo)+SUMIFS('Partner Transactions'!$U$5:$U$2005,'Partner Transactions'!$B$5:$B$2005,$A12,'Partner Transactions'!$A$5:$A$2005,"&lt;="&amp;ReportTo)+SUMIFS('Stock Moves'!$AQ$5:$AQ$2005,'Stock Moves'!$J$5:$J$2005,$A12,'Stock Moves'!$A$5:$A$2005,"&lt;="&amp;ReportTo)+SUMIFS('Journal Vouchers'!$S$5:$S$2005,'Journal Vouchers'!$E$5:$E$2005,$A12,'Journal Vouchers'!$B$5:$B$2005,"&lt;="&amp;ReportTo))</f>
        <v/>
      </c>
      <c r="D12" s="26">
        <f>B12+C12</f>
        <v/>
      </c>
    </row>
    <row r="13">
      <c r="A13" s="25">
        <f>IF(Parties!A13="","",Parties!A13)</f>
        <v/>
      </c>
      <c r="B13" s="26">
        <f>IF(A13="",0,SUMIFS('Direct Costs'!$AJ$5:$AJ$2005,'Direct Costs'!$E$5:$E$2005,$A13,'Direct Costs'!$A$5:$A$2005,"&lt;="&amp;ReportTo)+SUMIFS('Operating Expenses'!$AE$5:$AE$2005,'Operating Expenses'!$E$5:$E$2005,$A13,'Operating Expenses'!$A$5:$A$2005,"&lt;="&amp;ReportTo)+SUMIFS('Payroll'!$AA$5:$AA$2005,'Payroll'!$C$5:$C$2005,$A13,'Payroll'!$A$5:$A$2005,"&lt;="&amp;ReportTo)+SUMIFS('Receipt Vouchers'!$AA$5:$AA$2005,'Receipt Vouchers'!$E$5:$E$2005,$A13,'Receipt Vouchers'!$A$5:$A$2005,"&lt;="&amp;ReportTo)+SUMIFS('Sales Invoices'!$AB$5:$AB$2005,'Sales Invoices'!$H$5:$H$2005,$A13,'Sales Invoices'!$B$5:$B$2005,"&lt;="&amp;ReportTo)+SUMIFS('Payment Vouchers'!$R$5:$R$2005,'Payment Vouchers'!$B$5:$B$2005,$A13,'Payment Vouchers'!$A$5:$A$2005,"&lt;="&amp;ReportTo)+SUMIFS('Partner Transactions'!$T$5:$T$2005,'Partner Transactions'!$B$5:$B$2005,$A13,'Partner Transactions'!$A$5:$A$2005,"&lt;="&amp;ReportTo)+SUMIFS('Stock Moves'!$AP$5:$AP$2005,'Stock Moves'!$J$5:$J$2005,$A13,'Stock Moves'!$A$5:$A$2005,"&lt;="&amp;ReportTo)+SUMIFS('Journal Vouchers'!$R$5:$R$2005,'Journal Vouchers'!$E$5:$E$2005,$A13,'Journal Vouchers'!$B$5:$B$2005,"&lt;="&amp;ReportTo))</f>
        <v/>
      </c>
      <c r="C13" s="26">
        <f>IF(A13="",0,SUMIFS('Direct Costs'!$AK$5:$AK$2005,'Direct Costs'!$E$5:$E$2005,$A13,'Direct Costs'!$A$5:$A$2005,"&lt;="&amp;ReportTo)+SUMIFS('Operating Expenses'!$AF$5:$AF$2005,'Operating Expenses'!$E$5:$E$2005,$A13,'Operating Expenses'!$A$5:$A$2005,"&lt;="&amp;ReportTo)+SUMIFS('Payroll'!$AB$5:$AB$2005,'Payroll'!$C$5:$C$2005,$A13,'Payroll'!$A$5:$A$2005,"&lt;="&amp;ReportTo)+SUMIFS('Receipt Vouchers'!$AB$5:$AB$2005,'Receipt Vouchers'!$E$5:$E$2005,$A13,'Receipt Vouchers'!$A$5:$A$2005,"&lt;="&amp;ReportTo)+SUMIFS('Sales Invoices'!$AC$5:$AC$2005,'Sales Invoices'!$H$5:$H$2005,$A13,'Sales Invoices'!$B$5:$B$2005,"&lt;="&amp;ReportTo)+SUMIFS('Payment Vouchers'!$S$5:$S$2005,'Payment Vouchers'!$B$5:$B$2005,$A13,'Payment Vouchers'!$A$5:$A$2005,"&lt;="&amp;ReportTo)+SUMIFS('Partner Transactions'!$U$5:$U$2005,'Partner Transactions'!$B$5:$B$2005,$A13,'Partner Transactions'!$A$5:$A$2005,"&lt;="&amp;ReportTo)+SUMIFS('Stock Moves'!$AQ$5:$AQ$2005,'Stock Moves'!$J$5:$J$2005,$A13,'Stock Moves'!$A$5:$A$2005,"&lt;="&amp;ReportTo)+SUMIFS('Journal Vouchers'!$S$5:$S$2005,'Journal Vouchers'!$E$5:$E$2005,$A13,'Journal Vouchers'!$B$5:$B$2005,"&lt;="&amp;ReportTo))</f>
        <v/>
      </c>
      <c r="D13" s="26">
        <f>B13+C13</f>
        <v/>
      </c>
    </row>
    <row r="14">
      <c r="A14" s="25">
        <f>IF(Parties!A14="","",Parties!A14)</f>
        <v/>
      </c>
      <c r="B14" s="26">
        <f>IF(A14="",0,SUMIFS('Direct Costs'!$AJ$5:$AJ$2005,'Direct Costs'!$E$5:$E$2005,$A14,'Direct Costs'!$A$5:$A$2005,"&lt;="&amp;ReportTo)+SUMIFS('Operating Expenses'!$AE$5:$AE$2005,'Operating Expenses'!$E$5:$E$2005,$A14,'Operating Expenses'!$A$5:$A$2005,"&lt;="&amp;ReportTo)+SUMIFS('Payroll'!$AA$5:$AA$2005,'Payroll'!$C$5:$C$2005,$A14,'Payroll'!$A$5:$A$2005,"&lt;="&amp;ReportTo)+SUMIFS('Receipt Vouchers'!$AA$5:$AA$2005,'Receipt Vouchers'!$E$5:$E$2005,$A14,'Receipt Vouchers'!$A$5:$A$2005,"&lt;="&amp;ReportTo)+SUMIFS('Sales Invoices'!$AB$5:$AB$2005,'Sales Invoices'!$H$5:$H$2005,$A14,'Sales Invoices'!$B$5:$B$2005,"&lt;="&amp;ReportTo)+SUMIFS('Payment Vouchers'!$R$5:$R$2005,'Payment Vouchers'!$B$5:$B$2005,$A14,'Payment Vouchers'!$A$5:$A$2005,"&lt;="&amp;ReportTo)+SUMIFS('Partner Transactions'!$T$5:$T$2005,'Partner Transactions'!$B$5:$B$2005,$A14,'Partner Transactions'!$A$5:$A$2005,"&lt;="&amp;ReportTo)+SUMIFS('Stock Moves'!$AP$5:$AP$2005,'Stock Moves'!$J$5:$J$2005,$A14,'Stock Moves'!$A$5:$A$2005,"&lt;="&amp;ReportTo)+SUMIFS('Journal Vouchers'!$R$5:$R$2005,'Journal Vouchers'!$E$5:$E$2005,$A14,'Journal Vouchers'!$B$5:$B$2005,"&lt;="&amp;ReportTo))</f>
        <v/>
      </c>
      <c r="C14" s="26">
        <f>IF(A14="",0,SUMIFS('Direct Costs'!$AK$5:$AK$2005,'Direct Costs'!$E$5:$E$2005,$A14,'Direct Costs'!$A$5:$A$2005,"&lt;="&amp;ReportTo)+SUMIFS('Operating Expenses'!$AF$5:$AF$2005,'Operating Expenses'!$E$5:$E$2005,$A14,'Operating Expenses'!$A$5:$A$2005,"&lt;="&amp;ReportTo)+SUMIFS('Payroll'!$AB$5:$AB$2005,'Payroll'!$C$5:$C$2005,$A14,'Payroll'!$A$5:$A$2005,"&lt;="&amp;ReportTo)+SUMIFS('Receipt Vouchers'!$AB$5:$AB$2005,'Receipt Vouchers'!$E$5:$E$2005,$A14,'Receipt Vouchers'!$A$5:$A$2005,"&lt;="&amp;ReportTo)+SUMIFS('Sales Invoices'!$AC$5:$AC$2005,'Sales Invoices'!$H$5:$H$2005,$A14,'Sales Invoices'!$B$5:$B$2005,"&lt;="&amp;ReportTo)+SUMIFS('Payment Vouchers'!$S$5:$S$2005,'Payment Vouchers'!$B$5:$B$2005,$A14,'Payment Vouchers'!$A$5:$A$2005,"&lt;="&amp;ReportTo)+SUMIFS('Partner Transactions'!$U$5:$U$2005,'Partner Transactions'!$B$5:$B$2005,$A14,'Partner Transactions'!$A$5:$A$2005,"&lt;="&amp;ReportTo)+SUMIFS('Stock Moves'!$AQ$5:$AQ$2005,'Stock Moves'!$J$5:$J$2005,$A14,'Stock Moves'!$A$5:$A$2005,"&lt;="&amp;ReportTo)+SUMIFS('Journal Vouchers'!$S$5:$S$2005,'Journal Vouchers'!$E$5:$E$2005,$A14,'Journal Vouchers'!$B$5:$B$2005,"&lt;="&amp;ReportTo))</f>
        <v/>
      </c>
      <c r="D14" s="26">
        <f>B14+C14</f>
        <v/>
      </c>
    </row>
    <row r="15">
      <c r="A15" s="25">
        <f>IF(Parties!A15="","",Parties!A15)</f>
        <v/>
      </c>
      <c r="B15" s="26">
        <f>IF(A15="",0,SUMIFS('Direct Costs'!$AJ$5:$AJ$2005,'Direct Costs'!$E$5:$E$2005,$A15,'Direct Costs'!$A$5:$A$2005,"&lt;="&amp;ReportTo)+SUMIFS('Operating Expenses'!$AE$5:$AE$2005,'Operating Expenses'!$E$5:$E$2005,$A15,'Operating Expenses'!$A$5:$A$2005,"&lt;="&amp;ReportTo)+SUMIFS('Payroll'!$AA$5:$AA$2005,'Payroll'!$C$5:$C$2005,$A15,'Payroll'!$A$5:$A$2005,"&lt;="&amp;ReportTo)+SUMIFS('Receipt Vouchers'!$AA$5:$AA$2005,'Receipt Vouchers'!$E$5:$E$2005,$A15,'Receipt Vouchers'!$A$5:$A$2005,"&lt;="&amp;ReportTo)+SUMIFS('Sales Invoices'!$AB$5:$AB$2005,'Sales Invoices'!$H$5:$H$2005,$A15,'Sales Invoices'!$B$5:$B$2005,"&lt;="&amp;ReportTo)+SUMIFS('Payment Vouchers'!$R$5:$R$2005,'Payment Vouchers'!$B$5:$B$2005,$A15,'Payment Vouchers'!$A$5:$A$2005,"&lt;="&amp;ReportTo)+SUMIFS('Partner Transactions'!$T$5:$T$2005,'Partner Transactions'!$B$5:$B$2005,$A15,'Partner Transactions'!$A$5:$A$2005,"&lt;="&amp;ReportTo)+SUMIFS('Stock Moves'!$AP$5:$AP$2005,'Stock Moves'!$J$5:$J$2005,$A15,'Stock Moves'!$A$5:$A$2005,"&lt;="&amp;ReportTo)+SUMIFS('Journal Vouchers'!$R$5:$R$2005,'Journal Vouchers'!$E$5:$E$2005,$A15,'Journal Vouchers'!$B$5:$B$2005,"&lt;="&amp;ReportTo))</f>
        <v/>
      </c>
      <c r="C15" s="26">
        <f>IF(A15="",0,SUMIFS('Direct Costs'!$AK$5:$AK$2005,'Direct Costs'!$E$5:$E$2005,$A15,'Direct Costs'!$A$5:$A$2005,"&lt;="&amp;ReportTo)+SUMIFS('Operating Expenses'!$AF$5:$AF$2005,'Operating Expenses'!$E$5:$E$2005,$A15,'Operating Expenses'!$A$5:$A$2005,"&lt;="&amp;ReportTo)+SUMIFS('Payroll'!$AB$5:$AB$2005,'Payroll'!$C$5:$C$2005,$A15,'Payroll'!$A$5:$A$2005,"&lt;="&amp;ReportTo)+SUMIFS('Receipt Vouchers'!$AB$5:$AB$2005,'Receipt Vouchers'!$E$5:$E$2005,$A15,'Receipt Vouchers'!$A$5:$A$2005,"&lt;="&amp;ReportTo)+SUMIFS('Sales Invoices'!$AC$5:$AC$2005,'Sales Invoices'!$H$5:$H$2005,$A15,'Sales Invoices'!$B$5:$B$2005,"&lt;="&amp;ReportTo)+SUMIFS('Payment Vouchers'!$S$5:$S$2005,'Payment Vouchers'!$B$5:$B$2005,$A15,'Payment Vouchers'!$A$5:$A$2005,"&lt;="&amp;ReportTo)+SUMIFS('Partner Transactions'!$U$5:$U$2005,'Partner Transactions'!$B$5:$B$2005,$A15,'Partner Transactions'!$A$5:$A$2005,"&lt;="&amp;ReportTo)+SUMIFS('Stock Moves'!$AQ$5:$AQ$2005,'Stock Moves'!$J$5:$J$2005,$A15,'Stock Moves'!$A$5:$A$2005,"&lt;="&amp;ReportTo)+SUMIFS('Journal Vouchers'!$S$5:$S$2005,'Journal Vouchers'!$E$5:$E$2005,$A15,'Journal Vouchers'!$B$5:$B$2005,"&lt;="&amp;ReportTo))</f>
        <v/>
      </c>
      <c r="D15" s="26">
        <f>B15+C15</f>
        <v/>
      </c>
    </row>
    <row r="16">
      <c r="A16" s="25">
        <f>IF(Parties!A16="","",Parties!A16)</f>
        <v/>
      </c>
      <c r="B16" s="26">
        <f>IF(A16="",0,SUMIFS('Direct Costs'!$AJ$5:$AJ$2005,'Direct Costs'!$E$5:$E$2005,$A16,'Direct Costs'!$A$5:$A$2005,"&lt;="&amp;ReportTo)+SUMIFS('Operating Expenses'!$AE$5:$AE$2005,'Operating Expenses'!$E$5:$E$2005,$A16,'Operating Expenses'!$A$5:$A$2005,"&lt;="&amp;ReportTo)+SUMIFS('Payroll'!$AA$5:$AA$2005,'Payroll'!$C$5:$C$2005,$A16,'Payroll'!$A$5:$A$2005,"&lt;="&amp;ReportTo)+SUMIFS('Receipt Vouchers'!$AA$5:$AA$2005,'Receipt Vouchers'!$E$5:$E$2005,$A16,'Receipt Vouchers'!$A$5:$A$2005,"&lt;="&amp;ReportTo)+SUMIFS('Sales Invoices'!$AB$5:$AB$2005,'Sales Invoices'!$H$5:$H$2005,$A16,'Sales Invoices'!$B$5:$B$2005,"&lt;="&amp;ReportTo)+SUMIFS('Payment Vouchers'!$R$5:$R$2005,'Payment Vouchers'!$B$5:$B$2005,$A16,'Payment Vouchers'!$A$5:$A$2005,"&lt;="&amp;ReportTo)+SUMIFS('Partner Transactions'!$T$5:$T$2005,'Partner Transactions'!$B$5:$B$2005,$A16,'Partner Transactions'!$A$5:$A$2005,"&lt;="&amp;ReportTo)+SUMIFS('Stock Moves'!$AP$5:$AP$2005,'Stock Moves'!$J$5:$J$2005,$A16,'Stock Moves'!$A$5:$A$2005,"&lt;="&amp;ReportTo)+SUMIFS('Journal Vouchers'!$R$5:$R$2005,'Journal Vouchers'!$E$5:$E$2005,$A16,'Journal Vouchers'!$B$5:$B$2005,"&lt;="&amp;ReportTo))</f>
        <v/>
      </c>
      <c r="C16" s="26">
        <f>IF(A16="",0,SUMIFS('Direct Costs'!$AK$5:$AK$2005,'Direct Costs'!$E$5:$E$2005,$A16,'Direct Costs'!$A$5:$A$2005,"&lt;="&amp;ReportTo)+SUMIFS('Operating Expenses'!$AF$5:$AF$2005,'Operating Expenses'!$E$5:$E$2005,$A16,'Operating Expenses'!$A$5:$A$2005,"&lt;="&amp;ReportTo)+SUMIFS('Payroll'!$AB$5:$AB$2005,'Payroll'!$C$5:$C$2005,$A16,'Payroll'!$A$5:$A$2005,"&lt;="&amp;ReportTo)+SUMIFS('Receipt Vouchers'!$AB$5:$AB$2005,'Receipt Vouchers'!$E$5:$E$2005,$A16,'Receipt Vouchers'!$A$5:$A$2005,"&lt;="&amp;ReportTo)+SUMIFS('Sales Invoices'!$AC$5:$AC$2005,'Sales Invoices'!$H$5:$H$2005,$A16,'Sales Invoices'!$B$5:$B$2005,"&lt;="&amp;ReportTo)+SUMIFS('Payment Vouchers'!$S$5:$S$2005,'Payment Vouchers'!$B$5:$B$2005,$A16,'Payment Vouchers'!$A$5:$A$2005,"&lt;="&amp;ReportTo)+SUMIFS('Partner Transactions'!$U$5:$U$2005,'Partner Transactions'!$B$5:$B$2005,$A16,'Partner Transactions'!$A$5:$A$2005,"&lt;="&amp;ReportTo)+SUMIFS('Stock Moves'!$AQ$5:$AQ$2005,'Stock Moves'!$J$5:$J$2005,$A16,'Stock Moves'!$A$5:$A$2005,"&lt;="&amp;ReportTo)+SUMIFS('Journal Vouchers'!$S$5:$S$2005,'Journal Vouchers'!$E$5:$E$2005,$A16,'Journal Vouchers'!$B$5:$B$2005,"&lt;="&amp;ReportTo))</f>
        <v/>
      </c>
      <c r="D16" s="26">
        <f>B16+C16</f>
        <v/>
      </c>
    </row>
    <row r="17">
      <c r="A17" s="25">
        <f>IF(Parties!A17="","",Parties!A17)</f>
        <v/>
      </c>
      <c r="B17" s="26">
        <f>IF(A17="",0,SUMIFS('Direct Costs'!$AJ$5:$AJ$2005,'Direct Costs'!$E$5:$E$2005,$A17,'Direct Costs'!$A$5:$A$2005,"&lt;="&amp;ReportTo)+SUMIFS('Operating Expenses'!$AE$5:$AE$2005,'Operating Expenses'!$E$5:$E$2005,$A17,'Operating Expenses'!$A$5:$A$2005,"&lt;="&amp;ReportTo)+SUMIFS('Payroll'!$AA$5:$AA$2005,'Payroll'!$C$5:$C$2005,$A17,'Payroll'!$A$5:$A$2005,"&lt;="&amp;ReportTo)+SUMIFS('Receipt Vouchers'!$AA$5:$AA$2005,'Receipt Vouchers'!$E$5:$E$2005,$A17,'Receipt Vouchers'!$A$5:$A$2005,"&lt;="&amp;ReportTo)+SUMIFS('Sales Invoices'!$AB$5:$AB$2005,'Sales Invoices'!$H$5:$H$2005,$A17,'Sales Invoices'!$B$5:$B$2005,"&lt;="&amp;ReportTo)+SUMIFS('Payment Vouchers'!$R$5:$R$2005,'Payment Vouchers'!$B$5:$B$2005,$A17,'Payment Vouchers'!$A$5:$A$2005,"&lt;="&amp;ReportTo)+SUMIFS('Partner Transactions'!$T$5:$T$2005,'Partner Transactions'!$B$5:$B$2005,$A17,'Partner Transactions'!$A$5:$A$2005,"&lt;="&amp;ReportTo)+SUMIFS('Stock Moves'!$AP$5:$AP$2005,'Stock Moves'!$J$5:$J$2005,$A17,'Stock Moves'!$A$5:$A$2005,"&lt;="&amp;ReportTo)+SUMIFS('Journal Vouchers'!$R$5:$R$2005,'Journal Vouchers'!$E$5:$E$2005,$A17,'Journal Vouchers'!$B$5:$B$2005,"&lt;="&amp;ReportTo))</f>
        <v/>
      </c>
      <c r="C17" s="26">
        <f>IF(A17="",0,SUMIFS('Direct Costs'!$AK$5:$AK$2005,'Direct Costs'!$E$5:$E$2005,$A17,'Direct Costs'!$A$5:$A$2005,"&lt;="&amp;ReportTo)+SUMIFS('Operating Expenses'!$AF$5:$AF$2005,'Operating Expenses'!$E$5:$E$2005,$A17,'Operating Expenses'!$A$5:$A$2005,"&lt;="&amp;ReportTo)+SUMIFS('Payroll'!$AB$5:$AB$2005,'Payroll'!$C$5:$C$2005,$A17,'Payroll'!$A$5:$A$2005,"&lt;="&amp;ReportTo)+SUMIFS('Receipt Vouchers'!$AB$5:$AB$2005,'Receipt Vouchers'!$E$5:$E$2005,$A17,'Receipt Vouchers'!$A$5:$A$2005,"&lt;="&amp;ReportTo)+SUMIFS('Sales Invoices'!$AC$5:$AC$2005,'Sales Invoices'!$H$5:$H$2005,$A17,'Sales Invoices'!$B$5:$B$2005,"&lt;="&amp;ReportTo)+SUMIFS('Payment Vouchers'!$S$5:$S$2005,'Payment Vouchers'!$B$5:$B$2005,$A17,'Payment Vouchers'!$A$5:$A$2005,"&lt;="&amp;ReportTo)+SUMIFS('Partner Transactions'!$U$5:$U$2005,'Partner Transactions'!$B$5:$B$2005,$A17,'Partner Transactions'!$A$5:$A$2005,"&lt;="&amp;ReportTo)+SUMIFS('Stock Moves'!$AQ$5:$AQ$2005,'Stock Moves'!$J$5:$J$2005,$A17,'Stock Moves'!$A$5:$A$2005,"&lt;="&amp;ReportTo)+SUMIFS('Journal Vouchers'!$S$5:$S$2005,'Journal Vouchers'!$E$5:$E$2005,$A17,'Journal Vouchers'!$B$5:$B$2005,"&lt;="&amp;ReportTo))</f>
        <v/>
      </c>
      <c r="D17" s="26">
        <f>B17+C17</f>
        <v/>
      </c>
    </row>
    <row r="18">
      <c r="A18" s="25">
        <f>IF(Parties!A18="","",Parties!A18)</f>
        <v/>
      </c>
      <c r="B18" s="26">
        <f>IF(A18="",0,SUMIFS('Direct Costs'!$AJ$5:$AJ$2005,'Direct Costs'!$E$5:$E$2005,$A18,'Direct Costs'!$A$5:$A$2005,"&lt;="&amp;ReportTo)+SUMIFS('Operating Expenses'!$AE$5:$AE$2005,'Operating Expenses'!$E$5:$E$2005,$A18,'Operating Expenses'!$A$5:$A$2005,"&lt;="&amp;ReportTo)+SUMIFS('Payroll'!$AA$5:$AA$2005,'Payroll'!$C$5:$C$2005,$A18,'Payroll'!$A$5:$A$2005,"&lt;="&amp;ReportTo)+SUMIFS('Receipt Vouchers'!$AA$5:$AA$2005,'Receipt Vouchers'!$E$5:$E$2005,$A18,'Receipt Vouchers'!$A$5:$A$2005,"&lt;="&amp;ReportTo)+SUMIFS('Sales Invoices'!$AB$5:$AB$2005,'Sales Invoices'!$H$5:$H$2005,$A18,'Sales Invoices'!$B$5:$B$2005,"&lt;="&amp;ReportTo)+SUMIFS('Payment Vouchers'!$R$5:$R$2005,'Payment Vouchers'!$B$5:$B$2005,$A18,'Payment Vouchers'!$A$5:$A$2005,"&lt;="&amp;ReportTo)+SUMIFS('Partner Transactions'!$T$5:$T$2005,'Partner Transactions'!$B$5:$B$2005,$A18,'Partner Transactions'!$A$5:$A$2005,"&lt;="&amp;ReportTo)+SUMIFS('Stock Moves'!$AP$5:$AP$2005,'Stock Moves'!$J$5:$J$2005,$A18,'Stock Moves'!$A$5:$A$2005,"&lt;="&amp;ReportTo)+SUMIFS('Journal Vouchers'!$R$5:$R$2005,'Journal Vouchers'!$E$5:$E$2005,$A18,'Journal Vouchers'!$B$5:$B$2005,"&lt;="&amp;ReportTo))</f>
        <v/>
      </c>
      <c r="C18" s="26">
        <f>IF(A18="",0,SUMIFS('Direct Costs'!$AK$5:$AK$2005,'Direct Costs'!$E$5:$E$2005,$A18,'Direct Costs'!$A$5:$A$2005,"&lt;="&amp;ReportTo)+SUMIFS('Operating Expenses'!$AF$5:$AF$2005,'Operating Expenses'!$E$5:$E$2005,$A18,'Operating Expenses'!$A$5:$A$2005,"&lt;="&amp;ReportTo)+SUMIFS('Payroll'!$AB$5:$AB$2005,'Payroll'!$C$5:$C$2005,$A18,'Payroll'!$A$5:$A$2005,"&lt;="&amp;ReportTo)+SUMIFS('Receipt Vouchers'!$AB$5:$AB$2005,'Receipt Vouchers'!$E$5:$E$2005,$A18,'Receipt Vouchers'!$A$5:$A$2005,"&lt;="&amp;ReportTo)+SUMIFS('Sales Invoices'!$AC$5:$AC$2005,'Sales Invoices'!$H$5:$H$2005,$A18,'Sales Invoices'!$B$5:$B$2005,"&lt;="&amp;ReportTo)+SUMIFS('Payment Vouchers'!$S$5:$S$2005,'Payment Vouchers'!$B$5:$B$2005,$A18,'Payment Vouchers'!$A$5:$A$2005,"&lt;="&amp;ReportTo)+SUMIFS('Partner Transactions'!$U$5:$U$2005,'Partner Transactions'!$B$5:$B$2005,$A18,'Partner Transactions'!$A$5:$A$2005,"&lt;="&amp;ReportTo)+SUMIFS('Stock Moves'!$AQ$5:$AQ$2005,'Stock Moves'!$J$5:$J$2005,$A18,'Stock Moves'!$A$5:$A$2005,"&lt;="&amp;ReportTo)+SUMIFS('Journal Vouchers'!$S$5:$S$2005,'Journal Vouchers'!$E$5:$E$2005,$A18,'Journal Vouchers'!$B$5:$B$2005,"&lt;="&amp;ReportTo))</f>
        <v/>
      </c>
      <c r="D18" s="26">
        <f>B18+C18</f>
        <v/>
      </c>
    </row>
    <row r="19">
      <c r="A19" s="25">
        <f>IF(Parties!A19="","",Parties!A19)</f>
        <v/>
      </c>
      <c r="B19" s="26">
        <f>IF(A19="",0,SUMIFS('Direct Costs'!$AJ$5:$AJ$2005,'Direct Costs'!$E$5:$E$2005,$A19,'Direct Costs'!$A$5:$A$2005,"&lt;="&amp;ReportTo)+SUMIFS('Operating Expenses'!$AE$5:$AE$2005,'Operating Expenses'!$E$5:$E$2005,$A19,'Operating Expenses'!$A$5:$A$2005,"&lt;="&amp;ReportTo)+SUMIFS('Payroll'!$AA$5:$AA$2005,'Payroll'!$C$5:$C$2005,$A19,'Payroll'!$A$5:$A$2005,"&lt;="&amp;ReportTo)+SUMIFS('Receipt Vouchers'!$AA$5:$AA$2005,'Receipt Vouchers'!$E$5:$E$2005,$A19,'Receipt Vouchers'!$A$5:$A$2005,"&lt;="&amp;ReportTo)+SUMIFS('Sales Invoices'!$AB$5:$AB$2005,'Sales Invoices'!$H$5:$H$2005,$A19,'Sales Invoices'!$B$5:$B$2005,"&lt;="&amp;ReportTo)+SUMIFS('Payment Vouchers'!$R$5:$R$2005,'Payment Vouchers'!$B$5:$B$2005,$A19,'Payment Vouchers'!$A$5:$A$2005,"&lt;="&amp;ReportTo)+SUMIFS('Partner Transactions'!$T$5:$T$2005,'Partner Transactions'!$B$5:$B$2005,$A19,'Partner Transactions'!$A$5:$A$2005,"&lt;="&amp;ReportTo)+SUMIFS('Stock Moves'!$AP$5:$AP$2005,'Stock Moves'!$J$5:$J$2005,$A19,'Stock Moves'!$A$5:$A$2005,"&lt;="&amp;ReportTo)+SUMIFS('Journal Vouchers'!$R$5:$R$2005,'Journal Vouchers'!$E$5:$E$2005,$A19,'Journal Vouchers'!$B$5:$B$2005,"&lt;="&amp;ReportTo))</f>
        <v/>
      </c>
      <c r="C19" s="26">
        <f>IF(A19="",0,SUMIFS('Direct Costs'!$AK$5:$AK$2005,'Direct Costs'!$E$5:$E$2005,$A19,'Direct Costs'!$A$5:$A$2005,"&lt;="&amp;ReportTo)+SUMIFS('Operating Expenses'!$AF$5:$AF$2005,'Operating Expenses'!$E$5:$E$2005,$A19,'Operating Expenses'!$A$5:$A$2005,"&lt;="&amp;ReportTo)+SUMIFS('Payroll'!$AB$5:$AB$2005,'Payroll'!$C$5:$C$2005,$A19,'Payroll'!$A$5:$A$2005,"&lt;="&amp;ReportTo)+SUMIFS('Receipt Vouchers'!$AB$5:$AB$2005,'Receipt Vouchers'!$E$5:$E$2005,$A19,'Receipt Vouchers'!$A$5:$A$2005,"&lt;="&amp;ReportTo)+SUMIFS('Sales Invoices'!$AC$5:$AC$2005,'Sales Invoices'!$H$5:$H$2005,$A19,'Sales Invoices'!$B$5:$B$2005,"&lt;="&amp;ReportTo)+SUMIFS('Payment Vouchers'!$S$5:$S$2005,'Payment Vouchers'!$B$5:$B$2005,$A19,'Payment Vouchers'!$A$5:$A$2005,"&lt;="&amp;ReportTo)+SUMIFS('Partner Transactions'!$U$5:$U$2005,'Partner Transactions'!$B$5:$B$2005,$A19,'Partner Transactions'!$A$5:$A$2005,"&lt;="&amp;ReportTo)+SUMIFS('Stock Moves'!$AQ$5:$AQ$2005,'Stock Moves'!$J$5:$J$2005,$A19,'Stock Moves'!$A$5:$A$2005,"&lt;="&amp;ReportTo)+SUMIFS('Journal Vouchers'!$S$5:$S$2005,'Journal Vouchers'!$E$5:$E$2005,$A19,'Journal Vouchers'!$B$5:$B$2005,"&lt;="&amp;ReportTo))</f>
        <v/>
      </c>
      <c r="D19" s="26">
        <f>B19+C19</f>
        <v/>
      </c>
    </row>
    <row r="20">
      <c r="A20" s="25">
        <f>IF(Parties!A20="","",Parties!A20)</f>
        <v/>
      </c>
      <c r="B20" s="26">
        <f>IF(A20="",0,SUMIFS('Direct Costs'!$AJ$5:$AJ$2005,'Direct Costs'!$E$5:$E$2005,$A20,'Direct Costs'!$A$5:$A$2005,"&lt;="&amp;ReportTo)+SUMIFS('Operating Expenses'!$AE$5:$AE$2005,'Operating Expenses'!$E$5:$E$2005,$A20,'Operating Expenses'!$A$5:$A$2005,"&lt;="&amp;ReportTo)+SUMIFS('Payroll'!$AA$5:$AA$2005,'Payroll'!$C$5:$C$2005,$A20,'Payroll'!$A$5:$A$2005,"&lt;="&amp;ReportTo)+SUMIFS('Receipt Vouchers'!$AA$5:$AA$2005,'Receipt Vouchers'!$E$5:$E$2005,$A20,'Receipt Vouchers'!$A$5:$A$2005,"&lt;="&amp;ReportTo)+SUMIFS('Sales Invoices'!$AB$5:$AB$2005,'Sales Invoices'!$H$5:$H$2005,$A20,'Sales Invoices'!$B$5:$B$2005,"&lt;="&amp;ReportTo)+SUMIFS('Payment Vouchers'!$R$5:$R$2005,'Payment Vouchers'!$B$5:$B$2005,$A20,'Payment Vouchers'!$A$5:$A$2005,"&lt;="&amp;ReportTo)+SUMIFS('Partner Transactions'!$T$5:$T$2005,'Partner Transactions'!$B$5:$B$2005,$A20,'Partner Transactions'!$A$5:$A$2005,"&lt;="&amp;ReportTo)+SUMIFS('Stock Moves'!$AP$5:$AP$2005,'Stock Moves'!$J$5:$J$2005,$A20,'Stock Moves'!$A$5:$A$2005,"&lt;="&amp;ReportTo)+SUMIFS('Journal Vouchers'!$R$5:$R$2005,'Journal Vouchers'!$E$5:$E$2005,$A20,'Journal Vouchers'!$B$5:$B$2005,"&lt;="&amp;ReportTo))</f>
        <v/>
      </c>
      <c r="C20" s="26">
        <f>IF(A20="",0,SUMIFS('Direct Costs'!$AK$5:$AK$2005,'Direct Costs'!$E$5:$E$2005,$A20,'Direct Costs'!$A$5:$A$2005,"&lt;="&amp;ReportTo)+SUMIFS('Operating Expenses'!$AF$5:$AF$2005,'Operating Expenses'!$E$5:$E$2005,$A20,'Operating Expenses'!$A$5:$A$2005,"&lt;="&amp;ReportTo)+SUMIFS('Payroll'!$AB$5:$AB$2005,'Payroll'!$C$5:$C$2005,$A20,'Payroll'!$A$5:$A$2005,"&lt;="&amp;ReportTo)+SUMIFS('Receipt Vouchers'!$AB$5:$AB$2005,'Receipt Vouchers'!$E$5:$E$2005,$A20,'Receipt Vouchers'!$A$5:$A$2005,"&lt;="&amp;ReportTo)+SUMIFS('Sales Invoices'!$AC$5:$AC$2005,'Sales Invoices'!$H$5:$H$2005,$A20,'Sales Invoices'!$B$5:$B$2005,"&lt;="&amp;ReportTo)+SUMIFS('Payment Vouchers'!$S$5:$S$2005,'Payment Vouchers'!$B$5:$B$2005,$A20,'Payment Vouchers'!$A$5:$A$2005,"&lt;="&amp;ReportTo)+SUMIFS('Partner Transactions'!$U$5:$U$2005,'Partner Transactions'!$B$5:$B$2005,$A20,'Partner Transactions'!$A$5:$A$2005,"&lt;="&amp;ReportTo)+SUMIFS('Stock Moves'!$AQ$5:$AQ$2005,'Stock Moves'!$J$5:$J$2005,$A20,'Stock Moves'!$A$5:$A$2005,"&lt;="&amp;ReportTo)+SUMIFS('Journal Vouchers'!$S$5:$S$2005,'Journal Vouchers'!$E$5:$E$2005,$A20,'Journal Vouchers'!$B$5:$B$2005,"&lt;="&amp;ReportTo))</f>
        <v/>
      </c>
      <c r="D20" s="26">
        <f>B20+C20</f>
        <v/>
      </c>
    </row>
    <row r="21">
      <c r="A21" s="25">
        <f>IF(Parties!A21="","",Parties!A21)</f>
        <v/>
      </c>
      <c r="B21" s="26">
        <f>IF(A21="",0,SUMIFS('Direct Costs'!$AJ$5:$AJ$2005,'Direct Costs'!$E$5:$E$2005,$A21,'Direct Costs'!$A$5:$A$2005,"&lt;="&amp;ReportTo)+SUMIFS('Operating Expenses'!$AE$5:$AE$2005,'Operating Expenses'!$E$5:$E$2005,$A21,'Operating Expenses'!$A$5:$A$2005,"&lt;="&amp;ReportTo)+SUMIFS('Payroll'!$AA$5:$AA$2005,'Payroll'!$C$5:$C$2005,$A21,'Payroll'!$A$5:$A$2005,"&lt;="&amp;ReportTo)+SUMIFS('Receipt Vouchers'!$AA$5:$AA$2005,'Receipt Vouchers'!$E$5:$E$2005,$A21,'Receipt Vouchers'!$A$5:$A$2005,"&lt;="&amp;ReportTo)+SUMIFS('Sales Invoices'!$AB$5:$AB$2005,'Sales Invoices'!$H$5:$H$2005,$A21,'Sales Invoices'!$B$5:$B$2005,"&lt;="&amp;ReportTo)+SUMIFS('Payment Vouchers'!$R$5:$R$2005,'Payment Vouchers'!$B$5:$B$2005,$A21,'Payment Vouchers'!$A$5:$A$2005,"&lt;="&amp;ReportTo)+SUMIFS('Partner Transactions'!$T$5:$T$2005,'Partner Transactions'!$B$5:$B$2005,$A21,'Partner Transactions'!$A$5:$A$2005,"&lt;="&amp;ReportTo)+SUMIFS('Stock Moves'!$AP$5:$AP$2005,'Stock Moves'!$J$5:$J$2005,$A21,'Stock Moves'!$A$5:$A$2005,"&lt;="&amp;ReportTo)+SUMIFS('Journal Vouchers'!$R$5:$R$2005,'Journal Vouchers'!$E$5:$E$2005,$A21,'Journal Vouchers'!$B$5:$B$2005,"&lt;="&amp;ReportTo))</f>
        <v/>
      </c>
      <c r="C21" s="26">
        <f>IF(A21="",0,SUMIFS('Direct Costs'!$AK$5:$AK$2005,'Direct Costs'!$E$5:$E$2005,$A21,'Direct Costs'!$A$5:$A$2005,"&lt;="&amp;ReportTo)+SUMIFS('Operating Expenses'!$AF$5:$AF$2005,'Operating Expenses'!$E$5:$E$2005,$A21,'Operating Expenses'!$A$5:$A$2005,"&lt;="&amp;ReportTo)+SUMIFS('Payroll'!$AB$5:$AB$2005,'Payroll'!$C$5:$C$2005,$A21,'Payroll'!$A$5:$A$2005,"&lt;="&amp;ReportTo)+SUMIFS('Receipt Vouchers'!$AB$5:$AB$2005,'Receipt Vouchers'!$E$5:$E$2005,$A21,'Receipt Vouchers'!$A$5:$A$2005,"&lt;="&amp;ReportTo)+SUMIFS('Sales Invoices'!$AC$5:$AC$2005,'Sales Invoices'!$H$5:$H$2005,$A21,'Sales Invoices'!$B$5:$B$2005,"&lt;="&amp;ReportTo)+SUMIFS('Payment Vouchers'!$S$5:$S$2005,'Payment Vouchers'!$B$5:$B$2005,$A21,'Payment Vouchers'!$A$5:$A$2005,"&lt;="&amp;ReportTo)+SUMIFS('Partner Transactions'!$U$5:$U$2005,'Partner Transactions'!$B$5:$B$2005,$A21,'Partner Transactions'!$A$5:$A$2005,"&lt;="&amp;ReportTo)+SUMIFS('Stock Moves'!$AQ$5:$AQ$2005,'Stock Moves'!$J$5:$J$2005,$A21,'Stock Moves'!$A$5:$A$2005,"&lt;="&amp;ReportTo)+SUMIFS('Journal Vouchers'!$S$5:$S$2005,'Journal Vouchers'!$E$5:$E$2005,$A21,'Journal Vouchers'!$B$5:$B$2005,"&lt;="&amp;ReportTo))</f>
        <v/>
      </c>
      <c r="D21" s="26">
        <f>B21+C21</f>
        <v/>
      </c>
    </row>
    <row r="22">
      <c r="A22" s="25">
        <f>IF(Parties!A22="","",Parties!A22)</f>
        <v/>
      </c>
      <c r="B22" s="26">
        <f>IF(A22="",0,SUMIFS('Direct Costs'!$AJ$5:$AJ$2005,'Direct Costs'!$E$5:$E$2005,$A22,'Direct Costs'!$A$5:$A$2005,"&lt;="&amp;ReportTo)+SUMIFS('Operating Expenses'!$AE$5:$AE$2005,'Operating Expenses'!$E$5:$E$2005,$A22,'Operating Expenses'!$A$5:$A$2005,"&lt;="&amp;ReportTo)+SUMIFS('Payroll'!$AA$5:$AA$2005,'Payroll'!$C$5:$C$2005,$A22,'Payroll'!$A$5:$A$2005,"&lt;="&amp;ReportTo)+SUMIFS('Receipt Vouchers'!$AA$5:$AA$2005,'Receipt Vouchers'!$E$5:$E$2005,$A22,'Receipt Vouchers'!$A$5:$A$2005,"&lt;="&amp;ReportTo)+SUMIFS('Sales Invoices'!$AB$5:$AB$2005,'Sales Invoices'!$H$5:$H$2005,$A22,'Sales Invoices'!$B$5:$B$2005,"&lt;="&amp;ReportTo)+SUMIFS('Payment Vouchers'!$R$5:$R$2005,'Payment Vouchers'!$B$5:$B$2005,$A22,'Payment Vouchers'!$A$5:$A$2005,"&lt;="&amp;ReportTo)+SUMIFS('Partner Transactions'!$T$5:$T$2005,'Partner Transactions'!$B$5:$B$2005,$A22,'Partner Transactions'!$A$5:$A$2005,"&lt;="&amp;ReportTo)+SUMIFS('Stock Moves'!$AP$5:$AP$2005,'Stock Moves'!$J$5:$J$2005,$A22,'Stock Moves'!$A$5:$A$2005,"&lt;="&amp;ReportTo)+SUMIFS('Journal Vouchers'!$R$5:$R$2005,'Journal Vouchers'!$E$5:$E$2005,$A22,'Journal Vouchers'!$B$5:$B$2005,"&lt;="&amp;ReportTo))</f>
        <v/>
      </c>
      <c r="C22" s="26">
        <f>IF(A22="",0,SUMIFS('Direct Costs'!$AK$5:$AK$2005,'Direct Costs'!$E$5:$E$2005,$A22,'Direct Costs'!$A$5:$A$2005,"&lt;="&amp;ReportTo)+SUMIFS('Operating Expenses'!$AF$5:$AF$2005,'Operating Expenses'!$E$5:$E$2005,$A22,'Operating Expenses'!$A$5:$A$2005,"&lt;="&amp;ReportTo)+SUMIFS('Payroll'!$AB$5:$AB$2005,'Payroll'!$C$5:$C$2005,$A22,'Payroll'!$A$5:$A$2005,"&lt;="&amp;ReportTo)+SUMIFS('Receipt Vouchers'!$AB$5:$AB$2005,'Receipt Vouchers'!$E$5:$E$2005,$A22,'Receipt Vouchers'!$A$5:$A$2005,"&lt;="&amp;ReportTo)+SUMIFS('Sales Invoices'!$AC$5:$AC$2005,'Sales Invoices'!$H$5:$H$2005,$A22,'Sales Invoices'!$B$5:$B$2005,"&lt;="&amp;ReportTo)+SUMIFS('Payment Vouchers'!$S$5:$S$2005,'Payment Vouchers'!$B$5:$B$2005,$A22,'Payment Vouchers'!$A$5:$A$2005,"&lt;="&amp;ReportTo)+SUMIFS('Partner Transactions'!$U$5:$U$2005,'Partner Transactions'!$B$5:$B$2005,$A22,'Partner Transactions'!$A$5:$A$2005,"&lt;="&amp;ReportTo)+SUMIFS('Stock Moves'!$AQ$5:$AQ$2005,'Stock Moves'!$J$5:$J$2005,$A22,'Stock Moves'!$A$5:$A$2005,"&lt;="&amp;ReportTo)+SUMIFS('Journal Vouchers'!$S$5:$S$2005,'Journal Vouchers'!$E$5:$E$2005,$A22,'Journal Vouchers'!$B$5:$B$2005,"&lt;="&amp;ReportTo))</f>
        <v/>
      </c>
      <c r="D22" s="26">
        <f>B22+C22</f>
        <v/>
      </c>
    </row>
    <row r="23">
      <c r="A23" s="25">
        <f>IF(Parties!A23="","",Parties!A23)</f>
        <v/>
      </c>
      <c r="B23" s="26">
        <f>IF(A23="",0,SUMIFS('Direct Costs'!$AJ$5:$AJ$2005,'Direct Costs'!$E$5:$E$2005,$A23,'Direct Costs'!$A$5:$A$2005,"&lt;="&amp;ReportTo)+SUMIFS('Operating Expenses'!$AE$5:$AE$2005,'Operating Expenses'!$E$5:$E$2005,$A23,'Operating Expenses'!$A$5:$A$2005,"&lt;="&amp;ReportTo)+SUMIFS('Payroll'!$AA$5:$AA$2005,'Payroll'!$C$5:$C$2005,$A23,'Payroll'!$A$5:$A$2005,"&lt;="&amp;ReportTo)+SUMIFS('Receipt Vouchers'!$AA$5:$AA$2005,'Receipt Vouchers'!$E$5:$E$2005,$A23,'Receipt Vouchers'!$A$5:$A$2005,"&lt;="&amp;ReportTo)+SUMIFS('Sales Invoices'!$AB$5:$AB$2005,'Sales Invoices'!$H$5:$H$2005,$A23,'Sales Invoices'!$B$5:$B$2005,"&lt;="&amp;ReportTo)+SUMIFS('Payment Vouchers'!$R$5:$R$2005,'Payment Vouchers'!$B$5:$B$2005,$A23,'Payment Vouchers'!$A$5:$A$2005,"&lt;="&amp;ReportTo)+SUMIFS('Partner Transactions'!$T$5:$T$2005,'Partner Transactions'!$B$5:$B$2005,$A23,'Partner Transactions'!$A$5:$A$2005,"&lt;="&amp;ReportTo)+SUMIFS('Stock Moves'!$AP$5:$AP$2005,'Stock Moves'!$J$5:$J$2005,$A23,'Stock Moves'!$A$5:$A$2005,"&lt;="&amp;ReportTo)+SUMIFS('Journal Vouchers'!$R$5:$R$2005,'Journal Vouchers'!$E$5:$E$2005,$A23,'Journal Vouchers'!$B$5:$B$2005,"&lt;="&amp;ReportTo))</f>
        <v/>
      </c>
      <c r="C23" s="26">
        <f>IF(A23="",0,SUMIFS('Direct Costs'!$AK$5:$AK$2005,'Direct Costs'!$E$5:$E$2005,$A23,'Direct Costs'!$A$5:$A$2005,"&lt;="&amp;ReportTo)+SUMIFS('Operating Expenses'!$AF$5:$AF$2005,'Operating Expenses'!$E$5:$E$2005,$A23,'Operating Expenses'!$A$5:$A$2005,"&lt;="&amp;ReportTo)+SUMIFS('Payroll'!$AB$5:$AB$2005,'Payroll'!$C$5:$C$2005,$A23,'Payroll'!$A$5:$A$2005,"&lt;="&amp;ReportTo)+SUMIFS('Receipt Vouchers'!$AB$5:$AB$2005,'Receipt Vouchers'!$E$5:$E$2005,$A23,'Receipt Vouchers'!$A$5:$A$2005,"&lt;="&amp;ReportTo)+SUMIFS('Sales Invoices'!$AC$5:$AC$2005,'Sales Invoices'!$H$5:$H$2005,$A23,'Sales Invoices'!$B$5:$B$2005,"&lt;="&amp;ReportTo)+SUMIFS('Payment Vouchers'!$S$5:$S$2005,'Payment Vouchers'!$B$5:$B$2005,$A23,'Payment Vouchers'!$A$5:$A$2005,"&lt;="&amp;ReportTo)+SUMIFS('Partner Transactions'!$U$5:$U$2005,'Partner Transactions'!$B$5:$B$2005,$A23,'Partner Transactions'!$A$5:$A$2005,"&lt;="&amp;ReportTo)+SUMIFS('Stock Moves'!$AQ$5:$AQ$2005,'Stock Moves'!$J$5:$J$2005,$A23,'Stock Moves'!$A$5:$A$2005,"&lt;="&amp;ReportTo)+SUMIFS('Journal Vouchers'!$S$5:$S$2005,'Journal Vouchers'!$E$5:$E$2005,$A23,'Journal Vouchers'!$B$5:$B$2005,"&lt;="&amp;ReportTo))</f>
        <v/>
      </c>
      <c r="D23" s="26">
        <f>B23+C23</f>
        <v/>
      </c>
    </row>
    <row r="24">
      <c r="A24" s="25">
        <f>IF(Parties!A24="","",Parties!A24)</f>
        <v/>
      </c>
      <c r="B24" s="26">
        <f>IF(A24="",0,SUMIFS('Direct Costs'!$AJ$5:$AJ$2005,'Direct Costs'!$E$5:$E$2005,$A24,'Direct Costs'!$A$5:$A$2005,"&lt;="&amp;ReportTo)+SUMIFS('Operating Expenses'!$AE$5:$AE$2005,'Operating Expenses'!$E$5:$E$2005,$A24,'Operating Expenses'!$A$5:$A$2005,"&lt;="&amp;ReportTo)+SUMIFS('Payroll'!$AA$5:$AA$2005,'Payroll'!$C$5:$C$2005,$A24,'Payroll'!$A$5:$A$2005,"&lt;="&amp;ReportTo)+SUMIFS('Receipt Vouchers'!$AA$5:$AA$2005,'Receipt Vouchers'!$E$5:$E$2005,$A24,'Receipt Vouchers'!$A$5:$A$2005,"&lt;="&amp;ReportTo)+SUMIFS('Sales Invoices'!$AB$5:$AB$2005,'Sales Invoices'!$H$5:$H$2005,$A24,'Sales Invoices'!$B$5:$B$2005,"&lt;="&amp;ReportTo)+SUMIFS('Payment Vouchers'!$R$5:$R$2005,'Payment Vouchers'!$B$5:$B$2005,$A24,'Payment Vouchers'!$A$5:$A$2005,"&lt;="&amp;ReportTo)+SUMIFS('Partner Transactions'!$T$5:$T$2005,'Partner Transactions'!$B$5:$B$2005,$A24,'Partner Transactions'!$A$5:$A$2005,"&lt;="&amp;ReportTo)+SUMIFS('Stock Moves'!$AP$5:$AP$2005,'Stock Moves'!$J$5:$J$2005,$A24,'Stock Moves'!$A$5:$A$2005,"&lt;="&amp;ReportTo)+SUMIFS('Journal Vouchers'!$R$5:$R$2005,'Journal Vouchers'!$E$5:$E$2005,$A24,'Journal Vouchers'!$B$5:$B$2005,"&lt;="&amp;ReportTo))</f>
        <v/>
      </c>
      <c r="C24" s="26">
        <f>IF(A24="",0,SUMIFS('Direct Costs'!$AK$5:$AK$2005,'Direct Costs'!$E$5:$E$2005,$A24,'Direct Costs'!$A$5:$A$2005,"&lt;="&amp;ReportTo)+SUMIFS('Operating Expenses'!$AF$5:$AF$2005,'Operating Expenses'!$E$5:$E$2005,$A24,'Operating Expenses'!$A$5:$A$2005,"&lt;="&amp;ReportTo)+SUMIFS('Payroll'!$AB$5:$AB$2005,'Payroll'!$C$5:$C$2005,$A24,'Payroll'!$A$5:$A$2005,"&lt;="&amp;ReportTo)+SUMIFS('Receipt Vouchers'!$AB$5:$AB$2005,'Receipt Vouchers'!$E$5:$E$2005,$A24,'Receipt Vouchers'!$A$5:$A$2005,"&lt;="&amp;ReportTo)+SUMIFS('Sales Invoices'!$AC$5:$AC$2005,'Sales Invoices'!$H$5:$H$2005,$A24,'Sales Invoices'!$B$5:$B$2005,"&lt;="&amp;ReportTo)+SUMIFS('Payment Vouchers'!$S$5:$S$2005,'Payment Vouchers'!$B$5:$B$2005,$A24,'Payment Vouchers'!$A$5:$A$2005,"&lt;="&amp;ReportTo)+SUMIFS('Partner Transactions'!$U$5:$U$2005,'Partner Transactions'!$B$5:$B$2005,$A24,'Partner Transactions'!$A$5:$A$2005,"&lt;="&amp;ReportTo)+SUMIFS('Stock Moves'!$AQ$5:$AQ$2005,'Stock Moves'!$J$5:$J$2005,$A24,'Stock Moves'!$A$5:$A$2005,"&lt;="&amp;ReportTo)+SUMIFS('Journal Vouchers'!$S$5:$S$2005,'Journal Vouchers'!$E$5:$E$2005,$A24,'Journal Vouchers'!$B$5:$B$2005,"&lt;="&amp;ReportTo))</f>
        <v/>
      </c>
      <c r="D24" s="26">
        <f>B24+C24</f>
        <v/>
      </c>
    </row>
    <row r="25">
      <c r="A25" s="25">
        <f>IF(Parties!A25="","",Parties!A25)</f>
        <v/>
      </c>
      <c r="B25" s="26">
        <f>IF(A25="",0,SUMIFS('Direct Costs'!$AJ$5:$AJ$2005,'Direct Costs'!$E$5:$E$2005,$A25,'Direct Costs'!$A$5:$A$2005,"&lt;="&amp;ReportTo)+SUMIFS('Operating Expenses'!$AE$5:$AE$2005,'Operating Expenses'!$E$5:$E$2005,$A25,'Operating Expenses'!$A$5:$A$2005,"&lt;="&amp;ReportTo)+SUMIFS('Payroll'!$AA$5:$AA$2005,'Payroll'!$C$5:$C$2005,$A25,'Payroll'!$A$5:$A$2005,"&lt;="&amp;ReportTo)+SUMIFS('Receipt Vouchers'!$AA$5:$AA$2005,'Receipt Vouchers'!$E$5:$E$2005,$A25,'Receipt Vouchers'!$A$5:$A$2005,"&lt;="&amp;ReportTo)+SUMIFS('Sales Invoices'!$AB$5:$AB$2005,'Sales Invoices'!$H$5:$H$2005,$A25,'Sales Invoices'!$B$5:$B$2005,"&lt;="&amp;ReportTo)+SUMIFS('Payment Vouchers'!$R$5:$R$2005,'Payment Vouchers'!$B$5:$B$2005,$A25,'Payment Vouchers'!$A$5:$A$2005,"&lt;="&amp;ReportTo)+SUMIFS('Partner Transactions'!$T$5:$T$2005,'Partner Transactions'!$B$5:$B$2005,$A25,'Partner Transactions'!$A$5:$A$2005,"&lt;="&amp;ReportTo)+SUMIFS('Stock Moves'!$AP$5:$AP$2005,'Stock Moves'!$J$5:$J$2005,$A25,'Stock Moves'!$A$5:$A$2005,"&lt;="&amp;ReportTo)+SUMIFS('Journal Vouchers'!$R$5:$R$2005,'Journal Vouchers'!$E$5:$E$2005,$A25,'Journal Vouchers'!$B$5:$B$2005,"&lt;="&amp;ReportTo))</f>
        <v/>
      </c>
      <c r="C25" s="26">
        <f>IF(A25="",0,SUMIFS('Direct Costs'!$AK$5:$AK$2005,'Direct Costs'!$E$5:$E$2005,$A25,'Direct Costs'!$A$5:$A$2005,"&lt;="&amp;ReportTo)+SUMIFS('Operating Expenses'!$AF$5:$AF$2005,'Operating Expenses'!$E$5:$E$2005,$A25,'Operating Expenses'!$A$5:$A$2005,"&lt;="&amp;ReportTo)+SUMIFS('Payroll'!$AB$5:$AB$2005,'Payroll'!$C$5:$C$2005,$A25,'Payroll'!$A$5:$A$2005,"&lt;="&amp;ReportTo)+SUMIFS('Receipt Vouchers'!$AB$5:$AB$2005,'Receipt Vouchers'!$E$5:$E$2005,$A25,'Receipt Vouchers'!$A$5:$A$2005,"&lt;="&amp;ReportTo)+SUMIFS('Sales Invoices'!$AC$5:$AC$2005,'Sales Invoices'!$H$5:$H$2005,$A25,'Sales Invoices'!$B$5:$B$2005,"&lt;="&amp;ReportTo)+SUMIFS('Payment Vouchers'!$S$5:$S$2005,'Payment Vouchers'!$B$5:$B$2005,$A25,'Payment Vouchers'!$A$5:$A$2005,"&lt;="&amp;ReportTo)+SUMIFS('Partner Transactions'!$U$5:$U$2005,'Partner Transactions'!$B$5:$B$2005,$A25,'Partner Transactions'!$A$5:$A$2005,"&lt;="&amp;ReportTo)+SUMIFS('Stock Moves'!$AQ$5:$AQ$2005,'Stock Moves'!$J$5:$J$2005,$A25,'Stock Moves'!$A$5:$A$2005,"&lt;="&amp;ReportTo)+SUMIFS('Journal Vouchers'!$S$5:$S$2005,'Journal Vouchers'!$E$5:$E$2005,$A25,'Journal Vouchers'!$B$5:$B$2005,"&lt;="&amp;ReportTo))</f>
        <v/>
      </c>
      <c r="D25" s="26">
        <f>B25+C25</f>
        <v/>
      </c>
    </row>
    <row r="26">
      <c r="A26" s="25">
        <f>IF(Parties!A26="","",Parties!A26)</f>
        <v/>
      </c>
      <c r="B26" s="26">
        <f>IF(A26="",0,SUMIFS('Direct Costs'!$AJ$5:$AJ$2005,'Direct Costs'!$E$5:$E$2005,$A26,'Direct Costs'!$A$5:$A$2005,"&lt;="&amp;ReportTo)+SUMIFS('Operating Expenses'!$AE$5:$AE$2005,'Operating Expenses'!$E$5:$E$2005,$A26,'Operating Expenses'!$A$5:$A$2005,"&lt;="&amp;ReportTo)+SUMIFS('Payroll'!$AA$5:$AA$2005,'Payroll'!$C$5:$C$2005,$A26,'Payroll'!$A$5:$A$2005,"&lt;="&amp;ReportTo)+SUMIFS('Receipt Vouchers'!$AA$5:$AA$2005,'Receipt Vouchers'!$E$5:$E$2005,$A26,'Receipt Vouchers'!$A$5:$A$2005,"&lt;="&amp;ReportTo)+SUMIFS('Sales Invoices'!$AB$5:$AB$2005,'Sales Invoices'!$H$5:$H$2005,$A26,'Sales Invoices'!$B$5:$B$2005,"&lt;="&amp;ReportTo)+SUMIFS('Payment Vouchers'!$R$5:$R$2005,'Payment Vouchers'!$B$5:$B$2005,$A26,'Payment Vouchers'!$A$5:$A$2005,"&lt;="&amp;ReportTo)+SUMIFS('Partner Transactions'!$T$5:$T$2005,'Partner Transactions'!$B$5:$B$2005,$A26,'Partner Transactions'!$A$5:$A$2005,"&lt;="&amp;ReportTo)+SUMIFS('Stock Moves'!$AP$5:$AP$2005,'Stock Moves'!$J$5:$J$2005,$A26,'Stock Moves'!$A$5:$A$2005,"&lt;="&amp;ReportTo)+SUMIFS('Journal Vouchers'!$R$5:$R$2005,'Journal Vouchers'!$E$5:$E$2005,$A26,'Journal Vouchers'!$B$5:$B$2005,"&lt;="&amp;ReportTo))</f>
        <v/>
      </c>
      <c r="C26" s="26">
        <f>IF(A26="",0,SUMIFS('Direct Costs'!$AK$5:$AK$2005,'Direct Costs'!$E$5:$E$2005,$A26,'Direct Costs'!$A$5:$A$2005,"&lt;="&amp;ReportTo)+SUMIFS('Operating Expenses'!$AF$5:$AF$2005,'Operating Expenses'!$E$5:$E$2005,$A26,'Operating Expenses'!$A$5:$A$2005,"&lt;="&amp;ReportTo)+SUMIFS('Payroll'!$AB$5:$AB$2005,'Payroll'!$C$5:$C$2005,$A26,'Payroll'!$A$5:$A$2005,"&lt;="&amp;ReportTo)+SUMIFS('Receipt Vouchers'!$AB$5:$AB$2005,'Receipt Vouchers'!$E$5:$E$2005,$A26,'Receipt Vouchers'!$A$5:$A$2005,"&lt;="&amp;ReportTo)+SUMIFS('Sales Invoices'!$AC$5:$AC$2005,'Sales Invoices'!$H$5:$H$2005,$A26,'Sales Invoices'!$B$5:$B$2005,"&lt;="&amp;ReportTo)+SUMIFS('Payment Vouchers'!$S$5:$S$2005,'Payment Vouchers'!$B$5:$B$2005,$A26,'Payment Vouchers'!$A$5:$A$2005,"&lt;="&amp;ReportTo)+SUMIFS('Partner Transactions'!$U$5:$U$2005,'Partner Transactions'!$B$5:$B$2005,$A26,'Partner Transactions'!$A$5:$A$2005,"&lt;="&amp;ReportTo)+SUMIFS('Stock Moves'!$AQ$5:$AQ$2005,'Stock Moves'!$J$5:$J$2005,$A26,'Stock Moves'!$A$5:$A$2005,"&lt;="&amp;ReportTo)+SUMIFS('Journal Vouchers'!$S$5:$S$2005,'Journal Vouchers'!$E$5:$E$2005,$A26,'Journal Vouchers'!$B$5:$B$2005,"&lt;="&amp;ReportTo))</f>
        <v/>
      </c>
      <c r="D26" s="26">
        <f>B26+C26</f>
        <v/>
      </c>
    </row>
    <row r="27">
      <c r="A27" s="25">
        <f>IF(Parties!A27="","",Parties!A27)</f>
        <v/>
      </c>
      <c r="B27" s="26">
        <f>IF(A27="",0,SUMIFS('Direct Costs'!$AJ$5:$AJ$2005,'Direct Costs'!$E$5:$E$2005,$A27,'Direct Costs'!$A$5:$A$2005,"&lt;="&amp;ReportTo)+SUMIFS('Operating Expenses'!$AE$5:$AE$2005,'Operating Expenses'!$E$5:$E$2005,$A27,'Operating Expenses'!$A$5:$A$2005,"&lt;="&amp;ReportTo)+SUMIFS('Payroll'!$AA$5:$AA$2005,'Payroll'!$C$5:$C$2005,$A27,'Payroll'!$A$5:$A$2005,"&lt;="&amp;ReportTo)+SUMIFS('Receipt Vouchers'!$AA$5:$AA$2005,'Receipt Vouchers'!$E$5:$E$2005,$A27,'Receipt Vouchers'!$A$5:$A$2005,"&lt;="&amp;ReportTo)+SUMIFS('Sales Invoices'!$AB$5:$AB$2005,'Sales Invoices'!$H$5:$H$2005,$A27,'Sales Invoices'!$B$5:$B$2005,"&lt;="&amp;ReportTo)+SUMIFS('Payment Vouchers'!$R$5:$R$2005,'Payment Vouchers'!$B$5:$B$2005,$A27,'Payment Vouchers'!$A$5:$A$2005,"&lt;="&amp;ReportTo)+SUMIFS('Partner Transactions'!$T$5:$T$2005,'Partner Transactions'!$B$5:$B$2005,$A27,'Partner Transactions'!$A$5:$A$2005,"&lt;="&amp;ReportTo)+SUMIFS('Stock Moves'!$AP$5:$AP$2005,'Stock Moves'!$J$5:$J$2005,$A27,'Stock Moves'!$A$5:$A$2005,"&lt;="&amp;ReportTo)+SUMIFS('Journal Vouchers'!$R$5:$R$2005,'Journal Vouchers'!$E$5:$E$2005,$A27,'Journal Vouchers'!$B$5:$B$2005,"&lt;="&amp;ReportTo))</f>
        <v/>
      </c>
      <c r="C27" s="26">
        <f>IF(A27="",0,SUMIFS('Direct Costs'!$AK$5:$AK$2005,'Direct Costs'!$E$5:$E$2005,$A27,'Direct Costs'!$A$5:$A$2005,"&lt;="&amp;ReportTo)+SUMIFS('Operating Expenses'!$AF$5:$AF$2005,'Operating Expenses'!$E$5:$E$2005,$A27,'Operating Expenses'!$A$5:$A$2005,"&lt;="&amp;ReportTo)+SUMIFS('Payroll'!$AB$5:$AB$2005,'Payroll'!$C$5:$C$2005,$A27,'Payroll'!$A$5:$A$2005,"&lt;="&amp;ReportTo)+SUMIFS('Receipt Vouchers'!$AB$5:$AB$2005,'Receipt Vouchers'!$E$5:$E$2005,$A27,'Receipt Vouchers'!$A$5:$A$2005,"&lt;="&amp;ReportTo)+SUMIFS('Sales Invoices'!$AC$5:$AC$2005,'Sales Invoices'!$H$5:$H$2005,$A27,'Sales Invoices'!$B$5:$B$2005,"&lt;="&amp;ReportTo)+SUMIFS('Payment Vouchers'!$S$5:$S$2005,'Payment Vouchers'!$B$5:$B$2005,$A27,'Payment Vouchers'!$A$5:$A$2005,"&lt;="&amp;ReportTo)+SUMIFS('Partner Transactions'!$U$5:$U$2005,'Partner Transactions'!$B$5:$B$2005,$A27,'Partner Transactions'!$A$5:$A$2005,"&lt;="&amp;ReportTo)+SUMIFS('Stock Moves'!$AQ$5:$AQ$2005,'Stock Moves'!$J$5:$J$2005,$A27,'Stock Moves'!$A$5:$A$2005,"&lt;="&amp;ReportTo)+SUMIFS('Journal Vouchers'!$S$5:$S$2005,'Journal Vouchers'!$E$5:$E$2005,$A27,'Journal Vouchers'!$B$5:$B$2005,"&lt;="&amp;ReportTo))</f>
        <v/>
      </c>
      <c r="D27" s="26">
        <f>B27+C27</f>
        <v/>
      </c>
    </row>
    <row r="28">
      <c r="A28" s="25">
        <f>IF(Parties!A28="","",Parties!A28)</f>
        <v/>
      </c>
      <c r="B28" s="26">
        <f>IF(A28="",0,SUMIFS('Direct Costs'!$AJ$5:$AJ$2005,'Direct Costs'!$E$5:$E$2005,$A28,'Direct Costs'!$A$5:$A$2005,"&lt;="&amp;ReportTo)+SUMIFS('Operating Expenses'!$AE$5:$AE$2005,'Operating Expenses'!$E$5:$E$2005,$A28,'Operating Expenses'!$A$5:$A$2005,"&lt;="&amp;ReportTo)+SUMIFS('Payroll'!$AA$5:$AA$2005,'Payroll'!$C$5:$C$2005,$A28,'Payroll'!$A$5:$A$2005,"&lt;="&amp;ReportTo)+SUMIFS('Receipt Vouchers'!$AA$5:$AA$2005,'Receipt Vouchers'!$E$5:$E$2005,$A28,'Receipt Vouchers'!$A$5:$A$2005,"&lt;="&amp;ReportTo)+SUMIFS('Sales Invoices'!$AB$5:$AB$2005,'Sales Invoices'!$H$5:$H$2005,$A28,'Sales Invoices'!$B$5:$B$2005,"&lt;="&amp;ReportTo)+SUMIFS('Payment Vouchers'!$R$5:$R$2005,'Payment Vouchers'!$B$5:$B$2005,$A28,'Payment Vouchers'!$A$5:$A$2005,"&lt;="&amp;ReportTo)+SUMIFS('Partner Transactions'!$T$5:$T$2005,'Partner Transactions'!$B$5:$B$2005,$A28,'Partner Transactions'!$A$5:$A$2005,"&lt;="&amp;ReportTo)+SUMIFS('Stock Moves'!$AP$5:$AP$2005,'Stock Moves'!$J$5:$J$2005,$A28,'Stock Moves'!$A$5:$A$2005,"&lt;="&amp;ReportTo)+SUMIFS('Journal Vouchers'!$R$5:$R$2005,'Journal Vouchers'!$E$5:$E$2005,$A28,'Journal Vouchers'!$B$5:$B$2005,"&lt;="&amp;ReportTo))</f>
        <v/>
      </c>
      <c r="C28" s="26">
        <f>IF(A28="",0,SUMIFS('Direct Costs'!$AK$5:$AK$2005,'Direct Costs'!$E$5:$E$2005,$A28,'Direct Costs'!$A$5:$A$2005,"&lt;="&amp;ReportTo)+SUMIFS('Operating Expenses'!$AF$5:$AF$2005,'Operating Expenses'!$E$5:$E$2005,$A28,'Operating Expenses'!$A$5:$A$2005,"&lt;="&amp;ReportTo)+SUMIFS('Payroll'!$AB$5:$AB$2005,'Payroll'!$C$5:$C$2005,$A28,'Payroll'!$A$5:$A$2005,"&lt;="&amp;ReportTo)+SUMIFS('Receipt Vouchers'!$AB$5:$AB$2005,'Receipt Vouchers'!$E$5:$E$2005,$A28,'Receipt Vouchers'!$A$5:$A$2005,"&lt;="&amp;ReportTo)+SUMIFS('Sales Invoices'!$AC$5:$AC$2005,'Sales Invoices'!$H$5:$H$2005,$A28,'Sales Invoices'!$B$5:$B$2005,"&lt;="&amp;ReportTo)+SUMIFS('Payment Vouchers'!$S$5:$S$2005,'Payment Vouchers'!$B$5:$B$2005,$A28,'Payment Vouchers'!$A$5:$A$2005,"&lt;="&amp;ReportTo)+SUMIFS('Partner Transactions'!$U$5:$U$2005,'Partner Transactions'!$B$5:$B$2005,$A28,'Partner Transactions'!$A$5:$A$2005,"&lt;="&amp;ReportTo)+SUMIFS('Stock Moves'!$AQ$5:$AQ$2005,'Stock Moves'!$J$5:$J$2005,$A28,'Stock Moves'!$A$5:$A$2005,"&lt;="&amp;ReportTo)+SUMIFS('Journal Vouchers'!$S$5:$S$2005,'Journal Vouchers'!$E$5:$E$2005,$A28,'Journal Vouchers'!$B$5:$B$2005,"&lt;="&amp;ReportTo))</f>
        <v/>
      </c>
      <c r="D28" s="26">
        <f>B28+C28</f>
        <v/>
      </c>
    </row>
    <row r="29">
      <c r="A29" s="25">
        <f>IF(Parties!A29="","",Parties!A29)</f>
        <v/>
      </c>
      <c r="B29" s="26">
        <f>IF(A29="",0,SUMIFS('Direct Costs'!$AJ$5:$AJ$2005,'Direct Costs'!$E$5:$E$2005,$A29,'Direct Costs'!$A$5:$A$2005,"&lt;="&amp;ReportTo)+SUMIFS('Operating Expenses'!$AE$5:$AE$2005,'Operating Expenses'!$E$5:$E$2005,$A29,'Operating Expenses'!$A$5:$A$2005,"&lt;="&amp;ReportTo)+SUMIFS('Payroll'!$AA$5:$AA$2005,'Payroll'!$C$5:$C$2005,$A29,'Payroll'!$A$5:$A$2005,"&lt;="&amp;ReportTo)+SUMIFS('Receipt Vouchers'!$AA$5:$AA$2005,'Receipt Vouchers'!$E$5:$E$2005,$A29,'Receipt Vouchers'!$A$5:$A$2005,"&lt;="&amp;ReportTo)+SUMIFS('Sales Invoices'!$AB$5:$AB$2005,'Sales Invoices'!$H$5:$H$2005,$A29,'Sales Invoices'!$B$5:$B$2005,"&lt;="&amp;ReportTo)+SUMIFS('Payment Vouchers'!$R$5:$R$2005,'Payment Vouchers'!$B$5:$B$2005,$A29,'Payment Vouchers'!$A$5:$A$2005,"&lt;="&amp;ReportTo)+SUMIFS('Partner Transactions'!$T$5:$T$2005,'Partner Transactions'!$B$5:$B$2005,$A29,'Partner Transactions'!$A$5:$A$2005,"&lt;="&amp;ReportTo)+SUMIFS('Stock Moves'!$AP$5:$AP$2005,'Stock Moves'!$J$5:$J$2005,$A29,'Stock Moves'!$A$5:$A$2005,"&lt;="&amp;ReportTo)+SUMIFS('Journal Vouchers'!$R$5:$R$2005,'Journal Vouchers'!$E$5:$E$2005,$A29,'Journal Vouchers'!$B$5:$B$2005,"&lt;="&amp;ReportTo))</f>
        <v/>
      </c>
      <c r="C29" s="26">
        <f>IF(A29="",0,SUMIFS('Direct Costs'!$AK$5:$AK$2005,'Direct Costs'!$E$5:$E$2005,$A29,'Direct Costs'!$A$5:$A$2005,"&lt;="&amp;ReportTo)+SUMIFS('Operating Expenses'!$AF$5:$AF$2005,'Operating Expenses'!$E$5:$E$2005,$A29,'Operating Expenses'!$A$5:$A$2005,"&lt;="&amp;ReportTo)+SUMIFS('Payroll'!$AB$5:$AB$2005,'Payroll'!$C$5:$C$2005,$A29,'Payroll'!$A$5:$A$2005,"&lt;="&amp;ReportTo)+SUMIFS('Receipt Vouchers'!$AB$5:$AB$2005,'Receipt Vouchers'!$E$5:$E$2005,$A29,'Receipt Vouchers'!$A$5:$A$2005,"&lt;="&amp;ReportTo)+SUMIFS('Sales Invoices'!$AC$5:$AC$2005,'Sales Invoices'!$H$5:$H$2005,$A29,'Sales Invoices'!$B$5:$B$2005,"&lt;="&amp;ReportTo)+SUMIFS('Payment Vouchers'!$S$5:$S$2005,'Payment Vouchers'!$B$5:$B$2005,$A29,'Payment Vouchers'!$A$5:$A$2005,"&lt;="&amp;ReportTo)+SUMIFS('Partner Transactions'!$U$5:$U$2005,'Partner Transactions'!$B$5:$B$2005,$A29,'Partner Transactions'!$A$5:$A$2005,"&lt;="&amp;ReportTo)+SUMIFS('Stock Moves'!$AQ$5:$AQ$2005,'Stock Moves'!$J$5:$J$2005,$A29,'Stock Moves'!$A$5:$A$2005,"&lt;="&amp;ReportTo)+SUMIFS('Journal Vouchers'!$S$5:$S$2005,'Journal Vouchers'!$E$5:$E$2005,$A29,'Journal Vouchers'!$B$5:$B$2005,"&lt;="&amp;ReportTo))</f>
        <v/>
      </c>
      <c r="D29" s="26">
        <f>B29+C29</f>
        <v/>
      </c>
    </row>
    <row r="30">
      <c r="A30" s="25">
        <f>IF(Parties!A30="","",Parties!A30)</f>
        <v/>
      </c>
      <c r="B30" s="26">
        <f>IF(A30="",0,SUMIFS('Direct Costs'!$AJ$5:$AJ$2005,'Direct Costs'!$E$5:$E$2005,$A30,'Direct Costs'!$A$5:$A$2005,"&lt;="&amp;ReportTo)+SUMIFS('Operating Expenses'!$AE$5:$AE$2005,'Operating Expenses'!$E$5:$E$2005,$A30,'Operating Expenses'!$A$5:$A$2005,"&lt;="&amp;ReportTo)+SUMIFS('Payroll'!$AA$5:$AA$2005,'Payroll'!$C$5:$C$2005,$A30,'Payroll'!$A$5:$A$2005,"&lt;="&amp;ReportTo)+SUMIFS('Receipt Vouchers'!$AA$5:$AA$2005,'Receipt Vouchers'!$E$5:$E$2005,$A30,'Receipt Vouchers'!$A$5:$A$2005,"&lt;="&amp;ReportTo)+SUMIFS('Sales Invoices'!$AB$5:$AB$2005,'Sales Invoices'!$H$5:$H$2005,$A30,'Sales Invoices'!$B$5:$B$2005,"&lt;="&amp;ReportTo)+SUMIFS('Payment Vouchers'!$R$5:$R$2005,'Payment Vouchers'!$B$5:$B$2005,$A30,'Payment Vouchers'!$A$5:$A$2005,"&lt;="&amp;ReportTo)+SUMIFS('Partner Transactions'!$T$5:$T$2005,'Partner Transactions'!$B$5:$B$2005,$A30,'Partner Transactions'!$A$5:$A$2005,"&lt;="&amp;ReportTo)+SUMIFS('Stock Moves'!$AP$5:$AP$2005,'Stock Moves'!$J$5:$J$2005,$A30,'Stock Moves'!$A$5:$A$2005,"&lt;="&amp;ReportTo)+SUMIFS('Journal Vouchers'!$R$5:$R$2005,'Journal Vouchers'!$E$5:$E$2005,$A30,'Journal Vouchers'!$B$5:$B$2005,"&lt;="&amp;ReportTo))</f>
        <v/>
      </c>
      <c r="C30" s="26">
        <f>IF(A30="",0,SUMIFS('Direct Costs'!$AK$5:$AK$2005,'Direct Costs'!$E$5:$E$2005,$A30,'Direct Costs'!$A$5:$A$2005,"&lt;="&amp;ReportTo)+SUMIFS('Operating Expenses'!$AF$5:$AF$2005,'Operating Expenses'!$E$5:$E$2005,$A30,'Operating Expenses'!$A$5:$A$2005,"&lt;="&amp;ReportTo)+SUMIFS('Payroll'!$AB$5:$AB$2005,'Payroll'!$C$5:$C$2005,$A30,'Payroll'!$A$5:$A$2005,"&lt;="&amp;ReportTo)+SUMIFS('Receipt Vouchers'!$AB$5:$AB$2005,'Receipt Vouchers'!$E$5:$E$2005,$A30,'Receipt Vouchers'!$A$5:$A$2005,"&lt;="&amp;ReportTo)+SUMIFS('Sales Invoices'!$AC$5:$AC$2005,'Sales Invoices'!$H$5:$H$2005,$A30,'Sales Invoices'!$B$5:$B$2005,"&lt;="&amp;ReportTo)+SUMIFS('Payment Vouchers'!$S$5:$S$2005,'Payment Vouchers'!$B$5:$B$2005,$A30,'Payment Vouchers'!$A$5:$A$2005,"&lt;="&amp;ReportTo)+SUMIFS('Partner Transactions'!$U$5:$U$2005,'Partner Transactions'!$B$5:$B$2005,$A30,'Partner Transactions'!$A$5:$A$2005,"&lt;="&amp;ReportTo)+SUMIFS('Stock Moves'!$AQ$5:$AQ$2005,'Stock Moves'!$J$5:$J$2005,$A30,'Stock Moves'!$A$5:$A$2005,"&lt;="&amp;ReportTo)+SUMIFS('Journal Vouchers'!$S$5:$S$2005,'Journal Vouchers'!$E$5:$E$2005,$A30,'Journal Vouchers'!$B$5:$B$2005,"&lt;="&amp;ReportTo))</f>
        <v/>
      </c>
      <c r="D30" s="26">
        <f>B30+C30</f>
        <v/>
      </c>
    </row>
    <row r="31">
      <c r="A31" s="25">
        <f>IF(Parties!A31="","",Parties!A31)</f>
        <v/>
      </c>
      <c r="B31" s="26">
        <f>IF(A31="",0,SUMIFS('Direct Costs'!$AJ$5:$AJ$2005,'Direct Costs'!$E$5:$E$2005,$A31,'Direct Costs'!$A$5:$A$2005,"&lt;="&amp;ReportTo)+SUMIFS('Operating Expenses'!$AE$5:$AE$2005,'Operating Expenses'!$E$5:$E$2005,$A31,'Operating Expenses'!$A$5:$A$2005,"&lt;="&amp;ReportTo)+SUMIFS('Payroll'!$AA$5:$AA$2005,'Payroll'!$C$5:$C$2005,$A31,'Payroll'!$A$5:$A$2005,"&lt;="&amp;ReportTo)+SUMIFS('Receipt Vouchers'!$AA$5:$AA$2005,'Receipt Vouchers'!$E$5:$E$2005,$A31,'Receipt Vouchers'!$A$5:$A$2005,"&lt;="&amp;ReportTo)+SUMIFS('Sales Invoices'!$AB$5:$AB$2005,'Sales Invoices'!$H$5:$H$2005,$A31,'Sales Invoices'!$B$5:$B$2005,"&lt;="&amp;ReportTo)+SUMIFS('Payment Vouchers'!$R$5:$R$2005,'Payment Vouchers'!$B$5:$B$2005,$A31,'Payment Vouchers'!$A$5:$A$2005,"&lt;="&amp;ReportTo)+SUMIFS('Partner Transactions'!$T$5:$T$2005,'Partner Transactions'!$B$5:$B$2005,$A31,'Partner Transactions'!$A$5:$A$2005,"&lt;="&amp;ReportTo)+SUMIFS('Stock Moves'!$AP$5:$AP$2005,'Stock Moves'!$J$5:$J$2005,$A31,'Stock Moves'!$A$5:$A$2005,"&lt;="&amp;ReportTo)+SUMIFS('Journal Vouchers'!$R$5:$R$2005,'Journal Vouchers'!$E$5:$E$2005,$A31,'Journal Vouchers'!$B$5:$B$2005,"&lt;="&amp;ReportTo))</f>
        <v/>
      </c>
      <c r="C31" s="26">
        <f>IF(A31="",0,SUMIFS('Direct Costs'!$AK$5:$AK$2005,'Direct Costs'!$E$5:$E$2005,$A31,'Direct Costs'!$A$5:$A$2005,"&lt;="&amp;ReportTo)+SUMIFS('Operating Expenses'!$AF$5:$AF$2005,'Operating Expenses'!$E$5:$E$2005,$A31,'Operating Expenses'!$A$5:$A$2005,"&lt;="&amp;ReportTo)+SUMIFS('Payroll'!$AB$5:$AB$2005,'Payroll'!$C$5:$C$2005,$A31,'Payroll'!$A$5:$A$2005,"&lt;="&amp;ReportTo)+SUMIFS('Receipt Vouchers'!$AB$5:$AB$2005,'Receipt Vouchers'!$E$5:$E$2005,$A31,'Receipt Vouchers'!$A$5:$A$2005,"&lt;="&amp;ReportTo)+SUMIFS('Sales Invoices'!$AC$5:$AC$2005,'Sales Invoices'!$H$5:$H$2005,$A31,'Sales Invoices'!$B$5:$B$2005,"&lt;="&amp;ReportTo)+SUMIFS('Payment Vouchers'!$S$5:$S$2005,'Payment Vouchers'!$B$5:$B$2005,$A31,'Payment Vouchers'!$A$5:$A$2005,"&lt;="&amp;ReportTo)+SUMIFS('Partner Transactions'!$U$5:$U$2005,'Partner Transactions'!$B$5:$B$2005,$A31,'Partner Transactions'!$A$5:$A$2005,"&lt;="&amp;ReportTo)+SUMIFS('Stock Moves'!$AQ$5:$AQ$2005,'Stock Moves'!$J$5:$J$2005,$A31,'Stock Moves'!$A$5:$A$2005,"&lt;="&amp;ReportTo)+SUMIFS('Journal Vouchers'!$S$5:$S$2005,'Journal Vouchers'!$E$5:$E$2005,$A31,'Journal Vouchers'!$B$5:$B$2005,"&lt;="&amp;ReportTo))</f>
        <v/>
      </c>
      <c r="D31" s="26">
        <f>B31+C31</f>
        <v/>
      </c>
    </row>
    <row r="32">
      <c r="A32" s="25">
        <f>IF(Parties!A32="","",Parties!A32)</f>
        <v/>
      </c>
      <c r="B32" s="26">
        <f>IF(A32="",0,SUMIFS('Direct Costs'!$AJ$5:$AJ$2005,'Direct Costs'!$E$5:$E$2005,$A32,'Direct Costs'!$A$5:$A$2005,"&lt;="&amp;ReportTo)+SUMIFS('Operating Expenses'!$AE$5:$AE$2005,'Operating Expenses'!$E$5:$E$2005,$A32,'Operating Expenses'!$A$5:$A$2005,"&lt;="&amp;ReportTo)+SUMIFS('Payroll'!$AA$5:$AA$2005,'Payroll'!$C$5:$C$2005,$A32,'Payroll'!$A$5:$A$2005,"&lt;="&amp;ReportTo)+SUMIFS('Receipt Vouchers'!$AA$5:$AA$2005,'Receipt Vouchers'!$E$5:$E$2005,$A32,'Receipt Vouchers'!$A$5:$A$2005,"&lt;="&amp;ReportTo)+SUMIFS('Sales Invoices'!$AB$5:$AB$2005,'Sales Invoices'!$H$5:$H$2005,$A32,'Sales Invoices'!$B$5:$B$2005,"&lt;="&amp;ReportTo)+SUMIFS('Payment Vouchers'!$R$5:$R$2005,'Payment Vouchers'!$B$5:$B$2005,$A32,'Payment Vouchers'!$A$5:$A$2005,"&lt;="&amp;ReportTo)+SUMIFS('Partner Transactions'!$T$5:$T$2005,'Partner Transactions'!$B$5:$B$2005,$A32,'Partner Transactions'!$A$5:$A$2005,"&lt;="&amp;ReportTo)+SUMIFS('Stock Moves'!$AP$5:$AP$2005,'Stock Moves'!$J$5:$J$2005,$A32,'Stock Moves'!$A$5:$A$2005,"&lt;="&amp;ReportTo)+SUMIFS('Journal Vouchers'!$R$5:$R$2005,'Journal Vouchers'!$E$5:$E$2005,$A32,'Journal Vouchers'!$B$5:$B$2005,"&lt;="&amp;ReportTo))</f>
        <v/>
      </c>
      <c r="C32" s="26">
        <f>IF(A32="",0,SUMIFS('Direct Costs'!$AK$5:$AK$2005,'Direct Costs'!$E$5:$E$2005,$A32,'Direct Costs'!$A$5:$A$2005,"&lt;="&amp;ReportTo)+SUMIFS('Operating Expenses'!$AF$5:$AF$2005,'Operating Expenses'!$E$5:$E$2005,$A32,'Operating Expenses'!$A$5:$A$2005,"&lt;="&amp;ReportTo)+SUMIFS('Payroll'!$AB$5:$AB$2005,'Payroll'!$C$5:$C$2005,$A32,'Payroll'!$A$5:$A$2005,"&lt;="&amp;ReportTo)+SUMIFS('Receipt Vouchers'!$AB$5:$AB$2005,'Receipt Vouchers'!$E$5:$E$2005,$A32,'Receipt Vouchers'!$A$5:$A$2005,"&lt;="&amp;ReportTo)+SUMIFS('Sales Invoices'!$AC$5:$AC$2005,'Sales Invoices'!$H$5:$H$2005,$A32,'Sales Invoices'!$B$5:$B$2005,"&lt;="&amp;ReportTo)+SUMIFS('Payment Vouchers'!$S$5:$S$2005,'Payment Vouchers'!$B$5:$B$2005,$A32,'Payment Vouchers'!$A$5:$A$2005,"&lt;="&amp;ReportTo)+SUMIFS('Partner Transactions'!$U$5:$U$2005,'Partner Transactions'!$B$5:$B$2005,$A32,'Partner Transactions'!$A$5:$A$2005,"&lt;="&amp;ReportTo)+SUMIFS('Stock Moves'!$AQ$5:$AQ$2005,'Stock Moves'!$J$5:$J$2005,$A32,'Stock Moves'!$A$5:$A$2005,"&lt;="&amp;ReportTo)+SUMIFS('Journal Vouchers'!$S$5:$S$2005,'Journal Vouchers'!$E$5:$E$2005,$A32,'Journal Vouchers'!$B$5:$B$2005,"&lt;="&amp;ReportTo))</f>
        <v/>
      </c>
      <c r="D32" s="26">
        <f>B32+C32</f>
        <v/>
      </c>
    </row>
    <row r="33">
      <c r="A33" s="25">
        <f>IF(Parties!A33="","",Parties!A33)</f>
        <v/>
      </c>
      <c r="B33" s="26">
        <f>IF(A33="",0,SUMIFS('Direct Costs'!$AJ$5:$AJ$2005,'Direct Costs'!$E$5:$E$2005,$A33,'Direct Costs'!$A$5:$A$2005,"&lt;="&amp;ReportTo)+SUMIFS('Operating Expenses'!$AE$5:$AE$2005,'Operating Expenses'!$E$5:$E$2005,$A33,'Operating Expenses'!$A$5:$A$2005,"&lt;="&amp;ReportTo)+SUMIFS('Payroll'!$AA$5:$AA$2005,'Payroll'!$C$5:$C$2005,$A33,'Payroll'!$A$5:$A$2005,"&lt;="&amp;ReportTo)+SUMIFS('Receipt Vouchers'!$AA$5:$AA$2005,'Receipt Vouchers'!$E$5:$E$2005,$A33,'Receipt Vouchers'!$A$5:$A$2005,"&lt;="&amp;ReportTo)+SUMIFS('Sales Invoices'!$AB$5:$AB$2005,'Sales Invoices'!$H$5:$H$2005,$A33,'Sales Invoices'!$B$5:$B$2005,"&lt;="&amp;ReportTo)+SUMIFS('Payment Vouchers'!$R$5:$R$2005,'Payment Vouchers'!$B$5:$B$2005,$A33,'Payment Vouchers'!$A$5:$A$2005,"&lt;="&amp;ReportTo)+SUMIFS('Partner Transactions'!$T$5:$T$2005,'Partner Transactions'!$B$5:$B$2005,$A33,'Partner Transactions'!$A$5:$A$2005,"&lt;="&amp;ReportTo)+SUMIFS('Stock Moves'!$AP$5:$AP$2005,'Stock Moves'!$J$5:$J$2005,$A33,'Stock Moves'!$A$5:$A$2005,"&lt;="&amp;ReportTo)+SUMIFS('Journal Vouchers'!$R$5:$R$2005,'Journal Vouchers'!$E$5:$E$2005,$A33,'Journal Vouchers'!$B$5:$B$2005,"&lt;="&amp;ReportTo))</f>
        <v/>
      </c>
      <c r="C33" s="26">
        <f>IF(A33="",0,SUMIFS('Direct Costs'!$AK$5:$AK$2005,'Direct Costs'!$E$5:$E$2005,$A33,'Direct Costs'!$A$5:$A$2005,"&lt;="&amp;ReportTo)+SUMIFS('Operating Expenses'!$AF$5:$AF$2005,'Operating Expenses'!$E$5:$E$2005,$A33,'Operating Expenses'!$A$5:$A$2005,"&lt;="&amp;ReportTo)+SUMIFS('Payroll'!$AB$5:$AB$2005,'Payroll'!$C$5:$C$2005,$A33,'Payroll'!$A$5:$A$2005,"&lt;="&amp;ReportTo)+SUMIFS('Receipt Vouchers'!$AB$5:$AB$2005,'Receipt Vouchers'!$E$5:$E$2005,$A33,'Receipt Vouchers'!$A$5:$A$2005,"&lt;="&amp;ReportTo)+SUMIFS('Sales Invoices'!$AC$5:$AC$2005,'Sales Invoices'!$H$5:$H$2005,$A33,'Sales Invoices'!$B$5:$B$2005,"&lt;="&amp;ReportTo)+SUMIFS('Payment Vouchers'!$S$5:$S$2005,'Payment Vouchers'!$B$5:$B$2005,$A33,'Payment Vouchers'!$A$5:$A$2005,"&lt;="&amp;ReportTo)+SUMIFS('Partner Transactions'!$U$5:$U$2005,'Partner Transactions'!$B$5:$B$2005,$A33,'Partner Transactions'!$A$5:$A$2005,"&lt;="&amp;ReportTo)+SUMIFS('Stock Moves'!$AQ$5:$AQ$2005,'Stock Moves'!$J$5:$J$2005,$A33,'Stock Moves'!$A$5:$A$2005,"&lt;="&amp;ReportTo)+SUMIFS('Journal Vouchers'!$S$5:$S$2005,'Journal Vouchers'!$E$5:$E$2005,$A33,'Journal Vouchers'!$B$5:$B$2005,"&lt;="&amp;ReportTo))</f>
        <v/>
      </c>
      <c r="D33" s="26">
        <f>B33+C33</f>
        <v/>
      </c>
    </row>
    <row r="34">
      <c r="A34" s="25">
        <f>IF(Parties!A34="","",Parties!A34)</f>
        <v/>
      </c>
      <c r="B34" s="26">
        <f>IF(A34="",0,SUMIFS('Direct Costs'!$AJ$5:$AJ$2005,'Direct Costs'!$E$5:$E$2005,$A34,'Direct Costs'!$A$5:$A$2005,"&lt;="&amp;ReportTo)+SUMIFS('Operating Expenses'!$AE$5:$AE$2005,'Operating Expenses'!$E$5:$E$2005,$A34,'Operating Expenses'!$A$5:$A$2005,"&lt;="&amp;ReportTo)+SUMIFS('Payroll'!$AA$5:$AA$2005,'Payroll'!$C$5:$C$2005,$A34,'Payroll'!$A$5:$A$2005,"&lt;="&amp;ReportTo)+SUMIFS('Receipt Vouchers'!$AA$5:$AA$2005,'Receipt Vouchers'!$E$5:$E$2005,$A34,'Receipt Vouchers'!$A$5:$A$2005,"&lt;="&amp;ReportTo)+SUMIFS('Sales Invoices'!$AB$5:$AB$2005,'Sales Invoices'!$H$5:$H$2005,$A34,'Sales Invoices'!$B$5:$B$2005,"&lt;="&amp;ReportTo)+SUMIFS('Payment Vouchers'!$R$5:$R$2005,'Payment Vouchers'!$B$5:$B$2005,$A34,'Payment Vouchers'!$A$5:$A$2005,"&lt;="&amp;ReportTo)+SUMIFS('Partner Transactions'!$T$5:$T$2005,'Partner Transactions'!$B$5:$B$2005,$A34,'Partner Transactions'!$A$5:$A$2005,"&lt;="&amp;ReportTo)+SUMIFS('Stock Moves'!$AP$5:$AP$2005,'Stock Moves'!$J$5:$J$2005,$A34,'Stock Moves'!$A$5:$A$2005,"&lt;="&amp;ReportTo)+SUMIFS('Journal Vouchers'!$R$5:$R$2005,'Journal Vouchers'!$E$5:$E$2005,$A34,'Journal Vouchers'!$B$5:$B$2005,"&lt;="&amp;ReportTo))</f>
        <v/>
      </c>
      <c r="C34" s="26">
        <f>IF(A34="",0,SUMIFS('Direct Costs'!$AK$5:$AK$2005,'Direct Costs'!$E$5:$E$2005,$A34,'Direct Costs'!$A$5:$A$2005,"&lt;="&amp;ReportTo)+SUMIFS('Operating Expenses'!$AF$5:$AF$2005,'Operating Expenses'!$E$5:$E$2005,$A34,'Operating Expenses'!$A$5:$A$2005,"&lt;="&amp;ReportTo)+SUMIFS('Payroll'!$AB$5:$AB$2005,'Payroll'!$C$5:$C$2005,$A34,'Payroll'!$A$5:$A$2005,"&lt;="&amp;ReportTo)+SUMIFS('Receipt Vouchers'!$AB$5:$AB$2005,'Receipt Vouchers'!$E$5:$E$2005,$A34,'Receipt Vouchers'!$A$5:$A$2005,"&lt;="&amp;ReportTo)+SUMIFS('Sales Invoices'!$AC$5:$AC$2005,'Sales Invoices'!$H$5:$H$2005,$A34,'Sales Invoices'!$B$5:$B$2005,"&lt;="&amp;ReportTo)+SUMIFS('Payment Vouchers'!$S$5:$S$2005,'Payment Vouchers'!$B$5:$B$2005,$A34,'Payment Vouchers'!$A$5:$A$2005,"&lt;="&amp;ReportTo)+SUMIFS('Partner Transactions'!$U$5:$U$2005,'Partner Transactions'!$B$5:$B$2005,$A34,'Partner Transactions'!$A$5:$A$2005,"&lt;="&amp;ReportTo)+SUMIFS('Stock Moves'!$AQ$5:$AQ$2005,'Stock Moves'!$J$5:$J$2005,$A34,'Stock Moves'!$A$5:$A$2005,"&lt;="&amp;ReportTo)+SUMIFS('Journal Vouchers'!$S$5:$S$2005,'Journal Vouchers'!$E$5:$E$2005,$A34,'Journal Vouchers'!$B$5:$B$2005,"&lt;="&amp;ReportTo))</f>
        <v/>
      </c>
      <c r="D34" s="26">
        <f>B34+C34</f>
        <v/>
      </c>
    </row>
    <row r="35">
      <c r="A35" s="25">
        <f>IF(Parties!A35="","",Parties!A35)</f>
        <v/>
      </c>
      <c r="B35" s="26">
        <f>IF(A35="",0,SUMIFS('Direct Costs'!$AJ$5:$AJ$2005,'Direct Costs'!$E$5:$E$2005,$A35,'Direct Costs'!$A$5:$A$2005,"&lt;="&amp;ReportTo)+SUMIFS('Operating Expenses'!$AE$5:$AE$2005,'Operating Expenses'!$E$5:$E$2005,$A35,'Operating Expenses'!$A$5:$A$2005,"&lt;="&amp;ReportTo)+SUMIFS('Payroll'!$AA$5:$AA$2005,'Payroll'!$C$5:$C$2005,$A35,'Payroll'!$A$5:$A$2005,"&lt;="&amp;ReportTo)+SUMIFS('Receipt Vouchers'!$AA$5:$AA$2005,'Receipt Vouchers'!$E$5:$E$2005,$A35,'Receipt Vouchers'!$A$5:$A$2005,"&lt;="&amp;ReportTo)+SUMIFS('Sales Invoices'!$AB$5:$AB$2005,'Sales Invoices'!$H$5:$H$2005,$A35,'Sales Invoices'!$B$5:$B$2005,"&lt;="&amp;ReportTo)+SUMIFS('Payment Vouchers'!$R$5:$R$2005,'Payment Vouchers'!$B$5:$B$2005,$A35,'Payment Vouchers'!$A$5:$A$2005,"&lt;="&amp;ReportTo)+SUMIFS('Partner Transactions'!$T$5:$T$2005,'Partner Transactions'!$B$5:$B$2005,$A35,'Partner Transactions'!$A$5:$A$2005,"&lt;="&amp;ReportTo)+SUMIFS('Stock Moves'!$AP$5:$AP$2005,'Stock Moves'!$J$5:$J$2005,$A35,'Stock Moves'!$A$5:$A$2005,"&lt;="&amp;ReportTo)+SUMIFS('Journal Vouchers'!$R$5:$R$2005,'Journal Vouchers'!$E$5:$E$2005,$A35,'Journal Vouchers'!$B$5:$B$2005,"&lt;="&amp;ReportTo))</f>
        <v/>
      </c>
      <c r="C35" s="26">
        <f>IF(A35="",0,SUMIFS('Direct Costs'!$AK$5:$AK$2005,'Direct Costs'!$E$5:$E$2005,$A35,'Direct Costs'!$A$5:$A$2005,"&lt;="&amp;ReportTo)+SUMIFS('Operating Expenses'!$AF$5:$AF$2005,'Operating Expenses'!$E$5:$E$2005,$A35,'Operating Expenses'!$A$5:$A$2005,"&lt;="&amp;ReportTo)+SUMIFS('Payroll'!$AB$5:$AB$2005,'Payroll'!$C$5:$C$2005,$A35,'Payroll'!$A$5:$A$2005,"&lt;="&amp;ReportTo)+SUMIFS('Receipt Vouchers'!$AB$5:$AB$2005,'Receipt Vouchers'!$E$5:$E$2005,$A35,'Receipt Vouchers'!$A$5:$A$2005,"&lt;="&amp;ReportTo)+SUMIFS('Sales Invoices'!$AC$5:$AC$2005,'Sales Invoices'!$H$5:$H$2005,$A35,'Sales Invoices'!$B$5:$B$2005,"&lt;="&amp;ReportTo)+SUMIFS('Payment Vouchers'!$S$5:$S$2005,'Payment Vouchers'!$B$5:$B$2005,$A35,'Payment Vouchers'!$A$5:$A$2005,"&lt;="&amp;ReportTo)+SUMIFS('Partner Transactions'!$U$5:$U$2005,'Partner Transactions'!$B$5:$B$2005,$A35,'Partner Transactions'!$A$5:$A$2005,"&lt;="&amp;ReportTo)+SUMIFS('Stock Moves'!$AQ$5:$AQ$2005,'Stock Moves'!$J$5:$J$2005,$A35,'Stock Moves'!$A$5:$A$2005,"&lt;="&amp;ReportTo)+SUMIFS('Journal Vouchers'!$S$5:$S$2005,'Journal Vouchers'!$E$5:$E$2005,$A35,'Journal Vouchers'!$B$5:$B$2005,"&lt;="&amp;ReportTo))</f>
        <v/>
      </c>
      <c r="D35" s="26">
        <f>B35+C35</f>
        <v/>
      </c>
    </row>
    <row r="36">
      <c r="A36" s="25">
        <f>IF(Parties!A36="","",Parties!A36)</f>
        <v/>
      </c>
      <c r="B36" s="26">
        <f>IF(A36="",0,SUMIFS('Direct Costs'!$AJ$5:$AJ$2005,'Direct Costs'!$E$5:$E$2005,$A36,'Direct Costs'!$A$5:$A$2005,"&lt;="&amp;ReportTo)+SUMIFS('Operating Expenses'!$AE$5:$AE$2005,'Operating Expenses'!$E$5:$E$2005,$A36,'Operating Expenses'!$A$5:$A$2005,"&lt;="&amp;ReportTo)+SUMIFS('Payroll'!$AA$5:$AA$2005,'Payroll'!$C$5:$C$2005,$A36,'Payroll'!$A$5:$A$2005,"&lt;="&amp;ReportTo)+SUMIFS('Receipt Vouchers'!$AA$5:$AA$2005,'Receipt Vouchers'!$E$5:$E$2005,$A36,'Receipt Vouchers'!$A$5:$A$2005,"&lt;="&amp;ReportTo)+SUMIFS('Sales Invoices'!$AB$5:$AB$2005,'Sales Invoices'!$H$5:$H$2005,$A36,'Sales Invoices'!$B$5:$B$2005,"&lt;="&amp;ReportTo)+SUMIFS('Payment Vouchers'!$R$5:$R$2005,'Payment Vouchers'!$B$5:$B$2005,$A36,'Payment Vouchers'!$A$5:$A$2005,"&lt;="&amp;ReportTo)+SUMIFS('Partner Transactions'!$T$5:$T$2005,'Partner Transactions'!$B$5:$B$2005,$A36,'Partner Transactions'!$A$5:$A$2005,"&lt;="&amp;ReportTo)+SUMIFS('Stock Moves'!$AP$5:$AP$2005,'Stock Moves'!$J$5:$J$2005,$A36,'Stock Moves'!$A$5:$A$2005,"&lt;="&amp;ReportTo)+SUMIFS('Journal Vouchers'!$R$5:$R$2005,'Journal Vouchers'!$E$5:$E$2005,$A36,'Journal Vouchers'!$B$5:$B$2005,"&lt;="&amp;ReportTo))</f>
        <v/>
      </c>
      <c r="C36" s="26">
        <f>IF(A36="",0,SUMIFS('Direct Costs'!$AK$5:$AK$2005,'Direct Costs'!$E$5:$E$2005,$A36,'Direct Costs'!$A$5:$A$2005,"&lt;="&amp;ReportTo)+SUMIFS('Operating Expenses'!$AF$5:$AF$2005,'Operating Expenses'!$E$5:$E$2005,$A36,'Operating Expenses'!$A$5:$A$2005,"&lt;="&amp;ReportTo)+SUMIFS('Payroll'!$AB$5:$AB$2005,'Payroll'!$C$5:$C$2005,$A36,'Payroll'!$A$5:$A$2005,"&lt;="&amp;ReportTo)+SUMIFS('Receipt Vouchers'!$AB$5:$AB$2005,'Receipt Vouchers'!$E$5:$E$2005,$A36,'Receipt Vouchers'!$A$5:$A$2005,"&lt;="&amp;ReportTo)+SUMIFS('Sales Invoices'!$AC$5:$AC$2005,'Sales Invoices'!$H$5:$H$2005,$A36,'Sales Invoices'!$B$5:$B$2005,"&lt;="&amp;ReportTo)+SUMIFS('Payment Vouchers'!$S$5:$S$2005,'Payment Vouchers'!$B$5:$B$2005,$A36,'Payment Vouchers'!$A$5:$A$2005,"&lt;="&amp;ReportTo)+SUMIFS('Partner Transactions'!$U$5:$U$2005,'Partner Transactions'!$B$5:$B$2005,$A36,'Partner Transactions'!$A$5:$A$2005,"&lt;="&amp;ReportTo)+SUMIFS('Stock Moves'!$AQ$5:$AQ$2005,'Stock Moves'!$J$5:$J$2005,$A36,'Stock Moves'!$A$5:$A$2005,"&lt;="&amp;ReportTo)+SUMIFS('Journal Vouchers'!$S$5:$S$2005,'Journal Vouchers'!$E$5:$E$2005,$A36,'Journal Vouchers'!$B$5:$B$2005,"&lt;="&amp;ReportTo))</f>
        <v/>
      </c>
      <c r="D36" s="26">
        <f>B36+C36</f>
        <v/>
      </c>
    </row>
    <row r="37">
      <c r="A37" s="25">
        <f>IF(Parties!A37="","",Parties!A37)</f>
        <v/>
      </c>
      <c r="B37" s="26">
        <f>IF(A37="",0,SUMIFS('Direct Costs'!$AJ$5:$AJ$2005,'Direct Costs'!$E$5:$E$2005,$A37,'Direct Costs'!$A$5:$A$2005,"&lt;="&amp;ReportTo)+SUMIFS('Operating Expenses'!$AE$5:$AE$2005,'Operating Expenses'!$E$5:$E$2005,$A37,'Operating Expenses'!$A$5:$A$2005,"&lt;="&amp;ReportTo)+SUMIFS('Payroll'!$AA$5:$AA$2005,'Payroll'!$C$5:$C$2005,$A37,'Payroll'!$A$5:$A$2005,"&lt;="&amp;ReportTo)+SUMIFS('Receipt Vouchers'!$AA$5:$AA$2005,'Receipt Vouchers'!$E$5:$E$2005,$A37,'Receipt Vouchers'!$A$5:$A$2005,"&lt;="&amp;ReportTo)+SUMIFS('Sales Invoices'!$AB$5:$AB$2005,'Sales Invoices'!$H$5:$H$2005,$A37,'Sales Invoices'!$B$5:$B$2005,"&lt;="&amp;ReportTo)+SUMIFS('Payment Vouchers'!$R$5:$R$2005,'Payment Vouchers'!$B$5:$B$2005,$A37,'Payment Vouchers'!$A$5:$A$2005,"&lt;="&amp;ReportTo)+SUMIFS('Partner Transactions'!$T$5:$T$2005,'Partner Transactions'!$B$5:$B$2005,$A37,'Partner Transactions'!$A$5:$A$2005,"&lt;="&amp;ReportTo)+SUMIFS('Stock Moves'!$AP$5:$AP$2005,'Stock Moves'!$J$5:$J$2005,$A37,'Stock Moves'!$A$5:$A$2005,"&lt;="&amp;ReportTo)+SUMIFS('Journal Vouchers'!$R$5:$R$2005,'Journal Vouchers'!$E$5:$E$2005,$A37,'Journal Vouchers'!$B$5:$B$2005,"&lt;="&amp;ReportTo))</f>
        <v/>
      </c>
      <c r="C37" s="26">
        <f>IF(A37="",0,SUMIFS('Direct Costs'!$AK$5:$AK$2005,'Direct Costs'!$E$5:$E$2005,$A37,'Direct Costs'!$A$5:$A$2005,"&lt;="&amp;ReportTo)+SUMIFS('Operating Expenses'!$AF$5:$AF$2005,'Operating Expenses'!$E$5:$E$2005,$A37,'Operating Expenses'!$A$5:$A$2005,"&lt;="&amp;ReportTo)+SUMIFS('Payroll'!$AB$5:$AB$2005,'Payroll'!$C$5:$C$2005,$A37,'Payroll'!$A$5:$A$2005,"&lt;="&amp;ReportTo)+SUMIFS('Receipt Vouchers'!$AB$5:$AB$2005,'Receipt Vouchers'!$E$5:$E$2005,$A37,'Receipt Vouchers'!$A$5:$A$2005,"&lt;="&amp;ReportTo)+SUMIFS('Sales Invoices'!$AC$5:$AC$2005,'Sales Invoices'!$H$5:$H$2005,$A37,'Sales Invoices'!$B$5:$B$2005,"&lt;="&amp;ReportTo)+SUMIFS('Payment Vouchers'!$S$5:$S$2005,'Payment Vouchers'!$B$5:$B$2005,$A37,'Payment Vouchers'!$A$5:$A$2005,"&lt;="&amp;ReportTo)+SUMIFS('Partner Transactions'!$U$5:$U$2005,'Partner Transactions'!$B$5:$B$2005,$A37,'Partner Transactions'!$A$5:$A$2005,"&lt;="&amp;ReportTo)+SUMIFS('Stock Moves'!$AQ$5:$AQ$2005,'Stock Moves'!$J$5:$J$2005,$A37,'Stock Moves'!$A$5:$A$2005,"&lt;="&amp;ReportTo)+SUMIFS('Journal Vouchers'!$S$5:$S$2005,'Journal Vouchers'!$E$5:$E$2005,$A37,'Journal Vouchers'!$B$5:$B$2005,"&lt;="&amp;ReportTo))</f>
        <v/>
      </c>
      <c r="D37" s="26">
        <f>B37+C37</f>
        <v/>
      </c>
    </row>
    <row r="38">
      <c r="A38" s="25">
        <f>IF(Parties!A38="","",Parties!A38)</f>
        <v/>
      </c>
      <c r="B38" s="26">
        <f>IF(A38="",0,SUMIFS('Direct Costs'!$AJ$5:$AJ$2005,'Direct Costs'!$E$5:$E$2005,$A38,'Direct Costs'!$A$5:$A$2005,"&lt;="&amp;ReportTo)+SUMIFS('Operating Expenses'!$AE$5:$AE$2005,'Operating Expenses'!$E$5:$E$2005,$A38,'Operating Expenses'!$A$5:$A$2005,"&lt;="&amp;ReportTo)+SUMIFS('Payroll'!$AA$5:$AA$2005,'Payroll'!$C$5:$C$2005,$A38,'Payroll'!$A$5:$A$2005,"&lt;="&amp;ReportTo)+SUMIFS('Receipt Vouchers'!$AA$5:$AA$2005,'Receipt Vouchers'!$E$5:$E$2005,$A38,'Receipt Vouchers'!$A$5:$A$2005,"&lt;="&amp;ReportTo)+SUMIFS('Sales Invoices'!$AB$5:$AB$2005,'Sales Invoices'!$H$5:$H$2005,$A38,'Sales Invoices'!$B$5:$B$2005,"&lt;="&amp;ReportTo)+SUMIFS('Payment Vouchers'!$R$5:$R$2005,'Payment Vouchers'!$B$5:$B$2005,$A38,'Payment Vouchers'!$A$5:$A$2005,"&lt;="&amp;ReportTo)+SUMIFS('Partner Transactions'!$T$5:$T$2005,'Partner Transactions'!$B$5:$B$2005,$A38,'Partner Transactions'!$A$5:$A$2005,"&lt;="&amp;ReportTo)+SUMIFS('Stock Moves'!$AP$5:$AP$2005,'Stock Moves'!$J$5:$J$2005,$A38,'Stock Moves'!$A$5:$A$2005,"&lt;="&amp;ReportTo)+SUMIFS('Journal Vouchers'!$R$5:$R$2005,'Journal Vouchers'!$E$5:$E$2005,$A38,'Journal Vouchers'!$B$5:$B$2005,"&lt;="&amp;ReportTo))</f>
        <v/>
      </c>
      <c r="C38" s="26">
        <f>IF(A38="",0,SUMIFS('Direct Costs'!$AK$5:$AK$2005,'Direct Costs'!$E$5:$E$2005,$A38,'Direct Costs'!$A$5:$A$2005,"&lt;="&amp;ReportTo)+SUMIFS('Operating Expenses'!$AF$5:$AF$2005,'Operating Expenses'!$E$5:$E$2005,$A38,'Operating Expenses'!$A$5:$A$2005,"&lt;="&amp;ReportTo)+SUMIFS('Payroll'!$AB$5:$AB$2005,'Payroll'!$C$5:$C$2005,$A38,'Payroll'!$A$5:$A$2005,"&lt;="&amp;ReportTo)+SUMIFS('Receipt Vouchers'!$AB$5:$AB$2005,'Receipt Vouchers'!$E$5:$E$2005,$A38,'Receipt Vouchers'!$A$5:$A$2005,"&lt;="&amp;ReportTo)+SUMIFS('Sales Invoices'!$AC$5:$AC$2005,'Sales Invoices'!$H$5:$H$2005,$A38,'Sales Invoices'!$B$5:$B$2005,"&lt;="&amp;ReportTo)+SUMIFS('Payment Vouchers'!$S$5:$S$2005,'Payment Vouchers'!$B$5:$B$2005,$A38,'Payment Vouchers'!$A$5:$A$2005,"&lt;="&amp;ReportTo)+SUMIFS('Partner Transactions'!$U$5:$U$2005,'Partner Transactions'!$B$5:$B$2005,$A38,'Partner Transactions'!$A$5:$A$2005,"&lt;="&amp;ReportTo)+SUMIFS('Stock Moves'!$AQ$5:$AQ$2005,'Stock Moves'!$J$5:$J$2005,$A38,'Stock Moves'!$A$5:$A$2005,"&lt;="&amp;ReportTo)+SUMIFS('Journal Vouchers'!$S$5:$S$2005,'Journal Vouchers'!$E$5:$E$2005,$A38,'Journal Vouchers'!$B$5:$B$2005,"&lt;="&amp;ReportTo))</f>
        <v/>
      </c>
      <c r="D38" s="26">
        <f>B38+C38</f>
        <v/>
      </c>
    </row>
    <row r="39">
      <c r="A39" s="25">
        <f>IF(Parties!A39="","",Parties!A39)</f>
        <v/>
      </c>
      <c r="B39" s="26">
        <f>IF(A39="",0,SUMIFS('Direct Costs'!$AJ$5:$AJ$2005,'Direct Costs'!$E$5:$E$2005,$A39,'Direct Costs'!$A$5:$A$2005,"&lt;="&amp;ReportTo)+SUMIFS('Operating Expenses'!$AE$5:$AE$2005,'Operating Expenses'!$E$5:$E$2005,$A39,'Operating Expenses'!$A$5:$A$2005,"&lt;="&amp;ReportTo)+SUMIFS('Payroll'!$AA$5:$AA$2005,'Payroll'!$C$5:$C$2005,$A39,'Payroll'!$A$5:$A$2005,"&lt;="&amp;ReportTo)+SUMIFS('Receipt Vouchers'!$AA$5:$AA$2005,'Receipt Vouchers'!$E$5:$E$2005,$A39,'Receipt Vouchers'!$A$5:$A$2005,"&lt;="&amp;ReportTo)+SUMIFS('Sales Invoices'!$AB$5:$AB$2005,'Sales Invoices'!$H$5:$H$2005,$A39,'Sales Invoices'!$B$5:$B$2005,"&lt;="&amp;ReportTo)+SUMIFS('Payment Vouchers'!$R$5:$R$2005,'Payment Vouchers'!$B$5:$B$2005,$A39,'Payment Vouchers'!$A$5:$A$2005,"&lt;="&amp;ReportTo)+SUMIFS('Partner Transactions'!$T$5:$T$2005,'Partner Transactions'!$B$5:$B$2005,$A39,'Partner Transactions'!$A$5:$A$2005,"&lt;="&amp;ReportTo)+SUMIFS('Stock Moves'!$AP$5:$AP$2005,'Stock Moves'!$J$5:$J$2005,$A39,'Stock Moves'!$A$5:$A$2005,"&lt;="&amp;ReportTo)+SUMIFS('Journal Vouchers'!$R$5:$R$2005,'Journal Vouchers'!$E$5:$E$2005,$A39,'Journal Vouchers'!$B$5:$B$2005,"&lt;="&amp;ReportTo))</f>
        <v/>
      </c>
      <c r="C39" s="26">
        <f>IF(A39="",0,SUMIFS('Direct Costs'!$AK$5:$AK$2005,'Direct Costs'!$E$5:$E$2005,$A39,'Direct Costs'!$A$5:$A$2005,"&lt;="&amp;ReportTo)+SUMIFS('Operating Expenses'!$AF$5:$AF$2005,'Operating Expenses'!$E$5:$E$2005,$A39,'Operating Expenses'!$A$5:$A$2005,"&lt;="&amp;ReportTo)+SUMIFS('Payroll'!$AB$5:$AB$2005,'Payroll'!$C$5:$C$2005,$A39,'Payroll'!$A$5:$A$2005,"&lt;="&amp;ReportTo)+SUMIFS('Receipt Vouchers'!$AB$5:$AB$2005,'Receipt Vouchers'!$E$5:$E$2005,$A39,'Receipt Vouchers'!$A$5:$A$2005,"&lt;="&amp;ReportTo)+SUMIFS('Sales Invoices'!$AC$5:$AC$2005,'Sales Invoices'!$H$5:$H$2005,$A39,'Sales Invoices'!$B$5:$B$2005,"&lt;="&amp;ReportTo)+SUMIFS('Payment Vouchers'!$S$5:$S$2005,'Payment Vouchers'!$B$5:$B$2005,$A39,'Payment Vouchers'!$A$5:$A$2005,"&lt;="&amp;ReportTo)+SUMIFS('Partner Transactions'!$U$5:$U$2005,'Partner Transactions'!$B$5:$B$2005,$A39,'Partner Transactions'!$A$5:$A$2005,"&lt;="&amp;ReportTo)+SUMIFS('Stock Moves'!$AQ$5:$AQ$2005,'Stock Moves'!$J$5:$J$2005,$A39,'Stock Moves'!$A$5:$A$2005,"&lt;="&amp;ReportTo)+SUMIFS('Journal Vouchers'!$S$5:$S$2005,'Journal Vouchers'!$E$5:$E$2005,$A39,'Journal Vouchers'!$B$5:$B$2005,"&lt;="&amp;ReportTo))</f>
        <v/>
      </c>
      <c r="D39" s="26">
        <f>B39+C39</f>
        <v/>
      </c>
    </row>
    <row r="40">
      <c r="A40" s="25">
        <f>IF(Parties!A40="","",Parties!A40)</f>
        <v/>
      </c>
      <c r="B40" s="26">
        <f>IF(A40="",0,SUMIFS('Direct Costs'!$AJ$5:$AJ$2005,'Direct Costs'!$E$5:$E$2005,$A40,'Direct Costs'!$A$5:$A$2005,"&lt;="&amp;ReportTo)+SUMIFS('Operating Expenses'!$AE$5:$AE$2005,'Operating Expenses'!$E$5:$E$2005,$A40,'Operating Expenses'!$A$5:$A$2005,"&lt;="&amp;ReportTo)+SUMIFS('Payroll'!$AA$5:$AA$2005,'Payroll'!$C$5:$C$2005,$A40,'Payroll'!$A$5:$A$2005,"&lt;="&amp;ReportTo)+SUMIFS('Receipt Vouchers'!$AA$5:$AA$2005,'Receipt Vouchers'!$E$5:$E$2005,$A40,'Receipt Vouchers'!$A$5:$A$2005,"&lt;="&amp;ReportTo)+SUMIFS('Sales Invoices'!$AB$5:$AB$2005,'Sales Invoices'!$H$5:$H$2005,$A40,'Sales Invoices'!$B$5:$B$2005,"&lt;="&amp;ReportTo)+SUMIFS('Payment Vouchers'!$R$5:$R$2005,'Payment Vouchers'!$B$5:$B$2005,$A40,'Payment Vouchers'!$A$5:$A$2005,"&lt;="&amp;ReportTo)+SUMIFS('Partner Transactions'!$T$5:$T$2005,'Partner Transactions'!$B$5:$B$2005,$A40,'Partner Transactions'!$A$5:$A$2005,"&lt;="&amp;ReportTo)+SUMIFS('Stock Moves'!$AP$5:$AP$2005,'Stock Moves'!$J$5:$J$2005,$A40,'Stock Moves'!$A$5:$A$2005,"&lt;="&amp;ReportTo)+SUMIFS('Journal Vouchers'!$R$5:$R$2005,'Journal Vouchers'!$E$5:$E$2005,$A40,'Journal Vouchers'!$B$5:$B$2005,"&lt;="&amp;ReportTo))</f>
        <v/>
      </c>
      <c r="C40" s="26">
        <f>IF(A40="",0,SUMIFS('Direct Costs'!$AK$5:$AK$2005,'Direct Costs'!$E$5:$E$2005,$A40,'Direct Costs'!$A$5:$A$2005,"&lt;="&amp;ReportTo)+SUMIFS('Operating Expenses'!$AF$5:$AF$2005,'Operating Expenses'!$E$5:$E$2005,$A40,'Operating Expenses'!$A$5:$A$2005,"&lt;="&amp;ReportTo)+SUMIFS('Payroll'!$AB$5:$AB$2005,'Payroll'!$C$5:$C$2005,$A40,'Payroll'!$A$5:$A$2005,"&lt;="&amp;ReportTo)+SUMIFS('Receipt Vouchers'!$AB$5:$AB$2005,'Receipt Vouchers'!$E$5:$E$2005,$A40,'Receipt Vouchers'!$A$5:$A$2005,"&lt;="&amp;ReportTo)+SUMIFS('Sales Invoices'!$AC$5:$AC$2005,'Sales Invoices'!$H$5:$H$2005,$A40,'Sales Invoices'!$B$5:$B$2005,"&lt;="&amp;ReportTo)+SUMIFS('Payment Vouchers'!$S$5:$S$2005,'Payment Vouchers'!$B$5:$B$2005,$A40,'Payment Vouchers'!$A$5:$A$2005,"&lt;="&amp;ReportTo)+SUMIFS('Partner Transactions'!$U$5:$U$2005,'Partner Transactions'!$B$5:$B$2005,$A40,'Partner Transactions'!$A$5:$A$2005,"&lt;="&amp;ReportTo)+SUMIFS('Stock Moves'!$AQ$5:$AQ$2005,'Stock Moves'!$J$5:$J$2005,$A40,'Stock Moves'!$A$5:$A$2005,"&lt;="&amp;ReportTo)+SUMIFS('Journal Vouchers'!$S$5:$S$2005,'Journal Vouchers'!$E$5:$E$2005,$A40,'Journal Vouchers'!$B$5:$B$2005,"&lt;="&amp;ReportTo))</f>
        <v/>
      </c>
      <c r="D40" s="26">
        <f>B40+C40</f>
        <v/>
      </c>
    </row>
    <row r="41">
      <c r="A41" s="25">
        <f>IF(Parties!A41="","",Parties!A41)</f>
        <v/>
      </c>
      <c r="B41" s="26">
        <f>IF(A41="",0,SUMIFS('Direct Costs'!$AJ$5:$AJ$2005,'Direct Costs'!$E$5:$E$2005,$A41,'Direct Costs'!$A$5:$A$2005,"&lt;="&amp;ReportTo)+SUMIFS('Operating Expenses'!$AE$5:$AE$2005,'Operating Expenses'!$E$5:$E$2005,$A41,'Operating Expenses'!$A$5:$A$2005,"&lt;="&amp;ReportTo)+SUMIFS('Payroll'!$AA$5:$AA$2005,'Payroll'!$C$5:$C$2005,$A41,'Payroll'!$A$5:$A$2005,"&lt;="&amp;ReportTo)+SUMIFS('Receipt Vouchers'!$AA$5:$AA$2005,'Receipt Vouchers'!$E$5:$E$2005,$A41,'Receipt Vouchers'!$A$5:$A$2005,"&lt;="&amp;ReportTo)+SUMIFS('Sales Invoices'!$AB$5:$AB$2005,'Sales Invoices'!$H$5:$H$2005,$A41,'Sales Invoices'!$B$5:$B$2005,"&lt;="&amp;ReportTo)+SUMIFS('Payment Vouchers'!$R$5:$R$2005,'Payment Vouchers'!$B$5:$B$2005,$A41,'Payment Vouchers'!$A$5:$A$2005,"&lt;="&amp;ReportTo)+SUMIFS('Partner Transactions'!$T$5:$T$2005,'Partner Transactions'!$B$5:$B$2005,$A41,'Partner Transactions'!$A$5:$A$2005,"&lt;="&amp;ReportTo)+SUMIFS('Stock Moves'!$AP$5:$AP$2005,'Stock Moves'!$J$5:$J$2005,$A41,'Stock Moves'!$A$5:$A$2005,"&lt;="&amp;ReportTo)+SUMIFS('Journal Vouchers'!$R$5:$R$2005,'Journal Vouchers'!$E$5:$E$2005,$A41,'Journal Vouchers'!$B$5:$B$2005,"&lt;="&amp;ReportTo))</f>
        <v/>
      </c>
      <c r="C41" s="26">
        <f>IF(A41="",0,SUMIFS('Direct Costs'!$AK$5:$AK$2005,'Direct Costs'!$E$5:$E$2005,$A41,'Direct Costs'!$A$5:$A$2005,"&lt;="&amp;ReportTo)+SUMIFS('Operating Expenses'!$AF$5:$AF$2005,'Operating Expenses'!$E$5:$E$2005,$A41,'Operating Expenses'!$A$5:$A$2005,"&lt;="&amp;ReportTo)+SUMIFS('Payroll'!$AB$5:$AB$2005,'Payroll'!$C$5:$C$2005,$A41,'Payroll'!$A$5:$A$2005,"&lt;="&amp;ReportTo)+SUMIFS('Receipt Vouchers'!$AB$5:$AB$2005,'Receipt Vouchers'!$E$5:$E$2005,$A41,'Receipt Vouchers'!$A$5:$A$2005,"&lt;="&amp;ReportTo)+SUMIFS('Sales Invoices'!$AC$5:$AC$2005,'Sales Invoices'!$H$5:$H$2005,$A41,'Sales Invoices'!$B$5:$B$2005,"&lt;="&amp;ReportTo)+SUMIFS('Payment Vouchers'!$S$5:$S$2005,'Payment Vouchers'!$B$5:$B$2005,$A41,'Payment Vouchers'!$A$5:$A$2005,"&lt;="&amp;ReportTo)+SUMIFS('Partner Transactions'!$U$5:$U$2005,'Partner Transactions'!$B$5:$B$2005,$A41,'Partner Transactions'!$A$5:$A$2005,"&lt;="&amp;ReportTo)+SUMIFS('Stock Moves'!$AQ$5:$AQ$2005,'Stock Moves'!$J$5:$J$2005,$A41,'Stock Moves'!$A$5:$A$2005,"&lt;="&amp;ReportTo)+SUMIFS('Journal Vouchers'!$S$5:$S$2005,'Journal Vouchers'!$E$5:$E$2005,$A41,'Journal Vouchers'!$B$5:$B$2005,"&lt;="&amp;ReportTo))</f>
        <v/>
      </c>
      <c r="D41" s="26">
        <f>B41+C41</f>
        <v/>
      </c>
    </row>
    <row r="42">
      <c r="A42" s="25">
        <f>IF(Parties!A42="","",Parties!A42)</f>
        <v/>
      </c>
      <c r="B42" s="26">
        <f>IF(A42="",0,SUMIFS('Direct Costs'!$AJ$5:$AJ$2005,'Direct Costs'!$E$5:$E$2005,$A42,'Direct Costs'!$A$5:$A$2005,"&lt;="&amp;ReportTo)+SUMIFS('Operating Expenses'!$AE$5:$AE$2005,'Operating Expenses'!$E$5:$E$2005,$A42,'Operating Expenses'!$A$5:$A$2005,"&lt;="&amp;ReportTo)+SUMIFS('Payroll'!$AA$5:$AA$2005,'Payroll'!$C$5:$C$2005,$A42,'Payroll'!$A$5:$A$2005,"&lt;="&amp;ReportTo)+SUMIFS('Receipt Vouchers'!$AA$5:$AA$2005,'Receipt Vouchers'!$E$5:$E$2005,$A42,'Receipt Vouchers'!$A$5:$A$2005,"&lt;="&amp;ReportTo)+SUMIFS('Sales Invoices'!$AB$5:$AB$2005,'Sales Invoices'!$H$5:$H$2005,$A42,'Sales Invoices'!$B$5:$B$2005,"&lt;="&amp;ReportTo)+SUMIFS('Payment Vouchers'!$R$5:$R$2005,'Payment Vouchers'!$B$5:$B$2005,$A42,'Payment Vouchers'!$A$5:$A$2005,"&lt;="&amp;ReportTo)+SUMIFS('Partner Transactions'!$T$5:$T$2005,'Partner Transactions'!$B$5:$B$2005,$A42,'Partner Transactions'!$A$5:$A$2005,"&lt;="&amp;ReportTo)+SUMIFS('Stock Moves'!$AP$5:$AP$2005,'Stock Moves'!$J$5:$J$2005,$A42,'Stock Moves'!$A$5:$A$2005,"&lt;="&amp;ReportTo)+SUMIFS('Journal Vouchers'!$R$5:$R$2005,'Journal Vouchers'!$E$5:$E$2005,$A42,'Journal Vouchers'!$B$5:$B$2005,"&lt;="&amp;ReportTo))</f>
        <v/>
      </c>
      <c r="C42" s="26">
        <f>IF(A42="",0,SUMIFS('Direct Costs'!$AK$5:$AK$2005,'Direct Costs'!$E$5:$E$2005,$A42,'Direct Costs'!$A$5:$A$2005,"&lt;="&amp;ReportTo)+SUMIFS('Operating Expenses'!$AF$5:$AF$2005,'Operating Expenses'!$E$5:$E$2005,$A42,'Operating Expenses'!$A$5:$A$2005,"&lt;="&amp;ReportTo)+SUMIFS('Payroll'!$AB$5:$AB$2005,'Payroll'!$C$5:$C$2005,$A42,'Payroll'!$A$5:$A$2005,"&lt;="&amp;ReportTo)+SUMIFS('Receipt Vouchers'!$AB$5:$AB$2005,'Receipt Vouchers'!$E$5:$E$2005,$A42,'Receipt Vouchers'!$A$5:$A$2005,"&lt;="&amp;ReportTo)+SUMIFS('Sales Invoices'!$AC$5:$AC$2005,'Sales Invoices'!$H$5:$H$2005,$A42,'Sales Invoices'!$B$5:$B$2005,"&lt;="&amp;ReportTo)+SUMIFS('Payment Vouchers'!$S$5:$S$2005,'Payment Vouchers'!$B$5:$B$2005,$A42,'Payment Vouchers'!$A$5:$A$2005,"&lt;="&amp;ReportTo)+SUMIFS('Partner Transactions'!$U$5:$U$2005,'Partner Transactions'!$B$5:$B$2005,$A42,'Partner Transactions'!$A$5:$A$2005,"&lt;="&amp;ReportTo)+SUMIFS('Stock Moves'!$AQ$5:$AQ$2005,'Stock Moves'!$J$5:$J$2005,$A42,'Stock Moves'!$A$5:$A$2005,"&lt;="&amp;ReportTo)+SUMIFS('Journal Vouchers'!$S$5:$S$2005,'Journal Vouchers'!$E$5:$E$2005,$A42,'Journal Vouchers'!$B$5:$B$2005,"&lt;="&amp;ReportTo))</f>
        <v/>
      </c>
      <c r="D42" s="26">
        <f>B42+C42</f>
        <v/>
      </c>
    </row>
    <row r="43">
      <c r="A43" s="25">
        <f>IF(Parties!A43="","",Parties!A43)</f>
        <v/>
      </c>
      <c r="B43" s="26">
        <f>IF(A43="",0,SUMIFS('Direct Costs'!$AJ$5:$AJ$2005,'Direct Costs'!$E$5:$E$2005,$A43,'Direct Costs'!$A$5:$A$2005,"&lt;="&amp;ReportTo)+SUMIFS('Operating Expenses'!$AE$5:$AE$2005,'Operating Expenses'!$E$5:$E$2005,$A43,'Operating Expenses'!$A$5:$A$2005,"&lt;="&amp;ReportTo)+SUMIFS('Payroll'!$AA$5:$AA$2005,'Payroll'!$C$5:$C$2005,$A43,'Payroll'!$A$5:$A$2005,"&lt;="&amp;ReportTo)+SUMIFS('Receipt Vouchers'!$AA$5:$AA$2005,'Receipt Vouchers'!$E$5:$E$2005,$A43,'Receipt Vouchers'!$A$5:$A$2005,"&lt;="&amp;ReportTo)+SUMIFS('Sales Invoices'!$AB$5:$AB$2005,'Sales Invoices'!$H$5:$H$2005,$A43,'Sales Invoices'!$B$5:$B$2005,"&lt;="&amp;ReportTo)+SUMIFS('Payment Vouchers'!$R$5:$R$2005,'Payment Vouchers'!$B$5:$B$2005,$A43,'Payment Vouchers'!$A$5:$A$2005,"&lt;="&amp;ReportTo)+SUMIFS('Partner Transactions'!$T$5:$T$2005,'Partner Transactions'!$B$5:$B$2005,$A43,'Partner Transactions'!$A$5:$A$2005,"&lt;="&amp;ReportTo)+SUMIFS('Stock Moves'!$AP$5:$AP$2005,'Stock Moves'!$J$5:$J$2005,$A43,'Stock Moves'!$A$5:$A$2005,"&lt;="&amp;ReportTo)+SUMIFS('Journal Vouchers'!$R$5:$R$2005,'Journal Vouchers'!$E$5:$E$2005,$A43,'Journal Vouchers'!$B$5:$B$2005,"&lt;="&amp;ReportTo))</f>
        <v/>
      </c>
      <c r="C43" s="26">
        <f>IF(A43="",0,SUMIFS('Direct Costs'!$AK$5:$AK$2005,'Direct Costs'!$E$5:$E$2005,$A43,'Direct Costs'!$A$5:$A$2005,"&lt;="&amp;ReportTo)+SUMIFS('Operating Expenses'!$AF$5:$AF$2005,'Operating Expenses'!$E$5:$E$2005,$A43,'Operating Expenses'!$A$5:$A$2005,"&lt;="&amp;ReportTo)+SUMIFS('Payroll'!$AB$5:$AB$2005,'Payroll'!$C$5:$C$2005,$A43,'Payroll'!$A$5:$A$2005,"&lt;="&amp;ReportTo)+SUMIFS('Receipt Vouchers'!$AB$5:$AB$2005,'Receipt Vouchers'!$E$5:$E$2005,$A43,'Receipt Vouchers'!$A$5:$A$2005,"&lt;="&amp;ReportTo)+SUMIFS('Sales Invoices'!$AC$5:$AC$2005,'Sales Invoices'!$H$5:$H$2005,$A43,'Sales Invoices'!$B$5:$B$2005,"&lt;="&amp;ReportTo)+SUMIFS('Payment Vouchers'!$S$5:$S$2005,'Payment Vouchers'!$B$5:$B$2005,$A43,'Payment Vouchers'!$A$5:$A$2005,"&lt;="&amp;ReportTo)+SUMIFS('Partner Transactions'!$U$5:$U$2005,'Partner Transactions'!$B$5:$B$2005,$A43,'Partner Transactions'!$A$5:$A$2005,"&lt;="&amp;ReportTo)+SUMIFS('Stock Moves'!$AQ$5:$AQ$2005,'Stock Moves'!$J$5:$J$2005,$A43,'Stock Moves'!$A$5:$A$2005,"&lt;="&amp;ReportTo)+SUMIFS('Journal Vouchers'!$S$5:$S$2005,'Journal Vouchers'!$E$5:$E$2005,$A43,'Journal Vouchers'!$B$5:$B$2005,"&lt;="&amp;ReportTo))</f>
        <v/>
      </c>
      <c r="D43" s="26">
        <f>B43+C43</f>
        <v/>
      </c>
    </row>
    <row r="44">
      <c r="A44" s="25">
        <f>IF(Parties!A44="","",Parties!A44)</f>
        <v/>
      </c>
      <c r="B44" s="26">
        <f>IF(A44="",0,SUMIFS('Direct Costs'!$AJ$5:$AJ$2005,'Direct Costs'!$E$5:$E$2005,$A44,'Direct Costs'!$A$5:$A$2005,"&lt;="&amp;ReportTo)+SUMIFS('Operating Expenses'!$AE$5:$AE$2005,'Operating Expenses'!$E$5:$E$2005,$A44,'Operating Expenses'!$A$5:$A$2005,"&lt;="&amp;ReportTo)+SUMIFS('Payroll'!$AA$5:$AA$2005,'Payroll'!$C$5:$C$2005,$A44,'Payroll'!$A$5:$A$2005,"&lt;="&amp;ReportTo)+SUMIFS('Receipt Vouchers'!$AA$5:$AA$2005,'Receipt Vouchers'!$E$5:$E$2005,$A44,'Receipt Vouchers'!$A$5:$A$2005,"&lt;="&amp;ReportTo)+SUMIFS('Sales Invoices'!$AB$5:$AB$2005,'Sales Invoices'!$H$5:$H$2005,$A44,'Sales Invoices'!$B$5:$B$2005,"&lt;="&amp;ReportTo)+SUMIFS('Payment Vouchers'!$R$5:$R$2005,'Payment Vouchers'!$B$5:$B$2005,$A44,'Payment Vouchers'!$A$5:$A$2005,"&lt;="&amp;ReportTo)+SUMIFS('Partner Transactions'!$T$5:$T$2005,'Partner Transactions'!$B$5:$B$2005,$A44,'Partner Transactions'!$A$5:$A$2005,"&lt;="&amp;ReportTo)+SUMIFS('Stock Moves'!$AP$5:$AP$2005,'Stock Moves'!$J$5:$J$2005,$A44,'Stock Moves'!$A$5:$A$2005,"&lt;="&amp;ReportTo)+SUMIFS('Journal Vouchers'!$R$5:$R$2005,'Journal Vouchers'!$E$5:$E$2005,$A44,'Journal Vouchers'!$B$5:$B$2005,"&lt;="&amp;ReportTo))</f>
        <v/>
      </c>
      <c r="C44" s="26">
        <f>IF(A44="",0,SUMIFS('Direct Costs'!$AK$5:$AK$2005,'Direct Costs'!$E$5:$E$2005,$A44,'Direct Costs'!$A$5:$A$2005,"&lt;="&amp;ReportTo)+SUMIFS('Operating Expenses'!$AF$5:$AF$2005,'Operating Expenses'!$E$5:$E$2005,$A44,'Operating Expenses'!$A$5:$A$2005,"&lt;="&amp;ReportTo)+SUMIFS('Payroll'!$AB$5:$AB$2005,'Payroll'!$C$5:$C$2005,$A44,'Payroll'!$A$5:$A$2005,"&lt;="&amp;ReportTo)+SUMIFS('Receipt Vouchers'!$AB$5:$AB$2005,'Receipt Vouchers'!$E$5:$E$2005,$A44,'Receipt Vouchers'!$A$5:$A$2005,"&lt;="&amp;ReportTo)+SUMIFS('Sales Invoices'!$AC$5:$AC$2005,'Sales Invoices'!$H$5:$H$2005,$A44,'Sales Invoices'!$B$5:$B$2005,"&lt;="&amp;ReportTo)+SUMIFS('Payment Vouchers'!$S$5:$S$2005,'Payment Vouchers'!$B$5:$B$2005,$A44,'Payment Vouchers'!$A$5:$A$2005,"&lt;="&amp;ReportTo)+SUMIFS('Partner Transactions'!$U$5:$U$2005,'Partner Transactions'!$B$5:$B$2005,$A44,'Partner Transactions'!$A$5:$A$2005,"&lt;="&amp;ReportTo)+SUMIFS('Stock Moves'!$AQ$5:$AQ$2005,'Stock Moves'!$J$5:$J$2005,$A44,'Stock Moves'!$A$5:$A$2005,"&lt;="&amp;ReportTo)+SUMIFS('Journal Vouchers'!$S$5:$S$2005,'Journal Vouchers'!$E$5:$E$2005,$A44,'Journal Vouchers'!$B$5:$B$2005,"&lt;="&amp;ReportTo))</f>
        <v/>
      </c>
      <c r="D44" s="26">
        <f>B44+C44</f>
        <v/>
      </c>
    </row>
    <row r="45">
      <c r="A45" s="25">
        <f>IF(Parties!A45="","",Parties!A45)</f>
        <v/>
      </c>
      <c r="B45" s="26">
        <f>IF(A45="",0,SUMIFS('Direct Costs'!$AJ$5:$AJ$2005,'Direct Costs'!$E$5:$E$2005,$A45,'Direct Costs'!$A$5:$A$2005,"&lt;="&amp;ReportTo)+SUMIFS('Operating Expenses'!$AE$5:$AE$2005,'Operating Expenses'!$E$5:$E$2005,$A45,'Operating Expenses'!$A$5:$A$2005,"&lt;="&amp;ReportTo)+SUMIFS('Payroll'!$AA$5:$AA$2005,'Payroll'!$C$5:$C$2005,$A45,'Payroll'!$A$5:$A$2005,"&lt;="&amp;ReportTo)+SUMIFS('Receipt Vouchers'!$AA$5:$AA$2005,'Receipt Vouchers'!$E$5:$E$2005,$A45,'Receipt Vouchers'!$A$5:$A$2005,"&lt;="&amp;ReportTo)+SUMIFS('Sales Invoices'!$AB$5:$AB$2005,'Sales Invoices'!$H$5:$H$2005,$A45,'Sales Invoices'!$B$5:$B$2005,"&lt;="&amp;ReportTo)+SUMIFS('Payment Vouchers'!$R$5:$R$2005,'Payment Vouchers'!$B$5:$B$2005,$A45,'Payment Vouchers'!$A$5:$A$2005,"&lt;="&amp;ReportTo)+SUMIFS('Partner Transactions'!$T$5:$T$2005,'Partner Transactions'!$B$5:$B$2005,$A45,'Partner Transactions'!$A$5:$A$2005,"&lt;="&amp;ReportTo)+SUMIFS('Stock Moves'!$AP$5:$AP$2005,'Stock Moves'!$J$5:$J$2005,$A45,'Stock Moves'!$A$5:$A$2005,"&lt;="&amp;ReportTo)+SUMIFS('Journal Vouchers'!$R$5:$R$2005,'Journal Vouchers'!$E$5:$E$2005,$A45,'Journal Vouchers'!$B$5:$B$2005,"&lt;="&amp;ReportTo))</f>
        <v/>
      </c>
      <c r="C45" s="26">
        <f>IF(A45="",0,SUMIFS('Direct Costs'!$AK$5:$AK$2005,'Direct Costs'!$E$5:$E$2005,$A45,'Direct Costs'!$A$5:$A$2005,"&lt;="&amp;ReportTo)+SUMIFS('Operating Expenses'!$AF$5:$AF$2005,'Operating Expenses'!$E$5:$E$2005,$A45,'Operating Expenses'!$A$5:$A$2005,"&lt;="&amp;ReportTo)+SUMIFS('Payroll'!$AB$5:$AB$2005,'Payroll'!$C$5:$C$2005,$A45,'Payroll'!$A$5:$A$2005,"&lt;="&amp;ReportTo)+SUMIFS('Receipt Vouchers'!$AB$5:$AB$2005,'Receipt Vouchers'!$E$5:$E$2005,$A45,'Receipt Vouchers'!$A$5:$A$2005,"&lt;="&amp;ReportTo)+SUMIFS('Sales Invoices'!$AC$5:$AC$2005,'Sales Invoices'!$H$5:$H$2005,$A45,'Sales Invoices'!$B$5:$B$2005,"&lt;="&amp;ReportTo)+SUMIFS('Payment Vouchers'!$S$5:$S$2005,'Payment Vouchers'!$B$5:$B$2005,$A45,'Payment Vouchers'!$A$5:$A$2005,"&lt;="&amp;ReportTo)+SUMIFS('Partner Transactions'!$U$5:$U$2005,'Partner Transactions'!$B$5:$B$2005,$A45,'Partner Transactions'!$A$5:$A$2005,"&lt;="&amp;ReportTo)+SUMIFS('Stock Moves'!$AQ$5:$AQ$2005,'Stock Moves'!$J$5:$J$2005,$A45,'Stock Moves'!$A$5:$A$2005,"&lt;="&amp;ReportTo)+SUMIFS('Journal Vouchers'!$S$5:$S$2005,'Journal Vouchers'!$E$5:$E$2005,$A45,'Journal Vouchers'!$B$5:$B$2005,"&lt;="&amp;ReportTo))</f>
        <v/>
      </c>
      <c r="D45" s="26">
        <f>B45+C45</f>
        <v/>
      </c>
    </row>
    <row r="46">
      <c r="A46" s="25">
        <f>IF(Parties!A46="","",Parties!A46)</f>
        <v/>
      </c>
      <c r="B46" s="26">
        <f>IF(A46="",0,SUMIFS('Direct Costs'!$AJ$5:$AJ$2005,'Direct Costs'!$E$5:$E$2005,$A46,'Direct Costs'!$A$5:$A$2005,"&lt;="&amp;ReportTo)+SUMIFS('Operating Expenses'!$AE$5:$AE$2005,'Operating Expenses'!$E$5:$E$2005,$A46,'Operating Expenses'!$A$5:$A$2005,"&lt;="&amp;ReportTo)+SUMIFS('Payroll'!$AA$5:$AA$2005,'Payroll'!$C$5:$C$2005,$A46,'Payroll'!$A$5:$A$2005,"&lt;="&amp;ReportTo)+SUMIFS('Receipt Vouchers'!$AA$5:$AA$2005,'Receipt Vouchers'!$E$5:$E$2005,$A46,'Receipt Vouchers'!$A$5:$A$2005,"&lt;="&amp;ReportTo)+SUMIFS('Sales Invoices'!$AB$5:$AB$2005,'Sales Invoices'!$H$5:$H$2005,$A46,'Sales Invoices'!$B$5:$B$2005,"&lt;="&amp;ReportTo)+SUMIFS('Payment Vouchers'!$R$5:$R$2005,'Payment Vouchers'!$B$5:$B$2005,$A46,'Payment Vouchers'!$A$5:$A$2005,"&lt;="&amp;ReportTo)+SUMIFS('Partner Transactions'!$T$5:$T$2005,'Partner Transactions'!$B$5:$B$2005,$A46,'Partner Transactions'!$A$5:$A$2005,"&lt;="&amp;ReportTo)+SUMIFS('Stock Moves'!$AP$5:$AP$2005,'Stock Moves'!$J$5:$J$2005,$A46,'Stock Moves'!$A$5:$A$2005,"&lt;="&amp;ReportTo)+SUMIFS('Journal Vouchers'!$R$5:$R$2005,'Journal Vouchers'!$E$5:$E$2005,$A46,'Journal Vouchers'!$B$5:$B$2005,"&lt;="&amp;ReportTo))</f>
        <v/>
      </c>
      <c r="C46" s="26">
        <f>IF(A46="",0,SUMIFS('Direct Costs'!$AK$5:$AK$2005,'Direct Costs'!$E$5:$E$2005,$A46,'Direct Costs'!$A$5:$A$2005,"&lt;="&amp;ReportTo)+SUMIFS('Operating Expenses'!$AF$5:$AF$2005,'Operating Expenses'!$E$5:$E$2005,$A46,'Operating Expenses'!$A$5:$A$2005,"&lt;="&amp;ReportTo)+SUMIFS('Payroll'!$AB$5:$AB$2005,'Payroll'!$C$5:$C$2005,$A46,'Payroll'!$A$5:$A$2005,"&lt;="&amp;ReportTo)+SUMIFS('Receipt Vouchers'!$AB$5:$AB$2005,'Receipt Vouchers'!$E$5:$E$2005,$A46,'Receipt Vouchers'!$A$5:$A$2005,"&lt;="&amp;ReportTo)+SUMIFS('Sales Invoices'!$AC$5:$AC$2005,'Sales Invoices'!$H$5:$H$2005,$A46,'Sales Invoices'!$B$5:$B$2005,"&lt;="&amp;ReportTo)+SUMIFS('Payment Vouchers'!$S$5:$S$2005,'Payment Vouchers'!$B$5:$B$2005,$A46,'Payment Vouchers'!$A$5:$A$2005,"&lt;="&amp;ReportTo)+SUMIFS('Partner Transactions'!$U$5:$U$2005,'Partner Transactions'!$B$5:$B$2005,$A46,'Partner Transactions'!$A$5:$A$2005,"&lt;="&amp;ReportTo)+SUMIFS('Stock Moves'!$AQ$5:$AQ$2005,'Stock Moves'!$J$5:$J$2005,$A46,'Stock Moves'!$A$5:$A$2005,"&lt;="&amp;ReportTo)+SUMIFS('Journal Vouchers'!$S$5:$S$2005,'Journal Vouchers'!$E$5:$E$2005,$A46,'Journal Vouchers'!$B$5:$B$2005,"&lt;="&amp;ReportTo))</f>
        <v/>
      </c>
      <c r="D46" s="26">
        <f>B46+C46</f>
        <v/>
      </c>
    </row>
    <row r="47">
      <c r="A47" s="25">
        <f>IF(Parties!A47="","",Parties!A47)</f>
        <v/>
      </c>
      <c r="B47" s="26">
        <f>IF(A47="",0,SUMIFS('Direct Costs'!$AJ$5:$AJ$2005,'Direct Costs'!$E$5:$E$2005,$A47,'Direct Costs'!$A$5:$A$2005,"&lt;="&amp;ReportTo)+SUMIFS('Operating Expenses'!$AE$5:$AE$2005,'Operating Expenses'!$E$5:$E$2005,$A47,'Operating Expenses'!$A$5:$A$2005,"&lt;="&amp;ReportTo)+SUMIFS('Payroll'!$AA$5:$AA$2005,'Payroll'!$C$5:$C$2005,$A47,'Payroll'!$A$5:$A$2005,"&lt;="&amp;ReportTo)+SUMIFS('Receipt Vouchers'!$AA$5:$AA$2005,'Receipt Vouchers'!$E$5:$E$2005,$A47,'Receipt Vouchers'!$A$5:$A$2005,"&lt;="&amp;ReportTo)+SUMIFS('Sales Invoices'!$AB$5:$AB$2005,'Sales Invoices'!$H$5:$H$2005,$A47,'Sales Invoices'!$B$5:$B$2005,"&lt;="&amp;ReportTo)+SUMIFS('Payment Vouchers'!$R$5:$R$2005,'Payment Vouchers'!$B$5:$B$2005,$A47,'Payment Vouchers'!$A$5:$A$2005,"&lt;="&amp;ReportTo)+SUMIFS('Partner Transactions'!$T$5:$T$2005,'Partner Transactions'!$B$5:$B$2005,$A47,'Partner Transactions'!$A$5:$A$2005,"&lt;="&amp;ReportTo)+SUMIFS('Stock Moves'!$AP$5:$AP$2005,'Stock Moves'!$J$5:$J$2005,$A47,'Stock Moves'!$A$5:$A$2005,"&lt;="&amp;ReportTo)+SUMIFS('Journal Vouchers'!$R$5:$R$2005,'Journal Vouchers'!$E$5:$E$2005,$A47,'Journal Vouchers'!$B$5:$B$2005,"&lt;="&amp;ReportTo))</f>
        <v/>
      </c>
      <c r="C47" s="26">
        <f>IF(A47="",0,SUMIFS('Direct Costs'!$AK$5:$AK$2005,'Direct Costs'!$E$5:$E$2005,$A47,'Direct Costs'!$A$5:$A$2005,"&lt;="&amp;ReportTo)+SUMIFS('Operating Expenses'!$AF$5:$AF$2005,'Operating Expenses'!$E$5:$E$2005,$A47,'Operating Expenses'!$A$5:$A$2005,"&lt;="&amp;ReportTo)+SUMIFS('Payroll'!$AB$5:$AB$2005,'Payroll'!$C$5:$C$2005,$A47,'Payroll'!$A$5:$A$2005,"&lt;="&amp;ReportTo)+SUMIFS('Receipt Vouchers'!$AB$5:$AB$2005,'Receipt Vouchers'!$E$5:$E$2005,$A47,'Receipt Vouchers'!$A$5:$A$2005,"&lt;="&amp;ReportTo)+SUMIFS('Sales Invoices'!$AC$5:$AC$2005,'Sales Invoices'!$H$5:$H$2005,$A47,'Sales Invoices'!$B$5:$B$2005,"&lt;="&amp;ReportTo)+SUMIFS('Payment Vouchers'!$S$5:$S$2005,'Payment Vouchers'!$B$5:$B$2005,$A47,'Payment Vouchers'!$A$5:$A$2005,"&lt;="&amp;ReportTo)+SUMIFS('Partner Transactions'!$U$5:$U$2005,'Partner Transactions'!$B$5:$B$2005,$A47,'Partner Transactions'!$A$5:$A$2005,"&lt;="&amp;ReportTo)+SUMIFS('Stock Moves'!$AQ$5:$AQ$2005,'Stock Moves'!$J$5:$J$2005,$A47,'Stock Moves'!$A$5:$A$2005,"&lt;="&amp;ReportTo)+SUMIFS('Journal Vouchers'!$S$5:$S$2005,'Journal Vouchers'!$E$5:$E$2005,$A47,'Journal Vouchers'!$B$5:$B$2005,"&lt;="&amp;ReportTo))</f>
        <v/>
      </c>
      <c r="D47" s="26">
        <f>B47+C47</f>
        <v/>
      </c>
    </row>
    <row r="48">
      <c r="A48" s="25">
        <f>IF(Parties!A48="","",Parties!A48)</f>
        <v/>
      </c>
      <c r="B48" s="26">
        <f>IF(A48="",0,SUMIFS('Direct Costs'!$AJ$5:$AJ$2005,'Direct Costs'!$E$5:$E$2005,$A48,'Direct Costs'!$A$5:$A$2005,"&lt;="&amp;ReportTo)+SUMIFS('Operating Expenses'!$AE$5:$AE$2005,'Operating Expenses'!$E$5:$E$2005,$A48,'Operating Expenses'!$A$5:$A$2005,"&lt;="&amp;ReportTo)+SUMIFS('Payroll'!$AA$5:$AA$2005,'Payroll'!$C$5:$C$2005,$A48,'Payroll'!$A$5:$A$2005,"&lt;="&amp;ReportTo)+SUMIFS('Receipt Vouchers'!$AA$5:$AA$2005,'Receipt Vouchers'!$E$5:$E$2005,$A48,'Receipt Vouchers'!$A$5:$A$2005,"&lt;="&amp;ReportTo)+SUMIFS('Sales Invoices'!$AB$5:$AB$2005,'Sales Invoices'!$H$5:$H$2005,$A48,'Sales Invoices'!$B$5:$B$2005,"&lt;="&amp;ReportTo)+SUMIFS('Payment Vouchers'!$R$5:$R$2005,'Payment Vouchers'!$B$5:$B$2005,$A48,'Payment Vouchers'!$A$5:$A$2005,"&lt;="&amp;ReportTo)+SUMIFS('Partner Transactions'!$T$5:$T$2005,'Partner Transactions'!$B$5:$B$2005,$A48,'Partner Transactions'!$A$5:$A$2005,"&lt;="&amp;ReportTo)+SUMIFS('Stock Moves'!$AP$5:$AP$2005,'Stock Moves'!$J$5:$J$2005,$A48,'Stock Moves'!$A$5:$A$2005,"&lt;="&amp;ReportTo)+SUMIFS('Journal Vouchers'!$R$5:$R$2005,'Journal Vouchers'!$E$5:$E$2005,$A48,'Journal Vouchers'!$B$5:$B$2005,"&lt;="&amp;ReportTo))</f>
        <v/>
      </c>
      <c r="C48" s="26">
        <f>IF(A48="",0,SUMIFS('Direct Costs'!$AK$5:$AK$2005,'Direct Costs'!$E$5:$E$2005,$A48,'Direct Costs'!$A$5:$A$2005,"&lt;="&amp;ReportTo)+SUMIFS('Operating Expenses'!$AF$5:$AF$2005,'Operating Expenses'!$E$5:$E$2005,$A48,'Operating Expenses'!$A$5:$A$2005,"&lt;="&amp;ReportTo)+SUMIFS('Payroll'!$AB$5:$AB$2005,'Payroll'!$C$5:$C$2005,$A48,'Payroll'!$A$5:$A$2005,"&lt;="&amp;ReportTo)+SUMIFS('Receipt Vouchers'!$AB$5:$AB$2005,'Receipt Vouchers'!$E$5:$E$2005,$A48,'Receipt Vouchers'!$A$5:$A$2005,"&lt;="&amp;ReportTo)+SUMIFS('Sales Invoices'!$AC$5:$AC$2005,'Sales Invoices'!$H$5:$H$2005,$A48,'Sales Invoices'!$B$5:$B$2005,"&lt;="&amp;ReportTo)+SUMIFS('Payment Vouchers'!$S$5:$S$2005,'Payment Vouchers'!$B$5:$B$2005,$A48,'Payment Vouchers'!$A$5:$A$2005,"&lt;="&amp;ReportTo)+SUMIFS('Partner Transactions'!$U$5:$U$2005,'Partner Transactions'!$B$5:$B$2005,$A48,'Partner Transactions'!$A$5:$A$2005,"&lt;="&amp;ReportTo)+SUMIFS('Stock Moves'!$AQ$5:$AQ$2005,'Stock Moves'!$J$5:$J$2005,$A48,'Stock Moves'!$A$5:$A$2005,"&lt;="&amp;ReportTo)+SUMIFS('Journal Vouchers'!$S$5:$S$2005,'Journal Vouchers'!$E$5:$E$2005,$A48,'Journal Vouchers'!$B$5:$B$2005,"&lt;="&amp;ReportTo))</f>
        <v/>
      </c>
      <c r="D48" s="26">
        <f>B48+C48</f>
        <v/>
      </c>
    </row>
    <row r="49">
      <c r="A49" s="25">
        <f>IF(Parties!A49="","",Parties!A49)</f>
        <v/>
      </c>
      <c r="B49" s="26">
        <f>IF(A49="",0,SUMIFS('Direct Costs'!$AJ$5:$AJ$2005,'Direct Costs'!$E$5:$E$2005,$A49,'Direct Costs'!$A$5:$A$2005,"&lt;="&amp;ReportTo)+SUMIFS('Operating Expenses'!$AE$5:$AE$2005,'Operating Expenses'!$E$5:$E$2005,$A49,'Operating Expenses'!$A$5:$A$2005,"&lt;="&amp;ReportTo)+SUMIFS('Payroll'!$AA$5:$AA$2005,'Payroll'!$C$5:$C$2005,$A49,'Payroll'!$A$5:$A$2005,"&lt;="&amp;ReportTo)+SUMIFS('Receipt Vouchers'!$AA$5:$AA$2005,'Receipt Vouchers'!$E$5:$E$2005,$A49,'Receipt Vouchers'!$A$5:$A$2005,"&lt;="&amp;ReportTo)+SUMIFS('Sales Invoices'!$AB$5:$AB$2005,'Sales Invoices'!$H$5:$H$2005,$A49,'Sales Invoices'!$B$5:$B$2005,"&lt;="&amp;ReportTo)+SUMIFS('Payment Vouchers'!$R$5:$R$2005,'Payment Vouchers'!$B$5:$B$2005,$A49,'Payment Vouchers'!$A$5:$A$2005,"&lt;="&amp;ReportTo)+SUMIFS('Partner Transactions'!$T$5:$T$2005,'Partner Transactions'!$B$5:$B$2005,$A49,'Partner Transactions'!$A$5:$A$2005,"&lt;="&amp;ReportTo)+SUMIFS('Stock Moves'!$AP$5:$AP$2005,'Stock Moves'!$J$5:$J$2005,$A49,'Stock Moves'!$A$5:$A$2005,"&lt;="&amp;ReportTo)+SUMIFS('Journal Vouchers'!$R$5:$R$2005,'Journal Vouchers'!$E$5:$E$2005,$A49,'Journal Vouchers'!$B$5:$B$2005,"&lt;="&amp;ReportTo))</f>
        <v/>
      </c>
      <c r="C49" s="26">
        <f>IF(A49="",0,SUMIFS('Direct Costs'!$AK$5:$AK$2005,'Direct Costs'!$E$5:$E$2005,$A49,'Direct Costs'!$A$5:$A$2005,"&lt;="&amp;ReportTo)+SUMIFS('Operating Expenses'!$AF$5:$AF$2005,'Operating Expenses'!$E$5:$E$2005,$A49,'Operating Expenses'!$A$5:$A$2005,"&lt;="&amp;ReportTo)+SUMIFS('Payroll'!$AB$5:$AB$2005,'Payroll'!$C$5:$C$2005,$A49,'Payroll'!$A$5:$A$2005,"&lt;="&amp;ReportTo)+SUMIFS('Receipt Vouchers'!$AB$5:$AB$2005,'Receipt Vouchers'!$E$5:$E$2005,$A49,'Receipt Vouchers'!$A$5:$A$2005,"&lt;="&amp;ReportTo)+SUMIFS('Sales Invoices'!$AC$5:$AC$2005,'Sales Invoices'!$H$5:$H$2005,$A49,'Sales Invoices'!$B$5:$B$2005,"&lt;="&amp;ReportTo)+SUMIFS('Payment Vouchers'!$S$5:$S$2005,'Payment Vouchers'!$B$5:$B$2005,$A49,'Payment Vouchers'!$A$5:$A$2005,"&lt;="&amp;ReportTo)+SUMIFS('Partner Transactions'!$U$5:$U$2005,'Partner Transactions'!$B$5:$B$2005,$A49,'Partner Transactions'!$A$5:$A$2005,"&lt;="&amp;ReportTo)+SUMIFS('Stock Moves'!$AQ$5:$AQ$2005,'Stock Moves'!$J$5:$J$2005,$A49,'Stock Moves'!$A$5:$A$2005,"&lt;="&amp;ReportTo)+SUMIFS('Journal Vouchers'!$S$5:$S$2005,'Journal Vouchers'!$E$5:$E$2005,$A49,'Journal Vouchers'!$B$5:$B$2005,"&lt;="&amp;ReportTo))</f>
        <v/>
      </c>
      <c r="D49" s="26">
        <f>B49+C49</f>
        <v/>
      </c>
    </row>
    <row r="50">
      <c r="A50" s="25">
        <f>IF(Parties!A50="","",Parties!A50)</f>
        <v/>
      </c>
      <c r="B50" s="26">
        <f>IF(A50="",0,SUMIFS('Direct Costs'!$AJ$5:$AJ$2005,'Direct Costs'!$E$5:$E$2005,$A50,'Direct Costs'!$A$5:$A$2005,"&lt;="&amp;ReportTo)+SUMIFS('Operating Expenses'!$AE$5:$AE$2005,'Operating Expenses'!$E$5:$E$2005,$A50,'Operating Expenses'!$A$5:$A$2005,"&lt;="&amp;ReportTo)+SUMIFS('Payroll'!$AA$5:$AA$2005,'Payroll'!$C$5:$C$2005,$A50,'Payroll'!$A$5:$A$2005,"&lt;="&amp;ReportTo)+SUMIFS('Receipt Vouchers'!$AA$5:$AA$2005,'Receipt Vouchers'!$E$5:$E$2005,$A50,'Receipt Vouchers'!$A$5:$A$2005,"&lt;="&amp;ReportTo)+SUMIFS('Sales Invoices'!$AB$5:$AB$2005,'Sales Invoices'!$H$5:$H$2005,$A50,'Sales Invoices'!$B$5:$B$2005,"&lt;="&amp;ReportTo)+SUMIFS('Payment Vouchers'!$R$5:$R$2005,'Payment Vouchers'!$B$5:$B$2005,$A50,'Payment Vouchers'!$A$5:$A$2005,"&lt;="&amp;ReportTo)+SUMIFS('Partner Transactions'!$T$5:$T$2005,'Partner Transactions'!$B$5:$B$2005,$A50,'Partner Transactions'!$A$5:$A$2005,"&lt;="&amp;ReportTo)+SUMIFS('Stock Moves'!$AP$5:$AP$2005,'Stock Moves'!$J$5:$J$2005,$A50,'Stock Moves'!$A$5:$A$2005,"&lt;="&amp;ReportTo)+SUMIFS('Journal Vouchers'!$R$5:$R$2005,'Journal Vouchers'!$E$5:$E$2005,$A50,'Journal Vouchers'!$B$5:$B$2005,"&lt;="&amp;ReportTo))</f>
        <v/>
      </c>
      <c r="C50" s="26">
        <f>IF(A50="",0,SUMIFS('Direct Costs'!$AK$5:$AK$2005,'Direct Costs'!$E$5:$E$2005,$A50,'Direct Costs'!$A$5:$A$2005,"&lt;="&amp;ReportTo)+SUMIFS('Operating Expenses'!$AF$5:$AF$2005,'Operating Expenses'!$E$5:$E$2005,$A50,'Operating Expenses'!$A$5:$A$2005,"&lt;="&amp;ReportTo)+SUMIFS('Payroll'!$AB$5:$AB$2005,'Payroll'!$C$5:$C$2005,$A50,'Payroll'!$A$5:$A$2005,"&lt;="&amp;ReportTo)+SUMIFS('Receipt Vouchers'!$AB$5:$AB$2005,'Receipt Vouchers'!$E$5:$E$2005,$A50,'Receipt Vouchers'!$A$5:$A$2005,"&lt;="&amp;ReportTo)+SUMIFS('Sales Invoices'!$AC$5:$AC$2005,'Sales Invoices'!$H$5:$H$2005,$A50,'Sales Invoices'!$B$5:$B$2005,"&lt;="&amp;ReportTo)+SUMIFS('Payment Vouchers'!$S$5:$S$2005,'Payment Vouchers'!$B$5:$B$2005,$A50,'Payment Vouchers'!$A$5:$A$2005,"&lt;="&amp;ReportTo)+SUMIFS('Partner Transactions'!$U$5:$U$2005,'Partner Transactions'!$B$5:$B$2005,$A50,'Partner Transactions'!$A$5:$A$2005,"&lt;="&amp;ReportTo)+SUMIFS('Stock Moves'!$AQ$5:$AQ$2005,'Stock Moves'!$J$5:$J$2005,$A50,'Stock Moves'!$A$5:$A$2005,"&lt;="&amp;ReportTo)+SUMIFS('Journal Vouchers'!$S$5:$S$2005,'Journal Vouchers'!$E$5:$E$2005,$A50,'Journal Vouchers'!$B$5:$B$2005,"&lt;="&amp;ReportTo))</f>
        <v/>
      </c>
      <c r="D50" s="26">
        <f>B50+C50</f>
        <v/>
      </c>
    </row>
    <row r="51">
      <c r="A51" s="25">
        <f>IF(Parties!A51="","",Parties!A51)</f>
        <v/>
      </c>
      <c r="B51" s="26">
        <f>IF(A51="",0,SUMIFS('Direct Costs'!$AJ$5:$AJ$2005,'Direct Costs'!$E$5:$E$2005,$A51,'Direct Costs'!$A$5:$A$2005,"&lt;="&amp;ReportTo)+SUMIFS('Operating Expenses'!$AE$5:$AE$2005,'Operating Expenses'!$E$5:$E$2005,$A51,'Operating Expenses'!$A$5:$A$2005,"&lt;="&amp;ReportTo)+SUMIFS('Payroll'!$AA$5:$AA$2005,'Payroll'!$C$5:$C$2005,$A51,'Payroll'!$A$5:$A$2005,"&lt;="&amp;ReportTo)+SUMIFS('Receipt Vouchers'!$AA$5:$AA$2005,'Receipt Vouchers'!$E$5:$E$2005,$A51,'Receipt Vouchers'!$A$5:$A$2005,"&lt;="&amp;ReportTo)+SUMIFS('Sales Invoices'!$AB$5:$AB$2005,'Sales Invoices'!$H$5:$H$2005,$A51,'Sales Invoices'!$B$5:$B$2005,"&lt;="&amp;ReportTo)+SUMIFS('Payment Vouchers'!$R$5:$R$2005,'Payment Vouchers'!$B$5:$B$2005,$A51,'Payment Vouchers'!$A$5:$A$2005,"&lt;="&amp;ReportTo)+SUMIFS('Partner Transactions'!$T$5:$T$2005,'Partner Transactions'!$B$5:$B$2005,$A51,'Partner Transactions'!$A$5:$A$2005,"&lt;="&amp;ReportTo)+SUMIFS('Stock Moves'!$AP$5:$AP$2005,'Stock Moves'!$J$5:$J$2005,$A51,'Stock Moves'!$A$5:$A$2005,"&lt;="&amp;ReportTo)+SUMIFS('Journal Vouchers'!$R$5:$R$2005,'Journal Vouchers'!$E$5:$E$2005,$A51,'Journal Vouchers'!$B$5:$B$2005,"&lt;="&amp;ReportTo))</f>
        <v/>
      </c>
      <c r="C51" s="26">
        <f>IF(A51="",0,SUMIFS('Direct Costs'!$AK$5:$AK$2005,'Direct Costs'!$E$5:$E$2005,$A51,'Direct Costs'!$A$5:$A$2005,"&lt;="&amp;ReportTo)+SUMIFS('Operating Expenses'!$AF$5:$AF$2005,'Operating Expenses'!$E$5:$E$2005,$A51,'Operating Expenses'!$A$5:$A$2005,"&lt;="&amp;ReportTo)+SUMIFS('Payroll'!$AB$5:$AB$2005,'Payroll'!$C$5:$C$2005,$A51,'Payroll'!$A$5:$A$2005,"&lt;="&amp;ReportTo)+SUMIFS('Receipt Vouchers'!$AB$5:$AB$2005,'Receipt Vouchers'!$E$5:$E$2005,$A51,'Receipt Vouchers'!$A$5:$A$2005,"&lt;="&amp;ReportTo)+SUMIFS('Sales Invoices'!$AC$5:$AC$2005,'Sales Invoices'!$H$5:$H$2005,$A51,'Sales Invoices'!$B$5:$B$2005,"&lt;="&amp;ReportTo)+SUMIFS('Payment Vouchers'!$S$5:$S$2005,'Payment Vouchers'!$B$5:$B$2005,$A51,'Payment Vouchers'!$A$5:$A$2005,"&lt;="&amp;ReportTo)+SUMIFS('Partner Transactions'!$U$5:$U$2005,'Partner Transactions'!$B$5:$B$2005,$A51,'Partner Transactions'!$A$5:$A$2005,"&lt;="&amp;ReportTo)+SUMIFS('Stock Moves'!$AQ$5:$AQ$2005,'Stock Moves'!$J$5:$J$2005,$A51,'Stock Moves'!$A$5:$A$2005,"&lt;="&amp;ReportTo)+SUMIFS('Journal Vouchers'!$S$5:$S$2005,'Journal Vouchers'!$E$5:$E$2005,$A51,'Journal Vouchers'!$B$5:$B$2005,"&lt;="&amp;ReportTo))</f>
        <v/>
      </c>
      <c r="D51" s="26">
        <f>B51+C51</f>
        <v/>
      </c>
    </row>
    <row r="52">
      <c r="A52" s="25">
        <f>IF(Parties!A52="","",Parties!A52)</f>
        <v/>
      </c>
      <c r="B52" s="26">
        <f>IF(A52="",0,SUMIFS('Direct Costs'!$AJ$5:$AJ$2005,'Direct Costs'!$E$5:$E$2005,$A52,'Direct Costs'!$A$5:$A$2005,"&lt;="&amp;ReportTo)+SUMIFS('Operating Expenses'!$AE$5:$AE$2005,'Operating Expenses'!$E$5:$E$2005,$A52,'Operating Expenses'!$A$5:$A$2005,"&lt;="&amp;ReportTo)+SUMIFS('Payroll'!$AA$5:$AA$2005,'Payroll'!$C$5:$C$2005,$A52,'Payroll'!$A$5:$A$2005,"&lt;="&amp;ReportTo)+SUMIFS('Receipt Vouchers'!$AA$5:$AA$2005,'Receipt Vouchers'!$E$5:$E$2005,$A52,'Receipt Vouchers'!$A$5:$A$2005,"&lt;="&amp;ReportTo)+SUMIFS('Sales Invoices'!$AB$5:$AB$2005,'Sales Invoices'!$H$5:$H$2005,$A52,'Sales Invoices'!$B$5:$B$2005,"&lt;="&amp;ReportTo)+SUMIFS('Payment Vouchers'!$R$5:$R$2005,'Payment Vouchers'!$B$5:$B$2005,$A52,'Payment Vouchers'!$A$5:$A$2005,"&lt;="&amp;ReportTo)+SUMIFS('Partner Transactions'!$T$5:$T$2005,'Partner Transactions'!$B$5:$B$2005,$A52,'Partner Transactions'!$A$5:$A$2005,"&lt;="&amp;ReportTo)+SUMIFS('Stock Moves'!$AP$5:$AP$2005,'Stock Moves'!$J$5:$J$2005,$A52,'Stock Moves'!$A$5:$A$2005,"&lt;="&amp;ReportTo)+SUMIFS('Journal Vouchers'!$R$5:$R$2005,'Journal Vouchers'!$E$5:$E$2005,$A52,'Journal Vouchers'!$B$5:$B$2005,"&lt;="&amp;ReportTo))</f>
        <v/>
      </c>
      <c r="C52" s="26">
        <f>IF(A52="",0,SUMIFS('Direct Costs'!$AK$5:$AK$2005,'Direct Costs'!$E$5:$E$2005,$A52,'Direct Costs'!$A$5:$A$2005,"&lt;="&amp;ReportTo)+SUMIFS('Operating Expenses'!$AF$5:$AF$2005,'Operating Expenses'!$E$5:$E$2005,$A52,'Operating Expenses'!$A$5:$A$2005,"&lt;="&amp;ReportTo)+SUMIFS('Payroll'!$AB$5:$AB$2005,'Payroll'!$C$5:$C$2005,$A52,'Payroll'!$A$5:$A$2005,"&lt;="&amp;ReportTo)+SUMIFS('Receipt Vouchers'!$AB$5:$AB$2005,'Receipt Vouchers'!$E$5:$E$2005,$A52,'Receipt Vouchers'!$A$5:$A$2005,"&lt;="&amp;ReportTo)+SUMIFS('Sales Invoices'!$AC$5:$AC$2005,'Sales Invoices'!$H$5:$H$2005,$A52,'Sales Invoices'!$B$5:$B$2005,"&lt;="&amp;ReportTo)+SUMIFS('Payment Vouchers'!$S$5:$S$2005,'Payment Vouchers'!$B$5:$B$2005,$A52,'Payment Vouchers'!$A$5:$A$2005,"&lt;="&amp;ReportTo)+SUMIFS('Partner Transactions'!$U$5:$U$2005,'Partner Transactions'!$B$5:$B$2005,$A52,'Partner Transactions'!$A$5:$A$2005,"&lt;="&amp;ReportTo)+SUMIFS('Stock Moves'!$AQ$5:$AQ$2005,'Stock Moves'!$J$5:$J$2005,$A52,'Stock Moves'!$A$5:$A$2005,"&lt;="&amp;ReportTo)+SUMIFS('Journal Vouchers'!$S$5:$S$2005,'Journal Vouchers'!$E$5:$E$2005,$A52,'Journal Vouchers'!$B$5:$B$2005,"&lt;="&amp;ReportTo))</f>
        <v/>
      </c>
      <c r="D52" s="26">
        <f>B52+C52</f>
        <v/>
      </c>
    </row>
    <row r="53">
      <c r="A53" s="25">
        <f>IF(Parties!A53="","",Parties!A53)</f>
        <v/>
      </c>
      <c r="B53" s="26">
        <f>IF(A53="",0,SUMIFS('Direct Costs'!$AJ$5:$AJ$2005,'Direct Costs'!$E$5:$E$2005,$A53,'Direct Costs'!$A$5:$A$2005,"&lt;="&amp;ReportTo)+SUMIFS('Operating Expenses'!$AE$5:$AE$2005,'Operating Expenses'!$E$5:$E$2005,$A53,'Operating Expenses'!$A$5:$A$2005,"&lt;="&amp;ReportTo)+SUMIFS('Payroll'!$AA$5:$AA$2005,'Payroll'!$C$5:$C$2005,$A53,'Payroll'!$A$5:$A$2005,"&lt;="&amp;ReportTo)+SUMIFS('Receipt Vouchers'!$AA$5:$AA$2005,'Receipt Vouchers'!$E$5:$E$2005,$A53,'Receipt Vouchers'!$A$5:$A$2005,"&lt;="&amp;ReportTo)+SUMIFS('Sales Invoices'!$AB$5:$AB$2005,'Sales Invoices'!$H$5:$H$2005,$A53,'Sales Invoices'!$B$5:$B$2005,"&lt;="&amp;ReportTo)+SUMIFS('Payment Vouchers'!$R$5:$R$2005,'Payment Vouchers'!$B$5:$B$2005,$A53,'Payment Vouchers'!$A$5:$A$2005,"&lt;="&amp;ReportTo)+SUMIFS('Partner Transactions'!$T$5:$T$2005,'Partner Transactions'!$B$5:$B$2005,$A53,'Partner Transactions'!$A$5:$A$2005,"&lt;="&amp;ReportTo)+SUMIFS('Stock Moves'!$AP$5:$AP$2005,'Stock Moves'!$J$5:$J$2005,$A53,'Stock Moves'!$A$5:$A$2005,"&lt;="&amp;ReportTo)+SUMIFS('Journal Vouchers'!$R$5:$R$2005,'Journal Vouchers'!$E$5:$E$2005,$A53,'Journal Vouchers'!$B$5:$B$2005,"&lt;="&amp;ReportTo))</f>
        <v/>
      </c>
      <c r="C53" s="26">
        <f>IF(A53="",0,SUMIFS('Direct Costs'!$AK$5:$AK$2005,'Direct Costs'!$E$5:$E$2005,$A53,'Direct Costs'!$A$5:$A$2005,"&lt;="&amp;ReportTo)+SUMIFS('Operating Expenses'!$AF$5:$AF$2005,'Operating Expenses'!$E$5:$E$2005,$A53,'Operating Expenses'!$A$5:$A$2005,"&lt;="&amp;ReportTo)+SUMIFS('Payroll'!$AB$5:$AB$2005,'Payroll'!$C$5:$C$2005,$A53,'Payroll'!$A$5:$A$2005,"&lt;="&amp;ReportTo)+SUMIFS('Receipt Vouchers'!$AB$5:$AB$2005,'Receipt Vouchers'!$E$5:$E$2005,$A53,'Receipt Vouchers'!$A$5:$A$2005,"&lt;="&amp;ReportTo)+SUMIFS('Sales Invoices'!$AC$5:$AC$2005,'Sales Invoices'!$H$5:$H$2005,$A53,'Sales Invoices'!$B$5:$B$2005,"&lt;="&amp;ReportTo)+SUMIFS('Payment Vouchers'!$S$5:$S$2005,'Payment Vouchers'!$B$5:$B$2005,$A53,'Payment Vouchers'!$A$5:$A$2005,"&lt;="&amp;ReportTo)+SUMIFS('Partner Transactions'!$U$5:$U$2005,'Partner Transactions'!$B$5:$B$2005,$A53,'Partner Transactions'!$A$5:$A$2005,"&lt;="&amp;ReportTo)+SUMIFS('Stock Moves'!$AQ$5:$AQ$2005,'Stock Moves'!$J$5:$J$2005,$A53,'Stock Moves'!$A$5:$A$2005,"&lt;="&amp;ReportTo)+SUMIFS('Journal Vouchers'!$S$5:$S$2005,'Journal Vouchers'!$E$5:$E$2005,$A53,'Journal Vouchers'!$B$5:$B$2005,"&lt;="&amp;ReportTo))</f>
        <v/>
      </c>
      <c r="D53" s="26">
        <f>B53+C53</f>
        <v/>
      </c>
    </row>
    <row r="54">
      <c r="A54" s="25">
        <f>IF(Parties!A54="","",Parties!A54)</f>
        <v/>
      </c>
      <c r="B54" s="26">
        <f>IF(A54="",0,SUMIFS('Direct Costs'!$AJ$5:$AJ$2005,'Direct Costs'!$E$5:$E$2005,$A54,'Direct Costs'!$A$5:$A$2005,"&lt;="&amp;ReportTo)+SUMIFS('Operating Expenses'!$AE$5:$AE$2005,'Operating Expenses'!$E$5:$E$2005,$A54,'Operating Expenses'!$A$5:$A$2005,"&lt;="&amp;ReportTo)+SUMIFS('Payroll'!$AA$5:$AA$2005,'Payroll'!$C$5:$C$2005,$A54,'Payroll'!$A$5:$A$2005,"&lt;="&amp;ReportTo)+SUMIFS('Receipt Vouchers'!$AA$5:$AA$2005,'Receipt Vouchers'!$E$5:$E$2005,$A54,'Receipt Vouchers'!$A$5:$A$2005,"&lt;="&amp;ReportTo)+SUMIFS('Sales Invoices'!$AB$5:$AB$2005,'Sales Invoices'!$H$5:$H$2005,$A54,'Sales Invoices'!$B$5:$B$2005,"&lt;="&amp;ReportTo)+SUMIFS('Payment Vouchers'!$R$5:$R$2005,'Payment Vouchers'!$B$5:$B$2005,$A54,'Payment Vouchers'!$A$5:$A$2005,"&lt;="&amp;ReportTo)+SUMIFS('Partner Transactions'!$T$5:$T$2005,'Partner Transactions'!$B$5:$B$2005,$A54,'Partner Transactions'!$A$5:$A$2005,"&lt;="&amp;ReportTo)+SUMIFS('Stock Moves'!$AP$5:$AP$2005,'Stock Moves'!$J$5:$J$2005,$A54,'Stock Moves'!$A$5:$A$2005,"&lt;="&amp;ReportTo)+SUMIFS('Journal Vouchers'!$R$5:$R$2005,'Journal Vouchers'!$E$5:$E$2005,$A54,'Journal Vouchers'!$B$5:$B$2005,"&lt;="&amp;ReportTo))</f>
        <v/>
      </c>
      <c r="C54" s="26">
        <f>IF(A54="",0,SUMIFS('Direct Costs'!$AK$5:$AK$2005,'Direct Costs'!$E$5:$E$2005,$A54,'Direct Costs'!$A$5:$A$2005,"&lt;="&amp;ReportTo)+SUMIFS('Operating Expenses'!$AF$5:$AF$2005,'Operating Expenses'!$E$5:$E$2005,$A54,'Operating Expenses'!$A$5:$A$2005,"&lt;="&amp;ReportTo)+SUMIFS('Payroll'!$AB$5:$AB$2005,'Payroll'!$C$5:$C$2005,$A54,'Payroll'!$A$5:$A$2005,"&lt;="&amp;ReportTo)+SUMIFS('Receipt Vouchers'!$AB$5:$AB$2005,'Receipt Vouchers'!$E$5:$E$2005,$A54,'Receipt Vouchers'!$A$5:$A$2005,"&lt;="&amp;ReportTo)+SUMIFS('Sales Invoices'!$AC$5:$AC$2005,'Sales Invoices'!$H$5:$H$2005,$A54,'Sales Invoices'!$B$5:$B$2005,"&lt;="&amp;ReportTo)+SUMIFS('Payment Vouchers'!$S$5:$S$2005,'Payment Vouchers'!$B$5:$B$2005,$A54,'Payment Vouchers'!$A$5:$A$2005,"&lt;="&amp;ReportTo)+SUMIFS('Partner Transactions'!$U$5:$U$2005,'Partner Transactions'!$B$5:$B$2005,$A54,'Partner Transactions'!$A$5:$A$2005,"&lt;="&amp;ReportTo)+SUMIFS('Stock Moves'!$AQ$5:$AQ$2005,'Stock Moves'!$J$5:$J$2005,$A54,'Stock Moves'!$A$5:$A$2005,"&lt;="&amp;ReportTo)+SUMIFS('Journal Vouchers'!$S$5:$S$2005,'Journal Vouchers'!$E$5:$E$2005,$A54,'Journal Vouchers'!$B$5:$B$2005,"&lt;="&amp;ReportTo))</f>
        <v/>
      </c>
      <c r="D54" s="26">
        <f>B54+C54</f>
        <v/>
      </c>
    </row>
    <row r="55">
      <c r="A55" s="25">
        <f>IF(Parties!A55="","",Parties!A55)</f>
        <v/>
      </c>
      <c r="B55" s="26">
        <f>IF(A55="",0,SUMIFS('Direct Costs'!$AJ$5:$AJ$2005,'Direct Costs'!$E$5:$E$2005,$A55,'Direct Costs'!$A$5:$A$2005,"&lt;="&amp;ReportTo)+SUMIFS('Operating Expenses'!$AE$5:$AE$2005,'Operating Expenses'!$E$5:$E$2005,$A55,'Operating Expenses'!$A$5:$A$2005,"&lt;="&amp;ReportTo)+SUMIFS('Payroll'!$AA$5:$AA$2005,'Payroll'!$C$5:$C$2005,$A55,'Payroll'!$A$5:$A$2005,"&lt;="&amp;ReportTo)+SUMIFS('Receipt Vouchers'!$AA$5:$AA$2005,'Receipt Vouchers'!$E$5:$E$2005,$A55,'Receipt Vouchers'!$A$5:$A$2005,"&lt;="&amp;ReportTo)+SUMIFS('Sales Invoices'!$AB$5:$AB$2005,'Sales Invoices'!$H$5:$H$2005,$A55,'Sales Invoices'!$B$5:$B$2005,"&lt;="&amp;ReportTo)+SUMIFS('Payment Vouchers'!$R$5:$R$2005,'Payment Vouchers'!$B$5:$B$2005,$A55,'Payment Vouchers'!$A$5:$A$2005,"&lt;="&amp;ReportTo)+SUMIFS('Partner Transactions'!$T$5:$T$2005,'Partner Transactions'!$B$5:$B$2005,$A55,'Partner Transactions'!$A$5:$A$2005,"&lt;="&amp;ReportTo)+SUMIFS('Stock Moves'!$AP$5:$AP$2005,'Stock Moves'!$J$5:$J$2005,$A55,'Stock Moves'!$A$5:$A$2005,"&lt;="&amp;ReportTo)+SUMIFS('Journal Vouchers'!$R$5:$R$2005,'Journal Vouchers'!$E$5:$E$2005,$A55,'Journal Vouchers'!$B$5:$B$2005,"&lt;="&amp;ReportTo))</f>
        <v/>
      </c>
      <c r="C55" s="26">
        <f>IF(A55="",0,SUMIFS('Direct Costs'!$AK$5:$AK$2005,'Direct Costs'!$E$5:$E$2005,$A55,'Direct Costs'!$A$5:$A$2005,"&lt;="&amp;ReportTo)+SUMIFS('Operating Expenses'!$AF$5:$AF$2005,'Operating Expenses'!$E$5:$E$2005,$A55,'Operating Expenses'!$A$5:$A$2005,"&lt;="&amp;ReportTo)+SUMIFS('Payroll'!$AB$5:$AB$2005,'Payroll'!$C$5:$C$2005,$A55,'Payroll'!$A$5:$A$2005,"&lt;="&amp;ReportTo)+SUMIFS('Receipt Vouchers'!$AB$5:$AB$2005,'Receipt Vouchers'!$E$5:$E$2005,$A55,'Receipt Vouchers'!$A$5:$A$2005,"&lt;="&amp;ReportTo)+SUMIFS('Sales Invoices'!$AC$5:$AC$2005,'Sales Invoices'!$H$5:$H$2005,$A55,'Sales Invoices'!$B$5:$B$2005,"&lt;="&amp;ReportTo)+SUMIFS('Payment Vouchers'!$S$5:$S$2005,'Payment Vouchers'!$B$5:$B$2005,$A55,'Payment Vouchers'!$A$5:$A$2005,"&lt;="&amp;ReportTo)+SUMIFS('Partner Transactions'!$U$5:$U$2005,'Partner Transactions'!$B$5:$B$2005,$A55,'Partner Transactions'!$A$5:$A$2005,"&lt;="&amp;ReportTo)+SUMIFS('Stock Moves'!$AQ$5:$AQ$2005,'Stock Moves'!$J$5:$J$2005,$A55,'Stock Moves'!$A$5:$A$2005,"&lt;="&amp;ReportTo)+SUMIFS('Journal Vouchers'!$S$5:$S$2005,'Journal Vouchers'!$E$5:$E$2005,$A55,'Journal Vouchers'!$B$5:$B$2005,"&lt;="&amp;ReportTo))</f>
        <v/>
      </c>
      <c r="D55" s="26">
        <f>B55+C55</f>
        <v/>
      </c>
    </row>
    <row r="56">
      <c r="A56" s="25">
        <f>IF(Parties!A56="","",Parties!A56)</f>
        <v/>
      </c>
      <c r="B56" s="26">
        <f>IF(A56="",0,SUMIFS('Direct Costs'!$AJ$5:$AJ$2005,'Direct Costs'!$E$5:$E$2005,$A56,'Direct Costs'!$A$5:$A$2005,"&lt;="&amp;ReportTo)+SUMIFS('Operating Expenses'!$AE$5:$AE$2005,'Operating Expenses'!$E$5:$E$2005,$A56,'Operating Expenses'!$A$5:$A$2005,"&lt;="&amp;ReportTo)+SUMIFS('Payroll'!$AA$5:$AA$2005,'Payroll'!$C$5:$C$2005,$A56,'Payroll'!$A$5:$A$2005,"&lt;="&amp;ReportTo)+SUMIFS('Receipt Vouchers'!$AA$5:$AA$2005,'Receipt Vouchers'!$E$5:$E$2005,$A56,'Receipt Vouchers'!$A$5:$A$2005,"&lt;="&amp;ReportTo)+SUMIFS('Sales Invoices'!$AB$5:$AB$2005,'Sales Invoices'!$H$5:$H$2005,$A56,'Sales Invoices'!$B$5:$B$2005,"&lt;="&amp;ReportTo)+SUMIFS('Payment Vouchers'!$R$5:$R$2005,'Payment Vouchers'!$B$5:$B$2005,$A56,'Payment Vouchers'!$A$5:$A$2005,"&lt;="&amp;ReportTo)+SUMIFS('Partner Transactions'!$T$5:$T$2005,'Partner Transactions'!$B$5:$B$2005,$A56,'Partner Transactions'!$A$5:$A$2005,"&lt;="&amp;ReportTo)+SUMIFS('Stock Moves'!$AP$5:$AP$2005,'Stock Moves'!$J$5:$J$2005,$A56,'Stock Moves'!$A$5:$A$2005,"&lt;="&amp;ReportTo)+SUMIFS('Journal Vouchers'!$R$5:$R$2005,'Journal Vouchers'!$E$5:$E$2005,$A56,'Journal Vouchers'!$B$5:$B$2005,"&lt;="&amp;ReportTo))</f>
        <v/>
      </c>
      <c r="C56" s="26">
        <f>IF(A56="",0,SUMIFS('Direct Costs'!$AK$5:$AK$2005,'Direct Costs'!$E$5:$E$2005,$A56,'Direct Costs'!$A$5:$A$2005,"&lt;="&amp;ReportTo)+SUMIFS('Operating Expenses'!$AF$5:$AF$2005,'Operating Expenses'!$E$5:$E$2005,$A56,'Operating Expenses'!$A$5:$A$2005,"&lt;="&amp;ReportTo)+SUMIFS('Payroll'!$AB$5:$AB$2005,'Payroll'!$C$5:$C$2005,$A56,'Payroll'!$A$5:$A$2005,"&lt;="&amp;ReportTo)+SUMIFS('Receipt Vouchers'!$AB$5:$AB$2005,'Receipt Vouchers'!$E$5:$E$2005,$A56,'Receipt Vouchers'!$A$5:$A$2005,"&lt;="&amp;ReportTo)+SUMIFS('Sales Invoices'!$AC$5:$AC$2005,'Sales Invoices'!$H$5:$H$2005,$A56,'Sales Invoices'!$B$5:$B$2005,"&lt;="&amp;ReportTo)+SUMIFS('Payment Vouchers'!$S$5:$S$2005,'Payment Vouchers'!$B$5:$B$2005,$A56,'Payment Vouchers'!$A$5:$A$2005,"&lt;="&amp;ReportTo)+SUMIFS('Partner Transactions'!$U$5:$U$2005,'Partner Transactions'!$B$5:$B$2005,$A56,'Partner Transactions'!$A$5:$A$2005,"&lt;="&amp;ReportTo)+SUMIFS('Stock Moves'!$AQ$5:$AQ$2005,'Stock Moves'!$J$5:$J$2005,$A56,'Stock Moves'!$A$5:$A$2005,"&lt;="&amp;ReportTo)+SUMIFS('Journal Vouchers'!$S$5:$S$2005,'Journal Vouchers'!$E$5:$E$2005,$A56,'Journal Vouchers'!$B$5:$B$2005,"&lt;="&amp;ReportTo))</f>
        <v/>
      </c>
      <c r="D56" s="26">
        <f>B56+C56</f>
        <v/>
      </c>
    </row>
    <row r="57">
      <c r="A57" s="25">
        <f>IF(Parties!A57="","",Parties!A57)</f>
        <v/>
      </c>
      <c r="B57" s="26">
        <f>IF(A57="",0,SUMIFS('Direct Costs'!$AJ$5:$AJ$2005,'Direct Costs'!$E$5:$E$2005,$A57,'Direct Costs'!$A$5:$A$2005,"&lt;="&amp;ReportTo)+SUMIFS('Operating Expenses'!$AE$5:$AE$2005,'Operating Expenses'!$E$5:$E$2005,$A57,'Operating Expenses'!$A$5:$A$2005,"&lt;="&amp;ReportTo)+SUMIFS('Payroll'!$AA$5:$AA$2005,'Payroll'!$C$5:$C$2005,$A57,'Payroll'!$A$5:$A$2005,"&lt;="&amp;ReportTo)+SUMIFS('Receipt Vouchers'!$AA$5:$AA$2005,'Receipt Vouchers'!$E$5:$E$2005,$A57,'Receipt Vouchers'!$A$5:$A$2005,"&lt;="&amp;ReportTo)+SUMIFS('Sales Invoices'!$AB$5:$AB$2005,'Sales Invoices'!$H$5:$H$2005,$A57,'Sales Invoices'!$B$5:$B$2005,"&lt;="&amp;ReportTo)+SUMIFS('Payment Vouchers'!$R$5:$R$2005,'Payment Vouchers'!$B$5:$B$2005,$A57,'Payment Vouchers'!$A$5:$A$2005,"&lt;="&amp;ReportTo)+SUMIFS('Partner Transactions'!$T$5:$T$2005,'Partner Transactions'!$B$5:$B$2005,$A57,'Partner Transactions'!$A$5:$A$2005,"&lt;="&amp;ReportTo)+SUMIFS('Stock Moves'!$AP$5:$AP$2005,'Stock Moves'!$J$5:$J$2005,$A57,'Stock Moves'!$A$5:$A$2005,"&lt;="&amp;ReportTo)+SUMIFS('Journal Vouchers'!$R$5:$R$2005,'Journal Vouchers'!$E$5:$E$2005,$A57,'Journal Vouchers'!$B$5:$B$2005,"&lt;="&amp;ReportTo))</f>
        <v/>
      </c>
      <c r="C57" s="26">
        <f>IF(A57="",0,SUMIFS('Direct Costs'!$AK$5:$AK$2005,'Direct Costs'!$E$5:$E$2005,$A57,'Direct Costs'!$A$5:$A$2005,"&lt;="&amp;ReportTo)+SUMIFS('Operating Expenses'!$AF$5:$AF$2005,'Operating Expenses'!$E$5:$E$2005,$A57,'Operating Expenses'!$A$5:$A$2005,"&lt;="&amp;ReportTo)+SUMIFS('Payroll'!$AB$5:$AB$2005,'Payroll'!$C$5:$C$2005,$A57,'Payroll'!$A$5:$A$2005,"&lt;="&amp;ReportTo)+SUMIFS('Receipt Vouchers'!$AB$5:$AB$2005,'Receipt Vouchers'!$E$5:$E$2005,$A57,'Receipt Vouchers'!$A$5:$A$2005,"&lt;="&amp;ReportTo)+SUMIFS('Sales Invoices'!$AC$5:$AC$2005,'Sales Invoices'!$H$5:$H$2005,$A57,'Sales Invoices'!$B$5:$B$2005,"&lt;="&amp;ReportTo)+SUMIFS('Payment Vouchers'!$S$5:$S$2005,'Payment Vouchers'!$B$5:$B$2005,$A57,'Payment Vouchers'!$A$5:$A$2005,"&lt;="&amp;ReportTo)+SUMIFS('Partner Transactions'!$U$5:$U$2005,'Partner Transactions'!$B$5:$B$2005,$A57,'Partner Transactions'!$A$5:$A$2005,"&lt;="&amp;ReportTo)+SUMIFS('Stock Moves'!$AQ$5:$AQ$2005,'Stock Moves'!$J$5:$J$2005,$A57,'Stock Moves'!$A$5:$A$2005,"&lt;="&amp;ReportTo)+SUMIFS('Journal Vouchers'!$S$5:$S$2005,'Journal Vouchers'!$E$5:$E$2005,$A57,'Journal Vouchers'!$B$5:$B$2005,"&lt;="&amp;ReportTo))</f>
        <v/>
      </c>
      <c r="D57" s="26">
        <f>B57+C57</f>
        <v/>
      </c>
    </row>
    <row r="58">
      <c r="A58" s="25">
        <f>IF(Parties!A58="","",Parties!A58)</f>
        <v/>
      </c>
      <c r="B58" s="26">
        <f>IF(A58="",0,SUMIFS('Direct Costs'!$AJ$5:$AJ$2005,'Direct Costs'!$E$5:$E$2005,$A58,'Direct Costs'!$A$5:$A$2005,"&lt;="&amp;ReportTo)+SUMIFS('Operating Expenses'!$AE$5:$AE$2005,'Operating Expenses'!$E$5:$E$2005,$A58,'Operating Expenses'!$A$5:$A$2005,"&lt;="&amp;ReportTo)+SUMIFS('Payroll'!$AA$5:$AA$2005,'Payroll'!$C$5:$C$2005,$A58,'Payroll'!$A$5:$A$2005,"&lt;="&amp;ReportTo)+SUMIFS('Receipt Vouchers'!$AA$5:$AA$2005,'Receipt Vouchers'!$E$5:$E$2005,$A58,'Receipt Vouchers'!$A$5:$A$2005,"&lt;="&amp;ReportTo)+SUMIFS('Sales Invoices'!$AB$5:$AB$2005,'Sales Invoices'!$H$5:$H$2005,$A58,'Sales Invoices'!$B$5:$B$2005,"&lt;="&amp;ReportTo)+SUMIFS('Payment Vouchers'!$R$5:$R$2005,'Payment Vouchers'!$B$5:$B$2005,$A58,'Payment Vouchers'!$A$5:$A$2005,"&lt;="&amp;ReportTo)+SUMIFS('Partner Transactions'!$T$5:$T$2005,'Partner Transactions'!$B$5:$B$2005,$A58,'Partner Transactions'!$A$5:$A$2005,"&lt;="&amp;ReportTo)+SUMIFS('Stock Moves'!$AP$5:$AP$2005,'Stock Moves'!$J$5:$J$2005,$A58,'Stock Moves'!$A$5:$A$2005,"&lt;="&amp;ReportTo)+SUMIFS('Journal Vouchers'!$R$5:$R$2005,'Journal Vouchers'!$E$5:$E$2005,$A58,'Journal Vouchers'!$B$5:$B$2005,"&lt;="&amp;ReportTo))</f>
        <v/>
      </c>
      <c r="C58" s="26">
        <f>IF(A58="",0,SUMIFS('Direct Costs'!$AK$5:$AK$2005,'Direct Costs'!$E$5:$E$2005,$A58,'Direct Costs'!$A$5:$A$2005,"&lt;="&amp;ReportTo)+SUMIFS('Operating Expenses'!$AF$5:$AF$2005,'Operating Expenses'!$E$5:$E$2005,$A58,'Operating Expenses'!$A$5:$A$2005,"&lt;="&amp;ReportTo)+SUMIFS('Payroll'!$AB$5:$AB$2005,'Payroll'!$C$5:$C$2005,$A58,'Payroll'!$A$5:$A$2005,"&lt;="&amp;ReportTo)+SUMIFS('Receipt Vouchers'!$AB$5:$AB$2005,'Receipt Vouchers'!$E$5:$E$2005,$A58,'Receipt Vouchers'!$A$5:$A$2005,"&lt;="&amp;ReportTo)+SUMIFS('Sales Invoices'!$AC$5:$AC$2005,'Sales Invoices'!$H$5:$H$2005,$A58,'Sales Invoices'!$B$5:$B$2005,"&lt;="&amp;ReportTo)+SUMIFS('Payment Vouchers'!$S$5:$S$2005,'Payment Vouchers'!$B$5:$B$2005,$A58,'Payment Vouchers'!$A$5:$A$2005,"&lt;="&amp;ReportTo)+SUMIFS('Partner Transactions'!$U$5:$U$2005,'Partner Transactions'!$B$5:$B$2005,$A58,'Partner Transactions'!$A$5:$A$2005,"&lt;="&amp;ReportTo)+SUMIFS('Stock Moves'!$AQ$5:$AQ$2005,'Stock Moves'!$J$5:$J$2005,$A58,'Stock Moves'!$A$5:$A$2005,"&lt;="&amp;ReportTo)+SUMIFS('Journal Vouchers'!$S$5:$S$2005,'Journal Vouchers'!$E$5:$E$2005,$A58,'Journal Vouchers'!$B$5:$B$2005,"&lt;="&amp;ReportTo))</f>
        <v/>
      </c>
      <c r="D58" s="26">
        <f>B58+C58</f>
        <v/>
      </c>
    </row>
    <row r="59">
      <c r="A59" s="25">
        <f>IF(Parties!A59="","",Parties!A59)</f>
        <v/>
      </c>
      <c r="B59" s="26">
        <f>IF(A59="",0,SUMIFS('Direct Costs'!$AJ$5:$AJ$2005,'Direct Costs'!$E$5:$E$2005,$A59,'Direct Costs'!$A$5:$A$2005,"&lt;="&amp;ReportTo)+SUMIFS('Operating Expenses'!$AE$5:$AE$2005,'Operating Expenses'!$E$5:$E$2005,$A59,'Operating Expenses'!$A$5:$A$2005,"&lt;="&amp;ReportTo)+SUMIFS('Payroll'!$AA$5:$AA$2005,'Payroll'!$C$5:$C$2005,$A59,'Payroll'!$A$5:$A$2005,"&lt;="&amp;ReportTo)+SUMIFS('Receipt Vouchers'!$AA$5:$AA$2005,'Receipt Vouchers'!$E$5:$E$2005,$A59,'Receipt Vouchers'!$A$5:$A$2005,"&lt;="&amp;ReportTo)+SUMIFS('Sales Invoices'!$AB$5:$AB$2005,'Sales Invoices'!$H$5:$H$2005,$A59,'Sales Invoices'!$B$5:$B$2005,"&lt;="&amp;ReportTo)+SUMIFS('Payment Vouchers'!$R$5:$R$2005,'Payment Vouchers'!$B$5:$B$2005,$A59,'Payment Vouchers'!$A$5:$A$2005,"&lt;="&amp;ReportTo)+SUMIFS('Partner Transactions'!$T$5:$T$2005,'Partner Transactions'!$B$5:$B$2005,$A59,'Partner Transactions'!$A$5:$A$2005,"&lt;="&amp;ReportTo)+SUMIFS('Stock Moves'!$AP$5:$AP$2005,'Stock Moves'!$J$5:$J$2005,$A59,'Stock Moves'!$A$5:$A$2005,"&lt;="&amp;ReportTo)+SUMIFS('Journal Vouchers'!$R$5:$R$2005,'Journal Vouchers'!$E$5:$E$2005,$A59,'Journal Vouchers'!$B$5:$B$2005,"&lt;="&amp;ReportTo))</f>
        <v/>
      </c>
      <c r="C59" s="26">
        <f>IF(A59="",0,SUMIFS('Direct Costs'!$AK$5:$AK$2005,'Direct Costs'!$E$5:$E$2005,$A59,'Direct Costs'!$A$5:$A$2005,"&lt;="&amp;ReportTo)+SUMIFS('Operating Expenses'!$AF$5:$AF$2005,'Operating Expenses'!$E$5:$E$2005,$A59,'Operating Expenses'!$A$5:$A$2005,"&lt;="&amp;ReportTo)+SUMIFS('Payroll'!$AB$5:$AB$2005,'Payroll'!$C$5:$C$2005,$A59,'Payroll'!$A$5:$A$2005,"&lt;="&amp;ReportTo)+SUMIFS('Receipt Vouchers'!$AB$5:$AB$2005,'Receipt Vouchers'!$E$5:$E$2005,$A59,'Receipt Vouchers'!$A$5:$A$2005,"&lt;="&amp;ReportTo)+SUMIFS('Sales Invoices'!$AC$5:$AC$2005,'Sales Invoices'!$H$5:$H$2005,$A59,'Sales Invoices'!$B$5:$B$2005,"&lt;="&amp;ReportTo)+SUMIFS('Payment Vouchers'!$S$5:$S$2005,'Payment Vouchers'!$B$5:$B$2005,$A59,'Payment Vouchers'!$A$5:$A$2005,"&lt;="&amp;ReportTo)+SUMIFS('Partner Transactions'!$U$5:$U$2005,'Partner Transactions'!$B$5:$B$2005,$A59,'Partner Transactions'!$A$5:$A$2005,"&lt;="&amp;ReportTo)+SUMIFS('Stock Moves'!$AQ$5:$AQ$2005,'Stock Moves'!$J$5:$J$2005,$A59,'Stock Moves'!$A$5:$A$2005,"&lt;="&amp;ReportTo)+SUMIFS('Journal Vouchers'!$S$5:$S$2005,'Journal Vouchers'!$E$5:$E$2005,$A59,'Journal Vouchers'!$B$5:$B$2005,"&lt;="&amp;ReportTo))</f>
        <v/>
      </c>
      <c r="D59" s="26">
        <f>B59+C59</f>
        <v/>
      </c>
    </row>
    <row r="60">
      <c r="A60" s="25">
        <f>IF(Parties!A60="","",Parties!A60)</f>
        <v/>
      </c>
      <c r="B60" s="26">
        <f>IF(A60="",0,SUMIFS('Direct Costs'!$AJ$5:$AJ$2005,'Direct Costs'!$E$5:$E$2005,$A60,'Direct Costs'!$A$5:$A$2005,"&lt;="&amp;ReportTo)+SUMIFS('Operating Expenses'!$AE$5:$AE$2005,'Operating Expenses'!$E$5:$E$2005,$A60,'Operating Expenses'!$A$5:$A$2005,"&lt;="&amp;ReportTo)+SUMIFS('Payroll'!$AA$5:$AA$2005,'Payroll'!$C$5:$C$2005,$A60,'Payroll'!$A$5:$A$2005,"&lt;="&amp;ReportTo)+SUMIFS('Receipt Vouchers'!$AA$5:$AA$2005,'Receipt Vouchers'!$E$5:$E$2005,$A60,'Receipt Vouchers'!$A$5:$A$2005,"&lt;="&amp;ReportTo)+SUMIFS('Sales Invoices'!$AB$5:$AB$2005,'Sales Invoices'!$H$5:$H$2005,$A60,'Sales Invoices'!$B$5:$B$2005,"&lt;="&amp;ReportTo)+SUMIFS('Payment Vouchers'!$R$5:$R$2005,'Payment Vouchers'!$B$5:$B$2005,$A60,'Payment Vouchers'!$A$5:$A$2005,"&lt;="&amp;ReportTo)+SUMIFS('Partner Transactions'!$T$5:$T$2005,'Partner Transactions'!$B$5:$B$2005,$A60,'Partner Transactions'!$A$5:$A$2005,"&lt;="&amp;ReportTo)+SUMIFS('Stock Moves'!$AP$5:$AP$2005,'Stock Moves'!$J$5:$J$2005,$A60,'Stock Moves'!$A$5:$A$2005,"&lt;="&amp;ReportTo)+SUMIFS('Journal Vouchers'!$R$5:$R$2005,'Journal Vouchers'!$E$5:$E$2005,$A60,'Journal Vouchers'!$B$5:$B$2005,"&lt;="&amp;ReportTo))</f>
        <v/>
      </c>
      <c r="C60" s="26">
        <f>IF(A60="",0,SUMIFS('Direct Costs'!$AK$5:$AK$2005,'Direct Costs'!$E$5:$E$2005,$A60,'Direct Costs'!$A$5:$A$2005,"&lt;="&amp;ReportTo)+SUMIFS('Operating Expenses'!$AF$5:$AF$2005,'Operating Expenses'!$E$5:$E$2005,$A60,'Operating Expenses'!$A$5:$A$2005,"&lt;="&amp;ReportTo)+SUMIFS('Payroll'!$AB$5:$AB$2005,'Payroll'!$C$5:$C$2005,$A60,'Payroll'!$A$5:$A$2005,"&lt;="&amp;ReportTo)+SUMIFS('Receipt Vouchers'!$AB$5:$AB$2005,'Receipt Vouchers'!$E$5:$E$2005,$A60,'Receipt Vouchers'!$A$5:$A$2005,"&lt;="&amp;ReportTo)+SUMIFS('Sales Invoices'!$AC$5:$AC$2005,'Sales Invoices'!$H$5:$H$2005,$A60,'Sales Invoices'!$B$5:$B$2005,"&lt;="&amp;ReportTo)+SUMIFS('Payment Vouchers'!$S$5:$S$2005,'Payment Vouchers'!$B$5:$B$2005,$A60,'Payment Vouchers'!$A$5:$A$2005,"&lt;="&amp;ReportTo)+SUMIFS('Partner Transactions'!$U$5:$U$2005,'Partner Transactions'!$B$5:$B$2005,$A60,'Partner Transactions'!$A$5:$A$2005,"&lt;="&amp;ReportTo)+SUMIFS('Stock Moves'!$AQ$5:$AQ$2005,'Stock Moves'!$J$5:$J$2005,$A60,'Stock Moves'!$A$5:$A$2005,"&lt;="&amp;ReportTo)+SUMIFS('Journal Vouchers'!$S$5:$S$2005,'Journal Vouchers'!$E$5:$E$2005,$A60,'Journal Vouchers'!$B$5:$B$2005,"&lt;="&amp;ReportTo))</f>
        <v/>
      </c>
      <c r="D60" s="26">
        <f>B60+C60</f>
        <v/>
      </c>
    </row>
    <row r="61">
      <c r="A61" s="25">
        <f>IF(Parties!A61="","",Parties!A61)</f>
        <v/>
      </c>
      <c r="B61" s="26">
        <f>IF(A61="",0,SUMIFS('Direct Costs'!$AJ$5:$AJ$2005,'Direct Costs'!$E$5:$E$2005,$A61,'Direct Costs'!$A$5:$A$2005,"&lt;="&amp;ReportTo)+SUMIFS('Operating Expenses'!$AE$5:$AE$2005,'Operating Expenses'!$E$5:$E$2005,$A61,'Operating Expenses'!$A$5:$A$2005,"&lt;="&amp;ReportTo)+SUMIFS('Payroll'!$AA$5:$AA$2005,'Payroll'!$C$5:$C$2005,$A61,'Payroll'!$A$5:$A$2005,"&lt;="&amp;ReportTo)+SUMIFS('Receipt Vouchers'!$AA$5:$AA$2005,'Receipt Vouchers'!$E$5:$E$2005,$A61,'Receipt Vouchers'!$A$5:$A$2005,"&lt;="&amp;ReportTo)+SUMIFS('Sales Invoices'!$AB$5:$AB$2005,'Sales Invoices'!$H$5:$H$2005,$A61,'Sales Invoices'!$B$5:$B$2005,"&lt;="&amp;ReportTo)+SUMIFS('Payment Vouchers'!$R$5:$R$2005,'Payment Vouchers'!$B$5:$B$2005,$A61,'Payment Vouchers'!$A$5:$A$2005,"&lt;="&amp;ReportTo)+SUMIFS('Partner Transactions'!$T$5:$T$2005,'Partner Transactions'!$B$5:$B$2005,$A61,'Partner Transactions'!$A$5:$A$2005,"&lt;="&amp;ReportTo)+SUMIFS('Stock Moves'!$AP$5:$AP$2005,'Stock Moves'!$J$5:$J$2005,$A61,'Stock Moves'!$A$5:$A$2005,"&lt;="&amp;ReportTo)+SUMIFS('Journal Vouchers'!$R$5:$R$2005,'Journal Vouchers'!$E$5:$E$2005,$A61,'Journal Vouchers'!$B$5:$B$2005,"&lt;="&amp;ReportTo))</f>
        <v/>
      </c>
      <c r="C61" s="26">
        <f>IF(A61="",0,SUMIFS('Direct Costs'!$AK$5:$AK$2005,'Direct Costs'!$E$5:$E$2005,$A61,'Direct Costs'!$A$5:$A$2005,"&lt;="&amp;ReportTo)+SUMIFS('Operating Expenses'!$AF$5:$AF$2005,'Operating Expenses'!$E$5:$E$2005,$A61,'Operating Expenses'!$A$5:$A$2005,"&lt;="&amp;ReportTo)+SUMIFS('Payroll'!$AB$5:$AB$2005,'Payroll'!$C$5:$C$2005,$A61,'Payroll'!$A$5:$A$2005,"&lt;="&amp;ReportTo)+SUMIFS('Receipt Vouchers'!$AB$5:$AB$2005,'Receipt Vouchers'!$E$5:$E$2005,$A61,'Receipt Vouchers'!$A$5:$A$2005,"&lt;="&amp;ReportTo)+SUMIFS('Sales Invoices'!$AC$5:$AC$2005,'Sales Invoices'!$H$5:$H$2005,$A61,'Sales Invoices'!$B$5:$B$2005,"&lt;="&amp;ReportTo)+SUMIFS('Payment Vouchers'!$S$5:$S$2005,'Payment Vouchers'!$B$5:$B$2005,$A61,'Payment Vouchers'!$A$5:$A$2005,"&lt;="&amp;ReportTo)+SUMIFS('Partner Transactions'!$U$5:$U$2005,'Partner Transactions'!$B$5:$B$2005,$A61,'Partner Transactions'!$A$5:$A$2005,"&lt;="&amp;ReportTo)+SUMIFS('Stock Moves'!$AQ$5:$AQ$2005,'Stock Moves'!$J$5:$J$2005,$A61,'Stock Moves'!$A$5:$A$2005,"&lt;="&amp;ReportTo)+SUMIFS('Journal Vouchers'!$S$5:$S$2005,'Journal Vouchers'!$E$5:$E$2005,$A61,'Journal Vouchers'!$B$5:$B$2005,"&lt;="&amp;ReportTo))</f>
        <v/>
      </c>
      <c r="D61" s="26">
        <f>B61+C61</f>
        <v/>
      </c>
    </row>
    <row r="62">
      <c r="A62" s="25">
        <f>IF(Parties!A62="","",Parties!A62)</f>
        <v/>
      </c>
      <c r="B62" s="26">
        <f>IF(A62="",0,SUMIFS('Direct Costs'!$AJ$5:$AJ$2005,'Direct Costs'!$E$5:$E$2005,$A62,'Direct Costs'!$A$5:$A$2005,"&lt;="&amp;ReportTo)+SUMIFS('Operating Expenses'!$AE$5:$AE$2005,'Operating Expenses'!$E$5:$E$2005,$A62,'Operating Expenses'!$A$5:$A$2005,"&lt;="&amp;ReportTo)+SUMIFS('Payroll'!$AA$5:$AA$2005,'Payroll'!$C$5:$C$2005,$A62,'Payroll'!$A$5:$A$2005,"&lt;="&amp;ReportTo)+SUMIFS('Receipt Vouchers'!$AA$5:$AA$2005,'Receipt Vouchers'!$E$5:$E$2005,$A62,'Receipt Vouchers'!$A$5:$A$2005,"&lt;="&amp;ReportTo)+SUMIFS('Sales Invoices'!$AB$5:$AB$2005,'Sales Invoices'!$H$5:$H$2005,$A62,'Sales Invoices'!$B$5:$B$2005,"&lt;="&amp;ReportTo)+SUMIFS('Payment Vouchers'!$R$5:$R$2005,'Payment Vouchers'!$B$5:$B$2005,$A62,'Payment Vouchers'!$A$5:$A$2005,"&lt;="&amp;ReportTo)+SUMIFS('Partner Transactions'!$T$5:$T$2005,'Partner Transactions'!$B$5:$B$2005,$A62,'Partner Transactions'!$A$5:$A$2005,"&lt;="&amp;ReportTo)+SUMIFS('Stock Moves'!$AP$5:$AP$2005,'Stock Moves'!$J$5:$J$2005,$A62,'Stock Moves'!$A$5:$A$2005,"&lt;="&amp;ReportTo)+SUMIFS('Journal Vouchers'!$R$5:$R$2005,'Journal Vouchers'!$E$5:$E$2005,$A62,'Journal Vouchers'!$B$5:$B$2005,"&lt;="&amp;ReportTo))</f>
        <v/>
      </c>
      <c r="C62" s="26">
        <f>IF(A62="",0,SUMIFS('Direct Costs'!$AK$5:$AK$2005,'Direct Costs'!$E$5:$E$2005,$A62,'Direct Costs'!$A$5:$A$2005,"&lt;="&amp;ReportTo)+SUMIFS('Operating Expenses'!$AF$5:$AF$2005,'Operating Expenses'!$E$5:$E$2005,$A62,'Operating Expenses'!$A$5:$A$2005,"&lt;="&amp;ReportTo)+SUMIFS('Payroll'!$AB$5:$AB$2005,'Payroll'!$C$5:$C$2005,$A62,'Payroll'!$A$5:$A$2005,"&lt;="&amp;ReportTo)+SUMIFS('Receipt Vouchers'!$AB$5:$AB$2005,'Receipt Vouchers'!$E$5:$E$2005,$A62,'Receipt Vouchers'!$A$5:$A$2005,"&lt;="&amp;ReportTo)+SUMIFS('Sales Invoices'!$AC$5:$AC$2005,'Sales Invoices'!$H$5:$H$2005,$A62,'Sales Invoices'!$B$5:$B$2005,"&lt;="&amp;ReportTo)+SUMIFS('Payment Vouchers'!$S$5:$S$2005,'Payment Vouchers'!$B$5:$B$2005,$A62,'Payment Vouchers'!$A$5:$A$2005,"&lt;="&amp;ReportTo)+SUMIFS('Partner Transactions'!$U$5:$U$2005,'Partner Transactions'!$B$5:$B$2005,$A62,'Partner Transactions'!$A$5:$A$2005,"&lt;="&amp;ReportTo)+SUMIFS('Stock Moves'!$AQ$5:$AQ$2005,'Stock Moves'!$J$5:$J$2005,$A62,'Stock Moves'!$A$5:$A$2005,"&lt;="&amp;ReportTo)+SUMIFS('Journal Vouchers'!$S$5:$S$2005,'Journal Vouchers'!$E$5:$E$2005,$A62,'Journal Vouchers'!$B$5:$B$2005,"&lt;="&amp;ReportTo))</f>
        <v/>
      </c>
      <c r="D62" s="26">
        <f>B62+C62</f>
        <v/>
      </c>
    </row>
    <row r="63">
      <c r="A63" s="25">
        <f>IF(Parties!A63="","",Parties!A63)</f>
        <v/>
      </c>
      <c r="B63" s="26">
        <f>IF(A63="",0,SUMIFS('Direct Costs'!$AJ$5:$AJ$2005,'Direct Costs'!$E$5:$E$2005,$A63,'Direct Costs'!$A$5:$A$2005,"&lt;="&amp;ReportTo)+SUMIFS('Operating Expenses'!$AE$5:$AE$2005,'Operating Expenses'!$E$5:$E$2005,$A63,'Operating Expenses'!$A$5:$A$2005,"&lt;="&amp;ReportTo)+SUMIFS('Payroll'!$AA$5:$AA$2005,'Payroll'!$C$5:$C$2005,$A63,'Payroll'!$A$5:$A$2005,"&lt;="&amp;ReportTo)+SUMIFS('Receipt Vouchers'!$AA$5:$AA$2005,'Receipt Vouchers'!$E$5:$E$2005,$A63,'Receipt Vouchers'!$A$5:$A$2005,"&lt;="&amp;ReportTo)+SUMIFS('Sales Invoices'!$AB$5:$AB$2005,'Sales Invoices'!$H$5:$H$2005,$A63,'Sales Invoices'!$B$5:$B$2005,"&lt;="&amp;ReportTo)+SUMIFS('Payment Vouchers'!$R$5:$R$2005,'Payment Vouchers'!$B$5:$B$2005,$A63,'Payment Vouchers'!$A$5:$A$2005,"&lt;="&amp;ReportTo)+SUMIFS('Partner Transactions'!$T$5:$T$2005,'Partner Transactions'!$B$5:$B$2005,$A63,'Partner Transactions'!$A$5:$A$2005,"&lt;="&amp;ReportTo)+SUMIFS('Stock Moves'!$AP$5:$AP$2005,'Stock Moves'!$J$5:$J$2005,$A63,'Stock Moves'!$A$5:$A$2005,"&lt;="&amp;ReportTo)+SUMIFS('Journal Vouchers'!$R$5:$R$2005,'Journal Vouchers'!$E$5:$E$2005,$A63,'Journal Vouchers'!$B$5:$B$2005,"&lt;="&amp;ReportTo))</f>
        <v/>
      </c>
      <c r="C63" s="26">
        <f>IF(A63="",0,SUMIFS('Direct Costs'!$AK$5:$AK$2005,'Direct Costs'!$E$5:$E$2005,$A63,'Direct Costs'!$A$5:$A$2005,"&lt;="&amp;ReportTo)+SUMIFS('Operating Expenses'!$AF$5:$AF$2005,'Operating Expenses'!$E$5:$E$2005,$A63,'Operating Expenses'!$A$5:$A$2005,"&lt;="&amp;ReportTo)+SUMIFS('Payroll'!$AB$5:$AB$2005,'Payroll'!$C$5:$C$2005,$A63,'Payroll'!$A$5:$A$2005,"&lt;="&amp;ReportTo)+SUMIFS('Receipt Vouchers'!$AB$5:$AB$2005,'Receipt Vouchers'!$E$5:$E$2005,$A63,'Receipt Vouchers'!$A$5:$A$2005,"&lt;="&amp;ReportTo)+SUMIFS('Sales Invoices'!$AC$5:$AC$2005,'Sales Invoices'!$H$5:$H$2005,$A63,'Sales Invoices'!$B$5:$B$2005,"&lt;="&amp;ReportTo)+SUMIFS('Payment Vouchers'!$S$5:$S$2005,'Payment Vouchers'!$B$5:$B$2005,$A63,'Payment Vouchers'!$A$5:$A$2005,"&lt;="&amp;ReportTo)+SUMIFS('Partner Transactions'!$U$5:$U$2005,'Partner Transactions'!$B$5:$B$2005,$A63,'Partner Transactions'!$A$5:$A$2005,"&lt;="&amp;ReportTo)+SUMIFS('Stock Moves'!$AQ$5:$AQ$2005,'Stock Moves'!$J$5:$J$2005,$A63,'Stock Moves'!$A$5:$A$2005,"&lt;="&amp;ReportTo)+SUMIFS('Journal Vouchers'!$S$5:$S$2005,'Journal Vouchers'!$E$5:$E$2005,$A63,'Journal Vouchers'!$B$5:$B$2005,"&lt;="&amp;ReportTo))</f>
        <v/>
      </c>
      <c r="D63" s="26">
        <f>B63+C63</f>
        <v/>
      </c>
    </row>
    <row r="64">
      <c r="A64" s="25">
        <f>IF(Parties!A64="","",Parties!A64)</f>
        <v/>
      </c>
      <c r="B64" s="26">
        <f>IF(A64="",0,SUMIFS('Direct Costs'!$AJ$5:$AJ$2005,'Direct Costs'!$E$5:$E$2005,$A64,'Direct Costs'!$A$5:$A$2005,"&lt;="&amp;ReportTo)+SUMIFS('Operating Expenses'!$AE$5:$AE$2005,'Operating Expenses'!$E$5:$E$2005,$A64,'Operating Expenses'!$A$5:$A$2005,"&lt;="&amp;ReportTo)+SUMIFS('Payroll'!$AA$5:$AA$2005,'Payroll'!$C$5:$C$2005,$A64,'Payroll'!$A$5:$A$2005,"&lt;="&amp;ReportTo)+SUMIFS('Receipt Vouchers'!$AA$5:$AA$2005,'Receipt Vouchers'!$E$5:$E$2005,$A64,'Receipt Vouchers'!$A$5:$A$2005,"&lt;="&amp;ReportTo)+SUMIFS('Sales Invoices'!$AB$5:$AB$2005,'Sales Invoices'!$H$5:$H$2005,$A64,'Sales Invoices'!$B$5:$B$2005,"&lt;="&amp;ReportTo)+SUMIFS('Payment Vouchers'!$R$5:$R$2005,'Payment Vouchers'!$B$5:$B$2005,$A64,'Payment Vouchers'!$A$5:$A$2005,"&lt;="&amp;ReportTo)+SUMIFS('Partner Transactions'!$T$5:$T$2005,'Partner Transactions'!$B$5:$B$2005,$A64,'Partner Transactions'!$A$5:$A$2005,"&lt;="&amp;ReportTo)+SUMIFS('Stock Moves'!$AP$5:$AP$2005,'Stock Moves'!$J$5:$J$2005,$A64,'Stock Moves'!$A$5:$A$2005,"&lt;="&amp;ReportTo)+SUMIFS('Journal Vouchers'!$R$5:$R$2005,'Journal Vouchers'!$E$5:$E$2005,$A64,'Journal Vouchers'!$B$5:$B$2005,"&lt;="&amp;ReportTo))</f>
        <v/>
      </c>
      <c r="C64" s="26">
        <f>IF(A64="",0,SUMIFS('Direct Costs'!$AK$5:$AK$2005,'Direct Costs'!$E$5:$E$2005,$A64,'Direct Costs'!$A$5:$A$2005,"&lt;="&amp;ReportTo)+SUMIFS('Operating Expenses'!$AF$5:$AF$2005,'Operating Expenses'!$E$5:$E$2005,$A64,'Operating Expenses'!$A$5:$A$2005,"&lt;="&amp;ReportTo)+SUMIFS('Payroll'!$AB$5:$AB$2005,'Payroll'!$C$5:$C$2005,$A64,'Payroll'!$A$5:$A$2005,"&lt;="&amp;ReportTo)+SUMIFS('Receipt Vouchers'!$AB$5:$AB$2005,'Receipt Vouchers'!$E$5:$E$2005,$A64,'Receipt Vouchers'!$A$5:$A$2005,"&lt;="&amp;ReportTo)+SUMIFS('Sales Invoices'!$AC$5:$AC$2005,'Sales Invoices'!$H$5:$H$2005,$A64,'Sales Invoices'!$B$5:$B$2005,"&lt;="&amp;ReportTo)+SUMIFS('Payment Vouchers'!$S$5:$S$2005,'Payment Vouchers'!$B$5:$B$2005,$A64,'Payment Vouchers'!$A$5:$A$2005,"&lt;="&amp;ReportTo)+SUMIFS('Partner Transactions'!$U$5:$U$2005,'Partner Transactions'!$B$5:$B$2005,$A64,'Partner Transactions'!$A$5:$A$2005,"&lt;="&amp;ReportTo)+SUMIFS('Stock Moves'!$AQ$5:$AQ$2005,'Stock Moves'!$J$5:$J$2005,$A64,'Stock Moves'!$A$5:$A$2005,"&lt;="&amp;ReportTo)+SUMIFS('Journal Vouchers'!$S$5:$S$2005,'Journal Vouchers'!$E$5:$E$2005,$A64,'Journal Vouchers'!$B$5:$B$2005,"&lt;="&amp;ReportTo))</f>
        <v/>
      </c>
      <c r="D64" s="26">
        <f>B64+C64</f>
        <v/>
      </c>
    </row>
    <row r="65">
      <c r="A65" s="25">
        <f>IF(Parties!A65="","",Parties!A65)</f>
        <v/>
      </c>
      <c r="B65" s="26">
        <f>IF(A65="",0,SUMIFS('Direct Costs'!$AJ$5:$AJ$2005,'Direct Costs'!$E$5:$E$2005,$A65,'Direct Costs'!$A$5:$A$2005,"&lt;="&amp;ReportTo)+SUMIFS('Operating Expenses'!$AE$5:$AE$2005,'Operating Expenses'!$E$5:$E$2005,$A65,'Operating Expenses'!$A$5:$A$2005,"&lt;="&amp;ReportTo)+SUMIFS('Payroll'!$AA$5:$AA$2005,'Payroll'!$C$5:$C$2005,$A65,'Payroll'!$A$5:$A$2005,"&lt;="&amp;ReportTo)+SUMIFS('Receipt Vouchers'!$AA$5:$AA$2005,'Receipt Vouchers'!$E$5:$E$2005,$A65,'Receipt Vouchers'!$A$5:$A$2005,"&lt;="&amp;ReportTo)+SUMIFS('Sales Invoices'!$AB$5:$AB$2005,'Sales Invoices'!$H$5:$H$2005,$A65,'Sales Invoices'!$B$5:$B$2005,"&lt;="&amp;ReportTo)+SUMIFS('Payment Vouchers'!$R$5:$R$2005,'Payment Vouchers'!$B$5:$B$2005,$A65,'Payment Vouchers'!$A$5:$A$2005,"&lt;="&amp;ReportTo)+SUMIFS('Partner Transactions'!$T$5:$T$2005,'Partner Transactions'!$B$5:$B$2005,$A65,'Partner Transactions'!$A$5:$A$2005,"&lt;="&amp;ReportTo)+SUMIFS('Stock Moves'!$AP$5:$AP$2005,'Stock Moves'!$J$5:$J$2005,$A65,'Stock Moves'!$A$5:$A$2005,"&lt;="&amp;ReportTo)+SUMIFS('Journal Vouchers'!$R$5:$R$2005,'Journal Vouchers'!$E$5:$E$2005,$A65,'Journal Vouchers'!$B$5:$B$2005,"&lt;="&amp;ReportTo))</f>
        <v/>
      </c>
      <c r="C65" s="26">
        <f>IF(A65="",0,SUMIFS('Direct Costs'!$AK$5:$AK$2005,'Direct Costs'!$E$5:$E$2005,$A65,'Direct Costs'!$A$5:$A$2005,"&lt;="&amp;ReportTo)+SUMIFS('Operating Expenses'!$AF$5:$AF$2005,'Operating Expenses'!$E$5:$E$2005,$A65,'Operating Expenses'!$A$5:$A$2005,"&lt;="&amp;ReportTo)+SUMIFS('Payroll'!$AB$5:$AB$2005,'Payroll'!$C$5:$C$2005,$A65,'Payroll'!$A$5:$A$2005,"&lt;="&amp;ReportTo)+SUMIFS('Receipt Vouchers'!$AB$5:$AB$2005,'Receipt Vouchers'!$E$5:$E$2005,$A65,'Receipt Vouchers'!$A$5:$A$2005,"&lt;="&amp;ReportTo)+SUMIFS('Sales Invoices'!$AC$5:$AC$2005,'Sales Invoices'!$H$5:$H$2005,$A65,'Sales Invoices'!$B$5:$B$2005,"&lt;="&amp;ReportTo)+SUMIFS('Payment Vouchers'!$S$5:$S$2005,'Payment Vouchers'!$B$5:$B$2005,$A65,'Payment Vouchers'!$A$5:$A$2005,"&lt;="&amp;ReportTo)+SUMIFS('Partner Transactions'!$U$5:$U$2005,'Partner Transactions'!$B$5:$B$2005,$A65,'Partner Transactions'!$A$5:$A$2005,"&lt;="&amp;ReportTo)+SUMIFS('Stock Moves'!$AQ$5:$AQ$2005,'Stock Moves'!$J$5:$J$2005,$A65,'Stock Moves'!$A$5:$A$2005,"&lt;="&amp;ReportTo)+SUMIFS('Journal Vouchers'!$S$5:$S$2005,'Journal Vouchers'!$E$5:$E$2005,$A65,'Journal Vouchers'!$B$5:$B$2005,"&lt;="&amp;ReportTo))</f>
        <v/>
      </c>
      <c r="D65" s="26">
        <f>B65+C65</f>
        <v/>
      </c>
    </row>
    <row r="66">
      <c r="A66" s="25">
        <f>IF(Parties!A66="","",Parties!A66)</f>
        <v/>
      </c>
      <c r="B66" s="26">
        <f>IF(A66="",0,SUMIFS('Direct Costs'!$AJ$5:$AJ$2005,'Direct Costs'!$E$5:$E$2005,$A66,'Direct Costs'!$A$5:$A$2005,"&lt;="&amp;ReportTo)+SUMIFS('Operating Expenses'!$AE$5:$AE$2005,'Operating Expenses'!$E$5:$E$2005,$A66,'Operating Expenses'!$A$5:$A$2005,"&lt;="&amp;ReportTo)+SUMIFS('Payroll'!$AA$5:$AA$2005,'Payroll'!$C$5:$C$2005,$A66,'Payroll'!$A$5:$A$2005,"&lt;="&amp;ReportTo)+SUMIFS('Receipt Vouchers'!$AA$5:$AA$2005,'Receipt Vouchers'!$E$5:$E$2005,$A66,'Receipt Vouchers'!$A$5:$A$2005,"&lt;="&amp;ReportTo)+SUMIFS('Sales Invoices'!$AB$5:$AB$2005,'Sales Invoices'!$H$5:$H$2005,$A66,'Sales Invoices'!$B$5:$B$2005,"&lt;="&amp;ReportTo)+SUMIFS('Payment Vouchers'!$R$5:$R$2005,'Payment Vouchers'!$B$5:$B$2005,$A66,'Payment Vouchers'!$A$5:$A$2005,"&lt;="&amp;ReportTo)+SUMIFS('Partner Transactions'!$T$5:$T$2005,'Partner Transactions'!$B$5:$B$2005,$A66,'Partner Transactions'!$A$5:$A$2005,"&lt;="&amp;ReportTo)+SUMIFS('Stock Moves'!$AP$5:$AP$2005,'Stock Moves'!$J$5:$J$2005,$A66,'Stock Moves'!$A$5:$A$2005,"&lt;="&amp;ReportTo)+SUMIFS('Journal Vouchers'!$R$5:$R$2005,'Journal Vouchers'!$E$5:$E$2005,$A66,'Journal Vouchers'!$B$5:$B$2005,"&lt;="&amp;ReportTo))</f>
        <v/>
      </c>
      <c r="C66" s="26">
        <f>IF(A66="",0,SUMIFS('Direct Costs'!$AK$5:$AK$2005,'Direct Costs'!$E$5:$E$2005,$A66,'Direct Costs'!$A$5:$A$2005,"&lt;="&amp;ReportTo)+SUMIFS('Operating Expenses'!$AF$5:$AF$2005,'Operating Expenses'!$E$5:$E$2005,$A66,'Operating Expenses'!$A$5:$A$2005,"&lt;="&amp;ReportTo)+SUMIFS('Payroll'!$AB$5:$AB$2005,'Payroll'!$C$5:$C$2005,$A66,'Payroll'!$A$5:$A$2005,"&lt;="&amp;ReportTo)+SUMIFS('Receipt Vouchers'!$AB$5:$AB$2005,'Receipt Vouchers'!$E$5:$E$2005,$A66,'Receipt Vouchers'!$A$5:$A$2005,"&lt;="&amp;ReportTo)+SUMIFS('Sales Invoices'!$AC$5:$AC$2005,'Sales Invoices'!$H$5:$H$2005,$A66,'Sales Invoices'!$B$5:$B$2005,"&lt;="&amp;ReportTo)+SUMIFS('Payment Vouchers'!$S$5:$S$2005,'Payment Vouchers'!$B$5:$B$2005,$A66,'Payment Vouchers'!$A$5:$A$2005,"&lt;="&amp;ReportTo)+SUMIFS('Partner Transactions'!$U$5:$U$2005,'Partner Transactions'!$B$5:$B$2005,$A66,'Partner Transactions'!$A$5:$A$2005,"&lt;="&amp;ReportTo)+SUMIFS('Stock Moves'!$AQ$5:$AQ$2005,'Stock Moves'!$J$5:$J$2005,$A66,'Stock Moves'!$A$5:$A$2005,"&lt;="&amp;ReportTo)+SUMIFS('Journal Vouchers'!$S$5:$S$2005,'Journal Vouchers'!$E$5:$E$2005,$A66,'Journal Vouchers'!$B$5:$B$2005,"&lt;="&amp;ReportTo))</f>
        <v/>
      </c>
      <c r="D66" s="26">
        <f>B66+C66</f>
        <v/>
      </c>
    </row>
    <row r="67">
      <c r="A67" s="25">
        <f>IF(Parties!A67="","",Parties!A67)</f>
        <v/>
      </c>
      <c r="B67" s="26">
        <f>IF(A67="",0,SUMIFS('Direct Costs'!$AJ$5:$AJ$2005,'Direct Costs'!$E$5:$E$2005,$A67,'Direct Costs'!$A$5:$A$2005,"&lt;="&amp;ReportTo)+SUMIFS('Operating Expenses'!$AE$5:$AE$2005,'Operating Expenses'!$E$5:$E$2005,$A67,'Operating Expenses'!$A$5:$A$2005,"&lt;="&amp;ReportTo)+SUMIFS('Payroll'!$AA$5:$AA$2005,'Payroll'!$C$5:$C$2005,$A67,'Payroll'!$A$5:$A$2005,"&lt;="&amp;ReportTo)+SUMIFS('Receipt Vouchers'!$AA$5:$AA$2005,'Receipt Vouchers'!$E$5:$E$2005,$A67,'Receipt Vouchers'!$A$5:$A$2005,"&lt;="&amp;ReportTo)+SUMIFS('Sales Invoices'!$AB$5:$AB$2005,'Sales Invoices'!$H$5:$H$2005,$A67,'Sales Invoices'!$B$5:$B$2005,"&lt;="&amp;ReportTo)+SUMIFS('Payment Vouchers'!$R$5:$R$2005,'Payment Vouchers'!$B$5:$B$2005,$A67,'Payment Vouchers'!$A$5:$A$2005,"&lt;="&amp;ReportTo)+SUMIFS('Partner Transactions'!$T$5:$T$2005,'Partner Transactions'!$B$5:$B$2005,$A67,'Partner Transactions'!$A$5:$A$2005,"&lt;="&amp;ReportTo)+SUMIFS('Stock Moves'!$AP$5:$AP$2005,'Stock Moves'!$J$5:$J$2005,$A67,'Stock Moves'!$A$5:$A$2005,"&lt;="&amp;ReportTo)+SUMIFS('Journal Vouchers'!$R$5:$R$2005,'Journal Vouchers'!$E$5:$E$2005,$A67,'Journal Vouchers'!$B$5:$B$2005,"&lt;="&amp;ReportTo))</f>
        <v/>
      </c>
      <c r="C67" s="26">
        <f>IF(A67="",0,SUMIFS('Direct Costs'!$AK$5:$AK$2005,'Direct Costs'!$E$5:$E$2005,$A67,'Direct Costs'!$A$5:$A$2005,"&lt;="&amp;ReportTo)+SUMIFS('Operating Expenses'!$AF$5:$AF$2005,'Operating Expenses'!$E$5:$E$2005,$A67,'Operating Expenses'!$A$5:$A$2005,"&lt;="&amp;ReportTo)+SUMIFS('Payroll'!$AB$5:$AB$2005,'Payroll'!$C$5:$C$2005,$A67,'Payroll'!$A$5:$A$2005,"&lt;="&amp;ReportTo)+SUMIFS('Receipt Vouchers'!$AB$5:$AB$2005,'Receipt Vouchers'!$E$5:$E$2005,$A67,'Receipt Vouchers'!$A$5:$A$2005,"&lt;="&amp;ReportTo)+SUMIFS('Sales Invoices'!$AC$5:$AC$2005,'Sales Invoices'!$H$5:$H$2005,$A67,'Sales Invoices'!$B$5:$B$2005,"&lt;="&amp;ReportTo)+SUMIFS('Payment Vouchers'!$S$5:$S$2005,'Payment Vouchers'!$B$5:$B$2005,$A67,'Payment Vouchers'!$A$5:$A$2005,"&lt;="&amp;ReportTo)+SUMIFS('Partner Transactions'!$U$5:$U$2005,'Partner Transactions'!$B$5:$B$2005,$A67,'Partner Transactions'!$A$5:$A$2005,"&lt;="&amp;ReportTo)+SUMIFS('Stock Moves'!$AQ$5:$AQ$2005,'Stock Moves'!$J$5:$J$2005,$A67,'Stock Moves'!$A$5:$A$2005,"&lt;="&amp;ReportTo)+SUMIFS('Journal Vouchers'!$S$5:$S$2005,'Journal Vouchers'!$E$5:$E$2005,$A67,'Journal Vouchers'!$B$5:$B$2005,"&lt;="&amp;ReportTo))</f>
        <v/>
      </c>
      <c r="D67" s="26">
        <f>B67+C67</f>
        <v/>
      </c>
    </row>
    <row r="68">
      <c r="A68" s="25">
        <f>IF(Parties!A68="","",Parties!A68)</f>
        <v/>
      </c>
      <c r="B68" s="26">
        <f>IF(A68="",0,SUMIFS('Direct Costs'!$AJ$5:$AJ$2005,'Direct Costs'!$E$5:$E$2005,$A68,'Direct Costs'!$A$5:$A$2005,"&lt;="&amp;ReportTo)+SUMIFS('Operating Expenses'!$AE$5:$AE$2005,'Operating Expenses'!$E$5:$E$2005,$A68,'Operating Expenses'!$A$5:$A$2005,"&lt;="&amp;ReportTo)+SUMIFS('Payroll'!$AA$5:$AA$2005,'Payroll'!$C$5:$C$2005,$A68,'Payroll'!$A$5:$A$2005,"&lt;="&amp;ReportTo)+SUMIFS('Receipt Vouchers'!$AA$5:$AA$2005,'Receipt Vouchers'!$E$5:$E$2005,$A68,'Receipt Vouchers'!$A$5:$A$2005,"&lt;="&amp;ReportTo)+SUMIFS('Sales Invoices'!$AB$5:$AB$2005,'Sales Invoices'!$H$5:$H$2005,$A68,'Sales Invoices'!$B$5:$B$2005,"&lt;="&amp;ReportTo)+SUMIFS('Payment Vouchers'!$R$5:$R$2005,'Payment Vouchers'!$B$5:$B$2005,$A68,'Payment Vouchers'!$A$5:$A$2005,"&lt;="&amp;ReportTo)+SUMIFS('Partner Transactions'!$T$5:$T$2005,'Partner Transactions'!$B$5:$B$2005,$A68,'Partner Transactions'!$A$5:$A$2005,"&lt;="&amp;ReportTo)+SUMIFS('Stock Moves'!$AP$5:$AP$2005,'Stock Moves'!$J$5:$J$2005,$A68,'Stock Moves'!$A$5:$A$2005,"&lt;="&amp;ReportTo)+SUMIFS('Journal Vouchers'!$R$5:$R$2005,'Journal Vouchers'!$E$5:$E$2005,$A68,'Journal Vouchers'!$B$5:$B$2005,"&lt;="&amp;ReportTo))</f>
        <v/>
      </c>
      <c r="C68" s="26">
        <f>IF(A68="",0,SUMIFS('Direct Costs'!$AK$5:$AK$2005,'Direct Costs'!$E$5:$E$2005,$A68,'Direct Costs'!$A$5:$A$2005,"&lt;="&amp;ReportTo)+SUMIFS('Operating Expenses'!$AF$5:$AF$2005,'Operating Expenses'!$E$5:$E$2005,$A68,'Operating Expenses'!$A$5:$A$2005,"&lt;="&amp;ReportTo)+SUMIFS('Payroll'!$AB$5:$AB$2005,'Payroll'!$C$5:$C$2005,$A68,'Payroll'!$A$5:$A$2005,"&lt;="&amp;ReportTo)+SUMIFS('Receipt Vouchers'!$AB$5:$AB$2005,'Receipt Vouchers'!$E$5:$E$2005,$A68,'Receipt Vouchers'!$A$5:$A$2005,"&lt;="&amp;ReportTo)+SUMIFS('Sales Invoices'!$AC$5:$AC$2005,'Sales Invoices'!$H$5:$H$2005,$A68,'Sales Invoices'!$B$5:$B$2005,"&lt;="&amp;ReportTo)+SUMIFS('Payment Vouchers'!$S$5:$S$2005,'Payment Vouchers'!$B$5:$B$2005,$A68,'Payment Vouchers'!$A$5:$A$2005,"&lt;="&amp;ReportTo)+SUMIFS('Partner Transactions'!$U$5:$U$2005,'Partner Transactions'!$B$5:$B$2005,$A68,'Partner Transactions'!$A$5:$A$2005,"&lt;="&amp;ReportTo)+SUMIFS('Stock Moves'!$AQ$5:$AQ$2005,'Stock Moves'!$J$5:$J$2005,$A68,'Stock Moves'!$A$5:$A$2005,"&lt;="&amp;ReportTo)+SUMIFS('Journal Vouchers'!$S$5:$S$2005,'Journal Vouchers'!$E$5:$E$2005,$A68,'Journal Vouchers'!$B$5:$B$2005,"&lt;="&amp;ReportTo))</f>
        <v/>
      </c>
      <c r="D68" s="26">
        <f>B68+C68</f>
        <v/>
      </c>
    </row>
    <row r="69">
      <c r="A69" s="25">
        <f>IF(Parties!A69="","",Parties!A69)</f>
        <v/>
      </c>
      <c r="B69" s="26">
        <f>IF(A69="",0,SUMIFS('Direct Costs'!$AJ$5:$AJ$2005,'Direct Costs'!$E$5:$E$2005,$A69,'Direct Costs'!$A$5:$A$2005,"&lt;="&amp;ReportTo)+SUMIFS('Operating Expenses'!$AE$5:$AE$2005,'Operating Expenses'!$E$5:$E$2005,$A69,'Operating Expenses'!$A$5:$A$2005,"&lt;="&amp;ReportTo)+SUMIFS('Payroll'!$AA$5:$AA$2005,'Payroll'!$C$5:$C$2005,$A69,'Payroll'!$A$5:$A$2005,"&lt;="&amp;ReportTo)+SUMIFS('Receipt Vouchers'!$AA$5:$AA$2005,'Receipt Vouchers'!$E$5:$E$2005,$A69,'Receipt Vouchers'!$A$5:$A$2005,"&lt;="&amp;ReportTo)+SUMIFS('Sales Invoices'!$AB$5:$AB$2005,'Sales Invoices'!$H$5:$H$2005,$A69,'Sales Invoices'!$B$5:$B$2005,"&lt;="&amp;ReportTo)+SUMIFS('Payment Vouchers'!$R$5:$R$2005,'Payment Vouchers'!$B$5:$B$2005,$A69,'Payment Vouchers'!$A$5:$A$2005,"&lt;="&amp;ReportTo)+SUMIFS('Partner Transactions'!$T$5:$T$2005,'Partner Transactions'!$B$5:$B$2005,$A69,'Partner Transactions'!$A$5:$A$2005,"&lt;="&amp;ReportTo)+SUMIFS('Stock Moves'!$AP$5:$AP$2005,'Stock Moves'!$J$5:$J$2005,$A69,'Stock Moves'!$A$5:$A$2005,"&lt;="&amp;ReportTo)+SUMIFS('Journal Vouchers'!$R$5:$R$2005,'Journal Vouchers'!$E$5:$E$2005,$A69,'Journal Vouchers'!$B$5:$B$2005,"&lt;="&amp;ReportTo))</f>
        <v/>
      </c>
      <c r="C69" s="26">
        <f>IF(A69="",0,SUMIFS('Direct Costs'!$AK$5:$AK$2005,'Direct Costs'!$E$5:$E$2005,$A69,'Direct Costs'!$A$5:$A$2005,"&lt;="&amp;ReportTo)+SUMIFS('Operating Expenses'!$AF$5:$AF$2005,'Operating Expenses'!$E$5:$E$2005,$A69,'Operating Expenses'!$A$5:$A$2005,"&lt;="&amp;ReportTo)+SUMIFS('Payroll'!$AB$5:$AB$2005,'Payroll'!$C$5:$C$2005,$A69,'Payroll'!$A$5:$A$2005,"&lt;="&amp;ReportTo)+SUMIFS('Receipt Vouchers'!$AB$5:$AB$2005,'Receipt Vouchers'!$E$5:$E$2005,$A69,'Receipt Vouchers'!$A$5:$A$2005,"&lt;="&amp;ReportTo)+SUMIFS('Sales Invoices'!$AC$5:$AC$2005,'Sales Invoices'!$H$5:$H$2005,$A69,'Sales Invoices'!$B$5:$B$2005,"&lt;="&amp;ReportTo)+SUMIFS('Payment Vouchers'!$S$5:$S$2005,'Payment Vouchers'!$B$5:$B$2005,$A69,'Payment Vouchers'!$A$5:$A$2005,"&lt;="&amp;ReportTo)+SUMIFS('Partner Transactions'!$U$5:$U$2005,'Partner Transactions'!$B$5:$B$2005,$A69,'Partner Transactions'!$A$5:$A$2005,"&lt;="&amp;ReportTo)+SUMIFS('Stock Moves'!$AQ$5:$AQ$2005,'Stock Moves'!$J$5:$J$2005,$A69,'Stock Moves'!$A$5:$A$2005,"&lt;="&amp;ReportTo)+SUMIFS('Journal Vouchers'!$S$5:$S$2005,'Journal Vouchers'!$E$5:$E$2005,$A69,'Journal Vouchers'!$B$5:$B$2005,"&lt;="&amp;ReportTo))</f>
        <v/>
      </c>
      <c r="D69" s="26">
        <f>B69+C69</f>
        <v/>
      </c>
    </row>
    <row r="70">
      <c r="A70" s="25">
        <f>IF(Parties!A70="","",Parties!A70)</f>
        <v/>
      </c>
      <c r="B70" s="26">
        <f>IF(A70="",0,SUMIFS('Direct Costs'!$AJ$5:$AJ$2005,'Direct Costs'!$E$5:$E$2005,$A70,'Direct Costs'!$A$5:$A$2005,"&lt;="&amp;ReportTo)+SUMIFS('Operating Expenses'!$AE$5:$AE$2005,'Operating Expenses'!$E$5:$E$2005,$A70,'Operating Expenses'!$A$5:$A$2005,"&lt;="&amp;ReportTo)+SUMIFS('Payroll'!$AA$5:$AA$2005,'Payroll'!$C$5:$C$2005,$A70,'Payroll'!$A$5:$A$2005,"&lt;="&amp;ReportTo)+SUMIFS('Receipt Vouchers'!$AA$5:$AA$2005,'Receipt Vouchers'!$E$5:$E$2005,$A70,'Receipt Vouchers'!$A$5:$A$2005,"&lt;="&amp;ReportTo)+SUMIFS('Sales Invoices'!$AB$5:$AB$2005,'Sales Invoices'!$H$5:$H$2005,$A70,'Sales Invoices'!$B$5:$B$2005,"&lt;="&amp;ReportTo)+SUMIFS('Payment Vouchers'!$R$5:$R$2005,'Payment Vouchers'!$B$5:$B$2005,$A70,'Payment Vouchers'!$A$5:$A$2005,"&lt;="&amp;ReportTo)+SUMIFS('Partner Transactions'!$T$5:$T$2005,'Partner Transactions'!$B$5:$B$2005,$A70,'Partner Transactions'!$A$5:$A$2005,"&lt;="&amp;ReportTo)+SUMIFS('Stock Moves'!$AP$5:$AP$2005,'Stock Moves'!$J$5:$J$2005,$A70,'Stock Moves'!$A$5:$A$2005,"&lt;="&amp;ReportTo)+SUMIFS('Journal Vouchers'!$R$5:$R$2005,'Journal Vouchers'!$E$5:$E$2005,$A70,'Journal Vouchers'!$B$5:$B$2005,"&lt;="&amp;ReportTo))</f>
        <v/>
      </c>
      <c r="C70" s="26">
        <f>IF(A70="",0,SUMIFS('Direct Costs'!$AK$5:$AK$2005,'Direct Costs'!$E$5:$E$2005,$A70,'Direct Costs'!$A$5:$A$2005,"&lt;="&amp;ReportTo)+SUMIFS('Operating Expenses'!$AF$5:$AF$2005,'Operating Expenses'!$E$5:$E$2005,$A70,'Operating Expenses'!$A$5:$A$2005,"&lt;="&amp;ReportTo)+SUMIFS('Payroll'!$AB$5:$AB$2005,'Payroll'!$C$5:$C$2005,$A70,'Payroll'!$A$5:$A$2005,"&lt;="&amp;ReportTo)+SUMIFS('Receipt Vouchers'!$AB$5:$AB$2005,'Receipt Vouchers'!$E$5:$E$2005,$A70,'Receipt Vouchers'!$A$5:$A$2005,"&lt;="&amp;ReportTo)+SUMIFS('Sales Invoices'!$AC$5:$AC$2005,'Sales Invoices'!$H$5:$H$2005,$A70,'Sales Invoices'!$B$5:$B$2005,"&lt;="&amp;ReportTo)+SUMIFS('Payment Vouchers'!$S$5:$S$2005,'Payment Vouchers'!$B$5:$B$2005,$A70,'Payment Vouchers'!$A$5:$A$2005,"&lt;="&amp;ReportTo)+SUMIFS('Partner Transactions'!$U$5:$U$2005,'Partner Transactions'!$B$5:$B$2005,$A70,'Partner Transactions'!$A$5:$A$2005,"&lt;="&amp;ReportTo)+SUMIFS('Stock Moves'!$AQ$5:$AQ$2005,'Stock Moves'!$J$5:$J$2005,$A70,'Stock Moves'!$A$5:$A$2005,"&lt;="&amp;ReportTo)+SUMIFS('Journal Vouchers'!$S$5:$S$2005,'Journal Vouchers'!$E$5:$E$2005,$A70,'Journal Vouchers'!$B$5:$B$2005,"&lt;="&amp;ReportTo))</f>
        <v/>
      </c>
      <c r="D70" s="26">
        <f>B70+C70</f>
        <v/>
      </c>
    </row>
    <row r="71">
      <c r="A71" s="25">
        <f>IF(Parties!A71="","",Parties!A71)</f>
        <v/>
      </c>
      <c r="B71" s="26">
        <f>IF(A71="",0,SUMIFS('Direct Costs'!$AJ$5:$AJ$2005,'Direct Costs'!$E$5:$E$2005,$A71,'Direct Costs'!$A$5:$A$2005,"&lt;="&amp;ReportTo)+SUMIFS('Operating Expenses'!$AE$5:$AE$2005,'Operating Expenses'!$E$5:$E$2005,$A71,'Operating Expenses'!$A$5:$A$2005,"&lt;="&amp;ReportTo)+SUMIFS('Payroll'!$AA$5:$AA$2005,'Payroll'!$C$5:$C$2005,$A71,'Payroll'!$A$5:$A$2005,"&lt;="&amp;ReportTo)+SUMIFS('Receipt Vouchers'!$AA$5:$AA$2005,'Receipt Vouchers'!$E$5:$E$2005,$A71,'Receipt Vouchers'!$A$5:$A$2005,"&lt;="&amp;ReportTo)+SUMIFS('Sales Invoices'!$AB$5:$AB$2005,'Sales Invoices'!$H$5:$H$2005,$A71,'Sales Invoices'!$B$5:$B$2005,"&lt;="&amp;ReportTo)+SUMIFS('Payment Vouchers'!$R$5:$R$2005,'Payment Vouchers'!$B$5:$B$2005,$A71,'Payment Vouchers'!$A$5:$A$2005,"&lt;="&amp;ReportTo)+SUMIFS('Partner Transactions'!$T$5:$T$2005,'Partner Transactions'!$B$5:$B$2005,$A71,'Partner Transactions'!$A$5:$A$2005,"&lt;="&amp;ReportTo)+SUMIFS('Stock Moves'!$AP$5:$AP$2005,'Stock Moves'!$J$5:$J$2005,$A71,'Stock Moves'!$A$5:$A$2005,"&lt;="&amp;ReportTo)+SUMIFS('Journal Vouchers'!$R$5:$R$2005,'Journal Vouchers'!$E$5:$E$2005,$A71,'Journal Vouchers'!$B$5:$B$2005,"&lt;="&amp;ReportTo))</f>
        <v/>
      </c>
      <c r="C71" s="26">
        <f>IF(A71="",0,SUMIFS('Direct Costs'!$AK$5:$AK$2005,'Direct Costs'!$E$5:$E$2005,$A71,'Direct Costs'!$A$5:$A$2005,"&lt;="&amp;ReportTo)+SUMIFS('Operating Expenses'!$AF$5:$AF$2005,'Operating Expenses'!$E$5:$E$2005,$A71,'Operating Expenses'!$A$5:$A$2005,"&lt;="&amp;ReportTo)+SUMIFS('Payroll'!$AB$5:$AB$2005,'Payroll'!$C$5:$C$2005,$A71,'Payroll'!$A$5:$A$2005,"&lt;="&amp;ReportTo)+SUMIFS('Receipt Vouchers'!$AB$5:$AB$2005,'Receipt Vouchers'!$E$5:$E$2005,$A71,'Receipt Vouchers'!$A$5:$A$2005,"&lt;="&amp;ReportTo)+SUMIFS('Sales Invoices'!$AC$5:$AC$2005,'Sales Invoices'!$H$5:$H$2005,$A71,'Sales Invoices'!$B$5:$B$2005,"&lt;="&amp;ReportTo)+SUMIFS('Payment Vouchers'!$S$5:$S$2005,'Payment Vouchers'!$B$5:$B$2005,$A71,'Payment Vouchers'!$A$5:$A$2005,"&lt;="&amp;ReportTo)+SUMIFS('Partner Transactions'!$U$5:$U$2005,'Partner Transactions'!$B$5:$B$2005,$A71,'Partner Transactions'!$A$5:$A$2005,"&lt;="&amp;ReportTo)+SUMIFS('Stock Moves'!$AQ$5:$AQ$2005,'Stock Moves'!$J$5:$J$2005,$A71,'Stock Moves'!$A$5:$A$2005,"&lt;="&amp;ReportTo)+SUMIFS('Journal Vouchers'!$S$5:$S$2005,'Journal Vouchers'!$E$5:$E$2005,$A71,'Journal Vouchers'!$B$5:$B$2005,"&lt;="&amp;ReportTo))</f>
        <v/>
      </c>
      <c r="D71" s="26">
        <f>B71+C71</f>
        <v/>
      </c>
    </row>
    <row r="72">
      <c r="A72" s="25">
        <f>IF(Parties!A72="","",Parties!A72)</f>
        <v/>
      </c>
      <c r="B72" s="26">
        <f>IF(A72="",0,SUMIFS('Direct Costs'!$AJ$5:$AJ$2005,'Direct Costs'!$E$5:$E$2005,$A72,'Direct Costs'!$A$5:$A$2005,"&lt;="&amp;ReportTo)+SUMIFS('Operating Expenses'!$AE$5:$AE$2005,'Operating Expenses'!$E$5:$E$2005,$A72,'Operating Expenses'!$A$5:$A$2005,"&lt;="&amp;ReportTo)+SUMIFS('Payroll'!$AA$5:$AA$2005,'Payroll'!$C$5:$C$2005,$A72,'Payroll'!$A$5:$A$2005,"&lt;="&amp;ReportTo)+SUMIFS('Receipt Vouchers'!$AA$5:$AA$2005,'Receipt Vouchers'!$E$5:$E$2005,$A72,'Receipt Vouchers'!$A$5:$A$2005,"&lt;="&amp;ReportTo)+SUMIFS('Sales Invoices'!$AB$5:$AB$2005,'Sales Invoices'!$H$5:$H$2005,$A72,'Sales Invoices'!$B$5:$B$2005,"&lt;="&amp;ReportTo)+SUMIFS('Payment Vouchers'!$R$5:$R$2005,'Payment Vouchers'!$B$5:$B$2005,$A72,'Payment Vouchers'!$A$5:$A$2005,"&lt;="&amp;ReportTo)+SUMIFS('Partner Transactions'!$T$5:$T$2005,'Partner Transactions'!$B$5:$B$2005,$A72,'Partner Transactions'!$A$5:$A$2005,"&lt;="&amp;ReportTo)+SUMIFS('Stock Moves'!$AP$5:$AP$2005,'Stock Moves'!$J$5:$J$2005,$A72,'Stock Moves'!$A$5:$A$2005,"&lt;="&amp;ReportTo)+SUMIFS('Journal Vouchers'!$R$5:$R$2005,'Journal Vouchers'!$E$5:$E$2005,$A72,'Journal Vouchers'!$B$5:$B$2005,"&lt;="&amp;ReportTo))</f>
        <v/>
      </c>
      <c r="C72" s="26">
        <f>IF(A72="",0,SUMIFS('Direct Costs'!$AK$5:$AK$2005,'Direct Costs'!$E$5:$E$2005,$A72,'Direct Costs'!$A$5:$A$2005,"&lt;="&amp;ReportTo)+SUMIFS('Operating Expenses'!$AF$5:$AF$2005,'Operating Expenses'!$E$5:$E$2005,$A72,'Operating Expenses'!$A$5:$A$2005,"&lt;="&amp;ReportTo)+SUMIFS('Payroll'!$AB$5:$AB$2005,'Payroll'!$C$5:$C$2005,$A72,'Payroll'!$A$5:$A$2005,"&lt;="&amp;ReportTo)+SUMIFS('Receipt Vouchers'!$AB$5:$AB$2005,'Receipt Vouchers'!$E$5:$E$2005,$A72,'Receipt Vouchers'!$A$5:$A$2005,"&lt;="&amp;ReportTo)+SUMIFS('Sales Invoices'!$AC$5:$AC$2005,'Sales Invoices'!$H$5:$H$2005,$A72,'Sales Invoices'!$B$5:$B$2005,"&lt;="&amp;ReportTo)+SUMIFS('Payment Vouchers'!$S$5:$S$2005,'Payment Vouchers'!$B$5:$B$2005,$A72,'Payment Vouchers'!$A$5:$A$2005,"&lt;="&amp;ReportTo)+SUMIFS('Partner Transactions'!$U$5:$U$2005,'Partner Transactions'!$B$5:$B$2005,$A72,'Partner Transactions'!$A$5:$A$2005,"&lt;="&amp;ReportTo)+SUMIFS('Stock Moves'!$AQ$5:$AQ$2005,'Stock Moves'!$J$5:$J$2005,$A72,'Stock Moves'!$A$5:$A$2005,"&lt;="&amp;ReportTo)+SUMIFS('Journal Vouchers'!$S$5:$S$2005,'Journal Vouchers'!$E$5:$E$2005,$A72,'Journal Vouchers'!$B$5:$B$2005,"&lt;="&amp;ReportTo))</f>
        <v/>
      </c>
      <c r="D72" s="26">
        <f>B72+C72</f>
        <v/>
      </c>
    </row>
    <row r="73">
      <c r="A73" s="25">
        <f>IF(Parties!A73="","",Parties!A73)</f>
        <v/>
      </c>
      <c r="B73" s="26">
        <f>IF(A73="",0,SUMIFS('Direct Costs'!$AJ$5:$AJ$2005,'Direct Costs'!$E$5:$E$2005,$A73,'Direct Costs'!$A$5:$A$2005,"&lt;="&amp;ReportTo)+SUMIFS('Operating Expenses'!$AE$5:$AE$2005,'Operating Expenses'!$E$5:$E$2005,$A73,'Operating Expenses'!$A$5:$A$2005,"&lt;="&amp;ReportTo)+SUMIFS('Payroll'!$AA$5:$AA$2005,'Payroll'!$C$5:$C$2005,$A73,'Payroll'!$A$5:$A$2005,"&lt;="&amp;ReportTo)+SUMIFS('Receipt Vouchers'!$AA$5:$AA$2005,'Receipt Vouchers'!$E$5:$E$2005,$A73,'Receipt Vouchers'!$A$5:$A$2005,"&lt;="&amp;ReportTo)+SUMIFS('Sales Invoices'!$AB$5:$AB$2005,'Sales Invoices'!$H$5:$H$2005,$A73,'Sales Invoices'!$B$5:$B$2005,"&lt;="&amp;ReportTo)+SUMIFS('Payment Vouchers'!$R$5:$R$2005,'Payment Vouchers'!$B$5:$B$2005,$A73,'Payment Vouchers'!$A$5:$A$2005,"&lt;="&amp;ReportTo)+SUMIFS('Partner Transactions'!$T$5:$T$2005,'Partner Transactions'!$B$5:$B$2005,$A73,'Partner Transactions'!$A$5:$A$2005,"&lt;="&amp;ReportTo)+SUMIFS('Stock Moves'!$AP$5:$AP$2005,'Stock Moves'!$J$5:$J$2005,$A73,'Stock Moves'!$A$5:$A$2005,"&lt;="&amp;ReportTo)+SUMIFS('Journal Vouchers'!$R$5:$R$2005,'Journal Vouchers'!$E$5:$E$2005,$A73,'Journal Vouchers'!$B$5:$B$2005,"&lt;="&amp;ReportTo))</f>
        <v/>
      </c>
      <c r="C73" s="26">
        <f>IF(A73="",0,SUMIFS('Direct Costs'!$AK$5:$AK$2005,'Direct Costs'!$E$5:$E$2005,$A73,'Direct Costs'!$A$5:$A$2005,"&lt;="&amp;ReportTo)+SUMIFS('Operating Expenses'!$AF$5:$AF$2005,'Operating Expenses'!$E$5:$E$2005,$A73,'Operating Expenses'!$A$5:$A$2005,"&lt;="&amp;ReportTo)+SUMIFS('Payroll'!$AB$5:$AB$2005,'Payroll'!$C$5:$C$2005,$A73,'Payroll'!$A$5:$A$2005,"&lt;="&amp;ReportTo)+SUMIFS('Receipt Vouchers'!$AB$5:$AB$2005,'Receipt Vouchers'!$E$5:$E$2005,$A73,'Receipt Vouchers'!$A$5:$A$2005,"&lt;="&amp;ReportTo)+SUMIFS('Sales Invoices'!$AC$5:$AC$2005,'Sales Invoices'!$H$5:$H$2005,$A73,'Sales Invoices'!$B$5:$B$2005,"&lt;="&amp;ReportTo)+SUMIFS('Payment Vouchers'!$S$5:$S$2005,'Payment Vouchers'!$B$5:$B$2005,$A73,'Payment Vouchers'!$A$5:$A$2005,"&lt;="&amp;ReportTo)+SUMIFS('Partner Transactions'!$U$5:$U$2005,'Partner Transactions'!$B$5:$B$2005,$A73,'Partner Transactions'!$A$5:$A$2005,"&lt;="&amp;ReportTo)+SUMIFS('Stock Moves'!$AQ$5:$AQ$2005,'Stock Moves'!$J$5:$J$2005,$A73,'Stock Moves'!$A$5:$A$2005,"&lt;="&amp;ReportTo)+SUMIFS('Journal Vouchers'!$S$5:$S$2005,'Journal Vouchers'!$E$5:$E$2005,$A73,'Journal Vouchers'!$B$5:$B$2005,"&lt;="&amp;ReportTo))</f>
        <v/>
      </c>
      <c r="D73" s="26">
        <f>B73+C73</f>
        <v/>
      </c>
    </row>
    <row r="74">
      <c r="A74" s="25">
        <f>IF(Parties!A74="","",Parties!A74)</f>
        <v/>
      </c>
      <c r="B74" s="26">
        <f>IF(A74="",0,SUMIFS('Direct Costs'!$AJ$5:$AJ$2005,'Direct Costs'!$E$5:$E$2005,$A74,'Direct Costs'!$A$5:$A$2005,"&lt;="&amp;ReportTo)+SUMIFS('Operating Expenses'!$AE$5:$AE$2005,'Operating Expenses'!$E$5:$E$2005,$A74,'Operating Expenses'!$A$5:$A$2005,"&lt;="&amp;ReportTo)+SUMIFS('Payroll'!$AA$5:$AA$2005,'Payroll'!$C$5:$C$2005,$A74,'Payroll'!$A$5:$A$2005,"&lt;="&amp;ReportTo)+SUMIFS('Receipt Vouchers'!$AA$5:$AA$2005,'Receipt Vouchers'!$E$5:$E$2005,$A74,'Receipt Vouchers'!$A$5:$A$2005,"&lt;="&amp;ReportTo)+SUMIFS('Sales Invoices'!$AB$5:$AB$2005,'Sales Invoices'!$H$5:$H$2005,$A74,'Sales Invoices'!$B$5:$B$2005,"&lt;="&amp;ReportTo)+SUMIFS('Payment Vouchers'!$R$5:$R$2005,'Payment Vouchers'!$B$5:$B$2005,$A74,'Payment Vouchers'!$A$5:$A$2005,"&lt;="&amp;ReportTo)+SUMIFS('Partner Transactions'!$T$5:$T$2005,'Partner Transactions'!$B$5:$B$2005,$A74,'Partner Transactions'!$A$5:$A$2005,"&lt;="&amp;ReportTo)+SUMIFS('Stock Moves'!$AP$5:$AP$2005,'Stock Moves'!$J$5:$J$2005,$A74,'Stock Moves'!$A$5:$A$2005,"&lt;="&amp;ReportTo)+SUMIFS('Journal Vouchers'!$R$5:$R$2005,'Journal Vouchers'!$E$5:$E$2005,$A74,'Journal Vouchers'!$B$5:$B$2005,"&lt;="&amp;ReportTo))</f>
        <v/>
      </c>
      <c r="C74" s="26">
        <f>IF(A74="",0,SUMIFS('Direct Costs'!$AK$5:$AK$2005,'Direct Costs'!$E$5:$E$2005,$A74,'Direct Costs'!$A$5:$A$2005,"&lt;="&amp;ReportTo)+SUMIFS('Operating Expenses'!$AF$5:$AF$2005,'Operating Expenses'!$E$5:$E$2005,$A74,'Operating Expenses'!$A$5:$A$2005,"&lt;="&amp;ReportTo)+SUMIFS('Payroll'!$AB$5:$AB$2005,'Payroll'!$C$5:$C$2005,$A74,'Payroll'!$A$5:$A$2005,"&lt;="&amp;ReportTo)+SUMIFS('Receipt Vouchers'!$AB$5:$AB$2005,'Receipt Vouchers'!$E$5:$E$2005,$A74,'Receipt Vouchers'!$A$5:$A$2005,"&lt;="&amp;ReportTo)+SUMIFS('Sales Invoices'!$AC$5:$AC$2005,'Sales Invoices'!$H$5:$H$2005,$A74,'Sales Invoices'!$B$5:$B$2005,"&lt;="&amp;ReportTo)+SUMIFS('Payment Vouchers'!$S$5:$S$2005,'Payment Vouchers'!$B$5:$B$2005,$A74,'Payment Vouchers'!$A$5:$A$2005,"&lt;="&amp;ReportTo)+SUMIFS('Partner Transactions'!$U$5:$U$2005,'Partner Transactions'!$B$5:$B$2005,$A74,'Partner Transactions'!$A$5:$A$2005,"&lt;="&amp;ReportTo)+SUMIFS('Stock Moves'!$AQ$5:$AQ$2005,'Stock Moves'!$J$5:$J$2005,$A74,'Stock Moves'!$A$5:$A$2005,"&lt;="&amp;ReportTo)+SUMIFS('Journal Vouchers'!$S$5:$S$2005,'Journal Vouchers'!$E$5:$E$2005,$A74,'Journal Vouchers'!$B$5:$B$2005,"&lt;="&amp;ReportTo))</f>
        <v/>
      </c>
      <c r="D74" s="26">
        <f>B74+C74</f>
        <v/>
      </c>
    </row>
    <row r="75">
      <c r="A75" s="25">
        <f>IF(Parties!A75="","",Parties!A75)</f>
        <v/>
      </c>
      <c r="B75" s="26">
        <f>IF(A75="",0,SUMIFS('Direct Costs'!$AJ$5:$AJ$2005,'Direct Costs'!$E$5:$E$2005,$A75,'Direct Costs'!$A$5:$A$2005,"&lt;="&amp;ReportTo)+SUMIFS('Operating Expenses'!$AE$5:$AE$2005,'Operating Expenses'!$E$5:$E$2005,$A75,'Operating Expenses'!$A$5:$A$2005,"&lt;="&amp;ReportTo)+SUMIFS('Payroll'!$AA$5:$AA$2005,'Payroll'!$C$5:$C$2005,$A75,'Payroll'!$A$5:$A$2005,"&lt;="&amp;ReportTo)+SUMIFS('Receipt Vouchers'!$AA$5:$AA$2005,'Receipt Vouchers'!$E$5:$E$2005,$A75,'Receipt Vouchers'!$A$5:$A$2005,"&lt;="&amp;ReportTo)+SUMIFS('Sales Invoices'!$AB$5:$AB$2005,'Sales Invoices'!$H$5:$H$2005,$A75,'Sales Invoices'!$B$5:$B$2005,"&lt;="&amp;ReportTo)+SUMIFS('Payment Vouchers'!$R$5:$R$2005,'Payment Vouchers'!$B$5:$B$2005,$A75,'Payment Vouchers'!$A$5:$A$2005,"&lt;="&amp;ReportTo)+SUMIFS('Partner Transactions'!$T$5:$T$2005,'Partner Transactions'!$B$5:$B$2005,$A75,'Partner Transactions'!$A$5:$A$2005,"&lt;="&amp;ReportTo)+SUMIFS('Stock Moves'!$AP$5:$AP$2005,'Stock Moves'!$J$5:$J$2005,$A75,'Stock Moves'!$A$5:$A$2005,"&lt;="&amp;ReportTo)+SUMIFS('Journal Vouchers'!$R$5:$R$2005,'Journal Vouchers'!$E$5:$E$2005,$A75,'Journal Vouchers'!$B$5:$B$2005,"&lt;="&amp;ReportTo))</f>
        <v/>
      </c>
      <c r="C75" s="26">
        <f>IF(A75="",0,SUMIFS('Direct Costs'!$AK$5:$AK$2005,'Direct Costs'!$E$5:$E$2005,$A75,'Direct Costs'!$A$5:$A$2005,"&lt;="&amp;ReportTo)+SUMIFS('Operating Expenses'!$AF$5:$AF$2005,'Operating Expenses'!$E$5:$E$2005,$A75,'Operating Expenses'!$A$5:$A$2005,"&lt;="&amp;ReportTo)+SUMIFS('Payroll'!$AB$5:$AB$2005,'Payroll'!$C$5:$C$2005,$A75,'Payroll'!$A$5:$A$2005,"&lt;="&amp;ReportTo)+SUMIFS('Receipt Vouchers'!$AB$5:$AB$2005,'Receipt Vouchers'!$E$5:$E$2005,$A75,'Receipt Vouchers'!$A$5:$A$2005,"&lt;="&amp;ReportTo)+SUMIFS('Sales Invoices'!$AC$5:$AC$2005,'Sales Invoices'!$H$5:$H$2005,$A75,'Sales Invoices'!$B$5:$B$2005,"&lt;="&amp;ReportTo)+SUMIFS('Payment Vouchers'!$S$5:$S$2005,'Payment Vouchers'!$B$5:$B$2005,$A75,'Payment Vouchers'!$A$5:$A$2005,"&lt;="&amp;ReportTo)+SUMIFS('Partner Transactions'!$U$5:$U$2005,'Partner Transactions'!$B$5:$B$2005,$A75,'Partner Transactions'!$A$5:$A$2005,"&lt;="&amp;ReportTo)+SUMIFS('Stock Moves'!$AQ$5:$AQ$2005,'Stock Moves'!$J$5:$J$2005,$A75,'Stock Moves'!$A$5:$A$2005,"&lt;="&amp;ReportTo)+SUMIFS('Journal Vouchers'!$S$5:$S$2005,'Journal Vouchers'!$E$5:$E$2005,$A75,'Journal Vouchers'!$B$5:$B$2005,"&lt;="&amp;ReportTo))</f>
        <v/>
      </c>
      <c r="D75" s="26">
        <f>B75+C75</f>
        <v/>
      </c>
    </row>
    <row r="76">
      <c r="A76" s="25">
        <f>IF(Parties!A76="","",Parties!A76)</f>
        <v/>
      </c>
      <c r="B76" s="26">
        <f>IF(A76="",0,SUMIFS('Direct Costs'!$AJ$5:$AJ$2005,'Direct Costs'!$E$5:$E$2005,$A76,'Direct Costs'!$A$5:$A$2005,"&lt;="&amp;ReportTo)+SUMIFS('Operating Expenses'!$AE$5:$AE$2005,'Operating Expenses'!$E$5:$E$2005,$A76,'Operating Expenses'!$A$5:$A$2005,"&lt;="&amp;ReportTo)+SUMIFS('Payroll'!$AA$5:$AA$2005,'Payroll'!$C$5:$C$2005,$A76,'Payroll'!$A$5:$A$2005,"&lt;="&amp;ReportTo)+SUMIFS('Receipt Vouchers'!$AA$5:$AA$2005,'Receipt Vouchers'!$E$5:$E$2005,$A76,'Receipt Vouchers'!$A$5:$A$2005,"&lt;="&amp;ReportTo)+SUMIFS('Sales Invoices'!$AB$5:$AB$2005,'Sales Invoices'!$H$5:$H$2005,$A76,'Sales Invoices'!$B$5:$B$2005,"&lt;="&amp;ReportTo)+SUMIFS('Payment Vouchers'!$R$5:$R$2005,'Payment Vouchers'!$B$5:$B$2005,$A76,'Payment Vouchers'!$A$5:$A$2005,"&lt;="&amp;ReportTo)+SUMIFS('Partner Transactions'!$T$5:$T$2005,'Partner Transactions'!$B$5:$B$2005,$A76,'Partner Transactions'!$A$5:$A$2005,"&lt;="&amp;ReportTo)+SUMIFS('Stock Moves'!$AP$5:$AP$2005,'Stock Moves'!$J$5:$J$2005,$A76,'Stock Moves'!$A$5:$A$2005,"&lt;="&amp;ReportTo)+SUMIFS('Journal Vouchers'!$R$5:$R$2005,'Journal Vouchers'!$E$5:$E$2005,$A76,'Journal Vouchers'!$B$5:$B$2005,"&lt;="&amp;ReportTo))</f>
        <v/>
      </c>
      <c r="C76" s="26">
        <f>IF(A76="",0,SUMIFS('Direct Costs'!$AK$5:$AK$2005,'Direct Costs'!$E$5:$E$2005,$A76,'Direct Costs'!$A$5:$A$2005,"&lt;="&amp;ReportTo)+SUMIFS('Operating Expenses'!$AF$5:$AF$2005,'Operating Expenses'!$E$5:$E$2005,$A76,'Operating Expenses'!$A$5:$A$2005,"&lt;="&amp;ReportTo)+SUMIFS('Payroll'!$AB$5:$AB$2005,'Payroll'!$C$5:$C$2005,$A76,'Payroll'!$A$5:$A$2005,"&lt;="&amp;ReportTo)+SUMIFS('Receipt Vouchers'!$AB$5:$AB$2005,'Receipt Vouchers'!$E$5:$E$2005,$A76,'Receipt Vouchers'!$A$5:$A$2005,"&lt;="&amp;ReportTo)+SUMIFS('Sales Invoices'!$AC$5:$AC$2005,'Sales Invoices'!$H$5:$H$2005,$A76,'Sales Invoices'!$B$5:$B$2005,"&lt;="&amp;ReportTo)+SUMIFS('Payment Vouchers'!$S$5:$S$2005,'Payment Vouchers'!$B$5:$B$2005,$A76,'Payment Vouchers'!$A$5:$A$2005,"&lt;="&amp;ReportTo)+SUMIFS('Partner Transactions'!$U$5:$U$2005,'Partner Transactions'!$B$5:$B$2005,$A76,'Partner Transactions'!$A$5:$A$2005,"&lt;="&amp;ReportTo)+SUMIFS('Stock Moves'!$AQ$5:$AQ$2005,'Stock Moves'!$J$5:$J$2005,$A76,'Stock Moves'!$A$5:$A$2005,"&lt;="&amp;ReportTo)+SUMIFS('Journal Vouchers'!$S$5:$S$2005,'Journal Vouchers'!$E$5:$E$2005,$A76,'Journal Vouchers'!$B$5:$B$2005,"&lt;="&amp;ReportTo))</f>
        <v/>
      </c>
      <c r="D76" s="26">
        <f>B76+C76</f>
        <v/>
      </c>
    </row>
    <row r="77">
      <c r="A77" s="25">
        <f>IF(Parties!A77="","",Parties!A77)</f>
        <v/>
      </c>
      <c r="B77" s="26">
        <f>IF(A77="",0,SUMIFS('Direct Costs'!$AJ$5:$AJ$2005,'Direct Costs'!$E$5:$E$2005,$A77,'Direct Costs'!$A$5:$A$2005,"&lt;="&amp;ReportTo)+SUMIFS('Operating Expenses'!$AE$5:$AE$2005,'Operating Expenses'!$E$5:$E$2005,$A77,'Operating Expenses'!$A$5:$A$2005,"&lt;="&amp;ReportTo)+SUMIFS('Payroll'!$AA$5:$AA$2005,'Payroll'!$C$5:$C$2005,$A77,'Payroll'!$A$5:$A$2005,"&lt;="&amp;ReportTo)+SUMIFS('Receipt Vouchers'!$AA$5:$AA$2005,'Receipt Vouchers'!$E$5:$E$2005,$A77,'Receipt Vouchers'!$A$5:$A$2005,"&lt;="&amp;ReportTo)+SUMIFS('Sales Invoices'!$AB$5:$AB$2005,'Sales Invoices'!$H$5:$H$2005,$A77,'Sales Invoices'!$B$5:$B$2005,"&lt;="&amp;ReportTo)+SUMIFS('Payment Vouchers'!$R$5:$R$2005,'Payment Vouchers'!$B$5:$B$2005,$A77,'Payment Vouchers'!$A$5:$A$2005,"&lt;="&amp;ReportTo)+SUMIFS('Partner Transactions'!$T$5:$T$2005,'Partner Transactions'!$B$5:$B$2005,$A77,'Partner Transactions'!$A$5:$A$2005,"&lt;="&amp;ReportTo)+SUMIFS('Stock Moves'!$AP$5:$AP$2005,'Stock Moves'!$J$5:$J$2005,$A77,'Stock Moves'!$A$5:$A$2005,"&lt;="&amp;ReportTo)+SUMIFS('Journal Vouchers'!$R$5:$R$2005,'Journal Vouchers'!$E$5:$E$2005,$A77,'Journal Vouchers'!$B$5:$B$2005,"&lt;="&amp;ReportTo))</f>
        <v/>
      </c>
      <c r="C77" s="26">
        <f>IF(A77="",0,SUMIFS('Direct Costs'!$AK$5:$AK$2005,'Direct Costs'!$E$5:$E$2005,$A77,'Direct Costs'!$A$5:$A$2005,"&lt;="&amp;ReportTo)+SUMIFS('Operating Expenses'!$AF$5:$AF$2005,'Operating Expenses'!$E$5:$E$2005,$A77,'Operating Expenses'!$A$5:$A$2005,"&lt;="&amp;ReportTo)+SUMIFS('Payroll'!$AB$5:$AB$2005,'Payroll'!$C$5:$C$2005,$A77,'Payroll'!$A$5:$A$2005,"&lt;="&amp;ReportTo)+SUMIFS('Receipt Vouchers'!$AB$5:$AB$2005,'Receipt Vouchers'!$E$5:$E$2005,$A77,'Receipt Vouchers'!$A$5:$A$2005,"&lt;="&amp;ReportTo)+SUMIFS('Sales Invoices'!$AC$5:$AC$2005,'Sales Invoices'!$H$5:$H$2005,$A77,'Sales Invoices'!$B$5:$B$2005,"&lt;="&amp;ReportTo)+SUMIFS('Payment Vouchers'!$S$5:$S$2005,'Payment Vouchers'!$B$5:$B$2005,$A77,'Payment Vouchers'!$A$5:$A$2005,"&lt;="&amp;ReportTo)+SUMIFS('Partner Transactions'!$U$5:$U$2005,'Partner Transactions'!$B$5:$B$2005,$A77,'Partner Transactions'!$A$5:$A$2005,"&lt;="&amp;ReportTo)+SUMIFS('Stock Moves'!$AQ$5:$AQ$2005,'Stock Moves'!$J$5:$J$2005,$A77,'Stock Moves'!$A$5:$A$2005,"&lt;="&amp;ReportTo)+SUMIFS('Journal Vouchers'!$S$5:$S$2005,'Journal Vouchers'!$E$5:$E$2005,$A77,'Journal Vouchers'!$B$5:$B$2005,"&lt;="&amp;ReportTo))</f>
        <v/>
      </c>
      <c r="D77" s="26">
        <f>B77+C77</f>
        <v/>
      </c>
    </row>
    <row r="78">
      <c r="A78" s="25">
        <f>IF(Parties!A78="","",Parties!A78)</f>
        <v/>
      </c>
      <c r="B78" s="26">
        <f>IF(A78="",0,SUMIFS('Direct Costs'!$AJ$5:$AJ$2005,'Direct Costs'!$E$5:$E$2005,$A78,'Direct Costs'!$A$5:$A$2005,"&lt;="&amp;ReportTo)+SUMIFS('Operating Expenses'!$AE$5:$AE$2005,'Operating Expenses'!$E$5:$E$2005,$A78,'Operating Expenses'!$A$5:$A$2005,"&lt;="&amp;ReportTo)+SUMIFS('Payroll'!$AA$5:$AA$2005,'Payroll'!$C$5:$C$2005,$A78,'Payroll'!$A$5:$A$2005,"&lt;="&amp;ReportTo)+SUMIFS('Receipt Vouchers'!$AA$5:$AA$2005,'Receipt Vouchers'!$E$5:$E$2005,$A78,'Receipt Vouchers'!$A$5:$A$2005,"&lt;="&amp;ReportTo)+SUMIFS('Sales Invoices'!$AB$5:$AB$2005,'Sales Invoices'!$H$5:$H$2005,$A78,'Sales Invoices'!$B$5:$B$2005,"&lt;="&amp;ReportTo)+SUMIFS('Payment Vouchers'!$R$5:$R$2005,'Payment Vouchers'!$B$5:$B$2005,$A78,'Payment Vouchers'!$A$5:$A$2005,"&lt;="&amp;ReportTo)+SUMIFS('Partner Transactions'!$T$5:$T$2005,'Partner Transactions'!$B$5:$B$2005,$A78,'Partner Transactions'!$A$5:$A$2005,"&lt;="&amp;ReportTo)+SUMIFS('Stock Moves'!$AP$5:$AP$2005,'Stock Moves'!$J$5:$J$2005,$A78,'Stock Moves'!$A$5:$A$2005,"&lt;="&amp;ReportTo)+SUMIFS('Journal Vouchers'!$R$5:$R$2005,'Journal Vouchers'!$E$5:$E$2005,$A78,'Journal Vouchers'!$B$5:$B$2005,"&lt;="&amp;ReportTo))</f>
        <v/>
      </c>
      <c r="C78" s="26">
        <f>IF(A78="",0,SUMIFS('Direct Costs'!$AK$5:$AK$2005,'Direct Costs'!$E$5:$E$2005,$A78,'Direct Costs'!$A$5:$A$2005,"&lt;="&amp;ReportTo)+SUMIFS('Operating Expenses'!$AF$5:$AF$2005,'Operating Expenses'!$E$5:$E$2005,$A78,'Operating Expenses'!$A$5:$A$2005,"&lt;="&amp;ReportTo)+SUMIFS('Payroll'!$AB$5:$AB$2005,'Payroll'!$C$5:$C$2005,$A78,'Payroll'!$A$5:$A$2005,"&lt;="&amp;ReportTo)+SUMIFS('Receipt Vouchers'!$AB$5:$AB$2005,'Receipt Vouchers'!$E$5:$E$2005,$A78,'Receipt Vouchers'!$A$5:$A$2005,"&lt;="&amp;ReportTo)+SUMIFS('Sales Invoices'!$AC$5:$AC$2005,'Sales Invoices'!$H$5:$H$2005,$A78,'Sales Invoices'!$B$5:$B$2005,"&lt;="&amp;ReportTo)+SUMIFS('Payment Vouchers'!$S$5:$S$2005,'Payment Vouchers'!$B$5:$B$2005,$A78,'Payment Vouchers'!$A$5:$A$2005,"&lt;="&amp;ReportTo)+SUMIFS('Partner Transactions'!$U$5:$U$2005,'Partner Transactions'!$B$5:$B$2005,$A78,'Partner Transactions'!$A$5:$A$2005,"&lt;="&amp;ReportTo)+SUMIFS('Stock Moves'!$AQ$5:$AQ$2005,'Stock Moves'!$J$5:$J$2005,$A78,'Stock Moves'!$A$5:$A$2005,"&lt;="&amp;ReportTo)+SUMIFS('Journal Vouchers'!$S$5:$S$2005,'Journal Vouchers'!$E$5:$E$2005,$A78,'Journal Vouchers'!$B$5:$B$2005,"&lt;="&amp;ReportTo))</f>
        <v/>
      </c>
      <c r="D78" s="26">
        <f>B78+C78</f>
        <v/>
      </c>
    </row>
    <row r="79">
      <c r="A79" s="25">
        <f>IF(Parties!A79="","",Parties!A79)</f>
        <v/>
      </c>
      <c r="B79" s="26">
        <f>IF(A79="",0,SUMIFS('Direct Costs'!$AJ$5:$AJ$2005,'Direct Costs'!$E$5:$E$2005,$A79,'Direct Costs'!$A$5:$A$2005,"&lt;="&amp;ReportTo)+SUMIFS('Operating Expenses'!$AE$5:$AE$2005,'Operating Expenses'!$E$5:$E$2005,$A79,'Operating Expenses'!$A$5:$A$2005,"&lt;="&amp;ReportTo)+SUMIFS('Payroll'!$AA$5:$AA$2005,'Payroll'!$C$5:$C$2005,$A79,'Payroll'!$A$5:$A$2005,"&lt;="&amp;ReportTo)+SUMIFS('Receipt Vouchers'!$AA$5:$AA$2005,'Receipt Vouchers'!$E$5:$E$2005,$A79,'Receipt Vouchers'!$A$5:$A$2005,"&lt;="&amp;ReportTo)+SUMIFS('Sales Invoices'!$AB$5:$AB$2005,'Sales Invoices'!$H$5:$H$2005,$A79,'Sales Invoices'!$B$5:$B$2005,"&lt;="&amp;ReportTo)+SUMIFS('Payment Vouchers'!$R$5:$R$2005,'Payment Vouchers'!$B$5:$B$2005,$A79,'Payment Vouchers'!$A$5:$A$2005,"&lt;="&amp;ReportTo)+SUMIFS('Partner Transactions'!$T$5:$T$2005,'Partner Transactions'!$B$5:$B$2005,$A79,'Partner Transactions'!$A$5:$A$2005,"&lt;="&amp;ReportTo)+SUMIFS('Stock Moves'!$AP$5:$AP$2005,'Stock Moves'!$J$5:$J$2005,$A79,'Stock Moves'!$A$5:$A$2005,"&lt;="&amp;ReportTo)+SUMIFS('Journal Vouchers'!$R$5:$R$2005,'Journal Vouchers'!$E$5:$E$2005,$A79,'Journal Vouchers'!$B$5:$B$2005,"&lt;="&amp;ReportTo))</f>
        <v/>
      </c>
      <c r="C79" s="26">
        <f>IF(A79="",0,SUMIFS('Direct Costs'!$AK$5:$AK$2005,'Direct Costs'!$E$5:$E$2005,$A79,'Direct Costs'!$A$5:$A$2005,"&lt;="&amp;ReportTo)+SUMIFS('Operating Expenses'!$AF$5:$AF$2005,'Operating Expenses'!$E$5:$E$2005,$A79,'Operating Expenses'!$A$5:$A$2005,"&lt;="&amp;ReportTo)+SUMIFS('Payroll'!$AB$5:$AB$2005,'Payroll'!$C$5:$C$2005,$A79,'Payroll'!$A$5:$A$2005,"&lt;="&amp;ReportTo)+SUMIFS('Receipt Vouchers'!$AB$5:$AB$2005,'Receipt Vouchers'!$E$5:$E$2005,$A79,'Receipt Vouchers'!$A$5:$A$2005,"&lt;="&amp;ReportTo)+SUMIFS('Sales Invoices'!$AC$5:$AC$2005,'Sales Invoices'!$H$5:$H$2005,$A79,'Sales Invoices'!$B$5:$B$2005,"&lt;="&amp;ReportTo)+SUMIFS('Payment Vouchers'!$S$5:$S$2005,'Payment Vouchers'!$B$5:$B$2005,$A79,'Payment Vouchers'!$A$5:$A$2005,"&lt;="&amp;ReportTo)+SUMIFS('Partner Transactions'!$U$5:$U$2005,'Partner Transactions'!$B$5:$B$2005,$A79,'Partner Transactions'!$A$5:$A$2005,"&lt;="&amp;ReportTo)+SUMIFS('Stock Moves'!$AQ$5:$AQ$2005,'Stock Moves'!$J$5:$J$2005,$A79,'Stock Moves'!$A$5:$A$2005,"&lt;="&amp;ReportTo)+SUMIFS('Journal Vouchers'!$S$5:$S$2005,'Journal Vouchers'!$E$5:$E$2005,$A79,'Journal Vouchers'!$B$5:$B$2005,"&lt;="&amp;ReportTo))</f>
        <v/>
      </c>
      <c r="D79" s="26">
        <f>B79+C79</f>
        <v/>
      </c>
    </row>
    <row r="80">
      <c r="A80" s="25">
        <f>IF(Parties!A80="","",Parties!A80)</f>
        <v/>
      </c>
      <c r="B80" s="26">
        <f>IF(A80="",0,SUMIFS('Direct Costs'!$AJ$5:$AJ$2005,'Direct Costs'!$E$5:$E$2005,$A80,'Direct Costs'!$A$5:$A$2005,"&lt;="&amp;ReportTo)+SUMIFS('Operating Expenses'!$AE$5:$AE$2005,'Operating Expenses'!$E$5:$E$2005,$A80,'Operating Expenses'!$A$5:$A$2005,"&lt;="&amp;ReportTo)+SUMIFS('Payroll'!$AA$5:$AA$2005,'Payroll'!$C$5:$C$2005,$A80,'Payroll'!$A$5:$A$2005,"&lt;="&amp;ReportTo)+SUMIFS('Receipt Vouchers'!$AA$5:$AA$2005,'Receipt Vouchers'!$E$5:$E$2005,$A80,'Receipt Vouchers'!$A$5:$A$2005,"&lt;="&amp;ReportTo)+SUMIFS('Sales Invoices'!$AB$5:$AB$2005,'Sales Invoices'!$H$5:$H$2005,$A80,'Sales Invoices'!$B$5:$B$2005,"&lt;="&amp;ReportTo)+SUMIFS('Payment Vouchers'!$R$5:$R$2005,'Payment Vouchers'!$B$5:$B$2005,$A80,'Payment Vouchers'!$A$5:$A$2005,"&lt;="&amp;ReportTo)+SUMIFS('Partner Transactions'!$T$5:$T$2005,'Partner Transactions'!$B$5:$B$2005,$A80,'Partner Transactions'!$A$5:$A$2005,"&lt;="&amp;ReportTo)+SUMIFS('Stock Moves'!$AP$5:$AP$2005,'Stock Moves'!$J$5:$J$2005,$A80,'Stock Moves'!$A$5:$A$2005,"&lt;="&amp;ReportTo)+SUMIFS('Journal Vouchers'!$R$5:$R$2005,'Journal Vouchers'!$E$5:$E$2005,$A80,'Journal Vouchers'!$B$5:$B$2005,"&lt;="&amp;ReportTo))</f>
        <v/>
      </c>
      <c r="C80" s="26">
        <f>IF(A80="",0,SUMIFS('Direct Costs'!$AK$5:$AK$2005,'Direct Costs'!$E$5:$E$2005,$A80,'Direct Costs'!$A$5:$A$2005,"&lt;="&amp;ReportTo)+SUMIFS('Operating Expenses'!$AF$5:$AF$2005,'Operating Expenses'!$E$5:$E$2005,$A80,'Operating Expenses'!$A$5:$A$2005,"&lt;="&amp;ReportTo)+SUMIFS('Payroll'!$AB$5:$AB$2005,'Payroll'!$C$5:$C$2005,$A80,'Payroll'!$A$5:$A$2005,"&lt;="&amp;ReportTo)+SUMIFS('Receipt Vouchers'!$AB$5:$AB$2005,'Receipt Vouchers'!$E$5:$E$2005,$A80,'Receipt Vouchers'!$A$5:$A$2005,"&lt;="&amp;ReportTo)+SUMIFS('Sales Invoices'!$AC$5:$AC$2005,'Sales Invoices'!$H$5:$H$2005,$A80,'Sales Invoices'!$B$5:$B$2005,"&lt;="&amp;ReportTo)+SUMIFS('Payment Vouchers'!$S$5:$S$2005,'Payment Vouchers'!$B$5:$B$2005,$A80,'Payment Vouchers'!$A$5:$A$2005,"&lt;="&amp;ReportTo)+SUMIFS('Partner Transactions'!$U$5:$U$2005,'Partner Transactions'!$B$5:$B$2005,$A80,'Partner Transactions'!$A$5:$A$2005,"&lt;="&amp;ReportTo)+SUMIFS('Stock Moves'!$AQ$5:$AQ$2005,'Stock Moves'!$J$5:$J$2005,$A80,'Stock Moves'!$A$5:$A$2005,"&lt;="&amp;ReportTo)+SUMIFS('Journal Vouchers'!$S$5:$S$2005,'Journal Vouchers'!$E$5:$E$2005,$A80,'Journal Vouchers'!$B$5:$B$2005,"&lt;="&amp;ReportTo))</f>
        <v/>
      </c>
      <c r="D80" s="26">
        <f>B80+C80</f>
        <v/>
      </c>
    </row>
    <row r="81">
      <c r="A81" s="25">
        <f>IF(Parties!A81="","",Parties!A81)</f>
        <v/>
      </c>
      <c r="B81" s="26">
        <f>IF(A81="",0,SUMIFS('Direct Costs'!$AJ$5:$AJ$2005,'Direct Costs'!$E$5:$E$2005,$A81,'Direct Costs'!$A$5:$A$2005,"&lt;="&amp;ReportTo)+SUMIFS('Operating Expenses'!$AE$5:$AE$2005,'Operating Expenses'!$E$5:$E$2005,$A81,'Operating Expenses'!$A$5:$A$2005,"&lt;="&amp;ReportTo)+SUMIFS('Payroll'!$AA$5:$AA$2005,'Payroll'!$C$5:$C$2005,$A81,'Payroll'!$A$5:$A$2005,"&lt;="&amp;ReportTo)+SUMIFS('Receipt Vouchers'!$AA$5:$AA$2005,'Receipt Vouchers'!$E$5:$E$2005,$A81,'Receipt Vouchers'!$A$5:$A$2005,"&lt;="&amp;ReportTo)+SUMIFS('Sales Invoices'!$AB$5:$AB$2005,'Sales Invoices'!$H$5:$H$2005,$A81,'Sales Invoices'!$B$5:$B$2005,"&lt;="&amp;ReportTo)+SUMIFS('Payment Vouchers'!$R$5:$R$2005,'Payment Vouchers'!$B$5:$B$2005,$A81,'Payment Vouchers'!$A$5:$A$2005,"&lt;="&amp;ReportTo)+SUMIFS('Partner Transactions'!$T$5:$T$2005,'Partner Transactions'!$B$5:$B$2005,$A81,'Partner Transactions'!$A$5:$A$2005,"&lt;="&amp;ReportTo)+SUMIFS('Stock Moves'!$AP$5:$AP$2005,'Stock Moves'!$J$5:$J$2005,$A81,'Stock Moves'!$A$5:$A$2005,"&lt;="&amp;ReportTo)+SUMIFS('Journal Vouchers'!$R$5:$R$2005,'Journal Vouchers'!$E$5:$E$2005,$A81,'Journal Vouchers'!$B$5:$B$2005,"&lt;="&amp;ReportTo))</f>
        <v/>
      </c>
      <c r="C81" s="26">
        <f>IF(A81="",0,SUMIFS('Direct Costs'!$AK$5:$AK$2005,'Direct Costs'!$E$5:$E$2005,$A81,'Direct Costs'!$A$5:$A$2005,"&lt;="&amp;ReportTo)+SUMIFS('Operating Expenses'!$AF$5:$AF$2005,'Operating Expenses'!$E$5:$E$2005,$A81,'Operating Expenses'!$A$5:$A$2005,"&lt;="&amp;ReportTo)+SUMIFS('Payroll'!$AB$5:$AB$2005,'Payroll'!$C$5:$C$2005,$A81,'Payroll'!$A$5:$A$2005,"&lt;="&amp;ReportTo)+SUMIFS('Receipt Vouchers'!$AB$5:$AB$2005,'Receipt Vouchers'!$E$5:$E$2005,$A81,'Receipt Vouchers'!$A$5:$A$2005,"&lt;="&amp;ReportTo)+SUMIFS('Sales Invoices'!$AC$5:$AC$2005,'Sales Invoices'!$H$5:$H$2005,$A81,'Sales Invoices'!$B$5:$B$2005,"&lt;="&amp;ReportTo)+SUMIFS('Payment Vouchers'!$S$5:$S$2005,'Payment Vouchers'!$B$5:$B$2005,$A81,'Payment Vouchers'!$A$5:$A$2005,"&lt;="&amp;ReportTo)+SUMIFS('Partner Transactions'!$U$5:$U$2005,'Partner Transactions'!$B$5:$B$2005,$A81,'Partner Transactions'!$A$5:$A$2005,"&lt;="&amp;ReportTo)+SUMIFS('Stock Moves'!$AQ$5:$AQ$2005,'Stock Moves'!$J$5:$J$2005,$A81,'Stock Moves'!$A$5:$A$2005,"&lt;="&amp;ReportTo)+SUMIFS('Journal Vouchers'!$S$5:$S$2005,'Journal Vouchers'!$E$5:$E$2005,$A81,'Journal Vouchers'!$B$5:$B$2005,"&lt;="&amp;ReportTo))</f>
        <v/>
      </c>
      <c r="D81" s="26">
        <f>B81+C81</f>
        <v/>
      </c>
    </row>
    <row r="82">
      <c r="A82" s="25">
        <f>IF(Parties!A82="","",Parties!A82)</f>
        <v/>
      </c>
      <c r="B82" s="26">
        <f>IF(A82="",0,SUMIFS('Direct Costs'!$AJ$5:$AJ$2005,'Direct Costs'!$E$5:$E$2005,$A82,'Direct Costs'!$A$5:$A$2005,"&lt;="&amp;ReportTo)+SUMIFS('Operating Expenses'!$AE$5:$AE$2005,'Operating Expenses'!$E$5:$E$2005,$A82,'Operating Expenses'!$A$5:$A$2005,"&lt;="&amp;ReportTo)+SUMIFS('Payroll'!$AA$5:$AA$2005,'Payroll'!$C$5:$C$2005,$A82,'Payroll'!$A$5:$A$2005,"&lt;="&amp;ReportTo)+SUMIFS('Receipt Vouchers'!$AA$5:$AA$2005,'Receipt Vouchers'!$E$5:$E$2005,$A82,'Receipt Vouchers'!$A$5:$A$2005,"&lt;="&amp;ReportTo)+SUMIFS('Sales Invoices'!$AB$5:$AB$2005,'Sales Invoices'!$H$5:$H$2005,$A82,'Sales Invoices'!$B$5:$B$2005,"&lt;="&amp;ReportTo)+SUMIFS('Payment Vouchers'!$R$5:$R$2005,'Payment Vouchers'!$B$5:$B$2005,$A82,'Payment Vouchers'!$A$5:$A$2005,"&lt;="&amp;ReportTo)+SUMIFS('Partner Transactions'!$T$5:$T$2005,'Partner Transactions'!$B$5:$B$2005,$A82,'Partner Transactions'!$A$5:$A$2005,"&lt;="&amp;ReportTo)+SUMIFS('Stock Moves'!$AP$5:$AP$2005,'Stock Moves'!$J$5:$J$2005,$A82,'Stock Moves'!$A$5:$A$2005,"&lt;="&amp;ReportTo)+SUMIFS('Journal Vouchers'!$R$5:$R$2005,'Journal Vouchers'!$E$5:$E$2005,$A82,'Journal Vouchers'!$B$5:$B$2005,"&lt;="&amp;ReportTo))</f>
        <v/>
      </c>
      <c r="C82" s="26">
        <f>IF(A82="",0,SUMIFS('Direct Costs'!$AK$5:$AK$2005,'Direct Costs'!$E$5:$E$2005,$A82,'Direct Costs'!$A$5:$A$2005,"&lt;="&amp;ReportTo)+SUMIFS('Operating Expenses'!$AF$5:$AF$2005,'Operating Expenses'!$E$5:$E$2005,$A82,'Operating Expenses'!$A$5:$A$2005,"&lt;="&amp;ReportTo)+SUMIFS('Payroll'!$AB$5:$AB$2005,'Payroll'!$C$5:$C$2005,$A82,'Payroll'!$A$5:$A$2005,"&lt;="&amp;ReportTo)+SUMIFS('Receipt Vouchers'!$AB$5:$AB$2005,'Receipt Vouchers'!$E$5:$E$2005,$A82,'Receipt Vouchers'!$A$5:$A$2005,"&lt;="&amp;ReportTo)+SUMIFS('Sales Invoices'!$AC$5:$AC$2005,'Sales Invoices'!$H$5:$H$2005,$A82,'Sales Invoices'!$B$5:$B$2005,"&lt;="&amp;ReportTo)+SUMIFS('Payment Vouchers'!$S$5:$S$2005,'Payment Vouchers'!$B$5:$B$2005,$A82,'Payment Vouchers'!$A$5:$A$2005,"&lt;="&amp;ReportTo)+SUMIFS('Partner Transactions'!$U$5:$U$2005,'Partner Transactions'!$B$5:$B$2005,$A82,'Partner Transactions'!$A$5:$A$2005,"&lt;="&amp;ReportTo)+SUMIFS('Stock Moves'!$AQ$5:$AQ$2005,'Stock Moves'!$J$5:$J$2005,$A82,'Stock Moves'!$A$5:$A$2005,"&lt;="&amp;ReportTo)+SUMIFS('Journal Vouchers'!$S$5:$S$2005,'Journal Vouchers'!$E$5:$E$2005,$A82,'Journal Vouchers'!$B$5:$B$2005,"&lt;="&amp;ReportTo))</f>
        <v/>
      </c>
      <c r="D82" s="26">
        <f>B82+C82</f>
        <v/>
      </c>
    </row>
    <row r="83">
      <c r="A83" s="25">
        <f>IF(Parties!A83="","",Parties!A83)</f>
        <v/>
      </c>
      <c r="B83" s="26">
        <f>IF(A83="",0,SUMIFS('Direct Costs'!$AJ$5:$AJ$2005,'Direct Costs'!$E$5:$E$2005,$A83,'Direct Costs'!$A$5:$A$2005,"&lt;="&amp;ReportTo)+SUMIFS('Operating Expenses'!$AE$5:$AE$2005,'Operating Expenses'!$E$5:$E$2005,$A83,'Operating Expenses'!$A$5:$A$2005,"&lt;="&amp;ReportTo)+SUMIFS('Payroll'!$AA$5:$AA$2005,'Payroll'!$C$5:$C$2005,$A83,'Payroll'!$A$5:$A$2005,"&lt;="&amp;ReportTo)+SUMIFS('Receipt Vouchers'!$AA$5:$AA$2005,'Receipt Vouchers'!$E$5:$E$2005,$A83,'Receipt Vouchers'!$A$5:$A$2005,"&lt;="&amp;ReportTo)+SUMIFS('Sales Invoices'!$AB$5:$AB$2005,'Sales Invoices'!$H$5:$H$2005,$A83,'Sales Invoices'!$B$5:$B$2005,"&lt;="&amp;ReportTo)+SUMIFS('Payment Vouchers'!$R$5:$R$2005,'Payment Vouchers'!$B$5:$B$2005,$A83,'Payment Vouchers'!$A$5:$A$2005,"&lt;="&amp;ReportTo)+SUMIFS('Partner Transactions'!$T$5:$T$2005,'Partner Transactions'!$B$5:$B$2005,$A83,'Partner Transactions'!$A$5:$A$2005,"&lt;="&amp;ReportTo)+SUMIFS('Stock Moves'!$AP$5:$AP$2005,'Stock Moves'!$J$5:$J$2005,$A83,'Stock Moves'!$A$5:$A$2005,"&lt;="&amp;ReportTo)+SUMIFS('Journal Vouchers'!$R$5:$R$2005,'Journal Vouchers'!$E$5:$E$2005,$A83,'Journal Vouchers'!$B$5:$B$2005,"&lt;="&amp;ReportTo))</f>
        <v/>
      </c>
      <c r="C83" s="26">
        <f>IF(A83="",0,SUMIFS('Direct Costs'!$AK$5:$AK$2005,'Direct Costs'!$E$5:$E$2005,$A83,'Direct Costs'!$A$5:$A$2005,"&lt;="&amp;ReportTo)+SUMIFS('Operating Expenses'!$AF$5:$AF$2005,'Operating Expenses'!$E$5:$E$2005,$A83,'Operating Expenses'!$A$5:$A$2005,"&lt;="&amp;ReportTo)+SUMIFS('Payroll'!$AB$5:$AB$2005,'Payroll'!$C$5:$C$2005,$A83,'Payroll'!$A$5:$A$2005,"&lt;="&amp;ReportTo)+SUMIFS('Receipt Vouchers'!$AB$5:$AB$2005,'Receipt Vouchers'!$E$5:$E$2005,$A83,'Receipt Vouchers'!$A$5:$A$2005,"&lt;="&amp;ReportTo)+SUMIFS('Sales Invoices'!$AC$5:$AC$2005,'Sales Invoices'!$H$5:$H$2005,$A83,'Sales Invoices'!$B$5:$B$2005,"&lt;="&amp;ReportTo)+SUMIFS('Payment Vouchers'!$S$5:$S$2005,'Payment Vouchers'!$B$5:$B$2005,$A83,'Payment Vouchers'!$A$5:$A$2005,"&lt;="&amp;ReportTo)+SUMIFS('Partner Transactions'!$U$5:$U$2005,'Partner Transactions'!$B$5:$B$2005,$A83,'Partner Transactions'!$A$5:$A$2005,"&lt;="&amp;ReportTo)+SUMIFS('Stock Moves'!$AQ$5:$AQ$2005,'Stock Moves'!$J$5:$J$2005,$A83,'Stock Moves'!$A$5:$A$2005,"&lt;="&amp;ReportTo)+SUMIFS('Journal Vouchers'!$S$5:$S$2005,'Journal Vouchers'!$E$5:$E$2005,$A83,'Journal Vouchers'!$B$5:$B$2005,"&lt;="&amp;ReportTo))</f>
        <v/>
      </c>
      <c r="D83" s="26">
        <f>B83+C83</f>
        <v/>
      </c>
    </row>
    <row r="84">
      <c r="A84" s="25">
        <f>IF(Parties!A84="","",Parties!A84)</f>
        <v/>
      </c>
      <c r="B84" s="26">
        <f>IF(A84="",0,SUMIFS('Direct Costs'!$AJ$5:$AJ$2005,'Direct Costs'!$E$5:$E$2005,$A84,'Direct Costs'!$A$5:$A$2005,"&lt;="&amp;ReportTo)+SUMIFS('Operating Expenses'!$AE$5:$AE$2005,'Operating Expenses'!$E$5:$E$2005,$A84,'Operating Expenses'!$A$5:$A$2005,"&lt;="&amp;ReportTo)+SUMIFS('Payroll'!$AA$5:$AA$2005,'Payroll'!$C$5:$C$2005,$A84,'Payroll'!$A$5:$A$2005,"&lt;="&amp;ReportTo)+SUMIFS('Receipt Vouchers'!$AA$5:$AA$2005,'Receipt Vouchers'!$E$5:$E$2005,$A84,'Receipt Vouchers'!$A$5:$A$2005,"&lt;="&amp;ReportTo)+SUMIFS('Sales Invoices'!$AB$5:$AB$2005,'Sales Invoices'!$H$5:$H$2005,$A84,'Sales Invoices'!$B$5:$B$2005,"&lt;="&amp;ReportTo)+SUMIFS('Payment Vouchers'!$R$5:$R$2005,'Payment Vouchers'!$B$5:$B$2005,$A84,'Payment Vouchers'!$A$5:$A$2005,"&lt;="&amp;ReportTo)+SUMIFS('Partner Transactions'!$T$5:$T$2005,'Partner Transactions'!$B$5:$B$2005,$A84,'Partner Transactions'!$A$5:$A$2005,"&lt;="&amp;ReportTo)+SUMIFS('Stock Moves'!$AP$5:$AP$2005,'Stock Moves'!$J$5:$J$2005,$A84,'Stock Moves'!$A$5:$A$2005,"&lt;="&amp;ReportTo)+SUMIFS('Journal Vouchers'!$R$5:$R$2005,'Journal Vouchers'!$E$5:$E$2005,$A84,'Journal Vouchers'!$B$5:$B$2005,"&lt;="&amp;ReportTo))</f>
        <v/>
      </c>
      <c r="C84" s="26">
        <f>IF(A84="",0,SUMIFS('Direct Costs'!$AK$5:$AK$2005,'Direct Costs'!$E$5:$E$2005,$A84,'Direct Costs'!$A$5:$A$2005,"&lt;="&amp;ReportTo)+SUMIFS('Operating Expenses'!$AF$5:$AF$2005,'Operating Expenses'!$E$5:$E$2005,$A84,'Operating Expenses'!$A$5:$A$2005,"&lt;="&amp;ReportTo)+SUMIFS('Payroll'!$AB$5:$AB$2005,'Payroll'!$C$5:$C$2005,$A84,'Payroll'!$A$5:$A$2005,"&lt;="&amp;ReportTo)+SUMIFS('Receipt Vouchers'!$AB$5:$AB$2005,'Receipt Vouchers'!$E$5:$E$2005,$A84,'Receipt Vouchers'!$A$5:$A$2005,"&lt;="&amp;ReportTo)+SUMIFS('Sales Invoices'!$AC$5:$AC$2005,'Sales Invoices'!$H$5:$H$2005,$A84,'Sales Invoices'!$B$5:$B$2005,"&lt;="&amp;ReportTo)+SUMIFS('Payment Vouchers'!$S$5:$S$2005,'Payment Vouchers'!$B$5:$B$2005,$A84,'Payment Vouchers'!$A$5:$A$2005,"&lt;="&amp;ReportTo)+SUMIFS('Partner Transactions'!$U$5:$U$2005,'Partner Transactions'!$B$5:$B$2005,$A84,'Partner Transactions'!$A$5:$A$2005,"&lt;="&amp;ReportTo)+SUMIFS('Stock Moves'!$AQ$5:$AQ$2005,'Stock Moves'!$J$5:$J$2005,$A84,'Stock Moves'!$A$5:$A$2005,"&lt;="&amp;ReportTo)+SUMIFS('Journal Vouchers'!$S$5:$S$2005,'Journal Vouchers'!$E$5:$E$2005,$A84,'Journal Vouchers'!$B$5:$B$2005,"&lt;="&amp;ReportTo))</f>
        <v/>
      </c>
      <c r="D84" s="26">
        <f>B84+C84</f>
        <v/>
      </c>
    </row>
    <row r="85">
      <c r="A85" s="25">
        <f>IF(Parties!A85="","",Parties!A85)</f>
        <v/>
      </c>
      <c r="B85" s="26">
        <f>IF(A85="",0,SUMIFS('Direct Costs'!$AJ$5:$AJ$2005,'Direct Costs'!$E$5:$E$2005,$A85,'Direct Costs'!$A$5:$A$2005,"&lt;="&amp;ReportTo)+SUMIFS('Operating Expenses'!$AE$5:$AE$2005,'Operating Expenses'!$E$5:$E$2005,$A85,'Operating Expenses'!$A$5:$A$2005,"&lt;="&amp;ReportTo)+SUMIFS('Payroll'!$AA$5:$AA$2005,'Payroll'!$C$5:$C$2005,$A85,'Payroll'!$A$5:$A$2005,"&lt;="&amp;ReportTo)+SUMIFS('Receipt Vouchers'!$AA$5:$AA$2005,'Receipt Vouchers'!$E$5:$E$2005,$A85,'Receipt Vouchers'!$A$5:$A$2005,"&lt;="&amp;ReportTo)+SUMIFS('Sales Invoices'!$AB$5:$AB$2005,'Sales Invoices'!$H$5:$H$2005,$A85,'Sales Invoices'!$B$5:$B$2005,"&lt;="&amp;ReportTo)+SUMIFS('Payment Vouchers'!$R$5:$R$2005,'Payment Vouchers'!$B$5:$B$2005,$A85,'Payment Vouchers'!$A$5:$A$2005,"&lt;="&amp;ReportTo)+SUMIFS('Partner Transactions'!$T$5:$T$2005,'Partner Transactions'!$B$5:$B$2005,$A85,'Partner Transactions'!$A$5:$A$2005,"&lt;="&amp;ReportTo)+SUMIFS('Stock Moves'!$AP$5:$AP$2005,'Stock Moves'!$J$5:$J$2005,$A85,'Stock Moves'!$A$5:$A$2005,"&lt;="&amp;ReportTo)+SUMIFS('Journal Vouchers'!$R$5:$R$2005,'Journal Vouchers'!$E$5:$E$2005,$A85,'Journal Vouchers'!$B$5:$B$2005,"&lt;="&amp;ReportTo))</f>
        <v/>
      </c>
      <c r="C85" s="26">
        <f>IF(A85="",0,SUMIFS('Direct Costs'!$AK$5:$AK$2005,'Direct Costs'!$E$5:$E$2005,$A85,'Direct Costs'!$A$5:$A$2005,"&lt;="&amp;ReportTo)+SUMIFS('Operating Expenses'!$AF$5:$AF$2005,'Operating Expenses'!$E$5:$E$2005,$A85,'Operating Expenses'!$A$5:$A$2005,"&lt;="&amp;ReportTo)+SUMIFS('Payroll'!$AB$5:$AB$2005,'Payroll'!$C$5:$C$2005,$A85,'Payroll'!$A$5:$A$2005,"&lt;="&amp;ReportTo)+SUMIFS('Receipt Vouchers'!$AB$5:$AB$2005,'Receipt Vouchers'!$E$5:$E$2005,$A85,'Receipt Vouchers'!$A$5:$A$2005,"&lt;="&amp;ReportTo)+SUMIFS('Sales Invoices'!$AC$5:$AC$2005,'Sales Invoices'!$H$5:$H$2005,$A85,'Sales Invoices'!$B$5:$B$2005,"&lt;="&amp;ReportTo)+SUMIFS('Payment Vouchers'!$S$5:$S$2005,'Payment Vouchers'!$B$5:$B$2005,$A85,'Payment Vouchers'!$A$5:$A$2005,"&lt;="&amp;ReportTo)+SUMIFS('Partner Transactions'!$U$5:$U$2005,'Partner Transactions'!$B$5:$B$2005,$A85,'Partner Transactions'!$A$5:$A$2005,"&lt;="&amp;ReportTo)+SUMIFS('Stock Moves'!$AQ$5:$AQ$2005,'Stock Moves'!$J$5:$J$2005,$A85,'Stock Moves'!$A$5:$A$2005,"&lt;="&amp;ReportTo)+SUMIFS('Journal Vouchers'!$S$5:$S$2005,'Journal Vouchers'!$E$5:$E$2005,$A85,'Journal Vouchers'!$B$5:$B$2005,"&lt;="&amp;ReportTo))</f>
        <v/>
      </c>
      <c r="D85" s="26">
        <f>B85+C85</f>
        <v/>
      </c>
    </row>
    <row r="86">
      <c r="A86" s="25">
        <f>IF(Parties!A86="","",Parties!A86)</f>
        <v/>
      </c>
      <c r="B86" s="26">
        <f>IF(A86="",0,SUMIFS('Direct Costs'!$AJ$5:$AJ$2005,'Direct Costs'!$E$5:$E$2005,$A86,'Direct Costs'!$A$5:$A$2005,"&lt;="&amp;ReportTo)+SUMIFS('Operating Expenses'!$AE$5:$AE$2005,'Operating Expenses'!$E$5:$E$2005,$A86,'Operating Expenses'!$A$5:$A$2005,"&lt;="&amp;ReportTo)+SUMIFS('Payroll'!$AA$5:$AA$2005,'Payroll'!$C$5:$C$2005,$A86,'Payroll'!$A$5:$A$2005,"&lt;="&amp;ReportTo)+SUMIFS('Receipt Vouchers'!$AA$5:$AA$2005,'Receipt Vouchers'!$E$5:$E$2005,$A86,'Receipt Vouchers'!$A$5:$A$2005,"&lt;="&amp;ReportTo)+SUMIFS('Sales Invoices'!$AB$5:$AB$2005,'Sales Invoices'!$H$5:$H$2005,$A86,'Sales Invoices'!$B$5:$B$2005,"&lt;="&amp;ReportTo)+SUMIFS('Payment Vouchers'!$R$5:$R$2005,'Payment Vouchers'!$B$5:$B$2005,$A86,'Payment Vouchers'!$A$5:$A$2005,"&lt;="&amp;ReportTo)+SUMIFS('Partner Transactions'!$T$5:$T$2005,'Partner Transactions'!$B$5:$B$2005,$A86,'Partner Transactions'!$A$5:$A$2005,"&lt;="&amp;ReportTo)+SUMIFS('Stock Moves'!$AP$5:$AP$2005,'Stock Moves'!$J$5:$J$2005,$A86,'Stock Moves'!$A$5:$A$2005,"&lt;="&amp;ReportTo)+SUMIFS('Journal Vouchers'!$R$5:$R$2005,'Journal Vouchers'!$E$5:$E$2005,$A86,'Journal Vouchers'!$B$5:$B$2005,"&lt;="&amp;ReportTo))</f>
        <v/>
      </c>
      <c r="C86" s="26">
        <f>IF(A86="",0,SUMIFS('Direct Costs'!$AK$5:$AK$2005,'Direct Costs'!$E$5:$E$2005,$A86,'Direct Costs'!$A$5:$A$2005,"&lt;="&amp;ReportTo)+SUMIFS('Operating Expenses'!$AF$5:$AF$2005,'Operating Expenses'!$E$5:$E$2005,$A86,'Operating Expenses'!$A$5:$A$2005,"&lt;="&amp;ReportTo)+SUMIFS('Payroll'!$AB$5:$AB$2005,'Payroll'!$C$5:$C$2005,$A86,'Payroll'!$A$5:$A$2005,"&lt;="&amp;ReportTo)+SUMIFS('Receipt Vouchers'!$AB$5:$AB$2005,'Receipt Vouchers'!$E$5:$E$2005,$A86,'Receipt Vouchers'!$A$5:$A$2005,"&lt;="&amp;ReportTo)+SUMIFS('Sales Invoices'!$AC$5:$AC$2005,'Sales Invoices'!$H$5:$H$2005,$A86,'Sales Invoices'!$B$5:$B$2005,"&lt;="&amp;ReportTo)+SUMIFS('Payment Vouchers'!$S$5:$S$2005,'Payment Vouchers'!$B$5:$B$2005,$A86,'Payment Vouchers'!$A$5:$A$2005,"&lt;="&amp;ReportTo)+SUMIFS('Partner Transactions'!$U$5:$U$2005,'Partner Transactions'!$B$5:$B$2005,$A86,'Partner Transactions'!$A$5:$A$2005,"&lt;="&amp;ReportTo)+SUMIFS('Stock Moves'!$AQ$5:$AQ$2005,'Stock Moves'!$J$5:$J$2005,$A86,'Stock Moves'!$A$5:$A$2005,"&lt;="&amp;ReportTo)+SUMIFS('Journal Vouchers'!$S$5:$S$2005,'Journal Vouchers'!$E$5:$E$2005,$A86,'Journal Vouchers'!$B$5:$B$2005,"&lt;="&amp;ReportTo))</f>
        <v/>
      </c>
      <c r="D86" s="26">
        <f>B86+C86</f>
        <v/>
      </c>
    </row>
    <row r="87">
      <c r="A87" s="25">
        <f>IF(Parties!A87="","",Parties!A87)</f>
        <v/>
      </c>
      <c r="B87" s="26">
        <f>IF(A87="",0,SUMIFS('Direct Costs'!$AJ$5:$AJ$2005,'Direct Costs'!$E$5:$E$2005,$A87,'Direct Costs'!$A$5:$A$2005,"&lt;="&amp;ReportTo)+SUMIFS('Operating Expenses'!$AE$5:$AE$2005,'Operating Expenses'!$E$5:$E$2005,$A87,'Operating Expenses'!$A$5:$A$2005,"&lt;="&amp;ReportTo)+SUMIFS('Payroll'!$AA$5:$AA$2005,'Payroll'!$C$5:$C$2005,$A87,'Payroll'!$A$5:$A$2005,"&lt;="&amp;ReportTo)+SUMIFS('Receipt Vouchers'!$AA$5:$AA$2005,'Receipt Vouchers'!$E$5:$E$2005,$A87,'Receipt Vouchers'!$A$5:$A$2005,"&lt;="&amp;ReportTo)+SUMIFS('Sales Invoices'!$AB$5:$AB$2005,'Sales Invoices'!$H$5:$H$2005,$A87,'Sales Invoices'!$B$5:$B$2005,"&lt;="&amp;ReportTo)+SUMIFS('Payment Vouchers'!$R$5:$R$2005,'Payment Vouchers'!$B$5:$B$2005,$A87,'Payment Vouchers'!$A$5:$A$2005,"&lt;="&amp;ReportTo)+SUMIFS('Partner Transactions'!$T$5:$T$2005,'Partner Transactions'!$B$5:$B$2005,$A87,'Partner Transactions'!$A$5:$A$2005,"&lt;="&amp;ReportTo)+SUMIFS('Stock Moves'!$AP$5:$AP$2005,'Stock Moves'!$J$5:$J$2005,$A87,'Stock Moves'!$A$5:$A$2005,"&lt;="&amp;ReportTo)+SUMIFS('Journal Vouchers'!$R$5:$R$2005,'Journal Vouchers'!$E$5:$E$2005,$A87,'Journal Vouchers'!$B$5:$B$2005,"&lt;="&amp;ReportTo))</f>
        <v/>
      </c>
      <c r="C87" s="26">
        <f>IF(A87="",0,SUMIFS('Direct Costs'!$AK$5:$AK$2005,'Direct Costs'!$E$5:$E$2005,$A87,'Direct Costs'!$A$5:$A$2005,"&lt;="&amp;ReportTo)+SUMIFS('Operating Expenses'!$AF$5:$AF$2005,'Operating Expenses'!$E$5:$E$2005,$A87,'Operating Expenses'!$A$5:$A$2005,"&lt;="&amp;ReportTo)+SUMIFS('Payroll'!$AB$5:$AB$2005,'Payroll'!$C$5:$C$2005,$A87,'Payroll'!$A$5:$A$2005,"&lt;="&amp;ReportTo)+SUMIFS('Receipt Vouchers'!$AB$5:$AB$2005,'Receipt Vouchers'!$E$5:$E$2005,$A87,'Receipt Vouchers'!$A$5:$A$2005,"&lt;="&amp;ReportTo)+SUMIFS('Sales Invoices'!$AC$5:$AC$2005,'Sales Invoices'!$H$5:$H$2005,$A87,'Sales Invoices'!$B$5:$B$2005,"&lt;="&amp;ReportTo)+SUMIFS('Payment Vouchers'!$S$5:$S$2005,'Payment Vouchers'!$B$5:$B$2005,$A87,'Payment Vouchers'!$A$5:$A$2005,"&lt;="&amp;ReportTo)+SUMIFS('Partner Transactions'!$U$5:$U$2005,'Partner Transactions'!$B$5:$B$2005,$A87,'Partner Transactions'!$A$5:$A$2005,"&lt;="&amp;ReportTo)+SUMIFS('Stock Moves'!$AQ$5:$AQ$2005,'Stock Moves'!$J$5:$J$2005,$A87,'Stock Moves'!$A$5:$A$2005,"&lt;="&amp;ReportTo)+SUMIFS('Journal Vouchers'!$S$5:$S$2005,'Journal Vouchers'!$E$5:$E$2005,$A87,'Journal Vouchers'!$B$5:$B$2005,"&lt;="&amp;ReportTo))</f>
        <v/>
      </c>
      <c r="D87" s="26">
        <f>B87+C87</f>
        <v/>
      </c>
    </row>
    <row r="88">
      <c r="A88" s="25">
        <f>IF(Parties!A88="","",Parties!A88)</f>
        <v/>
      </c>
      <c r="B88" s="26">
        <f>IF(A88="",0,SUMIFS('Direct Costs'!$AJ$5:$AJ$2005,'Direct Costs'!$E$5:$E$2005,$A88,'Direct Costs'!$A$5:$A$2005,"&lt;="&amp;ReportTo)+SUMIFS('Operating Expenses'!$AE$5:$AE$2005,'Operating Expenses'!$E$5:$E$2005,$A88,'Operating Expenses'!$A$5:$A$2005,"&lt;="&amp;ReportTo)+SUMIFS('Payroll'!$AA$5:$AA$2005,'Payroll'!$C$5:$C$2005,$A88,'Payroll'!$A$5:$A$2005,"&lt;="&amp;ReportTo)+SUMIFS('Receipt Vouchers'!$AA$5:$AA$2005,'Receipt Vouchers'!$E$5:$E$2005,$A88,'Receipt Vouchers'!$A$5:$A$2005,"&lt;="&amp;ReportTo)+SUMIFS('Sales Invoices'!$AB$5:$AB$2005,'Sales Invoices'!$H$5:$H$2005,$A88,'Sales Invoices'!$B$5:$B$2005,"&lt;="&amp;ReportTo)+SUMIFS('Payment Vouchers'!$R$5:$R$2005,'Payment Vouchers'!$B$5:$B$2005,$A88,'Payment Vouchers'!$A$5:$A$2005,"&lt;="&amp;ReportTo)+SUMIFS('Partner Transactions'!$T$5:$T$2005,'Partner Transactions'!$B$5:$B$2005,$A88,'Partner Transactions'!$A$5:$A$2005,"&lt;="&amp;ReportTo)+SUMIFS('Stock Moves'!$AP$5:$AP$2005,'Stock Moves'!$J$5:$J$2005,$A88,'Stock Moves'!$A$5:$A$2005,"&lt;="&amp;ReportTo)+SUMIFS('Journal Vouchers'!$R$5:$R$2005,'Journal Vouchers'!$E$5:$E$2005,$A88,'Journal Vouchers'!$B$5:$B$2005,"&lt;="&amp;ReportTo))</f>
        <v/>
      </c>
      <c r="C88" s="26">
        <f>IF(A88="",0,SUMIFS('Direct Costs'!$AK$5:$AK$2005,'Direct Costs'!$E$5:$E$2005,$A88,'Direct Costs'!$A$5:$A$2005,"&lt;="&amp;ReportTo)+SUMIFS('Operating Expenses'!$AF$5:$AF$2005,'Operating Expenses'!$E$5:$E$2005,$A88,'Operating Expenses'!$A$5:$A$2005,"&lt;="&amp;ReportTo)+SUMIFS('Payroll'!$AB$5:$AB$2005,'Payroll'!$C$5:$C$2005,$A88,'Payroll'!$A$5:$A$2005,"&lt;="&amp;ReportTo)+SUMIFS('Receipt Vouchers'!$AB$5:$AB$2005,'Receipt Vouchers'!$E$5:$E$2005,$A88,'Receipt Vouchers'!$A$5:$A$2005,"&lt;="&amp;ReportTo)+SUMIFS('Sales Invoices'!$AC$5:$AC$2005,'Sales Invoices'!$H$5:$H$2005,$A88,'Sales Invoices'!$B$5:$B$2005,"&lt;="&amp;ReportTo)+SUMIFS('Payment Vouchers'!$S$5:$S$2005,'Payment Vouchers'!$B$5:$B$2005,$A88,'Payment Vouchers'!$A$5:$A$2005,"&lt;="&amp;ReportTo)+SUMIFS('Partner Transactions'!$U$5:$U$2005,'Partner Transactions'!$B$5:$B$2005,$A88,'Partner Transactions'!$A$5:$A$2005,"&lt;="&amp;ReportTo)+SUMIFS('Stock Moves'!$AQ$5:$AQ$2005,'Stock Moves'!$J$5:$J$2005,$A88,'Stock Moves'!$A$5:$A$2005,"&lt;="&amp;ReportTo)+SUMIFS('Journal Vouchers'!$S$5:$S$2005,'Journal Vouchers'!$E$5:$E$2005,$A88,'Journal Vouchers'!$B$5:$B$2005,"&lt;="&amp;ReportTo))</f>
        <v/>
      </c>
      <c r="D88" s="26">
        <f>B88+C88</f>
        <v/>
      </c>
    </row>
    <row r="89">
      <c r="A89" s="25">
        <f>IF(Parties!A89="","",Parties!A89)</f>
        <v/>
      </c>
      <c r="B89" s="26">
        <f>IF(A89="",0,SUMIFS('Direct Costs'!$AJ$5:$AJ$2005,'Direct Costs'!$E$5:$E$2005,$A89,'Direct Costs'!$A$5:$A$2005,"&lt;="&amp;ReportTo)+SUMIFS('Operating Expenses'!$AE$5:$AE$2005,'Operating Expenses'!$E$5:$E$2005,$A89,'Operating Expenses'!$A$5:$A$2005,"&lt;="&amp;ReportTo)+SUMIFS('Payroll'!$AA$5:$AA$2005,'Payroll'!$C$5:$C$2005,$A89,'Payroll'!$A$5:$A$2005,"&lt;="&amp;ReportTo)+SUMIFS('Receipt Vouchers'!$AA$5:$AA$2005,'Receipt Vouchers'!$E$5:$E$2005,$A89,'Receipt Vouchers'!$A$5:$A$2005,"&lt;="&amp;ReportTo)+SUMIFS('Sales Invoices'!$AB$5:$AB$2005,'Sales Invoices'!$H$5:$H$2005,$A89,'Sales Invoices'!$B$5:$B$2005,"&lt;="&amp;ReportTo)+SUMIFS('Payment Vouchers'!$R$5:$R$2005,'Payment Vouchers'!$B$5:$B$2005,$A89,'Payment Vouchers'!$A$5:$A$2005,"&lt;="&amp;ReportTo)+SUMIFS('Partner Transactions'!$T$5:$T$2005,'Partner Transactions'!$B$5:$B$2005,$A89,'Partner Transactions'!$A$5:$A$2005,"&lt;="&amp;ReportTo)+SUMIFS('Stock Moves'!$AP$5:$AP$2005,'Stock Moves'!$J$5:$J$2005,$A89,'Stock Moves'!$A$5:$A$2005,"&lt;="&amp;ReportTo)+SUMIFS('Journal Vouchers'!$R$5:$R$2005,'Journal Vouchers'!$E$5:$E$2005,$A89,'Journal Vouchers'!$B$5:$B$2005,"&lt;="&amp;ReportTo))</f>
        <v/>
      </c>
      <c r="C89" s="26">
        <f>IF(A89="",0,SUMIFS('Direct Costs'!$AK$5:$AK$2005,'Direct Costs'!$E$5:$E$2005,$A89,'Direct Costs'!$A$5:$A$2005,"&lt;="&amp;ReportTo)+SUMIFS('Operating Expenses'!$AF$5:$AF$2005,'Operating Expenses'!$E$5:$E$2005,$A89,'Operating Expenses'!$A$5:$A$2005,"&lt;="&amp;ReportTo)+SUMIFS('Payroll'!$AB$5:$AB$2005,'Payroll'!$C$5:$C$2005,$A89,'Payroll'!$A$5:$A$2005,"&lt;="&amp;ReportTo)+SUMIFS('Receipt Vouchers'!$AB$5:$AB$2005,'Receipt Vouchers'!$E$5:$E$2005,$A89,'Receipt Vouchers'!$A$5:$A$2005,"&lt;="&amp;ReportTo)+SUMIFS('Sales Invoices'!$AC$5:$AC$2005,'Sales Invoices'!$H$5:$H$2005,$A89,'Sales Invoices'!$B$5:$B$2005,"&lt;="&amp;ReportTo)+SUMIFS('Payment Vouchers'!$S$5:$S$2005,'Payment Vouchers'!$B$5:$B$2005,$A89,'Payment Vouchers'!$A$5:$A$2005,"&lt;="&amp;ReportTo)+SUMIFS('Partner Transactions'!$U$5:$U$2005,'Partner Transactions'!$B$5:$B$2005,$A89,'Partner Transactions'!$A$5:$A$2005,"&lt;="&amp;ReportTo)+SUMIFS('Stock Moves'!$AQ$5:$AQ$2005,'Stock Moves'!$J$5:$J$2005,$A89,'Stock Moves'!$A$5:$A$2005,"&lt;="&amp;ReportTo)+SUMIFS('Journal Vouchers'!$S$5:$S$2005,'Journal Vouchers'!$E$5:$E$2005,$A89,'Journal Vouchers'!$B$5:$B$2005,"&lt;="&amp;ReportTo))</f>
        <v/>
      </c>
      <c r="D89" s="26">
        <f>B89+C89</f>
        <v/>
      </c>
    </row>
    <row r="90">
      <c r="A90" s="25">
        <f>IF(Parties!A90="","",Parties!A90)</f>
        <v/>
      </c>
      <c r="B90" s="26">
        <f>IF(A90="",0,SUMIFS('Direct Costs'!$AJ$5:$AJ$2005,'Direct Costs'!$E$5:$E$2005,$A90,'Direct Costs'!$A$5:$A$2005,"&lt;="&amp;ReportTo)+SUMIFS('Operating Expenses'!$AE$5:$AE$2005,'Operating Expenses'!$E$5:$E$2005,$A90,'Operating Expenses'!$A$5:$A$2005,"&lt;="&amp;ReportTo)+SUMIFS('Payroll'!$AA$5:$AA$2005,'Payroll'!$C$5:$C$2005,$A90,'Payroll'!$A$5:$A$2005,"&lt;="&amp;ReportTo)+SUMIFS('Receipt Vouchers'!$AA$5:$AA$2005,'Receipt Vouchers'!$E$5:$E$2005,$A90,'Receipt Vouchers'!$A$5:$A$2005,"&lt;="&amp;ReportTo)+SUMIFS('Sales Invoices'!$AB$5:$AB$2005,'Sales Invoices'!$H$5:$H$2005,$A90,'Sales Invoices'!$B$5:$B$2005,"&lt;="&amp;ReportTo)+SUMIFS('Payment Vouchers'!$R$5:$R$2005,'Payment Vouchers'!$B$5:$B$2005,$A90,'Payment Vouchers'!$A$5:$A$2005,"&lt;="&amp;ReportTo)+SUMIFS('Partner Transactions'!$T$5:$T$2005,'Partner Transactions'!$B$5:$B$2005,$A90,'Partner Transactions'!$A$5:$A$2005,"&lt;="&amp;ReportTo)+SUMIFS('Stock Moves'!$AP$5:$AP$2005,'Stock Moves'!$J$5:$J$2005,$A90,'Stock Moves'!$A$5:$A$2005,"&lt;="&amp;ReportTo)+SUMIFS('Journal Vouchers'!$R$5:$R$2005,'Journal Vouchers'!$E$5:$E$2005,$A90,'Journal Vouchers'!$B$5:$B$2005,"&lt;="&amp;ReportTo))</f>
        <v/>
      </c>
      <c r="C90" s="26">
        <f>IF(A90="",0,SUMIFS('Direct Costs'!$AK$5:$AK$2005,'Direct Costs'!$E$5:$E$2005,$A90,'Direct Costs'!$A$5:$A$2005,"&lt;="&amp;ReportTo)+SUMIFS('Operating Expenses'!$AF$5:$AF$2005,'Operating Expenses'!$E$5:$E$2005,$A90,'Operating Expenses'!$A$5:$A$2005,"&lt;="&amp;ReportTo)+SUMIFS('Payroll'!$AB$5:$AB$2005,'Payroll'!$C$5:$C$2005,$A90,'Payroll'!$A$5:$A$2005,"&lt;="&amp;ReportTo)+SUMIFS('Receipt Vouchers'!$AB$5:$AB$2005,'Receipt Vouchers'!$E$5:$E$2005,$A90,'Receipt Vouchers'!$A$5:$A$2005,"&lt;="&amp;ReportTo)+SUMIFS('Sales Invoices'!$AC$5:$AC$2005,'Sales Invoices'!$H$5:$H$2005,$A90,'Sales Invoices'!$B$5:$B$2005,"&lt;="&amp;ReportTo)+SUMIFS('Payment Vouchers'!$S$5:$S$2005,'Payment Vouchers'!$B$5:$B$2005,$A90,'Payment Vouchers'!$A$5:$A$2005,"&lt;="&amp;ReportTo)+SUMIFS('Partner Transactions'!$U$5:$U$2005,'Partner Transactions'!$B$5:$B$2005,$A90,'Partner Transactions'!$A$5:$A$2005,"&lt;="&amp;ReportTo)+SUMIFS('Stock Moves'!$AQ$5:$AQ$2005,'Stock Moves'!$J$5:$J$2005,$A90,'Stock Moves'!$A$5:$A$2005,"&lt;="&amp;ReportTo)+SUMIFS('Journal Vouchers'!$S$5:$S$2005,'Journal Vouchers'!$E$5:$E$2005,$A90,'Journal Vouchers'!$B$5:$B$2005,"&lt;="&amp;ReportTo))</f>
        <v/>
      </c>
      <c r="D90" s="26">
        <f>B90+C90</f>
        <v/>
      </c>
    </row>
    <row r="91">
      <c r="A91" s="25">
        <f>IF(Parties!A91="","",Parties!A91)</f>
        <v/>
      </c>
      <c r="B91" s="26">
        <f>IF(A91="",0,SUMIFS('Direct Costs'!$AJ$5:$AJ$2005,'Direct Costs'!$E$5:$E$2005,$A91,'Direct Costs'!$A$5:$A$2005,"&lt;="&amp;ReportTo)+SUMIFS('Operating Expenses'!$AE$5:$AE$2005,'Operating Expenses'!$E$5:$E$2005,$A91,'Operating Expenses'!$A$5:$A$2005,"&lt;="&amp;ReportTo)+SUMIFS('Payroll'!$AA$5:$AA$2005,'Payroll'!$C$5:$C$2005,$A91,'Payroll'!$A$5:$A$2005,"&lt;="&amp;ReportTo)+SUMIFS('Receipt Vouchers'!$AA$5:$AA$2005,'Receipt Vouchers'!$E$5:$E$2005,$A91,'Receipt Vouchers'!$A$5:$A$2005,"&lt;="&amp;ReportTo)+SUMIFS('Sales Invoices'!$AB$5:$AB$2005,'Sales Invoices'!$H$5:$H$2005,$A91,'Sales Invoices'!$B$5:$B$2005,"&lt;="&amp;ReportTo)+SUMIFS('Payment Vouchers'!$R$5:$R$2005,'Payment Vouchers'!$B$5:$B$2005,$A91,'Payment Vouchers'!$A$5:$A$2005,"&lt;="&amp;ReportTo)+SUMIFS('Partner Transactions'!$T$5:$T$2005,'Partner Transactions'!$B$5:$B$2005,$A91,'Partner Transactions'!$A$5:$A$2005,"&lt;="&amp;ReportTo)+SUMIFS('Stock Moves'!$AP$5:$AP$2005,'Stock Moves'!$J$5:$J$2005,$A91,'Stock Moves'!$A$5:$A$2005,"&lt;="&amp;ReportTo)+SUMIFS('Journal Vouchers'!$R$5:$R$2005,'Journal Vouchers'!$E$5:$E$2005,$A91,'Journal Vouchers'!$B$5:$B$2005,"&lt;="&amp;ReportTo))</f>
        <v/>
      </c>
      <c r="C91" s="26">
        <f>IF(A91="",0,SUMIFS('Direct Costs'!$AK$5:$AK$2005,'Direct Costs'!$E$5:$E$2005,$A91,'Direct Costs'!$A$5:$A$2005,"&lt;="&amp;ReportTo)+SUMIFS('Operating Expenses'!$AF$5:$AF$2005,'Operating Expenses'!$E$5:$E$2005,$A91,'Operating Expenses'!$A$5:$A$2005,"&lt;="&amp;ReportTo)+SUMIFS('Payroll'!$AB$5:$AB$2005,'Payroll'!$C$5:$C$2005,$A91,'Payroll'!$A$5:$A$2005,"&lt;="&amp;ReportTo)+SUMIFS('Receipt Vouchers'!$AB$5:$AB$2005,'Receipt Vouchers'!$E$5:$E$2005,$A91,'Receipt Vouchers'!$A$5:$A$2005,"&lt;="&amp;ReportTo)+SUMIFS('Sales Invoices'!$AC$5:$AC$2005,'Sales Invoices'!$H$5:$H$2005,$A91,'Sales Invoices'!$B$5:$B$2005,"&lt;="&amp;ReportTo)+SUMIFS('Payment Vouchers'!$S$5:$S$2005,'Payment Vouchers'!$B$5:$B$2005,$A91,'Payment Vouchers'!$A$5:$A$2005,"&lt;="&amp;ReportTo)+SUMIFS('Partner Transactions'!$U$5:$U$2005,'Partner Transactions'!$B$5:$B$2005,$A91,'Partner Transactions'!$A$5:$A$2005,"&lt;="&amp;ReportTo)+SUMIFS('Stock Moves'!$AQ$5:$AQ$2005,'Stock Moves'!$J$5:$J$2005,$A91,'Stock Moves'!$A$5:$A$2005,"&lt;="&amp;ReportTo)+SUMIFS('Journal Vouchers'!$S$5:$S$2005,'Journal Vouchers'!$E$5:$E$2005,$A91,'Journal Vouchers'!$B$5:$B$2005,"&lt;="&amp;ReportTo))</f>
        <v/>
      </c>
      <c r="D91" s="26">
        <f>B91+C91</f>
        <v/>
      </c>
    </row>
    <row r="92">
      <c r="A92" s="25">
        <f>IF(Parties!A92="","",Parties!A92)</f>
        <v/>
      </c>
      <c r="B92" s="26">
        <f>IF(A92="",0,SUMIFS('Direct Costs'!$AJ$5:$AJ$2005,'Direct Costs'!$E$5:$E$2005,$A92,'Direct Costs'!$A$5:$A$2005,"&lt;="&amp;ReportTo)+SUMIFS('Operating Expenses'!$AE$5:$AE$2005,'Operating Expenses'!$E$5:$E$2005,$A92,'Operating Expenses'!$A$5:$A$2005,"&lt;="&amp;ReportTo)+SUMIFS('Payroll'!$AA$5:$AA$2005,'Payroll'!$C$5:$C$2005,$A92,'Payroll'!$A$5:$A$2005,"&lt;="&amp;ReportTo)+SUMIFS('Receipt Vouchers'!$AA$5:$AA$2005,'Receipt Vouchers'!$E$5:$E$2005,$A92,'Receipt Vouchers'!$A$5:$A$2005,"&lt;="&amp;ReportTo)+SUMIFS('Sales Invoices'!$AB$5:$AB$2005,'Sales Invoices'!$H$5:$H$2005,$A92,'Sales Invoices'!$B$5:$B$2005,"&lt;="&amp;ReportTo)+SUMIFS('Payment Vouchers'!$R$5:$R$2005,'Payment Vouchers'!$B$5:$B$2005,$A92,'Payment Vouchers'!$A$5:$A$2005,"&lt;="&amp;ReportTo)+SUMIFS('Partner Transactions'!$T$5:$T$2005,'Partner Transactions'!$B$5:$B$2005,$A92,'Partner Transactions'!$A$5:$A$2005,"&lt;="&amp;ReportTo)+SUMIFS('Stock Moves'!$AP$5:$AP$2005,'Stock Moves'!$J$5:$J$2005,$A92,'Stock Moves'!$A$5:$A$2005,"&lt;="&amp;ReportTo)+SUMIFS('Journal Vouchers'!$R$5:$R$2005,'Journal Vouchers'!$E$5:$E$2005,$A92,'Journal Vouchers'!$B$5:$B$2005,"&lt;="&amp;ReportTo))</f>
        <v/>
      </c>
      <c r="C92" s="26">
        <f>IF(A92="",0,SUMIFS('Direct Costs'!$AK$5:$AK$2005,'Direct Costs'!$E$5:$E$2005,$A92,'Direct Costs'!$A$5:$A$2005,"&lt;="&amp;ReportTo)+SUMIFS('Operating Expenses'!$AF$5:$AF$2005,'Operating Expenses'!$E$5:$E$2005,$A92,'Operating Expenses'!$A$5:$A$2005,"&lt;="&amp;ReportTo)+SUMIFS('Payroll'!$AB$5:$AB$2005,'Payroll'!$C$5:$C$2005,$A92,'Payroll'!$A$5:$A$2005,"&lt;="&amp;ReportTo)+SUMIFS('Receipt Vouchers'!$AB$5:$AB$2005,'Receipt Vouchers'!$E$5:$E$2005,$A92,'Receipt Vouchers'!$A$5:$A$2005,"&lt;="&amp;ReportTo)+SUMIFS('Sales Invoices'!$AC$5:$AC$2005,'Sales Invoices'!$H$5:$H$2005,$A92,'Sales Invoices'!$B$5:$B$2005,"&lt;="&amp;ReportTo)+SUMIFS('Payment Vouchers'!$S$5:$S$2005,'Payment Vouchers'!$B$5:$B$2005,$A92,'Payment Vouchers'!$A$5:$A$2005,"&lt;="&amp;ReportTo)+SUMIFS('Partner Transactions'!$U$5:$U$2005,'Partner Transactions'!$B$5:$B$2005,$A92,'Partner Transactions'!$A$5:$A$2005,"&lt;="&amp;ReportTo)+SUMIFS('Stock Moves'!$AQ$5:$AQ$2005,'Stock Moves'!$J$5:$J$2005,$A92,'Stock Moves'!$A$5:$A$2005,"&lt;="&amp;ReportTo)+SUMIFS('Journal Vouchers'!$S$5:$S$2005,'Journal Vouchers'!$E$5:$E$2005,$A92,'Journal Vouchers'!$B$5:$B$2005,"&lt;="&amp;ReportTo))</f>
        <v/>
      </c>
      <c r="D92" s="26">
        <f>B92+C92</f>
        <v/>
      </c>
    </row>
    <row r="93">
      <c r="A93" s="25">
        <f>IF(Parties!A93="","",Parties!A93)</f>
        <v/>
      </c>
      <c r="B93" s="26">
        <f>IF(A93="",0,SUMIFS('Direct Costs'!$AJ$5:$AJ$2005,'Direct Costs'!$E$5:$E$2005,$A93,'Direct Costs'!$A$5:$A$2005,"&lt;="&amp;ReportTo)+SUMIFS('Operating Expenses'!$AE$5:$AE$2005,'Operating Expenses'!$E$5:$E$2005,$A93,'Operating Expenses'!$A$5:$A$2005,"&lt;="&amp;ReportTo)+SUMIFS('Payroll'!$AA$5:$AA$2005,'Payroll'!$C$5:$C$2005,$A93,'Payroll'!$A$5:$A$2005,"&lt;="&amp;ReportTo)+SUMIFS('Receipt Vouchers'!$AA$5:$AA$2005,'Receipt Vouchers'!$E$5:$E$2005,$A93,'Receipt Vouchers'!$A$5:$A$2005,"&lt;="&amp;ReportTo)+SUMIFS('Sales Invoices'!$AB$5:$AB$2005,'Sales Invoices'!$H$5:$H$2005,$A93,'Sales Invoices'!$B$5:$B$2005,"&lt;="&amp;ReportTo)+SUMIFS('Payment Vouchers'!$R$5:$R$2005,'Payment Vouchers'!$B$5:$B$2005,$A93,'Payment Vouchers'!$A$5:$A$2005,"&lt;="&amp;ReportTo)+SUMIFS('Partner Transactions'!$T$5:$T$2005,'Partner Transactions'!$B$5:$B$2005,$A93,'Partner Transactions'!$A$5:$A$2005,"&lt;="&amp;ReportTo)+SUMIFS('Stock Moves'!$AP$5:$AP$2005,'Stock Moves'!$J$5:$J$2005,$A93,'Stock Moves'!$A$5:$A$2005,"&lt;="&amp;ReportTo)+SUMIFS('Journal Vouchers'!$R$5:$R$2005,'Journal Vouchers'!$E$5:$E$2005,$A93,'Journal Vouchers'!$B$5:$B$2005,"&lt;="&amp;ReportTo))</f>
        <v/>
      </c>
      <c r="C93" s="26">
        <f>IF(A93="",0,SUMIFS('Direct Costs'!$AK$5:$AK$2005,'Direct Costs'!$E$5:$E$2005,$A93,'Direct Costs'!$A$5:$A$2005,"&lt;="&amp;ReportTo)+SUMIFS('Operating Expenses'!$AF$5:$AF$2005,'Operating Expenses'!$E$5:$E$2005,$A93,'Operating Expenses'!$A$5:$A$2005,"&lt;="&amp;ReportTo)+SUMIFS('Payroll'!$AB$5:$AB$2005,'Payroll'!$C$5:$C$2005,$A93,'Payroll'!$A$5:$A$2005,"&lt;="&amp;ReportTo)+SUMIFS('Receipt Vouchers'!$AB$5:$AB$2005,'Receipt Vouchers'!$E$5:$E$2005,$A93,'Receipt Vouchers'!$A$5:$A$2005,"&lt;="&amp;ReportTo)+SUMIFS('Sales Invoices'!$AC$5:$AC$2005,'Sales Invoices'!$H$5:$H$2005,$A93,'Sales Invoices'!$B$5:$B$2005,"&lt;="&amp;ReportTo)+SUMIFS('Payment Vouchers'!$S$5:$S$2005,'Payment Vouchers'!$B$5:$B$2005,$A93,'Payment Vouchers'!$A$5:$A$2005,"&lt;="&amp;ReportTo)+SUMIFS('Partner Transactions'!$U$5:$U$2005,'Partner Transactions'!$B$5:$B$2005,$A93,'Partner Transactions'!$A$5:$A$2005,"&lt;="&amp;ReportTo)+SUMIFS('Stock Moves'!$AQ$5:$AQ$2005,'Stock Moves'!$J$5:$J$2005,$A93,'Stock Moves'!$A$5:$A$2005,"&lt;="&amp;ReportTo)+SUMIFS('Journal Vouchers'!$S$5:$S$2005,'Journal Vouchers'!$E$5:$E$2005,$A93,'Journal Vouchers'!$B$5:$B$2005,"&lt;="&amp;ReportTo))</f>
        <v/>
      </c>
      <c r="D93" s="26">
        <f>B93+C93</f>
        <v/>
      </c>
    </row>
    <row r="94">
      <c r="A94" s="25">
        <f>IF(Parties!A94="","",Parties!A94)</f>
        <v/>
      </c>
      <c r="B94" s="26">
        <f>IF(A94="",0,SUMIFS('Direct Costs'!$AJ$5:$AJ$2005,'Direct Costs'!$E$5:$E$2005,$A94,'Direct Costs'!$A$5:$A$2005,"&lt;="&amp;ReportTo)+SUMIFS('Operating Expenses'!$AE$5:$AE$2005,'Operating Expenses'!$E$5:$E$2005,$A94,'Operating Expenses'!$A$5:$A$2005,"&lt;="&amp;ReportTo)+SUMIFS('Payroll'!$AA$5:$AA$2005,'Payroll'!$C$5:$C$2005,$A94,'Payroll'!$A$5:$A$2005,"&lt;="&amp;ReportTo)+SUMIFS('Receipt Vouchers'!$AA$5:$AA$2005,'Receipt Vouchers'!$E$5:$E$2005,$A94,'Receipt Vouchers'!$A$5:$A$2005,"&lt;="&amp;ReportTo)+SUMIFS('Sales Invoices'!$AB$5:$AB$2005,'Sales Invoices'!$H$5:$H$2005,$A94,'Sales Invoices'!$B$5:$B$2005,"&lt;="&amp;ReportTo)+SUMIFS('Payment Vouchers'!$R$5:$R$2005,'Payment Vouchers'!$B$5:$B$2005,$A94,'Payment Vouchers'!$A$5:$A$2005,"&lt;="&amp;ReportTo)+SUMIFS('Partner Transactions'!$T$5:$T$2005,'Partner Transactions'!$B$5:$B$2005,$A94,'Partner Transactions'!$A$5:$A$2005,"&lt;="&amp;ReportTo)+SUMIFS('Stock Moves'!$AP$5:$AP$2005,'Stock Moves'!$J$5:$J$2005,$A94,'Stock Moves'!$A$5:$A$2005,"&lt;="&amp;ReportTo)+SUMIFS('Journal Vouchers'!$R$5:$R$2005,'Journal Vouchers'!$E$5:$E$2005,$A94,'Journal Vouchers'!$B$5:$B$2005,"&lt;="&amp;ReportTo))</f>
        <v/>
      </c>
      <c r="C94" s="26">
        <f>IF(A94="",0,SUMIFS('Direct Costs'!$AK$5:$AK$2005,'Direct Costs'!$E$5:$E$2005,$A94,'Direct Costs'!$A$5:$A$2005,"&lt;="&amp;ReportTo)+SUMIFS('Operating Expenses'!$AF$5:$AF$2005,'Operating Expenses'!$E$5:$E$2005,$A94,'Operating Expenses'!$A$5:$A$2005,"&lt;="&amp;ReportTo)+SUMIFS('Payroll'!$AB$5:$AB$2005,'Payroll'!$C$5:$C$2005,$A94,'Payroll'!$A$5:$A$2005,"&lt;="&amp;ReportTo)+SUMIFS('Receipt Vouchers'!$AB$5:$AB$2005,'Receipt Vouchers'!$E$5:$E$2005,$A94,'Receipt Vouchers'!$A$5:$A$2005,"&lt;="&amp;ReportTo)+SUMIFS('Sales Invoices'!$AC$5:$AC$2005,'Sales Invoices'!$H$5:$H$2005,$A94,'Sales Invoices'!$B$5:$B$2005,"&lt;="&amp;ReportTo)+SUMIFS('Payment Vouchers'!$S$5:$S$2005,'Payment Vouchers'!$B$5:$B$2005,$A94,'Payment Vouchers'!$A$5:$A$2005,"&lt;="&amp;ReportTo)+SUMIFS('Partner Transactions'!$U$5:$U$2005,'Partner Transactions'!$B$5:$B$2005,$A94,'Partner Transactions'!$A$5:$A$2005,"&lt;="&amp;ReportTo)+SUMIFS('Stock Moves'!$AQ$5:$AQ$2005,'Stock Moves'!$J$5:$J$2005,$A94,'Stock Moves'!$A$5:$A$2005,"&lt;="&amp;ReportTo)+SUMIFS('Journal Vouchers'!$S$5:$S$2005,'Journal Vouchers'!$E$5:$E$2005,$A94,'Journal Vouchers'!$B$5:$B$2005,"&lt;="&amp;ReportTo))</f>
        <v/>
      </c>
      <c r="D94" s="26">
        <f>B94+C94</f>
        <v/>
      </c>
    </row>
    <row r="95">
      <c r="A95" s="25">
        <f>IF(Parties!A95="","",Parties!A95)</f>
        <v/>
      </c>
      <c r="B95" s="26">
        <f>IF(A95="",0,SUMIFS('Direct Costs'!$AJ$5:$AJ$2005,'Direct Costs'!$E$5:$E$2005,$A95,'Direct Costs'!$A$5:$A$2005,"&lt;="&amp;ReportTo)+SUMIFS('Operating Expenses'!$AE$5:$AE$2005,'Operating Expenses'!$E$5:$E$2005,$A95,'Operating Expenses'!$A$5:$A$2005,"&lt;="&amp;ReportTo)+SUMIFS('Payroll'!$AA$5:$AA$2005,'Payroll'!$C$5:$C$2005,$A95,'Payroll'!$A$5:$A$2005,"&lt;="&amp;ReportTo)+SUMIFS('Receipt Vouchers'!$AA$5:$AA$2005,'Receipt Vouchers'!$E$5:$E$2005,$A95,'Receipt Vouchers'!$A$5:$A$2005,"&lt;="&amp;ReportTo)+SUMIFS('Sales Invoices'!$AB$5:$AB$2005,'Sales Invoices'!$H$5:$H$2005,$A95,'Sales Invoices'!$B$5:$B$2005,"&lt;="&amp;ReportTo)+SUMIFS('Payment Vouchers'!$R$5:$R$2005,'Payment Vouchers'!$B$5:$B$2005,$A95,'Payment Vouchers'!$A$5:$A$2005,"&lt;="&amp;ReportTo)+SUMIFS('Partner Transactions'!$T$5:$T$2005,'Partner Transactions'!$B$5:$B$2005,$A95,'Partner Transactions'!$A$5:$A$2005,"&lt;="&amp;ReportTo)+SUMIFS('Stock Moves'!$AP$5:$AP$2005,'Stock Moves'!$J$5:$J$2005,$A95,'Stock Moves'!$A$5:$A$2005,"&lt;="&amp;ReportTo)+SUMIFS('Journal Vouchers'!$R$5:$R$2005,'Journal Vouchers'!$E$5:$E$2005,$A95,'Journal Vouchers'!$B$5:$B$2005,"&lt;="&amp;ReportTo))</f>
        <v/>
      </c>
      <c r="C95" s="26">
        <f>IF(A95="",0,SUMIFS('Direct Costs'!$AK$5:$AK$2005,'Direct Costs'!$E$5:$E$2005,$A95,'Direct Costs'!$A$5:$A$2005,"&lt;="&amp;ReportTo)+SUMIFS('Operating Expenses'!$AF$5:$AF$2005,'Operating Expenses'!$E$5:$E$2005,$A95,'Operating Expenses'!$A$5:$A$2005,"&lt;="&amp;ReportTo)+SUMIFS('Payroll'!$AB$5:$AB$2005,'Payroll'!$C$5:$C$2005,$A95,'Payroll'!$A$5:$A$2005,"&lt;="&amp;ReportTo)+SUMIFS('Receipt Vouchers'!$AB$5:$AB$2005,'Receipt Vouchers'!$E$5:$E$2005,$A95,'Receipt Vouchers'!$A$5:$A$2005,"&lt;="&amp;ReportTo)+SUMIFS('Sales Invoices'!$AC$5:$AC$2005,'Sales Invoices'!$H$5:$H$2005,$A95,'Sales Invoices'!$B$5:$B$2005,"&lt;="&amp;ReportTo)+SUMIFS('Payment Vouchers'!$S$5:$S$2005,'Payment Vouchers'!$B$5:$B$2005,$A95,'Payment Vouchers'!$A$5:$A$2005,"&lt;="&amp;ReportTo)+SUMIFS('Partner Transactions'!$U$5:$U$2005,'Partner Transactions'!$B$5:$B$2005,$A95,'Partner Transactions'!$A$5:$A$2005,"&lt;="&amp;ReportTo)+SUMIFS('Stock Moves'!$AQ$5:$AQ$2005,'Stock Moves'!$J$5:$J$2005,$A95,'Stock Moves'!$A$5:$A$2005,"&lt;="&amp;ReportTo)+SUMIFS('Journal Vouchers'!$S$5:$S$2005,'Journal Vouchers'!$E$5:$E$2005,$A95,'Journal Vouchers'!$B$5:$B$2005,"&lt;="&amp;ReportTo))</f>
        <v/>
      </c>
      <c r="D95" s="26">
        <f>B95+C95</f>
        <v/>
      </c>
    </row>
    <row r="96">
      <c r="A96" s="25">
        <f>IF(Parties!A96="","",Parties!A96)</f>
        <v/>
      </c>
      <c r="B96" s="26">
        <f>IF(A96="",0,SUMIFS('Direct Costs'!$AJ$5:$AJ$2005,'Direct Costs'!$E$5:$E$2005,$A96,'Direct Costs'!$A$5:$A$2005,"&lt;="&amp;ReportTo)+SUMIFS('Operating Expenses'!$AE$5:$AE$2005,'Operating Expenses'!$E$5:$E$2005,$A96,'Operating Expenses'!$A$5:$A$2005,"&lt;="&amp;ReportTo)+SUMIFS('Payroll'!$AA$5:$AA$2005,'Payroll'!$C$5:$C$2005,$A96,'Payroll'!$A$5:$A$2005,"&lt;="&amp;ReportTo)+SUMIFS('Receipt Vouchers'!$AA$5:$AA$2005,'Receipt Vouchers'!$E$5:$E$2005,$A96,'Receipt Vouchers'!$A$5:$A$2005,"&lt;="&amp;ReportTo)+SUMIFS('Sales Invoices'!$AB$5:$AB$2005,'Sales Invoices'!$H$5:$H$2005,$A96,'Sales Invoices'!$B$5:$B$2005,"&lt;="&amp;ReportTo)+SUMIFS('Payment Vouchers'!$R$5:$R$2005,'Payment Vouchers'!$B$5:$B$2005,$A96,'Payment Vouchers'!$A$5:$A$2005,"&lt;="&amp;ReportTo)+SUMIFS('Partner Transactions'!$T$5:$T$2005,'Partner Transactions'!$B$5:$B$2005,$A96,'Partner Transactions'!$A$5:$A$2005,"&lt;="&amp;ReportTo)+SUMIFS('Stock Moves'!$AP$5:$AP$2005,'Stock Moves'!$J$5:$J$2005,$A96,'Stock Moves'!$A$5:$A$2005,"&lt;="&amp;ReportTo)+SUMIFS('Journal Vouchers'!$R$5:$R$2005,'Journal Vouchers'!$E$5:$E$2005,$A96,'Journal Vouchers'!$B$5:$B$2005,"&lt;="&amp;ReportTo))</f>
        <v/>
      </c>
      <c r="C96" s="26">
        <f>IF(A96="",0,SUMIFS('Direct Costs'!$AK$5:$AK$2005,'Direct Costs'!$E$5:$E$2005,$A96,'Direct Costs'!$A$5:$A$2005,"&lt;="&amp;ReportTo)+SUMIFS('Operating Expenses'!$AF$5:$AF$2005,'Operating Expenses'!$E$5:$E$2005,$A96,'Operating Expenses'!$A$5:$A$2005,"&lt;="&amp;ReportTo)+SUMIFS('Payroll'!$AB$5:$AB$2005,'Payroll'!$C$5:$C$2005,$A96,'Payroll'!$A$5:$A$2005,"&lt;="&amp;ReportTo)+SUMIFS('Receipt Vouchers'!$AB$5:$AB$2005,'Receipt Vouchers'!$E$5:$E$2005,$A96,'Receipt Vouchers'!$A$5:$A$2005,"&lt;="&amp;ReportTo)+SUMIFS('Sales Invoices'!$AC$5:$AC$2005,'Sales Invoices'!$H$5:$H$2005,$A96,'Sales Invoices'!$B$5:$B$2005,"&lt;="&amp;ReportTo)+SUMIFS('Payment Vouchers'!$S$5:$S$2005,'Payment Vouchers'!$B$5:$B$2005,$A96,'Payment Vouchers'!$A$5:$A$2005,"&lt;="&amp;ReportTo)+SUMIFS('Partner Transactions'!$U$5:$U$2005,'Partner Transactions'!$B$5:$B$2005,$A96,'Partner Transactions'!$A$5:$A$2005,"&lt;="&amp;ReportTo)+SUMIFS('Stock Moves'!$AQ$5:$AQ$2005,'Stock Moves'!$J$5:$J$2005,$A96,'Stock Moves'!$A$5:$A$2005,"&lt;="&amp;ReportTo)+SUMIFS('Journal Vouchers'!$S$5:$S$2005,'Journal Vouchers'!$E$5:$E$2005,$A96,'Journal Vouchers'!$B$5:$B$2005,"&lt;="&amp;ReportTo))</f>
        <v/>
      </c>
      <c r="D96" s="26">
        <f>B96+C96</f>
        <v/>
      </c>
    </row>
    <row r="97">
      <c r="A97" s="25">
        <f>IF(Parties!A97="","",Parties!A97)</f>
        <v/>
      </c>
      <c r="B97" s="26">
        <f>IF(A97="",0,SUMIFS('Direct Costs'!$AJ$5:$AJ$2005,'Direct Costs'!$E$5:$E$2005,$A97,'Direct Costs'!$A$5:$A$2005,"&lt;="&amp;ReportTo)+SUMIFS('Operating Expenses'!$AE$5:$AE$2005,'Operating Expenses'!$E$5:$E$2005,$A97,'Operating Expenses'!$A$5:$A$2005,"&lt;="&amp;ReportTo)+SUMIFS('Payroll'!$AA$5:$AA$2005,'Payroll'!$C$5:$C$2005,$A97,'Payroll'!$A$5:$A$2005,"&lt;="&amp;ReportTo)+SUMIFS('Receipt Vouchers'!$AA$5:$AA$2005,'Receipt Vouchers'!$E$5:$E$2005,$A97,'Receipt Vouchers'!$A$5:$A$2005,"&lt;="&amp;ReportTo)+SUMIFS('Sales Invoices'!$AB$5:$AB$2005,'Sales Invoices'!$H$5:$H$2005,$A97,'Sales Invoices'!$B$5:$B$2005,"&lt;="&amp;ReportTo)+SUMIFS('Payment Vouchers'!$R$5:$R$2005,'Payment Vouchers'!$B$5:$B$2005,$A97,'Payment Vouchers'!$A$5:$A$2005,"&lt;="&amp;ReportTo)+SUMIFS('Partner Transactions'!$T$5:$T$2005,'Partner Transactions'!$B$5:$B$2005,$A97,'Partner Transactions'!$A$5:$A$2005,"&lt;="&amp;ReportTo)+SUMIFS('Stock Moves'!$AP$5:$AP$2005,'Stock Moves'!$J$5:$J$2005,$A97,'Stock Moves'!$A$5:$A$2005,"&lt;="&amp;ReportTo)+SUMIFS('Journal Vouchers'!$R$5:$R$2005,'Journal Vouchers'!$E$5:$E$2005,$A97,'Journal Vouchers'!$B$5:$B$2005,"&lt;="&amp;ReportTo))</f>
        <v/>
      </c>
      <c r="C97" s="26">
        <f>IF(A97="",0,SUMIFS('Direct Costs'!$AK$5:$AK$2005,'Direct Costs'!$E$5:$E$2005,$A97,'Direct Costs'!$A$5:$A$2005,"&lt;="&amp;ReportTo)+SUMIFS('Operating Expenses'!$AF$5:$AF$2005,'Operating Expenses'!$E$5:$E$2005,$A97,'Operating Expenses'!$A$5:$A$2005,"&lt;="&amp;ReportTo)+SUMIFS('Payroll'!$AB$5:$AB$2005,'Payroll'!$C$5:$C$2005,$A97,'Payroll'!$A$5:$A$2005,"&lt;="&amp;ReportTo)+SUMIFS('Receipt Vouchers'!$AB$5:$AB$2005,'Receipt Vouchers'!$E$5:$E$2005,$A97,'Receipt Vouchers'!$A$5:$A$2005,"&lt;="&amp;ReportTo)+SUMIFS('Sales Invoices'!$AC$5:$AC$2005,'Sales Invoices'!$H$5:$H$2005,$A97,'Sales Invoices'!$B$5:$B$2005,"&lt;="&amp;ReportTo)+SUMIFS('Payment Vouchers'!$S$5:$S$2005,'Payment Vouchers'!$B$5:$B$2005,$A97,'Payment Vouchers'!$A$5:$A$2005,"&lt;="&amp;ReportTo)+SUMIFS('Partner Transactions'!$U$5:$U$2005,'Partner Transactions'!$B$5:$B$2005,$A97,'Partner Transactions'!$A$5:$A$2005,"&lt;="&amp;ReportTo)+SUMIFS('Stock Moves'!$AQ$5:$AQ$2005,'Stock Moves'!$J$5:$J$2005,$A97,'Stock Moves'!$A$5:$A$2005,"&lt;="&amp;ReportTo)+SUMIFS('Journal Vouchers'!$S$5:$S$2005,'Journal Vouchers'!$E$5:$E$2005,$A97,'Journal Vouchers'!$B$5:$B$2005,"&lt;="&amp;ReportTo))</f>
        <v/>
      </c>
      <c r="D97" s="26">
        <f>B97+C97</f>
        <v/>
      </c>
    </row>
    <row r="98">
      <c r="A98" s="25">
        <f>IF(Parties!A98="","",Parties!A98)</f>
        <v/>
      </c>
      <c r="B98" s="26">
        <f>IF(A98="",0,SUMIFS('Direct Costs'!$AJ$5:$AJ$2005,'Direct Costs'!$E$5:$E$2005,$A98,'Direct Costs'!$A$5:$A$2005,"&lt;="&amp;ReportTo)+SUMIFS('Operating Expenses'!$AE$5:$AE$2005,'Operating Expenses'!$E$5:$E$2005,$A98,'Operating Expenses'!$A$5:$A$2005,"&lt;="&amp;ReportTo)+SUMIFS('Payroll'!$AA$5:$AA$2005,'Payroll'!$C$5:$C$2005,$A98,'Payroll'!$A$5:$A$2005,"&lt;="&amp;ReportTo)+SUMIFS('Receipt Vouchers'!$AA$5:$AA$2005,'Receipt Vouchers'!$E$5:$E$2005,$A98,'Receipt Vouchers'!$A$5:$A$2005,"&lt;="&amp;ReportTo)+SUMIFS('Sales Invoices'!$AB$5:$AB$2005,'Sales Invoices'!$H$5:$H$2005,$A98,'Sales Invoices'!$B$5:$B$2005,"&lt;="&amp;ReportTo)+SUMIFS('Payment Vouchers'!$R$5:$R$2005,'Payment Vouchers'!$B$5:$B$2005,$A98,'Payment Vouchers'!$A$5:$A$2005,"&lt;="&amp;ReportTo)+SUMIFS('Partner Transactions'!$T$5:$T$2005,'Partner Transactions'!$B$5:$B$2005,$A98,'Partner Transactions'!$A$5:$A$2005,"&lt;="&amp;ReportTo)+SUMIFS('Stock Moves'!$AP$5:$AP$2005,'Stock Moves'!$J$5:$J$2005,$A98,'Stock Moves'!$A$5:$A$2005,"&lt;="&amp;ReportTo)+SUMIFS('Journal Vouchers'!$R$5:$R$2005,'Journal Vouchers'!$E$5:$E$2005,$A98,'Journal Vouchers'!$B$5:$B$2005,"&lt;="&amp;ReportTo))</f>
        <v/>
      </c>
      <c r="C98" s="26">
        <f>IF(A98="",0,SUMIFS('Direct Costs'!$AK$5:$AK$2005,'Direct Costs'!$E$5:$E$2005,$A98,'Direct Costs'!$A$5:$A$2005,"&lt;="&amp;ReportTo)+SUMIFS('Operating Expenses'!$AF$5:$AF$2005,'Operating Expenses'!$E$5:$E$2005,$A98,'Operating Expenses'!$A$5:$A$2005,"&lt;="&amp;ReportTo)+SUMIFS('Payroll'!$AB$5:$AB$2005,'Payroll'!$C$5:$C$2005,$A98,'Payroll'!$A$5:$A$2005,"&lt;="&amp;ReportTo)+SUMIFS('Receipt Vouchers'!$AB$5:$AB$2005,'Receipt Vouchers'!$E$5:$E$2005,$A98,'Receipt Vouchers'!$A$5:$A$2005,"&lt;="&amp;ReportTo)+SUMIFS('Sales Invoices'!$AC$5:$AC$2005,'Sales Invoices'!$H$5:$H$2005,$A98,'Sales Invoices'!$B$5:$B$2005,"&lt;="&amp;ReportTo)+SUMIFS('Payment Vouchers'!$S$5:$S$2005,'Payment Vouchers'!$B$5:$B$2005,$A98,'Payment Vouchers'!$A$5:$A$2005,"&lt;="&amp;ReportTo)+SUMIFS('Partner Transactions'!$U$5:$U$2005,'Partner Transactions'!$B$5:$B$2005,$A98,'Partner Transactions'!$A$5:$A$2005,"&lt;="&amp;ReportTo)+SUMIFS('Stock Moves'!$AQ$5:$AQ$2005,'Stock Moves'!$J$5:$J$2005,$A98,'Stock Moves'!$A$5:$A$2005,"&lt;="&amp;ReportTo)+SUMIFS('Journal Vouchers'!$S$5:$S$2005,'Journal Vouchers'!$E$5:$E$2005,$A98,'Journal Vouchers'!$B$5:$B$2005,"&lt;="&amp;ReportTo))</f>
        <v/>
      </c>
      <c r="D98" s="26">
        <f>B98+C98</f>
        <v/>
      </c>
    </row>
    <row r="99">
      <c r="A99" s="25">
        <f>IF(Parties!A99="","",Parties!A99)</f>
        <v/>
      </c>
      <c r="B99" s="26">
        <f>IF(A99="",0,SUMIFS('Direct Costs'!$AJ$5:$AJ$2005,'Direct Costs'!$E$5:$E$2005,$A99,'Direct Costs'!$A$5:$A$2005,"&lt;="&amp;ReportTo)+SUMIFS('Operating Expenses'!$AE$5:$AE$2005,'Operating Expenses'!$E$5:$E$2005,$A99,'Operating Expenses'!$A$5:$A$2005,"&lt;="&amp;ReportTo)+SUMIFS('Payroll'!$AA$5:$AA$2005,'Payroll'!$C$5:$C$2005,$A99,'Payroll'!$A$5:$A$2005,"&lt;="&amp;ReportTo)+SUMIFS('Receipt Vouchers'!$AA$5:$AA$2005,'Receipt Vouchers'!$E$5:$E$2005,$A99,'Receipt Vouchers'!$A$5:$A$2005,"&lt;="&amp;ReportTo)+SUMIFS('Sales Invoices'!$AB$5:$AB$2005,'Sales Invoices'!$H$5:$H$2005,$A99,'Sales Invoices'!$B$5:$B$2005,"&lt;="&amp;ReportTo)+SUMIFS('Payment Vouchers'!$R$5:$R$2005,'Payment Vouchers'!$B$5:$B$2005,$A99,'Payment Vouchers'!$A$5:$A$2005,"&lt;="&amp;ReportTo)+SUMIFS('Partner Transactions'!$T$5:$T$2005,'Partner Transactions'!$B$5:$B$2005,$A99,'Partner Transactions'!$A$5:$A$2005,"&lt;="&amp;ReportTo)+SUMIFS('Stock Moves'!$AP$5:$AP$2005,'Stock Moves'!$J$5:$J$2005,$A99,'Stock Moves'!$A$5:$A$2005,"&lt;="&amp;ReportTo)+SUMIFS('Journal Vouchers'!$R$5:$R$2005,'Journal Vouchers'!$E$5:$E$2005,$A99,'Journal Vouchers'!$B$5:$B$2005,"&lt;="&amp;ReportTo))</f>
        <v/>
      </c>
      <c r="C99" s="26">
        <f>IF(A99="",0,SUMIFS('Direct Costs'!$AK$5:$AK$2005,'Direct Costs'!$E$5:$E$2005,$A99,'Direct Costs'!$A$5:$A$2005,"&lt;="&amp;ReportTo)+SUMIFS('Operating Expenses'!$AF$5:$AF$2005,'Operating Expenses'!$E$5:$E$2005,$A99,'Operating Expenses'!$A$5:$A$2005,"&lt;="&amp;ReportTo)+SUMIFS('Payroll'!$AB$5:$AB$2005,'Payroll'!$C$5:$C$2005,$A99,'Payroll'!$A$5:$A$2005,"&lt;="&amp;ReportTo)+SUMIFS('Receipt Vouchers'!$AB$5:$AB$2005,'Receipt Vouchers'!$E$5:$E$2005,$A99,'Receipt Vouchers'!$A$5:$A$2005,"&lt;="&amp;ReportTo)+SUMIFS('Sales Invoices'!$AC$5:$AC$2005,'Sales Invoices'!$H$5:$H$2005,$A99,'Sales Invoices'!$B$5:$B$2005,"&lt;="&amp;ReportTo)+SUMIFS('Payment Vouchers'!$S$5:$S$2005,'Payment Vouchers'!$B$5:$B$2005,$A99,'Payment Vouchers'!$A$5:$A$2005,"&lt;="&amp;ReportTo)+SUMIFS('Partner Transactions'!$U$5:$U$2005,'Partner Transactions'!$B$5:$B$2005,$A99,'Partner Transactions'!$A$5:$A$2005,"&lt;="&amp;ReportTo)+SUMIFS('Stock Moves'!$AQ$5:$AQ$2005,'Stock Moves'!$J$5:$J$2005,$A99,'Stock Moves'!$A$5:$A$2005,"&lt;="&amp;ReportTo)+SUMIFS('Journal Vouchers'!$S$5:$S$2005,'Journal Vouchers'!$E$5:$E$2005,$A99,'Journal Vouchers'!$B$5:$B$2005,"&lt;="&amp;ReportTo))</f>
        <v/>
      </c>
      <c r="D99" s="26">
        <f>B99+C99</f>
        <v/>
      </c>
    </row>
    <row r="100">
      <c r="A100" s="25">
        <f>IF(Parties!A100="","",Parties!A100)</f>
        <v/>
      </c>
      <c r="B100" s="26">
        <f>IF(A100="",0,SUMIFS('Direct Costs'!$AJ$5:$AJ$2005,'Direct Costs'!$E$5:$E$2005,$A100,'Direct Costs'!$A$5:$A$2005,"&lt;="&amp;ReportTo)+SUMIFS('Operating Expenses'!$AE$5:$AE$2005,'Operating Expenses'!$E$5:$E$2005,$A100,'Operating Expenses'!$A$5:$A$2005,"&lt;="&amp;ReportTo)+SUMIFS('Payroll'!$AA$5:$AA$2005,'Payroll'!$C$5:$C$2005,$A100,'Payroll'!$A$5:$A$2005,"&lt;="&amp;ReportTo)+SUMIFS('Receipt Vouchers'!$AA$5:$AA$2005,'Receipt Vouchers'!$E$5:$E$2005,$A100,'Receipt Vouchers'!$A$5:$A$2005,"&lt;="&amp;ReportTo)+SUMIFS('Sales Invoices'!$AB$5:$AB$2005,'Sales Invoices'!$H$5:$H$2005,$A100,'Sales Invoices'!$B$5:$B$2005,"&lt;="&amp;ReportTo)+SUMIFS('Payment Vouchers'!$R$5:$R$2005,'Payment Vouchers'!$B$5:$B$2005,$A100,'Payment Vouchers'!$A$5:$A$2005,"&lt;="&amp;ReportTo)+SUMIFS('Partner Transactions'!$T$5:$T$2005,'Partner Transactions'!$B$5:$B$2005,$A100,'Partner Transactions'!$A$5:$A$2005,"&lt;="&amp;ReportTo)+SUMIFS('Stock Moves'!$AP$5:$AP$2005,'Stock Moves'!$J$5:$J$2005,$A100,'Stock Moves'!$A$5:$A$2005,"&lt;="&amp;ReportTo)+SUMIFS('Journal Vouchers'!$R$5:$R$2005,'Journal Vouchers'!$E$5:$E$2005,$A100,'Journal Vouchers'!$B$5:$B$2005,"&lt;="&amp;ReportTo))</f>
        <v/>
      </c>
      <c r="C100" s="26">
        <f>IF(A100="",0,SUMIFS('Direct Costs'!$AK$5:$AK$2005,'Direct Costs'!$E$5:$E$2005,$A100,'Direct Costs'!$A$5:$A$2005,"&lt;="&amp;ReportTo)+SUMIFS('Operating Expenses'!$AF$5:$AF$2005,'Operating Expenses'!$E$5:$E$2005,$A100,'Operating Expenses'!$A$5:$A$2005,"&lt;="&amp;ReportTo)+SUMIFS('Payroll'!$AB$5:$AB$2005,'Payroll'!$C$5:$C$2005,$A100,'Payroll'!$A$5:$A$2005,"&lt;="&amp;ReportTo)+SUMIFS('Receipt Vouchers'!$AB$5:$AB$2005,'Receipt Vouchers'!$E$5:$E$2005,$A100,'Receipt Vouchers'!$A$5:$A$2005,"&lt;="&amp;ReportTo)+SUMIFS('Sales Invoices'!$AC$5:$AC$2005,'Sales Invoices'!$H$5:$H$2005,$A100,'Sales Invoices'!$B$5:$B$2005,"&lt;="&amp;ReportTo)+SUMIFS('Payment Vouchers'!$S$5:$S$2005,'Payment Vouchers'!$B$5:$B$2005,$A100,'Payment Vouchers'!$A$5:$A$2005,"&lt;="&amp;ReportTo)+SUMIFS('Partner Transactions'!$U$5:$U$2005,'Partner Transactions'!$B$5:$B$2005,$A100,'Partner Transactions'!$A$5:$A$2005,"&lt;="&amp;ReportTo)+SUMIFS('Stock Moves'!$AQ$5:$AQ$2005,'Stock Moves'!$J$5:$J$2005,$A100,'Stock Moves'!$A$5:$A$2005,"&lt;="&amp;ReportTo)+SUMIFS('Journal Vouchers'!$S$5:$S$2005,'Journal Vouchers'!$E$5:$E$2005,$A100,'Journal Vouchers'!$B$5:$B$2005,"&lt;="&amp;ReportTo))</f>
        <v/>
      </c>
      <c r="D100" s="26">
        <f>B100+C100</f>
        <v/>
      </c>
    </row>
    <row r="101">
      <c r="A101" s="25">
        <f>IF(Parties!A101="","",Parties!A101)</f>
        <v/>
      </c>
      <c r="B101" s="26">
        <f>IF(A101="",0,SUMIFS('Direct Costs'!$AJ$5:$AJ$2005,'Direct Costs'!$E$5:$E$2005,$A101,'Direct Costs'!$A$5:$A$2005,"&lt;="&amp;ReportTo)+SUMIFS('Operating Expenses'!$AE$5:$AE$2005,'Operating Expenses'!$E$5:$E$2005,$A101,'Operating Expenses'!$A$5:$A$2005,"&lt;="&amp;ReportTo)+SUMIFS('Payroll'!$AA$5:$AA$2005,'Payroll'!$C$5:$C$2005,$A101,'Payroll'!$A$5:$A$2005,"&lt;="&amp;ReportTo)+SUMIFS('Receipt Vouchers'!$AA$5:$AA$2005,'Receipt Vouchers'!$E$5:$E$2005,$A101,'Receipt Vouchers'!$A$5:$A$2005,"&lt;="&amp;ReportTo)+SUMIFS('Sales Invoices'!$AB$5:$AB$2005,'Sales Invoices'!$H$5:$H$2005,$A101,'Sales Invoices'!$B$5:$B$2005,"&lt;="&amp;ReportTo)+SUMIFS('Payment Vouchers'!$R$5:$R$2005,'Payment Vouchers'!$B$5:$B$2005,$A101,'Payment Vouchers'!$A$5:$A$2005,"&lt;="&amp;ReportTo)+SUMIFS('Partner Transactions'!$T$5:$T$2005,'Partner Transactions'!$B$5:$B$2005,$A101,'Partner Transactions'!$A$5:$A$2005,"&lt;="&amp;ReportTo)+SUMIFS('Stock Moves'!$AP$5:$AP$2005,'Stock Moves'!$J$5:$J$2005,$A101,'Stock Moves'!$A$5:$A$2005,"&lt;="&amp;ReportTo)+SUMIFS('Journal Vouchers'!$R$5:$R$2005,'Journal Vouchers'!$E$5:$E$2005,$A101,'Journal Vouchers'!$B$5:$B$2005,"&lt;="&amp;ReportTo))</f>
        <v/>
      </c>
      <c r="C101" s="26">
        <f>IF(A101="",0,SUMIFS('Direct Costs'!$AK$5:$AK$2005,'Direct Costs'!$E$5:$E$2005,$A101,'Direct Costs'!$A$5:$A$2005,"&lt;="&amp;ReportTo)+SUMIFS('Operating Expenses'!$AF$5:$AF$2005,'Operating Expenses'!$E$5:$E$2005,$A101,'Operating Expenses'!$A$5:$A$2005,"&lt;="&amp;ReportTo)+SUMIFS('Payroll'!$AB$5:$AB$2005,'Payroll'!$C$5:$C$2005,$A101,'Payroll'!$A$5:$A$2005,"&lt;="&amp;ReportTo)+SUMIFS('Receipt Vouchers'!$AB$5:$AB$2005,'Receipt Vouchers'!$E$5:$E$2005,$A101,'Receipt Vouchers'!$A$5:$A$2005,"&lt;="&amp;ReportTo)+SUMIFS('Sales Invoices'!$AC$5:$AC$2005,'Sales Invoices'!$H$5:$H$2005,$A101,'Sales Invoices'!$B$5:$B$2005,"&lt;="&amp;ReportTo)+SUMIFS('Payment Vouchers'!$S$5:$S$2005,'Payment Vouchers'!$B$5:$B$2005,$A101,'Payment Vouchers'!$A$5:$A$2005,"&lt;="&amp;ReportTo)+SUMIFS('Partner Transactions'!$U$5:$U$2005,'Partner Transactions'!$B$5:$B$2005,$A101,'Partner Transactions'!$A$5:$A$2005,"&lt;="&amp;ReportTo)+SUMIFS('Stock Moves'!$AQ$5:$AQ$2005,'Stock Moves'!$J$5:$J$2005,$A101,'Stock Moves'!$A$5:$A$2005,"&lt;="&amp;ReportTo)+SUMIFS('Journal Vouchers'!$S$5:$S$2005,'Journal Vouchers'!$E$5:$E$2005,$A101,'Journal Vouchers'!$B$5:$B$2005,"&lt;="&amp;ReportTo))</f>
        <v/>
      </c>
      <c r="D101" s="26">
        <f>B101+C101</f>
        <v/>
      </c>
    </row>
    <row r="102">
      <c r="A102" s="25">
        <f>IF(Parties!A102="","",Parties!A102)</f>
        <v/>
      </c>
      <c r="B102" s="26">
        <f>IF(A102="",0,SUMIFS('Direct Costs'!$AJ$5:$AJ$2005,'Direct Costs'!$E$5:$E$2005,$A102,'Direct Costs'!$A$5:$A$2005,"&lt;="&amp;ReportTo)+SUMIFS('Operating Expenses'!$AE$5:$AE$2005,'Operating Expenses'!$E$5:$E$2005,$A102,'Operating Expenses'!$A$5:$A$2005,"&lt;="&amp;ReportTo)+SUMIFS('Payroll'!$AA$5:$AA$2005,'Payroll'!$C$5:$C$2005,$A102,'Payroll'!$A$5:$A$2005,"&lt;="&amp;ReportTo)+SUMIFS('Receipt Vouchers'!$AA$5:$AA$2005,'Receipt Vouchers'!$E$5:$E$2005,$A102,'Receipt Vouchers'!$A$5:$A$2005,"&lt;="&amp;ReportTo)+SUMIFS('Sales Invoices'!$AB$5:$AB$2005,'Sales Invoices'!$H$5:$H$2005,$A102,'Sales Invoices'!$B$5:$B$2005,"&lt;="&amp;ReportTo)+SUMIFS('Payment Vouchers'!$R$5:$R$2005,'Payment Vouchers'!$B$5:$B$2005,$A102,'Payment Vouchers'!$A$5:$A$2005,"&lt;="&amp;ReportTo)+SUMIFS('Partner Transactions'!$T$5:$T$2005,'Partner Transactions'!$B$5:$B$2005,$A102,'Partner Transactions'!$A$5:$A$2005,"&lt;="&amp;ReportTo)+SUMIFS('Stock Moves'!$AP$5:$AP$2005,'Stock Moves'!$J$5:$J$2005,$A102,'Stock Moves'!$A$5:$A$2005,"&lt;="&amp;ReportTo)+SUMIFS('Journal Vouchers'!$R$5:$R$2005,'Journal Vouchers'!$E$5:$E$2005,$A102,'Journal Vouchers'!$B$5:$B$2005,"&lt;="&amp;ReportTo))</f>
        <v/>
      </c>
      <c r="C102" s="26">
        <f>IF(A102="",0,SUMIFS('Direct Costs'!$AK$5:$AK$2005,'Direct Costs'!$E$5:$E$2005,$A102,'Direct Costs'!$A$5:$A$2005,"&lt;="&amp;ReportTo)+SUMIFS('Operating Expenses'!$AF$5:$AF$2005,'Operating Expenses'!$E$5:$E$2005,$A102,'Operating Expenses'!$A$5:$A$2005,"&lt;="&amp;ReportTo)+SUMIFS('Payroll'!$AB$5:$AB$2005,'Payroll'!$C$5:$C$2005,$A102,'Payroll'!$A$5:$A$2005,"&lt;="&amp;ReportTo)+SUMIFS('Receipt Vouchers'!$AB$5:$AB$2005,'Receipt Vouchers'!$E$5:$E$2005,$A102,'Receipt Vouchers'!$A$5:$A$2005,"&lt;="&amp;ReportTo)+SUMIFS('Sales Invoices'!$AC$5:$AC$2005,'Sales Invoices'!$H$5:$H$2005,$A102,'Sales Invoices'!$B$5:$B$2005,"&lt;="&amp;ReportTo)+SUMIFS('Payment Vouchers'!$S$5:$S$2005,'Payment Vouchers'!$B$5:$B$2005,$A102,'Payment Vouchers'!$A$5:$A$2005,"&lt;="&amp;ReportTo)+SUMIFS('Partner Transactions'!$U$5:$U$2005,'Partner Transactions'!$B$5:$B$2005,$A102,'Partner Transactions'!$A$5:$A$2005,"&lt;="&amp;ReportTo)+SUMIFS('Stock Moves'!$AQ$5:$AQ$2005,'Stock Moves'!$J$5:$J$2005,$A102,'Stock Moves'!$A$5:$A$2005,"&lt;="&amp;ReportTo)+SUMIFS('Journal Vouchers'!$S$5:$S$2005,'Journal Vouchers'!$E$5:$E$2005,$A102,'Journal Vouchers'!$B$5:$B$2005,"&lt;="&amp;ReportTo))</f>
        <v/>
      </c>
      <c r="D102" s="26">
        <f>B102+C102</f>
        <v/>
      </c>
    </row>
    <row r="103">
      <c r="A103" s="25">
        <f>IF(Parties!A103="","",Parties!A103)</f>
        <v/>
      </c>
      <c r="B103" s="26">
        <f>IF(A103="",0,SUMIFS('Direct Costs'!$AJ$5:$AJ$2005,'Direct Costs'!$E$5:$E$2005,$A103,'Direct Costs'!$A$5:$A$2005,"&lt;="&amp;ReportTo)+SUMIFS('Operating Expenses'!$AE$5:$AE$2005,'Operating Expenses'!$E$5:$E$2005,$A103,'Operating Expenses'!$A$5:$A$2005,"&lt;="&amp;ReportTo)+SUMIFS('Payroll'!$AA$5:$AA$2005,'Payroll'!$C$5:$C$2005,$A103,'Payroll'!$A$5:$A$2005,"&lt;="&amp;ReportTo)+SUMIFS('Receipt Vouchers'!$AA$5:$AA$2005,'Receipt Vouchers'!$E$5:$E$2005,$A103,'Receipt Vouchers'!$A$5:$A$2005,"&lt;="&amp;ReportTo)+SUMIFS('Sales Invoices'!$AB$5:$AB$2005,'Sales Invoices'!$H$5:$H$2005,$A103,'Sales Invoices'!$B$5:$B$2005,"&lt;="&amp;ReportTo)+SUMIFS('Payment Vouchers'!$R$5:$R$2005,'Payment Vouchers'!$B$5:$B$2005,$A103,'Payment Vouchers'!$A$5:$A$2005,"&lt;="&amp;ReportTo)+SUMIFS('Partner Transactions'!$T$5:$T$2005,'Partner Transactions'!$B$5:$B$2005,$A103,'Partner Transactions'!$A$5:$A$2005,"&lt;="&amp;ReportTo)+SUMIFS('Stock Moves'!$AP$5:$AP$2005,'Stock Moves'!$J$5:$J$2005,$A103,'Stock Moves'!$A$5:$A$2005,"&lt;="&amp;ReportTo)+SUMIFS('Journal Vouchers'!$R$5:$R$2005,'Journal Vouchers'!$E$5:$E$2005,$A103,'Journal Vouchers'!$B$5:$B$2005,"&lt;="&amp;ReportTo))</f>
        <v/>
      </c>
      <c r="C103" s="26">
        <f>IF(A103="",0,SUMIFS('Direct Costs'!$AK$5:$AK$2005,'Direct Costs'!$E$5:$E$2005,$A103,'Direct Costs'!$A$5:$A$2005,"&lt;="&amp;ReportTo)+SUMIFS('Operating Expenses'!$AF$5:$AF$2005,'Operating Expenses'!$E$5:$E$2005,$A103,'Operating Expenses'!$A$5:$A$2005,"&lt;="&amp;ReportTo)+SUMIFS('Payroll'!$AB$5:$AB$2005,'Payroll'!$C$5:$C$2005,$A103,'Payroll'!$A$5:$A$2005,"&lt;="&amp;ReportTo)+SUMIFS('Receipt Vouchers'!$AB$5:$AB$2005,'Receipt Vouchers'!$E$5:$E$2005,$A103,'Receipt Vouchers'!$A$5:$A$2005,"&lt;="&amp;ReportTo)+SUMIFS('Sales Invoices'!$AC$5:$AC$2005,'Sales Invoices'!$H$5:$H$2005,$A103,'Sales Invoices'!$B$5:$B$2005,"&lt;="&amp;ReportTo)+SUMIFS('Payment Vouchers'!$S$5:$S$2005,'Payment Vouchers'!$B$5:$B$2005,$A103,'Payment Vouchers'!$A$5:$A$2005,"&lt;="&amp;ReportTo)+SUMIFS('Partner Transactions'!$U$5:$U$2005,'Partner Transactions'!$B$5:$B$2005,$A103,'Partner Transactions'!$A$5:$A$2005,"&lt;="&amp;ReportTo)+SUMIFS('Stock Moves'!$AQ$5:$AQ$2005,'Stock Moves'!$J$5:$J$2005,$A103,'Stock Moves'!$A$5:$A$2005,"&lt;="&amp;ReportTo)+SUMIFS('Journal Vouchers'!$S$5:$S$2005,'Journal Vouchers'!$E$5:$E$2005,$A103,'Journal Vouchers'!$B$5:$B$2005,"&lt;="&amp;ReportTo))</f>
        <v/>
      </c>
      <c r="D103" s="26">
        <f>B103+C103</f>
        <v/>
      </c>
    </row>
    <row r="104">
      <c r="A104" s="25">
        <f>IF(Parties!A104="","",Parties!A104)</f>
        <v/>
      </c>
      <c r="B104" s="26">
        <f>IF(A104="",0,SUMIFS('Direct Costs'!$AJ$5:$AJ$2005,'Direct Costs'!$E$5:$E$2005,$A104,'Direct Costs'!$A$5:$A$2005,"&lt;="&amp;ReportTo)+SUMIFS('Operating Expenses'!$AE$5:$AE$2005,'Operating Expenses'!$E$5:$E$2005,$A104,'Operating Expenses'!$A$5:$A$2005,"&lt;="&amp;ReportTo)+SUMIFS('Payroll'!$AA$5:$AA$2005,'Payroll'!$C$5:$C$2005,$A104,'Payroll'!$A$5:$A$2005,"&lt;="&amp;ReportTo)+SUMIFS('Receipt Vouchers'!$AA$5:$AA$2005,'Receipt Vouchers'!$E$5:$E$2005,$A104,'Receipt Vouchers'!$A$5:$A$2005,"&lt;="&amp;ReportTo)+SUMIFS('Sales Invoices'!$AB$5:$AB$2005,'Sales Invoices'!$H$5:$H$2005,$A104,'Sales Invoices'!$B$5:$B$2005,"&lt;="&amp;ReportTo)+SUMIFS('Payment Vouchers'!$R$5:$R$2005,'Payment Vouchers'!$B$5:$B$2005,$A104,'Payment Vouchers'!$A$5:$A$2005,"&lt;="&amp;ReportTo)+SUMIFS('Partner Transactions'!$T$5:$T$2005,'Partner Transactions'!$B$5:$B$2005,$A104,'Partner Transactions'!$A$5:$A$2005,"&lt;="&amp;ReportTo)+SUMIFS('Stock Moves'!$AP$5:$AP$2005,'Stock Moves'!$J$5:$J$2005,$A104,'Stock Moves'!$A$5:$A$2005,"&lt;="&amp;ReportTo)+SUMIFS('Journal Vouchers'!$R$5:$R$2005,'Journal Vouchers'!$E$5:$E$2005,$A104,'Journal Vouchers'!$B$5:$B$2005,"&lt;="&amp;ReportTo))</f>
        <v/>
      </c>
      <c r="C104" s="26">
        <f>IF(A104="",0,SUMIFS('Direct Costs'!$AK$5:$AK$2005,'Direct Costs'!$E$5:$E$2005,$A104,'Direct Costs'!$A$5:$A$2005,"&lt;="&amp;ReportTo)+SUMIFS('Operating Expenses'!$AF$5:$AF$2005,'Operating Expenses'!$E$5:$E$2005,$A104,'Operating Expenses'!$A$5:$A$2005,"&lt;="&amp;ReportTo)+SUMIFS('Payroll'!$AB$5:$AB$2005,'Payroll'!$C$5:$C$2005,$A104,'Payroll'!$A$5:$A$2005,"&lt;="&amp;ReportTo)+SUMIFS('Receipt Vouchers'!$AB$5:$AB$2005,'Receipt Vouchers'!$E$5:$E$2005,$A104,'Receipt Vouchers'!$A$5:$A$2005,"&lt;="&amp;ReportTo)+SUMIFS('Sales Invoices'!$AC$5:$AC$2005,'Sales Invoices'!$H$5:$H$2005,$A104,'Sales Invoices'!$B$5:$B$2005,"&lt;="&amp;ReportTo)+SUMIFS('Payment Vouchers'!$S$5:$S$2005,'Payment Vouchers'!$B$5:$B$2005,$A104,'Payment Vouchers'!$A$5:$A$2005,"&lt;="&amp;ReportTo)+SUMIFS('Partner Transactions'!$U$5:$U$2005,'Partner Transactions'!$B$5:$B$2005,$A104,'Partner Transactions'!$A$5:$A$2005,"&lt;="&amp;ReportTo)+SUMIFS('Stock Moves'!$AQ$5:$AQ$2005,'Stock Moves'!$J$5:$J$2005,$A104,'Stock Moves'!$A$5:$A$2005,"&lt;="&amp;ReportTo)+SUMIFS('Journal Vouchers'!$S$5:$S$2005,'Journal Vouchers'!$E$5:$E$2005,$A104,'Journal Vouchers'!$B$5:$B$2005,"&lt;="&amp;ReportTo))</f>
        <v/>
      </c>
      <c r="D104" s="26">
        <f>B104+C104</f>
        <v/>
      </c>
    </row>
    <row r="105">
      <c r="A105" s="25">
        <f>IF(Parties!A105="","",Parties!A105)</f>
        <v/>
      </c>
      <c r="B105" s="26">
        <f>IF(A105="",0,SUMIFS('Direct Costs'!$AJ$5:$AJ$2005,'Direct Costs'!$E$5:$E$2005,$A105,'Direct Costs'!$A$5:$A$2005,"&lt;="&amp;ReportTo)+SUMIFS('Operating Expenses'!$AE$5:$AE$2005,'Operating Expenses'!$E$5:$E$2005,$A105,'Operating Expenses'!$A$5:$A$2005,"&lt;="&amp;ReportTo)+SUMIFS('Payroll'!$AA$5:$AA$2005,'Payroll'!$C$5:$C$2005,$A105,'Payroll'!$A$5:$A$2005,"&lt;="&amp;ReportTo)+SUMIFS('Receipt Vouchers'!$AA$5:$AA$2005,'Receipt Vouchers'!$E$5:$E$2005,$A105,'Receipt Vouchers'!$A$5:$A$2005,"&lt;="&amp;ReportTo)+SUMIFS('Sales Invoices'!$AB$5:$AB$2005,'Sales Invoices'!$H$5:$H$2005,$A105,'Sales Invoices'!$B$5:$B$2005,"&lt;="&amp;ReportTo)+SUMIFS('Payment Vouchers'!$R$5:$R$2005,'Payment Vouchers'!$B$5:$B$2005,$A105,'Payment Vouchers'!$A$5:$A$2005,"&lt;="&amp;ReportTo)+SUMIFS('Partner Transactions'!$T$5:$T$2005,'Partner Transactions'!$B$5:$B$2005,$A105,'Partner Transactions'!$A$5:$A$2005,"&lt;="&amp;ReportTo)+SUMIFS('Stock Moves'!$AP$5:$AP$2005,'Stock Moves'!$J$5:$J$2005,$A105,'Stock Moves'!$A$5:$A$2005,"&lt;="&amp;ReportTo)+SUMIFS('Journal Vouchers'!$R$5:$R$2005,'Journal Vouchers'!$E$5:$E$2005,$A105,'Journal Vouchers'!$B$5:$B$2005,"&lt;="&amp;ReportTo))</f>
        <v/>
      </c>
      <c r="C105" s="26">
        <f>IF(A105="",0,SUMIFS('Direct Costs'!$AK$5:$AK$2005,'Direct Costs'!$E$5:$E$2005,$A105,'Direct Costs'!$A$5:$A$2005,"&lt;="&amp;ReportTo)+SUMIFS('Operating Expenses'!$AF$5:$AF$2005,'Operating Expenses'!$E$5:$E$2005,$A105,'Operating Expenses'!$A$5:$A$2005,"&lt;="&amp;ReportTo)+SUMIFS('Payroll'!$AB$5:$AB$2005,'Payroll'!$C$5:$C$2005,$A105,'Payroll'!$A$5:$A$2005,"&lt;="&amp;ReportTo)+SUMIFS('Receipt Vouchers'!$AB$5:$AB$2005,'Receipt Vouchers'!$E$5:$E$2005,$A105,'Receipt Vouchers'!$A$5:$A$2005,"&lt;="&amp;ReportTo)+SUMIFS('Sales Invoices'!$AC$5:$AC$2005,'Sales Invoices'!$H$5:$H$2005,$A105,'Sales Invoices'!$B$5:$B$2005,"&lt;="&amp;ReportTo)+SUMIFS('Payment Vouchers'!$S$5:$S$2005,'Payment Vouchers'!$B$5:$B$2005,$A105,'Payment Vouchers'!$A$5:$A$2005,"&lt;="&amp;ReportTo)+SUMIFS('Partner Transactions'!$U$5:$U$2005,'Partner Transactions'!$B$5:$B$2005,$A105,'Partner Transactions'!$A$5:$A$2005,"&lt;="&amp;ReportTo)+SUMIFS('Stock Moves'!$AQ$5:$AQ$2005,'Stock Moves'!$J$5:$J$2005,$A105,'Stock Moves'!$A$5:$A$2005,"&lt;="&amp;ReportTo)+SUMIFS('Journal Vouchers'!$S$5:$S$2005,'Journal Vouchers'!$E$5:$E$2005,$A105,'Journal Vouchers'!$B$5:$B$2005,"&lt;="&amp;ReportTo))</f>
        <v/>
      </c>
      <c r="D105" s="26">
        <f>B105+C105</f>
        <v/>
      </c>
    </row>
    <row r="106">
      <c r="A106" s="25">
        <f>IF(Parties!A106="","",Parties!A106)</f>
        <v/>
      </c>
      <c r="B106" s="26">
        <f>IF(A106="",0,SUMIFS('Direct Costs'!$AJ$5:$AJ$2005,'Direct Costs'!$E$5:$E$2005,$A106,'Direct Costs'!$A$5:$A$2005,"&lt;="&amp;ReportTo)+SUMIFS('Operating Expenses'!$AE$5:$AE$2005,'Operating Expenses'!$E$5:$E$2005,$A106,'Operating Expenses'!$A$5:$A$2005,"&lt;="&amp;ReportTo)+SUMIFS('Payroll'!$AA$5:$AA$2005,'Payroll'!$C$5:$C$2005,$A106,'Payroll'!$A$5:$A$2005,"&lt;="&amp;ReportTo)+SUMIFS('Receipt Vouchers'!$AA$5:$AA$2005,'Receipt Vouchers'!$E$5:$E$2005,$A106,'Receipt Vouchers'!$A$5:$A$2005,"&lt;="&amp;ReportTo)+SUMIFS('Sales Invoices'!$AB$5:$AB$2005,'Sales Invoices'!$H$5:$H$2005,$A106,'Sales Invoices'!$B$5:$B$2005,"&lt;="&amp;ReportTo)+SUMIFS('Payment Vouchers'!$R$5:$R$2005,'Payment Vouchers'!$B$5:$B$2005,$A106,'Payment Vouchers'!$A$5:$A$2005,"&lt;="&amp;ReportTo)+SUMIFS('Partner Transactions'!$T$5:$T$2005,'Partner Transactions'!$B$5:$B$2005,$A106,'Partner Transactions'!$A$5:$A$2005,"&lt;="&amp;ReportTo)+SUMIFS('Stock Moves'!$AP$5:$AP$2005,'Stock Moves'!$J$5:$J$2005,$A106,'Stock Moves'!$A$5:$A$2005,"&lt;="&amp;ReportTo)+SUMIFS('Journal Vouchers'!$R$5:$R$2005,'Journal Vouchers'!$E$5:$E$2005,$A106,'Journal Vouchers'!$B$5:$B$2005,"&lt;="&amp;ReportTo))</f>
        <v/>
      </c>
      <c r="C106" s="26">
        <f>IF(A106="",0,SUMIFS('Direct Costs'!$AK$5:$AK$2005,'Direct Costs'!$E$5:$E$2005,$A106,'Direct Costs'!$A$5:$A$2005,"&lt;="&amp;ReportTo)+SUMIFS('Operating Expenses'!$AF$5:$AF$2005,'Operating Expenses'!$E$5:$E$2005,$A106,'Operating Expenses'!$A$5:$A$2005,"&lt;="&amp;ReportTo)+SUMIFS('Payroll'!$AB$5:$AB$2005,'Payroll'!$C$5:$C$2005,$A106,'Payroll'!$A$5:$A$2005,"&lt;="&amp;ReportTo)+SUMIFS('Receipt Vouchers'!$AB$5:$AB$2005,'Receipt Vouchers'!$E$5:$E$2005,$A106,'Receipt Vouchers'!$A$5:$A$2005,"&lt;="&amp;ReportTo)+SUMIFS('Sales Invoices'!$AC$5:$AC$2005,'Sales Invoices'!$H$5:$H$2005,$A106,'Sales Invoices'!$B$5:$B$2005,"&lt;="&amp;ReportTo)+SUMIFS('Payment Vouchers'!$S$5:$S$2005,'Payment Vouchers'!$B$5:$B$2005,$A106,'Payment Vouchers'!$A$5:$A$2005,"&lt;="&amp;ReportTo)+SUMIFS('Partner Transactions'!$U$5:$U$2005,'Partner Transactions'!$B$5:$B$2005,$A106,'Partner Transactions'!$A$5:$A$2005,"&lt;="&amp;ReportTo)+SUMIFS('Stock Moves'!$AQ$5:$AQ$2005,'Stock Moves'!$J$5:$J$2005,$A106,'Stock Moves'!$A$5:$A$2005,"&lt;="&amp;ReportTo)+SUMIFS('Journal Vouchers'!$S$5:$S$2005,'Journal Vouchers'!$E$5:$E$2005,$A106,'Journal Vouchers'!$B$5:$B$2005,"&lt;="&amp;ReportTo))</f>
        <v/>
      </c>
      <c r="D106" s="26">
        <f>B106+C106</f>
        <v/>
      </c>
    </row>
    <row r="107">
      <c r="A107" s="25">
        <f>IF(Parties!A107="","",Parties!A107)</f>
        <v/>
      </c>
      <c r="B107" s="26">
        <f>IF(A107="",0,SUMIFS('Direct Costs'!$AJ$5:$AJ$2005,'Direct Costs'!$E$5:$E$2005,$A107,'Direct Costs'!$A$5:$A$2005,"&lt;="&amp;ReportTo)+SUMIFS('Operating Expenses'!$AE$5:$AE$2005,'Operating Expenses'!$E$5:$E$2005,$A107,'Operating Expenses'!$A$5:$A$2005,"&lt;="&amp;ReportTo)+SUMIFS('Payroll'!$AA$5:$AA$2005,'Payroll'!$C$5:$C$2005,$A107,'Payroll'!$A$5:$A$2005,"&lt;="&amp;ReportTo)+SUMIFS('Receipt Vouchers'!$AA$5:$AA$2005,'Receipt Vouchers'!$E$5:$E$2005,$A107,'Receipt Vouchers'!$A$5:$A$2005,"&lt;="&amp;ReportTo)+SUMIFS('Sales Invoices'!$AB$5:$AB$2005,'Sales Invoices'!$H$5:$H$2005,$A107,'Sales Invoices'!$B$5:$B$2005,"&lt;="&amp;ReportTo)+SUMIFS('Payment Vouchers'!$R$5:$R$2005,'Payment Vouchers'!$B$5:$B$2005,$A107,'Payment Vouchers'!$A$5:$A$2005,"&lt;="&amp;ReportTo)+SUMIFS('Partner Transactions'!$T$5:$T$2005,'Partner Transactions'!$B$5:$B$2005,$A107,'Partner Transactions'!$A$5:$A$2005,"&lt;="&amp;ReportTo)+SUMIFS('Stock Moves'!$AP$5:$AP$2005,'Stock Moves'!$J$5:$J$2005,$A107,'Stock Moves'!$A$5:$A$2005,"&lt;="&amp;ReportTo)+SUMIFS('Journal Vouchers'!$R$5:$R$2005,'Journal Vouchers'!$E$5:$E$2005,$A107,'Journal Vouchers'!$B$5:$B$2005,"&lt;="&amp;ReportTo))</f>
        <v/>
      </c>
      <c r="C107" s="26">
        <f>IF(A107="",0,SUMIFS('Direct Costs'!$AK$5:$AK$2005,'Direct Costs'!$E$5:$E$2005,$A107,'Direct Costs'!$A$5:$A$2005,"&lt;="&amp;ReportTo)+SUMIFS('Operating Expenses'!$AF$5:$AF$2005,'Operating Expenses'!$E$5:$E$2005,$A107,'Operating Expenses'!$A$5:$A$2005,"&lt;="&amp;ReportTo)+SUMIFS('Payroll'!$AB$5:$AB$2005,'Payroll'!$C$5:$C$2005,$A107,'Payroll'!$A$5:$A$2005,"&lt;="&amp;ReportTo)+SUMIFS('Receipt Vouchers'!$AB$5:$AB$2005,'Receipt Vouchers'!$E$5:$E$2005,$A107,'Receipt Vouchers'!$A$5:$A$2005,"&lt;="&amp;ReportTo)+SUMIFS('Sales Invoices'!$AC$5:$AC$2005,'Sales Invoices'!$H$5:$H$2005,$A107,'Sales Invoices'!$B$5:$B$2005,"&lt;="&amp;ReportTo)+SUMIFS('Payment Vouchers'!$S$5:$S$2005,'Payment Vouchers'!$B$5:$B$2005,$A107,'Payment Vouchers'!$A$5:$A$2005,"&lt;="&amp;ReportTo)+SUMIFS('Partner Transactions'!$U$5:$U$2005,'Partner Transactions'!$B$5:$B$2005,$A107,'Partner Transactions'!$A$5:$A$2005,"&lt;="&amp;ReportTo)+SUMIFS('Stock Moves'!$AQ$5:$AQ$2005,'Stock Moves'!$J$5:$J$2005,$A107,'Stock Moves'!$A$5:$A$2005,"&lt;="&amp;ReportTo)+SUMIFS('Journal Vouchers'!$S$5:$S$2005,'Journal Vouchers'!$E$5:$E$2005,$A107,'Journal Vouchers'!$B$5:$B$2005,"&lt;="&amp;ReportTo))</f>
        <v/>
      </c>
      <c r="D107" s="26">
        <f>B107+C107</f>
        <v/>
      </c>
    </row>
    <row r="108">
      <c r="A108" s="25">
        <f>IF(Parties!A108="","",Parties!A108)</f>
        <v/>
      </c>
      <c r="B108" s="26">
        <f>IF(A108="",0,SUMIFS('Direct Costs'!$AJ$5:$AJ$2005,'Direct Costs'!$E$5:$E$2005,$A108,'Direct Costs'!$A$5:$A$2005,"&lt;="&amp;ReportTo)+SUMIFS('Operating Expenses'!$AE$5:$AE$2005,'Operating Expenses'!$E$5:$E$2005,$A108,'Operating Expenses'!$A$5:$A$2005,"&lt;="&amp;ReportTo)+SUMIFS('Payroll'!$AA$5:$AA$2005,'Payroll'!$C$5:$C$2005,$A108,'Payroll'!$A$5:$A$2005,"&lt;="&amp;ReportTo)+SUMIFS('Receipt Vouchers'!$AA$5:$AA$2005,'Receipt Vouchers'!$E$5:$E$2005,$A108,'Receipt Vouchers'!$A$5:$A$2005,"&lt;="&amp;ReportTo)+SUMIFS('Sales Invoices'!$AB$5:$AB$2005,'Sales Invoices'!$H$5:$H$2005,$A108,'Sales Invoices'!$B$5:$B$2005,"&lt;="&amp;ReportTo)+SUMIFS('Payment Vouchers'!$R$5:$R$2005,'Payment Vouchers'!$B$5:$B$2005,$A108,'Payment Vouchers'!$A$5:$A$2005,"&lt;="&amp;ReportTo)+SUMIFS('Partner Transactions'!$T$5:$T$2005,'Partner Transactions'!$B$5:$B$2005,$A108,'Partner Transactions'!$A$5:$A$2005,"&lt;="&amp;ReportTo)+SUMIFS('Stock Moves'!$AP$5:$AP$2005,'Stock Moves'!$J$5:$J$2005,$A108,'Stock Moves'!$A$5:$A$2005,"&lt;="&amp;ReportTo)+SUMIFS('Journal Vouchers'!$R$5:$R$2005,'Journal Vouchers'!$E$5:$E$2005,$A108,'Journal Vouchers'!$B$5:$B$2005,"&lt;="&amp;ReportTo))</f>
        <v/>
      </c>
      <c r="C108" s="26">
        <f>IF(A108="",0,SUMIFS('Direct Costs'!$AK$5:$AK$2005,'Direct Costs'!$E$5:$E$2005,$A108,'Direct Costs'!$A$5:$A$2005,"&lt;="&amp;ReportTo)+SUMIFS('Operating Expenses'!$AF$5:$AF$2005,'Operating Expenses'!$E$5:$E$2005,$A108,'Operating Expenses'!$A$5:$A$2005,"&lt;="&amp;ReportTo)+SUMIFS('Payroll'!$AB$5:$AB$2005,'Payroll'!$C$5:$C$2005,$A108,'Payroll'!$A$5:$A$2005,"&lt;="&amp;ReportTo)+SUMIFS('Receipt Vouchers'!$AB$5:$AB$2005,'Receipt Vouchers'!$E$5:$E$2005,$A108,'Receipt Vouchers'!$A$5:$A$2005,"&lt;="&amp;ReportTo)+SUMIFS('Sales Invoices'!$AC$5:$AC$2005,'Sales Invoices'!$H$5:$H$2005,$A108,'Sales Invoices'!$B$5:$B$2005,"&lt;="&amp;ReportTo)+SUMIFS('Payment Vouchers'!$S$5:$S$2005,'Payment Vouchers'!$B$5:$B$2005,$A108,'Payment Vouchers'!$A$5:$A$2005,"&lt;="&amp;ReportTo)+SUMIFS('Partner Transactions'!$U$5:$U$2005,'Partner Transactions'!$B$5:$B$2005,$A108,'Partner Transactions'!$A$5:$A$2005,"&lt;="&amp;ReportTo)+SUMIFS('Stock Moves'!$AQ$5:$AQ$2005,'Stock Moves'!$J$5:$J$2005,$A108,'Stock Moves'!$A$5:$A$2005,"&lt;="&amp;ReportTo)+SUMIFS('Journal Vouchers'!$S$5:$S$2005,'Journal Vouchers'!$E$5:$E$2005,$A108,'Journal Vouchers'!$B$5:$B$2005,"&lt;="&amp;ReportTo))</f>
        <v/>
      </c>
      <c r="D108" s="26">
        <f>B108+C108</f>
        <v/>
      </c>
    </row>
    <row r="109">
      <c r="A109" s="25">
        <f>IF(Parties!A109="","",Parties!A109)</f>
        <v/>
      </c>
      <c r="B109" s="26">
        <f>IF(A109="",0,SUMIFS('Direct Costs'!$AJ$5:$AJ$2005,'Direct Costs'!$E$5:$E$2005,$A109,'Direct Costs'!$A$5:$A$2005,"&lt;="&amp;ReportTo)+SUMIFS('Operating Expenses'!$AE$5:$AE$2005,'Operating Expenses'!$E$5:$E$2005,$A109,'Operating Expenses'!$A$5:$A$2005,"&lt;="&amp;ReportTo)+SUMIFS('Payroll'!$AA$5:$AA$2005,'Payroll'!$C$5:$C$2005,$A109,'Payroll'!$A$5:$A$2005,"&lt;="&amp;ReportTo)+SUMIFS('Receipt Vouchers'!$AA$5:$AA$2005,'Receipt Vouchers'!$E$5:$E$2005,$A109,'Receipt Vouchers'!$A$5:$A$2005,"&lt;="&amp;ReportTo)+SUMIFS('Sales Invoices'!$AB$5:$AB$2005,'Sales Invoices'!$H$5:$H$2005,$A109,'Sales Invoices'!$B$5:$B$2005,"&lt;="&amp;ReportTo)+SUMIFS('Payment Vouchers'!$R$5:$R$2005,'Payment Vouchers'!$B$5:$B$2005,$A109,'Payment Vouchers'!$A$5:$A$2005,"&lt;="&amp;ReportTo)+SUMIFS('Partner Transactions'!$T$5:$T$2005,'Partner Transactions'!$B$5:$B$2005,$A109,'Partner Transactions'!$A$5:$A$2005,"&lt;="&amp;ReportTo)+SUMIFS('Stock Moves'!$AP$5:$AP$2005,'Stock Moves'!$J$5:$J$2005,$A109,'Stock Moves'!$A$5:$A$2005,"&lt;="&amp;ReportTo)+SUMIFS('Journal Vouchers'!$R$5:$R$2005,'Journal Vouchers'!$E$5:$E$2005,$A109,'Journal Vouchers'!$B$5:$B$2005,"&lt;="&amp;ReportTo))</f>
        <v/>
      </c>
      <c r="C109" s="26">
        <f>IF(A109="",0,SUMIFS('Direct Costs'!$AK$5:$AK$2005,'Direct Costs'!$E$5:$E$2005,$A109,'Direct Costs'!$A$5:$A$2005,"&lt;="&amp;ReportTo)+SUMIFS('Operating Expenses'!$AF$5:$AF$2005,'Operating Expenses'!$E$5:$E$2005,$A109,'Operating Expenses'!$A$5:$A$2005,"&lt;="&amp;ReportTo)+SUMIFS('Payroll'!$AB$5:$AB$2005,'Payroll'!$C$5:$C$2005,$A109,'Payroll'!$A$5:$A$2005,"&lt;="&amp;ReportTo)+SUMIFS('Receipt Vouchers'!$AB$5:$AB$2005,'Receipt Vouchers'!$E$5:$E$2005,$A109,'Receipt Vouchers'!$A$5:$A$2005,"&lt;="&amp;ReportTo)+SUMIFS('Sales Invoices'!$AC$5:$AC$2005,'Sales Invoices'!$H$5:$H$2005,$A109,'Sales Invoices'!$B$5:$B$2005,"&lt;="&amp;ReportTo)+SUMIFS('Payment Vouchers'!$S$5:$S$2005,'Payment Vouchers'!$B$5:$B$2005,$A109,'Payment Vouchers'!$A$5:$A$2005,"&lt;="&amp;ReportTo)+SUMIFS('Partner Transactions'!$U$5:$U$2005,'Partner Transactions'!$B$5:$B$2005,$A109,'Partner Transactions'!$A$5:$A$2005,"&lt;="&amp;ReportTo)+SUMIFS('Stock Moves'!$AQ$5:$AQ$2005,'Stock Moves'!$J$5:$J$2005,$A109,'Stock Moves'!$A$5:$A$2005,"&lt;="&amp;ReportTo)+SUMIFS('Journal Vouchers'!$S$5:$S$2005,'Journal Vouchers'!$E$5:$E$2005,$A109,'Journal Vouchers'!$B$5:$B$2005,"&lt;="&amp;ReportTo))</f>
        <v/>
      </c>
      <c r="D109" s="26">
        <f>B109+C109</f>
        <v/>
      </c>
    </row>
    <row r="110">
      <c r="A110" s="25">
        <f>IF(Parties!A110="","",Parties!A110)</f>
        <v/>
      </c>
      <c r="B110" s="26">
        <f>IF(A110="",0,SUMIFS('Direct Costs'!$AJ$5:$AJ$2005,'Direct Costs'!$E$5:$E$2005,$A110,'Direct Costs'!$A$5:$A$2005,"&lt;="&amp;ReportTo)+SUMIFS('Operating Expenses'!$AE$5:$AE$2005,'Operating Expenses'!$E$5:$E$2005,$A110,'Operating Expenses'!$A$5:$A$2005,"&lt;="&amp;ReportTo)+SUMIFS('Payroll'!$AA$5:$AA$2005,'Payroll'!$C$5:$C$2005,$A110,'Payroll'!$A$5:$A$2005,"&lt;="&amp;ReportTo)+SUMIFS('Receipt Vouchers'!$AA$5:$AA$2005,'Receipt Vouchers'!$E$5:$E$2005,$A110,'Receipt Vouchers'!$A$5:$A$2005,"&lt;="&amp;ReportTo)+SUMIFS('Sales Invoices'!$AB$5:$AB$2005,'Sales Invoices'!$H$5:$H$2005,$A110,'Sales Invoices'!$B$5:$B$2005,"&lt;="&amp;ReportTo)+SUMIFS('Payment Vouchers'!$R$5:$R$2005,'Payment Vouchers'!$B$5:$B$2005,$A110,'Payment Vouchers'!$A$5:$A$2005,"&lt;="&amp;ReportTo)+SUMIFS('Partner Transactions'!$T$5:$T$2005,'Partner Transactions'!$B$5:$B$2005,$A110,'Partner Transactions'!$A$5:$A$2005,"&lt;="&amp;ReportTo)+SUMIFS('Stock Moves'!$AP$5:$AP$2005,'Stock Moves'!$J$5:$J$2005,$A110,'Stock Moves'!$A$5:$A$2005,"&lt;="&amp;ReportTo)+SUMIFS('Journal Vouchers'!$R$5:$R$2005,'Journal Vouchers'!$E$5:$E$2005,$A110,'Journal Vouchers'!$B$5:$B$2005,"&lt;="&amp;ReportTo))</f>
        <v/>
      </c>
      <c r="C110" s="26">
        <f>IF(A110="",0,SUMIFS('Direct Costs'!$AK$5:$AK$2005,'Direct Costs'!$E$5:$E$2005,$A110,'Direct Costs'!$A$5:$A$2005,"&lt;="&amp;ReportTo)+SUMIFS('Operating Expenses'!$AF$5:$AF$2005,'Operating Expenses'!$E$5:$E$2005,$A110,'Operating Expenses'!$A$5:$A$2005,"&lt;="&amp;ReportTo)+SUMIFS('Payroll'!$AB$5:$AB$2005,'Payroll'!$C$5:$C$2005,$A110,'Payroll'!$A$5:$A$2005,"&lt;="&amp;ReportTo)+SUMIFS('Receipt Vouchers'!$AB$5:$AB$2005,'Receipt Vouchers'!$E$5:$E$2005,$A110,'Receipt Vouchers'!$A$5:$A$2005,"&lt;="&amp;ReportTo)+SUMIFS('Sales Invoices'!$AC$5:$AC$2005,'Sales Invoices'!$H$5:$H$2005,$A110,'Sales Invoices'!$B$5:$B$2005,"&lt;="&amp;ReportTo)+SUMIFS('Payment Vouchers'!$S$5:$S$2005,'Payment Vouchers'!$B$5:$B$2005,$A110,'Payment Vouchers'!$A$5:$A$2005,"&lt;="&amp;ReportTo)+SUMIFS('Partner Transactions'!$U$5:$U$2005,'Partner Transactions'!$B$5:$B$2005,$A110,'Partner Transactions'!$A$5:$A$2005,"&lt;="&amp;ReportTo)+SUMIFS('Stock Moves'!$AQ$5:$AQ$2005,'Stock Moves'!$J$5:$J$2005,$A110,'Stock Moves'!$A$5:$A$2005,"&lt;="&amp;ReportTo)+SUMIFS('Journal Vouchers'!$S$5:$S$2005,'Journal Vouchers'!$E$5:$E$2005,$A110,'Journal Vouchers'!$B$5:$B$2005,"&lt;="&amp;ReportTo))</f>
        <v/>
      </c>
      <c r="D110" s="26">
        <f>B110+C110</f>
        <v/>
      </c>
    </row>
    <row r="111">
      <c r="A111" s="25">
        <f>IF(Parties!A111="","",Parties!A111)</f>
        <v/>
      </c>
      <c r="B111" s="26">
        <f>IF(A111="",0,SUMIFS('Direct Costs'!$AJ$5:$AJ$2005,'Direct Costs'!$E$5:$E$2005,$A111,'Direct Costs'!$A$5:$A$2005,"&lt;="&amp;ReportTo)+SUMIFS('Operating Expenses'!$AE$5:$AE$2005,'Operating Expenses'!$E$5:$E$2005,$A111,'Operating Expenses'!$A$5:$A$2005,"&lt;="&amp;ReportTo)+SUMIFS('Payroll'!$AA$5:$AA$2005,'Payroll'!$C$5:$C$2005,$A111,'Payroll'!$A$5:$A$2005,"&lt;="&amp;ReportTo)+SUMIFS('Receipt Vouchers'!$AA$5:$AA$2005,'Receipt Vouchers'!$E$5:$E$2005,$A111,'Receipt Vouchers'!$A$5:$A$2005,"&lt;="&amp;ReportTo)+SUMIFS('Sales Invoices'!$AB$5:$AB$2005,'Sales Invoices'!$H$5:$H$2005,$A111,'Sales Invoices'!$B$5:$B$2005,"&lt;="&amp;ReportTo)+SUMIFS('Payment Vouchers'!$R$5:$R$2005,'Payment Vouchers'!$B$5:$B$2005,$A111,'Payment Vouchers'!$A$5:$A$2005,"&lt;="&amp;ReportTo)+SUMIFS('Partner Transactions'!$T$5:$T$2005,'Partner Transactions'!$B$5:$B$2005,$A111,'Partner Transactions'!$A$5:$A$2005,"&lt;="&amp;ReportTo)+SUMIFS('Stock Moves'!$AP$5:$AP$2005,'Stock Moves'!$J$5:$J$2005,$A111,'Stock Moves'!$A$5:$A$2005,"&lt;="&amp;ReportTo)+SUMIFS('Journal Vouchers'!$R$5:$R$2005,'Journal Vouchers'!$E$5:$E$2005,$A111,'Journal Vouchers'!$B$5:$B$2005,"&lt;="&amp;ReportTo))</f>
        <v/>
      </c>
      <c r="C111" s="26">
        <f>IF(A111="",0,SUMIFS('Direct Costs'!$AK$5:$AK$2005,'Direct Costs'!$E$5:$E$2005,$A111,'Direct Costs'!$A$5:$A$2005,"&lt;="&amp;ReportTo)+SUMIFS('Operating Expenses'!$AF$5:$AF$2005,'Operating Expenses'!$E$5:$E$2005,$A111,'Operating Expenses'!$A$5:$A$2005,"&lt;="&amp;ReportTo)+SUMIFS('Payroll'!$AB$5:$AB$2005,'Payroll'!$C$5:$C$2005,$A111,'Payroll'!$A$5:$A$2005,"&lt;="&amp;ReportTo)+SUMIFS('Receipt Vouchers'!$AB$5:$AB$2005,'Receipt Vouchers'!$E$5:$E$2005,$A111,'Receipt Vouchers'!$A$5:$A$2005,"&lt;="&amp;ReportTo)+SUMIFS('Sales Invoices'!$AC$5:$AC$2005,'Sales Invoices'!$H$5:$H$2005,$A111,'Sales Invoices'!$B$5:$B$2005,"&lt;="&amp;ReportTo)+SUMIFS('Payment Vouchers'!$S$5:$S$2005,'Payment Vouchers'!$B$5:$B$2005,$A111,'Payment Vouchers'!$A$5:$A$2005,"&lt;="&amp;ReportTo)+SUMIFS('Partner Transactions'!$U$5:$U$2005,'Partner Transactions'!$B$5:$B$2005,$A111,'Partner Transactions'!$A$5:$A$2005,"&lt;="&amp;ReportTo)+SUMIFS('Stock Moves'!$AQ$5:$AQ$2005,'Stock Moves'!$J$5:$J$2005,$A111,'Stock Moves'!$A$5:$A$2005,"&lt;="&amp;ReportTo)+SUMIFS('Journal Vouchers'!$S$5:$S$2005,'Journal Vouchers'!$E$5:$E$2005,$A111,'Journal Vouchers'!$B$5:$B$2005,"&lt;="&amp;ReportTo))</f>
        <v/>
      </c>
      <c r="D111" s="26">
        <f>B111+C111</f>
        <v/>
      </c>
    </row>
    <row r="112">
      <c r="A112" s="25">
        <f>IF(Parties!A112="","",Parties!A112)</f>
        <v/>
      </c>
      <c r="B112" s="26">
        <f>IF(A112="",0,SUMIFS('Direct Costs'!$AJ$5:$AJ$2005,'Direct Costs'!$E$5:$E$2005,$A112,'Direct Costs'!$A$5:$A$2005,"&lt;="&amp;ReportTo)+SUMIFS('Operating Expenses'!$AE$5:$AE$2005,'Operating Expenses'!$E$5:$E$2005,$A112,'Operating Expenses'!$A$5:$A$2005,"&lt;="&amp;ReportTo)+SUMIFS('Payroll'!$AA$5:$AA$2005,'Payroll'!$C$5:$C$2005,$A112,'Payroll'!$A$5:$A$2005,"&lt;="&amp;ReportTo)+SUMIFS('Receipt Vouchers'!$AA$5:$AA$2005,'Receipt Vouchers'!$E$5:$E$2005,$A112,'Receipt Vouchers'!$A$5:$A$2005,"&lt;="&amp;ReportTo)+SUMIFS('Sales Invoices'!$AB$5:$AB$2005,'Sales Invoices'!$H$5:$H$2005,$A112,'Sales Invoices'!$B$5:$B$2005,"&lt;="&amp;ReportTo)+SUMIFS('Payment Vouchers'!$R$5:$R$2005,'Payment Vouchers'!$B$5:$B$2005,$A112,'Payment Vouchers'!$A$5:$A$2005,"&lt;="&amp;ReportTo)+SUMIFS('Partner Transactions'!$T$5:$T$2005,'Partner Transactions'!$B$5:$B$2005,$A112,'Partner Transactions'!$A$5:$A$2005,"&lt;="&amp;ReportTo)+SUMIFS('Stock Moves'!$AP$5:$AP$2005,'Stock Moves'!$J$5:$J$2005,$A112,'Stock Moves'!$A$5:$A$2005,"&lt;="&amp;ReportTo)+SUMIFS('Journal Vouchers'!$R$5:$R$2005,'Journal Vouchers'!$E$5:$E$2005,$A112,'Journal Vouchers'!$B$5:$B$2005,"&lt;="&amp;ReportTo))</f>
        <v/>
      </c>
      <c r="C112" s="26">
        <f>IF(A112="",0,SUMIFS('Direct Costs'!$AK$5:$AK$2005,'Direct Costs'!$E$5:$E$2005,$A112,'Direct Costs'!$A$5:$A$2005,"&lt;="&amp;ReportTo)+SUMIFS('Operating Expenses'!$AF$5:$AF$2005,'Operating Expenses'!$E$5:$E$2005,$A112,'Operating Expenses'!$A$5:$A$2005,"&lt;="&amp;ReportTo)+SUMIFS('Payroll'!$AB$5:$AB$2005,'Payroll'!$C$5:$C$2005,$A112,'Payroll'!$A$5:$A$2005,"&lt;="&amp;ReportTo)+SUMIFS('Receipt Vouchers'!$AB$5:$AB$2005,'Receipt Vouchers'!$E$5:$E$2005,$A112,'Receipt Vouchers'!$A$5:$A$2005,"&lt;="&amp;ReportTo)+SUMIFS('Sales Invoices'!$AC$5:$AC$2005,'Sales Invoices'!$H$5:$H$2005,$A112,'Sales Invoices'!$B$5:$B$2005,"&lt;="&amp;ReportTo)+SUMIFS('Payment Vouchers'!$S$5:$S$2005,'Payment Vouchers'!$B$5:$B$2005,$A112,'Payment Vouchers'!$A$5:$A$2005,"&lt;="&amp;ReportTo)+SUMIFS('Partner Transactions'!$U$5:$U$2005,'Partner Transactions'!$B$5:$B$2005,$A112,'Partner Transactions'!$A$5:$A$2005,"&lt;="&amp;ReportTo)+SUMIFS('Stock Moves'!$AQ$5:$AQ$2005,'Stock Moves'!$J$5:$J$2005,$A112,'Stock Moves'!$A$5:$A$2005,"&lt;="&amp;ReportTo)+SUMIFS('Journal Vouchers'!$S$5:$S$2005,'Journal Vouchers'!$E$5:$E$2005,$A112,'Journal Vouchers'!$B$5:$B$2005,"&lt;="&amp;ReportTo))</f>
        <v/>
      </c>
      <c r="D112" s="26">
        <f>B112+C112</f>
        <v/>
      </c>
    </row>
    <row r="113">
      <c r="A113" s="25">
        <f>IF(Parties!A113="","",Parties!A113)</f>
        <v/>
      </c>
      <c r="B113" s="26">
        <f>IF(A113="",0,SUMIFS('Direct Costs'!$AJ$5:$AJ$2005,'Direct Costs'!$E$5:$E$2005,$A113,'Direct Costs'!$A$5:$A$2005,"&lt;="&amp;ReportTo)+SUMIFS('Operating Expenses'!$AE$5:$AE$2005,'Operating Expenses'!$E$5:$E$2005,$A113,'Operating Expenses'!$A$5:$A$2005,"&lt;="&amp;ReportTo)+SUMIFS('Payroll'!$AA$5:$AA$2005,'Payroll'!$C$5:$C$2005,$A113,'Payroll'!$A$5:$A$2005,"&lt;="&amp;ReportTo)+SUMIFS('Receipt Vouchers'!$AA$5:$AA$2005,'Receipt Vouchers'!$E$5:$E$2005,$A113,'Receipt Vouchers'!$A$5:$A$2005,"&lt;="&amp;ReportTo)+SUMIFS('Sales Invoices'!$AB$5:$AB$2005,'Sales Invoices'!$H$5:$H$2005,$A113,'Sales Invoices'!$B$5:$B$2005,"&lt;="&amp;ReportTo)+SUMIFS('Payment Vouchers'!$R$5:$R$2005,'Payment Vouchers'!$B$5:$B$2005,$A113,'Payment Vouchers'!$A$5:$A$2005,"&lt;="&amp;ReportTo)+SUMIFS('Partner Transactions'!$T$5:$T$2005,'Partner Transactions'!$B$5:$B$2005,$A113,'Partner Transactions'!$A$5:$A$2005,"&lt;="&amp;ReportTo)+SUMIFS('Stock Moves'!$AP$5:$AP$2005,'Stock Moves'!$J$5:$J$2005,$A113,'Stock Moves'!$A$5:$A$2005,"&lt;="&amp;ReportTo)+SUMIFS('Journal Vouchers'!$R$5:$R$2005,'Journal Vouchers'!$E$5:$E$2005,$A113,'Journal Vouchers'!$B$5:$B$2005,"&lt;="&amp;ReportTo))</f>
        <v/>
      </c>
      <c r="C113" s="26">
        <f>IF(A113="",0,SUMIFS('Direct Costs'!$AK$5:$AK$2005,'Direct Costs'!$E$5:$E$2005,$A113,'Direct Costs'!$A$5:$A$2005,"&lt;="&amp;ReportTo)+SUMIFS('Operating Expenses'!$AF$5:$AF$2005,'Operating Expenses'!$E$5:$E$2005,$A113,'Operating Expenses'!$A$5:$A$2005,"&lt;="&amp;ReportTo)+SUMIFS('Payroll'!$AB$5:$AB$2005,'Payroll'!$C$5:$C$2005,$A113,'Payroll'!$A$5:$A$2005,"&lt;="&amp;ReportTo)+SUMIFS('Receipt Vouchers'!$AB$5:$AB$2005,'Receipt Vouchers'!$E$5:$E$2005,$A113,'Receipt Vouchers'!$A$5:$A$2005,"&lt;="&amp;ReportTo)+SUMIFS('Sales Invoices'!$AC$5:$AC$2005,'Sales Invoices'!$H$5:$H$2005,$A113,'Sales Invoices'!$B$5:$B$2005,"&lt;="&amp;ReportTo)+SUMIFS('Payment Vouchers'!$S$5:$S$2005,'Payment Vouchers'!$B$5:$B$2005,$A113,'Payment Vouchers'!$A$5:$A$2005,"&lt;="&amp;ReportTo)+SUMIFS('Partner Transactions'!$U$5:$U$2005,'Partner Transactions'!$B$5:$B$2005,$A113,'Partner Transactions'!$A$5:$A$2005,"&lt;="&amp;ReportTo)+SUMIFS('Stock Moves'!$AQ$5:$AQ$2005,'Stock Moves'!$J$5:$J$2005,$A113,'Stock Moves'!$A$5:$A$2005,"&lt;="&amp;ReportTo)+SUMIFS('Journal Vouchers'!$S$5:$S$2005,'Journal Vouchers'!$E$5:$E$2005,$A113,'Journal Vouchers'!$B$5:$B$2005,"&lt;="&amp;ReportTo))</f>
        <v/>
      </c>
      <c r="D113" s="26">
        <f>B113+C113</f>
        <v/>
      </c>
    </row>
    <row r="114">
      <c r="A114" s="25">
        <f>IF(Parties!A114="","",Parties!A114)</f>
        <v/>
      </c>
      <c r="B114" s="26">
        <f>IF(A114="",0,SUMIFS('Direct Costs'!$AJ$5:$AJ$2005,'Direct Costs'!$E$5:$E$2005,$A114,'Direct Costs'!$A$5:$A$2005,"&lt;="&amp;ReportTo)+SUMIFS('Operating Expenses'!$AE$5:$AE$2005,'Operating Expenses'!$E$5:$E$2005,$A114,'Operating Expenses'!$A$5:$A$2005,"&lt;="&amp;ReportTo)+SUMIFS('Payroll'!$AA$5:$AA$2005,'Payroll'!$C$5:$C$2005,$A114,'Payroll'!$A$5:$A$2005,"&lt;="&amp;ReportTo)+SUMIFS('Receipt Vouchers'!$AA$5:$AA$2005,'Receipt Vouchers'!$E$5:$E$2005,$A114,'Receipt Vouchers'!$A$5:$A$2005,"&lt;="&amp;ReportTo)+SUMIFS('Sales Invoices'!$AB$5:$AB$2005,'Sales Invoices'!$H$5:$H$2005,$A114,'Sales Invoices'!$B$5:$B$2005,"&lt;="&amp;ReportTo)+SUMIFS('Payment Vouchers'!$R$5:$R$2005,'Payment Vouchers'!$B$5:$B$2005,$A114,'Payment Vouchers'!$A$5:$A$2005,"&lt;="&amp;ReportTo)+SUMIFS('Partner Transactions'!$T$5:$T$2005,'Partner Transactions'!$B$5:$B$2005,$A114,'Partner Transactions'!$A$5:$A$2005,"&lt;="&amp;ReportTo)+SUMIFS('Stock Moves'!$AP$5:$AP$2005,'Stock Moves'!$J$5:$J$2005,$A114,'Stock Moves'!$A$5:$A$2005,"&lt;="&amp;ReportTo)+SUMIFS('Journal Vouchers'!$R$5:$R$2005,'Journal Vouchers'!$E$5:$E$2005,$A114,'Journal Vouchers'!$B$5:$B$2005,"&lt;="&amp;ReportTo))</f>
        <v/>
      </c>
      <c r="C114" s="26">
        <f>IF(A114="",0,SUMIFS('Direct Costs'!$AK$5:$AK$2005,'Direct Costs'!$E$5:$E$2005,$A114,'Direct Costs'!$A$5:$A$2005,"&lt;="&amp;ReportTo)+SUMIFS('Operating Expenses'!$AF$5:$AF$2005,'Operating Expenses'!$E$5:$E$2005,$A114,'Operating Expenses'!$A$5:$A$2005,"&lt;="&amp;ReportTo)+SUMIFS('Payroll'!$AB$5:$AB$2005,'Payroll'!$C$5:$C$2005,$A114,'Payroll'!$A$5:$A$2005,"&lt;="&amp;ReportTo)+SUMIFS('Receipt Vouchers'!$AB$5:$AB$2005,'Receipt Vouchers'!$E$5:$E$2005,$A114,'Receipt Vouchers'!$A$5:$A$2005,"&lt;="&amp;ReportTo)+SUMIFS('Sales Invoices'!$AC$5:$AC$2005,'Sales Invoices'!$H$5:$H$2005,$A114,'Sales Invoices'!$B$5:$B$2005,"&lt;="&amp;ReportTo)+SUMIFS('Payment Vouchers'!$S$5:$S$2005,'Payment Vouchers'!$B$5:$B$2005,$A114,'Payment Vouchers'!$A$5:$A$2005,"&lt;="&amp;ReportTo)+SUMIFS('Partner Transactions'!$U$5:$U$2005,'Partner Transactions'!$B$5:$B$2005,$A114,'Partner Transactions'!$A$5:$A$2005,"&lt;="&amp;ReportTo)+SUMIFS('Stock Moves'!$AQ$5:$AQ$2005,'Stock Moves'!$J$5:$J$2005,$A114,'Stock Moves'!$A$5:$A$2005,"&lt;="&amp;ReportTo)+SUMIFS('Journal Vouchers'!$S$5:$S$2005,'Journal Vouchers'!$E$5:$E$2005,$A114,'Journal Vouchers'!$B$5:$B$2005,"&lt;="&amp;ReportTo))</f>
        <v/>
      </c>
      <c r="D114" s="26">
        <f>B114+C114</f>
        <v/>
      </c>
    </row>
    <row r="115">
      <c r="A115" s="25">
        <f>IF(Parties!A115="","",Parties!A115)</f>
        <v/>
      </c>
      <c r="B115" s="26">
        <f>IF(A115="",0,SUMIFS('Direct Costs'!$AJ$5:$AJ$2005,'Direct Costs'!$E$5:$E$2005,$A115,'Direct Costs'!$A$5:$A$2005,"&lt;="&amp;ReportTo)+SUMIFS('Operating Expenses'!$AE$5:$AE$2005,'Operating Expenses'!$E$5:$E$2005,$A115,'Operating Expenses'!$A$5:$A$2005,"&lt;="&amp;ReportTo)+SUMIFS('Payroll'!$AA$5:$AA$2005,'Payroll'!$C$5:$C$2005,$A115,'Payroll'!$A$5:$A$2005,"&lt;="&amp;ReportTo)+SUMIFS('Receipt Vouchers'!$AA$5:$AA$2005,'Receipt Vouchers'!$E$5:$E$2005,$A115,'Receipt Vouchers'!$A$5:$A$2005,"&lt;="&amp;ReportTo)+SUMIFS('Sales Invoices'!$AB$5:$AB$2005,'Sales Invoices'!$H$5:$H$2005,$A115,'Sales Invoices'!$B$5:$B$2005,"&lt;="&amp;ReportTo)+SUMIFS('Payment Vouchers'!$R$5:$R$2005,'Payment Vouchers'!$B$5:$B$2005,$A115,'Payment Vouchers'!$A$5:$A$2005,"&lt;="&amp;ReportTo)+SUMIFS('Partner Transactions'!$T$5:$T$2005,'Partner Transactions'!$B$5:$B$2005,$A115,'Partner Transactions'!$A$5:$A$2005,"&lt;="&amp;ReportTo)+SUMIFS('Stock Moves'!$AP$5:$AP$2005,'Stock Moves'!$J$5:$J$2005,$A115,'Stock Moves'!$A$5:$A$2005,"&lt;="&amp;ReportTo)+SUMIFS('Journal Vouchers'!$R$5:$R$2005,'Journal Vouchers'!$E$5:$E$2005,$A115,'Journal Vouchers'!$B$5:$B$2005,"&lt;="&amp;ReportTo))</f>
        <v/>
      </c>
      <c r="C115" s="26">
        <f>IF(A115="",0,SUMIFS('Direct Costs'!$AK$5:$AK$2005,'Direct Costs'!$E$5:$E$2005,$A115,'Direct Costs'!$A$5:$A$2005,"&lt;="&amp;ReportTo)+SUMIFS('Operating Expenses'!$AF$5:$AF$2005,'Operating Expenses'!$E$5:$E$2005,$A115,'Operating Expenses'!$A$5:$A$2005,"&lt;="&amp;ReportTo)+SUMIFS('Payroll'!$AB$5:$AB$2005,'Payroll'!$C$5:$C$2005,$A115,'Payroll'!$A$5:$A$2005,"&lt;="&amp;ReportTo)+SUMIFS('Receipt Vouchers'!$AB$5:$AB$2005,'Receipt Vouchers'!$E$5:$E$2005,$A115,'Receipt Vouchers'!$A$5:$A$2005,"&lt;="&amp;ReportTo)+SUMIFS('Sales Invoices'!$AC$5:$AC$2005,'Sales Invoices'!$H$5:$H$2005,$A115,'Sales Invoices'!$B$5:$B$2005,"&lt;="&amp;ReportTo)+SUMIFS('Payment Vouchers'!$S$5:$S$2005,'Payment Vouchers'!$B$5:$B$2005,$A115,'Payment Vouchers'!$A$5:$A$2005,"&lt;="&amp;ReportTo)+SUMIFS('Partner Transactions'!$U$5:$U$2005,'Partner Transactions'!$B$5:$B$2005,$A115,'Partner Transactions'!$A$5:$A$2005,"&lt;="&amp;ReportTo)+SUMIFS('Stock Moves'!$AQ$5:$AQ$2005,'Stock Moves'!$J$5:$J$2005,$A115,'Stock Moves'!$A$5:$A$2005,"&lt;="&amp;ReportTo)+SUMIFS('Journal Vouchers'!$S$5:$S$2005,'Journal Vouchers'!$E$5:$E$2005,$A115,'Journal Vouchers'!$B$5:$B$2005,"&lt;="&amp;ReportTo))</f>
        <v/>
      </c>
      <c r="D115" s="26">
        <f>B115+C115</f>
        <v/>
      </c>
    </row>
    <row r="116">
      <c r="A116" s="25">
        <f>IF(Parties!A116="","",Parties!A116)</f>
        <v/>
      </c>
      <c r="B116" s="26">
        <f>IF(A116="",0,SUMIFS('Direct Costs'!$AJ$5:$AJ$2005,'Direct Costs'!$E$5:$E$2005,$A116,'Direct Costs'!$A$5:$A$2005,"&lt;="&amp;ReportTo)+SUMIFS('Operating Expenses'!$AE$5:$AE$2005,'Operating Expenses'!$E$5:$E$2005,$A116,'Operating Expenses'!$A$5:$A$2005,"&lt;="&amp;ReportTo)+SUMIFS('Payroll'!$AA$5:$AA$2005,'Payroll'!$C$5:$C$2005,$A116,'Payroll'!$A$5:$A$2005,"&lt;="&amp;ReportTo)+SUMIFS('Receipt Vouchers'!$AA$5:$AA$2005,'Receipt Vouchers'!$E$5:$E$2005,$A116,'Receipt Vouchers'!$A$5:$A$2005,"&lt;="&amp;ReportTo)+SUMIFS('Sales Invoices'!$AB$5:$AB$2005,'Sales Invoices'!$H$5:$H$2005,$A116,'Sales Invoices'!$B$5:$B$2005,"&lt;="&amp;ReportTo)+SUMIFS('Payment Vouchers'!$R$5:$R$2005,'Payment Vouchers'!$B$5:$B$2005,$A116,'Payment Vouchers'!$A$5:$A$2005,"&lt;="&amp;ReportTo)+SUMIFS('Partner Transactions'!$T$5:$T$2005,'Partner Transactions'!$B$5:$B$2005,$A116,'Partner Transactions'!$A$5:$A$2005,"&lt;="&amp;ReportTo)+SUMIFS('Stock Moves'!$AP$5:$AP$2005,'Stock Moves'!$J$5:$J$2005,$A116,'Stock Moves'!$A$5:$A$2005,"&lt;="&amp;ReportTo)+SUMIFS('Journal Vouchers'!$R$5:$R$2005,'Journal Vouchers'!$E$5:$E$2005,$A116,'Journal Vouchers'!$B$5:$B$2005,"&lt;="&amp;ReportTo))</f>
        <v/>
      </c>
      <c r="C116" s="26">
        <f>IF(A116="",0,SUMIFS('Direct Costs'!$AK$5:$AK$2005,'Direct Costs'!$E$5:$E$2005,$A116,'Direct Costs'!$A$5:$A$2005,"&lt;="&amp;ReportTo)+SUMIFS('Operating Expenses'!$AF$5:$AF$2005,'Operating Expenses'!$E$5:$E$2005,$A116,'Operating Expenses'!$A$5:$A$2005,"&lt;="&amp;ReportTo)+SUMIFS('Payroll'!$AB$5:$AB$2005,'Payroll'!$C$5:$C$2005,$A116,'Payroll'!$A$5:$A$2005,"&lt;="&amp;ReportTo)+SUMIFS('Receipt Vouchers'!$AB$5:$AB$2005,'Receipt Vouchers'!$E$5:$E$2005,$A116,'Receipt Vouchers'!$A$5:$A$2005,"&lt;="&amp;ReportTo)+SUMIFS('Sales Invoices'!$AC$5:$AC$2005,'Sales Invoices'!$H$5:$H$2005,$A116,'Sales Invoices'!$B$5:$B$2005,"&lt;="&amp;ReportTo)+SUMIFS('Payment Vouchers'!$S$5:$S$2005,'Payment Vouchers'!$B$5:$B$2005,$A116,'Payment Vouchers'!$A$5:$A$2005,"&lt;="&amp;ReportTo)+SUMIFS('Partner Transactions'!$U$5:$U$2005,'Partner Transactions'!$B$5:$B$2005,$A116,'Partner Transactions'!$A$5:$A$2005,"&lt;="&amp;ReportTo)+SUMIFS('Stock Moves'!$AQ$5:$AQ$2005,'Stock Moves'!$J$5:$J$2005,$A116,'Stock Moves'!$A$5:$A$2005,"&lt;="&amp;ReportTo)+SUMIFS('Journal Vouchers'!$S$5:$S$2005,'Journal Vouchers'!$E$5:$E$2005,$A116,'Journal Vouchers'!$B$5:$B$2005,"&lt;="&amp;ReportTo))</f>
        <v/>
      </c>
      <c r="D116" s="26">
        <f>B116+C116</f>
        <v/>
      </c>
    </row>
    <row r="117">
      <c r="A117" s="25">
        <f>IF(Parties!A117="","",Parties!A117)</f>
        <v/>
      </c>
      <c r="B117" s="26">
        <f>IF(A117="",0,SUMIFS('Direct Costs'!$AJ$5:$AJ$2005,'Direct Costs'!$E$5:$E$2005,$A117,'Direct Costs'!$A$5:$A$2005,"&lt;="&amp;ReportTo)+SUMIFS('Operating Expenses'!$AE$5:$AE$2005,'Operating Expenses'!$E$5:$E$2005,$A117,'Operating Expenses'!$A$5:$A$2005,"&lt;="&amp;ReportTo)+SUMIFS('Payroll'!$AA$5:$AA$2005,'Payroll'!$C$5:$C$2005,$A117,'Payroll'!$A$5:$A$2005,"&lt;="&amp;ReportTo)+SUMIFS('Receipt Vouchers'!$AA$5:$AA$2005,'Receipt Vouchers'!$E$5:$E$2005,$A117,'Receipt Vouchers'!$A$5:$A$2005,"&lt;="&amp;ReportTo)+SUMIFS('Sales Invoices'!$AB$5:$AB$2005,'Sales Invoices'!$H$5:$H$2005,$A117,'Sales Invoices'!$B$5:$B$2005,"&lt;="&amp;ReportTo)+SUMIFS('Payment Vouchers'!$R$5:$R$2005,'Payment Vouchers'!$B$5:$B$2005,$A117,'Payment Vouchers'!$A$5:$A$2005,"&lt;="&amp;ReportTo)+SUMIFS('Partner Transactions'!$T$5:$T$2005,'Partner Transactions'!$B$5:$B$2005,$A117,'Partner Transactions'!$A$5:$A$2005,"&lt;="&amp;ReportTo)+SUMIFS('Stock Moves'!$AP$5:$AP$2005,'Stock Moves'!$J$5:$J$2005,$A117,'Stock Moves'!$A$5:$A$2005,"&lt;="&amp;ReportTo)+SUMIFS('Journal Vouchers'!$R$5:$R$2005,'Journal Vouchers'!$E$5:$E$2005,$A117,'Journal Vouchers'!$B$5:$B$2005,"&lt;="&amp;ReportTo))</f>
        <v/>
      </c>
      <c r="C117" s="26">
        <f>IF(A117="",0,SUMIFS('Direct Costs'!$AK$5:$AK$2005,'Direct Costs'!$E$5:$E$2005,$A117,'Direct Costs'!$A$5:$A$2005,"&lt;="&amp;ReportTo)+SUMIFS('Operating Expenses'!$AF$5:$AF$2005,'Operating Expenses'!$E$5:$E$2005,$A117,'Operating Expenses'!$A$5:$A$2005,"&lt;="&amp;ReportTo)+SUMIFS('Payroll'!$AB$5:$AB$2005,'Payroll'!$C$5:$C$2005,$A117,'Payroll'!$A$5:$A$2005,"&lt;="&amp;ReportTo)+SUMIFS('Receipt Vouchers'!$AB$5:$AB$2005,'Receipt Vouchers'!$E$5:$E$2005,$A117,'Receipt Vouchers'!$A$5:$A$2005,"&lt;="&amp;ReportTo)+SUMIFS('Sales Invoices'!$AC$5:$AC$2005,'Sales Invoices'!$H$5:$H$2005,$A117,'Sales Invoices'!$B$5:$B$2005,"&lt;="&amp;ReportTo)+SUMIFS('Payment Vouchers'!$S$5:$S$2005,'Payment Vouchers'!$B$5:$B$2005,$A117,'Payment Vouchers'!$A$5:$A$2005,"&lt;="&amp;ReportTo)+SUMIFS('Partner Transactions'!$U$5:$U$2005,'Partner Transactions'!$B$5:$B$2005,$A117,'Partner Transactions'!$A$5:$A$2005,"&lt;="&amp;ReportTo)+SUMIFS('Stock Moves'!$AQ$5:$AQ$2005,'Stock Moves'!$J$5:$J$2005,$A117,'Stock Moves'!$A$5:$A$2005,"&lt;="&amp;ReportTo)+SUMIFS('Journal Vouchers'!$S$5:$S$2005,'Journal Vouchers'!$E$5:$E$2005,$A117,'Journal Vouchers'!$B$5:$B$2005,"&lt;="&amp;ReportTo))</f>
        <v/>
      </c>
      <c r="D117" s="26">
        <f>B117+C117</f>
        <v/>
      </c>
    </row>
    <row r="118">
      <c r="A118" s="25">
        <f>IF(Parties!A118="","",Parties!A118)</f>
        <v/>
      </c>
      <c r="B118" s="26">
        <f>IF(A118="",0,SUMIFS('Direct Costs'!$AJ$5:$AJ$2005,'Direct Costs'!$E$5:$E$2005,$A118,'Direct Costs'!$A$5:$A$2005,"&lt;="&amp;ReportTo)+SUMIFS('Operating Expenses'!$AE$5:$AE$2005,'Operating Expenses'!$E$5:$E$2005,$A118,'Operating Expenses'!$A$5:$A$2005,"&lt;="&amp;ReportTo)+SUMIFS('Payroll'!$AA$5:$AA$2005,'Payroll'!$C$5:$C$2005,$A118,'Payroll'!$A$5:$A$2005,"&lt;="&amp;ReportTo)+SUMIFS('Receipt Vouchers'!$AA$5:$AA$2005,'Receipt Vouchers'!$E$5:$E$2005,$A118,'Receipt Vouchers'!$A$5:$A$2005,"&lt;="&amp;ReportTo)+SUMIFS('Sales Invoices'!$AB$5:$AB$2005,'Sales Invoices'!$H$5:$H$2005,$A118,'Sales Invoices'!$B$5:$B$2005,"&lt;="&amp;ReportTo)+SUMIFS('Payment Vouchers'!$R$5:$R$2005,'Payment Vouchers'!$B$5:$B$2005,$A118,'Payment Vouchers'!$A$5:$A$2005,"&lt;="&amp;ReportTo)+SUMIFS('Partner Transactions'!$T$5:$T$2005,'Partner Transactions'!$B$5:$B$2005,$A118,'Partner Transactions'!$A$5:$A$2005,"&lt;="&amp;ReportTo)+SUMIFS('Stock Moves'!$AP$5:$AP$2005,'Stock Moves'!$J$5:$J$2005,$A118,'Stock Moves'!$A$5:$A$2005,"&lt;="&amp;ReportTo)+SUMIFS('Journal Vouchers'!$R$5:$R$2005,'Journal Vouchers'!$E$5:$E$2005,$A118,'Journal Vouchers'!$B$5:$B$2005,"&lt;="&amp;ReportTo))</f>
        <v/>
      </c>
      <c r="C118" s="26">
        <f>IF(A118="",0,SUMIFS('Direct Costs'!$AK$5:$AK$2005,'Direct Costs'!$E$5:$E$2005,$A118,'Direct Costs'!$A$5:$A$2005,"&lt;="&amp;ReportTo)+SUMIFS('Operating Expenses'!$AF$5:$AF$2005,'Operating Expenses'!$E$5:$E$2005,$A118,'Operating Expenses'!$A$5:$A$2005,"&lt;="&amp;ReportTo)+SUMIFS('Payroll'!$AB$5:$AB$2005,'Payroll'!$C$5:$C$2005,$A118,'Payroll'!$A$5:$A$2005,"&lt;="&amp;ReportTo)+SUMIFS('Receipt Vouchers'!$AB$5:$AB$2005,'Receipt Vouchers'!$E$5:$E$2005,$A118,'Receipt Vouchers'!$A$5:$A$2005,"&lt;="&amp;ReportTo)+SUMIFS('Sales Invoices'!$AC$5:$AC$2005,'Sales Invoices'!$H$5:$H$2005,$A118,'Sales Invoices'!$B$5:$B$2005,"&lt;="&amp;ReportTo)+SUMIFS('Payment Vouchers'!$S$5:$S$2005,'Payment Vouchers'!$B$5:$B$2005,$A118,'Payment Vouchers'!$A$5:$A$2005,"&lt;="&amp;ReportTo)+SUMIFS('Partner Transactions'!$U$5:$U$2005,'Partner Transactions'!$B$5:$B$2005,$A118,'Partner Transactions'!$A$5:$A$2005,"&lt;="&amp;ReportTo)+SUMIFS('Stock Moves'!$AQ$5:$AQ$2005,'Stock Moves'!$J$5:$J$2005,$A118,'Stock Moves'!$A$5:$A$2005,"&lt;="&amp;ReportTo)+SUMIFS('Journal Vouchers'!$S$5:$S$2005,'Journal Vouchers'!$E$5:$E$2005,$A118,'Journal Vouchers'!$B$5:$B$2005,"&lt;="&amp;ReportTo))</f>
        <v/>
      </c>
      <c r="D118" s="26">
        <f>B118+C118</f>
        <v/>
      </c>
    </row>
    <row r="119">
      <c r="A119" s="25">
        <f>IF(Parties!A119="","",Parties!A119)</f>
        <v/>
      </c>
      <c r="B119" s="26">
        <f>IF(A119="",0,SUMIFS('Direct Costs'!$AJ$5:$AJ$2005,'Direct Costs'!$E$5:$E$2005,$A119,'Direct Costs'!$A$5:$A$2005,"&lt;="&amp;ReportTo)+SUMIFS('Operating Expenses'!$AE$5:$AE$2005,'Operating Expenses'!$E$5:$E$2005,$A119,'Operating Expenses'!$A$5:$A$2005,"&lt;="&amp;ReportTo)+SUMIFS('Payroll'!$AA$5:$AA$2005,'Payroll'!$C$5:$C$2005,$A119,'Payroll'!$A$5:$A$2005,"&lt;="&amp;ReportTo)+SUMIFS('Receipt Vouchers'!$AA$5:$AA$2005,'Receipt Vouchers'!$E$5:$E$2005,$A119,'Receipt Vouchers'!$A$5:$A$2005,"&lt;="&amp;ReportTo)+SUMIFS('Sales Invoices'!$AB$5:$AB$2005,'Sales Invoices'!$H$5:$H$2005,$A119,'Sales Invoices'!$B$5:$B$2005,"&lt;="&amp;ReportTo)+SUMIFS('Payment Vouchers'!$R$5:$R$2005,'Payment Vouchers'!$B$5:$B$2005,$A119,'Payment Vouchers'!$A$5:$A$2005,"&lt;="&amp;ReportTo)+SUMIFS('Partner Transactions'!$T$5:$T$2005,'Partner Transactions'!$B$5:$B$2005,$A119,'Partner Transactions'!$A$5:$A$2005,"&lt;="&amp;ReportTo)+SUMIFS('Stock Moves'!$AP$5:$AP$2005,'Stock Moves'!$J$5:$J$2005,$A119,'Stock Moves'!$A$5:$A$2005,"&lt;="&amp;ReportTo)+SUMIFS('Journal Vouchers'!$R$5:$R$2005,'Journal Vouchers'!$E$5:$E$2005,$A119,'Journal Vouchers'!$B$5:$B$2005,"&lt;="&amp;ReportTo))</f>
        <v/>
      </c>
      <c r="C119" s="26">
        <f>IF(A119="",0,SUMIFS('Direct Costs'!$AK$5:$AK$2005,'Direct Costs'!$E$5:$E$2005,$A119,'Direct Costs'!$A$5:$A$2005,"&lt;="&amp;ReportTo)+SUMIFS('Operating Expenses'!$AF$5:$AF$2005,'Operating Expenses'!$E$5:$E$2005,$A119,'Operating Expenses'!$A$5:$A$2005,"&lt;="&amp;ReportTo)+SUMIFS('Payroll'!$AB$5:$AB$2005,'Payroll'!$C$5:$C$2005,$A119,'Payroll'!$A$5:$A$2005,"&lt;="&amp;ReportTo)+SUMIFS('Receipt Vouchers'!$AB$5:$AB$2005,'Receipt Vouchers'!$E$5:$E$2005,$A119,'Receipt Vouchers'!$A$5:$A$2005,"&lt;="&amp;ReportTo)+SUMIFS('Sales Invoices'!$AC$5:$AC$2005,'Sales Invoices'!$H$5:$H$2005,$A119,'Sales Invoices'!$B$5:$B$2005,"&lt;="&amp;ReportTo)+SUMIFS('Payment Vouchers'!$S$5:$S$2005,'Payment Vouchers'!$B$5:$B$2005,$A119,'Payment Vouchers'!$A$5:$A$2005,"&lt;="&amp;ReportTo)+SUMIFS('Partner Transactions'!$U$5:$U$2005,'Partner Transactions'!$B$5:$B$2005,$A119,'Partner Transactions'!$A$5:$A$2005,"&lt;="&amp;ReportTo)+SUMIFS('Stock Moves'!$AQ$5:$AQ$2005,'Stock Moves'!$J$5:$J$2005,$A119,'Stock Moves'!$A$5:$A$2005,"&lt;="&amp;ReportTo)+SUMIFS('Journal Vouchers'!$S$5:$S$2005,'Journal Vouchers'!$E$5:$E$2005,$A119,'Journal Vouchers'!$B$5:$B$2005,"&lt;="&amp;ReportTo))</f>
        <v/>
      </c>
      <c r="D119" s="26">
        <f>B119+C119</f>
        <v/>
      </c>
    </row>
    <row r="120">
      <c r="A120" s="25">
        <f>IF(Parties!A120="","",Parties!A120)</f>
        <v/>
      </c>
      <c r="B120" s="26">
        <f>IF(A120="",0,SUMIFS('Direct Costs'!$AJ$5:$AJ$2005,'Direct Costs'!$E$5:$E$2005,$A120,'Direct Costs'!$A$5:$A$2005,"&lt;="&amp;ReportTo)+SUMIFS('Operating Expenses'!$AE$5:$AE$2005,'Operating Expenses'!$E$5:$E$2005,$A120,'Operating Expenses'!$A$5:$A$2005,"&lt;="&amp;ReportTo)+SUMIFS('Payroll'!$AA$5:$AA$2005,'Payroll'!$C$5:$C$2005,$A120,'Payroll'!$A$5:$A$2005,"&lt;="&amp;ReportTo)+SUMIFS('Receipt Vouchers'!$AA$5:$AA$2005,'Receipt Vouchers'!$E$5:$E$2005,$A120,'Receipt Vouchers'!$A$5:$A$2005,"&lt;="&amp;ReportTo)+SUMIFS('Sales Invoices'!$AB$5:$AB$2005,'Sales Invoices'!$H$5:$H$2005,$A120,'Sales Invoices'!$B$5:$B$2005,"&lt;="&amp;ReportTo)+SUMIFS('Payment Vouchers'!$R$5:$R$2005,'Payment Vouchers'!$B$5:$B$2005,$A120,'Payment Vouchers'!$A$5:$A$2005,"&lt;="&amp;ReportTo)+SUMIFS('Partner Transactions'!$T$5:$T$2005,'Partner Transactions'!$B$5:$B$2005,$A120,'Partner Transactions'!$A$5:$A$2005,"&lt;="&amp;ReportTo)+SUMIFS('Stock Moves'!$AP$5:$AP$2005,'Stock Moves'!$J$5:$J$2005,$A120,'Stock Moves'!$A$5:$A$2005,"&lt;="&amp;ReportTo)+SUMIFS('Journal Vouchers'!$R$5:$R$2005,'Journal Vouchers'!$E$5:$E$2005,$A120,'Journal Vouchers'!$B$5:$B$2005,"&lt;="&amp;ReportTo))</f>
        <v/>
      </c>
      <c r="C120" s="26">
        <f>IF(A120="",0,SUMIFS('Direct Costs'!$AK$5:$AK$2005,'Direct Costs'!$E$5:$E$2005,$A120,'Direct Costs'!$A$5:$A$2005,"&lt;="&amp;ReportTo)+SUMIFS('Operating Expenses'!$AF$5:$AF$2005,'Operating Expenses'!$E$5:$E$2005,$A120,'Operating Expenses'!$A$5:$A$2005,"&lt;="&amp;ReportTo)+SUMIFS('Payroll'!$AB$5:$AB$2005,'Payroll'!$C$5:$C$2005,$A120,'Payroll'!$A$5:$A$2005,"&lt;="&amp;ReportTo)+SUMIFS('Receipt Vouchers'!$AB$5:$AB$2005,'Receipt Vouchers'!$E$5:$E$2005,$A120,'Receipt Vouchers'!$A$5:$A$2005,"&lt;="&amp;ReportTo)+SUMIFS('Sales Invoices'!$AC$5:$AC$2005,'Sales Invoices'!$H$5:$H$2005,$A120,'Sales Invoices'!$B$5:$B$2005,"&lt;="&amp;ReportTo)+SUMIFS('Payment Vouchers'!$S$5:$S$2005,'Payment Vouchers'!$B$5:$B$2005,$A120,'Payment Vouchers'!$A$5:$A$2005,"&lt;="&amp;ReportTo)+SUMIFS('Partner Transactions'!$U$5:$U$2005,'Partner Transactions'!$B$5:$B$2005,$A120,'Partner Transactions'!$A$5:$A$2005,"&lt;="&amp;ReportTo)+SUMIFS('Stock Moves'!$AQ$5:$AQ$2005,'Stock Moves'!$J$5:$J$2005,$A120,'Stock Moves'!$A$5:$A$2005,"&lt;="&amp;ReportTo)+SUMIFS('Journal Vouchers'!$S$5:$S$2005,'Journal Vouchers'!$E$5:$E$2005,$A120,'Journal Vouchers'!$B$5:$B$2005,"&lt;="&amp;ReportTo))</f>
        <v/>
      </c>
      <c r="D120" s="26">
        <f>B120+C120</f>
        <v/>
      </c>
    </row>
    <row r="121">
      <c r="A121" s="25">
        <f>IF(Parties!A121="","",Parties!A121)</f>
        <v/>
      </c>
      <c r="B121" s="26">
        <f>IF(A121="",0,SUMIFS('Direct Costs'!$AJ$5:$AJ$2005,'Direct Costs'!$E$5:$E$2005,$A121,'Direct Costs'!$A$5:$A$2005,"&lt;="&amp;ReportTo)+SUMIFS('Operating Expenses'!$AE$5:$AE$2005,'Operating Expenses'!$E$5:$E$2005,$A121,'Operating Expenses'!$A$5:$A$2005,"&lt;="&amp;ReportTo)+SUMIFS('Payroll'!$AA$5:$AA$2005,'Payroll'!$C$5:$C$2005,$A121,'Payroll'!$A$5:$A$2005,"&lt;="&amp;ReportTo)+SUMIFS('Receipt Vouchers'!$AA$5:$AA$2005,'Receipt Vouchers'!$E$5:$E$2005,$A121,'Receipt Vouchers'!$A$5:$A$2005,"&lt;="&amp;ReportTo)+SUMIFS('Sales Invoices'!$AB$5:$AB$2005,'Sales Invoices'!$H$5:$H$2005,$A121,'Sales Invoices'!$B$5:$B$2005,"&lt;="&amp;ReportTo)+SUMIFS('Payment Vouchers'!$R$5:$R$2005,'Payment Vouchers'!$B$5:$B$2005,$A121,'Payment Vouchers'!$A$5:$A$2005,"&lt;="&amp;ReportTo)+SUMIFS('Partner Transactions'!$T$5:$T$2005,'Partner Transactions'!$B$5:$B$2005,$A121,'Partner Transactions'!$A$5:$A$2005,"&lt;="&amp;ReportTo)+SUMIFS('Stock Moves'!$AP$5:$AP$2005,'Stock Moves'!$J$5:$J$2005,$A121,'Stock Moves'!$A$5:$A$2005,"&lt;="&amp;ReportTo)+SUMIFS('Journal Vouchers'!$R$5:$R$2005,'Journal Vouchers'!$E$5:$E$2005,$A121,'Journal Vouchers'!$B$5:$B$2005,"&lt;="&amp;ReportTo))</f>
        <v/>
      </c>
      <c r="C121" s="26">
        <f>IF(A121="",0,SUMIFS('Direct Costs'!$AK$5:$AK$2005,'Direct Costs'!$E$5:$E$2005,$A121,'Direct Costs'!$A$5:$A$2005,"&lt;="&amp;ReportTo)+SUMIFS('Operating Expenses'!$AF$5:$AF$2005,'Operating Expenses'!$E$5:$E$2005,$A121,'Operating Expenses'!$A$5:$A$2005,"&lt;="&amp;ReportTo)+SUMIFS('Payroll'!$AB$5:$AB$2005,'Payroll'!$C$5:$C$2005,$A121,'Payroll'!$A$5:$A$2005,"&lt;="&amp;ReportTo)+SUMIFS('Receipt Vouchers'!$AB$5:$AB$2005,'Receipt Vouchers'!$E$5:$E$2005,$A121,'Receipt Vouchers'!$A$5:$A$2005,"&lt;="&amp;ReportTo)+SUMIFS('Sales Invoices'!$AC$5:$AC$2005,'Sales Invoices'!$H$5:$H$2005,$A121,'Sales Invoices'!$B$5:$B$2005,"&lt;="&amp;ReportTo)+SUMIFS('Payment Vouchers'!$S$5:$S$2005,'Payment Vouchers'!$B$5:$B$2005,$A121,'Payment Vouchers'!$A$5:$A$2005,"&lt;="&amp;ReportTo)+SUMIFS('Partner Transactions'!$U$5:$U$2005,'Partner Transactions'!$B$5:$B$2005,$A121,'Partner Transactions'!$A$5:$A$2005,"&lt;="&amp;ReportTo)+SUMIFS('Stock Moves'!$AQ$5:$AQ$2005,'Stock Moves'!$J$5:$J$2005,$A121,'Stock Moves'!$A$5:$A$2005,"&lt;="&amp;ReportTo)+SUMIFS('Journal Vouchers'!$S$5:$S$2005,'Journal Vouchers'!$E$5:$E$2005,$A121,'Journal Vouchers'!$B$5:$B$2005,"&lt;="&amp;ReportTo))</f>
        <v/>
      </c>
      <c r="D121" s="26">
        <f>B121+C121</f>
        <v/>
      </c>
    </row>
    <row r="122">
      <c r="A122" s="25">
        <f>IF(Parties!A122="","",Parties!A122)</f>
        <v/>
      </c>
      <c r="B122" s="26">
        <f>IF(A122="",0,SUMIFS('Direct Costs'!$AJ$5:$AJ$2005,'Direct Costs'!$E$5:$E$2005,$A122,'Direct Costs'!$A$5:$A$2005,"&lt;="&amp;ReportTo)+SUMIFS('Operating Expenses'!$AE$5:$AE$2005,'Operating Expenses'!$E$5:$E$2005,$A122,'Operating Expenses'!$A$5:$A$2005,"&lt;="&amp;ReportTo)+SUMIFS('Payroll'!$AA$5:$AA$2005,'Payroll'!$C$5:$C$2005,$A122,'Payroll'!$A$5:$A$2005,"&lt;="&amp;ReportTo)+SUMIFS('Receipt Vouchers'!$AA$5:$AA$2005,'Receipt Vouchers'!$E$5:$E$2005,$A122,'Receipt Vouchers'!$A$5:$A$2005,"&lt;="&amp;ReportTo)+SUMIFS('Sales Invoices'!$AB$5:$AB$2005,'Sales Invoices'!$H$5:$H$2005,$A122,'Sales Invoices'!$B$5:$B$2005,"&lt;="&amp;ReportTo)+SUMIFS('Payment Vouchers'!$R$5:$R$2005,'Payment Vouchers'!$B$5:$B$2005,$A122,'Payment Vouchers'!$A$5:$A$2005,"&lt;="&amp;ReportTo)+SUMIFS('Partner Transactions'!$T$5:$T$2005,'Partner Transactions'!$B$5:$B$2005,$A122,'Partner Transactions'!$A$5:$A$2005,"&lt;="&amp;ReportTo)+SUMIFS('Stock Moves'!$AP$5:$AP$2005,'Stock Moves'!$J$5:$J$2005,$A122,'Stock Moves'!$A$5:$A$2005,"&lt;="&amp;ReportTo)+SUMIFS('Journal Vouchers'!$R$5:$R$2005,'Journal Vouchers'!$E$5:$E$2005,$A122,'Journal Vouchers'!$B$5:$B$2005,"&lt;="&amp;ReportTo))</f>
        <v/>
      </c>
      <c r="C122" s="26">
        <f>IF(A122="",0,SUMIFS('Direct Costs'!$AK$5:$AK$2005,'Direct Costs'!$E$5:$E$2005,$A122,'Direct Costs'!$A$5:$A$2005,"&lt;="&amp;ReportTo)+SUMIFS('Operating Expenses'!$AF$5:$AF$2005,'Operating Expenses'!$E$5:$E$2005,$A122,'Operating Expenses'!$A$5:$A$2005,"&lt;="&amp;ReportTo)+SUMIFS('Payroll'!$AB$5:$AB$2005,'Payroll'!$C$5:$C$2005,$A122,'Payroll'!$A$5:$A$2005,"&lt;="&amp;ReportTo)+SUMIFS('Receipt Vouchers'!$AB$5:$AB$2005,'Receipt Vouchers'!$E$5:$E$2005,$A122,'Receipt Vouchers'!$A$5:$A$2005,"&lt;="&amp;ReportTo)+SUMIFS('Sales Invoices'!$AC$5:$AC$2005,'Sales Invoices'!$H$5:$H$2005,$A122,'Sales Invoices'!$B$5:$B$2005,"&lt;="&amp;ReportTo)+SUMIFS('Payment Vouchers'!$S$5:$S$2005,'Payment Vouchers'!$B$5:$B$2005,$A122,'Payment Vouchers'!$A$5:$A$2005,"&lt;="&amp;ReportTo)+SUMIFS('Partner Transactions'!$U$5:$U$2005,'Partner Transactions'!$B$5:$B$2005,$A122,'Partner Transactions'!$A$5:$A$2005,"&lt;="&amp;ReportTo)+SUMIFS('Stock Moves'!$AQ$5:$AQ$2005,'Stock Moves'!$J$5:$J$2005,$A122,'Stock Moves'!$A$5:$A$2005,"&lt;="&amp;ReportTo)+SUMIFS('Journal Vouchers'!$S$5:$S$2005,'Journal Vouchers'!$E$5:$E$2005,$A122,'Journal Vouchers'!$B$5:$B$2005,"&lt;="&amp;ReportTo))</f>
        <v/>
      </c>
      <c r="D122" s="26">
        <f>B122+C122</f>
        <v/>
      </c>
    </row>
    <row r="123">
      <c r="A123" s="25">
        <f>IF(Parties!A123="","",Parties!A123)</f>
        <v/>
      </c>
      <c r="B123" s="26">
        <f>IF(A123="",0,SUMIFS('Direct Costs'!$AJ$5:$AJ$2005,'Direct Costs'!$E$5:$E$2005,$A123,'Direct Costs'!$A$5:$A$2005,"&lt;="&amp;ReportTo)+SUMIFS('Operating Expenses'!$AE$5:$AE$2005,'Operating Expenses'!$E$5:$E$2005,$A123,'Operating Expenses'!$A$5:$A$2005,"&lt;="&amp;ReportTo)+SUMIFS('Payroll'!$AA$5:$AA$2005,'Payroll'!$C$5:$C$2005,$A123,'Payroll'!$A$5:$A$2005,"&lt;="&amp;ReportTo)+SUMIFS('Receipt Vouchers'!$AA$5:$AA$2005,'Receipt Vouchers'!$E$5:$E$2005,$A123,'Receipt Vouchers'!$A$5:$A$2005,"&lt;="&amp;ReportTo)+SUMIFS('Sales Invoices'!$AB$5:$AB$2005,'Sales Invoices'!$H$5:$H$2005,$A123,'Sales Invoices'!$B$5:$B$2005,"&lt;="&amp;ReportTo)+SUMIFS('Payment Vouchers'!$R$5:$R$2005,'Payment Vouchers'!$B$5:$B$2005,$A123,'Payment Vouchers'!$A$5:$A$2005,"&lt;="&amp;ReportTo)+SUMIFS('Partner Transactions'!$T$5:$T$2005,'Partner Transactions'!$B$5:$B$2005,$A123,'Partner Transactions'!$A$5:$A$2005,"&lt;="&amp;ReportTo)+SUMIFS('Stock Moves'!$AP$5:$AP$2005,'Stock Moves'!$J$5:$J$2005,$A123,'Stock Moves'!$A$5:$A$2005,"&lt;="&amp;ReportTo)+SUMIFS('Journal Vouchers'!$R$5:$R$2005,'Journal Vouchers'!$E$5:$E$2005,$A123,'Journal Vouchers'!$B$5:$B$2005,"&lt;="&amp;ReportTo))</f>
        <v/>
      </c>
      <c r="C123" s="26">
        <f>IF(A123="",0,SUMIFS('Direct Costs'!$AK$5:$AK$2005,'Direct Costs'!$E$5:$E$2005,$A123,'Direct Costs'!$A$5:$A$2005,"&lt;="&amp;ReportTo)+SUMIFS('Operating Expenses'!$AF$5:$AF$2005,'Operating Expenses'!$E$5:$E$2005,$A123,'Operating Expenses'!$A$5:$A$2005,"&lt;="&amp;ReportTo)+SUMIFS('Payroll'!$AB$5:$AB$2005,'Payroll'!$C$5:$C$2005,$A123,'Payroll'!$A$5:$A$2005,"&lt;="&amp;ReportTo)+SUMIFS('Receipt Vouchers'!$AB$5:$AB$2005,'Receipt Vouchers'!$E$5:$E$2005,$A123,'Receipt Vouchers'!$A$5:$A$2005,"&lt;="&amp;ReportTo)+SUMIFS('Sales Invoices'!$AC$5:$AC$2005,'Sales Invoices'!$H$5:$H$2005,$A123,'Sales Invoices'!$B$5:$B$2005,"&lt;="&amp;ReportTo)+SUMIFS('Payment Vouchers'!$S$5:$S$2005,'Payment Vouchers'!$B$5:$B$2005,$A123,'Payment Vouchers'!$A$5:$A$2005,"&lt;="&amp;ReportTo)+SUMIFS('Partner Transactions'!$U$5:$U$2005,'Partner Transactions'!$B$5:$B$2005,$A123,'Partner Transactions'!$A$5:$A$2005,"&lt;="&amp;ReportTo)+SUMIFS('Stock Moves'!$AQ$5:$AQ$2005,'Stock Moves'!$J$5:$J$2005,$A123,'Stock Moves'!$A$5:$A$2005,"&lt;="&amp;ReportTo)+SUMIFS('Journal Vouchers'!$S$5:$S$2005,'Journal Vouchers'!$E$5:$E$2005,$A123,'Journal Vouchers'!$B$5:$B$2005,"&lt;="&amp;ReportTo))</f>
        <v/>
      </c>
      <c r="D123" s="26">
        <f>B123+C123</f>
        <v/>
      </c>
    </row>
    <row r="124">
      <c r="A124" s="25">
        <f>IF(Parties!A124="","",Parties!A124)</f>
        <v/>
      </c>
      <c r="B124" s="26">
        <f>IF(A124="",0,SUMIFS('Direct Costs'!$AJ$5:$AJ$2005,'Direct Costs'!$E$5:$E$2005,$A124,'Direct Costs'!$A$5:$A$2005,"&lt;="&amp;ReportTo)+SUMIFS('Operating Expenses'!$AE$5:$AE$2005,'Operating Expenses'!$E$5:$E$2005,$A124,'Operating Expenses'!$A$5:$A$2005,"&lt;="&amp;ReportTo)+SUMIFS('Payroll'!$AA$5:$AA$2005,'Payroll'!$C$5:$C$2005,$A124,'Payroll'!$A$5:$A$2005,"&lt;="&amp;ReportTo)+SUMIFS('Receipt Vouchers'!$AA$5:$AA$2005,'Receipt Vouchers'!$E$5:$E$2005,$A124,'Receipt Vouchers'!$A$5:$A$2005,"&lt;="&amp;ReportTo)+SUMIFS('Sales Invoices'!$AB$5:$AB$2005,'Sales Invoices'!$H$5:$H$2005,$A124,'Sales Invoices'!$B$5:$B$2005,"&lt;="&amp;ReportTo)+SUMIFS('Payment Vouchers'!$R$5:$R$2005,'Payment Vouchers'!$B$5:$B$2005,$A124,'Payment Vouchers'!$A$5:$A$2005,"&lt;="&amp;ReportTo)+SUMIFS('Partner Transactions'!$T$5:$T$2005,'Partner Transactions'!$B$5:$B$2005,$A124,'Partner Transactions'!$A$5:$A$2005,"&lt;="&amp;ReportTo)+SUMIFS('Stock Moves'!$AP$5:$AP$2005,'Stock Moves'!$J$5:$J$2005,$A124,'Stock Moves'!$A$5:$A$2005,"&lt;="&amp;ReportTo)+SUMIFS('Journal Vouchers'!$R$5:$R$2005,'Journal Vouchers'!$E$5:$E$2005,$A124,'Journal Vouchers'!$B$5:$B$2005,"&lt;="&amp;ReportTo))</f>
        <v/>
      </c>
      <c r="C124" s="26">
        <f>IF(A124="",0,SUMIFS('Direct Costs'!$AK$5:$AK$2005,'Direct Costs'!$E$5:$E$2005,$A124,'Direct Costs'!$A$5:$A$2005,"&lt;="&amp;ReportTo)+SUMIFS('Operating Expenses'!$AF$5:$AF$2005,'Operating Expenses'!$E$5:$E$2005,$A124,'Operating Expenses'!$A$5:$A$2005,"&lt;="&amp;ReportTo)+SUMIFS('Payroll'!$AB$5:$AB$2005,'Payroll'!$C$5:$C$2005,$A124,'Payroll'!$A$5:$A$2005,"&lt;="&amp;ReportTo)+SUMIFS('Receipt Vouchers'!$AB$5:$AB$2005,'Receipt Vouchers'!$E$5:$E$2005,$A124,'Receipt Vouchers'!$A$5:$A$2005,"&lt;="&amp;ReportTo)+SUMIFS('Sales Invoices'!$AC$5:$AC$2005,'Sales Invoices'!$H$5:$H$2005,$A124,'Sales Invoices'!$B$5:$B$2005,"&lt;="&amp;ReportTo)+SUMIFS('Payment Vouchers'!$S$5:$S$2005,'Payment Vouchers'!$B$5:$B$2005,$A124,'Payment Vouchers'!$A$5:$A$2005,"&lt;="&amp;ReportTo)+SUMIFS('Partner Transactions'!$U$5:$U$2005,'Partner Transactions'!$B$5:$B$2005,$A124,'Partner Transactions'!$A$5:$A$2005,"&lt;="&amp;ReportTo)+SUMIFS('Stock Moves'!$AQ$5:$AQ$2005,'Stock Moves'!$J$5:$J$2005,$A124,'Stock Moves'!$A$5:$A$2005,"&lt;="&amp;ReportTo)+SUMIFS('Journal Vouchers'!$S$5:$S$2005,'Journal Vouchers'!$E$5:$E$2005,$A124,'Journal Vouchers'!$B$5:$B$2005,"&lt;="&amp;ReportTo))</f>
        <v/>
      </c>
      <c r="D124" s="26">
        <f>B124+C124</f>
        <v/>
      </c>
    </row>
    <row r="125">
      <c r="A125" s="25">
        <f>IF(Parties!A125="","",Parties!A125)</f>
        <v/>
      </c>
      <c r="B125" s="26">
        <f>IF(A125="",0,SUMIFS('Direct Costs'!$AJ$5:$AJ$2005,'Direct Costs'!$E$5:$E$2005,$A125,'Direct Costs'!$A$5:$A$2005,"&lt;="&amp;ReportTo)+SUMIFS('Operating Expenses'!$AE$5:$AE$2005,'Operating Expenses'!$E$5:$E$2005,$A125,'Operating Expenses'!$A$5:$A$2005,"&lt;="&amp;ReportTo)+SUMIFS('Payroll'!$AA$5:$AA$2005,'Payroll'!$C$5:$C$2005,$A125,'Payroll'!$A$5:$A$2005,"&lt;="&amp;ReportTo)+SUMIFS('Receipt Vouchers'!$AA$5:$AA$2005,'Receipt Vouchers'!$E$5:$E$2005,$A125,'Receipt Vouchers'!$A$5:$A$2005,"&lt;="&amp;ReportTo)+SUMIFS('Sales Invoices'!$AB$5:$AB$2005,'Sales Invoices'!$H$5:$H$2005,$A125,'Sales Invoices'!$B$5:$B$2005,"&lt;="&amp;ReportTo)+SUMIFS('Payment Vouchers'!$R$5:$R$2005,'Payment Vouchers'!$B$5:$B$2005,$A125,'Payment Vouchers'!$A$5:$A$2005,"&lt;="&amp;ReportTo)+SUMIFS('Partner Transactions'!$T$5:$T$2005,'Partner Transactions'!$B$5:$B$2005,$A125,'Partner Transactions'!$A$5:$A$2005,"&lt;="&amp;ReportTo)+SUMIFS('Stock Moves'!$AP$5:$AP$2005,'Stock Moves'!$J$5:$J$2005,$A125,'Stock Moves'!$A$5:$A$2005,"&lt;="&amp;ReportTo)+SUMIFS('Journal Vouchers'!$R$5:$R$2005,'Journal Vouchers'!$E$5:$E$2005,$A125,'Journal Vouchers'!$B$5:$B$2005,"&lt;="&amp;ReportTo))</f>
        <v/>
      </c>
      <c r="C125" s="26">
        <f>IF(A125="",0,SUMIFS('Direct Costs'!$AK$5:$AK$2005,'Direct Costs'!$E$5:$E$2005,$A125,'Direct Costs'!$A$5:$A$2005,"&lt;="&amp;ReportTo)+SUMIFS('Operating Expenses'!$AF$5:$AF$2005,'Operating Expenses'!$E$5:$E$2005,$A125,'Operating Expenses'!$A$5:$A$2005,"&lt;="&amp;ReportTo)+SUMIFS('Payroll'!$AB$5:$AB$2005,'Payroll'!$C$5:$C$2005,$A125,'Payroll'!$A$5:$A$2005,"&lt;="&amp;ReportTo)+SUMIFS('Receipt Vouchers'!$AB$5:$AB$2005,'Receipt Vouchers'!$E$5:$E$2005,$A125,'Receipt Vouchers'!$A$5:$A$2005,"&lt;="&amp;ReportTo)+SUMIFS('Sales Invoices'!$AC$5:$AC$2005,'Sales Invoices'!$H$5:$H$2005,$A125,'Sales Invoices'!$B$5:$B$2005,"&lt;="&amp;ReportTo)+SUMIFS('Payment Vouchers'!$S$5:$S$2005,'Payment Vouchers'!$B$5:$B$2005,$A125,'Payment Vouchers'!$A$5:$A$2005,"&lt;="&amp;ReportTo)+SUMIFS('Partner Transactions'!$U$5:$U$2005,'Partner Transactions'!$B$5:$B$2005,$A125,'Partner Transactions'!$A$5:$A$2005,"&lt;="&amp;ReportTo)+SUMIFS('Stock Moves'!$AQ$5:$AQ$2005,'Stock Moves'!$J$5:$J$2005,$A125,'Stock Moves'!$A$5:$A$2005,"&lt;="&amp;ReportTo)+SUMIFS('Journal Vouchers'!$S$5:$S$2005,'Journal Vouchers'!$E$5:$E$2005,$A125,'Journal Vouchers'!$B$5:$B$2005,"&lt;="&amp;ReportTo))</f>
        <v/>
      </c>
      <c r="D125" s="26">
        <f>B125+C125</f>
        <v/>
      </c>
    </row>
    <row r="126">
      <c r="A126" s="25">
        <f>IF(Parties!A126="","",Parties!A126)</f>
        <v/>
      </c>
      <c r="B126" s="26">
        <f>IF(A126="",0,SUMIFS('Direct Costs'!$AJ$5:$AJ$2005,'Direct Costs'!$E$5:$E$2005,$A126,'Direct Costs'!$A$5:$A$2005,"&lt;="&amp;ReportTo)+SUMIFS('Operating Expenses'!$AE$5:$AE$2005,'Operating Expenses'!$E$5:$E$2005,$A126,'Operating Expenses'!$A$5:$A$2005,"&lt;="&amp;ReportTo)+SUMIFS('Payroll'!$AA$5:$AA$2005,'Payroll'!$C$5:$C$2005,$A126,'Payroll'!$A$5:$A$2005,"&lt;="&amp;ReportTo)+SUMIFS('Receipt Vouchers'!$AA$5:$AA$2005,'Receipt Vouchers'!$E$5:$E$2005,$A126,'Receipt Vouchers'!$A$5:$A$2005,"&lt;="&amp;ReportTo)+SUMIFS('Sales Invoices'!$AB$5:$AB$2005,'Sales Invoices'!$H$5:$H$2005,$A126,'Sales Invoices'!$B$5:$B$2005,"&lt;="&amp;ReportTo)+SUMIFS('Payment Vouchers'!$R$5:$R$2005,'Payment Vouchers'!$B$5:$B$2005,$A126,'Payment Vouchers'!$A$5:$A$2005,"&lt;="&amp;ReportTo)+SUMIFS('Partner Transactions'!$T$5:$T$2005,'Partner Transactions'!$B$5:$B$2005,$A126,'Partner Transactions'!$A$5:$A$2005,"&lt;="&amp;ReportTo)+SUMIFS('Stock Moves'!$AP$5:$AP$2005,'Stock Moves'!$J$5:$J$2005,$A126,'Stock Moves'!$A$5:$A$2005,"&lt;="&amp;ReportTo)+SUMIFS('Journal Vouchers'!$R$5:$R$2005,'Journal Vouchers'!$E$5:$E$2005,$A126,'Journal Vouchers'!$B$5:$B$2005,"&lt;="&amp;ReportTo))</f>
        <v/>
      </c>
      <c r="C126" s="26">
        <f>IF(A126="",0,SUMIFS('Direct Costs'!$AK$5:$AK$2005,'Direct Costs'!$E$5:$E$2005,$A126,'Direct Costs'!$A$5:$A$2005,"&lt;="&amp;ReportTo)+SUMIFS('Operating Expenses'!$AF$5:$AF$2005,'Operating Expenses'!$E$5:$E$2005,$A126,'Operating Expenses'!$A$5:$A$2005,"&lt;="&amp;ReportTo)+SUMIFS('Payroll'!$AB$5:$AB$2005,'Payroll'!$C$5:$C$2005,$A126,'Payroll'!$A$5:$A$2005,"&lt;="&amp;ReportTo)+SUMIFS('Receipt Vouchers'!$AB$5:$AB$2005,'Receipt Vouchers'!$E$5:$E$2005,$A126,'Receipt Vouchers'!$A$5:$A$2005,"&lt;="&amp;ReportTo)+SUMIFS('Sales Invoices'!$AC$5:$AC$2005,'Sales Invoices'!$H$5:$H$2005,$A126,'Sales Invoices'!$B$5:$B$2005,"&lt;="&amp;ReportTo)+SUMIFS('Payment Vouchers'!$S$5:$S$2005,'Payment Vouchers'!$B$5:$B$2005,$A126,'Payment Vouchers'!$A$5:$A$2005,"&lt;="&amp;ReportTo)+SUMIFS('Partner Transactions'!$U$5:$U$2005,'Partner Transactions'!$B$5:$B$2005,$A126,'Partner Transactions'!$A$5:$A$2005,"&lt;="&amp;ReportTo)+SUMIFS('Stock Moves'!$AQ$5:$AQ$2005,'Stock Moves'!$J$5:$J$2005,$A126,'Stock Moves'!$A$5:$A$2005,"&lt;="&amp;ReportTo)+SUMIFS('Journal Vouchers'!$S$5:$S$2005,'Journal Vouchers'!$E$5:$E$2005,$A126,'Journal Vouchers'!$B$5:$B$2005,"&lt;="&amp;ReportTo))</f>
        <v/>
      </c>
      <c r="D126" s="26">
        <f>B126+C126</f>
        <v/>
      </c>
    </row>
    <row r="127">
      <c r="A127" s="25">
        <f>IF(Parties!A127="","",Parties!A127)</f>
        <v/>
      </c>
      <c r="B127" s="26">
        <f>IF(A127="",0,SUMIFS('Direct Costs'!$AJ$5:$AJ$2005,'Direct Costs'!$E$5:$E$2005,$A127,'Direct Costs'!$A$5:$A$2005,"&lt;="&amp;ReportTo)+SUMIFS('Operating Expenses'!$AE$5:$AE$2005,'Operating Expenses'!$E$5:$E$2005,$A127,'Operating Expenses'!$A$5:$A$2005,"&lt;="&amp;ReportTo)+SUMIFS('Payroll'!$AA$5:$AA$2005,'Payroll'!$C$5:$C$2005,$A127,'Payroll'!$A$5:$A$2005,"&lt;="&amp;ReportTo)+SUMIFS('Receipt Vouchers'!$AA$5:$AA$2005,'Receipt Vouchers'!$E$5:$E$2005,$A127,'Receipt Vouchers'!$A$5:$A$2005,"&lt;="&amp;ReportTo)+SUMIFS('Sales Invoices'!$AB$5:$AB$2005,'Sales Invoices'!$H$5:$H$2005,$A127,'Sales Invoices'!$B$5:$B$2005,"&lt;="&amp;ReportTo)+SUMIFS('Payment Vouchers'!$R$5:$R$2005,'Payment Vouchers'!$B$5:$B$2005,$A127,'Payment Vouchers'!$A$5:$A$2005,"&lt;="&amp;ReportTo)+SUMIFS('Partner Transactions'!$T$5:$T$2005,'Partner Transactions'!$B$5:$B$2005,$A127,'Partner Transactions'!$A$5:$A$2005,"&lt;="&amp;ReportTo)+SUMIFS('Stock Moves'!$AP$5:$AP$2005,'Stock Moves'!$J$5:$J$2005,$A127,'Stock Moves'!$A$5:$A$2005,"&lt;="&amp;ReportTo)+SUMIFS('Journal Vouchers'!$R$5:$R$2005,'Journal Vouchers'!$E$5:$E$2005,$A127,'Journal Vouchers'!$B$5:$B$2005,"&lt;="&amp;ReportTo))</f>
        <v/>
      </c>
      <c r="C127" s="26">
        <f>IF(A127="",0,SUMIFS('Direct Costs'!$AK$5:$AK$2005,'Direct Costs'!$E$5:$E$2005,$A127,'Direct Costs'!$A$5:$A$2005,"&lt;="&amp;ReportTo)+SUMIFS('Operating Expenses'!$AF$5:$AF$2005,'Operating Expenses'!$E$5:$E$2005,$A127,'Operating Expenses'!$A$5:$A$2005,"&lt;="&amp;ReportTo)+SUMIFS('Payroll'!$AB$5:$AB$2005,'Payroll'!$C$5:$C$2005,$A127,'Payroll'!$A$5:$A$2005,"&lt;="&amp;ReportTo)+SUMIFS('Receipt Vouchers'!$AB$5:$AB$2005,'Receipt Vouchers'!$E$5:$E$2005,$A127,'Receipt Vouchers'!$A$5:$A$2005,"&lt;="&amp;ReportTo)+SUMIFS('Sales Invoices'!$AC$5:$AC$2005,'Sales Invoices'!$H$5:$H$2005,$A127,'Sales Invoices'!$B$5:$B$2005,"&lt;="&amp;ReportTo)+SUMIFS('Payment Vouchers'!$S$5:$S$2005,'Payment Vouchers'!$B$5:$B$2005,$A127,'Payment Vouchers'!$A$5:$A$2005,"&lt;="&amp;ReportTo)+SUMIFS('Partner Transactions'!$U$5:$U$2005,'Partner Transactions'!$B$5:$B$2005,$A127,'Partner Transactions'!$A$5:$A$2005,"&lt;="&amp;ReportTo)+SUMIFS('Stock Moves'!$AQ$5:$AQ$2005,'Stock Moves'!$J$5:$J$2005,$A127,'Stock Moves'!$A$5:$A$2005,"&lt;="&amp;ReportTo)+SUMIFS('Journal Vouchers'!$S$5:$S$2005,'Journal Vouchers'!$E$5:$E$2005,$A127,'Journal Vouchers'!$B$5:$B$2005,"&lt;="&amp;ReportTo))</f>
        <v/>
      </c>
      <c r="D127" s="26">
        <f>B127+C127</f>
        <v/>
      </c>
    </row>
    <row r="128">
      <c r="A128" s="25">
        <f>IF(Parties!A128="","",Parties!A128)</f>
        <v/>
      </c>
      <c r="B128" s="26">
        <f>IF(A128="",0,SUMIFS('Direct Costs'!$AJ$5:$AJ$2005,'Direct Costs'!$E$5:$E$2005,$A128,'Direct Costs'!$A$5:$A$2005,"&lt;="&amp;ReportTo)+SUMIFS('Operating Expenses'!$AE$5:$AE$2005,'Operating Expenses'!$E$5:$E$2005,$A128,'Operating Expenses'!$A$5:$A$2005,"&lt;="&amp;ReportTo)+SUMIFS('Payroll'!$AA$5:$AA$2005,'Payroll'!$C$5:$C$2005,$A128,'Payroll'!$A$5:$A$2005,"&lt;="&amp;ReportTo)+SUMIFS('Receipt Vouchers'!$AA$5:$AA$2005,'Receipt Vouchers'!$E$5:$E$2005,$A128,'Receipt Vouchers'!$A$5:$A$2005,"&lt;="&amp;ReportTo)+SUMIFS('Sales Invoices'!$AB$5:$AB$2005,'Sales Invoices'!$H$5:$H$2005,$A128,'Sales Invoices'!$B$5:$B$2005,"&lt;="&amp;ReportTo)+SUMIFS('Payment Vouchers'!$R$5:$R$2005,'Payment Vouchers'!$B$5:$B$2005,$A128,'Payment Vouchers'!$A$5:$A$2005,"&lt;="&amp;ReportTo)+SUMIFS('Partner Transactions'!$T$5:$T$2005,'Partner Transactions'!$B$5:$B$2005,$A128,'Partner Transactions'!$A$5:$A$2005,"&lt;="&amp;ReportTo)+SUMIFS('Stock Moves'!$AP$5:$AP$2005,'Stock Moves'!$J$5:$J$2005,$A128,'Stock Moves'!$A$5:$A$2005,"&lt;="&amp;ReportTo)+SUMIFS('Journal Vouchers'!$R$5:$R$2005,'Journal Vouchers'!$E$5:$E$2005,$A128,'Journal Vouchers'!$B$5:$B$2005,"&lt;="&amp;ReportTo))</f>
        <v/>
      </c>
      <c r="C128" s="26">
        <f>IF(A128="",0,SUMIFS('Direct Costs'!$AK$5:$AK$2005,'Direct Costs'!$E$5:$E$2005,$A128,'Direct Costs'!$A$5:$A$2005,"&lt;="&amp;ReportTo)+SUMIFS('Operating Expenses'!$AF$5:$AF$2005,'Operating Expenses'!$E$5:$E$2005,$A128,'Operating Expenses'!$A$5:$A$2005,"&lt;="&amp;ReportTo)+SUMIFS('Payroll'!$AB$5:$AB$2005,'Payroll'!$C$5:$C$2005,$A128,'Payroll'!$A$5:$A$2005,"&lt;="&amp;ReportTo)+SUMIFS('Receipt Vouchers'!$AB$5:$AB$2005,'Receipt Vouchers'!$E$5:$E$2005,$A128,'Receipt Vouchers'!$A$5:$A$2005,"&lt;="&amp;ReportTo)+SUMIFS('Sales Invoices'!$AC$5:$AC$2005,'Sales Invoices'!$H$5:$H$2005,$A128,'Sales Invoices'!$B$5:$B$2005,"&lt;="&amp;ReportTo)+SUMIFS('Payment Vouchers'!$S$5:$S$2005,'Payment Vouchers'!$B$5:$B$2005,$A128,'Payment Vouchers'!$A$5:$A$2005,"&lt;="&amp;ReportTo)+SUMIFS('Partner Transactions'!$U$5:$U$2005,'Partner Transactions'!$B$5:$B$2005,$A128,'Partner Transactions'!$A$5:$A$2005,"&lt;="&amp;ReportTo)+SUMIFS('Stock Moves'!$AQ$5:$AQ$2005,'Stock Moves'!$J$5:$J$2005,$A128,'Stock Moves'!$A$5:$A$2005,"&lt;="&amp;ReportTo)+SUMIFS('Journal Vouchers'!$S$5:$S$2005,'Journal Vouchers'!$E$5:$E$2005,$A128,'Journal Vouchers'!$B$5:$B$2005,"&lt;="&amp;ReportTo))</f>
        <v/>
      </c>
      <c r="D128" s="26">
        <f>B128+C128</f>
        <v/>
      </c>
    </row>
    <row r="129">
      <c r="A129" s="25">
        <f>IF(Parties!A129="","",Parties!A129)</f>
        <v/>
      </c>
      <c r="B129" s="26">
        <f>IF(A129="",0,SUMIFS('Direct Costs'!$AJ$5:$AJ$2005,'Direct Costs'!$E$5:$E$2005,$A129,'Direct Costs'!$A$5:$A$2005,"&lt;="&amp;ReportTo)+SUMIFS('Operating Expenses'!$AE$5:$AE$2005,'Operating Expenses'!$E$5:$E$2005,$A129,'Operating Expenses'!$A$5:$A$2005,"&lt;="&amp;ReportTo)+SUMIFS('Payroll'!$AA$5:$AA$2005,'Payroll'!$C$5:$C$2005,$A129,'Payroll'!$A$5:$A$2005,"&lt;="&amp;ReportTo)+SUMIFS('Receipt Vouchers'!$AA$5:$AA$2005,'Receipt Vouchers'!$E$5:$E$2005,$A129,'Receipt Vouchers'!$A$5:$A$2005,"&lt;="&amp;ReportTo)+SUMIFS('Sales Invoices'!$AB$5:$AB$2005,'Sales Invoices'!$H$5:$H$2005,$A129,'Sales Invoices'!$B$5:$B$2005,"&lt;="&amp;ReportTo)+SUMIFS('Payment Vouchers'!$R$5:$R$2005,'Payment Vouchers'!$B$5:$B$2005,$A129,'Payment Vouchers'!$A$5:$A$2005,"&lt;="&amp;ReportTo)+SUMIFS('Partner Transactions'!$T$5:$T$2005,'Partner Transactions'!$B$5:$B$2005,$A129,'Partner Transactions'!$A$5:$A$2005,"&lt;="&amp;ReportTo)+SUMIFS('Stock Moves'!$AP$5:$AP$2005,'Stock Moves'!$J$5:$J$2005,$A129,'Stock Moves'!$A$5:$A$2005,"&lt;="&amp;ReportTo)+SUMIFS('Journal Vouchers'!$R$5:$R$2005,'Journal Vouchers'!$E$5:$E$2005,$A129,'Journal Vouchers'!$B$5:$B$2005,"&lt;="&amp;ReportTo))</f>
        <v/>
      </c>
      <c r="C129" s="26">
        <f>IF(A129="",0,SUMIFS('Direct Costs'!$AK$5:$AK$2005,'Direct Costs'!$E$5:$E$2005,$A129,'Direct Costs'!$A$5:$A$2005,"&lt;="&amp;ReportTo)+SUMIFS('Operating Expenses'!$AF$5:$AF$2005,'Operating Expenses'!$E$5:$E$2005,$A129,'Operating Expenses'!$A$5:$A$2005,"&lt;="&amp;ReportTo)+SUMIFS('Payroll'!$AB$5:$AB$2005,'Payroll'!$C$5:$C$2005,$A129,'Payroll'!$A$5:$A$2005,"&lt;="&amp;ReportTo)+SUMIFS('Receipt Vouchers'!$AB$5:$AB$2005,'Receipt Vouchers'!$E$5:$E$2005,$A129,'Receipt Vouchers'!$A$5:$A$2005,"&lt;="&amp;ReportTo)+SUMIFS('Sales Invoices'!$AC$5:$AC$2005,'Sales Invoices'!$H$5:$H$2005,$A129,'Sales Invoices'!$B$5:$B$2005,"&lt;="&amp;ReportTo)+SUMIFS('Payment Vouchers'!$S$5:$S$2005,'Payment Vouchers'!$B$5:$B$2005,$A129,'Payment Vouchers'!$A$5:$A$2005,"&lt;="&amp;ReportTo)+SUMIFS('Partner Transactions'!$U$5:$U$2005,'Partner Transactions'!$B$5:$B$2005,$A129,'Partner Transactions'!$A$5:$A$2005,"&lt;="&amp;ReportTo)+SUMIFS('Stock Moves'!$AQ$5:$AQ$2005,'Stock Moves'!$J$5:$J$2005,$A129,'Stock Moves'!$A$5:$A$2005,"&lt;="&amp;ReportTo)+SUMIFS('Journal Vouchers'!$S$5:$S$2005,'Journal Vouchers'!$E$5:$E$2005,$A129,'Journal Vouchers'!$B$5:$B$2005,"&lt;="&amp;ReportTo))</f>
        <v/>
      </c>
      <c r="D129" s="26">
        <f>B129+C129</f>
        <v/>
      </c>
    </row>
    <row r="130">
      <c r="A130" s="25">
        <f>IF(Parties!A130="","",Parties!A130)</f>
        <v/>
      </c>
      <c r="B130" s="26">
        <f>IF(A130="",0,SUMIFS('Direct Costs'!$AJ$5:$AJ$2005,'Direct Costs'!$E$5:$E$2005,$A130,'Direct Costs'!$A$5:$A$2005,"&lt;="&amp;ReportTo)+SUMIFS('Operating Expenses'!$AE$5:$AE$2005,'Operating Expenses'!$E$5:$E$2005,$A130,'Operating Expenses'!$A$5:$A$2005,"&lt;="&amp;ReportTo)+SUMIFS('Payroll'!$AA$5:$AA$2005,'Payroll'!$C$5:$C$2005,$A130,'Payroll'!$A$5:$A$2005,"&lt;="&amp;ReportTo)+SUMIFS('Receipt Vouchers'!$AA$5:$AA$2005,'Receipt Vouchers'!$E$5:$E$2005,$A130,'Receipt Vouchers'!$A$5:$A$2005,"&lt;="&amp;ReportTo)+SUMIFS('Sales Invoices'!$AB$5:$AB$2005,'Sales Invoices'!$H$5:$H$2005,$A130,'Sales Invoices'!$B$5:$B$2005,"&lt;="&amp;ReportTo)+SUMIFS('Payment Vouchers'!$R$5:$R$2005,'Payment Vouchers'!$B$5:$B$2005,$A130,'Payment Vouchers'!$A$5:$A$2005,"&lt;="&amp;ReportTo)+SUMIFS('Partner Transactions'!$T$5:$T$2005,'Partner Transactions'!$B$5:$B$2005,$A130,'Partner Transactions'!$A$5:$A$2005,"&lt;="&amp;ReportTo)+SUMIFS('Stock Moves'!$AP$5:$AP$2005,'Stock Moves'!$J$5:$J$2005,$A130,'Stock Moves'!$A$5:$A$2005,"&lt;="&amp;ReportTo)+SUMIFS('Journal Vouchers'!$R$5:$R$2005,'Journal Vouchers'!$E$5:$E$2005,$A130,'Journal Vouchers'!$B$5:$B$2005,"&lt;="&amp;ReportTo))</f>
        <v/>
      </c>
      <c r="C130" s="26">
        <f>IF(A130="",0,SUMIFS('Direct Costs'!$AK$5:$AK$2005,'Direct Costs'!$E$5:$E$2005,$A130,'Direct Costs'!$A$5:$A$2005,"&lt;="&amp;ReportTo)+SUMIFS('Operating Expenses'!$AF$5:$AF$2005,'Operating Expenses'!$E$5:$E$2005,$A130,'Operating Expenses'!$A$5:$A$2005,"&lt;="&amp;ReportTo)+SUMIFS('Payroll'!$AB$5:$AB$2005,'Payroll'!$C$5:$C$2005,$A130,'Payroll'!$A$5:$A$2005,"&lt;="&amp;ReportTo)+SUMIFS('Receipt Vouchers'!$AB$5:$AB$2005,'Receipt Vouchers'!$E$5:$E$2005,$A130,'Receipt Vouchers'!$A$5:$A$2005,"&lt;="&amp;ReportTo)+SUMIFS('Sales Invoices'!$AC$5:$AC$2005,'Sales Invoices'!$H$5:$H$2005,$A130,'Sales Invoices'!$B$5:$B$2005,"&lt;="&amp;ReportTo)+SUMIFS('Payment Vouchers'!$S$5:$S$2005,'Payment Vouchers'!$B$5:$B$2005,$A130,'Payment Vouchers'!$A$5:$A$2005,"&lt;="&amp;ReportTo)+SUMIFS('Partner Transactions'!$U$5:$U$2005,'Partner Transactions'!$B$5:$B$2005,$A130,'Partner Transactions'!$A$5:$A$2005,"&lt;="&amp;ReportTo)+SUMIFS('Stock Moves'!$AQ$5:$AQ$2005,'Stock Moves'!$J$5:$J$2005,$A130,'Stock Moves'!$A$5:$A$2005,"&lt;="&amp;ReportTo)+SUMIFS('Journal Vouchers'!$S$5:$S$2005,'Journal Vouchers'!$E$5:$E$2005,$A130,'Journal Vouchers'!$B$5:$B$2005,"&lt;="&amp;ReportTo))</f>
        <v/>
      </c>
      <c r="D130" s="26">
        <f>B130+C130</f>
        <v/>
      </c>
    </row>
    <row r="131">
      <c r="A131" s="25">
        <f>IF(Parties!A131="","",Parties!A131)</f>
        <v/>
      </c>
      <c r="B131" s="26">
        <f>IF(A131="",0,SUMIFS('Direct Costs'!$AJ$5:$AJ$2005,'Direct Costs'!$E$5:$E$2005,$A131,'Direct Costs'!$A$5:$A$2005,"&lt;="&amp;ReportTo)+SUMIFS('Operating Expenses'!$AE$5:$AE$2005,'Operating Expenses'!$E$5:$E$2005,$A131,'Operating Expenses'!$A$5:$A$2005,"&lt;="&amp;ReportTo)+SUMIFS('Payroll'!$AA$5:$AA$2005,'Payroll'!$C$5:$C$2005,$A131,'Payroll'!$A$5:$A$2005,"&lt;="&amp;ReportTo)+SUMIFS('Receipt Vouchers'!$AA$5:$AA$2005,'Receipt Vouchers'!$E$5:$E$2005,$A131,'Receipt Vouchers'!$A$5:$A$2005,"&lt;="&amp;ReportTo)+SUMIFS('Sales Invoices'!$AB$5:$AB$2005,'Sales Invoices'!$H$5:$H$2005,$A131,'Sales Invoices'!$B$5:$B$2005,"&lt;="&amp;ReportTo)+SUMIFS('Payment Vouchers'!$R$5:$R$2005,'Payment Vouchers'!$B$5:$B$2005,$A131,'Payment Vouchers'!$A$5:$A$2005,"&lt;="&amp;ReportTo)+SUMIFS('Partner Transactions'!$T$5:$T$2005,'Partner Transactions'!$B$5:$B$2005,$A131,'Partner Transactions'!$A$5:$A$2005,"&lt;="&amp;ReportTo)+SUMIFS('Stock Moves'!$AP$5:$AP$2005,'Stock Moves'!$J$5:$J$2005,$A131,'Stock Moves'!$A$5:$A$2005,"&lt;="&amp;ReportTo)+SUMIFS('Journal Vouchers'!$R$5:$R$2005,'Journal Vouchers'!$E$5:$E$2005,$A131,'Journal Vouchers'!$B$5:$B$2005,"&lt;="&amp;ReportTo))</f>
        <v/>
      </c>
      <c r="C131" s="26">
        <f>IF(A131="",0,SUMIFS('Direct Costs'!$AK$5:$AK$2005,'Direct Costs'!$E$5:$E$2005,$A131,'Direct Costs'!$A$5:$A$2005,"&lt;="&amp;ReportTo)+SUMIFS('Operating Expenses'!$AF$5:$AF$2005,'Operating Expenses'!$E$5:$E$2005,$A131,'Operating Expenses'!$A$5:$A$2005,"&lt;="&amp;ReportTo)+SUMIFS('Payroll'!$AB$5:$AB$2005,'Payroll'!$C$5:$C$2005,$A131,'Payroll'!$A$5:$A$2005,"&lt;="&amp;ReportTo)+SUMIFS('Receipt Vouchers'!$AB$5:$AB$2005,'Receipt Vouchers'!$E$5:$E$2005,$A131,'Receipt Vouchers'!$A$5:$A$2005,"&lt;="&amp;ReportTo)+SUMIFS('Sales Invoices'!$AC$5:$AC$2005,'Sales Invoices'!$H$5:$H$2005,$A131,'Sales Invoices'!$B$5:$B$2005,"&lt;="&amp;ReportTo)+SUMIFS('Payment Vouchers'!$S$5:$S$2005,'Payment Vouchers'!$B$5:$B$2005,$A131,'Payment Vouchers'!$A$5:$A$2005,"&lt;="&amp;ReportTo)+SUMIFS('Partner Transactions'!$U$5:$U$2005,'Partner Transactions'!$B$5:$B$2005,$A131,'Partner Transactions'!$A$5:$A$2005,"&lt;="&amp;ReportTo)+SUMIFS('Stock Moves'!$AQ$5:$AQ$2005,'Stock Moves'!$J$5:$J$2005,$A131,'Stock Moves'!$A$5:$A$2005,"&lt;="&amp;ReportTo)+SUMIFS('Journal Vouchers'!$S$5:$S$2005,'Journal Vouchers'!$E$5:$E$2005,$A131,'Journal Vouchers'!$B$5:$B$2005,"&lt;="&amp;ReportTo))</f>
        <v/>
      </c>
      <c r="D131" s="26">
        <f>B131+C131</f>
        <v/>
      </c>
    </row>
    <row r="132">
      <c r="A132" s="25">
        <f>IF(Parties!A132="","",Parties!A132)</f>
        <v/>
      </c>
      <c r="B132" s="26">
        <f>IF(A132="",0,SUMIFS('Direct Costs'!$AJ$5:$AJ$2005,'Direct Costs'!$E$5:$E$2005,$A132,'Direct Costs'!$A$5:$A$2005,"&lt;="&amp;ReportTo)+SUMIFS('Operating Expenses'!$AE$5:$AE$2005,'Operating Expenses'!$E$5:$E$2005,$A132,'Operating Expenses'!$A$5:$A$2005,"&lt;="&amp;ReportTo)+SUMIFS('Payroll'!$AA$5:$AA$2005,'Payroll'!$C$5:$C$2005,$A132,'Payroll'!$A$5:$A$2005,"&lt;="&amp;ReportTo)+SUMIFS('Receipt Vouchers'!$AA$5:$AA$2005,'Receipt Vouchers'!$E$5:$E$2005,$A132,'Receipt Vouchers'!$A$5:$A$2005,"&lt;="&amp;ReportTo)+SUMIFS('Sales Invoices'!$AB$5:$AB$2005,'Sales Invoices'!$H$5:$H$2005,$A132,'Sales Invoices'!$B$5:$B$2005,"&lt;="&amp;ReportTo)+SUMIFS('Payment Vouchers'!$R$5:$R$2005,'Payment Vouchers'!$B$5:$B$2005,$A132,'Payment Vouchers'!$A$5:$A$2005,"&lt;="&amp;ReportTo)+SUMIFS('Partner Transactions'!$T$5:$T$2005,'Partner Transactions'!$B$5:$B$2005,$A132,'Partner Transactions'!$A$5:$A$2005,"&lt;="&amp;ReportTo)+SUMIFS('Stock Moves'!$AP$5:$AP$2005,'Stock Moves'!$J$5:$J$2005,$A132,'Stock Moves'!$A$5:$A$2005,"&lt;="&amp;ReportTo)+SUMIFS('Journal Vouchers'!$R$5:$R$2005,'Journal Vouchers'!$E$5:$E$2005,$A132,'Journal Vouchers'!$B$5:$B$2005,"&lt;="&amp;ReportTo))</f>
        <v/>
      </c>
      <c r="C132" s="26">
        <f>IF(A132="",0,SUMIFS('Direct Costs'!$AK$5:$AK$2005,'Direct Costs'!$E$5:$E$2005,$A132,'Direct Costs'!$A$5:$A$2005,"&lt;="&amp;ReportTo)+SUMIFS('Operating Expenses'!$AF$5:$AF$2005,'Operating Expenses'!$E$5:$E$2005,$A132,'Operating Expenses'!$A$5:$A$2005,"&lt;="&amp;ReportTo)+SUMIFS('Payroll'!$AB$5:$AB$2005,'Payroll'!$C$5:$C$2005,$A132,'Payroll'!$A$5:$A$2005,"&lt;="&amp;ReportTo)+SUMIFS('Receipt Vouchers'!$AB$5:$AB$2005,'Receipt Vouchers'!$E$5:$E$2005,$A132,'Receipt Vouchers'!$A$5:$A$2005,"&lt;="&amp;ReportTo)+SUMIFS('Sales Invoices'!$AC$5:$AC$2005,'Sales Invoices'!$H$5:$H$2005,$A132,'Sales Invoices'!$B$5:$B$2005,"&lt;="&amp;ReportTo)+SUMIFS('Payment Vouchers'!$S$5:$S$2005,'Payment Vouchers'!$B$5:$B$2005,$A132,'Payment Vouchers'!$A$5:$A$2005,"&lt;="&amp;ReportTo)+SUMIFS('Partner Transactions'!$U$5:$U$2005,'Partner Transactions'!$B$5:$B$2005,$A132,'Partner Transactions'!$A$5:$A$2005,"&lt;="&amp;ReportTo)+SUMIFS('Stock Moves'!$AQ$5:$AQ$2005,'Stock Moves'!$J$5:$J$2005,$A132,'Stock Moves'!$A$5:$A$2005,"&lt;="&amp;ReportTo)+SUMIFS('Journal Vouchers'!$S$5:$S$2005,'Journal Vouchers'!$E$5:$E$2005,$A132,'Journal Vouchers'!$B$5:$B$2005,"&lt;="&amp;ReportTo))</f>
        <v/>
      </c>
      <c r="D132" s="26">
        <f>B132+C132</f>
        <v/>
      </c>
    </row>
    <row r="133">
      <c r="A133" s="25">
        <f>IF(Parties!A133="","",Parties!A133)</f>
        <v/>
      </c>
      <c r="B133" s="26">
        <f>IF(A133="",0,SUMIFS('Direct Costs'!$AJ$5:$AJ$2005,'Direct Costs'!$E$5:$E$2005,$A133,'Direct Costs'!$A$5:$A$2005,"&lt;="&amp;ReportTo)+SUMIFS('Operating Expenses'!$AE$5:$AE$2005,'Operating Expenses'!$E$5:$E$2005,$A133,'Operating Expenses'!$A$5:$A$2005,"&lt;="&amp;ReportTo)+SUMIFS('Payroll'!$AA$5:$AA$2005,'Payroll'!$C$5:$C$2005,$A133,'Payroll'!$A$5:$A$2005,"&lt;="&amp;ReportTo)+SUMIFS('Receipt Vouchers'!$AA$5:$AA$2005,'Receipt Vouchers'!$E$5:$E$2005,$A133,'Receipt Vouchers'!$A$5:$A$2005,"&lt;="&amp;ReportTo)+SUMIFS('Sales Invoices'!$AB$5:$AB$2005,'Sales Invoices'!$H$5:$H$2005,$A133,'Sales Invoices'!$B$5:$B$2005,"&lt;="&amp;ReportTo)+SUMIFS('Payment Vouchers'!$R$5:$R$2005,'Payment Vouchers'!$B$5:$B$2005,$A133,'Payment Vouchers'!$A$5:$A$2005,"&lt;="&amp;ReportTo)+SUMIFS('Partner Transactions'!$T$5:$T$2005,'Partner Transactions'!$B$5:$B$2005,$A133,'Partner Transactions'!$A$5:$A$2005,"&lt;="&amp;ReportTo)+SUMIFS('Stock Moves'!$AP$5:$AP$2005,'Stock Moves'!$J$5:$J$2005,$A133,'Stock Moves'!$A$5:$A$2005,"&lt;="&amp;ReportTo)+SUMIFS('Journal Vouchers'!$R$5:$R$2005,'Journal Vouchers'!$E$5:$E$2005,$A133,'Journal Vouchers'!$B$5:$B$2005,"&lt;="&amp;ReportTo))</f>
        <v/>
      </c>
      <c r="C133" s="26">
        <f>IF(A133="",0,SUMIFS('Direct Costs'!$AK$5:$AK$2005,'Direct Costs'!$E$5:$E$2005,$A133,'Direct Costs'!$A$5:$A$2005,"&lt;="&amp;ReportTo)+SUMIFS('Operating Expenses'!$AF$5:$AF$2005,'Operating Expenses'!$E$5:$E$2005,$A133,'Operating Expenses'!$A$5:$A$2005,"&lt;="&amp;ReportTo)+SUMIFS('Payroll'!$AB$5:$AB$2005,'Payroll'!$C$5:$C$2005,$A133,'Payroll'!$A$5:$A$2005,"&lt;="&amp;ReportTo)+SUMIFS('Receipt Vouchers'!$AB$5:$AB$2005,'Receipt Vouchers'!$E$5:$E$2005,$A133,'Receipt Vouchers'!$A$5:$A$2005,"&lt;="&amp;ReportTo)+SUMIFS('Sales Invoices'!$AC$5:$AC$2005,'Sales Invoices'!$H$5:$H$2005,$A133,'Sales Invoices'!$B$5:$B$2005,"&lt;="&amp;ReportTo)+SUMIFS('Payment Vouchers'!$S$5:$S$2005,'Payment Vouchers'!$B$5:$B$2005,$A133,'Payment Vouchers'!$A$5:$A$2005,"&lt;="&amp;ReportTo)+SUMIFS('Partner Transactions'!$U$5:$U$2005,'Partner Transactions'!$B$5:$B$2005,$A133,'Partner Transactions'!$A$5:$A$2005,"&lt;="&amp;ReportTo)+SUMIFS('Stock Moves'!$AQ$5:$AQ$2005,'Stock Moves'!$J$5:$J$2005,$A133,'Stock Moves'!$A$5:$A$2005,"&lt;="&amp;ReportTo)+SUMIFS('Journal Vouchers'!$S$5:$S$2005,'Journal Vouchers'!$E$5:$E$2005,$A133,'Journal Vouchers'!$B$5:$B$2005,"&lt;="&amp;ReportTo))</f>
        <v/>
      </c>
      <c r="D133" s="26">
        <f>B133+C133</f>
        <v/>
      </c>
    </row>
    <row r="134">
      <c r="A134" s="25">
        <f>IF(Parties!A134="","",Parties!A134)</f>
        <v/>
      </c>
      <c r="B134" s="26">
        <f>IF(A134="",0,SUMIFS('Direct Costs'!$AJ$5:$AJ$2005,'Direct Costs'!$E$5:$E$2005,$A134,'Direct Costs'!$A$5:$A$2005,"&lt;="&amp;ReportTo)+SUMIFS('Operating Expenses'!$AE$5:$AE$2005,'Operating Expenses'!$E$5:$E$2005,$A134,'Operating Expenses'!$A$5:$A$2005,"&lt;="&amp;ReportTo)+SUMIFS('Payroll'!$AA$5:$AA$2005,'Payroll'!$C$5:$C$2005,$A134,'Payroll'!$A$5:$A$2005,"&lt;="&amp;ReportTo)+SUMIFS('Receipt Vouchers'!$AA$5:$AA$2005,'Receipt Vouchers'!$E$5:$E$2005,$A134,'Receipt Vouchers'!$A$5:$A$2005,"&lt;="&amp;ReportTo)+SUMIFS('Sales Invoices'!$AB$5:$AB$2005,'Sales Invoices'!$H$5:$H$2005,$A134,'Sales Invoices'!$B$5:$B$2005,"&lt;="&amp;ReportTo)+SUMIFS('Payment Vouchers'!$R$5:$R$2005,'Payment Vouchers'!$B$5:$B$2005,$A134,'Payment Vouchers'!$A$5:$A$2005,"&lt;="&amp;ReportTo)+SUMIFS('Partner Transactions'!$T$5:$T$2005,'Partner Transactions'!$B$5:$B$2005,$A134,'Partner Transactions'!$A$5:$A$2005,"&lt;="&amp;ReportTo)+SUMIFS('Stock Moves'!$AP$5:$AP$2005,'Stock Moves'!$J$5:$J$2005,$A134,'Stock Moves'!$A$5:$A$2005,"&lt;="&amp;ReportTo)+SUMIFS('Journal Vouchers'!$R$5:$R$2005,'Journal Vouchers'!$E$5:$E$2005,$A134,'Journal Vouchers'!$B$5:$B$2005,"&lt;="&amp;ReportTo))</f>
        <v/>
      </c>
      <c r="C134" s="26">
        <f>IF(A134="",0,SUMIFS('Direct Costs'!$AK$5:$AK$2005,'Direct Costs'!$E$5:$E$2005,$A134,'Direct Costs'!$A$5:$A$2005,"&lt;="&amp;ReportTo)+SUMIFS('Operating Expenses'!$AF$5:$AF$2005,'Operating Expenses'!$E$5:$E$2005,$A134,'Operating Expenses'!$A$5:$A$2005,"&lt;="&amp;ReportTo)+SUMIFS('Payroll'!$AB$5:$AB$2005,'Payroll'!$C$5:$C$2005,$A134,'Payroll'!$A$5:$A$2005,"&lt;="&amp;ReportTo)+SUMIFS('Receipt Vouchers'!$AB$5:$AB$2005,'Receipt Vouchers'!$E$5:$E$2005,$A134,'Receipt Vouchers'!$A$5:$A$2005,"&lt;="&amp;ReportTo)+SUMIFS('Sales Invoices'!$AC$5:$AC$2005,'Sales Invoices'!$H$5:$H$2005,$A134,'Sales Invoices'!$B$5:$B$2005,"&lt;="&amp;ReportTo)+SUMIFS('Payment Vouchers'!$S$5:$S$2005,'Payment Vouchers'!$B$5:$B$2005,$A134,'Payment Vouchers'!$A$5:$A$2005,"&lt;="&amp;ReportTo)+SUMIFS('Partner Transactions'!$U$5:$U$2005,'Partner Transactions'!$B$5:$B$2005,$A134,'Partner Transactions'!$A$5:$A$2005,"&lt;="&amp;ReportTo)+SUMIFS('Stock Moves'!$AQ$5:$AQ$2005,'Stock Moves'!$J$5:$J$2005,$A134,'Stock Moves'!$A$5:$A$2005,"&lt;="&amp;ReportTo)+SUMIFS('Journal Vouchers'!$S$5:$S$2005,'Journal Vouchers'!$E$5:$E$2005,$A134,'Journal Vouchers'!$B$5:$B$2005,"&lt;="&amp;ReportTo))</f>
        <v/>
      </c>
      <c r="D134" s="26">
        <f>B134+C134</f>
        <v/>
      </c>
    </row>
    <row r="135">
      <c r="A135" s="25">
        <f>IF(Parties!A135="","",Parties!A135)</f>
        <v/>
      </c>
      <c r="B135" s="26">
        <f>IF(A135="",0,SUMIFS('Direct Costs'!$AJ$5:$AJ$2005,'Direct Costs'!$E$5:$E$2005,$A135,'Direct Costs'!$A$5:$A$2005,"&lt;="&amp;ReportTo)+SUMIFS('Operating Expenses'!$AE$5:$AE$2005,'Operating Expenses'!$E$5:$E$2005,$A135,'Operating Expenses'!$A$5:$A$2005,"&lt;="&amp;ReportTo)+SUMIFS('Payroll'!$AA$5:$AA$2005,'Payroll'!$C$5:$C$2005,$A135,'Payroll'!$A$5:$A$2005,"&lt;="&amp;ReportTo)+SUMIFS('Receipt Vouchers'!$AA$5:$AA$2005,'Receipt Vouchers'!$E$5:$E$2005,$A135,'Receipt Vouchers'!$A$5:$A$2005,"&lt;="&amp;ReportTo)+SUMIFS('Sales Invoices'!$AB$5:$AB$2005,'Sales Invoices'!$H$5:$H$2005,$A135,'Sales Invoices'!$B$5:$B$2005,"&lt;="&amp;ReportTo)+SUMIFS('Payment Vouchers'!$R$5:$R$2005,'Payment Vouchers'!$B$5:$B$2005,$A135,'Payment Vouchers'!$A$5:$A$2005,"&lt;="&amp;ReportTo)+SUMIFS('Partner Transactions'!$T$5:$T$2005,'Partner Transactions'!$B$5:$B$2005,$A135,'Partner Transactions'!$A$5:$A$2005,"&lt;="&amp;ReportTo)+SUMIFS('Stock Moves'!$AP$5:$AP$2005,'Stock Moves'!$J$5:$J$2005,$A135,'Stock Moves'!$A$5:$A$2005,"&lt;="&amp;ReportTo)+SUMIFS('Journal Vouchers'!$R$5:$R$2005,'Journal Vouchers'!$E$5:$E$2005,$A135,'Journal Vouchers'!$B$5:$B$2005,"&lt;="&amp;ReportTo))</f>
        <v/>
      </c>
      <c r="C135" s="26">
        <f>IF(A135="",0,SUMIFS('Direct Costs'!$AK$5:$AK$2005,'Direct Costs'!$E$5:$E$2005,$A135,'Direct Costs'!$A$5:$A$2005,"&lt;="&amp;ReportTo)+SUMIFS('Operating Expenses'!$AF$5:$AF$2005,'Operating Expenses'!$E$5:$E$2005,$A135,'Operating Expenses'!$A$5:$A$2005,"&lt;="&amp;ReportTo)+SUMIFS('Payroll'!$AB$5:$AB$2005,'Payroll'!$C$5:$C$2005,$A135,'Payroll'!$A$5:$A$2005,"&lt;="&amp;ReportTo)+SUMIFS('Receipt Vouchers'!$AB$5:$AB$2005,'Receipt Vouchers'!$E$5:$E$2005,$A135,'Receipt Vouchers'!$A$5:$A$2005,"&lt;="&amp;ReportTo)+SUMIFS('Sales Invoices'!$AC$5:$AC$2005,'Sales Invoices'!$H$5:$H$2005,$A135,'Sales Invoices'!$B$5:$B$2005,"&lt;="&amp;ReportTo)+SUMIFS('Payment Vouchers'!$S$5:$S$2005,'Payment Vouchers'!$B$5:$B$2005,$A135,'Payment Vouchers'!$A$5:$A$2005,"&lt;="&amp;ReportTo)+SUMIFS('Partner Transactions'!$U$5:$U$2005,'Partner Transactions'!$B$5:$B$2005,$A135,'Partner Transactions'!$A$5:$A$2005,"&lt;="&amp;ReportTo)+SUMIFS('Stock Moves'!$AQ$5:$AQ$2005,'Stock Moves'!$J$5:$J$2005,$A135,'Stock Moves'!$A$5:$A$2005,"&lt;="&amp;ReportTo)+SUMIFS('Journal Vouchers'!$S$5:$S$2005,'Journal Vouchers'!$E$5:$E$2005,$A135,'Journal Vouchers'!$B$5:$B$2005,"&lt;="&amp;ReportTo))</f>
        <v/>
      </c>
      <c r="D135" s="26">
        <f>B135+C135</f>
        <v/>
      </c>
    </row>
    <row r="136">
      <c r="A136" s="25">
        <f>IF(Parties!A136="","",Parties!A136)</f>
        <v/>
      </c>
      <c r="B136" s="26">
        <f>IF(A136="",0,SUMIFS('Direct Costs'!$AJ$5:$AJ$2005,'Direct Costs'!$E$5:$E$2005,$A136,'Direct Costs'!$A$5:$A$2005,"&lt;="&amp;ReportTo)+SUMIFS('Operating Expenses'!$AE$5:$AE$2005,'Operating Expenses'!$E$5:$E$2005,$A136,'Operating Expenses'!$A$5:$A$2005,"&lt;="&amp;ReportTo)+SUMIFS('Payroll'!$AA$5:$AA$2005,'Payroll'!$C$5:$C$2005,$A136,'Payroll'!$A$5:$A$2005,"&lt;="&amp;ReportTo)+SUMIFS('Receipt Vouchers'!$AA$5:$AA$2005,'Receipt Vouchers'!$E$5:$E$2005,$A136,'Receipt Vouchers'!$A$5:$A$2005,"&lt;="&amp;ReportTo)+SUMIFS('Sales Invoices'!$AB$5:$AB$2005,'Sales Invoices'!$H$5:$H$2005,$A136,'Sales Invoices'!$B$5:$B$2005,"&lt;="&amp;ReportTo)+SUMIFS('Payment Vouchers'!$R$5:$R$2005,'Payment Vouchers'!$B$5:$B$2005,$A136,'Payment Vouchers'!$A$5:$A$2005,"&lt;="&amp;ReportTo)+SUMIFS('Partner Transactions'!$T$5:$T$2005,'Partner Transactions'!$B$5:$B$2005,$A136,'Partner Transactions'!$A$5:$A$2005,"&lt;="&amp;ReportTo)+SUMIFS('Stock Moves'!$AP$5:$AP$2005,'Stock Moves'!$J$5:$J$2005,$A136,'Stock Moves'!$A$5:$A$2005,"&lt;="&amp;ReportTo)+SUMIFS('Journal Vouchers'!$R$5:$R$2005,'Journal Vouchers'!$E$5:$E$2005,$A136,'Journal Vouchers'!$B$5:$B$2005,"&lt;="&amp;ReportTo))</f>
        <v/>
      </c>
      <c r="C136" s="26">
        <f>IF(A136="",0,SUMIFS('Direct Costs'!$AK$5:$AK$2005,'Direct Costs'!$E$5:$E$2005,$A136,'Direct Costs'!$A$5:$A$2005,"&lt;="&amp;ReportTo)+SUMIFS('Operating Expenses'!$AF$5:$AF$2005,'Operating Expenses'!$E$5:$E$2005,$A136,'Operating Expenses'!$A$5:$A$2005,"&lt;="&amp;ReportTo)+SUMIFS('Payroll'!$AB$5:$AB$2005,'Payroll'!$C$5:$C$2005,$A136,'Payroll'!$A$5:$A$2005,"&lt;="&amp;ReportTo)+SUMIFS('Receipt Vouchers'!$AB$5:$AB$2005,'Receipt Vouchers'!$E$5:$E$2005,$A136,'Receipt Vouchers'!$A$5:$A$2005,"&lt;="&amp;ReportTo)+SUMIFS('Sales Invoices'!$AC$5:$AC$2005,'Sales Invoices'!$H$5:$H$2005,$A136,'Sales Invoices'!$B$5:$B$2005,"&lt;="&amp;ReportTo)+SUMIFS('Payment Vouchers'!$S$5:$S$2005,'Payment Vouchers'!$B$5:$B$2005,$A136,'Payment Vouchers'!$A$5:$A$2005,"&lt;="&amp;ReportTo)+SUMIFS('Partner Transactions'!$U$5:$U$2005,'Partner Transactions'!$B$5:$B$2005,$A136,'Partner Transactions'!$A$5:$A$2005,"&lt;="&amp;ReportTo)+SUMIFS('Stock Moves'!$AQ$5:$AQ$2005,'Stock Moves'!$J$5:$J$2005,$A136,'Stock Moves'!$A$5:$A$2005,"&lt;="&amp;ReportTo)+SUMIFS('Journal Vouchers'!$S$5:$S$2005,'Journal Vouchers'!$E$5:$E$2005,$A136,'Journal Vouchers'!$B$5:$B$2005,"&lt;="&amp;ReportTo))</f>
        <v/>
      </c>
      <c r="D136" s="26">
        <f>B136+C136</f>
        <v/>
      </c>
    </row>
    <row r="137">
      <c r="A137" s="25">
        <f>IF(Parties!A137="","",Parties!A137)</f>
        <v/>
      </c>
      <c r="B137" s="26">
        <f>IF(A137="",0,SUMIFS('Direct Costs'!$AJ$5:$AJ$2005,'Direct Costs'!$E$5:$E$2005,$A137,'Direct Costs'!$A$5:$A$2005,"&lt;="&amp;ReportTo)+SUMIFS('Operating Expenses'!$AE$5:$AE$2005,'Operating Expenses'!$E$5:$E$2005,$A137,'Operating Expenses'!$A$5:$A$2005,"&lt;="&amp;ReportTo)+SUMIFS('Payroll'!$AA$5:$AA$2005,'Payroll'!$C$5:$C$2005,$A137,'Payroll'!$A$5:$A$2005,"&lt;="&amp;ReportTo)+SUMIFS('Receipt Vouchers'!$AA$5:$AA$2005,'Receipt Vouchers'!$E$5:$E$2005,$A137,'Receipt Vouchers'!$A$5:$A$2005,"&lt;="&amp;ReportTo)+SUMIFS('Sales Invoices'!$AB$5:$AB$2005,'Sales Invoices'!$H$5:$H$2005,$A137,'Sales Invoices'!$B$5:$B$2005,"&lt;="&amp;ReportTo)+SUMIFS('Payment Vouchers'!$R$5:$R$2005,'Payment Vouchers'!$B$5:$B$2005,$A137,'Payment Vouchers'!$A$5:$A$2005,"&lt;="&amp;ReportTo)+SUMIFS('Partner Transactions'!$T$5:$T$2005,'Partner Transactions'!$B$5:$B$2005,$A137,'Partner Transactions'!$A$5:$A$2005,"&lt;="&amp;ReportTo)+SUMIFS('Stock Moves'!$AP$5:$AP$2005,'Stock Moves'!$J$5:$J$2005,$A137,'Stock Moves'!$A$5:$A$2005,"&lt;="&amp;ReportTo)+SUMIFS('Journal Vouchers'!$R$5:$R$2005,'Journal Vouchers'!$E$5:$E$2005,$A137,'Journal Vouchers'!$B$5:$B$2005,"&lt;="&amp;ReportTo))</f>
        <v/>
      </c>
      <c r="C137" s="26">
        <f>IF(A137="",0,SUMIFS('Direct Costs'!$AK$5:$AK$2005,'Direct Costs'!$E$5:$E$2005,$A137,'Direct Costs'!$A$5:$A$2005,"&lt;="&amp;ReportTo)+SUMIFS('Operating Expenses'!$AF$5:$AF$2005,'Operating Expenses'!$E$5:$E$2005,$A137,'Operating Expenses'!$A$5:$A$2005,"&lt;="&amp;ReportTo)+SUMIFS('Payroll'!$AB$5:$AB$2005,'Payroll'!$C$5:$C$2005,$A137,'Payroll'!$A$5:$A$2005,"&lt;="&amp;ReportTo)+SUMIFS('Receipt Vouchers'!$AB$5:$AB$2005,'Receipt Vouchers'!$E$5:$E$2005,$A137,'Receipt Vouchers'!$A$5:$A$2005,"&lt;="&amp;ReportTo)+SUMIFS('Sales Invoices'!$AC$5:$AC$2005,'Sales Invoices'!$H$5:$H$2005,$A137,'Sales Invoices'!$B$5:$B$2005,"&lt;="&amp;ReportTo)+SUMIFS('Payment Vouchers'!$S$5:$S$2005,'Payment Vouchers'!$B$5:$B$2005,$A137,'Payment Vouchers'!$A$5:$A$2005,"&lt;="&amp;ReportTo)+SUMIFS('Partner Transactions'!$U$5:$U$2005,'Partner Transactions'!$B$5:$B$2005,$A137,'Partner Transactions'!$A$5:$A$2005,"&lt;="&amp;ReportTo)+SUMIFS('Stock Moves'!$AQ$5:$AQ$2005,'Stock Moves'!$J$5:$J$2005,$A137,'Stock Moves'!$A$5:$A$2005,"&lt;="&amp;ReportTo)+SUMIFS('Journal Vouchers'!$S$5:$S$2005,'Journal Vouchers'!$E$5:$E$2005,$A137,'Journal Vouchers'!$B$5:$B$2005,"&lt;="&amp;ReportTo))</f>
        <v/>
      </c>
      <c r="D137" s="26">
        <f>B137+C137</f>
        <v/>
      </c>
    </row>
    <row r="138">
      <c r="A138" s="25">
        <f>IF(Parties!A138="","",Parties!A138)</f>
        <v/>
      </c>
      <c r="B138" s="26">
        <f>IF(A138="",0,SUMIFS('Direct Costs'!$AJ$5:$AJ$2005,'Direct Costs'!$E$5:$E$2005,$A138,'Direct Costs'!$A$5:$A$2005,"&lt;="&amp;ReportTo)+SUMIFS('Operating Expenses'!$AE$5:$AE$2005,'Operating Expenses'!$E$5:$E$2005,$A138,'Operating Expenses'!$A$5:$A$2005,"&lt;="&amp;ReportTo)+SUMIFS('Payroll'!$AA$5:$AA$2005,'Payroll'!$C$5:$C$2005,$A138,'Payroll'!$A$5:$A$2005,"&lt;="&amp;ReportTo)+SUMIFS('Receipt Vouchers'!$AA$5:$AA$2005,'Receipt Vouchers'!$E$5:$E$2005,$A138,'Receipt Vouchers'!$A$5:$A$2005,"&lt;="&amp;ReportTo)+SUMIFS('Sales Invoices'!$AB$5:$AB$2005,'Sales Invoices'!$H$5:$H$2005,$A138,'Sales Invoices'!$B$5:$B$2005,"&lt;="&amp;ReportTo)+SUMIFS('Payment Vouchers'!$R$5:$R$2005,'Payment Vouchers'!$B$5:$B$2005,$A138,'Payment Vouchers'!$A$5:$A$2005,"&lt;="&amp;ReportTo)+SUMIFS('Partner Transactions'!$T$5:$T$2005,'Partner Transactions'!$B$5:$B$2005,$A138,'Partner Transactions'!$A$5:$A$2005,"&lt;="&amp;ReportTo)+SUMIFS('Stock Moves'!$AP$5:$AP$2005,'Stock Moves'!$J$5:$J$2005,$A138,'Stock Moves'!$A$5:$A$2005,"&lt;="&amp;ReportTo)+SUMIFS('Journal Vouchers'!$R$5:$R$2005,'Journal Vouchers'!$E$5:$E$2005,$A138,'Journal Vouchers'!$B$5:$B$2005,"&lt;="&amp;ReportTo))</f>
        <v/>
      </c>
      <c r="C138" s="26">
        <f>IF(A138="",0,SUMIFS('Direct Costs'!$AK$5:$AK$2005,'Direct Costs'!$E$5:$E$2005,$A138,'Direct Costs'!$A$5:$A$2005,"&lt;="&amp;ReportTo)+SUMIFS('Operating Expenses'!$AF$5:$AF$2005,'Operating Expenses'!$E$5:$E$2005,$A138,'Operating Expenses'!$A$5:$A$2005,"&lt;="&amp;ReportTo)+SUMIFS('Payroll'!$AB$5:$AB$2005,'Payroll'!$C$5:$C$2005,$A138,'Payroll'!$A$5:$A$2005,"&lt;="&amp;ReportTo)+SUMIFS('Receipt Vouchers'!$AB$5:$AB$2005,'Receipt Vouchers'!$E$5:$E$2005,$A138,'Receipt Vouchers'!$A$5:$A$2005,"&lt;="&amp;ReportTo)+SUMIFS('Sales Invoices'!$AC$5:$AC$2005,'Sales Invoices'!$H$5:$H$2005,$A138,'Sales Invoices'!$B$5:$B$2005,"&lt;="&amp;ReportTo)+SUMIFS('Payment Vouchers'!$S$5:$S$2005,'Payment Vouchers'!$B$5:$B$2005,$A138,'Payment Vouchers'!$A$5:$A$2005,"&lt;="&amp;ReportTo)+SUMIFS('Partner Transactions'!$U$5:$U$2005,'Partner Transactions'!$B$5:$B$2005,$A138,'Partner Transactions'!$A$5:$A$2005,"&lt;="&amp;ReportTo)+SUMIFS('Stock Moves'!$AQ$5:$AQ$2005,'Stock Moves'!$J$5:$J$2005,$A138,'Stock Moves'!$A$5:$A$2005,"&lt;="&amp;ReportTo)+SUMIFS('Journal Vouchers'!$S$5:$S$2005,'Journal Vouchers'!$E$5:$E$2005,$A138,'Journal Vouchers'!$B$5:$B$2005,"&lt;="&amp;ReportTo))</f>
        <v/>
      </c>
      <c r="D138" s="26">
        <f>B138+C138</f>
        <v/>
      </c>
    </row>
    <row r="139">
      <c r="A139" s="25">
        <f>IF(Parties!A139="","",Parties!A139)</f>
        <v/>
      </c>
      <c r="B139" s="26">
        <f>IF(A139="",0,SUMIFS('Direct Costs'!$AJ$5:$AJ$2005,'Direct Costs'!$E$5:$E$2005,$A139,'Direct Costs'!$A$5:$A$2005,"&lt;="&amp;ReportTo)+SUMIFS('Operating Expenses'!$AE$5:$AE$2005,'Operating Expenses'!$E$5:$E$2005,$A139,'Operating Expenses'!$A$5:$A$2005,"&lt;="&amp;ReportTo)+SUMIFS('Payroll'!$AA$5:$AA$2005,'Payroll'!$C$5:$C$2005,$A139,'Payroll'!$A$5:$A$2005,"&lt;="&amp;ReportTo)+SUMIFS('Receipt Vouchers'!$AA$5:$AA$2005,'Receipt Vouchers'!$E$5:$E$2005,$A139,'Receipt Vouchers'!$A$5:$A$2005,"&lt;="&amp;ReportTo)+SUMIFS('Sales Invoices'!$AB$5:$AB$2005,'Sales Invoices'!$H$5:$H$2005,$A139,'Sales Invoices'!$B$5:$B$2005,"&lt;="&amp;ReportTo)+SUMIFS('Payment Vouchers'!$R$5:$R$2005,'Payment Vouchers'!$B$5:$B$2005,$A139,'Payment Vouchers'!$A$5:$A$2005,"&lt;="&amp;ReportTo)+SUMIFS('Partner Transactions'!$T$5:$T$2005,'Partner Transactions'!$B$5:$B$2005,$A139,'Partner Transactions'!$A$5:$A$2005,"&lt;="&amp;ReportTo)+SUMIFS('Stock Moves'!$AP$5:$AP$2005,'Stock Moves'!$J$5:$J$2005,$A139,'Stock Moves'!$A$5:$A$2005,"&lt;="&amp;ReportTo)+SUMIFS('Journal Vouchers'!$R$5:$R$2005,'Journal Vouchers'!$E$5:$E$2005,$A139,'Journal Vouchers'!$B$5:$B$2005,"&lt;="&amp;ReportTo))</f>
        <v/>
      </c>
      <c r="C139" s="26">
        <f>IF(A139="",0,SUMIFS('Direct Costs'!$AK$5:$AK$2005,'Direct Costs'!$E$5:$E$2005,$A139,'Direct Costs'!$A$5:$A$2005,"&lt;="&amp;ReportTo)+SUMIFS('Operating Expenses'!$AF$5:$AF$2005,'Operating Expenses'!$E$5:$E$2005,$A139,'Operating Expenses'!$A$5:$A$2005,"&lt;="&amp;ReportTo)+SUMIFS('Payroll'!$AB$5:$AB$2005,'Payroll'!$C$5:$C$2005,$A139,'Payroll'!$A$5:$A$2005,"&lt;="&amp;ReportTo)+SUMIFS('Receipt Vouchers'!$AB$5:$AB$2005,'Receipt Vouchers'!$E$5:$E$2005,$A139,'Receipt Vouchers'!$A$5:$A$2005,"&lt;="&amp;ReportTo)+SUMIFS('Sales Invoices'!$AC$5:$AC$2005,'Sales Invoices'!$H$5:$H$2005,$A139,'Sales Invoices'!$B$5:$B$2005,"&lt;="&amp;ReportTo)+SUMIFS('Payment Vouchers'!$S$5:$S$2005,'Payment Vouchers'!$B$5:$B$2005,$A139,'Payment Vouchers'!$A$5:$A$2005,"&lt;="&amp;ReportTo)+SUMIFS('Partner Transactions'!$U$5:$U$2005,'Partner Transactions'!$B$5:$B$2005,$A139,'Partner Transactions'!$A$5:$A$2005,"&lt;="&amp;ReportTo)+SUMIFS('Stock Moves'!$AQ$5:$AQ$2005,'Stock Moves'!$J$5:$J$2005,$A139,'Stock Moves'!$A$5:$A$2005,"&lt;="&amp;ReportTo)+SUMIFS('Journal Vouchers'!$S$5:$S$2005,'Journal Vouchers'!$E$5:$E$2005,$A139,'Journal Vouchers'!$B$5:$B$2005,"&lt;="&amp;ReportTo))</f>
        <v/>
      </c>
      <c r="D139" s="26">
        <f>B139+C139</f>
        <v/>
      </c>
    </row>
    <row r="140">
      <c r="A140" s="25">
        <f>IF(Parties!A140="","",Parties!A140)</f>
        <v/>
      </c>
      <c r="B140" s="26">
        <f>IF(A140="",0,SUMIFS('Direct Costs'!$AJ$5:$AJ$2005,'Direct Costs'!$E$5:$E$2005,$A140,'Direct Costs'!$A$5:$A$2005,"&lt;="&amp;ReportTo)+SUMIFS('Operating Expenses'!$AE$5:$AE$2005,'Operating Expenses'!$E$5:$E$2005,$A140,'Operating Expenses'!$A$5:$A$2005,"&lt;="&amp;ReportTo)+SUMIFS('Payroll'!$AA$5:$AA$2005,'Payroll'!$C$5:$C$2005,$A140,'Payroll'!$A$5:$A$2005,"&lt;="&amp;ReportTo)+SUMIFS('Receipt Vouchers'!$AA$5:$AA$2005,'Receipt Vouchers'!$E$5:$E$2005,$A140,'Receipt Vouchers'!$A$5:$A$2005,"&lt;="&amp;ReportTo)+SUMIFS('Sales Invoices'!$AB$5:$AB$2005,'Sales Invoices'!$H$5:$H$2005,$A140,'Sales Invoices'!$B$5:$B$2005,"&lt;="&amp;ReportTo)+SUMIFS('Payment Vouchers'!$R$5:$R$2005,'Payment Vouchers'!$B$5:$B$2005,$A140,'Payment Vouchers'!$A$5:$A$2005,"&lt;="&amp;ReportTo)+SUMIFS('Partner Transactions'!$T$5:$T$2005,'Partner Transactions'!$B$5:$B$2005,$A140,'Partner Transactions'!$A$5:$A$2005,"&lt;="&amp;ReportTo)+SUMIFS('Stock Moves'!$AP$5:$AP$2005,'Stock Moves'!$J$5:$J$2005,$A140,'Stock Moves'!$A$5:$A$2005,"&lt;="&amp;ReportTo)+SUMIFS('Journal Vouchers'!$R$5:$R$2005,'Journal Vouchers'!$E$5:$E$2005,$A140,'Journal Vouchers'!$B$5:$B$2005,"&lt;="&amp;ReportTo))</f>
        <v/>
      </c>
      <c r="C140" s="26">
        <f>IF(A140="",0,SUMIFS('Direct Costs'!$AK$5:$AK$2005,'Direct Costs'!$E$5:$E$2005,$A140,'Direct Costs'!$A$5:$A$2005,"&lt;="&amp;ReportTo)+SUMIFS('Operating Expenses'!$AF$5:$AF$2005,'Operating Expenses'!$E$5:$E$2005,$A140,'Operating Expenses'!$A$5:$A$2005,"&lt;="&amp;ReportTo)+SUMIFS('Payroll'!$AB$5:$AB$2005,'Payroll'!$C$5:$C$2005,$A140,'Payroll'!$A$5:$A$2005,"&lt;="&amp;ReportTo)+SUMIFS('Receipt Vouchers'!$AB$5:$AB$2005,'Receipt Vouchers'!$E$5:$E$2005,$A140,'Receipt Vouchers'!$A$5:$A$2005,"&lt;="&amp;ReportTo)+SUMIFS('Sales Invoices'!$AC$5:$AC$2005,'Sales Invoices'!$H$5:$H$2005,$A140,'Sales Invoices'!$B$5:$B$2005,"&lt;="&amp;ReportTo)+SUMIFS('Payment Vouchers'!$S$5:$S$2005,'Payment Vouchers'!$B$5:$B$2005,$A140,'Payment Vouchers'!$A$5:$A$2005,"&lt;="&amp;ReportTo)+SUMIFS('Partner Transactions'!$U$5:$U$2005,'Partner Transactions'!$B$5:$B$2005,$A140,'Partner Transactions'!$A$5:$A$2005,"&lt;="&amp;ReportTo)+SUMIFS('Stock Moves'!$AQ$5:$AQ$2005,'Stock Moves'!$J$5:$J$2005,$A140,'Stock Moves'!$A$5:$A$2005,"&lt;="&amp;ReportTo)+SUMIFS('Journal Vouchers'!$S$5:$S$2005,'Journal Vouchers'!$E$5:$E$2005,$A140,'Journal Vouchers'!$B$5:$B$2005,"&lt;="&amp;ReportTo))</f>
        <v/>
      </c>
      <c r="D140" s="26">
        <f>B140+C140</f>
        <v/>
      </c>
    </row>
    <row r="141">
      <c r="A141" s="25">
        <f>IF(Parties!A141="","",Parties!A141)</f>
        <v/>
      </c>
      <c r="B141" s="26">
        <f>IF(A141="",0,SUMIFS('Direct Costs'!$AJ$5:$AJ$2005,'Direct Costs'!$E$5:$E$2005,$A141,'Direct Costs'!$A$5:$A$2005,"&lt;="&amp;ReportTo)+SUMIFS('Operating Expenses'!$AE$5:$AE$2005,'Operating Expenses'!$E$5:$E$2005,$A141,'Operating Expenses'!$A$5:$A$2005,"&lt;="&amp;ReportTo)+SUMIFS('Payroll'!$AA$5:$AA$2005,'Payroll'!$C$5:$C$2005,$A141,'Payroll'!$A$5:$A$2005,"&lt;="&amp;ReportTo)+SUMIFS('Receipt Vouchers'!$AA$5:$AA$2005,'Receipt Vouchers'!$E$5:$E$2005,$A141,'Receipt Vouchers'!$A$5:$A$2005,"&lt;="&amp;ReportTo)+SUMIFS('Sales Invoices'!$AB$5:$AB$2005,'Sales Invoices'!$H$5:$H$2005,$A141,'Sales Invoices'!$B$5:$B$2005,"&lt;="&amp;ReportTo)+SUMIFS('Payment Vouchers'!$R$5:$R$2005,'Payment Vouchers'!$B$5:$B$2005,$A141,'Payment Vouchers'!$A$5:$A$2005,"&lt;="&amp;ReportTo)+SUMIFS('Partner Transactions'!$T$5:$T$2005,'Partner Transactions'!$B$5:$B$2005,$A141,'Partner Transactions'!$A$5:$A$2005,"&lt;="&amp;ReportTo)+SUMIFS('Stock Moves'!$AP$5:$AP$2005,'Stock Moves'!$J$5:$J$2005,$A141,'Stock Moves'!$A$5:$A$2005,"&lt;="&amp;ReportTo)+SUMIFS('Journal Vouchers'!$R$5:$R$2005,'Journal Vouchers'!$E$5:$E$2005,$A141,'Journal Vouchers'!$B$5:$B$2005,"&lt;="&amp;ReportTo))</f>
        <v/>
      </c>
      <c r="C141" s="26">
        <f>IF(A141="",0,SUMIFS('Direct Costs'!$AK$5:$AK$2005,'Direct Costs'!$E$5:$E$2005,$A141,'Direct Costs'!$A$5:$A$2005,"&lt;="&amp;ReportTo)+SUMIFS('Operating Expenses'!$AF$5:$AF$2005,'Operating Expenses'!$E$5:$E$2005,$A141,'Operating Expenses'!$A$5:$A$2005,"&lt;="&amp;ReportTo)+SUMIFS('Payroll'!$AB$5:$AB$2005,'Payroll'!$C$5:$C$2005,$A141,'Payroll'!$A$5:$A$2005,"&lt;="&amp;ReportTo)+SUMIFS('Receipt Vouchers'!$AB$5:$AB$2005,'Receipt Vouchers'!$E$5:$E$2005,$A141,'Receipt Vouchers'!$A$5:$A$2005,"&lt;="&amp;ReportTo)+SUMIFS('Sales Invoices'!$AC$5:$AC$2005,'Sales Invoices'!$H$5:$H$2005,$A141,'Sales Invoices'!$B$5:$B$2005,"&lt;="&amp;ReportTo)+SUMIFS('Payment Vouchers'!$S$5:$S$2005,'Payment Vouchers'!$B$5:$B$2005,$A141,'Payment Vouchers'!$A$5:$A$2005,"&lt;="&amp;ReportTo)+SUMIFS('Partner Transactions'!$U$5:$U$2005,'Partner Transactions'!$B$5:$B$2005,$A141,'Partner Transactions'!$A$5:$A$2005,"&lt;="&amp;ReportTo)+SUMIFS('Stock Moves'!$AQ$5:$AQ$2005,'Stock Moves'!$J$5:$J$2005,$A141,'Stock Moves'!$A$5:$A$2005,"&lt;="&amp;ReportTo)+SUMIFS('Journal Vouchers'!$S$5:$S$2005,'Journal Vouchers'!$E$5:$E$2005,$A141,'Journal Vouchers'!$B$5:$B$2005,"&lt;="&amp;ReportTo))</f>
        <v/>
      </c>
      <c r="D141" s="26">
        <f>B141+C141</f>
        <v/>
      </c>
    </row>
    <row r="142">
      <c r="A142" s="25">
        <f>IF(Parties!A142="","",Parties!A142)</f>
        <v/>
      </c>
      <c r="B142" s="26">
        <f>IF(A142="",0,SUMIFS('Direct Costs'!$AJ$5:$AJ$2005,'Direct Costs'!$E$5:$E$2005,$A142,'Direct Costs'!$A$5:$A$2005,"&lt;="&amp;ReportTo)+SUMIFS('Operating Expenses'!$AE$5:$AE$2005,'Operating Expenses'!$E$5:$E$2005,$A142,'Operating Expenses'!$A$5:$A$2005,"&lt;="&amp;ReportTo)+SUMIFS('Payroll'!$AA$5:$AA$2005,'Payroll'!$C$5:$C$2005,$A142,'Payroll'!$A$5:$A$2005,"&lt;="&amp;ReportTo)+SUMIFS('Receipt Vouchers'!$AA$5:$AA$2005,'Receipt Vouchers'!$E$5:$E$2005,$A142,'Receipt Vouchers'!$A$5:$A$2005,"&lt;="&amp;ReportTo)+SUMIFS('Sales Invoices'!$AB$5:$AB$2005,'Sales Invoices'!$H$5:$H$2005,$A142,'Sales Invoices'!$B$5:$B$2005,"&lt;="&amp;ReportTo)+SUMIFS('Payment Vouchers'!$R$5:$R$2005,'Payment Vouchers'!$B$5:$B$2005,$A142,'Payment Vouchers'!$A$5:$A$2005,"&lt;="&amp;ReportTo)+SUMIFS('Partner Transactions'!$T$5:$T$2005,'Partner Transactions'!$B$5:$B$2005,$A142,'Partner Transactions'!$A$5:$A$2005,"&lt;="&amp;ReportTo)+SUMIFS('Stock Moves'!$AP$5:$AP$2005,'Stock Moves'!$J$5:$J$2005,$A142,'Stock Moves'!$A$5:$A$2005,"&lt;="&amp;ReportTo)+SUMIFS('Journal Vouchers'!$R$5:$R$2005,'Journal Vouchers'!$E$5:$E$2005,$A142,'Journal Vouchers'!$B$5:$B$2005,"&lt;="&amp;ReportTo))</f>
        <v/>
      </c>
      <c r="C142" s="26">
        <f>IF(A142="",0,SUMIFS('Direct Costs'!$AK$5:$AK$2005,'Direct Costs'!$E$5:$E$2005,$A142,'Direct Costs'!$A$5:$A$2005,"&lt;="&amp;ReportTo)+SUMIFS('Operating Expenses'!$AF$5:$AF$2005,'Operating Expenses'!$E$5:$E$2005,$A142,'Operating Expenses'!$A$5:$A$2005,"&lt;="&amp;ReportTo)+SUMIFS('Payroll'!$AB$5:$AB$2005,'Payroll'!$C$5:$C$2005,$A142,'Payroll'!$A$5:$A$2005,"&lt;="&amp;ReportTo)+SUMIFS('Receipt Vouchers'!$AB$5:$AB$2005,'Receipt Vouchers'!$E$5:$E$2005,$A142,'Receipt Vouchers'!$A$5:$A$2005,"&lt;="&amp;ReportTo)+SUMIFS('Sales Invoices'!$AC$5:$AC$2005,'Sales Invoices'!$H$5:$H$2005,$A142,'Sales Invoices'!$B$5:$B$2005,"&lt;="&amp;ReportTo)+SUMIFS('Payment Vouchers'!$S$5:$S$2005,'Payment Vouchers'!$B$5:$B$2005,$A142,'Payment Vouchers'!$A$5:$A$2005,"&lt;="&amp;ReportTo)+SUMIFS('Partner Transactions'!$U$5:$U$2005,'Partner Transactions'!$B$5:$B$2005,$A142,'Partner Transactions'!$A$5:$A$2005,"&lt;="&amp;ReportTo)+SUMIFS('Stock Moves'!$AQ$5:$AQ$2005,'Stock Moves'!$J$5:$J$2005,$A142,'Stock Moves'!$A$5:$A$2005,"&lt;="&amp;ReportTo)+SUMIFS('Journal Vouchers'!$S$5:$S$2005,'Journal Vouchers'!$E$5:$E$2005,$A142,'Journal Vouchers'!$B$5:$B$2005,"&lt;="&amp;ReportTo))</f>
        <v/>
      </c>
      <c r="D142" s="26">
        <f>B142+C142</f>
        <v/>
      </c>
    </row>
    <row r="143">
      <c r="A143" s="25">
        <f>IF(Parties!A143="","",Parties!A143)</f>
        <v/>
      </c>
      <c r="B143" s="26">
        <f>IF(A143="",0,SUMIFS('Direct Costs'!$AJ$5:$AJ$2005,'Direct Costs'!$E$5:$E$2005,$A143,'Direct Costs'!$A$5:$A$2005,"&lt;="&amp;ReportTo)+SUMIFS('Operating Expenses'!$AE$5:$AE$2005,'Operating Expenses'!$E$5:$E$2005,$A143,'Operating Expenses'!$A$5:$A$2005,"&lt;="&amp;ReportTo)+SUMIFS('Payroll'!$AA$5:$AA$2005,'Payroll'!$C$5:$C$2005,$A143,'Payroll'!$A$5:$A$2005,"&lt;="&amp;ReportTo)+SUMIFS('Receipt Vouchers'!$AA$5:$AA$2005,'Receipt Vouchers'!$E$5:$E$2005,$A143,'Receipt Vouchers'!$A$5:$A$2005,"&lt;="&amp;ReportTo)+SUMIFS('Sales Invoices'!$AB$5:$AB$2005,'Sales Invoices'!$H$5:$H$2005,$A143,'Sales Invoices'!$B$5:$B$2005,"&lt;="&amp;ReportTo)+SUMIFS('Payment Vouchers'!$R$5:$R$2005,'Payment Vouchers'!$B$5:$B$2005,$A143,'Payment Vouchers'!$A$5:$A$2005,"&lt;="&amp;ReportTo)+SUMIFS('Partner Transactions'!$T$5:$T$2005,'Partner Transactions'!$B$5:$B$2005,$A143,'Partner Transactions'!$A$5:$A$2005,"&lt;="&amp;ReportTo)+SUMIFS('Stock Moves'!$AP$5:$AP$2005,'Stock Moves'!$J$5:$J$2005,$A143,'Stock Moves'!$A$5:$A$2005,"&lt;="&amp;ReportTo)+SUMIFS('Journal Vouchers'!$R$5:$R$2005,'Journal Vouchers'!$E$5:$E$2005,$A143,'Journal Vouchers'!$B$5:$B$2005,"&lt;="&amp;ReportTo))</f>
        <v/>
      </c>
      <c r="C143" s="26">
        <f>IF(A143="",0,SUMIFS('Direct Costs'!$AK$5:$AK$2005,'Direct Costs'!$E$5:$E$2005,$A143,'Direct Costs'!$A$5:$A$2005,"&lt;="&amp;ReportTo)+SUMIFS('Operating Expenses'!$AF$5:$AF$2005,'Operating Expenses'!$E$5:$E$2005,$A143,'Operating Expenses'!$A$5:$A$2005,"&lt;="&amp;ReportTo)+SUMIFS('Payroll'!$AB$5:$AB$2005,'Payroll'!$C$5:$C$2005,$A143,'Payroll'!$A$5:$A$2005,"&lt;="&amp;ReportTo)+SUMIFS('Receipt Vouchers'!$AB$5:$AB$2005,'Receipt Vouchers'!$E$5:$E$2005,$A143,'Receipt Vouchers'!$A$5:$A$2005,"&lt;="&amp;ReportTo)+SUMIFS('Sales Invoices'!$AC$5:$AC$2005,'Sales Invoices'!$H$5:$H$2005,$A143,'Sales Invoices'!$B$5:$B$2005,"&lt;="&amp;ReportTo)+SUMIFS('Payment Vouchers'!$S$5:$S$2005,'Payment Vouchers'!$B$5:$B$2005,$A143,'Payment Vouchers'!$A$5:$A$2005,"&lt;="&amp;ReportTo)+SUMIFS('Partner Transactions'!$U$5:$U$2005,'Partner Transactions'!$B$5:$B$2005,$A143,'Partner Transactions'!$A$5:$A$2005,"&lt;="&amp;ReportTo)+SUMIFS('Stock Moves'!$AQ$5:$AQ$2005,'Stock Moves'!$J$5:$J$2005,$A143,'Stock Moves'!$A$5:$A$2005,"&lt;="&amp;ReportTo)+SUMIFS('Journal Vouchers'!$S$5:$S$2005,'Journal Vouchers'!$E$5:$E$2005,$A143,'Journal Vouchers'!$B$5:$B$2005,"&lt;="&amp;ReportTo))</f>
        <v/>
      </c>
      <c r="D143" s="26">
        <f>B143+C143</f>
        <v/>
      </c>
    </row>
    <row r="144">
      <c r="A144" s="25">
        <f>IF(Parties!A144="","",Parties!A144)</f>
        <v/>
      </c>
      <c r="B144" s="26">
        <f>IF(A144="",0,SUMIFS('Direct Costs'!$AJ$5:$AJ$2005,'Direct Costs'!$E$5:$E$2005,$A144,'Direct Costs'!$A$5:$A$2005,"&lt;="&amp;ReportTo)+SUMIFS('Operating Expenses'!$AE$5:$AE$2005,'Operating Expenses'!$E$5:$E$2005,$A144,'Operating Expenses'!$A$5:$A$2005,"&lt;="&amp;ReportTo)+SUMIFS('Payroll'!$AA$5:$AA$2005,'Payroll'!$C$5:$C$2005,$A144,'Payroll'!$A$5:$A$2005,"&lt;="&amp;ReportTo)+SUMIFS('Receipt Vouchers'!$AA$5:$AA$2005,'Receipt Vouchers'!$E$5:$E$2005,$A144,'Receipt Vouchers'!$A$5:$A$2005,"&lt;="&amp;ReportTo)+SUMIFS('Sales Invoices'!$AB$5:$AB$2005,'Sales Invoices'!$H$5:$H$2005,$A144,'Sales Invoices'!$B$5:$B$2005,"&lt;="&amp;ReportTo)+SUMIFS('Payment Vouchers'!$R$5:$R$2005,'Payment Vouchers'!$B$5:$B$2005,$A144,'Payment Vouchers'!$A$5:$A$2005,"&lt;="&amp;ReportTo)+SUMIFS('Partner Transactions'!$T$5:$T$2005,'Partner Transactions'!$B$5:$B$2005,$A144,'Partner Transactions'!$A$5:$A$2005,"&lt;="&amp;ReportTo)+SUMIFS('Stock Moves'!$AP$5:$AP$2005,'Stock Moves'!$J$5:$J$2005,$A144,'Stock Moves'!$A$5:$A$2005,"&lt;="&amp;ReportTo)+SUMIFS('Journal Vouchers'!$R$5:$R$2005,'Journal Vouchers'!$E$5:$E$2005,$A144,'Journal Vouchers'!$B$5:$B$2005,"&lt;="&amp;ReportTo))</f>
        <v/>
      </c>
      <c r="C144" s="26">
        <f>IF(A144="",0,SUMIFS('Direct Costs'!$AK$5:$AK$2005,'Direct Costs'!$E$5:$E$2005,$A144,'Direct Costs'!$A$5:$A$2005,"&lt;="&amp;ReportTo)+SUMIFS('Operating Expenses'!$AF$5:$AF$2005,'Operating Expenses'!$E$5:$E$2005,$A144,'Operating Expenses'!$A$5:$A$2005,"&lt;="&amp;ReportTo)+SUMIFS('Payroll'!$AB$5:$AB$2005,'Payroll'!$C$5:$C$2005,$A144,'Payroll'!$A$5:$A$2005,"&lt;="&amp;ReportTo)+SUMIFS('Receipt Vouchers'!$AB$5:$AB$2005,'Receipt Vouchers'!$E$5:$E$2005,$A144,'Receipt Vouchers'!$A$5:$A$2005,"&lt;="&amp;ReportTo)+SUMIFS('Sales Invoices'!$AC$5:$AC$2005,'Sales Invoices'!$H$5:$H$2005,$A144,'Sales Invoices'!$B$5:$B$2005,"&lt;="&amp;ReportTo)+SUMIFS('Payment Vouchers'!$S$5:$S$2005,'Payment Vouchers'!$B$5:$B$2005,$A144,'Payment Vouchers'!$A$5:$A$2005,"&lt;="&amp;ReportTo)+SUMIFS('Partner Transactions'!$U$5:$U$2005,'Partner Transactions'!$B$5:$B$2005,$A144,'Partner Transactions'!$A$5:$A$2005,"&lt;="&amp;ReportTo)+SUMIFS('Stock Moves'!$AQ$5:$AQ$2005,'Stock Moves'!$J$5:$J$2005,$A144,'Stock Moves'!$A$5:$A$2005,"&lt;="&amp;ReportTo)+SUMIFS('Journal Vouchers'!$S$5:$S$2005,'Journal Vouchers'!$E$5:$E$2005,$A144,'Journal Vouchers'!$B$5:$B$2005,"&lt;="&amp;ReportTo))</f>
        <v/>
      </c>
      <c r="D144" s="26">
        <f>B144+C144</f>
        <v/>
      </c>
    </row>
    <row r="145">
      <c r="A145" s="25">
        <f>IF(Parties!A145="","",Parties!A145)</f>
        <v/>
      </c>
      <c r="B145" s="26">
        <f>IF(A145="",0,SUMIFS('Direct Costs'!$AJ$5:$AJ$2005,'Direct Costs'!$E$5:$E$2005,$A145,'Direct Costs'!$A$5:$A$2005,"&lt;="&amp;ReportTo)+SUMIFS('Operating Expenses'!$AE$5:$AE$2005,'Operating Expenses'!$E$5:$E$2005,$A145,'Operating Expenses'!$A$5:$A$2005,"&lt;="&amp;ReportTo)+SUMIFS('Payroll'!$AA$5:$AA$2005,'Payroll'!$C$5:$C$2005,$A145,'Payroll'!$A$5:$A$2005,"&lt;="&amp;ReportTo)+SUMIFS('Receipt Vouchers'!$AA$5:$AA$2005,'Receipt Vouchers'!$E$5:$E$2005,$A145,'Receipt Vouchers'!$A$5:$A$2005,"&lt;="&amp;ReportTo)+SUMIFS('Sales Invoices'!$AB$5:$AB$2005,'Sales Invoices'!$H$5:$H$2005,$A145,'Sales Invoices'!$B$5:$B$2005,"&lt;="&amp;ReportTo)+SUMIFS('Payment Vouchers'!$R$5:$R$2005,'Payment Vouchers'!$B$5:$B$2005,$A145,'Payment Vouchers'!$A$5:$A$2005,"&lt;="&amp;ReportTo)+SUMIFS('Partner Transactions'!$T$5:$T$2005,'Partner Transactions'!$B$5:$B$2005,$A145,'Partner Transactions'!$A$5:$A$2005,"&lt;="&amp;ReportTo)+SUMIFS('Stock Moves'!$AP$5:$AP$2005,'Stock Moves'!$J$5:$J$2005,$A145,'Stock Moves'!$A$5:$A$2005,"&lt;="&amp;ReportTo)+SUMIFS('Journal Vouchers'!$R$5:$R$2005,'Journal Vouchers'!$E$5:$E$2005,$A145,'Journal Vouchers'!$B$5:$B$2005,"&lt;="&amp;ReportTo))</f>
        <v/>
      </c>
      <c r="C145" s="26">
        <f>IF(A145="",0,SUMIFS('Direct Costs'!$AK$5:$AK$2005,'Direct Costs'!$E$5:$E$2005,$A145,'Direct Costs'!$A$5:$A$2005,"&lt;="&amp;ReportTo)+SUMIFS('Operating Expenses'!$AF$5:$AF$2005,'Operating Expenses'!$E$5:$E$2005,$A145,'Operating Expenses'!$A$5:$A$2005,"&lt;="&amp;ReportTo)+SUMIFS('Payroll'!$AB$5:$AB$2005,'Payroll'!$C$5:$C$2005,$A145,'Payroll'!$A$5:$A$2005,"&lt;="&amp;ReportTo)+SUMIFS('Receipt Vouchers'!$AB$5:$AB$2005,'Receipt Vouchers'!$E$5:$E$2005,$A145,'Receipt Vouchers'!$A$5:$A$2005,"&lt;="&amp;ReportTo)+SUMIFS('Sales Invoices'!$AC$5:$AC$2005,'Sales Invoices'!$H$5:$H$2005,$A145,'Sales Invoices'!$B$5:$B$2005,"&lt;="&amp;ReportTo)+SUMIFS('Payment Vouchers'!$S$5:$S$2005,'Payment Vouchers'!$B$5:$B$2005,$A145,'Payment Vouchers'!$A$5:$A$2005,"&lt;="&amp;ReportTo)+SUMIFS('Partner Transactions'!$U$5:$U$2005,'Partner Transactions'!$B$5:$B$2005,$A145,'Partner Transactions'!$A$5:$A$2005,"&lt;="&amp;ReportTo)+SUMIFS('Stock Moves'!$AQ$5:$AQ$2005,'Stock Moves'!$J$5:$J$2005,$A145,'Stock Moves'!$A$5:$A$2005,"&lt;="&amp;ReportTo)+SUMIFS('Journal Vouchers'!$S$5:$S$2005,'Journal Vouchers'!$E$5:$E$2005,$A145,'Journal Vouchers'!$B$5:$B$2005,"&lt;="&amp;ReportTo))</f>
        <v/>
      </c>
      <c r="D145" s="26">
        <f>B145+C145</f>
        <v/>
      </c>
    </row>
    <row r="146">
      <c r="A146" s="25">
        <f>IF(Parties!A146="","",Parties!A146)</f>
        <v/>
      </c>
      <c r="B146" s="26">
        <f>IF(A146="",0,SUMIFS('Direct Costs'!$AJ$5:$AJ$2005,'Direct Costs'!$E$5:$E$2005,$A146,'Direct Costs'!$A$5:$A$2005,"&lt;="&amp;ReportTo)+SUMIFS('Operating Expenses'!$AE$5:$AE$2005,'Operating Expenses'!$E$5:$E$2005,$A146,'Operating Expenses'!$A$5:$A$2005,"&lt;="&amp;ReportTo)+SUMIFS('Payroll'!$AA$5:$AA$2005,'Payroll'!$C$5:$C$2005,$A146,'Payroll'!$A$5:$A$2005,"&lt;="&amp;ReportTo)+SUMIFS('Receipt Vouchers'!$AA$5:$AA$2005,'Receipt Vouchers'!$E$5:$E$2005,$A146,'Receipt Vouchers'!$A$5:$A$2005,"&lt;="&amp;ReportTo)+SUMIFS('Sales Invoices'!$AB$5:$AB$2005,'Sales Invoices'!$H$5:$H$2005,$A146,'Sales Invoices'!$B$5:$B$2005,"&lt;="&amp;ReportTo)+SUMIFS('Payment Vouchers'!$R$5:$R$2005,'Payment Vouchers'!$B$5:$B$2005,$A146,'Payment Vouchers'!$A$5:$A$2005,"&lt;="&amp;ReportTo)+SUMIFS('Partner Transactions'!$T$5:$T$2005,'Partner Transactions'!$B$5:$B$2005,$A146,'Partner Transactions'!$A$5:$A$2005,"&lt;="&amp;ReportTo)+SUMIFS('Stock Moves'!$AP$5:$AP$2005,'Stock Moves'!$J$5:$J$2005,$A146,'Stock Moves'!$A$5:$A$2005,"&lt;="&amp;ReportTo)+SUMIFS('Journal Vouchers'!$R$5:$R$2005,'Journal Vouchers'!$E$5:$E$2005,$A146,'Journal Vouchers'!$B$5:$B$2005,"&lt;="&amp;ReportTo))</f>
        <v/>
      </c>
      <c r="C146" s="26">
        <f>IF(A146="",0,SUMIFS('Direct Costs'!$AK$5:$AK$2005,'Direct Costs'!$E$5:$E$2005,$A146,'Direct Costs'!$A$5:$A$2005,"&lt;="&amp;ReportTo)+SUMIFS('Operating Expenses'!$AF$5:$AF$2005,'Operating Expenses'!$E$5:$E$2005,$A146,'Operating Expenses'!$A$5:$A$2005,"&lt;="&amp;ReportTo)+SUMIFS('Payroll'!$AB$5:$AB$2005,'Payroll'!$C$5:$C$2005,$A146,'Payroll'!$A$5:$A$2005,"&lt;="&amp;ReportTo)+SUMIFS('Receipt Vouchers'!$AB$5:$AB$2005,'Receipt Vouchers'!$E$5:$E$2005,$A146,'Receipt Vouchers'!$A$5:$A$2005,"&lt;="&amp;ReportTo)+SUMIFS('Sales Invoices'!$AC$5:$AC$2005,'Sales Invoices'!$H$5:$H$2005,$A146,'Sales Invoices'!$B$5:$B$2005,"&lt;="&amp;ReportTo)+SUMIFS('Payment Vouchers'!$S$5:$S$2005,'Payment Vouchers'!$B$5:$B$2005,$A146,'Payment Vouchers'!$A$5:$A$2005,"&lt;="&amp;ReportTo)+SUMIFS('Partner Transactions'!$U$5:$U$2005,'Partner Transactions'!$B$5:$B$2005,$A146,'Partner Transactions'!$A$5:$A$2005,"&lt;="&amp;ReportTo)+SUMIFS('Stock Moves'!$AQ$5:$AQ$2005,'Stock Moves'!$J$5:$J$2005,$A146,'Stock Moves'!$A$5:$A$2005,"&lt;="&amp;ReportTo)+SUMIFS('Journal Vouchers'!$S$5:$S$2005,'Journal Vouchers'!$E$5:$E$2005,$A146,'Journal Vouchers'!$B$5:$B$2005,"&lt;="&amp;ReportTo))</f>
        <v/>
      </c>
      <c r="D146" s="26">
        <f>B146+C146</f>
        <v/>
      </c>
    </row>
    <row r="147">
      <c r="A147" s="25">
        <f>IF(Parties!A147="","",Parties!A147)</f>
        <v/>
      </c>
      <c r="B147" s="26">
        <f>IF(A147="",0,SUMIFS('Direct Costs'!$AJ$5:$AJ$2005,'Direct Costs'!$E$5:$E$2005,$A147,'Direct Costs'!$A$5:$A$2005,"&lt;="&amp;ReportTo)+SUMIFS('Operating Expenses'!$AE$5:$AE$2005,'Operating Expenses'!$E$5:$E$2005,$A147,'Operating Expenses'!$A$5:$A$2005,"&lt;="&amp;ReportTo)+SUMIFS('Payroll'!$AA$5:$AA$2005,'Payroll'!$C$5:$C$2005,$A147,'Payroll'!$A$5:$A$2005,"&lt;="&amp;ReportTo)+SUMIFS('Receipt Vouchers'!$AA$5:$AA$2005,'Receipt Vouchers'!$E$5:$E$2005,$A147,'Receipt Vouchers'!$A$5:$A$2005,"&lt;="&amp;ReportTo)+SUMIFS('Sales Invoices'!$AB$5:$AB$2005,'Sales Invoices'!$H$5:$H$2005,$A147,'Sales Invoices'!$B$5:$B$2005,"&lt;="&amp;ReportTo)+SUMIFS('Payment Vouchers'!$R$5:$R$2005,'Payment Vouchers'!$B$5:$B$2005,$A147,'Payment Vouchers'!$A$5:$A$2005,"&lt;="&amp;ReportTo)+SUMIFS('Partner Transactions'!$T$5:$T$2005,'Partner Transactions'!$B$5:$B$2005,$A147,'Partner Transactions'!$A$5:$A$2005,"&lt;="&amp;ReportTo)+SUMIFS('Stock Moves'!$AP$5:$AP$2005,'Stock Moves'!$J$5:$J$2005,$A147,'Stock Moves'!$A$5:$A$2005,"&lt;="&amp;ReportTo)+SUMIFS('Journal Vouchers'!$R$5:$R$2005,'Journal Vouchers'!$E$5:$E$2005,$A147,'Journal Vouchers'!$B$5:$B$2005,"&lt;="&amp;ReportTo))</f>
        <v/>
      </c>
      <c r="C147" s="26">
        <f>IF(A147="",0,SUMIFS('Direct Costs'!$AK$5:$AK$2005,'Direct Costs'!$E$5:$E$2005,$A147,'Direct Costs'!$A$5:$A$2005,"&lt;="&amp;ReportTo)+SUMIFS('Operating Expenses'!$AF$5:$AF$2005,'Operating Expenses'!$E$5:$E$2005,$A147,'Operating Expenses'!$A$5:$A$2005,"&lt;="&amp;ReportTo)+SUMIFS('Payroll'!$AB$5:$AB$2005,'Payroll'!$C$5:$C$2005,$A147,'Payroll'!$A$5:$A$2005,"&lt;="&amp;ReportTo)+SUMIFS('Receipt Vouchers'!$AB$5:$AB$2005,'Receipt Vouchers'!$E$5:$E$2005,$A147,'Receipt Vouchers'!$A$5:$A$2005,"&lt;="&amp;ReportTo)+SUMIFS('Sales Invoices'!$AC$5:$AC$2005,'Sales Invoices'!$H$5:$H$2005,$A147,'Sales Invoices'!$B$5:$B$2005,"&lt;="&amp;ReportTo)+SUMIFS('Payment Vouchers'!$S$5:$S$2005,'Payment Vouchers'!$B$5:$B$2005,$A147,'Payment Vouchers'!$A$5:$A$2005,"&lt;="&amp;ReportTo)+SUMIFS('Partner Transactions'!$U$5:$U$2005,'Partner Transactions'!$B$5:$B$2005,$A147,'Partner Transactions'!$A$5:$A$2005,"&lt;="&amp;ReportTo)+SUMIFS('Stock Moves'!$AQ$5:$AQ$2005,'Stock Moves'!$J$5:$J$2005,$A147,'Stock Moves'!$A$5:$A$2005,"&lt;="&amp;ReportTo)+SUMIFS('Journal Vouchers'!$S$5:$S$2005,'Journal Vouchers'!$E$5:$E$2005,$A147,'Journal Vouchers'!$B$5:$B$2005,"&lt;="&amp;ReportTo))</f>
        <v/>
      </c>
      <c r="D147" s="26">
        <f>B147+C147</f>
        <v/>
      </c>
    </row>
    <row r="148">
      <c r="A148" s="25">
        <f>IF(Parties!A148="","",Parties!A148)</f>
        <v/>
      </c>
      <c r="B148" s="26">
        <f>IF(A148="",0,SUMIFS('Direct Costs'!$AJ$5:$AJ$2005,'Direct Costs'!$E$5:$E$2005,$A148,'Direct Costs'!$A$5:$A$2005,"&lt;="&amp;ReportTo)+SUMIFS('Operating Expenses'!$AE$5:$AE$2005,'Operating Expenses'!$E$5:$E$2005,$A148,'Operating Expenses'!$A$5:$A$2005,"&lt;="&amp;ReportTo)+SUMIFS('Payroll'!$AA$5:$AA$2005,'Payroll'!$C$5:$C$2005,$A148,'Payroll'!$A$5:$A$2005,"&lt;="&amp;ReportTo)+SUMIFS('Receipt Vouchers'!$AA$5:$AA$2005,'Receipt Vouchers'!$E$5:$E$2005,$A148,'Receipt Vouchers'!$A$5:$A$2005,"&lt;="&amp;ReportTo)+SUMIFS('Sales Invoices'!$AB$5:$AB$2005,'Sales Invoices'!$H$5:$H$2005,$A148,'Sales Invoices'!$B$5:$B$2005,"&lt;="&amp;ReportTo)+SUMIFS('Payment Vouchers'!$R$5:$R$2005,'Payment Vouchers'!$B$5:$B$2005,$A148,'Payment Vouchers'!$A$5:$A$2005,"&lt;="&amp;ReportTo)+SUMIFS('Partner Transactions'!$T$5:$T$2005,'Partner Transactions'!$B$5:$B$2005,$A148,'Partner Transactions'!$A$5:$A$2005,"&lt;="&amp;ReportTo)+SUMIFS('Stock Moves'!$AP$5:$AP$2005,'Stock Moves'!$J$5:$J$2005,$A148,'Stock Moves'!$A$5:$A$2005,"&lt;="&amp;ReportTo)+SUMIFS('Journal Vouchers'!$R$5:$R$2005,'Journal Vouchers'!$E$5:$E$2005,$A148,'Journal Vouchers'!$B$5:$B$2005,"&lt;="&amp;ReportTo))</f>
        <v/>
      </c>
      <c r="C148" s="26">
        <f>IF(A148="",0,SUMIFS('Direct Costs'!$AK$5:$AK$2005,'Direct Costs'!$E$5:$E$2005,$A148,'Direct Costs'!$A$5:$A$2005,"&lt;="&amp;ReportTo)+SUMIFS('Operating Expenses'!$AF$5:$AF$2005,'Operating Expenses'!$E$5:$E$2005,$A148,'Operating Expenses'!$A$5:$A$2005,"&lt;="&amp;ReportTo)+SUMIFS('Payroll'!$AB$5:$AB$2005,'Payroll'!$C$5:$C$2005,$A148,'Payroll'!$A$5:$A$2005,"&lt;="&amp;ReportTo)+SUMIFS('Receipt Vouchers'!$AB$5:$AB$2005,'Receipt Vouchers'!$E$5:$E$2005,$A148,'Receipt Vouchers'!$A$5:$A$2005,"&lt;="&amp;ReportTo)+SUMIFS('Sales Invoices'!$AC$5:$AC$2005,'Sales Invoices'!$H$5:$H$2005,$A148,'Sales Invoices'!$B$5:$B$2005,"&lt;="&amp;ReportTo)+SUMIFS('Payment Vouchers'!$S$5:$S$2005,'Payment Vouchers'!$B$5:$B$2005,$A148,'Payment Vouchers'!$A$5:$A$2005,"&lt;="&amp;ReportTo)+SUMIFS('Partner Transactions'!$U$5:$U$2005,'Partner Transactions'!$B$5:$B$2005,$A148,'Partner Transactions'!$A$5:$A$2005,"&lt;="&amp;ReportTo)+SUMIFS('Stock Moves'!$AQ$5:$AQ$2005,'Stock Moves'!$J$5:$J$2005,$A148,'Stock Moves'!$A$5:$A$2005,"&lt;="&amp;ReportTo)+SUMIFS('Journal Vouchers'!$S$5:$S$2005,'Journal Vouchers'!$E$5:$E$2005,$A148,'Journal Vouchers'!$B$5:$B$2005,"&lt;="&amp;ReportTo))</f>
        <v/>
      </c>
      <c r="D148" s="26">
        <f>B148+C148</f>
        <v/>
      </c>
    </row>
    <row r="149">
      <c r="A149" s="25">
        <f>IF(Parties!A149="","",Parties!A149)</f>
        <v/>
      </c>
      <c r="B149" s="26">
        <f>IF(A149="",0,SUMIFS('Direct Costs'!$AJ$5:$AJ$2005,'Direct Costs'!$E$5:$E$2005,$A149,'Direct Costs'!$A$5:$A$2005,"&lt;="&amp;ReportTo)+SUMIFS('Operating Expenses'!$AE$5:$AE$2005,'Operating Expenses'!$E$5:$E$2005,$A149,'Operating Expenses'!$A$5:$A$2005,"&lt;="&amp;ReportTo)+SUMIFS('Payroll'!$AA$5:$AA$2005,'Payroll'!$C$5:$C$2005,$A149,'Payroll'!$A$5:$A$2005,"&lt;="&amp;ReportTo)+SUMIFS('Receipt Vouchers'!$AA$5:$AA$2005,'Receipt Vouchers'!$E$5:$E$2005,$A149,'Receipt Vouchers'!$A$5:$A$2005,"&lt;="&amp;ReportTo)+SUMIFS('Sales Invoices'!$AB$5:$AB$2005,'Sales Invoices'!$H$5:$H$2005,$A149,'Sales Invoices'!$B$5:$B$2005,"&lt;="&amp;ReportTo)+SUMIFS('Payment Vouchers'!$R$5:$R$2005,'Payment Vouchers'!$B$5:$B$2005,$A149,'Payment Vouchers'!$A$5:$A$2005,"&lt;="&amp;ReportTo)+SUMIFS('Partner Transactions'!$T$5:$T$2005,'Partner Transactions'!$B$5:$B$2005,$A149,'Partner Transactions'!$A$5:$A$2005,"&lt;="&amp;ReportTo)+SUMIFS('Stock Moves'!$AP$5:$AP$2005,'Stock Moves'!$J$5:$J$2005,$A149,'Stock Moves'!$A$5:$A$2005,"&lt;="&amp;ReportTo)+SUMIFS('Journal Vouchers'!$R$5:$R$2005,'Journal Vouchers'!$E$5:$E$2005,$A149,'Journal Vouchers'!$B$5:$B$2005,"&lt;="&amp;ReportTo))</f>
        <v/>
      </c>
      <c r="C149" s="26">
        <f>IF(A149="",0,SUMIFS('Direct Costs'!$AK$5:$AK$2005,'Direct Costs'!$E$5:$E$2005,$A149,'Direct Costs'!$A$5:$A$2005,"&lt;="&amp;ReportTo)+SUMIFS('Operating Expenses'!$AF$5:$AF$2005,'Operating Expenses'!$E$5:$E$2005,$A149,'Operating Expenses'!$A$5:$A$2005,"&lt;="&amp;ReportTo)+SUMIFS('Payroll'!$AB$5:$AB$2005,'Payroll'!$C$5:$C$2005,$A149,'Payroll'!$A$5:$A$2005,"&lt;="&amp;ReportTo)+SUMIFS('Receipt Vouchers'!$AB$5:$AB$2005,'Receipt Vouchers'!$E$5:$E$2005,$A149,'Receipt Vouchers'!$A$5:$A$2005,"&lt;="&amp;ReportTo)+SUMIFS('Sales Invoices'!$AC$5:$AC$2005,'Sales Invoices'!$H$5:$H$2005,$A149,'Sales Invoices'!$B$5:$B$2005,"&lt;="&amp;ReportTo)+SUMIFS('Payment Vouchers'!$S$5:$S$2005,'Payment Vouchers'!$B$5:$B$2005,$A149,'Payment Vouchers'!$A$5:$A$2005,"&lt;="&amp;ReportTo)+SUMIFS('Partner Transactions'!$U$5:$U$2005,'Partner Transactions'!$B$5:$B$2005,$A149,'Partner Transactions'!$A$5:$A$2005,"&lt;="&amp;ReportTo)+SUMIFS('Stock Moves'!$AQ$5:$AQ$2005,'Stock Moves'!$J$5:$J$2005,$A149,'Stock Moves'!$A$5:$A$2005,"&lt;="&amp;ReportTo)+SUMIFS('Journal Vouchers'!$S$5:$S$2005,'Journal Vouchers'!$E$5:$E$2005,$A149,'Journal Vouchers'!$B$5:$B$2005,"&lt;="&amp;ReportTo))</f>
        <v/>
      </c>
      <c r="D149" s="26">
        <f>B149+C149</f>
        <v/>
      </c>
    </row>
    <row r="150">
      <c r="A150" s="25">
        <f>IF(Parties!A150="","",Parties!A150)</f>
        <v/>
      </c>
      <c r="B150" s="26">
        <f>IF(A150="",0,SUMIFS('Direct Costs'!$AJ$5:$AJ$2005,'Direct Costs'!$E$5:$E$2005,$A150,'Direct Costs'!$A$5:$A$2005,"&lt;="&amp;ReportTo)+SUMIFS('Operating Expenses'!$AE$5:$AE$2005,'Operating Expenses'!$E$5:$E$2005,$A150,'Operating Expenses'!$A$5:$A$2005,"&lt;="&amp;ReportTo)+SUMIFS('Payroll'!$AA$5:$AA$2005,'Payroll'!$C$5:$C$2005,$A150,'Payroll'!$A$5:$A$2005,"&lt;="&amp;ReportTo)+SUMIFS('Receipt Vouchers'!$AA$5:$AA$2005,'Receipt Vouchers'!$E$5:$E$2005,$A150,'Receipt Vouchers'!$A$5:$A$2005,"&lt;="&amp;ReportTo)+SUMIFS('Sales Invoices'!$AB$5:$AB$2005,'Sales Invoices'!$H$5:$H$2005,$A150,'Sales Invoices'!$B$5:$B$2005,"&lt;="&amp;ReportTo)+SUMIFS('Payment Vouchers'!$R$5:$R$2005,'Payment Vouchers'!$B$5:$B$2005,$A150,'Payment Vouchers'!$A$5:$A$2005,"&lt;="&amp;ReportTo)+SUMIFS('Partner Transactions'!$T$5:$T$2005,'Partner Transactions'!$B$5:$B$2005,$A150,'Partner Transactions'!$A$5:$A$2005,"&lt;="&amp;ReportTo)+SUMIFS('Stock Moves'!$AP$5:$AP$2005,'Stock Moves'!$J$5:$J$2005,$A150,'Stock Moves'!$A$5:$A$2005,"&lt;="&amp;ReportTo)+SUMIFS('Journal Vouchers'!$R$5:$R$2005,'Journal Vouchers'!$E$5:$E$2005,$A150,'Journal Vouchers'!$B$5:$B$2005,"&lt;="&amp;ReportTo))</f>
        <v/>
      </c>
      <c r="C150" s="26">
        <f>IF(A150="",0,SUMIFS('Direct Costs'!$AK$5:$AK$2005,'Direct Costs'!$E$5:$E$2005,$A150,'Direct Costs'!$A$5:$A$2005,"&lt;="&amp;ReportTo)+SUMIFS('Operating Expenses'!$AF$5:$AF$2005,'Operating Expenses'!$E$5:$E$2005,$A150,'Operating Expenses'!$A$5:$A$2005,"&lt;="&amp;ReportTo)+SUMIFS('Payroll'!$AB$5:$AB$2005,'Payroll'!$C$5:$C$2005,$A150,'Payroll'!$A$5:$A$2005,"&lt;="&amp;ReportTo)+SUMIFS('Receipt Vouchers'!$AB$5:$AB$2005,'Receipt Vouchers'!$E$5:$E$2005,$A150,'Receipt Vouchers'!$A$5:$A$2005,"&lt;="&amp;ReportTo)+SUMIFS('Sales Invoices'!$AC$5:$AC$2005,'Sales Invoices'!$H$5:$H$2005,$A150,'Sales Invoices'!$B$5:$B$2005,"&lt;="&amp;ReportTo)+SUMIFS('Payment Vouchers'!$S$5:$S$2005,'Payment Vouchers'!$B$5:$B$2005,$A150,'Payment Vouchers'!$A$5:$A$2005,"&lt;="&amp;ReportTo)+SUMIFS('Partner Transactions'!$U$5:$U$2005,'Partner Transactions'!$B$5:$B$2005,$A150,'Partner Transactions'!$A$5:$A$2005,"&lt;="&amp;ReportTo)+SUMIFS('Stock Moves'!$AQ$5:$AQ$2005,'Stock Moves'!$J$5:$J$2005,$A150,'Stock Moves'!$A$5:$A$2005,"&lt;="&amp;ReportTo)+SUMIFS('Journal Vouchers'!$S$5:$S$2005,'Journal Vouchers'!$E$5:$E$2005,$A150,'Journal Vouchers'!$B$5:$B$2005,"&lt;="&amp;ReportTo))</f>
        <v/>
      </c>
      <c r="D150" s="26">
        <f>B150+C150</f>
        <v/>
      </c>
    </row>
    <row r="151">
      <c r="A151" s="25">
        <f>IF(Parties!A151="","",Parties!A151)</f>
        <v/>
      </c>
      <c r="B151" s="26">
        <f>IF(A151="",0,SUMIFS('Direct Costs'!$AJ$5:$AJ$2005,'Direct Costs'!$E$5:$E$2005,$A151,'Direct Costs'!$A$5:$A$2005,"&lt;="&amp;ReportTo)+SUMIFS('Operating Expenses'!$AE$5:$AE$2005,'Operating Expenses'!$E$5:$E$2005,$A151,'Operating Expenses'!$A$5:$A$2005,"&lt;="&amp;ReportTo)+SUMIFS('Payroll'!$AA$5:$AA$2005,'Payroll'!$C$5:$C$2005,$A151,'Payroll'!$A$5:$A$2005,"&lt;="&amp;ReportTo)+SUMIFS('Receipt Vouchers'!$AA$5:$AA$2005,'Receipt Vouchers'!$E$5:$E$2005,$A151,'Receipt Vouchers'!$A$5:$A$2005,"&lt;="&amp;ReportTo)+SUMIFS('Sales Invoices'!$AB$5:$AB$2005,'Sales Invoices'!$H$5:$H$2005,$A151,'Sales Invoices'!$B$5:$B$2005,"&lt;="&amp;ReportTo)+SUMIFS('Payment Vouchers'!$R$5:$R$2005,'Payment Vouchers'!$B$5:$B$2005,$A151,'Payment Vouchers'!$A$5:$A$2005,"&lt;="&amp;ReportTo)+SUMIFS('Partner Transactions'!$T$5:$T$2005,'Partner Transactions'!$B$5:$B$2005,$A151,'Partner Transactions'!$A$5:$A$2005,"&lt;="&amp;ReportTo)+SUMIFS('Stock Moves'!$AP$5:$AP$2005,'Stock Moves'!$J$5:$J$2005,$A151,'Stock Moves'!$A$5:$A$2005,"&lt;="&amp;ReportTo)+SUMIFS('Journal Vouchers'!$R$5:$R$2005,'Journal Vouchers'!$E$5:$E$2005,$A151,'Journal Vouchers'!$B$5:$B$2005,"&lt;="&amp;ReportTo))</f>
        <v/>
      </c>
      <c r="C151" s="26">
        <f>IF(A151="",0,SUMIFS('Direct Costs'!$AK$5:$AK$2005,'Direct Costs'!$E$5:$E$2005,$A151,'Direct Costs'!$A$5:$A$2005,"&lt;="&amp;ReportTo)+SUMIFS('Operating Expenses'!$AF$5:$AF$2005,'Operating Expenses'!$E$5:$E$2005,$A151,'Operating Expenses'!$A$5:$A$2005,"&lt;="&amp;ReportTo)+SUMIFS('Payroll'!$AB$5:$AB$2005,'Payroll'!$C$5:$C$2005,$A151,'Payroll'!$A$5:$A$2005,"&lt;="&amp;ReportTo)+SUMIFS('Receipt Vouchers'!$AB$5:$AB$2005,'Receipt Vouchers'!$E$5:$E$2005,$A151,'Receipt Vouchers'!$A$5:$A$2005,"&lt;="&amp;ReportTo)+SUMIFS('Sales Invoices'!$AC$5:$AC$2005,'Sales Invoices'!$H$5:$H$2005,$A151,'Sales Invoices'!$B$5:$B$2005,"&lt;="&amp;ReportTo)+SUMIFS('Payment Vouchers'!$S$5:$S$2005,'Payment Vouchers'!$B$5:$B$2005,$A151,'Payment Vouchers'!$A$5:$A$2005,"&lt;="&amp;ReportTo)+SUMIFS('Partner Transactions'!$U$5:$U$2005,'Partner Transactions'!$B$5:$B$2005,$A151,'Partner Transactions'!$A$5:$A$2005,"&lt;="&amp;ReportTo)+SUMIFS('Stock Moves'!$AQ$5:$AQ$2005,'Stock Moves'!$J$5:$J$2005,$A151,'Stock Moves'!$A$5:$A$2005,"&lt;="&amp;ReportTo)+SUMIFS('Journal Vouchers'!$S$5:$S$2005,'Journal Vouchers'!$E$5:$E$2005,$A151,'Journal Vouchers'!$B$5:$B$2005,"&lt;="&amp;ReportTo))</f>
        <v/>
      </c>
      <c r="D151" s="26">
        <f>B151+C151</f>
        <v/>
      </c>
    </row>
    <row r="152">
      <c r="A152" s="25">
        <f>IF(Parties!A152="","",Parties!A152)</f>
        <v/>
      </c>
      <c r="B152" s="26">
        <f>IF(A152="",0,SUMIFS('Direct Costs'!$AJ$5:$AJ$2005,'Direct Costs'!$E$5:$E$2005,$A152,'Direct Costs'!$A$5:$A$2005,"&lt;="&amp;ReportTo)+SUMIFS('Operating Expenses'!$AE$5:$AE$2005,'Operating Expenses'!$E$5:$E$2005,$A152,'Operating Expenses'!$A$5:$A$2005,"&lt;="&amp;ReportTo)+SUMIFS('Payroll'!$AA$5:$AA$2005,'Payroll'!$C$5:$C$2005,$A152,'Payroll'!$A$5:$A$2005,"&lt;="&amp;ReportTo)+SUMIFS('Receipt Vouchers'!$AA$5:$AA$2005,'Receipt Vouchers'!$E$5:$E$2005,$A152,'Receipt Vouchers'!$A$5:$A$2005,"&lt;="&amp;ReportTo)+SUMIFS('Sales Invoices'!$AB$5:$AB$2005,'Sales Invoices'!$H$5:$H$2005,$A152,'Sales Invoices'!$B$5:$B$2005,"&lt;="&amp;ReportTo)+SUMIFS('Payment Vouchers'!$R$5:$R$2005,'Payment Vouchers'!$B$5:$B$2005,$A152,'Payment Vouchers'!$A$5:$A$2005,"&lt;="&amp;ReportTo)+SUMIFS('Partner Transactions'!$T$5:$T$2005,'Partner Transactions'!$B$5:$B$2005,$A152,'Partner Transactions'!$A$5:$A$2005,"&lt;="&amp;ReportTo)+SUMIFS('Stock Moves'!$AP$5:$AP$2005,'Stock Moves'!$J$5:$J$2005,$A152,'Stock Moves'!$A$5:$A$2005,"&lt;="&amp;ReportTo)+SUMIFS('Journal Vouchers'!$R$5:$R$2005,'Journal Vouchers'!$E$5:$E$2005,$A152,'Journal Vouchers'!$B$5:$B$2005,"&lt;="&amp;ReportTo))</f>
        <v/>
      </c>
      <c r="C152" s="26">
        <f>IF(A152="",0,SUMIFS('Direct Costs'!$AK$5:$AK$2005,'Direct Costs'!$E$5:$E$2005,$A152,'Direct Costs'!$A$5:$A$2005,"&lt;="&amp;ReportTo)+SUMIFS('Operating Expenses'!$AF$5:$AF$2005,'Operating Expenses'!$E$5:$E$2005,$A152,'Operating Expenses'!$A$5:$A$2005,"&lt;="&amp;ReportTo)+SUMIFS('Payroll'!$AB$5:$AB$2005,'Payroll'!$C$5:$C$2005,$A152,'Payroll'!$A$5:$A$2005,"&lt;="&amp;ReportTo)+SUMIFS('Receipt Vouchers'!$AB$5:$AB$2005,'Receipt Vouchers'!$E$5:$E$2005,$A152,'Receipt Vouchers'!$A$5:$A$2005,"&lt;="&amp;ReportTo)+SUMIFS('Sales Invoices'!$AC$5:$AC$2005,'Sales Invoices'!$H$5:$H$2005,$A152,'Sales Invoices'!$B$5:$B$2005,"&lt;="&amp;ReportTo)+SUMIFS('Payment Vouchers'!$S$5:$S$2005,'Payment Vouchers'!$B$5:$B$2005,$A152,'Payment Vouchers'!$A$5:$A$2005,"&lt;="&amp;ReportTo)+SUMIFS('Partner Transactions'!$U$5:$U$2005,'Partner Transactions'!$B$5:$B$2005,$A152,'Partner Transactions'!$A$5:$A$2005,"&lt;="&amp;ReportTo)+SUMIFS('Stock Moves'!$AQ$5:$AQ$2005,'Stock Moves'!$J$5:$J$2005,$A152,'Stock Moves'!$A$5:$A$2005,"&lt;="&amp;ReportTo)+SUMIFS('Journal Vouchers'!$S$5:$S$2005,'Journal Vouchers'!$E$5:$E$2005,$A152,'Journal Vouchers'!$B$5:$B$2005,"&lt;="&amp;ReportTo))</f>
        <v/>
      </c>
      <c r="D152" s="26">
        <f>B152+C152</f>
        <v/>
      </c>
    </row>
    <row r="153">
      <c r="A153" s="25">
        <f>IF(Parties!A153="","",Parties!A153)</f>
        <v/>
      </c>
      <c r="B153" s="26">
        <f>IF(A153="",0,SUMIFS('Direct Costs'!$AJ$5:$AJ$2005,'Direct Costs'!$E$5:$E$2005,$A153,'Direct Costs'!$A$5:$A$2005,"&lt;="&amp;ReportTo)+SUMIFS('Operating Expenses'!$AE$5:$AE$2005,'Operating Expenses'!$E$5:$E$2005,$A153,'Operating Expenses'!$A$5:$A$2005,"&lt;="&amp;ReportTo)+SUMIFS('Payroll'!$AA$5:$AA$2005,'Payroll'!$C$5:$C$2005,$A153,'Payroll'!$A$5:$A$2005,"&lt;="&amp;ReportTo)+SUMIFS('Receipt Vouchers'!$AA$5:$AA$2005,'Receipt Vouchers'!$E$5:$E$2005,$A153,'Receipt Vouchers'!$A$5:$A$2005,"&lt;="&amp;ReportTo)+SUMIFS('Sales Invoices'!$AB$5:$AB$2005,'Sales Invoices'!$H$5:$H$2005,$A153,'Sales Invoices'!$B$5:$B$2005,"&lt;="&amp;ReportTo)+SUMIFS('Payment Vouchers'!$R$5:$R$2005,'Payment Vouchers'!$B$5:$B$2005,$A153,'Payment Vouchers'!$A$5:$A$2005,"&lt;="&amp;ReportTo)+SUMIFS('Partner Transactions'!$T$5:$T$2005,'Partner Transactions'!$B$5:$B$2005,$A153,'Partner Transactions'!$A$5:$A$2005,"&lt;="&amp;ReportTo)+SUMIFS('Stock Moves'!$AP$5:$AP$2005,'Stock Moves'!$J$5:$J$2005,$A153,'Stock Moves'!$A$5:$A$2005,"&lt;="&amp;ReportTo)+SUMIFS('Journal Vouchers'!$R$5:$R$2005,'Journal Vouchers'!$E$5:$E$2005,$A153,'Journal Vouchers'!$B$5:$B$2005,"&lt;="&amp;ReportTo))</f>
        <v/>
      </c>
      <c r="C153" s="26">
        <f>IF(A153="",0,SUMIFS('Direct Costs'!$AK$5:$AK$2005,'Direct Costs'!$E$5:$E$2005,$A153,'Direct Costs'!$A$5:$A$2005,"&lt;="&amp;ReportTo)+SUMIFS('Operating Expenses'!$AF$5:$AF$2005,'Operating Expenses'!$E$5:$E$2005,$A153,'Operating Expenses'!$A$5:$A$2005,"&lt;="&amp;ReportTo)+SUMIFS('Payroll'!$AB$5:$AB$2005,'Payroll'!$C$5:$C$2005,$A153,'Payroll'!$A$5:$A$2005,"&lt;="&amp;ReportTo)+SUMIFS('Receipt Vouchers'!$AB$5:$AB$2005,'Receipt Vouchers'!$E$5:$E$2005,$A153,'Receipt Vouchers'!$A$5:$A$2005,"&lt;="&amp;ReportTo)+SUMIFS('Sales Invoices'!$AC$5:$AC$2005,'Sales Invoices'!$H$5:$H$2005,$A153,'Sales Invoices'!$B$5:$B$2005,"&lt;="&amp;ReportTo)+SUMIFS('Payment Vouchers'!$S$5:$S$2005,'Payment Vouchers'!$B$5:$B$2005,$A153,'Payment Vouchers'!$A$5:$A$2005,"&lt;="&amp;ReportTo)+SUMIFS('Partner Transactions'!$U$5:$U$2005,'Partner Transactions'!$B$5:$B$2005,$A153,'Partner Transactions'!$A$5:$A$2005,"&lt;="&amp;ReportTo)+SUMIFS('Stock Moves'!$AQ$5:$AQ$2005,'Stock Moves'!$J$5:$J$2005,$A153,'Stock Moves'!$A$5:$A$2005,"&lt;="&amp;ReportTo)+SUMIFS('Journal Vouchers'!$S$5:$S$2005,'Journal Vouchers'!$E$5:$E$2005,$A153,'Journal Vouchers'!$B$5:$B$2005,"&lt;="&amp;ReportTo))</f>
        <v/>
      </c>
      <c r="D153" s="26">
        <f>B153+C153</f>
        <v/>
      </c>
    </row>
    <row r="154">
      <c r="A154" s="25">
        <f>IF(Parties!A154="","",Parties!A154)</f>
        <v/>
      </c>
      <c r="B154" s="26">
        <f>IF(A154="",0,SUMIFS('Direct Costs'!$AJ$5:$AJ$2005,'Direct Costs'!$E$5:$E$2005,$A154,'Direct Costs'!$A$5:$A$2005,"&lt;="&amp;ReportTo)+SUMIFS('Operating Expenses'!$AE$5:$AE$2005,'Operating Expenses'!$E$5:$E$2005,$A154,'Operating Expenses'!$A$5:$A$2005,"&lt;="&amp;ReportTo)+SUMIFS('Payroll'!$AA$5:$AA$2005,'Payroll'!$C$5:$C$2005,$A154,'Payroll'!$A$5:$A$2005,"&lt;="&amp;ReportTo)+SUMIFS('Receipt Vouchers'!$AA$5:$AA$2005,'Receipt Vouchers'!$E$5:$E$2005,$A154,'Receipt Vouchers'!$A$5:$A$2005,"&lt;="&amp;ReportTo)+SUMIFS('Sales Invoices'!$AB$5:$AB$2005,'Sales Invoices'!$H$5:$H$2005,$A154,'Sales Invoices'!$B$5:$B$2005,"&lt;="&amp;ReportTo)+SUMIFS('Payment Vouchers'!$R$5:$R$2005,'Payment Vouchers'!$B$5:$B$2005,$A154,'Payment Vouchers'!$A$5:$A$2005,"&lt;="&amp;ReportTo)+SUMIFS('Partner Transactions'!$T$5:$T$2005,'Partner Transactions'!$B$5:$B$2005,$A154,'Partner Transactions'!$A$5:$A$2005,"&lt;="&amp;ReportTo)+SUMIFS('Stock Moves'!$AP$5:$AP$2005,'Stock Moves'!$J$5:$J$2005,$A154,'Stock Moves'!$A$5:$A$2005,"&lt;="&amp;ReportTo)+SUMIFS('Journal Vouchers'!$R$5:$R$2005,'Journal Vouchers'!$E$5:$E$2005,$A154,'Journal Vouchers'!$B$5:$B$2005,"&lt;="&amp;ReportTo))</f>
        <v/>
      </c>
      <c r="C154" s="26">
        <f>IF(A154="",0,SUMIFS('Direct Costs'!$AK$5:$AK$2005,'Direct Costs'!$E$5:$E$2005,$A154,'Direct Costs'!$A$5:$A$2005,"&lt;="&amp;ReportTo)+SUMIFS('Operating Expenses'!$AF$5:$AF$2005,'Operating Expenses'!$E$5:$E$2005,$A154,'Operating Expenses'!$A$5:$A$2005,"&lt;="&amp;ReportTo)+SUMIFS('Payroll'!$AB$5:$AB$2005,'Payroll'!$C$5:$C$2005,$A154,'Payroll'!$A$5:$A$2005,"&lt;="&amp;ReportTo)+SUMIFS('Receipt Vouchers'!$AB$5:$AB$2005,'Receipt Vouchers'!$E$5:$E$2005,$A154,'Receipt Vouchers'!$A$5:$A$2005,"&lt;="&amp;ReportTo)+SUMIFS('Sales Invoices'!$AC$5:$AC$2005,'Sales Invoices'!$H$5:$H$2005,$A154,'Sales Invoices'!$B$5:$B$2005,"&lt;="&amp;ReportTo)+SUMIFS('Payment Vouchers'!$S$5:$S$2005,'Payment Vouchers'!$B$5:$B$2005,$A154,'Payment Vouchers'!$A$5:$A$2005,"&lt;="&amp;ReportTo)+SUMIFS('Partner Transactions'!$U$5:$U$2005,'Partner Transactions'!$B$5:$B$2005,$A154,'Partner Transactions'!$A$5:$A$2005,"&lt;="&amp;ReportTo)+SUMIFS('Stock Moves'!$AQ$5:$AQ$2005,'Stock Moves'!$J$5:$J$2005,$A154,'Stock Moves'!$A$5:$A$2005,"&lt;="&amp;ReportTo)+SUMIFS('Journal Vouchers'!$S$5:$S$2005,'Journal Vouchers'!$E$5:$E$2005,$A154,'Journal Vouchers'!$B$5:$B$2005,"&lt;="&amp;ReportTo))</f>
        <v/>
      </c>
      <c r="D154" s="26">
        <f>B154+C154</f>
        <v/>
      </c>
    </row>
    <row r="155">
      <c r="A155" s="25">
        <f>IF(Parties!A155="","",Parties!A155)</f>
        <v/>
      </c>
      <c r="B155" s="26">
        <f>IF(A155="",0,SUMIFS('Direct Costs'!$AJ$5:$AJ$2005,'Direct Costs'!$E$5:$E$2005,$A155,'Direct Costs'!$A$5:$A$2005,"&lt;="&amp;ReportTo)+SUMIFS('Operating Expenses'!$AE$5:$AE$2005,'Operating Expenses'!$E$5:$E$2005,$A155,'Operating Expenses'!$A$5:$A$2005,"&lt;="&amp;ReportTo)+SUMIFS('Payroll'!$AA$5:$AA$2005,'Payroll'!$C$5:$C$2005,$A155,'Payroll'!$A$5:$A$2005,"&lt;="&amp;ReportTo)+SUMIFS('Receipt Vouchers'!$AA$5:$AA$2005,'Receipt Vouchers'!$E$5:$E$2005,$A155,'Receipt Vouchers'!$A$5:$A$2005,"&lt;="&amp;ReportTo)+SUMIFS('Sales Invoices'!$AB$5:$AB$2005,'Sales Invoices'!$H$5:$H$2005,$A155,'Sales Invoices'!$B$5:$B$2005,"&lt;="&amp;ReportTo)+SUMIFS('Payment Vouchers'!$R$5:$R$2005,'Payment Vouchers'!$B$5:$B$2005,$A155,'Payment Vouchers'!$A$5:$A$2005,"&lt;="&amp;ReportTo)+SUMIFS('Partner Transactions'!$T$5:$T$2005,'Partner Transactions'!$B$5:$B$2005,$A155,'Partner Transactions'!$A$5:$A$2005,"&lt;="&amp;ReportTo)+SUMIFS('Stock Moves'!$AP$5:$AP$2005,'Stock Moves'!$J$5:$J$2005,$A155,'Stock Moves'!$A$5:$A$2005,"&lt;="&amp;ReportTo)+SUMIFS('Journal Vouchers'!$R$5:$R$2005,'Journal Vouchers'!$E$5:$E$2005,$A155,'Journal Vouchers'!$B$5:$B$2005,"&lt;="&amp;ReportTo))</f>
        <v/>
      </c>
      <c r="C155" s="26">
        <f>IF(A155="",0,SUMIFS('Direct Costs'!$AK$5:$AK$2005,'Direct Costs'!$E$5:$E$2005,$A155,'Direct Costs'!$A$5:$A$2005,"&lt;="&amp;ReportTo)+SUMIFS('Operating Expenses'!$AF$5:$AF$2005,'Operating Expenses'!$E$5:$E$2005,$A155,'Operating Expenses'!$A$5:$A$2005,"&lt;="&amp;ReportTo)+SUMIFS('Payroll'!$AB$5:$AB$2005,'Payroll'!$C$5:$C$2005,$A155,'Payroll'!$A$5:$A$2005,"&lt;="&amp;ReportTo)+SUMIFS('Receipt Vouchers'!$AB$5:$AB$2005,'Receipt Vouchers'!$E$5:$E$2005,$A155,'Receipt Vouchers'!$A$5:$A$2005,"&lt;="&amp;ReportTo)+SUMIFS('Sales Invoices'!$AC$5:$AC$2005,'Sales Invoices'!$H$5:$H$2005,$A155,'Sales Invoices'!$B$5:$B$2005,"&lt;="&amp;ReportTo)+SUMIFS('Payment Vouchers'!$S$5:$S$2005,'Payment Vouchers'!$B$5:$B$2005,$A155,'Payment Vouchers'!$A$5:$A$2005,"&lt;="&amp;ReportTo)+SUMIFS('Partner Transactions'!$U$5:$U$2005,'Partner Transactions'!$B$5:$B$2005,$A155,'Partner Transactions'!$A$5:$A$2005,"&lt;="&amp;ReportTo)+SUMIFS('Stock Moves'!$AQ$5:$AQ$2005,'Stock Moves'!$J$5:$J$2005,$A155,'Stock Moves'!$A$5:$A$2005,"&lt;="&amp;ReportTo)+SUMIFS('Journal Vouchers'!$S$5:$S$2005,'Journal Vouchers'!$E$5:$E$2005,$A155,'Journal Vouchers'!$B$5:$B$2005,"&lt;="&amp;ReportTo))</f>
        <v/>
      </c>
      <c r="D155" s="26">
        <f>B155+C155</f>
        <v/>
      </c>
    </row>
    <row r="156">
      <c r="A156" s="25">
        <f>IF(Parties!A156="","",Parties!A156)</f>
        <v/>
      </c>
      <c r="B156" s="26">
        <f>IF(A156="",0,SUMIFS('Direct Costs'!$AJ$5:$AJ$2005,'Direct Costs'!$E$5:$E$2005,$A156,'Direct Costs'!$A$5:$A$2005,"&lt;="&amp;ReportTo)+SUMIFS('Operating Expenses'!$AE$5:$AE$2005,'Operating Expenses'!$E$5:$E$2005,$A156,'Operating Expenses'!$A$5:$A$2005,"&lt;="&amp;ReportTo)+SUMIFS('Payroll'!$AA$5:$AA$2005,'Payroll'!$C$5:$C$2005,$A156,'Payroll'!$A$5:$A$2005,"&lt;="&amp;ReportTo)+SUMIFS('Receipt Vouchers'!$AA$5:$AA$2005,'Receipt Vouchers'!$E$5:$E$2005,$A156,'Receipt Vouchers'!$A$5:$A$2005,"&lt;="&amp;ReportTo)+SUMIFS('Sales Invoices'!$AB$5:$AB$2005,'Sales Invoices'!$H$5:$H$2005,$A156,'Sales Invoices'!$B$5:$B$2005,"&lt;="&amp;ReportTo)+SUMIFS('Payment Vouchers'!$R$5:$R$2005,'Payment Vouchers'!$B$5:$B$2005,$A156,'Payment Vouchers'!$A$5:$A$2005,"&lt;="&amp;ReportTo)+SUMIFS('Partner Transactions'!$T$5:$T$2005,'Partner Transactions'!$B$5:$B$2005,$A156,'Partner Transactions'!$A$5:$A$2005,"&lt;="&amp;ReportTo)+SUMIFS('Stock Moves'!$AP$5:$AP$2005,'Stock Moves'!$J$5:$J$2005,$A156,'Stock Moves'!$A$5:$A$2005,"&lt;="&amp;ReportTo)+SUMIFS('Journal Vouchers'!$R$5:$R$2005,'Journal Vouchers'!$E$5:$E$2005,$A156,'Journal Vouchers'!$B$5:$B$2005,"&lt;="&amp;ReportTo))</f>
        <v/>
      </c>
      <c r="C156" s="26">
        <f>IF(A156="",0,SUMIFS('Direct Costs'!$AK$5:$AK$2005,'Direct Costs'!$E$5:$E$2005,$A156,'Direct Costs'!$A$5:$A$2005,"&lt;="&amp;ReportTo)+SUMIFS('Operating Expenses'!$AF$5:$AF$2005,'Operating Expenses'!$E$5:$E$2005,$A156,'Operating Expenses'!$A$5:$A$2005,"&lt;="&amp;ReportTo)+SUMIFS('Payroll'!$AB$5:$AB$2005,'Payroll'!$C$5:$C$2005,$A156,'Payroll'!$A$5:$A$2005,"&lt;="&amp;ReportTo)+SUMIFS('Receipt Vouchers'!$AB$5:$AB$2005,'Receipt Vouchers'!$E$5:$E$2005,$A156,'Receipt Vouchers'!$A$5:$A$2005,"&lt;="&amp;ReportTo)+SUMIFS('Sales Invoices'!$AC$5:$AC$2005,'Sales Invoices'!$H$5:$H$2005,$A156,'Sales Invoices'!$B$5:$B$2005,"&lt;="&amp;ReportTo)+SUMIFS('Payment Vouchers'!$S$5:$S$2005,'Payment Vouchers'!$B$5:$B$2005,$A156,'Payment Vouchers'!$A$5:$A$2005,"&lt;="&amp;ReportTo)+SUMIFS('Partner Transactions'!$U$5:$U$2005,'Partner Transactions'!$B$5:$B$2005,$A156,'Partner Transactions'!$A$5:$A$2005,"&lt;="&amp;ReportTo)+SUMIFS('Stock Moves'!$AQ$5:$AQ$2005,'Stock Moves'!$J$5:$J$2005,$A156,'Stock Moves'!$A$5:$A$2005,"&lt;="&amp;ReportTo)+SUMIFS('Journal Vouchers'!$S$5:$S$2005,'Journal Vouchers'!$E$5:$E$2005,$A156,'Journal Vouchers'!$B$5:$B$2005,"&lt;="&amp;ReportTo))</f>
        <v/>
      </c>
      <c r="D156" s="26">
        <f>B156+C156</f>
        <v/>
      </c>
    </row>
    <row r="157">
      <c r="A157" s="25">
        <f>IF(Parties!A157="","",Parties!A157)</f>
        <v/>
      </c>
      <c r="B157" s="26">
        <f>IF(A157="",0,SUMIFS('Direct Costs'!$AJ$5:$AJ$2005,'Direct Costs'!$E$5:$E$2005,$A157,'Direct Costs'!$A$5:$A$2005,"&lt;="&amp;ReportTo)+SUMIFS('Operating Expenses'!$AE$5:$AE$2005,'Operating Expenses'!$E$5:$E$2005,$A157,'Operating Expenses'!$A$5:$A$2005,"&lt;="&amp;ReportTo)+SUMIFS('Payroll'!$AA$5:$AA$2005,'Payroll'!$C$5:$C$2005,$A157,'Payroll'!$A$5:$A$2005,"&lt;="&amp;ReportTo)+SUMIFS('Receipt Vouchers'!$AA$5:$AA$2005,'Receipt Vouchers'!$E$5:$E$2005,$A157,'Receipt Vouchers'!$A$5:$A$2005,"&lt;="&amp;ReportTo)+SUMIFS('Sales Invoices'!$AB$5:$AB$2005,'Sales Invoices'!$H$5:$H$2005,$A157,'Sales Invoices'!$B$5:$B$2005,"&lt;="&amp;ReportTo)+SUMIFS('Payment Vouchers'!$R$5:$R$2005,'Payment Vouchers'!$B$5:$B$2005,$A157,'Payment Vouchers'!$A$5:$A$2005,"&lt;="&amp;ReportTo)+SUMIFS('Partner Transactions'!$T$5:$T$2005,'Partner Transactions'!$B$5:$B$2005,$A157,'Partner Transactions'!$A$5:$A$2005,"&lt;="&amp;ReportTo)+SUMIFS('Stock Moves'!$AP$5:$AP$2005,'Stock Moves'!$J$5:$J$2005,$A157,'Stock Moves'!$A$5:$A$2005,"&lt;="&amp;ReportTo)+SUMIFS('Journal Vouchers'!$R$5:$R$2005,'Journal Vouchers'!$E$5:$E$2005,$A157,'Journal Vouchers'!$B$5:$B$2005,"&lt;="&amp;ReportTo))</f>
        <v/>
      </c>
      <c r="C157" s="26">
        <f>IF(A157="",0,SUMIFS('Direct Costs'!$AK$5:$AK$2005,'Direct Costs'!$E$5:$E$2005,$A157,'Direct Costs'!$A$5:$A$2005,"&lt;="&amp;ReportTo)+SUMIFS('Operating Expenses'!$AF$5:$AF$2005,'Operating Expenses'!$E$5:$E$2005,$A157,'Operating Expenses'!$A$5:$A$2005,"&lt;="&amp;ReportTo)+SUMIFS('Payroll'!$AB$5:$AB$2005,'Payroll'!$C$5:$C$2005,$A157,'Payroll'!$A$5:$A$2005,"&lt;="&amp;ReportTo)+SUMIFS('Receipt Vouchers'!$AB$5:$AB$2005,'Receipt Vouchers'!$E$5:$E$2005,$A157,'Receipt Vouchers'!$A$5:$A$2005,"&lt;="&amp;ReportTo)+SUMIFS('Sales Invoices'!$AC$5:$AC$2005,'Sales Invoices'!$H$5:$H$2005,$A157,'Sales Invoices'!$B$5:$B$2005,"&lt;="&amp;ReportTo)+SUMIFS('Payment Vouchers'!$S$5:$S$2005,'Payment Vouchers'!$B$5:$B$2005,$A157,'Payment Vouchers'!$A$5:$A$2005,"&lt;="&amp;ReportTo)+SUMIFS('Partner Transactions'!$U$5:$U$2005,'Partner Transactions'!$B$5:$B$2005,$A157,'Partner Transactions'!$A$5:$A$2005,"&lt;="&amp;ReportTo)+SUMIFS('Stock Moves'!$AQ$5:$AQ$2005,'Stock Moves'!$J$5:$J$2005,$A157,'Stock Moves'!$A$5:$A$2005,"&lt;="&amp;ReportTo)+SUMIFS('Journal Vouchers'!$S$5:$S$2005,'Journal Vouchers'!$E$5:$E$2005,$A157,'Journal Vouchers'!$B$5:$B$2005,"&lt;="&amp;ReportTo))</f>
        <v/>
      </c>
      <c r="D157" s="26">
        <f>B157+C157</f>
        <v/>
      </c>
    </row>
    <row r="158">
      <c r="A158" s="25">
        <f>IF(Parties!A158="","",Parties!A158)</f>
        <v/>
      </c>
      <c r="B158" s="26">
        <f>IF(A158="",0,SUMIFS('Direct Costs'!$AJ$5:$AJ$2005,'Direct Costs'!$E$5:$E$2005,$A158,'Direct Costs'!$A$5:$A$2005,"&lt;="&amp;ReportTo)+SUMIFS('Operating Expenses'!$AE$5:$AE$2005,'Operating Expenses'!$E$5:$E$2005,$A158,'Operating Expenses'!$A$5:$A$2005,"&lt;="&amp;ReportTo)+SUMIFS('Payroll'!$AA$5:$AA$2005,'Payroll'!$C$5:$C$2005,$A158,'Payroll'!$A$5:$A$2005,"&lt;="&amp;ReportTo)+SUMIFS('Receipt Vouchers'!$AA$5:$AA$2005,'Receipt Vouchers'!$E$5:$E$2005,$A158,'Receipt Vouchers'!$A$5:$A$2005,"&lt;="&amp;ReportTo)+SUMIFS('Sales Invoices'!$AB$5:$AB$2005,'Sales Invoices'!$H$5:$H$2005,$A158,'Sales Invoices'!$B$5:$B$2005,"&lt;="&amp;ReportTo)+SUMIFS('Payment Vouchers'!$R$5:$R$2005,'Payment Vouchers'!$B$5:$B$2005,$A158,'Payment Vouchers'!$A$5:$A$2005,"&lt;="&amp;ReportTo)+SUMIFS('Partner Transactions'!$T$5:$T$2005,'Partner Transactions'!$B$5:$B$2005,$A158,'Partner Transactions'!$A$5:$A$2005,"&lt;="&amp;ReportTo)+SUMIFS('Stock Moves'!$AP$5:$AP$2005,'Stock Moves'!$J$5:$J$2005,$A158,'Stock Moves'!$A$5:$A$2005,"&lt;="&amp;ReportTo)+SUMIFS('Journal Vouchers'!$R$5:$R$2005,'Journal Vouchers'!$E$5:$E$2005,$A158,'Journal Vouchers'!$B$5:$B$2005,"&lt;="&amp;ReportTo))</f>
        <v/>
      </c>
      <c r="C158" s="26">
        <f>IF(A158="",0,SUMIFS('Direct Costs'!$AK$5:$AK$2005,'Direct Costs'!$E$5:$E$2005,$A158,'Direct Costs'!$A$5:$A$2005,"&lt;="&amp;ReportTo)+SUMIFS('Operating Expenses'!$AF$5:$AF$2005,'Operating Expenses'!$E$5:$E$2005,$A158,'Operating Expenses'!$A$5:$A$2005,"&lt;="&amp;ReportTo)+SUMIFS('Payroll'!$AB$5:$AB$2005,'Payroll'!$C$5:$C$2005,$A158,'Payroll'!$A$5:$A$2005,"&lt;="&amp;ReportTo)+SUMIFS('Receipt Vouchers'!$AB$5:$AB$2005,'Receipt Vouchers'!$E$5:$E$2005,$A158,'Receipt Vouchers'!$A$5:$A$2005,"&lt;="&amp;ReportTo)+SUMIFS('Sales Invoices'!$AC$5:$AC$2005,'Sales Invoices'!$H$5:$H$2005,$A158,'Sales Invoices'!$B$5:$B$2005,"&lt;="&amp;ReportTo)+SUMIFS('Payment Vouchers'!$S$5:$S$2005,'Payment Vouchers'!$B$5:$B$2005,$A158,'Payment Vouchers'!$A$5:$A$2005,"&lt;="&amp;ReportTo)+SUMIFS('Partner Transactions'!$U$5:$U$2005,'Partner Transactions'!$B$5:$B$2005,$A158,'Partner Transactions'!$A$5:$A$2005,"&lt;="&amp;ReportTo)+SUMIFS('Stock Moves'!$AQ$5:$AQ$2005,'Stock Moves'!$J$5:$J$2005,$A158,'Stock Moves'!$A$5:$A$2005,"&lt;="&amp;ReportTo)+SUMIFS('Journal Vouchers'!$S$5:$S$2005,'Journal Vouchers'!$E$5:$E$2005,$A158,'Journal Vouchers'!$B$5:$B$2005,"&lt;="&amp;ReportTo))</f>
        <v/>
      </c>
      <c r="D158" s="26">
        <f>B158+C158</f>
        <v/>
      </c>
    </row>
    <row r="159">
      <c r="A159" s="25">
        <f>IF(Parties!A159="","",Parties!A159)</f>
        <v/>
      </c>
      <c r="B159" s="26">
        <f>IF(A159="",0,SUMIFS('Direct Costs'!$AJ$5:$AJ$2005,'Direct Costs'!$E$5:$E$2005,$A159,'Direct Costs'!$A$5:$A$2005,"&lt;="&amp;ReportTo)+SUMIFS('Operating Expenses'!$AE$5:$AE$2005,'Operating Expenses'!$E$5:$E$2005,$A159,'Operating Expenses'!$A$5:$A$2005,"&lt;="&amp;ReportTo)+SUMIFS('Payroll'!$AA$5:$AA$2005,'Payroll'!$C$5:$C$2005,$A159,'Payroll'!$A$5:$A$2005,"&lt;="&amp;ReportTo)+SUMIFS('Receipt Vouchers'!$AA$5:$AA$2005,'Receipt Vouchers'!$E$5:$E$2005,$A159,'Receipt Vouchers'!$A$5:$A$2005,"&lt;="&amp;ReportTo)+SUMIFS('Sales Invoices'!$AB$5:$AB$2005,'Sales Invoices'!$H$5:$H$2005,$A159,'Sales Invoices'!$B$5:$B$2005,"&lt;="&amp;ReportTo)+SUMIFS('Payment Vouchers'!$R$5:$R$2005,'Payment Vouchers'!$B$5:$B$2005,$A159,'Payment Vouchers'!$A$5:$A$2005,"&lt;="&amp;ReportTo)+SUMIFS('Partner Transactions'!$T$5:$T$2005,'Partner Transactions'!$B$5:$B$2005,$A159,'Partner Transactions'!$A$5:$A$2005,"&lt;="&amp;ReportTo)+SUMIFS('Stock Moves'!$AP$5:$AP$2005,'Stock Moves'!$J$5:$J$2005,$A159,'Stock Moves'!$A$5:$A$2005,"&lt;="&amp;ReportTo)+SUMIFS('Journal Vouchers'!$R$5:$R$2005,'Journal Vouchers'!$E$5:$E$2005,$A159,'Journal Vouchers'!$B$5:$B$2005,"&lt;="&amp;ReportTo))</f>
        <v/>
      </c>
      <c r="C159" s="26">
        <f>IF(A159="",0,SUMIFS('Direct Costs'!$AK$5:$AK$2005,'Direct Costs'!$E$5:$E$2005,$A159,'Direct Costs'!$A$5:$A$2005,"&lt;="&amp;ReportTo)+SUMIFS('Operating Expenses'!$AF$5:$AF$2005,'Operating Expenses'!$E$5:$E$2005,$A159,'Operating Expenses'!$A$5:$A$2005,"&lt;="&amp;ReportTo)+SUMIFS('Payroll'!$AB$5:$AB$2005,'Payroll'!$C$5:$C$2005,$A159,'Payroll'!$A$5:$A$2005,"&lt;="&amp;ReportTo)+SUMIFS('Receipt Vouchers'!$AB$5:$AB$2005,'Receipt Vouchers'!$E$5:$E$2005,$A159,'Receipt Vouchers'!$A$5:$A$2005,"&lt;="&amp;ReportTo)+SUMIFS('Sales Invoices'!$AC$5:$AC$2005,'Sales Invoices'!$H$5:$H$2005,$A159,'Sales Invoices'!$B$5:$B$2005,"&lt;="&amp;ReportTo)+SUMIFS('Payment Vouchers'!$S$5:$S$2005,'Payment Vouchers'!$B$5:$B$2005,$A159,'Payment Vouchers'!$A$5:$A$2005,"&lt;="&amp;ReportTo)+SUMIFS('Partner Transactions'!$U$5:$U$2005,'Partner Transactions'!$B$5:$B$2005,$A159,'Partner Transactions'!$A$5:$A$2005,"&lt;="&amp;ReportTo)+SUMIFS('Stock Moves'!$AQ$5:$AQ$2005,'Stock Moves'!$J$5:$J$2005,$A159,'Stock Moves'!$A$5:$A$2005,"&lt;="&amp;ReportTo)+SUMIFS('Journal Vouchers'!$S$5:$S$2005,'Journal Vouchers'!$E$5:$E$2005,$A159,'Journal Vouchers'!$B$5:$B$2005,"&lt;="&amp;ReportTo))</f>
        <v/>
      </c>
      <c r="D159" s="26">
        <f>B159+C159</f>
        <v/>
      </c>
    </row>
    <row r="160">
      <c r="A160" s="25">
        <f>IF(Parties!A160="","",Parties!A160)</f>
        <v/>
      </c>
      <c r="B160" s="26">
        <f>IF(A160="",0,SUMIFS('Direct Costs'!$AJ$5:$AJ$2005,'Direct Costs'!$E$5:$E$2005,$A160,'Direct Costs'!$A$5:$A$2005,"&lt;="&amp;ReportTo)+SUMIFS('Operating Expenses'!$AE$5:$AE$2005,'Operating Expenses'!$E$5:$E$2005,$A160,'Operating Expenses'!$A$5:$A$2005,"&lt;="&amp;ReportTo)+SUMIFS('Payroll'!$AA$5:$AA$2005,'Payroll'!$C$5:$C$2005,$A160,'Payroll'!$A$5:$A$2005,"&lt;="&amp;ReportTo)+SUMIFS('Receipt Vouchers'!$AA$5:$AA$2005,'Receipt Vouchers'!$E$5:$E$2005,$A160,'Receipt Vouchers'!$A$5:$A$2005,"&lt;="&amp;ReportTo)+SUMIFS('Sales Invoices'!$AB$5:$AB$2005,'Sales Invoices'!$H$5:$H$2005,$A160,'Sales Invoices'!$B$5:$B$2005,"&lt;="&amp;ReportTo)+SUMIFS('Payment Vouchers'!$R$5:$R$2005,'Payment Vouchers'!$B$5:$B$2005,$A160,'Payment Vouchers'!$A$5:$A$2005,"&lt;="&amp;ReportTo)+SUMIFS('Partner Transactions'!$T$5:$T$2005,'Partner Transactions'!$B$5:$B$2005,$A160,'Partner Transactions'!$A$5:$A$2005,"&lt;="&amp;ReportTo)+SUMIFS('Stock Moves'!$AP$5:$AP$2005,'Stock Moves'!$J$5:$J$2005,$A160,'Stock Moves'!$A$5:$A$2005,"&lt;="&amp;ReportTo)+SUMIFS('Journal Vouchers'!$R$5:$R$2005,'Journal Vouchers'!$E$5:$E$2005,$A160,'Journal Vouchers'!$B$5:$B$2005,"&lt;="&amp;ReportTo))</f>
        <v/>
      </c>
      <c r="C160" s="26">
        <f>IF(A160="",0,SUMIFS('Direct Costs'!$AK$5:$AK$2005,'Direct Costs'!$E$5:$E$2005,$A160,'Direct Costs'!$A$5:$A$2005,"&lt;="&amp;ReportTo)+SUMIFS('Operating Expenses'!$AF$5:$AF$2005,'Operating Expenses'!$E$5:$E$2005,$A160,'Operating Expenses'!$A$5:$A$2005,"&lt;="&amp;ReportTo)+SUMIFS('Payroll'!$AB$5:$AB$2005,'Payroll'!$C$5:$C$2005,$A160,'Payroll'!$A$5:$A$2005,"&lt;="&amp;ReportTo)+SUMIFS('Receipt Vouchers'!$AB$5:$AB$2005,'Receipt Vouchers'!$E$5:$E$2005,$A160,'Receipt Vouchers'!$A$5:$A$2005,"&lt;="&amp;ReportTo)+SUMIFS('Sales Invoices'!$AC$5:$AC$2005,'Sales Invoices'!$H$5:$H$2005,$A160,'Sales Invoices'!$B$5:$B$2005,"&lt;="&amp;ReportTo)+SUMIFS('Payment Vouchers'!$S$5:$S$2005,'Payment Vouchers'!$B$5:$B$2005,$A160,'Payment Vouchers'!$A$5:$A$2005,"&lt;="&amp;ReportTo)+SUMIFS('Partner Transactions'!$U$5:$U$2005,'Partner Transactions'!$B$5:$B$2005,$A160,'Partner Transactions'!$A$5:$A$2005,"&lt;="&amp;ReportTo)+SUMIFS('Stock Moves'!$AQ$5:$AQ$2005,'Stock Moves'!$J$5:$J$2005,$A160,'Stock Moves'!$A$5:$A$2005,"&lt;="&amp;ReportTo)+SUMIFS('Journal Vouchers'!$S$5:$S$2005,'Journal Vouchers'!$E$5:$E$2005,$A160,'Journal Vouchers'!$B$5:$B$2005,"&lt;="&amp;ReportTo))</f>
        <v/>
      </c>
      <c r="D160" s="26">
        <f>B160+C160</f>
        <v/>
      </c>
    </row>
    <row r="161">
      <c r="A161" s="25">
        <f>IF(Parties!A161="","",Parties!A161)</f>
        <v/>
      </c>
      <c r="B161" s="26">
        <f>IF(A161="",0,SUMIFS('Direct Costs'!$AJ$5:$AJ$2005,'Direct Costs'!$E$5:$E$2005,$A161,'Direct Costs'!$A$5:$A$2005,"&lt;="&amp;ReportTo)+SUMIFS('Operating Expenses'!$AE$5:$AE$2005,'Operating Expenses'!$E$5:$E$2005,$A161,'Operating Expenses'!$A$5:$A$2005,"&lt;="&amp;ReportTo)+SUMIFS('Payroll'!$AA$5:$AA$2005,'Payroll'!$C$5:$C$2005,$A161,'Payroll'!$A$5:$A$2005,"&lt;="&amp;ReportTo)+SUMIFS('Receipt Vouchers'!$AA$5:$AA$2005,'Receipt Vouchers'!$E$5:$E$2005,$A161,'Receipt Vouchers'!$A$5:$A$2005,"&lt;="&amp;ReportTo)+SUMIFS('Sales Invoices'!$AB$5:$AB$2005,'Sales Invoices'!$H$5:$H$2005,$A161,'Sales Invoices'!$B$5:$B$2005,"&lt;="&amp;ReportTo)+SUMIFS('Payment Vouchers'!$R$5:$R$2005,'Payment Vouchers'!$B$5:$B$2005,$A161,'Payment Vouchers'!$A$5:$A$2005,"&lt;="&amp;ReportTo)+SUMIFS('Partner Transactions'!$T$5:$T$2005,'Partner Transactions'!$B$5:$B$2005,$A161,'Partner Transactions'!$A$5:$A$2005,"&lt;="&amp;ReportTo)+SUMIFS('Stock Moves'!$AP$5:$AP$2005,'Stock Moves'!$J$5:$J$2005,$A161,'Stock Moves'!$A$5:$A$2005,"&lt;="&amp;ReportTo)+SUMIFS('Journal Vouchers'!$R$5:$R$2005,'Journal Vouchers'!$E$5:$E$2005,$A161,'Journal Vouchers'!$B$5:$B$2005,"&lt;="&amp;ReportTo))</f>
        <v/>
      </c>
      <c r="C161" s="26">
        <f>IF(A161="",0,SUMIFS('Direct Costs'!$AK$5:$AK$2005,'Direct Costs'!$E$5:$E$2005,$A161,'Direct Costs'!$A$5:$A$2005,"&lt;="&amp;ReportTo)+SUMIFS('Operating Expenses'!$AF$5:$AF$2005,'Operating Expenses'!$E$5:$E$2005,$A161,'Operating Expenses'!$A$5:$A$2005,"&lt;="&amp;ReportTo)+SUMIFS('Payroll'!$AB$5:$AB$2005,'Payroll'!$C$5:$C$2005,$A161,'Payroll'!$A$5:$A$2005,"&lt;="&amp;ReportTo)+SUMIFS('Receipt Vouchers'!$AB$5:$AB$2005,'Receipt Vouchers'!$E$5:$E$2005,$A161,'Receipt Vouchers'!$A$5:$A$2005,"&lt;="&amp;ReportTo)+SUMIFS('Sales Invoices'!$AC$5:$AC$2005,'Sales Invoices'!$H$5:$H$2005,$A161,'Sales Invoices'!$B$5:$B$2005,"&lt;="&amp;ReportTo)+SUMIFS('Payment Vouchers'!$S$5:$S$2005,'Payment Vouchers'!$B$5:$B$2005,$A161,'Payment Vouchers'!$A$5:$A$2005,"&lt;="&amp;ReportTo)+SUMIFS('Partner Transactions'!$U$5:$U$2005,'Partner Transactions'!$B$5:$B$2005,$A161,'Partner Transactions'!$A$5:$A$2005,"&lt;="&amp;ReportTo)+SUMIFS('Stock Moves'!$AQ$5:$AQ$2005,'Stock Moves'!$J$5:$J$2005,$A161,'Stock Moves'!$A$5:$A$2005,"&lt;="&amp;ReportTo)+SUMIFS('Journal Vouchers'!$S$5:$S$2005,'Journal Vouchers'!$E$5:$E$2005,$A161,'Journal Vouchers'!$B$5:$B$2005,"&lt;="&amp;ReportTo))</f>
        <v/>
      </c>
      <c r="D161" s="26">
        <f>B161+C161</f>
        <v/>
      </c>
    </row>
    <row r="162">
      <c r="A162" s="25">
        <f>IF(Parties!A162="","",Parties!A162)</f>
        <v/>
      </c>
      <c r="B162" s="26">
        <f>IF(A162="",0,SUMIFS('Direct Costs'!$AJ$5:$AJ$2005,'Direct Costs'!$E$5:$E$2005,$A162,'Direct Costs'!$A$5:$A$2005,"&lt;="&amp;ReportTo)+SUMIFS('Operating Expenses'!$AE$5:$AE$2005,'Operating Expenses'!$E$5:$E$2005,$A162,'Operating Expenses'!$A$5:$A$2005,"&lt;="&amp;ReportTo)+SUMIFS('Payroll'!$AA$5:$AA$2005,'Payroll'!$C$5:$C$2005,$A162,'Payroll'!$A$5:$A$2005,"&lt;="&amp;ReportTo)+SUMIFS('Receipt Vouchers'!$AA$5:$AA$2005,'Receipt Vouchers'!$E$5:$E$2005,$A162,'Receipt Vouchers'!$A$5:$A$2005,"&lt;="&amp;ReportTo)+SUMIFS('Sales Invoices'!$AB$5:$AB$2005,'Sales Invoices'!$H$5:$H$2005,$A162,'Sales Invoices'!$B$5:$B$2005,"&lt;="&amp;ReportTo)+SUMIFS('Payment Vouchers'!$R$5:$R$2005,'Payment Vouchers'!$B$5:$B$2005,$A162,'Payment Vouchers'!$A$5:$A$2005,"&lt;="&amp;ReportTo)+SUMIFS('Partner Transactions'!$T$5:$T$2005,'Partner Transactions'!$B$5:$B$2005,$A162,'Partner Transactions'!$A$5:$A$2005,"&lt;="&amp;ReportTo)+SUMIFS('Stock Moves'!$AP$5:$AP$2005,'Stock Moves'!$J$5:$J$2005,$A162,'Stock Moves'!$A$5:$A$2005,"&lt;="&amp;ReportTo)+SUMIFS('Journal Vouchers'!$R$5:$R$2005,'Journal Vouchers'!$E$5:$E$2005,$A162,'Journal Vouchers'!$B$5:$B$2005,"&lt;="&amp;ReportTo))</f>
        <v/>
      </c>
      <c r="C162" s="26">
        <f>IF(A162="",0,SUMIFS('Direct Costs'!$AK$5:$AK$2005,'Direct Costs'!$E$5:$E$2005,$A162,'Direct Costs'!$A$5:$A$2005,"&lt;="&amp;ReportTo)+SUMIFS('Operating Expenses'!$AF$5:$AF$2005,'Operating Expenses'!$E$5:$E$2005,$A162,'Operating Expenses'!$A$5:$A$2005,"&lt;="&amp;ReportTo)+SUMIFS('Payroll'!$AB$5:$AB$2005,'Payroll'!$C$5:$C$2005,$A162,'Payroll'!$A$5:$A$2005,"&lt;="&amp;ReportTo)+SUMIFS('Receipt Vouchers'!$AB$5:$AB$2005,'Receipt Vouchers'!$E$5:$E$2005,$A162,'Receipt Vouchers'!$A$5:$A$2005,"&lt;="&amp;ReportTo)+SUMIFS('Sales Invoices'!$AC$5:$AC$2005,'Sales Invoices'!$H$5:$H$2005,$A162,'Sales Invoices'!$B$5:$B$2005,"&lt;="&amp;ReportTo)+SUMIFS('Payment Vouchers'!$S$5:$S$2005,'Payment Vouchers'!$B$5:$B$2005,$A162,'Payment Vouchers'!$A$5:$A$2005,"&lt;="&amp;ReportTo)+SUMIFS('Partner Transactions'!$U$5:$U$2005,'Partner Transactions'!$B$5:$B$2005,$A162,'Partner Transactions'!$A$5:$A$2005,"&lt;="&amp;ReportTo)+SUMIFS('Stock Moves'!$AQ$5:$AQ$2005,'Stock Moves'!$J$5:$J$2005,$A162,'Stock Moves'!$A$5:$A$2005,"&lt;="&amp;ReportTo)+SUMIFS('Journal Vouchers'!$S$5:$S$2005,'Journal Vouchers'!$E$5:$E$2005,$A162,'Journal Vouchers'!$B$5:$B$2005,"&lt;="&amp;ReportTo))</f>
        <v/>
      </c>
      <c r="D162" s="26">
        <f>B162+C162</f>
        <v/>
      </c>
    </row>
    <row r="163">
      <c r="A163" s="25">
        <f>IF(Parties!A163="","",Parties!A163)</f>
        <v/>
      </c>
      <c r="B163" s="26">
        <f>IF(A163="",0,SUMIFS('Direct Costs'!$AJ$5:$AJ$2005,'Direct Costs'!$E$5:$E$2005,$A163,'Direct Costs'!$A$5:$A$2005,"&lt;="&amp;ReportTo)+SUMIFS('Operating Expenses'!$AE$5:$AE$2005,'Operating Expenses'!$E$5:$E$2005,$A163,'Operating Expenses'!$A$5:$A$2005,"&lt;="&amp;ReportTo)+SUMIFS('Payroll'!$AA$5:$AA$2005,'Payroll'!$C$5:$C$2005,$A163,'Payroll'!$A$5:$A$2005,"&lt;="&amp;ReportTo)+SUMIFS('Receipt Vouchers'!$AA$5:$AA$2005,'Receipt Vouchers'!$E$5:$E$2005,$A163,'Receipt Vouchers'!$A$5:$A$2005,"&lt;="&amp;ReportTo)+SUMIFS('Sales Invoices'!$AB$5:$AB$2005,'Sales Invoices'!$H$5:$H$2005,$A163,'Sales Invoices'!$B$5:$B$2005,"&lt;="&amp;ReportTo)+SUMIFS('Payment Vouchers'!$R$5:$R$2005,'Payment Vouchers'!$B$5:$B$2005,$A163,'Payment Vouchers'!$A$5:$A$2005,"&lt;="&amp;ReportTo)+SUMIFS('Partner Transactions'!$T$5:$T$2005,'Partner Transactions'!$B$5:$B$2005,$A163,'Partner Transactions'!$A$5:$A$2005,"&lt;="&amp;ReportTo)+SUMIFS('Stock Moves'!$AP$5:$AP$2005,'Stock Moves'!$J$5:$J$2005,$A163,'Stock Moves'!$A$5:$A$2005,"&lt;="&amp;ReportTo)+SUMIFS('Journal Vouchers'!$R$5:$R$2005,'Journal Vouchers'!$E$5:$E$2005,$A163,'Journal Vouchers'!$B$5:$B$2005,"&lt;="&amp;ReportTo))</f>
        <v/>
      </c>
      <c r="C163" s="26">
        <f>IF(A163="",0,SUMIFS('Direct Costs'!$AK$5:$AK$2005,'Direct Costs'!$E$5:$E$2005,$A163,'Direct Costs'!$A$5:$A$2005,"&lt;="&amp;ReportTo)+SUMIFS('Operating Expenses'!$AF$5:$AF$2005,'Operating Expenses'!$E$5:$E$2005,$A163,'Operating Expenses'!$A$5:$A$2005,"&lt;="&amp;ReportTo)+SUMIFS('Payroll'!$AB$5:$AB$2005,'Payroll'!$C$5:$C$2005,$A163,'Payroll'!$A$5:$A$2005,"&lt;="&amp;ReportTo)+SUMIFS('Receipt Vouchers'!$AB$5:$AB$2005,'Receipt Vouchers'!$E$5:$E$2005,$A163,'Receipt Vouchers'!$A$5:$A$2005,"&lt;="&amp;ReportTo)+SUMIFS('Sales Invoices'!$AC$5:$AC$2005,'Sales Invoices'!$H$5:$H$2005,$A163,'Sales Invoices'!$B$5:$B$2005,"&lt;="&amp;ReportTo)+SUMIFS('Payment Vouchers'!$S$5:$S$2005,'Payment Vouchers'!$B$5:$B$2005,$A163,'Payment Vouchers'!$A$5:$A$2005,"&lt;="&amp;ReportTo)+SUMIFS('Partner Transactions'!$U$5:$U$2005,'Partner Transactions'!$B$5:$B$2005,$A163,'Partner Transactions'!$A$5:$A$2005,"&lt;="&amp;ReportTo)+SUMIFS('Stock Moves'!$AQ$5:$AQ$2005,'Stock Moves'!$J$5:$J$2005,$A163,'Stock Moves'!$A$5:$A$2005,"&lt;="&amp;ReportTo)+SUMIFS('Journal Vouchers'!$S$5:$S$2005,'Journal Vouchers'!$E$5:$E$2005,$A163,'Journal Vouchers'!$B$5:$B$2005,"&lt;="&amp;ReportTo))</f>
        <v/>
      </c>
      <c r="D163" s="26">
        <f>B163+C163</f>
        <v/>
      </c>
    </row>
    <row r="164">
      <c r="A164" s="25">
        <f>IF(Parties!A164="","",Parties!A164)</f>
        <v/>
      </c>
      <c r="B164" s="26">
        <f>IF(A164="",0,SUMIFS('Direct Costs'!$AJ$5:$AJ$2005,'Direct Costs'!$E$5:$E$2005,$A164,'Direct Costs'!$A$5:$A$2005,"&lt;="&amp;ReportTo)+SUMIFS('Operating Expenses'!$AE$5:$AE$2005,'Operating Expenses'!$E$5:$E$2005,$A164,'Operating Expenses'!$A$5:$A$2005,"&lt;="&amp;ReportTo)+SUMIFS('Payroll'!$AA$5:$AA$2005,'Payroll'!$C$5:$C$2005,$A164,'Payroll'!$A$5:$A$2005,"&lt;="&amp;ReportTo)+SUMIFS('Receipt Vouchers'!$AA$5:$AA$2005,'Receipt Vouchers'!$E$5:$E$2005,$A164,'Receipt Vouchers'!$A$5:$A$2005,"&lt;="&amp;ReportTo)+SUMIFS('Sales Invoices'!$AB$5:$AB$2005,'Sales Invoices'!$H$5:$H$2005,$A164,'Sales Invoices'!$B$5:$B$2005,"&lt;="&amp;ReportTo)+SUMIFS('Payment Vouchers'!$R$5:$R$2005,'Payment Vouchers'!$B$5:$B$2005,$A164,'Payment Vouchers'!$A$5:$A$2005,"&lt;="&amp;ReportTo)+SUMIFS('Partner Transactions'!$T$5:$T$2005,'Partner Transactions'!$B$5:$B$2005,$A164,'Partner Transactions'!$A$5:$A$2005,"&lt;="&amp;ReportTo)+SUMIFS('Stock Moves'!$AP$5:$AP$2005,'Stock Moves'!$J$5:$J$2005,$A164,'Stock Moves'!$A$5:$A$2005,"&lt;="&amp;ReportTo)+SUMIFS('Journal Vouchers'!$R$5:$R$2005,'Journal Vouchers'!$E$5:$E$2005,$A164,'Journal Vouchers'!$B$5:$B$2005,"&lt;="&amp;ReportTo))</f>
        <v/>
      </c>
      <c r="C164" s="26">
        <f>IF(A164="",0,SUMIFS('Direct Costs'!$AK$5:$AK$2005,'Direct Costs'!$E$5:$E$2005,$A164,'Direct Costs'!$A$5:$A$2005,"&lt;="&amp;ReportTo)+SUMIFS('Operating Expenses'!$AF$5:$AF$2005,'Operating Expenses'!$E$5:$E$2005,$A164,'Operating Expenses'!$A$5:$A$2005,"&lt;="&amp;ReportTo)+SUMIFS('Payroll'!$AB$5:$AB$2005,'Payroll'!$C$5:$C$2005,$A164,'Payroll'!$A$5:$A$2005,"&lt;="&amp;ReportTo)+SUMIFS('Receipt Vouchers'!$AB$5:$AB$2005,'Receipt Vouchers'!$E$5:$E$2005,$A164,'Receipt Vouchers'!$A$5:$A$2005,"&lt;="&amp;ReportTo)+SUMIFS('Sales Invoices'!$AC$5:$AC$2005,'Sales Invoices'!$H$5:$H$2005,$A164,'Sales Invoices'!$B$5:$B$2005,"&lt;="&amp;ReportTo)+SUMIFS('Payment Vouchers'!$S$5:$S$2005,'Payment Vouchers'!$B$5:$B$2005,$A164,'Payment Vouchers'!$A$5:$A$2005,"&lt;="&amp;ReportTo)+SUMIFS('Partner Transactions'!$U$5:$U$2005,'Partner Transactions'!$B$5:$B$2005,$A164,'Partner Transactions'!$A$5:$A$2005,"&lt;="&amp;ReportTo)+SUMIFS('Stock Moves'!$AQ$5:$AQ$2005,'Stock Moves'!$J$5:$J$2005,$A164,'Stock Moves'!$A$5:$A$2005,"&lt;="&amp;ReportTo)+SUMIFS('Journal Vouchers'!$S$5:$S$2005,'Journal Vouchers'!$E$5:$E$2005,$A164,'Journal Vouchers'!$B$5:$B$2005,"&lt;="&amp;ReportTo))</f>
        <v/>
      </c>
      <c r="D164" s="26">
        <f>B164+C164</f>
        <v/>
      </c>
    </row>
    <row r="165">
      <c r="A165" s="25">
        <f>IF(Parties!A165="","",Parties!A165)</f>
        <v/>
      </c>
      <c r="B165" s="26">
        <f>IF(A165="",0,SUMIFS('Direct Costs'!$AJ$5:$AJ$2005,'Direct Costs'!$E$5:$E$2005,$A165,'Direct Costs'!$A$5:$A$2005,"&lt;="&amp;ReportTo)+SUMIFS('Operating Expenses'!$AE$5:$AE$2005,'Operating Expenses'!$E$5:$E$2005,$A165,'Operating Expenses'!$A$5:$A$2005,"&lt;="&amp;ReportTo)+SUMIFS('Payroll'!$AA$5:$AA$2005,'Payroll'!$C$5:$C$2005,$A165,'Payroll'!$A$5:$A$2005,"&lt;="&amp;ReportTo)+SUMIFS('Receipt Vouchers'!$AA$5:$AA$2005,'Receipt Vouchers'!$E$5:$E$2005,$A165,'Receipt Vouchers'!$A$5:$A$2005,"&lt;="&amp;ReportTo)+SUMIFS('Sales Invoices'!$AB$5:$AB$2005,'Sales Invoices'!$H$5:$H$2005,$A165,'Sales Invoices'!$B$5:$B$2005,"&lt;="&amp;ReportTo)+SUMIFS('Payment Vouchers'!$R$5:$R$2005,'Payment Vouchers'!$B$5:$B$2005,$A165,'Payment Vouchers'!$A$5:$A$2005,"&lt;="&amp;ReportTo)+SUMIFS('Partner Transactions'!$T$5:$T$2005,'Partner Transactions'!$B$5:$B$2005,$A165,'Partner Transactions'!$A$5:$A$2005,"&lt;="&amp;ReportTo)+SUMIFS('Stock Moves'!$AP$5:$AP$2005,'Stock Moves'!$J$5:$J$2005,$A165,'Stock Moves'!$A$5:$A$2005,"&lt;="&amp;ReportTo)+SUMIFS('Journal Vouchers'!$R$5:$R$2005,'Journal Vouchers'!$E$5:$E$2005,$A165,'Journal Vouchers'!$B$5:$B$2005,"&lt;="&amp;ReportTo))</f>
        <v/>
      </c>
      <c r="C165" s="26">
        <f>IF(A165="",0,SUMIFS('Direct Costs'!$AK$5:$AK$2005,'Direct Costs'!$E$5:$E$2005,$A165,'Direct Costs'!$A$5:$A$2005,"&lt;="&amp;ReportTo)+SUMIFS('Operating Expenses'!$AF$5:$AF$2005,'Operating Expenses'!$E$5:$E$2005,$A165,'Operating Expenses'!$A$5:$A$2005,"&lt;="&amp;ReportTo)+SUMIFS('Payroll'!$AB$5:$AB$2005,'Payroll'!$C$5:$C$2005,$A165,'Payroll'!$A$5:$A$2005,"&lt;="&amp;ReportTo)+SUMIFS('Receipt Vouchers'!$AB$5:$AB$2005,'Receipt Vouchers'!$E$5:$E$2005,$A165,'Receipt Vouchers'!$A$5:$A$2005,"&lt;="&amp;ReportTo)+SUMIFS('Sales Invoices'!$AC$5:$AC$2005,'Sales Invoices'!$H$5:$H$2005,$A165,'Sales Invoices'!$B$5:$B$2005,"&lt;="&amp;ReportTo)+SUMIFS('Payment Vouchers'!$S$5:$S$2005,'Payment Vouchers'!$B$5:$B$2005,$A165,'Payment Vouchers'!$A$5:$A$2005,"&lt;="&amp;ReportTo)+SUMIFS('Partner Transactions'!$U$5:$U$2005,'Partner Transactions'!$B$5:$B$2005,$A165,'Partner Transactions'!$A$5:$A$2005,"&lt;="&amp;ReportTo)+SUMIFS('Stock Moves'!$AQ$5:$AQ$2005,'Stock Moves'!$J$5:$J$2005,$A165,'Stock Moves'!$A$5:$A$2005,"&lt;="&amp;ReportTo)+SUMIFS('Journal Vouchers'!$S$5:$S$2005,'Journal Vouchers'!$E$5:$E$2005,$A165,'Journal Vouchers'!$B$5:$B$2005,"&lt;="&amp;ReportTo))</f>
        <v/>
      </c>
      <c r="D165" s="26">
        <f>B165+C165</f>
        <v/>
      </c>
    </row>
    <row r="166">
      <c r="A166" s="25">
        <f>IF(Parties!A166="","",Parties!A166)</f>
        <v/>
      </c>
      <c r="B166" s="26">
        <f>IF(A166="",0,SUMIFS('Direct Costs'!$AJ$5:$AJ$2005,'Direct Costs'!$E$5:$E$2005,$A166,'Direct Costs'!$A$5:$A$2005,"&lt;="&amp;ReportTo)+SUMIFS('Operating Expenses'!$AE$5:$AE$2005,'Operating Expenses'!$E$5:$E$2005,$A166,'Operating Expenses'!$A$5:$A$2005,"&lt;="&amp;ReportTo)+SUMIFS('Payroll'!$AA$5:$AA$2005,'Payroll'!$C$5:$C$2005,$A166,'Payroll'!$A$5:$A$2005,"&lt;="&amp;ReportTo)+SUMIFS('Receipt Vouchers'!$AA$5:$AA$2005,'Receipt Vouchers'!$E$5:$E$2005,$A166,'Receipt Vouchers'!$A$5:$A$2005,"&lt;="&amp;ReportTo)+SUMIFS('Sales Invoices'!$AB$5:$AB$2005,'Sales Invoices'!$H$5:$H$2005,$A166,'Sales Invoices'!$B$5:$B$2005,"&lt;="&amp;ReportTo)+SUMIFS('Payment Vouchers'!$R$5:$R$2005,'Payment Vouchers'!$B$5:$B$2005,$A166,'Payment Vouchers'!$A$5:$A$2005,"&lt;="&amp;ReportTo)+SUMIFS('Partner Transactions'!$T$5:$T$2005,'Partner Transactions'!$B$5:$B$2005,$A166,'Partner Transactions'!$A$5:$A$2005,"&lt;="&amp;ReportTo)+SUMIFS('Stock Moves'!$AP$5:$AP$2005,'Stock Moves'!$J$5:$J$2005,$A166,'Stock Moves'!$A$5:$A$2005,"&lt;="&amp;ReportTo)+SUMIFS('Journal Vouchers'!$R$5:$R$2005,'Journal Vouchers'!$E$5:$E$2005,$A166,'Journal Vouchers'!$B$5:$B$2005,"&lt;="&amp;ReportTo))</f>
        <v/>
      </c>
      <c r="C166" s="26">
        <f>IF(A166="",0,SUMIFS('Direct Costs'!$AK$5:$AK$2005,'Direct Costs'!$E$5:$E$2005,$A166,'Direct Costs'!$A$5:$A$2005,"&lt;="&amp;ReportTo)+SUMIFS('Operating Expenses'!$AF$5:$AF$2005,'Operating Expenses'!$E$5:$E$2005,$A166,'Operating Expenses'!$A$5:$A$2005,"&lt;="&amp;ReportTo)+SUMIFS('Payroll'!$AB$5:$AB$2005,'Payroll'!$C$5:$C$2005,$A166,'Payroll'!$A$5:$A$2005,"&lt;="&amp;ReportTo)+SUMIFS('Receipt Vouchers'!$AB$5:$AB$2005,'Receipt Vouchers'!$E$5:$E$2005,$A166,'Receipt Vouchers'!$A$5:$A$2005,"&lt;="&amp;ReportTo)+SUMIFS('Sales Invoices'!$AC$5:$AC$2005,'Sales Invoices'!$H$5:$H$2005,$A166,'Sales Invoices'!$B$5:$B$2005,"&lt;="&amp;ReportTo)+SUMIFS('Payment Vouchers'!$S$5:$S$2005,'Payment Vouchers'!$B$5:$B$2005,$A166,'Payment Vouchers'!$A$5:$A$2005,"&lt;="&amp;ReportTo)+SUMIFS('Partner Transactions'!$U$5:$U$2005,'Partner Transactions'!$B$5:$B$2005,$A166,'Partner Transactions'!$A$5:$A$2005,"&lt;="&amp;ReportTo)+SUMIFS('Stock Moves'!$AQ$5:$AQ$2005,'Stock Moves'!$J$5:$J$2005,$A166,'Stock Moves'!$A$5:$A$2005,"&lt;="&amp;ReportTo)+SUMIFS('Journal Vouchers'!$S$5:$S$2005,'Journal Vouchers'!$E$5:$E$2005,$A166,'Journal Vouchers'!$B$5:$B$2005,"&lt;="&amp;ReportTo))</f>
        <v/>
      </c>
      <c r="D166" s="26">
        <f>B166+C166</f>
        <v/>
      </c>
    </row>
    <row r="167">
      <c r="A167" s="25">
        <f>IF(Parties!A167="","",Parties!A167)</f>
        <v/>
      </c>
      <c r="B167" s="26">
        <f>IF(A167="",0,SUMIFS('Direct Costs'!$AJ$5:$AJ$2005,'Direct Costs'!$E$5:$E$2005,$A167,'Direct Costs'!$A$5:$A$2005,"&lt;="&amp;ReportTo)+SUMIFS('Operating Expenses'!$AE$5:$AE$2005,'Operating Expenses'!$E$5:$E$2005,$A167,'Operating Expenses'!$A$5:$A$2005,"&lt;="&amp;ReportTo)+SUMIFS('Payroll'!$AA$5:$AA$2005,'Payroll'!$C$5:$C$2005,$A167,'Payroll'!$A$5:$A$2005,"&lt;="&amp;ReportTo)+SUMIFS('Receipt Vouchers'!$AA$5:$AA$2005,'Receipt Vouchers'!$E$5:$E$2005,$A167,'Receipt Vouchers'!$A$5:$A$2005,"&lt;="&amp;ReportTo)+SUMIFS('Sales Invoices'!$AB$5:$AB$2005,'Sales Invoices'!$H$5:$H$2005,$A167,'Sales Invoices'!$B$5:$B$2005,"&lt;="&amp;ReportTo)+SUMIFS('Payment Vouchers'!$R$5:$R$2005,'Payment Vouchers'!$B$5:$B$2005,$A167,'Payment Vouchers'!$A$5:$A$2005,"&lt;="&amp;ReportTo)+SUMIFS('Partner Transactions'!$T$5:$T$2005,'Partner Transactions'!$B$5:$B$2005,$A167,'Partner Transactions'!$A$5:$A$2005,"&lt;="&amp;ReportTo)+SUMIFS('Stock Moves'!$AP$5:$AP$2005,'Stock Moves'!$J$5:$J$2005,$A167,'Stock Moves'!$A$5:$A$2005,"&lt;="&amp;ReportTo)+SUMIFS('Journal Vouchers'!$R$5:$R$2005,'Journal Vouchers'!$E$5:$E$2005,$A167,'Journal Vouchers'!$B$5:$B$2005,"&lt;="&amp;ReportTo))</f>
        <v/>
      </c>
      <c r="C167" s="26">
        <f>IF(A167="",0,SUMIFS('Direct Costs'!$AK$5:$AK$2005,'Direct Costs'!$E$5:$E$2005,$A167,'Direct Costs'!$A$5:$A$2005,"&lt;="&amp;ReportTo)+SUMIFS('Operating Expenses'!$AF$5:$AF$2005,'Operating Expenses'!$E$5:$E$2005,$A167,'Operating Expenses'!$A$5:$A$2005,"&lt;="&amp;ReportTo)+SUMIFS('Payroll'!$AB$5:$AB$2005,'Payroll'!$C$5:$C$2005,$A167,'Payroll'!$A$5:$A$2005,"&lt;="&amp;ReportTo)+SUMIFS('Receipt Vouchers'!$AB$5:$AB$2005,'Receipt Vouchers'!$E$5:$E$2005,$A167,'Receipt Vouchers'!$A$5:$A$2005,"&lt;="&amp;ReportTo)+SUMIFS('Sales Invoices'!$AC$5:$AC$2005,'Sales Invoices'!$H$5:$H$2005,$A167,'Sales Invoices'!$B$5:$B$2005,"&lt;="&amp;ReportTo)+SUMIFS('Payment Vouchers'!$S$5:$S$2005,'Payment Vouchers'!$B$5:$B$2005,$A167,'Payment Vouchers'!$A$5:$A$2005,"&lt;="&amp;ReportTo)+SUMIFS('Partner Transactions'!$U$5:$U$2005,'Partner Transactions'!$B$5:$B$2005,$A167,'Partner Transactions'!$A$5:$A$2005,"&lt;="&amp;ReportTo)+SUMIFS('Stock Moves'!$AQ$5:$AQ$2005,'Stock Moves'!$J$5:$J$2005,$A167,'Stock Moves'!$A$5:$A$2005,"&lt;="&amp;ReportTo)+SUMIFS('Journal Vouchers'!$S$5:$S$2005,'Journal Vouchers'!$E$5:$E$2005,$A167,'Journal Vouchers'!$B$5:$B$2005,"&lt;="&amp;ReportTo))</f>
        <v/>
      </c>
      <c r="D167" s="26">
        <f>B167+C167</f>
        <v/>
      </c>
    </row>
    <row r="168">
      <c r="A168" s="25">
        <f>IF(Parties!A168="","",Parties!A168)</f>
        <v/>
      </c>
      <c r="B168" s="26">
        <f>IF(A168="",0,SUMIFS('Direct Costs'!$AJ$5:$AJ$2005,'Direct Costs'!$E$5:$E$2005,$A168,'Direct Costs'!$A$5:$A$2005,"&lt;="&amp;ReportTo)+SUMIFS('Operating Expenses'!$AE$5:$AE$2005,'Operating Expenses'!$E$5:$E$2005,$A168,'Operating Expenses'!$A$5:$A$2005,"&lt;="&amp;ReportTo)+SUMIFS('Payroll'!$AA$5:$AA$2005,'Payroll'!$C$5:$C$2005,$A168,'Payroll'!$A$5:$A$2005,"&lt;="&amp;ReportTo)+SUMIFS('Receipt Vouchers'!$AA$5:$AA$2005,'Receipt Vouchers'!$E$5:$E$2005,$A168,'Receipt Vouchers'!$A$5:$A$2005,"&lt;="&amp;ReportTo)+SUMIFS('Sales Invoices'!$AB$5:$AB$2005,'Sales Invoices'!$H$5:$H$2005,$A168,'Sales Invoices'!$B$5:$B$2005,"&lt;="&amp;ReportTo)+SUMIFS('Payment Vouchers'!$R$5:$R$2005,'Payment Vouchers'!$B$5:$B$2005,$A168,'Payment Vouchers'!$A$5:$A$2005,"&lt;="&amp;ReportTo)+SUMIFS('Partner Transactions'!$T$5:$T$2005,'Partner Transactions'!$B$5:$B$2005,$A168,'Partner Transactions'!$A$5:$A$2005,"&lt;="&amp;ReportTo)+SUMIFS('Stock Moves'!$AP$5:$AP$2005,'Stock Moves'!$J$5:$J$2005,$A168,'Stock Moves'!$A$5:$A$2005,"&lt;="&amp;ReportTo)+SUMIFS('Journal Vouchers'!$R$5:$R$2005,'Journal Vouchers'!$E$5:$E$2005,$A168,'Journal Vouchers'!$B$5:$B$2005,"&lt;="&amp;ReportTo))</f>
        <v/>
      </c>
      <c r="C168" s="26">
        <f>IF(A168="",0,SUMIFS('Direct Costs'!$AK$5:$AK$2005,'Direct Costs'!$E$5:$E$2005,$A168,'Direct Costs'!$A$5:$A$2005,"&lt;="&amp;ReportTo)+SUMIFS('Operating Expenses'!$AF$5:$AF$2005,'Operating Expenses'!$E$5:$E$2005,$A168,'Operating Expenses'!$A$5:$A$2005,"&lt;="&amp;ReportTo)+SUMIFS('Payroll'!$AB$5:$AB$2005,'Payroll'!$C$5:$C$2005,$A168,'Payroll'!$A$5:$A$2005,"&lt;="&amp;ReportTo)+SUMIFS('Receipt Vouchers'!$AB$5:$AB$2005,'Receipt Vouchers'!$E$5:$E$2005,$A168,'Receipt Vouchers'!$A$5:$A$2005,"&lt;="&amp;ReportTo)+SUMIFS('Sales Invoices'!$AC$5:$AC$2005,'Sales Invoices'!$H$5:$H$2005,$A168,'Sales Invoices'!$B$5:$B$2005,"&lt;="&amp;ReportTo)+SUMIFS('Payment Vouchers'!$S$5:$S$2005,'Payment Vouchers'!$B$5:$B$2005,$A168,'Payment Vouchers'!$A$5:$A$2005,"&lt;="&amp;ReportTo)+SUMIFS('Partner Transactions'!$U$5:$U$2005,'Partner Transactions'!$B$5:$B$2005,$A168,'Partner Transactions'!$A$5:$A$2005,"&lt;="&amp;ReportTo)+SUMIFS('Stock Moves'!$AQ$5:$AQ$2005,'Stock Moves'!$J$5:$J$2005,$A168,'Stock Moves'!$A$5:$A$2005,"&lt;="&amp;ReportTo)+SUMIFS('Journal Vouchers'!$S$5:$S$2005,'Journal Vouchers'!$E$5:$E$2005,$A168,'Journal Vouchers'!$B$5:$B$2005,"&lt;="&amp;ReportTo))</f>
        <v/>
      </c>
      <c r="D168" s="26">
        <f>B168+C168</f>
        <v/>
      </c>
    </row>
    <row r="169">
      <c r="A169" s="25">
        <f>IF(Parties!A169="","",Parties!A169)</f>
        <v/>
      </c>
      <c r="B169" s="26">
        <f>IF(A169="",0,SUMIFS('Direct Costs'!$AJ$5:$AJ$2005,'Direct Costs'!$E$5:$E$2005,$A169,'Direct Costs'!$A$5:$A$2005,"&lt;="&amp;ReportTo)+SUMIFS('Operating Expenses'!$AE$5:$AE$2005,'Operating Expenses'!$E$5:$E$2005,$A169,'Operating Expenses'!$A$5:$A$2005,"&lt;="&amp;ReportTo)+SUMIFS('Payroll'!$AA$5:$AA$2005,'Payroll'!$C$5:$C$2005,$A169,'Payroll'!$A$5:$A$2005,"&lt;="&amp;ReportTo)+SUMIFS('Receipt Vouchers'!$AA$5:$AA$2005,'Receipt Vouchers'!$E$5:$E$2005,$A169,'Receipt Vouchers'!$A$5:$A$2005,"&lt;="&amp;ReportTo)+SUMIFS('Sales Invoices'!$AB$5:$AB$2005,'Sales Invoices'!$H$5:$H$2005,$A169,'Sales Invoices'!$B$5:$B$2005,"&lt;="&amp;ReportTo)+SUMIFS('Payment Vouchers'!$R$5:$R$2005,'Payment Vouchers'!$B$5:$B$2005,$A169,'Payment Vouchers'!$A$5:$A$2005,"&lt;="&amp;ReportTo)+SUMIFS('Partner Transactions'!$T$5:$T$2005,'Partner Transactions'!$B$5:$B$2005,$A169,'Partner Transactions'!$A$5:$A$2005,"&lt;="&amp;ReportTo)+SUMIFS('Stock Moves'!$AP$5:$AP$2005,'Stock Moves'!$J$5:$J$2005,$A169,'Stock Moves'!$A$5:$A$2005,"&lt;="&amp;ReportTo)+SUMIFS('Journal Vouchers'!$R$5:$R$2005,'Journal Vouchers'!$E$5:$E$2005,$A169,'Journal Vouchers'!$B$5:$B$2005,"&lt;="&amp;ReportTo))</f>
        <v/>
      </c>
      <c r="C169" s="26">
        <f>IF(A169="",0,SUMIFS('Direct Costs'!$AK$5:$AK$2005,'Direct Costs'!$E$5:$E$2005,$A169,'Direct Costs'!$A$5:$A$2005,"&lt;="&amp;ReportTo)+SUMIFS('Operating Expenses'!$AF$5:$AF$2005,'Operating Expenses'!$E$5:$E$2005,$A169,'Operating Expenses'!$A$5:$A$2005,"&lt;="&amp;ReportTo)+SUMIFS('Payroll'!$AB$5:$AB$2005,'Payroll'!$C$5:$C$2005,$A169,'Payroll'!$A$5:$A$2005,"&lt;="&amp;ReportTo)+SUMIFS('Receipt Vouchers'!$AB$5:$AB$2005,'Receipt Vouchers'!$E$5:$E$2005,$A169,'Receipt Vouchers'!$A$5:$A$2005,"&lt;="&amp;ReportTo)+SUMIFS('Sales Invoices'!$AC$5:$AC$2005,'Sales Invoices'!$H$5:$H$2005,$A169,'Sales Invoices'!$B$5:$B$2005,"&lt;="&amp;ReportTo)+SUMIFS('Payment Vouchers'!$S$5:$S$2005,'Payment Vouchers'!$B$5:$B$2005,$A169,'Payment Vouchers'!$A$5:$A$2005,"&lt;="&amp;ReportTo)+SUMIFS('Partner Transactions'!$U$5:$U$2005,'Partner Transactions'!$B$5:$B$2005,$A169,'Partner Transactions'!$A$5:$A$2005,"&lt;="&amp;ReportTo)+SUMIFS('Stock Moves'!$AQ$5:$AQ$2005,'Stock Moves'!$J$5:$J$2005,$A169,'Stock Moves'!$A$5:$A$2005,"&lt;="&amp;ReportTo)+SUMIFS('Journal Vouchers'!$S$5:$S$2005,'Journal Vouchers'!$E$5:$E$2005,$A169,'Journal Vouchers'!$B$5:$B$2005,"&lt;="&amp;ReportTo))</f>
        <v/>
      </c>
      <c r="D169" s="26">
        <f>B169+C169</f>
        <v/>
      </c>
    </row>
    <row r="170">
      <c r="A170" s="25">
        <f>IF(Parties!A170="","",Parties!A170)</f>
        <v/>
      </c>
      <c r="B170" s="26">
        <f>IF(A170="",0,SUMIFS('Direct Costs'!$AJ$5:$AJ$2005,'Direct Costs'!$E$5:$E$2005,$A170,'Direct Costs'!$A$5:$A$2005,"&lt;="&amp;ReportTo)+SUMIFS('Operating Expenses'!$AE$5:$AE$2005,'Operating Expenses'!$E$5:$E$2005,$A170,'Operating Expenses'!$A$5:$A$2005,"&lt;="&amp;ReportTo)+SUMIFS('Payroll'!$AA$5:$AA$2005,'Payroll'!$C$5:$C$2005,$A170,'Payroll'!$A$5:$A$2005,"&lt;="&amp;ReportTo)+SUMIFS('Receipt Vouchers'!$AA$5:$AA$2005,'Receipt Vouchers'!$E$5:$E$2005,$A170,'Receipt Vouchers'!$A$5:$A$2005,"&lt;="&amp;ReportTo)+SUMIFS('Sales Invoices'!$AB$5:$AB$2005,'Sales Invoices'!$H$5:$H$2005,$A170,'Sales Invoices'!$B$5:$B$2005,"&lt;="&amp;ReportTo)+SUMIFS('Payment Vouchers'!$R$5:$R$2005,'Payment Vouchers'!$B$5:$B$2005,$A170,'Payment Vouchers'!$A$5:$A$2005,"&lt;="&amp;ReportTo)+SUMIFS('Partner Transactions'!$T$5:$T$2005,'Partner Transactions'!$B$5:$B$2005,$A170,'Partner Transactions'!$A$5:$A$2005,"&lt;="&amp;ReportTo)+SUMIFS('Stock Moves'!$AP$5:$AP$2005,'Stock Moves'!$J$5:$J$2005,$A170,'Stock Moves'!$A$5:$A$2005,"&lt;="&amp;ReportTo)+SUMIFS('Journal Vouchers'!$R$5:$R$2005,'Journal Vouchers'!$E$5:$E$2005,$A170,'Journal Vouchers'!$B$5:$B$2005,"&lt;="&amp;ReportTo))</f>
        <v/>
      </c>
      <c r="C170" s="26">
        <f>IF(A170="",0,SUMIFS('Direct Costs'!$AK$5:$AK$2005,'Direct Costs'!$E$5:$E$2005,$A170,'Direct Costs'!$A$5:$A$2005,"&lt;="&amp;ReportTo)+SUMIFS('Operating Expenses'!$AF$5:$AF$2005,'Operating Expenses'!$E$5:$E$2005,$A170,'Operating Expenses'!$A$5:$A$2005,"&lt;="&amp;ReportTo)+SUMIFS('Payroll'!$AB$5:$AB$2005,'Payroll'!$C$5:$C$2005,$A170,'Payroll'!$A$5:$A$2005,"&lt;="&amp;ReportTo)+SUMIFS('Receipt Vouchers'!$AB$5:$AB$2005,'Receipt Vouchers'!$E$5:$E$2005,$A170,'Receipt Vouchers'!$A$5:$A$2005,"&lt;="&amp;ReportTo)+SUMIFS('Sales Invoices'!$AC$5:$AC$2005,'Sales Invoices'!$H$5:$H$2005,$A170,'Sales Invoices'!$B$5:$B$2005,"&lt;="&amp;ReportTo)+SUMIFS('Payment Vouchers'!$S$5:$S$2005,'Payment Vouchers'!$B$5:$B$2005,$A170,'Payment Vouchers'!$A$5:$A$2005,"&lt;="&amp;ReportTo)+SUMIFS('Partner Transactions'!$U$5:$U$2005,'Partner Transactions'!$B$5:$B$2005,$A170,'Partner Transactions'!$A$5:$A$2005,"&lt;="&amp;ReportTo)+SUMIFS('Stock Moves'!$AQ$5:$AQ$2005,'Stock Moves'!$J$5:$J$2005,$A170,'Stock Moves'!$A$5:$A$2005,"&lt;="&amp;ReportTo)+SUMIFS('Journal Vouchers'!$S$5:$S$2005,'Journal Vouchers'!$E$5:$E$2005,$A170,'Journal Vouchers'!$B$5:$B$2005,"&lt;="&amp;ReportTo))</f>
        <v/>
      </c>
      <c r="D170" s="26">
        <f>B170+C170</f>
        <v/>
      </c>
    </row>
    <row r="171">
      <c r="A171" s="25">
        <f>IF(Parties!A171="","",Parties!A171)</f>
        <v/>
      </c>
      <c r="B171" s="26">
        <f>IF(A171="",0,SUMIFS('Direct Costs'!$AJ$5:$AJ$2005,'Direct Costs'!$E$5:$E$2005,$A171,'Direct Costs'!$A$5:$A$2005,"&lt;="&amp;ReportTo)+SUMIFS('Operating Expenses'!$AE$5:$AE$2005,'Operating Expenses'!$E$5:$E$2005,$A171,'Operating Expenses'!$A$5:$A$2005,"&lt;="&amp;ReportTo)+SUMIFS('Payroll'!$AA$5:$AA$2005,'Payroll'!$C$5:$C$2005,$A171,'Payroll'!$A$5:$A$2005,"&lt;="&amp;ReportTo)+SUMIFS('Receipt Vouchers'!$AA$5:$AA$2005,'Receipt Vouchers'!$E$5:$E$2005,$A171,'Receipt Vouchers'!$A$5:$A$2005,"&lt;="&amp;ReportTo)+SUMIFS('Sales Invoices'!$AB$5:$AB$2005,'Sales Invoices'!$H$5:$H$2005,$A171,'Sales Invoices'!$B$5:$B$2005,"&lt;="&amp;ReportTo)+SUMIFS('Payment Vouchers'!$R$5:$R$2005,'Payment Vouchers'!$B$5:$B$2005,$A171,'Payment Vouchers'!$A$5:$A$2005,"&lt;="&amp;ReportTo)+SUMIFS('Partner Transactions'!$T$5:$T$2005,'Partner Transactions'!$B$5:$B$2005,$A171,'Partner Transactions'!$A$5:$A$2005,"&lt;="&amp;ReportTo)+SUMIFS('Stock Moves'!$AP$5:$AP$2005,'Stock Moves'!$J$5:$J$2005,$A171,'Stock Moves'!$A$5:$A$2005,"&lt;="&amp;ReportTo)+SUMIFS('Journal Vouchers'!$R$5:$R$2005,'Journal Vouchers'!$E$5:$E$2005,$A171,'Journal Vouchers'!$B$5:$B$2005,"&lt;="&amp;ReportTo))</f>
        <v/>
      </c>
      <c r="C171" s="26">
        <f>IF(A171="",0,SUMIFS('Direct Costs'!$AK$5:$AK$2005,'Direct Costs'!$E$5:$E$2005,$A171,'Direct Costs'!$A$5:$A$2005,"&lt;="&amp;ReportTo)+SUMIFS('Operating Expenses'!$AF$5:$AF$2005,'Operating Expenses'!$E$5:$E$2005,$A171,'Operating Expenses'!$A$5:$A$2005,"&lt;="&amp;ReportTo)+SUMIFS('Payroll'!$AB$5:$AB$2005,'Payroll'!$C$5:$C$2005,$A171,'Payroll'!$A$5:$A$2005,"&lt;="&amp;ReportTo)+SUMIFS('Receipt Vouchers'!$AB$5:$AB$2005,'Receipt Vouchers'!$E$5:$E$2005,$A171,'Receipt Vouchers'!$A$5:$A$2005,"&lt;="&amp;ReportTo)+SUMIFS('Sales Invoices'!$AC$5:$AC$2005,'Sales Invoices'!$H$5:$H$2005,$A171,'Sales Invoices'!$B$5:$B$2005,"&lt;="&amp;ReportTo)+SUMIFS('Payment Vouchers'!$S$5:$S$2005,'Payment Vouchers'!$B$5:$B$2005,$A171,'Payment Vouchers'!$A$5:$A$2005,"&lt;="&amp;ReportTo)+SUMIFS('Partner Transactions'!$U$5:$U$2005,'Partner Transactions'!$B$5:$B$2005,$A171,'Partner Transactions'!$A$5:$A$2005,"&lt;="&amp;ReportTo)+SUMIFS('Stock Moves'!$AQ$5:$AQ$2005,'Stock Moves'!$J$5:$J$2005,$A171,'Stock Moves'!$A$5:$A$2005,"&lt;="&amp;ReportTo)+SUMIFS('Journal Vouchers'!$S$5:$S$2005,'Journal Vouchers'!$E$5:$E$2005,$A171,'Journal Vouchers'!$B$5:$B$2005,"&lt;="&amp;ReportTo))</f>
        <v/>
      </c>
      <c r="D171" s="26">
        <f>B171+C171</f>
        <v/>
      </c>
    </row>
    <row r="172">
      <c r="A172" s="25">
        <f>IF(Parties!A172="","",Parties!A172)</f>
        <v/>
      </c>
      <c r="B172" s="26">
        <f>IF(A172="",0,SUMIFS('Direct Costs'!$AJ$5:$AJ$2005,'Direct Costs'!$E$5:$E$2005,$A172,'Direct Costs'!$A$5:$A$2005,"&lt;="&amp;ReportTo)+SUMIFS('Operating Expenses'!$AE$5:$AE$2005,'Operating Expenses'!$E$5:$E$2005,$A172,'Operating Expenses'!$A$5:$A$2005,"&lt;="&amp;ReportTo)+SUMIFS('Payroll'!$AA$5:$AA$2005,'Payroll'!$C$5:$C$2005,$A172,'Payroll'!$A$5:$A$2005,"&lt;="&amp;ReportTo)+SUMIFS('Receipt Vouchers'!$AA$5:$AA$2005,'Receipt Vouchers'!$E$5:$E$2005,$A172,'Receipt Vouchers'!$A$5:$A$2005,"&lt;="&amp;ReportTo)+SUMIFS('Sales Invoices'!$AB$5:$AB$2005,'Sales Invoices'!$H$5:$H$2005,$A172,'Sales Invoices'!$B$5:$B$2005,"&lt;="&amp;ReportTo)+SUMIFS('Payment Vouchers'!$R$5:$R$2005,'Payment Vouchers'!$B$5:$B$2005,$A172,'Payment Vouchers'!$A$5:$A$2005,"&lt;="&amp;ReportTo)+SUMIFS('Partner Transactions'!$T$5:$T$2005,'Partner Transactions'!$B$5:$B$2005,$A172,'Partner Transactions'!$A$5:$A$2005,"&lt;="&amp;ReportTo)+SUMIFS('Stock Moves'!$AP$5:$AP$2005,'Stock Moves'!$J$5:$J$2005,$A172,'Stock Moves'!$A$5:$A$2005,"&lt;="&amp;ReportTo)+SUMIFS('Journal Vouchers'!$R$5:$R$2005,'Journal Vouchers'!$E$5:$E$2005,$A172,'Journal Vouchers'!$B$5:$B$2005,"&lt;="&amp;ReportTo))</f>
        <v/>
      </c>
      <c r="C172" s="26">
        <f>IF(A172="",0,SUMIFS('Direct Costs'!$AK$5:$AK$2005,'Direct Costs'!$E$5:$E$2005,$A172,'Direct Costs'!$A$5:$A$2005,"&lt;="&amp;ReportTo)+SUMIFS('Operating Expenses'!$AF$5:$AF$2005,'Operating Expenses'!$E$5:$E$2005,$A172,'Operating Expenses'!$A$5:$A$2005,"&lt;="&amp;ReportTo)+SUMIFS('Payroll'!$AB$5:$AB$2005,'Payroll'!$C$5:$C$2005,$A172,'Payroll'!$A$5:$A$2005,"&lt;="&amp;ReportTo)+SUMIFS('Receipt Vouchers'!$AB$5:$AB$2005,'Receipt Vouchers'!$E$5:$E$2005,$A172,'Receipt Vouchers'!$A$5:$A$2005,"&lt;="&amp;ReportTo)+SUMIFS('Sales Invoices'!$AC$5:$AC$2005,'Sales Invoices'!$H$5:$H$2005,$A172,'Sales Invoices'!$B$5:$B$2005,"&lt;="&amp;ReportTo)+SUMIFS('Payment Vouchers'!$S$5:$S$2005,'Payment Vouchers'!$B$5:$B$2005,$A172,'Payment Vouchers'!$A$5:$A$2005,"&lt;="&amp;ReportTo)+SUMIFS('Partner Transactions'!$U$5:$U$2005,'Partner Transactions'!$B$5:$B$2005,$A172,'Partner Transactions'!$A$5:$A$2005,"&lt;="&amp;ReportTo)+SUMIFS('Stock Moves'!$AQ$5:$AQ$2005,'Stock Moves'!$J$5:$J$2005,$A172,'Stock Moves'!$A$5:$A$2005,"&lt;="&amp;ReportTo)+SUMIFS('Journal Vouchers'!$S$5:$S$2005,'Journal Vouchers'!$E$5:$E$2005,$A172,'Journal Vouchers'!$B$5:$B$2005,"&lt;="&amp;ReportTo))</f>
        <v/>
      </c>
      <c r="D172" s="26">
        <f>B172+C172</f>
        <v/>
      </c>
    </row>
    <row r="173">
      <c r="A173" s="25">
        <f>IF(Parties!A173="","",Parties!A173)</f>
        <v/>
      </c>
      <c r="B173" s="26">
        <f>IF(A173="",0,SUMIFS('Direct Costs'!$AJ$5:$AJ$2005,'Direct Costs'!$E$5:$E$2005,$A173,'Direct Costs'!$A$5:$A$2005,"&lt;="&amp;ReportTo)+SUMIFS('Operating Expenses'!$AE$5:$AE$2005,'Operating Expenses'!$E$5:$E$2005,$A173,'Operating Expenses'!$A$5:$A$2005,"&lt;="&amp;ReportTo)+SUMIFS('Payroll'!$AA$5:$AA$2005,'Payroll'!$C$5:$C$2005,$A173,'Payroll'!$A$5:$A$2005,"&lt;="&amp;ReportTo)+SUMIFS('Receipt Vouchers'!$AA$5:$AA$2005,'Receipt Vouchers'!$E$5:$E$2005,$A173,'Receipt Vouchers'!$A$5:$A$2005,"&lt;="&amp;ReportTo)+SUMIFS('Sales Invoices'!$AB$5:$AB$2005,'Sales Invoices'!$H$5:$H$2005,$A173,'Sales Invoices'!$B$5:$B$2005,"&lt;="&amp;ReportTo)+SUMIFS('Payment Vouchers'!$R$5:$R$2005,'Payment Vouchers'!$B$5:$B$2005,$A173,'Payment Vouchers'!$A$5:$A$2005,"&lt;="&amp;ReportTo)+SUMIFS('Partner Transactions'!$T$5:$T$2005,'Partner Transactions'!$B$5:$B$2005,$A173,'Partner Transactions'!$A$5:$A$2005,"&lt;="&amp;ReportTo)+SUMIFS('Stock Moves'!$AP$5:$AP$2005,'Stock Moves'!$J$5:$J$2005,$A173,'Stock Moves'!$A$5:$A$2005,"&lt;="&amp;ReportTo)+SUMIFS('Journal Vouchers'!$R$5:$R$2005,'Journal Vouchers'!$E$5:$E$2005,$A173,'Journal Vouchers'!$B$5:$B$2005,"&lt;="&amp;ReportTo))</f>
        <v/>
      </c>
      <c r="C173" s="26">
        <f>IF(A173="",0,SUMIFS('Direct Costs'!$AK$5:$AK$2005,'Direct Costs'!$E$5:$E$2005,$A173,'Direct Costs'!$A$5:$A$2005,"&lt;="&amp;ReportTo)+SUMIFS('Operating Expenses'!$AF$5:$AF$2005,'Operating Expenses'!$E$5:$E$2005,$A173,'Operating Expenses'!$A$5:$A$2005,"&lt;="&amp;ReportTo)+SUMIFS('Payroll'!$AB$5:$AB$2005,'Payroll'!$C$5:$C$2005,$A173,'Payroll'!$A$5:$A$2005,"&lt;="&amp;ReportTo)+SUMIFS('Receipt Vouchers'!$AB$5:$AB$2005,'Receipt Vouchers'!$E$5:$E$2005,$A173,'Receipt Vouchers'!$A$5:$A$2005,"&lt;="&amp;ReportTo)+SUMIFS('Sales Invoices'!$AC$5:$AC$2005,'Sales Invoices'!$H$5:$H$2005,$A173,'Sales Invoices'!$B$5:$B$2005,"&lt;="&amp;ReportTo)+SUMIFS('Payment Vouchers'!$S$5:$S$2005,'Payment Vouchers'!$B$5:$B$2005,$A173,'Payment Vouchers'!$A$5:$A$2005,"&lt;="&amp;ReportTo)+SUMIFS('Partner Transactions'!$U$5:$U$2005,'Partner Transactions'!$B$5:$B$2005,$A173,'Partner Transactions'!$A$5:$A$2005,"&lt;="&amp;ReportTo)+SUMIFS('Stock Moves'!$AQ$5:$AQ$2005,'Stock Moves'!$J$5:$J$2005,$A173,'Stock Moves'!$A$5:$A$2005,"&lt;="&amp;ReportTo)+SUMIFS('Journal Vouchers'!$S$5:$S$2005,'Journal Vouchers'!$E$5:$E$2005,$A173,'Journal Vouchers'!$B$5:$B$2005,"&lt;="&amp;ReportTo))</f>
        <v/>
      </c>
      <c r="D173" s="26">
        <f>B173+C173</f>
        <v/>
      </c>
    </row>
    <row r="174">
      <c r="A174" s="25">
        <f>IF(Parties!A174="","",Parties!A174)</f>
        <v/>
      </c>
      <c r="B174" s="26">
        <f>IF(A174="",0,SUMIFS('Direct Costs'!$AJ$5:$AJ$2005,'Direct Costs'!$E$5:$E$2005,$A174,'Direct Costs'!$A$5:$A$2005,"&lt;="&amp;ReportTo)+SUMIFS('Operating Expenses'!$AE$5:$AE$2005,'Operating Expenses'!$E$5:$E$2005,$A174,'Operating Expenses'!$A$5:$A$2005,"&lt;="&amp;ReportTo)+SUMIFS('Payroll'!$AA$5:$AA$2005,'Payroll'!$C$5:$C$2005,$A174,'Payroll'!$A$5:$A$2005,"&lt;="&amp;ReportTo)+SUMIFS('Receipt Vouchers'!$AA$5:$AA$2005,'Receipt Vouchers'!$E$5:$E$2005,$A174,'Receipt Vouchers'!$A$5:$A$2005,"&lt;="&amp;ReportTo)+SUMIFS('Sales Invoices'!$AB$5:$AB$2005,'Sales Invoices'!$H$5:$H$2005,$A174,'Sales Invoices'!$B$5:$B$2005,"&lt;="&amp;ReportTo)+SUMIFS('Payment Vouchers'!$R$5:$R$2005,'Payment Vouchers'!$B$5:$B$2005,$A174,'Payment Vouchers'!$A$5:$A$2005,"&lt;="&amp;ReportTo)+SUMIFS('Partner Transactions'!$T$5:$T$2005,'Partner Transactions'!$B$5:$B$2005,$A174,'Partner Transactions'!$A$5:$A$2005,"&lt;="&amp;ReportTo)+SUMIFS('Stock Moves'!$AP$5:$AP$2005,'Stock Moves'!$J$5:$J$2005,$A174,'Stock Moves'!$A$5:$A$2005,"&lt;="&amp;ReportTo)+SUMIFS('Journal Vouchers'!$R$5:$R$2005,'Journal Vouchers'!$E$5:$E$2005,$A174,'Journal Vouchers'!$B$5:$B$2005,"&lt;="&amp;ReportTo))</f>
        <v/>
      </c>
      <c r="C174" s="26">
        <f>IF(A174="",0,SUMIFS('Direct Costs'!$AK$5:$AK$2005,'Direct Costs'!$E$5:$E$2005,$A174,'Direct Costs'!$A$5:$A$2005,"&lt;="&amp;ReportTo)+SUMIFS('Operating Expenses'!$AF$5:$AF$2005,'Operating Expenses'!$E$5:$E$2005,$A174,'Operating Expenses'!$A$5:$A$2005,"&lt;="&amp;ReportTo)+SUMIFS('Payroll'!$AB$5:$AB$2005,'Payroll'!$C$5:$C$2005,$A174,'Payroll'!$A$5:$A$2005,"&lt;="&amp;ReportTo)+SUMIFS('Receipt Vouchers'!$AB$5:$AB$2005,'Receipt Vouchers'!$E$5:$E$2005,$A174,'Receipt Vouchers'!$A$5:$A$2005,"&lt;="&amp;ReportTo)+SUMIFS('Sales Invoices'!$AC$5:$AC$2005,'Sales Invoices'!$H$5:$H$2005,$A174,'Sales Invoices'!$B$5:$B$2005,"&lt;="&amp;ReportTo)+SUMIFS('Payment Vouchers'!$S$5:$S$2005,'Payment Vouchers'!$B$5:$B$2005,$A174,'Payment Vouchers'!$A$5:$A$2005,"&lt;="&amp;ReportTo)+SUMIFS('Partner Transactions'!$U$5:$U$2005,'Partner Transactions'!$B$5:$B$2005,$A174,'Partner Transactions'!$A$5:$A$2005,"&lt;="&amp;ReportTo)+SUMIFS('Stock Moves'!$AQ$5:$AQ$2005,'Stock Moves'!$J$5:$J$2005,$A174,'Stock Moves'!$A$5:$A$2005,"&lt;="&amp;ReportTo)+SUMIFS('Journal Vouchers'!$S$5:$S$2005,'Journal Vouchers'!$E$5:$E$2005,$A174,'Journal Vouchers'!$B$5:$B$2005,"&lt;="&amp;ReportTo))</f>
        <v/>
      </c>
      <c r="D174" s="26">
        <f>B174+C174</f>
        <v/>
      </c>
    </row>
    <row r="175">
      <c r="A175" s="25">
        <f>IF(Parties!A175="","",Parties!A175)</f>
        <v/>
      </c>
      <c r="B175" s="26">
        <f>IF(A175="",0,SUMIFS('Direct Costs'!$AJ$5:$AJ$2005,'Direct Costs'!$E$5:$E$2005,$A175,'Direct Costs'!$A$5:$A$2005,"&lt;="&amp;ReportTo)+SUMIFS('Operating Expenses'!$AE$5:$AE$2005,'Operating Expenses'!$E$5:$E$2005,$A175,'Operating Expenses'!$A$5:$A$2005,"&lt;="&amp;ReportTo)+SUMIFS('Payroll'!$AA$5:$AA$2005,'Payroll'!$C$5:$C$2005,$A175,'Payroll'!$A$5:$A$2005,"&lt;="&amp;ReportTo)+SUMIFS('Receipt Vouchers'!$AA$5:$AA$2005,'Receipt Vouchers'!$E$5:$E$2005,$A175,'Receipt Vouchers'!$A$5:$A$2005,"&lt;="&amp;ReportTo)+SUMIFS('Sales Invoices'!$AB$5:$AB$2005,'Sales Invoices'!$H$5:$H$2005,$A175,'Sales Invoices'!$B$5:$B$2005,"&lt;="&amp;ReportTo)+SUMIFS('Payment Vouchers'!$R$5:$R$2005,'Payment Vouchers'!$B$5:$B$2005,$A175,'Payment Vouchers'!$A$5:$A$2005,"&lt;="&amp;ReportTo)+SUMIFS('Partner Transactions'!$T$5:$T$2005,'Partner Transactions'!$B$5:$B$2005,$A175,'Partner Transactions'!$A$5:$A$2005,"&lt;="&amp;ReportTo)+SUMIFS('Stock Moves'!$AP$5:$AP$2005,'Stock Moves'!$J$5:$J$2005,$A175,'Stock Moves'!$A$5:$A$2005,"&lt;="&amp;ReportTo)+SUMIFS('Journal Vouchers'!$R$5:$R$2005,'Journal Vouchers'!$E$5:$E$2005,$A175,'Journal Vouchers'!$B$5:$B$2005,"&lt;="&amp;ReportTo))</f>
        <v/>
      </c>
      <c r="C175" s="26">
        <f>IF(A175="",0,SUMIFS('Direct Costs'!$AK$5:$AK$2005,'Direct Costs'!$E$5:$E$2005,$A175,'Direct Costs'!$A$5:$A$2005,"&lt;="&amp;ReportTo)+SUMIFS('Operating Expenses'!$AF$5:$AF$2005,'Operating Expenses'!$E$5:$E$2005,$A175,'Operating Expenses'!$A$5:$A$2005,"&lt;="&amp;ReportTo)+SUMIFS('Payroll'!$AB$5:$AB$2005,'Payroll'!$C$5:$C$2005,$A175,'Payroll'!$A$5:$A$2005,"&lt;="&amp;ReportTo)+SUMIFS('Receipt Vouchers'!$AB$5:$AB$2005,'Receipt Vouchers'!$E$5:$E$2005,$A175,'Receipt Vouchers'!$A$5:$A$2005,"&lt;="&amp;ReportTo)+SUMIFS('Sales Invoices'!$AC$5:$AC$2005,'Sales Invoices'!$H$5:$H$2005,$A175,'Sales Invoices'!$B$5:$B$2005,"&lt;="&amp;ReportTo)+SUMIFS('Payment Vouchers'!$S$5:$S$2005,'Payment Vouchers'!$B$5:$B$2005,$A175,'Payment Vouchers'!$A$5:$A$2005,"&lt;="&amp;ReportTo)+SUMIFS('Partner Transactions'!$U$5:$U$2005,'Partner Transactions'!$B$5:$B$2005,$A175,'Partner Transactions'!$A$5:$A$2005,"&lt;="&amp;ReportTo)+SUMIFS('Stock Moves'!$AQ$5:$AQ$2005,'Stock Moves'!$J$5:$J$2005,$A175,'Stock Moves'!$A$5:$A$2005,"&lt;="&amp;ReportTo)+SUMIFS('Journal Vouchers'!$S$5:$S$2005,'Journal Vouchers'!$E$5:$E$2005,$A175,'Journal Vouchers'!$B$5:$B$2005,"&lt;="&amp;ReportTo))</f>
        <v/>
      </c>
      <c r="D175" s="26">
        <f>B175+C175</f>
        <v/>
      </c>
    </row>
    <row r="176">
      <c r="A176" s="25">
        <f>IF(Parties!A176="","",Parties!A176)</f>
        <v/>
      </c>
      <c r="B176" s="26">
        <f>IF(A176="",0,SUMIFS('Direct Costs'!$AJ$5:$AJ$2005,'Direct Costs'!$E$5:$E$2005,$A176,'Direct Costs'!$A$5:$A$2005,"&lt;="&amp;ReportTo)+SUMIFS('Operating Expenses'!$AE$5:$AE$2005,'Operating Expenses'!$E$5:$E$2005,$A176,'Operating Expenses'!$A$5:$A$2005,"&lt;="&amp;ReportTo)+SUMIFS('Payroll'!$AA$5:$AA$2005,'Payroll'!$C$5:$C$2005,$A176,'Payroll'!$A$5:$A$2005,"&lt;="&amp;ReportTo)+SUMIFS('Receipt Vouchers'!$AA$5:$AA$2005,'Receipt Vouchers'!$E$5:$E$2005,$A176,'Receipt Vouchers'!$A$5:$A$2005,"&lt;="&amp;ReportTo)+SUMIFS('Sales Invoices'!$AB$5:$AB$2005,'Sales Invoices'!$H$5:$H$2005,$A176,'Sales Invoices'!$B$5:$B$2005,"&lt;="&amp;ReportTo)+SUMIFS('Payment Vouchers'!$R$5:$R$2005,'Payment Vouchers'!$B$5:$B$2005,$A176,'Payment Vouchers'!$A$5:$A$2005,"&lt;="&amp;ReportTo)+SUMIFS('Partner Transactions'!$T$5:$T$2005,'Partner Transactions'!$B$5:$B$2005,$A176,'Partner Transactions'!$A$5:$A$2005,"&lt;="&amp;ReportTo)+SUMIFS('Stock Moves'!$AP$5:$AP$2005,'Stock Moves'!$J$5:$J$2005,$A176,'Stock Moves'!$A$5:$A$2005,"&lt;="&amp;ReportTo)+SUMIFS('Journal Vouchers'!$R$5:$R$2005,'Journal Vouchers'!$E$5:$E$2005,$A176,'Journal Vouchers'!$B$5:$B$2005,"&lt;="&amp;ReportTo))</f>
        <v/>
      </c>
      <c r="C176" s="26">
        <f>IF(A176="",0,SUMIFS('Direct Costs'!$AK$5:$AK$2005,'Direct Costs'!$E$5:$E$2005,$A176,'Direct Costs'!$A$5:$A$2005,"&lt;="&amp;ReportTo)+SUMIFS('Operating Expenses'!$AF$5:$AF$2005,'Operating Expenses'!$E$5:$E$2005,$A176,'Operating Expenses'!$A$5:$A$2005,"&lt;="&amp;ReportTo)+SUMIFS('Payroll'!$AB$5:$AB$2005,'Payroll'!$C$5:$C$2005,$A176,'Payroll'!$A$5:$A$2005,"&lt;="&amp;ReportTo)+SUMIFS('Receipt Vouchers'!$AB$5:$AB$2005,'Receipt Vouchers'!$E$5:$E$2005,$A176,'Receipt Vouchers'!$A$5:$A$2005,"&lt;="&amp;ReportTo)+SUMIFS('Sales Invoices'!$AC$5:$AC$2005,'Sales Invoices'!$H$5:$H$2005,$A176,'Sales Invoices'!$B$5:$B$2005,"&lt;="&amp;ReportTo)+SUMIFS('Payment Vouchers'!$S$5:$S$2005,'Payment Vouchers'!$B$5:$B$2005,$A176,'Payment Vouchers'!$A$5:$A$2005,"&lt;="&amp;ReportTo)+SUMIFS('Partner Transactions'!$U$5:$U$2005,'Partner Transactions'!$B$5:$B$2005,$A176,'Partner Transactions'!$A$5:$A$2005,"&lt;="&amp;ReportTo)+SUMIFS('Stock Moves'!$AQ$5:$AQ$2005,'Stock Moves'!$J$5:$J$2005,$A176,'Stock Moves'!$A$5:$A$2005,"&lt;="&amp;ReportTo)+SUMIFS('Journal Vouchers'!$S$5:$S$2005,'Journal Vouchers'!$E$5:$E$2005,$A176,'Journal Vouchers'!$B$5:$B$2005,"&lt;="&amp;ReportTo))</f>
        <v/>
      </c>
      <c r="D176" s="26">
        <f>B176+C176</f>
        <v/>
      </c>
    </row>
    <row r="177">
      <c r="A177" s="25">
        <f>IF(Parties!A177="","",Parties!A177)</f>
        <v/>
      </c>
      <c r="B177" s="26">
        <f>IF(A177="",0,SUMIFS('Direct Costs'!$AJ$5:$AJ$2005,'Direct Costs'!$E$5:$E$2005,$A177,'Direct Costs'!$A$5:$A$2005,"&lt;="&amp;ReportTo)+SUMIFS('Operating Expenses'!$AE$5:$AE$2005,'Operating Expenses'!$E$5:$E$2005,$A177,'Operating Expenses'!$A$5:$A$2005,"&lt;="&amp;ReportTo)+SUMIFS('Payroll'!$AA$5:$AA$2005,'Payroll'!$C$5:$C$2005,$A177,'Payroll'!$A$5:$A$2005,"&lt;="&amp;ReportTo)+SUMIFS('Receipt Vouchers'!$AA$5:$AA$2005,'Receipt Vouchers'!$E$5:$E$2005,$A177,'Receipt Vouchers'!$A$5:$A$2005,"&lt;="&amp;ReportTo)+SUMIFS('Sales Invoices'!$AB$5:$AB$2005,'Sales Invoices'!$H$5:$H$2005,$A177,'Sales Invoices'!$B$5:$B$2005,"&lt;="&amp;ReportTo)+SUMIFS('Payment Vouchers'!$R$5:$R$2005,'Payment Vouchers'!$B$5:$B$2005,$A177,'Payment Vouchers'!$A$5:$A$2005,"&lt;="&amp;ReportTo)+SUMIFS('Partner Transactions'!$T$5:$T$2005,'Partner Transactions'!$B$5:$B$2005,$A177,'Partner Transactions'!$A$5:$A$2005,"&lt;="&amp;ReportTo)+SUMIFS('Stock Moves'!$AP$5:$AP$2005,'Stock Moves'!$J$5:$J$2005,$A177,'Stock Moves'!$A$5:$A$2005,"&lt;="&amp;ReportTo)+SUMIFS('Journal Vouchers'!$R$5:$R$2005,'Journal Vouchers'!$E$5:$E$2005,$A177,'Journal Vouchers'!$B$5:$B$2005,"&lt;="&amp;ReportTo))</f>
        <v/>
      </c>
      <c r="C177" s="26">
        <f>IF(A177="",0,SUMIFS('Direct Costs'!$AK$5:$AK$2005,'Direct Costs'!$E$5:$E$2005,$A177,'Direct Costs'!$A$5:$A$2005,"&lt;="&amp;ReportTo)+SUMIFS('Operating Expenses'!$AF$5:$AF$2005,'Operating Expenses'!$E$5:$E$2005,$A177,'Operating Expenses'!$A$5:$A$2005,"&lt;="&amp;ReportTo)+SUMIFS('Payroll'!$AB$5:$AB$2005,'Payroll'!$C$5:$C$2005,$A177,'Payroll'!$A$5:$A$2005,"&lt;="&amp;ReportTo)+SUMIFS('Receipt Vouchers'!$AB$5:$AB$2005,'Receipt Vouchers'!$E$5:$E$2005,$A177,'Receipt Vouchers'!$A$5:$A$2005,"&lt;="&amp;ReportTo)+SUMIFS('Sales Invoices'!$AC$5:$AC$2005,'Sales Invoices'!$H$5:$H$2005,$A177,'Sales Invoices'!$B$5:$B$2005,"&lt;="&amp;ReportTo)+SUMIFS('Payment Vouchers'!$S$5:$S$2005,'Payment Vouchers'!$B$5:$B$2005,$A177,'Payment Vouchers'!$A$5:$A$2005,"&lt;="&amp;ReportTo)+SUMIFS('Partner Transactions'!$U$5:$U$2005,'Partner Transactions'!$B$5:$B$2005,$A177,'Partner Transactions'!$A$5:$A$2005,"&lt;="&amp;ReportTo)+SUMIFS('Stock Moves'!$AQ$5:$AQ$2005,'Stock Moves'!$J$5:$J$2005,$A177,'Stock Moves'!$A$5:$A$2005,"&lt;="&amp;ReportTo)+SUMIFS('Journal Vouchers'!$S$5:$S$2005,'Journal Vouchers'!$E$5:$E$2005,$A177,'Journal Vouchers'!$B$5:$B$2005,"&lt;="&amp;ReportTo))</f>
        <v/>
      </c>
      <c r="D177" s="26">
        <f>B177+C177</f>
        <v/>
      </c>
    </row>
    <row r="178">
      <c r="A178" s="25">
        <f>IF(Parties!A178="","",Parties!A178)</f>
        <v/>
      </c>
      <c r="B178" s="26">
        <f>IF(A178="",0,SUMIFS('Direct Costs'!$AJ$5:$AJ$2005,'Direct Costs'!$E$5:$E$2005,$A178,'Direct Costs'!$A$5:$A$2005,"&lt;="&amp;ReportTo)+SUMIFS('Operating Expenses'!$AE$5:$AE$2005,'Operating Expenses'!$E$5:$E$2005,$A178,'Operating Expenses'!$A$5:$A$2005,"&lt;="&amp;ReportTo)+SUMIFS('Payroll'!$AA$5:$AA$2005,'Payroll'!$C$5:$C$2005,$A178,'Payroll'!$A$5:$A$2005,"&lt;="&amp;ReportTo)+SUMIFS('Receipt Vouchers'!$AA$5:$AA$2005,'Receipt Vouchers'!$E$5:$E$2005,$A178,'Receipt Vouchers'!$A$5:$A$2005,"&lt;="&amp;ReportTo)+SUMIFS('Sales Invoices'!$AB$5:$AB$2005,'Sales Invoices'!$H$5:$H$2005,$A178,'Sales Invoices'!$B$5:$B$2005,"&lt;="&amp;ReportTo)+SUMIFS('Payment Vouchers'!$R$5:$R$2005,'Payment Vouchers'!$B$5:$B$2005,$A178,'Payment Vouchers'!$A$5:$A$2005,"&lt;="&amp;ReportTo)+SUMIFS('Partner Transactions'!$T$5:$T$2005,'Partner Transactions'!$B$5:$B$2005,$A178,'Partner Transactions'!$A$5:$A$2005,"&lt;="&amp;ReportTo)+SUMIFS('Stock Moves'!$AP$5:$AP$2005,'Stock Moves'!$J$5:$J$2005,$A178,'Stock Moves'!$A$5:$A$2005,"&lt;="&amp;ReportTo)+SUMIFS('Journal Vouchers'!$R$5:$R$2005,'Journal Vouchers'!$E$5:$E$2005,$A178,'Journal Vouchers'!$B$5:$B$2005,"&lt;="&amp;ReportTo))</f>
        <v/>
      </c>
      <c r="C178" s="26">
        <f>IF(A178="",0,SUMIFS('Direct Costs'!$AK$5:$AK$2005,'Direct Costs'!$E$5:$E$2005,$A178,'Direct Costs'!$A$5:$A$2005,"&lt;="&amp;ReportTo)+SUMIFS('Operating Expenses'!$AF$5:$AF$2005,'Operating Expenses'!$E$5:$E$2005,$A178,'Operating Expenses'!$A$5:$A$2005,"&lt;="&amp;ReportTo)+SUMIFS('Payroll'!$AB$5:$AB$2005,'Payroll'!$C$5:$C$2005,$A178,'Payroll'!$A$5:$A$2005,"&lt;="&amp;ReportTo)+SUMIFS('Receipt Vouchers'!$AB$5:$AB$2005,'Receipt Vouchers'!$E$5:$E$2005,$A178,'Receipt Vouchers'!$A$5:$A$2005,"&lt;="&amp;ReportTo)+SUMIFS('Sales Invoices'!$AC$5:$AC$2005,'Sales Invoices'!$H$5:$H$2005,$A178,'Sales Invoices'!$B$5:$B$2005,"&lt;="&amp;ReportTo)+SUMIFS('Payment Vouchers'!$S$5:$S$2005,'Payment Vouchers'!$B$5:$B$2005,$A178,'Payment Vouchers'!$A$5:$A$2005,"&lt;="&amp;ReportTo)+SUMIFS('Partner Transactions'!$U$5:$U$2005,'Partner Transactions'!$B$5:$B$2005,$A178,'Partner Transactions'!$A$5:$A$2005,"&lt;="&amp;ReportTo)+SUMIFS('Stock Moves'!$AQ$5:$AQ$2005,'Stock Moves'!$J$5:$J$2005,$A178,'Stock Moves'!$A$5:$A$2005,"&lt;="&amp;ReportTo)+SUMIFS('Journal Vouchers'!$S$5:$S$2005,'Journal Vouchers'!$E$5:$E$2005,$A178,'Journal Vouchers'!$B$5:$B$2005,"&lt;="&amp;ReportTo))</f>
        <v/>
      </c>
      <c r="D178" s="26">
        <f>B178+C178</f>
        <v/>
      </c>
    </row>
    <row r="179">
      <c r="A179" s="25">
        <f>IF(Parties!A179="","",Parties!A179)</f>
        <v/>
      </c>
      <c r="B179" s="26">
        <f>IF(A179="",0,SUMIFS('Direct Costs'!$AJ$5:$AJ$2005,'Direct Costs'!$E$5:$E$2005,$A179,'Direct Costs'!$A$5:$A$2005,"&lt;="&amp;ReportTo)+SUMIFS('Operating Expenses'!$AE$5:$AE$2005,'Operating Expenses'!$E$5:$E$2005,$A179,'Operating Expenses'!$A$5:$A$2005,"&lt;="&amp;ReportTo)+SUMIFS('Payroll'!$AA$5:$AA$2005,'Payroll'!$C$5:$C$2005,$A179,'Payroll'!$A$5:$A$2005,"&lt;="&amp;ReportTo)+SUMIFS('Receipt Vouchers'!$AA$5:$AA$2005,'Receipt Vouchers'!$E$5:$E$2005,$A179,'Receipt Vouchers'!$A$5:$A$2005,"&lt;="&amp;ReportTo)+SUMIFS('Sales Invoices'!$AB$5:$AB$2005,'Sales Invoices'!$H$5:$H$2005,$A179,'Sales Invoices'!$B$5:$B$2005,"&lt;="&amp;ReportTo)+SUMIFS('Payment Vouchers'!$R$5:$R$2005,'Payment Vouchers'!$B$5:$B$2005,$A179,'Payment Vouchers'!$A$5:$A$2005,"&lt;="&amp;ReportTo)+SUMIFS('Partner Transactions'!$T$5:$T$2005,'Partner Transactions'!$B$5:$B$2005,$A179,'Partner Transactions'!$A$5:$A$2005,"&lt;="&amp;ReportTo)+SUMIFS('Stock Moves'!$AP$5:$AP$2005,'Stock Moves'!$J$5:$J$2005,$A179,'Stock Moves'!$A$5:$A$2005,"&lt;="&amp;ReportTo)+SUMIFS('Journal Vouchers'!$R$5:$R$2005,'Journal Vouchers'!$E$5:$E$2005,$A179,'Journal Vouchers'!$B$5:$B$2005,"&lt;="&amp;ReportTo))</f>
        <v/>
      </c>
      <c r="C179" s="26">
        <f>IF(A179="",0,SUMIFS('Direct Costs'!$AK$5:$AK$2005,'Direct Costs'!$E$5:$E$2005,$A179,'Direct Costs'!$A$5:$A$2005,"&lt;="&amp;ReportTo)+SUMIFS('Operating Expenses'!$AF$5:$AF$2005,'Operating Expenses'!$E$5:$E$2005,$A179,'Operating Expenses'!$A$5:$A$2005,"&lt;="&amp;ReportTo)+SUMIFS('Payroll'!$AB$5:$AB$2005,'Payroll'!$C$5:$C$2005,$A179,'Payroll'!$A$5:$A$2005,"&lt;="&amp;ReportTo)+SUMIFS('Receipt Vouchers'!$AB$5:$AB$2005,'Receipt Vouchers'!$E$5:$E$2005,$A179,'Receipt Vouchers'!$A$5:$A$2005,"&lt;="&amp;ReportTo)+SUMIFS('Sales Invoices'!$AC$5:$AC$2005,'Sales Invoices'!$H$5:$H$2005,$A179,'Sales Invoices'!$B$5:$B$2005,"&lt;="&amp;ReportTo)+SUMIFS('Payment Vouchers'!$S$5:$S$2005,'Payment Vouchers'!$B$5:$B$2005,$A179,'Payment Vouchers'!$A$5:$A$2005,"&lt;="&amp;ReportTo)+SUMIFS('Partner Transactions'!$U$5:$U$2005,'Partner Transactions'!$B$5:$B$2005,$A179,'Partner Transactions'!$A$5:$A$2005,"&lt;="&amp;ReportTo)+SUMIFS('Stock Moves'!$AQ$5:$AQ$2005,'Stock Moves'!$J$5:$J$2005,$A179,'Stock Moves'!$A$5:$A$2005,"&lt;="&amp;ReportTo)+SUMIFS('Journal Vouchers'!$S$5:$S$2005,'Journal Vouchers'!$E$5:$E$2005,$A179,'Journal Vouchers'!$B$5:$B$2005,"&lt;="&amp;ReportTo))</f>
        <v/>
      </c>
      <c r="D179" s="26">
        <f>B179+C179</f>
        <v/>
      </c>
    </row>
    <row r="180">
      <c r="A180" s="25">
        <f>IF(Parties!A180="","",Parties!A180)</f>
        <v/>
      </c>
      <c r="B180" s="26">
        <f>IF(A180="",0,SUMIFS('Direct Costs'!$AJ$5:$AJ$2005,'Direct Costs'!$E$5:$E$2005,$A180,'Direct Costs'!$A$5:$A$2005,"&lt;="&amp;ReportTo)+SUMIFS('Operating Expenses'!$AE$5:$AE$2005,'Operating Expenses'!$E$5:$E$2005,$A180,'Operating Expenses'!$A$5:$A$2005,"&lt;="&amp;ReportTo)+SUMIFS('Payroll'!$AA$5:$AA$2005,'Payroll'!$C$5:$C$2005,$A180,'Payroll'!$A$5:$A$2005,"&lt;="&amp;ReportTo)+SUMIFS('Receipt Vouchers'!$AA$5:$AA$2005,'Receipt Vouchers'!$E$5:$E$2005,$A180,'Receipt Vouchers'!$A$5:$A$2005,"&lt;="&amp;ReportTo)+SUMIFS('Sales Invoices'!$AB$5:$AB$2005,'Sales Invoices'!$H$5:$H$2005,$A180,'Sales Invoices'!$B$5:$B$2005,"&lt;="&amp;ReportTo)+SUMIFS('Payment Vouchers'!$R$5:$R$2005,'Payment Vouchers'!$B$5:$B$2005,$A180,'Payment Vouchers'!$A$5:$A$2005,"&lt;="&amp;ReportTo)+SUMIFS('Partner Transactions'!$T$5:$T$2005,'Partner Transactions'!$B$5:$B$2005,$A180,'Partner Transactions'!$A$5:$A$2005,"&lt;="&amp;ReportTo)+SUMIFS('Stock Moves'!$AP$5:$AP$2005,'Stock Moves'!$J$5:$J$2005,$A180,'Stock Moves'!$A$5:$A$2005,"&lt;="&amp;ReportTo)+SUMIFS('Journal Vouchers'!$R$5:$R$2005,'Journal Vouchers'!$E$5:$E$2005,$A180,'Journal Vouchers'!$B$5:$B$2005,"&lt;="&amp;ReportTo))</f>
        <v/>
      </c>
      <c r="C180" s="26">
        <f>IF(A180="",0,SUMIFS('Direct Costs'!$AK$5:$AK$2005,'Direct Costs'!$E$5:$E$2005,$A180,'Direct Costs'!$A$5:$A$2005,"&lt;="&amp;ReportTo)+SUMIFS('Operating Expenses'!$AF$5:$AF$2005,'Operating Expenses'!$E$5:$E$2005,$A180,'Operating Expenses'!$A$5:$A$2005,"&lt;="&amp;ReportTo)+SUMIFS('Payroll'!$AB$5:$AB$2005,'Payroll'!$C$5:$C$2005,$A180,'Payroll'!$A$5:$A$2005,"&lt;="&amp;ReportTo)+SUMIFS('Receipt Vouchers'!$AB$5:$AB$2005,'Receipt Vouchers'!$E$5:$E$2005,$A180,'Receipt Vouchers'!$A$5:$A$2005,"&lt;="&amp;ReportTo)+SUMIFS('Sales Invoices'!$AC$5:$AC$2005,'Sales Invoices'!$H$5:$H$2005,$A180,'Sales Invoices'!$B$5:$B$2005,"&lt;="&amp;ReportTo)+SUMIFS('Payment Vouchers'!$S$5:$S$2005,'Payment Vouchers'!$B$5:$B$2005,$A180,'Payment Vouchers'!$A$5:$A$2005,"&lt;="&amp;ReportTo)+SUMIFS('Partner Transactions'!$U$5:$U$2005,'Partner Transactions'!$B$5:$B$2005,$A180,'Partner Transactions'!$A$5:$A$2005,"&lt;="&amp;ReportTo)+SUMIFS('Stock Moves'!$AQ$5:$AQ$2005,'Stock Moves'!$J$5:$J$2005,$A180,'Stock Moves'!$A$5:$A$2005,"&lt;="&amp;ReportTo)+SUMIFS('Journal Vouchers'!$S$5:$S$2005,'Journal Vouchers'!$E$5:$E$2005,$A180,'Journal Vouchers'!$B$5:$B$2005,"&lt;="&amp;ReportTo))</f>
        <v/>
      </c>
      <c r="D180" s="26">
        <f>B180+C180</f>
        <v/>
      </c>
    </row>
    <row r="181">
      <c r="A181" s="25">
        <f>IF(Parties!A181="","",Parties!A181)</f>
        <v/>
      </c>
      <c r="B181" s="26">
        <f>IF(A181="",0,SUMIFS('Direct Costs'!$AJ$5:$AJ$2005,'Direct Costs'!$E$5:$E$2005,$A181,'Direct Costs'!$A$5:$A$2005,"&lt;="&amp;ReportTo)+SUMIFS('Operating Expenses'!$AE$5:$AE$2005,'Operating Expenses'!$E$5:$E$2005,$A181,'Operating Expenses'!$A$5:$A$2005,"&lt;="&amp;ReportTo)+SUMIFS('Payroll'!$AA$5:$AA$2005,'Payroll'!$C$5:$C$2005,$A181,'Payroll'!$A$5:$A$2005,"&lt;="&amp;ReportTo)+SUMIFS('Receipt Vouchers'!$AA$5:$AA$2005,'Receipt Vouchers'!$E$5:$E$2005,$A181,'Receipt Vouchers'!$A$5:$A$2005,"&lt;="&amp;ReportTo)+SUMIFS('Sales Invoices'!$AB$5:$AB$2005,'Sales Invoices'!$H$5:$H$2005,$A181,'Sales Invoices'!$B$5:$B$2005,"&lt;="&amp;ReportTo)+SUMIFS('Payment Vouchers'!$R$5:$R$2005,'Payment Vouchers'!$B$5:$B$2005,$A181,'Payment Vouchers'!$A$5:$A$2005,"&lt;="&amp;ReportTo)+SUMIFS('Partner Transactions'!$T$5:$T$2005,'Partner Transactions'!$B$5:$B$2005,$A181,'Partner Transactions'!$A$5:$A$2005,"&lt;="&amp;ReportTo)+SUMIFS('Stock Moves'!$AP$5:$AP$2005,'Stock Moves'!$J$5:$J$2005,$A181,'Stock Moves'!$A$5:$A$2005,"&lt;="&amp;ReportTo)+SUMIFS('Journal Vouchers'!$R$5:$R$2005,'Journal Vouchers'!$E$5:$E$2005,$A181,'Journal Vouchers'!$B$5:$B$2005,"&lt;="&amp;ReportTo))</f>
        <v/>
      </c>
      <c r="C181" s="26">
        <f>IF(A181="",0,SUMIFS('Direct Costs'!$AK$5:$AK$2005,'Direct Costs'!$E$5:$E$2005,$A181,'Direct Costs'!$A$5:$A$2005,"&lt;="&amp;ReportTo)+SUMIFS('Operating Expenses'!$AF$5:$AF$2005,'Operating Expenses'!$E$5:$E$2005,$A181,'Operating Expenses'!$A$5:$A$2005,"&lt;="&amp;ReportTo)+SUMIFS('Payroll'!$AB$5:$AB$2005,'Payroll'!$C$5:$C$2005,$A181,'Payroll'!$A$5:$A$2005,"&lt;="&amp;ReportTo)+SUMIFS('Receipt Vouchers'!$AB$5:$AB$2005,'Receipt Vouchers'!$E$5:$E$2005,$A181,'Receipt Vouchers'!$A$5:$A$2005,"&lt;="&amp;ReportTo)+SUMIFS('Sales Invoices'!$AC$5:$AC$2005,'Sales Invoices'!$H$5:$H$2005,$A181,'Sales Invoices'!$B$5:$B$2005,"&lt;="&amp;ReportTo)+SUMIFS('Payment Vouchers'!$S$5:$S$2005,'Payment Vouchers'!$B$5:$B$2005,$A181,'Payment Vouchers'!$A$5:$A$2005,"&lt;="&amp;ReportTo)+SUMIFS('Partner Transactions'!$U$5:$U$2005,'Partner Transactions'!$B$5:$B$2005,$A181,'Partner Transactions'!$A$5:$A$2005,"&lt;="&amp;ReportTo)+SUMIFS('Stock Moves'!$AQ$5:$AQ$2005,'Stock Moves'!$J$5:$J$2005,$A181,'Stock Moves'!$A$5:$A$2005,"&lt;="&amp;ReportTo)+SUMIFS('Journal Vouchers'!$S$5:$S$2005,'Journal Vouchers'!$E$5:$E$2005,$A181,'Journal Vouchers'!$B$5:$B$2005,"&lt;="&amp;ReportTo))</f>
        <v/>
      </c>
      <c r="D181" s="26">
        <f>B181+C181</f>
        <v/>
      </c>
    </row>
    <row r="182">
      <c r="A182" s="25">
        <f>IF(Parties!A182="","",Parties!A182)</f>
        <v/>
      </c>
      <c r="B182" s="26">
        <f>IF(A182="",0,SUMIFS('Direct Costs'!$AJ$5:$AJ$2005,'Direct Costs'!$E$5:$E$2005,$A182,'Direct Costs'!$A$5:$A$2005,"&lt;="&amp;ReportTo)+SUMIFS('Operating Expenses'!$AE$5:$AE$2005,'Operating Expenses'!$E$5:$E$2005,$A182,'Operating Expenses'!$A$5:$A$2005,"&lt;="&amp;ReportTo)+SUMIFS('Payroll'!$AA$5:$AA$2005,'Payroll'!$C$5:$C$2005,$A182,'Payroll'!$A$5:$A$2005,"&lt;="&amp;ReportTo)+SUMIFS('Receipt Vouchers'!$AA$5:$AA$2005,'Receipt Vouchers'!$E$5:$E$2005,$A182,'Receipt Vouchers'!$A$5:$A$2005,"&lt;="&amp;ReportTo)+SUMIFS('Sales Invoices'!$AB$5:$AB$2005,'Sales Invoices'!$H$5:$H$2005,$A182,'Sales Invoices'!$B$5:$B$2005,"&lt;="&amp;ReportTo)+SUMIFS('Payment Vouchers'!$R$5:$R$2005,'Payment Vouchers'!$B$5:$B$2005,$A182,'Payment Vouchers'!$A$5:$A$2005,"&lt;="&amp;ReportTo)+SUMIFS('Partner Transactions'!$T$5:$T$2005,'Partner Transactions'!$B$5:$B$2005,$A182,'Partner Transactions'!$A$5:$A$2005,"&lt;="&amp;ReportTo)+SUMIFS('Stock Moves'!$AP$5:$AP$2005,'Stock Moves'!$J$5:$J$2005,$A182,'Stock Moves'!$A$5:$A$2005,"&lt;="&amp;ReportTo)+SUMIFS('Journal Vouchers'!$R$5:$R$2005,'Journal Vouchers'!$E$5:$E$2005,$A182,'Journal Vouchers'!$B$5:$B$2005,"&lt;="&amp;ReportTo))</f>
        <v/>
      </c>
      <c r="C182" s="26">
        <f>IF(A182="",0,SUMIFS('Direct Costs'!$AK$5:$AK$2005,'Direct Costs'!$E$5:$E$2005,$A182,'Direct Costs'!$A$5:$A$2005,"&lt;="&amp;ReportTo)+SUMIFS('Operating Expenses'!$AF$5:$AF$2005,'Operating Expenses'!$E$5:$E$2005,$A182,'Operating Expenses'!$A$5:$A$2005,"&lt;="&amp;ReportTo)+SUMIFS('Payroll'!$AB$5:$AB$2005,'Payroll'!$C$5:$C$2005,$A182,'Payroll'!$A$5:$A$2005,"&lt;="&amp;ReportTo)+SUMIFS('Receipt Vouchers'!$AB$5:$AB$2005,'Receipt Vouchers'!$E$5:$E$2005,$A182,'Receipt Vouchers'!$A$5:$A$2005,"&lt;="&amp;ReportTo)+SUMIFS('Sales Invoices'!$AC$5:$AC$2005,'Sales Invoices'!$H$5:$H$2005,$A182,'Sales Invoices'!$B$5:$B$2005,"&lt;="&amp;ReportTo)+SUMIFS('Payment Vouchers'!$S$5:$S$2005,'Payment Vouchers'!$B$5:$B$2005,$A182,'Payment Vouchers'!$A$5:$A$2005,"&lt;="&amp;ReportTo)+SUMIFS('Partner Transactions'!$U$5:$U$2005,'Partner Transactions'!$B$5:$B$2005,$A182,'Partner Transactions'!$A$5:$A$2005,"&lt;="&amp;ReportTo)+SUMIFS('Stock Moves'!$AQ$5:$AQ$2005,'Stock Moves'!$J$5:$J$2005,$A182,'Stock Moves'!$A$5:$A$2005,"&lt;="&amp;ReportTo)+SUMIFS('Journal Vouchers'!$S$5:$S$2005,'Journal Vouchers'!$E$5:$E$2005,$A182,'Journal Vouchers'!$B$5:$B$2005,"&lt;="&amp;ReportTo))</f>
        <v/>
      </c>
      <c r="D182" s="26">
        <f>B182+C182</f>
        <v/>
      </c>
    </row>
    <row r="183">
      <c r="A183" s="25">
        <f>IF(Parties!A183="","",Parties!A183)</f>
        <v/>
      </c>
      <c r="B183" s="26">
        <f>IF(A183="",0,SUMIFS('Direct Costs'!$AJ$5:$AJ$2005,'Direct Costs'!$E$5:$E$2005,$A183,'Direct Costs'!$A$5:$A$2005,"&lt;="&amp;ReportTo)+SUMIFS('Operating Expenses'!$AE$5:$AE$2005,'Operating Expenses'!$E$5:$E$2005,$A183,'Operating Expenses'!$A$5:$A$2005,"&lt;="&amp;ReportTo)+SUMIFS('Payroll'!$AA$5:$AA$2005,'Payroll'!$C$5:$C$2005,$A183,'Payroll'!$A$5:$A$2005,"&lt;="&amp;ReportTo)+SUMIFS('Receipt Vouchers'!$AA$5:$AA$2005,'Receipt Vouchers'!$E$5:$E$2005,$A183,'Receipt Vouchers'!$A$5:$A$2005,"&lt;="&amp;ReportTo)+SUMIFS('Sales Invoices'!$AB$5:$AB$2005,'Sales Invoices'!$H$5:$H$2005,$A183,'Sales Invoices'!$B$5:$B$2005,"&lt;="&amp;ReportTo)+SUMIFS('Payment Vouchers'!$R$5:$R$2005,'Payment Vouchers'!$B$5:$B$2005,$A183,'Payment Vouchers'!$A$5:$A$2005,"&lt;="&amp;ReportTo)+SUMIFS('Partner Transactions'!$T$5:$T$2005,'Partner Transactions'!$B$5:$B$2005,$A183,'Partner Transactions'!$A$5:$A$2005,"&lt;="&amp;ReportTo)+SUMIFS('Stock Moves'!$AP$5:$AP$2005,'Stock Moves'!$J$5:$J$2005,$A183,'Stock Moves'!$A$5:$A$2005,"&lt;="&amp;ReportTo)+SUMIFS('Journal Vouchers'!$R$5:$R$2005,'Journal Vouchers'!$E$5:$E$2005,$A183,'Journal Vouchers'!$B$5:$B$2005,"&lt;="&amp;ReportTo))</f>
        <v/>
      </c>
      <c r="C183" s="26">
        <f>IF(A183="",0,SUMIFS('Direct Costs'!$AK$5:$AK$2005,'Direct Costs'!$E$5:$E$2005,$A183,'Direct Costs'!$A$5:$A$2005,"&lt;="&amp;ReportTo)+SUMIFS('Operating Expenses'!$AF$5:$AF$2005,'Operating Expenses'!$E$5:$E$2005,$A183,'Operating Expenses'!$A$5:$A$2005,"&lt;="&amp;ReportTo)+SUMIFS('Payroll'!$AB$5:$AB$2005,'Payroll'!$C$5:$C$2005,$A183,'Payroll'!$A$5:$A$2005,"&lt;="&amp;ReportTo)+SUMIFS('Receipt Vouchers'!$AB$5:$AB$2005,'Receipt Vouchers'!$E$5:$E$2005,$A183,'Receipt Vouchers'!$A$5:$A$2005,"&lt;="&amp;ReportTo)+SUMIFS('Sales Invoices'!$AC$5:$AC$2005,'Sales Invoices'!$H$5:$H$2005,$A183,'Sales Invoices'!$B$5:$B$2005,"&lt;="&amp;ReportTo)+SUMIFS('Payment Vouchers'!$S$5:$S$2005,'Payment Vouchers'!$B$5:$B$2005,$A183,'Payment Vouchers'!$A$5:$A$2005,"&lt;="&amp;ReportTo)+SUMIFS('Partner Transactions'!$U$5:$U$2005,'Partner Transactions'!$B$5:$B$2005,$A183,'Partner Transactions'!$A$5:$A$2005,"&lt;="&amp;ReportTo)+SUMIFS('Stock Moves'!$AQ$5:$AQ$2005,'Stock Moves'!$J$5:$J$2005,$A183,'Stock Moves'!$A$5:$A$2005,"&lt;="&amp;ReportTo)+SUMIFS('Journal Vouchers'!$S$5:$S$2005,'Journal Vouchers'!$E$5:$E$2005,$A183,'Journal Vouchers'!$B$5:$B$2005,"&lt;="&amp;ReportTo))</f>
        <v/>
      </c>
      <c r="D183" s="26">
        <f>B183+C183</f>
        <v/>
      </c>
    </row>
    <row r="184">
      <c r="A184" s="25">
        <f>IF(Parties!A184="","",Parties!A184)</f>
        <v/>
      </c>
      <c r="B184" s="26">
        <f>IF(A184="",0,SUMIFS('Direct Costs'!$AJ$5:$AJ$2005,'Direct Costs'!$E$5:$E$2005,$A184,'Direct Costs'!$A$5:$A$2005,"&lt;="&amp;ReportTo)+SUMIFS('Operating Expenses'!$AE$5:$AE$2005,'Operating Expenses'!$E$5:$E$2005,$A184,'Operating Expenses'!$A$5:$A$2005,"&lt;="&amp;ReportTo)+SUMIFS('Payroll'!$AA$5:$AA$2005,'Payroll'!$C$5:$C$2005,$A184,'Payroll'!$A$5:$A$2005,"&lt;="&amp;ReportTo)+SUMIFS('Receipt Vouchers'!$AA$5:$AA$2005,'Receipt Vouchers'!$E$5:$E$2005,$A184,'Receipt Vouchers'!$A$5:$A$2005,"&lt;="&amp;ReportTo)+SUMIFS('Sales Invoices'!$AB$5:$AB$2005,'Sales Invoices'!$H$5:$H$2005,$A184,'Sales Invoices'!$B$5:$B$2005,"&lt;="&amp;ReportTo)+SUMIFS('Payment Vouchers'!$R$5:$R$2005,'Payment Vouchers'!$B$5:$B$2005,$A184,'Payment Vouchers'!$A$5:$A$2005,"&lt;="&amp;ReportTo)+SUMIFS('Partner Transactions'!$T$5:$T$2005,'Partner Transactions'!$B$5:$B$2005,$A184,'Partner Transactions'!$A$5:$A$2005,"&lt;="&amp;ReportTo)+SUMIFS('Stock Moves'!$AP$5:$AP$2005,'Stock Moves'!$J$5:$J$2005,$A184,'Stock Moves'!$A$5:$A$2005,"&lt;="&amp;ReportTo)+SUMIFS('Journal Vouchers'!$R$5:$R$2005,'Journal Vouchers'!$E$5:$E$2005,$A184,'Journal Vouchers'!$B$5:$B$2005,"&lt;="&amp;ReportTo))</f>
        <v/>
      </c>
      <c r="C184" s="26">
        <f>IF(A184="",0,SUMIFS('Direct Costs'!$AK$5:$AK$2005,'Direct Costs'!$E$5:$E$2005,$A184,'Direct Costs'!$A$5:$A$2005,"&lt;="&amp;ReportTo)+SUMIFS('Operating Expenses'!$AF$5:$AF$2005,'Operating Expenses'!$E$5:$E$2005,$A184,'Operating Expenses'!$A$5:$A$2005,"&lt;="&amp;ReportTo)+SUMIFS('Payroll'!$AB$5:$AB$2005,'Payroll'!$C$5:$C$2005,$A184,'Payroll'!$A$5:$A$2005,"&lt;="&amp;ReportTo)+SUMIFS('Receipt Vouchers'!$AB$5:$AB$2005,'Receipt Vouchers'!$E$5:$E$2005,$A184,'Receipt Vouchers'!$A$5:$A$2005,"&lt;="&amp;ReportTo)+SUMIFS('Sales Invoices'!$AC$5:$AC$2005,'Sales Invoices'!$H$5:$H$2005,$A184,'Sales Invoices'!$B$5:$B$2005,"&lt;="&amp;ReportTo)+SUMIFS('Payment Vouchers'!$S$5:$S$2005,'Payment Vouchers'!$B$5:$B$2005,$A184,'Payment Vouchers'!$A$5:$A$2005,"&lt;="&amp;ReportTo)+SUMIFS('Partner Transactions'!$U$5:$U$2005,'Partner Transactions'!$B$5:$B$2005,$A184,'Partner Transactions'!$A$5:$A$2005,"&lt;="&amp;ReportTo)+SUMIFS('Stock Moves'!$AQ$5:$AQ$2005,'Stock Moves'!$J$5:$J$2005,$A184,'Stock Moves'!$A$5:$A$2005,"&lt;="&amp;ReportTo)+SUMIFS('Journal Vouchers'!$S$5:$S$2005,'Journal Vouchers'!$E$5:$E$2005,$A184,'Journal Vouchers'!$B$5:$B$2005,"&lt;="&amp;ReportTo))</f>
        <v/>
      </c>
      <c r="D184" s="26">
        <f>B184+C184</f>
        <v/>
      </c>
    </row>
    <row r="185">
      <c r="A185" s="25">
        <f>IF(Parties!A185="","",Parties!A185)</f>
        <v/>
      </c>
      <c r="B185" s="26">
        <f>IF(A185="",0,SUMIFS('Direct Costs'!$AJ$5:$AJ$2005,'Direct Costs'!$E$5:$E$2005,$A185,'Direct Costs'!$A$5:$A$2005,"&lt;="&amp;ReportTo)+SUMIFS('Operating Expenses'!$AE$5:$AE$2005,'Operating Expenses'!$E$5:$E$2005,$A185,'Operating Expenses'!$A$5:$A$2005,"&lt;="&amp;ReportTo)+SUMIFS('Payroll'!$AA$5:$AA$2005,'Payroll'!$C$5:$C$2005,$A185,'Payroll'!$A$5:$A$2005,"&lt;="&amp;ReportTo)+SUMIFS('Receipt Vouchers'!$AA$5:$AA$2005,'Receipt Vouchers'!$E$5:$E$2005,$A185,'Receipt Vouchers'!$A$5:$A$2005,"&lt;="&amp;ReportTo)+SUMIFS('Sales Invoices'!$AB$5:$AB$2005,'Sales Invoices'!$H$5:$H$2005,$A185,'Sales Invoices'!$B$5:$B$2005,"&lt;="&amp;ReportTo)+SUMIFS('Payment Vouchers'!$R$5:$R$2005,'Payment Vouchers'!$B$5:$B$2005,$A185,'Payment Vouchers'!$A$5:$A$2005,"&lt;="&amp;ReportTo)+SUMIFS('Partner Transactions'!$T$5:$T$2005,'Partner Transactions'!$B$5:$B$2005,$A185,'Partner Transactions'!$A$5:$A$2005,"&lt;="&amp;ReportTo)+SUMIFS('Stock Moves'!$AP$5:$AP$2005,'Stock Moves'!$J$5:$J$2005,$A185,'Stock Moves'!$A$5:$A$2005,"&lt;="&amp;ReportTo)+SUMIFS('Journal Vouchers'!$R$5:$R$2005,'Journal Vouchers'!$E$5:$E$2005,$A185,'Journal Vouchers'!$B$5:$B$2005,"&lt;="&amp;ReportTo))</f>
        <v/>
      </c>
      <c r="C185" s="26">
        <f>IF(A185="",0,SUMIFS('Direct Costs'!$AK$5:$AK$2005,'Direct Costs'!$E$5:$E$2005,$A185,'Direct Costs'!$A$5:$A$2005,"&lt;="&amp;ReportTo)+SUMIFS('Operating Expenses'!$AF$5:$AF$2005,'Operating Expenses'!$E$5:$E$2005,$A185,'Operating Expenses'!$A$5:$A$2005,"&lt;="&amp;ReportTo)+SUMIFS('Payroll'!$AB$5:$AB$2005,'Payroll'!$C$5:$C$2005,$A185,'Payroll'!$A$5:$A$2005,"&lt;="&amp;ReportTo)+SUMIFS('Receipt Vouchers'!$AB$5:$AB$2005,'Receipt Vouchers'!$E$5:$E$2005,$A185,'Receipt Vouchers'!$A$5:$A$2005,"&lt;="&amp;ReportTo)+SUMIFS('Sales Invoices'!$AC$5:$AC$2005,'Sales Invoices'!$H$5:$H$2005,$A185,'Sales Invoices'!$B$5:$B$2005,"&lt;="&amp;ReportTo)+SUMIFS('Payment Vouchers'!$S$5:$S$2005,'Payment Vouchers'!$B$5:$B$2005,$A185,'Payment Vouchers'!$A$5:$A$2005,"&lt;="&amp;ReportTo)+SUMIFS('Partner Transactions'!$U$5:$U$2005,'Partner Transactions'!$B$5:$B$2005,$A185,'Partner Transactions'!$A$5:$A$2005,"&lt;="&amp;ReportTo)+SUMIFS('Stock Moves'!$AQ$5:$AQ$2005,'Stock Moves'!$J$5:$J$2005,$A185,'Stock Moves'!$A$5:$A$2005,"&lt;="&amp;ReportTo)+SUMIFS('Journal Vouchers'!$S$5:$S$2005,'Journal Vouchers'!$E$5:$E$2005,$A185,'Journal Vouchers'!$B$5:$B$2005,"&lt;="&amp;ReportTo))</f>
        <v/>
      </c>
      <c r="D185" s="26">
        <f>B185+C185</f>
        <v/>
      </c>
    </row>
    <row r="186">
      <c r="A186" s="25">
        <f>IF(Parties!A186="","",Parties!A186)</f>
        <v/>
      </c>
      <c r="B186" s="26">
        <f>IF(A186="",0,SUMIFS('Direct Costs'!$AJ$5:$AJ$2005,'Direct Costs'!$E$5:$E$2005,$A186,'Direct Costs'!$A$5:$A$2005,"&lt;="&amp;ReportTo)+SUMIFS('Operating Expenses'!$AE$5:$AE$2005,'Operating Expenses'!$E$5:$E$2005,$A186,'Operating Expenses'!$A$5:$A$2005,"&lt;="&amp;ReportTo)+SUMIFS('Payroll'!$AA$5:$AA$2005,'Payroll'!$C$5:$C$2005,$A186,'Payroll'!$A$5:$A$2005,"&lt;="&amp;ReportTo)+SUMIFS('Receipt Vouchers'!$AA$5:$AA$2005,'Receipt Vouchers'!$E$5:$E$2005,$A186,'Receipt Vouchers'!$A$5:$A$2005,"&lt;="&amp;ReportTo)+SUMIFS('Sales Invoices'!$AB$5:$AB$2005,'Sales Invoices'!$H$5:$H$2005,$A186,'Sales Invoices'!$B$5:$B$2005,"&lt;="&amp;ReportTo)+SUMIFS('Payment Vouchers'!$R$5:$R$2005,'Payment Vouchers'!$B$5:$B$2005,$A186,'Payment Vouchers'!$A$5:$A$2005,"&lt;="&amp;ReportTo)+SUMIFS('Partner Transactions'!$T$5:$T$2005,'Partner Transactions'!$B$5:$B$2005,$A186,'Partner Transactions'!$A$5:$A$2005,"&lt;="&amp;ReportTo)+SUMIFS('Stock Moves'!$AP$5:$AP$2005,'Stock Moves'!$J$5:$J$2005,$A186,'Stock Moves'!$A$5:$A$2005,"&lt;="&amp;ReportTo)+SUMIFS('Journal Vouchers'!$R$5:$R$2005,'Journal Vouchers'!$E$5:$E$2005,$A186,'Journal Vouchers'!$B$5:$B$2005,"&lt;="&amp;ReportTo))</f>
        <v/>
      </c>
      <c r="C186" s="26">
        <f>IF(A186="",0,SUMIFS('Direct Costs'!$AK$5:$AK$2005,'Direct Costs'!$E$5:$E$2005,$A186,'Direct Costs'!$A$5:$A$2005,"&lt;="&amp;ReportTo)+SUMIFS('Operating Expenses'!$AF$5:$AF$2005,'Operating Expenses'!$E$5:$E$2005,$A186,'Operating Expenses'!$A$5:$A$2005,"&lt;="&amp;ReportTo)+SUMIFS('Payroll'!$AB$5:$AB$2005,'Payroll'!$C$5:$C$2005,$A186,'Payroll'!$A$5:$A$2005,"&lt;="&amp;ReportTo)+SUMIFS('Receipt Vouchers'!$AB$5:$AB$2005,'Receipt Vouchers'!$E$5:$E$2005,$A186,'Receipt Vouchers'!$A$5:$A$2005,"&lt;="&amp;ReportTo)+SUMIFS('Sales Invoices'!$AC$5:$AC$2005,'Sales Invoices'!$H$5:$H$2005,$A186,'Sales Invoices'!$B$5:$B$2005,"&lt;="&amp;ReportTo)+SUMIFS('Payment Vouchers'!$S$5:$S$2005,'Payment Vouchers'!$B$5:$B$2005,$A186,'Payment Vouchers'!$A$5:$A$2005,"&lt;="&amp;ReportTo)+SUMIFS('Partner Transactions'!$U$5:$U$2005,'Partner Transactions'!$B$5:$B$2005,$A186,'Partner Transactions'!$A$5:$A$2005,"&lt;="&amp;ReportTo)+SUMIFS('Stock Moves'!$AQ$5:$AQ$2005,'Stock Moves'!$J$5:$J$2005,$A186,'Stock Moves'!$A$5:$A$2005,"&lt;="&amp;ReportTo)+SUMIFS('Journal Vouchers'!$S$5:$S$2005,'Journal Vouchers'!$E$5:$E$2005,$A186,'Journal Vouchers'!$B$5:$B$2005,"&lt;="&amp;ReportTo))</f>
        <v/>
      </c>
      <c r="D186" s="26">
        <f>B186+C186</f>
        <v/>
      </c>
    </row>
    <row r="187">
      <c r="A187" s="25">
        <f>IF(Parties!A187="","",Parties!A187)</f>
        <v/>
      </c>
      <c r="B187" s="26">
        <f>IF(A187="",0,SUMIFS('Direct Costs'!$AJ$5:$AJ$2005,'Direct Costs'!$E$5:$E$2005,$A187,'Direct Costs'!$A$5:$A$2005,"&lt;="&amp;ReportTo)+SUMIFS('Operating Expenses'!$AE$5:$AE$2005,'Operating Expenses'!$E$5:$E$2005,$A187,'Operating Expenses'!$A$5:$A$2005,"&lt;="&amp;ReportTo)+SUMIFS('Payroll'!$AA$5:$AA$2005,'Payroll'!$C$5:$C$2005,$A187,'Payroll'!$A$5:$A$2005,"&lt;="&amp;ReportTo)+SUMIFS('Receipt Vouchers'!$AA$5:$AA$2005,'Receipt Vouchers'!$E$5:$E$2005,$A187,'Receipt Vouchers'!$A$5:$A$2005,"&lt;="&amp;ReportTo)+SUMIFS('Sales Invoices'!$AB$5:$AB$2005,'Sales Invoices'!$H$5:$H$2005,$A187,'Sales Invoices'!$B$5:$B$2005,"&lt;="&amp;ReportTo)+SUMIFS('Payment Vouchers'!$R$5:$R$2005,'Payment Vouchers'!$B$5:$B$2005,$A187,'Payment Vouchers'!$A$5:$A$2005,"&lt;="&amp;ReportTo)+SUMIFS('Partner Transactions'!$T$5:$T$2005,'Partner Transactions'!$B$5:$B$2005,$A187,'Partner Transactions'!$A$5:$A$2005,"&lt;="&amp;ReportTo)+SUMIFS('Stock Moves'!$AP$5:$AP$2005,'Stock Moves'!$J$5:$J$2005,$A187,'Stock Moves'!$A$5:$A$2005,"&lt;="&amp;ReportTo)+SUMIFS('Journal Vouchers'!$R$5:$R$2005,'Journal Vouchers'!$E$5:$E$2005,$A187,'Journal Vouchers'!$B$5:$B$2005,"&lt;="&amp;ReportTo))</f>
        <v/>
      </c>
      <c r="C187" s="26">
        <f>IF(A187="",0,SUMIFS('Direct Costs'!$AK$5:$AK$2005,'Direct Costs'!$E$5:$E$2005,$A187,'Direct Costs'!$A$5:$A$2005,"&lt;="&amp;ReportTo)+SUMIFS('Operating Expenses'!$AF$5:$AF$2005,'Operating Expenses'!$E$5:$E$2005,$A187,'Operating Expenses'!$A$5:$A$2005,"&lt;="&amp;ReportTo)+SUMIFS('Payroll'!$AB$5:$AB$2005,'Payroll'!$C$5:$C$2005,$A187,'Payroll'!$A$5:$A$2005,"&lt;="&amp;ReportTo)+SUMIFS('Receipt Vouchers'!$AB$5:$AB$2005,'Receipt Vouchers'!$E$5:$E$2005,$A187,'Receipt Vouchers'!$A$5:$A$2005,"&lt;="&amp;ReportTo)+SUMIFS('Sales Invoices'!$AC$5:$AC$2005,'Sales Invoices'!$H$5:$H$2005,$A187,'Sales Invoices'!$B$5:$B$2005,"&lt;="&amp;ReportTo)+SUMIFS('Payment Vouchers'!$S$5:$S$2005,'Payment Vouchers'!$B$5:$B$2005,$A187,'Payment Vouchers'!$A$5:$A$2005,"&lt;="&amp;ReportTo)+SUMIFS('Partner Transactions'!$U$5:$U$2005,'Partner Transactions'!$B$5:$B$2005,$A187,'Partner Transactions'!$A$5:$A$2005,"&lt;="&amp;ReportTo)+SUMIFS('Stock Moves'!$AQ$5:$AQ$2005,'Stock Moves'!$J$5:$J$2005,$A187,'Stock Moves'!$A$5:$A$2005,"&lt;="&amp;ReportTo)+SUMIFS('Journal Vouchers'!$S$5:$S$2005,'Journal Vouchers'!$E$5:$E$2005,$A187,'Journal Vouchers'!$B$5:$B$2005,"&lt;="&amp;ReportTo))</f>
        <v/>
      </c>
      <c r="D187" s="26">
        <f>B187+C187</f>
        <v/>
      </c>
    </row>
    <row r="188">
      <c r="A188" s="25">
        <f>IF(Parties!A188="","",Parties!A188)</f>
        <v/>
      </c>
      <c r="B188" s="26">
        <f>IF(A188="",0,SUMIFS('Direct Costs'!$AJ$5:$AJ$2005,'Direct Costs'!$E$5:$E$2005,$A188,'Direct Costs'!$A$5:$A$2005,"&lt;="&amp;ReportTo)+SUMIFS('Operating Expenses'!$AE$5:$AE$2005,'Operating Expenses'!$E$5:$E$2005,$A188,'Operating Expenses'!$A$5:$A$2005,"&lt;="&amp;ReportTo)+SUMIFS('Payroll'!$AA$5:$AA$2005,'Payroll'!$C$5:$C$2005,$A188,'Payroll'!$A$5:$A$2005,"&lt;="&amp;ReportTo)+SUMIFS('Receipt Vouchers'!$AA$5:$AA$2005,'Receipt Vouchers'!$E$5:$E$2005,$A188,'Receipt Vouchers'!$A$5:$A$2005,"&lt;="&amp;ReportTo)+SUMIFS('Sales Invoices'!$AB$5:$AB$2005,'Sales Invoices'!$H$5:$H$2005,$A188,'Sales Invoices'!$B$5:$B$2005,"&lt;="&amp;ReportTo)+SUMIFS('Payment Vouchers'!$R$5:$R$2005,'Payment Vouchers'!$B$5:$B$2005,$A188,'Payment Vouchers'!$A$5:$A$2005,"&lt;="&amp;ReportTo)+SUMIFS('Partner Transactions'!$T$5:$T$2005,'Partner Transactions'!$B$5:$B$2005,$A188,'Partner Transactions'!$A$5:$A$2005,"&lt;="&amp;ReportTo)+SUMIFS('Stock Moves'!$AP$5:$AP$2005,'Stock Moves'!$J$5:$J$2005,$A188,'Stock Moves'!$A$5:$A$2005,"&lt;="&amp;ReportTo)+SUMIFS('Journal Vouchers'!$R$5:$R$2005,'Journal Vouchers'!$E$5:$E$2005,$A188,'Journal Vouchers'!$B$5:$B$2005,"&lt;="&amp;ReportTo))</f>
        <v/>
      </c>
      <c r="C188" s="26">
        <f>IF(A188="",0,SUMIFS('Direct Costs'!$AK$5:$AK$2005,'Direct Costs'!$E$5:$E$2005,$A188,'Direct Costs'!$A$5:$A$2005,"&lt;="&amp;ReportTo)+SUMIFS('Operating Expenses'!$AF$5:$AF$2005,'Operating Expenses'!$E$5:$E$2005,$A188,'Operating Expenses'!$A$5:$A$2005,"&lt;="&amp;ReportTo)+SUMIFS('Payroll'!$AB$5:$AB$2005,'Payroll'!$C$5:$C$2005,$A188,'Payroll'!$A$5:$A$2005,"&lt;="&amp;ReportTo)+SUMIFS('Receipt Vouchers'!$AB$5:$AB$2005,'Receipt Vouchers'!$E$5:$E$2005,$A188,'Receipt Vouchers'!$A$5:$A$2005,"&lt;="&amp;ReportTo)+SUMIFS('Sales Invoices'!$AC$5:$AC$2005,'Sales Invoices'!$H$5:$H$2005,$A188,'Sales Invoices'!$B$5:$B$2005,"&lt;="&amp;ReportTo)+SUMIFS('Payment Vouchers'!$S$5:$S$2005,'Payment Vouchers'!$B$5:$B$2005,$A188,'Payment Vouchers'!$A$5:$A$2005,"&lt;="&amp;ReportTo)+SUMIFS('Partner Transactions'!$U$5:$U$2005,'Partner Transactions'!$B$5:$B$2005,$A188,'Partner Transactions'!$A$5:$A$2005,"&lt;="&amp;ReportTo)+SUMIFS('Stock Moves'!$AQ$5:$AQ$2005,'Stock Moves'!$J$5:$J$2005,$A188,'Stock Moves'!$A$5:$A$2005,"&lt;="&amp;ReportTo)+SUMIFS('Journal Vouchers'!$S$5:$S$2005,'Journal Vouchers'!$E$5:$E$2005,$A188,'Journal Vouchers'!$B$5:$B$2005,"&lt;="&amp;ReportTo))</f>
        <v/>
      </c>
      <c r="D188" s="26">
        <f>B188+C188</f>
        <v/>
      </c>
    </row>
    <row r="189">
      <c r="A189" s="25">
        <f>IF(Parties!A189="","",Parties!A189)</f>
        <v/>
      </c>
      <c r="B189" s="26">
        <f>IF(A189="",0,SUMIFS('Direct Costs'!$AJ$5:$AJ$2005,'Direct Costs'!$E$5:$E$2005,$A189,'Direct Costs'!$A$5:$A$2005,"&lt;="&amp;ReportTo)+SUMIFS('Operating Expenses'!$AE$5:$AE$2005,'Operating Expenses'!$E$5:$E$2005,$A189,'Operating Expenses'!$A$5:$A$2005,"&lt;="&amp;ReportTo)+SUMIFS('Payroll'!$AA$5:$AA$2005,'Payroll'!$C$5:$C$2005,$A189,'Payroll'!$A$5:$A$2005,"&lt;="&amp;ReportTo)+SUMIFS('Receipt Vouchers'!$AA$5:$AA$2005,'Receipt Vouchers'!$E$5:$E$2005,$A189,'Receipt Vouchers'!$A$5:$A$2005,"&lt;="&amp;ReportTo)+SUMIFS('Sales Invoices'!$AB$5:$AB$2005,'Sales Invoices'!$H$5:$H$2005,$A189,'Sales Invoices'!$B$5:$B$2005,"&lt;="&amp;ReportTo)+SUMIFS('Payment Vouchers'!$R$5:$R$2005,'Payment Vouchers'!$B$5:$B$2005,$A189,'Payment Vouchers'!$A$5:$A$2005,"&lt;="&amp;ReportTo)+SUMIFS('Partner Transactions'!$T$5:$T$2005,'Partner Transactions'!$B$5:$B$2005,$A189,'Partner Transactions'!$A$5:$A$2005,"&lt;="&amp;ReportTo)+SUMIFS('Stock Moves'!$AP$5:$AP$2005,'Stock Moves'!$J$5:$J$2005,$A189,'Stock Moves'!$A$5:$A$2005,"&lt;="&amp;ReportTo)+SUMIFS('Journal Vouchers'!$R$5:$R$2005,'Journal Vouchers'!$E$5:$E$2005,$A189,'Journal Vouchers'!$B$5:$B$2005,"&lt;="&amp;ReportTo))</f>
        <v/>
      </c>
      <c r="C189" s="26">
        <f>IF(A189="",0,SUMIFS('Direct Costs'!$AK$5:$AK$2005,'Direct Costs'!$E$5:$E$2005,$A189,'Direct Costs'!$A$5:$A$2005,"&lt;="&amp;ReportTo)+SUMIFS('Operating Expenses'!$AF$5:$AF$2005,'Operating Expenses'!$E$5:$E$2005,$A189,'Operating Expenses'!$A$5:$A$2005,"&lt;="&amp;ReportTo)+SUMIFS('Payroll'!$AB$5:$AB$2005,'Payroll'!$C$5:$C$2005,$A189,'Payroll'!$A$5:$A$2005,"&lt;="&amp;ReportTo)+SUMIFS('Receipt Vouchers'!$AB$5:$AB$2005,'Receipt Vouchers'!$E$5:$E$2005,$A189,'Receipt Vouchers'!$A$5:$A$2005,"&lt;="&amp;ReportTo)+SUMIFS('Sales Invoices'!$AC$5:$AC$2005,'Sales Invoices'!$H$5:$H$2005,$A189,'Sales Invoices'!$B$5:$B$2005,"&lt;="&amp;ReportTo)+SUMIFS('Payment Vouchers'!$S$5:$S$2005,'Payment Vouchers'!$B$5:$B$2005,$A189,'Payment Vouchers'!$A$5:$A$2005,"&lt;="&amp;ReportTo)+SUMIFS('Partner Transactions'!$U$5:$U$2005,'Partner Transactions'!$B$5:$B$2005,$A189,'Partner Transactions'!$A$5:$A$2005,"&lt;="&amp;ReportTo)+SUMIFS('Stock Moves'!$AQ$5:$AQ$2005,'Stock Moves'!$J$5:$J$2005,$A189,'Stock Moves'!$A$5:$A$2005,"&lt;="&amp;ReportTo)+SUMIFS('Journal Vouchers'!$S$5:$S$2005,'Journal Vouchers'!$E$5:$E$2005,$A189,'Journal Vouchers'!$B$5:$B$2005,"&lt;="&amp;ReportTo))</f>
        <v/>
      </c>
      <c r="D189" s="26">
        <f>B189+C189</f>
        <v/>
      </c>
    </row>
    <row r="190">
      <c r="A190" s="25">
        <f>IF(Parties!A190="","",Parties!A190)</f>
        <v/>
      </c>
      <c r="B190" s="26">
        <f>IF(A190="",0,SUMIFS('Direct Costs'!$AJ$5:$AJ$2005,'Direct Costs'!$E$5:$E$2005,$A190,'Direct Costs'!$A$5:$A$2005,"&lt;="&amp;ReportTo)+SUMIFS('Operating Expenses'!$AE$5:$AE$2005,'Operating Expenses'!$E$5:$E$2005,$A190,'Operating Expenses'!$A$5:$A$2005,"&lt;="&amp;ReportTo)+SUMIFS('Payroll'!$AA$5:$AA$2005,'Payroll'!$C$5:$C$2005,$A190,'Payroll'!$A$5:$A$2005,"&lt;="&amp;ReportTo)+SUMIFS('Receipt Vouchers'!$AA$5:$AA$2005,'Receipt Vouchers'!$E$5:$E$2005,$A190,'Receipt Vouchers'!$A$5:$A$2005,"&lt;="&amp;ReportTo)+SUMIFS('Sales Invoices'!$AB$5:$AB$2005,'Sales Invoices'!$H$5:$H$2005,$A190,'Sales Invoices'!$B$5:$B$2005,"&lt;="&amp;ReportTo)+SUMIFS('Payment Vouchers'!$R$5:$R$2005,'Payment Vouchers'!$B$5:$B$2005,$A190,'Payment Vouchers'!$A$5:$A$2005,"&lt;="&amp;ReportTo)+SUMIFS('Partner Transactions'!$T$5:$T$2005,'Partner Transactions'!$B$5:$B$2005,$A190,'Partner Transactions'!$A$5:$A$2005,"&lt;="&amp;ReportTo)+SUMIFS('Stock Moves'!$AP$5:$AP$2005,'Stock Moves'!$J$5:$J$2005,$A190,'Stock Moves'!$A$5:$A$2005,"&lt;="&amp;ReportTo)+SUMIFS('Journal Vouchers'!$R$5:$R$2005,'Journal Vouchers'!$E$5:$E$2005,$A190,'Journal Vouchers'!$B$5:$B$2005,"&lt;="&amp;ReportTo))</f>
        <v/>
      </c>
      <c r="C190" s="26">
        <f>IF(A190="",0,SUMIFS('Direct Costs'!$AK$5:$AK$2005,'Direct Costs'!$E$5:$E$2005,$A190,'Direct Costs'!$A$5:$A$2005,"&lt;="&amp;ReportTo)+SUMIFS('Operating Expenses'!$AF$5:$AF$2005,'Operating Expenses'!$E$5:$E$2005,$A190,'Operating Expenses'!$A$5:$A$2005,"&lt;="&amp;ReportTo)+SUMIFS('Payroll'!$AB$5:$AB$2005,'Payroll'!$C$5:$C$2005,$A190,'Payroll'!$A$5:$A$2005,"&lt;="&amp;ReportTo)+SUMIFS('Receipt Vouchers'!$AB$5:$AB$2005,'Receipt Vouchers'!$E$5:$E$2005,$A190,'Receipt Vouchers'!$A$5:$A$2005,"&lt;="&amp;ReportTo)+SUMIFS('Sales Invoices'!$AC$5:$AC$2005,'Sales Invoices'!$H$5:$H$2005,$A190,'Sales Invoices'!$B$5:$B$2005,"&lt;="&amp;ReportTo)+SUMIFS('Payment Vouchers'!$S$5:$S$2005,'Payment Vouchers'!$B$5:$B$2005,$A190,'Payment Vouchers'!$A$5:$A$2005,"&lt;="&amp;ReportTo)+SUMIFS('Partner Transactions'!$U$5:$U$2005,'Partner Transactions'!$B$5:$B$2005,$A190,'Partner Transactions'!$A$5:$A$2005,"&lt;="&amp;ReportTo)+SUMIFS('Stock Moves'!$AQ$5:$AQ$2005,'Stock Moves'!$J$5:$J$2005,$A190,'Stock Moves'!$A$5:$A$2005,"&lt;="&amp;ReportTo)+SUMIFS('Journal Vouchers'!$S$5:$S$2005,'Journal Vouchers'!$E$5:$E$2005,$A190,'Journal Vouchers'!$B$5:$B$2005,"&lt;="&amp;ReportTo))</f>
        <v/>
      </c>
      <c r="D190" s="26">
        <f>B190+C190</f>
        <v/>
      </c>
    </row>
    <row r="191">
      <c r="A191" s="25">
        <f>IF(Parties!A191="","",Parties!A191)</f>
        <v/>
      </c>
      <c r="B191" s="26">
        <f>IF(A191="",0,SUMIFS('Direct Costs'!$AJ$5:$AJ$2005,'Direct Costs'!$E$5:$E$2005,$A191,'Direct Costs'!$A$5:$A$2005,"&lt;="&amp;ReportTo)+SUMIFS('Operating Expenses'!$AE$5:$AE$2005,'Operating Expenses'!$E$5:$E$2005,$A191,'Operating Expenses'!$A$5:$A$2005,"&lt;="&amp;ReportTo)+SUMIFS('Payroll'!$AA$5:$AA$2005,'Payroll'!$C$5:$C$2005,$A191,'Payroll'!$A$5:$A$2005,"&lt;="&amp;ReportTo)+SUMIFS('Receipt Vouchers'!$AA$5:$AA$2005,'Receipt Vouchers'!$E$5:$E$2005,$A191,'Receipt Vouchers'!$A$5:$A$2005,"&lt;="&amp;ReportTo)+SUMIFS('Sales Invoices'!$AB$5:$AB$2005,'Sales Invoices'!$H$5:$H$2005,$A191,'Sales Invoices'!$B$5:$B$2005,"&lt;="&amp;ReportTo)+SUMIFS('Payment Vouchers'!$R$5:$R$2005,'Payment Vouchers'!$B$5:$B$2005,$A191,'Payment Vouchers'!$A$5:$A$2005,"&lt;="&amp;ReportTo)+SUMIFS('Partner Transactions'!$T$5:$T$2005,'Partner Transactions'!$B$5:$B$2005,$A191,'Partner Transactions'!$A$5:$A$2005,"&lt;="&amp;ReportTo)+SUMIFS('Stock Moves'!$AP$5:$AP$2005,'Stock Moves'!$J$5:$J$2005,$A191,'Stock Moves'!$A$5:$A$2005,"&lt;="&amp;ReportTo)+SUMIFS('Journal Vouchers'!$R$5:$R$2005,'Journal Vouchers'!$E$5:$E$2005,$A191,'Journal Vouchers'!$B$5:$B$2005,"&lt;="&amp;ReportTo))</f>
        <v/>
      </c>
      <c r="C191" s="26">
        <f>IF(A191="",0,SUMIFS('Direct Costs'!$AK$5:$AK$2005,'Direct Costs'!$E$5:$E$2005,$A191,'Direct Costs'!$A$5:$A$2005,"&lt;="&amp;ReportTo)+SUMIFS('Operating Expenses'!$AF$5:$AF$2005,'Operating Expenses'!$E$5:$E$2005,$A191,'Operating Expenses'!$A$5:$A$2005,"&lt;="&amp;ReportTo)+SUMIFS('Payroll'!$AB$5:$AB$2005,'Payroll'!$C$5:$C$2005,$A191,'Payroll'!$A$5:$A$2005,"&lt;="&amp;ReportTo)+SUMIFS('Receipt Vouchers'!$AB$5:$AB$2005,'Receipt Vouchers'!$E$5:$E$2005,$A191,'Receipt Vouchers'!$A$5:$A$2005,"&lt;="&amp;ReportTo)+SUMIFS('Sales Invoices'!$AC$5:$AC$2005,'Sales Invoices'!$H$5:$H$2005,$A191,'Sales Invoices'!$B$5:$B$2005,"&lt;="&amp;ReportTo)+SUMIFS('Payment Vouchers'!$S$5:$S$2005,'Payment Vouchers'!$B$5:$B$2005,$A191,'Payment Vouchers'!$A$5:$A$2005,"&lt;="&amp;ReportTo)+SUMIFS('Partner Transactions'!$U$5:$U$2005,'Partner Transactions'!$B$5:$B$2005,$A191,'Partner Transactions'!$A$5:$A$2005,"&lt;="&amp;ReportTo)+SUMIFS('Stock Moves'!$AQ$5:$AQ$2005,'Stock Moves'!$J$5:$J$2005,$A191,'Stock Moves'!$A$5:$A$2005,"&lt;="&amp;ReportTo)+SUMIFS('Journal Vouchers'!$S$5:$S$2005,'Journal Vouchers'!$E$5:$E$2005,$A191,'Journal Vouchers'!$B$5:$B$2005,"&lt;="&amp;ReportTo))</f>
        <v/>
      </c>
      <c r="D191" s="26">
        <f>B191+C191</f>
        <v/>
      </c>
    </row>
    <row r="192">
      <c r="A192" s="25">
        <f>IF(Parties!A192="","",Parties!A192)</f>
        <v/>
      </c>
      <c r="B192" s="26">
        <f>IF(A192="",0,SUMIFS('Direct Costs'!$AJ$5:$AJ$2005,'Direct Costs'!$E$5:$E$2005,$A192,'Direct Costs'!$A$5:$A$2005,"&lt;="&amp;ReportTo)+SUMIFS('Operating Expenses'!$AE$5:$AE$2005,'Operating Expenses'!$E$5:$E$2005,$A192,'Operating Expenses'!$A$5:$A$2005,"&lt;="&amp;ReportTo)+SUMIFS('Payroll'!$AA$5:$AA$2005,'Payroll'!$C$5:$C$2005,$A192,'Payroll'!$A$5:$A$2005,"&lt;="&amp;ReportTo)+SUMIFS('Receipt Vouchers'!$AA$5:$AA$2005,'Receipt Vouchers'!$E$5:$E$2005,$A192,'Receipt Vouchers'!$A$5:$A$2005,"&lt;="&amp;ReportTo)+SUMIFS('Sales Invoices'!$AB$5:$AB$2005,'Sales Invoices'!$H$5:$H$2005,$A192,'Sales Invoices'!$B$5:$B$2005,"&lt;="&amp;ReportTo)+SUMIFS('Payment Vouchers'!$R$5:$R$2005,'Payment Vouchers'!$B$5:$B$2005,$A192,'Payment Vouchers'!$A$5:$A$2005,"&lt;="&amp;ReportTo)+SUMIFS('Partner Transactions'!$T$5:$T$2005,'Partner Transactions'!$B$5:$B$2005,$A192,'Partner Transactions'!$A$5:$A$2005,"&lt;="&amp;ReportTo)+SUMIFS('Stock Moves'!$AP$5:$AP$2005,'Stock Moves'!$J$5:$J$2005,$A192,'Stock Moves'!$A$5:$A$2005,"&lt;="&amp;ReportTo)+SUMIFS('Journal Vouchers'!$R$5:$R$2005,'Journal Vouchers'!$E$5:$E$2005,$A192,'Journal Vouchers'!$B$5:$B$2005,"&lt;="&amp;ReportTo))</f>
        <v/>
      </c>
      <c r="C192" s="26">
        <f>IF(A192="",0,SUMIFS('Direct Costs'!$AK$5:$AK$2005,'Direct Costs'!$E$5:$E$2005,$A192,'Direct Costs'!$A$5:$A$2005,"&lt;="&amp;ReportTo)+SUMIFS('Operating Expenses'!$AF$5:$AF$2005,'Operating Expenses'!$E$5:$E$2005,$A192,'Operating Expenses'!$A$5:$A$2005,"&lt;="&amp;ReportTo)+SUMIFS('Payroll'!$AB$5:$AB$2005,'Payroll'!$C$5:$C$2005,$A192,'Payroll'!$A$5:$A$2005,"&lt;="&amp;ReportTo)+SUMIFS('Receipt Vouchers'!$AB$5:$AB$2005,'Receipt Vouchers'!$E$5:$E$2005,$A192,'Receipt Vouchers'!$A$5:$A$2005,"&lt;="&amp;ReportTo)+SUMIFS('Sales Invoices'!$AC$5:$AC$2005,'Sales Invoices'!$H$5:$H$2005,$A192,'Sales Invoices'!$B$5:$B$2005,"&lt;="&amp;ReportTo)+SUMIFS('Payment Vouchers'!$S$5:$S$2005,'Payment Vouchers'!$B$5:$B$2005,$A192,'Payment Vouchers'!$A$5:$A$2005,"&lt;="&amp;ReportTo)+SUMIFS('Partner Transactions'!$U$5:$U$2005,'Partner Transactions'!$B$5:$B$2005,$A192,'Partner Transactions'!$A$5:$A$2005,"&lt;="&amp;ReportTo)+SUMIFS('Stock Moves'!$AQ$5:$AQ$2005,'Stock Moves'!$J$5:$J$2005,$A192,'Stock Moves'!$A$5:$A$2005,"&lt;="&amp;ReportTo)+SUMIFS('Journal Vouchers'!$S$5:$S$2005,'Journal Vouchers'!$E$5:$E$2005,$A192,'Journal Vouchers'!$B$5:$B$2005,"&lt;="&amp;ReportTo))</f>
        <v/>
      </c>
      <c r="D192" s="26">
        <f>B192+C192</f>
        <v/>
      </c>
    </row>
    <row r="193">
      <c r="A193" s="25">
        <f>IF(Parties!A193="","",Parties!A193)</f>
        <v/>
      </c>
      <c r="B193" s="26">
        <f>IF(A193="",0,SUMIFS('Direct Costs'!$AJ$5:$AJ$2005,'Direct Costs'!$E$5:$E$2005,$A193,'Direct Costs'!$A$5:$A$2005,"&lt;="&amp;ReportTo)+SUMIFS('Operating Expenses'!$AE$5:$AE$2005,'Operating Expenses'!$E$5:$E$2005,$A193,'Operating Expenses'!$A$5:$A$2005,"&lt;="&amp;ReportTo)+SUMIFS('Payroll'!$AA$5:$AA$2005,'Payroll'!$C$5:$C$2005,$A193,'Payroll'!$A$5:$A$2005,"&lt;="&amp;ReportTo)+SUMIFS('Receipt Vouchers'!$AA$5:$AA$2005,'Receipt Vouchers'!$E$5:$E$2005,$A193,'Receipt Vouchers'!$A$5:$A$2005,"&lt;="&amp;ReportTo)+SUMIFS('Sales Invoices'!$AB$5:$AB$2005,'Sales Invoices'!$H$5:$H$2005,$A193,'Sales Invoices'!$B$5:$B$2005,"&lt;="&amp;ReportTo)+SUMIFS('Payment Vouchers'!$R$5:$R$2005,'Payment Vouchers'!$B$5:$B$2005,$A193,'Payment Vouchers'!$A$5:$A$2005,"&lt;="&amp;ReportTo)+SUMIFS('Partner Transactions'!$T$5:$T$2005,'Partner Transactions'!$B$5:$B$2005,$A193,'Partner Transactions'!$A$5:$A$2005,"&lt;="&amp;ReportTo)+SUMIFS('Stock Moves'!$AP$5:$AP$2005,'Stock Moves'!$J$5:$J$2005,$A193,'Stock Moves'!$A$5:$A$2005,"&lt;="&amp;ReportTo)+SUMIFS('Journal Vouchers'!$R$5:$R$2005,'Journal Vouchers'!$E$5:$E$2005,$A193,'Journal Vouchers'!$B$5:$B$2005,"&lt;="&amp;ReportTo))</f>
        <v/>
      </c>
      <c r="C193" s="26">
        <f>IF(A193="",0,SUMIFS('Direct Costs'!$AK$5:$AK$2005,'Direct Costs'!$E$5:$E$2005,$A193,'Direct Costs'!$A$5:$A$2005,"&lt;="&amp;ReportTo)+SUMIFS('Operating Expenses'!$AF$5:$AF$2005,'Operating Expenses'!$E$5:$E$2005,$A193,'Operating Expenses'!$A$5:$A$2005,"&lt;="&amp;ReportTo)+SUMIFS('Payroll'!$AB$5:$AB$2005,'Payroll'!$C$5:$C$2005,$A193,'Payroll'!$A$5:$A$2005,"&lt;="&amp;ReportTo)+SUMIFS('Receipt Vouchers'!$AB$5:$AB$2005,'Receipt Vouchers'!$E$5:$E$2005,$A193,'Receipt Vouchers'!$A$5:$A$2005,"&lt;="&amp;ReportTo)+SUMIFS('Sales Invoices'!$AC$5:$AC$2005,'Sales Invoices'!$H$5:$H$2005,$A193,'Sales Invoices'!$B$5:$B$2005,"&lt;="&amp;ReportTo)+SUMIFS('Payment Vouchers'!$S$5:$S$2005,'Payment Vouchers'!$B$5:$B$2005,$A193,'Payment Vouchers'!$A$5:$A$2005,"&lt;="&amp;ReportTo)+SUMIFS('Partner Transactions'!$U$5:$U$2005,'Partner Transactions'!$B$5:$B$2005,$A193,'Partner Transactions'!$A$5:$A$2005,"&lt;="&amp;ReportTo)+SUMIFS('Stock Moves'!$AQ$5:$AQ$2005,'Stock Moves'!$J$5:$J$2005,$A193,'Stock Moves'!$A$5:$A$2005,"&lt;="&amp;ReportTo)+SUMIFS('Journal Vouchers'!$S$5:$S$2005,'Journal Vouchers'!$E$5:$E$2005,$A193,'Journal Vouchers'!$B$5:$B$2005,"&lt;="&amp;ReportTo))</f>
        <v/>
      </c>
      <c r="D193" s="26">
        <f>B193+C193</f>
        <v/>
      </c>
    </row>
    <row r="194">
      <c r="A194" s="25">
        <f>IF(Parties!A194="","",Parties!A194)</f>
        <v/>
      </c>
      <c r="B194" s="26">
        <f>IF(A194="",0,SUMIFS('Direct Costs'!$AJ$5:$AJ$2005,'Direct Costs'!$E$5:$E$2005,$A194,'Direct Costs'!$A$5:$A$2005,"&lt;="&amp;ReportTo)+SUMIFS('Operating Expenses'!$AE$5:$AE$2005,'Operating Expenses'!$E$5:$E$2005,$A194,'Operating Expenses'!$A$5:$A$2005,"&lt;="&amp;ReportTo)+SUMIFS('Payroll'!$AA$5:$AA$2005,'Payroll'!$C$5:$C$2005,$A194,'Payroll'!$A$5:$A$2005,"&lt;="&amp;ReportTo)+SUMIFS('Receipt Vouchers'!$AA$5:$AA$2005,'Receipt Vouchers'!$E$5:$E$2005,$A194,'Receipt Vouchers'!$A$5:$A$2005,"&lt;="&amp;ReportTo)+SUMIFS('Sales Invoices'!$AB$5:$AB$2005,'Sales Invoices'!$H$5:$H$2005,$A194,'Sales Invoices'!$B$5:$B$2005,"&lt;="&amp;ReportTo)+SUMIFS('Payment Vouchers'!$R$5:$R$2005,'Payment Vouchers'!$B$5:$B$2005,$A194,'Payment Vouchers'!$A$5:$A$2005,"&lt;="&amp;ReportTo)+SUMIFS('Partner Transactions'!$T$5:$T$2005,'Partner Transactions'!$B$5:$B$2005,$A194,'Partner Transactions'!$A$5:$A$2005,"&lt;="&amp;ReportTo)+SUMIFS('Stock Moves'!$AP$5:$AP$2005,'Stock Moves'!$J$5:$J$2005,$A194,'Stock Moves'!$A$5:$A$2005,"&lt;="&amp;ReportTo)+SUMIFS('Journal Vouchers'!$R$5:$R$2005,'Journal Vouchers'!$E$5:$E$2005,$A194,'Journal Vouchers'!$B$5:$B$2005,"&lt;="&amp;ReportTo))</f>
        <v/>
      </c>
      <c r="C194" s="26">
        <f>IF(A194="",0,SUMIFS('Direct Costs'!$AK$5:$AK$2005,'Direct Costs'!$E$5:$E$2005,$A194,'Direct Costs'!$A$5:$A$2005,"&lt;="&amp;ReportTo)+SUMIFS('Operating Expenses'!$AF$5:$AF$2005,'Operating Expenses'!$E$5:$E$2005,$A194,'Operating Expenses'!$A$5:$A$2005,"&lt;="&amp;ReportTo)+SUMIFS('Payroll'!$AB$5:$AB$2005,'Payroll'!$C$5:$C$2005,$A194,'Payroll'!$A$5:$A$2005,"&lt;="&amp;ReportTo)+SUMIFS('Receipt Vouchers'!$AB$5:$AB$2005,'Receipt Vouchers'!$E$5:$E$2005,$A194,'Receipt Vouchers'!$A$5:$A$2005,"&lt;="&amp;ReportTo)+SUMIFS('Sales Invoices'!$AC$5:$AC$2005,'Sales Invoices'!$H$5:$H$2005,$A194,'Sales Invoices'!$B$5:$B$2005,"&lt;="&amp;ReportTo)+SUMIFS('Payment Vouchers'!$S$5:$S$2005,'Payment Vouchers'!$B$5:$B$2005,$A194,'Payment Vouchers'!$A$5:$A$2005,"&lt;="&amp;ReportTo)+SUMIFS('Partner Transactions'!$U$5:$U$2005,'Partner Transactions'!$B$5:$B$2005,$A194,'Partner Transactions'!$A$5:$A$2005,"&lt;="&amp;ReportTo)+SUMIFS('Stock Moves'!$AQ$5:$AQ$2005,'Stock Moves'!$J$5:$J$2005,$A194,'Stock Moves'!$A$5:$A$2005,"&lt;="&amp;ReportTo)+SUMIFS('Journal Vouchers'!$S$5:$S$2005,'Journal Vouchers'!$E$5:$E$2005,$A194,'Journal Vouchers'!$B$5:$B$2005,"&lt;="&amp;ReportTo))</f>
        <v/>
      </c>
      <c r="D194" s="26">
        <f>B194+C194</f>
        <v/>
      </c>
    </row>
    <row r="195">
      <c r="A195" s="25">
        <f>IF(Parties!A195="","",Parties!A195)</f>
        <v/>
      </c>
      <c r="B195" s="26">
        <f>IF(A195="",0,SUMIFS('Direct Costs'!$AJ$5:$AJ$2005,'Direct Costs'!$E$5:$E$2005,$A195,'Direct Costs'!$A$5:$A$2005,"&lt;="&amp;ReportTo)+SUMIFS('Operating Expenses'!$AE$5:$AE$2005,'Operating Expenses'!$E$5:$E$2005,$A195,'Operating Expenses'!$A$5:$A$2005,"&lt;="&amp;ReportTo)+SUMIFS('Payroll'!$AA$5:$AA$2005,'Payroll'!$C$5:$C$2005,$A195,'Payroll'!$A$5:$A$2005,"&lt;="&amp;ReportTo)+SUMIFS('Receipt Vouchers'!$AA$5:$AA$2005,'Receipt Vouchers'!$E$5:$E$2005,$A195,'Receipt Vouchers'!$A$5:$A$2005,"&lt;="&amp;ReportTo)+SUMIFS('Sales Invoices'!$AB$5:$AB$2005,'Sales Invoices'!$H$5:$H$2005,$A195,'Sales Invoices'!$B$5:$B$2005,"&lt;="&amp;ReportTo)+SUMIFS('Payment Vouchers'!$R$5:$R$2005,'Payment Vouchers'!$B$5:$B$2005,$A195,'Payment Vouchers'!$A$5:$A$2005,"&lt;="&amp;ReportTo)+SUMIFS('Partner Transactions'!$T$5:$T$2005,'Partner Transactions'!$B$5:$B$2005,$A195,'Partner Transactions'!$A$5:$A$2005,"&lt;="&amp;ReportTo)+SUMIFS('Stock Moves'!$AP$5:$AP$2005,'Stock Moves'!$J$5:$J$2005,$A195,'Stock Moves'!$A$5:$A$2005,"&lt;="&amp;ReportTo)+SUMIFS('Journal Vouchers'!$R$5:$R$2005,'Journal Vouchers'!$E$5:$E$2005,$A195,'Journal Vouchers'!$B$5:$B$2005,"&lt;="&amp;ReportTo))</f>
        <v/>
      </c>
      <c r="C195" s="26">
        <f>IF(A195="",0,SUMIFS('Direct Costs'!$AK$5:$AK$2005,'Direct Costs'!$E$5:$E$2005,$A195,'Direct Costs'!$A$5:$A$2005,"&lt;="&amp;ReportTo)+SUMIFS('Operating Expenses'!$AF$5:$AF$2005,'Operating Expenses'!$E$5:$E$2005,$A195,'Operating Expenses'!$A$5:$A$2005,"&lt;="&amp;ReportTo)+SUMIFS('Payroll'!$AB$5:$AB$2005,'Payroll'!$C$5:$C$2005,$A195,'Payroll'!$A$5:$A$2005,"&lt;="&amp;ReportTo)+SUMIFS('Receipt Vouchers'!$AB$5:$AB$2005,'Receipt Vouchers'!$E$5:$E$2005,$A195,'Receipt Vouchers'!$A$5:$A$2005,"&lt;="&amp;ReportTo)+SUMIFS('Sales Invoices'!$AC$5:$AC$2005,'Sales Invoices'!$H$5:$H$2005,$A195,'Sales Invoices'!$B$5:$B$2005,"&lt;="&amp;ReportTo)+SUMIFS('Payment Vouchers'!$S$5:$S$2005,'Payment Vouchers'!$B$5:$B$2005,$A195,'Payment Vouchers'!$A$5:$A$2005,"&lt;="&amp;ReportTo)+SUMIFS('Partner Transactions'!$U$5:$U$2005,'Partner Transactions'!$B$5:$B$2005,$A195,'Partner Transactions'!$A$5:$A$2005,"&lt;="&amp;ReportTo)+SUMIFS('Stock Moves'!$AQ$5:$AQ$2005,'Stock Moves'!$J$5:$J$2005,$A195,'Stock Moves'!$A$5:$A$2005,"&lt;="&amp;ReportTo)+SUMIFS('Journal Vouchers'!$S$5:$S$2005,'Journal Vouchers'!$E$5:$E$2005,$A195,'Journal Vouchers'!$B$5:$B$2005,"&lt;="&amp;ReportTo))</f>
        <v/>
      </c>
      <c r="D195" s="26">
        <f>B195+C195</f>
        <v/>
      </c>
    </row>
    <row r="196">
      <c r="A196" s="25">
        <f>IF(Parties!A196="","",Parties!A196)</f>
        <v/>
      </c>
      <c r="B196" s="26">
        <f>IF(A196="",0,SUMIFS('Direct Costs'!$AJ$5:$AJ$2005,'Direct Costs'!$E$5:$E$2005,$A196,'Direct Costs'!$A$5:$A$2005,"&lt;="&amp;ReportTo)+SUMIFS('Operating Expenses'!$AE$5:$AE$2005,'Operating Expenses'!$E$5:$E$2005,$A196,'Operating Expenses'!$A$5:$A$2005,"&lt;="&amp;ReportTo)+SUMIFS('Payroll'!$AA$5:$AA$2005,'Payroll'!$C$5:$C$2005,$A196,'Payroll'!$A$5:$A$2005,"&lt;="&amp;ReportTo)+SUMIFS('Receipt Vouchers'!$AA$5:$AA$2005,'Receipt Vouchers'!$E$5:$E$2005,$A196,'Receipt Vouchers'!$A$5:$A$2005,"&lt;="&amp;ReportTo)+SUMIFS('Sales Invoices'!$AB$5:$AB$2005,'Sales Invoices'!$H$5:$H$2005,$A196,'Sales Invoices'!$B$5:$B$2005,"&lt;="&amp;ReportTo)+SUMIFS('Payment Vouchers'!$R$5:$R$2005,'Payment Vouchers'!$B$5:$B$2005,$A196,'Payment Vouchers'!$A$5:$A$2005,"&lt;="&amp;ReportTo)+SUMIFS('Partner Transactions'!$T$5:$T$2005,'Partner Transactions'!$B$5:$B$2005,$A196,'Partner Transactions'!$A$5:$A$2005,"&lt;="&amp;ReportTo)+SUMIFS('Stock Moves'!$AP$5:$AP$2005,'Stock Moves'!$J$5:$J$2005,$A196,'Stock Moves'!$A$5:$A$2005,"&lt;="&amp;ReportTo)+SUMIFS('Journal Vouchers'!$R$5:$R$2005,'Journal Vouchers'!$E$5:$E$2005,$A196,'Journal Vouchers'!$B$5:$B$2005,"&lt;="&amp;ReportTo))</f>
        <v/>
      </c>
      <c r="C196" s="26">
        <f>IF(A196="",0,SUMIFS('Direct Costs'!$AK$5:$AK$2005,'Direct Costs'!$E$5:$E$2005,$A196,'Direct Costs'!$A$5:$A$2005,"&lt;="&amp;ReportTo)+SUMIFS('Operating Expenses'!$AF$5:$AF$2005,'Operating Expenses'!$E$5:$E$2005,$A196,'Operating Expenses'!$A$5:$A$2005,"&lt;="&amp;ReportTo)+SUMIFS('Payroll'!$AB$5:$AB$2005,'Payroll'!$C$5:$C$2005,$A196,'Payroll'!$A$5:$A$2005,"&lt;="&amp;ReportTo)+SUMIFS('Receipt Vouchers'!$AB$5:$AB$2005,'Receipt Vouchers'!$E$5:$E$2005,$A196,'Receipt Vouchers'!$A$5:$A$2005,"&lt;="&amp;ReportTo)+SUMIFS('Sales Invoices'!$AC$5:$AC$2005,'Sales Invoices'!$H$5:$H$2005,$A196,'Sales Invoices'!$B$5:$B$2005,"&lt;="&amp;ReportTo)+SUMIFS('Payment Vouchers'!$S$5:$S$2005,'Payment Vouchers'!$B$5:$B$2005,$A196,'Payment Vouchers'!$A$5:$A$2005,"&lt;="&amp;ReportTo)+SUMIFS('Partner Transactions'!$U$5:$U$2005,'Partner Transactions'!$B$5:$B$2005,$A196,'Partner Transactions'!$A$5:$A$2005,"&lt;="&amp;ReportTo)+SUMIFS('Stock Moves'!$AQ$5:$AQ$2005,'Stock Moves'!$J$5:$J$2005,$A196,'Stock Moves'!$A$5:$A$2005,"&lt;="&amp;ReportTo)+SUMIFS('Journal Vouchers'!$S$5:$S$2005,'Journal Vouchers'!$E$5:$E$2005,$A196,'Journal Vouchers'!$B$5:$B$2005,"&lt;="&amp;ReportTo))</f>
        <v/>
      </c>
      <c r="D196" s="26">
        <f>B196+C196</f>
        <v/>
      </c>
    </row>
    <row r="197">
      <c r="A197" s="25">
        <f>IF(Parties!A197="","",Parties!A197)</f>
        <v/>
      </c>
      <c r="B197" s="26">
        <f>IF(A197="",0,SUMIFS('Direct Costs'!$AJ$5:$AJ$2005,'Direct Costs'!$E$5:$E$2005,$A197,'Direct Costs'!$A$5:$A$2005,"&lt;="&amp;ReportTo)+SUMIFS('Operating Expenses'!$AE$5:$AE$2005,'Operating Expenses'!$E$5:$E$2005,$A197,'Operating Expenses'!$A$5:$A$2005,"&lt;="&amp;ReportTo)+SUMIFS('Payroll'!$AA$5:$AA$2005,'Payroll'!$C$5:$C$2005,$A197,'Payroll'!$A$5:$A$2005,"&lt;="&amp;ReportTo)+SUMIFS('Receipt Vouchers'!$AA$5:$AA$2005,'Receipt Vouchers'!$E$5:$E$2005,$A197,'Receipt Vouchers'!$A$5:$A$2005,"&lt;="&amp;ReportTo)+SUMIFS('Sales Invoices'!$AB$5:$AB$2005,'Sales Invoices'!$H$5:$H$2005,$A197,'Sales Invoices'!$B$5:$B$2005,"&lt;="&amp;ReportTo)+SUMIFS('Payment Vouchers'!$R$5:$R$2005,'Payment Vouchers'!$B$5:$B$2005,$A197,'Payment Vouchers'!$A$5:$A$2005,"&lt;="&amp;ReportTo)+SUMIFS('Partner Transactions'!$T$5:$T$2005,'Partner Transactions'!$B$5:$B$2005,$A197,'Partner Transactions'!$A$5:$A$2005,"&lt;="&amp;ReportTo)+SUMIFS('Stock Moves'!$AP$5:$AP$2005,'Stock Moves'!$J$5:$J$2005,$A197,'Stock Moves'!$A$5:$A$2005,"&lt;="&amp;ReportTo)+SUMIFS('Journal Vouchers'!$R$5:$R$2005,'Journal Vouchers'!$E$5:$E$2005,$A197,'Journal Vouchers'!$B$5:$B$2005,"&lt;="&amp;ReportTo))</f>
        <v/>
      </c>
      <c r="C197" s="26">
        <f>IF(A197="",0,SUMIFS('Direct Costs'!$AK$5:$AK$2005,'Direct Costs'!$E$5:$E$2005,$A197,'Direct Costs'!$A$5:$A$2005,"&lt;="&amp;ReportTo)+SUMIFS('Operating Expenses'!$AF$5:$AF$2005,'Operating Expenses'!$E$5:$E$2005,$A197,'Operating Expenses'!$A$5:$A$2005,"&lt;="&amp;ReportTo)+SUMIFS('Payroll'!$AB$5:$AB$2005,'Payroll'!$C$5:$C$2005,$A197,'Payroll'!$A$5:$A$2005,"&lt;="&amp;ReportTo)+SUMIFS('Receipt Vouchers'!$AB$5:$AB$2005,'Receipt Vouchers'!$E$5:$E$2005,$A197,'Receipt Vouchers'!$A$5:$A$2005,"&lt;="&amp;ReportTo)+SUMIFS('Sales Invoices'!$AC$5:$AC$2005,'Sales Invoices'!$H$5:$H$2005,$A197,'Sales Invoices'!$B$5:$B$2005,"&lt;="&amp;ReportTo)+SUMIFS('Payment Vouchers'!$S$5:$S$2005,'Payment Vouchers'!$B$5:$B$2005,$A197,'Payment Vouchers'!$A$5:$A$2005,"&lt;="&amp;ReportTo)+SUMIFS('Partner Transactions'!$U$5:$U$2005,'Partner Transactions'!$B$5:$B$2005,$A197,'Partner Transactions'!$A$5:$A$2005,"&lt;="&amp;ReportTo)+SUMIFS('Stock Moves'!$AQ$5:$AQ$2005,'Stock Moves'!$J$5:$J$2005,$A197,'Stock Moves'!$A$5:$A$2005,"&lt;="&amp;ReportTo)+SUMIFS('Journal Vouchers'!$S$5:$S$2005,'Journal Vouchers'!$E$5:$E$2005,$A197,'Journal Vouchers'!$B$5:$B$2005,"&lt;="&amp;ReportTo))</f>
        <v/>
      </c>
      <c r="D197" s="26">
        <f>B197+C197</f>
        <v/>
      </c>
    </row>
    <row r="198">
      <c r="A198" s="25">
        <f>IF(Parties!A198="","",Parties!A198)</f>
        <v/>
      </c>
      <c r="B198" s="26">
        <f>IF(A198="",0,SUMIFS('Direct Costs'!$AJ$5:$AJ$2005,'Direct Costs'!$E$5:$E$2005,$A198,'Direct Costs'!$A$5:$A$2005,"&lt;="&amp;ReportTo)+SUMIFS('Operating Expenses'!$AE$5:$AE$2005,'Operating Expenses'!$E$5:$E$2005,$A198,'Operating Expenses'!$A$5:$A$2005,"&lt;="&amp;ReportTo)+SUMIFS('Payroll'!$AA$5:$AA$2005,'Payroll'!$C$5:$C$2005,$A198,'Payroll'!$A$5:$A$2005,"&lt;="&amp;ReportTo)+SUMIFS('Receipt Vouchers'!$AA$5:$AA$2005,'Receipt Vouchers'!$E$5:$E$2005,$A198,'Receipt Vouchers'!$A$5:$A$2005,"&lt;="&amp;ReportTo)+SUMIFS('Sales Invoices'!$AB$5:$AB$2005,'Sales Invoices'!$H$5:$H$2005,$A198,'Sales Invoices'!$B$5:$B$2005,"&lt;="&amp;ReportTo)+SUMIFS('Payment Vouchers'!$R$5:$R$2005,'Payment Vouchers'!$B$5:$B$2005,$A198,'Payment Vouchers'!$A$5:$A$2005,"&lt;="&amp;ReportTo)+SUMIFS('Partner Transactions'!$T$5:$T$2005,'Partner Transactions'!$B$5:$B$2005,$A198,'Partner Transactions'!$A$5:$A$2005,"&lt;="&amp;ReportTo)+SUMIFS('Stock Moves'!$AP$5:$AP$2005,'Stock Moves'!$J$5:$J$2005,$A198,'Stock Moves'!$A$5:$A$2005,"&lt;="&amp;ReportTo)+SUMIFS('Journal Vouchers'!$R$5:$R$2005,'Journal Vouchers'!$E$5:$E$2005,$A198,'Journal Vouchers'!$B$5:$B$2005,"&lt;="&amp;ReportTo))</f>
        <v/>
      </c>
      <c r="C198" s="26">
        <f>IF(A198="",0,SUMIFS('Direct Costs'!$AK$5:$AK$2005,'Direct Costs'!$E$5:$E$2005,$A198,'Direct Costs'!$A$5:$A$2005,"&lt;="&amp;ReportTo)+SUMIFS('Operating Expenses'!$AF$5:$AF$2005,'Operating Expenses'!$E$5:$E$2005,$A198,'Operating Expenses'!$A$5:$A$2005,"&lt;="&amp;ReportTo)+SUMIFS('Payroll'!$AB$5:$AB$2005,'Payroll'!$C$5:$C$2005,$A198,'Payroll'!$A$5:$A$2005,"&lt;="&amp;ReportTo)+SUMIFS('Receipt Vouchers'!$AB$5:$AB$2005,'Receipt Vouchers'!$E$5:$E$2005,$A198,'Receipt Vouchers'!$A$5:$A$2005,"&lt;="&amp;ReportTo)+SUMIFS('Sales Invoices'!$AC$5:$AC$2005,'Sales Invoices'!$H$5:$H$2005,$A198,'Sales Invoices'!$B$5:$B$2005,"&lt;="&amp;ReportTo)+SUMIFS('Payment Vouchers'!$S$5:$S$2005,'Payment Vouchers'!$B$5:$B$2005,$A198,'Payment Vouchers'!$A$5:$A$2005,"&lt;="&amp;ReportTo)+SUMIFS('Partner Transactions'!$U$5:$U$2005,'Partner Transactions'!$B$5:$B$2005,$A198,'Partner Transactions'!$A$5:$A$2005,"&lt;="&amp;ReportTo)+SUMIFS('Stock Moves'!$AQ$5:$AQ$2005,'Stock Moves'!$J$5:$J$2005,$A198,'Stock Moves'!$A$5:$A$2005,"&lt;="&amp;ReportTo)+SUMIFS('Journal Vouchers'!$S$5:$S$2005,'Journal Vouchers'!$E$5:$E$2005,$A198,'Journal Vouchers'!$B$5:$B$2005,"&lt;="&amp;ReportTo))</f>
        <v/>
      </c>
      <c r="D198" s="26">
        <f>B198+C198</f>
        <v/>
      </c>
    </row>
    <row r="199">
      <c r="A199" s="25">
        <f>IF(Parties!A199="","",Parties!A199)</f>
        <v/>
      </c>
      <c r="B199" s="26">
        <f>IF(A199="",0,SUMIFS('Direct Costs'!$AJ$5:$AJ$2005,'Direct Costs'!$E$5:$E$2005,$A199,'Direct Costs'!$A$5:$A$2005,"&lt;="&amp;ReportTo)+SUMIFS('Operating Expenses'!$AE$5:$AE$2005,'Operating Expenses'!$E$5:$E$2005,$A199,'Operating Expenses'!$A$5:$A$2005,"&lt;="&amp;ReportTo)+SUMIFS('Payroll'!$AA$5:$AA$2005,'Payroll'!$C$5:$C$2005,$A199,'Payroll'!$A$5:$A$2005,"&lt;="&amp;ReportTo)+SUMIFS('Receipt Vouchers'!$AA$5:$AA$2005,'Receipt Vouchers'!$E$5:$E$2005,$A199,'Receipt Vouchers'!$A$5:$A$2005,"&lt;="&amp;ReportTo)+SUMIFS('Sales Invoices'!$AB$5:$AB$2005,'Sales Invoices'!$H$5:$H$2005,$A199,'Sales Invoices'!$B$5:$B$2005,"&lt;="&amp;ReportTo)+SUMIFS('Payment Vouchers'!$R$5:$R$2005,'Payment Vouchers'!$B$5:$B$2005,$A199,'Payment Vouchers'!$A$5:$A$2005,"&lt;="&amp;ReportTo)+SUMIFS('Partner Transactions'!$T$5:$T$2005,'Partner Transactions'!$B$5:$B$2005,$A199,'Partner Transactions'!$A$5:$A$2005,"&lt;="&amp;ReportTo)+SUMIFS('Stock Moves'!$AP$5:$AP$2005,'Stock Moves'!$J$5:$J$2005,$A199,'Stock Moves'!$A$5:$A$2005,"&lt;="&amp;ReportTo)+SUMIFS('Journal Vouchers'!$R$5:$R$2005,'Journal Vouchers'!$E$5:$E$2005,$A199,'Journal Vouchers'!$B$5:$B$2005,"&lt;="&amp;ReportTo))</f>
        <v/>
      </c>
      <c r="C199" s="26">
        <f>IF(A199="",0,SUMIFS('Direct Costs'!$AK$5:$AK$2005,'Direct Costs'!$E$5:$E$2005,$A199,'Direct Costs'!$A$5:$A$2005,"&lt;="&amp;ReportTo)+SUMIFS('Operating Expenses'!$AF$5:$AF$2005,'Operating Expenses'!$E$5:$E$2005,$A199,'Operating Expenses'!$A$5:$A$2005,"&lt;="&amp;ReportTo)+SUMIFS('Payroll'!$AB$5:$AB$2005,'Payroll'!$C$5:$C$2005,$A199,'Payroll'!$A$5:$A$2005,"&lt;="&amp;ReportTo)+SUMIFS('Receipt Vouchers'!$AB$5:$AB$2005,'Receipt Vouchers'!$E$5:$E$2005,$A199,'Receipt Vouchers'!$A$5:$A$2005,"&lt;="&amp;ReportTo)+SUMIFS('Sales Invoices'!$AC$5:$AC$2005,'Sales Invoices'!$H$5:$H$2005,$A199,'Sales Invoices'!$B$5:$B$2005,"&lt;="&amp;ReportTo)+SUMIFS('Payment Vouchers'!$S$5:$S$2005,'Payment Vouchers'!$B$5:$B$2005,$A199,'Payment Vouchers'!$A$5:$A$2005,"&lt;="&amp;ReportTo)+SUMIFS('Partner Transactions'!$U$5:$U$2005,'Partner Transactions'!$B$5:$B$2005,$A199,'Partner Transactions'!$A$5:$A$2005,"&lt;="&amp;ReportTo)+SUMIFS('Stock Moves'!$AQ$5:$AQ$2005,'Stock Moves'!$J$5:$J$2005,$A199,'Stock Moves'!$A$5:$A$2005,"&lt;="&amp;ReportTo)+SUMIFS('Journal Vouchers'!$S$5:$S$2005,'Journal Vouchers'!$E$5:$E$2005,$A199,'Journal Vouchers'!$B$5:$B$2005,"&lt;="&amp;ReportTo))</f>
        <v/>
      </c>
      <c r="D199" s="26">
        <f>B199+C199</f>
        <v/>
      </c>
    </row>
    <row r="200">
      <c r="A200" s="25">
        <f>IF(Parties!A200="","",Parties!A200)</f>
        <v/>
      </c>
      <c r="B200" s="26">
        <f>IF(A200="",0,SUMIFS('Direct Costs'!$AJ$5:$AJ$2005,'Direct Costs'!$E$5:$E$2005,$A200,'Direct Costs'!$A$5:$A$2005,"&lt;="&amp;ReportTo)+SUMIFS('Operating Expenses'!$AE$5:$AE$2005,'Operating Expenses'!$E$5:$E$2005,$A200,'Operating Expenses'!$A$5:$A$2005,"&lt;="&amp;ReportTo)+SUMIFS('Payroll'!$AA$5:$AA$2005,'Payroll'!$C$5:$C$2005,$A200,'Payroll'!$A$5:$A$2005,"&lt;="&amp;ReportTo)+SUMIFS('Receipt Vouchers'!$AA$5:$AA$2005,'Receipt Vouchers'!$E$5:$E$2005,$A200,'Receipt Vouchers'!$A$5:$A$2005,"&lt;="&amp;ReportTo)+SUMIFS('Sales Invoices'!$AB$5:$AB$2005,'Sales Invoices'!$H$5:$H$2005,$A200,'Sales Invoices'!$B$5:$B$2005,"&lt;="&amp;ReportTo)+SUMIFS('Payment Vouchers'!$R$5:$R$2005,'Payment Vouchers'!$B$5:$B$2005,$A200,'Payment Vouchers'!$A$5:$A$2005,"&lt;="&amp;ReportTo)+SUMIFS('Partner Transactions'!$T$5:$T$2005,'Partner Transactions'!$B$5:$B$2005,$A200,'Partner Transactions'!$A$5:$A$2005,"&lt;="&amp;ReportTo)+SUMIFS('Stock Moves'!$AP$5:$AP$2005,'Stock Moves'!$J$5:$J$2005,$A200,'Stock Moves'!$A$5:$A$2005,"&lt;="&amp;ReportTo)+SUMIFS('Journal Vouchers'!$R$5:$R$2005,'Journal Vouchers'!$E$5:$E$2005,$A200,'Journal Vouchers'!$B$5:$B$2005,"&lt;="&amp;ReportTo))</f>
        <v/>
      </c>
      <c r="C200" s="26">
        <f>IF(A200="",0,SUMIFS('Direct Costs'!$AK$5:$AK$2005,'Direct Costs'!$E$5:$E$2005,$A200,'Direct Costs'!$A$5:$A$2005,"&lt;="&amp;ReportTo)+SUMIFS('Operating Expenses'!$AF$5:$AF$2005,'Operating Expenses'!$E$5:$E$2005,$A200,'Operating Expenses'!$A$5:$A$2005,"&lt;="&amp;ReportTo)+SUMIFS('Payroll'!$AB$5:$AB$2005,'Payroll'!$C$5:$C$2005,$A200,'Payroll'!$A$5:$A$2005,"&lt;="&amp;ReportTo)+SUMIFS('Receipt Vouchers'!$AB$5:$AB$2005,'Receipt Vouchers'!$E$5:$E$2005,$A200,'Receipt Vouchers'!$A$5:$A$2005,"&lt;="&amp;ReportTo)+SUMIFS('Sales Invoices'!$AC$5:$AC$2005,'Sales Invoices'!$H$5:$H$2005,$A200,'Sales Invoices'!$B$5:$B$2005,"&lt;="&amp;ReportTo)+SUMIFS('Payment Vouchers'!$S$5:$S$2005,'Payment Vouchers'!$B$5:$B$2005,$A200,'Payment Vouchers'!$A$5:$A$2005,"&lt;="&amp;ReportTo)+SUMIFS('Partner Transactions'!$U$5:$U$2005,'Partner Transactions'!$B$5:$B$2005,$A200,'Partner Transactions'!$A$5:$A$2005,"&lt;="&amp;ReportTo)+SUMIFS('Stock Moves'!$AQ$5:$AQ$2005,'Stock Moves'!$J$5:$J$2005,$A200,'Stock Moves'!$A$5:$A$2005,"&lt;="&amp;ReportTo)+SUMIFS('Journal Vouchers'!$S$5:$S$2005,'Journal Vouchers'!$E$5:$E$2005,$A200,'Journal Vouchers'!$B$5:$B$2005,"&lt;="&amp;ReportTo))</f>
        <v/>
      </c>
      <c r="D200" s="26">
        <f>B200+C200</f>
        <v/>
      </c>
    </row>
    <row r="201">
      <c r="A201" s="25">
        <f>IF(Parties!A201="","",Parties!A201)</f>
        <v/>
      </c>
      <c r="B201" s="26">
        <f>IF(A201="",0,SUMIFS('Direct Costs'!$AJ$5:$AJ$2005,'Direct Costs'!$E$5:$E$2005,$A201,'Direct Costs'!$A$5:$A$2005,"&lt;="&amp;ReportTo)+SUMIFS('Operating Expenses'!$AE$5:$AE$2005,'Operating Expenses'!$E$5:$E$2005,$A201,'Operating Expenses'!$A$5:$A$2005,"&lt;="&amp;ReportTo)+SUMIFS('Payroll'!$AA$5:$AA$2005,'Payroll'!$C$5:$C$2005,$A201,'Payroll'!$A$5:$A$2005,"&lt;="&amp;ReportTo)+SUMIFS('Receipt Vouchers'!$AA$5:$AA$2005,'Receipt Vouchers'!$E$5:$E$2005,$A201,'Receipt Vouchers'!$A$5:$A$2005,"&lt;="&amp;ReportTo)+SUMIFS('Sales Invoices'!$AB$5:$AB$2005,'Sales Invoices'!$H$5:$H$2005,$A201,'Sales Invoices'!$B$5:$B$2005,"&lt;="&amp;ReportTo)+SUMIFS('Payment Vouchers'!$R$5:$R$2005,'Payment Vouchers'!$B$5:$B$2005,$A201,'Payment Vouchers'!$A$5:$A$2005,"&lt;="&amp;ReportTo)+SUMIFS('Partner Transactions'!$T$5:$T$2005,'Partner Transactions'!$B$5:$B$2005,$A201,'Partner Transactions'!$A$5:$A$2005,"&lt;="&amp;ReportTo)+SUMIFS('Stock Moves'!$AP$5:$AP$2005,'Stock Moves'!$J$5:$J$2005,$A201,'Stock Moves'!$A$5:$A$2005,"&lt;="&amp;ReportTo)+SUMIFS('Journal Vouchers'!$R$5:$R$2005,'Journal Vouchers'!$E$5:$E$2005,$A201,'Journal Vouchers'!$B$5:$B$2005,"&lt;="&amp;ReportTo))</f>
        <v/>
      </c>
      <c r="C201" s="26">
        <f>IF(A201="",0,SUMIFS('Direct Costs'!$AK$5:$AK$2005,'Direct Costs'!$E$5:$E$2005,$A201,'Direct Costs'!$A$5:$A$2005,"&lt;="&amp;ReportTo)+SUMIFS('Operating Expenses'!$AF$5:$AF$2005,'Operating Expenses'!$E$5:$E$2005,$A201,'Operating Expenses'!$A$5:$A$2005,"&lt;="&amp;ReportTo)+SUMIFS('Payroll'!$AB$5:$AB$2005,'Payroll'!$C$5:$C$2005,$A201,'Payroll'!$A$5:$A$2005,"&lt;="&amp;ReportTo)+SUMIFS('Receipt Vouchers'!$AB$5:$AB$2005,'Receipt Vouchers'!$E$5:$E$2005,$A201,'Receipt Vouchers'!$A$5:$A$2005,"&lt;="&amp;ReportTo)+SUMIFS('Sales Invoices'!$AC$5:$AC$2005,'Sales Invoices'!$H$5:$H$2005,$A201,'Sales Invoices'!$B$5:$B$2005,"&lt;="&amp;ReportTo)+SUMIFS('Payment Vouchers'!$S$5:$S$2005,'Payment Vouchers'!$B$5:$B$2005,$A201,'Payment Vouchers'!$A$5:$A$2005,"&lt;="&amp;ReportTo)+SUMIFS('Partner Transactions'!$U$5:$U$2005,'Partner Transactions'!$B$5:$B$2005,$A201,'Partner Transactions'!$A$5:$A$2005,"&lt;="&amp;ReportTo)+SUMIFS('Stock Moves'!$AQ$5:$AQ$2005,'Stock Moves'!$J$5:$J$2005,$A201,'Stock Moves'!$A$5:$A$2005,"&lt;="&amp;ReportTo)+SUMIFS('Journal Vouchers'!$S$5:$S$2005,'Journal Vouchers'!$E$5:$E$2005,$A201,'Journal Vouchers'!$B$5:$B$2005,"&lt;="&amp;ReportTo))</f>
        <v/>
      </c>
      <c r="D201" s="26">
        <f>B201+C201</f>
        <v/>
      </c>
    </row>
    <row r="202">
      <c r="A202" s="25">
        <f>IF(Parties!A202="","",Parties!A202)</f>
        <v/>
      </c>
      <c r="B202" s="26">
        <f>IF(A202="",0,SUMIFS('Direct Costs'!$AJ$5:$AJ$2005,'Direct Costs'!$E$5:$E$2005,$A202,'Direct Costs'!$A$5:$A$2005,"&lt;="&amp;ReportTo)+SUMIFS('Operating Expenses'!$AE$5:$AE$2005,'Operating Expenses'!$E$5:$E$2005,$A202,'Operating Expenses'!$A$5:$A$2005,"&lt;="&amp;ReportTo)+SUMIFS('Payroll'!$AA$5:$AA$2005,'Payroll'!$C$5:$C$2005,$A202,'Payroll'!$A$5:$A$2005,"&lt;="&amp;ReportTo)+SUMIFS('Receipt Vouchers'!$AA$5:$AA$2005,'Receipt Vouchers'!$E$5:$E$2005,$A202,'Receipt Vouchers'!$A$5:$A$2005,"&lt;="&amp;ReportTo)+SUMIFS('Sales Invoices'!$AB$5:$AB$2005,'Sales Invoices'!$H$5:$H$2005,$A202,'Sales Invoices'!$B$5:$B$2005,"&lt;="&amp;ReportTo)+SUMIFS('Payment Vouchers'!$R$5:$R$2005,'Payment Vouchers'!$B$5:$B$2005,$A202,'Payment Vouchers'!$A$5:$A$2005,"&lt;="&amp;ReportTo)+SUMIFS('Partner Transactions'!$T$5:$T$2005,'Partner Transactions'!$B$5:$B$2005,$A202,'Partner Transactions'!$A$5:$A$2005,"&lt;="&amp;ReportTo)+SUMIFS('Stock Moves'!$AP$5:$AP$2005,'Stock Moves'!$J$5:$J$2005,$A202,'Stock Moves'!$A$5:$A$2005,"&lt;="&amp;ReportTo)+SUMIFS('Journal Vouchers'!$R$5:$R$2005,'Journal Vouchers'!$E$5:$E$2005,$A202,'Journal Vouchers'!$B$5:$B$2005,"&lt;="&amp;ReportTo))</f>
        <v/>
      </c>
      <c r="C202" s="26">
        <f>IF(A202="",0,SUMIFS('Direct Costs'!$AK$5:$AK$2005,'Direct Costs'!$E$5:$E$2005,$A202,'Direct Costs'!$A$5:$A$2005,"&lt;="&amp;ReportTo)+SUMIFS('Operating Expenses'!$AF$5:$AF$2005,'Operating Expenses'!$E$5:$E$2005,$A202,'Operating Expenses'!$A$5:$A$2005,"&lt;="&amp;ReportTo)+SUMIFS('Payroll'!$AB$5:$AB$2005,'Payroll'!$C$5:$C$2005,$A202,'Payroll'!$A$5:$A$2005,"&lt;="&amp;ReportTo)+SUMIFS('Receipt Vouchers'!$AB$5:$AB$2005,'Receipt Vouchers'!$E$5:$E$2005,$A202,'Receipt Vouchers'!$A$5:$A$2005,"&lt;="&amp;ReportTo)+SUMIFS('Sales Invoices'!$AC$5:$AC$2005,'Sales Invoices'!$H$5:$H$2005,$A202,'Sales Invoices'!$B$5:$B$2005,"&lt;="&amp;ReportTo)+SUMIFS('Payment Vouchers'!$S$5:$S$2005,'Payment Vouchers'!$B$5:$B$2005,$A202,'Payment Vouchers'!$A$5:$A$2005,"&lt;="&amp;ReportTo)+SUMIFS('Partner Transactions'!$U$5:$U$2005,'Partner Transactions'!$B$5:$B$2005,$A202,'Partner Transactions'!$A$5:$A$2005,"&lt;="&amp;ReportTo)+SUMIFS('Stock Moves'!$AQ$5:$AQ$2005,'Stock Moves'!$J$5:$J$2005,$A202,'Stock Moves'!$A$5:$A$2005,"&lt;="&amp;ReportTo)+SUMIFS('Journal Vouchers'!$S$5:$S$2005,'Journal Vouchers'!$E$5:$E$2005,$A202,'Journal Vouchers'!$B$5:$B$2005,"&lt;="&amp;ReportTo))</f>
        <v/>
      </c>
      <c r="D202" s="26">
        <f>B202+C202</f>
        <v/>
      </c>
    </row>
    <row r="203">
      <c r="A203" s="25">
        <f>IF(Parties!A203="","",Parties!A203)</f>
        <v/>
      </c>
      <c r="B203" s="26">
        <f>IF(A203="",0,SUMIFS('Direct Costs'!$AJ$5:$AJ$2005,'Direct Costs'!$E$5:$E$2005,$A203,'Direct Costs'!$A$5:$A$2005,"&lt;="&amp;ReportTo)+SUMIFS('Operating Expenses'!$AE$5:$AE$2005,'Operating Expenses'!$E$5:$E$2005,$A203,'Operating Expenses'!$A$5:$A$2005,"&lt;="&amp;ReportTo)+SUMIFS('Payroll'!$AA$5:$AA$2005,'Payroll'!$C$5:$C$2005,$A203,'Payroll'!$A$5:$A$2005,"&lt;="&amp;ReportTo)+SUMIFS('Receipt Vouchers'!$AA$5:$AA$2005,'Receipt Vouchers'!$E$5:$E$2005,$A203,'Receipt Vouchers'!$A$5:$A$2005,"&lt;="&amp;ReportTo)+SUMIFS('Sales Invoices'!$AB$5:$AB$2005,'Sales Invoices'!$H$5:$H$2005,$A203,'Sales Invoices'!$B$5:$B$2005,"&lt;="&amp;ReportTo)+SUMIFS('Payment Vouchers'!$R$5:$R$2005,'Payment Vouchers'!$B$5:$B$2005,$A203,'Payment Vouchers'!$A$5:$A$2005,"&lt;="&amp;ReportTo)+SUMIFS('Partner Transactions'!$T$5:$T$2005,'Partner Transactions'!$B$5:$B$2005,$A203,'Partner Transactions'!$A$5:$A$2005,"&lt;="&amp;ReportTo)+SUMIFS('Stock Moves'!$AP$5:$AP$2005,'Stock Moves'!$J$5:$J$2005,$A203,'Stock Moves'!$A$5:$A$2005,"&lt;="&amp;ReportTo)+SUMIFS('Journal Vouchers'!$R$5:$R$2005,'Journal Vouchers'!$E$5:$E$2005,$A203,'Journal Vouchers'!$B$5:$B$2005,"&lt;="&amp;ReportTo))</f>
        <v/>
      </c>
      <c r="C203" s="26">
        <f>IF(A203="",0,SUMIFS('Direct Costs'!$AK$5:$AK$2005,'Direct Costs'!$E$5:$E$2005,$A203,'Direct Costs'!$A$5:$A$2005,"&lt;="&amp;ReportTo)+SUMIFS('Operating Expenses'!$AF$5:$AF$2005,'Operating Expenses'!$E$5:$E$2005,$A203,'Operating Expenses'!$A$5:$A$2005,"&lt;="&amp;ReportTo)+SUMIFS('Payroll'!$AB$5:$AB$2005,'Payroll'!$C$5:$C$2005,$A203,'Payroll'!$A$5:$A$2005,"&lt;="&amp;ReportTo)+SUMIFS('Receipt Vouchers'!$AB$5:$AB$2005,'Receipt Vouchers'!$E$5:$E$2005,$A203,'Receipt Vouchers'!$A$5:$A$2005,"&lt;="&amp;ReportTo)+SUMIFS('Sales Invoices'!$AC$5:$AC$2005,'Sales Invoices'!$H$5:$H$2005,$A203,'Sales Invoices'!$B$5:$B$2005,"&lt;="&amp;ReportTo)+SUMIFS('Payment Vouchers'!$S$5:$S$2005,'Payment Vouchers'!$B$5:$B$2005,$A203,'Payment Vouchers'!$A$5:$A$2005,"&lt;="&amp;ReportTo)+SUMIFS('Partner Transactions'!$U$5:$U$2005,'Partner Transactions'!$B$5:$B$2005,$A203,'Partner Transactions'!$A$5:$A$2005,"&lt;="&amp;ReportTo)+SUMIFS('Stock Moves'!$AQ$5:$AQ$2005,'Stock Moves'!$J$5:$J$2005,$A203,'Stock Moves'!$A$5:$A$2005,"&lt;="&amp;ReportTo)+SUMIFS('Journal Vouchers'!$S$5:$S$2005,'Journal Vouchers'!$E$5:$E$2005,$A203,'Journal Vouchers'!$B$5:$B$2005,"&lt;="&amp;ReportTo))</f>
        <v/>
      </c>
      <c r="D203" s="26">
        <f>B203+C203</f>
        <v/>
      </c>
    </row>
    <row r="204">
      <c r="A204" s="25">
        <f>IF(Parties!A204="","",Parties!A204)</f>
        <v/>
      </c>
      <c r="B204" s="26">
        <f>IF(A204="",0,SUMIFS('Direct Costs'!$AJ$5:$AJ$2005,'Direct Costs'!$E$5:$E$2005,$A204,'Direct Costs'!$A$5:$A$2005,"&lt;="&amp;ReportTo)+SUMIFS('Operating Expenses'!$AE$5:$AE$2005,'Operating Expenses'!$E$5:$E$2005,$A204,'Operating Expenses'!$A$5:$A$2005,"&lt;="&amp;ReportTo)+SUMIFS('Payroll'!$AA$5:$AA$2005,'Payroll'!$C$5:$C$2005,$A204,'Payroll'!$A$5:$A$2005,"&lt;="&amp;ReportTo)+SUMIFS('Receipt Vouchers'!$AA$5:$AA$2005,'Receipt Vouchers'!$E$5:$E$2005,$A204,'Receipt Vouchers'!$A$5:$A$2005,"&lt;="&amp;ReportTo)+SUMIFS('Sales Invoices'!$AB$5:$AB$2005,'Sales Invoices'!$H$5:$H$2005,$A204,'Sales Invoices'!$B$5:$B$2005,"&lt;="&amp;ReportTo)+SUMIFS('Payment Vouchers'!$R$5:$R$2005,'Payment Vouchers'!$B$5:$B$2005,$A204,'Payment Vouchers'!$A$5:$A$2005,"&lt;="&amp;ReportTo)+SUMIFS('Partner Transactions'!$T$5:$T$2005,'Partner Transactions'!$B$5:$B$2005,$A204,'Partner Transactions'!$A$5:$A$2005,"&lt;="&amp;ReportTo)+SUMIFS('Stock Moves'!$AP$5:$AP$2005,'Stock Moves'!$J$5:$J$2005,$A204,'Stock Moves'!$A$5:$A$2005,"&lt;="&amp;ReportTo)+SUMIFS('Journal Vouchers'!$R$5:$R$2005,'Journal Vouchers'!$E$5:$E$2005,$A204,'Journal Vouchers'!$B$5:$B$2005,"&lt;="&amp;ReportTo))</f>
        <v/>
      </c>
      <c r="C204" s="26">
        <f>IF(A204="",0,SUMIFS('Direct Costs'!$AK$5:$AK$2005,'Direct Costs'!$E$5:$E$2005,$A204,'Direct Costs'!$A$5:$A$2005,"&lt;="&amp;ReportTo)+SUMIFS('Operating Expenses'!$AF$5:$AF$2005,'Operating Expenses'!$E$5:$E$2005,$A204,'Operating Expenses'!$A$5:$A$2005,"&lt;="&amp;ReportTo)+SUMIFS('Payroll'!$AB$5:$AB$2005,'Payroll'!$C$5:$C$2005,$A204,'Payroll'!$A$5:$A$2005,"&lt;="&amp;ReportTo)+SUMIFS('Receipt Vouchers'!$AB$5:$AB$2005,'Receipt Vouchers'!$E$5:$E$2005,$A204,'Receipt Vouchers'!$A$5:$A$2005,"&lt;="&amp;ReportTo)+SUMIFS('Sales Invoices'!$AC$5:$AC$2005,'Sales Invoices'!$H$5:$H$2005,$A204,'Sales Invoices'!$B$5:$B$2005,"&lt;="&amp;ReportTo)+SUMIFS('Payment Vouchers'!$S$5:$S$2005,'Payment Vouchers'!$B$5:$B$2005,$A204,'Payment Vouchers'!$A$5:$A$2005,"&lt;="&amp;ReportTo)+SUMIFS('Partner Transactions'!$U$5:$U$2005,'Partner Transactions'!$B$5:$B$2005,$A204,'Partner Transactions'!$A$5:$A$2005,"&lt;="&amp;ReportTo)+SUMIFS('Stock Moves'!$AQ$5:$AQ$2005,'Stock Moves'!$J$5:$J$2005,$A204,'Stock Moves'!$A$5:$A$2005,"&lt;="&amp;ReportTo)+SUMIFS('Journal Vouchers'!$S$5:$S$2005,'Journal Vouchers'!$E$5:$E$2005,$A204,'Journal Vouchers'!$B$5:$B$2005,"&lt;="&amp;ReportTo))</f>
        <v/>
      </c>
      <c r="D204" s="26">
        <f>B204+C204</f>
        <v/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5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10" customWidth="1" min="3" max="3"/>
    <col width="14" customWidth="1" min="4" max="4"/>
    <col width="14" customWidth="1" min="5" max="5"/>
    <col width="16" customWidth="1" min="6" max="6"/>
    <col width="16" customWidth="1" min="7" max="7"/>
    <col width="9" customWidth="1" min="8" max="8"/>
  </cols>
  <sheetData>
    <row r="1" ht="24" customHeight="1">
      <c r="A1" s="8" t="inlineStr">
        <is>
          <t>BEYOND DESIGN | QUICK ESTIMATOR</t>
        </is>
      </c>
    </row>
    <row r="2">
      <c r="A2" s="25" t="inlineStr">
        <is>
          <t>Client</t>
        </is>
      </c>
      <c r="B2" s="56" t="inlineStr">
        <is>
          <t>Client name</t>
        </is>
      </c>
    </row>
    <row r="3">
      <c r="A3" s="30" t="inlineStr">
        <is>
          <t>Pick a description from the Price List; unit, prices and cost fill in automatically.</t>
        </is>
      </c>
    </row>
    <row r="4"/>
    <row r="5">
      <c r="A5" s="33" t="inlineStr">
        <is>
          <t>Description</t>
        </is>
      </c>
      <c r="B5" s="33" t="inlineStr">
        <is>
          <t>Unit</t>
        </is>
      </c>
      <c r="C5" s="33" t="inlineStr">
        <is>
          <t>Qty</t>
        </is>
      </c>
      <c r="D5" s="33" t="inlineStr">
        <is>
          <t>Client price</t>
        </is>
      </c>
      <c r="E5" s="33" t="inlineStr">
        <is>
          <t>Unit cost</t>
        </is>
      </c>
      <c r="F5" s="33" t="inlineStr">
        <is>
          <t>Line price</t>
        </is>
      </c>
      <c r="G5" s="33" t="inlineStr">
        <is>
          <t>Line cost</t>
        </is>
      </c>
      <c r="H5" s="33" t="inlineStr">
        <is>
          <t>Margin</t>
        </is>
      </c>
    </row>
    <row r="6">
      <c r="A6" s="56" t="n"/>
      <c r="B6" s="25">
        <f>IFERROR(INDEX('Price List'!$E$5:$E$5000,MATCH($A6,'Price List'!$D$5:$D$5000,0)),"")</f>
        <v/>
      </c>
      <c r="C6" s="56" t="n"/>
      <c r="D6" s="26">
        <f>IFERROR(IF(INDEX('Price List'!$H$5:$H$5000,MATCH($A6,'Price List'!$D$5:$D$5000,0))="",N(INDEX('Price List'!$F$5:$F$5000,MATCH($A6,'Price List'!$D$5:$D$5000,0)))*(1+N(INDEX('Price List'!$G$5:$G$5000,MATCH($A6,'Price List'!$D$5:$D$5000,0)))),INDEX('Price List'!$H$5:$H$5000,MATCH($A6,'Price List'!$D$5:$D$5000,0))),0)</f>
        <v/>
      </c>
      <c r="E6" s="26">
        <f>N(IFERROR(INDEX('Price List'!$F$5:$F$5000,MATCH($A6,'Price List'!$D$5:$D$5000,0)),""))</f>
        <v/>
      </c>
      <c r="F6" s="26">
        <f>N(C6)*N(D6)</f>
        <v/>
      </c>
      <c r="G6" s="26">
        <f>N(C6)*N(E6)</f>
        <v/>
      </c>
      <c r="H6" s="52">
        <f>IFERROR(1-G6/F6,0)</f>
        <v/>
      </c>
    </row>
    <row r="7">
      <c r="A7" s="56" t="n"/>
      <c r="B7" s="25">
        <f>IFERROR(INDEX('Price List'!$E$5:$E$5000,MATCH($A7,'Price List'!$D$5:$D$5000,0)),"")</f>
        <v/>
      </c>
      <c r="C7" s="56" t="n"/>
      <c r="D7" s="26">
        <f>IFERROR(IF(INDEX('Price List'!$H$5:$H$5000,MATCH($A7,'Price List'!$D$5:$D$5000,0))="",N(INDEX('Price List'!$F$5:$F$5000,MATCH($A7,'Price List'!$D$5:$D$5000,0)))*(1+N(INDEX('Price List'!$G$5:$G$5000,MATCH($A7,'Price List'!$D$5:$D$5000,0)))),INDEX('Price List'!$H$5:$H$5000,MATCH($A7,'Price List'!$D$5:$D$5000,0))),0)</f>
        <v/>
      </c>
      <c r="E7" s="26">
        <f>N(IFERROR(INDEX('Price List'!$F$5:$F$5000,MATCH($A7,'Price List'!$D$5:$D$5000,0)),""))</f>
        <v/>
      </c>
      <c r="F7" s="26">
        <f>N(C7)*N(D7)</f>
        <v/>
      </c>
      <c r="G7" s="26">
        <f>N(C7)*N(E7)</f>
        <v/>
      </c>
      <c r="H7" s="52">
        <f>IFERROR(1-G7/F7,0)</f>
        <v/>
      </c>
    </row>
    <row r="8">
      <c r="A8" s="56" t="n"/>
      <c r="B8" s="25">
        <f>IFERROR(INDEX('Price List'!$E$5:$E$5000,MATCH($A8,'Price List'!$D$5:$D$5000,0)),"")</f>
        <v/>
      </c>
      <c r="C8" s="56" t="n"/>
      <c r="D8" s="26">
        <f>IFERROR(IF(INDEX('Price List'!$H$5:$H$5000,MATCH($A8,'Price List'!$D$5:$D$5000,0))="",N(INDEX('Price List'!$F$5:$F$5000,MATCH($A8,'Price List'!$D$5:$D$5000,0)))*(1+N(INDEX('Price List'!$G$5:$G$5000,MATCH($A8,'Price List'!$D$5:$D$5000,0)))),INDEX('Price List'!$H$5:$H$5000,MATCH($A8,'Price List'!$D$5:$D$5000,0))),0)</f>
        <v/>
      </c>
      <c r="E8" s="26">
        <f>N(IFERROR(INDEX('Price List'!$F$5:$F$5000,MATCH($A8,'Price List'!$D$5:$D$5000,0)),""))</f>
        <v/>
      </c>
      <c r="F8" s="26">
        <f>N(C8)*N(D8)</f>
        <v/>
      </c>
      <c r="G8" s="26">
        <f>N(C8)*N(E8)</f>
        <v/>
      </c>
      <c r="H8" s="52">
        <f>IFERROR(1-G8/F8,0)</f>
        <v/>
      </c>
    </row>
    <row r="9">
      <c r="A9" s="56" t="n"/>
      <c r="B9" s="25">
        <f>IFERROR(INDEX('Price List'!$E$5:$E$5000,MATCH($A9,'Price List'!$D$5:$D$5000,0)),"")</f>
        <v/>
      </c>
      <c r="C9" s="56" t="n"/>
      <c r="D9" s="26">
        <f>IFERROR(IF(INDEX('Price List'!$H$5:$H$5000,MATCH($A9,'Price List'!$D$5:$D$5000,0))="",N(INDEX('Price List'!$F$5:$F$5000,MATCH($A9,'Price List'!$D$5:$D$5000,0)))*(1+N(INDEX('Price List'!$G$5:$G$5000,MATCH($A9,'Price List'!$D$5:$D$5000,0)))),INDEX('Price List'!$H$5:$H$5000,MATCH($A9,'Price List'!$D$5:$D$5000,0))),0)</f>
        <v/>
      </c>
      <c r="E9" s="26">
        <f>N(IFERROR(INDEX('Price List'!$F$5:$F$5000,MATCH($A9,'Price List'!$D$5:$D$5000,0)),""))</f>
        <v/>
      </c>
      <c r="F9" s="26">
        <f>N(C9)*N(D9)</f>
        <v/>
      </c>
      <c r="G9" s="26">
        <f>N(C9)*N(E9)</f>
        <v/>
      </c>
      <c r="H9" s="52">
        <f>IFERROR(1-G9/F9,0)</f>
        <v/>
      </c>
    </row>
    <row r="10">
      <c r="A10" s="56" t="n"/>
      <c r="B10" s="25">
        <f>IFERROR(INDEX('Price List'!$E$5:$E$5000,MATCH($A10,'Price List'!$D$5:$D$5000,0)),"")</f>
        <v/>
      </c>
      <c r="C10" s="56" t="n"/>
      <c r="D10" s="26">
        <f>IFERROR(IF(INDEX('Price List'!$H$5:$H$5000,MATCH($A10,'Price List'!$D$5:$D$5000,0))="",N(INDEX('Price List'!$F$5:$F$5000,MATCH($A10,'Price List'!$D$5:$D$5000,0)))*(1+N(INDEX('Price List'!$G$5:$G$5000,MATCH($A10,'Price List'!$D$5:$D$5000,0)))),INDEX('Price List'!$H$5:$H$5000,MATCH($A10,'Price List'!$D$5:$D$5000,0))),0)</f>
        <v/>
      </c>
      <c r="E10" s="26">
        <f>N(IFERROR(INDEX('Price List'!$F$5:$F$5000,MATCH($A10,'Price List'!$D$5:$D$5000,0)),""))</f>
        <v/>
      </c>
      <c r="F10" s="26">
        <f>N(C10)*N(D10)</f>
        <v/>
      </c>
      <c r="G10" s="26">
        <f>N(C10)*N(E10)</f>
        <v/>
      </c>
      <c r="H10" s="52">
        <f>IFERROR(1-G10/F10,0)</f>
        <v/>
      </c>
    </row>
    <row r="11">
      <c r="A11" s="56" t="n"/>
      <c r="B11" s="25">
        <f>IFERROR(INDEX('Price List'!$E$5:$E$5000,MATCH($A11,'Price List'!$D$5:$D$5000,0)),"")</f>
        <v/>
      </c>
      <c r="C11" s="56" t="n"/>
      <c r="D11" s="26">
        <f>IFERROR(IF(INDEX('Price List'!$H$5:$H$5000,MATCH($A11,'Price List'!$D$5:$D$5000,0))="",N(INDEX('Price List'!$F$5:$F$5000,MATCH($A11,'Price List'!$D$5:$D$5000,0)))*(1+N(INDEX('Price List'!$G$5:$G$5000,MATCH($A11,'Price List'!$D$5:$D$5000,0)))),INDEX('Price List'!$H$5:$H$5000,MATCH($A11,'Price List'!$D$5:$D$5000,0))),0)</f>
        <v/>
      </c>
      <c r="E11" s="26">
        <f>N(IFERROR(INDEX('Price List'!$F$5:$F$5000,MATCH($A11,'Price List'!$D$5:$D$5000,0)),""))</f>
        <v/>
      </c>
      <c r="F11" s="26">
        <f>N(C11)*N(D11)</f>
        <v/>
      </c>
      <c r="G11" s="26">
        <f>N(C11)*N(E11)</f>
        <v/>
      </c>
      <c r="H11" s="52">
        <f>IFERROR(1-G11/F11,0)</f>
        <v/>
      </c>
    </row>
    <row r="12">
      <c r="A12" s="56" t="n"/>
      <c r="B12" s="25">
        <f>IFERROR(INDEX('Price List'!$E$5:$E$5000,MATCH($A12,'Price List'!$D$5:$D$5000,0)),"")</f>
        <v/>
      </c>
      <c r="C12" s="56" t="n"/>
      <c r="D12" s="26">
        <f>IFERROR(IF(INDEX('Price List'!$H$5:$H$5000,MATCH($A12,'Price List'!$D$5:$D$5000,0))="",N(INDEX('Price List'!$F$5:$F$5000,MATCH($A12,'Price List'!$D$5:$D$5000,0)))*(1+N(INDEX('Price List'!$G$5:$G$5000,MATCH($A12,'Price List'!$D$5:$D$5000,0)))),INDEX('Price List'!$H$5:$H$5000,MATCH($A12,'Price List'!$D$5:$D$5000,0))),0)</f>
        <v/>
      </c>
      <c r="E12" s="26">
        <f>N(IFERROR(INDEX('Price List'!$F$5:$F$5000,MATCH($A12,'Price List'!$D$5:$D$5000,0)),""))</f>
        <v/>
      </c>
      <c r="F12" s="26">
        <f>N(C12)*N(D12)</f>
        <v/>
      </c>
      <c r="G12" s="26">
        <f>N(C12)*N(E12)</f>
        <v/>
      </c>
      <c r="H12" s="52">
        <f>IFERROR(1-G12/F12,0)</f>
        <v/>
      </c>
    </row>
    <row r="13">
      <c r="A13" s="56" t="n"/>
      <c r="B13" s="25">
        <f>IFERROR(INDEX('Price List'!$E$5:$E$5000,MATCH($A13,'Price List'!$D$5:$D$5000,0)),"")</f>
        <v/>
      </c>
      <c r="C13" s="56" t="n"/>
      <c r="D13" s="26">
        <f>IFERROR(IF(INDEX('Price List'!$H$5:$H$5000,MATCH($A13,'Price List'!$D$5:$D$5000,0))="",N(INDEX('Price List'!$F$5:$F$5000,MATCH($A13,'Price List'!$D$5:$D$5000,0)))*(1+N(INDEX('Price List'!$G$5:$G$5000,MATCH($A13,'Price List'!$D$5:$D$5000,0)))),INDEX('Price List'!$H$5:$H$5000,MATCH($A13,'Price List'!$D$5:$D$5000,0))),0)</f>
        <v/>
      </c>
      <c r="E13" s="26">
        <f>N(IFERROR(INDEX('Price List'!$F$5:$F$5000,MATCH($A13,'Price List'!$D$5:$D$5000,0)),""))</f>
        <v/>
      </c>
      <c r="F13" s="26">
        <f>N(C13)*N(D13)</f>
        <v/>
      </c>
      <c r="G13" s="26">
        <f>N(C13)*N(E13)</f>
        <v/>
      </c>
      <c r="H13" s="52">
        <f>IFERROR(1-G13/F13,0)</f>
        <v/>
      </c>
    </row>
    <row r="14">
      <c r="A14" s="56" t="n"/>
      <c r="B14" s="25">
        <f>IFERROR(INDEX('Price List'!$E$5:$E$5000,MATCH($A14,'Price List'!$D$5:$D$5000,0)),"")</f>
        <v/>
      </c>
      <c r="C14" s="56" t="n"/>
      <c r="D14" s="26">
        <f>IFERROR(IF(INDEX('Price List'!$H$5:$H$5000,MATCH($A14,'Price List'!$D$5:$D$5000,0))="",N(INDEX('Price List'!$F$5:$F$5000,MATCH($A14,'Price List'!$D$5:$D$5000,0)))*(1+N(INDEX('Price List'!$G$5:$G$5000,MATCH($A14,'Price List'!$D$5:$D$5000,0)))),INDEX('Price List'!$H$5:$H$5000,MATCH($A14,'Price List'!$D$5:$D$5000,0))),0)</f>
        <v/>
      </c>
      <c r="E14" s="26">
        <f>N(IFERROR(INDEX('Price List'!$F$5:$F$5000,MATCH($A14,'Price List'!$D$5:$D$5000,0)),""))</f>
        <v/>
      </c>
      <c r="F14" s="26">
        <f>N(C14)*N(D14)</f>
        <v/>
      </c>
      <c r="G14" s="26">
        <f>N(C14)*N(E14)</f>
        <v/>
      </c>
      <c r="H14" s="52">
        <f>IFERROR(1-G14/F14,0)</f>
        <v/>
      </c>
    </row>
    <row r="15">
      <c r="A15" s="56" t="n"/>
      <c r="B15" s="25">
        <f>IFERROR(INDEX('Price List'!$E$5:$E$5000,MATCH($A15,'Price List'!$D$5:$D$5000,0)),"")</f>
        <v/>
      </c>
      <c r="C15" s="56" t="n"/>
      <c r="D15" s="26">
        <f>IFERROR(IF(INDEX('Price List'!$H$5:$H$5000,MATCH($A15,'Price List'!$D$5:$D$5000,0))="",N(INDEX('Price List'!$F$5:$F$5000,MATCH($A15,'Price List'!$D$5:$D$5000,0)))*(1+N(INDEX('Price List'!$G$5:$G$5000,MATCH($A15,'Price List'!$D$5:$D$5000,0)))),INDEX('Price List'!$H$5:$H$5000,MATCH($A15,'Price List'!$D$5:$D$5000,0))),0)</f>
        <v/>
      </c>
      <c r="E15" s="26">
        <f>N(IFERROR(INDEX('Price List'!$F$5:$F$5000,MATCH($A15,'Price List'!$D$5:$D$5000,0)),""))</f>
        <v/>
      </c>
      <c r="F15" s="26">
        <f>N(C15)*N(D15)</f>
        <v/>
      </c>
      <c r="G15" s="26">
        <f>N(C15)*N(E15)</f>
        <v/>
      </c>
      <c r="H15" s="52">
        <f>IFERROR(1-G15/F15,0)</f>
        <v/>
      </c>
    </row>
    <row r="16">
      <c r="A16" s="56" t="n"/>
      <c r="B16" s="25">
        <f>IFERROR(INDEX('Price List'!$E$5:$E$5000,MATCH($A16,'Price List'!$D$5:$D$5000,0)),"")</f>
        <v/>
      </c>
      <c r="C16" s="56" t="n"/>
      <c r="D16" s="26">
        <f>IFERROR(IF(INDEX('Price List'!$H$5:$H$5000,MATCH($A16,'Price List'!$D$5:$D$5000,0))="",N(INDEX('Price List'!$F$5:$F$5000,MATCH($A16,'Price List'!$D$5:$D$5000,0)))*(1+N(INDEX('Price List'!$G$5:$G$5000,MATCH($A16,'Price List'!$D$5:$D$5000,0)))),INDEX('Price List'!$H$5:$H$5000,MATCH($A16,'Price List'!$D$5:$D$5000,0))),0)</f>
        <v/>
      </c>
      <c r="E16" s="26">
        <f>N(IFERROR(INDEX('Price List'!$F$5:$F$5000,MATCH($A16,'Price List'!$D$5:$D$5000,0)),""))</f>
        <v/>
      </c>
      <c r="F16" s="26">
        <f>N(C16)*N(D16)</f>
        <v/>
      </c>
      <c r="G16" s="26">
        <f>N(C16)*N(E16)</f>
        <v/>
      </c>
      <c r="H16" s="52">
        <f>IFERROR(1-G16/F16,0)</f>
        <v/>
      </c>
    </row>
    <row r="17">
      <c r="A17" s="56" t="n"/>
      <c r="B17" s="25">
        <f>IFERROR(INDEX('Price List'!$E$5:$E$5000,MATCH($A17,'Price List'!$D$5:$D$5000,0)),"")</f>
        <v/>
      </c>
      <c r="C17" s="56" t="n"/>
      <c r="D17" s="26">
        <f>IFERROR(IF(INDEX('Price List'!$H$5:$H$5000,MATCH($A17,'Price List'!$D$5:$D$5000,0))="",N(INDEX('Price List'!$F$5:$F$5000,MATCH($A17,'Price List'!$D$5:$D$5000,0)))*(1+N(INDEX('Price List'!$G$5:$G$5000,MATCH($A17,'Price List'!$D$5:$D$5000,0)))),INDEX('Price List'!$H$5:$H$5000,MATCH($A17,'Price List'!$D$5:$D$5000,0))),0)</f>
        <v/>
      </c>
      <c r="E17" s="26">
        <f>N(IFERROR(INDEX('Price List'!$F$5:$F$5000,MATCH($A17,'Price List'!$D$5:$D$5000,0)),""))</f>
        <v/>
      </c>
      <c r="F17" s="26">
        <f>N(C17)*N(D17)</f>
        <v/>
      </c>
      <c r="G17" s="26">
        <f>N(C17)*N(E17)</f>
        <v/>
      </c>
      <c r="H17" s="52">
        <f>IFERROR(1-G17/F17,0)</f>
        <v/>
      </c>
    </row>
    <row r="18">
      <c r="A18" s="56" t="n"/>
      <c r="B18" s="25">
        <f>IFERROR(INDEX('Price List'!$E$5:$E$5000,MATCH($A18,'Price List'!$D$5:$D$5000,0)),"")</f>
        <v/>
      </c>
      <c r="C18" s="56" t="n"/>
      <c r="D18" s="26">
        <f>IFERROR(IF(INDEX('Price List'!$H$5:$H$5000,MATCH($A18,'Price List'!$D$5:$D$5000,0))="",N(INDEX('Price List'!$F$5:$F$5000,MATCH($A18,'Price List'!$D$5:$D$5000,0)))*(1+N(INDEX('Price List'!$G$5:$G$5000,MATCH($A18,'Price List'!$D$5:$D$5000,0)))),INDEX('Price List'!$H$5:$H$5000,MATCH($A18,'Price List'!$D$5:$D$5000,0))),0)</f>
        <v/>
      </c>
      <c r="E18" s="26">
        <f>N(IFERROR(INDEX('Price List'!$F$5:$F$5000,MATCH($A18,'Price List'!$D$5:$D$5000,0)),""))</f>
        <v/>
      </c>
      <c r="F18" s="26">
        <f>N(C18)*N(D18)</f>
        <v/>
      </c>
      <c r="G18" s="26">
        <f>N(C18)*N(E18)</f>
        <v/>
      </c>
      <c r="H18" s="52">
        <f>IFERROR(1-G18/F18,0)</f>
        <v/>
      </c>
    </row>
    <row r="19">
      <c r="A19" s="56" t="n"/>
      <c r="B19" s="25">
        <f>IFERROR(INDEX('Price List'!$E$5:$E$5000,MATCH($A19,'Price List'!$D$5:$D$5000,0)),"")</f>
        <v/>
      </c>
      <c r="C19" s="56" t="n"/>
      <c r="D19" s="26">
        <f>IFERROR(IF(INDEX('Price List'!$H$5:$H$5000,MATCH($A19,'Price List'!$D$5:$D$5000,0))="",N(INDEX('Price List'!$F$5:$F$5000,MATCH($A19,'Price List'!$D$5:$D$5000,0)))*(1+N(INDEX('Price List'!$G$5:$G$5000,MATCH($A19,'Price List'!$D$5:$D$5000,0)))),INDEX('Price List'!$H$5:$H$5000,MATCH($A19,'Price List'!$D$5:$D$5000,0))),0)</f>
        <v/>
      </c>
      <c r="E19" s="26">
        <f>N(IFERROR(INDEX('Price List'!$F$5:$F$5000,MATCH($A19,'Price List'!$D$5:$D$5000,0)),""))</f>
        <v/>
      </c>
      <c r="F19" s="26">
        <f>N(C19)*N(D19)</f>
        <v/>
      </c>
      <c r="G19" s="26">
        <f>N(C19)*N(E19)</f>
        <v/>
      </c>
      <c r="H19" s="52">
        <f>IFERROR(1-G19/F19,0)</f>
        <v/>
      </c>
    </row>
    <row r="20">
      <c r="A20" s="56" t="n"/>
      <c r="B20" s="25">
        <f>IFERROR(INDEX('Price List'!$E$5:$E$5000,MATCH($A20,'Price List'!$D$5:$D$5000,0)),"")</f>
        <v/>
      </c>
      <c r="C20" s="56" t="n"/>
      <c r="D20" s="26">
        <f>IFERROR(IF(INDEX('Price List'!$H$5:$H$5000,MATCH($A20,'Price List'!$D$5:$D$5000,0))="",N(INDEX('Price List'!$F$5:$F$5000,MATCH($A20,'Price List'!$D$5:$D$5000,0)))*(1+N(INDEX('Price List'!$G$5:$G$5000,MATCH($A20,'Price List'!$D$5:$D$5000,0)))),INDEX('Price List'!$H$5:$H$5000,MATCH($A20,'Price List'!$D$5:$D$5000,0))),0)</f>
        <v/>
      </c>
      <c r="E20" s="26">
        <f>N(IFERROR(INDEX('Price List'!$F$5:$F$5000,MATCH($A20,'Price List'!$D$5:$D$5000,0)),""))</f>
        <v/>
      </c>
      <c r="F20" s="26">
        <f>N(C20)*N(D20)</f>
        <v/>
      </c>
      <c r="G20" s="26">
        <f>N(C20)*N(E20)</f>
        <v/>
      </c>
      <c r="H20" s="52">
        <f>IFERROR(1-G20/F20,0)</f>
        <v/>
      </c>
    </row>
    <row r="21">
      <c r="A21" s="56" t="n"/>
      <c r="B21" s="25">
        <f>IFERROR(INDEX('Price List'!$E$5:$E$5000,MATCH($A21,'Price List'!$D$5:$D$5000,0)),"")</f>
        <v/>
      </c>
      <c r="C21" s="56" t="n"/>
      <c r="D21" s="26">
        <f>IFERROR(IF(INDEX('Price List'!$H$5:$H$5000,MATCH($A21,'Price List'!$D$5:$D$5000,0))="",N(INDEX('Price List'!$F$5:$F$5000,MATCH($A21,'Price List'!$D$5:$D$5000,0)))*(1+N(INDEX('Price List'!$G$5:$G$5000,MATCH($A21,'Price List'!$D$5:$D$5000,0)))),INDEX('Price List'!$H$5:$H$5000,MATCH($A21,'Price List'!$D$5:$D$5000,0))),0)</f>
        <v/>
      </c>
      <c r="E21" s="26">
        <f>N(IFERROR(INDEX('Price List'!$F$5:$F$5000,MATCH($A21,'Price List'!$D$5:$D$5000,0)),""))</f>
        <v/>
      </c>
      <c r="F21" s="26">
        <f>N(C21)*N(D21)</f>
        <v/>
      </c>
      <c r="G21" s="26">
        <f>N(C21)*N(E21)</f>
        <v/>
      </c>
      <c r="H21" s="52">
        <f>IFERROR(1-G21/F21,0)</f>
        <v/>
      </c>
    </row>
    <row r="22">
      <c r="A22" s="56" t="n"/>
      <c r="B22" s="25">
        <f>IFERROR(INDEX('Price List'!$E$5:$E$5000,MATCH($A22,'Price List'!$D$5:$D$5000,0)),"")</f>
        <v/>
      </c>
      <c r="C22" s="56" t="n"/>
      <c r="D22" s="26">
        <f>IFERROR(IF(INDEX('Price List'!$H$5:$H$5000,MATCH($A22,'Price List'!$D$5:$D$5000,0))="",N(INDEX('Price List'!$F$5:$F$5000,MATCH($A22,'Price List'!$D$5:$D$5000,0)))*(1+N(INDEX('Price List'!$G$5:$G$5000,MATCH($A22,'Price List'!$D$5:$D$5000,0)))),INDEX('Price List'!$H$5:$H$5000,MATCH($A22,'Price List'!$D$5:$D$5000,0))),0)</f>
        <v/>
      </c>
      <c r="E22" s="26">
        <f>N(IFERROR(INDEX('Price List'!$F$5:$F$5000,MATCH($A22,'Price List'!$D$5:$D$5000,0)),""))</f>
        <v/>
      </c>
      <c r="F22" s="26">
        <f>N(C22)*N(D22)</f>
        <v/>
      </c>
      <c r="G22" s="26">
        <f>N(C22)*N(E22)</f>
        <v/>
      </c>
      <c r="H22" s="52">
        <f>IFERROR(1-G22/F22,0)</f>
        <v/>
      </c>
    </row>
    <row r="23">
      <c r="A23" s="56" t="n"/>
      <c r="B23" s="25">
        <f>IFERROR(INDEX('Price List'!$E$5:$E$5000,MATCH($A23,'Price List'!$D$5:$D$5000,0)),"")</f>
        <v/>
      </c>
      <c r="C23" s="56" t="n"/>
      <c r="D23" s="26">
        <f>IFERROR(IF(INDEX('Price List'!$H$5:$H$5000,MATCH($A23,'Price List'!$D$5:$D$5000,0))="",N(INDEX('Price List'!$F$5:$F$5000,MATCH($A23,'Price List'!$D$5:$D$5000,0)))*(1+N(INDEX('Price List'!$G$5:$G$5000,MATCH($A23,'Price List'!$D$5:$D$5000,0)))),INDEX('Price List'!$H$5:$H$5000,MATCH($A23,'Price List'!$D$5:$D$5000,0))),0)</f>
        <v/>
      </c>
      <c r="E23" s="26">
        <f>N(IFERROR(INDEX('Price List'!$F$5:$F$5000,MATCH($A23,'Price List'!$D$5:$D$5000,0)),""))</f>
        <v/>
      </c>
      <c r="F23" s="26">
        <f>N(C23)*N(D23)</f>
        <v/>
      </c>
      <c r="G23" s="26">
        <f>N(C23)*N(E23)</f>
        <v/>
      </c>
      <c r="H23" s="52">
        <f>IFERROR(1-G23/F23,0)</f>
        <v/>
      </c>
    </row>
    <row r="24">
      <c r="A24" s="56" t="n"/>
      <c r="B24" s="25">
        <f>IFERROR(INDEX('Price List'!$E$5:$E$5000,MATCH($A24,'Price List'!$D$5:$D$5000,0)),"")</f>
        <v/>
      </c>
      <c r="C24" s="56" t="n"/>
      <c r="D24" s="26">
        <f>IFERROR(IF(INDEX('Price List'!$H$5:$H$5000,MATCH($A24,'Price List'!$D$5:$D$5000,0))="",N(INDEX('Price List'!$F$5:$F$5000,MATCH($A24,'Price List'!$D$5:$D$5000,0)))*(1+N(INDEX('Price List'!$G$5:$G$5000,MATCH($A24,'Price List'!$D$5:$D$5000,0)))),INDEX('Price List'!$H$5:$H$5000,MATCH($A24,'Price List'!$D$5:$D$5000,0))),0)</f>
        <v/>
      </c>
      <c r="E24" s="26">
        <f>N(IFERROR(INDEX('Price List'!$F$5:$F$5000,MATCH($A24,'Price List'!$D$5:$D$5000,0)),""))</f>
        <v/>
      </c>
      <c r="F24" s="26">
        <f>N(C24)*N(D24)</f>
        <v/>
      </c>
      <c r="G24" s="26">
        <f>N(C24)*N(E24)</f>
        <v/>
      </c>
      <c r="H24" s="52">
        <f>IFERROR(1-G24/F24,0)</f>
        <v/>
      </c>
    </row>
    <row r="25">
      <c r="A25" s="56" t="n"/>
      <c r="B25" s="25">
        <f>IFERROR(INDEX('Price List'!$E$5:$E$5000,MATCH($A25,'Price List'!$D$5:$D$5000,0)),"")</f>
        <v/>
      </c>
      <c r="C25" s="56" t="n"/>
      <c r="D25" s="26">
        <f>IFERROR(IF(INDEX('Price List'!$H$5:$H$5000,MATCH($A25,'Price List'!$D$5:$D$5000,0))="",N(INDEX('Price List'!$F$5:$F$5000,MATCH($A25,'Price List'!$D$5:$D$5000,0)))*(1+N(INDEX('Price List'!$G$5:$G$5000,MATCH($A25,'Price List'!$D$5:$D$5000,0)))),INDEX('Price List'!$H$5:$H$5000,MATCH($A25,'Price List'!$D$5:$D$5000,0))),0)</f>
        <v/>
      </c>
      <c r="E25" s="26">
        <f>N(IFERROR(INDEX('Price List'!$F$5:$F$5000,MATCH($A25,'Price List'!$D$5:$D$5000,0)),""))</f>
        <v/>
      </c>
      <c r="F25" s="26">
        <f>N(C25)*N(D25)</f>
        <v/>
      </c>
      <c r="G25" s="26">
        <f>N(C25)*N(E25)</f>
        <v/>
      </c>
      <c r="H25" s="52">
        <f>IFERROR(1-G25/F25,0)</f>
        <v/>
      </c>
    </row>
    <row r="26">
      <c r="A26" s="56" t="n"/>
      <c r="B26" s="25">
        <f>IFERROR(INDEX('Price List'!$E$5:$E$5000,MATCH($A26,'Price List'!$D$5:$D$5000,0)),"")</f>
        <v/>
      </c>
      <c r="C26" s="56" t="n"/>
      <c r="D26" s="26">
        <f>IFERROR(IF(INDEX('Price List'!$H$5:$H$5000,MATCH($A26,'Price List'!$D$5:$D$5000,0))="",N(INDEX('Price List'!$F$5:$F$5000,MATCH($A26,'Price List'!$D$5:$D$5000,0)))*(1+N(INDEX('Price List'!$G$5:$G$5000,MATCH($A26,'Price List'!$D$5:$D$5000,0)))),INDEX('Price List'!$H$5:$H$5000,MATCH($A26,'Price List'!$D$5:$D$5000,0))),0)</f>
        <v/>
      </c>
      <c r="E26" s="26">
        <f>N(IFERROR(INDEX('Price List'!$F$5:$F$5000,MATCH($A26,'Price List'!$D$5:$D$5000,0)),""))</f>
        <v/>
      </c>
      <c r="F26" s="26">
        <f>N(C26)*N(D26)</f>
        <v/>
      </c>
      <c r="G26" s="26">
        <f>N(C26)*N(E26)</f>
        <v/>
      </c>
      <c r="H26" s="52">
        <f>IFERROR(1-G26/F26,0)</f>
        <v/>
      </c>
    </row>
    <row r="27">
      <c r="A27" s="56" t="n"/>
      <c r="B27" s="25">
        <f>IFERROR(INDEX('Price List'!$E$5:$E$5000,MATCH($A27,'Price List'!$D$5:$D$5000,0)),"")</f>
        <v/>
      </c>
      <c r="C27" s="56" t="n"/>
      <c r="D27" s="26">
        <f>IFERROR(IF(INDEX('Price List'!$H$5:$H$5000,MATCH($A27,'Price List'!$D$5:$D$5000,0))="",N(INDEX('Price List'!$F$5:$F$5000,MATCH($A27,'Price List'!$D$5:$D$5000,0)))*(1+N(INDEX('Price List'!$G$5:$G$5000,MATCH($A27,'Price List'!$D$5:$D$5000,0)))),INDEX('Price List'!$H$5:$H$5000,MATCH($A27,'Price List'!$D$5:$D$5000,0))),0)</f>
        <v/>
      </c>
      <c r="E27" s="26">
        <f>N(IFERROR(INDEX('Price List'!$F$5:$F$5000,MATCH($A27,'Price List'!$D$5:$D$5000,0)),""))</f>
        <v/>
      </c>
      <c r="F27" s="26">
        <f>N(C27)*N(D27)</f>
        <v/>
      </c>
      <c r="G27" s="26">
        <f>N(C27)*N(E27)</f>
        <v/>
      </c>
      <c r="H27" s="52">
        <f>IFERROR(1-G27/F27,0)</f>
        <v/>
      </c>
    </row>
    <row r="28">
      <c r="A28" s="56" t="n"/>
      <c r="B28" s="25">
        <f>IFERROR(INDEX('Price List'!$E$5:$E$5000,MATCH($A28,'Price List'!$D$5:$D$5000,0)),"")</f>
        <v/>
      </c>
      <c r="C28" s="56" t="n"/>
      <c r="D28" s="26">
        <f>IFERROR(IF(INDEX('Price List'!$H$5:$H$5000,MATCH($A28,'Price List'!$D$5:$D$5000,0))="",N(INDEX('Price List'!$F$5:$F$5000,MATCH($A28,'Price List'!$D$5:$D$5000,0)))*(1+N(INDEX('Price List'!$G$5:$G$5000,MATCH($A28,'Price List'!$D$5:$D$5000,0)))),INDEX('Price List'!$H$5:$H$5000,MATCH($A28,'Price List'!$D$5:$D$5000,0))),0)</f>
        <v/>
      </c>
      <c r="E28" s="26">
        <f>N(IFERROR(INDEX('Price List'!$F$5:$F$5000,MATCH($A28,'Price List'!$D$5:$D$5000,0)),""))</f>
        <v/>
      </c>
      <c r="F28" s="26">
        <f>N(C28)*N(D28)</f>
        <v/>
      </c>
      <c r="G28" s="26">
        <f>N(C28)*N(E28)</f>
        <v/>
      </c>
      <c r="H28" s="52">
        <f>IFERROR(1-G28/F28,0)</f>
        <v/>
      </c>
    </row>
    <row r="29">
      <c r="A29" s="56" t="n"/>
      <c r="B29" s="25">
        <f>IFERROR(INDEX('Price List'!$E$5:$E$5000,MATCH($A29,'Price List'!$D$5:$D$5000,0)),"")</f>
        <v/>
      </c>
      <c r="C29" s="56" t="n"/>
      <c r="D29" s="26">
        <f>IFERROR(IF(INDEX('Price List'!$H$5:$H$5000,MATCH($A29,'Price List'!$D$5:$D$5000,0))="",N(INDEX('Price List'!$F$5:$F$5000,MATCH($A29,'Price List'!$D$5:$D$5000,0)))*(1+N(INDEX('Price List'!$G$5:$G$5000,MATCH($A29,'Price List'!$D$5:$D$5000,0)))),INDEX('Price List'!$H$5:$H$5000,MATCH($A29,'Price List'!$D$5:$D$5000,0))),0)</f>
        <v/>
      </c>
      <c r="E29" s="26">
        <f>N(IFERROR(INDEX('Price List'!$F$5:$F$5000,MATCH($A29,'Price List'!$D$5:$D$5000,0)),""))</f>
        <v/>
      </c>
      <c r="F29" s="26">
        <f>N(C29)*N(D29)</f>
        <v/>
      </c>
      <c r="G29" s="26">
        <f>N(C29)*N(E29)</f>
        <v/>
      </c>
      <c r="H29" s="52">
        <f>IFERROR(1-G29/F29,0)</f>
        <v/>
      </c>
    </row>
    <row r="30">
      <c r="A30" s="56" t="n"/>
      <c r="B30" s="25">
        <f>IFERROR(INDEX('Price List'!$E$5:$E$5000,MATCH($A30,'Price List'!$D$5:$D$5000,0)),"")</f>
        <v/>
      </c>
      <c r="C30" s="56" t="n"/>
      <c r="D30" s="26">
        <f>IFERROR(IF(INDEX('Price List'!$H$5:$H$5000,MATCH($A30,'Price List'!$D$5:$D$5000,0))="",N(INDEX('Price List'!$F$5:$F$5000,MATCH($A30,'Price List'!$D$5:$D$5000,0)))*(1+N(INDEX('Price List'!$G$5:$G$5000,MATCH($A30,'Price List'!$D$5:$D$5000,0)))),INDEX('Price List'!$H$5:$H$5000,MATCH($A30,'Price List'!$D$5:$D$5000,0))),0)</f>
        <v/>
      </c>
      <c r="E30" s="26">
        <f>N(IFERROR(INDEX('Price List'!$F$5:$F$5000,MATCH($A30,'Price List'!$D$5:$D$5000,0)),""))</f>
        <v/>
      </c>
      <c r="F30" s="26">
        <f>N(C30)*N(D30)</f>
        <v/>
      </c>
      <c r="G30" s="26">
        <f>N(C30)*N(E30)</f>
        <v/>
      </c>
      <c r="H30" s="52">
        <f>IFERROR(1-G30/F30,0)</f>
        <v/>
      </c>
    </row>
    <row r="31">
      <c r="A31" s="56" t="n"/>
      <c r="B31" s="25">
        <f>IFERROR(INDEX('Price List'!$E$5:$E$5000,MATCH($A31,'Price List'!$D$5:$D$5000,0)),"")</f>
        <v/>
      </c>
      <c r="C31" s="56" t="n"/>
      <c r="D31" s="26">
        <f>IFERROR(IF(INDEX('Price List'!$H$5:$H$5000,MATCH($A31,'Price List'!$D$5:$D$5000,0))="",N(INDEX('Price List'!$F$5:$F$5000,MATCH($A31,'Price List'!$D$5:$D$5000,0)))*(1+N(INDEX('Price List'!$G$5:$G$5000,MATCH($A31,'Price List'!$D$5:$D$5000,0)))),INDEX('Price List'!$H$5:$H$5000,MATCH($A31,'Price List'!$D$5:$D$5000,0))),0)</f>
        <v/>
      </c>
      <c r="E31" s="26">
        <f>N(IFERROR(INDEX('Price List'!$F$5:$F$5000,MATCH($A31,'Price List'!$D$5:$D$5000,0)),""))</f>
        <v/>
      </c>
      <c r="F31" s="26">
        <f>N(C31)*N(D31)</f>
        <v/>
      </c>
      <c r="G31" s="26">
        <f>N(C31)*N(E31)</f>
        <v/>
      </c>
      <c r="H31" s="52">
        <f>IFERROR(1-G31/F31,0)</f>
        <v/>
      </c>
    </row>
    <row r="32">
      <c r="A32" s="56" t="n"/>
      <c r="B32" s="25">
        <f>IFERROR(INDEX('Price List'!$E$5:$E$5000,MATCH($A32,'Price List'!$D$5:$D$5000,0)),"")</f>
        <v/>
      </c>
      <c r="C32" s="56" t="n"/>
      <c r="D32" s="26">
        <f>IFERROR(IF(INDEX('Price List'!$H$5:$H$5000,MATCH($A32,'Price List'!$D$5:$D$5000,0))="",N(INDEX('Price List'!$F$5:$F$5000,MATCH($A32,'Price List'!$D$5:$D$5000,0)))*(1+N(INDEX('Price List'!$G$5:$G$5000,MATCH($A32,'Price List'!$D$5:$D$5000,0)))),INDEX('Price List'!$H$5:$H$5000,MATCH($A32,'Price List'!$D$5:$D$5000,0))),0)</f>
        <v/>
      </c>
      <c r="E32" s="26">
        <f>N(IFERROR(INDEX('Price List'!$F$5:$F$5000,MATCH($A32,'Price List'!$D$5:$D$5000,0)),""))</f>
        <v/>
      </c>
      <c r="F32" s="26">
        <f>N(C32)*N(D32)</f>
        <v/>
      </c>
      <c r="G32" s="26">
        <f>N(C32)*N(E32)</f>
        <v/>
      </c>
      <c r="H32" s="52">
        <f>IFERROR(1-G32/F32,0)</f>
        <v/>
      </c>
    </row>
    <row r="33">
      <c r="A33" s="56" t="n"/>
      <c r="B33" s="25">
        <f>IFERROR(INDEX('Price List'!$E$5:$E$5000,MATCH($A33,'Price List'!$D$5:$D$5000,0)),"")</f>
        <v/>
      </c>
      <c r="C33" s="56" t="n"/>
      <c r="D33" s="26">
        <f>IFERROR(IF(INDEX('Price List'!$H$5:$H$5000,MATCH($A33,'Price List'!$D$5:$D$5000,0))="",N(INDEX('Price List'!$F$5:$F$5000,MATCH($A33,'Price List'!$D$5:$D$5000,0)))*(1+N(INDEX('Price List'!$G$5:$G$5000,MATCH($A33,'Price List'!$D$5:$D$5000,0)))),INDEX('Price List'!$H$5:$H$5000,MATCH($A33,'Price List'!$D$5:$D$5000,0))),0)</f>
        <v/>
      </c>
      <c r="E33" s="26">
        <f>N(IFERROR(INDEX('Price List'!$F$5:$F$5000,MATCH($A33,'Price List'!$D$5:$D$5000,0)),""))</f>
        <v/>
      </c>
      <c r="F33" s="26">
        <f>N(C33)*N(D33)</f>
        <v/>
      </c>
      <c r="G33" s="26">
        <f>N(C33)*N(E33)</f>
        <v/>
      </c>
      <c r="H33" s="52">
        <f>IFERROR(1-G33/F33,0)</f>
        <v/>
      </c>
    </row>
    <row r="34">
      <c r="A34" s="56" t="n"/>
      <c r="B34" s="25">
        <f>IFERROR(INDEX('Price List'!$E$5:$E$5000,MATCH($A34,'Price List'!$D$5:$D$5000,0)),"")</f>
        <v/>
      </c>
      <c r="C34" s="56" t="n"/>
      <c r="D34" s="26">
        <f>IFERROR(IF(INDEX('Price List'!$H$5:$H$5000,MATCH($A34,'Price List'!$D$5:$D$5000,0))="",N(INDEX('Price List'!$F$5:$F$5000,MATCH($A34,'Price List'!$D$5:$D$5000,0)))*(1+N(INDEX('Price List'!$G$5:$G$5000,MATCH($A34,'Price List'!$D$5:$D$5000,0)))),INDEX('Price List'!$H$5:$H$5000,MATCH($A34,'Price List'!$D$5:$D$5000,0))),0)</f>
        <v/>
      </c>
      <c r="E34" s="26">
        <f>N(IFERROR(INDEX('Price List'!$F$5:$F$5000,MATCH($A34,'Price List'!$D$5:$D$5000,0)),""))</f>
        <v/>
      </c>
      <c r="F34" s="26">
        <f>N(C34)*N(D34)</f>
        <v/>
      </c>
      <c r="G34" s="26">
        <f>N(C34)*N(E34)</f>
        <v/>
      </c>
      <c r="H34" s="52">
        <f>IFERROR(1-G34/F34,0)</f>
        <v/>
      </c>
    </row>
    <row r="35">
      <c r="A35" s="56" t="n"/>
      <c r="B35" s="25">
        <f>IFERROR(INDEX('Price List'!$E$5:$E$5000,MATCH($A35,'Price List'!$D$5:$D$5000,0)),"")</f>
        <v/>
      </c>
      <c r="C35" s="56" t="n"/>
      <c r="D35" s="26">
        <f>IFERROR(IF(INDEX('Price List'!$H$5:$H$5000,MATCH($A35,'Price List'!$D$5:$D$5000,0))="",N(INDEX('Price List'!$F$5:$F$5000,MATCH($A35,'Price List'!$D$5:$D$5000,0)))*(1+N(INDEX('Price List'!$G$5:$G$5000,MATCH($A35,'Price List'!$D$5:$D$5000,0)))),INDEX('Price List'!$H$5:$H$5000,MATCH($A35,'Price List'!$D$5:$D$5000,0))),0)</f>
        <v/>
      </c>
      <c r="E35" s="26">
        <f>N(IFERROR(INDEX('Price List'!$F$5:$F$5000,MATCH($A35,'Price List'!$D$5:$D$5000,0)),""))</f>
        <v/>
      </c>
      <c r="F35" s="26">
        <f>N(C35)*N(D35)</f>
        <v/>
      </c>
      <c r="G35" s="26">
        <f>N(C35)*N(E35)</f>
        <v/>
      </c>
      <c r="H35" s="52">
        <f>IFERROR(1-G35/F35,0)</f>
        <v/>
      </c>
    </row>
    <row r="36">
      <c r="A36" s="56" t="n"/>
      <c r="B36" s="25">
        <f>IFERROR(INDEX('Price List'!$E$5:$E$5000,MATCH($A36,'Price List'!$D$5:$D$5000,0)),"")</f>
        <v/>
      </c>
      <c r="C36" s="56" t="n"/>
      <c r="D36" s="26">
        <f>IFERROR(IF(INDEX('Price List'!$H$5:$H$5000,MATCH($A36,'Price List'!$D$5:$D$5000,0))="",N(INDEX('Price List'!$F$5:$F$5000,MATCH($A36,'Price List'!$D$5:$D$5000,0)))*(1+N(INDEX('Price List'!$G$5:$G$5000,MATCH($A36,'Price List'!$D$5:$D$5000,0)))),INDEX('Price List'!$H$5:$H$5000,MATCH($A36,'Price List'!$D$5:$D$5000,0))),0)</f>
        <v/>
      </c>
      <c r="E36" s="26">
        <f>N(IFERROR(INDEX('Price List'!$F$5:$F$5000,MATCH($A36,'Price List'!$D$5:$D$5000,0)),""))</f>
        <v/>
      </c>
      <c r="F36" s="26">
        <f>N(C36)*N(D36)</f>
        <v/>
      </c>
      <c r="G36" s="26">
        <f>N(C36)*N(E36)</f>
        <v/>
      </c>
      <c r="H36" s="52">
        <f>IFERROR(1-G36/F36,0)</f>
        <v/>
      </c>
    </row>
    <row r="37">
      <c r="A37" s="56" t="n"/>
      <c r="B37" s="25">
        <f>IFERROR(INDEX('Price List'!$E$5:$E$5000,MATCH($A37,'Price List'!$D$5:$D$5000,0)),"")</f>
        <v/>
      </c>
      <c r="C37" s="56" t="n"/>
      <c r="D37" s="26">
        <f>IFERROR(IF(INDEX('Price List'!$H$5:$H$5000,MATCH($A37,'Price List'!$D$5:$D$5000,0))="",N(INDEX('Price List'!$F$5:$F$5000,MATCH($A37,'Price List'!$D$5:$D$5000,0)))*(1+N(INDEX('Price List'!$G$5:$G$5000,MATCH($A37,'Price List'!$D$5:$D$5000,0)))),INDEX('Price List'!$H$5:$H$5000,MATCH($A37,'Price List'!$D$5:$D$5000,0))),0)</f>
        <v/>
      </c>
      <c r="E37" s="26">
        <f>N(IFERROR(INDEX('Price List'!$F$5:$F$5000,MATCH($A37,'Price List'!$D$5:$D$5000,0)),""))</f>
        <v/>
      </c>
      <c r="F37" s="26">
        <f>N(C37)*N(D37)</f>
        <v/>
      </c>
      <c r="G37" s="26">
        <f>N(C37)*N(E37)</f>
        <v/>
      </c>
      <c r="H37" s="52">
        <f>IFERROR(1-G37/F37,0)</f>
        <v/>
      </c>
    </row>
    <row r="38">
      <c r="A38" s="56" t="n"/>
      <c r="B38" s="25">
        <f>IFERROR(INDEX('Price List'!$E$5:$E$5000,MATCH($A38,'Price List'!$D$5:$D$5000,0)),"")</f>
        <v/>
      </c>
      <c r="C38" s="56" t="n"/>
      <c r="D38" s="26">
        <f>IFERROR(IF(INDEX('Price List'!$H$5:$H$5000,MATCH($A38,'Price List'!$D$5:$D$5000,0))="",N(INDEX('Price List'!$F$5:$F$5000,MATCH($A38,'Price List'!$D$5:$D$5000,0)))*(1+N(INDEX('Price List'!$G$5:$G$5000,MATCH($A38,'Price List'!$D$5:$D$5000,0)))),INDEX('Price List'!$H$5:$H$5000,MATCH($A38,'Price List'!$D$5:$D$5000,0))),0)</f>
        <v/>
      </c>
      <c r="E38" s="26">
        <f>N(IFERROR(INDEX('Price List'!$F$5:$F$5000,MATCH($A38,'Price List'!$D$5:$D$5000,0)),""))</f>
        <v/>
      </c>
      <c r="F38" s="26">
        <f>N(C38)*N(D38)</f>
        <v/>
      </c>
      <c r="G38" s="26">
        <f>N(C38)*N(E38)</f>
        <v/>
      </c>
      <c r="H38" s="52">
        <f>IFERROR(1-G38/F38,0)</f>
        <v/>
      </c>
    </row>
    <row r="39">
      <c r="A39" s="56" t="n"/>
      <c r="B39" s="25">
        <f>IFERROR(INDEX('Price List'!$E$5:$E$5000,MATCH($A39,'Price List'!$D$5:$D$5000,0)),"")</f>
        <v/>
      </c>
      <c r="C39" s="56" t="n"/>
      <c r="D39" s="26">
        <f>IFERROR(IF(INDEX('Price List'!$H$5:$H$5000,MATCH($A39,'Price List'!$D$5:$D$5000,0))="",N(INDEX('Price List'!$F$5:$F$5000,MATCH($A39,'Price List'!$D$5:$D$5000,0)))*(1+N(INDEX('Price List'!$G$5:$G$5000,MATCH($A39,'Price List'!$D$5:$D$5000,0)))),INDEX('Price List'!$H$5:$H$5000,MATCH($A39,'Price List'!$D$5:$D$5000,0))),0)</f>
        <v/>
      </c>
      <c r="E39" s="26">
        <f>N(IFERROR(INDEX('Price List'!$F$5:$F$5000,MATCH($A39,'Price List'!$D$5:$D$5000,0)),""))</f>
        <v/>
      </c>
      <c r="F39" s="26">
        <f>N(C39)*N(D39)</f>
        <v/>
      </c>
      <c r="G39" s="26">
        <f>N(C39)*N(E39)</f>
        <v/>
      </c>
      <c r="H39" s="52">
        <f>IFERROR(1-G39/F39,0)</f>
        <v/>
      </c>
    </row>
    <row r="40">
      <c r="A40" s="56" t="n"/>
      <c r="B40" s="25">
        <f>IFERROR(INDEX('Price List'!$E$5:$E$5000,MATCH($A40,'Price List'!$D$5:$D$5000,0)),"")</f>
        <v/>
      </c>
      <c r="C40" s="56" t="n"/>
      <c r="D40" s="26">
        <f>IFERROR(IF(INDEX('Price List'!$H$5:$H$5000,MATCH($A40,'Price List'!$D$5:$D$5000,0))="",N(INDEX('Price List'!$F$5:$F$5000,MATCH($A40,'Price List'!$D$5:$D$5000,0)))*(1+N(INDEX('Price List'!$G$5:$G$5000,MATCH($A40,'Price List'!$D$5:$D$5000,0)))),INDEX('Price List'!$H$5:$H$5000,MATCH($A40,'Price List'!$D$5:$D$5000,0))),0)</f>
        <v/>
      </c>
      <c r="E40" s="26">
        <f>N(IFERROR(INDEX('Price List'!$F$5:$F$5000,MATCH($A40,'Price List'!$D$5:$D$5000,0)),""))</f>
        <v/>
      </c>
      <c r="F40" s="26">
        <f>N(C40)*N(D40)</f>
        <v/>
      </c>
      <c r="G40" s="26">
        <f>N(C40)*N(E40)</f>
        <v/>
      </c>
      <c r="H40" s="52">
        <f>IFERROR(1-G40/F40,0)</f>
        <v/>
      </c>
    </row>
    <row r="41">
      <c r="A41" s="56" t="n"/>
      <c r="B41" s="25">
        <f>IFERROR(INDEX('Price List'!$E$5:$E$5000,MATCH($A41,'Price List'!$D$5:$D$5000,0)),"")</f>
        <v/>
      </c>
      <c r="C41" s="56" t="n"/>
      <c r="D41" s="26">
        <f>IFERROR(IF(INDEX('Price List'!$H$5:$H$5000,MATCH($A41,'Price List'!$D$5:$D$5000,0))="",N(INDEX('Price List'!$F$5:$F$5000,MATCH($A41,'Price List'!$D$5:$D$5000,0)))*(1+N(INDEX('Price List'!$G$5:$G$5000,MATCH($A41,'Price List'!$D$5:$D$5000,0)))),INDEX('Price List'!$H$5:$H$5000,MATCH($A41,'Price List'!$D$5:$D$5000,0))),0)</f>
        <v/>
      </c>
      <c r="E41" s="26">
        <f>N(IFERROR(INDEX('Price List'!$F$5:$F$5000,MATCH($A41,'Price List'!$D$5:$D$5000,0)),""))</f>
        <v/>
      </c>
      <c r="F41" s="26">
        <f>N(C41)*N(D41)</f>
        <v/>
      </c>
      <c r="G41" s="26">
        <f>N(C41)*N(E41)</f>
        <v/>
      </c>
      <c r="H41" s="52">
        <f>IFERROR(1-G41/F41,0)</f>
        <v/>
      </c>
    </row>
    <row r="42">
      <c r="A42" s="56" t="n"/>
      <c r="B42" s="25">
        <f>IFERROR(INDEX('Price List'!$E$5:$E$5000,MATCH($A42,'Price List'!$D$5:$D$5000,0)),"")</f>
        <v/>
      </c>
      <c r="C42" s="56" t="n"/>
      <c r="D42" s="26">
        <f>IFERROR(IF(INDEX('Price List'!$H$5:$H$5000,MATCH($A42,'Price List'!$D$5:$D$5000,0))="",N(INDEX('Price List'!$F$5:$F$5000,MATCH($A42,'Price List'!$D$5:$D$5000,0)))*(1+N(INDEX('Price List'!$G$5:$G$5000,MATCH($A42,'Price List'!$D$5:$D$5000,0)))),INDEX('Price List'!$H$5:$H$5000,MATCH($A42,'Price List'!$D$5:$D$5000,0))),0)</f>
        <v/>
      </c>
      <c r="E42" s="26">
        <f>N(IFERROR(INDEX('Price List'!$F$5:$F$5000,MATCH($A42,'Price List'!$D$5:$D$5000,0)),""))</f>
        <v/>
      </c>
      <c r="F42" s="26">
        <f>N(C42)*N(D42)</f>
        <v/>
      </c>
      <c r="G42" s="26">
        <f>N(C42)*N(E42)</f>
        <v/>
      </c>
      <c r="H42" s="52">
        <f>IFERROR(1-G42/F42,0)</f>
        <v/>
      </c>
    </row>
    <row r="43">
      <c r="A43" s="56" t="n"/>
      <c r="B43" s="25">
        <f>IFERROR(INDEX('Price List'!$E$5:$E$5000,MATCH($A43,'Price List'!$D$5:$D$5000,0)),"")</f>
        <v/>
      </c>
      <c r="C43" s="56" t="n"/>
      <c r="D43" s="26">
        <f>IFERROR(IF(INDEX('Price List'!$H$5:$H$5000,MATCH($A43,'Price List'!$D$5:$D$5000,0))="",N(INDEX('Price List'!$F$5:$F$5000,MATCH($A43,'Price List'!$D$5:$D$5000,0)))*(1+N(INDEX('Price List'!$G$5:$G$5000,MATCH($A43,'Price List'!$D$5:$D$5000,0)))),INDEX('Price List'!$H$5:$H$5000,MATCH($A43,'Price List'!$D$5:$D$5000,0))),0)</f>
        <v/>
      </c>
      <c r="E43" s="26">
        <f>N(IFERROR(INDEX('Price List'!$F$5:$F$5000,MATCH($A43,'Price List'!$D$5:$D$5000,0)),""))</f>
        <v/>
      </c>
      <c r="F43" s="26">
        <f>N(C43)*N(D43)</f>
        <v/>
      </c>
      <c r="G43" s="26">
        <f>N(C43)*N(E43)</f>
        <v/>
      </c>
      <c r="H43" s="52">
        <f>IFERROR(1-G43/F43,0)</f>
        <v/>
      </c>
    </row>
    <row r="44">
      <c r="A44" s="56" t="n"/>
      <c r="B44" s="25">
        <f>IFERROR(INDEX('Price List'!$E$5:$E$5000,MATCH($A44,'Price List'!$D$5:$D$5000,0)),"")</f>
        <v/>
      </c>
      <c r="C44" s="56" t="n"/>
      <c r="D44" s="26">
        <f>IFERROR(IF(INDEX('Price List'!$H$5:$H$5000,MATCH($A44,'Price List'!$D$5:$D$5000,0))="",N(INDEX('Price List'!$F$5:$F$5000,MATCH($A44,'Price List'!$D$5:$D$5000,0)))*(1+N(INDEX('Price List'!$G$5:$G$5000,MATCH($A44,'Price List'!$D$5:$D$5000,0)))),INDEX('Price List'!$H$5:$H$5000,MATCH($A44,'Price List'!$D$5:$D$5000,0))),0)</f>
        <v/>
      </c>
      <c r="E44" s="26">
        <f>N(IFERROR(INDEX('Price List'!$F$5:$F$5000,MATCH($A44,'Price List'!$D$5:$D$5000,0)),""))</f>
        <v/>
      </c>
      <c r="F44" s="26">
        <f>N(C44)*N(D44)</f>
        <v/>
      </c>
      <c r="G44" s="26">
        <f>N(C44)*N(E44)</f>
        <v/>
      </c>
      <c r="H44" s="52">
        <f>IFERROR(1-G44/F44,0)</f>
        <v/>
      </c>
    </row>
    <row r="45">
      <c r="A45" s="56" t="n"/>
      <c r="B45" s="25">
        <f>IFERROR(INDEX('Price List'!$E$5:$E$5000,MATCH($A45,'Price List'!$D$5:$D$5000,0)),"")</f>
        <v/>
      </c>
      <c r="C45" s="56" t="n"/>
      <c r="D45" s="26">
        <f>IFERROR(IF(INDEX('Price List'!$H$5:$H$5000,MATCH($A45,'Price List'!$D$5:$D$5000,0))="",N(INDEX('Price List'!$F$5:$F$5000,MATCH($A45,'Price List'!$D$5:$D$5000,0)))*(1+N(INDEX('Price List'!$G$5:$G$5000,MATCH($A45,'Price List'!$D$5:$D$5000,0)))),INDEX('Price List'!$H$5:$H$5000,MATCH($A45,'Price List'!$D$5:$D$5000,0))),0)</f>
        <v/>
      </c>
      <c r="E45" s="26">
        <f>N(IFERROR(INDEX('Price List'!$F$5:$F$5000,MATCH($A45,'Price List'!$D$5:$D$5000,0)),""))</f>
        <v/>
      </c>
      <c r="F45" s="26">
        <f>N(C45)*N(D45)</f>
        <v/>
      </c>
      <c r="G45" s="26">
        <f>N(C45)*N(E45)</f>
        <v/>
      </c>
      <c r="H45" s="52">
        <f>IFERROR(1-G45/F45,0)</f>
        <v/>
      </c>
    </row>
    <row r="46">
      <c r="A46" s="56" t="n"/>
      <c r="B46" s="25">
        <f>IFERROR(INDEX('Price List'!$E$5:$E$5000,MATCH($A46,'Price List'!$D$5:$D$5000,0)),"")</f>
        <v/>
      </c>
      <c r="C46" s="56" t="n"/>
      <c r="D46" s="26">
        <f>IFERROR(IF(INDEX('Price List'!$H$5:$H$5000,MATCH($A46,'Price List'!$D$5:$D$5000,0))="",N(INDEX('Price List'!$F$5:$F$5000,MATCH($A46,'Price List'!$D$5:$D$5000,0)))*(1+N(INDEX('Price List'!$G$5:$G$5000,MATCH($A46,'Price List'!$D$5:$D$5000,0)))),INDEX('Price List'!$H$5:$H$5000,MATCH($A46,'Price List'!$D$5:$D$5000,0))),0)</f>
        <v/>
      </c>
      <c r="E46" s="26">
        <f>N(IFERROR(INDEX('Price List'!$F$5:$F$5000,MATCH($A46,'Price List'!$D$5:$D$5000,0)),""))</f>
        <v/>
      </c>
      <c r="F46" s="26">
        <f>N(C46)*N(D46)</f>
        <v/>
      </c>
      <c r="G46" s="26">
        <f>N(C46)*N(E46)</f>
        <v/>
      </c>
      <c r="H46" s="52">
        <f>IFERROR(1-G46/F46,0)</f>
        <v/>
      </c>
    </row>
    <row r="47">
      <c r="A47" s="56" t="n"/>
      <c r="B47" s="25">
        <f>IFERROR(INDEX('Price List'!$E$5:$E$5000,MATCH($A47,'Price List'!$D$5:$D$5000,0)),"")</f>
        <v/>
      </c>
      <c r="C47" s="56" t="n"/>
      <c r="D47" s="26">
        <f>IFERROR(IF(INDEX('Price List'!$H$5:$H$5000,MATCH($A47,'Price List'!$D$5:$D$5000,0))="",N(INDEX('Price List'!$F$5:$F$5000,MATCH($A47,'Price List'!$D$5:$D$5000,0)))*(1+N(INDEX('Price List'!$G$5:$G$5000,MATCH($A47,'Price List'!$D$5:$D$5000,0)))),INDEX('Price List'!$H$5:$H$5000,MATCH($A47,'Price List'!$D$5:$D$5000,0))),0)</f>
        <v/>
      </c>
      <c r="E47" s="26">
        <f>N(IFERROR(INDEX('Price List'!$F$5:$F$5000,MATCH($A47,'Price List'!$D$5:$D$5000,0)),""))</f>
        <v/>
      </c>
      <c r="F47" s="26">
        <f>N(C47)*N(D47)</f>
        <v/>
      </c>
      <c r="G47" s="26">
        <f>N(C47)*N(E47)</f>
        <v/>
      </c>
      <c r="H47" s="52">
        <f>IFERROR(1-G47/F47,0)</f>
        <v/>
      </c>
    </row>
    <row r="48">
      <c r="A48" s="56" t="n"/>
      <c r="B48" s="25">
        <f>IFERROR(INDEX('Price List'!$E$5:$E$5000,MATCH($A48,'Price List'!$D$5:$D$5000,0)),"")</f>
        <v/>
      </c>
      <c r="C48" s="56" t="n"/>
      <c r="D48" s="26">
        <f>IFERROR(IF(INDEX('Price List'!$H$5:$H$5000,MATCH($A48,'Price List'!$D$5:$D$5000,0))="",N(INDEX('Price List'!$F$5:$F$5000,MATCH($A48,'Price List'!$D$5:$D$5000,0)))*(1+N(INDEX('Price List'!$G$5:$G$5000,MATCH($A48,'Price List'!$D$5:$D$5000,0)))),INDEX('Price List'!$H$5:$H$5000,MATCH($A48,'Price List'!$D$5:$D$5000,0))),0)</f>
        <v/>
      </c>
      <c r="E48" s="26">
        <f>N(IFERROR(INDEX('Price List'!$F$5:$F$5000,MATCH($A48,'Price List'!$D$5:$D$5000,0)),""))</f>
        <v/>
      </c>
      <c r="F48" s="26">
        <f>N(C48)*N(D48)</f>
        <v/>
      </c>
      <c r="G48" s="26">
        <f>N(C48)*N(E48)</f>
        <v/>
      </c>
      <c r="H48" s="52">
        <f>IFERROR(1-G48/F48,0)</f>
        <v/>
      </c>
    </row>
    <row r="49">
      <c r="A49" s="56" t="n"/>
      <c r="B49" s="25">
        <f>IFERROR(INDEX('Price List'!$E$5:$E$5000,MATCH($A49,'Price List'!$D$5:$D$5000,0)),"")</f>
        <v/>
      </c>
      <c r="C49" s="56" t="n"/>
      <c r="D49" s="26">
        <f>IFERROR(IF(INDEX('Price List'!$H$5:$H$5000,MATCH($A49,'Price List'!$D$5:$D$5000,0))="",N(INDEX('Price List'!$F$5:$F$5000,MATCH($A49,'Price List'!$D$5:$D$5000,0)))*(1+N(INDEX('Price List'!$G$5:$G$5000,MATCH($A49,'Price List'!$D$5:$D$5000,0)))),INDEX('Price List'!$H$5:$H$5000,MATCH($A49,'Price List'!$D$5:$D$5000,0))),0)</f>
        <v/>
      </c>
      <c r="E49" s="26">
        <f>N(IFERROR(INDEX('Price List'!$F$5:$F$5000,MATCH($A49,'Price List'!$D$5:$D$5000,0)),""))</f>
        <v/>
      </c>
      <c r="F49" s="26">
        <f>N(C49)*N(D49)</f>
        <v/>
      </c>
      <c r="G49" s="26">
        <f>N(C49)*N(E49)</f>
        <v/>
      </c>
      <c r="H49" s="52">
        <f>IFERROR(1-G49/F49,0)</f>
        <v/>
      </c>
    </row>
    <row r="50">
      <c r="A50" s="56" t="n"/>
      <c r="B50" s="25">
        <f>IFERROR(INDEX('Price List'!$E$5:$E$5000,MATCH($A50,'Price List'!$D$5:$D$5000,0)),"")</f>
        <v/>
      </c>
      <c r="C50" s="56" t="n"/>
      <c r="D50" s="26">
        <f>IFERROR(IF(INDEX('Price List'!$H$5:$H$5000,MATCH($A50,'Price List'!$D$5:$D$5000,0))="",N(INDEX('Price List'!$F$5:$F$5000,MATCH($A50,'Price List'!$D$5:$D$5000,0)))*(1+N(INDEX('Price List'!$G$5:$G$5000,MATCH($A50,'Price List'!$D$5:$D$5000,0)))),INDEX('Price List'!$H$5:$H$5000,MATCH($A50,'Price List'!$D$5:$D$5000,0))),0)</f>
        <v/>
      </c>
      <c r="E50" s="26">
        <f>N(IFERROR(INDEX('Price List'!$F$5:$F$5000,MATCH($A50,'Price List'!$D$5:$D$5000,0)),""))</f>
        <v/>
      </c>
      <c r="F50" s="26">
        <f>N(C50)*N(D50)</f>
        <v/>
      </c>
      <c r="G50" s="26">
        <f>N(C50)*N(E50)</f>
        <v/>
      </c>
      <c r="H50" s="52">
        <f>IFERROR(1-G50/F50,0)</f>
        <v/>
      </c>
    </row>
    <row r="51">
      <c r="A51" s="56" t="n"/>
      <c r="B51" s="25">
        <f>IFERROR(INDEX('Price List'!$E$5:$E$5000,MATCH($A51,'Price List'!$D$5:$D$5000,0)),"")</f>
        <v/>
      </c>
      <c r="C51" s="56" t="n"/>
      <c r="D51" s="26">
        <f>IFERROR(IF(INDEX('Price List'!$H$5:$H$5000,MATCH($A51,'Price List'!$D$5:$D$5000,0))="",N(INDEX('Price List'!$F$5:$F$5000,MATCH($A51,'Price List'!$D$5:$D$5000,0)))*(1+N(INDEX('Price List'!$G$5:$G$5000,MATCH($A51,'Price List'!$D$5:$D$5000,0)))),INDEX('Price List'!$H$5:$H$5000,MATCH($A51,'Price List'!$D$5:$D$5000,0))),0)</f>
        <v/>
      </c>
      <c r="E51" s="26">
        <f>N(IFERROR(INDEX('Price List'!$F$5:$F$5000,MATCH($A51,'Price List'!$D$5:$D$5000,0)),""))</f>
        <v/>
      </c>
      <c r="F51" s="26">
        <f>N(C51)*N(D51)</f>
        <v/>
      </c>
      <c r="G51" s="26">
        <f>N(C51)*N(E51)</f>
        <v/>
      </c>
      <c r="H51" s="52">
        <f>IFERROR(1-G51/F51,0)</f>
        <v/>
      </c>
    </row>
    <row r="52">
      <c r="A52" s="56" t="n"/>
      <c r="B52" s="25">
        <f>IFERROR(INDEX('Price List'!$E$5:$E$5000,MATCH($A52,'Price List'!$D$5:$D$5000,0)),"")</f>
        <v/>
      </c>
      <c r="C52" s="56" t="n"/>
      <c r="D52" s="26">
        <f>IFERROR(IF(INDEX('Price List'!$H$5:$H$5000,MATCH($A52,'Price List'!$D$5:$D$5000,0))="",N(INDEX('Price List'!$F$5:$F$5000,MATCH($A52,'Price List'!$D$5:$D$5000,0)))*(1+N(INDEX('Price List'!$G$5:$G$5000,MATCH($A52,'Price List'!$D$5:$D$5000,0)))),INDEX('Price List'!$H$5:$H$5000,MATCH($A52,'Price List'!$D$5:$D$5000,0))),0)</f>
        <v/>
      </c>
      <c r="E52" s="26">
        <f>N(IFERROR(INDEX('Price List'!$F$5:$F$5000,MATCH($A52,'Price List'!$D$5:$D$5000,0)),""))</f>
        <v/>
      </c>
      <c r="F52" s="26">
        <f>N(C52)*N(D52)</f>
        <v/>
      </c>
      <c r="G52" s="26">
        <f>N(C52)*N(E52)</f>
        <v/>
      </c>
      <c r="H52" s="52">
        <f>IFERROR(1-G52/F52,0)</f>
        <v/>
      </c>
    </row>
    <row r="53">
      <c r="A53" s="56" t="n"/>
      <c r="B53" s="25">
        <f>IFERROR(INDEX('Price List'!$E$5:$E$5000,MATCH($A53,'Price List'!$D$5:$D$5000,0)),"")</f>
        <v/>
      </c>
      <c r="C53" s="56" t="n"/>
      <c r="D53" s="26">
        <f>IFERROR(IF(INDEX('Price List'!$H$5:$H$5000,MATCH($A53,'Price List'!$D$5:$D$5000,0))="",N(INDEX('Price List'!$F$5:$F$5000,MATCH($A53,'Price List'!$D$5:$D$5000,0)))*(1+N(INDEX('Price List'!$G$5:$G$5000,MATCH($A53,'Price List'!$D$5:$D$5000,0)))),INDEX('Price List'!$H$5:$H$5000,MATCH($A53,'Price List'!$D$5:$D$5000,0))),0)</f>
        <v/>
      </c>
      <c r="E53" s="26">
        <f>N(IFERROR(INDEX('Price List'!$F$5:$F$5000,MATCH($A53,'Price List'!$D$5:$D$5000,0)),""))</f>
        <v/>
      </c>
      <c r="F53" s="26">
        <f>N(C53)*N(D53)</f>
        <v/>
      </c>
      <c r="G53" s="26">
        <f>N(C53)*N(E53)</f>
        <v/>
      </c>
      <c r="H53" s="52">
        <f>IFERROR(1-G53/F53,0)</f>
        <v/>
      </c>
    </row>
    <row r="54">
      <c r="A54" s="56" t="n"/>
      <c r="B54" s="25">
        <f>IFERROR(INDEX('Price List'!$E$5:$E$5000,MATCH($A54,'Price List'!$D$5:$D$5000,0)),"")</f>
        <v/>
      </c>
      <c r="C54" s="56" t="n"/>
      <c r="D54" s="26">
        <f>IFERROR(IF(INDEX('Price List'!$H$5:$H$5000,MATCH($A54,'Price List'!$D$5:$D$5000,0))="",N(INDEX('Price List'!$F$5:$F$5000,MATCH($A54,'Price List'!$D$5:$D$5000,0)))*(1+N(INDEX('Price List'!$G$5:$G$5000,MATCH($A54,'Price List'!$D$5:$D$5000,0)))),INDEX('Price List'!$H$5:$H$5000,MATCH($A54,'Price List'!$D$5:$D$5000,0))),0)</f>
        <v/>
      </c>
      <c r="E54" s="26">
        <f>N(IFERROR(INDEX('Price List'!$F$5:$F$5000,MATCH($A54,'Price List'!$D$5:$D$5000,0)),""))</f>
        <v/>
      </c>
      <c r="F54" s="26">
        <f>N(C54)*N(D54)</f>
        <v/>
      </c>
      <c r="G54" s="26">
        <f>N(C54)*N(E54)</f>
        <v/>
      </c>
      <c r="H54" s="52">
        <f>IFERROR(1-G54/F54,0)</f>
        <v/>
      </c>
    </row>
    <row r="55">
      <c r="A55" s="56" t="n"/>
      <c r="B55" s="25">
        <f>IFERROR(INDEX('Price List'!$E$5:$E$5000,MATCH($A55,'Price List'!$D$5:$D$5000,0)),"")</f>
        <v/>
      </c>
      <c r="C55" s="56" t="n"/>
      <c r="D55" s="26">
        <f>IFERROR(IF(INDEX('Price List'!$H$5:$H$5000,MATCH($A55,'Price List'!$D$5:$D$5000,0))="",N(INDEX('Price List'!$F$5:$F$5000,MATCH($A55,'Price List'!$D$5:$D$5000,0)))*(1+N(INDEX('Price List'!$G$5:$G$5000,MATCH($A55,'Price List'!$D$5:$D$5000,0)))),INDEX('Price List'!$H$5:$H$5000,MATCH($A55,'Price List'!$D$5:$D$5000,0))),0)</f>
        <v/>
      </c>
      <c r="E55" s="26">
        <f>N(IFERROR(INDEX('Price List'!$F$5:$F$5000,MATCH($A55,'Price List'!$D$5:$D$5000,0)),""))</f>
        <v/>
      </c>
      <c r="F55" s="26">
        <f>N(C55)*N(D55)</f>
        <v/>
      </c>
      <c r="G55" s="26">
        <f>N(C55)*N(E55)</f>
        <v/>
      </c>
      <c r="H55" s="52">
        <f>IFERROR(1-G55/F55,0)</f>
        <v/>
      </c>
    </row>
    <row r="56"/>
    <row r="57">
      <c r="E57" s="27" t="inlineStr">
        <is>
          <t>TOTAL</t>
        </is>
      </c>
      <c r="F57" s="54">
        <f>SUM(F6:F55)</f>
        <v/>
      </c>
      <c r="G57" s="54">
        <f>SUM(G6:G55)</f>
        <v/>
      </c>
      <c r="H57" s="52">
        <f>IFERROR(1-G57/F57,0)</f>
        <v/>
      </c>
    </row>
  </sheetData>
  <dataValidations count="1">
    <dataValidation sqref="A6:A55" showDropDown="0" showInputMessage="0" showErrorMessage="0" allowBlank="1" type="list">
      <formula1>'Price List'!$D$5:$D$206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24" customHeight="1">
      <c r="A1" s="8" t="inlineStr">
        <is>
          <t>BEYOND DESIGN | MODEL AUDIT</t>
        </is>
      </c>
    </row>
    <row r="2"/>
    <row r="3">
      <c r="A3" s="33" t="inlineStr">
        <is>
          <t>Check</t>
        </is>
      </c>
      <c r="B3" s="33" t="inlineStr">
        <is>
          <t>Value A</t>
        </is>
      </c>
      <c r="C3" s="33" t="inlineStr">
        <is>
          <t>Value B</t>
        </is>
      </c>
      <c r="D3" s="33" t="inlineStr">
        <is>
          <t>Difference</t>
        </is>
      </c>
      <c r="E3" s="33" t="inlineStr">
        <is>
          <t>Status</t>
        </is>
      </c>
    </row>
    <row r="4">
      <c r="A4" s="25" t="inlineStr">
        <is>
          <t>Trial balance: closing debits = closing credits</t>
        </is>
      </c>
      <c r="B4" s="26">
        <f>'Trial Balance'!I155</f>
        <v/>
      </c>
      <c r="C4" s="26">
        <f>'Trial Balance'!J155</f>
        <v/>
      </c>
      <c r="D4" s="26">
        <f>ROUND(B4-C4,2)</f>
        <v/>
      </c>
      <c r="E4" s="27">
        <f>IF(ABS(D4)&lt;0.01,"OK","*** CHECK")</f>
        <v/>
      </c>
    </row>
    <row r="5">
      <c r="A5" s="25" t="inlineStr">
        <is>
          <t>Balance sheet: assets = liabilities + equity</t>
        </is>
      </c>
      <c r="B5" s="26">
        <f>'Balance Sheet'!B20</f>
        <v/>
      </c>
      <c r="C5" s="26">
        <f>'Balance Sheet'!B42</f>
        <v/>
      </c>
      <c r="D5" s="26">
        <f>ROUND(B5-C5,2)</f>
        <v/>
      </c>
      <c r="E5" s="27">
        <f>IF(ABS(D5)&lt;0.01,"OK","*** CHECK")</f>
        <v/>
      </c>
    </row>
    <row r="6">
      <c r="A6" s="25" t="inlineStr">
        <is>
          <t>Cash flow: ending cash = cash per trial balance</t>
        </is>
      </c>
      <c r="B6" s="26">
        <f>'Cash Flow'!B38</f>
        <v/>
      </c>
      <c r="C6" s="26">
        <f>'Cash Flow'!B38-'Cash Flow'!B39</f>
        <v/>
      </c>
      <c r="D6" s="26">
        <f>ROUND(B6-C6,2)</f>
        <v/>
      </c>
      <c r="E6" s="27">
        <f>IF(ABS(D6)&lt;0.01,"OK","*** CHECK")</f>
        <v/>
      </c>
    </row>
    <row r="7">
      <c r="A7" s="25" t="inlineStr">
        <is>
          <t>Journal vouchers: total debits = total credits</t>
        </is>
      </c>
      <c r="B7" s="26">
        <f>SUM('Journal Vouchers'!I5:I5000)</f>
        <v/>
      </c>
      <c r="C7" s="26">
        <f>SUM('Journal Vouchers'!J5:J5000)</f>
        <v/>
      </c>
      <c r="D7" s="26">
        <f>ROUND(B7-C7,2)</f>
        <v/>
      </c>
      <c r="E7" s="27">
        <f>IF(ABS(D7)&lt;0.01,"OK","*** CHECK")</f>
        <v/>
      </c>
    </row>
    <row r="8">
      <c r="A8" s="25" t="inlineStr">
        <is>
          <t>Every posting row resolves to a valid account (unknown codes)</t>
        </is>
      </c>
      <c r="B8" s="26">
        <f>SUM('Direct Costs'!$AL$5:$AL$2005)+SUM('Operating Expenses'!$AG$5:$AG$2005)+SUM('Payroll'!$AC$5:$AC$2005)+SUM('Receipt Vouchers'!$AC$5:$AC$2005)+SUM('Sales Invoices'!$AD$5:$AD$2005)+SUM('Payment Vouchers'!$T$5:$T$2005)+SUM('Partner Transactions'!$V$5:$V$2005)+SUM('Stock Moves'!$AR$5:$AR$2005)+SUM('Journal Vouchers'!$T$5:$T$2005)</f>
        <v/>
      </c>
      <c r="C8" s="26">
        <f>0</f>
        <v/>
      </c>
      <c r="D8" s="26">
        <f>ROUND(B8-C8,2)</f>
        <v/>
      </c>
      <c r="E8" s="27">
        <f>IF(ABS(D8)&lt;0.01,"OK","*** CHECK")</f>
        <v/>
      </c>
    </row>
    <row r="9">
      <c r="A9" s="25" t="inlineStr">
        <is>
          <t>Overhead allocation % across business units ≤ 100%</t>
        </is>
      </c>
      <c r="B9" s="26">
        <f>SUM('Business Units'!K5:K3000)</f>
        <v/>
      </c>
      <c r="C9" s="26">
        <f>MIN(1,B9)</f>
        <v/>
      </c>
      <c r="D9" s="26">
        <f>ROUND(B9-C9,2)</f>
        <v/>
      </c>
      <c r="E9" s="27">
        <f>IF(ABS(D9)&lt;0.01,"OK","*** CHECK")</f>
        <v/>
      </c>
    </row>
    <row r="10"/>
    <row r="11">
      <c r="A11" s="27" t="inlineStr">
        <is>
          <t>All checks</t>
        </is>
      </c>
      <c r="E11" s="57">
        <f>IF(COUNTIF(E4:E9,"OK")=6,"ALL OK","REVIEW")</f>
        <v/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/>
    <oddFooter>&amp;C&amp;P / &amp;N&amp;RBEYOND DESIGN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accrued</t>
        </is>
      </c>
      <c r="C1" t="inlineStr">
        <is>
          <t>Yes</t>
        </is>
      </c>
      <c r="D1" t="inlineStr">
        <is>
          <t>vat</t>
        </is>
      </c>
      <c r="E1" t="inlineStr">
        <is>
          <t>Yes</t>
        </is>
      </c>
      <c r="F1" t="inlineStr">
        <is>
          <t>Tendering</t>
        </is>
      </c>
      <c r="G1" t="inlineStr">
        <is>
          <t>Cost-Plus %</t>
        </is>
      </c>
      <c r="H1" t="inlineStr">
        <is>
          <t>customer</t>
        </is>
      </c>
      <c r="I1" t="inlineStr">
        <is>
          <t>B</t>
        </is>
      </c>
      <c r="J1" t="inlineStr">
        <is>
          <t>Yes</t>
        </is>
      </c>
      <c r="K1" t="inlineStr"/>
      <c r="L1" t="inlineStr">
        <is>
          <t>Open</t>
        </is>
      </c>
      <c r="M1" t="inlineStr">
        <is>
          <t>Bank Transfer</t>
        </is>
      </c>
      <c r="N1" t="inlineStr">
        <is>
          <t>Bank Transfer</t>
        </is>
      </c>
      <c r="O1" t="inlineStr">
        <is>
          <t>Direct Labour (Cost of Revenue)</t>
        </is>
      </c>
      <c r="P1" t="inlineStr">
        <is>
          <t>Daily</t>
        </is>
      </c>
      <c r="Q1" t="inlineStr">
        <is>
          <t>Bank Transfer</t>
        </is>
      </c>
      <c r="R1" t="inlineStr">
        <is>
          <t>Bank Transfer</t>
        </is>
      </c>
      <c r="S1" t="inlineStr">
        <is>
          <t>Posted</t>
        </is>
      </c>
      <c r="T1" t="inlineStr">
        <is>
          <t>Bank Transfer</t>
        </is>
      </c>
      <c r="U1" t="inlineStr">
        <is>
          <t>Capital Contribution</t>
        </is>
      </c>
      <c r="V1" t="inlineStr">
        <is>
          <t>Bank Transfer</t>
        </is>
      </c>
      <c r="W1" t="inlineStr">
        <is>
          <t>Receipt</t>
        </is>
      </c>
      <c r="X1" t="inlineStr">
        <is>
          <t>Bank Transfer</t>
        </is>
      </c>
    </row>
    <row r="2">
      <c r="A2" t="inlineStr">
        <is>
          <t>Liability</t>
        </is>
      </c>
      <c r="B2" t="inlineStr">
        <is>
          <t>accumulated_amortization</t>
        </is>
      </c>
      <c r="C2" t="inlineStr">
        <is>
          <t>No</t>
        </is>
      </c>
      <c r="D2" t="inlineStr">
        <is>
          <t>wht</t>
        </is>
      </c>
      <c r="E2" t="inlineStr">
        <is>
          <t>No</t>
        </is>
      </c>
      <c r="F2" t="inlineStr">
        <is>
          <t>In Progress</t>
        </is>
      </c>
      <c r="G2" t="inlineStr">
        <is>
          <t>Fixed Price</t>
        </is>
      </c>
      <c r="H2" t="inlineStr">
        <is>
          <t>supplier</t>
        </is>
      </c>
      <c r="I2" t="inlineStr">
        <is>
          <t>P</t>
        </is>
      </c>
      <c r="J2" t="inlineStr">
        <is>
          <t>No</t>
        </is>
      </c>
      <c r="K2" t="inlineStr">
        <is>
          <t>straight_line</t>
        </is>
      </c>
      <c r="L2" t="inlineStr">
        <is>
          <t>Settled</t>
        </is>
      </c>
      <c r="M2" t="inlineStr">
        <is>
          <t>Cash</t>
        </is>
      </c>
      <c r="N2" t="inlineStr">
        <is>
          <t>Cash</t>
        </is>
      </c>
      <c r="O2" t="inlineStr">
        <is>
          <t>Indirect Labour (Cost-Centre Overhead)</t>
        </is>
      </c>
      <c r="P2" t="inlineStr">
        <is>
          <t>Monthly</t>
        </is>
      </c>
      <c r="Q2" t="inlineStr">
        <is>
          <t>Cash</t>
        </is>
      </c>
      <c r="R2" t="inlineStr">
        <is>
          <t>Cash</t>
        </is>
      </c>
      <c r="S2" t="inlineStr">
        <is>
          <t>Draft</t>
        </is>
      </c>
      <c r="T2" t="inlineStr">
        <is>
          <t>Cash</t>
        </is>
      </c>
      <c r="U2" t="inlineStr">
        <is>
          <t>Owner Drawing</t>
        </is>
      </c>
      <c r="V2" t="inlineStr">
        <is>
          <t>Cash</t>
        </is>
      </c>
      <c r="W2" t="inlineStr">
        <is>
          <t>Issue</t>
        </is>
      </c>
      <c r="X2" t="inlineStr">
        <is>
          <t>Cash</t>
        </is>
      </c>
    </row>
    <row r="3">
      <c r="A3" t="inlineStr">
        <is>
          <t>Equity</t>
        </is>
      </c>
      <c r="B3" t="inlineStr">
        <is>
          <t>accumulated_depreciation</t>
        </is>
      </c>
      <c r="F3" t="inlineStr">
        <is>
          <t>On Hold</t>
        </is>
      </c>
      <c r="G3" t="inlineStr">
        <is>
          <t>Flexible / Settled</t>
        </is>
      </c>
      <c r="H3" t="inlineStr">
        <is>
          <t>both</t>
        </is>
      </c>
      <c r="I3" t="inlineStr">
        <is>
          <t>F</t>
        </is>
      </c>
      <c r="K3" t="inlineStr">
        <is>
          <t>declining</t>
        </is>
      </c>
      <c r="M3" t="inlineStr">
        <is>
          <t>Cheque</t>
        </is>
      </c>
      <c r="N3" t="inlineStr">
        <is>
          <t>Cheque</t>
        </is>
      </c>
      <c r="O3" t="inlineStr">
        <is>
          <t>Administrative Salaries (Shared Overhead)</t>
        </is>
      </c>
      <c r="P3" t="inlineStr">
        <is>
          <t>Lump Sum</t>
        </is>
      </c>
      <c r="Q3" t="inlineStr">
        <is>
          <t>Cheque</t>
        </is>
      </c>
      <c r="R3" t="inlineStr">
        <is>
          <t>Cheque</t>
        </is>
      </c>
      <c r="T3" t="inlineStr">
        <is>
          <t>Cheque</t>
        </is>
      </c>
      <c r="V3" t="inlineStr">
        <is>
          <t>Cheque</t>
        </is>
      </c>
      <c r="W3" t="inlineStr">
        <is>
          <t>Transfer</t>
        </is>
      </c>
      <c r="X3" t="inlineStr">
        <is>
          <t>Cheque</t>
        </is>
      </c>
    </row>
    <row r="4">
      <c r="A4" t="inlineStr">
        <is>
          <t>Revenue</t>
        </is>
      </c>
      <c r="B4" t="inlineStr">
        <is>
          <t>allowance_doubtful</t>
        </is>
      </c>
      <c r="F4" t="inlineStr">
        <is>
          <t>Completed</t>
        </is>
      </c>
      <c r="H4" t="inlineStr">
        <is>
          <t>employee</t>
        </is>
      </c>
      <c r="M4" t="inlineStr">
        <is>
          <t>Credit Card</t>
        </is>
      </c>
      <c r="N4" t="inlineStr">
        <is>
          <t>Credit Card</t>
        </is>
      </c>
      <c r="P4" t="inlineStr">
        <is>
          <t>Hourly</t>
        </is>
      </c>
      <c r="Q4" t="inlineStr">
        <is>
          <t>Credit Card</t>
        </is>
      </c>
      <c r="R4" t="inlineStr">
        <is>
          <t>Credit Card</t>
        </is>
      </c>
      <c r="T4" t="inlineStr">
        <is>
          <t>Credit Card</t>
        </is>
      </c>
      <c r="V4" t="inlineStr">
        <is>
          <t>Credit Card</t>
        </is>
      </c>
      <c r="W4" t="inlineStr">
        <is>
          <t>Adjustment</t>
        </is>
      </c>
      <c r="X4" t="inlineStr">
        <is>
          <t>Credit Card</t>
        </is>
      </c>
    </row>
    <row r="5">
      <c r="A5" t="inlineStr">
        <is>
          <t>COGS</t>
        </is>
      </c>
      <c r="B5" t="inlineStr">
        <is>
          <t>amortization</t>
        </is>
      </c>
      <c r="F5" t="inlineStr">
        <is>
          <t>Closed</t>
        </is>
      </c>
      <c r="H5" t="inlineStr">
        <is>
          <t>other</t>
        </is>
      </c>
      <c r="M5" t="inlineStr">
        <is>
          <t>Instapay</t>
        </is>
      </c>
      <c r="N5" t="inlineStr">
        <is>
          <t>Instapay</t>
        </is>
      </c>
      <c r="Q5" t="inlineStr">
        <is>
          <t>Instapay</t>
        </is>
      </c>
      <c r="R5" t="inlineStr">
        <is>
          <t>Instapay</t>
        </is>
      </c>
      <c r="T5" t="inlineStr">
        <is>
          <t>Instapay</t>
        </is>
      </c>
      <c r="V5" t="inlineStr">
        <is>
          <t>Instapay</t>
        </is>
      </c>
      <c r="X5" t="inlineStr">
        <is>
          <t>Instapay</t>
        </is>
      </c>
    </row>
    <row r="6">
      <c r="A6" t="inlineStr">
        <is>
          <t>Expense</t>
        </is>
      </c>
      <c r="B6" t="inlineStr">
        <is>
          <t>capital</t>
        </is>
      </c>
    </row>
    <row r="7">
      <c r="B7" t="inlineStr">
        <is>
          <t>cash</t>
        </is>
      </c>
    </row>
    <row r="8">
      <c r="B8" t="inlineStr">
        <is>
          <t>cogs</t>
        </is>
      </c>
    </row>
    <row r="9">
      <c r="B9" t="inlineStr">
        <is>
          <t>deferred_revenue</t>
        </is>
      </c>
    </row>
    <row r="10">
      <c r="B10" t="inlineStr">
        <is>
          <t>depreciation</t>
        </is>
      </c>
    </row>
    <row r="11">
      <c r="B11" t="inlineStr">
        <is>
          <t>dividends_payable</t>
        </is>
      </c>
    </row>
    <row r="12">
      <c r="B12" t="inlineStr">
        <is>
          <t>drawings</t>
        </is>
      </c>
    </row>
    <row r="13">
      <c r="B13" t="inlineStr">
        <is>
          <t>employee</t>
        </is>
      </c>
    </row>
    <row r="14">
      <c r="B14" t="inlineStr">
        <is>
          <t>fixed_asset</t>
        </is>
      </c>
    </row>
    <row r="15">
      <c r="B15" t="inlineStr">
        <is>
          <t>general_admin</t>
        </is>
      </c>
    </row>
    <row r="16">
      <c r="B16" t="inlineStr">
        <is>
          <t>income_tax</t>
        </is>
      </c>
    </row>
    <row r="17">
      <c r="B17" t="inlineStr">
        <is>
          <t>intangible</t>
        </is>
      </c>
    </row>
    <row r="18">
      <c r="B18" t="inlineStr">
        <is>
          <t>interest</t>
        </is>
      </c>
    </row>
    <row r="19">
      <c r="B19" t="inlineStr">
        <is>
          <t>inventory</t>
        </is>
      </c>
    </row>
    <row r="20">
      <c r="B20" t="inlineStr">
        <is>
          <t>investment</t>
        </is>
      </c>
    </row>
    <row r="21">
      <c r="B21" t="inlineStr">
        <is>
          <t>long_term_debt</t>
        </is>
      </c>
    </row>
    <row r="22">
      <c r="B22" t="inlineStr">
        <is>
          <t>marketing</t>
        </is>
      </c>
    </row>
    <row r="23">
      <c r="B23" t="inlineStr">
        <is>
          <t>operating_revenue</t>
        </is>
      </c>
    </row>
    <row r="24">
      <c r="B24" t="inlineStr">
        <is>
          <t>other_current_asset</t>
        </is>
      </c>
    </row>
    <row r="25">
      <c r="B25" t="inlineStr">
        <is>
          <t>other_current_liability</t>
        </is>
      </c>
    </row>
    <row r="26">
      <c r="B26" t="inlineStr">
        <is>
          <t>other_equity</t>
        </is>
      </c>
    </row>
    <row r="27">
      <c r="B27" t="inlineStr">
        <is>
          <t>other_income</t>
        </is>
      </c>
    </row>
    <row r="28">
      <c r="B28" t="inlineStr">
        <is>
          <t>other_noncurrent_asset</t>
        </is>
      </c>
    </row>
    <row r="29">
      <c r="B29" t="inlineStr">
        <is>
          <t>other_noncurrent_liability</t>
        </is>
      </c>
    </row>
    <row r="30">
      <c r="B30" t="inlineStr">
        <is>
          <t>other_nonoperating</t>
        </is>
      </c>
    </row>
    <row r="31">
      <c r="B31" t="inlineStr">
        <is>
          <t>other_operating</t>
        </is>
      </c>
    </row>
    <row r="32">
      <c r="B32" t="inlineStr">
        <is>
          <t>partner_current</t>
        </is>
      </c>
    </row>
    <row r="33">
      <c r="B33" t="inlineStr">
        <is>
          <t>payable</t>
        </is>
      </c>
    </row>
    <row r="34">
      <c r="B34" t="inlineStr">
        <is>
          <t>prepaid</t>
        </is>
      </c>
    </row>
    <row r="35">
      <c r="B35" t="inlineStr">
        <is>
          <t>receivable</t>
        </is>
      </c>
    </row>
    <row r="36">
      <c r="B36" t="inlineStr">
        <is>
          <t>reserves</t>
        </is>
      </c>
    </row>
    <row r="37">
      <c r="B37" t="inlineStr">
        <is>
          <t>retained_earnings</t>
        </is>
      </c>
    </row>
    <row r="38">
      <c r="B38" t="inlineStr">
        <is>
          <t>sales_discount</t>
        </is>
      </c>
    </row>
    <row r="39">
      <c r="B39" t="inlineStr">
        <is>
          <t>short_term_debt</t>
        </is>
      </c>
    </row>
    <row r="40">
      <c r="B40" t="inlineStr">
        <is>
          <t>tax_payable</t>
        </is>
      </c>
    </row>
    <row r="41">
      <c r="B41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2026-10-01T09:25:20Z</dcterms:created>
  <dcterms:modified xsi:type="dcterms:W3CDTF">2026-10-01T09:25:26Z</dcterms:modified>
</cp:coreProperties>
</file>